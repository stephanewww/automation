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80" yWindow="225" windowWidth="10500" windowHeight="8445" activeTab="1"/>
  </bookViews>
  <sheets>
    <sheet name="Feuil1" sheetId="9" r:id="rId1"/>
    <sheet name="Tri" sheetId="6" r:id="rId2"/>
    <sheet name="Maquette" sheetId="3" r:id="rId3"/>
    <sheet name="Roadmap" sheetId="5" r:id="rId4"/>
    <sheet name="Parametres" sheetId="4" state="hidden" r:id="rId5"/>
    <sheet name="Parametrage_liste" sheetId="8" state="hidden" r:id="rId6"/>
    <sheet name="ReadME" sheetId="10" r:id="rId7"/>
  </sheets>
  <functionGroups/>
  <definedNames>
    <definedName name="_xlnm._FilterDatabase" localSheetId="3" hidden="1">Roadmap!$B$1:$M$299</definedName>
    <definedName name="C0Col">Parametres!$B$4</definedName>
    <definedName name="C0Ligne">Parametres!$B$6</definedName>
    <definedName name="clients">Parametrage_liste!$C$5:$C$35</definedName>
    <definedName name="ColCompteur">Parametres!$F$9</definedName>
    <definedName name="ColDescriptionCourte">Parametres!$F$8</definedName>
    <definedName name="ColLivraison">Parametres!$F$6</definedName>
    <definedName name="ColProduit">Parametres!$F$3</definedName>
    <definedName name="ColTypeEcheance">Parametres!$F$7</definedName>
    <definedName name="DateAutorisee">Maquette!$L$4:$AG$4</definedName>
    <definedName name="DateDebut">Parametres!$B$2</definedName>
    <definedName name="DescriptionCourte">Parametres!$F$8</definedName>
    <definedName name="Livraison">Parametres!$F$6</definedName>
    <definedName name="MaquetteLigne0">Parametres!$B$8</definedName>
    <definedName name="TypeEcheance">Parametrage_liste!$H$5:$H$13</definedName>
    <definedName name="_xlnm.Print_Area" localSheetId="0">Feuil1!$D$5:$AG$201</definedName>
    <definedName name="_xlnm.Print_Area" localSheetId="2">Maquette!$D$5:$AG$84</definedName>
  </definedNames>
  <calcPr calcId="125725"/>
  <pivotCaches>
    <pivotCache cacheId="7" r:id="rId8"/>
  </pivotCaches>
</workbook>
</file>

<file path=xl/calcChain.xml><?xml version="1.0" encoding="utf-8"?>
<calcChain xmlns="http://schemas.openxmlformats.org/spreadsheetml/2006/main">
  <c r="F4" i="9"/>
  <c r="H4" s="1"/>
  <c r="L6"/>
  <c r="E34"/>
  <c r="E23"/>
  <c r="E15"/>
  <c r="E75"/>
  <c r="E67"/>
  <c r="E59"/>
  <c r="E51"/>
  <c r="E43"/>
  <c r="D70"/>
  <c r="D62"/>
  <c r="D54"/>
  <c r="D46"/>
  <c r="D38"/>
  <c r="D30"/>
  <c r="D22"/>
  <c r="D14"/>
  <c r="D201"/>
  <c r="D197"/>
  <c r="D193"/>
  <c r="D189"/>
  <c r="D185"/>
  <c r="D181"/>
  <c r="D177"/>
  <c r="D173"/>
  <c r="D169"/>
  <c r="D165"/>
  <c r="D161"/>
  <c r="D157"/>
  <c r="D153"/>
  <c r="D149"/>
  <c r="D145"/>
  <c r="D141"/>
  <c r="D137"/>
  <c r="D133"/>
  <c r="D129"/>
  <c r="D125"/>
  <c r="D121"/>
  <c r="D117"/>
  <c r="D113"/>
  <c r="D109"/>
  <c r="D105"/>
  <c r="D101"/>
  <c r="D97"/>
  <c r="D93"/>
  <c r="D89"/>
  <c r="D85"/>
  <c r="D81"/>
  <c r="E35"/>
  <c r="E24"/>
  <c r="E16"/>
  <c r="E76"/>
  <c r="E68"/>
  <c r="E60"/>
  <c r="E52"/>
  <c r="E44"/>
  <c r="D71"/>
  <c r="D63"/>
  <c r="D55"/>
  <c r="D47"/>
  <c r="D39"/>
  <c r="D31"/>
  <c r="D23"/>
  <c r="D15"/>
  <c r="E201"/>
  <c r="E193"/>
  <c r="E185"/>
  <c r="E177"/>
  <c r="E169"/>
  <c r="E161"/>
  <c r="E153"/>
  <c r="E145"/>
  <c r="E137"/>
  <c r="E129"/>
  <c r="E121"/>
  <c r="E113"/>
  <c r="E105"/>
  <c r="E97"/>
  <c r="E89"/>
  <c r="E81"/>
  <c r="E194"/>
  <c r="E186"/>
  <c r="E178"/>
  <c r="E170"/>
  <c r="E162"/>
  <c r="E154"/>
  <c r="E146"/>
  <c r="E138"/>
  <c r="E130"/>
  <c r="E122"/>
  <c r="E114"/>
  <c r="E106"/>
  <c r="E98"/>
  <c r="E90"/>
  <c r="E82"/>
  <c r="E36"/>
  <c r="E26"/>
  <c r="E17"/>
  <c r="E9"/>
  <c r="E69"/>
  <c r="E61"/>
  <c r="E53"/>
  <c r="E45"/>
  <c r="D72"/>
  <c r="D64"/>
  <c r="D56"/>
  <c r="D48"/>
  <c r="D40"/>
  <c r="D32"/>
  <c r="D24"/>
  <c r="D16"/>
  <c r="D8"/>
  <c r="D198"/>
  <c r="D194"/>
  <c r="D190"/>
  <c r="D186"/>
  <c r="D182"/>
  <c r="D178"/>
  <c r="D174"/>
  <c r="D170"/>
  <c r="D166"/>
  <c r="D162"/>
  <c r="D158"/>
  <c r="D154"/>
  <c r="D150"/>
  <c r="D146"/>
  <c r="D142"/>
  <c r="D138"/>
  <c r="D134"/>
  <c r="D130"/>
  <c r="D126"/>
  <c r="D122"/>
  <c r="D118"/>
  <c r="D114"/>
  <c r="D110"/>
  <c r="D106"/>
  <c r="D102"/>
  <c r="D98"/>
  <c r="D94"/>
  <c r="D90"/>
  <c r="D86"/>
  <c r="D82"/>
  <c r="E37"/>
  <c r="E28"/>
  <c r="E18"/>
  <c r="E10"/>
  <c r="E70"/>
  <c r="E62"/>
  <c r="E54"/>
  <c r="E46"/>
  <c r="D73"/>
  <c r="D65"/>
  <c r="D57"/>
  <c r="D49"/>
  <c r="D41"/>
  <c r="D33"/>
  <c r="D25"/>
  <c r="D17"/>
  <c r="D9"/>
  <c r="E195"/>
  <c r="E187"/>
  <c r="E179"/>
  <c r="E171"/>
  <c r="E163"/>
  <c r="E155"/>
  <c r="E147"/>
  <c r="E139"/>
  <c r="E131"/>
  <c r="E123"/>
  <c r="E115"/>
  <c r="E107"/>
  <c r="E99"/>
  <c r="E91"/>
  <c r="E83"/>
  <c r="E196"/>
  <c r="E188"/>
  <c r="E180"/>
  <c r="E172"/>
  <c r="E164"/>
  <c r="E156"/>
  <c r="E148"/>
  <c r="E140"/>
  <c r="E132"/>
  <c r="E124"/>
  <c r="E116"/>
  <c r="E108"/>
  <c r="E100"/>
  <c r="E92"/>
  <c r="E38"/>
  <c r="E29"/>
  <c r="E19"/>
  <c r="E11"/>
  <c r="E71"/>
  <c r="E63"/>
  <c r="E55"/>
  <c r="E47"/>
  <c r="D74"/>
  <c r="D66"/>
  <c r="D58"/>
  <c r="D50"/>
  <c r="D42"/>
  <c r="D34"/>
  <c r="D26"/>
  <c r="D18"/>
  <c r="D10"/>
  <c r="D199"/>
  <c r="D195"/>
  <c r="D191"/>
  <c r="D187"/>
  <c r="D183"/>
  <c r="D179"/>
  <c r="D175"/>
  <c r="D171"/>
  <c r="D167"/>
  <c r="D163"/>
  <c r="D159"/>
  <c r="D155"/>
  <c r="D151"/>
  <c r="D147"/>
  <c r="D143"/>
  <c r="D139"/>
  <c r="D135"/>
  <c r="D131"/>
  <c r="D127"/>
  <c r="D123"/>
  <c r="D119"/>
  <c r="D115"/>
  <c r="D111"/>
  <c r="D107"/>
  <c r="D103"/>
  <c r="D99"/>
  <c r="D95"/>
  <c r="D91"/>
  <c r="D87"/>
  <c r="D83"/>
  <c r="E39"/>
  <c r="E30"/>
  <c r="E20"/>
  <c r="E12"/>
  <c r="E72"/>
  <c r="E64"/>
  <c r="E56"/>
  <c r="E48"/>
  <c r="D75"/>
  <c r="D67"/>
  <c r="D59"/>
  <c r="D51"/>
  <c r="D43"/>
  <c r="D35"/>
  <c r="D27"/>
  <c r="D19"/>
  <c r="D11"/>
  <c r="E197"/>
  <c r="E189"/>
  <c r="E181"/>
  <c r="E173"/>
  <c r="E165"/>
  <c r="E157"/>
  <c r="E149"/>
  <c r="E141"/>
  <c r="E133"/>
  <c r="E125"/>
  <c r="E117"/>
  <c r="E109"/>
  <c r="E101"/>
  <c r="E93"/>
  <c r="E85"/>
  <c r="E198"/>
  <c r="E190"/>
  <c r="E182"/>
  <c r="E174"/>
  <c r="E166"/>
  <c r="E158"/>
  <c r="E150"/>
  <c r="E142"/>
  <c r="E134"/>
  <c r="E126"/>
  <c r="E118"/>
  <c r="E110"/>
  <c r="E102"/>
  <c r="E94"/>
  <c r="E86"/>
  <c r="E40"/>
  <c r="E31"/>
  <c r="E21"/>
  <c r="E13"/>
  <c r="E73"/>
  <c r="E65"/>
  <c r="E57"/>
  <c r="E49"/>
  <c r="E41"/>
  <c r="D68"/>
  <c r="D60"/>
  <c r="D52"/>
  <c r="D44"/>
  <c r="D36"/>
  <c r="D28"/>
  <c r="D20"/>
  <c r="D12"/>
  <c r="D200"/>
  <c r="D196"/>
  <c r="D192"/>
  <c r="D188"/>
  <c r="D184"/>
  <c r="D180"/>
  <c r="D176"/>
  <c r="D172"/>
  <c r="D168"/>
  <c r="D164"/>
  <c r="D160"/>
  <c r="D156"/>
  <c r="D152"/>
  <c r="D148"/>
  <c r="D144"/>
  <c r="D140"/>
  <c r="D136"/>
  <c r="D132"/>
  <c r="D128"/>
  <c r="D124"/>
  <c r="D120"/>
  <c r="D116"/>
  <c r="D112"/>
  <c r="D108"/>
  <c r="D104"/>
  <c r="D100"/>
  <c r="D96"/>
  <c r="D92"/>
  <c r="D88"/>
  <c r="D84"/>
  <c r="D7"/>
  <c r="E32"/>
  <c r="E22"/>
  <c r="E14"/>
  <c r="E74"/>
  <c r="E66"/>
  <c r="E58"/>
  <c r="E50"/>
  <c r="E42"/>
  <c r="D69"/>
  <c r="D61"/>
  <c r="D53"/>
  <c r="D45"/>
  <c r="D37"/>
  <c r="D29"/>
  <c r="D21"/>
  <c r="D13"/>
  <c r="E199"/>
  <c r="E191"/>
  <c r="E183"/>
  <c r="E175"/>
  <c r="E167"/>
  <c r="E159"/>
  <c r="E151"/>
  <c r="E143"/>
  <c r="E135"/>
  <c r="E127"/>
  <c r="E119"/>
  <c r="E111"/>
  <c r="E103"/>
  <c r="E95"/>
  <c r="E87"/>
  <c r="E200"/>
  <c r="E192"/>
  <c r="E184"/>
  <c r="E176"/>
  <c r="E168"/>
  <c r="E160"/>
  <c r="E152"/>
  <c r="E144"/>
  <c r="E136"/>
  <c r="E128"/>
  <c r="E120"/>
  <c r="E112"/>
  <c r="E104"/>
  <c r="E96"/>
  <c r="E88"/>
  <c r="E8"/>
  <c r="E84"/>
  <c r="J6" l="1"/>
  <c r="H6"/>
  <c r="G4"/>
  <c r="J4"/>
  <c r="K4" s="1"/>
  <c r="I4"/>
  <c r="N6"/>
  <c r="M6"/>
  <c r="L29"/>
  <c r="N47"/>
  <c r="H32"/>
  <c r="H41"/>
  <c r="M28"/>
  <c r="H18"/>
  <c r="M12"/>
  <c r="M24"/>
  <c r="L34"/>
  <c r="N9"/>
  <c r="J17"/>
  <c r="I6" l="1"/>
  <c r="K6"/>
  <c r="F6"/>
  <c r="O6"/>
  <c r="P6"/>
  <c r="AD5"/>
  <c r="AD6" s="1"/>
  <c r="L5"/>
  <c r="AD4"/>
  <c r="AE4" s="1"/>
  <c r="AF4" s="1"/>
  <c r="AG4" s="1"/>
  <c r="L4"/>
  <c r="M4" s="1"/>
  <c r="N12"/>
  <c r="K21"/>
  <c r="AD31"/>
  <c r="F157"/>
  <c r="F108"/>
  <c r="F90"/>
  <c r="F113"/>
  <c r="F155"/>
  <c r="F127"/>
  <c r="F85"/>
  <c r="F84"/>
  <c r="F158"/>
  <c r="F144"/>
  <c r="F99"/>
  <c r="F146"/>
  <c r="F169"/>
  <c r="F151"/>
  <c r="F193"/>
  <c r="M29"/>
  <c r="K22"/>
  <c r="AD36"/>
  <c r="F109"/>
  <c r="F104"/>
  <c r="F149"/>
  <c r="F164"/>
  <c r="F83"/>
  <c r="F192"/>
  <c r="F179"/>
  <c r="F88"/>
  <c r="F94"/>
  <c r="F199"/>
  <c r="F150"/>
  <c r="F82"/>
  <c r="F105"/>
  <c r="F87"/>
  <c r="F129"/>
  <c r="N24"/>
  <c r="K45"/>
  <c r="F7"/>
  <c r="F139"/>
  <c r="F95"/>
  <c r="F101"/>
  <c r="F100"/>
  <c r="F142"/>
  <c r="F128"/>
  <c r="F115"/>
  <c r="F194"/>
  <c r="F153"/>
  <c r="F135"/>
  <c r="F86"/>
  <c r="F141"/>
  <c r="F156"/>
  <c r="F138"/>
  <c r="F180"/>
  <c r="I41"/>
  <c r="O47"/>
  <c r="P46"/>
  <c r="F190"/>
  <c r="F176"/>
  <c r="F195"/>
  <c r="F184"/>
  <c r="F201"/>
  <c r="F183"/>
  <c r="F166"/>
  <c r="F130"/>
  <c r="F89"/>
  <c r="F186"/>
  <c r="F145"/>
  <c r="F93"/>
  <c r="F92"/>
  <c r="F197"/>
  <c r="F96"/>
  <c r="I32"/>
  <c r="O9"/>
  <c r="F152"/>
  <c r="F126"/>
  <c r="F112"/>
  <c r="F131"/>
  <c r="F175"/>
  <c r="F137"/>
  <c r="F119"/>
  <c r="F102"/>
  <c r="F189"/>
  <c r="F140"/>
  <c r="F122"/>
  <c r="F196"/>
  <c r="F187"/>
  <c r="F200"/>
  <c r="F133"/>
  <c r="N28"/>
  <c r="I18"/>
  <c r="O44"/>
  <c r="F143"/>
  <c r="F185"/>
  <c r="F167"/>
  <c r="F182"/>
  <c r="F178"/>
  <c r="F188"/>
  <c r="F170"/>
  <c r="F161"/>
  <c r="F125"/>
  <c r="F91"/>
  <c r="F181"/>
  <c r="F132"/>
  <c r="F123"/>
  <c r="F191"/>
  <c r="F147"/>
  <c r="F116"/>
  <c r="I16"/>
  <c r="AD14"/>
  <c r="F162"/>
  <c r="F121"/>
  <c r="F103"/>
  <c r="F118"/>
  <c r="F114"/>
  <c r="F124"/>
  <c r="F106"/>
  <c r="F97"/>
  <c r="F171"/>
  <c r="F168"/>
  <c r="F117"/>
  <c r="F120"/>
  <c r="F174"/>
  <c r="F160"/>
  <c r="F198"/>
  <c r="M34"/>
  <c r="K17"/>
  <c r="AD15"/>
  <c r="F98"/>
  <c r="F172"/>
  <c r="F154"/>
  <c r="F177"/>
  <c r="F173"/>
  <c r="F136"/>
  <c r="F165"/>
  <c r="F148"/>
  <c r="F107"/>
  <c r="F159"/>
  <c r="F163"/>
  <c r="F111"/>
  <c r="F110"/>
  <c r="F134"/>
  <c r="G6" l="1"/>
  <c r="N5"/>
  <c r="P5" s="1"/>
  <c r="R5" s="1"/>
  <c r="T5" s="1"/>
  <c r="V5" s="1"/>
  <c r="X6" s="1"/>
  <c r="J5"/>
  <c r="H5" s="1"/>
  <c r="F5" s="1"/>
  <c r="R6"/>
  <c r="Q6"/>
  <c r="Y6"/>
  <c r="AE5"/>
  <c r="AE6" s="1"/>
  <c r="N4"/>
  <c r="AD4" i="3"/>
  <c r="AE4" s="1"/>
  <c r="AF4" s="1"/>
  <c r="AG4" s="1"/>
  <c r="L4"/>
  <c r="M4" s="1"/>
  <c r="M6"/>
  <c r="L6"/>
  <c r="J6" s="1"/>
  <c r="H6" s="1"/>
  <c r="F6" s="1"/>
  <c r="AD5"/>
  <c r="L5"/>
  <c r="T6" i="9" l="1"/>
  <c r="X5"/>
  <c r="Y5" s="1"/>
  <c r="Z5" s="1"/>
  <c r="AA5" s="1"/>
  <c r="AB5" s="1"/>
  <c r="AC5" s="1"/>
  <c r="S6"/>
  <c r="Z6"/>
  <c r="V6"/>
  <c r="U6"/>
  <c r="N5" i="3"/>
  <c r="P5" s="1"/>
  <c r="R5" s="1"/>
  <c r="T5" s="1"/>
  <c r="V5" s="1"/>
  <c r="X5" s="1"/>
  <c r="Y5" s="1"/>
  <c r="Z5" s="1"/>
  <c r="AA5" s="1"/>
  <c r="AB5" s="1"/>
  <c r="AC5" s="1"/>
  <c r="J5"/>
  <c r="H5" s="1"/>
  <c r="F5" s="1"/>
  <c r="K6"/>
  <c r="AE5"/>
  <c r="AD6"/>
  <c r="AF5" i="9"/>
  <c r="AF6" s="1"/>
  <c r="O4"/>
  <c r="P4"/>
  <c r="N6" i="3"/>
  <c r="P6" s="1"/>
  <c r="N4"/>
  <c r="X6"/>
  <c r="Y6" s="1"/>
  <c r="Z6" s="1"/>
  <c r="AA6" s="1"/>
  <c r="AB6" s="1"/>
  <c r="AC6" s="1"/>
  <c r="AA6" i="9" l="1"/>
  <c r="W6"/>
  <c r="G6" i="3"/>
  <c r="I6"/>
  <c r="O6"/>
  <c r="Q6"/>
  <c r="R6"/>
  <c r="S6" s="1"/>
  <c r="AF5"/>
  <c r="AE6"/>
  <c r="AG5" i="9"/>
  <c r="AG6" s="1"/>
  <c r="Q4"/>
  <c r="R4"/>
  <c r="O4" i="3"/>
  <c r="P4"/>
  <c r="T6"/>
  <c r="L45" i="9"/>
  <c r="X43"/>
  <c r="AE14"/>
  <c r="G106"/>
  <c r="G132"/>
  <c r="G103"/>
  <c r="G148"/>
  <c r="G197"/>
  <c r="G105"/>
  <c r="G122"/>
  <c r="C37" i="3"/>
  <c r="D83"/>
  <c r="C198"/>
  <c r="C144"/>
  <c r="C183"/>
  <c r="D45"/>
  <c r="C193"/>
  <c r="C34"/>
  <c r="D199"/>
  <c r="C188"/>
  <c r="C134"/>
  <c r="C179"/>
  <c r="C23"/>
  <c r="D47"/>
  <c r="C161"/>
  <c r="D196"/>
  <c r="D143"/>
  <c r="C132"/>
  <c r="D16"/>
  <c r="D133"/>
  <c r="D51"/>
  <c r="D27"/>
  <c r="G170" i="9"/>
  <c r="G201"/>
  <c r="G167"/>
  <c r="G94"/>
  <c r="G151"/>
  <c r="G92"/>
  <c r="G101"/>
  <c r="C123" i="3"/>
  <c r="D161"/>
  <c r="D25"/>
  <c r="C105"/>
  <c r="D140"/>
  <c r="D87"/>
  <c r="C76"/>
  <c r="D76"/>
  <c r="C24"/>
  <c r="C63"/>
  <c r="D114"/>
  <c r="D6" i="9"/>
  <c r="C42" i="3"/>
  <c r="D183"/>
  <c r="C172"/>
  <c r="C102"/>
  <c r="C196"/>
  <c r="C153"/>
  <c r="D160"/>
  <c r="C36"/>
  <c r="D116"/>
  <c r="D10"/>
  <c r="D110"/>
  <c r="D176"/>
  <c r="D49"/>
  <c r="D150"/>
  <c r="D41"/>
  <c r="L22" i="9"/>
  <c r="X42"/>
  <c r="Q26"/>
  <c r="G129"/>
  <c r="G162"/>
  <c r="G86"/>
  <c r="G159"/>
  <c r="G102"/>
  <c r="G143"/>
  <c r="G182"/>
  <c r="G191"/>
  <c r="D125" i="3"/>
  <c r="C114"/>
  <c r="C189"/>
  <c r="C41"/>
  <c r="D40"/>
  <c r="C40"/>
  <c r="C79"/>
  <c r="D14"/>
  <c r="D93"/>
  <c r="C82"/>
  <c r="C29"/>
  <c r="D75"/>
  <c r="C182"/>
  <c r="C8"/>
  <c r="C47"/>
  <c r="D82"/>
  <c r="C185"/>
  <c r="C22"/>
  <c r="C173"/>
  <c r="D31"/>
  <c r="C126"/>
  <c r="G193" i="9"/>
  <c r="G111"/>
  <c r="G155"/>
  <c r="G116"/>
  <c r="G171"/>
  <c r="G164"/>
  <c r="G181"/>
  <c r="D167" i="3"/>
  <c r="C156"/>
  <c r="C70"/>
  <c r="C147"/>
  <c r="D185"/>
  <c r="D15"/>
  <c r="C129"/>
  <c r="D164"/>
  <c r="C69"/>
  <c r="D115"/>
  <c r="D94"/>
  <c r="C48"/>
  <c r="C87"/>
  <c r="D22"/>
  <c r="D77"/>
  <c r="C66"/>
  <c r="C96"/>
  <c r="D43"/>
  <c r="D194"/>
  <c r="C131"/>
  <c r="D38"/>
  <c r="D42"/>
  <c r="D187"/>
  <c r="P44" i="9"/>
  <c r="X23"/>
  <c r="Q35"/>
  <c r="G134"/>
  <c r="G175"/>
  <c r="G83"/>
  <c r="G160"/>
  <c r="G107"/>
  <c r="G144"/>
  <c r="G187"/>
  <c r="G192"/>
  <c r="C145" i="3"/>
  <c r="D180"/>
  <c r="C61"/>
  <c r="D107"/>
  <c r="D78"/>
  <c r="C107"/>
  <c r="D145"/>
  <c r="C174"/>
  <c r="C113"/>
  <c r="D148"/>
  <c r="D95"/>
  <c r="C84"/>
  <c r="D108"/>
  <c r="C75"/>
  <c r="D113"/>
  <c r="C110"/>
  <c r="C57"/>
  <c r="D130"/>
  <c r="D111"/>
  <c r="D37"/>
  <c r="D44"/>
  <c r="G198" i="9"/>
  <c r="G120"/>
  <c r="G149"/>
  <c r="G84"/>
  <c r="G133"/>
  <c r="G169"/>
  <c r="G186"/>
  <c r="C184" i="3"/>
  <c r="C28"/>
  <c r="D54"/>
  <c r="C19"/>
  <c r="E6" i="9"/>
  <c r="C149" i="3"/>
  <c r="D195"/>
  <c r="D146"/>
  <c r="D135"/>
  <c r="C124"/>
  <c r="D200"/>
  <c r="C115"/>
  <c r="D153"/>
  <c r="C190"/>
  <c r="C97"/>
  <c r="D132"/>
  <c r="C35"/>
  <c r="D120"/>
  <c r="D66"/>
  <c r="D69"/>
  <c r="D19"/>
  <c r="D33"/>
  <c r="C68"/>
  <c r="D91"/>
  <c r="D138"/>
  <c r="C103"/>
  <c r="D30"/>
  <c r="D35"/>
  <c r="X13" i="9"/>
  <c r="Q10"/>
  <c r="G190"/>
  <c r="G195"/>
  <c r="G163"/>
  <c r="G141"/>
  <c r="G91"/>
  <c r="G125"/>
  <c r="G156"/>
  <c r="G173"/>
  <c r="C187" i="3"/>
  <c r="C31"/>
  <c r="D55"/>
  <c r="D149"/>
  <c r="C138"/>
  <c r="D151"/>
  <c r="C140"/>
  <c r="C38"/>
  <c r="C155"/>
  <c r="D193"/>
  <c r="D23"/>
  <c r="C137"/>
  <c r="D172"/>
  <c r="D119"/>
  <c r="C108"/>
  <c r="D168"/>
  <c r="C99"/>
  <c r="C154"/>
  <c r="D57"/>
  <c r="C7"/>
  <c r="D53"/>
  <c r="G147" i="9"/>
  <c r="G85"/>
  <c r="G145"/>
  <c r="G95"/>
  <c r="G161"/>
  <c r="G194"/>
  <c r="G123"/>
  <c r="G128"/>
  <c r="C81" i="3"/>
  <c r="D34"/>
  <c r="C74"/>
  <c r="D67"/>
  <c r="C152"/>
  <c r="D70"/>
  <c r="C170"/>
  <c r="D163"/>
  <c r="C121"/>
  <c r="D86"/>
  <c r="C186"/>
  <c r="D137"/>
  <c r="D58"/>
  <c r="D112"/>
  <c r="D190"/>
  <c r="D170"/>
  <c r="D100"/>
  <c r="C52"/>
  <c r="C43"/>
  <c r="C46"/>
  <c r="C18"/>
  <c r="C148"/>
  <c r="X11" i="9"/>
  <c r="Q19"/>
  <c r="G108"/>
  <c r="G157"/>
  <c r="G188"/>
  <c r="G146"/>
  <c r="G97"/>
  <c r="G130"/>
  <c r="G177"/>
  <c r="G178"/>
  <c r="C59" i="3"/>
  <c r="D97"/>
  <c r="C78"/>
  <c r="C169"/>
  <c r="C10"/>
  <c r="C168"/>
  <c r="C12"/>
  <c r="D8"/>
  <c r="C27"/>
  <c r="D65"/>
  <c r="C157"/>
  <c r="C9"/>
  <c r="D162"/>
  <c r="C136"/>
  <c r="C175"/>
  <c r="D29"/>
  <c r="D165"/>
  <c r="D56"/>
  <c r="D106"/>
  <c r="D128"/>
  <c r="D17"/>
  <c r="G172" i="9"/>
  <c r="G98"/>
  <c r="G150"/>
  <c r="G112"/>
  <c r="G166"/>
  <c r="G96"/>
  <c r="G93"/>
  <c r="C101" i="3"/>
  <c r="D147"/>
  <c r="D20"/>
  <c r="C80"/>
  <c r="C119"/>
  <c r="D104"/>
  <c r="D109"/>
  <c r="C98"/>
  <c r="C197"/>
  <c r="C49"/>
  <c r="D48"/>
  <c r="C176"/>
  <c r="C20"/>
  <c r="D24"/>
  <c r="C11"/>
  <c r="C194"/>
  <c r="C13"/>
  <c r="D92"/>
  <c r="C39"/>
  <c r="C192"/>
  <c r="D88"/>
  <c r="D80"/>
  <c r="D101"/>
  <c r="C45"/>
  <c r="C14"/>
  <c r="C89"/>
  <c r="D169"/>
  <c r="D60"/>
  <c r="J32" i="9"/>
  <c r="R41"/>
  <c r="G7"/>
  <c r="G119"/>
  <c r="G137"/>
  <c r="G104"/>
  <c r="G153"/>
  <c r="G87"/>
  <c r="G110"/>
  <c r="G135"/>
  <c r="D103" i="3"/>
  <c r="C92"/>
  <c r="D136"/>
  <c r="C16"/>
  <c r="C55"/>
  <c r="D98"/>
  <c r="C65"/>
  <c r="D68"/>
  <c r="D71"/>
  <c r="C60"/>
  <c r="D36"/>
  <c r="C51"/>
  <c r="D89"/>
  <c r="C181"/>
  <c r="C33"/>
  <c r="D32"/>
  <c r="C160"/>
  <c r="C199"/>
  <c r="D18"/>
  <c r="C25"/>
  <c r="D105"/>
  <c r="G180" i="9"/>
  <c r="G183"/>
  <c r="G99"/>
  <c r="G184"/>
  <c r="G115"/>
  <c r="G168"/>
  <c r="G113"/>
  <c r="G114"/>
  <c r="D189" i="3"/>
  <c r="C178"/>
  <c r="C125"/>
  <c r="D171"/>
  <c r="D64"/>
  <c r="C104"/>
  <c r="C143"/>
  <c r="D166"/>
  <c r="C91"/>
  <c r="D129"/>
  <c r="C142"/>
  <c r="C73"/>
  <c r="D84"/>
  <c r="C200"/>
  <c r="C44"/>
  <c r="D154"/>
  <c r="C135"/>
  <c r="C167"/>
  <c r="D21"/>
  <c r="D73"/>
  <c r="C86"/>
  <c r="C141"/>
  <c r="C158"/>
  <c r="J16" i="9"/>
  <c r="Q46"/>
  <c r="G185"/>
  <c r="G136"/>
  <c r="G142"/>
  <c r="G179"/>
  <c r="G158"/>
  <c r="G88"/>
  <c r="G131"/>
  <c r="G152"/>
  <c r="C120" i="3"/>
  <c r="C159"/>
  <c r="D198"/>
  <c r="C83"/>
  <c r="D121"/>
  <c r="C85"/>
  <c r="D131"/>
  <c r="D126"/>
  <c r="C88"/>
  <c r="C127"/>
  <c r="D134"/>
  <c r="D117"/>
  <c r="C106"/>
  <c r="C53"/>
  <c r="D99"/>
  <c r="D62"/>
  <c r="C32"/>
  <c r="C71"/>
  <c r="D192"/>
  <c r="C100"/>
  <c r="D188"/>
  <c r="G126" i="9"/>
  <c r="G200"/>
  <c r="G124"/>
  <c r="G82"/>
  <c r="G140"/>
  <c r="G189"/>
  <c r="G118"/>
  <c r="G127"/>
  <c r="D61" i="3"/>
  <c r="C50"/>
  <c r="D191"/>
  <c r="C180"/>
  <c r="C118"/>
  <c r="C171"/>
  <c r="C15"/>
  <c r="D39"/>
  <c r="D157"/>
  <c r="C146"/>
  <c r="C93"/>
  <c r="D139"/>
  <c r="D12"/>
  <c r="C72"/>
  <c r="C111"/>
  <c r="D72"/>
  <c r="C26"/>
  <c r="D52"/>
  <c r="D74"/>
  <c r="C150"/>
  <c r="D50"/>
  <c r="D79"/>
  <c r="D174"/>
  <c r="C122"/>
  <c r="C64"/>
  <c r="D11"/>
  <c r="D9"/>
  <c r="L21" i="9"/>
  <c r="R47"/>
  <c r="AE15"/>
  <c r="G139"/>
  <c r="G176"/>
  <c r="G90"/>
  <c r="G121"/>
  <c r="G109"/>
  <c r="G100"/>
  <c r="G117"/>
  <c r="C165" i="3"/>
  <c r="C17"/>
  <c r="D178"/>
  <c r="D127"/>
  <c r="C116"/>
  <c r="D184"/>
  <c r="D173"/>
  <c r="C162"/>
  <c r="C133"/>
  <c r="D179"/>
  <c r="D96"/>
  <c r="C112"/>
  <c r="C151"/>
  <c r="D182"/>
  <c r="D141"/>
  <c r="C130"/>
  <c r="C77"/>
  <c r="D123"/>
  <c r="C30"/>
  <c r="C195"/>
  <c r="D124"/>
  <c r="D142"/>
  <c r="G165" i="9"/>
  <c r="G196"/>
  <c r="G154"/>
  <c r="G89"/>
  <c r="G138"/>
  <c r="G174"/>
  <c r="G199"/>
  <c r="C56" i="3"/>
  <c r="C95"/>
  <c r="D85"/>
  <c r="C21"/>
  <c r="C166"/>
  <c r="C191"/>
  <c r="D181"/>
  <c r="C117"/>
  <c r="C128"/>
  <c r="D118"/>
  <c r="D156"/>
  <c r="D175"/>
  <c r="D63"/>
  <c r="D81"/>
  <c r="D159"/>
  <c r="C139"/>
  <c r="D7"/>
  <c r="D90"/>
  <c r="C94"/>
  <c r="C163"/>
  <c r="D152"/>
  <c r="D26"/>
  <c r="C67"/>
  <c r="C164"/>
  <c r="D158"/>
  <c r="S29" i="9"/>
  <c r="T8"/>
  <c r="D46" i="3"/>
  <c r="D155"/>
  <c r="C90"/>
  <c r="D13"/>
  <c r="D144"/>
  <c r="D186"/>
  <c r="C177"/>
  <c r="C54"/>
  <c r="D177"/>
  <c r="D102"/>
  <c r="C109"/>
  <c r="C62"/>
  <c r="D28"/>
  <c r="D197"/>
  <c r="D59"/>
  <c r="D122"/>
  <c r="C58"/>
  <c r="U20" i="9"/>
  <c r="S48"/>
  <c r="AH6" l="1"/>
  <c r="AB6"/>
  <c r="AG5" i="3"/>
  <c r="AG6" s="1"/>
  <c r="AF6"/>
  <c r="S4" i="9"/>
  <c r="T4"/>
  <c r="Q4" i="3"/>
  <c r="R4"/>
  <c r="U6"/>
  <c r="V6"/>
  <c r="W6" s="1"/>
  <c r="V20" i="9"/>
  <c r="T29"/>
  <c r="H174"/>
  <c r="H89"/>
  <c r="H196"/>
  <c r="H117"/>
  <c r="H109"/>
  <c r="H90"/>
  <c r="H139"/>
  <c r="H127"/>
  <c r="H189"/>
  <c r="H82"/>
  <c r="H200"/>
  <c r="H152"/>
  <c r="H88"/>
  <c r="H179"/>
  <c r="H136"/>
  <c r="R46"/>
  <c r="H113"/>
  <c r="H115"/>
  <c r="H99"/>
  <c r="H180"/>
  <c r="H110"/>
  <c r="H153"/>
  <c r="H137"/>
  <c r="H7"/>
  <c r="K32"/>
  <c r="H96"/>
  <c r="H112"/>
  <c r="H98"/>
  <c r="H178"/>
  <c r="H130"/>
  <c r="H146"/>
  <c r="H157"/>
  <c r="R19"/>
  <c r="H128"/>
  <c r="H194"/>
  <c r="H95"/>
  <c r="H85"/>
  <c r="H173"/>
  <c r="H125"/>
  <c r="H141"/>
  <c r="H195"/>
  <c r="R10"/>
  <c r="H186"/>
  <c r="H133"/>
  <c r="H149"/>
  <c r="H198"/>
  <c r="H187"/>
  <c r="H107"/>
  <c r="H83"/>
  <c r="H134"/>
  <c r="AF44"/>
  <c r="H164"/>
  <c r="H116"/>
  <c r="H111"/>
  <c r="H191"/>
  <c r="H143"/>
  <c r="H159"/>
  <c r="H162"/>
  <c r="R26"/>
  <c r="H101"/>
  <c r="H151"/>
  <c r="H167"/>
  <c r="H170"/>
  <c r="H105"/>
  <c r="H148"/>
  <c r="H132"/>
  <c r="Y43"/>
  <c r="T48"/>
  <c r="U8"/>
  <c r="H199"/>
  <c r="H138"/>
  <c r="H154"/>
  <c r="H165"/>
  <c r="H100"/>
  <c r="H121"/>
  <c r="H176"/>
  <c r="S47"/>
  <c r="H118"/>
  <c r="H140"/>
  <c r="H124"/>
  <c r="H126"/>
  <c r="H131"/>
  <c r="H158"/>
  <c r="H142"/>
  <c r="H185"/>
  <c r="H114"/>
  <c r="H168"/>
  <c r="H184"/>
  <c r="H183"/>
  <c r="H135"/>
  <c r="H87"/>
  <c r="H104"/>
  <c r="H119"/>
  <c r="S41"/>
  <c r="H93"/>
  <c r="H166"/>
  <c r="H150"/>
  <c r="H172"/>
  <c r="H177"/>
  <c r="H97"/>
  <c r="H188"/>
  <c r="H108"/>
  <c r="Y11"/>
  <c r="H123"/>
  <c r="H161"/>
  <c r="H145"/>
  <c r="H147"/>
  <c r="H156"/>
  <c r="H91"/>
  <c r="H163"/>
  <c r="H190"/>
  <c r="Y13"/>
  <c r="H169"/>
  <c r="H84"/>
  <c r="H120"/>
  <c r="H192"/>
  <c r="H144"/>
  <c r="H160"/>
  <c r="H175"/>
  <c r="R35"/>
  <c r="H181"/>
  <c r="H171"/>
  <c r="H155"/>
  <c r="H193"/>
  <c r="H182"/>
  <c r="H102"/>
  <c r="H86"/>
  <c r="H129"/>
  <c r="Y42"/>
  <c r="H92"/>
  <c r="H94"/>
  <c r="H201"/>
  <c r="H122"/>
  <c r="H197"/>
  <c r="H103"/>
  <c r="H106"/>
  <c r="AB81"/>
  <c r="AC6" l="1"/>
  <c r="U4"/>
  <c r="V4"/>
  <c r="S4" i="3"/>
  <c r="T4"/>
  <c r="I103" i="9"/>
  <c r="I122"/>
  <c r="I94"/>
  <c r="I129"/>
  <c r="I102"/>
  <c r="I193"/>
  <c r="I171"/>
  <c r="I175"/>
  <c r="I144"/>
  <c r="I120"/>
  <c r="I169"/>
  <c r="I163"/>
  <c r="I156"/>
  <c r="I145"/>
  <c r="I123"/>
  <c r="I188"/>
  <c r="I177"/>
  <c r="I150"/>
  <c r="I93"/>
  <c r="I104"/>
  <c r="I135"/>
  <c r="I184"/>
  <c r="I114"/>
  <c r="I142"/>
  <c r="I131"/>
  <c r="I124"/>
  <c r="I118"/>
  <c r="I121"/>
  <c r="I165"/>
  <c r="I138"/>
  <c r="AD8"/>
  <c r="I132"/>
  <c r="I105"/>
  <c r="I167"/>
  <c r="I101"/>
  <c r="I159"/>
  <c r="I191"/>
  <c r="I116"/>
  <c r="AG44"/>
  <c r="I83"/>
  <c r="I187"/>
  <c r="I149"/>
  <c r="I186"/>
  <c r="I195"/>
  <c r="I125"/>
  <c r="I85"/>
  <c r="I194"/>
  <c r="I157"/>
  <c r="I130"/>
  <c r="I98"/>
  <c r="I96"/>
  <c r="I7"/>
  <c r="I153"/>
  <c r="I180"/>
  <c r="I115"/>
  <c r="S46"/>
  <c r="I179"/>
  <c r="I152"/>
  <c r="I82"/>
  <c r="I127"/>
  <c r="I90"/>
  <c r="I117"/>
  <c r="I89"/>
  <c r="I106"/>
  <c r="I197"/>
  <c r="I201"/>
  <c r="I92"/>
  <c r="I86"/>
  <c r="I182"/>
  <c r="I155"/>
  <c r="I181"/>
  <c r="I160"/>
  <c r="I192"/>
  <c r="I84"/>
  <c r="I190"/>
  <c r="I91"/>
  <c r="I147"/>
  <c r="I161"/>
  <c r="I108"/>
  <c r="I97"/>
  <c r="I172"/>
  <c r="I166"/>
  <c r="I119"/>
  <c r="I87"/>
  <c r="I183"/>
  <c r="I168"/>
  <c r="I185"/>
  <c r="I158"/>
  <c r="I126"/>
  <c r="I140"/>
  <c r="I176"/>
  <c r="I100"/>
  <c r="I154"/>
  <c r="I199"/>
  <c r="AD43"/>
  <c r="I148"/>
  <c r="I170"/>
  <c r="I151"/>
  <c r="I162"/>
  <c r="I143"/>
  <c r="I111"/>
  <c r="I164"/>
  <c r="I134"/>
  <c r="I107"/>
  <c r="I198"/>
  <c r="I133"/>
  <c r="X10"/>
  <c r="I141"/>
  <c r="I173"/>
  <c r="I95"/>
  <c r="I128"/>
  <c r="I146"/>
  <c r="I178"/>
  <c r="I112"/>
  <c r="M32"/>
  <c r="I137"/>
  <c r="I110"/>
  <c r="I99"/>
  <c r="I113"/>
  <c r="I136"/>
  <c r="I88"/>
  <c r="I200"/>
  <c r="I189"/>
  <c r="I139"/>
  <c r="I109"/>
  <c r="I196"/>
  <c r="I174"/>
  <c r="AC81"/>
  <c r="W4" l="1"/>
  <c r="X4"/>
  <c r="Y4" s="1"/>
  <c r="Z4" s="1"/>
  <c r="AA4" s="1"/>
  <c r="AB4" s="1"/>
  <c r="AC4" s="1"/>
  <c r="U4" i="3"/>
  <c r="V4"/>
  <c r="J196" i="9"/>
  <c r="J139"/>
  <c r="J200"/>
  <c r="J136"/>
  <c r="J99"/>
  <c r="J137"/>
  <c r="J112"/>
  <c r="J146"/>
  <c r="J95"/>
  <c r="J141"/>
  <c r="J133"/>
  <c r="J107"/>
  <c r="J164"/>
  <c r="J143"/>
  <c r="J151"/>
  <c r="J148"/>
  <c r="J199"/>
  <c r="J100"/>
  <c r="J140"/>
  <c r="J158"/>
  <c r="J168"/>
  <c r="J87"/>
  <c r="J166"/>
  <c r="J97"/>
  <c r="J161"/>
  <c r="J91"/>
  <c r="J84"/>
  <c r="J160"/>
  <c r="J155"/>
  <c r="J86"/>
  <c r="J201"/>
  <c r="J106"/>
  <c r="J117"/>
  <c r="J127"/>
  <c r="J152"/>
  <c r="X46"/>
  <c r="J180"/>
  <c r="J7"/>
  <c r="J98"/>
  <c r="J157"/>
  <c r="J85"/>
  <c r="J195"/>
  <c r="J149"/>
  <c r="J83"/>
  <c r="J191"/>
  <c r="J101"/>
  <c r="J105"/>
  <c r="AE8"/>
  <c r="J165"/>
  <c r="J118"/>
  <c r="J131"/>
  <c r="J114"/>
  <c r="J135"/>
  <c r="J93"/>
  <c r="J177"/>
  <c r="J123"/>
  <c r="J156"/>
  <c r="J169"/>
  <c r="J144"/>
  <c r="J171"/>
  <c r="J102"/>
  <c r="J94"/>
  <c r="J103"/>
  <c r="AH61"/>
  <c r="AH59"/>
  <c r="J174"/>
  <c r="J109"/>
  <c r="J189"/>
  <c r="J88"/>
  <c r="J113"/>
  <c r="J110"/>
  <c r="N32"/>
  <c r="J178"/>
  <c r="J128"/>
  <c r="J173"/>
  <c r="Y10"/>
  <c r="J198"/>
  <c r="J134"/>
  <c r="J111"/>
  <c r="J162"/>
  <c r="J170"/>
  <c r="AE43"/>
  <c r="J154"/>
  <c r="J176"/>
  <c r="J126"/>
  <c r="J185"/>
  <c r="J183"/>
  <c r="J119"/>
  <c r="J172"/>
  <c r="J108"/>
  <c r="J147"/>
  <c r="J190"/>
  <c r="J192"/>
  <c r="J181"/>
  <c r="J182"/>
  <c r="J92"/>
  <c r="J197"/>
  <c r="J89"/>
  <c r="J90"/>
  <c r="J82"/>
  <c r="J179"/>
  <c r="J115"/>
  <c r="J153"/>
  <c r="J96"/>
  <c r="J130"/>
  <c r="J194"/>
  <c r="J125"/>
  <c r="J186"/>
  <c r="J187"/>
  <c r="J116"/>
  <c r="J159"/>
  <c r="J167"/>
  <c r="J132"/>
  <c r="J138"/>
  <c r="J121"/>
  <c r="J124"/>
  <c r="J142"/>
  <c r="J184"/>
  <c r="J104"/>
  <c r="J150"/>
  <c r="J188"/>
  <c r="J145"/>
  <c r="J163"/>
  <c r="J120"/>
  <c r="J175"/>
  <c r="J193"/>
  <c r="J129"/>
  <c r="J122"/>
  <c r="AD81"/>
  <c r="AH60"/>
  <c r="W4" i="3" l="1"/>
  <c r="X4"/>
  <c r="Y4" s="1"/>
  <c r="Z4" s="1"/>
  <c r="AA4" s="1"/>
  <c r="AB4" s="1"/>
  <c r="AC4" s="1"/>
  <c r="K129" i="9"/>
  <c r="K175"/>
  <c r="K163"/>
  <c r="K188"/>
  <c r="K104"/>
  <c r="K142"/>
  <c r="K121"/>
  <c r="K132"/>
  <c r="K159"/>
  <c r="K187"/>
  <c r="K125"/>
  <c r="K130"/>
  <c r="K153"/>
  <c r="K179"/>
  <c r="K90"/>
  <c r="K197"/>
  <c r="K182"/>
  <c r="K192"/>
  <c r="K147"/>
  <c r="K172"/>
  <c r="K183"/>
  <c r="K126"/>
  <c r="K154"/>
  <c r="K162"/>
  <c r="K134"/>
  <c r="K173"/>
  <c r="K178"/>
  <c r="K110"/>
  <c r="K88"/>
  <c r="K109"/>
  <c r="K103"/>
  <c r="K102"/>
  <c r="K144"/>
  <c r="K156"/>
  <c r="K177"/>
  <c r="K135"/>
  <c r="K131"/>
  <c r="K165"/>
  <c r="K101"/>
  <c r="K83"/>
  <c r="K195"/>
  <c r="K157"/>
  <c r="K7"/>
  <c r="Y46"/>
  <c r="K127"/>
  <c r="K106"/>
  <c r="K86"/>
  <c r="K160"/>
  <c r="K91"/>
  <c r="K97"/>
  <c r="K87"/>
  <c r="K158"/>
  <c r="K100"/>
  <c r="K148"/>
  <c r="K143"/>
  <c r="K107"/>
  <c r="K141"/>
  <c r="K146"/>
  <c r="K137"/>
  <c r="K136"/>
  <c r="K139"/>
  <c r="E194" i="3"/>
  <c r="E95"/>
  <c r="E168"/>
  <c r="E200"/>
  <c r="E191"/>
  <c r="E11"/>
  <c r="E165"/>
  <c r="E147"/>
  <c r="E27"/>
  <c r="E139"/>
  <c r="E73"/>
  <c r="E97"/>
  <c r="AH58" i="9"/>
  <c r="E68" i="3"/>
  <c r="E67"/>
  <c r="E9"/>
  <c r="E128"/>
  <c r="E143"/>
  <c r="E179"/>
  <c r="E51"/>
  <c r="E158"/>
  <c r="E29"/>
  <c r="E75"/>
  <c r="E141"/>
  <c r="E188"/>
  <c r="E142"/>
  <c r="E39"/>
  <c r="E198"/>
  <c r="E45"/>
  <c r="E164"/>
  <c r="E111"/>
  <c r="E33"/>
  <c r="E135"/>
  <c r="E130"/>
  <c r="E186"/>
  <c r="E107"/>
  <c r="E129"/>
  <c r="E83"/>
  <c r="E16"/>
  <c r="E137"/>
  <c r="E156"/>
  <c r="E56"/>
  <c r="E182"/>
  <c r="E38"/>
  <c r="E15"/>
  <c r="E24"/>
  <c r="E94"/>
  <c r="E36"/>
  <c r="E112"/>
  <c r="E23"/>
  <c r="AH39" i="9"/>
  <c r="AH77"/>
  <c r="AH78"/>
  <c r="AH19"/>
  <c r="AH20"/>
  <c r="AH13"/>
  <c r="AH23"/>
  <c r="AH8"/>
  <c r="AH9"/>
  <c r="AH16"/>
  <c r="AH62"/>
  <c r="AH54"/>
  <c r="AH57"/>
  <c r="AH55"/>
  <c r="AH63"/>
  <c r="AH43"/>
  <c r="AH67"/>
  <c r="E126" i="3"/>
  <c r="E6"/>
  <c r="E136"/>
  <c r="E197"/>
  <c r="E119"/>
  <c r="E192"/>
  <c r="E72"/>
  <c r="E46"/>
  <c r="E102"/>
  <c r="E28"/>
  <c r="E151"/>
  <c r="E25"/>
  <c r="E30"/>
  <c r="E13"/>
  <c r="E121"/>
  <c r="E149"/>
  <c r="E19"/>
  <c r="E180"/>
  <c r="E132"/>
  <c r="E145"/>
  <c r="E113"/>
  <c r="E105"/>
  <c r="E79"/>
  <c r="E82"/>
  <c r="E120"/>
  <c r="E146"/>
  <c r="E54"/>
  <c r="E160"/>
  <c r="E117"/>
  <c r="E99"/>
  <c r="E195"/>
  <c r="E125"/>
  <c r="E70"/>
  <c r="E153"/>
  <c r="E140"/>
  <c r="E131"/>
  <c r="E199"/>
  <c r="E71"/>
  <c r="E53"/>
  <c r="E63"/>
  <c r="E34"/>
  <c r="E174"/>
  <c r="E42"/>
  <c r="E116"/>
  <c r="E123"/>
  <c r="E89"/>
  <c r="E118"/>
  <c r="E144"/>
  <c r="E162"/>
  <c r="E87"/>
  <c r="AH40" i="9"/>
  <c r="AH76"/>
  <c r="AH21"/>
  <c r="AH27"/>
  <c r="AH31"/>
  <c r="AH10"/>
  <c r="AH30"/>
  <c r="AH11"/>
  <c r="AH29"/>
  <c r="AH73"/>
  <c r="AH66"/>
  <c r="AH45"/>
  <c r="AH72"/>
  <c r="AH41"/>
  <c r="AH70"/>
  <c r="AH53"/>
  <c r="AH47"/>
  <c r="K122"/>
  <c r="K193"/>
  <c r="K120"/>
  <c r="K145"/>
  <c r="K150"/>
  <c r="K184"/>
  <c r="K124"/>
  <c r="K138"/>
  <c r="K167"/>
  <c r="K116"/>
  <c r="K186"/>
  <c r="K194"/>
  <c r="K96"/>
  <c r="K115"/>
  <c r="K82"/>
  <c r="K89"/>
  <c r="K92"/>
  <c r="K181"/>
  <c r="K190"/>
  <c r="K108"/>
  <c r="K119"/>
  <c r="K185"/>
  <c r="K176"/>
  <c r="K170"/>
  <c r="K111"/>
  <c r="K198"/>
  <c r="K128"/>
  <c r="O32"/>
  <c r="K113"/>
  <c r="K189"/>
  <c r="K174"/>
  <c r="K94"/>
  <c r="K171"/>
  <c r="K169"/>
  <c r="K123"/>
  <c r="K93"/>
  <c r="K114"/>
  <c r="K118"/>
  <c r="K105"/>
  <c r="K191"/>
  <c r="K149"/>
  <c r="K85"/>
  <c r="K98"/>
  <c r="K180"/>
  <c r="K152"/>
  <c r="K117"/>
  <c r="K201"/>
  <c r="K155"/>
  <c r="K84"/>
  <c r="K161"/>
  <c r="K166"/>
  <c r="K168"/>
  <c r="K140"/>
  <c r="K199"/>
  <c r="K151"/>
  <c r="K164"/>
  <c r="K133"/>
  <c r="K95"/>
  <c r="K112"/>
  <c r="K99"/>
  <c r="K200"/>
  <c r="K196"/>
  <c r="E50" i="3"/>
  <c r="E59"/>
  <c r="E74"/>
  <c r="E91"/>
  <c r="E48"/>
  <c r="E40"/>
  <c r="E148"/>
  <c r="E90"/>
  <c r="E134"/>
  <c r="E62"/>
  <c r="E171"/>
  <c r="E187"/>
  <c r="E52"/>
  <c r="E35"/>
  <c r="E159"/>
  <c r="E169"/>
  <c r="E133"/>
  <c r="E104"/>
  <c r="E21"/>
  <c r="E76"/>
  <c r="E124"/>
  <c r="E26"/>
  <c r="E167"/>
  <c r="E150"/>
  <c r="E7"/>
  <c r="AH38" i="9"/>
  <c r="E65" i="3"/>
  <c r="E157"/>
  <c r="E108"/>
  <c r="E17"/>
  <c r="E110"/>
  <c r="E10"/>
  <c r="E41"/>
  <c r="E177"/>
  <c r="E190"/>
  <c r="E193"/>
  <c r="E189"/>
  <c r="E43"/>
  <c r="E100"/>
  <c r="E55"/>
  <c r="E64"/>
  <c r="E93"/>
  <c r="E166"/>
  <c r="E178"/>
  <c r="AE81" i="9"/>
  <c r="E172" i="3"/>
  <c r="E163"/>
  <c r="E84"/>
  <c r="E12"/>
  <c r="E138"/>
  <c r="E78"/>
  <c r="AH75" i="9"/>
  <c r="AH80"/>
  <c r="AH17"/>
  <c r="AH33"/>
  <c r="AH36"/>
  <c r="AH26"/>
  <c r="AH24"/>
  <c r="AH12"/>
  <c r="AH25"/>
  <c r="AH68"/>
  <c r="AH56"/>
  <c r="AH49"/>
  <c r="AH69"/>
  <c r="AH48"/>
  <c r="AH42"/>
  <c r="AH51"/>
  <c r="E115" i="3"/>
  <c r="C6"/>
  <c r="E44"/>
  <c r="E60"/>
  <c r="E57"/>
  <c r="E106"/>
  <c r="E77"/>
  <c r="E58"/>
  <c r="E37"/>
  <c r="E92"/>
  <c r="E181"/>
  <c r="D6"/>
  <c r="E69"/>
  <c r="E32"/>
  <c r="E80"/>
  <c r="E31"/>
  <c r="E14"/>
  <c r="E8"/>
  <c r="E81"/>
  <c r="E49"/>
  <c r="E185"/>
  <c r="E152"/>
  <c r="E20"/>
  <c r="E114"/>
  <c r="AH37" i="9"/>
  <c r="E47" i="3"/>
  <c r="E173"/>
  <c r="E122"/>
  <c r="E183"/>
  <c r="E86"/>
  <c r="E155"/>
  <c r="E196"/>
  <c r="E22"/>
  <c r="E170"/>
  <c r="E85"/>
  <c r="E101"/>
  <c r="E61"/>
  <c r="E96"/>
  <c r="E127"/>
  <c r="E66"/>
  <c r="E98"/>
  <c r="E18"/>
  <c r="E161"/>
  <c r="E154"/>
  <c r="E103"/>
  <c r="E175"/>
  <c r="E184"/>
  <c r="E88"/>
  <c r="E109"/>
  <c r="E176"/>
  <c r="AH74" i="9"/>
  <c r="AH79"/>
  <c r="AH34"/>
  <c r="AH35"/>
  <c r="AH15"/>
  <c r="AH18"/>
  <c r="AH14"/>
  <c r="AH28"/>
  <c r="AH22"/>
  <c r="AH44"/>
  <c r="AH71"/>
  <c r="AH65"/>
  <c r="AH50"/>
  <c r="AH52"/>
  <c r="AH64"/>
  <c r="F109" i="3"/>
  <c r="F184"/>
  <c r="F103"/>
  <c r="F161"/>
  <c r="F98"/>
  <c r="F127"/>
  <c r="F61"/>
  <c r="F85"/>
  <c r="F22"/>
  <c r="F155"/>
  <c r="F183"/>
  <c r="F173"/>
  <c r="F114"/>
  <c r="F152"/>
  <c r="F49"/>
  <c r="F8"/>
  <c r="F31"/>
  <c r="F32"/>
  <c r="F181"/>
  <c r="F37"/>
  <c r="F77"/>
  <c r="F57"/>
  <c r="F44"/>
  <c r="F78"/>
  <c r="F12"/>
  <c r="F163"/>
  <c r="AF81" i="9"/>
  <c r="F166" i="3"/>
  <c r="F64"/>
  <c r="F100"/>
  <c r="F189"/>
  <c r="F190"/>
  <c r="F41"/>
  <c r="F110"/>
  <c r="F108"/>
  <c r="F65"/>
  <c r="F150"/>
  <c r="F26"/>
  <c r="F76"/>
  <c r="F104"/>
  <c r="F169"/>
  <c r="F35"/>
  <c r="F187"/>
  <c r="F62"/>
  <c r="F90"/>
  <c r="F40"/>
  <c r="F91"/>
  <c r="F59"/>
  <c r="L200" i="9"/>
  <c r="L112"/>
  <c r="L133"/>
  <c r="L164"/>
  <c r="L140"/>
  <c r="L166"/>
  <c r="L84"/>
  <c r="L155"/>
  <c r="L201"/>
  <c r="L117"/>
  <c r="L180"/>
  <c r="L98"/>
  <c r="L149"/>
  <c r="L191"/>
  <c r="L105"/>
  <c r="L118"/>
  <c r="L93"/>
  <c r="L169"/>
  <c r="L171"/>
  <c r="L94"/>
  <c r="L189"/>
  <c r="R32"/>
  <c r="L198"/>
  <c r="L111"/>
  <c r="L170"/>
  <c r="L176"/>
  <c r="L185"/>
  <c r="L119"/>
  <c r="L108"/>
  <c r="L190"/>
  <c r="L92"/>
  <c r="L89"/>
  <c r="L82"/>
  <c r="L115"/>
  <c r="L96"/>
  <c r="L194"/>
  <c r="L186"/>
  <c r="L167"/>
  <c r="L124"/>
  <c r="L150"/>
  <c r="L120"/>
  <c r="L193"/>
  <c r="F87" i="3"/>
  <c r="F144"/>
  <c r="F89"/>
  <c r="F116"/>
  <c r="F174"/>
  <c r="F63"/>
  <c r="F71"/>
  <c r="F131"/>
  <c r="F153"/>
  <c r="F125"/>
  <c r="F99"/>
  <c r="F160"/>
  <c r="F146"/>
  <c r="F82"/>
  <c r="F105"/>
  <c r="F145"/>
  <c r="F180"/>
  <c r="F149"/>
  <c r="F13"/>
  <c r="F25"/>
  <c r="F28"/>
  <c r="F46"/>
  <c r="F192"/>
  <c r="F197"/>
  <c r="F126"/>
  <c r="F112"/>
  <c r="F94"/>
  <c r="F15"/>
  <c r="F182"/>
  <c r="F156"/>
  <c r="F16"/>
  <c r="F129"/>
  <c r="F186"/>
  <c r="F135"/>
  <c r="F111"/>
  <c r="F45"/>
  <c r="F39"/>
  <c r="F188"/>
  <c r="F75"/>
  <c r="F158"/>
  <c r="F179"/>
  <c r="F128"/>
  <c r="F67"/>
  <c r="F97"/>
  <c r="F139"/>
  <c r="F147"/>
  <c r="F11"/>
  <c r="F200"/>
  <c r="F95"/>
  <c r="L139" i="9"/>
  <c r="L137"/>
  <c r="L146"/>
  <c r="L141"/>
  <c r="L107"/>
  <c r="L100"/>
  <c r="L158"/>
  <c r="L97"/>
  <c r="L91"/>
  <c r="L160"/>
  <c r="L86"/>
  <c r="L106"/>
  <c r="AH46"/>
  <c r="L83"/>
  <c r="L131"/>
  <c r="L144"/>
  <c r="L103"/>
  <c r="L162"/>
  <c r="L183"/>
  <c r="L172"/>
  <c r="L147"/>
  <c r="L130"/>
  <c r="L187"/>
  <c r="L132"/>
  <c r="L188"/>
  <c r="F176" i="3"/>
  <c r="F88"/>
  <c r="F175"/>
  <c r="F154"/>
  <c r="F18"/>
  <c r="F66"/>
  <c r="F96"/>
  <c r="F101"/>
  <c r="F170"/>
  <c r="F196"/>
  <c r="F86"/>
  <c r="F122"/>
  <c r="F47"/>
  <c r="F20"/>
  <c r="F185"/>
  <c r="F81"/>
  <c r="F14"/>
  <c r="F80"/>
  <c r="F69"/>
  <c r="F92"/>
  <c r="F58"/>
  <c r="F106"/>
  <c r="F60"/>
  <c r="F115"/>
  <c r="F138"/>
  <c r="F84"/>
  <c r="F172"/>
  <c r="F178"/>
  <c r="F93"/>
  <c r="F55"/>
  <c r="F43"/>
  <c r="F193"/>
  <c r="F177"/>
  <c r="F10"/>
  <c r="F17"/>
  <c r="F157"/>
  <c r="F7"/>
  <c r="F167"/>
  <c r="F124"/>
  <c r="F21"/>
  <c r="F133"/>
  <c r="F159"/>
  <c r="F52"/>
  <c r="F171"/>
  <c r="F134"/>
  <c r="F148"/>
  <c r="F48"/>
  <c r="F74"/>
  <c r="F50"/>
  <c r="L196" i="9"/>
  <c r="L99"/>
  <c r="L95"/>
  <c r="L151"/>
  <c r="L199"/>
  <c r="L168"/>
  <c r="L161"/>
  <c r="L152"/>
  <c r="L85"/>
  <c r="L114"/>
  <c r="L123"/>
  <c r="L174"/>
  <c r="L113"/>
  <c r="L128"/>
  <c r="L181"/>
  <c r="L116"/>
  <c r="L138"/>
  <c r="L184"/>
  <c r="L145"/>
  <c r="L122"/>
  <c r="F162" i="3"/>
  <c r="F118"/>
  <c r="F123"/>
  <c r="F42"/>
  <c r="F34"/>
  <c r="F53"/>
  <c r="F199"/>
  <c r="F140"/>
  <c r="F70"/>
  <c r="F195"/>
  <c r="F117"/>
  <c r="F54"/>
  <c r="F120"/>
  <c r="F79"/>
  <c r="F113"/>
  <c r="F132"/>
  <c r="F19"/>
  <c r="F121"/>
  <c r="F30"/>
  <c r="F151"/>
  <c r="F102"/>
  <c r="F72"/>
  <c r="F119"/>
  <c r="F136"/>
  <c r="F23"/>
  <c r="F36"/>
  <c r="F24"/>
  <c r="F38"/>
  <c r="F56"/>
  <c r="F137"/>
  <c r="F83"/>
  <c r="F107"/>
  <c r="F130"/>
  <c r="F33"/>
  <c r="F164"/>
  <c r="F198"/>
  <c r="F142"/>
  <c r="F141"/>
  <c r="F29"/>
  <c r="F51"/>
  <c r="F143"/>
  <c r="F9"/>
  <c r="F68"/>
  <c r="F73"/>
  <c r="F27"/>
  <c r="F165"/>
  <c r="F191"/>
  <c r="F168"/>
  <c r="F194"/>
  <c r="L136" i="9"/>
  <c r="L143"/>
  <c r="L148"/>
  <c r="L87"/>
  <c r="L127"/>
  <c r="L7"/>
  <c r="L157"/>
  <c r="L195"/>
  <c r="L101"/>
  <c r="L165"/>
  <c r="L135"/>
  <c r="L177"/>
  <c r="L156"/>
  <c r="L102"/>
  <c r="L109"/>
  <c r="L88"/>
  <c r="L110"/>
  <c r="L178"/>
  <c r="L173"/>
  <c r="L134"/>
  <c r="L154"/>
  <c r="L126"/>
  <c r="L192"/>
  <c r="L182"/>
  <c r="L197"/>
  <c r="L90"/>
  <c r="L179"/>
  <c r="L153"/>
  <c r="L125"/>
  <c r="L159"/>
  <c r="L121"/>
  <c r="L142"/>
  <c r="L104"/>
  <c r="L163"/>
  <c r="L175"/>
  <c r="L129"/>
  <c r="F2" i="3" l="1"/>
  <c r="M129" i="9"/>
  <c r="M175"/>
  <c r="M163"/>
  <c r="M104"/>
  <c r="M142"/>
  <c r="M121"/>
  <c r="M159"/>
  <c r="M125"/>
  <c r="M153"/>
  <c r="M179"/>
  <c r="M90"/>
  <c r="M197"/>
  <c r="M182"/>
  <c r="M192"/>
  <c r="M126"/>
  <c r="M154"/>
  <c r="M134"/>
  <c r="M173"/>
  <c r="M178"/>
  <c r="M110"/>
  <c r="M88"/>
  <c r="M109"/>
  <c r="M102"/>
  <c r="M177"/>
  <c r="M135"/>
  <c r="M165"/>
  <c r="M101"/>
  <c r="M195"/>
  <c r="M157"/>
  <c r="M7"/>
  <c r="M127"/>
  <c r="M87"/>
  <c r="M148"/>
  <c r="M143"/>
  <c r="M136"/>
  <c r="G194" i="3"/>
  <c r="G191"/>
  <c r="G27"/>
  <c r="G68"/>
  <c r="M156" i="9"/>
  <c r="G168" i="3"/>
  <c r="G165"/>
  <c r="G73"/>
  <c r="G9"/>
  <c r="G29"/>
  <c r="G142"/>
  <c r="G164"/>
  <c r="G130"/>
  <c r="G83"/>
  <c r="G56"/>
  <c r="G24"/>
  <c r="G23"/>
  <c r="G119"/>
  <c r="G102"/>
  <c r="G30"/>
  <c r="G19"/>
  <c r="G113"/>
  <c r="G120"/>
  <c r="G117"/>
  <c r="G70"/>
  <c r="G199"/>
  <c r="G34"/>
  <c r="G123"/>
  <c r="G143"/>
  <c r="G51"/>
  <c r="G141"/>
  <c r="G198"/>
  <c r="G33"/>
  <c r="G107"/>
  <c r="G137"/>
  <c r="G38"/>
  <c r="G36"/>
  <c r="G136"/>
  <c r="G72"/>
  <c r="G151"/>
  <c r="G121"/>
  <c r="G132"/>
  <c r="G79"/>
  <c r="G54"/>
  <c r="G195"/>
  <c r="G140"/>
  <c r="G53"/>
  <c r="G42"/>
  <c r="G118"/>
  <c r="M122" i="9"/>
  <c r="M145"/>
  <c r="M184"/>
  <c r="M138"/>
  <c r="M116"/>
  <c r="M181"/>
  <c r="M128"/>
  <c r="M113"/>
  <c r="M174"/>
  <c r="M123"/>
  <c r="M114"/>
  <c r="M85"/>
  <c r="M152"/>
  <c r="M161"/>
  <c r="M168"/>
  <c r="M199"/>
  <c r="M151"/>
  <c r="M95"/>
  <c r="M99"/>
  <c r="M196"/>
  <c r="G50" i="3"/>
  <c r="G48"/>
  <c r="G134"/>
  <c r="G52"/>
  <c r="G133"/>
  <c r="G124"/>
  <c r="G7"/>
  <c r="G157"/>
  <c r="G10"/>
  <c r="G193"/>
  <c r="G55"/>
  <c r="G162"/>
  <c r="G74"/>
  <c r="G148"/>
  <c r="G171"/>
  <c r="G159"/>
  <c r="G21"/>
  <c r="G167"/>
  <c r="G17"/>
  <c r="G177"/>
  <c r="G43"/>
  <c r="G93"/>
  <c r="G172"/>
  <c r="G138"/>
  <c r="G60"/>
  <c r="G58"/>
  <c r="G69"/>
  <c r="G14"/>
  <c r="G185"/>
  <c r="G47"/>
  <c r="G86"/>
  <c r="G170"/>
  <c r="G96"/>
  <c r="G18"/>
  <c r="G175"/>
  <c r="G176"/>
  <c r="M188" i="9"/>
  <c r="M147"/>
  <c r="M172"/>
  <c r="M162"/>
  <c r="M144"/>
  <c r="M131"/>
  <c r="M158"/>
  <c r="M107"/>
  <c r="M137"/>
  <c r="G200" i="3"/>
  <c r="G147"/>
  <c r="G97"/>
  <c r="G128"/>
  <c r="G158"/>
  <c r="G188"/>
  <c r="G45"/>
  <c r="G135"/>
  <c r="G129"/>
  <c r="G156"/>
  <c r="G15"/>
  <c r="G112"/>
  <c r="G197"/>
  <c r="G46"/>
  <c r="G25"/>
  <c r="G178"/>
  <c r="G84"/>
  <c r="G115"/>
  <c r="G106"/>
  <c r="G92"/>
  <c r="G80"/>
  <c r="G81"/>
  <c r="G20"/>
  <c r="G122"/>
  <c r="G196"/>
  <c r="G101"/>
  <c r="G66"/>
  <c r="G154"/>
  <c r="G88"/>
  <c r="M132" i="9"/>
  <c r="M187"/>
  <c r="M130"/>
  <c r="M183"/>
  <c r="M103"/>
  <c r="M83"/>
  <c r="M106"/>
  <c r="M86"/>
  <c r="M160"/>
  <c r="M91"/>
  <c r="M97"/>
  <c r="M100"/>
  <c r="M141"/>
  <c r="M146"/>
  <c r="M139"/>
  <c r="G95" i="3"/>
  <c r="G11"/>
  <c r="G139"/>
  <c r="G67"/>
  <c r="G179"/>
  <c r="G75"/>
  <c r="G39"/>
  <c r="G111"/>
  <c r="G186"/>
  <c r="G16"/>
  <c r="G182"/>
  <c r="G94"/>
  <c r="G126"/>
  <c r="G192"/>
  <c r="G28"/>
  <c r="G13"/>
  <c r="G149"/>
  <c r="G145"/>
  <c r="G82"/>
  <c r="G160"/>
  <c r="G125"/>
  <c r="G131"/>
  <c r="G63"/>
  <c r="G116"/>
  <c r="G144"/>
  <c r="M193" i="9"/>
  <c r="M124"/>
  <c r="M186"/>
  <c r="M96"/>
  <c r="M89"/>
  <c r="M190"/>
  <c r="M108"/>
  <c r="M176"/>
  <c r="M170"/>
  <c r="M111"/>
  <c r="M171"/>
  <c r="M169"/>
  <c r="M93"/>
  <c r="M118"/>
  <c r="M105"/>
  <c r="M149"/>
  <c r="M98"/>
  <c r="M180"/>
  <c r="M155"/>
  <c r="M140"/>
  <c r="M112"/>
  <c r="M200"/>
  <c r="G59" i="3"/>
  <c r="G40"/>
  <c r="G62"/>
  <c r="G35"/>
  <c r="G104"/>
  <c r="G26"/>
  <c r="G65"/>
  <c r="G110"/>
  <c r="G190"/>
  <c r="G100"/>
  <c r="G166"/>
  <c r="G12"/>
  <c r="G44"/>
  <c r="G77"/>
  <c r="G181"/>
  <c r="G31"/>
  <c r="G49"/>
  <c r="G114"/>
  <c r="G183"/>
  <c r="G180"/>
  <c r="G105"/>
  <c r="G146"/>
  <c r="G99"/>
  <c r="G153"/>
  <c r="G71"/>
  <c r="G174"/>
  <c r="G89"/>
  <c r="G87"/>
  <c r="M120" i="9"/>
  <c r="M150"/>
  <c r="M167"/>
  <c r="M194"/>
  <c r="M115"/>
  <c r="M82"/>
  <c r="M92"/>
  <c r="M119"/>
  <c r="M185"/>
  <c r="M198"/>
  <c r="S32"/>
  <c r="M189"/>
  <c r="M94"/>
  <c r="M191"/>
  <c r="M117"/>
  <c r="M201"/>
  <c r="M84"/>
  <c r="M166"/>
  <c r="M164"/>
  <c r="M133"/>
  <c r="G91" i="3"/>
  <c r="G90"/>
  <c r="G187"/>
  <c r="G169"/>
  <c r="G76"/>
  <c r="G150"/>
  <c r="G108"/>
  <c r="G41"/>
  <c r="G189"/>
  <c r="G64"/>
  <c r="AG81" i="9"/>
  <c r="G163" i="3"/>
  <c r="G78"/>
  <c r="G57"/>
  <c r="G37"/>
  <c r="G8"/>
  <c r="G173"/>
  <c r="G22"/>
  <c r="G61"/>
  <c r="G98"/>
  <c r="G103"/>
  <c r="G109"/>
  <c r="G32"/>
  <c r="G152"/>
  <c r="G155"/>
  <c r="G85"/>
  <c r="G127"/>
  <c r="G161"/>
  <c r="G184"/>
  <c r="G2" l="1"/>
  <c r="H109"/>
  <c r="H103"/>
  <c r="H98"/>
  <c r="H61"/>
  <c r="H22"/>
  <c r="H64"/>
  <c r="H189"/>
  <c r="H41"/>
  <c r="H108"/>
  <c r="H150"/>
  <c r="H76"/>
  <c r="H169"/>
  <c r="H187"/>
  <c r="H90"/>
  <c r="H91"/>
  <c r="N133" i="9"/>
  <c r="N166"/>
  <c r="N201"/>
  <c r="N191"/>
  <c r="N189"/>
  <c r="N198"/>
  <c r="N119"/>
  <c r="N82"/>
  <c r="N194"/>
  <c r="N150"/>
  <c r="H87" i="3"/>
  <c r="H89"/>
  <c r="H174"/>
  <c r="H71"/>
  <c r="H153"/>
  <c r="H99"/>
  <c r="H146"/>
  <c r="H105"/>
  <c r="H180"/>
  <c r="N200" i="9"/>
  <c r="N140"/>
  <c r="N180"/>
  <c r="N149"/>
  <c r="N118"/>
  <c r="N169"/>
  <c r="N111"/>
  <c r="N176"/>
  <c r="N190"/>
  <c r="N96"/>
  <c r="N124"/>
  <c r="H13" i="3"/>
  <c r="H28"/>
  <c r="H192"/>
  <c r="H126"/>
  <c r="H94"/>
  <c r="H182"/>
  <c r="H16"/>
  <c r="H186"/>
  <c r="H111"/>
  <c r="H39"/>
  <c r="H75"/>
  <c r="H179"/>
  <c r="H67"/>
  <c r="H139"/>
  <c r="H11"/>
  <c r="H95"/>
  <c r="N139" i="9"/>
  <c r="N141"/>
  <c r="N97"/>
  <c r="N160"/>
  <c r="N106"/>
  <c r="N103"/>
  <c r="N130"/>
  <c r="N132"/>
  <c r="H25" i="3"/>
  <c r="H46"/>
  <c r="H197"/>
  <c r="H112"/>
  <c r="H15"/>
  <c r="H156"/>
  <c r="H129"/>
  <c r="H135"/>
  <c r="H45"/>
  <c r="H188"/>
  <c r="H158"/>
  <c r="H128"/>
  <c r="H97"/>
  <c r="H147"/>
  <c r="H200"/>
  <c r="N107" i="9"/>
  <c r="N131"/>
  <c r="N162"/>
  <c r="N147"/>
  <c r="H184" i="3"/>
  <c r="H161"/>
  <c r="H127"/>
  <c r="H85"/>
  <c r="H155"/>
  <c r="H152"/>
  <c r="H32"/>
  <c r="H173"/>
  <c r="H8"/>
  <c r="H37"/>
  <c r="H57"/>
  <c r="H78"/>
  <c r="H163"/>
  <c r="AH81" i="9"/>
  <c r="N164"/>
  <c r="N84"/>
  <c r="N117"/>
  <c r="N94"/>
  <c r="AH32"/>
  <c r="N185"/>
  <c r="N92"/>
  <c r="N115"/>
  <c r="N167"/>
  <c r="N120"/>
  <c r="H183" i="3"/>
  <c r="H114"/>
  <c r="H49"/>
  <c r="H31"/>
  <c r="H181"/>
  <c r="H77"/>
  <c r="H44"/>
  <c r="H12"/>
  <c r="H166"/>
  <c r="H100"/>
  <c r="H190"/>
  <c r="H110"/>
  <c r="H65"/>
  <c r="H26"/>
  <c r="H104"/>
  <c r="H35"/>
  <c r="H62"/>
  <c r="H40"/>
  <c r="H59"/>
  <c r="N112" i="9"/>
  <c r="N155"/>
  <c r="N98"/>
  <c r="N105"/>
  <c r="N93"/>
  <c r="N171"/>
  <c r="N170"/>
  <c r="N108"/>
  <c r="N89"/>
  <c r="N186"/>
  <c r="N193"/>
  <c r="H144" i="3"/>
  <c r="H116"/>
  <c r="H63"/>
  <c r="H131"/>
  <c r="H125"/>
  <c r="H160"/>
  <c r="H82"/>
  <c r="H145"/>
  <c r="H149"/>
  <c r="N146" i="9"/>
  <c r="N100"/>
  <c r="N91"/>
  <c r="N86"/>
  <c r="N83"/>
  <c r="N183"/>
  <c r="N187"/>
  <c r="H88" i="3"/>
  <c r="H154"/>
  <c r="H66"/>
  <c r="H101"/>
  <c r="H196"/>
  <c r="H122"/>
  <c r="H20"/>
  <c r="H81"/>
  <c r="H80"/>
  <c r="H92"/>
  <c r="H106"/>
  <c r="H115"/>
  <c r="H84"/>
  <c r="H178"/>
  <c r="N137" i="9"/>
  <c r="N158"/>
  <c r="N144"/>
  <c r="N172"/>
  <c r="N188"/>
  <c r="H176" i="3"/>
  <c r="H175"/>
  <c r="H18"/>
  <c r="H96"/>
  <c r="H170"/>
  <c r="H86"/>
  <c r="H47"/>
  <c r="H185"/>
  <c r="H14"/>
  <c r="H69"/>
  <c r="H58"/>
  <c r="H60"/>
  <c r="H138"/>
  <c r="H172"/>
  <c r="H55"/>
  <c r="H193"/>
  <c r="H10"/>
  <c r="H157"/>
  <c r="H7"/>
  <c r="N196" i="9"/>
  <c r="N95"/>
  <c r="N199"/>
  <c r="N161"/>
  <c r="N85"/>
  <c r="N123"/>
  <c r="N113"/>
  <c r="N181"/>
  <c r="N138"/>
  <c r="N145"/>
  <c r="H118" i="3"/>
  <c r="H42"/>
  <c r="H53"/>
  <c r="H140"/>
  <c r="H195"/>
  <c r="H54"/>
  <c r="H79"/>
  <c r="H132"/>
  <c r="H121"/>
  <c r="H151"/>
  <c r="H72"/>
  <c r="H136"/>
  <c r="H36"/>
  <c r="H38"/>
  <c r="H137"/>
  <c r="H107"/>
  <c r="H33"/>
  <c r="H198"/>
  <c r="H141"/>
  <c r="H51"/>
  <c r="H143"/>
  <c r="H9"/>
  <c r="H73"/>
  <c r="H165"/>
  <c r="H168"/>
  <c r="N156" i="9"/>
  <c r="H68" i="3"/>
  <c r="H27"/>
  <c r="H191"/>
  <c r="H194"/>
  <c r="N143" i="9"/>
  <c r="N87"/>
  <c r="N7"/>
  <c r="N195"/>
  <c r="N165"/>
  <c r="N177"/>
  <c r="N109"/>
  <c r="N110"/>
  <c r="N173"/>
  <c r="N154"/>
  <c r="N192"/>
  <c r="N197"/>
  <c r="N179"/>
  <c r="N125"/>
  <c r="N121"/>
  <c r="N104"/>
  <c r="N175"/>
  <c r="H93" i="3"/>
  <c r="H43"/>
  <c r="H177"/>
  <c r="H17"/>
  <c r="H167"/>
  <c r="H21"/>
  <c r="H159"/>
  <c r="H171"/>
  <c r="H148"/>
  <c r="H74"/>
  <c r="H162"/>
  <c r="H124"/>
  <c r="H133"/>
  <c r="H52"/>
  <c r="H134"/>
  <c r="H48"/>
  <c r="H50"/>
  <c r="N99" i="9"/>
  <c r="N151"/>
  <c r="N168"/>
  <c r="N152"/>
  <c r="N114"/>
  <c r="N174"/>
  <c r="N128"/>
  <c r="N116"/>
  <c r="N184"/>
  <c r="N122"/>
  <c r="H123" i="3"/>
  <c r="H34"/>
  <c r="H199"/>
  <c r="H70"/>
  <c r="H117"/>
  <c r="H120"/>
  <c r="H113"/>
  <c r="H19"/>
  <c r="H30"/>
  <c r="H102"/>
  <c r="H119"/>
  <c r="H23"/>
  <c r="H24"/>
  <c r="H56"/>
  <c r="H83"/>
  <c r="H130"/>
  <c r="H164"/>
  <c r="H142"/>
  <c r="H29"/>
  <c r="N136" i="9"/>
  <c r="N148"/>
  <c r="N127"/>
  <c r="N157"/>
  <c r="N101"/>
  <c r="N135"/>
  <c r="N102"/>
  <c r="N88"/>
  <c r="N178"/>
  <c r="N134"/>
  <c r="N126"/>
  <c r="N182"/>
  <c r="N90"/>
  <c r="N153"/>
  <c r="N159"/>
  <c r="N142"/>
  <c r="N163"/>
  <c r="N129"/>
  <c r="H2" i="3" l="1"/>
  <c r="O129" i="9"/>
  <c r="O163"/>
  <c r="O142"/>
  <c r="O159"/>
  <c r="O153"/>
  <c r="O90"/>
  <c r="O182"/>
  <c r="O126"/>
  <c r="O134"/>
  <c r="O178"/>
  <c r="O88"/>
  <c r="O102"/>
  <c r="I142" i="3"/>
  <c r="I130"/>
  <c r="I56"/>
  <c r="I23"/>
  <c r="I102"/>
  <c r="I19"/>
  <c r="I120"/>
  <c r="I70"/>
  <c r="I34"/>
  <c r="O122" i="9"/>
  <c r="O184"/>
  <c r="O116"/>
  <c r="O128"/>
  <c r="O174"/>
  <c r="O114"/>
  <c r="O152"/>
  <c r="O168"/>
  <c r="O151"/>
  <c r="O99"/>
  <c r="I50" i="3"/>
  <c r="I134"/>
  <c r="I133"/>
  <c r="I162"/>
  <c r="I148"/>
  <c r="I159"/>
  <c r="I167"/>
  <c r="I177"/>
  <c r="I93"/>
  <c r="O175" i="9"/>
  <c r="O104"/>
  <c r="O121"/>
  <c r="O125"/>
  <c r="O179"/>
  <c r="O197"/>
  <c r="O192"/>
  <c r="O154"/>
  <c r="O173"/>
  <c r="O110"/>
  <c r="O109"/>
  <c r="I191" i="3"/>
  <c r="I68"/>
  <c r="O156" i="9"/>
  <c r="I165" i="3"/>
  <c r="I9"/>
  <c r="I51"/>
  <c r="I198"/>
  <c r="I107"/>
  <c r="I38"/>
  <c r="I136"/>
  <c r="I151"/>
  <c r="I132"/>
  <c r="I54"/>
  <c r="I140"/>
  <c r="I42"/>
  <c r="O145" i="9"/>
  <c r="O138"/>
  <c r="O181"/>
  <c r="O113"/>
  <c r="O123"/>
  <c r="O85"/>
  <c r="O161"/>
  <c r="O199"/>
  <c r="O95"/>
  <c r="O196"/>
  <c r="I157" i="3"/>
  <c r="I193"/>
  <c r="I172"/>
  <c r="I60"/>
  <c r="I69"/>
  <c r="I185"/>
  <c r="I86"/>
  <c r="I96"/>
  <c r="I175"/>
  <c r="I178"/>
  <c r="I115"/>
  <c r="I92"/>
  <c r="I81"/>
  <c r="I122"/>
  <c r="I101"/>
  <c r="I154"/>
  <c r="I149"/>
  <c r="I82"/>
  <c r="I125"/>
  <c r="I63"/>
  <c r="I144"/>
  <c r="I40"/>
  <c r="O135" i="9"/>
  <c r="O101"/>
  <c r="O157"/>
  <c r="O127"/>
  <c r="O148"/>
  <c r="O136"/>
  <c r="I29" i="3"/>
  <c r="I164"/>
  <c r="I83"/>
  <c r="I24"/>
  <c r="I119"/>
  <c r="I30"/>
  <c r="I113"/>
  <c r="I117"/>
  <c r="I199"/>
  <c r="I123"/>
  <c r="I48"/>
  <c r="I52"/>
  <c r="I124"/>
  <c r="I74"/>
  <c r="I171"/>
  <c r="I21"/>
  <c r="I17"/>
  <c r="I43"/>
  <c r="O177" i="9"/>
  <c r="O165"/>
  <c r="O195"/>
  <c r="O7"/>
  <c r="O87"/>
  <c r="O143"/>
  <c r="I194" i="3"/>
  <c r="I27"/>
  <c r="I168"/>
  <c r="I73"/>
  <c r="I143"/>
  <c r="I141"/>
  <c r="I33"/>
  <c r="I137"/>
  <c r="I36"/>
  <c r="I72"/>
  <c r="I121"/>
  <c r="I79"/>
  <c r="I195"/>
  <c r="I53"/>
  <c r="I118"/>
  <c r="I7"/>
  <c r="I10"/>
  <c r="I55"/>
  <c r="I138"/>
  <c r="I58"/>
  <c r="I14"/>
  <c r="I47"/>
  <c r="I170"/>
  <c r="I18"/>
  <c r="I176"/>
  <c r="O188" i="9"/>
  <c r="O172"/>
  <c r="O144"/>
  <c r="O158"/>
  <c r="O137"/>
  <c r="I84" i="3"/>
  <c r="I106"/>
  <c r="I80"/>
  <c r="I20"/>
  <c r="I196"/>
  <c r="I66"/>
  <c r="I88"/>
  <c r="O187" i="9"/>
  <c r="O183"/>
  <c r="O83"/>
  <c r="O86"/>
  <c r="O91"/>
  <c r="O100"/>
  <c r="O146"/>
  <c r="I145" i="3"/>
  <c r="I160"/>
  <c r="I131"/>
  <c r="I116"/>
  <c r="O193" i="9"/>
  <c r="O186"/>
  <c r="O89"/>
  <c r="O108"/>
  <c r="O170"/>
  <c r="O171"/>
  <c r="O93"/>
  <c r="O105"/>
  <c r="O98"/>
  <c r="O155"/>
  <c r="O112"/>
  <c r="I59" i="3"/>
  <c r="I35"/>
  <c r="I26"/>
  <c r="I110"/>
  <c r="I100"/>
  <c r="I12"/>
  <c r="I77"/>
  <c r="I31"/>
  <c r="I114"/>
  <c r="O120" i="9"/>
  <c r="O167"/>
  <c r="O115"/>
  <c r="O92"/>
  <c r="O185"/>
  <c r="O94"/>
  <c r="O117"/>
  <c r="O84"/>
  <c r="O164"/>
  <c r="I163" i="3"/>
  <c r="I57"/>
  <c r="I173"/>
  <c r="I32"/>
  <c r="I155"/>
  <c r="I127"/>
  <c r="I184"/>
  <c r="O147" i="9"/>
  <c r="O162"/>
  <c r="O131"/>
  <c r="O107"/>
  <c r="I147" i="3"/>
  <c r="I128"/>
  <c r="I188"/>
  <c r="I135"/>
  <c r="I156"/>
  <c r="I112"/>
  <c r="I46"/>
  <c r="I95"/>
  <c r="I139"/>
  <c r="I179"/>
  <c r="I39"/>
  <c r="I186"/>
  <c r="I182"/>
  <c r="I126"/>
  <c r="I28"/>
  <c r="O124" i="9"/>
  <c r="O96"/>
  <c r="O190"/>
  <c r="O176"/>
  <c r="O111"/>
  <c r="O169"/>
  <c r="O118"/>
  <c r="O149"/>
  <c r="O180"/>
  <c r="O140"/>
  <c r="O200"/>
  <c r="I180" i="3"/>
  <c r="I146"/>
  <c r="I153"/>
  <c r="I174"/>
  <c r="I87"/>
  <c r="I90"/>
  <c r="I169"/>
  <c r="I150"/>
  <c r="I41"/>
  <c r="I64"/>
  <c r="I61"/>
  <c r="I103"/>
  <c r="I109"/>
  <c r="I62"/>
  <c r="I104"/>
  <c r="I65"/>
  <c r="I190"/>
  <c r="I166"/>
  <c r="I44"/>
  <c r="I181"/>
  <c r="I49"/>
  <c r="I183"/>
  <c r="I78"/>
  <c r="I37"/>
  <c r="I8"/>
  <c r="I152"/>
  <c r="I85"/>
  <c r="I161"/>
  <c r="I200"/>
  <c r="I97"/>
  <c r="I158"/>
  <c r="I45"/>
  <c r="I129"/>
  <c r="I15"/>
  <c r="I197"/>
  <c r="I25"/>
  <c r="O132" i="9"/>
  <c r="O130"/>
  <c r="O103"/>
  <c r="O106"/>
  <c r="O160"/>
  <c r="O97"/>
  <c r="O141"/>
  <c r="O139"/>
  <c r="I11" i="3"/>
  <c r="I67"/>
  <c r="I75"/>
  <c r="I111"/>
  <c r="I16"/>
  <c r="I94"/>
  <c r="I192"/>
  <c r="I13"/>
  <c r="I105"/>
  <c r="I99"/>
  <c r="I71"/>
  <c r="I89"/>
  <c r="O150" i="9"/>
  <c r="O194"/>
  <c r="O82"/>
  <c r="O119"/>
  <c r="O198"/>
  <c r="O189"/>
  <c r="O191"/>
  <c r="O201"/>
  <c r="O166"/>
  <c r="O133"/>
  <c r="I91" i="3"/>
  <c r="I187"/>
  <c r="I76"/>
  <c r="I108"/>
  <c r="I189"/>
  <c r="I22"/>
  <c r="I98"/>
  <c r="I2" l="1"/>
  <c r="J98"/>
  <c r="J22"/>
  <c r="P133" i="9"/>
  <c r="P201"/>
  <c r="P189"/>
  <c r="P119"/>
  <c r="P194"/>
  <c r="P139"/>
  <c r="P97"/>
  <c r="P106"/>
  <c r="P130"/>
  <c r="J25" i="3"/>
  <c r="J197"/>
  <c r="J15"/>
  <c r="J129"/>
  <c r="J45"/>
  <c r="J158"/>
  <c r="J97"/>
  <c r="J200"/>
  <c r="J183"/>
  <c r="J44"/>
  <c r="J166"/>
  <c r="J190"/>
  <c r="J65"/>
  <c r="J104"/>
  <c r="J62"/>
  <c r="J109"/>
  <c r="J61"/>
  <c r="P140" i="9"/>
  <c r="P149"/>
  <c r="P169"/>
  <c r="P176"/>
  <c r="P96"/>
  <c r="J28" i="3"/>
  <c r="J126"/>
  <c r="J182"/>
  <c r="J186"/>
  <c r="J39"/>
  <c r="J179"/>
  <c r="J139"/>
  <c r="J95"/>
  <c r="P131" i="9"/>
  <c r="P147"/>
  <c r="J184" i="3"/>
  <c r="J127"/>
  <c r="J155"/>
  <c r="J32"/>
  <c r="J57"/>
  <c r="J163"/>
  <c r="P84" i="9"/>
  <c r="P94"/>
  <c r="P92"/>
  <c r="P167"/>
  <c r="J114" i="3"/>
  <c r="J31"/>
  <c r="J77"/>
  <c r="J12"/>
  <c r="J100"/>
  <c r="J110"/>
  <c r="J26"/>
  <c r="J35"/>
  <c r="J59"/>
  <c r="P155" i="9"/>
  <c r="P105"/>
  <c r="P171"/>
  <c r="P108"/>
  <c r="P186"/>
  <c r="P146"/>
  <c r="P91"/>
  <c r="P83"/>
  <c r="P187"/>
  <c r="P137"/>
  <c r="P144"/>
  <c r="P188"/>
  <c r="J27" i="3"/>
  <c r="J194"/>
  <c r="P143" i="9"/>
  <c r="P7"/>
  <c r="P165"/>
  <c r="J124" i="3"/>
  <c r="J52"/>
  <c r="J48"/>
  <c r="J123"/>
  <c r="J199"/>
  <c r="J117"/>
  <c r="J113"/>
  <c r="J30"/>
  <c r="J119"/>
  <c r="J24"/>
  <c r="J83"/>
  <c r="J164"/>
  <c r="J29"/>
  <c r="P148" i="9"/>
  <c r="P157"/>
  <c r="P135"/>
  <c r="J40" i="3"/>
  <c r="J144"/>
  <c r="J63"/>
  <c r="J125"/>
  <c r="J82"/>
  <c r="J149"/>
  <c r="J175"/>
  <c r="J96"/>
  <c r="J86"/>
  <c r="J185"/>
  <c r="J69"/>
  <c r="J60"/>
  <c r="J172"/>
  <c r="J193"/>
  <c r="J157"/>
  <c r="P95" i="9"/>
  <c r="P161"/>
  <c r="P123"/>
  <c r="P181"/>
  <c r="P145"/>
  <c r="P109"/>
  <c r="P173"/>
  <c r="P192"/>
  <c r="P179"/>
  <c r="P121"/>
  <c r="P175"/>
  <c r="J133" i="3"/>
  <c r="J134"/>
  <c r="J50"/>
  <c r="P99" i="9"/>
  <c r="P168"/>
  <c r="P114"/>
  <c r="P128"/>
  <c r="P184"/>
  <c r="J34" i="3"/>
  <c r="J70"/>
  <c r="J120"/>
  <c r="J19"/>
  <c r="J102"/>
  <c r="J23"/>
  <c r="J56"/>
  <c r="J130"/>
  <c r="J142"/>
  <c r="P102" i="9"/>
  <c r="P178"/>
  <c r="P126"/>
  <c r="P90"/>
  <c r="P159"/>
  <c r="P163"/>
  <c r="J189" i="3"/>
  <c r="J108"/>
  <c r="J76"/>
  <c r="J187"/>
  <c r="J91"/>
  <c r="P166" i="9"/>
  <c r="P191"/>
  <c r="P198"/>
  <c r="P82"/>
  <c r="P150"/>
  <c r="J89" i="3"/>
  <c r="J71"/>
  <c r="J99"/>
  <c r="J105"/>
  <c r="J13"/>
  <c r="J192"/>
  <c r="J94"/>
  <c r="J16"/>
  <c r="J111"/>
  <c r="J75"/>
  <c r="J67"/>
  <c r="J11"/>
  <c r="P141" i="9"/>
  <c r="P160"/>
  <c r="P103"/>
  <c r="P132"/>
  <c r="J161" i="3"/>
  <c r="J85"/>
  <c r="J152"/>
  <c r="J8"/>
  <c r="J37"/>
  <c r="J78"/>
  <c r="J49"/>
  <c r="J181"/>
  <c r="J103"/>
  <c r="J64"/>
  <c r="J41"/>
  <c r="J150"/>
  <c r="J169"/>
  <c r="J90"/>
  <c r="J87"/>
  <c r="J174"/>
  <c r="J153"/>
  <c r="J146"/>
  <c r="J180"/>
  <c r="P200" i="9"/>
  <c r="P180"/>
  <c r="P118"/>
  <c r="P111"/>
  <c r="P190"/>
  <c r="P124"/>
  <c r="J46" i="3"/>
  <c r="J112"/>
  <c r="J156"/>
  <c r="J135"/>
  <c r="J188"/>
  <c r="J128"/>
  <c r="J147"/>
  <c r="P107" i="9"/>
  <c r="P162"/>
  <c r="J173" i="3"/>
  <c r="P164" i="9"/>
  <c r="P117"/>
  <c r="P185"/>
  <c r="P115"/>
  <c r="P120"/>
  <c r="P112"/>
  <c r="P98"/>
  <c r="P93"/>
  <c r="P170"/>
  <c r="P89"/>
  <c r="P193"/>
  <c r="J116" i="3"/>
  <c r="J131"/>
  <c r="J160"/>
  <c r="J145"/>
  <c r="P100" i="9"/>
  <c r="P86"/>
  <c r="P183"/>
  <c r="J88" i="3"/>
  <c r="J66"/>
  <c r="J196"/>
  <c r="J20"/>
  <c r="J80"/>
  <c r="J106"/>
  <c r="J84"/>
  <c r="P158" i="9"/>
  <c r="P172"/>
  <c r="J176" i="3"/>
  <c r="J18"/>
  <c r="J170"/>
  <c r="J47"/>
  <c r="J14"/>
  <c r="J58"/>
  <c r="J138"/>
  <c r="J55"/>
  <c r="J10"/>
  <c r="J7"/>
  <c r="J118"/>
  <c r="J53"/>
  <c r="J195"/>
  <c r="J79"/>
  <c r="J121"/>
  <c r="J72"/>
  <c r="J36"/>
  <c r="J137"/>
  <c r="J33"/>
  <c r="J141"/>
  <c r="J143"/>
  <c r="J73"/>
  <c r="J168"/>
  <c r="P87" i="9"/>
  <c r="P195"/>
  <c r="P177"/>
  <c r="J43" i="3"/>
  <c r="J17"/>
  <c r="J21"/>
  <c r="J171"/>
  <c r="J74"/>
  <c r="P136" i="9"/>
  <c r="P127"/>
  <c r="P101"/>
  <c r="J154" i="3"/>
  <c r="J101"/>
  <c r="J122"/>
  <c r="J81"/>
  <c r="J92"/>
  <c r="J115"/>
  <c r="J178"/>
  <c r="P196" i="9"/>
  <c r="P199"/>
  <c r="P85"/>
  <c r="P113"/>
  <c r="P138"/>
  <c r="J42" i="3"/>
  <c r="J140"/>
  <c r="J54"/>
  <c r="J132"/>
  <c r="J151"/>
  <c r="J136"/>
  <c r="J38"/>
  <c r="J107"/>
  <c r="J198"/>
  <c r="J51"/>
  <c r="J9"/>
  <c r="J165"/>
  <c r="P156" i="9"/>
  <c r="J68" i="3"/>
  <c r="J191"/>
  <c r="P110" i="9"/>
  <c r="P154"/>
  <c r="P197"/>
  <c r="P125"/>
  <c r="P104"/>
  <c r="J93" i="3"/>
  <c r="J177"/>
  <c r="J167"/>
  <c r="J159"/>
  <c r="J148"/>
  <c r="J162"/>
  <c r="P151" i="9"/>
  <c r="P152"/>
  <c r="P174"/>
  <c r="P116"/>
  <c r="P122"/>
  <c r="P88"/>
  <c r="P134"/>
  <c r="P182"/>
  <c r="P153"/>
  <c r="P142"/>
  <c r="P129"/>
  <c r="J2" i="3" l="1"/>
  <c r="Q129" i="9"/>
  <c r="Q142"/>
  <c r="Q153"/>
  <c r="Q182"/>
  <c r="Q134"/>
  <c r="Q88"/>
  <c r="K148" i="3"/>
  <c r="K167"/>
  <c r="K68"/>
  <c r="K165"/>
  <c r="K51"/>
  <c r="K107"/>
  <c r="K136"/>
  <c r="K132"/>
  <c r="K140"/>
  <c r="Q138" i="9"/>
  <c r="Q113"/>
  <c r="Q85"/>
  <c r="Q199"/>
  <c r="Q196"/>
  <c r="K115" i="3"/>
  <c r="K81"/>
  <c r="K101"/>
  <c r="K74"/>
  <c r="K21"/>
  <c r="K43"/>
  <c r="Q177" i="9"/>
  <c r="Q195"/>
  <c r="Q87"/>
  <c r="K168" i="3"/>
  <c r="K143"/>
  <c r="K33"/>
  <c r="K36"/>
  <c r="K121"/>
  <c r="K195"/>
  <c r="K7"/>
  <c r="K10"/>
  <c r="K138"/>
  <c r="K14"/>
  <c r="K170"/>
  <c r="K106"/>
  <c r="K20"/>
  <c r="K66"/>
  <c r="Q183" i="9"/>
  <c r="Q86"/>
  <c r="Q100"/>
  <c r="K160" i="3"/>
  <c r="K116"/>
  <c r="Q120" i="9"/>
  <c r="Q115"/>
  <c r="Q185"/>
  <c r="Q117"/>
  <c r="Q164"/>
  <c r="Q162"/>
  <c r="Q107"/>
  <c r="K128" i="3"/>
  <c r="K135"/>
  <c r="K112"/>
  <c r="K146"/>
  <c r="K174"/>
  <c r="K90"/>
  <c r="K150"/>
  <c r="K64"/>
  <c r="K103"/>
  <c r="K181"/>
  <c r="K37"/>
  <c r="K8"/>
  <c r="K152"/>
  <c r="K161"/>
  <c r="K11"/>
  <c r="K75"/>
  <c r="K16"/>
  <c r="K192"/>
  <c r="K105"/>
  <c r="K71"/>
  <c r="Q150" i="9"/>
  <c r="Q82"/>
  <c r="Q198"/>
  <c r="Q191"/>
  <c r="Q166"/>
  <c r="K91" i="3"/>
  <c r="K76"/>
  <c r="K189"/>
  <c r="K142"/>
  <c r="K56"/>
  <c r="K102"/>
  <c r="K120"/>
  <c r="K34"/>
  <c r="K134"/>
  <c r="Q145" i="9"/>
  <c r="Q181"/>
  <c r="Q123"/>
  <c r="Q161"/>
  <c r="Q95"/>
  <c r="K193" i="3"/>
  <c r="K60"/>
  <c r="K185"/>
  <c r="K96"/>
  <c r="K82"/>
  <c r="K63"/>
  <c r="K40"/>
  <c r="K164"/>
  <c r="K24"/>
  <c r="K30"/>
  <c r="K117"/>
  <c r="K123"/>
  <c r="K52"/>
  <c r="K27"/>
  <c r="Q188" i="9"/>
  <c r="Q144"/>
  <c r="Q137"/>
  <c r="Q186"/>
  <c r="Q108"/>
  <c r="Q171"/>
  <c r="Q105"/>
  <c r="Q155"/>
  <c r="K59" i="3"/>
  <c r="K26"/>
  <c r="K100"/>
  <c r="K77"/>
  <c r="K114"/>
  <c r="K163"/>
  <c r="K127"/>
  <c r="Q147" i="9"/>
  <c r="Q131"/>
  <c r="K139" i="3"/>
  <c r="K39"/>
  <c r="K182"/>
  <c r="K28"/>
  <c r="K61"/>
  <c r="K104"/>
  <c r="K190"/>
  <c r="K44"/>
  <c r="K183"/>
  <c r="K97"/>
  <c r="K45"/>
  <c r="K15"/>
  <c r="K25"/>
  <c r="Q130" i="9"/>
  <c r="Q106"/>
  <c r="Q97"/>
  <c r="Q139"/>
  <c r="Q122"/>
  <c r="Q116"/>
  <c r="Q174"/>
  <c r="Q152"/>
  <c r="Q151"/>
  <c r="K162" i="3"/>
  <c r="K159"/>
  <c r="K177"/>
  <c r="K93"/>
  <c r="Q104" i="9"/>
  <c r="Q125"/>
  <c r="Q197"/>
  <c r="Q154"/>
  <c r="Q110"/>
  <c r="K191" i="3"/>
  <c r="Q156" i="9"/>
  <c r="K9" i="3"/>
  <c r="K198"/>
  <c r="K38"/>
  <c r="K151"/>
  <c r="K54"/>
  <c r="K42"/>
  <c r="K178"/>
  <c r="K92"/>
  <c r="K122"/>
  <c r="K154"/>
  <c r="Q101" i="9"/>
  <c r="Q127"/>
  <c r="Q136"/>
  <c r="K171" i="3"/>
  <c r="K17"/>
  <c r="K73"/>
  <c r="K141"/>
  <c r="K137"/>
  <c r="K72"/>
  <c r="K79"/>
  <c r="K53"/>
  <c r="K118"/>
  <c r="K55"/>
  <c r="K58"/>
  <c r="K47"/>
  <c r="K18"/>
  <c r="K176"/>
  <c r="Q172" i="9"/>
  <c r="Q158"/>
  <c r="K84" i="3"/>
  <c r="K80"/>
  <c r="K196"/>
  <c r="K88"/>
  <c r="K145"/>
  <c r="K131"/>
  <c r="Q193" i="9"/>
  <c r="Q89"/>
  <c r="Q170"/>
  <c r="Q93"/>
  <c r="Q98"/>
  <c r="Q112"/>
  <c r="K173" i="3"/>
  <c r="K147"/>
  <c r="K188"/>
  <c r="K156"/>
  <c r="K46"/>
  <c r="Q124" i="9"/>
  <c r="Q190"/>
  <c r="Q111"/>
  <c r="Q118"/>
  <c r="Q180"/>
  <c r="Q200"/>
  <c r="K180" i="3"/>
  <c r="K153"/>
  <c r="K87"/>
  <c r="K169"/>
  <c r="K41"/>
  <c r="K49"/>
  <c r="K78"/>
  <c r="K85"/>
  <c r="Q132" i="9"/>
  <c r="Q103"/>
  <c r="Q160"/>
  <c r="Q141"/>
  <c r="K67" i="3"/>
  <c r="K111"/>
  <c r="K94"/>
  <c r="K13"/>
  <c r="K99"/>
  <c r="K89"/>
  <c r="K187"/>
  <c r="K108"/>
  <c r="Q163" i="9"/>
  <c r="Q159"/>
  <c r="Q90"/>
  <c r="Q126"/>
  <c r="Q178"/>
  <c r="Q102"/>
  <c r="K130" i="3"/>
  <c r="K23"/>
  <c r="K19"/>
  <c r="K70"/>
  <c r="Q184" i="9"/>
  <c r="Q128"/>
  <c r="Q114"/>
  <c r="Q168"/>
  <c r="Q99"/>
  <c r="K50" i="3"/>
  <c r="K133"/>
  <c r="Q175" i="9"/>
  <c r="Q121"/>
  <c r="Q179"/>
  <c r="Q192"/>
  <c r="Q173"/>
  <c r="Q109"/>
  <c r="K157" i="3"/>
  <c r="K172"/>
  <c r="K69"/>
  <c r="K86"/>
  <c r="K175"/>
  <c r="K149"/>
  <c r="K125"/>
  <c r="K144"/>
  <c r="Q135" i="9"/>
  <c r="Q157"/>
  <c r="Q148"/>
  <c r="K29" i="3"/>
  <c r="K83"/>
  <c r="K119"/>
  <c r="K113"/>
  <c r="K199"/>
  <c r="K48"/>
  <c r="K124"/>
  <c r="Q165" i="9"/>
  <c r="Q7"/>
  <c r="Q143"/>
  <c r="K194" i="3"/>
  <c r="Q187" i="9"/>
  <c r="Q83"/>
  <c r="Q91"/>
  <c r="Q146"/>
  <c r="K35" i="3"/>
  <c r="K110"/>
  <c r="K12"/>
  <c r="K31"/>
  <c r="Q167" i="9"/>
  <c r="Q92"/>
  <c r="Q94"/>
  <c r="Q84"/>
  <c r="K57" i="3"/>
  <c r="K32"/>
  <c r="K155"/>
  <c r="K184"/>
  <c r="K95"/>
  <c r="K179"/>
  <c r="K186"/>
  <c r="K126"/>
  <c r="Q96" i="9"/>
  <c r="Q176"/>
  <c r="Q169"/>
  <c r="Q149"/>
  <c r="Q140"/>
  <c r="K109" i="3"/>
  <c r="K62"/>
  <c r="K65"/>
  <c r="K166"/>
  <c r="K200"/>
  <c r="K158"/>
  <c r="K129"/>
  <c r="K197"/>
  <c r="Q194" i="9"/>
  <c r="Q119"/>
  <c r="Q189"/>
  <c r="Q201"/>
  <c r="Q133"/>
  <c r="K22" i="3"/>
  <c r="K98"/>
  <c r="K2" l="1"/>
  <c r="L22"/>
  <c r="R201" i="9"/>
  <c r="R119"/>
  <c r="L197" i="3"/>
  <c r="L158"/>
  <c r="L166"/>
  <c r="L62"/>
  <c r="R140" i="9"/>
  <c r="R169"/>
  <c r="R96"/>
  <c r="L186" i="3"/>
  <c r="L95"/>
  <c r="L155"/>
  <c r="L57"/>
  <c r="R94" i="9"/>
  <c r="R167"/>
  <c r="L12" i="3"/>
  <c r="L35"/>
  <c r="R91" i="9"/>
  <c r="R187"/>
  <c r="R143"/>
  <c r="R165"/>
  <c r="L48" i="3"/>
  <c r="L113"/>
  <c r="L83"/>
  <c r="R148" i="9"/>
  <c r="R135"/>
  <c r="L125" i="3"/>
  <c r="L175"/>
  <c r="L69"/>
  <c r="L157"/>
  <c r="R173" i="9"/>
  <c r="R179"/>
  <c r="R175"/>
  <c r="L50" i="3"/>
  <c r="R168" i="9"/>
  <c r="R128"/>
  <c r="L70" i="3"/>
  <c r="L23"/>
  <c r="R102" i="9"/>
  <c r="R126"/>
  <c r="R159"/>
  <c r="L108" i="3"/>
  <c r="L89"/>
  <c r="L13"/>
  <c r="L111"/>
  <c r="R141" i="9"/>
  <c r="R103"/>
  <c r="L85" i="3"/>
  <c r="L49"/>
  <c r="L169"/>
  <c r="L153"/>
  <c r="R200" i="9"/>
  <c r="R118"/>
  <c r="R190"/>
  <c r="L46" i="3"/>
  <c r="L188"/>
  <c r="L173"/>
  <c r="R98" i="9"/>
  <c r="R170"/>
  <c r="R193"/>
  <c r="L145" i="3"/>
  <c r="L196"/>
  <c r="L84"/>
  <c r="R172" i="9"/>
  <c r="L18" i="3"/>
  <c r="L58"/>
  <c r="L118"/>
  <c r="L79"/>
  <c r="L137"/>
  <c r="L73"/>
  <c r="L171"/>
  <c r="R127" i="9"/>
  <c r="L154" i="3"/>
  <c r="L92"/>
  <c r="L42"/>
  <c r="L151"/>
  <c r="L198"/>
  <c r="R156" i="9"/>
  <c r="R110"/>
  <c r="R197"/>
  <c r="R104"/>
  <c r="L177" i="3"/>
  <c r="L162"/>
  <c r="R152" i="9"/>
  <c r="R116"/>
  <c r="R139"/>
  <c r="R106"/>
  <c r="L25" i="3"/>
  <c r="L45"/>
  <c r="L183"/>
  <c r="L190"/>
  <c r="L61"/>
  <c r="L182"/>
  <c r="L139"/>
  <c r="R147" i="9"/>
  <c r="L163" i="3"/>
  <c r="L77"/>
  <c r="L26"/>
  <c r="R155" i="9"/>
  <c r="R171"/>
  <c r="R186"/>
  <c r="R144"/>
  <c r="L27" i="3"/>
  <c r="L123"/>
  <c r="L30"/>
  <c r="L164"/>
  <c r="L63"/>
  <c r="L96"/>
  <c r="L60"/>
  <c r="R95" i="9"/>
  <c r="R123"/>
  <c r="R145"/>
  <c r="L34" i="3"/>
  <c r="L102"/>
  <c r="L142"/>
  <c r="L76"/>
  <c r="R166" i="9"/>
  <c r="R198"/>
  <c r="R150"/>
  <c r="L105" i="3"/>
  <c r="L16"/>
  <c r="L11"/>
  <c r="L152"/>
  <c r="L37"/>
  <c r="L103"/>
  <c r="L150"/>
  <c r="L174"/>
  <c r="L112"/>
  <c r="L128"/>
  <c r="R162" i="9"/>
  <c r="R117"/>
  <c r="R115"/>
  <c r="L116" i="3"/>
  <c r="R100" i="9"/>
  <c r="R183"/>
  <c r="L20" i="3"/>
  <c r="L170"/>
  <c r="L138"/>
  <c r="L195"/>
  <c r="L36"/>
  <c r="L143"/>
  <c r="R87" i="9"/>
  <c r="R177"/>
  <c r="L21" i="3"/>
  <c r="L101"/>
  <c r="L115"/>
  <c r="R199" i="9"/>
  <c r="R113"/>
  <c r="L140" i="3"/>
  <c r="L136"/>
  <c r="L51"/>
  <c r="L148"/>
  <c r="R153" i="9"/>
  <c r="L98" i="3"/>
  <c r="R133" i="9"/>
  <c r="R189"/>
  <c r="R194"/>
  <c r="L129" i="3"/>
  <c r="L200"/>
  <c r="L65"/>
  <c r="L109"/>
  <c r="R149" i="9"/>
  <c r="R176"/>
  <c r="L126" i="3"/>
  <c r="L179"/>
  <c r="L184"/>
  <c r="L32"/>
  <c r="R84" i="9"/>
  <c r="R92"/>
  <c r="L31" i="3"/>
  <c r="L110"/>
  <c r="R146" i="9"/>
  <c r="R83"/>
  <c r="L194" i="3"/>
  <c r="R7" i="9"/>
  <c r="L124" i="3"/>
  <c r="L199"/>
  <c r="L119"/>
  <c r="L29"/>
  <c r="R157" i="9"/>
  <c r="L144" i="3"/>
  <c r="L149"/>
  <c r="L86"/>
  <c r="L172"/>
  <c r="R109" i="9"/>
  <c r="R192"/>
  <c r="R121"/>
  <c r="L133" i="3"/>
  <c r="R99" i="9"/>
  <c r="R114"/>
  <c r="R184"/>
  <c r="L19" i="3"/>
  <c r="L130"/>
  <c r="R178" i="9"/>
  <c r="R90"/>
  <c r="R163"/>
  <c r="L187" i="3"/>
  <c r="L99"/>
  <c r="L94"/>
  <c r="L67"/>
  <c r="R160" i="9"/>
  <c r="R132"/>
  <c r="L78" i="3"/>
  <c r="L41"/>
  <c r="L87"/>
  <c r="L180"/>
  <c r="R180" i="9"/>
  <c r="R111"/>
  <c r="R124"/>
  <c r="L156" i="3"/>
  <c r="L147"/>
  <c r="R112" i="9"/>
  <c r="R93"/>
  <c r="R89"/>
  <c r="L131" i="3"/>
  <c r="L88"/>
  <c r="L80"/>
  <c r="R158" i="9"/>
  <c r="L176" i="3"/>
  <c r="L47"/>
  <c r="L55"/>
  <c r="L53"/>
  <c r="L72"/>
  <c r="L141"/>
  <c r="L17"/>
  <c r="R136" i="9"/>
  <c r="R101"/>
  <c r="L122" i="3"/>
  <c r="L178"/>
  <c r="L54"/>
  <c r="L38"/>
  <c r="L9"/>
  <c r="L191"/>
  <c r="R154" i="9"/>
  <c r="R125"/>
  <c r="L93" i="3"/>
  <c r="L159"/>
  <c r="R151" i="9"/>
  <c r="R174"/>
  <c r="R122"/>
  <c r="R97"/>
  <c r="R130"/>
  <c r="L15" i="3"/>
  <c r="L97"/>
  <c r="L44"/>
  <c r="L104"/>
  <c r="L28"/>
  <c r="L39"/>
  <c r="R131" i="9"/>
  <c r="L127" i="3"/>
  <c r="L114"/>
  <c r="L100"/>
  <c r="L59"/>
  <c r="R105" i="9"/>
  <c r="R108"/>
  <c r="R137"/>
  <c r="R188"/>
  <c r="L52" i="3"/>
  <c r="L117"/>
  <c r="L24"/>
  <c r="L40"/>
  <c r="L82"/>
  <c r="L185"/>
  <c r="L193"/>
  <c r="R161" i="9"/>
  <c r="R181"/>
  <c r="L134" i="3"/>
  <c r="L120"/>
  <c r="L56"/>
  <c r="L189"/>
  <c r="L91"/>
  <c r="R191" i="9"/>
  <c r="R82"/>
  <c r="L71" i="3"/>
  <c r="L192"/>
  <c r="L75"/>
  <c r="L161"/>
  <c r="L8"/>
  <c r="L181"/>
  <c r="L64"/>
  <c r="L90"/>
  <c r="L146"/>
  <c r="L135"/>
  <c r="R107" i="9"/>
  <c r="R164"/>
  <c r="R185"/>
  <c r="R120"/>
  <c r="L160" i="3"/>
  <c r="R86" i="9"/>
  <c r="L66" i="3"/>
  <c r="L106"/>
  <c r="L14"/>
  <c r="L10"/>
  <c r="L7"/>
  <c r="L121"/>
  <c r="L33"/>
  <c r="L168"/>
  <c r="R195" i="9"/>
  <c r="L43" i="3"/>
  <c r="L74"/>
  <c r="L81"/>
  <c r="R196" i="9"/>
  <c r="R85"/>
  <c r="R138"/>
  <c r="L132" i="3"/>
  <c r="L107"/>
  <c r="L165"/>
  <c r="L167"/>
  <c r="R88" i="9"/>
  <c r="R182"/>
  <c r="R142"/>
  <c r="L68" i="3"/>
  <c r="R134" i="9"/>
  <c r="R129"/>
  <c r="L2" i="3" l="1"/>
  <c r="S134" i="9"/>
  <c r="S142"/>
  <c r="S88"/>
  <c r="M165" i="3"/>
  <c r="M132"/>
  <c r="S85" i="9"/>
  <c r="M81" i="3"/>
  <c r="M43"/>
  <c r="M168"/>
  <c r="M121"/>
  <c r="M7"/>
  <c r="M14"/>
  <c r="M66"/>
  <c r="M160"/>
  <c r="S185" i="9"/>
  <c r="S107"/>
  <c r="M146" i="3"/>
  <c r="M64"/>
  <c r="M8"/>
  <c r="M75"/>
  <c r="M71"/>
  <c r="S191" i="9"/>
  <c r="M189" i="3"/>
  <c r="M120"/>
  <c r="S181" i="9"/>
  <c r="M193" i="3"/>
  <c r="M82"/>
  <c r="M24"/>
  <c r="M52"/>
  <c r="S137" i="9"/>
  <c r="S105"/>
  <c r="M100" i="3"/>
  <c r="M127"/>
  <c r="M39"/>
  <c r="M104"/>
  <c r="M97"/>
  <c r="S130" i="9"/>
  <c r="S122"/>
  <c r="S151"/>
  <c r="M93" i="3"/>
  <c r="S154" i="9"/>
  <c r="M9" i="3"/>
  <c r="M54"/>
  <c r="M122"/>
  <c r="S136" i="9"/>
  <c r="M141" i="3"/>
  <c r="M53"/>
  <c r="M47"/>
  <c r="S158" i="9"/>
  <c r="M88" i="3"/>
  <c r="S89" i="9"/>
  <c r="S112"/>
  <c r="M156" i="3"/>
  <c r="S111" i="9"/>
  <c r="M180" i="3"/>
  <c r="M41"/>
  <c r="S132" i="9"/>
  <c r="M67" i="3"/>
  <c r="M99"/>
  <c r="S163" i="9"/>
  <c r="S178"/>
  <c r="M19" i="3"/>
  <c r="S114" i="9"/>
  <c r="M133" i="3"/>
  <c r="S192" i="9"/>
  <c r="M172" i="3"/>
  <c r="M149"/>
  <c r="S157" i="9"/>
  <c r="M119" i="3"/>
  <c r="M124"/>
  <c r="M194"/>
  <c r="S146" i="9"/>
  <c r="M31" i="3"/>
  <c r="S84" i="9"/>
  <c r="M184" i="3"/>
  <c r="M126"/>
  <c r="S149" i="9"/>
  <c r="M65" i="3"/>
  <c r="M129"/>
  <c r="S189" i="9"/>
  <c r="M98" i="3"/>
  <c r="M148"/>
  <c r="M136"/>
  <c r="S113" i="9"/>
  <c r="M115" i="3"/>
  <c r="M21"/>
  <c r="S87" i="9"/>
  <c r="M36" i="3"/>
  <c r="M138"/>
  <c r="M20"/>
  <c r="S100" i="9"/>
  <c r="S115"/>
  <c r="S162"/>
  <c r="M112" i="3"/>
  <c r="M150"/>
  <c r="M37"/>
  <c r="M11"/>
  <c r="M105"/>
  <c r="S198" i="9"/>
  <c r="M76" i="3"/>
  <c r="M102"/>
  <c r="S145" i="9"/>
  <c r="S95"/>
  <c r="M96" i="3"/>
  <c r="M164"/>
  <c r="M123"/>
  <c r="S144" i="9"/>
  <c r="S171"/>
  <c r="M26" i="3"/>
  <c r="M163"/>
  <c r="M139"/>
  <c r="M61"/>
  <c r="M183"/>
  <c r="M25"/>
  <c r="S139" i="9"/>
  <c r="S152"/>
  <c r="M177" i="3"/>
  <c r="S197" i="9"/>
  <c r="S156"/>
  <c r="M151" i="3"/>
  <c r="M92"/>
  <c r="S127" i="9"/>
  <c r="M73" i="3"/>
  <c r="M79"/>
  <c r="M58"/>
  <c r="S172" i="9"/>
  <c r="M196" i="3"/>
  <c r="S193" i="9"/>
  <c r="S98"/>
  <c r="M188" i="3"/>
  <c r="S190" i="9"/>
  <c r="S200"/>
  <c r="M169" i="3"/>
  <c r="M85"/>
  <c r="S141" i="9"/>
  <c r="M13" i="3"/>
  <c r="M108"/>
  <c r="S126" i="9"/>
  <c r="M23" i="3"/>
  <c r="S128" i="9"/>
  <c r="M50" i="3"/>
  <c r="S179" i="9"/>
  <c r="M157" i="3"/>
  <c r="M175"/>
  <c r="S135" i="9"/>
  <c r="M83" i="3"/>
  <c r="M48"/>
  <c r="S143" i="9"/>
  <c r="S91"/>
  <c r="M12" i="3"/>
  <c r="S94" i="9"/>
  <c r="M155" i="3"/>
  <c r="M186"/>
  <c r="S169" i="9"/>
  <c r="M62" i="3"/>
  <c r="M158"/>
  <c r="S119" i="9"/>
  <c r="M22" i="3"/>
  <c r="S201" i="9"/>
  <c r="S129"/>
  <c r="M68" i="3"/>
  <c r="S182" i="9"/>
  <c r="M167" i="3"/>
  <c r="M107"/>
  <c r="S138" i="9"/>
  <c r="S196"/>
  <c r="M74" i="3"/>
  <c r="S195" i="9"/>
  <c r="M33" i="3"/>
  <c r="M10"/>
  <c r="M106"/>
  <c r="S86" i="9"/>
  <c r="S120"/>
  <c r="S164"/>
  <c r="M135" i="3"/>
  <c r="M90"/>
  <c r="M181"/>
  <c r="M161"/>
  <c r="M192"/>
  <c r="S82" i="9"/>
  <c r="M91" i="3"/>
  <c r="M56"/>
  <c r="M134"/>
  <c r="S161" i="9"/>
  <c r="M185" i="3"/>
  <c r="M40"/>
  <c r="M117"/>
  <c r="S188" i="9"/>
  <c r="S108"/>
  <c r="M59" i="3"/>
  <c r="M114"/>
  <c r="S131" i="9"/>
  <c r="M28" i="3"/>
  <c r="M44"/>
  <c r="M15"/>
  <c r="S97" i="9"/>
  <c r="S174"/>
  <c r="M159" i="3"/>
  <c r="S125" i="9"/>
  <c r="M191" i="3"/>
  <c r="M38"/>
  <c r="M178"/>
  <c r="S101" i="9"/>
  <c r="M17" i="3"/>
  <c r="M72"/>
  <c r="M55"/>
  <c r="M176"/>
  <c r="M80"/>
  <c r="M131"/>
  <c r="S93" i="9"/>
  <c r="M147" i="3"/>
  <c r="S124" i="9"/>
  <c r="S180"/>
  <c r="M87" i="3"/>
  <c r="M78"/>
  <c r="S160" i="9"/>
  <c r="M94" i="3"/>
  <c r="M187"/>
  <c r="S90" i="9"/>
  <c r="M130" i="3"/>
  <c r="S184" i="9"/>
  <c r="S99"/>
  <c r="S121"/>
  <c r="S109"/>
  <c r="M86" i="3"/>
  <c r="M144"/>
  <c r="M29"/>
  <c r="M199"/>
  <c r="S7" i="9"/>
  <c r="S83"/>
  <c r="M110" i="3"/>
  <c r="S92" i="9"/>
  <c r="M32" i="3"/>
  <c r="M179"/>
  <c r="S176" i="9"/>
  <c r="M109" i="3"/>
  <c r="M200"/>
  <c r="S194" i="9"/>
  <c r="S133"/>
  <c r="S153"/>
  <c r="M51" i="3"/>
  <c r="M140"/>
  <c r="S199" i="9"/>
  <c r="M101" i="3"/>
  <c r="S177" i="9"/>
  <c r="M143" i="3"/>
  <c r="M195"/>
  <c r="M170"/>
  <c r="S183" i="9"/>
  <c r="M116" i="3"/>
  <c r="S117" i="9"/>
  <c r="M128" i="3"/>
  <c r="M174"/>
  <c r="M103"/>
  <c r="M152"/>
  <c r="M16"/>
  <c r="S150" i="9"/>
  <c r="S166"/>
  <c r="M142" i="3"/>
  <c r="M34"/>
  <c r="S123" i="9"/>
  <c r="M60" i="3"/>
  <c r="M63"/>
  <c r="M30"/>
  <c r="M27"/>
  <c r="S186" i="9"/>
  <c r="S155"/>
  <c r="M77" i="3"/>
  <c r="S147" i="9"/>
  <c r="M182" i="3"/>
  <c r="M190"/>
  <c r="M45"/>
  <c r="S106" i="9"/>
  <c r="S116"/>
  <c r="M162" i="3"/>
  <c r="S104" i="9"/>
  <c r="S110"/>
  <c r="M198" i="3"/>
  <c r="M42"/>
  <c r="M154"/>
  <c r="M171"/>
  <c r="M137"/>
  <c r="M118"/>
  <c r="M18"/>
  <c r="M84"/>
  <c r="M145"/>
  <c r="S170" i="9"/>
  <c r="M173" i="3"/>
  <c r="M46"/>
  <c r="S118" i="9"/>
  <c r="M153" i="3"/>
  <c r="M49"/>
  <c r="S103" i="9"/>
  <c r="M111" i="3"/>
  <c r="M89"/>
  <c r="S159" i="9"/>
  <c r="S102"/>
  <c r="M70" i="3"/>
  <c r="S168" i="9"/>
  <c r="S175"/>
  <c r="S173"/>
  <c r="M69" i="3"/>
  <c r="M125"/>
  <c r="S148" i="9"/>
  <c r="M113" i="3"/>
  <c r="S165" i="9"/>
  <c r="S187"/>
  <c r="M35" i="3"/>
  <c r="S167" i="9"/>
  <c r="M57" i="3"/>
  <c r="M95"/>
  <c r="S96" i="9"/>
  <c r="S140"/>
  <c r="M166" i="3"/>
  <c r="M197"/>
  <c r="M2" l="1"/>
  <c r="N166"/>
  <c r="T96" i="9"/>
  <c r="N57" i="3"/>
  <c r="N35"/>
  <c r="T165" i="9"/>
  <c r="T148"/>
  <c r="N69" i="3"/>
  <c r="T175" i="9"/>
  <c r="N70" i="3"/>
  <c r="T159" i="9"/>
  <c r="N111" i="3"/>
  <c r="N49"/>
  <c r="T118" i="9"/>
  <c r="N173" i="3"/>
  <c r="N145"/>
  <c r="N18"/>
  <c r="N137"/>
  <c r="N154"/>
  <c r="N198"/>
  <c r="T104" i="9"/>
  <c r="T116"/>
  <c r="N45" i="3"/>
  <c r="N182"/>
  <c r="N77"/>
  <c r="T186" i="9"/>
  <c r="N30" i="3"/>
  <c r="N60"/>
  <c r="N34"/>
  <c r="T166" i="9"/>
  <c r="N16" i="3"/>
  <c r="N103"/>
  <c r="N128"/>
  <c r="N116"/>
  <c r="N170"/>
  <c r="N143"/>
  <c r="N101"/>
  <c r="N140"/>
  <c r="T153" i="9"/>
  <c r="T194"/>
  <c r="N109" i="3"/>
  <c r="N179"/>
  <c r="T92" i="9"/>
  <c r="T83"/>
  <c r="N199" i="3"/>
  <c r="N144"/>
  <c r="T109" i="9"/>
  <c r="T99"/>
  <c r="N130" i="3"/>
  <c r="N187"/>
  <c r="T160" i="9"/>
  <c r="N87" i="3"/>
  <c r="T124" i="9"/>
  <c r="T93"/>
  <c r="N80" i="3"/>
  <c r="N55"/>
  <c r="N17"/>
  <c r="N178"/>
  <c r="N191"/>
  <c r="N159"/>
  <c r="T97" i="9"/>
  <c r="N44" i="3"/>
  <c r="T131" i="9"/>
  <c r="N59" i="3"/>
  <c r="T188" i="9"/>
  <c r="N40" i="3"/>
  <c r="T161" i="9"/>
  <c r="N56" i="3"/>
  <c r="T82" i="9"/>
  <c r="N161" i="3"/>
  <c r="N90"/>
  <c r="T164" i="9"/>
  <c r="T86"/>
  <c r="N10" i="3"/>
  <c r="T195" i="9"/>
  <c r="T196"/>
  <c r="N107" i="3"/>
  <c r="T182" i="9"/>
  <c r="T129"/>
  <c r="N22" i="3"/>
  <c r="N158"/>
  <c r="T169" i="9"/>
  <c r="N155" i="3"/>
  <c r="N12"/>
  <c r="T143" i="9"/>
  <c r="N83" i="3"/>
  <c r="N175"/>
  <c r="T179" i="9"/>
  <c r="T128"/>
  <c r="T126"/>
  <c r="N13" i="3"/>
  <c r="N85"/>
  <c r="T200" i="9"/>
  <c r="N188" i="3"/>
  <c r="T193" i="9"/>
  <c r="T172"/>
  <c r="N79" i="3"/>
  <c r="T127" i="9"/>
  <c r="N151" i="3"/>
  <c r="T197" i="9"/>
  <c r="T152"/>
  <c r="N25" i="3"/>
  <c r="N61"/>
  <c r="N163"/>
  <c r="T171" i="9"/>
  <c r="N123" i="3"/>
  <c r="N96"/>
  <c r="T145" i="9"/>
  <c r="N76" i="3"/>
  <c r="N105"/>
  <c r="N37"/>
  <c r="N112"/>
  <c r="T115" i="9"/>
  <c r="N20" i="3"/>
  <c r="N36"/>
  <c r="N21"/>
  <c r="T113" i="9"/>
  <c r="N148" i="3"/>
  <c r="T189" i="9"/>
  <c r="N65" i="3"/>
  <c r="N126"/>
  <c r="T84" i="9"/>
  <c r="T146"/>
  <c r="N124" i="3"/>
  <c r="T157" i="9"/>
  <c r="N172" i="3"/>
  <c r="N133"/>
  <c r="N19"/>
  <c r="T163" i="9"/>
  <c r="N67" i="3"/>
  <c r="N41"/>
  <c r="T111" i="9"/>
  <c r="T112"/>
  <c r="N88" i="3"/>
  <c r="N47"/>
  <c r="N141"/>
  <c r="N122"/>
  <c r="N9"/>
  <c r="N93"/>
  <c r="T122" i="9"/>
  <c r="N97" i="3"/>
  <c r="N39"/>
  <c r="N100"/>
  <c r="T137" i="9"/>
  <c r="N24" i="3"/>
  <c r="N193"/>
  <c r="N120"/>
  <c r="T191" i="9"/>
  <c r="N75" i="3"/>
  <c r="N64"/>
  <c r="T107" i="9"/>
  <c r="N160" i="3"/>
  <c r="N14"/>
  <c r="N7"/>
  <c r="N168"/>
  <c r="N81"/>
  <c r="N132"/>
  <c r="T88" i="9"/>
  <c r="T134"/>
  <c r="N197" i="3"/>
  <c r="T140" i="9"/>
  <c r="N95" i="3"/>
  <c r="T167" i="9"/>
  <c r="T187"/>
  <c r="N113" i="3"/>
  <c r="N125"/>
  <c r="T173" i="9"/>
  <c r="T168"/>
  <c r="T102"/>
  <c r="N89" i="3"/>
  <c r="T103" i="9"/>
  <c r="N153" i="3"/>
  <c r="N46"/>
  <c r="T170" i="9"/>
  <c r="N84" i="3"/>
  <c r="N118"/>
  <c r="N171"/>
  <c r="N42"/>
  <c r="T110" i="9"/>
  <c r="N162" i="3"/>
  <c r="T106" i="9"/>
  <c r="N190" i="3"/>
  <c r="T147" i="9"/>
  <c r="T155"/>
  <c r="N27" i="3"/>
  <c r="N63"/>
  <c r="T123" i="9"/>
  <c r="N142" i="3"/>
  <c r="T150" i="9"/>
  <c r="N152" i="3"/>
  <c r="N174"/>
  <c r="T117" i="9"/>
  <c r="T183"/>
  <c r="N195" i="3"/>
  <c r="T177" i="9"/>
  <c r="T199"/>
  <c r="N51" i="3"/>
  <c r="T133" i="9"/>
  <c r="N200" i="3"/>
  <c r="T176" i="9"/>
  <c r="N32" i="3"/>
  <c r="N110"/>
  <c r="T7" i="9"/>
  <c r="N29" i="3"/>
  <c r="N86"/>
  <c r="T121" i="9"/>
  <c r="T184"/>
  <c r="T90"/>
  <c r="N94" i="3"/>
  <c r="N78"/>
  <c r="T180" i="9"/>
  <c r="N147" i="3"/>
  <c r="N131"/>
  <c r="N176"/>
  <c r="N72"/>
  <c r="T101" i="9"/>
  <c r="N38" i="3"/>
  <c r="T125" i="9"/>
  <c r="T174"/>
  <c r="N15" i="3"/>
  <c r="N28"/>
  <c r="N114"/>
  <c r="T108" i="9"/>
  <c r="N117" i="3"/>
  <c r="N185"/>
  <c r="N134"/>
  <c r="N91"/>
  <c r="N192"/>
  <c r="N181"/>
  <c r="N135"/>
  <c r="T120" i="9"/>
  <c r="N106" i="3"/>
  <c r="N33"/>
  <c r="N74"/>
  <c r="T138" i="9"/>
  <c r="N167" i="3"/>
  <c r="N68"/>
  <c r="T201" i="9"/>
  <c r="T119"/>
  <c r="N62" i="3"/>
  <c r="N186"/>
  <c r="T94" i="9"/>
  <c r="T91"/>
  <c r="N48" i="3"/>
  <c r="T135" i="9"/>
  <c r="N157" i="3"/>
  <c r="N50"/>
  <c r="N23"/>
  <c r="N108"/>
  <c r="T141" i="9"/>
  <c r="N169" i="3"/>
  <c r="T190" i="9"/>
  <c r="T98"/>
  <c r="N196" i="3"/>
  <c r="N58"/>
  <c r="N73"/>
  <c r="N92"/>
  <c r="T156" i="9"/>
  <c r="N177" i="3"/>
  <c r="T139" i="9"/>
  <c r="N183" i="3"/>
  <c r="N139"/>
  <c r="N26"/>
  <c r="T144" i="9"/>
  <c r="N164" i="3"/>
  <c r="T95" i="9"/>
  <c r="N102" i="3"/>
  <c r="T198" i="9"/>
  <c r="N11" i="3"/>
  <c r="N150"/>
  <c r="T162" i="9"/>
  <c r="T100"/>
  <c r="N138" i="3"/>
  <c r="T87" i="9"/>
  <c r="N115" i="3"/>
  <c r="N136"/>
  <c r="N98"/>
  <c r="N129"/>
  <c r="T149" i="9"/>
  <c r="N184" i="3"/>
  <c r="N31"/>
  <c r="N194"/>
  <c r="N119"/>
  <c r="N149"/>
  <c r="T192" i="9"/>
  <c r="T114"/>
  <c r="T178"/>
  <c r="N99" i="3"/>
  <c r="T132" i="9"/>
  <c r="N180" i="3"/>
  <c r="N156"/>
  <c r="T89" i="9"/>
  <c r="T158"/>
  <c r="N53" i="3"/>
  <c r="T136" i="9"/>
  <c r="N54" i="3"/>
  <c r="T154" i="9"/>
  <c r="T151"/>
  <c r="T130"/>
  <c r="N104" i="3"/>
  <c r="N127"/>
  <c r="T105" i="9"/>
  <c r="N52" i="3"/>
  <c r="N82"/>
  <c r="T181" i="9"/>
  <c r="N189" i="3"/>
  <c r="N71"/>
  <c r="N8"/>
  <c r="N146"/>
  <c r="T185" i="9"/>
  <c r="N66" i="3"/>
  <c r="N121"/>
  <c r="N43"/>
  <c r="T85" i="9"/>
  <c r="N165" i="3"/>
  <c r="T142" i="9"/>
  <c r="N2" i="3" l="1"/>
  <c r="O165"/>
  <c r="O43"/>
  <c r="O66"/>
  <c r="O146"/>
  <c r="O71"/>
  <c r="U181" i="9"/>
  <c r="O52" i="3"/>
  <c r="O127"/>
  <c r="U130" i="9"/>
  <c r="U154"/>
  <c r="U136"/>
  <c r="U158"/>
  <c r="O156" i="3"/>
  <c r="U132" i="9"/>
  <c r="U178"/>
  <c r="U192"/>
  <c r="O119" i="3"/>
  <c r="O31"/>
  <c r="U149" i="9"/>
  <c r="O98" i="3"/>
  <c r="O115"/>
  <c r="O138"/>
  <c r="U162" i="9"/>
  <c r="O11" i="3"/>
  <c r="O102"/>
  <c r="O164"/>
  <c r="O26"/>
  <c r="O183"/>
  <c r="O177"/>
  <c r="O92"/>
  <c r="O58"/>
  <c r="U98" i="9"/>
  <c r="O169" i="3"/>
  <c r="O108"/>
  <c r="O50"/>
  <c r="U135" i="9"/>
  <c r="U91"/>
  <c r="O186" i="3"/>
  <c r="U119" i="9"/>
  <c r="O68" i="3"/>
  <c r="U138" i="9"/>
  <c r="O33" i="3"/>
  <c r="U120" i="9"/>
  <c r="O181" i="3"/>
  <c r="O91"/>
  <c r="O185"/>
  <c r="U108" i="9"/>
  <c r="O28" i="3"/>
  <c r="U174" i="9"/>
  <c r="O38" i="3"/>
  <c r="O72"/>
  <c r="O131"/>
  <c r="U180" i="9"/>
  <c r="O94" i="3"/>
  <c r="U184" i="9"/>
  <c r="O86" i="3"/>
  <c r="U7" i="9"/>
  <c r="O32" i="3"/>
  <c r="O200"/>
  <c r="O51"/>
  <c r="U177" i="9"/>
  <c r="U183"/>
  <c r="O174" i="3"/>
  <c r="U150" i="9"/>
  <c r="U123"/>
  <c r="O27" i="3"/>
  <c r="U147" i="9"/>
  <c r="U106"/>
  <c r="U110"/>
  <c r="O171" i="3"/>
  <c r="O84"/>
  <c r="O46"/>
  <c r="U103" i="9"/>
  <c r="U102"/>
  <c r="U173"/>
  <c r="O113" i="3"/>
  <c r="U167" i="9"/>
  <c r="U140"/>
  <c r="U134"/>
  <c r="O132" i="3"/>
  <c r="O168"/>
  <c r="O7"/>
  <c r="O160"/>
  <c r="O64"/>
  <c r="U191" i="9"/>
  <c r="O193" i="3"/>
  <c r="U137" i="9"/>
  <c r="O39" i="3"/>
  <c r="U122" i="9"/>
  <c r="O9" i="3"/>
  <c r="O141"/>
  <c r="O88"/>
  <c r="U111" i="9"/>
  <c r="O67" i="3"/>
  <c r="O19"/>
  <c r="O172"/>
  <c r="O124"/>
  <c r="U84" i="9"/>
  <c r="O65" i="3"/>
  <c r="O148"/>
  <c r="O21"/>
  <c r="O20"/>
  <c r="O112"/>
  <c r="O105"/>
  <c r="U145" i="9"/>
  <c r="O123" i="3"/>
  <c r="O163"/>
  <c r="O25"/>
  <c r="U197" i="9"/>
  <c r="U127"/>
  <c r="U172"/>
  <c r="O188" i="3"/>
  <c r="O85"/>
  <c r="U126" i="9"/>
  <c r="U179"/>
  <c r="O83" i="3"/>
  <c r="O12"/>
  <c r="U169" i="9"/>
  <c r="O22" i="3"/>
  <c r="U182" i="9"/>
  <c r="U196"/>
  <c r="O10" i="3"/>
  <c r="U164" i="9"/>
  <c r="O161" i="3"/>
  <c r="O56"/>
  <c r="O40"/>
  <c r="O59"/>
  <c r="O44"/>
  <c r="O159"/>
  <c r="O178"/>
  <c r="O55"/>
  <c r="U93" i="9"/>
  <c r="O87" i="3"/>
  <c r="O187"/>
  <c r="U99" i="9"/>
  <c r="O144" i="3"/>
  <c r="U83" i="9"/>
  <c r="O179" i="3"/>
  <c r="U194" i="9"/>
  <c r="O140" i="3"/>
  <c r="O143"/>
  <c r="O116"/>
  <c r="O103"/>
  <c r="U166" i="9"/>
  <c r="O60" i="3"/>
  <c r="U186" i="9"/>
  <c r="O182" i="3"/>
  <c r="U116" i="9"/>
  <c r="O198" i="3"/>
  <c r="O137"/>
  <c r="O145"/>
  <c r="U118" i="9"/>
  <c r="O111" i="3"/>
  <c r="O70"/>
  <c r="O69"/>
  <c r="U165" i="9"/>
  <c r="O57" i="3"/>
  <c r="O166"/>
  <c r="U148" i="9"/>
  <c r="U96"/>
  <c r="U142"/>
  <c r="U85"/>
  <c r="O121" i="3"/>
  <c r="U185" i="9"/>
  <c r="O8" i="3"/>
  <c r="O189"/>
  <c r="O82"/>
  <c r="U105" i="9"/>
  <c r="O104" i="3"/>
  <c r="U151" i="9"/>
  <c r="O54" i="3"/>
  <c r="O53"/>
  <c r="U89" i="9"/>
  <c r="O180" i="3"/>
  <c r="O99"/>
  <c r="U114" i="9"/>
  <c r="O149" i="3"/>
  <c r="O194"/>
  <c r="O184"/>
  <c r="O129"/>
  <c r="O136"/>
  <c r="U87" i="9"/>
  <c r="U100"/>
  <c r="O150" i="3"/>
  <c r="U198" i="9"/>
  <c r="U95"/>
  <c r="U144"/>
  <c r="O139" i="3"/>
  <c r="U139" i="9"/>
  <c r="U156"/>
  <c r="O73" i="3"/>
  <c r="O196"/>
  <c r="U190" i="9"/>
  <c r="U141"/>
  <c r="O23" i="3"/>
  <c r="O157"/>
  <c r="O48"/>
  <c r="U94" i="9"/>
  <c r="O62" i="3"/>
  <c r="U201" i="9"/>
  <c r="O167" i="3"/>
  <c r="O74"/>
  <c r="O106"/>
  <c r="O135"/>
  <c r="O192"/>
  <c r="O134"/>
  <c r="O117"/>
  <c r="O114"/>
  <c r="O15"/>
  <c r="U125" i="9"/>
  <c r="U101"/>
  <c r="O176" i="3"/>
  <c r="O147"/>
  <c r="O78"/>
  <c r="U90" i="9"/>
  <c r="U121"/>
  <c r="O29" i="3"/>
  <c r="O110"/>
  <c r="U176" i="9"/>
  <c r="U133"/>
  <c r="U199"/>
  <c r="O195" i="3"/>
  <c r="U117" i="9"/>
  <c r="O152" i="3"/>
  <c r="O142"/>
  <c r="O63"/>
  <c r="U155" i="9"/>
  <c r="O190" i="3"/>
  <c r="O162"/>
  <c r="O42"/>
  <c r="O118"/>
  <c r="U170" i="9"/>
  <c r="O153" i="3"/>
  <c r="O89"/>
  <c r="U168" i="9"/>
  <c r="O125" i="3"/>
  <c r="U187" i="9"/>
  <c r="O95" i="3"/>
  <c r="O197"/>
  <c r="U88" i="9"/>
  <c r="O81" i="3"/>
  <c r="O14"/>
  <c r="U107" i="9"/>
  <c r="O75" i="3"/>
  <c r="O120"/>
  <c r="O24"/>
  <c r="O100"/>
  <c r="O97"/>
  <c r="O93"/>
  <c r="O122"/>
  <c r="O47"/>
  <c r="U112" i="9"/>
  <c r="O41" i="3"/>
  <c r="U163" i="9"/>
  <c r="O133" i="3"/>
  <c r="U157" i="9"/>
  <c r="U146"/>
  <c r="O126" i="3"/>
  <c r="U189" i="9"/>
  <c r="U113"/>
  <c r="O36" i="3"/>
  <c r="U115" i="9"/>
  <c r="O37" i="3"/>
  <c r="O76"/>
  <c r="O96"/>
  <c r="U171" i="9"/>
  <c r="O61" i="3"/>
  <c r="U152" i="9"/>
  <c r="O151" i="3"/>
  <c r="O79"/>
  <c r="U193" i="9"/>
  <c r="U200"/>
  <c r="O13" i="3"/>
  <c r="U128" i="9"/>
  <c r="O175" i="3"/>
  <c r="U143" i="9"/>
  <c r="O155" i="3"/>
  <c r="O158"/>
  <c r="U129" i="9"/>
  <c r="O107" i="3"/>
  <c r="U195" i="9"/>
  <c r="U86"/>
  <c r="O90" i="3"/>
  <c r="U82" i="9"/>
  <c r="U161"/>
  <c r="U188"/>
  <c r="U131"/>
  <c r="U97"/>
  <c r="O191" i="3"/>
  <c r="O17"/>
  <c r="O80"/>
  <c r="U124" i="9"/>
  <c r="U160"/>
  <c r="O130" i="3"/>
  <c r="U109" i="9"/>
  <c r="O199" i="3"/>
  <c r="U92" i="9"/>
  <c r="O109" i="3"/>
  <c r="U153" i="9"/>
  <c r="O101" i="3"/>
  <c r="O170"/>
  <c r="O128"/>
  <c r="O16"/>
  <c r="O34"/>
  <c r="O30"/>
  <c r="O77"/>
  <c r="O45"/>
  <c r="U104" i="9"/>
  <c r="O154" i="3"/>
  <c r="O18"/>
  <c r="O173"/>
  <c r="O49"/>
  <c r="U159" i="9"/>
  <c r="U175"/>
  <c r="O35" i="3"/>
  <c r="O2" l="1"/>
  <c r="V175" i="9"/>
  <c r="P49" i="3"/>
  <c r="P18"/>
  <c r="V104" i="9"/>
  <c r="P77" i="3"/>
  <c r="P34"/>
  <c r="P128"/>
  <c r="P101"/>
  <c r="P109"/>
  <c r="P199"/>
  <c r="P130"/>
  <c r="V124" i="9"/>
  <c r="P17" i="3"/>
  <c r="V97" i="9"/>
  <c r="V188"/>
  <c r="V82"/>
  <c r="V86"/>
  <c r="P107" i="3"/>
  <c r="P158"/>
  <c r="V143" i="9"/>
  <c r="V128"/>
  <c r="V200"/>
  <c r="P79" i="3"/>
  <c r="V152" i="9"/>
  <c r="V171"/>
  <c r="P76" i="3"/>
  <c r="V115" i="9"/>
  <c r="V113"/>
  <c r="P126" i="3"/>
  <c r="V157" i="9"/>
  <c r="V163"/>
  <c r="V112"/>
  <c r="P122" i="3"/>
  <c r="P97"/>
  <c r="P24"/>
  <c r="P75"/>
  <c r="P14"/>
  <c r="V88" i="9"/>
  <c r="P95" i="3"/>
  <c r="P125"/>
  <c r="P89"/>
  <c r="V170" i="9"/>
  <c r="P42" i="3"/>
  <c r="P190"/>
  <c r="P63"/>
  <c r="P152"/>
  <c r="P195"/>
  <c r="V133" i="9"/>
  <c r="P110" i="3"/>
  <c r="V121" i="9"/>
  <c r="P78" i="3"/>
  <c r="P176"/>
  <c r="V125" i="9"/>
  <c r="P114" i="3"/>
  <c r="P134"/>
  <c r="P135"/>
  <c r="P74"/>
  <c r="V201" i="9"/>
  <c r="V94"/>
  <c r="P157" i="3"/>
  <c r="V141" i="9"/>
  <c r="P196" i="3"/>
  <c r="V156" i="9"/>
  <c r="P139" i="3"/>
  <c r="V95" i="9"/>
  <c r="P150" i="3"/>
  <c r="V87" i="9"/>
  <c r="P129" i="3"/>
  <c r="P194"/>
  <c r="V114" i="9"/>
  <c r="P180" i="3"/>
  <c r="P53"/>
  <c r="V151" i="9"/>
  <c r="V105"/>
  <c r="P189" i="3"/>
  <c r="V185" i="9"/>
  <c r="V85"/>
  <c r="V96"/>
  <c r="P166" i="3"/>
  <c r="V165" i="9"/>
  <c r="P70" i="3"/>
  <c r="V118" i="9"/>
  <c r="P137" i="3"/>
  <c r="V116" i="9"/>
  <c r="V186"/>
  <c r="V166"/>
  <c r="P116" i="3"/>
  <c r="P140"/>
  <c r="P179"/>
  <c r="P144"/>
  <c r="P187"/>
  <c r="V93" i="9"/>
  <c r="P178" i="3"/>
  <c r="P44"/>
  <c r="P40"/>
  <c r="P161"/>
  <c r="P10"/>
  <c r="V182" i="9"/>
  <c r="V169"/>
  <c r="P83" i="3"/>
  <c r="V126" i="9"/>
  <c r="P188" i="3"/>
  <c r="V127" i="9"/>
  <c r="P25" i="3"/>
  <c r="P123"/>
  <c r="P105"/>
  <c r="P20"/>
  <c r="P148"/>
  <c r="V84" i="9"/>
  <c r="P172" i="3"/>
  <c r="P67"/>
  <c r="P88"/>
  <c r="P9"/>
  <c r="P39"/>
  <c r="P193"/>
  <c r="P64"/>
  <c r="P168"/>
  <c r="V134" i="9"/>
  <c r="V167"/>
  <c r="V173"/>
  <c r="V103"/>
  <c r="P84" i="3"/>
  <c r="V110" i="9"/>
  <c r="V147"/>
  <c r="V123"/>
  <c r="P174" i="3"/>
  <c r="V177" i="9"/>
  <c r="P200" i="3"/>
  <c r="V7" i="9"/>
  <c r="V184"/>
  <c r="V180"/>
  <c r="P72" i="3"/>
  <c r="V174" i="9"/>
  <c r="V108"/>
  <c r="P91" i="3"/>
  <c r="V120" i="9"/>
  <c r="V138"/>
  <c r="V119"/>
  <c r="V91"/>
  <c r="P50" i="3"/>
  <c r="P169"/>
  <c r="P58"/>
  <c r="P177"/>
  <c r="P26"/>
  <c r="P102"/>
  <c r="V162" i="9"/>
  <c r="P115" i="3"/>
  <c r="V149" i="9"/>
  <c r="P119" i="3"/>
  <c r="V178" i="9"/>
  <c r="P156" i="3"/>
  <c r="V136" i="9"/>
  <c r="V130"/>
  <c r="P52" i="3"/>
  <c r="P71"/>
  <c r="P66"/>
  <c r="P165"/>
  <c r="P146"/>
  <c r="P35"/>
  <c r="V159" i="9"/>
  <c r="P173" i="3"/>
  <c r="P154"/>
  <c r="P45"/>
  <c r="P30"/>
  <c r="P16"/>
  <c r="P170"/>
  <c r="V153" i="9"/>
  <c r="V92"/>
  <c r="V109"/>
  <c r="V160"/>
  <c r="P80" i="3"/>
  <c r="P191"/>
  <c r="V131" i="9"/>
  <c r="V161"/>
  <c r="P90" i="3"/>
  <c r="V195" i="9"/>
  <c r="V129"/>
  <c r="P155" i="3"/>
  <c r="P175"/>
  <c r="P13"/>
  <c r="V193" i="9"/>
  <c r="P151" i="3"/>
  <c r="P61"/>
  <c r="P96"/>
  <c r="P37"/>
  <c r="P36"/>
  <c r="V189" i="9"/>
  <c r="V146"/>
  <c r="P133" i="3"/>
  <c r="P41"/>
  <c r="P47"/>
  <c r="P93"/>
  <c r="P100"/>
  <c r="P120"/>
  <c r="V107" i="9"/>
  <c r="P81" i="3"/>
  <c r="P197"/>
  <c r="V187" i="9"/>
  <c r="V168"/>
  <c r="P153" i="3"/>
  <c r="P118"/>
  <c r="P162"/>
  <c r="V155" i="9"/>
  <c r="P142" i="3"/>
  <c r="V117" i="9"/>
  <c r="V199"/>
  <c r="V176"/>
  <c r="P29" i="3"/>
  <c r="V90" i="9"/>
  <c r="P147" i="3"/>
  <c r="V101" i="9"/>
  <c r="P15" i="3"/>
  <c r="P117"/>
  <c r="P192"/>
  <c r="P106"/>
  <c r="P167"/>
  <c r="P62"/>
  <c r="P48"/>
  <c r="P23"/>
  <c r="V190" i="9"/>
  <c r="P73" i="3"/>
  <c r="V139" i="9"/>
  <c r="V144"/>
  <c r="V198"/>
  <c r="V100"/>
  <c r="P136" i="3"/>
  <c r="P184"/>
  <c r="P149"/>
  <c r="P99"/>
  <c r="V89" i="9"/>
  <c r="P54" i="3"/>
  <c r="P104"/>
  <c r="P82"/>
  <c r="P8"/>
  <c r="P121"/>
  <c r="V142" i="9"/>
  <c r="V148"/>
  <c r="P57" i="3"/>
  <c r="P69"/>
  <c r="P111"/>
  <c r="P145"/>
  <c r="P198"/>
  <c r="P182"/>
  <c r="P60"/>
  <c r="P103"/>
  <c r="P143"/>
  <c r="V194" i="9"/>
  <c r="V83"/>
  <c r="V99"/>
  <c r="P87" i="3"/>
  <c r="P55"/>
  <c r="P159"/>
  <c r="P59"/>
  <c r="P56"/>
  <c r="V164" i="9"/>
  <c r="V196"/>
  <c r="P22" i="3"/>
  <c r="P12"/>
  <c r="V179" i="9"/>
  <c r="P85" i="3"/>
  <c r="V172" i="9"/>
  <c r="V197"/>
  <c r="P163" i="3"/>
  <c r="V145" i="9"/>
  <c r="P112" i="3"/>
  <c r="P21"/>
  <c r="P65"/>
  <c r="P124"/>
  <c r="P19"/>
  <c r="V111" i="9"/>
  <c r="P141" i="3"/>
  <c r="V122" i="9"/>
  <c r="V137"/>
  <c r="V191"/>
  <c r="P160" i="3"/>
  <c r="P7"/>
  <c r="P132"/>
  <c r="V140" i="9"/>
  <c r="P113" i="3"/>
  <c r="V102" i="9"/>
  <c r="P46" i="3"/>
  <c r="P171"/>
  <c r="V106" i="9"/>
  <c r="P27" i="3"/>
  <c r="V150" i="9"/>
  <c r="V183"/>
  <c r="P51" i="3"/>
  <c r="P32"/>
  <c r="P86"/>
  <c r="P94"/>
  <c r="P131"/>
  <c r="P38"/>
  <c r="P28"/>
  <c r="P185"/>
  <c r="P181"/>
  <c r="P33"/>
  <c r="P68"/>
  <c r="P186"/>
  <c r="V135" i="9"/>
  <c r="P108" i="3"/>
  <c r="V98" i="9"/>
  <c r="P92" i="3"/>
  <c r="P183"/>
  <c r="P164"/>
  <c r="P11"/>
  <c r="P138"/>
  <c r="P98"/>
  <c r="P31"/>
  <c r="V192" i="9"/>
  <c r="V132"/>
  <c r="V158"/>
  <c r="V154"/>
  <c r="P127" i="3"/>
  <c r="V181" i="9"/>
  <c r="P43" i="3"/>
  <c r="P2" l="1"/>
  <c r="W181" i="9"/>
  <c r="W154"/>
  <c r="W132"/>
  <c r="Q31" i="3"/>
  <c r="Q138"/>
  <c r="Q164"/>
  <c r="Q92"/>
  <c r="Q108"/>
  <c r="Q186"/>
  <c r="Q33"/>
  <c r="Q185"/>
  <c r="Q38"/>
  <c r="Q94"/>
  <c r="Q32"/>
  <c r="W183" i="9"/>
  <c r="Q27" i="3"/>
  <c r="Q171"/>
  <c r="W102" i="9"/>
  <c r="W140"/>
  <c r="Q160" i="3"/>
  <c r="W137" i="9"/>
  <c r="Q141" i="3"/>
  <c r="Q19"/>
  <c r="Q65"/>
  <c r="Q112"/>
  <c r="Q163"/>
  <c r="W172" i="9"/>
  <c r="W179"/>
  <c r="Q22" i="3"/>
  <c r="W164" i="9"/>
  <c r="Q59" i="3"/>
  <c r="Q55"/>
  <c r="W99" i="9"/>
  <c r="W194"/>
  <c r="Q103" i="3"/>
  <c r="Q182"/>
  <c r="Q145"/>
  <c r="Q69"/>
  <c r="W148" i="9"/>
  <c r="Q121" i="3"/>
  <c r="Q82"/>
  <c r="Q54"/>
  <c r="Q99"/>
  <c r="Q184"/>
  <c r="W100" i="9"/>
  <c r="W144"/>
  <c r="Q73" i="3"/>
  <c r="Q23"/>
  <c r="Q62"/>
  <c r="Q106"/>
  <c r="Q117"/>
  <c r="W101" i="9"/>
  <c r="W90"/>
  <c r="W176"/>
  <c r="W117"/>
  <c r="W155"/>
  <c r="Q118" i="3"/>
  <c r="W168" i="9"/>
  <c r="Q197" i="3"/>
  <c r="W107" i="9"/>
  <c r="Q100" i="3"/>
  <c r="Q47"/>
  <c r="Q133"/>
  <c r="W189" i="9"/>
  <c r="Q37" i="3"/>
  <c r="Q61"/>
  <c r="W193" i="9"/>
  <c r="Q175" i="3"/>
  <c r="W129" i="9"/>
  <c r="Q90" i="3"/>
  <c r="W131" i="9"/>
  <c r="Q80" i="3"/>
  <c r="W109" i="9"/>
  <c r="W153"/>
  <c r="Q16" i="3"/>
  <c r="Q45"/>
  <c r="Q173"/>
  <c r="Q35"/>
  <c r="Q165"/>
  <c r="Q71"/>
  <c r="W130" i="9"/>
  <c r="Q156" i="3"/>
  <c r="Q119"/>
  <c r="Q115"/>
  <c r="Q102"/>
  <c r="Q177"/>
  <c r="Q169"/>
  <c r="W91" i="9"/>
  <c r="W138"/>
  <c r="Q91" i="3"/>
  <c r="W174" i="9"/>
  <c r="W180"/>
  <c r="W7"/>
  <c r="W177"/>
  <c r="W123"/>
  <c r="W110"/>
  <c r="W103"/>
  <c r="W167"/>
  <c r="Q168" i="3"/>
  <c r="Q193"/>
  <c r="Q9"/>
  <c r="Q67"/>
  <c r="W84" i="9"/>
  <c r="Q20" i="3"/>
  <c r="Q123"/>
  <c r="W127" i="9"/>
  <c r="W126"/>
  <c r="W169"/>
  <c r="Q10" i="3"/>
  <c r="Q40"/>
  <c r="Q178"/>
  <c r="Q187"/>
  <c r="Q179"/>
  <c r="Q116"/>
  <c r="W186" i="9"/>
  <c r="Q137" i="3"/>
  <c r="Q70"/>
  <c r="Q166"/>
  <c r="W85" i="9"/>
  <c r="Q189" i="3"/>
  <c r="W151" i="9"/>
  <c r="Q180" i="3"/>
  <c r="Q194"/>
  <c r="W87" i="9"/>
  <c r="W95"/>
  <c r="W156"/>
  <c r="W141"/>
  <c r="W94"/>
  <c r="Q74" i="3"/>
  <c r="Q134"/>
  <c r="W125" i="9"/>
  <c r="Q78" i="3"/>
  <c r="Q110"/>
  <c r="Q195"/>
  <c r="Q63"/>
  <c r="Q42"/>
  <c r="Q89"/>
  <c r="Q95"/>
  <c r="Q14"/>
  <c r="Q24"/>
  <c r="Q122"/>
  <c r="W163" i="9"/>
  <c r="Q126" i="3"/>
  <c r="W115" i="9"/>
  <c r="W171"/>
  <c r="Q79" i="3"/>
  <c r="W128" i="9"/>
  <c r="Q158" i="3"/>
  <c r="W86" i="9"/>
  <c r="W188"/>
  <c r="Q17" i="3"/>
  <c r="Q130"/>
  <c r="Q109"/>
  <c r="Q128"/>
  <c r="Q77"/>
  <c r="Q18"/>
  <c r="W175" i="9"/>
  <c r="Q43" i="3"/>
  <c r="Q127"/>
  <c r="W158" i="9"/>
  <c r="W192"/>
  <c r="Q98" i="3"/>
  <c r="Q11"/>
  <c r="Q183"/>
  <c r="W98" i="9"/>
  <c r="W135"/>
  <c r="Q68" i="3"/>
  <c r="Q181"/>
  <c r="Q28"/>
  <c r="Q131"/>
  <c r="Q86"/>
  <c r="Q51"/>
  <c r="W150" i="9"/>
  <c r="W106"/>
  <c r="Q46" i="3"/>
  <c r="Q113"/>
  <c r="Q132"/>
  <c r="Q7"/>
  <c r="W191" i="9"/>
  <c r="W122"/>
  <c r="W111"/>
  <c r="Q124" i="3"/>
  <c r="Q21"/>
  <c r="W145" i="9"/>
  <c r="W197"/>
  <c r="Q85" i="3"/>
  <c r="Q12"/>
  <c r="W196" i="9"/>
  <c r="Q56" i="3"/>
  <c r="Q159"/>
  <c r="Q87"/>
  <c r="W83" i="9"/>
  <c r="Q143" i="3"/>
  <c r="Q60"/>
  <c r="Q198"/>
  <c r="Q111"/>
  <c r="Q57"/>
  <c r="W142" i="9"/>
  <c r="Q8" i="3"/>
  <c r="Q104"/>
  <c r="W89" i="9"/>
  <c r="Q149" i="3"/>
  <c r="Q136"/>
  <c r="W198" i="9"/>
  <c r="W139"/>
  <c r="W190"/>
  <c r="Q48" i="3"/>
  <c r="Q167"/>
  <c r="Q192"/>
  <c r="Q15"/>
  <c r="Q147"/>
  <c r="Q29"/>
  <c r="W199" i="9"/>
  <c r="Q142" i="3"/>
  <c r="Q162"/>
  <c r="Q153"/>
  <c r="W187" i="9"/>
  <c r="Q81" i="3"/>
  <c r="Q120"/>
  <c r="Q93"/>
  <c r="Q41"/>
  <c r="W146" i="9"/>
  <c r="Q36" i="3"/>
  <c r="Q96"/>
  <c r="Q151"/>
  <c r="Q13"/>
  <c r="Q155"/>
  <c r="W195" i="9"/>
  <c r="W161"/>
  <c r="Q191" i="3"/>
  <c r="W160" i="9"/>
  <c r="W92"/>
  <c r="Q170" i="3"/>
  <c r="Q30"/>
  <c r="Q154"/>
  <c r="W159" i="9"/>
  <c r="Q146" i="3"/>
  <c r="Q66"/>
  <c r="Q52"/>
  <c r="W136" i="9"/>
  <c r="W178"/>
  <c r="W149"/>
  <c r="W162"/>
  <c r="Q26" i="3"/>
  <c r="Q58"/>
  <c r="Q50"/>
  <c r="W119" i="9"/>
  <c r="W120"/>
  <c r="W108"/>
  <c r="Q72" i="3"/>
  <c r="W184" i="9"/>
  <c r="Q200" i="3"/>
  <c r="Q174"/>
  <c r="W147" i="9"/>
  <c r="Q84" i="3"/>
  <c r="W173" i="9"/>
  <c r="W134"/>
  <c r="Q64" i="3"/>
  <c r="Q39"/>
  <c r="Q88"/>
  <c r="Q172"/>
  <c r="Q148"/>
  <c r="Q105"/>
  <c r="Q25"/>
  <c r="Q188"/>
  <c r="Q83"/>
  <c r="W182" i="9"/>
  <c r="Q161" i="3"/>
  <c r="Q44"/>
  <c r="W93" i="9"/>
  <c r="Q144" i="3"/>
  <c r="Q140"/>
  <c r="W166" i="9"/>
  <c r="W116"/>
  <c r="W118"/>
  <c r="W165"/>
  <c r="W96"/>
  <c r="W185"/>
  <c r="W105"/>
  <c r="Q53" i="3"/>
  <c r="W114" i="9"/>
  <c r="Q129" i="3"/>
  <c r="Q150"/>
  <c r="Q139"/>
  <c r="Q196"/>
  <c r="Q157"/>
  <c r="W201" i="9"/>
  <c r="Q135" i="3"/>
  <c r="Q114"/>
  <c r="Q176"/>
  <c r="W121" i="9"/>
  <c r="W133"/>
  <c r="Q152" i="3"/>
  <c r="Q190"/>
  <c r="W170" i="9"/>
  <c r="Q125" i="3"/>
  <c r="W88" i="9"/>
  <c r="Q75" i="3"/>
  <c r="Q97"/>
  <c r="W112" i="9"/>
  <c r="W157"/>
  <c r="W113"/>
  <c r="Q76" i="3"/>
  <c r="W152" i="9"/>
  <c r="W200"/>
  <c r="W143"/>
  <c r="Q107" i="3"/>
  <c r="W82" i="9"/>
  <c r="W97"/>
  <c r="W124"/>
  <c r="Q199" i="3"/>
  <c r="Q101"/>
  <c r="Q34"/>
  <c r="W104" i="9"/>
  <c r="Q49" i="3"/>
  <c r="Q2" l="1"/>
  <c r="X104" i="9"/>
  <c r="R101" i="3"/>
  <c r="X124" i="9"/>
  <c r="X82"/>
  <c r="X143"/>
  <c r="X152"/>
  <c r="X113"/>
  <c r="X112"/>
  <c r="R75" i="3"/>
  <c r="R125"/>
  <c r="R190"/>
  <c r="X133" i="9"/>
  <c r="R176" i="3"/>
  <c r="R135"/>
  <c r="R157"/>
  <c r="R139"/>
  <c r="R129"/>
  <c r="R53"/>
  <c r="X185" i="9"/>
  <c r="X165"/>
  <c r="X116"/>
  <c r="R140" i="3"/>
  <c r="X93" i="9"/>
  <c r="R161" i="3"/>
  <c r="R83"/>
  <c r="R25"/>
  <c r="R148"/>
  <c r="R88"/>
  <c r="R64"/>
  <c r="X173" i="9"/>
  <c r="X147"/>
  <c r="R200" i="3"/>
  <c r="R72"/>
  <c r="X120" i="9"/>
  <c r="R50" i="3"/>
  <c r="R26"/>
  <c r="X149" i="9"/>
  <c r="X136"/>
  <c r="R66" i="3"/>
  <c r="X159" i="9"/>
  <c r="R30" i="3"/>
  <c r="X92" i="9"/>
  <c r="R191" i="3"/>
  <c r="X195" i="9"/>
  <c r="R13" i="3"/>
  <c r="R96"/>
  <c r="X146" i="9"/>
  <c r="R93" i="3"/>
  <c r="R81"/>
  <c r="R153"/>
  <c r="R142"/>
  <c r="R29"/>
  <c r="R15"/>
  <c r="R167"/>
  <c r="X190" i="9"/>
  <c r="X198"/>
  <c r="R149" i="3"/>
  <c r="R104"/>
  <c r="X142" i="9"/>
  <c r="R111" i="3"/>
  <c r="R60"/>
  <c r="X83" i="9"/>
  <c r="R159" i="3"/>
  <c r="X196" i="9"/>
  <c r="R85" i="3"/>
  <c r="X145" i="9"/>
  <c r="R124" i="3"/>
  <c r="X122" i="9"/>
  <c r="R132" i="3"/>
  <c r="R46"/>
  <c r="X150" i="9"/>
  <c r="R86" i="3"/>
  <c r="R28"/>
  <c r="R68"/>
  <c r="X98" i="9"/>
  <c r="R11" i="3"/>
  <c r="X192" i="9"/>
  <c r="R127" i="3"/>
  <c r="X175" i="9"/>
  <c r="R77" i="3"/>
  <c r="R109"/>
  <c r="R17"/>
  <c r="X86" i="9"/>
  <c r="X128"/>
  <c r="X171"/>
  <c r="R126" i="3"/>
  <c r="R122"/>
  <c r="R14"/>
  <c r="R89"/>
  <c r="R63"/>
  <c r="R110"/>
  <c r="X125" i="9"/>
  <c r="R74" i="3"/>
  <c r="X141" i="9"/>
  <c r="X95"/>
  <c r="R194" i="3"/>
  <c r="X151" i="9"/>
  <c r="X85"/>
  <c r="R70" i="3"/>
  <c r="X186" i="9"/>
  <c r="R179" i="3"/>
  <c r="R178"/>
  <c r="R10"/>
  <c r="X126" i="9"/>
  <c r="R123" i="3"/>
  <c r="X84" i="9"/>
  <c r="R9" i="3"/>
  <c r="R168"/>
  <c r="X103" i="9"/>
  <c r="X123"/>
  <c r="X7"/>
  <c r="X174"/>
  <c r="X138"/>
  <c r="R169" i="3"/>
  <c r="R102"/>
  <c r="R119"/>
  <c r="X130" i="9"/>
  <c r="R165" i="3"/>
  <c r="R173"/>
  <c r="R16"/>
  <c r="X109" i="9"/>
  <c r="X131"/>
  <c r="X129"/>
  <c r="X193"/>
  <c r="R37" i="3"/>
  <c r="R133"/>
  <c r="R100"/>
  <c r="R197"/>
  <c r="R118"/>
  <c r="X117" i="9"/>
  <c r="X90"/>
  <c r="R117" i="3"/>
  <c r="R62"/>
  <c r="R73"/>
  <c r="X100" i="9"/>
  <c r="R99" i="3"/>
  <c r="R82"/>
  <c r="X148" i="9"/>
  <c r="R145" i="3"/>
  <c r="R103"/>
  <c r="X99" i="9"/>
  <c r="R59" i="3"/>
  <c r="R22"/>
  <c r="X172" i="9"/>
  <c r="R112" i="3"/>
  <c r="R19"/>
  <c r="X137" i="9"/>
  <c r="X140"/>
  <c r="R171" i="3"/>
  <c r="X183" i="9"/>
  <c r="R94" i="3"/>
  <c r="R185"/>
  <c r="R186"/>
  <c r="R92"/>
  <c r="R138"/>
  <c r="X181" i="9"/>
  <c r="R49" i="3"/>
  <c r="R34"/>
  <c r="R199"/>
  <c r="X97" i="9"/>
  <c r="R107" i="3"/>
  <c r="X200" i="9"/>
  <c r="R76" i="3"/>
  <c r="X157" i="9"/>
  <c r="R97" i="3"/>
  <c r="X88" i="9"/>
  <c r="X170"/>
  <c r="R152" i="3"/>
  <c r="X121" i="9"/>
  <c r="R114" i="3"/>
  <c r="X201" i="9"/>
  <c r="R196" i="3"/>
  <c r="R150"/>
  <c r="X114" i="9"/>
  <c r="X105"/>
  <c r="X96"/>
  <c r="X118"/>
  <c r="X166"/>
  <c r="R144" i="3"/>
  <c r="R44"/>
  <c r="X182" i="9"/>
  <c r="R188" i="3"/>
  <c r="R105"/>
  <c r="R172"/>
  <c r="R39"/>
  <c r="X134" i="9"/>
  <c r="R84" i="3"/>
  <c r="R174"/>
  <c r="X184" i="9"/>
  <c r="X108"/>
  <c r="X119"/>
  <c r="R58" i="3"/>
  <c r="X162" i="9"/>
  <c r="X178"/>
  <c r="R52" i="3"/>
  <c r="R146"/>
  <c r="R154"/>
  <c r="R170"/>
  <c r="X160" i="9"/>
  <c r="X161"/>
  <c r="R155" i="3"/>
  <c r="R151"/>
  <c r="R36"/>
  <c r="R41"/>
  <c r="R120"/>
  <c r="X187" i="9"/>
  <c r="R162" i="3"/>
  <c r="X199" i="9"/>
  <c r="R147" i="3"/>
  <c r="R192"/>
  <c r="R48"/>
  <c r="X139" i="9"/>
  <c r="R136" i="3"/>
  <c r="X89" i="9"/>
  <c r="R8" i="3"/>
  <c r="R57"/>
  <c r="R198"/>
  <c r="R143"/>
  <c r="R87"/>
  <c r="R56"/>
  <c r="R12"/>
  <c r="X197" i="9"/>
  <c r="R21" i="3"/>
  <c r="X111" i="9"/>
  <c r="X191"/>
  <c r="R7" i="3"/>
  <c r="R113"/>
  <c r="X106" i="9"/>
  <c r="R51" i="3"/>
  <c r="R131"/>
  <c r="R181"/>
  <c r="X135" i="9"/>
  <c r="R183" i="3"/>
  <c r="R98"/>
  <c r="X158" i="9"/>
  <c r="R43" i="3"/>
  <c r="R18"/>
  <c r="R128"/>
  <c r="R130"/>
  <c r="X188" i="9"/>
  <c r="R158" i="3"/>
  <c r="R79"/>
  <c r="X115" i="9"/>
  <c r="X163"/>
  <c r="R24" i="3"/>
  <c r="R95"/>
  <c r="R42"/>
  <c r="R195"/>
  <c r="R78"/>
  <c r="R134"/>
  <c r="X94" i="9"/>
  <c r="X156"/>
  <c r="X87"/>
  <c r="R180" i="3"/>
  <c r="R189"/>
  <c r="R166"/>
  <c r="R137"/>
  <c r="R116"/>
  <c r="R187"/>
  <c r="R40"/>
  <c r="X169" i="9"/>
  <c r="X127"/>
  <c r="R20" i="3"/>
  <c r="R67"/>
  <c r="R193"/>
  <c r="X167" i="9"/>
  <c r="X110"/>
  <c r="X177"/>
  <c r="X180"/>
  <c r="R91" i="3"/>
  <c r="X91" i="9"/>
  <c r="R177" i="3"/>
  <c r="R115"/>
  <c r="R156"/>
  <c r="R71"/>
  <c r="R35"/>
  <c r="R45"/>
  <c r="X153" i="9"/>
  <c r="R80" i="3"/>
  <c r="R90"/>
  <c r="R175"/>
  <c r="R61"/>
  <c r="X189" i="9"/>
  <c r="R47" i="3"/>
  <c r="X107" i="9"/>
  <c r="X168"/>
  <c r="X155"/>
  <c r="X176"/>
  <c r="X101"/>
  <c r="R106" i="3"/>
  <c r="R23"/>
  <c r="X144" i="9"/>
  <c r="R184" i="3"/>
  <c r="R54"/>
  <c r="R121"/>
  <c r="R69"/>
  <c r="R182"/>
  <c r="X194" i="9"/>
  <c r="R55" i="3"/>
  <c r="X164" i="9"/>
  <c r="X179"/>
  <c r="R163" i="3"/>
  <c r="R65"/>
  <c r="R141"/>
  <c r="R160"/>
  <c r="X102" i="9"/>
  <c r="R27" i="3"/>
  <c r="R32"/>
  <c r="R38"/>
  <c r="R33"/>
  <c r="R108"/>
  <c r="R164"/>
  <c r="R31"/>
  <c r="X154" i="9"/>
  <c r="X132"/>
  <c r="R2" i="3" l="1"/>
  <c r="Y154" i="9"/>
  <c r="S164" i="3"/>
  <c r="S33"/>
  <c r="S32"/>
  <c r="Y102" i="9"/>
  <c r="S141" i="3"/>
  <c r="S163"/>
  <c r="Y164" i="9"/>
  <c r="Y194"/>
  <c r="S69" i="3"/>
  <c r="S54"/>
  <c r="Y144" i="9"/>
  <c r="S106" i="3"/>
  <c r="Y176" i="9"/>
  <c r="Y168"/>
  <c r="S47" i="3"/>
  <c r="S61"/>
  <c r="S90"/>
  <c r="Y153" i="9"/>
  <c r="S35" i="3"/>
  <c r="S156"/>
  <c r="S177"/>
  <c r="S91"/>
  <c r="Y177" i="9"/>
  <c r="Y167"/>
  <c r="S67" i="3"/>
  <c r="Y127" i="9"/>
  <c r="S40" i="3"/>
  <c r="S116"/>
  <c r="S166"/>
  <c r="S180"/>
  <c r="Y156" i="9"/>
  <c r="S134" i="3"/>
  <c r="S195"/>
  <c r="S95"/>
  <c r="Y163" i="9"/>
  <c r="S79" i="3"/>
  <c r="Y188" i="9"/>
  <c r="S128" i="3"/>
  <c r="S43"/>
  <c r="S98"/>
  <c r="Y135" i="9"/>
  <c r="S131" i="3"/>
  <c r="Y106" i="9"/>
  <c r="Y191"/>
  <c r="S21" i="3"/>
  <c r="S12"/>
  <c r="S87"/>
  <c r="S198"/>
  <c r="S8"/>
  <c r="S136"/>
  <c r="S48"/>
  <c r="S147"/>
  <c r="S162"/>
  <c r="S120"/>
  <c r="S36"/>
  <c r="S155"/>
  <c r="Y160" i="9"/>
  <c r="S154" i="3"/>
  <c r="S52"/>
  <c r="Y162" i="9"/>
  <c r="Y119"/>
  <c r="Y184"/>
  <c r="S84" i="3"/>
  <c r="S39"/>
  <c r="S105"/>
  <c r="Y182" i="9"/>
  <c r="S144" i="3"/>
  <c r="Y118" i="9"/>
  <c r="Y105"/>
  <c r="S150" i="3"/>
  <c r="Y201" i="9"/>
  <c r="Y121"/>
  <c r="Y170"/>
  <c r="S97" i="3"/>
  <c r="S76"/>
  <c r="S107"/>
  <c r="S199"/>
  <c r="S49"/>
  <c r="S138"/>
  <c r="S186"/>
  <c r="S94"/>
  <c r="S171"/>
  <c r="Y137" i="9"/>
  <c r="S112" i="3"/>
  <c r="S22"/>
  <c r="Y99" i="9"/>
  <c r="S145" i="3"/>
  <c r="S82"/>
  <c r="Y100" i="9"/>
  <c r="S62" i="3"/>
  <c r="Y90" i="9"/>
  <c r="S118" i="3"/>
  <c r="S100"/>
  <c r="S37"/>
  <c r="Y129" i="9"/>
  <c r="Y109"/>
  <c r="S173" i="3"/>
  <c r="Y130" i="9"/>
  <c r="S102" i="3"/>
  <c r="Y138" i="9"/>
  <c r="Y7"/>
  <c r="Y103"/>
  <c r="S9" i="3"/>
  <c r="S123"/>
  <c r="S10"/>
  <c r="S179"/>
  <c r="S70"/>
  <c r="Y151" i="9"/>
  <c r="Y95"/>
  <c r="S74" i="3"/>
  <c r="S110"/>
  <c r="S89"/>
  <c r="S122"/>
  <c r="Y171" i="9"/>
  <c r="Y86"/>
  <c r="S109" i="3"/>
  <c r="Y175" i="9"/>
  <c r="Y192"/>
  <c r="Y98"/>
  <c r="S28" i="3"/>
  <c r="Y150" i="9"/>
  <c r="S132" i="3"/>
  <c r="S124"/>
  <c r="S85"/>
  <c r="S159"/>
  <c r="S60"/>
  <c r="Y142" i="9"/>
  <c r="S149" i="3"/>
  <c r="Y190" i="9"/>
  <c r="S15" i="3"/>
  <c r="S142"/>
  <c r="S81"/>
  <c r="Y146" i="9"/>
  <c r="S13" i="3"/>
  <c r="S191"/>
  <c r="S30"/>
  <c r="S66"/>
  <c r="Y149" i="9"/>
  <c r="S50" i="3"/>
  <c r="S72"/>
  <c r="Y147" i="9"/>
  <c r="S64" i="3"/>
  <c r="S148"/>
  <c r="S83"/>
  <c r="Y93" i="9"/>
  <c r="Y116"/>
  <c r="Y185"/>
  <c r="S129" i="3"/>
  <c r="S157"/>
  <c r="S176"/>
  <c r="S190"/>
  <c r="S75"/>
  <c r="Y113" i="9"/>
  <c r="Y143"/>
  <c r="Y124"/>
  <c r="Y104"/>
  <c r="Y132"/>
  <c r="S31" i="3"/>
  <c r="S108"/>
  <c r="S38"/>
  <c r="S27"/>
  <c r="S160"/>
  <c r="S65"/>
  <c r="Y179" i="9"/>
  <c r="S55" i="3"/>
  <c r="S182"/>
  <c r="S121"/>
  <c r="S184"/>
  <c r="S23"/>
  <c r="Y101" i="9"/>
  <c r="Y155"/>
  <c r="Y107"/>
  <c r="Y189"/>
  <c r="S175" i="3"/>
  <c r="S80"/>
  <c r="S45"/>
  <c r="S71"/>
  <c r="S115"/>
  <c r="Y91" i="9"/>
  <c r="Y180"/>
  <c r="Y110"/>
  <c r="S193" i="3"/>
  <c r="S20"/>
  <c r="Y169" i="9"/>
  <c r="S187" i="3"/>
  <c r="S137"/>
  <c r="S189"/>
  <c r="Y87" i="9"/>
  <c r="Y94"/>
  <c r="S78" i="3"/>
  <c r="S42"/>
  <c r="S24"/>
  <c r="Y115" i="9"/>
  <c r="S158" i="3"/>
  <c r="S130"/>
  <c r="S18"/>
  <c r="Y158" i="9"/>
  <c r="S183" i="3"/>
  <c r="S181"/>
  <c r="S51"/>
  <c r="S113"/>
  <c r="S7"/>
  <c r="Y111" i="9"/>
  <c r="Y197"/>
  <c r="S56" i="3"/>
  <c r="S143"/>
  <c r="S57"/>
  <c r="Y89" i="9"/>
  <c r="Y139"/>
  <c r="S192" i="3"/>
  <c r="Y199" i="9"/>
  <c r="Y187"/>
  <c r="S41" i="3"/>
  <c r="S151"/>
  <c r="Y161" i="9"/>
  <c r="S170" i="3"/>
  <c r="S146"/>
  <c r="Y178" i="9"/>
  <c r="S58" i="3"/>
  <c r="Y108" i="9"/>
  <c r="S174" i="3"/>
  <c r="Y134" i="9"/>
  <c r="S172" i="3"/>
  <c r="S188"/>
  <c r="S44"/>
  <c r="Y166" i="9"/>
  <c r="Y96"/>
  <c r="Y114"/>
  <c r="S196" i="3"/>
  <c r="S114"/>
  <c r="S152"/>
  <c r="Y88" i="9"/>
  <c r="Y157"/>
  <c r="Y200"/>
  <c r="Y97"/>
  <c r="S34" i="3"/>
  <c r="Y181" i="9"/>
  <c r="S92" i="3"/>
  <c r="S185"/>
  <c r="Y183" i="9"/>
  <c r="Y140"/>
  <c r="S19" i="3"/>
  <c r="Y172" i="9"/>
  <c r="S59" i="3"/>
  <c r="S103"/>
  <c r="Y148" i="9"/>
  <c r="S99" i="3"/>
  <c r="S73"/>
  <c r="S117"/>
  <c r="Y117" i="9"/>
  <c r="S197" i="3"/>
  <c r="S133"/>
  <c r="Y193" i="9"/>
  <c r="Y131"/>
  <c r="S16" i="3"/>
  <c r="S165"/>
  <c r="S119"/>
  <c r="S169"/>
  <c r="Y174" i="9"/>
  <c r="Y123"/>
  <c r="S168" i="3"/>
  <c r="Y84" i="9"/>
  <c r="Y126"/>
  <c r="S178" i="3"/>
  <c r="Y186" i="9"/>
  <c r="Y85"/>
  <c r="S194" i="3"/>
  <c r="Y141" i="9"/>
  <c r="Y125"/>
  <c r="S63" i="3"/>
  <c r="S14"/>
  <c r="S126"/>
  <c r="Y128" i="9"/>
  <c r="S17" i="3"/>
  <c r="S77"/>
  <c r="S127"/>
  <c r="S11"/>
  <c r="S68"/>
  <c r="S86"/>
  <c r="S46"/>
  <c r="Y122" i="9"/>
  <c r="Y145"/>
  <c r="Y196"/>
  <c r="Y83"/>
  <c r="S111" i="3"/>
  <c r="S104"/>
  <c r="Y198" i="9"/>
  <c r="S167" i="3"/>
  <c r="S29"/>
  <c r="S153"/>
  <c r="S93"/>
  <c r="S96"/>
  <c r="Y195" i="9"/>
  <c r="Y92"/>
  <c r="Y159"/>
  <c r="Y136"/>
  <c r="S26" i="3"/>
  <c r="Y120" i="9"/>
  <c r="S200" i="3"/>
  <c r="Y173" i="9"/>
  <c r="S88" i="3"/>
  <c r="S25"/>
  <c r="S161"/>
  <c r="S140"/>
  <c r="Y165" i="9"/>
  <c r="S53" i="3"/>
  <c r="S139"/>
  <c r="S135"/>
  <c r="Y133" i="9"/>
  <c r="S125" i="3"/>
  <c r="Y112" i="9"/>
  <c r="Y152"/>
  <c r="Y82"/>
  <c r="S101" i="3"/>
  <c r="S2" l="1"/>
  <c r="Z82" i="9"/>
  <c r="Z112"/>
  <c r="Z133"/>
  <c r="T139" i="3"/>
  <c r="Z165" i="9"/>
  <c r="T161" i="3"/>
  <c r="T88"/>
  <c r="T200"/>
  <c r="T26"/>
  <c r="Z159" i="9"/>
  <c r="Z195"/>
  <c r="T93" i="3"/>
  <c r="T29"/>
  <c r="Z198" i="9"/>
  <c r="T111" i="3"/>
  <c r="Z196" i="9"/>
  <c r="Z122"/>
  <c r="T86" i="3"/>
  <c r="T11"/>
  <c r="T77"/>
  <c r="Z128" i="9"/>
  <c r="T14" i="3"/>
  <c r="Z125" i="9"/>
  <c r="T194" i="3"/>
  <c r="Z186" i="9"/>
  <c r="Z126"/>
  <c r="T168" i="3"/>
  <c r="Z174" i="9"/>
  <c r="T119" i="3"/>
  <c r="T16"/>
  <c r="Z193" i="9"/>
  <c r="T197" i="3"/>
  <c r="T117"/>
  <c r="T99"/>
  <c r="T103"/>
  <c r="Z172" i="9"/>
  <c r="Z140"/>
  <c r="T185" i="3"/>
  <c r="Z181" i="9"/>
  <c r="Z97"/>
  <c r="Z157"/>
  <c r="T152" i="3"/>
  <c r="T196"/>
  <c r="Z96" i="9"/>
  <c r="T44" i="3"/>
  <c r="T172"/>
  <c r="T174"/>
  <c r="T58"/>
  <c r="T146"/>
  <c r="Z161" i="9"/>
  <c r="T41" i="3"/>
  <c r="Z199" i="9"/>
  <c r="Z139"/>
  <c r="T57" i="3"/>
  <c r="T56"/>
  <c r="Z111" i="9"/>
  <c r="T7" i="3"/>
  <c r="T51"/>
  <c r="T183"/>
  <c r="T18"/>
  <c r="T158"/>
  <c r="T24"/>
  <c r="T78"/>
  <c r="Z87" i="9"/>
  <c r="T137" i="3"/>
  <c r="Z169" i="9"/>
  <c r="T193" i="3"/>
  <c r="Z180" i="9"/>
  <c r="T115" i="3"/>
  <c r="T45"/>
  <c r="T175"/>
  <c r="Z107" i="9"/>
  <c r="Z101"/>
  <c r="T184" i="3"/>
  <c r="T182"/>
  <c r="Z179" i="9"/>
  <c r="T160" i="3"/>
  <c r="T38"/>
  <c r="T31"/>
  <c r="Z104" i="9"/>
  <c r="Z143"/>
  <c r="T75" i="3"/>
  <c r="T176"/>
  <c r="T129"/>
  <c r="Z116" i="9"/>
  <c r="T83" i="3"/>
  <c r="T64"/>
  <c r="T72"/>
  <c r="Z149" i="9"/>
  <c r="T30" i="3"/>
  <c r="T13"/>
  <c r="T81"/>
  <c r="T15"/>
  <c r="T149"/>
  <c r="T60"/>
  <c r="T85"/>
  <c r="T132"/>
  <c r="T28"/>
  <c r="Z192" i="9"/>
  <c r="T109" i="3"/>
  <c r="Z171" i="9"/>
  <c r="T89" i="3"/>
  <c r="T74"/>
  <c r="Z151" i="9"/>
  <c r="T179" i="3"/>
  <c r="T123"/>
  <c r="Z103" i="9"/>
  <c r="Z138"/>
  <c r="Z130"/>
  <c r="Z109"/>
  <c r="T37" i="3"/>
  <c r="T118"/>
  <c r="T62"/>
  <c r="T82"/>
  <c r="Z99" i="9"/>
  <c r="T112" i="3"/>
  <c r="T171"/>
  <c r="T186"/>
  <c r="T49"/>
  <c r="T107"/>
  <c r="T97"/>
  <c r="Z121" i="9"/>
  <c r="T150" i="3"/>
  <c r="Z118" i="9"/>
  <c r="Z182"/>
  <c r="T39" i="3"/>
  <c r="Z184" i="9"/>
  <c r="Z162"/>
  <c r="T154" i="3"/>
  <c r="T155"/>
  <c r="T120"/>
  <c r="T147"/>
  <c r="T136"/>
  <c r="T198"/>
  <c r="T12"/>
  <c r="Z191" i="9"/>
  <c r="T131" i="3"/>
  <c r="T98"/>
  <c r="T128"/>
  <c r="T79"/>
  <c r="T95"/>
  <c r="T134"/>
  <c r="T180"/>
  <c r="T116"/>
  <c r="Z127" i="9"/>
  <c r="Z167"/>
  <c r="T91" i="3"/>
  <c r="T156"/>
  <c r="Z153" i="9"/>
  <c r="T61" i="3"/>
  <c r="Z168" i="9"/>
  <c r="T106" i="3"/>
  <c r="T54"/>
  <c r="Z194" i="9"/>
  <c r="T163" i="3"/>
  <c r="Z102" i="9"/>
  <c r="Z154"/>
  <c r="T101" i="3"/>
  <c r="Z152" i="9"/>
  <c r="T125" i="3"/>
  <c r="T135"/>
  <c r="T53"/>
  <c r="T140"/>
  <c r="T25"/>
  <c r="Z173" i="9"/>
  <c r="Z120"/>
  <c r="Z136"/>
  <c r="Z92"/>
  <c r="T96" i="3"/>
  <c r="T153"/>
  <c r="T167"/>
  <c r="T104"/>
  <c r="Z83" i="9"/>
  <c r="Z145"/>
  <c r="T46" i="3"/>
  <c r="T68"/>
  <c r="T127"/>
  <c r="T17"/>
  <c r="T126"/>
  <c r="T63"/>
  <c r="Z141" i="9"/>
  <c r="Z85"/>
  <c r="T178" i="3"/>
  <c r="Z84" i="9"/>
  <c r="Z123"/>
  <c r="T169" i="3"/>
  <c r="T165"/>
  <c r="Z131" i="9"/>
  <c r="T133" i="3"/>
  <c r="Z117" i="9"/>
  <c r="T73" i="3"/>
  <c r="Z148" i="9"/>
  <c r="T59" i="3"/>
  <c r="T19"/>
  <c r="Z183" i="9"/>
  <c r="T92" i="3"/>
  <c r="T34"/>
  <c r="Z200" i="9"/>
  <c r="Z88"/>
  <c r="T114" i="3"/>
  <c r="Z114" i="9"/>
  <c r="Z166"/>
  <c r="T188" i="3"/>
  <c r="Z134" i="9"/>
  <c r="Z108"/>
  <c r="Z178"/>
  <c r="T170" i="3"/>
  <c r="T151"/>
  <c r="Z187" i="9"/>
  <c r="T192" i="3"/>
  <c r="Z89" i="9"/>
  <c r="T143" i="3"/>
  <c r="Z197" i="9"/>
  <c r="T113" i="3"/>
  <c r="T181"/>
  <c r="Z158" i="9"/>
  <c r="T130" i="3"/>
  <c r="Z115" i="9"/>
  <c r="T42" i="3"/>
  <c r="Z94" i="9"/>
  <c r="T189" i="3"/>
  <c r="T187"/>
  <c r="T20"/>
  <c r="Z110" i="9"/>
  <c r="Z91"/>
  <c r="T71" i="3"/>
  <c r="T80"/>
  <c r="Z189" i="9"/>
  <c r="Z155"/>
  <c r="T23" i="3"/>
  <c r="T121"/>
  <c r="T55"/>
  <c r="T65"/>
  <c r="T27"/>
  <c r="T108"/>
  <c r="Z132" i="9"/>
  <c r="Z124"/>
  <c r="Z113"/>
  <c r="T190" i="3"/>
  <c r="T157"/>
  <c r="Z185" i="9"/>
  <c r="Z93"/>
  <c r="T148" i="3"/>
  <c r="Z147" i="9"/>
  <c r="T50" i="3"/>
  <c r="T66"/>
  <c r="T191"/>
  <c r="Z146" i="9"/>
  <c r="T142" i="3"/>
  <c r="Z190" i="9"/>
  <c r="Z142"/>
  <c r="T159" i="3"/>
  <c r="T124"/>
  <c r="Z150" i="9"/>
  <c r="Z98"/>
  <c r="Z175"/>
  <c r="Z86"/>
  <c r="T122" i="3"/>
  <c r="T110"/>
  <c r="Z95" i="9"/>
  <c r="T70" i="3"/>
  <c r="T10"/>
  <c r="T9"/>
  <c r="Z7" i="9"/>
  <c r="T102" i="3"/>
  <c r="T173"/>
  <c r="Z129" i="9"/>
  <c r="T100" i="3"/>
  <c r="Z90" i="9"/>
  <c r="Z100"/>
  <c r="T145" i="3"/>
  <c r="T22"/>
  <c r="Z137" i="9"/>
  <c r="T94" i="3"/>
  <c r="T138"/>
  <c r="T199"/>
  <c r="T76"/>
  <c r="Z170" i="9"/>
  <c r="Z201"/>
  <c r="Z105"/>
  <c r="T144" i="3"/>
  <c r="T105"/>
  <c r="T84"/>
  <c r="Z119" i="9"/>
  <c r="T52" i="3"/>
  <c r="Z160" i="9"/>
  <c r="T36" i="3"/>
  <c r="T162"/>
  <c r="T48"/>
  <c r="T8"/>
  <c r="T87"/>
  <c r="T21"/>
  <c r="Z106" i="9"/>
  <c r="Z135"/>
  <c r="T43" i="3"/>
  <c r="Z188" i="9"/>
  <c r="Z163"/>
  <c r="T195" i="3"/>
  <c r="Z156" i="9"/>
  <c r="T166" i="3"/>
  <c r="T40"/>
  <c r="T67"/>
  <c r="Z177" i="9"/>
  <c r="T177" i="3"/>
  <c r="T35"/>
  <c r="T90"/>
  <c r="T47"/>
  <c r="Z176" i="9"/>
  <c r="Z144"/>
  <c r="T69" i="3"/>
  <c r="Z164" i="9"/>
  <c r="T141" i="3"/>
  <c r="T32"/>
  <c r="T164"/>
  <c r="T33"/>
  <c r="T2" l="1"/>
  <c r="U164"/>
  <c r="U141"/>
  <c r="U69"/>
  <c r="AA176" i="9"/>
  <c r="U90" i="3"/>
  <c r="U177"/>
  <c r="U67"/>
  <c r="U166"/>
  <c r="U195"/>
  <c r="AA188" i="9"/>
  <c r="AA135"/>
  <c r="U21" i="3"/>
  <c r="U8"/>
  <c r="U162"/>
  <c r="AA160" i="9"/>
  <c r="AA119"/>
  <c r="U105" i="3"/>
  <c r="AA105" i="9"/>
  <c r="AA170"/>
  <c r="U199" i="3"/>
  <c r="U94"/>
  <c r="U22"/>
  <c r="AA100" i="9"/>
  <c r="U100" i="3"/>
  <c r="U173"/>
  <c r="AA7" i="9"/>
  <c r="U10" i="3"/>
  <c r="AA95" i="9"/>
  <c r="U122" i="3"/>
  <c r="AA175" i="9"/>
  <c r="AA150"/>
  <c r="U159" i="3"/>
  <c r="AA190" i="9"/>
  <c r="AA146"/>
  <c r="U66" i="3"/>
  <c r="AA147" i="9"/>
  <c r="AA93"/>
  <c r="U157" i="3"/>
  <c r="AA113" i="9"/>
  <c r="AA132"/>
  <c r="U27" i="3"/>
  <c r="U55"/>
  <c r="U23"/>
  <c r="AA189" i="9"/>
  <c r="U71" i="3"/>
  <c r="AA110" i="9"/>
  <c r="U187" i="3"/>
  <c r="AA94" i="9"/>
  <c r="AA115"/>
  <c r="AA158"/>
  <c r="U113" i="3"/>
  <c r="U143"/>
  <c r="U192"/>
  <c r="U151"/>
  <c r="AA178" i="9"/>
  <c r="AA134"/>
  <c r="AA166"/>
  <c r="U114" i="3"/>
  <c r="AA200" i="9"/>
  <c r="U92" i="3"/>
  <c r="U19"/>
  <c r="AA148" i="9"/>
  <c r="AA117"/>
  <c r="AA131"/>
  <c r="U169" i="3"/>
  <c r="AA84" i="9"/>
  <c r="AA85"/>
  <c r="U63" i="3"/>
  <c r="U17"/>
  <c r="U68"/>
  <c r="AA145" i="9"/>
  <c r="U104" i="3"/>
  <c r="U153"/>
  <c r="AA92" i="9"/>
  <c r="AA120"/>
  <c r="U25" i="3"/>
  <c r="U53"/>
  <c r="U125"/>
  <c r="U101"/>
  <c r="AA102" i="9"/>
  <c r="AA194"/>
  <c r="U106" i="3"/>
  <c r="U61"/>
  <c r="U156"/>
  <c r="AA167" i="9"/>
  <c r="U116" i="3"/>
  <c r="U134"/>
  <c r="U79"/>
  <c r="U98"/>
  <c r="AA191" i="9"/>
  <c r="U198" i="3"/>
  <c r="U147"/>
  <c r="U155"/>
  <c r="AA162" i="9"/>
  <c r="U39" i="3"/>
  <c r="AA118" i="9"/>
  <c r="AA121"/>
  <c r="U107" i="3"/>
  <c r="U186"/>
  <c r="U112"/>
  <c r="U82"/>
  <c r="U118"/>
  <c r="AA109" i="9"/>
  <c r="AA138"/>
  <c r="U123" i="3"/>
  <c r="AA151" i="9"/>
  <c r="U89" i="3"/>
  <c r="U109"/>
  <c r="U28"/>
  <c r="U85"/>
  <c r="U149"/>
  <c r="U81"/>
  <c r="U30"/>
  <c r="U72"/>
  <c r="U83"/>
  <c r="U129"/>
  <c r="U75"/>
  <c r="AA104" i="9"/>
  <c r="U38" i="3"/>
  <c r="AA179" i="9"/>
  <c r="U184" i="3"/>
  <c r="AA107" i="9"/>
  <c r="U45" i="3"/>
  <c r="AA180" i="9"/>
  <c r="AA169"/>
  <c r="AA87"/>
  <c r="U24" i="3"/>
  <c r="U18"/>
  <c r="U51"/>
  <c r="U7"/>
  <c r="U56"/>
  <c r="AA139" i="9"/>
  <c r="U41" i="3"/>
  <c r="U146"/>
  <c r="U174"/>
  <c r="U44"/>
  <c r="U196"/>
  <c r="AA157" i="9"/>
  <c r="AA181"/>
  <c r="AA140"/>
  <c r="U103" i="3"/>
  <c r="U117"/>
  <c r="AA193" i="9"/>
  <c r="U119" i="3"/>
  <c r="U168"/>
  <c r="AA186" i="9"/>
  <c r="AA125"/>
  <c r="AA128"/>
  <c r="U11" i="3"/>
  <c r="AA122" i="9"/>
  <c r="U111" i="3"/>
  <c r="U29"/>
  <c r="AA195" i="9"/>
  <c r="U26" i="3"/>
  <c r="U88"/>
  <c r="AA165" i="9"/>
  <c r="AA133"/>
  <c r="AA82"/>
  <c r="AA112"/>
  <c r="U33" i="3"/>
  <c r="U32"/>
  <c r="AA164" i="9"/>
  <c r="AA144"/>
  <c r="U47" i="3"/>
  <c r="U35"/>
  <c r="AA177" i="9"/>
  <c r="U40" i="3"/>
  <c r="AA156" i="9"/>
  <c r="AA163"/>
  <c r="U43" i="3"/>
  <c r="AA106" i="9"/>
  <c r="U87" i="3"/>
  <c r="U48"/>
  <c r="U36"/>
  <c r="U52"/>
  <c r="U84"/>
  <c r="U144"/>
  <c r="AA201" i="9"/>
  <c r="U76" i="3"/>
  <c r="U138"/>
  <c r="AA137" i="9"/>
  <c r="U145" i="3"/>
  <c r="AA90" i="9"/>
  <c r="AA129"/>
  <c r="U102" i="3"/>
  <c r="U9"/>
  <c r="U70"/>
  <c r="U110"/>
  <c r="AA86" i="9"/>
  <c r="AA98"/>
  <c r="U124" i="3"/>
  <c r="AA142" i="9"/>
  <c r="U142" i="3"/>
  <c r="U191"/>
  <c r="U50"/>
  <c r="U148"/>
  <c r="AA185" i="9"/>
  <c r="U190" i="3"/>
  <c r="AA124" i="9"/>
  <c r="U108" i="3"/>
  <c r="U65"/>
  <c r="U121"/>
  <c r="AA155" i="9"/>
  <c r="U80" i="3"/>
  <c r="AA91" i="9"/>
  <c r="U20" i="3"/>
  <c r="U189"/>
  <c r="U42"/>
  <c r="U130"/>
  <c r="U181"/>
  <c r="AA197" i="9"/>
  <c r="AA89"/>
  <c r="AA187"/>
  <c r="U170" i="3"/>
  <c r="AA108" i="9"/>
  <c r="U188" i="3"/>
  <c r="AA114" i="9"/>
  <c r="AA88"/>
  <c r="U34" i="3"/>
  <c r="AA183" i="9"/>
  <c r="U59" i="3"/>
  <c r="U73"/>
  <c r="U133"/>
  <c r="U165"/>
  <c r="AA123" i="9"/>
  <c r="U178" i="3"/>
  <c r="AA141" i="9"/>
  <c r="U126" i="3"/>
  <c r="U127"/>
  <c r="U46"/>
  <c r="AA83" i="9"/>
  <c r="U167" i="3"/>
  <c r="U96"/>
  <c r="AA136" i="9"/>
  <c r="AA173"/>
  <c r="U140" i="3"/>
  <c r="U135"/>
  <c r="AA152" i="9"/>
  <c r="AA154"/>
  <c r="U163" i="3"/>
  <c r="U54"/>
  <c r="AA168" i="9"/>
  <c r="AA153"/>
  <c r="U91" i="3"/>
  <c r="AA127" i="9"/>
  <c r="U180" i="3"/>
  <c r="U95"/>
  <c r="U128"/>
  <c r="U131"/>
  <c r="U12"/>
  <c r="U136"/>
  <c r="U120"/>
  <c r="U154"/>
  <c r="AA184" i="9"/>
  <c r="AA182"/>
  <c r="U150" i="3"/>
  <c r="U97"/>
  <c r="U49"/>
  <c r="U171"/>
  <c r="AA99" i="9"/>
  <c r="U62" i="3"/>
  <c r="U37"/>
  <c r="AA130" i="9"/>
  <c r="AA103"/>
  <c r="U179" i="3"/>
  <c r="U74"/>
  <c r="AA171" i="9"/>
  <c r="AA192"/>
  <c r="U132" i="3"/>
  <c r="U60"/>
  <c r="U15"/>
  <c r="U13"/>
  <c r="AA149" i="9"/>
  <c r="U64" i="3"/>
  <c r="AA116" i="9"/>
  <c r="U176" i="3"/>
  <c r="AA143" i="9"/>
  <c r="U31" i="3"/>
  <c r="U160"/>
  <c r="U182"/>
  <c r="AA101" i="9"/>
  <c r="U175" i="3"/>
  <c r="U115"/>
  <c r="U193"/>
  <c r="U137"/>
  <c r="U78"/>
  <c r="U158"/>
  <c r="U183"/>
  <c r="AA111" i="9"/>
  <c r="U57" i="3"/>
  <c r="AA199" i="9"/>
  <c r="AA161"/>
  <c r="U58" i="3"/>
  <c r="U172"/>
  <c r="AA96" i="9"/>
  <c r="U152" i="3"/>
  <c r="AA97" i="9"/>
  <c r="U185" i="3"/>
  <c r="AA172" i="9"/>
  <c r="U99" i="3"/>
  <c r="U197"/>
  <c r="U16"/>
  <c r="AA174" i="9"/>
  <c r="AA126"/>
  <c r="U194" i="3"/>
  <c r="U14"/>
  <c r="U77"/>
  <c r="U86"/>
  <c r="AA196" i="9"/>
  <c r="AA198"/>
  <c r="U93" i="3"/>
  <c r="AA159" i="9"/>
  <c r="U200" i="3"/>
  <c r="U161"/>
  <c r="U139"/>
  <c r="U2" l="1"/>
  <c r="V161"/>
  <c r="AB159" i="9"/>
  <c r="AB198"/>
  <c r="V86" i="3"/>
  <c r="V14"/>
  <c r="AB126" i="9"/>
  <c r="V16" i="3"/>
  <c r="V99"/>
  <c r="V185"/>
  <c r="V152"/>
  <c r="V172"/>
  <c r="AB161" i="9"/>
  <c r="V57" i="3"/>
  <c r="V183"/>
  <c r="V78"/>
  <c r="V193"/>
  <c r="V175"/>
  <c r="V182"/>
  <c r="V31"/>
  <c r="V176"/>
  <c r="V64"/>
  <c r="V13"/>
  <c r="V60"/>
  <c r="AB192" i="9"/>
  <c r="V74" i="3"/>
  <c r="AB103" i="9"/>
  <c r="V37" i="3"/>
  <c r="AB99" i="9"/>
  <c r="V49" i="3"/>
  <c r="V150"/>
  <c r="AB184" i="9"/>
  <c r="V120" i="3"/>
  <c r="V12"/>
  <c r="V128"/>
  <c r="V180"/>
  <c r="V91"/>
  <c r="AB168" i="9"/>
  <c r="V163" i="3"/>
  <c r="AB152" i="9"/>
  <c r="V140" i="3"/>
  <c r="AB136" i="9"/>
  <c r="V167" i="3"/>
  <c r="V46"/>
  <c r="V126"/>
  <c r="V178"/>
  <c r="V165"/>
  <c r="V73"/>
  <c r="AB183" i="9"/>
  <c r="AB88"/>
  <c r="V188" i="3"/>
  <c r="V170"/>
  <c r="AB89" i="9"/>
  <c r="V181" i="3"/>
  <c r="V42"/>
  <c r="V20"/>
  <c r="V80"/>
  <c r="V121"/>
  <c r="V108"/>
  <c r="V190"/>
  <c r="V148"/>
  <c r="V191"/>
  <c r="AB142" i="9"/>
  <c r="AB98"/>
  <c r="V110" i="3"/>
  <c r="V9"/>
  <c r="AB129" i="9"/>
  <c r="V145" i="3"/>
  <c r="V138"/>
  <c r="AB201" i="9"/>
  <c r="V84" i="3"/>
  <c r="V36"/>
  <c r="V87"/>
  <c r="V43"/>
  <c r="AB156" i="9"/>
  <c r="AB177"/>
  <c r="V47" i="3"/>
  <c r="AB164" i="9"/>
  <c r="V33" i="3"/>
  <c r="AB82" i="9"/>
  <c r="AB165"/>
  <c r="V26" i="3"/>
  <c r="V29"/>
  <c r="AB122" i="9"/>
  <c r="AB128"/>
  <c r="AB186"/>
  <c r="V119" i="3"/>
  <c r="V117"/>
  <c r="AB140" i="9"/>
  <c r="AB157"/>
  <c r="V44" i="3"/>
  <c r="V146"/>
  <c r="AB139" i="9"/>
  <c r="V51" i="3"/>
  <c r="V24"/>
  <c r="AB169" i="9"/>
  <c r="V45" i="3"/>
  <c r="V184"/>
  <c r="V38"/>
  <c r="V75"/>
  <c r="V83"/>
  <c r="V30"/>
  <c r="V149"/>
  <c r="V28"/>
  <c r="V89"/>
  <c r="V123"/>
  <c r="AB109" i="9"/>
  <c r="V82" i="3"/>
  <c r="V186"/>
  <c r="AB121" i="9"/>
  <c r="V39" i="3"/>
  <c r="V155"/>
  <c r="V198"/>
  <c r="V98"/>
  <c r="V134"/>
  <c r="AB167" i="9"/>
  <c r="V61" i="3"/>
  <c r="AB194" i="9"/>
  <c r="V101" i="3"/>
  <c r="V53"/>
  <c r="AB120" i="9"/>
  <c r="V153" i="3"/>
  <c r="AB145" i="9"/>
  <c r="V17" i="3"/>
  <c r="AB85" i="9"/>
  <c r="V169" i="3"/>
  <c r="AB117" i="9"/>
  <c r="V19" i="3"/>
  <c r="AB200" i="9"/>
  <c r="AB166"/>
  <c r="AB178"/>
  <c r="V192" i="3"/>
  <c r="V113"/>
  <c r="AB115" i="9"/>
  <c r="V187" i="3"/>
  <c r="V71"/>
  <c r="V23"/>
  <c r="V27"/>
  <c r="AB113" i="9"/>
  <c r="AB93"/>
  <c r="V66" i="3"/>
  <c r="AB190" i="9"/>
  <c r="AB150"/>
  <c r="V122" i="3"/>
  <c r="V10"/>
  <c r="V173"/>
  <c r="AB100" i="9"/>
  <c r="V94" i="3"/>
  <c r="AB170" i="9"/>
  <c r="V105" i="3"/>
  <c r="AB160" i="9"/>
  <c r="V8" i="3"/>
  <c r="AB135" i="9"/>
  <c r="V195" i="3"/>
  <c r="V67"/>
  <c r="V90"/>
  <c r="V69"/>
  <c r="V164"/>
  <c r="V139"/>
  <c r="V200"/>
  <c r="V93"/>
  <c r="AB196" i="9"/>
  <c r="V77" i="3"/>
  <c r="V194"/>
  <c r="AB174" i="9"/>
  <c r="V197" i="3"/>
  <c r="AB172" i="9"/>
  <c r="AB97"/>
  <c r="AB96"/>
  <c r="V58" i="3"/>
  <c r="AB199" i="9"/>
  <c r="AB111"/>
  <c r="V158" i="3"/>
  <c r="V137"/>
  <c r="V115"/>
  <c r="AB101" i="9"/>
  <c r="V160" i="3"/>
  <c r="AB143" i="9"/>
  <c r="AB116"/>
  <c r="AB149"/>
  <c r="V15" i="3"/>
  <c r="V132"/>
  <c r="AB171" i="9"/>
  <c r="V179" i="3"/>
  <c r="AB130" i="9"/>
  <c r="V62" i="3"/>
  <c r="V171"/>
  <c r="V97"/>
  <c r="AB182" i="9"/>
  <c r="V154" i="3"/>
  <c r="V136"/>
  <c r="V131"/>
  <c r="V95"/>
  <c r="AB127" i="9"/>
  <c r="AB153"/>
  <c r="V54" i="3"/>
  <c r="AB154" i="9"/>
  <c r="V135" i="3"/>
  <c r="AB173" i="9"/>
  <c r="V96" i="3"/>
  <c r="AB83" i="9"/>
  <c r="V127" i="3"/>
  <c r="AB141" i="9"/>
  <c r="AB123"/>
  <c r="V133" i="3"/>
  <c r="V59"/>
  <c r="V34"/>
  <c r="AB114" i="9"/>
  <c r="AB108"/>
  <c r="AB187"/>
  <c r="AB197"/>
  <c r="V130" i="3"/>
  <c r="V189"/>
  <c r="AB91" i="9"/>
  <c r="AB155"/>
  <c r="V65" i="3"/>
  <c r="AB124" i="9"/>
  <c r="AB185"/>
  <c r="V50" i="3"/>
  <c r="V142"/>
  <c r="V124"/>
  <c r="AB86" i="9"/>
  <c r="V70" i="3"/>
  <c r="V102"/>
  <c r="AB90" i="9"/>
  <c r="AB137"/>
  <c r="V76" i="3"/>
  <c r="V144"/>
  <c r="V52"/>
  <c r="V48"/>
  <c r="AB106" i="9"/>
  <c r="AB163"/>
  <c r="V40" i="3"/>
  <c r="V35"/>
  <c r="AB144" i="9"/>
  <c r="V32" i="3"/>
  <c r="AB112" i="9"/>
  <c r="AB133"/>
  <c r="V88" i="3"/>
  <c r="AB195" i="9"/>
  <c r="V111" i="3"/>
  <c r="V11"/>
  <c r="AB125" i="9"/>
  <c r="V168" i="3"/>
  <c r="AB193" i="9"/>
  <c r="V103" i="3"/>
  <c r="AB181" i="9"/>
  <c r="V196" i="3"/>
  <c r="V174"/>
  <c r="V41"/>
  <c r="V56"/>
  <c r="V7"/>
  <c r="V18"/>
  <c r="AB87" i="9"/>
  <c r="AB180"/>
  <c r="AB107"/>
  <c r="AB179"/>
  <c r="AB104"/>
  <c r="V129" i="3"/>
  <c r="V72"/>
  <c r="V81"/>
  <c r="V85"/>
  <c r="V109"/>
  <c r="AB151" i="9"/>
  <c r="AB138"/>
  <c r="V118" i="3"/>
  <c r="V112"/>
  <c r="V107"/>
  <c r="AB118" i="9"/>
  <c r="AB162"/>
  <c r="V147" i="3"/>
  <c r="AB191" i="9"/>
  <c r="V79" i="3"/>
  <c r="V116"/>
  <c r="V156"/>
  <c r="V106"/>
  <c r="AB102" i="9"/>
  <c r="V125" i="3"/>
  <c r="V25"/>
  <c r="AB92" i="9"/>
  <c r="V104" i="3"/>
  <c r="V68"/>
  <c r="V63"/>
  <c r="AB84" i="9"/>
  <c r="AB131"/>
  <c r="AB148"/>
  <c r="V92" i="3"/>
  <c r="V114"/>
  <c r="AB134" i="9"/>
  <c r="V151" i="3"/>
  <c r="V143"/>
  <c r="AB158" i="9"/>
  <c r="AB94"/>
  <c r="AB110"/>
  <c r="AB189"/>
  <c r="V55" i="3"/>
  <c r="AB132" i="9"/>
  <c r="V157" i="3"/>
  <c r="AB147" i="9"/>
  <c r="AB146"/>
  <c r="V159" i="3"/>
  <c r="AB175" i="9"/>
  <c r="AB95"/>
  <c r="AB7"/>
  <c r="V100" i="3"/>
  <c r="V22"/>
  <c r="V199"/>
  <c r="AB105" i="9"/>
  <c r="AB119"/>
  <c r="V162" i="3"/>
  <c r="V21"/>
  <c r="AB188" i="9"/>
  <c r="V166" i="3"/>
  <c r="V177"/>
  <c r="AB176" i="9"/>
  <c r="V141" i="3"/>
  <c r="V2" l="1"/>
  <c r="AC176" i="9"/>
  <c r="W166" i="3"/>
  <c r="W21"/>
  <c r="AC119" i="9"/>
  <c r="W199" i="3"/>
  <c r="W100"/>
  <c r="AC95" i="9"/>
  <c r="W159" i="3"/>
  <c r="AC147" i="9"/>
  <c r="AC132"/>
  <c r="AC189"/>
  <c r="AC94"/>
  <c r="W143" i="3"/>
  <c r="AC134" i="9"/>
  <c r="W92" i="3"/>
  <c r="AC131" i="9"/>
  <c r="W63" i="3"/>
  <c r="W104"/>
  <c r="W25"/>
  <c r="AC102" i="9"/>
  <c r="W156" i="3"/>
  <c r="W79"/>
  <c r="W147"/>
  <c r="AC118" i="9"/>
  <c r="W112" i="3"/>
  <c r="AC138" i="9"/>
  <c r="W109" i="3"/>
  <c r="W81"/>
  <c r="W129"/>
  <c r="AC179" i="9"/>
  <c r="AC180"/>
  <c r="W18" i="3"/>
  <c r="W7"/>
  <c r="W41"/>
  <c r="W196"/>
  <c r="W103"/>
  <c r="W168"/>
  <c r="W11"/>
  <c r="AC195" i="9"/>
  <c r="AC133"/>
  <c r="W32" i="3"/>
  <c r="W35"/>
  <c r="AC163" i="9"/>
  <c r="W48" i="3"/>
  <c r="W144"/>
  <c r="AC137" i="9"/>
  <c r="W102" i="3"/>
  <c r="AC86" i="9"/>
  <c r="W142" i="3"/>
  <c r="AC185" i="9"/>
  <c r="W65" i="3"/>
  <c r="AC91" i="9"/>
  <c r="W130" i="3"/>
  <c r="AC187" i="9"/>
  <c r="AC114"/>
  <c r="W59" i="3"/>
  <c r="AC123" i="9"/>
  <c r="W127" i="3"/>
  <c r="W96"/>
  <c r="W135"/>
  <c r="W54"/>
  <c r="AC127" i="9"/>
  <c r="W131" i="3"/>
  <c r="W154"/>
  <c r="W97"/>
  <c r="W62"/>
  <c r="W179"/>
  <c r="W132"/>
  <c r="AC149" i="9"/>
  <c r="AC143"/>
  <c r="AC101"/>
  <c r="W137" i="3"/>
  <c r="AC111" i="9"/>
  <c r="W58" i="3"/>
  <c r="AC97" i="9"/>
  <c r="W197" i="3"/>
  <c r="W194"/>
  <c r="AC196" i="9"/>
  <c r="W200" i="3"/>
  <c r="W164"/>
  <c r="W90"/>
  <c r="W195"/>
  <c r="W8"/>
  <c r="W105"/>
  <c r="W94"/>
  <c r="W173"/>
  <c r="W122"/>
  <c r="AC190" i="9"/>
  <c r="AC93"/>
  <c r="W27" i="3"/>
  <c r="W71"/>
  <c r="AC115" i="9"/>
  <c r="W192" i="3"/>
  <c r="AC166" i="9"/>
  <c r="W19" i="3"/>
  <c r="W169"/>
  <c r="W17"/>
  <c r="W153"/>
  <c r="W53"/>
  <c r="AC194" i="9"/>
  <c r="AC167"/>
  <c r="W98" i="3"/>
  <c r="W155"/>
  <c r="AC121" i="9"/>
  <c r="W82" i="3"/>
  <c r="W123"/>
  <c r="W28"/>
  <c r="W30"/>
  <c r="W75"/>
  <c r="W184"/>
  <c r="AC169" i="9"/>
  <c r="W51" i="3"/>
  <c r="W146"/>
  <c r="AC157" i="9"/>
  <c r="W117" i="3"/>
  <c r="AC186" i="9"/>
  <c r="AC122"/>
  <c r="W26" i="3"/>
  <c r="AC82" i="9"/>
  <c r="AC164"/>
  <c r="AC177"/>
  <c r="W43" i="3"/>
  <c r="W36"/>
  <c r="AC201" i="9"/>
  <c r="W145" i="3"/>
  <c r="W9"/>
  <c r="AC98" i="9"/>
  <c r="W191" i="3"/>
  <c r="W190"/>
  <c r="W121"/>
  <c r="W20"/>
  <c r="W181"/>
  <c r="W170"/>
  <c r="AC88" i="9"/>
  <c r="W73" i="3"/>
  <c r="W178"/>
  <c r="W46"/>
  <c r="AC136" i="9"/>
  <c r="AC152"/>
  <c r="AC168"/>
  <c r="W180" i="3"/>
  <c r="W12"/>
  <c r="AC184" i="9"/>
  <c r="W49" i="3"/>
  <c r="W37"/>
  <c r="W74"/>
  <c r="W60"/>
  <c r="W64"/>
  <c r="W31"/>
  <c r="W175"/>
  <c r="W78"/>
  <c r="W57"/>
  <c r="W172"/>
  <c r="W185"/>
  <c r="W16"/>
  <c r="W14"/>
  <c r="AC198" i="9"/>
  <c r="W161" i="3"/>
  <c r="W141"/>
  <c r="W177"/>
  <c r="AC188" i="9"/>
  <c r="W162" i="3"/>
  <c r="AC105" i="9"/>
  <c r="W22" i="3"/>
  <c r="AC7" i="9"/>
  <c r="AC175"/>
  <c r="AC146"/>
  <c r="W157" i="3"/>
  <c r="W55"/>
  <c r="AC110" i="9"/>
  <c r="AC158"/>
  <c r="W151" i="3"/>
  <c r="W114"/>
  <c r="AC148" i="9"/>
  <c r="AC84"/>
  <c r="W68" i="3"/>
  <c r="AC92" i="9"/>
  <c r="W125" i="3"/>
  <c r="W106"/>
  <c r="W116"/>
  <c r="AC191" i="9"/>
  <c r="AC162"/>
  <c r="W107" i="3"/>
  <c r="W118"/>
  <c r="AC151" i="9"/>
  <c r="W85" i="3"/>
  <c r="W72"/>
  <c r="AC104" i="9"/>
  <c r="AC107"/>
  <c r="AC87"/>
  <c r="W56" i="3"/>
  <c r="W174"/>
  <c r="AC181" i="9"/>
  <c r="AC193"/>
  <c r="AC125"/>
  <c r="W111" i="3"/>
  <c r="W88"/>
  <c r="AC112" i="9"/>
  <c r="AC144"/>
  <c r="W40" i="3"/>
  <c r="AC106" i="9"/>
  <c r="W52" i="3"/>
  <c r="W76"/>
  <c r="AC90" i="9"/>
  <c r="W70" i="3"/>
  <c r="W124"/>
  <c r="W50"/>
  <c r="AC124" i="9"/>
  <c r="AC155"/>
  <c r="W189" i="3"/>
  <c r="AC197" i="9"/>
  <c r="AC108"/>
  <c r="W34" i="3"/>
  <c r="W133"/>
  <c r="AC141" i="9"/>
  <c r="AC83"/>
  <c r="AC173"/>
  <c r="AC154"/>
  <c r="AC153"/>
  <c r="W95" i="3"/>
  <c r="W136"/>
  <c r="AC182" i="9"/>
  <c r="W171" i="3"/>
  <c r="AC130" i="9"/>
  <c r="AC171"/>
  <c r="W15" i="3"/>
  <c r="AC116" i="9"/>
  <c r="W160" i="3"/>
  <c r="W115"/>
  <c r="W158"/>
  <c r="AC199" i="9"/>
  <c r="AC96"/>
  <c r="AC172"/>
  <c r="AC174"/>
  <c r="W77" i="3"/>
  <c r="W93"/>
  <c r="W139"/>
  <c r="W69"/>
  <c r="W67"/>
  <c r="AC135" i="9"/>
  <c r="AC160"/>
  <c r="AC170"/>
  <c r="AC100"/>
  <c r="W10" i="3"/>
  <c r="AC150" i="9"/>
  <c r="W66" i="3"/>
  <c r="AC113" i="9"/>
  <c r="W23" i="3"/>
  <c r="W187"/>
  <c r="W113"/>
  <c r="AC178" i="9"/>
  <c r="AC200"/>
  <c r="AC117"/>
  <c r="AC85"/>
  <c r="AC145"/>
  <c r="AC120"/>
  <c r="W101" i="3"/>
  <c r="W61"/>
  <c r="W134"/>
  <c r="W198"/>
  <c r="W39"/>
  <c r="W186"/>
  <c r="AC109" i="9"/>
  <c r="W89" i="3"/>
  <c r="W149"/>
  <c r="W83"/>
  <c r="W38"/>
  <c r="W45"/>
  <c r="W24"/>
  <c r="AC139" i="9"/>
  <c r="W44" i="3"/>
  <c r="AC140" i="9"/>
  <c r="W119" i="3"/>
  <c r="AC128" i="9"/>
  <c r="W29" i="3"/>
  <c r="AC165" i="9"/>
  <c r="W33" i="3"/>
  <c r="W47"/>
  <c r="AC156" i="9"/>
  <c r="W87" i="3"/>
  <c r="W84"/>
  <c r="W138"/>
  <c r="AC129" i="9"/>
  <c r="W110" i="3"/>
  <c r="AC142" i="9"/>
  <c r="W148" i="3"/>
  <c r="W108"/>
  <c r="W80"/>
  <c r="W42"/>
  <c r="AC89" i="9"/>
  <c r="W188" i="3"/>
  <c r="AC183" i="9"/>
  <c r="W165" i="3"/>
  <c r="W126"/>
  <c r="W167"/>
  <c r="W140"/>
  <c r="W163"/>
  <c r="W91"/>
  <c r="W128"/>
  <c r="W120"/>
  <c r="W150"/>
  <c r="AC99" i="9"/>
  <c r="AC103"/>
  <c r="AC192"/>
  <c r="W13" i="3"/>
  <c r="W176"/>
  <c r="W182"/>
  <c r="W193"/>
  <c r="W183"/>
  <c r="AC161" i="9"/>
  <c r="W152" i="3"/>
  <c r="W99"/>
  <c r="AC126" i="9"/>
  <c r="W86" i="3"/>
  <c r="AC159" i="9"/>
  <c r="W2" i="3" l="1"/>
  <c r="X86"/>
  <c r="X99"/>
  <c r="AD161" i="9"/>
  <c r="X193" i="3"/>
  <c r="X176"/>
  <c r="AD192" i="9"/>
  <c r="AD99"/>
  <c r="X120" i="3"/>
  <c r="X91"/>
  <c r="X140"/>
  <c r="X126"/>
  <c r="AD183" i="9"/>
  <c r="AD89"/>
  <c r="X80" i="3"/>
  <c r="X148"/>
  <c r="X110"/>
  <c r="X138"/>
  <c r="X87"/>
  <c r="X47"/>
  <c r="AD165" i="9"/>
  <c r="AD128"/>
  <c r="AD140"/>
  <c r="AD139"/>
  <c r="X45" i="3"/>
  <c r="X83"/>
  <c r="X89"/>
  <c r="X186"/>
  <c r="X198"/>
  <c r="X61"/>
  <c r="AD120" i="9"/>
  <c r="AD85"/>
  <c r="AD200"/>
  <c r="X113" i="3"/>
  <c r="X23"/>
  <c r="X66"/>
  <c r="X10"/>
  <c r="AD170" i="9"/>
  <c r="AD135"/>
  <c r="X69" i="3"/>
  <c r="X93"/>
  <c r="AD174" i="9"/>
  <c r="AD96"/>
  <c r="X158" i="3"/>
  <c r="X160"/>
  <c r="X15"/>
  <c r="AD130" i="9"/>
  <c r="AD182"/>
  <c r="X95" i="3"/>
  <c r="AD154" i="9"/>
  <c r="AD83"/>
  <c r="X133" i="3"/>
  <c r="AD108" i="9"/>
  <c r="X189" i="3"/>
  <c r="AD124" i="9"/>
  <c r="X124" i="3"/>
  <c r="AD90" i="9"/>
  <c r="X52" i="3"/>
  <c r="X40"/>
  <c r="AD112" i="9"/>
  <c r="X111" i="3"/>
  <c r="AD193" i="9"/>
  <c r="X174" i="3"/>
  <c r="AD87" i="9"/>
  <c r="AD104"/>
  <c r="X85" i="3"/>
  <c r="X118"/>
  <c r="AD162" i="9"/>
  <c r="X116" i="3"/>
  <c r="X125"/>
  <c r="X68"/>
  <c r="AD148" i="9"/>
  <c r="X151" i="3"/>
  <c r="AD110" i="9"/>
  <c r="X157" i="3"/>
  <c r="AD175" i="9"/>
  <c r="X22" i="3"/>
  <c r="X162"/>
  <c r="X177"/>
  <c r="X161"/>
  <c r="X14"/>
  <c r="X185"/>
  <c r="X57"/>
  <c r="X175"/>
  <c r="X64"/>
  <c r="X74"/>
  <c r="X49"/>
  <c r="X12"/>
  <c r="AD168" i="9"/>
  <c r="AD136"/>
  <c r="X178" i="3"/>
  <c r="AD88" i="9"/>
  <c r="X181" i="3"/>
  <c r="X121"/>
  <c r="X191"/>
  <c r="X9"/>
  <c r="AD201" i="9"/>
  <c r="X43" i="3"/>
  <c r="AD164" i="9"/>
  <c r="X26" i="3"/>
  <c r="AD186" i="9"/>
  <c r="AD157"/>
  <c r="X51" i="3"/>
  <c r="X184"/>
  <c r="X30"/>
  <c r="X123"/>
  <c r="AD121" i="9"/>
  <c r="X98" i="3"/>
  <c r="AD194" i="9"/>
  <c r="X153" i="3"/>
  <c r="X169"/>
  <c r="AD166" i="9"/>
  <c r="AD115"/>
  <c r="X27" i="3"/>
  <c r="AD190" i="9"/>
  <c r="X173" i="3"/>
  <c r="X105"/>
  <c r="X195"/>
  <c r="X164"/>
  <c r="AD196" i="9"/>
  <c r="X197" i="3"/>
  <c r="X58"/>
  <c r="X137"/>
  <c r="AD143" i="9"/>
  <c r="X132" i="3"/>
  <c r="X62"/>
  <c r="X154"/>
  <c r="AD127" i="9"/>
  <c r="X135" i="3"/>
  <c r="X127"/>
  <c r="X59"/>
  <c r="AD187" i="9"/>
  <c r="AD91"/>
  <c r="AD185"/>
  <c r="AD86"/>
  <c r="AD137"/>
  <c r="X48" i="3"/>
  <c r="X35"/>
  <c r="AD133" i="9"/>
  <c r="X11" i="3"/>
  <c r="X103"/>
  <c r="X41"/>
  <c r="X7"/>
  <c r="AD180" i="9"/>
  <c r="X129" i="3"/>
  <c r="X109"/>
  <c r="X112"/>
  <c r="X147"/>
  <c r="X156"/>
  <c r="X25"/>
  <c r="X63"/>
  <c r="X92"/>
  <c r="X143"/>
  <c r="AD189" i="9"/>
  <c r="AD147"/>
  <c r="AD95"/>
  <c r="X199" i="3"/>
  <c r="X21"/>
  <c r="AD176" i="9"/>
  <c r="AD159"/>
  <c r="AD126"/>
  <c r="X152" i="3"/>
  <c r="X183"/>
  <c r="X182"/>
  <c r="X13"/>
  <c r="AD103" i="9"/>
  <c r="X150" i="3"/>
  <c r="X128"/>
  <c r="X163"/>
  <c r="X167"/>
  <c r="X165"/>
  <c r="X188"/>
  <c r="X42"/>
  <c r="X108"/>
  <c r="AD142" i="9"/>
  <c r="AD129"/>
  <c r="X84" i="3"/>
  <c r="AD156" i="9"/>
  <c r="X33" i="3"/>
  <c r="X29"/>
  <c r="X119"/>
  <c r="X44"/>
  <c r="X24"/>
  <c r="X38"/>
  <c r="X149"/>
  <c r="AD109" i="9"/>
  <c r="X39" i="3"/>
  <c r="X134"/>
  <c r="X101"/>
  <c r="AD145" i="9"/>
  <c r="AD117"/>
  <c r="AD178"/>
  <c r="X187" i="3"/>
  <c r="AD113" i="9"/>
  <c r="AD150"/>
  <c r="AD100"/>
  <c r="AD160"/>
  <c r="X67" i="3"/>
  <c r="X139"/>
  <c r="X77"/>
  <c r="AD172" i="9"/>
  <c r="AD199"/>
  <c r="X115" i="3"/>
  <c r="AD116" i="9"/>
  <c r="AD171"/>
  <c r="X171" i="3"/>
  <c r="X136"/>
  <c r="AD153" i="9"/>
  <c r="AD173"/>
  <c r="AD141"/>
  <c r="X34" i="3"/>
  <c r="AD197" i="9"/>
  <c r="AD155"/>
  <c r="X50" i="3"/>
  <c r="X70"/>
  <c r="X76"/>
  <c r="AD106" i="9"/>
  <c r="AD144"/>
  <c r="X88" i="3"/>
  <c r="AD125" i="9"/>
  <c r="AD181"/>
  <c r="X56" i="3"/>
  <c r="AD107" i="9"/>
  <c r="X72" i="3"/>
  <c r="AD151" i="9"/>
  <c r="X107" i="3"/>
  <c r="AD191" i="9"/>
  <c r="X106" i="3"/>
  <c r="AD92" i="9"/>
  <c r="AD84"/>
  <c r="X114" i="3"/>
  <c r="AD158" i="9"/>
  <c r="X55" i="3"/>
  <c r="AD146" i="9"/>
  <c r="AD7"/>
  <c r="AD105"/>
  <c r="AD188"/>
  <c r="X141" i="3"/>
  <c r="AD198" i="9"/>
  <c r="X16" i="3"/>
  <c r="X172"/>
  <c r="X78"/>
  <c r="X31"/>
  <c r="X60"/>
  <c r="X37"/>
  <c r="AD184" i="9"/>
  <c r="X180" i="3"/>
  <c r="AD152" i="9"/>
  <c r="X46" i="3"/>
  <c r="X73"/>
  <c r="X170"/>
  <c r="X20"/>
  <c r="X190"/>
  <c r="AD98" i="9"/>
  <c r="X145" i="3"/>
  <c r="X36"/>
  <c r="AD177" i="9"/>
  <c r="AD82"/>
  <c r="AD122"/>
  <c r="X117" i="3"/>
  <c r="X146"/>
  <c r="AD169" i="9"/>
  <c r="X75" i="3"/>
  <c r="X28"/>
  <c r="X82"/>
  <c r="X155"/>
  <c r="AD167" i="9"/>
  <c r="X53" i="3"/>
  <c r="X17"/>
  <c r="X19"/>
  <c r="X192"/>
  <c r="X71"/>
  <c r="AD93" i="9"/>
  <c r="X122" i="3"/>
  <c r="X94"/>
  <c r="X8"/>
  <c r="X90"/>
  <c r="X200"/>
  <c r="X194"/>
  <c r="AD97" i="9"/>
  <c r="AD111"/>
  <c r="AD101"/>
  <c r="AD149"/>
  <c r="X179" i="3"/>
  <c r="X97"/>
  <c r="X131"/>
  <c r="X54"/>
  <c r="X96"/>
  <c r="AD123" i="9"/>
  <c r="AD114"/>
  <c r="X130" i="3"/>
  <c r="X65"/>
  <c r="X142"/>
  <c r="X102"/>
  <c r="X144"/>
  <c r="AD163" i="9"/>
  <c r="X32" i="3"/>
  <c r="AD195" i="9"/>
  <c r="X168" i="3"/>
  <c r="X196"/>
  <c r="X18"/>
  <c r="AD179" i="9"/>
  <c r="X81" i="3"/>
  <c r="AD138" i="9"/>
  <c r="AD118"/>
  <c r="X79" i="3"/>
  <c r="AD102" i="9"/>
  <c r="X104" i="3"/>
  <c r="AD131" i="9"/>
  <c r="AD134"/>
  <c r="AD94"/>
  <c r="AD132"/>
  <c r="X159" i="3"/>
  <c r="X100"/>
  <c r="AD119" i="9"/>
  <c r="X166" i="3"/>
  <c r="X2" l="1"/>
  <c r="AE119" i="9"/>
  <c r="Y159" i="3"/>
  <c r="AE94" i="9"/>
  <c r="AE131"/>
  <c r="AE102"/>
  <c r="AE118"/>
  <c r="Y81" i="3"/>
  <c r="Y18"/>
  <c r="Y168"/>
  <c r="Y32"/>
  <c r="Y144"/>
  <c r="Y142"/>
  <c r="Y130"/>
  <c r="AE123" i="9"/>
  <c r="Y54" i="3"/>
  <c r="Y97"/>
  <c r="AE149" i="9"/>
  <c r="AE111"/>
  <c r="Y194" i="3"/>
  <c r="Y90"/>
  <c r="Y94"/>
  <c r="AE93" i="9"/>
  <c r="Y192" i="3"/>
  <c r="Y17"/>
  <c r="AE167" i="9"/>
  <c r="Y82" i="3"/>
  <c r="Y75"/>
  <c r="Y146"/>
  <c r="AE122" i="9"/>
  <c r="AE177"/>
  <c r="Y145" i="3"/>
  <c r="Y190"/>
  <c r="Y170"/>
  <c r="Y46"/>
  <c r="Y180"/>
  <c r="Y37"/>
  <c r="Y31"/>
  <c r="Y172"/>
  <c r="AE198" i="9"/>
  <c r="AE188"/>
  <c r="AE7"/>
  <c r="Y55" i="3"/>
  <c r="Y114"/>
  <c r="AE92" i="9"/>
  <c r="AE191"/>
  <c r="AE151"/>
  <c r="AE107"/>
  <c r="AE181"/>
  <c r="Y88" i="3"/>
  <c r="AE106" i="9"/>
  <c r="Y70" i="3"/>
  <c r="AE155" i="9"/>
  <c r="Y34" i="3"/>
  <c r="AE173" i="9"/>
  <c r="Y136" i="3"/>
  <c r="AE171" i="9"/>
  <c r="Y115" i="3"/>
  <c r="AE172" i="9"/>
  <c r="Y139" i="3"/>
  <c r="AE160" i="9"/>
  <c r="AE150"/>
  <c r="Y187" i="3"/>
  <c r="AE117" i="9"/>
  <c r="Y101" i="3"/>
  <c r="Y39"/>
  <c r="Y149"/>
  <c r="Y24"/>
  <c r="Y119"/>
  <c r="Y33"/>
  <c r="Y84"/>
  <c r="AE142" i="9"/>
  <c r="Y42" i="3"/>
  <c r="Y165"/>
  <c r="Y163"/>
  <c r="Y150"/>
  <c r="Y13"/>
  <c r="Y183"/>
  <c r="AE126" i="9"/>
  <c r="AE176"/>
  <c r="Y199" i="3"/>
  <c r="AE147" i="9"/>
  <c r="Y143" i="3"/>
  <c r="Y63"/>
  <c r="Y156"/>
  <c r="Y112"/>
  <c r="Y129"/>
  <c r="Y41"/>
  <c r="Y11"/>
  <c r="Y35"/>
  <c r="AE137" i="9"/>
  <c r="AE185"/>
  <c r="AE187"/>
  <c r="Y127" i="3"/>
  <c r="AE127" i="9"/>
  <c r="Y62" i="3"/>
  <c r="AE143" i="9"/>
  <c r="Y58" i="3"/>
  <c r="AE196" i="9"/>
  <c r="Y195" i="3"/>
  <c r="Y173"/>
  <c r="Y27"/>
  <c r="AE166" i="9"/>
  <c r="Y153" i="3"/>
  <c r="Y98"/>
  <c r="Y123"/>
  <c r="Y184"/>
  <c r="AE157" i="9"/>
  <c r="Y26" i="3"/>
  <c r="Y43"/>
  <c r="Y9"/>
  <c r="Y121"/>
  <c r="AE88" i="9"/>
  <c r="AE136"/>
  <c r="Y12" i="3"/>
  <c r="Y74"/>
  <c r="Y175"/>
  <c r="Y185"/>
  <c r="Y161"/>
  <c r="Y162"/>
  <c r="AE175" i="9"/>
  <c r="AE110"/>
  <c r="AE148"/>
  <c r="Y125" i="3"/>
  <c r="AE162" i="9"/>
  <c r="Y85" i="3"/>
  <c r="AE87" i="9"/>
  <c r="AE193"/>
  <c r="AE112"/>
  <c r="Y52" i="3"/>
  <c r="Y124"/>
  <c r="Y189"/>
  <c r="Y133"/>
  <c r="AE154" i="9"/>
  <c r="AE182"/>
  <c r="Y15" i="3"/>
  <c r="Y158"/>
  <c r="AE174" i="9"/>
  <c r="Y69" i="3"/>
  <c r="AE170" i="9"/>
  <c r="Y66" i="3"/>
  <c r="Y113"/>
  <c r="AE85" i="9"/>
  <c r="Y61" i="3"/>
  <c r="Y186"/>
  <c r="Y83"/>
  <c r="AE139" i="9"/>
  <c r="AE128"/>
  <c r="Y47" i="3"/>
  <c r="Y138"/>
  <c r="Y148"/>
  <c r="AE89" i="9"/>
  <c r="Y126" i="3"/>
  <c r="Y91"/>
  <c r="AE99" i="9"/>
  <c r="Y176" i="3"/>
  <c r="AE161" i="9"/>
  <c r="Y86" i="3"/>
  <c r="Y166"/>
  <c r="Y100"/>
  <c r="AE132" i="9"/>
  <c r="AE134"/>
  <c r="Y104" i="3"/>
  <c r="Y79"/>
  <c r="AE138" i="9"/>
  <c r="AE179"/>
  <c r="Y196" i="3"/>
  <c r="AE195" i="9"/>
  <c r="AE163"/>
  <c r="Y102" i="3"/>
  <c r="Y65"/>
  <c r="AE114" i="9"/>
  <c r="Y96" i="3"/>
  <c r="Y131"/>
  <c r="Y179"/>
  <c r="AE101" i="9"/>
  <c r="AE97"/>
  <c r="Y200" i="3"/>
  <c r="Y8"/>
  <c r="Y122"/>
  <c r="Y71"/>
  <c r="Y19"/>
  <c r="Y53"/>
  <c r="Y155"/>
  <c r="Y28"/>
  <c r="AE169" i="9"/>
  <c r="Y117" i="3"/>
  <c r="AE82" i="9"/>
  <c r="Y36" i="3"/>
  <c r="AE98" i="9"/>
  <c r="Y20" i="3"/>
  <c r="Y73"/>
  <c r="AE152" i="9"/>
  <c r="AE184"/>
  <c r="Y60" i="3"/>
  <c r="Y78"/>
  <c r="Y16"/>
  <c r="Y141"/>
  <c r="AE105" i="9"/>
  <c r="AE146"/>
  <c r="AE158"/>
  <c r="AE84"/>
  <c r="Y106" i="3"/>
  <c r="Y107"/>
  <c r="Y72"/>
  <c r="Y56"/>
  <c r="AE125" i="9"/>
  <c r="AE144"/>
  <c r="Y76" i="3"/>
  <c r="Y50"/>
  <c r="AE197" i="9"/>
  <c r="AE141"/>
  <c r="AE153"/>
  <c r="Y171" i="3"/>
  <c r="AE116" i="9"/>
  <c r="AE199"/>
  <c r="Y77" i="3"/>
  <c r="Y67"/>
  <c r="AE100" i="9"/>
  <c r="AE113"/>
  <c r="AE178"/>
  <c r="AE145"/>
  <c r="Y134" i="3"/>
  <c r="AE109" i="9"/>
  <c r="Y38" i="3"/>
  <c r="Y44"/>
  <c r="Y29"/>
  <c r="AE156" i="9"/>
  <c r="AE129"/>
  <c r="Y108" i="3"/>
  <c r="Y188"/>
  <c r="Y167"/>
  <c r="Y128"/>
  <c r="AE103" i="9"/>
  <c r="Y182" i="3"/>
  <c r="Y152"/>
  <c r="AE159" i="9"/>
  <c r="Y21" i="3"/>
  <c r="AE95" i="9"/>
  <c r="AE189"/>
  <c r="Y92" i="3"/>
  <c r="Y25"/>
  <c r="Y147"/>
  <c r="Y109"/>
  <c r="AE180" i="9"/>
  <c r="Y7" i="3"/>
  <c r="Y103"/>
  <c r="AE133" i="9"/>
  <c r="Y48" i="3"/>
  <c r="AE86" i="9"/>
  <c r="AE91"/>
  <c r="Y59" i="3"/>
  <c r="Y135"/>
  <c r="Y154"/>
  <c r="Y132"/>
  <c r="Y137"/>
  <c r="Y197"/>
  <c r="Y164"/>
  <c r="Y105"/>
  <c r="AE190" i="9"/>
  <c r="AE115"/>
  <c r="Y169" i="3"/>
  <c r="AE194" i="9"/>
  <c r="AE121"/>
  <c r="Y30" i="3"/>
  <c r="Y51"/>
  <c r="AE186" i="9"/>
  <c r="AE164"/>
  <c r="AE201"/>
  <c r="Y191" i="3"/>
  <c r="Y181"/>
  <c r="Y178"/>
  <c r="AE168" i="9"/>
  <c r="Y49" i="3"/>
  <c r="Y64"/>
  <c r="Y57"/>
  <c r="Y14"/>
  <c r="Y177"/>
  <c r="Y22"/>
  <c r="Y157"/>
  <c r="Y151"/>
  <c r="Y68"/>
  <c r="Y116"/>
  <c r="Y118"/>
  <c r="AE104" i="9"/>
  <c r="Y174" i="3"/>
  <c r="Y111"/>
  <c r="Y40"/>
  <c r="AE90" i="9"/>
  <c r="AE124"/>
  <c r="AE108"/>
  <c r="AE83"/>
  <c r="Y95" i="3"/>
  <c r="AE130" i="9"/>
  <c r="Y160" i="3"/>
  <c r="AE96" i="9"/>
  <c r="Y93" i="3"/>
  <c r="AE135" i="9"/>
  <c r="Y10" i="3"/>
  <c r="Y23"/>
  <c r="AE200" i="9"/>
  <c r="AE120"/>
  <c r="Y198" i="3"/>
  <c r="Y89"/>
  <c r="Y45"/>
  <c r="AE140" i="9"/>
  <c r="AE165"/>
  <c r="Y87" i="3"/>
  <c r="Y110"/>
  <c r="Y80"/>
  <c r="AE183" i="9"/>
  <c r="Y140" i="3"/>
  <c r="Y120"/>
  <c r="AE192" i="9"/>
  <c r="Y193" i="3"/>
  <c r="Y99"/>
  <c r="Y2" l="1"/>
  <c r="Z193"/>
  <c r="Z120"/>
  <c r="AF183" i="9"/>
  <c r="Z110" i="3"/>
  <c r="AF165" i="9"/>
  <c r="Z45" i="3"/>
  <c r="Z198"/>
  <c r="AF200" i="9"/>
  <c r="Z10" i="3"/>
  <c r="Z93"/>
  <c r="Z160"/>
  <c r="Z95"/>
  <c r="AF108" i="9"/>
  <c r="AF90"/>
  <c r="Z111" i="3"/>
  <c r="AF104" i="9"/>
  <c r="Z116" i="3"/>
  <c r="Z151"/>
  <c r="Z22"/>
  <c r="Z14"/>
  <c r="Z64"/>
  <c r="AF168" i="9"/>
  <c r="Z181" i="3"/>
  <c r="AF201" i="9"/>
  <c r="AF186"/>
  <c r="Z30" i="3"/>
  <c r="AF194" i="9"/>
  <c r="AF115"/>
  <c r="Z105" i="3"/>
  <c r="Z197"/>
  <c r="Z132"/>
  <c r="Z135"/>
  <c r="AF91" i="9"/>
  <c r="Z48" i="3"/>
  <c r="Z103"/>
  <c r="Z7"/>
  <c r="Z109"/>
  <c r="Z25"/>
  <c r="AF189" i="9"/>
  <c r="Z21" i="3"/>
  <c r="Z152"/>
  <c r="AF103" i="9"/>
  <c r="Z167" i="3"/>
  <c r="Z108"/>
  <c r="AF156" i="9"/>
  <c r="Z44" i="3"/>
  <c r="AF109" i="9"/>
  <c r="AF145"/>
  <c r="AF113"/>
  <c r="Z67" i="3"/>
  <c r="AF199" i="9"/>
  <c r="Z171" i="3"/>
  <c r="AF141" i="9"/>
  <c r="Z50" i="3"/>
  <c r="AF144" i="9"/>
  <c r="Z56" i="3"/>
  <c r="Z107"/>
  <c r="AF84" i="9"/>
  <c r="AF146"/>
  <c r="Z141" i="3"/>
  <c r="Z78"/>
  <c r="AF184" i="9"/>
  <c r="Z73" i="3"/>
  <c r="AF98" i="9"/>
  <c r="AF82"/>
  <c r="AF169"/>
  <c r="Z155" i="3"/>
  <c r="Z19"/>
  <c r="Z122"/>
  <c r="Z200"/>
  <c r="AF101" i="9"/>
  <c r="Z131" i="3"/>
  <c r="AF114" i="9"/>
  <c r="Z102" i="3"/>
  <c r="AF195" i="9"/>
  <c r="AF179"/>
  <c r="Z79" i="3"/>
  <c r="AF134" i="9"/>
  <c r="Z100" i="3"/>
  <c r="Z86"/>
  <c r="Z176"/>
  <c r="Z91"/>
  <c r="AF89" i="9"/>
  <c r="Z138" i="3"/>
  <c r="AF128" i="9"/>
  <c r="Z83" i="3"/>
  <c r="Z61"/>
  <c r="Z113"/>
  <c r="AF170" i="9"/>
  <c r="AF174"/>
  <c r="Z15" i="3"/>
  <c r="AF154" i="9"/>
  <c r="Z189" i="3"/>
  <c r="Z52"/>
  <c r="AF193" i="9"/>
  <c r="Z85" i="3"/>
  <c r="Z125"/>
  <c r="AF110" i="9"/>
  <c r="Z162" i="3"/>
  <c r="Z185"/>
  <c r="Z74"/>
  <c r="AF136" i="9"/>
  <c r="Z121" i="3"/>
  <c r="Z43"/>
  <c r="AF157" i="9"/>
  <c r="Z123" i="3"/>
  <c r="Z153"/>
  <c r="Z27"/>
  <c r="Z195"/>
  <c r="Z58"/>
  <c r="Z62"/>
  <c r="Z127"/>
  <c r="AF185" i="9"/>
  <c r="Z35" i="3"/>
  <c r="Z41"/>
  <c r="Z112"/>
  <c r="Z63"/>
  <c r="AF147" i="9"/>
  <c r="AF176"/>
  <c r="Z183" i="3"/>
  <c r="Z150"/>
  <c r="Z165"/>
  <c r="AF142" i="9"/>
  <c r="Z33" i="3"/>
  <c r="Z24"/>
  <c r="Z39"/>
  <c r="AF117" i="9"/>
  <c r="AF150"/>
  <c r="Z139" i="3"/>
  <c r="Z115"/>
  <c r="Z136"/>
  <c r="Z34"/>
  <c r="Z70"/>
  <c r="Z88"/>
  <c r="AF107" i="9"/>
  <c r="AF191"/>
  <c r="Z114" i="3"/>
  <c r="AF7" i="9"/>
  <c r="AF198"/>
  <c r="Z31" i="3"/>
  <c r="Z180"/>
  <c r="Z170"/>
  <c r="Z145"/>
  <c r="AF122" i="9"/>
  <c r="Z75" i="3"/>
  <c r="AF167" i="9"/>
  <c r="Z192" i="3"/>
  <c r="Z94"/>
  <c r="Z194"/>
  <c r="AF149" i="9"/>
  <c r="Z54" i="3"/>
  <c r="Z130"/>
  <c r="Z144"/>
  <c r="Z168"/>
  <c r="Z81"/>
  <c r="AF102" i="9"/>
  <c r="AF94"/>
  <c r="AF119"/>
  <c r="Z159" i="3"/>
  <c r="Z99"/>
  <c r="AF192" i="9"/>
  <c r="Z140" i="3"/>
  <c r="Z80"/>
  <c r="Z87"/>
  <c r="AF140" i="9"/>
  <c r="Z89" i="3"/>
  <c r="AF120" i="9"/>
  <c r="Z23" i="3"/>
  <c r="AF135" i="9"/>
  <c r="AF96"/>
  <c r="AF130"/>
  <c r="AF83"/>
  <c r="AF124"/>
  <c r="Z40" i="3"/>
  <c r="Z174"/>
  <c r="Z118"/>
  <c r="Z68"/>
  <c r="Z157"/>
  <c r="Z177"/>
  <c r="Z57"/>
  <c r="Z49"/>
  <c r="Z178"/>
  <c r="Z191"/>
  <c r="AF164" i="9"/>
  <c r="Z51" i="3"/>
  <c r="AF121" i="9"/>
  <c r="Z169" i="3"/>
  <c r="AF190" i="9"/>
  <c r="Z164" i="3"/>
  <c r="Z137"/>
  <c r="Z154"/>
  <c r="Z59"/>
  <c r="AF86" i="9"/>
  <c r="AF133"/>
  <c r="AF180"/>
  <c r="Z147" i="3"/>
  <c r="Z92"/>
  <c r="AF95" i="9"/>
  <c r="AF159"/>
  <c r="Z182" i="3"/>
  <c r="Z128"/>
  <c r="Z188"/>
  <c r="AF129" i="9"/>
  <c r="Z29" i="3"/>
  <c r="Z38"/>
  <c r="Z134"/>
  <c r="AF178" i="9"/>
  <c r="AF100"/>
  <c r="Z77" i="3"/>
  <c r="AF116" i="9"/>
  <c r="AF153"/>
  <c r="AF197"/>
  <c r="Z76" i="3"/>
  <c r="AF125" i="9"/>
  <c r="Z72" i="3"/>
  <c r="Z106"/>
  <c r="AF158" i="9"/>
  <c r="AF105"/>
  <c r="Z16" i="3"/>
  <c r="Z60"/>
  <c r="AF152" i="9"/>
  <c r="Z20" i="3"/>
  <c r="Z36"/>
  <c r="Z117"/>
  <c r="Z28"/>
  <c r="Z53"/>
  <c r="Z71"/>
  <c r="Z8"/>
  <c r="AF97" i="9"/>
  <c r="Z179" i="3"/>
  <c r="Z96"/>
  <c r="Z65"/>
  <c r="AF163" i="9"/>
  <c r="Z196" i="3"/>
  <c r="AF138" i="9"/>
  <c r="Z104" i="3"/>
  <c r="AF132" i="9"/>
  <c r="Z166" i="3"/>
  <c r="AF161" i="9"/>
  <c r="AF99"/>
  <c r="Z126" i="3"/>
  <c r="Z148"/>
  <c r="Z47"/>
  <c r="AF139" i="9"/>
  <c r="Z186" i="3"/>
  <c r="AF85" i="9"/>
  <c r="Z66" i="3"/>
  <c r="Z69"/>
  <c r="Z158"/>
  <c r="AF182" i="9"/>
  <c r="Z133" i="3"/>
  <c r="Z124"/>
  <c r="AF112" i="9"/>
  <c r="AF87"/>
  <c r="AF162"/>
  <c r="AF148"/>
  <c r="AF175"/>
  <c r="Z161" i="3"/>
  <c r="Z175"/>
  <c r="Z12"/>
  <c r="AF88" i="9"/>
  <c r="Z9" i="3"/>
  <c r="Z26"/>
  <c r="Z184"/>
  <c r="Z98"/>
  <c r="AF166" i="9"/>
  <c r="Z173" i="3"/>
  <c r="AF196" i="9"/>
  <c r="AF143"/>
  <c r="AF127"/>
  <c r="AF187"/>
  <c r="AF137"/>
  <c r="Z11" i="3"/>
  <c r="Z129"/>
  <c r="Z156"/>
  <c r="Z143"/>
  <c r="Z199"/>
  <c r="AF126" i="9"/>
  <c r="Z13" i="3"/>
  <c r="Z163"/>
  <c r="Z42"/>
  <c r="Z84"/>
  <c r="Z119"/>
  <c r="Z149"/>
  <c r="Z101"/>
  <c r="Z187"/>
  <c r="AF160" i="9"/>
  <c r="AF172"/>
  <c r="AF171"/>
  <c r="AF173"/>
  <c r="AF155"/>
  <c r="AF106"/>
  <c r="AF181"/>
  <c r="AF151"/>
  <c r="AF92"/>
  <c r="Z55" i="3"/>
  <c r="AF188" i="9"/>
  <c r="Z172" i="3"/>
  <c r="Z37"/>
  <c r="Z46"/>
  <c r="Z190"/>
  <c r="AF177" i="9"/>
  <c r="Z146" i="3"/>
  <c r="Z82"/>
  <c r="Z17"/>
  <c r="AF93" i="9"/>
  <c r="Z90" i="3"/>
  <c r="AF111" i="9"/>
  <c r="Z97" i="3"/>
  <c r="AF123" i="9"/>
  <c r="Z142" i="3"/>
  <c r="Z32"/>
  <c r="Z18"/>
  <c r="AF118" i="9"/>
  <c r="AF131"/>
  <c r="Z2" i="3" l="1"/>
  <c r="AG118" i="9"/>
  <c r="AA32" i="3"/>
  <c r="AG123" i="9"/>
  <c r="AG111"/>
  <c r="AG93"/>
  <c r="AA82" i="3"/>
  <c r="AG177" i="9"/>
  <c r="AA46" i="3"/>
  <c r="AA172"/>
  <c r="AA55"/>
  <c r="AG151" i="9"/>
  <c r="AG106"/>
  <c r="AG173"/>
  <c r="AG172"/>
  <c r="AA187" i="3"/>
  <c r="AA149"/>
  <c r="AA84"/>
  <c r="AA163"/>
  <c r="AG126" i="9"/>
  <c r="AA143" i="3"/>
  <c r="AA129"/>
  <c r="AG137" i="9"/>
  <c r="AG127"/>
  <c r="AG196"/>
  <c r="AG166"/>
  <c r="AA184" i="3"/>
  <c r="AA9"/>
  <c r="AA12"/>
  <c r="AA161"/>
  <c r="AG148" i="9"/>
  <c r="AG87"/>
  <c r="AA124" i="3"/>
  <c r="AG182" i="9"/>
  <c r="AA69" i="3"/>
  <c r="AG85" i="9"/>
  <c r="AG139"/>
  <c r="AA148" i="3"/>
  <c r="AG99" i="9"/>
  <c r="AA166" i="3"/>
  <c r="AA104"/>
  <c r="AA196"/>
  <c r="AA65"/>
  <c r="AA179"/>
  <c r="AA8"/>
  <c r="AA53"/>
  <c r="AA117"/>
  <c r="AA20"/>
  <c r="AA60"/>
  <c r="AG105" i="9"/>
  <c r="AA106" i="3"/>
  <c r="AG125" i="9"/>
  <c r="AG197"/>
  <c r="AG116"/>
  <c r="AG100"/>
  <c r="AA134" i="3"/>
  <c r="AA29"/>
  <c r="AA188"/>
  <c r="AA182"/>
  <c r="AG95" i="9"/>
  <c r="AA147" i="3"/>
  <c r="AG133" i="9"/>
  <c r="AA59" i="3"/>
  <c r="AA137"/>
  <c r="AG190" i="9"/>
  <c r="AG121"/>
  <c r="AG164"/>
  <c r="AA178" i="3"/>
  <c r="AA57"/>
  <c r="AA157"/>
  <c r="AA118"/>
  <c r="AA40"/>
  <c r="AG83" i="9"/>
  <c r="AG96"/>
  <c r="AA23" i="3"/>
  <c r="AA89"/>
  <c r="AA87"/>
  <c r="AA140"/>
  <c r="AA99"/>
  <c r="AG119" i="9"/>
  <c r="AG102"/>
  <c r="AA168" i="3"/>
  <c r="AA130"/>
  <c r="AG149" i="9"/>
  <c r="AA94" i="3"/>
  <c r="AG167" i="9"/>
  <c r="AG122"/>
  <c r="AA170" i="3"/>
  <c r="AA31"/>
  <c r="AG7" i="9"/>
  <c r="AG191"/>
  <c r="AA88" i="3"/>
  <c r="AA34"/>
  <c r="AA115"/>
  <c r="AG150" i="9"/>
  <c r="AA39" i="3"/>
  <c r="AA33"/>
  <c r="AA165"/>
  <c r="AA183"/>
  <c r="AG147" i="9"/>
  <c r="AA112" i="3"/>
  <c r="AA35"/>
  <c r="AA127"/>
  <c r="AA58"/>
  <c r="AA27"/>
  <c r="AA123"/>
  <c r="AA43"/>
  <c r="AG136" i="9"/>
  <c r="AA185" i="3"/>
  <c r="AG110" i="9"/>
  <c r="AA85" i="3"/>
  <c r="AA52"/>
  <c r="AG154" i="9"/>
  <c r="AG174"/>
  <c r="AA113" i="3"/>
  <c r="AA83"/>
  <c r="AA138"/>
  <c r="AA91"/>
  <c r="AA86"/>
  <c r="AG134" i="9"/>
  <c r="AG179"/>
  <c r="AA102" i="3"/>
  <c r="AA131"/>
  <c r="AA200"/>
  <c r="AA19"/>
  <c r="AG169" i="9"/>
  <c r="AG98"/>
  <c r="AG184"/>
  <c r="AA141" i="3"/>
  <c r="AG84" i="9"/>
  <c r="AA56" i="3"/>
  <c r="AA50"/>
  <c r="AA171"/>
  <c r="AA67"/>
  <c r="AG145" i="9"/>
  <c r="AA44" i="3"/>
  <c r="AA108"/>
  <c r="AG103" i="9"/>
  <c r="AA21" i="3"/>
  <c r="AA25"/>
  <c r="AA103"/>
  <c r="AG91" i="9"/>
  <c r="AA132" i="3"/>
  <c r="AA105"/>
  <c r="AG194" i="9"/>
  <c r="AG186"/>
  <c r="AA181" i="3"/>
  <c r="AA64"/>
  <c r="AA22"/>
  <c r="AA116"/>
  <c r="AA111"/>
  <c r="AG108" i="9"/>
  <c r="AA160" i="3"/>
  <c r="AA10"/>
  <c r="AA198"/>
  <c r="AG165" i="9"/>
  <c r="AG183"/>
  <c r="AA193" i="3"/>
  <c r="AA110"/>
  <c r="AG131" i="9"/>
  <c r="AA18" i="3"/>
  <c r="AA142"/>
  <c r="AA97"/>
  <c r="AA90"/>
  <c r="AA17"/>
  <c r="AA146"/>
  <c r="AA190"/>
  <c r="AA37"/>
  <c r="AG188" i="9"/>
  <c r="AG92"/>
  <c r="AG181"/>
  <c r="AG155"/>
  <c r="AG171"/>
  <c r="AG160"/>
  <c r="AA101" i="3"/>
  <c r="AA119"/>
  <c r="AA42"/>
  <c r="AA13"/>
  <c r="AA199"/>
  <c r="AA156"/>
  <c r="AA11"/>
  <c r="AG187" i="9"/>
  <c r="AG143"/>
  <c r="AA173" i="3"/>
  <c r="AA98"/>
  <c r="AA26"/>
  <c r="AG88" i="9"/>
  <c r="AA175" i="3"/>
  <c r="AG175" i="9"/>
  <c r="AG162"/>
  <c r="AG112"/>
  <c r="AA133" i="3"/>
  <c r="AA158"/>
  <c r="AA66"/>
  <c r="AA186"/>
  <c r="AA47"/>
  <c r="AA126"/>
  <c r="AG161" i="9"/>
  <c r="AG132"/>
  <c r="AG138"/>
  <c r="AG163"/>
  <c r="AA96" i="3"/>
  <c r="AG97" i="9"/>
  <c r="AA71" i="3"/>
  <c r="AA28"/>
  <c r="AA36"/>
  <c r="AG152" i="9"/>
  <c r="AA16" i="3"/>
  <c r="AG158" i="9"/>
  <c r="AA72" i="3"/>
  <c r="AA76"/>
  <c r="AG153" i="9"/>
  <c r="AA77" i="3"/>
  <c r="AG178" i="9"/>
  <c r="AA38" i="3"/>
  <c r="AG129" i="9"/>
  <c r="AA128" i="3"/>
  <c r="AG159" i="9"/>
  <c r="AA92" i="3"/>
  <c r="AG180" i="9"/>
  <c r="AG86"/>
  <c r="AA154" i="3"/>
  <c r="AA164"/>
  <c r="AA169"/>
  <c r="AA51"/>
  <c r="AA191"/>
  <c r="AA49"/>
  <c r="AA177"/>
  <c r="AA68"/>
  <c r="AA174"/>
  <c r="AG124" i="9"/>
  <c r="AG130"/>
  <c r="AG135"/>
  <c r="AG120"/>
  <c r="AG140"/>
  <c r="AA80" i="3"/>
  <c r="AG192" i="9"/>
  <c r="AA159" i="3"/>
  <c r="AG94" i="9"/>
  <c r="AA81" i="3"/>
  <c r="AA144"/>
  <c r="AA54"/>
  <c r="AA194"/>
  <c r="AA192"/>
  <c r="AA75"/>
  <c r="AA145"/>
  <c r="AA180"/>
  <c r="AG198" i="9"/>
  <c r="AA114" i="3"/>
  <c r="AG107" i="9"/>
  <c r="AA70" i="3"/>
  <c r="AA136"/>
  <c r="AA139"/>
  <c r="AG117" i="9"/>
  <c r="AA24" i="3"/>
  <c r="AG142" i="9"/>
  <c r="AA150" i="3"/>
  <c r="AG176" i="9"/>
  <c r="AA63" i="3"/>
  <c r="AA41"/>
  <c r="AG185" i="9"/>
  <c r="AA62" i="3"/>
  <c r="AA195"/>
  <c r="AA153"/>
  <c r="AG157" i="9"/>
  <c r="AA121" i="3"/>
  <c r="AA74"/>
  <c r="AA162"/>
  <c r="AA125"/>
  <c r="AG193" i="9"/>
  <c r="AA189" i="3"/>
  <c r="AA15"/>
  <c r="AG170" i="9"/>
  <c r="AA61" i="3"/>
  <c r="AG128" i="9"/>
  <c r="AG89"/>
  <c r="AA176" i="3"/>
  <c r="AA100"/>
  <c r="AA79"/>
  <c r="AG195" i="9"/>
  <c r="AG114"/>
  <c r="AG101"/>
  <c r="AA122" i="3"/>
  <c r="AA155"/>
  <c r="AG82" i="9"/>
  <c r="AA73" i="3"/>
  <c r="AA78"/>
  <c r="AG146" i="9"/>
  <c r="AA107" i="3"/>
  <c r="AG144" i="9"/>
  <c r="AG141"/>
  <c r="AG199"/>
  <c r="AG113"/>
  <c r="AG109"/>
  <c r="AG156"/>
  <c r="AA167" i="3"/>
  <c r="AA152"/>
  <c r="AG189" i="9"/>
  <c r="AA109" i="3"/>
  <c r="AA7"/>
  <c r="AA48"/>
  <c r="AA135"/>
  <c r="AA197"/>
  <c r="AG115" i="9"/>
  <c r="AA30" i="3"/>
  <c r="AG201" i="9"/>
  <c r="AG168"/>
  <c r="AA14" i="3"/>
  <c r="AA151"/>
  <c r="AG104" i="9"/>
  <c r="AG90"/>
  <c r="AA95" i="3"/>
  <c r="AA93"/>
  <c r="AG200" i="9"/>
  <c r="AA45" i="3"/>
  <c r="AA120"/>
  <c r="AA2" l="1"/>
  <c r="AB45"/>
  <c r="AB93"/>
  <c r="AH90" i="9"/>
  <c r="AB151" i="3"/>
  <c r="AH168" i="9"/>
  <c r="AB30" i="3"/>
  <c r="AB197"/>
  <c r="AB48"/>
  <c r="AB7"/>
  <c r="AH189" i="9"/>
  <c r="AB167" i="3"/>
  <c r="AH109" i="9"/>
  <c r="AH199"/>
  <c r="AH144"/>
  <c r="AH146"/>
  <c r="AB73" i="3"/>
  <c r="AB155"/>
  <c r="AH101" i="9"/>
  <c r="AH195"/>
  <c r="AB100" i="3"/>
  <c r="AH89" i="9"/>
  <c r="AB61" i="3"/>
  <c r="AB15"/>
  <c r="AH193" i="9"/>
  <c r="AB162" i="3"/>
  <c r="AB121"/>
  <c r="AB153"/>
  <c r="AB62"/>
  <c r="AB41"/>
  <c r="AH176" i="9"/>
  <c r="AH142"/>
  <c r="AH117"/>
  <c r="AB136" i="3"/>
  <c r="AH107" i="9"/>
  <c r="AH198"/>
  <c r="AB145" i="3"/>
  <c r="AB192"/>
  <c r="AB54"/>
  <c r="AB81"/>
  <c r="AB159"/>
  <c r="AB80"/>
  <c r="AH120" i="9"/>
  <c r="AH130"/>
  <c r="AB174" i="3"/>
  <c r="AB177"/>
  <c r="AB191"/>
  <c r="AB169"/>
  <c r="AB154"/>
  <c r="AH180" i="9"/>
  <c r="AH159"/>
  <c r="AH129"/>
  <c r="AH178"/>
  <c r="AH153"/>
  <c r="AB72" i="3"/>
  <c r="AB16"/>
  <c r="AB36"/>
  <c r="AB71"/>
  <c r="AB96"/>
  <c r="AH138" i="9"/>
  <c r="AH161"/>
  <c r="AB47" i="3"/>
  <c r="AB66"/>
  <c r="AB133"/>
  <c r="AH162" i="9"/>
  <c r="AB175" i="3"/>
  <c r="AB26"/>
  <c r="AB173"/>
  <c r="AH187" i="9"/>
  <c r="AB156" i="3"/>
  <c r="AB13"/>
  <c r="AB119"/>
  <c r="AH160" i="9"/>
  <c r="AH155"/>
  <c r="AH92"/>
  <c r="AB37" i="3"/>
  <c r="AB146"/>
  <c r="AB90"/>
  <c r="AB142"/>
  <c r="AH131" i="9"/>
  <c r="AB193" i="3"/>
  <c r="AH165" i="9"/>
  <c r="AB10" i="3"/>
  <c r="AH108" i="9"/>
  <c r="AB116" i="3"/>
  <c r="AB64"/>
  <c r="AH186" i="9"/>
  <c r="AB105" i="3"/>
  <c r="AH91" i="9"/>
  <c r="AB25" i="3"/>
  <c r="AH103" i="9"/>
  <c r="AB44" i="3"/>
  <c r="AB67"/>
  <c r="AB50"/>
  <c r="AH84" i="9"/>
  <c r="AH184"/>
  <c r="AH169"/>
  <c r="AB200" i="3"/>
  <c r="AB102"/>
  <c r="AH134" i="9"/>
  <c r="AB91" i="3"/>
  <c r="AB83"/>
  <c r="AH174" i="9"/>
  <c r="AB52" i="3"/>
  <c r="AH110" i="9"/>
  <c r="AH136"/>
  <c r="AB123" i="3"/>
  <c r="AB58"/>
  <c r="AB35"/>
  <c r="AH147" i="9"/>
  <c r="AB165" i="3"/>
  <c r="AB39"/>
  <c r="AB115"/>
  <c r="AB88"/>
  <c r="AH7" i="9"/>
  <c r="AB170" i="3"/>
  <c r="AH167" i="9"/>
  <c r="AH149"/>
  <c r="AB168" i="3"/>
  <c r="AH119" i="9"/>
  <c r="AB140" i="3"/>
  <c r="AB89"/>
  <c r="AH96" i="9"/>
  <c r="AB40" i="3"/>
  <c r="AB157"/>
  <c r="AB178"/>
  <c r="AH121" i="9"/>
  <c r="AB137" i="3"/>
  <c r="AH133" i="9"/>
  <c r="AH95"/>
  <c r="AB188" i="3"/>
  <c r="AB134"/>
  <c r="AH116" i="9"/>
  <c r="AH125"/>
  <c r="AH105"/>
  <c r="AB20" i="3"/>
  <c r="AB53"/>
  <c r="AB179"/>
  <c r="AB196"/>
  <c r="AB166"/>
  <c r="AB148"/>
  <c r="AH85" i="9"/>
  <c r="AH182"/>
  <c r="AH87"/>
  <c r="AB161" i="3"/>
  <c r="AB9"/>
  <c r="AH166" i="9"/>
  <c r="AH127"/>
  <c r="AB129" i="3"/>
  <c r="AH126" i="9"/>
  <c r="AB84" i="3"/>
  <c r="AB187"/>
  <c r="AH173" i="9"/>
  <c r="AH151"/>
  <c r="AB172" i="3"/>
  <c r="AH177" i="9"/>
  <c r="AH93"/>
  <c r="AH123"/>
  <c r="AH118"/>
  <c r="AH111"/>
  <c r="AB120" i="3"/>
  <c r="AH200" i="9"/>
  <c r="AB95" i="3"/>
  <c r="AH104" i="9"/>
  <c r="AB14" i="3"/>
  <c r="AH201" i="9"/>
  <c r="AH115"/>
  <c r="AB135" i="3"/>
  <c r="AB109"/>
  <c r="AB152"/>
  <c r="AH156" i="9"/>
  <c r="AH113"/>
  <c r="AH141"/>
  <c r="AB107" i="3"/>
  <c r="AB78"/>
  <c r="AH82" i="9"/>
  <c r="AB122" i="3"/>
  <c r="AH114" i="9"/>
  <c r="AB79" i="3"/>
  <c r="AB176"/>
  <c r="AH128" i="9"/>
  <c r="AH170"/>
  <c r="AB189" i="3"/>
  <c r="AB125"/>
  <c r="AB74"/>
  <c r="AH157" i="9"/>
  <c r="AB195" i="3"/>
  <c r="AH185" i="9"/>
  <c r="AB63" i="3"/>
  <c r="AB150"/>
  <c r="AB24"/>
  <c r="AB139"/>
  <c r="AB70"/>
  <c r="AB114"/>
  <c r="AB180"/>
  <c r="AB75"/>
  <c r="AB194"/>
  <c r="AB144"/>
  <c r="AH94" i="9"/>
  <c r="AH192"/>
  <c r="AH140"/>
  <c r="AH135"/>
  <c r="AH124"/>
  <c r="AB68" i="3"/>
  <c r="AB49"/>
  <c r="AB51"/>
  <c r="AB164"/>
  <c r="AH86" i="9"/>
  <c r="AB92" i="3"/>
  <c r="AB128"/>
  <c r="AB38"/>
  <c r="AB77"/>
  <c r="AB76"/>
  <c r="AH158" i="9"/>
  <c r="AH152"/>
  <c r="AB28" i="3"/>
  <c r="AH97" i="9"/>
  <c r="AH163"/>
  <c r="AH132"/>
  <c r="AB126" i="3"/>
  <c r="AB186"/>
  <c r="AB158"/>
  <c r="AH112" i="9"/>
  <c r="AH175"/>
  <c r="AH88"/>
  <c r="AB98" i="3"/>
  <c r="AH143" i="9"/>
  <c r="AB11" i="3"/>
  <c r="AB199"/>
  <c r="AB42"/>
  <c r="AB101"/>
  <c r="AH171" i="9"/>
  <c r="AH181"/>
  <c r="AH188"/>
  <c r="AB190" i="3"/>
  <c r="AB17"/>
  <c r="AB97"/>
  <c r="AB18"/>
  <c r="AB110"/>
  <c r="AH183" i="9"/>
  <c r="AB198" i="3"/>
  <c r="AB160"/>
  <c r="AB111"/>
  <c r="AB22"/>
  <c r="AB181"/>
  <c r="AH194" i="9"/>
  <c r="AB132" i="3"/>
  <c r="AB103"/>
  <c r="AB21"/>
  <c r="AB108"/>
  <c r="AH145" i="9"/>
  <c r="AB171" i="3"/>
  <c r="AB56"/>
  <c r="AB141"/>
  <c r="AH98" i="9"/>
  <c r="AB19" i="3"/>
  <c r="AB131"/>
  <c r="AH179" i="9"/>
  <c r="AB86" i="3"/>
  <c r="AB138"/>
  <c r="AB113"/>
  <c r="AH154" i="9"/>
  <c r="AB85" i="3"/>
  <c r="AB185"/>
  <c r="AB43"/>
  <c r="AB27"/>
  <c r="AB127"/>
  <c r="AB112"/>
  <c r="AB183"/>
  <c r="AB33"/>
  <c r="AH150" i="9"/>
  <c r="AB34" i="3"/>
  <c r="AH191" i="9"/>
  <c r="AB31" i="3"/>
  <c r="AH122" i="9"/>
  <c r="AB94" i="3"/>
  <c r="AB130"/>
  <c r="AH102" i="9"/>
  <c r="AB99" i="3"/>
  <c r="AB87"/>
  <c r="AB23"/>
  <c r="AH83" i="9"/>
  <c r="AB118" i="3"/>
  <c r="AB57"/>
  <c r="AH164" i="9"/>
  <c r="AH190"/>
  <c r="AB59" i="3"/>
  <c r="AB147"/>
  <c r="AB182"/>
  <c r="AB29"/>
  <c r="AH100" i="9"/>
  <c r="AH197"/>
  <c r="AB106" i="3"/>
  <c r="AB60"/>
  <c r="AB117"/>
  <c r="AB8"/>
  <c r="AB65"/>
  <c r="AB104"/>
  <c r="AH99" i="9"/>
  <c r="AH139"/>
  <c r="AB69" i="3"/>
  <c r="AB124"/>
  <c r="AH148" i="9"/>
  <c r="AB12" i="3"/>
  <c r="AB184"/>
  <c r="AH196" i="9"/>
  <c r="AH137"/>
  <c r="AB143" i="3"/>
  <c r="AB163"/>
  <c r="AB149"/>
  <c r="AH172" i="9"/>
  <c r="AH106"/>
  <c r="AB55" i="3"/>
  <c r="AB46"/>
  <c r="AB82"/>
  <c r="AB32"/>
  <c r="AB2" l="1"/>
  <c r="AC82"/>
  <c r="AC55"/>
  <c r="AC163"/>
  <c r="AC184"/>
  <c r="AC124"/>
  <c r="AC104"/>
  <c r="AC8"/>
  <c r="AC60"/>
  <c r="AC29"/>
  <c r="AC147"/>
  <c r="AC57"/>
  <c r="AC23"/>
  <c r="AC99"/>
  <c r="AC94"/>
  <c r="AC34"/>
  <c r="AC183"/>
  <c r="AC127"/>
  <c r="AC43"/>
  <c r="AC85"/>
  <c r="AC138"/>
  <c r="AC131"/>
  <c r="AC141"/>
  <c r="AC171"/>
  <c r="AC21"/>
  <c r="AC132"/>
  <c r="AC22"/>
  <c r="AC160"/>
  <c r="AC110"/>
  <c r="AC97"/>
  <c r="AC190"/>
  <c r="AC42"/>
  <c r="AC11"/>
  <c r="AC158"/>
  <c r="AC126"/>
  <c r="AC76"/>
  <c r="AC38"/>
  <c r="AC92"/>
  <c r="AC51"/>
  <c r="AC68"/>
  <c r="AC194"/>
  <c r="AC180"/>
  <c r="AC70"/>
  <c r="AC24"/>
  <c r="AC63"/>
  <c r="AC74"/>
  <c r="AC189"/>
  <c r="AC79"/>
  <c r="AC78"/>
  <c r="AC152"/>
  <c r="AC135"/>
  <c r="AC95"/>
  <c r="AC172"/>
  <c r="AC84"/>
  <c r="AC9"/>
  <c r="AC148"/>
  <c r="AC196"/>
  <c r="AC53"/>
  <c r="AC134"/>
  <c r="AC137"/>
  <c r="AC157"/>
  <c r="AC89"/>
  <c r="AC168"/>
  <c r="AC88"/>
  <c r="AC39"/>
  <c r="AC35"/>
  <c r="AC123"/>
  <c r="AC83"/>
  <c r="AC102"/>
  <c r="AC50"/>
  <c r="AC44"/>
  <c r="AC105"/>
  <c r="AC116"/>
  <c r="AC193"/>
  <c r="AC90"/>
  <c r="AC37"/>
  <c r="AC13"/>
  <c r="AC173"/>
  <c r="AC175"/>
  <c r="AC66"/>
  <c r="AC96"/>
  <c r="AC36"/>
  <c r="AC72"/>
  <c r="AC169"/>
  <c r="AC177"/>
  <c r="AC80"/>
  <c r="AC81"/>
  <c r="AC192"/>
  <c r="AC136"/>
  <c r="AC62"/>
  <c r="AC121"/>
  <c r="AC15"/>
  <c r="AC100"/>
  <c r="AC73"/>
  <c r="AC48"/>
  <c r="AC30"/>
  <c r="AC93"/>
  <c r="AC61"/>
  <c r="AC167"/>
  <c r="AC197"/>
  <c r="AC45"/>
  <c r="AC32"/>
  <c r="AC46"/>
  <c r="AC149"/>
  <c r="AC143"/>
  <c r="AC12"/>
  <c r="AC69"/>
  <c r="AC65"/>
  <c r="AC117"/>
  <c r="AC106"/>
  <c r="AC182"/>
  <c r="AC59"/>
  <c r="AC118"/>
  <c r="AC87"/>
  <c r="AC130"/>
  <c r="AC31"/>
  <c r="AC33"/>
  <c r="AC112"/>
  <c r="AC27"/>
  <c r="AC185"/>
  <c r="AC113"/>
  <c r="AC86"/>
  <c r="AC19"/>
  <c r="AC56"/>
  <c r="AC108"/>
  <c r="AC103"/>
  <c r="AC181"/>
  <c r="AC111"/>
  <c r="AC198"/>
  <c r="AC18"/>
  <c r="AC17"/>
  <c r="AC101"/>
  <c r="AC199"/>
  <c r="AC98"/>
  <c r="AC186"/>
  <c r="AC28"/>
  <c r="AC77"/>
  <c r="AC128"/>
  <c r="AC164"/>
  <c r="AC49"/>
  <c r="AC144"/>
  <c r="AC75"/>
  <c r="AC114"/>
  <c r="AC139"/>
  <c r="AC150"/>
  <c r="AC195"/>
  <c r="AC125"/>
  <c r="AC176"/>
  <c r="AC122"/>
  <c r="AC107"/>
  <c r="AC109"/>
  <c r="AC14"/>
  <c r="AC120"/>
  <c r="AC187"/>
  <c r="AC129"/>
  <c r="AC161"/>
  <c r="AC166"/>
  <c r="AC179"/>
  <c r="AC20"/>
  <c r="AC188"/>
  <c r="AC178"/>
  <c r="AC40"/>
  <c r="AC140"/>
  <c r="AC170"/>
  <c r="AC115"/>
  <c r="AC165"/>
  <c r="AC58"/>
  <c r="AC52"/>
  <c r="AC91"/>
  <c r="AC200"/>
  <c r="AC67"/>
  <c r="AC25"/>
  <c r="AC64"/>
  <c r="AC10"/>
  <c r="AC142"/>
  <c r="AC146"/>
  <c r="AC119"/>
  <c r="AC156"/>
  <c r="AC26"/>
  <c r="AC133"/>
  <c r="AC47"/>
  <c r="AC71"/>
  <c r="AC16"/>
  <c r="AC154"/>
  <c r="AC191"/>
  <c r="AC174"/>
  <c r="AC159"/>
  <c r="AC54"/>
  <c r="AC145"/>
  <c r="AC41"/>
  <c r="AC153"/>
  <c r="AC162"/>
  <c r="AC155"/>
  <c r="AC7"/>
  <c r="AC151"/>
  <c r="AC2" l="1"/>
  <c r="AD155"/>
  <c r="AD153"/>
  <c r="AD145"/>
  <c r="AD159"/>
  <c r="AD191"/>
  <c r="AD16"/>
  <c r="AD47"/>
  <c r="AD26"/>
  <c r="AD119"/>
  <c r="AD142"/>
  <c r="AD64"/>
  <c r="AD67"/>
  <c r="AD91"/>
  <c r="AD58"/>
  <c r="AD115"/>
  <c r="AD140"/>
  <c r="AD178"/>
  <c r="AD20"/>
  <c r="AD166"/>
  <c r="AD129"/>
  <c r="AD120"/>
  <c r="AD109"/>
  <c r="AD122"/>
  <c r="AD125"/>
  <c r="AD150"/>
  <c r="AD114"/>
  <c r="AD144"/>
  <c r="AD164"/>
  <c r="AD77"/>
  <c r="AD186"/>
  <c r="AD199"/>
  <c r="AD17"/>
  <c r="AD198"/>
  <c r="AD181"/>
  <c r="AD108"/>
  <c r="AD19"/>
  <c r="AD113"/>
  <c r="AD27"/>
  <c r="AD33"/>
  <c r="AD130"/>
  <c r="AD118"/>
  <c r="AD182"/>
  <c r="AD117"/>
  <c r="AD69"/>
  <c r="AD143"/>
  <c r="AD46"/>
  <c r="AD45"/>
  <c r="AD167"/>
  <c r="AD93"/>
  <c r="AD48"/>
  <c r="AD100"/>
  <c r="AD121"/>
  <c r="AD136"/>
  <c r="AD81"/>
  <c r="AD177"/>
  <c r="AD72"/>
  <c r="AD96"/>
  <c r="AD175"/>
  <c r="AD13"/>
  <c r="AD90"/>
  <c r="AD116"/>
  <c r="AD44"/>
  <c r="AD102"/>
  <c r="AD123"/>
  <c r="AD39"/>
  <c r="AD168"/>
  <c r="AD157"/>
  <c r="AD134"/>
  <c r="AD196"/>
  <c r="AD9"/>
  <c r="AD172"/>
  <c r="AD135"/>
  <c r="AD78"/>
  <c r="AD189"/>
  <c r="AD63"/>
  <c r="AD70"/>
  <c r="AD194"/>
  <c r="AD51"/>
  <c r="AD38"/>
  <c r="AD126"/>
  <c r="AD11"/>
  <c r="AD190"/>
  <c r="AD110"/>
  <c r="AD22"/>
  <c r="AD21"/>
  <c r="AD141"/>
  <c r="AD138"/>
  <c r="AD43"/>
  <c r="AD183"/>
  <c r="AD94"/>
  <c r="AD23"/>
  <c r="AD147"/>
  <c r="AD60"/>
  <c r="AD104"/>
  <c r="AD55"/>
  <c r="AD151"/>
  <c r="AD7"/>
  <c r="AD162"/>
  <c r="AD41"/>
  <c r="AD54"/>
  <c r="AD174"/>
  <c r="AD154"/>
  <c r="AD71"/>
  <c r="AD133"/>
  <c r="AD156"/>
  <c r="AD146"/>
  <c r="AD10"/>
  <c r="AD25"/>
  <c r="AD200"/>
  <c r="AD52"/>
  <c r="AD165"/>
  <c r="AD170"/>
  <c r="AD40"/>
  <c r="AD188"/>
  <c r="AD179"/>
  <c r="AD161"/>
  <c r="AD187"/>
  <c r="AD14"/>
  <c r="AD107"/>
  <c r="AD176"/>
  <c r="AD195"/>
  <c r="AD139"/>
  <c r="AD75"/>
  <c r="AD49"/>
  <c r="AD128"/>
  <c r="AD28"/>
  <c r="AD98"/>
  <c r="AD101"/>
  <c r="AD18"/>
  <c r="AD111"/>
  <c r="AD103"/>
  <c r="AD56"/>
  <c r="AD86"/>
  <c r="AD185"/>
  <c r="AD112"/>
  <c r="AD31"/>
  <c r="AD87"/>
  <c r="AD59"/>
  <c r="AD106"/>
  <c r="AD65"/>
  <c r="AD12"/>
  <c r="AD149"/>
  <c r="AD32"/>
  <c r="AD197"/>
  <c r="AD61"/>
  <c r="AD30"/>
  <c r="AD73"/>
  <c r="AD15"/>
  <c r="AD62"/>
  <c r="AD192"/>
  <c r="AD80"/>
  <c r="AD169"/>
  <c r="AD36"/>
  <c r="AD66"/>
  <c r="AD173"/>
  <c r="AD37"/>
  <c r="AD193"/>
  <c r="AD105"/>
  <c r="AD50"/>
  <c r="AD83"/>
  <c r="AD35"/>
  <c r="AD88"/>
  <c r="AD89"/>
  <c r="AD137"/>
  <c r="AD53"/>
  <c r="AD148"/>
  <c r="AD84"/>
  <c r="AD95"/>
  <c r="AD152"/>
  <c r="AD79"/>
  <c r="AD74"/>
  <c r="AD24"/>
  <c r="AD180"/>
  <c r="AD68"/>
  <c r="AD92"/>
  <c r="AD76"/>
  <c r="AD158"/>
  <c r="AD42"/>
  <c r="AD97"/>
  <c r="AD160"/>
  <c r="AD132"/>
  <c r="AD171"/>
  <c r="AD131"/>
  <c r="AD85"/>
  <c r="AD127"/>
  <c r="AD34"/>
  <c r="AD99"/>
  <c r="AD57"/>
  <c r="AD29"/>
  <c r="AD8"/>
  <c r="AD124"/>
  <c r="AD163"/>
  <c r="AD82"/>
  <c r="AD184"/>
  <c r="AD2" l="1"/>
  <c r="AE82"/>
  <c r="AE124"/>
  <c r="AE29"/>
  <c r="AE99"/>
  <c r="AE127"/>
  <c r="AE131"/>
  <c r="AE132"/>
  <c r="AE97"/>
  <c r="AE158"/>
  <c r="AE92"/>
  <c r="AE180"/>
  <c r="AE74"/>
  <c r="AE152"/>
  <c r="AE84"/>
  <c r="AE53"/>
  <c r="AE89"/>
  <c r="AE35"/>
  <c r="AE50"/>
  <c r="AE193"/>
  <c r="AE173"/>
  <c r="AE36"/>
  <c r="AE80"/>
  <c r="AE62"/>
  <c r="AE73"/>
  <c r="AE61"/>
  <c r="AE32"/>
  <c r="AE12"/>
  <c r="AE106"/>
  <c r="AE87"/>
  <c r="AE112"/>
  <c r="AE86"/>
  <c r="AE103"/>
  <c r="AE18"/>
  <c r="AE98"/>
  <c r="AE128"/>
  <c r="AE75"/>
  <c r="AE195"/>
  <c r="AE107"/>
  <c r="AE187"/>
  <c r="AE179"/>
  <c r="AE40"/>
  <c r="AE165"/>
  <c r="AE200"/>
  <c r="AE10"/>
  <c r="AE156"/>
  <c r="AE71"/>
  <c r="AE174"/>
  <c r="AE41"/>
  <c r="AE151"/>
  <c r="AE104"/>
  <c r="AE147"/>
  <c r="AE94"/>
  <c r="AE43"/>
  <c r="AE141"/>
  <c r="AE22"/>
  <c r="AE190"/>
  <c r="AE126"/>
  <c r="AE51"/>
  <c r="AE70"/>
  <c r="AE189"/>
  <c r="AE135"/>
  <c r="AE9"/>
  <c r="AE134"/>
  <c r="AE168"/>
  <c r="AE123"/>
  <c r="AE44"/>
  <c r="AE90"/>
  <c r="AE175"/>
  <c r="AE72"/>
  <c r="AE81"/>
  <c r="AE121"/>
  <c r="AE48"/>
  <c r="AE167"/>
  <c r="AE46"/>
  <c r="AE69"/>
  <c r="AE182"/>
  <c r="AE130"/>
  <c r="AE27"/>
  <c r="AE19"/>
  <c r="AE181"/>
  <c r="AE17"/>
  <c r="AE186"/>
  <c r="AE164"/>
  <c r="AE114"/>
  <c r="AE125"/>
  <c r="AE109"/>
  <c r="AE129"/>
  <c r="AE20"/>
  <c r="AE140"/>
  <c r="AE58"/>
  <c r="AE67"/>
  <c r="AE142"/>
  <c r="AE26"/>
  <c r="AE16"/>
  <c r="AE159"/>
  <c r="AE153"/>
  <c r="AE184"/>
  <c r="AE163"/>
  <c r="AE8"/>
  <c r="AE57"/>
  <c r="AE34"/>
  <c r="AE85"/>
  <c r="AE171"/>
  <c r="AE160"/>
  <c r="AE42"/>
  <c r="AE76"/>
  <c r="AE68"/>
  <c r="AE24"/>
  <c r="AE79"/>
  <c r="AE95"/>
  <c r="AE148"/>
  <c r="AE137"/>
  <c r="AE88"/>
  <c r="AE83"/>
  <c r="AE105"/>
  <c r="AE37"/>
  <c r="AE66"/>
  <c r="AE169"/>
  <c r="AE192"/>
  <c r="AE15"/>
  <c r="AE30"/>
  <c r="AE197"/>
  <c r="AE149"/>
  <c r="AE65"/>
  <c r="AE59"/>
  <c r="AE31"/>
  <c r="AE185"/>
  <c r="AE56"/>
  <c r="AE111"/>
  <c r="AE101"/>
  <c r="AE28"/>
  <c r="AE49"/>
  <c r="AE139"/>
  <c r="AE176"/>
  <c r="AE14"/>
  <c r="AE161"/>
  <c r="AE188"/>
  <c r="AE170"/>
  <c r="AE52"/>
  <c r="AE25"/>
  <c r="AE146"/>
  <c r="AE133"/>
  <c r="AE154"/>
  <c r="AE54"/>
  <c r="AE162"/>
  <c r="AE7"/>
  <c r="AE55"/>
  <c r="AE60"/>
  <c r="AE23"/>
  <c r="AE183"/>
  <c r="AE138"/>
  <c r="AE21"/>
  <c r="AE110"/>
  <c r="AE11"/>
  <c r="AE38"/>
  <c r="AE194"/>
  <c r="AE63"/>
  <c r="AE78"/>
  <c r="AE172"/>
  <c r="AE196"/>
  <c r="AE157"/>
  <c r="AE39"/>
  <c r="AE102"/>
  <c r="AE116"/>
  <c r="AE13"/>
  <c r="AE96"/>
  <c r="AE177"/>
  <c r="AE136"/>
  <c r="AE100"/>
  <c r="AE93"/>
  <c r="AE45"/>
  <c r="AE143"/>
  <c r="AE117"/>
  <c r="AE118"/>
  <c r="AE33"/>
  <c r="AE113"/>
  <c r="AE108"/>
  <c r="AE198"/>
  <c r="AE199"/>
  <c r="AE77"/>
  <c r="AE144"/>
  <c r="AE150"/>
  <c r="AE122"/>
  <c r="AE120"/>
  <c r="AE166"/>
  <c r="AE178"/>
  <c r="AE115"/>
  <c r="AE91"/>
  <c r="AE64"/>
  <c r="AE119"/>
  <c r="AE47"/>
  <c r="AE191"/>
  <c r="AE145"/>
  <c r="AE155"/>
  <c r="AE2" l="1"/>
  <c r="AF145"/>
  <c r="AF47"/>
  <c r="AF64"/>
  <c r="AF115"/>
  <c r="AF166"/>
  <c r="AF122"/>
  <c r="AF144"/>
  <c r="AF199"/>
  <c r="AF108"/>
  <c r="AF33"/>
  <c r="AF117"/>
  <c r="AF45"/>
  <c r="AF100"/>
  <c r="AF177"/>
  <c r="AF13"/>
  <c r="AF102"/>
  <c r="AF157"/>
  <c r="AF172"/>
  <c r="AF63"/>
  <c r="AF38"/>
  <c r="AF110"/>
  <c r="AF138"/>
  <c r="AF23"/>
  <c r="AF55"/>
  <c r="AF7"/>
  <c r="AF54"/>
  <c r="AF133"/>
  <c r="AF25"/>
  <c r="AF170"/>
  <c r="AF161"/>
  <c r="AF176"/>
  <c r="AF49"/>
  <c r="AF101"/>
  <c r="AF56"/>
  <c r="AF31"/>
  <c r="AF65"/>
  <c r="AF197"/>
  <c r="AF15"/>
  <c r="AF169"/>
  <c r="AF37"/>
  <c r="AF83"/>
  <c r="AF137"/>
  <c r="AF95"/>
  <c r="AF24"/>
  <c r="AF76"/>
  <c r="AF160"/>
  <c r="AF85"/>
  <c r="AF57"/>
  <c r="AF163"/>
  <c r="AF153"/>
  <c r="AF16"/>
  <c r="AF142"/>
  <c r="AF58"/>
  <c r="AF20"/>
  <c r="AF109"/>
  <c r="AF114"/>
  <c r="AF186"/>
  <c r="AF181"/>
  <c r="AF27"/>
  <c r="AF182"/>
  <c r="AF46"/>
  <c r="AF48"/>
  <c r="AF81"/>
  <c r="AF175"/>
  <c r="AF44"/>
  <c r="AF168"/>
  <c r="AF9"/>
  <c r="AF189"/>
  <c r="AF51"/>
  <c r="AF190"/>
  <c r="AF141"/>
  <c r="AF94"/>
  <c r="AF104"/>
  <c r="AF41"/>
  <c r="AF71"/>
  <c r="AF10"/>
  <c r="AF165"/>
  <c r="AF179"/>
  <c r="AF107"/>
  <c r="AF75"/>
  <c r="AF98"/>
  <c r="AF103"/>
  <c r="AF112"/>
  <c r="AF106"/>
  <c r="AF32"/>
  <c r="AF73"/>
  <c r="AF80"/>
  <c r="AF173"/>
  <c r="AF50"/>
  <c r="AF89"/>
  <c r="AF84"/>
  <c r="AF74"/>
  <c r="AF92"/>
  <c r="AF97"/>
  <c r="AF131"/>
  <c r="AF99"/>
  <c r="AF124"/>
  <c r="AF155"/>
  <c r="AF191"/>
  <c r="AF119"/>
  <c r="AF91"/>
  <c r="AF178"/>
  <c r="AF120"/>
  <c r="AF150"/>
  <c r="AF77"/>
  <c r="AF198"/>
  <c r="AF113"/>
  <c r="AF118"/>
  <c r="AF143"/>
  <c r="AF93"/>
  <c r="AF136"/>
  <c r="AF96"/>
  <c r="AF116"/>
  <c r="AF39"/>
  <c r="AF196"/>
  <c r="AF78"/>
  <c r="AF194"/>
  <c r="AF11"/>
  <c r="AF21"/>
  <c r="AF183"/>
  <c r="AF60"/>
  <c r="AF162"/>
  <c r="AF154"/>
  <c r="AF146"/>
  <c r="AF52"/>
  <c r="AF188"/>
  <c r="AF14"/>
  <c r="AF139"/>
  <c r="AF28"/>
  <c r="AF111"/>
  <c r="AF185"/>
  <c r="AF59"/>
  <c r="AF149"/>
  <c r="AF30"/>
  <c r="AF192"/>
  <c r="AF66"/>
  <c r="AF105"/>
  <c r="AF88"/>
  <c r="AF148"/>
  <c r="AF79"/>
  <c r="AF68"/>
  <c r="AF42"/>
  <c r="AF171"/>
  <c r="AF34"/>
  <c r="AF8"/>
  <c r="AF184"/>
  <c r="AF159"/>
  <c r="AF26"/>
  <c r="AF67"/>
  <c r="AF140"/>
  <c r="AF129"/>
  <c r="AF125"/>
  <c r="AF164"/>
  <c r="AF17"/>
  <c r="AF19"/>
  <c r="AF130"/>
  <c r="AF69"/>
  <c r="AF167"/>
  <c r="AF121"/>
  <c r="AF72"/>
  <c r="AF90"/>
  <c r="AF123"/>
  <c r="AF134"/>
  <c r="AF135"/>
  <c r="AF70"/>
  <c r="AF126"/>
  <c r="AF22"/>
  <c r="AF43"/>
  <c r="AF147"/>
  <c r="AF151"/>
  <c r="AF174"/>
  <c r="AF156"/>
  <c r="AF200"/>
  <c r="AF40"/>
  <c r="AF187"/>
  <c r="AF195"/>
  <c r="AF128"/>
  <c r="AF18"/>
  <c r="AF86"/>
  <c r="AF87"/>
  <c r="AF12"/>
  <c r="AF61"/>
  <c r="AF62"/>
  <c r="AF36"/>
  <c r="AF193"/>
  <c r="AF35"/>
  <c r="AF53"/>
  <c r="AF152"/>
  <c r="AF180"/>
  <c r="AF158"/>
  <c r="AF132"/>
  <c r="AF127"/>
  <c r="AF29"/>
  <c r="AF82"/>
  <c r="AF2" l="1"/>
  <c r="AG29"/>
  <c r="AG132"/>
  <c r="AG180"/>
  <c r="AG53"/>
  <c r="AG193"/>
  <c r="AG62"/>
  <c r="AG12"/>
  <c r="AG86"/>
  <c r="AG128"/>
  <c r="AG187"/>
  <c r="AG200"/>
  <c r="AG174"/>
  <c r="AG147"/>
  <c r="AG22"/>
  <c r="AG70"/>
  <c r="AG134"/>
  <c r="AG90"/>
  <c r="AG121"/>
  <c r="AG69"/>
  <c r="AG19"/>
  <c r="AG164"/>
  <c r="AG129"/>
  <c r="AG67"/>
  <c r="AG159"/>
  <c r="AG8"/>
  <c r="AG171"/>
  <c r="AG68"/>
  <c r="AG148"/>
  <c r="AG105"/>
  <c r="AG192"/>
  <c r="AG149"/>
  <c r="AG185"/>
  <c r="AG28"/>
  <c r="AG14"/>
  <c r="AG52"/>
  <c r="AG154"/>
  <c r="AG60"/>
  <c r="AG21"/>
  <c r="AG194"/>
  <c r="AG196"/>
  <c r="AG116"/>
  <c r="AG136"/>
  <c r="AG143"/>
  <c r="AG113"/>
  <c r="AG77"/>
  <c r="AG120"/>
  <c r="AG91"/>
  <c r="AG191"/>
  <c r="AG124"/>
  <c r="AG131"/>
  <c r="AG92"/>
  <c r="AG84"/>
  <c r="AG50"/>
  <c r="AG80"/>
  <c r="AG32"/>
  <c r="AG112"/>
  <c r="AG98"/>
  <c r="AG107"/>
  <c r="AG165"/>
  <c r="AG71"/>
  <c r="AG104"/>
  <c r="AG141"/>
  <c r="AG51"/>
  <c r="AG9"/>
  <c r="AG44"/>
  <c r="AG81"/>
  <c r="AG46"/>
  <c r="AG27"/>
  <c r="AG186"/>
  <c r="AG109"/>
  <c r="AG58"/>
  <c r="AG16"/>
  <c r="AG163"/>
  <c r="AG85"/>
  <c r="AG76"/>
  <c r="AG95"/>
  <c r="AG83"/>
  <c r="AG169"/>
  <c r="AG197"/>
  <c r="AG31"/>
  <c r="AG101"/>
  <c r="AG176"/>
  <c r="AG170"/>
  <c r="AG133"/>
  <c r="AG55"/>
  <c r="AG138"/>
  <c r="AG38"/>
  <c r="AG172"/>
  <c r="AG102"/>
  <c r="AG177"/>
  <c r="AG45"/>
  <c r="AG33"/>
  <c r="AG199"/>
  <c r="AG122"/>
  <c r="AG115"/>
  <c r="AG47"/>
  <c r="AG82"/>
  <c r="AG127"/>
  <c r="AG158"/>
  <c r="AG152"/>
  <c r="AG35"/>
  <c r="AG36"/>
  <c r="AG61"/>
  <c r="AG87"/>
  <c r="AG18"/>
  <c r="AG195"/>
  <c r="AG40"/>
  <c r="AG156"/>
  <c r="AG151"/>
  <c r="AG43"/>
  <c r="AG126"/>
  <c r="AG135"/>
  <c r="AG123"/>
  <c r="AG72"/>
  <c r="AG167"/>
  <c r="AG130"/>
  <c r="AG17"/>
  <c r="AG125"/>
  <c r="AG140"/>
  <c r="AG26"/>
  <c r="AG184"/>
  <c r="AG34"/>
  <c r="AG42"/>
  <c r="AG79"/>
  <c r="AG88"/>
  <c r="AG66"/>
  <c r="AG30"/>
  <c r="AG59"/>
  <c r="AG111"/>
  <c r="AG139"/>
  <c r="AG188"/>
  <c r="AG146"/>
  <c r="AG162"/>
  <c r="AG183"/>
  <c r="AG11"/>
  <c r="AG78"/>
  <c r="AG39"/>
  <c r="AG96"/>
  <c r="AG93"/>
  <c r="AG118"/>
  <c r="AG198"/>
  <c r="AG150"/>
  <c r="AG178"/>
  <c r="AG119"/>
  <c r="AG155"/>
  <c r="AG99"/>
  <c r="AG97"/>
  <c r="AG74"/>
  <c r="AG89"/>
  <c r="AG173"/>
  <c r="AG73"/>
  <c r="AG106"/>
  <c r="AG103"/>
  <c r="AG75"/>
  <c r="AG179"/>
  <c r="AG10"/>
  <c r="AG41"/>
  <c r="AG94"/>
  <c r="AG190"/>
  <c r="AG189"/>
  <c r="AG168"/>
  <c r="AG175"/>
  <c r="AG48"/>
  <c r="AG182"/>
  <c r="AG181"/>
  <c r="AG114"/>
  <c r="AG20"/>
  <c r="AG142"/>
  <c r="AG153"/>
  <c r="AG57"/>
  <c r="AG160"/>
  <c r="AG24"/>
  <c r="AG137"/>
  <c r="AG37"/>
  <c r="AG15"/>
  <c r="AG65"/>
  <c r="AG56"/>
  <c r="AG49"/>
  <c r="AG161"/>
  <c r="AG25"/>
  <c r="AG54"/>
  <c r="AG7"/>
  <c r="AG23"/>
  <c r="AG110"/>
  <c r="AG63"/>
  <c r="AG157"/>
  <c r="AG13"/>
  <c r="AG100"/>
  <c r="AG117"/>
  <c r="AG108"/>
  <c r="AG144"/>
  <c r="AG166"/>
  <c r="AG64"/>
  <c r="AG145"/>
  <c r="AG2" l="1"/>
</calcChain>
</file>

<file path=xl/comments1.xml><?xml version="1.0" encoding="utf-8"?>
<comments xmlns="http://schemas.openxmlformats.org/spreadsheetml/2006/main">
  <authors>
    <author>swojewoda</author>
  </authors>
  <commentList>
    <comment ref="G225" authorId="0">
      <text>
        <r>
          <rPr>
            <b/>
            <sz val="8"/>
            <color indexed="81"/>
            <rFont val="Tahoma"/>
            <family val="2"/>
          </rPr>
          <t>swojewoda:</t>
        </r>
        <r>
          <rPr>
            <sz val="8"/>
            <color indexed="81"/>
            <rFont val="Tahoma"/>
            <family val="2"/>
          </rPr>
          <t xml:space="preserve">
Transbase</t>
        </r>
      </text>
    </comment>
  </commentList>
</comments>
</file>

<file path=xl/sharedStrings.xml><?xml version="1.0" encoding="utf-8"?>
<sst xmlns="http://schemas.openxmlformats.org/spreadsheetml/2006/main" count="2166" uniqueCount="433">
  <si>
    <t>Début</t>
  </si>
  <si>
    <t>Lot 1</t>
  </si>
  <si>
    <t>u</t>
  </si>
  <si>
    <t>V1.0</t>
  </si>
  <si>
    <t>5.8.1</t>
  </si>
  <si>
    <t>PL</t>
  </si>
  <si>
    <t>Lot 2</t>
  </si>
  <si>
    <t>lot 2</t>
  </si>
  <si>
    <t>Date Début</t>
  </si>
  <si>
    <t>Date prévu</t>
  </si>
  <si>
    <t>Type</t>
  </si>
  <si>
    <t>Objectifs</t>
  </si>
  <si>
    <t>Desc Courte</t>
  </si>
  <si>
    <t>Compteur</t>
  </si>
  <si>
    <t>Index des colonnes</t>
  </si>
  <si>
    <t>Nom Projet / Produit</t>
  </si>
  <si>
    <t>Important</t>
  </si>
  <si>
    <t>Client</t>
  </si>
  <si>
    <t>Livraison</t>
  </si>
  <si>
    <t>TypeEcheance</t>
  </si>
  <si>
    <t>DescriptionCourte</t>
  </si>
  <si>
    <t>Projet / Application</t>
  </si>
  <si>
    <t>Prioritaire</t>
  </si>
  <si>
    <t>Total général</t>
  </si>
  <si>
    <t>Colonne ref Projet</t>
  </si>
  <si>
    <t>Ligne ref Projet</t>
  </si>
  <si>
    <t>Ligne debut Maquette</t>
  </si>
  <si>
    <t>¤¤B</t>
  </si>
  <si>
    <t>¤¤Liste (onglet précédent);O</t>
  </si>
  <si>
    <t>¤¤Liste</t>
  </si>
  <si>
    <t>¤¤Liste =&gt; plage "DateAutorisée"</t>
  </si>
  <si>
    <t>Type d'échéance (Jalon, Livrable)</t>
  </si>
  <si>
    <t>¤¤Liste "Jalon;Livrable"</t>
  </si>
  <si>
    <t>¤¤T;Max=30</t>
  </si>
  <si>
    <t>¤¤T; Max=500</t>
  </si>
  <si>
    <t>Ajout et suppression de ligne</t>
  </si>
  <si>
    <t>Tous les projets / application viennent de l'onglet précédent</t>
  </si>
  <si>
    <t>0;1</t>
  </si>
  <si>
    <t>TOUS</t>
  </si>
  <si>
    <t>Nombre de Projet / Application</t>
  </si>
  <si>
    <t>Lib. Court</t>
  </si>
  <si>
    <t>Domaine POS</t>
  </si>
  <si>
    <t>t</t>
  </si>
  <si>
    <t>Lot 1?</t>
  </si>
  <si>
    <t>3.24</t>
  </si>
  <si>
    <t>fin renégo contrat</t>
  </si>
  <si>
    <t>Lot1 ?</t>
  </si>
  <si>
    <t>V1.11</t>
  </si>
  <si>
    <t>T4-16</t>
  </si>
  <si>
    <t>fin</t>
  </si>
  <si>
    <t>V2</t>
  </si>
  <si>
    <t>T1-17</t>
  </si>
  <si>
    <t>T3-17</t>
  </si>
  <si>
    <t xml:space="preserve">Fin </t>
  </si>
  <si>
    <t>Lot 3</t>
  </si>
  <si>
    <t>1.0</t>
  </si>
  <si>
    <t>2.0</t>
  </si>
  <si>
    <t>5.9</t>
  </si>
  <si>
    <t>5.9.1</t>
  </si>
  <si>
    <t>6.0</t>
  </si>
  <si>
    <t>1.1.5</t>
  </si>
  <si>
    <t>1.1.6</t>
  </si>
  <si>
    <t>3.0</t>
  </si>
  <si>
    <t>5.0</t>
  </si>
  <si>
    <t>5.1</t>
  </si>
  <si>
    <t>T2-17</t>
  </si>
  <si>
    <t>A 1.0</t>
  </si>
  <si>
    <t>M3.4/T1.5</t>
  </si>
  <si>
    <t>M3.4.1/T1.5.1</t>
  </si>
  <si>
    <t>M3.5/T1.6</t>
  </si>
  <si>
    <t>Chiffrage 16</t>
  </si>
  <si>
    <t>lot 1</t>
  </si>
  <si>
    <t>?</t>
  </si>
  <si>
    <t>V4.0</t>
  </si>
  <si>
    <t>V5.0</t>
  </si>
  <si>
    <t>Lot 1 Connect</t>
  </si>
  <si>
    <t>Lot1</t>
  </si>
  <si>
    <t>T4-17</t>
  </si>
  <si>
    <t>test</t>
  </si>
  <si>
    <t>Lot 1.1</t>
  </si>
  <si>
    <t>3.22.1</t>
  </si>
  <si>
    <t>3.23</t>
  </si>
  <si>
    <t>3.25</t>
  </si>
  <si>
    <t>3.26</t>
  </si>
  <si>
    <t>3.28</t>
  </si>
  <si>
    <t>3.29</t>
  </si>
  <si>
    <t>3.30</t>
  </si>
  <si>
    <t>3.27</t>
  </si>
  <si>
    <t>V1.12</t>
  </si>
  <si>
    <t>V1.13</t>
  </si>
  <si>
    <t>Roadmap</t>
  </si>
  <si>
    <t>BD Ref</t>
  </si>
  <si>
    <t>Fin Recette</t>
  </si>
  <si>
    <t>Double run</t>
  </si>
  <si>
    <t>Init</t>
  </si>
  <si>
    <t>carto</t>
  </si>
  <si>
    <t>Pilote</t>
  </si>
  <si>
    <t>Rapport</t>
  </si>
  <si>
    <t>lot 3</t>
  </si>
  <si>
    <t>V3</t>
  </si>
  <si>
    <t>V1</t>
  </si>
  <si>
    <t>POC</t>
  </si>
  <si>
    <t>B1</t>
  </si>
  <si>
    <t>B2</t>
  </si>
  <si>
    <t>B3</t>
  </si>
  <si>
    <t>!B4</t>
  </si>
  <si>
    <t>Sol. Indus</t>
  </si>
  <si>
    <t>V6.01</t>
  </si>
  <si>
    <t>V6.02</t>
  </si>
  <si>
    <t>V6.01'</t>
  </si>
  <si>
    <t>PIG INT</t>
  </si>
  <si>
    <t>DEP</t>
  </si>
  <si>
    <t>MEP</t>
  </si>
  <si>
    <t>F. Et.</t>
  </si>
  <si>
    <t>D.</t>
  </si>
  <si>
    <t>D. 1BM</t>
  </si>
  <si>
    <t>D. 1A</t>
  </si>
  <si>
    <t>L. AO</t>
  </si>
  <si>
    <t>V12.70</t>
  </si>
  <si>
    <t>V12.60</t>
  </si>
  <si>
    <t>V12.80</t>
  </si>
  <si>
    <t>GO?</t>
  </si>
  <si>
    <t>Mod. AM</t>
  </si>
  <si>
    <t>CCU</t>
  </si>
  <si>
    <t>Alerte</t>
  </si>
  <si>
    <t>Eléments d'alerte</t>
  </si>
  <si>
    <t>2.1</t>
  </si>
  <si>
    <t>CU lot2</t>
  </si>
  <si>
    <t>Chiffrage</t>
  </si>
  <si>
    <t>Dépl.</t>
  </si>
  <si>
    <t>47x</t>
  </si>
  <si>
    <t>Club U.</t>
  </si>
  <si>
    <t>DO</t>
  </si>
  <si>
    <t>Vision</t>
  </si>
  <si>
    <t>GdC1.0</t>
  </si>
  <si>
    <t>V6.0'</t>
  </si>
  <si>
    <t>lot1</t>
  </si>
  <si>
    <t>GO Lot2</t>
  </si>
  <si>
    <t>POT</t>
  </si>
  <si>
    <t>collecte</t>
  </si>
  <si>
    <t>Programme</t>
  </si>
  <si>
    <t>Niv Prio</t>
  </si>
  <si>
    <t>Dig</t>
  </si>
  <si>
    <t>v0.8</t>
  </si>
  <si>
    <t>V98</t>
  </si>
  <si>
    <t>V99</t>
  </si>
  <si>
    <t>(Tous)</t>
  </si>
  <si>
    <t>Fin d'étude</t>
  </si>
  <si>
    <t>Chiff.</t>
  </si>
  <si>
    <t>lot 0.8</t>
  </si>
  <si>
    <t>GO</t>
  </si>
  <si>
    <t>Refonte</t>
  </si>
  <si>
    <t>v1.0</t>
  </si>
  <si>
    <t>Ce document est la feuille de route à date des projets _majeurs_ STIME sur une période de 24 mois.</t>
  </si>
  <si>
    <t>L'objectif est de construire et partager une vision commune des projets / programmes et chantiers en cours et à venir, des adhérences potentiels.
La vision globale apparaît sur l'onglet Maquette (plus de détail sur cette partie en dessous)</t>
  </si>
  <si>
    <t>La construction de la feuille de route passe par la définition des jalons clé. L'onglet Roadmap joue ce rôle avec une organisation :
* Par domaine du POS dans une vision fonctionnelle (voir M. Bénard et l'usage de ARTS sur http://urba.mousquetaires.com)
* Par flux
* Par application / projet
Chaque ligne représente un jalon (colonne type), qui est :
* soit un jalon majeur (u), 
* soit un évènement notable (lancement, décision de go, Fin d'étude, etc)
Vous devez pour chaque jalon positionner une date, dont le degré de certitude augmente en s'en approchant :
* La quinzaine pour les six mois à venir, 
* le mois pour les six suivants,
* le trimestre pour l'année d'après.
Lorsque cela est requis, un jalon se rattache à un programme. La liste est libre, essayez de la maintenir cohérente.
Le niveau de priorité permet de filtrer l'ensemble des jalons pour une vision cohérente, se concentrant uniquement sur les éléments clé</t>
  </si>
  <si>
    <t>Lorsque l'ensemble des jalons sont définis, la présentation passe par un travail sur l'onglet tri et Maquette.</t>
  </si>
  <si>
    <t>L'onglet maquette sert à la mise en forme des éléments présents dans l'onglet "TRI", qui est un Tableau Croisé Dynamique (TCD).
Vous pouvez filtrer les entrées, transformer les vues (ajout d'un axe d'analyse, changement de l'ordre, ajout de critères, etc) pour obtenir la vision qui vous intéresse.
Par exemple, la vision standard présente les projets par flux. L'outil permet soit de :
* Présenter uniquement un flux =&gt; sélectionner un flux
* Donner une vision par domaine du POS =&gt; remplacer dans l'onglet Tri le champs du TCD "Flux" par "POS"
* Donner une vision par métier =&gt; soit triez dans le filtre de rapport, soit déplacez ce filtre dans les étiquettes de lignes
* Coupler les visions, par exemple une vision par client et POS =&gt; mettez alors les deux axes comme étiquette de lignes.
La mise à jour de l'onglet maquette passe par l'utilisation des deux boutons en haut.
Si vous avez changé le nombre d'étiquettes de lignes, appuyez sur le bouton "Flux ou domaine =&gt; flux + domaine
Le bouton "Mise en forme permet la mise en forme du tableau.</t>
  </si>
  <si>
    <t>Note : le fonctionnement du document implique l'activation des macros.</t>
  </si>
  <si>
    <t>Sur l'onglet Maquette, chaque jalon est cliquable et vous renvoie à la ligne correspondante dans l'onglet Roadmap.</t>
  </si>
  <si>
    <t>µ</t>
  </si>
  <si>
    <t>¶</t>
  </si>
  <si>
    <t>²</t>
  </si>
  <si>
    <t>2.7</t>
  </si>
  <si>
    <t>2.x</t>
  </si>
  <si>
    <t>X.y</t>
  </si>
  <si>
    <t>1.16</t>
  </si>
  <si>
    <t>V1'B&amp;C</t>
  </si>
  <si>
    <t>V0.8</t>
  </si>
  <si>
    <t>D. Bel</t>
  </si>
  <si>
    <t>Domaine 1</t>
  </si>
  <si>
    <t>Domaine 2</t>
  </si>
  <si>
    <t>Domaine 3</t>
  </si>
  <si>
    <t>Domaine 4</t>
  </si>
  <si>
    <t>Domaine 5</t>
  </si>
  <si>
    <t>Domaine 6</t>
  </si>
  <si>
    <t>Domaine 7</t>
  </si>
  <si>
    <t>Domaine 8</t>
  </si>
  <si>
    <t>Domaine 9</t>
  </si>
  <si>
    <t>Direction</t>
  </si>
  <si>
    <t>D1</t>
  </si>
  <si>
    <t>D2</t>
  </si>
  <si>
    <t>D3</t>
  </si>
  <si>
    <t>D4</t>
  </si>
  <si>
    <t>D5</t>
  </si>
  <si>
    <t>D6</t>
  </si>
  <si>
    <t>D7</t>
  </si>
  <si>
    <t>D8</t>
  </si>
  <si>
    <t>D9</t>
  </si>
  <si>
    <t>Projet A</t>
  </si>
  <si>
    <t>Projet B</t>
  </si>
  <si>
    <t>Projet C</t>
  </si>
  <si>
    <t>Projet D</t>
  </si>
  <si>
    <t>Projet E</t>
  </si>
  <si>
    <t>Projet F</t>
  </si>
  <si>
    <t>Projet G</t>
  </si>
  <si>
    <t>Projet H</t>
  </si>
  <si>
    <t>Projet I</t>
  </si>
  <si>
    <t>Projet J</t>
  </si>
  <si>
    <t>Projet K</t>
  </si>
  <si>
    <t>Projet L</t>
  </si>
  <si>
    <t>Projet M</t>
  </si>
  <si>
    <t>Projet N</t>
  </si>
  <si>
    <t>Projet O</t>
  </si>
  <si>
    <t>Projet P</t>
  </si>
  <si>
    <t>Projet Q</t>
  </si>
  <si>
    <t>Projet R</t>
  </si>
  <si>
    <t>Projet S</t>
  </si>
  <si>
    <t>Projet T</t>
  </si>
  <si>
    <t>Projet U</t>
  </si>
  <si>
    <t>Projet V</t>
  </si>
  <si>
    <t>Projet W</t>
  </si>
  <si>
    <t>Projet X</t>
  </si>
  <si>
    <t>Projet Y</t>
  </si>
  <si>
    <t>Projet Z</t>
  </si>
  <si>
    <t>Projet AA</t>
  </si>
  <si>
    <t>Projet AB</t>
  </si>
  <si>
    <t>Projet AC</t>
  </si>
  <si>
    <t>Projet AD</t>
  </si>
  <si>
    <t>Projet AE</t>
  </si>
  <si>
    <t>Projet AF</t>
  </si>
  <si>
    <t>Projet AG</t>
  </si>
  <si>
    <t>Projet AH</t>
  </si>
  <si>
    <t>Projet AI</t>
  </si>
  <si>
    <t>Projet AJ</t>
  </si>
  <si>
    <t>Projet AK</t>
  </si>
  <si>
    <t>Projet AL</t>
  </si>
  <si>
    <t>Projet AM</t>
  </si>
  <si>
    <t>Projet AN</t>
  </si>
  <si>
    <t>Projet AO</t>
  </si>
  <si>
    <t>Projet AP</t>
  </si>
  <si>
    <t>Projet AQ</t>
  </si>
  <si>
    <t>Projet AR</t>
  </si>
  <si>
    <t>Projet AS</t>
  </si>
  <si>
    <t>Projet AT</t>
  </si>
  <si>
    <t>Projet AU</t>
  </si>
  <si>
    <t>Projet AV</t>
  </si>
  <si>
    <t>Projet AW</t>
  </si>
  <si>
    <t>Projet AX</t>
  </si>
  <si>
    <t>Projet AY</t>
  </si>
  <si>
    <t>Projet AZ</t>
  </si>
  <si>
    <t>Projet BA</t>
  </si>
  <si>
    <t>Projet BB</t>
  </si>
  <si>
    <t>Projet BC</t>
  </si>
  <si>
    <t>Projet BD</t>
  </si>
  <si>
    <t>Projet BE</t>
  </si>
  <si>
    <t>Projet BF</t>
  </si>
  <si>
    <t>Projet BG</t>
  </si>
  <si>
    <t>Projet BH</t>
  </si>
  <si>
    <t>Projet BI</t>
  </si>
  <si>
    <t>Projet BJ</t>
  </si>
  <si>
    <t>Projet BK</t>
  </si>
  <si>
    <t>Projet BL</t>
  </si>
  <si>
    <t>Projet BM</t>
  </si>
  <si>
    <t>Projet BN</t>
  </si>
  <si>
    <t>Projet BO</t>
  </si>
  <si>
    <t>Projet BP</t>
  </si>
  <si>
    <t>Projet BQ</t>
  </si>
  <si>
    <t>Projet BR</t>
  </si>
  <si>
    <t>Projet BS</t>
  </si>
  <si>
    <t>Projet BT</t>
  </si>
  <si>
    <t>Projet BU</t>
  </si>
  <si>
    <t>Projet BV</t>
  </si>
  <si>
    <t>Projet BW</t>
  </si>
  <si>
    <t>Projet BX</t>
  </si>
  <si>
    <t>Projet BY</t>
  </si>
  <si>
    <t>Projet BZ</t>
  </si>
  <si>
    <t>Projet CA</t>
  </si>
  <si>
    <t>Projet CB</t>
  </si>
  <si>
    <t>Projet CC</t>
  </si>
  <si>
    <t>Projet CD</t>
  </si>
  <si>
    <t>Projet CE</t>
  </si>
  <si>
    <t>Projet CF</t>
  </si>
  <si>
    <t>Projet CG</t>
  </si>
  <si>
    <t>Projet CH</t>
  </si>
  <si>
    <t>Projet CI</t>
  </si>
  <si>
    <t>Projet CJ</t>
  </si>
  <si>
    <t>Projet CK</t>
  </si>
  <si>
    <t>Projet CL</t>
  </si>
  <si>
    <t>Projet CM</t>
  </si>
  <si>
    <t>Projet CN</t>
  </si>
  <si>
    <t>Projet CO</t>
  </si>
  <si>
    <t>Projet CP</t>
  </si>
  <si>
    <t>Projet CQ</t>
  </si>
  <si>
    <t>Projet CR</t>
  </si>
  <si>
    <t>Projet CS</t>
  </si>
  <si>
    <t>Projet CT</t>
  </si>
  <si>
    <t>Projet CU</t>
  </si>
  <si>
    <t>Projet CV</t>
  </si>
  <si>
    <t>Projet CW</t>
  </si>
  <si>
    <t>Projet CX</t>
  </si>
  <si>
    <t>Projet CY</t>
  </si>
  <si>
    <t>Projet CZ</t>
  </si>
  <si>
    <t>Projet DA</t>
  </si>
  <si>
    <t>Projet DB</t>
  </si>
  <si>
    <t>Projet DC</t>
  </si>
  <si>
    <t>Projet DD</t>
  </si>
  <si>
    <t>Projet DE</t>
  </si>
  <si>
    <t>Projet DF</t>
  </si>
  <si>
    <t>Projet DG</t>
  </si>
  <si>
    <t>Projet DH</t>
  </si>
  <si>
    <t>Projet DI</t>
  </si>
  <si>
    <t>Projet DJ</t>
  </si>
  <si>
    <t>Projet DK</t>
  </si>
  <si>
    <t>Projet DL</t>
  </si>
  <si>
    <t>Projet DM</t>
  </si>
  <si>
    <t>Projet DN</t>
  </si>
  <si>
    <t>Projet DO</t>
  </si>
  <si>
    <t>Projet DP</t>
  </si>
  <si>
    <t>Projet DQ</t>
  </si>
  <si>
    <t>Projet DR</t>
  </si>
  <si>
    <t>Projet DS</t>
  </si>
  <si>
    <t>Projet DT</t>
  </si>
  <si>
    <t>Projet DU</t>
  </si>
  <si>
    <t>Projet DV</t>
  </si>
  <si>
    <t>Projet DW</t>
  </si>
  <si>
    <t>Projet DX</t>
  </si>
  <si>
    <t>Projet DY</t>
  </si>
  <si>
    <t>Projet DZ</t>
  </si>
  <si>
    <t>Projet EA</t>
  </si>
  <si>
    <t>Projet EB</t>
  </si>
  <si>
    <t>Projet EC</t>
  </si>
  <si>
    <t>Projet ED</t>
  </si>
  <si>
    <t>Projet EE</t>
  </si>
  <si>
    <t>Projet EF</t>
  </si>
  <si>
    <t>Projet EG</t>
  </si>
  <si>
    <t>Projet EH</t>
  </si>
  <si>
    <t>Projet EI</t>
  </si>
  <si>
    <t>Projet EJ</t>
  </si>
  <si>
    <t>Projet EK</t>
  </si>
  <si>
    <t>P1</t>
  </si>
  <si>
    <t>P2</t>
  </si>
  <si>
    <t>P3</t>
  </si>
  <si>
    <t>P4</t>
  </si>
  <si>
    <t>P5</t>
  </si>
  <si>
    <t>P6</t>
  </si>
  <si>
    <t>P7</t>
  </si>
  <si>
    <t>P8</t>
  </si>
  <si>
    <t>P9</t>
  </si>
  <si>
    <t>Client A</t>
  </si>
  <si>
    <t>Client A/Client B</t>
  </si>
  <si>
    <t>Client B</t>
  </si>
  <si>
    <t>Client C/Client B/Client A</t>
  </si>
  <si>
    <t>Client C/Client B / Client A</t>
  </si>
  <si>
    <t>Client C</t>
  </si>
  <si>
    <t>Client C / Client A</t>
  </si>
  <si>
    <t>Client D</t>
  </si>
  <si>
    <t>Client A/Client B/Client D</t>
  </si>
  <si>
    <t>Client A/Client B/Client D/Client E</t>
  </si>
  <si>
    <t>Client D/Client E</t>
  </si>
  <si>
    <t>Client E</t>
  </si>
  <si>
    <t>C_Z</t>
  </si>
  <si>
    <t>Client A/Client B/C_Z/C_Y</t>
  </si>
  <si>
    <t>C_Y/C_Z</t>
  </si>
  <si>
    <t>Client A/C_X/C_Z/C_Y</t>
  </si>
  <si>
    <t>C_X</t>
  </si>
  <si>
    <t>C_Y/C_Z/C_X</t>
  </si>
  <si>
    <t>C_W</t>
  </si>
  <si>
    <t>Client F</t>
  </si>
  <si>
    <t>Client G</t>
  </si>
  <si>
    <t>Client H</t>
  </si>
  <si>
    <t>Client A/Client B/Client I/Client G</t>
  </si>
  <si>
    <t xml:space="preserve"> V1</t>
  </si>
  <si>
    <t>V0.1</t>
  </si>
  <si>
    <t>T. C&lt;</t>
  </si>
  <si>
    <t>V10</t>
  </si>
  <si>
    <t>Deb</t>
  </si>
  <si>
    <t>V12</t>
  </si>
  <si>
    <t>Dep</t>
  </si>
  <si>
    <t>lot B</t>
  </si>
  <si>
    <t>lot c</t>
  </si>
  <si>
    <t>lot E</t>
  </si>
  <si>
    <t>lot D</t>
  </si>
  <si>
    <t>lot A</t>
  </si>
  <si>
    <t>Trans.</t>
  </si>
  <si>
    <t>TM</t>
  </si>
  <si>
    <t>Reprise</t>
  </si>
  <si>
    <t>CC</t>
  </si>
  <si>
    <t>lot 2.3</t>
  </si>
  <si>
    <t>lot 2.3.1</t>
  </si>
  <si>
    <t>BDD</t>
  </si>
  <si>
    <t>Lab</t>
  </si>
  <si>
    <t>EAI</t>
  </si>
  <si>
    <t>No</t>
  </si>
  <si>
    <t>CICD</t>
  </si>
  <si>
    <t>client A</t>
  </si>
  <si>
    <t>client B</t>
  </si>
  <si>
    <t>Hub</t>
  </si>
  <si>
    <t>WS</t>
  </si>
  <si>
    <t>WS 2</t>
  </si>
  <si>
    <t>LOT 1</t>
  </si>
  <si>
    <t>RI</t>
  </si>
  <si>
    <t>Gen</t>
  </si>
  <si>
    <t>Etude</t>
  </si>
  <si>
    <t>Doc</t>
  </si>
  <si>
    <t>Charg</t>
  </si>
  <si>
    <t>Pil.</t>
  </si>
  <si>
    <t>Pil. 2</t>
  </si>
  <si>
    <t>RFP</t>
  </si>
  <si>
    <t>lot 4</t>
  </si>
  <si>
    <t>auto</t>
  </si>
  <si>
    <t>fin.</t>
  </si>
  <si>
    <t>dem.</t>
  </si>
  <si>
    <t>V5.4</t>
  </si>
  <si>
    <t>Pil</t>
  </si>
  <si>
    <t>indus</t>
  </si>
  <si>
    <t>MAJ</t>
  </si>
  <si>
    <t>doc</t>
  </si>
  <si>
    <t>pil</t>
  </si>
  <si>
    <t>V45</t>
  </si>
  <si>
    <t>V47</t>
  </si>
  <si>
    <t>T48</t>
  </si>
  <si>
    <t>v48</t>
  </si>
  <si>
    <t>lot 8</t>
  </si>
  <si>
    <t>V820</t>
  </si>
  <si>
    <t>Pil 1</t>
  </si>
  <si>
    <t>D. 1</t>
  </si>
  <si>
    <t>D. 2</t>
  </si>
  <si>
    <t>up</t>
  </si>
  <si>
    <t>D. Client G</t>
  </si>
  <si>
    <t>TA</t>
  </si>
  <si>
    <t>Début A</t>
  </si>
  <si>
    <t>lot K</t>
  </si>
  <si>
    <t>L. A</t>
  </si>
  <si>
    <t>Début test</t>
  </si>
  <si>
    <t>Jalon compliqué</t>
  </si>
  <si>
    <t>V2.0</t>
  </si>
  <si>
    <t>V0.9</t>
  </si>
  <si>
    <t>Synchronisation</t>
  </si>
  <si>
    <t>V9</t>
  </si>
  <si>
    <t>A1.0</t>
  </si>
  <si>
    <t>Fin Pil. V2</t>
  </si>
  <si>
    <t>V46X</t>
  </si>
</sst>
</file>

<file path=xl/styles.xml><?xml version="1.0" encoding="utf-8"?>
<styleSheet xmlns="http://schemas.openxmlformats.org/spreadsheetml/2006/main">
  <numFmts count="2">
    <numFmt numFmtId="164" formatCode="\Q\1"/>
    <numFmt numFmtId="165" formatCode="\Q\2"/>
  </numFmts>
  <fonts count="25">
    <font>
      <sz val="11"/>
      <color theme="1"/>
      <name val="Calibri"/>
      <family val="2"/>
      <scheme val="minor"/>
    </font>
    <font>
      <sz val="11"/>
      <color theme="1"/>
      <name val="Calibri"/>
      <family val="2"/>
      <scheme val="minor"/>
    </font>
    <font>
      <sz val="11"/>
      <color theme="0"/>
      <name val="Calibri"/>
      <family val="2"/>
      <scheme val="minor"/>
    </font>
    <font>
      <sz val="11"/>
      <color theme="1"/>
      <name val="Arial"/>
      <family val="2"/>
    </font>
    <font>
      <sz val="10"/>
      <color theme="1"/>
      <name val="Arial"/>
      <family val="2"/>
    </font>
    <font>
      <sz val="10"/>
      <name val="Arial"/>
      <family val="2"/>
    </font>
    <font>
      <b/>
      <sz val="11"/>
      <color theme="1"/>
      <name val="Calibri"/>
      <family val="2"/>
      <scheme val="minor"/>
    </font>
    <font>
      <b/>
      <sz val="10"/>
      <color theme="1"/>
      <name val="Arial"/>
      <family val="2"/>
    </font>
    <font>
      <sz val="12"/>
      <color theme="1"/>
      <name val="Arial"/>
      <family val="2"/>
    </font>
    <font>
      <sz val="11"/>
      <color theme="1"/>
      <name val="Times New Roman"/>
      <family val="1"/>
    </font>
    <font>
      <u/>
      <sz val="11"/>
      <color theme="10"/>
      <name val="Calibri"/>
      <family val="2"/>
    </font>
    <font>
      <sz val="11"/>
      <color theme="1"/>
      <name val="Wingdings"/>
      <charset val="2"/>
    </font>
    <font>
      <b/>
      <sz val="11"/>
      <color theme="0"/>
      <name val="Calibri"/>
      <family val="2"/>
      <scheme val="minor"/>
    </font>
    <font>
      <b/>
      <sz val="12"/>
      <color theme="1"/>
      <name val="Arial"/>
      <family val="2"/>
    </font>
    <font>
      <sz val="12"/>
      <color theme="1"/>
      <name val="Times New Roman"/>
      <family val="1"/>
    </font>
    <font>
      <sz val="12"/>
      <color theme="1"/>
      <name val="Calibri"/>
      <family val="2"/>
      <scheme val="minor"/>
    </font>
    <font>
      <sz val="12"/>
      <color theme="1"/>
      <name val="Wingdings"/>
      <charset val="2"/>
    </font>
    <font>
      <b/>
      <sz val="12"/>
      <color theme="0"/>
      <name val="Calibri"/>
      <family val="2"/>
      <scheme val="minor"/>
    </font>
    <font>
      <sz val="8"/>
      <color indexed="81"/>
      <name val="Tahoma"/>
      <family val="2"/>
    </font>
    <font>
      <b/>
      <sz val="8"/>
      <color indexed="81"/>
      <name val="Tahoma"/>
      <family val="2"/>
    </font>
    <font>
      <sz val="11"/>
      <color theme="10"/>
      <name val="Calibri"/>
      <family val="2"/>
    </font>
    <font>
      <b/>
      <sz val="10"/>
      <color theme="0"/>
      <name val="Calibri"/>
      <family val="2"/>
      <scheme val="minor"/>
    </font>
    <font>
      <sz val="10"/>
      <color theme="1"/>
      <name val="Calibri"/>
      <family val="2"/>
      <scheme val="minor"/>
    </font>
    <font>
      <sz val="10"/>
      <color theme="0"/>
      <name val="Calibri"/>
      <family val="2"/>
      <scheme val="minor"/>
    </font>
    <font>
      <sz val="10"/>
      <color theme="1"/>
      <name val="Wingdings"/>
      <charset val="2"/>
    </font>
  </fonts>
  <fills count="6">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tint="-0.499984740745262"/>
        <bgColor indexed="64"/>
      </patternFill>
    </fill>
    <fill>
      <patternFill patternType="solid">
        <fgColor rgb="FFFFFF00"/>
        <bgColor indexed="64"/>
      </patternFill>
    </fill>
  </fills>
  <borders count="10">
    <border>
      <left/>
      <right/>
      <top/>
      <bottom/>
      <diagonal/>
    </border>
    <border>
      <left style="thin">
        <color auto="1"/>
      </left>
      <right/>
      <top style="hair">
        <color auto="1"/>
      </top>
      <bottom style="hair">
        <color auto="1"/>
      </bottom>
      <diagonal/>
    </border>
    <border>
      <left/>
      <right/>
      <top style="hair">
        <color auto="1"/>
      </top>
      <bottom style="hair">
        <color auto="1"/>
      </bottom>
      <diagonal/>
    </border>
    <border>
      <left/>
      <right/>
      <top style="hair">
        <color auto="1"/>
      </top>
      <bottom/>
      <diagonal/>
    </border>
    <border>
      <left/>
      <right/>
      <top/>
      <bottom style="hair">
        <color auto="1"/>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s>
  <cellStyleXfs count="5">
    <xf numFmtId="0" fontId="0" fillId="0" borderId="0"/>
    <xf numFmtId="0" fontId="5" fillId="0" borderId="0"/>
    <xf numFmtId="0" fontId="10" fillId="0" borderId="0" applyNumberFormat="0" applyFill="0" applyBorder="0" applyAlignment="0" applyProtection="0">
      <alignment vertical="top"/>
      <protection locked="0"/>
    </xf>
    <xf numFmtId="0" fontId="2" fillId="2" borderId="0" applyNumberFormat="0" applyBorder="0" applyAlignment="0" applyProtection="0"/>
    <xf numFmtId="0" fontId="1" fillId="3" borderId="0" applyNumberFormat="0" applyBorder="0" applyAlignment="0" applyProtection="0"/>
  </cellStyleXfs>
  <cellXfs count="65">
    <xf numFmtId="0" fontId="0" fillId="0" borderId="0" xfId="0"/>
    <xf numFmtId="0" fontId="7" fillId="0" borderId="2" xfId="0" applyFont="1" applyBorder="1"/>
    <xf numFmtId="0" fontId="0" fillId="0" borderId="0" xfId="0" applyBorder="1"/>
    <xf numFmtId="0" fontId="0" fillId="0" borderId="2" xfId="0" applyBorder="1"/>
    <xf numFmtId="14" fontId="0" fillId="0" borderId="0" xfId="0" applyNumberFormat="1"/>
    <xf numFmtId="0" fontId="4" fillId="0" borderId="0" xfId="0" applyFont="1" applyFill="1" applyBorder="1"/>
    <xf numFmtId="0" fontId="0" fillId="0" borderId="0" xfId="0" pivotButton="1"/>
    <xf numFmtId="0" fontId="0" fillId="0" borderId="0" xfId="0" applyAlignment="1">
      <alignment horizontal="left"/>
    </xf>
    <xf numFmtId="0" fontId="0" fillId="0" borderId="0" xfId="0" applyNumberFormat="1"/>
    <xf numFmtId="14" fontId="2" fillId="0" borderId="0" xfId="0" applyNumberFormat="1" applyFont="1"/>
    <xf numFmtId="14" fontId="2" fillId="0" borderId="0" xfId="0" applyNumberFormat="1" applyFont="1" applyAlignment="1">
      <alignment horizontal="center" vertical="center"/>
    </xf>
    <xf numFmtId="0" fontId="7" fillId="0" borderId="4" xfId="0" applyFont="1" applyBorder="1"/>
    <xf numFmtId="0" fontId="6" fillId="0" borderId="8" xfId="0" applyFont="1" applyBorder="1"/>
    <xf numFmtId="17" fontId="2" fillId="0" borderId="8" xfId="0" applyNumberFormat="1" applyFont="1" applyBorder="1" applyAlignment="1">
      <alignment horizontal="center" vertical="center"/>
    </xf>
    <xf numFmtId="164" fontId="1" fillId="3" borderId="9" xfId="4" applyNumberFormat="1" applyBorder="1"/>
    <xf numFmtId="165" fontId="1" fillId="3" borderId="8" xfId="4" applyNumberFormat="1" applyBorder="1"/>
    <xf numFmtId="164" fontId="1" fillId="3" borderId="8" xfId="4" applyNumberFormat="1" applyBorder="1"/>
    <xf numFmtId="0" fontId="11" fillId="0" borderId="2" xfId="0" applyFont="1" applyBorder="1" applyAlignment="1">
      <alignment horizontal="center"/>
    </xf>
    <xf numFmtId="0" fontId="0" fillId="0" borderId="0" xfId="0" applyAlignment="1">
      <alignment horizontal="right" vertical="center"/>
    </xf>
    <xf numFmtId="17" fontId="12" fillId="4" borderId="0" xfId="3" applyNumberFormat="1" applyFont="1" applyFill="1" applyAlignment="1">
      <alignment horizontal="center" vertical="center"/>
    </xf>
    <xf numFmtId="0" fontId="13" fillId="0" borderId="4" xfId="0" applyFont="1" applyBorder="1" applyAlignment="1">
      <alignment vertical="center"/>
    </xf>
    <xf numFmtId="0" fontId="15" fillId="0" borderId="0" xfId="0" applyFont="1" applyAlignment="1">
      <alignment vertical="center"/>
    </xf>
    <xf numFmtId="0" fontId="16" fillId="0" borderId="2" xfId="0" applyFont="1" applyBorder="1" applyAlignment="1">
      <alignment horizontal="center" vertical="center"/>
    </xf>
    <xf numFmtId="0" fontId="14" fillId="0" borderId="2" xfId="0" applyFont="1" applyBorder="1" applyAlignment="1">
      <alignment horizontal="left" vertical="center"/>
    </xf>
    <xf numFmtId="0" fontId="15" fillId="0" borderId="0" xfId="0" applyFont="1" applyAlignment="1">
      <alignment horizontal="center" vertical="center"/>
    </xf>
    <xf numFmtId="0" fontId="15" fillId="0" borderId="0" xfId="0" applyFont="1" applyAlignment="1">
      <alignment horizontal="right" vertical="center"/>
    </xf>
    <xf numFmtId="17" fontId="17" fillId="4" borderId="0" xfId="3" applyNumberFormat="1" applyFont="1" applyFill="1" applyAlignment="1">
      <alignment horizontal="center" vertical="center"/>
    </xf>
    <xf numFmtId="0" fontId="4" fillId="0" borderId="0" xfId="0" applyFont="1"/>
    <xf numFmtId="0" fontId="0" fillId="0" borderId="1" xfId="0" applyBorder="1"/>
    <xf numFmtId="0" fontId="7" fillId="0" borderId="0" xfId="0" applyFont="1"/>
    <xf numFmtId="0" fontId="0" fillId="0" borderId="3" xfId="0" applyBorder="1"/>
    <xf numFmtId="0" fontId="4" fillId="0" borderId="0" xfId="0" applyFont="1" applyAlignment="1">
      <alignment vertical="center"/>
    </xf>
    <xf numFmtId="0" fontId="0" fillId="0" borderId="0" xfId="0" applyAlignment="1">
      <alignment horizontal="right" vertical="center" wrapText="1"/>
    </xf>
    <xf numFmtId="0" fontId="0" fillId="0" borderId="8" xfId="0" applyBorder="1" applyAlignment="1">
      <alignment horizontal="right" vertical="center" wrapText="1"/>
    </xf>
    <xf numFmtId="0" fontId="4" fillId="0" borderId="4" xfId="0" applyFont="1" applyBorder="1" applyAlignment="1">
      <alignment horizontal="right" vertical="center" wrapText="1"/>
    </xf>
    <xf numFmtId="0" fontId="4" fillId="0" borderId="2" xfId="0" applyFont="1" applyBorder="1" applyAlignment="1">
      <alignment horizontal="right" vertical="center" wrapText="1"/>
    </xf>
    <xf numFmtId="0" fontId="0" fillId="5" borderId="0" xfId="0" applyFill="1"/>
    <xf numFmtId="0" fontId="9" fillId="0" borderId="5" xfId="0" applyFont="1" applyBorder="1" applyAlignment="1">
      <alignment horizontal="left"/>
    </xf>
    <xf numFmtId="0" fontId="9" fillId="0" borderId="6" xfId="0" applyFont="1" applyBorder="1" applyAlignment="1">
      <alignment horizontal="left"/>
    </xf>
    <xf numFmtId="0" fontId="9" fillId="0" borderId="1" xfId="0" applyFont="1" applyBorder="1" applyAlignment="1">
      <alignment horizontal="left"/>
    </xf>
    <xf numFmtId="0" fontId="9" fillId="0" borderId="2" xfId="0" applyFont="1" applyBorder="1" applyAlignment="1">
      <alignment horizontal="left"/>
    </xf>
    <xf numFmtId="0" fontId="0" fillId="0" borderId="0" xfId="0" applyAlignment="1">
      <alignment wrapText="1"/>
    </xf>
    <xf numFmtId="0" fontId="11" fillId="0" borderId="1" xfId="0" applyFont="1" applyBorder="1" applyAlignment="1">
      <alignment horizontal="center"/>
    </xf>
    <xf numFmtId="0" fontId="20" fillId="0" borderId="0" xfId="2" applyFont="1" applyAlignment="1" applyProtection="1"/>
    <xf numFmtId="17" fontId="21" fillId="2" borderId="0" xfId="3" applyNumberFormat="1" applyFont="1" applyAlignment="1">
      <alignment horizontal="center" vertical="center"/>
    </xf>
    <xf numFmtId="0" fontId="22" fillId="0" borderId="0" xfId="0" applyFont="1" applyAlignment="1">
      <alignment horizontal="center" vertical="center"/>
    </xf>
    <xf numFmtId="0" fontId="22" fillId="0" borderId="0" xfId="0" applyFont="1" applyAlignment="1">
      <alignment horizontal="right" vertical="center" wrapText="1"/>
    </xf>
    <xf numFmtId="17" fontId="23" fillId="2" borderId="0" xfId="3" applyNumberFormat="1" applyFont="1" applyAlignment="1">
      <alignment horizontal="center" vertical="center"/>
    </xf>
    <xf numFmtId="0" fontId="14" fillId="0" borderId="6" xfId="0" applyFont="1" applyBorder="1" applyAlignment="1">
      <alignment horizontal="left" vertical="center"/>
    </xf>
    <xf numFmtId="0" fontId="14" fillId="0" borderId="1" xfId="0" applyFont="1" applyBorder="1" applyAlignment="1">
      <alignment horizontal="left" vertical="center"/>
    </xf>
    <xf numFmtId="0" fontId="3" fillId="0" borderId="8" xfId="0" applyFont="1" applyBorder="1" applyAlignment="1">
      <alignment horizontal="right" vertical="center" wrapText="1"/>
    </xf>
    <xf numFmtId="0" fontId="9" fillId="0" borderId="5" xfId="0" applyFont="1" applyBorder="1" applyAlignment="1">
      <alignment horizontal="left" wrapText="1"/>
    </xf>
    <xf numFmtId="0" fontId="13" fillId="0" borderId="4" xfId="0" applyFont="1" applyBorder="1" applyAlignment="1">
      <alignment horizontal="left" vertical="center"/>
    </xf>
    <xf numFmtId="0" fontId="8" fillId="0" borderId="4" xfId="0" applyFont="1" applyBorder="1" applyAlignment="1">
      <alignment horizontal="left" vertical="center" wrapText="1"/>
    </xf>
    <xf numFmtId="0" fontId="16" fillId="0" borderId="2" xfId="0" applyFont="1" applyBorder="1" applyAlignment="1">
      <alignment horizontal="left" vertical="center"/>
    </xf>
    <xf numFmtId="0" fontId="16" fillId="0" borderId="1" xfId="0" applyFont="1" applyBorder="1" applyAlignment="1">
      <alignment horizontal="left" vertical="center"/>
    </xf>
    <xf numFmtId="17" fontId="17" fillId="4" borderId="7" xfId="3" applyNumberFormat="1" applyFont="1" applyFill="1" applyBorder="1" applyAlignment="1">
      <alignment horizontal="center" vertical="center"/>
    </xf>
    <xf numFmtId="0" fontId="17" fillId="4" borderId="0" xfId="3" applyFont="1" applyFill="1" applyBorder="1" applyAlignment="1">
      <alignment horizontal="center" vertical="center"/>
    </xf>
    <xf numFmtId="17" fontId="17" fillId="4" borderId="0" xfId="3" applyNumberFormat="1" applyFont="1" applyFill="1" applyAlignment="1">
      <alignment horizontal="center" vertical="center"/>
    </xf>
    <xf numFmtId="0" fontId="17" fillId="4" borderId="0" xfId="3" applyFont="1" applyFill="1" applyAlignment="1">
      <alignment horizontal="center" vertical="center"/>
    </xf>
    <xf numFmtId="17" fontId="21" fillId="2" borderId="0" xfId="3" applyNumberFormat="1" applyFont="1" applyAlignment="1">
      <alignment horizontal="center" vertical="center"/>
    </xf>
    <xf numFmtId="0" fontId="21" fillId="2" borderId="0" xfId="3" applyFont="1" applyAlignment="1">
      <alignment horizontal="center" vertical="center"/>
    </xf>
    <xf numFmtId="17" fontId="24" fillId="0" borderId="0" xfId="0" applyNumberFormat="1" applyFont="1" applyAlignment="1">
      <alignment horizontal="center" vertical="center"/>
    </xf>
    <xf numFmtId="17" fontId="21" fillId="2" borderId="7" xfId="3" applyNumberFormat="1" applyFont="1" applyBorder="1" applyAlignment="1">
      <alignment horizontal="center" vertical="center"/>
    </xf>
    <xf numFmtId="0" fontId="21" fillId="2" borderId="0" xfId="3" applyFont="1" applyBorder="1" applyAlignment="1">
      <alignment horizontal="center" vertical="center"/>
    </xf>
  </cellXfs>
  <cellStyles count="5">
    <cellStyle name="20 % - Accent1" xfId="4" builtinId="30"/>
    <cellStyle name="Accent1" xfId="3" builtinId="29"/>
    <cellStyle name="Lien hypertexte" xfId="2" builtinId="8"/>
    <cellStyle name="Normal" xfId="0" builtinId="0"/>
    <cellStyle name="Normal 2" xfId="1"/>
  </cellStyles>
  <dxfs count="173">
    <dxf>
      <fill>
        <patternFill patternType="gray125">
          <fgColor theme="0" tint="-0.24994659260841701"/>
        </patternFill>
      </fill>
      <border>
        <top style="thin">
          <color auto="1"/>
        </top>
        <bottom style="thin">
          <color auto="1"/>
        </bottom>
        <vertical/>
        <horizontal/>
      </border>
    </dxf>
    <dxf>
      <font>
        <color auto="1"/>
      </font>
      <fill>
        <patternFill>
          <bgColor theme="0" tint="-0.24994659260841701"/>
        </patternFill>
      </fill>
    </dxf>
    <dxf>
      <border>
        <right style="thin">
          <color auto="1"/>
        </right>
        <vertical/>
        <horizontal/>
      </border>
    </dxf>
    <dxf>
      <font>
        <b val="0"/>
        <i val="0"/>
        <color theme="0" tint="-0.499984740745262"/>
      </font>
    </dxf>
    <dxf>
      <font>
        <b/>
        <i val="0"/>
        <color rgb="FFFF0000"/>
      </font>
    </dxf>
    <dxf>
      <font>
        <b val="0"/>
        <i/>
        <color rgb="FF00B050"/>
      </font>
    </dxf>
    <dxf>
      <font>
        <color theme="9" tint="0.59996337778862885"/>
      </font>
      <fill>
        <patternFill>
          <bgColor theme="9" tint="0.59996337778862885"/>
        </patternFill>
      </fill>
    </dxf>
    <dxf>
      <fill>
        <patternFill patternType="gray125">
          <fgColor theme="0" tint="-0.24994659260841701"/>
        </patternFill>
      </fill>
      <border>
        <top style="thin">
          <color auto="1"/>
        </top>
        <bottom style="thin">
          <color auto="1"/>
        </bottom>
        <vertical/>
        <horizontal/>
      </border>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ill>
        <patternFill patternType="gray125">
          <fgColor theme="0" tint="-0.24994659260841701"/>
        </patternFill>
      </fill>
      <border>
        <top style="thin">
          <color auto="1"/>
        </top>
        <bottom style="thin">
          <color auto="1"/>
        </bottom>
        <vertical/>
        <horizontal/>
      </border>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ill>
        <patternFill patternType="gray125">
          <fgColor theme="0" tint="-0.24994659260841701"/>
        </patternFill>
      </fill>
      <border>
        <top style="thin">
          <color auto="1"/>
        </top>
        <bottom style="thin">
          <color auto="1"/>
        </bottom>
        <vertical/>
        <horizontal/>
      </border>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ill>
        <patternFill patternType="gray125">
          <fgColor theme="0" tint="-0.24994659260841701"/>
        </patternFill>
      </fill>
      <border>
        <top style="thin">
          <color auto="1"/>
        </top>
        <bottom style="thin">
          <color auto="1"/>
        </bottom>
        <vertical/>
        <horizontal/>
      </border>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ill>
        <patternFill patternType="gray125">
          <fgColor theme="0" tint="-0.24994659260841701"/>
        </patternFill>
      </fill>
      <border>
        <top style="thin">
          <color auto="1"/>
        </top>
        <bottom style="thin">
          <color auto="1"/>
        </bottom>
        <vertical/>
        <horizontal/>
      </border>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ill>
        <patternFill patternType="gray125">
          <fgColor theme="0" tint="-0.24994659260841701"/>
        </patternFill>
      </fill>
      <border>
        <top style="thin">
          <color auto="1"/>
        </top>
        <bottom style="thin">
          <color auto="1"/>
        </bottom>
        <vertical/>
        <horizontal/>
      </border>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ill>
        <patternFill patternType="gray125">
          <fgColor theme="0" tint="-0.24994659260841701"/>
        </patternFill>
      </fill>
      <border>
        <top style="thin">
          <color auto="1"/>
        </top>
        <bottom style="thin">
          <color auto="1"/>
        </bottom>
        <vertical/>
        <horizontal/>
      </border>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ill>
        <patternFill patternType="gray125">
          <fgColor theme="0" tint="-0.24994659260841701"/>
        </patternFill>
      </fill>
      <border>
        <top style="thin">
          <color auto="1"/>
        </top>
        <bottom style="thin">
          <color auto="1"/>
        </bottom>
        <vertical/>
        <horizontal/>
      </border>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0" tint="-0.499984740745262"/>
      </font>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theme="1" tint="0.499984740745262"/>
      </font>
    </dxf>
    <dxf>
      <font>
        <b/>
        <i val="0"/>
        <color rgb="FFFFC000"/>
      </font>
    </dxf>
    <dxf>
      <font>
        <b val="0"/>
        <i val="0"/>
        <color theme="1" tint="0.499984740745262"/>
      </font>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rgb="FFFF0000"/>
      </font>
    </dxf>
    <dxf>
      <font>
        <b/>
        <i val="0"/>
        <color rgb="FFFFC000"/>
      </font>
    </dxf>
    <dxf>
      <font>
        <b/>
        <i val="0"/>
        <color rgb="FFFFC000"/>
      </font>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i val="0"/>
        <color rgb="FFFF0000"/>
      </font>
    </dxf>
    <dxf>
      <font>
        <b/>
        <i val="0"/>
        <color rgb="FFFFC000"/>
      </font>
    </dxf>
    <dxf>
      <font>
        <b/>
        <i val="0"/>
        <color rgb="FFFFC000"/>
      </font>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rgb="FFFF0000"/>
      </font>
    </dxf>
    <dxf>
      <font>
        <b/>
        <i val="0"/>
        <color rgb="FFFFC000"/>
      </font>
    </dxf>
    <dxf>
      <font>
        <b/>
        <i val="0"/>
        <color rgb="FFFFC000"/>
      </font>
    </dxf>
    <dxf>
      <font>
        <color auto="1"/>
      </font>
      <fill>
        <patternFill>
          <bgColor theme="0" tint="-0.24994659260841701"/>
        </patternFill>
      </fill>
    </dxf>
    <dxf>
      <border>
        <right style="thin">
          <color auto="1"/>
        </right>
        <vertical/>
        <horizontal/>
      </border>
    </dxf>
    <dxf>
      <font>
        <b/>
        <i val="0"/>
        <color rgb="FFFF0000"/>
      </font>
    </dxf>
    <dxf>
      <font>
        <b val="0"/>
        <i/>
        <color rgb="FFFFC000"/>
      </font>
    </dxf>
    <dxf>
      <font>
        <color theme="9" tint="0.59996337778862885"/>
      </font>
      <fill>
        <patternFill>
          <bgColor theme="9" tint="0.59996337778862885"/>
        </patternFill>
      </fill>
    </dxf>
    <dxf>
      <font>
        <color auto="1"/>
      </font>
      <fill>
        <patternFill>
          <bgColor theme="0" tint="-0.24994659260841701"/>
        </patternFill>
      </fill>
    </dxf>
    <dxf>
      <border>
        <right style="thin">
          <color auto="1"/>
        </right>
        <vertical/>
        <horizontal/>
      </border>
    </dxf>
    <dxf>
      <font>
        <b/>
        <i val="0"/>
        <color rgb="FFFF0000"/>
      </font>
    </dxf>
    <dxf>
      <font>
        <b val="0"/>
        <i/>
        <color rgb="FF00B050"/>
      </font>
    </dxf>
    <dxf>
      <font>
        <color theme="9" tint="0.59996337778862885"/>
      </font>
      <fill>
        <patternFill>
          <bgColor theme="9" tint="0.59996337778862885"/>
        </patternFill>
      </fill>
    </dxf>
    <dxf>
      <font>
        <b val="0"/>
        <i val="0"/>
        <color rgb="FFFF0000"/>
      </font>
    </dxf>
    <dxf>
      <font>
        <b/>
        <i val="0"/>
        <color rgb="FFFFC000"/>
      </font>
    </dxf>
    <dxf>
      <font>
        <b/>
        <i val="0"/>
        <color rgb="FFFFC000"/>
      </font>
    </dxf>
    <dxf>
      <font>
        <color auto="1"/>
      </font>
      <fill>
        <patternFill>
          <bgColor theme="0" tint="-0.24994659260841701"/>
        </patternFill>
      </fill>
    </dxf>
    <dxf>
      <border>
        <right style="thin">
          <color auto="1"/>
        </right>
        <vertical/>
        <horizontal/>
      </border>
    </dxf>
    <dxf>
      <font>
        <b/>
        <i val="0"/>
        <color rgb="FFFF0000"/>
      </font>
    </dxf>
    <dxf>
      <font>
        <b val="0"/>
        <i/>
        <color rgb="FFFFC000"/>
      </font>
    </dxf>
    <dxf>
      <font>
        <color theme="9" tint="0.59996337778862885"/>
      </font>
      <fill>
        <patternFill>
          <bgColor theme="9" tint="0.59996337778862885"/>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454478</xdr:colOff>
      <xdr:row>2</xdr:row>
      <xdr:rowOff>136068</xdr:rowOff>
    </xdr:from>
    <xdr:to>
      <xdr:col>4</xdr:col>
      <xdr:colOff>1117146</xdr:colOff>
      <xdr:row>4</xdr:row>
      <xdr:rowOff>163286</xdr:rowOff>
    </xdr:to>
    <xdr:sp macro="[0]!Rectangleàcoinsarrondis1_Clic" textlink="">
      <xdr:nvSpPr>
        <xdr:cNvPr id="2" name="Rectangle à coins arrondis 1"/>
        <xdr:cNvSpPr/>
      </xdr:nvSpPr>
      <xdr:spPr>
        <a:xfrm>
          <a:off x="2168978" y="489854"/>
          <a:ext cx="1411061" cy="462646"/>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fr-FR" sz="1100"/>
            <a:t>Mise</a:t>
          </a:r>
          <a:r>
            <a:rPr lang="fr-FR" sz="1100" baseline="0"/>
            <a:t> en forme</a:t>
          </a:r>
          <a:endParaRPr lang="fr-FR" sz="1100"/>
        </a:p>
      </xdr:txBody>
    </xdr:sp>
    <xdr:clientData/>
  </xdr:twoCellAnchor>
  <xdr:twoCellAnchor>
    <xdr:from>
      <xdr:col>0</xdr:col>
      <xdr:colOff>54428</xdr:colOff>
      <xdr:row>3</xdr:row>
      <xdr:rowOff>3</xdr:rowOff>
    </xdr:from>
    <xdr:to>
      <xdr:col>2</xdr:col>
      <xdr:colOff>612320</xdr:colOff>
      <xdr:row>5</xdr:row>
      <xdr:rowOff>149681</xdr:rowOff>
    </xdr:to>
    <xdr:sp macro="[0]!Rectangleàcoinsarrondis2_Clic" textlink="">
      <xdr:nvSpPr>
        <xdr:cNvPr id="3" name="Rectangle à coins arrondis 2"/>
        <xdr:cNvSpPr/>
      </xdr:nvSpPr>
      <xdr:spPr>
        <a:xfrm>
          <a:off x="54428" y="530682"/>
          <a:ext cx="1578428" cy="585106"/>
        </a:xfrm>
        <a:prstGeom prst="roundRec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ctr"/>
          <a:r>
            <a:rPr lang="fr-FR" sz="1100"/>
            <a:t>Flux ou Domaine</a:t>
          </a:r>
          <a:r>
            <a:rPr lang="fr-FR" sz="1100" baseline="0"/>
            <a:t> =&gt;</a:t>
          </a:r>
        </a:p>
        <a:p>
          <a:pPr algn="ctr"/>
          <a:r>
            <a:rPr lang="fr-FR" sz="1100" baseline="0"/>
            <a:t> Flux + domaine</a:t>
          </a:r>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504825</xdr:colOff>
      <xdr:row>1</xdr:row>
      <xdr:rowOff>161924</xdr:rowOff>
    </xdr:from>
    <xdr:to>
      <xdr:col>19</xdr:col>
      <xdr:colOff>666750</xdr:colOff>
      <xdr:row>34</xdr:row>
      <xdr:rowOff>0</xdr:rowOff>
    </xdr:to>
    <xdr:sp macro="" textlink="">
      <xdr:nvSpPr>
        <xdr:cNvPr id="2" name="Rectangle 1"/>
        <xdr:cNvSpPr/>
      </xdr:nvSpPr>
      <xdr:spPr>
        <a:xfrm>
          <a:off x="13973175" y="352424"/>
          <a:ext cx="2447925" cy="6315076"/>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rtlCol="0" anchor="t"/>
        <a:lstStyle/>
        <a:p>
          <a:pPr algn="l"/>
          <a:r>
            <a:rPr lang="fr-FR" sz="1100" b="1"/>
            <a:t>Objectifs</a:t>
          </a:r>
          <a:r>
            <a:rPr lang="fr-FR" sz="1100" b="1" baseline="0"/>
            <a:t> :</a:t>
          </a:r>
        </a:p>
        <a:p>
          <a:pPr algn="l"/>
          <a:r>
            <a:rPr lang="fr-FR" sz="1100" baseline="0"/>
            <a:t>Ce document doit permettre d'initier une vision à 18 mois glissant de la feuille de route STIME, en interne et vis à vis de nos clients.</a:t>
          </a:r>
        </a:p>
        <a:p>
          <a:pPr algn="l"/>
          <a:endParaRPr lang="fr-FR" sz="1100" baseline="0"/>
        </a:p>
        <a:p>
          <a:pPr algn="l"/>
          <a:r>
            <a:rPr lang="fr-FR" sz="1100" b="1"/>
            <a:t>Mode d'emploi :</a:t>
          </a:r>
        </a:p>
        <a:p>
          <a:pPr algn="l"/>
          <a:r>
            <a:rPr lang="fr-FR" sz="1100"/>
            <a:t>Remplir l'onglet</a:t>
          </a:r>
          <a:r>
            <a:rPr lang="fr-FR" sz="1100" baseline="0"/>
            <a:t> joint dans une perspective à 18 mois.</a:t>
          </a:r>
        </a:p>
        <a:p>
          <a:pPr algn="l"/>
          <a:r>
            <a:rPr lang="fr-FR" sz="1100" baseline="0"/>
            <a:t>Chaque ligne correspond à une version, un jalon ou un évènement d'un projet ou application.</a:t>
          </a:r>
        </a:p>
        <a:p>
          <a:pPr algn="l"/>
          <a:r>
            <a:rPr lang="fr-FR" sz="1100" baseline="0"/>
            <a:t>* Le projet/application est ce qui est fait pour nos clients / en interne (chacun peut se répéter),</a:t>
          </a:r>
        </a:p>
        <a:p>
          <a:pPr algn="l"/>
          <a:r>
            <a:rPr lang="fr-FR" sz="1100" baseline="0"/>
            <a:t>* Le sujet permet de regrouper un ensemble d'élément ensemble, par exemple les chantiers techniques (CT), les jalons métier (JM), eCommerce(EC), pgm CRM (CRM)</a:t>
          </a:r>
        </a:p>
        <a:p>
          <a:pPr algn="l"/>
          <a:r>
            <a:rPr lang="fr-FR" sz="1100" baseline="0"/>
            <a:t>* Le client est celui auquel la version / jalon est dédié,</a:t>
          </a:r>
        </a:p>
        <a:p>
          <a:pPr algn="l"/>
          <a:r>
            <a:rPr lang="fr-FR" sz="1100" baseline="0"/>
            <a:t>*  La date prévue est celle de la version / jalon,</a:t>
          </a:r>
        </a:p>
        <a:p>
          <a:pPr algn="l"/>
          <a:r>
            <a:rPr lang="fr-FR" sz="1100" baseline="0"/>
            <a:t>* Le type est "u" pour les versions et "t" pour les jalons / évènements</a:t>
          </a:r>
        </a:p>
        <a:p>
          <a:pPr algn="l"/>
          <a:r>
            <a:rPr lang="fr-FR" sz="1100" baseline="0"/>
            <a:t>* Le libellé court correspond à ce qui s'affiche sur la roadmap.</a:t>
          </a:r>
        </a:p>
        <a:p>
          <a:pPr algn="l"/>
          <a:r>
            <a:rPr lang="fr-FR" sz="1100" baseline="0"/>
            <a:t>* L'objectif est ce qu'apporte cette version / jalon</a:t>
          </a:r>
        </a:p>
        <a:p>
          <a:pPr algn="l"/>
          <a:endParaRPr lang="fr-FR" sz="1100" baseline="0"/>
        </a:p>
        <a:p>
          <a:pPr algn="l"/>
          <a:r>
            <a:rPr lang="fr-FR" sz="1100" baseline="0"/>
            <a:t>Mettez à jour le TCD dans l'onglet TRI pour voir les modification</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swojewoda" refreshedDate="42341.424850115742" missingItemsLimit="0" createdVersion="3" refreshedVersion="3" minRefreshableVersion="3" recordCount="299">
  <cacheSource type="worksheet">
    <worksheetSource ref="B1:J1048576" sheet="Roadmap"/>
  </cacheSource>
  <cacheFields count="9">
    <cacheField name="Domaine POS" numFmtId="0">
      <sharedItems containsBlank="1" count="10">
        <s v="Domaine 5"/>
        <s v="Domaine 7"/>
        <s v="Domaine 8"/>
        <s v="Domaine 1"/>
        <s v="Domaine 4"/>
        <s v="Domaine 6"/>
        <s v="Domaine 9"/>
        <s v="Domaine 2"/>
        <s v="Domaine 3"/>
        <m/>
      </sharedItems>
    </cacheField>
    <cacheField name="Direction" numFmtId="0">
      <sharedItems containsBlank="1"/>
    </cacheField>
    <cacheField name="Projet / Application" numFmtId="0">
      <sharedItems containsBlank="1" count="142">
        <s v="Projet A"/>
        <s v="Projet B"/>
        <s v="Projet C"/>
        <s v="Projet D"/>
        <s v="Projet E"/>
        <s v="Projet F"/>
        <s v="Projet G"/>
        <s v="Projet H"/>
        <s v="Projet I"/>
        <s v="Projet J"/>
        <s v="Projet K"/>
        <s v="Projet L"/>
        <s v="Projet M"/>
        <s v="Projet N"/>
        <s v="Projet O"/>
        <s v="Projet P"/>
        <s v="Projet Q"/>
        <s v="Projet R"/>
        <s v="Projet S"/>
        <s v="Projet T"/>
        <s v="Projet U"/>
        <s v="Projet V"/>
        <s v="Projet W"/>
        <s v="Projet X"/>
        <s v="Projet Y"/>
        <s v="Projet Z"/>
        <s v="Projet AA"/>
        <s v="Projet AB"/>
        <s v="Projet AC"/>
        <s v="Projet AD"/>
        <s v="Projet AE"/>
        <s v="Projet AF"/>
        <s v="Projet AG"/>
        <s v="Projet AH"/>
        <s v="Projet AI"/>
        <s v="Projet AJ"/>
        <s v="Projet AK"/>
        <s v="Projet AL"/>
        <s v="Projet AM"/>
        <s v="Projet AN"/>
        <s v="Projet AO"/>
        <s v="Projet AP"/>
        <s v="Projet AQ"/>
        <s v="Projet AR"/>
        <s v="Projet AS"/>
        <s v="Projet AT"/>
        <s v="Projet AU"/>
        <s v="Projet AV"/>
        <s v="Projet AW"/>
        <s v="Projet AX"/>
        <s v="Projet AY"/>
        <s v="Projet AZ"/>
        <s v="Projet BA"/>
        <s v="Projet BB"/>
        <s v="Projet BC"/>
        <s v="Projet BD"/>
        <s v="Projet BE"/>
        <s v="Projet BF"/>
        <s v="Projet BG"/>
        <s v="Projet BH"/>
        <s v="Projet BI"/>
        <s v="Projet BJ"/>
        <s v="Projet BK"/>
        <s v="Projet BL"/>
        <s v="Projet BM"/>
        <s v="Projet BN"/>
        <s v="Projet BO"/>
        <s v="Projet BP"/>
        <s v="Projet BQ"/>
        <s v="Projet BR"/>
        <s v="Projet BS"/>
        <s v="Projet BT"/>
        <s v="Projet BU"/>
        <s v="Projet BV"/>
        <s v="Projet BW"/>
        <s v="Projet BX"/>
        <s v="Projet BY"/>
        <s v="Projet BZ"/>
        <s v="Projet CA"/>
        <s v="Projet CB"/>
        <s v="Projet CC"/>
        <s v="Projet CD"/>
        <s v="Projet CE"/>
        <s v="Projet CF"/>
        <s v="Projet CG"/>
        <s v="Projet CH"/>
        <s v="Projet CI"/>
        <s v="Projet CJ"/>
        <s v="Projet CK"/>
        <s v="Projet CL"/>
        <s v="Projet CM"/>
        <s v="Projet CN"/>
        <s v="Projet CO"/>
        <s v="Projet CP"/>
        <s v="Projet CQ"/>
        <s v="Projet CR"/>
        <s v="Projet CS"/>
        <s v="Projet CT"/>
        <s v="Projet CU"/>
        <s v="Projet CV"/>
        <s v="Projet CW"/>
        <s v="Projet CX"/>
        <s v="Projet CY"/>
        <s v="Projet CZ"/>
        <s v="Projet DA"/>
        <s v="Projet DB"/>
        <s v="Projet DC"/>
        <s v="Projet DD"/>
        <s v="Projet DE"/>
        <s v="Projet DF"/>
        <s v="Projet DG"/>
        <s v="Projet DH"/>
        <s v="Projet DI"/>
        <s v="Projet DJ"/>
        <s v="Projet DK"/>
        <s v="Projet DL"/>
        <s v="Projet DM"/>
        <s v="Projet DN"/>
        <s v="Projet DO"/>
        <s v="Projet DP"/>
        <s v="Projet DQ"/>
        <s v="Projet DR"/>
        <s v="Projet DS"/>
        <s v="Projet DT"/>
        <s v="Projet DU"/>
        <s v="Projet DV"/>
        <s v="Projet DW"/>
        <s v="Projet DX"/>
        <s v="Projet DY"/>
        <s v="Projet DZ"/>
        <s v="Projet EA"/>
        <s v="Projet EB"/>
        <s v="Projet EC"/>
        <s v="Projet ED"/>
        <s v="Projet EE"/>
        <s v="Projet EF"/>
        <s v="Projet EG"/>
        <s v="Projet EH"/>
        <s v="Projet EI"/>
        <s v="Projet EJ"/>
        <s v="Projet EK"/>
        <m/>
      </sharedItems>
    </cacheField>
    <cacheField name="Programme" numFmtId="0">
      <sharedItems containsBlank="1" count="10">
        <s v="P1"/>
        <m/>
        <s v="P7"/>
        <s v="P4"/>
        <s v="P8"/>
        <s v="P5"/>
        <s v="P2"/>
        <s v="P9"/>
        <s v="P6"/>
        <s v="P3"/>
      </sharedItems>
    </cacheField>
    <cacheField name="Niv Prio" numFmtId="0">
      <sharedItems containsString="0" containsBlank="1" containsNumber="1" containsInteger="1" minValue="1" maxValue="1" count="2">
        <n v="1"/>
        <m/>
      </sharedItems>
    </cacheField>
    <cacheField name="Client" numFmtId="0">
      <sharedItems containsBlank="1" count="25">
        <s v="Client A"/>
        <s v="TOUS"/>
        <s v="Client D"/>
        <s v="Client A/Client B/Client D/Client E"/>
        <s v="Client A/Client B"/>
        <s v="C_W"/>
        <s v="Client A/Client B/Client I/Client G"/>
        <s v="Client C/Client B/Client A"/>
        <s v="Client G"/>
        <s v="Client A/Client B/Client D"/>
        <s v="Client B"/>
        <s v="C_Z"/>
        <s v="Client A/Client B/C_Z/C_Y"/>
        <s v="Client D/Client E"/>
        <s v="Client F"/>
        <s v="Client C/Client B / Client A"/>
        <s v="Client C"/>
        <s v="Client H"/>
        <s v="Client E"/>
        <s v="Client C / Client A"/>
        <s v="Client A/C_X/C_Z/C_Y"/>
        <m/>
        <s v="C_X"/>
        <s v="C_Y/C_Z"/>
        <s v="C_Y/C_Z/C_X"/>
      </sharedItems>
    </cacheField>
    <cacheField name="Date prévu" numFmtId="14">
      <sharedItems containsDate="1" containsBlank="1" containsMixedTypes="1" minDate="2015-10-01T00:00:00" maxDate="2016-10-02T00:00:00"/>
    </cacheField>
    <cacheField name="Type" numFmtId="0">
      <sharedItems containsBlank="1"/>
    </cacheField>
    <cacheField name="Lib. Court" numFmtId="0">
      <sharedItems containsBlank="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cD1" cacheId="7" applyNumberFormats="0" applyBorderFormats="0" applyFontFormats="0" applyPatternFormats="0" applyAlignmentFormats="0" applyWidthHeightFormats="1" dataCaption="Valeurs" updatedVersion="3" minRefreshableVersion="3" showCalcMbrs="0" enableDrill="0" useAutoFormatting="1" itemPrintTitles="1" createdVersion="3" indent="0" compact="0" outline="1" outlineData="1" compactData="0" multipleFieldFilters="0">
  <location ref="A6:C17" firstHeaderRow="1" firstDataRow="1" firstDataCol="2" rowPageCount="3" colPageCount="1"/>
  <pivotFields count="9">
    <pivotField axis="axisRow" compact="0" showAll="0" defaultSubtotal="0">
      <items count="10">
        <item x="9"/>
        <item x="0"/>
        <item x="1"/>
        <item x="2"/>
        <item x="3"/>
        <item x="4"/>
        <item x="5"/>
        <item x="6"/>
        <item x="7"/>
        <item x="8"/>
      </items>
    </pivotField>
    <pivotField compact="0" showAll="0" defaultSubtotal="0"/>
    <pivotField axis="axisRow" dataField="1" compact="0" showAll="0" sortType="ascending">
      <items count="143">
        <item x="0"/>
        <item x="26"/>
        <item x="27"/>
        <item x="28"/>
        <item x="29"/>
        <item x="30"/>
        <item x="31"/>
        <item x="32"/>
        <item x="33"/>
        <item x="34"/>
        <item x="35"/>
        <item x="36"/>
        <item x="37"/>
        <item x="38"/>
        <item x="39"/>
        <item x="40"/>
        <item x="41"/>
        <item x="42"/>
        <item x="43"/>
        <item x="44"/>
        <item x="45"/>
        <item x="46"/>
        <item x="47"/>
        <item x="48"/>
        <item x="49"/>
        <item x="50"/>
        <item x="51"/>
        <item x="1"/>
        <item x="52"/>
        <item x="53"/>
        <item x="54"/>
        <item x="55"/>
        <item x="56"/>
        <item x="57"/>
        <item x="58"/>
        <item x="59"/>
        <item x="60"/>
        <item x="61"/>
        <item x="62"/>
        <item x="63"/>
        <item x="64"/>
        <item x="65"/>
        <item x="66"/>
        <item x="67"/>
        <item x="68"/>
        <item x="69"/>
        <item x="70"/>
        <item x="71"/>
        <item x="72"/>
        <item x="73"/>
        <item x="74"/>
        <item x="75"/>
        <item x="76"/>
        <item x="77"/>
        <item x="2"/>
        <item x="78"/>
        <item x="79"/>
        <item x="80"/>
        <item x="81"/>
        <item x="82"/>
        <item x="83"/>
        <item x="84"/>
        <item x="85"/>
        <item x="86"/>
        <item x="87"/>
        <item x="88"/>
        <item x="89"/>
        <item x="90"/>
        <item x="91"/>
        <item x="92"/>
        <item x="93"/>
        <item x="94"/>
        <item x="95"/>
        <item x="96"/>
        <item x="97"/>
        <item x="98"/>
        <item x="99"/>
        <item x="100"/>
        <item x="101"/>
        <item x="102"/>
        <item x="103"/>
        <item x="3"/>
        <item x="104"/>
        <item x="105"/>
        <item x="106"/>
        <item x="107"/>
        <item x="108"/>
        <item x="109"/>
        <item x="110"/>
        <item x="111"/>
        <item x="112"/>
        <item x="113"/>
        <item x="114"/>
        <item x="115"/>
        <item x="116"/>
        <item x="117"/>
        <item x="118"/>
        <item x="119"/>
        <item x="120"/>
        <item x="121"/>
        <item x="122"/>
        <item x="123"/>
        <item x="124"/>
        <item x="125"/>
        <item x="126"/>
        <item x="127"/>
        <item x="128"/>
        <item x="129"/>
        <item x="4"/>
        <item x="130"/>
        <item x="131"/>
        <item x="132"/>
        <item x="133"/>
        <item x="134"/>
        <item x="135"/>
        <item x="136"/>
        <item x="137"/>
        <item x="138"/>
        <item x="139"/>
        <item x="140"/>
        <item x="5"/>
        <item x="6"/>
        <item x="7"/>
        <item x="8"/>
        <item x="9"/>
        <item x="10"/>
        <item x="11"/>
        <item x="12"/>
        <item x="13"/>
        <item x="14"/>
        <item x="15"/>
        <item x="16"/>
        <item x="17"/>
        <item x="18"/>
        <item x="19"/>
        <item x="20"/>
        <item x="21"/>
        <item x="22"/>
        <item x="23"/>
        <item x="24"/>
        <item x="25"/>
        <item x="141"/>
        <item t="default"/>
      </items>
    </pivotField>
    <pivotField axis="axisPage" compact="0" multipleItemSelectionAllowed="1" showAll="0" defaultSubtotal="0">
      <items count="10">
        <item x="1"/>
        <item x="0"/>
        <item x="2"/>
        <item x="3"/>
        <item x="4"/>
        <item x="5"/>
        <item x="6"/>
        <item x="7"/>
        <item x="8"/>
        <item x="9"/>
      </items>
    </pivotField>
    <pivotField axis="axisPage" compact="0" showAll="0" defaultSubtotal="0">
      <items count="2">
        <item x="0"/>
        <item x="1"/>
      </items>
    </pivotField>
    <pivotField axis="axisPage" compact="0" multipleItemSelectionAllowed="1" showAll="0">
      <items count="26">
        <item x="1"/>
        <item h="1" x="21"/>
        <item h="1" x="0"/>
        <item h="1" x="2"/>
        <item h="1" x="3"/>
        <item h="1" x="4"/>
        <item h="1" x="5"/>
        <item h="1" x="6"/>
        <item h="1" x="7"/>
        <item h="1" x="8"/>
        <item h="1" x="9"/>
        <item h="1" x="10"/>
        <item h="1" x="11"/>
        <item h="1" x="12"/>
        <item h="1" x="13"/>
        <item h="1" x="14"/>
        <item h="1" x="15"/>
        <item h="1" x="16"/>
        <item h="1" x="17"/>
        <item h="1" x="18"/>
        <item h="1" x="19"/>
        <item h="1" x="20"/>
        <item h="1" x="22"/>
        <item h="1" x="23"/>
        <item h="1" x="24"/>
        <item t="default"/>
      </items>
    </pivotField>
    <pivotField compact="0" showAll="0" defaultSubtotal="0"/>
    <pivotField compact="0" multipleItemSelectionAllowed="1" showAll="0" defaultSubtotal="0"/>
    <pivotField compact="0" showAll="0" defaultSubtotal="0"/>
  </pivotFields>
  <rowFields count="2">
    <field x="0"/>
    <field x="2"/>
  </rowFields>
  <rowItems count="11">
    <i>
      <x v="2"/>
    </i>
    <i r="1">
      <x v="15"/>
    </i>
    <i r="1">
      <x v="27"/>
    </i>
    <i>
      <x v="3"/>
    </i>
    <i r="1">
      <x v="39"/>
    </i>
    <i>
      <x v="5"/>
    </i>
    <i r="1">
      <x v="23"/>
    </i>
    <i>
      <x v="7"/>
    </i>
    <i r="1">
      <x v="41"/>
    </i>
    <i r="1">
      <x v="52"/>
    </i>
    <i t="grand">
      <x/>
    </i>
  </rowItems>
  <colItems count="1">
    <i/>
  </colItems>
  <pageFields count="3">
    <pageField fld="3" hier="-1"/>
    <pageField fld="4" hier="-1"/>
    <pageField fld="5" hier="-1"/>
  </pageFields>
  <dataFields count="1">
    <dataField name="Nombre de Projet / Application" fld="2"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Feuil8"/>
  <dimension ref="D4:AM201"/>
  <sheetViews>
    <sheetView showGridLines="0" zoomScale="70" zoomScaleNormal="70" workbookViewId="0">
      <pane xSplit="5" ySplit="6" topLeftCell="F7" activePane="bottomRight" state="frozen"/>
      <selection pane="topRight" activeCell="F1" sqref="F1"/>
      <selection pane="bottomLeft" activeCell="A7" sqref="A7"/>
      <selection pane="bottomRight" activeCell="D6" sqref="D6"/>
    </sheetView>
  </sheetViews>
  <sheetFormatPr baseColWidth="10" defaultRowHeight="15" outlineLevelCol="1"/>
  <cols>
    <col min="4" max="4" width="10" customWidth="1"/>
    <col min="5" max="5" width="25.42578125" style="18" customWidth="1"/>
    <col min="6" max="11" width="6.7109375" hidden="1" customWidth="1" outlineLevel="1"/>
    <col min="12" max="12" width="6.7109375" customWidth="1" collapsed="1"/>
    <col min="13" max="23" width="6.7109375" customWidth="1"/>
    <col min="24" max="28" width="8.7109375" customWidth="1"/>
    <col min="29" max="29" width="9.5703125" customWidth="1"/>
    <col min="30" max="33" width="8.7109375" customWidth="1"/>
  </cols>
  <sheetData>
    <row r="4" spans="4:39">
      <c r="F4" s="9">
        <f>DateDebut</f>
        <v>42339</v>
      </c>
      <c r="G4" s="9">
        <f>F4+14</f>
        <v>42353</v>
      </c>
      <c r="H4" s="9">
        <f t="shared" ref="H4" si="0">EDATE(F4,1)</f>
        <v>42370</v>
      </c>
      <c r="I4" s="9">
        <f>H4+14</f>
        <v>42384</v>
      </c>
      <c r="J4" s="9">
        <f t="shared" ref="J4" si="1">EDATE(H4,1)</f>
        <v>42401</v>
      </c>
      <c r="K4" s="9">
        <f t="shared" ref="K4" si="2">J4+14</f>
        <v>42415</v>
      </c>
      <c r="L4" s="9">
        <f>DateDebut</f>
        <v>42339</v>
      </c>
      <c r="M4" s="9">
        <f>L4+14</f>
        <v>42353</v>
      </c>
      <c r="N4" s="9">
        <f t="shared" ref="N4:N6" si="3">EDATE(L4,1)</f>
        <v>42370</v>
      </c>
      <c r="O4" s="9">
        <f>N4+14</f>
        <v>42384</v>
      </c>
      <c r="P4" s="9">
        <f t="shared" ref="P4:P6" si="4">EDATE(N4,1)</f>
        <v>42401</v>
      </c>
      <c r="Q4" s="9">
        <f t="shared" ref="Q4" si="5">P4+14</f>
        <v>42415</v>
      </c>
      <c r="R4" s="9">
        <f t="shared" ref="R4:R6" si="6">EDATE(P4,1)</f>
        <v>42430</v>
      </c>
      <c r="S4" s="9">
        <f t="shared" ref="S4" si="7">R4+14</f>
        <v>42444</v>
      </c>
      <c r="T4" s="9">
        <f t="shared" ref="T4:T6" si="8">EDATE(R4,1)</f>
        <v>42461</v>
      </c>
      <c r="U4" s="9">
        <f t="shared" ref="U4" si="9">T4+14</f>
        <v>42475</v>
      </c>
      <c r="V4" s="9">
        <f t="shared" ref="V4:V6" si="10">EDATE(T4,1)</f>
        <v>42491</v>
      </c>
      <c r="W4" s="9">
        <f t="shared" ref="W4" si="11">V4+14</f>
        <v>42505</v>
      </c>
      <c r="X4" s="10">
        <f>EDATE(V4,1)</f>
        <v>42522</v>
      </c>
      <c r="Y4" s="10">
        <f t="shared" ref="Y4:AC6" si="12">EDATE(X4,1)</f>
        <v>42552</v>
      </c>
      <c r="Z4" s="10">
        <f t="shared" si="12"/>
        <v>42583</v>
      </c>
      <c r="AA4" s="10">
        <f t="shared" si="12"/>
        <v>42614</v>
      </c>
      <c r="AB4" s="10">
        <f t="shared" si="12"/>
        <v>42644</v>
      </c>
      <c r="AC4" s="10">
        <f t="shared" si="12"/>
        <v>42675</v>
      </c>
      <c r="AD4" s="10" t="str">
        <f>"T"&amp;ROUNDUP(MONTH(DateDebut)/3,0)&amp;"-"&amp;TEXT((EDATE(DateDebut,12)),"AA")</f>
        <v>T4-16</v>
      </c>
      <c r="AE4" s="10" t="str">
        <f t="shared" ref="AE4:AG5" si="13">"T"&amp;IF(MID(AD4,2,1)+0=4,1,MID(AD4,2,1)+1)
&amp;"-"&amp;(RIGHT(AD4,2)+IF(MID(AD4,2,1)+0=4,1,0))</f>
        <v>T1-17</v>
      </c>
      <c r="AF4" s="10" t="str">
        <f t="shared" si="13"/>
        <v>T2-17</v>
      </c>
      <c r="AG4" s="10" t="str">
        <f t="shared" si="13"/>
        <v>T3-17</v>
      </c>
    </row>
    <row r="5" spans="4:39" ht="15.75">
      <c r="D5" s="24"/>
      <c r="E5" s="25"/>
      <c r="F5" s="56">
        <f t="shared" ref="F5" si="14">EDATE(H5,-1)</f>
        <v>42248</v>
      </c>
      <c r="G5" s="57"/>
      <c r="H5" s="58">
        <f t="shared" ref="H5" si="15">EDATE(J5,-1)</f>
        <v>42278</v>
      </c>
      <c r="I5" s="59"/>
      <c r="J5" s="58">
        <f t="shared" ref="J5:J6" si="16">EDATE(L5,-1)</f>
        <v>42309</v>
      </c>
      <c r="K5" s="59"/>
      <c r="L5" s="56">
        <f>DateDebut</f>
        <v>42339</v>
      </c>
      <c r="M5" s="57"/>
      <c r="N5" s="58">
        <f t="shared" si="3"/>
        <v>42370</v>
      </c>
      <c r="O5" s="59"/>
      <c r="P5" s="58">
        <f t="shared" si="4"/>
        <v>42401</v>
      </c>
      <c r="Q5" s="59"/>
      <c r="R5" s="58">
        <f t="shared" si="6"/>
        <v>42430</v>
      </c>
      <c r="S5" s="59"/>
      <c r="T5" s="58">
        <f t="shared" si="8"/>
        <v>42461</v>
      </c>
      <c r="U5" s="59"/>
      <c r="V5" s="58">
        <f t="shared" si="10"/>
        <v>42491</v>
      </c>
      <c r="W5" s="59"/>
      <c r="X5" s="26">
        <f t="shared" ref="X5" si="17">EDATE(V5,1)</f>
        <v>42522</v>
      </c>
      <c r="Y5" s="26">
        <f t="shared" si="12"/>
        <v>42552</v>
      </c>
      <c r="Z5" s="26">
        <f t="shared" si="12"/>
        <v>42583</v>
      </c>
      <c r="AA5" s="26">
        <f t="shared" si="12"/>
        <v>42614</v>
      </c>
      <c r="AB5" s="26">
        <f t="shared" si="12"/>
        <v>42644</v>
      </c>
      <c r="AC5" s="19">
        <f t="shared" si="12"/>
        <v>42675</v>
      </c>
      <c r="AD5" s="19" t="str">
        <f>"T"&amp;ROUNDUP(MONTH(DateDebut)/3,0)&amp;"-"&amp;TEXT((EDATE(DateDebut,12)),"AA")</f>
        <v>T4-16</v>
      </c>
      <c r="AE5" s="19" t="str">
        <f t="shared" si="13"/>
        <v>T1-17</v>
      </c>
      <c r="AF5" s="19" t="str">
        <f t="shared" si="13"/>
        <v>T2-17</v>
      </c>
      <c r="AG5" s="19" t="str">
        <f t="shared" si="13"/>
        <v>T3-17</v>
      </c>
    </row>
    <row r="6" spans="4:39">
      <c r="D6" s="12" t="str">
        <f t="shared" ref="D6" ca="1" si="18">IFERROR(IF(LEN(INDIRECT(ADDRESS(C0Ligne+ROW()-MaquetteLigne0,C0Col-1,1,1,"Tri")))&lt;2,"",INDIRECT(ADDRESS(C0Ligne+ROW()-MaquetteLigne0,C0Col-1,1,1,"Tri"))),"")</f>
        <v>Domaine POS</v>
      </c>
      <c r="E6" s="50" t="str">
        <f t="shared" ref="E6:E70" ca="1" si="19">IF(LEN(INDIRECT(ADDRESS(C0Ligne+ROW()-MaquetteLigne0,C0Col,1,1,"Tri")))&lt;2,"",INDIRECT(ADDRESS(C0Ligne+ROW()-MaquetteLigne0,C0Col,1,1,"Tri")))</f>
        <v>Projet / Application</v>
      </c>
      <c r="F6" s="14">
        <f>EDATE(H6,-1)</f>
        <v>42248</v>
      </c>
      <c r="G6" s="15">
        <f>F6+14</f>
        <v>42262</v>
      </c>
      <c r="H6" s="16">
        <f>EDATE(J6,-1)</f>
        <v>42278</v>
      </c>
      <c r="I6" s="15">
        <f>H6+14</f>
        <v>42292</v>
      </c>
      <c r="J6" s="16">
        <f t="shared" si="16"/>
        <v>42309</v>
      </c>
      <c r="K6" s="15">
        <f>J6+14</f>
        <v>42323</v>
      </c>
      <c r="L6" s="14">
        <f>DateDebut</f>
        <v>42339</v>
      </c>
      <c r="M6" s="15">
        <f>L6+14</f>
        <v>42353</v>
      </c>
      <c r="N6" s="16">
        <f t="shared" si="3"/>
        <v>42370</v>
      </c>
      <c r="O6" s="15">
        <f>N6+14</f>
        <v>42384</v>
      </c>
      <c r="P6" s="16">
        <f t="shared" si="4"/>
        <v>42401</v>
      </c>
      <c r="Q6" s="15">
        <f t="shared" ref="Q6" si="20">P6+14</f>
        <v>42415</v>
      </c>
      <c r="R6" s="16">
        <f t="shared" si="6"/>
        <v>42430</v>
      </c>
      <c r="S6" s="15">
        <f t="shared" ref="S6" si="21">R6+14</f>
        <v>42444</v>
      </c>
      <c r="T6" s="16">
        <f t="shared" si="8"/>
        <v>42461</v>
      </c>
      <c r="U6" s="15">
        <f t="shared" ref="U6" si="22">T6+14</f>
        <v>42475</v>
      </c>
      <c r="V6" s="16">
        <f t="shared" si="10"/>
        <v>42491</v>
      </c>
      <c r="W6" s="15">
        <f t="shared" ref="W6" si="23">V6+14</f>
        <v>42505</v>
      </c>
      <c r="X6" s="13">
        <f>EDATE(V5,1)</f>
        <v>42522</v>
      </c>
      <c r="Y6" s="13">
        <f t="shared" si="12"/>
        <v>42552</v>
      </c>
      <c r="Z6" s="13">
        <f t="shared" si="12"/>
        <v>42583</v>
      </c>
      <c r="AA6" s="13">
        <f t="shared" si="12"/>
        <v>42614</v>
      </c>
      <c r="AB6" s="13">
        <f t="shared" si="12"/>
        <v>42644</v>
      </c>
      <c r="AC6" s="13">
        <f t="shared" si="12"/>
        <v>42675</v>
      </c>
      <c r="AD6" s="13" t="str">
        <f>AD5</f>
        <v>T4-16</v>
      </c>
      <c r="AE6" s="13" t="str">
        <f t="shared" ref="AE6:AG6" si="24">AE5</f>
        <v>T1-17</v>
      </c>
      <c r="AF6" s="13" t="str">
        <f t="shared" si="24"/>
        <v>T2-17</v>
      </c>
      <c r="AG6" s="13" t="str">
        <f t="shared" si="24"/>
        <v>T3-17</v>
      </c>
      <c r="AH6" s="13" t="e">
        <f t="shared" ref="AH6" si="25">EDATE(AG6,1)</f>
        <v>#VALUE!</v>
      </c>
      <c r="AI6" s="13"/>
      <c r="AJ6" s="13"/>
      <c r="AK6" s="13"/>
      <c r="AL6" s="13"/>
      <c r="AM6" s="13"/>
    </row>
    <row r="7" spans="4:39" s="21" customFormat="1" ht="15.95" customHeight="1">
      <c r="D7" s="20" t="str">
        <f t="shared" ref="D7:D70" ca="1" si="26">IFERROR(IF(LEN(INDIRECT(ADDRESS(C0Ligne+ROW()-MaquetteLigne0,C0Col-1,1,1,"Tri")))&lt;2,"",IF(LEFT(INDIRECT(ADDRESS(C0Ligne+ROW()-MaquetteLigne0,C0Col-1,1,1,"Tri")),5)="Total","",INDIRECT(ADDRESS(C0Ligne+ROW()-MaquetteLigne0,C0Col-1,1,1,"Tri")))),"")</f>
        <v>Domaine 7</v>
      </c>
      <c r="E7" s="53"/>
      <c r="F7" s="51" t="str">
        <f ca="1">IFERROR(IF(AND(
  INDEX(Roadmap!$D:$K,MATCH($E7,Roadmap!$D:$D,0)+COUNTIF($E7:E7,"u")+COUNTIF($E7:E7,"t")+COUNTIF($E7:E7,"¶")+COUNTIF($E7:E7,"²")+COUNTIF($E7:E7,"µ")+COUNTIF($E7:E7,1),ColLivraison)=F$6,
  VLOOKUP($E7,INDIRECT("tri!"&amp; CHAR(64+ C0Col) &amp;":"&amp; CHAR(65+C0Col)),2,FALSE)&gt;COUNTIF($E7:E7,"u")+COUNTIF($E7:E7,"t")+COUNTIF($E7:E7,"¶")+COUNTIF($E7:E7,"²")+COUNTIF($E7:E7,"µ")+COUNTIF($E7:E7,1)),
HYPERLINK("#Roadmap!C"&amp; MATCH($E7,Roadmap!$D:$D,0)+COUNTIF($E7:E7,"u")+COUNTIF($E7:E7,"t"),
     INDEX(Roadmap!$D:$K,MATCH($E7,Roadmap!$D:$D,0)+COUNTIF($E7:E7,"u")+COUNTIF($E7:E7,"t")+COUNTIF($E7:E7,"¶")+COUNTIF($E7:E7,"²")+COUNTIF($E7:E7,"µ")+COUNTIF($E7:E7,1),ColTypeEcheance)),
  IF(LEN(E7)=1,
  IF(LEN(INDEX(Roadmap!$D:$K,MATCH($E7,Roadmap!$D:$D,0)-1+COUNTIF($E7:E7,"u")+COUNTIF($E7:E7,"t")+COUNTIF($E7:E7,"¶")+COUNTIF($E7:E7,"²")+COUNTIF($E7:E7,"µ")+COUNTIF($E7:E7,1),ColDescriptionCourte))&gt;1,
HYPERLINK("#Roadmap!C"&amp; MATCH($E7,Roadmap!$D:$D,0)+COUNTIF($E7:E7,"u")+COUNTIF($E7:E7,"t")+COUNTIF($E7:E7,"¶")+COUNTIF($E7:E7,"²")+COUNTIF($E7:E7,"µ")+COUNTIF($E7:E7,1)-1,INDEX(Roadmap!$D:$K,MATCH($E7,Roadmap!$D:$D,0)-1+COUNTIF($E7:E7,"u")+COUNTIF($E7:E7,"t")+COUNTIF($E7:E7,"¶")+COUNTIF($E7:E7,"²")+COUNTIF($E7:E7,"µ")+COUNTIF($E7:E7,1),ColDescriptionCourte)),""),
  "")),"")</f>
        <v/>
      </c>
      <c r="G7" s="38" t="str">
        <f ca="1">IFERROR(IF(AND(
  INDEX(Roadmap!$D:$K,MATCH($E7,Roadmap!$D:$D,0)+COUNTIF($E7:F7,"u")+COUNTIF($E7:F7,"t")+COUNTIF($E7:F7,"¶")+COUNTIF($E7:F7,"²")+COUNTIF($E7:F7,"µ")+COUNTIF($E7:F7,1),ColLivraison)=G$6,
  VLOOKUP($E7,INDIRECT("tri!"&amp; CHAR(64+ C0Col) &amp;":"&amp; CHAR(65+C0Col)),2,FALSE)&gt;COUNTIF($E7:F7,"u")+COUNTIF($E7:F7,"t")+COUNTIF($E7:F7,"¶")+COUNTIF($E7:F7,"²")+COUNTIF($E7:F7,"µ")+COUNTIF($E7:F7,1)),
HYPERLINK("#Roadmap!C"&amp; MATCH($E7,Roadmap!$D:$D,0)+COUNTIF($E7:F7,"u")+COUNTIF($E7:F7,"t"),
     INDEX(Roadmap!$D:$K,MATCH($E7,Roadmap!$D:$D,0)+COUNTIF($E7:F7,"u")+COUNTIF($E7:F7,"t")+COUNTIF($E7:F7,"¶")+COUNTIF($E7:F7,"²")+COUNTIF($E7:F7,"µ")+COUNTIF($E7:F7,1),ColTypeEcheance)),
  IF(LEN(F7)=1,
  IF(LEN(INDEX(Roadmap!$D:$K,MATCH($E7,Roadmap!$D:$D,0)-1+COUNTIF($E7:F7,"u")+COUNTIF($E7:F7,"t")+COUNTIF($E7:F7,"¶")+COUNTIF($E7:F7,"²")+COUNTIF($E7:F7,"µ")+COUNTIF($E7:F7,1),ColDescriptionCourte))&gt;1,
HYPERLINK("#Roadmap!C"&amp; MATCH($E7,Roadmap!$D:$D,0)+COUNTIF($E7:F7,"u")+COUNTIF($E7:F7,"t")+COUNTIF($E7:F7,"¶")+COUNTIF($E7:F7,"²")+COUNTIF($E7:F7,"µ")+COUNTIF($E7:F7,1)-1,INDEX(Roadmap!$D:$K,MATCH($E7,Roadmap!$D:$D,0)-1+COUNTIF($E7:F7,"u")+COUNTIF($E7:F7,"t")+COUNTIF($E7:F7,"¶")+COUNTIF($E7:F7,"²")+COUNTIF($E7:F7,"µ")+COUNTIF($E7:F7,1),ColDescriptionCourte)),""),
  "")),"")</f>
        <v/>
      </c>
      <c r="H7" s="38" t="str">
        <f ca="1">IFERROR(IF(AND(
  INDEX(Roadmap!$D:$K,MATCH($E7,Roadmap!$D:$D,0)+COUNTIF($E7:G7,"u")+COUNTIF($E7:G7,"t")+COUNTIF($E7:G7,"¶")+COUNTIF($E7:G7,"²")+COUNTIF($E7:G7,"µ")+COUNTIF($E7:G7,1),ColLivraison)=H$6,
  VLOOKUP($E7,INDIRECT("tri!"&amp; CHAR(64+ C0Col) &amp;":"&amp; CHAR(65+C0Col)),2,FALSE)&gt;COUNTIF($E7:G7,"u")+COUNTIF($E7:G7,"t")+COUNTIF($E7:G7,"¶")+COUNTIF($E7:G7,"²")+COUNTIF($E7:G7,"µ")+COUNTIF($E7:G7,1)),
HYPERLINK("#Roadmap!C"&amp; MATCH($E7,Roadmap!$D:$D,0)+COUNTIF($E7:G7,"u")+COUNTIF($E7:G7,"t"),
     INDEX(Roadmap!$D:$K,MATCH($E7,Roadmap!$D:$D,0)+COUNTIF($E7:G7,"u")+COUNTIF($E7:G7,"t")+COUNTIF($E7:G7,"¶")+COUNTIF($E7:G7,"²")+COUNTIF($E7:G7,"µ")+COUNTIF($E7:G7,1),ColTypeEcheance)),
  IF(LEN(G7)=1,
  IF(LEN(INDEX(Roadmap!$D:$K,MATCH($E7,Roadmap!$D:$D,0)-1+COUNTIF($E7:G7,"u")+COUNTIF($E7:G7,"t")+COUNTIF($E7:G7,"¶")+COUNTIF($E7:G7,"²")+COUNTIF($E7:G7,"µ")+COUNTIF($E7:G7,1),ColDescriptionCourte))&gt;1,
HYPERLINK("#Roadmap!C"&amp; MATCH($E7,Roadmap!$D:$D,0)+COUNTIF($E7:G7,"u")+COUNTIF($E7:G7,"t")+COUNTIF($E7:G7,"¶")+COUNTIF($E7:G7,"²")+COUNTIF($E7:G7,"µ")+COUNTIF($E7:G7,1)-1,INDEX(Roadmap!$D:$K,MATCH($E7,Roadmap!$D:$D,0)-1+COUNTIF($E7:G7,"u")+COUNTIF($E7:G7,"t")+COUNTIF($E7:G7,"¶")+COUNTIF($E7:G7,"²")+COUNTIF($E7:G7,"µ")+COUNTIF($E7:G7,1),ColDescriptionCourte)),""),
  "")),"")</f>
        <v/>
      </c>
      <c r="I7" s="38" t="str">
        <f ca="1">IFERROR(IF(AND(
  INDEX(Roadmap!$D:$K,MATCH($E7,Roadmap!$D:$D,0)+COUNTIF($E7:H7,"u")+COUNTIF($E7:H7,"t")+COUNTIF($E7:H7,"¶")+COUNTIF($E7:H7,"²")+COUNTIF($E7:H7,"µ")+COUNTIF($E7:H7,1),ColLivraison)=I$6,
  VLOOKUP($E7,INDIRECT("tri!"&amp; CHAR(64+ C0Col) &amp;":"&amp; CHAR(65+C0Col)),2,FALSE)&gt;COUNTIF($E7:H7,"u")+COUNTIF($E7:H7,"t")+COUNTIF($E7:H7,"¶")+COUNTIF($E7:H7,"²")+COUNTIF($E7:H7,"µ")+COUNTIF($E7:H7,1)),
HYPERLINK("#Roadmap!C"&amp; MATCH($E7,Roadmap!$D:$D,0)+COUNTIF($E7:H7,"u")+COUNTIF($E7:H7,"t"),
     INDEX(Roadmap!$D:$K,MATCH($E7,Roadmap!$D:$D,0)+COUNTIF($E7:H7,"u")+COUNTIF($E7:H7,"t")+COUNTIF($E7:H7,"¶")+COUNTIF($E7:H7,"²")+COUNTIF($E7:H7,"µ")+COUNTIF($E7:H7,1),ColTypeEcheance)),
  IF(LEN(H7)=1,
  IF(LEN(INDEX(Roadmap!$D:$K,MATCH($E7,Roadmap!$D:$D,0)-1+COUNTIF($E7:H7,"u")+COUNTIF($E7:H7,"t")+COUNTIF($E7:H7,"¶")+COUNTIF($E7:H7,"²")+COUNTIF($E7:H7,"µ")+COUNTIF($E7:H7,1),ColDescriptionCourte))&gt;1,
HYPERLINK("#Roadmap!C"&amp; MATCH($E7,Roadmap!$D:$D,0)+COUNTIF($E7:H7,"u")+COUNTIF($E7:H7,"t")+COUNTIF($E7:H7,"¶")+COUNTIF($E7:H7,"²")+COUNTIF($E7:H7,"µ")+COUNTIF($E7:H7,1)-1,INDEX(Roadmap!$D:$K,MATCH($E7,Roadmap!$D:$D,0)-1+COUNTIF($E7:H7,"u")+COUNTIF($E7:H7,"t")+COUNTIF($E7:H7,"¶")+COUNTIF($E7:H7,"²")+COUNTIF($E7:H7,"µ")+COUNTIF($E7:H7,1),ColDescriptionCourte)),""),
  "")),"")</f>
        <v/>
      </c>
      <c r="J7" s="38" t="str">
        <f ca="1">IFERROR(IF(AND(
  INDEX(Roadmap!$D:$K,MATCH($E7,Roadmap!$D:$D,0)+COUNTIF($E7:I7,"u")+COUNTIF($E7:I7,"t")+COUNTIF($E7:I7,"¶")+COUNTIF($E7:I7,"²")+COUNTIF($E7:I7,"µ")+COUNTIF($E7:I7,1),ColLivraison)=J$6,
  VLOOKUP($E7,INDIRECT("tri!"&amp; CHAR(64+ C0Col) &amp;":"&amp; CHAR(65+C0Col)),2,FALSE)&gt;COUNTIF($E7:I7,"u")+COUNTIF($E7:I7,"t")+COUNTIF($E7:I7,"¶")+COUNTIF($E7:I7,"²")+COUNTIF($E7:I7,"µ")+COUNTIF($E7:I7,1)),
HYPERLINK("#Roadmap!C"&amp; MATCH($E7,Roadmap!$D:$D,0)+COUNTIF($E7:I7,"u")+COUNTIF($E7:I7,"t"),
     INDEX(Roadmap!$D:$K,MATCH($E7,Roadmap!$D:$D,0)+COUNTIF($E7:I7,"u")+COUNTIF($E7:I7,"t")+COUNTIF($E7:I7,"¶")+COUNTIF($E7:I7,"²")+COUNTIF($E7:I7,"µ")+COUNTIF($E7:I7,1),ColTypeEcheance)),
  IF(LEN(I7)=1,
  IF(LEN(INDEX(Roadmap!$D:$K,MATCH($E7,Roadmap!$D:$D,0)-1+COUNTIF($E7:I7,"u")+COUNTIF($E7:I7,"t")+COUNTIF($E7:I7,"¶")+COUNTIF($E7:I7,"²")+COUNTIF($E7:I7,"µ")+COUNTIF($E7:I7,1),ColDescriptionCourte))&gt;1,
HYPERLINK("#Roadmap!C"&amp; MATCH($E7,Roadmap!$D:$D,0)+COUNTIF($E7:I7,"u")+COUNTIF($E7:I7,"t")+COUNTIF($E7:I7,"¶")+COUNTIF($E7:I7,"²")+COUNTIF($E7:I7,"µ")+COUNTIF($E7:I7,1)-1,INDEX(Roadmap!$D:$K,MATCH($E7,Roadmap!$D:$D,0)-1+COUNTIF($E7:I7,"u")+COUNTIF($E7:I7,"t")+COUNTIF($E7:I7,"¶")+COUNTIF($E7:I7,"²")+COUNTIF($E7:I7,"µ")+COUNTIF($E7:I7,1),ColDescriptionCourte)),""),
  "")),"")</f>
        <v/>
      </c>
      <c r="K7" s="38" t="str">
        <f ca="1">IFERROR(IF(AND(
  INDEX(Roadmap!$D:$K,MATCH($E7,Roadmap!$D:$D,0)+COUNTIF($E7:J7,"u")+COUNTIF($E7:J7,"t")+COUNTIF($E7:J7,"¶")+COUNTIF($E7:J7,"²")+COUNTIF($E7:J7,"µ")+COUNTIF($E7:J7,1),ColLivraison)=K$6,
  VLOOKUP($E7,INDIRECT("tri!"&amp; CHAR(64+ C0Col) &amp;":"&amp; CHAR(65+C0Col)),2,FALSE)&gt;COUNTIF($E7:J7,"u")+COUNTIF($E7:J7,"t")+COUNTIF($E7:J7,"¶")+COUNTIF($E7:J7,"²")+COUNTIF($E7:J7,"µ")+COUNTIF($E7:J7,1)),
HYPERLINK("#Roadmap!C"&amp; MATCH($E7,Roadmap!$D:$D,0)+COUNTIF($E7:J7,"u")+COUNTIF($E7:J7,"t"),
     INDEX(Roadmap!$D:$K,MATCH($E7,Roadmap!$D:$D,0)+COUNTIF($E7:J7,"u")+COUNTIF($E7:J7,"t")+COUNTIF($E7:J7,"¶")+COUNTIF($E7:J7,"²")+COUNTIF($E7:J7,"µ")+COUNTIF($E7:J7,1),ColTypeEcheance)),
  IF(LEN(J7)=1,
  IF(LEN(INDEX(Roadmap!$D:$K,MATCH($E7,Roadmap!$D:$D,0)-1+COUNTIF($E7:J7,"u")+COUNTIF($E7:J7,"t")+COUNTIF($E7:J7,"¶")+COUNTIF($E7:J7,"²")+COUNTIF($E7:J7,"µ")+COUNTIF($E7:J7,1),ColDescriptionCourte))&gt;1,
HYPERLINK("#Roadmap!C"&amp; MATCH($E7,Roadmap!$D:$D,0)+COUNTIF($E7:J7,"u")+COUNTIF($E7:J7,"t")+COUNTIF($E7:J7,"¶")+COUNTIF($E7:J7,"²")+COUNTIF($E7:J7,"µ")+COUNTIF($E7:J7,1)-1,INDEX(Roadmap!$D:$K,MATCH($E7,Roadmap!$D:$D,0)-1+COUNTIF($E7:J7,"u")+COUNTIF($E7:J7,"t")+COUNTIF($E7:J7,"¶")+COUNTIF($E7:J7,"²")+COUNTIF($E7:J7,"µ")+COUNTIF($E7:J7,1),ColDescriptionCourte)),""),
  "")),"")</f>
        <v/>
      </c>
      <c r="L7" s="37" t="str">
        <f ca="1">IFERROR(IF(AND(
  INDEX(Roadmap!$D:$K,MATCH($E7,Roadmap!$D:$D,0)+COUNTIF($E7:K7,"u")+COUNTIF($E7:K7,"t")+COUNTIF($E7:K7,"¶")+COUNTIF($E7:K7,"²")+COUNTIF($E7:K7,"µ")+COUNTIF($E7:K7,1),ColLivraison)=L$6,
  VLOOKUP($E7,INDIRECT("tri!"&amp; CHAR(64+ C0Col) &amp;":"&amp; CHAR(65+C0Col)),2,FALSE)&gt;COUNTIF($E7:K7,"u")+COUNTIF($E7:K7,"t")+COUNTIF($E7:K7,"¶")+COUNTIF($E7:K7,"²")+COUNTIF($E7:K7,"µ")+COUNTIF($E7:K7,1)),
HYPERLINK("#Roadmap!C"&amp; MATCH($E7,Roadmap!$D:$D,0)+COUNTIF($E7:K7,"u")+COUNTIF($E7:K7,"t"),
     INDEX(Roadmap!$D:$K,MATCH($E7,Roadmap!$D:$D,0)+COUNTIF($E7:K7,"u")+COUNTIF($E7:K7,"t")+COUNTIF($E7:K7,"¶")+COUNTIF($E7:K7,"²")+COUNTIF($E7:K7,"µ")+COUNTIF($E7:K7,1),ColTypeEcheance)),
  IF(LEN(K7)=1,
  IF(LEN(INDEX(Roadmap!$D:$K,MATCH($E7,Roadmap!$D:$D,0)-1+COUNTIF($E7:K7,"u")+COUNTIF($E7:K7,"t")+COUNTIF($E7:K7,"¶")+COUNTIF($E7:K7,"²")+COUNTIF($E7:K7,"µ")+COUNTIF($E7:K7,1),ColDescriptionCourte))&gt;1,
HYPERLINK("#Roadmap!C"&amp; MATCH($E7,Roadmap!$D:$D,0)+COUNTIF($E7:K7,"u")+COUNTIF($E7:K7,"t")+COUNTIF($E7:K7,"¶")+COUNTIF($E7:K7,"²")+COUNTIF($E7:K7,"µ")+COUNTIF($E7:K7,1)-1,INDEX(Roadmap!$D:$K,MATCH($E7,Roadmap!$D:$D,0)-1+COUNTIF($E7:K7,"u")+COUNTIF($E7:K7,"t")+COUNTIF($E7:K7,"¶")+COUNTIF($E7:K7,"²")+COUNTIF($E7:K7,"µ")+COUNTIF($E7:K7,1),ColDescriptionCourte)),""),
  "")),"")</f>
        <v/>
      </c>
      <c r="M7" s="38" t="str">
        <f ca="1">IFERROR(IF(AND(
  INDEX(Roadmap!$D:$K,MATCH($E7,Roadmap!$D:$D,0)+COUNTIF($E7:L7,"u")+COUNTIF($E7:L7,"t")+COUNTIF($E7:L7,"¶")+COUNTIF($E7:L7,"²")+COUNTIF($E7:L7,"µ")+COUNTIF($E7:L7,1),ColLivraison)=M$6,
  VLOOKUP($E7,INDIRECT("tri!"&amp; CHAR(64+ C0Col) &amp;":"&amp; CHAR(65+C0Col)),2,FALSE)&gt;COUNTIF($E7:L7,"u")+COUNTIF($E7:L7,"t")+COUNTIF($E7:L7,"¶")+COUNTIF($E7:L7,"²")+COUNTIF($E7:L7,"µ")+COUNTIF($E7:L7,1)),
HYPERLINK("#Roadmap!C"&amp; MATCH($E7,Roadmap!$D:$D,0)+COUNTIF($E7:L7,"u")+COUNTIF($E7:L7,"t"),
     INDEX(Roadmap!$D:$K,MATCH($E7,Roadmap!$D:$D,0)+COUNTIF($E7:L7,"u")+COUNTIF($E7:L7,"t")+COUNTIF($E7:L7,"¶")+COUNTIF($E7:L7,"²")+COUNTIF($E7:L7,"µ")+COUNTIF($E7:L7,1),ColTypeEcheance)),
  IF(LEN(L7)=1,
  IF(LEN(INDEX(Roadmap!$D:$K,MATCH($E7,Roadmap!$D:$D,0)-1+COUNTIF($E7:L7,"u")+COUNTIF($E7:L7,"t")+COUNTIF($E7:L7,"¶")+COUNTIF($E7:L7,"²")+COUNTIF($E7:L7,"µ")+COUNTIF($E7:L7,1),ColDescriptionCourte))&gt;1,
HYPERLINK("#Roadmap!C"&amp; MATCH($E7,Roadmap!$D:$D,0)+COUNTIF($E7:L7,"u")+COUNTIF($E7:L7,"t")+COUNTIF($E7:L7,"¶")+COUNTIF($E7:L7,"²")+COUNTIF($E7:L7,"µ")+COUNTIF($E7:L7,1)-1,INDEX(Roadmap!$D:$K,MATCH($E7,Roadmap!$D:$D,0)-1+COUNTIF($E7:L7,"u")+COUNTIF($E7:L7,"t")+COUNTIF($E7:L7,"¶")+COUNTIF($E7:L7,"²")+COUNTIF($E7:L7,"µ")+COUNTIF($E7:L7,1),ColDescriptionCourte)),""),
  "")),"")</f>
        <v/>
      </c>
      <c r="N7" s="38" t="str">
        <f ca="1">IFERROR(IF(AND(
  INDEX(Roadmap!$D:$K,MATCH($E7,Roadmap!$D:$D,0)+COUNTIF($E7:M7,"u")+COUNTIF($E7:M7,"t")+COUNTIF($E7:M7,"¶")+COUNTIF($E7:M7,"²")+COUNTIF($E7:M7,"µ")+COUNTIF($E7:M7,1),ColLivraison)=N$6,
  VLOOKUP($E7,INDIRECT("tri!"&amp; CHAR(64+ C0Col) &amp;":"&amp; CHAR(65+C0Col)),2,FALSE)&gt;COUNTIF($E7:M7,"u")+COUNTIF($E7:M7,"t")+COUNTIF($E7:M7,"¶")+COUNTIF($E7:M7,"²")+COUNTIF($E7:M7,"µ")+COUNTIF($E7:M7,1)),
HYPERLINK("#Roadmap!C"&amp; MATCH($E7,Roadmap!$D:$D,0)+COUNTIF($E7:M7,"u")+COUNTIF($E7:M7,"t"),
     INDEX(Roadmap!$D:$K,MATCH($E7,Roadmap!$D:$D,0)+COUNTIF($E7:M7,"u")+COUNTIF($E7:M7,"t")+COUNTIF($E7:M7,"¶")+COUNTIF($E7:M7,"²")+COUNTIF($E7:M7,"µ")+COUNTIF($E7:M7,1),ColTypeEcheance)),
  IF(LEN(M7)=1,
  IF(LEN(INDEX(Roadmap!$D:$K,MATCH($E7,Roadmap!$D:$D,0)-1+COUNTIF($E7:M7,"u")+COUNTIF($E7:M7,"t")+COUNTIF($E7:M7,"¶")+COUNTIF($E7:M7,"²")+COUNTIF($E7:M7,"µ")+COUNTIF($E7:M7,1),ColDescriptionCourte))&gt;1,
HYPERLINK("#Roadmap!C"&amp; MATCH($E7,Roadmap!$D:$D,0)+COUNTIF($E7:M7,"u")+COUNTIF($E7:M7,"t")+COUNTIF($E7:M7,"¶")+COUNTIF($E7:M7,"²")+COUNTIF($E7:M7,"µ")+COUNTIF($E7:M7,1)-1,INDEX(Roadmap!$D:$K,MATCH($E7,Roadmap!$D:$D,0)-1+COUNTIF($E7:M7,"u")+COUNTIF($E7:M7,"t")+COUNTIF($E7:M7,"¶")+COUNTIF($E7:M7,"²")+COUNTIF($E7:M7,"µ")+COUNTIF($E7:M7,1),ColDescriptionCourte)),""),
  "")),"")</f>
        <v/>
      </c>
      <c r="O7" s="38" t="str">
        <f ca="1">IFERROR(IF(AND(
  INDEX(Roadmap!$D:$K,MATCH($E7,Roadmap!$D:$D,0)+COUNTIF($E7:N7,"u")+COUNTIF($E7:N7,"t")+COUNTIF($E7:N7,"¶")+COUNTIF($E7:N7,"²")+COUNTIF($E7:N7,"µ")+COUNTIF($E7:N7,1),ColLivraison)=O$6,
  VLOOKUP($E7,INDIRECT("tri!"&amp; CHAR(64+ C0Col) &amp;":"&amp; CHAR(65+C0Col)),2,FALSE)&gt;COUNTIF($E7:N7,"u")+COUNTIF($E7:N7,"t")+COUNTIF($E7:N7,"¶")+COUNTIF($E7:N7,"²")+COUNTIF($E7:N7,"µ")+COUNTIF($E7:N7,1)),
HYPERLINK("#Roadmap!C"&amp; MATCH($E7,Roadmap!$D:$D,0)+COUNTIF($E7:N7,"u")+COUNTIF($E7:N7,"t"),
     INDEX(Roadmap!$D:$K,MATCH($E7,Roadmap!$D:$D,0)+COUNTIF($E7:N7,"u")+COUNTIF($E7:N7,"t")+COUNTIF($E7:N7,"¶")+COUNTIF($E7:N7,"²")+COUNTIF($E7:N7,"µ")+COUNTIF($E7:N7,1),ColTypeEcheance)),
  IF(LEN(N7)=1,
  IF(LEN(INDEX(Roadmap!$D:$K,MATCH($E7,Roadmap!$D:$D,0)-1+COUNTIF($E7:N7,"u")+COUNTIF($E7:N7,"t")+COUNTIF($E7:N7,"¶")+COUNTIF($E7:N7,"²")+COUNTIF($E7:N7,"µ")+COUNTIF($E7:N7,1),ColDescriptionCourte))&gt;1,
HYPERLINK("#Roadmap!C"&amp; MATCH($E7,Roadmap!$D:$D,0)+COUNTIF($E7:N7,"u")+COUNTIF($E7:N7,"t")+COUNTIF($E7:N7,"¶")+COUNTIF($E7:N7,"²")+COUNTIF($E7:N7,"µ")+COUNTIF($E7:N7,1)-1,INDEX(Roadmap!$D:$K,MATCH($E7,Roadmap!$D:$D,0)-1+COUNTIF($E7:N7,"u")+COUNTIF($E7:N7,"t")+COUNTIF($E7:N7,"¶")+COUNTIF($E7:N7,"²")+COUNTIF($E7:N7,"µ")+COUNTIF($E7:N7,1),ColDescriptionCourte)),""),
  "")),"")</f>
        <v/>
      </c>
      <c r="P7" s="38" t="str">
        <f ca="1">IFERROR(IF(AND(
  INDEX(Roadmap!$D:$K,MATCH($E7,Roadmap!$D:$D,0)+COUNTIF($E7:O7,"u")+COUNTIF($E7:O7,"t")+COUNTIF($E7:O7,"¶")+COUNTIF($E7:O7,"²")+COUNTIF($E7:O7,"µ")+COUNTIF($E7:O7,1),ColLivraison)=P$6,
  VLOOKUP($E7,INDIRECT("tri!"&amp; CHAR(64+ C0Col) &amp;":"&amp; CHAR(65+C0Col)),2,FALSE)&gt;COUNTIF($E7:O7,"u")+COUNTIF($E7:O7,"t")+COUNTIF($E7:O7,"¶")+COUNTIF($E7:O7,"²")+COUNTIF($E7:O7,"µ")+COUNTIF($E7:O7,1)),
HYPERLINK("#Roadmap!C"&amp; MATCH($E7,Roadmap!$D:$D,0)+COUNTIF($E7:O7,"u")+COUNTIF($E7:O7,"t"),
     INDEX(Roadmap!$D:$K,MATCH($E7,Roadmap!$D:$D,0)+COUNTIF($E7:O7,"u")+COUNTIF($E7:O7,"t")+COUNTIF($E7:O7,"¶")+COUNTIF($E7:O7,"²")+COUNTIF($E7:O7,"µ")+COUNTIF($E7:O7,1),ColTypeEcheance)),
  IF(LEN(O7)=1,
  IF(LEN(INDEX(Roadmap!$D:$K,MATCH($E7,Roadmap!$D:$D,0)-1+COUNTIF($E7:O7,"u")+COUNTIF($E7:O7,"t")+COUNTIF($E7:O7,"¶")+COUNTIF($E7:O7,"²")+COUNTIF($E7:O7,"µ")+COUNTIF($E7:O7,1),ColDescriptionCourte))&gt;1,
HYPERLINK("#Roadmap!C"&amp; MATCH($E7,Roadmap!$D:$D,0)+COUNTIF($E7:O7,"u")+COUNTIF($E7:O7,"t")+COUNTIF($E7:O7,"¶")+COUNTIF($E7:O7,"²")+COUNTIF($E7:O7,"µ")+COUNTIF($E7:O7,1)-1,INDEX(Roadmap!$D:$K,MATCH($E7,Roadmap!$D:$D,0)-1+COUNTIF($E7:O7,"u")+COUNTIF($E7:O7,"t")+COUNTIF($E7:O7,"¶")+COUNTIF($E7:O7,"²")+COUNTIF($E7:O7,"µ")+COUNTIF($E7:O7,1),ColDescriptionCourte)),""),
  "")),"")</f>
        <v/>
      </c>
      <c r="Q7" s="38" t="str">
        <f ca="1">IFERROR(IF(AND(
  INDEX(Roadmap!$D:$K,MATCH($E7,Roadmap!$D:$D,0)+COUNTIF($E7:P7,"u")+COUNTIF($E7:P7,"t")+COUNTIF($E7:P7,"¶")+COUNTIF($E7:P7,"²")+COUNTIF($E7:P7,"µ")+COUNTIF($E7:P7,1),ColLivraison)=Q$6,
  VLOOKUP($E7,INDIRECT("tri!"&amp; CHAR(64+ C0Col) &amp;":"&amp; CHAR(65+C0Col)),2,FALSE)&gt;COUNTIF($E7:P7,"u")+COUNTIF($E7:P7,"t")+COUNTIF($E7:P7,"¶")+COUNTIF($E7:P7,"²")+COUNTIF($E7:P7,"µ")+COUNTIF($E7:P7,1)),
HYPERLINK("#Roadmap!C"&amp; MATCH($E7,Roadmap!$D:$D,0)+COUNTIF($E7:P7,"u")+COUNTIF($E7:P7,"t"),
     INDEX(Roadmap!$D:$K,MATCH($E7,Roadmap!$D:$D,0)+COUNTIF($E7:P7,"u")+COUNTIF($E7:P7,"t")+COUNTIF($E7:P7,"¶")+COUNTIF($E7:P7,"²")+COUNTIF($E7:P7,"µ")+COUNTIF($E7:P7,1),ColTypeEcheance)),
  IF(LEN(P7)=1,
  IF(LEN(INDEX(Roadmap!$D:$K,MATCH($E7,Roadmap!$D:$D,0)-1+COUNTIF($E7:P7,"u")+COUNTIF($E7:P7,"t")+COUNTIF($E7:P7,"¶")+COUNTIF($E7:P7,"²")+COUNTIF($E7:P7,"µ")+COUNTIF($E7:P7,1),ColDescriptionCourte))&gt;1,
HYPERLINK("#Roadmap!C"&amp; MATCH($E7,Roadmap!$D:$D,0)+COUNTIF($E7:P7,"u")+COUNTIF($E7:P7,"t")+COUNTIF($E7:P7,"¶")+COUNTIF($E7:P7,"²")+COUNTIF($E7:P7,"µ")+COUNTIF($E7:P7,1)-1,INDEX(Roadmap!$D:$K,MATCH($E7,Roadmap!$D:$D,0)-1+COUNTIF($E7:P7,"u")+COUNTIF($E7:P7,"t")+COUNTIF($E7:P7,"¶")+COUNTIF($E7:P7,"²")+COUNTIF($E7:P7,"µ")+COUNTIF($E7:P7,1),ColDescriptionCourte)),""),
  "")),"")</f>
        <v/>
      </c>
      <c r="R7" s="38" t="str">
        <f ca="1">IFERROR(IF(AND(
  INDEX(Roadmap!$D:$K,MATCH($E7,Roadmap!$D:$D,0)+COUNTIF($E7:Q7,"u")+COUNTIF($E7:Q7,"t")+COUNTIF($E7:Q7,"¶")+COUNTIF($E7:Q7,"²")+COUNTIF($E7:Q7,"µ")+COUNTIF($E7:Q7,1),ColLivraison)=R$6,
  VLOOKUP($E7,INDIRECT("tri!"&amp; CHAR(64+ C0Col) &amp;":"&amp; CHAR(65+C0Col)),2,FALSE)&gt;COUNTIF($E7:Q7,"u")+COUNTIF($E7:Q7,"t")+COUNTIF($E7:Q7,"¶")+COUNTIF($E7:Q7,"²")+COUNTIF($E7:Q7,"µ")+COUNTIF($E7:Q7,1)),
HYPERLINK("#Roadmap!C"&amp; MATCH($E7,Roadmap!$D:$D,0)+COUNTIF($E7:Q7,"u")+COUNTIF($E7:Q7,"t"),
     INDEX(Roadmap!$D:$K,MATCH($E7,Roadmap!$D:$D,0)+COUNTIF($E7:Q7,"u")+COUNTIF($E7:Q7,"t")+COUNTIF($E7:Q7,"¶")+COUNTIF($E7:Q7,"²")+COUNTIF($E7:Q7,"µ")+COUNTIF($E7:Q7,1),ColTypeEcheance)),
  IF(LEN(Q7)=1,
  IF(LEN(INDEX(Roadmap!$D:$K,MATCH($E7,Roadmap!$D:$D,0)-1+COUNTIF($E7:Q7,"u")+COUNTIF($E7:Q7,"t")+COUNTIF($E7:Q7,"¶")+COUNTIF($E7:Q7,"²")+COUNTIF($E7:Q7,"µ")+COUNTIF($E7:Q7,1),ColDescriptionCourte))&gt;1,
HYPERLINK("#Roadmap!C"&amp; MATCH($E7,Roadmap!$D:$D,0)+COUNTIF($E7:Q7,"u")+COUNTIF($E7:Q7,"t")+COUNTIF($E7:Q7,"¶")+COUNTIF($E7:Q7,"²")+COUNTIF($E7:Q7,"µ")+COUNTIF($E7:Q7,1)-1,INDEX(Roadmap!$D:$K,MATCH($E7,Roadmap!$D:$D,0)-1+COUNTIF($E7:Q7,"u")+COUNTIF($E7:Q7,"t")+COUNTIF($E7:Q7,"¶")+COUNTIF($E7:Q7,"²")+COUNTIF($E7:Q7,"µ")+COUNTIF($E7:Q7,1),ColDescriptionCourte)),""),
  "")),"")</f>
        <v/>
      </c>
      <c r="S7" s="38" t="str">
        <f ca="1">IFERROR(IF(AND(
  INDEX(Roadmap!$D:$K,MATCH($E7,Roadmap!$D:$D,0)+COUNTIF($E7:R7,"u")+COUNTIF($E7:R7,"t")+COUNTIF($E7:R7,"¶")+COUNTIF($E7:R7,"²")+COUNTIF($E7:R7,"µ")+COUNTIF($E7:R7,1),ColLivraison)=S$6,
  VLOOKUP($E7,INDIRECT("tri!"&amp; CHAR(64+ C0Col) &amp;":"&amp; CHAR(65+C0Col)),2,FALSE)&gt;COUNTIF($E7:R7,"u")+COUNTIF($E7:R7,"t")+COUNTIF($E7:R7,"¶")+COUNTIF($E7:R7,"²")+COUNTIF($E7:R7,"µ")+COUNTIF($E7:R7,1)),
HYPERLINK("#Roadmap!C"&amp; MATCH($E7,Roadmap!$D:$D,0)+COUNTIF($E7:R7,"u")+COUNTIF($E7:R7,"t"),
     INDEX(Roadmap!$D:$K,MATCH($E7,Roadmap!$D:$D,0)+COUNTIF($E7:R7,"u")+COUNTIF($E7:R7,"t")+COUNTIF($E7:R7,"¶")+COUNTIF($E7:R7,"²")+COUNTIF($E7:R7,"µ")+COUNTIF($E7:R7,1),ColTypeEcheance)),
  IF(LEN(R7)=1,
  IF(LEN(INDEX(Roadmap!$D:$K,MATCH($E7,Roadmap!$D:$D,0)-1+COUNTIF($E7:R7,"u")+COUNTIF($E7:R7,"t")+COUNTIF($E7:R7,"¶")+COUNTIF($E7:R7,"²")+COUNTIF($E7:R7,"µ")+COUNTIF($E7:R7,1),ColDescriptionCourte))&gt;1,
HYPERLINK("#Roadmap!C"&amp; MATCH($E7,Roadmap!$D:$D,0)+COUNTIF($E7:R7,"u")+COUNTIF($E7:R7,"t")+COUNTIF($E7:R7,"¶")+COUNTIF($E7:R7,"²")+COUNTIF($E7:R7,"µ")+COUNTIF($E7:R7,1)-1,INDEX(Roadmap!$D:$K,MATCH($E7,Roadmap!$D:$D,0)-1+COUNTIF($E7:R7,"u")+COUNTIF($E7:R7,"t")+COUNTIF($E7:R7,"¶")+COUNTIF($E7:R7,"²")+COUNTIF($E7:R7,"µ")+COUNTIF($E7:R7,1),ColDescriptionCourte)),""),
  "")),"")</f>
        <v/>
      </c>
      <c r="T7" s="38" t="str">
        <f ca="1">IFERROR(IF(AND(
  INDEX(Roadmap!$D:$K,MATCH($E7,Roadmap!$D:$D,0)+COUNTIF($E7:S7,"u")+COUNTIF($E7:S7,"t")+COUNTIF($E7:S7,"¶")+COUNTIF($E7:S7,"²")+COUNTIF($E7:S7,"µ")+COUNTIF($E7:S7,1),ColLivraison)=T$6,
  VLOOKUP($E7,INDIRECT("tri!"&amp; CHAR(64+ C0Col) &amp;":"&amp; CHAR(65+C0Col)),2,FALSE)&gt;COUNTIF($E7:S7,"u")+COUNTIF($E7:S7,"t")+COUNTIF($E7:S7,"¶")+COUNTIF($E7:S7,"²")+COUNTIF($E7:S7,"µ")+COUNTIF($E7:S7,1)),
HYPERLINK("#Roadmap!C"&amp; MATCH($E7,Roadmap!$D:$D,0)+COUNTIF($E7:S7,"u")+COUNTIF($E7:S7,"t"),
     INDEX(Roadmap!$D:$K,MATCH($E7,Roadmap!$D:$D,0)+COUNTIF($E7:S7,"u")+COUNTIF($E7:S7,"t")+COUNTIF($E7:S7,"¶")+COUNTIF($E7:S7,"²")+COUNTIF($E7:S7,"µ")+COUNTIF($E7:S7,1),ColTypeEcheance)),
  IF(LEN(S7)=1,
  IF(LEN(INDEX(Roadmap!$D:$K,MATCH($E7,Roadmap!$D:$D,0)-1+COUNTIF($E7:S7,"u")+COUNTIF($E7:S7,"t")+COUNTIF($E7:S7,"¶")+COUNTIF($E7:S7,"²")+COUNTIF($E7:S7,"µ")+COUNTIF($E7:S7,1),ColDescriptionCourte))&gt;1,
HYPERLINK("#Roadmap!C"&amp; MATCH($E7,Roadmap!$D:$D,0)+COUNTIF($E7:S7,"u")+COUNTIF($E7:S7,"t")+COUNTIF($E7:S7,"¶")+COUNTIF($E7:S7,"²")+COUNTIF($E7:S7,"µ")+COUNTIF($E7:S7,1)-1,INDEX(Roadmap!$D:$K,MATCH($E7,Roadmap!$D:$D,0)-1+COUNTIF($E7:S7,"u")+COUNTIF($E7:S7,"t")+COUNTIF($E7:S7,"¶")+COUNTIF($E7:S7,"²")+COUNTIF($E7:S7,"µ")+COUNTIF($E7:S7,1),ColDescriptionCourte)),""),
  "")),"")</f>
        <v/>
      </c>
      <c r="U7" s="38" t="str">
        <f ca="1">IFERROR(IF(AND(
  INDEX(Roadmap!$D:$K,MATCH($E7,Roadmap!$D:$D,0)+COUNTIF($E7:T7,"u")+COUNTIF($E7:T7,"t")+COUNTIF($E7:T7,"¶")+COUNTIF($E7:T7,"²")+COUNTIF($E7:T7,"µ")+COUNTIF($E7:T7,1),ColLivraison)=U$6,
  VLOOKUP($E7,INDIRECT("tri!"&amp; CHAR(64+ C0Col) &amp;":"&amp; CHAR(65+C0Col)),2,FALSE)&gt;COUNTIF($E7:T7,"u")+COUNTIF($E7:T7,"t")+COUNTIF($E7:T7,"¶")+COUNTIF($E7:T7,"²")+COUNTIF($E7:T7,"µ")+COUNTIF($E7:T7,1)),
HYPERLINK("#Roadmap!C"&amp; MATCH($E7,Roadmap!$D:$D,0)+COUNTIF($E7:T7,"u")+COUNTIF($E7:T7,"t"),
     INDEX(Roadmap!$D:$K,MATCH($E7,Roadmap!$D:$D,0)+COUNTIF($E7:T7,"u")+COUNTIF($E7:T7,"t")+COUNTIF($E7:T7,"¶")+COUNTIF($E7:T7,"²")+COUNTIF($E7:T7,"µ")+COUNTIF($E7:T7,1),ColTypeEcheance)),
  IF(LEN(T7)=1,
  IF(LEN(INDEX(Roadmap!$D:$K,MATCH($E7,Roadmap!$D:$D,0)-1+COUNTIF($E7:T7,"u")+COUNTIF($E7:T7,"t")+COUNTIF($E7:T7,"¶")+COUNTIF($E7:T7,"²")+COUNTIF($E7:T7,"µ")+COUNTIF($E7:T7,1),ColDescriptionCourte))&gt;1,
HYPERLINK("#Roadmap!C"&amp; MATCH($E7,Roadmap!$D:$D,0)+COUNTIF($E7:T7,"u")+COUNTIF($E7:T7,"t")+COUNTIF($E7:T7,"¶")+COUNTIF($E7:T7,"²")+COUNTIF($E7:T7,"µ")+COUNTIF($E7:T7,1)-1,INDEX(Roadmap!$D:$K,MATCH($E7,Roadmap!$D:$D,0)-1+COUNTIF($E7:T7,"u")+COUNTIF($E7:T7,"t")+COUNTIF($E7:T7,"¶")+COUNTIF($E7:T7,"²")+COUNTIF($E7:T7,"µ")+COUNTIF($E7:T7,1),ColDescriptionCourte)),""),
  "")),"")</f>
        <v/>
      </c>
      <c r="V7" s="38" t="str">
        <f ca="1">IFERROR(IF(AND(
  INDEX(Roadmap!$D:$K,MATCH($E7,Roadmap!$D:$D,0)+COUNTIF($E7:U7,"u")+COUNTIF($E7:U7,"t")+COUNTIF($E7:U7,"¶")+COUNTIF($E7:U7,"²")+COUNTIF($E7:U7,"µ")+COUNTIF($E7:U7,1),ColLivraison)=V$6,
  VLOOKUP($E7,INDIRECT("tri!"&amp; CHAR(64+ C0Col) &amp;":"&amp; CHAR(65+C0Col)),2,FALSE)&gt;COUNTIF($E7:U7,"u")+COUNTIF($E7:U7,"t")+COUNTIF($E7:U7,"¶")+COUNTIF($E7:U7,"²")+COUNTIF($E7:U7,"µ")+COUNTIF($E7:U7,1)),
HYPERLINK("#Roadmap!C"&amp; MATCH($E7,Roadmap!$D:$D,0)+COUNTIF($E7:U7,"u")+COUNTIF($E7:U7,"t"),
     INDEX(Roadmap!$D:$K,MATCH($E7,Roadmap!$D:$D,0)+COUNTIF($E7:U7,"u")+COUNTIF($E7:U7,"t")+COUNTIF($E7:U7,"¶")+COUNTIF($E7:U7,"²")+COUNTIF($E7:U7,"µ")+COUNTIF($E7:U7,1),ColTypeEcheance)),
  IF(LEN(U7)=1,
  IF(LEN(INDEX(Roadmap!$D:$K,MATCH($E7,Roadmap!$D:$D,0)-1+COUNTIF($E7:U7,"u")+COUNTIF($E7:U7,"t")+COUNTIF($E7:U7,"¶")+COUNTIF($E7:U7,"²")+COUNTIF($E7:U7,"µ")+COUNTIF($E7:U7,1),ColDescriptionCourte))&gt;1,
HYPERLINK("#Roadmap!C"&amp; MATCH($E7,Roadmap!$D:$D,0)+COUNTIF($E7:U7,"u")+COUNTIF($E7:U7,"t")+COUNTIF($E7:U7,"¶")+COUNTIF($E7:U7,"²")+COUNTIF($E7:U7,"µ")+COUNTIF($E7:U7,1)-1,INDEX(Roadmap!$D:$K,MATCH($E7,Roadmap!$D:$D,0)-1+COUNTIF($E7:U7,"u")+COUNTIF($E7:U7,"t")+COUNTIF($E7:U7,"¶")+COUNTIF($E7:U7,"²")+COUNTIF($E7:U7,"µ")+COUNTIF($E7:U7,1),ColDescriptionCourte)),""),
  "")),"")</f>
        <v/>
      </c>
      <c r="W7" s="38" t="str">
        <f ca="1">IFERROR(IF(AND(
  INDEX(Roadmap!$D:$K,MATCH($E7,Roadmap!$D:$D,0)+COUNTIF($E7:V7,"u")+COUNTIF($E7:V7,"t")+COUNTIF($E7:V7,"¶")+COUNTIF($E7:V7,"²")+COUNTIF($E7:V7,"µ")+COUNTIF($E7:V7,1),ColLivraison)=W$6,
  VLOOKUP($E7,INDIRECT("tri!"&amp; CHAR(64+ C0Col) &amp;":"&amp; CHAR(65+C0Col)),2,FALSE)&gt;COUNTIF($E7:V7,"u")+COUNTIF($E7:V7,"t")+COUNTIF($E7:V7,"¶")+COUNTIF($E7:V7,"²")+COUNTIF($E7:V7,"µ")+COUNTIF($E7:V7,1)),
HYPERLINK("#Roadmap!C"&amp; MATCH($E7,Roadmap!$D:$D,0)+COUNTIF($E7:V7,"u")+COUNTIF($E7:V7,"t"),
     INDEX(Roadmap!$D:$K,MATCH($E7,Roadmap!$D:$D,0)+COUNTIF($E7:V7,"u")+COUNTIF($E7:V7,"t")+COUNTIF($E7:V7,"¶")+COUNTIF($E7:V7,"²")+COUNTIF($E7:V7,"µ")+COUNTIF($E7:V7,1),ColTypeEcheance)),
  IF(LEN(V7)=1,
  IF(LEN(INDEX(Roadmap!$D:$K,MATCH($E7,Roadmap!$D:$D,0)-1+COUNTIF($E7:V7,"u")+COUNTIF($E7:V7,"t")+COUNTIF($E7:V7,"¶")+COUNTIF($E7:V7,"²")+COUNTIF($E7:V7,"µ")+COUNTIF($E7:V7,1),ColDescriptionCourte))&gt;1,
HYPERLINK("#Roadmap!C"&amp; MATCH($E7,Roadmap!$D:$D,0)+COUNTIF($E7:V7,"u")+COUNTIF($E7:V7,"t")+COUNTIF($E7:V7,"¶")+COUNTIF($E7:V7,"²")+COUNTIF($E7:V7,"µ")+COUNTIF($E7:V7,1)-1,INDEX(Roadmap!$D:$K,MATCH($E7,Roadmap!$D:$D,0)-1+COUNTIF($E7:V7,"u")+COUNTIF($E7:V7,"t")+COUNTIF($E7:V7,"¶")+COUNTIF($E7:V7,"²")+COUNTIF($E7:V7,"µ")+COUNTIF($E7:V7,1),ColDescriptionCourte)),""),
  "")),"")</f>
        <v/>
      </c>
      <c r="X7" s="38" t="str">
        <f ca="1">IFERROR(IF(AND(
  INDEX(Roadmap!$D:$K,MATCH($E7,Roadmap!$D:$D,0)+COUNTIF($E7:W7,"u")+COUNTIF($E7:W7,"t")+COUNTIF($E7:W7,"¶")+COUNTIF($E7:W7,"²")+COUNTIF($E7:W7,"µ")+COUNTIF($E7:W7,1),ColLivraison)=X$6,
  VLOOKUP($E7,INDIRECT("tri!"&amp; CHAR(64+ C0Col) &amp;":"&amp; CHAR(65+C0Col)),2,FALSE)&gt;COUNTIF($E7:W7,"u")+COUNTIF($E7:W7,"t")+COUNTIF($E7:W7,"¶")+COUNTIF($E7:W7,"²")+COUNTIF($E7:W7,"µ")+COUNTIF($E7:W7,1)),
HYPERLINK("#Roadmap!C"&amp; MATCH($E7,Roadmap!$D:$D,0)+COUNTIF($E7:W7,"u")+COUNTIF($E7:W7,"t"),
     INDEX(Roadmap!$D:$K,MATCH($E7,Roadmap!$D:$D,0)+COUNTIF($E7:W7,"u")+COUNTIF($E7:W7,"t")+COUNTIF($E7:W7,"¶")+COUNTIF($E7:W7,"²")+COUNTIF($E7:W7,"µ")+COUNTIF($E7:W7,1),ColTypeEcheance)),
  IF(LEN(W7)=1,
  IF(LEN(INDEX(Roadmap!$D:$K,MATCH($E7,Roadmap!$D:$D,0)-1+COUNTIF($E7:W7,"u")+COUNTIF($E7:W7,"t")+COUNTIF($E7:W7,"¶")+COUNTIF($E7:W7,"²")+COUNTIF($E7:W7,"µ")+COUNTIF($E7:W7,1),ColDescriptionCourte))&gt;1,
HYPERLINK("#Roadmap!C"&amp; MATCH($E7,Roadmap!$D:$D,0)+COUNTIF($E7:W7,"u")+COUNTIF($E7:W7,"t")+COUNTIF($E7:W7,"¶")+COUNTIF($E7:W7,"²")+COUNTIF($E7:W7,"µ")+COUNTIF($E7:W7,1)-1,INDEX(Roadmap!$D:$K,MATCH($E7,Roadmap!$D:$D,0)-1+COUNTIF($E7:W7,"u")+COUNTIF($E7:W7,"t")+COUNTIF($E7:W7,"¶")+COUNTIF($E7:W7,"²")+COUNTIF($E7:W7,"µ")+COUNTIF($E7:W7,1),ColDescriptionCourte)),""),
  "")),"")</f>
        <v/>
      </c>
      <c r="Y7" s="38" t="str">
        <f ca="1">IFERROR(IF(AND(
  INDEX(Roadmap!$D:$K,MATCH($E7,Roadmap!$D:$D,0)+COUNTIF($E7:X7,"u")+COUNTIF($E7:X7,"t")+COUNTIF($E7:X7,"¶")+COUNTIF($E7:X7,"²")+COUNTIF($E7:X7,"µ")+COUNTIF($E7:X7,1),ColLivraison)=Y$6,
  VLOOKUP($E7,INDIRECT("tri!"&amp; CHAR(64+ C0Col) &amp;":"&amp; CHAR(65+C0Col)),2,FALSE)&gt;COUNTIF($E7:X7,"u")+COUNTIF($E7:X7,"t")+COUNTIF($E7:X7,"¶")+COUNTIF($E7:X7,"²")+COUNTIF($E7:X7,"µ")+COUNTIF($E7:X7,1)),
HYPERLINK("#Roadmap!C"&amp; MATCH($E7,Roadmap!$D:$D,0)+COUNTIF($E7:X7,"u")+COUNTIF($E7:X7,"t"),
     INDEX(Roadmap!$D:$K,MATCH($E7,Roadmap!$D:$D,0)+COUNTIF($E7:X7,"u")+COUNTIF($E7:X7,"t")+COUNTIF($E7:X7,"¶")+COUNTIF($E7:X7,"²")+COUNTIF($E7:X7,"µ")+COUNTIF($E7:X7,1),ColTypeEcheance)),
  IF(LEN(X7)=1,
  IF(LEN(INDEX(Roadmap!$D:$K,MATCH($E7,Roadmap!$D:$D,0)-1+COUNTIF($E7:X7,"u")+COUNTIF($E7:X7,"t")+COUNTIF($E7:X7,"¶")+COUNTIF($E7:X7,"²")+COUNTIF($E7:X7,"µ")+COUNTIF($E7:X7,1),ColDescriptionCourte))&gt;1,
HYPERLINK("#Roadmap!C"&amp; MATCH($E7,Roadmap!$D:$D,0)+COUNTIF($E7:X7,"u")+COUNTIF($E7:X7,"t")+COUNTIF($E7:X7,"¶")+COUNTIF($E7:X7,"²")+COUNTIF($E7:X7,"µ")+COUNTIF($E7:X7,1)-1,INDEX(Roadmap!$D:$K,MATCH($E7,Roadmap!$D:$D,0)-1+COUNTIF($E7:X7,"u")+COUNTIF($E7:X7,"t")+COUNTIF($E7:X7,"¶")+COUNTIF($E7:X7,"²")+COUNTIF($E7:X7,"µ")+COUNTIF($E7:X7,1),ColDescriptionCourte)),""),
  "")),"")</f>
        <v/>
      </c>
      <c r="Z7" s="38" t="str">
        <f ca="1">IFERROR(IF(AND(
  INDEX(Roadmap!$D:$K,MATCH($E7,Roadmap!$D:$D,0)+COUNTIF($E7:Y7,"u")+COUNTIF($E7:Y7,"t")+COUNTIF($E7:Y7,"¶")+COUNTIF($E7:Y7,"²")+COUNTIF($E7:Y7,"µ")+COUNTIF($E7:Y7,1),ColLivraison)=Z$6,
  VLOOKUP($E7,INDIRECT("tri!"&amp; CHAR(64+ C0Col) &amp;":"&amp; CHAR(65+C0Col)),2,FALSE)&gt;COUNTIF($E7:Y7,"u")+COUNTIF($E7:Y7,"t")+COUNTIF($E7:Y7,"¶")+COUNTIF($E7:Y7,"²")+COUNTIF($E7:Y7,"µ")+COUNTIF($E7:Y7,1)),
HYPERLINK("#Roadmap!C"&amp; MATCH($E7,Roadmap!$D:$D,0)+COUNTIF($E7:Y7,"u")+COUNTIF($E7:Y7,"t"),
     INDEX(Roadmap!$D:$K,MATCH($E7,Roadmap!$D:$D,0)+COUNTIF($E7:Y7,"u")+COUNTIF($E7:Y7,"t")+COUNTIF($E7:Y7,"¶")+COUNTIF($E7:Y7,"²")+COUNTIF($E7:Y7,"µ")+COUNTIF($E7:Y7,1),ColTypeEcheance)),
  IF(LEN(Y7)=1,
  IF(LEN(INDEX(Roadmap!$D:$K,MATCH($E7,Roadmap!$D:$D,0)-1+COUNTIF($E7:Y7,"u")+COUNTIF($E7:Y7,"t")+COUNTIF($E7:Y7,"¶")+COUNTIF($E7:Y7,"²")+COUNTIF($E7:Y7,"µ")+COUNTIF($E7:Y7,1),ColDescriptionCourte))&gt;1,
HYPERLINK("#Roadmap!C"&amp; MATCH($E7,Roadmap!$D:$D,0)+COUNTIF($E7:Y7,"u")+COUNTIF($E7:Y7,"t")+COUNTIF($E7:Y7,"¶")+COUNTIF($E7:Y7,"²")+COUNTIF($E7:Y7,"µ")+COUNTIF($E7:Y7,1)-1,INDEX(Roadmap!$D:$K,MATCH($E7,Roadmap!$D:$D,0)-1+COUNTIF($E7:Y7,"u")+COUNTIF($E7:Y7,"t")+COUNTIF($E7:Y7,"¶")+COUNTIF($E7:Y7,"²")+COUNTIF($E7:Y7,"µ")+COUNTIF($E7:Y7,1),ColDescriptionCourte)),""),
  "")),"")</f>
        <v/>
      </c>
      <c r="AA7" s="38" t="str">
        <f ca="1">IFERROR(IF(AND(
  INDEX(Roadmap!$D:$K,MATCH($E7,Roadmap!$D:$D,0)+COUNTIF($E7:Z7,"u")+COUNTIF($E7:Z7,"t")+COUNTIF($E7:Z7,"¶")+COUNTIF($E7:Z7,"²")+COUNTIF($E7:Z7,"µ")+COUNTIF($E7:Z7,1),ColLivraison)=AA$6,
  VLOOKUP($E7,INDIRECT("tri!"&amp; CHAR(64+ C0Col) &amp;":"&amp; CHAR(65+C0Col)),2,FALSE)&gt;COUNTIF($E7:Z7,"u")+COUNTIF($E7:Z7,"t")+COUNTIF($E7:Z7,"¶")+COUNTIF($E7:Z7,"²")+COUNTIF($E7:Z7,"µ")+COUNTIF($E7:Z7,1)),
HYPERLINK("#Roadmap!C"&amp; MATCH($E7,Roadmap!$D:$D,0)+COUNTIF($E7:Z7,"u")+COUNTIF($E7:Z7,"t"),
     INDEX(Roadmap!$D:$K,MATCH($E7,Roadmap!$D:$D,0)+COUNTIF($E7:Z7,"u")+COUNTIF($E7:Z7,"t")+COUNTIF($E7:Z7,"¶")+COUNTIF($E7:Z7,"²")+COUNTIF($E7:Z7,"µ")+COUNTIF($E7:Z7,1),ColTypeEcheance)),
  IF(LEN(Z7)=1,
  IF(LEN(INDEX(Roadmap!$D:$K,MATCH($E7,Roadmap!$D:$D,0)-1+COUNTIF($E7:Z7,"u")+COUNTIF($E7:Z7,"t")+COUNTIF($E7:Z7,"¶")+COUNTIF($E7:Z7,"²")+COUNTIF($E7:Z7,"µ")+COUNTIF($E7:Z7,1),ColDescriptionCourte))&gt;1,
HYPERLINK("#Roadmap!C"&amp; MATCH($E7,Roadmap!$D:$D,0)+COUNTIF($E7:Z7,"u")+COUNTIF($E7:Z7,"t")+COUNTIF($E7:Z7,"¶")+COUNTIF($E7:Z7,"²")+COUNTIF($E7:Z7,"µ")+COUNTIF($E7:Z7,1)-1,INDEX(Roadmap!$D:$K,MATCH($E7,Roadmap!$D:$D,0)-1+COUNTIF($E7:Z7,"u")+COUNTIF($E7:Z7,"t")+COUNTIF($E7:Z7,"¶")+COUNTIF($E7:Z7,"²")+COUNTIF($E7:Z7,"µ")+COUNTIF($E7:Z7,1),ColDescriptionCourte)),""),
  "")),"")</f>
        <v/>
      </c>
      <c r="AB7" s="38" t="str">
        <f ca="1">IFERROR(IF(AND(
  INDEX(Roadmap!$D:$K,MATCH($E7,Roadmap!$D:$D,0)+COUNTIF($E7:AA7,"u")+COUNTIF($E7:AA7,"t")+COUNTIF($E7:AA7,"¶")+COUNTIF($E7:AA7,"²")+COUNTIF($E7:AA7,"µ")+COUNTIF($E7:AA7,1),ColLivraison)=AB$6,
  VLOOKUP($E7,INDIRECT("tri!"&amp; CHAR(64+ C0Col) &amp;":"&amp; CHAR(65+C0Col)),2,FALSE)&gt;COUNTIF($E7:AA7,"u")+COUNTIF($E7:AA7,"t")+COUNTIF($E7:AA7,"¶")+COUNTIF($E7:AA7,"²")+COUNTIF($E7:AA7,"µ")+COUNTIF($E7:AA7,1)),
HYPERLINK("#Roadmap!C"&amp; MATCH($E7,Roadmap!$D:$D,0)+COUNTIF($E7:AA7,"u")+COUNTIF($E7:AA7,"t"),
     INDEX(Roadmap!$D:$K,MATCH($E7,Roadmap!$D:$D,0)+COUNTIF($E7:AA7,"u")+COUNTIF($E7:AA7,"t")+COUNTIF($E7:AA7,"¶")+COUNTIF($E7:AA7,"²")+COUNTIF($E7:AA7,"µ")+COUNTIF($E7:AA7,1),ColTypeEcheance)),
  IF(LEN(AA7)=1,
  IF(LEN(INDEX(Roadmap!$D:$K,MATCH($E7,Roadmap!$D:$D,0)-1+COUNTIF($E7:AA7,"u")+COUNTIF($E7:AA7,"t")+COUNTIF($E7:AA7,"¶")+COUNTIF($E7:AA7,"²")+COUNTIF($E7:AA7,"µ")+COUNTIF($E7:AA7,1),ColDescriptionCourte))&gt;1,
HYPERLINK("#Roadmap!C"&amp; MATCH($E7,Roadmap!$D:$D,0)+COUNTIF($E7:AA7,"u")+COUNTIF($E7:AA7,"t")+COUNTIF($E7:AA7,"¶")+COUNTIF($E7:AA7,"²")+COUNTIF($E7:AA7,"µ")+COUNTIF($E7:AA7,1)-1,INDEX(Roadmap!$D:$K,MATCH($E7,Roadmap!$D:$D,0)-1+COUNTIF($E7:AA7,"u")+COUNTIF($E7:AA7,"t")+COUNTIF($E7:AA7,"¶")+COUNTIF($E7:AA7,"²")+COUNTIF($E7:AA7,"µ")+COUNTIF($E7:AA7,1),ColDescriptionCourte)),""),
  "")),"")</f>
        <v/>
      </c>
      <c r="AC7" s="38" t="str">
        <f ca="1">IFERROR(IF(AND(
  INDEX(Roadmap!$D:$K,MATCH($E7,Roadmap!$D:$D,0)+COUNTIF($E7:AB7,"u")+COUNTIF($E7:AB7,"t")+COUNTIF($E7:AB7,"¶")+COUNTIF($E7:AB7,"²")+COUNTIF($E7:AB7,"µ")+COUNTIF($E7:AB7,1),ColLivraison)=AC$6,
  VLOOKUP($E7,INDIRECT("tri!"&amp; CHAR(64+ C0Col) &amp;":"&amp; CHAR(65+C0Col)),2,FALSE)&gt;COUNTIF($E7:AB7,"u")+COUNTIF($E7:AB7,"t")+COUNTIF($E7:AB7,"¶")+COUNTIF($E7:AB7,"²")+COUNTIF($E7:AB7,"µ")+COUNTIF($E7:AB7,1)),
HYPERLINK("#Roadmap!C"&amp; MATCH($E7,Roadmap!$D:$D,0)+COUNTIF($E7:AB7,"u")+COUNTIF($E7:AB7,"t"),
     INDEX(Roadmap!$D:$K,MATCH($E7,Roadmap!$D:$D,0)+COUNTIF($E7:AB7,"u")+COUNTIF($E7:AB7,"t")+COUNTIF($E7:AB7,"¶")+COUNTIF($E7:AB7,"²")+COUNTIF($E7:AB7,"µ")+COUNTIF($E7:AB7,1),ColTypeEcheance)),
  IF(LEN(AB7)=1,
  IF(LEN(INDEX(Roadmap!$D:$K,MATCH($E7,Roadmap!$D:$D,0)-1+COUNTIF($E7:AB7,"u")+COUNTIF($E7:AB7,"t")+COUNTIF($E7:AB7,"¶")+COUNTIF($E7:AB7,"²")+COUNTIF($E7:AB7,"µ")+COUNTIF($E7:AB7,1),ColDescriptionCourte))&gt;1,
HYPERLINK("#Roadmap!C"&amp; MATCH($E7,Roadmap!$D:$D,0)+COUNTIF($E7:AB7,"u")+COUNTIF($E7:AB7,"t")+COUNTIF($E7:AB7,"¶")+COUNTIF($E7:AB7,"²")+COUNTIF($E7:AB7,"µ")+COUNTIF($E7:AB7,1)-1,INDEX(Roadmap!$D:$K,MATCH($E7,Roadmap!$D:$D,0)-1+COUNTIF($E7:AB7,"u")+COUNTIF($E7:AB7,"t")+COUNTIF($E7:AB7,"¶")+COUNTIF($E7:AB7,"²")+COUNTIF($E7:AB7,"µ")+COUNTIF($E7:AB7,1),ColDescriptionCourte)),""),
  "")),"")</f>
        <v/>
      </c>
      <c r="AD7" s="38" t="str">
        <f ca="1">IFERROR(IF(AND(
  INDEX(Roadmap!$D:$K,MATCH($E7,Roadmap!$D:$D,0)+COUNTIF($E7:AC7,"u")+COUNTIF($E7:AC7,"t")+COUNTIF($E7:AC7,"¶")+COUNTIF($E7:AC7,"²")+COUNTIF($E7:AC7,"µ")+COUNTIF($E7:AC7,1),ColLivraison)=AD$6,
  VLOOKUP($E7,INDIRECT("tri!"&amp; CHAR(64+ C0Col) &amp;":"&amp; CHAR(65+C0Col)),2,FALSE)&gt;COUNTIF($E7:AC7,"u")+COUNTIF($E7:AC7,"t")+COUNTIF($E7:AC7,"¶")+COUNTIF($E7:AC7,"²")+COUNTIF($E7:AC7,"µ")+COUNTIF($E7:AC7,1)),
HYPERLINK("#Roadmap!C"&amp; MATCH($E7,Roadmap!$D:$D,0)+COUNTIF($E7:AC7,"u")+COUNTIF($E7:AC7,"t"),
     INDEX(Roadmap!$D:$K,MATCH($E7,Roadmap!$D:$D,0)+COUNTIF($E7:AC7,"u")+COUNTIF($E7:AC7,"t")+COUNTIF($E7:AC7,"¶")+COUNTIF($E7:AC7,"²")+COUNTIF($E7:AC7,"µ")+COUNTIF($E7:AC7,1),ColTypeEcheance)),
  IF(LEN(AC7)=1,
  IF(LEN(INDEX(Roadmap!$D:$K,MATCH($E7,Roadmap!$D:$D,0)-1+COUNTIF($E7:AC7,"u")+COUNTIF($E7:AC7,"t")+COUNTIF($E7:AC7,"¶")+COUNTIF($E7:AC7,"²")+COUNTIF($E7:AC7,"µ")+COUNTIF($E7:AC7,1),ColDescriptionCourte))&gt;1,
HYPERLINK("#Roadmap!C"&amp; MATCH($E7,Roadmap!$D:$D,0)+COUNTIF($E7:AC7,"u")+COUNTIF($E7:AC7,"t")+COUNTIF($E7:AC7,"¶")+COUNTIF($E7:AC7,"²")+COUNTIF($E7:AC7,"µ")+COUNTIF($E7:AC7,1)-1,INDEX(Roadmap!$D:$K,MATCH($E7,Roadmap!$D:$D,0)-1+COUNTIF($E7:AC7,"u")+COUNTIF($E7:AC7,"t")+COUNTIF($E7:AC7,"¶")+COUNTIF($E7:AC7,"²")+COUNTIF($E7:AC7,"µ")+COUNTIF($E7:AC7,1),ColDescriptionCourte)),""),
  "")),"")</f>
        <v/>
      </c>
      <c r="AE7" s="38" t="str">
        <f ca="1">IFERROR(IF(AND(
  INDEX(Roadmap!$D:$K,MATCH($E7,Roadmap!$D:$D,0)+COUNTIF($E7:AD7,"u")+COUNTIF($E7:AD7,"t")+COUNTIF($E7:AD7,"¶")+COUNTIF($E7:AD7,"²")+COUNTIF($E7:AD7,"µ")+COUNTIF($E7:AD7,1),ColLivraison)=AE$6,
  VLOOKUP($E7,INDIRECT("tri!"&amp; CHAR(64+ C0Col) &amp;":"&amp; CHAR(65+C0Col)),2,FALSE)&gt;COUNTIF($E7:AD7,"u")+COUNTIF($E7:AD7,"t")+COUNTIF($E7:AD7,"¶")+COUNTIF($E7:AD7,"²")+COUNTIF($E7:AD7,"µ")+COUNTIF($E7:AD7,1)),
HYPERLINK("#Roadmap!C"&amp; MATCH($E7,Roadmap!$D:$D,0)+COUNTIF($E7:AD7,"u")+COUNTIF($E7:AD7,"t"),
     INDEX(Roadmap!$D:$K,MATCH($E7,Roadmap!$D:$D,0)+COUNTIF($E7:AD7,"u")+COUNTIF($E7:AD7,"t")+COUNTIF($E7:AD7,"¶")+COUNTIF($E7:AD7,"²")+COUNTIF($E7:AD7,"µ")+COUNTIF($E7:AD7,1),ColTypeEcheance)),
  IF(LEN(AD7)=1,
  IF(LEN(INDEX(Roadmap!$D:$K,MATCH($E7,Roadmap!$D:$D,0)-1+COUNTIF($E7:AD7,"u")+COUNTIF($E7:AD7,"t")+COUNTIF($E7:AD7,"¶")+COUNTIF($E7:AD7,"²")+COUNTIF($E7:AD7,"µ")+COUNTIF($E7:AD7,1),ColDescriptionCourte))&gt;1,
HYPERLINK("#Roadmap!C"&amp; MATCH($E7,Roadmap!$D:$D,0)+COUNTIF($E7:AD7,"u")+COUNTIF($E7:AD7,"t")+COUNTIF($E7:AD7,"¶")+COUNTIF($E7:AD7,"²")+COUNTIF($E7:AD7,"µ")+COUNTIF($E7:AD7,1)-1,INDEX(Roadmap!$D:$K,MATCH($E7,Roadmap!$D:$D,0)-1+COUNTIF($E7:AD7,"u")+COUNTIF($E7:AD7,"t")+COUNTIF($E7:AD7,"¶")+COUNTIF($E7:AD7,"²")+COUNTIF($E7:AD7,"µ")+COUNTIF($E7:AD7,1),ColDescriptionCourte)),""),
  "")),"")</f>
        <v/>
      </c>
      <c r="AF7" s="38" t="str">
        <f ca="1">IFERROR(IF(AND(
  INDEX(Roadmap!$D:$K,MATCH($E7,Roadmap!$D:$D,0)+COUNTIF($E7:AE7,"u")+COUNTIF($E7:AE7,"t")+COUNTIF($E7:AE7,"¶")+COUNTIF($E7:AE7,"²")+COUNTIF($E7:AE7,"µ")+COUNTIF($E7:AE7,1),ColLivraison)=AF$6,
  VLOOKUP($E7,INDIRECT("tri!"&amp; CHAR(64+ C0Col) &amp;":"&amp; CHAR(65+C0Col)),2,FALSE)&gt;COUNTIF($E7:AE7,"u")+COUNTIF($E7:AE7,"t")+COUNTIF($E7:AE7,"¶")+COUNTIF($E7:AE7,"²")+COUNTIF($E7:AE7,"µ")+COUNTIF($E7:AE7,1)),
HYPERLINK("#Roadmap!C"&amp; MATCH($E7,Roadmap!$D:$D,0)+COUNTIF($E7:AE7,"u")+COUNTIF($E7:AE7,"t"),
     INDEX(Roadmap!$D:$K,MATCH($E7,Roadmap!$D:$D,0)+COUNTIF($E7:AE7,"u")+COUNTIF($E7:AE7,"t")+COUNTIF($E7:AE7,"¶")+COUNTIF($E7:AE7,"²")+COUNTIF($E7:AE7,"µ")+COUNTIF($E7:AE7,1),ColTypeEcheance)),
  IF(LEN(AE7)=1,
  IF(LEN(INDEX(Roadmap!$D:$K,MATCH($E7,Roadmap!$D:$D,0)-1+COUNTIF($E7:AE7,"u")+COUNTIF($E7:AE7,"t")+COUNTIF($E7:AE7,"¶")+COUNTIF($E7:AE7,"²")+COUNTIF($E7:AE7,"µ")+COUNTIF($E7:AE7,1),ColDescriptionCourte))&gt;1,
HYPERLINK("#Roadmap!C"&amp; MATCH($E7,Roadmap!$D:$D,0)+COUNTIF($E7:AE7,"u")+COUNTIF($E7:AE7,"t")+COUNTIF($E7:AE7,"¶")+COUNTIF($E7:AE7,"²")+COUNTIF($E7:AE7,"µ")+COUNTIF($E7:AE7,1)-1,INDEX(Roadmap!$D:$K,MATCH($E7,Roadmap!$D:$D,0)-1+COUNTIF($E7:AE7,"u")+COUNTIF($E7:AE7,"t")+COUNTIF($E7:AE7,"¶")+COUNTIF($E7:AE7,"²")+COUNTIF($E7:AE7,"µ")+COUNTIF($E7:AE7,1),ColDescriptionCourte)),""),
  "")),"")</f>
        <v/>
      </c>
      <c r="AG7" s="38" t="str">
        <f ca="1">IFERROR(IF(AND(
  INDEX(Roadmap!$D:$K,MATCH($E7,Roadmap!$D:$D,0)+COUNTIF($E7:AF7,"u")+COUNTIF($E7:AF7,"t")+COUNTIF($E7:AF7,"¶")+COUNTIF($E7:AF7,"²")+COUNTIF($E7:AF7,"µ")+COUNTIF($E7:AF7,1),ColLivraison)=AG$6,
  VLOOKUP($E7,INDIRECT("tri!"&amp; CHAR(64+ C0Col) &amp;":"&amp; CHAR(65+C0Col)),2,FALSE)&gt;COUNTIF($E7:AF7,"u")+COUNTIF($E7:AF7,"t")+COUNTIF($E7:AF7,"¶")+COUNTIF($E7:AF7,"²")+COUNTIF($E7:AF7,"µ")+COUNTIF($E7:AF7,1)),
HYPERLINK("#Roadmap!C"&amp; MATCH($E7,Roadmap!$D:$D,0)+COUNTIF($E7:AF7,"u")+COUNTIF($E7:AF7,"t"),
     INDEX(Roadmap!$D:$K,MATCH($E7,Roadmap!$D:$D,0)+COUNTIF($E7:AF7,"u")+COUNTIF($E7:AF7,"t")+COUNTIF($E7:AF7,"¶")+COUNTIF($E7:AF7,"²")+COUNTIF($E7:AF7,"µ")+COUNTIF($E7:AF7,1),ColTypeEcheance)),
  IF(LEN(AF7)=1,
  IF(LEN(INDEX(Roadmap!$D:$K,MATCH($E7,Roadmap!$D:$D,0)-1+COUNTIF($E7:AF7,"u")+COUNTIF($E7:AF7,"t")+COUNTIF($E7:AF7,"¶")+COUNTIF($E7:AF7,"²")+COUNTIF($E7:AF7,"µ")+COUNTIF($E7:AF7,1),ColDescriptionCourte))&gt;1,
HYPERLINK("#Roadmap!C"&amp; MATCH($E7,Roadmap!$D:$D,0)+COUNTIF($E7:AF7,"u")+COUNTIF($E7:AF7,"t")+COUNTIF($E7:AF7,"¶")+COUNTIF($E7:AF7,"²")+COUNTIF($E7:AF7,"µ")+COUNTIF($E7:AF7,1)-1,INDEX(Roadmap!$D:$K,MATCH($E7,Roadmap!$D:$D,0)-1+COUNTIF($E7:AF7,"u")+COUNTIF($E7:AF7,"t")+COUNTIF($E7:AF7,"¶")+COUNTIF($E7:AF7,"²")+COUNTIF($E7:AF7,"µ")+COUNTIF($E7:AF7,1),ColDescriptionCourte)),""),
  "")),"")</f>
        <v/>
      </c>
      <c r="AH7" s="48" t="str">
        <f ca="1">IFERROR(IF(AND(
  INDEX(Roadmap!$D:$K,MATCH($E7,Roadmap!$D:$D,0)+COUNTIF($E7:AG7,"u")+COUNTIF($E7:AG7,"t")+COUNTIF($E7:AG7,1),ColLivraison)=AH$6,
  VLOOKUP($E7,INDIRECT("tri!"&amp; CHAR(64+ C0Col) &amp;":"&amp; CHAR(65+C0Col)),2,FALSE)&gt;COUNTIF($E7:AG7,"u")+COUNTIF($E7:AG7,"t")+COUNTIF($E7:AG7,1)),
HYPERLINK("#Roadmap!C"&amp; MATCH($E7,Roadmap!$D:$D,0)+COUNTIF($E7:AG7,"u")+COUNTIF($E7:AG7,"t"),
     INDEX(Roadmap!$D:$K,MATCH($E7,Roadmap!$D:$D,0)+COUNTIF($E7:AG7,"u")+COUNTIF($E7:AG7,"t")+COUNTIF($E7:AG7,1),ColTypeEcheance)),
  IF(OR(AG7="u",AG7="t",AG7=1),
  IF(LEN(INDEX(Roadmap!$D:$K,MATCH($E7,Roadmap!$D:$D,0)-1+COUNTIF($E7:AG7,"u")+COUNTIF($E7:AG7,"t")+COUNTIF($E7:AG7,1),ColDescriptionCourte))&gt;1,
HYPERLINK("#Roadmap!C"&amp; MATCH($E7,Roadmap!$D:$D,0)+COUNTIF($E7:AG7,"u")+COUNTIF($E7:AG7,"t")+COUNTIF($E7:AG7,1)-1,INDEX(Roadmap!$D:$K,MATCH($E7,Roadmap!$D:$D,0)-1+COUNTIF($E7:AG7,"u")+COUNTIF($E7:AG7,"t")+COUNTIF($E7:AG7,1),ColDescriptionCourte)),""),
  "")),"")</f>
        <v/>
      </c>
      <c r="AI7" s="48"/>
      <c r="AJ7" s="48"/>
      <c r="AK7" s="48"/>
      <c r="AL7" s="48"/>
      <c r="AM7" s="48"/>
    </row>
    <row r="8" spans="4:39" s="21" customFormat="1" ht="15.95" customHeight="1">
      <c r="D8" s="20" t="str">
        <f t="shared" ca="1" si="26"/>
        <v/>
      </c>
      <c r="E8" s="53" t="str">
        <f t="shared" ca="1" si="19"/>
        <v>Projet AO</v>
      </c>
      <c r="F8" s="39"/>
      <c r="G8" s="40"/>
      <c r="H8" s="40"/>
      <c r="I8" s="40"/>
      <c r="J8" s="40"/>
      <c r="K8" s="40"/>
      <c r="L8" s="39"/>
      <c r="M8" s="40"/>
      <c r="N8" s="40"/>
      <c r="O8" s="40"/>
      <c r="P8" s="40"/>
      <c r="Q8" s="40"/>
      <c r="R8" s="40"/>
      <c r="S8" s="40"/>
      <c r="T8" s="17" t="str">
        <f ca="1">IFERROR(IF(AND(
  INDEX(Roadmap!$D:$K,MATCH($E8,Roadmap!$D:$D,0)+COUNTIF($E8:S8,"u")+COUNTIF($E8:S8,"t")+COUNTIF($E8:S8,"¶")+COUNTIF($E8:S8,"²")+COUNTIF($E8:S8,"µ")+COUNTIF($E8:S8,1),ColLivraison)=T$6,
  VLOOKUP($E8,INDIRECT("tri!"&amp; CHAR(64+ C0Col) &amp;":"&amp; CHAR(65+C0Col)),2,FALSE)&gt;COUNTIF($E8:S8,"u")+COUNTIF($E8:S8,"t")+COUNTIF($E8:S8,"¶")+COUNTIF($E8:S8,"²")+COUNTIF($E8:S8,"µ")+COUNTIF($E8:S8,1)),
HYPERLINK("#Roadmap!C"&amp; MATCH($E8,Roadmap!$D:$D,0)+COUNTIF($E8:S8,"u")+COUNTIF($E8:S8,"t"),
     INDEX(Roadmap!$D:$K,MATCH($E8,Roadmap!$D:$D,0)+COUNTIF($E8:S8,"u")+COUNTIF($E8:S8,"t")+COUNTIF($E8:S8,"¶")+COUNTIF($E8:S8,"²")+COUNTIF($E8:S8,"µ")+COUNTIF($E8:S8,1),ColTypeEcheance)),
  IF(LEN(S8)=1,
  IF(LEN(INDEX(Roadmap!$D:$K,MATCH($E8,Roadmap!$D:$D,0)-1+COUNTIF($E8:S8,"u")+COUNTIF($E8:S8,"t")+COUNTIF($E8:S8,"¶")+COUNTIF($E8:S8,"²")+COUNTIF($E8:S8,"µ")+COUNTIF($E8:S8,1),ColDescriptionCourte))&gt;1,
HYPERLINK("#Roadmap!C"&amp; MATCH($E8,Roadmap!$D:$D,0)+COUNTIF($E8:S8,"u")+COUNTIF($E8:S8,"t")+COUNTIF($E8:S8,"¶")+COUNTIF($E8:S8,"²")+COUNTIF($E8:S8,"µ")+COUNTIF($E8:S8,1)-1,INDEX(Roadmap!$D:$K,MATCH($E8,Roadmap!$D:$D,0)-1+COUNTIF($E8:S8,"u")+COUNTIF($E8:S8,"t")+COUNTIF($E8:S8,"¶")+COUNTIF($E8:S8,"²")+COUNTIF($E8:S8,"µ")+COUNTIF($E8:S8,1),ColDescriptionCourte)),""),
  "")),"")</f>
        <v/>
      </c>
      <c r="U8" s="40" t="str">
        <f ca="1">IFERROR(IF(AND(
  INDEX(Roadmap!$D:$K,MATCH($E8,Roadmap!$D:$D,0)+COUNTIF($E8:T8,"u")+COUNTIF($E8:T8,"t")+COUNTIF($E8:T8,"¶")+COUNTIF($E8:T8,"²")+COUNTIF($E8:T8,"µ")+COUNTIF($E8:T8,1),ColLivraison)=U$6,
  VLOOKUP($E8,INDIRECT("tri!"&amp; CHAR(64+ C0Col) &amp;":"&amp; CHAR(65+C0Col)),2,FALSE)&gt;COUNTIF($E8:T8,"u")+COUNTIF($E8:T8,"t")+COUNTIF($E8:T8,"¶")+COUNTIF($E8:T8,"²")+COUNTIF($E8:T8,"µ")+COUNTIF($E8:T8,1)),
HYPERLINK("#Roadmap!C"&amp; MATCH($E8,Roadmap!$D:$D,0)+COUNTIF($E8:T8,"u")+COUNTIF($E8:T8,"t"),
     INDEX(Roadmap!$D:$K,MATCH($E8,Roadmap!$D:$D,0)+COUNTIF($E8:T8,"u")+COUNTIF($E8:T8,"t")+COUNTIF($E8:T8,"¶")+COUNTIF($E8:T8,"²")+COUNTIF($E8:T8,"µ")+COUNTIF($E8:T8,1),ColTypeEcheance)),
  IF(LEN(T8)=1,
  IF(LEN(INDEX(Roadmap!$D:$K,MATCH($E8,Roadmap!$D:$D,0)-1+COUNTIF($E8:T8,"u")+COUNTIF($E8:T8,"t")+COUNTIF($E8:T8,"¶")+COUNTIF($E8:T8,"²")+COUNTIF($E8:T8,"µ")+COUNTIF($E8:T8,1),ColDescriptionCourte))&gt;1,
HYPERLINK("#Roadmap!C"&amp; MATCH($E8,Roadmap!$D:$D,0)+COUNTIF($E8:T8,"u")+COUNTIF($E8:T8,"t")+COUNTIF($E8:T8,"¶")+COUNTIF($E8:T8,"²")+COUNTIF($E8:T8,"µ")+COUNTIF($E8:T8,1)-1,INDEX(Roadmap!$D:$K,MATCH($E8,Roadmap!$D:$D,0)-1+COUNTIF($E8:T8,"u")+COUNTIF($E8:T8,"t")+COUNTIF($E8:T8,"¶")+COUNTIF($E8:T8,"²")+COUNTIF($E8:T8,"µ")+COUNTIF($E8:T8,1),ColDescriptionCourte)),""),
  "")),"")</f>
        <v/>
      </c>
      <c r="V8" s="40"/>
      <c r="W8" s="40"/>
      <c r="X8" s="40"/>
      <c r="Y8" s="40"/>
      <c r="Z8" s="40"/>
      <c r="AA8" s="40"/>
      <c r="AB8" s="40"/>
      <c r="AC8" s="40"/>
      <c r="AD8" s="17" t="str">
        <f ca="1">IFERROR(IF(AND(
  INDEX(Roadmap!$D:$K,MATCH($E8,Roadmap!$D:$D,0)+COUNTIF($E8:AC8,"u")+COUNTIF($E8:AC8,"t")+COUNTIF($E8:AC8,"¶")+COUNTIF($E8:AC8,"²")+COUNTIF($E8:AC8,"µ")+COUNTIF($E8:AC8,1),ColLivraison)=AD$6,
  VLOOKUP($E8,INDIRECT("tri!"&amp; CHAR(64+ C0Col) &amp;":"&amp; CHAR(65+C0Col)),2,FALSE)&gt;COUNTIF($E8:AC8,"u")+COUNTIF($E8:AC8,"t")+COUNTIF($E8:AC8,"¶")+COUNTIF($E8:AC8,"²")+COUNTIF($E8:AC8,"µ")+COUNTIF($E8:AC8,1)),
HYPERLINK("#Roadmap!C"&amp; MATCH($E8,Roadmap!$D:$D,0)+COUNTIF($E8:AC8,"u")+COUNTIF($E8:AC8,"t"),
     INDEX(Roadmap!$D:$K,MATCH($E8,Roadmap!$D:$D,0)+COUNTIF($E8:AC8,"u")+COUNTIF($E8:AC8,"t")+COUNTIF($E8:AC8,"¶")+COUNTIF($E8:AC8,"²")+COUNTIF($E8:AC8,"µ")+COUNTIF($E8:AC8,1),ColTypeEcheance)),
  IF(LEN(AC8)=1,
  IF(LEN(INDEX(Roadmap!$D:$K,MATCH($E8,Roadmap!$D:$D,0)-1+COUNTIF($E8:AC8,"u")+COUNTIF($E8:AC8,"t")+COUNTIF($E8:AC8,"¶")+COUNTIF($E8:AC8,"²")+COUNTIF($E8:AC8,"µ")+COUNTIF($E8:AC8,1),ColDescriptionCourte))&gt;1,
HYPERLINK("#Roadmap!C"&amp; MATCH($E8,Roadmap!$D:$D,0)+COUNTIF($E8:AC8,"u")+COUNTIF($E8:AC8,"t")+COUNTIF($E8:AC8,"¶")+COUNTIF($E8:AC8,"²")+COUNTIF($E8:AC8,"µ")+COUNTIF($E8:AC8,1)-1,INDEX(Roadmap!$D:$K,MATCH($E8,Roadmap!$D:$D,0)-1+COUNTIF($E8:AC8,"u")+COUNTIF($E8:AC8,"t")+COUNTIF($E8:AC8,"¶")+COUNTIF($E8:AC8,"²")+COUNTIF($E8:AC8,"µ")+COUNTIF($E8:AC8,1),ColDescriptionCourte)),""),
  "")),"")</f>
        <v/>
      </c>
      <c r="AE8" s="40" t="str">
        <f ca="1">IFERROR(IF(AND(
  INDEX(Roadmap!$D:$K,MATCH($E8,Roadmap!$D:$D,0)+COUNTIF($E8:AD8,"u")+COUNTIF($E8:AD8,"t")+COUNTIF($E8:AD8,"¶")+COUNTIF($E8:AD8,"²")+COUNTIF($E8:AD8,"µ")+COUNTIF($E8:AD8,1),ColLivraison)=AE$6,
  VLOOKUP($E8,INDIRECT("tri!"&amp; CHAR(64+ C0Col) &amp;":"&amp; CHAR(65+C0Col)),2,FALSE)&gt;COUNTIF($E8:AD8,"u")+COUNTIF($E8:AD8,"t")+COUNTIF($E8:AD8,"¶")+COUNTIF($E8:AD8,"²")+COUNTIF($E8:AD8,"µ")+COUNTIF($E8:AD8,1)),
HYPERLINK("#Roadmap!C"&amp; MATCH($E8,Roadmap!$D:$D,0)+COUNTIF($E8:AD8,"u")+COUNTIF($E8:AD8,"t"),
     INDEX(Roadmap!$D:$K,MATCH($E8,Roadmap!$D:$D,0)+COUNTIF($E8:AD8,"u")+COUNTIF($E8:AD8,"t")+COUNTIF($E8:AD8,"¶")+COUNTIF($E8:AD8,"²")+COUNTIF($E8:AD8,"µ")+COUNTIF($E8:AD8,1),ColTypeEcheance)),
  IF(LEN(AD8)=1,
  IF(LEN(INDEX(Roadmap!$D:$K,MATCH($E8,Roadmap!$D:$D,0)-1+COUNTIF($E8:AD8,"u")+COUNTIF($E8:AD8,"t")+COUNTIF($E8:AD8,"¶")+COUNTIF($E8:AD8,"²")+COUNTIF($E8:AD8,"µ")+COUNTIF($E8:AD8,1),ColDescriptionCourte))&gt;1,
HYPERLINK("#Roadmap!C"&amp; MATCH($E8,Roadmap!$D:$D,0)+COUNTIF($E8:AD8,"u")+COUNTIF($E8:AD8,"t")+COUNTIF($E8:AD8,"¶")+COUNTIF($E8:AD8,"²")+COUNTIF($E8:AD8,"µ")+COUNTIF($E8:AD8,1)-1,INDEX(Roadmap!$D:$K,MATCH($E8,Roadmap!$D:$D,0)-1+COUNTIF($E8:AD8,"u")+COUNTIF($E8:AD8,"t")+COUNTIF($E8:AD8,"¶")+COUNTIF($E8:AD8,"²")+COUNTIF($E8:AD8,"µ")+COUNTIF($E8:AD8,1),ColDescriptionCourte)),""),
  "")),"")</f>
        <v/>
      </c>
      <c r="AF8" s="40"/>
      <c r="AG8" s="40"/>
      <c r="AH8" s="23" t="str">
        <f ca="1">IFERROR(IF(AND(
  INDEX(Roadmap!$D:$K,MATCH($E8,Roadmap!$D:$D,0)+COUNTIF($E8:AG8,"u")+COUNTIF($E8:AG8,"t")+COUNTIF($E8:AG8,1),ColLivraison)=AH$6,
  VLOOKUP($E8,INDIRECT("tri!"&amp; CHAR(64+ C0Col) &amp;":"&amp; CHAR(65+C0Col)),2,FALSE)&gt;COUNTIF($E8:AG8,"u")+COUNTIF($E8:AG8,"t")+COUNTIF($E8:AG8,1)),
HYPERLINK("#Roadmap!C"&amp; MATCH($E8,Roadmap!$D:$D,0)+COUNTIF($E8:AG8,"u")+COUNTIF($E8:AG8,"t"),
     INDEX(Roadmap!$D:$K,MATCH($E8,Roadmap!$D:$D,0)+COUNTIF($E8:AG8,"u")+COUNTIF($E8:AG8,"t")+COUNTIF($E8:AG8,1),ColTypeEcheance)),
  IF(OR(AG8="u",AG8="t",AG8=1),
  IF(LEN(INDEX(Roadmap!$D:$K,MATCH($E8,Roadmap!$D:$D,0)-1+COUNTIF($E8:AG8,"u")+COUNTIF($E8:AG8,"t")+COUNTIF($E8:AG8,1),ColDescriptionCourte))&gt;1,
HYPERLINK("#Roadmap!C"&amp; MATCH($E8,Roadmap!$D:$D,0)+COUNTIF($E8:AG8,"u")+COUNTIF($E8:AG8,"t")+COUNTIF($E8:AG8,1)-1,INDEX(Roadmap!$D:$K,MATCH($E8,Roadmap!$D:$D,0)-1+COUNTIF($E8:AG8,"u")+COUNTIF($E8:AG8,"t")+COUNTIF($E8:AG8,1),ColDescriptionCourte)),""),
  "")),"")</f>
        <v/>
      </c>
      <c r="AI8" s="23"/>
      <c r="AJ8" s="23"/>
      <c r="AK8" s="23"/>
      <c r="AL8" s="23"/>
      <c r="AM8" s="23"/>
    </row>
    <row r="9" spans="4:39" s="21" customFormat="1" ht="15.95" customHeight="1">
      <c r="D9" s="20" t="str">
        <f t="shared" ca="1" si="26"/>
        <v/>
      </c>
      <c r="E9" s="53" t="str">
        <f t="shared" ca="1" si="19"/>
        <v>Projet B</v>
      </c>
      <c r="F9" s="39"/>
      <c r="G9" s="40"/>
      <c r="H9" s="40"/>
      <c r="I9" s="40"/>
      <c r="J9" s="40"/>
      <c r="K9" s="40"/>
      <c r="L9" s="39"/>
      <c r="M9" s="40"/>
      <c r="N9" s="17" t="str">
        <f ca="1">IFERROR(IF(AND(
  INDEX(Roadmap!$D:$K,MATCH($E9,Roadmap!$D:$D,0)+COUNTIF($E9:M9,"u")+COUNTIF($E9:M9,"t")+COUNTIF($E9:M9,"¶")+COUNTIF($E9:M9,"²")+COUNTIF($E9:M9,"µ")+COUNTIF($E9:M9,1),ColLivraison)=N$6,
  VLOOKUP($E9,INDIRECT("tri!"&amp; CHAR(64+ C0Col) &amp;":"&amp; CHAR(65+C0Col)),2,FALSE)&gt;COUNTIF($E9:M9,"u")+COUNTIF($E9:M9,"t")+COUNTIF($E9:M9,"¶")+COUNTIF($E9:M9,"²")+COUNTIF($E9:M9,"µ")+COUNTIF($E9:M9,1)),
HYPERLINK("#Roadmap!C"&amp; MATCH($E9,Roadmap!$D:$D,0)+COUNTIF($E9:M9,"u")+COUNTIF($E9:M9,"t"),
     INDEX(Roadmap!$D:$K,MATCH($E9,Roadmap!$D:$D,0)+COUNTIF($E9:M9,"u")+COUNTIF($E9:M9,"t")+COUNTIF($E9:M9,"¶")+COUNTIF($E9:M9,"²")+COUNTIF($E9:M9,"µ")+COUNTIF($E9:M9,1),ColTypeEcheance)),
  IF(LEN(M9)=1,
  IF(LEN(INDEX(Roadmap!$D:$K,MATCH($E9,Roadmap!$D:$D,0)-1+COUNTIF($E9:M9,"u")+COUNTIF($E9:M9,"t")+COUNTIF($E9:M9,"¶")+COUNTIF($E9:M9,"²")+COUNTIF($E9:M9,"µ")+COUNTIF($E9:M9,1),ColDescriptionCourte))&gt;1,
HYPERLINK("#Roadmap!C"&amp; MATCH($E9,Roadmap!$D:$D,0)+COUNTIF($E9:M9,"u")+COUNTIF($E9:M9,"t")+COUNTIF($E9:M9,"¶")+COUNTIF($E9:M9,"²")+COUNTIF($E9:M9,"µ")+COUNTIF($E9:M9,1)-1,INDEX(Roadmap!$D:$K,MATCH($E9,Roadmap!$D:$D,0)-1+COUNTIF($E9:M9,"u")+COUNTIF($E9:M9,"t")+COUNTIF($E9:M9,"¶")+COUNTIF($E9:M9,"²")+COUNTIF($E9:M9,"µ")+COUNTIF($E9:M9,1),ColDescriptionCourte)),""),
  "")),"")</f>
        <v/>
      </c>
      <c r="O9" s="40" t="str">
        <f ca="1">IFERROR(IF(AND(
  INDEX(Roadmap!$D:$K,MATCH($E9,Roadmap!$D:$D,0)+COUNTIF($E9:N9,"u")+COUNTIF($E9:N9,"t")+COUNTIF($E9:N9,"¶")+COUNTIF($E9:N9,"²")+COUNTIF($E9:N9,"µ")+COUNTIF($E9:N9,1),ColLivraison)=O$6,
  VLOOKUP($E9,INDIRECT("tri!"&amp; CHAR(64+ C0Col) &amp;":"&amp; CHAR(65+C0Col)),2,FALSE)&gt;COUNTIF($E9:N9,"u")+COUNTIF($E9:N9,"t")+COUNTIF($E9:N9,"¶")+COUNTIF($E9:N9,"²")+COUNTIF($E9:N9,"µ")+COUNTIF($E9:N9,1)),
HYPERLINK("#Roadmap!C"&amp; MATCH($E9,Roadmap!$D:$D,0)+COUNTIF($E9:N9,"u")+COUNTIF($E9:N9,"t"),
     INDEX(Roadmap!$D:$K,MATCH($E9,Roadmap!$D:$D,0)+COUNTIF($E9:N9,"u")+COUNTIF($E9:N9,"t")+COUNTIF($E9:N9,"¶")+COUNTIF($E9:N9,"²")+COUNTIF($E9:N9,"µ")+COUNTIF($E9:N9,1),ColTypeEcheance)),
  IF(LEN(N9)=1,
  IF(LEN(INDEX(Roadmap!$D:$K,MATCH($E9,Roadmap!$D:$D,0)-1+COUNTIF($E9:N9,"u")+COUNTIF($E9:N9,"t")+COUNTIF($E9:N9,"¶")+COUNTIF($E9:N9,"²")+COUNTIF($E9:N9,"µ")+COUNTIF($E9:N9,1),ColDescriptionCourte))&gt;1,
HYPERLINK("#Roadmap!C"&amp; MATCH($E9,Roadmap!$D:$D,0)+COUNTIF($E9:N9,"u")+COUNTIF($E9:N9,"t")+COUNTIF($E9:N9,"¶")+COUNTIF($E9:N9,"²")+COUNTIF($E9:N9,"µ")+COUNTIF($E9:N9,1)-1,INDEX(Roadmap!$D:$K,MATCH($E9,Roadmap!$D:$D,0)-1+COUNTIF($E9:N9,"u")+COUNTIF($E9:N9,"t")+COUNTIF($E9:N9,"¶")+COUNTIF($E9:N9,"²")+COUNTIF($E9:N9,"µ")+COUNTIF($E9:N9,1),ColDescriptionCourte)),""),
  "")),"")</f>
        <v/>
      </c>
      <c r="P9" s="40"/>
      <c r="Q9" s="40"/>
      <c r="R9" s="40"/>
      <c r="S9" s="40"/>
      <c r="T9" s="40"/>
      <c r="U9" s="40"/>
      <c r="V9" s="40"/>
      <c r="W9" s="40"/>
      <c r="X9" s="40"/>
      <c r="Y9" s="40"/>
      <c r="Z9" s="40"/>
      <c r="AA9" s="40"/>
      <c r="AB9" s="40"/>
      <c r="AC9" s="40"/>
      <c r="AD9" s="40"/>
      <c r="AE9" s="40"/>
      <c r="AF9" s="40"/>
      <c r="AG9" s="40"/>
      <c r="AH9" s="23" t="str">
        <f ca="1">IFERROR(IF(AND(
  INDEX(Roadmap!$D:$K,MATCH($E9,Roadmap!$D:$D,0)+COUNTIF($E9:AG9,"u")+COUNTIF($E9:AG9,"t")+COUNTIF($E9:AG9,1),ColLivraison)=AH$6,
  VLOOKUP($E9,INDIRECT("tri!"&amp; CHAR(64+ C0Col) &amp;":"&amp; CHAR(65+C0Col)),2,FALSE)&gt;COUNTIF($E9:AG9,"u")+COUNTIF($E9:AG9,"t")+COUNTIF($E9:AG9,1)),
HYPERLINK("#Roadmap!C"&amp; MATCH($E9,Roadmap!$D:$D,0)+COUNTIF($E9:AG9,"u")+COUNTIF($E9:AG9,"t"),
     INDEX(Roadmap!$D:$K,MATCH($E9,Roadmap!$D:$D,0)+COUNTIF($E9:AG9,"u")+COUNTIF($E9:AG9,"t")+COUNTIF($E9:AG9,1),ColTypeEcheance)),
  IF(OR(AG9="u",AG9="t",AG9=1),
  IF(LEN(INDEX(Roadmap!$D:$K,MATCH($E9,Roadmap!$D:$D,0)-1+COUNTIF($E9:AG9,"u")+COUNTIF($E9:AG9,"t")+COUNTIF($E9:AG9,1),ColDescriptionCourte))&gt;1,
HYPERLINK("#Roadmap!C"&amp; MATCH($E9,Roadmap!$D:$D,0)+COUNTIF($E9:AG9,"u")+COUNTIF($E9:AG9,"t")+COUNTIF($E9:AG9,1)-1,INDEX(Roadmap!$D:$K,MATCH($E9,Roadmap!$D:$D,0)-1+COUNTIF($E9:AG9,"u")+COUNTIF($E9:AG9,"t")+COUNTIF($E9:AG9,1),ColDescriptionCourte)),""),
  "")),"")</f>
        <v/>
      </c>
      <c r="AI9" s="23"/>
      <c r="AJ9" s="23"/>
      <c r="AK9" s="23"/>
      <c r="AL9" s="23"/>
      <c r="AM9" s="23"/>
    </row>
    <row r="10" spans="4:39" s="21" customFormat="1" ht="15.95" customHeight="1">
      <c r="D10" s="20" t="str">
        <f t="shared" ca="1" si="26"/>
        <v>Domaine 8</v>
      </c>
      <c r="E10" s="53" t="str">
        <f t="shared" ca="1" si="19"/>
        <v/>
      </c>
      <c r="F10" s="39"/>
      <c r="G10" s="40"/>
      <c r="H10" s="40"/>
      <c r="I10" s="40"/>
      <c r="J10" s="40"/>
      <c r="K10" s="40"/>
      <c r="L10" s="39"/>
      <c r="M10" s="40"/>
      <c r="N10" s="40"/>
      <c r="O10" s="40"/>
      <c r="P10" s="40"/>
      <c r="Q10" s="17" t="str">
        <f ca="1">IFERROR(IF(AND(
  INDEX(Roadmap!$D:$K,MATCH($E10,Roadmap!$D:$D,0)+COUNTIF($E10:P10,"u")+COUNTIF($E10:P10,"t")+COUNTIF($E10:P10,"¶")+COUNTIF($E10:P10,"²")+COUNTIF($E10:P10,"µ")+COUNTIF($E10:P10,1),ColLivraison)=Q$6,
  VLOOKUP($E10,INDIRECT("tri!"&amp; CHAR(64+ C0Col) &amp;":"&amp; CHAR(65+C0Col)),2,FALSE)&gt;COUNTIF($E10:P10,"u")+COUNTIF($E10:P10,"t")+COUNTIF($E10:P10,"¶")+COUNTIF($E10:P10,"²")+COUNTIF($E10:P10,"µ")+COUNTIF($E10:P10,1)),
HYPERLINK("#Roadmap!C"&amp; MATCH($E10,Roadmap!$D:$D,0)+COUNTIF($E10:P10,"u")+COUNTIF($E10:P10,"t"),
     INDEX(Roadmap!$D:$K,MATCH($E10,Roadmap!$D:$D,0)+COUNTIF($E10:P10,"u")+COUNTIF($E10:P10,"t")+COUNTIF($E10:P10,"¶")+COUNTIF($E10:P10,"²")+COUNTIF($E10:P10,"µ")+COUNTIF($E10:P10,1),ColTypeEcheance)),
  IF(LEN(P10)=1,
  IF(LEN(INDEX(Roadmap!$D:$K,MATCH($E10,Roadmap!$D:$D,0)-1+COUNTIF($E10:P10,"u")+COUNTIF($E10:P10,"t")+COUNTIF($E10:P10,"¶")+COUNTIF($E10:P10,"²")+COUNTIF($E10:P10,"µ")+COUNTIF($E10:P10,1),ColDescriptionCourte))&gt;1,
HYPERLINK("#Roadmap!C"&amp; MATCH($E10,Roadmap!$D:$D,0)+COUNTIF($E10:P10,"u")+COUNTIF($E10:P10,"t")+COUNTIF($E10:P10,"¶")+COUNTIF($E10:P10,"²")+COUNTIF($E10:P10,"µ")+COUNTIF($E10:P10,1)-1,INDEX(Roadmap!$D:$K,MATCH($E10,Roadmap!$D:$D,0)-1+COUNTIF($E10:P10,"u")+COUNTIF($E10:P10,"t")+COUNTIF($E10:P10,"¶")+COUNTIF($E10:P10,"²")+COUNTIF($E10:P10,"µ")+COUNTIF($E10:P10,1),ColDescriptionCourte)),""),
  "")),"")</f>
        <v/>
      </c>
      <c r="R10" s="40" t="str">
        <f ca="1">IFERROR(IF(AND(
  INDEX(Roadmap!$D:$K,MATCH($E10,Roadmap!$D:$D,0)+COUNTIF($E10:Q10,"u")+COUNTIF($E10:Q10,"t")+COUNTIF($E10:Q10,"¶")+COUNTIF($E10:Q10,"²")+COUNTIF($E10:Q10,"µ")+COUNTIF($E10:Q10,1),ColLivraison)=R$6,
  VLOOKUP($E10,INDIRECT("tri!"&amp; CHAR(64+ C0Col) &amp;":"&amp; CHAR(65+C0Col)),2,FALSE)&gt;COUNTIF($E10:Q10,"u")+COUNTIF($E10:Q10,"t")+COUNTIF($E10:Q10,"¶")+COUNTIF($E10:Q10,"²")+COUNTIF($E10:Q10,"µ")+COUNTIF($E10:Q10,1)),
HYPERLINK("#Roadmap!C"&amp; MATCH($E10,Roadmap!$D:$D,0)+COUNTIF($E10:Q10,"u")+COUNTIF($E10:Q10,"t"),
     INDEX(Roadmap!$D:$K,MATCH($E10,Roadmap!$D:$D,0)+COUNTIF($E10:Q10,"u")+COUNTIF($E10:Q10,"t")+COUNTIF($E10:Q10,"¶")+COUNTIF($E10:Q10,"²")+COUNTIF($E10:Q10,"µ")+COUNTIF($E10:Q10,1),ColTypeEcheance)),
  IF(LEN(Q10)=1,
  IF(LEN(INDEX(Roadmap!$D:$K,MATCH($E10,Roadmap!$D:$D,0)-1+COUNTIF($E10:Q10,"u")+COUNTIF($E10:Q10,"t")+COUNTIF($E10:Q10,"¶")+COUNTIF($E10:Q10,"²")+COUNTIF($E10:Q10,"µ")+COUNTIF($E10:Q10,1),ColDescriptionCourte))&gt;1,
HYPERLINK("#Roadmap!C"&amp; MATCH($E10,Roadmap!$D:$D,0)+COUNTIF($E10:Q10,"u")+COUNTIF($E10:Q10,"t")+COUNTIF($E10:Q10,"¶")+COUNTIF($E10:Q10,"²")+COUNTIF($E10:Q10,"µ")+COUNTIF($E10:Q10,1)-1,INDEX(Roadmap!$D:$K,MATCH($E10,Roadmap!$D:$D,0)-1+COUNTIF($E10:Q10,"u")+COUNTIF($E10:Q10,"t")+COUNTIF($E10:Q10,"¶")+COUNTIF($E10:Q10,"²")+COUNTIF($E10:Q10,"µ")+COUNTIF($E10:Q10,1),ColDescriptionCourte)),""),
  "")),"")</f>
        <v/>
      </c>
      <c r="S10" s="40"/>
      <c r="T10" s="40"/>
      <c r="U10" s="40"/>
      <c r="V10" s="40"/>
      <c r="W10" s="40"/>
      <c r="X10" s="17" t="str">
        <f ca="1">IFERROR(IF(AND(
  INDEX(Roadmap!$D:$K,MATCH($E10,Roadmap!$D:$D,0)+COUNTIF($E10:W10,"u")+COUNTIF($E10:W10,"t")+COUNTIF($E10:W10,"¶")+COUNTIF($E10:W10,"²")+COUNTIF($E10:W10,"µ")+COUNTIF($E10:W10,1),ColLivraison)=X$6,
  VLOOKUP($E10,INDIRECT("tri!"&amp; CHAR(64+ C0Col) &amp;":"&amp; CHAR(65+C0Col)),2,FALSE)&gt;COUNTIF($E10:W10,"u")+COUNTIF($E10:W10,"t")+COUNTIF($E10:W10,"¶")+COUNTIF($E10:W10,"²")+COUNTIF($E10:W10,"µ")+COUNTIF($E10:W10,1)),
HYPERLINK("#Roadmap!C"&amp; MATCH($E10,Roadmap!$D:$D,0)+COUNTIF($E10:W10,"u")+COUNTIF($E10:W10,"t"),
     INDEX(Roadmap!$D:$K,MATCH($E10,Roadmap!$D:$D,0)+COUNTIF($E10:W10,"u")+COUNTIF($E10:W10,"t")+COUNTIF($E10:W10,"¶")+COUNTIF($E10:W10,"²")+COUNTIF($E10:W10,"µ")+COUNTIF($E10:W10,1),ColTypeEcheance)),
  IF(LEN(W10)=1,
  IF(LEN(INDEX(Roadmap!$D:$K,MATCH($E10,Roadmap!$D:$D,0)-1+COUNTIF($E10:W10,"u")+COUNTIF($E10:W10,"t")+COUNTIF($E10:W10,"¶")+COUNTIF($E10:W10,"²")+COUNTIF($E10:W10,"µ")+COUNTIF($E10:W10,1),ColDescriptionCourte))&gt;1,
HYPERLINK("#Roadmap!C"&amp; MATCH($E10,Roadmap!$D:$D,0)+COUNTIF($E10:W10,"u")+COUNTIF($E10:W10,"t")+COUNTIF($E10:W10,"¶")+COUNTIF($E10:W10,"²")+COUNTIF($E10:W10,"µ")+COUNTIF($E10:W10,1)-1,INDEX(Roadmap!$D:$K,MATCH($E10,Roadmap!$D:$D,0)-1+COUNTIF($E10:W10,"u")+COUNTIF($E10:W10,"t")+COUNTIF($E10:W10,"¶")+COUNTIF($E10:W10,"²")+COUNTIF($E10:W10,"µ")+COUNTIF($E10:W10,1),ColDescriptionCourte)),""),
  "")),"")</f>
        <v/>
      </c>
      <c r="Y10" s="40" t="str">
        <f ca="1">IFERROR(IF(AND(
  INDEX(Roadmap!$D:$K,MATCH($E10,Roadmap!$D:$D,0)+COUNTIF($E10:X10,"u")+COUNTIF($E10:X10,"t")+COUNTIF($E10:X10,"¶")+COUNTIF($E10:X10,"²")+COUNTIF($E10:X10,"µ")+COUNTIF($E10:X10,1),ColLivraison)=Y$6,
  VLOOKUP($E10,INDIRECT("tri!"&amp; CHAR(64+ C0Col) &amp;":"&amp; CHAR(65+C0Col)),2,FALSE)&gt;COUNTIF($E10:X10,"u")+COUNTIF($E10:X10,"t")+COUNTIF($E10:X10,"¶")+COUNTIF($E10:X10,"²")+COUNTIF($E10:X10,"µ")+COUNTIF($E10:X10,1)),
HYPERLINK("#Roadmap!C"&amp; MATCH($E10,Roadmap!$D:$D,0)+COUNTIF($E10:X10,"u")+COUNTIF($E10:X10,"t"),
     INDEX(Roadmap!$D:$K,MATCH($E10,Roadmap!$D:$D,0)+COUNTIF($E10:X10,"u")+COUNTIF($E10:X10,"t")+COUNTIF($E10:X10,"¶")+COUNTIF($E10:X10,"²")+COUNTIF($E10:X10,"µ")+COUNTIF($E10:X10,1),ColTypeEcheance)),
  IF(LEN(X10)=1,
  IF(LEN(INDEX(Roadmap!$D:$K,MATCH($E10,Roadmap!$D:$D,0)-1+COUNTIF($E10:X10,"u")+COUNTIF($E10:X10,"t")+COUNTIF($E10:X10,"¶")+COUNTIF($E10:X10,"²")+COUNTIF($E10:X10,"µ")+COUNTIF($E10:X10,1),ColDescriptionCourte))&gt;1,
HYPERLINK("#Roadmap!C"&amp; MATCH($E10,Roadmap!$D:$D,0)+COUNTIF($E10:X10,"u")+COUNTIF($E10:X10,"t")+COUNTIF($E10:X10,"¶")+COUNTIF($E10:X10,"²")+COUNTIF($E10:X10,"µ")+COUNTIF($E10:X10,1)-1,INDEX(Roadmap!$D:$K,MATCH($E10,Roadmap!$D:$D,0)-1+COUNTIF($E10:X10,"u")+COUNTIF($E10:X10,"t")+COUNTIF($E10:X10,"¶")+COUNTIF($E10:X10,"²")+COUNTIF($E10:X10,"µ")+COUNTIF($E10:X10,1),ColDescriptionCourte)),""),
  "")),"")</f>
        <v/>
      </c>
      <c r="Z10" s="40"/>
      <c r="AA10" s="40"/>
      <c r="AB10" s="40"/>
      <c r="AC10" s="40"/>
      <c r="AD10" s="40"/>
      <c r="AE10" s="40"/>
      <c r="AF10" s="40"/>
      <c r="AG10" s="40"/>
      <c r="AH10" s="23" t="str">
        <f ca="1">IFERROR(IF(AND(
  INDEX(Roadmap!$D:$K,MATCH($E10,Roadmap!$D:$D,0)+COUNTIF($E10:AG10,"u")+COUNTIF($E10:AG10,"t")+COUNTIF($E10:AG10,1),ColLivraison)=AH$6,
  VLOOKUP($E10,INDIRECT("tri!"&amp; CHAR(64+ C0Col) &amp;":"&amp; CHAR(65+C0Col)),2,FALSE)&gt;COUNTIF($E10:AG10,"u")+COUNTIF($E10:AG10,"t")+COUNTIF($E10:AG10,1)),
HYPERLINK("#Roadmap!C"&amp; MATCH($E10,Roadmap!$D:$D,0)+COUNTIF($E10:AG10,"u")+COUNTIF($E10:AG10,"t"),
     INDEX(Roadmap!$D:$K,MATCH($E10,Roadmap!$D:$D,0)+COUNTIF($E10:AG10,"u")+COUNTIF($E10:AG10,"t")+COUNTIF($E10:AG10,1),ColTypeEcheance)),
  IF(OR(AG10="u",AG10="t",AG10=1),
  IF(LEN(INDEX(Roadmap!$D:$K,MATCH($E10,Roadmap!$D:$D,0)-1+COUNTIF($E10:AG10,"u")+COUNTIF($E10:AG10,"t")+COUNTIF($E10:AG10,1),ColDescriptionCourte))&gt;1,
HYPERLINK("#Roadmap!C"&amp; MATCH($E10,Roadmap!$D:$D,0)+COUNTIF($E10:AG10,"u")+COUNTIF($E10:AG10,"t")+COUNTIF($E10:AG10,1)-1,INDEX(Roadmap!$D:$K,MATCH($E10,Roadmap!$D:$D,0)-1+COUNTIF($E10:AG10,"u")+COUNTIF($E10:AG10,"t")+COUNTIF($E10:AG10,1),ColDescriptionCourte)),""),
  "")),"")</f>
        <v/>
      </c>
      <c r="AI10" s="23"/>
      <c r="AJ10" s="23"/>
      <c r="AK10" s="23"/>
      <c r="AL10" s="23"/>
      <c r="AM10" s="23"/>
    </row>
    <row r="11" spans="4:39" s="21" customFormat="1" ht="15.95" customHeight="1">
      <c r="D11" s="20" t="str">
        <f t="shared" ca="1" si="26"/>
        <v/>
      </c>
      <c r="E11" s="53" t="str">
        <f t="shared" ca="1" si="19"/>
        <v>Projet BL</v>
      </c>
      <c r="F11" s="39"/>
      <c r="G11" s="40"/>
      <c r="H11" s="40"/>
      <c r="I11" s="40"/>
      <c r="J11" s="40"/>
      <c r="K11" s="40"/>
      <c r="L11" s="39"/>
      <c r="M11" s="40"/>
      <c r="N11" s="40"/>
      <c r="O11" s="40"/>
      <c r="P11" s="40"/>
      <c r="Q11" s="40"/>
      <c r="R11" s="40"/>
      <c r="S11" s="40"/>
      <c r="T11" s="40"/>
      <c r="U11" s="40"/>
      <c r="V11" s="40"/>
      <c r="W11" s="40"/>
      <c r="X11" s="17" t="str">
        <f ca="1">IFERROR(IF(AND(
  INDEX(Roadmap!$D:$K,MATCH($E11,Roadmap!$D:$D,0)+COUNTIF($E11:W11,"u")+COUNTIF($E11:W11,"t")+COUNTIF($E11:W11,"¶")+COUNTIF($E11:W11,"²")+COUNTIF($E11:W11,"µ")+COUNTIF($E11:W11,1),ColLivraison)=X$6,
  VLOOKUP($E11,INDIRECT("tri!"&amp; CHAR(64+ C0Col) &amp;":"&amp; CHAR(65+C0Col)),2,FALSE)&gt;COUNTIF($E11:W11,"u")+COUNTIF($E11:W11,"t")+COUNTIF($E11:W11,"¶")+COUNTIF($E11:W11,"²")+COUNTIF($E11:W11,"µ")+COUNTIF($E11:W11,1)),
HYPERLINK("#Roadmap!C"&amp; MATCH($E11,Roadmap!$D:$D,0)+COUNTIF($E11:W11,"u")+COUNTIF($E11:W11,"t"),
     INDEX(Roadmap!$D:$K,MATCH($E11,Roadmap!$D:$D,0)+COUNTIF($E11:W11,"u")+COUNTIF($E11:W11,"t")+COUNTIF($E11:W11,"¶")+COUNTIF($E11:W11,"²")+COUNTIF($E11:W11,"µ")+COUNTIF($E11:W11,1),ColTypeEcheance)),
  IF(LEN(W11)=1,
  IF(LEN(INDEX(Roadmap!$D:$K,MATCH($E11,Roadmap!$D:$D,0)-1+COUNTIF($E11:W11,"u")+COUNTIF($E11:W11,"t")+COUNTIF($E11:W11,"¶")+COUNTIF($E11:W11,"²")+COUNTIF($E11:W11,"µ")+COUNTIF($E11:W11,1),ColDescriptionCourte))&gt;1,
HYPERLINK("#Roadmap!C"&amp; MATCH($E11,Roadmap!$D:$D,0)+COUNTIF($E11:W11,"u")+COUNTIF($E11:W11,"t")+COUNTIF($E11:W11,"¶")+COUNTIF($E11:W11,"²")+COUNTIF($E11:W11,"µ")+COUNTIF($E11:W11,1)-1,INDEX(Roadmap!$D:$K,MATCH($E11,Roadmap!$D:$D,0)-1+COUNTIF($E11:W11,"u")+COUNTIF($E11:W11,"t")+COUNTIF($E11:W11,"¶")+COUNTIF($E11:W11,"²")+COUNTIF($E11:W11,"µ")+COUNTIF($E11:W11,1),ColDescriptionCourte)),""),
  "")),"")</f>
        <v/>
      </c>
      <c r="Y11" s="40" t="str">
        <f ca="1">IFERROR(IF(AND(
  INDEX(Roadmap!$D:$K,MATCH($E11,Roadmap!$D:$D,0)+COUNTIF($E11:X11,"u")+COUNTIF($E11:X11,"t")+COUNTIF($E11:X11,"¶")+COUNTIF($E11:X11,"²")+COUNTIF($E11:X11,"µ")+COUNTIF($E11:X11,1),ColLivraison)=Y$6,
  VLOOKUP($E11,INDIRECT("tri!"&amp; CHAR(64+ C0Col) &amp;":"&amp; CHAR(65+C0Col)),2,FALSE)&gt;COUNTIF($E11:X11,"u")+COUNTIF($E11:X11,"t")+COUNTIF($E11:X11,"¶")+COUNTIF($E11:X11,"²")+COUNTIF($E11:X11,"µ")+COUNTIF($E11:X11,1)),
HYPERLINK("#Roadmap!C"&amp; MATCH($E11,Roadmap!$D:$D,0)+COUNTIF($E11:X11,"u")+COUNTIF($E11:X11,"t"),
     INDEX(Roadmap!$D:$K,MATCH($E11,Roadmap!$D:$D,0)+COUNTIF($E11:X11,"u")+COUNTIF($E11:X11,"t")+COUNTIF($E11:X11,"¶")+COUNTIF($E11:X11,"²")+COUNTIF($E11:X11,"µ")+COUNTIF($E11:X11,1),ColTypeEcheance)),
  IF(LEN(X11)=1,
  IF(LEN(INDEX(Roadmap!$D:$K,MATCH($E11,Roadmap!$D:$D,0)-1+COUNTIF($E11:X11,"u")+COUNTIF($E11:X11,"t")+COUNTIF($E11:X11,"¶")+COUNTIF($E11:X11,"²")+COUNTIF($E11:X11,"µ")+COUNTIF($E11:X11,1),ColDescriptionCourte))&gt;1,
HYPERLINK("#Roadmap!C"&amp; MATCH($E11,Roadmap!$D:$D,0)+COUNTIF($E11:X11,"u")+COUNTIF($E11:X11,"t")+COUNTIF($E11:X11,"¶")+COUNTIF($E11:X11,"²")+COUNTIF($E11:X11,"µ")+COUNTIF($E11:X11,1)-1,INDEX(Roadmap!$D:$K,MATCH($E11,Roadmap!$D:$D,0)-1+COUNTIF($E11:X11,"u")+COUNTIF($E11:X11,"t")+COUNTIF($E11:X11,"¶")+COUNTIF($E11:X11,"²")+COUNTIF($E11:X11,"µ")+COUNTIF($E11:X11,1),ColDescriptionCourte)),""),
  "")),"")</f>
        <v/>
      </c>
      <c r="Z11" s="40"/>
      <c r="AA11" s="40"/>
      <c r="AB11" s="40"/>
      <c r="AC11" s="40"/>
      <c r="AD11" s="40"/>
      <c r="AE11" s="40"/>
      <c r="AF11" s="40"/>
      <c r="AG11" s="40"/>
      <c r="AH11" s="23" t="str">
        <f ca="1">IFERROR(IF(AND(
  INDEX(Roadmap!$D:$K,MATCH($E11,Roadmap!$D:$D,0)+COUNTIF($E11:AG11,"u")+COUNTIF($E11:AG11,"t")+COUNTIF($E11:AG11,1),ColLivraison)=AH$6,
  VLOOKUP($E11,INDIRECT("tri!"&amp; CHAR(64+ C0Col) &amp;":"&amp; CHAR(65+C0Col)),2,FALSE)&gt;COUNTIF($E11:AG11,"u")+COUNTIF($E11:AG11,"t")+COUNTIF($E11:AG11,1)),
HYPERLINK("#Roadmap!C"&amp; MATCH($E11,Roadmap!$D:$D,0)+COUNTIF($E11:AG11,"u")+COUNTIF($E11:AG11,"t"),
     INDEX(Roadmap!$D:$K,MATCH($E11,Roadmap!$D:$D,0)+COUNTIF($E11:AG11,"u")+COUNTIF($E11:AG11,"t")+COUNTIF($E11:AG11,1),ColTypeEcheance)),
  IF(OR(AG11="u",AG11="t",AG11=1),
  IF(LEN(INDEX(Roadmap!$D:$K,MATCH($E11,Roadmap!$D:$D,0)-1+COUNTIF($E11:AG11,"u")+COUNTIF($E11:AG11,"t")+COUNTIF($E11:AG11,1),ColDescriptionCourte))&gt;1,
HYPERLINK("#Roadmap!C"&amp; MATCH($E11,Roadmap!$D:$D,0)+COUNTIF($E11:AG11,"u")+COUNTIF($E11:AG11,"t")+COUNTIF($E11:AG11,1)-1,INDEX(Roadmap!$D:$K,MATCH($E11,Roadmap!$D:$D,0)-1+COUNTIF($E11:AG11,"u")+COUNTIF($E11:AG11,"t")+COUNTIF($E11:AG11,1),ColDescriptionCourte)),""),
  "")),"")</f>
        <v/>
      </c>
      <c r="AI11" s="23"/>
      <c r="AJ11" s="23"/>
      <c r="AK11" s="23"/>
      <c r="AL11" s="23"/>
      <c r="AM11" s="23"/>
    </row>
    <row r="12" spans="4:39" s="21" customFormat="1" ht="15.95" customHeight="1">
      <c r="D12" s="20" t="str">
        <f t="shared" ca="1" si="26"/>
        <v>Domaine 4</v>
      </c>
      <c r="E12" s="53" t="str">
        <f t="shared" ca="1" si="19"/>
        <v/>
      </c>
      <c r="F12" s="39"/>
      <c r="G12" s="40"/>
      <c r="H12" s="40"/>
      <c r="I12" s="40"/>
      <c r="J12" s="40"/>
      <c r="K12" s="40"/>
      <c r="L12" s="39"/>
      <c r="M12" s="17" t="str">
        <f ca="1">IFERROR(IF(AND(
  INDEX(Roadmap!$D:$K,MATCH($E12,Roadmap!$D:$D,0)+COUNTIF($E12:L12,"u")+COUNTIF($E12:L12,"t")+COUNTIF($E12:L12,"¶")+COUNTIF($E12:L12,"²")+COUNTIF($E12:L12,"µ")+COUNTIF($E12:L12,1),ColLivraison)=M$6,
  VLOOKUP($E12,INDIRECT("tri!"&amp; CHAR(64+ C0Col) &amp;":"&amp; CHAR(65+C0Col)),2,FALSE)&gt;COUNTIF($E12:L12,"u")+COUNTIF($E12:L12,"t")+COUNTIF($E12:L12,"¶")+COUNTIF($E12:L12,"²")+COUNTIF($E12:L12,"µ")+COUNTIF($E12:L12,1)),
HYPERLINK("#Roadmap!C"&amp; MATCH($E12,Roadmap!$D:$D,0)+COUNTIF($E12:L12,"u")+COUNTIF($E12:L12,"t"),
     INDEX(Roadmap!$D:$K,MATCH($E12,Roadmap!$D:$D,0)+COUNTIF($E12:L12,"u")+COUNTIF($E12:L12,"t")+COUNTIF($E12:L12,"¶")+COUNTIF($E12:L12,"²")+COUNTIF($E12:L12,"µ")+COUNTIF($E12:L12,1),ColTypeEcheance)),
  IF(LEN(L12)=1,
  IF(LEN(INDEX(Roadmap!$D:$K,MATCH($E12,Roadmap!$D:$D,0)-1+COUNTIF($E12:L12,"u")+COUNTIF($E12:L12,"t")+COUNTIF($E12:L12,"¶")+COUNTIF($E12:L12,"²")+COUNTIF($E12:L12,"µ")+COUNTIF($E12:L12,1),ColDescriptionCourte))&gt;1,
HYPERLINK("#Roadmap!C"&amp; MATCH($E12,Roadmap!$D:$D,0)+COUNTIF($E12:L12,"u")+COUNTIF($E12:L12,"t")+COUNTIF($E12:L12,"¶")+COUNTIF($E12:L12,"²")+COUNTIF($E12:L12,"µ")+COUNTIF($E12:L12,1)-1,INDEX(Roadmap!$D:$K,MATCH($E12,Roadmap!$D:$D,0)-1+COUNTIF($E12:L12,"u")+COUNTIF($E12:L12,"t")+COUNTIF($E12:L12,"¶")+COUNTIF($E12:L12,"²")+COUNTIF($E12:L12,"µ")+COUNTIF($E12:L12,1),ColDescriptionCourte)),""),
  "")),"")</f>
        <v/>
      </c>
      <c r="N12" s="40" t="str">
        <f ca="1">IFERROR(IF(AND(
  INDEX(Roadmap!$D:$K,MATCH($E12,Roadmap!$D:$D,0)+COUNTIF($E12:M12,"u")+COUNTIF($E12:M12,"t")+COUNTIF($E12:M12,"¶")+COUNTIF($E12:M12,"²")+COUNTIF($E12:M12,"µ")+COUNTIF($E12:M12,1),ColLivraison)=N$6,
  VLOOKUP($E12,INDIRECT("tri!"&amp; CHAR(64+ C0Col) &amp;":"&amp; CHAR(65+C0Col)),2,FALSE)&gt;COUNTIF($E12:M12,"u")+COUNTIF($E12:M12,"t")+COUNTIF($E12:M12,"¶")+COUNTIF($E12:M12,"²")+COUNTIF($E12:M12,"µ")+COUNTIF($E12:M12,1)),
HYPERLINK("#Roadmap!C"&amp; MATCH($E12,Roadmap!$D:$D,0)+COUNTIF($E12:M12,"u")+COUNTIF($E12:M12,"t"),
     INDEX(Roadmap!$D:$K,MATCH($E12,Roadmap!$D:$D,0)+COUNTIF($E12:M12,"u")+COUNTIF($E12:M12,"t")+COUNTIF($E12:M12,"¶")+COUNTIF($E12:M12,"²")+COUNTIF($E12:M12,"µ")+COUNTIF($E12:M12,1),ColTypeEcheance)),
  IF(LEN(M12)=1,
  IF(LEN(INDEX(Roadmap!$D:$K,MATCH($E12,Roadmap!$D:$D,0)-1+COUNTIF($E12:M12,"u")+COUNTIF($E12:M12,"t")+COUNTIF($E12:M12,"¶")+COUNTIF($E12:M12,"²")+COUNTIF($E12:M12,"µ")+COUNTIF($E12:M12,1),ColDescriptionCourte))&gt;1,
HYPERLINK("#Roadmap!C"&amp; MATCH($E12,Roadmap!$D:$D,0)+COUNTIF($E12:M12,"u")+COUNTIF($E12:M12,"t")+COUNTIF($E12:M12,"¶")+COUNTIF($E12:M12,"²")+COUNTIF($E12:M12,"µ")+COUNTIF($E12:M12,1)-1,INDEX(Roadmap!$D:$K,MATCH($E12,Roadmap!$D:$D,0)-1+COUNTIF($E12:M12,"u")+COUNTIF($E12:M12,"t")+COUNTIF($E12:M12,"¶")+COUNTIF($E12:M12,"²")+COUNTIF($E12:M12,"µ")+COUNTIF($E12:M12,1),ColDescriptionCourte)),""),
  "")),"")</f>
        <v/>
      </c>
      <c r="O12" s="40"/>
      <c r="P12" s="40"/>
      <c r="Q12" s="40"/>
      <c r="R12" s="40"/>
      <c r="S12" s="40"/>
      <c r="T12" s="40"/>
      <c r="U12" s="40"/>
      <c r="V12" s="40"/>
      <c r="W12" s="40"/>
      <c r="X12" s="40"/>
      <c r="Y12" s="40"/>
      <c r="Z12" s="40"/>
      <c r="AA12" s="40"/>
      <c r="AB12" s="40"/>
      <c r="AC12" s="40"/>
      <c r="AD12" s="40"/>
      <c r="AE12" s="40"/>
      <c r="AF12" s="40"/>
      <c r="AG12" s="40"/>
      <c r="AH12" s="23" t="str">
        <f ca="1">IFERROR(IF(AND(
  INDEX(Roadmap!$D:$K,MATCH($E12,Roadmap!$D:$D,0)+COUNTIF($E12:AG12,"u")+COUNTIF($E12:AG12,"t")+COUNTIF($E12:AG12,1),ColLivraison)=AH$6,
  VLOOKUP($E12,INDIRECT("tri!"&amp; CHAR(64+ C0Col) &amp;":"&amp; CHAR(65+C0Col)),2,FALSE)&gt;COUNTIF($E12:AG12,"u")+COUNTIF($E12:AG12,"t")+COUNTIF($E12:AG12,1)),
HYPERLINK("#Roadmap!C"&amp; MATCH($E12,Roadmap!$D:$D,0)+COUNTIF($E12:AG12,"u")+COUNTIF($E12:AG12,"t"),
     INDEX(Roadmap!$D:$K,MATCH($E12,Roadmap!$D:$D,0)+COUNTIF($E12:AG12,"u")+COUNTIF($E12:AG12,"t")+COUNTIF($E12:AG12,1),ColTypeEcheance)),
  IF(OR(AG12="u",AG12="t",AG12=1),
  IF(LEN(INDEX(Roadmap!$D:$K,MATCH($E12,Roadmap!$D:$D,0)-1+COUNTIF($E12:AG12,"u")+COUNTIF($E12:AG12,"t")+COUNTIF($E12:AG12,1),ColDescriptionCourte))&gt;1,
HYPERLINK("#Roadmap!C"&amp; MATCH($E12,Roadmap!$D:$D,0)+COUNTIF($E12:AG12,"u")+COUNTIF($E12:AG12,"t")+COUNTIF($E12:AG12,1)-1,INDEX(Roadmap!$D:$K,MATCH($E12,Roadmap!$D:$D,0)-1+COUNTIF($E12:AG12,"u")+COUNTIF($E12:AG12,"t")+COUNTIF($E12:AG12,1),ColDescriptionCourte)),""),
  "")),"")</f>
        <v/>
      </c>
      <c r="AI12" s="23"/>
      <c r="AJ12" s="23"/>
      <c r="AK12" s="23"/>
      <c r="AL12" s="23"/>
      <c r="AM12" s="23"/>
    </row>
    <row r="13" spans="4:39" s="21" customFormat="1" ht="15.95" customHeight="1">
      <c r="D13" s="20" t="str">
        <f t="shared" ca="1" si="26"/>
        <v/>
      </c>
      <c r="E13" s="53" t="str">
        <f t="shared" ca="1" si="19"/>
        <v>Projet AW</v>
      </c>
      <c r="F13" s="39"/>
      <c r="G13" s="40"/>
      <c r="H13" s="40"/>
      <c r="I13" s="40"/>
      <c r="J13" s="40"/>
      <c r="K13" s="40"/>
      <c r="L13" s="39"/>
      <c r="M13" s="40"/>
      <c r="N13" s="40"/>
      <c r="O13" s="40"/>
      <c r="P13" s="40"/>
      <c r="Q13" s="40"/>
      <c r="R13" s="40"/>
      <c r="S13" s="40"/>
      <c r="T13" s="40"/>
      <c r="U13" s="40"/>
      <c r="V13" s="40"/>
      <c r="W13" s="40"/>
      <c r="X13" s="17" t="str">
        <f ca="1">IFERROR(IF(AND(
  INDEX(Roadmap!$D:$K,MATCH($E13,Roadmap!$D:$D,0)+COUNTIF($E13:W13,"u")+COUNTIF($E13:W13,"t")+COUNTIF($E13:W13,"¶")+COUNTIF($E13:W13,"²")+COUNTIF($E13:W13,"µ")+COUNTIF($E13:W13,1),ColLivraison)=X$6,
  VLOOKUP($E13,INDIRECT("tri!"&amp; CHAR(64+ C0Col) &amp;":"&amp; CHAR(65+C0Col)),2,FALSE)&gt;COUNTIF($E13:W13,"u")+COUNTIF($E13:W13,"t")+COUNTIF($E13:W13,"¶")+COUNTIF($E13:W13,"²")+COUNTIF($E13:W13,"µ")+COUNTIF($E13:W13,1)),
HYPERLINK("#Roadmap!C"&amp; MATCH($E13,Roadmap!$D:$D,0)+COUNTIF($E13:W13,"u")+COUNTIF($E13:W13,"t"),
     INDEX(Roadmap!$D:$K,MATCH($E13,Roadmap!$D:$D,0)+COUNTIF($E13:W13,"u")+COUNTIF($E13:W13,"t")+COUNTIF($E13:W13,"¶")+COUNTIF($E13:W13,"²")+COUNTIF($E13:W13,"µ")+COUNTIF($E13:W13,1),ColTypeEcheance)),
  IF(LEN(W13)=1,
  IF(LEN(INDEX(Roadmap!$D:$K,MATCH($E13,Roadmap!$D:$D,0)-1+COUNTIF($E13:W13,"u")+COUNTIF($E13:W13,"t")+COUNTIF($E13:W13,"¶")+COUNTIF($E13:W13,"²")+COUNTIF($E13:W13,"µ")+COUNTIF($E13:W13,1),ColDescriptionCourte))&gt;1,
HYPERLINK("#Roadmap!C"&amp; MATCH($E13,Roadmap!$D:$D,0)+COUNTIF($E13:W13,"u")+COUNTIF($E13:W13,"t")+COUNTIF($E13:W13,"¶")+COUNTIF($E13:W13,"²")+COUNTIF($E13:W13,"µ")+COUNTIF($E13:W13,1)-1,INDEX(Roadmap!$D:$K,MATCH($E13,Roadmap!$D:$D,0)-1+COUNTIF($E13:W13,"u")+COUNTIF($E13:W13,"t")+COUNTIF($E13:W13,"¶")+COUNTIF($E13:W13,"²")+COUNTIF($E13:W13,"µ")+COUNTIF($E13:W13,1),ColDescriptionCourte)),""),
  "")),"")</f>
        <v/>
      </c>
      <c r="Y13" s="40" t="str">
        <f ca="1">IFERROR(IF(AND(
  INDEX(Roadmap!$D:$K,MATCH($E13,Roadmap!$D:$D,0)+COUNTIF($E13:X13,"u")+COUNTIF($E13:X13,"t")+COUNTIF($E13:X13,"¶")+COUNTIF($E13:X13,"²")+COUNTIF($E13:X13,"µ")+COUNTIF($E13:X13,1),ColLivraison)=Y$6,
  VLOOKUP($E13,INDIRECT("tri!"&amp; CHAR(64+ C0Col) &amp;":"&amp; CHAR(65+C0Col)),2,FALSE)&gt;COUNTIF($E13:X13,"u")+COUNTIF($E13:X13,"t")+COUNTIF($E13:X13,"¶")+COUNTIF($E13:X13,"²")+COUNTIF($E13:X13,"µ")+COUNTIF($E13:X13,1)),
HYPERLINK("#Roadmap!C"&amp; MATCH($E13,Roadmap!$D:$D,0)+COUNTIF($E13:X13,"u")+COUNTIF($E13:X13,"t"),
     INDEX(Roadmap!$D:$K,MATCH($E13,Roadmap!$D:$D,0)+COUNTIF($E13:X13,"u")+COUNTIF($E13:X13,"t")+COUNTIF($E13:X13,"¶")+COUNTIF($E13:X13,"²")+COUNTIF($E13:X13,"µ")+COUNTIF($E13:X13,1),ColTypeEcheance)),
  IF(LEN(X13)=1,
  IF(LEN(INDEX(Roadmap!$D:$K,MATCH($E13,Roadmap!$D:$D,0)-1+COUNTIF($E13:X13,"u")+COUNTIF($E13:X13,"t")+COUNTIF($E13:X13,"¶")+COUNTIF($E13:X13,"²")+COUNTIF($E13:X13,"µ")+COUNTIF($E13:X13,1),ColDescriptionCourte))&gt;1,
HYPERLINK("#Roadmap!C"&amp; MATCH($E13,Roadmap!$D:$D,0)+COUNTIF($E13:X13,"u")+COUNTIF($E13:X13,"t")+COUNTIF($E13:X13,"¶")+COUNTIF($E13:X13,"²")+COUNTIF($E13:X13,"µ")+COUNTIF($E13:X13,1)-1,INDEX(Roadmap!$D:$K,MATCH($E13,Roadmap!$D:$D,0)-1+COUNTIF($E13:X13,"u")+COUNTIF($E13:X13,"t")+COUNTIF($E13:X13,"¶")+COUNTIF($E13:X13,"²")+COUNTIF($E13:X13,"µ")+COUNTIF($E13:X13,1),ColDescriptionCourte)),""),
  "")),"")</f>
        <v/>
      </c>
      <c r="Z13" s="40"/>
      <c r="AA13" s="40"/>
      <c r="AB13" s="40"/>
      <c r="AC13" s="40"/>
      <c r="AD13" s="40"/>
      <c r="AE13" s="40"/>
      <c r="AF13" s="40"/>
      <c r="AG13" s="40"/>
      <c r="AH13" s="22" t="str">
        <f ca="1">IFERROR(IF(AND(
  INDEX(Roadmap!$D:$K,MATCH($E13,Roadmap!$D:$D,0)+COUNTIF($E13:AG13,"u")+COUNTIF($E13:AG13,"t")+COUNTIF($E13:AG13,1),ColLivraison)=AH$6,
  VLOOKUP($E13,INDIRECT("tri!"&amp; CHAR(64+ C0Col) &amp;":"&amp; CHAR(65+C0Col)),2,FALSE)&gt;COUNTIF($E13:AG13,"u")+COUNTIF($E13:AG13,"t")+COUNTIF($E13:AG13,1)),
HYPERLINK("#Roadmap!C"&amp; MATCH($E13,Roadmap!$D:$D,0)+COUNTIF($E13:AG13,"u")+COUNTIF($E13:AG13,"t"),
     INDEX(Roadmap!$D:$K,MATCH($E13,Roadmap!$D:$D,0)+COUNTIF($E13:AG13,"u")+COUNTIF($E13:AG13,"t")+COUNTIF($E13:AG13,1),ColTypeEcheance)),
  IF(OR(AG13="u",AG13="t",AG13=1),
  IF(LEN(INDEX(Roadmap!$D:$K,MATCH($E13,Roadmap!$D:$D,0)-1+COUNTIF($E13:AG13,"u")+COUNTIF($E13:AG13,"t")+COUNTIF($E13:AG13,1),ColDescriptionCourte))&gt;1,
HYPERLINK("#Roadmap!C"&amp; MATCH($E13,Roadmap!$D:$D,0)+COUNTIF($E13:AG13,"u")+COUNTIF($E13:AG13,"t")+COUNTIF($E13:AG13,1)-1,INDEX(Roadmap!$D:$K,MATCH($E13,Roadmap!$D:$D,0)-1+COUNTIF($E13:AG13,"u")+COUNTIF($E13:AG13,"t")+COUNTIF($E13:AG13,1),ColDescriptionCourte)),""),
  "")),"")</f>
        <v/>
      </c>
      <c r="AI13" s="23"/>
      <c r="AJ13" s="23"/>
      <c r="AK13" s="23"/>
      <c r="AL13" s="23"/>
      <c r="AM13" s="23"/>
    </row>
    <row r="14" spans="4:39" s="21" customFormat="1" ht="15.95" customHeight="1">
      <c r="D14" s="20" t="str">
        <f t="shared" ca="1" si="26"/>
        <v>Domaine 9</v>
      </c>
      <c r="E14" s="53" t="str">
        <f t="shared" ca="1" si="19"/>
        <v/>
      </c>
      <c r="F14" s="39"/>
      <c r="G14" s="40"/>
      <c r="H14" s="40"/>
      <c r="I14" s="40"/>
      <c r="J14" s="40"/>
      <c r="K14" s="40"/>
      <c r="L14" s="39"/>
      <c r="M14" s="40"/>
      <c r="N14" s="40"/>
      <c r="O14" s="40"/>
      <c r="P14" s="40"/>
      <c r="Q14" s="40"/>
      <c r="R14" s="40"/>
      <c r="S14" s="40"/>
      <c r="T14" s="40"/>
      <c r="U14" s="40"/>
      <c r="V14" s="40"/>
      <c r="W14" s="40"/>
      <c r="X14" s="40"/>
      <c r="Y14" s="40"/>
      <c r="Z14" s="40"/>
      <c r="AA14" s="40"/>
      <c r="AB14" s="40"/>
      <c r="AC14" s="40"/>
      <c r="AD14" s="17" t="str">
        <f ca="1">IFERROR(IF(AND(
  INDEX(Roadmap!$D:$K,MATCH($E14,Roadmap!$D:$D,0)+COUNTIF($E14:AC14,"u")+COUNTIF($E14:AC14,"t")+COUNTIF($E14:AC14,"¶")+COUNTIF($E14:AC14,"²")+COUNTIF($E14:AC14,"µ")+COUNTIF($E14:AC14,1),ColLivraison)=AD$6,
  VLOOKUP($E14,INDIRECT("tri!"&amp; CHAR(64+ C0Col) &amp;":"&amp; CHAR(65+C0Col)),2,FALSE)&gt;COUNTIF($E14:AC14,"u")+COUNTIF($E14:AC14,"t")+COUNTIF($E14:AC14,"¶")+COUNTIF($E14:AC14,"²")+COUNTIF($E14:AC14,"µ")+COUNTIF($E14:AC14,1)),
HYPERLINK("#Roadmap!C"&amp; MATCH($E14,Roadmap!$D:$D,0)+COUNTIF($E14:AC14,"u")+COUNTIF($E14:AC14,"t"),
     INDEX(Roadmap!$D:$K,MATCH($E14,Roadmap!$D:$D,0)+COUNTIF($E14:AC14,"u")+COUNTIF($E14:AC14,"t")+COUNTIF($E14:AC14,"¶")+COUNTIF($E14:AC14,"²")+COUNTIF($E14:AC14,"µ")+COUNTIF($E14:AC14,1),ColTypeEcheance)),
  IF(LEN(AC14)=1,
  IF(LEN(INDEX(Roadmap!$D:$K,MATCH($E14,Roadmap!$D:$D,0)-1+COUNTIF($E14:AC14,"u")+COUNTIF($E14:AC14,"t")+COUNTIF($E14:AC14,"¶")+COUNTIF($E14:AC14,"²")+COUNTIF($E14:AC14,"µ")+COUNTIF($E14:AC14,1),ColDescriptionCourte))&gt;1,
HYPERLINK("#Roadmap!C"&amp; MATCH($E14,Roadmap!$D:$D,0)+COUNTIF($E14:AC14,"u")+COUNTIF($E14:AC14,"t")+COUNTIF($E14:AC14,"¶")+COUNTIF($E14:AC14,"²")+COUNTIF($E14:AC14,"µ")+COUNTIF($E14:AC14,1)-1,INDEX(Roadmap!$D:$K,MATCH($E14,Roadmap!$D:$D,0)-1+COUNTIF($E14:AC14,"u")+COUNTIF($E14:AC14,"t")+COUNTIF($E14:AC14,"¶")+COUNTIF($E14:AC14,"²")+COUNTIF($E14:AC14,"µ")+COUNTIF($E14:AC14,1),ColDescriptionCourte)),""),
  "")),"")</f>
        <v/>
      </c>
      <c r="AE14" s="40" t="str">
        <f ca="1">IFERROR(IF(AND(
  INDEX(Roadmap!$D:$K,MATCH($E14,Roadmap!$D:$D,0)+COUNTIF($E14:AD14,"u")+COUNTIF($E14:AD14,"t")+COUNTIF($E14:AD14,"¶")+COUNTIF($E14:AD14,"²")+COUNTIF($E14:AD14,"µ")+COUNTIF($E14:AD14,1),ColLivraison)=AE$6,
  VLOOKUP($E14,INDIRECT("tri!"&amp; CHAR(64+ C0Col) &amp;":"&amp; CHAR(65+C0Col)),2,FALSE)&gt;COUNTIF($E14:AD14,"u")+COUNTIF($E14:AD14,"t")+COUNTIF($E14:AD14,"¶")+COUNTIF($E14:AD14,"²")+COUNTIF($E14:AD14,"µ")+COUNTIF($E14:AD14,1)),
HYPERLINK("#Roadmap!C"&amp; MATCH($E14,Roadmap!$D:$D,0)+COUNTIF($E14:AD14,"u")+COUNTIF($E14:AD14,"t"),
     INDEX(Roadmap!$D:$K,MATCH($E14,Roadmap!$D:$D,0)+COUNTIF($E14:AD14,"u")+COUNTIF($E14:AD14,"t")+COUNTIF($E14:AD14,"¶")+COUNTIF($E14:AD14,"²")+COUNTIF($E14:AD14,"µ")+COUNTIF($E14:AD14,1),ColTypeEcheance)),
  IF(LEN(AD14)=1,
  IF(LEN(INDEX(Roadmap!$D:$K,MATCH($E14,Roadmap!$D:$D,0)-1+COUNTIF($E14:AD14,"u")+COUNTIF($E14:AD14,"t")+COUNTIF($E14:AD14,"¶")+COUNTIF($E14:AD14,"²")+COUNTIF($E14:AD14,"µ")+COUNTIF($E14:AD14,1),ColDescriptionCourte))&gt;1,
HYPERLINK("#Roadmap!C"&amp; MATCH($E14,Roadmap!$D:$D,0)+COUNTIF($E14:AD14,"u")+COUNTIF($E14:AD14,"t")+COUNTIF($E14:AD14,"¶")+COUNTIF($E14:AD14,"²")+COUNTIF($E14:AD14,"µ")+COUNTIF($E14:AD14,1)-1,INDEX(Roadmap!$D:$K,MATCH($E14,Roadmap!$D:$D,0)-1+COUNTIF($E14:AD14,"u")+COUNTIF($E14:AD14,"t")+COUNTIF($E14:AD14,"¶")+COUNTIF($E14:AD14,"²")+COUNTIF($E14:AD14,"µ")+COUNTIF($E14:AD14,1),ColDescriptionCourte)),""),
  "")),"")</f>
        <v/>
      </c>
      <c r="AF14" s="40"/>
      <c r="AG14" s="40"/>
      <c r="AH14" s="23" t="str">
        <f ca="1">IFERROR(IF(AND(
  INDEX(Roadmap!$D:$K,MATCH($E14,Roadmap!$D:$D,0)+COUNTIF($E14:AG14,"u")+COUNTIF($E14:AG14,"t")+COUNTIF($E14:AG14,1),ColLivraison)=AH$6,
  VLOOKUP($E14,INDIRECT("tri!"&amp; CHAR(64+ C0Col) &amp;":"&amp; CHAR(65+C0Col)),2,FALSE)&gt;COUNTIF($E14:AG14,"u")+COUNTIF($E14:AG14,"t")+COUNTIF($E14:AG14,1)),
HYPERLINK("#Roadmap!C"&amp; MATCH($E14,Roadmap!$D:$D,0)+COUNTIF($E14:AG14,"u")+COUNTIF($E14:AG14,"t"),
     INDEX(Roadmap!$D:$K,MATCH($E14,Roadmap!$D:$D,0)+COUNTIF($E14:AG14,"u")+COUNTIF($E14:AG14,"t")+COUNTIF($E14:AG14,1),ColTypeEcheance)),
  IF(OR(AG14="u",AG14="t",AG14=1),
  IF(LEN(INDEX(Roadmap!$D:$K,MATCH($E14,Roadmap!$D:$D,0)-1+COUNTIF($E14:AG14,"u")+COUNTIF($E14:AG14,"t")+COUNTIF($E14:AG14,1),ColDescriptionCourte))&gt;1,
HYPERLINK("#Roadmap!C"&amp; MATCH($E14,Roadmap!$D:$D,0)+COUNTIF($E14:AG14,"u")+COUNTIF($E14:AG14,"t")+COUNTIF($E14:AG14,1)-1,INDEX(Roadmap!$D:$K,MATCH($E14,Roadmap!$D:$D,0)-1+COUNTIF($E14:AG14,"u")+COUNTIF($E14:AG14,"t")+COUNTIF($E14:AG14,1),ColDescriptionCourte)),""),
  "")),"")</f>
        <v/>
      </c>
      <c r="AI14" s="23"/>
      <c r="AJ14" s="22"/>
      <c r="AK14" s="23"/>
      <c r="AL14" s="23"/>
      <c r="AM14" s="23"/>
    </row>
    <row r="15" spans="4:39" s="21" customFormat="1" ht="15.95" customHeight="1">
      <c r="D15" s="20" t="str">
        <f t="shared" ca="1" si="26"/>
        <v/>
      </c>
      <c r="E15" s="53" t="str">
        <f t="shared" ca="1" si="19"/>
        <v>Projet BN</v>
      </c>
      <c r="F15" s="39"/>
      <c r="G15" s="40"/>
      <c r="H15" s="40"/>
      <c r="I15" s="40"/>
      <c r="J15" s="40"/>
      <c r="K15" s="40"/>
      <c r="L15" s="39"/>
      <c r="M15" s="40"/>
      <c r="N15" s="40"/>
      <c r="O15" s="40"/>
      <c r="P15" s="40"/>
      <c r="Q15" s="40"/>
      <c r="R15" s="40"/>
      <c r="S15" s="40"/>
      <c r="T15" s="40"/>
      <c r="U15" s="40"/>
      <c r="V15" s="40"/>
      <c r="W15" s="40"/>
      <c r="X15" s="40"/>
      <c r="Y15" s="40"/>
      <c r="Z15" s="40"/>
      <c r="AA15" s="40"/>
      <c r="AB15" s="40"/>
      <c r="AC15" s="40"/>
      <c r="AD15" s="17" t="str">
        <f ca="1">IFERROR(IF(AND(
  INDEX(Roadmap!$D:$K,MATCH($E15,Roadmap!$D:$D,0)+COUNTIF($E15:AC15,"u")+COUNTIF($E15:AC15,"t")+COUNTIF($E15:AC15,"¶")+COUNTIF($E15:AC15,"²")+COUNTIF($E15:AC15,"µ")+COUNTIF($E15:AC15,1),ColLivraison)=AD$6,
  VLOOKUP($E15,INDIRECT("tri!"&amp; CHAR(64+ C0Col) &amp;":"&amp; CHAR(65+C0Col)),2,FALSE)&gt;COUNTIF($E15:AC15,"u")+COUNTIF($E15:AC15,"t")+COUNTIF($E15:AC15,"¶")+COUNTIF($E15:AC15,"²")+COUNTIF($E15:AC15,"µ")+COUNTIF($E15:AC15,1)),
HYPERLINK("#Roadmap!C"&amp; MATCH($E15,Roadmap!$D:$D,0)+COUNTIF($E15:AC15,"u")+COUNTIF($E15:AC15,"t"),
     INDEX(Roadmap!$D:$K,MATCH($E15,Roadmap!$D:$D,0)+COUNTIF($E15:AC15,"u")+COUNTIF($E15:AC15,"t")+COUNTIF($E15:AC15,"¶")+COUNTIF($E15:AC15,"²")+COUNTIF($E15:AC15,"µ")+COUNTIF($E15:AC15,1),ColTypeEcheance)),
  IF(LEN(AC15)=1,
  IF(LEN(INDEX(Roadmap!$D:$K,MATCH($E15,Roadmap!$D:$D,0)-1+COUNTIF($E15:AC15,"u")+COUNTIF($E15:AC15,"t")+COUNTIF($E15:AC15,"¶")+COUNTIF($E15:AC15,"²")+COUNTIF($E15:AC15,"µ")+COUNTIF($E15:AC15,1),ColDescriptionCourte))&gt;1,
HYPERLINK("#Roadmap!C"&amp; MATCH($E15,Roadmap!$D:$D,0)+COUNTIF($E15:AC15,"u")+COUNTIF($E15:AC15,"t")+COUNTIF($E15:AC15,"¶")+COUNTIF($E15:AC15,"²")+COUNTIF($E15:AC15,"µ")+COUNTIF($E15:AC15,1)-1,INDEX(Roadmap!$D:$K,MATCH($E15,Roadmap!$D:$D,0)-1+COUNTIF($E15:AC15,"u")+COUNTIF($E15:AC15,"t")+COUNTIF($E15:AC15,"¶")+COUNTIF($E15:AC15,"²")+COUNTIF($E15:AC15,"µ")+COUNTIF($E15:AC15,1),ColDescriptionCourte)),""),
  "")),"")</f>
        <v>t</v>
      </c>
      <c r="AE15" s="40" t="str">
        <f ca="1">IFERROR(IF(AND(
  INDEX(Roadmap!$D:$K,MATCH($E15,Roadmap!$D:$D,0)+COUNTIF($E15:AD15,"u")+COUNTIF($E15:AD15,"t")+COUNTIF($E15:AD15,"¶")+COUNTIF($E15:AD15,"²")+COUNTIF($E15:AD15,"µ")+COUNTIF($E15:AD15,1),ColLivraison)=AE$6,
  VLOOKUP($E15,INDIRECT("tri!"&amp; CHAR(64+ C0Col) &amp;":"&amp; CHAR(65+C0Col)),2,FALSE)&gt;COUNTIF($E15:AD15,"u")+COUNTIF($E15:AD15,"t")+COUNTIF($E15:AD15,"¶")+COUNTIF($E15:AD15,"²")+COUNTIF($E15:AD15,"µ")+COUNTIF($E15:AD15,1)),
HYPERLINK("#Roadmap!C"&amp; MATCH($E15,Roadmap!$D:$D,0)+COUNTIF($E15:AD15,"u")+COUNTIF($E15:AD15,"t"),
     INDEX(Roadmap!$D:$K,MATCH($E15,Roadmap!$D:$D,0)+COUNTIF($E15:AD15,"u")+COUNTIF($E15:AD15,"t")+COUNTIF($E15:AD15,"¶")+COUNTIF($E15:AD15,"²")+COUNTIF($E15:AD15,"µ")+COUNTIF($E15:AD15,1),ColTypeEcheance)),
  IF(LEN(AD15)=1,
  IF(LEN(INDEX(Roadmap!$D:$K,MATCH($E15,Roadmap!$D:$D,0)-1+COUNTIF($E15:AD15,"u")+COUNTIF($E15:AD15,"t")+COUNTIF($E15:AD15,"¶")+COUNTIF($E15:AD15,"²")+COUNTIF($E15:AD15,"µ")+COUNTIF($E15:AD15,1),ColDescriptionCourte))&gt;1,
HYPERLINK("#Roadmap!C"&amp; MATCH($E15,Roadmap!$D:$D,0)+COUNTIF($E15:AD15,"u")+COUNTIF($E15:AD15,"t")+COUNTIF($E15:AD15,"¶")+COUNTIF($E15:AD15,"²")+COUNTIF($E15:AD15,"µ")+COUNTIF($E15:AD15,1)-1,INDEX(Roadmap!$D:$K,MATCH($E15,Roadmap!$D:$D,0)-1+COUNTIF($E15:AD15,"u")+COUNTIF($E15:AD15,"t")+COUNTIF($E15:AD15,"¶")+COUNTIF($E15:AD15,"²")+COUNTIF($E15:AD15,"µ")+COUNTIF($E15:AD15,1),ColDescriptionCourte)),""),
  "")),"")</f>
        <v/>
      </c>
      <c r="AF15" s="40"/>
      <c r="AG15" s="40"/>
      <c r="AH15" s="23" t="str">
        <f ca="1">IFERROR(IF(AND(
  INDEX(Roadmap!$D:$K,MATCH($E15,Roadmap!$D:$D,0)+COUNTIF($E15:AG15,"u")+COUNTIF($E15:AG15,"t")+COUNTIF($E15:AG15,1),ColLivraison)=AH$6,
  VLOOKUP($E15,INDIRECT("tri!"&amp; CHAR(64+ C0Col) &amp;":"&amp; CHAR(65+C0Col)),2,FALSE)&gt;COUNTIF($E15:AG15,"u")+COUNTIF($E15:AG15,"t")+COUNTIF($E15:AG15,1)),
HYPERLINK("#Roadmap!C"&amp; MATCH($E15,Roadmap!$D:$D,0)+COUNTIF($E15:AG15,"u")+COUNTIF($E15:AG15,"t"),
     INDEX(Roadmap!$D:$K,MATCH($E15,Roadmap!$D:$D,0)+COUNTIF($E15:AG15,"u")+COUNTIF($E15:AG15,"t")+COUNTIF($E15:AG15,1),ColTypeEcheance)),
  IF(OR(AG15="u",AG15="t",AG15=1),
  IF(LEN(INDEX(Roadmap!$D:$K,MATCH($E15,Roadmap!$D:$D,0)-1+COUNTIF($E15:AG15,"u")+COUNTIF($E15:AG15,"t")+COUNTIF($E15:AG15,1),ColDescriptionCourte))&gt;1,
HYPERLINK("#Roadmap!C"&amp; MATCH($E15,Roadmap!$D:$D,0)+COUNTIF($E15:AG15,"u")+COUNTIF($E15:AG15,"t")+COUNTIF($E15:AG15,1)-1,INDEX(Roadmap!$D:$K,MATCH($E15,Roadmap!$D:$D,0)-1+COUNTIF($E15:AG15,"u")+COUNTIF($E15:AG15,"t")+COUNTIF($E15:AG15,1),ColDescriptionCourte)),""),
  "")),"")</f>
        <v/>
      </c>
      <c r="AI15" s="23"/>
      <c r="AJ15" s="23"/>
      <c r="AK15" s="22"/>
      <c r="AL15" s="23"/>
      <c r="AM15" s="23"/>
    </row>
    <row r="16" spans="4:39" s="21" customFormat="1" ht="15.95" customHeight="1">
      <c r="D16" s="20" t="str">
        <f t="shared" ca="1" si="26"/>
        <v/>
      </c>
      <c r="E16" s="53" t="str">
        <f t="shared" ca="1" si="19"/>
        <v>Projet BY</v>
      </c>
      <c r="F16" s="39"/>
      <c r="G16" s="40"/>
      <c r="H16" s="40"/>
      <c r="I16" s="17" t="str">
        <f ca="1">IFERROR(IF(AND(
  INDEX(Roadmap!$D:$K,MATCH($E16,Roadmap!$D:$D,0)+COUNTIF($E16:H16,"u")+COUNTIF($E16:H16,"t")+COUNTIF($E16:H16,"¶")+COUNTIF($E16:H16,"²")+COUNTIF($E16:H16,"µ")+COUNTIF($E16:H16,1),ColLivraison)=I$6,
  VLOOKUP($E16,INDIRECT("tri!"&amp; CHAR(64+ C0Col) &amp;":"&amp; CHAR(65+C0Col)),2,FALSE)&gt;COUNTIF($E16:H16,"u")+COUNTIF($E16:H16,"t")+COUNTIF($E16:H16,"¶")+COUNTIF($E16:H16,"²")+COUNTIF($E16:H16,"µ")+COUNTIF($E16:H16,1)),
HYPERLINK("#Roadmap!C"&amp; MATCH($E16,Roadmap!$D:$D,0)+COUNTIF($E16:H16,"u")+COUNTIF($E16:H16,"t"),
     INDEX(Roadmap!$D:$K,MATCH($E16,Roadmap!$D:$D,0)+COUNTIF($E16:H16,"u")+COUNTIF($E16:H16,"t")+COUNTIF($E16:H16,"¶")+COUNTIF($E16:H16,"²")+COUNTIF($E16:H16,"µ")+COUNTIF($E16:H16,1),ColTypeEcheance)),
  IF(LEN(H16)=1,
  IF(LEN(INDEX(Roadmap!$D:$K,MATCH($E16,Roadmap!$D:$D,0)-1+COUNTIF($E16:H16,"u")+COUNTIF($E16:H16,"t")+COUNTIF($E16:H16,"¶")+COUNTIF($E16:H16,"²")+COUNTIF($E16:H16,"µ")+COUNTIF($E16:H16,1),ColDescriptionCourte))&gt;1,
HYPERLINK("#Roadmap!C"&amp; MATCH($E16,Roadmap!$D:$D,0)+COUNTIF($E16:H16,"u")+COUNTIF($E16:H16,"t")+COUNTIF($E16:H16,"¶")+COUNTIF($E16:H16,"²")+COUNTIF($E16:H16,"µ")+COUNTIF($E16:H16,1)-1,INDEX(Roadmap!$D:$K,MATCH($E16,Roadmap!$D:$D,0)-1+COUNTIF($E16:H16,"u")+COUNTIF($E16:H16,"t")+COUNTIF($E16:H16,"¶")+COUNTIF($E16:H16,"²")+COUNTIF($E16:H16,"µ")+COUNTIF($E16:H16,1),ColDescriptionCourte)),""),
  "")),"")</f>
        <v/>
      </c>
      <c r="J16" s="40" t="str">
        <f ca="1">IFERROR(IF(AND(
  INDEX(Roadmap!$D:$K,MATCH($E16,Roadmap!$D:$D,0)+COUNTIF($E16:I16,"u")+COUNTIF($E16:I16,"t")+COUNTIF($E16:I16,"¶")+COUNTIF($E16:I16,"²")+COUNTIF($E16:I16,"µ")+COUNTIF($E16:I16,1),ColLivraison)=J$6,
  VLOOKUP($E16,INDIRECT("tri!"&amp; CHAR(64+ C0Col) &amp;":"&amp; CHAR(65+C0Col)),2,FALSE)&gt;COUNTIF($E16:I16,"u")+COUNTIF($E16:I16,"t")+COUNTIF($E16:I16,"¶")+COUNTIF($E16:I16,"²")+COUNTIF($E16:I16,"µ")+COUNTIF($E16:I16,1)),
HYPERLINK("#Roadmap!C"&amp; MATCH($E16,Roadmap!$D:$D,0)+COUNTIF($E16:I16,"u")+COUNTIF($E16:I16,"t"),
     INDEX(Roadmap!$D:$K,MATCH($E16,Roadmap!$D:$D,0)+COUNTIF($E16:I16,"u")+COUNTIF($E16:I16,"t")+COUNTIF($E16:I16,"¶")+COUNTIF($E16:I16,"²")+COUNTIF($E16:I16,"µ")+COUNTIF($E16:I16,1),ColTypeEcheance)),
  IF(LEN(I16)=1,
  IF(LEN(INDEX(Roadmap!$D:$K,MATCH($E16,Roadmap!$D:$D,0)-1+COUNTIF($E16:I16,"u")+COUNTIF($E16:I16,"t")+COUNTIF($E16:I16,"¶")+COUNTIF($E16:I16,"²")+COUNTIF($E16:I16,"µ")+COUNTIF($E16:I16,1),ColDescriptionCourte))&gt;1,
HYPERLINK("#Roadmap!C"&amp; MATCH($E16,Roadmap!$D:$D,0)+COUNTIF($E16:I16,"u")+COUNTIF($E16:I16,"t")+COUNTIF($E16:I16,"¶")+COUNTIF($E16:I16,"²")+COUNTIF($E16:I16,"µ")+COUNTIF($E16:I16,1)-1,INDEX(Roadmap!$D:$K,MATCH($E16,Roadmap!$D:$D,0)-1+COUNTIF($E16:I16,"u")+COUNTIF($E16:I16,"t")+COUNTIF($E16:I16,"¶")+COUNTIF($E16:I16,"²")+COUNTIF($E16:I16,"µ")+COUNTIF($E16:I16,1),ColDescriptionCourte)),""),
  "")),"")</f>
        <v/>
      </c>
      <c r="K16" s="40"/>
      <c r="L16" s="39"/>
      <c r="M16" s="40"/>
      <c r="N16" s="40"/>
      <c r="O16" s="40"/>
      <c r="P16" s="40"/>
      <c r="Q16" s="40"/>
      <c r="R16" s="40"/>
      <c r="S16" s="40"/>
      <c r="T16" s="40"/>
      <c r="U16" s="40"/>
      <c r="V16" s="40"/>
      <c r="W16" s="40"/>
      <c r="X16" s="40"/>
      <c r="Y16" s="40"/>
      <c r="Z16" s="40"/>
      <c r="AA16" s="40"/>
      <c r="AB16" s="40"/>
      <c r="AC16" s="40"/>
      <c r="AD16" s="40"/>
      <c r="AE16" s="40"/>
      <c r="AF16" s="40"/>
      <c r="AG16" s="40"/>
      <c r="AH16" s="23" t="str">
        <f ca="1">IFERROR(IF(AND(
  INDEX(Roadmap!$D:$K,MATCH($E16,Roadmap!$D:$D,0)+COUNTIF($E16:AG16,"u")+COUNTIF($E16:AG16,"t")+COUNTIF($E16:AG16,1),ColLivraison)=AH$6,
  VLOOKUP($E16,INDIRECT("tri!"&amp; CHAR(64+ C0Col) &amp;":"&amp; CHAR(65+C0Col)),2,FALSE)&gt;COUNTIF($E16:AG16,"u")+COUNTIF($E16:AG16,"t")+COUNTIF($E16:AG16,1)),
HYPERLINK("#Roadmap!C"&amp; MATCH($E16,Roadmap!$D:$D,0)+COUNTIF($E16:AG16,"u")+COUNTIF($E16:AG16,"t"),
     INDEX(Roadmap!$D:$K,MATCH($E16,Roadmap!$D:$D,0)+COUNTIF($E16:AG16,"u")+COUNTIF($E16:AG16,"t")+COUNTIF($E16:AG16,1),ColTypeEcheance)),
  IF(OR(AG16="u",AG16="t",AG16=1),
  IF(LEN(INDEX(Roadmap!$D:$K,MATCH($E16,Roadmap!$D:$D,0)-1+COUNTIF($E16:AG16,"u")+COUNTIF($E16:AG16,"t")+COUNTIF($E16:AG16,1),ColDescriptionCourte))&gt;1,
HYPERLINK("#Roadmap!C"&amp; MATCH($E16,Roadmap!$D:$D,0)+COUNTIF($E16:AG16,"u")+COUNTIF($E16:AG16,"t")+COUNTIF($E16:AG16,1)-1,INDEX(Roadmap!$D:$K,MATCH($E16,Roadmap!$D:$D,0)-1+COUNTIF($E16:AG16,"u")+COUNTIF($E16:AG16,"t")+COUNTIF($E16:AG16,1),ColDescriptionCourte)),""),
  "")),"")</f>
        <v/>
      </c>
      <c r="AI16" s="23"/>
      <c r="AJ16" s="23"/>
      <c r="AK16" s="23"/>
      <c r="AL16" s="23"/>
      <c r="AM16" s="23"/>
    </row>
    <row r="17" spans="4:39" s="21" customFormat="1" ht="15.95" customHeight="1">
      <c r="D17" s="20" t="str">
        <f t="shared" ca="1" si="26"/>
        <v/>
      </c>
      <c r="E17" s="53" t="str">
        <f t="shared" ca="1" si="19"/>
        <v/>
      </c>
      <c r="F17" s="39"/>
      <c r="G17" s="40"/>
      <c r="H17" s="40"/>
      <c r="I17" s="40"/>
      <c r="J17" s="17" t="str">
        <f ca="1">IFERROR(IF(AND(
  INDEX(Roadmap!$D:$K,MATCH($E17,Roadmap!$D:$D,0)+COUNTIF($E17:I17,"u")+COUNTIF($E17:I17,"t")+COUNTIF($E17:I17,"¶")+COUNTIF($E17:I17,"²")+COUNTIF($E17:I17,"µ")+COUNTIF($E17:I17,1),ColLivraison)=J$6,
  VLOOKUP($E17,INDIRECT("tri!"&amp; CHAR(64+ C0Col) &amp;":"&amp; CHAR(65+C0Col)),2,FALSE)&gt;COUNTIF($E17:I17,"u")+COUNTIF($E17:I17,"t")+COUNTIF($E17:I17,"¶")+COUNTIF($E17:I17,"²")+COUNTIF($E17:I17,"µ")+COUNTIF($E17:I17,1)),
HYPERLINK("#Roadmap!C"&amp; MATCH($E17,Roadmap!$D:$D,0)+COUNTIF($E17:I17,"u")+COUNTIF($E17:I17,"t"),
     INDEX(Roadmap!$D:$K,MATCH($E17,Roadmap!$D:$D,0)+COUNTIF($E17:I17,"u")+COUNTIF($E17:I17,"t")+COUNTIF($E17:I17,"¶")+COUNTIF($E17:I17,"²")+COUNTIF($E17:I17,"µ")+COUNTIF($E17:I17,1),ColTypeEcheance)),
  IF(LEN(I17)=1,
  IF(LEN(INDEX(Roadmap!$D:$K,MATCH($E17,Roadmap!$D:$D,0)-1+COUNTIF($E17:I17,"u")+COUNTIF($E17:I17,"t")+COUNTIF($E17:I17,"¶")+COUNTIF($E17:I17,"²")+COUNTIF($E17:I17,"µ")+COUNTIF($E17:I17,1),ColDescriptionCourte))&gt;1,
HYPERLINK("#Roadmap!C"&amp; MATCH($E17,Roadmap!$D:$D,0)+COUNTIF($E17:I17,"u")+COUNTIF($E17:I17,"t")+COUNTIF($E17:I17,"¶")+COUNTIF($E17:I17,"²")+COUNTIF($E17:I17,"µ")+COUNTIF($E17:I17,1)-1,INDEX(Roadmap!$D:$K,MATCH($E17,Roadmap!$D:$D,0)-1+COUNTIF($E17:I17,"u")+COUNTIF($E17:I17,"t")+COUNTIF($E17:I17,"¶")+COUNTIF($E17:I17,"²")+COUNTIF($E17:I17,"µ")+COUNTIF($E17:I17,1),ColDescriptionCourte)),""),
  "")),"")</f>
        <v/>
      </c>
      <c r="K17" s="40" t="str">
        <f ca="1">IFERROR(IF(AND(
  INDEX(Roadmap!$D:$K,MATCH($E17,Roadmap!$D:$D,0)+COUNTIF($E17:J17,"u")+COUNTIF($E17:J17,"t")+COUNTIF($E17:J17,"¶")+COUNTIF($E17:J17,"²")+COUNTIF($E17:J17,"µ")+COUNTIF($E17:J17,1),ColLivraison)=K$6,
  VLOOKUP($E17,INDIRECT("tri!"&amp; CHAR(64+ C0Col) &amp;":"&amp; CHAR(65+C0Col)),2,FALSE)&gt;COUNTIF($E17:J17,"u")+COUNTIF($E17:J17,"t")+COUNTIF($E17:J17,"¶")+COUNTIF($E17:J17,"²")+COUNTIF($E17:J17,"µ")+COUNTIF($E17:J17,1)),
HYPERLINK("#Roadmap!C"&amp; MATCH($E17,Roadmap!$D:$D,0)+COUNTIF($E17:J17,"u")+COUNTIF($E17:J17,"t"),
     INDEX(Roadmap!$D:$K,MATCH($E17,Roadmap!$D:$D,0)+COUNTIF($E17:J17,"u")+COUNTIF($E17:J17,"t")+COUNTIF($E17:J17,"¶")+COUNTIF($E17:J17,"²")+COUNTIF($E17:J17,"µ")+COUNTIF($E17:J17,1),ColTypeEcheance)),
  IF(LEN(J17)=1,
  IF(LEN(INDEX(Roadmap!$D:$K,MATCH($E17,Roadmap!$D:$D,0)-1+COUNTIF($E17:J17,"u")+COUNTIF($E17:J17,"t")+COUNTIF($E17:J17,"¶")+COUNTIF($E17:J17,"²")+COUNTIF($E17:J17,"µ")+COUNTIF($E17:J17,1),ColDescriptionCourte))&gt;1,
HYPERLINK("#Roadmap!C"&amp; MATCH($E17,Roadmap!$D:$D,0)+COUNTIF($E17:J17,"u")+COUNTIF($E17:J17,"t")+COUNTIF($E17:J17,"¶")+COUNTIF($E17:J17,"²")+COUNTIF($E17:J17,"µ")+COUNTIF($E17:J17,1)-1,INDEX(Roadmap!$D:$K,MATCH($E17,Roadmap!$D:$D,0)-1+COUNTIF($E17:J17,"u")+COUNTIF($E17:J17,"t")+COUNTIF($E17:J17,"¶")+COUNTIF($E17:J17,"²")+COUNTIF($E17:J17,"µ")+COUNTIF($E17:J17,1),ColDescriptionCourte)),""),
  "")),"")</f>
        <v/>
      </c>
      <c r="L17" s="39"/>
      <c r="M17" s="40"/>
      <c r="N17" s="40"/>
      <c r="O17" s="40"/>
      <c r="P17" s="40"/>
      <c r="Q17" s="40"/>
      <c r="R17" s="40"/>
      <c r="S17" s="40"/>
      <c r="T17" s="40"/>
      <c r="U17" s="40"/>
      <c r="V17" s="40"/>
      <c r="W17" s="40"/>
      <c r="X17" s="40"/>
      <c r="Y17" s="40"/>
      <c r="Z17" s="40"/>
      <c r="AA17" s="40"/>
      <c r="AB17" s="40"/>
      <c r="AC17" s="40"/>
      <c r="AD17" s="40"/>
      <c r="AE17" s="40"/>
      <c r="AF17" s="40"/>
      <c r="AG17" s="40"/>
      <c r="AH17" s="23" t="str">
        <f ca="1">IFERROR(IF(AND(
  INDEX(Roadmap!$D:$K,MATCH($E17,Roadmap!$D:$D,0)+COUNTIF($E17:AG17,"u")+COUNTIF($E17:AG17,"t")+COUNTIF($E17:AG17,1),ColLivraison)=AH$6,
  VLOOKUP($E17,INDIRECT("tri!"&amp; CHAR(64+ C0Col) &amp;":"&amp; CHAR(65+C0Col)),2,FALSE)&gt;COUNTIF($E17:AG17,"u")+COUNTIF($E17:AG17,"t")+COUNTIF($E17:AG17,1)),
HYPERLINK("#Roadmap!C"&amp; MATCH($E17,Roadmap!$D:$D,0)+COUNTIF($E17:AG17,"u")+COUNTIF($E17:AG17,"t"),
     INDEX(Roadmap!$D:$K,MATCH($E17,Roadmap!$D:$D,0)+COUNTIF($E17:AG17,"u")+COUNTIF($E17:AG17,"t")+COUNTIF($E17:AG17,1),ColTypeEcheance)),
  IF(OR(AG17="u",AG17="t",AG17=1),
  IF(LEN(INDEX(Roadmap!$D:$K,MATCH($E17,Roadmap!$D:$D,0)-1+COUNTIF($E17:AG17,"u")+COUNTIF($E17:AG17,"t")+COUNTIF($E17:AG17,1),ColDescriptionCourte))&gt;1,
HYPERLINK("#Roadmap!C"&amp; MATCH($E17,Roadmap!$D:$D,0)+COUNTIF($E17:AG17,"u")+COUNTIF($E17:AG17,"t")+COUNTIF($E17:AG17,1)-1,INDEX(Roadmap!$D:$K,MATCH($E17,Roadmap!$D:$D,0)-1+COUNTIF($E17:AG17,"u")+COUNTIF($E17:AG17,"t")+COUNTIF($E17:AG17,1),ColDescriptionCourte)),""),
  "")),"")</f>
        <v/>
      </c>
      <c r="AI17" s="23"/>
      <c r="AJ17" s="23"/>
      <c r="AK17" s="23"/>
      <c r="AL17" s="23"/>
      <c r="AM17" s="23"/>
    </row>
    <row r="18" spans="4:39" s="21" customFormat="1" ht="15.95" customHeight="1">
      <c r="D18" s="20" t="str">
        <f t="shared" ca="1" si="26"/>
        <v/>
      </c>
      <c r="E18" s="53" t="str">
        <f t="shared" ca="1" si="19"/>
        <v/>
      </c>
      <c r="F18" s="39"/>
      <c r="G18" s="40"/>
      <c r="H18" s="17" t="str">
        <f ca="1">IFERROR(IF(AND(
  INDEX(Roadmap!$D:$K,MATCH($E18,Roadmap!$D:$D,0)+COUNTIF($E18:G18,"u")+COUNTIF($E18:G18,"t")+COUNTIF($E18:G18,"¶")+COUNTIF($E18:G18,"²")+COUNTIF($E18:G18,"µ")+COUNTIF($E18:G18,1),ColLivraison)=H$6,
  VLOOKUP($E18,INDIRECT("tri!"&amp; CHAR(64+ C0Col) &amp;":"&amp; CHAR(65+C0Col)),2,FALSE)&gt;COUNTIF($E18:G18,"u")+COUNTIF($E18:G18,"t")+COUNTIF($E18:G18,"¶")+COUNTIF($E18:G18,"²")+COUNTIF($E18:G18,"µ")+COUNTIF($E18:G18,1)),
HYPERLINK("#Roadmap!C"&amp; MATCH($E18,Roadmap!$D:$D,0)+COUNTIF($E18:G18,"u")+COUNTIF($E18:G18,"t"),
     INDEX(Roadmap!$D:$K,MATCH($E18,Roadmap!$D:$D,0)+COUNTIF($E18:G18,"u")+COUNTIF($E18:G18,"t")+COUNTIF($E18:G18,"¶")+COUNTIF($E18:G18,"²")+COUNTIF($E18:G18,"µ")+COUNTIF($E18:G18,1),ColTypeEcheance)),
  IF(LEN(G18)=1,
  IF(LEN(INDEX(Roadmap!$D:$K,MATCH($E18,Roadmap!$D:$D,0)-1+COUNTIF($E18:G18,"u")+COUNTIF($E18:G18,"t")+COUNTIF($E18:G18,"¶")+COUNTIF($E18:G18,"²")+COUNTIF($E18:G18,"µ")+COUNTIF($E18:G18,1),ColDescriptionCourte))&gt;1,
HYPERLINK("#Roadmap!C"&amp; MATCH($E18,Roadmap!$D:$D,0)+COUNTIF($E18:G18,"u")+COUNTIF($E18:G18,"t")+COUNTIF($E18:G18,"¶")+COUNTIF($E18:G18,"²")+COUNTIF($E18:G18,"µ")+COUNTIF($E18:G18,1)-1,INDEX(Roadmap!$D:$K,MATCH($E18,Roadmap!$D:$D,0)-1+COUNTIF($E18:G18,"u")+COUNTIF($E18:G18,"t")+COUNTIF($E18:G18,"¶")+COUNTIF($E18:G18,"²")+COUNTIF($E18:G18,"µ")+COUNTIF($E18:G18,1),ColDescriptionCourte)),""),
  "")),"")</f>
        <v/>
      </c>
      <c r="I18" s="40" t="str">
        <f ca="1">IFERROR(IF(AND(
  INDEX(Roadmap!$D:$K,MATCH($E18,Roadmap!$D:$D,0)+COUNTIF($E18:H18,"u")+COUNTIF($E18:H18,"t")+COUNTIF($E18:H18,"¶")+COUNTIF($E18:H18,"²")+COUNTIF($E18:H18,"µ")+COUNTIF($E18:H18,1),ColLivraison)=I$6,
  VLOOKUP($E18,INDIRECT("tri!"&amp; CHAR(64+ C0Col) &amp;":"&amp; CHAR(65+C0Col)),2,FALSE)&gt;COUNTIF($E18:H18,"u")+COUNTIF($E18:H18,"t")+COUNTIF($E18:H18,"¶")+COUNTIF($E18:H18,"²")+COUNTIF($E18:H18,"µ")+COUNTIF($E18:H18,1)),
HYPERLINK("#Roadmap!C"&amp; MATCH($E18,Roadmap!$D:$D,0)+COUNTIF($E18:H18,"u")+COUNTIF($E18:H18,"t"),
     INDEX(Roadmap!$D:$K,MATCH($E18,Roadmap!$D:$D,0)+COUNTIF($E18:H18,"u")+COUNTIF($E18:H18,"t")+COUNTIF($E18:H18,"¶")+COUNTIF($E18:H18,"²")+COUNTIF($E18:H18,"µ")+COUNTIF($E18:H18,1),ColTypeEcheance)),
  IF(LEN(H18)=1,
  IF(LEN(INDEX(Roadmap!$D:$K,MATCH($E18,Roadmap!$D:$D,0)-1+COUNTIF($E18:H18,"u")+COUNTIF($E18:H18,"t")+COUNTIF($E18:H18,"¶")+COUNTIF($E18:H18,"²")+COUNTIF($E18:H18,"µ")+COUNTIF($E18:H18,1),ColDescriptionCourte))&gt;1,
HYPERLINK("#Roadmap!C"&amp; MATCH($E18,Roadmap!$D:$D,0)+COUNTIF($E18:H18,"u")+COUNTIF($E18:H18,"t")+COUNTIF($E18:H18,"¶")+COUNTIF($E18:H18,"²")+COUNTIF($E18:H18,"µ")+COUNTIF($E18:H18,1)-1,INDEX(Roadmap!$D:$K,MATCH($E18,Roadmap!$D:$D,0)-1+COUNTIF($E18:H18,"u")+COUNTIF($E18:H18,"t")+COUNTIF($E18:H18,"¶")+COUNTIF($E18:H18,"²")+COUNTIF($E18:H18,"µ")+COUNTIF($E18:H18,1),ColDescriptionCourte)),""),
  "")),"")</f>
        <v/>
      </c>
      <c r="J18" s="40"/>
      <c r="K18" s="40"/>
      <c r="L18" s="39"/>
      <c r="M18" s="40"/>
      <c r="N18" s="40"/>
      <c r="O18" s="40"/>
      <c r="P18" s="40"/>
      <c r="Q18" s="40"/>
      <c r="R18" s="40"/>
      <c r="S18" s="40"/>
      <c r="T18" s="40"/>
      <c r="U18" s="40"/>
      <c r="V18" s="40"/>
      <c r="W18" s="40"/>
      <c r="X18" s="40"/>
      <c r="Y18" s="40"/>
      <c r="Z18" s="40"/>
      <c r="AA18" s="40"/>
      <c r="AB18" s="40"/>
      <c r="AC18" s="40"/>
      <c r="AD18" s="40"/>
      <c r="AE18" s="40"/>
      <c r="AF18" s="40"/>
      <c r="AG18" s="40"/>
      <c r="AH18" s="23" t="str">
        <f ca="1">IFERROR(IF(AND(
  INDEX(Roadmap!$D:$K,MATCH($E18,Roadmap!$D:$D,0)+COUNTIF($E18:AG18,"u")+COUNTIF($E18:AG18,"t")+COUNTIF($E18:AG18,1),ColLivraison)=AH$6,
  VLOOKUP($E18,INDIRECT("tri!"&amp; CHAR(64+ C0Col) &amp;":"&amp; CHAR(65+C0Col)),2,FALSE)&gt;COUNTIF($E18:AG18,"u")+COUNTIF($E18:AG18,"t")+COUNTIF($E18:AG18,1)),
HYPERLINK("#Roadmap!C"&amp; MATCH($E18,Roadmap!$D:$D,0)+COUNTIF($E18:AG18,"u")+COUNTIF($E18:AG18,"t"),
     INDEX(Roadmap!$D:$K,MATCH($E18,Roadmap!$D:$D,0)+COUNTIF($E18:AG18,"u")+COUNTIF($E18:AG18,"t")+COUNTIF($E18:AG18,1),ColTypeEcheance)),
  IF(OR(AG18="u",AG18="t",AG18=1),
  IF(LEN(INDEX(Roadmap!$D:$K,MATCH($E18,Roadmap!$D:$D,0)-1+COUNTIF($E18:AG18,"u")+COUNTIF($E18:AG18,"t")+COUNTIF($E18:AG18,1),ColDescriptionCourte))&gt;1,
HYPERLINK("#Roadmap!C"&amp; MATCH($E18,Roadmap!$D:$D,0)+COUNTIF($E18:AG18,"u")+COUNTIF($E18:AG18,"t")+COUNTIF($E18:AG18,1)-1,INDEX(Roadmap!$D:$K,MATCH($E18,Roadmap!$D:$D,0)-1+COUNTIF($E18:AG18,"u")+COUNTIF($E18:AG18,"t")+COUNTIF($E18:AG18,1),ColDescriptionCourte)),""),
  "")),"")</f>
        <v/>
      </c>
      <c r="AI18" s="23"/>
      <c r="AJ18" s="23"/>
      <c r="AK18" s="23"/>
      <c r="AL18" s="23"/>
      <c r="AM18" s="23"/>
    </row>
    <row r="19" spans="4:39" s="21" customFormat="1" ht="15.95" customHeight="1">
      <c r="D19" s="20" t="str">
        <f t="shared" ca="1" si="26"/>
        <v/>
      </c>
      <c r="E19" s="53" t="str">
        <f t="shared" ca="1" si="19"/>
        <v/>
      </c>
      <c r="F19" s="39"/>
      <c r="G19" s="40"/>
      <c r="H19" s="40"/>
      <c r="I19" s="40"/>
      <c r="J19" s="40"/>
      <c r="K19" s="40"/>
      <c r="L19" s="39"/>
      <c r="M19" s="40"/>
      <c r="N19" s="40"/>
      <c r="O19" s="40"/>
      <c r="P19" s="40"/>
      <c r="Q19" s="17" t="str">
        <f ca="1">IFERROR(IF(AND(
  INDEX(Roadmap!$D:$K,MATCH($E19,Roadmap!$D:$D,0)+COUNTIF($E19:P19,"u")+COUNTIF($E19:P19,"t")+COUNTIF($E19:P19,"¶")+COUNTIF($E19:P19,"²")+COUNTIF($E19:P19,"µ")+COUNTIF($E19:P19,1),ColLivraison)=Q$6,
  VLOOKUP($E19,INDIRECT("tri!"&amp; CHAR(64+ C0Col) &amp;":"&amp; CHAR(65+C0Col)),2,FALSE)&gt;COUNTIF($E19:P19,"u")+COUNTIF($E19:P19,"t")+COUNTIF($E19:P19,"¶")+COUNTIF($E19:P19,"²")+COUNTIF($E19:P19,"µ")+COUNTIF($E19:P19,1)),
HYPERLINK("#Roadmap!C"&amp; MATCH($E19,Roadmap!$D:$D,0)+COUNTIF($E19:P19,"u")+COUNTIF($E19:P19,"t"),
     INDEX(Roadmap!$D:$K,MATCH($E19,Roadmap!$D:$D,0)+COUNTIF($E19:P19,"u")+COUNTIF($E19:P19,"t")+COUNTIF($E19:P19,"¶")+COUNTIF($E19:P19,"²")+COUNTIF($E19:P19,"µ")+COUNTIF($E19:P19,1),ColTypeEcheance)),
  IF(LEN(P19)=1,
  IF(LEN(INDEX(Roadmap!$D:$K,MATCH($E19,Roadmap!$D:$D,0)-1+COUNTIF($E19:P19,"u")+COUNTIF($E19:P19,"t")+COUNTIF($E19:P19,"¶")+COUNTIF($E19:P19,"²")+COUNTIF($E19:P19,"µ")+COUNTIF($E19:P19,1),ColDescriptionCourte))&gt;1,
HYPERLINK("#Roadmap!C"&amp; MATCH($E19,Roadmap!$D:$D,0)+COUNTIF($E19:P19,"u")+COUNTIF($E19:P19,"t")+COUNTIF($E19:P19,"¶")+COUNTIF($E19:P19,"²")+COUNTIF($E19:P19,"µ")+COUNTIF($E19:P19,1)-1,INDEX(Roadmap!$D:$K,MATCH($E19,Roadmap!$D:$D,0)-1+COUNTIF($E19:P19,"u")+COUNTIF($E19:P19,"t")+COUNTIF($E19:P19,"¶")+COUNTIF($E19:P19,"²")+COUNTIF($E19:P19,"µ")+COUNTIF($E19:P19,1),ColDescriptionCourte)),""),
  "")),"")</f>
        <v/>
      </c>
      <c r="R19" s="40" t="str">
        <f ca="1">IFERROR(IF(AND(
  INDEX(Roadmap!$D:$K,MATCH($E19,Roadmap!$D:$D,0)+COUNTIF($E19:Q19,"u")+COUNTIF($E19:Q19,"t")+COUNTIF($E19:Q19,"¶")+COUNTIF($E19:Q19,"²")+COUNTIF($E19:Q19,"µ")+COUNTIF($E19:Q19,1),ColLivraison)=R$6,
  VLOOKUP($E19,INDIRECT("tri!"&amp; CHAR(64+ C0Col) &amp;":"&amp; CHAR(65+C0Col)),2,FALSE)&gt;COUNTIF($E19:Q19,"u")+COUNTIF($E19:Q19,"t")+COUNTIF($E19:Q19,"¶")+COUNTIF($E19:Q19,"²")+COUNTIF($E19:Q19,"µ")+COUNTIF($E19:Q19,1)),
HYPERLINK("#Roadmap!C"&amp; MATCH($E19,Roadmap!$D:$D,0)+COUNTIF($E19:Q19,"u")+COUNTIF($E19:Q19,"t"),
     INDEX(Roadmap!$D:$K,MATCH($E19,Roadmap!$D:$D,0)+COUNTIF($E19:Q19,"u")+COUNTIF($E19:Q19,"t")+COUNTIF($E19:Q19,"¶")+COUNTIF($E19:Q19,"²")+COUNTIF($E19:Q19,"µ")+COUNTIF($E19:Q19,1),ColTypeEcheance)),
  IF(LEN(Q19)=1,
  IF(LEN(INDEX(Roadmap!$D:$K,MATCH($E19,Roadmap!$D:$D,0)-1+COUNTIF($E19:Q19,"u")+COUNTIF($E19:Q19,"t")+COUNTIF($E19:Q19,"¶")+COUNTIF($E19:Q19,"²")+COUNTIF($E19:Q19,"µ")+COUNTIF($E19:Q19,1),ColDescriptionCourte))&gt;1,
HYPERLINK("#Roadmap!C"&amp; MATCH($E19,Roadmap!$D:$D,0)+COUNTIF($E19:Q19,"u")+COUNTIF($E19:Q19,"t")+COUNTIF($E19:Q19,"¶")+COUNTIF($E19:Q19,"²")+COUNTIF($E19:Q19,"µ")+COUNTIF($E19:Q19,1)-1,INDEX(Roadmap!$D:$K,MATCH($E19,Roadmap!$D:$D,0)-1+COUNTIF($E19:Q19,"u")+COUNTIF($E19:Q19,"t")+COUNTIF($E19:Q19,"¶")+COUNTIF($E19:Q19,"²")+COUNTIF($E19:Q19,"µ")+COUNTIF($E19:Q19,1),ColDescriptionCourte)),""),
  "")),"")</f>
        <v/>
      </c>
      <c r="S19" s="40"/>
      <c r="T19" s="40"/>
      <c r="U19" s="40"/>
      <c r="V19" s="40"/>
      <c r="W19" s="40"/>
      <c r="X19" s="40"/>
      <c r="Y19" s="40"/>
      <c r="Z19" s="40"/>
      <c r="AA19" s="40"/>
      <c r="AB19" s="40"/>
      <c r="AC19" s="40"/>
      <c r="AD19" s="40"/>
      <c r="AE19" s="40"/>
      <c r="AF19" s="40"/>
      <c r="AG19" s="40"/>
      <c r="AH19" s="23" t="str">
        <f ca="1">IFERROR(IF(AND(
  INDEX(Roadmap!$D:$K,MATCH($E19,Roadmap!$D:$D,0)+COUNTIF($E19:AG19,"u")+COUNTIF($E19:AG19,"t")+COUNTIF($E19:AG19,1),ColLivraison)=AH$6,
  VLOOKUP($E19,INDIRECT("tri!"&amp; CHAR(64+ C0Col) &amp;":"&amp; CHAR(65+C0Col)),2,FALSE)&gt;COUNTIF($E19:AG19,"u")+COUNTIF($E19:AG19,"t")+COUNTIF($E19:AG19,1)),
HYPERLINK("#Roadmap!C"&amp; MATCH($E19,Roadmap!$D:$D,0)+COUNTIF($E19:AG19,"u")+COUNTIF($E19:AG19,"t"),
     INDEX(Roadmap!$D:$K,MATCH($E19,Roadmap!$D:$D,0)+COUNTIF($E19:AG19,"u")+COUNTIF($E19:AG19,"t")+COUNTIF($E19:AG19,1),ColTypeEcheance)),
  IF(OR(AG19="u",AG19="t",AG19=1),
  IF(LEN(INDEX(Roadmap!$D:$K,MATCH($E19,Roadmap!$D:$D,0)-1+COUNTIF($E19:AG19,"u")+COUNTIF($E19:AG19,"t")+COUNTIF($E19:AG19,1),ColDescriptionCourte))&gt;1,
HYPERLINK("#Roadmap!C"&amp; MATCH($E19,Roadmap!$D:$D,0)+COUNTIF($E19:AG19,"u")+COUNTIF($E19:AG19,"t")+COUNTIF($E19:AG19,1)-1,INDEX(Roadmap!$D:$K,MATCH($E19,Roadmap!$D:$D,0)-1+COUNTIF($E19:AG19,"u")+COUNTIF($E19:AG19,"t")+COUNTIF($E19:AG19,1),ColDescriptionCourte)),""),
  "")),"")</f>
        <v/>
      </c>
      <c r="AI19" s="23"/>
      <c r="AJ19" s="23"/>
      <c r="AK19" s="23"/>
      <c r="AL19" s="23"/>
      <c r="AM19" s="23"/>
    </row>
    <row r="20" spans="4:39" s="21" customFormat="1" ht="15.95" customHeight="1">
      <c r="D20" s="20" t="str">
        <f t="shared" ca="1" si="26"/>
        <v/>
      </c>
      <c r="E20" s="53" t="str">
        <f t="shared" ca="1" si="19"/>
        <v/>
      </c>
      <c r="F20" s="39"/>
      <c r="G20" s="40"/>
      <c r="H20" s="40"/>
      <c r="I20" s="40"/>
      <c r="J20" s="40"/>
      <c r="K20" s="40"/>
      <c r="L20" s="39"/>
      <c r="M20" s="40"/>
      <c r="N20" s="40"/>
      <c r="O20" s="40"/>
      <c r="P20" s="40"/>
      <c r="Q20" s="40"/>
      <c r="R20" s="40"/>
      <c r="S20" s="40"/>
      <c r="T20" s="40"/>
      <c r="U20" s="17" t="str">
        <f ca="1">IFERROR(IF(AND(
  INDEX(Roadmap!$D:$K,MATCH($E20,Roadmap!$D:$D,0)+COUNTIF($E20:T20,"u")+COUNTIF($E20:T20,"t")+COUNTIF($E20:T20,"¶")+COUNTIF($E20:T20,"²")+COUNTIF($E20:T20,"µ")+COUNTIF($E20:T20,1),ColLivraison)=U$6,
  VLOOKUP($E20,INDIRECT("tri!"&amp; CHAR(64+ C0Col) &amp;":"&amp; CHAR(65+C0Col)),2,FALSE)&gt;COUNTIF($E20:T20,"u")+COUNTIF($E20:T20,"t")+COUNTIF($E20:T20,"¶")+COUNTIF($E20:T20,"²")+COUNTIF($E20:T20,"µ")+COUNTIF($E20:T20,1)),
HYPERLINK("#Roadmap!C"&amp; MATCH($E20,Roadmap!$D:$D,0)+COUNTIF($E20:T20,"u")+COUNTIF($E20:T20,"t"),
     INDEX(Roadmap!$D:$K,MATCH($E20,Roadmap!$D:$D,0)+COUNTIF($E20:T20,"u")+COUNTIF($E20:T20,"t")+COUNTIF($E20:T20,"¶")+COUNTIF($E20:T20,"²")+COUNTIF($E20:T20,"µ")+COUNTIF($E20:T20,1),ColTypeEcheance)),
  IF(LEN(T20)=1,
  IF(LEN(INDEX(Roadmap!$D:$K,MATCH($E20,Roadmap!$D:$D,0)-1+COUNTIF($E20:T20,"u")+COUNTIF($E20:T20,"t")+COUNTIF($E20:T20,"¶")+COUNTIF($E20:T20,"²")+COUNTIF($E20:T20,"µ")+COUNTIF($E20:T20,1),ColDescriptionCourte))&gt;1,
HYPERLINK("#Roadmap!C"&amp; MATCH($E20,Roadmap!$D:$D,0)+COUNTIF($E20:T20,"u")+COUNTIF($E20:T20,"t")+COUNTIF($E20:T20,"¶")+COUNTIF($E20:T20,"²")+COUNTIF($E20:T20,"µ")+COUNTIF($E20:T20,1)-1,INDEX(Roadmap!$D:$K,MATCH($E20,Roadmap!$D:$D,0)-1+COUNTIF($E20:T20,"u")+COUNTIF($E20:T20,"t")+COUNTIF($E20:T20,"¶")+COUNTIF($E20:T20,"²")+COUNTIF($E20:T20,"µ")+COUNTIF($E20:T20,1),ColDescriptionCourte)),""),
  "")),"")</f>
        <v/>
      </c>
      <c r="V20" s="40" t="str">
        <f ca="1">IFERROR(IF(AND(
  INDEX(Roadmap!$D:$K,MATCH($E20,Roadmap!$D:$D,0)+COUNTIF($E20:U20,"u")+COUNTIF($E20:U20,"t")+COUNTIF($E20:U20,"¶")+COUNTIF($E20:U20,"²")+COUNTIF($E20:U20,"µ")+COUNTIF($E20:U20,1),ColLivraison)=V$6,
  VLOOKUP($E20,INDIRECT("tri!"&amp; CHAR(64+ C0Col) &amp;":"&amp; CHAR(65+C0Col)),2,FALSE)&gt;COUNTIF($E20:U20,"u")+COUNTIF($E20:U20,"t")+COUNTIF($E20:U20,"¶")+COUNTIF($E20:U20,"²")+COUNTIF($E20:U20,"µ")+COUNTIF($E20:U20,1)),
HYPERLINK("#Roadmap!C"&amp; MATCH($E20,Roadmap!$D:$D,0)+COUNTIF($E20:U20,"u")+COUNTIF($E20:U20,"t"),
     INDEX(Roadmap!$D:$K,MATCH($E20,Roadmap!$D:$D,0)+COUNTIF($E20:U20,"u")+COUNTIF($E20:U20,"t")+COUNTIF($E20:U20,"¶")+COUNTIF($E20:U20,"²")+COUNTIF($E20:U20,"µ")+COUNTIF($E20:U20,1),ColTypeEcheance)),
  IF(LEN(U20)=1,
  IF(LEN(INDEX(Roadmap!$D:$K,MATCH($E20,Roadmap!$D:$D,0)-1+COUNTIF($E20:U20,"u")+COUNTIF($E20:U20,"t")+COUNTIF($E20:U20,"¶")+COUNTIF($E20:U20,"²")+COUNTIF($E20:U20,"µ")+COUNTIF($E20:U20,1),ColDescriptionCourte))&gt;1,
HYPERLINK("#Roadmap!C"&amp; MATCH($E20,Roadmap!$D:$D,0)+COUNTIF($E20:U20,"u")+COUNTIF($E20:U20,"t")+COUNTIF($E20:U20,"¶")+COUNTIF($E20:U20,"²")+COUNTIF($E20:U20,"µ")+COUNTIF($E20:U20,1)-1,INDEX(Roadmap!$D:$K,MATCH($E20,Roadmap!$D:$D,0)-1+COUNTIF($E20:U20,"u")+COUNTIF($E20:U20,"t")+COUNTIF($E20:U20,"¶")+COUNTIF($E20:U20,"²")+COUNTIF($E20:U20,"µ")+COUNTIF($E20:U20,1),ColDescriptionCourte)),""),
  "")),"")</f>
        <v/>
      </c>
      <c r="W20" s="40"/>
      <c r="X20" s="40"/>
      <c r="Y20" s="40"/>
      <c r="Z20" s="40"/>
      <c r="AA20" s="40"/>
      <c r="AB20" s="40"/>
      <c r="AC20" s="40"/>
      <c r="AD20" s="40"/>
      <c r="AE20" s="40"/>
      <c r="AF20" s="40"/>
      <c r="AG20" s="40"/>
      <c r="AH20" s="23" t="str">
        <f ca="1">IFERROR(IF(AND(
  INDEX(Roadmap!$D:$K,MATCH($E20,Roadmap!$D:$D,0)+COUNTIF($E20:AG20,"u")+COUNTIF($E20:AG20,"t")+COUNTIF($E20:AG20,1),ColLivraison)=AH$6,
  VLOOKUP($E20,INDIRECT("tri!"&amp; CHAR(64+ C0Col) &amp;":"&amp; CHAR(65+C0Col)),2,FALSE)&gt;COUNTIF($E20:AG20,"u")+COUNTIF($E20:AG20,"t")+COUNTIF($E20:AG20,1)),
HYPERLINK("#Roadmap!C"&amp; MATCH($E20,Roadmap!$D:$D,0)+COUNTIF($E20:AG20,"u")+COUNTIF($E20:AG20,"t"),
     INDEX(Roadmap!$D:$K,MATCH($E20,Roadmap!$D:$D,0)+COUNTIF($E20:AG20,"u")+COUNTIF($E20:AG20,"t")+COUNTIF($E20:AG20,1),ColTypeEcheance)),
  IF(OR(AG20="u",AG20="t",AG20=1),
  IF(LEN(INDEX(Roadmap!$D:$K,MATCH($E20,Roadmap!$D:$D,0)-1+COUNTIF($E20:AG20,"u")+COUNTIF($E20:AG20,"t")+COUNTIF($E20:AG20,1),ColDescriptionCourte))&gt;1,
HYPERLINK("#Roadmap!C"&amp; MATCH($E20,Roadmap!$D:$D,0)+COUNTIF($E20:AG20,"u")+COUNTIF($E20:AG20,"t")+COUNTIF($E20:AG20,1)-1,INDEX(Roadmap!$D:$K,MATCH($E20,Roadmap!$D:$D,0)-1+COUNTIF($E20:AG20,"u")+COUNTIF($E20:AG20,"t")+COUNTIF($E20:AG20,1),ColDescriptionCourte)),""),
  "")),"")</f>
        <v/>
      </c>
      <c r="AI20" s="23"/>
      <c r="AJ20" s="22"/>
      <c r="AK20" s="23"/>
      <c r="AL20" s="23"/>
      <c r="AM20" s="23"/>
    </row>
    <row r="21" spans="4:39" s="21" customFormat="1" ht="15.95" customHeight="1">
      <c r="D21" s="20" t="str">
        <f t="shared" ca="1" si="26"/>
        <v/>
      </c>
      <c r="E21" s="53" t="str">
        <f t="shared" ca="1" si="19"/>
        <v/>
      </c>
      <c r="F21" s="39"/>
      <c r="G21" s="40"/>
      <c r="H21" s="40"/>
      <c r="I21" s="40"/>
      <c r="J21" s="40"/>
      <c r="K21" s="17" t="str">
        <f ca="1">IFERROR(IF(AND(
  INDEX(Roadmap!$D:$K,MATCH($E21,Roadmap!$D:$D,0)+COUNTIF($E21:J21,"u")+COUNTIF($E21:J21,"t")+COUNTIF($E21:J21,"¶")+COUNTIF($E21:J21,"²")+COUNTIF($E21:J21,"µ")+COUNTIF($E21:J21,1),ColLivraison)=K$6,
  VLOOKUP($E21,INDIRECT("tri!"&amp; CHAR(64+ C0Col) &amp;":"&amp; CHAR(65+C0Col)),2,FALSE)&gt;COUNTIF($E21:J21,"u")+COUNTIF($E21:J21,"t")+COUNTIF($E21:J21,"¶")+COUNTIF($E21:J21,"²")+COUNTIF($E21:J21,"µ")+COUNTIF($E21:J21,1)),
HYPERLINK("#Roadmap!C"&amp; MATCH($E21,Roadmap!$D:$D,0)+COUNTIF($E21:J21,"u")+COUNTIF($E21:J21,"t"),
     INDEX(Roadmap!$D:$K,MATCH($E21,Roadmap!$D:$D,0)+COUNTIF($E21:J21,"u")+COUNTIF($E21:J21,"t")+COUNTIF($E21:J21,"¶")+COUNTIF($E21:J21,"²")+COUNTIF($E21:J21,"µ")+COUNTIF($E21:J21,1),ColTypeEcheance)),
  IF(LEN(J21)=1,
  IF(LEN(INDEX(Roadmap!$D:$K,MATCH($E21,Roadmap!$D:$D,0)-1+COUNTIF($E21:J21,"u")+COUNTIF($E21:J21,"t")+COUNTIF($E21:J21,"¶")+COUNTIF($E21:J21,"²")+COUNTIF($E21:J21,"µ")+COUNTIF($E21:J21,1),ColDescriptionCourte))&gt;1,
HYPERLINK("#Roadmap!C"&amp; MATCH($E21,Roadmap!$D:$D,0)+COUNTIF($E21:J21,"u")+COUNTIF($E21:J21,"t")+COUNTIF($E21:J21,"¶")+COUNTIF($E21:J21,"²")+COUNTIF($E21:J21,"µ")+COUNTIF($E21:J21,1)-1,INDEX(Roadmap!$D:$K,MATCH($E21,Roadmap!$D:$D,0)-1+COUNTIF($E21:J21,"u")+COUNTIF($E21:J21,"t")+COUNTIF($E21:J21,"¶")+COUNTIF($E21:J21,"²")+COUNTIF($E21:J21,"µ")+COUNTIF($E21:J21,1),ColDescriptionCourte)),""),
  "")),"")</f>
        <v/>
      </c>
      <c r="L21" s="39" t="str">
        <f ca="1">IFERROR(IF(AND(
  INDEX(Roadmap!$D:$K,MATCH($E21,Roadmap!$D:$D,0)+COUNTIF($E21:K21,"u")+COUNTIF($E21:K21,"t")+COUNTIF($E21:K21,"¶")+COUNTIF($E21:K21,"²")+COUNTIF($E21:K21,"µ")+COUNTIF($E21:K21,1),ColLivraison)=L$6,
  VLOOKUP($E21,INDIRECT("tri!"&amp; CHAR(64+ C0Col) &amp;":"&amp; CHAR(65+C0Col)),2,FALSE)&gt;COUNTIF($E21:K21,"u")+COUNTIF($E21:K21,"t")+COUNTIF($E21:K21,"¶")+COUNTIF($E21:K21,"²")+COUNTIF($E21:K21,"µ")+COUNTIF($E21:K21,1)),
HYPERLINK("#Roadmap!C"&amp; MATCH($E21,Roadmap!$D:$D,0)+COUNTIF($E21:K21,"u")+COUNTIF($E21:K21,"t"),
     INDEX(Roadmap!$D:$K,MATCH($E21,Roadmap!$D:$D,0)+COUNTIF($E21:K21,"u")+COUNTIF($E21:K21,"t")+COUNTIF($E21:K21,"¶")+COUNTIF($E21:K21,"²")+COUNTIF($E21:K21,"µ")+COUNTIF($E21:K21,1),ColTypeEcheance)),
  IF(LEN(K21)=1,
  IF(LEN(INDEX(Roadmap!$D:$K,MATCH($E21,Roadmap!$D:$D,0)-1+COUNTIF($E21:K21,"u")+COUNTIF($E21:K21,"t")+COUNTIF($E21:K21,"¶")+COUNTIF($E21:K21,"²")+COUNTIF($E21:K21,"µ")+COUNTIF($E21:K21,1),ColDescriptionCourte))&gt;1,
HYPERLINK("#Roadmap!C"&amp; MATCH($E21,Roadmap!$D:$D,0)+COUNTIF($E21:K21,"u")+COUNTIF($E21:K21,"t")+COUNTIF($E21:K21,"¶")+COUNTIF($E21:K21,"²")+COUNTIF($E21:K21,"µ")+COUNTIF($E21:K21,1)-1,INDEX(Roadmap!$D:$K,MATCH($E21,Roadmap!$D:$D,0)-1+COUNTIF($E21:K21,"u")+COUNTIF($E21:K21,"t")+COUNTIF($E21:K21,"¶")+COUNTIF($E21:K21,"²")+COUNTIF($E21:K21,"µ")+COUNTIF($E21:K21,1),ColDescriptionCourte)),""),
  "")),"")</f>
        <v/>
      </c>
      <c r="M21" s="40"/>
      <c r="N21" s="40"/>
      <c r="O21" s="40"/>
      <c r="P21" s="40"/>
      <c r="Q21" s="40"/>
      <c r="R21" s="40"/>
      <c r="S21" s="40"/>
      <c r="T21" s="40"/>
      <c r="U21" s="40"/>
      <c r="V21" s="40"/>
      <c r="W21" s="40"/>
      <c r="X21" s="40"/>
      <c r="Y21" s="40"/>
      <c r="Z21" s="40"/>
      <c r="AA21" s="40"/>
      <c r="AB21" s="40"/>
      <c r="AC21" s="40"/>
      <c r="AD21" s="40"/>
      <c r="AE21" s="40"/>
      <c r="AF21" s="40"/>
      <c r="AG21" s="40"/>
      <c r="AH21" s="23" t="str">
        <f ca="1">IFERROR(IF(AND(
  INDEX(Roadmap!$D:$K,MATCH($E21,Roadmap!$D:$D,0)+COUNTIF($E21:AG21,"u")+COUNTIF($E21:AG21,"t")+COUNTIF($E21:AG21,1),ColLivraison)=AH$6,
  VLOOKUP($E21,INDIRECT("tri!"&amp; CHAR(64+ C0Col) &amp;":"&amp; CHAR(65+C0Col)),2,FALSE)&gt;COUNTIF($E21:AG21,"u")+COUNTIF($E21:AG21,"t")+COUNTIF($E21:AG21,1)),
HYPERLINK("#Roadmap!C"&amp; MATCH($E21,Roadmap!$D:$D,0)+COUNTIF($E21:AG21,"u")+COUNTIF($E21:AG21,"t"),
     INDEX(Roadmap!$D:$K,MATCH($E21,Roadmap!$D:$D,0)+COUNTIF($E21:AG21,"u")+COUNTIF($E21:AG21,"t")+COUNTIF($E21:AG21,1),ColTypeEcheance)),
  IF(OR(AG21="u",AG21="t",AG21=1),
  IF(LEN(INDEX(Roadmap!$D:$K,MATCH($E21,Roadmap!$D:$D,0)-1+COUNTIF($E21:AG21,"u")+COUNTIF($E21:AG21,"t")+COUNTIF($E21:AG21,1),ColDescriptionCourte))&gt;1,
HYPERLINK("#Roadmap!C"&amp; MATCH($E21,Roadmap!$D:$D,0)+COUNTIF($E21:AG21,"u")+COUNTIF($E21:AG21,"t")+COUNTIF($E21:AG21,1)-1,INDEX(Roadmap!$D:$K,MATCH($E21,Roadmap!$D:$D,0)-1+COUNTIF($E21:AG21,"u")+COUNTIF($E21:AG21,"t")+COUNTIF($E21:AG21,1),ColDescriptionCourte)),""),
  "")),"")</f>
        <v/>
      </c>
      <c r="AI21" s="23"/>
      <c r="AJ21" s="23"/>
      <c r="AK21" s="23"/>
      <c r="AL21" s="23"/>
      <c r="AM21" s="23"/>
    </row>
    <row r="22" spans="4:39" s="21" customFormat="1" ht="15.95" customHeight="1">
      <c r="D22" s="20" t="str">
        <f t="shared" ca="1" si="26"/>
        <v/>
      </c>
      <c r="E22" s="53" t="str">
        <f t="shared" ca="1" si="19"/>
        <v/>
      </c>
      <c r="F22" s="39"/>
      <c r="G22" s="40"/>
      <c r="H22" s="40"/>
      <c r="I22" s="40"/>
      <c r="J22" s="40"/>
      <c r="K22" s="17" t="str">
        <f ca="1">IFERROR(IF(AND(
  INDEX(Roadmap!$D:$K,MATCH($E22,Roadmap!$D:$D,0)+COUNTIF($E22:J22,"u")+COUNTIF($E22:J22,"t")+COUNTIF($E22:J22,"¶")+COUNTIF($E22:J22,"²")+COUNTIF($E22:J22,"µ")+COUNTIF($E22:J22,1),ColLivraison)=K$6,
  VLOOKUP($E22,INDIRECT("tri!"&amp; CHAR(64+ C0Col) &amp;":"&amp; CHAR(65+C0Col)),2,FALSE)&gt;COUNTIF($E22:J22,"u")+COUNTIF($E22:J22,"t")+COUNTIF($E22:J22,"¶")+COUNTIF($E22:J22,"²")+COUNTIF($E22:J22,"µ")+COUNTIF($E22:J22,1)),
HYPERLINK("#Roadmap!C"&amp; MATCH($E22,Roadmap!$D:$D,0)+COUNTIF($E22:J22,"u")+COUNTIF($E22:J22,"t"),
     INDEX(Roadmap!$D:$K,MATCH($E22,Roadmap!$D:$D,0)+COUNTIF($E22:J22,"u")+COUNTIF($E22:J22,"t")+COUNTIF($E22:J22,"¶")+COUNTIF($E22:J22,"²")+COUNTIF($E22:J22,"µ")+COUNTIF($E22:J22,1),ColTypeEcheance)),
  IF(LEN(J22)=1,
  IF(LEN(INDEX(Roadmap!$D:$K,MATCH($E22,Roadmap!$D:$D,0)-1+COUNTIF($E22:J22,"u")+COUNTIF($E22:J22,"t")+COUNTIF($E22:J22,"¶")+COUNTIF($E22:J22,"²")+COUNTIF($E22:J22,"µ")+COUNTIF($E22:J22,1),ColDescriptionCourte))&gt;1,
HYPERLINK("#Roadmap!C"&amp; MATCH($E22,Roadmap!$D:$D,0)+COUNTIF($E22:J22,"u")+COUNTIF($E22:J22,"t")+COUNTIF($E22:J22,"¶")+COUNTIF($E22:J22,"²")+COUNTIF($E22:J22,"µ")+COUNTIF($E22:J22,1)-1,INDEX(Roadmap!$D:$K,MATCH($E22,Roadmap!$D:$D,0)-1+COUNTIF($E22:J22,"u")+COUNTIF($E22:J22,"t")+COUNTIF($E22:J22,"¶")+COUNTIF($E22:J22,"²")+COUNTIF($E22:J22,"µ")+COUNTIF($E22:J22,1),ColDescriptionCourte)),""),
  "")),"")</f>
        <v/>
      </c>
      <c r="L22" s="39" t="str">
        <f ca="1">IFERROR(IF(AND(
  INDEX(Roadmap!$D:$K,MATCH($E22,Roadmap!$D:$D,0)+COUNTIF($E22:K22,"u")+COUNTIF($E22:K22,"t")+COUNTIF($E22:K22,"¶")+COUNTIF($E22:K22,"²")+COUNTIF($E22:K22,"µ")+COUNTIF($E22:K22,1),ColLivraison)=L$6,
  VLOOKUP($E22,INDIRECT("tri!"&amp; CHAR(64+ C0Col) &amp;":"&amp; CHAR(65+C0Col)),2,FALSE)&gt;COUNTIF($E22:K22,"u")+COUNTIF($E22:K22,"t")+COUNTIF($E22:K22,"¶")+COUNTIF($E22:K22,"²")+COUNTIF($E22:K22,"µ")+COUNTIF($E22:K22,1)),
HYPERLINK("#Roadmap!C"&amp; MATCH($E22,Roadmap!$D:$D,0)+COUNTIF($E22:K22,"u")+COUNTIF($E22:K22,"t"),
     INDEX(Roadmap!$D:$K,MATCH($E22,Roadmap!$D:$D,0)+COUNTIF($E22:K22,"u")+COUNTIF($E22:K22,"t")+COUNTIF($E22:K22,"¶")+COUNTIF($E22:K22,"²")+COUNTIF($E22:K22,"µ")+COUNTIF($E22:K22,1),ColTypeEcheance)),
  IF(LEN(K22)=1,
  IF(LEN(INDEX(Roadmap!$D:$K,MATCH($E22,Roadmap!$D:$D,0)-1+COUNTIF($E22:K22,"u")+COUNTIF($E22:K22,"t")+COUNTIF($E22:K22,"¶")+COUNTIF($E22:K22,"²")+COUNTIF($E22:K22,"µ")+COUNTIF($E22:K22,1),ColDescriptionCourte))&gt;1,
HYPERLINK("#Roadmap!C"&amp; MATCH($E22,Roadmap!$D:$D,0)+COUNTIF($E22:K22,"u")+COUNTIF($E22:K22,"t")+COUNTIF($E22:K22,"¶")+COUNTIF($E22:K22,"²")+COUNTIF($E22:K22,"µ")+COUNTIF($E22:K22,1)-1,INDEX(Roadmap!$D:$K,MATCH($E22,Roadmap!$D:$D,0)-1+COUNTIF($E22:K22,"u")+COUNTIF($E22:K22,"t")+COUNTIF($E22:K22,"¶")+COUNTIF($E22:K22,"²")+COUNTIF($E22:K22,"µ")+COUNTIF($E22:K22,1),ColDescriptionCourte)),""),
  "")),"")</f>
        <v/>
      </c>
      <c r="M22" s="40"/>
      <c r="N22" s="40"/>
      <c r="O22" s="40"/>
      <c r="P22" s="40"/>
      <c r="Q22" s="40"/>
      <c r="R22" s="40"/>
      <c r="S22" s="40"/>
      <c r="T22" s="40"/>
      <c r="U22" s="40"/>
      <c r="V22" s="40"/>
      <c r="W22" s="40"/>
      <c r="X22" s="40"/>
      <c r="Y22" s="40"/>
      <c r="Z22" s="40"/>
      <c r="AA22" s="40"/>
      <c r="AB22" s="40"/>
      <c r="AC22" s="40"/>
      <c r="AD22" s="40"/>
      <c r="AE22" s="40"/>
      <c r="AF22" s="40"/>
      <c r="AG22" s="40"/>
      <c r="AH22" s="23" t="str">
        <f ca="1">IFERROR(IF(AND(
  INDEX(Roadmap!$D:$K,MATCH($E22,Roadmap!$D:$D,0)+COUNTIF($E22:AG22,"u")+COUNTIF($E22:AG22,"t")+COUNTIF($E22:AG22,1),ColLivraison)=AH$6,
  VLOOKUP($E22,INDIRECT("tri!"&amp; CHAR(64+ C0Col) &amp;":"&amp; CHAR(65+C0Col)),2,FALSE)&gt;COUNTIF($E22:AG22,"u")+COUNTIF($E22:AG22,"t")+COUNTIF($E22:AG22,1)),
HYPERLINK("#Roadmap!C"&amp; MATCH($E22,Roadmap!$D:$D,0)+COUNTIF($E22:AG22,"u")+COUNTIF($E22:AG22,"t"),
     INDEX(Roadmap!$D:$K,MATCH($E22,Roadmap!$D:$D,0)+COUNTIF($E22:AG22,"u")+COUNTIF($E22:AG22,"t")+COUNTIF($E22:AG22,1),ColTypeEcheance)),
  IF(OR(AG22="u",AG22="t",AG22=1),
  IF(LEN(INDEX(Roadmap!$D:$K,MATCH($E22,Roadmap!$D:$D,0)-1+COUNTIF($E22:AG22,"u")+COUNTIF($E22:AG22,"t")+COUNTIF($E22:AG22,1),ColDescriptionCourte))&gt;1,
HYPERLINK("#Roadmap!C"&amp; MATCH($E22,Roadmap!$D:$D,0)+COUNTIF($E22:AG22,"u")+COUNTIF($E22:AG22,"t")+COUNTIF($E22:AG22,1)-1,INDEX(Roadmap!$D:$K,MATCH($E22,Roadmap!$D:$D,0)-1+COUNTIF($E22:AG22,"u")+COUNTIF($E22:AG22,"t")+COUNTIF($E22:AG22,1),ColDescriptionCourte)),""),
  "")),"")</f>
        <v/>
      </c>
      <c r="AI22" s="23"/>
      <c r="AJ22" s="23"/>
      <c r="AK22" s="23"/>
      <c r="AL22" s="23"/>
      <c r="AM22" s="23"/>
    </row>
    <row r="23" spans="4:39" s="21" customFormat="1" ht="15.95" customHeight="1">
      <c r="D23" s="20" t="str">
        <f t="shared" ca="1" si="26"/>
        <v/>
      </c>
      <c r="E23" s="53" t="str">
        <f t="shared" ca="1" si="19"/>
        <v/>
      </c>
      <c r="F23" s="39"/>
      <c r="G23" s="40"/>
      <c r="H23" s="40"/>
      <c r="I23" s="40"/>
      <c r="J23" s="40"/>
      <c r="K23" s="40"/>
      <c r="L23" s="39"/>
      <c r="M23" s="40"/>
      <c r="N23" s="40"/>
      <c r="O23" s="40"/>
      <c r="P23" s="40"/>
      <c r="Q23" s="40"/>
      <c r="R23" s="40"/>
      <c r="S23" s="40"/>
      <c r="T23" s="40"/>
      <c r="U23" s="40"/>
      <c r="V23" s="40"/>
      <c r="W23" s="40"/>
      <c r="X23" s="17" t="str">
        <f ca="1">IFERROR(IF(AND(
  INDEX(Roadmap!$D:$K,MATCH($E23,Roadmap!$D:$D,0)+COUNTIF($E23:W23,"u")+COUNTIF($E23:W23,"t")+COUNTIF($E23:W23,"¶")+COUNTIF($E23:W23,"²")+COUNTIF($E23:W23,"µ")+COUNTIF($E23:W23,1),ColLivraison)=X$6,
  VLOOKUP($E23,INDIRECT("tri!"&amp; CHAR(64+ C0Col) &amp;":"&amp; CHAR(65+C0Col)),2,FALSE)&gt;COUNTIF($E23:W23,"u")+COUNTIF($E23:W23,"t")+COUNTIF($E23:W23,"¶")+COUNTIF($E23:W23,"²")+COUNTIF($E23:W23,"µ")+COUNTIF($E23:W23,1)),
HYPERLINK("#Roadmap!C"&amp; MATCH($E23,Roadmap!$D:$D,0)+COUNTIF($E23:W23,"u")+COUNTIF($E23:W23,"t"),
     INDEX(Roadmap!$D:$K,MATCH($E23,Roadmap!$D:$D,0)+COUNTIF($E23:W23,"u")+COUNTIF($E23:W23,"t")+COUNTIF($E23:W23,"¶")+COUNTIF($E23:W23,"²")+COUNTIF($E23:W23,"µ")+COUNTIF($E23:W23,1),ColTypeEcheance)),
  IF(LEN(W23)=1,
  IF(LEN(INDEX(Roadmap!$D:$K,MATCH($E23,Roadmap!$D:$D,0)-1+COUNTIF($E23:W23,"u")+COUNTIF($E23:W23,"t")+COUNTIF($E23:W23,"¶")+COUNTIF($E23:W23,"²")+COUNTIF($E23:W23,"µ")+COUNTIF($E23:W23,1),ColDescriptionCourte))&gt;1,
HYPERLINK("#Roadmap!C"&amp; MATCH($E23,Roadmap!$D:$D,0)+COUNTIF($E23:W23,"u")+COUNTIF($E23:W23,"t")+COUNTIF($E23:W23,"¶")+COUNTIF($E23:W23,"²")+COUNTIF($E23:W23,"µ")+COUNTIF($E23:W23,1)-1,INDEX(Roadmap!$D:$K,MATCH($E23,Roadmap!$D:$D,0)-1+COUNTIF($E23:W23,"u")+COUNTIF($E23:W23,"t")+COUNTIF($E23:W23,"¶")+COUNTIF($E23:W23,"²")+COUNTIF($E23:W23,"µ")+COUNTIF($E23:W23,1),ColDescriptionCourte)),""),
  "")),"")</f>
        <v/>
      </c>
      <c r="Y23" s="40"/>
      <c r="Z23" s="40"/>
      <c r="AA23" s="40"/>
      <c r="AB23" s="40"/>
      <c r="AC23" s="40"/>
      <c r="AD23" s="40"/>
      <c r="AE23" s="40"/>
      <c r="AF23" s="40"/>
      <c r="AG23" s="40"/>
      <c r="AH23" s="23" t="str">
        <f ca="1">IFERROR(IF(AND(
  INDEX(Roadmap!$D:$K,MATCH($E23,Roadmap!$D:$D,0)+COUNTIF($E23:AG23,"u")+COUNTIF($E23:AG23,"t")+COUNTIF($E23:AG23,1),ColLivraison)=AH$6,
  VLOOKUP($E23,INDIRECT("tri!"&amp; CHAR(64+ C0Col) &amp;":"&amp; CHAR(65+C0Col)),2,FALSE)&gt;COUNTIF($E23:AG23,"u")+COUNTIF($E23:AG23,"t")+COUNTIF($E23:AG23,1)),
HYPERLINK("#Roadmap!C"&amp; MATCH($E23,Roadmap!$D:$D,0)+COUNTIF($E23:AG23,"u")+COUNTIF($E23:AG23,"t"),
     INDEX(Roadmap!$D:$K,MATCH($E23,Roadmap!$D:$D,0)+COUNTIF($E23:AG23,"u")+COUNTIF($E23:AG23,"t")+COUNTIF($E23:AG23,1),ColTypeEcheance)),
  IF(OR(AG23="u",AG23="t",AG23=1),
  IF(LEN(INDEX(Roadmap!$D:$K,MATCH($E23,Roadmap!$D:$D,0)-1+COUNTIF($E23:AG23,"u")+COUNTIF($E23:AG23,"t")+COUNTIF($E23:AG23,1),ColDescriptionCourte))&gt;1,
HYPERLINK("#Roadmap!C"&amp; MATCH($E23,Roadmap!$D:$D,0)+COUNTIF($E23:AG23,"u")+COUNTIF($E23:AG23,"t")+COUNTIF($E23:AG23,1)-1,INDEX(Roadmap!$D:$K,MATCH($E23,Roadmap!$D:$D,0)-1+COUNTIF($E23:AG23,"u")+COUNTIF($E23:AG23,"t")+COUNTIF($E23:AG23,1),ColDescriptionCourte)),""),
  "")),"")</f>
        <v/>
      </c>
      <c r="AI23" s="23"/>
      <c r="AJ23" s="23"/>
      <c r="AK23" s="23"/>
      <c r="AL23" s="23"/>
      <c r="AM23" s="23"/>
    </row>
    <row r="24" spans="4:39" s="21" customFormat="1" ht="15.95" customHeight="1">
      <c r="D24" s="20" t="str">
        <f t="shared" ca="1" si="26"/>
        <v/>
      </c>
      <c r="E24" s="53" t="str">
        <f t="shared" ca="1" si="19"/>
        <v/>
      </c>
      <c r="F24" s="39"/>
      <c r="G24" s="40"/>
      <c r="H24" s="40"/>
      <c r="I24" s="40"/>
      <c r="J24" s="40"/>
      <c r="K24" s="40"/>
      <c r="L24" s="39"/>
      <c r="M24" s="17" t="str">
        <f ca="1">IFERROR(IF(AND(
  INDEX(Roadmap!$D:$K,MATCH($E24,Roadmap!$D:$D,0)+COUNTIF($E24:L24,"u")+COUNTIF($E24:L24,"t")+COUNTIF($E24:L24,"¶")+COUNTIF($E24:L24,"²")+COUNTIF($E24:L24,"µ")+COUNTIF($E24:L24,1),ColLivraison)=M$6,
  VLOOKUP($E24,INDIRECT("tri!"&amp; CHAR(64+ C0Col) &amp;":"&amp; CHAR(65+C0Col)),2,FALSE)&gt;COUNTIF($E24:L24,"u")+COUNTIF($E24:L24,"t")+COUNTIF($E24:L24,"¶")+COUNTIF($E24:L24,"²")+COUNTIF($E24:L24,"µ")+COUNTIF($E24:L24,1)),
HYPERLINK("#Roadmap!C"&amp; MATCH($E24,Roadmap!$D:$D,0)+COUNTIF($E24:L24,"u")+COUNTIF($E24:L24,"t"),
     INDEX(Roadmap!$D:$K,MATCH($E24,Roadmap!$D:$D,0)+COUNTIF($E24:L24,"u")+COUNTIF($E24:L24,"t")+COUNTIF($E24:L24,"¶")+COUNTIF($E24:L24,"²")+COUNTIF($E24:L24,"µ")+COUNTIF($E24:L24,1),ColTypeEcheance)),
  IF(LEN(L24)=1,
  IF(LEN(INDEX(Roadmap!$D:$K,MATCH($E24,Roadmap!$D:$D,0)-1+COUNTIF($E24:L24,"u")+COUNTIF($E24:L24,"t")+COUNTIF($E24:L24,"¶")+COUNTIF($E24:L24,"²")+COUNTIF($E24:L24,"µ")+COUNTIF($E24:L24,1),ColDescriptionCourte))&gt;1,
HYPERLINK("#Roadmap!C"&amp; MATCH($E24,Roadmap!$D:$D,0)+COUNTIF($E24:L24,"u")+COUNTIF($E24:L24,"t")+COUNTIF($E24:L24,"¶")+COUNTIF($E24:L24,"²")+COUNTIF($E24:L24,"µ")+COUNTIF($E24:L24,1)-1,INDEX(Roadmap!$D:$K,MATCH($E24,Roadmap!$D:$D,0)-1+COUNTIF($E24:L24,"u")+COUNTIF($E24:L24,"t")+COUNTIF($E24:L24,"¶")+COUNTIF($E24:L24,"²")+COUNTIF($E24:L24,"µ")+COUNTIF($E24:L24,1),ColDescriptionCourte)),""),
  "")),"")</f>
        <v/>
      </c>
      <c r="N24" s="40" t="str">
        <f ca="1">IFERROR(IF(AND(
  INDEX(Roadmap!$D:$K,MATCH($E24,Roadmap!$D:$D,0)+COUNTIF($E24:M24,"u")+COUNTIF($E24:M24,"t")+COUNTIF($E24:M24,"¶")+COUNTIF($E24:M24,"²")+COUNTIF($E24:M24,"µ")+COUNTIF($E24:M24,1),ColLivraison)=N$6,
  VLOOKUP($E24,INDIRECT("tri!"&amp; CHAR(64+ C0Col) &amp;":"&amp; CHAR(65+C0Col)),2,FALSE)&gt;COUNTIF($E24:M24,"u")+COUNTIF($E24:M24,"t")+COUNTIF($E24:M24,"¶")+COUNTIF($E24:M24,"²")+COUNTIF($E24:M24,"µ")+COUNTIF($E24:M24,1)),
HYPERLINK("#Roadmap!C"&amp; MATCH($E24,Roadmap!$D:$D,0)+COUNTIF($E24:M24,"u")+COUNTIF($E24:M24,"t"),
     INDEX(Roadmap!$D:$K,MATCH($E24,Roadmap!$D:$D,0)+COUNTIF($E24:M24,"u")+COUNTIF($E24:M24,"t")+COUNTIF($E24:M24,"¶")+COUNTIF($E24:M24,"²")+COUNTIF($E24:M24,"µ")+COUNTIF($E24:M24,1),ColTypeEcheance)),
  IF(LEN(M24)=1,
  IF(LEN(INDEX(Roadmap!$D:$K,MATCH($E24,Roadmap!$D:$D,0)-1+COUNTIF($E24:M24,"u")+COUNTIF($E24:M24,"t")+COUNTIF($E24:M24,"¶")+COUNTIF($E24:M24,"²")+COUNTIF($E24:M24,"µ")+COUNTIF($E24:M24,1),ColDescriptionCourte))&gt;1,
HYPERLINK("#Roadmap!C"&amp; MATCH($E24,Roadmap!$D:$D,0)+COUNTIF($E24:M24,"u")+COUNTIF($E24:M24,"t")+COUNTIF($E24:M24,"¶")+COUNTIF($E24:M24,"²")+COUNTIF($E24:M24,"µ")+COUNTIF($E24:M24,1)-1,INDEX(Roadmap!$D:$K,MATCH($E24,Roadmap!$D:$D,0)-1+COUNTIF($E24:M24,"u")+COUNTIF($E24:M24,"t")+COUNTIF($E24:M24,"¶")+COUNTIF($E24:M24,"²")+COUNTIF($E24:M24,"µ")+COUNTIF($E24:M24,1),ColDescriptionCourte)),""),
  "")),"")</f>
        <v/>
      </c>
      <c r="O24" s="40"/>
      <c r="P24" s="40"/>
      <c r="Q24" s="40"/>
      <c r="R24" s="40"/>
      <c r="S24" s="40"/>
      <c r="T24" s="40"/>
      <c r="U24" s="40"/>
      <c r="V24" s="40"/>
      <c r="W24" s="40"/>
      <c r="X24" s="40"/>
      <c r="Y24" s="40"/>
      <c r="Z24" s="40"/>
      <c r="AA24" s="40"/>
      <c r="AB24" s="40"/>
      <c r="AC24" s="40"/>
      <c r="AD24" s="40"/>
      <c r="AE24" s="40"/>
      <c r="AF24" s="40"/>
      <c r="AG24" s="40"/>
      <c r="AH24" s="23" t="str">
        <f ca="1">IFERROR(IF(AND(
  INDEX(Roadmap!$D:$K,MATCH($E24,Roadmap!$D:$D,0)+COUNTIF($E24:AG24,"u")+COUNTIF($E24:AG24,"t")+COUNTIF($E24:AG24,1),ColLivraison)=AH$6,
  VLOOKUP($E24,INDIRECT("tri!"&amp; CHAR(64+ C0Col) &amp;":"&amp; CHAR(65+C0Col)),2,FALSE)&gt;COUNTIF($E24:AG24,"u")+COUNTIF($E24:AG24,"t")+COUNTIF($E24:AG24,1)),
HYPERLINK("#Roadmap!C"&amp; MATCH($E24,Roadmap!$D:$D,0)+COUNTIF($E24:AG24,"u")+COUNTIF($E24:AG24,"t"),
     INDEX(Roadmap!$D:$K,MATCH($E24,Roadmap!$D:$D,0)+COUNTIF($E24:AG24,"u")+COUNTIF($E24:AG24,"t")+COUNTIF($E24:AG24,1),ColTypeEcheance)),
  IF(OR(AG24="u",AG24="t",AG24=1),
  IF(LEN(INDEX(Roadmap!$D:$K,MATCH($E24,Roadmap!$D:$D,0)-1+COUNTIF($E24:AG24,"u")+COUNTIF($E24:AG24,"t")+COUNTIF($E24:AG24,1),ColDescriptionCourte))&gt;1,
HYPERLINK("#Roadmap!C"&amp; MATCH($E24,Roadmap!$D:$D,0)+COUNTIF($E24:AG24,"u")+COUNTIF($E24:AG24,"t")+COUNTIF($E24:AG24,1)-1,INDEX(Roadmap!$D:$K,MATCH($E24,Roadmap!$D:$D,0)-1+COUNTIF($E24:AG24,"u")+COUNTIF($E24:AG24,"t")+COUNTIF($E24:AG24,1),ColDescriptionCourte)),""),
  "")),"")</f>
        <v/>
      </c>
      <c r="AI24" s="23"/>
      <c r="AJ24" s="22"/>
      <c r="AK24" s="23"/>
      <c r="AL24" s="23"/>
      <c r="AM24" s="23"/>
    </row>
    <row r="25" spans="4:39" s="21" customFormat="1" ht="15.95" customHeight="1">
      <c r="D25" s="20" t="str">
        <f t="shared" ca="1" si="26"/>
        <v/>
      </c>
      <c r="E25" s="53"/>
      <c r="F25" s="39"/>
      <c r="G25" s="40"/>
      <c r="H25" s="40"/>
      <c r="I25" s="40"/>
      <c r="J25" s="40"/>
      <c r="K25" s="40"/>
      <c r="L25" s="39"/>
      <c r="M25" s="40"/>
      <c r="N25" s="40"/>
      <c r="O25" s="40"/>
      <c r="P25" s="40"/>
      <c r="Q25" s="40"/>
      <c r="R25" s="40"/>
      <c r="S25" s="40"/>
      <c r="T25" s="40"/>
      <c r="U25" s="40"/>
      <c r="V25" s="40"/>
      <c r="W25" s="40"/>
      <c r="X25" s="40"/>
      <c r="Y25" s="40"/>
      <c r="Z25" s="40"/>
      <c r="AA25" s="40"/>
      <c r="AB25" s="40"/>
      <c r="AC25" s="40"/>
      <c r="AD25" s="40"/>
      <c r="AE25" s="40"/>
      <c r="AF25" s="40"/>
      <c r="AG25" s="40"/>
      <c r="AH25" s="23" t="str">
        <f ca="1">IFERROR(IF(AND(
  INDEX(Roadmap!$D:$K,MATCH($E25,Roadmap!$D:$D,0)+COUNTIF($E25:AG25,"u")+COUNTIF($E25:AG25,"t")+COUNTIF($E25:AG25,1),ColLivraison)=AH$6,
  VLOOKUP($E25,INDIRECT("tri!"&amp; CHAR(64+ C0Col) &amp;":"&amp; CHAR(65+C0Col)),2,FALSE)&gt;COUNTIF($E25:AG25,"u")+COUNTIF($E25:AG25,"t")+COUNTIF($E25:AG25,1)),
HYPERLINK("#Roadmap!C"&amp; MATCH($E25,Roadmap!$D:$D,0)+COUNTIF($E25:AG25,"u")+COUNTIF($E25:AG25,"t"),
     INDEX(Roadmap!$D:$K,MATCH($E25,Roadmap!$D:$D,0)+COUNTIF($E25:AG25,"u")+COUNTIF($E25:AG25,"t")+COUNTIF($E25:AG25,1),ColTypeEcheance)),
  IF(OR(AG25="u",AG25="t",AG25=1),
  IF(LEN(INDEX(Roadmap!$D:$K,MATCH($E25,Roadmap!$D:$D,0)-1+COUNTIF($E25:AG25,"u")+COUNTIF($E25:AG25,"t")+COUNTIF($E25:AG25,1),ColDescriptionCourte))&gt;1,
HYPERLINK("#Roadmap!C"&amp; MATCH($E25,Roadmap!$D:$D,0)+COUNTIF($E25:AG25,"u")+COUNTIF($E25:AG25,"t")+COUNTIF($E25:AG25,1)-1,INDEX(Roadmap!$D:$K,MATCH($E25,Roadmap!$D:$D,0)-1+COUNTIF($E25:AG25,"u")+COUNTIF($E25:AG25,"t")+COUNTIF($E25:AG25,1),ColDescriptionCourte)),""),
  "")),"")</f>
        <v/>
      </c>
      <c r="AI25" s="23"/>
      <c r="AJ25" s="23"/>
      <c r="AK25" s="23"/>
      <c r="AL25" s="23"/>
      <c r="AM25" s="23"/>
    </row>
    <row r="26" spans="4:39" s="21" customFormat="1" ht="15.95" customHeight="1">
      <c r="D26" s="20" t="str">
        <f t="shared" ca="1" si="26"/>
        <v/>
      </c>
      <c r="E26" s="53" t="str">
        <f t="shared" ca="1" si="19"/>
        <v/>
      </c>
      <c r="F26" s="39"/>
      <c r="G26" s="40"/>
      <c r="H26" s="40"/>
      <c r="I26" s="40"/>
      <c r="J26" s="40"/>
      <c r="K26" s="40"/>
      <c r="L26" s="39"/>
      <c r="M26" s="40"/>
      <c r="N26" s="40"/>
      <c r="O26" s="40"/>
      <c r="P26" s="40"/>
      <c r="Q26" s="17" t="str">
        <f ca="1">IFERROR(IF(AND(
  INDEX(Roadmap!$D:$K,MATCH($E26,Roadmap!$D:$D,0)+COUNTIF($E26:P26,"u")+COUNTIF($E26:P26,"t")+COUNTIF($E26:P26,"¶")+COUNTIF($E26:P26,"²")+COUNTIF($E26:P26,"µ")+COUNTIF($E26:P26,1),ColLivraison)=Q$6,
  VLOOKUP($E26,INDIRECT("tri!"&amp; CHAR(64+ C0Col) &amp;":"&amp; CHAR(65+C0Col)),2,FALSE)&gt;COUNTIF($E26:P26,"u")+COUNTIF($E26:P26,"t")+COUNTIF($E26:P26,"¶")+COUNTIF($E26:P26,"²")+COUNTIF($E26:P26,"µ")+COUNTIF($E26:P26,1)),
HYPERLINK("#Roadmap!C"&amp; MATCH($E26,Roadmap!$D:$D,0)+COUNTIF($E26:P26,"u")+COUNTIF($E26:P26,"t"),
     INDEX(Roadmap!$D:$K,MATCH($E26,Roadmap!$D:$D,0)+COUNTIF($E26:P26,"u")+COUNTIF($E26:P26,"t")+COUNTIF($E26:P26,"¶")+COUNTIF($E26:P26,"²")+COUNTIF($E26:P26,"µ")+COUNTIF($E26:P26,1),ColTypeEcheance)),
  IF(LEN(P26)=1,
  IF(LEN(INDEX(Roadmap!$D:$K,MATCH($E26,Roadmap!$D:$D,0)-1+COUNTIF($E26:P26,"u")+COUNTIF($E26:P26,"t")+COUNTIF($E26:P26,"¶")+COUNTIF($E26:P26,"²")+COUNTIF($E26:P26,"µ")+COUNTIF($E26:P26,1),ColDescriptionCourte))&gt;1,
HYPERLINK("#Roadmap!C"&amp; MATCH($E26,Roadmap!$D:$D,0)+COUNTIF($E26:P26,"u")+COUNTIF($E26:P26,"t")+COUNTIF($E26:P26,"¶")+COUNTIF($E26:P26,"²")+COUNTIF($E26:P26,"µ")+COUNTIF($E26:P26,1)-1,INDEX(Roadmap!$D:$K,MATCH($E26,Roadmap!$D:$D,0)-1+COUNTIF($E26:P26,"u")+COUNTIF($E26:P26,"t")+COUNTIF($E26:P26,"¶")+COUNTIF($E26:P26,"²")+COUNTIF($E26:P26,"µ")+COUNTIF($E26:P26,1),ColDescriptionCourte)),""),
  "")),"")</f>
        <v/>
      </c>
      <c r="R26" s="40" t="str">
        <f ca="1">IFERROR(IF(AND(
  INDEX(Roadmap!$D:$K,MATCH($E26,Roadmap!$D:$D,0)+COUNTIF($E26:Q26,"u")+COUNTIF($E26:Q26,"t")+COUNTIF($E26:Q26,"¶")+COUNTIF($E26:Q26,"²")+COUNTIF($E26:Q26,"µ")+COUNTIF($E26:Q26,1),ColLivraison)=R$6,
  VLOOKUP($E26,INDIRECT("tri!"&amp; CHAR(64+ C0Col) &amp;":"&amp; CHAR(65+C0Col)),2,FALSE)&gt;COUNTIF($E26:Q26,"u")+COUNTIF($E26:Q26,"t")+COUNTIF($E26:Q26,"¶")+COUNTIF($E26:Q26,"²")+COUNTIF($E26:Q26,"µ")+COUNTIF($E26:Q26,1)),
HYPERLINK("#Roadmap!C"&amp; MATCH($E26,Roadmap!$D:$D,0)+COUNTIF($E26:Q26,"u")+COUNTIF($E26:Q26,"t"),
     INDEX(Roadmap!$D:$K,MATCH($E26,Roadmap!$D:$D,0)+COUNTIF($E26:Q26,"u")+COUNTIF($E26:Q26,"t")+COUNTIF($E26:Q26,"¶")+COUNTIF($E26:Q26,"²")+COUNTIF($E26:Q26,"µ")+COUNTIF($E26:Q26,1),ColTypeEcheance)),
  IF(LEN(Q26)=1,
  IF(LEN(INDEX(Roadmap!$D:$K,MATCH($E26,Roadmap!$D:$D,0)-1+COUNTIF($E26:Q26,"u")+COUNTIF($E26:Q26,"t")+COUNTIF($E26:Q26,"¶")+COUNTIF($E26:Q26,"²")+COUNTIF($E26:Q26,"µ")+COUNTIF($E26:Q26,1),ColDescriptionCourte))&gt;1,
HYPERLINK("#Roadmap!C"&amp; MATCH($E26,Roadmap!$D:$D,0)+COUNTIF($E26:Q26,"u")+COUNTIF($E26:Q26,"t")+COUNTIF($E26:Q26,"¶")+COUNTIF($E26:Q26,"²")+COUNTIF($E26:Q26,"µ")+COUNTIF($E26:Q26,1)-1,INDEX(Roadmap!$D:$K,MATCH($E26,Roadmap!$D:$D,0)-1+COUNTIF($E26:Q26,"u")+COUNTIF($E26:Q26,"t")+COUNTIF($E26:Q26,"¶")+COUNTIF($E26:Q26,"²")+COUNTIF($E26:Q26,"µ")+COUNTIF($E26:Q26,1),ColDescriptionCourte)),""),
  "")),"")</f>
        <v/>
      </c>
      <c r="S26" s="40"/>
      <c r="T26" s="40"/>
      <c r="U26" s="40"/>
      <c r="V26" s="40"/>
      <c r="W26" s="40"/>
      <c r="X26" s="40"/>
      <c r="Y26" s="40"/>
      <c r="Z26" s="40"/>
      <c r="AA26" s="40"/>
      <c r="AB26" s="40"/>
      <c r="AC26" s="40"/>
      <c r="AD26" s="40"/>
      <c r="AE26" s="40"/>
      <c r="AF26" s="40"/>
      <c r="AG26" s="40"/>
      <c r="AH26" s="23" t="str">
        <f ca="1">IFERROR(IF(AND(
  INDEX(Roadmap!$D:$K,MATCH($E26,Roadmap!$D:$D,0)+COUNTIF($E26:AG26,"u")+COUNTIF($E26:AG26,"t")+COUNTIF($E26:AG26,1),ColLivraison)=AH$6,
  VLOOKUP($E26,INDIRECT("tri!"&amp; CHAR(64+ C0Col) &amp;":"&amp; CHAR(65+C0Col)),2,FALSE)&gt;COUNTIF($E26:AG26,"u")+COUNTIF($E26:AG26,"t")+COUNTIF($E26:AG26,1)),
HYPERLINK("#Roadmap!C"&amp; MATCH($E26,Roadmap!$D:$D,0)+COUNTIF($E26:AG26,"u")+COUNTIF($E26:AG26,"t"),
     INDEX(Roadmap!$D:$K,MATCH($E26,Roadmap!$D:$D,0)+COUNTIF($E26:AG26,"u")+COUNTIF($E26:AG26,"t")+COUNTIF($E26:AG26,1),ColTypeEcheance)),
  IF(OR(AG26="u",AG26="t",AG26=1),
  IF(LEN(INDEX(Roadmap!$D:$K,MATCH($E26,Roadmap!$D:$D,0)-1+COUNTIF($E26:AG26,"u")+COUNTIF($E26:AG26,"t")+COUNTIF($E26:AG26,1),ColDescriptionCourte))&gt;1,
HYPERLINK("#Roadmap!C"&amp; MATCH($E26,Roadmap!$D:$D,0)+COUNTIF($E26:AG26,"u")+COUNTIF($E26:AG26,"t")+COUNTIF($E26:AG26,1)-1,INDEX(Roadmap!$D:$K,MATCH($E26,Roadmap!$D:$D,0)-1+COUNTIF($E26:AG26,"u")+COUNTIF($E26:AG26,"t")+COUNTIF($E26:AG26,1),ColDescriptionCourte)),""),
  "")),"")</f>
        <v/>
      </c>
      <c r="AI26" s="23"/>
      <c r="AJ26" s="23"/>
      <c r="AK26" s="23"/>
      <c r="AL26" s="23"/>
      <c r="AM26" s="23"/>
    </row>
    <row r="27" spans="4:39" s="21" customFormat="1" ht="15.95" customHeight="1">
      <c r="D27" s="20" t="str">
        <f t="shared" ca="1" si="26"/>
        <v/>
      </c>
      <c r="E27" s="53"/>
      <c r="F27" s="39"/>
      <c r="G27" s="40"/>
      <c r="H27" s="40"/>
      <c r="I27" s="40"/>
      <c r="J27" s="40"/>
      <c r="K27" s="40"/>
      <c r="L27" s="39"/>
      <c r="M27" s="40"/>
      <c r="N27" s="40"/>
      <c r="O27" s="40"/>
      <c r="P27" s="40"/>
      <c r="Q27" s="40"/>
      <c r="R27" s="40"/>
      <c r="S27" s="40"/>
      <c r="T27" s="40"/>
      <c r="U27" s="40"/>
      <c r="V27" s="40"/>
      <c r="W27" s="40"/>
      <c r="X27" s="40"/>
      <c r="Y27" s="40"/>
      <c r="Z27" s="40"/>
      <c r="AA27" s="40"/>
      <c r="AB27" s="40"/>
      <c r="AC27" s="40"/>
      <c r="AD27" s="40"/>
      <c r="AE27" s="40"/>
      <c r="AF27" s="40"/>
      <c r="AG27" s="40"/>
      <c r="AH27" s="23" t="str">
        <f ca="1">IFERROR(IF(AND(
  INDEX(Roadmap!$D:$K,MATCH($E27,Roadmap!$D:$D,0)+COUNTIF($E27:AG27,"u")+COUNTIF($E27:AG27,"t")+COUNTIF($E27:AG27,1),ColLivraison)=AH$6,
  VLOOKUP($E27,INDIRECT("tri!"&amp; CHAR(64+ C0Col) &amp;":"&amp; CHAR(65+C0Col)),2,FALSE)&gt;COUNTIF($E27:AG27,"u")+COUNTIF($E27:AG27,"t")+COUNTIF($E27:AG27,1)),
HYPERLINK("#Roadmap!C"&amp; MATCH($E27,Roadmap!$D:$D,0)+COUNTIF($E27:AG27,"u")+COUNTIF($E27:AG27,"t"),
     INDEX(Roadmap!$D:$K,MATCH($E27,Roadmap!$D:$D,0)+COUNTIF($E27:AG27,"u")+COUNTIF($E27:AG27,"t")+COUNTIF($E27:AG27,1),ColTypeEcheance)),
  IF(OR(AG27="u",AG27="t",AG27=1),
  IF(LEN(INDEX(Roadmap!$D:$K,MATCH($E27,Roadmap!$D:$D,0)-1+COUNTIF($E27:AG27,"u")+COUNTIF($E27:AG27,"t")+COUNTIF($E27:AG27,1),ColDescriptionCourte))&gt;1,
HYPERLINK("#Roadmap!C"&amp; MATCH($E27,Roadmap!$D:$D,0)+COUNTIF($E27:AG27,"u")+COUNTIF($E27:AG27,"t")+COUNTIF($E27:AG27,1)-1,INDEX(Roadmap!$D:$K,MATCH($E27,Roadmap!$D:$D,0)-1+COUNTIF($E27:AG27,"u")+COUNTIF($E27:AG27,"t")+COUNTIF($E27:AG27,1),ColDescriptionCourte)),""),
  "")),"")</f>
        <v/>
      </c>
      <c r="AI27" s="23"/>
      <c r="AJ27" s="23"/>
      <c r="AK27" s="23"/>
      <c r="AL27" s="23"/>
      <c r="AM27" s="23"/>
    </row>
    <row r="28" spans="4:39" s="21" customFormat="1" ht="15.95" customHeight="1">
      <c r="D28" s="20" t="str">
        <f t="shared" ca="1" si="26"/>
        <v/>
      </c>
      <c r="E28" s="53" t="str">
        <f t="shared" ca="1" si="19"/>
        <v/>
      </c>
      <c r="F28" s="39"/>
      <c r="G28" s="40"/>
      <c r="H28" s="40"/>
      <c r="I28" s="40"/>
      <c r="J28" s="40"/>
      <c r="K28" s="40"/>
      <c r="L28" s="39"/>
      <c r="M28" s="17" t="str">
        <f ca="1">IFERROR(IF(AND(
  INDEX(Roadmap!$D:$K,MATCH($E28,Roadmap!$D:$D,0)+COUNTIF($E28:L28,"u")+COUNTIF($E28:L28,"t")+COUNTIF($E28:L28,"¶")+COUNTIF($E28:L28,"²")+COUNTIF($E28:L28,"µ")+COUNTIF($E28:L28,1),ColLivraison)=M$6,
  VLOOKUP($E28,INDIRECT("tri!"&amp; CHAR(64+ C0Col) &amp;":"&amp; CHAR(65+C0Col)),2,FALSE)&gt;COUNTIF($E28:L28,"u")+COUNTIF($E28:L28,"t")+COUNTIF($E28:L28,"¶")+COUNTIF($E28:L28,"²")+COUNTIF($E28:L28,"µ")+COUNTIF($E28:L28,1)),
HYPERLINK("#Roadmap!C"&amp; MATCH($E28,Roadmap!$D:$D,0)+COUNTIF($E28:L28,"u")+COUNTIF($E28:L28,"t"),
     INDEX(Roadmap!$D:$K,MATCH($E28,Roadmap!$D:$D,0)+COUNTIF($E28:L28,"u")+COUNTIF($E28:L28,"t")+COUNTIF($E28:L28,"¶")+COUNTIF($E28:L28,"²")+COUNTIF($E28:L28,"µ")+COUNTIF($E28:L28,1),ColTypeEcheance)),
  IF(LEN(L28)=1,
  IF(LEN(INDEX(Roadmap!$D:$K,MATCH($E28,Roadmap!$D:$D,0)-1+COUNTIF($E28:L28,"u")+COUNTIF($E28:L28,"t")+COUNTIF($E28:L28,"¶")+COUNTIF($E28:L28,"²")+COUNTIF($E28:L28,"µ")+COUNTIF($E28:L28,1),ColDescriptionCourte))&gt;1,
HYPERLINK("#Roadmap!C"&amp; MATCH($E28,Roadmap!$D:$D,0)+COUNTIF($E28:L28,"u")+COUNTIF($E28:L28,"t")+COUNTIF($E28:L28,"¶")+COUNTIF($E28:L28,"²")+COUNTIF($E28:L28,"µ")+COUNTIF($E28:L28,1)-1,INDEX(Roadmap!$D:$K,MATCH($E28,Roadmap!$D:$D,0)-1+COUNTIF($E28:L28,"u")+COUNTIF($E28:L28,"t")+COUNTIF($E28:L28,"¶")+COUNTIF($E28:L28,"²")+COUNTIF($E28:L28,"µ")+COUNTIF($E28:L28,1),ColDescriptionCourte)),""),
  "")),"")</f>
        <v/>
      </c>
      <c r="N28" s="40" t="str">
        <f ca="1">IFERROR(IF(AND(
  INDEX(Roadmap!$D:$K,MATCH($E28,Roadmap!$D:$D,0)+COUNTIF($E28:M28,"u")+COUNTIF($E28:M28,"t")+COUNTIF($E28:M28,"¶")+COUNTIF($E28:M28,"²")+COUNTIF($E28:M28,"µ")+COUNTIF($E28:M28,1),ColLivraison)=N$6,
  VLOOKUP($E28,INDIRECT("tri!"&amp; CHAR(64+ C0Col) &amp;":"&amp; CHAR(65+C0Col)),2,FALSE)&gt;COUNTIF($E28:M28,"u")+COUNTIF($E28:M28,"t")+COUNTIF($E28:M28,"¶")+COUNTIF($E28:M28,"²")+COUNTIF($E28:M28,"µ")+COUNTIF($E28:M28,1)),
HYPERLINK("#Roadmap!C"&amp; MATCH($E28,Roadmap!$D:$D,0)+COUNTIF($E28:M28,"u")+COUNTIF($E28:M28,"t"),
     INDEX(Roadmap!$D:$K,MATCH($E28,Roadmap!$D:$D,0)+COUNTIF($E28:M28,"u")+COUNTIF($E28:M28,"t")+COUNTIF($E28:M28,"¶")+COUNTIF($E28:M28,"²")+COUNTIF($E28:M28,"µ")+COUNTIF($E28:M28,1),ColTypeEcheance)),
  IF(LEN(M28)=1,
  IF(LEN(INDEX(Roadmap!$D:$K,MATCH($E28,Roadmap!$D:$D,0)-1+COUNTIF($E28:M28,"u")+COUNTIF($E28:M28,"t")+COUNTIF($E28:M28,"¶")+COUNTIF($E28:M28,"²")+COUNTIF($E28:M28,"µ")+COUNTIF($E28:M28,1),ColDescriptionCourte))&gt;1,
HYPERLINK("#Roadmap!C"&amp; MATCH($E28,Roadmap!$D:$D,0)+COUNTIF($E28:M28,"u")+COUNTIF($E28:M28,"t")+COUNTIF($E28:M28,"¶")+COUNTIF($E28:M28,"²")+COUNTIF($E28:M28,"µ")+COUNTIF($E28:M28,1)-1,INDEX(Roadmap!$D:$K,MATCH($E28,Roadmap!$D:$D,0)-1+COUNTIF($E28:M28,"u")+COUNTIF($E28:M28,"t")+COUNTIF($E28:M28,"¶")+COUNTIF($E28:M28,"²")+COUNTIF($E28:M28,"µ")+COUNTIF($E28:M28,1),ColDescriptionCourte)),""),
  "")),"")</f>
        <v/>
      </c>
      <c r="O28" s="40"/>
      <c r="P28" s="40"/>
      <c r="Q28" s="40"/>
      <c r="R28" s="40"/>
      <c r="S28" s="40"/>
      <c r="T28" s="40"/>
      <c r="U28" s="40"/>
      <c r="V28" s="40"/>
      <c r="W28" s="40"/>
      <c r="X28" s="40"/>
      <c r="Y28" s="40"/>
      <c r="Z28" s="40"/>
      <c r="AA28" s="40"/>
      <c r="AB28" s="40"/>
      <c r="AC28" s="40"/>
      <c r="AD28" s="40"/>
      <c r="AE28" s="40"/>
      <c r="AF28" s="40"/>
      <c r="AG28" s="40"/>
      <c r="AH28" s="23" t="str">
        <f ca="1">IFERROR(IF(AND(
  INDEX(Roadmap!$D:$K,MATCH($E28,Roadmap!$D:$D,0)+COUNTIF($E28:AG28,"u")+COUNTIF($E28:AG28,"t")+COUNTIF($E28:AG28,1),ColLivraison)=AH$6,
  VLOOKUP($E28,INDIRECT("tri!"&amp; CHAR(64+ C0Col) &amp;":"&amp; CHAR(65+C0Col)),2,FALSE)&gt;COUNTIF($E28:AG28,"u")+COUNTIF($E28:AG28,"t")+COUNTIF($E28:AG28,1)),
HYPERLINK("#Roadmap!C"&amp; MATCH($E28,Roadmap!$D:$D,0)+COUNTIF($E28:AG28,"u")+COUNTIF($E28:AG28,"t"),
     INDEX(Roadmap!$D:$K,MATCH($E28,Roadmap!$D:$D,0)+COUNTIF($E28:AG28,"u")+COUNTIF($E28:AG28,"t")+COUNTIF($E28:AG28,1),ColTypeEcheance)),
  IF(OR(AG28="u",AG28="t",AG28=1),
  IF(LEN(INDEX(Roadmap!$D:$K,MATCH($E28,Roadmap!$D:$D,0)-1+COUNTIF($E28:AG28,"u")+COUNTIF($E28:AG28,"t")+COUNTIF($E28:AG28,1),ColDescriptionCourte))&gt;1,
HYPERLINK("#Roadmap!C"&amp; MATCH($E28,Roadmap!$D:$D,0)+COUNTIF($E28:AG28,"u")+COUNTIF($E28:AG28,"t")+COUNTIF($E28:AG28,1)-1,INDEX(Roadmap!$D:$K,MATCH($E28,Roadmap!$D:$D,0)-1+COUNTIF($E28:AG28,"u")+COUNTIF($E28:AG28,"t")+COUNTIF($E28:AG28,1),ColDescriptionCourte)),""),
  "")),"")</f>
        <v/>
      </c>
      <c r="AI28" s="23"/>
      <c r="AJ28" s="23"/>
      <c r="AK28" s="23"/>
      <c r="AL28" s="23"/>
      <c r="AM28" s="23"/>
    </row>
    <row r="29" spans="4:39" s="21" customFormat="1" ht="15.95" customHeight="1">
      <c r="D29" s="20" t="str">
        <f t="shared" ca="1" si="26"/>
        <v/>
      </c>
      <c r="E29" s="53" t="str">
        <f t="shared" ca="1" si="19"/>
        <v/>
      </c>
      <c r="F29" s="39"/>
      <c r="G29" s="40"/>
      <c r="H29" s="40"/>
      <c r="I29" s="40"/>
      <c r="J29" s="40"/>
      <c r="K29" s="40"/>
      <c r="L29" s="42" t="str">
        <f ca="1">IFERROR(IF(AND(
  INDEX(Roadmap!$D:$K,MATCH($E29,Roadmap!$D:$D,0)+COUNTIF($E29:K29,"u")+COUNTIF($E29:K29,"t")+COUNTIF($E29:K29,"¶")+COUNTIF($E29:K29,"²")+COUNTIF($E29:K29,"µ")+COUNTIF($E29:K29,1),ColLivraison)=L$6,
  VLOOKUP($E29,INDIRECT("tri!"&amp; CHAR(64+ C0Col) &amp;":"&amp; CHAR(65+C0Col)),2,FALSE)&gt;COUNTIF($E29:K29,"u")+COUNTIF($E29:K29,"t")+COUNTIF($E29:K29,"¶")+COUNTIF($E29:K29,"²")+COUNTIF($E29:K29,"µ")+COUNTIF($E29:K29,1)),
HYPERLINK("#Roadmap!C"&amp; MATCH($E29,Roadmap!$D:$D,0)+COUNTIF($E29:K29,"u")+COUNTIF($E29:K29,"t"),
     INDEX(Roadmap!$D:$K,MATCH($E29,Roadmap!$D:$D,0)+COUNTIF($E29:K29,"u")+COUNTIF($E29:K29,"t")+COUNTIF($E29:K29,"¶")+COUNTIF($E29:K29,"²")+COUNTIF($E29:K29,"µ")+COUNTIF($E29:K29,1),ColTypeEcheance)),
  IF(LEN(K29)=1,
  IF(LEN(INDEX(Roadmap!$D:$K,MATCH($E29,Roadmap!$D:$D,0)-1+COUNTIF($E29:K29,"u")+COUNTIF($E29:K29,"t")+COUNTIF($E29:K29,"¶")+COUNTIF($E29:K29,"²")+COUNTIF($E29:K29,"µ")+COUNTIF($E29:K29,1),ColDescriptionCourte))&gt;1,
HYPERLINK("#Roadmap!C"&amp; MATCH($E29,Roadmap!$D:$D,0)+COUNTIF($E29:K29,"u")+COUNTIF($E29:K29,"t")+COUNTIF($E29:K29,"¶")+COUNTIF($E29:K29,"²")+COUNTIF($E29:K29,"µ")+COUNTIF($E29:K29,1)-1,INDEX(Roadmap!$D:$K,MATCH($E29,Roadmap!$D:$D,0)-1+COUNTIF($E29:K29,"u")+COUNTIF($E29:K29,"t")+COUNTIF($E29:K29,"¶")+COUNTIF($E29:K29,"²")+COUNTIF($E29:K29,"µ")+COUNTIF($E29:K29,1),ColDescriptionCourte)),""),
  "")),"")</f>
        <v/>
      </c>
      <c r="M29" s="40" t="str">
        <f ca="1">IFERROR(IF(AND(
  INDEX(Roadmap!$D:$K,MATCH($E29,Roadmap!$D:$D,0)+COUNTIF($E29:L29,"u")+COUNTIF($E29:L29,"t")+COUNTIF($E29:L29,"¶")+COUNTIF($E29:L29,"²")+COUNTIF($E29:L29,"µ")+COUNTIF($E29:L29,1),ColLivraison)=M$6,
  VLOOKUP($E29,INDIRECT("tri!"&amp; CHAR(64+ C0Col) &amp;":"&amp; CHAR(65+C0Col)),2,FALSE)&gt;COUNTIF($E29:L29,"u")+COUNTIF($E29:L29,"t")+COUNTIF($E29:L29,"¶")+COUNTIF($E29:L29,"²")+COUNTIF($E29:L29,"µ")+COUNTIF($E29:L29,1)),
HYPERLINK("#Roadmap!C"&amp; MATCH($E29,Roadmap!$D:$D,0)+COUNTIF($E29:L29,"u")+COUNTIF($E29:L29,"t"),
     INDEX(Roadmap!$D:$K,MATCH($E29,Roadmap!$D:$D,0)+COUNTIF($E29:L29,"u")+COUNTIF($E29:L29,"t")+COUNTIF($E29:L29,"¶")+COUNTIF($E29:L29,"²")+COUNTIF($E29:L29,"µ")+COUNTIF($E29:L29,1),ColTypeEcheance)),
  IF(LEN(L29)=1,
  IF(LEN(INDEX(Roadmap!$D:$K,MATCH($E29,Roadmap!$D:$D,0)-1+COUNTIF($E29:L29,"u")+COUNTIF($E29:L29,"t")+COUNTIF($E29:L29,"¶")+COUNTIF($E29:L29,"²")+COUNTIF($E29:L29,"µ")+COUNTIF($E29:L29,1),ColDescriptionCourte))&gt;1,
HYPERLINK("#Roadmap!C"&amp; MATCH($E29,Roadmap!$D:$D,0)+COUNTIF($E29:L29,"u")+COUNTIF($E29:L29,"t")+COUNTIF($E29:L29,"¶")+COUNTIF($E29:L29,"²")+COUNTIF($E29:L29,"µ")+COUNTIF($E29:L29,1)-1,INDEX(Roadmap!$D:$K,MATCH($E29,Roadmap!$D:$D,0)-1+COUNTIF($E29:L29,"u")+COUNTIF($E29:L29,"t")+COUNTIF($E29:L29,"¶")+COUNTIF($E29:L29,"²")+COUNTIF($E29:L29,"µ")+COUNTIF($E29:L29,1),ColDescriptionCourte)),""),
  "")),"")</f>
        <v/>
      </c>
      <c r="N29" s="40"/>
      <c r="O29" s="40"/>
      <c r="P29" s="40"/>
      <c r="Q29" s="40"/>
      <c r="R29" s="40"/>
      <c r="S29" s="17" t="str">
        <f ca="1">IFERROR(IF(AND(
  INDEX(Roadmap!$D:$K,MATCH($E29,Roadmap!$D:$D,0)+COUNTIF($E29:R29,"u")+COUNTIF($E29:R29,"t")+COUNTIF($E29:R29,"¶")+COUNTIF($E29:R29,"²")+COUNTIF($E29:R29,"µ")+COUNTIF($E29:R29,1),ColLivraison)=S$6,
  VLOOKUP($E29,INDIRECT("tri!"&amp; CHAR(64+ C0Col) &amp;":"&amp; CHAR(65+C0Col)),2,FALSE)&gt;COUNTIF($E29:R29,"u")+COUNTIF($E29:R29,"t")+COUNTIF($E29:R29,"¶")+COUNTIF($E29:R29,"²")+COUNTIF($E29:R29,"µ")+COUNTIF($E29:R29,1)),
HYPERLINK("#Roadmap!C"&amp; MATCH($E29,Roadmap!$D:$D,0)+COUNTIF($E29:R29,"u")+COUNTIF($E29:R29,"t"),
     INDEX(Roadmap!$D:$K,MATCH($E29,Roadmap!$D:$D,0)+COUNTIF($E29:R29,"u")+COUNTIF($E29:R29,"t")+COUNTIF($E29:R29,"¶")+COUNTIF($E29:R29,"²")+COUNTIF($E29:R29,"µ")+COUNTIF($E29:R29,1),ColTypeEcheance)),
  IF(LEN(R29)=1,
  IF(LEN(INDEX(Roadmap!$D:$K,MATCH($E29,Roadmap!$D:$D,0)-1+COUNTIF($E29:R29,"u")+COUNTIF($E29:R29,"t")+COUNTIF($E29:R29,"¶")+COUNTIF($E29:R29,"²")+COUNTIF($E29:R29,"µ")+COUNTIF($E29:R29,1),ColDescriptionCourte))&gt;1,
HYPERLINK("#Roadmap!C"&amp; MATCH($E29,Roadmap!$D:$D,0)+COUNTIF($E29:R29,"u")+COUNTIF($E29:R29,"t")+COUNTIF($E29:R29,"¶")+COUNTIF($E29:R29,"²")+COUNTIF($E29:R29,"µ")+COUNTIF($E29:R29,1)-1,INDEX(Roadmap!$D:$K,MATCH($E29,Roadmap!$D:$D,0)-1+COUNTIF($E29:R29,"u")+COUNTIF($E29:R29,"t")+COUNTIF($E29:R29,"¶")+COUNTIF($E29:R29,"²")+COUNTIF($E29:R29,"µ")+COUNTIF($E29:R29,1),ColDescriptionCourte)),""),
  "")),"")</f>
        <v/>
      </c>
      <c r="T29" s="40" t="str">
        <f ca="1">IFERROR(IF(AND(
  INDEX(Roadmap!$D:$K,MATCH($E29,Roadmap!$D:$D,0)+COUNTIF($E29:S29,"u")+COUNTIF($E29:S29,"t")+COUNTIF($E29:S29,"¶")+COUNTIF($E29:S29,"²")+COUNTIF($E29:S29,"µ")+COUNTIF($E29:S29,1),ColLivraison)=T$6,
  VLOOKUP($E29,INDIRECT("tri!"&amp; CHAR(64+ C0Col) &amp;":"&amp; CHAR(65+C0Col)),2,FALSE)&gt;COUNTIF($E29:S29,"u")+COUNTIF($E29:S29,"t")+COUNTIF($E29:S29,"¶")+COUNTIF($E29:S29,"²")+COUNTIF($E29:S29,"µ")+COUNTIF($E29:S29,1)),
HYPERLINK("#Roadmap!C"&amp; MATCH($E29,Roadmap!$D:$D,0)+COUNTIF($E29:S29,"u")+COUNTIF($E29:S29,"t"),
     INDEX(Roadmap!$D:$K,MATCH($E29,Roadmap!$D:$D,0)+COUNTIF($E29:S29,"u")+COUNTIF($E29:S29,"t")+COUNTIF($E29:S29,"¶")+COUNTIF($E29:S29,"²")+COUNTIF($E29:S29,"µ")+COUNTIF($E29:S29,1),ColTypeEcheance)),
  IF(LEN(S29)=1,
  IF(LEN(INDEX(Roadmap!$D:$K,MATCH($E29,Roadmap!$D:$D,0)-1+COUNTIF($E29:S29,"u")+COUNTIF($E29:S29,"t")+COUNTIF($E29:S29,"¶")+COUNTIF($E29:S29,"²")+COUNTIF($E29:S29,"µ")+COUNTIF($E29:S29,1),ColDescriptionCourte))&gt;1,
HYPERLINK("#Roadmap!C"&amp; MATCH($E29,Roadmap!$D:$D,0)+COUNTIF($E29:S29,"u")+COUNTIF($E29:S29,"t")+COUNTIF($E29:S29,"¶")+COUNTIF($E29:S29,"²")+COUNTIF($E29:S29,"µ")+COUNTIF($E29:S29,1)-1,INDEX(Roadmap!$D:$K,MATCH($E29,Roadmap!$D:$D,0)-1+COUNTIF($E29:S29,"u")+COUNTIF($E29:S29,"t")+COUNTIF($E29:S29,"¶")+COUNTIF($E29:S29,"²")+COUNTIF($E29:S29,"µ")+COUNTIF($E29:S29,1),ColDescriptionCourte)),""),
  "")),"")</f>
        <v/>
      </c>
      <c r="U29" s="40"/>
      <c r="V29" s="40"/>
      <c r="W29" s="40"/>
      <c r="X29" s="40"/>
      <c r="Y29" s="40"/>
      <c r="Z29" s="40"/>
      <c r="AA29" s="40"/>
      <c r="AB29" s="40"/>
      <c r="AC29" s="40"/>
      <c r="AD29" s="40"/>
      <c r="AE29" s="40"/>
      <c r="AF29" s="40"/>
      <c r="AG29" s="40"/>
      <c r="AH29" s="23" t="str">
        <f ca="1">IFERROR(IF(AND(
  INDEX(Roadmap!$D:$K,MATCH($E29,Roadmap!$D:$D,0)+COUNTIF($E29:AG29,"u")+COUNTIF($E29:AG29,"t")+COUNTIF($E29:AG29,1),ColLivraison)=AH$6,
  VLOOKUP($E29,INDIRECT("tri!"&amp; CHAR(64+ C0Col) &amp;":"&amp; CHAR(65+C0Col)),2,FALSE)&gt;COUNTIF($E29:AG29,"u")+COUNTIF($E29:AG29,"t")+COUNTIF($E29:AG29,1)),
HYPERLINK("#Roadmap!C"&amp; MATCH($E29,Roadmap!$D:$D,0)+COUNTIF($E29:AG29,"u")+COUNTIF($E29:AG29,"t"),
     INDEX(Roadmap!$D:$K,MATCH($E29,Roadmap!$D:$D,0)+COUNTIF($E29:AG29,"u")+COUNTIF($E29:AG29,"t")+COUNTIF($E29:AG29,1),ColTypeEcheance)),
  IF(OR(AG29="u",AG29="t",AG29=1),
  IF(LEN(INDEX(Roadmap!$D:$K,MATCH($E29,Roadmap!$D:$D,0)-1+COUNTIF($E29:AG29,"u")+COUNTIF($E29:AG29,"t")+COUNTIF($E29:AG29,1),ColDescriptionCourte))&gt;1,
HYPERLINK("#Roadmap!C"&amp; MATCH($E29,Roadmap!$D:$D,0)+COUNTIF($E29:AG29,"u")+COUNTIF($E29:AG29,"t")+COUNTIF($E29:AG29,1)-1,INDEX(Roadmap!$D:$K,MATCH($E29,Roadmap!$D:$D,0)-1+COUNTIF($E29:AG29,"u")+COUNTIF($E29:AG29,"t")+COUNTIF($E29:AG29,1),ColDescriptionCourte)),""),
  "")),"")</f>
        <v/>
      </c>
      <c r="AI29" s="23"/>
      <c r="AJ29" s="23"/>
      <c r="AK29" s="23"/>
      <c r="AL29" s="23"/>
      <c r="AM29" s="23"/>
    </row>
    <row r="30" spans="4:39" s="21" customFormat="1" ht="15.95" customHeight="1">
      <c r="D30" s="20" t="str">
        <f t="shared" ca="1" si="26"/>
        <v/>
      </c>
      <c r="E30" s="53" t="str">
        <f t="shared" ca="1" si="19"/>
        <v/>
      </c>
      <c r="F30" s="39"/>
      <c r="G30" s="40"/>
      <c r="H30" s="40"/>
      <c r="I30" s="40"/>
      <c r="J30" s="40"/>
      <c r="K30" s="40"/>
      <c r="L30" s="39"/>
      <c r="M30" s="40"/>
      <c r="N30" s="40"/>
      <c r="O30" s="40"/>
      <c r="P30" s="40"/>
      <c r="Q30" s="40"/>
      <c r="R30" s="40"/>
      <c r="S30" s="40"/>
      <c r="T30" s="40"/>
      <c r="U30" s="40"/>
      <c r="V30" s="40"/>
      <c r="W30" s="40"/>
      <c r="X30" s="40"/>
      <c r="Y30" s="40"/>
      <c r="Z30" s="40"/>
      <c r="AA30" s="40"/>
      <c r="AB30" s="40"/>
      <c r="AC30" s="40"/>
      <c r="AD30" s="40"/>
      <c r="AE30" s="40"/>
      <c r="AF30" s="40"/>
      <c r="AG30" s="40"/>
      <c r="AH30" s="23" t="str">
        <f ca="1">IFERROR(IF(AND(
  INDEX(Roadmap!$D:$K,MATCH($E30,Roadmap!$D:$D,0)+COUNTIF($E30:AG30,"u")+COUNTIF($E30:AG30,"t")+COUNTIF($E30:AG30,1),ColLivraison)=AH$6,
  VLOOKUP($E30,INDIRECT("tri!"&amp; CHAR(64+ C0Col) &amp;":"&amp; CHAR(65+C0Col)),2,FALSE)&gt;COUNTIF($E30:AG30,"u")+COUNTIF($E30:AG30,"t")+COUNTIF($E30:AG30,1)),
HYPERLINK("#Roadmap!C"&amp; MATCH($E30,Roadmap!$D:$D,0)+COUNTIF($E30:AG30,"u")+COUNTIF($E30:AG30,"t"),
     INDEX(Roadmap!$D:$K,MATCH($E30,Roadmap!$D:$D,0)+COUNTIF($E30:AG30,"u")+COUNTIF($E30:AG30,"t")+COUNTIF($E30:AG30,1),ColTypeEcheance)),
  IF(OR(AG30="u",AG30="t",AG30=1),
  IF(LEN(INDEX(Roadmap!$D:$K,MATCH($E30,Roadmap!$D:$D,0)-1+COUNTIF($E30:AG30,"u")+COUNTIF($E30:AG30,"t")+COUNTIF($E30:AG30,1),ColDescriptionCourte))&gt;1,
HYPERLINK("#Roadmap!C"&amp; MATCH($E30,Roadmap!$D:$D,0)+COUNTIF($E30:AG30,"u")+COUNTIF($E30:AG30,"t")+COUNTIF($E30:AG30,1)-1,INDEX(Roadmap!$D:$K,MATCH($E30,Roadmap!$D:$D,0)-1+COUNTIF($E30:AG30,"u")+COUNTIF($E30:AG30,"t")+COUNTIF($E30:AG30,1),ColDescriptionCourte)),""),
  "")),"")</f>
        <v/>
      </c>
      <c r="AI30" s="23"/>
      <c r="AJ30" s="23"/>
      <c r="AK30" s="22"/>
      <c r="AL30" s="23"/>
      <c r="AM30" s="23"/>
    </row>
    <row r="31" spans="4:39" ht="15.95" customHeight="1">
      <c r="D31" s="20" t="str">
        <f t="shared" ca="1" si="26"/>
        <v/>
      </c>
      <c r="E31" s="53" t="str">
        <f t="shared" ca="1" si="19"/>
        <v/>
      </c>
      <c r="F31" s="39"/>
      <c r="G31" s="40"/>
      <c r="H31" s="40"/>
      <c r="I31" s="40"/>
      <c r="J31" s="40"/>
      <c r="K31" s="40"/>
      <c r="L31" s="39"/>
      <c r="M31" s="40"/>
      <c r="N31" s="40"/>
      <c r="O31" s="40"/>
      <c r="P31" s="40"/>
      <c r="Q31" s="40"/>
      <c r="R31" s="40"/>
      <c r="S31" s="40"/>
      <c r="T31" s="40"/>
      <c r="U31" s="40"/>
      <c r="V31" s="40"/>
      <c r="W31" s="40"/>
      <c r="X31" s="40"/>
      <c r="Y31" s="40"/>
      <c r="Z31" s="40"/>
      <c r="AA31" s="40"/>
      <c r="AB31" s="40"/>
      <c r="AC31" s="40"/>
      <c r="AD31" s="17" t="str">
        <f ca="1">IFERROR(IF(AND(
  INDEX(Roadmap!$D:$K,MATCH($E31,Roadmap!$D:$D,0)+COUNTIF($E31:AC31,"u")+COUNTIF($E31:AC31,"t")+COUNTIF($E31:AC31,"¶")+COUNTIF($E31:AC31,"²")+COUNTIF($E31:AC31,"µ")+COUNTIF($E31:AC31,1),ColLivraison)=AD$6,
  VLOOKUP($E31,INDIRECT("tri!"&amp; CHAR(64+ C0Col) &amp;":"&amp; CHAR(65+C0Col)),2,FALSE)&gt;COUNTIF($E31:AC31,"u")+COUNTIF($E31:AC31,"t")+COUNTIF($E31:AC31,"¶")+COUNTIF($E31:AC31,"²")+COUNTIF($E31:AC31,"µ")+COUNTIF($E31:AC31,1)),
HYPERLINK("#Roadmap!C"&amp; MATCH($E31,Roadmap!$D:$D,0)+COUNTIF($E31:AC31,"u")+COUNTIF($E31:AC31,"t"),
     INDEX(Roadmap!$D:$K,MATCH($E31,Roadmap!$D:$D,0)+COUNTIF($E31:AC31,"u")+COUNTIF($E31:AC31,"t")+COUNTIF($E31:AC31,"¶")+COUNTIF($E31:AC31,"²")+COUNTIF($E31:AC31,"µ")+COUNTIF($E31:AC31,1),ColTypeEcheance)),
  IF(LEN(AC31)=1,
  IF(LEN(INDEX(Roadmap!$D:$K,MATCH($E31,Roadmap!$D:$D,0)-1+COUNTIF($E31:AC31,"u")+COUNTIF($E31:AC31,"t")+COUNTIF($E31:AC31,"¶")+COUNTIF($E31:AC31,"²")+COUNTIF($E31:AC31,"µ")+COUNTIF($E31:AC31,1),ColDescriptionCourte))&gt;1,
HYPERLINK("#Roadmap!C"&amp; MATCH($E31,Roadmap!$D:$D,0)+COUNTIF($E31:AC31,"u")+COUNTIF($E31:AC31,"t")+COUNTIF($E31:AC31,"¶")+COUNTIF($E31:AC31,"²")+COUNTIF($E31:AC31,"µ")+COUNTIF($E31:AC31,1)-1,INDEX(Roadmap!$D:$K,MATCH($E31,Roadmap!$D:$D,0)-1+COUNTIF($E31:AC31,"u")+COUNTIF($E31:AC31,"t")+COUNTIF($E31:AC31,"¶")+COUNTIF($E31:AC31,"²")+COUNTIF($E31:AC31,"µ")+COUNTIF($E31:AC31,1),ColDescriptionCourte)),""),
  "")),"")</f>
        <v/>
      </c>
      <c r="AE31" s="40"/>
      <c r="AF31" s="40"/>
      <c r="AG31" s="40"/>
      <c r="AH31" s="40" t="str">
        <f ca="1">IFERROR(IF(AND(
  INDEX(Roadmap!$D:$K,MATCH($E31,Roadmap!$D:$D,0)+COUNTIF($E31:AG31,"u")+COUNTIF($E31:AG31,"t")+COUNTIF($E31:AG31,1),ColLivraison)=AH$6,
  VLOOKUP($E31,INDIRECT("tri!"&amp; CHAR(64+ C0Col) &amp;":"&amp; CHAR(65+C0Col)),2,FALSE)&gt;COUNTIF($E31:AG31,"u")+COUNTIF($E31:AG31,"t")+COUNTIF($E31:AG31,1)),
HYPERLINK("#Roadmap!C"&amp; MATCH($E31,Roadmap!$D:$D,0)+COUNTIF($E31:AG31,"u")+COUNTIF($E31:AG31,"t"),
     INDEX(Roadmap!$D:$K,MATCH($E31,Roadmap!$D:$D,0)+COUNTIF($E31:AG31,"u")+COUNTIF($E31:AG31,"t")+COUNTIF($E31:AG31,1),ColTypeEcheance)),
  IF(OR(AG31="u",AG31="t",AG31=1),
  IF(LEN(INDEX(Roadmap!$D:$K,MATCH($E31,Roadmap!$D:$D,0)-1+COUNTIF($E31:AG31,"u")+COUNTIF($E31:AG31,"t")+COUNTIF($E31:AG31,1),ColDescriptionCourte))&gt;1,
HYPERLINK("#Roadmap!C"&amp; MATCH($E31,Roadmap!$D:$D,0)+COUNTIF($E31:AG31,"u")+COUNTIF($E31:AG31,"t")+COUNTIF($E31:AG31,1)-1,INDEX(Roadmap!$D:$K,MATCH($E31,Roadmap!$D:$D,0)-1+COUNTIF($E31:AG31,"u")+COUNTIF($E31:AG31,"t")+COUNTIF($E31:AG31,1),ColDescriptionCourte)),""),
  "")),"")</f>
        <v/>
      </c>
      <c r="AI31" s="40"/>
      <c r="AJ31" s="40"/>
      <c r="AK31" s="40"/>
      <c r="AL31" s="17"/>
      <c r="AM31" s="40"/>
    </row>
    <row r="32" spans="4:39" ht="15.95" customHeight="1">
      <c r="D32" s="20" t="str">
        <f t="shared" ca="1" si="26"/>
        <v/>
      </c>
      <c r="E32" s="53" t="str">
        <f t="shared" ca="1" si="19"/>
        <v/>
      </c>
      <c r="F32" s="39"/>
      <c r="G32" s="40"/>
      <c r="H32" s="17" t="str">
        <f ca="1">IFERROR(IF(AND(
  INDEX(Roadmap!$D:$K,MATCH($E32,Roadmap!$D:$D,0)+COUNTIF($E32:G32,"u")+COUNTIF($E32:G32,"t")+COUNTIF($E32:G32,"¶")+COUNTIF($E32:G32,"²")+COUNTIF($E32:G32,"µ")+COUNTIF($E32:G32,1),ColLivraison)=H$6,
  VLOOKUP($E32,INDIRECT("tri!"&amp; CHAR(64+ C0Col) &amp;":"&amp; CHAR(65+C0Col)),2,FALSE)&gt;COUNTIF($E32:G32,"u")+COUNTIF($E32:G32,"t")+COUNTIF($E32:G32,"¶")+COUNTIF($E32:G32,"²")+COUNTIF($E32:G32,"µ")+COUNTIF($E32:G32,1)),
HYPERLINK("#Roadmap!C"&amp; MATCH($E32,Roadmap!$D:$D,0)+COUNTIF($E32:G32,"u")+COUNTIF($E32:G32,"t"),
     INDEX(Roadmap!$D:$K,MATCH($E32,Roadmap!$D:$D,0)+COUNTIF($E32:G32,"u")+COUNTIF($E32:G32,"t")+COUNTIF($E32:G32,"¶")+COUNTIF($E32:G32,"²")+COUNTIF($E32:G32,"µ")+COUNTIF($E32:G32,1),ColTypeEcheance)),
  IF(LEN(G32)=1,
  IF(LEN(INDEX(Roadmap!$D:$K,MATCH($E32,Roadmap!$D:$D,0)-1+COUNTIF($E32:G32,"u")+COUNTIF($E32:G32,"t")+COUNTIF($E32:G32,"¶")+COUNTIF($E32:G32,"²")+COUNTIF($E32:G32,"µ")+COUNTIF($E32:G32,1),ColDescriptionCourte))&gt;1,
HYPERLINK("#Roadmap!C"&amp; MATCH($E32,Roadmap!$D:$D,0)+COUNTIF($E32:G32,"u")+COUNTIF($E32:G32,"t")+COUNTIF($E32:G32,"¶")+COUNTIF($E32:G32,"²")+COUNTIF($E32:G32,"µ")+COUNTIF($E32:G32,1)-1,INDEX(Roadmap!$D:$K,MATCH($E32,Roadmap!$D:$D,0)-1+COUNTIF($E32:G32,"u")+COUNTIF($E32:G32,"t")+COUNTIF($E32:G32,"¶")+COUNTIF($E32:G32,"²")+COUNTIF($E32:G32,"µ")+COUNTIF($E32:G32,1),ColDescriptionCourte)),""),
  "")),"")</f>
        <v/>
      </c>
      <c r="I32" s="17" t="str">
        <f ca="1">IFERROR(IF(AND(
  INDEX(Roadmap!$D:$K,MATCH($E32,Roadmap!$D:$D,0)+COUNTIF($E32:H32,"u")+COUNTIF($E32:H32,"t")+COUNTIF($E32:H32,"¶")+COUNTIF($E32:H32,"²")+COUNTIF($E32:H32,"µ")+COUNTIF($E32:H32,1),ColLivraison)=I$6,
  VLOOKUP($E32,INDIRECT("tri!"&amp; CHAR(64+ C0Col) &amp;":"&amp; CHAR(65+C0Col)),2,FALSE)&gt;COUNTIF($E32:H32,"u")+COUNTIF($E32:H32,"t")+COUNTIF($E32:H32,"¶")+COUNTIF($E32:H32,"²")+COUNTIF($E32:H32,"µ")+COUNTIF($E32:H32,1)),
HYPERLINK("#Roadmap!C"&amp; MATCH($E32,Roadmap!$D:$D,0)+COUNTIF($E32:H32,"u")+COUNTIF($E32:H32,"t"),
     INDEX(Roadmap!$D:$K,MATCH($E32,Roadmap!$D:$D,0)+COUNTIF($E32:H32,"u")+COUNTIF($E32:H32,"t")+COUNTIF($E32:H32,"¶")+COUNTIF($E32:H32,"²")+COUNTIF($E32:H32,"µ")+COUNTIF($E32:H32,1),ColTypeEcheance)),
  IF(LEN(H32)=1,
  IF(LEN(INDEX(Roadmap!$D:$K,MATCH($E32,Roadmap!$D:$D,0)-1+COUNTIF($E32:H32,"u")+COUNTIF($E32:H32,"t")+COUNTIF($E32:H32,"¶")+COUNTIF($E32:H32,"²")+COUNTIF($E32:H32,"µ")+COUNTIF($E32:H32,1),ColDescriptionCourte))&gt;1,
HYPERLINK("#Roadmap!C"&amp; MATCH($E32,Roadmap!$D:$D,0)+COUNTIF($E32:H32,"u")+COUNTIF($E32:H32,"t")+COUNTIF($E32:H32,"¶")+COUNTIF($E32:H32,"²")+COUNTIF($E32:H32,"µ")+COUNTIF($E32:H32,1)-1,INDEX(Roadmap!$D:$K,MATCH($E32,Roadmap!$D:$D,0)-1+COUNTIF($E32:H32,"u")+COUNTIF($E32:H32,"t")+COUNTIF($E32:H32,"¶")+COUNTIF($E32:H32,"²")+COUNTIF($E32:H32,"µ")+COUNTIF($E32:H32,1),ColDescriptionCourte)),""),
  "")),"")</f>
        <v/>
      </c>
      <c r="J32" s="17" t="str">
        <f ca="1">IFERROR(IF(AND(
  INDEX(Roadmap!$D:$K,MATCH($E32,Roadmap!$D:$D,0)+COUNTIF($E32:I32,"u")+COUNTIF($E32:I32,"t")+COUNTIF($E32:I32,"¶")+COUNTIF($E32:I32,"²")+COUNTIF($E32:I32,"µ")+COUNTIF($E32:I32,1),ColLivraison)=J$6,
  VLOOKUP($E32,INDIRECT("tri!"&amp; CHAR(64+ C0Col) &amp;":"&amp; CHAR(65+C0Col)),2,FALSE)&gt;COUNTIF($E32:I32,"u")+COUNTIF($E32:I32,"t")+COUNTIF($E32:I32,"¶")+COUNTIF($E32:I32,"²")+COUNTIF($E32:I32,"µ")+COUNTIF($E32:I32,1)),
HYPERLINK("#Roadmap!C"&amp; MATCH($E32,Roadmap!$D:$D,0)+COUNTIF($E32:I32,"u")+COUNTIF($E32:I32,"t"),
     INDEX(Roadmap!$D:$K,MATCH($E32,Roadmap!$D:$D,0)+COUNTIF($E32:I32,"u")+COUNTIF($E32:I32,"t")+COUNTIF($E32:I32,"¶")+COUNTIF($E32:I32,"²")+COUNTIF($E32:I32,"µ")+COUNTIF($E32:I32,1),ColTypeEcheance)),
  IF(LEN(I32)=1,
  IF(LEN(INDEX(Roadmap!$D:$K,MATCH($E32,Roadmap!$D:$D,0)-1+COUNTIF($E32:I32,"u")+COUNTIF($E32:I32,"t")+COUNTIF($E32:I32,"¶")+COUNTIF($E32:I32,"²")+COUNTIF($E32:I32,"µ")+COUNTIF($E32:I32,1),ColDescriptionCourte))&gt;1,
HYPERLINK("#Roadmap!C"&amp; MATCH($E32,Roadmap!$D:$D,0)+COUNTIF($E32:I32,"u")+COUNTIF($E32:I32,"t")+COUNTIF($E32:I32,"¶")+COUNTIF($E32:I32,"²")+COUNTIF($E32:I32,"µ")+COUNTIF($E32:I32,1)-1,INDEX(Roadmap!$D:$K,MATCH($E32,Roadmap!$D:$D,0)-1+COUNTIF($E32:I32,"u")+COUNTIF($E32:I32,"t")+COUNTIF($E32:I32,"¶")+COUNTIF($E32:I32,"²")+COUNTIF($E32:I32,"µ")+COUNTIF($E32:I32,1),ColDescriptionCourte)),""),
  "")),"")</f>
        <v/>
      </c>
      <c r="K32" s="40" t="str">
        <f ca="1">IFERROR(IF(AND(
  INDEX(Roadmap!$D:$K,MATCH($E32,Roadmap!$D:$D,0)+COUNTIF($E32:J32,"u")+COUNTIF($E32:J32,"t")+COUNTIF($E32:J32,"¶")+COUNTIF($E32:J32,"²")+COUNTIF($E32:J32,"µ")+COUNTIF($E32:J32,1),ColLivraison)=K$6,
  VLOOKUP($E32,INDIRECT("tri!"&amp; CHAR(64+ C0Col) &amp;":"&amp; CHAR(65+C0Col)),2,FALSE)&gt;COUNTIF($E32:J32,"u")+COUNTIF($E32:J32,"t")+COUNTIF($E32:J32,"¶")+COUNTIF($E32:J32,"²")+COUNTIF($E32:J32,"µ")+COUNTIF($E32:J32,1)),
HYPERLINK("#Roadmap!C"&amp; MATCH($E32,Roadmap!$D:$D,0)+COUNTIF($E32:J32,"u")+COUNTIF($E32:J32,"t"),
     INDEX(Roadmap!$D:$K,MATCH($E32,Roadmap!$D:$D,0)+COUNTIF($E32:J32,"u")+COUNTIF($E32:J32,"t")+COUNTIF($E32:J32,"¶")+COUNTIF($E32:J32,"²")+COUNTIF($E32:J32,"µ")+COUNTIF($E32:J32,1),ColTypeEcheance)),
  IF(LEN(J32)=1,
  IF(LEN(INDEX(Roadmap!$D:$K,MATCH($E32,Roadmap!$D:$D,0)-1+COUNTIF($E32:J32,"u")+COUNTIF($E32:J32,"t")+COUNTIF($E32:J32,"¶")+COUNTIF($E32:J32,"²")+COUNTIF($E32:J32,"µ")+COUNTIF($E32:J32,1),ColDescriptionCourte))&gt;1,
HYPERLINK("#Roadmap!C"&amp; MATCH($E32,Roadmap!$D:$D,0)+COUNTIF($E32:J32,"u")+COUNTIF($E32:J32,"t")+COUNTIF($E32:J32,"¶")+COUNTIF($E32:J32,"²")+COUNTIF($E32:J32,"µ")+COUNTIF($E32:J32,1)-1,INDEX(Roadmap!$D:$K,MATCH($E32,Roadmap!$D:$D,0)-1+COUNTIF($E32:J32,"u")+COUNTIF($E32:J32,"t")+COUNTIF($E32:J32,"¶")+COUNTIF($E32:J32,"²")+COUNTIF($E32:J32,"µ")+COUNTIF($E32:J32,1),ColDescriptionCourte)),""),
  "")),"")</f>
        <v/>
      </c>
      <c r="L32" s="39"/>
      <c r="M32" s="17" t="str">
        <f ca="1">IFERROR(IF(AND(
  INDEX(Roadmap!$D:$K,MATCH($E32,Roadmap!$D:$D,0)+COUNTIF($E32:L32,"u")+COUNTIF($E32:L32,"t")+COUNTIF($E32:L32,"¶")+COUNTIF($E32:L32,"²")+COUNTIF($E32:L32,"µ")+COUNTIF($E32:L32,1),ColLivraison)=M$6,
  VLOOKUP($E32,INDIRECT("tri!"&amp; CHAR(64+ C0Col) &amp;":"&amp; CHAR(65+C0Col)),2,FALSE)&gt;COUNTIF($E32:L32,"u")+COUNTIF($E32:L32,"t")+COUNTIF($E32:L32,"¶")+COUNTIF($E32:L32,"²")+COUNTIF($E32:L32,"µ")+COUNTIF($E32:L32,1)),
HYPERLINK("#Roadmap!C"&amp; MATCH($E32,Roadmap!$D:$D,0)+COUNTIF($E32:L32,"u")+COUNTIF($E32:L32,"t"),
     INDEX(Roadmap!$D:$K,MATCH($E32,Roadmap!$D:$D,0)+COUNTIF($E32:L32,"u")+COUNTIF($E32:L32,"t")+COUNTIF($E32:L32,"¶")+COUNTIF($E32:L32,"²")+COUNTIF($E32:L32,"µ")+COUNTIF($E32:L32,1),ColTypeEcheance)),
  IF(LEN(L32)=1,
  IF(LEN(INDEX(Roadmap!$D:$K,MATCH($E32,Roadmap!$D:$D,0)-1+COUNTIF($E32:L32,"u")+COUNTIF($E32:L32,"t")+COUNTIF($E32:L32,"¶")+COUNTIF($E32:L32,"²")+COUNTIF($E32:L32,"µ")+COUNTIF($E32:L32,1),ColDescriptionCourte))&gt;1,
HYPERLINK("#Roadmap!C"&amp; MATCH($E32,Roadmap!$D:$D,0)+COUNTIF($E32:L32,"u")+COUNTIF($E32:L32,"t")+COUNTIF($E32:L32,"¶")+COUNTIF($E32:L32,"²")+COUNTIF($E32:L32,"µ")+COUNTIF($E32:L32,1)-1,INDEX(Roadmap!$D:$K,MATCH($E32,Roadmap!$D:$D,0)-1+COUNTIF($E32:L32,"u")+COUNTIF($E32:L32,"t")+COUNTIF($E32:L32,"¶")+COUNTIF($E32:L32,"²")+COUNTIF($E32:L32,"µ")+COUNTIF($E32:L32,1),ColDescriptionCourte)),""),
  "")),"")</f>
        <v/>
      </c>
      <c r="N32" s="17" t="str">
        <f ca="1">IFERROR(IF(AND(
  INDEX(Roadmap!$D:$K,MATCH($E32,Roadmap!$D:$D,0)+COUNTIF($E32:M32,"u")+COUNTIF($E32:M32,"t")+COUNTIF($E32:M32,"¶")+COUNTIF($E32:M32,"²")+COUNTIF($E32:M32,"µ")+COUNTIF($E32:M32,1),ColLivraison)=N$6,
  VLOOKUP($E32,INDIRECT("tri!"&amp; CHAR(64+ C0Col) &amp;":"&amp; CHAR(65+C0Col)),2,FALSE)&gt;COUNTIF($E32:M32,"u")+COUNTIF($E32:M32,"t")+COUNTIF($E32:M32,"¶")+COUNTIF($E32:M32,"²")+COUNTIF($E32:M32,"µ")+COUNTIF($E32:M32,1)),
HYPERLINK("#Roadmap!C"&amp; MATCH($E32,Roadmap!$D:$D,0)+COUNTIF($E32:M32,"u")+COUNTIF($E32:M32,"t"),
     INDEX(Roadmap!$D:$K,MATCH($E32,Roadmap!$D:$D,0)+COUNTIF($E32:M32,"u")+COUNTIF($E32:M32,"t")+COUNTIF($E32:M32,"¶")+COUNTIF($E32:M32,"²")+COUNTIF($E32:M32,"µ")+COUNTIF($E32:M32,1),ColTypeEcheance)),
  IF(LEN(M32)=1,
  IF(LEN(INDEX(Roadmap!$D:$K,MATCH($E32,Roadmap!$D:$D,0)-1+COUNTIF($E32:M32,"u")+COUNTIF($E32:M32,"t")+COUNTIF($E32:M32,"¶")+COUNTIF($E32:M32,"²")+COUNTIF($E32:M32,"µ")+COUNTIF($E32:M32,1),ColDescriptionCourte))&gt;1,
HYPERLINK("#Roadmap!C"&amp; MATCH($E32,Roadmap!$D:$D,0)+COUNTIF($E32:M32,"u")+COUNTIF($E32:M32,"t")+COUNTIF($E32:M32,"¶")+COUNTIF($E32:M32,"²")+COUNTIF($E32:M32,"µ")+COUNTIF($E32:M32,1)-1,INDEX(Roadmap!$D:$K,MATCH($E32,Roadmap!$D:$D,0)-1+COUNTIF($E32:M32,"u")+COUNTIF($E32:M32,"t")+COUNTIF($E32:M32,"¶")+COUNTIF($E32:M32,"²")+COUNTIF($E32:M32,"µ")+COUNTIF($E32:M32,1),ColDescriptionCourte)),""),
  "")),"")</f>
        <v/>
      </c>
      <c r="O32" s="40" t="str">
        <f ca="1">IFERROR(IF(AND(
  INDEX(Roadmap!$D:$K,MATCH($E32,Roadmap!$D:$D,0)+COUNTIF($E32:N32,"u")+COUNTIF($E32:N32,"t")+COUNTIF($E32:N32,"¶")+COUNTIF($E32:N32,"²")+COUNTIF($E32:N32,"µ")+COUNTIF($E32:N32,1),ColLivraison)=O$6,
  VLOOKUP($E32,INDIRECT("tri!"&amp; CHAR(64+ C0Col) &amp;":"&amp; CHAR(65+C0Col)),2,FALSE)&gt;COUNTIF($E32:N32,"u")+COUNTIF($E32:N32,"t")+COUNTIF($E32:N32,"¶")+COUNTIF($E32:N32,"²")+COUNTIF($E32:N32,"µ")+COUNTIF($E32:N32,1)),
HYPERLINK("#Roadmap!C"&amp; MATCH($E32,Roadmap!$D:$D,0)+COUNTIF($E32:N32,"u")+COUNTIF($E32:N32,"t"),
     INDEX(Roadmap!$D:$K,MATCH($E32,Roadmap!$D:$D,0)+COUNTIF($E32:N32,"u")+COUNTIF($E32:N32,"t")+COUNTIF($E32:N32,"¶")+COUNTIF($E32:N32,"²")+COUNTIF($E32:N32,"µ")+COUNTIF($E32:N32,1),ColTypeEcheance)),
  IF(LEN(N32)=1,
  IF(LEN(INDEX(Roadmap!$D:$K,MATCH($E32,Roadmap!$D:$D,0)-1+COUNTIF($E32:N32,"u")+COUNTIF($E32:N32,"t")+COUNTIF($E32:N32,"¶")+COUNTIF($E32:N32,"²")+COUNTIF($E32:N32,"µ")+COUNTIF($E32:N32,1),ColDescriptionCourte))&gt;1,
HYPERLINK("#Roadmap!C"&amp; MATCH($E32,Roadmap!$D:$D,0)+COUNTIF($E32:N32,"u")+COUNTIF($E32:N32,"t")+COUNTIF($E32:N32,"¶")+COUNTIF($E32:N32,"²")+COUNTIF($E32:N32,"µ")+COUNTIF($E32:N32,1)-1,INDEX(Roadmap!$D:$K,MATCH($E32,Roadmap!$D:$D,0)-1+COUNTIF($E32:N32,"u")+COUNTIF($E32:N32,"t")+COUNTIF($E32:N32,"¶")+COUNTIF($E32:N32,"²")+COUNTIF($E32:N32,"µ")+COUNTIF($E32:N32,1),ColDescriptionCourte)),""),
  "")),"")</f>
        <v/>
      </c>
      <c r="P32" s="40"/>
      <c r="Q32" s="40"/>
      <c r="R32" s="17" t="str">
        <f ca="1">IFERROR(IF(AND(
  INDEX(Roadmap!$D:$K,MATCH($E32,Roadmap!$D:$D,0)+COUNTIF($E32:Q32,"u")+COUNTIF($E32:Q32,"t")+COUNTIF($E32:Q32,"¶")+COUNTIF($E32:Q32,"²")+COUNTIF($E32:Q32,"µ")+COUNTIF($E32:Q32,1),ColLivraison)=R$6,
  VLOOKUP($E32,INDIRECT("tri!"&amp; CHAR(64+ C0Col) &amp;":"&amp; CHAR(65+C0Col)),2,FALSE)&gt;COUNTIF($E32:Q32,"u")+COUNTIF($E32:Q32,"t")+COUNTIF($E32:Q32,"¶")+COUNTIF($E32:Q32,"²")+COUNTIF($E32:Q32,"µ")+COUNTIF($E32:Q32,1)),
HYPERLINK("#Roadmap!C"&amp; MATCH($E32,Roadmap!$D:$D,0)+COUNTIF($E32:Q32,"u")+COUNTIF($E32:Q32,"t"),
     INDEX(Roadmap!$D:$K,MATCH($E32,Roadmap!$D:$D,0)+COUNTIF($E32:Q32,"u")+COUNTIF($E32:Q32,"t")+COUNTIF($E32:Q32,"¶")+COUNTIF($E32:Q32,"²")+COUNTIF($E32:Q32,"µ")+COUNTIF($E32:Q32,1),ColTypeEcheance)),
  IF(LEN(Q32)=1,
  IF(LEN(INDEX(Roadmap!$D:$K,MATCH($E32,Roadmap!$D:$D,0)-1+COUNTIF($E32:Q32,"u")+COUNTIF($E32:Q32,"t")+COUNTIF($E32:Q32,"¶")+COUNTIF($E32:Q32,"²")+COUNTIF($E32:Q32,"µ")+COUNTIF($E32:Q32,1),ColDescriptionCourte))&gt;1,
HYPERLINK("#Roadmap!C"&amp; MATCH($E32,Roadmap!$D:$D,0)+COUNTIF($E32:Q32,"u")+COUNTIF($E32:Q32,"t")+COUNTIF($E32:Q32,"¶")+COUNTIF($E32:Q32,"²")+COUNTIF($E32:Q32,"µ")+COUNTIF($E32:Q32,1)-1,INDEX(Roadmap!$D:$K,MATCH($E32,Roadmap!$D:$D,0)-1+COUNTIF($E32:Q32,"u")+COUNTIF($E32:Q32,"t")+COUNTIF($E32:Q32,"¶")+COUNTIF($E32:Q32,"²")+COUNTIF($E32:Q32,"µ")+COUNTIF($E32:Q32,1),ColDescriptionCourte)),""),
  "")),"")</f>
        <v/>
      </c>
      <c r="S32" s="40" t="str">
        <f ca="1">IFERROR(IF(AND(
  INDEX(Roadmap!$D:$K,MATCH($E32,Roadmap!$D:$D,0)+COUNTIF($E32:R32,"u")+COUNTIF($E32:R32,"t")+COUNTIF($E32:R32,"¶")+COUNTIF($E32:R32,"²")+COUNTIF($E32:R32,"µ")+COUNTIF($E32:R32,1),ColLivraison)=S$6,
  VLOOKUP($E32,INDIRECT("tri!"&amp; CHAR(64+ C0Col) &amp;":"&amp; CHAR(65+C0Col)),2,FALSE)&gt;COUNTIF($E32:R32,"u")+COUNTIF($E32:R32,"t")+COUNTIF($E32:R32,"¶")+COUNTIF($E32:R32,"²")+COUNTIF($E32:R32,"µ")+COUNTIF($E32:R32,1)),
HYPERLINK("#Roadmap!C"&amp; MATCH($E32,Roadmap!$D:$D,0)+COUNTIF($E32:R32,"u")+COUNTIF($E32:R32,"t"),
     INDEX(Roadmap!$D:$K,MATCH($E32,Roadmap!$D:$D,0)+COUNTIF($E32:R32,"u")+COUNTIF($E32:R32,"t")+COUNTIF($E32:R32,"¶")+COUNTIF($E32:R32,"²")+COUNTIF($E32:R32,"µ")+COUNTIF($E32:R32,1),ColTypeEcheance)),
  IF(LEN(R32)=1,
  IF(LEN(INDEX(Roadmap!$D:$K,MATCH($E32,Roadmap!$D:$D,0)-1+COUNTIF($E32:R32,"u")+COUNTIF($E32:R32,"t")+COUNTIF($E32:R32,"¶")+COUNTIF($E32:R32,"²")+COUNTIF($E32:R32,"µ")+COUNTIF($E32:R32,1),ColDescriptionCourte))&gt;1,
HYPERLINK("#Roadmap!C"&amp; MATCH($E32,Roadmap!$D:$D,0)+COUNTIF($E32:R32,"u")+COUNTIF($E32:R32,"t")+COUNTIF($E32:R32,"¶")+COUNTIF($E32:R32,"²")+COUNTIF($E32:R32,"µ")+COUNTIF($E32:R32,1)-1,INDEX(Roadmap!$D:$K,MATCH($E32,Roadmap!$D:$D,0)-1+COUNTIF($E32:R32,"u")+COUNTIF($E32:R32,"t")+COUNTIF($E32:R32,"¶")+COUNTIF($E32:R32,"²")+COUNTIF($E32:R32,"µ")+COUNTIF($E32:R32,1),ColDescriptionCourte)),""),
  "")),"")</f>
        <v/>
      </c>
      <c r="T32" s="40"/>
      <c r="U32" s="40"/>
      <c r="V32" s="40"/>
      <c r="W32" s="40"/>
      <c r="X32" s="40"/>
      <c r="Y32" s="40"/>
      <c r="Z32" s="40"/>
      <c r="AA32" s="40"/>
      <c r="AB32" s="40"/>
      <c r="AC32" s="40"/>
      <c r="AD32" s="40"/>
      <c r="AE32" s="40"/>
      <c r="AF32" s="40"/>
      <c r="AG32" s="40"/>
      <c r="AH32" s="40" t="str">
        <f ca="1">IFERROR(IF(AND(
  INDEX(Roadmap!$D:$K,MATCH($E32,Roadmap!$D:$D,0)+COUNTIF($E32:AG32,"u")+COUNTIF($E32:AG32,"t")+COUNTIF($E32:AG32,1),ColLivraison)=AH$6,
  VLOOKUP($E32,INDIRECT("tri!"&amp; CHAR(64+ C0Col) &amp;":"&amp; CHAR(65+C0Col)),2,FALSE)&gt;COUNTIF($E32:AG32,"u")+COUNTIF($E32:AG32,"t")+COUNTIF($E32:AG32,1)),
HYPERLINK("#Roadmap!C"&amp; MATCH($E32,Roadmap!$D:$D,0)+COUNTIF($E32:AG32,"u")+COUNTIF($E32:AG32,"t"),
     INDEX(Roadmap!$D:$K,MATCH($E32,Roadmap!$D:$D,0)+COUNTIF($E32:AG32,"u")+COUNTIF($E32:AG32,"t")+COUNTIF($E32:AG32,1),ColTypeEcheance)),
  IF(OR(AG32="u",AG32="t",AG32=1),
  IF(LEN(INDEX(Roadmap!$D:$K,MATCH($E32,Roadmap!$D:$D,0)-1+COUNTIF($E32:AG32,"u")+COUNTIF($E32:AG32,"t")+COUNTIF($E32:AG32,1),ColDescriptionCourte))&gt;1,
HYPERLINK("#Roadmap!C"&amp; MATCH($E32,Roadmap!$D:$D,0)+COUNTIF($E32:AG32,"u")+COUNTIF($E32:AG32,"t")+COUNTIF($E32:AG32,1)-1,INDEX(Roadmap!$D:$K,MATCH($E32,Roadmap!$D:$D,0)-1+COUNTIF($E32:AG32,"u")+COUNTIF($E32:AG32,"t")+COUNTIF($E32:AG32,1),ColDescriptionCourte)),""),
  "")),"")</f>
        <v/>
      </c>
      <c r="AI32" s="40"/>
      <c r="AJ32" s="40"/>
      <c r="AK32" s="40"/>
      <c r="AL32" s="40"/>
      <c r="AM32" s="40"/>
    </row>
    <row r="33" spans="4:39" ht="14.1" customHeight="1">
      <c r="D33" s="20" t="str">
        <f t="shared" ca="1" si="26"/>
        <v/>
      </c>
      <c r="E33" s="53"/>
      <c r="F33" s="39"/>
      <c r="G33" s="40"/>
      <c r="H33" s="40"/>
      <c r="I33" s="40"/>
      <c r="J33" s="40"/>
      <c r="K33" s="40"/>
      <c r="L33" s="39"/>
      <c r="M33" s="40"/>
      <c r="N33" s="40"/>
      <c r="O33" s="40"/>
      <c r="P33" s="40"/>
      <c r="Q33" s="40"/>
      <c r="R33" s="40"/>
      <c r="S33" s="40"/>
      <c r="T33" s="40"/>
      <c r="U33" s="40"/>
      <c r="V33" s="40"/>
      <c r="W33" s="40"/>
      <c r="X33" s="40"/>
      <c r="Y33" s="40"/>
      <c r="Z33" s="40"/>
      <c r="AA33" s="40"/>
      <c r="AB33" s="40"/>
      <c r="AC33" s="40"/>
      <c r="AD33" s="40"/>
      <c r="AE33" s="40"/>
      <c r="AF33" s="40"/>
      <c r="AG33" s="40"/>
      <c r="AH33" s="40" t="str">
        <f ca="1">IFERROR(IF(AND(
  INDEX(Roadmap!$D:$K,MATCH($E33,Roadmap!$D:$D,0)+COUNTIF($E33:AG33,"u")+COUNTIF($E33:AG33,"t")+COUNTIF($E33:AG33,1),ColLivraison)=AH$6,
  VLOOKUP($E33,INDIRECT("tri!"&amp; CHAR(64+ C0Col) &amp;":"&amp; CHAR(65+C0Col)),2,FALSE)&gt;COUNTIF($E33:AG33,"u")+COUNTIF($E33:AG33,"t")+COUNTIF($E33:AG33,1)),
HYPERLINK("#Roadmap!C"&amp; MATCH($E33,Roadmap!$D:$D,0)+COUNTIF($E33:AG33,"u")+COUNTIF($E33:AG33,"t"),
     INDEX(Roadmap!$D:$K,MATCH($E33,Roadmap!$D:$D,0)+COUNTIF($E33:AG33,"u")+COUNTIF($E33:AG33,"t")+COUNTIF($E33:AG33,1),ColTypeEcheance)),
  IF(OR(AG33="u",AG33="t",AG33=1),
  IF(LEN(INDEX(Roadmap!$D:$K,MATCH($E33,Roadmap!$D:$D,0)-1+COUNTIF($E33:AG33,"u")+COUNTIF($E33:AG33,"t")+COUNTIF($E33:AG33,1),ColDescriptionCourte))&gt;1,
HYPERLINK("#Roadmap!C"&amp; MATCH($E33,Roadmap!$D:$D,0)+COUNTIF($E33:AG33,"u")+COUNTIF($E33:AG33,"t")+COUNTIF($E33:AG33,1)-1,INDEX(Roadmap!$D:$K,MATCH($E33,Roadmap!$D:$D,0)-1+COUNTIF($E33:AG33,"u")+COUNTIF($E33:AG33,"t")+COUNTIF($E33:AG33,1),ColDescriptionCourte)),""),
  "")),"")</f>
        <v/>
      </c>
      <c r="AI33" s="40"/>
      <c r="AJ33" s="40"/>
      <c r="AK33" s="17"/>
      <c r="AL33" s="40"/>
      <c r="AM33" s="40"/>
    </row>
    <row r="34" spans="4:39" ht="14.1" customHeight="1">
      <c r="D34" s="20" t="str">
        <f t="shared" ca="1" si="26"/>
        <v/>
      </c>
      <c r="E34" s="53" t="str">
        <f t="shared" ca="1" si="19"/>
        <v/>
      </c>
      <c r="F34" s="39"/>
      <c r="G34" s="40"/>
      <c r="H34" s="40"/>
      <c r="I34" s="40"/>
      <c r="J34" s="40"/>
      <c r="K34" s="40"/>
      <c r="L34" s="42" t="str">
        <f ca="1">IFERROR(IF(AND(
  INDEX(Roadmap!$D:$K,MATCH($E34,Roadmap!$D:$D,0)+COUNTIF($E34:K34,"u")+COUNTIF($E34:K34,"t")+COUNTIF($E34:K34,"¶")+COUNTIF($E34:K34,"²")+COUNTIF($E34:K34,"µ")+COUNTIF($E34:K34,1),ColLivraison)=L$6,
  VLOOKUP($E34,INDIRECT("tri!"&amp; CHAR(64+ C0Col) &amp;":"&amp; CHAR(65+C0Col)),2,FALSE)&gt;COUNTIF($E34:K34,"u")+COUNTIF($E34:K34,"t")+COUNTIF($E34:K34,"¶")+COUNTIF($E34:K34,"²")+COUNTIF($E34:K34,"µ")+COUNTIF($E34:K34,1)),
HYPERLINK("#Roadmap!C"&amp; MATCH($E34,Roadmap!$D:$D,0)+COUNTIF($E34:K34,"u")+COUNTIF($E34:K34,"t"),
     INDEX(Roadmap!$D:$K,MATCH($E34,Roadmap!$D:$D,0)+COUNTIF($E34:K34,"u")+COUNTIF($E34:K34,"t")+COUNTIF($E34:K34,"¶")+COUNTIF($E34:K34,"²")+COUNTIF($E34:K34,"µ")+COUNTIF($E34:K34,1),ColTypeEcheance)),
  IF(LEN(K34)=1,
  IF(LEN(INDEX(Roadmap!$D:$K,MATCH($E34,Roadmap!$D:$D,0)-1+COUNTIF($E34:K34,"u")+COUNTIF($E34:K34,"t")+COUNTIF($E34:K34,"¶")+COUNTIF($E34:K34,"²")+COUNTIF($E34:K34,"µ")+COUNTIF($E34:K34,1),ColDescriptionCourte))&gt;1,
HYPERLINK("#Roadmap!C"&amp; MATCH($E34,Roadmap!$D:$D,0)+COUNTIF($E34:K34,"u")+COUNTIF($E34:K34,"t")+COUNTIF($E34:K34,"¶")+COUNTIF($E34:K34,"²")+COUNTIF($E34:K34,"µ")+COUNTIF($E34:K34,1)-1,INDEX(Roadmap!$D:$K,MATCH($E34,Roadmap!$D:$D,0)-1+COUNTIF($E34:K34,"u")+COUNTIF($E34:K34,"t")+COUNTIF($E34:K34,"¶")+COUNTIF($E34:K34,"²")+COUNTIF($E34:K34,"µ")+COUNTIF($E34:K34,1),ColDescriptionCourte)),""),
  "")),"")</f>
        <v/>
      </c>
      <c r="M34" s="40" t="str">
        <f ca="1">IFERROR(IF(AND(
  INDEX(Roadmap!$D:$K,MATCH($E34,Roadmap!$D:$D,0)+COUNTIF($E34:L34,"u")+COUNTIF($E34:L34,"t")+COUNTIF($E34:L34,"¶")+COUNTIF($E34:L34,"²")+COUNTIF($E34:L34,"µ")+COUNTIF($E34:L34,1),ColLivraison)=M$6,
  VLOOKUP($E34,INDIRECT("tri!"&amp; CHAR(64+ C0Col) &amp;":"&amp; CHAR(65+C0Col)),2,FALSE)&gt;COUNTIF($E34:L34,"u")+COUNTIF($E34:L34,"t")+COUNTIF($E34:L34,"¶")+COUNTIF($E34:L34,"²")+COUNTIF($E34:L34,"µ")+COUNTIF($E34:L34,1)),
HYPERLINK("#Roadmap!C"&amp; MATCH($E34,Roadmap!$D:$D,0)+COUNTIF($E34:L34,"u")+COUNTIF($E34:L34,"t"),
     INDEX(Roadmap!$D:$K,MATCH($E34,Roadmap!$D:$D,0)+COUNTIF($E34:L34,"u")+COUNTIF($E34:L34,"t")+COUNTIF($E34:L34,"¶")+COUNTIF($E34:L34,"²")+COUNTIF($E34:L34,"µ")+COUNTIF($E34:L34,1),ColTypeEcheance)),
  IF(LEN(L34)=1,
  IF(LEN(INDEX(Roadmap!$D:$K,MATCH($E34,Roadmap!$D:$D,0)-1+COUNTIF($E34:L34,"u")+COUNTIF($E34:L34,"t")+COUNTIF($E34:L34,"¶")+COUNTIF($E34:L34,"²")+COUNTIF($E34:L34,"µ")+COUNTIF($E34:L34,1),ColDescriptionCourte))&gt;1,
HYPERLINK("#Roadmap!C"&amp; MATCH($E34,Roadmap!$D:$D,0)+COUNTIF($E34:L34,"u")+COUNTIF($E34:L34,"t")+COUNTIF($E34:L34,"¶")+COUNTIF($E34:L34,"²")+COUNTIF($E34:L34,"µ")+COUNTIF($E34:L34,1)-1,INDEX(Roadmap!$D:$K,MATCH($E34,Roadmap!$D:$D,0)-1+COUNTIF($E34:L34,"u")+COUNTIF($E34:L34,"t")+COUNTIF($E34:L34,"¶")+COUNTIF($E34:L34,"²")+COUNTIF($E34:L34,"µ")+COUNTIF($E34:L34,1),ColDescriptionCourte)),""),
  "")),"")</f>
        <v/>
      </c>
      <c r="N34" s="40"/>
      <c r="O34" s="40"/>
      <c r="P34" s="40"/>
      <c r="Q34" s="40"/>
      <c r="R34" s="40"/>
      <c r="S34" s="40"/>
      <c r="T34" s="40"/>
      <c r="U34" s="40"/>
      <c r="V34" s="40"/>
      <c r="W34" s="40"/>
      <c r="X34" s="40"/>
      <c r="Y34" s="40"/>
      <c r="Z34" s="40"/>
      <c r="AA34" s="40"/>
      <c r="AB34" s="40"/>
      <c r="AC34" s="40"/>
      <c r="AD34" s="40"/>
      <c r="AE34" s="40"/>
      <c r="AF34" s="40"/>
      <c r="AG34" s="40"/>
      <c r="AH34" s="40" t="str">
        <f ca="1">IFERROR(IF(AND(
  INDEX(Roadmap!$D:$K,MATCH($E34,Roadmap!$D:$D,0)+COUNTIF($E34:AG34,"u")+COUNTIF($E34:AG34,"t")+COUNTIF($E34:AG34,1),ColLivraison)=AH$6,
  VLOOKUP($E34,INDIRECT("tri!"&amp; CHAR(64+ C0Col) &amp;":"&amp; CHAR(65+C0Col)),2,FALSE)&gt;COUNTIF($E34:AG34,"u")+COUNTIF($E34:AG34,"t")+COUNTIF($E34:AG34,1)),
HYPERLINK("#Roadmap!C"&amp; MATCH($E34,Roadmap!$D:$D,0)+COUNTIF($E34:AG34,"u")+COUNTIF($E34:AG34,"t"),
     INDEX(Roadmap!$D:$K,MATCH($E34,Roadmap!$D:$D,0)+COUNTIF($E34:AG34,"u")+COUNTIF($E34:AG34,"t")+COUNTIF($E34:AG34,1),ColTypeEcheance)),
  IF(OR(AG34="u",AG34="t",AG34=1),
  IF(LEN(INDEX(Roadmap!$D:$K,MATCH($E34,Roadmap!$D:$D,0)-1+COUNTIF($E34:AG34,"u")+COUNTIF($E34:AG34,"t")+COUNTIF($E34:AG34,1),ColDescriptionCourte))&gt;1,
HYPERLINK("#Roadmap!C"&amp; MATCH($E34,Roadmap!$D:$D,0)+COUNTIF($E34:AG34,"u")+COUNTIF($E34:AG34,"t")+COUNTIF($E34:AG34,1)-1,INDEX(Roadmap!$D:$K,MATCH($E34,Roadmap!$D:$D,0)-1+COUNTIF($E34:AG34,"u")+COUNTIF($E34:AG34,"t")+COUNTIF($E34:AG34,1),ColDescriptionCourte)),""),
  "")),"")</f>
        <v/>
      </c>
      <c r="AI34" s="40"/>
      <c r="AJ34" s="40"/>
      <c r="AK34" s="40"/>
      <c r="AL34" s="40"/>
      <c r="AM34" s="40"/>
    </row>
    <row r="35" spans="4:39" ht="14.1" customHeight="1">
      <c r="D35" s="20" t="str">
        <f t="shared" ca="1" si="26"/>
        <v/>
      </c>
      <c r="E35" s="53" t="str">
        <f t="shared" ca="1" si="19"/>
        <v/>
      </c>
      <c r="F35" s="39"/>
      <c r="G35" s="40"/>
      <c r="H35" s="40"/>
      <c r="I35" s="40"/>
      <c r="J35" s="40"/>
      <c r="K35" s="40"/>
      <c r="L35" s="39"/>
      <c r="M35" s="40"/>
      <c r="N35" s="40"/>
      <c r="O35" s="40"/>
      <c r="P35" s="40"/>
      <c r="Q35" s="17" t="str">
        <f ca="1">IFERROR(IF(AND(
  INDEX(Roadmap!$D:$K,MATCH($E35,Roadmap!$D:$D,0)+COUNTIF($E35:P35,"u")+COUNTIF($E35:P35,"t")+COUNTIF($E35:P35,"¶")+COUNTIF($E35:P35,"²")+COUNTIF($E35:P35,"µ")+COUNTIF($E35:P35,1),ColLivraison)=Q$6,
  VLOOKUP($E35,INDIRECT("tri!"&amp; CHAR(64+ C0Col) &amp;":"&amp; CHAR(65+C0Col)),2,FALSE)&gt;COUNTIF($E35:P35,"u")+COUNTIF($E35:P35,"t")+COUNTIF($E35:P35,"¶")+COUNTIF($E35:P35,"²")+COUNTIF($E35:P35,"µ")+COUNTIF($E35:P35,1)),
HYPERLINK("#Roadmap!C"&amp; MATCH($E35,Roadmap!$D:$D,0)+COUNTIF($E35:P35,"u")+COUNTIF($E35:P35,"t"),
     INDEX(Roadmap!$D:$K,MATCH($E35,Roadmap!$D:$D,0)+COUNTIF($E35:P35,"u")+COUNTIF($E35:P35,"t")+COUNTIF($E35:P35,"¶")+COUNTIF($E35:P35,"²")+COUNTIF($E35:P35,"µ")+COUNTIF($E35:P35,1),ColTypeEcheance)),
  IF(LEN(P35)=1,
  IF(LEN(INDEX(Roadmap!$D:$K,MATCH($E35,Roadmap!$D:$D,0)-1+COUNTIF($E35:P35,"u")+COUNTIF($E35:P35,"t")+COUNTIF($E35:P35,"¶")+COUNTIF($E35:P35,"²")+COUNTIF($E35:P35,"µ")+COUNTIF($E35:P35,1),ColDescriptionCourte))&gt;1,
HYPERLINK("#Roadmap!C"&amp; MATCH($E35,Roadmap!$D:$D,0)+COUNTIF($E35:P35,"u")+COUNTIF($E35:P35,"t")+COUNTIF($E35:P35,"¶")+COUNTIF($E35:P35,"²")+COUNTIF($E35:P35,"µ")+COUNTIF($E35:P35,1)-1,INDEX(Roadmap!$D:$K,MATCH($E35,Roadmap!$D:$D,0)-1+COUNTIF($E35:P35,"u")+COUNTIF($E35:P35,"t")+COUNTIF($E35:P35,"¶")+COUNTIF($E35:P35,"²")+COUNTIF($E35:P35,"µ")+COUNTIF($E35:P35,1),ColDescriptionCourte)),""),
  "")),"")</f>
        <v/>
      </c>
      <c r="R35" s="40" t="str">
        <f ca="1">IFERROR(IF(AND(
  INDEX(Roadmap!$D:$K,MATCH($E35,Roadmap!$D:$D,0)+COUNTIF($E35:Q35,"u")+COUNTIF($E35:Q35,"t")+COUNTIF($E35:Q35,"¶")+COUNTIF($E35:Q35,"²")+COUNTIF($E35:Q35,"µ")+COUNTIF($E35:Q35,1),ColLivraison)=R$6,
  VLOOKUP($E35,INDIRECT("tri!"&amp; CHAR(64+ C0Col) &amp;":"&amp; CHAR(65+C0Col)),2,FALSE)&gt;COUNTIF($E35:Q35,"u")+COUNTIF($E35:Q35,"t")+COUNTIF($E35:Q35,"¶")+COUNTIF($E35:Q35,"²")+COUNTIF($E35:Q35,"µ")+COUNTIF($E35:Q35,1)),
HYPERLINK("#Roadmap!C"&amp; MATCH($E35,Roadmap!$D:$D,0)+COUNTIF($E35:Q35,"u")+COUNTIF($E35:Q35,"t"),
     INDEX(Roadmap!$D:$K,MATCH($E35,Roadmap!$D:$D,0)+COUNTIF($E35:Q35,"u")+COUNTIF($E35:Q35,"t")+COUNTIF($E35:Q35,"¶")+COUNTIF($E35:Q35,"²")+COUNTIF($E35:Q35,"µ")+COUNTIF($E35:Q35,1),ColTypeEcheance)),
  IF(LEN(Q35)=1,
  IF(LEN(INDEX(Roadmap!$D:$K,MATCH($E35,Roadmap!$D:$D,0)-1+COUNTIF($E35:Q35,"u")+COUNTIF($E35:Q35,"t")+COUNTIF($E35:Q35,"¶")+COUNTIF($E35:Q35,"²")+COUNTIF($E35:Q35,"µ")+COUNTIF($E35:Q35,1),ColDescriptionCourte))&gt;1,
HYPERLINK("#Roadmap!C"&amp; MATCH($E35,Roadmap!$D:$D,0)+COUNTIF($E35:Q35,"u")+COUNTIF($E35:Q35,"t")+COUNTIF($E35:Q35,"¶")+COUNTIF($E35:Q35,"²")+COUNTIF($E35:Q35,"µ")+COUNTIF($E35:Q35,1)-1,INDEX(Roadmap!$D:$K,MATCH($E35,Roadmap!$D:$D,0)-1+COUNTIF($E35:Q35,"u")+COUNTIF($E35:Q35,"t")+COUNTIF($E35:Q35,"¶")+COUNTIF($E35:Q35,"²")+COUNTIF($E35:Q35,"µ")+COUNTIF($E35:Q35,1),ColDescriptionCourte)),""),
  "")),"")</f>
        <v/>
      </c>
      <c r="S35" s="40"/>
      <c r="T35" s="40"/>
      <c r="U35" s="40"/>
      <c r="V35" s="40"/>
      <c r="W35" s="40"/>
      <c r="X35" s="40"/>
      <c r="Y35" s="40"/>
      <c r="Z35" s="40"/>
      <c r="AA35" s="40"/>
      <c r="AB35" s="40"/>
      <c r="AC35" s="40"/>
      <c r="AD35" s="40"/>
      <c r="AE35" s="40"/>
      <c r="AF35" s="40"/>
      <c r="AG35" s="40"/>
      <c r="AH35" s="40" t="str">
        <f ca="1">IFERROR(IF(AND(
  INDEX(Roadmap!$D:$K,MATCH($E35,Roadmap!$D:$D,0)+COUNTIF($E35:AG35,"u")+COUNTIF($E35:AG35,"t")+COUNTIF($E35:AG35,1),ColLivraison)=AH$6,
  VLOOKUP($E35,INDIRECT("tri!"&amp; CHAR(64+ C0Col) &amp;":"&amp; CHAR(65+C0Col)),2,FALSE)&gt;COUNTIF($E35:AG35,"u")+COUNTIF($E35:AG35,"t")+COUNTIF($E35:AG35,1)),
HYPERLINK("#Roadmap!C"&amp; MATCH($E35,Roadmap!$D:$D,0)+COUNTIF($E35:AG35,"u")+COUNTIF($E35:AG35,"t"),
     INDEX(Roadmap!$D:$K,MATCH($E35,Roadmap!$D:$D,0)+COUNTIF($E35:AG35,"u")+COUNTIF($E35:AG35,"t")+COUNTIF($E35:AG35,1),ColTypeEcheance)),
  IF(OR(AG35="u",AG35="t",AG35=1),
  IF(LEN(INDEX(Roadmap!$D:$K,MATCH($E35,Roadmap!$D:$D,0)-1+COUNTIF($E35:AG35,"u")+COUNTIF($E35:AG35,"t")+COUNTIF($E35:AG35,1),ColDescriptionCourte))&gt;1,
HYPERLINK("#Roadmap!C"&amp; MATCH($E35,Roadmap!$D:$D,0)+COUNTIF($E35:AG35,"u")+COUNTIF($E35:AG35,"t")+COUNTIF($E35:AG35,1)-1,INDEX(Roadmap!$D:$K,MATCH($E35,Roadmap!$D:$D,0)-1+COUNTIF($E35:AG35,"u")+COUNTIF($E35:AG35,"t")+COUNTIF($E35:AG35,1),ColDescriptionCourte)),""),
  "")),"")</f>
        <v/>
      </c>
      <c r="AI35" s="40"/>
      <c r="AJ35" s="17"/>
      <c r="AK35" s="40"/>
      <c r="AL35" s="40"/>
      <c r="AM35" s="40"/>
    </row>
    <row r="36" spans="4:39" ht="14.1" customHeight="1">
      <c r="D36" s="20" t="str">
        <f t="shared" ca="1" si="26"/>
        <v/>
      </c>
      <c r="E36" s="53" t="str">
        <f t="shared" ca="1" si="19"/>
        <v/>
      </c>
      <c r="F36" s="39"/>
      <c r="G36" s="40"/>
      <c r="H36" s="40"/>
      <c r="I36" s="40"/>
      <c r="J36" s="40"/>
      <c r="K36" s="40"/>
      <c r="L36" s="39"/>
      <c r="M36" s="40"/>
      <c r="N36" s="40"/>
      <c r="O36" s="40"/>
      <c r="P36" s="40"/>
      <c r="Q36" s="40"/>
      <c r="R36" s="40"/>
      <c r="S36" s="40"/>
      <c r="T36" s="40"/>
      <c r="U36" s="40"/>
      <c r="V36" s="40"/>
      <c r="W36" s="40"/>
      <c r="X36" s="40"/>
      <c r="Y36" s="40"/>
      <c r="Z36" s="40"/>
      <c r="AA36" s="40"/>
      <c r="AB36" s="40"/>
      <c r="AC36" s="40"/>
      <c r="AD36" s="17" t="str">
        <f ca="1">IFERROR(IF(AND(
  INDEX(Roadmap!$D:$K,MATCH($E36,Roadmap!$D:$D,0)+COUNTIF($E36:AC36,"u")+COUNTIF($E36:AC36,"t")+COUNTIF($E36:AC36,"¶")+COUNTIF($E36:AC36,"²")+COUNTIF($E36:AC36,"µ")+COUNTIF($E36:AC36,1),ColLivraison)=AD$6,
  VLOOKUP($E36,INDIRECT("tri!"&amp; CHAR(64+ C0Col) &amp;":"&amp; CHAR(65+C0Col)),2,FALSE)&gt;COUNTIF($E36:AC36,"u")+COUNTIF($E36:AC36,"t")+COUNTIF($E36:AC36,"¶")+COUNTIF($E36:AC36,"²")+COUNTIF($E36:AC36,"µ")+COUNTIF($E36:AC36,1)),
HYPERLINK("#Roadmap!C"&amp; MATCH($E36,Roadmap!$D:$D,0)+COUNTIF($E36:AC36,"u")+COUNTIF($E36:AC36,"t"),
     INDEX(Roadmap!$D:$K,MATCH($E36,Roadmap!$D:$D,0)+COUNTIF($E36:AC36,"u")+COUNTIF($E36:AC36,"t")+COUNTIF($E36:AC36,"¶")+COUNTIF($E36:AC36,"²")+COUNTIF($E36:AC36,"µ")+COUNTIF($E36:AC36,1),ColTypeEcheance)),
  IF(LEN(AC36)=1,
  IF(LEN(INDEX(Roadmap!$D:$K,MATCH($E36,Roadmap!$D:$D,0)-1+COUNTIF($E36:AC36,"u")+COUNTIF($E36:AC36,"t")+COUNTIF($E36:AC36,"¶")+COUNTIF($E36:AC36,"²")+COUNTIF($E36:AC36,"µ")+COUNTIF($E36:AC36,1),ColDescriptionCourte))&gt;1,
HYPERLINK("#Roadmap!C"&amp; MATCH($E36,Roadmap!$D:$D,0)+COUNTIF($E36:AC36,"u")+COUNTIF($E36:AC36,"t")+COUNTIF($E36:AC36,"¶")+COUNTIF($E36:AC36,"²")+COUNTIF($E36:AC36,"µ")+COUNTIF($E36:AC36,1)-1,INDEX(Roadmap!$D:$K,MATCH($E36,Roadmap!$D:$D,0)-1+COUNTIF($E36:AC36,"u")+COUNTIF($E36:AC36,"t")+COUNTIF($E36:AC36,"¶")+COUNTIF($E36:AC36,"²")+COUNTIF($E36:AC36,"µ")+COUNTIF($E36:AC36,1),ColDescriptionCourte)),""),
  "")),"")</f>
        <v/>
      </c>
      <c r="AE36" s="40"/>
      <c r="AF36" s="40"/>
      <c r="AG36" s="40"/>
      <c r="AH36" s="40" t="str">
        <f ca="1">IFERROR(IF(AND(
  INDEX(Roadmap!$D:$K,MATCH($E36,Roadmap!$D:$D,0)+COUNTIF($E36:AG36,"u")+COUNTIF($E36:AG36,"t")+COUNTIF($E36:AG36,1),ColLivraison)=AH$6,
  VLOOKUP($E36,INDIRECT("tri!"&amp; CHAR(64+ C0Col) &amp;":"&amp; CHAR(65+C0Col)),2,FALSE)&gt;COUNTIF($E36:AG36,"u")+COUNTIF($E36:AG36,"t")+COUNTIF($E36:AG36,1)),
HYPERLINK("#Roadmap!C"&amp; MATCH($E36,Roadmap!$D:$D,0)+COUNTIF($E36:AG36,"u")+COUNTIF($E36:AG36,"t"),
     INDEX(Roadmap!$D:$K,MATCH($E36,Roadmap!$D:$D,0)+COUNTIF($E36:AG36,"u")+COUNTIF($E36:AG36,"t")+COUNTIF($E36:AG36,1),ColTypeEcheance)),
  IF(OR(AG36="u",AG36="t",AG36=1),
  IF(LEN(INDEX(Roadmap!$D:$K,MATCH($E36,Roadmap!$D:$D,0)-1+COUNTIF($E36:AG36,"u")+COUNTIF($E36:AG36,"t")+COUNTIF($E36:AG36,1),ColDescriptionCourte))&gt;1,
HYPERLINK("#Roadmap!C"&amp; MATCH($E36,Roadmap!$D:$D,0)+COUNTIF($E36:AG36,"u")+COUNTIF($E36:AG36,"t")+COUNTIF($E36:AG36,1)-1,INDEX(Roadmap!$D:$K,MATCH($E36,Roadmap!$D:$D,0)-1+COUNTIF($E36:AG36,"u")+COUNTIF($E36:AG36,"t")+COUNTIF($E36:AG36,1),ColDescriptionCourte)),""),
  "")),"")</f>
        <v/>
      </c>
      <c r="AI36" s="40"/>
      <c r="AJ36" s="40"/>
      <c r="AK36" s="40"/>
      <c r="AL36" s="40"/>
      <c r="AM36" s="40"/>
    </row>
    <row r="37" spans="4:39" ht="14.1" customHeight="1">
      <c r="D37" s="20" t="str">
        <f t="shared" ca="1" si="26"/>
        <v/>
      </c>
      <c r="E37" s="53" t="str">
        <f t="shared" ca="1" si="19"/>
        <v/>
      </c>
      <c r="F37" s="39"/>
      <c r="G37" s="40"/>
      <c r="H37" s="40"/>
      <c r="I37" s="40"/>
      <c r="J37" s="40"/>
      <c r="K37" s="40"/>
      <c r="L37" s="39"/>
      <c r="M37" s="40"/>
      <c r="N37" s="40"/>
      <c r="O37" s="40"/>
      <c r="P37" s="40"/>
      <c r="Q37" s="40"/>
      <c r="R37" s="40"/>
      <c r="S37" s="40"/>
      <c r="T37" s="40"/>
      <c r="U37" s="40"/>
      <c r="V37" s="40"/>
      <c r="W37" s="40"/>
      <c r="X37" s="40"/>
      <c r="Y37" s="40"/>
      <c r="Z37" s="40"/>
      <c r="AA37" s="40"/>
      <c r="AB37" s="40"/>
      <c r="AC37" s="40"/>
      <c r="AD37" s="40"/>
      <c r="AE37" s="40"/>
      <c r="AF37" s="40"/>
      <c r="AG37" s="40"/>
      <c r="AH37" s="40" t="str">
        <f ca="1">IFERROR(IF(AND(
  INDEX(Roadmap!$D:$K,MATCH($E37,Roadmap!$D:$D,0)+COUNTIF($E37:AG37,"u")+COUNTIF($E37:AG37,"t")+COUNTIF($E37:AG37,1),ColLivraison)=AH$6,
  VLOOKUP($E37,INDIRECT("tri!"&amp; CHAR(64+ C0Col) &amp;":"&amp; CHAR(65+C0Col)),2,FALSE)&gt;COUNTIF($E37:AG37,"u")+COUNTIF($E37:AG37,"t")+COUNTIF($E37:AG37,1)),
HYPERLINK("#Roadmap!C"&amp; MATCH($E37,Roadmap!$D:$D,0)+COUNTIF($E37:AG37,"u")+COUNTIF($E37:AG37,"t"),
     INDEX(Roadmap!$D:$K,MATCH($E37,Roadmap!$D:$D,0)+COUNTIF($E37:AG37,"u")+COUNTIF($E37:AG37,"t")+COUNTIF($E37:AG37,1),ColTypeEcheance)),
  IF(OR(AG37="u",AG37="t",AG37=1),
  IF(LEN(INDEX(Roadmap!$D:$K,MATCH($E37,Roadmap!$D:$D,0)-1+COUNTIF($E37:AG37,"u")+COUNTIF($E37:AG37,"t")+COUNTIF($E37:AG37,1),ColDescriptionCourte))&gt;1,
HYPERLINK("#Roadmap!C"&amp; MATCH($E37,Roadmap!$D:$D,0)+COUNTIF($E37:AG37,"u")+COUNTIF($E37:AG37,"t")+COUNTIF($E37:AG37,1)-1,INDEX(Roadmap!$D:$K,MATCH($E37,Roadmap!$D:$D,0)-1+COUNTIF($E37:AG37,"u")+COUNTIF($E37:AG37,"t")+COUNTIF($E37:AG37,1),ColDescriptionCourte)),""),
  "")),"")</f>
        <v/>
      </c>
      <c r="AI37" s="40"/>
      <c r="AJ37" s="40"/>
      <c r="AK37" s="40"/>
      <c r="AL37" s="40"/>
      <c r="AM37" s="40"/>
    </row>
    <row r="38" spans="4:39" ht="14.1" customHeight="1">
      <c r="D38" s="20" t="str">
        <f t="shared" ca="1" si="26"/>
        <v/>
      </c>
      <c r="E38" s="53" t="str">
        <f t="shared" ca="1" si="19"/>
        <v/>
      </c>
      <c r="F38" s="49"/>
      <c r="G38" s="23"/>
      <c r="H38" s="23"/>
      <c r="I38" s="23"/>
      <c r="J38" s="23"/>
      <c r="K38" s="23"/>
      <c r="L38" s="49"/>
      <c r="M38" s="23"/>
      <c r="N38" s="23"/>
      <c r="O38" s="23"/>
      <c r="P38" s="54"/>
      <c r="Q38" s="23"/>
      <c r="R38" s="23"/>
      <c r="S38" s="23"/>
      <c r="T38" s="54"/>
      <c r="U38" s="23"/>
      <c r="V38" s="23"/>
      <c r="W38" s="23"/>
      <c r="X38" s="54"/>
      <c r="Y38" s="23"/>
      <c r="Z38" s="23"/>
      <c r="AA38" s="23"/>
      <c r="AB38" s="23"/>
      <c r="AC38" s="23"/>
      <c r="AD38" s="23"/>
      <c r="AE38" s="23"/>
      <c r="AF38" s="23"/>
      <c r="AG38" s="23"/>
      <c r="AH38" s="40" t="str">
        <f ca="1">IFERROR(IF(AND(
  INDEX(Roadmap!$D:$K,MATCH($E38,Roadmap!$D:$D,0)+COUNTIF($E38:AG38,"u")+COUNTIF($E38:AG38,"t")+COUNTIF($E38:AG38,1),ColLivraison)=AH$6,
  VLOOKUP($E38,INDIRECT("tri!"&amp; CHAR(64+ C0Col) &amp;":"&amp; CHAR(65+C0Col)),2,FALSE)&gt;COUNTIF($E38:AG38,"u")+COUNTIF($E38:AG38,"t")+COUNTIF($E38:AG38,1)),
HYPERLINK("#Roadmap!C"&amp; MATCH($E38,Roadmap!$D:$D,0)+COUNTIF($E38:AG38,"u")+COUNTIF($E38:AG38,"t"),
     INDEX(Roadmap!$D:$K,MATCH($E38,Roadmap!$D:$D,0)+COUNTIF($E38:AG38,"u")+COUNTIF($E38:AG38,"t")+COUNTIF($E38:AG38,1),ColTypeEcheance)),
  IF(OR(AG38="u",AG38="t",AG38=1),
  IF(LEN(INDEX(Roadmap!$D:$K,MATCH($E38,Roadmap!$D:$D,0)-1+COUNTIF($E38:AG38,"u")+COUNTIF($E38:AG38,"t")+COUNTIF($E38:AG38,1),ColDescriptionCourte))&gt;1,
HYPERLINK("#Roadmap!C"&amp; MATCH($E38,Roadmap!$D:$D,0)+COUNTIF($E38:AG38,"u")+COUNTIF($E38:AG38,"t")+COUNTIF($E38:AG38,1)-1,INDEX(Roadmap!$D:$K,MATCH($E38,Roadmap!$D:$D,0)-1+COUNTIF($E38:AG38,"u")+COUNTIF($E38:AG38,"t")+COUNTIF($E38:AG38,1),ColDescriptionCourte)),""),
  "")),"")</f>
        <v/>
      </c>
      <c r="AI38" s="40"/>
      <c r="AJ38" s="40"/>
      <c r="AK38" s="40"/>
      <c r="AL38" s="40"/>
      <c r="AM38" s="40"/>
    </row>
    <row r="39" spans="4:39" ht="14.1" customHeight="1">
      <c r="D39" s="20" t="str">
        <f t="shared" ca="1" si="26"/>
        <v/>
      </c>
      <c r="E39" s="53" t="str">
        <f t="shared" ca="1" si="19"/>
        <v/>
      </c>
      <c r="F39" s="49"/>
      <c r="G39" s="23"/>
      <c r="H39" s="23"/>
      <c r="I39" s="23"/>
      <c r="J39" s="23"/>
      <c r="K39" s="23"/>
      <c r="L39" s="49"/>
      <c r="M39" s="23"/>
      <c r="N39" s="23"/>
      <c r="O39" s="23"/>
      <c r="P39" s="23"/>
      <c r="Q39" s="54"/>
      <c r="R39" s="23"/>
      <c r="S39" s="23"/>
      <c r="T39" s="23"/>
      <c r="U39" s="23"/>
      <c r="V39" s="23"/>
      <c r="W39" s="23"/>
      <c r="X39" s="54"/>
      <c r="Y39" s="23"/>
      <c r="Z39" s="23"/>
      <c r="AA39" s="23"/>
      <c r="AB39" s="23"/>
      <c r="AC39" s="23"/>
      <c r="AD39" s="23"/>
      <c r="AE39" s="23"/>
      <c r="AF39" s="23"/>
      <c r="AG39" s="23"/>
      <c r="AH39" s="40" t="str">
        <f ca="1">IFERROR(IF(AND(
  INDEX(Roadmap!$D:$K,MATCH($E39,Roadmap!$D:$D,0)+COUNTIF($E39:AG39,"u")+COUNTIF($E39:AG39,"t")+COUNTIF($E39:AG39,1),ColLivraison)=AH$6,
  VLOOKUP($E39,INDIRECT("tri!"&amp; CHAR(64+ C0Col) &amp;":"&amp; CHAR(65+C0Col)),2,FALSE)&gt;COUNTIF($E39:AG39,"u")+COUNTIF($E39:AG39,"t")+COUNTIF($E39:AG39,1)),
HYPERLINK("#Roadmap!C"&amp; MATCH($E39,Roadmap!$D:$D,0)+COUNTIF($E39:AG39,"u")+COUNTIF($E39:AG39,"t"),
     INDEX(Roadmap!$D:$K,MATCH($E39,Roadmap!$D:$D,0)+COUNTIF($E39:AG39,"u")+COUNTIF($E39:AG39,"t")+COUNTIF($E39:AG39,1),ColTypeEcheance)),
  IF(OR(AG39="u",AG39="t",AG39=1),
  IF(LEN(INDEX(Roadmap!$D:$K,MATCH($E39,Roadmap!$D:$D,0)-1+COUNTIF($E39:AG39,"u")+COUNTIF($E39:AG39,"t")+COUNTIF($E39:AG39,1),ColDescriptionCourte))&gt;1,
HYPERLINK("#Roadmap!C"&amp; MATCH($E39,Roadmap!$D:$D,0)+COUNTIF($E39:AG39,"u")+COUNTIF($E39:AG39,"t")+COUNTIF($E39:AG39,1)-1,INDEX(Roadmap!$D:$K,MATCH($E39,Roadmap!$D:$D,0)-1+COUNTIF($E39:AG39,"u")+COUNTIF($E39:AG39,"t")+COUNTIF($E39:AG39,1),ColDescriptionCourte)),""),
  "")),"")</f>
        <v/>
      </c>
      <c r="AI39" s="40"/>
      <c r="AJ39" s="40"/>
      <c r="AK39" s="40"/>
      <c r="AL39" s="40"/>
      <c r="AM39" s="40"/>
    </row>
    <row r="40" spans="4:39" ht="14.1" customHeight="1">
      <c r="D40" s="20" t="str">
        <f t="shared" ca="1" si="26"/>
        <v/>
      </c>
      <c r="E40" s="53" t="str">
        <f t="shared" ca="1" si="19"/>
        <v/>
      </c>
      <c r="F40" s="49"/>
      <c r="G40" s="23"/>
      <c r="H40" s="23"/>
      <c r="I40" s="23"/>
      <c r="J40" s="23"/>
      <c r="K40" s="54"/>
      <c r="L40" s="49"/>
      <c r="M40" s="23"/>
      <c r="N40" s="23"/>
      <c r="O40" s="23"/>
      <c r="P40" s="23"/>
      <c r="Q40" s="23"/>
      <c r="R40" s="23"/>
      <c r="S40" s="23"/>
      <c r="T40" s="23"/>
      <c r="U40" s="23"/>
      <c r="V40" s="54"/>
      <c r="W40" s="23"/>
      <c r="X40" s="23"/>
      <c r="Y40" s="23"/>
      <c r="Z40" s="23"/>
      <c r="AA40" s="23"/>
      <c r="AB40" s="23"/>
      <c r="AC40" s="23"/>
      <c r="AD40" s="54"/>
      <c r="AE40" s="23"/>
      <c r="AF40" s="23"/>
      <c r="AG40" s="23"/>
      <c r="AH40" s="40" t="str">
        <f ca="1">IFERROR(IF(AND(
  INDEX(Roadmap!$D:$K,MATCH($E40,Roadmap!$D:$D,0)+COUNTIF($E40:AG40,"u")+COUNTIF($E40:AG40,"t")+COUNTIF($E40:AG40,1),ColLivraison)=AH$6,
  VLOOKUP($E40,INDIRECT("tri!"&amp; CHAR(64+ C0Col) &amp;":"&amp; CHAR(65+C0Col)),2,FALSE)&gt;COUNTIF($E40:AG40,"u")+COUNTIF($E40:AG40,"t")+COUNTIF($E40:AG40,1)),
HYPERLINK("#Roadmap!C"&amp; MATCH($E40,Roadmap!$D:$D,0)+COUNTIF($E40:AG40,"u")+COUNTIF($E40:AG40,"t"),
     INDEX(Roadmap!$D:$K,MATCH($E40,Roadmap!$D:$D,0)+COUNTIF($E40:AG40,"u")+COUNTIF($E40:AG40,"t")+COUNTIF($E40:AG40,1),ColTypeEcheance)),
  IF(OR(AG40="u",AG40="t",AG40=1),
  IF(LEN(INDEX(Roadmap!$D:$K,MATCH($E40,Roadmap!$D:$D,0)-1+COUNTIF($E40:AG40,"u")+COUNTIF($E40:AG40,"t")+COUNTIF($E40:AG40,1),ColDescriptionCourte))&gt;1,
HYPERLINK("#Roadmap!C"&amp; MATCH($E40,Roadmap!$D:$D,0)+COUNTIF($E40:AG40,"u")+COUNTIF($E40:AG40,"t")+COUNTIF($E40:AG40,1)-1,INDEX(Roadmap!$D:$K,MATCH($E40,Roadmap!$D:$D,0)-1+COUNTIF($E40:AG40,"u")+COUNTIF($E40:AG40,"t")+COUNTIF($E40:AG40,1),ColDescriptionCourte)),""),
  "")),"")</f>
        <v/>
      </c>
      <c r="AI40" s="40"/>
      <c r="AJ40" s="40"/>
      <c r="AK40" s="40"/>
      <c r="AL40" s="40"/>
      <c r="AM40" s="40"/>
    </row>
    <row r="41" spans="4:39" ht="14.1" customHeight="1">
      <c r="D41" s="20" t="str">
        <f t="shared" ca="1" si="26"/>
        <v/>
      </c>
      <c r="E41" s="53" t="str">
        <f t="shared" ca="1" si="19"/>
        <v/>
      </c>
      <c r="F41" s="49"/>
      <c r="G41" s="23"/>
      <c r="H41" s="22" t="str">
        <f ca="1">IFERROR(IF(AND(
  INDEX(Roadmap!$D:$K,MATCH($E41,Roadmap!$D:$D,0)+COUNTIF($E41:G41,"u")+COUNTIF($E41:G41,"t")+COUNTIF($E41:G41,"¶")+COUNTIF($E41:G41,"²")+COUNTIF($E41:G41,"µ")+COUNTIF($E41:G41,1),ColLivraison)=H$6,
  VLOOKUP($E41,INDIRECT("tri!"&amp; CHAR(64+ C0Col) &amp;":"&amp; CHAR(65+C0Col)),2,FALSE)&gt;COUNTIF($E41:G41,"u")+COUNTIF($E41:G41,"t")+COUNTIF($E41:G41,"¶")+COUNTIF($E41:G41,"²")+COUNTIF($E41:G41,"µ")+COUNTIF($E41:G41,1)),
HYPERLINK("#Roadmap!C"&amp; MATCH($E41,Roadmap!$D:$D,0)+COUNTIF($E41:G41,"u")+COUNTIF($E41:G41,"t"),
     INDEX(Roadmap!$D:$K,MATCH($E41,Roadmap!$D:$D,0)+COUNTIF($E41:G41,"u")+COUNTIF($E41:G41,"t")+COUNTIF($E41:G41,"¶")+COUNTIF($E41:G41,"²")+COUNTIF($E41:G41,"µ")+COUNTIF($E41:G41,1),ColTypeEcheance)),
  IF(LEN(G41)=1,
  IF(LEN(INDEX(Roadmap!$D:$K,MATCH($E41,Roadmap!$D:$D,0)-1+COUNTIF($E41:G41,"u")+COUNTIF($E41:G41,"t")+COUNTIF($E41:G41,"¶")+COUNTIF($E41:G41,"²")+COUNTIF($E41:G41,"µ")+COUNTIF($E41:G41,1),ColDescriptionCourte))&gt;1,
HYPERLINK("#Roadmap!C"&amp; MATCH($E41,Roadmap!$D:$D,0)+COUNTIF($E41:G41,"u")+COUNTIF($E41:G41,"t")+COUNTIF($E41:G41,"¶")+COUNTIF($E41:G41,"²")+COUNTIF($E41:G41,"µ")+COUNTIF($E41:G41,1)-1,INDEX(Roadmap!$D:$K,MATCH($E41,Roadmap!$D:$D,0)-1+COUNTIF($E41:G41,"u")+COUNTIF($E41:G41,"t")+COUNTIF($E41:G41,"¶")+COUNTIF($E41:G41,"²")+COUNTIF($E41:G41,"µ")+COUNTIF($E41:G41,1),ColDescriptionCourte)),""),
  "")),"")</f>
        <v/>
      </c>
      <c r="I41" s="23" t="str">
        <f ca="1">IFERROR(IF(AND(
  INDEX(Roadmap!$D:$K,MATCH($E41,Roadmap!$D:$D,0)+COUNTIF($E41:H41,"u")+COUNTIF($E41:H41,"t")+COUNTIF($E41:H41,"¶")+COUNTIF($E41:H41,"²")+COUNTIF($E41:H41,"µ")+COUNTIF($E41:H41,1),ColLivraison)=I$6,
  VLOOKUP($E41,INDIRECT("tri!"&amp; CHAR(64+ C0Col) &amp;":"&amp; CHAR(65+C0Col)),2,FALSE)&gt;COUNTIF($E41:H41,"u")+COUNTIF($E41:H41,"t")+COUNTIF($E41:H41,"¶")+COUNTIF($E41:H41,"²")+COUNTIF($E41:H41,"µ")+COUNTIF($E41:H41,1)),
HYPERLINK("#Roadmap!C"&amp; MATCH($E41,Roadmap!$D:$D,0)+COUNTIF($E41:H41,"u")+COUNTIF($E41:H41,"t"),
     INDEX(Roadmap!$D:$K,MATCH($E41,Roadmap!$D:$D,0)+COUNTIF($E41:H41,"u")+COUNTIF($E41:H41,"t")+COUNTIF($E41:H41,"¶")+COUNTIF($E41:H41,"²")+COUNTIF($E41:H41,"µ")+COUNTIF($E41:H41,1),ColTypeEcheance)),
  IF(LEN(H41)=1,
  IF(LEN(INDEX(Roadmap!$D:$K,MATCH($E41,Roadmap!$D:$D,0)-1+COUNTIF($E41:H41,"u")+COUNTIF($E41:H41,"t")+COUNTIF($E41:H41,"¶")+COUNTIF($E41:H41,"²")+COUNTIF($E41:H41,"µ")+COUNTIF($E41:H41,1),ColDescriptionCourte))&gt;1,
HYPERLINK("#Roadmap!C"&amp; MATCH($E41,Roadmap!$D:$D,0)+COUNTIF($E41:H41,"u")+COUNTIF($E41:H41,"t")+COUNTIF($E41:H41,"¶")+COUNTIF($E41:H41,"²")+COUNTIF($E41:H41,"µ")+COUNTIF($E41:H41,1)-1,INDEX(Roadmap!$D:$K,MATCH($E41,Roadmap!$D:$D,0)-1+COUNTIF($E41:H41,"u")+COUNTIF($E41:H41,"t")+COUNTIF($E41:H41,"¶")+COUNTIF($E41:H41,"²")+COUNTIF($E41:H41,"µ")+COUNTIF($E41:H41,1),ColDescriptionCourte)),""),
  "")),"")</f>
        <v/>
      </c>
      <c r="J41" s="23"/>
      <c r="K41" s="23"/>
      <c r="L41" s="49"/>
      <c r="M41" s="23"/>
      <c r="N41" s="23"/>
      <c r="O41" s="23"/>
      <c r="P41" s="23"/>
      <c r="Q41" s="23"/>
      <c r="R41" s="22" t="str">
        <f ca="1">IFERROR(IF(AND(
  INDEX(Roadmap!$D:$K,MATCH($E41,Roadmap!$D:$D,0)+COUNTIF($E41:Q41,"u")+COUNTIF($E41:Q41,"t")+COUNTIF($E41:Q41,"¶")+COUNTIF($E41:Q41,"²")+COUNTIF($E41:Q41,"µ")+COUNTIF($E41:Q41,1),ColLivraison)=R$6,
  VLOOKUP($E41,INDIRECT("tri!"&amp; CHAR(64+ C0Col) &amp;":"&amp; CHAR(65+C0Col)),2,FALSE)&gt;COUNTIF($E41:Q41,"u")+COUNTIF($E41:Q41,"t")+COUNTIF($E41:Q41,"¶")+COUNTIF($E41:Q41,"²")+COUNTIF($E41:Q41,"µ")+COUNTIF($E41:Q41,1)),
HYPERLINK("#Roadmap!C"&amp; MATCH($E41,Roadmap!$D:$D,0)+COUNTIF($E41:Q41,"u")+COUNTIF($E41:Q41,"t"),
     INDEX(Roadmap!$D:$K,MATCH($E41,Roadmap!$D:$D,0)+COUNTIF($E41:Q41,"u")+COUNTIF($E41:Q41,"t")+COUNTIF($E41:Q41,"¶")+COUNTIF($E41:Q41,"²")+COUNTIF($E41:Q41,"µ")+COUNTIF($E41:Q41,1),ColTypeEcheance)),
  IF(LEN(Q41)=1,
  IF(LEN(INDEX(Roadmap!$D:$K,MATCH($E41,Roadmap!$D:$D,0)-1+COUNTIF($E41:Q41,"u")+COUNTIF($E41:Q41,"t")+COUNTIF($E41:Q41,"¶")+COUNTIF($E41:Q41,"²")+COUNTIF($E41:Q41,"µ")+COUNTIF($E41:Q41,1),ColDescriptionCourte))&gt;1,
HYPERLINK("#Roadmap!C"&amp; MATCH($E41,Roadmap!$D:$D,0)+COUNTIF($E41:Q41,"u")+COUNTIF($E41:Q41,"t")+COUNTIF($E41:Q41,"¶")+COUNTIF($E41:Q41,"²")+COUNTIF($E41:Q41,"µ")+COUNTIF($E41:Q41,1)-1,INDEX(Roadmap!$D:$K,MATCH($E41,Roadmap!$D:$D,0)-1+COUNTIF($E41:Q41,"u")+COUNTIF($E41:Q41,"t")+COUNTIF($E41:Q41,"¶")+COUNTIF($E41:Q41,"²")+COUNTIF($E41:Q41,"µ")+COUNTIF($E41:Q41,1),ColDescriptionCourte)),""),
  "")),"")</f>
        <v/>
      </c>
      <c r="S41" s="23" t="str">
        <f ca="1">IFERROR(IF(AND(
  INDEX(Roadmap!$D:$K,MATCH($E41,Roadmap!$D:$D,0)+COUNTIF($E41:R41,"u")+COUNTIF($E41:R41,"t")+COUNTIF($E41:R41,"¶")+COUNTIF($E41:R41,"²")+COUNTIF($E41:R41,"µ")+COUNTIF($E41:R41,1),ColLivraison)=S$6,
  VLOOKUP($E41,INDIRECT("tri!"&amp; CHAR(64+ C0Col) &amp;":"&amp; CHAR(65+C0Col)),2,FALSE)&gt;COUNTIF($E41:R41,"u")+COUNTIF($E41:R41,"t")+COUNTIF($E41:R41,"¶")+COUNTIF($E41:R41,"²")+COUNTIF($E41:R41,"µ")+COUNTIF($E41:R41,1)),
HYPERLINK("#Roadmap!C"&amp; MATCH($E41,Roadmap!$D:$D,0)+COUNTIF($E41:R41,"u")+COUNTIF($E41:R41,"t"),
     INDEX(Roadmap!$D:$K,MATCH($E41,Roadmap!$D:$D,0)+COUNTIF($E41:R41,"u")+COUNTIF($E41:R41,"t")+COUNTIF($E41:R41,"¶")+COUNTIF($E41:R41,"²")+COUNTIF($E41:R41,"µ")+COUNTIF($E41:R41,1),ColTypeEcheance)),
  IF(LEN(R41)=1,
  IF(LEN(INDEX(Roadmap!$D:$K,MATCH($E41,Roadmap!$D:$D,0)-1+COUNTIF($E41:R41,"u")+COUNTIF($E41:R41,"t")+COUNTIF($E41:R41,"¶")+COUNTIF($E41:R41,"²")+COUNTIF($E41:R41,"µ")+COUNTIF($E41:R41,1),ColDescriptionCourte))&gt;1,
HYPERLINK("#Roadmap!C"&amp; MATCH($E41,Roadmap!$D:$D,0)+COUNTIF($E41:R41,"u")+COUNTIF($E41:R41,"t")+COUNTIF($E41:R41,"¶")+COUNTIF($E41:R41,"²")+COUNTIF($E41:R41,"µ")+COUNTIF($E41:R41,1)-1,INDEX(Roadmap!$D:$K,MATCH($E41,Roadmap!$D:$D,0)-1+COUNTIF($E41:R41,"u")+COUNTIF($E41:R41,"t")+COUNTIF($E41:R41,"¶")+COUNTIF($E41:R41,"²")+COUNTIF($E41:R41,"µ")+COUNTIF($E41:R41,1),ColDescriptionCourte)),""),
  "")),"")</f>
        <v/>
      </c>
      <c r="T41" s="23"/>
      <c r="U41" s="23"/>
      <c r="V41" s="23"/>
      <c r="W41" s="23"/>
      <c r="X41" s="23"/>
      <c r="Y41" s="23"/>
      <c r="Z41" s="23"/>
      <c r="AA41" s="23"/>
      <c r="AB41" s="23"/>
      <c r="AC41" s="23"/>
      <c r="AD41" s="23"/>
      <c r="AE41" s="23"/>
      <c r="AF41" s="23"/>
      <c r="AG41" s="23"/>
      <c r="AH41" s="40" t="str">
        <f ca="1">IFERROR(IF(AND(
  INDEX(Roadmap!$D:$K,MATCH($E41,Roadmap!$D:$D,0)+COUNTIF($E41:AG41,"u")+COUNTIF($E41:AG41,"t")+COUNTIF($E41:AG41,1),ColLivraison)=AH$6,
  VLOOKUP($E41,INDIRECT("tri!"&amp; CHAR(64+ C0Col) &amp;":"&amp; CHAR(65+C0Col)),2,FALSE)&gt;COUNTIF($E41:AG41,"u")+COUNTIF($E41:AG41,"t")+COUNTIF($E41:AG41,1)),
HYPERLINK("#Roadmap!C"&amp; MATCH($E41,Roadmap!$D:$D,0)+COUNTIF($E41:AG41,"u")+COUNTIF($E41:AG41,"t"),
     INDEX(Roadmap!$D:$K,MATCH($E41,Roadmap!$D:$D,0)+COUNTIF($E41:AG41,"u")+COUNTIF($E41:AG41,"t")+COUNTIF($E41:AG41,1),ColTypeEcheance)),
  IF(OR(AG41="u",AG41="t",AG41=1),
  IF(LEN(INDEX(Roadmap!$D:$K,MATCH($E41,Roadmap!$D:$D,0)-1+COUNTIF($E41:AG41,"u")+COUNTIF($E41:AG41,"t")+COUNTIF($E41:AG41,1),ColDescriptionCourte))&gt;1,
HYPERLINK("#Roadmap!C"&amp; MATCH($E41,Roadmap!$D:$D,0)+COUNTIF($E41:AG41,"u")+COUNTIF($E41:AG41,"t")+COUNTIF($E41:AG41,1)-1,INDEX(Roadmap!$D:$K,MATCH($E41,Roadmap!$D:$D,0)-1+COUNTIF($E41:AG41,"u")+COUNTIF($E41:AG41,"t")+COUNTIF($E41:AG41,1),ColDescriptionCourte)),""),
  "")),"")</f>
        <v/>
      </c>
      <c r="AI41" s="40"/>
      <c r="AJ41" s="40"/>
      <c r="AK41" s="40"/>
      <c r="AL41" s="40"/>
      <c r="AM41" s="40"/>
    </row>
    <row r="42" spans="4:39" ht="14.1" customHeight="1">
      <c r="D42" s="20" t="str">
        <f t="shared" ca="1" si="26"/>
        <v/>
      </c>
      <c r="E42" s="53" t="str">
        <f t="shared" ca="1" si="19"/>
        <v/>
      </c>
      <c r="F42" s="49"/>
      <c r="G42" s="23"/>
      <c r="H42" s="23"/>
      <c r="I42" s="23"/>
      <c r="J42" s="23"/>
      <c r="K42" s="23"/>
      <c r="L42" s="49"/>
      <c r="M42" s="23"/>
      <c r="N42" s="23"/>
      <c r="O42" s="23"/>
      <c r="P42" s="23"/>
      <c r="Q42" s="23"/>
      <c r="R42" s="23"/>
      <c r="S42" s="23"/>
      <c r="T42" s="23"/>
      <c r="U42" s="23"/>
      <c r="V42" s="23"/>
      <c r="W42" s="23"/>
      <c r="X42" s="22" t="str">
        <f ca="1">IFERROR(IF(AND(
  INDEX(Roadmap!$D:$K,MATCH($E42,Roadmap!$D:$D,0)+COUNTIF($E42:W42,"u")+COUNTIF($E42:W42,"t")+COUNTIF($E42:W42,"¶")+COUNTIF($E42:W42,"²")+COUNTIF($E42:W42,"µ")+COUNTIF($E42:W42,1),ColLivraison)=X$6,
  VLOOKUP($E42,INDIRECT("tri!"&amp; CHAR(64+ C0Col) &amp;":"&amp; CHAR(65+C0Col)),2,FALSE)&gt;COUNTIF($E42:W42,"u")+COUNTIF($E42:W42,"t")+COUNTIF($E42:W42,"¶")+COUNTIF($E42:W42,"²")+COUNTIF($E42:W42,"µ")+COUNTIF($E42:W42,1)),
HYPERLINK("#Roadmap!C"&amp; MATCH($E42,Roadmap!$D:$D,0)+COUNTIF($E42:W42,"u")+COUNTIF($E42:W42,"t"),
     INDEX(Roadmap!$D:$K,MATCH($E42,Roadmap!$D:$D,0)+COUNTIF($E42:W42,"u")+COUNTIF($E42:W42,"t")+COUNTIF($E42:W42,"¶")+COUNTIF($E42:W42,"²")+COUNTIF($E42:W42,"µ")+COUNTIF($E42:W42,1),ColTypeEcheance)),
  IF(LEN(W42)=1,
  IF(LEN(INDEX(Roadmap!$D:$K,MATCH($E42,Roadmap!$D:$D,0)-1+COUNTIF($E42:W42,"u")+COUNTIF($E42:W42,"t")+COUNTIF($E42:W42,"¶")+COUNTIF($E42:W42,"²")+COUNTIF($E42:W42,"µ")+COUNTIF($E42:W42,1),ColDescriptionCourte))&gt;1,
HYPERLINK("#Roadmap!C"&amp; MATCH($E42,Roadmap!$D:$D,0)+COUNTIF($E42:W42,"u")+COUNTIF($E42:W42,"t")+COUNTIF($E42:W42,"¶")+COUNTIF($E42:W42,"²")+COUNTIF($E42:W42,"µ")+COUNTIF($E42:W42,1)-1,INDEX(Roadmap!$D:$K,MATCH($E42,Roadmap!$D:$D,0)-1+COUNTIF($E42:W42,"u")+COUNTIF($E42:W42,"t")+COUNTIF($E42:W42,"¶")+COUNTIF($E42:W42,"²")+COUNTIF($E42:W42,"µ")+COUNTIF($E42:W42,1),ColDescriptionCourte)),""),
  "")),"")</f>
        <v/>
      </c>
      <c r="Y42" s="23" t="str">
        <f ca="1">IFERROR(IF(AND(
  INDEX(Roadmap!$D:$K,MATCH($E42,Roadmap!$D:$D,0)+COUNTIF($E42:X42,"u")+COUNTIF($E42:X42,"t")+COUNTIF($E42:X42,"¶")+COUNTIF($E42:X42,"²")+COUNTIF($E42:X42,"µ")+COUNTIF($E42:X42,1),ColLivraison)=Y$6,
  VLOOKUP($E42,INDIRECT("tri!"&amp; CHAR(64+ C0Col) &amp;":"&amp; CHAR(65+C0Col)),2,FALSE)&gt;COUNTIF($E42:X42,"u")+COUNTIF($E42:X42,"t")+COUNTIF($E42:X42,"¶")+COUNTIF($E42:X42,"²")+COUNTIF($E42:X42,"µ")+COUNTIF($E42:X42,1)),
HYPERLINK("#Roadmap!C"&amp; MATCH($E42,Roadmap!$D:$D,0)+COUNTIF($E42:X42,"u")+COUNTIF($E42:X42,"t"),
     INDEX(Roadmap!$D:$K,MATCH($E42,Roadmap!$D:$D,0)+COUNTIF($E42:X42,"u")+COUNTIF($E42:X42,"t")+COUNTIF($E42:X42,"¶")+COUNTIF($E42:X42,"²")+COUNTIF($E42:X42,"µ")+COUNTIF($E42:X42,1),ColTypeEcheance)),
  IF(LEN(X42)=1,
  IF(LEN(INDEX(Roadmap!$D:$K,MATCH($E42,Roadmap!$D:$D,0)-1+COUNTIF($E42:X42,"u")+COUNTIF($E42:X42,"t")+COUNTIF($E42:X42,"¶")+COUNTIF($E42:X42,"²")+COUNTIF($E42:X42,"µ")+COUNTIF($E42:X42,1),ColDescriptionCourte))&gt;1,
HYPERLINK("#Roadmap!C"&amp; MATCH($E42,Roadmap!$D:$D,0)+COUNTIF($E42:X42,"u")+COUNTIF($E42:X42,"t")+COUNTIF($E42:X42,"¶")+COUNTIF($E42:X42,"²")+COUNTIF($E42:X42,"µ")+COUNTIF($E42:X42,1)-1,INDEX(Roadmap!$D:$K,MATCH($E42,Roadmap!$D:$D,0)-1+COUNTIF($E42:X42,"u")+COUNTIF($E42:X42,"t")+COUNTIF($E42:X42,"¶")+COUNTIF($E42:X42,"²")+COUNTIF($E42:X42,"µ")+COUNTIF($E42:X42,1),ColDescriptionCourte)),""),
  "")),"")</f>
        <v/>
      </c>
      <c r="Z42" s="23"/>
      <c r="AA42" s="23"/>
      <c r="AB42" s="23"/>
      <c r="AC42" s="23"/>
      <c r="AD42" s="23"/>
      <c r="AE42" s="23"/>
      <c r="AF42" s="23"/>
      <c r="AG42" s="23"/>
      <c r="AH42" s="40" t="str">
        <f ca="1">IFERROR(IF(AND(
  INDEX(Roadmap!$D:$K,MATCH($E42,Roadmap!$D:$D,0)+COUNTIF($E42:AG42,"u")+COUNTIF($E42:AG42,"t")+COUNTIF($E42:AG42,1),ColLivraison)=AH$6,
  VLOOKUP($E42,INDIRECT("tri!"&amp; CHAR(64+ C0Col) &amp;":"&amp; CHAR(65+C0Col)),2,FALSE)&gt;COUNTIF($E42:AG42,"u")+COUNTIF($E42:AG42,"t")+COUNTIF($E42:AG42,1)),
HYPERLINK("#Roadmap!C"&amp; MATCH($E42,Roadmap!$D:$D,0)+COUNTIF($E42:AG42,"u")+COUNTIF($E42:AG42,"t"),
     INDEX(Roadmap!$D:$K,MATCH($E42,Roadmap!$D:$D,0)+COUNTIF($E42:AG42,"u")+COUNTIF($E42:AG42,"t")+COUNTIF($E42:AG42,1),ColTypeEcheance)),
  IF(OR(AG42="u",AG42="t",AG42=1),
  IF(LEN(INDEX(Roadmap!$D:$K,MATCH($E42,Roadmap!$D:$D,0)-1+COUNTIF($E42:AG42,"u")+COUNTIF($E42:AG42,"t")+COUNTIF($E42:AG42,1),ColDescriptionCourte))&gt;1,
HYPERLINK("#Roadmap!C"&amp; MATCH($E42,Roadmap!$D:$D,0)+COUNTIF($E42:AG42,"u")+COUNTIF($E42:AG42,"t")+COUNTIF($E42:AG42,1)-1,INDEX(Roadmap!$D:$K,MATCH($E42,Roadmap!$D:$D,0)-1+COUNTIF($E42:AG42,"u")+COUNTIF($E42:AG42,"t")+COUNTIF($E42:AG42,1),ColDescriptionCourte)),""),
  "")),"")</f>
        <v/>
      </c>
      <c r="AI42" s="40"/>
      <c r="AJ42" s="40"/>
      <c r="AK42" s="40"/>
      <c r="AL42" s="40"/>
      <c r="AM42" s="40"/>
    </row>
    <row r="43" spans="4:39" ht="14.1" customHeight="1">
      <c r="D43" s="20" t="str">
        <f t="shared" ca="1" si="26"/>
        <v/>
      </c>
      <c r="E43" s="53" t="str">
        <f t="shared" ca="1" si="19"/>
        <v/>
      </c>
      <c r="F43" s="49"/>
      <c r="G43" s="23"/>
      <c r="H43" s="23"/>
      <c r="I43" s="23"/>
      <c r="J43" s="23"/>
      <c r="K43" s="23"/>
      <c r="L43" s="49"/>
      <c r="M43" s="23"/>
      <c r="N43" s="23"/>
      <c r="O43" s="23"/>
      <c r="P43" s="23"/>
      <c r="Q43" s="23"/>
      <c r="R43" s="23"/>
      <c r="S43" s="23"/>
      <c r="T43" s="23"/>
      <c r="U43" s="23"/>
      <c r="V43" s="23"/>
      <c r="W43" s="23"/>
      <c r="X43" s="22" t="str">
        <f ca="1">IFERROR(IF(AND(
  INDEX(Roadmap!$D:$K,MATCH($E43,Roadmap!$D:$D,0)+COUNTIF($E43:W43,"u")+COUNTIF($E43:W43,"t")+COUNTIF($E43:W43,"¶")+COUNTIF($E43:W43,"²")+COUNTIF($E43:W43,"µ")+COUNTIF($E43:W43,1),ColLivraison)=X$6,
  VLOOKUP($E43,INDIRECT("tri!"&amp; CHAR(64+ C0Col) &amp;":"&amp; CHAR(65+C0Col)),2,FALSE)&gt;COUNTIF($E43:W43,"u")+COUNTIF($E43:W43,"t")+COUNTIF($E43:W43,"¶")+COUNTIF($E43:W43,"²")+COUNTIF($E43:W43,"µ")+COUNTIF($E43:W43,1)),
HYPERLINK("#Roadmap!C"&amp; MATCH($E43,Roadmap!$D:$D,0)+COUNTIF($E43:W43,"u")+COUNTIF($E43:W43,"t"),
     INDEX(Roadmap!$D:$K,MATCH($E43,Roadmap!$D:$D,0)+COUNTIF($E43:W43,"u")+COUNTIF($E43:W43,"t")+COUNTIF($E43:W43,"¶")+COUNTIF($E43:W43,"²")+COUNTIF($E43:W43,"µ")+COUNTIF($E43:W43,1),ColTypeEcheance)),
  IF(LEN(W43)=1,
  IF(LEN(INDEX(Roadmap!$D:$K,MATCH($E43,Roadmap!$D:$D,0)-1+COUNTIF($E43:W43,"u")+COUNTIF($E43:W43,"t")+COUNTIF($E43:W43,"¶")+COUNTIF($E43:W43,"²")+COUNTIF($E43:W43,"µ")+COUNTIF($E43:W43,1),ColDescriptionCourte))&gt;1,
HYPERLINK("#Roadmap!C"&amp; MATCH($E43,Roadmap!$D:$D,0)+COUNTIF($E43:W43,"u")+COUNTIF($E43:W43,"t")+COUNTIF($E43:W43,"¶")+COUNTIF($E43:W43,"²")+COUNTIF($E43:W43,"µ")+COUNTIF($E43:W43,1)-1,INDEX(Roadmap!$D:$K,MATCH($E43,Roadmap!$D:$D,0)-1+COUNTIF($E43:W43,"u")+COUNTIF($E43:W43,"t")+COUNTIF($E43:W43,"¶")+COUNTIF($E43:W43,"²")+COUNTIF($E43:W43,"µ")+COUNTIF($E43:W43,1),ColDescriptionCourte)),""),
  "")),"")</f>
        <v/>
      </c>
      <c r="Y43" s="23" t="str">
        <f ca="1">IFERROR(IF(AND(
  INDEX(Roadmap!$D:$K,MATCH($E43,Roadmap!$D:$D,0)+COUNTIF($E43:X43,"u")+COUNTIF($E43:X43,"t")+COUNTIF($E43:X43,"¶")+COUNTIF($E43:X43,"²")+COUNTIF($E43:X43,"µ")+COUNTIF($E43:X43,1),ColLivraison)=Y$6,
  VLOOKUP($E43,INDIRECT("tri!"&amp; CHAR(64+ C0Col) &amp;":"&amp; CHAR(65+C0Col)),2,FALSE)&gt;COUNTIF($E43:X43,"u")+COUNTIF($E43:X43,"t")+COUNTIF($E43:X43,"¶")+COUNTIF($E43:X43,"²")+COUNTIF($E43:X43,"µ")+COUNTIF($E43:X43,1)),
HYPERLINK("#Roadmap!C"&amp; MATCH($E43,Roadmap!$D:$D,0)+COUNTIF($E43:X43,"u")+COUNTIF($E43:X43,"t"),
     INDEX(Roadmap!$D:$K,MATCH($E43,Roadmap!$D:$D,0)+COUNTIF($E43:X43,"u")+COUNTIF($E43:X43,"t")+COUNTIF($E43:X43,"¶")+COUNTIF($E43:X43,"²")+COUNTIF($E43:X43,"µ")+COUNTIF($E43:X43,1),ColTypeEcheance)),
  IF(LEN(X43)=1,
  IF(LEN(INDEX(Roadmap!$D:$K,MATCH($E43,Roadmap!$D:$D,0)-1+COUNTIF($E43:X43,"u")+COUNTIF($E43:X43,"t")+COUNTIF($E43:X43,"¶")+COUNTIF($E43:X43,"²")+COUNTIF($E43:X43,"µ")+COUNTIF($E43:X43,1),ColDescriptionCourte))&gt;1,
HYPERLINK("#Roadmap!C"&amp; MATCH($E43,Roadmap!$D:$D,0)+COUNTIF($E43:X43,"u")+COUNTIF($E43:X43,"t")+COUNTIF($E43:X43,"¶")+COUNTIF($E43:X43,"²")+COUNTIF($E43:X43,"µ")+COUNTIF($E43:X43,1)-1,INDEX(Roadmap!$D:$K,MATCH($E43,Roadmap!$D:$D,0)-1+COUNTIF($E43:X43,"u")+COUNTIF($E43:X43,"t")+COUNTIF($E43:X43,"¶")+COUNTIF($E43:X43,"²")+COUNTIF($E43:X43,"µ")+COUNTIF($E43:X43,1),ColDescriptionCourte)),""),
  "")),"")</f>
        <v/>
      </c>
      <c r="Z43" s="23"/>
      <c r="AA43" s="23"/>
      <c r="AB43" s="23"/>
      <c r="AC43" s="23"/>
      <c r="AD43" s="22" t="str">
        <f ca="1">IFERROR(IF(AND(
  INDEX(Roadmap!$D:$K,MATCH($E43,Roadmap!$D:$D,0)+COUNTIF($E43:AC43,"u")+COUNTIF($E43:AC43,"t")+COUNTIF($E43:AC43,"¶")+COUNTIF($E43:AC43,"²")+COUNTIF($E43:AC43,"µ")+COUNTIF($E43:AC43,1),ColLivraison)=AD$6,
  VLOOKUP($E43,INDIRECT("tri!"&amp; CHAR(64+ C0Col) &amp;":"&amp; CHAR(65+C0Col)),2,FALSE)&gt;COUNTIF($E43:AC43,"u")+COUNTIF($E43:AC43,"t")+COUNTIF($E43:AC43,"¶")+COUNTIF($E43:AC43,"²")+COUNTIF($E43:AC43,"µ")+COUNTIF($E43:AC43,1)),
HYPERLINK("#Roadmap!C"&amp; MATCH($E43,Roadmap!$D:$D,0)+COUNTIF($E43:AC43,"u")+COUNTIF($E43:AC43,"t"),
     INDEX(Roadmap!$D:$K,MATCH($E43,Roadmap!$D:$D,0)+COUNTIF($E43:AC43,"u")+COUNTIF($E43:AC43,"t")+COUNTIF($E43:AC43,"¶")+COUNTIF($E43:AC43,"²")+COUNTIF($E43:AC43,"µ")+COUNTIF($E43:AC43,1),ColTypeEcheance)),
  IF(LEN(AC43)=1,
  IF(LEN(INDEX(Roadmap!$D:$K,MATCH($E43,Roadmap!$D:$D,0)-1+COUNTIF($E43:AC43,"u")+COUNTIF($E43:AC43,"t")+COUNTIF($E43:AC43,"¶")+COUNTIF($E43:AC43,"²")+COUNTIF($E43:AC43,"µ")+COUNTIF($E43:AC43,1),ColDescriptionCourte))&gt;1,
HYPERLINK("#Roadmap!C"&amp; MATCH($E43,Roadmap!$D:$D,0)+COUNTIF($E43:AC43,"u")+COUNTIF($E43:AC43,"t")+COUNTIF($E43:AC43,"¶")+COUNTIF($E43:AC43,"²")+COUNTIF($E43:AC43,"µ")+COUNTIF($E43:AC43,1)-1,INDEX(Roadmap!$D:$K,MATCH($E43,Roadmap!$D:$D,0)-1+COUNTIF($E43:AC43,"u")+COUNTIF($E43:AC43,"t")+COUNTIF($E43:AC43,"¶")+COUNTIF($E43:AC43,"²")+COUNTIF($E43:AC43,"µ")+COUNTIF($E43:AC43,1),ColDescriptionCourte)),""),
  "")),"")</f>
        <v/>
      </c>
      <c r="AE43" s="23" t="str">
        <f ca="1">IFERROR(IF(AND(
  INDEX(Roadmap!$D:$K,MATCH($E43,Roadmap!$D:$D,0)+COUNTIF($E43:AD43,"u")+COUNTIF($E43:AD43,"t")+COUNTIF($E43:AD43,"¶")+COUNTIF($E43:AD43,"²")+COUNTIF($E43:AD43,"µ")+COUNTIF($E43:AD43,1),ColLivraison)=AE$6,
  VLOOKUP($E43,INDIRECT("tri!"&amp; CHAR(64+ C0Col) &amp;":"&amp; CHAR(65+C0Col)),2,FALSE)&gt;COUNTIF($E43:AD43,"u")+COUNTIF($E43:AD43,"t")+COUNTIF($E43:AD43,"¶")+COUNTIF($E43:AD43,"²")+COUNTIF($E43:AD43,"µ")+COUNTIF($E43:AD43,1)),
HYPERLINK("#Roadmap!C"&amp; MATCH($E43,Roadmap!$D:$D,0)+COUNTIF($E43:AD43,"u")+COUNTIF($E43:AD43,"t"),
     INDEX(Roadmap!$D:$K,MATCH($E43,Roadmap!$D:$D,0)+COUNTIF($E43:AD43,"u")+COUNTIF($E43:AD43,"t")+COUNTIF($E43:AD43,"¶")+COUNTIF($E43:AD43,"²")+COUNTIF($E43:AD43,"µ")+COUNTIF($E43:AD43,1),ColTypeEcheance)),
  IF(LEN(AD43)=1,
  IF(LEN(INDEX(Roadmap!$D:$K,MATCH($E43,Roadmap!$D:$D,0)-1+COUNTIF($E43:AD43,"u")+COUNTIF($E43:AD43,"t")+COUNTIF($E43:AD43,"¶")+COUNTIF($E43:AD43,"²")+COUNTIF($E43:AD43,"µ")+COUNTIF($E43:AD43,1),ColDescriptionCourte))&gt;1,
HYPERLINK("#Roadmap!C"&amp; MATCH($E43,Roadmap!$D:$D,0)+COUNTIF($E43:AD43,"u")+COUNTIF($E43:AD43,"t")+COUNTIF($E43:AD43,"¶")+COUNTIF($E43:AD43,"²")+COUNTIF($E43:AD43,"µ")+COUNTIF($E43:AD43,1)-1,INDEX(Roadmap!$D:$K,MATCH($E43,Roadmap!$D:$D,0)-1+COUNTIF($E43:AD43,"u")+COUNTIF($E43:AD43,"t")+COUNTIF($E43:AD43,"¶")+COUNTIF($E43:AD43,"²")+COUNTIF($E43:AD43,"µ")+COUNTIF($E43:AD43,1),ColDescriptionCourte)),""),
  "")),"")</f>
        <v/>
      </c>
      <c r="AF43" s="23"/>
      <c r="AG43" s="23"/>
      <c r="AH43" s="40" t="str">
        <f ca="1">IFERROR(IF(AND(
  INDEX(Roadmap!$D:$K,MATCH($E43,Roadmap!$D:$D,0)+COUNTIF($E43:AG43,"u")+COUNTIF($E43:AG43,"t")+COUNTIF($E43:AG43,1),ColLivraison)=AH$6,
  VLOOKUP($E43,INDIRECT("tri!"&amp; CHAR(64+ C0Col) &amp;":"&amp; CHAR(65+C0Col)),2,FALSE)&gt;COUNTIF($E43:AG43,"u")+COUNTIF($E43:AG43,"t")+COUNTIF($E43:AG43,1)),
HYPERLINK("#Roadmap!C"&amp; MATCH($E43,Roadmap!$D:$D,0)+COUNTIF($E43:AG43,"u")+COUNTIF($E43:AG43,"t"),
     INDEX(Roadmap!$D:$K,MATCH($E43,Roadmap!$D:$D,0)+COUNTIF($E43:AG43,"u")+COUNTIF($E43:AG43,"t")+COUNTIF($E43:AG43,1),ColTypeEcheance)),
  IF(OR(AG43="u",AG43="t",AG43=1),
  IF(LEN(INDEX(Roadmap!$D:$K,MATCH($E43,Roadmap!$D:$D,0)-1+COUNTIF($E43:AG43,"u")+COUNTIF($E43:AG43,"t")+COUNTIF($E43:AG43,1),ColDescriptionCourte))&gt;1,
HYPERLINK("#Roadmap!C"&amp; MATCH($E43,Roadmap!$D:$D,0)+COUNTIF($E43:AG43,"u")+COUNTIF($E43:AG43,"t")+COUNTIF($E43:AG43,1)-1,INDEX(Roadmap!$D:$K,MATCH($E43,Roadmap!$D:$D,0)-1+COUNTIF($E43:AG43,"u")+COUNTIF($E43:AG43,"t")+COUNTIF($E43:AG43,1),ColDescriptionCourte)),""),
  "")),"")</f>
        <v/>
      </c>
      <c r="AI43" s="40"/>
      <c r="AJ43" s="40"/>
      <c r="AK43" s="17"/>
      <c r="AL43" s="40"/>
      <c r="AM43" s="17"/>
    </row>
    <row r="44" spans="4:39" ht="14.1" customHeight="1">
      <c r="D44" s="20" t="str">
        <f t="shared" ca="1" si="26"/>
        <v/>
      </c>
      <c r="E44" s="53" t="str">
        <f t="shared" ca="1" si="19"/>
        <v/>
      </c>
      <c r="F44" s="49"/>
      <c r="G44" s="23"/>
      <c r="H44" s="23"/>
      <c r="I44" s="23"/>
      <c r="J44" s="23"/>
      <c r="K44" s="23"/>
      <c r="L44" s="49"/>
      <c r="M44" s="23"/>
      <c r="N44" s="23"/>
      <c r="O44" s="22" t="str">
        <f ca="1">IFERROR(IF(AND(
  INDEX(Roadmap!$D:$K,MATCH($E44,Roadmap!$D:$D,0)+COUNTIF($E44:N44,"u")+COUNTIF($E44:N44,"t")+COUNTIF($E44:N44,"¶")+COUNTIF($E44:N44,"²")+COUNTIF($E44:N44,"µ")+COUNTIF($E44:N44,1),ColLivraison)=O$6,
  VLOOKUP($E44,INDIRECT("tri!"&amp; CHAR(64+ C0Col) &amp;":"&amp; CHAR(65+C0Col)),2,FALSE)&gt;COUNTIF($E44:N44,"u")+COUNTIF($E44:N44,"t")+COUNTIF($E44:N44,"¶")+COUNTIF($E44:N44,"²")+COUNTIF($E44:N44,"µ")+COUNTIF($E44:N44,1)),
HYPERLINK("#Roadmap!C"&amp; MATCH($E44,Roadmap!$D:$D,0)+COUNTIF($E44:N44,"u")+COUNTIF($E44:N44,"t"),
     INDEX(Roadmap!$D:$K,MATCH($E44,Roadmap!$D:$D,0)+COUNTIF($E44:N44,"u")+COUNTIF($E44:N44,"t")+COUNTIF($E44:N44,"¶")+COUNTIF($E44:N44,"²")+COUNTIF($E44:N44,"µ")+COUNTIF($E44:N44,1),ColTypeEcheance)),
  IF(LEN(N44)=1,
  IF(LEN(INDEX(Roadmap!$D:$K,MATCH($E44,Roadmap!$D:$D,0)-1+COUNTIF($E44:N44,"u")+COUNTIF($E44:N44,"t")+COUNTIF($E44:N44,"¶")+COUNTIF($E44:N44,"²")+COUNTIF($E44:N44,"µ")+COUNTIF($E44:N44,1),ColDescriptionCourte))&gt;1,
HYPERLINK("#Roadmap!C"&amp; MATCH($E44,Roadmap!$D:$D,0)+COUNTIF($E44:N44,"u")+COUNTIF($E44:N44,"t")+COUNTIF($E44:N44,"¶")+COUNTIF($E44:N44,"²")+COUNTIF($E44:N44,"µ")+COUNTIF($E44:N44,1)-1,INDEX(Roadmap!$D:$K,MATCH($E44,Roadmap!$D:$D,0)-1+COUNTIF($E44:N44,"u")+COUNTIF($E44:N44,"t")+COUNTIF($E44:N44,"¶")+COUNTIF($E44:N44,"²")+COUNTIF($E44:N44,"µ")+COUNTIF($E44:N44,1),ColDescriptionCourte)),""),
  "")),"")</f>
        <v/>
      </c>
      <c r="P44" s="23" t="str">
        <f ca="1">IFERROR(IF(AND(
  INDEX(Roadmap!$D:$K,MATCH($E44,Roadmap!$D:$D,0)+COUNTIF($E44:O44,"u")+COUNTIF($E44:O44,"t")+COUNTIF($E44:O44,"¶")+COUNTIF($E44:O44,"²")+COUNTIF($E44:O44,"µ")+COUNTIF($E44:O44,1),ColLivraison)=P$6,
  VLOOKUP($E44,INDIRECT("tri!"&amp; CHAR(64+ C0Col) &amp;":"&amp; CHAR(65+C0Col)),2,FALSE)&gt;COUNTIF($E44:O44,"u")+COUNTIF($E44:O44,"t")+COUNTIF($E44:O44,"¶")+COUNTIF($E44:O44,"²")+COUNTIF($E44:O44,"µ")+COUNTIF($E44:O44,1)),
HYPERLINK("#Roadmap!C"&amp; MATCH($E44,Roadmap!$D:$D,0)+COUNTIF($E44:O44,"u")+COUNTIF($E44:O44,"t"),
     INDEX(Roadmap!$D:$K,MATCH($E44,Roadmap!$D:$D,0)+COUNTIF($E44:O44,"u")+COUNTIF($E44:O44,"t")+COUNTIF($E44:O44,"¶")+COUNTIF($E44:O44,"²")+COUNTIF($E44:O44,"µ")+COUNTIF($E44:O44,1),ColTypeEcheance)),
  IF(LEN(O44)=1,
  IF(LEN(INDEX(Roadmap!$D:$K,MATCH($E44,Roadmap!$D:$D,0)-1+COUNTIF($E44:O44,"u")+COUNTIF($E44:O44,"t")+COUNTIF($E44:O44,"¶")+COUNTIF($E44:O44,"²")+COUNTIF($E44:O44,"µ")+COUNTIF($E44:O44,1),ColDescriptionCourte))&gt;1,
HYPERLINK("#Roadmap!C"&amp; MATCH($E44,Roadmap!$D:$D,0)+COUNTIF($E44:O44,"u")+COUNTIF($E44:O44,"t")+COUNTIF($E44:O44,"¶")+COUNTIF($E44:O44,"²")+COUNTIF($E44:O44,"µ")+COUNTIF($E44:O44,1)-1,INDEX(Roadmap!$D:$K,MATCH($E44,Roadmap!$D:$D,0)-1+COUNTIF($E44:O44,"u")+COUNTIF($E44:O44,"t")+COUNTIF($E44:O44,"¶")+COUNTIF($E44:O44,"²")+COUNTIF($E44:O44,"µ")+COUNTIF($E44:O44,1),ColDescriptionCourte)),""),
  "")),"")</f>
        <v/>
      </c>
      <c r="Q44" s="23"/>
      <c r="R44" s="23"/>
      <c r="S44" s="23"/>
      <c r="T44" s="23"/>
      <c r="U44" s="23"/>
      <c r="V44" s="23"/>
      <c r="W44" s="23"/>
      <c r="X44" s="23"/>
      <c r="Y44" s="23"/>
      <c r="Z44" s="23"/>
      <c r="AA44" s="23"/>
      <c r="AB44" s="23"/>
      <c r="AC44" s="23"/>
      <c r="AD44" s="23"/>
      <c r="AE44" s="23"/>
      <c r="AF44" s="22" t="str">
        <f ca="1">IFERROR(IF(AND(
  INDEX(Roadmap!$D:$K,MATCH($E44,Roadmap!$D:$D,0)+COUNTIF($E44:AE44,"u")+COUNTIF($E44:AE44,"t")+COUNTIF($E44:AE44,"¶")+COUNTIF($E44:AE44,"²")+COUNTIF($E44:AE44,"µ")+COUNTIF($E44:AE44,1),ColLivraison)=AF$6,
  VLOOKUP($E44,INDIRECT("tri!"&amp; CHAR(64+ C0Col) &amp;":"&amp; CHAR(65+C0Col)),2,FALSE)&gt;COUNTIF($E44:AE44,"u")+COUNTIF($E44:AE44,"t")+COUNTIF($E44:AE44,"¶")+COUNTIF($E44:AE44,"²")+COUNTIF($E44:AE44,"µ")+COUNTIF($E44:AE44,1)),
HYPERLINK("#Roadmap!C"&amp; MATCH($E44,Roadmap!$D:$D,0)+COUNTIF($E44:AE44,"u")+COUNTIF($E44:AE44,"t"),
     INDEX(Roadmap!$D:$K,MATCH($E44,Roadmap!$D:$D,0)+COUNTIF($E44:AE44,"u")+COUNTIF($E44:AE44,"t")+COUNTIF($E44:AE44,"¶")+COUNTIF($E44:AE44,"²")+COUNTIF($E44:AE44,"µ")+COUNTIF($E44:AE44,1),ColTypeEcheance)),
  IF(LEN(AE44)=1,
  IF(LEN(INDEX(Roadmap!$D:$K,MATCH($E44,Roadmap!$D:$D,0)-1+COUNTIF($E44:AE44,"u")+COUNTIF($E44:AE44,"t")+COUNTIF($E44:AE44,"¶")+COUNTIF($E44:AE44,"²")+COUNTIF($E44:AE44,"µ")+COUNTIF($E44:AE44,1),ColDescriptionCourte))&gt;1,
HYPERLINK("#Roadmap!C"&amp; MATCH($E44,Roadmap!$D:$D,0)+COUNTIF($E44:AE44,"u")+COUNTIF($E44:AE44,"t")+COUNTIF($E44:AE44,"¶")+COUNTIF($E44:AE44,"²")+COUNTIF($E44:AE44,"µ")+COUNTIF($E44:AE44,1)-1,INDEX(Roadmap!$D:$K,MATCH($E44,Roadmap!$D:$D,0)-1+COUNTIF($E44:AE44,"u")+COUNTIF($E44:AE44,"t")+COUNTIF($E44:AE44,"¶")+COUNTIF($E44:AE44,"²")+COUNTIF($E44:AE44,"µ")+COUNTIF($E44:AE44,1),ColDescriptionCourte)),""),
  "")),"")</f>
        <v/>
      </c>
      <c r="AG44" s="23" t="str">
        <f ca="1">IFERROR(IF(AND(
  INDEX(Roadmap!$D:$K,MATCH($E44,Roadmap!$D:$D,0)+COUNTIF($E44:AF44,"u")+COUNTIF($E44:AF44,"t")+COUNTIF($E44:AF44,"¶")+COUNTIF($E44:AF44,"²")+COUNTIF($E44:AF44,"µ")+COUNTIF($E44:AF44,1),ColLivraison)=AG$6,
  VLOOKUP($E44,INDIRECT("tri!"&amp; CHAR(64+ C0Col) &amp;":"&amp; CHAR(65+C0Col)),2,FALSE)&gt;COUNTIF($E44:AF44,"u")+COUNTIF($E44:AF44,"t")+COUNTIF($E44:AF44,"¶")+COUNTIF($E44:AF44,"²")+COUNTIF($E44:AF44,"µ")+COUNTIF($E44:AF44,1)),
HYPERLINK("#Roadmap!C"&amp; MATCH($E44,Roadmap!$D:$D,0)+COUNTIF($E44:AF44,"u")+COUNTIF($E44:AF44,"t"),
     INDEX(Roadmap!$D:$K,MATCH($E44,Roadmap!$D:$D,0)+COUNTIF($E44:AF44,"u")+COUNTIF($E44:AF44,"t")+COUNTIF($E44:AF44,"¶")+COUNTIF($E44:AF44,"²")+COUNTIF($E44:AF44,"µ")+COUNTIF($E44:AF44,1),ColTypeEcheance)),
  IF(LEN(AF44)=1,
  IF(LEN(INDEX(Roadmap!$D:$K,MATCH($E44,Roadmap!$D:$D,0)-1+COUNTIF($E44:AF44,"u")+COUNTIF($E44:AF44,"t")+COUNTIF($E44:AF44,"¶")+COUNTIF($E44:AF44,"²")+COUNTIF($E44:AF44,"µ")+COUNTIF($E44:AF44,1),ColDescriptionCourte))&gt;1,
HYPERLINK("#Roadmap!C"&amp; MATCH($E44,Roadmap!$D:$D,0)+COUNTIF($E44:AF44,"u")+COUNTIF($E44:AF44,"t")+COUNTIF($E44:AF44,"¶")+COUNTIF($E44:AF44,"²")+COUNTIF($E44:AF44,"µ")+COUNTIF($E44:AF44,1)-1,INDEX(Roadmap!$D:$K,MATCH($E44,Roadmap!$D:$D,0)-1+COUNTIF($E44:AF44,"u")+COUNTIF($E44:AF44,"t")+COUNTIF($E44:AF44,"¶")+COUNTIF($E44:AF44,"²")+COUNTIF($E44:AF44,"µ")+COUNTIF($E44:AF44,1),ColDescriptionCourte)),""),
  "")),"")</f>
        <v/>
      </c>
      <c r="AH44" s="17" t="str">
        <f ca="1">IFERROR(IF(AND(
  INDEX(Roadmap!$D:$K,MATCH($E44,Roadmap!$D:$D,0)+COUNTIF($E44:AG44,"u")+COUNTIF($E44:AG44,"t")+COUNTIF($E44:AG44,1),ColLivraison)=AH$6,
  VLOOKUP($E44,INDIRECT("tri!"&amp; CHAR(64+ C0Col) &amp;":"&amp; CHAR(65+C0Col)),2,FALSE)&gt;COUNTIF($E44:AG44,"u")+COUNTIF($E44:AG44,"t")+COUNTIF($E44:AG44,1)),
HYPERLINK("#Roadmap!C"&amp; MATCH($E44,Roadmap!$D:$D,0)+COUNTIF($E44:AG44,"u")+COUNTIF($E44:AG44,"t"),
     INDEX(Roadmap!$D:$K,MATCH($E44,Roadmap!$D:$D,0)+COUNTIF($E44:AG44,"u")+COUNTIF($E44:AG44,"t")+COUNTIF($E44:AG44,1),ColTypeEcheance)),
  IF(OR(AG44="u",AG44="t",AG44=1),
  IF(LEN(INDEX(Roadmap!$D:$K,MATCH($E44,Roadmap!$D:$D,0)-1+COUNTIF($E44:AG44,"u")+COUNTIF($E44:AG44,"t")+COUNTIF($E44:AG44,1),ColDescriptionCourte))&gt;1,
HYPERLINK("#Roadmap!C"&amp; MATCH($E44,Roadmap!$D:$D,0)+COUNTIF($E44:AG44,"u")+COUNTIF($E44:AG44,"t")+COUNTIF($E44:AG44,1)-1,INDEX(Roadmap!$D:$K,MATCH($E44,Roadmap!$D:$D,0)-1+COUNTIF($E44:AG44,"u")+COUNTIF($E44:AG44,"t")+COUNTIF($E44:AG44,1),ColDescriptionCourte)),""),
  "")),"")</f>
        <v/>
      </c>
      <c r="AI44" s="40"/>
      <c r="AJ44" s="40"/>
      <c r="AK44" s="40"/>
      <c r="AL44" s="40"/>
      <c r="AM44" s="40"/>
    </row>
    <row r="45" spans="4:39" ht="14.1" customHeight="1">
      <c r="D45" s="20" t="str">
        <f t="shared" ca="1" si="26"/>
        <v/>
      </c>
      <c r="E45" s="53" t="str">
        <f t="shared" ca="1" si="19"/>
        <v/>
      </c>
      <c r="F45" s="49"/>
      <c r="G45" s="23"/>
      <c r="H45" s="23"/>
      <c r="I45" s="23"/>
      <c r="J45" s="23"/>
      <c r="K45" s="22" t="str">
        <f ca="1">IFERROR(IF(AND(
  INDEX(Roadmap!$D:$K,MATCH($E45,Roadmap!$D:$D,0)+COUNTIF($E45:J45,"u")+COUNTIF($E45:J45,"t")+COUNTIF($E45:J45,"¶")+COUNTIF($E45:J45,"²")+COUNTIF($E45:J45,"µ")+COUNTIF($E45:J45,1),ColLivraison)=K$6,
  VLOOKUP($E45,INDIRECT("tri!"&amp; CHAR(64+ C0Col) &amp;":"&amp; CHAR(65+C0Col)),2,FALSE)&gt;COUNTIF($E45:J45,"u")+COUNTIF($E45:J45,"t")+COUNTIF($E45:J45,"¶")+COUNTIF($E45:J45,"²")+COUNTIF($E45:J45,"µ")+COUNTIF($E45:J45,1)),
HYPERLINK("#Roadmap!C"&amp; MATCH($E45,Roadmap!$D:$D,0)+COUNTIF($E45:J45,"u")+COUNTIF($E45:J45,"t"),
     INDEX(Roadmap!$D:$K,MATCH($E45,Roadmap!$D:$D,0)+COUNTIF($E45:J45,"u")+COUNTIF($E45:J45,"t")+COUNTIF($E45:J45,"¶")+COUNTIF($E45:J45,"²")+COUNTIF($E45:J45,"µ")+COUNTIF($E45:J45,1),ColTypeEcheance)),
  IF(LEN(J45)=1,
  IF(LEN(INDEX(Roadmap!$D:$K,MATCH($E45,Roadmap!$D:$D,0)-1+COUNTIF($E45:J45,"u")+COUNTIF($E45:J45,"t")+COUNTIF($E45:J45,"¶")+COUNTIF($E45:J45,"²")+COUNTIF($E45:J45,"µ")+COUNTIF($E45:J45,1),ColDescriptionCourte))&gt;1,
HYPERLINK("#Roadmap!C"&amp; MATCH($E45,Roadmap!$D:$D,0)+COUNTIF($E45:J45,"u")+COUNTIF($E45:J45,"t")+COUNTIF($E45:J45,"¶")+COUNTIF($E45:J45,"²")+COUNTIF($E45:J45,"µ")+COUNTIF($E45:J45,1)-1,INDEX(Roadmap!$D:$K,MATCH($E45,Roadmap!$D:$D,0)-1+COUNTIF($E45:J45,"u")+COUNTIF($E45:J45,"t")+COUNTIF($E45:J45,"¶")+COUNTIF($E45:J45,"²")+COUNTIF($E45:J45,"µ")+COUNTIF($E45:J45,1),ColDescriptionCourte)),""),
  "")),"")</f>
        <v/>
      </c>
      <c r="L45" s="49" t="str">
        <f ca="1">IFERROR(IF(AND(
  INDEX(Roadmap!$D:$K,MATCH($E45,Roadmap!$D:$D,0)+COUNTIF($E45:K45,"u")+COUNTIF($E45:K45,"t")+COUNTIF($E45:K45,"¶")+COUNTIF($E45:K45,"²")+COUNTIF($E45:K45,"µ")+COUNTIF($E45:K45,1),ColLivraison)=L$6,
  VLOOKUP($E45,INDIRECT("tri!"&amp; CHAR(64+ C0Col) &amp;":"&amp; CHAR(65+C0Col)),2,FALSE)&gt;COUNTIF($E45:K45,"u")+COUNTIF($E45:K45,"t")+COUNTIF($E45:K45,"¶")+COUNTIF($E45:K45,"²")+COUNTIF($E45:K45,"µ")+COUNTIF($E45:K45,1)),
HYPERLINK("#Roadmap!C"&amp; MATCH($E45,Roadmap!$D:$D,0)+COUNTIF($E45:K45,"u")+COUNTIF($E45:K45,"t"),
     INDEX(Roadmap!$D:$K,MATCH($E45,Roadmap!$D:$D,0)+COUNTIF($E45:K45,"u")+COUNTIF($E45:K45,"t")+COUNTIF($E45:K45,"¶")+COUNTIF($E45:K45,"²")+COUNTIF($E45:K45,"µ")+COUNTIF($E45:K45,1),ColTypeEcheance)),
  IF(LEN(K45)=1,
  IF(LEN(INDEX(Roadmap!$D:$K,MATCH($E45,Roadmap!$D:$D,0)-1+COUNTIF($E45:K45,"u")+COUNTIF($E45:K45,"t")+COUNTIF($E45:K45,"¶")+COUNTIF($E45:K45,"²")+COUNTIF($E45:K45,"µ")+COUNTIF($E45:K45,1),ColDescriptionCourte))&gt;1,
HYPERLINK("#Roadmap!C"&amp; MATCH($E45,Roadmap!$D:$D,0)+COUNTIF($E45:K45,"u")+COUNTIF($E45:K45,"t")+COUNTIF($E45:K45,"¶")+COUNTIF($E45:K45,"²")+COUNTIF($E45:K45,"µ")+COUNTIF($E45:K45,1)-1,INDEX(Roadmap!$D:$K,MATCH($E45,Roadmap!$D:$D,0)-1+COUNTIF($E45:K45,"u")+COUNTIF($E45:K45,"t")+COUNTIF($E45:K45,"¶")+COUNTIF($E45:K45,"²")+COUNTIF($E45:K45,"µ")+COUNTIF($E45:K45,1),ColDescriptionCourte)),""),
  "")),"")</f>
        <v/>
      </c>
      <c r="M45" s="23"/>
      <c r="N45" s="23"/>
      <c r="O45" s="23"/>
      <c r="P45" s="23"/>
      <c r="Q45" s="23"/>
      <c r="R45" s="23"/>
      <c r="S45" s="23"/>
      <c r="T45" s="23"/>
      <c r="U45" s="23"/>
      <c r="V45" s="23"/>
      <c r="W45" s="23"/>
      <c r="X45" s="23"/>
      <c r="Y45" s="23"/>
      <c r="Z45" s="23"/>
      <c r="AA45" s="23"/>
      <c r="AB45" s="23"/>
      <c r="AC45" s="23"/>
      <c r="AD45" s="23"/>
      <c r="AE45" s="23"/>
      <c r="AF45" s="23"/>
      <c r="AG45" s="23"/>
      <c r="AH45" s="40" t="str">
        <f ca="1">IFERROR(IF(AND(
  INDEX(Roadmap!$D:$K,MATCH($E45,Roadmap!$D:$D,0)+COUNTIF($E45:AG45,"u")+COUNTIF($E45:AG45,"t")+COUNTIF($E45:AG45,1),ColLivraison)=AH$6,
  VLOOKUP($E45,INDIRECT("tri!"&amp; CHAR(64+ C0Col) &amp;":"&amp; CHAR(65+C0Col)),2,FALSE)&gt;COUNTIF($E45:AG45,"u")+COUNTIF($E45:AG45,"t")+COUNTIF($E45:AG45,1)),
HYPERLINK("#Roadmap!C"&amp; MATCH($E45,Roadmap!$D:$D,0)+COUNTIF($E45:AG45,"u")+COUNTIF($E45:AG45,"t"),
     INDEX(Roadmap!$D:$K,MATCH($E45,Roadmap!$D:$D,0)+COUNTIF($E45:AG45,"u")+COUNTIF($E45:AG45,"t")+COUNTIF($E45:AG45,1),ColTypeEcheance)),
  IF(OR(AG45="u",AG45="t",AG45=1),
  IF(LEN(INDEX(Roadmap!$D:$K,MATCH($E45,Roadmap!$D:$D,0)-1+COUNTIF($E45:AG45,"u")+COUNTIF($E45:AG45,"t")+COUNTIF($E45:AG45,1),ColDescriptionCourte))&gt;1,
HYPERLINK("#Roadmap!C"&amp; MATCH($E45,Roadmap!$D:$D,0)+COUNTIF($E45:AG45,"u")+COUNTIF($E45:AG45,"t")+COUNTIF($E45:AG45,1)-1,INDEX(Roadmap!$D:$K,MATCH($E45,Roadmap!$D:$D,0)-1+COUNTIF($E45:AG45,"u")+COUNTIF($E45:AG45,"t")+COUNTIF($E45:AG45,1),ColDescriptionCourte)),""),
  "")),"")</f>
        <v/>
      </c>
      <c r="AI45" s="40"/>
      <c r="AJ45" s="17"/>
      <c r="AK45" s="40"/>
      <c r="AL45" s="40"/>
      <c r="AM45" s="40"/>
    </row>
    <row r="46" spans="4:39" ht="14.1" customHeight="1">
      <c r="D46" s="20" t="str">
        <f t="shared" ca="1" si="26"/>
        <v/>
      </c>
      <c r="E46" s="53" t="str">
        <f t="shared" ca="1" si="19"/>
        <v/>
      </c>
      <c r="F46" s="49"/>
      <c r="G46" s="23"/>
      <c r="H46" s="23"/>
      <c r="I46" s="23"/>
      <c r="J46" s="23"/>
      <c r="K46" s="23"/>
      <c r="L46" s="49"/>
      <c r="M46" s="23"/>
      <c r="N46" s="23"/>
      <c r="O46" s="23"/>
      <c r="P46" s="22" t="str">
        <f ca="1">IFERROR(IF(AND(
  INDEX(Roadmap!$D:$K,MATCH($E46,Roadmap!$D:$D,0)+COUNTIF($E46:O46,"u")+COUNTIF($E46:O46,"t")+COUNTIF($E46:O46,"¶")+COUNTIF($E46:O46,"²")+COUNTIF($E46:O46,"µ")+COUNTIF($E46:O46,1),ColLivraison)=P$6,
  VLOOKUP($E46,INDIRECT("tri!"&amp; CHAR(64+ C0Col) &amp;":"&amp; CHAR(65+C0Col)),2,FALSE)&gt;COUNTIF($E46:O46,"u")+COUNTIF($E46:O46,"t")+COUNTIF($E46:O46,"¶")+COUNTIF($E46:O46,"²")+COUNTIF($E46:O46,"µ")+COUNTIF($E46:O46,1)),
HYPERLINK("#Roadmap!C"&amp; MATCH($E46,Roadmap!$D:$D,0)+COUNTIF($E46:O46,"u")+COUNTIF($E46:O46,"t"),
     INDEX(Roadmap!$D:$K,MATCH($E46,Roadmap!$D:$D,0)+COUNTIF($E46:O46,"u")+COUNTIF($E46:O46,"t")+COUNTIF($E46:O46,"¶")+COUNTIF($E46:O46,"²")+COUNTIF($E46:O46,"µ")+COUNTIF($E46:O46,1),ColTypeEcheance)),
  IF(LEN(O46)=1,
  IF(LEN(INDEX(Roadmap!$D:$K,MATCH($E46,Roadmap!$D:$D,0)-1+COUNTIF($E46:O46,"u")+COUNTIF($E46:O46,"t")+COUNTIF($E46:O46,"¶")+COUNTIF($E46:O46,"²")+COUNTIF($E46:O46,"µ")+COUNTIF($E46:O46,1),ColDescriptionCourte))&gt;1,
HYPERLINK("#Roadmap!C"&amp; MATCH($E46,Roadmap!$D:$D,0)+COUNTIF($E46:O46,"u")+COUNTIF($E46:O46,"t")+COUNTIF($E46:O46,"¶")+COUNTIF($E46:O46,"²")+COUNTIF($E46:O46,"µ")+COUNTIF($E46:O46,1)-1,INDEX(Roadmap!$D:$K,MATCH($E46,Roadmap!$D:$D,0)-1+COUNTIF($E46:O46,"u")+COUNTIF($E46:O46,"t")+COUNTIF($E46:O46,"¶")+COUNTIF($E46:O46,"²")+COUNTIF($E46:O46,"µ")+COUNTIF($E46:O46,1),ColDescriptionCourte)),""),
  "")),"")</f>
        <v/>
      </c>
      <c r="Q46" s="23" t="str">
        <f ca="1">IFERROR(IF(AND(
  INDEX(Roadmap!$D:$K,MATCH($E46,Roadmap!$D:$D,0)+COUNTIF($E46:P46,"u")+COUNTIF($E46:P46,"t")+COUNTIF($E46:P46,"¶")+COUNTIF($E46:P46,"²")+COUNTIF($E46:P46,"µ")+COUNTIF($E46:P46,1),ColLivraison)=Q$6,
  VLOOKUP($E46,INDIRECT("tri!"&amp; CHAR(64+ C0Col) &amp;":"&amp; CHAR(65+C0Col)),2,FALSE)&gt;COUNTIF($E46:P46,"u")+COUNTIF($E46:P46,"t")+COUNTIF($E46:P46,"¶")+COUNTIF($E46:P46,"²")+COUNTIF($E46:P46,"µ")+COUNTIF($E46:P46,1)),
HYPERLINK("#Roadmap!C"&amp; MATCH($E46,Roadmap!$D:$D,0)+COUNTIF($E46:P46,"u")+COUNTIF($E46:P46,"t"),
     INDEX(Roadmap!$D:$K,MATCH($E46,Roadmap!$D:$D,0)+COUNTIF($E46:P46,"u")+COUNTIF($E46:P46,"t")+COUNTIF($E46:P46,"¶")+COUNTIF($E46:P46,"²")+COUNTIF($E46:P46,"µ")+COUNTIF($E46:P46,1),ColTypeEcheance)),
  IF(LEN(P46)=1,
  IF(LEN(INDEX(Roadmap!$D:$K,MATCH($E46,Roadmap!$D:$D,0)-1+COUNTIF($E46:P46,"u")+COUNTIF($E46:P46,"t")+COUNTIF($E46:P46,"¶")+COUNTIF($E46:P46,"²")+COUNTIF($E46:P46,"µ")+COUNTIF($E46:P46,1),ColDescriptionCourte))&gt;1,
HYPERLINK("#Roadmap!C"&amp; MATCH($E46,Roadmap!$D:$D,0)+COUNTIF($E46:P46,"u")+COUNTIF($E46:P46,"t")+COUNTIF($E46:P46,"¶")+COUNTIF($E46:P46,"²")+COUNTIF($E46:P46,"µ")+COUNTIF($E46:P46,1)-1,INDEX(Roadmap!$D:$K,MATCH($E46,Roadmap!$D:$D,0)-1+COUNTIF($E46:P46,"u")+COUNTIF($E46:P46,"t")+COUNTIF($E46:P46,"¶")+COUNTIF($E46:P46,"²")+COUNTIF($E46:P46,"µ")+COUNTIF($E46:P46,1),ColDescriptionCourte)),""),
  "")),"")</f>
        <v/>
      </c>
      <c r="R46" s="22" t="str">
        <f ca="1">IFERROR(IF(AND(
  INDEX(Roadmap!$D:$K,MATCH($E46,Roadmap!$D:$D,0)+COUNTIF($E46:Q46,"u")+COUNTIF($E46:Q46,"t")+COUNTIF($E46:Q46,"¶")+COUNTIF($E46:Q46,"²")+COUNTIF($E46:Q46,"µ")+COUNTIF($E46:Q46,1),ColLivraison)=R$6,
  VLOOKUP($E46,INDIRECT("tri!"&amp; CHAR(64+ C0Col) &amp;":"&amp; CHAR(65+C0Col)),2,FALSE)&gt;COUNTIF($E46:Q46,"u")+COUNTIF($E46:Q46,"t")+COUNTIF($E46:Q46,"¶")+COUNTIF($E46:Q46,"²")+COUNTIF($E46:Q46,"µ")+COUNTIF($E46:Q46,1)),
HYPERLINK("#Roadmap!C"&amp; MATCH($E46,Roadmap!$D:$D,0)+COUNTIF($E46:Q46,"u")+COUNTIF($E46:Q46,"t"),
     INDEX(Roadmap!$D:$K,MATCH($E46,Roadmap!$D:$D,0)+COUNTIF($E46:Q46,"u")+COUNTIF($E46:Q46,"t")+COUNTIF($E46:Q46,"¶")+COUNTIF($E46:Q46,"²")+COUNTIF($E46:Q46,"µ")+COUNTIF($E46:Q46,1),ColTypeEcheance)),
  IF(LEN(Q46)=1,
  IF(LEN(INDEX(Roadmap!$D:$K,MATCH($E46,Roadmap!$D:$D,0)-1+COUNTIF($E46:Q46,"u")+COUNTIF($E46:Q46,"t")+COUNTIF($E46:Q46,"¶")+COUNTIF($E46:Q46,"²")+COUNTIF($E46:Q46,"µ")+COUNTIF($E46:Q46,1),ColDescriptionCourte))&gt;1,
HYPERLINK("#Roadmap!C"&amp; MATCH($E46,Roadmap!$D:$D,0)+COUNTIF($E46:Q46,"u")+COUNTIF($E46:Q46,"t")+COUNTIF($E46:Q46,"¶")+COUNTIF($E46:Q46,"²")+COUNTIF($E46:Q46,"µ")+COUNTIF($E46:Q46,1)-1,INDEX(Roadmap!$D:$K,MATCH($E46,Roadmap!$D:$D,0)-1+COUNTIF($E46:Q46,"u")+COUNTIF($E46:Q46,"t")+COUNTIF($E46:Q46,"¶")+COUNTIF($E46:Q46,"²")+COUNTIF($E46:Q46,"µ")+COUNTIF($E46:Q46,1),ColDescriptionCourte)),""),
  "")),"")</f>
        <v/>
      </c>
      <c r="S46" s="23" t="str">
        <f ca="1">IFERROR(IF(AND(
  INDEX(Roadmap!$D:$K,MATCH($E46,Roadmap!$D:$D,0)+COUNTIF($E46:R46,"u")+COUNTIF($E46:R46,"t")+COUNTIF($E46:R46,"¶")+COUNTIF($E46:R46,"²")+COUNTIF($E46:R46,"µ")+COUNTIF($E46:R46,1),ColLivraison)=S$6,
  VLOOKUP($E46,INDIRECT("tri!"&amp; CHAR(64+ C0Col) &amp;":"&amp; CHAR(65+C0Col)),2,FALSE)&gt;COUNTIF($E46:R46,"u")+COUNTIF($E46:R46,"t")+COUNTIF($E46:R46,"¶")+COUNTIF($E46:R46,"²")+COUNTIF($E46:R46,"µ")+COUNTIF($E46:R46,1)),
HYPERLINK("#Roadmap!C"&amp; MATCH($E46,Roadmap!$D:$D,0)+COUNTIF($E46:R46,"u")+COUNTIF($E46:R46,"t"),
     INDEX(Roadmap!$D:$K,MATCH($E46,Roadmap!$D:$D,0)+COUNTIF($E46:R46,"u")+COUNTIF($E46:R46,"t")+COUNTIF($E46:R46,"¶")+COUNTIF($E46:R46,"²")+COUNTIF($E46:R46,"µ")+COUNTIF($E46:R46,1),ColTypeEcheance)),
  IF(LEN(R46)=1,
  IF(LEN(INDEX(Roadmap!$D:$K,MATCH($E46,Roadmap!$D:$D,0)-1+COUNTIF($E46:R46,"u")+COUNTIF($E46:R46,"t")+COUNTIF($E46:R46,"¶")+COUNTIF($E46:R46,"²")+COUNTIF($E46:R46,"µ")+COUNTIF($E46:R46,1),ColDescriptionCourte))&gt;1,
HYPERLINK("#Roadmap!C"&amp; MATCH($E46,Roadmap!$D:$D,0)+COUNTIF($E46:R46,"u")+COUNTIF($E46:R46,"t")+COUNTIF($E46:R46,"¶")+COUNTIF($E46:R46,"²")+COUNTIF($E46:R46,"µ")+COUNTIF($E46:R46,1)-1,INDEX(Roadmap!$D:$K,MATCH($E46,Roadmap!$D:$D,0)-1+COUNTIF($E46:R46,"u")+COUNTIF($E46:R46,"t")+COUNTIF($E46:R46,"¶")+COUNTIF($E46:R46,"²")+COUNTIF($E46:R46,"µ")+COUNTIF($E46:R46,1),ColDescriptionCourte)),""),
  "")),"")</f>
        <v/>
      </c>
      <c r="T46" s="23"/>
      <c r="U46" s="23"/>
      <c r="V46" s="23"/>
      <c r="W46" s="23"/>
      <c r="X46" s="22" t="str">
        <f ca="1">IFERROR(IF(AND(
  INDEX(Roadmap!$D:$K,MATCH($E46,Roadmap!$D:$D,0)+COUNTIF($E46:W46,"u")+COUNTIF($E46:W46,"t")+COUNTIF($E46:W46,"¶")+COUNTIF($E46:W46,"²")+COUNTIF($E46:W46,"µ")+COUNTIF($E46:W46,1),ColLivraison)=X$6,
  VLOOKUP($E46,INDIRECT("tri!"&amp; CHAR(64+ C0Col) &amp;":"&amp; CHAR(65+C0Col)),2,FALSE)&gt;COUNTIF($E46:W46,"u")+COUNTIF($E46:W46,"t")+COUNTIF($E46:W46,"¶")+COUNTIF($E46:W46,"²")+COUNTIF($E46:W46,"µ")+COUNTIF($E46:W46,1)),
HYPERLINK("#Roadmap!C"&amp; MATCH($E46,Roadmap!$D:$D,0)+COUNTIF($E46:W46,"u")+COUNTIF($E46:W46,"t"),
     INDEX(Roadmap!$D:$K,MATCH($E46,Roadmap!$D:$D,0)+COUNTIF($E46:W46,"u")+COUNTIF($E46:W46,"t")+COUNTIF($E46:W46,"¶")+COUNTIF($E46:W46,"²")+COUNTIF($E46:W46,"µ")+COUNTIF($E46:W46,1),ColTypeEcheance)),
  IF(LEN(W46)=1,
  IF(LEN(INDEX(Roadmap!$D:$K,MATCH($E46,Roadmap!$D:$D,0)-1+COUNTIF($E46:W46,"u")+COUNTIF($E46:W46,"t")+COUNTIF($E46:W46,"¶")+COUNTIF($E46:W46,"²")+COUNTIF($E46:W46,"µ")+COUNTIF($E46:W46,1),ColDescriptionCourte))&gt;1,
HYPERLINK("#Roadmap!C"&amp; MATCH($E46,Roadmap!$D:$D,0)+COUNTIF($E46:W46,"u")+COUNTIF($E46:W46,"t")+COUNTIF($E46:W46,"¶")+COUNTIF($E46:W46,"²")+COUNTIF($E46:W46,"µ")+COUNTIF($E46:W46,1)-1,INDEX(Roadmap!$D:$K,MATCH($E46,Roadmap!$D:$D,0)-1+COUNTIF($E46:W46,"u")+COUNTIF($E46:W46,"t")+COUNTIF($E46:W46,"¶")+COUNTIF($E46:W46,"²")+COUNTIF($E46:W46,"µ")+COUNTIF($E46:W46,1),ColDescriptionCourte)),""),
  "")),"")</f>
        <v/>
      </c>
      <c r="Y46" s="23" t="str">
        <f ca="1">IFERROR(IF(AND(
  INDEX(Roadmap!$D:$K,MATCH($E46,Roadmap!$D:$D,0)+COUNTIF($E46:X46,"u")+COUNTIF($E46:X46,"t")+COUNTIF($E46:X46,"¶")+COUNTIF($E46:X46,"²")+COUNTIF($E46:X46,"µ")+COUNTIF($E46:X46,1),ColLivraison)=Y$6,
  VLOOKUP($E46,INDIRECT("tri!"&amp; CHAR(64+ C0Col) &amp;":"&amp; CHAR(65+C0Col)),2,FALSE)&gt;COUNTIF($E46:X46,"u")+COUNTIF($E46:X46,"t")+COUNTIF($E46:X46,"¶")+COUNTIF($E46:X46,"²")+COUNTIF($E46:X46,"µ")+COUNTIF($E46:X46,1)),
HYPERLINK("#Roadmap!C"&amp; MATCH($E46,Roadmap!$D:$D,0)+COUNTIF($E46:X46,"u")+COUNTIF($E46:X46,"t"),
     INDEX(Roadmap!$D:$K,MATCH($E46,Roadmap!$D:$D,0)+COUNTIF($E46:X46,"u")+COUNTIF($E46:X46,"t")+COUNTIF($E46:X46,"¶")+COUNTIF($E46:X46,"²")+COUNTIF($E46:X46,"µ")+COUNTIF($E46:X46,1),ColTypeEcheance)),
  IF(LEN(X46)=1,
  IF(LEN(INDEX(Roadmap!$D:$K,MATCH($E46,Roadmap!$D:$D,0)-1+COUNTIF($E46:X46,"u")+COUNTIF($E46:X46,"t")+COUNTIF($E46:X46,"¶")+COUNTIF($E46:X46,"²")+COUNTIF($E46:X46,"µ")+COUNTIF($E46:X46,1),ColDescriptionCourte))&gt;1,
HYPERLINK("#Roadmap!C"&amp; MATCH($E46,Roadmap!$D:$D,0)+COUNTIF($E46:X46,"u")+COUNTIF($E46:X46,"t")+COUNTIF($E46:X46,"¶")+COUNTIF($E46:X46,"²")+COUNTIF($E46:X46,"µ")+COUNTIF($E46:X46,1)-1,INDEX(Roadmap!$D:$K,MATCH($E46,Roadmap!$D:$D,0)-1+COUNTIF($E46:X46,"u")+COUNTIF($E46:X46,"t")+COUNTIF($E46:X46,"¶")+COUNTIF($E46:X46,"²")+COUNTIF($E46:X46,"µ")+COUNTIF($E46:X46,1),ColDescriptionCourte)),""),
  "")),"")</f>
        <v/>
      </c>
      <c r="Z46" s="23"/>
      <c r="AA46" s="23"/>
      <c r="AB46" s="23"/>
      <c r="AC46" s="23"/>
      <c r="AD46" s="23"/>
      <c r="AE46" s="23"/>
      <c r="AF46" s="23"/>
      <c r="AG46" s="23"/>
      <c r="AH46" s="40" t="str">
        <f ca="1">IFERROR(IF(AND(
  INDEX(Roadmap!$D:$K,MATCH($E46,Roadmap!$D:$D,0)+COUNTIF($E46:AG46,"u")+COUNTIF($E46:AG46,"t")+COUNTIF($E46:AG46,1),ColLivraison)=AH$6,
  VLOOKUP($E46,INDIRECT("tri!"&amp; CHAR(64+ C0Col) &amp;":"&amp; CHAR(65+C0Col)),2,FALSE)&gt;COUNTIF($E46:AG46,"u")+COUNTIF($E46:AG46,"t")+COUNTIF($E46:AG46,1)),
HYPERLINK("#Roadmap!C"&amp; MATCH($E46,Roadmap!$D:$D,0)+COUNTIF($E46:AG46,"u")+COUNTIF($E46:AG46,"t"),
     INDEX(Roadmap!$D:$K,MATCH($E46,Roadmap!$D:$D,0)+COUNTIF($E46:AG46,"u")+COUNTIF($E46:AG46,"t")+COUNTIF($E46:AG46,1),ColTypeEcheance)),
  IF(OR(AG46="u",AG46="t",AG46=1),
  IF(LEN(INDEX(Roadmap!$D:$K,MATCH($E46,Roadmap!$D:$D,0)-1+COUNTIF($E46:AG46,"u")+COUNTIF($E46:AG46,"t")+COUNTIF($E46:AG46,1),ColDescriptionCourte))&gt;1,
HYPERLINK("#Roadmap!C"&amp; MATCH($E46,Roadmap!$D:$D,0)+COUNTIF($E46:AG46,"u")+COUNTIF($E46:AG46,"t")+COUNTIF($E46:AG46,1)-1,INDEX(Roadmap!$D:$K,MATCH($E46,Roadmap!$D:$D,0)-1+COUNTIF($E46:AG46,"u")+COUNTIF($E46:AG46,"t")+COUNTIF($E46:AG46,1),ColDescriptionCourte)),""),
  "")),"")</f>
        <v/>
      </c>
      <c r="AI46" s="40"/>
      <c r="AJ46" s="40"/>
      <c r="AK46" s="40"/>
      <c r="AL46" s="40"/>
      <c r="AM46" s="40"/>
    </row>
    <row r="47" spans="4:39" ht="14.1" customHeight="1">
      <c r="D47" s="20" t="str">
        <f t="shared" ca="1" si="26"/>
        <v/>
      </c>
      <c r="E47" s="53" t="str">
        <f t="shared" ca="1" si="19"/>
        <v/>
      </c>
      <c r="F47" s="49"/>
      <c r="G47" s="23"/>
      <c r="H47" s="23"/>
      <c r="I47" s="23"/>
      <c r="J47" s="23"/>
      <c r="K47" s="23"/>
      <c r="L47" s="49"/>
      <c r="M47" s="23"/>
      <c r="N47" s="22" t="str">
        <f ca="1">IFERROR(IF(AND(
  INDEX(Roadmap!$D:$K,MATCH($E47,Roadmap!$D:$D,0)+COUNTIF($E47:M47,"u")+COUNTIF($E47:M47,"t")+COUNTIF($E47:M47,"¶")+COUNTIF($E47:M47,"²")+COUNTIF($E47:M47,"µ")+COUNTIF($E47:M47,1),ColLivraison)=N$6,
  VLOOKUP($E47,INDIRECT("tri!"&amp; CHAR(64+ C0Col) &amp;":"&amp; CHAR(65+C0Col)),2,FALSE)&gt;COUNTIF($E47:M47,"u")+COUNTIF($E47:M47,"t")+COUNTIF($E47:M47,"¶")+COUNTIF($E47:M47,"²")+COUNTIF($E47:M47,"µ")+COUNTIF($E47:M47,1)),
HYPERLINK("#Roadmap!C"&amp; MATCH($E47,Roadmap!$D:$D,0)+COUNTIF($E47:M47,"u")+COUNTIF($E47:M47,"t"),
     INDEX(Roadmap!$D:$K,MATCH($E47,Roadmap!$D:$D,0)+COUNTIF($E47:M47,"u")+COUNTIF($E47:M47,"t")+COUNTIF($E47:M47,"¶")+COUNTIF($E47:M47,"²")+COUNTIF($E47:M47,"µ")+COUNTIF($E47:M47,1),ColTypeEcheance)),
  IF(LEN(M47)=1,
  IF(LEN(INDEX(Roadmap!$D:$K,MATCH($E47,Roadmap!$D:$D,0)-1+COUNTIF($E47:M47,"u")+COUNTIF($E47:M47,"t")+COUNTIF($E47:M47,"¶")+COUNTIF($E47:M47,"²")+COUNTIF($E47:M47,"µ")+COUNTIF($E47:M47,1),ColDescriptionCourte))&gt;1,
HYPERLINK("#Roadmap!C"&amp; MATCH($E47,Roadmap!$D:$D,0)+COUNTIF($E47:M47,"u")+COUNTIF($E47:M47,"t")+COUNTIF($E47:M47,"¶")+COUNTIF($E47:M47,"²")+COUNTIF($E47:M47,"µ")+COUNTIF($E47:M47,1)-1,INDEX(Roadmap!$D:$K,MATCH($E47,Roadmap!$D:$D,0)-1+COUNTIF($E47:M47,"u")+COUNTIF($E47:M47,"t")+COUNTIF($E47:M47,"¶")+COUNTIF($E47:M47,"²")+COUNTIF($E47:M47,"µ")+COUNTIF($E47:M47,1),ColDescriptionCourte)),""),
  "")),"")</f>
        <v/>
      </c>
      <c r="O47" s="23" t="str">
        <f ca="1">IFERROR(IF(AND(
  INDEX(Roadmap!$D:$K,MATCH($E47,Roadmap!$D:$D,0)+COUNTIF($E47:N47,"u")+COUNTIF($E47:N47,"t")+COUNTIF($E47:N47,"¶")+COUNTIF($E47:N47,"²")+COUNTIF($E47:N47,"µ")+COUNTIF($E47:N47,1),ColLivraison)=O$6,
  VLOOKUP($E47,INDIRECT("tri!"&amp; CHAR(64+ C0Col) &amp;":"&amp; CHAR(65+C0Col)),2,FALSE)&gt;COUNTIF($E47:N47,"u")+COUNTIF($E47:N47,"t")+COUNTIF($E47:N47,"¶")+COUNTIF($E47:N47,"²")+COUNTIF($E47:N47,"µ")+COUNTIF($E47:N47,1)),
HYPERLINK("#Roadmap!C"&amp; MATCH($E47,Roadmap!$D:$D,0)+COUNTIF($E47:N47,"u")+COUNTIF($E47:N47,"t"),
     INDEX(Roadmap!$D:$K,MATCH($E47,Roadmap!$D:$D,0)+COUNTIF($E47:N47,"u")+COUNTIF($E47:N47,"t")+COUNTIF($E47:N47,"¶")+COUNTIF($E47:N47,"²")+COUNTIF($E47:N47,"µ")+COUNTIF($E47:N47,1),ColTypeEcheance)),
  IF(LEN(N47)=1,
  IF(LEN(INDEX(Roadmap!$D:$K,MATCH($E47,Roadmap!$D:$D,0)-1+COUNTIF($E47:N47,"u")+COUNTIF($E47:N47,"t")+COUNTIF($E47:N47,"¶")+COUNTIF($E47:N47,"²")+COUNTIF($E47:N47,"µ")+COUNTIF($E47:N47,1),ColDescriptionCourte))&gt;1,
HYPERLINK("#Roadmap!C"&amp; MATCH($E47,Roadmap!$D:$D,0)+COUNTIF($E47:N47,"u")+COUNTIF($E47:N47,"t")+COUNTIF($E47:N47,"¶")+COUNTIF($E47:N47,"²")+COUNTIF($E47:N47,"µ")+COUNTIF($E47:N47,1)-1,INDEX(Roadmap!$D:$K,MATCH($E47,Roadmap!$D:$D,0)-1+COUNTIF($E47:N47,"u")+COUNTIF($E47:N47,"t")+COUNTIF($E47:N47,"¶")+COUNTIF($E47:N47,"²")+COUNTIF($E47:N47,"µ")+COUNTIF($E47:N47,1),ColDescriptionCourte)),""),
  "")),"")</f>
        <v/>
      </c>
      <c r="P47" s="23"/>
      <c r="Q47" s="23"/>
      <c r="R47" s="22" t="str">
        <f ca="1">IFERROR(IF(AND(
  INDEX(Roadmap!$D:$K,MATCH($E47,Roadmap!$D:$D,0)+COUNTIF($E47:Q47,"u")+COUNTIF($E47:Q47,"t")+COUNTIF($E47:Q47,"¶")+COUNTIF($E47:Q47,"²")+COUNTIF($E47:Q47,"µ")+COUNTIF($E47:Q47,1),ColLivraison)=R$6,
  VLOOKUP($E47,INDIRECT("tri!"&amp; CHAR(64+ C0Col) &amp;":"&amp; CHAR(65+C0Col)),2,FALSE)&gt;COUNTIF($E47:Q47,"u")+COUNTIF($E47:Q47,"t")+COUNTIF($E47:Q47,"¶")+COUNTIF($E47:Q47,"²")+COUNTIF($E47:Q47,"µ")+COUNTIF($E47:Q47,1)),
HYPERLINK("#Roadmap!C"&amp; MATCH($E47,Roadmap!$D:$D,0)+COUNTIF($E47:Q47,"u")+COUNTIF($E47:Q47,"t"),
     INDEX(Roadmap!$D:$K,MATCH($E47,Roadmap!$D:$D,0)+COUNTIF($E47:Q47,"u")+COUNTIF($E47:Q47,"t")+COUNTIF($E47:Q47,"¶")+COUNTIF($E47:Q47,"²")+COUNTIF($E47:Q47,"µ")+COUNTIF($E47:Q47,1),ColTypeEcheance)),
  IF(LEN(Q47)=1,
  IF(LEN(INDEX(Roadmap!$D:$K,MATCH($E47,Roadmap!$D:$D,0)-1+COUNTIF($E47:Q47,"u")+COUNTIF($E47:Q47,"t")+COUNTIF($E47:Q47,"¶")+COUNTIF($E47:Q47,"²")+COUNTIF($E47:Q47,"µ")+COUNTIF($E47:Q47,1),ColDescriptionCourte))&gt;1,
HYPERLINK("#Roadmap!C"&amp; MATCH($E47,Roadmap!$D:$D,0)+COUNTIF($E47:Q47,"u")+COUNTIF($E47:Q47,"t")+COUNTIF($E47:Q47,"¶")+COUNTIF($E47:Q47,"²")+COUNTIF($E47:Q47,"µ")+COUNTIF($E47:Q47,1)-1,INDEX(Roadmap!$D:$K,MATCH($E47,Roadmap!$D:$D,0)-1+COUNTIF($E47:Q47,"u")+COUNTIF($E47:Q47,"t")+COUNTIF($E47:Q47,"¶")+COUNTIF($E47:Q47,"²")+COUNTIF($E47:Q47,"µ")+COUNTIF($E47:Q47,1),ColDescriptionCourte)),""),
  "")),"")</f>
        <v/>
      </c>
      <c r="S47" s="23" t="str">
        <f ca="1">IFERROR(IF(AND(
  INDEX(Roadmap!$D:$K,MATCH($E47,Roadmap!$D:$D,0)+COUNTIF($E47:R47,"u")+COUNTIF($E47:R47,"t")+COUNTIF($E47:R47,"¶")+COUNTIF($E47:R47,"²")+COUNTIF($E47:R47,"µ")+COUNTIF($E47:R47,1),ColLivraison)=S$6,
  VLOOKUP($E47,INDIRECT("tri!"&amp; CHAR(64+ C0Col) &amp;":"&amp; CHAR(65+C0Col)),2,FALSE)&gt;COUNTIF($E47:R47,"u")+COUNTIF($E47:R47,"t")+COUNTIF($E47:R47,"¶")+COUNTIF($E47:R47,"²")+COUNTIF($E47:R47,"µ")+COUNTIF($E47:R47,1)),
HYPERLINK("#Roadmap!C"&amp; MATCH($E47,Roadmap!$D:$D,0)+COUNTIF($E47:R47,"u")+COUNTIF($E47:R47,"t"),
     INDEX(Roadmap!$D:$K,MATCH($E47,Roadmap!$D:$D,0)+COUNTIF($E47:R47,"u")+COUNTIF($E47:R47,"t")+COUNTIF($E47:R47,"¶")+COUNTIF($E47:R47,"²")+COUNTIF($E47:R47,"µ")+COUNTIF($E47:R47,1),ColTypeEcheance)),
  IF(LEN(R47)=1,
  IF(LEN(INDEX(Roadmap!$D:$K,MATCH($E47,Roadmap!$D:$D,0)-1+COUNTIF($E47:R47,"u")+COUNTIF($E47:R47,"t")+COUNTIF($E47:R47,"¶")+COUNTIF($E47:R47,"²")+COUNTIF($E47:R47,"µ")+COUNTIF($E47:R47,1),ColDescriptionCourte))&gt;1,
HYPERLINK("#Roadmap!C"&amp; MATCH($E47,Roadmap!$D:$D,0)+COUNTIF($E47:R47,"u")+COUNTIF($E47:R47,"t")+COUNTIF($E47:R47,"¶")+COUNTIF($E47:R47,"²")+COUNTIF($E47:R47,"µ")+COUNTIF($E47:R47,1)-1,INDEX(Roadmap!$D:$K,MATCH($E47,Roadmap!$D:$D,0)-1+COUNTIF($E47:R47,"u")+COUNTIF($E47:R47,"t")+COUNTIF($E47:R47,"¶")+COUNTIF($E47:R47,"²")+COUNTIF($E47:R47,"µ")+COUNTIF($E47:R47,1),ColDescriptionCourte)),""),
  "")),"")</f>
        <v/>
      </c>
      <c r="T47" s="23"/>
      <c r="U47" s="23"/>
      <c r="V47" s="23"/>
      <c r="W47" s="23"/>
      <c r="X47" s="23"/>
      <c r="Y47" s="23"/>
      <c r="Z47" s="23"/>
      <c r="AA47" s="23"/>
      <c r="AB47" s="23"/>
      <c r="AC47" s="23"/>
      <c r="AD47" s="23"/>
      <c r="AE47" s="23"/>
      <c r="AF47" s="23"/>
      <c r="AG47" s="23"/>
      <c r="AH47" s="40" t="str">
        <f ca="1">IFERROR(IF(AND(
  INDEX(Roadmap!$D:$K,MATCH($E47,Roadmap!$D:$D,0)+COUNTIF($E47:AG47,"u")+COUNTIF($E47:AG47,"t")+COUNTIF($E47:AG47,1),ColLivraison)=AH$6,
  VLOOKUP($E47,INDIRECT("tri!"&amp; CHAR(64+ C0Col) &amp;":"&amp; CHAR(65+C0Col)),2,FALSE)&gt;COUNTIF($E47:AG47,"u")+COUNTIF($E47:AG47,"t")+COUNTIF($E47:AG47,1)),
HYPERLINK("#Roadmap!C"&amp; MATCH($E47,Roadmap!$D:$D,0)+COUNTIF($E47:AG47,"u")+COUNTIF($E47:AG47,"t"),
     INDEX(Roadmap!$D:$K,MATCH($E47,Roadmap!$D:$D,0)+COUNTIF($E47:AG47,"u")+COUNTIF($E47:AG47,"t")+COUNTIF($E47:AG47,1),ColTypeEcheance)),
  IF(OR(AG47="u",AG47="t",AG47=1),
  IF(LEN(INDEX(Roadmap!$D:$K,MATCH($E47,Roadmap!$D:$D,0)-1+COUNTIF($E47:AG47,"u")+COUNTIF($E47:AG47,"t")+COUNTIF($E47:AG47,1),ColDescriptionCourte))&gt;1,
HYPERLINK("#Roadmap!C"&amp; MATCH($E47,Roadmap!$D:$D,0)+COUNTIF($E47:AG47,"u")+COUNTIF($E47:AG47,"t")+COUNTIF($E47:AG47,1)-1,INDEX(Roadmap!$D:$K,MATCH($E47,Roadmap!$D:$D,0)-1+COUNTIF($E47:AG47,"u")+COUNTIF($E47:AG47,"t")+COUNTIF($E47:AG47,1),ColDescriptionCourte)),""),
  "")),"")</f>
        <v/>
      </c>
      <c r="AI47" s="40"/>
      <c r="AJ47" s="40"/>
      <c r="AK47" s="40"/>
      <c r="AL47" s="40"/>
      <c r="AM47" s="40"/>
    </row>
    <row r="48" spans="4:39" ht="14.1" customHeight="1">
      <c r="D48" s="20" t="str">
        <f t="shared" ca="1" si="26"/>
        <v/>
      </c>
      <c r="E48" s="53" t="str">
        <f t="shared" ca="1" si="19"/>
        <v/>
      </c>
      <c r="F48" s="49"/>
      <c r="G48" s="23"/>
      <c r="H48" s="23"/>
      <c r="I48" s="23"/>
      <c r="J48" s="23"/>
      <c r="K48" s="23"/>
      <c r="L48" s="49"/>
      <c r="M48" s="23"/>
      <c r="N48" s="23"/>
      <c r="O48" s="23"/>
      <c r="P48" s="23"/>
      <c r="Q48" s="23"/>
      <c r="R48" s="23"/>
      <c r="S48" s="22" t="str">
        <f ca="1">IFERROR(IF(AND(
  INDEX(Roadmap!$D:$K,MATCH($E48,Roadmap!$D:$D,0)+COUNTIF($E48:R48,"u")+COUNTIF($E48:R48,"t")+COUNTIF($E48:R48,"¶")+COUNTIF($E48:R48,"²")+COUNTIF($E48:R48,"µ")+COUNTIF($E48:R48,1),ColLivraison)=S$6,
  VLOOKUP($E48,INDIRECT("tri!"&amp; CHAR(64+ C0Col) &amp;":"&amp; CHAR(65+C0Col)),2,FALSE)&gt;COUNTIF($E48:R48,"u")+COUNTIF($E48:R48,"t")+COUNTIF($E48:R48,"¶")+COUNTIF($E48:R48,"²")+COUNTIF($E48:R48,"µ")+COUNTIF($E48:R48,1)),
HYPERLINK("#Roadmap!C"&amp; MATCH($E48,Roadmap!$D:$D,0)+COUNTIF($E48:R48,"u")+COUNTIF($E48:R48,"t"),
     INDEX(Roadmap!$D:$K,MATCH($E48,Roadmap!$D:$D,0)+COUNTIF($E48:R48,"u")+COUNTIF($E48:R48,"t")+COUNTIF($E48:R48,"¶")+COUNTIF($E48:R48,"²")+COUNTIF($E48:R48,"µ")+COUNTIF($E48:R48,1),ColTypeEcheance)),
  IF(LEN(R48)=1,
  IF(LEN(INDEX(Roadmap!$D:$K,MATCH($E48,Roadmap!$D:$D,0)-1+COUNTIF($E48:R48,"u")+COUNTIF($E48:R48,"t")+COUNTIF($E48:R48,"¶")+COUNTIF($E48:R48,"²")+COUNTIF($E48:R48,"µ")+COUNTIF($E48:R48,1),ColDescriptionCourte))&gt;1,
HYPERLINK("#Roadmap!C"&amp; MATCH($E48,Roadmap!$D:$D,0)+COUNTIF($E48:R48,"u")+COUNTIF($E48:R48,"t")+COUNTIF($E48:R48,"¶")+COUNTIF($E48:R48,"²")+COUNTIF($E48:R48,"µ")+COUNTIF($E48:R48,1)-1,INDEX(Roadmap!$D:$K,MATCH($E48,Roadmap!$D:$D,0)-1+COUNTIF($E48:R48,"u")+COUNTIF($E48:R48,"t")+COUNTIF($E48:R48,"¶")+COUNTIF($E48:R48,"²")+COUNTIF($E48:R48,"µ")+COUNTIF($E48:R48,1),ColDescriptionCourte)),""),
  "")),"")</f>
        <v/>
      </c>
      <c r="T48" s="23" t="str">
        <f ca="1">IFERROR(IF(AND(
  INDEX(Roadmap!$D:$K,MATCH($E48,Roadmap!$D:$D,0)+COUNTIF($E48:S48,"u")+COUNTIF($E48:S48,"t")+COUNTIF($E48:S48,"¶")+COUNTIF($E48:S48,"²")+COUNTIF($E48:S48,"µ")+COUNTIF($E48:S48,1),ColLivraison)=T$6,
  VLOOKUP($E48,INDIRECT("tri!"&amp; CHAR(64+ C0Col) &amp;":"&amp; CHAR(65+C0Col)),2,FALSE)&gt;COUNTIF($E48:S48,"u")+COUNTIF($E48:S48,"t")+COUNTIF($E48:S48,"¶")+COUNTIF($E48:S48,"²")+COUNTIF($E48:S48,"µ")+COUNTIF($E48:S48,1)),
HYPERLINK("#Roadmap!C"&amp; MATCH($E48,Roadmap!$D:$D,0)+COUNTIF($E48:S48,"u")+COUNTIF($E48:S48,"t"),
     INDEX(Roadmap!$D:$K,MATCH($E48,Roadmap!$D:$D,0)+COUNTIF($E48:S48,"u")+COUNTIF($E48:S48,"t")+COUNTIF($E48:S48,"¶")+COUNTIF($E48:S48,"²")+COUNTIF($E48:S48,"µ")+COUNTIF($E48:S48,1),ColTypeEcheance)),
  IF(LEN(S48)=1,
  IF(LEN(INDEX(Roadmap!$D:$K,MATCH($E48,Roadmap!$D:$D,0)-1+COUNTIF($E48:S48,"u")+COUNTIF($E48:S48,"t")+COUNTIF($E48:S48,"¶")+COUNTIF($E48:S48,"²")+COUNTIF($E48:S48,"µ")+COUNTIF($E48:S48,1),ColDescriptionCourte))&gt;1,
HYPERLINK("#Roadmap!C"&amp; MATCH($E48,Roadmap!$D:$D,0)+COUNTIF($E48:S48,"u")+COUNTIF($E48:S48,"t")+COUNTIF($E48:S48,"¶")+COUNTIF($E48:S48,"²")+COUNTIF($E48:S48,"µ")+COUNTIF($E48:S48,1)-1,INDEX(Roadmap!$D:$K,MATCH($E48,Roadmap!$D:$D,0)-1+COUNTIF($E48:S48,"u")+COUNTIF($E48:S48,"t")+COUNTIF($E48:S48,"¶")+COUNTIF($E48:S48,"²")+COUNTIF($E48:S48,"µ")+COUNTIF($E48:S48,1),ColDescriptionCourte)),""),
  "")),"")</f>
        <v/>
      </c>
      <c r="U48" s="23"/>
      <c r="V48" s="23"/>
      <c r="W48" s="23"/>
      <c r="X48" s="23"/>
      <c r="Y48" s="23"/>
      <c r="Z48" s="23"/>
      <c r="AA48" s="23"/>
      <c r="AB48" s="23"/>
      <c r="AC48" s="23"/>
      <c r="AD48" s="23"/>
      <c r="AE48" s="23"/>
      <c r="AF48" s="23"/>
      <c r="AG48" s="23"/>
      <c r="AH48" s="40" t="str">
        <f ca="1">IFERROR(IF(AND(
  INDEX(Roadmap!$D:$K,MATCH($E48,Roadmap!$D:$D,0)+COUNTIF($E48:AG48,"u")+COUNTIF($E48:AG48,"t")+COUNTIF($E48:AG48,1),ColLivraison)=AH$6,
  VLOOKUP($E48,INDIRECT("tri!"&amp; CHAR(64+ C0Col) &amp;":"&amp; CHAR(65+C0Col)),2,FALSE)&gt;COUNTIF($E48:AG48,"u")+COUNTIF($E48:AG48,"t")+COUNTIF($E48:AG48,1)),
HYPERLINK("#Roadmap!C"&amp; MATCH($E48,Roadmap!$D:$D,0)+COUNTIF($E48:AG48,"u")+COUNTIF($E48:AG48,"t"),
     INDEX(Roadmap!$D:$K,MATCH($E48,Roadmap!$D:$D,0)+COUNTIF($E48:AG48,"u")+COUNTIF($E48:AG48,"t")+COUNTIF($E48:AG48,1),ColTypeEcheance)),
  IF(OR(AG48="u",AG48="t",AG48=1),
  IF(LEN(INDEX(Roadmap!$D:$K,MATCH($E48,Roadmap!$D:$D,0)-1+COUNTIF($E48:AG48,"u")+COUNTIF($E48:AG48,"t")+COUNTIF($E48:AG48,1),ColDescriptionCourte))&gt;1,
HYPERLINK("#Roadmap!C"&amp; MATCH($E48,Roadmap!$D:$D,0)+COUNTIF($E48:AG48,"u")+COUNTIF($E48:AG48,"t")+COUNTIF($E48:AG48,1)-1,INDEX(Roadmap!$D:$K,MATCH($E48,Roadmap!$D:$D,0)-1+COUNTIF($E48:AG48,"u")+COUNTIF($E48:AG48,"t")+COUNTIF($E48:AG48,1),ColDescriptionCourte)),""),
  "")),"")</f>
        <v/>
      </c>
      <c r="AI48" s="40"/>
      <c r="AJ48" s="40"/>
      <c r="AK48" s="40"/>
      <c r="AL48" s="40"/>
      <c r="AM48" s="40"/>
    </row>
    <row r="49" spans="4:39" ht="14.1" customHeight="1">
      <c r="D49" s="20" t="str">
        <f t="shared" ca="1" si="26"/>
        <v/>
      </c>
      <c r="E49" s="53" t="str">
        <f t="shared" ca="1" si="19"/>
        <v/>
      </c>
      <c r="F49" s="49"/>
      <c r="G49" s="23"/>
      <c r="H49" s="23"/>
      <c r="I49" s="23"/>
      <c r="J49" s="23"/>
      <c r="K49" s="23"/>
      <c r="L49" s="49"/>
      <c r="M49" s="23"/>
      <c r="N49" s="23"/>
      <c r="O49" s="23"/>
      <c r="P49" s="23"/>
      <c r="Q49" s="23"/>
      <c r="R49" s="23"/>
      <c r="S49" s="23"/>
      <c r="T49" s="23"/>
      <c r="U49" s="23"/>
      <c r="V49" s="23"/>
      <c r="W49" s="23"/>
      <c r="X49" s="23"/>
      <c r="Y49" s="23"/>
      <c r="Z49" s="23"/>
      <c r="AA49" s="23"/>
      <c r="AB49" s="23"/>
      <c r="AC49" s="23"/>
      <c r="AD49" s="23"/>
      <c r="AE49" s="23"/>
      <c r="AF49" s="23"/>
      <c r="AG49" s="23"/>
      <c r="AH49" s="40" t="str">
        <f ca="1">IFERROR(IF(AND(
  INDEX(Roadmap!$D:$K,MATCH($E49,Roadmap!$D:$D,0)+COUNTIF($E49:AG49,"u")+COUNTIF($E49:AG49,"t")+COUNTIF($E49:AG49,1),ColLivraison)=AH$6,
  VLOOKUP($E49,INDIRECT("tri!"&amp; CHAR(64+ C0Col) &amp;":"&amp; CHAR(65+C0Col)),2,FALSE)&gt;COUNTIF($E49:AG49,"u")+COUNTIF($E49:AG49,"t")+COUNTIF($E49:AG49,1)),
HYPERLINK("#Roadmap!C"&amp; MATCH($E49,Roadmap!$D:$D,0)+COUNTIF($E49:AG49,"u")+COUNTIF($E49:AG49,"t"),
     INDEX(Roadmap!$D:$K,MATCH($E49,Roadmap!$D:$D,0)+COUNTIF($E49:AG49,"u")+COUNTIF($E49:AG49,"t")+COUNTIF($E49:AG49,1),ColTypeEcheance)),
  IF(OR(AG49="u",AG49="t",AG49=1),
  IF(LEN(INDEX(Roadmap!$D:$K,MATCH($E49,Roadmap!$D:$D,0)-1+COUNTIF($E49:AG49,"u")+COUNTIF($E49:AG49,"t")+COUNTIF($E49:AG49,1),ColDescriptionCourte))&gt;1,
HYPERLINK("#Roadmap!C"&amp; MATCH($E49,Roadmap!$D:$D,0)+COUNTIF($E49:AG49,"u")+COUNTIF($E49:AG49,"t")+COUNTIF($E49:AG49,1)-1,INDEX(Roadmap!$D:$K,MATCH($E49,Roadmap!$D:$D,0)-1+COUNTIF($E49:AG49,"u")+COUNTIF($E49:AG49,"t")+COUNTIF($E49:AG49,1),ColDescriptionCourte)),""),
  "")),"")</f>
        <v/>
      </c>
      <c r="AI49" s="40"/>
      <c r="AJ49" s="40"/>
      <c r="AK49" s="40"/>
      <c r="AL49" s="40"/>
      <c r="AM49" s="40"/>
    </row>
    <row r="50" spans="4:39" ht="14.1" customHeight="1">
      <c r="D50" s="20" t="str">
        <f t="shared" ca="1" si="26"/>
        <v/>
      </c>
      <c r="E50" s="53" t="str">
        <f t="shared" ca="1" si="19"/>
        <v/>
      </c>
      <c r="F50" s="49"/>
      <c r="G50" s="23"/>
      <c r="H50" s="23"/>
      <c r="I50" s="23"/>
      <c r="J50" s="23"/>
      <c r="K50" s="23"/>
      <c r="L50" s="49"/>
      <c r="M50" s="23"/>
      <c r="N50" s="23"/>
      <c r="O50" s="23"/>
      <c r="P50" s="23"/>
      <c r="Q50" s="23"/>
      <c r="R50" s="23"/>
      <c r="S50" s="23"/>
      <c r="T50" s="23"/>
      <c r="U50" s="23"/>
      <c r="V50" s="23"/>
      <c r="W50" s="23"/>
      <c r="X50" s="54"/>
      <c r="Y50" s="23"/>
      <c r="Z50" s="23"/>
      <c r="AA50" s="23"/>
      <c r="AB50" s="23"/>
      <c r="AC50" s="23"/>
      <c r="AD50" s="54"/>
      <c r="AE50" s="23"/>
      <c r="AF50" s="23"/>
      <c r="AG50" s="23"/>
      <c r="AH50" s="40" t="str">
        <f ca="1">IFERROR(IF(AND(
  INDEX(Roadmap!$D:$K,MATCH($E50,Roadmap!$D:$D,0)+COUNTIF($E50:AG50,"u")+COUNTIF($E50:AG50,"t")+COUNTIF($E50:AG50,1),ColLivraison)=AH$6,
  VLOOKUP($E50,INDIRECT("tri!"&amp; CHAR(64+ C0Col) &amp;":"&amp; CHAR(65+C0Col)),2,FALSE)&gt;COUNTIF($E50:AG50,"u")+COUNTIF($E50:AG50,"t")+COUNTIF($E50:AG50,1)),
HYPERLINK("#Roadmap!C"&amp; MATCH($E50,Roadmap!$D:$D,0)+COUNTIF($E50:AG50,"u")+COUNTIF($E50:AG50,"t"),
     INDEX(Roadmap!$D:$K,MATCH($E50,Roadmap!$D:$D,0)+COUNTIF($E50:AG50,"u")+COUNTIF($E50:AG50,"t")+COUNTIF($E50:AG50,1),ColTypeEcheance)),
  IF(OR(AG50="u",AG50="t",AG50=1),
  IF(LEN(INDEX(Roadmap!$D:$K,MATCH($E50,Roadmap!$D:$D,0)-1+COUNTIF($E50:AG50,"u")+COUNTIF($E50:AG50,"t")+COUNTIF($E50:AG50,1),ColDescriptionCourte))&gt;1,
HYPERLINK("#Roadmap!C"&amp; MATCH($E50,Roadmap!$D:$D,0)+COUNTIF($E50:AG50,"u")+COUNTIF($E50:AG50,"t")+COUNTIF($E50:AG50,1)-1,INDEX(Roadmap!$D:$K,MATCH($E50,Roadmap!$D:$D,0)-1+COUNTIF($E50:AG50,"u")+COUNTIF($E50:AG50,"t")+COUNTIF($E50:AG50,1),ColDescriptionCourte)),""),
  "")),"")</f>
        <v/>
      </c>
      <c r="AI50" s="40"/>
      <c r="AJ50" s="17"/>
      <c r="AK50" s="40"/>
      <c r="AL50" s="40"/>
      <c r="AM50" s="40"/>
    </row>
    <row r="51" spans="4:39" ht="14.1" customHeight="1">
      <c r="D51" s="20" t="str">
        <f t="shared" ca="1" si="26"/>
        <v/>
      </c>
      <c r="E51" s="53" t="str">
        <f t="shared" ca="1" si="19"/>
        <v/>
      </c>
      <c r="F51" s="49"/>
      <c r="G51" s="23"/>
      <c r="H51" s="23"/>
      <c r="I51" s="23"/>
      <c r="J51" s="54"/>
      <c r="K51" s="23"/>
      <c r="L51" s="49"/>
      <c r="M51" s="23"/>
      <c r="N51" s="23"/>
      <c r="O51" s="23"/>
      <c r="P51" s="23"/>
      <c r="Q51" s="23"/>
      <c r="R51" s="23"/>
      <c r="S51" s="23"/>
      <c r="T51" s="23"/>
      <c r="U51" s="23"/>
      <c r="V51" s="23"/>
      <c r="W51" s="23"/>
      <c r="X51" s="23"/>
      <c r="Y51" s="23"/>
      <c r="Z51" s="23"/>
      <c r="AA51" s="23"/>
      <c r="AB51" s="23"/>
      <c r="AC51" s="23"/>
      <c r="AD51" s="23"/>
      <c r="AE51" s="23"/>
      <c r="AF51" s="23"/>
      <c r="AG51" s="23"/>
      <c r="AH51" s="40" t="str">
        <f ca="1">IFERROR(IF(AND(
  INDEX(Roadmap!$D:$K,MATCH($E51,Roadmap!$D:$D,0)+COUNTIF($E51:AG51,"u")+COUNTIF($E51:AG51,"t")+COUNTIF($E51:AG51,1),ColLivraison)=AH$6,
  VLOOKUP($E51,INDIRECT("tri!"&amp; CHAR(64+ C0Col) &amp;":"&amp; CHAR(65+C0Col)),2,FALSE)&gt;COUNTIF($E51:AG51,"u")+COUNTIF($E51:AG51,"t")+COUNTIF($E51:AG51,1)),
HYPERLINK("#Roadmap!C"&amp; MATCH($E51,Roadmap!$D:$D,0)+COUNTIF($E51:AG51,"u")+COUNTIF($E51:AG51,"t"),
     INDEX(Roadmap!$D:$K,MATCH($E51,Roadmap!$D:$D,0)+COUNTIF($E51:AG51,"u")+COUNTIF($E51:AG51,"t")+COUNTIF($E51:AG51,1),ColTypeEcheance)),
  IF(OR(AG51="u",AG51="t",AG51=1),
  IF(LEN(INDEX(Roadmap!$D:$K,MATCH($E51,Roadmap!$D:$D,0)-1+COUNTIF($E51:AG51,"u")+COUNTIF($E51:AG51,"t")+COUNTIF($E51:AG51,1),ColDescriptionCourte))&gt;1,
HYPERLINK("#Roadmap!C"&amp; MATCH($E51,Roadmap!$D:$D,0)+COUNTIF($E51:AG51,"u")+COUNTIF($E51:AG51,"t")+COUNTIF($E51:AG51,1)-1,INDEX(Roadmap!$D:$K,MATCH($E51,Roadmap!$D:$D,0)-1+COUNTIF($E51:AG51,"u")+COUNTIF($E51:AG51,"t")+COUNTIF($E51:AG51,1),ColDescriptionCourte)),""),
  "")),"")</f>
        <v/>
      </c>
      <c r="AI51" s="40"/>
      <c r="AJ51" s="40"/>
      <c r="AK51" s="40"/>
      <c r="AL51" s="40"/>
      <c r="AM51" s="40"/>
    </row>
    <row r="52" spans="4:39" ht="14.1" customHeight="1">
      <c r="D52" s="20" t="str">
        <f t="shared" ca="1" si="26"/>
        <v/>
      </c>
      <c r="E52" s="53" t="str">
        <f t="shared" ca="1" si="19"/>
        <v/>
      </c>
      <c r="F52" s="49"/>
      <c r="G52" s="23"/>
      <c r="H52" s="23"/>
      <c r="I52" s="23"/>
      <c r="J52" s="23"/>
      <c r="K52" s="23"/>
      <c r="L52" s="49"/>
      <c r="M52" s="23"/>
      <c r="N52" s="23"/>
      <c r="O52" s="23"/>
      <c r="P52" s="54"/>
      <c r="Q52" s="23"/>
      <c r="R52" s="54"/>
      <c r="S52" s="23"/>
      <c r="T52" s="23"/>
      <c r="U52" s="23"/>
      <c r="V52" s="23"/>
      <c r="W52" s="23"/>
      <c r="X52" s="54"/>
      <c r="Y52" s="23"/>
      <c r="Z52" s="23"/>
      <c r="AA52" s="23"/>
      <c r="AB52" s="23"/>
      <c r="AC52" s="23"/>
      <c r="AD52" s="23"/>
      <c r="AE52" s="23"/>
      <c r="AF52" s="23"/>
      <c r="AG52" s="23"/>
      <c r="AH52" s="40" t="str">
        <f ca="1">IFERROR(IF(AND(
  INDEX(Roadmap!$D:$K,MATCH($E52,Roadmap!$D:$D,0)+COUNTIF($E52:AG52,"u")+COUNTIF($E52:AG52,"t")+COUNTIF($E52:AG52,1),ColLivraison)=AH$6,
  VLOOKUP($E52,INDIRECT("tri!"&amp; CHAR(64+ C0Col) &amp;":"&amp; CHAR(65+C0Col)),2,FALSE)&gt;COUNTIF($E52:AG52,"u")+COUNTIF($E52:AG52,"t")+COUNTIF($E52:AG52,1)),
HYPERLINK("#Roadmap!C"&amp; MATCH($E52,Roadmap!$D:$D,0)+COUNTIF($E52:AG52,"u")+COUNTIF($E52:AG52,"t"),
     INDEX(Roadmap!$D:$K,MATCH($E52,Roadmap!$D:$D,0)+COUNTIF($E52:AG52,"u")+COUNTIF($E52:AG52,"t")+COUNTIF($E52:AG52,1),ColTypeEcheance)),
  IF(OR(AG52="u",AG52="t",AG52=1),
  IF(LEN(INDEX(Roadmap!$D:$K,MATCH($E52,Roadmap!$D:$D,0)-1+COUNTIF($E52:AG52,"u")+COUNTIF($E52:AG52,"t")+COUNTIF($E52:AG52,1),ColDescriptionCourte))&gt;1,
HYPERLINK("#Roadmap!C"&amp; MATCH($E52,Roadmap!$D:$D,0)+COUNTIF($E52:AG52,"u")+COUNTIF($E52:AG52,"t")+COUNTIF($E52:AG52,1)-1,INDEX(Roadmap!$D:$K,MATCH($E52,Roadmap!$D:$D,0)-1+COUNTIF($E52:AG52,"u")+COUNTIF($E52:AG52,"t")+COUNTIF($E52:AG52,1),ColDescriptionCourte)),""),
  "")),"")</f>
        <v/>
      </c>
      <c r="AI52" s="40"/>
      <c r="AJ52" s="40"/>
      <c r="AK52" s="40"/>
      <c r="AL52" s="40"/>
      <c r="AM52" s="40"/>
    </row>
    <row r="53" spans="4:39" ht="14.1" customHeight="1">
      <c r="D53" s="20" t="str">
        <f t="shared" ca="1" si="26"/>
        <v/>
      </c>
      <c r="E53" s="53" t="str">
        <f t="shared" ca="1" si="19"/>
        <v/>
      </c>
      <c r="F53" s="49"/>
      <c r="G53" s="23"/>
      <c r="H53" s="23"/>
      <c r="I53" s="23"/>
      <c r="J53" s="23"/>
      <c r="K53" s="23"/>
      <c r="L53" s="49"/>
      <c r="M53" s="54"/>
      <c r="N53" s="23"/>
      <c r="O53" s="23"/>
      <c r="P53" s="23"/>
      <c r="Q53" s="23"/>
      <c r="R53" s="23"/>
      <c r="S53" s="23"/>
      <c r="T53" s="23"/>
      <c r="U53" s="23"/>
      <c r="V53" s="23"/>
      <c r="W53" s="23"/>
      <c r="X53" s="23"/>
      <c r="Y53" s="23"/>
      <c r="Z53" s="23"/>
      <c r="AA53" s="23"/>
      <c r="AB53" s="23"/>
      <c r="AC53" s="23"/>
      <c r="AD53" s="23"/>
      <c r="AE53" s="23"/>
      <c r="AF53" s="23"/>
      <c r="AG53" s="23"/>
      <c r="AH53" s="40" t="str">
        <f ca="1">IFERROR(IF(AND(
  INDEX(Roadmap!$D:$K,MATCH($E53,Roadmap!$D:$D,0)+COUNTIF($E53:AG53,"u")+COUNTIF($E53:AG53,"t")+COUNTIF($E53:AG53,1),ColLivraison)=AH$6,
  VLOOKUP($E53,INDIRECT("tri!"&amp; CHAR(64+ C0Col) &amp;":"&amp; CHAR(65+C0Col)),2,FALSE)&gt;COUNTIF($E53:AG53,"u")+COUNTIF($E53:AG53,"t")+COUNTIF($E53:AG53,1)),
HYPERLINK("#Roadmap!C"&amp; MATCH($E53,Roadmap!$D:$D,0)+COUNTIF($E53:AG53,"u")+COUNTIF($E53:AG53,"t"),
     INDEX(Roadmap!$D:$K,MATCH($E53,Roadmap!$D:$D,0)+COUNTIF($E53:AG53,"u")+COUNTIF($E53:AG53,"t")+COUNTIF($E53:AG53,1),ColTypeEcheance)),
  IF(OR(AG53="u",AG53="t",AG53=1),
  IF(LEN(INDEX(Roadmap!$D:$K,MATCH($E53,Roadmap!$D:$D,0)-1+COUNTIF($E53:AG53,"u")+COUNTIF($E53:AG53,"t")+COUNTIF($E53:AG53,1),ColDescriptionCourte))&gt;1,
HYPERLINK("#Roadmap!C"&amp; MATCH($E53,Roadmap!$D:$D,0)+COUNTIF($E53:AG53,"u")+COUNTIF($E53:AG53,"t")+COUNTIF($E53:AG53,1)-1,INDEX(Roadmap!$D:$K,MATCH($E53,Roadmap!$D:$D,0)-1+COUNTIF($E53:AG53,"u")+COUNTIF($E53:AG53,"t")+COUNTIF($E53:AG53,1),ColDescriptionCourte)),""),
  "")),"")</f>
        <v/>
      </c>
      <c r="AI53" s="40"/>
      <c r="AJ53" s="17"/>
      <c r="AK53" s="40"/>
      <c r="AL53" s="40"/>
      <c r="AM53" s="40"/>
    </row>
    <row r="54" spans="4:39" ht="14.1" customHeight="1">
      <c r="D54" s="20" t="str">
        <f t="shared" ca="1" si="26"/>
        <v/>
      </c>
      <c r="E54" s="53" t="str">
        <f t="shared" ca="1" si="19"/>
        <v/>
      </c>
      <c r="F54" s="49"/>
      <c r="G54" s="23"/>
      <c r="H54" s="23"/>
      <c r="I54" s="23"/>
      <c r="J54" s="23"/>
      <c r="K54" s="23"/>
      <c r="L54" s="49"/>
      <c r="M54" s="23"/>
      <c r="N54" s="23"/>
      <c r="O54" s="23"/>
      <c r="P54" s="23"/>
      <c r="Q54" s="23"/>
      <c r="R54" s="23"/>
      <c r="S54" s="54"/>
      <c r="T54" s="23"/>
      <c r="U54" s="23"/>
      <c r="V54" s="23"/>
      <c r="W54" s="23"/>
      <c r="X54" s="23"/>
      <c r="Y54" s="23"/>
      <c r="Z54" s="23"/>
      <c r="AA54" s="23"/>
      <c r="AB54" s="23"/>
      <c r="AC54" s="23"/>
      <c r="AD54" s="23"/>
      <c r="AE54" s="23"/>
      <c r="AF54" s="23"/>
      <c r="AG54" s="23"/>
      <c r="AH54" s="40" t="str">
        <f ca="1">IFERROR(IF(AND(
  INDEX(Roadmap!$D:$K,MATCH($E54,Roadmap!$D:$D,0)+COUNTIF($E54:AG54,"u")+COUNTIF($E54:AG54,"t")+COUNTIF($E54:AG54,1),ColLivraison)=AH$6,
  VLOOKUP($E54,INDIRECT("tri!"&amp; CHAR(64+ C0Col) &amp;":"&amp; CHAR(65+C0Col)),2,FALSE)&gt;COUNTIF($E54:AG54,"u")+COUNTIF($E54:AG54,"t")+COUNTIF($E54:AG54,1)),
HYPERLINK("#Roadmap!C"&amp; MATCH($E54,Roadmap!$D:$D,0)+COUNTIF($E54:AG54,"u")+COUNTIF($E54:AG54,"t"),
     INDEX(Roadmap!$D:$K,MATCH($E54,Roadmap!$D:$D,0)+COUNTIF($E54:AG54,"u")+COUNTIF($E54:AG54,"t")+COUNTIF($E54:AG54,1),ColTypeEcheance)),
  IF(OR(AG54="u",AG54="t",AG54=1),
  IF(LEN(INDEX(Roadmap!$D:$K,MATCH($E54,Roadmap!$D:$D,0)-1+COUNTIF($E54:AG54,"u")+COUNTIF($E54:AG54,"t")+COUNTIF($E54:AG54,1),ColDescriptionCourte))&gt;1,
HYPERLINK("#Roadmap!C"&amp; MATCH($E54,Roadmap!$D:$D,0)+COUNTIF($E54:AG54,"u")+COUNTIF($E54:AG54,"t")+COUNTIF($E54:AG54,1)-1,INDEX(Roadmap!$D:$K,MATCH($E54,Roadmap!$D:$D,0)-1+COUNTIF($E54:AG54,"u")+COUNTIF($E54:AG54,"t")+COUNTIF($E54:AG54,1),ColDescriptionCourte)),""),
  "")),"")</f>
        <v/>
      </c>
      <c r="AI54" s="40"/>
      <c r="AJ54" s="40"/>
      <c r="AK54" s="17"/>
      <c r="AL54" s="17"/>
      <c r="AM54" s="17"/>
    </row>
    <row r="55" spans="4:39" ht="14.1" customHeight="1">
      <c r="D55" s="20" t="str">
        <f t="shared" ca="1" si="26"/>
        <v/>
      </c>
      <c r="E55" s="53" t="str">
        <f t="shared" ca="1" si="19"/>
        <v/>
      </c>
      <c r="F55" s="49"/>
      <c r="G55" s="23"/>
      <c r="H55" s="23"/>
      <c r="I55" s="23"/>
      <c r="J55" s="23"/>
      <c r="K55" s="23"/>
      <c r="L55" s="49"/>
      <c r="M55" s="23"/>
      <c r="N55" s="23"/>
      <c r="O55" s="23"/>
      <c r="P55" s="23"/>
      <c r="Q55" s="23"/>
      <c r="R55" s="23"/>
      <c r="S55" s="23"/>
      <c r="T55" s="23"/>
      <c r="U55" s="23"/>
      <c r="V55" s="23"/>
      <c r="W55" s="23"/>
      <c r="X55" s="23"/>
      <c r="Y55" s="23"/>
      <c r="Z55" s="23"/>
      <c r="AA55" s="23"/>
      <c r="AB55" s="23"/>
      <c r="AC55" s="23"/>
      <c r="AD55" s="23"/>
      <c r="AE55" s="23"/>
      <c r="AF55" s="23"/>
      <c r="AG55" s="23"/>
      <c r="AH55" s="40" t="str">
        <f ca="1">IFERROR(IF(AND(
  INDEX(Roadmap!$D:$K,MATCH($E55,Roadmap!$D:$D,0)+COUNTIF($E55:AG55,"u")+COUNTIF($E55:AG55,"t")+COUNTIF($E55:AG55,1),ColLivraison)=AH$6,
  VLOOKUP($E55,INDIRECT("tri!"&amp; CHAR(64+ C0Col) &amp;":"&amp; CHAR(65+C0Col)),2,FALSE)&gt;COUNTIF($E55:AG55,"u")+COUNTIF($E55:AG55,"t")+COUNTIF($E55:AG55,1)),
HYPERLINK("#Roadmap!C"&amp; MATCH($E55,Roadmap!$D:$D,0)+COUNTIF($E55:AG55,"u")+COUNTIF($E55:AG55,"t"),
     INDEX(Roadmap!$D:$K,MATCH($E55,Roadmap!$D:$D,0)+COUNTIF($E55:AG55,"u")+COUNTIF($E55:AG55,"t")+COUNTIF($E55:AG55,1),ColTypeEcheance)),
  IF(OR(AG55="u",AG55="t",AG55=1),
  IF(LEN(INDEX(Roadmap!$D:$K,MATCH($E55,Roadmap!$D:$D,0)-1+COUNTIF($E55:AG55,"u")+COUNTIF($E55:AG55,"t")+COUNTIF($E55:AG55,1),ColDescriptionCourte))&gt;1,
HYPERLINK("#Roadmap!C"&amp; MATCH($E55,Roadmap!$D:$D,0)+COUNTIF($E55:AG55,"u")+COUNTIF($E55:AG55,"t")+COUNTIF($E55:AG55,1)-1,INDEX(Roadmap!$D:$K,MATCH($E55,Roadmap!$D:$D,0)-1+COUNTIF($E55:AG55,"u")+COUNTIF($E55:AG55,"t")+COUNTIF($E55:AG55,1),ColDescriptionCourte)),""),
  "")),"")</f>
        <v/>
      </c>
      <c r="AI55" s="40"/>
      <c r="AJ55" s="17"/>
      <c r="AK55" s="40"/>
      <c r="AL55" s="40"/>
      <c r="AM55" s="40"/>
    </row>
    <row r="56" spans="4:39" ht="14.1" customHeight="1">
      <c r="D56" s="20" t="str">
        <f t="shared" ca="1" si="26"/>
        <v/>
      </c>
      <c r="E56" s="53" t="str">
        <f t="shared" ca="1" si="19"/>
        <v/>
      </c>
      <c r="F56" s="49"/>
      <c r="G56" s="23"/>
      <c r="H56" s="23"/>
      <c r="I56" s="23"/>
      <c r="J56" s="23"/>
      <c r="K56" s="23"/>
      <c r="L56" s="55"/>
      <c r="M56" s="23"/>
      <c r="N56" s="23"/>
      <c r="O56" s="23"/>
      <c r="P56" s="23"/>
      <c r="Q56" s="23"/>
      <c r="R56" s="23"/>
      <c r="S56" s="23"/>
      <c r="T56" s="23"/>
      <c r="U56" s="23"/>
      <c r="V56" s="23"/>
      <c r="W56" s="23"/>
      <c r="X56" s="23"/>
      <c r="Y56" s="54"/>
      <c r="Z56" s="23"/>
      <c r="AA56" s="23"/>
      <c r="AB56" s="54"/>
      <c r="AC56" s="23"/>
      <c r="AD56" s="23"/>
      <c r="AE56" s="23"/>
      <c r="AF56" s="23"/>
      <c r="AG56" s="23"/>
      <c r="AH56" s="40" t="str">
        <f ca="1">IFERROR(IF(AND(
  INDEX(Roadmap!$D:$K,MATCH($E56,Roadmap!$D:$D,0)+COUNTIF($E56:AG56,"u")+COUNTIF($E56:AG56,"t")+COUNTIF($E56:AG56,1),ColLivraison)=AH$6,
  VLOOKUP($E56,INDIRECT("tri!"&amp; CHAR(64+ C0Col) &amp;":"&amp; CHAR(65+C0Col)),2,FALSE)&gt;COUNTIF($E56:AG56,"u")+COUNTIF($E56:AG56,"t")+COUNTIF($E56:AG56,1)),
HYPERLINK("#Roadmap!C"&amp; MATCH($E56,Roadmap!$D:$D,0)+COUNTIF($E56:AG56,"u")+COUNTIF($E56:AG56,"t"),
     INDEX(Roadmap!$D:$K,MATCH($E56,Roadmap!$D:$D,0)+COUNTIF($E56:AG56,"u")+COUNTIF($E56:AG56,"t")+COUNTIF($E56:AG56,1),ColTypeEcheance)),
  IF(OR(AG56="u",AG56="t",AG56=1),
  IF(LEN(INDEX(Roadmap!$D:$K,MATCH($E56,Roadmap!$D:$D,0)-1+COUNTIF($E56:AG56,"u")+COUNTIF($E56:AG56,"t")+COUNTIF($E56:AG56,1),ColDescriptionCourte))&gt;1,
HYPERLINK("#Roadmap!C"&amp; MATCH($E56,Roadmap!$D:$D,0)+COUNTIF($E56:AG56,"u")+COUNTIF($E56:AG56,"t")+COUNTIF($E56:AG56,1)-1,INDEX(Roadmap!$D:$K,MATCH($E56,Roadmap!$D:$D,0)-1+COUNTIF($E56:AG56,"u")+COUNTIF($E56:AG56,"t")+COUNTIF($E56:AG56,1),ColDescriptionCourte)),""),
  "")),"")</f>
        <v/>
      </c>
      <c r="AI56" s="40"/>
      <c r="AJ56" s="40"/>
      <c r="AK56" s="40"/>
      <c r="AL56" s="40"/>
      <c r="AM56" s="40"/>
    </row>
    <row r="57" spans="4:39" ht="14.1" customHeight="1">
      <c r="D57" s="20" t="str">
        <f t="shared" ca="1" si="26"/>
        <v/>
      </c>
      <c r="E57" s="53" t="str">
        <f t="shared" ca="1" si="19"/>
        <v/>
      </c>
      <c r="F57" s="49"/>
      <c r="G57" s="23"/>
      <c r="H57" s="23"/>
      <c r="I57" s="23"/>
      <c r="J57" s="23"/>
      <c r="K57" s="23"/>
      <c r="L57" s="49"/>
      <c r="M57" s="23"/>
      <c r="N57" s="23"/>
      <c r="O57" s="23"/>
      <c r="P57" s="23"/>
      <c r="Q57" s="23"/>
      <c r="R57" s="23"/>
      <c r="S57" s="23"/>
      <c r="T57" s="23"/>
      <c r="U57" s="54"/>
      <c r="V57" s="23"/>
      <c r="W57" s="23"/>
      <c r="X57" s="23"/>
      <c r="Y57" s="23"/>
      <c r="Z57" s="23"/>
      <c r="AA57" s="23"/>
      <c r="AB57" s="23"/>
      <c r="AC57" s="23"/>
      <c r="AD57" s="23"/>
      <c r="AE57" s="23"/>
      <c r="AF57" s="23"/>
      <c r="AG57" s="23"/>
      <c r="AH57" s="40" t="str">
        <f ca="1">IFERROR(IF(AND(
  INDEX(Roadmap!$D:$K,MATCH($E57,Roadmap!$D:$D,0)+COUNTIF($E57:AG57,"u")+COUNTIF($E57:AG57,"t")+COUNTIF($E57:AG57,1),ColLivraison)=AH$6,
  VLOOKUP($E57,INDIRECT("tri!"&amp; CHAR(64+ C0Col) &amp;":"&amp; CHAR(65+C0Col)),2,FALSE)&gt;COUNTIF($E57:AG57,"u")+COUNTIF($E57:AG57,"t")+COUNTIF($E57:AG57,1)),
HYPERLINK("#Roadmap!C"&amp; MATCH($E57,Roadmap!$D:$D,0)+COUNTIF($E57:AG57,"u")+COUNTIF($E57:AG57,"t"),
     INDEX(Roadmap!$D:$K,MATCH($E57,Roadmap!$D:$D,0)+COUNTIF($E57:AG57,"u")+COUNTIF($E57:AG57,"t")+COUNTIF($E57:AG57,1),ColTypeEcheance)),
  IF(OR(AG57="u",AG57="t",AG57=1),
  IF(LEN(INDEX(Roadmap!$D:$K,MATCH($E57,Roadmap!$D:$D,0)-1+COUNTIF($E57:AG57,"u")+COUNTIF($E57:AG57,"t")+COUNTIF($E57:AG57,1),ColDescriptionCourte))&gt;1,
HYPERLINK("#Roadmap!C"&amp; MATCH($E57,Roadmap!$D:$D,0)+COUNTIF($E57:AG57,"u")+COUNTIF($E57:AG57,"t")+COUNTIF($E57:AG57,1)-1,INDEX(Roadmap!$D:$K,MATCH($E57,Roadmap!$D:$D,0)-1+COUNTIF($E57:AG57,"u")+COUNTIF($E57:AG57,"t")+COUNTIF($E57:AG57,1),ColDescriptionCourte)),""),
  "")),"")</f>
        <v/>
      </c>
      <c r="AI57" s="40"/>
      <c r="AJ57" s="40"/>
      <c r="AK57" s="40"/>
      <c r="AL57" s="40"/>
      <c r="AM57" s="40"/>
    </row>
    <row r="58" spans="4:39" ht="14.1" customHeight="1">
      <c r="D58" s="20" t="str">
        <f t="shared" ca="1" si="26"/>
        <v/>
      </c>
      <c r="E58" s="53" t="str">
        <f t="shared" ca="1" si="19"/>
        <v/>
      </c>
      <c r="F58" s="49"/>
      <c r="G58" s="23"/>
      <c r="H58" s="23"/>
      <c r="I58" s="23"/>
      <c r="J58" s="23"/>
      <c r="K58" s="23"/>
      <c r="L58" s="49"/>
      <c r="M58" s="23"/>
      <c r="N58" s="23"/>
      <c r="O58" s="23"/>
      <c r="P58" s="23"/>
      <c r="Q58" s="54"/>
      <c r="R58" s="23"/>
      <c r="S58" s="23"/>
      <c r="T58" s="23"/>
      <c r="U58" s="23"/>
      <c r="V58" s="23"/>
      <c r="W58" s="23"/>
      <c r="X58" s="23"/>
      <c r="Y58" s="54"/>
      <c r="Z58" s="23"/>
      <c r="AA58" s="23"/>
      <c r="AB58" s="23"/>
      <c r="AC58" s="23"/>
      <c r="AD58" s="54"/>
      <c r="AE58" s="23"/>
      <c r="AF58" s="23"/>
      <c r="AG58" s="23"/>
      <c r="AH58" s="17" t="str">
        <f ca="1">IFERROR(IF(AND(
  INDEX(Roadmap!$D:$K,MATCH($E58,Roadmap!$D:$D,0)+COUNTIF($E58:AG58,"u")+COUNTIF($E58:AG58,"t")+COUNTIF($E58:AG58,1),ColLivraison)=AH$6,
  VLOOKUP($E58,INDIRECT("tri!"&amp; CHAR(64+ C0Col) &amp;":"&amp; CHAR(65+C0Col)),2,FALSE)&gt;COUNTIF($E58:AG58,"u")+COUNTIF($E58:AG58,"t")+COUNTIF($E58:AG58,1)),
HYPERLINK("#Roadmap!C"&amp; MATCH($E58,Roadmap!$D:$D,0)+COUNTIF($E58:AG58,"u")+COUNTIF($E58:AG58,"t"),
     INDEX(Roadmap!$D:$K,MATCH($E58,Roadmap!$D:$D,0)+COUNTIF($E58:AG58,"u")+COUNTIF($E58:AG58,"t")+COUNTIF($E58:AG58,1),ColTypeEcheance)),
  IF(OR(AG58="u",AG58="t",AG58=1),
  IF(LEN(INDEX(Roadmap!$D:$K,MATCH($E58,Roadmap!$D:$D,0)-1+COUNTIF($E58:AG58,"u")+COUNTIF($E58:AG58,"t")+COUNTIF($E58:AG58,1),ColDescriptionCourte))&gt;1,
HYPERLINK("#Roadmap!C"&amp; MATCH($E58,Roadmap!$D:$D,0)+COUNTIF($E58:AG58,"u")+COUNTIF($E58:AG58,"t")+COUNTIF($E58:AG58,1)-1,INDEX(Roadmap!$D:$K,MATCH($E58,Roadmap!$D:$D,0)-1+COUNTIF($E58:AG58,"u")+COUNTIF($E58:AG58,"t")+COUNTIF($E58:AG58,1),ColDescriptionCourte)),""),
  "")),"")</f>
        <v/>
      </c>
      <c r="AI58" s="40"/>
      <c r="AJ58" s="40"/>
      <c r="AK58" s="40"/>
      <c r="AL58" s="40"/>
      <c r="AM58" s="40"/>
    </row>
    <row r="59" spans="4:39" ht="14.1" customHeight="1">
      <c r="D59" s="20" t="str">
        <f t="shared" ca="1" si="26"/>
        <v/>
      </c>
      <c r="E59" s="53" t="str">
        <f t="shared" ca="1" si="19"/>
        <v/>
      </c>
      <c r="F59" s="49"/>
      <c r="G59" s="23"/>
      <c r="H59" s="23"/>
      <c r="I59" s="23"/>
      <c r="J59" s="23"/>
      <c r="K59" s="23"/>
      <c r="L59" s="49"/>
      <c r="M59" s="23"/>
      <c r="N59" s="23"/>
      <c r="O59" s="23"/>
      <c r="P59" s="23"/>
      <c r="Q59" s="23"/>
      <c r="R59" s="23"/>
      <c r="S59" s="23"/>
      <c r="T59" s="23"/>
      <c r="U59" s="23"/>
      <c r="V59" s="23"/>
      <c r="W59" s="23"/>
      <c r="X59" s="23"/>
      <c r="Y59" s="23"/>
      <c r="Z59" s="23"/>
      <c r="AA59" s="23"/>
      <c r="AB59" s="23"/>
      <c r="AC59" s="23"/>
      <c r="AD59" s="23"/>
      <c r="AE59" s="23"/>
      <c r="AF59" s="23"/>
      <c r="AG59" s="23"/>
      <c r="AH59" s="40" t="str">
        <f ca="1">IFERROR(IF(AND(
  INDEX(Roadmap!$D:$K,MATCH($E59,Roadmap!$D:$D,0)+COUNTIF($E59:AG59,"u")+COUNTIF($E59:AG59,"t")+COUNTIF($E59:AG59,1),ColLivraison)=AH$6,
  VLOOKUP($E59,INDIRECT("tri!"&amp; CHAR(64+ C0Col) &amp;":"&amp; CHAR(65+C0Col)),2,FALSE)&gt;COUNTIF($E59:AG59,"u")+COUNTIF($E59:AG59,"t")+COUNTIF($E59:AG59,1)),
HYPERLINK("#Roadmap!C"&amp; MATCH($E59,Roadmap!$D:$D,0)+COUNTIF($E59:AG59,"u")+COUNTIF($E59:AG59,"t"),
     INDEX(Roadmap!$D:$K,MATCH($E59,Roadmap!$D:$D,0)+COUNTIF($E59:AG59,"u")+COUNTIF($E59:AG59,"t")+COUNTIF($E59:AG59,1),ColTypeEcheance)),
  IF(OR(AG59="u",AG59="t",AG59=1),
  IF(LEN(INDEX(Roadmap!$D:$K,MATCH($E59,Roadmap!$D:$D,0)-1+COUNTIF($E59:AG59,"u")+COUNTIF($E59:AG59,"t")+COUNTIF($E59:AG59,1),ColDescriptionCourte))&gt;1,
HYPERLINK("#Roadmap!C"&amp; MATCH($E59,Roadmap!$D:$D,0)+COUNTIF($E59:AG59,"u")+COUNTIF($E59:AG59,"t")+COUNTIF($E59:AG59,1)-1,INDEX(Roadmap!$D:$K,MATCH($E59,Roadmap!$D:$D,0)-1+COUNTIF($E59:AG59,"u")+COUNTIF($E59:AG59,"t")+COUNTIF($E59:AG59,1),ColDescriptionCourte)),""),
  "")),"")</f>
        <v/>
      </c>
      <c r="AI59" s="40"/>
      <c r="AJ59" s="40"/>
      <c r="AK59" s="40"/>
      <c r="AL59" s="40"/>
      <c r="AM59" s="40"/>
    </row>
    <row r="60" spans="4:39" ht="14.1" customHeight="1">
      <c r="D60" s="20" t="str">
        <f t="shared" ca="1" si="26"/>
        <v/>
      </c>
      <c r="E60" s="53" t="str">
        <f t="shared" ca="1" si="19"/>
        <v/>
      </c>
      <c r="F60" s="49"/>
      <c r="G60" s="23"/>
      <c r="H60" s="23"/>
      <c r="I60" s="23"/>
      <c r="J60" s="23"/>
      <c r="K60" s="23"/>
      <c r="L60" s="49"/>
      <c r="M60" s="23"/>
      <c r="N60" s="23"/>
      <c r="O60" s="23"/>
      <c r="P60" s="23"/>
      <c r="Q60" s="23"/>
      <c r="R60" s="23"/>
      <c r="S60" s="54"/>
      <c r="T60" s="23"/>
      <c r="U60" s="23"/>
      <c r="V60" s="23"/>
      <c r="W60" s="23"/>
      <c r="X60" s="23"/>
      <c r="Y60" s="23"/>
      <c r="Z60" s="23"/>
      <c r="AA60" s="23"/>
      <c r="AB60" s="23"/>
      <c r="AC60" s="23"/>
      <c r="AD60" s="23"/>
      <c r="AE60" s="23"/>
      <c r="AF60" s="23"/>
      <c r="AG60" s="23"/>
      <c r="AH60" s="40" t="str">
        <f ca="1">IFERROR(IF(AND(
  INDEX(Roadmap!$D:$K,MATCH($E60,Roadmap!$D:$D,0)+COUNTIF($E60:AG60,"u")+COUNTIF($E60:AG60,"t")+COUNTIF($E60:AG60,1),ColLivraison)=AH$6,
  VLOOKUP($E60,INDIRECT("tri!"&amp; CHAR(64+ C0Col) &amp;":"&amp; CHAR(65+C0Col)),2,FALSE)&gt;COUNTIF($E60:AG60,"u")+COUNTIF($E60:AG60,"t")+COUNTIF($E60:AG60,1)),
HYPERLINK("#Roadmap!C"&amp; MATCH($E60,Roadmap!$D:$D,0)+COUNTIF($E60:AG60,"u")+COUNTIF($E60:AG60,"t"),
     INDEX(Roadmap!$D:$K,MATCH($E60,Roadmap!$D:$D,0)+COUNTIF($E60:AG60,"u")+COUNTIF($E60:AG60,"t")+COUNTIF($E60:AG60,1),ColTypeEcheance)),
  IF(OR(AG60="u",AG60="t",AG60=1),
  IF(LEN(INDEX(Roadmap!$D:$K,MATCH($E60,Roadmap!$D:$D,0)-1+COUNTIF($E60:AG60,"u")+COUNTIF($E60:AG60,"t")+COUNTIF($E60:AG60,1),ColDescriptionCourte))&gt;1,
HYPERLINK("#Roadmap!C"&amp; MATCH($E60,Roadmap!$D:$D,0)+COUNTIF($E60:AG60,"u")+COUNTIF($E60:AG60,"t")+COUNTIF($E60:AG60,1)-1,INDEX(Roadmap!$D:$K,MATCH($E60,Roadmap!$D:$D,0)-1+COUNTIF($E60:AG60,"u")+COUNTIF($E60:AG60,"t")+COUNTIF($E60:AG60,1),ColDescriptionCourte)),""),
  "")),"")</f>
        <v/>
      </c>
      <c r="AI60" s="40"/>
      <c r="AJ60" s="40"/>
      <c r="AK60" s="40"/>
      <c r="AL60" s="40"/>
      <c r="AM60" s="40"/>
    </row>
    <row r="61" spans="4:39" ht="14.1" customHeight="1">
      <c r="D61" s="20" t="str">
        <f t="shared" ca="1" si="26"/>
        <v/>
      </c>
      <c r="E61" s="53" t="str">
        <f t="shared" ca="1" si="19"/>
        <v/>
      </c>
      <c r="F61" s="49"/>
      <c r="G61" s="23"/>
      <c r="H61" s="23"/>
      <c r="I61" s="23"/>
      <c r="J61" s="23"/>
      <c r="K61" s="54"/>
      <c r="L61" s="49"/>
      <c r="M61" s="23"/>
      <c r="N61" s="23"/>
      <c r="O61" s="23"/>
      <c r="P61" s="23"/>
      <c r="Q61" s="23"/>
      <c r="R61" s="23"/>
      <c r="S61" s="23"/>
      <c r="T61" s="23"/>
      <c r="U61" s="23"/>
      <c r="V61" s="23"/>
      <c r="W61" s="23"/>
      <c r="X61" s="23"/>
      <c r="Y61" s="23"/>
      <c r="Z61" s="23"/>
      <c r="AA61" s="23"/>
      <c r="AB61" s="54"/>
      <c r="AC61" s="23"/>
      <c r="AD61" s="23"/>
      <c r="AE61" s="23"/>
      <c r="AF61" s="23"/>
      <c r="AG61" s="23"/>
      <c r="AH61" s="40" t="str">
        <f ca="1">IFERROR(IF(AND(
  INDEX(Roadmap!$D:$K,MATCH($E61,Roadmap!$D:$D,0)+COUNTIF($E61:AG61,"u")+COUNTIF($E61:AG61,"t")+COUNTIF($E61:AG61,1),ColLivraison)=AH$6,
  VLOOKUP($E61,INDIRECT("tri!"&amp; CHAR(64+ C0Col) &amp;":"&amp; CHAR(65+C0Col)),2,FALSE)&gt;COUNTIF($E61:AG61,"u")+COUNTIF($E61:AG61,"t")+COUNTIF($E61:AG61,1)),
HYPERLINK("#Roadmap!C"&amp; MATCH($E61,Roadmap!$D:$D,0)+COUNTIF($E61:AG61,"u")+COUNTIF($E61:AG61,"t"),
     INDEX(Roadmap!$D:$K,MATCH($E61,Roadmap!$D:$D,0)+COUNTIF($E61:AG61,"u")+COUNTIF($E61:AG61,"t")+COUNTIF($E61:AG61,1),ColTypeEcheance)),
  IF(OR(AG61="u",AG61="t",AG61=1),
  IF(LEN(INDEX(Roadmap!$D:$K,MATCH($E61,Roadmap!$D:$D,0)-1+COUNTIF($E61:AG61,"u")+COUNTIF($E61:AG61,"t")+COUNTIF($E61:AG61,1),ColDescriptionCourte))&gt;1,
HYPERLINK("#Roadmap!C"&amp; MATCH($E61,Roadmap!$D:$D,0)+COUNTIF($E61:AG61,"u")+COUNTIF($E61:AG61,"t")+COUNTIF($E61:AG61,1)-1,INDEX(Roadmap!$D:$K,MATCH($E61,Roadmap!$D:$D,0)-1+COUNTIF($E61:AG61,"u")+COUNTIF($E61:AG61,"t")+COUNTIF($E61:AG61,1),ColDescriptionCourte)),""),
  "")),"")</f>
        <v/>
      </c>
      <c r="AI61" s="40"/>
      <c r="AJ61" s="40"/>
      <c r="AK61" s="40"/>
      <c r="AL61" s="40"/>
      <c r="AM61" s="40"/>
    </row>
    <row r="62" spans="4:39" ht="14.1" customHeight="1">
      <c r="D62" s="20" t="str">
        <f t="shared" ca="1" si="26"/>
        <v/>
      </c>
      <c r="E62" s="53" t="str">
        <f t="shared" ca="1" si="19"/>
        <v/>
      </c>
      <c r="F62" s="49"/>
      <c r="G62" s="23"/>
      <c r="H62" s="23"/>
      <c r="I62" s="23"/>
      <c r="J62" s="23"/>
      <c r="K62" s="23"/>
      <c r="L62" s="49"/>
      <c r="M62" s="23"/>
      <c r="N62" s="23"/>
      <c r="O62" s="23"/>
      <c r="P62" s="23"/>
      <c r="Q62" s="23"/>
      <c r="R62" s="23"/>
      <c r="S62" s="23"/>
      <c r="T62" s="23"/>
      <c r="U62" s="23"/>
      <c r="V62" s="23"/>
      <c r="W62" s="23"/>
      <c r="X62" s="23"/>
      <c r="Y62" s="23"/>
      <c r="Z62" s="23"/>
      <c r="AA62" s="23"/>
      <c r="AB62" s="23"/>
      <c r="AC62" s="23"/>
      <c r="AD62" s="23"/>
      <c r="AE62" s="23"/>
      <c r="AF62" s="23"/>
      <c r="AG62" s="23"/>
      <c r="AH62" s="40" t="str">
        <f ca="1">IFERROR(IF(AND(
  INDEX(Roadmap!$D:$K,MATCH($E62,Roadmap!$D:$D,0)+COUNTIF($E62:AG62,"u")+COUNTIF($E62:AG62,"t")+COUNTIF($E62:AG62,1),ColLivraison)=AH$6,
  VLOOKUP($E62,INDIRECT("tri!"&amp; CHAR(64+ C0Col) &amp;":"&amp; CHAR(65+C0Col)),2,FALSE)&gt;COUNTIF($E62:AG62,"u")+COUNTIF($E62:AG62,"t")+COUNTIF($E62:AG62,1)),
HYPERLINK("#Roadmap!C"&amp; MATCH($E62,Roadmap!$D:$D,0)+COUNTIF($E62:AG62,"u")+COUNTIF($E62:AG62,"t"),
     INDEX(Roadmap!$D:$K,MATCH($E62,Roadmap!$D:$D,0)+COUNTIF($E62:AG62,"u")+COUNTIF($E62:AG62,"t")+COUNTIF($E62:AG62,1),ColTypeEcheance)),
  IF(OR(AG62="u",AG62="t",AG62=1),
  IF(LEN(INDEX(Roadmap!$D:$K,MATCH($E62,Roadmap!$D:$D,0)-1+COUNTIF($E62:AG62,"u")+COUNTIF($E62:AG62,"t")+COUNTIF($E62:AG62,1),ColDescriptionCourte))&gt;1,
HYPERLINK("#Roadmap!C"&amp; MATCH($E62,Roadmap!$D:$D,0)+COUNTIF($E62:AG62,"u")+COUNTIF($E62:AG62,"t")+COUNTIF($E62:AG62,1)-1,INDEX(Roadmap!$D:$K,MATCH($E62,Roadmap!$D:$D,0)-1+COUNTIF($E62:AG62,"u")+COUNTIF($E62:AG62,"t")+COUNTIF($E62:AG62,1),ColDescriptionCourte)),""),
  "")),"")</f>
        <v/>
      </c>
      <c r="AI62" s="40"/>
      <c r="AJ62" s="40"/>
      <c r="AK62" s="40"/>
      <c r="AL62" s="40"/>
      <c r="AM62" s="40"/>
    </row>
    <row r="63" spans="4:39" ht="14.1" customHeight="1">
      <c r="D63" s="20" t="str">
        <f t="shared" ca="1" si="26"/>
        <v/>
      </c>
      <c r="E63" s="53" t="str">
        <f t="shared" ca="1" si="19"/>
        <v/>
      </c>
      <c r="F63" s="49"/>
      <c r="G63" s="23"/>
      <c r="H63" s="23"/>
      <c r="I63" s="23"/>
      <c r="J63" s="23"/>
      <c r="K63" s="23"/>
      <c r="L63" s="49"/>
      <c r="M63" s="23"/>
      <c r="N63" s="23"/>
      <c r="O63" s="23"/>
      <c r="P63" s="23"/>
      <c r="Q63" s="23"/>
      <c r="R63" s="23"/>
      <c r="S63" s="23"/>
      <c r="T63" s="23"/>
      <c r="U63" s="23"/>
      <c r="V63" s="23"/>
      <c r="W63" s="23"/>
      <c r="X63" s="23"/>
      <c r="Y63" s="23"/>
      <c r="Z63" s="23"/>
      <c r="AA63" s="23"/>
      <c r="AB63" s="23"/>
      <c r="AC63" s="23"/>
      <c r="AD63" s="23"/>
      <c r="AE63" s="23"/>
      <c r="AF63" s="23"/>
      <c r="AG63" s="23"/>
      <c r="AH63" s="40" t="str">
        <f ca="1">IFERROR(IF(AND(
  INDEX(Roadmap!$D:$K,MATCH($E63,Roadmap!$D:$D,0)+COUNTIF($E63:AG63,"u")+COUNTIF($E63:AG63,"t")+COUNTIF($E63:AG63,1),ColLivraison)=AH$6,
  VLOOKUP($E63,INDIRECT("tri!"&amp; CHAR(64+ C0Col) &amp;":"&amp; CHAR(65+C0Col)),2,FALSE)&gt;COUNTIF($E63:AG63,"u")+COUNTIF($E63:AG63,"t")+COUNTIF($E63:AG63,1)),
HYPERLINK("#Roadmap!C"&amp; MATCH($E63,Roadmap!$D:$D,0)+COUNTIF($E63:AG63,"u")+COUNTIF($E63:AG63,"t"),
     INDEX(Roadmap!$D:$K,MATCH($E63,Roadmap!$D:$D,0)+COUNTIF($E63:AG63,"u")+COUNTIF($E63:AG63,"t")+COUNTIF($E63:AG63,1),ColTypeEcheance)),
  IF(OR(AG63="u",AG63="t",AG63=1),
  IF(LEN(INDEX(Roadmap!$D:$K,MATCH($E63,Roadmap!$D:$D,0)-1+COUNTIF($E63:AG63,"u")+COUNTIF($E63:AG63,"t")+COUNTIF($E63:AG63,1),ColDescriptionCourte))&gt;1,
HYPERLINK("#Roadmap!C"&amp; MATCH($E63,Roadmap!$D:$D,0)+COUNTIF($E63:AG63,"u")+COUNTIF($E63:AG63,"t")+COUNTIF($E63:AG63,1)-1,INDEX(Roadmap!$D:$K,MATCH($E63,Roadmap!$D:$D,0)-1+COUNTIF($E63:AG63,"u")+COUNTIF($E63:AG63,"t")+COUNTIF($E63:AG63,1),ColDescriptionCourte)),""),
  "")),"")</f>
        <v/>
      </c>
      <c r="AI63" s="40"/>
      <c r="AJ63" s="40"/>
      <c r="AK63" s="40"/>
      <c r="AL63" s="40"/>
      <c r="AM63" s="40"/>
    </row>
    <row r="64" spans="4:39" ht="14.1" customHeight="1">
      <c r="D64" s="20" t="str">
        <f t="shared" ca="1" si="26"/>
        <v/>
      </c>
      <c r="E64" s="53" t="str">
        <f t="shared" ca="1" si="19"/>
        <v/>
      </c>
      <c r="F64" s="49"/>
      <c r="G64" s="23"/>
      <c r="H64" s="23"/>
      <c r="I64" s="23"/>
      <c r="J64" s="23"/>
      <c r="K64" s="23"/>
      <c r="L64" s="49"/>
      <c r="M64" s="23"/>
      <c r="N64" s="23"/>
      <c r="O64" s="23"/>
      <c r="P64" s="23"/>
      <c r="Q64" s="23"/>
      <c r="R64" s="23"/>
      <c r="S64" s="23"/>
      <c r="T64" s="23"/>
      <c r="U64" s="23"/>
      <c r="V64" s="23"/>
      <c r="W64" s="23"/>
      <c r="X64" s="23"/>
      <c r="Y64" s="23"/>
      <c r="Z64" s="23"/>
      <c r="AA64" s="23"/>
      <c r="AB64" s="23"/>
      <c r="AC64" s="23"/>
      <c r="AD64" s="23"/>
      <c r="AE64" s="23"/>
      <c r="AF64" s="23"/>
      <c r="AG64" s="23"/>
      <c r="AH64" s="40" t="str">
        <f ca="1">IFERROR(IF(AND(
  INDEX(Roadmap!$D:$K,MATCH($E64,Roadmap!$D:$D,0)+COUNTIF($E64:AG64,"u")+COUNTIF($E64:AG64,"t")+COUNTIF($E64:AG64,1),ColLivraison)=AH$6,
  VLOOKUP($E64,INDIRECT("tri!"&amp; CHAR(64+ C0Col) &amp;":"&amp; CHAR(65+C0Col)),2,FALSE)&gt;COUNTIF($E64:AG64,"u")+COUNTIF($E64:AG64,"t")+COUNTIF($E64:AG64,1)),
HYPERLINK("#Roadmap!C"&amp; MATCH($E64,Roadmap!$D:$D,0)+COUNTIF($E64:AG64,"u")+COUNTIF($E64:AG64,"t"),
     INDEX(Roadmap!$D:$K,MATCH($E64,Roadmap!$D:$D,0)+COUNTIF($E64:AG64,"u")+COUNTIF($E64:AG64,"t")+COUNTIF($E64:AG64,1),ColTypeEcheance)),
  IF(OR(AG64="u",AG64="t",AG64=1),
  IF(LEN(INDEX(Roadmap!$D:$K,MATCH($E64,Roadmap!$D:$D,0)-1+COUNTIF($E64:AG64,"u")+COUNTIF($E64:AG64,"t")+COUNTIF($E64:AG64,1),ColDescriptionCourte))&gt;1,
HYPERLINK("#Roadmap!C"&amp; MATCH($E64,Roadmap!$D:$D,0)+COUNTIF($E64:AG64,"u")+COUNTIF($E64:AG64,"t")+COUNTIF($E64:AG64,1)-1,INDEX(Roadmap!$D:$K,MATCH($E64,Roadmap!$D:$D,0)-1+COUNTIF($E64:AG64,"u")+COUNTIF($E64:AG64,"t")+COUNTIF($E64:AG64,1),ColDescriptionCourte)),""),
  "")),"")</f>
        <v/>
      </c>
      <c r="AI64" s="40"/>
      <c r="AJ64" s="40"/>
      <c r="AK64" s="40"/>
      <c r="AL64" s="40"/>
      <c r="AM64" s="40"/>
    </row>
    <row r="65" spans="4:39" ht="14.1" customHeight="1">
      <c r="D65" s="20" t="str">
        <f t="shared" ca="1" si="26"/>
        <v/>
      </c>
      <c r="E65" s="53" t="str">
        <f t="shared" ca="1" si="19"/>
        <v/>
      </c>
      <c r="F65" s="49"/>
      <c r="G65" s="23"/>
      <c r="H65" s="23"/>
      <c r="I65" s="23"/>
      <c r="J65" s="23"/>
      <c r="K65" s="23"/>
      <c r="L65" s="49"/>
      <c r="M65" s="23"/>
      <c r="N65" s="23"/>
      <c r="O65" s="23"/>
      <c r="P65" s="23"/>
      <c r="Q65" s="23"/>
      <c r="R65" s="23"/>
      <c r="S65" s="23"/>
      <c r="T65" s="23"/>
      <c r="U65" s="23"/>
      <c r="V65" s="23"/>
      <c r="W65" s="23"/>
      <c r="X65" s="23"/>
      <c r="Y65" s="23"/>
      <c r="Z65" s="23"/>
      <c r="AA65" s="23"/>
      <c r="AB65" s="23"/>
      <c r="AC65" s="23"/>
      <c r="AD65" s="23"/>
      <c r="AE65" s="23"/>
      <c r="AF65" s="23"/>
      <c r="AG65" s="23"/>
      <c r="AH65" s="40" t="str">
        <f ca="1">IFERROR(IF(AND(
  INDEX(Roadmap!$D:$K,MATCH($E65,Roadmap!$D:$D,0)+COUNTIF($E65:AG65,"u")+COUNTIF($E65:AG65,"t")+COUNTIF($E65:AG65,1),ColLivraison)=AH$6,
  VLOOKUP($E65,INDIRECT("tri!"&amp; CHAR(64+ C0Col) &amp;":"&amp; CHAR(65+C0Col)),2,FALSE)&gt;COUNTIF($E65:AG65,"u")+COUNTIF($E65:AG65,"t")+COUNTIF($E65:AG65,1)),
HYPERLINK("#Roadmap!C"&amp; MATCH($E65,Roadmap!$D:$D,0)+COUNTIF($E65:AG65,"u")+COUNTIF($E65:AG65,"t"),
     INDEX(Roadmap!$D:$K,MATCH($E65,Roadmap!$D:$D,0)+COUNTIF($E65:AG65,"u")+COUNTIF($E65:AG65,"t")+COUNTIF($E65:AG65,1),ColTypeEcheance)),
  IF(OR(AG65="u",AG65="t",AG65=1),
  IF(LEN(INDEX(Roadmap!$D:$K,MATCH($E65,Roadmap!$D:$D,0)-1+COUNTIF($E65:AG65,"u")+COUNTIF($E65:AG65,"t")+COUNTIF($E65:AG65,1),ColDescriptionCourte))&gt;1,
HYPERLINK("#Roadmap!C"&amp; MATCH($E65,Roadmap!$D:$D,0)+COUNTIF($E65:AG65,"u")+COUNTIF($E65:AG65,"t")+COUNTIF($E65:AG65,1)-1,INDEX(Roadmap!$D:$K,MATCH($E65,Roadmap!$D:$D,0)-1+COUNTIF($E65:AG65,"u")+COUNTIF($E65:AG65,"t")+COUNTIF($E65:AG65,1),ColDescriptionCourte)),""),
  "")),"")</f>
        <v/>
      </c>
      <c r="AI65" s="40"/>
      <c r="AJ65" s="40"/>
      <c r="AK65" s="40"/>
      <c r="AL65" s="40"/>
      <c r="AM65" s="40"/>
    </row>
    <row r="66" spans="4:39" ht="14.1" customHeight="1">
      <c r="D66" s="20" t="str">
        <f t="shared" ca="1" si="26"/>
        <v/>
      </c>
      <c r="E66" s="53" t="str">
        <f t="shared" ca="1" si="19"/>
        <v/>
      </c>
      <c r="F66" s="49"/>
      <c r="G66" s="23"/>
      <c r="H66" s="23"/>
      <c r="I66" s="23"/>
      <c r="J66" s="23"/>
      <c r="K66" s="23"/>
      <c r="L66" s="49"/>
      <c r="M66" s="23"/>
      <c r="N66" s="23"/>
      <c r="O66" s="23"/>
      <c r="P66" s="23"/>
      <c r="Q66" s="23"/>
      <c r="R66" s="23"/>
      <c r="S66" s="23"/>
      <c r="T66" s="23"/>
      <c r="U66" s="23"/>
      <c r="V66" s="23"/>
      <c r="W66" s="23"/>
      <c r="X66" s="23"/>
      <c r="Y66" s="23"/>
      <c r="Z66" s="23"/>
      <c r="AA66" s="23"/>
      <c r="AB66" s="23"/>
      <c r="AC66" s="23"/>
      <c r="AD66" s="23"/>
      <c r="AE66" s="23"/>
      <c r="AF66" s="23"/>
      <c r="AG66" s="23"/>
      <c r="AH66" s="40" t="str">
        <f ca="1">IFERROR(IF(AND(
  INDEX(Roadmap!$D:$K,MATCH($E66,Roadmap!$D:$D,0)+COUNTIF($E66:AG66,"u")+COUNTIF($E66:AG66,"t")+COUNTIF($E66:AG66,1),ColLivraison)=AH$6,
  VLOOKUP($E66,INDIRECT("tri!"&amp; CHAR(64+ C0Col) &amp;":"&amp; CHAR(65+C0Col)),2,FALSE)&gt;COUNTIF($E66:AG66,"u")+COUNTIF($E66:AG66,"t")+COUNTIF($E66:AG66,1)),
HYPERLINK("#Roadmap!C"&amp; MATCH($E66,Roadmap!$D:$D,0)+COUNTIF($E66:AG66,"u")+COUNTIF($E66:AG66,"t"),
     INDEX(Roadmap!$D:$K,MATCH($E66,Roadmap!$D:$D,0)+COUNTIF($E66:AG66,"u")+COUNTIF($E66:AG66,"t")+COUNTIF($E66:AG66,1),ColTypeEcheance)),
  IF(OR(AG66="u",AG66="t",AG66=1),
  IF(LEN(INDEX(Roadmap!$D:$K,MATCH($E66,Roadmap!$D:$D,0)-1+COUNTIF($E66:AG66,"u")+COUNTIF($E66:AG66,"t")+COUNTIF($E66:AG66,1),ColDescriptionCourte))&gt;1,
HYPERLINK("#Roadmap!C"&amp; MATCH($E66,Roadmap!$D:$D,0)+COUNTIF($E66:AG66,"u")+COUNTIF($E66:AG66,"t")+COUNTIF($E66:AG66,1)-1,INDEX(Roadmap!$D:$K,MATCH($E66,Roadmap!$D:$D,0)-1+COUNTIF($E66:AG66,"u")+COUNTIF($E66:AG66,"t")+COUNTIF($E66:AG66,1),ColDescriptionCourte)),""),
  "")),"")</f>
        <v/>
      </c>
      <c r="AI66" s="40"/>
      <c r="AJ66" s="40"/>
      <c r="AK66" s="40"/>
      <c r="AL66" s="40"/>
      <c r="AM66" s="40"/>
    </row>
    <row r="67" spans="4:39" ht="14.1" customHeight="1">
      <c r="D67" s="20" t="str">
        <f t="shared" ca="1" si="26"/>
        <v/>
      </c>
      <c r="E67" s="53" t="str">
        <f t="shared" ca="1" si="19"/>
        <v/>
      </c>
      <c r="F67" s="49"/>
      <c r="G67" s="23"/>
      <c r="H67" s="23"/>
      <c r="I67" s="23"/>
      <c r="J67" s="23"/>
      <c r="K67" s="23"/>
      <c r="L67" s="49"/>
      <c r="M67" s="23"/>
      <c r="N67" s="23"/>
      <c r="O67" s="23"/>
      <c r="P67" s="23"/>
      <c r="Q67" s="23"/>
      <c r="R67" s="23"/>
      <c r="S67" s="23"/>
      <c r="T67" s="23"/>
      <c r="U67" s="23"/>
      <c r="V67" s="23"/>
      <c r="W67" s="23"/>
      <c r="X67" s="23"/>
      <c r="Y67" s="23"/>
      <c r="Z67" s="23"/>
      <c r="AA67" s="23"/>
      <c r="AB67" s="23"/>
      <c r="AC67" s="23"/>
      <c r="AD67" s="23"/>
      <c r="AE67" s="23"/>
      <c r="AF67" s="23"/>
      <c r="AG67" s="23"/>
      <c r="AH67" s="40" t="str">
        <f ca="1">IFERROR(IF(AND(
  INDEX(Roadmap!$D:$K,MATCH($E67,Roadmap!$D:$D,0)+COUNTIF($E67:AG67,"u")+COUNTIF($E67:AG67,"t")+COUNTIF($E67:AG67,1),ColLivraison)=AH$6,
  VLOOKUP($E67,INDIRECT("tri!"&amp; CHAR(64+ C0Col) &amp;":"&amp; CHAR(65+C0Col)),2,FALSE)&gt;COUNTIF($E67:AG67,"u")+COUNTIF($E67:AG67,"t")+COUNTIF($E67:AG67,1)),
HYPERLINK("#Roadmap!C"&amp; MATCH($E67,Roadmap!$D:$D,0)+COUNTIF($E67:AG67,"u")+COUNTIF($E67:AG67,"t"),
     INDEX(Roadmap!$D:$K,MATCH($E67,Roadmap!$D:$D,0)+COUNTIF($E67:AG67,"u")+COUNTIF($E67:AG67,"t")+COUNTIF($E67:AG67,1),ColTypeEcheance)),
  IF(OR(AG67="u",AG67="t",AG67=1),
  IF(LEN(INDEX(Roadmap!$D:$K,MATCH($E67,Roadmap!$D:$D,0)-1+COUNTIF($E67:AG67,"u")+COUNTIF($E67:AG67,"t")+COUNTIF($E67:AG67,1),ColDescriptionCourte))&gt;1,
HYPERLINK("#Roadmap!C"&amp; MATCH($E67,Roadmap!$D:$D,0)+COUNTIF($E67:AG67,"u")+COUNTIF($E67:AG67,"t")+COUNTIF($E67:AG67,1)-1,INDEX(Roadmap!$D:$K,MATCH($E67,Roadmap!$D:$D,0)-1+COUNTIF($E67:AG67,"u")+COUNTIF($E67:AG67,"t")+COUNTIF($E67:AG67,1),ColDescriptionCourte)),""),
  "")),"")</f>
        <v/>
      </c>
      <c r="AI67" s="40"/>
      <c r="AJ67" s="40"/>
      <c r="AK67" s="40"/>
      <c r="AL67" s="40"/>
      <c r="AM67" s="40"/>
    </row>
    <row r="68" spans="4:39" ht="14.1" customHeight="1">
      <c r="D68" s="20" t="str">
        <f t="shared" ca="1" si="26"/>
        <v/>
      </c>
      <c r="E68" s="53" t="str">
        <f t="shared" ca="1" si="19"/>
        <v/>
      </c>
      <c r="F68" s="49"/>
      <c r="G68" s="23"/>
      <c r="H68" s="23"/>
      <c r="I68" s="23"/>
      <c r="J68" s="23"/>
      <c r="K68" s="23"/>
      <c r="L68" s="49"/>
      <c r="M68" s="23"/>
      <c r="N68" s="23"/>
      <c r="O68" s="23"/>
      <c r="P68" s="23"/>
      <c r="Q68" s="23"/>
      <c r="R68" s="23"/>
      <c r="S68" s="23"/>
      <c r="T68" s="23"/>
      <c r="U68" s="23"/>
      <c r="V68" s="23"/>
      <c r="W68" s="23"/>
      <c r="X68" s="23"/>
      <c r="Y68" s="23"/>
      <c r="Z68" s="23"/>
      <c r="AA68" s="23"/>
      <c r="AB68" s="23"/>
      <c r="AC68" s="23"/>
      <c r="AD68" s="23"/>
      <c r="AE68" s="23"/>
      <c r="AF68" s="23"/>
      <c r="AG68" s="23"/>
      <c r="AH68" s="40" t="str">
        <f ca="1">IFERROR(IF(AND(
  INDEX(Roadmap!$D:$K,MATCH($E68,Roadmap!$D:$D,0)+COUNTIF($E68:AG68,"u")+COUNTIF($E68:AG68,"t")+COUNTIF($E68:AG68,1),ColLivraison)=AH$6,
  VLOOKUP($E68,INDIRECT("tri!"&amp; CHAR(64+ C0Col) &amp;":"&amp; CHAR(65+C0Col)),2,FALSE)&gt;COUNTIF($E68:AG68,"u")+COUNTIF($E68:AG68,"t")+COUNTIF($E68:AG68,1)),
HYPERLINK("#Roadmap!C"&amp; MATCH($E68,Roadmap!$D:$D,0)+COUNTIF($E68:AG68,"u")+COUNTIF($E68:AG68,"t"),
     INDEX(Roadmap!$D:$K,MATCH($E68,Roadmap!$D:$D,0)+COUNTIF($E68:AG68,"u")+COUNTIF($E68:AG68,"t")+COUNTIF($E68:AG68,1),ColTypeEcheance)),
  IF(OR(AG68="u",AG68="t",AG68=1),
  IF(LEN(INDEX(Roadmap!$D:$K,MATCH($E68,Roadmap!$D:$D,0)-1+COUNTIF($E68:AG68,"u")+COUNTIF($E68:AG68,"t")+COUNTIF($E68:AG68,1),ColDescriptionCourte))&gt;1,
HYPERLINK("#Roadmap!C"&amp; MATCH($E68,Roadmap!$D:$D,0)+COUNTIF($E68:AG68,"u")+COUNTIF($E68:AG68,"t")+COUNTIF($E68:AG68,1)-1,INDEX(Roadmap!$D:$K,MATCH($E68,Roadmap!$D:$D,0)-1+COUNTIF($E68:AG68,"u")+COUNTIF($E68:AG68,"t")+COUNTIF($E68:AG68,1),ColDescriptionCourte)),""),
  "")),"")</f>
        <v/>
      </c>
      <c r="AI68" s="40"/>
      <c r="AJ68" s="40"/>
      <c r="AK68" s="40"/>
      <c r="AL68" s="40"/>
      <c r="AM68" s="40"/>
    </row>
    <row r="69" spans="4:39" ht="14.1" customHeight="1">
      <c r="D69" s="20" t="str">
        <f t="shared" ca="1" si="26"/>
        <v/>
      </c>
      <c r="E69" s="53" t="str">
        <f t="shared" ca="1" si="19"/>
        <v/>
      </c>
      <c r="F69" s="49"/>
      <c r="G69" s="23"/>
      <c r="H69" s="23"/>
      <c r="I69" s="23"/>
      <c r="J69" s="23"/>
      <c r="K69" s="23"/>
      <c r="L69" s="49"/>
      <c r="M69" s="23"/>
      <c r="N69" s="23"/>
      <c r="O69" s="23"/>
      <c r="P69" s="23"/>
      <c r="Q69" s="23"/>
      <c r="R69" s="23"/>
      <c r="S69" s="23"/>
      <c r="T69" s="23"/>
      <c r="U69" s="23"/>
      <c r="V69" s="23"/>
      <c r="W69" s="23"/>
      <c r="X69" s="23"/>
      <c r="Y69" s="23"/>
      <c r="Z69" s="23"/>
      <c r="AA69" s="23"/>
      <c r="AB69" s="23"/>
      <c r="AC69" s="23"/>
      <c r="AD69" s="23"/>
      <c r="AE69" s="23"/>
      <c r="AF69" s="23"/>
      <c r="AG69" s="23"/>
      <c r="AH69" s="40" t="str">
        <f ca="1">IFERROR(IF(AND(
  INDEX(Roadmap!$D:$K,MATCH($E69,Roadmap!$D:$D,0)+COUNTIF($E69:AG69,"u")+COUNTIF($E69:AG69,"t")+COUNTIF($E69:AG69,1),ColLivraison)=AH$6,
  VLOOKUP($E69,INDIRECT("tri!"&amp; CHAR(64+ C0Col) &amp;":"&amp; CHAR(65+C0Col)),2,FALSE)&gt;COUNTIF($E69:AG69,"u")+COUNTIF($E69:AG69,"t")+COUNTIF($E69:AG69,1)),
HYPERLINK("#Roadmap!C"&amp; MATCH($E69,Roadmap!$D:$D,0)+COUNTIF($E69:AG69,"u")+COUNTIF($E69:AG69,"t"),
     INDEX(Roadmap!$D:$K,MATCH($E69,Roadmap!$D:$D,0)+COUNTIF($E69:AG69,"u")+COUNTIF($E69:AG69,"t")+COUNTIF($E69:AG69,1),ColTypeEcheance)),
  IF(OR(AG69="u",AG69="t",AG69=1),
  IF(LEN(INDEX(Roadmap!$D:$K,MATCH($E69,Roadmap!$D:$D,0)-1+COUNTIF($E69:AG69,"u")+COUNTIF($E69:AG69,"t")+COUNTIF($E69:AG69,1),ColDescriptionCourte))&gt;1,
HYPERLINK("#Roadmap!C"&amp; MATCH($E69,Roadmap!$D:$D,0)+COUNTIF($E69:AG69,"u")+COUNTIF($E69:AG69,"t")+COUNTIF($E69:AG69,1)-1,INDEX(Roadmap!$D:$K,MATCH($E69,Roadmap!$D:$D,0)-1+COUNTIF($E69:AG69,"u")+COUNTIF($E69:AG69,"t")+COUNTIF($E69:AG69,1),ColDescriptionCourte)),""),
  "")),"")</f>
        <v/>
      </c>
      <c r="AI69" s="40"/>
      <c r="AJ69" s="40"/>
      <c r="AK69" s="40"/>
      <c r="AL69" s="40"/>
      <c r="AM69" s="40"/>
    </row>
    <row r="70" spans="4:39" ht="14.1" customHeight="1">
      <c r="D70" s="20" t="str">
        <f t="shared" ca="1" si="26"/>
        <v/>
      </c>
      <c r="E70" s="53" t="str">
        <f t="shared" ca="1" si="19"/>
        <v/>
      </c>
      <c r="F70" s="49"/>
      <c r="G70" s="23"/>
      <c r="H70" s="23"/>
      <c r="I70" s="23"/>
      <c r="J70" s="23"/>
      <c r="K70" s="23"/>
      <c r="L70" s="49"/>
      <c r="M70" s="23"/>
      <c r="N70" s="23"/>
      <c r="O70" s="23"/>
      <c r="P70" s="23"/>
      <c r="Q70" s="23"/>
      <c r="R70" s="23"/>
      <c r="S70" s="23"/>
      <c r="T70" s="23"/>
      <c r="U70" s="23"/>
      <c r="V70" s="23"/>
      <c r="W70" s="23"/>
      <c r="X70" s="23"/>
      <c r="Y70" s="23"/>
      <c r="Z70" s="23"/>
      <c r="AA70" s="23"/>
      <c r="AB70" s="23"/>
      <c r="AC70" s="23"/>
      <c r="AD70" s="23"/>
      <c r="AE70" s="23"/>
      <c r="AF70" s="23"/>
      <c r="AG70" s="23"/>
      <c r="AH70" s="40" t="str">
        <f ca="1">IFERROR(IF(AND(
  INDEX(Roadmap!$D:$K,MATCH($E70,Roadmap!$D:$D,0)+COUNTIF($E70:AG70,"u")+COUNTIF($E70:AG70,"t")+COUNTIF($E70:AG70,1),ColLivraison)=AH$6,
  VLOOKUP($E70,INDIRECT("tri!"&amp; CHAR(64+ C0Col) &amp;":"&amp; CHAR(65+C0Col)),2,FALSE)&gt;COUNTIF($E70:AG70,"u")+COUNTIF($E70:AG70,"t")+COUNTIF($E70:AG70,1)),
HYPERLINK("#Roadmap!C"&amp; MATCH($E70,Roadmap!$D:$D,0)+COUNTIF($E70:AG70,"u")+COUNTIF($E70:AG70,"t"),
     INDEX(Roadmap!$D:$K,MATCH($E70,Roadmap!$D:$D,0)+COUNTIF($E70:AG70,"u")+COUNTIF($E70:AG70,"t")+COUNTIF($E70:AG70,1),ColTypeEcheance)),
  IF(OR(AG70="u",AG70="t",AG70=1),
  IF(LEN(INDEX(Roadmap!$D:$K,MATCH($E70,Roadmap!$D:$D,0)-1+COUNTIF($E70:AG70,"u")+COUNTIF($E70:AG70,"t")+COUNTIF($E70:AG70,1),ColDescriptionCourte))&gt;1,
HYPERLINK("#Roadmap!C"&amp; MATCH($E70,Roadmap!$D:$D,0)+COUNTIF($E70:AG70,"u")+COUNTIF($E70:AG70,"t")+COUNTIF($E70:AG70,1)-1,INDEX(Roadmap!$D:$K,MATCH($E70,Roadmap!$D:$D,0)-1+COUNTIF($E70:AG70,"u")+COUNTIF($E70:AG70,"t")+COUNTIF($E70:AG70,1),ColDescriptionCourte)),""),
  "")),"")</f>
        <v/>
      </c>
      <c r="AI70" s="40"/>
      <c r="AJ70" s="40"/>
      <c r="AK70" s="40"/>
      <c r="AL70" s="40"/>
      <c r="AM70" s="40"/>
    </row>
    <row r="71" spans="4:39" ht="14.1" customHeight="1">
      <c r="D71" s="20" t="str">
        <f t="shared" ref="D71:D75" ca="1" si="27">IFERROR(IF(LEN(INDIRECT(ADDRESS(C0Ligne+ROW()-MaquetteLigne0,C0Col-1,1,1,"Tri")))&lt;2,"",IF(LEFT(INDIRECT(ADDRESS(C0Ligne+ROW()-MaquetteLigne0,C0Col-1,1,1,"Tri")),5)="Total","",INDIRECT(ADDRESS(C0Ligne+ROW()-MaquetteLigne0,C0Col-1,1,1,"Tri")))),"")</f>
        <v/>
      </c>
      <c r="E71" s="53" t="str">
        <f t="shared" ref="E71:E76" ca="1" si="28">IF(LEN(INDIRECT(ADDRESS(C0Ligne+ROW()-MaquetteLigne0,C0Col,1,1,"Tri")))&lt;2,"",INDIRECT(ADDRESS(C0Ligne+ROW()-MaquetteLigne0,C0Col,1,1,"Tri")))</f>
        <v/>
      </c>
      <c r="F71" s="49"/>
      <c r="G71" s="23"/>
      <c r="H71" s="23"/>
      <c r="I71" s="23"/>
      <c r="J71" s="23"/>
      <c r="K71" s="23"/>
      <c r="L71" s="49"/>
      <c r="M71" s="23"/>
      <c r="N71" s="23"/>
      <c r="O71" s="23"/>
      <c r="P71" s="23"/>
      <c r="Q71" s="23"/>
      <c r="R71" s="23"/>
      <c r="S71" s="23"/>
      <c r="T71" s="23"/>
      <c r="U71" s="23"/>
      <c r="V71" s="23"/>
      <c r="W71" s="23"/>
      <c r="X71" s="23"/>
      <c r="Y71" s="23"/>
      <c r="Z71" s="23"/>
      <c r="AA71" s="23"/>
      <c r="AB71" s="23"/>
      <c r="AC71" s="23"/>
      <c r="AD71" s="23"/>
      <c r="AE71" s="23"/>
      <c r="AF71" s="23"/>
      <c r="AG71" s="23"/>
      <c r="AH71" s="40" t="str">
        <f ca="1">IFERROR(IF(AND(
  INDEX(Roadmap!$D:$K,MATCH($E71,Roadmap!$D:$D,0)+COUNTIF($E71:AG71,"u")+COUNTIF($E71:AG71,"t")+COUNTIF($E71:AG71,1),ColLivraison)=AH$6,
  VLOOKUP($E71,INDIRECT("tri!"&amp; CHAR(64+ C0Col) &amp;":"&amp; CHAR(65+C0Col)),2,FALSE)&gt;COUNTIF($E71:AG71,"u")+COUNTIF($E71:AG71,"t")+COUNTIF($E71:AG71,1)),
HYPERLINK("#Roadmap!C"&amp; MATCH($E71,Roadmap!$D:$D,0)+COUNTIF($E71:AG71,"u")+COUNTIF($E71:AG71,"t"),
     INDEX(Roadmap!$D:$K,MATCH($E71,Roadmap!$D:$D,0)+COUNTIF($E71:AG71,"u")+COUNTIF($E71:AG71,"t")+COUNTIF($E71:AG71,1),ColTypeEcheance)),
  IF(OR(AG71="u",AG71="t",AG71=1),
  IF(LEN(INDEX(Roadmap!$D:$K,MATCH($E71,Roadmap!$D:$D,0)-1+COUNTIF($E71:AG71,"u")+COUNTIF($E71:AG71,"t")+COUNTIF($E71:AG71,1),ColDescriptionCourte))&gt;1,
HYPERLINK("#Roadmap!C"&amp; MATCH($E71,Roadmap!$D:$D,0)+COUNTIF($E71:AG71,"u")+COUNTIF($E71:AG71,"t")+COUNTIF($E71:AG71,1)-1,INDEX(Roadmap!$D:$K,MATCH($E71,Roadmap!$D:$D,0)-1+COUNTIF($E71:AG71,"u")+COUNTIF($E71:AG71,"t")+COUNTIF($E71:AG71,1),ColDescriptionCourte)),""),
  "")),"")</f>
        <v/>
      </c>
      <c r="AI71" s="40"/>
      <c r="AJ71" s="40"/>
      <c r="AK71" s="40"/>
      <c r="AL71" s="40"/>
      <c r="AM71" s="40"/>
    </row>
    <row r="72" spans="4:39" ht="14.1" customHeight="1">
      <c r="D72" s="20" t="str">
        <f t="shared" ca="1" si="27"/>
        <v/>
      </c>
      <c r="E72" s="53" t="str">
        <f t="shared" ca="1" si="28"/>
        <v/>
      </c>
      <c r="F72" s="49"/>
      <c r="G72" s="23"/>
      <c r="H72" s="23"/>
      <c r="I72" s="23"/>
      <c r="J72" s="23"/>
      <c r="K72" s="23"/>
      <c r="L72" s="49"/>
      <c r="M72" s="23"/>
      <c r="N72" s="23"/>
      <c r="O72" s="23"/>
      <c r="P72" s="23"/>
      <c r="Q72" s="23"/>
      <c r="R72" s="23"/>
      <c r="S72" s="23"/>
      <c r="T72" s="23"/>
      <c r="U72" s="23"/>
      <c r="V72" s="23"/>
      <c r="W72" s="23"/>
      <c r="X72" s="23"/>
      <c r="Y72" s="23"/>
      <c r="Z72" s="23"/>
      <c r="AA72" s="23"/>
      <c r="AB72" s="23"/>
      <c r="AC72" s="23"/>
      <c r="AD72" s="23"/>
      <c r="AE72" s="23"/>
      <c r="AF72" s="23"/>
      <c r="AG72" s="23"/>
      <c r="AH72" s="40" t="str">
        <f ca="1">IFERROR(IF(AND(
  INDEX(Roadmap!$D:$K,MATCH($E72,Roadmap!$D:$D,0)+COUNTIF($E72:AG72,"u")+COUNTIF($E72:AG72,"t")+COUNTIF($E72:AG72,1),ColLivraison)=AH$6,
  VLOOKUP($E72,INDIRECT("tri!"&amp; CHAR(64+ C0Col) &amp;":"&amp; CHAR(65+C0Col)),2,FALSE)&gt;COUNTIF($E72:AG72,"u")+COUNTIF($E72:AG72,"t")+COUNTIF($E72:AG72,1)),
HYPERLINK("#Roadmap!C"&amp; MATCH($E72,Roadmap!$D:$D,0)+COUNTIF($E72:AG72,"u")+COUNTIF($E72:AG72,"t"),
     INDEX(Roadmap!$D:$K,MATCH($E72,Roadmap!$D:$D,0)+COUNTIF($E72:AG72,"u")+COUNTIF($E72:AG72,"t")+COUNTIF($E72:AG72,1),ColTypeEcheance)),
  IF(OR(AG72="u",AG72="t",AG72=1),
  IF(LEN(INDEX(Roadmap!$D:$K,MATCH($E72,Roadmap!$D:$D,0)-1+COUNTIF($E72:AG72,"u")+COUNTIF($E72:AG72,"t")+COUNTIF($E72:AG72,1),ColDescriptionCourte))&gt;1,
HYPERLINK("#Roadmap!C"&amp; MATCH($E72,Roadmap!$D:$D,0)+COUNTIF($E72:AG72,"u")+COUNTIF($E72:AG72,"t")+COUNTIF($E72:AG72,1)-1,INDEX(Roadmap!$D:$K,MATCH($E72,Roadmap!$D:$D,0)-1+COUNTIF($E72:AG72,"u")+COUNTIF($E72:AG72,"t")+COUNTIF($E72:AG72,1),ColDescriptionCourte)),""),
  "")),"")</f>
        <v/>
      </c>
      <c r="AI72" s="40"/>
      <c r="AJ72" s="40"/>
      <c r="AK72" s="40"/>
      <c r="AL72" s="40"/>
      <c r="AM72" s="40"/>
    </row>
    <row r="73" spans="4:39" ht="14.1" customHeight="1">
      <c r="D73" s="20" t="str">
        <f t="shared" ca="1" si="27"/>
        <v/>
      </c>
      <c r="E73" s="53" t="str">
        <f t="shared" ca="1" si="28"/>
        <v/>
      </c>
      <c r="F73" s="49"/>
      <c r="G73" s="23"/>
      <c r="H73" s="23"/>
      <c r="I73" s="23"/>
      <c r="J73" s="23"/>
      <c r="K73" s="23"/>
      <c r="L73" s="49"/>
      <c r="M73" s="23"/>
      <c r="N73" s="23"/>
      <c r="O73" s="23"/>
      <c r="P73" s="23"/>
      <c r="Q73" s="23"/>
      <c r="R73" s="23"/>
      <c r="S73" s="23"/>
      <c r="T73" s="23"/>
      <c r="U73" s="23"/>
      <c r="V73" s="23"/>
      <c r="W73" s="23"/>
      <c r="X73" s="23"/>
      <c r="Y73" s="23"/>
      <c r="Z73" s="23"/>
      <c r="AA73" s="23"/>
      <c r="AB73" s="23"/>
      <c r="AC73" s="23"/>
      <c r="AD73" s="23"/>
      <c r="AE73" s="23"/>
      <c r="AF73" s="23"/>
      <c r="AG73" s="23"/>
      <c r="AH73" s="40" t="str">
        <f ca="1">IFERROR(IF(AND(
  INDEX(Roadmap!$D:$K,MATCH($E73,Roadmap!$D:$D,0)+COUNTIF($E73:AG73,"u")+COUNTIF($E73:AG73,"t")+COUNTIF($E73:AG73,1),ColLivraison)=AH$6,
  VLOOKUP($E73,INDIRECT("tri!"&amp; CHAR(64+ C0Col) &amp;":"&amp; CHAR(65+C0Col)),2,FALSE)&gt;COUNTIF($E73:AG73,"u")+COUNTIF($E73:AG73,"t")+COUNTIF($E73:AG73,1)),
HYPERLINK("#Roadmap!C"&amp; MATCH($E73,Roadmap!$D:$D,0)+COUNTIF($E73:AG73,"u")+COUNTIF($E73:AG73,"t"),
     INDEX(Roadmap!$D:$K,MATCH($E73,Roadmap!$D:$D,0)+COUNTIF($E73:AG73,"u")+COUNTIF($E73:AG73,"t")+COUNTIF($E73:AG73,1),ColTypeEcheance)),
  IF(OR(AG73="u",AG73="t",AG73=1),
  IF(LEN(INDEX(Roadmap!$D:$K,MATCH($E73,Roadmap!$D:$D,0)-1+COUNTIF($E73:AG73,"u")+COUNTIF($E73:AG73,"t")+COUNTIF($E73:AG73,1),ColDescriptionCourte))&gt;1,
HYPERLINK("#Roadmap!C"&amp; MATCH($E73,Roadmap!$D:$D,0)+COUNTIF($E73:AG73,"u")+COUNTIF($E73:AG73,"t")+COUNTIF($E73:AG73,1)-1,INDEX(Roadmap!$D:$K,MATCH($E73,Roadmap!$D:$D,0)-1+COUNTIF($E73:AG73,"u")+COUNTIF($E73:AG73,"t")+COUNTIF($E73:AG73,1),ColDescriptionCourte)),""),
  "")),"")</f>
        <v/>
      </c>
      <c r="AI73" s="40"/>
      <c r="AJ73" s="40"/>
      <c r="AK73" s="40"/>
      <c r="AL73" s="40"/>
      <c r="AM73" s="40"/>
    </row>
    <row r="74" spans="4:39" ht="14.1" customHeight="1">
      <c r="D74" s="20" t="str">
        <f t="shared" ca="1" si="27"/>
        <v/>
      </c>
      <c r="E74" s="53" t="str">
        <f t="shared" ca="1" si="28"/>
        <v/>
      </c>
      <c r="F74" s="49"/>
      <c r="G74" s="23"/>
      <c r="H74" s="23"/>
      <c r="I74" s="23"/>
      <c r="J74" s="23"/>
      <c r="K74" s="23"/>
      <c r="L74" s="49"/>
      <c r="M74" s="23"/>
      <c r="N74" s="23"/>
      <c r="O74" s="23"/>
      <c r="P74" s="23"/>
      <c r="Q74" s="23"/>
      <c r="R74" s="23"/>
      <c r="S74" s="23"/>
      <c r="T74" s="23"/>
      <c r="U74" s="23"/>
      <c r="V74" s="23"/>
      <c r="W74" s="23"/>
      <c r="X74" s="23"/>
      <c r="Y74" s="23"/>
      <c r="Z74" s="23"/>
      <c r="AA74" s="23"/>
      <c r="AB74" s="23"/>
      <c r="AC74" s="23"/>
      <c r="AD74" s="23"/>
      <c r="AE74" s="23"/>
      <c r="AF74" s="23"/>
      <c r="AG74" s="23"/>
      <c r="AH74" s="40" t="str">
        <f ca="1">IFERROR(IF(AND(
  INDEX(Roadmap!$D:$K,MATCH($E74,Roadmap!$D:$D,0)+COUNTIF($E74:AG74,"u")+COUNTIF($E74:AG74,"t")+COUNTIF($E74:AG74,1),ColLivraison)=AH$6,
  VLOOKUP($E74,INDIRECT("tri!"&amp; CHAR(64+ C0Col) &amp;":"&amp; CHAR(65+C0Col)),2,FALSE)&gt;COUNTIF($E74:AG74,"u")+COUNTIF($E74:AG74,"t")+COUNTIF($E74:AG74,1)),
HYPERLINK("#Roadmap!C"&amp; MATCH($E74,Roadmap!$D:$D,0)+COUNTIF($E74:AG74,"u")+COUNTIF($E74:AG74,"t"),
     INDEX(Roadmap!$D:$K,MATCH($E74,Roadmap!$D:$D,0)+COUNTIF($E74:AG74,"u")+COUNTIF($E74:AG74,"t")+COUNTIF($E74:AG74,1),ColTypeEcheance)),
  IF(OR(AG74="u",AG74="t",AG74=1),
  IF(LEN(INDEX(Roadmap!$D:$K,MATCH($E74,Roadmap!$D:$D,0)-1+COUNTIF($E74:AG74,"u")+COUNTIF($E74:AG74,"t")+COUNTIF($E74:AG74,1),ColDescriptionCourte))&gt;1,
HYPERLINK("#Roadmap!C"&amp; MATCH($E74,Roadmap!$D:$D,0)+COUNTIF($E74:AG74,"u")+COUNTIF($E74:AG74,"t")+COUNTIF($E74:AG74,1)-1,INDEX(Roadmap!$D:$K,MATCH($E74,Roadmap!$D:$D,0)-1+COUNTIF($E74:AG74,"u")+COUNTIF($E74:AG74,"t")+COUNTIF($E74:AG74,1),ColDescriptionCourte)),""),
  "")),"")</f>
        <v/>
      </c>
      <c r="AI74" s="40"/>
      <c r="AJ74" s="40"/>
      <c r="AK74" s="40"/>
      <c r="AL74" s="40"/>
      <c r="AM74" s="40"/>
    </row>
    <row r="75" spans="4:39" ht="14.1" customHeight="1">
      <c r="D75" s="20" t="str">
        <f t="shared" ca="1" si="27"/>
        <v/>
      </c>
      <c r="E75" s="53" t="str">
        <f t="shared" ca="1" si="28"/>
        <v/>
      </c>
      <c r="F75" s="49"/>
      <c r="G75" s="23"/>
      <c r="H75" s="23"/>
      <c r="I75" s="23"/>
      <c r="J75" s="23"/>
      <c r="K75" s="23"/>
      <c r="L75" s="49"/>
      <c r="M75" s="23"/>
      <c r="N75" s="23"/>
      <c r="O75" s="23"/>
      <c r="P75" s="23"/>
      <c r="Q75" s="23"/>
      <c r="R75" s="23"/>
      <c r="S75" s="23"/>
      <c r="T75" s="23"/>
      <c r="U75" s="23"/>
      <c r="V75" s="23"/>
      <c r="W75" s="23"/>
      <c r="X75" s="23"/>
      <c r="Y75" s="23"/>
      <c r="Z75" s="23"/>
      <c r="AA75" s="23"/>
      <c r="AB75" s="23"/>
      <c r="AC75" s="23"/>
      <c r="AD75" s="23"/>
      <c r="AE75" s="23"/>
      <c r="AF75" s="23"/>
      <c r="AG75" s="23"/>
      <c r="AH75" s="40" t="str">
        <f ca="1">IFERROR(IF(AND(
  INDEX(Roadmap!$D:$K,MATCH($E75,Roadmap!$D:$D,0)+COUNTIF($E75:AG75,"u")+COUNTIF($E75:AG75,"t")+COUNTIF($E75:AG75,1),ColLivraison)=AH$6,
  VLOOKUP($E75,INDIRECT("tri!"&amp; CHAR(64+ C0Col) &amp;":"&amp; CHAR(65+C0Col)),2,FALSE)&gt;COUNTIF($E75:AG75,"u")+COUNTIF($E75:AG75,"t")+COUNTIF($E75:AG75,1)),
HYPERLINK("#Roadmap!C"&amp; MATCH($E75,Roadmap!$D:$D,0)+COUNTIF($E75:AG75,"u")+COUNTIF($E75:AG75,"t"),
     INDEX(Roadmap!$D:$K,MATCH($E75,Roadmap!$D:$D,0)+COUNTIF($E75:AG75,"u")+COUNTIF($E75:AG75,"t")+COUNTIF($E75:AG75,1),ColTypeEcheance)),
  IF(OR(AG75="u",AG75="t",AG75=1),
  IF(LEN(INDEX(Roadmap!$D:$K,MATCH($E75,Roadmap!$D:$D,0)-1+COUNTIF($E75:AG75,"u")+COUNTIF($E75:AG75,"t")+COUNTIF($E75:AG75,1),ColDescriptionCourte))&gt;1,
HYPERLINK("#Roadmap!C"&amp; MATCH($E75,Roadmap!$D:$D,0)+COUNTIF($E75:AG75,"u")+COUNTIF($E75:AG75,"t")+COUNTIF($E75:AG75,1)-1,INDEX(Roadmap!$D:$K,MATCH($E75,Roadmap!$D:$D,0)-1+COUNTIF($E75:AG75,"u")+COUNTIF($E75:AG75,"t")+COUNTIF($E75:AG75,1),ColDescriptionCourte)),""),
  "")),"")</f>
        <v/>
      </c>
      <c r="AI75" s="40"/>
      <c r="AJ75" s="40"/>
      <c r="AK75" s="40"/>
      <c r="AL75" s="40"/>
      <c r="AM75" s="40"/>
    </row>
    <row r="76" spans="4:39" ht="14.1" customHeight="1">
      <c r="D76" s="52"/>
      <c r="E76" s="53" t="str">
        <f t="shared" ca="1" si="28"/>
        <v/>
      </c>
      <c r="F76" s="49"/>
      <c r="G76" s="23"/>
      <c r="H76" s="23"/>
      <c r="I76" s="23"/>
      <c r="J76" s="23"/>
      <c r="K76" s="23"/>
      <c r="L76" s="49"/>
      <c r="M76" s="23"/>
      <c r="N76" s="23"/>
      <c r="O76" s="23"/>
      <c r="P76" s="23"/>
      <c r="Q76" s="23"/>
      <c r="R76" s="23"/>
      <c r="S76" s="23"/>
      <c r="T76" s="23"/>
      <c r="U76" s="23"/>
      <c r="V76" s="23"/>
      <c r="W76" s="23"/>
      <c r="X76" s="23"/>
      <c r="Y76" s="23"/>
      <c r="Z76" s="23"/>
      <c r="AA76" s="23"/>
      <c r="AB76" s="23"/>
      <c r="AC76" s="23"/>
      <c r="AD76" s="23"/>
      <c r="AE76" s="23"/>
      <c r="AF76" s="23"/>
      <c r="AG76" s="23"/>
      <c r="AH76" s="40" t="str">
        <f ca="1">IFERROR(IF(AND(
  INDEX(Roadmap!$D:$K,MATCH($E76,Roadmap!$D:$D,0)+COUNTIF($E76:AG76,"u")+COUNTIF($E76:AG76,"t")+COUNTIF($E76:AG76,1),ColLivraison)=AH$6,
  VLOOKUP($E76,INDIRECT("tri!"&amp; CHAR(64+ C0Col) &amp;":"&amp; CHAR(65+C0Col)),2,FALSE)&gt;COUNTIF($E76:AG76,"u")+COUNTIF($E76:AG76,"t")+COUNTIF($E76:AG76,1)),
HYPERLINK("#Roadmap!C"&amp; MATCH($E76,Roadmap!$D:$D,0)+COUNTIF($E76:AG76,"u")+COUNTIF($E76:AG76,"t"),
     INDEX(Roadmap!$D:$K,MATCH($E76,Roadmap!$D:$D,0)+COUNTIF($E76:AG76,"u")+COUNTIF($E76:AG76,"t")+COUNTIF($E76:AG76,1),ColTypeEcheance)),
  IF(OR(AG76="u",AG76="t",AG76=1),
  IF(LEN(INDEX(Roadmap!$D:$K,MATCH($E76,Roadmap!$D:$D,0)-1+COUNTIF($E76:AG76,"u")+COUNTIF($E76:AG76,"t")+COUNTIF($E76:AG76,1),ColDescriptionCourte))&gt;1,
HYPERLINK("#Roadmap!C"&amp; MATCH($E76,Roadmap!$D:$D,0)+COUNTIF($E76:AG76,"u")+COUNTIF($E76:AG76,"t")+COUNTIF($E76:AG76,1)-1,INDEX(Roadmap!$D:$K,MATCH($E76,Roadmap!$D:$D,0)-1+COUNTIF($E76:AG76,"u")+COUNTIF($E76:AG76,"t")+COUNTIF($E76:AG76,1),ColDescriptionCourte)),""),
  "")),"")</f>
        <v/>
      </c>
      <c r="AI76" s="40"/>
      <c r="AJ76" s="40"/>
      <c r="AK76" s="40"/>
      <c r="AL76" s="40"/>
      <c r="AM76" s="40"/>
    </row>
    <row r="77" spans="4:39" ht="14.1" customHeight="1">
      <c r="D77" s="52"/>
      <c r="E77" s="53"/>
      <c r="F77" s="49"/>
      <c r="G77" s="23"/>
      <c r="H77" s="23"/>
      <c r="I77" s="23"/>
      <c r="J77" s="23"/>
      <c r="K77" s="23"/>
      <c r="L77" s="49"/>
      <c r="M77" s="23"/>
      <c r="N77" s="23"/>
      <c r="O77" s="23"/>
      <c r="P77" s="23"/>
      <c r="Q77" s="23"/>
      <c r="R77" s="23"/>
      <c r="S77" s="23"/>
      <c r="T77" s="23"/>
      <c r="U77" s="23"/>
      <c r="V77" s="23"/>
      <c r="W77" s="23"/>
      <c r="X77" s="23"/>
      <c r="Y77" s="23"/>
      <c r="Z77" s="23"/>
      <c r="AA77" s="23"/>
      <c r="AB77" s="23"/>
      <c r="AC77" s="23"/>
      <c r="AD77" s="23"/>
      <c r="AE77" s="23"/>
      <c r="AF77" s="23"/>
      <c r="AG77" s="23"/>
      <c r="AH77" s="40" t="str">
        <f ca="1">IFERROR(IF(AND(
  INDEX(Roadmap!$D:$K,MATCH($E77,Roadmap!$D:$D,0)+COUNTIF($E77:AG77,"u")+COUNTIF($E77:AG77,"t")+COUNTIF($E77:AG77,1),ColLivraison)=AH$6,
  VLOOKUP($E77,INDIRECT("tri!"&amp; CHAR(64+ C0Col) &amp;":"&amp; CHAR(65+C0Col)),2,FALSE)&gt;COUNTIF($E77:AG77,"u")+COUNTIF($E77:AG77,"t")+COUNTIF($E77:AG77,1)),
HYPERLINK("#Roadmap!C"&amp; MATCH($E77,Roadmap!$D:$D,0)+COUNTIF($E77:AG77,"u")+COUNTIF($E77:AG77,"t"),
     INDEX(Roadmap!$D:$K,MATCH($E77,Roadmap!$D:$D,0)+COUNTIF($E77:AG77,"u")+COUNTIF($E77:AG77,"t")+COUNTIF($E77:AG77,1),ColTypeEcheance)),
  IF(OR(AG77="u",AG77="t",AG77=1),
  IF(LEN(INDEX(Roadmap!$D:$K,MATCH($E77,Roadmap!$D:$D,0)-1+COUNTIF($E77:AG77,"u")+COUNTIF($E77:AG77,"t")+COUNTIF($E77:AG77,1),ColDescriptionCourte))&gt;1,
HYPERLINK("#Roadmap!C"&amp; MATCH($E77,Roadmap!$D:$D,0)+COUNTIF($E77:AG77,"u")+COUNTIF($E77:AG77,"t")+COUNTIF($E77:AG77,1)-1,INDEX(Roadmap!$D:$K,MATCH($E77,Roadmap!$D:$D,0)-1+COUNTIF($E77:AG77,"u")+COUNTIF($E77:AG77,"t")+COUNTIF($E77:AG77,1),ColDescriptionCourte)),""),
  "")),"")</f>
        <v/>
      </c>
      <c r="AI77" s="40"/>
      <c r="AJ77" s="40"/>
      <c r="AK77" s="40"/>
      <c r="AL77" s="40"/>
      <c r="AM77" s="40"/>
    </row>
    <row r="78" spans="4:39" ht="14.1" customHeight="1">
      <c r="D78" s="52"/>
      <c r="E78" s="53"/>
      <c r="F78" s="49"/>
      <c r="G78" s="23"/>
      <c r="H78" s="23"/>
      <c r="I78" s="23"/>
      <c r="J78" s="23"/>
      <c r="K78" s="23"/>
      <c r="L78" s="49"/>
      <c r="M78" s="23"/>
      <c r="N78" s="23"/>
      <c r="O78" s="23"/>
      <c r="P78" s="23"/>
      <c r="Q78" s="23"/>
      <c r="R78" s="23"/>
      <c r="S78" s="23"/>
      <c r="T78" s="23"/>
      <c r="U78" s="23"/>
      <c r="V78" s="23"/>
      <c r="W78" s="23"/>
      <c r="X78" s="23"/>
      <c r="Y78" s="23"/>
      <c r="Z78" s="23"/>
      <c r="AA78" s="23"/>
      <c r="AB78" s="23"/>
      <c r="AC78" s="23"/>
      <c r="AD78" s="23"/>
      <c r="AE78" s="23"/>
      <c r="AF78" s="23"/>
      <c r="AG78" s="23"/>
      <c r="AH78" s="40" t="str">
        <f ca="1">IFERROR(IF(AND(
  INDEX(Roadmap!$D:$K,MATCH($E78,Roadmap!$D:$D,0)+COUNTIF($E78:AG78,"u")+COUNTIF($E78:AG78,"t")+COUNTIF($E78:AG78,1),ColLivraison)=AH$6,
  VLOOKUP($E78,INDIRECT("tri!"&amp; CHAR(64+ C0Col) &amp;":"&amp; CHAR(65+C0Col)),2,FALSE)&gt;COUNTIF($E78:AG78,"u")+COUNTIF($E78:AG78,"t")+COUNTIF($E78:AG78,1)),
HYPERLINK("#Roadmap!C"&amp; MATCH($E78,Roadmap!$D:$D,0)+COUNTIF($E78:AG78,"u")+COUNTIF($E78:AG78,"t"),
     INDEX(Roadmap!$D:$K,MATCH($E78,Roadmap!$D:$D,0)+COUNTIF($E78:AG78,"u")+COUNTIF($E78:AG78,"t")+COUNTIF($E78:AG78,1),ColTypeEcheance)),
  IF(OR(AG78="u",AG78="t",AG78=1),
  IF(LEN(INDEX(Roadmap!$D:$K,MATCH($E78,Roadmap!$D:$D,0)-1+COUNTIF($E78:AG78,"u")+COUNTIF($E78:AG78,"t")+COUNTIF($E78:AG78,1),ColDescriptionCourte))&gt;1,
HYPERLINK("#Roadmap!C"&amp; MATCH($E78,Roadmap!$D:$D,0)+COUNTIF($E78:AG78,"u")+COUNTIF($E78:AG78,"t")+COUNTIF($E78:AG78,1)-1,INDEX(Roadmap!$D:$K,MATCH($E78,Roadmap!$D:$D,0)-1+COUNTIF($E78:AG78,"u")+COUNTIF($E78:AG78,"t")+COUNTIF($E78:AG78,1),ColDescriptionCourte)),""),
  "")),"")</f>
        <v/>
      </c>
      <c r="AI78" s="40"/>
      <c r="AJ78" s="40"/>
      <c r="AK78" s="40"/>
      <c r="AL78" s="40"/>
      <c r="AM78" s="40"/>
    </row>
    <row r="79" spans="4:39" ht="14.1" customHeight="1">
      <c r="D79" s="52"/>
      <c r="E79" s="53"/>
      <c r="F79" s="49"/>
      <c r="G79" s="23"/>
      <c r="H79" s="23"/>
      <c r="I79" s="23"/>
      <c r="J79" s="23"/>
      <c r="K79" s="23"/>
      <c r="L79" s="49"/>
      <c r="M79" s="23"/>
      <c r="N79" s="23"/>
      <c r="O79" s="23"/>
      <c r="P79" s="23"/>
      <c r="Q79" s="23"/>
      <c r="R79" s="23"/>
      <c r="S79" s="23"/>
      <c r="T79" s="23"/>
      <c r="U79" s="23"/>
      <c r="V79" s="23"/>
      <c r="W79" s="23"/>
      <c r="X79" s="23"/>
      <c r="Y79" s="23"/>
      <c r="Z79" s="23"/>
      <c r="AA79" s="23"/>
      <c r="AB79" s="23"/>
      <c r="AC79" s="23"/>
      <c r="AD79" s="23"/>
      <c r="AE79" s="23"/>
      <c r="AF79" s="23"/>
      <c r="AG79" s="23"/>
      <c r="AH79" s="40" t="str">
        <f ca="1">IFERROR(IF(AND(
  INDEX(Roadmap!$D:$K,MATCH($E79,Roadmap!$D:$D,0)+COUNTIF($E79:AG79,"u")+COUNTIF($E79:AG79,"t")+COUNTIF($E79:AG79,1),ColLivraison)=AH$6,
  VLOOKUP($E79,INDIRECT("tri!"&amp; CHAR(64+ C0Col) &amp;":"&amp; CHAR(65+C0Col)),2,FALSE)&gt;COUNTIF($E79:AG79,"u")+COUNTIF($E79:AG79,"t")+COUNTIF($E79:AG79,1)),
HYPERLINK("#Roadmap!C"&amp; MATCH($E79,Roadmap!$D:$D,0)+COUNTIF($E79:AG79,"u")+COUNTIF($E79:AG79,"t"),
     INDEX(Roadmap!$D:$K,MATCH($E79,Roadmap!$D:$D,0)+COUNTIF($E79:AG79,"u")+COUNTIF($E79:AG79,"t")+COUNTIF($E79:AG79,1),ColTypeEcheance)),
  IF(OR(AG79="u",AG79="t",AG79=1),
  IF(LEN(INDEX(Roadmap!$D:$K,MATCH($E79,Roadmap!$D:$D,0)-1+COUNTIF($E79:AG79,"u")+COUNTIF($E79:AG79,"t")+COUNTIF($E79:AG79,1),ColDescriptionCourte))&gt;1,
HYPERLINK("#Roadmap!C"&amp; MATCH($E79,Roadmap!$D:$D,0)+COUNTIF($E79:AG79,"u")+COUNTIF($E79:AG79,"t")+COUNTIF($E79:AG79,1)-1,INDEX(Roadmap!$D:$K,MATCH($E79,Roadmap!$D:$D,0)-1+COUNTIF($E79:AG79,"u")+COUNTIF($E79:AG79,"t")+COUNTIF($E79:AG79,1),ColDescriptionCourte)),""),
  "")),"")</f>
        <v/>
      </c>
      <c r="AI79" s="40"/>
      <c r="AJ79" s="40"/>
      <c r="AK79" s="40"/>
      <c r="AL79" s="40"/>
      <c r="AM79" s="40"/>
    </row>
    <row r="80" spans="4:39" ht="14.1" customHeight="1">
      <c r="D80" s="52"/>
      <c r="E80" s="53"/>
      <c r="F80" s="49"/>
      <c r="G80" s="23"/>
      <c r="H80" s="23"/>
      <c r="I80" s="23"/>
      <c r="J80" s="23"/>
      <c r="K80" s="23"/>
      <c r="L80" s="49"/>
      <c r="M80" s="23"/>
      <c r="N80" s="23"/>
      <c r="O80" s="23"/>
      <c r="P80" s="23"/>
      <c r="Q80" s="23"/>
      <c r="R80" s="23"/>
      <c r="S80" s="23"/>
      <c r="T80" s="23"/>
      <c r="U80" s="23"/>
      <c r="V80" s="23"/>
      <c r="W80" s="23"/>
      <c r="X80" s="23"/>
      <c r="Y80" s="23"/>
      <c r="Z80" s="23"/>
      <c r="AA80" s="23"/>
      <c r="AB80" s="23"/>
      <c r="AC80" s="23"/>
      <c r="AD80" s="23"/>
      <c r="AE80" s="23"/>
      <c r="AF80" s="23"/>
      <c r="AG80" s="23"/>
      <c r="AH80" s="40" t="str">
        <f ca="1">IFERROR(IF(AND(
  INDEX(Roadmap!$D:$K,MATCH($E80,Roadmap!$D:$D,0)+COUNTIF($E80:AG80,"u")+COUNTIF($E80:AG80,"t")+COUNTIF($E80:AG80,1),ColLivraison)=AH$6,
  VLOOKUP($E80,INDIRECT("tri!"&amp; CHAR(64+ C0Col) &amp;":"&amp; CHAR(65+C0Col)),2,FALSE)&gt;COUNTIF($E80:AG80,"u")+COUNTIF($E80:AG80,"t")+COUNTIF($E80:AG80,1)),
HYPERLINK("#Roadmap!C"&amp; MATCH($E80,Roadmap!$D:$D,0)+COUNTIF($E80:AG80,"u")+COUNTIF($E80:AG80,"t"),
     INDEX(Roadmap!$D:$K,MATCH($E80,Roadmap!$D:$D,0)+COUNTIF($E80:AG80,"u")+COUNTIF($E80:AG80,"t")+COUNTIF($E80:AG80,1),ColTypeEcheance)),
  IF(OR(AG80="u",AG80="t",AG80=1),
  IF(LEN(INDEX(Roadmap!$D:$K,MATCH($E80,Roadmap!$D:$D,0)-1+COUNTIF($E80:AG80,"u")+COUNTIF($E80:AG80,"t")+COUNTIF($E80:AG80,1),ColDescriptionCourte))&gt;1,
HYPERLINK("#Roadmap!C"&amp; MATCH($E80,Roadmap!$D:$D,0)+COUNTIF($E80:AG80,"u")+COUNTIF($E80:AG80,"t")+COUNTIF($E80:AG80,1)-1,INDEX(Roadmap!$D:$K,MATCH($E80,Roadmap!$D:$D,0)-1+COUNTIF($E80:AG80,"u")+COUNTIF($E80:AG80,"t")+COUNTIF($E80:AG80,1),ColDescriptionCourte)),""),
  "")),"")</f>
        <v/>
      </c>
      <c r="AI80" s="40"/>
      <c r="AJ80" s="40"/>
      <c r="AK80" s="40"/>
      <c r="AL80" s="40"/>
      <c r="AM80" s="40"/>
    </row>
    <row r="81" spans="4:39" ht="14.1" customHeight="1">
      <c r="D81" s="20" t="str">
        <f t="shared" ref="D81:D134" ca="1" si="29">IFERROR(IF(LEN(INDIRECT(ADDRESS(C0Ligne+ROW()-MaquetteLigne0,C0Col-1,1,1,"Tri")))&lt;2,"",IF(LEFT(INDIRECT(ADDRESS(C0Ligne+ROW()-MaquetteLigne0,C0Col-1,1,1,"Tri")),5)="Total","",INDIRECT(ADDRESS(C0Ligne+ROW()-MaquetteLigne0,C0Col-1,1,1,"Tri")))),"")</f>
        <v/>
      </c>
      <c r="E81" s="53" t="str">
        <f t="shared" ref="E81:E134" ca="1" si="30">IF(LEN(INDIRECT(ADDRESS(C0Ligne+ROW()-MaquetteLigne0,C0Col,1,1,"Tri")))&lt;2,"",INDIRECT(ADDRESS(C0Ligne+ROW()-MaquetteLigne0,C0Col,1,1,"Tri")))</f>
        <v/>
      </c>
      <c r="F81" s="39"/>
      <c r="G81" s="40"/>
      <c r="H81" s="40"/>
      <c r="I81" s="40"/>
      <c r="J81" s="40"/>
      <c r="K81" s="40"/>
      <c r="L81" s="39"/>
      <c r="M81" s="40"/>
      <c r="N81" s="40"/>
      <c r="O81" s="40"/>
      <c r="P81" s="40"/>
      <c r="Q81" s="40"/>
      <c r="R81" s="40"/>
      <c r="S81" s="40"/>
      <c r="T81" s="40"/>
      <c r="U81" s="40"/>
      <c r="V81" s="40"/>
      <c r="W81" s="40"/>
      <c r="X81" s="40"/>
      <c r="Y81" s="40"/>
      <c r="Z81" s="40"/>
      <c r="AA81" s="40"/>
      <c r="AB81" s="40" t="str">
        <f ca="1">IFERROR(IF(AND(
  INDEX(Roadmap!$D:$K,MATCH($E81,Roadmap!$D:$D,0)+COUNTIF($E81:AA81,"u")+COUNTIF($E81:AA81,"t")+COUNTIF($E81:AA81,"¶")+COUNTIF($E81:AA81,"²")+COUNTIF($E81:AA81,"µ")+COUNTIF($E81:AA81,1),ColLivraison)=AB$6,
  VLOOKUP($E81,INDIRECT("tri!"&amp; CHAR(64+ C0Col) &amp;":"&amp; CHAR(65+C0Col)),2,FALSE)&gt;COUNTIF($E81:AA81,"u")+COUNTIF($E81:AA81,"t")+COUNTIF($E81:AA81,"¶")+COUNTIF($E81:AA81,"²")+COUNTIF($E81:AA81,"µ")+COUNTIF($E81:AA81,1)),
HYPERLINK("#Roadmap!C"&amp; MATCH($E81,Roadmap!$D:$D,0)+COUNTIF($E81:AA81,"u")+COUNTIF($E81:AA81,"t"),
     INDEX(Roadmap!$D:$K,MATCH($E81,Roadmap!$D:$D,0)+COUNTIF($E81:AA81,"u")+COUNTIF($E81:AA81,"t")+COUNTIF($E81:AA81,"¶")+COUNTIF($E81:AA81,"²")+COUNTIF($E81:AA81,"µ")+COUNTIF($E81:AA81,1),ColTypeEcheance)),
  IF(LEN(AA81)=1,
  IF(LEN(INDEX(Roadmap!$D:$K,MATCH($E81,Roadmap!$D:$D,0)-1+COUNTIF($E81:AA81,"u")+COUNTIF($E81:AA81,"t")+COUNTIF($E81:AA81,"¶")+COUNTIF($E81:AA81,"²")+COUNTIF($E81:AA81,"µ")+COUNTIF($E81:AA81,1),ColDescriptionCourte))&gt;1,
HYPERLINK("#Roadmap!C"&amp; MATCH($E81,Roadmap!$D:$D,0)+COUNTIF($E81:AA81,"u")+COUNTIF($E81:AA81,"t")+COUNTIF($E81:AA81,"¶")+COUNTIF($E81:AA81,"²")+COUNTIF($E81:AA81,"µ")+COUNTIF($E81:AA81,1)-1,INDEX(Roadmap!$D:$K,MATCH($E81,Roadmap!$D:$D,0)-1+COUNTIF($E81:AA81,"u")+COUNTIF($E81:AA81,"t")+COUNTIF($E81:AA81,"¶")+COUNTIF($E81:AA81,"²")+COUNTIF($E81:AA81,"µ")+COUNTIF($E81:AA81,1),ColDescriptionCourte)),""),
  "")),"")</f>
        <v/>
      </c>
      <c r="AC81" s="40" t="str">
        <f ca="1">IFERROR(IF(AND(
  INDEX(Roadmap!$D:$K,MATCH($E81,Roadmap!$D:$D,0)+COUNTIF($E81:AB81,"u")+COUNTIF($E81:AB81,"t")+COUNTIF($E81:AB81,"¶")+COUNTIF($E81:AB81,"²")+COUNTIF($E81:AB81,"µ")+COUNTIF($E81:AB81,1),ColLivraison)=AC$6,
  VLOOKUP($E81,INDIRECT("tri!"&amp; CHAR(64+ C0Col) &amp;":"&amp; CHAR(65+C0Col)),2,FALSE)&gt;COUNTIF($E81:AB81,"u")+COUNTIF($E81:AB81,"t")+COUNTIF($E81:AB81,"¶")+COUNTIF($E81:AB81,"²")+COUNTIF($E81:AB81,"µ")+COUNTIF($E81:AB81,1)),
HYPERLINK("#Roadmap!C"&amp; MATCH($E81,Roadmap!$D:$D,0)+COUNTIF($E81:AB81,"u")+COUNTIF($E81:AB81,"t"),
     INDEX(Roadmap!$D:$K,MATCH($E81,Roadmap!$D:$D,0)+COUNTIF($E81:AB81,"u")+COUNTIF($E81:AB81,"t")+COUNTIF($E81:AB81,"¶")+COUNTIF($E81:AB81,"²")+COUNTIF($E81:AB81,"µ")+COUNTIF($E81:AB81,1),ColTypeEcheance)),
  IF(LEN(AB81)=1,
  IF(LEN(INDEX(Roadmap!$D:$K,MATCH($E81,Roadmap!$D:$D,0)-1+COUNTIF($E81:AB81,"u")+COUNTIF($E81:AB81,"t")+COUNTIF($E81:AB81,"¶")+COUNTIF($E81:AB81,"²")+COUNTIF($E81:AB81,"µ")+COUNTIF($E81:AB81,1),ColDescriptionCourte))&gt;1,
HYPERLINK("#Roadmap!C"&amp; MATCH($E81,Roadmap!$D:$D,0)+COUNTIF($E81:AB81,"u")+COUNTIF($E81:AB81,"t")+COUNTIF($E81:AB81,"¶")+COUNTIF($E81:AB81,"²")+COUNTIF($E81:AB81,"µ")+COUNTIF($E81:AB81,1)-1,INDEX(Roadmap!$D:$K,MATCH($E81,Roadmap!$D:$D,0)-1+COUNTIF($E81:AB81,"u")+COUNTIF($E81:AB81,"t")+COUNTIF($E81:AB81,"¶")+COUNTIF($E81:AB81,"²")+COUNTIF($E81:AB81,"µ")+COUNTIF($E81:AB81,1),ColDescriptionCourte)),""),
  "")),"")</f>
        <v/>
      </c>
      <c r="AD81" s="40" t="str">
        <f ca="1">IFERROR(IF(AND(
  INDEX(Roadmap!$D:$K,MATCH($E81,Roadmap!$D:$D,0)+COUNTIF($E81:AC81,"u")+COUNTIF($E81:AC81,"t")+COUNTIF($E81:AC81,"¶")+COUNTIF($E81:AC81,"²")+COUNTIF($E81:AC81,"µ")+COUNTIF($E81:AC81,1),ColLivraison)=AD$6,
  VLOOKUP($E81,INDIRECT("tri!"&amp; CHAR(64+ C0Col) &amp;":"&amp; CHAR(65+C0Col)),2,FALSE)&gt;COUNTIF($E81:AC81,"u")+COUNTIF($E81:AC81,"t")+COUNTIF($E81:AC81,"¶")+COUNTIF($E81:AC81,"²")+COUNTIF($E81:AC81,"µ")+COUNTIF($E81:AC81,1)),
HYPERLINK("#Roadmap!C"&amp; MATCH($E81,Roadmap!$D:$D,0)+COUNTIF($E81:AC81,"u")+COUNTIF($E81:AC81,"t"),
     INDEX(Roadmap!$D:$K,MATCH($E81,Roadmap!$D:$D,0)+COUNTIF($E81:AC81,"u")+COUNTIF($E81:AC81,"t")+COUNTIF($E81:AC81,"¶")+COUNTIF($E81:AC81,"²")+COUNTIF($E81:AC81,"µ")+COUNTIF($E81:AC81,1),ColTypeEcheance)),
  IF(LEN(AC81)=1,
  IF(LEN(INDEX(Roadmap!$D:$K,MATCH($E81,Roadmap!$D:$D,0)-1+COUNTIF($E81:AC81,"u")+COUNTIF($E81:AC81,"t")+COUNTIF($E81:AC81,"¶")+COUNTIF($E81:AC81,"²")+COUNTIF($E81:AC81,"µ")+COUNTIF($E81:AC81,1),ColDescriptionCourte))&gt;1,
HYPERLINK("#Roadmap!C"&amp; MATCH($E81,Roadmap!$D:$D,0)+COUNTIF($E81:AC81,"u")+COUNTIF($E81:AC81,"t")+COUNTIF($E81:AC81,"¶")+COUNTIF($E81:AC81,"²")+COUNTIF($E81:AC81,"µ")+COUNTIF($E81:AC81,1)-1,INDEX(Roadmap!$D:$K,MATCH($E81,Roadmap!$D:$D,0)-1+COUNTIF($E81:AC81,"u")+COUNTIF($E81:AC81,"t")+COUNTIF($E81:AC81,"¶")+COUNTIF($E81:AC81,"²")+COUNTIF($E81:AC81,"µ")+COUNTIF($E81:AC81,1),ColDescriptionCourte)),""),
  "")),"")</f>
        <v/>
      </c>
      <c r="AE81" s="40" t="str">
        <f ca="1">IFERROR(IF(AND(
  INDEX(Roadmap!$D:$K,MATCH($E81,Roadmap!$D:$D,0)+COUNTIF($E81:AD81,"u")+COUNTIF($E81:AD81,"t")+COUNTIF($E81:AD81,"¶")+COUNTIF($E81:AD81,"²")+COUNTIF($E81:AD81,"µ")+COUNTIF($E81:AD81,1),ColLivraison)=AE$6,
  VLOOKUP($E81,INDIRECT("tri!"&amp; CHAR(64+ C0Col) &amp;":"&amp; CHAR(65+C0Col)),2,FALSE)&gt;COUNTIF($E81:AD81,"u")+COUNTIF($E81:AD81,"t")+COUNTIF($E81:AD81,"¶")+COUNTIF($E81:AD81,"²")+COUNTIF($E81:AD81,"µ")+COUNTIF($E81:AD81,1)),
HYPERLINK("#Roadmap!C"&amp; MATCH($E81,Roadmap!$D:$D,0)+COUNTIF($E81:AD81,"u")+COUNTIF($E81:AD81,"t"),
     INDEX(Roadmap!$D:$K,MATCH($E81,Roadmap!$D:$D,0)+COUNTIF($E81:AD81,"u")+COUNTIF($E81:AD81,"t")+COUNTIF($E81:AD81,"¶")+COUNTIF($E81:AD81,"²")+COUNTIF($E81:AD81,"µ")+COUNTIF($E81:AD81,1),ColTypeEcheance)),
  IF(LEN(AD81)=1,
  IF(LEN(INDEX(Roadmap!$D:$K,MATCH($E81,Roadmap!$D:$D,0)-1+COUNTIF($E81:AD81,"u")+COUNTIF($E81:AD81,"t")+COUNTIF($E81:AD81,"¶")+COUNTIF($E81:AD81,"²")+COUNTIF($E81:AD81,"µ")+COUNTIF($E81:AD81,1),ColDescriptionCourte))&gt;1,
HYPERLINK("#Roadmap!C"&amp; MATCH($E81,Roadmap!$D:$D,0)+COUNTIF($E81:AD81,"u")+COUNTIF($E81:AD81,"t")+COUNTIF($E81:AD81,"¶")+COUNTIF($E81:AD81,"²")+COUNTIF($E81:AD81,"µ")+COUNTIF($E81:AD81,1)-1,INDEX(Roadmap!$D:$K,MATCH($E81,Roadmap!$D:$D,0)-1+COUNTIF($E81:AD81,"u")+COUNTIF($E81:AD81,"t")+COUNTIF($E81:AD81,"¶")+COUNTIF($E81:AD81,"²")+COUNTIF($E81:AD81,"µ")+COUNTIF($E81:AD81,1),ColDescriptionCourte)),""),
  "")),"")</f>
        <v/>
      </c>
      <c r="AF81" s="40" t="str">
        <f ca="1">IFERROR(IF(AND(
  INDEX(Roadmap!$D:$K,MATCH($E81,Roadmap!$D:$D,0)+COUNTIF($E81:AE81,"u")+COUNTIF($E81:AE81,"t")+COUNTIF($E81:AE81,"¶")+COUNTIF($E81:AE81,"²")+COUNTIF($E81:AE81,"µ")+COUNTIF($E81:AE81,1),ColLivraison)=AF$6,
  VLOOKUP($E81,INDIRECT("tri!"&amp; CHAR(64+ C0Col) &amp;":"&amp; CHAR(65+C0Col)),2,FALSE)&gt;COUNTIF($E81:AE81,"u")+COUNTIF($E81:AE81,"t")+COUNTIF($E81:AE81,"¶")+COUNTIF($E81:AE81,"²")+COUNTIF($E81:AE81,"µ")+COUNTIF($E81:AE81,1)),
HYPERLINK("#Roadmap!C"&amp; MATCH($E81,Roadmap!$D:$D,0)+COUNTIF($E81:AE81,"u")+COUNTIF($E81:AE81,"t"),
     INDEX(Roadmap!$D:$K,MATCH($E81,Roadmap!$D:$D,0)+COUNTIF($E81:AE81,"u")+COUNTIF($E81:AE81,"t")+COUNTIF($E81:AE81,"¶")+COUNTIF($E81:AE81,"²")+COUNTIF($E81:AE81,"µ")+COUNTIF($E81:AE81,1),ColTypeEcheance)),
  IF(LEN(AE81)=1,
  IF(LEN(INDEX(Roadmap!$D:$K,MATCH($E81,Roadmap!$D:$D,0)-1+COUNTIF($E81:AE81,"u")+COUNTIF($E81:AE81,"t")+COUNTIF($E81:AE81,"¶")+COUNTIF($E81:AE81,"²")+COUNTIF($E81:AE81,"µ")+COUNTIF($E81:AE81,1),ColDescriptionCourte))&gt;1,
HYPERLINK("#Roadmap!C"&amp; MATCH($E81,Roadmap!$D:$D,0)+COUNTIF($E81:AE81,"u")+COUNTIF($E81:AE81,"t")+COUNTIF($E81:AE81,"¶")+COUNTIF($E81:AE81,"²")+COUNTIF($E81:AE81,"µ")+COUNTIF($E81:AE81,1)-1,INDEX(Roadmap!$D:$K,MATCH($E81,Roadmap!$D:$D,0)-1+COUNTIF($E81:AE81,"u")+COUNTIF($E81:AE81,"t")+COUNTIF($E81:AE81,"¶")+COUNTIF($E81:AE81,"²")+COUNTIF($E81:AE81,"µ")+COUNTIF($E81:AE81,1),ColDescriptionCourte)),""),
  "")),"")</f>
        <v/>
      </c>
      <c r="AG81" s="40" t="str">
        <f ca="1">IFERROR(IF(AND(
  INDEX(Roadmap!$D:$K,MATCH($E81,Roadmap!$D:$D,0)+COUNTIF($E81:AF81,"u")+COUNTIF($E81:AF81,"t")+COUNTIF($E81:AF81,"¶")+COUNTIF($E81:AF81,"²")+COUNTIF($E81:AF81,"µ")+COUNTIF($E81:AF81,1),ColLivraison)=AG$6,
  VLOOKUP($E81,INDIRECT("tri!"&amp; CHAR(64+ C0Col) &amp;":"&amp; CHAR(65+C0Col)),2,FALSE)&gt;COUNTIF($E81:AF81,"u")+COUNTIF($E81:AF81,"t")+COUNTIF($E81:AF81,"¶")+COUNTIF($E81:AF81,"²")+COUNTIF($E81:AF81,"µ")+COUNTIF($E81:AF81,1)),
HYPERLINK("#Roadmap!C"&amp; MATCH($E81,Roadmap!$D:$D,0)+COUNTIF($E81:AF81,"u")+COUNTIF($E81:AF81,"t"),
     INDEX(Roadmap!$D:$K,MATCH($E81,Roadmap!$D:$D,0)+COUNTIF($E81:AF81,"u")+COUNTIF($E81:AF81,"t")+COUNTIF($E81:AF81,"¶")+COUNTIF($E81:AF81,"²")+COUNTIF($E81:AF81,"µ")+COUNTIF($E81:AF81,1),ColTypeEcheance)),
  IF(LEN(AF81)=1,
  IF(LEN(INDEX(Roadmap!$D:$K,MATCH($E81,Roadmap!$D:$D,0)-1+COUNTIF($E81:AF81,"u")+COUNTIF($E81:AF81,"t")+COUNTIF($E81:AF81,"¶")+COUNTIF($E81:AF81,"²")+COUNTIF($E81:AF81,"µ")+COUNTIF($E81:AF81,1),ColDescriptionCourte))&gt;1,
HYPERLINK("#Roadmap!C"&amp; MATCH($E81,Roadmap!$D:$D,0)+COUNTIF($E81:AF81,"u")+COUNTIF($E81:AF81,"t")+COUNTIF($E81:AF81,"¶")+COUNTIF($E81:AF81,"²")+COUNTIF($E81:AF81,"µ")+COUNTIF($E81:AF81,1)-1,INDEX(Roadmap!$D:$K,MATCH($E81,Roadmap!$D:$D,0)-1+COUNTIF($E81:AF81,"u")+COUNTIF($E81:AF81,"t")+COUNTIF($E81:AF81,"¶")+COUNTIF($E81:AF81,"²")+COUNTIF($E81:AF81,"µ")+COUNTIF($E81:AF81,1),ColDescriptionCourte)),""),
  "")),"")</f>
        <v/>
      </c>
      <c r="AH81" s="40" t="str">
        <f ca="1">IFERROR(IF(AND(
  INDEX(Roadmap!$D:$K,MATCH($E81,Roadmap!$D:$D,0)+COUNTIF($E81:AG81,"u")+COUNTIF($E81:AG81,"t")+COUNTIF($E81:AG81,1),ColLivraison)=AH$6,
  VLOOKUP($E81,INDIRECT("tri!"&amp; CHAR(64+ C0Col) &amp;":"&amp; CHAR(65+C0Col)),2,FALSE)&gt;COUNTIF($E81:AG81,"u")+COUNTIF($E81:AG81,"t")+COUNTIF($E81:AG81,1)),
HYPERLINK("#Roadmap!C"&amp; MATCH($E81,Roadmap!$D:$D,0)+COUNTIF($E81:AG81,"u")+COUNTIF($E81:AG81,"t"),
     INDEX(Roadmap!$D:$K,MATCH($E81,Roadmap!$D:$D,0)+COUNTIF($E81:AG81,"u")+COUNTIF($E81:AG81,"t")+COUNTIF($E81:AG81,1),ColTypeEcheance)),
  IF(OR(AG81="u",AG81="t",AG81=1),
  IF(LEN(INDEX(Roadmap!$D:$K,MATCH($E81,Roadmap!$D:$D,0)-1+COUNTIF($E81:AG81,"u")+COUNTIF($E81:AG81,"t")+COUNTIF($E81:AG81,1),ColDescriptionCourte))&gt;1,
HYPERLINK("#Roadmap!C"&amp; MATCH($E81,Roadmap!$D:$D,0)+COUNTIF($E81:AG81,"u")+COUNTIF($E81:AG81,"t")+COUNTIF($E81:AG81,1)-1,INDEX(Roadmap!$D:$K,MATCH($E81,Roadmap!$D:$D,0)-1+COUNTIF($E81:AG81,"u")+COUNTIF($E81:AG81,"t")+COUNTIF($E81:AG81,1),ColDescriptionCourte)),""),
  "")),"")</f>
        <v/>
      </c>
      <c r="AI81" s="40"/>
      <c r="AJ81" s="40"/>
      <c r="AK81" s="40"/>
      <c r="AL81" s="40"/>
      <c r="AM81" s="40"/>
    </row>
    <row r="82" spans="4:39" ht="14.1" customHeight="1">
      <c r="D82" s="20" t="str">
        <f t="shared" ca="1" si="29"/>
        <v/>
      </c>
      <c r="E82" s="53" t="str">
        <f t="shared" ca="1" si="30"/>
        <v/>
      </c>
      <c r="F82" s="39" t="str">
        <f ca="1">IFERROR(IF(AND(
  INDEX(Roadmap!$D:$K,MATCH($E82,Roadmap!$D:$D,0)+COUNTIF($E82:E82,"u")+COUNTIF($E82:E82,"t")+COUNTIF($E82:E82,"¶")+COUNTIF($E82:E82,"²")+COUNTIF($E82:E82,"µ")+COUNTIF($E82:E82,1),ColLivraison)=F$6,
  VLOOKUP($E82,INDIRECT("tri!"&amp; CHAR(64+ C0Col) &amp;":"&amp; CHAR(65+C0Col)),2,FALSE)&gt;COUNTIF($E82:E82,"u")+COUNTIF($E82:E82,"t")+COUNTIF($E82:E82,"¶")+COUNTIF($E82:E82,"²")+COUNTIF($E82:E82,"µ")+COUNTIF($E82:E82,1)),
HYPERLINK("#Roadmap!C"&amp; MATCH($E82,Roadmap!$D:$D,0)+COUNTIF($E82:E82,"u")+COUNTIF($E82:E82,"t"),
     INDEX(Roadmap!$D:$K,MATCH($E82,Roadmap!$D:$D,0)+COUNTIF($E82:E82,"u")+COUNTIF($E82:E82,"t")+COUNTIF($E82:E82,"¶")+COUNTIF($E82:E82,"²")+COUNTIF($E82:E82,"µ")+COUNTIF($E82:E82,1),ColTypeEcheance)),
  IF(LEN(E82)=1,
  IF(LEN(INDEX(Roadmap!$D:$K,MATCH($E82,Roadmap!$D:$D,0)-1+COUNTIF($E82:E82,"u")+COUNTIF($E82:E82,"t")+COUNTIF($E82:E82,"¶")+COUNTIF($E82:E82,"²")+COUNTIF($E82:E82,"µ")+COUNTIF($E82:E82,1),ColDescriptionCourte))&gt;1,
HYPERLINK("#Roadmap!C"&amp; MATCH($E82,Roadmap!$D:$D,0)+COUNTIF($E82:E82,"u")+COUNTIF($E82:E82,"t")+COUNTIF($E82:E82,"¶")+COUNTIF($E82:E82,"²")+COUNTIF($E82:E82,"µ")+COUNTIF($E82:E82,1)-1,INDEX(Roadmap!$D:$K,MATCH($E82,Roadmap!$D:$D,0)-1+COUNTIF($E82:E82,"u")+COUNTIF($E82:E82,"t")+COUNTIF($E82:E82,"¶")+COUNTIF($E82:E82,"²")+COUNTIF($E82:E82,"µ")+COUNTIF($E82:E82,1),ColDescriptionCourte)),""),
  "")),"")</f>
        <v/>
      </c>
      <c r="G82" s="40" t="str">
        <f ca="1">IFERROR(IF(AND(
  INDEX(Roadmap!$D:$K,MATCH($E82,Roadmap!$D:$D,0)+COUNTIF($E82:F82,"u")+COUNTIF($E82:F82,"t")+COUNTIF($E82:F82,"¶")+COUNTIF($E82:F82,"²")+COUNTIF($E82:F82,"µ")+COUNTIF($E82:F82,1),ColLivraison)=G$6,
  VLOOKUP($E82,INDIRECT("tri!"&amp; CHAR(64+ C0Col) &amp;":"&amp; CHAR(65+C0Col)),2,FALSE)&gt;COUNTIF($E82:F82,"u")+COUNTIF($E82:F82,"t")+COUNTIF($E82:F82,"¶")+COUNTIF($E82:F82,"²")+COUNTIF($E82:F82,"µ")+COUNTIF($E82:F82,1)),
HYPERLINK("#Roadmap!C"&amp; MATCH($E82,Roadmap!$D:$D,0)+COUNTIF($E82:F82,"u")+COUNTIF($E82:F82,"t"),
     INDEX(Roadmap!$D:$K,MATCH($E82,Roadmap!$D:$D,0)+COUNTIF($E82:F82,"u")+COUNTIF($E82:F82,"t")+COUNTIF($E82:F82,"¶")+COUNTIF($E82:F82,"²")+COUNTIF($E82:F82,"µ")+COUNTIF($E82:F82,1),ColTypeEcheance)),
  IF(LEN(F82)=1,
  IF(LEN(INDEX(Roadmap!$D:$K,MATCH($E82,Roadmap!$D:$D,0)-1+COUNTIF($E82:F82,"u")+COUNTIF($E82:F82,"t")+COUNTIF($E82:F82,"¶")+COUNTIF($E82:F82,"²")+COUNTIF($E82:F82,"µ")+COUNTIF($E82:F82,1),ColDescriptionCourte))&gt;1,
HYPERLINK("#Roadmap!C"&amp; MATCH($E82,Roadmap!$D:$D,0)+COUNTIF($E82:F82,"u")+COUNTIF($E82:F82,"t")+COUNTIF($E82:F82,"¶")+COUNTIF($E82:F82,"²")+COUNTIF($E82:F82,"µ")+COUNTIF($E82:F82,1)-1,INDEX(Roadmap!$D:$K,MATCH($E82,Roadmap!$D:$D,0)-1+COUNTIF($E82:F82,"u")+COUNTIF($E82:F82,"t")+COUNTIF($E82:F82,"¶")+COUNTIF($E82:F82,"²")+COUNTIF($E82:F82,"µ")+COUNTIF($E82:F82,1),ColDescriptionCourte)),""),
  "")),"")</f>
        <v/>
      </c>
      <c r="H82" s="40" t="str">
        <f ca="1">IFERROR(IF(AND(
  INDEX(Roadmap!$D:$K,MATCH($E82,Roadmap!$D:$D,0)+COUNTIF($E82:G82,"u")+COUNTIF($E82:G82,"t")+COUNTIF($E82:G82,"¶")+COUNTIF($E82:G82,"²")+COUNTIF($E82:G82,"µ")+COUNTIF($E82:G82,1),ColLivraison)=H$6,
  VLOOKUP($E82,INDIRECT("tri!"&amp; CHAR(64+ C0Col) &amp;":"&amp; CHAR(65+C0Col)),2,FALSE)&gt;COUNTIF($E82:G82,"u")+COUNTIF($E82:G82,"t")+COUNTIF($E82:G82,"¶")+COUNTIF($E82:G82,"²")+COUNTIF($E82:G82,"µ")+COUNTIF($E82:G82,1)),
HYPERLINK("#Roadmap!C"&amp; MATCH($E82,Roadmap!$D:$D,0)+COUNTIF($E82:G82,"u")+COUNTIF($E82:G82,"t"),
     INDEX(Roadmap!$D:$K,MATCH($E82,Roadmap!$D:$D,0)+COUNTIF($E82:G82,"u")+COUNTIF($E82:G82,"t")+COUNTIF($E82:G82,"¶")+COUNTIF($E82:G82,"²")+COUNTIF($E82:G82,"µ")+COUNTIF($E82:G82,1),ColTypeEcheance)),
  IF(LEN(G82)=1,
  IF(LEN(INDEX(Roadmap!$D:$K,MATCH($E82,Roadmap!$D:$D,0)-1+COUNTIF($E82:G82,"u")+COUNTIF($E82:G82,"t")+COUNTIF($E82:G82,"¶")+COUNTIF($E82:G82,"²")+COUNTIF($E82:G82,"µ")+COUNTIF($E82:G82,1),ColDescriptionCourte))&gt;1,
HYPERLINK("#Roadmap!C"&amp; MATCH($E82,Roadmap!$D:$D,0)+COUNTIF($E82:G82,"u")+COUNTIF($E82:G82,"t")+COUNTIF($E82:G82,"¶")+COUNTIF($E82:G82,"²")+COUNTIF($E82:G82,"µ")+COUNTIF($E82:G82,1)-1,INDEX(Roadmap!$D:$K,MATCH($E82,Roadmap!$D:$D,0)-1+COUNTIF($E82:G82,"u")+COUNTIF($E82:G82,"t")+COUNTIF($E82:G82,"¶")+COUNTIF($E82:G82,"²")+COUNTIF($E82:G82,"µ")+COUNTIF($E82:G82,1),ColDescriptionCourte)),""),
  "")),"")</f>
        <v/>
      </c>
      <c r="I82" s="40" t="str">
        <f ca="1">IFERROR(IF(AND(
  INDEX(Roadmap!$D:$K,MATCH($E82,Roadmap!$D:$D,0)+COUNTIF($E82:H82,"u")+COUNTIF($E82:H82,"t")+COUNTIF($E82:H82,"¶")+COUNTIF($E82:H82,"²")+COUNTIF($E82:H82,"µ")+COUNTIF($E82:H82,1),ColLivraison)=I$6,
  VLOOKUP($E82,INDIRECT("tri!"&amp; CHAR(64+ C0Col) &amp;":"&amp; CHAR(65+C0Col)),2,FALSE)&gt;COUNTIF($E82:H82,"u")+COUNTIF($E82:H82,"t")+COUNTIF($E82:H82,"¶")+COUNTIF($E82:H82,"²")+COUNTIF($E82:H82,"µ")+COUNTIF($E82:H82,1)),
HYPERLINK("#Roadmap!C"&amp; MATCH($E82,Roadmap!$D:$D,0)+COUNTIF($E82:H82,"u")+COUNTIF($E82:H82,"t"),
     INDEX(Roadmap!$D:$K,MATCH($E82,Roadmap!$D:$D,0)+COUNTIF($E82:H82,"u")+COUNTIF($E82:H82,"t")+COUNTIF($E82:H82,"¶")+COUNTIF($E82:H82,"²")+COUNTIF($E82:H82,"µ")+COUNTIF($E82:H82,1),ColTypeEcheance)),
  IF(LEN(H82)=1,
  IF(LEN(INDEX(Roadmap!$D:$K,MATCH($E82,Roadmap!$D:$D,0)-1+COUNTIF($E82:H82,"u")+COUNTIF($E82:H82,"t")+COUNTIF($E82:H82,"¶")+COUNTIF($E82:H82,"²")+COUNTIF($E82:H82,"µ")+COUNTIF($E82:H82,1),ColDescriptionCourte))&gt;1,
HYPERLINK("#Roadmap!C"&amp; MATCH($E82,Roadmap!$D:$D,0)+COUNTIF($E82:H82,"u")+COUNTIF($E82:H82,"t")+COUNTIF($E82:H82,"¶")+COUNTIF($E82:H82,"²")+COUNTIF($E82:H82,"µ")+COUNTIF($E82:H82,1)-1,INDEX(Roadmap!$D:$K,MATCH($E82,Roadmap!$D:$D,0)-1+COUNTIF($E82:H82,"u")+COUNTIF($E82:H82,"t")+COUNTIF($E82:H82,"¶")+COUNTIF($E82:H82,"²")+COUNTIF($E82:H82,"µ")+COUNTIF($E82:H82,1),ColDescriptionCourte)),""),
  "")),"")</f>
        <v/>
      </c>
      <c r="J82" s="40" t="str">
        <f ca="1">IFERROR(IF(AND(
  INDEX(Roadmap!$D:$K,MATCH($E82,Roadmap!$D:$D,0)+COUNTIF($E82:I82,"u")+COUNTIF($E82:I82,"t")+COUNTIF($E82:I82,"¶")+COUNTIF($E82:I82,"²")+COUNTIF($E82:I82,"µ")+COUNTIF($E82:I82,1),ColLivraison)=J$6,
  VLOOKUP($E82,INDIRECT("tri!"&amp; CHAR(64+ C0Col) &amp;":"&amp; CHAR(65+C0Col)),2,FALSE)&gt;COUNTIF($E82:I82,"u")+COUNTIF($E82:I82,"t")+COUNTIF($E82:I82,"¶")+COUNTIF($E82:I82,"²")+COUNTIF($E82:I82,"µ")+COUNTIF($E82:I82,1)),
HYPERLINK("#Roadmap!C"&amp; MATCH($E82,Roadmap!$D:$D,0)+COUNTIF($E82:I82,"u")+COUNTIF($E82:I82,"t"),
     INDEX(Roadmap!$D:$K,MATCH($E82,Roadmap!$D:$D,0)+COUNTIF($E82:I82,"u")+COUNTIF($E82:I82,"t")+COUNTIF($E82:I82,"¶")+COUNTIF($E82:I82,"²")+COUNTIF($E82:I82,"µ")+COUNTIF($E82:I82,1),ColTypeEcheance)),
  IF(LEN(I82)=1,
  IF(LEN(INDEX(Roadmap!$D:$K,MATCH($E82,Roadmap!$D:$D,0)-1+COUNTIF($E82:I82,"u")+COUNTIF($E82:I82,"t")+COUNTIF($E82:I82,"¶")+COUNTIF($E82:I82,"²")+COUNTIF($E82:I82,"µ")+COUNTIF($E82:I82,1),ColDescriptionCourte))&gt;1,
HYPERLINK("#Roadmap!C"&amp; MATCH($E82,Roadmap!$D:$D,0)+COUNTIF($E82:I82,"u")+COUNTIF($E82:I82,"t")+COUNTIF($E82:I82,"¶")+COUNTIF($E82:I82,"²")+COUNTIF($E82:I82,"µ")+COUNTIF($E82:I82,1)-1,INDEX(Roadmap!$D:$K,MATCH($E82,Roadmap!$D:$D,0)-1+COUNTIF($E82:I82,"u")+COUNTIF($E82:I82,"t")+COUNTIF($E82:I82,"¶")+COUNTIF($E82:I82,"²")+COUNTIF($E82:I82,"µ")+COUNTIF($E82:I82,1),ColDescriptionCourte)),""),
  "")),"")</f>
        <v/>
      </c>
      <c r="K82" s="40" t="str">
        <f ca="1">IFERROR(IF(AND(
  INDEX(Roadmap!$D:$K,MATCH($E82,Roadmap!$D:$D,0)+COUNTIF($E82:J82,"u")+COUNTIF($E82:J82,"t")+COUNTIF($E82:J82,"¶")+COUNTIF($E82:J82,"²")+COUNTIF($E82:J82,"µ")+COUNTIF($E82:J82,1),ColLivraison)=K$6,
  VLOOKUP($E82,INDIRECT("tri!"&amp; CHAR(64+ C0Col) &amp;":"&amp; CHAR(65+C0Col)),2,FALSE)&gt;COUNTIF($E82:J82,"u")+COUNTIF($E82:J82,"t")+COUNTIF($E82:J82,"¶")+COUNTIF($E82:J82,"²")+COUNTIF($E82:J82,"µ")+COUNTIF($E82:J82,1)),
HYPERLINK("#Roadmap!C"&amp; MATCH($E82,Roadmap!$D:$D,0)+COUNTIF($E82:J82,"u")+COUNTIF($E82:J82,"t"),
     INDEX(Roadmap!$D:$K,MATCH($E82,Roadmap!$D:$D,0)+COUNTIF($E82:J82,"u")+COUNTIF($E82:J82,"t")+COUNTIF($E82:J82,"¶")+COUNTIF($E82:J82,"²")+COUNTIF($E82:J82,"µ")+COUNTIF($E82:J82,1),ColTypeEcheance)),
  IF(LEN(J82)=1,
  IF(LEN(INDEX(Roadmap!$D:$K,MATCH($E82,Roadmap!$D:$D,0)-1+COUNTIF($E82:J82,"u")+COUNTIF($E82:J82,"t")+COUNTIF($E82:J82,"¶")+COUNTIF($E82:J82,"²")+COUNTIF($E82:J82,"µ")+COUNTIF($E82:J82,1),ColDescriptionCourte))&gt;1,
HYPERLINK("#Roadmap!C"&amp; MATCH($E82,Roadmap!$D:$D,0)+COUNTIF($E82:J82,"u")+COUNTIF($E82:J82,"t")+COUNTIF($E82:J82,"¶")+COUNTIF($E82:J82,"²")+COUNTIF($E82:J82,"µ")+COUNTIF($E82:J82,1)-1,INDEX(Roadmap!$D:$K,MATCH($E82,Roadmap!$D:$D,0)-1+COUNTIF($E82:J82,"u")+COUNTIF($E82:J82,"t")+COUNTIF($E82:J82,"¶")+COUNTIF($E82:J82,"²")+COUNTIF($E82:J82,"µ")+COUNTIF($E82:J82,1),ColDescriptionCourte)),""),
  "")),"")</f>
        <v/>
      </c>
      <c r="L82" s="39" t="str">
        <f ca="1">IFERROR(IF(AND(
  INDEX(Roadmap!$D:$K,MATCH($E82,Roadmap!$D:$D,0)+COUNTIF($E82:K82,"u")+COUNTIF($E82:K82,"t")+COUNTIF($E82:K82,"¶")+COUNTIF($E82:K82,"²")+COUNTIF($E82:K82,"µ")+COUNTIF($E82:K82,1),ColLivraison)=L$6,
  VLOOKUP($E82,INDIRECT("tri!"&amp; CHAR(64+ C0Col) &amp;":"&amp; CHAR(65+C0Col)),2,FALSE)&gt;COUNTIF($E82:K82,"u")+COUNTIF($E82:K82,"t")+COUNTIF($E82:K82,"¶")+COUNTIF($E82:K82,"²")+COUNTIF($E82:K82,"µ")+COUNTIF($E82:K82,1)),
HYPERLINK("#Roadmap!C"&amp; MATCH($E82,Roadmap!$D:$D,0)+COUNTIF($E82:K82,"u")+COUNTIF($E82:K82,"t"),
     INDEX(Roadmap!$D:$K,MATCH($E82,Roadmap!$D:$D,0)+COUNTIF($E82:K82,"u")+COUNTIF($E82:K82,"t")+COUNTIF($E82:K82,"¶")+COUNTIF($E82:K82,"²")+COUNTIF($E82:K82,"µ")+COUNTIF($E82:K82,1),ColTypeEcheance)),
  IF(LEN(K82)=1,
  IF(LEN(INDEX(Roadmap!$D:$K,MATCH($E82,Roadmap!$D:$D,0)-1+COUNTIF($E82:K82,"u")+COUNTIF($E82:K82,"t")+COUNTIF($E82:K82,"¶")+COUNTIF($E82:K82,"²")+COUNTIF($E82:K82,"µ")+COUNTIF($E82:K82,1),ColDescriptionCourte))&gt;1,
HYPERLINK("#Roadmap!C"&amp; MATCH($E82,Roadmap!$D:$D,0)+COUNTIF($E82:K82,"u")+COUNTIF($E82:K82,"t")+COUNTIF($E82:K82,"¶")+COUNTIF($E82:K82,"²")+COUNTIF($E82:K82,"µ")+COUNTIF($E82:K82,1)-1,INDEX(Roadmap!$D:$K,MATCH($E82,Roadmap!$D:$D,0)-1+COUNTIF($E82:K82,"u")+COUNTIF($E82:K82,"t")+COUNTIF($E82:K82,"¶")+COUNTIF($E82:K82,"²")+COUNTIF($E82:K82,"µ")+COUNTIF($E82:K82,1),ColDescriptionCourte)),""),
  "")),"")</f>
        <v/>
      </c>
      <c r="M82" s="40" t="str">
        <f ca="1">IFERROR(IF(AND(
  INDEX(Roadmap!$D:$K,MATCH($E82,Roadmap!$D:$D,0)+COUNTIF($E82:L82,"u")+COUNTIF($E82:L82,"t")+COUNTIF($E82:L82,"¶")+COUNTIF($E82:L82,"²")+COUNTIF($E82:L82,"µ")+COUNTIF($E82:L82,1),ColLivraison)=M$6,
  VLOOKUP($E82,INDIRECT("tri!"&amp; CHAR(64+ C0Col) &amp;":"&amp; CHAR(65+C0Col)),2,FALSE)&gt;COUNTIF($E82:L82,"u")+COUNTIF($E82:L82,"t")+COUNTIF($E82:L82,"¶")+COUNTIF($E82:L82,"²")+COUNTIF($E82:L82,"µ")+COUNTIF($E82:L82,1)),
HYPERLINK("#Roadmap!C"&amp; MATCH($E82,Roadmap!$D:$D,0)+COUNTIF($E82:L82,"u")+COUNTIF($E82:L82,"t"),
     INDEX(Roadmap!$D:$K,MATCH($E82,Roadmap!$D:$D,0)+COUNTIF($E82:L82,"u")+COUNTIF($E82:L82,"t")+COUNTIF($E82:L82,"¶")+COUNTIF($E82:L82,"²")+COUNTIF($E82:L82,"µ")+COUNTIF($E82:L82,1),ColTypeEcheance)),
  IF(LEN(L82)=1,
  IF(LEN(INDEX(Roadmap!$D:$K,MATCH($E82,Roadmap!$D:$D,0)-1+COUNTIF($E82:L82,"u")+COUNTIF($E82:L82,"t")+COUNTIF($E82:L82,"¶")+COUNTIF($E82:L82,"²")+COUNTIF($E82:L82,"µ")+COUNTIF($E82:L82,1),ColDescriptionCourte))&gt;1,
HYPERLINK("#Roadmap!C"&amp; MATCH($E82,Roadmap!$D:$D,0)+COUNTIF($E82:L82,"u")+COUNTIF($E82:L82,"t")+COUNTIF($E82:L82,"¶")+COUNTIF($E82:L82,"²")+COUNTIF($E82:L82,"µ")+COUNTIF($E82:L82,1)-1,INDEX(Roadmap!$D:$K,MATCH($E82,Roadmap!$D:$D,0)-1+COUNTIF($E82:L82,"u")+COUNTIF($E82:L82,"t")+COUNTIF($E82:L82,"¶")+COUNTIF($E82:L82,"²")+COUNTIF($E82:L82,"µ")+COUNTIF($E82:L82,1),ColDescriptionCourte)),""),
  "")),"")</f>
        <v/>
      </c>
      <c r="N82" s="40" t="str">
        <f ca="1">IFERROR(IF(AND(
  INDEX(Roadmap!$D:$K,MATCH($E82,Roadmap!$D:$D,0)+COUNTIF($E82:M82,"u")+COUNTIF($E82:M82,"t")+COUNTIF($E82:M82,"¶")+COUNTIF($E82:M82,"²")+COUNTIF($E82:M82,"µ")+COUNTIF($E82:M82,1),ColLivraison)=N$6,
  VLOOKUP($E82,INDIRECT("tri!"&amp; CHAR(64+ C0Col) &amp;":"&amp; CHAR(65+C0Col)),2,FALSE)&gt;COUNTIF($E82:M82,"u")+COUNTIF($E82:M82,"t")+COUNTIF($E82:M82,"¶")+COUNTIF($E82:M82,"²")+COUNTIF($E82:M82,"µ")+COUNTIF($E82:M82,1)),
HYPERLINK("#Roadmap!C"&amp; MATCH($E82,Roadmap!$D:$D,0)+COUNTIF($E82:M82,"u")+COUNTIF($E82:M82,"t"),
     INDEX(Roadmap!$D:$K,MATCH($E82,Roadmap!$D:$D,0)+COUNTIF($E82:M82,"u")+COUNTIF($E82:M82,"t")+COUNTIF($E82:M82,"¶")+COUNTIF($E82:M82,"²")+COUNTIF($E82:M82,"µ")+COUNTIF($E82:M82,1),ColTypeEcheance)),
  IF(LEN(M82)=1,
  IF(LEN(INDEX(Roadmap!$D:$K,MATCH($E82,Roadmap!$D:$D,0)-1+COUNTIF($E82:M82,"u")+COUNTIF($E82:M82,"t")+COUNTIF($E82:M82,"¶")+COUNTIF($E82:M82,"²")+COUNTIF($E82:M82,"µ")+COUNTIF($E82:M82,1),ColDescriptionCourte))&gt;1,
HYPERLINK("#Roadmap!C"&amp; MATCH($E82,Roadmap!$D:$D,0)+COUNTIF($E82:M82,"u")+COUNTIF($E82:M82,"t")+COUNTIF($E82:M82,"¶")+COUNTIF($E82:M82,"²")+COUNTIF($E82:M82,"µ")+COUNTIF($E82:M82,1)-1,INDEX(Roadmap!$D:$K,MATCH($E82,Roadmap!$D:$D,0)-1+COUNTIF($E82:M82,"u")+COUNTIF($E82:M82,"t")+COUNTIF($E82:M82,"¶")+COUNTIF($E82:M82,"²")+COUNTIF($E82:M82,"µ")+COUNTIF($E82:M82,1),ColDescriptionCourte)),""),
  "")),"")</f>
        <v/>
      </c>
      <c r="O82" s="40" t="str">
        <f ca="1">IFERROR(IF(AND(
  INDEX(Roadmap!$D:$K,MATCH($E82,Roadmap!$D:$D,0)+COUNTIF($E82:N82,"u")+COUNTIF($E82:N82,"t")+COUNTIF($E82:N82,"¶")+COUNTIF($E82:N82,"²")+COUNTIF($E82:N82,"µ")+COUNTIF($E82:N82,1),ColLivraison)=O$6,
  VLOOKUP($E82,INDIRECT("tri!"&amp; CHAR(64+ C0Col) &amp;":"&amp; CHAR(65+C0Col)),2,FALSE)&gt;COUNTIF($E82:N82,"u")+COUNTIF($E82:N82,"t")+COUNTIF($E82:N82,"¶")+COUNTIF($E82:N82,"²")+COUNTIF($E82:N82,"µ")+COUNTIF($E82:N82,1)),
HYPERLINK("#Roadmap!C"&amp; MATCH($E82,Roadmap!$D:$D,0)+COUNTIF($E82:N82,"u")+COUNTIF($E82:N82,"t"),
     INDEX(Roadmap!$D:$K,MATCH($E82,Roadmap!$D:$D,0)+COUNTIF($E82:N82,"u")+COUNTIF($E82:N82,"t")+COUNTIF($E82:N82,"¶")+COUNTIF($E82:N82,"²")+COUNTIF($E82:N82,"µ")+COUNTIF($E82:N82,1),ColTypeEcheance)),
  IF(LEN(N82)=1,
  IF(LEN(INDEX(Roadmap!$D:$K,MATCH($E82,Roadmap!$D:$D,0)-1+COUNTIF($E82:N82,"u")+COUNTIF($E82:N82,"t")+COUNTIF($E82:N82,"¶")+COUNTIF($E82:N82,"²")+COUNTIF($E82:N82,"µ")+COUNTIF($E82:N82,1),ColDescriptionCourte))&gt;1,
HYPERLINK("#Roadmap!C"&amp; MATCH($E82,Roadmap!$D:$D,0)+COUNTIF($E82:N82,"u")+COUNTIF($E82:N82,"t")+COUNTIF($E82:N82,"¶")+COUNTIF($E82:N82,"²")+COUNTIF($E82:N82,"µ")+COUNTIF($E82:N82,1)-1,INDEX(Roadmap!$D:$K,MATCH($E82,Roadmap!$D:$D,0)-1+COUNTIF($E82:N82,"u")+COUNTIF($E82:N82,"t")+COUNTIF($E82:N82,"¶")+COUNTIF($E82:N82,"²")+COUNTIF($E82:N82,"µ")+COUNTIF($E82:N82,1),ColDescriptionCourte)),""),
  "")),"")</f>
        <v/>
      </c>
      <c r="P82" s="40" t="str">
        <f ca="1">IFERROR(IF(AND(
  INDEX(Roadmap!$D:$K,MATCH($E82,Roadmap!$D:$D,0)+COUNTIF($E82:O82,"u")+COUNTIF($E82:O82,"t")+COUNTIF($E82:O82,"¶")+COUNTIF($E82:O82,"²")+COUNTIF($E82:O82,"µ")+COUNTIF($E82:O82,1),ColLivraison)=P$6,
  VLOOKUP($E82,INDIRECT("tri!"&amp; CHAR(64+ C0Col) &amp;":"&amp; CHAR(65+C0Col)),2,FALSE)&gt;COUNTIF($E82:O82,"u")+COUNTIF($E82:O82,"t")+COUNTIF($E82:O82,"¶")+COUNTIF($E82:O82,"²")+COUNTIF($E82:O82,"µ")+COUNTIF($E82:O82,1)),
HYPERLINK("#Roadmap!C"&amp; MATCH($E82,Roadmap!$D:$D,0)+COUNTIF($E82:O82,"u")+COUNTIF($E82:O82,"t"),
     INDEX(Roadmap!$D:$K,MATCH($E82,Roadmap!$D:$D,0)+COUNTIF($E82:O82,"u")+COUNTIF($E82:O82,"t")+COUNTIF($E82:O82,"¶")+COUNTIF($E82:O82,"²")+COUNTIF($E82:O82,"µ")+COUNTIF($E82:O82,1),ColTypeEcheance)),
  IF(LEN(O82)=1,
  IF(LEN(INDEX(Roadmap!$D:$K,MATCH($E82,Roadmap!$D:$D,0)-1+COUNTIF($E82:O82,"u")+COUNTIF($E82:O82,"t")+COUNTIF($E82:O82,"¶")+COUNTIF($E82:O82,"²")+COUNTIF($E82:O82,"µ")+COUNTIF($E82:O82,1),ColDescriptionCourte))&gt;1,
HYPERLINK("#Roadmap!C"&amp; MATCH($E82,Roadmap!$D:$D,0)+COUNTIF($E82:O82,"u")+COUNTIF($E82:O82,"t")+COUNTIF($E82:O82,"¶")+COUNTIF($E82:O82,"²")+COUNTIF($E82:O82,"µ")+COUNTIF($E82:O82,1)-1,INDEX(Roadmap!$D:$K,MATCH($E82,Roadmap!$D:$D,0)-1+COUNTIF($E82:O82,"u")+COUNTIF($E82:O82,"t")+COUNTIF($E82:O82,"¶")+COUNTIF($E82:O82,"²")+COUNTIF($E82:O82,"µ")+COUNTIF($E82:O82,1),ColDescriptionCourte)),""),
  "")),"")</f>
        <v/>
      </c>
      <c r="Q82" s="40" t="str">
        <f ca="1">IFERROR(IF(AND(
  INDEX(Roadmap!$D:$K,MATCH($E82,Roadmap!$D:$D,0)+COUNTIF($E82:P82,"u")+COUNTIF($E82:P82,"t")+COUNTIF($E82:P82,"¶")+COUNTIF($E82:P82,"²")+COUNTIF($E82:P82,"µ")+COUNTIF($E82:P82,1),ColLivraison)=Q$6,
  VLOOKUP($E82,INDIRECT("tri!"&amp; CHAR(64+ C0Col) &amp;":"&amp; CHAR(65+C0Col)),2,FALSE)&gt;COUNTIF($E82:P82,"u")+COUNTIF($E82:P82,"t")+COUNTIF($E82:P82,"¶")+COUNTIF($E82:P82,"²")+COUNTIF($E82:P82,"µ")+COUNTIF($E82:P82,1)),
HYPERLINK("#Roadmap!C"&amp; MATCH($E82,Roadmap!$D:$D,0)+COUNTIF($E82:P82,"u")+COUNTIF($E82:P82,"t"),
     INDEX(Roadmap!$D:$K,MATCH($E82,Roadmap!$D:$D,0)+COUNTIF($E82:P82,"u")+COUNTIF($E82:P82,"t")+COUNTIF($E82:P82,"¶")+COUNTIF($E82:P82,"²")+COUNTIF($E82:P82,"µ")+COUNTIF($E82:P82,1),ColTypeEcheance)),
  IF(LEN(P82)=1,
  IF(LEN(INDEX(Roadmap!$D:$K,MATCH($E82,Roadmap!$D:$D,0)-1+COUNTIF($E82:P82,"u")+COUNTIF($E82:P82,"t")+COUNTIF($E82:P82,"¶")+COUNTIF($E82:P82,"²")+COUNTIF($E82:P82,"µ")+COUNTIF($E82:P82,1),ColDescriptionCourte))&gt;1,
HYPERLINK("#Roadmap!C"&amp; MATCH($E82,Roadmap!$D:$D,0)+COUNTIF($E82:P82,"u")+COUNTIF($E82:P82,"t")+COUNTIF($E82:P82,"¶")+COUNTIF($E82:P82,"²")+COUNTIF($E82:P82,"µ")+COUNTIF($E82:P82,1)-1,INDEX(Roadmap!$D:$K,MATCH($E82,Roadmap!$D:$D,0)-1+COUNTIF($E82:P82,"u")+COUNTIF($E82:P82,"t")+COUNTIF($E82:P82,"¶")+COUNTIF($E82:P82,"²")+COUNTIF($E82:P82,"µ")+COUNTIF($E82:P82,1),ColDescriptionCourte)),""),
  "")),"")</f>
        <v/>
      </c>
      <c r="R82" s="40" t="str">
        <f ca="1">IFERROR(IF(AND(
  INDEX(Roadmap!$D:$K,MATCH($E82,Roadmap!$D:$D,0)+COUNTIF($E82:Q82,"u")+COUNTIF($E82:Q82,"t")+COUNTIF($E82:Q82,"¶")+COUNTIF($E82:Q82,"²")+COUNTIF($E82:Q82,"µ")+COUNTIF($E82:Q82,1),ColLivraison)=R$6,
  VLOOKUP($E82,INDIRECT("tri!"&amp; CHAR(64+ C0Col) &amp;":"&amp; CHAR(65+C0Col)),2,FALSE)&gt;COUNTIF($E82:Q82,"u")+COUNTIF($E82:Q82,"t")+COUNTIF($E82:Q82,"¶")+COUNTIF($E82:Q82,"²")+COUNTIF($E82:Q82,"µ")+COUNTIF($E82:Q82,1)),
HYPERLINK("#Roadmap!C"&amp; MATCH($E82,Roadmap!$D:$D,0)+COUNTIF($E82:Q82,"u")+COUNTIF($E82:Q82,"t"),
     INDEX(Roadmap!$D:$K,MATCH($E82,Roadmap!$D:$D,0)+COUNTIF($E82:Q82,"u")+COUNTIF($E82:Q82,"t")+COUNTIF($E82:Q82,"¶")+COUNTIF($E82:Q82,"²")+COUNTIF($E82:Q82,"µ")+COUNTIF($E82:Q82,1),ColTypeEcheance)),
  IF(LEN(Q82)=1,
  IF(LEN(INDEX(Roadmap!$D:$K,MATCH($E82,Roadmap!$D:$D,0)-1+COUNTIF($E82:Q82,"u")+COUNTIF($E82:Q82,"t")+COUNTIF($E82:Q82,"¶")+COUNTIF($E82:Q82,"²")+COUNTIF($E82:Q82,"µ")+COUNTIF($E82:Q82,1),ColDescriptionCourte))&gt;1,
HYPERLINK("#Roadmap!C"&amp; MATCH($E82,Roadmap!$D:$D,0)+COUNTIF($E82:Q82,"u")+COUNTIF($E82:Q82,"t")+COUNTIF($E82:Q82,"¶")+COUNTIF($E82:Q82,"²")+COUNTIF($E82:Q82,"µ")+COUNTIF($E82:Q82,1)-1,INDEX(Roadmap!$D:$K,MATCH($E82,Roadmap!$D:$D,0)-1+COUNTIF($E82:Q82,"u")+COUNTIF($E82:Q82,"t")+COUNTIF($E82:Q82,"¶")+COUNTIF($E82:Q82,"²")+COUNTIF($E82:Q82,"µ")+COUNTIF($E82:Q82,1),ColDescriptionCourte)),""),
  "")),"")</f>
        <v/>
      </c>
      <c r="S82" s="40" t="str">
        <f ca="1">IFERROR(IF(AND(
  INDEX(Roadmap!$D:$K,MATCH($E82,Roadmap!$D:$D,0)+COUNTIF($E82:R82,"u")+COUNTIF($E82:R82,"t")+COUNTIF($E82:R82,"¶")+COUNTIF($E82:R82,"²")+COUNTIF($E82:R82,"µ")+COUNTIF($E82:R82,1),ColLivraison)=S$6,
  VLOOKUP($E82,INDIRECT("tri!"&amp; CHAR(64+ C0Col) &amp;":"&amp; CHAR(65+C0Col)),2,FALSE)&gt;COUNTIF($E82:R82,"u")+COUNTIF($E82:R82,"t")+COUNTIF($E82:R82,"¶")+COUNTIF($E82:R82,"²")+COUNTIF($E82:R82,"µ")+COUNTIF($E82:R82,1)),
HYPERLINK("#Roadmap!C"&amp; MATCH($E82,Roadmap!$D:$D,0)+COUNTIF($E82:R82,"u")+COUNTIF($E82:R82,"t"),
     INDEX(Roadmap!$D:$K,MATCH($E82,Roadmap!$D:$D,0)+COUNTIF($E82:R82,"u")+COUNTIF($E82:R82,"t")+COUNTIF($E82:R82,"¶")+COUNTIF($E82:R82,"²")+COUNTIF($E82:R82,"µ")+COUNTIF($E82:R82,1),ColTypeEcheance)),
  IF(LEN(R82)=1,
  IF(LEN(INDEX(Roadmap!$D:$K,MATCH($E82,Roadmap!$D:$D,0)-1+COUNTIF($E82:R82,"u")+COUNTIF($E82:R82,"t")+COUNTIF($E82:R82,"¶")+COUNTIF($E82:R82,"²")+COUNTIF($E82:R82,"µ")+COUNTIF($E82:R82,1),ColDescriptionCourte))&gt;1,
HYPERLINK("#Roadmap!C"&amp; MATCH($E82,Roadmap!$D:$D,0)+COUNTIF($E82:R82,"u")+COUNTIF($E82:R82,"t")+COUNTIF($E82:R82,"¶")+COUNTIF($E82:R82,"²")+COUNTIF($E82:R82,"µ")+COUNTIF($E82:R82,1)-1,INDEX(Roadmap!$D:$K,MATCH($E82,Roadmap!$D:$D,0)-1+COUNTIF($E82:R82,"u")+COUNTIF($E82:R82,"t")+COUNTIF($E82:R82,"¶")+COUNTIF($E82:R82,"²")+COUNTIF($E82:R82,"µ")+COUNTIF($E82:R82,1),ColDescriptionCourte)),""),
  "")),"")</f>
        <v/>
      </c>
      <c r="T82" s="40" t="str">
        <f ca="1">IFERROR(IF(AND(
  INDEX(Roadmap!$D:$K,MATCH($E82,Roadmap!$D:$D,0)+COUNTIF($E82:S82,"u")+COUNTIF($E82:S82,"t")+COUNTIF($E82:S82,"¶")+COUNTIF($E82:S82,"²")+COUNTIF($E82:S82,"µ")+COUNTIF($E82:S82,1),ColLivraison)=T$6,
  VLOOKUP($E82,INDIRECT("tri!"&amp; CHAR(64+ C0Col) &amp;":"&amp; CHAR(65+C0Col)),2,FALSE)&gt;COUNTIF($E82:S82,"u")+COUNTIF($E82:S82,"t")+COUNTIF($E82:S82,"¶")+COUNTIF($E82:S82,"²")+COUNTIF($E82:S82,"µ")+COUNTIF($E82:S82,1)),
HYPERLINK("#Roadmap!C"&amp; MATCH($E82,Roadmap!$D:$D,0)+COUNTIF($E82:S82,"u")+COUNTIF($E82:S82,"t"),
     INDEX(Roadmap!$D:$K,MATCH($E82,Roadmap!$D:$D,0)+COUNTIF($E82:S82,"u")+COUNTIF($E82:S82,"t")+COUNTIF($E82:S82,"¶")+COUNTIF($E82:S82,"²")+COUNTIF($E82:S82,"µ")+COUNTIF($E82:S82,1),ColTypeEcheance)),
  IF(LEN(S82)=1,
  IF(LEN(INDEX(Roadmap!$D:$K,MATCH($E82,Roadmap!$D:$D,0)-1+COUNTIF($E82:S82,"u")+COUNTIF($E82:S82,"t")+COUNTIF($E82:S82,"¶")+COUNTIF($E82:S82,"²")+COUNTIF($E82:S82,"µ")+COUNTIF($E82:S82,1),ColDescriptionCourte))&gt;1,
HYPERLINK("#Roadmap!C"&amp; MATCH($E82,Roadmap!$D:$D,0)+COUNTIF($E82:S82,"u")+COUNTIF($E82:S82,"t")+COUNTIF($E82:S82,"¶")+COUNTIF($E82:S82,"²")+COUNTIF($E82:S82,"µ")+COUNTIF($E82:S82,1)-1,INDEX(Roadmap!$D:$K,MATCH($E82,Roadmap!$D:$D,0)-1+COUNTIF($E82:S82,"u")+COUNTIF($E82:S82,"t")+COUNTIF($E82:S82,"¶")+COUNTIF($E82:S82,"²")+COUNTIF($E82:S82,"µ")+COUNTIF($E82:S82,1),ColDescriptionCourte)),""),
  "")),"")</f>
        <v/>
      </c>
      <c r="U82" s="40" t="str">
        <f ca="1">IFERROR(IF(AND(
  INDEX(Roadmap!$D:$K,MATCH($E82,Roadmap!$D:$D,0)+COUNTIF($E82:T82,"u")+COUNTIF($E82:T82,"t")+COUNTIF($E82:T82,"¶")+COUNTIF($E82:T82,"²")+COUNTIF($E82:T82,"µ")+COUNTIF($E82:T82,1),ColLivraison)=U$6,
  VLOOKUP($E82,INDIRECT("tri!"&amp; CHAR(64+ C0Col) &amp;":"&amp; CHAR(65+C0Col)),2,FALSE)&gt;COUNTIF($E82:T82,"u")+COUNTIF($E82:T82,"t")+COUNTIF($E82:T82,"¶")+COUNTIF($E82:T82,"²")+COUNTIF($E82:T82,"µ")+COUNTIF($E82:T82,1)),
HYPERLINK("#Roadmap!C"&amp; MATCH($E82,Roadmap!$D:$D,0)+COUNTIF($E82:T82,"u")+COUNTIF($E82:T82,"t"),
     INDEX(Roadmap!$D:$K,MATCH($E82,Roadmap!$D:$D,0)+COUNTIF($E82:T82,"u")+COUNTIF($E82:T82,"t")+COUNTIF($E82:T82,"¶")+COUNTIF($E82:T82,"²")+COUNTIF($E82:T82,"µ")+COUNTIF($E82:T82,1),ColTypeEcheance)),
  IF(LEN(T82)=1,
  IF(LEN(INDEX(Roadmap!$D:$K,MATCH($E82,Roadmap!$D:$D,0)-1+COUNTIF($E82:T82,"u")+COUNTIF($E82:T82,"t")+COUNTIF($E82:T82,"¶")+COUNTIF($E82:T82,"²")+COUNTIF($E82:T82,"µ")+COUNTIF($E82:T82,1),ColDescriptionCourte))&gt;1,
HYPERLINK("#Roadmap!C"&amp; MATCH($E82,Roadmap!$D:$D,0)+COUNTIF($E82:T82,"u")+COUNTIF($E82:T82,"t")+COUNTIF($E82:T82,"¶")+COUNTIF($E82:T82,"²")+COUNTIF($E82:T82,"µ")+COUNTIF($E82:T82,1)-1,INDEX(Roadmap!$D:$K,MATCH($E82,Roadmap!$D:$D,0)-1+COUNTIF($E82:T82,"u")+COUNTIF($E82:T82,"t")+COUNTIF($E82:T82,"¶")+COUNTIF($E82:T82,"²")+COUNTIF($E82:T82,"µ")+COUNTIF($E82:T82,1),ColDescriptionCourte)),""),
  "")),"")</f>
        <v/>
      </c>
      <c r="V82" s="40" t="str">
        <f ca="1">IFERROR(IF(AND(
  INDEX(Roadmap!$D:$K,MATCH($E82,Roadmap!$D:$D,0)+COUNTIF($E82:U82,"u")+COUNTIF($E82:U82,"t")+COUNTIF($E82:U82,"¶")+COUNTIF($E82:U82,"²")+COUNTIF($E82:U82,"µ")+COUNTIF($E82:U82,1),ColLivraison)=V$6,
  VLOOKUP($E82,INDIRECT("tri!"&amp; CHAR(64+ C0Col) &amp;":"&amp; CHAR(65+C0Col)),2,FALSE)&gt;COUNTIF($E82:U82,"u")+COUNTIF($E82:U82,"t")+COUNTIF($E82:U82,"¶")+COUNTIF($E82:U82,"²")+COUNTIF($E82:U82,"µ")+COUNTIF($E82:U82,1)),
HYPERLINK("#Roadmap!C"&amp; MATCH($E82,Roadmap!$D:$D,0)+COUNTIF($E82:U82,"u")+COUNTIF($E82:U82,"t"),
     INDEX(Roadmap!$D:$K,MATCH($E82,Roadmap!$D:$D,0)+COUNTIF($E82:U82,"u")+COUNTIF($E82:U82,"t")+COUNTIF($E82:U82,"¶")+COUNTIF($E82:U82,"²")+COUNTIF($E82:U82,"µ")+COUNTIF($E82:U82,1),ColTypeEcheance)),
  IF(LEN(U82)=1,
  IF(LEN(INDEX(Roadmap!$D:$K,MATCH($E82,Roadmap!$D:$D,0)-1+COUNTIF($E82:U82,"u")+COUNTIF($E82:U82,"t")+COUNTIF($E82:U82,"¶")+COUNTIF($E82:U82,"²")+COUNTIF($E82:U82,"µ")+COUNTIF($E82:U82,1),ColDescriptionCourte))&gt;1,
HYPERLINK("#Roadmap!C"&amp; MATCH($E82,Roadmap!$D:$D,0)+COUNTIF($E82:U82,"u")+COUNTIF($E82:U82,"t")+COUNTIF($E82:U82,"¶")+COUNTIF($E82:U82,"²")+COUNTIF($E82:U82,"µ")+COUNTIF($E82:U82,1)-1,INDEX(Roadmap!$D:$K,MATCH($E82,Roadmap!$D:$D,0)-1+COUNTIF($E82:U82,"u")+COUNTIF($E82:U82,"t")+COUNTIF($E82:U82,"¶")+COUNTIF($E82:U82,"²")+COUNTIF($E82:U82,"µ")+COUNTIF($E82:U82,1),ColDescriptionCourte)),""),
  "")),"")</f>
        <v/>
      </c>
      <c r="W82" s="40" t="str">
        <f ca="1">IFERROR(IF(AND(
  INDEX(Roadmap!$D:$K,MATCH($E82,Roadmap!$D:$D,0)+COUNTIF($E82:V82,"u")+COUNTIF($E82:V82,"t")+COUNTIF($E82:V82,"¶")+COUNTIF($E82:V82,"²")+COUNTIF($E82:V82,"µ")+COUNTIF($E82:V82,1),ColLivraison)=W$6,
  VLOOKUP($E82,INDIRECT("tri!"&amp; CHAR(64+ C0Col) &amp;":"&amp; CHAR(65+C0Col)),2,FALSE)&gt;COUNTIF($E82:V82,"u")+COUNTIF($E82:V82,"t")+COUNTIF($E82:V82,"¶")+COUNTIF($E82:V82,"²")+COUNTIF($E82:V82,"µ")+COUNTIF($E82:V82,1)),
HYPERLINK("#Roadmap!C"&amp; MATCH($E82,Roadmap!$D:$D,0)+COUNTIF($E82:V82,"u")+COUNTIF($E82:V82,"t"),
     INDEX(Roadmap!$D:$K,MATCH($E82,Roadmap!$D:$D,0)+COUNTIF($E82:V82,"u")+COUNTIF($E82:V82,"t")+COUNTIF($E82:V82,"¶")+COUNTIF($E82:V82,"²")+COUNTIF($E82:V82,"µ")+COUNTIF($E82:V82,1),ColTypeEcheance)),
  IF(LEN(V82)=1,
  IF(LEN(INDEX(Roadmap!$D:$K,MATCH($E82,Roadmap!$D:$D,0)-1+COUNTIF($E82:V82,"u")+COUNTIF($E82:V82,"t")+COUNTIF($E82:V82,"¶")+COUNTIF($E82:V82,"²")+COUNTIF($E82:V82,"µ")+COUNTIF($E82:V82,1),ColDescriptionCourte))&gt;1,
HYPERLINK("#Roadmap!C"&amp; MATCH($E82,Roadmap!$D:$D,0)+COUNTIF($E82:V82,"u")+COUNTIF($E82:V82,"t")+COUNTIF($E82:V82,"¶")+COUNTIF($E82:V82,"²")+COUNTIF($E82:V82,"µ")+COUNTIF($E82:V82,1)-1,INDEX(Roadmap!$D:$K,MATCH($E82,Roadmap!$D:$D,0)-1+COUNTIF($E82:V82,"u")+COUNTIF($E82:V82,"t")+COUNTIF($E82:V82,"¶")+COUNTIF($E82:V82,"²")+COUNTIF($E82:V82,"µ")+COUNTIF($E82:V82,1),ColDescriptionCourte)),""),
  "")),"")</f>
        <v/>
      </c>
      <c r="X82" s="40" t="str">
        <f ca="1">IFERROR(IF(AND(
  INDEX(Roadmap!$D:$K,MATCH($E82,Roadmap!$D:$D,0)+COUNTIF($E82:W82,"u")+COUNTIF($E82:W82,"t")+COUNTIF($E82:W82,"¶")+COUNTIF($E82:W82,"²")+COUNTIF($E82:W82,"µ")+COUNTIF($E82:W82,1),ColLivraison)=X$6,
  VLOOKUP($E82,INDIRECT("tri!"&amp; CHAR(64+ C0Col) &amp;":"&amp; CHAR(65+C0Col)),2,FALSE)&gt;COUNTIF($E82:W82,"u")+COUNTIF($E82:W82,"t")+COUNTIF($E82:W82,"¶")+COUNTIF($E82:W82,"²")+COUNTIF($E82:W82,"µ")+COUNTIF($E82:W82,1)),
HYPERLINK("#Roadmap!C"&amp; MATCH($E82,Roadmap!$D:$D,0)+COUNTIF($E82:W82,"u")+COUNTIF($E82:W82,"t"),
     INDEX(Roadmap!$D:$K,MATCH($E82,Roadmap!$D:$D,0)+COUNTIF($E82:W82,"u")+COUNTIF($E82:W82,"t")+COUNTIF($E82:W82,"¶")+COUNTIF($E82:W82,"²")+COUNTIF($E82:W82,"µ")+COUNTIF($E82:W82,1),ColTypeEcheance)),
  IF(LEN(W82)=1,
  IF(LEN(INDEX(Roadmap!$D:$K,MATCH($E82,Roadmap!$D:$D,0)-1+COUNTIF($E82:W82,"u")+COUNTIF($E82:W82,"t")+COUNTIF($E82:W82,"¶")+COUNTIF($E82:W82,"²")+COUNTIF($E82:W82,"µ")+COUNTIF($E82:W82,1),ColDescriptionCourte))&gt;1,
HYPERLINK("#Roadmap!C"&amp; MATCH($E82,Roadmap!$D:$D,0)+COUNTIF($E82:W82,"u")+COUNTIF($E82:W82,"t")+COUNTIF($E82:W82,"¶")+COUNTIF($E82:W82,"²")+COUNTIF($E82:W82,"µ")+COUNTIF($E82:W82,1)-1,INDEX(Roadmap!$D:$K,MATCH($E82,Roadmap!$D:$D,0)-1+COUNTIF($E82:W82,"u")+COUNTIF($E82:W82,"t")+COUNTIF($E82:W82,"¶")+COUNTIF($E82:W82,"²")+COUNTIF($E82:W82,"µ")+COUNTIF($E82:W82,1),ColDescriptionCourte)),""),
  "")),"")</f>
        <v/>
      </c>
      <c r="Y82" s="40" t="str">
        <f ca="1">IFERROR(IF(AND(
  INDEX(Roadmap!$D:$K,MATCH($E82,Roadmap!$D:$D,0)+COUNTIF($E82:X82,"u")+COUNTIF($E82:X82,"t")+COUNTIF($E82:X82,"¶")+COUNTIF($E82:X82,"²")+COUNTIF($E82:X82,"µ")+COUNTIF($E82:X82,1),ColLivraison)=Y$6,
  VLOOKUP($E82,INDIRECT("tri!"&amp; CHAR(64+ C0Col) &amp;":"&amp; CHAR(65+C0Col)),2,FALSE)&gt;COUNTIF($E82:X82,"u")+COUNTIF($E82:X82,"t")+COUNTIF($E82:X82,"¶")+COUNTIF($E82:X82,"²")+COUNTIF($E82:X82,"µ")+COUNTIF($E82:X82,1)),
HYPERLINK("#Roadmap!C"&amp; MATCH($E82,Roadmap!$D:$D,0)+COUNTIF($E82:X82,"u")+COUNTIF($E82:X82,"t"),
     INDEX(Roadmap!$D:$K,MATCH($E82,Roadmap!$D:$D,0)+COUNTIF($E82:X82,"u")+COUNTIF($E82:X82,"t")+COUNTIF($E82:X82,"¶")+COUNTIF($E82:X82,"²")+COUNTIF($E82:X82,"µ")+COUNTIF($E82:X82,1),ColTypeEcheance)),
  IF(LEN(X82)=1,
  IF(LEN(INDEX(Roadmap!$D:$K,MATCH($E82,Roadmap!$D:$D,0)-1+COUNTIF($E82:X82,"u")+COUNTIF($E82:X82,"t")+COUNTIF($E82:X82,"¶")+COUNTIF($E82:X82,"²")+COUNTIF($E82:X82,"µ")+COUNTIF($E82:X82,1),ColDescriptionCourte))&gt;1,
HYPERLINK("#Roadmap!C"&amp; MATCH($E82,Roadmap!$D:$D,0)+COUNTIF($E82:X82,"u")+COUNTIF($E82:X82,"t")+COUNTIF($E82:X82,"¶")+COUNTIF($E82:X82,"²")+COUNTIF($E82:X82,"µ")+COUNTIF($E82:X82,1)-1,INDEX(Roadmap!$D:$K,MATCH($E82,Roadmap!$D:$D,0)-1+COUNTIF($E82:X82,"u")+COUNTIF($E82:X82,"t")+COUNTIF($E82:X82,"¶")+COUNTIF($E82:X82,"²")+COUNTIF($E82:X82,"µ")+COUNTIF($E82:X82,1),ColDescriptionCourte)),""),
  "")),"")</f>
        <v/>
      </c>
      <c r="Z82" s="40" t="str">
        <f ca="1">IFERROR(IF(AND(
  INDEX(Roadmap!$D:$K,MATCH($E82,Roadmap!$D:$D,0)+COUNTIF($E82:Y82,"u")+COUNTIF($E82:Y82,"t")+COUNTIF($E82:Y82,"¶")+COUNTIF($E82:Y82,"²")+COUNTIF($E82:Y82,"µ")+COUNTIF($E82:Y82,1),ColLivraison)=Z$6,
  VLOOKUP($E82,INDIRECT("tri!"&amp; CHAR(64+ C0Col) &amp;":"&amp; CHAR(65+C0Col)),2,FALSE)&gt;COUNTIF($E82:Y82,"u")+COUNTIF($E82:Y82,"t")+COUNTIF($E82:Y82,"¶")+COUNTIF($E82:Y82,"²")+COUNTIF($E82:Y82,"µ")+COUNTIF($E82:Y82,1)),
HYPERLINK("#Roadmap!C"&amp; MATCH($E82,Roadmap!$D:$D,0)+COUNTIF($E82:Y82,"u")+COUNTIF($E82:Y82,"t"),
     INDEX(Roadmap!$D:$K,MATCH($E82,Roadmap!$D:$D,0)+COUNTIF($E82:Y82,"u")+COUNTIF($E82:Y82,"t")+COUNTIF($E82:Y82,"¶")+COUNTIF($E82:Y82,"²")+COUNTIF($E82:Y82,"µ")+COUNTIF($E82:Y82,1),ColTypeEcheance)),
  IF(LEN(Y82)=1,
  IF(LEN(INDEX(Roadmap!$D:$K,MATCH($E82,Roadmap!$D:$D,0)-1+COUNTIF($E82:Y82,"u")+COUNTIF($E82:Y82,"t")+COUNTIF($E82:Y82,"¶")+COUNTIF($E82:Y82,"²")+COUNTIF($E82:Y82,"µ")+COUNTIF($E82:Y82,1),ColDescriptionCourte))&gt;1,
HYPERLINK("#Roadmap!C"&amp; MATCH($E82,Roadmap!$D:$D,0)+COUNTIF($E82:Y82,"u")+COUNTIF($E82:Y82,"t")+COUNTIF($E82:Y82,"¶")+COUNTIF($E82:Y82,"²")+COUNTIF($E82:Y82,"µ")+COUNTIF($E82:Y82,1)-1,INDEX(Roadmap!$D:$K,MATCH($E82,Roadmap!$D:$D,0)-1+COUNTIF($E82:Y82,"u")+COUNTIF($E82:Y82,"t")+COUNTIF($E82:Y82,"¶")+COUNTIF($E82:Y82,"²")+COUNTIF($E82:Y82,"µ")+COUNTIF($E82:Y82,1),ColDescriptionCourte)),""),
  "")),"")</f>
        <v/>
      </c>
      <c r="AA82" s="40" t="str">
        <f ca="1">IFERROR(IF(AND(
  INDEX(Roadmap!$D:$K,MATCH($E82,Roadmap!$D:$D,0)+COUNTIF($E82:Z82,"u")+COUNTIF($E82:Z82,"t")+COUNTIF($E82:Z82,"¶")+COUNTIF($E82:Z82,"²")+COUNTIF($E82:Z82,"µ")+COUNTIF($E82:Z82,1),ColLivraison)=AA$6,
  VLOOKUP($E82,INDIRECT("tri!"&amp; CHAR(64+ C0Col) &amp;":"&amp; CHAR(65+C0Col)),2,FALSE)&gt;COUNTIF($E82:Z82,"u")+COUNTIF($E82:Z82,"t")+COUNTIF($E82:Z82,"¶")+COUNTIF($E82:Z82,"²")+COUNTIF($E82:Z82,"µ")+COUNTIF($E82:Z82,1)),
HYPERLINK("#Roadmap!C"&amp; MATCH($E82,Roadmap!$D:$D,0)+COUNTIF($E82:Z82,"u")+COUNTIF($E82:Z82,"t"),
     INDEX(Roadmap!$D:$K,MATCH($E82,Roadmap!$D:$D,0)+COUNTIF($E82:Z82,"u")+COUNTIF($E82:Z82,"t")+COUNTIF($E82:Z82,"¶")+COUNTIF($E82:Z82,"²")+COUNTIF($E82:Z82,"µ")+COUNTIF($E82:Z82,1),ColTypeEcheance)),
  IF(LEN(Z82)=1,
  IF(LEN(INDEX(Roadmap!$D:$K,MATCH($E82,Roadmap!$D:$D,0)-1+COUNTIF($E82:Z82,"u")+COUNTIF($E82:Z82,"t")+COUNTIF($E82:Z82,"¶")+COUNTIF($E82:Z82,"²")+COUNTIF($E82:Z82,"µ")+COUNTIF($E82:Z82,1),ColDescriptionCourte))&gt;1,
HYPERLINK("#Roadmap!C"&amp; MATCH($E82,Roadmap!$D:$D,0)+COUNTIF($E82:Z82,"u")+COUNTIF($E82:Z82,"t")+COUNTIF($E82:Z82,"¶")+COUNTIF($E82:Z82,"²")+COUNTIF($E82:Z82,"µ")+COUNTIF($E82:Z82,1)-1,INDEX(Roadmap!$D:$K,MATCH($E82,Roadmap!$D:$D,0)-1+COUNTIF($E82:Z82,"u")+COUNTIF($E82:Z82,"t")+COUNTIF($E82:Z82,"¶")+COUNTIF($E82:Z82,"²")+COUNTIF($E82:Z82,"µ")+COUNTIF($E82:Z82,1),ColDescriptionCourte)),""),
  "")),"")</f>
        <v/>
      </c>
      <c r="AB82" s="40" t="str">
        <f ca="1">IFERROR(IF(AND(
  INDEX(Roadmap!$D:$K,MATCH($E82,Roadmap!$D:$D,0)+COUNTIF($E82:AA82,"u")+COUNTIF($E82:AA82,"t")+COUNTIF($E82:AA82,"¶")+COUNTIF($E82:AA82,"²")+COUNTIF($E82:AA82,"µ")+COUNTIF($E82:AA82,1),ColLivraison)=AB$6,
  VLOOKUP($E82,INDIRECT("tri!"&amp; CHAR(64+ C0Col) &amp;":"&amp; CHAR(65+C0Col)),2,FALSE)&gt;COUNTIF($E82:AA82,"u")+COUNTIF($E82:AA82,"t")+COUNTIF($E82:AA82,"¶")+COUNTIF($E82:AA82,"²")+COUNTIF($E82:AA82,"µ")+COUNTIF($E82:AA82,1)),
HYPERLINK("#Roadmap!C"&amp; MATCH($E82,Roadmap!$D:$D,0)+COUNTIF($E82:AA82,"u")+COUNTIF($E82:AA82,"t"),
     INDEX(Roadmap!$D:$K,MATCH($E82,Roadmap!$D:$D,0)+COUNTIF($E82:AA82,"u")+COUNTIF($E82:AA82,"t")+COUNTIF($E82:AA82,"¶")+COUNTIF($E82:AA82,"²")+COUNTIF($E82:AA82,"µ")+COUNTIF($E82:AA82,1),ColTypeEcheance)),
  IF(LEN(AA82)=1,
  IF(LEN(INDEX(Roadmap!$D:$K,MATCH($E82,Roadmap!$D:$D,0)-1+COUNTIF($E82:AA82,"u")+COUNTIF($E82:AA82,"t")+COUNTIF($E82:AA82,"¶")+COUNTIF($E82:AA82,"²")+COUNTIF($E82:AA82,"µ")+COUNTIF($E82:AA82,1),ColDescriptionCourte))&gt;1,
HYPERLINK("#Roadmap!C"&amp; MATCH($E82,Roadmap!$D:$D,0)+COUNTIF($E82:AA82,"u")+COUNTIF($E82:AA82,"t")+COUNTIF($E82:AA82,"¶")+COUNTIF($E82:AA82,"²")+COUNTIF($E82:AA82,"µ")+COUNTIF($E82:AA82,1)-1,INDEX(Roadmap!$D:$K,MATCH($E82,Roadmap!$D:$D,0)-1+COUNTIF($E82:AA82,"u")+COUNTIF($E82:AA82,"t")+COUNTIF($E82:AA82,"¶")+COUNTIF($E82:AA82,"²")+COUNTIF($E82:AA82,"µ")+COUNTIF($E82:AA82,1),ColDescriptionCourte)),""),
  "")),"")</f>
        <v/>
      </c>
      <c r="AC82" s="40" t="str">
        <f ca="1">IFERROR(IF(AND(
  INDEX(Roadmap!$D:$K,MATCH($E82,Roadmap!$D:$D,0)+COUNTIF($E82:AB82,"u")+COUNTIF($E82:AB82,"t")+COUNTIF($E82:AB82,"¶")+COUNTIF($E82:AB82,"²")+COUNTIF($E82:AB82,"µ")+COUNTIF($E82:AB82,1),ColLivraison)=AC$6,
  VLOOKUP($E82,INDIRECT("tri!"&amp; CHAR(64+ C0Col) &amp;":"&amp; CHAR(65+C0Col)),2,FALSE)&gt;COUNTIF($E82:AB82,"u")+COUNTIF($E82:AB82,"t")+COUNTIF($E82:AB82,"¶")+COUNTIF($E82:AB82,"²")+COUNTIF($E82:AB82,"µ")+COUNTIF($E82:AB82,1)),
HYPERLINK("#Roadmap!C"&amp; MATCH($E82,Roadmap!$D:$D,0)+COUNTIF($E82:AB82,"u")+COUNTIF($E82:AB82,"t"),
     INDEX(Roadmap!$D:$K,MATCH($E82,Roadmap!$D:$D,0)+COUNTIF($E82:AB82,"u")+COUNTIF($E82:AB82,"t")+COUNTIF($E82:AB82,"¶")+COUNTIF($E82:AB82,"²")+COUNTIF($E82:AB82,"µ")+COUNTIF($E82:AB82,1),ColTypeEcheance)),
  IF(LEN(AB82)=1,
  IF(LEN(INDEX(Roadmap!$D:$K,MATCH($E82,Roadmap!$D:$D,0)-1+COUNTIF($E82:AB82,"u")+COUNTIF($E82:AB82,"t")+COUNTIF($E82:AB82,"¶")+COUNTIF($E82:AB82,"²")+COUNTIF($E82:AB82,"µ")+COUNTIF($E82:AB82,1),ColDescriptionCourte))&gt;1,
HYPERLINK("#Roadmap!C"&amp; MATCH($E82,Roadmap!$D:$D,0)+COUNTIF($E82:AB82,"u")+COUNTIF($E82:AB82,"t")+COUNTIF($E82:AB82,"¶")+COUNTIF($E82:AB82,"²")+COUNTIF($E82:AB82,"µ")+COUNTIF($E82:AB82,1)-1,INDEX(Roadmap!$D:$K,MATCH($E82,Roadmap!$D:$D,0)-1+COUNTIF($E82:AB82,"u")+COUNTIF($E82:AB82,"t")+COUNTIF($E82:AB82,"¶")+COUNTIF($E82:AB82,"²")+COUNTIF($E82:AB82,"µ")+COUNTIF($E82:AB82,1),ColDescriptionCourte)),""),
  "")),"")</f>
        <v/>
      </c>
      <c r="AD82" s="40" t="str">
        <f ca="1">IFERROR(IF(AND(
  INDEX(Roadmap!$D:$K,MATCH($E82,Roadmap!$D:$D,0)+COUNTIF($E82:AC82,"u")+COUNTIF($E82:AC82,"t")+COUNTIF($E82:AC82,"¶")+COUNTIF($E82:AC82,"²")+COUNTIF($E82:AC82,"µ")+COUNTIF($E82:AC82,1),ColLivraison)=AD$6,
  VLOOKUP($E82,INDIRECT("tri!"&amp; CHAR(64+ C0Col) &amp;":"&amp; CHAR(65+C0Col)),2,FALSE)&gt;COUNTIF($E82:AC82,"u")+COUNTIF($E82:AC82,"t")+COUNTIF($E82:AC82,"¶")+COUNTIF($E82:AC82,"²")+COUNTIF($E82:AC82,"µ")+COUNTIF($E82:AC82,1)),
HYPERLINK("#Roadmap!C"&amp; MATCH($E82,Roadmap!$D:$D,0)+COUNTIF($E82:AC82,"u")+COUNTIF($E82:AC82,"t"),
     INDEX(Roadmap!$D:$K,MATCH($E82,Roadmap!$D:$D,0)+COUNTIF($E82:AC82,"u")+COUNTIF($E82:AC82,"t")+COUNTIF($E82:AC82,"¶")+COUNTIF($E82:AC82,"²")+COUNTIF($E82:AC82,"µ")+COUNTIF($E82:AC82,1),ColTypeEcheance)),
  IF(LEN(AC82)=1,
  IF(LEN(INDEX(Roadmap!$D:$K,MATCH($E82,Roadmap!$D:$D,0)-1+COUNTIF($E82:AC82,"u")+COUNTIF($E82:AC82,"t")+COUNTIF($E82:AC82,"¶")+COUNTIF($E82:AC82,"²")+COUNTIF($E82:AC82,"µ")+COUNTIF($E82:AC82,1),ColDescriptionCourte))&gt;1,
HYPERLINK("#Roadmap!C"&amp; MATCH($E82,Roadmap!$D:$D,0)+COUNTIF($E82:AC82,"u")+COUNTIF($E82:AC82,"t")+COUNTIF($E82:AC82,"¶")+COUNTIF($E82:AC82,"²")+COUNTIF($E82:AC82,"µ")+COUNTIF($E82:AC82,1)-1,INDEX(Roadmap!$D:$K,MATCH($E82,Roadmap!$D:$D,0)-1+COUNTIF($E82:AC82,"u")+COUNTIF($E82:AC82,"t")+COUNTIF($E82:AC82,"¶")+COUNTIF($E82:AC82,"²")+COUNTIF($E82:AC82,"µ")+COUNTIF($E82:AC82,1),ColDescriptionCourte)),""),
  "")),"")</f>
        <v/>
      </c>
      <c r="AE82" s="40" t="str">
        <f ca="1">IFERROR(IF(AND(
  INDEX(Roadmap!$D:$K,MATCH($E82,Roadmap!$D:$D,0)+COUNTIF($E82:AD82,"u")+COUNTIF($E82:AD82,"t")+COUNTIF($E82:AD82,"¶")+COUNTIF($E82:AD82,"²")+COUNTIF($E82:AD82,"µ")+COUNTIF($E82:AD82,1),ColLivraison)=AE$6,
  VLOOKUP($E82,INDIRECT("tri!"&amp; CHAR(64+ C0Col) &amp;":"&amp; CHAR(65+C0Col)),2,FALSE)&gt;COUNTIF($E82:AD82,"u")+COUNTIF($E82:AD82,"t")+COUNTIF($E82:AD82,"¶")+COUNTIF($E82:AD82,"²")+COUNTIF($E82:AD82,"µ")+COUNTIF($E82:AD82,1)),
HYPERLINK("#Roadmap!C"&amp; MATCH($E82,Roadmap!$D:$D,0)+COUNTIF($E82:AD82,"u")+COUNTIF($E82:AD82,"t"),
     INDEX(Roadmap!$D:$K,MATCH($E82,Roadmap!$D:$D,0)+COUNTIF($E82:AD82,"u")+COUNTIF($E82:AD82,"t")+COUNTIF($E82:AD82,"¶")+COUNTIF($E82:AD82,"²")+COUNTIF($E82:AD82,"µ")+COUNTIF($E82:AD82,1),ColTypeEcheance)),
  IF(LEN(AD82)=1,
  IF(LEN(INDEX(Roadmap!$D:$K,MATCH($E82,Roadmap!$D:$D,0)-1+COUNTIF($E82:AD82,"u")+COUNTIF($E82:AD82,"t")+COUNTIF($E82:AD82,"¶")+COUNTIF($E82:AD82,"²")+COUNTIF($E82:AD82,"µ")+COUNTIF($E82:AD82,1),ColDescriptionCourte))&gt;1,
HYPERLINK("#Roadmap!C"&amp; MATCH($E82,Roadmap!$D:$D,0)+COUNTIF($E82:AD82,"u")+COUNTIF($E82:AD82,"t")+COUNTIF($E82:AD82,"¶")+COUNTIF($E82:AD82,"²")+COUNTIF($E82:AD82,"µ")+COUNTIF($E82:AD82,1)-1,INDEX(Roadmap!$D:$K,MATCH($E82,Roadmap!$D:$D,0)-1+COUNTIF($E82:AD82,"u")+COUNTIF($E82:AD82,"t")+COUNTIF($E82:AD82,"¶")+COUNTIF($E82:AD82,"²")+COUNTIF($E82:AD82,"µ")+COUNTIF($E82:AD82,1),ColDescriptionCourte)),""),
  "")),"")</f>
        <v/>
      </c>
      <c r="AF82" s="40" t="str">
        <f ca="1">IFERROR(IF(AND(
  INDEX(Roadmap!$D:$K,MATCH($E82,Roadmap!$D:$D,0)+COUNTIF($E82:AE82,"u")+COUNTIF($E82:AE82,"t")+COUNTIF($E82:AE82,"¶")+COUNTIF($E82:AE82,"²")+COUNTIF($E82:AE82,"µ")+COUNTIF($E82:AE82,1),ColLivraison)=AF$6,
  VLOOKUP($E82,INDIRECT("tri!"&amp; CHAR(64+ C0Col) &amp;":"&amp; CHAR(65+C0Col)),2,FALSE)&gt;COUNTIF($E82:AE82,"u")+COUNTIF($E82:AE82,"t")+COUNTIF($E82:AE82,"¶")+COUNTIF($E82:AE82,"²")+COUNTIF($E82:AE82,"µ")+COUNTIF($E82:AE82,1)),
HYPERLINK("#Roadmap!C"&amp; MATCH($E82,Roadmap!$D:$D,0)+COUNTIF($E82:AE82,"u")+COUNTIF($E82:AE82,"t"),
     INDEX(Roadmap!$D:$K,MATCH($E82,Roadmap!$D:$D,0)+COUNTIF($E82:AE82,"u")+COUNTIF($E82:AE82,"t")+COUNTIF($E82:AE82,"¶")+COUNTIF($E82:AE82,"²")+COUNTIF($E82:AE82,"µ")+COUNTIF($E82:AE82,1),ColTypeEcheance)),
  IF(LEN(AE82)=1,
  IF(LEN(INDEX(Roadmap!$D:$K,MATCH($E82,Roadmap!$D:$D,0)-1+COUNTIF($E82:AE82,"u")+COUNTIF($E82:AE82,"t")+COUNTIF($E82:AE82,"¶")+COUNTIF($E82:AE82,"²")+COUNTIF($E82:AE82,"µ")+COUNTIF($E82:AE82,1),ColDescriptionCourte))&gt;1,
HYPERLINK("#Roadmap!C"&amp; MATCH($E82,Roadmap!$D:$D,0)+COUNTIF($E82:AE82,"u")+COUNTIF($E82:AE82,"t")+COUNTIF($E82:AE82,"¶")+COUNTIF($E82:AE82,"²")+COUNTIF($E82:AE82,"µ")+COUNTIF($E82:AE82,1)-1,INDEX(Roadmap!$D:$K,MATCH($E82,Roadmap!$D:$D,0)-1+COUNTIF($E82:AE82,"u")+COUNTIF($E82:AE82,"t")+COUNTIF($E82:AE82,"¶")+COUNTIF($E82:AE82,"²")+COUNTIF($E82:AE82,"µ")+COUNTIF($E82:AE82,1),ColDescriptionCourte)),""),
  "")),"")</f>
        <v/>
      </c>
      <c r="AG82" s="40" t="str">
        <f ca="1">IFERROR(IF(AND(
  INDEX(Roadmap!$D:$K,MATCH($E82,Roadmap!$D:$D,0)+COUNTIF($E82:AF82,"u")+COUNTIF($E82:AF82,"t")+COUNTIF($E82:AF82,"¶")+COUNTIF($E82:AF82,"²")+COUNTIF($E82:AF82,"µ")+COUNTIF($E82:AF82,1),ColLivraison)=AG$6,
  VLOOKUP($E82,INDIRECT("tri!"&amp; CHAR(64+ C0Col) &amp;":"&amp; CHAR(65+C0Col)),2,FALSE)&gt;COUNTIF($E82:AF82,"u")+COUNTIF($E82:AF82,"t")+COUNTIF($E82:AF82,"¶")+COUNTIF($E82:AF82,"²")+COUNTIF($E82:AF82,"µ")+COUNTIF($E82:AF82,1)),
HYPERLINK("#Roadmap!C"&amp; MATCH($E82,Roadmap!$D:$D,0)+COUNTIF($E82:AF82,"u")+COUNTIF($E82:AF82,"t"),
     INDEX(Roadmap!$D:$K,MATCH($E82,Roadmap!$D:$D,0)+COUNTIF($E82:AF82,"u")+COUNTIF($E82:AF82,"t")+COUNTIF($E82:AF82,"¶")+COUNTIF($E82:AF82,"²")+COUNTIF($E82:AF82,"µ")+COUNTIF($E82:AF82,1),ColTypeEcheance)),
  IF(LEN(AF82)=1,
  IF(LEN(INDEX(Roadmap!$D:$K,MATCH($E82,Roadmap!$D:$D,0)-1+COUNTIF($E82:AF82,"u")+COUNTIF($E82:AF82,"t")+COUNTIF($E82:AF82,"¶")+COUNTIF($E82:AF82,"²")+COUNTIF($E82:AF82,"µ")+COUNTIF($E82:AF82,1),ColDescriptionCourte))&gt;1,
HYPERLINK("#Roadmap!C"&amp; MATCH($E82,Roadmap!$D:$D,0)+COUNTIF($E82:AF82,"u")+COUNTIF($E82:AF82,"t")+COUNTIF($E82:AF82,"¶")+COUNTIF($E82:AF82,"²")+COUNTIF($E82:AF82,"µ")+COUNTIF($E82:AF82,1)-1,INDEX(Roadmap!$D:$K,MATCH($E82,Roadmap!$D:$D,0)-1+COUNTIF($E82:AF82,"u")+COUNTIF($E82:AF82,"t")+COUNTIF($E82:AF82,"¶")+COUNTIF($E82:AF82,"²")+COUNTIF($E82:AF82,"µ")+COUNTIF($E82:AF82,1),ColDescriptionCourte)),""),
  "")),"")</f>
        <v/>
      </c>
      <c r="AH82" s="40" t="str">
        <f ca="1">IFERROR(IF(AND(
  INDEX(Roadmap!$D:$K,MATCH($E82,Roadmap!$D:$D,0)+COUNTIF($E82:AG82,"u")+COUNTIF($E82:AG82,"t")+COUNTIF($E82:AG82,1),ColLivraison)=AH$6,
  VLOOKUP($E82,INDIRECT("tri!"&amp; CHAR(64+ C0Col) &amp;":"&amp; CHAR(65+C0Col)),2,FALSE)&gt;COUNTIF($E82:AG82,"u")+COUNTIF($E82:AG82,"t")+COUNTIF($E82:AG82,1)),
HYPERLINK("#Roadmap!C"&amp; MATCH($E82,Roadmap!$D:$D,0)+COUNTIF($E82:AG82,"u")+COUNTIF($E82:AG82,"t"),
     INDEX(Roadmap!$D:$K,MATCH($E82,Roadmap!$D:$D,0)+COUNTIF($E82:AG82,"u")+COUNTIF($E82:AG82,"t")+COUNTIF($E82:AG82,1),ColTypeEcheance)),
  IF(OR(AG82="u",AG82="t",AG82=1),
  IF(LEN(INDEX(Roadmap!$D:$K,MATCH($E82,Roadmap!$D:$D,0)-1+COUNTIF($E82:AG82,"u")+COUNTIF($E82:AG82,"t")+COUNTIF($E82:AG82,1),ColDescriptionCourte))&gt;1,
HYPERLINK("#Roadmap!C"&amp; MATCH($E82,Roadmap!$D:$D,0)+COUNTIF($E82:AG82,"u")+COUNTIF($E82:AG82,"t")+COUNTIF($E82:AG82,1)-1,INDEX(Roadmap!$D:$K,MATCH($E82,Roadmap!$D:$D,0)-1+COUNTIF($E82:AG82,"u")+COUNTIF($E82:AG82,"t")+COUNTIF($E82:AG82,1),ColDescriptionCourte)),""),
  "")),"")</f>
        <v/>
      </c>
      <c r="AI82" s="40"/>
      <c r="AJ82" s="40"/>
      <c r="AK82" s="40"/>
      <c r="AL82" s="40"/>
      <c r="AM82" s="40"/>
    </row>
    <row r="83" spans="4:39" ht="14.1" customHeight="1">
      <c r="D83" s="20" t="str">
        <f t="shared" ca="1" si="29"/>
        <v/>
      </c>
      <c r="E83" s="53" t="str">
        <f t="shared" ca="1" si="30"/>
        <v/>
      </c>
      <c r="F83" s="39" t="str">
        <f ca="1">IFERROR(IF(AND(
  INDEX(Roadmap!$D:$K,MATCH($E83,Roadmap!$D:$D,0)+COUNTIF($E83:E83,"u")+COUNTIF($E83:E83,"t")+COUNTIF($E83:E83,"¶")+COUNTIF($E83:E83,"²")+COUNTIF($E83:E83,"µ")+COUNTIF($E83:E83,1),ColLivraison)=F$6,
  VLOOKUP($E83,INDIRECT("tri!"&amp; CHAR(64+ C0Col) &amp;":"&amp; CHAR(65+C0Col)),2,FALSE)&gt;COUNTIF($E83:E83,"u")+COUNTIF($E83:E83,"t")+COUNTIF($E83:E83,"¶")+COUNTIF($E83:E83,"²")+COUNTIF($E83:E83,"µ")+COUNTIF($E83:E83,1)),
HYPERLINK("#Roadmap!C"&amp; MATCH($E83,Roadmap!$D:$D,0)+COUNTIF($E83:E83,"u")+COUNTIF($E83:E83,"t"),
     INDEX(Roadmap!$D:$K,MATCH($E83,Roadmap!$D:$D,0)+COUNTIF($E83:E83,"u")+COUNTIF($E83:E83,"t")+COUNTIF($E83:E83,"¶")+COUNTIF($E83:E83,"²")+COUNTIF($E83:E83,"µ")+COUNTIF($E83:E83,1),ColTypeEcheance)),
  IF(LEN(E83)=1,
  IF(LEN(INDEX(Roadmap!$D:$K,MATCH($E83,Roadmap!$D:$D,0)-1+COUNTIF($E83:E83,"u")+COUNTIF($E83:E83,"t")+COUNTIF($E83:E83,"¶")+COUNTIF($E83:E83,"²")+COUNTIF($E83:E83,"µ")+COUNTIF($E83:E83,1),ColDescriptionCourte))&gt;1,
HYPERLINK("#Roadmap!C"&amp; MATCH($E83,Roadmap!$D:$D,0)+COUNTIF($E83:E83,"u")+COUNTIF($E83:E83,"t")+COUNTIF($E83:E83,"¶")+COUNTIF($E83:E83,"²")+COUNTIF($E83:E83,"µ")+COUNTIF($E83:E83,1)-1,INDEX(Roadmap!$D:$K,MATCH($E83,Roadmap!$D:$D,0)-1+COUNTIF($E83:E83,"u")+COUNTIF($E83:E83,"t")+COUNTIF($E83:E83,"¶")+COUNTIF($E83:E83,"²")+COUNTIF($E83:E83,"µ")+COUNTIF($E83:E83,1),ColDescriptionCourte)),""),
  "")),"")</f>
        <v/>
      </c>
      <c r="G83" s="40" t="str">
        <f ca="1">IFERROR(IF(AND(
  INDEX(Roadmap!$D:$K,MATCH($E83,Roadmap!$D:$D,0)+COUNTIF($E83:F83,"u")+COUNTIF($E83:F83,"t")+COUNTIF($E83:F83,"¶")+COUNTIF($E83:F83,"²")+COUNTIF($E83:F83,"µ")+COUNTIF($E83:F83,1),ColLivraison)=G$6,
  VLOOKUP($E83,INDIRECT("tri!"&amp; CHAR(64+ C0Col) &amp;":"&amp; CHAR(65+C0Col)),2,FALSE)&gt;COUNTIF($E83:F83,"u")+COUNTIF($E83:F83,"t")+COUNTIF($E83:F83,"¶")+COUNTIF($E83:F83,"²")+COUNTIF($E83:F83,"µ")+COUNTIF($E83:F83,1)),
HYPERLINK("#Roadmap!C"&amp; MATCH($E83,Roadmap!$D:$D,0)+COUNTIF($E83:F83,"u")+COUNTIF($E83:F83,"t"),
     INDEX(Roadmap!$D:$K,MATCH($E83,Roadmap!$D:$D,0)+COUNTIF($E83:F83,"u")+COUNTIF($E83:F83,"t")+COUNTIF($E83:F83,"¶")+COUNTIF($E83:F83,"²")+COUNTIF($E83:F83,"µ")+COUNTIF($E83:F83,1),ColTypeEcheance)),
  IF(LEN(F83)=1,
  IF(LEN(INDEX(Roadmap!$D:$K,MATCH($E83,Roadmap!$D:$D,0)-1+COUNTIF($E83:F83,"u")+COUNTIF($E83:F83,"t")+COUNTIF($E83:F83,"¶")+COUNTIF($E83:F83,"²")+COUNTIF($E83:F83,"µ")+COUNTIF($E83:F83,1),ColDescriptionCourte))&gt;1,
HYPERLINK("#Roadmap!C"&amp; MATCH($E83,Roadmap!$D:$D,0)+COUNTIF($E83:F83,"u")+COUNTIF($E83:F83,"t")+COUNTIF($E83:F83,"¶")+COUNTIF($E83:F83,"²")+COUNTIF($E83:F83,"µ")+COUNTIF($E83:F83,1)-1,INDEX(Roadmap!$D:$K,MATCH($E83,Roadmap!$D:$D,0)-1+COUNTIF($E83:F83,"u")+COUNTIF($E83:F83,"t")+COUNTIF($E83:F83,"¶")+COUNTIF($E83:F83,"²")+COUNTIF($E83:F83,"µ")+COUNTIF($E83:F83,1),ColDescriptionCourte)),""),
  "")),"")</f>
        <v/>
      </c>
      <c r="H83" s="40" t="str">
        <f ca="1">IFERROR(IF(AND(
  INDEX(Roadmap!$D:$K,MATCH($E83,Roadmap!$D:$D,0)+COUNTIF($E83:G83,"u")+COUNTIF($E83:G83,"t")+COUNTIF($E83:G83,"¶")+COUNTIF($E83:G83,"²")+COUNTIF($E83:G83,"µ")+COUNTIF($E83:G83,1),ColLivraison)=H$6,
  VLOOKUP($E83,INDIRECT("tri!"&amp; CHAR(64+ C0Col) &amp;":"&amp; CHAR(65+C0Col)),2,FALSE)&gt;COUNTIF($E83:G83,"u")+COUNTIF($E83:G83,"t")+COUNTIF($E83:G83,"¶")+COUNTIF($E83:G83,"²")+COUNTIF($E83:G83,"µ")+COUNTIF($E83:G83,1)),
HYPERLINK("#Roadmap!C"&amp; MATCH($E83,Roadmap!$D:$D,0)+COUNTIF($E83:G83,"u")+COUNTIF($E83:G83,"t"),
     INDEX(Roadmap!$D:$K,MATCH($E83,Roadmap!$D:$D,0)+COUNTIF($E83:G83,"u")+COUNTIF($E83:G83,"t")+COUNTIF($E83:G83,"¶")+COUNTIF($E83:G83,"²")+COUNTIF($E83:G83,"µ")+COUNTIF($E83:G83,1),ColTypeEcheance)),
  IF(LEN(G83)=1,
  IF(LEN(INDEX(Roadmap!$D:$K,MATCH($E83,Roadmap!$D:$D,0)-1+COUNTIF($E83:G83,"u")+COUNTIF($E83:G83,"t")+COUNTIF($E83:G83,"¶")+COUNTIF($E83:G83,"²")+COUNTIF($E83:G83,"µ")+COUNTIF($E83:G83,1),ColDescriptionCourte))&gt;1,
HYPERLINK("#Roadmap!C"&amp; MATCH($E83,Roadmap!$D:$D,0)+COUNTIF($E83:G83,"u")+COUNTIF($E83:G83,"t")+COUNTIF($E83:G83,"¶")+COUNTIF($E83:G83,"²")+COUNTIF($E83:G83,"µ")+COUNTIF($E83:G83,1)-1,INDEX(Roadmap!$D:$K,MATCH($E83,Roadmap!$D:$D,0)-1+COUNTIF($E83:G83,"u")+COUNTIF($E83:G83,"t")+COUNTIF($E83:G83,"¶")+COUNTIF($E83:G83,"²")+COUNTIF($E83:G83,"µ")+COUNTIF($E83:G83,1),ColDescriptionCourte)),""),
  "")),"")</f>
        <v/>
      </c>
      <c r="I83" s="40" t="str">
        <f ca="1">IFERROR(IF(AND(
  INDEX(Roadmap!$D:$K,MATCH($E83,Roadmap!$D:$D,0)+COUNTIF($E83:H83,"u")+COUNTIF($E83:H83,"t")+COUNTIF($E83:H83,"¶")+COUNTIF($E83:H83,"²")+COUNTIF($E83:H83,"µ")+COUNTIF($E83:H83,1),ColLivraison)=I$6,
  VLOOKUP($E83,INDIRECT("tri!"&amp; CHAR(64+ C0Col) &amp;":"&amp; CHAR(65+C0Col)),2,FALSE)&gt;COUNTIF($E83:H83,"u")+COUNTIF($E83:H83,"t")+COUNTIF($E83:H83,"¶")+COUNTIF($E83:H83,"²")+COUNTIF($E83:H83,"µ")+COUNTIF($E83:H83,1)),
HYPERLINK("#Roadmap!C"&amp; MATCH($E83,Roadmap!$D:$D,0)+COUNTIF($E83:H83,"u")+COUNTIF($E83:H83,"t"),
     INDEX(Roadmap!$D:$K,MATCH($E83,Roadmap!$D:$D,0)+COUNTIF($E83:H83,"u")+COUNTIF($E83:H83,"t")+COUNTIF($E83:H83,"¶")+COUNTIF($E83:H83,"²")+COUNTIF($E83:H83,"µ")+COUNTIF($E83:H83,1),ColTypeEcheance)),
  IF(LEN(H83)=1,
  IF(LEN(INDEX(Roadmap!$D:$K,MATCH($E83,Roadmap!$D:$D,0)-1+COUNTIF($E83:H83,"u")+COUNTIF($E83:H83,"t")+COUNTIF($E83:H83,"¶")+COUNTIF($E83:H83,"²")+COUNTIF($E83:H83,"µ")+COUNTIF($E83:H83,1),ColDescriptionCourte))&gt;1,
HYPERLINK("#Roadmap!C"&amp; MATCH($E83,Roadmap!$D:$D,0)+COUNTIF($E83:H83,"u")+COUNTIF($E83:H83,"t")+COUNTIF($E83:H83,"¶")+COUNTIF($E83:H83,"²")+COUNTIF($E83:H83,"µ")+COUNTIF($E83:H83,1)-1,INDEX(Roadmap!$D:$K,MATCH($E83,Roadmap!$D:$D,0)-1+COUNTIF($E83:H83,"u")+COUNTIF($E83:H83,"t")+COUNTIF($E83:H83,"¶")+COUNTIF($E83:H83,"²")+COUNTIF($E83:H83,"µ")+COUNTIF($E83:H83,1),ColDescriptionCourte)),""),
  "")),"")</f>
        <v/>
      </c>
      <c r="J83" s="40" t="str">
        <f ca="1">IFERROR(IF(AND(
  INDEX(Roadmap!$D:$K,MATCH($E83,Roadmap!$D:$D,0)+COUNTIF($E83:I83,"u")+COUNTIF($E83:I83,"t")+COUNTIF($E83:I83,"¶")+COUNTIF($E83:I83,"²")+COUNTIF($E83:I83,"µ")+COUNTIF($E83:I83,1),ColLivraison)=J$6,
  VLOOKUP($E83,INDIRECT("tri!"&amp; CHAR(64+ C0Col) &amp;":"&amp; CHAR(65+C0Col)),2,FALSE)&gt;COUNTIF($E83:I83,"u")+COUNTIF($E83:I83,"t")+COUNTIF($E83:I83,"¶")+COUNTIF($E83:I83,"²")+COUNTIF($E83:I83,"µ")+COUNTIF($E83:I83,1)),
HYPERLINK("#Roadmap!C"&amp; MATCH($E83,Roadmap!$D:$D,0)+COUNTIF($E83:I83,"u")+COUNTIF($E83:I83,"t"),
     INDEX(Roadmap!$D:$K,MATCH($E83,Roadmap!$D:$D,0)+COUNTIF($E83:I83,"u")+COUNTIF($E83:I83,"t")+COUNTIF($E83:I83,"¶")+COUNTIF($E83:I83,"²")+COUNTIF($E83:I83,"µ")+COUNTIF($E83:I83,1),ColTypeEcheance)),
  IF(LEN(I83)=1,
  IF(LEN(INDEX(Roadmap!$D:$K,MATCH($E83,Roadmap!$D:$D,0)-1+COUNTIF($E83:I83,"u")+COUNTIF($E83:I83,"t")+COUNTIF($E83:I83,"¶")+COUNTIF($E83:I83,"²")+COUNTIF($E83:I83,"µ")+COUNTIF($E83:I83,1),ColDescriptionCourte))&gt;1,
HYPERLINK("#Roadmap!C"&amp; MATCH($E83,Roadmap!$D:$D,0)+COUNTIF($E83:I83,"u")+COUNTIF($E83:I83,"t")+COUNTIF($E83:I83,"¶")+COUNTIF($E83:I83,"²")+COUNTIF($E83:I83,"µ")+COUNTIF($E83:I83,1)-1,INDEX(Roadmap!$D:$K,MATCH($E83,Roadmap!$D:$D,0)-1+COUNTIF($E83:I83,"u")+COUNTIF($E83:I83,"t")+COUNTIF($E83:I83,"¶")+COUNTIF($E83:I83,"²")+COUNTIF($E83:I83,"µ")+COUNTIF($E83:I83,1),ColDescriptionCourte)),""),
  "")),"")</f>
        <v/>
      </c>
      <c r="K83" s="40" t="str">
        <f ca="1">IFERROR(IF(AND(
  INDEX(Roadmap!$D:$K,MATCH($E83,Roadmap!$D:$D,0)+COUNTIF($E83:J83,"u")+COUNTIF($E83:J83,"t")+COUNTIF($E83:J83,"¶")+COUNTIF($E83:J83,"²")+COUNTIF($E83:J83,"µ")+COUNTIF($E83:J83,1),ColLivraison)=K$6,
  VLOOKUP($E83,INDIRECT("tri!"&amp; CHAR(64+ C0Col) &amp;":"&amp; CHAR(65+C0Col)),2,FALSE)&gt;COUNTIF($E83:J83,"u")+COUNTIF($E83:J83,"t")+COUNTIF($E83:J83,"¶")+COUNTIF($E83:J83,"²")+COUNTIF($E83:J83,"µ")+COUNTIF($E83:J83,1)),
HYPERLINK("#Roadmap!C"&amp; MATCH($E83,Roadmap!$D:$D,0)+COUNTIF($E83:J83,"u")+COUNTIF($E83:J83,"t"),
     INDEX(Roadmap!$D:$K,MATCH($E83,Roadmap!$D:$D,0)+COUNTIF($E83:J83,"u")+COUNTIF($E83:J83,"t")+COUNTIF($E83:J83,"¶")+COUNTIF($E83:J83,"²")+COUNTIF($E83:J83,"µ")+COUNTIF($E83:J83,1),ColTypeEcheance)),
  IF(LEN(J83)=1,
  IF(LEN(INDEX(Roadmap!$D:$K,MATCH($E83,Roadmap!$D:$D,0)-1+COUNTIF($E83:J83,"u")+COUNTIF($E83:J83,"t")+COUNTIF($E83:J83,"¶")+COUNTIF($E83:J83,"²")+COUNTIF($E83:J83,"µ")+COUNTIF($E83:J83,1),ColDescriptionCourte))&gt;1,
HYPERLINK("#Roadmap!C"&amp; MATCH($E83,Roadmap!$D:$D,0)+COUNTIF($E83:J83,"u")+COUNTIF($E83:J83,"t")+COUNTIF($E83:J83,"¶")+COUNTIF($E83:J83,"²")+COUNTIF($E83:J83,"µ")+COUNTIF($E83:J83,1)-1,INDEX(Roadmap!$D:$K,MATCH($E83,Roadmap!$D:$D,0)-1+COUNTIF($E83:J83,"u")+COUNTIF($E83:J83,"t")+COUNTIF($E83:J83,"¶")+COUNTIF($E83:J83,"²")+COUNTIF($E83:J83,"µ")+COUNTIF($E83:J83,1),ColDescriptionCourte)),""),
  "")),"")</f>
        <v/>
      </c>
      <c r="L83" s="39" t="str">
        <f ca="1">IFERROR(IF(AND(
  INDEX(Roadmap!$D:$K,MATCH($E83,Roadmap!$D:$D,0)+COUNTIF($E83:K83,"u")+COUNTIF($E83:K83,"t")+COUNTIF($E83:K83,"¶")+COUNTIF($E83:K83,"²")+COUNTIF($E83:K83,"µ")+COUNTIF($E83:K83,1),ColLivraison)=L$6,
  VLOOKUP($E83,INDIRECT("tri!"&amp; CHAR(64+ C0Col) &amp;":"&amp; CHAR(65+C0Col)),2,FALSE)&gt;COUNTIF($E83:K83,"u")+COUNTIF($E83:K83,"t")+COUNTIF($E83:K83,"¶")+COUNTIF($E83:K83,"²")+COUNTIF($E83:K83,"µ")+COUNTIF($E83:K83,1)),
HYPERLINK("#Roadmap!C"&amp; MATCH($E83,Roadmap!$D:$D,0)+COUNTIF($E83:K83,"u")+COUNTIF($E83:K83,"t"),
     INDEX(Roadmap!$D:$K,MATCH($E83,Roadmap!$D:$D,0)+COUNTIF($E83:K83,"u")+COUNTIF($E83:K83,"t")+COUNTIF($E83:K83,"¶")+COUNTIF($E83:K83,"²")+COUNTIF($E83:K83,"µ")+COUNTIF($E83:K83,1),ColTypeEcheance)),
  IF(LEN(K83)=1,
  IF(LEN(INDEX(Roadmap!$D:$K,MATCH($E83,Roadmap!$D:$D,0)-1+COUNTIF($E83:K83,"u")+COUNTIF($E83:K83,"t")+COUNTIF($E83:K83,"¶")+COUNTIF($E83:K83,"²")+COUNTIF($E83:K83,"µ")+COUNTIF($E83:K83,1),ColDescriptionCourte))&gt;1,
HYPERLINK("#Roadmap!C"&amp; MATCH($E83,Roadmap!$D:$D,0)+COUNTIF($E83:K83,"u")+COUNTIF($E83:K83,"t")+COUNTIF($E83:K83,"¶")+COUNTIF($E83:K83,"²")+COUNTIF($E83:K83,"µ")+COUNTIF($E83:K83,1)-1,INDEX(Roadmap!$D:$K,MATCH($E83,Roadmap!$D:$D,0)-1+COUNTIF($E83:K83,"u")+COUNTIF($E83:K83,"t")+COUNTIF($E83:K83,"¶")+COUNTIF($E83:K83,"²")+COUNTIF($E83:K83,"µ")+COUNTIF($E83:K83,1),ColDescriptionCourte)),""),
  "")),"")</f>
        <v/>
      </c>
      <c r="M83" s="40" t="str">
        <f ca="1">IFERROR(IF(AND(
  INDEX(Roadmap!$D:$K,MATCH($E83,Roadmap!$D:$D,0)+COUNTIF($E83:L83,"u")+COUNTIF($E83:L83,"t")+COUNTIF($E83:L83,"¶")+COUNTIF($E83:L83,"²")+COUNTIF($E83:L83,"µ")+COUNTIF($E83:L83,1),ColLivraison)=M$6,
  VLOOKUP($E83,INDIRECT("tri!"&amp; CHAR(64+ C0Col) &amp;":"&amp; CHAR(65+C0Col)),2,FALSE)&gt;COUNTIF($E83:L83,"u")+COUNTIF($E83:L83,"t")+COUNTIF($E83:L83,"¶")+COUNTIF($E83:L83,"²")+COUNTIF($E83:L83,"µ")+COUNTIF($E83:L83,1)),
HYPERLINK("#Roadmap!C"&amp; MATCH($E83,Roadmap!$D:$D,0)+COUNTIF($E83:L83,"u")+COUNTIF($E83:L83,"t"),
     INDEX(Roadmap!$D:$K,MATCH($E83,Roadmap!$D:$D,0)+COUNTIF($E83:L83,"u")+COUNTIF($E83:L83,"t")+COUNTIF($E83:L83,"¶")+COUNTIF($E83:L83,"²")+COUNTIF($E83:L83,"µ")+COUNTIF($E83:L83,1),ColTypeEcheance)),
  IF(LEN(L83)=1,
  IF(LEN(INDEX(Roadmap!$D:$K,MATCH($E83,Roadmap!$D:$D,0)-1+COUNTIF($E83:L83,"u")+COUNTIF($E83:L83,"t")+COUNTIF($E83:L83,"¶")+COUNTIF($E83:L83,"²")+COUNTIF($E83:L83,"µ")+COUNTIF($E83:L83,1),ColDescriptionCourte))&gt;1,
HYPERLINK("#Roadmap!C"&amp; MATCH($E83,Roadmap!$D:$D,0)+COUNTIF($E83:L83,"u")+COUNTIF($E83:L83,"t")+COUNTIF($E83:L83,"¶")+COUNTIF($E83:L83,"²")+COUNTIF($E83:L83,"µ")+COUNTIF($E83:L83,1)-1,INDEX(Roadmap!$D:$K,MATCH($E83,Roadmap!$D:$D,0)-1+COUNTIF($E83:L83,"u")+COUNTIF($E83:L83,"t")+COUNTIF($E83:L83,"¶")+COUNTIF($E83:L83,"²")+COUNTIF($E83:L83,"µ")+COUNTIF($E83:L83,1),ColDescriptionCourte)),""),
  "")),"")</f>
        <v/>
      </c>
      <c r="N83" s="40" t="str">
        <f ca="1">IFERROR(IF(AND(
  INDEX(Roadmap!$D:$K,MATCH($E83,Roadmap!$D:$D,0)+COUNTIF($E83:M83,"u")+COUNTIF($E83:M83,"t")+COUNTIF($E83:M83,"¶")+COUNTIF($E83:M83,"²")+COUNTIF($E83:M83,"µ")+COUNTIF($E83:M83,1),ColLivraison)=N$6,
  VLOOKUP($E83,INDIRECT("tri!"&amp; CHAR(64+ C0Col) &amp;":"&amp; CHAR(65+C0Col)),2,FALSE)&gt;COUNTIF($E83:M83,"u")+COUNTIF($E83:M83,"t")+COUNTIF($E83:M83,"¶")+COUNTIF($E83:M83,"²")+COUNTIF($E83:M83,"µ")+COUNTIF($E83:M83,1)),
HYPERLINK("#Roadmap!C"&amp; MATCH($E83,Roadmap!$D:$D,0)+COUNTIF($E83:M83,"u")+COUNTIF($E83:M83,"t"),
     INDEX(Roadmap!$D:$K,MATCH($E83,Roadmap!$D:$D,0)+COUNTIF($E83:M83,"u")+COUNTIF($E83:M83,"t")+COUNTIF($E83:M83,"¶")+COUNTIF($E83:M83,"²")+COUNTIF($E83:M83,"µ")+COUNTIF($E83:M83,1),ColTypeEcheance)),
  IF(LEN(M83)=1,
  IF(LEN(INDEX(Roadmap!$D:$K,MATCH($E83,Roadmap!$D:$D,0)-1+COUNTIF($E83:M83,"u")+COUNTIF($E83:M83,"t")+COUNTIF($E83:M83,"¶")+COUNTIF($E83:M83,"²")+COUNTIF($E83:M83,"µ")+COUNTIF($E83:M83,1),ColDescriptionCourte))&gt;1,
HYPERLINK("#Roadmap!C"&amp; MATCH($E83,Roadmap!$D:$D,0)+COUNTIF($E83:M83,"u")+COUNTIF($E83:M83,"t")+COUNTIF($E83:M83,"¶")+COUNTIF($E83:M83,"²")+COUNTIF($E83:M83,"µ")+COUNTIF($E83:M83,1)-1,INDEX(Roadmap!$D:$K,MATCH($E83,Roadmap!$D:$D,0)-1+COUNTIF($E83:M83,"u")+COUNTIF($E83:M83,"t")+COUNTIF($E83:M83,"¶")+COUNTIF($E83:M83,"²")+COUNTIF($E83:M83,"µ")+COUNTIF($E83:M83,1),ColDescriptionCourte)),""),
  "")),"")</f>
        <v/>
      </c>
      <c r="O83" s="40" t="str">
        <f ca="1">IFERROR(IF(AND(
  INDEX(Roadmap!$D:$K,MATCH($E83,Roadmap!$D:$D,0)+COUNTIF($E83:N83,"u")+COUNTIF($E83:N83,"t")+COUNTIF($E83:N83,"¶")+COUNTIF($E83:N83,"²")+COUNTIF($E83:N83,"µ")+COUNTIF($E83:N83,1),ColLivraison)=O$6,
  VLOOKUP($E83,INDIRECT("tri!"&amp; CHAR(64+ C0Col) &amp;":"&amp; CHAR(65+C0Col)),2,FALSE)&gt;COUNTIF($E83:N83,"u")+COUNTIF($E83:N83,"t")+COUNTIF($E83:N83,"¶")+COUNTIF($E83:N83,"²")+COUNTIF($E83:N83,"µ")+COUNTIF($E83:N83,1)),
HYPERLINK("#Roadmap!C"&amp; MATCH($E83,Roadmap!$D:$D,0)+COUNTIF($E83:N83,"u")+COUNTIF($E83:N83,"t"),
     INDEX(Roadmap!$D:$K,MATCH($E83,Roadmap!$D:$D,0)+COUNTIF($E83:N83,"u")+COUNTIF($E83:N83,"t")+COUNTIF($E83:N83,"¶")+COUNTIF($E83:N83,"²")+COUNTIF($E83:N83,"µ")+COUNTIF($E83:N83,1),ColTypeEcheance)),
  IF(LEN(N83)=1,
  IF(LEN(INDEX(Roadmap!$D:$K,MATCH($E83,Roadmap!$D:$D,0)-1+COUNTIF($E83:N83,"u")+COUNTIF($E83:N83,"t")+COUNTIF($E83:N83,"¶")+COUNTIF($E83:N83,"²")+COUNTIF($E83:N83,"µ")+COUNTIF($E83:N83,1),ColDescriptionCourte))&gt;1,
HYPERLINK("#Roadmap!C"&amp; MATCH($E83,Roadmap!$D:$D,0)+COUNTIF($E83:N83,"u")+COUNTIF($E83:N83,"t")+COUNTIF($E83:N83,"¶")+COUNTIF($E83:N83,"²")+COUNTIF($E83:N83,"µ")+COUNTIF($E83:N83,1)-1,INDEX(Roadmap!$D:$K,MATCH($E83,Roadmap!$D:$D,0)-1+COUNTIF($E83:N83,"u")+COUNTIF($E83:N83,"t")+COUNTIF($E83:N83,"¶")+COUNTIF($E83:N83,"²")+COUNTIF($E83:N83,"µ")+COUNTIF($E83:N83,1),ColDescriptionCourte)),""),
  "")),"")</f>
        <v/>
      </c>
      <c r="P83" s="40" t="str">
        <f ca="1">IFERROR(IF(AND(
  INDEX(Roadmap!$D:$K,MATCH($E83,Roadmap!$D:$D,0)+COUNTIF($E83:O83,"u")+COUNTIF($E83:O83,"t")+COUNTIF($E83:O83,"¶")+COUNTIF($E83:O83,"²")+COUNTIF($E83:O83,"µ")+COUNTIF($E83:O83,1),ColLivraison)=P$6,
  VLOOKUP($E83,INDIRECT("tri!"&amp; CHAR(64+ C0Col) &amp;":"&amp; CHAR(65+C0Col)),2,FALSE)&gt;COUNTIF($E83:O83,"u")+COUNTIF($E83:O83,"t")+COUNTIF($E83:O83,"¶")+COUNTIF($E83:O83,"²")+COUNTIF($E83:O83,"µ")+COUNTIF($E83:O83,1)),
HYPERLINK("#Roadmap!C"&amp; MATCH($E83,Roadmap!$D:$D,0)+COUNTIF($E83:O83,"u")+COUNTIF($E83:O83,"t"),
     INDEX(Roadmap!$D:$K,MATCH($E83,Roadmap!$D:$D,0)+COUNTIF($E83:O83,"u")+COUNTIF($E83:O83,"t")+COUNTIF($E83:O83,"¶")+COUNTIF($E83:O83,"²")+COUNTIF($E83:O83,"µ")+COUNTIF($E83:O83,1),ColTypeEcheance)),
  IF(LEN(O83)=1,
  IF(LEN(INDEX(Roadmap!$D:$K,MATCH($E83,Roadmap!$D:$D,0)-1+COUNTIF($E83:O83,"u")+COUNTIF($E83:O83,"t")+COUNTIF($E83:O83,"¶")+COUNTIF($E83:O83,"²")+COUNTIF($E83:O83,"µ")+COUNTIF($E83:O83,1),ColDescriptionCourte))&gt;1,
HYPERLINK("#Roadmap!C"&amp; MATCH($E83,Roadmap!$D:$D,0)+COUNTIF($E83:O83,"u")+COUNTIF($E83:O83,"t")+COUNTIF($E83:O83,"¶")+COUNTIF($E83:O83,"²")+COUNTIF($E83:O83,"µ")+COUNTIF($E83:O83,1)-1,INDEX(Roadmap!$D:$K,MATCH($E83,Roadmap!$D:$D,0)-1+COUNTIF($E83:O83,"u")+COUNTIF($E83:O83,"t")+COUNTIF($E83:O83,"¶")+COUNTIF($E83:O83,"²")+COUNTIF($E83:O83,"µ")+COUNTIF($E83:O83,1),ColDescriptionCourte)),""),
  "")),"")</f>
        <v/>
      </c>
      <c r="Q83" s="40" t="str">
        <f ca="1">IFERROR(IF(AND(
  INDEX(Roadmap!$D:$K,MATCH($E83,Roadmap!$D:$D,0)+COUNTIF($E83:P83,"u")+COUNTIF($E83:P83,"t")+COUNTIF($E83:P83,"¶")+COUNTIF($E83:P83,"²")+COUNTIF($E83:P83,"µ")+COUNTIF($E83:P83,1),ColLivraison)=Q$6,
  VLOOKUP($E83,INDIRECT("tri!"&amp; CHAR(64+ C0Col) &amp;":"&amp; CHAR(65+C0Col)),2,FALSE)&gt;COUNTIF($E83:P83,"u")+COUNTIF($E83:P83,"t")+COUNTIF($E83:P83,"¶")+COUNTIF($E83:P83,"²")+COUNTIF($E83:P83,"µ")+COUNTIF($E83:P83,1)),
HYPERLINK("#Roadmap!C"&amp; MATCH($E83,Roadmap!$D:$D,0)+COUNTIF($E83:P83,"u")+COUNTIF($E83:P83,"t"),
     INDEX(Roadmap!$D:$K,MATCH($E83,Roadmap!$D:$D,0)+COUNTIF($E83:P83,"u")+COUNTIF($E83:P83,"t")+COUNTIF($E83:P83,"¶")+COUNTIF($E83:P83,"²")+COUNTIF($E83:P83,"µ")+COUNTIF($E83:P83,1),ColTypeEcheance)),
  IF(LEN(P83)=1,
  IF(LEN(INDEX(Roadmap!$D:$K,MATCH($E83,Roadmap!$D:$D,0)-1+COUNTIF($E83:P83,"u")+COUNTIF($E83:P83,"t")+COUNTIF($E83:P83,"¶")+COUNTIF($E83:P83,"²")+COUNTIF($E83:P83,"µ")+COUNTIF($E83:P83,1),ColDescriptionCourte))&gt;1,
HYPERLINK("#Roadmap!C"&amp; MATCH($E83,Roadmap!$D:$D,0)+COUNTIF($E83:P83,"u")+COUNTIF($E83:P83,"t")+COUNTIF($E83:P83,"¶")+COUNTIF($E83:P83,"²")+COUNTIF($E83:P83,"µ")+COUNTIF($E83:P83,1)-1,INDEX(Roadmap!$D:$K,MATCH($E83,Roadmap!$D:$D,0)-1+COUNTIF($E83:P83,"u")+COUNTIF($E83:P83,"t")+COUNTIF($E83:P83,"¶")+COUNTIF($E83:P83,"²")+COUNTIF($E83:P83,"µ")+COUNTIF($E83:P83,1),ColDescriptionCourte)),""),
  "")),"")</f>
        <v/>
      </c>
      <c r="R83" s="40" t="str">
        <f ca="1">IFERROR(IF(AND(
  INDEX(Roadmap!$D:$K,MATCH($E83,Roadmap!$D:$D,0)+COUNTIF($E83:Q83,"u")+COUNTIF($E83:Q83,"t")+COUNTIF($E83:Q83,"¶")+COUNTIF($E83:Q83,"²")+COUNTIF($E83:Q83,"µ")+COUNTIF($E83:Q83,1),ColLivraison)=R$6,
  VLOOKUP($E83,INDIRECT("tri!"&amp; CHAR(64+ C0Col) &amp;":"&amp; CHAR(65+C0Col)),2,FALSE)&gt;COUNTIF($E83:Q83,"u")+COUNTIF($E83:Q83,"t")+COUNTIF($E83:Q83,"¶")+COUNTIF($E83:Q83,"²")+COUNTIF($E83:Q83,"µ")+COUNTIF($E83:Q83,1)),
HYPERLINK("#Roadmap!C"&amp; MATCH($E83,Roadmap!$D:$D,0)+COUNTIF($E83:Q83,"u")+COUNTIF($E83:Q83,"t"),
     INDEX(Roadmap!$D:$K,MATCH($E83,Roadmap!$D:$D,0)+COUNTIF($E83:Q83,"u")+COUNTIF($E83:Q83,"t")+COUNTIF($E83:Q83,"¶")+COUNTIF($E83:Q83,"²")+COUNTIF($E83:Q83,"µ")+COUNTIF($E83:Q83,1),ColTypeEcheance)),
  IF(LEN(Q83)=1,
  IF(LEN(INDEX(Roadmap!$D:$K,MATCH($E83,Roadmap!$D:$D,0)-1+COUNTIF($E83:Q83,"u")+COUNTIF($E83:Q83,"t")+COUNTIF($E83:Q83,"¶")+COUNTIF($E83:Q83,"²")+COUNTIF($E83:Q83,"µ")+COUNTIF($E83:Q83,1),ColDescriptionCourte))&gt;1,
HYPERLINK("#Roadmap!C"&amp; MATCH($E83,Roadmap!$D:$D,0)+COUNTIF($E83:Q83,"u")+COUNTIF($E83:Q83,"t")+COUNTIF($E83:Q83,"¶")+COUNTIF($E83:Q83,"²")+COUNTIF($E83:Q83,"µ")+COUNTIF($E83:Q83,1)-1,INDEX(Roadmap!$D:$K,MATCH($E83,Roadmap!$D:$D,0)-1+COUNTIF($E83:Q83,"u")+COUNTIF($E83:Q83,"t")+COUNTIF($E83:Q83,"¶")+COUNTIF($E83:Q83,"²")+COUNTIF($E83:Q83,"µ")+COUNTIF($E83:Q83,1),ColDescriptionCourte)),""),
  "")),"")</f>
        <v/>
      </c>
      <c r="S83" s="40" t="str">
        <f ca="1">IFERROR(IF(AND(
  INDEX(Roadmap!$D:$K,MATCH($E83,Roadmap!$D:$D,0)+COUNTIF($E83:R83,"u")+COUNTIF($E83:R83,"t")+COUNTIF($E83:R83,"¶")+COUNTIF($E83:R83,"²")+COUNTIF($E83:R83,"µ")+COUNTIF($E83:R83,1),ColLivraison)=S$6,
  VLOOKUP($E83,INDIRECT("tri!"&amp; CHAR(64+ C0Col) &amp;":"&amp; CHAR(65+C0Col)),2,FALSE)&gt;COUNTIF($E83:R83,"u")+COUNTIF($E83:R83,"t")+COUNTIF($E83:R83,"¶")+COUNTIF($E83:R83,"²")+COUNTIF($E83:R83,"µ")+COUNTIF($E83:R83,1)),
HYPERLINK("#Roadmap!C"&amp; MATCH($E83,Roadmap!$D:$D,0)+COUNTIF($E83:R83,"u")+COUNTIF($E83:R83,"t"),
     INDEX(Roadmap!$D:$K,MATCH($E83,Roadmap!$D:$D,0)+COUNTIF($E83:R83,"u")+COUNTIF($E83:R83,"t")+COUNTIF($E83:R83,"¶")+COUNTIF($E83:R83,"²")+COUNTIF($E83:R83,"µ")+COUNTIF($E83:R83,1),ColTypeEcheance)),
  IF(LEN(R83)=1,
  IF(LEN(INDEX(Roadmap!$D:$K,MATCH($E83,Roadmap!$D:$D,0)-1+COUNTIF($E83:R83,"u")+COUNTIF($E83:R83,"t")+COUNTIF($E83:R83,"¶")+COUNTIF($E83:R83,"²")+COUNTIF($E83:R83,"µ")+COUNTIF($E83:R83,1),ColDescriptionCourte))&gt;1,
HYPERLINK("#Roadmap!C"&amp; MATCH($E83,Roadmap!$D:$D,0)+COUNTIF($E83:R83,"u")+COUNTIF($E83:R83,"t")+COUNTIF($E83:R83,"¶")+COUNTIF($E83:R83,"²")+COUNTIF($E83:R83,"µ")+COUNTIF($E83:R83,1)-1,INDEX(Roadmap!$D:$K,MATCH($E83,Roadmap!$D:$D,0)-1+COUNTIF($E83:R83,"u")+COUNTIF($E83:R83,"t")+COUNTIF($E83:R83,"¶")+COUNTIF($E83:R83,"²")+COUNTIF($E83:R83,"µ")+COUNTIF($E83:R83,1),ColDescriptionCourte)),""),
  "")),"")</f>
        <v/>
      </c>
      <c r="T83" s="40" t="str">
        <f ca="1">IFERROR(IF(AND(
  INDEX(Roadmap!$D:$K,MATCH($E83,Roadmap!$D:$D,0)+COUNTIF($E83:S83,"u")+COUNTIF($E83:S83,"t")+COUNTIF($E83:S83,"¶")+COUNTIF($E83:S83,"²")+COUNTIF($E83:S83,"µ")+COUNTIF($E83:S83,1),ColLivraison)=T$6,
  VLOOKUP($E83,INDIRECT("tri!"&amp; CHAR(64+ C0Col) &amp;":"&amp; CHAR(65+C0Col)),2,FALSE)&gt;COUNTIF($E83:S83,"u")+COUNTIF($E83:S83,"t")+COUNTIF($E83:S83,"¶")+COUNTIF($E83:S83,"²")+COUNTIF($E83:S83,"µ")+COUNTIF($E83:S83,1)),
HYPERLINK("#Roadmap!C"&amp; MATCH($E83,Roadmap!$D:$D,0)+COUNTIF($E83:S83,"u")+COUNTIF($E83:S83,"t"),
     INDEX(Roadmap!$D:$K,MATCH($E83,Roadmap!$D:$D,0)+COUNTIF($E83:S83,"u")+COUNTIF($E83:S83,"t")+COUNTIF($E83:S83,"¶")+COUNTIF($E83:S83,"²")+COUNTIF($E83:S83,"µ")+COUNTIF($E83:S83,1),ColTypeEcheance)),
  IF(LEN(S83)=1,
  IF(LEN(INDEX(Roadmap!$D:$K,MATCH($E83,Roadmap!$D:$D,0)-1+COUNTIF($E83:S83,"u")+COUNTIF($E83:S83,"t")+COUNTIF($E83:S83,"¶")+COUNTIF($E83:S83,"²")+COUNTIF($E83:S83,"µ")+COUNTIF($E83:S83,1),ColDescriptionCourte))&gt;1,
HYPERLINK("#Roadmap!C"&amp; MATCH($E83,Roadmap!$D:$D,0)+COUNTIF($E83:S83,"u")+COUNTIF($E83:S83,"t")+COUNTIF($E83:S83,"¶")+COUNTIF($E83:S83,"²")+COUNTIF($E83:S83,"µ")+COUNTIF($E83:S83,1)-1,INDEX(Roadmap!$D:$K,MATCH($E83,Roadmap!$D:$D,0)-1+COUNTIF($E83:S83,"u")+COUNTIF($E83:S83,"t")+COUNTIF($E83:S83,"¶")+COUNTIF($E83:S83,"²")+COUNTIF($E83:S83,"µ")+COUNTIF($E83:S83,1),ColDescriptionCourte)),""),
  "")),"")</f>
        <v/>
      </c>
      <c r="U83" s="40" t="str">
        <f ca="1">IFERROR(IF(AND(
  INDEX(Roadmap!$D:$K,MATCH($E83,Roadmap!$D:$D,0)+COUNTIF($E83:T83,"u")+COUNTIF($E83:T83,"t")+COUNTIF($E83:T83,"¶")+COUNTIF($E83:T83,"²")+COUNTIF($E83:T83,"µ")+COUNTIF($E83:T83,1),ColLivraison)=U$6,
  VLOOKUP($E83,INDIRECT("tri!"&amp; CHAR(64+ C0Col) &amp;":"&amp; CHAR(65+C0Col)),2,FALSE)&gt;COUNTIF($E83:T83,"u")+COUNTIF($E83:T83,"t")+COUNTIF($E83:T83,"¶")+COUNTIF($E83:T83,"²")+COUNTIF($E83:T83,"µ")+COUNTIF($E83:T83,1)),
HYPERLINK("#Roadmap!C"&amp; MATCH($E83,Roadmap!$D:$D,0)+COUNTIF($E83:T83,"u")+COUNTIF($E83:T83,"t"),
     INDEX(Roadmap!$D:$K,MATCH($E83,Roadmap!$D:$D,0)+COUNTIF($E83:T83,"u")+COUNTIF($E83:T83,"t")+COUNTIF($E83:T83,"¶")+COUNTIF($E83:T83,"²")+COUNTIF($E83:T83,"µ")+COUNTIF($E83:T83,1),ColTypeEcheance)),
  IF(LEN(T83)=1,
  IF(LEN(INDEX(Roadmap!$D:$K,MATCH($E83,Roadmap!$D:$D,0)-1+COUNTIF($E83:T83,"u")+COUNTIF($E83:T83,"t")+COUNTIF($E83:T83,"¶")+COUNTIF($E83:T83,"²")+COUNTIF($E83:T83,"µ")+COUNTIF($E83:T83,1),ColDescriptionCourte))&gt;1,
HYPERLINK("#Roadmap!C"&amp; MATCH($E83,Roadmap!$D:$D,0)+COUNTIF($E83:T83,"u")+COUNTIF($E83:T83,"t")+COUNTIF($E83:T83,"¶")+COUNTIF($E83:T83,"²")+COUNTIF($E83:T83,"µ")+COUNTIF($E83:T83,1)-1,INDEX(Roadmap!$D:$K,MATCH($E83,Roadmap!$D:$D,0)-1+COUNTIF($E83:T83,"u")+COUNTIF($E83:T83,"t")+COUNTIF($E83:T83,"¶")+COUNTIF($E83:T83,"²")+COUNTIF($E83:T83,"µ")+COUNTIF($E83:T83,1),ColDescriptionCourte)),""),
  "")),"")</f>
        <v/>
      </c>
      <c r="V83" s="40" t="str">
        <f ca="1">IFERROR(IF(AND(
  INDEX(Roadmap!$D:$K,MATCH($E83,Roadmap!$D:$D,0)+COUNTIF($E83:U83,"u")+COUNTIF($E83:U83,"t")+COUNTIF($E83:U83,"¶")+COUNTIF($E83:U83,"²")+COUNTIF($E83:U83,"µ")+COUNTIF($E83:U83,1),ColLivraison)=V$6,
  VLOOKUP($E83,INDIRECT("tri!"&amp; CHAR(64+ C0Col) &amp;":"&amp; CHAR(65+C0Col)),2,FALSE)&gt;COUNTIF($E83:U83,"u")+COUNTIF($E83:U83,"t")+COUNTIF($E83:U83,"¶")+COUNTIF($E83:U83,"²")+COUNTIF($E83:U83,"µ")+COUNTIF($E83:U83,1)),
HYPERLINK("#Roadmap!C"&amp; MATCH($E83,Roadmap!$D:$D,0)+COUNTIF($E83:U83,"u")+COUNTIF($E83:U83,"t"),
     INDEX(Roadmap!$D:$K,MATCH($E83,Roadmap!$D:$D,0)+COUNTIF($E83:U83,"u")+COUNTIF($E83:U83,"t")+COUNTIF($E83:U83,"¶")+COUNTIF($E83:U83,"²")+COUNTIF($E83:U83,"µ")+COUNTIF($E83:U83,1),ColTypeEcheance)),
  IF(LEN(U83)=1,
  IF(LEN(INDEX(Roadmap!$D:$K,MATCH($E83,Roadmap!$D:$D,0)-1+COUNTIF($E83:U83,"u")+COUNTIF($E83:U83,"t")+COUNTIF($E83:U83,"¶")+COUNTIF($E83:U83,"²")+COUNTIF($E83:U83,"µ")+COUNTIF($E83:U83,1),ColDescriptionCourte))&gt;1,
HYPERLINK("#Roadmap!C"&amp; MATCH($E83,Roadmap!$D:$D,0)+COUNTIF($E83:U83,"u")+COUNTIF($E83:U83,"t")+COUNTIF($E83:U83,"¶")+COUNTIF($E83:U83,"²")+COUNTIF($E83:U83,"µ")+COUNTIF($E83:U83,1)-1,INDEX(Roadmap!$D:$K,MATCH($E83,Roadmap!$D:$D,0)-1+COUNTIF($E83:U83,"u")+COUNTIF($E83:U83,"t")+COUNTIF($E83:U83,"¶")+COUNTIF($E83:U83,"²")+COUNTIF($E83:U83,"µ")+COUNTIF($E83:U83,1),ColDescriptionCourte)),""),
  "")),"")</f>
        <v/>
      </c>
      <c r="W83" s="40" t="str">
        <f ca="1">IFERROR(IF(AND(
  INDEX(Roadmap!$D:$K,MATCH($E83,Roadmap!$D:$D,0)+COUNTIF($E83:V83,"u")+COUNTIF($E83:V83,"t")+COUNTIF($E83:V83,"¶")+COUNTIF($E83:V83,"²")+COUNTIF($E83:V83,"µ")+COUNTIF($E83:V83,1),ColLivraison)=W$6,
  VLOOKUP($E83,INDIRECT("tri!"&amp; CHAR(64+ C0Col) &amp;":"&amp; CHAR(65+C0Col)),2,FALSE)&gt;COUNTIF($E83:V83,"u")+COUNTIF($E83:V83,"t")+COUNTIF($E83:V83,"¶")+COUNTIF($E83:V83,"²")+COUNTIF($E83:V83,"µ")+COUNTIF($E83:V83,1)),
HYPERLINK("#Roadmap!C"&amp; MATCH($E83,Roadmap!$D:$D,0)+COUNTIF($E83:V83,"u")+COUNTIF($E83:V83,"t"),
     INDEX(Roadmap!$D:$K,MATCH($E83,Roadmap!$D:$D,0)+COUNTIF($E83:V83,"u")+COUNTIF($E83:V83,"t")+COUNTIF($E83:V83,"¶")+COUNTIF($E83:V83,"²")+COUNTIF($E83:V83,"µ")+COUNTIF($E83:V83,1),ColTypeEcheance)),
  IF(LEN(V83)=1,
  IF(LEN(INDEX(Roadmap!$D:$K,MATCH($E83,Roadmap!$D:$D,0)-1+COUNTIF($E83:V83,"u")+COUNTIF($E83:V83,"t")+COUNTIF($E83:V83,"¶")+COUNTIF($E83:V83,"²")+COUNTIF($E83:V83,"µ")+COUNTIF($E83:V83,1),ColDescriptionCourte))&gt;1,
HYPERLINK("#Roadmap!C"&amp; MATCH($E83,Roadmap!$D:$D,0)+COUNTIF($E83:V83,"u")+COUNTIF($E83:V83,"t")+COUNTIF($E83:V83,"¶")+COUNTIF($E83:V83,"²")+COUNTIF($E83:V83,"µ")+COUNTIF($E83:V83,1)-1,INDEX(Roadmap!$D:$K,MATCH($E83,Roadmap!$D:$D,0)-1+COUNTIF($E83:V83,"u")+COUNTIF($E83:V83,"t")+COUNTIF($E83:V83,"¶")+COUNTIF($E83:V83,"²")+COUNTIF($E83:V83,"µ")+COUNTIF($E83:V83,1),ColDescriptionCourte)),""),
  "")),"")</f>
        <v/>
      </c>
      <c r="X83" s="40" t="str">
        <f ca="1">IFERROR(IF(AND(
  INDEX(Roadmap!$D:$K,MATCH($E83,Roadmap!$D:$D,0)+COUNTIF($E83:W83,"u")+COUNTIF($E83:W83,"t")+COUNTIF($E83:W83,"¶")+COUNTIF($E83:W83,"²")+COUNTIF($E83:W83,"µ")+COUNTIF($E83:W83,1),ColLivraison)=X$6,
  VLOOKUP($E83,INDIRECT("tri!"&amp; CHAR(64+ C0Col) &amp;":"&amp; CHAR(65+C0Col)),2,FALSE)&gt;COUNTIF($E83:W83,"u")+COUNTIF($E83:W83,"t")+COUNTIF($E83:W83,"¶")+COUNTIF($E83:W83,"²")+COUNTIF($E83:W83,"µ")+COUNTIF($E83:W83,1)),
HYPERLINK("#Roadmap!C"&amp; MATCH($E83,Roadmap!$D:$D,0)+COUNTIF($E83:W83,"u")+COUNTIF($E83:W83,"t"),
     INDEX(Roadmap!$D:$K,MATCH($E83,Roadmap!$D:$D,0)+COUNTIF($E83:W83,"u")+COUNTIF($E83:W83,"t")+COUNTIF($E83:W83,"¶")+COUNTIF($E83:W83,"²")+COUNTIF($E83:W83,"µ")+COUNTIF($E83:W83,1),ColTypeEcheance)),
  IF(LEN(W83)=1,
  IF(LEN(INDEX(Roadmap!$D:$K,MATCH($E83,Roadmap!$D:$D,0)-1+COUNTIF($E83:W83,"u")+COUNTIF($E83:W83,"t")+COUNTIF($E83:W83,"¶")+COUNTIF($E83:W83,"²")+COUNTIF($E83:W83,"µ")+COUNTIF($E83:W83,1),ColDescriptionCourte))&gt;1,
HYPERLINK("#Roadmap!C"&amp; MATCH($E83,Roadmap!$D:$D,0)+COUNTIF($E83:W83,"u")+COUNTIF($E83:W83,"t")+COUNTIF($E83:W83,"¶")+COUNTIF($E83:W83,"²")+COUNTIF($E83:W83,"µ")+COUNTIF($E83:W83,1)-1,INDEX(Roadmap!$D:$K,MATCH($E83,Roadmap!$D:$D,0)-1+COUNTIF($E83:W83,"u")+COUNTIF($E83:W83,"t")+COUNTIF($E83:W83,"¶")+COUNTIF($E83:W83,"²")+COUNTIF($E83:W83,"µ")+COUNTIF($E83:W83,1),ColDescriptionCourte)),""),
  "")),"")</f>
        <v/>
      </c>
      <c r="Y83" s="40" t="str">
        <f ca="1">IFERROR(IF(AND(
  INDEX(Roadmap!$D:$K,MATCH($E83,Roadmap!$D:$D,0)+COUNTIF($E83:X83,"u")+COUNTIF($E83:X83,"t")+COUNTIF($E83:X83,"¶")+COUNTIF($E83:X83,"²")+COUNTIF($E83:X83,"µ")+COUNTIF($E83:X83,1),ColLivraison)=Y$6,
  VLOOKUP($E83,INDIRECT("tri!"&amp; CHAR(64+ C0Col) &amp;":"&amp; CHAR(65+C0Col)),2,FALSE)&gt;COUNTIF($E83:X83,"u")+COUNTIF($E83:X83,"t")+COUNTIF($E83:X83,"¶")+COUNTIF($E83:X83,"²")+COUNTIF($E83:X83,"µ")+COUNTIF($E83:X83,1)),
HYPERLINK("#Roadmap!C"&amp; MATCH($E83,Roadmap!$D:$D,0)+COUNTIF($E83:X83,"u")+COUNTIF($E83:X83,"t"),
     INDEX(Roadmap!$D:$K,MATCH($E83,Roadmap!$D:$D,0)+COUNTIF($E83:X83,"u")+COUNTIF($E83:X83,"t")+COUNTIF($E83:X83,"¶")+COUNTIF($E83:X83,"²")+COUNTIF($E83:X83,"µ")+COUNTIF($E83:X83,1),ColTypeEcheance)),
  IF(LEN(X83)=1,
  IF(LEN(INDEX(Roadmap!$D:$K,MATCH($E83,Roadmap!$D:$D,0)-1+COUNTIF($E83:X83,"u")+COUNTIF($E83:X83,"t")+COUNTIF($E83:X83,"¶")+COUNTIF($E83:X83,"²")+COUNTIF($E83:X83,"µ")+COUNTIF($E83:X83,1),ColDescriptionCourte))&gt;1,
HYPERLINK("#Roadmap!C"&amp; MATCH($E83,Roadmap!$D:$D,0)+COUNTIF($E83:X83,"u")+COUNTIF($E83:X83,"t")+COUNTIF($E83:X83,"¶")+COUNTIF($E83:X83,"²")+COUNTIF($E83:X83,"µ")+COUNTIF($E83:X83,1)-1,INDEX(Roadmap!$D:$K,MATCH($E83,Roadmap!$D:$D,0)-1+COUNTIF($E83:X83,"u")+COUNTIF($E83:X83,"t")+COUNTIF($E83:X83,"¶")+COUNTIF($E83:X83,"²")+COUNTIF($E83:X83,"µ")+COUNTIF($E83:X83,1),ColDescriptionCourte)),""),
  "")),"")</f>
        <v/>
      </c>
      <c r="Z83" s="40" t="str">
        <f ca="1">IFERROR(IF(AND(
  INDEX(Roadmap!$D:$K,MATCH($E83,Roadmap!$D:$D,0)+COUNTIF($E83:Y83,"u")+COUNTIF($E83:Y83,"t")+COUNTIF($E83:Y83,"¶")+COUNTIF($E83:Y83,"²")+COUNTIF($E83:Y83,"µ")+COUNTIF($E83:Y83,1),ColLivraison)=Z$6,
  VLOOKUP($E83,INDIRECT("tri!"&amp; CHAR(64+ C0Col) &amp;":"&amp; CHAR(65+C0Col)),2,FALSE)&gt;COUNTIF($E83:Y83,"u")+COUNTIF($E83:Y83,"t")+COUNTIF($E83:Y83,"¶")+COUNTIF($E83:Y83,"²")+COUNTIF($E83:Y83,"µ")+COUNTIF($E83:Y83,1)),
HYPERLINK("#Roadmap!C"&amp; MATCH($E83,Roadmap!$D:$D,0)+COUNTIF($E83:Y83,"u")+COUNTIF($E83:Y83,"t"),
     INDEX(Roadmap!$D:$K,MATCH($E83,Roadmap!$D:$D,0)+COUNTIF($E83:Y83,"u")+COUNTIF($E83:Y83,"t")+COUNTIF($E83:Y83,"¶")+COUNTIF($E83:Y83,"²")+COUNTIF($E83:Y83,"µ")+COUNTIF($E83:Y83,1),ColTypeEcheance)),
  IF(LEN(Y83)=1,
  IF(LEN(INDEX(Roadmap!$D:$K,MATCH($E83,Roadmap!$D:$D,0)-1+COUNTIF($E83:Y83,"u")+COUNTIF($E83:Y83,"t")+COUNTIF($E83:Y83,"¶")+COUNTIF($E83:Y83,"²")+COUNTIF($E83:Y83,"µ")+COUNTIF($E83:Y83,1),ColDescriptionCourte))&gt;1,
HYPERLINK("#Roadmap!C"&amp; MATCH($E83,Roadmap!$D:$D,0)+COUNTIF($E83:Y83,"u")+COUNTIF($E83:Y83,"t")+COUNTIF($E83:Y83,"¶")+COUNTIF($E83:Y83,"²")+COUNTIF($E83:Y83,"µ")+COUNTIF($E83:Y83,1)-1,INDEX(Roadmap!$D:$K,MATCH($E83,Roadmap!$D:$D,0)-1+COUNTIF($E83:Y83,"u")+COUNTIF($E83:Y83,"t")+COUNTIF($E83:Y83,"¶")+COUNTIF($E83:Y83,"²")+COUNTIF($E83:Y83,"µ")+COUNTIF($E83:Y83,1),ColDescriptionCourte)),""),
  "")),"")</f>
        <v/>
      </c>
      <c r="AA83" s="40" t="str">
        <f ca="1">IFERROR(IF(AND(
  INDEX(Roadmap!$D:$K,MATCH($E83,Roadmap!$D:$D,0)+COUNTIF($E83:Z83,"u")+COUNTIF($E83:Z83,"t")+COUNTIF($E83:Z83,"¶")+COUNTIF($E83:Z83,"²")+COUNTIF($E83:Z83,"µ")+COUNTIF($E83:Z83,1),ColLivraison)=AA$6,
  VLOOKUP($E83,INDIRECT("tri!"&amp; CHAR(64+ C0Col) &amp;":"&amp; CHAR(65+C0Col)),2,FALSE)&gt;COUNTIF($E83:Z83,"u")+COUNTIF($E83:Z83,"t")+COUNTIF($E83:Z83,"¶")+COUNTIF($E83:Z83,"²")+COUNTIF($E83:Z83,"µ")+COUNTIF($E83:Z83,1)),
HYPERLINK("#Roadmap!C"&amp; MATCH($E83,Roadmap!$D:$D,0)+COUNTIF($E83:Z83,"u")+COUNTIF($E83:Z83,"t"),
     INDEX(Roadmap!$D:$K,MATCH($E83,Roadmap!$D:$D,0)+COUNTIF($E83:Z83,"u")+COUNTIF($E83:Z83,"t")+COUNTIF($E83:Z83,"¶")+COUNTIF($E83:Z83,"²")+COUNTIF($E83:Z83,"µ")+COUNTIF($E83:Z83,1),ColTypeEcheance)),
  IF(LEN(Z83)=1,
  IF(LEN(INDEX(Roadmap!$D:$K,MATCH($E83,Roadmap!$D:$D,0)-1+COUNTIF($E83:Z83,"u")+COUNTIF($E83:Z83,"t")+COUNTIF($E83:Z83,"¶")+COUNTIF($E83:Z83,"²")+COUNTIF($E83:Z83,"µ")+COUNTIF($E83:Z83,1),ColDescriptionCourte))&gt;1,
HYPERLINK("#Roadmap!C"&amp; MATCH($E83,Roadmap!$D:$D,0)+COUNTIF($E83:Z83,"u")+COUNTIF($E83:Z83,"t")+COUNTIF($E83:Z83,"¶")+COUNTIF($E83:Z83,"²")+COUNTIF($E83:Z83,"µ")+COUNTIF($E83:Z83,1)-1,INDEX(Roadmap!$D:$K,MATCH($E83,Roadmap!$D:$D,0)-1+COUNTIF($E83:Z83,"u")+COUNTIF($E83:Z83,"t")+COUNTIF($E83:Z83,"¶")+COUNTIF($E83:Z83,"²")+COUNTIF($E83:Z83,"µ")+COUNTIF($E83:Z83,1),ColDescriptionCourte)),""),
  "")),"")</f>
        <v/>
      </c>
      <c r="AB83" s="40" t="str">
        <f ca="1">IFERROR(IF(AND(
  INDEX(Roadmap!$D:$K,MATCH($E83,Roadmap!$D:$D,0)+COUNTIF($E83:AA83,"u")+COUNTIF($E83:AA83,"t")+COUNTIF($E83:AA83,"¶")+COUNTIF($E83:AA83,"²")+COUNTIF($E83:AA83,"µ")+COUNTIF($E83:AA83,1),ColLivraison)=AB$6,
  VLOOKUP($E83,INDIRECT("tri!"&amp; CHAR(64+ C0Col) &amp;":"&amp; CHAR(65+C0Col)),2,FALSE)&gt;COUNTIF($E83:AA83,"u")+COUNTIF($E83:AA83,"t")+COUNTIF($E83:AA83,"¶")+COUNTIF($E83:AA83,"²")+COUNTIF($E83:AA83,"µ")+COUNTIF($E83:AA83,1)),
HYPERLINK("#Roadmap!C"&amp; MATCH($E83,Roadmap!$D:$D,0)+COUNTIF($E83:AA83,"u")+COUNTIF($E83:AA83,"t"),
     INDEX(Roadmap!$D:$K,MATCH($E83,Roadmap!$D:$D,0)+COUNTIF($E83:AA83,"u")+COUNTIF($E83:AA83,"t")+COUNTIF($E83:AA83,"¶")+COUNTIF($E83:AA83,"²")+COUNTIF($E83:AA83,"µ")+COUNTIF($E83:AA83,1),ColTypeEcheance)),
  IF(LEN(AA83)=1,
  IF(LEN(INDEX(Roadmap!$D:$K,MATCH($E83,Roadmap!$D:$D,0)-1+COUNTIF($E83:AA83,"u")+COUNTIF($E83:AA83,"t")+COUNTIF($E83:AA83,"¶")+COUNTIF($E83:AA83,"²")+COUNTIF($E83:AA83,"µ")+COUNTIF($E83:AA83,1),ColDescriptionCourte))&gt;1,
HYPERLINK("#Roadmap!C"&amp; MATCH($E83,Roadmap!$D:$D,0)+COUNTIF($E83:AA83,"u")+COUNTIF($E83:AA83,"t")+COUNTIF($E83:AA83,"¶")+COUNTIF($E83:AA83,"²")+COUNTIF($E83:AA83,"µ")+COUNTIF($E83:AA83,1)-1,INDEX(Roadmap!$D:$K,MATCH($E83,Roadmap!$D:$D,0)-1+COUNTIF($E83:AA83,"u")+COUNTIF($E83:AA83,"t")+COUNTIF($E83:AA83,"¶")+COUNTIF($E83:AA83,"²")+COUNTIF($E83:AA83,"µ")+COUNTIF($E83:AA83,1),ColDescriptionCourte)),""),
  "")),"")</f>
        <v/>
      </c>
      <c r="AC83" s="40" t="str">
        <f ca="1">IFERROR(IF(AND(
  INDEX(Roadmap!$D:$K,MATCH($E83,Roadmap!$D:$D,0)+COUNTIF($E83:AB83,"u")+COUNTIF($E83:AB83,"t")+COUNTIF($E83:AB83,"¶")+COUNTIF($E83:AB83,"²")+COUNTIF($E83:AB83,"µ")+COUNTIF($E83:AB83,1),ColLivraison)=AC$6,
  VLOOKUP($E83,INDIRECT("tri!"&amp; CHAR(64+ C0Col) &amp;":"&amp; CHAR(65+C0Col)),2,FALSE)&gt;COUNTIF($E83:AB83,"u")+COUNTIF($E83:AB83,"t")+COUNTIF($E83:AB83,"¶")+COUNTIF($E83:AB83,"²")+COUNTIF($E83:AB83,"µ")+COUNTIF($E83:AB83,1)),
HYPERLINK("#Roadmap!C"&amp; MATCH($E83,Roadmap!$D:$D,0)+COUNTIF($E83:AB83,"u")+COUNTIF($E83:AB83,"t"),
     INDEX(Roadmap!$D:$K,MATCH($E83,Roadmap!$D:$D,0)+COUNTIF($E83:AB83,"u")+COUNTIF($E83:AB83,"t")+COUNTIF($E83:AB83,"¶")+COUNTIF($E83:AB83,"²")+COUNTIF($E83:AB83,"µ")+COUNTIF($E83:AB83,1),ColTypeEcheance)),
  IF(LEN(AB83)=1,
  IF(LEN(INDEX(Roadmap!$D:$K,MATCH($E83,Roadmap!$D:$D,0)-1+COUNTIF($E83:AB83,"u")+COUNTIF($E83:AB83,"t")+COUNTIF($E83:AB83,"¶")+COUNTIF($E83:AB83,"²")+COUNTIF($E83:AB83,"µ")+COUNTIF($E83:AB83,1),ColDescriptionCourte))&gt;1,
HYPERLINK("#Roadmap!C"&amp; MATCH($E83,Roadmap!$D:$D,0)+COUNTIF($E83:AB83,"u")+COUNTIF($E83:AB83,"t")+COUNTIF($E83:AB83,"¶")+COUNTIF($E83:AB83,"²")+COUNTIF($E83:AB83,"µ")+COUNTIF($E83:AB83,1)-1,INDEX(Roadmap!$D:$K,MATCH($E83,Roadmap!$D:$D,0)-1+COUNTIF($E83:AB83,"u")+COUNTIF($E83:AB83,"t")+COUNTIF($E83:AB83,"¶")+COUNTIF($E83:AB83,"²")+COUNTIF($E83:AB83,"µ")+COUNTIF($E83:AB83,1),ColDescriptionCourte)),""),
  "")),"")</f>
        <v/>
      </c>
      <c r="AD83" s="40" t="str">
        <f ca="1">IFERROR(IF(AND(
  INDEX(Roadmap!$D:$K,MATCH($E83,Roadmap!$D:$D,0)+COUNTIF($E83:AC83,"u")+COUNTIF($E83:AC83,"t")+COUNTIF($E83:AC83,"¶")+COUNTIF($E83:AC83,"²")+COUNTIF($E83:AC83,"µ")+COUNTIF($E83:AC83,1),ColLivraison)=AD$6,
  VLOOKUP($E83,INDIRECT("tri!"&amp; CHAR(64+ C0Col) &amp;":"&amp; CHAR(65+C0Col)),2,FALSE)&gt;COUNTIF($E83:AC83,"u")+COUNTIF($E83:AC83,"t")+COUNTIF($E83:AC83,"¶")+COUNTIF($E83:AC83,"²")+COUNTIF($E83:AC83,"µ")+COUNTIF($E83:AC83,1)),
HYPERLINK("#Roadmap!C"&amp; MATCH($E83,Roadmap!$D:$D,0)+COUNTIF($E83:AC83,"u")+COUNTIF($E83:AC83,"t"),
     INDEX(Roadmap!$D:$K,MATCH($E83,Roadmap!$D:$D,0)+COUNTIF($E83:AC83,"u")+COUNTIF($E83:AC83,"t")+COUNTIF($E83:AC83,"¶")+COUNTIF($E83:AC83,"²")+COUNTIF($E83:AC83,"µ")+COUNTIF($E83:AC83,1),ColTypeEcheance)),
  IF(LEN(AC83)=1,
  IF(LEN(INDEX(Roadmap!$D:$K,MATCH($E83,Roadmap!$D:$D,0)-1+COUNTIF($E83:AC83,"u")+COUNTIF($E83:AC83,"t")+COUNTIF($E83:AC83,"¶")+COUNTIF($E83:AC83,"²")+COUNTIF($E83:AC83,"µ")+COUNTIF($E83:AC83,1),ColDescriptionCourte))&gt;1,
HYPERLINK("#Roadmap!C"&amp; MATCH($E83,Roadmap!$D:$D,0)+COUNTIF($E83:AC83,"u")+COUNTIF($E83:AC83,"t")+COUNTIF($E83:AC83,"¶")+COUNTIF($E83:AC83,"²")+COUNTIF($E83:AC83,"µ")+COUNTIF($E83:AC83,1)-1,INDEX(Roadmap!$D:$K,MATCH($E83,Roadmap!$D:$D,0)-1+COUNTIF($E83:AC83,"u")+COUNTIF($E83:AC83,"t")+COUNTIF($E83:AC83,"¶")+COUNTIF($E83:AC83,"²")+COUNTIF($E83:AC83,"µ")+COUNTIF($E83:AC83,1),ColDescriptionCourte)),""),
  "")),"")</f>
        <v/>
      </c>
      <c r="AE83" s="40" t="str">
        <f ca="1">IFERROR(IF(AND(
  INDEX(Roadmap!$D:$K,MATCH($E83,Roadmap!$D:$D,0)+COUNTIF($E83:AD83,"u")+COUNTIF($E83:AD83,"t")+COUNTIF($E83:AD83,"¶")+COUNTIF($E83:AD83,"²")+COUNTIF($E83:AD83,"µ")+COUNTIF($E83:AD83,1),ColLivraison)=AE$6,
  VLOOKUP($E83,INDIRECT("tri!"&amp; CHAR(64+ C0Col) &amp;":"&amp; CHAR(65+C0Col)),2,FALSE)&gt;COUNTIF($E83:AD83,"u")+COUNTIF($E83:AD83,"t")+COUNTIF($E83:AD83,"¶")+COUNTIF($E83:AD83,"²")+COUNTIF($E83:AD83,"µ")+COUNTIF($E83:AD83,1)),
HYPERLINK("#Roadmap!C"&amp; MATCH($E83,Roadmap!$D:$D,0)+COUNTIF($E83:AD83,"u")+COUNTIF($E83:AD83,"t"),
     INDEX(Roadmap!$D:$K,MATCH($E83,Roadmap!$D:$D,0)+COUNTIF($E83:AD83,"u")+COUNTIF($E83:AD83,"t")+COUNTIF($E83:AD83,"¶")+COUNTIF($E83:AD83,"²")+COUNTIF($E83:AD83,"µ")+COUNTIF($E83:AD83,1),ColTypeEcheance)),
  IF(LEN(AD83)=1,
  IF(LEN(INDEX(Roadmap!$D:$K,MATCH($E83,Roadmap!$D:$D,0)-1+COUNTIF($E83:AD83,"u")+COUNTIF($E83:AD83,"t")+COUNTIF($E83:AD83,"¶")+COUNTIF($E83:AD83,"²")+COUNTIF($E83:AD83,"µ")+COUNTIF($E83:AD83,1),ColDescriptionCourte))&gt;1,
HYPERLINK("#Roadmap!C"&amp; MATCH($E83,Roadmap!$D:$D,0)+COUNTIF($E83:AD83,"u")+COUNTIF($E83:AD83,"t")+COUNTIF($E83:AD83,"¶")+COUNTIF($E83:AD83,"²")+COUNTIF($E83:AD83,"µ")+COUNTIF($E83:AD83,1)-1,INDEX(Roadmap!$D:$K,MATCH($E83,Roadmap!$D:$D,0)-1+COUNTIF($E83:AD83,"u")+COUNTIF($E83:AD83,"t")+COUNTIF($E83:AD83,"¶")+COUNTIF($E83:AD83,"²")+COUNTIF($E83:AD83,"µ")+COUNTIF($E83:AD83,1),ColDescriptionCourte)),""),
  "")),"")</f>
        <v/>
      </c>
      <c r="AF83" s="40" t="str">
        <f ca="1">IFERROR(IF(AND(
  INDEX(Roadmap!$D:$K,MATCH($E83,Roadmap!$D:$D,0)+COUNTIF($E83:AE83,"u")+COUNTIF($E83:AE83,"t")+COUNTIF($E83:AE83,"¶")+COUNTIF($E83:AE83,"²")+COUNTIF($E83:AE83,"µ")+COUNTIF($E83:AE83,1),ColLivraison)=AF$6,
  VLOOKUP($E83,INDIRECT("tri!"&amp; CHAR(64+ C0Col) &amp;":"&amp; CHAR(65+C0Col)),2,FALSE)&gt;COUNTIF($E83:AE83,"u")+COUNTIF($E83:AE83,"t")+COUNTIF($E83:AE83,"¶")+COUNTIF($E83:AE83,"²")+COUNTIF($E83:AE83,"µ")+COUNTIF($E83:AE83,1)),
HYPERLINK("#Roadmap!C"&amp; MATCH($E83,Roadmap!$D:$D,0)+COUNTIF($E83:AE83,"u")+COUNTIF($E83:AE83,"t"),
     INDEX(Roadmap!$D:$K,MATCH($E83,Roadmap!$D:$D,0)+COUNTIF($E83:AE83,"u")+COUNTIF($E83:AE83,"t")+COUNTIF($E83:AE83,"¶")+COUNTIF($E83:AE83,"²")+COUNTIF($E83:AE83,"µ")+COUNTIF($E83:AE83,1),ColTypeEcheance)),
  IF(LEN(AE83)=1,
  IF(LEN(INDEX(Roadmap!$D:$K,MATCH($E83,Roadmap!$D:$D,0)-1+COUNTIF($E83:AE83,"u")+COUNTIF($E83:AE83,"t")+COUNTIF($E83:AE83,"¶")+COUNTIF($E83:AE83,"²")+COUNTIF($E83:AE83,"µ")+COUNTIF($E83:AE83,1),ColDescriptionCourte))&gt;1,
HYPERLINK("#Roadmap!C"&amp; MATCH($E83,Roadmap!$D:$D,0)+COUNTIF($E83:AE83,"u")+COUNTIF($E83:AE83,"t")+COUNTIF($E83:AE83,"¶")+COUNTIF($E83:AE83,"²")+COUNTIF($E83:AE83,"µ")+COUNTIF($E83:AE83,1)-1,INDEX(Roadmap!$D:$K,MATCH($E83,Roadmap!$D:$D,0)-1+COUNTIF($E83:AE83,"u")+COUNTIF($E83:AE83,"t")+COUNTIF($E83:AE83,"¶")+COUNTIF($E83:AE83,"²")+COUNTIF($E83:AE83,"µ")+COUNTIF($E83:AE83,1),ColDescriptionCourte)),""),
  "")),"")</f>
        <v/>
      </c>
      <c r="AG83" s="40" t="str">
        <f ca="1">IFERROR(IF(AND(
  INDEX(Roadmap!$D:$K,MATCH($E83,Roadmap!$D:$D,0)+COUNTIF($E83:AF83,"u")+COUNTIF($E83:AF83,"t")+COUNTIF($E83:AF83,"¶")+COUNTIF($E83:AF83,"²")+COUNTIF($E83:AF83,"µ")+COUNTIF($E83:AF83,1),ColLivraison)=AG$6,
  VLOOKUP($E83,INDIRECT("tri!"&amp; CHAR(64+ C0Col) &amp;":"&amp; CHAR(65+C0Col)),2,FALSE)&gt;COUNTIF($E83:AF83,"u")+COUNTIF($E83:AF83,"t")+COUNTIF($E83:AF83,"¶")+COUNTIF($E83:AF83,"²")+COUNTIF($E83:AF83,"µ")+COUNTIF($E83:AF83,1)),
HYPERLINK("#Roadmap!C"&amp; MATCH($E83,Roadmap!$D:$D,0)+COUNTIF($E83:AF83,"u")+COUNTIF($E83:AF83,"t"),
     INDEX(Roadmap!$D:$K,MATCH($E83,Roadmap!$D:$D,0)+COUNTIF($E83:AF83,"u")+COUNTIF($E83:AF83,"t")+COUNTIF($E83:AF83,"¶")+COUNTIF($E83:AF83,"²")+COUNTIF($E83:AF83,"µ")+COUNTIF($E83:AF83,1),ColTypeEcheance)),
  IF(LEN(AF83)=1,
  IF(LEN(INDEX(Roadmap!$D:$K,MATCH($E83,Roadmap!$D:$D,0)-1+COUNTIF($E83:AF83,"u")+COUNTIF($E83:AF83,"t")+COUNTIF($E83:AF83,"¶")+COUNTIF($E83:AF83,"²")+COUNTIF($E83:AF83,"µ")+COUNTIF($E83:AF83,1),ColDescriptionCourte))&gt;1,
HYPERLINK("#Roadmap!C"&amp; MATCH($E83,Roadmap!$D:$D,0)+COUNTIF($E83:AF83,"u")+COUNTIF($E83:AF83,"t")+COUNTIF($E83:AF83,"¶")+COUNTIF($E83:AF83,"²")+COUNTIF($E83:AF83,"µ")+COUNTIF($E83:AF83,1)-1,INDEX(Roadmap!$D:$K,MATCH($E83,Roadmap!$D:$D,0)-1+COUNTIF($E83:AF83,"u")+COUNTIF($E83:AF83,"t")+COUNTIF($E83:AF83,"¶")+COUNTIF($E83:AF83,"²")+COUNTIF($E83:AF83,"µ")+COUNTIF($E83:AF83,1),ColDescriptionCourte)),""),
  "")),"")</f>
        <v/>
      </c>
      <c r="AH83" s="40" t="str">
        <f ca="1">IFERROR(IF(AND(
  INDEX(Roadmap!$D:$K,MATCH($E83,Roadmap!$D:$D,0)+COUNTIF($E83:AG83,"u")+COUNTIF($E83:AG83,"t")+COUNTIF($E83:AG83,1),ColLivraison)=AH$6,
  VLOOKUP($E83,INDIRECT("tri!"&amp; CHAR(64+ C0Col) &amp;":"&amp; CHAR(65+C0Col)),2,FALSE)&gt;COUNTIF($E83:AG83,"u")+COUNTIF($E83:AG83,"t")+COUNTIF($E83:AG83,1)),
HYPERLINK("#Roadmap!C"&amp; MATCH($E83,Roadmap!$D:$D,0)+COUNTIF($E83:AG83,"u")+COUNTIF($E83:AG83,"t"),
     INDEX(Roadmap!$D:$K,MATCH($E83,Roadmap!$D:$D,0)+COUNTIF($E83:AG83,"u")+COUNTIF($E83:AG83,"t")+COUNTIF($E83:AG83,1),ColTypeEcheance)),
  IF(OR(AG83="u",AG83="t",AG83=1),
  IF(LEN(INDEX(Roadmap!$D:$K,MATCH($E83,Roadmap!$D:$D,0)-1+COUNTIF($E83:AG83,"u")+COUNTIF($E83:AG83,"t")+COUNTIF($E83:AG83,1),ColDescriptionCourte))&gt;1,
HYPERLINK("#Roadmap!C"&amp; MATCH($E83,Roadmap!$D:$D,0)+COUNTIF($E83:AG83,"u")+COUNTIF($E83:AG83,"t")+COUNTIF($E83:AG83,1)-1,INDEX(Roadmap!$D:$K,MATCH($E83,Roadmap!$D:$D,0)-1+COUNTIF($E83:AG83,"u")+COUNTIF($E83:AG83,"t")+COUNTIF($E83:AG83,1),ColDescriptionCourte)),""),
  "")),"")</f>
        <v/>
      </c>
      <c r="AI83" s="40"/>
      <c r="AJ83" s="40"/>
      <c r="AK83" s="40"/>
      <c r="AL83" s="40"/>
      <c r="AM83" s="40"/>
    </row>
    <row r="84" spans="4:39" ht="14.1" customHeight="1">
      <c r="D84" s="20" t="str">
        <f t="shared" ca="1" si="29"/>
        <v/>
      </c>
      <c r="E84" s="53" t="str">
        <f t="shared" ca="1" si="30"/>
        <v/>
      </c>
      <c r="F84" s="39" t="str">
        <f ca="1">IFERROR(IF(AND(
  INDEX(Roadmap!$D:$K,MATCH($E84,Roadmap!$D:$D,0)+COUNTIF($E84:E84,"u")+COUNTIF($E84:E84,"t")+COUNTIF($E84:E84,"¶")+COUNTIF($E84:E84,"²")+COUNTIF($E84:E84,"µ")+COUNTIF($E84:E84,1),ColLivraison)=F$6,
  VLOOKUP($E84,INDIRECT("tri!"&amp; CHAR(64+ C0Col) &amp;":"&amp; CHAR(65+C0Col)),2,FALSE)&gt;COUNTIF($E84:E84,"u")+COUNTIF($E84:E84,"t")+COUNTIF($E84:E84,"¶")+COUNTIF($E84:E84,"²")+COUNTIF($E84:E84,"µ")+COUNTIF($E84:E84,1)),
HYPERLINK("#Roadmap!C"&amp; MATCH($E84,Roadmap!$D:$D,0)+COUNTIF($E84:E84,"u")+COUNTIF($E84:E84,"t"),
     INDEX(Roadmap!$D:$K,MATCH($E84,Roadmap!$D:$D,0)+COUNTIF($E84:E84,"u")+COUNTIF($E84:E84,"t")+COUNTIF($E84:E84,"¶")+COUNTIF($E84:E84,"²")+COUNTIF($E84:E84,"µ")+COUNTIF($E84:E84,1),ColTypeEcheance)),
  IF(LEN(E84)=1,
  IF(LEN(INDEX(Roadmap!$D:$K,MATCH($E84,Roadmap!$D:$D,0)-1+COUNTIF($E84:E84,"u")+COUNTIF($E84:E84,"t")+COUNTIF($E84:E84,"¶")+COUNTIF($E84:E84,"²")+COUNTIF($E84:E84,"µ")+COUNTIF($E84:E84,1),ColDescriptionCourte))&gt;1,
HYPERLINK("#Roadmap!C"&amp; MATCH($E84,Roadmap!$D:$D,0)+COUNTIF($E84:E84,"u")+COUNTIF($E84:E84,"t")+COUNTIF($E84:E84,"¶")+COUNTIF($E84:E84,"²")+COUNTIF($E84:E84,"µ")+COUNTIF($E84:E84,1)-1,INDEX(Roadmap!$D:$K,MATCH($E84,Roadmap!$D:$D,0)-1+COUNTIF($E84:E84,"u")+COUNTIF($E84:E84,"t")+COUNTIF($E84:E84,"¶")+COUNTIF($E84:E84,"²")+COUNTIF($E84:E84,"µ")+COUNTIF($E84:E84,1),ColDescriptionCourte)),""),
  "")),"")</f>
        <v/>
      </c>
      <c r="G84" s="40" t="str">
        <f ca="1">IFERROR(IF(AND(
  INDEX(Roadmap!$D:$K,MATCH($E84,Roadmap!$D:$D,0)+COUNTIF($E84:F84,"u")+COUNTIF($E84:F84,"t")+COUNTIF($E84:F84,"¶")+COUNTIF($E84:F84,"²")+COUNTIF($E84:F84,"µ")+COUNTIF($E84:F84,1),ColLivraison)=G$6,
  VLOOKUP($E84,INDIRECT("tri!"&amp; CHAR(64+ C0Col) &amp;":"&amp; CHAR(65+C0Col)),2,FALSE)&gt;COUNTIF($E84:F84,"u")+COUNTIF($E84:F84,"t")+COUNTIF($E84:F84,"¶")+COUNTIF($E84:F84,"²")+COUNTIF($E84:F84,"µ")+COUNTIF($E84:F84,1)),
HYPERLINK("#Roadmap!C"&amp; MATCH($E84,Roadmap!$D:$D,0)+COUNTIF($E84:F84,"u")+COUNTIF($E84:F84,"t"),
     INDEX(Roadmap!$D:$K,MATCH($E84,Roadmap!$D:$D,0)+COUNTIF($E84:F84,"u")+COUNTIF($E84:F84,"t")+COUNTIF($E84:F84,"¶")+COUNTIF($E84:F84,"²")+COUNTIF($E84:F84,"µ")+COUNTIF($E84:F84,1),ColTypeEcheance)),
  IF(LEN(F84)=1,
  IF(LEN(INDEX(Roadmap!$D:$K,MATCH($E84,Roadmap!$D:$D,0)-1+COUNTIF($E84:F84,"u")+COUNTIF($E84:F84,"t")+COUNTIF($E84:F84,"¶")+COUNTIF($E84:F84,"²")+COUNTIF($E84:F84,"µ")+COUNTIF($E84:F84,1),ColDescriptionCourte))&gt;1,
HYPERLINK("#Roadmap!C"&amp; MATCH($E84,Roadmap!$D:$D,0)+COUNTIF($E84:F84,"u")+COUNTIF($E84:F84,"t")+COUNTIF($E84:F84,"¶")+COUNTIF($E84:F84,"²")+COUNTIF($E84:F84,"µ")+COUNTIF($E84:F84,1)-1,INDEX(Roadmap!$D:$K,MATCH($E84,Roadmap!$D:$D,0)-1+COUNTIF($E84:F84,"u")+COUNTIF($E84:F84,"t")+COUNTIF($E84:F84,"¶")+COUNTIF($E84:F84,"²")+COUNTIF($E84:F84,"µ")+COUNTIF($E84:F84,1),ColDescriptionCourte)),""),
  "")),"")</f>
        <v/>
      </c>
      <c r="H84" s="40" t="str">
        <f ca="1">IFERROR(IF(AND(
  INDEX(Roadmap!$D:$K,MATCH($E84,Roadmap!$D:$D,0)+COUNTIF($E84:G84,"u")+COUNTIF($E84:G84,"t")+COUNTIF($E84:G84,"¶")+COUNTIF($E84:G84,"²")+COUNTIF($E84:G84,"µ")+COUNTIF($E84:G84,1),ColLivraison)=H$6,
  VLOOKUP($E84,INDIRECT("tri!"&amp; CHAR(64+ C0Col) &amp;":"&amp; CHAR(65+C0Col)),2,FALSE)&gt;COUNTIF($E84:G84,"u")+COUNTIF($E84:G84,"t")+COUNTIF($E84:G84,"¶")+COUNTIF($E84:G84,"²")+COUNTIF($E84:G84,"µ")+COUNTIF($E84:G84,1)),
HYPERLINK("#Roadmap!C"&amp; MATCH($E84,Roadmap!$D:$D,0)+COUNTIF($E84:G84,"u")+COUNTIF($E84:G84,"t"),
     INDEX(Roadmap!$D:$K,MATCH($E84,Roadmap!$D:$D,0)+COUNTIF($E84:G84,"u")+COUNTIF($E84:G84,"t")+COUNTIF($E84:G84,"¶")+COUNTIF($E84:G84,"²")+COUNTIF($E84:G84,"µ")+COUNTIF($E84:G84,1),ColTypeEcheance)),
  IF(LEN(G84)=1,
  IF(LEN(INDEX(Roadmap!$D:$K,MATCH($E84,Roadmap!$D:$D,0)-1+COUNTIF($E84:G84,"u")+COUNTIF($E84:G84,"t")+COUNTIF($E84:G84,"¶")+COUNTIF($E84:G84,"²")+COUNTIF($E84:G84,"µ")+COUNTIF($E84:G84,1),ColDescriptionCourte))&gt;1,
HYPERLINK("#Roadmap!C"&amp; MATCH($E84,Roadmap!$D:$D,0)+COUNTIF($E84:G84,"u")+COUNTIF($E84:G84,"t")+COUNTIF($E84:G84,"¶")+COUNTIF($E84:G84,"²")+COUNTIF($E84:G84,"µ")+COUNTIF($E84:G84,1)-1,INDEX(Roadmap!$D:$K,MATCH($E84,Roadmap!$D:$D,0)-1+COUNTIF($E84:G84,"u")+COUNTIF($E84:G84,"t")+COUNTIF($E84:G84,"¶")+COUNTIF($E84:G84,"²")+COUNTIF($E84:G84,"µ")+COUNTIF($E84:G84,1),ColDescriptionCourte)),""),
  "")),"")</f>
        <v/>
      </c>
      <c r="I84" s="40" t="str">
        <f ca="1">IFERROR(IF(AND(
  INDEX(Roadmap!$D:$K,MATCH($E84,Roadmap!$D:$D,0)+COUNTIF($E84:H84,"u")+COUNTIF($E84:H84,"t")+COUNTIF($E84:H84,"¶")+COUNTIF($E84:H84,"²")+COUNTIF($E84:H84,"µ")+COUNTIF($E84:H84,1),ColLivraison)=I$6,
  VLOOKUP($E84,INDIRECT("tri!"&amp; CHAR(64+ C0Col) &amp;":"&amp; CHAR(65+C0Col)),2,FALSE)&gt;COUNTIF($E84:H84,"u")+COUNTIF($E84:H84,"t")+COUNTIF($E84:H84,"¶")+COUNTIF($E84:H84,"²")+COUNTIF($E84:H84,"µ")+COUNTIF($E84:H84,1)),
HYPERLINK("#Roadmap!C"&amp; MATCH($E84,Roadmap!$D:$D,0)+COUNTIF($E84:H84,"u")+COUNTIF($E84:H84,"t"),
     INDEX(Roadmap!$D:$K,MATCH($E84,Roadmap!$D:$D,0)+COUNTIF($E84:H84,"u")+COUNTIF($E84:H84,"t")+COUNTIF($E84:H84,"¶")+COUNTIF($E84:H84,"²")+COUNTIF($E84:H84,"µ")+COUNTIF($E84:H84,1),ColTypeEcheance)),
  IF(LEN(H84)=1,
  IF(LEN(INDEX(Roadmap!$D:$K,MATCH($E84,Roadmap!$D:$D,0)-1+COUNTIF($E84:H84,"u")+COUNTIF($E84:H84,"t")+COUNTIF($E84:H84,"¶")+COUNTIF($E84:H84,"²")+COUNTIF($E84:H84,"µ")+COUNTIF($E84:H84,1),ColDescriptionCourte))&gt;1,
HYPERLINK("#Roadmap!C"&amp; MATCH($E84,Roadmap!$D:$D,0)+COUNTIF($E84:H84,"u")+COUNTIF($E84:H84,"t")+COUNTIF($E84:H84,"¶")+COUNTIF($E84:H84,"²")+COUNTIF($E84:H84,"µ")+COUNTIF($E84:H84,1)-1,INDEX(Roadmap!$D:$K,MATCH($E84,Roadmap!$D:$D,0)-1+COUNTIF($E84:H84,"u")+COUNTIF($E84:H84,"t")+COUNTIF($E84:H84,"¶")+COUNTIF($E84:H84,"²")+COUNTIF($E84:H84,"µ")+COUNTIF($E84:H84,1),ColDescriptionCourte)),""),
  "")),"")</f>
        <v/>
      </c>
      <c r="J84" s="40" t="str">
        <f ca="1">IFERROR(IF(AND(
  INDEX(Roadmap!$D:$K,MATCH($E84,Roadmap!$D:$D,0)+COUNTIF($E84:I84,"u")+COUNTIF($E84:I84,"t")+COUNTIF($E84:I84,"¶")+COUNTIF($E84:I84,"²")+COUNTIF($E84:I84,"µ")+COUNTIF($E84:I84,1),ColLivraison)=J$6,
  VLOOKUP($E84,INDIRECT("tri!"&amp; CHAR(64+ C0Col) &amp;":"&amp; CHAR(65+C0Col)),2,FALSE)&gt;COUNTIF($E84:I84,"u")+COUNTIF($E84:I84,"t")+COUNTIF($E84:I84,"¶")+COUNTIF($E84:I84,"²")+COUNTIF($E84:I84,"µ")+COUNTIF($E84:I84,1)),
HYPERLINK("#Roadmap!C"&amp; MATCH($E84,Roadmap!$D:$D,0)+COUNTIF($E84:I84,"u")+COUNTIF($E84:I84,"t"),
     INDEX(Roadmap!$D:$K,MATCH($E84,Roadmap!$D:$D,0)+COUNTIF($E84:I84,"u")+COUNTIF($E84:I84,"t")+COUNTIF($E84:I84,"¶")+COUNTIF($E84:I84,"²")+COUNTIF($E84:I84,"µ")+COUNTIF($E84:I84,1),ColTypeEcheance)),
  IF(LEN(I84)=1,
  IF(LEN(INDEX(Roadmap!$D:$K,MATCH($E84,Roadmap!$D:$D,0)-1+COUNTIF($E84:I84,"u")+COUNTIF($E84:I84,"t")+COUNTIF($E84:I84,"¶")+COUNTIF($E84:I84,"²")+COUNTIF($E84:I84,"µ")+COUNTIF($E84:I84,1),ColDescriptionCourte))&gt;1,
HYPERLINK("#Roadmap!C"&amp; MATCH($E84,Roadmap!$D:$D,0)+COUNTIF($E84:I84,"u")+COUNTIF($E84:I84,"t")+COUNTIF($E84:I84,"¶")+COUNTIF($E84:I84,"²")+COUNTIF($E84:I84,"µ")+COUNTIF($E84:I84,1)-1,INDEX(Roadmap!$D:$K,MATCH($E84,Roadmap!$D:$D,0)-1+COUNTIF($E84:I84,"u")+COUNTIF($E84:I84,"t")+COUNTIF($E84:I84,"¶")+COUNTIF($E84:I84,"²")+COUNTIF($E84:I84,"µ")+COUNTIF($E84:I84,1),ColDescriptionCourte)),""),
  "")),"")</f>
        <v/>
      </c>
      <c r="K84" s="40" t="str">
        <f ca="1">IFERROR(IF(AND(
  INDEX(Roadmap!$D:$K,MATCH($E84,Roadmap!$D:$D,0)+COUNTIF($E84:J84,"u")+COUNTIF($E84:J84,"t")+COUNTIF($E84:J84,"¶")+COUNTIF($E84:J84,"²")+COUNTIF($E84:J84,"µ")+COUNTIF($E84:J84,1),ColLivraison)=K$6,
  VLOOKUP($E84,INDIRECT("tri!"&amp; CHAR(64+ C0Col) &amp;":"&amp; CHAR(65+C0Col)),2,FALSE)&gt;COUNTIF($E84:J84,"u")+COUNTIF($E84:J84,"t")+COUNTIF($E84:J84,"¶")+COUNTIF($E84:J84,"²")+COUNTIF($E84:J84,"µ")+COUNTIF($E84:J84,1)),
HYPERLINK("#Roadmap!C"&amp; MATCH($E84,Roadmap!$D:$D,0)+COUNTIF($E84:J84,"u")+COUNTIF($E84:J84,"t"),
     INDEX(Roadmap!$D:$K,MATCH($E84,Roadmap!$D:$D,0)+COUNTIF($E84:J84,"u")+COUNTIF($E84:J84,"t")+COUNTIF($E84:J84,"¶")+COUNTIF($E84:J84,"²")+COUNTIF($E84:J84,"µ")+COUNTIF($E84:J84,1),ColTypeEcheance)),
  IF(LEN(J84)=1,
  IF(LEN(INDEX(Roadmap!$D:$K,MATCH($E84,Roadmap!$D:$D,0)-1+COUNTIF($E84:J84,"u")+COUNTIF($E84:J84,"t")+COUNTIF($E84:J84,"¶")+COUNTIF($E84:J84,"²")+COUNTIF($E84:J84,"µ")+COUNTIF($E84:J84,1),ColDescriptionCourte))&gt;1,
HYPERLINK("#Roadmap!C"&amp; MATCH($E84,Roadmap!$D:$D,0)+COUNTIF($E84:J84,"u")+COUNTIF($E84:J84,"t")+COUNTIF($E84:J84,"¶")+COUNTIF($E84:J84,"²")+COUNTIF($E84:J84,"µ")+COUNTIF($E84:J84,1)-1,INDEX(Roadmap!$D:$K,MATCH($E84,Roadmap!$D:$D,0)-1+COUNTIF($E84:J84,"u")+COUNTIF($E84:J84,"t")+COUNTIF($E84:J84,"¶")+COUNTIF($E84:J84,"²")+COUNTIF($E84:J84,"µ")+COUNTIF($E84:J84,1),ColDescriptionCourte)),""),
  "")),"")</f>
        <v/>
      </c>
      <c r="L84" s="39" t="str">
        <f ca="1">IFERROR(IF(AND(
  INDEX(Roadmap!$D:$K,MATCH($E84,Roadmap!$D:$D,0)+COUNTIF($E84:K84,"u")+COUNTIF($E84:K84,"t")+COUNTIF($E84:K84,"¶")+COUNTIF($E84:K84,"²")+COUNTIF($E84:K84,"µ")+COUNTIF($E84:K84,1),ColLivraison)=L$6,
  VLOOKUP($E84,INDIRECT("tri!"&amp; CHAR(64+ C0Col) &amp;":"&amp; CHAR(65+C0Col)),2,FALSE)&gt;COUNTIF($E84:K84,"u")+COUNTIF($E84:K84,"t")+COUNTIF($E84:K84,"¶")+COUNTIF($E84:K84,"²")+COUNTIF($E84:K84,"µ")+COUNTIF($E84:K84,1)),
HYPERLINK("#Roadmap!C"&amp; MATCH($E84,Roadmap!$D:$D,0)+COUNTIF($E84:K84,"u")+COUNTIF($E84:K84,"t"),
     INDEX(Roadmap!$D:$K,MATCH($E84,Roadmap!$D:$D,0)+COUNTIF($E84:K84,"u")+COUNTIF($E84:K84,"t")+COUNTIF($E84:K84,"¶")+COUNTIF($E84:K84,"²")+COUNTIF($E84:K84,"µ")+COUNTIF($E84:K84,1),ColTypeEcheance)),
  IF(LEN(K84)=1,
  IF(LEN(INDEX(Roadmap!$D:$K,MATCH($E84,Roadmap!$D:$D,0)-1+COUNTIF($E84:K84,"u")+COUNTIF($E84:K84,"t")+COUNTIF($E84:K84,"¶")+COUNTIF($E84:K84,"²")+COUNTIF($E84:K84,"µ")+COUNTIF($E84:K84,1),ColDescriptionCourte))&gt;1,
HYPERLINK("#Roadmap!C"&amp; MATCH($E84,Roadmap!$D:$D,0)+COUNTIF($E84:K84,"u")+COUNTIF($E84:K84,"t")+COUNTIF($E84:K84,"¶")+COUNTIF($E84:K84,"²")+COUNTIF($E84:K84,"µ")+COUNTIF($E84:K84,1)-1,INDEX(Roadmap!$D:$K,MATCH($E84,Roadmap!$D:$D,0)-1+COUNTIF($E84:K84,"u")+COUNTIF($E84:K84,"t")+COUNTIF($E84:K84,"¶")+COUNTIF($E84:K84,"²")+COUNTIF($E84:K84,"µ")+COUNTIF($E84:K84,1),ColDescriptionCourte)),""),
  "")),"")</f>
        <v/>
      </c>
      <c r="M84" s="40" t="str">
        <f ca="1">IFERROR(IF(AND(
  INDEX(Roadmap!$D:$K,MATCH($E84,Roadmap!$D:$D,0)+COUNTIF($E84:L84,"u")+COUNTIF($E84:L84,"t")+COUNTIF($E84:L84,"¶")+COUNTIF($E84:L84,"²")+COUNTIF($E84:L84,"µ")+COUNTIF($E84:L84,1),ColLivraison)=M$6,
  VLOOKUP($E84,INDIRECT("tri!"&amp; CHAR(64+ C0Col) &amp;":"&amp; CHAR(65+C0Col)),2,FALSE)&gt;COUNTIF($E84:L84,"u")+COUNTIF($E84:L84,"t")+COUNTIF($E84:L84,"¶")+COUNTIF($E84:L84,"²")+COUNTIF($E84:L84,"µ")+COUNTIF($E84:L84,1)),
HYPERLINK("#Roadmap!C"&amp; MATCH($E84,Roadmap!$D:$D,0)+COUNTIF($E84:L84,"u")+COUNTIF($E84:L84,"t"),
     INDEX(Roadmap!$D:$K,MATCH($E84,Roadmap!$D:$D,0)+COUNTIF($E84:L84,"u")+COUNTIF($E84:L84,"t")+COUNTIF($E84:L84,"¶")+COUNTIF($E84:L84,"²")+COUNTIF($E84:L84,"µ")+COUNTIF($E84:L84,1),ColTypeEcheance)),
  IF(LEN(L84)=1,
  IF(LEN(INDEX(Roadmap!$D:$K,MATCH($E84,Roadmap!$D:$D,0)-1+COUNTIF($E84:L84,"u")+COUNTIF($E84:L84,"t")+COUNTIF($E84:L84,"¶")+COUNTIF($E84:L84,"²")+COUNTIF($E84:L84,"µ")+COUNTIF($E84:L84,1),ColDescriptionCourte))&gt;1,
HYPERLINK("#Roadmap!C"&amp; MATCH($E84,Roadmap!$D:$D,0)+COUNTIF($E84:L84,"u")+COUNTIF($E84:L84,"t")+COUNTIF($E84:L84,"¶")+COUNTIF($E84:L84,"²")+COUNTIF($E84:L84,"µ")+COUNTIF($E84:L84,1)-1,INDEX(Roadmap!$D:$K,MATCH($E84,Roadmap!$D:$D,0)-1+COUNTIF($E84:L84,"u")+COUNTIF($E84:L84,"t")+COUNTIF($E84:L84,"¶")+COUNTIF($E84:L84,"²")+COUNTIF($E84:L84,"µ")+COUNTIF($E84:L84,1),ColDescriptionCourte)),""),
  "")),"")</f>
        <v/>
      </c>
      <c r="N84" s="40" t="str">
        <f ca="1">IFERROR(IF(AND(
  INDEX(Roadmap!$D:$K,MATCH($E84,Roadmap!$D:$D,0)+COUNTIF($E84:M84,"u")+COUNTIF($E84:M84,"t")+COUNTIF($E84:M84,"¶")+COUNTIF($E84:M84,"²")+COUNTIF($E84:M84,"µ")+COUNTIF($E84:M84,1),ColLivraison)=N$6,
  VLOOKUP($E84,INDIRECT("tri!"&amp; CHAR(64+ C0Col) &amp;":"&amp; CHAR(65+C0Col)),2,FALSE)&gt;COUNTIF($E84:M84,"u")+COUNTIF($E84:M84,"t")+COUNTIF($E84:M84,"¶")+COUNTIF($E84:M84,"²")+COUNTIF($E84:M84,"µ")+COUNTIF($E84:M84,1)),
HYPERLINK("#Roadmap!C"&amp; MATCH($E84,Roadmap!$D:$D,0)+COUNTIF($E84:M84,"u")+COUNTIF($E84:M84,"t"),
     INDEX(Roadmap!$D:$K,MATCH($E84,Roadmap!$D:$D,0)+COUNTIF($E84:M84,"u")+COUNTIF($E84:M84,"t")+COUNTIF($E84:M84,"¶")+COUNTIF($E84:M84,"²")+COUNTIF($E84:M84,"µ")+COUNTIF($E84:M84,1),ColTypeEcheance)),
  IF(LEN(M84)=1,
  IF(LEN(INDEX(Roadmap!$D:$K,MATCH($E84,Roadmap!$D:$D,0)-1+COUNTIF($E84:M84,"u")+COUNTIF($E84:M84,"t")+COUNTIF($E84:M84,"¶")+COUNTIF($E84:M84,"²")+COUNTIF($E84:M84,"µ")+COUNTIF($E84:M84,1),ColDescriptionCourte))&gt;1,
HYPERLINK("#Roadmap!C"&amp; MATCH($E84,Roadmap!$D:$D,0)+COUNTIF($E84:M84,"u")+COUNTIF($E84:M84,"t")+COUNTIF($E84:M84,"¶")+COUNTIF($E84:M84,"²")+COUNTIF($E84:M84,"µ")+COUNTIF($E84:M84,1)-1,INDEX(Roadmap!$D:$K,MATCH($E84,Roadmap!$D:$D,0)-1+COUNTIF($E84:M84,"u")+COUNTIF($E84:M84,"t")+COUNTIF($E84:M84,"¶")+COUNTIF($E84:M84,"²")+COUNTIF($E84:M84,"µ")+COUNTIF($E84:M84,1),ColDescriptionCourte)),""),
  "")),"")</f>
        <v/>
      </c>
      <c r="O84" s="40" t="str">
        <f ca="1">IFERROR(IF(AND(
  INDEX(Roadmap!$D:$K,MATCH($E84,Roadmap!$D:$D,0)+COUNTIF($E84:N84,"u")+COUNTIF($E84:N84,"t")+COUNTIF($E84:N84,"¶")+COUNTIF($E84:N84,"²")+COUNTIF($E84:N84,"µ")+COUNTIF($E84:N84,1),ColLivraison)=O$6,
  VLOOKUP($E84,INDIRECT("tri!"&amp; CHAR(64+ C0Col) &amp;":"&amp; CHAR(65+C0Col)),2,FALSE)&gt;COUNTIF($E84:N84,"u")+COUNTIF($E84:N84,"t")+COUNTIF($E84:N84,"¶")+COUNTIF($E84:N84,"²")+COUNTIF($E84:N84,"µ")+COUNTIF($E84:N84,1)),
HYPERLINK("#Roadmap!C"&amp; MATCH($E84,Roadmap!$D:$D,0)+COUNTIF($E84:N84,"u")+COUNTIF($E84:N84,"t"),
     INDEX(Roadmap!$D:$K,MATCH($E84,Roadmap!$D:$D,0)+COUNTIF($E84:N84,"u")+COUNTIF($E84:N84,"t")+COUNTIF($E84:N84,"¶")+COUNTIF($E84:N84,"²")+COUNTIF($E84:N84,"µ")+COUNTIF($E84:N84,1),ColTypeEcheance)),
  IF(LEN(N84)=1,
  IF(LEN(INDEX(Roadmap!$D:$K,MATCH($E84,Roadmap!$D:$D,0)-1+COUNTIF($E84:N84,"u")+COUNTIF($E84:N84,"t")+COUNTIF($E84:N84,"¶")+COUNTIF($E84:N84,"²")+COUNTIF($E84:N84,"µ")+COUNTIF($E84:N84,1),ColDescriptionCourte))&gt;1,
HYPERLINK("#Roadmap!C"&amp; MATCH($E84,Roadmap!$D:$D,0)+COUNTIF($E84:N84,"u")+COUNTIF($E84:N84,"t")+COUNTIF($E84:N84,"¶")+COUNTIF($E84:N84,"²")+COUNTIF($E84:N84,"µ")+COUNTIF($E84:N84,1)-1,INDEX(Roadmap!$D:$K,MATCH($E84,Roadmap!$D:$D,0)-1+COUNTIF($E84:N84,"u")+COUNTIF($E84:N84,"t")+COUNTIF($E84:N84,"¶")+COUNTIF($E84:N84,"²")+COUNTIF($E84:N84,"µ")+COUNTIF($E84:N84,1),ColDescriptionCourte)),""),
  "")),"")</f>
        <v/>
      </c>
      <c r="P84" s="40" t="str">
        <f ca="1">IFERROR(IF(AND(
  INDEX(Roadmap!$D:$K,MATCH($E84,Roadmap!$D:$D,0)+COUNTIF($E84:O84,"u")+COUNTIF($E84:O84,"t")+COUNTIF($E84:O84,"¶")+COUNTIF($E84:O84,"²")+COUNTIF($E84:O84,"µ")+COUNTIF($E84:O84,1),ColLivraison)=P$6,
  VLOOKUP($E84,INDIRECT("tri!"&amp; CHAR(64+ C0Col) &amp;":"&amp; CHAR(65+C0Col)),2,FALSE)&gt;COUNTIF($E84:O84,"u")+COUNTIF($E84:O84,"t")+COUNTIF($E84:O84,"¶")+COUNTIF($E84:O84,"²")+COUNTIF($E84:O84,"µ")+COUNTIF($E84:O84,1)),
HYPERLINK("#Roadmap!C"&amp; MATCH($E84,Roadmap!$D:$D,0)+COUNTIF($E84:O84,"u")+COUNTIF($E84:O84,"t"),
     INDEX(Roadmap!$D:$K,MATCH($E84,Roadmap!$D:$D,0)+COUNTIF($E84:O84,"u")+COUNTIF($E84:O84,"t")+COUNTIF($E84:O84,"¶")+COUNTIF($E84:O84,"²")+COUNTIF($E84:O84,"µ")+COUNTIF($E84:O84,1),ColTypeEcheance)),
  IF(LEN(O84)=1,
  IF(LEN(INDEX(Roadmap!$D:$K,MATCH($E84,Roadmap!$D:$D,0)-1+COUNTIF($E84:O84,"u")+COUNTIF($E84:O84,"t")+COUNTIF($E84:O84,"¶")+COUNTIF($E84:O84,"²")+COUNTIF($E84:O84,"µ")+COUNTIF($E84:O84,1),ColDescriptionCourte))&gt;1,
HYPERLINK("#Roadmap!C"&amp; MATCH($E84,Roadmap!$D:$D,0)+COUNTIF($E84:O84,"u")+COUNTIF($E84:O84,"t")+COUNTIF($E84:O84,"¶")+COUNTIF($E84:O84,"²")+COUNTIF($E84:O84,"µ")+COUNTIF($E84:O84,1)-1,INDEX(Roadmap!$D:$K,MATCH($E84,Roadmap!$D:$D,0)-1+COUNTIF($E84:O84,"u")+COUNTIF($E84:O84,"t")+COUNTIF($E84:O84,"¶")+COUNTIF($E84:O84,"²")+COUNTIF($E84:O84,"µ")+COUNTIF($E84:O84,1),ColDescriptionCourte)),""),
  "")),"")</f>
        <v/>
      </c>
      <c r="Q84" s="40" t="str">
        <f ca="1">IFERROR(IF(AND(
  INDEX(Roadmap!$D:$K,MATCH($E84,Roadmap!$D:$D,0)+COUNTIF($E84:P84,"u")+COUNTIF($E84:P84,"t")+COUNTIF($E84:P84,"¶")+COUNTIF($E84:P84,"²")+COUNTIF($E84:P84,"µ")+COUNTIF($E84:P84,1),ColLivraison)=Q$6,
  VLOOKUP($E84,INDIRECT("tri!"&amp; CHAR(64+ C0Col) &amp;":"&amp; CHAR(65+C0Col)),2,FALSE)&gt;COUNTIF($E84:P84,"u")+COUNTIF($E84:P84,"t")+COUNTIF($E84:P84,"¶")+COUNTIF($E84:P84,"²")+COUNTIF($E84:P84,"µ")+COUNTIF($E84:P84,1)),
HYPERLINK("#Roadmap!C"&amp; MATCH($E84,Roadmap!$D:$D,0)+COUNTIF($E84:P84,"u")+COUNTIF($E84:P84,"t"),
     INDEX(Roadmap!$D:$K,MATCH($E84,Roadmap!$D:$D,0)+COUNTIF($E84:P84,"u")+COUNTIF($E84:P84,"t")+COUNTIF($E84:P84,"¶")+COUNTIF($E84:P84,"²")+COUNTIF($E84:P84,"µ")+COUNTIF($E84:P84,1),ColTypeEcheance)),
  IF(LEN(P84)=1,
  IF(LEN(INDEX(Roadmap!$D:$K,MATCH($E84,Roadmap!$D:$D,0)-1+COUNTIF($E84:P84,"u")+COUNTIF($E84:P84,"t")+COUNTIF($E84:P84,"¶")+COUNTIF($E84:P84,"²")+COUNTIF($E84:P84,"µ")+COUNTIF($E84:P84,1),ColDescriptionCourte))&gt;1,
HYPERLINK("#Roadmap!C"&amp; MATCH($E84,Roadmap!$D:$D,0)+COUNTIF($E84:P84,"u")+COUNTIF($E84:P84,"t")+COUNTIF($E84:P84,"¶")+COUNTIF($E84:P84,"²")+COUNTIF($E84:P84,"µ")+COUNTIF($E84:P84,1)-1,INDEX(Roadmap!$D:$K,MATCH($E84,Roadmap!$D:$D,0)-1+COUNTIF($E84:P84,"u")+COUNTIF($E84:P84,"t")+COUNTIF($E84:P84,"¶")+COUNTIF($E84:P84,"²")+COUNTIF($E84:P84,"µ")+COUNTIF($E84:P84,1),ColDescriptionCourte)),""),
  "")),"")</f>
        <v/>
      </c>
      <c r="R84" s="40" t="str">
        <f ca="1">IFERROR(IF(AND(
  INDEX(Roadmap!$D:$K,MATCH($E84,Roadmap!$D:$D,0)+COUNTIF($E84:Q84,"u")+COUNTIF($E84:Q84,"t")+COUNTIF($E84:Q84,"¶")+COUNTIF($E84:Q84,"²")+COUNTIF($E84:Q84,"µ")+COUNTIF($E84:Q84,1),ColLivraison)=R$6,
  VLOOKUP($E84,INDIRECT("tri!"&amp; CHAR(64+ C0Col) &amp;":"&amp; CHAR(65+C0Col)),2,FALSE)&gt;COUNTIF($E84:Q84,"u")+COUNTIF($E84:Q84,"t")+COUNTIF($E84:Q84,"¶")+COUNTIF($E84:Q84,"²")+COUNTIF($E84:Q84,"µ")+COUNTIF($E84:Q84,1)),
HYPERLINK("#Roadmap!C"&amp; MATCH($E84,Roadmap!$D:$D,0)+COUNTIF($E84:Q84,"u")+COUNTIF($E84:Q84,"t"),
     INDEX(Roadmap!$D:$K,MATCH($E84,Roadmap!$D:$D,0)+COUNTIF($E84:Q84,"u")+COUNTIF($E84:Q84,"t")+COUNTIF($E84:Q84,"¶")+COUNTIF($E84:Q84,"²")+COUNTIF($E84:Q84,"µ")+COUNTIF($E84:Q84,1),ColTypeEcheance)),
  IF(LEN(Q84)=1,
  IF(LEN(INDEX(Roadmap!$D:$K,MATCH($E84,Roadmap!$D:$D,0)-1+COUNTIF($E84:Q84,"u")+COUNTIF($E84:Q84,"t")+COUNTIF($E84:Q84,"¶")+COUNTIF($E84:Q84,"²")+COUNTIF($E84:Q84,"µ")+COUNTIF($E84:Q84,1),ColDescriptionCourte))&gt;1,
HYPERLINK("#Roadmap!C"&amp; MATCH($E84,Roadmap!$D:$D,0)+COUNTIF($E84:Q84,"u")+COUNTIF($E84:Q84,"t")+COUNTIF($E84:Q84,"¶")+COUNTIF($E84:Q84,"²")+COUNTIF($E84:Q84,"µ")+COUNTIF($E84:Q84,1)-1,INDEX(Roadmap!$D:$K,MATCH($E84,Roadmap!$D:$D,0)-1+COUNTIF($E84:Q84,"u")+COUNTIF($E84:Q84,"t")+COUNTIF($E84:Q84,"¶")+COUNTIF($E84:Q84,"²")+COUNTIF($E84:Q84,"µ")+COUNTIF($E84:Q84,1),ColDescriptionCourte)),""),
  "")),"")</f>
        <v/>
      </c>
      <c r="S84" s="40" t="str">
        <f ca="1">IFERROR(IF(AND(
  INDEX(Roadmap!$D:$K,MATCH($E84,Roadmap!$D:$D,0)+COUNTIF($E84:R84,"u")+COUNTIF($E84:R84,"t")+COUNTIF($E84:R84,"¶")+COUNTIF($E84:R84,"²")+COUNTIF($E84:R84,"µ")+COUNTIF($E84:R84,1),ColLivraison)=S$6,
  VLOOKUP($E84,INDIRECT("tri!"&amp; CHAR(64+ C0Col) &amp;":"&amp; CHAR(65+C0Col)),2,FALSE)&gt;COUNTIF($E84:R84,"u")+COUNTIF($E84:R84,"t")+COUNTIF($E84:R84,"¶")+COUNTIF($E84:R84,"²")+COUNTIF($E84:R84,"µ")+COUNTIF($E84:R84,1)),
HYPERLINK("#Roadmap!C"&amp; MATCH($E84,Roadmap!$D:$D,0)+COUNTIF($E84:R84,"u")+COUNTIF($E84:R84,"t"),
     INDEX(Roadmap!$D:$K,MATCH($E84,Roadmap!$D:$D,0)+COUNTIF($E84:R84,"u")+COUNTIF($E84:R84,"t")+COUNTIF($E84:R84,"¶")+COUNTIF($E84:R84,"²")+COUNTIF($E84:R84,"µ")+COUNTIF($E84:R84,1),ColTypeEcheance)),
  IF(LEN(R84)=1,
  IF(LEN(INDEX(Roadmap!$D:$K,MATCH($E84,Roadmap!$D:$D,0)-1+COUNTIF($E84:R84,"u")+COUNTIF($E84:R84,"t")+COUNTIF($E84:R84,"¶")+COUNTIF($E84:R84,"²")+COUNTIF($E84:R84,"µ")+COUNTIF($E84:R84,1),ColDescriptionCourte))&gt;1,
HYPERLINK("#Roadmap!C"&amp; MATCH($E84,Roadmap!$D:$D,0)+COUNTIF($E84:R84,"u")+COUNTIF($E84:R84,"t")+COUNTIF($E84:R84,"¶")+COUNTIF($E84:R84,"²")+COUNTIF($E84:R84,"µ")+COUNTIF($E84:R84,1)-1,INDEX(Roadmap!$D:$K,MATCH($E84,Roadmap!$D:$D,0)-1+COUNTIF($E84:R84,"u")+COUNTIF($E84:R84,"t")+COUNTIF($E84:R84,"¶")+COUNTIF($E84:R84,"²")+COUNTIF($E84:R84,"µ")+COUNTIF($E84:R84,1),ColDescriptionCourte)),""),
  "")),"")</f>
        <v/>
      </c>
      <c r="T84" s="40" t="str">
        <f ca="1">IFERROR(IF(AND(
  INDEX(Roadmap!$D:$K,MATCH($E84,Roadmap!$D:$D,0)+COUNTIF($E84:S84,"u")+COUNTIF($E84:S84,"t")+COUNTIF($E84:S84,"¶")+COUNTIF($E84:S84,"²")+COUNTIF($E84:S84,"µ")+COUNTIF($E84:S84,1),ColLivraison)=T$6,
  VLOOKUP($E84,INDIRECT("tri!"&amp; CHAR(64+ C0Col) &amp;":"&amp; CHAR(65+C0Col)),2,FALSE)&gt;COUNTIF($E84:S84,"u")+COUNTIF($E84:S84,"t")+COUNTIF($E84:S84,"¶")+COUNTIF($E84:S84,"²")+COUNTIF($E84:S84,"µ")+COUNTIF($E84:S84,1)),
HYPERLINK("#Roadmap!C"&amp; MATCH($E84,Roadmap!$D:$D,0)+COUNTIF($E84:S84,"u")+COUNTIF($E84:S84,"t"),
     INDEX(Roadmap!$D:$K,MATCH($E84,Roadmap!$D:$D,0)+COUNTIF($E84:S84,"u")+COUNTIF($E84:S84,"t")+COUNTIF($E84:S84,"¶")+COUNTIF($E84:S84,"²")+COUNTIF($E84:S84,"µ")+COUNTIF($E84:S84,1),ColTypeEcheance)),
  IF(LEN(S84)=1,
  IF(LEN(INDEX(Roadmap!$D:$K,MATCH($E84,Roadmap!$D:$D,0)-1+COUNTIF($E84:S84,"u")+COUNTIF($E84:S84,"t")+COUNTIF($E84:S84,"¶")+COUNTIF($E84:S84,"²")+COUNTIF($E84:S84,"µ")+COUNTIF($E84:S84,1),ColDescriptionCourte))&gt;1,
HYPERLINK("#Roadmap!C"&amp; MATCH($E84,Roadmap!$D:$D,0)+COUNTIF($E84:S84,"u")+COUNTIF($E84:S84,"t")+COUNTIF($E84:S84,"¶")+COUNTIF($E84:S84,"²")+COUNTIF($E84:S84,"µ")+COUNTIF($E84:S84,1)-1,INDEX(Roadmap!$D:$K,MATCH($E84,Roadmap!$D:$D,0)-1+COUNTIF($E84:S84,"u")+COUNTIF($E84:S84,"t")+COUNTIF($E84:S84,"¶")+COUNTIF($E84:S84,"²")+COUNTIF($E84:S84,"µ")+COUNTIF($E84:S84,1),ColDescriptionCourte)),""),
  "")),"")</f>
        <v/>
      </c>
      <c r="U84" s="40" t="str">
        <f ca="1">IFERROR(IF(AND(
  INDEX(Roadmap!$D:$K,MATCH($E84,Roadmap!$D:$D,0)+COUNTIF($E84:T84,"u")+COUNTIF($E84:T84,"t")+COUNTIF($E84:T84,"¶")+COUNTIF($E84:T84,"²")+COUNTIF($E84:T84,"µ")+COUNTIF($E84:T84,1),ColLivraison)=U$6,
  VLOOKUP($E84,INDIRECT("tri!"&amp; CHAR(64+ C0Col) &amp;":"&amp; CHAR(65+C0Col)),2,FALSE)&gt;COUNTIF($E84:T84,"u")+COUNTIF($E84:T84,"t")+COUNTIF($E84:T84,"¶")+COUNTIF($E84:T84,"²")+COUNTIF($E84:T84,"µ")+COUNTIF($E84:T84,1)),
HYPERLINK("#Roadmap!C"&amp; MATCH($E84,Roadmap!$D:$D,0)+COUNTIF($E84:T84,"u")+COUNTIF($E84:T84,"t"),
     INDEX(Roadmap!$D:$K,MATCH($E84,Roadmap!$D:$D,0)+COUNTIF($E84:T84,"u")+COUNTIF($E84:T84,"t")+COUNTIF($E84:T84,"¶")+COUNTIF($E84:T84,"²")+COUNTIF($E84:T84,"µ")+COUNTIF($E84:T84,1),ColTypeEcheance)),
  IF(LEN(T84)=1,
  IF(LEN(INDEX(Roadmap!$D:$K,MATCH($E84,Roadmap!$D:$D,0)-1+COUNTIF($E84:T84,"u")+COUNTIF($E84:T84,"t")+COUNTIF($E84:T84,"¶")+COUNTIF($E84:T84,"²")+COUNTIF($E84:T84,"µ")+COUNTIF($E84:T84,1),ColDescriptionCourte))&gt;1,
HYPERLINK("#Roadmap!C"&amp; MATCH($E84,Roadmap!$D:$D,0)+COUNTIF($E84:T84,"u")+COUNTIF($E84:T84,"t")+COUNTIF($E84:T84,"¶")+COUNTIF($E84:T84,"²")+COUNTIF($E84:T84,"µ")+COUNTIF($E84:T84,1)-1,INDEX(Roadmap!$D:$K,MATCH($E84,Roadmap!$D:$D,0)-1+COUNTIF($E84:T84,"u")+COUNTIF($E84:T84,"t")+COUNTIF($E84:T84,"¶")+COUNTIF($E84:T84,"²")+COUNTIF($E84:T84,"µ")+COUNTIF($E84:T84,1),ColDescriptionCourte)),""),
  "")),"")</f>
        <v/>
      </c>
      <c r="V84" s="40" t="str">
        <f ca="1">IFERROR(IF(AND(
  INDEX(Roadmap!$D:$K,MATCH($E84,Roadmap!$D:$D,0)+COUNTIF($E84:U84,"u")+COUNTIF($E84:U84,"t")+COUNTIF($E84:U84,"¶")+COUNTIF($E84:U84,"²")+COUNTIF($E84:U84,"µ")+COUNTIF($E84:U84,1),ColLivraison)=V$6,
  VLOOKUP($E84,INDIRECT("tri!"&amp; CHAR(64+ C0Col) &amp;":"&amp; CHAR(65+C0Col)),2,FALSE)&gt;COUNTIF($E84:U84,"u")+COUNTIF($E84:U84,"t")+COUNTIF($E84:U84,"¶")+COUNTIF($E84:U84,"²")+COUNTIF($E84:U84,"µ")+COUNTIF($E84:U84,1)),
HYPERLINK("#Roadmap!C"&amp; MATCH($E84,Roadmap!$D:$D,0)+COUNTIF($E84:U84,"u")+COUNTIF($E84:U84,"t"),
     INDEX(Roadmap!$D:$K,MATCH($E84,Roadmap!$D:$D,0)+COUNTIF($E84:U84,"u")+COUNTIF($E84:U84,"t")+COUNTIF($E84:U84,"¶")+COUNTIF($E84:U84,"²")+COUNTIF($E84:U84,"µ")+COUNTIF($E84:U84,1),ColTypeEcheance)),
  IF(LEN(U84)=1,
  IF(LEN(INDEX(Roadmap!$D:$K,MATCH($E84,Roadmap!$D:$D,0)-1+COUNTIF($E84:U84,"u")+COUNTIF($E84:U84,"t")+COUNTIF($E84:U84,"¶")+COUNTIF($E84:U84,"²")+COUNTIF($E84:U84,"µ")+COUNTIF($E84:U84,1),ColDescriptionCourte))&gt;1,
HYPERLINK("#Roadmap!C"&amp; MATCH($E84,Roadmap!$D:$D,0)+COUNTIF($E84:U84,"u")+COUNTIF($E84:U84,"t")+COUNTIF($E84:U84,"¶")+COUNTIF($E84:U84,"²")+COUNTIF($E84:U84,"µ")+COUNTIF($E84:U84,1)-1,INDEX(Roadmap!$D:$K,MATCH($E84,Roadmap!$D:$D,0)-1+COUNTIF($E84:U84,"u")+COUNTIF($E84:U84,"t")+COUNTIF($E84:U84,"¶")+COUNTIF($E84:U84,"²")+COUNTIF($E84:U84,"µ")+COUNTIF($E84:U84,1),ColDescriptionCourte)),""),
  "")),"")</f>
        <v/>
      </c>
      <c r="W84" s="40" t="str">
        <f ca="1">IFERROR(IF(AND(
  INDEX(Roadmap!$D:$K,MATCH($E84,Roadmap!$D:$D,0)+COUNTIF($E84:V84,"u")+COUNTIF($E84:V84,"t")+COUNTIF($E84:V84,"¶")+COUNTIF($E84:V84,"²")+COUNTIF($E84:V84,"µ")+COUNTIF($E84:V84,1),ColLivraison)=W$6,
  VLOOKUP($E84,INDIRECT("tri!"&amp; CHAR(64+ C0Col) &amp;":"&amp; CHAR(65+C0Col)),2,FALSE)&gt;COUNTIF($E84:V84,"u")+COUNTIF($E84:V84,"t")+COUNTIF($E84:V84,"¶")+COUNTIF($E84:V84,"²")+COUNTIF($E84:V84,"µ")+COUNTIF($E84:V84,1)),
HYPERLINK("#Roadmap!C"&amp; MATCH($E84,Roadmap!$D:$D,0)+COUNTIF($E84:V84,"u")+COUNTIF($E84:V84,"t"),
     INDEX(Roadmap!$D:$K,MATCH($E84,Roadmap!$D:$D,0)+COUNTIF($E84:V84,"u")+COUNTIF($E84:V84,"t")+COUNTIF($E84:V84,"¶")+COUNTIF($E84:V84,"²")+COUNTIF($E84:V84,"µ")+COUNTIF($E84:V84,1),ColTypeEcheance)),
  IF(LEN(V84)=1,
  IF(LEN(INDEX(Roadmap!$D:$K,MATCH($E84,Roadmap!$D:$D,0)-1+COUNTIF($E84:V84,"u")+COUNTIF($E84:V84,"t")+COUNTIF($E84:V84,"¶")+COUNTIF($E84:V84,"²")+COUNTIF($E84:V84,"µ")+COUNTIF($E84:V84,1),ColDescriptionCourte))&gt;1,
HYPERLINK("#Roadmap!C"&amp; MATCH($E84,Roadmap!$D:$D,0)+COUNTIF($E84:V84,"u")+COUNTIF($E84:V84,"t")+COUNTIF($E84:V84,"¶")+COUNTIF($E84:V84,"²")+COUNTIF($E84:V84,"µ")+COUNTIF($E84:V84,1)-1,INDEX(Roadmap!$D:$K,MATCH($E84,Roadmap!$D:$D,0)-1+COUNTIF($E84:V84,"u")+COUNTIF($E84:V84,"t")+COUNTIF($E84:V84,"¶")+COUNTIF($E84:V84,"²")+COUNTIF($E84:V84,"µ")+COUNTIF($E84:V84,1),ColDescriptionCourte)),""),
  "")),"")</f>
        <v/>
      </c>
      <c r="X84" s="40" t="str">
        <f ca="1">IFERROR(IF(AND(
  INDEX(Roadmap!$D:$K,MATCH($E84,Roadmap!$D:$D,0)+COUNTIF($E84:W84,"u")+COUNTIF($E84:W84,"t")+COUNTIF($E84:W84,"¶")+COUNTIF($E84:W84,"²")+COUNTIF($E84:W84,"µ")+COUNTIF($E84:W84,1),ColLivraison)=X$6,
  VLOOKUP($E84,INDIRECT("tri!"&amp; CHAR(64+ C0Col) &amp;":"&amp; CHAR(65+C0Col)),2,FALSE)&gt;COUNTIF($E84:W84,"u")+COUNTIF($E84:W84,"t")+COUNTIF($E84:W84,"¶")+COUNTIF($E84:W84,"²")+COUNTIF($E84:W84,"µ")+COUNTIF($E84:W84,1)),
HYPERLINK("#Roadmap!C"&amp; MATCH($E84,Roadmap!$D:$D,0)+COUNTIF($E84:W84,"u")+COUNTIF($E84:W84,"t"),
     INDEX(Roadmap!$D:$K,MATCH($E84,Roadmap!$D:$D,0)+COUNTIF($E84:W84,"u")+COUNTIF($E84:W84,"t")+COUNTIF($E84:W84,"¶")+COUNTIF($E84:W84,"²")+COUNTIF($E84:W84,"µ")+COUNTIF($E84:W84,1),ColTypeEcheance)),
  IF(LEN(W84)=1,
  IF(LEN(INDEX(Roadmap!$D:$K,MATCH($E84,Roadmap!$D:$D,0)-1+COUNTIF($E84:W84,"u")+COUNTIF($E84:W84,"t")+COUNTIF($E84:W84,"¶")+COUNTIF($E84:W84,"²")+COUNTIF($E84:W84,"µ")+COUNTIF($E84:W84,1),ColDescriptionCourte))&gt;1,
HYPERLINK("#Roadmap!C"&amp; MATCH($E84,Roadmap!$D:$D,0)+COUNTIF($E84:W84,"u")+COUNTIF($E84:W84,"t")+COUNTIF($E84:W84,"¶")+COUNTIF($E84:W84,"²")+COUNTIF($E84:W84,"µ")+COUNTIF($E84:W84,1)-1,INDEX(Roadmap!$D:$K,MATCH($E84,Roadmap!$D:$D,0)-1+COUNTIF($E84:W84,"u")+COUNTIF($E84:W84,"t")+COUNTIF($E84:W84,"¶")+COUNTIF($E84:W84,"²")+COUNTIF($E84:W84,"µ")+COUNTIF($E84:W84,1),ColDescriptionCourte)),""),
  "")),"")</f>
        <v/>
      </c>
      <c r="Y84" s="40" t="str">
        <f ca="1">IFERROR(IF(AND(
  INDEX(Roadmap!$D:$K,MATCH($E84,Roadmap!$D:$D,0)+COUNTIF($E84:X84,"u")+COUNTIF($E84:X84,"t")+COUNTIF($E84:X84,"¶")+COUNTIF($E84:X84,"²")+COUNTIF($E84:X84,"µ")+COUNTIF($E84:X84,1),ColLivraison)=Y$6,
  VLOOKUP($E84,INDIRECT("tri!"&amp; CHAR(64+ C0Col) &amp;":"&amp; CHAR(65+C0Col)),2,FALSE)&gt;COUNTIF($E84:X84,"u")+COUNTIF($E84:X84,"t")+COUNTIF($E84:X84,"¶")+COUNTIF($E84:X84,"²")+COUNTIF($E84:X84,"µ")+COUNTIF($E84:X84,1)),
HYPERLINK("#Roadmap!C"&amp; MATCH($E84,Roadmap!$D:$D,0)+COUNTIF($E84:X84,"u")+COUNTIF($E84:X84,"t"),
     INDEX(Roadmap!$D:$K,MATCH($E84,Roadmap!$D:$D,0)+COUNTIF($E84:X84,"u")+COUNTIF($E84:X84,"t")+COUNTIF($E84:X84,"¶")+COUNTIF($E84:X84,"²")+COUNTIF($E84:X84,"µ")+COUNTIF($E84:X84,1),ColTypeEcheance)),
  IF(LEN(X84)=1,
  IF(LEN(INDEX(Roadmap!$D:$K,MATCH($E84,Roadmap!$D:$D,0)-1+COUNTIF($E84:X84,"u")+COUNTIF($E84:X84,"t")+COUNTIF($E84:X84,"¶")+COUNTIF($E84:X84,"²")+COUNTIF($E84:X84,"µ")+COUNTIF($E84:X84,1),ColDescriptionCourte))&gt;1,
HYPERLINK("#Roadmap!C"&amp; MATCH($E84,Roadmap!$D:$D,0)+COUNTIF($E84:X84,"u")+COUNTIF($E84:X84,"t")+COUNTIF($E84:X84,"¶")+COUNTIF($E84:X84,"²")+COUNTIF($E84:X84,"µ")+COUNTIF($E84:X84,1)-1,INDEX(Roadmap!$D:$K,MATCH($E84,Roadmap!$D:$D,0)-1+COUNTIF($E84:X84,"u")+COUNTIF($E84:X84,"t")+COUNTIF($E84:X84,"¶")+COUNTIF($E84:X84,"²")+COUNTIF($E84:X84,"µ")+COUNTIF($E84:X84,1),ColDescriptionCourte)),""),
  "")),"")</f>
        <v/>
      </c>
      <c r="Z84" s="40" t="str">
        <f ca="1">IFERROR(IF(AND(
  INDEX(Roadmap!$D:$K,MATCH($E84,Roadmap!$D:$D,0)+COUNTIF($E84:Y84,"u")+COUNTIF($E84:Y84,"t")+COUNTIF($E84:Y84,"¶")+COUNTIF($E84:Y84,"²")+COUNTIF($E84:Y84,"µ")+COUNTIF($E84:Y84,1),ColLivraison)=Z$6,
  VLOOKUP($E84,INDIRECT("tri!"&amp; CHAR(64+ C0Col) &amp;":"&amp; CHAR(65+C0Col)),2,FALSE)&gt;COUNTIF($E84:Y84,"u")+COUNTIF($E84:Y84,"t")+COUNTIF($E84:Y84,"¶")+COUNTIF($E84:Y84,"²")+COUNTIF($E84:Y84,"µ")+COUNTIF($E84:Y84,1)),
HYPERLINK("#Roadmap!C"&amp; MATCH($E84,Roadmap!$D:$D,0)+COUNTIF($E84:Y84,"u")+COUNTIF($E84:Y84,"t"),
     INDEX(Roadmap!$D:$K,MATCH($E84,Roadmap!$D:$D,0)+COUNTIF($E84:Y84,"u")+COUNTIF($E84:Y84,"t")+COUNTIF($E84:Y84,"¶")+COUNTIF($E84:Y84,"²")+COUNTIF($E84:Y84,"µ")+COUNTIF($E84:Y84,1),ColTypeEcheance)),
  IF(LEN(Y84)=1,
  IF(LEN(INDEX(Roadmap!$D:$K,MATCH($E84,Roadmap!$D:$D,0)-1+COUNTIF($E84:Y84,"u")+COUNTIF($E84:Y84,"t")+COUNTIF($E84:Y84,"¶")+COUNTIF($E84:Y84,"²")+COUNTIF($E84:Y84,"µ")+COUNTIF($E84:Y84,1),ColDescriptionCourte))&gt;1,
HYPERLINK("#Roadmap!C"&amp; MATCH($E84,Roadmap!$D:$D,0)+COUNTIF($E84:Y84,"u")+COUNTIF($E84:Y84,"t")+COUNTIF($E84:Y84,"¶")+COUNTIF($E84:Y84,"²")+COUNTIF($E84:Y84,"µ")+COUNTIF($E84:Y84,1)-1,INDEX(Roadmap!$D:$K,MATCH($E84,Roadmap!$D:$D,0)-1+COUNTIF($E84:Y84,"u")+COUNTIF($E84:Y84,"t")+COUNTIF($E84:Y84,"¶")+COUNTIF($E84:Y84,"²")+COUNTIF($E84:Y84,"µ")+COUNTIF($E84:Y84,1),ColDescriptionCourte)),""),
  "")),"")</f>
        <v/>
      </c>
      <c r="AA84" s="40" t="str">
        <f ca="1">IFERROR(IF(AND(
  INDEX(Roadmap!$D:$K,MATCH($E84,Roadmap!$D:$D,0)+COUNTIF($E84:Z84,"u")+COUNTIF($E84:Z84,"t")+COUNTIF($E84:Z84,"¶")+COUNTIF($E84:Z84,"²")+COUNTIF($E84:Z84,"µ")+COUNTIF($E84:Z84,1),ColLivraison)=AA$6,
  VLOOKUP($E84,INDIRECT("tri!"&amp; CHAR(64+ C0Col) &amp;":"&amp; CHAR(65+C0Col)),2,FALSE)&gt;COUNTIF($E84:Z84,"u")+COUNTIF($E84:Z84,"t")+COUNTIF($E84:Z84,"¶")+COUNTIF($E84:Z84,"²")+COUNTIF($E84:Z84,"µ")+COUNTIF($E84:Z84,1)),
HYPERLINK("#Roadmap!C"&amp; MATCH($E84,Roadmap!$D:$D,0)+COUNTIF($E84:Z84,"u")+COUNTIF($E84:Z84,"t"),
     INDEX(Roadmap!$D:$K,MATCH($E84,Roadmap!$D:$D,0)+COUNTIF($E84:Z84,"u")+COUNTIF($E84:Z84,"t")+COUNTIF($E84:Z84,"¶")+COUNTIF($E84:Z84,"²")+COUNTIF($E84:Z84,"µ")+COUNTIF($E84:Z84,1),ColTypeEcheance)),
  IF(LEN(Z84)=1,
  IF(LEN(INDEX(Roadmap!$D:$K,MATCH($E84,Roadmap!$D:$D,0)-1+COUNTIF($E84:Z84,"u")+COUNTIF($E84:Z84,"t")+COUNTIF($E84:Z84,"¶")+COUNTIF($E84:Z84,"²")+COUNTIF($E84:Z84,"µ")+COUNTIF($E84:Z84,1),ColDescriptionCourte))&gt;1,
HYPERLINK("#Roadmap!C"&amp; MATCH($E84,Roadmap!$D:$D,0)+COUNTIF($E84:Z84,"u")+COUNTIF($E84:Z84,"t")+COUNTIF($E84:Z84,"¶")+COUNTIF($E84:Z84,"²")+COUNTIF($E84:Z84,"µ")+COUNTIF($E84:Z84,1)-1,INDEX(Roadmap!$D:$K,MATCH($E84,Roadmap!$D:$D,0)-1+COUNTIF($E84:Z84,"u")+COUNTIF($E84:Z84,"t")+COUNTIF($E84:Z84,"¶")+COUNTIF($E84:Z84,"²")+COUNTIF($E84:Z84,"µ")+COUNTIF($E84:Z84,1),ColDescriptionCourte)),""),
  "")),"")</f>
        <v/>
      </c>
      <c r="AB84" s="40" t="str">
        <f ca="1">IFERROR(IF(AND(
  INDEX(Roadmap!$D:$K,MATCH($E84,Roadmap!$D:$D,0)+COUNTIF($E84:AA84,"u")+COUNTIF($E84:AA84,"t")+COUNTIF($E84:AA84,"¶")+COUNTIF($E84:AA84,"²")+COUNTIF($E84:AA84,"µ")+COUNTIF($E84:AA84,1),ColLivraison)=AB$6,
  VLOOKUP($E84,INDIRECT("tri!"&amp; CHAR(64+ C0Col) &amp;":"&amp; CHAR(65+C0Col)),2,FALSE)&gt;COUNTIF($E84:AA84,"u")+COUNTIF($E84:AA84,"t")+COUNTIF($E84:AA84,"¶")+COUNTIF($E84:AA84,"²")+COUNTIF($E84:AA84,"µ")+COUNTIF($E84:AA84,1)),
HYPERLINK("#Roadmap!C"&amp; MATCH($E84,Roadmap!$D:$D,0)+COUNTIF($E84:AA84,"u")+COUNTIF($E84:AA84,"t"),
     INDEX(Roadmap!$D:$K,MATCH($E84,Roadmap!$D:$D,0)+COUNTIF($E84:AA84,"u")+COUNTIF($E84:AA84,"t")+COUNTIF($E84:AA84,"¶")+COUNTIF($E84:AA84,"²")+COUNTIF($E84:AA84,"µ")+COUNTIF($E84:AA84,1),ColTypeEcheance)),
  IF(LEN(AA84)=1,
  IF(LEN(INDEX(Roadmap!$D:$K,MATCH($E84,Roadmap!$D:$D,0)-1+COUNTIF($E84:AA84,"u")+COUNTIF($E84:AA84,"t")+COUNTIF($E84:AA84,"¶")+COUNTIF($E84:AA84,"²")+COUNTIF($E84:AA84,"µ")+COUNTIF($E84:AA84,1),ColDescriptionCourte))&gt;1,
HYPERLINK("#Roadmap!C"&amp; MATCH($E84,Roadmap!$D:$D,0)+COUNTIF($E84:AA84,"u")+COUNTIF($E84:AA84,"t")+COUNTIF($E84:AA84,"¶")+COUNTIF($E84:AA84,"²")+COUNTIF($E84:AA84,"µ")+COUNTIF($E84:AA84,1)-1,INDEX(Roadmap!$D:$K,MATCH($E84,Roadmap!$D:$D,0)-1+COUNTIF($E84:AA84,"u")+COUNTIF($E84:AA84,"t")+COUNTIF($E84:AA84,"¶")+COUNTIF($E84:AA84,"²")+COUNTIF($E84:AA84,"µ")+COUNTIF($E84:AA84,1),ColDescriptionCourte)),""),
  "")),"")</f>
        <v/>
      </c>
      <c r="AC84" s="40" t="str">
        <f ca="1">IFERROR(IF(AND(
  INDEX(Roadmap!$D:$K,MATCH($E84,Roadmap!$D:$D,0)+COUNTIF($E84:AB84,"u")+COUNTIF($E84:AB84,"t")+COUNTIF($E84:AB84,"¶")+COUNTIF($E84:AB84,"²")+COUNTIF($E84:AB84,"µ")+COUNTIF($E84:AB84,1),ColLivraison)=AC$6,
  VLOOKUP($E84,INDIRECT("tri!"&amp; CHAR(64+ C0Col) &amp;":"&amp; CHAR(65+C0Col)),2,FALSE)&gt;COUNTIF($E84:AB84,"u")+COUNTIF($E84:AB84,"t")+COUNTIF($E84:AB84,"¶")+COUNTIF($E84:AB84,"²")+COUNTIF($E84:AB84,"µ")+COUNTIF($E84:AB84,1)),
HYPERLINK("#Roadmap!C"&amp; MATCH($E84,Roadmap!$D:$D,0)+COUNTIF($E84:AB84,"u")+COUNTIF($E84:AB84,"t"),
     INDEX(Roadmap!$D:$K,MATCH($E84,Roadmap!$D:$D,0)+COUNTIF($E84:AB84,"u")+COUNTIF($E84:AB84,"t")+COUNTIF($E84:AB84,"¶")+COUNTIF($E84:AB84,"²")+COUNTIF($E84:AB84,"µ")+COUNTIF($E84:AB84,1),ColTypeEcheance)),
  IF(LEN(AB84)=1,
  IF(LEN(INDEX(Roadmap!$D:$K,MATCH($E84,Roadmap!$D:$D,0)-1+COUNTIF($E84:AB84,"u")+COUNTIF($E84:AB84,"t")+COUNTIF($E84:AB84,"¶")+COUNTIF($E84:AB84,"²")+COUNTIF($E84:AB84,"µ")+COUNTIF($E84:AB84,1),ColDescriptionCourte))&gt;1,
HYPERLINK("#Roadmap!C"&amp; MATCH($E84,Roadmap!$D:$D,0)+COUNTIF($E84:AB84,"u")+COUNTIF($E84:AB84,"t")+COUNTIF($E84:AB84,"¶")+COUNTIF($E84:AB84,"²")+COUNTIF($E84:AB84,"µ")+COUNTIF($E84:AB84,1)-1,INDEX(Roadmap!$D:$K,MATCH($E84,Roadmap!$D:$D,0)-1+COUNTIF($E84:AB84,"u")+COUNTIF($E84:AB84,"t")+COUNTIF($E84:AB84,"¶")+COUNTIF($E84:AB84,"²")+COUNTIF($E84:AB84,"µ")+COUNTIF($E84:AB84,1),ColDescriptionCourte)),""),
  "")),"")</f>
        <v/>
      </c>
      <c r="AD84" s="40" t="str">
        <f ca="1">IFERROR(IF(AND(
  INDEX(Roadmap!$D:$K,MATCH($E84,Roadmap!$D:$D,0)+COUNTIF($E84:AC84,"u")+COUNTIF($E84:AC84,"t")+COUNTIF($E84:AC84,"¶")+COUNTIF($E84:AC84,"²")+COUNTIF($E84:AC84,"µ")+COUNTIF($E84:AC84,1),ColLivraison)=AD$6,
  VLOOKUP($E84,INDIRECT("tri!"&amp; CHAR(64+ C0Col) &amp;":"&amp; CHAR(65+C0Col)),2,FALSE)&gt;COUNTIF($E84:AC84,"u")+COUNTIF($E84:AC84,"t")+COUNTIF($E84:AC84,"¶")+COUNTIF($E84:AC84,"²")+COUNTIF($E84:AC84,"µ")+COUNTIF($E84:AC84,1)),
HYPERLINK("#Roadmap!C"&amp; MATCH($E84,Roadmap!$D:$D,0)+COUNTIF($E84:AC84,"u")+COUNTIF($E84:AC84,"t"),
     INDEX(Roadmap!$D:$K,MATCH($E84,Roadmap!$D:$D,0)+COUNTIF($E84:AC84,"u")+COUNTIF($E84:AC84,"t")+COUNTIF($E84:AC84,"¶")+COUNTIF($E84:AC84,"²")+COUNTIF($E84:AC84,"µ")+COUNTIF($E84:AC84,1),ColTypeEcheance)),
  IF(LEN(AC84)=1,
  IF(LEN(INDEX(Roadmap!$D:$K,MATCH($E84,Roadmap!$D:$D,0)-1+COUNTIF($E84:AC84,"u")+COUNTIF($E84:AC84,"t")+COUNTIF($E84:AC84,"¶")+COUNTIF($E84:AC84,"²")+COUNTIF($E84:AC84,"µ")+COUNTIF($E84:AC84,1),ColDescriptionCourte))&gt;1,
HYPERLINK("#Roadmap!C"&amp; MATCH($E84,Roadmap!$D:$D,0)+COUNTIF($E84:AC84,"u")+COUNTIF($E84:AC84,"t")+COUNTIF($E84:AC84,"¶")+COUNTIF($E84:AC84,"²")+COUNTIF($E84:AC84,"µ")+COUNTIF($E84:AC84,1)-1,INDEX(Roadmap!$D:$K,MATCH($E84,Roadmap!$D:$D,0)-1+COUNTIF($E84:AC84,"u")+COUNTIF($E84:AC84,"t")+COUNTIF($E84:AC84,"¶")+COUNTIF($E84:AC84,"²")+COUNTIF($E84:AC84,"µ")+COUNTIF($E84:AC84,1),ColDescriptionCourte)),""),
  "")),"")</f>
        <v/>
      </c>
      <c r="AE84" s="40" t="str">
        <f ca="1">IFERROR(IF(AND(
  INDEX(Roadmap!$D:$K,MATCH($E84,Roadmap!$D:$D,0)+COUNTIF($E84:AD84,"u")+COUNTIF($E84:AD84,"t")+COUNTIF($E84:AD84,"¶")+COUNTIF($E84:AD84,"²")+COUNTIF($E84:AD84,"µ")+COUNTIF($E84:AD84,1),ColLivraison)=AE$6,
  VLOOKUP($E84,INDIRECT("tri!"&amp; CHAR(64+ C0Col) &amp;":"&amp; CHAR(65+C0Col)),2,FALSE)&gt;COUNTIF($E84:AD84,"u")+COUNTIF($E84:AD84,"t")+COUNTIF($E84:AD84,"¶")+COUNTIF($E84:AD84,"²")+COUNTIF($E84:AD84,"µ")+COUNTIF($E84:AD84,1)),
HYPERLINK("#Roadmap!C"&amp; MATCH($E84,Roadmap!$D:$D,0)+COUNTIF($E84:AD84,"u")+COUNTIF($E84:AD84,"t"),
     INDEX(Roadmap!$D:$K,MATCH($E84,Roadmap!$D:$D,0)+COUNTIF($E84:AD84,"u")+COUNTIF($E84:AD84,"t")+COUNTIF($E84:AD84,"¶")+COUNTIF($E84:AD84,"²")+COUNTIF($E84:AD84,"µ")+COUNTIF($E84:AD84,1),ColTypeEcheance)),
  IF(LEN(AD84)=1,
  IF(LEN(INDEX(Roadmap!$D:$K,MATCH($E84,Roadmap!$D:$D,0)-1+COUNTIF($E84:AD84,"u")+COUNTIF($E84:AD84,"t")+COUNTIF($E84:AD84,"¶")+COUNTIF($E84:AD84,"²")+COUNTIF($E84:AD84,"µ")+COUNTIF($E84:AD84,1),ColDescriptionCourte))&gt;1,
HYPERLINK("#Roadmap!C"&amp; MATCH($E84,Roadmap!$D:$D,0)+COUNTIF($E84:AD84,"u")+COUNTIF($E84:AD84,"t")+COUNTIF($E84:AD84,"¶")+COUNTIF($E84:AD84,"²")+COUNTIF($E84:AD84,"µ")+COUNTIF($E84:AD84,1)-1,INDEX(Roadmap!$D:$K,MATCH($E84,Roadmap!$D:$D,0)-1+COUNTIF($E84:AD84,"u")+COUNTIF($E84:AD84,"t")+COUNTIF($E84:AD84,"¶")+COUNTIF($E84:AD84,"²")+COUNTIF($E84:AD84,"µ")+COUNTIF($E84:AD84,1),ColDescriptionCourte)),""),
  "")),"")</f>
        <v/>
      </c>
      <c r="AF84" s="40" t="str">
        <f ca="1">IFERROR(IF(AND(
  INDEX(Roadmap!$D:$K,MATCH($E84,Roadmap!$D:$D,0)+COUNTIF($E84:AE84,"u")+COUNTIF($E84:AE84,"t")+COUNTIF($E84:AE84,"¶")+COUNTIF($E84:AE84,"²")+COUNTIF($E84:AE84,"µ")+COUNTIF($E84:AE84,1),ColLivraison)=AF$6,
  VLOOKUP($E84,INDIRECT("tri!"&amp; CHAR(64+ C0Col) &amp;":"&amp; CHAR(65+C0Col)),2,FALSE)&gt;COUNTIF($E84:AE84,"u")+COUNTIF($E84:AE84,"t")+COUNTIF($E84:AE84,"¶")+COUNTIF($E84:AE84,"²")+COUNTIF($E84:AE84,"µ")+COUNTIF($E84:AE84,1)),
HYPERLINK("#Roadmap!C"&amp; MATCH($E84,Roadmap!$D:$D,0)+COUNTIF($E84:AE84,"u")+COUNTIF($E84:AE84,"t"),
     INDEX(Roadmap!$D:$K,MATCH($E84,Roadmap!$D:$D,0)+COUNTIF($E84:AE84,"u")+COUNTIF($E84:AE84,"t")+COUNTIF($E84:AE84,"¶")+COUNTIF($E84:AE84,"²")+COUNTIF($E84:AE84,"µ")+COUNTIF($E84:AE84,1),ColTypeEcheance)),
  IF(LEN(AE84)=1,
  IF(LEN(INDEX(Roadmap!$D:$K,MATCH($E84,Roadmap!$D:$D,0)-1+COUNTIF($E84:AE84,"u")+COUNTIF($E84:AE84,"t")+COUNTIF($E84:AE84,"¶")+COUNTIF($E84:AE84,"²")+COUNTIF($E84:AE84,"µ")+COUNTIF($E84:AE84,1),ColDescriptionCourte))&gt;1,
HYPERLINK("#Roadmap!C"&amp; MATCH($E84,Roadmap!$D:$D,0)+COUNTIF($E84:AE84,"u")+COUNTIF($E84:AE84,"t")+COUNTIF($E84:AE84,"¶")+COUNTIF($E84:AE84,"²")+COUNTIF($E84:AE84,"µ")+COUNTIF($E84:AE84,1)-1,INDEX(Roadmap!$D:$K,MATCH($E84,Roadmap!$D:$D,0)-1+COUNTIF($E84:AE84,"u")+COUNTIF($E84:AE84,"t")+COUNTIF($E84:AE84,"¶")+COUNTIF($E84:AE84,"²")+COUNTIF($E84:AE84,"µ")+COUNTIF($E84:AE84,1),ColDescriptionCourte)),""),
  "")),"")</f>
        <v/>
      </c>
      <c r="AG84" s="40" t="str">
        <f ca="1">IFERROR(IF(AND(
  INDEX(Roadmap!$D:$K,MATCH($E84,Roadmap!$D:$D,0)+COUNTIF($E84:AF84,"u")+COUNTIF($E84:AF84,"t")+COUNTIF($E84:AF84,"¶")+COUNTIF($E84:AF84,"²")+COUNTIF($E84:AF84,"µ")+COUNTIF($E84:AF84,1),ColLivraison)=AG$6,
  VLOOKUP($E84,INDIRECT("tri!"&amp; CHAR(64+ C0Col) &amp;":"&amp; CHAR(65+C0Col)),2,FALSE)&gt;COUNTIF($E84:AF84,"u")+COUNTIF($E84:AF84,"t")+COUNTIF($E84:AF84,"¶")+COUNTIF($E84:AF84,"²")+COUNTIF($E84:AF84,"µ")+COUNTIF($E84:AF84,1)),
HYPERLINK("#Roadmap!C"&amp; MATCH($E84,Roadmap!$D:$D,0)+COUNTIF($E84:AF84,"u")+COUNTIF($E84:AF84,"t"),
     INDEX(Roadmap!$D:$K,MATCH($E84,Roadmap!$D:$D,0)+COUNTIF($E84:AF84,"u")+COUNTIF($E84:AF84,"t")+COUNTIF($E84:AF84,"¶")+COUNTIF($E84:AF84,"²")+COUNTIF($E84:AF84,"µ")+COUNTIF($E84:AF84,1),ColTypeEcheance)),
  IF(LEN(AF84)=1,
  IF(LEN(INDEX(Roadmap!$D:$K,MATCH($E84,Roadmap!$D:$D,0)-1+COUNTIF($E84:AF84,"u")+COUNTIF($E84:AF84,"t")+COUNTIF($E84:AF84,"¶")+COUNTIF($E84:AF84,"²")+COUNTIF($E84:AF84,"µ")+COUNTIF($E84:AF84,1),ColDescriptionCourte))&gt;1,
HYPERLINK("#Roadmap!C"&amp; MATCH($E84,Roadmap!$D:$D,0)+COUNTIF($E84:AF84,"u")+COUNTIF($E84:AF84,"t")+COUNTIF($E84:AF84,"¶")+COUNTIF($E84:AF84,"²")+COUNTIF($E84:AF84,"µ")+COUNTIF($E84:AF84,1)-1,INDEX(Roadmap!$D:$K,MATCH($E84,Roadmap!$D:$D,0)-1+COUNTIF($E84:AF84,"u")+COUNTIF($E84:AF84,"t")+COUNTIF($E84:AF84,"¶")+COUNTIF($E84:AF84,"²")+COUNTIF($E84:AF84,"µ")+COUNTIF($E84:AF84,1),ColDescriptionCourte)),""),
  "")),"")</f>
        <v/>
      </c>
      <c r="AH84" s="40" t="str">
        <f ca="1">IFERROR(IF(AND(
  INDEX(Roadmap!$D:$K,MATCH($E84,Roadmap!$D:$D,0)+COUNTIF($E84:AG84,"u")+COUNTIF($E84:AG84,"t")+COUNTIF($E84:AG84,1),ColLivraison)=AH$6,
  VLOOKUP($E84,INDIRECT("tri!"&amp; CHAR(64+ C0Col) &amp;":"&amp; CHAR(65+C0Col)),2,FALSE)&gt;COUNTIF($E84:AG84,"u")+COUNTIF($E84:AG84,"t")+COUNTIF($E84:AG84,1)),
HYPERLINK("#Roadmap!C"&amp; MATCH($E84,Roadmap!$D:$D,0)+COUNTIF($E84:AG84,"u")+COUNTIF($E84:AG84,"t"),
     INDEX(Roadmap!$D:$K,MATCH($E84,Roadmap!$D:$D,0)+COUNTIF($E84:AG84,"u")+COUNTIF($E84:AG84,"t")+COUNTIF($E84:AG84,1),ColTypeEcheance)),
  IF(OR(AG84="u",AG84="t",AG84=1),
  IF(LEN(INDEX(Roadmap!$D:$K,MATCH($E84,Roadmap!$D:$D,0)-1+COUNTIF($E84:AG84,"u")+COUNTIF($E84:AG84,"t")+COUNTIF($E84:AG84,1),ColDescriptionCourte))&gt;1,
HYPERLINK("#Roadmap!C"&amp; MATCH($E84,Roadmap!$D:$D,0)+COUNTIF($E84:AG84,"u")+COUNTIF($E84:AG84,"t")+COUNTIF($E84:AG84,1)-1,INDEX(Roadmap!$D:$K,MATCH($E84,Roadmap!$D:$D,0)-1+COUNTIF($E84:AG84,"u")+COUNTIF($E84:AG84,"t")+COUNTIF($E84:AG84,1),ColDescriptionCourte)),""),
  "")),"")</f>
        <v/>
      </c>
      <c r="AI84" s="40"/>
      <c r="AJ84" s="40"/>
      <c r="AK84" s="40"/>
      <c r="AL84" s="40"/>
      <c r="AM84" s="40"/>
    </row>
    <row r="85" spans="4:39" ht="14.1" customHeight="1">
      <c r="D85" s="20" t="str">
        <f t="shared" ca="1" si="29"/>
        <v/>
      </c>
      <c r="E85" s="53" t="str">
        <f t="shared" ca="1" si="30"/>
        <v/>
      </c>
      <c r="F85" s="39" t="str">
        <f ca="1">IFERROR(IF(AND(
  INDEX(Roadmap!$D:$K,MATCH($E85,Roadmap!$D:$D,0)+COUNTIF($E85:E85,"u")+COUNTIF($E85:E85,"t")+COUNTIF($E85:E85,"¶")+COUNTIF($E85:E85,"²")+COUNTIF($E85:E85,"µ")+COUNTIF($E85:E85,1),ColLivraison)=F$6,
  VLOOKUP($E85,INDIRECT("tri!"&amp; CHAR(64+ C0Col) &amp;":"&amp; CHAR(65+C0Col)),2,FALSE)&gt;COUNTIF($E85:E85,"u")+COUNTIF($E85:E85,"t")+COUNTIF($E85:E85,"¶")+COUNTIF($E85:E85,"²")+COUNTIF($E85:E85,"µ")+COUNTIF($E85:E85,1)),
HYPERLINK("#Roadmap!C"&amp; MATCH($E85,Roadmap!$D:$D,0)+COUNTIF($E85:E85,"u")+COUNTIF($E85:E85,"t"),
     INDEX(Roadmap!$D:$K,MATCH($E85,Roadmap!$D:$D,0)+COUNTIF($E85:E85,"u")+COUNTIF($E85:E85,"t")+COUNTIF($E85:E85,"¶")+COUNTIF($E85:E85,"²")+COUNTIF($E85:E85,"µ")+COUNTIF($E85:E85,1),ColTypeEcheance)),
  IF(LEN(E85)=1,
  IF(LEN(INDEX(Roadmap!$D:$K,MATCH($E85,Roadmap!$D:$D,0)-1+COUNTIF($E85:E85,"u")+COUNTIF($E85:E85,"t")+COUNTIF($E85:E85,"¶")+COUNTIF($E85:E85,"²")+COUNTIF($E85:E85,"µ")+COUNTIF($E85:E85,1),ColDescriptionCourte))&gt;1,
HYPERLINK("#Roadmap!C"&amp; MATCH($E85,Roadmap!$D:$D,0)+COUNTIF($E85:E85,"u")+COUNTIF($E85:E85,"t")+COUNTIF($E85:E85,"¶")+COUNTIF($E85:E85,"²")+COUNTIF($E85:E85,"µ")+COUNTIF($E85:E85,1)-1,INDEX(Roadmap!$D:$K,MATCH($E85,Roadmap!$D:$D,0)-1+COUNTIF($E85:E85,"u")+COUNTIF($E85:E85,"t")+COUNTIF($E85:E85,"¶")+COUNTIF($E85:E85,"²")+COUNTIF($E85:E85,"µ")+COUNTIF($E85:E85,1),ColDescriptionCourte)),""),
  "")),"")</f>
        <v/>
      </c>
      <c r="G85" s="40" t="str">
        <f ca="1">IFERROR(IF(AND(
  INDEX(Roadmap!$D:$K,MATCH($E85,Roadmap!$D:$D,0)+COUNTIF($E85:F85,"u")+COUNTIF($E85:F85,"t")+COUNTIF($E85:F85,"¶")+COUNTIF($E85:F85,"²")+COUNTIF($E85:F85,"µ")+COUNTIF($E85:F85,1),ColLivraison)=G$6,
  VLOOKUP($E85,INDIRECT("tri!"&amp; CHAR(64+ C0Col) &amp;":"&amp; CHAR(65+C0Col)),2,FALSE)&gt;COUNTIF($E85:F85,"u")+COUNTIF($E85:F85,"t")+COUNTIF($E85:F85,"¶")+COUNTIF($E85:F85,"²")+COUNTIF($E85:F85,"µ")+COUNTIF($E85:F85,1)),
HYPERLINK("#Roadmap!C"&amp; MATCH($E85,Roadmap!$D:$D,0)+COUNTIF($E85:F85,"u")+COUNTIF($E85:F85,"t"),
     INDEX(Roadmap!$D:$K,MATCH($E85,Roadmap!$D:$D,0)+COUNTIF($E85:F85,"u")+COUNTIF($E85:F85,"t")+COUNTIF($E85:F85,"¶")+COUNTIF($E85:F85,"²")+COUNTIF($E85:F85,"µ")+COUNTIF($E85:F85,1),ColTypeEcheance)),
  IF(LEN(F85)=1,
  IF(LEN(INDEX(Roadmap!$D:$K,MATCH($E85,Roadmap!$D:$D,0)-1+COUNTIF($E85:F85,"u")+COUNTIF($E85:F85,"t")+COUNTIF($E85:F85,"¶")+COUNTIF($E85:F85,"²")+COUNTIF($E85:F85,"µ")+COUNTIF($E85:F85,1),ColDescriptionCourte))&gt;1,
HYPERLINK("#Roadmap!C"&amp; MATCH($E85,Roadmap!$D:$D,0)+COUNTIF($E85:F85,"u")+COUNTIF($E85:F85,"t")+COUNTIF($E85:F85,"¶")+COUNTIF($E85:F85,"²")+COUNTIF($E85:F85,"µ")+COUNTIF($E85:F85,1)-1,INDEX(Roadmap!$D:$K,MATCH($E85,Roadmap!$D:$D,0)-1+COUNTIF($E85:F85,"u")+COUNTIF($E85:F85,"t")+COUNTIF($E85:F85,"¶")+COUNTIF($E85:F85,"²")+COUNTIF($E85:F85,"µ")+COUNTIF($E85:F85,1),ColDescriptionCourte)),""),
  "")),"")</f>
        <v/>
      </c>
      <c r="H85" s="40" t="str">
        <f ca="1">IFERROR(IF(AND(
  INDEX(Roadmap!$D:$K,MATCH($E85,Roadmap!$D:$D,0)+COUNTIF($E85:G85,"u")+COUNTIF($E85:G85,"t")+COUNTIF($E85:G85,"¶")+COUNTIF($E85:G85,"²")+COUNTIF($E85:G85,"µ")+COUNTIF($E85:G85,1),ColLivraison)=H$6,
  VLOOKUP($E85,INDIRECT("tri!"&amp; CHAR(64+ C0Col) &amp;":"&amp; CHAR(65+C0Col)),2,FALSE)&gt;COUNTIF($E85:G85,"u")+COUNTIF($E85:G85,"t")+COUNTIF($E85:G85,"¶")+COUNTIF($E85:G85,"²")+COUNTIF($E85:G85,"µ")+COUNTIF($E85:G85,1)),
HYPERLINK("#Roadmap!C"&amp; MATCH($E85,Roadmap!$D:$D,0)+COUNTIF($E85:G85,"u")+COUNTIF($E85:G85,"t"),
     INDEX(Roadmap!$D:$K,MATCH($E85,Roadmap!$D:$D,0)+COUNTIF($E85:G85,"u")+COUNTIF($E85:G85,"t")+COUNTIF($E85:G85,"¶")+COUNTIF($E85:G85,"²")+COUNTIF($E85:G85,"µ")+COUNTIF($E85:G85,1),ColTypeEcheance)),
  IF(LEN(G85)=1,
  IF(LEN(INDEX(Roadmap!$D:$K,MATCH($E85,Roadmap!$D:$D,0)-1+COUNTIF($E85:G85,"u")+COUNTIF($E85:G85,"t")+COUNTIF($E85:G85,"¶")+COUNTIF($E85:G85,"²")+COUNTIF($E85:G85,"µ")+COUNTIF($E85:G85,1),ColDescriptionCourte))&gt;1,
HYPERLINK("#Roadmap!C"&amp; MATCH($E85,Roadmap!$D:$D,0)+COUNTIF($E85:G85,"u")+COUNTIF($E85:G85,"t")+COUNTIF($E85:G85,"¶")+COUNTIF($E85:G85,"²")+COUNTIF($E85:G85,"µ")+COUNTIF($E85:G85,1)-1,INDEX(Roadmap!$D:$K,MATCH($E85,Roadmap!$D:$D,0)-1+COUNTIF($E85:G85,"u")+COUNTIF($E85:G85,"t")+COUNTIF($E85:G85,"¶")+COUNTIF($E85:G85,"²")+COUNTIF($E85:G85,"µ")+COUNTIF($E85:G85,1),ColDescriptionCourte)),""),
  "")),"")</f>
        <v/>
      </c>
      <c r="I85" s="40" t="str">
        <f ca="1">IFERROR(IF(AND(
  INDEX(Roadmap!$D:$K,MATCH($E85,Roadmap!$D:$D,0)+COUNTIF($E85:H85,"u")+COUNTIF($E85:H85,"t")+COUNTIF($E85:H85,"¶")+COUNTIF($E85:H85,"²")+COUNTIF($E85:H85,"µ")+COUNTIF($E85:H85,1),ColLivraison)=I$6,
  VLOOKUP($E85,INDIRECT("tri!"&amp; CHAR(64+ C0Col) &amp;":"&amp; CHAR(65+C0Col)),2,FALSE)&gt;COUNTIF($E85:H85,"u")+COUNTIF($E85:H85,"t")+COUNTIF($E85:H85,"¶")+COUNTIF($E85:H85,"²")+COUNTIF($E85:H85,"µ")+COUNTIF($E85:H85,1)),
HYPERLINK("#Roadmap!C"&amp; MATCH($E85,Roadmap!$D:$D,0)+COUNTIF($E85:H85,"u")+COUNTIF($E85:H85,"t"),
     INDEX(Roadmap!$D:$K,MATCH($E85,Roadmap!$D:$D,0)+COUNTIF($E85:H85,"u")+COUNTIF($E85:H85,"t")+COUNTIF($E85:H85,"¶")+COUNTIF($E85:H85,"²")+COUNTIF($E85:H85,"µ")+COUNTIF($E85:H85,1),ColTypeEcheance)),
  IF(LEN(H85)=1,
  IF(LEN(INDEX(Roadmap!$D:$K,MATCH($E85,Roadmap!$D:$D,0)-1+COUNTIF($E85:H85,"u")+COUNTIF($E85:H85,"t")+COUNTIF($E85:H85,"¶")+COUNTIF($E85:H85,"²")+COUNTIF($E85:H85,"µ")+COUNTIF($E85:H85,1),ColDescriptionCourte))&gt;1,
HYPERLINK("#Roadmap!C"&amp; MATCH($E85,Roadmap!$D:$D,0)+COUNTIF($E85:H85,"u")+COUNTIF($E85:H85,"t")+COUNTIF($E85:H85,"¶")+COUNTIF($E85:H85,"²")+COUNTIF($E85:H85,"µ")+COUNTIF($E85:H85,1)-1,INDEX(Roadmap!$D:$K,MATCH($E85,Roadmap!$D:$D,0)-1+COUNTIF($E85:H85,"u")+COUNTIF($E85:H85,"t")+COUNTIF($E85:H85,"¶")+COUNTIF($E85:H85,"²")+COUNTIF($E85:H85,"µ")+COUNTIF($E85:H85,1),ColDescriptionCourte)),""),
  "")),"")</f>
        <v/>
      </c>
      <c r="J85" s="40" t="str">
        <f ca="1">IFERROR(IF(AND(
  INDEX(Roadmap!$D:$K,MATCH($E85,Roadmap!$D:$D,0)+COUNTIF($E85:I85,"u")+COUNTIF($E85:I85,"t")+COUNTIF($E85:I85,"¶")+COUNTIF($E85:I85,"²")+COUNTIF($E85:I85,"µ")+COUNTIF($E85:I85,1),ColLivraison)=J$6,
  VLOOKUP($E85,INDIRECT("tri!"&amp; CHAR(64+ C0Col) &amp;":"&amp; CHAR(65+C0Col)),2,FALSE)&gt;COUNTIF($E85:I85,"u")+COUNTIF($E85:I85,"t")+COUNTIF($E85:I85,"¶")+COUNTIF($E85:I85,"²")+COUNTIF($E85:I85,"µ")+COUNTIF($E85:I85,1)),
HYPERLINK("#Roadmap!C"&amp; MATCH($E85,Roadmap!$D:$D,0)+COUNTIF($E85:I85,"u")+COUNTIF($E85:I85,"t"),
     INDEX(Roadmap!$D:$K,MATCH($E85,Roadmap!$D:$D,0)+COUNTIF($E85:I85,"u")+COUNTIF($E85:I85,"t")+COUNTIF($E85:I85,"¶")+COUNTIF($E85:I85,"²")+COUNTIF($E85:I85,"µ")+COUNTIF($E85:I85,1),ColTypeEcheance)),
  IF(LEN(I85)=1,
  IF(LEN(INDEX(Roadmap!$D:$K,MATCH($E85,Roadmap!$D:$D,0)-1+COUNTIF($E85:I85,"u")+COUNTIF($E85:I85,"t")+COUNTIF($E85:I85,"¶")+COUNTIF($E85:I85,"²")+COUNTIF($E85:I85,"µ")+COUNTIF($E85:I85,1),ColDescriptionCourte))&gt;1,
HYPERLINK("#Roadmap!C"&amp; MATCH($E85,Roadmap!$D:$D,0)+COUNTIF($E85:I85,"u")+COUNTIF($E85:I85,"t")+COUNTIF($E85:I85,"¶")+COUNTIF($E85:I85,"²")+COUNTIF($E85:I85,"µ")+COUNTIF($E85:I85,1)-1,INDEX(Roadmap!$D:$K,MATCH($E85,Roadmap!$D:$D,0)-1+COUNTIF($E85:I85,"u")+COUNTIF($E85:I85,"t")+COUNTIF($E85:I85,"¶")+COUNTIF($E85:I85,"²")+COUNTIF($E85:I85,"µ")+COUNTIF($E85:I85,1),ColDescriptionCourte)),""),
  "")),"")</f>
        <v/>
      </c>
      <c r="K85" s="40" t="str">
        <f ca="1">IFERROR(IF(AND(
  INDEX(Roadmap!$D:$K,MATCH($E85,Roadmap!$D:$D,0)+COUNTIF($E85:J85,"u")+COUNTIF($E85:J85,"t")+COUNTIF($E85:J85,"¶")+COUNTIF($E85:J85,"²")+COUNTIF($E85:J85,"µ")+COUNTIF($E85:J85,1),ColLivraison)=K$6,
  VLOOKUP($E85,INDIRECT("tri!"&amp; CHAR(64+ C0Col) &amp;":"&amp; CHAR(65+C0Col)),2,FALSE)&gt;COUNTIF($E85:J85,"u")+COUNTIF($E85:J85,"t")+COUNTIF($E85:J85,"¶")+COUNTIF($E85:J85,"²")+COUNTIF($E85:J85,"µ")+COUNTIF($E85:J85,1)),
HYPERLINK("#Roadmap!C"&amp; MATCH($E85,Roadmap!$D:$D,0)+COUNTIF($E85:J85,"u")+COUNTIF($E85:J85,"t"),
     INDEX(Roadmap!$D:$K,MATCH($E85,Roadmap!$D:$D,0)+COUNTIF($E85:J85,"u")+COUNTIF($E85:J85,"t")+COUNTIF($E85:J85,"¶")+COUNTIF($E85:J85,"²")+COUNTIF($E85:J85,"µ")+COUNTIF($E85:J85,1),ColTypeEcheance)),
  IF(LEN(J85)=1,
  IF(LEN(INDEX(Roadmap!$D:$K,MATCH($E85,Roadmap!$D:$D,0)-1+COUNTIF($E85:J85,"u")+COUNTIF($E85:J85,"t")+COUNTIF($E85:J85,"¶")+COUNTIF($E85:J85,"²")+COUNTIF($E85:J85,"µ")+COUNTIF($E85:J85,1),ColDescriptionCourte))&gt;1,
HYPERLINK("#Roadmap!C"&amp; MATCH($E85,Roadmap!$D:$D,0)+COUNTIF($E85:J85,"u")+COUNTIF($E85:J85,"t")+COUNTIF($E85:J85,"¶")+COUNTIF($E85:J85,"²")+COUNTIF($E85:J85,"µ")+COUNTIF($E85:J85,1)-1,INDEX(Roadmap!$D:$K,MATCH($E85,Roadmap!$D:$D,0)-1+COUNTIF($E85:J85,"u")+COUNTIF($E85:J85,"t")+COUNTIF($E85:J85,"¶")+COUNTIF($E85:J85,"²")+COUNTIF($E85:J85,"µ")+COUNTIF($E85:J85,1),ColDescriptionCourte)),""),
  "")),"")</f>
        <v/>
      </c>
      <c r="L85" s="39" t="str">
        <f ca="1">IFERROR(IF(AND(
  INDEX(Roadmap!$D:$K,MATCH($E85,Roadmap!$D:$D,0)+COUNTIF($E85:K85,"u")+COUNTIF($E85:K85,"t")+COUNTIF($E85:K85,"¶")+COUNTIF($E85:K85,"²")+COUNTIF($E85:K85,"µ")+COUNTIF($E85:K85,1),ColLivraison)=L$6,
  VLOOKUP($E85,INDIRECT("tri!"&amp; CHAR(64+ C0Col) &amp;":"&amp; CHAR(65+C0Col)),2,FALSE)&gt;COUNTIF($E85:K85,"u")+COUNTIF($E85:K85,"t")+COUNTIF($E85:K85,"¶")+COUNTIF($E85:K85,"²")+COUNTIF($E85:K85,"µ")+COUNTIF($E85:K85,1)),
HYPERLINK("#Roadmap!C"&amp; MATCH($E85,Roadmap!$D:$D,0)+COUNTIF($E85:K85,"u")+COUNTIF($E85:K85,"t"),
     INDEX(Roadmap!$D:$K,MATCH($E85,Roadmap!$D:$D,0)+COUNTIF($E85:K85,"u")+COUNTIF($E85:K85,"t")+COUNTIF($E85:K85,"¶")+COUNTIF($E85:K85,"²")+COUNTIF($E85:K85,"µ")+COUNTIF($E85:K85,1),ColTypeEcheance)),
  IF(LEN(K85)=1,
  IF(LEN(INDEX(Roadmap!$D:$K,MATCH($E85,Roadmap!$D:$D,0)-1+COUNTIF($E85:K85,"u")+COUNTIF($E85:K85,"t")+COUNTIF($E85:K85,"¶")+COUNTIF($E85:K85,"²")+COUNTIF($E85:K85,"µ")+COUNTIF($E85:K85,1),ColDescriptionCourte))&gt;1,
HYPERLINK("#Roadmap!C"&amp; MATCH($E85,Roadmap!$D:$D,0)+COUNTIF($E85:K85,"u")+COUNTIF($E85:K85,"t")+COUNTIF($E85:K85,"¶")+COUNTIF($E85:K85,"²")+COUNTIF($E85:K85,"µ")+COUNTIF($E85:K85,1)-1,INDEX(Roadmap!$D:$K,MATCH($E85,Roadmap!$D:$D,0)-1+COUNTIF($E85:K85,"u")+COUNTIF($E85:K85,"t")+COUNTIF($E85:K85,"¶")+COUNTIF($E85:K85,"²")+COUNTIF($E85:K85,"µ")+COUNTIF($E85:K85,1),ColDescriptionCourte)),""),
  "")),"")</f>
        <v/>
      </c>
      <c r="M85" s="40" t="str">
        <f ca="1">IFERROR(IF(AND(
  INDEX(Roadmap!$D:$K,MATCH($E85,Roadmap!$D:$D,0)+COUNTIF($E85:L85,"u")+COUNTIF($E85:L85,"t")+COUNTIF($E85:L85,"¶")+COUNTIF($E85:L85,"²")+COUNTIF($E85:L85,"µ")+COUNTIF($E85:L85,1),ColLivraison)=M$6,
  VLOOKUP($E85,INDIRECT("tri!"&amp; CHAR(64+ C0Col) &amp;":"&amp; CHAR(65+C0Col)),2,FALSE)&gt;COUNTIF($E85:L85,"u")+COUNTIF($E85:L85,"t")+COUNTIF($E85:L85,"¶")+COUNTIF($E85:L85,"²")+COUNTIF($E85:L85,"µ")+COUNTIF($E85:L85,1)),
HYPERLINK("#Roadmap!C"&amp; MATCH($E85,Roadmap!$D:$D,0)+COUNTIF($E85:L85,"u")+COUNTIF($E85:L85,"t"),
     INDEX(Roadmap!$D:$K,MATCH($E85,Roadmap!$D:$D,0)+COUNTIF($E85:L85,"u")+COUNTIF($E85:L85,"t")+COUNTIF($E85:L85,"¶")+COUNTIF($E85:L85,"²")+COUNTIF($E85:L85,"µ")+COUNTIF($E85:L85,1),ColTypeEcheance)),
  IF(LEN(L85)=1,
  IF(LEN(INDEX(Roadmap!$D:$K,MATCH($E85,Roadmap!$D:$D,0)-1+COUNTIF($E85:L85,"u")+COUNTIF($E85:L85,"t")+COUNTIF($E85:L85,"¶")+COUNTIF($E85:L85,"²")+COUNTIF($E85:L85,"µ")+COUNTIF($E85:L85,1),ColDescriptionCourte))&gt;1,
HYPERLINK("#Roadmap!C"&amp; MATCH($E85,Roadmap!$D:$D,0)+COUNTIF($E85:L85,"u")+COUNTIF($E85:L85,"t")+COUNTIF($E85:L85,"¶")+COUNTIF($E85:L85,"²")+COUNTIF($E85:L85,"µ")+COUNTIF($E85:L85,1)-1,INDEX(Roadmap!$D:$K,MATCH($E85,Roadmap!$D:$D,0)-1+COUNTIF($E85:L85,"u")+COUNTIF($E85:L85,"t")+COUNTIF($E85:L85,"¶")+COUNTIF($E85:L85,"²")+COUNTIF($E85:L85,"µ")+COUNTIF($E85:L85,1),ColDescriptionCourte)),""),
  "")),"")</f>
        <v/>
      </c>
      <c r="N85" s="40" t="str">
        <f ca="1">IFERROR(IF(AND(
  INDEX(Roadmap!$D:$K,MATCH($E85,Roadmap!$D:$D,0)+COUNTIF($E85:M85,"u")+COUNTIF($E85:M85,"t")+COUNTIF($E85:M85,"¶")+COUNTIF($E85:M85,"²")+COUNTIF($E85:M85,"µ")+COUNTIF($E85:M85,1),ColLivraison)=N$6,
  VLOOKUP($E85,INDIRECT("tri!"&amp; CHAR(64+ C0Col) &amp;":"&amp; CHAR(65+C0Col)),2,FALSE)&gt;COUNTIF($E85:M85,"u")+COUNTIF($E85:M85,"t")+COUNTIF($E85:M85,"¶")+COUNTIF($E85:M85,"²")+COUNTIF($E85:M85,"µ")+COUNTIF($E85:M85,1)),
HYPERLINK("#Roadmap!C"&amp; MATCH($E85,Roadmap!$D:$D,0)+COUNTIF($E85:M85,"u")+COUNTIF($E85:M85,"t"),
     INDEX(Roadmap!$D:$K,MATCH($E85,Roadmap!$D:$D,0)+COUNTIF($E85:M85,"u")+COUNTIF($E85:M85,"t")+COUNTIF($E85:M85,"¶")+COUNTIF($E85:M85,"²")+COUNTIF($E85:M85,"µ")+COUNTIF($E85:M85,1),ColTypeEcheance)),
  IF(LEN(M85)=1,
  IF(LEN(INDEX(Roadmap!$D:$K,MATCH($E85,Roadmap!$D:$D,0)-1+COUNTIF($E85:M85,"u")+COUNTIF($E85:M85,"t")+COUNTIF($E85:M85,"¶")+COUNTIF($E85:M85,"²")+COUNTIF($E85:M85,"µ")+COUNTIF($E85:M85,1),ColDescriptionCourte))&gt;1,
HYPERLINK("#Roadmap!C"&amp; MATCH($E85,Roadmap!$D:$D,0)+COUNTIF($E85:M85,"u")+COUNTIF($E85:M85,"t")+COUNTIF($E85:M85,"¶")+COUNTIF($E85:M85,"²")+COUNTIF($E85:M85,"µ")+COUNTIF($E85:M85,1)-1,INDEX(Roadmap!$D:$K,MATCH($E85,Roadmap!$D:$D,0)-1+COUNTIF($E85:M85,"u")+COUNTIF($E85:M85,"t")+COUNTIF($E85:M85,"¶")+COUNTIF($E85:M85,"²")+COUNTIF($E85:M85,"µ")+COUNTIF($E85:M85,1),ColDescriptionCourte)),""),
  "")),"")</f>
        <v/>
      </c>
      <c r="O85" s="40" t="str">
        <f ca="1">IFERROR(IF(AND(
  INDEX(Roadmap!$D:$K,MATCH($E85,Roadmap!$D:$D,0)+COUNTIF($E85:N85,"u")+COUNTIF($E85:N85,"t")+COUNTIF($E85:N85,"¶")+COUNTIF($E85:N85,"²")+COUNTIF($E85:N85,"µ")+COUNTIF($E85:N85,1),ColLivraison)=O$6,
  VLOOKUP($E85,INDIRECT("tri!"&amp; CHAR(64+ C0Col) &amp;":"&amp; CHAR(65+C0Col)),2,FALSE)&gt;COUNTIF($E85:N85,"u")+COUNTIF($E85:N85,"t")+COUNTIF($E85:N85,"¶")+COUNTIF($E85:N85,"²")+COUNTIF($E85:N85,"µ")+COUNTIF($E85:N85,1)),
HYPERLINK("#Roadmap!C"&amp; MATCH($E85,Roadmap!$D:$D,0)+COUNTIF($E85:N85,"u")+COUNTIF($E85:N85,"t"),
     INDEX(Roadmap!$D:$K,MATCH($E85,Roadmap!$D:$D,0)+COUNTIF($E85:N85,"u")+COUNTIF($E85:N85,"t")+COUNTIF($E85:N85,"¶")+COUNTIF($E85:N85,"²")+COUNTIF($E85:N85,"µ")+COUNTIF($E85:N85,1),ColTypeEcheance)),
  IF(LEN(N85)=1,
  IF(LEN(INDEX(Roadmap!$D:$K,MATCH($E85,Roadmap!$D:$D,0)-1+COUNTIF($E85:N85,"u")+COUNTIF($E85:N85,"t")+COUNTIF($E85:N85,"¶")+COUNTIF($E85:N85,"²")+COUNTIF($E85:N85,"µ")+COUNTIF($E85:N85,1),ColDescriptionCourte))&gt;1,
HYPERLINK("#Roadmap!C"&amp; MATCH($E85,Roadmap!$D:$D,0)+COUNTIF($E85:N85,"u")+COUNTIF($E85:N85,"t")+COUNTIF($E85:N85,"¶")+COUNTIF($E85:N85,"²")+COUNTIF($E85:N85,"µ")+COUNTIF($E85:N85,1)-1,INDEX(Roadmap!$D:$K,MATCH($E85,Roadmap!$D:$D,0)-1+COUNTIF($E85:N85,"u")+COUNTIF($E85:N85,"t")+COUNTIF($E85:N85,"¶")+COUNTIF($E85:N85,"²")+COUNTIF($E85:N85,"µ")+COUNTIF($E85:N85,1),ColDescriptionCourte)),""),
  "")),"")</f>
        <v/>
      </c>
      <c r="P85" s="40" t="str">
        <f ca="1">IFERROR(IF(AND(
  INDEX(Roadmap!$D:$K,MATCH($E85,Roadmap!$D:$D,0)+COUNTIF($E85:O85,"u")+COUNTIF($E85:O85,"t")+COUNTIF($E85:O85,"¶")+COUNTIF($E85:O85,"²")+COUNTIF($E85:O85,"µ")+COUNTIF($E85:O85,1),ColLivraison)=P$6,
  VLOOKUP($E85,INDIRECT("tri!"&amp; CHAR(64+ C0Col) &amp;":"&amp; CHAR(65+C0Col)),2,FALSE)&gt;COUNTIF($E85:O85,"u")+COUNTIF($E85:O85,"t")+COUNTIF($E85:O85,"¶")+COUNTIF($E85:O85,"²")+COUNTIF($E85:O85,"µ")+COUNTIF($E85:O85,1)),
HYPERLINK("#Roadmap!C"&amp; MATCH($E85,Roadmap!$D:$D,0)+COUNTIF($E85:O85,"u")+COUNTIF($E85:O85,"t"),
     INDEX(Roadmap!$D:$K,MATCH($E85,Roadmap!$D:$D,0)+COUNTIF($E85:O85,"u")+COUNTIF($E85:O85,"t")+COUNTIF($E85:O85,"¶")+COUNTIF($E85:O85,"²")+COUNTIF($E85:O85,"µ")+COUNTIF($E85:O85,1),ColTypeEcheance)),
  IF(LEN(O85)=1,
  IF(LEN(INDEX(Roadmap!$D:$K,MATCH($E85,Roadmap!$D:$D,0)-1+COUNTIF($E85:O85,"u")+COUNTIF($E85:O85,"t")+COUNTIF($E85:O85,"¶")+COUNTIF($E85:O85,"²")+COUNTIF($E85:O85,"µ")+COUNTIF($E85:O85,1),ColDescriptionCourte))&gt;1,
HYPERLINK("#Roadmap!C"&amp; MATCH($E85,Roadmap!$D:$D,0)+COUNTIF($E85:O85,"u")+COUNTIF($E85:O85,"t")+COUNTIF($E85:O85,"¶")+COUNTIF($E85:O85,"²")+COUNTIF($E85:O85,"µ")+COUNTIF($E85:O85,1)-1,INDEX(Roadmap!$D:$K,MATCH($E85,Roadmap!$D:$D,0)-1+COUNTIF($E85:O85,"u")+COUNTIF($E85:O85,"t")+COUNTIF($E85:O85,"¶")+COUNTIF($E85:O85,"²")+COUNTIF($E85:O85,"µ")+COUNTIF($E85:O85,1),ColDescriptionCourte)),""),
  "")),"")</f>
        <v/>
      </c>
      <c r="Q85" s="40" t="str">
        <f ca="1">IFERROR(IF(AND(
  INDEX(Roadmap!$D:$K,MATCH($E85,Roadmap!$D:$D,0)+COUNTIF($E85:P85,"u")+COUNTIF($E85:P85,"t")+COUNTIF($E85:P85,"¶")+COUNTIF($E85:P85,"²")+COUNTIF($E85:P85,"µ")+COUNTIF($E85:P85,1),ColLivraison)=Q$6,
  VLOOKUP($E85,INDIRECT("tri!"&amp; CHAR(64+ C0Col) &amp;":"&amp; CHAR(65+C0Col)),2,FALSE)&gt;COUNTIF($E85:P85,"u")+COUNTIF($E85:P85,"t")+COUNTIF($E85:P85,"¶")+COUNTIF($E85:P85,"²")+COUNTIF($E85:P85,"µ")+COUNTIF($E85:P85,1)),
HYPERLINK("#Roadmap!C"&amp; MATCH($E85,Roadmap!$D:$D,0)+COUNTIF($E85:P85,"u")+COUNTIF($E85:P85,"t"),
     INDEX(Roadmap!$D:$K,MATCH($E85,Roadmap!$D:$D,0)+COUNTIF($E85:P85,"u")+COUNTIF($E85:P85,"t")+COUNTIF($E85:P85,"¶")+COUNTIF($E85:P85,"²")+COUNTIF($E85:P85,"µ")+COUNTIF($E85:P85,1),ColTypeEcheance)),
  IF(LEN(P85)=1,
  IF(LEN(INDEX(Roadmap!$D:$K,MATCH($E85,Roadmap!$D:$D,0)-1+COUNTIF($E85:P85,"u")+COUNTIF($E85:P85,"t")+COUNTIF($E85:P85,"¶")+COUNTIF($E85:P85,"²")+COUNTIF($E85:P85,"µ")+COUNTIF($E85:P85,1),ColDescriptionCourte))&gt;1,
HYPERLINK("#Roadmap!C"&amp; MATCH($E85,Roadmap!$D:$D,0)+COUNTIF($E85:P85,"u")+COUNTIF($E85:P85,"t")+COUNTIF($E85:P85,"¶")+COUNTIF($E85:P85,"²")+COUNTIF($E85:P85,"µ")+COUNTIF($E85:P85,1)-1,INDEX(Roadmap!$D:$K,MATCH($E85,Roadmap!$D:$D,0)-1+COUNTIF($E85:P85,"u")+COUNTIF($E85:P85,"t")+COUNTIF($E85:P85,"¶")+COUNTIF($E85:P85,"²")+COUNTIF($E85:P85,"µ")+COUNTIF($E85:P85,1),ColDescriptionCourte)),""),
  "")),"")</f>
        <v/>
      </c>
      <c r="R85" s="40" t="str">
        <f ca="1">IFERROR(IF(AND(
  INDEX(Roadmap!$D:$K,MATCH($E85,Roadmap!$D:$D,0)+COUNTIF($E85:Q85,"u")+COUNTIF($E85:Q85,"t")+COUNTIF($E85:Q85,"¶")+COUNTIF($E85:Q85,"²")+COUNTIF($E85:Q85,"µ")+COUNTIF($E85:Q85,1),ColLivraison)=R$6,
  VLOOKUP($E85,INDIRECT("tri!"&amp; CHAR(64+ C0Col) &amp;":"&amp; CHAR(65+C0Col)),2,FALSE)&gt;COUNTIF($E85:Q85,"u")+COUNTIF($E85:Q85,"t")+COUNTIF($E85:Q85,"¶")+COUNTIF($E85:Q85,"²")+COUNTIF($E85:Q85,"µ")+COUNTIF($E85:Q85,1)),
HYPERLINK("#Roadmap!C"&amp; MATCH($E85,Roadmap!$D:$D,0)+COUNTIF($E85:Q85,"u")+COUNTIF($E85:Q85,"t"),
     INDEX(Roadmap!$D:$K,MATCH($E85,Roadmap!$D:$D,0)+COUNTIF($E85:Q85,"u")+COUNTIF($E85:Q85,"t")+COUNTIF($E85:Q85,"¶")+COUNTIF($E85:Q85,"²")+COUNTIF($E85:Q85,"µ")+COUNTIF($E85:Q85,1),ColTypeEcheance)),
  IF(LEN(Q85)=1,
  IF(LEN(INDEX(Roadmap!$D:$K,MATCH($E85,Roadmap!$D:$D,0)-1+COUNTIF($E85:Q85,"u")+COUNTIF($E85:Q85,"t")+COUNTIF($E85:Q85,"¶")+COUNTIF($E85:Q85,"²")+COUNTIF($E85:Q85,"µ")+COUNTIF($E85:Q85,1),ColDescriptionCourte))&gt;1,
HYPERLINK("#Roadmap!C"&amp; MATCH($E85,Roadmap!$D:$D,0)+COUNTIF($E85:Q85,"u")+COUNTIF($E85:Q85,"t")+COUNTIF($E85:Q85,"¶")+COUNTIF($E85:Q85,"²")+COUNTIF($E85:Q85,"µ")+COUNTIF($E85:Q85,1)-1,INDEX(Roadmap!$D:$K,MATCH($E85,Roadmap!$D:$D,0)-1+COUNTIF($E85:Q85,"u")+COUNTIF($E85:Q85,"t")+COUNTIF($E85:Q85,"¶")+COUNTIF($E85:Q85,"²")+COUNTIF($E85:Q85,"µ")+COUNTIF($E85:Q85,1),ColDescriptionCourte)),""),
  "")),"")</f>
        <v/>
      </c>
      <c r="S85" s="40" t="str">
        <f ca="1">IFERROR(IF(AND(
  INDEX(Roadmap!$D:$K,MATCH($E85,Roadmap!$D:$D,0)+COUNTIF($E85:R85,"u")+COUNTIF($E85:R85,"t")+COUNTIF($E85:R85,"¶")+COUNTIF($E85:R85,"²")+COUNTIF($E85:R85,"µ")+COUNTIF($E85:R85,1),ColLivraison)=S$6,
  VLOOKUP($E85,INDIRECT("tri!"&amp; CHAR(64+ C0Col) &amp;":"&amp; CHAR(65+C0Col)),2,FALSE)&gt;COUNTIF($E85:R85,"u")+COUNTIF($E85:R85,"t")+COUNTIF($E85:R85,"¶")+COUNTIF($E85:R85,"²")+COUNTIF($E85:R85,"µ")+COUNTIF($E85:R85,1)),
HYPERLINK("#Roadmap!C"&amp; MATCH($E85,Roadmap!$D:$D,0)+COUNTIF($E85:R85,"u")+COUNTIF($E85:R85,"t"),
     INDEX(Roadmap!$D:$K,MATCH($E85,Roadmap!$D:$D,0)+COUNTIF($E85:R85,"u")+COUNTIF($E85:R85,"t")+COUNTIF($E85:R85,"¶")+COUNTIF($E85:R85,"²")+COUNTIF($E85:R85,"µ")+COUNTIF($E85:R85,1),ColTypeEcheance)),
  IF(LEN(R85)=1,
  IF(LEN(INDEX(Roadmap!$D:$K,MATCH($E85,Roadmap!$D:$D,0)-1+COUNTIF($E85:R85,"u")+COUNTIF($E85:R85,"t")+COUNTIF($E85:R85,"¶")+COUNTIF($E85:R85,"²")+COUNTIF($E85:R85,"µ")+COUNTIF($E85:R85,1),ColDescriptionCourte))&gt;1,
HYPERLINK("#Roadmap!C"&amp; MATCH($E85,Roadmap!$D:$D,0)+COUNTIF($E85:R85,"u")+COUNTIF($E85:R85,"t")+COUNTIF($E85:R85,"¶")+COUNTIF($E85:R85,"²")+COUNTIF($E85:R85,"µ")+COUNTIF($E85:R85,1)-1,INDEX(Roadmap!$D:$K,MATCH($E85,Roadmap!$D:$D,0)-1+COUNTIF($E85:R85,"u")+COUNTIF($E85:R85,"t")+COUNTIF($E85:R85,"¶")+COUNTIF($E85:R85,"²")+COUNTIF($E85:R85,"µ")+COUNTIF($E85:R85,1),ColDescriptionCourte)),""),
  "")),"")</f>
        <v/>
      </c>
      <c r="T85" s="40" t="str">
        <f ca="1">IFERROR(IF(AND(
  INDEX(Roadmap!$D:$K,MATCH($E85,Roadmap!$D:$D,0)+COUNTIF($E85:S85,"u")+COUNTIF($E85:S85,"t")+COUNTIF($E85:S85,"¶")+COUNTIF($E85:S85,"²")+COUNTIF($E85:S85,"µ")+COUNTIF($E85:S85,1),ColLivraison)=T$6,
  VLOOKUP($E85,INDIRECT("tri!"&amp; CHAR(64+ C0Col) &amp;":"&amp; CHAR(65+C0Col)),2,FALSE)&gt;COUNTIF($E85:S85,"u")+COUNTIF($E85:S85,"t")+COUNTIF($E85:S85,"¶")+COUNTIF($E85:S85,"²")+COUNTIF($E85:S85,"µ")+COUNTIF($E85:S85,1)),
HYPERLINK("#Roadmap!C"&amp; MATCH($E85,Roadmap!$D:$D,0)+COUNTIF($E85:S85,"u")+COUNTIF($E85:S85,"t"),
     INDEX(Roadmap!$D:$K,MATCH($E85,Roadmap!$D:$D,0)+COUNTIF($E85:S85,"u")+COUNTIF($E85:S85,"t")+COUNTIF($E85:S85,"¶")+COUNTIF($E85:S85,"²")+COUNTIF($E85:S85,"µ")+COUNTIF($E85:S85,1),ColTypeEcheance)),
  IF(LEN(S85)=1,
  IF(LEN(INDEX(Roadmap!$D:$K,MATCH($E85,Roadmap!$D:$D,0)-1+COUNTIF($E85:S85,"u")+COUNTIF($E85:S85,"t")+COUNTIF($E85:S85,"¶")+COUNTIF($E85:S85,"²")+COUNTIF($E85:S85,"µ")+COUNTIF($E85:S85,1),ColDescriptionCourte))&gt;1,
HYPERLINK("#Roadmap!C"&amp; MATCH($E85,Roadmap!$D:$D,0)+COUNTIF($E85:S85,"u")+COUNTIF($E85:S85,"t")+COUNTIF($E85:S85,"¶")+COUNTIF($E85:S85,"²")+COUNTIF($E85:S85,"µ")+COUNTIF($E85:S85,1)-1,INDEX(Roadmap!$D:$K,MATCH($E85,Roadmap!$D:$D,0)-1+COUNTIF($E85:S85,"u")+COUNTIF($E85:S85,"t")+COUNTIF($E85:S85,"¶")+COUNTIF($E85:S85,"²")+COUNTIF($E85:S85,"µ")+COUNTIF($E85:S85,1),ColDescriptionCourte)),""),
  "")),"")</f>
        <v/>
      </c>
      <c r="U85" s="40" t="str">
        <f ca="1">IFERROR(IF(AND(
  INDEX(Roadmap!$D:$K,MATCH($E85,Roadmap!$D:$D,0)+COUNTIF($E85:T85,"u")+COUNTIF($E85:T85,"t")+COUNTIF($E85:T85,"¶")+COUNTIF($E85:T85,"²")+COUNTIF($E85:T85,"µ")+COUNTIF($E85:T85,1),ColLivraison)=U$6,
  VLOOKUP($E85,INDIRECT("tri!"&amp; CHAR(64+ C0Col) &amp;":"&amp; CHAR(65+C0Col)),2,FALSE)&gt;COUNTIF($E85:T85,"u")+COUNTIF($E85:T85,"t")+COUNTIF($E85:T85,"¶")+COUNTIF($E85:T85,"²")+COUNTIF($E85:T85,"µ")+COUNTIF($E85:T85,1)),
HYPERLINK("#Roadmap!C"&amp; MATCH($E85,Roadmap!$D:$D,0)+COUNTIF($E85:T85,"u")+COUNTIF($E85:T85,"t"),
     INDEX(Roadmap!$D:$K,MATCH($E85,Roadmap!$D:$D,0)+COUNTIF($E85:T85,"u")+COUNTIF($E85:T85,"t")+COUNTIF($E85:T85,"¶")+COUNTIF($E85:T85,"²")+COUNTIF($E85:T85,"µ")+COUNTIF($E85:T85,1),ColTypeEcheance)),
  IF(LEN(T85)=1,
  IF(LEN(INDEX(Roadmap!$D:$K,MATCH($E85,Roadmap!$D:$D,0)-1+COUNTIF($E85:T85,"u")+COUNTIF($E85:T85,"t")+COUNTIF($E85:T85,"¶")+COUNTIF($E85:T85,"²")+COUNTIF($E85:T85,"µ")+COUNTIF($E85:T85,1),ColDescriptionCourte))&gt;1,
HYPERLINK("#Roadmap!C"&amp; MATCH($E85,Roadmap!$D:$D,0)+COUNTIF($E85:T85,"u")+COUNTIF($E85:T85,"t")+COUNTIF($E85:T85,"¶")+COUNTIF($E85:T85,"²")+COUNTIF($E85:T85,"µ")+COUNTIF($E85:T85,1)-1,INDEX(Roadmap!$D:$K,MATCH($E85,Roadmap!$D:$D,0)-1+COUNTIF($E85:T85,"u")+COUNTIF($E85:T85,"t")+COUNTIF($E85:T85,"¶")+COUNTIF($E85:T85,"²")+COUNTIF($E85:T85,"µ")+COUNTIF($E85:T85,1),ColDescriptionCourte)),""),
  "")),"")</f>
        <v/>
      </c>
      <c r="V85" s="40" t="str">
        <f ca="1">IFERROR(IF(AND(
  INDEX(Roadmap!$D:$K,MATCH($E85,Roadmap!$D:$D,0)+COUNTIF($E85:U85,"u")+COUNTIF($E85:U85,"t")+COUNTIF($E85:U85,"¶")+COUNTIF($E85:U85,"²")+COUNTIF($E85:U85,"µ")+COUNTIF($E85:U85,1),ColLivraison)=V$6,
  VLOOKUP($E85,INDIRECT("tri!"&amp; CHAR(64+ C0Col) &amp;":"&amp; CHAR(65+C0Col)),2,FALSE)&gt;COUNTIF($E85:U85,"u")+COUNTIF($E85:U85,"t")+COUNTIF($E85:U85,"¶")+COUNTIF($E85:U85,"²")+COUNTIF($E85:U85,"µ")+COUNTIF($E85:U85,1)),
HYPERLINK("#Roadmap!C"&amp; MATCH($E85,Roadmap!$D:$D,0)+COUNTIF($E85:U85,"u")+COUNTIF($E85:U85,"t"),
     INDEX(Roadmap!$D:$K,MATCH($E85,Roadmap!$D:$D,0)+COUNTIF($E85:U85,"u")+COUNTIF($E85:U85,"t")+COUNTIF($E85:U85,"¶")+COUNTIF($E85:U85,"²")+COUNTIF($E85:U85,"µ")+COUNTIF($E85:U85,1),ColTypeEcheance)),
  IF(LEN(U85)=1,
  IF(LEN(INDEX(Roadmap!$D:$K,MATCH($E85,Roadmap!$D:$D,0)-1+COUNTIF($E85:U85,"u")+COUNTIF($E85:U85,"t")+COUNTIF($E85:U85,"¶")+COUNTIF($E85:U85,"²")+COUNTIF($E85:U85,"µ")+COUNTIF($E85:U85,1),ColDescriptionCourte))&gt;1,
HYPERLINK("#Roadmap!C"&amp; MATCH($E85,Roadmap!$D:$D,0)+COUNTIF($E85:U85,"u")+COUNTIF($E85:U85,"t")+COUNTIF($E85:U85,"¶")+COUNTIF($E85:U85,"²")+COUNTIF($E85:U85,"µ")+COUNTIF($E85:U85,1)-1,INDEX(Roadmap!$D:$K,MATCH($E85,Roadmap!$D:$D,0)-1+COUNTIF($E85:U85,"u")+COUNTIF($E85:U85,"t")+COUNTIF($E85:U85,"¶")+COUNTIF($E85:U85,"²")+COUNTIF($E85:U85,"µ")+COUNTIF($E85:U85,1),ColDescriptionCourte)),""),
  "")),"")</f>
        <v/>
      </c>
      <c r="W85" s="40" t="str">
        <f ca="1">IFERROR(IF(AND(
  INDEX(Roadmap!$D:$K,MATCH($E85,Roadmap!$D:$D,0)+COUNTIF($E85:V85,"u")+COUNTIF($E85:V85,"t")+COUNTIF($E85:V85,"¶")+COUNTIF($E85:V85,"²")+COUNTIF($E85:V85,"µ")+COUNTIF($E85:V85,1),ColLivraison)=W$6,
  VLOOKUP($E85,INDIRECT("tri!"&amp; CHAR(64+ C0Col) &amp;":"&amp; CHAR(65+C0Col)),2,FALSE)&gt;COUNTIF($E85:V85,"u")+COUNTIF($E85:V85,"t")+COUNTIF($E85:V85,"¶")+COUNTIF($E85:V85,"²")+COUNTIF($E85:V85,"µ")+COUNTIF($E85:V85,1)),
HYPERLINK("#Roadmap!C"&amp; MATCH($E85,Roadmap!$D:$D,0)+COUNTIF($E85:V85,"u")+COUNTIF($E85:V85,"t"),
     INDEX(Roadmap!$D:$K,MATCH($E85,Roadmap!$D:$D,0)+COUNTIF($E85:V85,"u")+COUNTIF($E85:V85,"t")+COUNTIF($E85:V85,"¶")+COUNTIF($E85:V85,"²")+COUNTIF($E85:V85,"µ")+COUNTIF($E85:V85,1),ColTypeEcheance)),
  IF(LEN(V85)=1,
  IF(LEN(INDEX(Roadmap!$D:$K,MATCH($E85,Roadmap!$D:$D,0)-1+COUNTIF($E85:V85,"u")+COUNTIF($E85:V85,"t")+COUNTIF($E85:V85,"¶")+COUNTIF($E85:V85,"²")+COUNTIF($E85:V85,"µ")+COUNTIF($E85:V85,1),ColDescriptionCourte))&gt;1,
HYPERLINK("#Roadmap!C"&amp; MATCH($E85,Roadmap!$D:$D,0)+COUNTIF($E85:V85,"u")+COUNTIF($E85:V85,"t")+COUNTIF($E85:V85,"¶")+COUNTIF($E85:V85,"²")+COUNTIF($E85:V85,"µ")+COUNTIF($E85:V85,1)-1,INDEX(Roadmap!$D:$K,MATCH($E85,Roadmap!$D:$D,0)-1+COUNTIF($E85:V85,"u")+COUNTIF($E85:V85,"t")+COUNTIF($E85:V85,"¶")+COUNTIF($E85:V85,"²")+COUNTIF($E85:V85,"µ")+COUNTIF($E85:V85,1),ColDescriptionCourte)),""),
  "")),"")</f>
        <v/>
      </c>
      <c r="X85" s="40" t="str">
        <f ca="1">IFERROR(IF(AND(
  INDEX(Roadmap!$D:$K,MATCH($E85,Roadmap!$D:$D,0)+COUNTIF($E85:W85,"u")+COUNTIF($E85:W85,"t")+COUNTIF($E85:W85,"¶")+COUNTIF($E85:W85,"²")+COUNTIF($E85:W85,"µ")+COUNTIF($E85:W85,1),ColLivraison)=X$6,
  VLOOKUP($E85,INDIRECT("tri!"&amp; CHAR(64+ C0Col) &amp;":"&amp; CHAR(65+C0Col)),2,FALSE)&gt;COUNTIF($E85:W85,"u")+COUNTIF($E85:W85,"t")+COUNTIF($E85:W85,"¶")+COUNTIF($E85:W85,"²")+COUNTIF($E85:W85,"µ")+COUNTIF($E85:W85,1)),
HYPERLINK("#Roadmap!C"&amp; MATCH($E85,Roadmap!$D:$D,0)+COUNTIF($E85:W85,"u")+COUNTIF($E85:W85,"t"),
     INDEX(Roadmap!$D:$K,MATCH($E85,Roadmap!$D:$D,0)+COUNTIF($E85:W85,"u")+COUNTIF($E85:W85,"t")+COUNTIF($E85:W85,"¶")+COUNTIF($E85:W85,"²")+COUNTIF($E85:W85,"µ")+COUNTIF($E85:W85,1),ColTypeEcheance)),
  IF(LEN(W85)=1,
  IF(LEN(INDEX(Roadmap!$D:$K,MATCH($E85,Roadmap!$D:$D,0)-1+COUNTIF($E85:W85,"u")+COUNTIF($E85:W85,"t")+COUNTIF($E85:W85,"¶")+COUNTIF($E85:W85,"²")+COUNTIF($E85:W85,"µ")+COUNTIF($E85:W85,1),ColDescriptionCourte))&gt;1,
HYPERLINK("#Roadmap!C"&amp; MATCH($E85,Roadmap!$D:$D,0)+COUNTIF($E85:W85,"u")+COUNTIF($E85:W85,"t")+COUNTIF($E85:W85,"¶")+COUNTIF($E85:W85,"²")+COUNTIF($E85:W85,"µ")+COUNTIF($E85:W85,1)-1,INDEX(Roadmap!$D:$K,MATCH($E85,Roadmap!$D:$D,0)-1+COUNTIF($E85:W85,"u")+COUNTIF($E85:W85,"t")+COUNTIF($E85:W85,"¶")+COUNTIF($E85:W85,"²")+COUNTIF($E85:W85,"µ")+COUNTIF($E85:W85,1),ColDescriptionCourte)),""),
  "")),"")</f>
        <v/>
      </c>
      <c r="Y85" s="40" t="str">
        <f ca="1">IFERROR(IF(AND(
  INDEX(Roadmap!$D:$K,MATCH($E85,Roadmap!$D:$D,0)+COUNTIF($E85:X85,"u")+COUNTIF($E85:X85,"t")+COUNTIF($E85:X85,"¶")+COUNTIF($E85:X85,"²")+COUNTIF($E85:X85,"µ")+COUNTIF($E85:X85,1),ColLivraison)=Y$6,
  VLOOKUP($E85,INDIRECT("tri!"&amp; CHAR(64+ C0Col) &amp;":"&amp; CHAR(65+C0Col)),2,FALSE)&gt;COUNTIF($E85:X85,"u")+COUNTIF($E85:X85,"t")+COUNTIF($E85:X85,"¶")+COUNTIF($E85:X85,"²")+COUNTIF($E85:X85,"µ")+COUNTIF($E85:X85,1)),
HYPERLINK("#Roadmap!C"&amp; MATCH($E85,Roadmap!$D:$D,0)+COUNTIF($E85:X85,"u")+COUNTIF($E85:X85,"t"),
     INDEX(Roadmap!$D:$K,MATCH($E85,Roadmap!$D:$D,0)+COUNTIF($E85:X85,"u")+COUNTIF($E85:X85,"t")+COUNTIF($E85:X85,"¶")+COUNTIF($E85:X85,"²")+COUNTIF($E85:X85,"µ")+COUNTIF($E85:X85,1),ColTypeEcheance)),
  IF(LEN(X85)=1,
  IF(LEN(INDEX(Roadmap!$D:$K,MATCH($E85,Roadmap!$D:$D,0)-1+COUNTIF($E85:X85,"u")+COUNTIF($E85:X85,"t")+COUNTIF($E85:X85,"¶")+COUNTIF($E85:X85,"²")+COUNTIF($E85:X85,"µ")+COUNTIF($E85:X85,1),ColDescriptionCourte))&gt;1,
HYPERLINK("#Roadmap!C"&amp; MATCH($E85,Roadmap!$D:$D,0)+COUNTIF($E85:X85,"u")+COUNTIF($E85:X85,"t")+COUNTIF($E85:X85,"¶")+COUNTIF($E85:X85,"²")+COUNTIF($E85:X85,"µ")+COUNTIF($E85:X85,1)-1,INDEX(Roadmap!$D:$K,MATCH($E85,Roadmap!$D:$D,0)-1+COUNTIF($E85:X85,"u")+COUNTIF($E85:X85,"t")+COUNTIF($E85:X85,"¶")+COUNTIF($E85:X85,"²")+COUNTIF($E85:X85,"µ")+COUNTIF($E85:X85,1),ColDescriptionCourte)),""),
  "")),"")</f>
        <v/>
      </c>
      <c r="Z85" s="40" t="str">
        <f ca="1">IFERROR(IF(AND(
  INDEX(Roadmap!$D:$K,MATCH($E85,Roadmap!$D:$D,0)+COUNTIF($E85:Y85,"u")+COUNTIF($E85:Y85,"t")+COUNTIF($E85:Y85,"¶")+COUNTIF($E85:Y85,"²")+COUNTIF($E85:Y85,"µ")+COUNTIF($E85:Y85,1),ColLivraison)=Z$6,
  VLOOKUP($E85,INDIRECT("tri!"&amp; CHAR(64+ C0Col) &amp;":"&amp; CHAR(65+C0Col)),2,FALSE)&gt;COUNTIF($E85:Y85,"u")+COUNTIF($E85:Y85,"t")+COUNTIF($E85:Y85,"¶")+COUNTIF($E85:Y85,"²")+COUNTIF($E85:Y85,"µ")+COUNTIF($E85:Y85,1)),
HYPERLINK("#Roadmap!C"&amp; MATCH($E85,Roadmap!$D:$D,0)+COUNTIF($E85:Y85,"u")+COUNTIF($E85:Y85,"t"),
     INDEX(Roadmap!$D:$K,MATCH($E85,Roadmap!$D:$D,0)+COUNTIF($E85:Y85,"u")+COUNTIF($E85:Y85,"t")+COUNTIF($E85:Y85,"¶")+COUNTIF($E85:Y85,"²")+COUNTIF($E85:Y85,"µ")+COUNTIF($E85:Y85,1),ColTypeEcheance)),
  IF(LEN(Y85)=1,
  IF(LEN(INDEX(Roadmap!$D:$K,MATCH($E85,Roadmap!$D:$D,0)-1+COUNTIF($E85:Y85,"u")+COUNTIF($E85:Y85,"t")+COUNTIF($E85:Y85,"¶")+COUNTIF($E85:Y85,"²")+COUNTIF($E85:Y85,"µ")+COUNTIF($E85:Y85,1),ColDescriptionCourte))&gt;1,
HYPERLINK("#Roadmap!C"&amp; MATCH($E85,Roadmap!$D:$D,0)+COUNTIF($E85:Y85,"u")+COUNTIF($E85:Y85,"t")+COUNTIF($E85:Y85,"¶")+COUNTIF($E85:Y85,"²")+COUNTIF($E85:Y85,"µ")+COUNTIF($E85:Y85,1)-1,INDEX(Roadmap!$D:$K,MATCH($E85,Roadmap!$D:$D,0)-1+COUNTIF($E85:Y85,"u")+COUNTIF($E85:Y85,"t")+COUNTIF($E85:Y85,"¶")+COUNTIF($E85:Y85,"²")+COUNTIF($E85:Y85,"µ")+COUNTIF($E85:Y85,1),ColDescriptionCourte)),""),
  "")),"")</f>
        <v/>
      </c>
      <c r="AA85" s="40" t="str">
        <f ca="1">IFERROR(IF(AND(
  INDEX(Roadmap!$D:$K,MATCH($E85,Roadmap!$D:$D,0)+COUNTIF($E85:Z85,"u")+COUNTIF($E85:Z85,"t")+COUNTIF($E85:Z85,"¶")+COUNTIF($E85:Z85,"²")+COUNTIF($E85:Z85,"µ")+COUNTIF($E85:Z85,1),ColLivraison)=AA$6,
  VLOOKUP($E85,INDIRECT("tri!"&amp; CHAR(64+ C0Col) &amp;":"&amp; CHAR(65+C0Col)),2,FALSE)&gt;COUNTIF($E85:Z85,"u")+COUNTIF($E85:Z85,"t")+COUNTIF($E85:Z85,"¶")+COUNTIF($E85:Z85,"²")+COUNTIF($E85:Z85,"µ")+COUNTIF($E85:Z85,1)),
HYPERLINK("#Roadmap!C"&amp; MATCH($E85,Roadmap!$D:$D,0)+COUNTIF($E85:Z85,"u")+COUNTIF($E85:Z85,"t"),
     INDEX(Roadmap!$D:$K,MATCH($E85,Roadmap!$D:$D,0)+COUNTIF($E85:Z85,"u")+COUNTIF($E85:Z85,"t")+COUNTIF($E85:Z85,"¶")+COUNTIF($E85:Z85,"²")+COUNTIF($E85:Z85,"µ")+COUNTIF($E85:Z85,1),ColTypeEcheance)),
  IF(LEN(Z85)=1,
  IF(LEN(INDEX(Roadmap!$D:$K,MATCH($E85,Roadmap!$D:$D,0)-1+COUNTIF($E85:Z85,"u")+COUNTIF($E85:Z85,"t")+COUNTIF($E85:Z85,"¶")+COUNTIF($E85:Z85,"²")+COUNTIF($E85:Z85,"µ")+COUNTIF($E85:Z85,1),ColDescriptionCourte))&gt;1,
HYPERLINK("#Roadmap!C"&amp; MATCH($E85,Roadmap!$D:$D,0)+COUNTIF($E85:Z85,"u")+COUNTIF($E85:Z85,"t")+COUNTIF($E85:Z85,"¶")+COUNTIF($E85:Z85,"²")+COUNTIF($E85:Z85,"µ")+COUNTIF($E85:Z85,1)-1,INDEX(Roadmap!$D:$K,MATCH($E85,Roadmap!$D:$D,0)-1+COUNTIF($E85:Z85,"u")+COUNTIF($E85:Z85,"t")+COUNTIF($E85:Z85,"¶")+COUNTIF($E85:Z85,"²")+COUNTIF($E85:Z85,"µ")+COUNTIF($E85:Z85,1),ColDescriptionCourte)),""),
  "")),"")</f>
        <v/>
      </c>
      <c r="AB85" s="40" t="str">
        <f ca="1">IFERROR(IF(AND(
  INDEX(Roadmap!$D:$K,MATCH($E85,Roadmap!$D:$D,0)+COUNTIF($E85:AA85,"u")+COUNTIF($E85:AA85,"t")+COUNTIF($E85:AA85,"¶")+COUNTIF($E85:AA85,"²")+COUNTIF($E85:AA85,"µ")+COUNTIF($E85:AA85,1),ColLivraison)=AB$6,
  VLOOKUP($E85,INDIRECT("tri!"&amp; CHAR(64+ C0Col) &amp;":"&amp; CHAR(65+C0Col)),2,FALSE)&gt;COUNTIF($E85:AA85,"u")+COUNTIF($E85:AA85,"t")+COUNTIF($E85:AA85,"¶")+COUNTIF($E85:AA85,"²")+COUNTIF($E85:AA85,"µ")+COUNTIF($E85:AA85,1)),
HYPERLINK("#Roadmap!C"&amp; MATCH($E85,Roadmap!$D:$D,0)+COUNTIF($E85:AA85,"u")+COUNTIF($E85:AA85,"t"),
     INDEX(Roadmap!$D:$K,MATCH($E85,Roadmap!$D:$D,0)+COUNTIF($E85:AA85,"u")+COUNTIF($E85:AA85,"t")+COUNTIF($E85:AA85,"¶")+COUNTIF($E85:AA85,"²")+COUNTIF($E85:AA85,"µ")+COUNTIF($E85:AA85,1),ColTypeEcheance)),
  IF(LEN(AA85)=1,
  IF(LEN(INDEX(Roadmap!$D:$K,MATCH($E85,Roadmap!$D:$D,0)-1+COUNTIF($E85:AA85,"u")+COUNTIF($E85:AA85,"t")+COUNTIF($E85:AA85,"¶")+COUNTIF($E85:AA85,"²")+COUNTIF($E85:AA85,"µ")+COUNTIF($E85:AA85,1),ColDescriptionCourte))&gt;1,
HYPERLINK("#Roadmap!C"&amp; MATCH($E85,Roadmap!$D:$D,0)+COUNTIF($E85:AA85,"u")+COUNTIF($E85:AA85,"t")+COUNTIF($E85:AA85,"¶")+COUNTIF($E85:AA85,"²")+COUNTIF($E85:AA85,"µ")+COUNTIF($E85:AA85,1)-1,INDEX(Roadmap!$D:$K,MATCH($E85,Roadmap!$D:$D,0)-1+COUNTIF($E85:AA85,"u")+COUNTIF($E85:AA85,"t")+COUNTIF($E85:AA85,"¶")+COUNTIF($E85:AA85,"²")+COUNTIF($E85:AA85,"µ")+COUNTIF($E85:AA85,1),ColDescriptionCourte)),""),
  "")),"")</f>
        <v/>
      </c>
      <c r="AC85" s="40" t="str">
        <f ca="1">IFERROR(IF(AND(
  INDEX(Roadmap!$D:$K,MATCH($E85,Roadmap!$D:$D,0)+COUNTIF($E85:AB85,"u")+COUNTIF($E85:AB85,"t")+COUNTIF($E85:AB85,"¶")+COUNTIF($E85:AB85,"²")+COUNTIF($E85:AB85,"µ")+COUNTIF($E85:AB85,1),ColLivraison)=AC$6,
  VLOOKUP($E85,INDIRECT("tri!"&amp; CHAR(64+ C0Col) &amp;":"&amp; CHAR(65+C0Col)),2,FALSE)&gt;COUNTIF($E85:AB85,"u")+COUNTIF($E85:AB85,"t")+COUNTIF($E85:AB85,"¶")+COUNTIF($E85:AB85,"²")+COUNTIF($E85:AB85,"µ")+COUNTIF($E85:AB85,1)),
HYPERLINK("#Roadmap!C"&amp; MATCH($E85,Roadmap!$D:$D,0)+COUNTIF($E85:AB85,"u")+COUNTIF($E85:AB85,"t"),
     INDEX(Roadmap!$D:$K,MATCH($E85,Roadmap!$D:$D,0)+COUNTIF($E85:AB85,"u")+COUNTIF($E85:AB85,"t")+COUNTIF($E85:AB85,"¶")+COUNTIF($E85:AB85,"²")+COUNTIF($E85:AB85,"µ")+COUNTIF($E85:AB85,1),ColTypeEcheance)),
  IF(LEN(AB85)=1,
  IF(LEN(INDEX(Roadmap!$D:$K,MATCH($E85,Roadmap!$D:$D,0)-1+COUNTIF($E85:AB85,"u")+COUNTIF($E85:AB85,"t")+COUNTIF($E85:AB85,"¶")+COUNTIF($E85:AB85,"²")+COUNTIF($E85:AB85,"µ")+COUNTIF($E85:AB85,1),ColDescriptionCourte))&gt;1,
HYPERLINK("#Roadmap!C"&amp; MATCH($E85,Roadmap!$D:$D,0)+COUNTIF($E85:AB85,"u")+COUNTIF($E85:AB85,"t")+COUNTIF($E85:AB85,"¶")+COUNTIF($E85:AB85,"²")+COUNTIF($E85:AB85,"µ")+COUNTIF($E85:AB85,1)-1,INDEX(Roadmap!$D:$K,MATCH($E85,Roadmap!$D:$D,0)-1+COUNTIF($E85:AB85,"u")+COUNTIF($E85:AB85,"t")+COUNTIF($E85:AB85,"¶")+COUNTIF($E85:AB85,"²")+COUNTIF($E85:AB85,"µ")+COUNTIF($E85:AB85,1),ColDescriptionCourte)),""),
  "")),"")</f>
        <v/>
      </c>
      <c r="AD85" s="40" t="str">
        <f ca="1">IFERROR(IF(AND(
  INDEX(Roadmap!$D:$K,MATCH($E85,Roadmap!$D:$D,0)+COUNTIF($E85:AC85,"u")+COUNTIF($E85:AC85,"t")+COUNTIF($E85:AC85,"¶")+COUNTIF($E85:AC85,"²")+COUNTIF($E85:AC85,"µ")+COUNTIF($E85:AC85,1),ColLivraison)=AD$6,
  VLOOKUP($E85,INDIRECT("tri!"&amp; CHAR(64+ C0Col) &amp;":"&amp; CHAR(65+C0Col)),2,FALSE)&gt;COUNTIF($E85:AC85,"u")+COUNTIF($E85:AC85,"t")+COUNTIF($E85:AC85,"¶")+COUNTIF($E85:AC85,"²")+COUNTIF($E85:AC85,"µ")+COUNTIF($E85:AC85,1)),
HYPERLINK("#Roadmap!C"&amp; MATCH($E85,Roadmap!$D:$D,0)+COUNTIF($E85:AC85,"u")+COUNTIF($E85:AC85,"t"),
     INDEX(Roadmap!$D:$K,MATCH($E85,Roadmap!$D:$D,0)+COUNTIF($E85:AC85,"u")+COUNTIF($E85:AC85,"t")+COUNTIF($E85:AC85,"¶")+COUNTIF($E85:AC85,"²")+COUNTIF($E85:AC85,"µ")+COUNTIF($E85:AC85,1),ColTypeEcheance)),
  IF(LEN(AC85)=1,
  IF(LEN(INDEX(Roadmap!$D:$K,MATCH($E85,Roadmap!$D:$D,0)-1+COUNTIF($E85:AC85,"u")+COUNTIF($E85:AC85,"t")+COUNTIF($E85:AC85,"¶")+COUNTIF($E85:AC85,"²")+COUNTIF($E85:AC85,"µ")+COUNTIF($E85:AC85,1),ColDescriptionCourte))&gt;1,
HYPERLINK("#Roadmap!C"&amp; MATCH($E85,Roadmap!$D:$D,0)+COUNTIF($E85:AC85,"u")+COUNTIF($E85:AC85,"t")+COUNTIF($E85:AC85,"¶")+COUNTIF($E85:AC85,"²")+COUNTIF($E85:AC85,"µ")+COUNTIF($E85:AC85,1)-1,INDEX(Roadmap!$D:$K,MATCH($E85,Roadmap!$D:$D,0)-1+COUNTIF($E85:AC85,"u")+COUNTIF($E85:AC85,"t")+COUNTIF($E85:AC85,"¶")+COUNTIF($E85:AC85,"²")+COUNTIF($E85:AC85,"µ")+COUNTIF($E85:AC85,1),ColDescriptionCourte)),""),
  "")),"")</f>
        <v/>
      </c>
      <c r="AE85" s="40" t="str">
        <f ca="1">IFERROR(IF(AND(
  INDEX(Roadmap!$D:$K,MATCH($E85,Roadmap!$D:$D,0)+COUNTIF($E85:AD85,"u")+COUNTIF($E85:AD85,"t")+COUNTIF($E85:AD85,"¶")+COUNTIF($E85:AD85,"²")+COUNTIF($E85:AD85,"µ")+COUNTIF($E85:AD85,1),ColLivraison)=AE$6,
  VLOOKUP($E85,INDIRECT("tri!"&amp; CHAR(64+ C0Col) &amp;":"&amp; CHAR(65+C0Col)),2,FALSE)&gt;COUNTIF($E85:AD85,"u")+COUNTIF($E85:AD85,"t")+COUNTIF($E85:AD85,"¶")+COUNTIF($E85:AD85,"²")+COUNTIF($E85:AD85,"µ")+COUNTIF($E85:AD85,1)),
HYPERLINK("#Roadmap!C"&amp; MATCH($E85,Roadmap!$D:$D,0)+COUNTIF($E85:AD85,"u")+COUNTIF($E85:AD85,"t"),
     INDEX(Roadmap!$D:$K,MATCH($E85,Roadmap!$D:$D,0)+COUNTIF($E85:AD85,"u")+COUNTIF($E85:AD85,"t")+COUNTIF($E85:AD85,"¶")+COUNTIF($E85:AD85,"²")+COUNTIF($E85:AD85,"µ")+COUNTIF($E85:AD85,1),ColTypeEcheance)),
  IF(LEN(AD85)=1,
  IF(LEN(INDEX(Roadmap!$D:$K,MATCH($E85,Roadmap!$D:$D,0)-1+COUNTIF($E85:AD85,"u")+COUNTIF($E85:AD85,"t")+COUNTIF($E85:AD85,"¶")+COUNTIF($E85:AD85,"²")+COUNTIF($E85:AD85,"µ")+COUNTIF($E85:AD85,1),ColDescriptionCourte))&gt;1,
HYPERLINK("#Roadmap!C"&amp; MATCH($E85,Roadmap!$D:$D,0)+COUNTIF($E85:AD85,"u")+COUNTIF($E85:AD85,"t")+COUNTIF($E85:AD85,"¶")+COUNTIF($E85:AD85,"²")+COUNTIF($E85:AD85,"µ")+COUNTIF($E85:AD85,1)-1,INDEX(Roadmap!$D:$K,MATCH($E85,Roadmap!$D:$D,0)-1+COUNTIF($E85:AD85,"u")+COUNTIF($E85:AD85,"t")+COUNTIF($E85:AD85,"¶")+COUNTIF($E85:AD85,"²")+COUNTIF($E85:AD85,"µ")+COUNTIF($E85:AD85,1),ColDescriptionCourte)),""),
  "")),"")</f>
        <v/>
      </c>
      <c r="AF85" s="40" t="str">
        <f ca="1">IFERROR(IF(AND(
  INDEX(Roadmap!$D:$K,MATCH($E85,Roadmap!$D:$D,0)+COUNTIF($E85:AE85,"u")+COUNTIF($E85:AE85,"t")+COUNTIF($E85:AE85,"¶")+COUNTIF($E85:AE85,"²")+COUNTIF($E85:AE85,"µ")+COUNTIF($E85:AE85,1),ColLivraison)=AF$6,
  VLOOKUP($E85,INDIRECT("tri!"&amp; CHAR(64+ C0Col) &amp;":"&amp; CHAR(65+C0Col)),2,FALSE)&gt;COUNTIF($E85:AE85,"u")+COUNTIF($E85:AE85,"t")+COUNTIF($E85:AE85,"¶")+COUNTIF($E85:AE85,"²")+COUNTIF($E85:AE85,"µ")+COUNTIF($E85:AE85,1)),
HYPERLINK("#Roadmap!C"&amp; MATCH($E85,Roadmap!$D:$D,0)+COUNTIF($E85:AE85,"u")+COUNTIF($E85:AE85,"t"),
     INDEX(Roadmap!$D:$K,MATCH($E85,Roadmap!$D:$D,0)+COUNTIF($E85:AE85,"u")+COUNTIF($E85:AE85,"t")+COUNTIF($E85:AE85,"¶")+COUNTIF($E85:AE85,"²")+COUNTIF($E85:AE85,"µ")+COUNTIF($E85:AE85,1),ColTypeEcheance)),
  IF(LEN(AE85)=1,
  IF(LEN(INDEX(Roadmap!$D:$K,MATCH($E85,Roadmap!$D:$D,0)-1+COUNTIF($E85:AE85,"u")+COUNTIF($E85:AE85,"t")+COUNTIF($E85:AE85,"¶")+COUNTIF($E85:AE85,"²")+COUNTIF($E85:AE85,"µ")+COUNTIF($E85:AE85,1),ColDescriptionCourte))&gt;1,
HYPERLINK("#Roadmap!C"&amp; MATCH($E85,Roadmap!$D:$D,0)+COUNTIF($E85:AE85,"u")+COUNTIF($E85:AE85,"t")+COUNTIF($E85:AE85,"¶")+COUNTIF($E85:AE85,"²")+COUNTIF($E85:AE85,"µ")+COUNTIF($E85:AE85,1)-1,INDEX(Roadmap!$D:$K,MATCH($E85,Roadmap!$D:$D,0)-1+COUNTIF($E85:AE85,"u")+COUNTIF($E85:AE85,"t")+COUNTIF($E85:AE85,"¶")+COUNTIF($E85:AE85,"²")+COUNTIF($E85:AE85,"µ")+COUNTIF($E85:AE85,1),ColDescriptionCourte)),""),
  "")),"")</f>
        <v/>
      </c>
      <c r="AG85" s="40" t="str">
        <f ca="1">IFERROR(IF(AND(
  INDEX(Roadmap!$D:$K,MATCH($E85,Roadmap!$D:$D,0)+COUNTIF($E85:AF85,"u")+COUNTIF($E85:AF85,"t")+COUNTIF($E85:AF85,"¶")+COUNTIF($E85:AF85,"²")+COUNTIF($E85:AF85,"µ")+COUNTIF($E85:AF85,1),ColLivraison)=AG$6,
  VLOOKUP($E85,INDIRECT("tri!"&amp; CHAR(64+ C0Col) &amp;":"&amp; CHAR(65+C0Col)),2,FALSE)&gt;COUNTIF($E85:AF85,"u")+COUNTIF($E85:AF85,"t")+COUNTIF($E85:AF85,"¶")+COUNTIF($E85:AF85,"²")+COUNTIF($E85:AF85,"µ")+COUNTIF($E85:AF85,1)),
HYPERLINK("#Roadmap!C"&amp; MATCH($E85,Roadmap!$D:$D,0)+COUNTIF($E85:AF85,"u")+COUNTIF($E85:AF85,"t"),
     INDEX(Roadmap!$D:$K,MATCH($E85,Roadmap!$D:$D,0)+COUNTIF($E85:AF85,"u")+COUNTIF($E85:AF85,"t")+COUNTIF($E85:AF85,"¶")+COUNTIF($E85:AF85,"²")+COUNTIF($E85:AF85,"µ")+COUNTIF($E85:AF85,1),ColTypeEcheance)),
  IF(LEN(AF85)=1,
  IF(LEN(INDEX(Roadmap!$D:$K,MATCH($E85,Roadmap!$D:$D,0)-1+COUNTIF($E85:AF85,"u")+COUNTIF($E85:AF85,"t")+COUNTIF($E85:AF85,"¶")+COUNTIF($E85:AF85,"²")+COUNTIF($E85:AF85,"µ")+COUNTIF($E85:AF85,1),ColDescriptionCourte))&gt;1,
HYPERLINK("#Roadmap!C"&amp; MATCH($E85,Roadmap!$D:$D,0)+COUNTIF($E85:AF85,"u")+COUNTIF($E85:AF85,"t")+COUNTIF($E85:AF85,"¶")+COUNTIF($E85:AF85,"²")+COUNTIF($E85:AF85,"µ")+COUNTIF($E85:AF85,1)-1,INDEX(Roadmap!$D:$K,MATCH($E85,Roadmap!$D:$D,0)-1+COUNTIF($E85:AF85,"u")+COUNTIF($E85:AF85,"t")+COUNTIF($E85:AF85,"¶")+COUNTIF($E85:AF85,"²")+COUNTIF($E85:AF85,"µ")+COUNTIF($E85:AF85,1),ColDescriptionCourte)),""),
  "")),"")</f>
        <v/>
      </c>
      <c r="AH85" s="40" t="str">
        <f ca="1">IFERROR(IF(AND(
  INDEX(Roadmap!$D:$K,MATCH($E85,Roadmap!$D:$D,0)+COUNTIF($E85:AG85,"u")+COUNTIF($E85:AG85,"t")+COUNTIF($E85:AG85,1),ColLivraison)=AH$6,
  VLOOKUP($E85,INDIRECT("tri!"&amp; CHAR(64+ C0Col) &amp;":"&amp; CHAR(65+C0Col)),2,FALSE)&gt;COUNTIF($E85:AG85,"u")+COUNTIF($E85:AG85,"t")+COUNTIF($E85:AG85,1)),
HYPERLINK("#Roadmap!C"&amp; MATCH($E85,Roadmap!$D:$D,0)+COUNTIF($E85:AG85,"u")+COUNTIF($E85:AG85,"t"),
     INDEX(Roadmap!$D:$K,MATCH($E85,Roadmap!$D:$D,0)+COUNTIF($E85:AG85,"u")+COUNTIF($E85:AG85,"t")+COUNTIF($E85:AG85,1),ColTypeEcheance)),
  IF(OR(AG85="u",AG85="t",AG85=1),
  IF(LEN(INDEX(Roadmap!$D:$K,MATCH($E85,Roadmap!$D:$D,0)-1+COUNTIF($E85:AG85,"u")+COUNTIF($E85:AG85,"t")+COUNTIF($E85:AG85,1),ColDescriptionCourte))&gt;1,
HYPERLINK("#Roadmap!C"&amp; MATCH($E85,Roadmap!$D:$D,0)+COUNTIF($E85:AG85,"u")+COUNTIF($E85:AG85,"t")+COUNTIF($E85:AG85,1)-1,INDEX(Roadmap!$D:$K,MATCH($E85,Roadmap!$D:$D,0)-1+COUNTIF($E85:AG85,"u")+COUNTIF($E85:AG85,"t")+COUNTIF($E85:AG85,1),ColDescriptionCourte)),""),
  "")),"")</f>
        <v/>
      </c>
      <c r="AI85" s="40"/>
      <c r="AJ85" s="40"/>
      <c r="AK85" s="40"/>
      <c r="AL85" s="40"/>
      <c r="AM85" s="40"/>
    </row>
    <row r="86" spans="4:39" ht="14.1" customHeight="1">
      <c r="D86" s="20" t="str">
        <f t="shared" ca="1" si="29"/>
        <v/>
      </c>
      <c r="E86" s="53" t="str">
        <f t="shared" ca="1" si="30"/>
        <v/>
      </c>
      <c r="F86" s="39" t="str">
        <f ca="1">IFERROR(IF(AND(
  INDEX(Roadmap!$D:$K,MATCH($E86,Roadmap!$D:$D,0)+COUNTIF($E86:E86,"u")+COUNTIF($E86:E86,"t")+COUNTIF($E86:E86,"¶")+COUNTIF($E86:E86,"²")+COUNTIF($E86:E86,"µ")+COUNTIF($E86:E86,1),ColLivraison)=F$6,
  VLOOKUP($E86,INDIRECT("tri!"&amp; CHAR(64+ C0Col) &amp;":"&amp; CHAR(65+C0Col)),2,FALSE)&gt;COUNTIF($E86:E86,"u")+COUNTIF($E86:E86,"t")+COUNTIF($E86:E86,"¶")+COUNTIF($E86:E86,"²")+COUNTIF($E86:E86,"µ")+COUNTIF($E86:E86,1)),
HYPERLINK("#Roadmap!C"&amp; MATCH($E86,Roadmap!$D:$D,0)+COUNTIF($E86:E86,"u")+COUNTIF($E86:E86,"t"),
     INDEX(Roadmap!$D:$K,MATCH($E86,Roadmap!$D:$D,0)+COUNTIF($E86:E86,"u")+COUNTIF($E86:E86,"t")+COUNTIF($E86:E86,"¶")+COUNTIF($E86:E86,"²")+COUNTIF($E86:E86,"µ")+COUNTIF($E86:E86,1),ColTypeEcheance)),
  IF(LEN(E86)=1,
  IF(LEN(INDEX(Roadmap!$D:$K,MATCH($E86,Roadmap!$D:$D,0)-1+COUNTIF($E86:E86,"u")+COUNTIF($E86:E86,"t")+COUNTIF($E86:E86,"¶")+COUNTIF($E86:E86,"²")+COUNTIF($E86:E86,"µ")+COUNTIF($E86:E86,1),ColDescriptionCourte))&gt;1,
HYPERLINK("#Roadmap!C"&amp; MATCH($E86,Roadmap!$D:$D,0)+COUNTIF($E86:E86,"u")+COUNTIF($E86:E86,"t")+COUNTIF($E86:E86,"¶")+COUNTIF($E86:E86,"²")+COUNTIF($E86:E86,"µ")+COUNTIF($E86:E86,1)-1,INDEX(Roadmap!$D:$K,MATCH($E86,Roadmap!$D:$D,0)-1+COUNTIF($E86:E86,"u")+COUNTIF($E86:E86,"t")+COUNTIF($E86:E86,"¶")+COUNTIF($E86:E86,"²")+COUNTIF($E86:E86,"µ")+COUNTIF($E86:E86,1),ColDescriptionCourte)),""),
  "")),"")</f>
        <v/>
      </c>
      <c r="G86" s="40" t="str">
        <f ca="1">IFERROR(IF(AND(
  INDEX(Roadmap!$D:$K,MATCH($E86,Roadmap!$D:$D,0)+COUNTIF($E86:F86,"u")+COUNTIF($E86:F86,"t")+COUNTIF($E86:F86,"¶")+COUNTIF($E86:F86,"²")+COUNTIF($E86:F86,"µ")+COUNTIF($E86:F86,1),ColLivraison)=G$6,
  VLOOKUP($E86,INDIRECT("tri!"&amp; CHAR(64+ C0Col) &amp;":"&amp; CHAR(65+C0Col)),2,FALSE)&gt;COUNTIF($E86:F86,"u")+COUNTIF($E86:F86,"t")+COUNTIF($E86:F86,"¶")+COUNTIF($E86:F86,"²")+COUNTIF($E86:F86,"µ")+COUNTIF($E86:F86,1)),
HYPERLINK("#Roadmap!C"&amp; MATCH($E86,Roadmap!$D:$D,0)+COUNTIF($E86:F86,"u")+COUNTIF($E86:F86,"t"),
     INDEX(Roadmap!$D:$K,MATCH($E86,Roadmap!$D:$D,0)+COUNTIF($E86:F86,"u")+COUNTIF($E86:F86,"t")+COUNTIF($E86:F86,"¶")+COUNTIF($E86:F86,"²")+COUNTIF($E86:F86,"µ")+COUNTIF($E86:F86,1),ColTypeEcheance)),
  IF(LEN(F86)=1,
  IF(LEN(INDEX(Roadmap!$D:$K,MATCH($E86,Roadmap!$D:$D,0)-1+COUNTIF($E86:F86,"u")+COUNTIF($E86:F86,"t")+COUNTIF($E86:F86,"¶")+COUNTIF($E86:F86,"²")+COUNTIF($E86:F86,"µ")+COUNTIF($E86:F86,1),ColDescriptionCourte))&gt;1,
HYPERLINK("#Roadmap!C"&amp; MATCH($E86,Roadmap!$D:$D,0)+COUNTIF($E86:F86,"u")+COUNTIF($E86:F86,"t")+COUNTIF($E86:F86,"¶")+COUNTIF($E86:F86,"²")+COUNTIF($E86:F86,"µ")+COUNTIF($E86:F86,1)-1,INDEX(Roadmap!$D:$K,MATCH($E86,Roadmap!$D:$D,0)-1+COUNTIF($E86:F86,"u")+COUNTIF($E86:F86,"t")+COUNTIF($E86:F86,"¶")+COUNTIF($E86:F86,"²")+COUNTIF($E86:F86,"µ")+COUNTIF($E86:F86,1),ColDescriptionCourte)),""),
  "")),"")</f>
        <v/>
      </c>
      <c r="H86" s="40" t="str">
        <f ca="1">IFERROR(IF(AND(
  INDEX(Roadmap!$D:$K,MATCH($E86,Roadmap!$D:$D,0)+COUNTIF($E86:G86,"u")+COUNTIF($E86:G86,"t")+COUNTIF($E86:G86,"¶")+COUNTIF($E86:G86,"²")+COUNTIF($E86:G86,"µ")+COUNTIF($E86:G86,1),ColLivraison)=H$6,
  VLOOKUP($E86,INDIRECT("tri!"&amp; CHAR(64+ C0Col) &amp;":"&amp; CHAR(65+C0Col)),2,FALSE)&gt;COUNTIF($E86:G86,"u")+COUNTIF($E86:G86,"t")+COUNTIF($E86:G86,"¶")+COUNTIF($E86:G86,"²")+COUNTIF($E86:G86,"µ")+COUNTIF($E86:G86,1)),
HYPERLINK("#Roadmap!C"&amp; MATCH($E86,Roadmap!$D:$D,0)+COUNTIF($E86:G86,"u")+COUNTIF($E86:G86,"t"),
     INDEX(Roadmap!$D:$K,MATCH($E86,Roadmap!$D:$D,0)+COUNTIF($E86:G86,"u")+COUNTIF($E86:G86,"t")+COUNTIF($E86:G86,"¶")+COUNTIF($E86:G86,"²")+COUNTIF($E86:G86,"µ")+COUNTIF($E86:G86,1),ColTypeEcheance)),
  IF(LEN(G86)=1,
  IF(LEN(INDEX(Roadmap!$D:$K,MATCH($E86,Roadmap!$D:$D,0)-1+COUNTIF($E86:G86,"u")+COUNTIF($E86:G86,"t")+COUNTIF($E86:G86,"¶")+COUNTIF($E86:G86,"²")+COUNTIF($E86:G86,"µ")+COUNTIF($E86:G86,1),ColDescriptionCourte))&gt;1,
HYPERLINK("#Roadmap!C"&amp; MATCH($E86,Roadmap!$D:$D,0)+COUNTIF($E86:G86,"u")+COUNTIF($E86:G86,"t")+COUNTIF($E86:G86,"¶")+COUNTIF($E86:G86,"²")+COUNTIF($E86:G86,"µ")+COUNTIF($E86:G86,1)-1,INDEX(Roadmap!$D:$K,MATCH($E86,Roadmap!$D:$D,0)-1+COUNTIF($E86:G86,"u")+COUNTIF($E86:G86,"t")+COUNTIF($E86:G86,"¶")+COUNTIF($E86:G86,"²")+COUNTIF($E86:G86,"µ")+COUNTIF($E86:G86,1),ColDescriptionCourte)),""),
  "")),"")</f>
        <v/>
      </c>
      <c r="I86" s="40" t="str">
        <f ca="1">IFERROR(IF(AND(
  INDEX(Roadmap!$D:$K,MATCH($E86,Roadmap!$D:$D,0)+COUNTIF($E86:H86,"u")+COUNTIF($E86:H86,"t")+COUNTIF($E86:H86,"¶")+COUNTIF($E86:H86,"²")+COUNTIF($E86:H86,"µ")+COUNTIF($E86:H86,1),ColLivraison)=I$6,
  VLOOKUP($E86,INDIRECT("tri!"&amp; CHAR(64+ C0Col) &amp;":"&amp; CHAR(65+C0Col)),2,FALSE)&gt;COUNTIF($E86:H86,"u")+COUNTIF($E86:H86,"t")+COUNTIF($E86:H86,"¶")+COUNTIF($E86:H86,"²")+COUNTIF($E86:H86,"µ")+COUNTIF($E86:H86,1)),
HYPERLINK("#Roadmap!C"&amp; MATCH($E86,Roadmap!$D:$D,0)+COUNTIF($E86:H86,"u")+COUNTIF($E86:H86,"t"),
     INDEX(Roadmap!$D:$K,MATCH($E86,Roadmap!$D:$D,0)+COUNTIF($E86:H86,"u")+COUNTIF($E86:H86,"t")+COUNTIF($E86:H86,"¶")+COUNTIF($E86:H86,"²")+COUNTIF($E86:H86,"µ")+COUNTIF($E86:H86,1),ColTypeEcheance)),
  IF(LEN(H86)=1,
  IF(LEN(INDEX(Roadmap!$D:$K,MATCH($E86,Roadmap!$D:$D,0)-1+COUNTIF($E86:H86,"u")+COUNTIF($E86:H86,"t")+COUNTIF($E86:H86,"¶")+COUNTIF($E86:H86,"²")+COUNTIF($E86:H86,"µ")+COUNTIF($E86:H86,1),ColDescriptionCourte))&gt;1,
HYPERLINK("#Roadmap!C"&amp; MATCH($E86,Roadmap!$D:$D,0)+COUNTIF($E86:H86,"u")+COUNTIF($E86:H86,"t")+COUNTIF($E86:H86,"¶")+COUNTIF($E86:H86,"²")+COUNTIF($E86:H86,"µ")+COUNTIF($E86:H86,1)-1,INDEX(Roadmap!$D:$K,MATCH($E86,Roadmap!$D:$D,0)-1+COUNTIF($E86:H86,"u")+COUNTIF($E86:H86,"t")+COUNTIF($E86:H86,"¶")+COUNTIF($E86:H86,"²")+COUNTIF($E86:H86,"µ")+COUNTIF($E86:H86,1),ColDescriptionCourte)),""),
  "")),"")</f>
        <v/>
      </c>
      <c r="J86" s="40" t="str">
        <f ca="1">IFERROR(IF(AND(
  INDEX(Roadmap!$D:$K,MATCH($E86,Roadmap!$D:$D,0)+COUNTIF($E86:I86,"u")+COUNTIF($E86:I86,"t")+COUNTIF($E86:I86,"¶")+COUNTIF($E86:I86,"²")+COUNTIF($E86:I86,"µ")+COUNTIF($E86:I86,1),ColLivraison)=J$6,
  VLOOKUP($E86,INDIRECT("tri!"&amp; CHAR(64+ C0Col) &amp;":"&amp; CHAR(65+C0Col)),2,FALSE)&gt;COUNTIF($E86:I86,"u")+COUNTIF($E86:I86,"t")+COUNTIF($E86:I86,"¶")+COUNTIF($E86:I86,"²")+COUNTIF($E86:I86,"µ")+COUNTIF($E86:I86,1)),
HYPERLINK("#Roadmap!C"&amp; MATCH($E86,Roadmap!$D:$D,0)+COUNTIF($E86:I86,"u")+COUNTIF($E86:I86,"t"),
     INDEX(Roadmap!$D:$K,MATCH($E86,Roadmap!$D:$D,0)+COUNTIF($E86:I86,"u")+COUNTIF($E86:I86,"t")+COUNTIF($E86:I86,"¶")+COUNTIF($E86:I86,"²")+COUNTIF($E86:I86,"µ")+COUNTIF($E86:I86,1),ColTypeEcheance)),
  IF(LEN(I86)=1,
  IF(LEN(INDEX(Roadmap!$D:$K,MATCH($E86,Roadmap!$D:$D,0)-1+COUNTIF($E86:I86,"u")+COUNTIF($E86:I86,"t")+COUNTIF($E86:I86,"¶")+COUNTIF($E86:I86,"²")+COUNTIF($E86:I86,"µ")+COUNTIF($E86:I86,1),ColDescriptionCourte))&gt;1,
HYPERLINK("#Roadmap!C"&amp; MATCH($E86,Roadmap!$D:$D,0)+COUNTIF($E86:I86,"u")+COUNTIF($E86:I86,"t")+COUNTIF($E86:I86,"¶")+COUNTIF($E86:I86,"²")+COUNTIF($E86:I86,"µ")+COUNTIF($E86:I86,1)-1,INDEX(Roadmap!$D:$K,MATCH($E86,Roadmap!$D:$D,0)-1+COUNTIF($E86:I86,"u")+COUNTIF($E86:I86,"t")+COUNTIF($E86:I86,"¶")+COUNTIF($E86:I86,"²")+COUNTIF($E86:I86,"µ")+COUNTIF($E86:I86,1),ColDescriptionCourte)),""),
  "")),"")</f>
        <v/>
      </c>
      <c r="K86" s="40" t="str">
        <f ca="1">IFERROR(IF(AND(
  INDEX(Roadmap!$D:$K,MATCH($E86,Roadmap!$D:$D,0)+COUNTIF($E86:J86,"u")+COUNTIF($E86:J86,"t")+COUNTIF($E86:J86,"¶")+COUNTIF($E86:J86,"²")+COUNTIF($E86:J86,"µ")+COUNTIF($E86:J86,1),ColLivraison)=K$6,
  VLOOKUP($E86,INDIRECT("tri!"&amp; CHAR(64+ C0Col) &amp;":"&amp; CHAR(65+C0Col)),2,FALSE)&gt;COUNTIF($E86:J86,"u")+COUNTIF($E86:J86,"t")+COUNTIF($E86:J86,"¶")+COUNTIF($E86:J86,"²")+COUNTIF($E86:J86,"µ")+COUNTIF($E86:J86,1)),
HYPERLINK("#Roadmap!C"&amp; MATCH($E86,Roadmap!$D:$D,0)+COUNTIF($E86:J86,"u")+COUNTIF($E86:J86,"t"),
     INDEX(Roadmap!$D:$K,MATCH($E86,Roadmap!$D:$D,0)+COUNTIF($E86:J86,"u")+COUNTIF($E86:J86,"t")+COUNTIF($E86:J86,"¶")+COUNTIF($E86:J86,"²")+COUNTIF($E86:J86,"µ")+COUNTIF($E86:J86,1),ColTypeEcheance)),
  IF(LEN(J86)=1,
  IF(LEN(INDEX(Roadmap!$D:$K,MATCH($E86,Roadmap!$D:$D,0)-1+COUNTIF($E86:J86,"u")+COUNTIF($E86:J86,"t")+COUNTIF($E86:J86,"¶")+COUNTIF($E86:J86,"²")+COUNTIF($E86:J86,"µ")+COUNTIF($E86:J86,1),ColDescriptionCourte))&gt;1,
HYPERLINK("#Roadmap!C"&amp; MATCH($E86,Roadmap!$D:$D,0)+COUNTIF($E86:J86,"u")+COUNTIF($E86:J86,"t")+COUNTIF($E86:J86,"¶")+COUNTIF($E86:J86,"²")+COUNTIF($E86:J86,"µ")+COUNTIF($E86:J86,1)-1,INDEX(Roadmap!$D:$K,MATCH($E86,Roadmap!$D:$D,0)-1+COUNTIF($E86:J86,"u")+COUNTIF($E86:J86,"t")+COUNTIF($E86:J86,"¶")+COUNTIF($E86:J86,"²")+COUNTIF($E86:J86,"µ")+COUNTIF($E86:J86,1),ColDescriptionCourte)),""),
  "")),"")</f>
        <v/>
      </c>
      <c r="L86" s="39" t="str">
        <f ca="1">IFERROR(IF(AND(
  INDEX(Roadmap!$D:$K,MATCH($E86,Roadmap!$D:$D,0)+COUNTIF($E86:K86,"u")+COUNTIF($E86:K86,"t")+COUNTIF($E86:K86,"¶")+COUNTIF($E86:K86,"²")+COUNTIF($E86:K86,"µ")+COUNTIF($E86:K86,1),ColLivraison)=L$6,
  VLOOKUP($E86,INDIRECT("tri!"&amp; CHAR(64+ C0Col) &amp;":"&amp; CHAR(65+C0Col)),2,FALSE)&gt;COUNTIF($E86:K86,"u")+COUNTIF($E86:K86,"t")+COUNTIF($E86:K86,"¶")+COUNTIF($E86:K86,"²")+COUNTIF($E86:K86,"µ")+COUNTIF($E86:K86,1)),
HYPERLINK("#Roadmap!C"&amp; MATCH($E86,Roadmap!$D:$D,0)+COUNTIF($E86:K86,"u")+COUNTIF($E86:K86,"t"),
     INDEX(Roadmap!$D:$K,MATCH($E86,Roadmap!$D:$D,0)+COUNTIF($E86:K86,"u")+COUNTIF($E86:K86,"t")+COUNTIF($E86:K86,"¶")+COUNTIF($E86:K86,"²")+COUNTIF($E86:K86,"µ")+COUNTIF($E86:K86,1),ColTypeEcheance)),
  IF(LEN(K86)=1,
  IF(LEN(INDEX(Roadmap!$D:$K,MATCH($E86,Roadmap!$D:$D,0)-1+COUNTIF($E86:K86,"u")+COUNTIF($E86:K86,"t")+COUNTIF($E86:K86,"¶")+COUNTIF($E86:K86,"²")+COUNTIF($E86:K86,"µ")+COUNTIF($E86:K86,1),ColDescriptionCourte))&gt;1,
HYPERLINK("#Roadmap!C"&amp; MATCH($E86,Roadmap!$D:$D,0)+COUNTIF($E86:K86,"u")+COUNTIF($E86:K86,"t")+COUNTIF($E86:K86,"¶")+COUNTIF($E86:K86,"²")+COUNTIF($E86:K86,"µ")+COUNTIF($E86:K86,1)-1,INDEX(Roadmap!$D:$K,MATCH($E86,Roadmap!$D:$D,0)-1+COUNTIF($E86:K86,"u")+COUNTIF($E86:K86,"t")+COUNTIF($E86:K86,"¶")+COUNTIF($E86:K86,"²")+COUNTIF($E86:K86,"µ")+COUNTIF($E86:K86,1),ColDescriptionCourte)),""),
  "")),"")</f>
        <v/>
      </c>
      <c r="M86" s="40" t="str">
        <f ca="1">IFERROR(IF(AND(
  INDEX(Roadmap!$D:$K,MATCH($E86,Roadmap!$D:$D,0)+COUNTIF($E86:L86,"u")+COUNTIF($E86:L86,"t")+COUNTIF($E86:L86,"¶")+COUNTIF($E86:L86,"²")+COUNTIF($E86:L86,"µ")+COUNTIF($E86:L86,1),ColLivraison)=M$6,
  VLOOKUP($E86,INDIRECT("tri!"&amp; CHAR(64+ C0Col) &amp;":"&amp; CHAR(65+C0Col)),2,FALSE)&gt;COUNTIF($E86:L86,"u")+COUNTIF($E86:L86,"t")+COUNTIF($E86:L86,"¶")+COUNTIF($E86:L86,"²")+COUNTIF($E86:L86,"µ")+COUNTIF($E86:L86,1)),
HYPERLINK("#Roadmap!C"&amp; MATCH($E86,Roadmap!$D:$D,0)+COUNTIF($E86:L86,"u")+COUNTIF($E86:L86,"t"),
     INDEX(Roadmap!$D:$K,MATCH($E86,Roadmap!$D:$D,0)+COUNTIF($E86:L86,"u")+COUNTIF($E86:L86,"t")+COUNTIF($E86:L86,"¶")+COUNTIF($E86:L86,"²")+COUNTIF($E86:L86,"µ")+COUNTIF($E86:L86,1),ColTypeEcheance)),
  IF(LEN(L86)=1,
  IF(LEN(INDEX(Roadmap!$D:$K,MATCH($E86,Roadmap!$D:$D,0)-1+COUNTIF($E86:L86,"u")+COUNTIF($E86:L86,"t")+COUNTIF($E86:L86,"¶")+COUNTIF($E86:L86,"²")+COUNTIF($E86:L86,"µ")+COUNTIF($E86:L86,1),ColDescriptionCourte))&gt;1,
HYPERLINK("#Roadmap!C"&amp; MATCH($E86,Roadmap!$D:$D,0)+COUNTIF($E86:L86,"u")+COUNTIF($E86:L86,"t")+COUNTIF($E86:L86,"¶")+COUNTIF($E86:L86,"²")+COUNTIF($E86:L86,"µ")+COUNTIF($E86:L86,1)-1,INDEX(Roadmap!$D:$K,MATCH($E86,Roadmap!$D:$D,0)-1+COUNTIF($E86:L86,"u")+COUNTIF($E86:L86,"t")+COUNTIF($E86:L86,"¶")+COUNTIF($E86:L86,"²")+COUNTIF($E86:L86,"µ")+COUNTIF($E86:L86,1),ColDescriptionCourte)),""),
  "")),"")</f>
        <v/>
      </c>
      <c r="N86" s="40" t="str">
        <f ca="1">IFERROR(IF(AND(
  INDEX(Roadmap!$D:$K,MATCH($E86,Roadmap!$D:$D,0)+COUNTIF($E86:M86,"u")+COUNTIF($E86:M86,"t")+COUNTIF($E86:M86,"¶")+COUNTIF($E86:M86,"²")+COUNTIF($E86:M86,"µ")+COUNTIF($E86:M86,1),ColLivraison)=N$6,
  VLOOKUP($E86,INDIRECT("tri!"&amp; CHAR(64+ C0Col) &amp;":"&amp; CHAR(65+C0Col)),2,FALSE)&gt;COUNTIF($E86:M86,"u")+COUNTIF($E86:M86,"t")+COUNTIF($E86:M86,"¶")+COUNTIF($E86:M86,"²")+COUNTIF($E86:M86,"µ")+COUNTIF($E86:M86,1)),
HYPERLINK("#Roadmap!C"&amp; MATCH($E86,Roadmap!$D:$D,0)+COUNTIF($E86:M86,"u")+COUNTIF($E86:M86,"t"),
     INDEX(Roadmap!$D:$K,MATCH($E86,Roadmap!$D:$D,0)+COUNTIF($E86:M86,"u")+COUNTIF($E86:M86,"t")+COUNTIF($E86:M86,"¶")+COUNTIF($E86:M86,"²")+COUNTIF($E86:M86,"µ")+COUNTIF($E86:M86,1),ColTypeEcheance)),
  IF(LEN(M86)=1,
  IF(LEN(INDEX(Roadmap!$D:$K,MATCH($E86,Roadmap!$D:$D,0)-1+COUNTIF($E86:M86,"u")+COUNTIF($E86:M86,"t")+COUNTIF($E86:M86,"¶")+COUNTIF($E86:M86,"²")+COUNTIF($E86:M86,"µ")+COUNTIF($E86:M86,1),ColDescriptionCourte))&gt;1,
HYPERLINK("#Roadmap!C"&amp; MATCH($E86,Roadmap!$D:$D,0)+COUNTIF($E86:M86,"u")+COUNTIF($E86:M86,"t")+COUNTIF($E86:M86,"¶")+COUNTIF($E86:M86,"²")+COUNTIF($E86:M86,"µ")+COUNTIF($E86:M86,1)-1,INDEX(Roadmap!$D:$K,MATCH($E86,Roadmap!$D:$D,0)-1+COUNTIF($E86:M86,"u")+COUNTIF($E86:M86,"t")+COUNTIF($E86:M86,"¶")+COUNTIF($E86:M86,"²")+COUNTIF($E86:M86,"µ")+COUNTIF($E86:M86,1),ColDescriptionCourte)),""),
  "")),"")</f>
        <v/>
      </c>
      <c r="O86" s="40" t="str">
        <f ca="1">IFERROR(IF(AND(
  INDEX(Roadmap!$D:$K,MATCH($E86,Roadmap!$D:$D,0)+COUNTIF($E86:N86,"u")+COUNTIF($E86:N86,"t")+COUNTIF($E86:N86,"¶")+COUNTIF($E86:N86,"²")+COUNTIF($E86:N86,"µ")+COUNTIF($E86:N86,1),ColLivraison)=O$6,
  VLOOKUP($E86,INDIRECT("tri!"&amp; CHAR(64+ C0Col) &amp;":"&amp; CHAR(65+C0Col)),2,FALSE)&gt;COUNTIF($E86:N86,"u")+COUNTIF($E86:N86,"t")+COUNTIF($E86:N86,"¶")+COUNTIF($E86:N86,"²")+COUNTIF($E86:N86,"µ")+COUNTIF($E86:N86,1)),
HYPERLINK("#Roadmap!C"&amp; MATCH($E86,Roadmap!$D:$D,0)+COUNTIF($E86:N86,"u")+COUNTIF($E86:N86,"t"),
     INDEX(Roadmap!$D:$K,MATCH($E86,Roadmap!$D:$D,0)+COUNTIF($E86:N86,"u")+COUNTIF($E86:N86,"t")+COUNTIF($E86:N86,"¶")+COUNTIF($E86:N86,"²")+COUNTIF($E86:N86,"µ")+COUNTIF($E86:N86,1),ColTypeEcheance)),
  IF(LEN(N86)=1,
  IF(LEN(INDEX(Roadmap!$D:$K,MATCH($E86,Roadmap!$D:$D,0)-1+COUNTIF($E86:N86,"u")+COUNTIF($E86:N86,"t")+COUNTIF($E86:N86,"¶")+COUNTIF($E86:N86,"²")+COUNTIF($E86:N86,"µ")+COUNTIF($E86:N86,1),ColDescriptionCourte))&gt;1,
HYPERLINK("#Roadmap!C"&amp; MATCH($E86,Roadmap!$D:$D,0)+COUNTIF($E86:N86,"u")+COUNTIF($E86:N86,"t")+COUNTIF($E86:N86,"¶")+COUNTIF($E86:N86,"²")+COUNTIF($E86:N86,"µ")+COUNTIF($E86:N86,1)-1,INDEX(Roadmap!$D:$K,MATCH($E86,Roadmap!$D:$D,0)-1+COUNTIF($E86:N86,"u")+COUNTIF($E86:N86,"t")+COUNTIF($E86:N86,"¶")+COUNTIF($E86:N86,"²")+COUNTIF($E86:N86,"µ")+COUNTIF($E86:N86,1),ColDescriptionCourte)),""),
  "")),"")</f>
        <v/>
      </c>
      <c r="P86" s="40" t="str">
        <f ca="1">IFERROR(IF(AND(
  INDEX(Roadmap!$D:$K,MATCH($E86,Roadmap!$D:$D,0)+COUNTIF($E86:O86,"u")+COUNTIF($E86:O86,"t")+COUNTIF($E86:O86,"¶")+COUNTIF($E86:O86,"²")+COUNTIF($E86:O86,"µ")+COUNTIF($E86:O86,1),ColLivraison)=P$6,
  VLOOKUP($E86,INDIRECT("tri!"&amp; CHAR(64+ C0Col) &amp;":"&amp; CHAR(65+C0Col)),2,FALSE)&gt;COUNTIF($E86:O86,"u")+COUNTIF($E86:O86,"t")+COUNTIF($E86:O86,"¶")+COUNTIF($E86:O86,"²")+COUNTIF($E86:O86,"µ")+COUNTIF($E86:O86,1)),
HYPERLINK("#Roadmap!C"&amp; MATCH($E86,Roadmap!$D:$D,0)+COUNTIF($E86:O86,"u")+COUNTIF($E86:O86,"t"),
     INDEX(Roadmap!$D:$K,MATCH($E86,Roadmap!$D:$D,0)+COUNTIF($E86:O86,"u")+COUNTIF($E86:O86,"t")+COUNTIF($E86:O86,"¶")+COUNTIF($E86:O86,"²")+COUNTIF($E86:O86,"µ")+COUNTIF($E86:O86,1),ColTypeEcheance)),
  IF(LEN(O86)=1,
  IF(LEN(INDEX(Roadmap!$D:$K,MATCH($E86,Roadmap!$D:$D,0)-1+COUNTIF($E86:O86,"u")+COUNTIF($E86:O86,"t")+COUNTIF($E86:O86,"¶")+COUNTIF($E86:O86,"²")+COUNTIF($E86:O86,"µ")+COUNTIF($E86:O86,1),ColDescriptionCourte))&gt;1,
HYPERLINK("#Roadmap!C"&amp; MATCH($E86,Roadmap!$D:$D,0)+COUNTIF($E86:O86,"u")+COUNTIF($E86:O86,"t")+COUNTIF($E86:O86,"¶")+COUNTIF($E86:O86,"²")+COUNTIF($E86:O86,"µ")+COUNTIF($E86:O86,1)-1,INDEX(Roadmap!$D:$K,MATCH($E86,Roadmap!$D:$D,0)-1+COUNTIF($E86:O86,"u")+COUNTIF($E86:O86,"t")+COUNTIF($E86:O86,"¶")+COUNTIF($E86:O86,"²")+COUNTIF($E86:O86,"µ")+COUNTIF($E86:O86,1),ColDescriptionCourte)),""),
  "")),"")</f>
        <v/>
      </c>
      <c r="Q86" s="40" t="str">
        <f ca="1">IFERROR(IF(AND(
  INDEX(Roadmap!$D:$K,MATCH($E86,Roadmap!$D:$D,0)+COUNTIF($E86:P86,"u")+COUNTIF($E86:P86,"t")+COUNTIF($E86:P86,"¶")+COUNTIF($E86:P86,"²")+COUNTIF($E86:P86,"µ")+COUNTIF($E86:P86,1),ColLivraison)=Q$6,
  VLOOKUP($E86,INDIRECT("tri!"&amp; CHAR(64+ C0Col) &amp;":"&amp; CHAR(65+C0Col)),2,FALSE)&gt;COUNTIF($E86:P86,"u")+COUNTIF($E86:P86,"t")+COUNTIF($E86:P86,"¶")+COUNTIF($E86:P86,"²")+COUNTIF($E86:P86,"µ")+COUNTIF($E86:P86,1)),
HYPERLINK("#Roadmap!C"&amp; MATCH($E86,Roadmap!$D:$D,0)+COUNTIF($E86:P86,"u")+COUNTIF($E86:P86,"t"),
     INDEX(Roadmap!$D:$K,MATCH($E86,Roadmap!$D:$D,0)+COUNTIF($E86:P86,"u")+COUNTIF($E86:P86,"t")+COUNTIF($E86:P86,"¶")+COUNTIF($E86:P86,"²")+COUNTIF($E86:P86,"µ")+COUNTIF($E86:P86,1),ColTypeEcheance)),
  IF(LEN(P86)=1,
  IF(LEN(INDEX(Roadmap!$D:$K,MATCH($E86,Roadmap!$D:$D,0)-1+COUNTIF($E86:P86,"u")+COUNTIF($E86:P86,"t")+COUNTIF($E86:P86,"¶")+COUNTIF($E86:P86,"²")+COUNTIF($E86:P86,"µ")+COUNTIF($E86:P86,1),ColDescriptionCourte))&gt;1,
HYPERLINK("#Roadmap!C"&amp; MATCH($E86,Roadmap!$D:$D,0)+COUNTIF($E86:P86,"u")+COUNTIF($E86:P86,"t")+COUNTIF($E86:P86,"¶")+COUNTIF($E86:P86,"²")+COUNTIF($E86:P86,"µ")+COUNTIF($E86:P86,1)-1,INDEX(Roadmap!$D:$K,MATCH($E86,Roadmap!$D:$D,0)-1+COUNTIF($E86:P86,"u")+COUNTIF($E86:P86,"t")+COUNTIF($E86:P86,"¶")+COUNTIF($E86:P86,"²")+COUNTIF($E86:P86,"µ")+COUNTIF($E86:P86,1),ColDescriptionCourte)),""),
  "")),"")</f>
        <v/>
      </c>
      <c r="R86" s="40" t="str">
        <f ca="1">IFERROR(IF(AND(
  INDEX(Roadmap!$D:$K,MATCH($E86,Roadmap!$D:$D,0)+COUNTIF($E86:Q86,"u")+COUNTIF($E86:Q86,"t")+COUNTIF($E86:Q86,"¶")+COUNTIF($E86:Q86,"²")+COUNTIF($E86:Q86,"µ")+COUNTIF($E86:Q86,1),ColLivraison)=R$6,
  VLOOKUP($E86,INDIRECT("tri!"&amp; CHAR(64+ C0Col) &amp;":"&amp; CHAR(65+C0Col)),2,FALSE)&gt;COUNTIF($E86:Q86,"u")+COUNTIF($E86:Q86,"t")+COUNTIF($E86:Q86,"¶")+COUNTIF($E86:Q86,"²")+COUNTIF($E86:Q86,"µ")+COUNTIF($E86:Q86,1)),
HYPERLINK("#Roadmap!C"&amp; MATCH($E86,Roadmap!$D:$D,0)+COUNTIF($E86:Q86,"u")+COUNTIF($E86:Q86,"t"),
     INDEX(Roadmap!$D:$K,MATCH($E86,Roadmap!$D:$D,0)+COUNTIF($E86:Q86,"u")+COUNTIF($E86:Q86,"t")+COUNTIF($E86:Q86,"¶")+COUNTIF($E86:Q86,"²")+COUNTIF($E86:Q86,"µ")+COUNTIF($E86:Q86,1),ColTypeEcheance)),
  IF(LEN(Q86)=1,
  IF(LEN(INDEX(Roadmap!$D:$K,MATCH($E86,Roadmap!$D:$D,0)-1+COUNTIF($E86:Q86,"u")+COUNTIF($E86:Q86,"t")+COUNTIF($E86:Q86,"¶")+COUNTIF($E86:Q86,"²")+COUNTIF($E86:Q86,"µ")+COUNTIF($E86:Q86,1),ColDescriptionCourte))&gt;1,
HYPERLINK("#Roadmap!C"&amp; MATCH($E86,Roadmap!$D:$D,0)+COUNTIF($E86:Q86,"u")+COUNTIF($E86:Q86,"t")+COUNTIF($E86:Q86,"¶")+COUNTIF($E86:Q86,"²")+COUNTIF($E86:Q86,"µ")+COUNTIF($E86:Q86,1)-1,INDEX(Roadmap!$D:$K,MATCH($E86,Roadmap!$D:$D,0)-1+COUNTIF($E86:Q86,"u")+COUNTIF($E86:Q86,"t")+COUNTIF($E86:Q86,"¶")+COUNTIF($E86:Q86,"²")+COUNTIF($E86:Q86,"µ")+COUNTIF($E86:Q86,1),ColDescriptionCourte)),""),
  "")),"")</f>
        <v/>
      </c>
      <c r="S86" s="40" t="str">
        <f ca="1">IFERROR(IF(AND(
  INDEX(Roadmap!$D:$K,MATCH($E86,Roadmap!$D:$D,0)+COUNTIF($E86:R86,"u")+COUNTIF($E86:R86,"t")+COUNTIF($E86:R86,"¶")+COUNTIF($E86:R86,"²")+COUNTIF($E86:R86,"µ")+COUNTIF($E86:R86,1),ColLivraison)=S$6,
  VLOOKUP($E86,INDIRECT("tri!"&amp; CHAR(64+ C0Col) &amp;":"&amp; CHAR(65+C0Col)),2,FALSE)&gt;COUNTIF($E86:R86,"u")+COUNTIF($E86:R86,"t")+COUNTIF($E86:R86,"¶")+COUNTIF($E86:R86,"²")+COUNTIF($E86:R86,"µ")+COUNTIF($E86:R86,1)),
HYPERLINK("#Roadmap!C"&amp; MATCH($E86,Roadmap!$D:$D,0)+COUNTIF($E86:R86,"u")+COUNTIF($E86:R86,"t"),
     INDEX(Roadmap!$D:$K,MATCH($E86,Roadmap!$D:$D,0)+COUNTIF($E86:R86,"u")+COUNTIF($E86:R86,"t")+COUNTIF($E86:R86,"¶")+COUNTIF($E86:R86,"²")+COUNTIF($E86:R86,"µ")+COUNTIF($E86:R86,1),ColTypeEcheance)),
  IF(LEN(R86)=1,
  IF(LEN(INDEX(Roadmap!$D:$K,MATCH($E86,Roadmap!$D:$D,0)-1+COUNTIF($E86:R86,"u")+COUNTIF($E86:R86,"t")+COUNTIF($E86:R86,"¶")+COUNTIF($E86:R86,"²")+COUNTIF($E86:R86,"µ")+COUNTIF($E86:R86,1),ColDescriptionCourte))&gt;1,
HYPERLINK("#Roadmap!C"&amp; MATCH($E86,Roadmap!$D:$D,0)+COUNTIF($E86:R86,"u")+COUNTIF($E86:R86,"t")+COUNTIF($E86:R86,"¶")+COUNTIF($E86:R86,"²")+COUNTIF($E86:R86,"µ")+COUNTIF($E86:R86,1)-1,INDEX(Roadmap!$D:$K,MATCH($E86,Roadmap!$D:$D,0)-1+COUNTIF($E86:R86,"u")+COUNTIF($E86:R86,"t")+COUNTIF($E86:R86,"¶")+COUNTIF($E86:R86,"²")+COUNTIF($E86:R86,"µ")+COUNTIF($E86:R86,1),ColDescriptionCourte)),""),
  "")),"")</f>
        <v/>
      </c>
      <c r="T86" s="40" t="str">
        <f ca="1">IFERROR(IF(AND(
  INDEX(Roadmap!$D:$K,MATCH($E86,Roadmap!$D:$D,0)+COUNTIF($E86:S86,"u")+COUNTIF($E86:S86,"t")+COUNTIF($E86:S86,"¶")+COUNTIF($E86:S86,"²")+COUNTIF($E86:S86,"µ")+COUNTIF($E86:S86,1),ColLivraison)=T$6,
  VLOOKUP($E86,INDIRECT("tri!"&amp; CHAR(64+ C0Col) &amp;":"&amp; CHAR(65+C0Col)),2,FALSE)&gt;COUNTIF($E86:S86,"u")+COUNTIF($E86:S86,"t")+COUNTIF($E86:S86,"¶")+COUNTIF($E86:S86,"²")+COUNTIF($E86:S86,"µ")+COUNTIF($E86:S86,1)),
HYPERLINK("#Roadmap!C"&amp; MATCH($E86,Roadmap!$D:$D,0)+COUNTIF($E86:S86,"u")+COUNTIF($E86:S86,"t"),
     INDEX(Roadmap!$D:$K,MATCH($E86,Roadmap!$D:$D,0)+COUNTIF($E86:S86,"u")+COUNTIF($E86:S86,"t")+COUNTIF($E86:S86,"¶")+COUNTIF($E86:S86,"²")+COUNTIF($E86:S86,"µ")+COUNTIF($E86:S86,1),ColTypeEcheance)),
  IF(LEN(S86)=1,
  IF(LEN(INDEX(Roadmap!$D:$K,MATCH($E86,Roadmap!$D:$D,0)-1+COUNTIF($E86:S86,"u")+COUNTIF($E86:S86,"t")+COUNTIF($E86:S86,"¶")+COUNTIF($E86:S86,"²")+COUNTIF($E86:S86,"µ")+COUNTIF($E86:S86,1),ColDescriptionCourte))&gt;1,
HYPERLINK("#Roadmap!C"&amp; MATCH($E86,Roadmap!$D:$D,0)+COUNTIF($E86:S86,"u")+COUNTIF($E86:S86,"t")+COUNTIF($E86:S86,"¶")+COUNTIF($E86:S86,"²")+COUNTIF($E86:S86,"µ")+COUNTIF($E86:S86,1)-1,INDEX(Roadmap!$D:$K,MATCH($E86,Roadmap!$D:$D,0)-1+COUNTIF($E86:S86,"u")+COUNTIF($E86:S86,"t")+COUNTIF($E86:S86,"¶")+COUNTIF($E86:S86,"²")+COUNTIF($E86:S86,"µ")+COUNTIF($E86:S86,1),ColDescriptionCourte)),""),
  "")),"")</f>
        <v/>
      </c>
      <c r="U86" s="40" t="str">
        <f ca="1">IFERROR(IF(AND(
  INDEX(Roadmap!$D:$K,MATCH($E86,Roadmap!$D:$D,0)+COUNTIF($E86:T86,"u")+COUNTIF($E86:T86,"t")+COUNTIF($E86:T86,"¶")+COUNTIF($E86:T86,"²")+COUNTIF($E86:T86,"µ")+COUNTIF($E86:T86,1),ColLivraison)=U$6,
  VLOOKUP($E86,INDIRECT("tri!"&amp; CHAR(64+ C0Col) &amp;":"&amp; CHAR(65+C0Col)),2,FALSE)&gt;COUNTIF($E86:T86,"u")+COUNTIF($E86:T86,"t")+COUNTIF($E86:T86,"¶")+COUNTIF($E86:T86,"²")+COUNTIF($E86:T86,"µ")+COUNTIF($E86:T86,1)),
HYPERLINK("#Roadmap!C"&amp; MATCH($E86,Roadmap!$D:$D,0)+COUNTIF($E86:T86,"u")+COUNTIF($E86:T86,"t"),
     INDEX(Roadmap!$D:$K,MATCH($E86,Roadmap!$D:$D,0)+COUNTIF($E86:T86,"u")+COUNTIF($E86:T86,"t")+COUNTIF($E86:T86,"¶")+COUNTIF($E86:T86,"²")+COUNTIF($E86:T86,"µ")+COUNTIF($E86:T86,1),ColTypeEcheance)),
  IF(LEN(T86)=1,
  IF(LEN(INDEX(Roadmap!$D:$K,MATCH($E86,Roadmap!$D:$D,0)-1+COUNTIF($E86:T86,"u")+COUNTIF($E86:T86,"t")+COUNTIF($E86:T86,"¶")+COUNTIF($E86:T86,"²")+COUNTIF($E86:T86,"µ")+COUNTIF($E86:T86,1),ColDescriptionCourte))&gt;1,
HYPERLINK("#Roadmap!C"&amp; MATCH($E86,Roadmap!$D:$D,0)+COUNTIF($E86:T86,"u")+COUNTIF($E86:T86,"t")+COUNTIF($E86:T86,"¶")+COUNTIF($E86:T86,"²")+COUNTIF($E86:T86,"µ")+COUNTIF($E86:T86,1)-1,INDEX(Roadmap!$D:$K,MATCH($E86,Roadmap!$D:$D,0)-1+COUNTIF($E86:T86,"u")+COUNTIF($E86:T86,"t")+COUNTIF($E86:T86,"¶")+COUNTIF($E86:T86,"²")+COUNTIF($E86:T86,"µ")+COUNTIF($E86:T86,1),ColDescriptionCourte)),""),
  "")),"")</f>
        <v/>
      </c>
      <c r="V86" s="40" t="str">
        <f ca="1">IFERROR(IF(AND(
  INDEX(Roadmap!$D:$K,MATCH($E86,Roadmap!$D:$D,0)+COUNTIF($E86:U86,"u")+COUNTIF($E86:U86,"t")+COUNTIF($E86:U86,"¶")+COUNTIF($E86:U86,"²")+COUNTIF($E86:U86,"µ")+COUNTIF($E86:U86,1),ColLivraison)=V$6,
  VLOOKUP($E86,INDIRECT("tri!"&amp; CHAR(64+ C0Col) &amp;":"&amp; CHAR(65+C0Col)),2,FALSE)&gt;COUNTIF($E86:U86,"u")+COUNTIF($E86:U86,"t")+COUNTIF($E86:U86,"¶")+COUNTIF($E86:U86,"²")+COUNTIF($E86:U86,"µ")+COUNTIF($E86:U86,1)),
HYPERLINK("#Roadmap!C"&amp; MATCH($E86,Roadmap!$D:$D,0)+COUNTIF($E86:U86,"u")+COUNTIF($E86:U86,"t"),
     INDEX(Roadmap!$D:$K,MATCH($E86,Roadmap!$D:$D,0)+COUNTIF($E86:U86,"u")+COUNTIF($E86:U86,"t")+COUNTIF($E86:U86,"¶")+COUNTIF($E86:U86,"²")+COUNTIF($E86:U86,"µ")+COUNTIF($E86:U86,1),ColTypeEcheance)),
  IF(LEN(U86)=1,
  IF(LEN(INDEX(Roadmap!$D:$K,MATCH($E86,Roadmap!$D:$D,0)-1+COUNTIF($E86:U86,"u")+COUNTIF($E86:U86,"t")+COUNTIF($E86:U86,"¶")+COUNTIF($E86:U86,"²")+COUNTIF($E86:U86,"µ")+COUNTIF($E86:U86,1),ColDescriptionCourte))&gt;1,
HYPERLINK("#Roadmap!C"&amp; MATCH($E86,Roadmap!$D:$D,0)+COUNTIF($E86:U86,"u")+COUNTIF($E86:U86,"t")+COUNTIF($E86:U86,"¶")+COUNTIF($E86:U86,"²")+COUNTIF($E86:U86,"µ")+COUNTIF($E86:U86,1)-1,INDEX(Roadmap!$D:$K,MATCH($E86,Roadmap!$D:$D,0)-1+COUNTIF($E86:U86,"u")+COUNTIF($E86:U86,"t")+COUNTIF($E86:U86,"¶")+COUNTIF($E86:U86,"²")+COUNTIF($E86:U86,"µ")+COUNTIF($E86:U86,1),ColDescriptionCourte)),""),
  "")),"")</f>
        <v/>
      </c>
      <c r="W86" s="40" t="str">
        <f ca="1">IFERROR(IF(AND(
  INDEX(Roadmap!$D:$K,MATCH($E86,Roadmap!$D:$D,0)+COUNTIF($E86:V86,"u")+COUNTIF($E86:V86,"t")+COUNTIF($E86:V86,"¶")+COUNTIF($E86:V86,"²")+COUNTIF($E86:V86,"µ")+COUNTIF($E86:V86,1),ColLivraison)=W$6,
  VLOOKUP($E86,INDIRECT("tri!"&amp; CHAR(64+ C0Col) &amp;":"&amp; CHAR(65+C0Col)),2,FALSE)&gt;COUNTIF($E86:V86,"u")+COUNTIF($E86:V86,"t")+COUNTIF($E86:V86,"¶")+COUNTIF($E86:V86,"²")+COUNTIF($E86:V86,"µ")+COUNTIF($E86:V86,1)),
HYPERLINK("#Roadmap!C"&amp; MATCH($E86,Roadmap!$D:$D,0)+COUNTIF($E86:V86,"u")+COUNTIF($E86:V86,"t"),
     INDEX(Roadmap!$D:$K,MATCH($E86,Roadmap!$D:$D,0)+COUNTIF($E86:V86,"u")+COUNTIF($E86:V86,"t")+COUNTIF($E86:V86,"¶")+COUNTIF($E86:V86,"²")+COUNTIF($E86:V86,"µ")+COUNTIF($E86:V86,1),ColTypeEcheance)),
  IF(LEN(V86)=1,
  IF(LEN(INDEX(Roadmap!$D:$K,MATCH($E86,Roadmap!$D:$D,0)-1+COUNTIF($E86:V86,"u")+COUNTIF($E86:V86,"t")+COUNTIF($E86:V86,"¶")+COUNTIF($E86:V86,"²")+COUNTIF($E86:V86,"µ")+COUNTIF($E86:V86,1),ColDescriptionCourte))&gt;1,
HYPERLINK("#Roadmap!C"&amp; MATCH($E86,Roadmap!$D:$D,0)+COUNTIF($E86:V86,"u")+COUNTIF($E86:V86,"t")+COUNTIF($E86:V86,"¶")+COUNTIF($E86:V86,"²")+COUNTIF($E86:V86,"µ")+COUNTIF($E86:V86,1)-1,INDEX(Roadmap!$D:$K,MATCH($E86,Roadmap!$D:$D,0)-1+COUNTIF($E86:V86,"u")+COUNTIF($E86:V86,"t")+COUNTIF($E86:V86,"¶")+COUNTIF($E86:V86,"²")+COUNTIF($E86:V86,"µ")+COUNTIF($E86:V86,1),ColDescriptionCourte)),""),
  "")),"")</f>
        <v/>
      </c>
      <c r="X86" s="40" t="str">
        <f ca="1">IFERROR(IF(AND(
  INDEX(Roadmap!$D:$K,MATCH($E86,Roadmap!$D:$D,0)+COUNTIF($E86:W86,"u")+COUNTIF($E86:W86,"t")+COUNTIF($E86:W86,"¶")+COUNTIF($E86:W86,"²")+COUNTIF($E86:W86,"µ")+COUNTIF($E86:W86,1),ColLivraison)=X$6,
  VLOOKUP($E86,INDIRECT("tri!"&amp; CHAR(64+ C0Col) &amp;":"&amp; CHAR(65+C0Col)),2,FALSE)&gt;COUNTIF($E86:W86,"u")+COUNTIF($E86:W86,"t")+COUNTIF($E86:W86,"¶")+COUNTIF($E86:W86,"²")+COUNTIF($E86:W86,"µ")+COUNTIF($E86:W86,1)),
HYPERLINK("#Roadmap!C"&amp; MATCH($E86,Roadmap!$D:$D,0)+COUNTIF($E86:W86,"u")+COUNTIF($E86:W86,"t"),
     INDEX(Roadmap!$D:$K,MATCH($E86,Roadmap!$D:$D,0)+COUNTIF($E86:W86,"u")+COUNTIF($E86:W86,"t")+COUNTIF($E86:W86,"¶")+COUNTIF($E86:W86,"²")+COUNTIF($E86:W86,"µ")+COUNTIF($E86:W86,1),ColTypeEcheance)),
  IF(LEN(W86)=1,
  IF(LEN(INDEX(Roadmap!$D:$K,MATCH($E86,Roadmap!$D:$D,0)-1+COUNTIF($E86:W86,"u")+COUNTIF($E86:W86,"t")+COUNTIF($E86:W86,"¶")+COUNTIF($E86:W86,"²")+COUNTIF($E86:W86,"µ")+COUNTIF($E86:W86,1),ColDescriptionCourte))&gt;1,
HYPERLINK("#Roadmap!C"&amp; MATCH($E86,Roadmap!$D:$D,0)+COUNTIF($E86:W86,"u")+COUNTIF($E86:W86,"t")+COUNTIF($E86:W86,"¶")+COUNTIF($E86:W86,"²")+COUNTIF($E86:W86,"µ")+COUNTIF($E86:W86,1)-1,INDEX(Roadmap!$D:$K,MATCH($E86,Roadmap!$D:$D,0)-1+COUNTIF($E86:W86,"u")+COUNTIF($E86:W86,"t")+COUNTIF($E86:W86,"¶")+COUNTIF($E86:W86,"²")+COUNTIF($E86:W86,"µ")+COUNTIF($E86:W86,1),ColDescriptionCourte)),""),
  "")),"")</f>
        <v/>
      </c>
      <c r="Y86" s="40" t="str">
        <f ca="1">IFERROR(IF(AND(
  INDEX(Roadmap!$D:$K,MATCH($E86,Roadmap!$D:$D,0)+COUNTIF($E86:X86,"u")+COUNTIF($E86:X86,"t")+COUNTIF($E86:X86,"¶")+COUNTIF($E86:X86,"²")+COUNTIF($E86:X86,"µ")+COUNTIF($E86:X86,1),ColLivraison)=Y$6,
  VLOOKUP($E86,INDIRECT("tri!"&amp; CHAR(64+ C0Col) &amp;":"&amp; CHAR(65+C0Col)),2,FALSE)&gt;COUNTIF($E86:X86,"u")+COUNTIF($E86:X86,"t")+COUNTIF($E86:X86,"¶")+COUNTIF($E86:X86,"²")+COUNTIF($E86:X86,"µ")+COUNTIF($E86:X86,1)),
HYPERLINK("#Roadmap!C"&amp; MATCH($E86,Roadmap!$D:$D,0)+COUNTIF($E86:X86,"u")+COUNTIF($E86:X86,"t"),
     INDEX(Roadmap!$D:$K,MATCH($E86,Roadmap!$D:$D,0)+COUNTIF($E86:X86,"u")+COUNTIF($E86:X86,"t")+COUNTIF($E86:X86,"¶")+COUNTIF($E86:X86,"²")+COUNTIF($E86:X86,"µ")+COUNTIF($E86:X86,1),ColTypeEcheance)),
  IF(LEN(X86)=1,
  IF(LEN(INDEX(Roadmap!$D:$K,MATCH($E86,Roadmap!$D:$D,0)-1+COUNTIF($E86:X86,"u")+COUNTIF($E86:X86,"t")+COUNTIF($E86:X86,"¶")+COUNTIF($E86:X86,"²")+COUNTIF($E86:X86,"µ")+COUNTIF($E86:X86,1),ColDescriptionCourte))&gt;1,
HYPERLINK("#Roadmap!C"&amp; MATCH($E86,Roadmap!$D:$D,0)+COUNTIF($E86:X86,"u")+COUNTIF($E86:X86,"t")+COUNTIF($E86:X86,"¶")+COUNTIF($E86:X86,"²")+COUNTIF($E86:X86,"µ")+COUNTIF($E86:X86,1)-1,INDEX(Roadmap!$D:$K,MATCH($E86,Roadmap!$D:$D,0)-1+COUNTIF($E86:X86,"u")+COUNTIF($E86:X86,"t")+COUNTIF($E86:X86,"¶")+COUNTIF($E86:X86,"²")+COUNTIF($E86:X86,"µ")+COUNTIF($E86:X86,1),ColDescriptionCourte)),""),
  "")),"")</f>
        <v/>
      </c>
      <c r="Z86" s="40" t="str">
        <f ca="1">IFERROR(IF(AND(
  INDEX(Roadmap!$D:$K,MATCH($E86,Roadmap!$D:$D,0)+COUNTIF($E86:Y86,"u")+COUNTIF($E86:Y86,"t")+COUNTIF($E86:Y86,"¶")+COUNTIF($E86:Y86,"²")+COUNTIF($E86:Y86,"µ")+COUNTIF($E86:Y86,1),ColLivraison)=Z$6,
  VLOOKUP($E86,INDIRECT("tri!"&amp; CHAR(64+ C0Col) &amp;":"&amp; CHAR(65+C0Col)),2,FALSE)&gt;COUNTIF($E86:Y86,"u")+COUNTIF($E86:Y86,"t")+COUNTIF($E86:Y86,"¶")+COUNTIF($E86:Y86,"²")+COUNTIF($E86:Y86,"µ")+COUNTIF($E86:Y86,1)),
HYPERLINK("#Roadmap!C"&amp; MATCH($E86,Roadmap!$D:$D,0)+COUNTIF($E86:Y86,"u")+COUNTIF($E86:Y86,"t"),
     INDEX(Roadmap!$D:$K,MATCH($E86,Roadmap!$D:$D,0)+COUNTIF($E86:Y86,"u")+COUNTIF($E86:Y86,"t")+COUNTIF($E86:Y86,"¶")+COUNTIF($E86:Y86,"²")+COUNTIF($E86:Y86,"µ")+COUNTIF($E86:Y86,1),ColTypeEcheance)),
  IF(LEN(Y86)=1,
  IF(LEN(INDEX(Roadmap!$D:$K,MATCH($E86,Roadmap!$D:$D,0)-1+COUNTIF($E86:Y86,"u")+COUNTIF($E86:Y86,"t")+COUNTIF($E86:Y86,"¶")+COUNTIF($E86:Y86,"²")+COUNTIF($E86:Y86,"µ")+COUNTIF($E86:Y86,1),ColDescriptionCourte))&gt;1,
HYPERLINK("#Roadmap!C"&amp; MATCH($E86,Roadmap!$D:$D,0)+COUNTIF($E86:Y86,"u")+COUNTIF($E86:Y86,"t")+COUNTIF($E86:Y86,"¶")+COUNTIF($E86:Y86,"²")+COUNTIF($E86:Y86,"µ")+COUNTIF($E86:Y86,1)-1,INDEX(Roadmap!$D:$K,MATCH($E86,Roadmap!$D:$D,0)-1+COUNTIF($E86:Y86,"u")+COUNTIF($E86:Y86,"t")+COUNTIF($E86:Y86,"¶")+COUNTIF($E86:Y86,"²")+COUNTIF($E86:Y86,"µ")+COUNTIF($E86:Y86,1),ColDescriptionCourte)),""),
  "")),"")</f>
        <v/>
      </c>
      <c r="AA86" s="40" t="str">
        <f ca="1">IFERROR(IF(AND(
  INDEX(Roadmap!$D:$K,MATCH($E86,Roadmap!$D:$D,0)+COUNTIF($E86:Z86,"u")+COUNTIF($E86:Z86,"t")+COUNTIF($E86:Z86,"¶")+COUNTIF($E86:Z86,"²")+COUNTIF($E86:Z86,"µ")+COUNTIF($E86:Z86,1),ColLivraison)=AA$6,
  VLOOKUP($E86,INDIRECT("tri!"&amp; CHAR(64+ C0Col) &amp;":"&amp; CHAR(65+C0Col)),2,FALSE)&gt;COUNTIF($E86:Z86,"u")+COUNTIF($E86:Z86,"t")+COUNTIF($E86:Z86,"¶")+COUNTIF($E86:Z86,"²")+COUNTIF($E86:Z86,"µ")+COUNTIF($E86:Z86,1)),
HYPERLINK("#Roadmap!C"&amp; MATCH($E86,Roadmap!$D:$D,0)+COUNTIF($E86:Z86,"u")+COUNTIF($E86:Z86,"t"),
     INDEX(Roadmap!$D:$K,MATCH($E86,Roadmap!$D:$D,0)+COUNTIF($E86:Z86,"u")+COUNTIF($E86:Z86,"t")+COUNTIF($E86:Z86,"¶")+COUNTIF($E86:Z86,"²")+COUNTIF($E86:Z86,"µ")+COUNTIF($E86:Z86,1),ColTypeEcheance)),
  IF(LEN(Z86)=1,
  IF(LEN(INDEX(Roadmap!$D:$K,MATCH($E86,Roadmap!$D:$D,0)-1+COUNTIF($E86:Z86,"u")+COUNTIF($E86:Z86,"t")+COUNTIF($E86:Z86,"¶")+COUNTIF($E86:Z86,"²")+COUNTIF($E86:Z86,"µ")+COUNTIF($E86:Z86,1),ColDescriptionCourte))&gt;1,
HYPERLINK("#Roadmap!C"&amp; MATCH($E86,Roadmap!$D:$D,0)+COUNTIF($E86:Z86,"u")+COUNTIF($E86:Z86,"t")+COUNTIF($E86:Z86,"¶")+COUNTIF($E86:Z86,"²")+COUNTIF($E86:Z86,"µ")+COUNTIF($E86:Z86,1)-1,INDEX(Roadmap!$D:$K,MATCH($E86,Roadmap!$D:$D,0)-1+COUNTIF($E86:Z86,"u")+COUNTIF($E86:Z86,"t")+COUNTIF($E86:Z86,"¶")+COUNTIF($E86:Z86,"²")+COUNTIF($E86:Z86,"µ")+COUNTIF($E86:Z86,1),ColDescriptionCourte)),""),
  "")),"")</f>
        <v/>
      </c>
      <c r="AB86" s="40" t="str">
        <f ca="1">IFERROR(IF(AND(
  INDEX(Roadmap!$D:$K,MATCH($E86,Roadmap!$D:$D,0)+COUNTIF($E86:AA86,"u")+COUNTIF($E86:AA86,"t")+COUNTIF($E86:AA86,"¶")+COUNTIF($E86:AA86,"²")+COUNTIF($E86:AA86,"µ")+COUNTIF($E86:AA86,1),ColLivraison)=AB$6,
  VLOOKUP($E86,INDIRECT("tri!"&amp; CHAR(64+ C0Col) &amp;":"&amp; CHAR(65+C0Col)),2,FALSE)&gt;COUNTIF($E86:AA86,"u")+COUNTIF($E86:AA86,"t")+COUNTIF($E86:AA86,"¶")+COUNTIF($E86:AA86,"²")+COUNTIF($E86:AA86,"µ")+COUNTIF($E86:AA86,1)),
HYPERLINK("#Roadmap!C"&amp; MATCH($E86,Roadmap!$D:$D,0)+COUNTIF($E86:AA86,"u")+COUNTIF($E86:AA86,"t"),
     INDEX(Roadmap!$D:$K,MATCH($E86,Roadmap!$D:$D,0)+COUNTIF($E86:AA86,"u")+COUNTIF($E86:AA86,"t")+COUNTIF($E86:AA86,"¶")+COUNTIF($E86:AA86,"²")+COUNTIF($E86:AA86,"µ")+COUNTIF($E86:AA86,1),ColTypeEcheance)),
  IF(LEN(AA86)=1,
  IF(LEN(INDEX(Roadmap!$D:$K,MATCH($E86,Roadmap!$D:$D,0)-1+COUNTIF($E86:AA86,"u")+COUNTIF($E86:AA86,"t")+COUNTIF($E86:AA86,"¶")+COUNTIF($E86:AA86,"²")+COUNTIF($E86:AA86,"µ")+COUNTIF($E86:AA86,1),ColDescriptionCourte))&gt;1,
HYPERLINK("#Roadmap!C"&amp; MATCH($E86,Roadmap!$D:$D,0)+COUNTIF($E86:AA86,"u")+COUNTIF($E86:AA86,"t")+COUNTIF($E86:AA86,"¶")+COUNTIF($E86:AA86,"²")+COUNTIF($E86:AA86,"µ")+COUNTIF($E86:AA86,1)-1,INDEX(Roadmap!$D:$K,MATCH($E86,Roadmap!$D:$D,0)-1+COUNTIF($E86:AA86,"u")+COUNTIF($E86:AA86,"t")+COUNTIF($E86:AA86,"¶")+COUNTIF($E86:AA86,"²")+COUNTIF($E86:AA86,"µ")+COUNTIF($E86:AA86,1),ColDescriptionCourte)),""),
  "")),"")</f>
        <v/>
      </c>
      <c r="AC86" s="40" t="str">
        <f ca="1">IFERROR(IF(AND(
  INDEX(Roadmap!$D:$K,MATCH($E86,Roadmap!$D:$D,0)+COUNTIF($E86:AB86,"u")+COUNTIF($E86:AB86,"t")+COUNTIF($E86:AB86,"¶")+COUNTIF($E86:AB86,"²")+COUNTIF($E86:AB86,"µ")+COUNTIF($E86:AB86,1),ColLivraison)=AC$6,
  VLOOKUP($E86,INDIRECT("tri!"&amp; CHAR(64+ C0Col) &amp;":"&amp; CHAR(65+C0Col)),2,FALSE)&gt;COUNTIF($E86:AB86,"u")+COUNTIF($E86:AB86,"t")+COUNTIF($E86:AB86,"¶")+COUNTIF($E86:AB86,"²")+COUNTIF($E86:AB86,"µ")+COUNTIF($E86:AB86,1)),
HYPERLINK("#Roadmap!C"&amp; MATCH($E86,Roadmap!$D:$D,0)+COUNTIF($E86:AB86,"u")+COUNTIF($E86:AB86,"t"),
     INDEX(Roadmap!$D:$K,MATCH($E86,Roadmap!$D:$D,0)+COUNTIF($E86:AB86,"u")+COUNTIF($E86:AB86,"t")+COUNTIF($E86:AB86,"¶")+COUNTIF($E86:AB86,"²")+COUNTIF($E86:AB86,"µ")+COUNTIF($E86:AB86,1),ColTypeEcheance)),
  IF(LEN(AB86)=1,
  IF(LEN(INDEX(Roadmap!$D:$K,MATCH($E86,Roadmap!$D:$D,0)-1+COUNTIF($E86:AB86,"u")+COUNTIF($E86:AB86,"t")+COUNTIF($E86:AB86,"¶")+COUNTIF($E86:AB86,"²")+COUNTIF($E86:AB86,"µ")+COUNTIF($E86:AB86,1),ColDescriptionCourte))&gt;1,
HYPERLINK("#Roadmap!C"&amp; MATCH($E86,Roadmap!$D:$D,0)+COUNTIF($E86:AB86,"u")+COUNTIF($E86:AB86,"t")+COUNTIF($E86:AB86,"¶")+COUNTIF($E86:AB86,"²")+COUNTIF($E86:AB86,"µ")+COUNTIF($E86:AB86,1)-1,INDEX(Roadmap!$D:$K,MATCH($E86,Roadmap!$D:$D,0)-1+COUNTIF($E86:AB86,"u")+COUNTIF($E86:AB86,"t")+COUNTIF($E86:AB86,"¶")+COUNTIF($E86:AB86,"²")+COUNTIF($E86:AB86,"µ")+COUNTIF($E86:AB86,1),ColDescriptionCourte)),""),
  "")),"")</f>
        <v/>
      </c>
      <c r="AD86" s="40" t="str">
        <f ca="1">IFERROR(IF(AND(
  INDEX(Roadmap!$D:$K,MATCH($E86,Roadmap!$D:$D,0)+COUNTIF($E86:AC86,"u")+COUNTIF($E86:AC86,"t")+COUNTIF($E86:AC86,"¶")+COUNTIF($E86:AC86,"²")+COUNTIF($E86:AC86,"µ")+COUNTIF($E86:AC86,1),ColLivraison)=AD$6,
  VLOOKUP($E86,INDIRECT("tri!"&amp; CHAR(64+ C0Col) &amp;":"&amp; CHAR(65+C0Col)),2,FALSE)&gt;COUNTIF($E86:AC86,"u")+COUNTIF($E86:AC86,"t")+COUNTIF($E86:AC86,"¶")+COUNTIF($E86:AC86,"²")+COUNTIF($E86:AC86,"µ")+COUNTIF($E86:AC86,1)),
HYPERLINK("#Roadmap!C"&amp; MATCH($E86,Roadmap!$D:$D,0)+COUNTIF($E86:AC86,"u")+COUNTIF($E86:AC86,"t"),
     INDEX(Roadmap!$D:$K,MATCH($E86,Roadmap!$D:$D,0)+COUNTIF($E86:AC86,"u")+COUNTIF($E86:AC86,"t")+COUNTIF($E86:AC86,"¶")+COUNTIF($E86:AC86,"²")+COUNTIF($E86:AC86,"µ")+COUNTIF($E86:AC86,1),ColTypeEcheance)),
  IF(LEN(AC86)=1,
  IF(LEN(INDEX(Roadmap!$D:$K,MATCH($E86,Roadmap!$D:$D,0)-1+COUNTIF($E86:AC86,"u")+COUNTIF($E86:AC86,"t")+COUNTIF($E86:AC86,"¶")+COUNTIF($E86:AC86,"²")+COUNTIF($E86:AC86,"µ")+COUNTIF($E86:AC86,1),ColDescriptionCourte))&gt;1,
HYPERLINK("#Roadmap!C"&amp; MATCH($E86,Roadmap!$D:$D,0)+COUNTIF($E86:AC86,"u")+COUNTIF($E86:AC86,"t")+COUNTIF($E86:AC86,"¶")+COUNTIF($E86:AC86,"²")+COUNTIF($E86:AC86,"µ")+COUNTIF($E86:AC86,1)-1,INDEX(Roadmap!$D:$K,MATCH($E86,Roadmap!$D:$D,0)-1+COUNTIF($E86:AC86,"u")+COUNTIF($E86:AC86,"t")+COUNTIF($E86:AC86,"¶")+COUNTIF($E86:AC86,"²")+COUNTIF($E86:AC86,"µ")+COUNTIF($E86:AC86,1),ColDescriptionCourte)),""),
  "")),"")</f>
        <v/>
      </c>
      <c r="AE86" s="40" t="str">
        <f ca="1">IFERROR(IF(AND(
  INDEX(Roadmap!$D:$K,MATCH($E86,Roadmap!$D:$D,0)+COUNTIF($E86:AD86,"u")+COUNTIF($E86:AD86,"t")+COUNTIF($E86:AD86,"¶")+COUNTIF($E86:AD86,"²")+COUNTIF($E86:AD86,"µ")+COUNTIF($E86:AD86,1),ColLivraison)=AE$6,
  VLOOKUP($E86,INDIRECT("tri!"&amp; CHAR(64+ C0Col) &amp;":"&amp; CHAR(65+C0Col)),2,FALSE)&gt;COUNTIF($E86:AD86,"u")+COUNTIF($E86:AD86,"t")+COUNTIF($E86:AD86,"¶")+COUNTIF($E86:AD86,"²")+COUNTIF($E86:AD86,"µ")+COUNTIF($E86:AD86,1)),
HYPERLINK("#Roadmap!C"&amp; MATCH($E86,Roadmap!$D:$D,0)+COUNTIF($E86:AD86,"u")+COUNTIF($E86:AD86,"t"),
     INDEX(Roadmap!$D:$K,MATCH($E86,Roadmap!$D:$D,0)+COUNTIF($E86:AD86,"u")+COUNTIF($E86:AD86,"t")+COUNTIF($E86:AD86,"¶")+COUNTIF($E86:AD86,"²")+COUNTIF($E86:AD86,"µ")+COUNTIF($E86:AD86,1),ColTypeEcheance)),
  IF(LEN(AD86)=1,
  IF(LEN(INDEX(Roadmap!$D:$K,MATCH($E86,Roadmap!$D:$D,0)-1+COUNTIF($E86:AD86,"u")+COUNTIF($E86:AD86,"t")+COUNTIF($E86:AD86,"¶")+COUNTIF($E86:AD86,"²")+COUNTIF($E86:AD86,"µ")+COUNTIF($E86:AD86,1),ColDescriptionCourte))&gt;1,
HYPERLINK("#Roadmap!C"&amp; MATCH($E86,Roadmap!$D:$D,0)+COUNTIF($E86:AD86,"u")+COUNTIF($E86:AD86,"t")+COUNTIF($E86:AD86,"¶")+COUNTIF($E86:AD86,"²")+COUNTIF($E86:AD86,"µ")+COUNTIF($E86:AD86,1)-1,INDEX(Roadmap!$D:$K,MATCH($E86,Roadmap!$D:$D,0)-1+COUNTIF($E86:AD86,"u")+COUNTIF($E86:AD86,"t")+COUNTIF($E86:AD86,"¶")+COUNTIF($E86:AD86,"²")+COUNTIF($E86:AD86,"µ")+COUNTIF($E86:AD86,1),ColDescriptionCourte)),""),
  "")),"")</f>
        <v/>
      </c>
      <c r="AF86" s="40" t="str">
        <f ca="1">IFERROR(IF(AND(
  INDEX(Roadmap!$D:$K,MATCH($E86,Roadmap!$D:$D,0)+COUNTIF($E86:AE86,"u")+COUNTIF($E86:AE86,"t")+COUNTIF($E86:AE86,"¶")+COUNTIF($E86:AE86,"²")+COUNTIF($E86:AE86,"µ")+COUNTIF($E86:AE86,1),ColLivraison)=AF$6,
  VLOOKUP($E86,INDIRECT("tri!"&amp; CHAR(64+ C0Col) &amp;":"&amp; CHAR(65+C0Col)),2,FALSE)&gt;COUNTIF($E86:AE86,"u")+COUNTIF($E86:AE86,"t")+COUNTIF($E86:AE86,"¶")+COUNTIF($E86:AE86,"²")+COUNTIF($E86:AE86,"µ")+COUNTIF($E86:AE86,1)),
HYPERLINK("#Roadmap!C"&amp; MATCH($E86,Roadmap!$D:$D,0)+COUNTIF($E86:AE86,"u")+COUNTIF($E86:AE86,"t"),
     INDEX(Roadmap!$D:$K,MATCH($E86,Roadmap!$D:$D,0)+COUNTIF($E86:AE86,"u")+COUNTIF($E86:AE86,"t")+COUNTIF($E86:AE86,"¶")+COUNTIF($E86:AE86,"²")+COUNTIF($E86:AE86,"µ")+COUNTIF($E86:AE86,1),ColTypeEcheance)),
  IF(LEN(AE86)=1,
  IF(LEN(INDEX(Roadmap!$D:$K,MATCH($E86,Roadmap!$D:$D,0)-1+COUNTIF($E86:AE86,"u")+COUNTIF($E86:AE86,"t")+COUNTIF($E86:AE86,"¶")+COUNTIF($E86:AE86,"²")+COUNTIF($E86:AE86,"µ")+COUNTIF($E86:AE86,1),ColDescriptionCourte))&gt;1,
HYPERLINK("#Roadmap!C"&amp; MATCH($E86,Roadmap!$D:$D,0)+COUNTIF($E86:AE86,"u")+COUNTIF($E86:AE86,"t")+COUNTIF($E86:AE86,"¶")+COUNTIF($E86:AE86,"²")+COUNTIF($E86:AE86,"µ")+COUNTIF($E86:AE86,1)-1,INDEX(Roadmap!$D:$K,MATCH($E86,Roadmap!$D:$D,0)-1+COUNTIF($E86:AE86,"u")+COUNTIF($E86:AE86,"t")+COUNTIF($E86:AE86,"¶")+COUNTIF($E86:AE86,"²")+COUNTIF($E86:AE86,"µ")+COUNTIF($E86:AE86,1),ColDescriptionCourte)),""),
  "")),"")</f>
        <v/>
      </c>
      <c r="AG86" s="40" t="str">
        <f ca="1">IFERROR(IF(AND(
  INDEX(Roadmap!$D:$K,MATCH($E86,Roadmap!$D:$D,0)+COUNTIF($E86:AF86,"u")+COUNTIF($E86:AF86,"t")+COUNTIF($E86:AF86,"¶")+COUNTIF($E86:AF86,"²")+COUNTIF($E86:AF86,"µ")+COUNTIF($E86:AF86,1),ColLivraison)=AG$6,
  VLOOKUP($E86,INDIRECT("tri!"&amp; CHAR(64+ C0Col) &amp;":"&amp; CHAR(65+C0Col)),2,FALSE)&gt;COUNTIF($E86:AF86,"u")+COUNTIF($E86:AF86,"t")+COUNTIF($E86:AF86,"¶")+COUNTIF($E86:AF86,"²")+COUNTIF($E86:AF86,"µ")+COUNTIF($E86:AF86,1)),
HYPERLINK("#Roadmap!C"&amp; MATCH($E86,Roadmap!$D:$D,0)+COUNTIF($E86:AF86,"u")+COUNTIF($E86:AF86,"t"),
     INDEX(Roadmap!$D:$K,MATCH($E86,Roadmap!$D:$D,0)+COUNTIF($E86:AF86,"u")+COUNTIF($E86:AF86,"t")+COUNTIF($E86:AF86,"¶")+COUNTIF($E86:AF86,"²")+COUNTIF($E86:AF86,"µ")+COUNTIF($E86:AF86,1),ColTypeEcheance)),
  IF(LEN(AF86)=1,
  IF(LEN(INDEX(Roadmap!$D:$K,MATCH($E86,Roadmap!$D:$D,0)-1+COUNTIF($E86:AF86,"u")+COUNTIF($E86:AF86,"t")+COUNTIF($E86:AF86,"¶")+COUNTIF($E86:AF86,"²")+COUNTIF($E86:AF86,"µ")+COUNTIF($E86:AF86,1),ColDescriptionCourte))&gt;1,
HYPERLINK("#Roadmap!C"&amp; MATCH($E86,Roadmap!$D:$D,0)+COUNTIF($E86:AF86,"u")+COUNTIF($E86:AF86,"t")+COUNTIF($E86:AF86,"¶")+COUNTIF($E86:AF86,"²")+COUNTIF($E86:AF86,"µ")+COUNTIF($E86:AF86,1)-1,INDEX(Roadmap!$D:$K,MATCH($E86,Roadmap!$D:$D,0)-1+COUNTIF($E86:AF86,"u")+COUNTIF($E86:AF86,"t")+COUNTIF($E86:AF86,"¶")+COUNTIF($E86:AF86,"²")+COUNTIF($E86:AF86,"µ")+COUNTIF($E86:AF86,1),ColDescriptionCourte)),""),
  "")),"")</f>
        <v/>
      </c>
      <c r="AH86" s="40" t="str">
        <f ca="1">IFERROR(IF(AND(
  INDEX(Roadmap!$D:$K,MATCH($E86,Roadmap!$D:$D,0)+COUNTIF($E86:AG86,"u")+COUNTIF($E86:AG86,"t")+COUNTIF($E86:AG86,1),ColLivraison)=AH$6,
  VLOOKUP($E86,INDIRECT("tri!"&amp; CHAR(64+ C0Col) &amp;":"&amp; CHAR(65+C0Col)),2,FALSE)&gt;COUNTIF($E86:AG86,"u")+COUNTIF($E86:AG86,"t")+COUNTIF($E86:AG86,1)),
HYPERLINK("#Roadmap!C"&amp; MATCH($E86,Roadmap!$D:$D,0)+COUNTIF($E86:AG86,"u")+COUNTIF($E86:AG86,"t"),
     INDEX(Roadmap!$D:$K,MATCH($E86,Roadmap!$D:$D,0)+COUNTIF($E86:AG86,"u")+COUNTIF($E86:AG86,"t")+COUNTIF($E86:AG86,1),ColTypeEcheance)),
  IF(OR(AG86="u",AG86="t",AG86=1),
  IF(LEN(INDEX(Roadmap!$D:$K,MATCH($E86,Roadmap!$D:$D,0)-1+COUNTIF($E86:AG86,"u")+COUNTIF($E86:AG86,"t")+COUNTIF($E86:AG86,1),ColDescriptionCourte))&gt;1,
HYPERLINK("#Roadmap!C"&amp; MATCH($E86,Roadmap!$D:$D,0)+COUNTIF($E86:AG86,"u")+COUNTIF($E86:AG86,"t")+COUNTIF($E86:AG86,1)-1,INDEX(Roadmap!$D:$K,MATCH($E86,Roadmap!$D:$D,0)-1+COUNTIF($E86:AG86,"u")+COUNTIF($E86:AG86,"t")+COUNTIF($E86:AG86,1),ColDescriptionCourte)),""),
  "")),"")</f>
        <v/>
      </c>
      <c r="AI86" s="40"/>
      <c r="AJ86" s="40"/>
      <c r="AK86" s="40"/>
      <c r="AL86" s="40"/>
      <c r="AM86" s="40"/>
    </row>
    <row r="87" spans="4:39" ht="14.1" customHeight="1">
      <c r="D87" s="20" t="str">
        <f t="shared" ca="1" si="29"/>
        <v/>
      </c>
      <c r="E87" s="53" t="str">
        <f t="shared" ca="1" si="30"/>
        <v/>
      </c>
      <c r="F87" s="39" t="str">
        <f ca="1">IFERROR(IF(AND(
  INDEX(Roadmap!$D:$K,MATCH($E87,Roadmap!$D:$D,0)+COUNTIF($E87:E87,"u")+COUNTIF($E87:E87,"t")+COUNTIF($E87:E87,"¶")+COUNTIF($E87:E87,"²")+COUNTIF($E87:E87,"µ")+COUNTIF($E87:E87,1),ColLivraison)=F$6,
  VLOOKUP($E87,INDIRECT("tri!"&amp; CHAR(64+ C0Col) &amp;":"&amp; CHAR(65+C0Col)),2,FALSE)&gt;COUNTIF($E87:E87,"u")+COUNTIF($E87:E87,"t")+COUNTIF($E87:E87,"¶")+COUNTIF($E87:E87,"²")+COUNTIF($E87:E87,"µ")+COUNTIF($E87:E87,1)),
HYPERLINK("#Roadmap!C"&amp; MATCH($E87,Roadmap!$D:$D,0)+COUNTIF($E87:E87,"u")+COUNTIF($E87:E87,"t"),
     INDEX(Roadmap!$D:$K,MATCH($E87,Roadmap!$D:$D,0)+COUNTIF($E87:E87,"u")+COUNTIF($E87:E87,"t")+COUNTIF($E87:E87,"¶")+COUNTIF($E87:E87,"²")+COUNTIF($E87:E87,"µ")+COUNTIF($E87:E87,1),ColTypeEcheance)),
  IF(LEN(E87)=1,
  IF(LEN(INDEX(Roadmap!$D:$K,MATCH($E87,Roadmap!$D:$D,0)-1+COUNTIF($E87:E87,"u")+COUNTIF($E87:E87,"t")+COUNTIF($E87:E87,"¶")+COUNTIF($E87:E87,"²")+COUNTIF($E87:E87,"µ")+COUNTIF($E87:E87,1),ColDescriptionCourte))&gt;1,
HYPERLINK("#Roadmap!C"&amp; MATCH($E87,Roadmap!$D:$D,0)+COUNTIF($E87:E87,"u")+COUNTIF($E87:E87,"t")+COUNTIF($E87:E87,"¶")+COUNTIF($E87:E87,"²")+COUNTIF($E87:E87,"µ")+COUNTIF($E87:E87,1)-1,INDEX(Roadmap!$D:$K,MATCH($E87,Roadmap!$D:$D,0)-1+COUNTIF($E87:E87,"u")+COUNTIF($E87:E87,"t")+COUNTIF($E87:E87,"¶")+COUNTIF($E87:E87,"²")+COUNTIF($E87:E87,"µ")+COUNTIF($E87:E87,1),ColDescriptionCourte)),""),
  "")),"")</f>
        <v/>
      </c>
      <c r="G87" s="40" t="str">
        <f ca="1">IFERROR(IF(AND(
  INDEX(Roadmap!$D:$K,MATCH($E87,Roadmap!$D:$D,0)+COUNTIF($E87:F87,"u")+COUNTIF($E87:F87,"t")+COUNTIF($E87:F87,"¶")+COUNTIF($E87:F87,"²")+COUNTIF($E87:F87,"µ")+COUNTIF($E87:F87,1),ColLivraison)=G$6,
  VLOOKUP($E87,INDIRECT("tri!"&amp; CHAR(64+ C0Col) &amp;":"&amp; CHAR(65+C0Col)),2,FALSE)&gt;COUNTIF($E87:F87,"u")+COUNTIF($E87:F87,"t")+COUNTIF($E87:F87,"¶")+COUNTIF($E87:F87,"²")+COUNTIF($E87:F87,"µ")+COUNTIF($E87:F87,1)),
HYPERLINK("#Roadmap!C"&amp; MATCH($E87,Roadmap!$D:$D,0)+COUNTIF($E87:F87,"u")+COUNTIF($E87:F87,"t"),
     INDEX(Roadmap!$D:$K,MATCH($E87,Roadmap!$D:$D,0)+COUNTIF($E87:F87,"u")+COUNTIF($E87:F87,"t")+COUNTIF($E87:F87,"¶")+COUNTIF($E87:F87,"²")+COUNTIF($E87:F87,"µ")+COUNTIF($E87:F87,1),ColTypeEcheance)),
  IF(LEN(F87)=1,
  IF(LEN(INDEX(Roadmap!$D:$K,MATCH($E87,Roadmap!$D:$D,0)-1+COUNTIF($E87:F87,"u")+COUNTIF($E87:F87,"t")+COUNTIF($E87:F87,"¶")+COUNTIF($E87:F87,"²")+COUNTIF($E87:F87,"µ")+COUNTIF($E87:F87,1),ColDescriptionCourte))&gt;1,
HYPERLINK("#Roadmap!C"&amp; MATCH($E87,Roadmap!$D:$D,0)+COUNTIF($E87:F87,"u")+COUNTIF($E87:F87,"t")+COUNTIF($E87:F87,"¶")+COUNTIF($E87:F87,"²")+COUNTIF($E87:F87,"µ")+COUNTIF($E87:F87,1)-1,INDEX(Roadmap!$D:$K,MATCH($E87,Roadmap!$D:$D,0)-1+COUNTIF($E87:F87,"u")+COUNTIF($E87:F87,"t")+COUNTIF($E87:F87,"¶")+COUNTIF($E87:F87,"²")+COUNTIF($E87:F87,"µ")+COUNTIF($E87:F87,1),ColDescriptionCourte)),""),
  "")),"")</f>
        <v/>
      </c>
      <c r="H87" s="40" t="str">
        <f ca="1">IFERROR(IF(AND(
  INDEX(Roadmap!$D:$K,MATCH($E87,Roadmap!$D:$D,0)+COUNTIF($E87:G87,"u")+COUNTIF($E87:G87,"t")+COUNTIF($E87:G87,"¶")+COUNTIF($E87:G87,"²")+COUNTIF($E87:G87,"µ")+COUNTIF($E87:G87,1),ColLivraison)=H$6,
  VLOOKUP($E87,INDIRECT("tri!"&amp; CHAR(64+ C0Col) &amp;":"&amp; CHAR(65+C0Col)),2,FALSE)&gt;COUNTIF($E87:G87,"u")+COUNTIF($E87:G87,"t")+COUNTIF($E87:G87,"¶")+COUNTIF($E87:G87,"²")+COUNTIF($E87:G87,"µ")+COUNTIF($E87:G87,1)),
HYPERLINK("#Roadmap!C"&amp; MATCH($E87,Roadmap!$D:$D,0)+COUNTIF($E87:G87,"u")+COUNTIF($E87:G87,"t"),
     INDEX(Roadmap!$D:$K,MATCH($E87,Roadmap!$D:$D,0)+COUNTIF($E87:G87,"u")+COUNTIF($E87:G87,"t")+COUNTIF($E87:G87,"¶")+COUNTIF($E87:G87,"²")+COUNTIF($E87:G87,"µ")+COUNTIF($E87:G87,1),ColTypeEcheance)),
  IF(LEN(G87)=1,
  IF(LEN(INDEX(Roadmap!$D:$K,MATCH($E87,Roadmap!$D:$D,0)-1+COUNTIF($E87:G87,"u")+COUNTIF($E87:G87,"t")+COUNTIF($E87:G87,"¶")+COUNTIF($E87:G87,"²")+COUNTIF($E87:G87,"µ")+COUNTIF($E87:G87,1),ColDescriptionCourte))&gt;1,
HYPERLINK("#Roadmap!C"&amp; MATCH($E87,Roadmap!$D:$D,0)+COUNTIF($E87:G87,"u")+COUNTIF($E87:G87,"t")+COUNTIF($E87:G87,"¶")+COUNTIF($E87:G87,"²")+COUNTIF($E87:G87,"µ")+COUNTIF($E87:G87,1)-1,INDEX(Roadmap!$D:$K,MATCH($E87,Roadmap!$D:$D,0)-1+COUNTIF($E87:G87,"u")+COUNTIF($E87:G87,"t")+COUNTIF($E87:G87,"¶")+COUNTIF($E87:G87,"²")+COUNTIF($E87:G87,"µ")+COUNTIF($E87:G87,1),ColDescriptionCourte)),""),
  "")),"")</f>
        <v/>
      </c>
      <c r="I87" s="40" t="str">
        <f ca="1">IFERROR(IF(AND(
  INDEX(Roadmap!$D:$K,MATCH($E87,Roadmap!$D:$D,0)+COUNTIF($E87:H87,"u")+COUNTIF($E87:H87,"t")+COUNTIF($E87:H87,"¶")+COUNTIF($E87:H87,"²")+COUNTIF($E87:H87,"µ")+COUNTIF($E87:H87,1),ColLivraison)=I$6,
  VLOOKUP($E87,INDIRECT("tri!"&amp; CHAR(64+ C0Col) &amp;":"&amp; CHAR(65+C0Col)),2,FALSE)&gt;COUNTIF($E87:H87,"u")+COUNTIF($E87:H87,"t")+COUNTIF($E87:H87,"¶")+COUNTIF($E87:H87,"²")+COUNTIF($E87:H87,"µ")+COUNTIF($E87:H87,1)),
HYPERLINK("#Roadmap!C"&amp; MATCH($E87,Roadmap!$D:$D,0)+COUNTIF($E87:H87,"u")+COUNTIF($E87:H87,"t"),
     INDEX(Roadmap!$D:$K,MATCH($E87,Roadmap!$D:$D,0)+COUNTIF($E87:H87,"u")+COUNTIF($E87:H87,"t")+COUNTIF($E87:H87,"¶")+COUNTIF($E87:H87,"²")+COUNTIF($E87:H87,"µ")+COUNTIF($E87:H87,1),ColTypeEcheance)),
  IF(LEN(H87)=1,
  IF(LEN(INDEX(Roadmap!$D:$K,MATCH($E87,Roadmap!$D:$D,0)-1+COUNTIF($E87:H87,"u")+COUNTIF($E87:H87,"t")+COUNTIF($E87:H87,"¶")+COUNTIF($E87:H87,"²")+COUNTIF($E87:H87,"µ")+COUNTIF($E87:H87,1),ColDescriptionCourte))&gt;1,
HYPERLINK("#Roadmap!C"&amp; MATCH($E87,Roadmap!$D:$D,0)+COUNTIF($E87:H87,"u")+COUNTIF($E87:H87,"t")+COUNTIF($E87:H87,"¶")+COUNTIF($E87:H87,"²")+COUNTIF($E87:H87,"µ")+COUNTIF($E87:H87,1)-1,INDEX(Roadmap!$D:$K,MATCH($E87,Roadmap!$D:$D,0)-1+COUNTIF($E87:H87,"u")+COUNTIF($E87:H87,"t")+COUNTIF($E87:H87,"¶")+COUNTIF($E87:H87,"²")+COUNTIF($E87:H87,"µ")+COUNTIF($E87:H87,1),ColDescriptionCourte)),""),
  "")),"")</f>
        <v/>
      </c>
      <c r="J87" s="40" t="str">
        <f ca="1">IFERROR(IF(AND(
  INDEX(Roadmap!$D:$K,MATCH($E87,Roadmap!$D:$D,0)+COUNTIF($E87:I87,"u")+COUNTIF($E87:I87,"t")+COUNTIF($E87:I87,"¶")+COUNTIF($E87:I87,"²")+COUNTIF($E87:I87,"µ")+COUNTIF($E87:I87,1),ColLivraison)=J$6,
  VLOOKUP($E87,INDIRECT("tri!"&amp; CHAR(64+ C0Col) &amp;":"&amp; CHAR(65+C0Col)),2,FALSE)&gt;COUNTIF($E87:I87,"u")+COUNTIF($E87:I87,"t")+COUNTIF($E87:I87,"¶")+COUNTIF($E87:I87,"²")+COUNTIF($E87:I87,"µ")+COUNTIF($E87:I87,1)),
HYPERLINK("#Roadmap!C"&amp; MATCH($E87,Roadmap!$D:$D,0)+COUNTIF($E87:I87,"u")+COUNTIF($E87:I87,"t"),
     INDEX(Roadmap!$D:$K,MATCH($E87,Roadmap!$D:$D,0)+COUNTIF($E87:I87,"u")+COUNTIF($E87:I87,"t")+COUNTIF($E87:I87,"¶")+COUNTIF($E87:I87,"²")+COUNTIF($E87:I87,"µ")+COUNTIF($E87:I87,1),ColTypeEcheance)),
  IF(LEN(I87)=1,
  IF(LEN(INDEX(Roadmap!$D:$K,MATCH($E87,Roadmap!$D:$D,0)-1+COUNTIF($E87:I87,"u")+COUNTIF($E87:I87,"t")+COUNTIF($E87:I87,"¶")+COUNTIF($E87:I87,"²")+COUNTIF($E87:I87,"µ")+COUNTIF($E87:I87,1),ColDescriptionCourte))&gt;1,
HYPERLINK("#Roadmap!C"&amp; MATCH($E87,Roadmap!$D:$D,0)+COUNTIF($E87:I87,"u")+COUNTIF($E87:I87,"t")+COUNTIF($E87:I87,"¶")+COUNTIF($E87:I87,"²")+COUNTIF($E87:I87,"µ")+COUNTIF($E87:I87,1)-1,INDEX(Roadmap!$D:$K,MATCH($E87,Roadmap!$D:$D,0)-1+COUNTIF($E87:I87,"u")+COUNTIF($E87:I87,"t")+COUNTIF($E87:I87,"¶")+COUNTIF($E87:I87,"²")+COUNTIF($E87:I87,"µ")+COUNTIF($E87:I87,1),ColDescriptionCourte)),""),
  "")),"")</f>
        <v/>
      </c>
      <c r="K87" s="40" t="str">
        <f ca="1">IFERROR(IF(AND(
  INDEX(Roadmap!$D:$K,MATCH($E87,Roadmap!$D:$D,0)+COUNTIF($E87:J87,"u")+COUNTIF($E87:J87,"t")+COUNTIF($E87:J87,"¶")+COUNTIF($E87:J87,"²")+COUNTIF($E87:J87,"µ")+COUNTIF($E87:J87,1),ColLivraison)=K$6,
  VLOOKUP($E87,INDIRECT("tri!"&amp; CHAR(64+ C0Col) &amp;":"&amp; CHAR(65+C0Col)),2,FALSE)&gt;COUNTIF($E87:J87,"u")+COUNTIF($E87:J87,"t")+COUNTIF($E87:J87,"¶")+COUNTIF($E87:J87,"²")+COUNTIF($E87:J87,"µ")+COUNTIF($E87:J87,1)),
HYPERLINK("#Roadmap!C"&amp; MATCH($E87,Roadmap!$D:$D,0)+COUNTIF($E87:J87,"u")+COUNTIF($E87:J87,"t"),
     INDEX(Roadmap!$D:$K,MATCH($E87,Roadmap!$D:$D,0)+COUNTIF($E87:J87,"u")+COUNTIF($E87:J87,"t")+COUNTIF($E87:J87,"¶")+COUNTIF($E87:J87,"²")+COUNTIF($E87:J87,"µ")+COUNTIF($E87:J87,1),ColTypeEcheance)),
  IF(LEN(J87)=1,
  IF(LEN(INDEX(Roadmap!$D:$K,MATCH($E87,Roadmap!$D:$D,0)-1+COUNTIF($E87:J87,"u")+COUNTIF($E87:J87,"t")+COUNTIF($E87:J87,"¶")+COUNTIF($E87:J87,"²")+COUNTIF($E87:J87,"µ")+COUNTIF($E87:J87,1),ColDescriptionCourte))&gt;1,
HYPERLINK("#Roadmap!C"&amp; MATCH($E87,Roadmap!$D:$D,0)+COUNTIF($E87:J87,"u")+COUNTIF($E87:J87,"t")+COUNTIF($E87:J87,"¶")+COUNTIF($E87:J87,"²")+COUNTIF($E87:J87,"µ")+COUNTIF($E87:J87,1)-1,INDEX(Roadmap!$D:$K,MATCH($E87,Roadmap!$D:$D,0)-1+COUNTIF($E87:J87,"u")+COUNTIF($E87:J87,"t")+COUNTIF($E87:J87,"¶")+COUNTIF($E87:J87,"²")+COUNTIF($E87:J87,"µ")+COUNTIF($E87:J87,1),ColDescriptionCourte)),""),
  "")),"")</f>
        <v/>
      </c>
      <c r="L87" s="39" t="str">
        <f ca="1">IFERROR(IF(AND(
  INDEX(Roadmap!$D:$K,MATCH($E87,Roadmap!$D:$D,0)+COUNTIF($E87:K87,"u")+COUNTIF($E87:K87,"t")+COUNTIF($E87:K87,"¶")+COUNTIF($E87:K87,"²")+COUNTIF($E87:K87,"µ")+COUNTIF($E87:K87,1),ColLivraison)=L$6,
  VLOOKUP($E87,INDIRECT("tri!"&amp; CHAR(64+ C0Col) &amp;":"&amp; CHAR(65+C0Col)),2,FALSE)&gt;COUNTIF($E87:K87,"u")+COUNTIF($E87:K87,"t")+COUNTIF($E87:K87,"¶")+COUNTIF($E87:K87,"²")+COUNTIF($E87:K87,"µ")+COUNTIF($E87:K87,1)),
HYPERLINK("#Roadmap!C"&amp; MATCH($E87,Roadmap!$D:$D,0)+COUNTIF($E87:K87,"u")+COUNTIF($E87:K87,"t"),
     INDEX(Roadmap!$D:$K,MATCH($E87,Roadmap!$D:$D,0)+COUNTIF($E87:K87,"u")+COUNTIF($E87:K87,"t")+COUNTIF($E87:K87,"¶")+COUNTIF($E87:K87,"²")+COUNTIF($E87:K87,"µ")+COUNTIF($E87:K87,1),ColTypeEcheance)),
  IF(LEN(K87)=1,
  IF(LEN(INDEX(Roadmap!$D:$K,MATCH($E87,Roadmap!$D:$D,0)-1+COUNTIF($E87:K87,"u")+COUNTIF($E87:K87,"t")+COUNTIF($E87:K87,"¶")+COUNTIF($E87:K87,"²")+COUNTIF($E87:K87,"µ")+COUNTIF($E87:K87,1),ColDescriptionCourte))&gt;1,
HYPERLINK("#Roadmap!C"&amp; MATCH($E87,Roadmap!$D:$D,0)+COUNTIF($E87:K87,"u")+COUNTIF($E87:K87,"t")+COUNTIF($E87:K87,"¶")+COUNTIF($E87:K87,"²")+COUNTIF($E87:K87,"µ")+COUNTIF($E87:K87,1)-1,INDEX(Roadmap!$D:$K,MATCH($E87,Roadmap!$D:$D,0)-1+COUNTIF($E87:K87,"u")+COUNTIF($E87:K87,"t")+COUNTIF($E87:K87,"¶")+COUNTIF($E87:K87,"²")+COUNTIF($E87:K87,"µ")+COUNTIF($E87:K87,1),ColDescriptionCourte)),""),
  "")),"")</f>
        <v/>
      </c>
      <c r="M87" s="40" t="str">
        <f ca="1">IFERROR(IF(AND(
  INDEX(Roadmap!$D:$K,MATCH($E87,Roadmap!$D:$D,0)+COUNTIF($E87:L87,"u")+COUNTIF($E87:L87,"t")+COUNTIF($E87:L87,"¶")+COUNTIF($E87:L87,"²")+COUNTIF($E87:L87,"µ")+COUNTIF($E87:L87,1),ColLivraison)=M$6,
  VLOOKUP($E87,INDIRECT("tri!"&amp; CHAR(64+ C0Col) &amp;":"&amp; CHAR(65+C0Col)),2,FALSE)&gt;COUNTIF($E87:L87,"u")+COUNTIF($E87:L87,"t")+COUNTIF($E87:L87,"¶")+COUNTIF($E87:L87,"²")+COUNTIF($E87:L87,"µ")+COUNTIF($E87:L87,1)),
HYPERLINK("#Roadmap!C"&amp; MATCH($E87,Roadmap!$D:$D,0)+COUNTIF($E87:L87,"u")+COUNTIF($E87:L87,"t"),
     INDEX(Roadmap!$D:$K,MATCH($E87,Roadmap!$D:$D,0)+COUNTIF($E87:L87,"u")+COUNTIF($E87:L87,"t")+COUNTIF($E87:L87,"¶")+COUNTIF($E87:L87,"²")+COUNTIF($E87:L87,"µ")+COUNTIF($E87:L87,1),ColTypeEcheance)),
  IF(LEN(L87)=1,
  IF(LEN(INDEX(Roadmap!$D:$K,MATCH($E87,Roadmap!$D:$D,0)-1+COUNTIF($E87:L87,"u")+COUNTIF($E87:L87,"t")+COUNTIF($E87:L87,"¶")+COUNTIF($E87:L87,"²")+COUNTIF($E87:L87,"µ")+COUNTIF($E87:L87,1),ColDescriptionCourte))&gt;1,
HYPERLINK("#Roadmap!C"&amp; MATCH($E87,Roadmap!$D:$D,0)+COUNTIF($E87:L87,"u")+COUNTIF($E87:L87,"t")+COUNTIF($E87:L87,"¶")+COUNTIF($E87:L87,"²")+COUNTIF($E87:L87,"µ")+COUNTIF($E87:L87,1)-1,INDEX(Roadmap!$D:$K,MATCH($E87,Roadmap!$D:$D,0)-1+COUNTIF($E87:L87,"u")+COUNTIF($E87:L87,"t")+COUNTIF($E87:L87,"¶")+COUNTIF($E87:L87,"²")+COUNTIF($E87:L87,"µ")+COUNTIF($E87:L87,1),ColDescriptionCourte)),""),
  "")),"")</f>
        <v/>
      </c>
      <c r="N87" s="40" t="str">
        <f ca="1">IFERROR(IF(AND(
  INDEX(Roadmap!$D:$K,MATCH($E87,Roadmap!$D:$D,0)+COUNTIF($E87:M87,"u")+COUNTIF($E87:M87,"t")+COUNTIF($E87:M87,"¶")+COUNTIF($E87:M87,"²")+COUNTIF($E87:M87,"µ")+COUNTIF($E87:M87,1),ColLivraison)=N$6,
  VLOOKUP($E87,INDIRECT("tri!"&amp; CHAR(64+ C0Col) &amp;":"&amp; CHAR(65+C0Col)),2,FALSE)&gt;COUNTIF($E87:M87,"u")+COUNTIF($E87:M87,"t")+COUNTIF($E87:M87,"¶")+COUNTIF($E87:M87,"²")+COUNTIF($E87:M87,"µ")+COUNTIF($E87:M87,1)),
HYPERLINK("#Roadmap!C"&amp; MATCH($E87,Roadmap!$D:$D,0)+COUNTIF($E87:M87,"u")+COUNTIF($E87:M87,"t"),
     INDEX(Roadmap!$D:$K,MATCH($E87,Roadmap!$D:$D,0)+COUNTIF($E87:M87,"u")+COUNTIF($E87:M87,"t")+COUNTIF($E87:M87,"¶")+COUNTIF($E87:M87,"²")+COUNTIF($E87:M87,"µ")+COUNTIF($E87:M87,1),ColTypeEcheance)),
  IF(LEN(M87)=1,
  IF(LEN(INDEX(Roadmap!$D:$K,MATCH($E87,Roadmap!$D:$D,0)-1+COUNTIF($E87:M87,"u")+COUNTIF($E87:M87,"t")+COUNTIF($E87:M87,"¶")+COUNTIF($E87:M87,"²")+COUNTIF($E87:M87,"µ")+COUNTIF($E87:M87,1),ColDescriptionCourte))&gt;1,
HYPERLINK("#Roadmap!C"&amp; MATCH($E87,Roadmap!$D:$D,0)+COUNTIF($E87:M87,"u")+COUNTIF($E87:M87,"t")+COUNTIF($E87:M87,"¶")+COUNTIF($E87:M87,"²")+COUNTIF($E87:M87,"µ")+COUNTIF($E87:M87,1)-1,INDEX(Roadmap!$D:$K,MATCH($E87,Roadmap!$D:$D,0)-1+COUNTIF($E87:M87,"u")+COUNTIF($E87:M87,"t")+COUNTIF($E87:M87,"¶")+COUNTIF($E87:M87,"²")+COUNTIF($E87:M87,"µ")+COUNTIF($E87:M87,1),ColDescriptionCourte)),""),
  "")),"")</f>
        <v/>
      </c>
      <c r="O87" s="40" t="str">
        <f ca="1">IFERROR(IF(AND(
  INDEX(Roadmap!$D:$K,MATCH($E87,Roadmap!$D:$D,0)+COUNTIF($E87:N87,"u")+COUNTIF($E87:N87,"t")+COUNTIF($E87:N87,"¶")+COUNTIF($E87:N87,"²")+COUNTIF($E87:N87,"µ")+COUNTIF($E87:N87,1),ColLivraison)=O$6,
  VLOOKUP($E87,INDIRECT("tri!"&amp; CHAR(64+ C0Col) &amp;":"&amp; CHAR(65+C0Col)),2,FALSE)&gt;COUNTIF($E87:N87,"u")+COUNTIF($E87:N87,"t")+COUNTIF($E87:N87,"¶")+COUNTIF($E87:N87,"²")+COUNTIF($E87:N87,"µ")+COUNTIF($E87:N87,1)),
HYPERLINK("#Roadmap!C"&amp; MATCH($E87,Roadmap!$D:$D,0)+COUNTIF($E87:N87,"u")+COUNTIF($E87:N87,"t"),
     INDEX(Roadmap!$D:$K,MATCH($E87,Roadmap!$D:$D,0)+COUNTIF($E87:N87,"u")+COUNTIF($E87:N87,"t")+COUNTIF($E87:N87,"¶")+COUNTIF($E87:N87,"²")+COUNTIF($E87:N87,"µ")+COUNTIF($E87:N87,1),ColTypeEcheance)),
  IF(LEN(N87)=1,
  IF(LEN(INDEX(Roadmap!$D:$K,MATCH($E87,Roadmap!$D:$D,0)-1+COUNTIF($E87:N87,"u")+COUNTIF($E87:N87,"t")+COUNTIF($E87:N87,"¶")+COUNTIF($E87:N87,"²")+COUNTIF($E87:N87,"µ")+COUNTIF($E87:N87,1),ColDescriptionCourte))&gt;1,
HYPERLINK("#Roadmap!C"&amp; MATCH($E87,Roadmap!$D:$D,0)+COUNTIF($E87:N87,"u")+COUNTIF($E87:N87,"t")+COUNTIF($E87:N87,"¶")+COUNTIF($E87:N87,"²")+COUNTIF($E87:N87,"µ")+COUNTIF($E87:N87,1)-1,INDEX(Roadmap!$D:$K,MATCH($E87,Roadmap!$D:$D,0)-1+COUNTIF($E87:N87,"u")+COUNTIF($E87:N87,"t")+COUNTIF($E87:N87,"¶")+COUNTIF($E87:N87,"²")+COUNTIF($E87:N87,"µ")+COUNTIF($E87:N87,1),ColDescriptionCourte)),""),
  "")),"")</f>
        <v/>
      </c>
      <c r="P87" s="40" t="str">
        <f ca="1">IFERROR(IF(AND(
  INDEX(Roadmap!$D:$K,MATCH($E87,Roadmap!$D:$D,0)+COUNTIF($E87:O87,"u")+COUNTIF($E87:O87,"t")+COUNTIF($E87:O87,"¶")+COUNTIF($E87:O87,"²")+COUNTIF($E87:O87,"µ")+COUNTIF($E87:O87,1),ColLivraison)=P$6,
  VLOOKUP($E87,INDIRECT("tri!"&amp; CHAR(64+ C0Col) &amp;":"&amp; CHAR(65+C0Col)),2,FALSE)&gt;COUNTIF($E87:O87,"u")+COUNTIF($E87:O87,"t")+COUNTIF($E87:O87,"¶")+COUNTIF($E87:O87,"²")+COUNTIF($E87:O87,"µ")+COUNTIF($E87:O87,1)),
HYPERLINK("#Roadmap!C"&amp; MATCH($E87,Roadmap!$D:$D,0)+COUNTIF($E87:O87,"u")+COUNTIF($E87:O87,"t"),
     INDEX(Roadmap!$D:$K,MATCH($E87,Roadmap!$D:$D,0)+COUNTIF($E87:O87,"u")+COUNTIF($E87:O87,"t")+COUNTIF($E87:O87,"¶")+COUNTIF($E87:O87,"²")+COUNTIF($E87:O87,"µ")+COUNTIF($E87:O87,1),ColTypeEcheance)),
  IF(LEN(O87)=1,
  IF(LEN(INDEX(Roadmap!$D:$K,MATCH($E87,Roadmap!$D:$D,0)-1+COUNTIF($E87:O87,"u")+COUNTIF($E87:O87,"t")+COUNTIF($E87:O87,"¶")+COUNTIF($E87:O87,"²")+COUNTIF($E87:O87,"µ")+COUNTIF($E87:O87,1),ColDescriptionCourte))&gt;1,
HYPERLINK("#Roadmap!C"&amp; MATCH($E87,Roadmap!$D:$D,0)+COUNTIF($E87:O87,"u")+COUNTIF($E87:O87,"t")+COUNTIF($E87:O87,"¶")+COUNTIF($E87:O87,"²")+COUNTIF($E87:O87,"µ")+COUNTIF($E87:O87,1)-1,INDEX(Roadmap!$D:$K,MATCH($E87,Roadmap!$D:$D,0)-1+COUNTIF($E87:O87,"u")+COUNTIF($E87:O87,"t")+COUNTIF($E87:O87,"¶")+COUNTIF($E87:O87,"²")+COUNTIF($E87:O87,"µ")+COUNTIF($E87:O87,1),ColDescriptionCourte)),""),
  "")),"")</f>
        <v/>
      </c>
      <c r="Q87" s="40" t="str">
        <f ca="1">IFERROR(IF(AND(
  INDEX(Roadmap!$D:$K,MATCH($E87,Roadmap!$D:$D,0)+COUNTIF($E87:P87,"u")+COUNTIF($E87:P87,"t")+COUNTIF($E87:P87,"¶")+COUNTIF($E87:P87,"²")+COUNTIF($E87:P87,"µ")+COUNTIF($E87:P87,1),ColLivraison)=Q$6,
  VLOOKUP($E87,INDIRECT("tri!"&amp; CHAR(64+ C0Col) &amp;":"&amp; CHAR(65+C0Col)),2,FALSE)&gt;COUNTIF($E87:P87,"u")+COUNTIF($E87:P87,"t")+COUNTIF($E87:P87,"¶")+COUNTIF($E87:P87,"²")+COUNTIF($E87:P87,"µ")+COUNTIF($E87:P87,1)),
HYPERLINK("#Roadmap!C"&amp; MATCH($E87,Roadmap!$D:$D,0)+COUNTIF($E87:P87,"u")+COUNTIF($E87:P87,"t"),
     INDEX(Roadmap!$D:$K,MATCH($E87,Roadmap!$D:$D,0)+COUNTIF($E87:P87,"u")+COUNTIF($E87:P87,"t")+COUNTIF($E87:P87,"¶")+COUNTIF($E87:P87,"²")+COUNTIF($E87:P87,"µ")+COUNTIF($E87:P87,1),ColTypeEcheance)),
  IF(LEN(P87)=1,
  IF(LEN(INDEX(Roadmap!$D:$K,MATCH($E87,Roadmap!$D:$D,0)-1+COUNTIF($E87:P87,"u")+COUNTIF($E87:P87,"t")+COUNTIF($E87:P87,"¶")+COUNTIF($E87:P87,"²")+COUNTIF($E87:P87,"µ")+COUNTIF($E87:P87,1),ColDescriptionCourte))&gt;1,
HYPERLINK("#Roadmap!C"&amp; MATCH($E87,Roadmap!$D:$D,0)+COUNTIF($E87:P87,"u")+COUNTIF($E87:P87,"t")+COUNTIF($E87:P87,"¶")+COUNTIF($E87:P87,"²")+COUNTIF($E87:P87,"µ")+COUNTIF($E87:P87,1)-1,INDEX(Roadmap!$D:$K,MATCH($E87,Roadmap!$D:$D,0)-1+COUNTIF($E87:P87,"u")+COUNTIF($E87:P87,"t")+COUNTIF($E87:P87,"¶")+COUNTIF($E87:P87,"²")+COUNTIF($E87:P87,"µ")+COUNTIF($E87:P87,1),ColDescriptionCourte)),""),
  "")),"")</f>
        <v/>
      </c>
      <c r="R87" s="40" t="str">
        <f ca="1">IFERROR(IF(AND(
  INDEX(Roadmap!$D:$K,MATCH($E87,Roadmap!$D:$D,0)+COUNTIF($E87:Q87,"u")+COUNTIF($E87:Q87,"t")+COUNTIF($E87:Q87,"¶")+COUNTIF($E87:Q87,"²")+COUNTIF($E87:Q87,"µ")+COUNTIF($E87:Q87,1),ColLivraison)=R$6,
  VLOOKUP($E87,INDIRECT("tri!"&amp; CHAR(64+ C0Col) &amp;":"&amp; CHAR(65+C0Col)),2,FALSE)&gt;COUNTIF($E87:Q87,"u")+COUNTIF($E87:Q87,"t")+COUNTIF($E87:Q87,"¶")+COUNTIF($E87:Q87,"²")+COUNTIF($E87:Q87,"µ")+COUNTIF($E87:Q87,1)),
HYPERLINK("#Roadmap!C"&amp; MATCH($E87,Roadmap!$D:$D,0)+COUNTIF($E87:Q87,"u")+COUNTIF($E87:Q87,"t"),
     INDEX(Roadmap!$D:$K,MATCH($E87,Roadmap!$D:$D,0)+COUNTIF($E87:Q87,"u")+COUNTIF($E87:Q87,"t")+COUNTIF($E87:Q87,"¶")+COUNTIF($E87:Q87,"²")+COUNTIF($E87:Q87,"µ")+COUNTIF($E87:Q87,1),ColTypeEcheance)),
  IF(LEN(Q87)=1,
  IF(LEN(INDEX(Roadmap!$D:$K,MATCH($E87,Roadmap!$D:$D,0)-1+COUNTIF($E87:Q87,"u")+COUNTIF($E87:Q87,"t")+COUNTIF($E87:Q87,"¶")+COUNTIF($E87:Q87,"²")+COUNTIF($E87:Q87,"µ")+COUNTIF($E87:Q87,1),ColDescriptionCourte))&gt;1,
HYPERLINK("#Roadmap!C"&amp; MATCH($E87,Roadmap!$D:$D,0)+COUNTIF($E87:Q87,"u")+COUNTIF($E87:Q87,"t")+COUNTIF($E87:Q87,"¶")+COUNTIF($E87:Q87,"²")+COUNTIF($E87:Q87,"µ")+COUNTIF($E87:Q87,1)-1,INDEX(Roadmap!$D:$K,MATCH($E87,Roadmap!$D:$D,0)-1+COUNTIF($E87:Q87,"u")+COUNTIF($E87:Q87,"t")+COUNTIF($E87:Q87,"¶")+COUNTIF($E87:Q87,"²")+COUNTIF($E87:Q87,"µ")+COUNTIF($E87:Q87,1),ColDescriptionCourte)),""),
  "")),"")</f>
        <v/>
      </c>
      <c r="S87" s="40" t="str">
        <f ca="1">IFERROR(IF(AND(
  INDEX(Roadmap!$D:$K,MATCH($E87,Roadmap!$D:$D,0)+COUNTIF($E87:R87,"u")+COUNTIF($E87:R87,"t")+COUNTIF($E87:R87,"¶")+COUNTIF($E87:R87,"²")+COUNTIF($E87:R87,"µ")+COUNTIF($E87:R87,1),ColLivraison)=S$6,
  VLOOKUP($E87,INDIRECT("tri!"&amp; CHAR(64+ C0Col) &amp;":"&amp; CHAR(65+C0Col)),2,FALSE)&gt;COUNTIF($E87:R87,"u")+COUNTIF($E87:R87,"t")+COUNTIF($E87:R87,"¶")+COUNTIF($E87:R87,"²")+COUNTIF($E87:R87,"µ")+COUNTIF($E87:R87,1)),
HYPERLINK("#Roadmap!C"&amp; MATCH($E87,Roadmap!$D:$D,0)+COUNTIF($E87:R87,"u")+COUNTIF($E87:R87,"t"),
     INDEX(Roadmap!$D:$K,MATCH($E87,Roadmap!$D:$D,0)+COUNTIF($E87:R87,"u")+COUNTIF($E87:R87,"t")+COUNTIF($E87:R87,"¶")+COUNTIF($E87:R87,"²")+COUNTIF($E87:R87,"µ")+COUNTIF($E87:R87,1),ColTypeEcheance)),
  IF(LEN(R87)=1,
  IF(LEN(INDEX(Roadmap!$D:$K,MATCH($E87,Roadmap!$D:$D,0)-1+COUNTIF($E87:R87,"u")+COUNTIF($E87:R87,"t")+COUNTIF($E87:R87,"¶")+COUNTIF($E87:R87,"²")+COUNTIF($E87:R87,"µ")+COUNTIF($E87:R87,1),ColDescriptionCourte))&gt;1,
HYPERLINK("#Roadmap!C"&amp; MATCH($E87,Roadmap!$D:$D,0)+COUNTIF($E87:R87,"u")+COUNTIF($E87:R87,"t")+COUNTIF($E87:R87,"¶")+COUNTIF($E87:R87,"²")+COUNTIF($E87:R87,"µ")+COUNTIF($E87:R87,1)-1,INDEX(Roadmap!$D:$K,MATCH($E87,Roadmap!$D:$D,0)-1+COUNTIF($E87:R87,"u")+COUNTIF($E87:R87,"t")+COUNTIF($E87:R87,"¶")+COUNTIF($E87:R87,"²")+COUNTIF($E87:R87,"µ")+COUNTIF($E87:R87,1),ColDescriptionCourte)),""),
  "")),"")</f>
        <v/>
      </c>
      <c r="T87" s="40" t="str">
        <f ca="1">IFERROR(IF(AND(
  INDEX(Roadmap!$D:$K,MATCH($E87,Roadmap!$D:$D,0)+COUNTIF($E87:S87,"u")+COUNTIF($E87:S87,"t")+COUNTIF($E87:S87,"¶")+COUNTIF($E87:S87,"²")+COUNTIF($E87:S87,"µ")+COUNTIF($E87:S87,1),ColLivraison)=T$6,
  VLOOKUP($E87,INDIRECT("tri!"&amp; CHAR(64+ C0Col) &amp;":"&amp; CHAR(65+C0Col)),2,FALSE)&gt;COUNTIF($E87:S87,"u")+COUNTIF($E87:S87,"t")+COUNTIF($E87:S87,"¶")+COUNTIF($E87:S87,"²")+COUNTIF($E87:S87,"µ")+COUNTIF($E87:S87,1)),
HYPERLINK("#Roadmap!C"&amp; MATCH($E87,Roadmap!$D:$D,0)+COUNTIF($E87:S87,"u")+COUNTIF($E87:S87,"t"),
     INDEX(Roadmap!$D:$K,MATCH($E87,Roadmap!$D:$D,0)+COUNTIF($E87:S87,"u")+COUNTIF($E87:S87,"t")+COUNTIF($E87:S87,"¶")+COUNTIF($E87:S87,"²")+COUNTIF($E87:S87,"µ")+COUNTIF($E87:S87,1),ColTypeEcheance)),
  IF(LEN(S87)=1,
  IF(LEN(INDEX(Roadmap!$D:$K,MATCH($E87,Roadmap!$D:$D,0)-1+COUNTIF($E87:S87,"u")+COUNTIF($E87:S87,"t")+COUNTIF($E87:S87,"¶")+COUNTIF($E87:S87,"²")+COUNTIF($E87:S87,"µ")+COUNTIF($E87:S87,1),ColDescriptionCourte))&gt;1,
HYPERLINK("#Roadmap!C"&amp; MATCH($E87,Roadmap!$D:$D,0)+COUNTIF($E87:S87,"u")+COUNTIF($E87:S87,"t")+COUNTIF($E87:S87,"¶")+COUNTIF($E87:S87,"²")+COUNTIF($E87:S87,"µ")+COUNTIF($E87:S87,1)-1,INDEX(Roadmap!$D:$K,MATCH($E87,Roadmap!$D:$D,0)-1+COUNTIF($E87:S87,"u")+COUNTIF($E87:S87,"t")+COUNTIF($E87:S87,"¶")+COUNTIF($E87:S87,"²")+COUNTIF($E87:S87,"µ")+COUNTIF($E87:S87,1),ColDescriptionCourte)),""),
  "")),"")</f>
        <v/>
      </c>
      <c r="U87" s="40" t="str">
        <f ca="1">IFERROR(IF(AND(
  INDEX(Roadmap!$D:$K,MATCH($E87,Roadmap!$D:$D,0)+COUNTIF($E87:T87,"u")+COUNTIF($E87:T87,"t")+COUNTIF($E87:T87,"¶")+COUNTIF($E87:T87,"²")+COUNTIF($E87:T87,"µ")+COUNTIF($E87:T87,1),ColLivraison)=U$6,
  VLOOKUP($E87,INDIRECT("tri!"&amp; CHAR(64+ C0Col) &amp;":"&amp; CHAR(65+C0Col)),2,FALSE)&gt;COUNTIF($E87:T87,"u")+COUNTIF($E87:T87,"t")+COUNTIF($E87:T87,"¶")+COUNTIF($E87:T87,"²")+COUNTIF($E87:T87,"µ")+COUNTIF($E87:T87,1)),
HYPERLINK("#Roadmap!C"&amp; MATCH($E87,Roadmap!$D:$D,0)+COUNTIF($E87:T87,"u")+COUNTIF($E87:T87,"t"),
     INDEX(Roadmap!$D:$K,MATCH($E87,Roadmap!$D:$D,0)+COUNTIF($E87:T87,"u")+COUNTIF($E87:T87,"t")+COUNTIF($E87:T87,"¶")+COUNTIF($E87:T87,"²")+COUNTIF($E87:T87,"µ")+COUNTIF($E87:T87,1),ColTypeEcheance)),
  IF(LEN(T87)=1,
  IF(LEN(INDEX(Roadmap!$D:$K,MATCH($E87,Roadmap!$D:$D,0)-1+COUNTIF($E87:T87,"u")+COUNTIF($E87:T87,"t")+COUNTIF($E87:T87,"¶")+COUNTIF($E87:T87,"²")+COUNTIF($E87:T87,"µ")+COUNTIF($E87:T87,1),ColDescriptionCourte))&gt;1,
HYPERLINK("#Roadmap!C"&amp; MATCH($E87,Roadmap!$D:$D,0)+COUNTIF($E87:T87,"u")+COUNTIF($E87:T87,"t")+COUNTIF($E87:T87,"¶")+COUNTIF($E87:T87,"²")+COUNTIF($E87:T87,"µ")+COUNTIF($E87:T87,1)-1,INDEX(Roadmap!$D:$K,MATCH($E87,Roadmap!$D:$D,0)-1+COUNTIF($E87:T87,"u")+COUNTIF($E87:T87,"t")+COUNTIF($E87:T87,"¶")+COUNTIF($E87:T87,"²")+COUNTIF($E87:T87,"µ")+COUNTIF($E87:T87,1),ColDescriptionCourte)),""),
  "")),"")</f>
        <v/>
      </c>
      <c r="V87" s="40" t="str">
        <f ca="1">IFERROR(IF(AND(
  INDEX(Roadmap!$D:$K,MATCH($E87,Roadmap!$D:$D,0)+COUNTIF($E87:U87,"u")+COUNTIF($E87:U87,"t")+COUNTIF($E87:U87,"¶")+COUNTIF($E87:U87,"²")+COUNTIF($E87:U87,"µ")+COUNTIF($E87:U87,1),ColLivraison)=V$6,
  VLOOKUP($E87,INDIRECT("tri!"&amp; CHAR(64+ C0Col) &amp;":"&amp; CHAR(65+C0Col)),2,FALSE)&gt;COUNTIF($E87:U87,"u")+COUNTIF($E87:U87,"t")+COUNTIF($E87:U87,"¶")+COUNTIF($E87:U87,"²")+COUNTIF($E87:U87,"µ")+COUNTIF($E87:U87,1)),
HYPERLINK("#Roadmap!C"&amp; MATCH($E87,Roadmap!$D:$D,0)+COUNTIF($E87:U87,"u")+COUNTIF($E87:U87,"t"),
     INDEX(Roadmap!$D:$K,MATCH($E87,Roadmap!$D:$D,0)+COUNTIF($E87:U87,"u")+COUNTIF($E87:U87,"t")+COUNTIF($E87:U87,"¶")+COUNTIF($E87:U87,"²")+COUNTIF($E87:U87,"µ")+COUNTIF($E87:U87,1),ColTypeEcheance)),
  IF(LEN(U87)=1,
  IF(LEN(INDEX(Roadmap!$D:$K,MATCH($E87,Roadmap!$D:$D,0)-1+COUNTIF($E87:U87,"u")+COUNTIF($E87:U87,"t")+COUNTIF($E87:U87,"¶")+COUNTIF($E87:U87,"²")+COUNTIF($E87:U87,"µ")+COUNTIF($E87:U87,1),ColDescriptionCourte))&gt;1,
HYPERLINK("#Roadmap!C"&amp; MATCH($E87,Roadmap!$D:$D,0)+COUNTIF($E87:U87,"u")+COUNTIF($E87:U87,"t")+COUNTIF($E87:U87,"¶")+COUNTIF($E87:U87,"²")+COUNTIF($E87:U87,"µ")+COUNTIF($E87:U87,1)-1,INDEX(Roadmap!$D:$K,MATCH($E87,Roadmap!$D:$D,0)-1+COUNTIF($E87:U87,"u")+COUNTIF($E87:U87,"t")+COUNTIF($E87:U87,"¶")+COUNTIF($E87:U87,"²")+COUNTIF($E87:U87,"µ")+COUNTIF($E87:U87,1),ColDescriptionCourte)),""),
  "")),"")</f>
        <v/>
      </c>
      <c r="W87" s="40" t="str">
        <f ca="1">IFERROR(IF(AND(
  INDEX(Roadmap!$D:$K,MATCH($E87,Roadmap!$D:$D,0)+COUNTIF($E87:V87,"u")+COUNTIF($E87:V87,"t")+COUNTIF($E87:V87,"¶")+COUNTIF($E87:V87,"²")+COUNTIF($E87:V87,"µ")+COUNTIF($E87:V87,1),ColLivraison)=W$6,
  VLOOKUP($E87,INDIRECT("tri!"&amp; CHAR(64+ C0Col) &amp;":"&amp; CHAR(65+C0Col)),2,FALSE)&gt;COUNTIF($E87:V87,"u")+COUNTIF($E87:V87,"t")+COUNTIF($E87:V87,"¶")+COUNTIF($E87:V87,"²")+COUNTIF($E87:V87,"µ")+COUNTIF($E87:V87,1)),
HYPERLINK("#Roadmap!C"&amp; MATCH($E87,Roadmap!$D:$D,0)+COUNTIF($E87:V87,"u")+COUNTIF($E87:V87,"t"),
     INDEX(Roadmap!$D:$K,MATCH($E87,Roadmap!$D:$D,0)+COUNTIF($E87:V87,"u")+COUNTIF($E87:V87,"t")+COUNTIF($E87:V87,"¶")+COUNTIF($E87:V87,"²")+COUNTIF($E87:V87,"µ")+COUNTIF($E87:V87,1),ColTypeEcheance)),
  IF(LEN(V87)=1,
  IF(LEN(INDEX(Roadmap!$D:$K,MATCH($E87,Roadmap!$D:$D,0)-1+COUNTIF($E87:V87,"u")+COUNTIF($E87:V87,"t")+COUNTIF($E87:V87,"¶")+COUNTIF($E87:V87,"²")+COUNTIF($E87:V87,"µ")+COUNTIF($E87:V87,1),ColDescriptionCourte))&gt;1,
HYPERLINK("#Roadmap!C"&amp; MATCH($E87,Roadmap!$D:$D,0)+COUNTIF($E87:V87,"u")+COUNTIF($E87:V87,"t")+COUNTIF($E87:V87,"¶")+COUNTIF($E87:V87,"²")+COUNTIF($E87:V87,"µ")+COUNTIF($E87:V87,1)-1,INDEX(Roadmap!$D:$K,MATCH($E87,Roadmap!$D:$D,0)-1+COUNTIF($E87:V87,"u")+COUNTIF($E87:V87,"t")+COUNTIF($E87:V87,"¶")+COUNTIF($E87:V87,"²")+COUNTIF($E87:V87,"µ")+COUNTIF($E87:V87,1),ColDescriptionCourte)),""),
  "")),"")</f>
        <v/>
      </c>
      <c r="X87" s="40" t="str">
        <f ca="1">IFERROR(IF(AND(
  INDEX(Roadmap!$D:$K,MATCH($E87,Roadmap!$D:$D,0)+COUNTIF($E87:W87,"u")+COUNTIF($E87:W87,"t")+COUNTIF($E87:W87,"¶")+COUNTIF($E87:W87,"²")+COUNTIF($E87:W87,"µ")+COUNTIF($E87:W87,1),ColLivraison)=X$6,
  VLOOKUP($E87,INDIRECT("tri!"&amp; CHAR(64+ C0Col) &amp;":"&amp; CHAR(65+C0Col)),2,FALSE)&gt;COUNTIF($E87:W87,"u")+COUNTIF($E87:W87,"t")+COUNTIF($E87:W87,"¶")+COUNTIF($E87:W87,"²")+COUNTIF($E87:W87,"µ")+COUNTIF($E87:W87,1)),
HYPERLINK("#Roadmap!C"&amp; MATCH($E87,Roadmap!$D:$D,0)+COUNTIF($E87:W87,"u")+COUNTIF($E87:W87,"t"),
     INDEX(Roadmap!$D:$K,MATCH($E87,Roadmap!$D:$D,0)+COUNTIF($E87:W87,"u")+COUNTIF($E87:W87,"t")+COUNTIF($E87:W87,"¶")+COUNTIF($E87:W87,"²")+COUNTIF($E87:W87,"µ")+COUNTIF($E87:W87,1),ColTypeEcheance)),
  IF(LEN(W87)=1,
  IF(LEN(INDEX(Roadmap!$D:$K,MATCH($E87,Roadmap!$D:$D,0)-1+COUNTIF($E87:W87,"u")+COUNTIF($E87:W87,"t")+COUNTIF($E87:W87,"¶")+COUNTIF($E87:W87,"²")+COUNTIF($E87:W87,"µ")+COUNTIF($E87:W87,1),ColDescriptionCourte))&gt;1,
HYPERLINK("#Roadmap!C"&amp; MATCH($E87,Roadmap!$D:$D,0)+COUNTIF($E87:W87,"u")+COUNTIF($E87:W87,"t")+COUNTIF($E87:W87,"¶")+COUNTIF($E87:W87,"²")+COUNTIF($E87:W87,"µ")+COUNTIF($E87:W87,1)-1,INDEX(Roadmap!$D:$K,MATCH($E87,Roadmap!$D:$D,0)-1+COUNTIF($E87:W87,"u")+COUNTIF($E87:W87,"t")+COUNTIF($E87:W87,"¶")+COUNTIF($E87:W87,"²")+COUNTIF($E87:W87,"µ")+COUNTIF($E87:W87,1),ColDescriptionCourte)),""),
  "")),"")</f>
        <v/>
      </c>
      <c r="Y87" s="40" t="str">
        <f ca="1">IFERROR(IF(AND(
  INDEX(Roadmap!$D:$K,MATCH($E87,Roadmap!$D:$D,0)+COUNTIF($E87:X87,"u")+COUNTIF($E87:X87,"t")+COUNTIF($E87:X87,"¶")+COUNTIF($E87:X87,"²")+COUNTIF($E87:X87,"µ")+COUNTIF($E87:X87,1),ColLivraison)=Y$6,
  VLOOKUP($E87,INDIRECT("tri!"&amp; CHAR(64+ C0Col) &amp;":"&amp; CHAR(65+C0Col)),2,FALSE)&gt;COUNTIF($E87:X87,"u")+COUNTIF($E87:X87,"t")+COUNTIF($E87:X87,"¶")+COUNTIF($E87:X87,"²")+COUNTIF($E87:X87,"µ")+COUNTIF($E87:X87,1)),
HYPERLINK("#Roadmap!C"&amp; MATCH($E87,Roadmap!$D:$D,0)+COUNTIF($E87:X87,"u")+COUNTIF($E87:X87,"t"),
     INDEX(Roadmap!$D:$K,MATCH($E87,Roadmap!$D:$D,0)+COUNTIF($E87:X87,"u")+COUNTIF($E87:X87,"t")+COUNTIF($E87:X87,"¶")+COUNTIF($E87:X87,"²")+COUNTIF($E87:X87,"µ")+COUNTIF($E87:X87,1),ColTypeEcheance)),
  IF(LEN(X87)=1,
  IF(LEN(INDEX(Roadmap!$D:$K,MATCH($E87,Roadmap!$D:$D,0)-1+COUNTIF($E87:X87,"u")+COUNTIF($E87:X87,"t")+COUNTIF($E87:X87,"¶")+COUNTIF($E87:X87,"²")+COUNTIF($E87:X87,"µ")+COUNTIF($E87:X87,1),ColDescriptionCourte))&gt;1,
HYPERLINK("#Roadmap!C"&amp; MATCH($E87,Roadmap!$D:$D,0)+COUNTIF($E87:X87,"u")+COUNTIF($E87:X87,"t")+COUNTIF($E87:X87,"¶")+COUNTIF($E87:X87,"²")+COUNTIF($E87:X87,"µ")+COUNTIF($E87:X87,1)-1,INDEX(Roadmap!$D:$K,MATCH($E87,Roadmap!$D:$D,0)-1+COUNTIF($E87:X87,"u")+COUNTIF($E87:X87,"t")+COUNTIF($E87:X87,"¶")+COUNTIF($E87:X87,"²")+COUNTIF($E87:X87,"µ")+COUNTIF($E87:X87,1),ColDescriptionCourte)),""),
  "")),"")</f>
        <v/>
      </c>
      <c r="Z87" s="40" t="str">
        <f ca="1">IFERROR(IF(AND(
  INDEX(Roadmap!$D:$K,MATCH($E87,Roadmap!$D:$D,0)+COUNTIF($E87:Y87,"u")+COUNTIF($E87:Y87,"t")+COUNTIF($E87:Y87,"¶")+COUNTIF($E87:Y87,"²")+COUNTIF($E87:Y87,"µ")+COUNTIF($E87:Y87,1),ColLivraison)=Z$6,
  VLOOKUP($E87,INDIRECT("tri!"&amp; CHAR(64+ C0Col) &amp;":"&amp; CHAR(65+C0Col)),2,FALSE)&gt;COUNTIF($E87:Y87,"u")+COUNTIF($E87:Y87,"t")+COUNTIF($E87:Y87,"¶")+COUNTIF($E87:Y87,"²")+COUNTIF($E87:Y87,"µ")+COUNTIF($E87:Y87,1)),
HYPERLINK("#Roadmap!C"&amp; MATCH($E87,Roadmap!$D:$D,0)+COUNTIF($E87:Y87,"u")+COUNTIF($E87:Y87,"t"),
     INDEX(Roadmap!$D:$K,MATCH($E87,Roadmap!$D:$D,0)+COUNTIF($E87:Y87,"u")+COUNTIF($E87:Y87,"t")+COUNTIF($E87:Y87,"¶")+COUNTIF($E87:Y87,"²")+COUNTIF($E87:Y87,"µ")+COUNTIF($E87:Y87,1),ColTypeEcheance)),
  IF(LEN(Y87)=1,
  IF(LEN(INDEX(Roadmap!$D:$K,MATCH($E87,Roadmap!$D:$D,0)-1+COUNTIF($E87:Y87,"u")+COUNTIF($E87:Y87,"t")+COUNTIF($E87:Y87,"¶")+COUNTIF($E87:Y87,"²")+COUNTIF($E87:Y87,"µ")+COUNTIF($E87:Y87,1),ColDescriptionCourte))&gt;1,
HYPERLINK("#Roadmap!C"&amp; MATCH($E87,Roadmap!$D:$D,0)+COUNTIF($E87:Y87,"u")+COUNTIF($E87:Y87,"t")+COUNTIF($E87:Y87,"¶")+COUNTIF($E87:Y87,"²")+COUNTIF($E87:Y87,"µ")+COUNTIF($E87:Y87,1)-1,INDEX(Roadmap!$D:$K,MATCH($E87,Roadmap!$D:$D,0)-1+COUNTIF($E87:Y87,"u")+COUNTIF($E87:Y87,"t")+COUNTIF($E87:Y87,"¶")+COUNTIF($E87:Y87,"²")+COUNTIF($E87:Y87,"µ")+COUNTIF($E87:Y87,1),ColDescriptionCourte)),""),
  "")),"")</f>
        <v/>
      </c>
      <c r="AA87" s="40" t="str">
        <f ca="1">IFERROR(IF(AND(
  INDEX(Roadmap!$D:$K,MATCH($E87,Roadmap!$D:$D,0)+COUNTIF($E87:Z87,"u")+COUNTIF($E87:Z87,"t")+COUNTIF($E87:Z87,"¶")+COUNTIF($E87:Z87,"²")+COUNTIF($E87:Z87,"µ")+COUNTIF($E87:Z87,1),ColLivraison)=AA$6,
  VLOOKUP($E87,INDIRECT("tri!"&amp; CHAR(64+ C0Col) &amp;":"&amp; CHAR(65+C0Col)),2,FALSE)&gt;COUNTIF($E87:Z87,"u")+COUNTIF($E87:Z87,"t")+COUNTIF($E87:Z87,"¶")+COUNTIF($E87:Z87,"²")+COUNTIF($E87:Z87,"µ")+COUNTIF($E87:Z87,1)),
HYPERLINK("#Roadmap!C"&amp; MATCH($E87,Roadmap!$D:$D,0)+COUNTIF($E87:Z87,"u")+COUNTIF($E87:Z87,"t"),
     INDEX(Roadmap!$D:$K,MATCH($E87,Roadmap!$D:$D,0)+COUNTIF($E87:Z87,"u")+COUNTIF($E87:Z87,"t")+COUNTIF($E87:Z87,"¶")+COUNTIF($E87:Z87,"²")+COUNTIF($E87:Z87,"µ")+COUNTIF($E87:Z87,1),ColTypeEcheance)),
  IF(LEN(Z87)=1,
  IF(LEN(INDEX(Roadmap!$D:$K,MATCH($E87,Roadmap!$D:$D,0)-1+COUNTIF($E87:Z87,"u")+COUNTIF($E87:Z87,"t")+COUNTIF($E87:Z87,"¶")+COUNTIF($E87:Z87,"²")+COUNTIF($E87:Z87,"µ")+COUNTIF($E87:Z87,1),ColDescriptionCourte))&gt;1,
HYPERLINK("#Roadmap!C"&amp; MATCH($E87,Roadmap!$D:$D,0)+COUNTIF($E87:Z87,"u")+COUNTIF($E87:Z87,"t")+COUNTIF($E87:Z87,"¶")+COUNTIF($E87:Z87,"²")+COUNTIF($E87:Z87,"µ")+COUNTIF($E87:Z87,1)-1,INDEX(Roadmap!$D:$K,MATCH($E87,Roadmap!$D:$D,0)-1+COUNTIF($E87:Z87,"u")+COUNTIF($E87:Z87,"t")+COUNTIF($E87:Z87,"¶")+COUNTIF($E87:Z87,"²")+COUNTIF($E87:Z87,"µ")+COUNTIF($E87:Z87,1),ColDescriptionCourte)),""),
  "")),"")</f>
        <v/>
      </c>
      <c r="AB87" s="40" t="str">
        <f ca="1">IFERROR(IF(AND(
  INDEX(Roadmap!$D:$K,MATCH($E87,Roadmap!$D:$D,0)+COUNTIF($E87:AA87,"u")+COUNTIF($E87:AA87,"t")+COUNTIF($E87:AA87,"¶")+COUNTIF($E87:AA87,"²")+COUNTIF($E87:AA87,"µ")+COUNTIF($E87:AA87,1),ColLivraison)=AB$6,
  VLOOKUP($E87,INDIRECT("tri!"&amp; CHAR(64+ C0Col) &amp;":"&amp; CHAR(65+C0Col)),2,FALSE)&gt;COUNTIF($E87:AA87,"u")+COUNTIF($E87:AA87,"t")+COUNTIF($E87:AA87,"¶")+COUNTIF($E87:AA87,"²")+COUNTIF($E87:AA87,"µ")+COUNTIF($E87:AA87,1)),
HYPERLINK("#Roadmap!C"&amp; MATCH($E87,Roadmap!$D:$D,0)+COUNTIF($E87:AA87,"u")+COUNTIF($E87:AA87,"t"),
     INDEX(Roadmap!$D:$K,MATCH($E87,Roadmap!$D:$D,0)+COUNTIF($E87:AA87,"u")+COUNTIF($E87:AA87,"t")+COUNTIF($E87:AA87,"¶")+COUNTIF($E87:AA87,"²")+COUNTIF($E87:AA87,"µ")+COUNTIF($E87:AA87,1),ColTypeEcheance)),
  IF(LEN(AA87)=1,
  IF(LEN(INDEX(Roadmap!$D:$K,MATCH($E87,Roadmap!$D:$D,0)-1+COUNTIF($E87:AA87,"u")+COUNTIF($E87:AA87,"t")+COUNTIF($E87:AA87,"¶")+COUNTIF($E87:AA87,"²")+COUNTIF($E87:AA87,"µ")+COUNTIF($E87:AA87,1),ColDescriptionCourte))&gt;1,
HYPERLINK("#Roadmap!C"&amp; MATCH($E87,Roadmap!$D:$D,0)+COUNTIF($E87:AA87,"u")+COUNTIF($E87:AA87,"t")+COUNTIF($E87:AA87,"¶")+COUNTIF($E87:AA87,"²")+COUNTIF($E87:AA87,"µ")+COUNTIF($E87:AA87,1)-1,INDEX(Roadmap!$D:$K,MATCH($E87,Roadmap!$D:$D,0)-1+COUNTIF($E87:AA87,"u")+COUNTIF($E87:AA87,"t")+COUNTIF($E87:AA87,"¶")+COUNTIF($E87:AA87,"²")+COUNTIF($E87:AA87,"µ")+COUNTIF($E87:AA87,1),ColDescriptionCourte)),""),
  "")),"")</f>
        <v/>
      </c>
      <c r="AC87" s="40" t="str">
        <f ca="1">IFERROR(IF(AND(
  INDEX(Roadmap!$D:$K,MATCH($E87,Roadmap!$D:$D,0)+COUNTIF($E87:AB87,"u")+COUNTIF($E87:AB87,"t")+COUNTIF($E87:AB87,"¶")+COUNTIF($E87:AB87,"²")+COUNTIF($E87:AB87,"µ")+COUNTIF($E87:AB87,1),ColLivraison)=AC$6,
  VLOOKUP($E87,INDIRECT("tri!"&amp; CHAR(64+ C0Col) &amp;":"&amp; CHAR(65+C0Col)),2,FALSE)&gt;COUNTIF($E87:AB87,"u")+COUNTIF($E87:AB87,"t")+COUNTIF($E87:AB87,"¶")+COUNTIF($E87:AB87,"²")+COUNTIF($E87:AB87,"µ")+COUNTIF($E87:AB87,1)),
HYPERLINK("#Roadmap!C"&amp; MATCH($E87,Roadmap!$D:$D,0)+COUNTIF($E87:AB87,"u")+COUNTIF($E87:AB87,"t"),
     INDEX(Roadmap!$D:$K,MATCH($E87,Roadmap!$D:$D,0)+COUNTIF($E87:AB87,"u")+COUNTIF($E87:AB87,"t")+COUNTIF($E87:AB87,"¶")+COUNTIF($E87:AB87,"²")+COUNTIF($E87:AB87,"µ")+COUNTIF($E87:AB87,1),ColTypeEcheance)),
  IF(LEN(AB87)=1,
  IF(LEN(INDEX(Roadmap!$D:$K,MATCH($E87,Roadmap!$D:$D,0)-1+COUNTIF($E87:AB87,"u")+COUNTIF($E87:AB87,"t")+COUNTIF($E87:AB87,"¶")+COUNTIF($E87:AB87,"²")+COUNTIF($E87:AB87,"µ")+COUNTIF($E87:AB87,1),ColDescriptionCourte))&gt;1,
HYPERLINK("#Roadmap!C"&amp; MATCH($E87,Roadmap!$D:$D,0)+COUNTIF($E87:AB87,"u")+COUNTIF($E87:AB87,"t")+COUNTIF($E87:AB87,"¶")+COUNTIF($E87:AB87,"²")+COUNTIF($E87:AB87,"µ")+COUNTIF($E87:AB87,1)-1,INDEX(Roadmap!$D:$K,MATCH($E87,Roadmap!$D:$D,0)-1+COUNTIF($E87:AB87,"u")+COUNTIF($E87:AB87,"t")+COUNTIF($E87:AB87,"¶")+COUNTIF($E87:AB87,"²")+COUNTIF($E87:AB87,"µ")+COUNTIF($E87:AB87,1),ColDescriptionCourte)),""),
  "")),"")</f>
        <v/>
      </c>
      <c r="AD87" s="40" t="str">
        <f ca="1">IFERROR(IF(AND(
  INDEX(Roadmap!$D:$K,MATCH($E87,Roadmap!$D:$D,0)+COUNTIF($E87:AC87,"u")+COUNTIF($E87:AC87,"t")+COUNTIF($E87:AC87,"¶")+COUNTIF($E87:AC87,"²")+COUNTIF($E87:AC87,"µ")+COUNTIF($E87:AC87,1),ColLivraison)=AD$6,
  VLOOKUP($E87,INDIRECT("tri!"&amp; CHAR(64+ C0Col) &amp;":"&amp; CHAR(65+C0Col)),2,FALSE)&gt;COUNTIF($E87:AC87,"u")+COUNTIF($E87:AC87,"t")+COUNTIF($E87:AC87,"¶")+COUNTIF($E87:AC87,"²")+COUNTIF($E87:AC87,"µ")+COUNTIF($E87:AC87,1)),
HYPERLINK("#Roadmap!C"&amp; MATCH($E87,Roadmap!$D:$D,0)+COUNTIF($E87:AC87,"u")+COUNTIF($E87:AC87,"t"),
     INDEX(Roadmap!$D:$K,MATCH($E87,Roadmap!$D:$D,0)+COUNTIF($E87:AC87,"u")+COUNTIF($E87:AC87,"t")+COUNTIF($E87:AC87,"¶")+COUNTIF($E87:AC87,"²")+COUNTIF($E87:AC87,"µ")+COUNTIF($E87:AC87,1),ColTypeEcheance)),
  IF(LEN(AC87)=1,
  IF(LEN(INDEX(Roadmap!$D:$K,MATCH($E87,Roadmap!$D:$D,0)-1+COUNTIF($E87:AC87,"u")+COUNTIF($E87:AC87,"t")+COUNTIF($E87:AC87,"¶")+COUNTIF($E87:AC87,"²")+COUNTIF($E87:AC87,"µ")+COUNTIF($E87:AC87,1),ColDescriptionCourte))&gt;1,
HYPERLINK("#Roadmap!C"&amp; MATCH($E87,Roadmap!$D:$D,0)+COUNTIF($E87:AC87,"u")+COUNTIF($E87:AC87,"t")+COUNTIF($E87:AC87,"¶")+COUNTIF($E87:AC87,"²")+COUNTIF($E87:AC87,"µ")+COUNTIF($E87:AC87,1)-1,INDEX(Roadmap!$D:$K,MATCH($E87,Roadmap!$D:$D,0)-1+COUNTIF($E87:AC87,"u")+COUNTIF($E87:AC87,"t")+COUNTIF($E87:AC87,"¶")+COUNTIF($E87:AC87,"²")+COUNTIF($E87:AC87,"µ")+COUNTIF($E87:AC87,1),ColDescriptionCourte)),""),
  "")),"")</f>
        <v/>
      </c>
      <c r="AE87" s="40" t="str">
        <f ca="1">IFERROR(IF(AND(
  INDEX(Roadmap!$D:$K,MATCH($E87,Roadmap!$D:$D,0)+COUNTIF($E87:AD87,"u")+COUNTIF($E87:AD87,"t")+COUNTIF($E87:AD87,"¶")+COUNTIF($E87:AD87,"²")+COUNTIF($E87:AD87,"µ")+COUNTIF($E87:AD87,1),ColLivraison)=AE$6,
  VLOOKUP($E87,INDIRECT("tri!"&amp; CHAR(64+ C0Col) &amp;":"&amp; CHAR(65+C0Col)),2,FALSE)&gt;COUNTIF($E87:AD87,"u")+COUNTIF($E87:AD87,"t")+COUNTIF($E87:AD87,"¶")+COUNTIF($E87:AD87,"²")+COUNTIF($E87:AD87,"µ")+COUNTIF($E87:AD87,1)),
HYPERLINK("#Roadmap!C"&amp; MATCH($E87,Roadmap!$D:$D,0)+COUNTIF($E87:AD87,"u")+COUNTIF($E87:AD87,"t"),
     INDEX(Roadmap!$D:$K,MATCH($E87,Roadmap!$D:$D,0)+COUNTIF($E87:AD87,"u")+COUNTIF($E87:AD87,"t")+COUNTIF($E87:AD87,"¶")+COUNTIF($E87:AD87,"²")+COUNTIF($E87:AD87,"µ")+COUNTIF($E87:AD87,1),ColTypeEcheance)),
  IF(LEN(AD87)=1,
  IF(LEN(INDEX(Roadmap!$D:$K,MATCH($E87,Roadmap!$D:$D,0)-1+COUNTIF($E87:AD87,"u")+COUNTIF($E87:AD87,"t")+COUNTIF($E87:AD87,"¶")+COUNTIF($E87:AD87,"²")+COUNTIF($E87:AD87,"µ")+COUNTIF($E87:AD87,1),ColDescriptionCourte))&gt;1,
HYPERLINK("#Roadmap!C"&amp; MATCH($E87,Roadmap!$D:$D,0)+COUNTIF($E87:AD87,"u")+COUNTIF($E87:AD87,"t")+COUNTIF($E87:AD87,"¶")+COUNTIF($E87:AD87,"²")+COUNTIF($E87:AD87,"µ")+COUNTIF($E87:AD87,1)-1,INDEX(Roadmap!$D:$K,MATCH($E87,Roadmap!$D:$D,0)-1+COUNTIF($E87:AD87,"u")+COUNTIF($E87:AD87,"t")+COUNTIF($E87:AD87,"¶")+COUNTIF($E87:AD87,"²")+COUNTIF($E87:AD87,"µ")+COUNTIF($E87:AD87,1),ColDescriptionCourte)),""),
  "")),"")</f>
        <v/>
      </c>
      <c r="AF87" s="40" t="str">
        <f ca="1">IFERROR(IF(AND(
  INDEX(Roadmap!$D:$K,MATCH($E87,Roadmap!$D:$D,0)+COUNTIF($E87:AE87,"u")+COUNTIF($E87:AE87,"t")+COUNTIF($E87:AE87,"¶")+COUNTIF($E87:AE87,"²")+COUNTIF($E87:AE87,"µ")+COUNTIF($E87:AE87,1),ColLivraison)=AF$6,
  VLOOKUP($E87,INDIRECT("tri!"&amp; CHAR(64+ C0Col) &amp;":"&amp; CHAR(65+C0Col)),2,FALSE)&gt;COUNTIF($E87:AE87,"u")+COUNTIF($E87:AE87,"t")+COUNTIF($E87:AE87,"¶")+COUNTIF($E87:AE87,"²")+COUNTIF($E87:AE87,"µ")+COUNTIF($E87:AE87,1)),
HYPERLINK("#Roadmap!C"&amp; MATCH($E87,Roadmap!$D:$D,0)+COUNTIF($E87:AE87,"u")+COUNTIF($E87:AE87,"t"),
     INDEX(Roadmap!$D:$K,MATCH($E87,Roadmap!$D:$D,0)+COUNTIF($E87:AE87,"u")+COUNTIF($E87:AE87,"t")+COUNTIF($E87:AE87,"¶")+COUNTIF($E87:AE87,"²")+COUNTIF($E87:AE87,"µ")+COUNTIF($E87:AE87,1),ColTypeEcheance)),
  IF(LEN(AE87)=1,
  IF(LEN(INDEX(Roadmap!$D:$K,MATCH($E87,Roadmap!$D:$D,0)-1+COUNTIF($E87:AE87,"u")+COUNTIF($E87:AE87,"t")+COUNTIF($E87:AE87,"¶")+COUNTIF($E87:AE87,"²")+COUNTIF($E87:AE87,"µ")+COUNTIF($E87:AE87,1),ColDescriptionCourte))&gt;1,
HYPERLINK("#Roadmap!C"&amp; MATCH($E87,Roadmap!$D:$D,0)+COUNTIF($E87:AE87,"u")+COUNTIF($E87:AE87,"t")+COUNTIF($E87:AE87,"¶")+COUNTIF($E87:AE87,"²")+COUNTIF($E87:AE87,"µ")+COUNTIF($E87:AE87,1)-1,INDEX(Roadmap!$D:$K,MATCH($E87,Roadmap!$D:$D,0)-1+COUNTIF($E87:AE87,"u")+COUNTIF($E87:AE87,"t")+COUNTIF($E87:AE87,"¶")+COUNTIF($E87:AE87,"²")+COUNTIF($E87:AE87,"µ")+COUNTIF($E87:AE87,1),ColDescriptionCourte)),""),
  "")),"")</f>
        <v/>
      </c>
      <c r="AG87" s="40" t="str">
        <f ca="1">IFERROR(IF(AND(
  INDEX(Roadmap!$D:$K,MATCH($E87,Roadmap!$D:$D,0)+COUNTIF($E87:AF87,"u")+COUNTIF($E87:AF87,"t")+COUNTIF($E87:AF87,"¶")+COUNTIF($E87:AF87,"²")+COUNTIF($E87:AF87,"µ")+COUNTIF($E87:AF87,1),ColLivraison)=AG$6,
  VLOOKUP($E87,INDIRECT("tri!"&amp; CHAR(64+ C0Col) &amp;":"&amp; CHAR(65+C0Col)),2,FALSE)&gt;COUNTIF($E87:AF87,"u")+COUNTIF($E87:AF87,"t")+COUNTIF($E87:AF87,"¶")+COUNTIF($E87:AF87,"²")+COUNTIF($E87:AF87,"µ")+COUNTIF($E87:AF87,1)),
HYPERLINK("#Roadmap!C"&amp; MATCH($E87,Roadmap!$D:$D,0)+COUNTIF($E87:AF87,"u")+COUNTIF($E87:AF87,"t"),
     INDEX(Roadmap!$D:$K,MATCH($E87,Roadmap!$D:$D,0)+COUNTIF($E87:AF87,"u")+COUNTIF($E87:AF87,"t")+COUNTIF($E87:AF87,"¶")+COUNTIF($E87:AF87,"²")+COUNTIF($E87:AF87,"µ")+COUNTIF($E87:AF87,1),ColTypeEcheance)),
  IF(LEN(AF87)=1,
  IF(LEN(INDEX(Roadmap!$D:$K,MATCH($E87,Roadmap!$D:$D,0)-1+COUNTIF($E87:AF87,"u")+COUNTIF($E87:AF87,"t")+COUNTIF($E87:AF87,"¶")+COUNTIF($E87:AF87,"²")+COUNTIF($E87:AF87,"µ")+COUNTIF($E87:AF87,1),ColDescriptionCourte))&gt;1,
HYPERLINK("#Roadmap!C"&amp; MATCH($E87,Roadmap!$D:$D,0)+COUNTIF($E87:AF87,"u")+COUNTIF($E87:AF87,"t")+COUNTIF($E87:AF87,"¶")+COUNTIF($E87:AF87,"²")+COUNTIF($E87:AF87,"µ")+COUNTIF($E87:AF87,1)-1,INDEX(Roadmap!$D:$K,MATCH($E87,Roadmap!$D:$D,0)-1+COUNTIF($E87:AF87,"u")+COUNTIF($E87:AF87,"t")+COUNTIF($E87:AF87,"¶")+COUNTIF($E87:AF87,"²")+COUNTIF($E87:AF87,"µ")+COUNTIF($E87:AF87,1),ColDescriptionCourte)),""),
  "")),"")</f>
        <v/>
      </c>
      <c r="AH87" s="40" t="str">
        <f ca="1">IFERROR(IF(AND(
  INDEX(Roadmap!$D:$K,MATCH($E87,Roadmap!$D:$D,0)+COUNTIF($E87:AG87,"u")+COUNTIF($E87:AG87,"t")+COUNTIF($E87:AG87,1),ColLivraison)=AH$6,
  VLOOKUP($E87,INDIRECT("tri!"&amp; CHAR(64+ C0Col) &amp;":"&amp; CHAR(65+C0Col)),2,FALSE)&gt;COUNTIF($E87:AG87,"u")+COUNTIF($E87:AG87,"t")+COUNTIF($E87:AG87,1)),
HYPERLINK("#Roadmap!C"&amp; MATCH($E87,Roadmap!$D:$D,0)+COUNTIF($E87:AG87,"u")+COUNTIF($E87:AG87,"t"),
     INDEX(Roadmap!$D:$K,MATCH($E87,Roadmap!$D:$D,0)+COUNTIF($E87:AG87,"u")+COUNTIF($E87:AG87,"t")+COUNTIF($E87:AG87,1),ColTypeEcheance)),
  IF(OR(AG87="u",AG87="t",AG87=1),
  IF(LEN(INDEX(Roadmap!$D:$K,MATCH($E87,Roadmap!$D:$D,0)-1+COUNTIF($E87:AG87,"u")+COUNTIF($E87:AG87,"t")+COUNTIF($E87:AG87,1),ColDescriptionCourte))&gt;1,
HYPERLINK("#Roadmap!C"&amp; MATCH($E87,Roadmap!$D:$D,0)+COUNTIF($E87:AG87,"u")+COUNTIF($E87:AG87,"t")+COUNTIF($E87:AG87,1)-1,INDEX(Roadmap!$D:$K,MATCH($E87,Roadmap!$D:$D,0)-1+COUNTIF($E87:AG87,"u")+COUNTIF($E87:AG87,"t")+COUNTIF($E87:AG87,1),ColDescriptionCourte)),""),
  "")),"")</f>
        <v/>
      </c>
      <c r="AI87" s="40"/>
      <c r="AJ87" s="40"/>
      <c r="AK87" s="40"/>
      <c r="AL87" s="40"/>
      <c r="AM87" s="40"/>
    </row>
    <row r="88" spans="4:39" ht="14.1" customHeight="1">
      <c r="D88" s="20" t="str">
        <f t="shared" ca="1" si="29"/>
        <v/>
      </c>
      <c r="E88" s="53" t="str">
        <f t="shared" ca="1" si="30"/>
        <v/>
      </c>
      <c r="F88" s="39" t="str">
        <f ca="1">IFERROR(IF(AND(
  INDEX(Roadmap!$D:$K,MATCH($E88,Roadmap!$D:$D,0)+COUNTIF($E88:E88,"u")+COUNTIF($E88:E88,"t")+COUNTIF($E88:E88,"¶")+COUNTIF($E88:E88,"²")+COUNTIF($E88:E88,"µ")+COUNTIF($E88:E88,1),ColLivraison)=F$6,
  VLOOKUP($E88,INDIRECT("tri!"&amp; CHAR(64+ C0Col) &amp;":"&amp; CHAR(65+C0Col)),2,FALSE)&gt;COUNTIF($E88:E88,"u")+COUNTIF($E88:E88,"t")+COUNTIF($E88:E88,"¶")+COUNTIF($E88:E88,"²")+COUNTIF($E88:E88,"µ")+COUNTIF($E88:E88,1)),
HYPERLINK("#Roadmap!C"&amp; MATCH($E88,Roadmap!$D:$D,0)+COUNTIF($E88:E88,"u")+COUNTIF($E88:E88,"t"),
     INDEX(Roadmap!$D:$K,MATCH($E88,Roadmap!$D:$D,0)+COUNTIF($E88:E88,"u")+COUNTIF($E88:E88,"t")+COUNTIF($E88:E88,"¶")+COUNTIF($E88:E88,"²")+COUNTIF($E88:E88,"µ")+COUNTIF($E88:E88,1),ColTypeEcheance)),
  IF(LEN(E88)=1,
  IF(LEN(INDEX(Roadmap!$D:$K,MATCH($E88,Roadmap!$D:$D,0)-1+COUNTIF($E88:E88,"u")+COUNTIF($E88:E88,"t")+COUNTIF($E88:E88,"¶")+COUNTIF($E88:E88,"²")+COUNTIF($E88:E88,"µ")+COUNTIF($E88:E88,1),ColDescriptionCourte))&gt;1,
HYPERLINK("#Roadmap!C"&amp; MATCH($E88,Roadmap!$D:$D,0)+COUNTIF($E88:E88,"u")+COUNTIF($E88:E88,"t")+COUNTIF($E88:E88,"¶")+COUNTIF($E88:E88,"²")+COUNTIF($E88:E88,"µ")+COUNTIF($E88:E88,1)-1,INDEX(Roadmap!$D:$K,MATCH($E88,Roadmap!$D:$D,0)-1+COUNTIF($E88:E88,"u")+COUNTIF($E88:E88,"t")+COUNTIF($E88:E88,"¶")+COUNTIF($E88:E88,"²")+COUNTIF($E88:E88,"µ")+COUNTIF($E88:E88,1),ColDescriptionCourte)),""),
  "")),"")</f>
        <v/>
      </c>
      <c r="G88" s="40" t="str">
        <f ca="1">IFERROR(IF(AND(
  INDEX(Roadmap!$D:$K,MATCH($E88,Roadmap!$D:$D,0)+COUNTIF($E88:F88,"u")+COUNTIF($E88:F88,"t")+COUNTIF($E88:F88,"¶")+COUNTIF($E88:F88,"²")+COUNTIF($E88:F88,"µ")+COUNTIF($E88:F88,1),ColLivraison)=G$6,
  VLOOKUP($E88,INDIRECT("tri!"&amp; CHAR(64+ C0Col) &amp;":"&amp; CHAR(65+C0Col)),2,FALSE)&gt;COUNTIF($E88:F88,"u")+COUNTIF($E88:F88,"t")+COUNTIF($E88:F88,"¶")+COUNTIF($E88:F88,"²")+COUNTIF($E88:F88,"µ")+COUNTIF($E88:F88,1)),
HYPERLINK("#Roadmap!C"&amp; MATCH($E88,Roadmap!$D:$D,0)+COUNTIF($E88:F88,"u")+COUNTIF($E88:F88,"t"),
     INDEX(Roadmap!$D:$K,MATCH($E88,Roadmap!$D:$D,0)+COUNTIF($E88:F88,"u")+COUNTIF($E88:F88,"t")+COUNTIF($E88:F88,"¶")+COUNTIF($E88:F88,"²")+COUNTIF($E88:F88,"µ")+COUNTIF($E88:F88,1),ColTypeEcheance)),
  IF(LEN(F88)=1,
  IF(LEN(INDEX(Roadmap!$D:$K,MATCH($E88,Roadmap!$D:$D,0)-1+COUNTIF($E88:F88,"u")+COUNTIF($E88:F88,"t")+COUNTIF($E88:F88,"¶")+COUNTIF($E88:F88,"²")+COUNTIF($E88:F88,"µ")+COUNTIF($E88:F88,1),ColDescriptionCourte))&gt;1,
HYPERLINK("#Roadmap!C"&amp; MATCH($E88,Roadmap!$D:$D,0)+COUNTIF($E88:F88,"u")+COUNTIF($E88:F88,"t")+COUNTIF($E88:F88,"¶")+COUNTIF($E88:F88,"²")+COUNTIF($E88:F88,"µ")+COUNTIF($E88:F88,1)-1,INDEX(Roadmap!$D:$K,MATCH($E88,Roadmap!$D:$D,0)-1+COUNTIF($E88:F88,"u")+COUNTIF($E88:F88,"t")+COUNTIF($E88:F88,"¶")+COUNTIF($E88:F88,"²")+COUNTIF($E88:F88,"µ")+COUNTIF($E88:F88,1),ColDescriptionCourte)),""),
  "")),"")</f>
        <v/>
      </c>
      <c r="H88" s="40" t="str">
        <f ca="1">IFERROR(IF(AND(
  INDEX(Roadmap!$D:$K,MATCH($E88,Roadmap!$D:$D,0)+COUNTIF($E88:G88,"u")+COUNTIF($E88:G88,"t")+COUNTIF($E88:G88,"¶")+COUNTIF($E88:G88,"²")+COUNTIF($E88:G88,"µ")+COUNTIF($E88:G88,1),ColLivraison)=H$6,
  VLOOKUP($E88,INDIRECT("tri!"&amp; CHAR(64+ C0Col) &amp;":"&amp; CHAR(65+C0Col)),2,FALSE)&gt;COUNTIF($E88:G88,"u")+COUNTIF($E88:G88,"t")+COUNTIF($E88:G88,"¶")+COUNTIF($E88:G88,"²")+COUNTIF($E88:G88,"µ")+COUNTIF($E88:G88,1)),
HYPERLINK("#Roadmap!C"&amp; MATCH($E88,Roadmap!$D:$D,0)+COUNTIF($E88:G88,"u")+COUNTIF($E88:G88,"t"),
     INDEX(Roadmap!$D:$K,MATCH($E88,Roadmap!$D:$D,0)+COUNTIF($E88:G88,"u")+COUNTIF($E88:G88,"t")+COUNTIF($E88:G88,"¶")+COUNTIF($E88:G88,"²")+COUNTIF($E88:G88,"µ")+COUNTIF($E88:G88,1),ColTypeEcheance)),
  IF(LEN(G88)=1,
  IF(LEN(INDEX(Roadmap!$D:$K,MATCH($E88,Roadmap!$D:$D,0)-1+COUNTIF($E88:G88,"u")+COUNTIF($E88:G88,"t")+COUNTIF($E88:G88,"¶")+COUNTIF($E88:G88,"²")+COUNTIF($E88:G88,"µ")+COUNTIF($E88:G88,1),ColDescriptionCourte))&gt;1,
HYPERLINK("#Roadmap!C"&amp; MATCH($E88,Roadmap!$D:$D,0)+COUNTIF($E88:G88,"u")+COUNTIF($E88:G88,"t")+COUNTIF($E88:G88,"¶")+COUNTIF($E88:G88,"²")+COUNTIF($E88:G88,"µ")+COUNTIF($E88:G88,1)-1,INDEX(Roadmap!$D:$K,MATCH($E88,Roadmap!$D:$D,0)-1+COUNTIF($E88:G88,"u")+COUNTIF($E88:G88,"t")+COUNTIF($E88:G88,"¶")+COUNTIF($E88:G88,"²")+COUNTIF($E88:G88,"µ")+COUNTIF($E88:G88,1),ColDescriptionCourte)),""),
  "")),"")</f>
        <v/>
      </c>
      <c r="I88" s="40" t="str">
        <f ca="1">IFERROR(IF(AND(
  INDEX(Roadmap!$D:$K,MATCH($E88,Roadmap!$D:$D,0)+COUNTIF($E88:H88,"u")+COUNTIF($E88:H88,"t")+COUNTIF($E88:H88,"¶")+COUNTIF($E88:H88,"²")+COUNTIF($E88:H88,"µ")+COUNTIF($E88:H88,1),ColLivraison)=I$6,
  VLOOKUP($E88,INDIRECT("tri!"&amp; CHAR(64+ C0Col) &amp;":"&amp; CHAR(65+C0Col)),2,FALSE)&gt;COUNTIF($E88:H88,"u")+COUNTIF($E88:H88,"t")+COUNTIF($E88:H88,"¶")+COUNTIF($E88:H88,"²")+COUNTIF($E88:H88,"µ")+COUNTIF($E88:H88,1)),
HYPERLINK("#Roadmap!C"&amp; MATCH($E88,Roadmap!$D:$D,0)+COUNTIF($E88:H88,"u")+COUNTIF($E88:H88,"t"),
     INDEX(Roadmap!$D:$K,MATCH($E88,Roadmap!$D:$D,0)+COUNTIF($E88:H88,"u")+COUNTIF($E88:H88,"t")+COUNTIF($E88:H88,"¶")+COUNTIF($E88:H88,"²")+COUNTIF($E88:H88,"µ")+COUNTIF($E88:H88,1),ColTypeEcheance)),
  IF(LEN(H88)=1,
  IF(LEN(INDEX(Roadmap!$D:$K,MATCH($E88,Roadmap!$D:$D,0)-1+COUNTIF($E88:H88,"u")+COUNTIF($E88:H88,"t")+COUNTIF($E88:H88,"¶")+COUNTIF($E88:H88,"²")+COUNTIF($E88:H88,"µ")+COUNTIF($E88:H88,1),ColDescriptionCourte))&gt;1,
HYPERLINK("#Roadmap!C"&amp; MATCH($E88,Roadmap!$D:$D,0)+COUNTIF($E88:H88,"u")+COUNTIF($E88:H88,"t")+COUNTIF($E88:H88,"¶")+COUNTIF($E88:H88,"²")+COUNTIF($E88:H88,"µ")+COUNTIF($E88:H88,1)-1,INDEX(Roadmap!$D:$K,MATCH($E88,Roadmap!$D:$D,0)-1+COUNTIF($E88:H88,"u")+COUNTIF($E88:H88,"t")+COUNTIF($E88:H88,"¶")+COUNTIF($E88:H88,"²")+COUNTIF($E88:H88,"µ")+COUNTIF($E88:H88,1),ColDescriptionCourte)),""),
  "")),"")</f>
        <v/>
      </c>
      <c r="J88" s="40" t="str">
        <f ca="1">IFERROR(IF(AND(
  INDEX(Roadmap!$D:$K,MATCH($E88,Roadmap!$D:$D,0)+COUNTIF($E88:I88,"u")+COUNTIF($E88:I88,"t")+COUNTIF($E88:I88,"¶")+COUNTIF($E88:I88,"²")+COUNTIF($E88:I88,"µ")+COUNTIF($E88:I88,1),ColLivraison)=J$6,
  VLOOKUP($E88,INDIRECT("tri!"&amp; CHAR(64+ C0Col) &amp;":"&amp; CHAR(65+C0Col)),2,FALSE)&gt;COUNTIF($E88:I88,"u")+COUNTIF($E88:I88,"t")+COUNTIF($E88:I88,"¶")+COUNTIF($E88:I88,"²")+COUNTIF($E88:I88,"µ")+COUNTIF($E88:I88,1)),
HYPERLINK("#Roadmap!C"&amp; MATCH($E88,Roadmap!$D:$D,0)+COUNTIF($E88:I88,"u")+COUNTIF($E88:I88,"t"),
     INDEX(Roadmap!$D:$K,MATCH($E88,Roadmap!$D:$D,0)+COUNTIF($E88:I88,"u")+COUNTIF($E88:I88,"t")+COUNTIF($E88:I88,"¶")+COUNTIF($E88:I88,"²")+COUNTIF($E88:I88,"µ")+COUNTIF($E88:I88,1),ColTypeEcheance)),
  IF(LEN(I88)=1,
  IF(LEN(INDEX(Roadmap!$D:$K,MATCH($E88,Roadmap!$D:$D,0)-1+COUNTIF($E88:I88,"u")+COUNTIF($E88:I88,"t")+COUNTIF($E88:I88,"¶")+COUNTIF($E88:I88,"²")+COUNTIF($E88:I88,"µ")+COUNTIF($E88:I88,1),ColDescriptionCourte))&gt;1,
HYPERLINK("#Roadmap!C"&amp; MATCH($E88,Roadmap!$D:$D,0)+COUNTIF($E88:I88,"u")+COUNTIF($E88:I88,"t")+COUNTIF($E88:I88,"¶")+COUNTIF($E88:I88,"²")+COUNTIF($E88:I88,"µ")+COUNTIF($E88:I88,1)-1,INDEX(Roadmap!$D:$K,MATCH($E88,Roadmap!$D:$D,0)-1+COUNTIF($E88:I88,"u")+COUNTIF($E88:I88,"t")+COUNTIF($E88:I88,"¶")+COUNTIF($E88:I88,"²")+COUNTIF($E88:I88,"µ")+COUNTIF($E88:I88,1),ColDescriptionCourte)),""),
  "")),"")</f>
        <v/>
      </c>
      <c r="K88" s="40" t="str">
        <f ca="1">IFERROR(IF(AND(
  INDEX(Roadmap!$D:$K,MATCH($E88,Roadmap!$D:$D,0)+COUNTIF($E88:J88,"u")+COUNTIF($E88:J88,"t")+COUNTIF($E88:J88,"¶")+COUNTIF($E88:J88,"²")+COUNTIF($E88:J88,"µ")+COUNTIF($E88:J88,1),ColLivraison)=K$6,
  VLOOKUP($E88,INDIRECT("tri!"&amp; CHAR(64+ C0Col) &amp;":"&amp; CHAR(65+C0Col)),2,FALSE)&gt;COUNTIF($E88:J88,"u")+COUNTIF($E88:J88,"t")+COUNTIF($E88:J88,"¶")+COUNTIF($E88:J88,"²")+COUNTIF($E88:J88,"µ")+COUNTIF($E88:J88,1)),
HYPERLINK("#Roadmap!C"&amp; MATCH($E88,Roadmap!$D:$D,0)+COUNTIF($E88:J88,"u")+COUNTIF($E88:J88,"t"),
     INDEX(Roadmap!$D:$K,MATCH($E88,Roadmap!$D:$D,0)+COUNTIF($E88:J88,"u")+COUNTIF($E88:J88,"t")+COUNTIF($E88:J88,"¶")+COUNTIF($E88:J88,"²")+COUNTIF($E88:J88,"µ")+COUNTIF($E88:J88,1),ColTypeEcheance)),
  IF(LEN(J88)=1,
  IF(LEN(INDEX(Roadmap!$D:$K,MATCH($E88,Roadmap!$D:$D,0)-1+COUNTIF($E88:J88,"u")+COUNTIF($E88:J88,"t")+COUNTIF($E88:J88,"¶")+COUNTIF($E88:J88,"²")+COUNTIF($E88:J88,"µ")+COUNTIF($E88:J88,1),ColDescriptionCourte))&gt;1,
HYPERLINK("#Roadmap!C"&amp; MATCH($E88,Roadmap!$D:$D,0)+COUNTIF($E88:J88,"u")+COUNTIF($E88:J88,"t")+COUNTIF($E88:J88,"¶")+COUNTIF($E88:J88,"²")+COUNTIF($E88:J88,"µ")+COUNTIF($E88:J88,1)-1,INDEX(Roadmap!$D:$K,MATCH($E88,Roadmap!$D:$D,0)-1+COUNTIF($E88:J88,"u")+COUNTIF($E88:J88,"t")+COUNTIF($E88:J88,"¶")+COUNTIF($E88:J88,"²")+COUNTIF($E88:J88,"µ")+COUNTIF($E88:J88,1),ColDescriptionCourte)),""),
  "")),"")</f>
        <v/>
      </c>
      <c r="L88" s="39" t="str">
        <f ca="1">IFERROR(IF(AND(
  INDEX(Roadmap!$D:$K,MATCH($E88,Roadmap!$D:$D,0)+COUNTIF($E88:K88,"u")+COUNTIF($E88:K88,"t")+COUNTIF($E88:K88,"¶")+COUNTIF($E88:K88,"²")+COUNTIF($E88:K88,"µ")+COUNTIF($E88:K88,1),ColLivraison)=L$6,
  VLOOKUP($E88,INDIRECT("tri!"&amp; CHAR(64+ C0Col) &amp;":"&amp; CHAR(65+C0Col)),2,FALSE)&gt;COUNTIF($E88:K88,"u")+COUNTIF($E88:K88,"t")+COUNTIF($E88:K88,"¶")+COUNTIF($E88:K88,"²")+COUNTIF($E88:K88,"µ")+COUNTIF($E88:K88,1)),
HYPERLINK("#Roadmap!C"&amp; MATCH($E88,Roadmap!$D:$D,0)+COUNTIF($E88:K88,"u")+COUNTIF($E88:K88,"t"),
     INDEX(Roadmap!$D:$K,MATCH($E88,Roadmap!$D:$D,0)+COUNTIF($E88:K88,"u")+COUNTIF($E88:K88,"t")+COUNTIF($E88:K88,"¶")+COUNTIF($E88:K88,"²")+COUNTIF($E88:K88,"µ")+COUNTIF($E88:K88,1),ColTypeEcheance)),
  IF(LEN(K88)=1,
  IF(LEN(INDEX(Roadmap!$D:$K,MATCH($E88,Roadmap!$D:$D,0)-1+COUNTIF($E88:K88,"u")+COUNTIF($E88:K88,"t")+COUNTIF($E88:K88,"¶")+COUNTIF($E88:K88,"²")+COUNTIF($E88:K88,"µ")+COUNTIF($E88:K88,1),ColDescriptionCourte))&gt;1,
HYPERLINK("#Roadmap!C"&amp; MATCH($E88,Roadmap!$D:$D,0)+COUNTIF($E88:K88,"u")+COUNTIF($E88:K88,"t")+COUNTIF($E88:K88,"¶")+COUNTIF($E88:K88,"²")+COUNTIF($E88:K88,"µ")+COUNTIF($E88:K88,1)-1,INDEX(Roadmap!$D:$K,MATCH($E88,Roadmap!$D:$D,0)-1+COUNTIF($E88:K88,"u")+COUNTIF($E88:K88,"t")+COUNTIF($E88:K88,"¶")+COUNTIF($E88:K88,"²")+COUNTIF($E88:K88,"µ")+COUNTIF($E88:K88,1),ColDescriptionCourte)),""),
  "")),"")</f>
        <v/>
      </c>
      <c r="M88" s="40" t="str">
        <f ca="1">IFERROR(IF(AND(
  INDEX(Roadmap!$D:$K,MATCH($E88,Roadmap!$D:$D,0)+COUNTIF($E88:L88,"u")+COUNTIF($E88:L88,"t")+COUNTIF($E88:L88,"¶")+COUNTIF($E88:L88,"²")+COUNTIF($E88:L88,"µ")+COUNTIF($E88:L88,1),ColLivraison)=M$6,
  VLOOKUP($E88,INDIRECT("tri!"&amp; CHAR(64+ C0Col) &amp;":"&amp; CHAR(65+C0Col)),2,FALSE)&gt;COUNTIF($E88:L88,"u")+COUNTIF($E88:L88,"t")+COUNTIF($E88:L88,"¶")+COUNTIF($E88:L88,"²")+COUNTIF($E88:L88,"µ")+COUNTIF($E88:L88,1)),
HYPERLINK("#Roadmap!C"&amp; MATCH($E88,Roadmap!$D:$D,0)+COUNTIF($E88:L88,"u")+COUNTIF($E88:L88,"t"),
     INDEX(Roadmap!$D:$K,MATCH($E88,Roadmap!$D:$D,0)+COUNTIF($E88:L88,"u")+COUNTIF($E88:L88,"t")+COUNTIF($E88:L88,"¶")+COUNTIF($E88:L88,"²")+COUNTIF($E88:L88,"µ")+COUNTIF($E88:L88,1),ColTypeEcheance)),
  IF(LEN(L88)=1,
  IF(LEN(INDEX(Roadmap!$D:$K,MATCH($E88,Roadmap!$D:$D,0)-1+COUNTIF($E88:L88,"u")+COUNTIF($E88:L88,"t")+COUNTIF($E88:L88,"¶")+COUNTIF($E88:L88,"²")+COUNTIF($E88:L88,"µ")+COUNTIF($E88:L88,1),ColDescriptionCourte))&gt;1,
HYPERLINK("#Roadmap!C"&amp; MATCH($E88,Roadmap!$D:$D,0)+COUNTIF($E88:L88,"u")+COUNTIF($E88:L88,"t")+COUNTIF($E88:L88,"¶")+COUNTIF($E88:L88,"²")+COUNTIF($E88:L88,"µ")+COUNTIF($E88:L88,1)-1,INDEX(Roadmap!$D:$K,MATCH($E88,Roadmap!$D:$D,0)-1+COUNTIF($E88:L88,"u")+COUNTIF($E88:L88,"t")+COUNTIF($E88:L88,"¶")+COUNTIF($E88:L88,"²")+COUNTIF($E88:L88,"µ")+COUNTIF($E88:L88,1),ColDescriptionCourte)),""),
  "")),"")</f>
        <v/>
      </c>
      <c r="N88" s="40" t="str">
        <f ca="1">IFERROR(IF(AND(
  INDEX(Roadmap!$D:$K,MATCH($E88,Roadmap!$D:$D,0)+COUNTIF($E88:M88,"u")+COUNTIF($E88:M88,"t")+COUNTIF($E88:M88,"¶")+COUNTIF($E88:M88,"²")+COUNTIF($E88:M88,"µ")+COUNTIF($E88:M88,1),ColLivraison)=N$6,
  VLOOKUP($E88,INDIRECT("tri!"&amp; CHAR(64+ C0Col) &amp;":"&amp; CHAR(65+C0Col)),2,FALSE)&gt;COUNTIF($E88:M88,"u")+COUNTIF($E88:M88,"t")+COUNTIF($E88:M88,"¶")+COUNTIF($E88:M88,"²")+COUNTIF($E88:M88,"µ")+COUNTIF($E88:M88,1)),
HYPERLINK("#Roadmap!C"&amp; MATCH($E88,Roadmap!$D:$D,0)+COUNTIF($E88:M88,"u")+COUNTIF($E88:M88,"t"),
     INDEX(Roadmap!$D:$K,MATCH($E88,Roadmap!$D:$D,0)+COUNTIF($E88:M88,"u")+COUNTIF($E88:M88,"t")+COUNTIF($E88:M88,"¶")+COUNTIF($E88:M88,"²")+COUNTIF($E88:M88,"µ")+COUNTIF($E88:M88,1),ColTypeEcheance)),
  IF(LEN(M88)=1,
  IF(LEN(INDEX(Roadmap!$D:$K,MATCH($E88,Roadmap!$D:$D,0)-1+COUNTIF($E88:M88,"u")+COUNTIF($E88:M88,"t")+COUNTIF($E88:M88,"¶")+COUNTIF($E88:M88,"²")+COUNTIF($E88:M88,"µ")+COUNTIF($E88:M88,1),ColDescriptionCourte))&gt;1,
HYPERLINK("#Roadmap!C"&amp; MATCH($E88,Roadmap!$D:$D,0)+COUNTIF($E88:M88,"u")+COUNTIF($E88:M88,"t")+COUNTIF($E88:M88,"¶")+COUNTIF($E88:M88,"²")+COUNTIF($E88:M88,"µ")+COUNTIF($E88:M88,1)-1,INDEX(Roadmap!$D:$K,MATCH($E88,Roadmap!$D:$D,0)-1+COUNTIF($E88:M88,"u")+COUNTIF($E88:M88,"t")+COUNTIF($E88:M88,"¶")+COUNTIF($E88:M88,"²")+COUNTIF($E88:M88,"µ")+COUNTIF($E88:M88,1),ColDescriptionCourte)),""),
  "")),"")</f>
        <v/>
      </c>
      <c r="O88" s="40" t="str">
        <f ca="1">IFERROR(IF(AND(
  INDEX(Roadmap!$D:$K,MATCH($E88,Roadmap!$D:$D,0)+COUNTIF($E88:N88,"u")+COUNTIF($E88:N88,"t")+COUNTIF($E88:N88,"¶")+COUNTIF($E88:N88,"²")+COUNTIF($E88:N88,"µ")+COUNTIF($E88:N88,1),ColLivraison)=O$6,
  VLOOKUP($E88,INDIRECT("tri!"&amp; CHAR(64+ C0Col) &amp;":"&amp; CHAR(65+C0Col)),2,FALSE)&gt;COUNTIF($E88:N88,"u")+COUNTIF($E88:N88,"t")+COUNTIF($E88:N88,"¶")+COUNTIF($E88:N88,"²")+COUNTIF($E88:N88,"µ")+COUNTIF($E88:N88,1)),
HYPERLINK("#Roadmap!C"&amp; MATCH($E88,Roadmap!$D:$D,0)+COUNTIF($E88:N88,"u")+COUNTIF($E88:N88,"t"),
     INDEX(Roadmap!$D:$K,MATCH($E88,Roadmap!$D:$D,0)+COUNTIF($E88:N88,"u")+COUNTIF($E88:N88,"t")+COUNTIF($E88:N88,"¶")+COUNTIF($E88:N88,"²")+COUNTIF($E88:N88,"µ")+COUNTIF($E88:N88,1),ColTypeEcheance)),
  IF(LEN(N88)=1,
  IF(LEN(INDEX(Roadmap!$D:$K,MATCH($E88,Roadmap!$D:$D,0)-1+COUNTIF($E88:N88,"u")+COUNTIF($E88:N88,"t")+COUNTIF($E88:N88,"¶")+COUNTIF($E88:N88,"²")+COUNTIF($E88:N88,"µ")+COUNTIF($E88:N88,1),ColDescriptionCourte))&gt;1,
HYPERLINK("#Roadmap!C"&amp; MATCH($E88,Roadmap!$D:$D,0)+COUNTIF($E88:N88,"u")+COUNTIF($E88:N88,"t")+COUNTIF($E88:N88,"¶")+COUNTIF($E88:N88,"²")+COUNTIF($E88:N88,"µ")+COUNTIF($E88:N88,1)-1,INDEX(Roadmap!$D:$K,MATCH($E88,Roadmap!$D:$D,0)-1+COUNTIF($E88:N88,"u")+COUNTIF($E88:N88,"t")+COUNTIF($E88:N88,"¶")+COUNTIF($E88:N88,"²")+COUNTIF($E88:N88,"µ")+COUNTIF($E88:N88,1),ColDescriptionCourte)),""),
  "")),"")</f>
        <v/>
      </c>
      <c r="P88" s="40" t="str">
        <f ca="1">IFERROR(IF(AND(
  INDEX(Roadmap!$D:$K,MATCH($E88,Roadmap!$D:$D,0)+COUNTIF($E88:O88,"u")+COUNTIF($E88:O88,"t")+COUNTIF($E88:O88,"¶")+COUNTIF($E88:O88,"²")+COUNTIF($E88:O88,"µ")+COUNTIF($E88:O88,1),ColLivraison)=P$6,
  VLOOKUP($E88,INDIRECT("tri!"&amp; CHAR(64+ C0Col) &amp;":"&amp; CHAR(65+C0Col)),2,FALSE)&gt;COUNTIF($E88:O88,"u")+COUNTIF($E88:O88,"t")+COUNTIF($E88:O88,"¶")+COUNTIF($E88:O88,"²")+COUNTIF($E88:O88,"µ")+COUNTIF($E88:O88,1)),
HYPERLINK("#Roadmap!C"&amp; MATCH($E88,Roadmap!$D:$D,0)+COUNTIF($E88:O88,"u")+COUNTIF($E88:O88,"t"),
     INDEX(Roadmap!$D:$K,MATCH($E88,Roadmap!$D:$D,0)+COUNTIF($E88:O88,"u")+COUNTIF($E88:O88,"t")+COUNTIF($E88:O88,"¶")+COUNTIF($E88:O88,"²")+COUNTIF($E88:O88,"µ")+COUNTIF($E88:O88,1),ColTypeEcheance)),
  IF(LEN(O88)=1,
  IF(LEN(INDEX(Roadmap!$D:$K,MATCH($E88,Roadmap!$D:$D,0)-1+COUNTIF($E88:O88,"u")+COUNTIF($E88:O88,"t")+COUNTIF($E88:O88,"¶")+COUNTIF($E88:O88,"²")+COUNTIF($E88:O88,"µ")+COUNTIF($E88:O88,1),ColDescriptionCourte))&gt;1,
HYPERLINK("#Roadmap!C"&amp; MATCH($E88,Roadmap!$D:$D,0)+COUNTIF($E88:O88,"u")+COUNTIF($E88:O88,"t")+COUNTIF($E88:O88,"¶")+COUNTIF($E88:O88,"²")+COUNTIF($E88:O88,"µ")+COUNTIF($E88:O88,1)-1,INDEX(Roadmap!$D:$K,MATCH($E88,Roadmap!$D:$D,0)-1+COUNTIF($E88:O88,"u")+COUNTIF($E88:O88,"t")+COUNTIF($E88:O88,"¶")+COUNTIF($E88:O88,"²")+COUNTIF($E88:O88,"µ")+COUNTIF($E88:O88,1),ColDescriptionCourte)),""),
  "")),"")</f>
        <v/>
      </c>
      <c r="Q88" s="40" t="str">
        <f ca="1">IFERROR(IF(AND(
  INDEX(Roadmap!$D:$K,MATCH($E88,Roadmap!$D:$D,0)+COUNTIF($E88:P88,"u")+COUNTIF($E88:P88,"t")+COUNTIF($E88:P88,"¶")+COUNTIF($E88:P88,"²")+COUNTIF($E88:P88,"µ")+COUNTIF($E88:P88,1),ColLivraison)=Q$6,
  VLOOKUP($E88,INDIRECT("tri!"&amp; CHAR(64+ C0Col) &amp;":"&amp; CHAR(65+C0Col)),2,FALSE)&gt;COUNTIF($E88:P88,"u")+COUNTIF($E88:P88,"t")+COUNTIF($E88:P88,"¶")+COUNTIF($E88:P88,"²")+COUNTIF($E88:P88,"µ")+COUNTIF($E88:P88,1)),
HYPERLINK("#Roadmap!C"&amp; MATCH($E88,Roadmap!$D:$D,0)+COUNTIF($E88:P88,"u")+COUNTIF($E88:P88,"t"),
     INDEX(Roadmap!$D:$K,MATCH($E88,Roadmap!$D:$D,0)+COUNTIF($E88:P88,"u")+COUNTIF($E88:P88,"t")+COUNTIF($E88:P88,"¶")+COUNTIF($E88:P88,"²")+COUNTIF($E88:P88,"µ")+COUNTIF($E88:P88,1),ColTypeEcheance)),
  IF(LEN(P88)=1,
  IF(LEN(INDEX(Roadmap!$D:$K,MATCH($E88,Roadmap!$D:$D,0)-1+COUNTIF($E88:P88,"u")+COUNTIF($E88:P88,"t")+COUNTIF($E88:P88,"¶")+COUNTIF($E88:P88,"²")+COUNTIF($E88:P88,"µ")+COUNTIF($E88:P88,1),ColDescriptionCourte))&gt;1,
HYPERLINK("#Roadmap!C"&amp; MATCH($E88,Roadmap!$D:$D,0)+COUNTIF($E88:P88,"u")+COUNTIF($E88:P88,"t")+COUNTIF($E88:P88,"¶")+COUNTIF($E88:P88,"²")+COUNTIF($E88:P88,"µ")+COUNTIF($E88:P88,1)-1,INDEX(Roadmap!$D:$K,MATCH($E88,Roadmap!$D:$D,0)-1+COUNTIF($E88:P88,"u")+COUNTIF($E88:P88,"t")+COUNTIF($E88:P88,"¶")+COUNTIF($E88:P88,"²")+COUNTIF($E88:P88,"µ")+COUNTIF($E88:P88,1),ColDescriptionCourte)),""),
  "")),"")</f>
        <v/>
      </c>
      <c r="R88" s="40" t="str">
        <f ca="1">IFERROR(IF(AND(
  INDEX(Roadmap!$D:$K,MATCH($E88,Roadmap!$D:$D,0)+COUNTIF($E88:Q88,"u")+COUNTIF($E88:Q88,"t")+COUNTIF($E88:Q88,"¶")+COUNTIF($E88:Q88,"²")+COUNTIF($E88:Q88,"µ")+COUNTIF($E88:Q88,1),ColLivraison)=R$6,
  VLOOKUP($E88,INDIRECT("tri!"&amp; CHAR(64+ C0Col) &amp;":"&amp; CHAR(65+C0Col)),2,FALSE)&gt;COUNTIF($E88:Q88,"u")+COUNTIF($E88:Q88,"t")+COUNTIF($E88:Q88,"¶")+COUNTIF($E88:Q88,"²")+COUNTIF($E88:Q88,"µ")+COUNTIF($E88:Q88,1)),
HYPERLINK("#Roadmap!C"&amp; MATCH($E88,Roadmap!$D:$D,0)+COUNTIF($E88:Q88,"u")+COUNTIF($E88:Q88,"t"),
     INDEX(Roadmap!$D:$K,MATCH($E88,Roadmap!$D:$D,0)+COUNTIF($E88:Q88,"u")+COUNTIF($E88:Q88,"t")+COUNTIF($E88:Q88,"¶")+COUNTIF($E88:Q88,"²")+COUNTIF($E88:Q88,"µ")+COUNTIF($E88:Q88,1),ColTypeEcheance)),
  IF(LEN(Q88)=1,
  IF(LEN(INDEX(Roadmap!$D:$K,MATCH($E88,Roadmap!$D:$D,0)-1+COUNTIF($E88:Q88,"u")+COUNTIF($E88:Q88,"t")+COUNTIF($E88:Q88,"¶")+COUNTIF($E88:Q88,"²")+COUNTIF($E88:Q88,"µ")+COUNTIF($E88:Q88,1),ColDescriptionCourte))&gt;1,
HYPERLINK("#Roadmap!C"&amp; MATCH($E88,Roadmap!$D:$D,0)+COUNTIF($E88:Q88,"u")+COUNTIF($E88:Q88,"t")+COUNTIF($E88:Q88,"¶")+COUNTIF($E88:Q88,"²")+COUNTIF($E88:Q88,"µ")+COUNTIF($E88:Q88,1)-1,INDEX(Roadmap!$D:$K,MATCH($E88,Roadmap!$D:$D,0)-1+COUNTIF($E88:Q88,"u")+COUNTIF($E88:Q88,"t")+COUNTIF($E88:Q88,"¶")+COUNTIF($E88:Q88,"²")+COUNTIF($E88:Q88,"µ")+COUNTIF($E88:Q88,1),ColDescriptionCourte)),""),
  "")),"")</f>
        <v/>
      </c>
      <c r="S88" s="40" t="str">
        <f ca="1">IFERROR(IF(AND(
  INDEX(Roadmap!$D:$K,MATCH($E88,Roadmap!$D:$D,0)+COUNTIF($E88:R88,"u")+COUNTIF($E88:R88,"t")+COUNTIF($E88:R88,"¶")+COUNTIF($E88:R88,"²")+COUNTIF($E88:R88,"µ")+COUNTIF($E88:R88,1),ColLivraison)=S$6,
  VLOOKUP($E88,INDIRECT("tri!"&amp; CHAR(64+ C0Col) &amp;":"&amp; CHAR(65+C0Col)),2,FALSE)&gt;COUNTIF($E88:R88,"u")+COUNTIF($E88:R88,"t")+COUNTIF($E88:R88,"¶")+COUNTIF($E88:R88,"²")+COUNTIF($E88:R88,"µ")+COUNTIF($E88:R88,1)),
HYPERLINK("#Roadmap!C"&amp; MATCH($E88,Roadmap!$D:$D,0)+COUNTIF($E88:R88,"u")+COUNTIF($E88:R88,"t"),
     INDEX(Roadmap!$D:$K,MATCH($E88,Roadmap!$D:$D,0)+COUNTIF($E88:R88,"u")+COUNTIF($E88:R88,"t")+COUNTIF($E88:R88,"¶")+COUNTIF($E88:R88,"²")+COUNTIF($E88:R88,"µ")+COUNTIF($E88:R88,1),ColTypeEcheance)),
  IF(LEN(R88)=1,
  IF(LEN(INDEX(Roadmap!$D:$K,MATCH($E88,Roadmap!$D:$D,0)-1+COUNTIF($E88:R88,"u")+COUNTIF($E88:R88,"t")+COUNTIF($E88:R88,"¶")+COUNTIF($E88:R88,"²")+COUNTIF($E88:R88,"µ")+COUNTIF($E88:R88,1),ColDescriptionCourte))&gt;1,
HYPERLINK("#Roadmap!C"&amp; MATCH($E88,Roadmap!$D:$D,0)+COUNTIF($E88:R88,"u")+COUNTIF($E88:R88,"t")+COUNTIF($E88:R88,"¶")+COUNTIF($E88:R88,"²")+COUNTIF($E88:R88,"µ")+COUNTIF($E88:R88,1)-1,INDEX(Roadmap!$D:$K,MATCH($E88,Roadmap!$D:$D,0)-1+COUNTIF($E88:R88,"u")+COUNTIF($E88:R88,"t")+COUNTIF($E88:R88,"¶")+COUNTIF($E88:R88,"²")+COUNTIF($E88:R88,"µ")+COUNTIF($E88:R88,1),ColDescriptionCourte)),""),
  "")),"")</f>
        <v/>
      </c>
      <c r="T88" s="40" t="str">
        <f ca="1">IFERROR(IF(AND(
  INDEX(Roadmap!$D:$K,MATCH($E88,Roadmap!$D:$D,0)+COUNTIF($E88:S88,"u")+COUNTIF($E88:S88,"t")+COUNTIF($E88:S88,"¶")+COUNTIF($E88:S88,"²")+COUNTIF($E88:S88,"µ")+COUNTIF($E88:S88,1),ColLivraison)=T$6,
  VLOOKUP($E88,INDIRECT("tri!"&amp; CHAR(64+ C0Col) &amp;":"&amp; CHAR(65+C0Col)),2,FALSE)&gt;COUNTIF($E88:S88,"u")+COUNTIF($E88:S88,"t")+COUNTIF($E88:S88,"¶")+COUNTIF($E88:S88,"²")+COUNTIF($E88:S88,"µ")+COUNTIF($E88:S88,1)),
HYPERLINK("#Roadmap!C"&amp; MATCH($E88,Roadmap!$D:$D,0)+COUNTIF($E88:S88,"u")+COUNTIF($E88:S88,"t"),
     INDEX(Roadmap!$D:$K,MATCH($E88,Roadmap!$D:$D,0)+COUNTIF($E88:S88,"u")+COUNTIF($E88:S88,"t")+COUNTIF($E88:S88,"¶")+COUNTIF($E88:S88,"²")+COUNTIF($E88:S88,"µ")+COUNTIF($E88:S88,1),ColTypeEcheance)),
  IF(LEN(S88)=1,
  IF(LEN(INDEX(Roadmap!$D:$K,MATCH($E88,Roadmap!$D:$D,0)-1+COUNTIF($E88:S88,"u")+COUNTIF($E88:S88,"t")+COUNTIF($E88:S88,"¶")+COUNTIF($E88:S88,"²")+COUNTIF($E88:S88,"µ")+COUNTIF($E88:S88,1),ColDescriptionCourte))&gt;1,
HYPERLINK("#Roadmap!C"&amp; MATCH($E88,Roadmap!$D:$D,0)+COUNTIF($E88:S88,"u")+COUNTIF($E88:S88,"t")+COUNTIF($E88:S88,"¶")+COUNTIF($E88:S88,"²")+COUNTIF($E88:S88,"µ")+COUNTIF($E88:S88,1)-1,INDEX(Roadmap!$D:$K,MATCH($E88,Roadmap!$D:$D,0)-1+COUNTIF($E88:S88,"u")+COUNTIF($E88:S88,"t")+COUNTIF($E88:S88,"¶")+COUNTIF($E88:S88,"²")+COUNTIF($E88:S88,"µ")+COUNTIF($E88:S88,1),ColDescriptionCourte)),""),
  "")),"")</f>
        <v/>
      </c>
      <c r="U88" s="40" t="str">
        <f ca="1">IFERROR(IF(AND(
  INDEX(Roadmap!$D:$K,MATCH($E88,Roadmap!$D:$D,0)+COUNTIF($E88:T88,"u")+COUNTIF($E88:T88,"t")+COUNTIF($E88:T88,"¶")+COUNTIF($E88:T88,"²")+COUNTIF($E88:T88,"µ")+COUNTIF($E88:T88,1),ColLivraison)=U$6,
  VLOOKUP($E88,INDIRECT("tri!"&amp; CHAR(64+ C0Col) &amp;":"&amp; CHAR(65+C0Col)),2,FALSE)&gt;COUNTIF($E88:T88,"u")+COUNTIF($E88:T88,"t")+COUNTIF($E88:T88,"¶")+COUNTIF($E88:T88,"²")+COUNTIF($E88:T88,"µ")+COUNTIF($E88:T88,1)),
HYPERLINK("#Roadmap!C"&amp; MATCH($E88,Roadmap!$D:$D,0)+COUNTIF($E88:T88,"u")+COUNTIF($E88:T88,"t"),
     INDEX(Roadmap!$D:$K,MATCH($E88,Roadmap!$D:$D,0)+COUNTIF($E88:T88,"u")+COUNTIF($E88:T88,"t")+COUNTIF($E88:T88,"¶")+COUNTIF($E88:T88,"²")+COUNTIF($E88:T88,"µ")+COUNTIF($E88:T88,1),ColTypeEcheance)),
  IF(LEN(T88)=1,
  IF(LEN(INDEX(Roadmap!$D:$K,MATCH($E88,Roadmap!$D:$D,0)-1+COUNTIF($E88:T88,"u")+COUNTIF($E88:T88,"t")+COUNTIF($E88:T88,"¶")+COUNTIF($E88:T88,"²")+COUNTIF($E88:T88,"µ")+COUNTIF($E88:T88,1),ColDescriptionCourte))&gt;1,
HYPERLINK("#Roadmap!C"&amp; MATCH($E88,Roadmap!$D:$D,0)+COUNTIF($E88:T88,"u")+COUNTIF($E88:T88,"t")+COUNTIF($E88:T88,"¶")+COUNTIF($E88:T88,"²")+COUNTIF($E88:T88,"µ")+COUNTIF($E88:T88,1)-1,INDEX(Roadmap!$D:$K,MATCH($E88,Roadmap!$D:$D,0)-1+COUNTIF($E88:T88,"u")+COUNTIF($E88:T88,"t")+COUNTIF($E88:T88,"¶")+COUNTIF($E88:T88,"²")+COUNTIF($E88:T88,"µ")+COUNTIF($E88:T88,1),ColDescriptionCourte)),""),
  "")),"")</f>
        <v/>
      </c>
      <c r="V88" s="40" t="str">
        <f ca="1">IFERROR(IF(AND(
  INDEX(Roadmap!$D:$K,MATCH($E88,Roadmap!$D:$D,0)+COUNTIF($E88:U88,"u")+COUNTIF($E88:U88,"t")+COUNTIF($E88:U88,"¶")+COUNTIF($E88:U88,"²")+COUNTIF($E88:U88,"µ")+COUNTIF($E88:U88,1),ColLivraison)=V$6,
  VLOOKUP($E88,INDIRECT("tri!"&amp; CHAR(64+ C0Col) &amp;":"&amp; CHAR(65+C0Col)),2,FALSE)&gt;COUNTIF($E88:U88,"u")+COUNTIF($E88:U88,"t")+COUNTIF($E88:U88,"¶")+COUNTIF($E88:U88,"²")+COUNTIF($E88:U88,"µ")+COUNTIF($E88:U88,1)),
HYPERLINK("#Roadmap!C"&amp; MATCH($E88,Roadmap!$D:$D,0)+COUNTIF($E88:U88,"u")+COUNTIF($E88:U88,"t"),
     INDEX(Roadmap!$D:$K,MATCH($E88,Roadmap!$D:$D,0)+COUNTIF($E88:U88,"u")+COUNTIF($E88:U88,"t")+COUNTIF($E88:U88,"¶")+COUNTIF($E88:U88,"²")+COUNTIF($E88:U88,"µ")+COUNTIF($E88:U88,1),ColTypeEcheance)),
  IF(LEN(U88)=1,
  IF(LEN(INDEX(Roadmap!$D:$K,MATCH($E88,Roadmap!$D:$D,0)-1+COUNTIF($E88:U88,"u")+COUNTIF($E88:U88,"t")+COUNTIF($E88:U88,"¶")+COUNTIF($E88:U88,"²")+COUNTIF($E88:U88,"µ")+COUNTIF($E88:U88,1),ColDescriptionCourte))&gt;1,
HYPERLINK("#Roadmap!C"&amp; MATCH($E88,Roadmap!$D:$D,0)+COUNTIF($E88:U88,"u")+COUNTIF($E88:U88,"t")+COUNTIF($E88:U88,"¶")+COUNTIF($E88:U88,"²")+COUNTIF($E88:U88,"µ")+COUNTIF($E88:U88,1)-1,INDEX(Roadmap!$D:$K,MATCH($E88,Roadmap!$D:$D,0)-1+COUNTIF($E88:U88,"u")+COUNTIF($E88:U88,"t")+COUNTIF($E88:U88,"¶")+COUNTIF($E88:U88,"²")+COUNTIF($E88:U88,"µ")+COUNTIF($E88:U88,1),ColDescriptionCourte)),""),
  "")),"")</f>
        <v/>
      </c>
      <c r="W88" s="40" t="str">
        <f ca="1">IFERROR(IF(AND(
  INDEX(Roadmap!$D:$K,MATCH($E88,Roadmap!$D:$D,0)+COUNTIF($E88:V88,"u")+COUNTIF($E88:V88,"t")+COUNTIF($E88:V88,"¶")+COUNTIF($E88:V88,"²")+COUNTIF($E88:V88,"µ")+COUNTIF($E88:V88,1),ColLivraison)=W$6,
  VLOOKUP($E88,INDIRECT("tri!"&amp; CHAR(64+ C0Col) &amp;":"&amp; CHAR(65+C0Col)),2,FALSE)&gt;COUNTIF($E88:V88,"u")+COUNTIF($E88:V88,"t")+COUNTIF($E88:V88,"¶")+COUNTIF($E88:V88,"²")+COUNTIF($E88:V88,"µ")+COUNTIF($E88:V88,1)),
HYPERLINK("#Roadmap!C"&amp; MATCH($E88,Roadmap!$D:$D,0)+COUNTIF($E88:V88,"u")+COUNTIF($E88:V88,"t"),
     INDEX(Roadmap!$D:$K,MATCH($E88,Roadmap!$D:$D,0)+COUNTIF($E88:V88,"u")+COUNTIF($E88:V88,"t")+COUNTIF($E88:V88,"¶")+COUNTIF($E88:V88,"²")+COUNTIF($E88:V88,"µ")+COUNTIF($E88:V88,1),ColTypeEcheance)),
  IF(LEN(V88)=1,
  IF(LEN(INDEX(Roadmap!$D:$K,MATCH($E88,Roadmap!$D:$D,0)-1+COUNTIF($E88:V88,"u")+COUNTIF($E88:V88,"t")+COUNTIF($E88:V88,"¶")+COUNTIF($E88:V88,"²")+COUNTIF($E88:V88,"µ")+COUNTIF($E88:V88,1),ColDescriptionCourte))&gt;1,
HYPERLINK("#Roadmap!C"&amp; MATCH($E88,Roadmap!$D:$D,0)+COUNTIF($E88:V88,"u")+COUNTIF($E88:V88,"t")+COUNTIF($E88:V88,"¶")+COUNTIF($E88:V88,"²")+COUNTIF($E88:V88,"µ")+COUNTIF($E88:V88,1)-1,INDEX(Roadmap!$D:$K,MATCH($E88,Roadmap!$D:$D,0)-1+COUNTIF($E88:V88,"u")+COUNTIF($E88:V88,"t")+COUNTIF($E88:V88,"¶")+COUNTIF($E88:V88,"²")+COUNTIF($E88:V88,"µ")+COUNTIF($E88:V88,1),ColDescriptionCourte)),""),
  "")),"")</f>
        <v/>
      </c>
      <c r="X88" s="40" t="str">
        <f ca="1">IFERROR(IF(AND(
  INDEX(Roadmap!$D:$K,MATCH($E88,Roadmap!$D:$D,0)+COUNTIF($E88:W88,"u")+COUNTIF($E88:W88,"t")+COUNTIF($E88:W88,"¶")+COUNTIF($E88:W88,"²")+COUNTIF($E88:W88,"µ")+COUNTIF($E88:W88,1),ColLivraison)=X$6,
  VLOOKUP($E88,INDIRECT("tri!"&amp; CHAR(64+ C0Col) &amp;":"&amp; CHAR(65+C0Col)),2,FALSE)&gt;COUNTIF($E88:W88,"u")+COUNTIF($E88:W88,"t")+COUNTIF($E88:W88,"¶")+COUNTIF($E88:W88,"²")+COUNTIF($E88:W88,"µ")+COUNTIF($E88:W88,1)),
HYPERLINK("#Roadmap!C"&amp; MATCH($E88,Roadmap!$D:$D,0)+COUNTIF($E88:W88,"u")+COUNTIF($E88:W88,"t"),
     INDEX(Roadmap!$D:$K,MATCH($E88,Roadmap!$D:$D,0)+COUNTIF($E88:W88,"u")+COUNTIF($E88:W88,"t")+COUNTIF($E88:W88,"¶")+COUNTIF($E88:W88,"²")+COUNTIF($E88:W88,"µ")+COUNTIF($E88:W88,1),ColTypeEcheance)),
  IF(LEN(W88)=1,
  IF(LEN(INDEX(Roadmap!$D:$K,MATCH($E88,Roadmap!$D:$D,0)-1+COUNTIF($E88:W88,"u")+COUNTIF($E88:W88,"t")+COUNTIF($E88:W88,"¶")+COUNTIF($E88:W88,"²")+COUNTIF($E88:W88,"µ")+COUNTIF($E88:W88,1),ColDescriptionCourte))&gt;1,
HYPERLINK("#Roadmap!C"&amp; MATCH($E88,Roadmap!$D:$D,0)+COUNTIF($E88:W88,"u")+COUNTIF($E88:W88,"t")+COUNTIF($E88:W88,"¶")+COUNTIF($E88:W88,"²")+COUNTIF($E88:W88,"µ")+COUNTIF($E88:W88,1)-1,INDEX(Roadmap!$D:$K,MATCH($E88,Roadmap!$D:$D,0)-1+COUNTIF($E88:W88,"u")+COUNTIF($E88:W88,"t")+COUNTIF($E88:W88,"¶")+COUNTIF($E88:W88,"²")+COUNTIF($E88:W88,"µ")+COUNTIF($E88:W88,1),ColDescriptionCourte)),""),
  "")),"")</f>
        <v/>
      </c>
      <c r="Y88" s="40" t="str">
        <f ca="1">IFERROR(IF(AND(
  INDEX(Roadmap!$D:$K,MATCH($E88,Roadmap!$D:$D,0)+COUNTIF($E88:X88,"u")+COUNTIF($E88:X88,"t")+COUNTIF($E88:X88,"¶")+COUNTIF($E88:X88,"²")+COUNTIF($E88:X88,"µ")+COUNTIF($E88:X88,1),ColLivraison)=Y$6,
  VLOOKUP($E88,INDIRECT("tri!"&amp; CHAR(64+ C0Col) &amp;":"&amp; CHAR(65+C0Col)),2,FALSE)&gt;COUNTIF($E88:X88,"u")+COUNTIF($E88:X88,"t")+COUNTIF($E88:X88,"¶")+COUNTIF($E88:X88,"²")+COUNTIF($E88:X88,"µ")+COUNTIF($E88:X88,1)),
HYPERLINK("#Roadmap!C"&amp; MATCH($E88,Roadmap!$D:$D,0)+COUNTIF($E88:X88,"u")+COUNTIF($E88:X88,"t"),
     INDEX(Roadmap!$D:$K,MATCH($E88,Roadmap!$D:$D,0)+COUNTIF($E88:X88,"u")+COUNTIF($E88:X88,"t")+COUNTIF($E88:X88,"¶")+COUNTIF($E88:X88,"²")+COUNTIF($E88:X88,"µ")+COUNTIF($E88:X88,1),ColTypeEcheance)),
  IF(LEN(X88)=1,
  IF(LEN(INDEX(Roadmap!$D:$K,MATCH($E88,Roadmap!$D:$D,0)-1+COUNTIF($E88:X88,"u")+COUNTIF($E88:X88,"t")+COUNTIF($E88:X88,"¶")+COUNTIF($E88:X88,"²")+COUNTIF($E88:X88,"µ")+COUNTIF($E88:X88,1),ColDescriptionCourte))&gt;1,
HYPERLINK("#Roadmap!C"&amp; MATCH($E88,Roadmap!$D:$D,0)+COUNTIF($E88:X88,"u")+COUNTIF($E88:X88,"t")+COUNTIF($E88:X88,"¶")+COUNTIF($E88:X88,"²")+COUNTIF($E88:X88,"µ")+COUNTIF($E88:X88,1)-1,INDEX(Roadmap!$D:$K,MATCH($E88,Roadmap!$D:$D,0)-1+COUNTIF($E88:X88,"u")+COUNTIF($E88:X88,"t")+COUNTIF($E88:X88,"¶")+COUNTIF($E88:X88,"²")+COUNTIF($E88:X88,"µ")+COUNTIF($E88:X88,1),ColDescriptionCourte)),""),
  "")),"")</f>
        <v/>
      </c>
      <c r="Z88" s="40" t="str">
        <f ca="1">IFERROR(IF(AND(
  INDEX(Roadmap!$D:$K,MATCH($E88,Roadmap!$D:$D,0)+COUNTIF($E88:Y88,"u")+COUNTIF($E88:Y88,"t")+COUNTIF($E88:Y88,"¶")+COUNTIF($E88:Y88,"²")+COUNTIF($E88:Y88,"µ")+COUNTIF($E88:Y88,1),ColLivraison)=Z$6,
  VLOOKUP($E88,INDIRECT("tri!"&amp; CHAR(64+ C0Col) &amp;":"&amp; CHAR(65+C0Col)),2,FALSE)&gt;COUNTIF($E88:Y88,"u")+COUNTIF($E88:Y88,"t")+COUNTIF($E88:Y88,"¶")+COUNTIF($E88:Y88,"²")+COUNTIF($E88:Y88,"µ")+COUNTIF($E88:Y88,1)),
HYPERLINK("#Roadmap!C"&amp; MATCH($E88,Roadmap!$D:$D,0)+COUNTIF($E88:Y88,"u")+COUNTIF($E88:Y88,"t"),
     INDEX(Roadmap!$D:$K,MATCH($E88,Roadmap!$D:$D,0)+COUNTIF($E88:Y88,"u")+COUNTIF($E88:Y88,"t")+COUNTIF($E88:Y88,"¶")+COUNTIF($E88:Y88,"²")+COUNTIF($E88:Y88,"µ")+COUNTIF($E88:Y88,1),ColTypeEcheance)),
  IF(LEN(Y88)=1,
  IF(LEN(INDEX(Roadmap!$D:$K,MATCH($E88,Roadmap!$D:$D,0)-1+COUNTIF($E88:Y88,"u")+COUNTIF($E88:Y88,"t")+COUNTIF($E88:Y88,"¶")+COUNTIF($E88:Y88,"²")+COUNTIF($E88:Y88,"µ")+COUNTIF($E88:Y88,1),ColDescriptionCourte))&gt;1,
HYPERLINK("#Roadmap!C"&amp; MATCH($E88,Roadmap!$D:$D,0)+COUNTIF($E88:Y88,"u")+COUNTIF($E88:Y88,"t")+COUNTIF($E88:Y88,"¶")+COUNTIF($E88:Y88,"²")+COUNTIF($E88:Y88,"µ")+COUNTIF($E88:Y88,1)-1,INDEX(Roadmap!$D:$K,MATCH($E88,Roadmap!$D:$D,0)-1+COUNTIF($E88:Y88,"u")+COUNTIF($E88:Y88,"t")+COUNTIF($E88:Y88,"¶")+COUNTIF($E88:Y88,"²")+COUNTIF($E88:Y88,"µ")+COUNTIF($E88:Y88,1),ColDescriptionCourte)),""),
  "")),"")</f>
        <v/>
      </c>
      <c r="AA88" s="40" t="str">
        <f ca="1">IFERROR(IF(AND(
  INDEX(Roadmap!$D:$K,MATCH($E88,Roadmap!$D:$D,0)+COUNTIF($E88:Z88,"u")+COUNTIF($E88:Z88,"t")+COUNTIF($E88:Z88,"¶")+COUNTIF($E88:Z88,"²")+COUNTIF($E88:Z88,"µ")+COUNTIF($E88:Z88,1),ColLivraison)=AA$6,
  VLOOKUP($E88,INDIRECT("tri!"&amp; CHAR(64+ C0Col) &amp;":"&amp; CHAR(65+C0Col)),2,FALSE)&gt;COUNTIF($E88:Z88,"u")+COUNTIF($E88:Z88,"t")+COUNTIF($E88:Z88,"¶")+COUNTIF($E88:Z88,"²")+COUNTIF($E88:Z88,"µ")+COUNTIF($E88:Z88,1)),
HYPERLINK("#Roadmap!C"&amp; MATCH($E88,Roadmap!$D:$D,0)+COUNTIF($E88:Z88,"u")+COUNTIF($E88:Z88,"t"),
     INDEX(Roadmap!$D:$K,MATCH($E88,Roadmap!$D:$D,0)+COUNTIF($E88:Z88,"u")+COUNTIF($E88:Z88,"t")+COUNTIF($E88:Z88,"¶")+COUNTIF($E88:Z88,"²")+COUNTIF($E88:Z88,"µ")+COUNTIF($E88:Z88,1),ColTypeEcheance)),
  IF(LEN(Z88)=1,
  IF(LEN(INDEX(Roadmap!$D:$K,MATCH($E88,Roadmap!$D:$D,0)-1+COUNTIF($E88:Z88,"u")+COUNTIF($E88:Z88,"t")+COUNTIF($E88:Z88,"¶")+COUNTIF($E88:Z88,"²")+COUNTIF($E88:Z88,"µ")+COUNTIF($E88:Z88,1),ColDescriptionCourte))&gt;1,
HYPERLINK("#Roadmap!C"&amp; MATCH($E88,Roadmap!$D:$D,0)+COUNTIF($E88:Z88,"u")+COUNTIF($E88:Z88,"t")+COUNTIF($E88:Z88,"¶")+COUNTIF($E88:Z88,"²")+COUNTIF($E88:Z88,"µ")+COUNTIF($E88:Z88,1)-1,INDEX(Roadmap!$D:$K,MATCH($E88,Roadmap!$D:$D,0)-1+COUNTIF($E88:Z88,"u")+COUNTIF($E88:Z88,"t")+COUNTIF($E88:Z88,"¶")+COUNTIF($E88:Z88,"²")+COUNTIF($E88:Z88,"µ")+COUNTIF($E88:Z88,1),ColDescriptionCourte)),""),
  "")),"")</f>
        <v/>
      </c>
      <c r="AB88" s="40" t="str">
        <f ca="1">IFERROR(IF(AND(
  INDEX(Roadmap!$D:$K,MATCH($E88,Roadmap!$D:$D,0)+COUNTIF($E88:AA88,"u")+COUNTIF($E88:AA88,"t")+COUNTIF($E88:AA88,"¶")+COUNTIF($E88:AA88,"²")+COUNTIF($E88:AA88,"µ")+COUNTIF($E88:AA88,1),ColLivraison)=AB$6,
  VLOOKUP($E88,INDIRECT("tri!"&amp; CHAR(64+ C0Col) &amp;":"&amp; CHAR(65+C0Col)),2,FALSE)&gt;COUNTIF($E88:AA88,"u")+COUNTIF($E88:AA88,"t")+COUNTIF($E88:AA88,"¶")+COUNTIF($E88:AA88,"²")+COUNTIF($E88:AA88,"µ")+COUNTIF($E88:AA88,1)),
HYPERLINK("#Roadmap!C"&amp; MATCH($E88,Roadmap!$D:$D,0)+COUNTIF($E88:AA88,"u")+COUNTIF($E88:AA88,"t"),
     INDEX(Roadmap!$D:$K,MATCH($E88,Roadmap!$D:$D,0)+COUNTIF($E88:AA88,"u")+COUNTIF($E88:AA88,"t")+COUNTIF($E88:AA88,"¶")+COUNTIF($E88:AA88,"²")+COUNTIF($E88:AA88,"µ")+COUNTIF($E88:AA88,1),ColTypeEcheance)),
  IF(LEN(AA88)=1,
  IF(LEN(INDEX(Roadmap!$D:$K,MATCH($E88,Roadmap!$D:$D,0)-1+COUNTIF($E88:AA88,"u")+COUNTIF($E88:AA88,"t")+COUNTIF($E88:AA88,"¶")+COUNTIF($E88:AA88,"²")+COUNTIF($E88:AA88,"µ")+COUNTIF($E88:AA88,1),ColDescriptionCourte))&gt;1,
HYPERLINK("#Roadmap!C"&amp; MATCH($E88,Roadmap!$D:$D,0)+COUNTIF($E88:AA88,"u")+COUNTIF($E88:AA88,"t")+COUNTIF($E88:AA88,"¶")+COUNTIF($E88:AA88,"²")+COUNTIF($E88:AA88,"µ")+COUNTIF($E88:AA88,1)-1,INDEX(Roadmap!$D:$K,MATCH($E88,Roadmap!$D:$D,0)-1+COUNTIF($E88:AA88,"u")+COUNTIF($E88:AA88,"t")+COUNTIF($E88:AA88,"¶")+COUNTIF($E88:AA88,"²")+COUNTIF($E88:AA88,"µ")+COUNTIF($E88:AA88,1),ColDescriptionCourte)),""),
  "")),"")</f>
        <v/>
      </c>
      <c r="AC88" s="40" t="str">
        <f ca="1">IFERROR(IF(AND(
  INDEX(Roadmap!$D:$K,MATCH($E88,Roadmap!$D:$D,0)+COUNTIF($E88:AB88,"u")+COUNTIF($E88:AB88,"t")+COUNTIF($E88:AB88,"¶")+COUNTIF($E88:AB88,"²")+COUNTIF($E88:AB88,"µ")+COUNTIF($E88:AB88,1),ColLivraison)=AC$6,
  VLOOKUP($E88,INDIRECT("tri!"&amp; CHAR(64+ C0Col) &amp;":"&amp; CHAR(65+C0Col)),2,FALSE)&gt;COUNTIF($E88:AB88,"u")+COUNTIF($E88:AB88,"t")+COUNTIF($E88:AB88,"¶")+COUNTIF($E88:AB88,"²")+COUNTIF($E88:AB88,"µ")+COUNTIF($E88:AB88,1)),
HYPERLINK("#Roadmap!C"&amp; MATCH($E88,Roadmap!$D:$D,0)+COUNTIF($E88:AB88,"u")+COUNTIF($E88:AB88,"t"),
     INDEX(Roadmap!$D:$K,MATCH($E88,Roadmap!$D:$D,0)+COUNTIF($E88:AB88,"u")+COUNTIF($E88:AB88,"t")+COUNTIF($E88:AB88,"¶")+COUNTIF($E88:AB88,"²")+COUNTIF($E88:AB88,"µ")+COUNTIF($E88:AB88,1),ColTypeEcheance)),
  IF(LEN(AB88)=1,
  IF(LEN(INDEX(Roadmap!$D:$K,MATCH($E88,Roadmap!$D:$D,0)-1+COUNTIF($E88:AB88,"u")+COUNTIF($E88:AB88,"t")+COUNTIF($E88:AB88,"¶")+COUNTIF($E88:AB88,"²")+COUNTIF($E88:AB88,"µ")+COUNTIF($E88:AB88,1),ColDescriptionCourte))&gt;1,
HYPERLINK("#Roadmap!C"&amp; MATCH($E88,Roadmap!$D:$D,0)+COUNTIF($E88:AB88,"u")+COUNTIF($E88:AB88,"t")+COUNTIF($E88:AB88,"¶")+COUNTIF($E88:AB88,"²")+COUNTIF($E88:AB88,"µ")+COUNTIF($E88:AB88,1)-1,INDEX(Roadmap!$D:$K,MATCH($E88,Roadmap!$D:$D,0)-1+COUNTIF($E88:AB88,"u")+COUNTIF($E88:AB88,"t")+COUNTIF($E88:AB88,"¶")+COUNTIF($E88:AB88,"²")+COUNTIF($E88:AB88,"µ")+COUNTIF($E88:AB88,1),ColDescriptionCourte)),""),
  "")),"")</f>
        <v/>
      </c>
      <c r="AD88" s="40" t="str">
        <f ca="1">IFERROR(IF(AND(
  INDEX(Roadmap!$D:$K,MATCH($E88,Roadmap!$D:$D,0)+COUNTIF($E88:AC88,"u")+COUNTIF($E88:AC88,"t")+COUNTIF($E88:AC88,"¶")+COUNTIF($E88:AC88,"²")+COUNTIF($E88:AC88,"µ")+COUNTIF($E88:AC88,1),ColLivraison)=AD$6,
  VLOOKUP($E88,INDIRECT("tri!"&amp; CHAR(64+ C0Col) &amp;":"&amp; CHAR(65+C0Col)),2,FALSE)&gt;COUNTIF($E88:AC88,"u")+COUNTIF($E88:AC88,"t")+COUNTIF($E88:AC88,"¶")+COUNTIF($E88:AC88,"²")+COUNTIF($E88:AC88,"µ")+COUNTIF($E88:AC88,1)),
HYPERLINK("#Roadmap!C"&amp; MATCH($E88,Roadmap!$D:$D,0)+COUNTIF($E88:AC88,"u")+COUNTIF($E88:AC88,"t"),
     INDEX(Roadmap!$D:$K,MATCH($E88,Roadmap!$D:$D,0)+COUNTIF($E88:AC88,"u")+COUNTIF($E88:AC88,"t")+COUNTIF($E88:AC88,"¶")+COUNTIF($E88:AC88,"²")+COUNTIF($E88:AC88,"µ")+COUNTIF($E88:AC88,1),ColTypeEcheance)),
  IF(LEN(AC88)=1,
  IF(LEN(INDEX(Roadmap!$D:$K,MATCH($E88,Roadmap!$D:$D,0)-1+COUNTIF($E88:AC88,"u")+COUNTIF($E88:AC88,"t")+COUNTIF($E88:AC88,"¶")+COUNTIF($E88:AC88,"²")+COUNTIF($E88:AC88,"µ")+COUNTIF($E88:AC88,1),ColDescriptionCourte))&gt;1,
HYPERLINK("#Roadmap!C"&amp; MATCH($E88,Roadmap!$D:$D,0)+COUNTIF($E88:AC88,"u")+COUNTIF($E88:AC88,"t")+COUNTIF($E88:AC88,"¶")+COUNTIF($E88:AC88,"²")+COUNTIF($E88:AC88,"µ")+COUNTIF($E88:AC88,1)-1,INDEX(Roadmap!$D:$K,MATCH($E88,Roadmap!$D:$D,0)-1+COUNTIF($E88:AC88,"u")+COUNTIF($E88:AC88,"t")+COUNTIF($E88:AC88,"¶")+COUNTIF($E88:AC88,"²")+COUNTIF($E88:AC88,"µ")+COUNTIF($E88:AC88,1),ColDescriptionCourte)),""),
  "")),"")</f>
        <v/>
      </c>
      <c r="AE88" s="40" t="str">
        <f ca="1">IFERROR(IF(AND(
  INDEX(Roadmap!$D:$K,MATCH($E88,Roadmap!$D:$D,0)+COUNTIF($E88:AD88,"u")+COUNTIF($E88:AD88,"t")+COUNTIF($E88:AD88,"¶")+COUNTIF($E88:AD88,"²")+COUNTIF($E88:AD88,"µ")+COUNTIF($E88:AD88,1),ColLivraison)=AE$6,
  VLOOKUP($E88,INDIRECT("tri!"&amp; CHAR(64+ C0Col) &amp;":"&amp; CHAR(65+C0Col)),2,FALSE)&gt;COUNTIF($E88:AD88,"u")+COUNTIF($E88:AD88,"t")+COUNTIF($E88:AD88,"¶")+COUNTIF($E88:AD88,"²")+COUNTIF($E88:AD88,"µ")+COUNTIF($E88:AD88,1)),
HYPERLINK("#Roadmap!C"&amp; MATCH($E88,Roadmap!$D:$D,0)+COUNTIF($E88:AD88,"u")+COUNTIF($E88:AD88,"t"),
     INDEX(Roadmap!$D:$K,MATCH($E88,Roadmap!$D:$D,0)+COUNTIF($E88:AD88,"u")+COUNTIF($E88:AD88,"t")+COUNTIF($E88:AD88,"¶")+COUNTIF($E88:AD88,"²")+COUNTIF($E88:AD88,"µ")+COUNTIF($E88:AD88,1),ColTypeEcheance)),
  IF(LEN(AD88)=1,
  IF(LEN(INDEX(Roadmap!$D:$K,MATCH($E88,Roadmap!$D:$D,0)-1+COUNTIF($E88:AD88,"u")+COUNTIF($E88:AD88,"t")+COUNTIF($E88:AD88,"¶")+COUNTIF($E88:AD88,"²")+COUNTIF($E88:AD88,"µ")+COUNTIF($E88:AD88,1),ColDescriptionCourte))&gt;1,
HYPERLINK("#Roadmap!C"&amp; MATCH($E88,Roadmap!$D:$D,0)+COUNTIF($E88:AD88,"u")+COUNTIF($E88:AD88,"t")+COUNTIF($E88:AD88,"¶")+COUNTIF($E88:AD88,"²")+COUNTIF($E88:AD88,"µ")+COUNTIF($E88:AD88,1)-1,INDEX(Roadmap!$D:$K,MATCH($E88,Roadmap!$D:$D,0)-1+COUNTIF($E88:AD88,"u")+COUNTIF($E88:AD88,"t")+COUNTIF($E88:AD88,"¶")+COUNTIF($E88:AD88,"²")+COUNTIF($E88:AD88,"µ")+COUNTIF($E88:AD88,1),ColDescriptionCourte)),""),
  "")),"")</f>
        <v/>
      </c>
      <c r="AF88" s="40" t="str">
        <f ca="1">IFERROR(IF(AND(
  INDEX(Roadmap!$D:$K,MATCH($E88,Roadmap!$D:$D,0)+COUNTIF($E88:AE88,"u")+COUNTIF($E88:AE88,"t")+COUNTIF($E88:AE88,"¶")+COUNTIF($E88:AE88,"²")+COUNTIF($E88:AE88,"µ")+COUNTIF($E88:AE88,1),ColLivraison)=AF$6,
  VLOOKUP($E88,INDIRECT("tri!"&amp; CHAR(64+ C0Col) &amp;":"&amp; CHAR(65+C0Col)),2,FALSE)&gt;COUNTIF($E88:AE88,"u")+COUNTIF($E88:AE88,"t")+COUNTIF($E88:AE88,"¶")+COUNTIF($E88:AE88,"²")+COUNTIF($E88:AE88,"µ")+COUNTIF($E88:AE88,1)),
HYPERLINK("#Roadmap!C"&amp; MATCH($E88,Roadmap!$D:$D,0)+COUNTIF($E88:AE88,"u")+COUNTIF($E88:AE88,"t"),
     INDEX(Roadmap!$D:$K,MATCH($E88,Roadmap!$D:$D,0)+COUNTIF($E88:AE88,"u")+COUNTIF($E88:AE88,"t")+COUNTIF($E88:AE88,"¶")+COUNTIF($E88:AE88,"²")+COUNTIF($E88:AE88,"µ")+COUNTIF($E88:AE88,1),ColTypeEcheance)),
  IF(LEN(AE88)=1,
  IF(LEN(INDEX(Roadmap!$D:$K,MATCH($E88,Roadmap!$D:$D,0)-1+COUNTIF($E88:AE88,"u")+COUNTIF($E88:AE88,"t")+COUNTIF($E88:AE88,"¶")+COUNTIF($E88:AE88,"²")+COUNTIF($E88:AE88,"µ")+COUNTIF($E88:AE88,1),ColDescriptionCourte))&gt;1,
HYPERLINK("#Roadmap!C"&amp; MATCH($E88,Roadmap!$D:$D,0)+COUNTIF($E88:AE88,"u")+COUNTIF($E88:AE88,"t")+COUNTIF($E88:AE88,"¶")+COUNTIF($E88:AE88,"²")+COUNTIF($E88:AE88,"µ")+COUNTIF($E88:AE88,1)-1,INDEX(Roadmap!$D:$K,MATCH($E88,Roadmap!$D:$D,0)-1+COUNTIF($E88:AE88,"u")+COUNTIF($E88:AE88,"t")+COUNTIF($E88:AE88,"¶")+COUNTIF($E88:AE88,"²")+COUNTIF($E88:AE88,"µ")+COUNTIF($E88:AE88,1),ColDescriptionCourte)),""),
  "")),"")</f>
        <v/>
      </c>
      <c r="AG88" s="40" t="str">
        <f ca="1">IFERROR(IF(AND(
  INDEX(Roadmap!$D:$K,MATCH($E88,Roadmap!$D:$D,0)+COUNTIF($E88:AF88,"u")+COUNTIF($E88:AF88,"t")+COUNTIF($E88:AF88,"¶")+COUNTIF($E88:AF88,"²")+COUNTIF($E88:AF88,"µ")+COUNTIF($E88:AF88,1),ColLivraison)=AG$6,
  VLOOKUP($E88,INDIRECT("tri!"&amp; CHAR(64+ C0Col) &amp;":"&amp; CHAR(65+C0Col)),2,FALSE)&gt;COUNTIF($E88:AF88,"u")+COUNTIF($E88:AF88,"t")+COUNTIF($E88:AF88,"¶")+COUNTIF($E88:AF88,"²")+COUNTIF($E88:AF88,"µ")+COUNTIF($E88:AF88,1)),
HYPERLINK("#Roadmap!C"&amp; MATCH($E88,Roadmap!$D:$D,0)+COUNTIF($E88:AF88,"u")+COUNTIF($E88:AF88,"t"),
     INDEX(Roadmap!$D:$K,MATCH($E88,Roadmap!$D:$D,0)+COUNTIF($E88:AF88,"u")+COUNTIF($E88:AF88,"t")+COUNTIF($E88:AF88,"¶")+COUNTIF($E88:AF88,"²")+COUNTIF($E88:AF88,"µ")+COUNTIF($E88:AF88,1),ColTypeEcheance)),
  IF(LEN(AF88)=1,
  IF(LEN(INDEX(Roadmap!$D:$K,MATCH($E88,Roadmap!$D:$D,0)-1+COUNTIF($E88:AF88,"u")+COUNTIF($E88:AF88,"t")+COUNTIF($E88:AF88,"¶")+COUNTIF($E88:AF88,"²")+COUNTIF($E88:AF88,"µ")+COUNTIF($E88:AF88,1),ColDescriptionCourte))&gt;1,
HYPERLINK("#Roadmap!C"&amp; MATCH($E88,Roadmap!$D:$D,0)+COUNTIF($E88:AF88,"u")+COUNTIF($E88:AF88,"t")+COUNTIF($E88:AF88,"¶")+COUNTIF($E88:AF88,"²")+COUNTIF($E88:AF88,"µ")+COUNTIF($E88:AF88,1)-1,INDEX(Roadmap!$D:$K,MATCH($E88,Roadmap!$D:$D,0)-1+COUNTIF($E88:AF88,"u")+COUNTIF($E88:AF88,"t")+COUNTIF($E88:AF88,"¶")+COUNTIF($E88:AF88,"²")+COUNTIF($E88:AF88,"µ")+COUNTIF($E88:AF88,1),ColDescriptionCourte)),""),
  "")),"")</f>
        <v/>
      </c>
      <c r="AH88" s="40" t="str">
        <f ca="1">IFERROR(IF(AND(
  INDEX(Roadmap!$D:$K,MATCH($E88,Roadmap!$D:$D,0)+COUNTIF($E88:AG88,"u")+COUNTIF($E88:AG88,"t")+COUNTIF($E88:AG88,1),ColLivraison)=AH$6,
  VLOOKUP($E88,INDIRECT("tri!"&amp; CHAR(64+ C0Col) &amp;":"&amp; CHAR(65+C0Col)),2,FALSE)&gt;COUNTIF($E88:AG88,"u")+COUNTIF($E88:AG88,"t")+COUNTIF($E88:AG88,1)),
HYPERLINK("#Roadmap!C"&amp; MATCH($E88,Roadmap!$D:$D,0)+COUNTIF($E88:AG88,"u")+COUNTIF($E88:AG88,"t"),
     INDEX(Roadmap!$D:$K,MATCH($E88,Roadmap!$D:$D,0)+COUNTIF($E88:AG88,"u")+COUNTIF($E88:AG88,"t")+COUNTIF($E88:AG88,1),ColTypeEcheance)),
  IF(OR(AG88="u",AG88="t",AG88=1),
  IF(LEN(INDEX(Roadmap!$D:$K,MATCH($E88,Roadmap!$D:$D,0)-1+COUNTIF($E88:AG88,"u")+COUNTIF($E88:AG88,"t")+COUNTIF($E88:AG88,1),ColDescriptionCourte))&gt;1,
HYPERLINK("#Roadmap!C"&amp; MATCH($E88,Roadmap!$D:$D,0)+COUNTIF($E88:AG88,"u")+COUNTIF($E88:AG88,"t")+COUNTIF($E88:AG88,1)-1,INDEX(Roadmap!$D:$K,MATCH($E88,Roadmap!$D:$D,0)-1+COUNTIF($E88:AG88,"u")+COUNTIF($E88:AG88,"t")+COUNTIF($E88:AG88,1),ColDescriptionCourte)),""),
  "")),"")</f>
        <v/>
      </c>
      <c r="AI88" s="40"/>
      <c r="AJ88" s="40"/>
      <c r="AK88" s="40"/>
      <c r="AL88" s="40"/>
      <c r="AM88" s="40"/>
    </row>
    <row r="89" spans="4:39" ht="14.1" customHeight="1">
      <c r="D89" s="20" t="str">
        <f t="shared" ca="1" si="29"/>
        <v/>
      </c>
      <c r="E89" s="53" t="str">
        <f t="shared" ca="1" si="30"/>
        <v/>
      </c>
      <c r="F89" s="39" t="str">
        <f ca="1">IFERROR(IF(AND(
  INDEX(Roadmap!$D:$K,MATCH($E89,Roadmap!$D:$D,0)+COUNTIF($E89:E89,"u")+COUNTIF($E89:E89,"t")+COUNTIF($E89:E89,"¶")+COUNTIF($E89:E89,"²")+COUNTIF($E89:E89,"µ")+COUNTIF($E89:E89,1),ColLivraison)=F$6,
  VLOOKUP($E89,INDIRECT("tri!"&amp; CHAR(64+ C0Col) &amp;":"&amp; CHAR(65+C0Col)),2,FALSE)&gt;COUNTIF($E89:E89,"u")+COUNTIF($E89:E89,"t")+COUNTIF($E89:E89,"¶")+COUNTIF($E89:E89,"²")+COUNTIF($E89:E89,"µ")+COUNTIF($E89:E89,1)),
HYPERLINK("#Roadmap!C"&amp; MATCH($E89,Roadmap!$D:$D,0)+COUNTIF($E89:E89,"u")+COUNTIF($E89:E89,"t"),
     INDEX(Roadmap!$D:$K,MATCH($E89,Roadmap!$D:$D,0)+COUNTIF($E89:E89,"u")+COUNTIF($E89:E89,"t")+COUNTIF($E89:E89,"¶")+COUNTIF($E89:E89,"²")+COUNTIF($E89:E89,"µ")+COUNTIF($E89:E89,1),ColTypeEcheance)),
  IF(LEN(E89)=1,
  IF(LEN(INDEX(Roadmap!$D:$K,MATCH($E89,Roadmap!$D:$D,0)-1+COUNTIF($E89:E89,"u")+COUNTIF($E89:E89,"t")+COUNTIF($E89:E89,"¶")+COUNTIF($E89:E89,"²")+COUNTIF($E89:E89,"µ")+COUNTIF($E89:E89,1),ColDescriptionCourte))&gt;1,
HYPERLINK("#Roadmap!C"&amp; MATCH($E89,Roadmap!$D:$D,0)+COUNTIF($E89:E89,"u")+COUNTIF($E89:E89,"t")+COUNTIF($E89:E89,"¶")+COUNTIF($E89:E89,"²")+COUNTIF($E89:E89,"µ")+COUNTIF($E89:E89,1)-1,INDEX(Roadmap!$D:$K,MATCH($E89,Roadmap!$D:$D,0)-1+COUNTIF($E89:E89,"u")+COUNTIF($E89:E89,"t")+COUNTIF($E89:E89,"¶")+COUNTIF($E89:E89,"²")+COUNTIF($E89:E89,"µ")+COUNTIF($E89:E89,1),ColDescriptionCourte)),""),
  "")),"")</f>
        <v/>
      </c>
      <c r="G89" s="40" t="str">
        <f ca="1">IFERROR(IF(AND(
  INDEX(Roadmap!$D:$K,MATCH($E89,Roadmap!$D:$D,0)+COUNTIF($E89:F89,"u")+COUNTIF($E89:F89,"t")+COUNTIF($E89:F89,"¶")+COUNTIF($E89:F89,"²")+COUNTIF($E89:F89,"µ")+COUNTIF($E89:F89,1),ColLivraison)=G$6,
  VLOOKUP($E89,INDIRECT("tri!"&amp; CHAR(64+ C0Col) &amp;":"&amp; CHAR(65+C0Col)),2,FALSE)&gt;COUNTIF($E89:F89,"u")+COUNTIF($E89:F89,"t")+COUNTIF($E89:F89,"¶")+COUNTIF($E89:F89,"²")+COUNTIF($E89:F89,"µ")+COUNTIF($E89:F89,1)),
HYPERLINK("#Roadmap!C"&amp; MATCH($E89,Roadmap!$D:$D,0)+COUNTIF($E89:F89,"u")+COUNTIF($E89:F89,"t"),
     INDEX(Roadmap!$D:$K,MATCH($E89,Roadmap!$D:$D,0)+COUNTIF($E89:F89,"u")+COUNTIF($E89:F89,"t")+COUNTIF($E89:F89,"¶")+COUNTIF($E89:F89,"²")+COUNTIF($E89:F89,"µ")+COUNTIF($E89:F89,1),ColTypeEcheance)),
  IF(LEN(F89)=1,
  IF(LEN(INDEX(Roadmap!$D:$K,MATCH($E89,Roadmap!$D:$D,0)-1+COUNTIF($E89:F89,"u")+COUNTIF($E89:F89,"t")+COUNTIF($E89:F89,"¶")+COUNTIF($E89:F89,"²")+COUNTIF($E89:F89,"µ")+COUNTIF($E89:F89,1),ColDescriptionCourte))&gt;1,
HYPERLINK("#Roadmap!C"&amp; MATCH($E89,Roadmap!$D:$D,0)+COUNTIF($E89:F89,"u")+COUNTIF($E89:F89,"t")+COUNTIF($E89:F89,"¶")+COUNTIF($E89:F89,"²")+COUNTIF($E89:F89,"µ")+COUNTIF($E89:F89,1)-1,INDEX(Roadmap!$D:$K,MATCH($E89,Roadmap!$D:$D,0)-1+COUNTIF($E89:F89,"u")+COUNTIF($E89:F89,"t")+COUNTIF($E89:F89,"¶")+COUNTIF($E89:F89,"²")+COUNTIF($E89:F89,"µ")+COUNTIF($E89:F89,1),ColDescriptionCourte)),""),
  "")),"")</f>
        <v/>
      </c>
      <c r="H89" s="40" t="str">
        <f ca="1">IFERROR(IF(AND(
  INDEX(Roadmap!$D:$K,MATCH($E89,Roadmap!$D:$D,0)+COUNTIF($E89:G89,"u")+COUNTIF($E89:G89,"t")+COUNTIF($E89:G89,"¶")+COUNTIF($E89:G89,"²")+COUNTIF($E89:G89,"µ")+COUNTIF($E89:G89,1),ColLivraison)=H$6,
  VLOOKUP($E89,INDIRECT("tri!"&amp; CHAR(64+ C0Col) &amp;":"&amp; CHAR(65+C0Col)),2,FALSE)&gt;COUNTIF($E89:G89,"u")+COUNTIF($E89:G89,"t")+COUNTIF($E89:G89,"¶")+COUNTIF($E89:G89,"²")+COUNTIF($E89:G89,"µ")+COUNTIF($E89:G89,1)),
HYPERLINK("#Roadmap!C"&amp; MATCH($E89,Roadmap!$D:$D,0)+COUNTIF($E89:G89,"u")+COUNTIF($E89:G89,"t"),
     INDEX(Roadmap!$D:$K,MATCH($E89,Roadmap!$D:$D,0)+COUNTIF($E89:G89,"u")+COUNTIF($E89:G89,"t")+COUNTIF($E89:G89,"¶")+COUNTIF($E89:G89,"²")+COUNTIF($E89:G89,"µ")+COUNTIF($E89:G89,1),ColTypeEcheance)),
  IF(LEN(G89)=1,
  IF(LEN(INDEX(Roadmap!$D:$K,MATCH($E89,Roadmap!$D:$D,0)-1+COUNTIF($E89:G89,"u")+COUNTIF($E89:G89,"t")+COUNTIF($E89:G89,"¶")+COUNTIF($E89:G89,"²")+COUNTIF($E89:G89,"µ")+COUNTIF($E89:G89,1),ColDescriptionCourte))&gt;1,
HYPERLINK("#Roadmap!C"&amp; MATCH($E89,Roadmap!$D:$D,0)+COUNTIF($E89:G89,"u")+COUNTIF($E89:G89,"t")+COUNTIF($E89:G89,"¶")+COUNTIF($E89:G89,"²")+COUNTIF($E89:G89,"µ")+COUNTIF($E89:G89,1)-1,INDEX(Roadmap!$D:$K,MATCH($E89,Roadmap!$D:$D,0)-1+COUNTIF($E89:G89,"u")+COUNTIF($E89:G89,"t")+COUNTIF($E89:G89,"¶")+COUNTIF($E89:G89,"²")+COUNTIF($E89:G89,"µ")+COUNTIF($E89:G89,1),ColDescriptionCourte)),""),
  "")),"")</f>
        <v/>
      </c>
      <c r="I89" s="40" t="str">
        <f ca="1">IFERROR(IF(AND(
  INDEX(Roadmap!$D:$K,MATCH($E89,Roadmap!$D:$D,0)+COUNTIF($E89:H89,"u")+COUNTIF($E89:H89,"t")+COUNTIF($E89:H89,"¶")+COUNTIF($E89:H89,"²")+COUNTIF($E89:H89,"µ")+COUNTIF($E89:H89,1),ColLivraison)=I$6,
  VLOOKUP($E89,INDIRECT("tri!"&amp; CHAR(64+ C0Col) &amp;":"&amp; CHAR(65+C0Col)),2,FALSE)&gt;COUNTIF($E89:H89,"u")+COUNTIF($E89:H89,"t")+COUNTIF($E89:H89,"¶")+COUNTIF($E89:H89,"²")+COUNTIF($E89:H89,"µ")+COUNTIF($E89:H89,1)),
HYPERLINK("#Roadmap!C"&amp; MATCH($E89,Roadmap!$D:$D,0)+COUNTIF($E89:H89,"u")+COUNTIF($E89:H89,"t"),
     INDEX(Roadmap!$D:$K,MATCH($E89,Roadmap!$D:$D,0)+COUNTIF($E89:H89,"u")+COUNTIF($E89:H89,"t")+COUNTIF($E89:H89,"¶")+COUNTIF($E89:H89,"²")+COUNTIF($E89:H89,"µ")+COUNTIF($E89:H89,1),ColTypeEcheance)),
  IF(LEN(H89)=1,
  IF(LEN(INDEX(Roadmap!$D:$K,MATCH($E89,Roadmap!$D:$D,0)-1+COUNTIF($E89:H89,"u")+COUNTIF($E89:H89,"t")+COUNTIF($E89:H89,"¶")+COUNTIF($E89:H89,"²")+COUNTIF($E89:H89,"µ")+COUNTIF($E89:H89,1),ColDescriptionCourte))&gt;1,
HYPERLINK("#Roadmap!C"&amp; MATCH($E89,Roadmap!$D:$D,0)+COUNTIF($E89:H89,"u")+COUNTIF($E89:H89,"t")+COUNTIF($E89:H89,"¶")+COUNTIF($E89:H89,"²")+COUNTIF($E89:H89,"µ")+COUNTIF($E89:H89,1)-1,INDEX(Roadmap!$D:$K,MATCH($E89,Roadmap!$D:$D,0)-1+COUNTIF($E89:H89,"u")+COUNTIF($E89:H89,"t")+COUNTIF($E89:H89,"¶")+COUNTIF($E89:H89,"²")+COUNTIF($E89:H89,"µ")+COUNTIF($E89:H89,1),ColDescriptionCourte)),""),
  "")),"")</f>
        <v/>
      </c>
      <c r="J89" s="40" t="str">
        <f ca="1">IFERROR(IF(AND(
  INDEX(Roadmap!$D:$K,MATCH($E89,Roadmap!$D:$D,0)+COUNTIF($E89:I89,"u")+COUNTIF($E89:I89,"t")+COUNTIF($E89:I89,"¶")+COUNTIF($E89:I89,"²")+COUNTIF($E89:I89,"µ")+COUNTIF($E89:I89,1),ColLivraison)=J$6,
  VLOOKUP($E89,INDIRECT("tri!"&amp; CHAR(64+ C0Col) &amp;":"&amp; CHAR(65+C0Col)),2,FALSE)&gt;COUNTIF($E89:I89,"u")+COUNTIF($E89:I89,"t")+COUNTIF($E89:I89,"¶")+COUNTIF($E89:I89,"²")+COUNTIF($E89:I89,"µ")+COUNTIF($E89:I89,1)),
HYPERLINK("#Roadmap!C"&amp; MATCH($E89,Roadmap!$D:$D,0)+COUNTIF($E89:I89,"u")+COUNTIF($E89:I89,"t"),
     INDEX(Roadmap!$D:$K,MATCH($E89,Roadmap!$D:$D,0)+COUNTIF($E89:I89,"u")+COUNTIF($E89:I89,"t")+COUNTIF($E89:I89,"¶")+COUNTIF($E89:I89,"²")+COUNTIF($E89:I89,"µ")+COUNTIF($E89:I89,1),ColTypeEcheance)),
  IF(LEN(I89)=1,
  IF(LEN(INDEX(Roadmap!$D:$K,MATCH($E89,Roadmap!$D:$D,0)-1+COUNTIF($E89:I89,"u")+COUNTIF($E89:I89,"t")+COUNTIF($E89:I89,"¶")+COUNTIF($E89:I89,"²")+COUNTIF($E89:I89,"µ")+COUNTIF($E89:I89,1),ColDescriptionCourte))&gt;1,
HYPERLINK("#Roadmap!C"&amp; MATCH($E89,Roadmap!$D:$D,0)+COUNTIF($E89:I89,"u")+COUNTIF($E89:I89,"t")+COUNTIF($E89:I89,"¶")+COUNTIF($E89:I89,"²")+COUNTIF($E89:I89,"µ")+COUNTIF($E89:I89,1)-1,INDEX(Roadmap!$D:$K,MATCH($E89,Roadmap!$D:$D,0)-1+COUNTIF($E89:I89,"u")+COUNTIF($E89:I89,"t")+COUNTIF($E89:I89,"¶")+COUNTIF($E89:I89,"²")+COUNTIF($E89:I89,"µ")+COUNTIF($E89:I89,1),ColDescriptionCourte)),""),
  "")),"")</f>
        <v/>
      </c>
      <c r="K89" s="40" t="str">
        <f ca="1">IFERROR(IF(AND(
  INDEX(Roadmap!$D:$K,MATCH($E89,Roadmap!$D:$D,0)+COUNTIF($E89:J89,"u")+COUNTIF($E89:J89,"t")+COUNTIF($E89:J89,"¶")+COUNTIF($E89:J89,"²")+COUNTIF($E89:J89,"µ")+COUNTIF($E89:J89,1),ColLivraison)=K$6,
  VLOOKUP($E89,INDIRECT("tri!"&amp; CHAR(64+ C0Col) &amp;":"&amp; CHAR(65+C0Col)),2,FALSE)&gt;COUNTIF($E89:J89,"u")+COUNTIF($E89:J89,"t")+COUNTIF($E89:J89,"¶")+COUNTIF($E89:J89,"²")+COUNTIF($E89:J89,"µ")+COUNTIF($E89:J89,1)),
HYPERLINK("#Roadmap!C"&amp; MATCH($E89,Roadmap!$D:$D,0)+COUNTIF($E89:J89,"u")+COUNTIF($E89:J89,"t"),
     INDEX(Roadmap!$D:$K,MATCH($E89,Roadmap!$D:$D,0)+COUNTIF($E89:J89,"u")+COUNTIF($E89:J89,"t")+COUNTIF($E89:J89,"¶")+COUNTIF($E89:J89,"²")+COUNTIF($E89:J89,"µ")+COUNTIF($E89:J89,1),ColTypeEcheance)),
  IF(LEN(J89)=1,
  IF(LEN(INDEX(Roadmap!$D:$K,MATCH($E89,Roadmap!$D:$D,0)-1+COUNTIF($E89:J89,"u")+COUNTIF($E89:J89,"t")+COUNTIF($E89:J89,"¶")+COUNTIF($E89:J89,"²")+COUNTIF($E89:J89,"µ")+COUNTIF($E89:J89,1),ColDescriptionCourte))&gt;1,
HYPERLINK("#Roadmap!C"&amp; MATCH($E89,Roadmap!$D:$D,0)+COUNTIF($E89:J89,"u")+COUNTIF($E89:J89,"t")+COUNTIF($E89:J89,"¶")+COUNTIF($E89:J89,"²")+COUNTIF($E89:J89,"µ")+COUNTIF($E89:J89,1)-1,INDEX(Roadmap!$D:$K,MATCH($E89,Roadmap!$D:$D,0)-1+COUNTIF($E89:J89,"u")+COUNTIF($E89:J89,"t")+COUNTIF($E89:J89,"¶")+COUNTIF($E89:J89,"²")+COUNTIF($E89:J89,"µ")+COUNTIF($E89:J89,1),ColDescriptionCourte)),""),
  "")),"")</f>
        <v/>
      </c>
      <c r="L89" s="39" t="str">
        <f ca="1">IFERROR(IF(AND(
  INDEX(Roadmap!$D:$K,MATCH($E89,Roadmap!$D:$D,0)+COUNTIF($E89:K89,"u")+COUNTIF($E89:K89,"t")+COUNTIF($E89:K89,"¶")+COUNTIF($E89:K89,"²")+COUNTIF($E89:K89,"µ")+COUNTIF($E89:K89,1),ColLivraison)=L$6,
  VLOOKUP($E89,INDIRECT("tri!"&amp; CHAR(64+ C0Col) &amp;":"&amp; CHAR(65+C0Col)),2,FALSE)&gt;COUNTIF($E89:K89,"u")+COUNTIF($E89:K89,"t")+COUNTIF($E89:K89,"¶")+COUNTIF($E89:K89,"²")+COUNTIF($E89:K89,"µ")+COUNTIF($E89:K89,1)),
HYPERLINK("#Roadmap!C"&amp; MATCH($E89,Roadmap!$D:$D,0)+COUNTIF($E89:K89,"u")+COUNTIF($E89:K89,"t"),
     INDEX(Roadmap!$D:$K,MATCH($E89,Roadmap!$D:$D,0)+COUNTIF($E89:K89,"u")+COUNTIF($E89:K89,"t")+COUNTIF($E89:K89,"¶")+COUNTIF($E89:K89,"²")+COUNTIF($E89:K89,"µ")+COUNTIF($E89:K89,1),ColTypeEcheance)),
  IF(LEN(K89)=1,
  IF(LEN(INDEX(Roadmap!$D:$K,MATCH($E89,Roadmap!$D:$D,0)-1+COUNTIF($E89:K89,"u")+COUNTIF($E89:K89,"t")+COUNTIF($E89:K89,"¶")+COUNTIF($E89:K89,"²")+COUNTIF($E89:K89,"µ")+COUNTIF($E89:K89,1),ColDescriptionCourte))&gt;1,
HYPERLINK("#Roadmap!C"&amp; MATCH($E89,Roadmap!$D:$D,0)+COUNTIF($E89:K89,"u")+COUNTIF($E89:K89,"t")+COUNTIF($E89:K89,"¶")+COUNTIF($E89:K89,"²")+COUNTIF($E89:K89,"µ")+COUNTIF($E89:K89,1)-1,INDEX(Roadmap!$D:$K,MATCH($E89,Roadmap!$D:$D,0)-1+COUNTIF($E89:K89,"u")+COUNTIF($E89:K89,"t")+COUNTIF($E89:K89,"¶")+COUNTIF($E89:K89,"²")+COUNTIF($E89:K89,"µ")+COUNTIF($E89:K89,1),ColDescriptionCourte)),""),
  "")),"")</f>
        <v/>
      </c>
      <c r="M89" s="40" t="str">
        <f ca="1">IFERROR(IF(AND(
  INDEX(Roadmap!$D:$K,MATCH($E89,Roadmap!$D:$D,0)+COUNTIF($E89:L89,"u")+COUNTIF($E89:L89,"t")+COUNTIF($E89:L89,"¶")+COUNTIF($E89:L89,"²")+COUNTIF($E89:L89,"µ")+COUNTIF($E89:L89,1),ColLivraison)=M$6,
  VLOOKUP($E89,INDIRECT("tri!"&amp; CHAR(64+ C0Col) &amp;":"&amp; CHAR(65+C0Col)),2,FALSE)&gt;COUNTIF($E89:L89,"u")+COUNTIF($E89:L89,"t")+COUNTIF($E89:L89,"¶")+COUNTIF($E89:L89,"²")+COUNTIF($E89:L89,"µ")+COUNTIF($E89:L89,1)),
HYPERLINK("#Roadmap!C"&amp; MATCH($E89,Roadmap!$D:$D,0)+COUNTIF($E89:L89,"u")+COUNTIF($E89:L89,"t"),
     INDEX(Roadmap!$D:$K,MATCH($E89,Roadmap!$D:$D,0)+COUNTIF($E89:L89,"u")+COUNTIF($E89:L89,"t")+COUNTIF($E89:L89,"¶")+COUNTIF($E89:L89,"²")+COUNTIF($E89:L89,"µ")+COUNTIF($E89:L89,1),ColTypeEcheance)),
  IF(LEN(L89)=1,
  IF(LEN(INDEX(Roadmap!$D:$K,MATCH($E89,Roadmap!$D:$D,0)-1+COUNTIF($E89:L89,"u")+COUNTIF($E89:L89,"t")+COUNTIF($E89:L89,"¶")+COUNTIF($E89:L89,"²")+COUNTIF($E89:L89,"µ")+COUNTIF($E89:L89,1),ColDescriptionCourte))&gt;1,
HYPERLINK("#Roadmap!C"&amp; MATCH($E89,Roadmap!$D:$D,0)+COUNTIF($E89:L89,"u")+COUNTIF($E89:L89,"t")+COUNTIF($E89:L89,"¶")+COUNTIF($E89:L89,"²")+COUNTIF($E89:L89,"µ")+COUNTIF($E89:L89,1)-1,INDEX(Roadmap!$D:$K,MATCH($E89,Roadmap!$D:$D,0)-1+COUNTIF($E89:L89,"u")+COUNTIF($E89:L89,"t")+COUNTIF($E89:L89,"¶")+COUNTIF($E89:L89,"²")+COUNTIF($E89:L89,"µ")+COUNTIF($E89:L89,1),ColDescriptionCourte)),""),
  "")),"")</f>
        <v/>
      </c>
      <c r="N89" s="40" t="str">
        <f ca="1">IFERROR(IF(AND(
  INDEX(Roadmap!$D:$K,MATCH($E89,Roadmap!$D:$D,0)+COUNTIF($E89:M89,"u")+COUNTIF($E89:M89,"t")+COUNTIF($E89:M89,"¶")+COUNTIF($E89:M89,"²")+COUNTIF($E89:M89,"µ")+COUNTIF($E89:M89,1),ColLivraison)=N$6,
  VLOOKUP($E89,INDIRECT("tri!"&amp; CHAR(64+ C0Col) &amp;":"&amp; CHAR(65+C0Col)),2,FALSE)&gt;COUNTIF($E89:M89,"u")+COUNTIF($E89:M89,"t")+COUNTIF($E89:M89,"¶")+COUNTIF($E89:M89,"²")+COUNTIF($E89:M89,"µ")+COUNTIF($E89:M89,1)),
HYPERLINK("#Roadmap!C"&amp; MATCH($E89,Roadmap!$D:$D,0)+COUNTIF($E89:M89,"u")+COUNTIF($E89:M89,"t"),
     INDEX(Roadmap!$D:$K,MATCH($E89,Roadmap!$D:$D,0)+COUNTIF($E89:M89,"u")+COUNTIF($E89:M89,"t")+COUNTIF($E89:M89,"¶")+COUNTIF($E89:M89,"²")+COUNTIF($E89:M89,"µ")+COUNTIF($E89:M89,1),ColTypeEcheance)),
  IF(LEN(M89)=1,
  IF(LEN(INDEX(Roadmap!$D:$K,MATCH($E89,Roadmap!$D:$D,0)-1+COUNTIF($E89:M89,"u")+COUNTIF($E89:M89,"t")+COUNTIF($E89:M89,"¶")+COUNTIF($E89:M89,"²")+COUNTIF($E89:M89,"µ")+COUNTIF($E89:M89,1),ColDescriptionCourte))&gt;1,
HYPERLINK("#Roadmap!C"&amp; MATCH($E89,Roadmap!$D:$D,0)+COUNTIF($E89:M89,"u")+COUNTIF($E89:M89,"t")+COUNTIF($E89:M89,"¶")+COUNTIF($E89:M89,"²")+COUNTIF($E89:M89,"µ")+COUNTIF($E89:M89,1)-1,INDEX(Roadmap!$D:$K,MATCH($E89,Roadmap!$D:$D,0)-1+COUNTIF($E89:M89,"u")+COUNTIF($E89:M89,"t")+COUNTIF($E89:M89,"¶")+COUNTIF($E89:M89,"²")+COUNTIF($E89:M89,"µ")+COUNTIF($E89:M89,1),ColDescriptionCourte)),""),
  "")),"")</f>
        <v/>
      </c>
      <c r="O89" s="40" t="str">
        <f ca="1">IFERROR(IF(AND(
  INDEX(Roadmap!$D:$K,MATCH($E89,Roadmap!$D:$D,0)+COUNTIF($E89:N89,"u")+COUNTIF($E89:N89,"t")+COUNTIF($E89:N89,"¶")+COUNTIF($E89:N89,"²")+COUNTIF($E89:N89,"µ")+COUNTIF($E89:N89,1),ColLivraison)=O$6,
  VLOOKUP($E89,INDIRECT("tri!"&amp; CHAR(64+ C0Col) &amp;":"&amp; CHAR(65+C0Col)),2,FALSE)&gt;COUNTIF($E89:N89,"u")+COUNTIF($E89:N89,"t")+COUNTIF($E89:N89,"¶")+COUNTIF($E89:N89,"²")+COUNTIF($E89:N89,"µ")+COUNTIF($E89:N89,1)),
HYPERLINK("#Roadmap!C"&amp; MATCH($E89,Roadmap!$D:$D,0)+COUNTIF($E89:N89,"u")+COUNTIF($E89:N89,"t"),
     INDEX(Roadmap!$D:$K,MATCH($E89,Roadmap!$D:$D,0)+COUNTIF($E89:N89,"u")+COUNTIF($E89:N89,"t")+COUNTIF($E89:N89,"¶")+COUNTIF($E89:N89,"²")+COUNTIF($E89:N89,"µ")+COUNTIF($E89:N89,1),ColTypeEcheance)),
  IF(LEN(N89)=1,
  IF(LEN(INDEX(Roadmap!$D:$K,MATCH($E89,Roadmap!$D:$D,0)-1+COUNTIF($E89:N89,"u")+COUNTIF($E89:N89,"t")+COUNTIF($E89:N89,"¶")+COUNTIF($E89:N89,"²")+COUNTIF($E89:N89,"µ")+COUNTIF($E89:N89,1),ColDescriptionCourte))&gt;1,
HYPERLINK("#Roadmap!C"&amp; MATCH($E89,Roadmap!$D:$D,0)+COUNTIF($E89:N89,"u")+COUNTIF($E89:N89,"t")+COUNTIF($E89:N89,"¶")+COUNTIF($E89:N89,"²")+COUNTIF($E89:N89,"µ")+COUNTIF($E89:N89,1)-1,INDEX(Roadmap!$D:$K,MATCH($E89,Roadmap!$D:$D,0)-1+COUNTIF($E89:N89,"u")+COUNTIF($E89:N89,"t")+COUNTIF($E89:N89,"¶")+COUNTIF($E89:N89,"²")+COUNTIF($E89:N89,"µ")+COUNTIF($E89:N89,1),ColDescriptionCourte)),""),
  "")),"")</f>
        <v/>
      </c>
      <c r="P89" s="40" t="str">
        <f ca="1">IFERROR(IF(AND(
  INDEX(Roadmap!$D:$K,MATCH($E89,Roadmap!$D:$D,0)+COUNTIF($E89:O89,"u")+COUNTIF($E89:O89,"t")+COUNTIF($E89:O89,"¶")+COUNTIF($E89:O89,"²")+COUNTIF($E89:O89,"µ")+COUNTIF($E89:O89,1),ColLivraison)=P$6,
  VLOOKUP($E89,INDIRECT("tri!"&amp; CHAR(64+ C0Col) &amp;":"&amp; CHAR(65+C0Col)),2,FALSE)&gt;COUNTIF($E89:O89,"u")+COUNTIF($E89:O89,"t")+COUNTIF($E89:O89,"¶")+COUNTIF($E89:O89,"²")+COUNTIF($E89:O89,"µ")+COUNTIF($E89:O89,1)),
HYPERLINK("#Roadmap!C"&amp; MATCH($E89,Roadmap!$D:$D,0)+COUNTIF($E89:O89,"u")+COUNTIF($E89:O89,"t"),
     INDEX(Roadmap!$D:$K,MATCH($E89,Roadmap!$D:$D,0)+COUNTIF($E89:O89,"u")+COUNTIF($E89:O89,"t")+COUNTIF($E89:O89,"¶")+COUNTIF($E89:O89,"²")+COUNTIF($E89:O89,"µ")+COUNTIF($E89:O89,1),ColTypeEcheance)),
  IF(LEN(O89)=1,
  IF(LEN(INDEX(Roadmap!$D:$K,MATCH($E89,Roadmap!$D:$D,0)-1+COUNTIF($E89:O89,"u")+COUNTIF($E89:O89,"t")+COUNTIF($E89:O89,"¶")+COUNTIF($E89:O89,"²")+COUNTIF($E89:O89,"µ")+COUNTIF($E89:O89,1),ColDescriptionCourte))&gt;1,
HYPERLINK("#Roadmap!C"&amp; MATCH($E89,Roadmap!$D:$D,0)+COUNTIF($E89:O89,"u")+COUNTIF($E89:O89,"t")+COUNTIF($E89:O89,"¶")+COUNTIF($E89:O89,"²")+COUNTIF($E89:O89,"µ")+COUNTIF($E89:O89,1)-1,INDEX(Roadmap!$D:$K,MATCH($E89,Roadmap!$D:$D,0)-1+COUNTIF($E89:O89,"u")+COUNTIF($E89:O89,"t")+COUNTIF($E89:O89,"¶")+COUNTIF($E89:O89,"²")+COUNTIF($E89:O89,"µ")+COUNTIF($E89:O89,1),ColDescriptionCourte)),""),
  "")),"")</f>
        <v/>
      </c>
      <c r="Q89" s="40" t="str">
        <f ca="1">IFERROR(IF(AND(
  INDEX(Roadmap!$D:$K,MATCH($E89,Roadmap!$D:$D,0)+COUNTIF($E89:P89,"u")+COUNTIF($E89:P89,"t")+COUNTIF($E89:P89,"¶")+COUNTIF($E89:P89,"²")+COUNTIF($E89:P89,"µ")+COUNTIF($E89:P89,1),ColLivraison)=Q$6,
  VLOOKUP($E89,INDIRECT("tri!"&amp; CHAR(64+ C0Col) &amp;":"&amp; CHAR(65+C0Col)),2,FALSE)&gt;COUNTIF($E89:P89,"u")+COUNTIF($E89:P89,"t")+COUNTIF($E89:P89,"¶")+COUNTIF($E89:P89,"²")+COUNTIF($E89:P89,"µ")+COUNTIF($E89:P89,1)),
HYPERLINK("#Roadmap!C"&amp; MATCH($E89,Roadmap!$D:$D,0)+COUNTIF($E89:P89,"u")+COUNTIF($E89:P89,"t"),
     INDEX(Roadmap!$D:$K,MATCH($E89,Roadmap!$D:$D,0)+COUNTIF($E89:P89,"u")+COUNTIF($E89:P89,"t")+COUNTIF($E89:P89,"¶")+COUNTIF($E89:P89,"²")+COUNTIF($E89:P89,"µ")+COUNTIF($E89:P89,1),ColTypeEcheance)),
  IF(LEN(P89)=1,
  IF(LEN(INDEX(Roadmap!$D:$K,MATCH($E89,Roadmap!$D:$D,0)-1+COUNTIF($E89:P89,"u")+COUNTIF($E89:P89,"t")+COUNTIF($E89:P89,"¶")+COUNTIF($E89:P89,"²")+COUNTIF($E89:P89,"µ")+COUNTIF($E89:P89,1),ColDescriptionCourte))&gt;1,
HYPERLINK("#Roadmap!C"&amp; MATCH($E89,Roadmap!$D:$D,0)+COUNTIF($E89:P89,"u")+COUNTIF($E89:P89,"t")+COUNTIF($E89:P89,"¶")+COUNTIF($E89:P89,"²")+COUNTIF($E89:P89,"µ")+COUNTIF($E89:P89,1)-1,INDEX(Roadmap!$D:$K,MATCH($E89,Roadmap!$D:$D,0)-1+COUNTIF($E89:P89,"u")+COUNTIF($E89:P89,"t")+COUNTIF($E89:P89,"¶")+COUNTIF($E89:P89,"²")+COUNTIF($E89:P89,"µ")+COUNTIF($E89:P89,1),ColDescriptionCourte)),""),
  "")),"")</f>
        <v/>
      </c>
      <c r="R89" s="40" t="str">
        <f ca="1">IFERROR(IF(AND(
  INDEX(Roadmap!$D:$K,MATCH($E89,Roadmap!$D:$D,0)+COUNTIF($E89:Q89,"u")+COUNTIF($E89:Q89,"t")+COUNTIF($E89:Q89,"¶")+COUNTIF($E89:Q89,"²")+COUNTIF($E89:Q89,"µ")+COUNTIF($E89:Q89,1),ColLivraison)=R$6,
  VLOOKUP($E89,INDIRECT("tri!"&amp; CHAR(64+ C0Col) &amp;":"&amp; CHAR(65+C0Col)),2,FALSE)&gt;COUNTIF($E89:Q89,"u")+COUNTIF($E89:Q89,"t")+COUNTIF($E89:Q89,"¶")+COUNTIF($E89:Q89,"²")+COUNTIF($E89:Q89,"µ")+COUNTIF($E89:Q89,1)),
HYPERLINK("#Roadmap!C"&amp; MATCH($E89,Roadmap!$D:$D,0)+COUNTIF($E89:Q89,"u")+COUNTIF($E89:Q89,"t"),
     INDEX(Roadmap!$D:$K,MATCH($E89,Roadmap!$D:$D,0)+COUNTIF($E89:Q89,"u")+COUNTIF($E89:Q89,"t")+COUNTIF($E89:Q89,"¶")+COUNTIF($E89:Q89,"²")+COUNTIF($E89:Q89,"µ")+COUNTIF($E89:Q89,1),ColTypeEcheance)),
  IF(LEN(Q89)=1,
  IF(LEN(INDEX(Roadmap!$D:$K,MATCH($E89,Roadmap!$D:$D,0)-1+COUNTIF($E89:Q89,"u")+COUNTIF($E89:Q89,"t")+COUNTIF($E89:Q89,"¶")+COUNTIF($E89:Q89,"²")+COUNTIF($E89:Q89,"µ")+COUNTIF($E89:Q89,1),ColDescriptionCourte))&gt;1,
HYPERLINK("#Roadmap!C"&amp; MATCH($E89,Roadmap!$D:$D,0)+COUNTIF($E89:Q89,"u")+COUNTIF($E89:Q89,"t")+COUNTIF($E89:Q89,"¶")+COUNTIF($E89:Q89,"²")+COUNTIF($E89:Q89,"µ")+COUNTIF($E89:Q89,1)-1,INDEX(Roadmap!$D:$K,MATCH($E89,Roadmap!$D:$D,0)-1+COUNTIF($E89:Q89,"u")+COUNTIF($E89:Q89,"t")+COUNTIF($E89:Q89,"¶")+COUNTIF($E89:Q89,"²")+COUNTIF($E89:Q89,"µ")+COUNTIF($E89:Q89,1),ColDescriptionCourte)),""),
  "")),"")</f>
        <v/>
      </c>
      <c r="S89" s="40" t="str">
        <f ca="1">IFERROR(IF(AND(
  INDEX(Roadmap!$D:$K,MATCH($E89,Roadmap!$D:$D,0)+COUNTIF($E89:R89,"u")+COUNTIF($E89:R89,"t")+COUNTIF($E89:R89,"¶")+COUNTIF($E89:R89,"²")+COUNTIF($E89:R89,"µ")+COUNTIF($E89:R89,1),ColLivraison)=S$6,
  VLOOKUP($E89,INDIRECT("tri!"&amp; CHAR(64+ C0Col) &amp;":"&amp; CHAR(65+C0Col)),2,FALSE)&gt;COUNTIF($E89:R89,"u")+COUNTIF($E89:R89,"t")+COUNTIF($E89:R89,"¶")+COUNTIF($E89:R89,"²")+COUNTIF($E89:R89,"µ")+COUNTIF($E89:R89,1)),
HYPERLINK("#Roadmap!C"&amp; MATCH($E89,Roadmap!$D:$D,0)+COUNTIF($E89:R89,"u")+COUNTIF($E89:R89,"t"),
     INDEX(Roadmap!$D:$K,MATCH($E89,Roadmap!$D:$D,0)+COUNTIF($E89:R89,"u")+COUNTIF($E89:R89,"t")+COUNTIF($E89:R89,"¶")+COUNTIF($E89:R89,"²")+COUNTIF($E89:R89,"µ")+COUNTIF($E89:R89,1),ColTypeEcheance)),
  IF(LEN(R89)=1,
  IF(LEN(INDEX(Roadmap!$D:$K,MATCH($E89,Roadmap!$D:$D,0)-1+COUNTIF($E89:R89,"u")+COUNTIF($E89:R89,"t")+COUNTIF($E89:R89,"¶")+COUNTIF($E89:R89,"²")+COUNTIF($E89:R89,"µ")+COUNTIF($E89:R89,1),ColDescriptionCourte))&gt;1,
HYPERLINK("#Roadmap!C"&amp; MATCH($E89,Roadmap!$D:$D,0)+COUNTIF($E89:R89,"u")+COUNTIF($E89:R89,"t")+COUNTIF($E89:R89,"¶")+COUNTIF($E89:R89,"²")+COUNTIF($E89:R89,"µ")+COUNTIF($E89:R89,1)-1,INDEX(Roadmap!$D:$K,MATCH($E89,Roadmap!$D:$D,0)-1+COUNTIF($E89:R89,"u")+COUNTIF($E89:R89,"t")+COUNTIF($E89:R89,"¶")+COUNTIF($E89:R89,"²")+COUNTIF($E89:R89,"µ")+COUNTIF($E89:R89,1),ColDescriptionCourte)),""),
  "")),"")</f>
        <v/>
      </c>
      <c r="T89" s="40" t="str">
        <f ca="1">IFERROR(IF(AND(
  INDEX(Roadmap!$D:$K,MATCH($E89,Roadmap!$D:$D,0)+COUNTIF($E89:S89,"u")+COUNTIF($E89:S89,"t")+COUNTIF($E89:S89,"¶")+COUNTIF($E89:S89,"²")+COUNTIF($E89:S89,"µ")+COUNTIF($E89:S89,1),ColLivraison)=T$6,
  VLOOKUP($E89,INDIRECT("tri!"&amp; CHAR(64+ C0Col) &amp;":"&amp; CHAR(65+C0Col)),2,FALSE)&gt;COUNTIF($E89:S89,"u")+COUNTIF($E89:S89,"t")+COUNTIF($E89:S89,"¶")+COUNTIF($E89:S89,"²")+COUNTIF($E89:S89,"µ")+COUNTIF($E89:S89,1)),
HYPERLINK("#Roadmap!C"&amp; MATCH($E89,Roadmap!$D:$D,0)+COUNTIF($E89:S89,"u")+COUNTIF($E89:S89,"t"),
     INDEX(Roadmap!$D:$K,MATCH($E89,Roadmap!$D:$D,0)+COUNTIF($E89:S89,"u")+COUNTIF($E89:S89,"t")+COUNTIF($E89:S89,"¶")+COUNTIF($E89:S89,"²")+COUNTIF($E89:S89,"µ")+COUNTIF($E89:S89,1),ColTypeEcheance)),
  IF(LEN(S89)=1,
  IF(LEN(INDEX(Roadmap!$D:$K,MATCH($E89,Roadmap!$D:$D,0)-1+COUNTIF($E89:S89,"u")+COUNTIF($E89:S89,"t")+COUNTIF($E89:S89,"¶")+COUNTIF($E89:S89,"²")+COUNTIF($E89:S89,"µ")+COUNTIF($E89:S89,1),ColDescriptionCourte))&gt;1,
HYPERLINK("#Roadmap!C"&amp; MATCH($E89,Roadmap!$D:$D,0)+COUNTIF($E89:S89,"u")+COUNTIF($E89:S89,"t")+COUNTIF($E89:S89,"¶")+COUNTIF($E89:S89,"²")+COUNTIF($E89:S89,"µ")+COUNTIF($E89:S89,1)-1,INDEX(Roadmap!$D:$K,MATCH($E89,Roadmap!$D:$D,0)-1+COUNTIF($E89:S89,"u")+COUNTIF($E89:S89,"t")+COUNTIF($E89:S89,"¶")+COUNTIF($E89:S89,"²")+COUNTIF($E89:S89,"µ")+COUNTIF($E89:S89,1),ColDescriptionCourte)),""),
  "")),"")</f>
        <v/>
      </c>
      <c r="U89" s="40" t="str">
        <f ca="1">IFERROR(IF(AND(
  INDEX(Roadmap!$D:$K,MATCH($E89,Roadmap!$D:$D,0)+COUNTIF($E89:T89,"u")+COUNTIF($E89:T89,"t")+COUNTIF($E89:T89,"¶")+COUNTIF($E89:T89,"²")+COUNTIF($E89:T89,"µ")+COUNTIF($E89:T89,1),ColLivraison)=U$6,
  VLOOKUP($E89,INDIRECT("tri!"&amp; CHAR(64+ C0Col) &amp;":"&amp; CHAR(65+C0Col)),2,FALSE)&gt;COUNTIF($E89:T89,"u")+COUNTIF($E89:T89,"t")+COUNTIF($E89:T89,"¶")+COUNTIF($E89:T89,"²")+COUNTIF($E89:T89,"µ")+COUNTIF($E89:T89,1)),
HYPERLINK("#Roadmap!C"&amp; MATCH($E89,Roadmap!$D:$D,0)+COUNTIF($E89:T89,"u")+COUNTIF($E89:T89,"t"),
     INDEX(Roadmap!$D:$K,MATCH($E89,Roadmap!$D:$D,0)+COUNTIF($E89:T89,"u")+COUNTIF($E89:T89,"t")+COUNTIF($E89:T89,"¶")+COUNTIF($E89:T89,"²")+COUNTIF($E89:T89,"µ")+COUNTIF($E89:T89,1),ColTypeEcheance)),
  IF(LEN(T89)=1,
  IF(LEN(INDEX(Roadmap!$D:$K,MATCH($E89,Roadmap!$D:$D,0)-1+COUNTIF($E89:T89,"u")+COUNTIF($E89:T89,"t")+COUNTIF($E89:T89,"¶")+COUNTIF($E89:T89,"²")+COUNTIF($E89:T89,"µ")+COUNTIF($E89:T89,1),ColDescriptionCourte))&gt;1,
HYPERLINK("#Roadmap!C"&amp; MATCH($E89,Roadmap!$D:$D,0)+COUNTIF($E89:T89,"u")+COUNTIF($E89:T89,"t")+COUNTIF($E89:T89,"¶")+COUNTIF($E89:T89,"²")+COUNTIF($E89:T89,"µ")+COUNTIF($E89:T89,1)-1,INDEX(Roadmap!$D:$K,MATCH($E89,Roadmap!$D:$D,0)-1+COUNTIF($E89:T89,"u")+COUNTIF($E89:T89,"t")+COUNTIF($E89:T89,"¶")+COUNTIF($E89:T89,"²")+COUNTIF($E89:T89,"µ")+COUNTIF($E89:T89,1),ColDescriptionCourte)),""),
  "")),"")</f>
        <v/>
      </c>
      <c r="V89" s="40" t="str">
        <f ca="1">IFERROR(IF(AND(
  INDEX(Roadmap!$D:$K,MATCH($E89,Roadmap!$D:$D,0)+COUNTIF($E89:U89,"u")+COUNTIF($E89:U89,"t")+COUNTIF($E89:U89,"¶")+COUNTIF($E89:U89,"²")+COUNTIF($E89:U89,"µ")+COUNTIF($E89:U89,1),ColLivraison)=V$6,
  VLOOKUP($E89,INDIRECT("tri!"&amp; CHAR(64+ C0Col) &amp;":"&amp; CHAR(65+C0Col)),2,FALSE)&gt;COUNTIF($E89:U89,"u")+COUNTIF($E89:U89,"t")+COUNTIF($E89:U89,"¶")+COUNTIF($E89:U89,"²")+COUNTIF($E89:U89,"µ")+COUNTIF($E89:U89,1)),
HYPERLINK("#Roadmap!C"&amp; MATCH($E89,Roadmap!$D:$D,0)+COUNTIF($E89:U89,"u")+COUNTIF($E89:U89,"t"),
     INDEX(Roadmap!$D:$K,MATCH($E89,Roadmap!$D:$D,0)+COUNTIF($E89:U89,"u")+COUNTIF($E89:U89,"t")+COUNTIF($E89:U89,"¶")+COUNTIF($E89:U89,"²")+COUNTIF($E89:U89,"µ")+COUNTIF($E89:U89,1),ColTypeEcheance)),
  IF(LEN(U89)=1,
  IF(LEN(INDEX(Roadmap!$D:$K,MATCH($E89,Roadmap!$D:$D,0)-1+COUNTIF($E89:U89,"u")+COUNTIF($E89:U89,"t")+COUNTIF($E89:U89,"¶")+COUNTIF($E89:U89,"²")+COUNTIF($E89:U89,"µ")+COUNTIF($E89:U89,1),ColDescriptionCourte))&gt;1,
HYPERLINK("#Roadmap!C"&amp; MATCH($E89,Roadmap!$D:$D,0)+COUNTIF($E89:U89,"u")+COUNTIF($E89:U89,"t")+COUNTIF($E89:U89,"¶")+COUNTIF($E89:U89,"²")+COUNTIF($E89:U89,"µ")+COUNTIF($E89:U89,1)-1,INDEX(Roadmap!$D:$K,MATCH($E89,Roadmap!$D:$D,0)-1+COUNTIF($E89:U89,"u")+COUNTIF($E89:U89,"t")+COUNTIF($E89:U89,"¶")+COUNTIF($E89:U89,"²")+COUNTIF($E89:U89,"µ")+COUNTIF($E89:U89,1),ColDescriptionCourte)),""),
  "")),"")</f>
        <v/>
      </c>
      <c r="W89" s="40" t="str">
        <f ca="1">IFERROR(IF(AND(
  INDEX(Roadmap!$D:$K,MATCH($E89,Roadmap!$D:$D,0)+COUNTIF($E89:V89,"u")+COUNTIF($E89:V89,"t")+COUNTIF($E89:V89,"¶")+COUNTIF($E89:V89,"²")+COUNTIF($E89:V89,"µ")+COUNTIF($E89:V89,1),ColLivraison)=W$6,
  VLOOKUP($E89,INDIRECT("tri!"&amp; CHAR(64+ C0Col) &amp;":"&amp; CHAR(65+C0Col)),2,FALSE)&gt;COUNTIF($E89:V89,"u")+COUNTIF($E89:V89,"t")+COUNTIF($E89:V89,"¶")+COUNTIF($E89:V89,"²")+COUNTIF($E89:V89,"µ")+COUNTIF($E89:V89,1)),
HYPERLINK("#Roadmap!C"&amp; MATCH($E89,Roadmap!$D:$D,0)+COUNTIF($E89:V89,"u")+COUNTIF($E89:V89,"t"),
     INDEX(Roadmap!$D:$K,MATCH($E89,Roadmap!$D:$D,0)+COUNTIF($E89:V89,"u")+COUNTIF($E89:V89,"t")+COUNTIF($E89:V89,"¶")+COUNTIF($E89:V89,"²")+COUNTIF($E89:V89,"µ")+COUNTIF($E89:V89,1),ColTypeEcheance)),
  IF(LEN(V89)=1,
  IF(LEN(INDEX(Roadmap!$D:$K,MATCH($E89,Roadmap!$D:$D,0)-1+COUNTIF($E89:V89,"u")+COUNTIF($E89:V89,"t")+COUNTIF($E89:V89,"¶")+COUNTIF($E89:V89,"²")+COUNTIF($E89:V89,"µ")+COUNTIF($E89:V89,1),ColDescriptionCourte))&gt;1,
HYPERLINK("#Roadmap!C"&amp; MATCH($E89,Roadmap!$D:$D,0)+COUNTIF($E89:V89,"u")+COUNTIF($E89:V89,"t")+COUNTIF($E89:V89,"¶")+COUNTIF($E89:V89,"²")+COUNTIF($E89:V89,"µ")+COUNTIF($E89:V89,1)-1,INDEX(Roadmap!$D:$K,MATCH($E89,Roadmap!$D:$D,0)-1+COUNTIF($E89:V89,"u")+COUNTIF($E89:V89,"t")+COUNTIF($E89:V89,"¶")+COUNTIF($E89:V89,"²")+COUNTIF($E89:V89,"µ")+COUNTIF($E89:V89,1),ColDescriptionCourte)),""),
  "")),"")</f>
        <v/>
      </c>
      <c r="X89" s="40" t="str">
        <f ca="1">IFERROR(IF(AND(
  INDEX(Roadmap!$D:$K,MATCH($E89,Roadmap!$D:$D,0)+COUNTIF($E89:W89,"u")+COUNTIF($E89:W89,"t")+COUNTIF($E89:W89,"¶")+COUNTIF($E89:W89,"²")+COUNTIF($E89:W89,"µ")+COUNTIF($E89:W89,1),ColLivraison)=X$6,
  VLOOKUP($E89,INDIRECT("tri!"&amp; CHAR(64+ C0Col) &amp;":"&amp; CHAR(65+C0Col)),2,FALSE)&gt;COUNTIF($E89:W89,"u")+COUNTIF($E89:W89,"t")+COUNTIF($E89:W89,"¶")+COUNTIF($E89:W89,"²")+COUNTIF($E89:W89,"µ")+COUNTIF($E89:W89,1)),
HYPERLINK("#Roadmap!C"&amp; MATCH($E89,Roadmap!$D:$D,0)+COUNTIF($E89:W89,"u")+COUNTIF($E89:W89,"t"),
     INDEX(Roadmap!$D:$K,MATCH($E89,Roadmap!$D:$D,0)+COUNTIF($E89:W89,"u")+COUNTIF($E89:W89,"t")+COUNTIF($E89:W89,"¶")+COUNTIF($E89:W89,"²")+COUNTIF($E89:W89,"µ")+COUNTIF($E89:W89,1),ColTypeEcheance)),
  IF(LEN(W89)=1,
  IF(LEN(INDEX(Roadmap!$D:$K,MATCH($E89,Roadmap!$D:$D,0)-1+COUNTIF($E89:W89,"u")+COUNTIF($E89:W89,"t")+COUNTIF($E89:W89,"¶")+COUNTIF($E89:W89,"²")+COUNTIF($E89:W89,"µ")+COUNTIF($E89:W89,1),ColDescriptionCourte))&gt;1,
HYPERLINK("#Roadmap!C"&amp; MATCH($E89,Roadmap!$D:$D,0)+COUNTIF($E89:W89,"u")+COUNTIF($E89:W89,"t")+COUNTIF($E89:W89,"¶")+COUNTIF($E89:W89,"²")+COUNTIF($E89:W89,"µ")+COUNTIF($E89:W89,1)-1,INDEX(Roadmap!$D:$K,MATCH($E89,Roadmap!$D:$D,0)-1+COUNTIF($E89:W89,"u")+COUNTIF($E89:W89,"t")+COUNTIF($E89:W89,"¶")+COUNTIF($E89:W89,"²")+COUNTIF($E89:W89,"µ")+COUNTIF($E89:W89,1),ColDescriptionCourte)),""),
  "")),"")</f>
        <v/>
      </c>
      <c r="Y89" s="40" t="str">
        <f ca="1">IFERROR(IF(AND(
  INDEX(Roadmap!$D:$K,MATCH($E89,Roadmap!$D:$D,0)+COUNTIF($E89:X89,"u")+COUNTIF($E89:X89,"t")+COUNTIF($E89:X89,"¶")+COUNTIF($E89:X89,"²")+COUNTIF($E89:X89,"µ")+COUNTIF($E89:X89,1),ColLivraison)=Y$6,
  VLOOKUP($E89,INDIRECT("tri!"&amp; CHAR(64+ C0Col) &amp;":"&amp; CHAR(65+C0Col)),2,FALSE)&gt;COUNTIF($E89:X89,"u")+COUNTIF($E89:X89,"t")+COUNTIF($E89:X89,"¶")+COUNTIF($E89:X89,"²")+COUNTIF($E89:X89,"µ")+COUNTIF($E89:X89,1)),
HYPERLINK("#Roadmap!C"&amp; MATCH($E89,Roadmap!$D:$D,0)+COUNTIF($E89:X89,"u")+COUNTIF($E89:X89,"t"),
     INDEX(Roadmap!$D:$K,MATCH($E89,Roadmap!$D:$D,0)+COUNTIF($E89:X89,"u")+COUNTIF($E89:X89,"t")+COUNTIF($E89:X89,"¶")+COUNTIF($E89:X89,"²")+COUNTIF($E89:X89,"µ")+COUNTIF($E89:X89,1),ColTypeEcheance)),
  IF(LEN(X89)=1,
  IF(LEN(INDEX(Roadmap!$D:$K,MATCH($E89,Roadmap!$D:$D,0)-1+COUNTIF($E89:X89,"u")+COUNTIF($E89:X89,"t")+COUNTIF($E89:X89,"¶")+COUNTIF($E89:X89,"²")+COUNTIF($E89:X89,"µ")+COUNTIF($E89:X89,1),ColDescriptionCourte))&gt;1,
HYPERLINK("#Roadmap!C"&amp; MATCH($E89,Roadmap!$D:$D,0)+COUNTIF($E89:X89,"u")+COUNTIF($E89:X89,"t")+COUNTIF($E89:X89,"¶")+COUNTIF($E89:X89,"²")+COUNTIF($E89:X89,"µ")+COUNTIF($E89:X89,1)-1,INDEX(Roadmap!$D:$K,MATCH($E89,Roadmap!$D:$D,0)-1+COUNTIF($E89:X89,"u")+COUNTIF($E89:X89,"t")+COUNTIF($E89:X89,"¶")+COUNTIF($E89:X89,"²")+COUNTIF($E89:X89,"µ")+COUNTIF($E89:X89,1),ColDescriptionCourte)),""),
  "")),"")</f>
        <v/>
      </c>
      <c r="Z89" s="40" t="str">
        <f ca="1">IFERROR(IF(AND(
  INDEX(Roadmap!$D:$K,MATCH($E89,Roadmap!$D:$D,0)+COUNTIF($E89:Y89,"u")+COUNTIF($E89:Y89,"t")+COUNTIF($E89:Y89,"¶")+COUNTIF($E89:Y89,"²")+COUNTIF($E89:Y89,"µ")+COUNTIF($E89:Y89,1),ColLivraison)=Z$6,
  VLOOKUP($E89,INDIRECT("tri!"&amp; CHAR(64+ C0Col) &amp;":"&amp; CHAR(65+C0Col)),2,FALSE)&gt;COUNTIF($E89:Y89,"u")+COUNTIF($E89:Y89,"t")+COUNTIF($E89:Y89,"¶")+COUNTIF($E89:Y89,"²")+COUNTIF($E89:Y89,"µ")+COUNTIF($E89:Y89,1)),
HYPERLINK("#Roadmap!C"&amp; MATCH($E89,Roadmap!$D:$D,0)+COUNTIF($E89:Y89,"u")+COUNTIF($E89:Y89,"t"),
     INDEX(Roadmap!$D:$K,MATCH($E89,Roadmap!$D:$D,0)+COUNTIF($E89:Y89,"u")+COUNTIF($E89:Y89,"t")+COUNTIF($E89:Y89,"¶")+COUNTIF($E89:Y89,"²")+COUNTIF($E89:Y89,"µ")+COUNTIF($E89:Y89,1),ColTypeEcheance)),
  IF(LEN(Y89)=1,
  IF(LEN(INDEX(Roadmap!$D:$K,MATCH($E89,Roadmap!$D:$D,0)-1+COUNTIF($E89:Y89,"u")+COUNTIF($E89:Y89,"t")+COUNTIF($E89:Y89,"¶")+COUNTIF($E89:Y89,"²")+COUNTIF($E89:Y89,"µ")+COUNTIF($E89:Y89,1),ColDescriptionCourte))&gt;1,
HYPERLINK("#Roadmap!C"&amp; MATCH($E89,Roadmap!$D:$D,0)+COUNTIF($E89:Y89,"u")+COUNTIF($E89:Y89,"t")+COUNTIF($E89:Y89,"¶")+COUNTIF($E89:Y89,"²")+COUNTIF($E89:Y89,"µ")+COUNTIF($E89:Y89,1)-1,INDEX(Roadmap!$D:$K,MATCH($E89,Roadmap!$D:$D,0)-1+COUNTIF($E89:Y89,"u")+COUNTIF($E89:Y89,"t")+COUNTIF($E89:Y89,"¶")+COUNTIF($E89:Y89,"²")+COUNTIF($E89:Y89,"µ")+COUNTIF($E89:Y89,1),ColDescriptionCourte)),""),
  "")),"")</f>
        <v/>
      </c>
      <c r="AA89" s="40" t="str">
        <f ca="1">IFERROR(IF(AND(
  INDEX(Roadmap!$D:$K,MATCH($E89,Roadmap!$D:$D,0)+COUNTIF($E89:Z89,"u")+COUNTIF($E89:Z89,"t")+COUNTIF($E89:Z89,"¶")+COUNTIF($E89:Z89,"²")+COUNTIF($E89:Z89,"µ")+COUNTIF($E89:Z89,1),ColLivraison)=AA$6,
  VLOOKUP($E89,INDIRECT("tri!"&amp; CHAR(64+ C0Col) &amp;":"&amp; CHAR(65+C0Col)),2,FALSE)&gt;COUNTIF($E89:Z89,"u")+COUNTIF($E89:Z89,"t")+COUNTIF($E89:Z89,"¶")+COUNTIF($E89:Z89,"²")+COUNTIF($E89:Z89,"µ")+COUNTIF($E89:Z89,1)),
HYPERLINK("#Roadmap!C"&amp; MATCH($E89,Roadmap!$D:$D,0)+COUNTIF($E89:Z89,"u")+COUNTIF($E89:Z89,"t"),
     INDEX(Roadmap!$D:$K,MATCH($E89,Roadmap!$D:$D,0)+COUNTIF($E89:Z89,"u")+COUNTIF($E89:Z89,"t")+COUNTIF($E89:Z89,"¶")+COUNTIF($E89:Z89,"²")+COUNTIF($E89:Z89,"µ")+COUNTIF($E89:Z89,1),ColTypeEcheance)),
  IF(LEN(Z89)=1,
  IF(LEN(INDEX(Roadmap!$D:$K,MATCH($E89,Roadmap!$D:$D,0)-1+COUNTIF($E89:Z89,"u")+COUNTIF($E89:Z89,"t")+COUNTIF($E89:Z89,"¶")+COUNTIF($E89:Z89,"²")+COUNTIF($E89:Z89,"µ")+COUNTIF($E89:Z89,1),ColDescriptionCourte))&gt;1,
HYPERLINK("#Roadmap!C"&amp; MATCH($E89,Roadmap!$D:$D,0)+COUNTIF($E89:Z89,"u")+COUNTIF($E89:Z89,"t")+COUNTIF($E89:Z89,"¶")+COUNTIF($E89:Z89,"²")+COUNTIF($E89:Z89,"µ")+COUNTIF($E89:Z89,1)-1,INDEX(Roadmap!$D:$K,MATCH($E89,Roadmap!$D:$D,0)-1+COUNTIF($E89:Z89,"u")+COUNTIF($E89:Z89,"t")+COUNTIF($E89:Z89,"¶")+COUNTIF($E89:Z89,"²")+COUNTIF($E89:Z89,"µ")+COUNTIF($E89:Z89,1),ColDescriptionCourte)),""),
  "")),"")</f>
        <v/>
      </c>
      <c r="AB89" s="40" t="str">
        <f ca="1">IFERROR(IF(AND(
  INDEX(Roadmap!$D:$K,MATCH($E89,Roadmap!$D:$D,0)+COUNTIF($E89:AA89,"u")+COUNTIF($E89:AA89,"t")+COUNTIF($E89:AA89,"¶")+COUNTIF($E89:AA89,"²")+COUNTIF($E89:AA89,"µ")+COUNTIF($E89:AA89,1),ColLivraison)=AB$6,
  VLOOKUP($E89,INDIRECT("tri!"&amp; CHAR(64+ C0Col) &amp;":"&amp; CHAR(65+C0Col)),2,FALSE)&gt;COUNTIF($E89:AA89,"u")+COUNTIF($E89:AA89,"t")+COUNTIF($E89:AA89,"¶")+COUNTIF($E89:AA89,"²")+COUNTIF($E89:AA89,"µ")+COUNTIF($E89:AA89,1)),
HYPERLINK("#Roadmap!C"&amp; MATCH($E89,Roadmap!$D:$D,0)+COUNTIF($E89:AA89,"u")+COUNTIF($E89:AA89,"t"),
     INDEX(Roadmap!$D:$K,MATCH($E89,Roadmap!$D:$D,0)+COUNTIF($E89:AA89,"u")+COUNTIF($E89:AA89,"t")+COUNTIF($E89:AA89,"¶")+COUNTIF($E89:AA89,"²")+COUNTIF($E89:AA89,"µ")+COUNTIF($E89:AA89,1),ColTypeEcheance)),
  IF(LEN(AA89)=1,
  IF(LEN(INDEX(Roadmap!$D:$K,MATCH($E89,Roadmap!$D:$D,0)-1+COUNTIF($E89:AA89,"u")+COUNTIF($E89:AA89,"t")+COUNTIF($E89:AA89,"¶")+COUNTIF($E89:AA89,"²")+COUNTIF($E89:AA89,"µ")+COUNTIF($E89:AA89,1),ColDescriptionCourte))&gt;1,
HYPERLINK("#Roadmap!C"&amp; MATCH($E89,Roadmap!$D:$D,0)+COUNTIF($E89:AA89,"u")+COUNTIF($E89:AA89,"t")+COUNTIF($E89:AA89,"¶")+COUNTIF($E89:AA89,"²")+COUNTIF($E89:AA89,"µ")+COUNTIF($E89:AA89,1)-1,INDEX(Roadmap!$D:$K,MATCH($E89,Roadmap!$D:$D,0)-1+COUNTIF($E89:AA89,"u")+COUNTIF($E89:AA89,"t")+COUNTIF($E89:AA89,"¶")+COUNTIF($E89:AA89,"²")+COUNTIF($E89:AA89,"µ")+COUNTIF($E89:AA89,1),ColDescriptionCourte)),""),
  "")),"")</f>
        <v/>
      </c>
      <c r="AC89" s="40" t="str">
        <f ca="1">IFERROR(IF(AND(
  INDEX(Roadmap!$D:$K,MATCH($E89,Roadmap!$D:$D,0)+COUNTIF($E89:AB89,"u")+COUNTIF($E89:AB89,"t")+COUNTIF($E89:AB89,"¶")+COUNTIF($E89:AB89,"²")+COUNTIF($E89:AB89,"µ")+COUNTIF($E89:AB89,1),ColLivraison)=AC$6,
  VLOOKUP($E89,INDIRECT("tri!"&amp; CHAR(64+ C0Col) &amp;":"&amp; CHAR(65+C0Col)),2,FALSE)&gt;COUNTIF($E89:AB89,"u")+COUNTIF($E89:AB89,"t")+COUNTIF($E89:AB89,"¶")+COUNTIF($E89:AB89,"²")+COUNTIF($E89:AB89,"µ")+COUNTIF($E89:AB89,1)),
HYPERLINK("#Roadmap!C"&amp; MATCH($E89,Roadmap!$D:$D,0)+COUNTIF($E89:AB89,"u")+COUNTIF($E89:AB89,"t"),
     INDEX(Roadmap!$D:$K,MATCH($E89,Roadmap!$D:$D,0)+COUNTIF($E89:AB89,"u")+COUNTIF($E89:AB89,"t")+COUNTIF($E89:AB89,"¶")+COUNTIF($E89:AB89,"²")+COUNTIF($E89:AB89,"µ")+COUNTIF($E89:AB89,1),ColTypeEcheance)),
  IF(LEN(AB89)=1,
  IF(LEN(INDEX(Roadmap!$D:$K,MATCH($E89,Roadmap!$D:$D,0)-1+COUNTIF($E89:AB89,"u")+COUNTIF($E89:AB89,"t")+COUNTIF($E89:AB89,"¶")+COUNTIF($E89:AB89,"²")+COUNTIF($E89:AB89,"µ")+COUNTIF($E89:AB89,1),ColDescriptionCourte))&gt;1,
HYPERLINK("#Roadmap!C"&amp; MATCH($E89,Roadmap!$D:$D,0)+COUNTIF($E89:AB89,"u")+COUNTIF($E89:AB89,"t")+COUNTIF($E89:AB89,"¶")+COUNTIF($E89:AB89,"²")+COUNTIF($E89:AB89,"µ")+COUNTIF($E89:AB89,1)-1,INDEX(Roadmap!$D:$K,MATCH($E89,Roadmap!$D:$D,0)-1+COUNTIF($E89:AB89,"u")+COUNTIF($E89:AB89,"t")+COUNTIF($E89:AB89,"¶")+COUNTIF($E89:AB89,"²")+COUNTIF($E89:AB89,"µ")+COUNTIF($E89:AB89,1),ColDescriptionCourte)),""),
  "")),"")</f>
        <v/>
      </c>
      <c r="AD89" s="40" t="str">
        <f ca="1">IFERROR(IF(AND(
  INDEX(Roadmap!$D:$K,MATCH($E89,Roadmap!$D:$D,0)+COUNTIF($E89:AC89,"u")+COUNTIF($E89:AC89,"t")+COUNTIF($E89:AC89,"¶")+COUNTIF($E89:AC89,"²")+COUNTIF($E89:AC89,"µ")+COUNTIF($E89:AC89,1),ColLivraison)=AD$6,
  VLOOKUP($E89,INDIRECT("tri!"&amp; CHAR(64+ C0Col) &amp;":"&amp; CHAR(65+C0Col)),2,FALSE)&gt;COUNTIF($E89:AC89,"u")+COUNTIF($E89:AC89,"t")+COUNTIF($E89:AC89,"¶")+COUNTIF($E89:AC89,"²")+COUNTIF($E89:AC89,"µ")+COUNTIF($E89:AC89,1)),
HYPERLINK("#Roadmap!C"&amp; MATCH($E89,Roadmap!$D:$D,0)+COUNTIF($E89:AC89,"u")+COUNTIF($E89:AC89,"t"),
     INDEX(Roadmap!$D:$K,MATCH($E89,Roadmap!$D:$D,0)+COUNTIF($E89:AC89,"u")+COUNTIF($E89:AC89,"t")+COUNTIF($E89:AC89,"¶")+COUNTIF($E89:AC89,"²")+COUNTIF($E89:AC89,"µ")+COUNTIF($E89:AC89,1),ColTypeEcheance)),
  IF(LEN(AC89)=1,
  IF(LEN(INDEX(Roadmap!$D:$K,MATCH($E89,Roadmap!$D:$D,0)-1+COUNTIF($E89:AC89,"u")+COUNTIF($E89:AC89,"t")+COUNTIF($E89:AC89,"¶")+COUNTIF($E89:AC89,"²")+COUNTIF($E89:AC89,"µ")+COUNTIF($E89:AC89,1),ColDescriptionCourte))&gt;1,
HYPERLINK("#Roadmap!C"&amp; MATCH($E89,Roadmap!$D:$D,0)+COUNTIF($E89:AC89,"u")+COUNTIF($E89:AC89,"t")+COUNTIF($E89:AC89,"¶")+COUNTIF($E89:AC89,"²")+COUNTIF($E89:AC89,"µ")+COUNTIF($E89:AC89,1)-1,INDEX(Roadmap!$D:$K,MATCH($E89,Roadmap!$D:$D,0)-1+COUNTIF($E89:AC89,"u")+COUNTIF($E89:AC89,"t")+COUNTIF($E89:AC89,"¶")+COUNTIF($E89:AC89,"²")+COUNTIF($E89:AC89,"µ")+COUNTIF($E89:AC89,1),ColDescriptionCourte)),""),
  "")),"")</f>
        <v/>
      </c>
      <c r="AE89" s="40" t="str">
        <f ca="1">IFERROR(IF(AND(
  INDEX(Roadmap!$D:$K,MATCH($E89,Roadmap!$D:$D,0)+COUNTIF($E89:AD89,"u")+COUNTIF($E89:AD89,"t")+COUNTIF($E89:AD89,"¶")+COUNTIF($E89:AD89,"²")+COUNTIF($E89:AD89,"µ")+COUNTIF($E89:AD89,1),ColLivraison)=AE$6,
  VLOOKUP($E89,INDIRECT("tri!"&amp; CHAR(64+ C0Col) &amp;":"&amp; CHAR(65+C0Col)),2,FALSE)&gt;COUNTIF($E89:AD89,"u")+COUNTIF($E89:AD89,"t")+COUNTIF($E89:AD89,"¶")+COUNTIF($E89:AD89,"²")+COUNTIF($E89:AD89,"µ")+COUNTIF($E89:AD89,1)),
HYPERLINK("#Roadmap!C"&amp; MATCH($E89,Roadmap!$D:$D,0)+COUNTIF($E89:AD89,"u")+COUNTIF($E89:AD89,"t"),
     INDEX(Roadmap!$D:$K,MATCH($E89,Roadmap!$D:$D,0)+COUNTIF($E89:AD89,"u")+COUNTIF($E89:AD89,"t")+COUNTIF($E89:AD89,"¶")+COUNTIF($E89:AD89,"²")+COUNTIF($E89:AD89,"µ")+COUNTIF($E89:AD89,1),ColTypeEcheance)),
  IF(LEN(AD89)=1,
  IF(LEN(INDEX(Roadmap!$D:$K,MATCH($E89,Roadmap!$D:$D,0)-1+COUNTIF($E89:AD89,"u")+COUNTIF($E89:AD89,"t")+COUNTIF($E89:AD89,"¶")+COUNTIF($E89:AD89,"²")+COUNTIF($E89:AD89,"µ")+COUNTIF($E89:AD89,1),ColDescriptionCourte))&gt;1,
HYPERLINK("#Roadmap!C"&amp; MATCH($E89,Roadmap!$D:$D,0)+COUNTIF($E89:AD89,"u")+COUNTIF($E89:AD89,"t")+COUNTIF($E89:AD89,"¶")+COUNTIF($E89:AD89,"²")+COUNTIF($E89:AD89,"µ")+COUNTIF($E89:AD89,1)-1,INDEX(Roadmap!$D:$K,MATCH($E89,Roadmap!$D:$D,0)-1+COUNTIF($E89:AD89,"u")+COUNTIF($E89:AD89,"t")+COUNTIF($E89:AD89,"¶")+COUNTIF($E89:AD89,"²")+COUNTIF($E89:AD89,"µ")+COUNTIF($E89:AD89,1),ColDescriptionCourte)),""),
  "")),"")</f>
        <v/>
      </c>
      <c r="AF89" s="40" t="str">
        <f ca="1">IFERROR(IF(AND(
  INDEX(Roadmap!$D:$K,MATCH($E89,Roadmap!$D:$D,0)+COUNTIF($E89:AE89,"u")+COUNTIF($E89:AE89,"t")+COUNTIF($E89:AE89,"¶")+COUNTIF($E89:AE89,"²")+COUNTIF($E89:AE89,"µ")+COUNTIF($E89:AE89,1),ColLivraison)=AF$6,
  VLOOKUP($E89,INDIRECT("tri!"&amp; CHAR(64+ C0Col) &amp;":"&amp; CHAR(65+C0Col)),2,FALSE)&gt;COUNTIF($E89:AE89,"u")+COUNTIF($E89:AE89,"t")+COUNTIF($E89:AE89,"¶")+COUNTIF($E89:AE89,"²")+COUNTIF($E89:AE89,"µ")+COUNTIF($E89:AE89,1)),
HYPERLINK("#Roadmap!C"&amp; MATCH($E89,Roadmap!$D:$D,0)+COUNTIF($E89:AE89,"u")+COUNTIF($E89:AE89,"t"),
     INDEX(Roadmap!$D:$K,MATCH($E89,Roadmap!$D:$D,0)+COUNTIF($E89:AE89,"u")+COUNTIF($E89:AE89,"t")+COUNTIF($E89:AE89,"¶")+COUNTIF($E89:AE89,"²")+COUNTIF($E89:AE89,"µ")+COUNTIF($E89:AE89,1),ColTypeEcheance)),
  IF(LEN(AE89)=1,
  IF(LEN(INDEX(Roadmap!$D:$K,MATCH($E89,Roadmap!$D:$D,0)-1+COUNTIF($E89:AE89,"u")+COUNTIF($E89:AE89,"t")+COUNTIF($E89:AE89,"¶")+COUNTIF($E89:AE89,"²")+COUNTIF($E89:AE89,"µ")+COUNTIF($E89:AE89,1),ColDescriptionCourte))&gt;1,
HYPERLINK("#Roadmap!C"&amp; MATCH($E89,Roadmap!$D:$D,0)+COUNTIF($E89:AE89,"u")+COUNTIF($E89:AE89,"t")+COUNTIF($E89:AE89,"¶")+COUNTIF($E89:AE89,"²")+COUNTIF($E89:AE89,"µ")+COUNTIF($E89:AE89,1)-1,INDEX(Roadmap!$D:$K,MATCH($E89,Roadmap!$D:$D,0)-1+COUNTIF($E89:AE89,"u")+COUNTIF($E89:AE89,"t")+COUNTIF($E89:AE89,"¶")+COUNTIF($E89:AE89,"²")+COUNTIF($E89:AE89,"µ")+COUNTIF($E89:AE89,1),ColDescriptionCourte)),""),
  "")),"")</f>
        <v/>
      </c>
      <c r="AG89" s="40" t="str">
        <f ca="1">IFERROR(IF(AND(
  INDEX(Roadmap!$D:$K,MATCH($E89,Roadmap!$D:$D,0)+COUNTIF($E89:AF89,"u")+COUNTIF($E89:AF89,"t")+COUNTIF($E89:AF89,"¶")+COUNTIF($E89:AF89,"²")+COUNTIF($E89:AF89,"µ")+COUNTIF($E89:AF89,1),ColLivraison)=AG$6,
  VLOOKUP($E89,INDIRECT("tri!"&amp; CHAR(64+ C0Col) &amp;":"&amp; CHAR(65+C0Col)),2,FALSE)&gt;COUNTIF($E89:AF89,"u")+COUNTIF($E89:AF89,"t")+COUNTIF($E89:AF89,"¶")+COUNTIF($E89:AF89,"²")+COUNTIF($E89:AF89,"µ")+COUNTIF($E89:AF89,1)),
HYPERLINK("#Roadmap!C"&amp; MATCH($E89,Roadmap!$D:$D,0)+COUNTIF($E89:AF89,"u")+COUNTIF($E89:AF89,"t"),
     INDEX(Roadmap!$D:$K,MATCH($E89,Roadmap!$D:$D,0)+COUNTIF($E89:AF89,"u")+COUNTIF($E89:AF89,"t")+COUNTIF($E89:AF89,"¶")+COUNTIF($E89:AF89,"²")+COUNTIF($E89:AF89,"µ")+COUNTIF($E89:AF89,1),ColTypeEcheance)),
  IF(LEN(AF89)=1,
  IF(LEN(INDEX(Roadmap!$D:$K,MATCH($E89,Roadmap!$D:$D,0)-1+COUNTIF($E89:AF89,"u")+COUNTIF($E89:AF89,"t")+COUNTIF($E89:AF89,"¶")+COUNTIF($E89:AF89,"²")+COUNTIF($E89:AF89,"µ")+COUNTIF($E89:AF89,1),ColDescriptionCourte))&gt;1,
HYPERLINK("#Roadmap!C"&amp; MATCH($E89,Roadmap!$D:$D,0)+COUNTIF($E89:AF89,"u")+COUNTIF($E89:AF89,"t")+COUNTIF($E89:AF89,"¶")+COUNTIF($E89:AF89,"²")+COUNTIF($E89:AF89,"µ")+COUNTIF($E89:AF89,1)-1,INDEX(Roadmap!$D:$K,MATCH($E89,Roadmap!$D:$D,0)-1+COUNTIF($E89:AF89,"u")+COUNTIF($E89:AF89,"t")+COUNTIF($E89:AF89,"¶")+COUNTIF($E89:AF89,"²")+COUNTIF($E89:AF89,"µ")+COUNTIF($E89:AF89,1),ColDescriptionCourte)),""),
  "")),"")</f>
        <v/>
      </c>
      <c r="AH89" s="40" t="str">
        <f ca="1">IFERROR(IF(AND(
  INDEX(Roadmap!$D:$K,MATCH($E89,Roadmap!$D:$D,0)+COUNTIF($E89:AG89,"u")+COUNTIF($E89:AG89,"t")+COUNTIF($E89:AG89,1),ColLivraison)=AH$6,
  VLOOKUP($E89,INDIRECT("tri!"&amp; CHAR(64+ C0Col) &amp;":"&amp; CHAR(65+C0Col)),2,FALSE)&gt;COUNTIF($E89:AG89,"u")+COUNTIF($E89:AG89,"t")+COUNTIF($E89:AG89,1)),
HYPERLINK("#Roadmap!C"&amp; MATCH($E89,Roadmap!$D:$D,0)+COUNTIF($E89:AG89,"u")+COUNTIF($E89:AG89,"t"),
     INDEX(Roadmap!$D:$K,MATCH($E89,Roadmap!$D:$D,0)+COUNTIF($E89:AG89,"u")+COUNTIF($E89:AG89,"t")+COUNTIF($E89:AG89,1),ColTypeEcheance)),
  IF(OR(AG89="u",AG89="t",AG89=1),
  IF(LEN(INDEX(Roadmap!$D:$K,MATCH($E89,Roadmap!$D:$D,0)-1+COUNTIF($E89:AG89,"u")+COUNTIF($E89:AG89,"t")+COUNTIF($E89:AG89,1),ColDescriptionCourte))&gt;1,
HYPERLINK("#Roadmap!C"&amp; MATCH($E89,Roadmap!$D:$D,0)+COUNTIF($E89:AG89,"u")+COUNTIF($E89:AG89,"t")+COUNTIF($E89:AG89,1)-1,INDEX(Roadmap!$D:$K,MATCH($E89,Roadmap!$D:$D,0)-1+COUNTIF($E89:AG89,"u")+COUNTIF($E89:AG89,"t")+COUNTIF($E89:AG89,1),ColDescriptionCourte)),""),
  "")),"")</f>
        <v/>
      </c>
      <c r="AI89" s="40"/>
      <c r="AJ89" s="40"/>
      <c r="AK89" s="40"/>
      <c r="AL89" s="40"/>
      <c r="AM89" s="40"/>
    </row>
    <row r="90" spans="4:39" ht="14.1" customHeight="1">
      <c r="D90" s="20" t="str">
        <f t="shared" ca="1" si="29"/>
        <v/>
      </c>
      <c r="E90" s="53" t="str">
        <f t="shared" ca="1" si="30"/>
        <v/>
      </c>
      <c r="F90" s="39" t="str">
        <f ca="1">IFERROR(IF(AND(
  INDEX(Roadmap!$D:$K,MATCH($E90,Roadmap!$D:$D,0)+COUNTIF($E90:E90,"u")+COUNTIF($E90:E90,"t")+COUNTIF($E90:E90,"¶")+COUNTIF($E90:E90,"²")+COUNTIF($E90:E90,"µ")+COUNTIF($E90:E90,1),ColLivraison)=F$6,
  VLOOKUP($E90,INDIRECT("tri!"&amp; CHAR(64+ C0Col) &amp;":"&amp; CHAR(65+C0Col)),2,FALSE)&gt;COUNTIF($E90:E90,"u")+COUNTIF($E90:E90,"t")+COUNTIF($E90:E90,"¶")+COUNTIF($E90:E90,"²")+COUNTIF($E90:E90,"µ")+COUNTIF($E90:E90,1)),
HYPERLINK("#Roadmap!C"&amp; MATCH($E90,Roadmap!$D:$D,0)+COUNTIF($E90:E90,"u")+COUNTIF($E90:E90,"t"),
     INDEX(Roadmap!$D:$K,MATCH($E90,Roadmap!$D:$D,0)+COUNTIF($E90:E90,"u")+COUNTIF($E90:E90,"t")+COUNTIF($E90:E90,"¶")+COUNTIF($E90:E90,"²")+COUNTIF($E90:E90,"µ")+COUNTIF($E90:E90,1),ColTypeEcheance)),
  IF(LEN(E90)=1,
  IF(LEN(INDEX(Roadmap!$D:$K,MATCH($E90,Roadmap!$D:$D,0)-1+COUNTIF($E90:E90,"u")+COUNTIF($E90:E90,"t")+COUNTIF($E90:E90,"¶")+COUNTIF($E90:E90,"²")+COUNTIF($E90:E90,"µ")+COUNTIF($E90:E90,1),ColDescriptionCourte))&gt;1,
HYPERLINK("#Roadmap!C"&amp; MATCH($E90,Roadmap!$D:$D,0)+COUNTIF($E90:E90,"u")+COUNTIF($E90:E90,"t")+COUNTIF($E90:E90,"¶")+COUNTIF($E90:E90,"²")+COUNTIF($E90:E90,"µ")+COUNTIF($E90:E90,1)-1,INDEX(Roadmap!$D:$K,MATCH($E90,Roadmap!$D:$D,0)-1+COUNTIF($E90:E90,"u")+COUNTIF($E90:E90,"t")+COUNTIF($E90:E90,"¶")+COUNTIF($E90:E90,"²")+COUNTIF($E90:E90,"µ")+COUNTIF($E90:E90,1),ColDescriptionCourte)),""),
  "")),"")</f>
        <v/>
      </c>
      <c r="G90" s="40" t="str">
        <f ca="1">IFERROR(IF(AND(
  INDEX(Roadmap!$D:$K,MATCH($E90,Roadmap!$D:$D,0)+COUNTIF($E90:F90,"u")+COUNTIF($E90:F90,"t")+COUNTIF($E90:F90,"¶")+COUNTIF($E90:F90,"²")+COUNTIF($E90:F90,"µ")+COUNTIF($E90:F90,1),ColLivraison)=G$6,
  VLOOKUP($E90,INDIRECT("tri!"&amp; CHAR(64+ C0Col) &amp;":"&amp; CHAR(65+C0Col)),2,FALSE)&gt;COUNTIF($E90:F90,"u")+COUNTIF($E90:F90,"t")+COUNTIF($E90:F90,"¶")+COUNTIF($E90:F90,"²")+COUNTIF($E90:F90,"µ")+COUNTIF($E90:F90,1)),
HYPERLINK("#Roadmap!C"&amp; MATCH($E90,Roadmap!$D:$D,0)+COUNTIF($E90:F90,"u")+COUNTIF($E90:F90,"t"),
     INDEX(Roadmap!$D:$K,MATCH($E90,Roadmap!$D:$D,0)+COUNTIF($E90:F90,"u")+COUNTIF($E90:F90,"t")+COUNTIF($E90:F90,"¶")+COUNTIF($E90:F90,"²")+COUNTIF($E90:F90,"µ")+COUNTIF($E90:F90,1),ColTypeEcheance)),
  IF(LEN(F90)=1,
  IF(LEN(INDEX(Roadmap!$D:$K,MATCH($E90,Roadmap!$D:$D,0)-1+COUNTIF($E90:F90,"u")+COUNTIF($E90:F90,"t")+COUNTIF($E90:F90,"¶")+COUNTIF($E90:F90,"²")+COUNTIF($E90:F90,"µ")+COUNTIF($E90:F90,1),ColDescriptionCourte))&gt;1,
HYPERLINK("#Roadmap!C"&amp; MATCH($E90,Roadmap!$D:$D,0)+COUNTIF($E90:F90,"u")+COUNTIF($E90:F90,"t")+COUNTIF($E90:F90,"¶")+COUNTIF($E90:F90,"²")+COUNTIF($E90:F90,"µ")+COUNTIF($E90:F90,1)-1,INDEX(Roadmap!$D:$K,MATCH($E90,Roadmap!$D:$D,0)-1+COUNTIF($E90:F90,"u")+COUNTIF($E90:F90,"t")+COUNTIF($E90:F90,"¶")+COUNTIF($E90:F90,"²")+COUNTIF($E90:F90,"µ")+COUNTIF($E90:F90,1),ColDescriptionCourte)),""),
  "")),"")</f>
        <v/>
      </c>
      <c r="H90" s="40" t="str">
        <f ca="1">IFERROR(IF(AND(
  INDEX(Roadmap!$D:$K,MATCH($E90,Roadmap!$D:$D,0)+COUNTIF($E90:G90,"u")+COUNTIF($E90:G90,"t")+COUNTIF($E90:G90,"¶")+COUNTIF($E90:G90,"²")+COUNTIF($E90:G90,"µ")+COUNTIF($E90:G90,1),ColLivraison)=H$6,
  VLOOKUP($E90,INDIRECT("tri!"&amp; CHAR(64+ C0Col) &amp;":"&amp; CHAR(65+C0Col)),2,FALSE)&gt;COUNTIF($E90:G90,"u")+COUNTIF($E90:G90,"t")+COUNTIF($E90:G90,"¶")+COUNTIF($E90:G90,"²")+COUNTIF($E90:G90,"µ")+COUNTIF($E90:G90,1)),
HYPERLINK("#Roadmap!C"&amp; MATCH($E90,Roadmap!$D:$D,0)+COUNTIF($E90:G90,"u")+COUNTIF($E90:G90,"t"),
     INDEX(Roadmap!$D:$K,MATCH($E90,Roadmap!$D:$D,0)+COUNTIF($E90:G90,"u")+COUNTIF($E90:G90,"t")+COUNTIF($E90:G90,"¶")+COUNTIF($E90:G90,"²")+COUNTIF($E90:G90,"µ")+COUNTIF($E90:G90,1),ColTypeEcheance)),
  IF(LEN(G90)=1,
  IF(LEN(INDEX(Roadmap!$D:$K,MATCH($E90,Roadmap!$D:$D,0)-1+COUNTIF($E90:G90,"u")+COUNTIF($E90:G90,"t")+COUNTIF($E90:G90,"¶")+COUNTIF($E90:G90,"²")+COUNTIF($E90:G90,"µ")+COUNTIF($E90:G90,1),ColDescriptionCourte))&gt;1,
HYPERLINK("#Roadmap!C"&amp; MATCH($E90,Roadmap!$D:$D,0)+COUNTIF($E90:G90,"u")+COUNTIF($E90:G90,"t")+COUNTIF($E90:G90,"¶")+COUNTIF($E90:G90,"²")+COUNTIF($E90:G90,"µ")+COUNTIF($E90:G90,1)-1,INDEX(Roadmap!$D:$K,MATCH($E90,Roadmap!$D:$D,0)-1+COUNTIF($E90:G90,"u")+COUNTIF($E90:G90,"t")+COUNTIF($E90:G90,"¶")+COUNTIF($E90:G90,"²")+COUNTIF($E90:G90,"µ")+COUNTIF($E90:G90,1),ColDescriptionCourte)),""),
  "")),"")</f>
        <v/>
      </c>
      <c r="I90" s="40" t="str">
        <f ca="1">IFERROR(IF(AND(
  INDEX(Roadmap!$D:$K,MATCH($E90,Roadmap!$D:$D,0)+COUNTIF($E90:H90,"u")+COUNTIF($E90:H90,"t")+COUNTIF($E90:H90,"¶")+COUNTIF($E90:H90,"²")+COUNTIF($E90:H90,"µ")+COUNTIF($E90:H90,1),ColLivraison)=I$6,
  VLOOKUP($E90,INDIRECT("tri!"&amp; CHAR(64+ C0Col) &amp;":"&amp; CHAR(65+C0Col)),2,FALSE)&gt;COUNTIF($E90:H90,"u")+COUNTIF($E90:H90,"t")+COUNTIF($E90:H90,"¶")+COUNTIF($E90:H90,"²")+COUNTIF($E90:H90,"µ")+COUNTIF($E90:H90,1)),
HYPERLINK("#Roadmap!C"&amp; MATCH($E90,Roadmap!$D:$D,0)+COUNTIF($E90:H90,"u")+COUNTIF($E90:H90,"t"),
     INDEX(Roadmap!$D:$K,MATCH($E90,Roadmap!$D:$D,0)+COUNTIF($E90:H90,"u")+COUNTIF($E90:H90,"t")+COUNTIF($E90:H90,"¶")+COUNTIF($E90:H90,"²")+COUNTIF($E90:H90,"µ")+COUNTIF($E90:H90,1),ColTypeEcheance)),
  IF(LEN(H90)=1,
  IF(LEN(INDEX(Roadmap!$D:$K,MATCH($E90,Roadmap!$D:$D,0)-1+COUNTIF($E90:H90,"u")+COUNTIF($E90:H90,"t")+COUNTIF($E90:H90,"¶")+COUNTIF($E90:H90,"²")+COUNTIF($E90:H90,"µ")+COUNTIF($E90:H90,1),ColDescriptionCourte))&gt;1,
HYPERLINK("#Roadmap!C"&amp; MATCH($E90,Roadmap!$D:$D,0)+COUNTIF($E90:H90,"u")+COUNTIF($E90:H90,"t")+COUNTIF($E90:H90,"¶")+COUNTIF($E90:H90,"²")+COUNTIF($E90:H90,"µ")+COUNTIF($E90:H90,1)-1,INDEX(Roadmap!$D:$K,MATCH($E90,Roadmap!$D:$D,0)-1+COUNTIF($E90:H90,"u")+COUNTIF($E90:H90,"t")+COUNTIF($E90:H90,"¶")+COUNTIF($E90:H90,"²")+COUNTIF($E90:H90,"µ")+COUNTIF($E90:H90,1),ColDescriptionCourte)),""),
  "")),"")</f>
        <v/>
      </c>
      <c r="J90" s="40" t="str">
        <f ca="1">IFERROR(IF(AND(
  INDEX(Roadmap!$D:$K,MATCH($E90,Roadmap!$D:$D,0)+COUNTIF($E90:I90,"u")+COUNTIF($E90:I90,"t")+COUNTIF($E90:I90,"¶")+COUNTIF($E90:I90,"²")+COUNTIF($E90:I90,"µ")+COUNTIF($E90:I90,1),ColLivraison)=J$6,
  VLOOKUP($E90,INDIRECT("tri!"&amp; CHAR(64+ C0Col) &amp;":"&amp; CHAR(65+C0Col)),2,FALSE)&gt;COUNTIF($E90:I90,"u")+COUNTIF($E90:I90,"t")+COUNTIF($E90:I90,"¶")+COUNTIF($E90:I90,"²")+COUNTIF($E90:I90,"µ")+COUNTIF($E90:I90,1)),
HYPERLINK("#Roadmap!C"&amp; MATCH($E90,Roadmap!$D:$D,0)+COUNTIF($E90:I90,"u")+COUNTIF($E90:I90,"t"),
     INDEX(Roadmap!$D:$K,MATCH($E90,Roadmap!$D:$D,0)+COUNTIF($E90:I90,"u")+COUNTIF($E90:I90,"t")+COUNTIF($E90:I90,"¶")+COUNTIF($E90:I90,"²")+COUNTIF($E90:I90,"µ")+COUNTIF($E90:I90,1),ColTypeEcheance)),
  IF(LEN(I90)=1,
  IF(LEN(INDEX(Roadmap!$D:$K,MATCH($E90,Roadmap!$D:$D,0)-1+COUNTIF($E90:I90,"u")+COUNTIF($E90:I90,"t")+COUNTIF($E90:I90,"¶")+COUNTIF($E90:I90,"²")+COUNTIF($E90:I90,"µ")+COUNTIF($E90:I90,1),ColDescriptionCourte))&gt;1,
HYPERLINK("#Roadmap!C"&amp; MATCH($E90,Roadmap!$D:$D,0)+COUNTIF($E90:I90,"u")+COUNTIF($E90:I90,"t")+COUNTIF($E90:I90,"¶")+COUNTIF($E90:I90,"²")+COUNTIF($E90:I90,"µ")+COUNTIF($E90:I90,1)-1,INDEX(Roadmap!$D:$K,MATCH($E90,Roadmap!$D:$D,0)-1+COUNTIF($E90:I90,"u")+COUNTIF($E90:I90,"t")+COUNTIF($E90:I90,"¶")+COUNTIF($E90:I90,"²")+COUNTIF($E90:I90,"µ")+COUNTIF($E90:I90,1),ColDescriptionCourte)),""),
  "")),"")</f>
        <v/>
      </c>
      <c r="K90" s="40" t="str">
        <f ca="1">IFERROR(IF(AND(
  INDEX(Roadmap!$D:$K,MATCH($E90,Roadmap!$D:$D,0)+COUNTIF($E90:J90,"u")+COUNTIF($E90:J90,"t")+COUNTIF($E90:J90,"¶")+COUNTIF($E90:J90,"²")+COUNTIF($E90:J90,"µ")+COUNTIF($E90:J90,1),ColLivraison)=K$6,
  VLOOKUP($E90,INDIRECT("tri!"&amp; CHAR(64+ C0Col) &amp;":"&amp; CHAR(65+C0Col)),2,FALSE)&gt;COUNTIF($E90:J90,"u")+COUNTIF($E90:J90,"t")+COUNTIF($E90:J90,"¶")+COUNTIF($E90:J90,"²")+COUNTIF($E90:J90,"µ")+COUNTIF($E90:J90,1)),
HYPERLINK("#Roadmap!C"&amp; MATCH($E90,Roadmap!$D:$D,0)+COUNTIF($E90:J90,"u")+COUNTIF($E90:J90,"t"),
     INDEX(Roadmap!$D:$K,MATCH($E90,Roadmap!$D:$D,0)+COUNTIF($E90:J90,"u")+COUNTIF($E90:J90,"t")+COUNTIF($E90:J90,"¶")+COUNTIF($E90:J90,"²")+COUNTIF($E90:J90,"µ")+COUNTIF($E90:J90,1),ColTypeEcheance)),
  IF(LEN(J90)=1,
  IF(LEN(INDEX(Roadmap!$D:$K,MATCH($E90,Roadmap!$D:$D,0)-1+COUNTIF($E90:J90,"u")+COUNTIF($E90:J90,"t")+COUNTIF($E90:J90,"¶")+COUNTIF($E90:J90,"²")+COUNTIF($E90:J90,"µ")+COUNTIF($E90:J90,1),ColDescriptionCourte))&gt;1,
HYPERLINK("#Roadmap!C"&amp; MATCH($E90,Roadmap!$D:$D,0)+COUNTIF($E90:J90,"u")+COUNTIF($E90:J90,"t")+COUNTIF($E90:J90,"¶")+COUNTIF($E90:J90,"²")+COUNTIF($E90:J90,"µ")+COUNTIF($E90:J90,1)-1,INDEX(Roadmap!$D:$K,MATCH($E90,Roadmap!$D:$D,0)-1+COUNTIF($E90:J90,"u")+COUNTIF($E90:J90,"t")+COUNTIF($E90:J90,"¶")+COUNTIF($E90:J90,"²")+COUNTIF($E90:J90,"µ")+COUNTIF($E90:J90,1),ColDescriptionCourte)),""),
  "")),"")</f>
        <v/>
      </c>
      <c r="L90" s="39" t="str">
        <f ca="1">IFERROR(IF(AND(
  INDEX(Roadmap!$D:$K,MATCH($E90,Roadmap!$D:$D,0)+COUNTIF($E90:K90,"u")+COUNTIF($E90:K90,"t")+COUNTIF($E90:K90,"¶")+COUNTIF($E90:K90,"²")+COUNTIF($E90:K90,"µ")+COUNTIF($E90:K90,1),ColLivraison)=L$6,
  VLOOKUP($E90,INDIRECT("tri!"&amp; CHAR(64+ C0Col) &amp;":"&amp; CHAR(65+C0Col)),2,FALSE)&gt;COUNTIF($E90:K90,"u")+COUNTIF($E90:K90,"t")+COUNTIF($E90:K90,"¶")+COUNTIF($E90:K90,"²")+COUNTIF($E90:K90,"µ")+COUNTIF($E90:K90,1)),
HYPERLINK("#Roadmap!C"&amp; MATCH($E90,Roadmap!$D:$D,0)+COUNTIF($E90:K90,"u")+COUNTIF($E90:K90,"t"),
     INDEX(Roadmap!$D:$K,MATCH($E90,Roadmap!$D:$D,0)+COUNTIF($E90:K90,"u")+COUNTIF($E90:K90,"t")+COUNTIF($E90:K90,"¶")+COUNTIF($E90:K90,"²")+COUNTIF($E90:K90,"µ")+COUNTIF($E90:K90,1),ColTypeEcheance)),
  IF(LEN(K90)=1,
  IF(LEN(INDEX(Roadmap!$D:$K,MATCH($E90,Roadmap!$D:$D,0)-1+COUNTIF($E90:K90,"u")+COUNTIF($E90:K90,"t")+COUNTIF($E90:K90,"¶")+COUNTIF($E90:K90,"²")+COUNTIF($E90:K90,"µ")+COUNTIF($E90:K90,1),ColDescriptionCourte))&gt;1,
HYPERLINK("#Roadmap!C"&amp; MATCH($E90,Roadmap!$D:$D,0)+COUNTIF($E90:K90,"u")+COUNTIF($E90:K90,"t")+COUNTIF($E90:K90,"¶")+COUNTIF($E90:K90,"²")+COUNTIF($E90:K90,"µ")+COUNTIF($E90:K90,1)-1,INDEX(Roadmap!$D:$K,MATCH($E90,Roadmap!$D:$D,0)-1+COUNTIF($E90:K90,"u")+COUNTIF($E90:K90,"t")+COUNTIF($E90:K90,"¶")+COUNTIF($E90:K90,"²")+COUNTIF($E90:K90,"µ")+COUNTIF($E90:K90,1),ColDescriptionCourte)),""),
  "")),"")</f>
        <v/>
      </c>
      <c r="M90" s="40" t="str">
        <f ca="1">IFERROR(IF(AND(
  INDEX(Roadmap!$D:$K,MATCH($E90,Roadmap!$D:$D,0)+COUNTIF($E90:L90,"u")+COUNTIF($E90:L90,"t")+COUNTIF($E90:L90,"¶")+COUNTIF($E90:L90,"²")+COUNTIF($E90:L90,"µ")+COUNTIF($E90:L90,1),ColLivraison)=M$6,
  VLOOKUP($E90,INDIRECT("tri!"&amp; CHAR(64+ C0Col) &amp;":"&amp; CHAR(65+C0Col)),2,FALSE)&gt;COUNTIF($E90:L90,"u")+COUNTIF($E90:L90,"t")+COUNTIF($E90:L90,"¶")+COUNTIF($E90:L90,"²")+COUNTIF($E90:L90,"µ")+COUNTIF($E90:L90,1)),
HYPERLINK("#Roadmap!C"&amp; MATCH($E90,Roadmap!$D:$D,0)+COUNTIF($E90:L90,"u")+COUNTIF($E90:L90,"t"),
     INDEX(Roadmap!$D:$K,MATCH($E90,Roadmap!$D:$D,0)+COUNTIF($E90:L90,"u")+COUNTIF($E90:L90,"t")+COUNTIF($E90:L90,"¶")+COUNTIF($E90:L90,"²")+COUNTIF($E90:L90,"µ")+COUNTIF($E90:L90,1),ColTypeEcheance)),
  IF(LEN(L90)=1,
  IF(LEN(INDEX(Roadmap!$D:$K,MATCH($E90,Roadmap!$D:$D,0)-1+COUNTIF($E90:L90,"u")+COUNTIF($E90:L90,"t")+COUNTIF($E90:L90,"¶")+COUNTIF($E90:L90,"²")+COUNTIF($E90:L90,"µ")+COUNTIF($E90:L90,1),ColDescriptionCourte))&gt;1,
HYPERLINK("#Roadmap!C"&amp; MATCH($E90,Roadmap!$D:$D,0)+COUNTIF($E90:L90,"u")+COUNTIF($E90:L90,"t")+COUNTIF($E90:L90,"¶")+COUNTIF($E90:L90,"²")+COUNTIF($E90:L90,"µ")+COUNTIF($E90:L90,1)-1,INDEX(Roadmap!$D:$K,MATCH($E90,Roadmap!$D:$D,0)-1+COUNTIF($E90:L90,"u")+COUNTIF($E90:L90,"t")+COUNTIF($E90:L90,"¶")+COUNTIF($E90:L90,"²")+COUNTIF($E90:L90,"µ")+COUNTIF($E90:L90,1),ColDescriptionCourte)),""),
  "")),"")</f>
        <v/>
      </c>
      <c r="N90" s="40" t="str">
        <f ca="1">IFERROR(IF(AND(
  INDEX(Roadmap!$D:$K,MATCH($E90,Roadmap!$D:$D,0)+COUNTIF($E90:M90,"u")+COUNTIF($E90:M90,"t")+COUNTIF($E90:M90,"¶")+COUNTIF($E90:M90,"²")+COUNTIF($E90:M90,"µ")+COUNTIF($E90:M90,1),ColLivraison)=N$6,
  VLOOKUP($E90,INDIRECT("tri!"&amp; CHAR(64+ C0Col) &amp;":"&amp; CHAR(65+C0Col)),2,FALSE)&gt;COUNTIF($E90:M90,"u")+COUNTIF($E90:M90,"t")+COUNTIF($E90:M90,"¶")+COUNTIF($E90:M90,"²")+COUNTIF($E90:M90,"µ")+COUNTIF($E90:M90,1)),
HYPERLINK("#Roadmap!C"&amp; MATCH($E90,Roadmap!$D:$D,0)+COUNTIF($E90:M90,"u")+COUNTIF($E90:M90,"t"),
     INDEX(Roadmap!$D:$K,MATCH($E90,Roadmap!$D:$D,0)+COUNTIF($E90:M90,"u")+COUNTIF($E90:M90,"t")+COUNTIF($E90:M90,"¶")+COUNTIF($E90:M90,"²")+COUNTIF($E90:M90,"µ")+COUNTIF($E90:M90,1),ColTypeEcheance)),
  IF(LEN(M90)=1,
  IF(LEN(INDEX(Roadmap!$D:$K,MATCH($E90,Roadmap!$D:$D,0)-1+COUNTIF($E90:M90,"u")+COUNTIF($E90:M90,"t")+COUNTIF($E90:M90,"¶")+COUNTIF($E90:M90,"²")+COUNTIF($E90:M90,"µ")+COUNTIF($E90:M90,1),ColDescriptionCourte))&gt;1,
HYPERLINK("#Roadmap!C"&amp; MATCH($E90,Roadmap!$D:$D,0)+COUNTIF($E90:M90,"u")+COUNTIF($E90:M90,"t")+COUNTIF($E90:M90,"¶")+COUNTIF($E90:M90,"²")+COUNTIF($E90:M90,"µ")+COUNTIF($E90:M90,1)-1,INDEX(Roadmap!$D:$K,MATCH($E90,Roadmap!$D:$D,0)-1+COUNTIF($E90:M90,"u")+COUNTIF($E90:M90,"t")+COUNTIF($E90:M90,"¶")+COUNTIF($E90:M90,"²")+COUNTIF($E90:M90,"µ")+COUNTIF($E90:M90,1),ColDescriptionCourte)),""),
  "")),"")</f>
        <v/>
      </c>
      <c r="O90" s="40" t="str">
        <f ca="1">IFERROR(IF(AND(
  INDEX(Roadmap!$D:$K,MATCH($E90,Roadmap!$D:$D,0)+COUNTIF($E90:N90,"u")+COUNTIF($E90:N90,"t")+COUNTIF($E90:N90,"¶")+COUNTIF($E90:N90,"²")+COUNTIF($E90:N90,"µ")+COUNTIF($E90:N90,1),ColLivraison)=O$6,
  VLOOKUP($E90,INDIRECT("tri!"&amp; CHAR(64+ C0Col) &amp;":"&amp; CHAR(65+C0Col)),2,FALSE)&gt;COUNTIF($E90:N90,"u")+COUNTIF($E90:N90,"t")+COUNTIF($E90:N90,"¶")+COUNTIF($E90:N90,"²")+COUNTIF($E90:N90,"µ")+COUNTIF($E90:N90,1)),
HYPERLINK("#Roadmap!C"&amp; MATCH($E90,Roadmap!$D:$D,0)+COUNTIF($E90:N90,"u")+COUNTIF($E90:N90,"t"),
     INDEX(Roadmap!$D:$K,MATCH($E90,Roadmap!$D:$D,0)+COUNTIF($E90:N90,"u")+COUNTIF($E90:N90,"t")+COUNTIF($E90:N90,"¶")+COUNTIF($E90:N90,"²")+COUNTIF($E90:N90,"µ")+COUNTIF($E90:N90,1),ColTypeEcheance)),
  IF(LEN(N90)=1,
  IF(LEN(INDEX(Roadmap!$D:$K,MATCH($E90,Roadmap!$D:$D,0)-1+COUNTIF($E90:N90,"u")+COUNTIF($E90:N90,"t")+COUNTIF($E90:N90,"¶")+COUNTIF($E90:N90,"²")+COUNTIF($E90:N90,"µ")+COUNTIF($E90:N90,1),ColDescriptionCourte))&gt;1,
HYPERLINK("#Roadmap!C"&amp; MATCH($E90,Roadmap!$D:$D,0)+COUNTIF($E90:N90,"u")+COUNTIF($E90:N90,"t")+COUNTIF($E90:N90,"¶")+COUNTIF($E90:N90,"²")+COUNTIF($E90:N90,"µ")+COUNTIF($E90:N90,1)-1,INDEX(Roadmap!$D:$K,MATCH($E90,Roadmap!$D:$D,0)-1+COUNTIF($E90:N90,"u")+COUNTIF($E90:N90,"t")+COUNTIF($E90:N90,"¶")+COUNTIF($E90:N90,"²")+COUNTIF($E90:N90,"µ")+COUNTIF($E90:N90,1),ColDescriptionCourte)),""),
  "")),"")</f>
        <v/>
      </c>
      <c r="P90" s="40" t="str">
        <f ca="1">IFERROR(IF(AND(
  INDEX(Roadmap!$D:$K,MATCH($E90,Roadmap!$D:$D,0)+COUNTIF($E90:O90,"u")+COUNTIF($E90:O90,"t")+COUNTIF($E90:O90,"¶")+COUNTIF($E90:O90,"²")+COUNTIF($E90:O90,"µ")+COUNTIF($E90:O90,1),ColLivraison)=P$6,
  VLOOKUP($E90,INDIRECT("tri!"&amp; CHAR(64+ C0Col) &amp;":"&amp; CHAR(65+C0Col)),2,FALSE)&gt;COUNTIF($E90:O90,"u")+COUNTIF($E90:O90,"t")+COUNTIF($E90:O90,"¶")+COUNTIF($E90:O90,"²")+COUNTIF($E90:O90,"µ")+COUNTIF($E90:O90,1)),
HYPERLINK("#Roadmap!C"&amp; MATCH($E90,Roadmap!$D:$D,0)+COUNTIF($E90:O90,"u")+COUNTIF($E90:O90,"t"),
     INDEX(Roadmap!$D:$K,MATCH($E90,Roadmap!$D:$D,0)+COUNTIF($E90:O90,"u")+COUNTIF($E90:O90,"t")+COUNTIF($E90:O90,"¶")+COUNTIF($E90:O90,"²")+COUNTIF($E90:O90,"µ")+COUNTIF($E90:O90,1),ColTypeEcheance)),
  IF(LEN(O90)=1,
  IF(LEN(INDEX(Roadmap!$D:$K,MATCH($E90,Roadmap!$D:$D,0)-1+COUNTIF($E90:O90,"u")+COUNTIF($E90:O90,"t")+COUNTIF($E90:O90,"¶")+COUNTIF($E90:O90,"²")+COUNTIF($E90:O90,"µ")+COUNTIF($E90:O90,1),ColDescriptionCourte))&gt;1,
HYPERLINK("#Roadmap!C"&amp; MATCH($E90,Roadmap!$D:$D,0)+COUNTIF($E90:O90,"u")+COUNTIF($E90:O90,"t")+COUNTIF($E90:O90,"¶")+COUNTIF($E90:O90,"²")+COUNTIF($E90:O90,"µ")+COUNTIF($E90:O90,1)-1,INDEX(Roadmap!$D:$K,MATCH($E90,Roadmap!$D:$D,0)-1+COUNTIF($E90:O90,"u")+COUNTIF($E90:O90,"t")+COUNTIF($E90:O90,"¶")+COUNTIF($E90:O90,"²")+COUNTIF($E90:O90,"µ")+COUNTIF($E90:O90,1),ColDescriptionCourte)),""),
  "")),"")</f>
        <v/>
      </c>
      <c r="Q90" s="40" t="str">
        <f ca="1">IFERROR(IF(AND(
  INDEX(Roadmap!$D:$K,MATCH($E90,Roadmap!$D:$D,0)+COUNTIF($E90:P90,"u")+COUNTIF($E90:P90,"t")+COUNTIF($E90:P90,"¶")+COUNTIF($E90:P90,"²")+COUNTIF($E90:P90,"µ")+COUNTIF($E90:P90,1),ColLivraison)=Q$6,
  VLOOKUP($E90,INDIRECT("tri!"&amp; CHAR(64+ C0Col) &amp;":"&amp; CHAR(65+C0Col)),2,FALSE)&gt;COUNTIF($E90:P90,"u")+COUNTIF($E90:P90,"t")+COUNTIF($E90:P90,"¶")+COUNTIF($E90:P90,"²")+COUNTIF($E90:P90,"µ")+COUNTIF($E90:P90,1)),
HYPERLINK("#Roadmap!C"&amp; MATCH($E90,Roadmap!$D:$D,0)+COUNTIF($E90:P90,"u")+COUNTIF($E90:P90,"t"),
     INDEX(Roadmap!$D:$K,MATCH($E90,Roadmap!$D:$D,0)+COUNTIF($E90:P90,"u")+COUNTIF($E90:P90,"t")+COUNTIF($E90:P90,"¶")+COUNTIF($E90:P90,"²")+COUNTIF($E90:P90,"µ")+COUNTIF($E90:P90,1),ColTypeEcheance)),
  IF(LEN(P90)=1,
  IF(LEN(INDEX(Roadmap!$D:$K,MATCH($E90,Roadmap!$D:$D,0)-1+COUNTIF($E90:P90,"u")+COUNTIF($E90:P90,"t")+COUNTIF($E90:P90,"¶")+COUNTIF($E90:P90,"²")+COUNTIF($E90:P90,"µ")+COUNTIF($E90:P90,1),ColDescriptionCourte))&gt;1,
HYPERLINK("#Roadmap!C"&amp; MATCH($E90,Roadmap!$D:$D,0)+COUNTIF($E90:P90,"u")+COUNTIF($E90:P90,"t")+COUNTIF($E90:P90,"¶")+COUNTIF($E90:P90,"²")+COUNTIF($E90:P90,"µ")+COUNTIF($E90:P90,1)-1,INDEX(Roadmap!$D:$K,MATCH($E90,Roadmap!$D:$D,0)-1+COUNTIF($E90:P90,"u")+COUNTIF($E90:P90,"t")+COUNTIF($E90:P90,"¶")+COUNTIF($E90:P90,"²")+COUNTIF($E90:P90,"µ")+COUNTIF($E90:P90,1),ColDescriptionCourte)),""),
  "")),"")</f>
        <v/>
      </c>
      <c r="R90" s="40" t="str">
        <f ca="1">IFERROR(IF(AND(
  INDEX(Roadmap!$D:$K,MATCH($E90,Roadmap!$D:$D,0)+COUNTIF($E90:Q90,"u")+COUNTIF($E90:Q90,"t")+COUNTIF($E90:Q90,"¶")+COUNTIF($E90:Q90,"²")+COUNTIF($E90:Q90,"µ")+COUNTIF($E90:Q90,1),ColLivraison)=R$6,
  VLOOKUP($E90,INDIRECT("tri!"&amp; CHAR(64+ C0Col) &amp;":"&amp; CHAR(65+C0Col)),2,FALSE)&gt;COUNTIF($E90:Q90,"u")+COUNTIF($E90:Q90,"t")+COUNTIF($E90:Q90,"¶")+COUNTIF($E90:Q90,"²")+COUNTIF($E90:Q90,"µ")+COUNTIF($E90:Q90,1)),
HYPERLINK("#Roadmap!C"&amp; MATCH($E90,Roadmap!$D:$D,0)+COUNTIF($E90:Q90,"u")+COUNTIF($E90:Q90,"t"),
     INDEX(Roadmap!$D:$K,MATCH($E90,Roadmap!$D:$D,0)+COUNTIF($E90:Q90,"u")+COUNTIF($E90:Q90,"t")+COUNTIF($E90:Q90,"¶")+COUNTIF($E90:Q90,"²")+COUNTIF($E90:Q90,"µ")+COUNTIF($E90:Q90,1),ColTypeEcheance)),
  IF(LEN(Q90)=1,
  IF(LEN(INDEX(Roadmap!$D:$K,MATCH($E90,Roadmap!$D:$D,0)-1+COUNTIF($E90:Q90,"u")+COUNTIF($E90:Q90,"t")+COUNTIF($E90:Q90,"¶")+COUNTIF($E90:Q90,"²")+COUNTIF($E90:Q90,"µ")+COUNTIF($E90:Q90,1),ColDescriptionCourte))&gt;1,
HYPERLINK("#Roadmap!C"&amp; MATCH($E90,Roadmap!$D:$D,0)+COUNTIF($E90:Q90,"u")+COUNTIF($E90:Q90,"t")+COUNTIF($E90:Q90,"¶")+COUNTIF($E90:Q90,"²")+COUNTIF($E90:Q90,"µ")+COUNTIF($E90:Q90,1)-1,INDEX(Roadmap!$D:$K,MATCH($E90,Roadmap!$D:$D,0)-1+COUNTIF($E90:Q90,"u")+COUNTIF($E90:Q90,"t")+COUNTIF($E90:Q90,"¶")+COUNTIF($E90:Q90,"²")+COUNTIF($E90:Q90,"µ")+COUNTIF($E90:Q90,1),ColDescriptionCourte)),""),
  "")),"")</f>
        <v/>
      </c>
      <c r="S90" s="40" t="str">
        <f ca="1">IFERROR(IF(AND(
  INDEX(Roadmap!$D:$K,MATCH($E90,Roadmap!$D:$D,0)+COUNTIF($E90:R90,"u")+COUNTIF($E90:R90,"t")+COUNTIF($E90:R90,"¶")+COUNTIF($E90:R90,"²")+COUNTIF($E90:R90,"µ")+COUNTIF($E90:R90,1),ColLivraison)=S$6,
  VLOOKUP($E90,INDIRECT("tri!"&amp; CHAR(64+ C0Col) &amp;":"&amp; CHAR(65+C0Col)),2,FALSE)&gt;COUNTIF($E90:R90,"u")+COUNTIF($E90:R90,"t")+COUNTIF($E90:R90,"¶")+COUNTIF($E90:R90,"²")+COUNTIF($E90:R90,"µ")+COUNTIF($E90:R90,1)),
HYPERLINK("#Roadmap!C"&amp; MATCH($E90,Roadmap!$D:$D,0)+COUNTIF($E90:R90,"u")+COUNTIF($E90:R90,"t"),
     INDEX(Roadmap!$D:$K,MATCH($E90,Roadmap!$D:$D,0)+COUNTIF($E90:R90,"u")+COUNTIF($E90:R90,"t")+COUNTIF($E90:R90,"¶")+COUNTIF($E90:R90,"²")+COUNTIF($E90:R90,"µ")+COUNTIF($E90:R90,1),ColTypeEcheance)),
  IF(LEN(R90)=1,
  IF(LEN(INDEX(Roadmap!$D:$K,MATCH($E90,Roadmap!$D:$D,0)-1+COUNTIF($E90:R90,"u")+COUNTIF($E90:R90,"t")+COUNTIF($E90:R90,"¶")+COUNTIF($E90:R90,"²")+COUNTIF($E90:R90,"µ")+COUNTIF($E90:R90,1),ColDescriptionCourte))&gt;1,
HYPERLINK("#Roadmap!C"&amp; MATCH($E90,Roadmap!$D:$D,0)+COUNTIF($E90:R90,"u")+COUNTIF($E90:R90,"t")+COUNTIF($E90:R90,"¶")+COUNTIF($E90:R90,"²")+COUNTIF($E90:R90,"µ")+COUNTIF($E90:R90,1)-1,INDEX(Roadmap!$D:$K,MATCH($E90,Roadmap!$D:$D,0)-1+COUNTIF($E90:R90,"u")+COUNTIF($E90:R90,"t")+COUNTIF($E90:R90,"¶")+COUNTIF($E90:R90,"²")+COUNTIF($E90:R90,"µ")+COUNTIF($E90:R90,1),ColDescriptionCourte)),""),
  "")),"")</f>
        <v/>
      </c>
      <c r="T90" s="40" t="str">
        <f ca="1">IFERROR(IF(AND(
  INDEX(Roadmap!$D:$K,MATCH($E90,Roadmap!$D:$D,0)+COUNTIF($E90:S90,"u")+COUNTIF($E90:S90,"t")+COUNTIF($E90:S90,"¶")+COUNTIF($E90:S90,"²")+COUNTIF($E90:S90,"µ")+COUNTIF($E90:S90,1),ColLivraison)=T$6,
  VLOOKUP($E90,INDIRECT("tri!"&amp; CHAR(64+ C0Col) &amp;":"&amp; CHAR(65+C0Col)),2,FALSE)&gt;COUNTIF($E90:S90,"u")+COUNTIF($E90:S90,"t")+COUNTIF($E90:S90,"¶")+COUNTIF($E90:S90,"²")+COUNTIF($E90:S90,"µ")+COUNTIF($E90:S90,1)),
HYPERLINK("#Roadmap!C"&amp; MATCH($E90,Roadmap!$D:$D,0)+COUNTIF($E90:S90,"u")+COUNTIF($E90:S90,"t"),
     INDEX(Roadmap!$D:$K,MATCH($E90,Roadmap!$D:$D,0)+COUNTIF($E90:S90,"u")+COUNTIF($E90:S90,"t")+COUNTIF($E90:S90,"¶")+COUNTIF($E90:S90,"²")+COUNTIF($E90:S90,"µ")+COUNTIF($E90:S90,1),ColTypeEcheance)),
  IF(LEN(S90)=1,
  IF(LEN(INDEX(Roadmap!$D:$K,MATCH($E90,Roadmap!$D:$D,0)-1+COUNTIF($E90:S90,"u")+COUNTIF($E90:S90,"t")+COUNTIF($E90:S90,"¶")+COUNTIF($E90:S90,"²")+COUNTIF($E90:S90,"µ")+COUNTIF($E90:S90,1),ColDescriptionCourte))&gt;1,
HYPERLINK("#Roadmap!C"&amp; MATCH($E90,Roadmap!$D:$D,0)+COUNTIF($E90:S90,"u")+COUNTIF($E90:S90,"t")+COUNTIF($E90:S90,"¶")+COUNTIF($E90:S90,"²")+COUNTIF($E90:S90,"µ")+COUNTIF($E90:S90,1)-1,INDEX(Roadmap!$D:$K,MATCH($E90,Roadmap!$D:$D,0)-1+COUNTIF($E90:S90,"u")+COUNTIF($E90:S90,"t")+COUNTIF($E90:S90,"¶")+COUNTIF($E90:S90,"²")+COUNTIF($E90:S90,"µ")+COUNTIF($E90:S90,1),ColDescriptionCourte)),""),
  "")),"")</f>
        <v/>
      </c>
      <c r="U90" s="40" t="str">
        <f ca="1">IFERROR(IF(AND(
  INDEX(Roadmap!$D:$K,MATCH($E90,Roadmap!$D:$D,0)+COUNTIF($E90:T90,"u")+COUNTIF($E90:T90,"t")+COUNTIF($E90:T90,"¶")+COUNTIF($E90:T90,"²")+COUNTIF($E90:T90,"µ")+COUNTIF($E90:T90,1),ColLivraison)=U$6,
  VLOOKUP($E90,INDIRECT("tri!"&amp; CHAR(64+ C0Col) &amp;":"&amp; CHAR(65+C0Col)),2,FALSE)&gt;COUNTIF($E90:T90,"u")+COUNTIF($E90:T90,"t")+COUNTIF($E90:T90,"¶")+COUNTIF($E90:T90,"²")+COUNTIF($E90:T90,"µ")+COUNTIF($E90:T90,1)),
HYPERLINK("#Roadmap!C"&amp; MATCH($E90,Roadmap!$D:$D,0)+COUNTIF($E90:T90,"u")+COUNTIF($E90:T90,"t"),
     INDEX(Roadmap!$D:$K,MATCH($E90,Roadmap!$D:$D,0)+COUNTIF($E90:T90,"u")+COUNTIF($E90:T90,"t")+COUNTIF($E90:T90,"¶")+COUNTIF($E90:T90,"²")+COUNTIF($E90:T90,"µ")+COUNTIF($E90:T90,1),ColTypeEcheance)),
  IF(LEN(T90)=1,
  IF(LEN(INDEX(Roadmap!$D:$K,MATCH($E90,Roadmap!$D:$D,0)-1+COUNTIF($E90:T90,"u")+COUNTIF($E90:T90,"t")+COUNTIF($E90:T90,"¶")+COUNTIF($E90:T90,"²")+COUNTIF($E90:T90,"µ")+COUNTIF($E90:T90,1),ColDescriptionCourte))&gt;1,
HYPERLINK("#Roadmap!C"&amp; MATCH($E90,Roadmap!$D:$D,0)+COUNTIF($E90:T90,"u")+COUNTIF($E90:T90,"t")+COUNTIF($E90:T90,"¶")+COUNTIF($E90:T90,"²")+COUNTIF($E90:T90,"µ")+COUNTIF($E90:T90,1)-1,INDEX(Roadmap!$D:$K,MATCH($E90,Roadmap!$D:$D,0)-1+COUNTIF($E90:T90,"u")+COUNTIF($E90:T90,"t")+COUNTIF($E90:T90,"¶")+COUNTIF($E90:T90,"²")+COUNTIF($E90:T90,"µ")+COUNTIF($E90:T90,1),ColDescriptionCourte)),""),
  "")),"")</f>
        <v/>
      </c>
      <c r="V90" s="40" t="str">
        <f ca="1">IFERROR(IF(AND(
  INDEX(Roadmap!$D:$K,MATCH($E90,Roadmap!$D:$D,0)+COUNTIF($E90:U90,"u")+COUNTIF($E90:U90,"t")+COUNTIF($E90:U90,"¶")+COUNTIF($E90:U90,"²")+COUNTIF($E90:U90,"µ")+COUNTIF($E90:U90,1),ColLivraison)=V$6,
  VLOOKUP($E90,INDIRECT("tri!"&amp; CHAR(64+ C0Col) &amp;":"&amp; CHAR(65+C0Col)),2,FALSE)&gt;COUNTIF($E90:U90,"u")+COUNTIF($E90:U90,"t")+COUNTIF($E90:U90,"¶")+COUNTIF($E90:U90,"²")+COUNTIF($E90:U90,"µ")+COUNTIF($E90:U90,1)),
HYPERLINK("#Roadmap!C"&amp; MATCH($E90,Roadmap!$D:$D,0)+COUNTIF($E90:U90,"u")+COUNTIF($E90:U90,"t"),
     INDEX(Roadmap!$D:$K,MATCH($E90,Roadmap!$D:$D,0)+COUNTIF($E90:U90,"u")+COUNTIF($E90:U90,"t")+COUNTIF($E90:U90,"¶")+COUNTIF($E90:U90,"²")+COUNTIF($E90:U90,"µ")+COUNTIF($E90:U90,1),ColTypeEcheance)),
  IF(LEN(U90)=1,
  IF(LEN(INDEX(Roadmap!$D:$K,MATCH($E90,Roadmap!$D:$D,0)-1+COUNTIF($E90:U90,"u")+COUNTIF($E90:U90,"t")+COUNTIF($E90:U90,"¶")+COUNTIF($E90:U90,"²")+COUNTIF($E90:U90,"µ")+COUNTIF($E90:U90,1),ColDescriptionCourte))&gt;1,
HYPERLINK("#Roadmap!C"&amp; MATCH($E90,Roadmap!$D:$D,0)+COUNTIF($E90:U90,"u")+COUNTIF($E90:U90,"t")+COUNTIF($E90:U90,"¶")+COUNTIF($E90:U90,"²")+COUNTIF($E90:U90,"µ")+COUNTIF($E90:U90,1)-1,INDEX(Roadmap!$D:$K,MATCH($E90,Roadmap!$D:$D,0)-1+COUNTIF($E90:U90,"u")+COUNTIF($E90:U90,"t")+COUNTIF($E90:U90,"¶")+COUNTIF($E90:U90,"²")+COUNTIF($E90:U90,"µ")+COUNTIF($E90:U90,1),ColDescriptionCourte)),""),
  "")),"")</f>
        <v/>
      </c>
      <c r="W90" s="40" t="str">
        <f ca="1">IFERROR(IF(AND(
  INDEX(Roadmap!$D:$K,MATCH($E90,Roadmap!$D:$D,0)+COUNTIF($E90:V90,"u")+COUNTIF($E90:V90,"t")+COUNTIF($E90:V90,"¶")+COUNTIF($E90:V90,"²")+COUNTIF($E90:V90,"µ")+COUNTIF($E90:V90,1),ColLivraison)=W$6,
  VLOOKUP($E90,INDIRECT("tri!"&amp; CHAR(64+ C0Col) &amp;":"&amp; CHAR(65+C0Col)),2,FALSE)&gt;COUNTIF($E90:V90,"u")+COUNTIF($E90:V90,"t")+COUNTIF($E90:V90,"¶")+COUNTIF($E90:V90,"²")+COUNTIF($E90:V90,"µ")+COUNTIF($E90:V90,1)),
HYPERLINK("#Roadmap!C"&amp; MATCH($E90,Roadmap!$D:$D,0)+COUNTIF($E90:V90,"u")+COUNTIF($E90:V90,"t"),
     INDEX(Roadmap!$D:$K,MATCH($E90,Roadmap!$D:$D,0)+COUNTIF($E90:V90,"u")+COUNTIF($E90:V90,"t")+COUNTIF($E90:V90,"¶")+COUNTIF($E90:V90,"²")+COUNTIF($E90:V90,"µ")+COUNTIF($E90:V90,1),ColTypeEcheance)),
  IF(LEN(V90)=1,
  IF(LEN(INDEX(Roadmap!$D:$K,MATCH($E90,Roadmap!$D:$D,0)-1+COUNTIF($E90:V90,"u")+COUNTIF($E90:V90,"t")+COUNTIF($E90:V90,"¶")+COUNTIF($E90:V90,"²")+COUNTIF($E90:V90,"µ")+COUNTIF($E90:V90,1),ColDescriptionCourte))&gt;1,
HYPERLINK("#Roadmap!C"&amp; MATCH($E90,Roadmap!$D:$D,0)+COUNTIF($E90:V90,"u")+COUNTIF($E90:V90,"t")+COUNTIF($E90:V90,"¶")+COUNTIF($E90:V90,"²")+COUNTIF($E90:V90,"µ")+COUNTIF($E90:V90,1)-1,INDEX(Roadmap!$D:$K,MATCH($E90,Roadmap!$D:$D,0)-1+COUNTIF($E90:V90,"u")+COUNTIF($E90:V90,"t")+COUNTIF($E90:V90,"¶")+COUNTIF($E90:V90,"²")+COUNTIF($E90:V90,"µ")+COUNTIF($E90:V90,1),ColDescriptionCourte)),""),
  "")),"")</f>
        <v/>
      </c>
      <c r="X90" s="40" t="str">
        <f ca="1">IFERROR(IF(AND(
  INDEX(Roadmap!$D:$K,MATCH($E90,Roadmap!$D:$D,0)+COUNTIF($E90:W90,"u")+COUNTIF($E90:W90,"t")+COUNTIF($E90:W90,"¶")+COUNTIF($E90:W90,"²")+COUNTIF($E90:W90,"µ")+COUNTIF($E90:W90,1),ColLivraison)=X$6,
  VLOOKUP($E90,INDIRECT("tri!"&amp; CHAR(64+ C0Col) &amp;":"&amp; CHAR(65+C0Col)),2,FALSE)&gt;COUNTIF($E90:W90,"u")+COUNTIF($E90:W90,"t")+COUNTIF($E90:W90,"¶")+COUNTIF($E90:W90,"²")+COUNTIF($E90:W90,"µ")+COUNTIF($E90:W90,1)),
HYPERLINK("#Roadmap!C"&amp; MATCH($E90,Roadmap!$D:$D,0)+COUNTIF($E90:W90,"u")+COUNTIF($E90:W90,"t"),
     INDEX(Roadmap!$D:$K,MATCH($E90,Roadmap!$D:$D,0)+COUNTIF($E90:W90,"u")+COUNTIF($E90:W90,"t")+COUNTIF($E90:W90,"¶")+COUNTIF($E90:W90,"²")+COUNTIF($E90:W90,"µ")+COUNTIF($E90:W90,1),ColTypeEcheance)),
  IF(LEN(W90)=1,
  IF(LEN(INDEX(Roadmap!$D:$K,MATCH($E90,Roadmap!$D:$D,0)-1+COUNTIF($E90:W90,"u")+COUNTIF($E90:W90,"t")+COUNTIF($E90:W90,"¶")+COUNTIF($E90:W90,"²")+COUNTIF($E90:W90,"µ")+COUNTIF($E90:W90,1),ColDescriptionCourte))&gt;1,
HYPERLINK("#Roadmap!C"&amp; MATCH($E90,Roadmap!$D:$D,0)+COUNTIF($E90:W90,"u")+COUNTIF($E90:W90,"t")+COUNTIF($E90:W90,"¶")+COUNTIF($E90:W90,"²")+COUNTIF($E90:W90,"µ")+COUNTIF($E90:W90,1)-1,INDEX(Roadmap!$D:$K,MATCH($E90,Roadmap!$D:$D,0)-1+COUNTIF($E90:W90,"u")+COUNTIF($E90:W90,"t")+COUNTIF($E90:W90,"¶")+COUNTIF($E90:W90,"²")+COUNTIF($E90:W90,"µ")+COUNTIF($E90:W90,1),ColDescriptionCourte)),""),
  "")),"")</f>
        <v/>
      </c>
      <c r="Y90" s="40" t="str">
        <f ca="1">IFERROR(IF(AND(
  INDEX(Roadmap!$D:$K,MATCH($E90,Roadmap!$D:$D,0)+COUNTIF($E90:X90,"u")+COUNTIF($E90:X90,"t")+COUNTIF($E90:X90,"¶")+COUNTIF($E90:X90,"²")+COUNTIF($E90:X90,"µ")+COUNTIF($E90:X90,1),ColLivraison)=Y$6,
  VLOOKUP($E90,INDIRECT("tri!"&amp; CHAR(64+ C0Col) &amp;":"&amp; CHAR(65+C0Col)),2,FALSE)&gt;COUNTIF($E90:X90,"u")+COUNTIF($E90:X90,"t")+COUNTIF($E90:X90,"¶")+COUNTIF($E90:X90,"²")+COUNTIF($E90:X90,"µ")+COUNTIF($E90:X90,1)),
HYPERLINK("#Roadmap!C"&amp; MATCH($E90,Roadmap!$D:$D,0)+COUNTIF($E90:X90,"u")+COUNTIF($E90:X90,"t"),
     INDEX(Roadmap!$D:$K,MATCH($E90,Roadmap!$D:$D,0)+COUNTIF($E90:X90,"u")+COUNTIF($E90:X90,"t")+COUNTIF($E90:X90,"¶")+COUNTIF($E90:X90,"²")+COUNTIF($E90:X90,"µ")+COUNTIF($E90:X90,1),ColTypeEcheance)),
  IF(LEN(X90)=1,
  IF(LEN(INDEX(Roadmap!$D:$K,MATCH($E90,Roadmap!$D:$D,0)-1+COUNTIF($E90:X90,"u")+COUNTIF($E90:X90,"t")+COUNTIF($E90:X90,"¶")+COUNTIF($E90:X90,"²")+COUNTIF($E90:X90,"µ")+COUNTIF($E90:X90,1),ColDescriptionCourte))&gt;1,
HYPERLINK("#Roadmap!C"&amp; MATCH($E90,Roadmap!$D:$D,0)+COUNTIF($E90:X90,"u")+COUNTIF($E90:X90,"t")+COUNTIF($E90:X90,"¶")+COUNTIF($E90:X90,"²")+COUNTIF($E90:X90,"µ")+COUNTIF($E90:X90,1)-1,INDEX(Roadmap!$D:$K,MATCH($E90,Roadmap!$D:$D,0)-1+COUNTIF($E90:X90,"u")+COUNTIF($E90:X90,"t")+COUNTIF($E90:X90,"¶")+COUNTIF($E90:X90,"²")+COUNTIF($E90:X90,"µ")+COUNTIF($E90:X90,1),ColDescriptionCourte)),""),
  "")),"")</f>
        <v/>
      </c>
      <c r="Z90" s="40" t="str">
        <f ca="1">IFERROR(IF(AND(
  INDEX(Roadmap!$D:$K,MATCH($E90,Roadmap!$D:$D,0)+COUNTIF($E90:Y90,"u")+COUNTIF($E90:Y90,"t")+COUNTIF($E90:Y90,"¶")+COUNTIF($E90:Y90,"²")+COUNTIF($E90:Y90,"µ")+COUNTIF($E90:Y90,1),ColLivraison)=Z$6,
  VLOOKUP($E90,INDIRECT("tri!"&amp; CHAR(64+ C0Col) &amp;":"&amp; CHAR(65+C0Col)),2,FALSE)&gt;COUNTIF($E90:Y90,"u")+COUNTIF($E90:Y90,"t")+COUNTIF($E90:Y90,"¶")+COUNTIF($E90:Y90,"²")+COUNTIF($E90:Y90,"µ")+COUNTIF($E90:Y90,1)),
HYPERLINK("#Roadmap!C"&amp; MATCH($E90,Roadmap!$D:$D,0)+COUNTIF($E90:Y90,"u")+COUNTIF($E90:Y90,"t"),
     INDEX(Roadmap!$D:$K,MATCH($E90,Roadmap!$D:$D,0)+COUNTIF($E90:Y90,"u")+COUNTIF($E90:Y90,"t")+COUNTIF($E90:Y90,"¶")+COUNTIF($E90:Y90,"²")+COUNTIF($E90:Y90,"µ")+COUNTIF($E90:Y90,1),ColTypeEcheance)),
  IF(LEN(Y90)=1,
  IF(LEN(INDEX(Roadmap!$D:$K,MATCH($E90,Roadmap!$D:$D,0)-1+COUNTIF($E90:Y90,"u")+COUNTIF($E90:Y90,"t")+COUNTIF($E90:Y90,"¶")+COUNTIF($E90:Y90,"²")+COUNTIF($E90:Y90,"µ")+COUNTIF($E90:Y90,1),ColDescriptionCourte))&gt;1,
HYPERLINK("#Roadmap!C"&amp; MATCH($E90,Roadmap!$D:$D,0)+COUNTIF($E90:Y90,"u")+COUNTIF($E90:Y90,"t")+COUNTIF($E90:Y90,"¶")+COUNTIF($E90:Y90,"²")+COUNTIF($E90:Y90,"µ")+COUNTIF($E90:Y90,1)-1,INDEX(Roadmap!$D:$K,MATCH($E90,Roadmap!$D:$D,0)-1+COUNTIF($E90:Y90,"u")+COUNTIF($E90:Y90,"t")+COUNTIF($E90:Y90,"¶")+COUNTIF($E90:Y90,"²")+COUNTIF($E90:Y90,"µ")+COUNTIF($E90:Y90,1),ColDescriptionCourte)),""),
  "")),"")</f>
        <v/>
      </c>
      <c r="AA90" s="40" t="str">
        <f ca="1">IFERROR(IF(AND(
  INDEX(Roadmap!$D:$K,MATCH($E90,Roadmap!$D:$D,0)+COUNTIF($E90:Z90,"u")+COUNTIF($E90:Z90,"t")+COUNTIF($E90:Z90,"¶")+COUNTIF($E90:Z90,"²")+COUNTIF($E90:Z90,"µ")+COUNTIF($E90:Z90,1),ColLivraison)=AA$6,
  VLOOKUP($E90,INDIRECT("tri!"&amp; CHAR(64+ C0Col) &amp;":"&amp; CHAR(65+C0Col)),2,FALSE)&gt;COUNTIF($E90:Z90,"u")+COUNTIF($E90:Z90,"t")+COUNTIF($E90:Z90,"¶")+COUNTIF($E90:Z90,"²")+COUNTIF($E90:Z90,"µ")+COUNTIF($E90:Z90,1)),
HYPERLINK("#Roadmap!C"&amp; MATCH($E90,Roadmap!$D:$D,0)+COUNTIF($E90:Z90,"u")+COUNTIF($E90:Z90,"t"),
     INDEX(Roadmap!$D:$K,MATCH($E90,Roadmap!$D:$D,0)+COUNTIF($E90:Z90,"u")+COUNTIF($E90:Z90,"t")+COUNTIF($E90:Z90,"¶")+COUNTIF($E90:Z90,"²")+COUNTIF($E90:Z90,"µ")+COUNTIF($E90:Z90,1),ColTypeEcheance)),
  IF(LEN(Z90)=1,
  IF(LEN(INDEX(Roadmap!$D:$K,MATCH($E90,Roadmap!$D:$D,0)-1+COUNTIF($E90:Z90,"u")+COUNTIF($E90:Z90,"t")+COUNTIF($E90:Z90,"¶")+COUNTIF($E90:Z90,"²")+COUNTIF($E90:Z90,"µ")+COUNTIF($E90:Z90,1),ColDescriptionCourte))&gt;1,
HYPERLINK("#Roadmap!C"&amp; MATCH($E90,Roadmap!$D:$D,0)+COUNTIF($E90:Z90,"u")+COUNTIF($E90:Z90,"t")+COUNTIF($E90:Z90,"¶")+COUNTIF($E90:Z90,"²")+COUNTIF($E90:Z90,"µ")+COUNTIF($E90:Z90,1)-1,INDEX(Roadmap!$D:$K,MATCH($E90,Roadmap!$D:$D,0)-1+COUNTIF($E90:Z90,"u")+COUNTIF($E90:Z90,"t")+COUNTIF($E90:Z90,"¶")+COUNTIF($E90:Z90,"²")+COUNTIF($E90:Z90,"µ")+COUNTIF($E90:Z90,1),ColDescriptionCourte)),""),
  "")),"")</f>
        <v/>
      </c>
      <c r="AB90" s="40" t="str">
        <f ca="1">IFERROR(IF(AND(
  INDEX(Roadmap!$D:$K,MATCH($E90,Roadmap!$D:$D,0)+COUNTIF($E90:AA90,"u")+COUNTIF($E90:AA90,"t")+COUNTIF($E90:AA90,"¶")+COUNTIF($E90:AA90,"²")+COUNTIF($E90:AA90,"µ")+COUNTIF($E90:AA90,1),ColLivraison)=AB$6,
  VLOOKUP($E90,INDIRECT("tri!"&amp; CHAR(64+ C0Col) &amp;":"&amp; CHAR(65+C0Col)),2,FALSE)&gt;COUNTIF($E90:AA90,"u")+COUNTIF($E90:AA90,"t")+COUNTIF($E90:AA90,"¶")+COUNTIF($E90:AA90,"²")+COUNTIF($E90:AA90,"µ")+COUNTIF($E90:AA90,1)),
HYPERLINK("#Roadmap!C"&amp; MATCH($E90,Roadmap!$D:$D,0)+COUNTIF($E90:AA90,"u")+COUNTIF($E90:AA90,"t"),
     INDEX(Roadmap!$D:$K,MATCH($E90,Roadmap!$D:$D,0)+COUNTIF($E90:AA90,"u")+COUNTIF($E90:AA90,"t")+COUNTIF($E90:AA90,"¶")+COUNTIF($E90:AA90,"²")+COUNTIF($E90:AA90,"µ")+COUNTIF($E90:AA90,1),ColTypeEcheance)),
  IF(LEN(AA90)=1,
  IF(LEN(INDEX(Roadmap!$D:$K,MATCH($E90,Roadmap!$D:$D,0)-1+COUNTIF($E90:AA90,"u")+COUNTIF($E90:AA90,"t")+COUNTIF($E90:AA90,"¶")+COUNTIF($E90:AA90,"²")+COUNTIF($E90:AA90,"µ")+COUNTIF($E90:AA90,1),ColDescriptionCourte))&gt;1,
HYPERLINK("#Roadmap!C"&amp; MATCH($E90,Roadmap!$D:$D,0)+COUNTIF($E90:AA90,"u")+COUNTIF($E90:AA90,"t")+COUNTIF($E90:AA90,"¶")+COUNTIF($E90:AA90,"²")+COUNTIF($E90:AA90,"µ")+COUNTIF($E90:AA90,1)-1,INDEX(Roadmap!$D:$K,MATCH($E90,Roadmap!$D:$D,0)-1+COUNTIF($E90:AA90,"u")+COUNTIF($E90:AA90,"t")+COUNTIF($E90:AA90,"¶")+COUNTIF($E90:AA90,"²")+COUNTIF($E90:AA90,"µ")+COUNTIF($E90:AA90,1),ColDescriptionCourte)),""),
  "")),"")</f>
        <v/>
      </c>
      <c r="AC90" s="40" t="str">
        <f ca="1">IFERROR(IF(AND(
  INDEX(Roadmap!$D:$K,MATCH($E90,Roadmap!$D:$D,0)+COUNTIF($E90:AB90,"u")+COUNTIF($E90:AB90,"t")+COUNTIF($E90:AB90,"¶")+COUNTIF($E90:AB90,"²")+COUNTIF($E90:AB90,"µ")+COUNTIF($E90:AB90,1),ColLivraison)=AC$6,
  VLOOKUP($E90,INDIRECT("tri!"&amp; CHAR(64+ C0Col) &amp;":"&amp; CHAR(65+C0Col)),2,FALSE)&gt;COUNTIF($E90:AB90,"u")+COUNTIF($E90:AB90,"t")+COUNTIF($E90:AB90,"¶")+COUNTIF($E90:AB90,"²")+COUNTIF($E90:AB90,"µ")+COUNTIF($E90:AB90,1)),
HYPERLINK("#Roadmap!C"&amp; MATCH($E90,Roadmap!$D:$D,0)+COUNTIF($E90:AB90,"u")+COUNTIF($E90:AB90,"t"),
     INDEX(Roadmap!$D:$K,MATCH($E90,Roadmap!$D:$D,0)+COUNTIF($E90:AB90,"u")+COUNTIF($E90:AB90,"t")+COUNTIF($E90:AB90,"¶")+COUNTIF($E90:AB90,"²")+COUNTIF($E90:AB90,"µ")+COUNTIF($E90:AB90,1),ColTypeEcheance)),
  IF(LEN(AB90)=1,
  IF(LEN(INDEX(Roadmap!$D:$K,MATCH($E90,Roadmap!$D:$D,0)-1+COUNTIF($E90:AB90,"u")+COUNTIF($E90:AB90,"t")+COUNTIF($E90:AB90,"¶")+COUNTIF($E90:AB90,"²")+COUNTIF($E90:AB90,"µ")+COUNTIF($E90:AB90,1),ColDescriptionCourte))&gt;1,
HYPERLINK("#Roadmap!C"&amp; MATCH($E90,Roadmap!$D:$D,0)+COUNTIF($E90:AB90,"u")+COUNTIF($E90:AB90,"t")+COUNTIF($E90:AB90,"¶")+COUNTIF($E90:AB90,"²")+COUNTIF($E90:AB90,"µ")+COUNTIF($E90:AB90,1)-1,INDEX(Roadmap!$D:$K,MATCH($E90,Roadmap!$D:$D,0)-1+COUNTIF($E90:AB90,"u")+COUNTIF($E90:AB90,"t")+COUNTIF($E90:AB90,"¶")+COUNTIF($E90:AB90,"²")+COUNTIF($E90:AB90,"µ")+COUNTIF($E90:AB90,1),ColDescriptionCourte)),""),
  "")),"")</f>
        <v/>
      </c>
      <c r="AD90" s="40" t="str">
        <f ca="1">IFERROR(IF(AND(
  INDEX(Roadmap!$D:$K,MATCH($E90,Roadmap!$D:$D,0)+COUNTIF($E90:AC90,"u")+COUNTIF($E90:AC90,"t")+COUNTIF($E90:AC90,"¶")+COUNTIF($E90:AC90,"²")+COUNTIF($E90:AC90,"µ")+COUNTIF($E90:AC90,1),ColLivraison)=AD$6,
  VLOOKUP($E90,INDIRECT("tri!"&amp; CHAR(64+ C0Col) &amp;":"&amp; CHAR(65+C0Col)),2,FALSE)&gt;COUNTIF($E90:AC90,"u")+COUNTIF($E90:AC90,"t")+COUNTIF($E90:AC90,"¶")+COUNTIF($E90:AC90,"²")+COUNTIF($E90:AC90,"µ")+COUNTIF($E90:AC90,1)),
HYPERLINK("#Roadmap!C"&amp; MATCH($E90,Roadmap!$D:$D,0)+COUNTIF($E90:AC90,"u")+COUNTIF($E90:AC90,"t"),
     INDEX(Roadmap!$D:$K,MATCH($E90,Roadmap!$D:$D,0)+COUNTIF($E90:AC90,"u")+COUNTIF($E90:AC90,"t")+COUNTIF($E90:AC90,"¶")+COUNTIF($E90:AC90,"²")+COUNTIF($E90:AC90,"µ")+COUNTIF($E90:AC90,1),ColTypeEcheance)),
  IF(LEN(AC90)=1,
  IF(LEN(INDEX(Roadmap!$D:$K,MATCH($E90,Roadmap!$D:$D,0)-1+COUNTIF($E90:AC90,"u")+COUNTIF($E90:AC90,"t")+COUNTIF($E90:AC90,"¶")+COUNTIF($E90:AC90,"²")+COUNTIF($E90:AC90,"µ")+COUNTIF($E90:AC90,1),ColDescriptionCourte))&gt;1,
HYPERLINK("#Roadmap!C"&amp; MATCH($E90,Roadmap!$D:$D,0)+COUNTIF($E90:AC90,"u")+COUNTIF($E90:AC90,"t")+COUNTIF($E90:AC90,"¶")+COUNTIF($E90:AC90,"²")+COUNTIF($E90:AC90,"µ")+COUNTIF($E90:AC90,1)-1,INDEX(Roadmap!$D:$K,MATCH($E90,Roadmap!$D:$D,0)-1+COUNTIF($E90:AC90,"u")+COUNTIF($E90:AC90,"t")+COUNTIF($E90:AC90,"¶")+COUNTIF($E90:AC90,"²")+COUNTIF($E90:AC90,"µ")+COUNTIF($E90:AC90,1),ColDescriptionCourte)),""),
  "")),"")</f>
        <v/>
      </c>
      <c r="AE90" s="40" t="str">
        <f ca="1">IFERROR(IF(AND(
  INDEX(Roadmap!$D:$K,MATCH($E90,Roadmap!$D:$D,0)+COUNTIF($E90:AD90,"u")+COUNTIF($E90:AD90,"t")+COUNTIF($E90:AD90,"¶")+COUNTIF($E90:AD90,"²")+COUNTIF($E90:AD90,"µ")+COUNTIF($E90:AD90,1),ColLivraison)=AE$6,
  VLOOKUP($E90,INDIRECT("tri!"&amp; CHAR(64+ C0Col) &amp;":"&amp; CHAR(65+C0Col)),2,FALSE)&gt;COUNTIF($E90:AD90,"u")+COUNTIF($E90:AD90,"t")+COUNTIF($E90:AD90,"¶")+COUNTIF($E90:AD90,"²")+COUNTIF($E90:AD90,"µ")+COUNTIF($E90:AD90,1)),
HYPERLINK("#Roadmap!C"&amp; MATCH($E90,Roadmap!$D:$D,0)+COUNTIF($E90:AD90,"u")+COUNTIF($E90:AD90,"t"),
     INDEX(Roadmap!$D:$K,MATCH($E90,Roadmap!$D:$D,0)+COUNTIF($E90:AD90,"u")+COUNTIF($E90:AD90,"t")+COUNTIF($E90:AD90,"¶")+COUNTIF($E90:AD90,"²")+COUNTIF($E90:AD90,"µ")+COUNTIF($E90:AD90,1),ColTypeEcheance)),
  IF(LEN(AD90)=1,
  IF(LEN(INDEX(Roadmap!$D:$K,MATCH($E90,Roadmap!$D:$D,0)-1+COUNTIF($E90:AD90,"u")+COUNTIF($E90:AD90,"t")+COUNTIF($E90:AD90,"¶")+COUNTIF($E90:AD90,"²")+COUNTIF($E90:AD90,"µ")+COUNTIF($E90:AD90,1),ColDescriptionCourte))&gt;1,
HYPERLINK("#Roadmap!C"&amp; MATCH($E90,Roadmap!$D:$D,0)+COUNTIF($E90:AD90,"u")+COUNTIF($E90:AD90,"t")+COUNTIF($E90:AD90,"¶")+COUNTIF($E90:AD90,"²")+COUNTIF($E90:AD90,"µ")+COUNTIF($E90:AD90,1)-1,INDEX(Roadmap!$D:$K,MATCH($E90,Roadmap!$D:$D,0)-1+COUNTIF($E90:AD90,"u")+COUNTIF($E90:AD90,"t")+COUNTIF($E90:AD90,"¶")+COUNTIF($E90:AD90,"²")+COUNTIF($E90:AD90,"µ")+COUNTIF($E90:AD90,1),ColDescriptionCourte)),""),
  "")),"")</f>
        <v/>
      </c>
      <c r="AF90" s="40" t="str">
        <f ca="1">IFERROR(IF(AND(
  INDEX(Roadmap!$D:$K,MATCH($E90,Roadmap!$D:$D,0)+COUNTIF($E90:AE90,"u")+COUNTIF($E90:AE90,"t")+COUNTIF($E90:AE90,"¶")+COUNTIF($E90:AE90,"²")+COUNTIF($E90:AE90,"µ")+COUNTIF($E90:AE90,1),ColLivraison)=AF$6,
  VLOOKUP($E90,INDIRECT("tri!"&amp; CHAR(64+ C0Col) &amp;":"&amp; CHAR(65+C0Col)),2,FALSE)&gt;COUNTIF($E90:AE90,"u")+COUNTIF($E90:AE90,"t")+COUNTIF($E90:AE90,"¶")+COUNTIF($E90:AE90,"²")+COUNTIF($E90:AE90,"µ")+COUNTIF($E90:AE90,1)),
HYPERLINK("#Roadmap!C"&amp; MATCH($E90,Roadmap!$D:$D,0)+COUNTIF($E90:AE90,"u")+COUNTIF($E90:AE90,"t"),
     INDEX(Roadmap!$D:$K,MATCH($E90,Roadmap!$D:$D,0)+COUNTIF($E90:AE90,"u")+COUNTIF($E90:AE90,"t")+COUNTIF($E90:AE90,"¶")+COUNTIF($E90:AE90,"²")+COUNTIF($E90:AE90,"µ")+COUNTIF($E90:AE90,1),ColTypeEcheance)),
  IF(LEN(AE90)=1,
  IF(LEN(INDEX(Roadmap!$D:$K,MATCH($E90,Roadmap!$D:$D,0)-1+COUNTIF($E90:AE90,"u")+COUNTIF($E90:AE90,"t")+COUNTIF($E90:AE90,"¶")+COUNTIF($E90:AE90,"²")+COUNTIF($E90:AE90,"µ")+COUNTIF($E90:AE90,1),ColDescriptionCourte))&gt;1,
HYPERLINK("#Roadmap!C"&amp; MATCH($E90,Roadmap!$D:$D,0)+COUNTIF($E90:AE90,"u")+COUNTIF($E90:AE90,"t")+COUNTIF($E90:AE90,"¶")+COUNTIF($E90:AE90,"²")+COUNTIF($E90:AE90,"µ")+COUNTIF($E90:AE90,1)-1,INDEX(Roadmap!$D:$K,MATCH($E90,Roadmap!$D:$D,0)-1+COUNTIF($E90:AE90,"u")+COUNTIF($E90:AE90,"t")+COUNTIF($E90:AE90,"¶")+COUNTIF($E90:AE90,"²")+COUNTIF($E90:AE90,"µ")+COUNTIF($E90:AE90,1),ColDescriptionCourte)),""),
  "")),"")</f>
        <v/>
      </c>
      <c r="AG90" s="40" t="str">
        <f ca="1">IFERROR(IF(AND(
  INDEX(Roadmap!$D:$K,MATCH($E90,Roadmap!$D:$D,0)+COUNTIF($E90:AF90,"u")+COUNTIF($E90:AF90,"t")+COUNTIF($E90:AF90,"¶")+COUNTIF($E90:AF90,"²")+COUNTIF($E90:AF90,"µ")+COUNTIF($E90:AF90,1),ColLivraison)=AG$6,
  VLOOKUP($E90,INDIRECT("tri!"&amp; CHAR(64+ C0Col) &amp;":"&amp; CHAR(65+C0Col)),2,FALSE)&gt;COUNTIF($E90:AF90,"u")+COUNTIF($E90:AF90,"t")+COUNTIF($E90:AF90,"¶")+COUNTIF($E90:AF90,"²")+COUNTIF($E90:AF90,"µ")+COUNTIF($E90:AF90,1)),
HYPERLINK("#Roadmap!C"&amp; MATCH($E90,Roadmap!$D:$D,0)+COUNTIF($E90:AF90,"u")+COUNTIF($E90:AF90,"t"),
     INDEX(Roadmap!$D:$K,MATCH($E90,Roadmap!$D:$D,0)+COUNTIF($E90:AF90,"u")+COUNTIF($E90:AF90,"t")+COUNTIF($E90:AF90,"¶")+COUNTIF($E90:AF90,"²")+COUNTIF($E90:AF90,"µ")+COUNTIF($E90:AF90,1),ColTypeEcheance)),
  IF(LEN(AF90)=1,
  IF(LEN(INDEX(Roadmap!$D:$K,MATCH($E90,Roadmap!$D:$D,0)-1+COUNTIF($E90:AF90,"u")+COUNTIF($E90:AF90,"t")+COUNTIF($E90:AF90,"¶")+COUNTIF($E90:AF90,"²")+COUNTIF($E90:AF90,"µ")+COUNTIF($E90:AF90,1),ColDescriptionCourte))&gt;1,
HYPERLINK("#Roadmap!C"&amp; MATCH($E90,Roadmap!$D:$D,0)+COUNTIF($E90:AF90,"u")+COUNTIF($E90:AF90,"t")+COUNTIF($E90:AF90,"¶")+COUNTIF($E90:AF90,"²")+COUNTIF($E90:AF90,"µ")+COUNTIF($E90:AF90,1)-1,INDEX(Roadmap!$D:$K,MATCH($E90,Roadmap!$D:$D,0)-1+COUNTIF($E90:AF90,"u")+COUNTIF($E90:AF90,"t")+COUNTIF($E90:AF90,"¶")+COUNTIF($E90:AF90,"²")+COUNTIF($E90:AF90,"µ")+COUNTIF($E90:AF90,1),ColDescriptionCourte)),""),
  "")),"")</f>
        <v/>
      </c>
      <c r="AH90" s="40" t="str">
        <f ca="1">IFERROR(IF(AND(
  INDEX(Roadmap!$D:$K,MATCH($E90,Roadmap!$D:$D,0)+COUNTIF($E90:AG90,"u")+COUNTIF($E90:AG90,"t")+COUNTIF($E90:AG90,1),ColLivraison)=AH$6,
  VLOOKUP($E90,INDIRECT("tri!"&amp; CHAR(64+ C0Col) &amp;":"&amp; CHAR(65+C0Col)),2,FALSE)&gt;COUNTIF($E90:AG90,"u")+COUNTIF($E90:AG90,"t")+COUNTIF($E90:AG90,1)),
HYPERLINK("#Roadmap!C"&amp; MATCH($E90,Roadmap!$D:$D,0)+COUNTIF($E90:AG90,"u")+COUNTIF($E90:AG90,"t"),
     INDEX(Roadmap!$D:$K,MATCH($E90,Roadmap!$D:$D,0)+COUNTIF($E90:AG90,"u")+COUNTIF($E90:AG90,"t")+COUNTIF($E90:AG90,1),ColTypeEcheance)),
  IF(OR(AG90="u",AG90="t",AG90=1),
  IF(LEN(INDEX(Roadmap!$D:$K,MATCH($E90,Roadmap!$D:$D,0)-1+COUNTIF($E90:AG90,"u")+COUNTIF($E90:AG90,"t")+COUNTIF($E90:AG90,1),ColDescriptionCourte))&gt;1,
HYPERLINK("#Roadmap!C"&amp; MATCH($E90,Roadmap!$D:$D,0)+COUNTIF($E90:AG90,"u")+COUNTIF($E90:AG90,"t")+COUNTIF($E90:AG90,1)-1,INDEX(Roadmap!$D:$K,MATCH($E90,Roadmap!$D:$D,0)-1+COUNTIF($E90:AG90,"u")+COUNTIF($E90:AG90,"t")+COUNTIF($E90:AG90,1),ColDescriptionCourte)),""),
  "")),"")</f>
        <v/>
      </c>
      <c r="AI90" s="40"/>
      <c r="AJ90" s="40"/>
      <c r="AK90" s="40"/>
      <c r="AL90" s="40"/>
      <c r="AM90" s="40"/>
    </row>
    <row r="91" spans="4:39" ht="14.1" customHeight="1">
      <c r="D91" s="20" t="str">
        <f t="shared" ca="1" si="29"/>
        <v/>
      </c>
      <c r="E91" s="53" t="str">
        <f t="shared" ca="1" si="30"/>
        <v/>
      </c>
      <c r="F91" s="39" t="str">
        <f ca="1">IFERROR(IF(AND(
  INDEX(Roadmap!$D:$K,MATCH($E91,Roadmap!$D:$D,0)+COUNTIF($E91:E91,"u")+COUNTIF($E91:E91,"t")+COUNTIF($E91:E91,"¶")+COUNTIF($E91:E91,"²")+COUNTIF($E91:E91,"µ")+COUNTIF($E91:E91,1),ColLivraison)=F$6,
  VLOOKUP($E91,INDIRECT("tri!"&amp; CHAR(64+ C0Col) &amp;":"&amp; CHAR(65+C0Col)),2,FALSE)&gt;COUNTIF($E91:E91,"u")+COUNTIF($E91:E91,"t")+COUNTIF($E91:E91,"¶")+COUNTIF($E91:E91,"²")+COUNTIF($E91:E91,"µ")+COUNTIF($E91:E91,1)),
HYPERLINK("#Roadmap!C"&amp; MATCH($E91,Roadmap!$D:$D,0)+COUNTIF($E91:E91,"u")+COUNTIF($E91:E91,"t"),
     INDEX(Roadmap!$D:$K,MATCH($E91,Roadmap!$D:$D,0)+COUNTIF($E91:E91,"u")+COUNTIF($E91:E91,"t")+COUNTIF($E91:E91,"¶")+COUNTIF($E91:E91,"²")+COUNTIF($E91:E91,"µ")+COUNTIF($E91:E91,1),ColTypeEcheance)),
  IF(LEN(E91)=1,
  IF(LEN(INDEX(Roadmap!$D:$K,MATCH($E91,Roadmap!$D:$D,0)-1+COUNTIF($E91:E91,"u")+COUNTIF($E91:E91,"t")+COUNTIF($E91:E91,"¶")+COUNTIF($E91:E91,"²")+COUNTIF($E91:E91,"µ")+COUNTIF($E91:E91,1),ColDescriptionCourte))&gt;1,
HYPERLINK("#Roadmap!C"&amp; MATCH($E91,Roadmap!$D:$D,0)+COUNTIF($E91:E91,"u")+COUNTIF($E91:E91,"t")+COUNTIF($E91:E91,"¶")+COUNTIF($E91:E91,"²")+COUNTIF($E91:E91,"µ")+COUNTIF($E91:E91,1)-1,INDEX(Roadmap!$D:$K,MATCH($E91,Roadmap!$D:$D,0)-1+COUNTIF($E91:E91,"u")+COUNTIF($E91:E91,"t")+COUNTIF($E91:E91,"¶")+COUNTIF($E91:E91,"²")+COUNTIF($E91:E91,"µ")+COUNTIF($E91:E91,1),ColDescriptionCourte)),""),
  "")),"")</f>
        <v/>
      </c>
      <c r="G91" s="40" t="str">
        <f ca="1">IFERROR(IF(AND(
  INDEX(Roadmap!$D:$K,MATCH($E91,Roadmap!$D:$D,0)+COUNTIF($E91:F91,"u")+COUNTIF($E91:F91,"t")+COUNTIF($E91:F91,"¶")+COUNTIF($E91:F91,"²")+COUNTIF($E91:F91,"µ")+COUNTIF($E91:F91,1),ColLivraison)=G$6,
  VLOOKUP($E91,INDIRECT("tri!"&amp; CHAR(64+ C0Col) &amp;":"&amp; CHAR(65+C0Col)),2,FALSE)&gt;COUNTIF($E91:F91,"u")+COUNTIF($E91:F91,"t")+COUNTIF($E91:F91,"¶")+COUNTIF($E91:F91,"²")+COUNTIF($E91:F91,"µ")+COUNTIF($E91:F91,1)),
HYPERLINK("#Roadmap!C"&amp; MATCH($E91,Roadmap!$D:$D,0)+COUNTIF($E91:F91,"u")+COUNTIF($E91:F91,"t"),
     INDEX(Roadmap!$D:$K,MATCH($E91,Roadmap!$D:$D,0)+COUNTIF($E91:F91,"u")+COUNTIF($E91:F91,"t")+COUNTIF($E91:F91,"¶")+COUNTIF($E91:F91,"²")+COUNTIF($E91:F91,"µ")+COUNTIF($E91:F91,1),ColTypeEcheance)),
  IF(LEN(F91)=1,
  IF(LEN(INDEX(Roadmap!$D:$K,MATCH($E91,Roadmap!$D:$D,0)-1+COUNTIF($E91:F91,"u")+COUNTIF($E91:F91,"t")+COUNTIF($E91:F91,"¶")+COUNTIF($E91:F91,"²")+COUNTIF($E91:F91,"µ")+COUNTIF($E91:F91,1),ColDescriptionCourte))&gt;1,
HYPERLINK("#Roadmap!C"&amp; MATCH($E91,Roadmap!$D:$D,0)+COUNTIF($E91:F91,"u")+COUNTIF($E91:F91,"t")+COUNTIF($E91:F91,"¶")+COUNTIF($E91:F91,"²")+COUNTIF($E91:F91,"µ")+COUNTIF($E91:F91,1)-1,INDEX(Roadmap!$D:$K,MATCH($E91,Roadmap!$D:$D,0)-1+COUNTIF($E91:F91,"u")+COUNTIF($E91:F91,"t")+COUNTIF($E91:F91,"¶")+COUNTIF($E91:F91,"²")+COUNTIF($E91:F91,"µ")+COUNTIF($E91:F91,1),ColDescriptionCourte)),""),
  "")),"")</f>
        <v/>
      </c>
      <c r="H91" s="40" t="str">
        <f ca="1">IFERROR(IF(AND(
  INDEX(Roadmap!$D:$K,MATCH($E91,Roadmap!$D:$D,0)+COUNTIF($E91:G91,"u")+COUNTIF($E91:G91,"t")+COUNTIF($E91:G91,"¶")+COUNTIF($E91:G91,"²")+COUNTIF($E91:G91,"µ")+COUNTIF($E91:G91,1),ColLivraison)=H$6,
  VLOOKUP($E91,INDIRECT("tri!"&amp; CHAR(64+ C0Col) &amp;":"&amp; CHAR(65+C0Col)),2,FALSE)&gt;COUNTIF($E91:G91,"u")+COUNTIF($E91:G91,"t")+COUNTIF($E91:G91,"¶")+COUNTIF($E91:G91,"²")+COUNTIF($E91:G91,"µ")+COUNTIF($E91:G91,1)),
HYPERLINK("#Roadmap!C"&amp; MATCH($E91,Roadmap!$D:$D,0)+COUNTIF($E91:G91,"u")+COUNTIF($E91:G91,"t"),
     INDEX(Roadmap!$D:$K,MATCH($E91,Roadmap!$D:$D,0)+COUNTIF($E91:G91,"u")+COUNTIF($E91:G91,"t")+COUNTIF($E91:G91,"¶")+COUNTIF($E91:G91,"²")+COUNTIF($E91:G91,"µ")+COUNTIF($E91:G91,1),ColTypeEcheance)),
  IF(LEN(G91)=1,
  IF(LEN(INDEX(Roadmap!$D:$K,MATCH($E91,Roadmap!$D:$D,0)-1+COUNTIF($E91:G91,"u")+COUNTIF($E91:G91,"t")+COUNTIF($E91:G91,"¶")+COUNTIF($E91:G91,"²")+COUNTIF($E91:G91,"µ")+COUNTIF($E91:G91,1),ColDescriptionCourte))&gt;1,
HYPERLINK("#Roadmap!C"&amp; MATCH($E91,Roadmap!$D:$D,0)+COUNTIF($E91:G91,"u")+COUNTIF($E91:G91,"t")+COUNTIF($E91:G91,"¶")+COUNTIF($E91:G91,"²")+COUNTIF($E91:G91,"µ")+COUNTIF($E91:G91,1)-1,INDEX(Roadmap!$D:$K,MATCH($E91,Roadmap!$D:$D,0)-1+COUNTIF($E91:G91,"u")+COUNTIF($E91:G91,"t")+COUNTIF($E91:G91,"¶")+COUNTIF($E91:G91,"²")+COUNTIF($E91:G91,"µ")+COUNTIF($E91:G91,1),ColDescriptionCourte)),""),
  "")),"")</f>
        <v/>
      </c>
      <c r="I91" s="40" t="str">
        <f ca="1">IFERROR(IF(AND(
  INDEX(Roadmap!$D:$K,MATCH($E91,Roadmap!$D:$D,0)+COUNTIF($E91:H91,"u")+COUNTIF($E91:H91,"t")+COUNTIF($E91:H91,"¶")+COUNTIF($E91:H91,"²")+COUNTIF($E91:H91,"µ")+COUNTIF($E91:H91,1),ColLivraison)=I$6,
  VLOOKUP($E91,INDIRECT("tri!"&amp; CHAR(64+ C0Col) &amp;":"&amp; CHAR(65+C0Col)),2,FALSE)&gt;COUNTIF($E91:H91,"u")+COUNTIF($E91:H91,"t")+COUNTIF($E91:H91,"¶")+COUNTIF($E91:H91,"²")+COUNTIF($E91:H91,"µ")+COUNTIF($E91:H91,1)),
HYPERLINK("#Roadmap!C"&amp; MATCH($E91,Roadmap!$D:$D,0)+COUNTIF($E91:H91,"u")+COUNTIF($E91:H91,"t"),
     INDEX(Roadmap!$D:$K,MATCH($E91,Roadmap!$D:$D,0)+COUNTIF($E91:H91,"u")+COUNTIF($E91:H91,"t")+COUNTIF($E91:H91,"¶")+COUNTIF($E91:H91,"²")+COUNTIF($E91:H91,"µ")+COUNTIF($E91:H91,1),ColTypeEcheance)),
  IF(LEN(H91)=1,
  IF(LEN(INDEX(Roadmap!$D:$K,MATCH($E91,Roadmap!$D:$D,0)-1+COUNTIF($E91:H91,"u")+COUNTIF($E91:H91,"t")+COUNTIF($E91:H91,"¶")+COUNTIF($E91:H91,"²")+COUNTIF($E91:H91,"µ")+COUNTIF($E91:H91,1),ColDescriptionCourte))&gt;1,
HYPERLINK("#Roadmap!C"&amp; MATCH($E91,Roadmap!$D:$D,0)+COUNTIF($E91:H91,"u")+COUNTIF($E91:H91,"t")+COUNTIF($E91:H91,"¶")+COUNTIF($E91:H91,"²")+COUNTIF($E91:H91,"µ")+COUNTIF($E91:H91,1)-1,INDEX(Roadmap!$D:$K,MATCH($E91,Roadmap!$D:$D,0)-1+COUNTIF($E91:H91,"u")+COUNTIF($E91:H91,"t")+COUNTIF($E91:H91,"¶")+COUNTIF($E91:H91,"²")+COUNTIF($E91:H91,"µ")+COUNTIF($E91:H91,1),ColDescriptionCourte)),""),
  "")),"")</f>
        <v/>
      </c>
      <c r="J91" s="40" t="str">
        <f ca="1">IFERROR(IF(AND(
  INDEX(Roadmap!$D:$K,MATCH($E91,Roadmap!$D:$D,0)+COUNTIF($E91:I91,"u")+COUNTIF($E91:I91,"t")+COUNTIF($E91:I91,"¶")+COUNTIF($E91:I91,"²")+COUNTIF($E91:I91,"µ")+COUNTIF($E91:I91,1),ColLivraison)=J$6,
  VLOOKUP($E91,INDIRECT("tri!"&amp; CHAR(64+ C0Col) &amp;":"&amp; CHAR(65+C0Col)),2,FALSE)&gt;COUNTIF($E91:I91,"u")+COUNTIF($E91:I91,"t")+COUNTIF($E91:I91,"¶")+COUNTIF($E91:I91,"²")+COUNTIF($E91:I91,"µ")+COUNTIF($E91:I91,1)),
HYPERLINK("#Roadmap!C"&amp; MATCH($E91,Roadmap!$D:$D,0)+COUNTIF($E91:I91,"u")+COUNTIF($E91:I91,"t"),
     INDEX(Roadmap!$D:$K,MATCH($E91,Roadmap!$D:$D,0)+COUNTIF($E91:I91,"u")+COUNTIF($E91:I91,"t")+COUNTIF($E91:I91,"¶")+COUNTIF($E91:I91,"²")+COUNTIF($E91:I91,"µ")+COUNTIF($E91:I91,1),ColTypeEcheance)),
  IF(LEN(I91)=1,
  IF(LEN(INDEX(Roadmap!$D:$K,MATCH($E91,Roadmap!$D:$D,0)-1+COUNTIF($E91:I91,"u")+COUNTIF($E91:I91,"t")+COUNTIF($E91:I91,"¶")+COUNTIF($E91:I91,"²")+COUNTIF($E91:I91,"µ")+COUNTIF($E91:I91,1),ColDescriptionCourte))&gt;1,
HYPERLINK("#Roadmap!C"&amp; MATCH($E91,Roadmap!$D:$D,0)+COUNTIF($E91:I91,"u")+COUNTIF($E91:I91,"t")+COUNTIF($E91:I91,"¶")+COUNTIF($E91:I91,"²")+COUNTIF($E91:I91,"µ")+COUNTIF($E91:I91,1)-1,INDEX(Roadmap!$D:$K,MATCH($E91,Roadmap!$D:$D,0)-1+COUNTIF($E91:I91,"u")+COUNTIF($E91:I91,"t")+COUNTIF($E91:I91,"¶")+COUNTIF($E91:I91,"²")+COUNTIF($E91:I91,"µ")+COUNTIF($E91:I91,1),ColDescriptionCourte)),""),
  "")),"")</f>
        <v/>
      </c>
      <c r="K91" s="40" t="str">
        <f ca="1">IFERROR(IF(AND(
  INDEX(Roadmap!$D:$K,MATCH($E91,Roadmap!$D:$D,0)+COUNTIF($E91:J91,"u")+COUNTIF($E91:J91,"t")+COUNTIF($E91:J91,"¶")+COUNTIF($E91:J91,"²")+COUNTIF($E91:J91,"µ")+COUNTIF($E91:J91,1),ColLivraison)=K$6,
  VLOOKUP($E91,INDIRECT("tri!"&amp; CHAR(64+ C0Col) &amp;":"&amp; CHAR(65+C0Col)),2,FALSE)&gt;COUNTIF($E91:J91,"u")+COUNTIF($E91:J91,"t")+COUNTIF($E91:J91,"¶")+COUNTIF($E91:J91,"²")+COUNTIF($E91:J91,"µ")+COUNTIF($E91:J91,1)),
HYPERLINK("#Roadmap!C"&amp; MATCH($E91,Roadmap!$D:$D,0)+COUNTIF($E91:J91,"u")+COUNTIF($E91:J91,"t"),
     INDEX(Roadmap!$D:$K,MATCH($E91,Roadmap!$D:$D,0)+COUNTIF($E91:J91,"u")+COUNTIF($E91:J91,"t")+COUNTIF($E91:J91,"¶")+COUNTIF($E91:J91,"²")+COUNTIF($E91:J91,"µ")+COUNTIF($E91:J91,1),ColTypeEcheance)),
  IF(LEN(J91)=1,
  IF(LEN(INDEX(Roadmap!$D:$K,MATCH($E91,Roadmap!$D:$D,0)-1+COUNTIF($E91:J91,"u")+COUNTIF($E91:J91,"t")+COUNTIF($E91:J91,"¶")+COUNTIF($E91:J91,"²")+COUNTIF($E91:J91,"µ")+COUNTIF($E91:J91,1),ColDescriptionCourte))&gt;1,
HYPERLINK("#Roadmap!C"&amp; MATCH($E91,Roadmap!$D:$D,0)+COUNTIF($E91:J91,"u")+COUNTIF($E91:J91,"t")+COUNTIF($E91:J91,"¶")+COUNTIF($E91:J91,"²")+COUNTIF($E91:J91,"µ")+COUNTIF($E91:J91,1)-1,INDEX(Roadmap!$D:$K,MATCH($E91,Roadmap!$D:$D,0)-1+COUNTIF($E91:J91,"u")+COUNTIF($E91:J91,"t")+COUNTIF($E91:J91,"¶")+COUNTIF($E91:J91,"²")+COUNTIF($E91:J91,"µ")+COUNTIF($E91:J91,1),ColDescriptionCourte)),""),
  "")),"")</f>
        <v/>
      </c>
      <c r="L91" s="39" t="str">
        <f ca="1">IFERROR(IF(AND(
  INDEX(Roadmap!$D:$K,MATCH($E91,Roadmap!$D:$D,0)+COUNTIF($E91:K91,"u")+COUNTIF($E91:K91,"t")+COUNTIF($E91:K91,"¶")+COUNTIF($E91:K91,"²")+COUNTIF($E91:K91,"µ")+COUNTIF($E91:K91,1),ColLivraison)=L$6,
  VLOOKUP($E91,INDIRECT("tri!"&amp; CHAR(64+ C0Col) &amp;":"&amp; CHAR(65+C0Col)),2,FALSE)&gt;COUNTIF($E91:K91,"u")+COUNTIF($E91:K91,"t")+COUNTIF($E91:K91,"¶")+COUNTIF($E91:K91,"²")+COUNTIF($E91:K91,"µ")+COUNTIF($E91:K91,1)),
HYPERLINK("#Roadmap!C"&amp; MATCH($E91,Roadmap!$D:$D,0)+COUNTIF($E91:K91,"u")+COUNTIF($E91:K91,"t"),
     INDEX(Roadmap!$D:$K,MATCH($E91,Roadmap!$D:$D,0)+COUNTIF($E91:K91,"u")+COUNTIF($E91:K91,"t")+COUNTIF($E91:K91,"¶")+COUNTIF($E91:K91,"²")+COUNTIF($E91:K91,"µ")+COUNTIF($E91:K91,1),ColTypeEcheance)),
  IF(LEN(K91)=1,
  IF(LEN(INDEX(Roadmap!$D:$K,MATCH($E91,Roadmap!$D:$D,0)-1+COUNTIF($E91:K91,"u")+COUNTIF($E91:K91,"t")+COUNTIF($E91:K91,"¶")+COUNTIF($E91:K91,"²")+COUNTIF($E91:K91,"µ")+COUNTIF($E91:K91,1),ColDescriptionCourte))&gt;1,
HYPERLINK("#Roadmap!C"&amp; MATCH($E91,Roadmap!$D:$D,0)+COUNTIF($E91:K91,"u")+COUNTIF($E91:K91,"t")+COUNTIF($E91:K91,"¶")+COUNTIF($E91:K91,"²")+COUNTIF($E91:K91,"µ")+COUNTIF($E91:K91,1)-1,INDEX(Roadmap!$D:$K,MATCH($E91,Roadmap!$D:$D,0)-1+COUNTIF($E91:K91,"u")+COUNTIF($E91:K91,"t")+COUNTIF($E91:K91,"¶")+COUNTIF($E91:K91,"²")+COUNTIF($E91:K91,"µ")+COUNTIF($E91:K91,1),ColDescriptionCourte)),""),
  "")),"")</f>
        <v/>
      </c>
      <c r="M91" s="40" t="str">
        <f ca="1">IFERROR(IF(AND(
  INDEX(Roadmap!$D:$K,MATCH($E91,Roadmap!$D:$D,0)+COUNTIF($E91:L91,"u")+COUNTIF($E91:L91,"t")+COUNTIF($E91:L91,"¶")+COUNTIF($E91:L91,"²")+COUNTIF($E91:L91,"µ")+COUNTIF($E91:L91,1),ColLivraison)=M$6,
  VLOOKUP($E91,INDIRECT("tri!"&amp; CHAR(64+ C0Col) &amp;":"&amp; CHAR(65+C0Col)),2,FALSE)&gt;COUNTIF($E91:L91,"u")+COUNTIF($E91:L91,"t")+COUNTIF($E91:L91,"¶")+COUNTIF($E91:L91,"²")+COUNTIF($E91:L91,"µ")+COUNTIF($E91:L91,1)),
HYPERLINK("#Roadmap!C"&amp; MATCH($E91,Roadmap!$D:$D,0)+COUNTIF($E91:L91,"u")+COUNTIF($E91:L91,"t"),
     INDEX(Roadmap!$D:$K,MATCH($E91,Roadmap!$D:$D,0)+COUNTIF($E91:L91,"u")+COUNTIF($E91:L91,"t")+COUNTIF($E91:L91,"¶")+COUNTIF($E91:L91,"²")+COUNTIF($E91:L91,"µ")+COUNTIF($E91:L91,1),ColTypeEcheance)),
  IF(LEN(L91)=1,
  IF(LEN(INDEX(Roadmap!$D:$K,MATCH($E91,Roadmap!$D:$D,0)-1+COUNTIF($E91:L91,"u")+COUNTIF($E91:L91,"t")+COUNTIF($E91:L91,"¶")+COUNTIF($E91:L91,"²")+COUNTIF($E91:L91,"µ")+COUNTIF($E91:L91,1),ColDescriptionCourte))&gt;1,
HYPERLINK("#Roadmap!C"&amp; MATCH($E91,Roadmap!$D:$D,0)+COUNTIF($E91:L91,"u")+COUNTIF($E91:L91,"t")+COUNTIF($E91:L91,"¶")+COUNTIF($E91:L91,"²")+COUNTIF($E91:L91,"µ")+COUNTIF($E91:L91,1)-1,INDEX(Roadmap!$D:$K,MATCH($E91,Roadmap!$D:$D,0)-1+COUNTIF($E91:L91,"u")+COUNTIF($E91:L91,"t")+COUNTIF($E91:L91,"¶")+COUNTIF($E91:L91,"²")+COUNTIF($E91:L91,"µ")+COUNTIF($E91:L91,1),ColDescriptionCourte)),""),
  "")),"")</f>
        <v/>
      </c>
      <c r="N91" s="40" t="str">
        <f ca="1">IFERROR(IF(AND(
  INDEX(Roadmap!$D:$K,MATCH($E91,Roadmap!$D:$D,0)+COUNTIF($E91:M91,"u")+COUNTIF($E91:M91,"t")+COUNTIF($E91:M91,"¶")+COUNTIF($E91:M91,"²")+COUNTIF($E91:M91,"µ")+COUNTIF($E91:M91,1),ColLivraison)=N$6,
  VLOOKUP($E91,INDIRECT("tri!"&amp; CHAR(64+ C0Col) &amp;":"&amp; CHAR(65+C0Col)),2,FALSE)&gt;COUNTIF($E91:M91,"u")+COUNTIF($E91:M91,"t")+COUNTIF($E91:M91,"¶")+COUNTIF($E91:M91,"²")+COUNTIF($E91:M91,"µ")+COUNTIF($E91:M91,1)),
HYPERLINK("#Roadmap!C"&amp; MATCH($E91,Roadmap!$D:$D,0)+COUNTIF($E91:M91,"u")+COUNTIF($E91:M91,"t"),
     INDEX(Roadmap!$D:$K,MATCH($E91,Roadmap!$D:$D,0)+COUNTIF($E91:M91,"u")+COUNTIF($E91:M91,"t")+COUNTIF($E91:M91,"¶")+COUNTIF($E91:M91,"²")+COUNTIF($E91:M91,"µ")+COUNTIF($E91:M91,1),ColTypeEcheance)),
  IF(LEN(M91)=1,
  IF(LEN(INDEX(Roadmap!$D:$K,MATCH($E91,Roadmap!$D:$D,0)-1+COUNTIF($E91:M91,"u")+COUNTIF($E91:M91,"t")+COUNTIF($E91:M91,"¶")+COUNTIF($E91:M91,"²")+COUNTIF($E91:M91,"µ")+COUNTIF($E91:M91,1),ColDescriptionCourte))&gt;1,
HYPERLINK("#Roadmap!C"&amp; MATCH($E91,Roadmap!$D:$D,0)+COUNTIF($E91:M91,"u")+COUNTIF($E91:M91,"t")+COUNTIF($E91:M91,"¶")+COUNTIF($E91:M91,"²")+COUNTIF($E91:M91,"µ")+COUNTIF($E91:M91,1)-1,INDEX(Roadmap!$D:$K,MATCH($E91,Roadmap!$D:$D,0)-1+COUNTIF($E91:M91,"u")+COUNTIF($E91:M91,"t")+COUNTIF($E91:M91,"¶")+COUNTIF($E91:M91,"²")+COUNTIF($E91:M91,"µ")+COUNTIF($E91:M91,1),ColDescriptionCourte)),""),
  "")),"")</f>
        <v/>
      </c>
      <c r="O91" s="40" t="str">
        <f ca="1">IFERROR(IF(AND(
  INDEX(Roadmap!$D:$K,MATCH($E91,Roadmap!$D:$D,0)+COUNTIF($E91:N91,"u")+COUNTIF($E91:N91,"t")+COUNTIF($E91:N91,"¶")+COUNTIF($E91:N91,"²")+COUNTIF($E91:N91,"µ")+COUNTIF($E91:N91,1),ColLivraison)=O$6,
  VLOOKUP($E91,INDIRECT("tri!"&amp; CHAR(64+ C0Col) &amp;":"&amp; CHAR(65+C0Col)),2,FALSE)&gt;COUNTIF($E91:N91,"u")+COUNTIF($E91:N91,"t")+COUNTIF($E91:N91,"¶")+COUNTIF($E91:N91,"²")+COUNTIF($E91:N91,"µ")+COUNTIF($E91:N91,1)),
HYPERLINK("#Roadmap!C"&amp; MATCH($E91,Roadmap!$D:$D,0)+COUNTIF($E91:N91,"u")+COUNTIF($E91:N91,"t"),
     INDEX(Roadmap!$D:$K,MATCH($E91,Roadmap!$D:$D,0)+COUNTIF($E91:N91,"u")+COUNTIF($E91:N91,"t")+COUNTIF($E91:N91,"¶")+COUNTIF($E91:N91,"²")+COUNTIF($E91:N91,"µ")+COUNTIF($E91:N91,1),ColTypeEcheance)),
  IF(LEN(N91)=1,
  IF(LEN(INDEX(Roadmap!$D:$K,MATCH($E91,Roadmap!$D:$D,0)-1+COUNTIF($E91:N91,"u")+COUNTIF($E91:N91,"t")+COUNTIF($E91:N91,"¶")+COUNTIF($E91:N91,"²")+COUNTIF($E91:N91,"µ")+COUNTIF($E91:N91,1),ColDescriptionCourte))&gt;1,
HYPERLINK("#Roadmap!C"&amp; MATCH($E91,Roadmap!$D:$D,0)+COUNTIF($E91:N91,"u")+COUNTIF($E91:N91,"t")+COUNTIF($E91:N91,"¶")+COUNTIF($E91:N91,"²")+COUNTIF($E91:N91,"µ")+COUNTIF($E91:N91,1)-1,INDEX(Roadmap!$D:$K,MATCH($E91,Roadmap!$D:$D,0)-1+COUNTIF($E91:N91,"u")+COUNTIF($E91:N91,"t")+COUNTIF($E91:N91,"¶")+COUNTIF($E91:N91,"²")+COUNTIF($E91:N91,"µ")+COUNTIF($E91:N91,1),ColDescriptionCourte)),""),
  "")),"")</f>
        <v/>
      </c>
      <c r="P91" s="40" t="str">
        <f ca="1">IFERROR(IF(AND(
  INDEX(Roadmap!$D:$K,MATCH($E91,Roadmap!$D:$D,0)+COUNTIF($E91:O91,"u")+COUNTIF($E91:O91,"t")+COUNTIF($E91:O91,"¶")+COUNTIF($E91:O91,"²")+COUNTIF($E91:O91,"µ")+COUNTIF($E91:O91,1),ColLivraison)=P$6,
  VLOOKUP($E91,INDIRECT("tri!"&amp; CHAR(64+ C0Col) &amp;":"&amp; CHAR(65+C0Col)),2,FALSE)&gt;COUNTIF($E91:O91,"u")+COUNTIF($E91:O91,"t")+COUNTIF($E91:O91,"¶")+COUNTIF($E91:O91,"²")+COUNTIF($E91:O91,"µ")+COUNTIF($E91:O91,1)),
HYPERLINK("#Roadmap!C"&amp; MATCH($E91,Roadmap!$D:$D,0)+COUNTIF($E91:O91,"u")+COUNTIF($E91:O91,"t"),
     INDEX(Roadmap!$D:$K,MATCH($E91,Roadmap!$D:$D,0)+COUNTIF($E91:O91,"u")+COUNTIF($E91:O91,"t")+COUNTIF($E91:O91,"¶")+COUNTIF($E91:O91,"²")+COUNTIF($E91:O91,"µ")+COUNTIF($E91:O91,1),ColTypeEcheance)),
  IF(LEN(O91)=1,
  IF(LEN(INDEX(Roadmap!$D:$K,MATCH($E91,Roadmap!$D:$D,0)-1+COUNTIF($E91:O91,"u")+COUNTIF($E91:O91,"t")+COUNTIF($E91:O91,"¶")+COUNTIF($E91:O91,"²")+COUNTIF($E91:O91,"µ")+COUNTIF($E91:O91,1),ColDescriptionCourte))&gt;1,
HYPERLINK("#Roadmap!C"&amp; MATCH($E91,Roadmap!$D:$D,0)+COUNTIF($E91:O91,"u")+COUNTIF($E91:O91,"t")+COUNTIF($E91:O91,"¶")+COUNTIF($E91:O91,"²")+COUNTIF($E91:O91,"µ")+COUNTIF($E91:O91,1)-1,INDEX(Roadmap!$D:$K,MATCH($E91,Roadmap!$D:$D,0)-1+COUNTIF($E91:O91,"u")+COUNTIF($E91:O91,"t")+COUNTIF($E91:O91,"¶")+COUNTIF($E91:O91,"²")+COUNTIF($E91:O91,"µ")+COUNTIF($E91:O91,1),ColDescriptionCourte)),""),
  "")),"")</f>
        <v/>
      </c>
      <c r="Q91" s="40" t="str">
        <f ca="1">IFERROR(IF(AND(
  INDEX(Roadmap!$D:$K,MATCH($E91,Roadmap!$D:$D,0)+COUNTIF($E91:P91,"u")+COUNTIF($E91:P91,"t")+COUNTIF($E91:P91,"¶")+COUNTIF($E91:P91,"²")+COUNTIF($E91:P91,"µ")+COUNTIF($E91:P91,1),ColLivraison)=Q$6,
  VLOOKUP($E91,INDIRECT("tri!"&amp; CHAR(64+ C0Col) &amp;":"&amp; CHAR(65+C0Col)),2,FALSE)&gt;COUNTIF($E91:P91,"u")+COUNTIF($E91:P91,"t")+COUNTIF($E91:P91,"¶")+COUNTIF($E91:P91,"²")+COUNTIF($E91:P91,"µ")+COUNTIF($E91:P91,1)),
HYPERLINK("#Roadmap!C"&amp; MATCH($E91,Roadmap!$D:$D,0)+COUNTIF($E91:P91,"u")+COUNTIF($E91:P91,"t"),
     INDEX(Roadmap!$D:$K,MATCH($E91,Roadmap!$D:$D,0)+COUNTIF($E91:P91,"u")+COUNTIF($E91:P91,"t")+COUNTIF($E91:P91,"¶")+COUNTIF($E91:P91,"²")+COUNTIF($E91:P91,"µ")+COUNTIF($E91:P91,1),ColTypeEcheance)),
  IF(LEN(P91)=1,
  IF(LEN(INDEX(Roadmap!$D:$K,MATCH($E91,Roadmap!$D:$D,0)-1+COUNTIF($E91:P91,"u")+COUNTIF($E91:P91,"t")+COUNTIF($E91:P91,"¶")+COUNTIF($E91:P91,"²")+COUNTIF($E91:P91,"µ")+COUNTIF($E91:P91,1),ColDescriptionCourte))&gt;1,
HYPERLINK("#Roadmap!C"&amp; MATCH($E91,Roadmap!$D:$D,0)+COUNTIF($E91:P91,"u")+COUNTIF($E91:P91,"t")+COUNTIF($E91:P91,"¶")+COUNTIF($E91:P91,"²")+COUNTIF($E91:P91,"µ")+COUNTIF($E91:P91,1)-1,INDEX(Roadmap!$D:$K,MATCH($E91,Roadmap!$D:$D,0)-1+COUNTIF($E91:P91,"u")+COUNTIF($E91:P91,"t")+COUNTIF($E91:P91,"¶")+COUNTIF($E91:P91,"²")+COUNTIF($E91:P91,"µ")+COUNTIF($E91:P91,1),ColDescriptionCourte)),""),
  "")),"")</f>
        <v/>
      </c>
      <c r="R91" s="40" t="str">
        <f ca="1">IFERROR(IF(AND(
  INDEX(Roadmap!$D:$K,MATCH($E91,Roadmap!$D:$D,0)+COUNTIF($E91:Q91,"u")+COUNTIF($E91:Q91,"t")+COUNTIF($E91:Q91,"¶")+COUNTIF($E91:Q91,"²")+COUNTIF($E91:Q91,"µ")+COUNTIF($E91:Q91,1),ColLivraison)=R$6,
  VLOOKUP($E91,INDIRECT("tri!"&amp; CHAR(64+ C0Col) &amp;":"&amp; CHAR(65+C0Col)),2,FALSE)&gt;COUNTIF($E91:Q91,"u")+COUNTIF($E91:Q91,"t")+COUNTIF($E91:Q91,"¶")+COUNTIF($E91:Q91,"²")+COUNTIF($E91:Q91,"µ")+COUNTIF($E91:Q91,1)),
HYPERLINK("#Roadmap!C"&amp; MATCH($E91,Roadmap!$D:$D,0)+COUNTIF($E91:Q91,"u")+COUNTIF($E91:Q91,"t"),
     INDEX(Roadmap!$D:$K,MATCH($E91,Roadmap!$D:$D,0)+COUNTIF($E91:Q91,"u")+COUNTIF($E91:Q91,"t")+COUNTIF($E91:Q91,"¶")+COUNTIF($E91:Q91,"²")+COUNTIF($E91:Q91,"µ")+COUNTIF($E91:Q91,1),ColTypeEcheance)),
  IF(LEN(Q91)=1,
  IF(LEN(INDEX(Roadmap!$D:$K,MATCH($E91,Roadmap!$D:$D,0)-1+COUNTIF($E91:Q91,"u")+COUNTIF($E91:Q91,"t")+COUNTIF($E91:Q91,"¶")+COUNTIF($E91:Q91,"²")+COUNTIF($E91:Q91,"µ")+COUNTIF($E91:Q91,1),ColDescriptionCourte))&gt;1,
HYPERLINK("#Roadmap!C"&amp; MATCH($E91,Roadmap!$D:$D,0)+COUNTIF($E91:Q91,"u")+COUNTIF($E91:Q91,"t")+COUNTIF($E91:Q91,"¶")+COUNTIF($E91:Q91,"²")+COUNTIF($E91:Q91,"µ")+COUNTIF($E91:Q91,1)-1,INDEX(Roadmap!$D:$K,MATCH($E91,Roadmap!$D:$D,0)-1+COUNTIF($E91:Q91,"u")+COUNTIF($E91:Q91,"t")+COUNTIF($E91:Q91,"¶")+COUNTIF($E91:Q91,"²")+COUNTIF($E91:Q91,"µ")+COUNTIF($E91:Q91,1),ColDescriptionCourte)),""),
  "")),"")</f>
        <v/>
      </c>
      <c r="S91" s="40" t="str">
        <f ca="1">IFERROR(IF(AND(
  INDEX(Roadmap!$D:$K,MATCH($E91,Roadmap!$D:$D,0)+COUNTIF($E91:R91,"u")+COUNTIF($E91:R91,"t")+COUNTIF($E91:R91,"¶")+COUNTIF($E91:R91,"²")+COUNTIF($E91:R91,"µ")+COUNTIF($E91:R91,1),ColLivraison)=S$6,
  VLOOKUP($E91,INDIRECT("tri!"&amp; CHAR(64+ C0Col) &amp;":"&amp; CHAR(65+C0Col)),2,FALSE)&gt;COUNTIF($E91:R91,"u")+COUNTIF($E91:R91,"t")+COUNTIF($E91:R91,"¶")+COUNTIF($E91:R91,"²")+COUNTIF($E91:R91,"µ")+COUNTIF($E91:R91,1)),
HYPERLINK("#Roadmap!C"&amp; MATCH($E91,Roadmap!$D:$D,0)+COUNTIF($E91:R91,"u")+COUNTIF($E91:R91,"t"),
     INDEX(Roadmap!$D:$K,MATCH($E91,Roadmap!$D:$D,0)+COUNTIF($E91:R91,"u")+COUNTIF($E91:R91,"t")+COUNTIF($E91:R91,"¶")+COUNTIF($E91:R91,"²")+COUNTIF($E91:R91,"µ")+COUNTIF($E91:R91,1),ColTypeEcheance)),
  IF(LEN(R91)=1,
  IF(LEN(INDEX(Roadmap!$D:$K,MATCH($E91,Roadmap!$D:$D,0)-1+COUNTIF($E91:R91,"u")+COUNTIF($E91:R91,"t")+COUNTIF($E91:R91,"¶")+COUNTIF($E91:R91,"²")+COUNTIF($E91:R91,"µ")+COUNTIF($E91:R91,1),ColDescriptionCourte))&gt;1,
HYPERLINK("#Roadmap!C"&amp; MATCH($E91,Roadmap!$D:$D,0)+COUNTIF($E91:R91,"u")+COUNTIF($E91:R91,"t")+COUNTIF($E91:R91,"¶")+COUNTIF($E91:R91,"²")+COUNTIF($E91:R91,"µ")+COUNTIF($E91:R91,1)-1,INDEX(Roadmap!$D:$K,MATCH($E91,Roadmap!$D:$D,0)-1+COUNTIF($E91:R91,"u")+COUNTIF($E91:R91,"t")+COUNTIF($E91:R91,"¶")+COUNTIF($E91:R91,"²")+COUNTIF($E91:R91,"µ")+COUNTIF($E91:R91,1),ColDescriptionCourte)),""),
  "")),"")</f>
        <v/>
      </c>
      <c r="T91" s="40" t="str">
        <f ca="1">IFERROR(IF(AND(
  INDEX(Roadmap!$D:$K,MATCH($E91,Roadmap!$D:$D,0)+COUNTIF($E91:S91,"u")+COUNTIF($E91:S91,"t")+COUNTIF($E91:S91,"¶")+COUNTIF($E91:S91,"²")+COUNTIF($E91:S91,"µ")+COUNTIF($E91:S91,1),ColLivraison)=T$6,
  VLOOKUP($E91,INDIRECT("tri!"&amp; CHAR(64+ C0Col) &amp;":"&amp; CHAR(65+C0Col)),2,FALSE)&gt;COUNTIF($E91:S91,"u")+COUNTIF($E91:S91,"t")+COUNTIF($E91:S91,"¶")+COUNTIF($E91:S91,"²")+COUNTIF($E91:S91,"µ")+COUNTIF($E91:S91,1)),
HYPERLINK("#Roadmap!C"&amp; MATCH($E91,Roadmap!$D:$D,0)+COUNTIF($E91:S91,"u")+COUNTIF($E91:S91,"t"),
     INDEX(Roadmap!$D:$K,MATCH($E91,Roadmap!$D:$D,0)+COUNTIF($E91:S91,"u")+COUNTIF($E91:S91,"t")+COUNTIF($E91:S91,"¶")+COUNTIF($E91:S91,"²")+COUNTIF($E91:S91,"µ")+COUNTIF($E91:S91,1),ColTypeEcheance)),
  IF(LEN(S91)=1,
  IF(LEN(INDEX(Roadmap!$D:$K,MATCH($E91,Roadmap!$D:$D,0)-1+COUNTIF($E91:S91,"u")+COUNTIF($E91:S91,"t")+COUNTIF($E91:S91,"¶")+COUNTIF($E91:S91,"²")+COUNTIF($E91:S91,"µ")+COUNTIF($E91:S91,1),ColDescriptionCourte))&gt;1,
HYPERLINK("#Roadmap!C"&amp; MATCH($E91,Roadmap!$D:$D,0)+COUNTIF($E91:S91,"u")+COUNTIF($E91:S91,"t")+COUNTIF($E91:S91,"¶")+COUNTIF($E91:S91,"²")+COUNTIF($E91:S91,"µ")+COUNTIF($E91:S91,1)-1,INDEX(Roadmap!$D:$K,MATCH($E91,Roadmap!$D:$D,0)-1+COUNTIF($E91:S91,"u")+COUNTIF($E91:S91,"t")+COUNTIF($E91:S91,"¶")+COUNTIF($E91:S91,"²")+COUNTIF($E91:S91,"µ")+COUNTIF($E91:S91,1),ColDescriptionCourte)),""),
  "")),"")</f>
        <v/>
      </c>
      <c r="U91" s="40" t="str">
        <f ca="1">IFERROR(IF(AND(
  INDEX(Roadmap!$D:$K,MATCH($E91,Roadmap!$D:$D,0)+COUNTIF($E91:T91,"u")+COUNTIF($E91:T91,"t")+COUNTIF($E91:T91,"¶")+COUNTIF($E91:T91,"²")+COUNTIF($E91:T91,"µ")+COUNTIF($E91:T91,1),ColLivraison)=U$6,
  VLOOKUP($E91,INDIRECT("tri!"&amp; CHAR(64+ C0Col) &amp;":"&amp; CHAR(65+C0Col)),2,FALSE)&gt;COUNTIF($E91:T91,"u")+COUNTIF($E91:T91,"t")+COUNTIF($E91:T91,"¶")+COUNTIF($E91:T91,"²")+COUNTIF($E91:T91,"µ")+COUNTIF($E91:T91,1)),
HYPERLINK("#Roadmap!C"&amp; MATCH($E91,Roadmap!$D:$D,0)+COUNTIF($E91:T91,"u")+COUNTIF($E91:T91,"t"),
     INDEX(Roadmap!$D:$K,MATCH($E91,Roadmap!$D:$D,0)+COUNTIF($E91:T91,"u")+COUNTIF($E91:T91,"t")+COUNTIF($E91:T91,"¶")+COUNTIF($E91:T91,"²")+COUNTIF($E91:T91,"µ")+COUNTIF($E91:T91,1),ColTypeEcheance)),
  IF(LEN(T91)=1,
  IF(LEN(INDEX(Roadmap!$D:$K,MATCH($E91,Roadmap!$D:$D,0)-1+COUNTIF($E91:T91,"u")+COUNTIF($E91:T91,"t")+COUNTIF($E91:T91,"¶")+COUNTIF($E91:T91,"²")+COUNTIF($E91:T91,"µ")+COUNTIF($E91:T91,1),ColDescriptionCourte))&gt;1,
HYPERLINK("#Roadmap!C"&amp; MATCH($E91,Roadmap!$D:$D,0)+COUNTIF($E91:T91,"u")+COUNTIF($E91:T91,"t")+COUNTIF($E91:T91,"¶")+COUNTIF($E91:T91,"²")+COUNTIF($E91:T91,"µ")+COUNTIF($E91:T91,1)-1,INDEX(Roadmap!$D:$K,MATCH($E91,Roadmap!$D:$D,0)-1+COUNTIF($E91:T91,"u")+COUNTIF($E91:T91,"t")+COUNTIF($E91:T91,"¶")+COUNTIF($E91:T91,"²")+COUNTIF($E91:T91,"µ")+COUNTIF($E91:T91,1),ColDescriptionCourte)),""),
  "")),"")</f>
        <v/>
      </c>
      <c r="V91" s="40" t="str">
        <f ca="1">IFERROR(IF(AND(
  INDEX(Roadmap!$D:$K,MATCH($E91,Roadmap!$D:$D,0)+COUNTIF($E91:U91,"u")+COUNTIF($E91:U91,"t")+COUNTIF($E91:U91,"¶")+COUNTIF($E91:U91,"²")+COUNTIF($E91:U91,"µ")+COUNTIF($E91:U91,1),ColLivraison)=V$6,
  VLOOKUP($E91,INDIRECT("tri!"&amp; CHAR(64+ C0Col) &amp;":"&amp; CHAR(65+C0Col)),2,FALSE)&gt;COUNTIF($E91:U91,"u")+COUNTIF($E91:U91,"t")+COUNTIF($E91:U91,"¶")+COUNTIF($E91:U91,"²")+COUNTIF($E91:U91,"µ")+COUNTIF($E91:U91,1)),
HYPERLINK("#Roadmap!C"&amp; MATCH($E91,Roadmap!$D:$D,0)+COUNTIF($E91:U91,"u")+COUNTIF($E91:U91,"t"),
     INDEX(Roadmap!$D:$K,MATCH($E91,Roadmap!$D:$D,0)+COUNTIF($E91:U91,"u")+COUNTIF($E91:U91,"t")+COUNTIF($E91:U91,"¶")+COUNTIF($E91:U91,"²")+COUNTIF($E91:U91,"µ")+COUNTIF($E91:U91,1),ColTypeEcheance)),
  IF(LEN(U91)=1,
  IF(LEN(INDEX(Roadmap!$D:$K,MATCH($E91,Roadmap!$D:$D,0)-1+COUNTIF($E91:U91,"u")+COUNTIF($E91:U91,"t")+COUNTIF($E91:U91,"¶")+COUNTIF($E91:U91,"²")+COUNTIF($E91:U91,"µ")+COUNTIF($E91:U91,1),ColDescriptionCourte))&gt;1,
HYPERLINK("#Roadmap!C"&amp; MATCH($E91,Roadmap!$D:$D,0)+COUNTIF($E91:U91,"u")+COUNTIF($E91:U91,"t")+COUNTIF($E91:U91,"¶")+COUNTIF($E91:U91,"²")+COUNTIF($E91:U91,"µ")+COUNTIF($E91:U91,1)-1,INDEX(Roadmap!$D:$K,MATCH($E91,Roadmap!$D:$D,0)-1+COUNTIF($E91:U91,"u")+COUNTIF($E91:U91,"t")+COUNTIF($E91:U91,"¶")+COUNTIF($E91:U91,"²")+COUNTIF($E91:U91,"µ")+COUNTIF($E91:U91,1),ColDescriptionCourte)),""),
  "")),"")</f>
        <v/>
      </c>
      <c r="W91" s="40" t="str">
        <f ca="1">IFERROR(IF(AND(
  INDEX(Roadmap!$D:$K,MATCH($E91,Roadmap!$D:$D,0)+COUNTIF($E91:V91,"u")+COUNTIF($E91:V91,"t")+COUNTIF($E91:V91,"¶")+COUNTIF($E91:V91,"²")+COUNTIF($E91:V91,"µ")+COUNTIF($E91:V91,1),ColLivraison)=W$6,
  VLOOKUP($E91,INDIRECT("tri!"&amp; CHAR(64+ C0Col) &amp;":"&amp; CHAR(65+C0Col)),2,FALSE)&gt;COUNTIF($E91:V91,"u")+COUNTIF($E91:V91,"t")+COUNTIF($E91:V91,"¶")+COUNTIF($E91:V91,"²")+COUNTIF($E91:V91,"µ")+COUNTIF($E91:V91,1)),
HYPERLINK("#Roadmap!C"&amp; MATCH($E91,Roadmap!$D:$D,0)+COUNTIF($E91:V91,"u")+COUNTIF($E91:V91,"t"),
     INDEX(Roadmap!$D:$K,MATCH($E91,Roadmap!$D:$D,0)+COUNTIF($E91:V91,"u")+COUNTIF($E91:V91,"t")+COUNTIF($E91:V91,"¶")+COUNTIF($E91:V91,"²")+COUNTIF($E91:V91,"µ")+COUNTIF($E91:V91,1),ColTypeEcheance)),
  IF(LEN(V91)=1,
  IF(LEN(INDEX(Roadmap!$D:$K,MATCH($E91,Roadmap!$D:$D,0)-1+COUNTIF($E91:V91,"u")+COUNTIF($E91:V91,"t")+COUNTIF($E91:V91,"¶")+COUNTIF($E91:V91,"²")+COUNTIF($E91:V91,"µ")+COUNTIF($E91:V91,1),ColDescriptionCourte))&gt;1,
HYPERLINK("#Roadmap!C"&amp; MATCH($E91,Roadmap!$D:$D,0)+COUNTIF($E91:V91,"u")+COUNTIF($E91:V91,"t")+COUNTIF($E91:V91,"¶")+COUNTIF($E91:V91,"²")+COUNTIF($E91:V91,"µ")+COUNTIF($E91:V91,1)-1,INDEX(Roadmap!$D:$K,MATCH($E91,Roadmap!$D:$D,0)-1+COUNTIF($E91:V91,"u")+COUNTIF($E91:V91,"t")+COUNTIF($E91:V91,"¶")+COUNTIF($E91:V91,"²")+COUNTIF($E91:V91,"µ")+COUNTIF($E91:V91,1),ColDescriptionCourte)),""),
  "")),"")</f>
        <v/>
      </c>
      <c r="X91" s="40" t="str">
        <f ca="1">IFERROR(IF(AND(
  INDEX(Roadmap!$D:$K,MATCH($E91,Roadmap!$D:$D,0)+COUNTIF($E91:W91,"u")+COUNTIF($E91:W91,"t")+COUNTIF($E91:W91,"¶")+COUNTIF($E91:W91,"²")+COUNTIF($E91:W91,"µ")+COUNTIF($E91:W91,1),ColLivraison)=X$6,
  VLOOKUP($E91,INDIRECT("tri!"&amp; CHAR(64+ C0Col) &amp;":"&amp; CHAR(65+C0Col)),2,FALSE)&gt;COUNTIF($E91:W91,"u")+COUNTIF($E91:W91,"t")+COUNTIF($E91:W91,"¶")+COUNTIF($E91:W91,"²")+COUNTIF($E91:W91,"µ")+COUNTIF($E91:W91,1)),
HYPERLINK("#Roadmap!C"&amp; MATCH($E91,Roadmap!$D:$D,0)+COUNTIF($E91:W91,"u")+COUNTIF($E91:W91,"t"),
     INDEX(Roadmap!$D:$K,MATCH($E91,Roadmap!$D:$D,0)+COUNTIF($E91:W91,"u")+COUNTIF($E91:W91,"t")+COUNTIF($E91:W91,"¶")+COUNTIF($E91:W91,"²")+COUNTIF($E91:W91,"µ")+COUNTIF($E91:W91,1),ColTypeEcheance)),
  IF(LEN(W91)=1,
  IF(LEN(INDEX(Roadmap!$D:$K,MATCH($E91,Roadmap!$D:$D,0)-1+COUNTIF($E91:W91,"u")+COUNTIF($E91:W91,"t")+COUNTIF($E91:W91,"¶")+COUNTIF($E91:W91,"²")+COUNTIF($E91:W91,"µ")+COUNTIF($E91:W91,1),ColDescriptionCourte))&gt;1,
HYPERLINK("#Roadmap!C"&amp; MATCH($E91,Roadmap!$D:$D,0)+COUNTIF($E91:W91,"u")+COUNTIF($E91:W91,"t")+COUNTIF($E91:W91,"¶")+COUNTIF($E91:W91,"²")+COUNTIF($E91:W91,"µ")+COUNTIF($E91:W91,1)-1,INDEX(Roadmap!$D:$K,MATCH($E91,Roadmap!$D:$D,0)-1+COUNTIF($E91:W91,"u")+COUNTIF($E91:W91,"t")+COUNTIF($E91:W91,"¶")+COUNTIF($E91:W91,"²")+COUNTIF($E91:W91,"µ")+COUNTIF($E91:W91,1),ColDescriptionCourte)),""),
  "")),"")</f>
        <v/>
      </c>
      <c r="Y91" s="40" t="str">
        <f ca="1">IFERROR(IF(AND(
  INDEX(Roadmap!$D:$K,MATCH($E91,Roadmap!$D:$D,0)+COUNTIF($E91:X91,"u")+COUNTIF($E91:X91,"t")+COUNTIF($E91:X91,"¶")+COUNTIF($E91:X91,"²")+COUNTIF($E91:X91,"µ")+COUNTIF($E91:X91,1),ColLivraison)=Y$6,
  VLOOKUP($E91,INDIRECT("tri!"&amp; CHAR(64+ C0Col) &amp;":"&amp; CHAR(65+C0Col)),2,FALSE)&gt;COUNTIF($E91:X91,"u")+COUNTIF($E91:X91,"t")+COUNTIF($E91:X91,"¶")+COUNTIF($E91:X91,"²")+COUNTIF($E91:X91,"µ")+COUNTIF($E91:X91,1)),
HYPERLINK("#Roadmap!C"&amp; MATCH($E91,Roadmap!$D:$D,0)+COUNTIF($E91:X91,"u")+COUNTIF($E91:X91,"t"),
     INDEX(Roadmap!$D:$K,MATCH($E91,Roadmap!$D:$D,0)+COUNTIF($E91:X91,"u")+COUNTIF($E91:X91,"t")+COUNTIF($E91:X91,"¶")+COUNTIF($E91:X91,"²")+COUNTIF($E91:X91,"µ")+COUNTIF($E91:X91,1),ColTypeEcheance)),
  IF(LEN(X91)=1,
  IF(LEN(INDEX(Roadmap!$D:$K,MATCH($E91,Roadmap!$D:$D,0)-1+COUNTIF($E91:X91,"u")+COUNTIF($E91:X91,"t")+COUNTIF($E91:X91,"¶")+COUNTIF($E91:X91,"²")+COUNTIF($E91:X91,"µ")+COUNTIF($E91:X91,1),ColDescriptionCourte))&gt;1,
HYPERLINK("#Roadmap!C"&amp; MATCH($E91,Roadmap!$D:$D,0)+COUNTIF($E91:X91,"u")+COUNTIF($E91:X91,"t")+COUNTIF($E91:X91,"¶")+COUNTIF($E91:X91,"²")+COUNTIF($E91:X91,"µ")+COUNTIF($E91:X91,1)-1,INDEX(Roadmap!$D:$K,MATCH($E91,Roadmap!$D:$D,0)-1+COUNTIF($E91:X91,"u")+COUNTIF($E91:X91,"t")+COUNTIF($E91:X91,"¶")+COUNTIF($E91:X91,"²")+COUNTIF($E91:X91,"µ")+COUNTIF($E91:X91,1),ColDescriptionCourte)),""),
  "")),"")</f>
        <v/>
      </c>
      <c r="Z91" s="40" t="str">
        <f ca="1">IFERROR(IF(AND(
  INDEX(Roadmap!$D:$K,MATCH($E91,Roadmap!$D:$D,0)+COUNTIF($E91:Y91,"u")+COUNTIF($E91:Y91,"t")+COUNTIF($E91:Y91,"¶")+COUNTIF($E91:Y91,"²")+COUNTIF($E91:Y91,"µ")+COUNTIF($E91:Y91,1),ColLivraison)=Z$6,
  VLOOKUP($E91,INDIRECT("tri!"&amp; CHAR(64+ C0Col) &amp;":"&amp; CHAR(65+C0Col)),2,FALSE)&gt;COUNTIF($E91:Y91,"u")+COUNTIF($E91:Y91,"t")+COUNTIF($E91:Y91,"¶")+COUNTIF($E91:Y91,"²")+COUNTIF($E91:Y91,"µ")+COUNTIF($E91:Y91,1)),
HYPERLINK("#Roadmap!C"&amp; MATCH($E91,Roadmap!$D:$D,0)+COUNTIF($E91:Y91,"u")+COUNTIF($E91:Y91,"t"),
     INDEX(Roadmap!$D:$K,MATCH($E91,Roadmap!$D:$D,0)+COUNTIF($E91:Y91,"u")+COUNTIF($E91:Y91,"t")+COUNTIF($E91:Y91,"¶")+COUNTIF($E91:Y91,"²")+COUNTIF($E91:Y91,"µ")+COUNTIF($E91:Y91,1),ColTypeEcheance)),
  IF(LEN(Y91)=1,
  IF(LEN(INDEX(Roadmap!$D:$K,MATCH($E91,Roadmap!$D:$D,0)-1+COUNTIF($E91:Y91,"u")+COUNTIF($E91:Y91,"t")+COUNTIF($E91:Y91,"¶")+COUNTIF($E91:Y91,"²")+COUNTIF($E91:Y91,"µ")+COUNTIF($E91:Y91,1),ColDescriptionCourte))&gt;1,
HYPERLINK("#Roadmap!C"&amp; MATCH($E91,Roadmap!$D:$D,0)+COUNTIF($E91:Y91,"u")+COUNTIF($E91:Y91,"t")+COUNTIF($E91:Y91,"¶")+COUNTIF($E91:Y91,"²")+COUNTIF($E91:Y91,"µ")+COUNTIF($E91:Y91,1)-1,INDEX(Roadmap!$D:$K,MATCH($E91,Roadmap!$D:$D,0)-1+COUNTIF($E91:Y91,"u")+COUNTIF($E91:Y91,"t")+COUNTIF($E91:Y91,"¶")+COUNTIF($E91:Y91,"²")+COUNTIF($E91:Y91,"µ")+COUNTIF($E91:Y91,1),ColDescriptionCourte)),""),
  "")),"")</f>
        <v/>
      </c>
      <c r="AA91" s="40" t="str">
        <f ca="1">IFERROR(IF(AND(
  INDEX(Roadmap!$D:$K,MATCH($E91,Roadmap!$D:$D,0)+COUNTIF($E91:Z91,"u")+COUNTIF($E91:Z91,"t")+COUNTIF($E91:Z91,"¶")+COUNTIF($E91:Z91,"²")+COUNTIF($E91:Z91,"µ")+COUNTIF($E91:Z91,1),ColLivraison)=AA$6,
  VLOOKUP($E91,INDIRECT("tri!"&amp; CHAR(64+ C0Col) &amp;":"&amp; CHAR(65+C0Col)),2,FALSE)&gt;COUNTIF($E91:Z91,"u")+COUNTIF($E91:Z91,"t")+COUNTIF($E91:Z91,"¶")+COUNTIF($E91:Z91,"²")+COUNTIF($E91:Z91,"µ")+COUNTIF($E91:Z91,1)),
HYPERLINK("#Roadmap!C"&amp; MATCH($E91,Roadmap!$D:$D,0)+COUNTIF($E91:Z91,"u")+COUNTIF($E91:Z91,"t"),
     INDEX(Roadmap!$D:$K,MATCH($E91,Roadmap!$D:$D,0)+COUNTIF($E91:Z91,"u")+COUNTIF($E91:Z91,"t")+COUNTIF($E91:Z91,"¶")+COUNTIF($E91:Z91,"²")+COUNTIF($E91:Z91,"µ")+COUNTIF($E91:Z91,1),ColTypeEcheance)),
  IF(LEN(Z91)=1,
  IF(LEN(INDEX(Roadmap!$D:$K,MATCH($E91,Roadmap!$D:$D,0)-1+COUNTIF($E91:Z91,"u")+COUNTIF($E91:Z91,"t")+COUNTIF($E91:Z91,"¶")+COUNTIF($E91:Z91,"²")+COUNTIF($E91:Z91,"µ")+COUNTIF($E91:Z91,1),ColDescriptionCourte))&gt;1,
HYPERLINK("#Roadmap!C"&amp; MATCH($E91,Roadmap!$D:$D,0)+COUNTIF($E91:Z91,"u")+COUNTIF($E91:Z91,"t")+COUNTIF($E91:Z91,"¶")+COUNTIF($E91:Z91,"²")+COUNTIF($E91:Z91,"µ")+COUNTIF($E91:Z91,1)-1,INDEX(Roadmap!$D:$K,MATCH($E91,Roadmap!$D:$D,0)-1+COUNTIF($E91:Z91,"u")+COUNTIF($E91:Z91,"t")+COUNTIF($E91:Z91,"¶")+COUNTIF($E91:Z91,"²")+COUNTIF($E91:Z91,"µ")+COUNTIF($E91:Z91,1),ColDescriptionCourte)),""),
  "")),"")</f>
        <v/>
      </c>
      <c r="AB91" s="40" t="str">
        <f ca="1">IFERROR(IF(AND(
  INDEX(Roadmap!$D:$K,MATCH($E91,Roadmap!$D:$D,0)+COUNTIF($E91:AA91,"u")+COUNTIF($E91:AA91,"t")+COUNTIF($E91:AA91,"¶")+COUNTIF($E91:AA91,"²")+COUNTIF($E91:AA91,"µ")+COUNTIF($E91:AA91,1),ColLivraison)=AB$6,
  VLOOKUP($E91,INDIRECT("tri!"&amp; CHAR(64+ C0Col) &amp;":"&amp; CHAR(65+C0Col)),2,FALSE)&gt;COUNTIF($E91:AA91,"u")+COUNTIF($E91:AA91,"t")+COUNTIF($E91:AA91,"¶")+COUNTIF($E91:AA91,"²")+COUNTIF($E91:AA91,"µ")+COUNTIF($E91:AA91,1)),
HYPERLINK("#Roadmap!C"&amp; MATCH($E91,Roadmap!$D:$D,0)+COUNTIF($E91:AA91,"u")+COUNTIF($E91:AA91,"t"),
     INDEX(Roadmap!$D:$K,MATCH($E91,Roadmap!$D:$D,0)+COUNTIF($E91:AA91,"u")+COUNTIF($E91:AA91,"t")+COUNTIF($E91:AA91,"¶")+COUNTIF($E91:AA91,"²")+COUNTIF($E91:AA91,"µ")+COUNTIF($E91:AA91,1),ColTypeEcheance)),
  IF(LEN(AA91)=1,
  IF(LEN(INDEX(Roadmap!$D:$K,MATCH($E91,Roadmap!$D:$D,0)-1+COUNTIF($E91:AA91,"u")+COUNTIF($E91:AA91,"t")+COUNTIF($E91:AA91,"¶")+COUNTIF($E91:AA91,"²")+COUNTIF($E91:AA91,"µ")+COUNTIF($E91:AA91,1),ColDescriptionCourte))&gt;1,
HYPERLINK("#Roadmap!C"&amp; MATCH($E91,Roadmap!$D:$D,0)+COUNTIF($E91:AA91,"u")+COUNTIF($E91:AA91,"t")+COUNTIF($E91:AA91,"¶")+COUNTIF($E91:AA91,"²")+COUNTIF($E91:AA91,"µ")+COUNTIF($E91:AA91,1)-1,INDEX(Roadmap!$D:$K,MATCH($E91,Roadmap!$D:$D,0)-1+COUNTIF($E91:AA91,"u")+COUNTIF($E91:AA91,"t")+COUNTIF($E91:AA91,"¶")+COUNTIF($E91:AA91,"²")+COUNTIF($E91:AA91,"µ")+COUNTIF($E91:AA91,1),ColDescriptionCourte)),""),
  "")),"")</f>
        <v/>
      </c>
      <c r="AC91" s="40" t="str">
        <f ca="1">IFERROR(IF(AND(
  INDEX(Roadmap!$D:$K,MATCH($E91,Roadmap!$D:$D,0)+COUNTIF($E91:AB91,"u")+COUNTIF($E91:AB91,"t")+COUNTIF($E91:AB91,"¶")+COUNTIF($E91:AB91,"²")+COUNTIF($E91:AB91,"µ")+COUNTIF($E91:AB91,1),ColLivraison)=AC$6,
  VLOOKUP($E91,INDIRECT("tri!"&amp; CHAR(64+ C0Col) &amp;":"&amp; CHAR(65+C0Col)),2,FALSE)&gt;COUNTIF($E91:AB91,"u")+COUNTIF($E91:AB91,"t")+COUNTIF($E91:AB91,"¶")+COUNTIF($E91:AB91,"²")+COUNTIF($E91:AB91,"µ")+COUNTIF($E91:AB91,1)),
HYPERLINK("#Roadmap!C"&amp; MATCH($E91,Roadmap!$D:$D,0)+COUNTIF($E91:AB91,"u")+COUNTIF($E91:AB91,"t"),
     INDEX(Roadmap!$D:$K,MATCH($E91,Roadmap!$D:$D,0)+COUNTIF($E91:AB91,"u")+COUNTIF($E91:AB91,"t")+COUNTIF($E91:AB91,"¶")+COUNTIF($E91:AB91,"²")+COUNTIF($E91:AB91,"µ")+COUNTIF($E91:AB91,1),ColTypeEcheance)),
  IF(LEN(AB91)=1,
  IF(LEN(INDEX(Roadmap!$D:$K,MATCH($E91,Roadmap!$D:$D,0)-1+COUNTIF($E91:AB91,"u")+COUNTIF($E91:AB91,"t")+COUNTIF($E91:AB91,"¶")+COUNTIF($E91:AB91,"²")+COUNTIF($E91:AB91,"µ")+COUNTIF($E91:AB91,1),ColDescriptionCourte))&gt;1,
HYPERLINK("#Roadmap!C"&amp; MATCH($E91,Roadmap!$D:$D,0)+COUNTIF($E91:AB91,"u")+COUNTIF($E91:AB91,"t")+COUNTIF($E91:AB91,"¶")+COUNTIF($E91:AB91,"²")+COUNTIF($E91:AB91,"µ")+COUNTIF($E91:AB91,1)-1,INDEX(Roadmap!$D:$K,MATCH($E91,Roadmap!$D:$D,0)-1+COUNTIF($E91:AB91,"u")+COUNTIF($E91:AB91,"t")+COUNTIF($E91:AB91,"¶")+COUNTIF($E91:AB91,"²")+COUNTIF($E91:AB91,"µ")+COUNTIF($E91:AB91,1),ColDescriptionCourte)),""),
  "")),"")</f>
        <v/>
      </c>
      <c r="AD91" s="40" t="str">
        <f ca="1">IFERROR(IF(AND(
  INDEX(Roadmap!$D:$K,MATCH($E91,Roadmap!$D:$D,0)+COUNTIF($E91:AC91,"u")+COUNTIF($E91:AC91,"t")+COUNTIF($E91:AC91,"¶")+COUNTIF($E91:AC91,"²")+COUNTIF($E91:AC91,"µ")+COUNTIF($E91:AC91,1),ColLivraison)=AD$6,
  VLOOKUP($E91,INDIRECT("tri!"&amp; CHAR(64+ C0Col) &amp;":"&amp; CHAR(65+C0Col)),2,FALSE)&gt;COUNTIF($E91:AC91,"u")+COUNTIF($E91:AC91,"t")+COUNTIF($E91:AC91,"¶")+COUNTIF($E91:AC91,"²")+COUNTIF($E91:AC91,"µ")+COUNTIF($E91:AC91,1)),
HYPERLINK("#Roadmap!C"&amp; MATCH($E91,Roadmap!$D:$D,0)+COUNTIF($E91:AC91,"u")+COUNTIF($E91:AC91,"t"),
     INDEX(Roadmap!$D:$K,MATCH($E91,Roadmap!$D:$D,0)+COUNTIF($E91:AC91,"u")+COUNTIF($E91:AC91,"t")+COUNTIF($E91:AC91,"¶")+COUNTIF($E91:AC91,"²")+COUNTIF($E91:AC91,"µ")+COUNTIF($E91:AC91,1),ColTypeEcheance)),
  IF(LEN(AC91)=1,
  IF(LEN(INDEX(Roadmap!$D:$K,MATCH($E91,Roadmap!$D:$D,0)-1+COUNTIF($E91:AC91,"u")+COUNTIF($E91:AC91,"t")+COUNTIF($E91:AC91,"¶")+COUNTIF($E91:AC91,"²")+COUNTIF($E91:AC91,"µ")+COUNTIF($E91:AC91,1),ColDescriptionCourte))&gt;1,
HYPERLINK("#Roadmap!C"&amp; MATCH($E91,Roadmap!$D:$D,0)+COUNTIF($E91:AC91,"u")+COUNTIF($E91:AC91,"t")+COUNTIF($E91:AC91,"¶")+COUNTIF($E91:AC91,"²")+COUNTIF($E91:AC91,"µ")+COUNTIF($E91:AC91,1)-1,INDEX(Roadmap!$D:$K,MATCH($E91,Roadmap!$D:$D,0)-1+COUNTIF($E91:AC91,"u")+COUNTIF($E91:AC91,"t")+COUNTIF($E91:AC91,"¶")+COUNTIF($E91:AC91,"²")+COUNTIF($E91:AC91,"µ")+COUNTIF($E91:AC91,1),ColDescriptionCourte)),""),
  "")),"")</f>
        <v/>
      </c>
      <c r="AE91" s="40" t="str">
        <f ca="1">IFERROR(IF(AND(
  INDEX(Roadmap!$D:$K,MATCH($E91,Roadmap!$D:$D,0)+COUNTIF($E91:AD91,"u")+COUNTIF($E91:AD91,"t")+COUNTIF($E91:AD91,"¶")+COUNTIF($E91:AD91,"²")+COUNTIF($E91:AD91,"µ")+COUNTIF($E91:AD91,1),ColLivraison)=AE$6,
  VLOOKUP($E91,INDIRECT("tri!"&amp; CHAR(64+ C0Col) &amp;":"&amp; CHAR(65+C0Col)),2,FALSE)&gt;COUNTIF($E91:AD91,"u")+COUNTIF($E91:AD91,"t")+COUNTIF($E91:AD91,"¶")+COUNTIF($E91:AD91,"²")+COUNTIF($E91:AD91,"µ")+COUNTIF($E91:AD91,1)),
HYPERLINK("#Roadmap!C"&amp; MATCH($E91,Roadmap!$D:$D,0)+COUNTIF($E91:AD91,"u")+COUNTIF($E91:AD91,"t"),
     INDEX(Roadmap!$D:$K,MATCH($E91,Roadmap!$D:$D,0)+COUNTIF($E91:AD91,"u")+COUNTIF($E91:AD91,"t")+COUNTIF($E91:AD91,"¶")+COUNTIF($E91:AD91,"²")+COUNTIF($E91:AD91,"µ")+COUNTIF($E91:AD91,1),ColTypeEcheance)),
  IF(LEN(AD91)=1,
  IF(LEN(INDEX(Roadmap!$D:$K,MATCH($E91,Roadmap!$D:$D,0)-1+COUNTIF($E91:AD91,"u")+COUNTIF($E91:AD91,"t")+COUNTIF($E91:AD91,"¶")+COUNTIF($E91:AD91,"²")+COUNTIF($E91:AD91,"µ")+COUNTIF($E91:AD91,1),ColDescriptionCourte))&gt;1,
HYPERLINK("#Roadmap!C"&amp; MATCH($E91,Roadmap!$D:$D,0)+COUNTIF($E91:AD91,"u")+COUNTIF($E91:AD91,"t")+COUNTIF($E91:AD91,"¶")+COUNTIF($E91:AD91,"²")+COUNTIF($E91:AD91,"µ")+COUNTIF($E91:AD91,1)-1,INDEX(Roadmap!$D:$K,MATCH($E91,Roadmap!$D:$D,0)-1+COUNTIF($E91:AD91,"u")+COUNTIF($E91:AD91,"t")+COUNTIF($E91:AD91,"¶")+COUNTIF($E91:AD91,"²")+COUNTIF($E91:AD91,"µ")+COUNTIF($E91:AD91,1),ColDescriptionCourte)),""),
  "")),"")</f>
        <v/>
      </c>
      <c r="AF91" s="40" t="str">
        <f ca="1">IFERROR(IF(AND(
  INDEX(Roadmap!$D:$K,MATCH($E91,Roadmap!$D:$D,0)+COUNTIF($E91:AE91,"u")+COUNTIF($E91:AE91,"t")+COUNTIF($E91:AE91,"¶")+COUNTIF($E91:AE91,"²")+COUNTIF($E91:AE91,"µ")+COUNTIF($E91:AE91,1),ColLivraison)=AF$6,
  VLOOKUP($E91,INDIRECT("tri!"&amp; CHAR(64+ C0Col) &amp;":"&amp; CHAR(65+C0Col)),2,FALSE)&gt;COUNTIF($E91:AE91,"u")+COUNTIF($E91:AE91,"t")+COUNTIF($E91:AE91,"¶")+COUNTIF($E91:AE91,"²")+COUNTIF($E91:AE91,"µ")+COUNTIF($E91:AE91,1)),
HYPERLINK("#Roadmap!C"&amp; MATCH($E91,Roadmap!$D:$D,0)+COUNTIF($E91:AE91,"u")+COUNTIF($E91:AE91,"t"),
     INDEX(Roadmap!$D:$K,MATCH($E91,Roadmap!$D:$D,0)+COUNTIF($E91:AE91,"u")+COUNTIF($E91:AE91,"t")+COUNTIF($E91:AE91,"¶")+COUNTIF($E91:AE91,"²")+COUNTIF($E91:AE91,"µ")+COUNTIF($E91:AE91,1),ColTypeEcheance)),
  IF(LEN(AE91)=1,
  IF(LEN(INDEX(Roadmap!$D:$K,MATCH($E91,Roadmap!$D:$D,0)-1+COUNTIF($E91:AE91,"u")+COUNTIF($E91:AE91,"t")+COUNTIF($E91:AE91,"¶")+COUNTIF($E91:AE91,"²")+COUNTIF($E91:AE91,"µ")+COUNTIF($E91:AE91,1),ColDescriptionCourte))&gt;1,
HYPERLINK("#Roadmap!C"&amp; MATCH($E91,Roadmap!$D:$D,0)+COUNTIF($E91:AE91,"u")+COUNTIF($E91:AE91,"t")+COUNTIF($E91:AE91,"¶")+COUNTIF($E91:AE91,"²")+COUNTIF($E91:AE91,"µ")+COUNTIF($E91:AE91,1)-1,INDEX(Roadmap!$D:$K,MATCH($E91,Roadmap!$D:$D,0)-1+COUNTIF($E91:AE91,"u")+COUNTIF($E91:AE91,"t")+COUNTIF($E91:AE91,"¶")+COUNTIF($E91:AE91,"²")+COUNTIF($E91:AE91,"µ")+COUNTIF($E91:AE91,1),ColDescriptionCourte)),""),
  "")),"")</f>
        <v/>
      </c>
      <c r="AG91" s="40" t="str">
        <f ca="1">IFERROR(IF(AND(
  INDEX(Roadmap!$D:$K,MATCH($E91,Roadmap!$D:$D,0)+COUNTIF($E91:AF91,"u")+COUNTIF($E91:AF91,"t")+COUNTIF($E91:AF91,"¶")+COUNTIF($E91:AF91,"²")+COUNTIF($E91:AF91,"µ")+COUNTIF($E91:AF91,1),ColLivraison)=AG$6,
  VLOOKUP($E91,INDIRECT("tri!"&amp; CHAR(64+ C0Col) &amp;":"&amp; CHAR(65+C0Col)),2,FALSE)&gt;COUNTIF($E91:AF91,"u")+COUNTIF($E91:AF91,"t")+COUNTIF($E91:AF91,"¶")+COUNTIF($E91:AF91,"²")+COUNTIF($E91:AF91,"µ")+COUNTIF($E91:AF91,1)),
HYPERLINK("#Roadmap!C"&amp; MATCH($E91,Roadmap!$D:$D,0)+COUNTIF($E91:AF91,"u")+COUNTIF($E91:AF91,"t"),
     INDEX(Roadmap!$D:$K,MATCH($E91,Roadmap!$D:$D,0)+COUNTIF($E91:AF91,"u")+COUNTIF($E91:AF91,"t")+COUNTIF($E91:AF91,"¶")+COUNTIF($E91:AF91,"²")+COUNTIF($E91:AF91,"µ")+COUNTIF($E91:AF91,1),ColTypeEcheance)),
  IF(LEN(AF91)=1,
  IF(LEN(INDEX(Roadmap!$D:$K,MATCH($E91,Roadmap!$D:$D,0)-1+COUNTIF($E91:AF91,"u")+COUNTIF($E91:AF91,"t")+COUNTIF($E91:AF91,"¶")+COUNTIF($E91:AF91,"²")+COUNTIF($E91:AF91,"µ")+COUNTIF($E91:AF91,1),ColDescriptionCourte))&gt;1,
HYPERLINK("#Roadmap!C"&amp; MATCH($E91,Roadmap!$D:$D,0)+COUNTIF($E91:AF91,"u")+COUNTIF($E91:AF91,"t")+COUNTIF($E91:AF91,"¶")+COUNTIF($E91:AF91,"²")+COUNTIF($E91:AF91,"µ")+COUNTIF($E91:AF91,1)-1,INDEX(Roadmap!$D:$K,MATCH($E91,Roadmap!$D:$D,0)-1+COUNTIF($E91:AF91,"u")+COUNTIF($E91:AF91,"t")+COUNTIF($E91:AF91,"¶")+COUNTIF($E91:AF91,"²")+COUNTIF($E91:AF91,"µ")+COUNTIF($E91:AF91,1),ColDescriptionCourte)),""),
  "")),"")</f>
        <v/>
      </c>
      <c r="AH91" s="40" t="str">
        <f ca="1">IFERROR(IF(AND(
  INDEX(Roadmap!$D:$K,MATCH($E91,Roadmap!$D:$D,0)+COUNTIF($E91:AG91,"u")+COUNTIF($E91:AG91,"t")+COUNTIF($E91:AG91,1),ColLivraison)=AH$6,
  VLOOKUP($E91,INDIRECT("tri!"&amp; CHAR(64+ C0Col) &amp;":"&amp; CHAR(65+C0Col)),2,FALSE)&gt;COUNTIF($E91:AG91,"u")+COUNTIF($E91:AG91,"t")+COUNTIF($E91:AG91,1)),
HYPERLINK("#Roadmap!C"&amp; MATCH($E91,Roadmap!$D:$D,0)+COUNTIF($E91:AG91,"u")+COUNTIF($E91:AG91,"t"),
     INDEX(Roadmap!$D:$K,MATCH($E91,Roadmap!$D:$D,0)+COUNTIF($E91:AG91,"u")+COUNTIF($E91:AG91,"t")+COUNTIF($E91:AG91,1),ColTypeEcheance)),
  IF(OR(AG91="u",AG91="t",AG91=1),
  IF(LEN(INDEX(Roadmap!$D:$K,MATCH($E91,Roadmap!$D:$D,0)-1+COUNTIF($E91:AG91,"u")+COUNTIF($E91:AG91,"t")+COUNTIF($E91:AG91,1),ColDescriptionCourte))&gt;1,
HYPERLINK("#Roadmap!C"&amp; MATCH($E91,Roadmap!$D:$D,0)+COUNTIF($E91:AG91,"u")+COUNTIF($E91:AG91,"t")+COUNTIF($E91:AG91,1)-1,INDEX(Roadmap!$D:$K,MATCH($E91,Roadmap!$D:$D,0)-1+COUNTIF($E91:AG91,"u")+COUNTIF($E91:AG91,"t")+COUNTIF($E91:AG91,1),ColDescriptionCourte)),""),
  "")),"")</f>
        <v/>
      </c>
      <c r="AI91" s="40"/>
      <c r="AJ91" s="40"/>
      <c r="AK91" s="40"/>
      <c r="AL91" s="40"/>
      <c r="AM91" s="40"/>
    </row>
    <row r="92" spans="4:39" ht="14.1" customHeight="1">
      <c r="D92" s="20" t="str">
        <f t="shared" ca="1" si="29"/>
        <v/>
      </c>
      <c r="E92" s="53" t="str">
        <f t="shared" ca="1" si="30"/>
        <v/>
      </c>
      <c r="F92" s="39" t="str">
        <f ca="1">IFERROR(IF(AND(
  INDEX(Roadmap!$D:$K,MATCH($E92,Roadmap!$D:$D,0)+COUNTIF($E92:E92,"u")+COUNTIF($E92:E92,"t")+COUNTIF($E92:E92,"¶")+COUNTIF($E92:E92,"²")+COUNTIF($E92:E92,"µ")+COUNTIF($E92:E92,1),ColLivraison)=F$6,
  VLOOKUP($E92,INDIRECT("tri!"&amp; CHAR(64+ C0Col) &amp;":"&amp; CHAR(65+C0Col)),2,FALSE)&gt;COUNTIF($E92:E92,"u")+COUNTIF($E92:E92,"t")+COUNTIF($E92:E92,"¶")+COUNTIF($E92:E92,"²")+COUNTIF($E92:E92,"µ")+COUNTIF($E92:E92,1)),
HYPERLINK("#Roadmap!C"&amp; MATCH($E92,Roadmap!$D:$D,0)+COUNTIF($E92:E92,"u")+COUNTIF($E92:E92,"t"),
     INDEX(Roadmap!$D:$K,MATCH($E92,Roadmap!$D:$D,0)+COUNTIF($E92:E92,"u")+COUNTIF($E92:E92,"t")+COUNTIF($E92:E92,"¶")+COUNTIF($E92:E92,"²")+COUNTIF($E92:E92,"µ")+COUNTIF($E92:E92,1),ColTypeEcheance)),
  IF(LEN(E92)=1,
  IF(LEN(INDEX(Roadmap!$D:$K,MATCH($E92,Roadmap!$D:$D,0)-1+COUNTIF($E92:E92,"u")+COUNTIF($E92:E92,"t")+COUNTIF($E92:E92,"¶")+COUNTIF($E92:E92,"²")+COUNTIF($E92:E92,"µ")+COUNTIF($E92:E92,1),ColDescriptionCourte))&gt;1,
HYPERLINK("#Roadmap!C"&amp; MATCH($E92,Roadmap!$D:$D,0)+COUNTIF($E92:E92,"u")+COUNTIF($E92:E92,"t")+COUNTIF($E92:E92,"¶")+COUNTIF($E92:E92,"²")+COUNTIF($E92:E92,"µ")+COUNTIF($E92:E92,1)-1,INDEX(Roadmap!$D:$K,MATCH($E92,Roadmap!$D:$D,0)-1+COUNTIF($E92:E92,"u")+COUNTIF($E92:E92,"t")+COUNTIF($E92:E92,"¶")+COUNTIF($E92:E92,"²")+COUNTIF($E92:E92,"µ")+COUNTIF($E92:E92,1),ColDescriptionCourte)),""),
  "")),"")</f>
        <v/>
      </c>
      <c r="G92" s="40" t="str">
        <f ca="1">IFERROR(IF(AND(
  INDEX(Roadmap!$D:$K,MATCH($E92,Roadmap!$D:$D,0)+COUNTIF($E92:F92,"u")+COUNTIF($E92:F92,"t")+COUNTIF($E92:F92,"¶")+COUNTIF($E92:F92,"²")+COUNTIF($E92:F92,"µ")+COUNTIF($E92:F92,1),ColLivraison)=G$6,
  VLOOKUP($E92,INDIRECT("tri!"&amp; CHAR(64+ C0Col) &amp;":"&amp; CHAR(65+C0Col)),2,FALSE)&gt;COUNTIF($E92:F92,"u")+COUNTIF($E92:F92,"t")+COUNTIF($E92:F92,"¶")+COUNTIF($E92:F92,"²")+COUNTIF($E92:F92,"µ")+COUNTIF($E92:F92,1)),
HYPERLINK("#Roadmap!C"&amp; MATCH($E92,Roadmap!$D:$D,0)+COUNTIF($E92:F92,"u")+COUNTIF($E92:F92,"t"),
     INDEX(Roadmap!$D:$K,MATCH($E92,Roadmap!$D:$D,0)+COUNTIF($E92:F92,"u")+COUNTIF($E92:F92,"t")+COUNTIF($E92:F92,"¶")+COUNTIF($E92:F92,"²")+COUNTIF($E92:F92,"µ")+COUNTIF($E92:F92,1),ColTypeEcheance)),
  IF(LEN(F92)=1,
  IF(LEN(INDEX(Roadmap!$D:$K,MATCH($E92,Roadmap!$D:$D,0)-1+COUNTIF($E92:F92,"u")+COUNTIF($E92:F92,"t")+COUNTIF($E92:F92,"¶")+COUNTIF($E92:F92,"²")+COUNTIF($E92:F92,"µ")+COUNTIF($E92:F92,1),ColDescriptionCourte))&gt;1,
HYPERLINK("#Roadmap!C"&amp; MATCH($E92,Roadmap!$D:$D,0)+COUNTIF($E92:F92,"u")+COUNTIF($E92:F92,"t")+COUNTIF($E92:F92,"¶")+COUNTIF($E92:F92,"²")+COUNTIF($E92:F92,"µ")+COUNTIF($E92:F92,1)-1,INDEX(Roadmap!$D:$K,MATCH($E92,Roadmap!$D:$D,0)-1+COUNTIF($E92:F92,"u")+COUNTIF($E92:F92,"t")+COUNTIF($E92:F92,"¶")+COUNTIF($E92:F92,"²")+COUNTIF($E92:F92,"µ")+COUNTIF($E92:F92,1),ColDescriptionCourte)),""),
  "")),"")</f>
        <v/>
      </c>
      <c r="H92" s="40" t="str">
        <f ca="1">IFERROR(IF(AND(
  INDEX(Roadmap!$D:$K,MATCH($E92,Roadmap!$D:$D,0)+COUNTIF($E92:G92,"u")+COUNTIF($E92:G92,"t")+COUNTIF($E92:G92,"¶")+COUNTIF($E92:G92,"²")+COUNTIF($E92:G92,"µ")+COUNTIF($E92:G92,1),ColLivraison)=H$6,
  VLOOKUP($E92,INDIRECT("tri!"&amp; CHAR(64+ C0Col) &amp;":"&amp; CHAR(65+C0Col)),2,FALSE)&gt;COUNTIF($E92:G92,"u")+COUNTIF($E92:G92,"t")+COUNTIF($E92:G92,"¶")+COUNTIF($E92:G92,"²")+COUNTIF($E92:G92,"µ")+COUNTIF($E92:G92,1)),
HYPERLINK("#Roadmap!C"&amp; MATCH($E92,Roadmap!$D:$D,0)+COUNTIF($E92:G92,"u")+COUNTIF($E92:G92,"t"),
     INDEX(Roadmap!$D:$K,MATCH($E92,Roadmap!$D:$D,0)+COUNTIF($E92:G92,"u")+COUNTIF($E92:G92,"t")+COUNTIF($E92:G92,"¶")+COUNTIF($E92:G92,"²")+COUNTIF($E92:G92,"µ")+COUNTIF($E92:G92,1),ColTypeEcheance)),
  IF(LEN(G92)=1,
  IF(LEN(INDEX(Roadmap!$D:$K,MATCH($E92,Roadmap!$D:$D,0)-1+COUNTIF($E92:G92,"u")+COUNTIF($E92:G92,"t")+COUNTIF($E92:G92,"¶")+COUNTIF($E92:G92,"²")+COUNTIF($E92:G92,"µ")+COUNTIF($E92:G92,1),ColDescriptionCourte))&gt;1,
HYPERLINK("#Roadmap!C"&amp; MATCH($E92,Roadmap!$D:$D,0)+COUNTIF($E92:G92,"u")+COUNTIF($E92:G92,"t")+COUNTIF($E92:G92,"¶")+COUNTIF($E92:G92,"²")+COUNTIF($E92:G92,"µ")+COUNTIF($E92:G92,1)-1,INDEX(Roadmap!$D:$K,MATCH($E92,Roadmap!$D:$D,0)-1+COUNTIF($E92:G92,"u")+COUNTIF($E92:G92,"t")+COUNTIF($E92:G92,"¶")+COUNTIF($E92:G92,"²")+COUNTIF($E92:G92,"µ")+COUNTIF($E92:G92,1),ColDescriptionCourte)),""),
  "")),"")</f>
        <v/>
      </c>
      <c r="I92" s="40" t="str">
        <f ca="1">IFERROR(IF(AND(
  INDEX(Roadmap!$D:$K,MATCH($E92,Roadmap!$D:$D,0)+COUNTIF($E92:H92,"u")+COUNTIF($E92:H92,"t")+COUNTIF($E92:H92,"¶")+COUNTIF($E92:H92,"²")+COUNTIF($E92:H92,"µ")+COUNTIF($E92:H92,1),ColLivraison)=I$6,
  VLOOKUP($E92,INDIRECT("tri!"&amp; CHAR(64+ C0Col) &amp;":"&amp; CHAR(65+C0Col)),2,FALSE)&gt;COUNTIF($E92:H92,"u")+COUNTIF($E92:H92,"t")+COUNTIF($E92:H92,"¶")+COUNTIF($E92:H92,"²")+COUNTIF($E92:H92,"µ")+COUNTIF($E92:H92,1)),
HYPERLINK("#Roadmap!C"&amp; MATCH($E92,Roadmap!$D:$D,0)+COUNTIF($E92:H92,"u")+COUNTIF($E92:H92,"t"),
     INDEX(Roadmap!$D:$K,MATCH($E92,Roadmap!$D:$D,0)+COUNTIF($E92:H92,"u")+COUNTIF($E92:H92,"t")+COUNTIF($E92:H92,"¶")+COUNTIF($E92:H92,"²")+COUNTIF($E92:H92,"µ")+COUNTIF($E92:H92,1),ColTypeEcheance)),
  IF(LEN(H92)=1,
  IF(LEN(INDEX(Roadmap!$D:$K,MATCH($E92,Roadmap!$D:$D,0)-1+COUNTIF($E92:H92,"u")+COUNTIF($E92:H92,"t")+COUNTIF($E92:H92,"¶")+COUNTIF($E92:H92,"²")+COUNTIF($E92:H92,"µ")+COUNTIF($E92:H92,1),ColDescriptionCourte))&gt;1,
HYPERLINK("#Roadmap!C"&amp; MATCH($E92,Roadmap!$D:$D,0)+COUNTIF($E92:H92,"u")+COUNTIF($E92:H92,"t")+COUNTIF($E92:H92,"¶")+COUNTIF($E92:H92,"²")+COUNTIF($E92:H92,"µ")+COUNTIF($E92:H92,1)-1,INDEX(Roadmap!$D:$K,MATCH($E92,Roadmap!$D:$D,0)-1+COUNTIF($E92:H92,"u")+COUNTIF($E92:H92,"t")+COUNTIF($E92:H92,"¶")+COUNTIF($E92:H92,"²")+COUNTIF($E92:H92,"µ")+COUNTIF($E92:H92,1),ColDescriptionCourte)),""),
  "")),"")</f>
        <v/>
      </c>
      <c r="J92" s="40" t="str">
        <f ca="1">IFERROR(IF(AND(
  INDEX(Roadmap!$D:$K,MATCH($E92,Roadmap!$D:$D,0)+COUNTIF($E92:I92,"u")+COUNTIF($E92:I92,"t")+COUNTIF($E92:I92,"¶")+COUNTIF($E92:I92,"²")+COUNTIF($E92:I92,"µ")+COUNTIF($E92:I92,1),ColLivraison)=J$6,
  VLOOKUP($E92,INDIRECT("tri!"&amp; CHAR(64+ C0Col) &amp;":"&amp; CHAR(65+C0Col)),2,FALSE)&gt;COUNTIF($E92:I92,"u")+COUNTIF($E92:I92,"t")+COUNTIF($E92:I92,"¶")+COUNTIF($E92:I92,"²")+COUNTIF($E92:I92,"µ")+COUNTIF($E92:I92,1)),
HYPERLINK("#Roadmap!C"&amp; MATCH($E92,Roadmap!$D:$D,0)+COUNTIF($E92:I92,"u")+COUNTIF($E92:I92,"t"),
     INDEX(Roadmap!$D:$K,MATCH($E92,Roadmap!$D:$D,0)+COUNTIF($E92:I92,"u")+COUNTIF($E92:I92,"t")+COUNTIF($E92:I92,"¶")+COUNTIF($E92:I92,"²")+COUNTIF($E92:I92,"µ")+COUNTIF($E92:I92,1),ColTypeEcheance)),
  IF(LEN(I92)=1,
  IF(LEN(INDEX(Roadmap!$D:$K,MATCH($E92,Roadmap!$D:$D,0)-1+COUNTIF($E92:I92,"u")+COUNTIF($E92:I92,"t")+COUNTIF($E92:I92,"¶")+COUNTIF($E92:I92,"²")+COUNTIF($E92:I92,"µ")+COUNTIF($E92:I92,1),ColDescriptionCourte))&gt;1,
HYPERLINK("#Roadmap!C"&amp; MATCH($E92,Roadmap!$D:$D,0)+COUNTIF($E92:I92,"u")+COUNTIF($E92:I92,"t")+COUNTIF($E92:I92,"¶")+COUNTIF($E92:I92,"²")+COUNTIF($E92:I92,"µ")+COUNTIF($E92:I92,1)-1,INDEX(Roadmap!$D:$K,MATCH($E92,Roadmap!$D:$D,0)-1+COUNTIF($E92:I92,"u")+COUNTIF($E92:I92,"t")+COUNTIF($E92:I92,"¶")+COUNTIF($E92:I92,"²")+COUNTIF($E92:I92,"µ")+COUNTIF($E92:I92,1),ColDescriptionCourte)),""),
  "")),"")</f>
        <v/>
      </c>
      <c r="K92" s="40" t="str">
        <f ca="1">IFERROR(IF(AND(
  INDEX(Roadmap!$D:$K,MATCH($E92,Roadmap!$D:$D,0)+COUNTIF($E92:J92,"u")+COUNTIF($E92:J92,"t")+COUNTIF($E92:J92,"¶")+COUNTIF($E92:J92,"²")+COUNTIF($E92:J92,"µ")+COUNTIF($E92:J92,1),ColLivraison)=K$6,
  VLOOKUP($E92,INDIRECT("tri!"&amp; CHAR(64+ C0Col) &amp;":"&amp; CHAR(65+C0Col)),2,FALSE)&gt;COUNTIF($E92:J92,"u")+COUNTIF($E92:J92,"t")+COUNTIF($E92:J92,"¶")+COUNTIF($E92:J92,"²")+COUNTIF($E92:J92,"µ")+COUNTIF($E92:J92,1)),
HYPERLINK("#Roadmap!C"&amp; MATCH($E92,Roadmap!$D:$D,0)+COUNTIF($E92:J92,"u")+COUNTIF($E92:J92,"t"),
     INDEX(Roadmap!$D:$K,MATCH($E92,Roadmap!$D:$D,0)+COUNTIF($E92:J92,"u")+COUNTIF($E92:J92,"t")+COUNTIF($E92:J92,"¶")+COUNTIF($E92:J92,"²")+COUNTIF($E92:J92,"µ")+COUNTIF($E92:J92,1),ColTypeEcheance)),
  IF(LEN(J92)=1,
  IF(LEN(INDEX(Roadmap!$D:$K,MATCH($E92,Roadmap!$D:$D,0)-1+COUNTIF($E92:J92,"u")+COUNTIF($E92:J92,"t")+COUNTIF($E92:J92,"¶")+COUNTIF($E92:J92,"²")+COUNTIF($E92:J92,"µ")+COUNTIF($E92:J92,1),ColDescriptionCourte))&gt;1,
HYPERLINK("#Roadmap!C"&amp; MATCH($E92,Roadmap!$D:$D,0)+COUNTIF($E92:J92,"u")+COUNTIF($E92:J92,"t")+COUNTIF($E92:J92,"¶")+COUNTIF($E92:J92,"²")+COUNTIF($E92:J92,"µ")+COUNTIF($E92:J92,1)-1,INDEX(Roadmap!$D:$K,MATCH($E92,Roadmap!$D:$D,0)-1+COUNTIF($E92:J92,"u")+COUNTIF($E92:J92,"t")+COUNTIF($E92:J92,"¶")+COUNTIF($E92:J92,"²")+COUNTIF($E92:J92,"µ")+COUNTIF($E92:J92,1),ColDescriptionCourte)),""),
  "")),"")</f>
        <v/>
      </c>
      <c r="L92" s="39" t="str">
        <f ca="1">IFERROR(IF(AND(
  INDEX(Roadmap!$D:$K,MATCH($E92,Roadmap!$D:$D,0)+COUNTIF($E92:K92,"u")+COUNTIF($E92:K92,"t")+COUNTIF($E92:K92,"¶")+COUNTIF($E92:K92,"²")+COUNTIF($E92:K92,"µ")+COUNTIF($E92:K92,1),ColLivraison)=L$6,
  VLOOKUP($E92,INDIRECT("tri!"&amp; CHAR(64+ C0Col) &amp;":"&amp; CHAR(65+C0Col)),2,FALSE)&gt;COUNTIF($E92:K92,"u")+COUNTIF($E92:K92,"t")+COUNTIF($E92:K92,"¶")+COUNTIF($E92:K92,"²")+COUNTIF($E92:K92,"µ")+COUNTIF($E92:K92,1)),
HYPERLINK("#Roadmap!C"&amp; MATCH($E92,Roadmap!$D:$D,0)+COUNTIF($E92:K92,"u")+COUNTIF($E92:K92,"t"),
     INDEX(Roadmap!$D:$K,MATCH($E92,Roadmap!$D:$D,0)+COUNTIF($E92:K92,"u")+COUNTIF($E92:K92,"t")+COUNTIF($E92:K92,"¶")+COUNTIF($E92:K92,"²")+COUNTIF($E92:K92,"µ")+COUNTIF($E92:K92,1),ColTypeEcheance)),
  IF(LEN(K92)=1,
  IF(LEN(INDEX(Roadmap!$D:$K,MATCH($E92,Roadmap!$D:$D,0)-1+COUNTIF($E92:K92,"u")+COUNTIF($E92:K92,"t")+COUNTIF($E92:K92,"¶")+COUNTIF($E92:K92,"²")+COUNTIF($E92:K92,"µ")+COUNTIF($E92:K92,1),ColDescriptionCourte))&gt;1,
HYPERLINK("#Roadmap!C"&amp; MATCH($E92,Roadmap!$D:$D,0)+COUNTIF($E92:K92,"u")+COUNTIF($E92:K92,"t")+COUNTIF($E92:K92,"¶")+COUNTIF($E92:K92,"²")+COUNTIF($E92:K92,"µ")+COUNTIF($E92:K92,1)-1,INDEX(Roadmap!$D:$K,MATCH($E92,Roadmap!$D:$D,0)-1+COUNTIF($E92:K92,"u")+COUNTIF($E92:K92,"t")+COUNTIF($E92:K92,"¶")+COUNTIF($E92:K92,"²")+COUNTIF($E92:K92,"µ")+COUNTIF($E92:K92,1),ColDescriptionCourte)),""),
  "")),"")</f>
        <v/>
      </c>
      <c r="M92" s="40" t="str">
        <f ca="1">IFERROR(IF(AND(
  INDEX(Roadmap!$D:$K,MATCH($E92,Roadmap!$D:$D,0)+COUNTIF($E92:L92,"u")+COUNTIF($E92:L92,"t")+COUNTIF($E92:L92,"¶")+COUNTIF($E92:L92,"²")+COUNTIF($E92:L92,"µ")+COUNTIF($E92:L92,1),ColLivraison)=M$6,
  VLOOKUP($E92,INDIRECT("tri!"&amp; CHAR(64+ C0Col) &amp;":"&amp; CHAR(65+C0Col)),2,FALSE)&gt;COUNTIF($E92:L92,"u")+COUNTIF($E92:L92,"t")+COUNTIF($E92:L92,"¶")+COUNTIF($E92:L92,"²")+COUNTIF($E92:L92,"µ")+COUNTIF($E92:L92,1)),
HYPERLINK("#Roadmap!C"&amp; MATCH($E92,Roadmap!$D:$D,0)+COUNTIF($E92:L92,"u")+COUNTIF($E92:L92,"t"),
     INDEX(Roadmap!$D:$K,MATCH($E92,Roadmap!$D:$D,0)+COUNTIF($E92:L92,"u")+COUNTIF($E92:L92,"t")+COUNTIF($E92:L92,"¶")+COUNTIF($E92:L92,"²")+COUNTIF($E92:L92,"µ")+COUNTIF($E92:L92,1),ColTypeEcheance)),
  IF(LEN(L92)=1,
  IF(LEN(INDEX(Roadmap!$D:$K,MATCH($E92,Roadmap!$D:$D,0)-1+COUNTIF($E92:L92,"u")+COUNTIF($E92:L92,"t")+COUNTIF($E92:L92,"¶")+COUNTIF($E92:L92,"²")+COUNTIF($E92:L92,"µ")+COUNTIF($E92:L92,1),ColDescriptionCourte))&gt;1,
HYPERLINK("#Roadmap!C"&amp; MATCH($E92,Roadmap!$D:$D,0)+COUNTIF($E92:L92,"u")+COUNTIF($E92:L92,"t")+COUNTIF($E92:L92,"¶")+COUNTIF($E92:L92,"²")+COUNTIF($E92:L92,"µ")+COUNTIF($E92:L92,1)-1,INDEX(Roadmap!$D:$K,MATCH($E92,Roadmap!$D:$D,0)-1+COUNTIF($E92:L92,"u")+COUNTIF($E92:L92,"t")+COUNTIF($E92:L92,"¶")+COUNTIF($E92:L92,"²")+COUNTIF($E92:L92,"µ")+COUNTIF($E92:L92,1),ColDescriptionCourte)),""),
  "")),"")</f>
        <v/>
      </c>
      <c r="N92" s="40" t="str">
        <f ca="1">IFERROR(IF(AND(
  INDEX(Roadmap!$D:$K,MATCH($E92,Roadmap!$D:$D,0)+COUNTIF($E92:M92,"u")+COUNTIF($E92:M92,"t")+COUNTIF($E92:M92,"¶")+COUNTIF($E92:M92,"²")+COUNTIF($E92:M92,"µ")+COUNTIF($E92:M92,1),ColLivraison)=N$6,
  VLOOKUP($E92,INDIRECT("tri!"&amp; CHAR(64+ C0Col) &amp;":"&amp; CHAR(65+C0Col)),2,FALSE)&gt;COUNTIF($E92:M92,"u")+COUNTIF($E92:M92,"t")+COUNTIF($E92:M92,"¶")+COUNTIF($E92:M92,"²")+COUNTIF($E92:M92,"µ")+COUNTIF($E92:M92,1)),
HYPERLINK("#Roadmap!C"&amp; MATCH($E92,Roadmap!$D:$D,0)+COUNTIF($E92:M92,"u")+COUNTIF($E92:M92,"t"),
     INDEX(Roadmap!$D:$K,MATCH($E92,Roadmap!$D:$D,0)+COUNTIF($E92:M92,"u")+COUNTIF($E92:M92,"t")+COUNTIF($E92:M92,"¶")+COUNTIF($E92:M92,"²")+COUNTIF($E92:M92,"µ")+COUNTIF($E92:M92,1),ColTypeEcheance)),
  IF(LEN(M92)=1,
  IF(LEN(INDEX(Roadmap!$D:$K,MATCH($E92,Roadmap!$D:$D,0)-1+COUNTIF($E92:M92,"u")+COUNTIF($E92:M92,"t")+COUNTIF($E92:M92,"¶")+COUNTIF($E92:M92,"²")+COUNTIF($E92:M92,"µ")+COUNTIF($E92:M92,1),ColDescriptionCourte))&gt;1,
HYPERLINK("#Roadmap!C"&amp; MATCH($E92,Roadmap!$D:$D,0)+COUNTIF($E92:M92,"u")+COUNTIF($E92:M92,"t")+COUNTIF($E92:M92,"¶")+COUNTIF($E92:M92,"²")+COUNTIF($E92:M92,"µ")+COUNTIF($E92:M92,1)-1,INDEX(Roadmap!$D:$K,MATCH($E92,Roadmap!$D:$D,0)-1+COUNTIF($E92:M92,"u")+COUNTIF($E92:M92,"t")+COUNTIF($E92:M92,"¶")+COUNTIF($E92:M92,"²")+COUNTIF($E92:M92,"µ")+COUNTIF($E92:M92,1),ColDescriptionCourte)),""),
  "")),"")</f>
        <v/>
      </c>
      <c r="O92" s="40" t="str">
        <f ca="1">IFERROR(IF(AND(
  INDEX(Roadmap!$D:$K,MATCH($E92,Roadmap!$D:$D,0)+COUNTIF($E92:N92,"u")+COUNTIF($E92:N92,"t")+COUNTIF($E92:N92,"¶")+COUNTIF($E92:N92,"²")+COUNTIF($E92:N92,"µ")+COUNTIF($E92:N92,1),ColLivraison)=O$6,
  VLOOKUP($E92,INDIRECT("tri!"&amp; CHAR(64+ C0Col) &amp;":"&amp; CHAR(65+C0Col)),2,FALSE)&gt;COUNTIF($E92:N92,"u")+COUNTIF($E92:N92,"t")+COUNTIF($E92:N92,"¶")+COUNTIF($E92:N92,"²")+COUNTIF($E92:N92,"µ")+COUNTIF($E92:N92,1)),
HYPERLINK("#Roadmap!C"&amp; MATCH($E92,Roadmap!$D:$D,0)+COUNTIF($E92:N92,"u")+COUNTIF($E92:N92,"t"),
     INDEX(Roadmap!$D:$K,MATCH($E92,Roadmap!$D:$D,0)+COUNTIF($E92:N92,"u")+COUNTIF($E92:N92,"t")+COUNTIF($E92:N92,"¶")+COUNTIF($E92:N92,"²")+COUNTIF($E92:N92,"µ")+COUNTIF($E92:N92,1),ColTypeEcheance)),
  IF(LEN(N92)=1,
  IF(LEN(INDEX(Roadmap!$D:$K,MATCH($E92,Roadmap!$D:$D,0)-1+COUNTIF($E92:N92,"u")+COUNTIF($E92:N92,"t")+COUNTIF($E92:N92,"¶")+COUNTIF($E92:N92,"²")+COUNTIF($E92:N92,"µ")+COUNTIF($E92:N92,1),ColDescriptionCourte))&gt;1,
HYPERLINK("#Roadmap!C"&amp; MATCH($E92,Roadmap!$D:$D,0)+COUNTIF($E92:N92,"u")+COUNTIF($E92:N92,"t")+COUNTIF($E92:N92,"¶")+COUNTIF($E92:N92,"²")+COUNTIF($E92:N92,"µ")+COUNTIF($E92:N92,1)-1,INDEX(Roadmap!$D:$K,MATCH($E92,Roadmap!$D:$D,0)-1+COUNTIF($E92:N92,"u")+COUNTIF($E92:N92,"t")+COUNTIF($E92:N92,"¶")+COUNTIF($E92:N92,"²")+COUNTIF($E92:N92,"µ")+COUNTIF($E92:N92,1),ColDescriptionCourte)),""),
  "")),"")</f>
        <v/>
      </c>
      <c r="P92" s="40" t="str">
        <f ca="1">IFERROR(IF(AND(
  INDEX(Roadmap!$D:$K,MATCH($E92,Roadmap!$D:$D,0)+COUNTIF($E92:O92,"u")+COUNTIF($E92:O92,"t")+COUNTIF($E92:O92,"¶")+COUNTIF($E92:O92,"²")+COUNTIF($E92:O92,"µ")+COUNTIF($E92:O92,1),ColLivraison)=P$6,
  VLOOKUP($E92,INDIRECT("tri!"&amp; CHAR(64+ C0Col) &amp;":"&amp; CHAR(65+C0Col)),2,FALSE)&gt;COUNTIF($E92:O92,"u")+COUNTIF($E92:O92,"t")+COUNTIF($E92:O92,"¶")+COUNTIF($E92:O92,"²")+COUNTIF($E92:O92,"µ")+COUNTIF($E92:O92,1)),
HYPERLINK("#Roadmap!C"&amp; MATCH($E92,Roadmap!$D:$D,0)+COUNTIF($E92:O92,"u")+COUNTIF($E92:O92,"t"),
     INDEX(Roadmap!$D:$K,MATCH($E92,Roadmap!$D:$D,0)+COUNTIF($E92:O92,"u")+COUNTIF($E92:O92,"t")+COUNTIF($E92:O92,"¶")+COUNTIF($E92:O92,"²")+COUNTIF($E92:O92,"µ")+COUNTIF($E92:O92,1),ColTypeEcheance)),
  IF(LEN(O92)=1,
  IF(LEN(INDEX(Roadmap!$D:$K,MATCH($E92,Roadmap!$D:$D,0)-1+COUNTIF($E92:O92,"u")+COUNTIF($E92:O92,"t")+COUNTIF($E92:O92,"¶")+COUNTIF($E92:O92,"²")+COUNTIF($E92:O92,"µ")+COUNTIF($E92:O92,1),ColDescriptionCourte))&gt;1,
HYPERLINK("#Roadmap!C"&amp; MATCH($E92,Roadmap!$D:$D,0)+COUNTIF($E92:O92,"u")+COUNTIF($E92:O92,"t")+COUNTIF($E92:O92,"¶")+COUNTIF($E92:O92,"²")+COUNTIF($E92:O92,"µ")+COUNTIF($E92:O92,1)-1,INDEX(Roadmap!$D:$K,MATCH($E92,Roadmap!$D:$D,0)-1+COUNTIF($E92:O92,"u")+COUNTIF($E92:O92,"t")+COUNTIF($E92:O92,"¶")+COUNTIF($E92:O92,"²")+COUNTIF($E92:O92,"µ")+COUNTIF($E92:O92,1),ColDescriptionCourte)),""),
  "")),"")</f>
        <v/>
      </c>
      <c r="Q92" s="40" t="str">
        <f ca="1">IFERROR(IF(AND(
  INDEX(Roadmap!$D:$K,MATCH($E92,Roadmap!$D:$D,0)+COUNTIF($E92:P92,"u")+COUNTIF($E92:P92,"t")+COUNTIF($E92:P92,"¶")+COUNTIF($E92:P92,"²")+COUNTIF($E92:P92,"µ")+COUNTIF($E92:P92,1),ColLivraison)=Q$6,
  VLOOKUP($E92,INDIRECT("tri!"&amp; CHAR(64+ C0Col) &amp;":"&amp; CHAR(65+C0Col)),2,FALSE)&gt;COUNTIF($E92:P92,"u")+COUNTIF($E92:P92,"t")+COUNTIF($E92:P92,"¶")+COUNTIF($E92:P92,"²")+COUNTIF($E92:P92,"µ")+COUNTIF($E92:P92,1)),
HYPERLINK("#Roadmap!C"&amp; MATCH($E92,Roadmap!$D:$D,0)+COUNTIF($E92:P92,"u")+COUNTIF($E92:P92,"t"),
     INDEX(Roadmap!$D:$K,MATCH($E92,Roadmap!$D:$D,0)+COUNTIF($E92:P92,"u")+COUNTIF($E92:P92,"t")+COUNTIF($E92:P92,"¶")+COUNTIF($E92:P92,"²")+COUNTIF($E92:P92,"µ")+COUNTIF($E92:P92,1),ColTypeEcheance)),
  IF(LEN(P92)=1,
  IF(LEN(INDEX(Roadmap!$D:$K,MATCH($E92,Roadmap!$D:$D,0)-1+COUNTIF($E92:P92,"u")+COUNTIF($E92:P92,"t")+COUNTIF($E92:P92,"¶")+COUNTIF($E92:P92,"²")+COUNTIF($E92:P92,"µ")+COUNTIF($E92:P92,1),ColDescriptionCourte))&gt;1,
HYPERLINK("#Roadmap!C"&amp; MATCH($E92,Roadmap!$D:$D,0)+COUNTIF($E92:P92,"u")+COUNTIF($E92:P92,"t")+COUNTIF($E92:P92,"¶")+COUNTIF($E92:P92,"²")+COUNTIF($E92:P92,"µ")+COUNTIF($E92:P92,1)-1,INDEX(Roadmap!$D:$K,MATCH($E92,Roadmap!$D:$D,0)-1+COUNTIF($E92:P92,"u")+COUNTIF($E92:P92,"t")+COUNTIF($E92:P92,"¶")+COUNTIF($E92:P92,"²")+COUNTIF($E92:P92,"µ")+COUNTIF($E92:P92,1),ColDescriptionCourte)),""),
  "")),"")</f>
        <v/>
      </c>
      <c r="R92" s="40" t="str">
        <f ca="1">IFERROR(IF(AND(
  INDEX(Roadmap!$D:$K,MATCH($E92,Roadmap!$D:$D,0)+COUNTIF($E92:Q92,"u")+COUNTIF($E92:Q92,"t")+COUNTIF($E92:Q92,"¶")+COUNTIF($E92:Q92,"²")+COUNTIF($E92:Q92,"µ")+COUNTIF($E92:Q92,1),ColLivraison)=R$6,
  VLOOKUP($E92,INDIRECT("tri!"&amp; CHAR(64+ C0Col) &amp;":"&amp; CHAR(65+C0Col)),2,FALSE)&gt;COUNTIF($E92:Q92,"u")+COUNTIF($E92:Q92,"t")+COUNTIF($E92:Q92,"¶")+COUNTIF($E92:Q92,"²")+COUNTIF($E92:Q92,"µ")+COUNTIF($E92:Q92,1)),
HYPERLINK("#Roadmap!C"&amp; MATCH($E92,Roadmap!$D:$D,0)+COUNTIF($E92:Q92,"u")+COUNTIF($E92:Q92,"t"),
     INDEX(Roadmap!$D:$K,MATCH($E92,Roadmap!$D:$D,0)+COUNTIF($E92:Q92,"u")+COUNTIF($E92:Q92,"t")+COUNTIF($E92:Q92,"¶")+COUNTIF($E92:Q92,"²")+COUNTIF($E92:Q92,"µ")+COUNTIF($E92:Q92,1),ColTypeEcheance)),
  IF(LEN(Q92)=1,
  IF(LEN(INDEX(Roadmap!$D:$K,MATCH($E92,Roadmap!$D:$D,0)-1+COUNTIF($E92:Q92,"u")+COUNTIF($E92:Q92,"t")+COUNTIF($E92:Q92,"¶")+COUNTIF($E92:Q92,"²")+COUNTIF($E92:Q92,"µ")+COUNTIF($E92:Q92,1),ColDescriptionCourte))&gt;1,
HYPERLINK("#Roadmap!C"&amp; MATCH($E92,Roadmap!$D:$D,0)+COUNTIF($E92:Q92,"u")+COUNTIF($E92:Q92,"t")+COUNTIF($E92:Q92,"¶")+COUNTIF($E92:Q92,"²")+COUNTIF($E92:Q92,"µ")+COUNTIF($E92:Q92,1)-1,INDEX(Roadmap!$D:$K,MATCH($E92,Roadmap!$D:$D,0)-1+COUNTIF($E92:Q92,"u")+COUNTIF($E92:Q92,"t")+COUNTIF($E92:Q92,"¶")+COUNTIF($E92:Q92,"²")+COUNTIF($E92:Q92,"µ")+COUNTIF($E92:Q92,1),ColDescriptionCourte)),""),
  "")),"")</f>
        <v/>
      </c>
      <c r="S92" s="40" t="str">
        <f ca="1">IFERROR(IF(AND(
  INDEX(Roadmap!$D:$K,MATCH($E92,Roadmap!$D:$D,0)+COUNTIF($E92:R92,"u")+COUNTIF($E92:R92,"t")+COUNTIF($E92:R92,"¶")+COUNTIF($E92:R92,"²")+COUNTIF($E92:R92,"µ")+COUNTIF($E92:R92,1),ColLivraison)=S$6,
  VLOOKUP($E92,INDIRECT("tri!"&amp; CHAR(64+ C0Col) &amp;":"&amp; CHAR(65+C0Col)),2,FALSE)&gt;COUNTIF($E92:R92,"u")+COUNTIF($E92:R92,"t")+COUNTIF($E92:R92,"¶")+COUNTIF($E92:R92,"²")+COUNTIF($E92:R92,"µ")+COUNTIF($E92:R92,1)),
HYPERLINK("#Roadmap!C"&amp; MATCH($E92,Roadmap!$D:$D,0)+COUNTIF($E92:R92,"u")+COUNTIF($E92:R92,"t"),
     INDEX(Roadmap!$D:$K,MATCH($E92,Roadmap!$D:$D,0)+COUNTIF($E92:R92,"u")+COUNTIF($E92:R92,"t")+COUNTIF($E92:R92,"¶")+COUNTIF($E92:R92,"²")+COUNTIF($E92:R92,"µ")+COUNTIF($E92:R92,1),ColTypeEcheance)),
  IF(LEN(R92)=1,
  IF(LEN(INDEX(Roadmap!$D:$K,MATCH($E92,Roadmap!$D:$D,0)-1+COUNTIF($E92:R92,"u")+COUNTIF($E92:R92,"t")+COUNTIF($E92:R92,"¶")+COUNTIF($E92:R92,"²")+COUNTIF($E92:R92,"µ")+COUNTIF($E92:R92,1),ColDescriptionCourte))&gt;1,
HYPERLINK("#Roadmap!C"&amp; MATCH($E92,Roadmap!$D:$D,0)+COUNTIF($E92:R92,"u")+COUNTIF($E92:R92,"t")+COUNTIF($E92:R92,"¶")+COUNTIF($E92:R92,"²")+COUNTIF($E92:R92,"µ")+COUNTIF($E92:R92,1)-1,INDEX(Roadmap!$D:$K,MATCH($E92,Roadmap!$D:$D,0)-1+COUNTIF($E92:R92,"u")+COUNTIF($E92:R92,"t")+COUNTIF($E92:R92,"¶")+COUNTIF($E92:R92,"²")+COUNTIF($E92:R92,"µ")+COUNTIF($E92:R92,1),ColDescriptionCourte)),""),
  "")),"")</f>
        <v/>
      </c>
      <c r="T92" s="40" t="str">
        <f ca="1">IFERROR(IF(AND(
  INDEX(Roadmap!$D:$K,MATCH($E92,Roadmap!$D:$D,0)+COUNTIF($E92:S92,"u")+COUNTIF($E92:S92,"t")+COUNTIF($E92:S92,"¶")+COUNTIF($E92:S92,"²")+COUNTIF($E92:S92,"µ")+COUNTIF($E92:S92,1),ColLivraison)=T$6,
  VLOOKUP($E92,INDIRECT("tri!"&amp; CHAR(64+ C0Col) &amp;":"&amp; CHAR(65+C0Col)),2,FALSE)&gt;COUNTIF($E92:S92,"u")+COUNTIF($E92:S92,"t")+COUNTIF($E92:S92,"¶")+COUNTIF($E92:S92,"²")+COUNTIF($E92:S92,"µ")+COUNTIF($E92:S92,1)),
HYPERLINK("#Roadmap!C"&amp; MATCH($E92,Roadmap!$D:$D,0)+COUNTIF($E92:S92,"u")+COUNTIF($E92:S92,"t"),
     INDEX(Roadmap!$D:$K,MATCH($E92,Roadmap!$D:$D,0)+COUNTIF($E92:S92,"u")+COUNTIF($E92:S92,"t")+COUNTIF($E92:S92,"¶")+COUNTIF($E92:S92,"²")+COUNTIF($E92:S92,"µ")+COUNTIF($E92:S92,1),ColTypeEcheance)),
  IF(LEN(S92)=1,
  IF(LEN(INDEX(Roadmap!$D:$K,MATCH($E92,Roadmap!$D:$D,0)-1+COUNTIF($E92:S92,"u")+COUNTIF($E92:S92,"t")+COUNTIF($E92:S92,"¶")+COUNTIF($E92:S92,"²")+COUNTIF($E92:S92,"µ")+COUNTIF($E92:S92,1),ColDescriptionCourte))&gt;1,
HYPERLINK("#Roadmap!C"&amp; MATCH($E92,Roadmap!$D:$D,0)+COUNTIF($E92:S92,"u")+COUNTIF($E92:S92,"t")+COUNTIF($E92:S92,"¶")+COUNTIF($E92:S92,"²")+COUNTIF($E92:S92,"µ")+COUNTIF($E92:S92,1)-1,INDEX(Roadmap!$D:$K,MATCH($E92,Roadmap!$D:$D,0)-1+COUNTIF($E92:S92,"u")+COUNTIF($E92:S92,"t")+COUNTIF($E92:S92,"¶")+COUNTIF($E92:S92,"²")+COUNTIF($E92:S92,"µ")+COUNTIF($E92:S92,1),ColDescriptionCourte)),""),
  "")),"")</f>
        <v/>
      </c>
      <c r="U92" s="40" t="str">
        <f ca="1">IFERROR(IF(AND(
  INDEX(Roadmap!$D:$K,MATCH($E92,Roadmap!$D:$D,0)+COUNTIF($E92:T92,"u")+COUNTIF($E92:T92,"t")+COUNTIF($E92:T92,"¶")+COUNTIF($E92:T92,"²")+COUNTIF($E92:T92,"µ")+COUNTIF($E92:T92,1),ColLivraison)=U$6,
  VLOOKUP($E92,INDIRECT("tri!"&amp; CHAR(64+ C0Col) &amp;":"&amp; CHAR(65+C0Col)),2,FALSE)&gt;COUNTIF($E92:T92,"u")+COUNTIF($E92:T92,"t")+COUNTIF($E92:T92,"¶")+COUNTIF($E92:T92,"²")+COUNTIF($E92:T92,"µ")+COUNTIF($E92:T92,1)),
HYPERLINK("#Roadmap!C"&amp; MATCH($E92,Roadmap!$D:$D,0)+COUNTIF($E92:T92,"u")+COUNTIF($E92:T92,"t"),
     INDEX(Roadmap!$D:$K,MATCH($E92,Roadmap!$D:$D,0)+COUNTIF($E92:T92,"u")+COUNTIF($E92:T92,"t")+COUNTIF($E92:T92,"¶")+COUNTIF($E92:T92,"²")+COUNTIF($E92:T92,"µ")+COUNTIF($E92:T92,1),ColTypeEcheance)),
  IF(LEN(T92)=1,
  IF(LEN(INDEX(Roadmap!$D:$K,MATCH($E92,Roadmap!$D:$D,0)-1+COUNTIF($E92:T92,"u")+COUNTIF($E92:T92,"t")+COUNTIF($E92:T92,"¶")+COUNTIF($E92:T92,"²")+COUNTIF($E92:T92,"µ")+COUNTIF($E92:T92,1),ColDescriptionCourte))&gt;1,
HYPERLINK("#Roadmap!C"&amp; MATCH($E92,Roadmap!$D:$D,0)+COUNTIF($E92:T92,"u")+COUNTIF($E92:T92,"t")+COUNTIF($E92:T92,"¶")+COUNTIF($E92:T92,"²")+COUNTIF($E92:T92,"µ")+COUNTIF($E92:T92,1)-1,INDEX(Roadmap!$D:$K,MATCH($E92,Roadmap!$D:$D,0)-1+COUNTIF($E92:T92,"u")+COUNTIF($E92:T92,"t")+COUNTIF($E92:T92,"¶")+COUNTIF($E92:T92,"²")+COUNTIF($E92:T92,"µ")+COUNTIF($E92:T92,1),ColDescriptionCourte)),""),
  "")),"")</f>
        <v/>
      </c>
      <c r="V92" s="40" t="str">
        <f ca="1">IFERROR(IF(AND(
  INDEX(Roadmap!$D:$K,MATCH($E92,Roadmap!$D:$D,0)+COUNTIF($E92:U92,"u")+COUNTIF($E92:U92,"t")+COUNTIF($E92:U92,"¶")+COUNTIF($E92:U92,"²")+COUNTIF($E92:U92,"µ")+COUNTIF($E92:U92,1),ColLivraison)=V$6,
  VLOOKUP($E92,INDIRECT("tri!"&amp; CHAR(64+ C0Col) &amp;":"&amp; CHAR(65+C0Col)),2,FALSE)&gt;COUNTIF($E92:U92,"u")+COUNTIF($E92:U92,"t")+COUNTIF($E92:U92,"¶")+COUNTIF($E92:U92,"²")+COUNTIF($E92:U92,"µ")+COUNTIF($E92:U92,1)),
HYPERLINK("#Roadmap!C"&amp; MATCH($E92,Roadmap!$D:$D,0)+COUNTIF($E92:U92,"u")+COUNTIF($E92:U92,"t"),
     INDEX(Roadmap!$D:$K,MATCH($E92,Roadmap!$D:$D,0)+COUNTIF($E92:U92,"u")+COUNTIF($E92:U92,"t")+COUNTIF($E92:U92,"¶")+COUNTIF($E92:U92,"²")+COUNTIF($E92:U92,"µ")+COUNTIF($E92:U92,1),ColTypeEcheance)),
  IF(LEN(U92)=1,
  IF(LEN(INDEX(Roadmap!$D:$K,MATCH($E92,Roadmap!$D:$D,0)-1+COUNTIF($E92:U92,"u")+COUNTIF($E92:U92,"t")+COUNTIF($E92:U92,"¶")+COUNTIF($E92:U92,"²")+COUNTIF($E92:U92,"µ")+COUNTIF($E92:U92,1),ColDescriptionCourte))&gt;1,
HYPERLINK("#Roadmap!C"&amp; MATCH($E92,Roadmap!$D:$D,0)+COUNTIF($E92:U92,"u")+COUNTIF($E92:U92,"t")+COUNTIF($E92:U92,"¶")+COUNTIF($E92:U92,"²")+COUNTIF($E92:U92,"µ")+COUNTIF($E92:U92,1)-1,INDEX(Roadmap!$D:$K,MATCH($E92,Roadmap!$D:$D,0)-1+COUNTIF($E92:U92,"u")+COUNTIF($E92:U92,"t")+COUNTIF($E92:U92,"¶")+COUNTIF($E92:U92,"²")+COUNTIF($E92:U92,"µ")+COUNTIF($E92:U92,1),ColDescriptionCourte)),""),
  "")),"")</f>
        <v/>
      </c>
      <c r="W92" s="40" t="str">
        <f ca="1">IFERROR(IF(AND(
  INDEX(Roadmap!$D:$K,MATCH($E92,Roadmap!$D:$D,0)+COUNTIF($E92:V92,"u")+COUNTIF($E92:V92,"t")+COUNTIF($E92:V92,"¶")+COUNTIF($E92:V92,"²")+COUNTIF($E92:V92,"µ")+COUNTIF($E92:V92,1),ColLivraison)=W$6,
  VLOOKUP($E92,INDIRECT("tri!"&amp; CHAR(64+ C0Col) &amp;":"&amp; CHAR(65+C0Col)),2,FALSE)&gt;COUNTIF($E92:V92,"u")+COUNTIF($E92:V92,"t")+COUNTIF($E92:V92,"¶")+COUNTIF($E92:V92,"²")+COUNTIF($E92:V92,"µ")+COUNTIF($E92:V92,1)),
HYPERLINK("#Roadmap!C"&amp; MATCH($E92,Roadmap!$D:$D,0)+COUNTIF($E92:V92,"u")+COUNTIF($E92:V92,"t"),
     INDEX(Roadmap!$D:$K,MATCH($E92,Roadmap!$D:$D,0)+COUNTIF($E92:V92,"u")+COUNTIF($E92:V92,"t")+COUNTIF($E92:V92,"¶")+COUNTIF($E92:V92,"²")+COUNTIF($E92:V92,"µ")+COUNTIF($E92:V92,1),ColTypeEcheance)),
  IF(LEN(V92)=1,
  IF(LEN(INDEX(Roadmap!$D:$K,MATCH($E92,Roadmap!$D:$D,0)-1+COUNTIF($E92:V92,"u")+COUNTIF($E92:V92,"t")+COUNTIF($E92:V92,"¶")+COUNTIF($E92:V92,"²")+COUNTIF($E92:V92,"µ")+COUNTIF($E92:V92,1),ColDescriptionCourte))&gt;1,
HYPERLINK("#Roadmap!C"&amp; MATCH($E92,Roadmap!$D:$D,0)+COUNTIF($E92:V92,"u")+COUNTIF($E92:V92,"t")+COUNTIF($E92:V92,"¶")+COUNTIF($E92:V92,"²")+COUNTIF($E92:V92,"µ")+COUNTIF($E92:V92,1)-1,INDEX(Roadmap!$D:$K,MATCH($E92,Roadmap!$D:$D,0)-1+COUNTIF($E92:V92,"u")+COUNTIF($E92:V92,"t")+COUNTIF($E92:V92,"¶")+COUNTIF($E92:V92,"²")+COUNTIF($E92:V92,"µ")+COUNTIF($E92:V92,1),ColDescriptionCourte)),""),
  "")),"")</f>
        <v/>
      </c>
      <c r="X92" s="40" t="str">
        <f ca="1">IFERROR(IF(AND(
  INDEX(Roadmap!$D:$K,MATCH($E92,Roadmap!$D:$D,0)+COUNTIF($E92:W92,"u")+COUNTIF($E92:W92,"t")+COUNTIF($E92:W92,"¶")+COUNTIF($E92:W92,"²")+COUNTIF($E92:W92,"µ")+COUNTIF($E92:W92,1),ColLivraison)=X$6,
  VLOOKUP($E92,INDIRECT("tri!"&amp; CHAR(64+ C0Col) &amp;":"&amp; CHAR(65+C0Col)),2,FALSE)&gt;COUNTIF($E92:W92,"u")+COUNTIF($E92:W92,"t")+COUNTIF($E92:W92,"¶")+COUNTIF($E92:W92,"²")+COUNTIF($E92:W92,"µ")+COUNTIF($E92:W92,1)),
HYPERLINK("#Roadmap!C"&amp; MATCH($E92,Roadmap!$D:$D,0)+COUNTIF($E92:W92,"u")+COUNTIF($E92:W92,"t"),
     INDEX(Roadmap!$D:$K,MATCH($E92,Roadmap!$D:$D,0)+COUNTIF($E92:W92,"u")+COUNTIF($E92:W92,"t")+COUNTIF($E92:W92,"¶")+COUNTIF($E92:W92,"²")+COUNTIF($E92:W92,"µ")+COUNTIF($E92:W92,1),ColTypeEcheance)),
  IF(LEN(W92)=1,
  IF(LEN(INDEX(Roadmap!$D:$K,MATCH($E92,Roadmap!$D:$D,0)-1+COUNTIF($E92:W92,"u")+COUNTIF($E92:W92,"t")+COUNTIF($E92:W92,"¶")+COUNTIF($E92:W92,"²")+COUNTIF($E92:W92,"µ")+COUNTIF($E92:W92,1),ColDescriptionCourte))&gt;1,
HYPERLINK("#Roadmap!C"&amp; MATCH($E92,Roadmap!$D:$D,0)+COUNTIF($E92:W92,"u")+COUNTIF($E92:W92,"t")+COUNTIF($E92:W92,"¶")+COUNTIF($E92:W92,"²")+COUNTIF($E92:W92,"µ")+COUNTIF($E92:W92,1)-1,INDEX(Roadmap!$D:$K,MATCH($E92,Roadmap!$D:$D,0)-1+COUNTIF($E92:W92,"u")+COUNTIF($E92:W92,"t")+COUNTIF($E92:W92,"¶")+COUNTIF($E92:W92,"²")+COUNTIF($E92:W92,"µ")+COUNTIF($E92:W92,1),ColDescriptionCourte)),""),
  "")),"")</f>
        <v/>
      </c>
      <c r="Y92" s="40" t="str">
        <f ca="1">IFERROR(IF(AND(
  INDEX(Roadmap!$D:$K,MATCH($E92,Roadmap!$D:$D,0)+COUNTIF($E92:X92,"u")+COUNTIF($E92:X92,"t")+COUNTIF($E92:X92,"¶")+COUNTIF($E92:X92,"²")+COUNTIF($E92:X92,"µ")+COUNTIF($E92:X92,1),ColLivraison)=Y$6,
  VLOOKUP($E92,INDIRECT("tri!"&amp; CHAR(64+ C0Col) &amp;":"&amp; CHAR(65+C0Col)),2,FALSE)&gt;COUNTIF($E92:X92,"u")+COUNTIF($E92:X92,"t")+COUNTIF($E92:X92,"¶")+COUNTIF($E92:X92,"²")+COUNTIF($E92:X92,"µ")+COUNTIF($E92:X92,1)),
HYPERLINK("#Roadmap!C"&amp; MATCH($E92,Roadmap!$D:$D,0)+COUNTIF($E92:X92,"u")+COUNTIF($E92:X92,"t"),
     INDEX(Roadmap!$D:$K,MATCH($E92,Roadmap!$D:$D,0)+COUNTIF($E92:X92,"u")+COUNTIF($E92:X92,"t")+COUNTIF($E92:X92,"¶")+COUNTIF($E92:X92,"²")+COUNTIF($E92:X92,"µ")+COUNTIF($E92:X92,1),ColTypeEcheance)),
  IF(LEN(X92)=1,
  IF(LEN(INDEX(Roadmap!$D:$K,MATCH($E92,Roadmap!$D:$D,0)-1+COUNTIF($E92:X92,"u")+COUNTIF($E92:X92,"t")+COUNTIF($E92:X92,"¶")+COUNTIF($E92:X92,"²")+COUNTIF($E92:X92,"µ")+COUNTIF($E92:X92,1),ColDescriptionCourte))&gt;1,
HYPERLINK("#Roadmap!C"&amp; MATCH($E92,Roadmap!$D:$D,0)+COUNTIF($E92:X92,"u")+COUNTIF($E92:X92,"t")+COUNTIF($E92:X92,"¶")+COUNTIF($E92:X92,"²")+COUNTIF($E92:X92,"µ")+COUNTIF($E92:X92,1)-1,INDEX(Roadmap!$D:$K,MATCH($E92,Roadmap!$D:$D,0)-1+COUNTIF($E92:X92,"u")+COUNTIF($E92:X92,"t")+COUNTIF($E92:X92,"¶")+COUNTIF($E92:X92,"²")+COUNTIF($E92:X92,"µ")+COUNTIF($E92:X92,1),ColDescriptionCourte)),""),
  "")),"")</f>
        <v/>
      </c>
      <c r="Z92" s="40" t="str">
        <f ca="1">IFERROR(IF(AND(
  INDEX(Roadmap!$D:$K,MATCH($E92,Roadmap!$D:$D,0)+COUNTIF($E92:Y92,"u")+COUNTIF($E92:Y92,"t")+COUNTIF($E92:Y92,"¶")+COUNTIF($E92:Y92,"²")+COUNTIF($E92:Y92,"µ")+COUNTIF($E92:Y92,1),ColLivraison)=Z$6,
  VLOOKUP($E92,INDIRECT("tri!"&amp; CHAR(64+ C0Col) &amp;":"&amp; CHAR(65+C0Col)),2,FALSE)&gt;COUNTIF($E92:Y92,"u")+COUNTIF($E92:Y92,"t")+COUNTIF($E92:Y92,"¶")+COUNTIF($E92:Y92,"²")+COUNTIF($E92:Y92,"µ")+COUNTIF($E92:Y92,1)),
HYPERLINK("#Roadmap!C"&amp; MATCH($E92,Roadmap!$D:$D,0)+COUNTIF($E92:Y92,"u")+COUNTIF($E92:Y92,"t"),
     INDEX(Roadmap!$D:$K,MATCH($E92,Roadmap!$D:$D,0)+COUNTIF($E92:Y92,"u")+COUNTIF($E92:Y92,"t")+COUNTIF($E92:Y92,"¶")+COUNTIF($E92:Y92,"²")+COUNTIF($E92:Y92,"µ")+COUNTIF($E92:Y92,1),ColTypeEcheance)),
  IF(LEN(Y92)=1,
  IF(LEN(INDEX(Roadmap!$D:$K,MATCH($E92,Roadmap!$D:$D,0)-1+COUNTIF($E92:Y92,"u")+COUNTIF($E92:Y92,"t")+COUNTIF($E92:Y92,"¶")+COUNTIF($E92:Y92,"²")+COUNTIF($E92:Y92,"µ")+COUNTIF($E92:Y92,1),ColDescriptionCourte))&gt;1,
HYPERLINK("#Roadmap!C"&amp; MATCH($E92,Roadmap!$D:$D,0)+COUNTIF($E92:Y92,"u")+COUNTIF($E92:Y92,"t")+COUNTIF($E92:Y92,"¶")+COUNTIF($E92:Y92,"²")+COUNTIF($E92:Y92,"µ")+COUNTIF($E92:Y92,1)-1,INDEX(Roadmap!$D:$K,MATCH($E92,Roadmap!$D:$D,0)-1+COUNTIF($E92:Y92,"u")+COUNTIF($E92:Y92,"t")+COUNTIF($E92:Y92,"¶")+COUNTIF($E92:Y92,"²")+COUNTIF($E92:Y92,"µ")+COUNTIF($E92:Y92,1),ColDescriptionCourte)),""),
  "")),"")</f>
        <v/>
      </c>
      <c r="AA92" s="40" t="str">
        <f ca="1">IFERROR(IF(AND(
  INDEX(Roadmap!$D:$K,MATCH($E92,Roadmap!$D:$D,0)+COUNTIF($E92:Z92,"u")+COUNTIF($E92:Z92,"t")+COUNTIF($E92:Z92,"¶")+COUNTIF($E92:Z92,"²")+COUNTIF($E92:Z92,"µ")+COUNTIF($E92:Z92,1),ColLivraison)=AA$6,
  VLOOKUP($E92,INDIRECT("tri!"&amp; CHAR(64+ C0Col) &amp;":"&amp; CHAR(65+C0Col)),2,FALSE)&gt;COUNTIF($E92:Z92,"u")+COUNTIF($E92:Z92,"t")+COUNTIF($E92:Z92,"¶")+COUNTIF($E92:Z92,"²")+COUNTIF($E92:Z92,"µ")+COUNTIF($E92:Z92,1)),
HYPERLINK("#Roadmap!C"&amp; MATCH($E92,Roadmap!$D:$D,0)+COUNTIF($E92:Z92,"u")+COUNTIF($E92:Z92,"t"),
     INDEX(Roadmap!$D:$K,MATCH($E92,Roadmap!$D:$D,0)+COUNTIF($E92:Z92,"u")+COUNTIF($E92:Z92,"t")+COUNTIF($E92:Z92,"¶")+COUNTIF($E92:Z92,"²")+COUNTIF($E92:Z92,"µ")+COUNTIF($E92:Z92,1),ColTypeEcheance)),
  IF(LEN(Z92)=1,
  IF(LEN(INDEX(Roadmap!$D:$K,MATCH($E92,Roadmap!$D:$D,0)-1+COUNTIF($E92:Z92,"u")+COUNTIF($E92:Z92,"t")+COUNTIF($E92:Z92,"¶")+COUNTIF($E92:Z92,"²")+COUNTIF($E92:Z92,"µ")+COUNTIF($E92:Z92,1),ColDescriptionCourte))&gt;1,
HYPERLINK("#Roadmap!C"&amp; MATCH($E92,Roadmap!$D:$D,0)+COUNTIF($E92:Z92,"u")+COUNTIF($E92:Z92,"t")+COUNTIF($E92:Z92,"¶")+COUNTIF($E92:Z92,"²")+COUNTIF($E92:Z92,"µ")+COUNTIF($E92:Z92,1)-1,INDEX(Roadmap!$D:$K,MATCH($E92,Roadmap!$D:$D,0)-1+COUNTIF($E92:Z92,"u")+COUNTIF($E92:Z92,"t")+COUNTIF($E92:Z92,"¶")+COUNTIF($E92:Z92,"²")+COUNTIF($E92:Z92,"µ")+COUNTIF($E92:Z92,1),ColDescriptionCourte)),""),
  "")),"")</f>
        <v/>
      </c>
      <c r="AB92" s="40" t="str">
        <f ca="1">IFERROR(IF(AND(
  INDEX(Roadmap!$D:$K,MATCH($E92,Roadmap!$D:$D,0)+COUNTIF($E92:AA92,"u")+COUNTIF($E92:AA92,"t")+COUNTIF($E92:AA92,"¶")+COUNTIF($E92:AA92,"²")+COUNTIF($E92:AA92,"µ")+COUNTIF($E92:AA92,1),ColLivraison)=AB$6,
  VLOOKUP($E92,INDIRECT("tri!"&amp; CHAR(64+ C0Col) &amp;":"&amp; CHAR(65+C0Col)),2,FALSE)&gt;COUNTIF($E92:AA92,"u")+COUNTIF($E92:AA92,"t")+COUNTIF($E92:AA92,"¶")+COUNTIF($E92:AA92,"²")+COUNTIF($E92:AA92,"µ")+COUNTIF($E92:AA92,1)),
HYPERLINK("#Roadmap!C"&amp; MATCH($E92,Roadmap!$D:$D,0)+COUNTIF($E92:AA92,"u")+COUNTIF($E92:AA92,"t"),
     INDEX(Roadmap!$D:$K,MATCH($E92,Roadmap!$D:$D,0)+COUNTIF($E92:AA92,"u")+COUNTIF($E92:AA92,"t")+COUNTIF($E92:AA92,"¶")+COUNTIF($E92:AA92,"²")+COUNTIF($E92:AA92,"µ")+COUNTIF($E92:AA92,1),ColTypeEcheance)),
  IF(LEN(AA92)=1,
  IF(LEN(INDEX(Roadmap!$D:$K,MATCH($E92,Roadmap!$D:$D,0)-1+COUNTIF($E92:AA92,"u")+COUNTIF($E92:AA92,"t")+COUNTIF($E92:AA92,"¶")+COUNTIF($E92:AA92,"²")+COUNTIF($E92:AA92,"µ")+COUNTIF($E92:AA92,1),ColDescriptionCourte))&gt;1,
HYPERLINK("#Roadmap!C"&amp; MATCH($E92,Roadmap!$D:$D,0)+COUNTIF($E92:AA92,"u")+COUNTIF($E92:AA92,"t")+COUNTIF($E92:AA92,"¶")+COUNTIF($E92:AA92,"²")+COUNTIF($E92:AA92,"µ")+COUNTIF($E92:AA92,1)-1,INDEX(Roadmap!$D:$K,MATCH($E92,Roadmap!$D:$D,0)-1+COUNTIF($E92:AA92,"u")+COUNTIF($E92:AA92,"t")+COUNTIF($E92:AA92,"¶")+COUNTIF($E92:AA92,"²")+COUNTIF($E92:AA92,"µ")+COUNTIF($E92:AA92,1),ColDescriptionCourte)),""),
  "")),"")</f>
        <v/>
      </c>
      <c r="AC92" s="40" t="str">
        <f ca="1">IFERROR(IF(AND(
  INDEX(Roadmap!$D:$K,MATCH($E92,Roadmap!$D:$D,0)+COUNTIF($E92:AB92,"u")+COUNTIF($E92:AB92,"t")+COUNTIF($E92:AB92,"¶")+COUNTIF($E92:AB92,"²")+COUNTIF($E92:AB92,"µ")+COUNTIF($E92:AB92,1),ColLivraison)=AC$6,
  VLOOKUP($E92,INDIRECT("tri!"&amp; CHAR(64+ C0Col) &amp;":"&amp; CHAR(65+C0Col)),2,FALSE)&gt;COUNTIF($E92:AB92,"u")+COUNTIF($E92:AB92,"t")+COUNTIF($E92:AB92,"¶")+COUNTIF($E92:AB92,"²")+COUNTIF($E92:AB92,"µ")+COUNTIF($E92:AB92,1)),
HYPERLINK("#Roadmap!C"&amp; MATCH($E92,Roadmap!$D:$D,0)+COUNTIF($E92:AB92,"u")+COUNTIF($E92:AB92,"t"),
     INDEX(Roadmap!$D:$K,MATCH($E92,Roadmap!$D:$D,0)+COUNTIF($E92:AB92,"u")+COUNTIF($E92:AB92,"t")+COUNTIF($E92:AB92,"¶")+COUNTIF($E92:AB92,"²")+COUNTIF($E92:AB92,"µ")+COUNTIF($E92:AB92,1),ColTypeEcheance)),
  IF(LEN(AB92)=1,
  IF(LEN(INDEX(Roadmap!$D:$K,MATCH($E92,Roadmap!$D:$D,0)-1+COUNTIF($E92:AB92,"u")+COUNTIF($E92:AB92,"t")+COUNTIF($E92:AB92,"¶")+COUNTIF($E92:AB92,"²")+COUNTIF($E92:AB92,"µ")+COUNTIF($E92:AB92,1),ColDescriptionCourte))&gt;1,
HYPERLINK("#Roadmap!C"&amp; MATCH($E92,Roadmap!$D:$D,0)+COUNTIF($E92:AB92,"u")+COUNTIF($E92:AB92,"t")+COUNTIF($E92:AB92,"¶")+COUNTIF($E92:AB92,"²")+COUNTIF($E92:AB92,"µ")+COUNTIF($E92:AB92,1)-1,INDEX(Roadmap!$D:$K,MATCH($E92,Roadmap!$D:$D,0)-1+COUNTIF($E92:AB92,"u")+COUNTIF($E92:AB92,"t")+COUNTIF($E92:AB92,"¶")+COUNTIF($E92:AB92,"²")+COUNTIF($E92:AB92,"µ")+COUNTIF($E92:AB92,1),ColDescriptionCourte)),""),
  "")),"")</f>
        <v/>
      </c>
      <c r="AD92" s="40" t="str">
        <f ca="1">IFERROR(IF(AND(
  INDEX(Roadmap!$D:$K,MATCH($E92,Roadmap!$D:$D,0)+COUNTIF($E92:AC92,"u")+COUNTIF($E92:AC92,"t")+COUNTIF($E92:AC92,"¶")+COUNTIF($E92:AC92,"²")+COUNTIF($E92:AC92,"µ")+COUNTIF($E92:AC92,1),ColLivraison)=AD$6,
  VLOOKUP($E92,INDIRECT("tri!"&amp; CHAR(64+ C0Col) &amp;":"&amp; CHAR(65+C0Col)),2,FALSE)&gt;COUNTIF($E92:AC92,"u")+COUNTIF($E92:AC92,"t")+COUNTIF($E92:AC92,"¶")+COUNTIF($E92:AC92,"²")+COUNTIF($E92:AC92,"µ")+COUNTIF($E92:AC92,1)),
HYPERLINK("#Roadmap!C"&amp; MATCH($E92,Roadmap!$D:$D,0)+COUNTIF($E92:AC92,"u")+COUNTIF($E92:AC92,"t"),
     INDEX(Roadmap!$D:$K,MATCH($E92,Roadmap!$D:$D,0)+COUNTIF($E92:AC92,"u")+COUNTIF($E92:AC92,"t")+COUNTIF($E92:AC92,"¶")+COUNTIF($E92:AC92,"²")+COUNTIF($E92:AC92,"µ")+COUNTIF($E92:AC92,1),ColTypeEcheance)),
  IF(LEN(AC92)=1,
  IF(LEN(INDEX(Roadmap!$D:$K,MATCH($E92,Roadmap!$D:$D,0)-1+COUNTIF($E92:AC92,"u")+COUNTIF($E92:AC92,"t")+COUNTIF($E92:AC92,"¶")+COUNTIF($E92:AC92,"²")+COUNTIF($E92:AC92,"µ")+COUNTIF($E92:AC92,1),ColDescriptionCourte))&gt;1,
HYPERLINK("#Roadmap!C"&amp; MATCH($E92,Roadmap!$D:$D,0)+COUNTIF($E92:AC92,"u")+COUNTIF($E92:AC92,"t")+COUNTIF($E92:AC92,"¶")+COUNTIF($E92:AC92,"²")+COUNTIF($E92:AC92,"µ")+COUNTIF($E92:AC92,1)-1,INDEX(Roadmap!$D:$K,MATCH($E92,Roadmap!$D:$D,0)-1+COUNTIF($E92:AC92,"u")+COUNTIF($E92:AC92,"t")+COUNTIF($E92:AC92,"¶")+COUNTIF($E92:AC92,"²")+COUNTIF($E92:AC92,"µ")+COUNTIF($E92:AC92,1),ColDescriptionCourte)),""),
  "")),"")</f>
        <v/>
      </c>
      <c r="AE92" s="40" t="str">
        <f ca="1">IFERROR(IF(AND(
  INDEX(Roadmap!$D:$K,MATCH($E92,Roadmap!$D:$D,0)+COUNTIF($E92:AD92,"u")+COUNTIF($E92:AD92,"t")+COUNTIF($E92:AD92,"¶")+COUNTIF($E92:AD92,"²")+COUNTIF($E92:AD92,"µ")+COUNTIF($E92:AD92,1),ColLivraison)=AE$6,
  VLOOKUP($E92,INDIRECT("tri!"&amp; CHAR(64+ C0Col) &amp;":"&amp; CHAR(65+C0Col)),2,FALSE)&gt;COUNTIF($E92:AD92,"u")+COUNTIF($E92:AD92,"t")+COUNTIF($E92:AD92,"¶")+COUNTIF($E92:AD92,"²")+COUNTIF($E92:AD92,"µ")+COUNTIF($E92:AD92,1)),
HYPERLINK("#Roadmap!C"&amp; MATCH($E92,Roadmap!$D:$D,0)+COUNTIF($E92:AD92,"u")+COUNTIF($E92:AD92,"t"),
     INDEX(Roadmap!$D:$K,MATCH($E92,Roadmap!$D:$D,0)+COUNTIF($E92:AD92,"u")+COUNTIF($E92:AD92,"t")+COUNTIF($E92:AD92,"¶")+COUNTIF($E92:AD92,"²")+COUNTIF($E92:AD92,"µ")+COUNTIF($E92:AD92,1),ColTypeEcheance)),
  IF(LEN(AD92)=1,
  IF(LEN(INDEX(Roadmap!$D:$K,MATCH($E92,Roadmap!$D:$D,0)-1+COUNTIF($E92:AD92,"u")+COUNTIF($E92:AD92,"t")+COUNTIF($E92:AD92,"¶")+COUNTIF($E92:AD92,"²")+COUNTIF($E92:AD92,"µ")+COUNTIF($E92:AD92,1),ColDescriptionCourte))&gt;1,
HYPERLINK("#Roadmap!C"&amp; MATCH($E92,Roadmap!$D:$D,0)+COUNTIF($E92:AD92,"u")+COUNTIF($E92:AD92,"t")+COUNTIF($E92:AD92,"¶")+COUNTIF($E92:AD92,"²")+COUNTIF($E92:AD92,"µ")+COUNTIF($E92:AD92,1)-1,INDEX(Roadmap!$D:$K,MATCH($E92,Roadmap!$D:$D,0)-1+COUNTIF($E92:AD92,"u")+COUNTIF($E92:AD92,"t")+COUNTIF($E92:AD92,"¶")+COUNTIF($E92:AD92,"²")+COUNTIF($E92:AD92,"µ")+COUNTIF($E92:AD92,1),ColDescriptionCourte)),""),
  "")),"")</f>
        <v/>
      </c>
      <c r="AF92" s="40" t="str">
        <f ca="1">IFERROR(IF(AND(
  INDEX(Roadmap!$D:$K,MATCH($E92,Roadmap!$D:$D,0)+COUNTIF($E92:AE92,"u")+COUNTIF($E92:AE92,"t")+COUNTIF($E92:AE92,"¶")+COUNTIF($E92:AE92,"²")+COUNTIF($E92:AE92,"µ")+COUNTIF($E92:AE92,1),ColLivraison)=AF$6,
  VLOOKUP($E92,INDIRECT("tri!"&amp; CHAR(64+ C0Col) &amp;":"&amp; CHAR(65+C0Col)),2,FALSE)&gt;COUNTIF($E92:AE92,"u")+COUNTIF($E92:AE92,"t")+COUNTIF($E92:AE92,"¶")+COUNTIF($E92:AE92,"²")+COUNTIF($E92:AE92,"µ")+COUNTIF($E92:AE92,1)),
HYPERLINK("#Roadmap!C"&amp; MATCH($E92,Roadmap!$D:$D,0)+COUNTIF($E92:AE92,"u")+COUNTIF($E92:AE92,"t"),
     INDEX(Roadmap!$D:$K,MATCH($E92,Roadmap!$D:$D,0)+COUNTIF($E92:AE92,"u")+COUNTIF($E92:AE92,"t")+COUNTIF($E92:AE92,"¶")+COUNTIF($E92:AE92,"²")+COUNTIF($E92:AE92,"µ")+COUNTIF($E92:AE92,1),ColTypeEcheance)),
  IF(LEN(AE92)=1,
  IF(LEN(INDEX(Roadmap!$D:$K,MATCH($E92,Roadmap!$D:$D,0)-1+COUNTIF($E92:AE92,"u")+COUNTIF($E92:AE92,"t")+COUNTIF($E92:AE92,"¶")+COUNTIF($E92:AE92,"²")+COUNTIF($E92:AE92,"µ")+COUNTIF($E92:AE92,1),ColDescriptionCourte))&gt;1,
HYPERLINK("#Roadmap!C"&amp; MATCH($E92,Roadmap!$D:$D,0)+COUNTIF($E92:AE92,"u")+COUNTIF($E92:AE92,"t")+COUNTIF($E92:AE92,"¶")+COUNTIF($E92:AE92,"²")+COUNTIF($E92:AE92,"µ")+COUNTIF($E92:AE92,1)-1,INDEX(Roadmap!$D:$K,MATCH($E92,Roadmap!$D:$D,0)-1+COUNTIF($E92:AE92,"u")+COUNTIF($E92:AE92,"t")+COUNTIF($E92:AE92,"¶")+COUNTIF($E92:AE92,"²")+COUNTIF($E92:AE92,"µ")+COUNTIF($E92:AE92,1),ColDescriptionCourte)),""),
  "")),"")</f>
        <v/>
      </c>
      <c r="AG92" s="40" t="str">
        <f ca="1">IFERROR(IF(AND(
  INDEX(Roadmap!$D:$K,MATCH($E92,Roadmap!$D:$D,0)+COUNTIF($E92:AF92,"u")+COUNTIF($E92:AF92,"t")+COUNTIF($E92:AF92,"¶")+COUNTIF($E92:AF92,"²")+COUNTIF($E92:AF92,"µ")+COUNTIF($E92:AF92,1),ColLivraison)=AG$6,
  VLOOKUP($E92,INDIRECT("tri!"&amp; CHAR(64+ C0Col) &amp;":"&amp; CHAR(65+C0Col)),2,FALSE)&gt;COUNTIF($E92:AF92,"u")+COUNTIF($E92:AF92,"t")+COUNTIF($E92:AF92,"¶")+COUNTIF($E92:AF92,"²")+COUNTIF($E92:AF92,"µ")+COUNTIF($E92:AF92,1)),
HYPERLINK("#Roadmap!C"&amp; MATCH($E92,Roadmap!$D:$D,0)+COUNTIF($E92:AF92,"u")+COUNTIF($E92:AF92,"t"),
     INDEX(Roadmap!$D:$K,MATCH($E92,Roadmap!$D:$D,0)+COUNTIF($E92:AF92,"u")+COUNTIF($E92:AF92,"t")+COUNTIF($E92:AF92,"¶")+COUNTIF($E92:AF92,"²")+COUNTIF($E92:AF92,"µ")+COUNTIF($E92:AF92,1),ColTypeEcheance)),
  IF(LEN(AF92)=1,
  IF(LEN(INDEX(Roadmap!$D:$K,MATCH($E92,Roadmap!$D:$D,0)-1+COUNTIF($E92:AF92,"u")+COUNTIF($E92:AF92,"t")+COUNTIF($E92:AF92,"¶")+COUNTIF($E92:AF92,"²")+COUNTIF($E92:AF92,"µ")+COUNTIF($E92:AF92,1),ColDescriptionCourte))&gt;1,
HYPERLINK("#Roadmap!C"&amp; MATCH($E92,Roadmap!$D:$D,0)+COUNTIF($E92:AF92,"u")+COUNTIF($E92:AF92,"t")+COUNTIF($E92:AF92,"¶")+COUNTIF($E92:AF92,"²")+COUNTIF($E92:AF92,"µ")+COUNTIF($E92:AF92,1)-1,INDEX(Roadmap!$D:$K,MATCH($E92,Roadmap!$D:$D,0)-1+COUNTIF($E92:AF92,"u")+COUNTIF($E92:AF92,"t")+COUNTIF($E92:AF92,"¶")+COUNTIF($E92:AF92,"²")+COUNTIF($E92:AF92,"µ")+COUNTIF($E92:AF92,1),ColDescriptionCourte)),""),
  "")),"")</f>
        <v/>
      </c>
      <c r="AH92" s="40" t="str">
        <f ca="1">IFERROR(IF(AND(
  INDEX(Roadmap!$D:$K,MATCH($E92,Roadmap!$D:$D,0)+COUNTIF($E92:AG92,"u")+COUNTIF($E92:AG92,"t")+COUNTIF($E92:AG92,1),ColLivraison)=AH$6,
  VLOOKUP($E92,INDIRECT("tri!"&amp; CHAR(64+ C0Col) &amp;":"&amp; CHAR(65+C0Col)),2,FALSE)&gt;COUNTIF($E92:AG92,"u")+COUNTIF($E92:AG92,"t")+COUNTIF($E92:AG92,1)),
HYPERLINK("#Roadmap!C"&amp; MATCH($E92,Roadmap!$D:$D,0)+COUNTIF($E92:AG92,"u")+COUNTIF($E92:AG92,"t"),
     INDEX(Roadmap!$D:$K,MATCH($E92,Roadmap!$D:$D,0)+COUNTIF($E92:AG92,"u")+COUNTIF($E92:AG92,"t")+COUNTIF($E92:AG92,1),ColTypeEcheance)),
  IF(OR(AG92="u",AG92="t",AG92=1),
  IF(LEN(INDEX(Roadmap!$D:$K,MATCH($E92,Roadmap!$D:$D,0)-1+COUNTIF($E92:AG92,"u")+COUNTIF($E92:AG92,"t")+COUNTIF($E92:AG92,1),ColDescriptionCourte))&gt;1,
HYPERLINK("#Roadmap!C"&amp; MATCH($E92,Roadmap!$D:$D,0)+COUNTIF($E92:AG92,"u")+COUNTIF($E92:AG92,"t")+COUNTIF($E92:AG92,1)-1,INDEX(Roadmap!$D:$K,MATCH($E92,Roadmap!$D:$D,0)-1+COUNTIF($E92:AG92,"u")+COUNTIF($E92:AG92,"t")+COUNTIF($E92:AG92,1),ColDescriptionCourte)),""),
  "")),"")</f>
        <v/>
      </c>
      <c r="AI92" s="40"/>
      <c r="AJ92" s="40"/>
      <c r="AK92" s="40"/>
      <c r="AL92" s="40"/>
      <c r="AM92" s="40"/>
    </row>
    <row r="93" spans="4:39" ht="14.1" customHeight="1">
      <c r="D93" s="20" t="str">
        <f t="shared" ca="1" si="29"/>
        <v/>
      </c>
      <c r="E93" s="53" t="str">
        <f t="shared" ca="1" si="30"/>
        <v/>
      </c>
      <c r="F93" s="39" t="str">
        <f ca="1">IFERROR(IF(AND(
  INDEX(Roadmap!$D:$K,MATCH($E93,Roadmap!$D:$D,0)+COUNTIF($E93:E93,"u")+COUNTIF($E93:E93,"t")+COUNTIF($E93:E93,"¶")+COUNTIF($E93:E93,"²")+COUNTIF($E93:E93,"µ")+COUNTIF($E93:E93,1),ColLivraison)=F$6,
  VLOOKUP($E93,INDIRECT("tri!"&amp; CHAR(64+ C0Col) &amp;":"&amp; CHAR(65+C0Col)),2,FALSE)&gt;COUNTIF($E93:E93,"u")+COUNTIF($E93:E93,"t")+COUNTIF($E93:E93,"¶")+COUNTIF($E93:E93,"²")+COUNTIF($E93:E93,"µ")+COUNTIF($E93:E93,1)),
HYPERLINK("#Roadmap!C"&amp; MATCH($E93,Roadmap!$D:$D,0)+COUNTIF($E93:E93,"u")+COUNTIF($E93:E93,"t"),
     INDEX(Roadmap!$D:$K,MATCH($E93,Roadmap!$D:$D,0)+COUNTIF($E93:E93,"u")+COUNTIF($E93:E93,"t")+COUNTIF($E93:E93,"¶")+COUNTIF($E93:E93,"²")+COUNTIF($E93:E93,"µ")+COUNTIF($E93:E93,1),ColTypeEcheance)),
  IF(LEN(E93)=1,
  IF(LEN(INDEX(Roadmap!$D:$K,MATCH($E93,Roadmap!$D:$D,0)-1+COUNTIF($E93:E93,"u")+COUNTIF($E93:E93,"t")+COUNTIF($E93:E93,"¶")+COUNTIF($E93:E93,"²")+COUNTIF($E93:E93,"µ")+COUNTIF($E93:E93,1),ColDescriptionCourte))&gt;1,
HYPERLINK("#Roadmap!C"&amp; MATCH($E93,Roadmap!$D:$D,0)+COUNTIF($E93:E93,"u")+COUNTIF($E93:E93,"t")+COUNTIF($E93:E93,"¶")+COUNTIF($E93:E93,"²")+COUNTIF($E93:E93,"µ")+COUNTIF($E93:E93,1)-1,INDEX(Roadmap!$D:$K,MATCH($E93,Roadmap!$D:$D,0)-1+COUNTIF($E93:E93,"u")+COUNTIF($E93:E93,"t")+COUNTIF($E93:E93,"¶")+COUNTIF($E93:E93,"²")+COUNTIF($E93:E93,"µ")+COUNTIF($E93:E93,1),ColDescriptionCourte)),""),
  "")),"")</f>
        <v/>
      </c>
      <c r="G93" s="40" t="str">
        <f ca="1">IFERROR(IF(AND(
  INDEX(Roadmap!$D:$K,MATCH($E93,Roadmap!$D:$D,0)+COUNTIF($E93:F93,"u")+COUNTIF($E93:F93,"t")+COUNTIF($E93:F93,"¶")+COUNTIF($E93:F93,"²")+COUNTIF($E93:F93,"µ")+COUNTIF($E93:F93,1),ColLivraison)=G$6,
  VLOOKUP($E93,INDIRECT("tri!"&amp; CHAR(64+ C0Col) &amp;":"&amp; CHAR(65+C0Col)),2,FALSE)&gt;COUNTIF($E93:F93,"u")+COUNTIF($E93:F93,"t")+COUNTIF($E93:F93,"¶")+COUNTIF($E93:F93,"²")+COUNTIF($E93:F93,"µ")+COUNTIF($E93:F93,1)),
HYPERLINK("#Roadmap!C"&amp; MATCH($E93,Roadmap!$D:$D,0)+COUNTIF($E93:F93,"u")+COUNTIF($E93:F93,"t"),
     INDEX(Roadmap!$D:$K,MATCH($E93,Roadmap!$D:$D,0)+COUNTIF($E93:F93,"u")+COUNTIF($E93:F93,"t")+COUNTIF($E93:F93,"¶")+COUNTIF($E93:F93,"²")+COUNTIF($E93:F93,"µ")+COUNTIF($E93:F93,1),ColTypeEcheance)),
  IF(LEN(F93)=1,
  IF(LEN(INDEX(Roadmap!$D:$K,MATCH($E93,Roadmap!$D:$D,0)-1+COUNTIF($E93:F93,"u")+COUNTIF($E93:F93,"t")+COUNTIF($E93:F93,"¶")+COUNTIF($E93:F93,"²")+COUNTIF($E93:F93,"µ")+COUNTIF($E93:F93,1),ColDescriptionCourte))&gt;1,
HYPERLINK("#Roadmap!C"&amp; MATCH($E93,Roadmap!$D:$D,0)+COUNTIF($E93:F93,"u")+COUNTIF($E93:F93,"t")+COUNTIF($E93:F93,"¶")+COUNTIF($E93:F93,"²")+COUNTIF($E93:F93,"µ")+COUNTIF($E93:F93,1)-1,INDEX(Roadmap!$D:$K,MATCH($E93,Roadmap!$D:$D,0)-1+COUNTIF($E93:F93,"u")+COUNTIF($E93:F93,"t")+COUNTIF($E93:F93,"¶")+COUNTIF($E93:F93,"²")+COUNTIF($E93:F93,"µ")+COUNTIF($E93:F93,1),ColDescriptionCourte)),""),
  "")),"")</f>
        <v/>
      </c>
      <c r="H93" s="40" t="str">
        <f ca="1">IFERROR(IF(AND(
  INDEX(Roadmap!$D:$K,MATCH($E93,Roadmap!$D:$D,0)+COUNTIF($E93:G93,"u")+COUNTIF($E93:G93,"t")+COUNTIF($E93:G93,"¶")+COUNTIF($E93:G93,"²")+COUNTIF($E93:G93,"µ")+COUNTIF($E93:G93,1),ColLivraison)=H$6,
  VLOOKUP($E93,INDIRECT("tri!"&amp; CHAR(64+ C0Col) &amp;":"&amp; CHAR(65+C0Col)),2,FALSE)&gt;COUNTIF($E93:G93,"u")+COUNTIF($E93:G93,"t")+COUNTIF($E93:G93,"¶")+COUNTIF($E93:G93,"²")+COUNTIF($E93:G93,"µ")+COUNTIF($E93:G93,1)),
HYPERLINK("#Roadmap!C"&amp; MATCH($E93,Roadmap!$D:$D,0)+COUNTIF($E93:G93,"u")+COUNTIF($E93:G93,"t"),
     INDEX(Roadmap!$D:$K,MATCH($E93,Roadmap!$D:$D,0)+COUNTIF($E93:G93,"u")+COUNTIF($E93:G93,"t")+COUNTIF($E93:G93,"¶")+COUNTIF($E93:G93,"²")+COUNTIF($E93:G93,"µ")+COUNTIF($E93:G93,1),ColTypeEcheance)),
  IF(LEN(G93)=1,
  IF(LEN(INDEX(Roadmap!$D:$K,MATCH($E93,Roadmap!$D:$D,0)-1+COUNTIF($E93:G93,"u")+COUNTIF($E93:G93,"t")+COUNTIF($E93:G93,"¶")+COUNTIF($E93:G93,"²")+COUNTIF($E93:G93,"µ")+COUNTIF($E93:G93,1),ColDescriptionCourte))&gt;1,
HYPERLINK("#Roadmap!C"&amp; MATCH($E93,Roadmap!$D:$D,0)+COUNTIF($E93:G93,"u")+COUNTIF($E93:G93,"t")+COUNTIF($E93:G93,"¶")+COUNTIF($E93:G93,"²")+COUNTIF($E93:G93,"µ")+COUNTIF($E93:G93,1)-1,INDEX(Roadmap!$D:$K,MATCH($E93,Roadmap!$D:$D,0)-1+COUNTIF($E93:G93,"u")+COUNTIF($E93:G93,"t")+COUNTIF($E93:G93,"¶")+COUNTIF($E93:G93,"²")+COUNTIF($E93:G93,"µ")+COUNTIF($E93:G93,1),ColDescriptionCourte)),""),
  "")),"")</f>
        <v/>
      </c>
      <c r="I93" s="40" t="str">
        <f ca="1">IFERROR(IF(AND(
  INDEX(Roadmap!$D:$K,MATCH($E93,Roadmap!$D:$D,0)+COUNTIF($E93:H93,"u")+COUNTIF($E93:H93,"t")+COUNTIF($E93:H93,"¶")+COUNTIF($E93:H93,"²")+COUNTIF($E93:H93,"µ")+COUNTIF($E93:H93,1),ColLivraison)=I$6,
  VLOOKUP($E93,INDIRECT("tri!"&amp; CHAR(64+ C0Col) &amp;":"&amp; CHAR(65+C0Col)),2,FALSE)&gt;COUNTIF($E93:H93,"u")+COUNTIF($E93:H93,"t")+COUNTIF($E93:H93,"¶")+COUNTIF($E93:H93,"²")+COUNTIF($E93:H93,"µ")+COUNTIF($E93:H93,1)),
HYPERLINK("#Roadmap!C"&amp; MATCH($E93,Roadmap!$D:$D,0)+COUNTIF($E93:H93,"u")+COUNTIF($E93:H93,"t"),
     INDEX(Roadmap!$D:$K,MATCH($E93,Roadmap!$D:$D,0)+COUNTIF($E93:H93,"u")+COUNTIF($E93:H93,"t")+COUNTIF($E93:H93,"¶")+COUNTIF($E93:H93,"²")+COUNTIF($E93:H93,"µ")+COUNTIF($E93:H93,1),ColTypeEcheance)),
  IF(LEN(H93)=1,
  IF(LEN(INDEX(Roadmap!$D:$K,MATCH($E93,Roadmap!$D:$D,0)-1+COUNTIF($E93:H93,"u")+COUNTIF($E93:H93,"t")+COUNTIF($E93:H93,"¶")+COUNTIF($E93:H93,"²")+COUNTIF($E93:H93,"µ")+COUNTIF($E93:H93,1),ColDescriptionCourte))&gt;1,
HYPERLINK("#Roadmap!C"&amp; MATCH($E93,Roadmap!$D:$D,0)+COUNTIF($E93:H93,"u")+COUNTIF($E93:H93,"t")+COUNTIF($E93:H93,"¶")+COUNTIF($E93:H93,"²")+COUNTIF($E93:H93,"µ")+COUNTIF($E93:H93,1)-1,INDEX(Roadmap!$D:$K,MATCH($E93,Roadmap!$D:$D,0)-1+COUNTIF($E93:H93,"u")+COUNTIF($E93:H93,"t")+COUNTIF($E93:H93,"¶")+COUNTIF($E93:H93,"²")+COUNTIF($E93:H93,"µ")+COUNTIF($E93:H93,1),ColDescriptionCourte)),""),
  "")),"")</f>
        <v/>
      </c>
      <c r="J93" s="40" t="str">
        <f ca="1">IFERROR(IF(AND(
  INDEX(Roadmap!$D:$K,MATCH($E93,Roadmap!$D:$D,0)+COUNTIF($E93:I93,"u")+COUNTIF($E93:I93,"t")+COUNTIF($E93:I93,"¶")+COUNTIF($E93:I93,"²")+COUNTIF($E93:I93,"µ")+COUNTIF($E93:I93,1),ColLivraison)=J$6,
  VLOOKUP($E93,INDIRECT("tri!"&amp; CHAR(64+ C0Col) &amp;":"&amp; CHAR(65+C0Col)),2,FALSE)&gt;COUNTIF($E93:I93,"u")+COUNTIF($E93:I93,"t")+COUNTIF($E93:I93,"¶")+COUNTIF($E93:I93,"²")+COUNTIF($E93:I93,"µ")+COUNTIF($E93:I93,1)),
HYPERLINK("#Roadmap!C"&amp; MATCH($E93,Roadmap!$D:$D,0)+COUNTIF($E93:I93,"u")+COUNTIF($E93:I93,"t"),
     INDEX(Roadmap!$D:$K,MATCH($E93,Roadmap!$D:$D,0)+COUNTIF($E93:I93,"u")+COUNTIF($E93:I93,"t")+COUNTIF($E93:I93,"¶")+COUNTIF($E93:I93,"²")+COUNTIF($E93:I93,"µ")+COUNTIF($E93:I93,1),ColTypeEcheance)),
  IF(LEN(I93)=1,
  IF(LEN(INDEX(Roadmap!$D:$K,MATCH($E93,Roadmap!$D:$D,0)-1+COUNTIF($E93:I93,"u")+COUNTIF($E93:I93,"t")+COUNTIF($E93:I93,"¶")+COUNTIF($E93:I93,"²")+COUNTIF($E93:I93,"µ")+COUNTIF($E93:I93,1),ColDescriptionCourte))&gt;1,
HYPERLINK("#Roadmap!C"&amp; MATCH($E93,Roadmap!$D:$D,0)+COUNTIF($E93:I93,"u")+COUNTIF($E93:I93,"t")+COUNTIF($E93:I93,"¶")+COUNTIF($E93:I93,"²")+COUNTIF($E93:I93,"µ")+COUNTIF($E93:I93,1)-1,INDEX(Roadmap!$D:$K,MATCH($E93,Roadmap!$D:$D,0)-1+COUNTIF($E93:I93,"u")+COUNTIF($E93:I93,"t")+COUNTIF($E93:I93,"¶")+COUNTIF($E93:I93,"²")+COUNTIF($E93:I93,"µ")+COUNTIF($E93:I93,1),ColDescriptionCourte)),""),
  "")),"")</f>
        <v/>
      </c>
      <c r="K93" s="40" t="str">
        <f ca="1">IFERROR(IF(AND(
  INDEX(Roadmap!$D:$K,MATCH($E93,Roadmap!$D:$D,0)+COUNTIF($E93:J93,"u")+COUNTIF($E93:J93,"t")+COUNTIF($E93:J93,"¶")+COUNTIF($E93:J93,"²")+COUNTIF($E93:J93,"µ")+COUNTIF($E93:J93,1),ColLivraison)=K$6,
  VLOOKUP($E93,INDIRECT("tri!"&amp; CHAR(64+ C0Col) &amp;":"&amp; CHAR(65+C0Col)),2,FALSE)&gt;COUNTIF($E93:J93,"u")+COUNTIF($E93:J93,"t")+COUNTIF($E93:J93,"¶")+COUNTIF($E93:J93,"²")+COUNTIF($E93:J93,"µ")+COUNTIF($E93:J93,1)),
HYPERLINK("#Roadmap!C"&amp; MATCH($E93,Roadmap!$D:$D,0)+COUNTIF($E93:J93,"u")+COUNTIF($E93:J93,"t"),
     INDEX(Roadmap!$D:$K,MATCH($E93,Roadmap!$D:$D,0)+COUNTIF($E93:J93,"u")+COUNTIF($E93:J93,"t")+COUNTIF($E93:J93,"¶")+COUNTIF($E93:J93,"²")+COUNTIF($E93:J93,"µ")+COUNTIF($E93:J93,1),ColTypeEcheance)),
  IF(LEN(J93)=1,
  IF(LEN(INDEX(Roadmap!$D:$K,MATCH($E93,Roadmap!$D:$D,0)-1+COUNTIF($E93:J93,"u")+COUNTIF($E93:J93,"t")+COUNTIF($E93:J93,"¶")+COUNTIF($E93:J93,"²")+COUNTIF($E93:J93,"µ")+COUNTIF($E93:J93,1),ColDescriptionCourte))&gt;1,
HYPERLINK("#Roadmap!C"&amp; MATCH($E93,Roadmap!$D:$D,0)+COUNTIF($E93:J93,"u")+COUNTIF($E93:J93,"t")+COUNTIF($E93:J93,"¶")+COUNTIF($E93:J93,"²")+COUNTIF($E93:J93,"µ")+COUNTIF($E93:J93,1)-1,INDEX(Roadmap!$D:$K,MATCH($E93,Roadmap!$D:$D,0)-1+COUNTIF($E93:J93,"u")+COUNTIF($E93:J93,"t")+COUNTIF($E93:J93,"¶")+COUNTIF($E93:J93,"²")+COUNTIF($E93:J93,"µ")+COUNTIF($E93:J93,1),ColDescriptionCourte)),""),
  "")),"")</f>
        <v/>
      </c>
      <c r="L93" s="39" t="str">
        <f ca="1">IFERROR(IF(AND(
  INDEX(Roadmap!$D:$K,MATCH($E93,Roadmap!$D:$D,0)+COUNTIF($E93:K93,"u")+COUNTIF($E93:K93,"t")+COUNTIF($E93:K93,"¶")+COUNTIF($E93:K93,"²")+COUNTIF($E93:K93,"µ")+COUNTIF($E93:K93,1),ColLivraison)=L$6,
  VLOOKUP($E93,INDIRECT("tri!"&amp; CHAR(64+ C0Col) &amp;":"&amp; CHAR(65+C0Col)),2,FALSE)&gt;COUNTIF($E93:K93,"u")+COUNTIF($E93:K93,"t")+COUNTIF($E93:K93,"¶")+COUNTIF($E93:K93,"²")+COUNTIF($E93:K93,"µ")+COUNTIF($E93:K93,1)),
HYPERLINK("#Roadmap!C"&amp; MATCH($E93,Roadmap!$D:$D,0)+COUNTIF($E93:K93,"u")+COUNTIF($E93:K93,"t"),
     INDEX(Roadmap!$D:$K,MATCH($E93,Roadmap!$D:$D,0)+COUNTIF($E93:K93,"u")+COUNTIF($E93:K93,"t")+COUNTIF($E93:K93,"¶")+COUNTIF($E93:K93,"²")+COUNTIF($E93:K93,"µ")+COUNTIF($E93:K93,1),ColTypeEcheance)),
  IF(LEN(K93)=1,
  IF(LEN(INDEX(Roadmap!$D:$K,MATCH($E93,Roadmap!$D:$D,0)-1+COUNTIF($E93:K93,"u")+COUNTIF($E93:K93,"t")+COUNTIF($E93:K93,"¶")+COUNTIF($E93:K93,"²")+COUNTIF($E93:K93,"µ")+COUNTIF($E93:K93,1),ColDescriptionCourte))&gt;1,
HYPERLINK("#Roadmap!C"&amp; MATCH($E93,Roadmap!$D:$D,0)+COUNTIF($E93:K93,"u")+COUNTIF($E93:K93,"t")+COUNTIF($E93:K93,"¶")+COUNTIF($E93:K93,"²")+COUNTIF($E93:K93,"µ")+COUNTIF($E93:K93,1)-1,INDEX(Roadmap!$D:$K,MATCH($E93,Roadmap!$D:$D,0)-1+COUNTIF($E93:K93,"u")+COUNTIF($E93:K93,"t")+COUNTIF($E93:K93,"¶")+COUNTIF($E93:K93,"²")+COUNTIF($E93:K93,"µ")+COUNTIF($E93:K93,1),ColDescriptionCourte)),""),
  "")),"")</f>
        <v/>
      </c>
      <c r="M93" s="40" t="str">
        <f ca="1">IFERROR(IF(AND(
  INDEX(Roadmap!$D:$K,MATCH($E93,Roadmap!$D:$D,0)+COUNTIF($E93:L93,"u")+COUNTIF($E93:L93,"t")+COUNTIF($E93:L93,"¶")+COUNTIF($E93:L93,"²")+COUNTIF($E93:L93,"µ")+COUNTIF($E93:L93,1),ColLivraison)=M$6,
  VLOOKUP($E93,INDIRECT("tri!"&amp; CHAR(64+ C0Col) &amp;":"&amp; CHAR(65+C0Col)),2,FALSE)&gt;COUNTIF($E93:L93,"u")+COUNTIF($E93:L93,"t")+COUNTIF($E93:L93,"¶")+COUNTIF($E93:L93,"²")+COUNTIF($E93:L93,"µ")+COUNTIF($E93:L93,1)),
HYPERLINK("#Roadmap!C"&amp; MATCH($E93,Roadmap!$D:$D,0)+COUNTIF($E93:L93,"u")+COUNTIF($E93:L93,"t"),
     INDEX(Roadmap!$D:$K,MATCH($E93,Roadmap!$D:$D,0)+COUNTIF($E93:L93,"u")+COUNTIF($E93:L93,"t")+COUNTIF($E93:L93,"¶")+COUNTIF($E93:L93,"²")+COUNTIF($E93:L93,"µ")+COUNTIF($E93:L93,1),ColTypeEcheance)),
  IF(LEN(L93)=1,
  IF(LEN(INDEX(Roadmap!$D:$K,MATCH($E93,Roadmap!$D:$D,0)-1+COUNTIF($E93:L93,"u")+COUNTIF($E93:L93,"t")+COUNTIF($E93:L93,"¶")+COUNTIF($E93:L93,"²")+COUNTIF($E93:L93,"µ")+COUNTIF($E93:L93,1),ColDescriptionCourte))&gt;1,
HYPERLINK("#Roadmap!C"&amp; MATCH($E93,Roadmap!$D:$D,0)+COUNTIF($E93:L93,"u")+COUNTIF($E93:L93,"t")+COUNTIF($E93:L93,"¶")+COUNTIF($E93:L93,"²")+COUNTIF($E93:L93,"µ")+COUNTIF($E93:L93,1)-1,INDEX(Roadmap!$D:$K,MATCH($E93,Roadmap!$D:$D,0)-1+COUNTIF($E93:L93,"u")+COUNTIF($E93:L93,"t")+COUNTIF($E93:L93,"¶")+COUNTIF($E93:L93,"²")+COUNTIF($E93:L93,"µ")+COUNTIF($E93:L93,1),ColDescriptionCourte)),""),
  "")),"")</f>
        <v/>
      </c>
      <c r="N93" s="40" t="str">
        <f ca="1">IFERROR(IF(AND(
  INDEX(Roadmap!$D:$K,MATCH($E93,Roadmap!$D:$D,0)+COUNTIF($E93:M93,"u")+COUNTIF($E93:M93,"t")+COUNTIF($E93:M93,"¶")+COUNTIF($E93:M93,"²")+COUNTIF($E93:M93,"µ")+COUNTIF($E93:M93,1),ColLivraison)=N$6,
  VLOOKUP($E93,INDIRECT("tri!"&amp; CHAR(64+ C0Col) &amp;":"&amp; CHAR(65+C0Col)),2,FALSE)&gt;COUNTIF($E93:M93,"u")+COUNTIF($E93:M93,"t")+COUNTIF($E93:M93,"¶")+COUNTIF($E93:M93,"²")+COUNTIF($E93:M93,"µ")+COUNTIF($E93:M93,1)),
HYPERLINK("#Roadmap!C"&amp; MATCH($E93,Roadmap!$D:$D,0)+COUNTIF($E93:M93,"u")+COUNTIF($E93:M93,"t"),
     INDEX(Roadmap!$D:$K,MATCH($E93,Roadmap!$D:$D,0)+COUNTIF($E93:M93,"u")+COUNTIF($E93:M93,"t")+COUNTIF($E93:M93,"¶")+COUNTIF($E93:M93,"²")+COUNTIF($E93:M93,"µ")+COUNTIF($E93:M93,1),ColTypeEcheance)),
  IF(LEN(M93)=1,
  IF(LEN(INDEX(Roadmap!$D:$K,MATCH($E93,Roadmap!$D:$D,0)-1+COUNTIF($E93:M93,"u")+COUNTIF($E93:M93,"t")+COUNTIF($E93:M93,"¶")+COUNTIF($E93:M93,"²")+COUNTIF($E93:M93,"µ")+COUNTIF($E93:M93,1),ColDescriptionCourte))&gt;1,
HYPERLINK("#Roadmap!C"&amp; MATCH($E93,Roadmap!$D:$D,0)+COUNTIF($E93:M93,"u")+COUNTIF($E93:M93,"t")+COUNTIF($E93:M93,"¶")+COUNTIF($E93:M93,"²")+COUNTIF($E93:M93,"µ")+COUNTIF($E93:M93,1)-1,INDEX(Roadmap!$D:$K,MATCH($E93,Roadmap!$D:$D,0)-1+COUNTIF($E93:M93,"u")+COUNTIF($E93:M93,"t")+COUNTIF($E93:M93,"¶")+COUNTIF($E93:M93,"²")+COUNTIF($E93:M93,"µ")+COUNTIF($E93:M93,1),ColDescriptionCourte)),""),
  "")),"")</f>
        <v/>
      </c>
      <c r="O93" s="40" t="str">
        <f ca="1">IFERROR(IF(AND(
  INDEX(Roadmap!$D:$K,MATCH($E93,Roadmap!$D:$D,0)+COUNTIF($E93:N93,"u")+COUNTIF($E93:N93,"t")+COUNTIF($E93:N93,"¶")+COUNTIF($E93:N93,"²")+COUNTIF($E93:N93,"µ")+COUNTIF($E93:N93,1),ColLivraison)=O$6,
  VLOOKUP($E93,INDIRECT("tri!"&amp; CHAR(64+ C0Col) &amp;":"&amp; CHAR(65+C0Col)),2,FALSE)&gt;COUNTIF($E93:N93,"u")+COUNTIF($E93:N93,"t")+COUNTIF($E93:N93,"¶")+COUNTIF($E93:N93,"²")+COUNTIF($E93:N93,"µ")+COUNTIF($E93:N93,1)),
HYPERLINK("#Roadmap!C"&amp; MATCH($E93,Roadmap!$D:$D,0)+COUNTIF($E93:N93,"u")+COUNTIF($E93:N93,"t"),
     INDEX(Roadmap!$D:$K,MATCH($E93,Roadmap!$D:$D,0)+COUNTIF($E93:N93,"u")+COUNTIF($E93:N93,"t")+COUNTIF($E93:N93,"¶")+COUNTIF($E93:N93,"²")+COUNTIF($E93:N93,"µ")+COUNTIF($E93:N93,1),ColTypeEcheance)),
  IF(LEN(N93)=1,
  IF(LEN(INDEX(Roadmap!$D:$K,MATCH($E93,Roadmap!$D:$D,0)-1+COUNTIF($E93:N93,"u")+COUNTIF($E93:N93,"t")+COUNTIF($E93:N93,"¶")+COUNTIF($E93:N93,"²")+COUNTIF($E93:N93,"µ")+COUNTIF($E93:N93,1),ColDescriptionCourte))&gt;1,
HYPERLINK("#Roadmap!C"&amp; MATCH($E93,Roadmap!$D:$D,0)+COUNTIF($E93:N93,"u")+COUNTIF($E93:N93,"t")+COUNTIF($E93:N93,"¶")+COUNTIF($E93:N93,"²")+COUNTIF($E93:N93,"µ")+COUNTIF($E93:N93,1)-1,INDEX(Roadmap!$D:$K,MATCH($E93,Roadmap!$D:$D,0)-1+COUNTIF($E93:N93,"u")+COUNTIF($E93:N93,"t")+COUNTIF($E93:N93,"¶")+COUNTIF($E93:N93,"²")+COUNTIF($E93:N93,"µ")+COUNTIF($E93:N93,1),ColDescriptionCourte)),""),
  "")),"")</f>
        <v/>
      </c>
      <c r="P93" s="40" t="str">
        <f ca="1">IFERROR(IF(AND(
  INDEX(Roadmap!$D:$K,MATCH($E93,Roadmap!$D:$D,0)+COUNTIF($E93:O93,"u")+COUNTIF($E93:O93,"t")+COUNTIF($E93:O93,"¶")+COUNTIF($E93:O93,"²")+COUNTIF($E93:O93,"µ")+COUNTIF($E93:O93,1),ColLivraison)=P$6,
  VLOOKUP($E93,INDIRECT("tri!"&amp; CHAR(64+ C0Col) &amp;":"&amp; CHAR(65+C0Col)),2,FALSE)&gt;COUNTIF($E93:O93,"u")+COUNTIF($E93:O93,"t")+COUNTIF($E93:O93,"¶")+COUNTIF($E93:O93,"²")+COUNTIF($E93:O93,"µ")+COUNTIF($E93:O93,1)),
HYPERLINK("#Roadmap!C"&amp; MATCH($E93,Roadmap!$D:$D,0)+COUNTIF($E93:O93,"u")+COUNTIF($E93:O93,"t"),
     INDEX(Roadmap!$D:$K,MATCH($E93,Roadmap!$D:$D,0)+COUNTIF($E93:O93,"u")+COUNTIF($E93:O93,"t")+COUNTIF($E93:O93,"¶")+COUNTIF($E93:O93,"²")+COUNTIF($E93:O93,"µ")+COUNTIF($E93:O93,1),ColTypeEcheance)),
  IF(LEN(O93)=1,
  IF(LEN(INDEX(Roadmap!$D:$K,MATCH($E93,Roadmap!$D:$D,0)-1+COUNTIF($E93:O93,"u")+COUNTIF($E93:O93,"t")+COUNTIF($E93:O93,"¶")+COUNTIF($E93:O93,"²")+COUNTIF($E93:O93,"µ")+COUNTIF($E93:O93,1),ColDescriptionCourte))&gt;1,
HYPERLINK("#Roadmap!C"&amp; MATCH($E93,Roadmap!$D:$D,0)+COUNTIF($E93:O93,"u")+COUNTIF($E93:O93,"t")+COUNTIF($E93:O93,"¶")+COUNTIF($E93:O93,"²")+COUNTIF($E93:O93,"µ")+COUNTIF($E93:O93,1)-1,INDEX(Roadmap!$D:$K,MATCH($E93,Roadmap!$D:$D,0)-1+COUNTIF($E93:O93,"u")+COUNTIF($E93:O93,"t")+COUNTIF($E93:O93,"¶")+COUNTIF($E93:O93,"²")+COUNTIF($E93:O93,"µ")+COUNTIF($E93:O93,1),ColDescriptionCourte)),""),
  "")),"")</f>
        <v/>
      </c>
      <c r="Q93" s="40" t="str">
        <f ca="1">IFERROR(IF(AND(
  INDEX(Roadmap!$D:$K,MATCH($E93,Roadmap!$D:$D,0)+COUNTIF($E93:P93,"u")+COUNTIF($E93:P93,"t")+COUNTIF($E93:P93,"¶")+COUNTIF($E93:P93,"²")+COUNTIF($E93:P93,"µ")+COUNTIF($E93:P93,1),ColLivraison)=Q$6,
  VLOOKUP($E93,INDIRECT("tri!"&amp; CHAR(64+ C0Col) &amp;":"&amp; CHAR(65+C0Col)),2,FALSE)&gt;COUNTIF($E93:P93,"u")+COUNTIF($E93:P93,"t")+COUNTIF($E93:P93,"¶")+COUNTIF($E93:P93,"²")+COUNTIF($E93:P93,"µ")+COUNTIF($E93:P93,1)),
HYPERLINK("#Roadmap!C"&amp; MATCH($E93,Roadmap!$D:$D,0)+COUNTIF($E93:P93,"u")+COUNTIF($E93:P93,"t"),
     INDEX(Roadmap!$D:$K,MATCH($E93,Roadmap!$D:$D,0)+COUNTIF($E93:P93,"u")+COUNTIF($E93:P93,"t")+COUNTIF($E93:P93,"¶")+COUNTIF($E93:P93,"²")+COUNTIF($E93:P93,"µ")+COUNTIF($E93:P93,1),ColTypeEcheance)),
  IF(LEN(P93)=1,
  IF(LEN(INDEX(Roadmap!$D:$K,MATCH($E93,Roadmap!$D:$D,0)-1+COUNTIF($E93:P93,"u")+COUNTIF($E93:P93,"t")+COUNTIF($E93:P93,"¶")+COUNTIF($E93:P93,"²")+COUNTIF($E93:P93,"µ")+COUNTIF($E93:P93,1),ColDescriptionCourte))&gt;1,
HYPERLINK("#Roadmap!C"&amp; MATCH($E93,Roadmap!$D:$D,0)+COUNTIF($E93:P93,"u")+COUNTIF($E93:P93,"t")+COUNTIF($E93:P93,"¶")+COUNTIF($E93:P93,"²")+COUNTIF($E93:P93,"µ")+COUNTIF($E93:P93,1)-1,INDEX(Roadmap!$D:$K,MATCH($E93,Roadmap!$D:$D,0)-1+COUNTIF($E93:P93,"u")+COUNTIF($E93:P93,"t")+COUNTIF($E93:P93,"¶")+COUNTIF($E93:P93,"²")+COUNTIF($E93:P93,"µ")+COUNTIF($E93:P93,1),ColDescriptionCourte)),""),
  "")),"")</f>
        <v/>
      </c>
      <c r="R93" s="40" t="str">
        <f ca="1">IFERROR(IF(AND(
  INDEX(Roadmap!$D:$K,MATCH($E93,Roadmap!$D:$D,0)+COUNTIF($E93:Q93,"u")+COUNTIF($E93:Q93,"t")+COUNTIF($E93:Q93,"¶")+COUNTIF($E93:Q93,"²")+COUNTIF($E93:Q93,"µ")+COUNTIF($E93:Q93,1),ColLivraison)=R$6,
  VLOOKUP($E93,INDIRECT("tri!"&amp; CHAR(64+ C0Col) &amp;":"&amp; CHAR(65+C0Col)),2,FALSE)&gt;COUNTIF($E93:Q93,"u")+COUNTIF($E93:Q93,"t")+COUNTIF($E93:Q93,"¶")+COUNTIF($E93:Q93,"²")+COUNTIF($E93:Q93,"µ")+COUNTIF($E93:Q93,1)),
HYPERLINK("#Roadmap!C"&amp; MATCH($E93,Roadmap!$D:$D,0)+COUNTIF($E93:Q93,"u")+COUNTIF($E93:Q93,"t"),
     INDEX(Roadmap!$D:$K,MATCH($E93,Roadmap!$D:$D,0)+COUNTIF($E93:Q93,"u")+COUNTIF($E93:Q93,"t")+COUNTIF($E93:Q93,"¶")+COUNTIF($E93:Q93,"²")+COUNTIF($E93:Q93,"µ")+COUNTIF($E93:Q93,1),ColTypeEcheance)),
  IF(LEN(Q93)=1,
  IF(LEN(INDEX(Roadmap!$D:$K,MATCH($E93,Roadmap!$D:$D,0)-1+COUNTIF($E93:Q93,"u")+COUNTIF($E93:Q93,"t")+COUNTIF($E93:Q93,"¶")+COUNTIF($E93:Q93,"²")+COUNTIF($E93:Q93,"µ")+COUNTIF($E93:Q93,1),ColDescriptionCourte))&gt;1,
HYPERLINK("#Roadmap!C"&amp; MATCH($E93,Roadmap!$D:$D,0)+COUNTIF($E93:Q93,"u")+COUNTIF($E93:Q93,"t")+COUNTIF($E93:Q93,"¶")+COUNTIF($E93:Q93,"²")+COUNTIF($E93:Q93,"µ")+COUNTIF($E93:Q93,1)-1,INDEX(Roadmap!$D:$K,MATCH($E93,Roadmap!$D:$D,0)-1+COUNTIF($E93:Q93,"u")+COUNTIF($E93:Q93,"t")+COUNTIF($E93:Q93,"¶")+COUNTIF($E93:Q93,"²")+COUNTIF($E93:Q93,"µ")+COUNTIF($E93:Q93,1),ColDescriptionCourte)),""),
  "")),"")</f>
        <v/>
      </c>
      <c r="S93" s="40" t="str">
        <f ca="1">IFERROR(IF(AND(
  INDEX(Roadmap!$D:$K,MATCH($E93,Roadmap!$D:$D,0)+COUNTIF($E93:R93,"u")+COUNTIF($E93:R93,"t")+COUNTIF($E93:R93,"¶")+COUNTIF($E93:R93,"²")+COUNTIF($E93:R93,"µ")+COUNTIF($E93:R93,1),ColLivraison)=S$6,
  VLOOKUP($E93,INDIRECT("tri!"&amp; CHAR(64+ C0Col) &amp;":"&amp; CHAR(65+C0Col)),2,FALSE)&gt;COUNTIF($E93:R93,"u")+COUNTIF($E93:R93,"t")+COUNTIF($E93:R93,"¶")+COUNTIF($E93:R93,"²")+COUNTIF($E93:R93,"µ")+COUNTIF($E93:R93,1)),
HYPERLINK("#Roadmap!C"&amp; MATCH($E93,Roadmap!$D:$D,0)+COUNTIF($E93:R93,"u")+COUNTIF($E93:R93,"t"),
     INDEX(Roadmap!$D:$K,MATCH($E93,Roadmap!$D:$D,0)+COUNTIF($E93:R93,"u")+COUNTIF($E93:R93,"t")+COUNTIF($E93:R93,"¶")+COUNTIF($E93:R93,"²")+COUNTIF($E93:R93,"µ")+COUNTIF($E93:R93,1),ColTypeEcheance)),
  IF(LEN(R93)=1,
  IF(LEN(INDEX(Roadmap!$D:$K,MATCH($E93,Roadmap!$D:$D,0)-1+COUNTIF($E93:R93,"u")+COUNTIF($E93:R93,"t")+COUNTIF($E93:R93,"¶")+COUNTIF($E93:R93,"²")+COUNTIF($E93:R93,"µ")+COUNTIF($E93:R93,1),ColDescriptionCourte))&gt;1,
HYPERLINK("#Roadmap!C"&amp; MATCH($E93,Roadmap!$D:$D,0)+COUNTIF($E93:R93,"u")+COUNTIF($E93:R93,"t")+COUNTIF($E93:R93,"¶")+COUNTIF($E93:R93,"²")+COUNTIF($E93:R93,"µ")+COUNTIF($E93:R93,1)-1,INDEX(Roadmap!$D:$K,MATCH($E93,Roadmap!$D:$D,0)-1+COUNTIF($E93:R93,"u")+COUNTIF($E93:R93,"t")+COUNTIF($E93:R93,"¶")+COUNTIF($E93:R93,"²")+COUNTIF($E93:R93,"µ")+COUNTIF($E93:R93,1),ColDescriptionCourte)),""),
  "")),"")</f>
        <v/>
      </c>
      <c r="T93" s="40" t="str">
        <f ca="1">IFERROR(IF(AND(
  INDEX(Roadmap!$D:$K,MATCH($E93,Roadmap!$D:$D,0)+COUNTIF($E93:S93,"u")+COUNTIF($E93:S93,"t")+COUNTIF($E93:S93,"¶")+COUNTIF($E93:S93,"²")+COUNTIF($E93:S93,"µ")+COUNTIF($E93:S93,1),ColLivraison)=T$6,
  VLOOKUP($E93,INDIRECT("tri!"&amp; CHAR(64+ C0Col) &amp;":"&amp; CHAR(65+C0Col)),2,FALSE)&gt;COUNTIF($E93:S93,"u")+COUNTIF($E93:S93,"t")+COUNTIF($E93:S93,"¶")+COUNTIF($E93:S93,"²")+COUNTIF($E93:S93,"µ")+COUNTIF($E93:S93,1)),
HYPERLINK("#Roadmap!C"&amp; MATCH($E93,Roadmap!$D:$D,0)+COUNTIF($E93:S93,"u")+COUNTIF($E93:S93,"t"),
     INDEX(Roadmap!$D:$K,MATCH($E93,Roadmap!$D:$D,0)+COUNTIF($E93:S93,"u")+COUNTIF($E93:S93,"t")+COUNTIF($E93:S93,"¶")+COUNTIF($E93:S93,"²")+COUNTIF($E93:S93,"µ")+COUNTIF($E93:S93,1),ColTypeEcheance)),
  IF(LEN(S93)=1,
  IF(LEN(INDEX(Roadmap!$D:$K,MATCH($E93,Roadmap!$D:$D,0)-1+COUNTIF($E93:S93,"u")+COUNTIF($E93:S93,"t")+COUNTIF($E93:S93,"¶")+COUNTIF($E93:S93,"²")+COUNTIF($E93:S93,"µ")+COUNTIF($E93:S93,1),ColDescriptionCourte))&gt;1,
HYPERLINK("#Roadmap!C"&amp; MATCH($E93,Roadmap!$D:$D,0)+COUNTIF($E93:S93,"u")+COUNTIF($E93:S93,"t")+COUNTIF($E93:S93,"¶")+COUNTIF($E93:S93,"²")+COUNTIF($E93:S93,"µ")+COUNTIF($E93:S93,1)-1,INDEX(Roadmap!$D:$K,MATCH($E93,Roadmap!$D:$D,0)-1+COUNTIF($E93:S93,"u")+COUNTIF($E93:S93,"t")+COUNTIF($E93:S93,"¶")+COUNTIF($E93:S93,"²")+COUNTIF($E93:S93,"µ")+COUNTIF($E93:S93,1),ColDescriptionCourte)),""),
  "")),"")</f>
        <v/>
      </c>
      <c r="U93" s="40" t="str">
        <f ca="1">IFERROR(IF(AND(
  INDEX(Roadmap!$D:$K,MATCH($E93,Roadmap!$D:$D,0)+COUNTIF($E93:T93,"u")+COUNTIF($E93:T93,"t")+COUNTIF($E93:T93,"¶")+COUNTIF($E93:T93,"²")+COUNTIF($E93:T93,"µ")+COUNTIF($E93:T93,1),ColLivraison)=U$6,
  VLOOKUP($E93,INDIRECT("tri!"&amp; CHAR(64+ C0Col) &amp;":"&amp; CHAR(65+C0Col)),2,FALSE)&gt;COUNTIF($E93:T93,"u")+COUNTIF($E93:T93,"t")+COUNTIF($E93:T93,"¶")+COUNTIF($E93:T93,"²")+COUNTIF($E93:T93,"µ")+COUNTIF($E93:T93,1)),
HYPERLINK("#Roadmap!C"&amp; MATCH($E93,Roadmap!$D:$D,0)+COUNTIF($E93:T93,"u")+COUNTIF($E93:T93,"t"),
     INDEX(Roadmap!$D:$K,MATCH($E93,Roadmap!$D:$D,0)+COUNTIF($E93:T93,"u")+COUNTIF($E93:T93,"t")+COUNTIF($E93:T93,"¶")+COUNTIF($E93:T93,"²")+COUNTIF($E93:T93,"µ")+COUNTIF($E93:T93,1),ColTypeEcheance)),
  IF(LEN(T93)=1,
  IF(LEN(INDEX(Roadmap!$D:$K,MATCH($E93,Roadmap!$D:$D,0)-1+COUNTIF($E93:T93,"u")+COUNTIF($E93:T93,"t")+COUNTIF($E93:T93,"¶")+COUNTIF($E93:T93,"²")+COUNTIF($E93:T93,"µ")+COUNTIF($E93:T93,1),ColDescriptionCourte))&gt;1,
HYPERLINK("#Roadmap!C"&amp; MATCH($E93,Roadmap!$D:$D,0)+COUNTIF($E93:T93,"u")+COUNTIF($E93:T93,"t")+COUNTIF($E93:T93,"¶")+COUNTIF($E93:T93,"²")+COUNTIF($E93:T93,"µ")+COUNTIF($E93:T93,1)-1,INDEX(Roadmap!$D:$K,MATCH($E93,Roadmap!$D:$D,0)-1+COUNTIF($E93:T93,"u")+COUNTIF($E93:T93,"t")+COUNTIF($E93:T93,"¶")+COUNTIF($E93:T93,"²")+COUNTIF($E93:T93,"µ")+COUNTIF($E93:T93,1),ColDescriptionCourte)),""),
  "")),"")</f>
        <v/>
      </c>
      <c r="V93" s="40" t="str">
        <f ca="1">IFERROR(IF(AND(
  INDEX(Roadmap!$D:$K,MATCH($E93,Roadmap!$D:$D,0)+COUNTIF($E93:U93,"u")+COUNTIF($E93:U93,"t")+COUNTIF($E93:U93,"¶")+COUNTIF($E93:U93,"²")+COUNTIF($E93:U93,"µ")+COUNTIF($E93:U93,1),ColLivraison)=V$6,
  VLOOKUP($E93,INDIRECT("tri!"&amp; CHAR(64+ C0Col) &amp;":"&amp; CHAR(65+C0Col)),2,FALSE)&gt;COUNTIF($E93:U93,"u")+COUNTIF($E93:U93,"t")+COUNTIF($E93:U93,"¶")+COUNTIF($E93:U93,"²")+COUNTIF($E93:U93,"µ")+COUNTIF($E93:U93,1)),
HYPERLINK("#Roadmap!C"&amp; MATCH($E93,Roadmap!$D:$D,0)+COUNTIF($E93:U93,"u")+COUNTIF($E93:U93,"t"),
     INDEX(Roadmap!$D:$K,MATCH($E93,Roadmap!$D:$D,0)+COUNTIF($E93:U93,"u")+COUNTIF($E93:U93,"t")+COUNTIF($E93:U93,"¶")+COUNTIF($E93:U93,"²")+COUNTIF($E93:U93,"µ")+COUNTIF($E93:U93,1),ColTypeEcheance)),
  IF(LEN(U93)=1,
  IF(LEN(INDEX(Roadmap!$D:$K,MATCH($E93,Roadmap!$D:$D,0)-1+COUNTIF($E93:U93,"u")+COUNTIF($E93:U93,"t")+COUNTIF($E93:U93,"¶")+COUNTIF($E93:U93,"²")+COUNTIF($E93:U93,"µ")+COUNTIF($E93:U93,1),ColDescriptionCourte))&gt;1,
HYPERLINK("#Roadmap!C"&amp; MATCH($E93,Roadmap!$D:$D,0)+COUNTIF($E93:U93,"u")+COUNTIF($E93:U93,"t")+COUNTIF($E93:U93,"¶")+COUNTIF($E93:U93,"²")+COUNTIF($E93:U93,"µ")+COUNTIF($E93:U93,1)-1,INDEX(Roadmap!$D:$K,MATCH($E93,Roadmap!$D:$D,0)-1+COUNTIF($E93:U93,"u")+COUNTIF($E93:U93,"t")+COUNTIF($E93:U93,"¶")+COUNTIF($E93:U93,"²")+COUNTIF($E93:U93,"µ")+COUNTIF($E93:U93,1),ColDescriptionCourte)),""),
  "")),"")</f>
        <v/>
      </c>
      <c r="W93" s="40" t="str">
        <f ca="1">IFERROR(IF(AND(
  INDEX(Roadmap!$D:$K,MATCH($E93,Roadmap!$D:$D,0)+COUNTIF($E93:V93,"u")+COUNTIF($E93:V93,"t")+COUNTIF($E93:V93,"¶")+COUNTIF($E93:V93,"²")+COUNTIF($E93:V93,"µ")+COUNTIF($E93:V93,1),ColLivraison)=W$6,
  VLOOKUP($E93,INDIRECT("tri!"&amp; CHAR(64+ C0Col) &amp;":"&amp; CHAR(65+C0Col)),2,FALSE)&gt;COUNTIF($E93:V93,"u")+COUNTIF($E93:V93,"t")+COUNTIF($E93:V93,"¶")+COUNTIF($E93:V93,"²")+COUNTIF($E93:V93,"µ")+COUNTIF($E93:V93,1)),
HYPERLINK("#Roadmap!C"&amp; MATCH($E93,Roadmap!$D:$D,0)+COUNTIF($E93:V93,"u")+COUNTIF($E93:V93,"t"),
     INDEX(Roadmap!$D:$K,MATCH($E93,Roadmap!$D:$D,0)+COUNTIF($E93:V93,"u")+COUNTIF($E93:V93,"t")+COUNTIF($E93:V93,"¶")+COUNTIF($E93:V93,"²")+COUNTIF($E93:V93,"µ")+COUNTIF($E93:V93,1),ColTypeEcheance)),
  IF(LEN(V93)=1,
  IF(LEN(INDEX(Roadmap!$D:$K,MATCH($E93,Roadmap!$D:$D,0)-1+COUNTIF($E93:V93,"u")+COUNTIF($E93:V93,"t")+COUNTIF($E93:V93,"¶")+COUNTIF($E93:V93,"²")+COUNTIF($E93:V93,"µ")+COUNTIF($E93:V93,1),ColDescriptionCourte))&gt;1,
HYPERLINK("#Roadmap!C"&amp; MATCH($E93,Roadmap!$D:$D,0)+COUNTIF($E93:V93,"u")+COUNTIF($E93:V93,"t")+COUNTIF($E93:V93,"¶")+COUNTIF($E93:V93,"²")+COUNTIF($E93:V93,"µ")+COUNTIF($E93:V93,1)-1,INDEX(Roadmap!$D:$K,MATCH($E93,Roadmap!$D:$D,0)-1+COUNTIF($E93:V93,"u")+COUNTIF($E93:V93,"t")+COUNTIF($E93:V93,"¶")+COUNTIF($E93:V93,"²")+COUNTIF($E93:V93,"µ")+COUNTIF($E93:V93,1),ColDescriptionCourte)),""),
  "")),"")</f>
        <v/>
      </c>
      <c r="X93" s="40" t="str">
        <f ca="1">IFERROR(IF(AND(
  INDEX(Roadmap!$D:$K,MATCH($E93,Roadmap!$D:$D,0)+COUNTIF($E93:W93,"u")+COUNTIF($E93:W93,"t")+COUNTIF($E93:W93,"¶")+COUNTIF($E93:W93,"²")+COUNTIF($E93:W93,"µ")+COUNTIF($E93:W93,1),ColLivraison)=X$6,
  VLOOKUP($E93,INDIRECT("tri!"&amp; CHAR(64+ C0Col) &amp;":"&amp; CHAR(65+C0Col)),2,FALSE)&gt;COUNTIF($E93:W93,"u")+COUNTIF($E93:W93,"t")+COUNTIF($E93:W93,"¶")+COUNTIF($E93:W93,"²")+COUNTIF($E93:W93,"µ")+COUNTIF($E93:W93,1)),
HYPERLINK("#Roadmap!C"&amp; MATCH($E93,Roadmap!$D:$D,0)+COUNTIF($E93:W93,"u")+COUNTIF($E93:W93,"t"),
     INDEX(Roadmap!$D:$K,MATCH($E93,Roadmap!$D:$D,0)+COUNTIF($E93:W93,"u")+COUNTIF($E93:W93,"t")+COUNTIF($E93:W93,"¶")+COUNTIF($E93:W93,"²")+COUNTIF($E93:W93,"µ")+COUNTIF($E93:W93,1),ColTypeEcheance)),
  IF(LEN(W93)=1,
  IF(LEN(INDEX(Roadmap!$D:$K,MATCH($E93,Roadmap!$D:$D,0)-1+COUNTIF($E93:W93,"u")+COUNTIF($E93:W93,"t")+COUNTIF($E93:W93,"¶")+COUNTIF($E93:W93,"²")+COUNTIF($E93:W93,"µ")+COUNTIF($E93:W93,1),ColDescriptionCourte))&gt;1,
HYPERLINK("#Roadmap!C"&amp; MATCH($E93,Roadmap!$D:$D,0)+COUNTIF($E93:W93,"u")+COUNTIF($E93:W93,"t")+COUNTIF($E93:W93,"¶")+COUNTIF($E93:W93,"²")+COUNTIF($E93:W93,"µ")+COUNTIF($E93:W93,1)-1,INDEX(Roadmap!$D:$K,MATCH($E93,Roadmap!$D:$D,0)-1+COUNTIF($E93:W93,"u")+COUNTIF($E93:W93,"t")+COUNTIF($E93:W93,"¶")+COUNTIF($E93:W93,"²")+COUNTIF($E93:W93,"µ")+COUNTIF($E93:W93,1),ColDescriptionCourte)),""),
  "")),"")</f>
        <v/>
      </c>
      <c r="Y93" s="40" t="str">
        <f ca="1">IFERROR(IF(AND(
  INDEX(Roadmap!$D:$K,MATCH($E93,Roadmap!$D:$D,0)+COUNTIF($E93:X93,"u")+COUNTIF($E93:X93,"t")+COUNTIF($E93:X93,"¶")+COUNTIF($E93:X93,"²")+COUNTIF($E93:X93,"µ")+COUNTIF($E93:X93,1),ColLivraison)=Y$6,
  VLOOKUP($E93,INDIRECT("tri!"&amp; CHAR(64+ C0Col) &amp;":"&amp; CHAR(65+C0Col)),2,FALSE)&gt;COUNTIF($E93:X93,"u")+COUNTIF($E93:X93,"t")+COUNTIF($E93:X93,"¶")+COUNTIF($E93:X93,"²")+COUNTIF($E93:X93,"µ")+COUNTIF($E93:X93,1)),
HYPERLINK("#Roadmap!C"&amp; MATCH($E93,Roadmap!$D:$D,0)+COUNTIF($E93:X93,"u")+COUNTIF($E93:X93,"t"),
     INDEX(Roadmap!$D:$K,MATCH($E93,Roadmap!$D:$D,0)+COUNTIF($E93:X93,"u")+COUNTIF($E93:X93,"t")+COUNTIF($E93:X93,"¶")+COUNTIF($E93:X93,"²")+COUNTIF($E93:X93,"µ")+COUNTIF($E93:X93,1),ColTypeEcheance)),
  IF(LEN(X93)=1,
  IF(LEN(INDEX(Roadmap!$D:$K,MATCH($E93,Roadmap!$D:$D,0)-1+COUNTIF($E93:X93,"u")+COUNTIF($E93:X93,"t")+COUNTIF($E93:X93,"¶")+COUNTIF($E93:X93,"²")+COUNTIF($E93:X93,"µ")+COUNTIF($E93:X93,1),ColDescriptionCourte))&gt;1,
HYPERLINK("#Roadmap!C"&amp; MATCH($E93,Roadmap!$D:$D,0)+COUNTIF($E93:X93,"u")+COUNTIF($E93:X93,"t")+COUNTIF($E93:X93,"¶")+COUNTIF($E93:X93,"²")+COUNTIF($E93:X93,"µ")+COUNTIF($E93:X93,1)-1,INDEX(Roadmap!$D:$K,MATCH($E93,Roadmap!$D:$D,0)-1+COUNTIF($E93:X93,"u")+COUNTIF($E93:X93,"t")+COUNTIF($E93:X93,"¶")+COUNTIF($E93:X93,"²")+COUNTIF($E93:X93,"µ")+COUNTIF($E93:X93,1),ColDescriptionCourte)),""),
  "")),"")</f>
        <v/>
      </c>
      <c r="Z93" s="40" t="str">
        <f ca="1">IFERROR(IF(AND(
  INDEX(Roadmap!$D:$K,MATCH($E93,Roadmap!$D:$D,0)+COUNTIF($E93:Y93,"u")+COUNTIF($E93:Y93,"t")+COUNTIF($E93:Y93,"¶")+COUNTIF($E93:Y93,"²")+COUNTIF($E93:Y93,"µ")+COUNTIF($E93:Y93,1),ColLivraison)=Z$6,
  VLOOKUP($E93,INDIRECT("tri!"&amp; CHAR(64+ C0Col) &amp;":"&amp; CHAR(65+C0Col)),2,FALSE)&gt;COUNTIF($E93:Y93,"u")+COUNTIF($E93:Y93,"t")+COUNTIF($E93:Y93,"¶")+COUNTIF($E93:Y93,"²")+COUNTIF($E93:Y93,"µ")+COUNTIF($E93:Y93,1)),
HYPERLINK("#Roadmap!C"&amp; MATCH($E93,Roadmap!$D:$D,0)+COUNTIF($E93:Y93,"u")+COUNTIF($E93:Y93,"t"),
     INDEX(Roadmap!$D:$K,MATCH($E93,Roadmap!$D:$D,0)+COUNTIF($E93:Y93,"u")+COUNTIF($E93:Y93,"t")+COUNTIF($E93:Y93,"¶")+COUNTIF($E93:Y93,"²")+COUNTIF($E93:Y93,"µ")+COUNTIF($E93:Y93,1),ColTypeEcheance)),
  IF(LEN(Y93)=1,
  IF(LEN(INDEX(Roadmap!$D:$K,MATCH($E93,Roadmap!$D:$D,0)-1+COUNTIF($E93:Y93,"u")+COUNTIF($E93:Y93,"t")+COUNTIF($E93:Y93,"¶")+COUNTIF($E93:Y93,"²")+COUNTIF($E93:Y93,"µ")+COUNTIF($E93:Y93,1),ColDescriptionCourte))&gt;1,
HYPERLINK("#Roadmap!C"&amp; MATCH($E93,Roadmap!$D:$D,0)+COUNTIF($E93:Y93,"u")+COUNTIF($E93:Y93,"t")+COUNTIF($E93:Y93,"¶")+COUNTIF($E93:Y93,"²")+COUNTIF($E93:Y93,"µ")+COUNTIF($E93:Y93,1)-1,INDEX(Roadmap!$D:$K,MATCH($E93,Roadmap!$D:$D,0)-1+COUNTIF($E93:Y93,"u")+COUNTIF($E93:Y93,"t")+COUNTIF($E93:Y93,"¶")+COUNTIF($E93:Y93,"²")+COUNTIF($E93:Y93,"µ")+COUNTIF($E93:Y93,1),ColDescriptionCourte)),""),
  "")),"")</f>
        <v/>
      </c>
      <c r="AA93" s="40" t="str">
        <f ca="1">IFERROR(IF(AND(
  INDEX(Roadmap!$D:$K,MATCH($E93,Roadmap!$D:$D,0)+COUNTIF($E93:Z93,"u")+COUNTIF($E93:Z93,"t")+COUNTIF($E93:Z93,"¶")+COUNTIF($E93:Z93,"²")+COUNTIF($E93:Z93,"µ")+COUNTIF($E93:Z93,1),ColLivraison)=AA$6,
  VLOOKUP($E93,INDIRECT("tri!"&amp; CHAR(64+ C0Col) &amp;":"&amp; CHAR(65+C0Col)),2,FALSE)&gt;COUNTIF($E93:Z93,"u")+COUNTIF($E93:Z93,"t")+COUNTIF($E93:Z93,"¶")+COUNTIF($E93:Z93,"²")+COUNTIF($E93:Z93,"µ")+COUNTIF($E93:Z93,1)),
HYPERLINK("#Roadmap!C"&amp; MATCH($E93,Roadmap!$D:$D,0)+COUNTIF($E93:Z93,"u")+COUNTIF($E93:Z93,"t"),
     INDEX(Roadmap!$D:$K,MATCH($E93,Roadmap!$D:$D,0)+COUNTIF($E93:Z93,"u")+COUNTIF($E93:Z93,"t")+COUNTIF($E93:Z93,"¶")+COUNTIF($E93:Z93,"²")+COUNTIF($E93:Z93,"µ")+COUNTIF($E93:Z93,1),ColTypeEcheance)),
  IF(LEN(Z93)=1,
  IF(LEN(INDEX(Roadmap!$D:$K,MATCH($E93,Roadmap!$D:$D,0)-1+COUNTIF($E93:Z93,"u")+COUNTIF($E93:Z93,"t")+COUNTIF($E93:Z93,"¶")+COUNTIF($E93:Z93,"²")+COUNTIF($E93:Z93,"µ")+COUNTIF($E93:Z93,1),ColDescriptionCourte))&gt;1,
HYPERLINK("#Roadmap!C"&amp; MATCH($E93,Roadmap!$D:$D,0)+COUNTIF($E93:Z93,"u")+COUNTIF($E93:Z93,"t")+COUNTIF($E93:Z93,"¶")+COUNTIF($E93:Z93,"²")+COUNTIF($E93:Z93,"µ")+COUNTIF($E93:Z93,1)-1,INDEX(Roadmap!$D:$K,MATCH($E93,Roadmap!$D:$D,0)-1+COUNTIF($E93:Z93,"u")+COUNTIF($E93:Z93,"t")+COUNTIF($E93:Z93,"¶")+COUNTIF($E93:Z93,"²")+COUNTIF($E93:Z93,"µ")+COUNTIF($E93:Z93,1),ColDescriptionCourte)),""),
  "")),"")</f>
        <v/>
      </c>
      <c r="AB93" s="40" t="str">
        <f ca="1">IFERROR(IF(AND(
  INDEX(Roadmap!$D:$K,MATCH($E93,Roadmap!$D:$D,0)+COUNTIF($E93:AA93,"u")+COUNTIF($E93:AA93,"t")+COUNTIF($E93:AA93,"¶")+COUNTIF($E93:AA93,"²")+COUNTIF($E93:AA93,"µ")+COUNTIF($E93:AA93,1),ColLivraison)=AB$6,
  VLOOKUP($E93,INDIRECT("tri!"&amp; CHAR(64+ C0Col) &amp;":"&amp; CHAR(65+C0Col)),2,FALSE)&gt;COUNTIF($E93:AA93,"u")+COUNTIF($E93:AA93,"t")+COUNTIF($E93:AA93,"¶")+COUNTIF($E93:AA93,"²")+COUNTIF($E93:AA93,"µ")+COUNTIF($E93:AA93,1)),
HYPERLINK("#Roadmap!C"&amp; MATCH($E93,Roadmap!$D:$D,0)+COUNTIF($E93:AA93,"u")+COUNTIF($E93:AA93,"t"),
     INDEX(Roadmap!$D:$K,MATCH($E93,Roadmap!$D:$D,0)+COUNTIF($E93:AA93,"u")+COUNTIF($E93:AA93,"t")+COUNTIF($E93:AA93,"¶")+COUNTIF($E93:AA93,"²")+COUNTIF($E93:AA93,"µ")+COUNTIF($E93:AA93,1),ColTypeEcheance)),
  IF(LEN(AA93)=1,
  IF(LEN(INDEX(Roadmap!$D:$K,MATCH($E93,Roadmap!$D:$D,0)-1+COUNTIF($E93:AA93,"u")+COUNTIF($E93:AA93,"t")+COUNTIF($E93:AA93,"¶")+COUNTIF($E93:AA93,"²")+COUNTIF($E93:AA93,"µ")+COUNTIF($E93:AA93,1),ColDescriptionCourte))&gt;1,
HYPERLINK("#Roadmap!C"&amp; MATCH($E93,Roadmap!$D:$D,0)+COUNTIF($E93:AA93,"u")+COUNTIF($E93:AA93,"t")+COUNTIF($E93:AA93,"¶")+COUNTIF($E93:AA93,"²")+COUNTIF($E93:AA93,"µ")+COUNTIF($E93:AA93,1)-1,INDEX(Roadmap!$D:$K,MATCH($E93,Roadmap!$D:$D,0)-1+COUNTIF($E93:AA93,"u")+COUNTIF($E93:AA93,"t")+COUNTIF($E93:AA93,"¶")+COUNTIF($E93:AA93,"²")+COUNTIF($E93:AA93,"µ")+COUNTIF($E93:AA93,1),ColDescriptionCourte)),""),
  "")),"")</f>
        <v/>
      </c>
      <c r="AC93" s="40" t="str">
        <f ca="1">IFERROR(IF(AND(
  INDEX(Roadmap!$D:$K,MATCH($E93,Roadmap!$D:$D,0)+COUNTIF($E93:AB93,"u")+COUNTIF($E93:AB93,"t")+COUNTIF($E93:AB93,"¶")+COUNTIF($E93:AB93,"²")+COUNTIF($E93:AB93,"µ")+COUNTIF($E93:AB93,1),ColLivraison)=AC$6,
  VLOOKUP($E93,INDIRECT("tri!"&amp; CHAR(64+ C0Col) &amp;":"&amp; CHAR(65+C0Col)),2,FALSE)&gt;COUNTIF($E93:AB93,"u")+COUNTIF($E93:AB93,"t")+COUNTIF($E93:AB93,"¶")+COUNTIF($E93:AB93,"²")+COUNTIF($E93:AB93,"µ")+COUNTIF($E93:AB93,1)),
HYPERLINK("#Roadmap!C"&amp; MATCH($E93,Roadmap!$D:$D,0)+COUNTIF($E93:AB93,"u")+COUNTIF($E93:AB93,"t"),
     INDEX(Roadmap!$D:$K,MATCH($E93,Roadmap!$D:$D,0)+COUNTIF($E93:AB93,"u")+COUNTIF($E93:AB93,"t")+COUNTIF($E93:AB93,"¶")+COUNTIF($E93:AB93,"²")+COUNTIF($E93:AB93,"µ")+COUNTIF($E93:AB93,1),ColTypeEcheance)),
  IF(LEN(AB93)=1,
  IF(LEN(INDEX(Roadmap!$D:$K,MATCH($E93,Roadmap!$D:$D,0)-1+COUNTIF($E93:AB93,"u")+COUNTIF($E93:AB93,"t")+COUNTIF($E93:AB93,"¶")+COUNTIF($E93:AB93,"²")+COUNTIF($E93:AB93,"µ")+COUNTIF($E93:AB93,1),ColDescriptionCourte))&gt;1,
HYPERLINK("#Roadmap!C"&amp; MATCH($E93,Roadmap!$D:$D,0)+COUNTIF($E93:AB93,"u")+COUNTIF($E93:AB93,"t")+COUNTIF($E93:AB93,"¶")+COUNTIF($E93:AB93,"²")+COUNTIF($E93:AB93,"µ")+COUNTIF($E93:AB93,1)-1,INDEX(Roadmap!$D:$K,MATCH($E93,Roadmap!$D:$D,0)-1+COUNTIF($E93:AB93,"u")+COUNTIF($E93:AB93,"t")+COUNTIF($E93:AB93,"¶")+COUNTIF($E93:AB93,"²")+COUNTIF($E93:AB93,"µ")+COUNTIF($E93:AB93,1),ColDescriptionCourte)),""),
  "")),"")</f>
        <v/>
      </c>
      <c r="AD93" s="40" t="str">
        <f ca="1">IFERROR(IF(AND(
  INDEX(Roadmap!$D:$K,MATCH($E93,Roadmap!$D:$D,0)+COUNTIF($E93:AC93,"u")+COUNTIF($E93:AC93,"t")+COUNTIF($E93:AC93,"¶")+COUNTIF($E93:AC93,"²")+COUNTIF($E93:AC93,"µ")+COUNTIF($E93:AC93,1),ColLivraison)=AD$6,
  VLOOKUP($E93,INDIRECT("tri!"&amp; CHAR(64+ C0Col) &amp;":"&amp; CHAR(65+C0Col)),2,FALSE)&gt;COUNTIF($E93:AC93,"u")+COUNTIF($E93:AC93,"t")+COUNTIF($E93:AC93,"¶")+COUNTIF($E93:AC93,"²")+COUNTIF($E93:AC93,"µ")+COUNTIF($E93:AC93,1)),
HYPERLINK("#Roadmap!C"&amp; MATCH($E93,Roadmap!$D:$D,0)+COUNTIF($E93:AC93,"u")+COUNTIF($E93:AC93,"t"),
     INDEX(Roadmap!$D:$K,MATCH($E93,Roadmap!$D:$D,0)+COUNTIF($E93:AC93,"u")+COUNTIF($E93:AC93,"t")+COUNTIF($E93:AC93,"¶")+COUNTIF($E93:AC93,"²")+COUNTIF($E93:AC93,"µ")+COUNTIF($E93:AC93,1),ColTypeEcheance)),
  IF(LEN(AC93)=1,
  IF(LEN(INDEX(Roadmap!$D:$K,MATCH($E93,Roadmap!$D:$D,0)-1+COUNTIF($E93:AC93,"u")+COUNTIF($E93:AC93,"t")+COUNTIF($E93:AC93,"¶")+COUNTIF($E93:AC93,"²")+COUNTIF($E93:AC93,"µ")+COUNTIF($E93:AC93,1),ColDescriptionCourte))&gt;1,
HYPERLINK("#Roadmap!C"&amp; MATCH($E93,Roadmap!$D:$D,0)+COUNTIF($E93:AC93,"u")+COUNTIF($E93:AC93,"t")+COUNTIF($E93:AC93,"¶")+COUNTIF($E93:AC93,"²")+COUNTIF($E93:AC93,"µ")+COUNTIF($E93:AC93,1)-1,INDEX(Roadmap!$D:$K,MATCH($E93,Roadmap!$D:$D,0)-1+COUNTIF($E93:AC93,"u")+COUNTIF($E93:AC93,"t")+COUNTIF($E93:AC93,"¶")+COUNTIF($E93:AC93,"²")+COUNTIF($E93:AC93,"µ")+COUNTIF($E93:AC93,1),ColDescriptionCourte)),""),
  "")),"")</f>
        <v/>
      </c>
      <c r="AE93" s="40" t="str">
        <f ca="1">IFERROR(IF(AND(
  INDEX(Roadmap!$D:$K,MATCH($E93,Roadmap!$D:$D,0)+COUNTIF($E93:AD93,"u")+COUNTIF($E93:AD93,"t")+COUNTIF($E93:AD93,"¶")+COUNTIF($E93:AD93,"²")+COUNTIF($E93:AD93,"µ")+COUNTIF($E93:AD93,1),ColLivraison)=AE$6,
  VLOOKUP($E93,INDIRECT("tri!"&amp; CHAR(64+ C0Col) &amp;":"&amp; CHAR(65+C0Col)),2,FALSE)&gt;COUNTIF($E93:AD93,"u")+COUNTIF($E93:AD93,"t")+COUNTIF($E93:AD93,"¶")+COUNTIF($E93:AD93,"²")+COUNTIF($E93:AD93,"µ")+COUNTIF($E93:AD93,1)),
HYPERLINK("#Roadmap!C"&amp; MATCH($E93,Roadmap!$D:$D,0)+COUNTIF($E93:AD93,"u")+COUNTIF($E93:AD93,"t"),
     INDEX(Roadmap!$D:$K,MATCH($E93,Roadmap!$D:$D,0)+COUNTIF($E93:AD93,"u")+COUNTIF($E93:AD93,"t")+COUNTIF($E93:AD93,"¶")+COUNTIF($E93:AD93,"²")+COUNTIF($E93:AD93,"µ")+COUNTIF($E93:AD93,1),ColTypeEcheance)),
  IF(LEN(AD93)=1,
  IF(LEN(INDEX(Roadmap!$D:$K,MATCH($E93,Roadmap!$D:$D,0)-1+COUNTIF($E93:AD93,"u")+COUNTIF($E93:AD93,"t")+COUNTIF($E93:AD93,"¶")+COUNTIF($E93:AD93,"²")+COUNTIF($E93:AD93,"µ")+COUNTIF($E93:AD93,1),ColDescriptionCourte))&gt;1,
HYPERLINK("#Roadmap!C"&amp; MATCH($E93,Roadmap!$D:$D,0)+COUNTIF($E93:AD93,"u")+COUNTIF($E93:AD93,"t")+COUNTIF($E93:AD93,"¶")+COUNTIF($E93:AD93,"²")+COUNTIF($E93:AD93,"µ")+COUNTIF($E93:AD93,1)-1,INDEX(Roadmap!$D:$K,MATCH($E93,Roadmap!$D:$D,0)-1+COUNTIF($E93:AD93,"u")+COUNTIF($E93:AD93,"t")+COUNTIF($E93:AD93,"¶")+COUNTIF($E93:AD93,"²")+COUNTIF($E93:AD93,"µ")+COUNTIF($E93:AD93,1),ColDescriptionCourte)),""),
  "")),"")</f>
        <v/>
      </c>
      <c r="AF93" s="40" t="str">
        <f ca="1">IFERROR(IF(AND(
  INDEX(Roadmap!$D:$K,MATCH($E93,Roadmap!$D:$D,0)+COUNTIF($E93:AE93,"u")+COUNTIF($E93:AE93,"t")+COUNTIF($E93:AE93,"¶")+COUNTIF($E93:AE93,"²")+COUNTIF($E93:AE93,"µ")+COUNTIF($E93:AE93,1),ColLivraison)=AF$6,
  VLOOKUP($E93,INDIRECT("tri!"&amp; CHAR(64+ C0Col) &amp;":"&amp; CHAR(65+C0Col)),2,FALSE)&gt;COUNTIF($E93:AE93,"u")+COUNTIF($E93:AE93,"t")+COUNTIF($E93:AE93,"¶")+COUNTIF($E93:AE93,"²")+COUNTIF($E93:AE93,"µ")+COUNTIF($E93:AE93,1)),
HYPERLINK("#Roadmap!C"&amp; MATCH($E93,Roadmap!$D:$D,0)+COUNTIF($E93:AE93,"u")+COUNTIF($E93:AE93,"t"),
     INDEX(Roadmap!$D:$K,MATCH($E93,Roadmap!$D:$D,0)+COUNTIF($E93:AE93,"u")+COUNTIF($E93:AE93,"t")+COUNTIF($E93:AE93,"¶")+COUNTIF($E93:AE93,"²")+COUNTIF($E93:AE93,"µ")+COUNTIF($E93:AE93,1),ColTypeEcheance)),
  IF(LEN(AE93)=1,
  IF(LEN(INDEX(Roadmap!$D:$K,MATCH($E93,Roadmap!$D:$D,0)-1+COUNTIF($E93:AE93,"u")+COUNTIF($E93:AE93,"t")+COUNTIF($E93:AE93,"¶")+COUNTIF($E93:AE93,"²")+COUNTIF($E93:AE93,"µ")+COUNTIF($E93:AE93,1),ColDescriptionCourte))&gt;1,
HYPERLINK("#Roadmap!C"&amp; MATCH($E93,Roadmap!$D:$D,0)+COUNTIF($E93:AE93,"u")+COUNTIF($E93:AE93,"t")+COUNTIF($E93:AE93,"¶")+COUNTIF($E93:AE93,"²")+COUNTIF($E93:AE93,"µ")+COUNTIF($E93:AE93,1)-1,INDEX(Roadmap!$D:$K,MATCH($E93,Roadmap!$D:$D,0)-1+COUNTIF($E93:AE93,"u")+COUNTIF($E93:AE93,"t")+COUNTIF($E93:AE93,"¶")+COUNTIF($E93:AE93,"²")+COUNTIF($E93:AE93,"µ")+COUNTIF($E93:AE93,1),ColDescriptionCourte)),""),
  "")),"")</f>
        <v/>
      </c>
      <c r="AG93" s="40" t="str">
        <f ca="1">IFERROR(IF(AND(
  INDEX(Roadmap!$D:$K,MATCH($E93,Roadmap!$D:$D,0)+COUNTIF($E93:AF93,"u")+COUNTIF($E93:AF93,"t")+COUNTIF($E93:AF93,"¶")+COUNTIF($E93:AF93,"²")+COUNTIF($E93:AF93,"µ")+COUNTIF($E93:AF93,1),ColLivraison)=AG$6,
  VLOOKUP($E93,INDIRECT("tri!"&amp; CHAR(64+ C0Col) &amp;":"&amp; CHAR(65+C0Col)),2,FALSE)&gt;COUNTIF($E93:AF93,"u")+COUNTIF($E93:AF93,"t")+COUNTIF($E93:AF93,"¶")+COUNTIF($E93:AF93,"²")+COUNTIF($E93:AF93,"µ")+COUNTIF($E93:AF93,1)),
HYPERLINK("#Roadmap!C"&amp; MATCH($E93,Roadmap!$D:$D,0)+COUNTIF($E93:AF93,"u")+COUNTIF($E93:AF93,"t"),
     INDEX(Roadmap!$D:$K,MATCH($E93,Roadmap!$D:$D,0)+COUNTIF($E93:AF93,"u")+COUNTIF($E93:AF93,"t")+COUNTIF($E93:AF93,"¶")+COUNTIF($E93:AF93,"²")+COUNTIF($E93:AF93,"µ")+COUNTIF($E93:AF93,1),ColTypeEcheance)),
  IF(LEN(AF93)=1,
  IF(LEN(INDEX(Roadmap!$D:$K,MATCH($E93,Roadmap!$D:$D,0)-1+COUNTIF($E93:AF93,"u")+COUNTIF($E93:AF93,"t")+COUNTIF($E93:AF93,"¶")+COUNTIF($E93:AF93,"²")+COUNTIF($E93:AF93,"µ")+COUNTIF($E93:AF93,1),ColDescriptionCourte))&gt;1,
HYPERLINK("#Roadmap!C"&amp; MATCH($E93,Roadmap!$D:$D,0)+COUNTIF($E93:AF93,"u")+COUNTIF($E93:AF93,"t")+COUNTIF($E93:AF93,"¶")+COUNTIF($E93:AF93,"²")+COUNTIF($E93:AF93,"µ")+COUNTIF($E93:AF93,1)-1,INDEX(Roadmap!$D:$K,MATCH($E93,Roadmap!$D:$D,0)-1+COUNTIF($E93:AF93,"u")+COUNTIF($E93:AF93,"t")+COUNTIF($E93:AF93,"¶")+COUNTIF($E93:AF93,"²")+COUNTIF($E93:AF93,"µ")+COUNTIF($E93:AF93,1),ColDescriptionCourte)),""),
  "")),"")</f>
        <v/>
      </c>
      <c r="AH93" s="40" t="str">
        <f ca="1">IFERROR(IF(AND(
  INDEX(Roadmap!$D:$K,MATCH($E93,Roadmap!$D:$D,0)+COUNTIF($E93:AG93,"u")+COUNTIF($E93:AG93,"t")+COUNTIF($E93:AG93,1),ColLivraison)=AH$6,
  VLOOKUP($E93,INDIRECT("tri!"&amp; CHAR(64+ C0Col) &amp;":"&amp; CHAR(65+C0Col)),2,FALSE)&gt;COUNTIF($E93:AG93,"u")+COUNTIF($E93:AG93,"t")+COUNTIF($E93:AG93,1)),
HYPERLINK("#Roadmap!C"&amp; MATCH($E93,Roadmap!$D:$D,0)+COUNTIF($E93:AG93,"u")+COUNTIF($E93:AG93,"t"),
     INDEX(Roadmap!$D:$K,MATCH($E93,Roadmap!$D:$D,0)+COUNTIF($E93:AG93,"u")+COUNTIF($E93:AG93,"t")+COUNTIF($E93:AG93,1),ColTypeEcheance)),
  IF(OR(AG93="u",AG93="t",AG93=1),
  IF(LEN(INDEX(Roadmap!$D:$K,MATCH($E93,Roadmap!$D:$D,0)-1+COUNTIF($E93:AG93,"u")+COUNTIF($E93:AG93,"t")+COUNTIF($E93:AG93,1),ColDescriptionCourte))&gt;1,
HYPERLINK("#Roadmap!C"&amp; MATCH($E93,Roadmap!$D:$D,0)+COUNTIF($E93:AG93,"u")+COUNTIF($E93:AG93,"t")+COUNTIF($E93:AG93,1)-1,INDEX(Roadmap!$D:$K,MATCH($E93,Roadmap!$D:$D,0)-1+COUNTIF($E93:AG93,"u")+COUNTIF($E93:AG93,"t")+COUNTIF($E93:AG93,1),ColDescriptionCourte)),""),
  "")),"")</f>
        <v/>
      </c>
      <c r="AI93" s="40"/>
      <c r="AJ93" s="40"/>
      <c r="AK93" s="40"/>
      <c r="AL93" s="40"/>
      <c r="AM93" s="40"/>
    </row>
    <row r="94" spans="4:39" ht="14.1" customHeight="1">
      <c r="D94" s="20" t="str">
        <f t="shared" ca="1" si="29"/>
        <v/>
      </c>
      <c r="E94" s="53" t="str">
        <f t="shared" ca="1" si="30"/>
        <v/>
      </c>
      <c r="F94" s="39" t="str">
        <f ca="1">IFERROR(IF(AND(
  INDEX(Roadmap!$D:$K,MATCH($E94,Roadmap!$D:$D,0)+COUNTIF($E94:E94,"u")+COUNTIF($E94:E94,"t")+COUNTIF($E94:E94,"¶")+COUNTIF($E94:E94,"²")+COUNTIF($E94:E94,"µ")+COUNTIF($E94:E94,1),ColLivraison)=F$6,
  VLOOKUP($E94,INDIRECT("tri!"&amp; CHAR(64+ C0Col) &amp;":"&amp; CHAR(65+C0Col)),2,FALSE)&gt;COUNTIF($E94:E94,"u")+COUNTIF($E94:E94,"t")+COUNTIF($E94:E94,"¶")+COUNTIF($E94:E94,"²")+COUNTIF($E94:E94,"µ")+COUNTIF($E94:E94,1)),
HYPERLINK("#Roadmap!C"&amp; MATCH($E94,Roadmap!$D:$D,0)+COUNTIF($E94:E94,"u")+COUNTIF($E94:E94,"t"),
     INDEX(Roadmap!$D:$K,MATCH($E94,Roadmap!$D:$D,0)+COUNTIF($E94:E94,"u")+COUNTIF($E94:E94,"t")+COUNTIF($E94:E94,"¶")+COUNTIF($E94:E94,"²")+COUNTIF($E94:E94,"µ")+COUNTIF($E94:E94,1),ColTypeEcheance)),
  IF(LEN(E94)=1,
  IF(LEN(INDEX(Roadmap!$D:$K,MATCH($E94,Roadmap!$D:$D,0)-1+COUNTIF($E94:E94,"u")+COUNTIF($E94:E94,"t")+COUNTIF($E94:E94,"¶")+COUNTIF($E94:E94,"²")+COUNTIF($E94:E94,"µ")+COUNTIF($E94:E94,1),ColDescriptionCourte))&gt;1,
HYPERLINK("#Roadmap!C"&amp; MATCH($E94,Roadmap!$D:$D,0)+COUNTIF($E94:E94,"u")+COUNTIF($E94:E94,"t")+COUNTIF($E94:E94,"¶")+COUNTIF($E94:E94,"²")+COUNTIF($E94:E94,"µ")+COUNTIF($E94:E94,1)-1,INDEX(Roadmap!$D:$K,MATCH($E94,Roadmap!$D:$D,0)-1+COUNTIF($E94:E94,"u")+COUNTIF($E94:E94,"t")+COUNTIF($E94:E94,"¶")+COUNTIF($E94:E94,"²")+COUNTIF($E94:E94,"µ")+COUNTIF($E94:E94,1),ColDescriptionCourte)),""),
  "")),"")</f>
        <v/>
      </c>
      <c r="G94" s="40" t="str">
        <f ca="1">IFERROR(IF(AND(
  INDEX(Roadmap!$D:$K,MATCH($E94,Roadmap!$D:$D,0)+COUNTIF($E94:F94,"u")+COUNTIF($E94:F94,"t")+COUNTIF($E94:F94,"¶")+COUNTIF($E94:F94,"²")+COUNTIF($E94:F94,"µ")+COUNTIF($E94:F94,1),ColLivraison)=G$6,
  VLOOKUP($E94,INDIRECT("tri!"&amp; CHAR(64+ C0Col) &amp;":"&amp; CHAR(65+C0Col)),2,FALSE)&gt;COUNTIF($E94:F94,"u")+COUNTIF($E94:F94,"t")+COUNTIF($E94:F94,"¶")+COUNTIF($E94:F94,"²")+COUNTIF($E94:F94,"µ")+COUNTIF($E94:F94,1)),
HYPERLINK("#Roadmap!C"&amp; MATCH($E94,Roadmap!$D:$D,0)+COUNTIF($E94:F94,"u")+COUNTIF($E94:F94,"t"),
     INDEX(Roadmap!$D:$K,MATCH($E94,Roadmap!$D:$D,0)+COUNTIF($E94:F94,"u")+COUNTIF($E94:F94,"t")+COUNTIF($E94:F94,"¶")+COUNTIF($E94:F94,"²")+COUNTIF($E94:F94,"µ")+COUNTIF($E94:F94,1),ColTypeEcheance)),
  IF(LEN(F94)=1,
  IF(LEN(INDEX(Roadmap!$D:$K,MATCH($E94,Roadmap!$D:$D,0)-1+COUNTIF($E94:F94,"u")+COUNTIF($E94:F94,"t")+COUNTIF($E94:F94,"¶")+COUNTIF($E94:F94,"²")+COUNTIF($E94:F94,"µ")+COUNTIF($E94:F94,1),ColDescriptionCourte))&gt;1,
HYPERLINK("#Roadmap!C"&amp; MATCH($E94,Roadmap!$D:$D,0)+COUNTIF($E94:F94,"u")+COUNTIF($E94:F94,"t")+COUNTIF($E94:F94,"¶")+COUNTIF($E94:F94,"²")+COUNTIF($E94:F94,"µ")+COUNTIF($E94:F94,1)-1,INDEX(Roadmap!$D:$K,MATCH($E94,Roadmap!$D:$D,0)-1+COUNTIF($E94:F94,"u")+COUNTIF($E94:F94,"t")+COUNTIF($E94:F94,"¶")+COUNTIF($E94:F94,"²")+COUNTIF($E94:F94,"µ")+COUNTIF($E94:F94,1),ColDescriptionCourte)),""),
  "")),"")</f>
        <v/>
      </c>
      <c r="H94" s="40" t="str">
        <f ca="1">IFERROR(IF(AND(
  INDEX(Roadmap!$D:$K,MATCH($E94,Roadmap!$D:$D,0)+COUNTIF($E94:G94,"u")+COUNTIF($E94:G94,"t")+COUNTIF($E94:G94,"¶")+COUNTIF($E94:G94,"²")+COUNTIF($E94:G94,"µ")+COUNTIF($E94:G94,1),ColLivraison)=H$6,
  VLOOKUP($E94,INDIRECT("tri!"&amp; CHAR(64+ C0Col) &amp;":"&amp; CHAR(65+C0Col)),2,FALSE)&gt;COUNTIF($E94:G94,"u")+COUNTIF($E94:G94,"t")+COUNTIF($E94:G94,"¶")+COUNTIF($E94:G94,"²")+COUNTIF($E94:G94,"µ")+COUNTIF($E94:G94,1)),
HYPERLINK("#Roadmap!C"&amp; MATCH($E94,Roadmap!$D:$D,0)+COUNTIF($E94:G94,"u")+COUNTIF($E94:G94,"t"),
     INDEX(Roadmap!$D:$K,MATCH($E94,Roadmap!$D:$D,0)+COUNTIF($E94:G94,"u")+COUNTIF($E94:G94,"t")+COUNTIF($E94:G94,"¶")+COUNTIF($E94:G94,"²")+COUNTIF($E94:G94,"µ")+COUNTIF($E94:G94,1),ColTypeEcheance)),
  IF(LEN(G94)=1,
  IF(LEN(INDEX(Roadmap!$D:$K,MATCH($E94,Roadmap!$D:$D,0)-1+COUNTIF($E94:G94,"u")+COUNTIF($E94:G94,"t")+COUNTIF($E94:G94,"¶")+COUNTIF($E94:G94,"²")+COUNTIF($E94:G94,"µ")+COUNTIF($E94:G94,1),ColDescriptionCourte))&gt;1,
HYPERLINK("#Roadmap!C"&amp; MATCH($E94,Roadmap!$D:$D,0)+COUNTIF($E94:G94,"u")+COUNTIF($E94:G94,"t")+COUNTIF($E94:G94,"¶")+COUNTIF($E94:G94,"²")+COUNTIF($E94:G94,"µ")+COUNTIF($E94:G94,1)-1,INDEX(Roadmap!$D:$K,MATCH($E94,Roadmap!$D:$D,0)-1+COUNTIF($E94:G94,"u")+COUNTIF($E94:G94,"t")+COUNTIF($E94:G94,"¶")+COUNTIF($E94:G94,"²")+COUNTIF($E94:G94,"µ")+COUNTIF($E94:G94,1),ColDescriptionCourte)),""),
  "")),"")</f>
        <v/>
      </c>
      <c r="I94" s="40" t="str">
        <f ca="1">IFERROR(IF(AND(
  INDEX(Roadmap!$D:$K,MATCH($E94,Roadmap!$D:$D,0)+COUNTIF($E94:H94,"u")+COUNTIF($E94:H94,"t")+COUNTIF($E94:H94,"¶")+COUNTIF($E94:H94,"²")+COUNTIF($E94:H94,"µ")+COUNTIF($E94:H94,1),ColLivraison)=I$6,
  VLOOKUP($E94,INDIRECT("tri!"&amp; CHAR(64+ C0Col) &amp;":"&amp; CHAR(65+C0Col)),2,FALSE)&gt;COUNTIF($E94:H94,"u")+COUNTIF($E94:H94,"t")+COUNTIF($E94:H94,"¶")+COUNTIF($E94:H94,"²")+COUNTIF($E94:H94,"µ")+COUNTIF($E94:H94,1)),
HYPERLINK("#Roadmap!C"&amp; MATCH($E94,Roadmap!$D:$D,0)+COUNTIF($E94:H94,"u")+COUNTIF($E94:H94,"t"),
     INDEX(Roadmap!$D:$K,MATCH($E94,Roadmap!$D:$D,0)+COUNTIF($E94:H94,"u")+COUNTIF($E94:H94,"t")+COUNTIF($E94:H94,"¶")+COUNTIF($E94:H94,"²")+COUNTIF($E94:H94,"µ")+COUNTIF($E94:H94,1),ColTypeEcheance)),
  IF(LEN(H94)=1,
  IF(LEN(INDEX(Roadmap!$D:$K,MATCH($E94,Roadmap!$D:$D,0)-1+COUNTIF($E94:H94,"u")+COUNTIF($E94:H94,"t")+COUNTIF($E94:H94,"¶")+COUNTIF($E94:H94,"²")+COUNTIF($E94:H94,"µ")+COUNTIF($E94:H94,1),ColDescriptionCourte))&gt;1,
HYPERLINK("#Roadmap!C"&amp; MATCH($E94,Roadmap!$D:$D,0)+COUNTIF($E94:H94,"u")+COUNTIF($E94:H94,"t")+COUNTIF($E94:H94,"¶")+COUNTIF($E94:H94,"²")+COUNTIF($E94:H94,"µ")+COUNTIF($E94:H94,1)-1,INDEX(Roadmap!$D:$K,MATCH($E94,Roadmap!$D:$D,0)-1+COUNTIF($E94:H94,"u")+COUNTIF($E94:H94,"t")+COUNTIF($E94:H94,"¶")+COUNTIF($E94:H94,"²")+COUNTIF($E94:H94,"µ")+COUNTIF($E94:H94,1),ColDescriptionCourte)),""),
  "")),"")</f>
        <v/>
      </c>
      <c r="J94" s="40" t="str">
        <f ca="1">IFERROR(IF(AND(
  INDEX(Roadmap!$D:$K,MATCH($E94,Roadmap!$D:$D,0)+COUNTIF($E94:I94,"u")+COUNTIF($E94:I94,"t")+COUNTIF($E94:I94,"¶")+COUNTIF($E94:I94,"²")+COUNTIF($E94:I94,"µ")+COUNTIF($E94:I94,1),ColLivraison)=J$6,
  VLOOKUP($E94,INDIRECT("tri!"&amp; CHAR(64+ C0Col) &amp;":"&amp; CHAR(65+C0Col)),2,FALSE)&gt;COUNTIF($E94:I94,"u")+COUNTIF($E94:I94,"t")+COUNTIF($E94:I94,"¶")+COUNTIF($E94:I94,"²")+COUNTIF($E94:I94,"µ")+COUNTIF($E94:I94,1)),
HYPERLINK("#Roadmap!C"&amp; MATCH($E94,Roadmap!$D:$D,0)+COUNTIF($E94:I94,"u")+COUNTIF($E94:I94,"t"),
     INDEX(Roadmap!$D:$K,MATCH($E94,Roadmap!$D:$D,0)+COUNTIF($E94:I94,"u")+COUNTIF($E94:I94,"t")+COUNTIF($E94:I94,"¶")+COUNTIF($E94:I94,"²")+COUNTIF($E94:I94,"µ")+COUNTIF($E94:I94,1),ColTypeEcheance)),
  IF(LEN(I94)=1,
  IF(LEN(INDEX(Roadmap!$D:$K,MATCH($E94,Roadmap!$D:$D,0)-1+COUNTIF($E94:I94,"u")+COUNTIF($E94:I94,"t")+COUNTIF($E94:I94,"¶")+COUNTIF($E94:I94,"²")+COUNTIF($E94:I94,"µ")+COUNTIF($E94:I94,1),ColDescriptionCourte))&gt;1,
HYPERLINK("#Roadmap!C"&amp; MATCH($E94,Roadmap!$D:$D,0)+COUNTIF($E94:I94,"u")+COUNTIF($E94:I94,"t")+COUNTIF($E94:I94,"¶")+COUNTIF($E94:I94,"²")+COUNTIF($E94:I94,"µ")+COUNTIF($E94:I94,1)-1,INDEX(Roadmap!$D:$K,MATCH($E94,Roadmap!$D:$D,0)-1+COUNTIF($E94:I94,"u")+COUNTIF($E94:I94,"t")+COUNTIF($E94:I94,"¶")+COUNTIF($E94:I94,"²")+COUNTIF($E94:I94,"µ")+COUNTIF($E94:I94,1),ColDescriptionCourte)),""),
  "")),"")</f>
        <v/>
      </c>
      <c r="K94" s="40" t="str">
        <f ca="1">IFERROR(IF(AND(
  INDEX(Roadmap!$D:$K,MATCH($E94,Roadmap!$D:$D,0)+COUNTIF($E94:J94,"u")+COUNTIF($E94:J94,"t")+COUNTIF($E94:J94,"¶")+COUNTIF($E94:J94,"²")+COUNTIF($E94:J94,"µ")+COUNTIF($E94:J94,1),ColLivraison)=K$6,
  VLOOKUP($E94,INDIRECT("tri!"&amp; CHAR(64+ C0Col) &amp;":"&amp; CHAR(65+C0Col)),2,FALSE)&gt;COUNTIF($E94:J94,"u")+COUNTIF($E94:J94,"t")+COUNTIF($E94:J94,"¶")+COUNTIF($E94:J94,"²")+COUNTIF($E94:J94,"µ")+COUNTIF($E94:J94,1)),
HYPERLINK("#Roadmap!C"&amp; MATCH($E94,Roadmap!$D:$D,0)+COUNTIF($E94:J94,"u")+COUNTIF($E94:J94,"t"),
     INDEX(Roadmap!$D:$K,MATCH($E94,Roadmap!$D:$D,0)+COUNTIF($E94:J94,"u")+COUNTIF($E94:J94,"t")+COUNTIF($E94:J94,"¶")+COUNTIF($E94:J94,"²")+COUNTIF($E94:J94,"µ")+COUNTIF($E94:J94,1),ColTypeEcheance)),
  IF(LEN(J94)=1,
  IF(LEN(INDEX(Roadmap!$D:$K,MATCH($E94,Roadmap!$D:$D,0)-1+COUNTIF($E94:J94,"u")+COUNTIF($E94:J94,"t")+COUNTIF($E94:J94,"¶")+COUNTIF($E94:J94,"²")+COUNTIF($E94:J94,"µ")+COUNTIF($E94:J94,1),ColDescriptionCourte))&gt;1,
HYPERLINK("#Roadmap!C"&amp; MATCH($E94,Roadmap!$D:$D,0)+COUNTIF($E94:J94,"u")+COUNTIF($E94:J94,"t")+COUNTIF($E94:J94,"¶")+COUNTIF($E94:J94,"²")+COUNTIF($E94:J94,"µ")+COUNTIF($E94:J94,1)-1,INDEX(Roadmap!$D:$K,MATCH($E94,Roadmap!$D:$D,0)-1+COUNTIF($E94:J94,"u")+COUNTIF($E94:J94,"t")+COUNTIF($E94:J94,"¶")+COUNTIF($E94:J94,"²")+COUNTIF($E94:J94,"µ")+COUNTIF($E94:J94,1),ColDescriptionCourte)),""),
  "")),"")</f>
        <v/>
      </c>
      <c r="L94" s="39" t="str">
        <f ca="1">IFERROR(IF(AND(
  INDEX(Roadmap!$D:$K,MATCH($E94,Roadmap!$D:$D,0)+COUNTIF($E94:K94,"u")+COUNTIF($E94:K94,"t")+COUNTIF($E94:K94,"¶")+COUNTIF($E94:K94,"²")+COUNTIF($E94:K94,"µ")+COUNTIF($E94:K94,1),ColLivraison)=L$6,
  VLOOKUP($E94,INDIRECT("tri!"&amp; CHAR(64+ C0Col) &amp;":"&amp; CHAR(65+C0Col)),2,FALSE)&gt;COUNTIF($E94:K94,"u")+COUNTIF($E94:K94,"t")+COUNTIF($E94:K94,"¶")+COUNTIF($E94:K94,"²")+COUNTIF($E94:K94,"µ")+COUNTIF($E94:K94,1)),
HYPERLINK("#Roadmap!C"&amp; MATCH($E94,Roadmap!$D:$D,0)+COUNTIF($E94:K94,"u")+COUNTIF($E94:K94,"t"),
     INDEX(Roadmap!$D:$K,MATCH($E94,Roadmap!$D:$D,0)+COUNTIF($E94:K94,"u")+COUNTIF($E94:K94,"t")+COUNTIF($E94:K94,"¶")+COUNTIF($E94:K94,"²")+COUNTIF($E94:K94,"µ")+COUNTIF($E94:K94,1),ColTypeEcheance)),
  IF(LEN(K94)=1,
  IF(LEN(INDEX(Roadmap!$D:$K,MATCH($E94,Roadmap!$D:$D,0)-1+COUNTIF($E94:K94,"u")+COUNTIF($E94:K94,"t")+COUNTIF($E94:K94,"¶")+COUNTIF($E94:K94,"²")+COUNTIF($E94:K94,"µ")+COUNTIF($E94:K94,1),ColDescriptionCourte))&gt;1,
HYPERLINK("#Roadmap!C"&amp; MATCH($E94,Roadmap!$D:$D,0)+COUNTIF($E94:K94,"u")+COUNTIF($E94:K94,"t")+COUNTIF($E94:K94,"¶")+COUNTIF($E94:K94,"²")+COUNTIF($E94:K94,"µ")+COUNTIF($E94:K94,1)-1,INDEX(Roadmap!$D:$K,MATCH($E94,Roadmap!$D:$D,0)-1+COUNTIF($E94:K94,"u")+COUNTIF($E94:K94,"t")+COUNTIF($E94:K94,"¶")+COUNTIF($E94:K94,"²")+COUNTIF($E94:K94,"µ")+COUNTIF($E94:K94,1),ColDescriptionCourte)),""),
  "")),"")</f>
        <v/>
      </c>
      <c r="M94" s="40" t="str">
        <f ca="1">IFERROR(IF(AND(
  INDEX(Roadmap!$D:$K,MATCH($E94,Roadmap!$D:$D,0)+COUNTIF($E94:L94,"u")+COUNTIF($E94:L94,"t")+COUNTIF($E94:L94,"¶")+COUNTIF($E94:L94,"²")+COUNTIF($E94:L94,"µ")+COUNTIF($E94:L94,1),ColLivraison)=M$6,
  VLOOKUP($E94,INDIRECT("tri!"&amp; CHAR(64+ C0Col) &amp;":"&amp; CHAR(65+C0Col)),2,FALSE)&gt;COUNTIF($E94:L94,"u")+COUNTIF($E94:L94,"t")+COUNTIF($E94:L94,"¶")+COUNTIF($E94:L94,"²")+COUNTIF($E94:L94,"µ")+COUNTIF($E94:L94,1)),
HYPERLINK("#Roadmap!C"&amp; MATCH($E94,Roadmap!$D:$D,0)+COUNTIF($E94:L94,"u")+COUNTIF($E94:L94,"t"),
     INDEX(Roadmap!$D:$K,MATCH($E94,Roadmap!$D:$D,0)+COUNTIF($E94:L94,"u")+COUNTIF($E94:L94,"t")+COUNTIF($E94:L94,"¶")+COUNTIF($E94:L94,"²")+COUNTIF($E94:L94,"µ")+COUNTIF($E94:L94,1),ColTypeEcheance)),
  IF(LEN(L94)=1,
  IF(LEN(INDEX(Roadmap!$D:$K,MATCH($E94,Roadmap!$D:$D,0)-1+COUNTIF($E94:L94,"u")+COUNTIF($E94:L94,"t")+COUNTIF($E94:L94,"¶")+COUNTIF($E94:L94,"²")+COUNTIF($E94:L94,"µ")+COUNTIF($E94:L94,1),ColDescriptionCourte))&gt;1,
HYPERLINK("#Roadmap!C"&amp; MATCH($E94,Roadmap!$D:$D,0)+COUNTIF($E94:L94,"u")+COUNTIF($E94:L94,"t")+COUNTIF($E94:L94,"¶")+COUNTIF($E94:L94,"²")+COUNTIF($E94:L94,"µ")+COUNTIF($E94:L94,1)-1,INDEX(Roadmap!$D:$K,MATCH($E94,Roadmap!$D:$D,0)-1+COUNTIF($E94:L94,"u")+COUNTIF($E94:L94,"t")+COUNTIF($E94:L94,"¶")+COUNTIF($E94:L94,"²")+COUNTIF($E94:L94,"µ")+COUNTIF($E94:L94,1),ColDescriptionCourte)),""),
  "")),"")</f>
        <v/>
      </c>
      <c r="N94" s="40" t="str">
        <f ca="1">IFERROR(IF(AND(
  INDEX(Roadmap!$D:$K,MATCH($E94,Roadmap!$D:$D,0)+COUNTIF($E94:M94,"u")+COUNTIF($E94:M94,"t")+COUNTIF($E94:M94,"¶")+COUNTIF($E94:M94,"²")+COUNTIF($E94:M94,"µ")+COUNTIF($E94:M94,1),ColLivraison)=N$6,
  VLOOKUP($E94,INDIRECT("tri!"&amp; CHAR(64+ C0Col) &amp;":"&amp; CHAR(65+C0Col)),2,FALSE)&gt;COUNTIF($E94:M94,"u")+COUNTIF($E94:M94,"t")+COUNTIF($E94:M94,"¶")+COUNTIF($E94:M94,"²")+COUNTIF($E94:M94,"µ")+COUNTIF($E94:M94,1)),
HYPERLINK("#Roadmap!C"&amp; MATCH($E94,Roadmap!$D:$D,0)+COUNTIF($E94:M94,"u")+COUNTIF($E94:M94,"t"),
     INDEX(Roadmap!$D:$K,MATCH($E94,Roadmap!$D:$D,0)+COUNTIF($E94:M94,"u")+COUNTIF($E94:M94,"t")+COUNTIF($E94:M94,"¶")+COUNTIF($E94:M94,"²")+COUNTIF($E94:M94,"µ")+COUNTIF($E94:M94,1),ColTypeEcheance)),
  IF(LEN(M94)=1,
  IF(LEN(INDEX(Roadmap!$D:$K,MATCH($E94,Roadmap!$D:$D,0)-1+COUNTIF($E94:M94,"u")+COUNTIF($E94:M94,"t")+COUNTIF($E94:M94,"¶")+COUNTIF($E94:M94,"²")+COUNTIF($E94:M94,"µ")+COUNTIF($E94:M94,1),ColDescriptionCourte))&gt;1,
HYPERLINK("#Roadmap!C"&amp; MATCH($E94,Roadmap!$D:$D,0)+COUNTIF($E94:M94,"u")+COUNTIF($E94:M94,"t")+COUNTIF($E94:M94,"¶")+COUNTIF($E94:M94,"²")+COUNTIF($E94:M94,"µ")+COUNTIF($E94:M94,1)-1,INDEX(Roadmap!$D:$K,MATCH($E94,Roadmap!$D:$D,0)-1+COUNTIF($E94:M94,"u")+COUNTIF($E94:M94,"t")+COUNTIF($E94:M94,"¶")+COUNTIF($E94:M94,"²")+COUNTIF($E94:M94,"µ")+COUNTIF($E94:M94,1),ColDescriptionCourte)),""),
  "")),"")</f>
        <v/>
      </c>
      <c r="O94" s="40" t="str">
        <f ca="1">IFERROR(IF(AND(
  INDEX(Roadmap!$D:$K,MATCH($E94,Roadmap!$D:$D,0)+COUNTIF($E94:N94,"u")+COUNTIF($E94:N94,"t")+COUNTIF($E94:N94,"¶")+COUNTIF($E94:N94,"²")+COUNTIF($E94:N94,"µ")+COUNTIF($E94:N94,1),ColLivraison)=O$6,
  VLOOKUP($E94,INDIRECT("tri!"&amp; CHAR(64+ C0Col) &amp;":"&amp; CHAR(65+C0Col)),2,FALSE)&gt;COUNTIF($E94:N94,"u")+COUNTIF($E94:N94,"t")+COUNTIF($E94:N94,"¶")+COUNTIF($E94:N94,"²")+COUNTIF($E94:N94,"µ")+COUNTIF($E94:N94,1)),
HYPERLINK("#Roadmap!C"&amp; MATCH($E94,Roadmap!$D:$D,0)+COUNTIF($E94:N94,"u")+COUNTIF($E94:N94,"t"),
     INDEX(Roadmap!$D:$K,MATCH($E94,Roadmap!$D:$D,0)+COUNTIF($E94:N94,"u")+COUNTIF($E94:N94,"t")+COUNTIF($E94:N94,"¶")+COUNTIF($E94:N94,"²")+COUNTIF($E94:N94,"µ")+COUNTIF($E94:N94,1),ColTypeEcheance)),
  IF(LEN(N94)=1,
  IF(LEN(INDEX(Roadmap!$D:$K,MATCH($E94,Roadmap!$D:$D,0)-1+COUNTIF($E94:N94,"u")+COUNTIF($E94:N94,"t")+COUNTIF($E94:N94,"¶")+COUNTIF($E94:N94,"²")+COUNTIF($E94:N94,"µ")+COUNTIF($E94:N94,1),ColDescriptionCourte))&gt;1,
HYPERLINK("#Roadmap!C"&amp; MATCH($E94,Roadmap!$D:$D,0)+COUNTIF($E94:N94,"u")+COUNTIF($E94:N94,"t")+COUNTIF($E94:N94,"¶")+COUNTIF($E94:N94,"²")+COUNTIF($E94:N94,"µ")+COUNTIF($E94:N94,1)-1,INDEX(Roadmap!$D:$K,MATCH($E94,Roadmap!$D:$D,0)-1+COUNTIF($E94:N94,"u")+COUNTIF($E94:N94,"t")+COUNTIF($E94:N94,"¶")+COUNTIF($E94:N94,"²")+COUNTIF($E94:N94,"µ")+COUNTIF($E94:N94,1),ColDescriptionCourte)),""),
  "")),"")</f>
        <v/>
      </c>
      <c r="P94" s="40" t="str">
        <f ca="1">IFERROR(IF(AND(
  INDEX(Roadmap!$D:$K,MATCH($E94,Roadmap!$D:$D,0)+COUNTIF($E94:O94,"u")+COUNTIF($E94:O94,"t")+COUNTIF($E94:O94,"¶")+COUNTIF($E94:O94,"²")+COUNTIF($E94:O94,"µ")+COUNTIF($E94:O94,1),ColLivraison)=P$6,
  VLOOKUP($E94,INDIRECT("tri!"&amp; CHAR(64+ C0Col) &amp;":"&amp; CHAR(65+C0Col)),2,FALSE)&gt;COUNTIF($E94:O94,"u")+COUNTIF($E94:O94,"t")+COUNTIF($E94:O94,"¶")+COUNTIF($E94:O94,"²")+COUNTIF($E94:O94,"µ")+COUNTIF($E94:O94,1)),
HYPERLINK("#Roadmap!C"&amp; MATCH($E94,Roadmap!$D:$D,0)+COUNTIF($E94:O94,"u")+COUNTIF($E94:O94,"t"),
     INDEX(Roadmap!$D:$K,MATCH($E94,Roadmap!$D:$D,0)+COUNTIF($E94:O94,"u")+COUNTIF($E94:O94,"t")+COUNTIF($E94:O94,"¶")+COUNTIF($E94:O94,"²")+COUNTIF($E94:O94,"µ")+COUNTIF($E94:O94,1),ColTypeEcheance)),
  IF(LEN(O94)=1,
  IF(LEN(INDEX(Roadmap!$D:$K,MATCH($E94,Roadmap!$D:$D,0)-1+COUNTIF($E94:O94,"u")+COUNTIF($E94:O94,"t")+COUNTIF($E94:O94,"¶")+COUNTIF($E94:O94,"²")+COUNTIF($E94:O94,"µ")+COUNTIF($E94:O94,1),ColDescriptionCourte))&gt;1,
HYPERLINK("#Roadmap!C"&amp; MATCH($E94,Roadmap!$D:$D,0)+COUNTIF($E94:O94,"u")+COUNTIF($E94:O94,"t")+COUNTIF($E94:O94,"¶")+COUNTIF($E94:O94,"²")+COUNTIF($E94:O94,"µ")+COUNTIF($E94:O94,1)-1,INDEX(Roadmap!$D:$K,MATCH($E94,Roadmap!$D:$D,0)-1+COUNTIF($E94:O94,"u")+COUNTIF($E94:O94,"t")+COUNTIF($E94:O94,"¶")+COUNTIF($E94:O94,"²")+COUNTIF($E94:O94,"µ")+COUNTIF($E94:O94,1),ColDescriptionCourte)),""),
  "")),"")</f>
        <v/>
      </c>
      <c r="Q94" s="40" t="str">
        <f ca="1">IFERROR(IF(AND(
  INDEX(Roadmap!$D:$K,MATCH($E94,Roadmap!$D:$D,0)+COUNTIF($E94:P94,"u")+COUNTIF($E94:P94,"t")+COUNTIF($E94:P94,"¶")+COUNTIF($E94:P94,"²")+COUNTIF($E94:P94,"µ")+COUNTIF($E94:P94,1),ColLivraison)=Q$6,
  VLOOKUP($E94,INDIRECT("tri!"&amp; CHAR(64+ C0Col) &amp;":"&amp; CHAR(65+C0Col)),2,FALSE)&gt;COUNTIF($E94:P94,"u")+COUNTIF($E94:P94,"t")+COUNTIF($E94:P94,"¶")+COUNTIF($E94:P94,"²")+COUNTIF($E94:P94,"µ")+COUNTIF($E94:P94,1)),
HYPERLINK("#Roadmap!C"&amp; MATCH($E94,Roadmap!$D:$D,0)+COUNTIF($E94:P94,"u")+COUNTIF($E94:P94,"t"),
     INDEX(Roadmap!$D:$K,MATCH($E94,Roadmap!$D:$D,0)+COUNTIF($E94:P94,"u")+COUNTIF($E94:P94,"t")+COUNTIF($E94:P94,"¶")+COUNTIF($E94:P94,"²")+COUNTIF($E94:P94,"µ")+COUNTIF($E94:P94,1),ColTypeEcheance)),
  IF(LEN(P94)=1,
  IF(LEN(INDEX(Roadmap!$D:$K,MATCH($E94,Roadmap!$D:$D,0)-1+COUNTIF($E94:P94,"u")+COUNTIF($E94:P94,"t")+COUNTIF($E94:P94,"¶")+COUNTIF($E94:P94,"²")+COUNTIF($E94:P94,"µ")+COUNTIF($E94:P94,1),ColDescriptionCourte))&gt;1,
HYPERLINK("#Roadmap!C"&amp; MATCH($E94,Roadmap!$D:$D,0)+COUNTIF($E94:P94,"u")+COUNTIF($E94:P94,"t")+COUNTIF($E94:P94,"¶")+COUNTIF($E94:P94,"²")+COUNTIF($E94:P94,"µ")+COUNTIF($E94:P94,1)-1,INDEX(Roadmap!$D:$K,MATCH($E94,Roadmap!$D:$D,0)-1+COUNTIF($E94:P94,"u")+COUNTIF($E94:P94,"t")+COUNTIF($E94:P94,"¶")+COUNTIF($E94:P94,"²")+COUNTIF($E94:P94,"µ")+COUNTIF($E94:P94,1),ColDescriptionCourte)),""),
  "")),"")</f>
        <v/>
      </c>
      <c r="R94" s="40" t="str">
        <f ca="1">IFERROR(IF(AND(
  INDEX(Roadmap!$D:$K,MATCH($E94,Roadmap!$D:$D,0)+COUNTIF($E94:Q94,"u")+COUNTIF($E94:Q94,"t")+COUNTIF($E94:Q94,"¶")+COUNTIF($E94:Q94,"²")+COUNTIF($E94:Q94,"µ")+COUNTIF($E94:Q94,1),ColLivraison)=R$6,
  VLOOKUP($E94,INDIRECT("tri!"&amp; CHAR(64+ C0Col) &amp;":"&amp; CHAR(65+C0Col)),2,FALSE)&gt;COUNTIF($E94:Q94,"u")+COUNTIF($E94:Q94,"t")+COUNTIF($E94:Q94,"¶")+COUNTIF($E94:Q94,"²")+COUNTIF($E94:Q94,"µ")+COUNTIF($E94:Q94,1)),
HYPERLINK("#Roadmap!C"&amp; MATCH($E94,Roadmap!$D:$D,0)+COUNTIF($E94:Q94,"u")+COUNTIF($E94:Q94,"t"),
     INDEX(Roadmap!$D:$K,MATCH($E94,Roadmap!$D:$D,0)+COUNTIF($E94:Q94,"u")+COUNTIF($E94:Q94,"t")+COUNTIF($E94:Q94,"¶")+COUNTIF($E94:Q94,"²")+COUNTIF($E94:Q94,"µ")+COUNTIF($E94:Q94,1),ColTypeEcheance)),
  IF(LEN(Q94)=1,
  IF(LEN(INDEX(Roadmap!$D:$K,MATCH($E94,Roadmap!$D:$D,0)-1+COUNTIF($E94:Q94,"u")+COUNTIF($E94:Q94,"t")+COUNTIF($E94:Q94,"¶")+COUNTIF($E94:Q94,"²")+COUNTIF($E94:Q94,"µ")+COUNTIF($E94:Q94,1),ColDescriptionCourte))&gt;1,
HYPERLINK("#Roadmap!C"&amp; MATCH($E94,Roadmap!$D:$D,0)+COUNTIF($E94:Q94,"u")+COUNTIF($E94:Q94,"t")+COUNTIF($E94:Q94,"¶")+COUNTIF($E94:Q94,"²")+COUNTIF($E94:Q94,"µ")+COUNTIF($E94:Q94,1)-1,INDEX(Roadmap!$D:$K,MATCH($E94,Roadmap!$D:$D,0)-1+COUNTIF($E94:Q94,"u")+COUNTIF($E94:Q94,"t")+COUNTIF($E94:Q94,"¶")+COUNTIF($E94:Q94,"²")+COUNTIF($E94:Q94,"µ")+COUNTIF($E94:Q94,1),ColDescriptionCourte)),""),
  "")),"")</f>
        <v/>
      </c>
      <c r="S94" s="40" t="str">
        <f ca="1">IFERROR(IF(AND(
  INDEX(Roadmap!$D:$K,MATCH($E94,Roadmap!$D:$D,0)+COUNTIF($E94:R94,"u")+COUNTIF($E94:R94,"t")+COUNTIF($E94:R94,"¶")+COUNTIF($E94:R94,"²")+COUNTIF($E94:R94,"µ")+COUNTIF($E94:R94,1),ColLivraison)=S$6,
  VLOOKUP($E94,INDIRECT("tri!"&amp; CHAR(64+ C0Col) &amp;":"&amp; CHAR(65+C0Col)),2,FALSE)&gt;COUNTIF($E94:R94,"u")+COUNTIF($E94:R94,"t")+COUNTIF($E94:R94,"¶")+COUNTIF($E94:R94,"²")+COUNTIF($E94:R94,"µ")+COUNTIF($E94:R94,1)),
HYPERLINK("#Roadmap!C"&amp; MATCH($E94,Roadmap!$D:$D,0)+COUNTIF($E94:R94,"u")+COUNTIF($E94:R94,"t"),
     INDEX(Roadmap!$D:$K,MATCH($E94,Roadmap!$D:$D,0)+COUNTIF($E94:R94,"u")+COUNTIF($E94:R94,"t")+COUNTIF($E94:R94,"¶")+COUNTIF($E94:R94,"²")+COUNTIF($E94:R94,"µ")+COUNTIF($E94:R94,1),ColTypeEcheance)),
  IF(LEN(R94)=1,
  IF(LEN(INDEX(Roadmap!$D:$K,MATCH($E94,Roadmap!$D:$D,0)-1+COUNTIF($E94:R94,"u")+COUNTIF($E94:R94,"t")+COUNTIF($E94:R94,"¶")+COUNTIF($E94:R94,"²")+COUNTIF($E94:R94,"µ")+COUNTIF($E94:R94,1),ColDescriptionCourte))&gt;1,
HYPERLINK("#Roadmap!C"&amp; MATCH($E94,Roadmap!$D:$D,0)+COUNTIF($E94:R94,"u")+COUNTIF($E94:R94,"t")+COUNTIF($E94:R94,"¶")+COUNTIF($E94:R94,"²")+COUNTIF($E94:R94,"µ")+COUNTIF($E94:R94,1)-1,INDEX(Roadmap!$D:$K,MATCH($E94,Roadmap!$D:$D,0)-1+COUNTIF($E94:R94,"u")+COUNTIF($E94:R94,"t")+COUNTIF($E94:R94,"¶")+COUNTIF($E94:R94,"²")+COUNTIF($E94:R94,"µ")+COUNTIF($E94:R94,1),ColDescriptionCourte)),""),
  "")),"")</f>
        <v/>
      </c>
      <c r="T94" s="40" t="str">
        <f ca="1">IFERROR(IF(AND(
  INDEX(Roadmap!$D:$K,MATCH($E94,Roadmap!$D:$D,0)+COUNTIF($E94:S94,"u")+COUNTIF($E94:S94,"t")+COUNTIF($E94:S94,"¶")+COUNTIF($E94:S94,"²")+COUNTIF($E94:S94,"µ")+COUNTIF($E94:S94,1),ColLivraison)=T$6,
  VLOOKUP($E94,INDIRECT("tri!"&amp; CHAR(64+ C0Col) &amp;":"&amp; CHAR(65+C0Col)),2,FALSE)&gt;COUNTIF($E94:S94,"u")+COUNTIF($E94:S94,"t")+COUNTIF($E94:S94,"¶")+COUNTIF($E94:S94,"²")+COUNTIF($E94:S94,"µ")+COUNTIF($E94:S94,1)),
HYPERLINK("#Roadmap!C"&amp; MATCH($E94,Roadmap!$D:$D,0)+COUNTIF($E94:S94,"u")+COUNTIF($E94:S94,"t"),
     INDEX(Roadmap!$D:$K,MATCH($E94,Roadmap!$D:$D,0)+COUNTIF($E94:S94,"u")+COUNTIF($E94:S94,"t")+COUNTIF($E94:S94,"¶")+COUNTIF($E94:S94,"²")+COUNTIF($E94:S94,"µ")+COUNTIF($E94:S94,1),ColTypeEcheance)),
  IF(LEN(S94)=1,
  IF(LEN(INDEX(Roadmap!$D:$K,MATCH($E94,Roadmap!$D:$D,0)-1+COUNTIF($E94:S94,"u")+COUNTIF($E94:S94,"t")+COUNTIF($E94:S94,"¶")+COUNTIF($E94:S94,"²")+COUNTIF($E94:S94,"µ")+COUNTIF($E94:S94,1),ColDescriptionCourte))&gt;1,
HYPERLINK("#Roadmap!C"&amp; MATCH($E94,Roadmap!$D:$D,0)+COUNTIF($E94:S94,"u")+COUNTIF($E94:S94,"t")+COUNTIF($E94:S94,"¶")+COUNTIF($E94:S94,"²")+COUNTIF($E94:S94,"µ")+COUNTIF($E94:S94,1)-1,INDEX(Roadmap!$D:$K,MATCH($E94,Roadmap!$D:$D,0)-1+COUNTIF($E94:S94,"u")+COUNTIF($E94:S94,"t")+COUNTIF($E94:S94,"¶")+COUNTIF($E94:S94,"²")+COUNTIF($E94:S94,"µ")+COUNTIF($E94:S94,1),ColDescriptionCourte)),""),
  "")),"")</f>
        <v/>
      </c>
      <c r="U94" s="40" t="str">
        <f ca="1">IFERROR(IF(AND(
  INDEX(Roadmap!$D:$K,MATCH($E94,Roadmap!$D:$D,0)+COUNTIF($E94:T94,"u")+COUNTIF($E94:T94,"t")+COUNTIF($E94:T94,"¶")+COUNTIF($E94:T94,"²")+COUNTIF($E94:T94,"µ")+COUNTIF($E94:T94,1),ColLivraison)=U$6,
  VLOOKUP($E94,INDIRECT("tri!"&amp; CHAR(64+ C0Col) &amp;":"&amp; CHAR(65+C0Col)),2,FALSE)&gt;COUNTIF($E94:T94,"u")+COUNTIF($E94:T94,"t")+COUNTIF($E94:T94,"¶")+COUNTIF($E94:T94,"²")+COUNTIF($E94:T94,"µ")+COUNTIF($E94:T94,1)),
HYPERLINK("#Roadmap!C"&amp; MATCH($E94,Roadmap!$D:$D,0)+COUNTIF($E94:T94,"u")+COUNTIF($E94:T94,"t"),
     INDEX(Roadmap!$D:$K,MATCH($E94,Roadmap!$D:$D,0)+COUNTIF($E94:T94,"u")+COUNTIF($E94:T94,"t")+COUNTIF($E94:T94,"¶")+COUNTIF($E94:T94,"²")+COUNTIF($E94:T94,"µ")+COUNTIF($E94:T94,1),ColTypeEcheance)),
  IF(LEN(T94)=1,
  IF(LEN(INDEX(Roadmap!$D:$K,MATCH($E94,Roadmap!$D:$D,0)-1+COUNTIF($E94:T94,"u")+COUNTIF($E94:T94,"t")+COUNTIF($E94:T94,"¶")+COUNTIF($E94:T94,"²")+COUNTIF($E94:T94,"µ")+COUNTIF($E94:T94,1),ColDescriptionCourte))&gt;1,
HYPERLINK("#Roadmap!C"&amp; MATCH($E94,Roadmap!$D:$D,0)+COUNTIF($E94:T94,"u")+COUNTIF($E94:T94,"t")+COUNTIF($E94:T94,"¶")+COUNTIF($E94:T94,"²")+COUNTIF($E94:T94,"µ")+COUNTIF($E94:T94,1)-1,INDEX(Roadmap!$D:$K,MATCH($E94,Roadmap!$D:$D,0)-1+COUNTIF($E94:T94,"u")+COUNTIF($E94:T94,"t")+COUNTIF($E94:T94,"¶")+COUNTIF($E94:T94,"²")+COUNTIF($E94:T94,"µ")+COUNTIF($E94:T94,1),ColDescriptionCourte)),""),
  "")),"")</f>
        <v/>
      </c>
      <c r="V94" s="40" t="str">
        <f ca="1">IFERROR(IF(AND(
  INDEX(Roadmap!$D:$K,MATCH($E94,Roadmap!$D:$D,0)+COUNTIF($E94:U94,"u")+COUNTIF($E94:U94,"t")+COUNTIF($E94:U94,"¶")+COUNTIF($E94:U94,"²")+COUNTIF($E94:U94,"µ")+COUNTIF($E94:U94,1),ColLivraison)=V$6,
  VLOOKUP($E94,INDIRECT("tri!"&amp; CHAR(64+ C0Col) &amp;":"&amp; CHAR(65+C0Col)),2,FALSE)&gt;COUNTIF($E94:U94,"u")+COUNTIF($E94:U94,"t")+COUNTIF($E94:U94,"¶")+COUNTIF($E94:U94,"²")+COUNTIF($E94:U94,"µ")+COUNTIF($E94:U94,1)),
HYPERLINK("#Roadmap!C"&amp; MATCH($E94,Roadmap!$D:$D,0)+COUNTIF($E94:U94,"u")+COUNTIF($E94:U94,"t"),
     INDEX(Roadmap!$D:$K,MATCH($E94,Roadmap!$D:$D,0)+COUNTIF($E94:U94,"u")+COUNTIF($E94:U94,"t")+COUNTIF($E94:U94,"¶")+COUNTIF($E94:U94,"²")+COUNTIF($E94:U94,"µ")+COUNTIF($E94:U94,1),ColTypeEcheance)),
  IF(LEN(U94)=1,
  IF(LEN(INDEX(Roadmap!$D:$K,MATCH($E94,Roadmap!$D:$D,0)-1+COUNTIF($E94:U94,"u")+COUNTIF($E94:U94,"t")+COUNTIF($E94:U94,"¶")+COUNTIF($E94:U94,"²")+COUNTIF($E94:U94,"µ")+COUNTIF($E94:U94,1),ColDescriptionCourte))&gt;1,
HYPERLINK("#Roadmap!C"&amp; MATCH($E94,Roadmap!$D:$D,0)+COUNTIF($E94:U94,"u")+COUNTIF($E94:U94,"t")+COUNTIF($E94:U94,"¶")+COUNTIF($E94:U94,"²")+COUNTIF($E94:U94,"µ")+COUNTIF($E94:U94,1)-1,INDEX(Roadmap!$D:$K,MATCH($E94,Roadmap!$D:$D,0)-1+COUNTIF($E94:U94,"u")+COUNTIF($E94:U94,"t")+COUNTIF($E94:U94,"¶")+COUNTIF($E94:U94,"²")+COUNTIF($E94:U94,"µ")+COUNTIF($E94:U94,1),ColDescriptionCourte)),""),
  "")),"")</f>
        <v/>
      </c>
      <c r="W94" s="40" t="str">
        <f ca="1">IFERROR(IF(AND(
  INDEX(Roadmap!$D:$K,MATCH($E94,Roadmap!$D:$D,0)+COUNTIF($E94:V94,"u")+COUNTIF($E94:V94,"t")+COUNTIF($E94:V94,"¶")+COUNTIF($E94:V94,"²")+COUNTIF($E94:V94,"µ")+COUNTIF($E94:V94,1),ColLivraison)=W$6,
  VLOOKUP($E94,INDIRECT("tri!"&amp; CHAR(64+ C0Col) &amp;":"&amp; CHAR(65+C0Col)),2,FALSE)&gt;COUNTIF($E94:V94,"u")+COUNTIF($E94:V94,"t")+COUNTIF($E94:V94,"¶")+COUNTIF($E94:V94,"²")+COUNTIF($E94:V94,"µ")+COUNTIF($E94:V94,1)),
HYPERLINK("#Roadmap!C"&amp; MATCH($E94,Roadmap!$D:$D,0)+COUNTIF($E94:V94,"u")+COUNTIF($E94:V94,"t"),
     INDEX(Roadmap!$D:$K,MATCH($E94,Roadmap!$D:$D,0)+COUNTIF($E94:V94,"u")+COUNTIF($E94:V94,"t")+COUNTIF($E94:V94,"¶")+COUNTIF($E94:V94,"²")+COUNTIF($E94:V94,"µ")+COUNTIF($E94:V94,1),ColTypeEcheance)),
  IF(LEN(V94)=1,
  IF(LEN(INDEX(Roadmap!$D:$K,MATCH($E94,Roadmap!$D:$D,0)-1+COUNTIF($E94:V94,"u")+COUNTIF($E94:V94,"t")+COUNTIF($E94:V94,"¶")+COUNTIF($E94:V94,"²")+COUNTIF($E94:V94,"µ")+COUNTIF($E94:V94,1),ColDescriptionCourte))&gt;1,
HYPERLINK("#Roadmap!C"&amp; MATCH($E94,Roadmap!$D:$D,0)+COUNTIF($E94:V94,"u")+COUNTIF($E94:V94,"t")+COUNTIF($E94:V94,"¶")+COUNTIF($E94:V94,"²")+COUNTIF($E94:V94,"µ")+COUNTIF($E94:V94,1)-1,INDEX(Roadmap!$D:$K,MATCH($E94,Roadmap!$D:$D,0)-1+COUNTIF($E94:V94,"u")+COUNTIF($E94:V94,"t")+COUNTIF($E94:V94,"¶")+COUNTIF($E94:V94,"²")+COUNTIF($E94:V94,"µ")+COUNTIF($E94:V94,1),ColDescriptionCourte)),""),
  "")),"")</f>
        <v/>
      </c>
      <c r="X94" s="40" t="str">
        <f ca="1">IFERROR(IF(AND(
  INDEX(Roadmap!$D:$K,MATCH($E94,Roadmap!$D:$D,0)+COUNTIF($E94:W94,"u")+COUNTIF($E94:W94,"t")+COUNTIF($E94:W94,"¶")+COUNTIF($E94:W94,"²")+COUNTIF($E94:W94,"µ")+COUNTIF($E94:W94,1),ColLivraison)=X$6,
  VLOOKUP($E94,INDIRECT("tri!"&amp; CHAR(64+ C0Col) &amp;":"&amp; CHAR(65+C0Col)),2,FALSE)&gt;COUNTIF($E94:W94,"u")+COUNTIF($E94:W94,"t")+COUNTIF($E94:W94,"¶")+COUNTIF($E94:W94,"²")+COUNTIF($E94:W94,"µ")+COUNTIF($E94:W94,1)),
HYPERLINK("#Roadmap!C"&amp; MATCH($E94,Roadmap!$D:$D,0)+COUNTIF($E94:W94,"u")+COUNTIF($E94:W94,"t"),
     INDEX(Roadmap!$D:$K,MATCH($E94,Roadmap!$D:$D,0)+COUNTIF($E94:W94,"u")+COUNTIF($E94:W94,"t")+COUNTIF($E94:W94,"¶")+COUNTIF($E94:W94,"²")+COUNTIF($E94:W94,"µ")+COUNTIF($E94:W94,1),ColTypeEcheance)),
  IF(LEN(W94)=1,
  IF(LEN(INDEX(Roadmap!$D:$K,MATCH($E94,Roadmap!$D:$D,0)-1+COUNTIF($E94:W94,"u")+COUNTIF($E94:W94,"t")+COUNTIF($E94:W94,"¶")+COUNTIF($E94:W94,"²")+COUNTIF($E94:W94,"µ")+COUNTIF($E94:W94,1),ColDescriptionCourte))&gt;1,
HYPERLINK("#Roadmap!C"&amp; MATCH($E94,Roadmap!$D:$D,0)+COUNTIF($E94:W94,"u")+COUNTIF($E94:W94,"t")+COUNTIF($E94:W94,"¶")+COUNTIF($E94:W94,"²")+COUNTIF($E94:W94,"µ")+COUNTIF($E94:W94,1)-1,INDEX(Roadmap!$D:$K,MATCH($E94,Roadmap!$D:$D,0)-1+COUNTIF($E94:W94,"u")+COUNTIF($E94:W94,"t")+COUNTIF($E94:W94,"¶")+COUNTIF($E94:W94,"²")+COUNTIF($E94:W94,"µ")+COUNTIF($E94:W94,1),ColDescriptionCourte)),""),
  "")),"")</f>
        <v/>
      </c>
      <c r="Y94" s="40" t="str">
        <f ca="1">IFERROR(IF(AND(
  INDEX(Roadmap!$D:$K,MATCH($E94,Roadmap!$D:$D,0)+COUNTIF($E94:X94,"u")+COUNTIF($E94:X94,"t")+COUNTIF($E94:X94,"¶")+COUNTIF($E94:X94,"²")+COUNTIF($E94:X94,"µ")+COUNTIF($E94:X94,1),ColLivraison)=Y$6,
  VLOOKUP($E94,INDIRECT("tri!"&amp; CHAR(64+ C0Col) &amp;":"&amp; CHAR(65+C0Col)),2,FALSE)&gt;COUNTIF($E94:X94,"u")+COUNTIF($E94:X94,"t")+COUNTIF($E94:X94,"¶")+COUNTIF($E94:X94,"²")+COUNTIF($E94:X94,"µ")+COUNTIF($E94:X94,1)),
HYPERLINK("#Roadmap!C"&amp; MATCH($E94,Roadmap!$D:$D,0)+COUNTIF($E94:X94,"u")+COUNTIF($E94:X94,"t"),
     INDEX(Roadmap!$D:$K,MATCH($E94,Roadmap!$D:$D,0)+COUNTIF($E94:X94,"u")+COUNTIF($E94:X94,"t")+COUNTIF($E94:X94,"¶")+COUNTIF($E94:X94,"²")+COUNTIF($E94:X94,"µ")+COUNTIF($E94:X94,1),ColTypeEcheance)),
  IF(LEN(X94)=1,
  IF(LEN(INDEX(Roadmap!$D:$K,MATCH($E94,Roadmap!$D:$D,0)-1+COUNTIF($E94:X94,"u")+COUNTIF($E94:X94,"t")+COUNTIF($E94:X94,"¶")+COUNTIF($E94:X94,"²")+COUNTIF($E94:X94,"µ")+COUNTIF($E94:X94,1),ColDescriptionCourte))&gt;1,
HYPERLINK("#Roadmap!C"&amp; MATCH($E94,Roadmap!$D:$D,0)+COUNTIF($E94:X94,"u")+COUNTIF($E94:X94,"t")+COUNTIF($E94:X94,"¶")+COUNTIF($E94:X94,"²")+COUNTIF($E94:X94,"µ")+COUNTIF($E94:X94,1)-1,INDEX(Roadmap!$D:$K,MATCH($E94,Roadmap!$D:$D,0)-1+COUNTIF($E94:X94,"u")+COUNTIF($E94:X94,"t")+COUNTIF($E94:X94,"¶")+COUNTIF($E94:X94,"²")+COUNTIF($E94:X94,"µ")+COUNTIF($E94:X94,1),ColDescriptionCourte)),""),
  "")),"")</f>
        <v/>
      </c>
      <c r="Z94" s="40" t="str">
        <f ca="1">IFERROR(IF(AND(
  INDEX(Roadmap!$D:$K,MATCH($E94,Roadmap!$D:$D,0)+COUNTIF($E94:Y94,"u")+COUNTIF($E94:Y94,"t")+COUNTIF($E94:Y94,"¶")+COUNTIF($E94:Y94,"²")+COUNTIF($E94:Y94,"µ")+COUNTIF($E94:Y94,1),ColLivraison)=Z$6,
  VLOOKUP($E94,INDIRECT("tri!"&amp; CHAR(64+ C0Col) &amp;":"&amp; CHAR(65+C0Col)),2,FALSE)&gt;COUNTIF($E94:Y94,"u")+COUNTIF($E94:Y94,"t")+COUNTIF($E94:Y94,"¶")+COUNTIF($E94:Y94,"²")+COUNTIF($E94:Y94,"µ")+COUNTIF($E94:Y94,1)),
HYPERLINK("#Roadmap!C"&amp; MATCH($E94,Roadmap!$D:$D,0)+COUNTIF($E94:Y94,"u")+COUNTIF($E94:Y94,"t"),
     INDEX(Roadmap!$D:$K,MATCH($E94,Roadmap!$D:$D,0)+COUNTIF($E94:Y94,"u")+COUNTIF($E94:Y94,"t")+COUNTIF($E94:Y94,"¶")+COUNTIF($E94:Y94,"²")+COUNTIF($E94:Y94,"µ")+COUNTIF($E94:Y94,1),ColTypeEcheance)),
  IF(LEN(Y94)=1,
  IF(LEN(INDEX(Roadmap!$D:$K,MATCH($E94,Roadmap!$D:$D,0)-1+COUNTIF($E94:Y94,"u")+COUNTIF($E94:Y94,"t")+COUNTIF($E94:Y94,"¶")+COUNTIF($E94:Y94,"²")+COUNTIF($E94:Y94,"µ")+COUNTIF($E94:Y94,1),ColDescriptionCourte))&gt;1,
HYPERLINK("#Roadmap!C"&amp; MATCH($E94,Roadmap!$D:$D,0)+COUNTIF($E94:Y94,"u")+COUNTIF($E94:Y94,"t")+COUNTIF($E94:Y94,"¶")+COUNTIF($E94:Y94,"²")+COUNTIF($E94:Y94,"µ")+COUNTIF($E94:Y94,1)-1,INDEX(Roadmap!$D:$K,MATCH($E94,Roadmap!$D:$D,0)-1+COUNTIF($E94:Y94,"u")+COUNTIF($E94:Y94,"t")+COUNTIF($E94:Y94,"¶")+COUNTIF($E94:Y94,"²")+COUNTIF($E94:Y94,"µ")+COUNTIF($E94:Y94,1),ColDescriptionCourte)),""),
  "")),"")</f>
        <v/>
      </c>
      <c r="AA94" s="40" t="str">
        <f ca="1">IFERROR(IF(AND(
  INDEX(Roadmap!$D:$K,MATCH($E94,Roadmap!$D:$D,0)+COUNTIF($E94:Z94,"u")+COUNTIF($E94:Z94,"t")+COUNTIF($E94:Z94,"¶")+COUNTIF($E94:Z94,"²")+COUNTIF($E94:Z94,"µ")+COUNTIF($E94:Z94,1),ColLivraison)=AA$6,
  VLOOKUP($E94,INDIRECT("tri!"&amp; CHAR(64+ C0Col) &amp;":"&amp; CHAR(65+C0Col)),2,FALSE)&gt;COUNTIF($E94:Z94,"u")+COUNTIF($E94:Z94,"t")+COUNTIF($E94:Z94,"¶")+COUNTIF($E94:Z94,"²")+COUNTIF($E94:Z94,"µ")+COUNTIF($E94:Z94,1)),
HYPERLINK("#Roadmap!C"&amp; MATCH($E94,Roadmap!$D:$D,0)+COUNTIF($E94:Z94,"u")+COUNTIF($E94:Z94,"t"),
     INDEX(Roadmap!$D:$K,MATCH($E94,Roadmap!$D:$D,0)+COUNTIF($E94:Z94,"u")+COUNTIF($E94:Z94,"t")+COUNTIF($E94:Z94,"¶")+COUNTIF($E94:Z94,"²")+COUNTIF($E94:Z94,"µ")+COUNTIF($E94:Z94,1),ColTypeEcheance)),
  IF(LEN(Z94)=1,
  IF(LEN(INDEX(Roadmap!$D:$K,MATCH($E94,Roadmap!$D:$D,0)-1+COUNTIF($E94:Z94,"u")+COUNTIF($E94:Z94,"t")+COUNTIF($E94:Z94,"¶")+COUNTIF($E94:Z94,"²")+COUNTIF($E94:Z94,"µ")+COUNTIF($E94:Z94,1),ColDescriptionCourte))&gt;1,
HYPERLINK("#Roadmap!C"&amp; MATCH($E94,Roadmap!$D:$D,0)+COUNTIF($E94:Z94,"u")+COUNTIF($E94:Z94,"t")+COUNTIF($E94:Z94,"¶")+COUNTIF($E94:Z94,"²")+COUNTIF($E94:Z94,"µ")+COUNTIF($E94:Z94,1)-1,INDEX(Roadmap!$D:$K,MATCH($E94,Roadmap!$D:$D,0)-1+COUNTIF($E94:Z94,"u")+COUNTIF($E94:Z94,"t")+COUNTIF($E94:Z94,"¶")+COUNTIF($E94:Z94,"²")+COUNTIF($E94:Z94,"µ")+COUNTIF($E94:Z94,1),ColDescriptionCourte)),""),
  "")),"")</f>
        <v/>
      </c>
      <c r="AB94" s="40" t="str">
        <f ca="1">IFERROR(IF(AND(
  INDEX(Roadmap!$D:$K,MATCH($E94,Roadmap!$D:$D,0)+COUNTIF($E94:AA94,"u")+COUNTIF($E94:AA94,"t")+COUNTIF($E94:AA94,"¶")+COUNTIF($E94:AA94,"²")+COUNTIF($E94:AA94,"µ")+COUNTIF($E94:AA94,1),ColLivraison)=AB$6,
  VLOOKUP($E94,INDIRECT("tri!"&amp; CHAR(64+ C0Col) &amp;":"&amp; CHAR(65+C0Col)),2,FALSE)&gt;COUNTIF($E94:AA94,"u")+COUNTIF($E94:AA94,"t")+COUNTIF($E94:AA94,"¶")+COUNTIF($E94:AA94,"²")+COUNTIF($E94:AA94,"µ")+COUNTIF($E94:AA94,1)),
HYPERLINK("#Roadmap!C"&amp; MATCH($E94,Roadmap!$D:$D,0)+COUNTIF($E94:AA94,"u")+COUNTIF($E94:AA94,"t"),
     INDEX(Roadmap!$D:$K,MATCH($E94,Roadmap!$D:$D,0)+COUNTIF($E94:AA94,"u")+COUNTIF($E94:AA94,"t")+COUNTIF($E94:AA94,"¶")+COUNTIF($E94:AA94,"²")+COUNTIF($E94:AA94,"µ")+COUNTIF($E94:AA94,1),ColTypeEcheance)),
  IF(LEN(AA94)=1,
  IF(LEN(INDEX(Roadmap!$D:$K,MATCH($E94,Roadmap!$D:$D,0)-1+COUNTIF($E94:AA94,"u")+COUNTIF($E94:AA94,"t")+COUNTIF($E94:AA94,"¶")+COUNTIF($E94:AA94,"²")+COUNTIF($E94:AA94,"µ")+COUNTIF($E94:AA94,1),ColDescriptionCourte))&gt;1,
HYPERLINK("#Roadmap!C"&amp; MATCH($E94,Roadmap!$D:$D,0)+COUNTIF($E94:AA94,"u")+COUNTIF($E94:AA94,"t")+COUNTIF($E94:AA94,"¶")+COUNTIF($E94:AA94,"²")+COUNTIF($E94:AA94,"µ")+COUNTIF($E94:AA94,1)-1,INDEX(Roadmap!$D:$K,MATCH($E94,Roadmap!$D:$D,0)-1+COUNTIF($E94:AA94,"u")+COUNTIF($E94:AA94,"t")+COUNTIF($E94:AA94,"¶")+COUNTIF($E94:AA94,"²")+COUNTIF($E94:AA94,"µ")+COUNTIF($E94:AA94,1),ColDescriptionCourte)),""),
  "")),"")</f>
        <v/>
      </c>
      <c r="AC94" s="40" t="str">
        <f ca="1">IFERROR(IF(AND(
  INDEX(Roadmap!$D:$K,MATCH($E94,Roadmap!$D:$D,0)+COUNTIF($E94:AB94,"u")+COUNTIF($E94:AB94,"t")+COUNTIF($E94:AB94,"¶")+COUNTIF($E94:AB94,"²")+COUNTIF($E94:AB94,"µ")+COUNTIF($E94:AB94,1),ColLivraison)=AC$6,
  VLOOKUP($E94,INDIRECT("tri!"&amp; CHAR(64+ C0Col) &amp;":"&amp; CHAR(65+C0Col)),2,FALSE)&gt;COUNTIF($E94:AB94,"u")+COUNTIF($E94:AB94,"t")+COUNTIF($E94:AB94,"¶")+COUNTIF($E94:AB94,"²")+COUNTIF($E94:AB94,"µ")+COUNTIF($E94:AB94,1)),
HYPERLINK("#Roadmap!C"&amp; MATCH($E94,Roadmap!$D:$D,0)+COUNTIF($E94:AB94,"u")+COUNTIF($E94:AB94,"t"),
     INDEX(Roadmap!$D:$K,MATCH($E94,Roadmap!$D:$D,0)+COUNTIF($E94:AB94,"u")+COUNTIF($E94:AB94,"t")+COUNTIF($E94:AB94,"¶")+COUNTIF($E94:AB94,"²")+COUNTIF($E94:AB94,"µ")+COUNTIF($E94:AB94,1),ColTypeEcheance)),
  IF(LEN(AB94)=1,
  IF(LEN(INDEX(Roadmap!$D:$K,MATCH($E94,Roadmap!$D:$D,0)-1+COUNTIF($E94:AB94,"u")+COUNTIF($E94:AB94,"t")+COUNTIF($E94:AB94,"¶")+COUNTIF($E94:AB94,"²")+COUNTIF($E94:AB94,"µ")+COUNTIF($E94:AB94,1),ColDescriptionCourte))&gt;1,
HYPERLINK("#Roadmap!C"&amp; MATCH($E94,Roadmap!$D:$D,0)+COUNTIF($E94:AB94,"u")+COUNTIF($E94:AB94,"t")+COUNTIF($E94:AB94,"¶")+COUNTIF($E94:AB94,"²")+COUNTIF($E94:AB94,"µ")+COUNTIF($E94:AB94,1)-1,INDEX(Roadmap!$D:$K,MATCH($E94,Roadmap!$D:$D,0)-1+COUNTIF($E94:AB94,"u")+COUNTIF($E94:AB94,"t")+COUNTIF($E94:AB94,"¶")+COUNTIF($E94:AB94,"²")+COUNTIF($E94:AB94,"µ")+COUNTIF($E94:AB94,1),ColDescriptionCourte)),""),
  "")),"")</f>
        <v/>
      </c>
      <c r="AD94" s="40" t="str">
        <f ca="1">IFERROR(IF(AND(
  INDEX(Roadmap!$D:$K,MATCH($E94,Roadmap!$D:$D,0)+COUNTIF($E94:AC94,"u")+COUNTIF($E94:AC94,"t")+COUNTIF($E94:AC94,"¶")+COUNTIF($E94:AC94,"²")+COUNTIF($E94:AC94,"µ")+COUNTIF($E94:AC94,1),ColLivraison)=AD$6,
  VLOOKUP($E94,INDIRECT("tri!"&amp; CHAR(64+ C0Col) &amp;":"&amp; CHAR(65+C0Col)),2,FALSE)&gt;COUNTIF($E94:AC94,"u")+COUNTIF($E94:AC94,"t")+COUNTIF($E94:AC94,"¶")+COUNTIF($E94:AC94,"²")+COUNTIF($E94:AC94,"µ")+COUNTIF($E94:AC94,1)),
HYPERLINK("#Roadmap!C"&amp; MATCH($E94,Roadmap!$D:$D,0)+COUNTIF($E94:AC94,"u")+COUNTIF($E94:AC94,"t"),
     INDEX(Roadmap!$D:$K,MATCH($E94,Roadmap!$D:$D,0)+COUNTIF($E94:AC94,"u")+COUNTIF($E94:AC94,"t")+COUNTIF($E94:AC94,"¶")+COUNTIF($E94:AC94,"²")+COUNTIF($E94:AC94,"µ")+COUNTIF($E94:AC94,1),ColTypeEcheance)),
  IF(LEN(AC94)=1,
  IF(LEN(INDEX(Roadmap!$D:$K,MATCH($E94,Roadmap!$D:$D,0)-1+COUNTIF($E94:AC94,"u")+COUNTIF($E94:AC94,"t")+COUNTIF($E94:AC94,"¶")+COUNTIF($E94:AC94,"²")+COUNTIF($E94:AC94,"µ")+COUNTIF($E94:AC94,1),ColDescriptionCourte))&gt;1,
HYPERLINK("#Roadmap!C"&amp; MATCH($E94,Roadmap!$D:$D,0)+COUNTIF($E94:AC94,"u")+COUNTIF($E94:AC94,"t")+COUNTIF($E94:AC94,"¶")+COUNTIF($E94:AC94,"²")+COUNTIF($E94:AC94,"µ")+COUNTIF($E94:AC94,1)-1,INDEX(Roadmap!$D:$K,MATCH($E94,Roadmap!$D:$D,0)-1+COUNTIF($E94:AC94,"u")+COUNTIF($E94:AC94,"t")+COUNTIF($E94:AC94,"¶")+COUNTIF($E94:AC94,"²")+COUNTIF($E94:AC94,"µ")+COUNTIF($E94:AC94,1),ColDescriptionCourte)),""),
  "")),"")</f>
        <v/>
      </c>
      <c r="AE94" s="40" t="str">
        <f ca="1">IFERROR(IF(AND(
  INDEX(Roadmap!$D:$K,MATCH($E94,Roadmap!$D:$D,0)+COUNTIF($E94:AD94,"u")+COUNTIF($E94:AD94,"t")+COUNTIF($E94:AD94,"¶")+COUNTIF($E94:AD94,"²")+COUNTIF($E94:AD94,"µ")+COUNTIF($E94:AD94,1),ColLivraison)=AE$6,
  VLOOKUP($E94,INDIRECT("tri!"&amp; CHAR(64+ C0Col) &amp;":"&amp; CHAR(65+C0Col)),2,FALSE)&gt;COUNTIF($E94:AD94,"u")+COUNTIF($E94:AD94,"t")+COUNTIF($E94:AD94,"¶")+COUNTIF($E94:AD94,"²")+COUNTIF($E94:AD94,"µ")+COUNTIF($E94:AD94,1)),
HYPERLINK("#Roadmap!C"&amp; MATCH($E94,Roadmap!$D:$D,0)+COUNTIF($E94:AD94,"u")+COUNTIF($E94:AD94,"t"),
     INDEX(Roadmap!$D:$K,MATCH($E94,Roadmap!$D:$D,0)+COUNTIF($E94:AD94,"u")+COUNTIF($E94:AD94,"t")+COUNTIF($E94:AD94,"¶")+COUNTIF($E94:AD94,"²")+COUNTIF($E94:AD94,"µ")+COUNTIF($E94:AD94,1),ColTypeEcheance)),
  IF(LEN(AD94)=1,
  IF(LEN(INDEX(Roadmap!$D:$K,MATCH($E94,Roadmap!$D:$D,0)-1+COUNTIF($E94:AD94,"u")+COUNTIF($E94:AD94,"t")+COUNTIF($E94:AD94,"¶")+COUNTIF($E94:AD94,"²")+COUNTIF($E94:AD94,"µ")+COUNTIF($E94:AD94,1),ColDescriptionCourte))&gt;1,
HYPERLINK("#Roadmap!C"&amp; MATCH($E94,Roadmap!$D:$D,0)+COUNTIF($E94:AD94,"u")+COUNTIF($E94:AD94,"t")+COUNTIF($E94:AD94,"¶")+COUNTIF($E94:AD94,"²")+COUNTIF($E94:AD94,"µ")+COUNTIF($E94:AD94,1)-1,INDEX(Roadmap!$D:$K,MATCH($E94,Roadmap!$D:$D,0)-1+COUNTIF($E94:AD94,"u")+COUNTIF($E94:AD94,"t")+COUNTIF($E94:AD94,"¶")+COUNTIF($E94:AD94,"²")+COUNTIF($E94:AD94,"µ")+COUNTIF($E94:AD94,1),ColDescriptionCourte)),""),
  "")),"")</f>
        <v/>
      </c>
      <c r="AF94" s="40" t="str">
        <f ca="1">IFERROR(IF(AND(
  INDEX(Roadmap!$D:$K,MATCH($E94,Roadmap!$D:$D,0)+COUNTIF($E94:AE94,"u")+COUNTIF($E94:AE94,"t")+COUNTIF($E94:AE94,"¶")+COUNTIF($E94:AE94,"²")+COUNTIF($E94:AE94,"µ")+COUNTIF($E94:AE94,1),ColLivraison)=AF$6,
  VLOOKUP($E94,INDIRECT("tri!"&amp; CHAR(64+ C0Col) &amp;":"&amp; CHAR(65+C0Col)),2,FALSE)&gt;COUNTIF($E94:AE94,"u")+COUNTIF($E94:AE94,"t")+COUNTIF($E94:AE94,"¶")+COUNTIF($E94:AE94,"²")+COUNTIF($E94:AE94,"µ")+COUNTIF($E94:AE94,1)),
HYPERLINK("#Roadmap!C"&amp; MATCH($E94,Roadmap!$D:$D,0)+COUNTIF($E94:AE94,"u")+COUNTIF($E94:AE94,"t"),
     INDEX(Roadmap!$D:$K,MATCH($E94,Roadmap!$D:$D,0)+COUNTIF($E94:AE94,"u")+COUNTIF($E94:AE94,"t")+COUNTIF($E94:AE94,"¶")+COUNTIF($E94:AE94,"²")+COUNTIF($E94:AE94,"µ")+COUNTIF($E94:AE94,1),ColTypeEcheance)),
  IF(LEN(AE94)=1,
  IF(LEN(INDEX(Roadmap!$D:$K,MATCH($E94,Roadmap!$D:$D,0)-1+COUNTIF($E94:AE94,"u")+COUNTIF($E94:AE94,"t")+COUNTIF($E94:AE94,"¶")+COUNTIF($E94:AE94,"²")+COUNTIF($E94:AE94,"µ")+COUNTIF($E94:AE94,1),ColDescriptionCourte))&gt;1,
HYPERLINK("#Roadmap!C"&amp; MATCH($E94,Roadmap!$D:$D,0)+COUNTIF($E94:AE94,"u")+COUNTIF($E94:AE94,"t")+COUNTIF($E94:AE94,"¶")+COUNTIF($E94:AE94,"²")+COUNTIF($E94:AE94,"µ")+COUNTIF($E94:AE94,1)-1,INDEX(Roadmap!$D:$K,MATCH($E94,Roadmap!$D:$D,0)-1+COUNTIF($E94:AE94,"u")+COUNTIF($E94:AE94,"t")+COUNTIF($E94:AE94,"¶")+COUNTIF($E94:AE94,"²")+COUNTIF($E94:AE94,"µ")+COUNTIF($E94:AE94,1),ColDescriptionCourte)),""),
  "")),"")</f>
        <v/>
      </c>
      <c r="AG94" s="40" t="str">
        <f ca="1">IFERROR(IF(AND(
  INDEX(Roadmap!$D:$K,MATCH($E94,Roadmap!$D:$D,0)+COUNTIF($E94:AF94,"u")+COUNTIF($E94:AF94,"t")+COUNTIF($E94:AF94,"¶")+COUNTIF($E94:AF94,"²")+COUNTIF($E94:AF94,"µ")+COUNTIF($E94:AF94,1),ColLivraison)=AG$6,
  VLOOKUP($E94,INDIRECT("tri!"&amp; CHAR(64+ C0Col) &amp;":"&amp; CHAR(65+C0Col)),2,FALSE)&gt;COUNTIF($E94:AF94,"u")+COUNTIF($E94:AF94,"t")+COUNTIF($E94:AF94,"¶")+COUNTIF($E94:AF94,"²")+COUNTIF($E94:AF94,"µ")+COUNTIF($E94:AF94,1)),
HYPERLINK("#Roadmap!C"&amp; MATCH($E94,Roadmap!$D:$D,0)+COUNTIF($E94:AF94,"u")+COUNTIF($E94:AF94,"t"),
     INDEX(Roadmap!$D:$K,MATCH($E94,Roadmap!$D:$D,0)+COUNTIF($E94:AF94,"u")+COUNTIF($E94:AF94,"t")+COUNTIF($E94:AF94,"¶")+COUNTIF($E94:AF94,"²")+COUNTIF($E94:AF94,"µ")+COUNTIF($E94:AF94,1),ColTypeEcheance)),
  IF(LEN(AF94)=1,
  IF(LEN(INDEX(Roadmap!$D:$K,MATCH($E94,Roadmap!$D:$D,0)-1+COUNTIF($E94:AF94,"u")+COUNTIF($E94:AF94,"t")+COUNTIF($E94:AF94,"¶")+COUNTIF($E94:AF94,"²")+COUNTIF($E94:AF94,"µ")+COUNTIF($E94:AF94,1),ColDescriptionCourte))&gt;1,
HYPERLINK("#Roadmap!C"&amp; MATCH($E94,Roadmap!$D:$D,0)+COUNTIF($E94:AF94,"u")+COUNTIF($E94:AF94,"t")+COUNTIF($E94:AF94,"¶")+COUNTIF($E94:AF94,"²")+COUNTIF($E94:AF94,"µ")+COUNTIF($E94:AF94,1)-1,INDEX(Roadmap!$D:$K,MATCH($E94,Roadmap!$D:$D,0)-1+COUNTIF($E94:AF94,"u")+COUNTIF($E94:AF94,"t")+COUNTIF($E94:AF94,"¶")+COUNTIF($E94:AF94,"²")+COUNTIF($E94:AF94,"µ")+COUNTIF($E94:AF94,1),ColDescriptionCourte)),""),
  "")),"")</f>
        <v/>
      </c>
      <c r="AH94" s="40" t="str">
        <f ca="1">IFERROR(IF(AND(
  INDEX(Roadmap!$D:$K,MATCH($E94,Roadmap!$D:$D,0)+COUNTIF($E94:AG94,"u")+COUNTIF($E94:AG94,"t")+COUNTIF($E94:AG94,1),ColLivraison)=AH$6,
  VLOOKUP($E94,INDIRECT("tri!"&amp; CHAR(64+ C0Col) &amp;":"&amp; CHAR(65+C0Col)),2,FALSE)&gt;COUNTIF($E94:AG94,"u")+COUNTIF($E94:AG94,"t")+COUNTIF($E94:AG94,1)),
HYPERLINK("#Roadmap!C"&amp; MATCH($E94,Roadmap!$D:$D,0)+COUNTIF($E94:AG94,"u")+COUNTIF($E94:AG94,"t"),
     INDEX(Roadmap!$D:$K,MATCH($E94,Roadmap!$D:$D,0)+COUNTIF($E94:AG94,"u")+COUNTIF($E94:AG94,"t")+COUNTIF($E94:AG94,1),ColTypeEcheance)),
  IF(OR(AG94="u",AG94="t",AG94=1),
  IF(LEN(INDEX(Roadmap!$D:$K,MATCH($E94,Roadmap!$D:$D,0)-1+COUNTIF($E94:AG94,"u")+COUNTIF($E94:AG94,"t")+COUNTIF($E94:AG94,1),ColDescriptionCourte))&gt;1,
HYPERLINK("#Roadmap!C"&amp; MATCH($E94,Roadmap!$D:$D,0)+COUNTIF($E94:AG94,"u")+COUNTIF($E94:AG94,"t")+COUNTIF($E94:AG94,1)-1,INDEX(Roadmap!$D:$K,MATCH($E94,Roadmap!$D:$D,0)-1+COUNTIF($E94:AG94,"u")+COUNTIF($E94:AG94,"t")+COUNTIF($E94:AG94,1),ColDescriptionCourte)),""),
  "")),"")</f>
        <v/>
      </c>
      <c r="AI94" s="40"/>
      <c r="AJ94" s="40"/>
      <c r="AK94" s="40"/>
      <c r="AL94" s="40"/>
      <c r="AM94" s="40"/>
    </row>
    <row r="95" spans="4:39" ht="14.1" customHeight="1">
      <c r="D95" s="20" t="str">
        <f t="shared" ca="1" si="29"/>
        <v/>
      </c>
      <c r="E95" s="53" t="str">
        <f t="shared" ca="1" si="30"/>
        <v/>
      </c>
      <c r="F95" s="39" t="str">
        <f ca="1">IFERROR(IF(AND(
  INDEX(Roadmap!$D:$K,MATCH($E95,Roadmap!$D:$D,0)+COUNTIF($E95:E95,"u")+COUNTIF($E95:E95,"t")+COUNTIF($E95:E95,"¶")+COUNTIF($E95:E95,"²")+COUNTIF($E95:E95,"µ")+COUNTIF($E95:E95,1),ColLivraison)=F$6,
  VLOOKUP($E95,INDIRECT("tri!"&amp; CHAR(64+ C0Col) &amp;":"&amp; CHAR(65+C0Col)),2,FALSE)&gt;COUNTIF($E95:E95,"u")+COUNTIF($E95:E95,"t")+COUNTIF($E95:E95,"¶")+COUNTIF($E95:E95,"²")+COUNTIF($E95:E95,"µ")+COUNTIF($E95:E95,1)),
HYPERLINK("#Roadmap!C"&amp; MATCH($E95,Roadmap!$D:$D,0)+COUNTIF($E95:E95,"u")+COUNTIF($E95:E95,"t"),
     INDEX(Roadmap!$D:$K,MATCH($E95,Roadmap!$D:$D,0)+COUNTIF($E95:E95,"u")+COUNTIF($E95:E95,"t")+COUNTIF($E95:E95,"¶")+COUNTIF($E95:E95,"²")+COUNTIF($E95:E95,"µ")+COUNTIF($E95:E95,1),ColTypeEcheance)),
  IF(LEN(E95)=1,
  IF(LEN(INDEX(Roadmap!$D:$K,MATCH($E95,Roadmap!$D:$D,0)-1+COUNTIF($E95:E95,"u")+COUNTIF($E95:E95,"t")+COUNTIF($E95:E95,"¶")+COUNTIF($E95:E95,"²")+COUNTIF($E95:E95,"µ")+COUNTIF($E95:E95,1),ColDescriptionCourte))&gt;1,
HYPERLINK("#Roadmap!C"&amp; MATCH($E95,Roadmap!$D:$D,0)+COUNTIF($E95:E95,"u")+COUNTIF($E95:E95,"t")+COUNTIF($E95:E95,"¶")+COUNTIF($E95:E95,"²")+COUNTIF($E95:E95,"µ")+COUNTIF($E95:E95,1)-1,INDEX(Roadmap!$D:$K,MATCH($E95,Roadmap!$D:$D,0)-1+COUNTIF($E95:E95,"u")+COUNTIF($E95:E95,"t")+COUNTIF($E95:E95,"¶")+COUNTIF($E95:E95,"²")+COUNTIF($E95:E95,"µ")+COUNTIF($E95:E95,1),ColDescriptionCourte)),""),
  "")),"")</f>
        <v/>
      </c>
      <c r="G95" s="40" t="str">
        <f ca="1">IFERROR(IF(AND(
  INDEX(Roadmap!$D:$K,MATCH($E95,Roadmap!$D:$D,0)+COUNTIF($E95:F95,"u")+COUNTIF($E95:F95,"t")+COUNTIF($E95:F95,"¶")+COUNTIF($E95:F95,"²")+COUNTIF($E95:F95,"µ")+COUNTIF($E95:F95,1),ColLivraison)=G$6,
  VLOOKUP($E95,INDIRECT("tri!"&amp; CHAR(64+ C0Col) &amp;":"&amp; CHAR(65+C0Col)),2,FALSE)&gt;COUNTIF($E95:F95,"u")+COUNTIF($E95:F95,"t")+COUNTIF($E95:F95,"¶")+COUNTIF($E95:F95,"²")+COUNTIF($E95:F95,"µ")+COUNTIF($E95:F95,1)),
HYPERLINK("#Roadmap!C"&amp; MATCH($E95,Roadmap!$D:$D,0)+COUNTIF($E95:F95,"u")+COUNTIF($E95:F95,"t"),
     INDEX(Roadmap!$D:$K,MATCH($E95,Roadmap!$D:$D,0)+COUNTIF($E95:F95,"u")+COUNTIF($E95:F95,"t")+COUNTIF($E95:F95,"¶")+COUNTIF($E95:F95,"²")+COUNTIF($E95:F95,"µ")+COUNTIF($E95:F95,1),ColTypeEcheance)),
  IF(LEN(F95)=1,
  IF(LEN(INDEX(Roadmap!$D:$K,MATCH($E95,Roadmap!$D:$D,0)-1+COUNTIF($E95:F95,"u")+COUNTIF($E95:F95,"t")+COUNTIF($E95:F95,"¶")+COUNTIF($E95:F95,"²")+COUNTIF($E95:F95,"µ")+COUNTIF($E95:F95,1),ColDescriptionCourte))&gt;1,
HYPERLINK("#Roadmap!C"&amp; MATCH($E95,Roadmap!$D:$D,0)+COUNTIF($E95:F95,"u")+COUNTIF($E95:F95,"t")+COUNTIF($E95:F95,"¶")+COUNTIF($E95:F95,"²")+COUNTIF($E95:F95,"µ")+COUNTIF($E95:F95,1)-1,INDEX(Roadmap!$D:$K,MATCH($E95,Roadmap!$D:$D,0)-1+COUNTIF($E95:F95,"u")+COUNTIF($E95:F95,"t")+COUNTIF($E95:F95,"¶")+COUNTIF($E95:F95,"²")+COUNTIF($E95:F95,"µ")+COUNTIF($E95:F95,1),ColDescriptionCourte)),""),
  "")),"")</f>
        <v/>
      </c>
      <c r="H95" s="40" t="str">
        <f ca="1">IFERROR(IF(AND(
  INDEX(Roadmap!$D:$K,MATCH($E95,Roadmap!$D:$D,0)+COUNTIF($E95:G95,"u")+COUNTIF($E95:G95,"t")+COUNTIF($E95:G95,"¶")+COUNTIF($E95:G95,"²")+COUNTIF($E95:G95,"µ")+COUNTIF($E95:G95,1),ColLivraison)=H$6,
  VLOOKUP($E95,INDIRECT("tri!"&amp; CHAR(64+ C0Col) &amp;":"&amp; CHAR(65+C0Col)),2,FALSE)&gt;COUNTIF($E95:G95,"u")+COUNTIF($E95:G95,"t")+COUNTIF($E95:G95,"¶")+COUNTIF($E95:G95,"²")+COUNTIF($E95:G95,"µ")+COUNTIF($E95:G95,1)),
HYPERLINK("#Roadmap!C"&amp; MATCH($E95,Roadmap!$D:$D,0)+COUNTIF($E95:G95,"u")+COUNTIF($E95:G95,"t"),
     INDEX(Roadmap!$D:$K,MATCH($E95,Roadmap!$D:$D,0)+COUNTIF($E95:G95,"u")+COUNTIF($E95:G95,"t")+COUNTIF($E95:G95,"¶")+COUNTIF($E95:G95,"²")+COUNTIF($E95:G95,"µ")+COUNTIF($E95:G95,1),ColTypeEcheance)),
  IF(LEN(G95)=1,
  IF(LEN(INDEX(Roadmap!$D:$K,MATCH($E95,Roadmap!$D:$D,0)-1+COUNTIF($E95:G95,"u")+COUNTIF($E95:G95,"t")+COUNTIF($E95:G95,"¶")+COUNTIF($E95:G95,"²")+COUNTIF($E95:G95,"µ")+COUNTIF($E95:G95,1),ColDescriptionCourte))&gt;1,
HYPERLINK("#Roadmap!C"&amp; MATCH($E95,Roadmap!$D:$D,0)+COUNTIF($E95:G95,"u")+COUNTIF($E95:G95,"t")+COUNTIF($E95:G95,"¶")+COUNTIF($E95:G95,"²")+COUNTIF($E95:G95,"µ")+COUNTIF($E95:G95,1)-1,INDEX(Roadmap!$D:$K,MATCH($E95,Roadmap!$D:$D,0)-1+COUNTIF($E95:G95,"u")+COUNTIF($E95:G95,"t")+COUNTIF($E95:G95,"¶")+COUNTIF($E95:G95,"²")+COUNTIF($E95:G95,"µ")+COUNTIF($E95:G95,1),ColDescriptionCourte)),""),
  "")),"")</f>
        <v/>
      </c>
      <c r="I95" s="40" t="str">
        <f ca="1">IFERROR(IF(AND(
  INDEX(Roadmap!$D:$K,MATCH($E95,Roadmap!$D:$D,0)+COUNTIF($E95:H95,"u")+COUNTIF($E95:H95,"t")+COUNTIF($E95:H95,"¶")+COUNTIF($E95:H95,"²")+COUNTIF($E95:H95,"µ")+COUNTIF($E95:H95,1),ColLivraison)=I$6,
  VLOOKUP($E95,INDIRECT("tri!"&amp; CHAR(64+ C0Col) &amp;":"&amp; CHAR(65+C0Col)),2,FALSE)&gt;COUNTIF($E95:H95,"u")+COUNTIF($E95:H95,"t")+COUNTIF($E95:H95,"¶")+COUNTIF($E95:H95,"²")+COUNTIF($E95:H95,"µ")+COUNTIF($E95:H95,1)),
HYPERLINK("#Roadmap!C"&amp; MATCH($E95,Roadmap!$D:$D,0)+COUNTIF($E95:H95,"u")+COUNTIF($E95:H95,"t"),
     INDEX(Roadmap!$D:$K,MATCH($E95,Roadmap!$D:$D,0)+COUNTIF($E95:H95,"u")+COUNTIF($E95:H95,"t")+COUNTIF($E95:H95,"¶")+COUNTIF($E95:H95,"²")+COUNTIF($E95:H95,"µ")+COUNTIF($E95:H95,1),ColTypeEcheance)),
  IF(LEN(H95)=1,
  IF(LEN(INDEX(Roadmap!$D:$K,MATCH($E95,Roadmap!$D:$D,0)-1+COUNTIF($E95:H95,"u")+COUNTIF($E95:H95,"t")+COUNTIF($E95:H95,"¶")+COUNTIF($E95:H95,"²")+COUNTIF($E95:H95,"µ")+COUNTIF($E95:H95,1),ColDescriptionCourte))&gt;1,
HYPERLINK("#Roadmap!C"&amp; MATCH($E95,Roadmap!$D:$D,0)+COUNTIF($E95:H95,"u")+COUNTIF($E95:H95,"t")+COUNTIF($E95:H95,"¶")+COUNTIF($E95:H95,"²")+COUNTIF($E95:H95,"µ")+COUNTIF($E95:H95,1)-1,INDEX(Roadmap!$D:$K,MATCH($E95,Roadmap!$D:$D,0)-1+COUNTIF($E95:H95,"u")+COUNTIF($E95:H95,"t")+COUNTIF($E95:H95,"¶")+COUNTIF($E95:H95,"²")+COUNTIF($E95:H95,"µ")+COUNTIF($E95:H95,1),ColDescriptionCourte)),""),
  "")),"")</f>
        <v/>
      </c>
      <c r="J95" s="40" t="str">
        <f ca="1">IFERROR(IF(AND(
  INDEX(Roadmap!$D:$K,MATCH($E95,Roadmap!$D:$D,0)+COUNTIF($E95:I95,"u")+COUNTIF($E95:I95,"t")+COUNTIF($E95:I95,"¶")+COUNTIF($E95:I95,"²")+COUNTIF($E95:I95,"µ")+COUNTIF($E95:I95,1),ColLivraison)=J$6,
  VLOOKUP($E95,INDIRECT("tri!"&amp; CHAR(64+ C0Col) &amp;":"&amp; CHAR(65+C0Col)),2,FALSE)&gt;COUNTIF($E95:I95,"u")+COUNTIF($E95:I95,"t")+COUNTIF($E95:I95,"¶")+COUNTIF($E95:I95,"²")+COUNTIF($E95:I95,"µ")+COUNTIF($E95:I95,1)),
HYPERLINK("#Roadmap!C"&amp; MATCH($E95,Roadmap!$D:$D,0)+COUNTIF($E95:I95,"u")+COUNTIF($E95:I95,"t"),
     INDEX(Roadmap!$D:$K,MATCH($E95,Roadmap!$D:$D,0)+COUNTIF($E95:I95,"u")+COUNTIF($E95:I95,"t")+COUNTIF($E95:I95,"¶")+COUNTIF($E95:I95,"²")+COUNTIF($E95:I95,"µ")+COUNTIF($E95:I95,1),ColTypeEcheance)),
  IF(LEN(I95)=1,
  IF(LEN(INDEX(Roadmap!$D:$K,MATCH($E95,Roadmap!$D:$D,0)-1+COUNTIF($E95:I95,"u")+COUNTIF($E95:I95,"t")+COUNTIF($E95:I95,"¶")+COUNTIF($E95:I95,"²")+COUNTIF($E95:I95,"µ")+COUNTIF($E95:I95,1),ColDescriptionCourte))&gt;1,
HYPERLINK("#Roadmap!C"&amp; MATCH($E95,Roadmap!$D:$D,0)+COUNTIF($E95:I95,"u")+COUNTIF($E95:I95,"t")+COUNTIF($E95:I95,"¶")+COUNTIF($E95:I95,"²")+COUNTIF($E95:I95,"µ")+COUNTIF($E95:I95,1)-1,INDEX(Roadmap!$D:$K,MATCH($E95,Roadmap!$D:$D,0)-1+COUNTIF($E95:I95,"u")+COUNTIF($E95:I95,"t")+COUNTIF($E95:I95,"¶")+COUNTIF($E95:I95,"²")+COUNTIF($E95:I95,"µ")+COUNTIF($E95:I95,1),ColDescriptionCourte)),""),
  "")),"")</f>
        <v/>
      </c>
      <c r="K95" s="40" t="str">
        <f ca="1">IFERROR(IF(AND(
  INDEX(Roadmap!$D:$K,MATCH($E95,Roadmap!$D:$D,0)+COUNTIF($E95:J95,"u")+COUNTIF($E95:J95,"t")+COUNTIF($E95:J95,"¶")+COUNTIF($E95:J95,"²")+COUNTIF($E95:J95,"µ")+COUNTIF($E95:J95,1),ColLivraison)=K$6,
  VLOOKUP($E95,INDIRECT("tri!"&amp; CHAR(64+ C0Col) &amp;":"&amp; CHAR(65+C0Col)),2,FALSE)&gt;COUNTIF($E95:J95,"u")+COUNTIF($E95:J95,"t")+COUNTIF($E95:J95,"¶")+COUNTIF($E95:J95,"²")+COUNTIF($E95:J95,"µ")+COUNTIF($E95:J95,1)),
HYPERLINK("#Roadmap!C"&amp; MATCH($E95,Roadmap!$D:$D,0)+COUNTIF($E95:J95,"u")+COUNTIF($E95:J95,"t"),
     INDEX(Roadmap!$D:$K,MATCH($E95,Roadmap!$D:$D,0)+COUNTIF($E95:J95,"u")+COUNTIF($E95:J95,"t")+COUNTIF($E95:J95,"¶")+COUNTIF($E95:J95,"²")+COUNTIF($E95:J95,"µ")+COUNTIF($E95:J95,1),ColTypeEcheance)),
  IF(LEN(J95)=1,
  IF(LEN(INDEX(Roadmap!$D:$K,MATCH($E95,Roadmap!$D:$D,0)-1+COUNTIF($E95:J95,"u")+COUNTIF($E95:J95,"t")+COUNTIF($E95:J95,"¶")+COUNTIF($E95:J95,"²")+COUNTIF($E95:J95,"µ")+COUNTIF($E95:J95,1),ColDescriptionCourte))&gt;1,
HYPERLINK("#Roadmap!C"&amp; MATCH($E95,Roadmap!$D:$D,0)+COUNTIF($E95:J95,"u")+COUNTIF($E95:J95,"t")+COUNTIF($E95:J95,"¶")+COUNTIF($E95:J95,"²")+COUNTIF($E95:J95,"µ")+COUNTIF($E95:J95,1)-1,INDEX(Roadmap!$D:$K,MATCH($E95,Roadmap!$D:$D,0)-1+COUNTIF($E95:J95,"u")+COUNTIF($E95:J95,"t")+COUNTIF($E95:J95,"¶")+COUNTIF($E95:J95,"²")+COUNTIF($E95:J95,"µ")+COUNTIF($E95:J95,1),ColDescriptionCourte)),""),
  "")),"")</f>
        <v/>
      </c>
      <c r="L95" s="39" t="str">
        <f ca="1">IFERROR(IF(AND(
  INDEX(Roadmap!$D:$K,MATCH($E95,Roadmap!$D:$D,0)+COUNTIF($E95:K95,"u")+COUNTIF($E95:K95,"t")+COUNTIF($E95:K95,"¶")+COUNTIF($E95:K95,"²")+COUNTIF($E95:K95,"µ")+COUNTIF($E95:K95,1),ColLivraison)=L$6,
  VLOOKUP($E95,INDIRECT("tri!"&amp; CHAR(64+ C0Col) &amp;":"&amp; CHAR(65+C0Col)),2,FALSE)&gt;COUNTIF($E95:K95,"u")+COUNTIF($E95:K95,"t")+COUNTIF($E95:K95,"¶")+COUNTIF($E95:K95,"²")+COUNTIF($E95:K95,"µ")+COUNTIF($E95:K95,1)),
HYPERLINK("#Roadmap!C"&amp; MATCH($E95,Roadmap!$D:$D,0)+COUNTIF($E95:K95,"u")+COUNTIF($E95:K95,"t"),
     INDEX(Roadmap!$D:$K,MATCH($E95,Roadmap!$D:$D,0)+COUNTIF($E95:K95,"u")+COUNTIF($E95:K95,"t")+COUNTIF($E95:K95,"¶")+COUNTIF($E95:K95,"²")+COUNTIF($E95:K95,"µ")+COUNTIF($E95:K95,1),ColTypeEcheance)),
  IF(LEN(K95)=1,
  IF(LEN(INDEX(Roadmap!$D:$K,MATCH($E95,Roadmap!$D:$D,0)-1+COUNTIF($E95:K95,"u")+COUNTIF($E95:K95,"t")+COUNTIF($E95:K95,"¶")+COUNTIF($E95:K95,"²")+COUNTIF($E95:K95,"µ")+COUNTIF($E95:K95,1),ColDescriptionCourte))&gt;1,
HYPERLINK("#Roadmap!C"&amp; MATCH($E95,Roadmap!$D:$D,0)+COUNTIF($E95:K95,"u")+COUNTIF($E95:K95,"t")+COUNTIF($E95:K95,"¶")+COUNTIF($E95:K95,"²")+COUNTIF($E95:K95,"µ")+COUNTIF($E95:K95,1)-1,INDEX(Roadmap!$D:$K,MATCH($E95,Roadmap!$D:$D,0)-1+COUNTIF($E95:K95,"u")+COUNTIF($E95:K95,"t")+COUNTIF($E95:K95,"¶")+COUNTIF($E95:K95,"²")+COUNTIF($E95:K95,"µ")+COUNTIF($E95:K95,1),ColDescriptionCourte)),""),
  "")),"")</f>
        <v/>
      </c>
      <c r="M95" s="40" t="str">
        <f ca="1">IFERROR(IF(AND(
  INDEX(Roadmap!$D:$K,MATCH($E95,Roadmap!$D:$D,0)+COUNTIF($E95:L95,"u")+COUNTIF($E95:L95,"t")+COUNTIF($E95:L95,"¶")+COUNTIF($E95:L95,"²")+COUNTIF($E95:L95,"µ")+COUNTIF($E95:L95,1),ColLivraison)=M$6,
  VLOOKUP($E95,INDIRECT("tri!"&amp; CHAR(64+ C0Col) &amp;":"&amp; CHAR(65+C0Col)),2,FALSE)&gt;COUNTIF($E95:L95,"u")+COUNTIF($E95:L95,"t")+COUNTIF($E95:L95,"¶")+COUNTIF($E95:L95,"²")+COUNTIF($E95:L95,"µ")+COUNTIF($E95:L95,1)),
HYPERLINK("#Roadmap!C"&amp; MATCH($E95,Roadmap!$D:$D,0)+COUNTIF($E95:L95,"u")+COUNTIF($E95:L95,"t"),
     INDEX(Roadmap!$D:$K,MATCH($E95,Roadmap!$D:$D,0)+COUNTIF($E95:L95,"u")+COUNTIF($E95:L95,"t")+COUNTIF($E95:L95,"¶")+COUNTIF($E95:L95,"²")+COUNTIF($E95:L95,"µ")+COUNTIF($E95:L95,1),ColTypeEcheance)),
  IF(LEN(L95)=1,
  IF(LEN(INDEX(Roadmap!$D:$K,MATCH($E95,Roadmap!$D:$D,0)-1+COUNTIF($E95:L95,"u")+COUNTIF($E95:L95,"t")+COUNTIF($E95:L95,"¶")+COUNTIF($E95:L95,"²")+COUNTIF($E95:L95,"µ")+COUNTIF($E95:L95,1),ColDescriptionCourte))&gt;1,
HYPERLINK("#Roadmap!C"&amp; MATCH($E95,Roadmap!$D:$D,0)+COUNTIF($E95:L95,"u")+COUNTIF($E95:L95,"t")+COUNTIF($E95:L95,"¶")+COUNTIF($E95:L95,"²")+COUNTIF($E95:L95,"µ")+COUNTIF($E95:L95,1)-1,INDEX(Roadmap!$D:$K,MATCH($E95,Roadmap!$D:$D,0)-1+COUNTIF($E95:L95,"u")+COUNTIF($E95:L95,"t")+COUNTIF($E95:L95,"¶")+COUNTIF($E95:L95,"²")+COUNTIF($E95:L95,"µ")+COUNTIF($E95:L95,1),ColDescriptionCourte)),""),
  "")),"")</f>
        <v/>
      </c>
      <c r="N95" s="40" t="str">
        <f ca="1">IFERROR(IF(AND(
  INDEX(Roadmap!$D:$K,MATCH($E95,Roadmap!$D:$D,0)+COUNTIF($E95:M95,"u")+COUNTIF($E95:M95,"t")+COUNTIF($E95:M95,"¶")+COUNTIF($E95:M95,"²")+COUNTIF($E95:M95,"µ")+COUNTIF($E95:M95,1),ColLivraison)=N$6,
  VLOOKUP($E95,INDIRECT("tri!"&amp; CHAR(64+ C0Col) &amp;":"&amp; CHAR(65+C0Col)),2,FALSE)&gt;COUNTIF($E95:M95,"u")+COUNTIF($E95:M95,"t")+COUNTIF($E95:M95,"¶")+COUNTIF($E95:M95,"²")+COUNTIF($E95:M95,"µ")+COUNTIF($E95:M95,1)),
HYPERLINK("#Roadmap!C"&amp; MATCH($E95,Roadmap!$D:$D,0)+COUNTIF($E95:M95,"u")+COUNTIF($E95:M95,"t"),
     INDEX(Roadmap!$D:$K,MATCH($E95,Roadmap!$D:$D,0)+COUNTIF($E95:M95,"u")+COUNTIF($E95:M95,"t")+COUNTIF($E95:M95,"¶")+COUNTIF($E95:M95,"²")+COUNTIF($E95:M95,"µ")+COUNTIF($E95:M95,1),ColTypeEcheance)),
  IF(LEN(M95)=1,
  IF(LEN(INDEX(Roadmap!$D:$K,MATCH($E95,Roadmap!$D:$D,0)-1+COUNTIF($E95:M95,"u")+COUNTIF($E95:M95,"t")+COUNTIF($E95:M95,"¶")+COUNTIF($E95:M95,"²")+COUNTIF($E95:M95,"µ")+COUNTIF($E95:M95,1),ColDescriptionCourte))&gt;1,
HYPERLINK("#Roadmap!C"&amp; MATCH($E95,Roadmap!$D:$D,0)+COUNTIF($E95:M95,"u")+COUNTIF($E95:M95,"t")+COUNTIF($E95:M95,"¶")+COUNTIF($E95:M95,"²")+COUNTIF($E95:M95,"µ")+COUNTIF($E95:M95,1)-1,INDEX(Roadmap!$D:$K,MATCH($E95,Roadmap!$D:$D,0)-1+COUNTIF($E95:M95,"u")+COUNTIF($E95:M95,"t")+COUNTIF($E95:M95,"¶")+COUNTIF($E95:M95,"²")+COUNTIF($E95:M95,"µ")+COUNTIF($E95:M95,1),ColDescriptionCourte)),""),
  "")),"")</f>
        <v/>
      </c>
      <c r="O95" s="40" t="str">
        <f ca="1">IFERROR(IF(AND(
  INDEX(Roadmap!$D:$K,MATCH($E95,Roadmap!$D:$D,0)+COUNTIF($E95:N95,"u")+COUNTIF($E95:N95,"t")+COUNTIF($E95:N95,"¶")+COUNTIF($E95:N95,"²")+COUNTIF($E95:N95,"µ")+COUNTIF($E95:N95,1),ColLivraison)=O$6,
  VLOOKUP($E95,INDIRECT("tri!"&amp; CHAR(64+ C0Col) &amp;":"&amp; CHAR(65+C0Col)),2,FALSE)&gt;COUNTIF($E95:N95,"u")+COUNTIF($E95:N95,"t")+COUNTIF($E95:N95,"¶")+COUNTIF($E95:N95,"²")+COUNTIF($E95:N95,"µ")+COUNTIF($E95:N95,1)),
HYPERLINK("#Roadmap!C"&amp; MATCH($E95,Roadmap!$D:$D,0)+COUNTIF($E95:N95,"u")+COUNTIF($E95:N95,"t"),
     INDEX(Roadmap!$D:$K,MATCH($E95,Roadmap!$D:$D,0)+COUNTIF($E95:N95,"u")+COUNTIF($E95:N95,"t")+COUNTIF($E95:N95,"¶")+COUNTIF($E95:N95,"²")+COUNTIF($E95:N95,"µ")+COUNTIF($E95:N95,1),ColTypeEcheance)),
  IF(LEN(N95)=1,
  IF(LEN(INDEX(Roadmap!$D:$K,MATCH($E95,Roadmap!$D:$D,0)-1+COUNTIF($E95:N95,"u")+COUNTIF($E95:N95,"t")+COUNTIF($E95:N95,"¶")+COUNTIF($E95:N95,"²")+COUNTIF($E95:N95,"µ")+COUNTIF($E95:N95,1),ColDescriptionCourte))&gt;1,
HYPERLINK("#Roadmap!C"&amp; MATCH($E95,Roadmap!$D:$D,0)+COUNTIF($E95:N95,"u")+COUNTIF($E95:N95,"t")+COUNTIF($E95:N95,"¶")+COUNTIF($E95:N95,"²")+COUNTIF($E95:N95,"µ")+COUNTIF($E95:N95,1)-1,INDEX(Roadmap!$D:$K,MATCH($E95,Roadmap!$D:$D,0)-1+COUNTIF($E95:N95,"u")+COUNTIF($E95:N95,"t")+COUNTIF($E95:N95,"¶")+COUNTIF($E95:N95,"²")+COUNTIF($E95:N95,"µ")+COUNTIF($E95:N95,1),ColDescriptionCourte)),""),
  "")),"")</f>
        <v/>
      </c>
      <c r="P95" s="40" t="str">
        <f ca="1">IFERROR(IF(AND(
  INDEX(Roadmap!$D:$K,MATCH($E95,Roadmap!$D:$D,0)+COUNTIF($E95:O95,"u")+COUNTIF($E95:O95,"t")+COUNTIF($E95:O95,"¶")+COUNTIF($E95:O95,"²")+COUNTIF($E95:O95,"µ")+COUNTIF($E95:O95,1),ColLivraison)=P$6,
  VLOOKUP($E95,INDIRECT("tri!"&amp; CHAR(64+ C0Col) &amp;":"&amp; CHAR(65+C0Col)),2,FALSE)&gt;COUNTIF($E95:O95,"u")+COUNTIF($E95:O95,"t")+COUNTIF($E95:O95,"¶")+COUNTIF($E95:O95,"²")+COUNTIF($E95:O95,"µ")+COUNTIF($E95:O95,1)),
HYPERLINK("#Roadmap!C"&amp; MATCH($E95,Roadmap!$D:$D,0)+COUNTIF($E95:O95,"u")+COUNTIF($E95:O95,"t"),
     INDEX(Roadmap!$D:$K,MATCH($E95,Roadmap!$D:$D,0)+COUNTIF($E95:O95,"u")+COUNTIF($E95:O95,"t")+COUNTIF($E95:O95,"¶")+COUNTIF($E95:O95,"²")+COUNTIF($E95:O95,"µ")+COUNTIF($E95:O95,1),ColTypeEcheance)),
  IF(LEN(O95)=1,
  IF(LEN(INDEX(Roadmap!$D:$K,MATCH($E95,Roadmap!$D:$D,0)-1+COUNTIF($E95:O95,"u")+COUNTIF($E95:O95,"t")+COUNTIF($E95:O95,"¶")+COUNTIF($E95:O95,"²")+COUNTIF($E95:O95,"µ")+COUNTIF($E95:O95,1),ColDescriptionCourte))&gt;1,
HYPERLINK("#Roadmap!C"&amp; MATCH($E95,Roadmap!$D:$D,0)+COUNTIF($E95:O95,"u")+COUNTIF($E95:O95,"t")+COUNTIF($E95:O95,"¶")+COUNTIF($E95:O95,"²")+COUNTIF($E95:O95,"µ")+COUNTIF($E95:O95,1)-1,INDEX(Roadmap!$D:$K,MATCH($E95,Roadmap!$D:$D,0)-1+COUNTIF($E95:O95,"u")+COUNTIF($E95:O95,"t")+COUNTIF($E95:O95,"¶")+COUNTIF($E95:O95,"²")+COUNTIF($E95:O95,"µ")+COUNTIF($E95:O95,1),ColDescriptionCourte)),""),
  "")),"")</f>
        <v/>
      </c>
      <c r="Q95" s="40" t="str">
        <f ca="1">IFERROR(IF(AND(
  INDEX(Roadmap!$D:$K,MATCH($E95,Roadmap!$D:$D,0)+COUNTIF($E95:P95,"u")+COUNTIF($E95:P95,"t")+COUNTIF($E95:P95,"¶")+COUNTIF($E95:P95,"²")+COUNTIF($E95:P95,"µ")+COUNTIF($E95:P95,1),ColLivraison)=Q$6,
  VLOOKUP($E95,INDIRECT("tri!"&amp; CHAR(64+ C0Col) &amp;":"&amp; CHAR(65+C0Col)),2,FALSE)&gt;COUNTIF($E95:P95,"u")+COUNTIF($E95:P95,"t")+COUNTIF($E95:P95,"¶")+COUNTIF($E95:P95,"²")+COUNTIF($E95:P95,"µ")+COUNTIF($E95:P95,1)),
HYPERLINK("#Roadmap!C"&amp; MATCH($E95,Roadmap!$D:$D,0)+COUNTIF($E95:P95,"u")+COUNTIF($E95:P95,"t"),
     INDEX(Roadmap!$D:$K,MATCH($E95,Roadmap!$D:$D,0)+COUNTIF($E95:P95,"u")+COUNTIF($E95:P95,"t")+COUNTIF($E95:P95,"¶")+COUNTIF($E95:P95,"²")+COUNTIF($E95:P95,"µ")+COUNTIF($E95:P95,1),ColTypeEcheance)),
  IF(LEN(P95)=1,
  IF(LEN(INDEX(Roadmap!$D:$K,MATCH($E95,Roadmap!$D:$D,0)-1+COUNTIF($E95:P95,"u")+COUNTIF($E95:P95,"t")+COUNTIF($E95:P95,"¶")+COUNTIF($E95:P95,"²")+COUNTIF($E95:P95,"µ")+COUNTIF($E95:P95,1),ColDescriptionCourte))&gt;1,
HYPERLINK("#Roadmap!C"&amp; MATCH($E95,Roadmap!$D:$D,0)+COUNTIF($E95:P95,"u")+COUNTIF($E95:P95,"t")+COUNTIF($E95:P95,"¶")+COUNTIF($E95:P95,"²")+COUNTIF($E95:P95,"µ")+COUNTIF($E95:P95,1)-1,INDEX(Roadmap!$D:$K,MATCH($E95,Roadmap!$D:$D,0)-1+COUNTIF($E95:P95,"u")+COUNTIF($E95:P95,"t")+COUNTIF($E95:P95,"¶")+COUNTIF($E95:P95,"²")+COUNTIF($E95:P95,"µ")+COUNTIF($E95:P95,1),ColDescriptionCourte)),""),
  "")),"")</f>
        <v/>
      </c>
      <c r="R95" s="40" t="str">
        <f ca="1">IFERROR(IF(AND(
  INDEX(Roadmap!$D:$K,MATCH($E95,Roadmap!$D:$D,0)+COUNTIF($E95:Q95,"u")+COUNTIF($E95:Q95,"t")+COUNTIF($E95:Q95,"¶")+COUNTIF($E95:Q95,"²")+COUNTIF($E95:Q95,"µ")+COUNTIF($E95:Q95,1),ColLivraison)=R$6,
  VLOOKUP($E95,INDIRECT("tri!"&amp; CHAR(64+ C0Col) &amp;":"&amp; CHAR(65+C0Col)),2,FALSE)&gt;COUNTIF($E95:Q95,"u")+COUNTIF($E95:Q95,"t")+COUNTIF($E95:Q95,"¶")+COUNTIF($E95:Q95,"²")+COUNTIF($E95:Q95,"µ")+COUNTIF($E95:Q95,1)),
HYPERLINK("#Roadmap!C"&amp; MATCH($E95,Roadmap!$D:$D,0)+COUNTIF($E95:Q95,"u")+COUNTIF($E95:Q95,"t"),
     INDEX(Roadmap!$D:$K,MATCH($E95,Roadmap!$D:$D,0)+COUNTIF($E95:Q95,"u")+COUNTIF($E95:Q95,"t")+COUNTIF($E95:Q95,"¶")+COUNTIF($E95:Q95,"²")+COUNTIF($E95:Q95,"µ")+COUNTIF($E95:Q95,1),ColTypeEcheance)),
  IF(LEN(Q95)=1,
  IF(LEN(INDEX(Roadmap!$D:$K,MATCH($E95,Roadmap!$D:$D,0)-1+COUNTIF($E95:Q95,"u")+COUNTIF($E95:Q95,"t")+COUNTIF($E95:Q95,"¶")+COUNTIF($E95:Q95,"²")+COUNTIF($E95:Q95,"µ")+COUNTIF($E95:Q95,1),ColDescriptionCourte))&gt;1,
HYPERLINK("#Roadmap!C"&amp; MATCH($E95,Roadmap!$D:$D,0)+COUNTIF($E95:Q95,"u")+COUNTIF($E95:Q95,"t")+COUNTIF($E95:Q95,"¶")+COUNTIF($E95:Q95,"²")+COUNTIF($E95:Q95,"µ")+COUNTIF($E95:Q95,1)-1,INDEX(Roadmap!$D:$K,MATCH($E95,Roadmap!$D:$D,0)-1+COUNTIF($E95:Q95,"u")+COUNTIF($E95:Q95,"t")+COUNTIF($E95:Q95,"¶")+COUNTIF($E95:Q95,"²")+COUNTIF($E95:Q95,"µ")+COUNTIF($E95:Q95,1),ColDescriptionCourte)),""),
  "")),"")</f>
        <v/>
      </c>
      <c r="S95" s="40" t="str">
        <f ca="1">IFERROR(IF(AND(
  INDEX(Roadmap!$D:$K,MATCH($E95,Roadmap!$D:$D,0)+COUNTIF($E95:R95,"u")+COUNTIF($E95:R95,"t")+COUNTIF($E95:R95,"¶")+COUNTIF($E95:R95,"²")+COUNTIF($E95:R95,"µ")+COUNTIF($E95:R95,1),ColLivraison)=S$6,
  VLOOKUP($E95,INDIRECT("tri!"&amp; CHAR(64+ C0Col) &amp;":"&amp; CHAR(65+C0Col)),2,FALSE)&gt;COUNTIF($E95:R95,"u")+COUNTIF($E95:R95,"t")+COUNTIF($E95:R95,"¶")+COUNTIF($E95:R95,"²")+COUNTIF($E95:R95,"µ")+COUNTIF($E95:R95,1)),
HYPERLINK("#Roadmap!C"&amp; MATCH($E95,Roadmap!$D:$D,0)+COUNTIF($E95:R95,"u")+COUNTIF($E95:R95,"t"),
     INDEX(Roadmap!$D:$K,MATCH($E95,Roadmap!$D:$D,0)+COUNTIF($E95:R95,"u")+COUNTIF($E95:R95,"t")+COUNTIF($E95:R95,"¶")+COUNTIF($E95:R95,"²")+COUNTIF($E95:R95,"µ")+COUNTIF($E95:R95,1),ColTypeEcheance)),
  IF(LEN(R95)=1,
  IF(LEN(INDEX(Roadmap!$D:$K,MATCH($E95,Roadmap!$D:$D,0)-1+COUNTIF($E95:R95,"u")+COUNTIF($E95:R95,"t")+COUNTIF($E95:R95,"¶")+COUNTIF($E95:R95,"²")+COUNTIF($E95:R95,"µ")+COUNTIF($E95:R95,1),ColDescriptionCourte))&gt;1,
HYPERLINK("#Roadmap!C"&amp; MATCH($E95,Roadmap!$D:$D,0)+COUNTIF($E95:R95,"u")+COUNTIF($E95:R95,"t")+COUNTIF($E95:R95,"¶")+COUNTIF($E95:R95,"²")+COUNTIF($E95:R95,"µ")+COUNTIF($E95:R95,1)-1,INDEX(Roadmap!$D:$K,MATCH($E95,Roadmap!$D:$D,0)-1+COUNTIF($E95:R95,"u")+COUNTIF($E95:R95,"t")+COUNTIF($E95:R95,"¶")+COUNTIF($E95:R95,"²")+COUNTIF($E95:R95,"µ")+COUNTIF($E95:R95,1),ColDescriptionCourte)),""),
  "")),"")</f>
        <v/>
      </c>
      <c r="T95" s="40" t="str">
        <f ca="1">IFERROR(IF(AND(
  INDEX(Roadmap!$D:$K,MATCH($E95,Roadmap!$D:$D,0)+COUNTIF($E95:S95,"u")+COUNTIF($E95:S95,"t")+COUNTIF($E95:S95,"¶")+COUNTIF($E95:S95,"²")+COUNTIF($E95:S95,"µ")+COUNTIF($E95:S95,1),ColLivraison)=T$6,
  VLOOKUP($E95,INDIRECT("tri!"&amp; CHAR(64+ C0Col) &amp;":"&amp; CHAR(65+C0Col)),2,FALSE)&gt;COUNTIF($E95:S95,"u")+COUNTIF($E95:S95,"t")+COUNTIF($E95:S95,"¶")+COUNTIF($E95:S95,"²")+COUNTIF($E95:S95,"µ")+COUNTIF($E95:S95,1)),
HYPERLINK("#Roadmap!C"&amp; MATCH($E95,Roadmap!$D:$D,0)+COUNTIF($E95:S95,"u")+COUNTIF($E95:S95,"t"),
     INDEX(Roadmap!$D:$K,MATCH($E95,Roadmap!$D:$D,0)+COUNTIF($E95:S95,"u")+COUNTIF($E95:S95,"t")+COUNTIF($E95:S95,"¶")+COUNTIF($E95:S95,"²")+COUNTIF($E95:S95,"µ")+COUNTIF($E95:S95,1),ColTypeEcheance)),
  IF(LEN(S95)=1,
  IF(LEN(INDEX(Roadmap!$D:$K,MATCH($E95,Roadmap!$D:$D,0)-1+COUNTIF($E95:S95,"u")+COUNTIF($E95:S95,"t")+COUNTIF($E95:S95,"¶")+COUNTIF($E95:S95,"²")+COUNTIF($E95:S95,"µ")+COUNTIF($E95:S95,1),ColDescriptionCourte))&gt;1,
HYPERLINK("#Roadmap!C"&amp; MATCH($E95,Roadmap!$D:$D,0)+COUNTIF($E95:S95,"u")+COUNTIF($E95:S95,"t")+COUNTIF($E95:S95,"¶")+COUNTIF($E95:S95,"²")+COUNTIF($E95:S95,"µ")+COUNTIF($E95:S95,1)-1,INDEX(Roadmap!$D:$K,MATCH($E95,Roadmap!$D:$D,0)-1+COUNTIF($E95:S95,"u")+COUNTIF($E95:S95,"t")+COUNTIF($E95:S95,"¶")+COUNTIF($E95:S95,"²")+COUNTIF($E95:S95,"µ")+COUNTIF($E95:S95,1),ColDescriptionCourte)),""),
  "")),"")</f>
        <v/>
      </c>
      <c r="U95" s="40" t="str">
        <f ca="1">IFERROR(IF(AND(
  INDEX(Roadmap!$D:$K,MATCH($E95,Roadmap!$D:$D,0)+COUNTIF($E95:T95,"u")+COUNTIF($E95:T95,"t")+COUNTIF($E95:T95,"¶")+COUNTIF($E95:T95,"²")+COUNTIF($E95:T95,"µ")+COUNTIF($E95:T95,1),ColLivraison)=U$6,
  VLOOKUP($E95,INDIRECT("tri!"&amp; CHAR(64+ C0Col) &amp;":"&amp; CHAR(65+C0Col)),2,FALSE)&gt;COUNTIF($E95:T95,"u")+COUNTIF($E95:T95,"t")+COUNTIF($E95:T95,"¶")+COUNTIF($E95:T95,"²")+COUNTIF($E95:T95,"µ")+COUNTIF($E95:T95,1)),
HYPERLINK("#Roadmap!C"&amp; MATCH($E95,Roadmap!$D:$D,0)+COUNTIF($E95:T95,"u")+COUNTIF($E95:T95,"t"),
     INDEX(Roadmap!$D:$K,MATCH($E95,Roadmap!$D:$D,0)+COUNTIF($E95:T95,"u")+COUNTIF($E95:T95,"t")+COUNTIF($E95:T95,"¶")+COUNTIF($E95:T95,"²")+COUNTIF($E95:T95,"µ")+COUNTIF($E95:T95,1),ColTypeEcheance)),
  IF(LEN(T95)=1,
  IF(LEN(INDEX(Roadmap!$D:$K,MATCH($E95,Roadmap!$D:$D,0)-1+COUNTIF($E95:T95,"u")+COUNTIF($E95:T95,"t")+COUNTIF($E95:T95,"¶")+COUNTIF($E95:T95,"²")+COUNTIF($E95:T95,"µ")+COUNTIF($E95:T95,1),ColDescriptionCourte))&gt;1,
HYPERLINK("#Roadmap!C"&amp; MATCH($E95,Roadmap!$D:$D,0)+COUNTIF($E95:T95,"u")+COUNTIF($E95:T95,"t")+COUNTIF($E95:T95,"¶")+COUNTIF($E95:T95,"²")+COUNTIF($E95:T95,"µ")+COUNTIF($E95:T95,1)-1,INDEX(Roadmap!$D:$K,MATCH($E95,Roadmap!$D:$D,0)-1+COUNTIF($E95:T95,"u")+COUNTIF($E95:T95,"t")+COUNTIF($E95:T95,"¶")+COUNTIF($E95:T95,"²")+COUNTIF($E95:T95,"µ")+COUNTIF($E95:T95,1),ColDescriptionCourte)),""),
  "")),"")</f>
        <v/>
      </c>
      <c r="V95" s="40" t="str">
        <f ca="1">IFERROR(IF(AND(
  INDEX(Roadmap!$D:$K,MATCH($E95,Roadmap!$D:$D,0)+COUNTIF($E95:U95,"u")+COUNTIF($E95:U95,"t")+COUNTIF($E95:U95,"¶")+COUNTIF($E95:U95,"²")+COUNTIF($E95:U95,"µ")+COUNTIF($E95:U95,1),ColLivraison)=V$6,
  VLOOKUP($E95,INDIRECT("tri!"&amp; CHAR(64+ C0Col) &amp;":"&amp; CHAR(65+C0Col)),2,FALSE)&gt;COUNTIF($E95:U95,"u")+COUNTIF($E95:U95,"t")+COUNTIF($E95:U95,"¶")+COUNTIF($E95:U95,"²")+COUNTIF($E95:U95,"µ")+COUNTIF($E95:U95,1)),
HYPERLINK("#Roadmap!C"&amp; MATCH($E95,Roadmap!$D:$D,0)+COUNTIF($E95:U95,"u")+COUNTIF($E95:U95,"t"),
     INDEX(Roadmap!$D:$K,MATCH($E95,Roadmap!$D:$D,0)+COUNTIF($E95:U95,"u")+COUNTIF($E95:U95,"t")+COUNTIF($E95:U95,"¶")+COUNTIF($E95:U95,"²")+COUNTIF($E95:U95,"µ")+COUNTIF($E95:U95,1),ColTypeEcheance)),
  IF(LEN(U95)=1,
  IF(LEN(INDEX(Roadmap!$D:$K,MATCH($E95,Roadmap!$D:$D,0)-1+COUNTIF($E95:U95,"u")+COUNTIF($E95:U95,"t")+COUNTIF($E95:U95,"¶")+COUNTIF($E95:U95,"²")+COUNTIF($E95:U95,"µ")+COUNTIF($E95:U95,1),ColDescriptionCourte))&gt;1,
HYPERLINK("#Roadmap!C"&amp; MATCH($E95,Roadmap!$D:$D,0)+COUNTIF($E95:U95,"u")+COUNTIF($E95:U95,"t")+COUNTIF($E95:U95,"¶")+COUNTIF($E95:U95,"²")+COUNTIF($E95:U95,"µ")+COUNTIF($E95:U95,1)-1,INDEX(Roadmap!$D:$K,MATCH($E95,Roadmap!$D:$D,0)-1+COUNTIF($E95:U95,"u")+COUNTIF($E95:U95,"t")+COUNTIF($E95:U95,"¶")+COUNTIF($E95:U95,"²")+COUNTIF($E95:U95,"µ")+COUNTIF($E95:U95,1),ColDescriptionCourte)),""),
  "")),"")</f>
        <v/>
      </c>
      <c r="W95" s="40" t="str">
        <f ca="1">IFERROR(IF(AND(
  INDEX(Roadmap!$D:$K,MATCH($E95,Roadmap!$D:$D,0)+COUNTIF($E95:V95,"u")+COUNTIF($E95:V95,"t")+COUNTIF($E95:V95,"¶")+COUNTIF($E95:V95,"²")+COUNTIF($E95:V95,"µ")+COUNTIF($E95:V95,1),ColLivraison)=W$6,
  VLOOKUP($E95,INDIRECT("tri!"&amp; CHAR(64+ C0Col) &amp;":"&amp; CHAR(65+C0Col)),2,FALSE)&gt;COUNTIF($E95:V95,"u")+COUNTIF($E95:V95,"t")+COUNTIF($E95:V95,"¶")+COUNTIF($E95:V95,"²")+COUNTIF($E95:V95,"µ")+COUNTIF($E95:V95,1)),
HYPERLINK("#Roadmap!C"&amp; MATCH($E95,Roadmap!$D:$D,0)+COUNTIF($E95:V95,"u")+COUNTIF($E95:V95,"t"),
     INDEX(Roadmap!$D:$K,MATCH($E95,Roadmap!$D:$D,0)+COUNTIF($E95:V95,"u")+COUNTIF($E95:V95,"t")+COUNTIF($E95:V95,"¶")+COUNTIF($E95:V95,"²")+COUNTIF($E95:V95,"µ")+COUNTIF($E95:V95,1),ColTypeEcheance)),
  IF(LEN(V95)=1,
  IF(LEN(INDEX(Roadmap!$D:$K,MATCH($E95,Roadmap!$D:$D,0)-1+COUNTIF($E95:V95,"u")+COUNTIF($E95:V95,"t")+COUNTIF($E95:V95,"¶")+COUNTIF($E95:V95,"²")+COUNTIF($E95:V95,"µ")+COUNTIF($E95:V95,1),ColDescriptionCourte))&gt;1,
HYPERLINK("#Roadmap!C"&amp; MATCH($E95,Roadmap!$D:$D,0)+COUNTIF($E95:V95,"u")+COUNTIF($E95:V95,"t")+COUNTIF($E95:V95,"¶")+COUNTIF($E95:V95,"²")+COUNTIF($E95:V95,"µ")+COUNTIF($E95:V95,1)-1,INDEX(Roadmap!$D:$K,MATCH($E95,Roadmap!$D:$D,0)-1+COUNTIF($E95:V95,"u")+COUNTIF($E95:V95,"t")+COUNTIF($E95:V95,"¶")+COUNTIF($E95:V95,"²")+COUNTIF($E95:V95,"µ")+COUNTIF($E95:V95,1),ColDescriptionCourte)),""),
  "")),"")</f>
        <v/>
      </c>
      <c r="X95" s="40" t="str">
        <f ca="1">IFERROR(IF(AND(
  INDEX(Roadmap!$D:$K,MATCH($E95,Roadmap!$D:$D,0)+COUNTIF($E95:W95,"u")+COUNTIF($E95:W95,"t")+COUNTIF($E95:W95,"¶")+COUNTIF($E95:W95,"²")+COUNTIF($E95:W95,"µ")+COUNTIF($E95:W95,1),ColLivraison)=X$6,
  VLOOKUP($E95,INDIRECT("tri!"&amp; CHAR(64+ C0Col) &amp;":"&amp; CHAR(65+C0Col)),2,FALSE)&gt;COUNTIF($E95:W95,"u")+COUNTIF($E95:W95,"t")+COUNTIF($E95:W95,"¶")+COUNTIF($E95:W95,"²")+COUNTIF($E95:W95,"µ")+COUNTIF($E95:W95,1)),
HYPERLINK("#Roadmap!C"&amp; MATCH($E95,Roadmap!$D:$D,0)+COUNTIF($E95:W95,"u")+COUNTIF($E95:W95,"t"),
     INDEX(Roadmap!$D:$K,MATCH($E95,Roadmap!$D:$D,0)+COUNTIF($E95:W95,"u")+COUNTIF($E95:W95,"t")+COUNTIF($E95:W95,"¶")+COUNTIF($E95:W95,"²")+COUNTIF($E95:W95,"µ")+COUNTIF($E95:W95,1),ColTypeEcheance)),
  IF(LEN(W95)=1,
  IF(LEN(INDEX(Roadmap!$D:$K,MATCH($E95,Roadmap!$D:$D,0)-1+COUNTIF($E95:W95,"u")+COUNTIF($E95:W95,"t")+COUNTIF($E95:W95,"¶")+COUNTIF($E95:W95,"²")+COUNTIF($E95:W95,"µ")+COUNTIF($E95:W95,1),ColDescriptionCourte))&gt;1,
HYPERLINK("#Roadmap!C"&amp; MATCH($E95,Roadmap!$D:$D,0)+COUNTIF($E95:W95,"u")+COUNTIF($E95:W95,"t")+COUNTIF($E95:W95,"¶")+COUNTIF($E95:W95,"²")+COUNTIF($E95:W95,"µ")+COUNTIF($E95:W95,1)-1,INDEX(Roadmap!$D:$K,MATCH($E95,Roadmap!$D:$D,0)-1+COUNTIF($E95:W95,"u")+COUNTIF($E95:W95,"t")+COUNTIF($E95:W95,"¶")+COUNTIF($E95:W95,"²")+COUNTIF($E95:W95,"µ")+COUNTIF($E95:W95,1),ColDescriptionCourte)),""),
  "")),"")</f>
        <v/>
      </c>
      <c r="Y95" s="40" t="str">
        <f ca="1">IFERROR(IF(AND(
  INDEX(Roadmap!$D:$K,MATCH($E95,Roadmap!$D:$D,0)+COUNTIF($E95:X95,"u")+COUNTIF($E95:X95,"t")+COUNTIF($E95:X95,"¶")+COUNTIF($E95:X95,"²")+COUNTIF($E95:X95,"µ")+COUNTIF($E95:X95,1),ColLivraison)=Y$6,
  VLOOKUP($E95,INDIRECT("tri!"&amp; CHAR(64+ C0Col) &amp;":"&amp; CHAR(65+C0Col)),2,FALSE)&gt;COUNTIF($E95:X95,"u")+COUNTIF($E95:X95,"t")+COUNTIF($E95:X95,"¶")+COUNTIF($E95:X95,"²")+COUNTIF($E95:X95,"µ")+COUNTIF($E95:X95,1)),
HYPERLINK("#Roadmap!C"&amp; MATCH($E95,Roadmap!$D:$D,0)+COUNTIF($E95:X95,"u")+COUNTIF($E95:X95,"t"),
     INDEX(Roadmap!$D:$K,MATCH($E95,Roadmap!$D:$D,0)+COUNTIF($E95:X95,"u")+COUNTIF($E95:X95,"t")+COUNTIF($E95:X95,"¶")+COUNTIF($E95:X95,"²")+COUNTIF($E95:X95,"µ")+COUNTIF($E95:X95,1),ColTypeEcheance)),
  IF(LEN(X95)=1,
  IF(LEN(INDEX(Roadmap!$D:$K,MATCH($E95,Roadmap!$D:$D,0)-1+COUNTIF($E95:X95,"u")+COUNTIF($E95:X95,"t")+COUNTIF($E95:X95,"¶")+COUNTIF($E95:X95,"²")+COUNTIF($E95:X95,"µ")+COUNTIF($E95:X95,1),ColDescriptionCourte))&gt;1,
HYPERLINK("#Roadmap!C"&amp; MATCH($E95,Roadmap!$D:$D,0)+COUNTIF($E95:X95,"u")+COUNTIF($E95:X95,"t")+COUNTIF($E95:X95,"¶")+COUNTIF($E95:X95,"²")+COUNTIF($E95:X95,"µ")+COUNTIF($E95:X95,1)-1,INDEX(Roadmap!$D:$K,MATCH($E95,Roadmap!$D:$D,0)-1+COUNTIF($E95:X95,"u")+COUNTIF($E95:X95,"t")+COUNTIF($E95:X95,"¶")+COUNTIF($E95:X95,"²")+COUNTIF($E95:X95,"µ")+COUNTIF($E95:X95,1),ColDescriptionCourte)),""),
  "")),"")</f>
        <v/>
      </c>
      <c r="Z95" s="40" t="str">
        <f ca="1">IFERROR(IF(AND(
  INDEX(Roadmap!$D:$K,MATCH($E95,Roadmap!$D:$D,0)+COUNTIF($E95:Y95,"u")+COUNTIF($E95:Y95,"t")+COUNTIF($E95:Y95,"¶")+COUNTIF($E95:Y95,"²")+COUNTIF($E95:Y95,"µ")+COUNTIF($E95:Y95,1),ColLivraison)=Z$6,
  VLOOKUP($E95,INDIRECT("tri!"&amp; CHAR(64+ C0Col) &amp;":"&amp; CHAR(65+C0Col)),2,FALSE)&gt;COUNTIF($E95:Y95,"u")+COUNTIF($E95:Y95,"t")+COUNTIF($E95:Y95,"¶")+COUNTIF($E95:Y95,"²")+COUNTIF($E95:Y95,"µ")+COUNTIF($E95:Y95,1)),
HYPERLINK("#Roadmap!C"&amp; MATCH($E95,Roadmap!$D:$D,0)+COUNTIF($E95:Y95,"u")+COUNTIF($E95:Y95,"t"),
     INDEX(Roadmap!$D:$K,MATCH($E95,Roadmap!$D:$D,0)+COUNTIF($E95:Y95,"u")+COUNTIF($E95:Y95,"t")+COUNTIF($E95:Y95,"¶")+COUNTIF($E95:Y95,"²")+COUNTIF($E95:Y95,"µ")+COUNTIF($E95:Y95,1),ColTypeEcheance)),
  IF(LEN(Y95)=1,
  IF(LEN(INDEX(Roadmap!$D:$K,MATCH($E95,Roadmap!$D:$D,0)-1+COUNTIF($E95:Y95,"u")+COUNTIF($E95:Y95,"t")+COUNTIF($E95:Y95,"¶")+COUNTIF($E95:Y95,"²")+COUNTIF($E95:Y95,"µ")+COUNTIF($E95:Y95,1),ColDescriptionCourte))&gt;1,
HYPERLINK("#Roadmap!C"&amp; MATCH($E95,Roadmap!$D:$D,0)+COUNTIF($E95:Y95,"u")+COUNTIF($E95:Y95,"t")+COUNTIF($E95:Y95,"¶")+COUNTIF($E95:Y95,"²")+COUNTIF($E95:Y95,"µ")+COUNTIF($E95:Y95,1)-1,INDEX(Roadmap!$D:$K,MATCH($E95,Roadmap!$D:$D,0)-1+COUNTIF($E95:Y95,"u")+COUNTIF($E95:Y95,"t")+COUNTIF($E95:Y95,"¶")+COUNTIF($E95:Y95,"²")+COUNTIF($E95:Y95,"µ")+COUNTIF($E95:Y95,1),ColDescriptionCourte)),""),
  "")),"")</f>
        <v/>
      </c>
      <c r="AA95" s="40" t="str">
        <f ca="1">IFERROR(IF(AND(
  INDEX(Roadmap!$D:$K,MATCH($E95,Roadmap!$D:$D,0)+COUNTIF($E95:Z95,"u")+COUNTIF($E95:Z95,"t")+COUNTIF($E95:Z95,"¶")+COUNTIF($E95:Z95,"²")+COUNTIF($E95:Z95,"µ")+COUNTIF($E95:Z95,1),ColLivraison)=AA$6,
  VLOOKUP($E95,INDIRECT("tri!"&amp; CHAR(64+ C0Col) &amp;":"&amp; CHAR(65+C0Col)),2,FALSE)&gt;COUNTIF($E95:Z95,"u")+COUNTIF($E95:Z95,"t")+COUNTIF($E95:Z95,"¶")+COUNTIF($E95:Z95,"²")+COUNTIF($E95:Z95,"µ")+COUNTIF($E95:Z95,1)),
HYPERLINK("#Roadmap!C"&amp; MATCH($E95,Roadmap!$D:$D,0)+COUNTIF($E95:Z95,"u")+COUNTIF($E95:Z95,"t"),
     INDEX(Roadmap!$D:$K,MATCH($E95,Roadmap!$D:$D,0)+COUNTIF($E95:Z95,"u")+COUNTIF($E95:Z95,"t")+COUNTIF($E95:Z95,"¶")+COUNTIF($E95:Z95,"²")+COUNTIF($E95:Z95,"µ")+COUNTIF($E95:Z95,1),ColTypeEcheance)),
  IF(LEN(Z95)=1,
  IF(LEN(INDEX(Roadmap!$D:$K,MATCH($E95,Roadmap!$D:$D,0)-1+COUNTIF($E95:Z95,"u")+COUNTIF($E95:Z95,"t")+COUNTIF($E95:Z95,"¶")+COUNTIF($E95:Z95,"²")+COUNTIF($E95:Z95,"µ")+COUNTIF($E95:Z95,1),ColDescriptionCourte))&gt;1,
HYPERLINK("#Roadmap!C"&amp; MATCH($E95,Roadmap!$D:$D,0)+COUNTIF($E95:Z95,"u")+COUNTIF($E95:Z95,"t")+COUNTIF($E95:Z95,"¶")+COUNTIF($E95:Z95,"²")+COUNTIF($E95:Z95,"µ")+COUNTIF($E95:Z95,1)-1,INDEX(Roadmap!$D:$K,MATCH($E95,Roadmap!$D:$D,0)-1+COUNTIF($E95:Z95,"u")+COUNTIF($E95:Z95,"t")+COUNTIF($E95:Z95,"¶")+COUNTIF($E95:Z95,"²")+COUNTIF($E95:Z95,"µ")+COUNTIF($E95:Z95,1),ColDescriptionCourte)),""),
  "")),"")</f>
        <v/>
      </c>
      <c r="AB95" s="40" t="str">
        <f ca="1">IFERROR(IF(AND(
  INDEX(Roadmap!$D:$K,MATCH($E95,Roadmap!$D:$D,0)+COUNTIF($E95:AA95,"u")+COUNTIF($E95:AA95,"t")+COUNTIF($E95:AA95,"¶")+COUNTIF($E95:AA95,"²")+COUNTIF($E95:AA95,"µ")+COUNTIF($E95:AA95,1),ColLivraison)=AB$6,
  VLOOKUP($E95,INDIRECT("tri!"&amp; CHAR(64+ C0Col) &amp;":"&amp; CHAR(65+C0Col)),2,FALSE)&gt;COUNTIF($E95:AA95,"u")+COUNTIF($E95:AA95,"t")+COUNTIF($E95:AA95,"¶")+COUNTIF($E95:AA95,"²")+COUNTIF($E95:AA95,"µ")+COUNTIF($E95:AA95,1)),
HYPERLINK("#Roadmap!C"&amp; MATCH($E95,Roadmap!$D:$D,0)+COUNTIF($E95:AA95,"u")+COUNTIF($E95:AA95,"t"),
     INDEX(Roadmap!$D:$K,MATCH($E95,Roadmap!$D:$D,0)+COUNTIF($E95:AA95,"u")+COUNTIF($E95:AA95,"t")+COUNTIF($E95:AA95,"¶")+COUNTIF($E95:AA95,"²")+COUNTIF($E95:AA95,"µ")+COUNTIF($E95:AA95,1),ColTypeEcheance)),
  IF(LEN(AA95)=1,
  IF(LEN(INDEX(Roadmap!$D:$K,MATCH($E95,Roadmap!$D:$D,0)-1+COUNTIF($E95:AA95,"u")+COUNTIF($E95:AA95,"t")+COUNTIF($E95:AA95,"¶")+COUNTIF($E95:AA95,"²")+COUNTIF($E95:AA95,"µ")+COUNTIF($E95:AA95,1),ColDescriptionCourte))&gt;1,
HYPERLINK("#Roadmap!C"&amp; MATCH($E95,Roadmap!$D:$D,0)+COUNTIF($E95:AA95,"u")+COUNTIF($E95:AA95,"t")+COUNTIF($E95:AA95,"¶")+COUNTIF($E95:AA95,"²")+COUNTIF($E95:AA95,"µ")+COUNTIF($E95:AA95,1)-1,INDEX(Roadmap!$D:$K,MATCH($E95,Roadmap!$D:$D,0)-1+COUNTIF($E95:AA95,"u")+COUNTIF($E95:AA95,"t")+COUNTIF($E95:AA95,"¶")+COUNTIF($E95:AA95,"²")+COUNTIF($E95:AA95,"µ")+COUNTIF($E95:AA95,1),ColDescriptionCourte)),""),
  "")),"")</f>
        <v/>
      </c>
      <c r="AC95" s="40" t="str">
        <f ca="1">IFERROR(IF(AND(
  INDEX(Roadmap!$D:$K,MATCH($E95,Roadmap!$D:$D,0)+COUNTIF($E95:AB95,"u")+COUNTIF($E95:AB95,"t")+COUNTIF($E95:AB95,"¶")+COUNTIF($E95:AB95,"²")+COUNTIF($E95:AB95,"µ")+COUNTIF($E95:AB95,1),ColLivraison)=AC$6,
  VLOOKUP($E95,INDIRECT("tri!"&amp; CHAR(64+ C0Col) &amp;":"&amp; CHAR(65+C0Col)),2,FALSE)&gt;COUNTIF($E95:AB95,"u")+COUNTIF($E95:AB95,"t")+COUNTIF($E95:AB95,"¶")+COUNTIF($E95:AB95,"²")+COUNTIF($E95:AB95,"µ")+COUNTIF($E95:AB95,1)),
HYPERLINK("#Roadmap!C"&amp; MATCH($E95,Roadmap!$D:$D,0)+COUNTIF($E95:AB95,"u")+COUNTIF($E95:AB95,"t"),
     INDEX(Roadmap!$D:$K,MATCH($E95,Roadmap!$D:$D,0)+COUNTIF($E95:AB95,"u")+COUNTIF($E95:AB95,"t")+COUNTIF($E95:AB95,"¶")+COUNTIF($E95:AB95,"²")+COUNTIF($E95:AB95,"µ")+COUNTIF($E95:AB95,1),ColTypeEcheance)),
  IF(LEN(AB95)=1,
  IF(LEN(INDEX(Roadmap!$D:$K,MATCH($E95,Roadmap!$D:$D,0)-1+COUNTIF($E95:AB95,"u")+COUNTIF($E95:AB95,"t")+COUNTIF($E95:AB95,"¶")+COUNTIF($E95:AB95,"²")+COUNTIF($E95:AB95,"µ")+COUNTIF($E95:AB95,1),ColDescriptionCourte))&gt;1,
HYPERLINK("#Roadmap!C"&amp; MATCH($E95,Roadmap!$D:$D,0)+COUNTIF($E95:AB95,"u")+COUNTIF($E95:AB95,"t")+COUNTIF($E95:AB95,"¶")+COUNTIF($E95:AB95,"²")+COUNTIF($E95:AB95,"µ")+COUNTIF($E95:AB95,1)-1,INDEX(Roadmap!$D:$K,MATCH($E95,Roadmap!$D:$D,0)-1+COUNTIF($E95:AB95,"u")+COUNTIF($E95:AB95,"t")+COUNTIF($E95:AB95,"¶")+COUNTIF($E95:AB95,"²")+COUNTIF($E95:AB95,"µ")+COUNTIF($E95:AB95,1),ColDescriptionCourte)),""),
  "")),"")</f>
        <v/>
      </c>
      <c r="AD95" s="40" t="str">
        <f ca="1">IFERROR(IF(AND(
  INDEX(Roadmap!$D:$K,MATCH($E95,Roadmap!$D:$D,0)+COUNTIF($E95:AC95,"u")+COUNTIF($E95:AC95,"t")+COUNTIF($E95:AC95,"¶")+COUNTIF($E95:AC95,"²")+COUNTIF($E95:AC95,"µ")+COUNTIF($E95:AC95,1),ColLivraison)=AD$6,
  VLOOKUP($E95,INDIRECT("tri!"&amp; CHAR(64+ C0Col) &amp;":"&amp; CHAR(65+C0Col)),2,FALSE)&gt;COUNTIF($E95:AC95,"u")+COUNTIF($E95:AC95,"t")+COUNTIF($E95:AC95,"¶")+COUNTIF($E95:AC95,"²")+COUNTIF($E95:AC95,"µ")+COUNTIF($E95:AC95,1)),
HYPERLINK("#Roadmap!C"&amp; MATCH($E95,Roadmap!$D:$D,0)+COUNTIF($E95:AC95,"u")+COUNTIF($E95:AC95,"t"),
     INDEX(Roadmap!$D:$K,MATCH($E95,Roadmap!$D:$D,0)+COUNTIF($E95:AC95,"u")+COUNTIF($E95:AC95,"t")+COUNTIF($E95:AC95,"¶")+COUNTIF($E95:AC95,"²")+COUNTIF($E95:AC95,"µ")+COUNTIF($E95:AC95,1),ColTypeEcheance)),
  IF(LEN(AC95)=1,
  IF(LEN(INDEX(Roadmap!$D:$K,MATCH($E95,Roadmap!$D:$D,0)-1+COUNTIF($E95:AC95,"u")+COUNTIF($E95:AC95,"t")+COUNTIF($E95:AC95,"¶")+COUNTIF($E95:AC95,"²")+COUNTIF($E95:AC95,"µ")+COUNTIF($E95:AC95,1),ColDescriptionCourte))&gt;1,
HYPERLINK("#Roadmap!C"&amp; MATCH($E95,Roadmap!$D:$D,0)+COUNTIF($E95:AC95,"u")+COUNTIF($E95:AC95,"t")+COUNTIF($E95:AC95,"¶")+COUNTIF($E95:AC95,"²")+COUNTIF($E95:AC95,"µ")+COUNTIF($E95:AC95,1)-1,INDEX(Roadmap!$D:$K,MATCH($E95,Roadmap!$D:$D,0)-1+COUNTIF($E95:AC95,"u")+COUNTIF($E95:AC95,"t")+COUNTIF($E95:AC95,"¶")+COUNTIF($E95:AC95,"²")+COUNTIF($E95:AC95,"µ")+COUNTIF($E95:AC95,1),ColDescriptionCourte)),""),
  "")),"")</f>
        <v/>
      </c>
      <c r="AE95" s="40" t="str">
        <f ca="1">IFERROR(IF(AND(
  INDEX(Roadmap!$D:$K,MATCH($E95,Roadmap!$D:$D,0)+COUNTIF($E95:AD95,"u")+COUNTIF($E95:AD95,"t")+COUNTIF($E95:AD95,"¶")+COUNTIF($E95:AD95,"²")+COUNTIF($E95:AD95,"µ")+COUNTIF($E95:AD95,1),ColLivraison)=AE$6,
  VLOOKUP($E95,INDIRECT("tri!"&amp; CHAR(64+ C0Col) &amp;":"&amp; CHAR(65+C0Col)),2,FALSE)&gt;COUNTIF($E95:AD95,"u")+COUNTIF($E95:AD95,"t")+COUNTIF($E95:AD95,"¶")+COUNTIF($E95:AD95,"²")+COUNTIF($E95:AD95,"µ")+COUNTIF($E95:AD95,1)),
HYPERLINK("#Roadmap!C"&amp; MATCH($E95,Roadmap!$D:$D,0)+COUNTIF($E95:AD95,"u")+COUNTIF($E95:AD95,"t"),
     INDEX(Roadmap!$D:$K,MATCH($E95,Roadmap!$D:$D,0)+COUNTIF($E95:AD95,"u")+COUNTIF($E95:AD95,"t")+COUNTIF($E95:AD95,"¶")+COUNTIF($E95:AD95,"²")+COUNTIF($E95:AD95,"µ")+COUNTIF($E95:AD95,1),ColTypeEcheance)),
  IF(LEN(AD95)=1,
  IF(LEN(INDEX(Roadmap!$D:$K,MATCH($E95,Roadmap!$D:$D,0)-1+COUNTIF($E95:AD95,"u")+COUNTIF($E95:AD95,"t")+COUNTIF($E95:AD95,"¶")+COUNTIF($E95:AD95,"²")+COUNTIF($E95:AD95,"µ")+COUNTIF($E95:AD95,1),ColDescriptionCourte))&gt;1,
HYPERLINK("#Roadmap!C"&amp; MATCH($E95,Roadmap!$D:$D,0)+COUNTIF($E95:AD95,"u")+COUNTIF($E95:AD95,"t")+COUNTIF($E95:AD95,"¶")+COUNTIF($E95:AD95,"²")+COUNTIF($E95:AD95,"µ")+COUNTIF($E95:AD95,1)-1,INDEX(Roadmap!$D:$K,MATCH($E95,Roadmap!$D:$D,0)-1+COUNTIF($E95:AD95,"u")+COUNTIF($E95:AD95,"t")+COUNTIF($E95:AD95,"¶")+COUNTIF($E95:AD95,"²")+COUNTIF($E95:AD95,"µ")+COUNTIF($E95:AD95,1),ColDescriptionCourte)),""),
  "")),"")</f>
        <v/>
      </c>
      <c r="AF95" s="40" t="str">
        <f ca="1">IFERROR(IF(AND(
  INDEX(Roadmap!$D:$K,MATCH($E95,Roadmap!$D:$D,0)+COUNTIF($E95:AE95,"u")+COUNTIF($E95:AE95,"t")+COUNTIF($E95:AE95,"¶")+COUNTIF($E95:AE95,"²")+COUNTIF($E95:AE95,"µ")+COUNTIF($E95:AE95,1),ColLivraison)=AF$6,
  VLOOKUP($E95,INDIRECT("tri!"&amp; CHAR(64+ C0Col) &amp;":"&amp; CHAR(65+C0Col)),2,FALSE)&gt;COUNTIF($E95:AE95,"u")+COUNTIF($E95:AE95,"t")+COUNTIF($E95:AE95,"¶")+COUNTIF($E95:AE95,"²")+COUNTIF($E95:AE95,"µ")+COUNTIF($E95:AE95,1)),
HYPERLINK("#Roadmap!C"&amp; MATCH($E95,Roadmap!$D:$D,0)+COUNTIF($E95:AE95,"u")+COUNTIF($E95:AE95,"t"),
     INDEX(Roadmap!$D:$K,MATCH($E95,Roadmap!$D:$D,0)+COUNTIF($E95:AE95,"u")+COUNTIF($E95:AE95,"t")+COUNTIF($E95:AE95,"¶")+COUNTIF($E95:AE95,"²")+COUNTIF($E95:AE95,"µ")+COUNTIF($E95:AE95,1),ColTypeEcheance)),
  IF(LEN(AE95)=1,
  IF(LEN(INDEX(Roadmap!$D:$K,MATCH($E95,Roadmap!$D:$D,0)-1+COUNTIF($E95:AE95,"u")+COUNTIF($E95:AE95,"t")+COUNTIF($E95:AE95,"¶")+COUNTIF($E95:AE95,"²")+COUNTIF($E95:AE95,"µ")+COUNTIF($E95:AE95,1),ColDescriptionCourte))&gt;1,
HYPERLINK("#Roadmap!C"&amp; MATCH($E95,Roadmap!$D:$D,0)+COUNTIF($E95:AE95,"u")+COUNTIF($E95:AE95,"t")+COUNTIF($E95:AE95,"¶")+COUNTIF($E95:AE95,"²")+COUNTIF($E95:AE95,"µ")+COUNTIF($E95:AE95,1)-1,INDEX(Roadmap!$D:$K,MATCH($E95,Roadmap!$D:$D,0)-1+COUNTIF($E95:AE95,"u")+COUNTIF($E95:AE95,"t")+COUNTIF($E95:AE95,"¶")+COUNTIF($E95:AE95,"²")+COUNTIF($E95:AE95,"µ")+COUNTIF($E95:AE95,1),ColDescriptionCourte)),""),
  "")),"")</f>
        <v/>
      </c>
      <c r="AG95" s="40" t="str">
        <f ca="1">IFERROR(IF(AND(
  INDEX(Roadmap!$D:$K,MATCH($E95,Roadmap!$D:$D,0)+COUNTIF($E95:AF95,"u")+COUNTIF($E95:AF95,"t")+COUNTIF($E95:AF95,"¶")+COUNTIF($E95:AF95,"²")+COUNTIF($E95:AF95,"µ")+COUNTIF($E95:AF95,1),ColLivraison)=AG$6,
  VLOOKUP($E95,INDIRECT("tri!"&amp; CHAR(64+ C0Col) &amp;":"&amp; CHAR(65+C0Col)),2,FALSE)&gt;COUNTIF($E95:AF95,"u")+COUNTIF($E95:AF95,"t")+COUNTIF($E95:AF95,"¶")+COUNTIF($E95:AF95,"²")+COUNTIF($E95:AF95,"µ")+COUNTIF($E95:AF95,1)),
HYPERLINK("#Roadmap!C"&amp; MATCH($E95,Roadmap!$D:$D,0)+COUNTIF($E95:AF95,"u")+COUNTIF($E95:AF95,"t"),
     INDEX(Roadmap!$D:$K,MATCH($E95,Roadmap!$D:$D,0)+COUNTIF($E95:AF95,"u")+COUNTIF($E95:AF95,"t")+COUNTIF($E95:AF95,"¶")+COUNTIF($E95:AF95,"²")+COUNTIF($E95:AF95,"µ")+COUNTIF($E95:AF95,1),ColTypeEcheance)),
  IF(LEN(AF95)=1,
  IF(LEN(INDEX(Roadmap!$D:$K,MATCH($E95,Roadmap!$D:$D,0)-1+COUNTIF($E95:AF95,"u")+COUNTIF($E95:AF95,"t")+COUNTIF($E95:AF95,"¶")+COUNTIF($E95:AF95,"²")+COUNTIF($E95:AF95,"µ")+COUNTIF($E95:AF95,1),ColDescriptionCourte))&gt;1,
HYPERLINK("#Roadmap!C"&amp; MATCH($E95,Roadmap!$D:$D,0)+COUNTIF($E95:AF95,"u")+COUNTIF($E95:AF95,"t")+COUNTIF($E95:AF95,"¶")+COUNTIF($E95:AF95,"²")+COUNTIF($E95:AF95,"µ")+COUNTIF($E95:AF95,1)-1,INDEX(Roadmap!$D:$K,MATCH($E95,Roadmap!$D:$D,0)-1+COUNTIF($E95:AF95,"u")+COUNTIF($E95:AF95,"t")+COUNTIF($E95:AF95,"¶")+COUNTIF($E95:AF95,"²")+COUNTIF($E95:AF95,"µ")+COUNTIF($E95:AF95,1),ColDescriptionCourte)),""),
  "")),"")</f>
        <v/>
      </c>
      <c r="AH95" s="40" t="str">
        <f ca="1">IFERROR(IF(AND(
  INDEX(Roadmap!$D:$K,MATCH($E95,Roadmap!$D:$D,0)+COUNTIF($E95:AG95,"u")+COUNTIF($E95:AG95,"t")+COUNTIF($E95:AG95,1),ColLivraison)=AH$6,
  VLOOKUP($E95,INDIRECT("tri!"&amp; CHAR(64+ C0Col) &amp;":"&amp; CHAR(65+C0Col)),2,FALSE)&gt;COUNTIF($E95:AG95,"u")+COUNTIF($E95:AG95,"t")+COUNTIF($E95:AG95,1)),
HYPERLINK("#Roadmap!C"&amp; MATCH($E95,Roadmap!$D:$D,0)+COUNTIF($E95:AG95,"u")+COUNTIF($E95:AG95,"t"),
     INDEX(Roadmap!$D:$K,MATCH($E95,Roadmap!$D:$D,0)+COUNTIF($E95:AG95,"u")+COUNTIF($E95:AG95,"t")+COUNTIF($E95:AG95,1),ColTypeEcheance)),
  IF(OR(AG95="u",AG95="t",AG95=1),
  IF(LEN(INDEX(Roadmap!$D:$K,MATCH($E95,Roadmap!$D:$D,0)-1+COUNTIF($E95:AG95,"u")+COUNTIF($E95:AG95,"t")+COUNTIF($E95:AG95,1),ColDescriptionCourte))&gt;1,
HYPERLINK("#Roadmap!C"&amp; MATCH($E95,Roadmap!$D:$D,0)+COUNTIF($E95:AG95,"u")+COUNTIF($E95:AG95,"t")+COUNTIF($E95:AG95,1)-1,INDEX(Roadmap!$D:$K,MATCH($E95,Roadmap!$D:$D,0)-1+COUNTIF($E95:AG95,"u")+COUNTIF($E95:AG95,"t")+COUNTIF($E95:AG95,1),ColDescriptionCourte)),""),
  "")),"")</f>
        <v/>
      </c>
      <c r="AI95" s="40"/>
      <c r="AJ95" s="40"/>
      <c r="AK95" s="40"/>
      <c r="AL95" s="40"/>
      <c r="AM95" s="40"/>
    </row>
    <row r="96" spans="4:39" ht="14.1" customHeight="1">
      <c r="D96" s="20" t="str">
        <f t="shared" ca="1" si="29"/>
        <v/>
      </c>
      <c r="E96" s="53" t="str">
        <f t="shared" ca="1" si="30"/>
        <v/>
      </c>
      <c r="F96" s="39" t="str">
        <f ca="1">IFERROR(IF(AND(
  INDEX(Roadmap!$D:$K,MATCH($E96,Roadmap!$D:$D,0)+COUNTIF($E96:E96,"u")+COUNTIF($E96:E96,"t")+COUNTIF($E96:E96,"¶")+COUNTIF($E96:E96,"²")+COUNTIF($E96:E96,"µ")+COUNTIF($E96:E96,1),ColLivraison)=F$6,
  VLOOKUP($E96,INDIRECT("tri!"&amp; CHAR(64+ C0Col) &amp;":"&amp; CHAR(65+C0Col)),2,FALSE)&gt;COUNTIF($E96:E96,"u")+COUNTIF($E96:E96,"t")+COUNTIF($E96:E96,"¶")+COUNTIF($E96:E96,"²")+COUNTIF($E96:E96,"µ")+COUNTIF($E96:E96,1)),
HYPERLINK("#Roadmap!C"&amp; MATCH($E96,Roadmap!$D:$D,0)+COUNTIF($E96:E96,"u")+COUNTIF($E96:E96,"t"),
     INDEX(Roadmap!$D:$K,MATCH($E96,Roadmap!$D:$D,0)+COUNTIF($E96:E96,"u")+COUNTIF($E96:E96,"t")+COUNTIF($E96:E96,"¶")+COUNTIF($E96:E96,"²")+COUNTIF($E96:E96,"µ")+COUNTIF($E96:E96,1),ColTypeEcheance)),
  IF(LEN(E96)=1,
  IF(LEN(INDEX(Roadmap!$D:$K,MATCH($E96,Roadmap!$D:$D,0)-1+COUNTIF($E96:E96,"u")+COUNTIF($E96:E96,"t")+COUNTIF($E96:E96,"¶")+COUNTIF($E96:E96,"²")+COUNTIF($E96:E96,"µ")+COUNTIF($E96:E96,1),ColDescriptionCourte))&gt;1,
HYPERLINK("#Roadmap!C"&amp; MATCH($E96,Roadmap!$D:$D,0)+COUNTIF($E96:E96,"u")+COUNTIF($E96:E96,"t")+COUNTIF($E96:E96,"¶")+COUNTIF($E96:E96,"²")+COUNTIF($E96:E96,"µ")+COUNTIF($E96:E96,1)-1,INDEX(Roadmap!$D:$K,MATCH($E96,Roadmap!$D:$D,0)-1+COUNTIF($E96:E96,"u")+COUNTIF($E96:E96,"t")+COUNTIF($E96:E96,"¶")+COUNTIF($E96:E96,"²")+COUNTIF($E96:E96,"µ")+COUNTIF($E96:E96,1),ColDescriptionCourte)),""),
  "")),"")</f>
        <v/>
      </c>
      <c r="G96" s="40" t="str">
        <f ca="1">IFERROR(IF(AND(
  INDEX(Roadmap!$D:$K,MATCH($E96,Roadmap!$D:$D,0)+COUNTIF($E96:F96,"u")+COUNTIF($E96:F96,"t")+COUNTIF($E96:F96,"¶")+COUNTIF($E96:F96,"²")+COUNTIF($E96:F96,"µ")+COUNTIF($E96:F96,1),ColLivraison)=G$6,
  VLOOKUP($E96,INDIRECT("tri!"&amp; CHAR(64+ C0Col) &amp;":"&amp; CHAR(65+C0Col)),2,FALSE)&gt;COUNTIF($E96:F96,"u")+COUNTIF($E96:F96,"t")+COUNTIF($E96:F96,"¶")+COUNTIF($E96:F96,"²")+COUNTIF($E96:F96,"µ")+COUNTIF($E96:F96,1)),
HYPERLINK("#Roadmap!C"&amp; MATCH($E96,Roadmap!$D:$D,0)+COUNTIF($E96:F96,"u")+COUNTIF($E96:F96,"t"),
     INDEX(Roadmap!$D:$K,MATCH($E96,Roadmap!$D:$D,0)+COUNTIF($E96:F96,"u")+COUNTIF($E96:F96,"t")+COUNTIF($E96:F96,"¶")+COUNTIF($E96:F96,"²")+COUNTIF($E96:F96,"µ")+COUNTIF($E96:F96,1),ColTypeEcheance)),
  IF(LEN(F96)=1,
  IF(LEN(INDEX(Roadmap!$D:$K,MATCH($E96,Roadmap!$D:$D,0)-1+COUNTIF($E96:F96,"u")+COUNTIF($E96:F96,"t")+COUNTIF($E96:F96,"¶")+COUNTIF($E96:F96,"²")+COUNTIF($E96:F96,"µ")+COUNTIF($E96:F96,1),ColDescriptionCourte))&gt;1,
HYPERLINK("#Roadmap!C"&amp; MATCH($E96,Roadmap!$D:$D,0)+COUNTIF($E96:F96,"u")+COUNTIF($E96:F96,"t")+COUNTIF($E96:F96,"¶")+COUNTIF($E96:F96,"²")+COUNTIF($E96:F96,"µ")+COUNTIF($E96:F96,1)-1,INDEX(Roadmap!$D:$K,MATCH($E96,Roadmap!$D:$D,0)-1+COUNTIF($E96:F96,"u")+COUNTIF($E96:F96,"t")+COUNTIF($E96:F96,"¶")+COUNTIF($E96:F96,"²")+COUNTIF($E96:F96,"µ")+COUNTIF($E96:F96,1),ColDescriptionCourte)),""),
  "")),"")</f>
        <v/>
      </c>
      <c r="H96" s="40" t="str">
        <f ca="1">IFERROR(IF(AND(
  INDEX(Roadmap!$D:$K,MATCH($E96,Roadmap!$D:$D,0)+COUNTIF($E96:G96,"u")+COUNTIF($E96:G96,"t")+COUNTIF($E96:G96,"¶")+COUNTIF($E96:G96,"²")+COUNTIF($E96:G96,"µ")+COUNTIF($E96:G96,1),ColLivraison)=H$6,
  VLOOKUP($E96,INDIRECT("tri!"&amp; CHAR(64+ C0Col) &amp;":"&amp; CHAR(65+C0Col)),2,FALSE)&gt;COUNTIF($E96:G96,"u")+COUNTIF($E96:G96,"t")+COUNTIF($E96:G96,"¶")+COUNTIF($E96:G96,"²")+COUNTIF($E96:G96,"µ")+COUNTIF($E96:G96,1)),
HYPERLINK("#Roadmap!C"&amp; MATCH($E96,Roadmap!$D:$D,0)+COUNTIF($E96:G96,"u")+COUNTIF($E96:G96,"t"),
     INDEX(Roadmap!$D:$K,MATCH($E96,Roadmap!$D:$D,0)+COUNTIF($E96:G96,"u")+COUNTIF($E96:G96,"t")+COUNTIF($E96:G96,"¶")+COUNTIF($E96:G96,"²")+COUNTIF($E96:G96,"µ")+COUNTIF($E96:G96,1),ColTypeEcheance)),
  IF(LEN(G96)=1,
  IF(LEN(INDEX(Roadmap!$D:$K,MATCH($E96,Roadmap!$D:$D,0)-1+COUNTIF($E96:G96,"u")+COUNTIF($E96:G96,"t")+COUNTIF($E96:G96,"¶")+COUNTIF($E96:G96,"²")+COUNTIF($E96:G96,"µ")+COUNTIF($E96:G96,1),ColDescriptionCourte))&gt;1,
HYPERLINK("#Roadmap!C"&amp; MATCH($E96,Roadmap!$D:$D,0)+COUNTIF($E96:G96,"u")+COUNTIF($E96:G96,"t")+COUNTIF($E96:G96,"¶")+COUNTIF($E96:G96,"²")+COUNTIF($E96:G96,"µ")+COUNTIF($E96:G96,1)-1,INDEX(Roadmap!$D:$K,MATCH($E96,Roadmap!$D:$D,0)-1+COUNTIF($E96:G96,"u")+COUNTIF($E96:G96,"t")+COUNTIF($E96:G96,"¶")+COUNTIF($E96:G96,"²")+COUNTIF($E96:G96,"µ")+COUNTIF($E96:G96,1),ColDescriptionCourte)),""),
  "")),"")</f>
        <v/>
      </c>
      <c r="I96" s="40" t="str">
        <f ca="1">IFERROR(IF(AND(
  INDEX(Roadmap!$D:$K,MATCH($E96,Roadmap!$D:$D,0)+COUNTIF($E96:H96,"u")+COUNTIF($E96:H96,"t")+COUNTIF($E96:H96,"¶")+COUNTIF($E96:H96,"²")+COUNTIF($E96:H96,"µ")+COUNTIF($E96:H96,1),ColLivraison)=I$6,
  VLOOKUP($E96,INDIRECT("tri!"&amp; CHAR(64+ C0Col) &amp;":"&amp; CHAR(65+C0Col)),2,FALSE)&gt;COUNTIF($E96:H96,"u")+COUNTIF($E96:H96,"t")+COUNTIF($E96:H96,"¶")+COUNTIF($E96:H96,"²")+COUNTIF($E96:H96,"µ")+COUNTIF($E96:H96,1)),
HYPERLINK("#Roadmap!C"&amp; MATCH($E96,Roadmap!$D:$D,0)+COUNTIF($E96:H96,"u")+COUNTIF($E96:H96,"t"),
     INDEX(Roadmap!$D:$K,MATCH($E96,Roadmap!$D:$D,0)+COUNTIF($E96:H96,"u")+COUNTIF($E96:H96,"t")+COUNTIF($E96:H96,"¶")+COUNTIF($E96:H96,"²")+COUNTIF($E96:H96,"µ")+COUNTIF($E96:H96,1),ColTypeEcheance)),
  IF(LEN(H96)=1,
  IF(LEN(INDEX(Roadmap!$D:$K,MATCH($E96,Roadmap!$D:$D,0)-1+COUNTIF($E96:H96,"u")+COUNTIF($E96:H96,"t")+COUNTIF($E96:H96,"¶")+COUNTIF($E96:H96,"²")+COUNTIF($E96:H96,"µ")+COUNTIF($E96:H96,1),ColDescriptionCourte))&gt;1,
HYPERLINK("#Roadmap!C"&amp; MATCH($E96,Roadmap!$D:$D,0)+COUNTIF($E96:H96,"u")+COUNTIF($E96:H96,"t")+COUNTIF($E96:H96,"¶")+COUNTIF($E96:H96,"²")+COUNTIF($E96:H96,"µ")+COUNTIF($E96:H96,1)-1,INDEX(Roadmap!$D:$K,MATCH($E96,Roadmap!$D:$D,0)-1+COUNTIF($E96:H96,"u")+COUNTIF($E96:H96,"t")+COUNTIF($E96:H96,"¶")+COUNTIF($E96:H96,"²")+COUNTIF($E96:H96,"µ")+COUNTIF($E96:H96,1),ColDescriptionCourte)),""),
  "")),"")</f>
        <v/>
      </c>
      <c r="J96" s="40" t="str">
        <f ca="1">IFERROR(IF(AND(
  INDEX(Roadmap!$D:$K,MATCH($E96,Roadmap!$D:$D,0)+COUNTIF($E96:I96,"u")+COUNTIF($E96:I96,"t")+COUNTIF($E96:I96,"¶")+COUNTIF($E96:I96,"²")+COUNTIF($E96:I96,"µ")+COUNTIF($E96:I96,1),ColLivraison)=J$6,
  VLOOKUP($E96,INDIRECT("tri!"&amp; CHAR(64+ C0Col) &amp;":"&amp; CHAR(65+C0Col)),2,FALSE)&gt;COUNTIF($E96:I96,"u")+COUNTIF($E96:I96,"t")+COUNTIF($E96:I96,"¶")+COUNTIF($E96:I96,"²")+COUNTIF($E96:I96,"µ")+COUNTIF($E96:I96,1)),
HYPERLINK("#Roadmap!C"&amp; MATCH($E96,Roadmap!$D:$D,0)+COUNTIF($E96:I96,"u")+COUNTIF($E96:I96,"t"),
     INDEX(Roadmap!$D:$K,MATCH($E96,Roadmap!$D:$D,0)+COUNTIF($E96:I96,"u")+COUNTIF($E96:I96,"t")+COUNTIF($E96:I96,"¶")+COUNTIF($E96:I96,"²")+COUNTIF($E96:I96,"µ")+COUNTIF($E96:I96,1),ColTypeEcheance)),
  IF(LEN(I96)=1,
  IF(LEN(INDEX(Roadmap!$D:$K,MATCH($E96,Roadmap!$D:$D,0)-1+COUNTIF($E96:I96,"u")+COUNTIF($E96:I96,"t")+COUNTIF($E96:I96,"¶")+COUNTIF($E96:I96,"²")+COUNTIF($E96:I96,"µ")+COUNTIF($E96:I96,1),ColDescriptionCourte))&gt;1,
HYPERLINK("#Roadmap!C"&amp; MATCH($E96,Roadmap!$D:$D,0)+COUNTIF($E96:I96,"u")+COUNTIF($E96:I96,"t")+COUNTIF($E96:I96,"¶")+COUNTIF($E96:I96,"²")+COUNTIF($E96:I96,"µ")+COUNTIF($E96:I96,1)-1,INDEX(Roadmap!$D:$K,MATCH($E96,Roadmap!$D:$D,0)-1+COUNTIF($E96:I96,"u")+COUNTIF($E96:I96,"t")+COUNTIF($E96:I96,"¶")+COUNTIF($E96:I96,"²")+COUNTIF($E96:I96,"µ")+COUNTIF($E96:I96,1),ColDescriptionCourte)),""),
  "")),"")</f>
        <v/>
      </c>
      <c r="K96" s="40" t="str">
        <f ca="1">IFERROR(IF(AND(
  INDEX(Roadmap!$D:$K,MATCH($E96,Roadmap!$D:$D,0)+COUNTIF($E96:J96,"u")+COUNTIF($E96:J96,"t")+COUNTIF($E96:J96,"¶")+COUNTIF($E96:J96,"²")+COUNTIF($E96:J96,"µ")+COUNTIF($E96:J96,1),ColLivraison)=K$6,
  VLOOKUP($E96,INDIRECT("tri!"&amp; CHAR(64+ C0Col) &amp;":"&amp; CHAR(65+C0Col)),2,FALSE)&gt;COUNTIF($E96:J96,"u")+COUNTIF($E96:J96,"t")+COUNTIF($E96:J96,"¶")+COUNTIF($E96:J96,"²")+COUNTIF($E96:J96,"µ")+COUNTIF($E96:J96,1)),
HYPERLINK("#Roadmap!C"&amp; MATCH($E96,Roadmap!$D:$D,0)+COUNTIF($E96:J96,"u")+COUNTIF($E96:J96,"t"),
     INDEX(Roadmap!$D:$K,MATCH($E96,Roadmap!$D:$D,0)+COUNTIF($E96:J96,"u")+COUNTIF($E96:J96,"t")+COUNTIF($E96:J96,"¶")+COUNTIF($E96:J96,"²")+COUNTIF($E96:J96,"µ")+COUNTIF($E96:J96,1),ColTypeEcheance)),
  IF(LEN(J96)=1,
  IF(LEN(INDEX(Roadmap!$D:$K,MATCH($E96,Roadmap!$D:$D,0)-1+COUNTIF($E96:J96,"u")+COUNTIF($E96:J96,"t")+COUNTIF($E96:J96,"¶")+COUNTIF($E96:J96,"²")+COUNTIF($E96:J96,"µ")+COUNTIF($E96:J96,1),ColDescriptionCourte))&gt;1,
HYPERLINK("#Roadmap!C"&amp; MATCH($E96,Roadmap!$D:$D,0)+COUNTIF($E96:J96,"u")+COUNTIF($E96:J96,"t")+COUNTIF($E96:J96,"¶")+COUNTIF($E96:J96,"²")+COUNTIF($E96:J96,"µ")+COUNTIF($E96:J96,1)-1,INDEX(Roadmap!$D:$K,MATCH($E96,Roadmap!$D:$D,0)-1+COUNTIF($E96:J96,"u")+COUNTIF($E96:J96,"t")+COUNTIF($E96:J96,"¶")+COUNTIF($E96:J96,"²")+COUNTIF($E96:J96,"µ")+COUNTIF($E96:J96,1),ColDescriptionCourte)),""),
  "")),"")</f>
        <v/>
      </c>
      <c r="L96" s="39" t="str">
        <f ca="1">IFERROR(IF(AND(
  INDEX(Roadmap!$D:$K,MATCH($E96,Roadmap!$D:$D,0)+COUNTIF($E96:K96,"u")+COUNTIF($E96:K96,"t")+COUNTIF($E96:K96,"¶")+COUNTIF($E96:K96,"²")+COUNTIF($E96:K96,"µ")+COUNTIF($E96:K96,1),ColLivraison)=L$6,
  VLOOKUP($E96,INDIRECT("tri!"&amp; CHAR(64+ C0Col) &amp;":"&amp; CHAR(65+C0Col)),2,FALSE)&gt;COUNTIF($E96:K96,"u")+COUNTIF($E96:K96,"t")+COUNTIF($E96:K96,"¶")+COUNTIF($E96:K96,"²")+COUNTIF($E96:K96,"µ")+COUNTIF($E96:K96,1)),
HYPERLINK("#Roadmap!C"&amp; MATCH($E96,Roadmap!$D:$D,0)+COUNTIF($E96:K96,"u")+COUNTIF($E96:K96,"t"),
     INDEX(Roadmap!$D:$K,MATCH($E96,Roadmap!$D:$D,0)+COUNTIF($E96:K96,"u")+COUNTIF($E96:K96,"t")+COUNTIF($E96:K96,"¶")+COUNTIF($E96:K96,"²")+COUNTIF($E96:K96,"µ")+COUNTIF($E96:K96,1),ColTypeEcheance)),
  IF(LEN(K96)=1,
  IF(LEN(INDEX(Roadmap!$D:$K,MATCH($E96,Roadmap!$D:$D,0)-1+COUNTIF($E96:K96,"u")+COUNTIF($E96:K96,"t")+COUNTIF($E96:K96,"¶")+COUNTIF($E96:K96,"²")+COUNTIF($E96:K96,"µ")+COUNTIF($E96:K96,1),ColDescriptionCourte))&gt;1,
HYPERLINK("#Roadmap!C"&amp; MATCH($E96,Roadmap!$D:$D,0)+COUNTIF($E96:K96,"u")+COUNTIF($E96:K96,"t")+COUNTIF($E96:K96,"¶")+COUNTIF($E96:K96,"²")+COUNTIF($E96:K96,"µ")+COUNTIF($E96:K96,1)-1,INDEX(Roadmap!$D:$K,MATCH($E96,Roadmap!$D:$D,0)-1+COUNTIF($E96:K96,"u")+COUNTIF($E96:K96,"t")+COUNTIF($E96:K96,"¶")+COUNTIF($E96:K96,"²")+COUNTIF($E96:K96,"µ")+COUNTIF($E96:K96,1),ColDescriptionCourte)),""),
  "")),"")</f>
        <v/>
      </c>
      <c r="M96" s="40" t="str">
        <f ca="1">IFERROR(IF(AND(
  INDEX(Roadmap!$D:$K,MATCH($E96,Roadmap!$D:$D,0)+COUNTIF($E96:L96,"u")+COUNTIF($E96:L96,"t")+COUNTIF($E96:L96,"¶")+COUNTIF($E96:L96,"²")+COUNTIF($E96:L96,"µ")+COUNTIF($E96:L96,1),ColLivraison)=M$6,
  VLOOKUP($E96,INDIRECT("tri!"&amp; CHAR(64+ C0Col) &amp;":"&amp; CHAR(65+C0Col)),2,FALSE)&gt;COUNTIF($E96:L96,"u")+COUNTIF($E96:L96,"t")+COUNTIF($E96:L96,"¶")+COUNTIF($E96:L96,"²")+COUNTIF($E96:L96,"µ")+COUNTIF($E96:L96,1)),
HYPERLINK("#Roadmap!C"&amp; MATCH($E96,Roadmap!$D:$D,0)+COUNTIF($E96:L96,"u")+COUNTIF($E96:L96,"t"),
     INDEX(Roadmap!$D:$K,MATCH($E96,Roadmap!$D:$D,0)+COUNTIF($E96:L96,"u")+COUNTIF($E96:L96,"t")+COUNTIF($E96:L96,"¶")+COUNTIF($E96:L96,"²")+COUNTIF($E96:L96,"µ")+COUNTIF($E96:L96,1),ColTypeEcheance)),
  IF(LEN(L96)=1,
  IF(LEN(INDEX(Roadmap!$D:$K,MATCH($E96,Roadmap!$D:$D,0)-1+COUNTIF($E96:L96,"u")+COUNTIF($E96:L96,"t")+COUNTIF($E96:L96,"¶")+COUNTIF($E96:L96,"²")+COUNTIF($E96:L96,"µ")+COUNTIF($E96:L96,1),ColDescriptionCourte))&gt;1,
HYPERLINK("#Roadmap!C"&amp; MATCH($E96,Roadmap!$D:$D,0)+COUNTIF($E96:L96,"u")+COUNTIF($E96:L96,"t")+COUNTIF($E96:L96,"¶")+COUNTIF($E96:L96,"²")+COUNTIF($E96:L96,"µ")+COUNTIF($E96:L96,1)-1,INDEX(Roadmap!$D:$K,MATCH($E96,Roadmap!$D:$D,0)-1+COUNTIF($E96:L96,"u")+COUNTIF($E96:L96,"t")+COUNTIF($E96:L96,"¶")+COUNTIF($E96:L96,"²")+COUNTIF($E96:L96,"µ")+COUNTIF($E96:L96,1),ColDescriptionCourte)),""),
  "")),"")</f>
        <v/>
      </c>
      <c r="N96" s="40" t="str">
        <f ca="1">IFERROR(IF(AND(
  INDEX(Roadmap!$D:$K,MATCH($E96,Roadmap!$D:$D,0)+COUNTIF($E96:M96,"u")+COUNTIF($E96:M96,"t")+COUNTIF($E96:M96,"¶")+COUNTIF($E96:M96,"²")+COUNTIF($E96:M96,"µ")+COUNTIF($E96:M96,1),ColLivraison)=N$6,
  VLOOKUP($E96,INDIRECT("tri!"&amp; CHAR(64+ C0Col) &amp;":"&amp; CHAR(65+C0Col)),2,FALSE)&gt;COUNTIF($E96:M96,"u")+COUNTIF($E96:M96,"t")+COUNTIF($E96:M96,"¶")+COUNTIF($E96:M96,"²")+COUNTIF($E96:M96,"µ")+COUNTIF($E96:M96,1)),
HYPERLINK("#Roadmap!C"&amp; MATCH($E96,Roadmap!$D:$D,0)+COUNTIF($E96:M96,"u")+COUNTIF($E96:M96,"t"),
     INDEX(Roadmap!$D:$K,MATCH($E96,Roadmap!$D:$D,0)+COUNTIF($E96:M96,"u")+COUNTIF($E96:M96,"t")+COUNTIF($E96:M96,"¶")+COUNTIF($E96:M96,"²")+COUNTIF($E96:M96,"µ")+COUNTIF($E96:M96,1),ColTypeEcheance)),
  IF(LEN(M96)=1,
  IF(LEN(INDEX(Roadmap!$D:$K,MATCH($E96,Roadmap!$D:$D,0)-1+COUNTIF($E96:M96,"u")+COUNTIF($E96:M96,"t")+COUNTIF($E96:M96,"¶")+COUNTIF($E96:M96,"²")+COUNTIF($E96:M96,"µ")+COUNTIF($E96:M96,1),ColDescriptionCourte))&gt;1,
HYPERLINK("#Roadmap!C"&amp; MATCH($E96,Roadmap!$D:$D,0)+COUNTIF($E96:M96,"u")+COUNTIF($E96:M96,"t")+COUNTIF($E96:M96,"¶")+COUNTIF($E96:M96,"²")+COUNTIF($E96:M96,"µ")+COUNTIF($E96:M96,1)-1,INDEX(Roadmap!$D:$K,MATCH($E96,Roadmap!$D:$D,0)-1+COUNTIF($E96:M96,"u")+COUNTIF($E96:M96,"t")+COUNTIF($E96:M96,"¶")+COUNTIF($E96:M96,"²")+COUNTIF($E96:M96,"µ")+COUNTIF($E96:M96,1),ColDescriptionCourte)),""),
  "")),"")</f>
        <v/>
      </c>
      <c r="O96" s="40" t="str">
        <f ca="1">IFERROR(IF(AND(
  INDEX(Roadmap!$D:$K,MATCH($E96,Roadmap!$D:$D,0)+COUNTIF($E96:N96,"u")+COUNTIF($E96:N96,"t")+COUNTIF($E96:N96,"¶")+COUNTIF($E96:N96,"²")+COUNTIF($E96:N96,"µ")+COUNTIF($E96:N96,1),ColLivraison)=O$6,
  VLOOKUP($E96,INDIRECT("tri!"&amp; CHAR(64+ C0Col) &amp;":"&amp; CHAR(65+C0Col)),2,FALSE)&gt;COUNTIF($E96:N96,"u")+COUNTIF($E96:N96,"t")+COUNTIF($E96:N96,"¶")+COUNTIF($E96:N96,"²")+COUNTIF($E96:N96,"µ")+COUNTIF($E96:N96,1)),
HYPERLINK("#Roadmap!C"&amp; MATCH($E96,Roadmap!$D:$D,0)+COUNTIF($E96:N96,"u")+COUNTIF($E96:N96,"t"),
     INDEX(Roadmap!$D:$K,MATCH($E96,Roadmap!$D:$D,0)+COUNTIF($E96:N96,"u")+COUNTIF($E96:N96,"t")+COUNTIF($E96:N96,"¶")+COUNTIF($E96:N96,"²")+COUNTIF($E96:N96,"µ")+COUNTIF($E96:N96,1),ColTypeEcheance)),
  IF(LEN(N96)=1,
  IF(LEN(INDEX(Roadmap!$D:$K,MATCH($E96,Roadmap!$D:$D,0)-1+COUNTIF($E96:N96,"u")+COUNTIF($E96:N96,"t")+COUNTIF($E96:N96,"¶")+COUNTIF($E96:N96,"²")+COUNTIF($E96:N96,"µ")+COUNTIF($E96:N96,1),ColDescriptionCourte))&gt;1,
HYPERLINK("#Roadmap!C"&amp; MATCH($E96,Roadmap!$D:$D,0)+COUNTIF($E96:N96,"u")+COUNTIF($E96:N96,"t")+COUNTIF($E96:N96,"¶")+COUNTIF($E96:N96,"²")+COUNTIF($E96:N96,"µ")+COUNTIF($E96:N96,1)-1,INDEX(Roadmap!$D:$K,MATCH($E96,Roadmap!$D:$D,0)-1+COUNTIF($E96:N96,"u")+COUNTIF($E96:N96,"t")+COUNTIF($E96:N96,"¶")+COUNTIF($E96:N96,"²")+COUNTIF($E96:N96,"µ")+COUNTIF($E96:N96,1),ColDescriptionCourte)),""),
  "")),"")</f>
        <v/>
      </c>
      <c r="P96" s="40" t="str">
        <f ca="1">IFERROR(IF(AND(
  INDEX(Roadmap!$D:$K,MATCH($E96,Roadmap!$D:$D,0)+COUNTIF($E96:O96,"u")+COUNTIF($E96:O96,"t")+COUNTIF($E96:O96,"¶")+COUNTIF($E96:O96,"²")+COUNTIF($E96:O96,"µ")+COUNTIF($E96:O96,1),ColLivraison)=P$6,
  VLOOKUP($E96,INDIRECT("tri!"&amp; CHAR(64+ C0Col) &amp;":"&amp; CHAR(65+C0Col)),2,FALSE)&gt;COUNTIF($E96:O96,"u")+COUNTIF($E96:O96,"t")+COUNTIF($E96:O96,"¶")+COUNTIF($E96:O96,"²")+COUNTIF($E96:O96,"µ")+COUNTIF($E96:O96,1)),
HYPERLINK("#Roadmap!C"&amp; MATCH($E96,Roadmap!$D:$D,0)+COUNTIF($E96:O96,"u")+COUNTIF($E96:O96,"t"),
     INDEX(Roadmap!$D:$K,MATCH($E96,Roadmap!$D:$D,0)+COUNTIF($E96:O96,"u")+COUNTIF($E96:O96,"t")+COUNTIF($E96:O96,"¶")+COUNTIF($E96:O96,"²")+COUNTIF($E96:O96,"µ")+COUNTIF($E96:O96,1),ColTypeEcheance)),
  IF(LEN(O96)=1,
  IF(LEN(INDEX(Roadmap!$D:$K,MATCH($E96,Roadmap!$D:$D,0)-1+COUNTIF($E96:O96,"u")+COUNTIF($E96:O96,"t")+COUNTIF($E96:O96,"¶")+COUNTIF($E96:O96,"²")+COUNTIF($E96:O96,"µ")+COUNTIF($E96:O96,1),ColDescriptionCourte))&gt;1,
HYPERLINK("#Roadmap!C"&amp; MATCH($E96,Roadmap!$D:$D,0)+COUNTIF($E96:O96,"u")+COUNTIF($E96:O96,"t")+COUNTIF($E96:O96,"¶")+COUNTIF($E96:O96,"²")+COUNTIF($E96:O96,"µ")+COUNTIF($E96:O96,1)-1,INDEX(Roadmap!$D:$K,MATCH($E96,Roadmap!$D:$D,0)-1+COUNTIF($E96:O96,"u")+COUNTIF($E96:O96,"t")+COUNTIF($E96:O96,"¶")+COUNTIF($E96:O96,"²")+COUNTIF($E96:O96,"µ")+COUNTIF($E96:O96,1),ColDescriptionCourte)),""),
  "")),"")</f>
        <v/>
      </c>
      <c r="Q96" s="40" t="str">
        <f ca="1">IFERROR(IF(AND(
  INDEX(Roadmap!$D:$K,MATCH($E96,Roadmap!$D:$D,0)+COUNTIF($E96:P96,"u")+COUNTIF($E96:P96,"t")+COUNTIF($E96:P96,"¶")+COUNTIF($E96:P96,"²")+COUNTIF($E96:P96,"µ")+COUNTIF($E96:P96,1),ColLivraison)=Q$6,
  VLOOKUP($E96,INDIRECT("tri!"&amp; CHAR(64+ C0Col) &amp;":"&amp; CHAR(65+C0Col)),2,FALSE)&gt;COUNTIF($E96:P96,"u")+COUNTIF($E96:P96,"t")+COUNTIF($E96:P96,"¶")+COUNTIF($E96:P96,"²")+COUNTIF($E96:P96,"µ")+COUNTIF($E96:P96,1)),
HYPERLINK("#Roadmap!C"&amp; MATCH($E96,Roadmap!$D:$D,0)+COUNTIF($E96:P96,"u")+COUNTIF($E96:P96,"t"),
     INDEX(Roadmap!$D:$K,MATCH($E96,Roadmap!$D:$D,0)+COUNTIF($E96:P96,"u")+COUNTIF($E96:P96,"t")+COUNTIF($E96:P96,"¶")+COUNTIF($E96:P96,"²")+COUNTIF($E96:P96,"µ")+COUNTIF($E96:P96,1),ColTypeEcheance)),
  IF(LEN(P96)=1,
  IF(LEN(INDEX(Roadmap!$D:$K,MATCH($E96,Roadmap!$D:$D,0)-1+COUNTIF($E96:P96,"u")+COUNTIF($E96:P96,"t")+COUNTIF($E96:P96,"¶")+COUNTIF($E96:P96,"²")+COUNTIF($E96:P96,"µ")+COUNTIF($E96:P96,1),ColDescriptionCourte))&gt;1,
HYPERLINK("#Roadmap!C"&amp; MATCH($E96,Roadmap!$D:$D,0)+COUNTIF($E96:P96,"u")+COUNTIF($E96:P96,"t")+COUNTIF($E96:P96,"¶")+COUNTIF($E96:P96,"²")+COUNTIF($E96:P96,"µ")+COUNTIF($E96:P96,1)-1,INDEX(Roadmap!$D:$K,MATCH($E96,Roadmap!$D:$D,0)-1+COUNTIF($E96:P96,"u")+COUNTIF($E96:P96,"t")+COUNTIF($E96:P96,"¶")+COUNTIF($E96:P96,"²")+COUNTIF($E96:P96,"µ")+COUNTIF($E96:P96,1),ColDescriptionCourte)),""),
  "")),"")</f>
        <v/>
      </c>
      <c r="R96" s="40" t="str">
        <f ca="1">IFERROR(IF(AND(
  INDEX(Roadmap!$D:$K,MATCH($E96,Roadmap!$D:$D,0)+COUNTIF($E96:Q96,"u")+COUNTIF($E96:Q96,"t")+COUNTIF($E96:Q96,"¶")+COUNTIF($E96:Q96,"²")+COUNTIF($E96:Q96,"µ")+COUNTIF($E96:Q96,1),ColLivraison)=R$6,
  VLOOKUP($E96,INDIRECT("tri!"&amp; CHAR(64+ C0Col) &amp;":"&amp; CHAR(65+C0Col)),2,FALSE)&gt;COUNTIF($E96:Q96,"u")+COUNTIF($E96:Q96,"t")+COUNTIF($E96:Q96,"¶")+COUNTIF($E96:Q96,"²")+COUNTIF($E96:Q96,"µ")+COUNTIF($E96:Q96,1)),
HYPERLINK("#Roadmap!C"&amp; MATCH($E96,Roadmap!$D:$D,0)+COUNTIF($E96:Q96,"u")+COUNTIF($E96:Q96,"t"),
     INDEX(Roadmap!$D:$K,MATCH($E96,Roadmap!$D:$D,0)+COUNTIF($E96:Q96,"u")+COUNTIF($E96:Q96,"t")+COUNTIF($E96:Q96,"¶")+COUNTIF($E96:Q96,"²")+COUNTIF($E96:Q96,"µ")+COUNTIF($E96:Q96,1),ColTypeEcheance)),
  IF(LEN(Q96)=1,
  IF(LEN(INDEX(Roadmap!$D:$K,MATCH($E96,Roadmap!$D:$D,0)-1+COUNTIF($E96:Q96,"u")+COUNTIF($E96:Q96,"t")+COUNTIF($E96:Q96,"¶")+COUNTIF($E96:Q96,"²")+COUNTIF($E96:Q96,"µ")+COUNTIF($E96:Q96,1),ColDescriptionCourte))&gt;1,
HYPERLINK("#Roadmap!C"&amp; MATCH($E96,Roadmap!$D:$D,0)+COUNTIF($E96:Q96,"u")+COUNTIF($E96:Q96,"t")+COUNTIF($E96:Q96,"¶")+COUNTIF($E96:Q96,"²")+COUNTIF($E96:Q96,"µ")+COUNTIF($E96:Q96,1)-1,INDEX(Roadmap!$D:$K,MATCH($E96,Roadmap!$D:$D,0)-1+COUNTIF($E96:Q96,"u")+COUNTIF($E96:Q96,"t")+COUNTIF($E96:Q96,"¶")+COUNTIF($E96:Q96,"²")+COUNTIF($E96:Q96,"µ")+COUNTIF($E96:Q96,1),ColDescriptionCourte)),""),
  "")),"")</f>
        <v/>
      </c>
      <c r="S96" s="40" t="str">
        <f ca="1">IFERROR(IF(AND(
  INDEX(Roadmap!$D:$K,MATCH($E96,Roadmap!$D:$D,0)+COUNTIF($E96:R96,"u")+COUNTIF($E96:R96,"t")+COUNTIF($E96:R96,"¶")+COUNTIF($E96:R96,"²")+COUNTIF($E96:R96,"µ")+COUNTIF($E96:R96,1),ColLivraison)=S$6,
  VLOOKUP($E96,INDIRECT("tri!"&amp; CHAR(64+ C0Col) &amp;":"&amp; CHAR(65+C0Col)),2,FALSE)&gt;COUNTIF($E96:R96,"u")+COUNTIF($E96:R96,"t")+COUNTIF($E96:R96,"¶")+COUNTIF($E96:R96,"²")+COUNTIF($E96:R96,"µ")+COUNTIF($E96:R96,1)),
HYPERLINK("#Roadmap!C"&amp; MATCH($E96,Roadmap!$D:$D,0)+COUNTIF($E96:R96,"u")+COUNTIF($E96:R96,"t"),
     INDEX(Roadmap!$D:$K,MATCH($E96,Roadmap!$D:$D,0)+COUNTIF($E96:R96,"u")+COUNTIF($E96:R96,"t")+COUNTIF($E96:R96,"¶")+COUNTIF($E96:R96,"²")+COUNTIF($E96:R96,"µ")+COUNTIF($E96:R96,1),ColTypeEcheance)),
  IF(LEN(R96)=1,
  IF(LEN(INDEX(Roadmap!$D:$K,MATCH($E96,Roadmap!$D:$D,0)-1+COUNTIF($E96:R96,"u")+COUNTIF($E96:R96,"t")+COUNTIF($E96:R96,"¶")+COUNTIF($E96:R96,"²")+COUNTIF($E96:R96,"µ")+COUNTIF($E96:R96,1),ColDescriptionCourte))&gt;1,
HYPERLINK("#Roadmap!C"&amp; MATCH($E96,Roadmap!$D:$D,0)+COUNTIF($E96:R96,"u")+COUNTIF($E96:R96,"t")+COUNTIF($E96:R96,"¶")+COUNTIF($E96:R96,"²")+COUNTIF($E96:R96,"µ")+COUNTIF($E96:R96,1)-1,INDEX(Roadmap!$D:$K,MATCH($E96,Roadmap!$D:$D,0)-1+COUNTIF($E96:R96,"u")+COUNTIF($E96:R96,"t")+COUNTIF($E96:R96,"¶")+COUNTIF($E96:R96,"²")+COUNTIF($E96:R96,"µ")+COUNTIF($E96:R96,1),ColDescriptionCourte)),""),
  "")),"")</f>
        <v/>
      </c>
      <c r="T96" s="40" t="str">
        <f ca="1">IFERROR(IF(AND(
  INDEX(Roadmap!$D:$K,MATCH($E96,Roadmap!$D:$D,0)+COUNTIF($E96:S96,"u")+COUNTIF($E96:S96,"t")+COUNTIF($E96:S96,"¶")+COUNTIF($E96:S96,"²")+COUNTIF($E96:S96,"µ")+COUNTIF($E96:S96,1),ColLivraison)=T$6,
  VLOOKUP($E96,INDIRECT("tri!"&amp; CHAR(64+ C0Col) &amp;":"&amp; CHAR(65+C0Col)),2,FALSE)&gt;COUNTIF($E96:S96,"u")+COUNTIF($E96:S96,"t")+COUNTIF($E96:S96,"¶")+COUNTIF($E96:S96,"²")+COUNTIF($E96:S96,"µ")+COUNTIF($E96:S96,1)),
HYPERLINK("#Roadmap!C"&amp; MATCH($E96,Roadmap!$D:$D,0)+COUNTIF($E96:S96,"u")+COUNTIF($E96:S96,"t"),
     INDEX(Roadmap!$D:$K,MATCH($E96,Roadmap!$D:$D,0)+COUNTIF($E96:S96,"u")+COUNTIF($E96:S96,"t")+COUNTIF($E96:S96,"¶")+COUNTIF($E96:S96,"²")+COUNTIF($E96:S96,"µ")+COUNTIF($E96:S96,1),ColTypeEcheance)),
  IF(LEN(S96)=1,
  IF(LEN(INDEX(Roadmap!$D:$K,MATCH($E96,Roadmap!$D:$D,0)-1+COUNTIF($E96:S96,"u")+COUNTIF($E96:S96,"t")+COUNTIF($E96:S96,"¶")+COUNTIF($E96:S96,"²")+COUNTIF($E96:S96,"µ")+COUNTIF($E96:S96,1),ColDescriptionCourte))&gt;1,
HYPERLINK("#Roadmap!C"&amp; MATCH($E96,Roadmap!$D:$D,0)+COUNTIF($E96:S96,"u")+COUNTIF($E96:S96,"t")+COUNTIF($E96:S96,"¶")+COUNTIF($E96:S96,"²")+COUNTIF($E96:S96,"µ")+COUNTIF($E96:S96,1)-1,INDEX(Roadmap!$D:$K,MATCH($E96,Roadmap!$D:$D,0)-1+COUNTIF($E96:S96,"u")+COUNTIF($E96:S96,"t")+COUNTIF($E96:S96,"¶")+COUNTIF($E96:S96,"²")+COUNTIF($E96:S96,"µ")+COUNTIF($E96:S96,1),ColDescriptionCourte)),""),
  "")),"")</f>
        <v/>
      </c>
      <c r="U96" s="40" t="str">
        <f ca="1">IFERROR(IF(AND(
  INDEX(Roadmap!$D:$K,MATCH($E96,Roadmap!$D:$D,0)+COUNTIF($E96:T96,"u")+COUNTIF($E96:T96,"t")+COUNTIF($E96:T96,"¶")+COUNTIF($E96:T96,"²")+COUNTIF($E96:T96,"µ")+COUNTIF($E96:T96,1),ColLivraison)=U$6,
  VLOOKUP($E96,INDIRECT("tri!"&amp; CHAR(64+ C0Col) &amp;":"&amp; CHAR(65+C0Col)),2,FALSE)&gt;COUNTIF($E96:T96,"u")+COUNTIF($E96:T96,"t")+COUNTIF($E96:T96,"¶")+COUNTIF($E96:T96,"²")+COUNTIF($E96:T96,"µ")+COUNTIF($E96:T96,1)),
HYPERLINK("#Roadmap!C"&amp; MATCH($E96,Roadmap!$D:$D,0)+COUNTIF($E96:T96,"u")+COUNTIF($E96:T96,"t"),
     INDEX(Roadmap!$D:$K,MATCH($E96,Roadmap!$D:$D,0)+COUNTIF($E96:T96,"u")+COUNTIF($E96:T96,"t")+COUNTIF($E96:T96,"¶")+COUNTIF($E96:T96,"²")+COUNTIF($E96:T96,"µ")+COUNTIF($E96:T96,1),ColTypeEcheance)),
  IF(LEN(T96)=1,
  IF(LEN(INDEX(Roadmap!$D:$K,MATCH($E96,Roadmap!$D:$D,0)-1+COUNTIF($E96:T96,"u")+COUNTIF($E96:T96,"t")+COUNTIF($E96:T96,"¶")+COUNTIF($E96:T96,"²")+COUNTIF($E96:T96,"µ")+COUNTIF($E96:T96,1),ColDescriptionCourte))&gt;1,
HYPERLINK("#Roadmap!C"&amp; MATCH($E96,Roadmap!$D:$D,0)+COUNTIF($E96:T96,"u")+COUNTIF($E96:T96,"t")+COUNTIF($E96:T96,"¶")+COUNTIF($E96:T96,"²")+COUNTIF($E96:T96,"µ")+COUNTIF($E96:T96,1)-1,INDEX(Roadmap!$D:$K,MATCH($E96,Roadmap!$D:$D,0)-1+COUNTIF($E96:T96,"u")+COUNTIF($E96:T96,"t")+COUNTIF($E96:T96,"¶")+COUNTIF($E96:T96,"²")+COUNTIF($E96:T96,"µ")+COUNTIF($E96:T96,1),ColDescriptionCourte)),""),
  "")),"")</f>
        <v/>
      </c>
      <c r="V96" s="40" t="str">
        <f ca="1">IFERROR(IF(AND(
  INDEX(Roadmap!$D:$K,MATCH($E96,Roadmap!$D:$D,0)+COUNTIF($E96:U96,"u")+COUNTIF($E96:U96,"t")+COUNTIF($E96:U96,"¶")+COUNTIF($E96:U96,"²")+COUNTIF($E96:U96,"µ")+COUNTIF($E96:U96,1),ColLivraison)=V$6,
  VLOOKUP($E96,INDIRECT("tri!"&amp; CHAR(64+ C0Col) &amp;":"&amp; CHAR(65+C0Col)),2,FALSE)&gt;COUNTIF($E96:U96,"u")+COUNTIF($E96:U96,"t")+COUNTIF($E96:U96,"¶")+COUNTIF($E96:U96,"²")+COUNTIF($E96:U96,"µ")+COUNTIF($E96:U96,1)),
HYPERLINK("#Roadmap!C"&amp; MATCH($E96,Roadmap!$D:$D,0)+COUNTIF($E96:U96,"u")+COUNTIF($E96:U96,"t"),
     INDEX(Roadmap!$D:$K,MATCH($E96,Roadmap!$D:$D,0)+COUNTIF($E96:U96,"u")+COUNTIF($E96:U96,"t")+COUNTIF($E96:U96,"¶")+COUNTIF($E96:U96,"²")+COUNTIF($E96:U96,"µ")+COUNTIF($E96:U96,1),ColTypeEcheance)),
  IF(LEN(U96)=1,
  IF(LEN(INDEX(Roadmap!$D:$K,MATCH($E96,Roadmap!$D:$D,0)-1+COUNTIF($E96:U96,"u")+COUNTIF($E96:U96,"t")+COUNTIF($E96:U96,"¶")+COUNTIF($E96:U96,"²")+COUNTIF($E96:U96,"µ")+COUNTIF($E96:U96,1),ColDescriptionCourte))&gt;1,
HYPERLINK("#Roadmap!C"&amp; MATCH($E96,Roadmap!$D:$D,0)+COUNTIF($E96:U96,"u")+COUNTIF($E96:U96,"t")+COUNTIF($E96:U96,"¶")+COUNTIF($E96:U96,"²")+COUNTIF($E96:U96,"µ")+COUNTIF($E96:U96,1)-1,INDEX(Roadmap!$D:$K,MATCH($E96,Roadmap!$D:$D,0)-1+COUNTIF($E96:U96,"u")+COUNTIF($E96:U96,"t")+COUNTIF($E96:U96,"¶")+COUNTIF($E96:U96,"²")+COUNTIF($E96:U96,"µ")+COUNTIF($E96:U96,1),ColDescriptionCourte)),""),
  "")),"")</f>
        <v/>
      </c>
      <c r="W96" s="40" t="str">
        <f ca="1">IFERROR(IF(AND(
  INDEX(Roadmap!$D:$K,MATCH($E96,Roadmap!$D:$D,0)+COUNTIF($E96:V96,"u")+COUNTIF($E96:V96,"t")+COUNTIF($E96:V96,"¶")+COUNTIF($E96:V96,"²")+COUNTIF($E96:V96,"µ")+COUNTIF($E96:V96,1),ColLivraison)=W$6,
  VLOOKUP($E96,INDIRECT("tri!"&amp; CHAR(64+ C0Col) &amp;":"&amp; CHAR(65+C0Col)),2,FALSE)&gt;COUNTIF($E96:V96,"u")+COUNTIF($E96:V96,"t")+COUNTIF($E96:V96,"¶")+COUNTIF($E96:V96,"²")+COUNTIF($E96:V96,"µ")+COUNTIF($E96:V96,1)),
HYPERLINK("#Roadmap!C"&amp; MATCH($E96,Roadmap!$D:$D,0)+COUNTIF($E96:V96,"u")+COUNTIF($E96:V96,"t"),
     INDEX(Roadmap!$D:$K,MATCH($E96,Roadmap!$D:$D,0)+COUNTIF($E96:V96,"u")+COUNTIF($E96:V96,"t")+COUNTIF($E96:V96,"¶")+COUNTIF($E96:V96,"²")+COUNTIF($E96:V96,"µ")+COUNTIF($E96:V96,1),ColTypeEcheance)),
  IF(LEN(V96)=1,
  IF(LEN(INDEX(Roadmap!$D:$K,MATCH($E96,Roadmap!$D:$D,0)-1+COUNTIF($E96:V96,"u")+COUNTIF($E96:V96,"t")+COUNTIF($E96:V96,"¶")+COUNTIF($E96:V96,"²")+COUNTIF($E96:V96,"µ")+COUNTIF($E96:V96,1),ColDescriptionCourte))&gt;1,
HYPERLINK("#Roadmap!C"&amp; MATCH($E96,Roadmap!$D:$D,0)+COUNTIF($E96:V96,"u")+COUNTIF($E96:V96,"t")+COUNTIF($E96:V96,"¶")+COUNTIF($E96:V96,"²")+COUNTIF($E96:V96,"µ")+COUNTIF($E96:V96,1)-1,INDEX(Roadmap!$D:$K,MATCH($E96,Roadmap!$D:$D,0)-1+COUNTIF($E96:V96,"u")+COUNTIF($E96:V96,"t")+COUNTIF($E96:V96,"¶")+COUNTIF($E96:V96,"²")+COUNTIF($E96:V96,"µ")+COUNTIF($E96:V96,1),ColDescriptionCourte)),""),
  "")),"")</f>
        <v/>
      </c>
      <c r="X96" s="40" t="str">
        <f ca="1">IFERROR(IF(AND(
  INDEX(Roadmap!$D:$K,MATCH($E96,Roadmap!$D:$D,0)+COUNTIF($E96:W96,"u")+COUNTIF($E96:W96,"t")+COUNTIF($E96:W96,"¶")+COUNTIF($E96:W96,"²")+COUNTIF($E96:W96,"µ")+COUNTIF($E96:W96,1),ColLivraison)=X$6,
  VLOOKUP($E96,INDIRECT("tri!"&amp; CHAR(64+ C0Col) &amp;":"&amp; CHAR(65+C0Col)),2,FALSE)&gt;COUNTIF($E96:W96,"u")+COUNTIF($E96:W96,"t")+COUNTIF($E96:W96,"¶")+COUNTIF($E96:W96,"²")+COUNTIF($E96:W96,"µ")+COUNTIF($E96:W96,1)),
HYPERLINK("#Roadmap!C"&amp; MATCH($E96,Roadmap!$D:$D,0)+COUNTIF($E96:W96,"u")+COUNTIF($E96:W96,"t"),
     INDEX(Roadmap!$D:$K,MATCH($E96,Roadmap!$D:$D,0)+COUNTIF($E96:W96,"u")+COUNTIF($E96:W96,"t")+COUNTIF($E96:W96,"¶")+COUNTIF($E96:W96,"²")+COUNTIF($E96:W96,"µ")+COUNTIF($E96:W96,1),ColTypeEcheance)),
  IF(LEN(W96)=1,
  IF(LEN(INDEX(Roadmap!$D:$K,MATCH($E96,Roadmap!$D:$D,0)-1+COUNTIF($E96:W96,"u")+COUNTIF($E96:W96,"t")+COUNTIF($E96:W96,"¶")+COUNTIF($E96:W96,"²")+COUNTIF($E96:W96,"µ")+COUNTIF($E96:W96,1),ColDescriptionCourte))&gt;1,
HYPERLINK("#Roadmap!C"&amp; MATCH($E96,Roadmap!$D:$D,0)+COUNTIF($E96:W96,"u")+COUNTIF($E96:W96,"t")+COUNTIF($E96:W96,"¶")+COUNTIF($E96:W96,"²")+COUNTIF($E96:W96,"µ")+COUNTIF($E96:W96,1)-1,INDEX(Roadmap!$D:$K,MATCH($E96,Roadmap!$D:$D,0)-1+COUNTIF($E96:W96,"u")+COUNTIF($E96:W96,"t")+COUNTIF($E96:W96,"¶")+COUNTIF($E96:W96,"²")+COUNTIF($E96:W96,"µ")+COUNTIF($E96:W96,1),ColDescriptionCourte)),""),
  "")),"")</f>
        <v/>
      </c>
      <c r="Y96" s="40" t="str">
        <f ca="1">IFERROR(IF(AND(
  INDEX(Roadmap!$D:$K,MATCH($E96,Roadmap!$D:$D,0)+COUNTIF($E96:X96,"u")+COUNTIF($E96:X96,"t")+COUNTIF($E96:X96,"¶")+COUNTIF($E96:X96,"²")+COUNTIF($E96:X96,"µ")+COUNTIF($E96:X96,1),ColLivraison)=Y$6,
  VLOOKUP($E96,INDIRECT("tri!"&amp; CHAR(64+ C0Col) &amp;":"&amp; CHAR(65+C0Col)),2,FALSE)&gt;COUNTIF($E96:X96,"u")+COUNTIF($E96:X96,"t")+COUNTIF($E96:X96,"¶")+COUNTIF($E96:X96,"²")+COUNTIF($E96:X96,"µ")+COUNTIF($E96:X96,1)),
HYPERLINK("#Roadmap!C"&amp; MATCH($E96,Roadmap!$D:$D,0)+COUNTIF($E96:X96,"u")+COUNTIF($E96:X96,"t"),
     INDEX(Roadmap!$D:$K,MATCH($E96,Roadmap!$D:$D,0)+COUNTIF($E96:X96,"u")+COUNTIF($E96:X96,"t")+COUNTIF($E96:X96,"¶")+COUNTIF($E96:X96,"²")+COUNTIF($E96:X96,"µ")+COUNTIF($E96:X96,1),ColTypeEcheance)),
  IF(LEN(X96)=1,
  IF(LEN(INDEX(Roadmap!$D:$K,MATCH($E96,Roadmap!$D:$D,0)-1+COUNTIF($E96:X96,"u")+COUNTIF($E96:X96,"t")+COUNTIF($E96:X96,"¶")+COUNTIF($E96:X96,"²")+COUNTIF($E96:X96,"µ")+COUNTIF($E96:X96,1),ColDescriptionCourte))&gt;1,
HYPERLINK("#Roadmap!C"&amp; MATCH($E96,Roadmap!$D:$D,0)+COUNTIF($E96:X96,"u")+COUNTIF($E96:X96,"t")+COUNTIF($E96:X96,"¶")+COUNTIF($E96:X96,"²")+COUNTIF($E96:X96,"µ")+COUNTIF($E96:X96,1)-1,INDEX(Roadmap!$D:$K,MATCH($E96,Roadmap!$D:$D,0)-1+COUNTIF($E96:X96,"u")+COUNTIF($E96:X96,"t")+COUNTIF($E96:X96,"¶")+COUNTIF($E96:X96,"²")+COUNTIF($E96:X96,"µ")+COUNTIF($E96:X96,1),ColDescriptionCourte)),""),
  "")),"")</f>
        <v/>
      </c>
      <c r="Z96" s="40" t="str">
        <f ca="1">IFERROR(IF(AND(
  INDEX(Roadmap!$D:$K,MATCH($E96,Roadmap!$D:$D,0)+COUNTIF($E96:Y96,"u")+COUNTIF($E96:Y96,"t")+COUNTIF($E96:Y96,"¶")+COUNTIF($E96:Y96,"²")+COUNTIF($E96:Y96,"µ")+COUNTIF($E96:Y96,1),ColLivraison)=Z$6,
  VLOOKUP($E96,INDIRECT("tri!"&amp; CHAR(64+ C0Col) &amp;":"&amp; CHAR(65+C0Col)),2,FALSE)&gt;COUNTIF($E96:Y96,"u")+COUNTIF($E96:Y96,"t")+COUNTIF($E96:Y96,"¶")+COUNTIF($E96:Y96,"²")+COUNTIF($E96:Y96,"µ")+COUNTIF($E96:Y96,1)),
HYPERLINK("#Roadmap!C"&amp; MATCH($E96,Roadmap!$D:$D,0)+COUNTIF($E96:Y96,"u")+COUNTIF($E96:Y96,"t"),
     INDEX(Roadmap!$D:$K,MATCH($E96,Roadmap!$D:$D,0)+COUNTIF($E96:Y96,"u")+COUNTIF($E96:Y96,"t")+COUNTIF($E96:Y96,"¶")+COUNTIF($E96:Y96,"²")+COUNTIF($E96:Y96,"µ")+COUNTIF($E96:Y96,1),ColTypeEcheance)),
  IF(LEN(Y96)=1,
  IF(LEN(INDEX(Roadmap!$D:$K,MATCH($E96,Roadmap!$D:$D,0)-1+COUNTIF($E96:Y96,"u")+COUNTIF($E96:Y96,"t")+COUNTIF($E96:Y96,"¶")+COUNTIF($E96:Y96,"²")+COUNTIF($E96:Y96,"µ")+COUNTIF($E96:Y96,1),ColDescriptionCourte))&gt;1,
HYPERLINK("#Roadmap!C"&amp; MATCH($E96,Roadmap!$D:$D,0)+COUNTIF($E96:Y96,"u")+COUNTIF($E96:Y96,"t")+COUNTIF($E96:Y96,"¶")+COUNTIF($E96:Y96,"²")+COUNTIF($E96:Y96,"µ")+COUNTIF($E96:Y96,1)-1,INDEX(Roadmap!$D:$K,MATCH($E96,Roadmap!$D:$D,0)-1+COUNTIF($E96:Y96,"u")+COUNTIF($E96:Y96,"t")+COUNTIF($E96:Y96,"¶")+COUNTIF($E96:Y96,"²")+COUNTIF($E96:Y96,"µ")+COUNTIF($E96:Y96,1),ColDescriptionCourte)),""),
  "")),"")</f>
        <v/>
      </c>
      <c r="AA96" s="40" t="str">
        <f ca="1">IFERROR(IF(AND(
  INDEX(Roadmap!$D:$K,MATCH($E96,Roadmap!$D:$D,0)+COUNTIF($E96:Z96,"u")+COUNTIF($E96:Z96,"t")+COUNTIF($E96:Z96,"¶")+COUNTIF($E96:Z96,"²")+COUNTIF($E96:Z96,"µ")+COUNTIF($E96:Z96,1),ColLivraison)=AA$6,
  VLOOKUP($E96,INDIRECT("tri!"&amp; CHAR(64+ C0Col) &amp;":"&amp; CHAR(65+C0Col)),2,FALSE)&gt;COUNTIF($E96:Z96,"u")+COUNTIF($E96:Z96,"t")+COUNTIF($E96:Z96,"¶")+COUNTIF($E96:Z96,"²")+COUNTIF($E96:Z96,"µ")+COUNTIF($E96:Z96,1)),
HYPERLINK("#Roadmap!C"&amp; MATCH($E96,Roadmap!$D:$D,0)+COUNTIF($E96:Z96,"u")+COUNTIF($E96:Z96,"t"),
     INDEX(Roadmap!$D:$K,MATCH($E96,Roadmap!$D:$D,0)+COUNTIF($E96:Z96,"u")+COUNTIF($E96:Z96,"t")+COUNTIF($E96:Z96,"¶")+COUNTIF($E96:Z96,"²")+COUNTIF($E96:Z96,"µ")+COUNTIF($E96:Z96,1),ColTypeEcheance)),
  IF(LEN(Z96)=1,
  IF(LEN(INDEX(Roadmap!$D:$K,MATCH($E96,Roadmap!$D:$D,0)-1+COUNTIF($E96:Z96,"u")+COUNTIF($E96:Z96,"t")+COUNTIF($E96:Z96,"¶")+COUNTIF($E96:Z96,"²")+COUNTIF($E96:Z96,"µ")+COUNTIF($E96:Z96,1),ColDescriptionCourte))&gt;1,
HYPERLINK("#Roadmap!C"&amp; MATCH($E96,Roadmap!$D:$D,0)+COUNTIF($E96:Z96,"u")+COUNTIF($E96:Z96,"t")+COUNTIF($E96:Z96,"¶")+COUNTIF($E96:Z96,"²")+COUNTIF($E96:Z96,"µ")+COUNTIF($E96:Z96,1)-1,INDEX(Roadmap!$D:$K,MATCH($E96,Roadmap!$D:$D,0)-1+COUNTIF($E96:Z96,"u")+COUNTIF($E96:Z96,"t")+COUNTIF($E96:Z96,"¶")+COUNTIF($E96:Z96,"²")+COUNTIF($E96:Z96,"µ")+COUNTIF($E96:Z96,1),ColDescriptionCourte)),""),
  "")),"")</f>
        <v/>
      </c>
      <c r="AB96" s="40" t="str">
        <f ca="1">IFERROR(IF(AND(
  INDEX(Roadmap!$D:$K,MATCH($E96,Roadmap!$D:$D,0)+COUNTIF($E96:AA96,"u")+COUNTIF($E96:AA96,"t")+COUNTIF($E96:AA96,"¶")+COUNTIF($E96:AA96,"²")+COUNTIF($E96:AA96,"µ")+COUNTIF($E96:AA96,1),ColLivraison)=AB$6,
  VLOOKUP($E96,INDIRECT("tri!"&amp; CHAR(64+ C0Col) &amp;":"&amp; CHAR(65+C0Col)),2,FALSE)&gt;COUNTIF($E96:AA96,"u")+COUNTIF($E96:AA96,"t")+COUNTIF($E96:AA96,"¶")+COUNTIF($E96:AA96,"²")+COUNTIF($E96:AA96,"µ")+COUNTIF($E96:AA96,1)),
HYPERLINK("#Roadmap!C"&amp; MATCH($E96,Roadmap!$D:$D,0)+COUNTIF($E96:AA96,"u")+COUNTIF($E96:AA96,"t"),
     INDEX(Roadmap!$D:$K,MATCH($E96,Roadmap!$D:$D,0)+COUNTIF($E96:AA96,"u")+COUNTIF($E96:AA96,"t")+COUNTIF($E96:AA96,"¶")+COUNTIF($E96:AA96,"²")+COUNTIF($E96:AA96,"µ")+COUNTIF($E96:AA96,1),ColTypeEcheance)),
  IF(LEN(AA96)=1,
  IF(LEN(INDEX(Roadmap!$D:$K,MATCH($E96,Roadmap!$D:$D,0)-1+COUNTIF($E96:AA96,"u")+COUNTIF($E96:AA96,"t")+COUNTIF($E96:AA96,"¶")+COUNTIF($E96:AA96,"²")+COUNTIF($E96:AA96,"µ")+COUNTIF($E96:AA96,1),ColDescriptionCourte))&gt;1,
HYPERLINK("#Roadmap!C"&amp; MATCH($E96,Roadmap!$D:$D,0)+COUNTIF($E96:AA96,"u")+COUNTIF($E96:AA96,"t")+COUNTIF($E96:AA96,"¶")+COUNTIF($E96:AA96,"²")+COUNTIF($E96:AA96,"µ")+COUNTIF($E96:AA96,1)-1,INDEX(Roadmap!$D:$K,MATCH($E96,Roadmap!$D:$D,0)-1+COUNTIF($E96:AA96,"u")+COUNTIF($E96:AA96,"t")+COUNTIF($E96:AA96,"¶")+COUNTIF($E96:AA96,"²")+COUNTIF($E96:AA96,"µ")+COUNTIF($E96:AA96,1),ColDescriptionCourte)),""),
  "")),"")</f>
        <v/>
      </c>
      <c r="AC96" s="40" t="str">
        <f ca="1">IFERROR(IF(AND(
  INDEX(Roadmap!$D:$K,MATCH($E96,Roadmap!$D:$D,0)+COUNTIF($E96:AB96,"u")+COUNTIF($E96:AB96,"t")+COUNTIF($E96:AB96,"¶")+COUNTIF($E96:AB96,"²")+COUNTIF($E96:AB96,"µ")+COUNTIF($E96:AB96,1),ColLivraison)=AC$6,
  VLOOKUP($E96,INDIRECT("tri!"&amp; CHAR(64+ C0Col) &amp;":"&amp; CHAR(65+C0Col)),2,FALSE)&gt;COUNTIF($E96:AB96,"u")+COUNTIF($E96:AB96,"t")+COUNTIF($E96:AB96,"¶")+COUNTIF($E96:AB96,"²")+COUNTIF($E96:AB96,"µ")+COUNTIF($E96:AB96,1)),
HYPERLINK("#Roadmap!C"&amp; MATCH($E96,Roadmap!$D:$D,0)+COUNTIF($E96:AB96,"u")+COUNTIF($E96:AB96,"t"),
     INDEX(Roadmap!$D:$K,MATCH($E96,Roadmap!$D:$D,0)+COUNTIF($E96:AB96,"u")+COUNTIF($E96:AB96,"t")+COUNTIF($E96:AB96,"¶")+COUNTIF($E96:AB96,"²")+COUNTIF($E96:AB96,"µ")+COUNTIF($E96:AB96,1),ColTypeEcheance)),
  IF(LEN(AB96)=1,
  IF(LEN(INDEX(Roadmap!$D:$K,MATCH($E96,Roadmap!$D:$D,0)-1+COUNTIF($E96:AB96,"u")+COUNTIF($E96:AB96,"t")+COUNTIF($E96:AB96,"¶")+COUNTIF($E96:AB96,"²")+COUNTIF($E96:AB96,"µ")+COUNTIF($E96:AB96,1),ColDescriptionCourte))&gt;1,
HYPERLINK("#Roadmap!C"&amp; MATCH($E96,Roadmap!$D:$D,0)+COUNTIF($E96:AB96,"u")+COUNTIF($E96:AB96,"t")+COUNTIF($E96:AB96,"¶")+COUNTIF($E96:AB96,"²")+COUNTIF($E96:AB96,"µ")+COUNTIF($E96:AB96,1)-1,INDEX(Roadmap!$D:$K,MATCH($E96,Roadmap!$D:$D,0)-1+COUNTIF($E96:AB96,"u")+COUNTIF($E96:AB96,"t")+COUNTIF($E96:AB96,"¶")+COUNTIF($E96:AB96,"²")+COUNTIF($E96:AB96,"µ")+COUNTIF($E96:AB96,1),ColDescriptionCourte)),""),
  "")),"")</f>
        <v/>
      </c>
      <c r="AD96" s="40" t="str">
        <f ca="1">IFERROR(IF(AND(
  INDEX(Roadmap!$D:$K,MATCH($E96,Roadmap!$D:$D,0)+COUNTIF($E96:AC96,"u")+COUNTIF($E96:AC96,"t")+COUNTIF($E96:AC96,"¶")+COUNTIF($E96:AC96,"²")+COUNTIF($E96:AC96,"µ")+COUNTIF($E96:AC96,1),ColLivraison)=AD$6,
  VLOOKUP($E96,INDIRECT("tri!"&amp; CHAR(64+ C0Col) &amp;":"&amp; CHAR(65+C0Col)),2,FALSE)&gt;COUNTIF($E96:AC96,"u")+COUNTIF($E96:AC96,"t")+COUNTIF($E96:AC96,"¶")+COUNTIF($E96:AC96,"²")+COUNTIF($E96:AC96,"µ")+COUNTIF($E96:AC96,1)),
HYPERLINK("#Roadmap!C"&amp; MATCH($E96,Roadmap!$D:$D,0)+COUNTIF($E96:AC96,"u")+COUNTIF($E96:AC96,"t"),
     INDEX(Roadmap!$D:$K,MATCH($E96,Roadmap!$D:$D,0)+COUNTIF($E96:AC96,"u")+COUNTIF($E96:AC96,"t")+COUNTIF($E96:AC96,"¶")+COUNTIF($E96:AC96,"²")+COUNTIF($E96:AC96,"µ")+COUNTIF($E96:AC96,1),ColTypeEcheance)),
  IF(LEN(AC96)=1,
  IF(LEN(INDEX(Roadmap!$D:$K,MATCH($E96,Roadmap!$D:$D,0)-1+COUNTIF($E96:AC96,"u")+COUNTIF($E96:AC96,"t")+COUNTIF($E96:AC96,"¶")+COUNTIF($E96:AC96,"²")+COUNTIF($E96:AC96,"µ")+COUNTIF($E96:AC96,1),ColDescriptionCourte))&gt;1,
HYPERLINK("#Roadmap!C"&amp; MATCH($E96,Roadmap!$D:$D,0)+COUNTIF($E96:AC96,"u")+COUNTIF($E96:AC96,"t")+COUNTIF($E96:AC96,"¶")+COUNTIF($E96:AC96,"²")+COUNTIF($E96:AC96,"µ")+COUNTIF($E96:AC96,1)-1,INDEX(Roadmap!$D:$K,MATCH($E96,Roadmap!$D:$D,0)-1+COUNTIF($E96:AC96,"u")+COUNTIF($E96:AC96,"t")+COUNTIF($E96:AC96,"¶")+COUNTIF($E96:AC96,"²")+COUNTIF($E96:AC96,"µ")+COUNTIF($E96:AC96,1),ColDescriptionCourte)),""),
  "")),"")</f>
        <v/>
      </c>
      <c r="AE96" s="40" t="str">
        <f ca="1">IFERROR(IF(AND(
  INDEX(Roadmap!$D:$K,MATCH($E96,Roadmap!$D:$D,0)+COUNTIF($E96:AD96,"u")+COUNTIF($E96:AD96,"t")+COUNTIF($E96:AD96,"¶")+COUNTIF($E96:AD96,"²")+COUNTIF($E96:AD96,"µ")+COUNTIF($E96:AD96,1),ColLivraison)=AE$6,
  VLOOKUP($E96,INDIRECT("tri!"&amp; CHAR(64+ C0Col) &amp;":"&amp; CHAR(65+C0Col)),2,FALSE)&gt;COUNTIF($E96:AD96,"u")+COUNTIF($E96:AD96,"t")+COUNTIF($E96:AD96,"¶")+COUNTIF($E96:AD96,"²")+COUNTIF($E96:AD96,"µ")+COUNTIF($E96:AD96,1)),
HYPERLINK("#Roadmap!C"&amp; MATCH($E96,Roadmap!$D:$D,0)+COUNTIF($E96:AD96,"u")+COUNTIF($E96:AD96,"t"),
     INDEX(Roadmap!$D:$K,MATCH($E96,Roadmap!$D:$D,0)+COUNTIF($E96:AD96,"u")+COUNTIF($E96:AD96,"t")+COUNTIF($E96:AD96,"¶")+COUNTIF($E96:AD96,"²")+COUNTIF($E96:AD96,"µ")+COUNTIF($E96:AD96,1),ColTypeEcheance)),
  IF(LEN(AD96)=1,
  IF(LEN(INDEX(Roadmap!$D:$K,MATCH($E96,Roadmap!$D:$D,0)-1+COUNTIF($E96:AD96,"u")+COUNTIF($E96:AD96,"t")+COUNTIF($E96:AD96,"¶")+COUNTIF($E96:AD96,"²")+COUNTIF($E96:AD96,"µ")+COUNTIF($E96:AD96,1),ColDescriptionCourte))&gt;1,
HYPERLINK("#Roadmap!C"&amp; MATCH($E96,Roadmap!$D:$D,0)+COUNTIF($E96:AD96,"u")+COUNTIF($E96:AD96,"t")+COUNTIF($E96:AD96,"¶")+COUNTIF($E96:AD96,"²")+COUNTIF($E96:AD96,"µ")+COUNTIF($E96:AD96,1)-1,INDEX(Roadmap!$D:$K,MATCH($E96,Roadmap!$D:$D,0)-1+COUNTIF($E96:AD96,"u")+COUNTIF($E96:AD96,"t")+COUNTIF($E96:AD96,"¶")+COUNTIF($E96:AD96,"²")+COUNTIF($E96:AD96,"µ")+COUNTIF($E96:AD96,1),ColDescriptionCourte)),""),
  "")),"")</f>
        <v/>
      </c>
      <c r="AF96" s="40" t="str">
        <f ca="1">IFERROR(IF(AND(
  INDEX(Roadmap!$D:$K,MATCH($E96,Roadmap!$D:$D,0)+COUNTIF($E96:AE96,"u")+COUNTIF($E96:AE96,"t")+COUNTIF($E96:AE96,"¶")+COUNTIF($E96:AE96,"²")+COUNTIF($E96:AE96,"µ")+COUNTIF($E96:AE96,1),ColLivraison)=AF$6,
  VLOOKUP($E96,INDIRECT("tri!"&amp; CHAR(64+ C0Col) &amp;":"&amp; CHAR(65+C0Col)),2,FALSE)&gt;COUNTIF($E96:AE96,"u")+COUNTIF($E96:AE96,"t")+COUNTIF($E96:AE96,"¶")+COUNTIF($E96:AE96,"²")+COUNTIF($E96:AE96,"µ")+COUNTIF($E96:AE96,1)),
HYPERLINK("#Roadmap!C"&amp; MATCH($E96,Roadmap!$D:$D,0)+COUNTIF($E96:AE96,"u")+COUNTIF($E96:AE96,"t"),
     INDEX(Roadmap!$D:$K,MATCH($E96,Roadmap!$D:$D,0)+COUNTIF($E96:AE96,"u")+COUNTIF($E96:AE96,"t")+COUNTIF($E96:AE96,"¶")+COUNTIF($E96:AE96,"²")+COUNTIF($E96:AE96,"µ")+COUNTIF($E96:AE96,1),ColTypeEcheance)),
  IF(LEN(AE96)=1,
  IF(LEN(INDEX(Roadmap!$D:$K,MATCH($E96,Roadmap!$D:$D,0)-1+COUNTIF($E96:AE96,"u")+COUNTIF($E96:AE96,"t")+COUNTIF($E96:AE96,"¶")+COUNTIF($E96:AE96,"²")+COUNTIF($E96:AE96,"µ")+COUNTIF($E96:AE96,1),ColDescriptionCourte))&gt;1,
HYPERLINK("#Roadmap!C"&amp; MATCH($E96,Roadmap!$D:$D,0)+COUNTIF($E96:AE96,"u")+COUNTIF($E96:AE96,"t")+COUNTIF($E96:AE96,"¶")+COUNTIF($E96:AE96,"²")+COUNTIF($E96:AE96,"µ")+COUNTIF($E96:AE96,1)-1,INDEX(Roadmap!$D:$K,MATCH($E96,Roadmap!$D:$D,0)-1+COUNTIF($E96:AE96,"u")+COUNTIF($E96:AE96,"t")+COUNTIF($E96:AE96,"¶")+COUNTIF($E96:AE96,"²")+COUNTIF($E96:AE96,"µ")+COUNTIF($E96:AE96,1),ColDescriptionCourte)),""),
  "")),"")</f>
        <v/>
      </c>
      <c r="AG96" s="40" t="str">
        <f ca="1">IFERROR(IF(AND(
  INDEX(Roadmap!$D:$K,MATCH($E96,Roadmap!$D:$D,0)+COUNTIF($E96:AF96,"u")+COUNTIF($E96:AF96,"t")+COUNTIF($E96:AF96,"¶")+COUNTIF($E96:AF96,"²")+COUNTIF($E96:AF96,"µ")+COUNTIF($E96:AF96,1),ColLivraison)=AG$6,
  VLOOKUP($E96,INDIRECT("tri!"&amp; CHAR(64+ C0Col) &amp;":"&amp; CHAR(65+C0Col)),2,FALSE)&gt;COUNTIF($E96:AF96,"u")+COUNTIF($E96:AF96,"t")+COUNTIF($E96:AF96,"¶")+COUNTIF($E96:AF96,"²")+COUNTIF($E96:AF96,"µ")+COUNTIF($E96:AF96,1)),
HYPERLINK("#Roadmap!C"&amp; MATCH($E96,Roadmap!$D:$D,0)+COUNTIF($E96:AF96,"u")+COUNTIF($E96:AF96,"t"),
     INDEX(Roadmap!$D:$K,MATCH($E96,Roadmap!$D:$D,0)+COUNTIF($E96:AF96,"u")+COUNTIF($E96:AF96,"t")+COUNTIF($E96:AF96,"¶")+COUNTIF($E96:AF96,"²")+COUNTIF($E96:AF96,"µ")+COUNTIF($E96:AF96,1),ColTypeEcheance)),
  IF(LEN(AF96)=1,
  IF(LEN(INDEX(Roadmap!$D:$K,MATCH($E96,Roadmap!$D:$D,0)-1+COUNTIF($E96:AF96,"u")+COUNTIF($E96:AF96,"t")+COUNTIF($E96:AF96,"¶")+COUNTIF($E96:AF96,"²")+COUNTIF($E96:AF96,"µ")+COUNTIF($E96:AF96,1),ColDescriptionCourte))&gt;1,
HYPERLINK("#Roadmap!C"&amp; MATCH($E96,Roadmap!$D:$D,0)+COUNTIF($E96:AF96,"u")+COUNTIF($E96:AF96,"t")+COUNTIF($E96:AF96,"¶")+COUNTIF($E96:AF96,"²")+COUNTIF($E96:AF96,"µ")+COUNTIF($E96:AF96,1)-1,INDEX(Roadmap!$D:$K,MATCH($E96,Roadmap!$D:$D,0)-1+COUNTIF($E96:AF96,"u")+COUNTIF($E96:AF96,"t")+COUNTIF($E96:AF96,"¶")+COUNTIF($E96:AF96,"²")+COUNTIF($E96:AF96,"µ")+COUNTIF($E96:AF96,1),ColDescriptionCourte)),""),
  "")),"")</f>
        <v/>
      </c>
      <c r="AH96" s="40" t="str">
        <f ca="1">IFERROR(IF(AND(
  INDEX(Roadmap!$D:$K,MATCH($E96,Roadmap!$D:$D,0)+COUNTIF($E96:AG96,"u")+COUNTIF($E96:AG96,"t")+COUNTIF($E96:AG96,1),ColLivraison)=AH$6,
  VLOOKUP($E96,INDIRECT("tri!"&amp; CHAR(64+ C0Col) &amp;":"&amp; CHAR(65+C0Col)),2,FALSE)&gt;COUNTIF($E96:AG96,"u")+COUNTIF($E96:AG96,"t")+COUNTIF($E96:AG96,1)),
HYPERLINK("#Roadmap!C"&amp; MATCH($E96,Roadmap!$D:$D,0)+COUNTIF($E96:AG96,"u")+COUNTIF($E96:AG96,"t"),
     INDEX(Roadmap!$D:$K,MATCH($E96,Roadmap!$D:$D,0)+COUNTIF($E96:AG96,"u")+COUNTIF($E96:AG96,"t")+COUNTIF($E96:AG96,1),ColTypeEcheance)),
  IF(OR(AG96="u",AG96="t",AG96=1),
  IF(LEN(INDEX(Roadmap!$D:$K,MATCH($E96,Roadmap!$D:$D,0)-1+COUNTIF($E96:AG96,"u")+COUNTIF($E96:AG96,"t")+COUNTIF($E96:AG96,1),ColDescriptionCourte))&gt;1,
HYPERLINK("#Roadmap!C"&amp; MATCH($E96,Roadmap!$D:$D,0)+COUNTIF($E96:AG96,"u")+COUNTIF($E96:AG96,"t")+COUNTIF($E96:AG96,1)-1,INDEX(Roadmap!$D:$K,MATCH($E96,Roadmap!$D:$D,0)-1+COUNTIF($E96:AG96,"u")+COUNTIF($E96:AG96,"t")+COUNTIF($E96:AG96,1),ColDescriptionCourte)),""),
  "")),"")</f>
        <v/>
      </c>
      <c r="AI96" s="40"/>
      <c r="AJ96" s="40"/>
      <c r="AK96" s="40"/>
      <c r="AL96" s="40"/>
      <c r="AM96" s="40"/>
    </row>
    <row r="97" spans="4:39" ht="14.1" customHeight="1">
      <c r="D97" s="20" t="str">
        <f t="shared" ca="1" si="29"/>
        <v/>
      </c>
      <c r="E97" s="53" t="str">
        <f t="shared" ca="1" si="30"/>
        <v/>
      </c>
      <c r="F97" s="39" t="str">
        <f ca="1">IFERROR(IF(AND(
  INDEX(Roadmap!$D:$K,MATCH($E97,Roadmap!$D:$D,0)+COUNTIF($E97:E97,"u")+COUNTIF($E97:E97,"t")+COUNTIF($E97:E97,"¶")+COUNTIF($E97:E97,"²")+COUNTIF($E97:E97,"µ")+COUNTIF($E97:E97,1),ColLivraison)=F$6,
  VLOOKUP($E97,INDIRECT("tri!"&amp; CHAR(64+ C0Col) &amp;":"&amp; CHAR(65+C0Col)),2,FALSE)&gt;COUNTIF($E97:E97,"u")+COUNTIF($E97:E97,"t")+COUNTIF($E97:E97,"¶")+COUNTIF($E97:E97,"²")+COUNTIF($E97:E97,"µ")+COUNTIF($E97:E97,1)),
HYPERLINK("#Roadmap!C"&amp; MATCH($E97,Roadmap!$D:$D,0)+COUNTIF($E97:E97,"u")+COUNTIF($E97:E97,"t"),
     INDEX(Roadmap!$D:$K,MATCH($E97,Roadmap!$D:$D,0)+COUNTIF($E97:E97,"u")+COUNTIF($E97:E97,"t")+COUNTIF($E97:E97,"¶")+COUNTIF($E97:E97,"²")+COUNTIF($E97:E97,"µ")+COUNTIF($E97:E97,1),ColTypeEcheance)),
  IF(LEN(E97)=1,
  IF(LEN(INDEX(Roadmap!$D:$K,MATCH($E97,Roadmap!$D:$D,0)-1+COUNTIF($E97:E97,"u")+COUNTIF($E97:E97,"t")+COUNTIF($E97:E97,"¶")+COUNTIF($E97:E97,"²")+COUNTIF($E97:E97,"µ")+COUNTIF($E97:E97,1),ColDescriptionCourte))&gt;1,
HYPERLINK("#Roadmap!C"&amp; MATCH($E97,Roadmap!$D:$D,0)+COUNTIF($E97:E97,"u")+COUNTIF($E97:E97,"t")+COUNTIF($E97:E97,"¶")+COUNTIF($E97:E97,"²")+COUNTIF($E97:E97,"µ")+COUNTIF($E97:E97,1)-1,INDEX(Roadmap!$D:$K,MATCH($E97,Roadmap!$D:$D,0)-1+COUNTIF($E97:E97,"u")+COUNTIF($E97:E97,"t")+COUNTIF($E97:E97,"¶")+COUNTIF($E97:E97,"²")+COUNTIF($E97:E97,"µ")+COUNTIF($E97:E97,1),ColDescriptionCourte)),""),
  "")),"")</f>
        <v/>
      </c>
      <c r="G97" s="40" t="str">
        <f ca="1">IFERROR(IF(AND(
  INDEX(Roadmap!$D:$K,MATCH($E97,Roadmap!$D:$D,0)+COUNTIF($E97:F97,"u")+COUNTIF($E97:F97,"t")+COUNTIF($E97:F97,"¶")+COUNTIF($E97:F97,"²")+COUNTIF($E97:F97,"µ")+COUNTIF($E97:F97,1),ColLivraison)=G$6,
  VLOOKUP($E97,INDIRECT("tri!"&amp; CHAR(64+ C0Col) &amp;":"&amp; CHAR(65+C0Col)),2,FALSE)&gt;COUNTIF($E97:F97,"u")+COUNTIF($E97:F97,"t")+COUNTIF($E97:F97,"¶")+COUNTIF($E97:F97,"²")+COUNTIF($E97:F97,"µ")+COUNTIF($E97:F97,1)),
HYPERLINK("#Roadmap!C"&amp; MATCH($E97,Roadmap!$D:$D,0)+COUNTIF($E97:F97,"u")+COUNTIF($E97:F97,"t"),
     INDEX(Roadmap!$D:$K,MATCH($E97,Roadmap!$D:$D,0)+COUNTIF($E97:F97,"u")+COUNTIF($E97:F97,"t")+COUNTIF($E97:F97,"¶")+COUNTIF($E97:F97,"²")+COUNTIF($E97:F97,"µ")+COUNTIF($E97:F97,1),ColTypeEcheance)),
  IF(LEN(F97)=1,
  IF(LEN(INDEX(Roadmap!$D:$K,MATCH($E97,Roadmap!$D:$D,0)-1+COUNTIF($E97:F97,"u")+COUNTIF($E97:F97,"t")+COUNTIF($E97:F97,"¶")+COUNTIF($E97:F97,"²")+COUNTIF($E97:F97,"µ")+COUNTIF($E97:F97,1),ColDescriptionCourte))&gt;1,
HYPERLINK("#Roadmap!C"&amp; MATCH($E97,Roadmap!$D:$D,0)+COUNTIF($E97:F97,"u")+COUNTIF($E97:F97,"t")+COUNTIF($E97:F97,"¶")+COUNTIF($E97:F97,"²")+COUNTIF($E97:F97,"µ")+COUNTIF($E97:F97,1)-1,INDEX(Roadmap!$D:$K,MATCH($E97,Roadmap!$D:$D,0)-1+COUNTIF($E97:F97,"u")+COUNTIF($E97:F97,"t")+COUNTIF($E97:F97,"¶")+COUNTIF($E97:F97,"²")+COUNTIF($E97:F97,"µ")+COUNTIF($E97:F97,1),ColDescriptionCourte)),""),
  "")),"")</f>
        <v/>
      </c>
      <c r="H97" s="40" t="str">
        <f ca="1">IFERROR(IF(AND(
  INDEX(Roadmap!$D:$K,MATCH($E97,Roadmap!$D:$D,0)+COUNTIF($E97:G97,"u")+COUNTIF($E97:G97,"t")+COUNTIF($E97:G97,"¶")+COUNTIF($E97:G97,"²")+COUNTIF($E97:G97,"µ")+COUNTIF($E97:G97,1),ColLivraison)=H$6,
  VLOOKUP($E97,INDIRECT("tri!"&amp; CHAR(64+ C0Col) &amp;":"&amp; CHAR(65+C0Col)),2,FALSE)&gt;COUNTIF($E97:G97,"u")+COUNTIF($E97:G97,"t")+COUNTIF($E97:G97,"¶")+COUNTIF($E97:G97,"²")+COUNTIF($E97:G97,"µ")+COUNTIF($E97:G97,1)),
HYPERLINK("#Roadmap!C"&amp; MATCH($E97,Roadmap!$D:$D,0)+COUNTIF($E97:G97,"u")+COUNTIF($E97:G97,"t"),
     INDEX(Roadmap!$D:$K,MATCH($E97,Roadmap!$D:$D,0)+COUNTIF($E97:G97,"u")+COUNTIF($E97:G97,"t")+COUNTIF($E97:G97,"¶")+COUNTIF($E97:G97,"²")+COUNTIF($E97:G97,"µ")+COUNTIF($E97:G97,1),ColTypeEcheance)),
  IF(LEN(G97)=1,
  IF(LEN(INDEX(Roadmap!$D:$K,MATCH($E97,Roadmap!$D:$D,0)-1+COUNTIF($E97:G97,"u")+COUNTIF($E97:G97,"t")+COUNTIF($E97:G97,"¶")+COUNTIF($E97:G97,"²")+COUNTIF($E97:G97,"µ")+COUNTIF($E97:G97,1),ColDescriptionCourte))&gt;1,
HYPERLINK("#Roadmap!C"&amp; MATCH($E97,Roadmap!$D:$D,0)+COUNTIF($E97:G97,"u")+COUNTIF($E97:G97,"t")+COUNTIF($E97:G97,"¶")+COUNTIF($E97:G97,"²")+COUNTIF($E97:G97,"µ")+COUNTIF($E97:G97,1)-1,INDEX(Roadmap!$D:$K,MATCH($E97,Roadmap!$D:$D,0)-1+COUNTIF($E97:G97,"u")+COUNTIF($E97:G97,"t")+COUNTIF($E97:G97,"¶")+COUNTIF($E97:G97,"²")+COUNTIF($E97:G97,"µ")+COUNTIF($E97:G97,1),ColDescriptionCourte)),""),
  "")),"")</f>
        <v/>
      </c>
      <c r="I97" s="40" t="str">
        <f ca="1">IFERROR(IF(AND(
  INDEX(Roadmap!$D:$K,MATCH($E97,Roadmap!$D:$D,0)+COUNTIF($E97:H97,"u")+COUNTIF($E97:H97,"t")+COUNTIF($E97:H97,"¶")+COUNTIF($E97:H97,"²")+COUNTIF($E97:H97,"µ")+COUNTIF($E97:H97,1),ColLivraison)=I$6,
  VLOOKUP($E97,INDIRECT("tri!"&amp; CHAR(64+ C0Col) &amp;":"&amp; CHAR(65+C0Col)),2,FALSE)&gt;COUNTIF($E97:H97,"u")+COUNTIF($E97:H97,"t")+COUNTIF($E97:H97,"¶")+COUNTIF($E97:H97,"²")+COUNTIF($E97:H97,"µ")+COUNTIF($E97:H97,1)),
HYPERLINK("#Roadmap!C"&amp; MATCH($E97,Roadmap!$D:$D,0)+COUNTIF($E97:H97,"u")+COUNTIF($E97:H97,"t"),
     INDEX(Roadmap!$D:$K,MATCH($E97,Roadmap!$D:$D,0)+COUNTIF($E97:H97,"u")+COUNTIF($E97:H97,"t")+COUNTIF($E97:H97,"¶")+COUNTIF($E97:H97,"²")+COUNTIF($E97:H97,"µ")+COUNTIF($E97:H97,1),ColTypeEcheance)),
  IF(LEN(H97)=1,
  IF(LEN(INDEX(Roadmap!$D:$K,MATCH($E97,Roadmap!$D:$D,0)-1+COUNTIF($E97:H97,"u")+COUNTIF($E97:H97,"t")+COUNTIF($E97:H97,"¶")+COUNTIF($E97:H97,"²")+COUNTIF($E97:H97,"µ")+COUNTIF($E97:H97,1),ColDescriptionCourte))&gt;1,
HYPERLINK("#Roadmap!C"&amp; MATCH($E97,Roadmap!$D:$D,0)+COUNTIF($E97:H97,"u")+COUNTIF($E97:H97,"t")+COUNTIF($E97:H97,"¶")+COUNTIF($E97:H97,"²")+COUNTIF($E97:H97,"µ")+COUNTIF($E97:H97,1)-1,INDEX(Roadmap!$D:$K,MATCH($E97,Roadmap!$D:$D,0)-1+COUNTIF($E97:H97,"u")+COUNTIF($E97:H97,"t")+COUNTIF($E97:H97,"¶")+COUNTIF($E97:H97,"²")+COUNTIF($E97:H97,"µ")+COUNTIF($E97:H97,1),ColDescriptionCourte)),""),
  "")),"")</f>
        <v/>
      </c>
      <c r="J97" s="40" t="str">
        <f ca="1">IFERROR(IF(AND(
  INDEX(Roadmap!$D:$K,MATCH($E97,Roadmap!$D:$D,0)+COUNTIF($E97:I97,"u")+COUNTIF($E97:I97,"t")+COUNTIF($E97:I97,"¶")+COUNTIF($E97:I97,"²")+COUNTIF($E97:I97,"µ")+COUNTIF($E97:I97,1),ColLivraison)=J$6,
  VLOOKUP($E97,INDIRECT("tri!"&amp; CHAR(64+ C0Col) &amp;":"&amp; CHAR(65+C0Col)),2,FALSE)&gt;COUNTIF($E97:I97,"u")+COUNTIF($E97:I97,"t")+COUNTIF($E97:I97,"¶")+COUNTIF($E97:I97,"²")+COUNTIF($E97:I97,"µ")+COUNTIF($E97:I97,1)),
HYPERLINK("#Roadmap!C"&amp; MATCH($E97,Roadmap!$D:$D,0)+COUNTIF($E97:I97,"u")+COUNTIF($E97:I97,"t"),
     INDEX(Roadmap!$D:$K,MATCH($E97,Roadmap!$D:$D,0)+COUNTIF($E97:I97,"u")+COUNTIF($E97:I97,"t")+COUNTIF($E97:I97,"¶")+COUNTIF($E97:I97,"²")+COUNTIF($E97:I97,"µ")+COUNTIF($E97:I97,1),ColTypeEcheance)),
  IF(LEN(I97)=1,
  IF(LEN(INDEX(Roadmap!$D:$K,MATCH($E97,Roadmap!$D:$D,0)-1+COUNTIF($E97:I97,"u")+COUNTIF($E97:I97,"t")+COUNTIF($E97:I97,"¶")+COUNTIF($E97:I97,"²")+COUNTIF($E97:I97,"µ")+COUNTIF($E97:I97,1),ColDescriptionCourte))&gt;1,
HYPERLINK("#Roadmap!C"&amp; MATCH($E97,Roadmap!$D:$D,0)+COUNTIF($E97:I97,"u")+COUNTIF($E97:I97,"t")+COUNTIF($E97:I97,"¶")+COUNTIF($E97:I97,"²")+COUNTIF($E97:I97,"µ")+COUNTIF($E97:I97,1)-1,INDEX(Roadmap!$D:$K,MATCH($E97,Roadmap!$D:$D,0)-1+COUNTIF($E97:I97,"u")+COUNTIF($E97:I97,"t")+COUNTIF($E97:I97,"¶")+COUNTIF($E97:I97,"²")+COUNTIF($E97:I97,"µ")+COUNTIF($E97:I97,1),ColDescriptionCourte)),""),
  "")),"")</f>
        <v/>
      </c>
      <c r="K97" s="40" t="str">
        <f ca="1">IFERROR(IF(AND(
  INDEX(Roadmap!$D:$K,MATCH($E97,Roadmap!$D:$D,0)+COUNTIF($E97:J97,"u")+COUNTIF($E97:J97,"t")+COUNTIF($E97:J97,"¶")+COUNTIF($E97:J97,"²")+COUNTIF($E97:J97,"µ")+COUNTIF($E97:J97,1),ColLivraison)=K$6,
  VLOOKUP($E97,INDIRECT("tri!"&amp; CHAR(64+ C0Col) &amp;":"&amp; CHAR(65+C0Col)),2,FALSE)&gt;COUNTIF($E97:J97,"u")+COUNTIF($E97:J97,"t")+COUNTIF($E97:J97,"¶")+COUNTIF($E97:J97,"²")+COUNTIF($E97:J97,"µ")+COUNTIF($E97:J97,1)),
HYPERLINK("#Roadmap!C"&amp; MATCH($E97,Roadmap!$D:$D,0)+COUNTIF($E97:J97,"u")+COUNTIF($E97:J97,"t"),
     INDEX(Roadmap!$D:$K,MATCH($E97,Roadmap!$D:$D,0)+COUNTIF($E97:J97,"u")+COUNTIF($E97:J97,"t")+COUNTIF($E97:J97,"¶")+COUNTIF($E97:J97,"²")+COUNTIF($E97:J97,"µ")+COUNTIF($E97:J97,1),ColTypeEcheance)),
  IF(LEN(J97)=1,
  IF(LEN(INDEX(Roadmap!$D:$K,MATCH($E97,Roadmap!$D:$D,0)-1+COUNTIF($E97:J97,"u")+COUNTIF($E97:J97,"t")+COUNTIF($E97:J97,"¶")+COUNTIF($E97:J97,"²")+COUNTIF($E97:J97,"µ")+COUNTIF($E97:J97,1),ColDescriptionCourte))&gt;1,
HYPERLINK("#Roadmap!C"&amp; MATCH($E97,Roadmap!$D:$D,0)+COUNTIF($E97:J97,"u")+COUNTIF($E97:J97,"t")+COUNTIF($E97:J97,"¶")+COUNTIF($E97:J97,"²")+COUNTIF($E97:J97,"µ")+COUNTIF($E97:J97,1)-1,INDEX(Roadmap!$D:$K,MATCH($E97,Roadmap!$D:$D,0)-1+COUNTIF($E97:J97,"u")+COUNTIF($E97:J97,"t")+COUNTIF($E97:J97,"¶")+COUNTIF($E97:J97,"²")+COUNTIF($E97:J97,"µ")+COUNTIF($E97:J97,1),ColDescriptionCourte)),""),
  "")),"")</f>
        <v/>
      </c>
      <c r="L97" s="39" t="str">
        <f ca="1">IFERROR(IF(AND(
  INDEX(Roadmap!$D:$K,MATCH($E97,Roadmap!$D:$D,0)+COUNTIF($E97:K97,"u")+COUNTIF($E97:K97,"t")+COUNTIF($E97:K97,"¶")+COUNTIF($E97:K97,"²")+COUNTIF($E97:K97,"µ")+COUNTIF($E97:K97,1),ColLivraison)=L$6,
  VLOOKUP($E97,INDIRECT("tri!"&amp; CHAR(64+ C0Col) &amp;":"&amp; CHAR(65+C0Col)),2,FALSE)&gt;COUNTIF($E97:K97,"u")+COUNTIF($E97:K97,"t")+COUNTIF($E97:K97,"¶")+COUNTIF($E97:K97,"²")+COUNTIF($E97:K97,"µ")+COUNTIF($E97:K97,1)),
HYPERLINK("#Roadmap!C"&amp; MATCH($E97,Roadmap!$D:$D,0)+COUNTIF($E97:K97,"u")+COUNTIF($E97:K97,"t"),
     INDEX(Roadmap!$D:$K,MATCH($E97,Roadmap!$D:$D,0)+COUNTIF($E97:K97,"u")+COUNTIF($E97:K97,"t")+COUNTIF($E97:K97,"¶")+COUNTIF($E97:K97,"²")+COUNTIF($E97:K97,"µ")+COUNTIF($E97:K97,1),ColTypeEcheance)),
  IF(LEN(K97)=1,
  IF(LEN(INDEX(Roadmap!$D:$K,MATCH($E97,Roadmap!$D:$D,0)-1+COUNTIF($E97:K97,"u")+COUNTIF($E97:K97,"t")+COUNTIF($E97:K97,"¶")+COUNTIF($E97:K97,"²")+COUNTIF($E97:K97,"µ")+COUNTIF($E97:K97,1),ColDescriptionCourte))&gt;1,
HYPERLINK("#Roadmap!C"&amp; MATCH($E97,Roadmap!$D:$D,0)+COUNTIF($E97:K97,"u")+COUNTIF($E97:K97,"t")+COUNTIF($E97:K97,"¶")+COUNTIF($E97:K97,"²")+COUNTIF($E97:K97,"µ")+COUNTIF($E97:K97,1)-1,INDEX(Roadmap!$D:$K,MATCH($E97,Roadmap!$D:$D,0)-1+COUNTIF($E97:K97,"u")+COUNTIF($E97:K97,"t")+COUNTIF($E97:K97,"¶")+COUNTIF($E97:K97,"²")+COUNTIF($E97:K97,"µ")+COUNTIF($E97:K97,1),ColDescriptionCourte)),""),
  "")),"")</f>
        <v/>
      </c>
      <c r="M97" s="40" t="str">
        <f ca="1">IFERROR(IF(AND(
  INDEX(Roadmap!$D:$K,MATCH($E97,Roadmap!$D:$D,0)+COUNTIF($E97:L97,"u")+COUNTIF($E97:L97,"t")+COUNTIF($E97:L97,"¶")+COUNTIF($E97:L97,"²")+COUNTIF($E97:L97,"µ")+COUNTIF($E97:L97,1),ColLivraison)=M$6,
  VLOOKUP($E97,INDIRECT("tri!"&amp; CHAR(64+ C0Col) &amp;":"&amp; CHAR(65+C0Col)),2,FALSE)&gt;COUNTIF($E97:L97,"u")+COUNTIF($E97:L97,"t")+COUNTIF($E97:L97,"¶")+COUNTIF($E97:L97,"²")+COUNTIF($E97:L97,"µ")+COUNTIF($E97:L97,1)),
HYPERLINK("#Roadmap!C"&amp; MATCH($E97,Roadmap!$D:$D,0)+COUNTIF($E97:L97,"u")+COUNTIF($E97:L97,"t"),
     INDEX(Roadmap!$D:$K,MATCH($E97,Roadmap!$D:$D,0)+COUNTIF($E97:L97,"u")+COUNTIF($E97:L97,"t")+COUNTIF($E97:L97,"¶")+COUNTIF($E97:L97,"²")+COUNTIF($E97:L97,"µ")+COUNTIF($E97:L97,1),ColTypeEcheance)),
  IF(LEN(L97)=1,
  IF(LEN(INDEX(Roadmap!$D:$K,MATCH($E97,Roadmap!$D:$D,0)-1+COUNTIF($E97:L97,"u")+COUNTIF($E97:L97,"t")+COUNTIF($E97:L97,"¶")+COUNTIF($E97:L97,"²")+COUNTIF($E97:L97,"µ")+COUNTIF($E97:L97,1),ColDescriptionCourte))&gt;1,
HYPERLINK("#Roadmap!C"&amp; MATCH($E97,Roadmap!$D:$D,0)+COUNTIF($E97:L97,"u")+COUNTIF($E97:L97,"t")+COUNTIF($E97:L97,"¶")+COUNTIF($E97:L97,"²")+COUNTIF($E97:L97,"µ")+COUNTIF($E97:L97,1)-1,INDEX(Roadmap!$D:$K,MATCH($E97,Roadmap!$D:$D,0)-1+COUNTIF($E97:L97,"u")+COUNTIF($E97:L97,"t")+COUNTIF($E97:L97,"¶")+COUNTIF($E97:L97,"²")+COUNTIF($E97:L97,"µ")+COUNTIF($E97:L97,1),ColDescriptionCourte)),""),
  "")),"")</f>
        <v/>
      </c>
      <c r="N97" s="40" t="str">
        <f ca="1">IFERROR(IF(AND(
  INDEX(Roadmap!$D:$K,MATCH($E97,Roadmap!$D:$D,0)+COUNTIF($E97:M97,"u")+COUNTIF($E97:M97,"t")+COUNTIF($E97:M97,"¶")+COUNTIF($E97:M97,"²")+COUNTIF($E97:M97,"µ")+COUNTIF($E97:M97,1),ColLivraison)=N$6,
  VLOOKUP($E97,INDIRECT("tri!"&amp; CHAR(64+ C0Col) &amp;":"&amp; CHAR(65+C0Col)),2,FALSE)&gt;COUNTIF($E97:M97,"u")+COUNTIF($E97:M97,"t")+COUNTIF($E97:M97,"¶")+COUNTIF($E97:M97,"²")+COUNTIF($E97:M97,"µ")+COUNTIF($E97:M97,1)),
HYPERLINK("#Roadmap!C"&amp; MATCH($E97,Roadmap!$D:$D,0)+COUNTIF($E97:M97,"u")+COUNTIF($E97:M97,"t"),
     INDEX(Roadmap!$D:$K,MATCH($E97,Roadmap!$D:$D,0)+COUNTIF($E97:M97,"u")+COUNTIF($E97:M97,"t")+COUNTIF($E97:M97,"¶")+COUNTIF($E97:M97,"²")+COUNTIF($E97:M97,"µ")+COUNTIF($E97:M97,1),ColTypeEcheance)),
  IF(LEN(M97)=1,
  IF(LEN(INDEX(Roadmap!$D:$K,MATCH($E97,Roadmap!$D:$D,0)-1+COUNTIF($E97:M97,"u")+COUNTIF($E97:M97,"t")+COUNTIF($E97:M97,"¶")+COUNTIF($E97:M97,"²")+COUNTIF($E97:M97,"µ")+COUNTIF($E97:M97,1),ColDescriptionCourte))&gt;1,
HYPERLINK("#Roadmap!C"&amp; MATCH($E97,Roadmap!$D:$D,0)+COUNTIF($E97:M97,"u")+COUNTIF($E97:M97,"t")+COUNTIF($E97:M97,"¶")+COUNTIF($E97:M97,"²")+COUNTIF($E97:M97,"µ")+COUNTIF($E97:M97,1)-1,INDEX(Roadmap!$D:$K,MATCH($E97,Roadmap!$D:$D,0)-1+COUNTIF($E97:M97,"u")+COUNTIF($E97:M97,"t")+COUNTIF($E97:M97,"¶")+COUNTIF($E97:M97,"²")+COUNTIF($E97:M97,"µ")+COUNTIF($E97:M97,1),ColDescriptionCourte)),""),
  "")),"")</f>
        <v/>
      </c>
      <c r="O97" s="40" t="str">
        <f ca="1">IFERROR(IF(AND(
  INDEX(Roadmap!$D:$K,MATCH($E97,Roadmap!$D:$D,0)+COUNTIF($E97:N97,"u")+COUNTIF($E97:N97,"t")+COUNTIF($E97:N97,"¶")+COUNTIF($E97:N97,"²")+COUNTIF($E97:N97,"µ")+COUNTIF($E97:N97,1),ColLivraison)=O$6,
  VLOOKUP($E97,INDIRECT("tri!"&amp; CHAR(64+ C0Col) &amp;":"&amp; CHAR(65+C0Col)),2,FALSE)&gt;COUNTIF($E97:N97,"u")+COUNTIF($E97:N97,"t")+COUNTIF($E97:N97,"¶")+COUNTIF($E97:N97,"²")+COUNTIF($E97:N97,"µ")+COUNTIF($E97:N97,1)),
HYPERLINK("#Roadmap!C"&amp; MATCH($E97,Roadmap!$D:$D,0)+COUNTIF($E97:N97,"u")+COUNTIF($E97:N97,"t"),
     INDEX(Roadmap!$D:$K,MATCH($E97,Roadmap!$D:$D,0)+COUNTIF($E97:N97,"u")+COUNTIF($E97:N97,"t")+COUNTIF($E97:N97,"¶")+COUNTIF($E97:N97,"²")+COUNTIF($E97:N97,"µ")+COUNTIF($E97:N97,1),ColTypeEcheance)),
  IF(LEN(N97)=1,
  IF(LEN(INDEX(Roadmap!$D:$K,MATCH($E97,Roadmap!$D:$D,0)-1+COUNTIF($E97:N97,"u")+COUNTIF($E97:N97,"t")+COUNTIF($E97:N97,"¶")+COUNTIF($E97:N97,"²")+COUNTIF($E97:N97,"µ")+COUNTIF($E97:N97,1),ColDescriptionCourte))&gt;1,
HYPERLINK("#Roadmap!C"&amp; MATCH($E97,Roadmap!$D:$D,0)+COUNTIF($E97:N97,"u")+COUNTIF($E97:N97,"t")+COUNTIF($E97:N97,"¶")+COUNTIF($E97:N97,"²")+COUNTIF($E97:N97,"µ")+COUNTIF($E97:N97,1)-1,INDEX(Roadmap!$D:$K,MATCH($E97,Roadmap!$D:$D,0)-1+COUNTIF($E97:N97,"u")+COUNTIF($E97:N97,"t")+COUNTIF($E97:N97,"¶")+COUNTIF($E97:N97,"²")+COUNTIF($E97:N97,"µ")+COUNTIF($E97:N97,1),ColDescriptionCourte)),""),
  "")),"")</f>
        <v/>
      </c>
      <c r="P97" s="40" t="str">
        <f ca="1">IFERROR(IF(AND(
  INDEX(Roadmap!$D:$K,MATCH($E97,Roadmap!$D:$D,0)+COUNTIF($E97:O97,"u")+COUNTIF($E97:O97,"t")+COUNTIF($E97:O97,"¶")+COUNTIF($E97:O97,"²")+COUNTIF($E97:O97,"µ")+COUNTIF($E97:O97,1),ColLivraison)=P$6,
  VLOOKUP($E97,INDIRECT("tri!"&amp; CHAR(64+ C0Col) &amp;":"&amp; CHAR(65+C0Col)),2,FALSE)&gt;COUNTIF($E97:O97,"u")+COUNTIF($E97:O97,"t")+COUNTIF($E97:O97,"¶")+COUNTIF($E97:O97,"²")+COUNTIF($E97:O97,"µ")+COUNTIF($E97:O97,1)),
HYPERLINK("#Roadmap!C"&amp; MATCH($E97,Roadmap!$D:$D,0)+COUNTIF($E97:O97,"u")+COUNTIF($E97:O97,"t"),
     INDEX(Roadmap!$D:$K,MATCH($E97,Roadmap!$D:$D,0)+COUNTIF($E97:O97,"u")+COUNTIF($E97:O97,"t")+COUNTIF($E97:O97,"¶")+COUNTIF($E97:O97,"²")+COUNTIF($E97:O97,"µ")+COUNTIF($E97:O97,1),ColTypeEcheance)),
  IF(LEN(O97)=1,
  IF(LEN(INDEX(Roadmap!$D:$K,MATCH($E97,Roadmap!$D:$D,0)-1+COUNTIF($E97:O97,"u")+COUNTIF($E97:O97,"t")+COUNTIF($E97:O97,"¶")+COUNTIF($E97:O97,"²")+COUNTIF($E97:O97,"µ")+COUNTIF($E97:O97,1),ColDescriptionCourte))&gt;1,
HYPERLINK("#Roadmap!C"&amp; MATCH($E97,Roadmap!$D:$D,0)+COUNTIF($E97:O97,"u")+COUNTIF($E97:O97,"t")+COUNTIF($E97:O97,"¶")+COUNTIF($E97:O97,"²")+COUNTIF($E97:O97,"µ")+COUNTIF($E97:O97,1)-1,INDEX(Roadmap!$D:$K,MATCH($E97,Roadmap!$D:$D,0)-1+COUNTIF($E97:O97,"u")+COUNTIF($E97:O97,"t")+COUNTIF($E97:O97,"¶")+COUNTIF($E97:O97,"²")+COUNTIF($E97:O97,"µ")+COUNTIF($E97:O97,1),ColDescriptionCourte)),""),
  "")),"")</f>
        <v/>
      </c>
      <c r="Q97" s="40" t="str">
        <f ca="1">IFERROR(IF(AND(
  INDEX(Roadmap!$D:$K,MATCH($E97,Roadmap!$D:$D,0)+COUNTIF($E97:P97,"u")+COUNTIF($E97:P97,"t")+COUNTIF($E97:P97,"¶")+COUNTIF($E97:P97,"²")+COUNTIF($E97:P97,"µ")+COUNTIF($E97:P97,1),ColLivraison)=Q$6,
  VLOOKUP($E97,INDIRECT("tri!"&amp; CHAR(64+ C0Col) &amp;":"&amp; CHAR(65+C0Col)),2,FALSE)&gt;COUNTIF($E97:P97,"u")+COUNTIF($E97:P97,"t")+COUNTIF($E97:P97,"¶")+COUNTIF($E97:P97,"²")+COUNTIF($E97:P97,"µ")+COUNTIF($E97:P97,1)),
HYPERLINK("#Roadmap!C"&amp; MATCH($E97,Roadmap!$D:$D,0)+COUNTIF($E97:P97,"u")+COUNTIF($E97:P97,"t"),
     INDEX(Roadmap!$D:$K,MATCH($E97,Roadmap!$D:$D,0)+COUNTIF($E97:P97,"u")+COUNTIF($E97:P97,"t")+COUNTIF($E97:P97,"¶")+COUNTIF($E97:P97,"²")+COUNTIF($E97:P97,"µ")+COUNTIF($E97:P97,1),ColTypeEcheance)),
  IF(LEN(P97)=1,
  IF(LEN(INDEX(Roadmap!$D:$K,MATCH($E97,Roadmap!$D:$D,0)-1+COUNTIF($E97:P97,"u")+COUNTIF($E97:P97,"t")+COUNTIF($E97:P97,"¶")+COUNTIF($E97:P97,"²")+COUNTIF($E97:P97,"µ")+COUNTIF($E97:P97,1),ColDescriptionCourte))&gt;1,
HYPERLINK("#Roadmap!C"&amp; MATCH($E97,Roadmap!$D:$D,0)+COUNTIF($E97:P97,"u")+COUNTIF($E97:P97,"t")+COUNTIF($E97:P97,"¶")+COUNTIF($E97:P97,"²")+COUNTIF($E97:P97,"µ")+COUNTIF($E97:P97,1)-1,INDEX(Roadmap!$D:$K,MATCH($E97,Roadmap!$D:$D,0)-1+COUNTIF($E97:P97,"u")+COUNTIF($E97:P97,"t")+COUNTIF($E97:P97,"¶")+COUNTIF($E97:P97,"²")+COUNTIF($E97:P97,"µ")+COUNTIF($E97:P97,1),ColDescriptionCourte)),""),
  "")),"")</f>
        <v/>
      </c>
      <c r="R97" s="40" t="str">
        <f ca="1">IFERROR(IF(AND(
  INDEX(Roadmap!$D:$K,MATCH($E97,Roadmap!$D:$D,0)+COUNTIF($E97:Q97,"u")+COUNTIF($E97:Q97,"t")+COUNTIF($E97:Q97,"¶")+COUNTIF($E97:Q97,"²")+COUNTIF($E97:Q97,"µ")+COUNTIF($E97:Q97,1),ColLivraison)=R$6,
  VLOOKUP($E97,INDIRECT("tri!"&amp; CHAR(64+ C0Col) &amp;":"&amp; CHAR(65+C0Col)),2,FALSE)&gt;COUNTIF($E97:Q97,"u")+COUNTIF($E97:Q97,"t")+COUNTIF($E97:Q97,"¶")+COUNTIF($E97:Q97,"²")+COUNTIF($E97:Q97,"µ")+COUNTIF($E97:Q97,1)),
HYPERLINK("#Roadmap!C"&amp; MATCH($E97,Roadmap!$D:$D,0)+COUNTIF($E97:Q97,"u")+COUNTIF($E97:Q97,"t"),
     INDEX(Roadmap!$D:$K,MATCH($E97,Roadmap!$D:$D,0)+COUNTIF($E97:Q97,"u")+COUNTIF($E97:Q97,"t")+COUNTIF($E97:Q97,"¶")+COUNTIF($E97:Q97,"²")+COUNTIF($E97:Q97,"µ")+COUNTIF($E97:Q97,1),ColTypeEcheance)),
  IF(LEN(Q97)=1,
  IF(LEN(INDEX(Roadmap!$D:$K,MATCH($E97,Roadmap!$D:$D,0)-1+COUNTIF($E97:Q97,"u")+COUNTIF($E97:Q97,"t")+COUNTIF($E97:Q97,"¶")+COUNTIF($E97:Q97,"²")+COUNTIF($E97:Q97,"µ")+COUNTIF($E97:Q97,1),ColDescriptionCourte))&gt;1,
HYPERLINK("#Roadmap!C"&amp; MATCH($E97,Roadmap!$D:$D,0)+COUNTIF($E97:Q97,"u")+COUNTIF($E97:Q97,"t")+COUNTIF($E97:Q97,"¶")+COUNTIF($E97:Q97,"²")+COUNTIF($E97:Q97,"µ")+COUNTIF($E97:Q97,1)-1,INDEX(Roadmap!$D:$K,MATCH($E97,Roadmap!$D:$D,0)-1+COUNTIF($E97:Q97,"u")+COUNTIF($E97:Q97,"t")+COUNTIF($E97:Q97,"¶")+COUNTIF($E97:Q97,"²")+COUNTIF($E97:Q97,"µ")+COUNTIF($E97:Q97,1),ColDescriptionCourte)),""),
  "")),"")</f>
        <v/>
      </c>
      <c r="S97" s="40" t="str">
        <f ca="1">IFERROR(IF(AND(
  INDEX(Roadmap!$D:$K,MATCH($E97,Roadmap!$D:$D,0)+COUNTIF($E97:R97,"u")+COUNTIF($E97:R97,"t")+COUNTIF($E97:R97,"¶")+COUNTIF($E97:R97,"²")+COUNTIF($E97:R97,"µ")+COUNTIF($E97:R97,1),ColLivraison)=S$6,
  VLOOKUP($E97,INDIRECT("tri!"&amp; CHAR(64+ C0Col) &amp;":"&amp; CHAR(65+C0Col)),2,FALSE)&gt;COUNTIF($E97:R97,"u")+COUNTIF($E97:R97,"t")+COUNTIF($E97:R97,"¶")+COUNTIF($E97:R97,"²")+COUNTIF($E97:R97,"µ")+COUNTIF($E97:R97,1)),
HYPERLINK("#Roadmap!C"&amp; MATCH($E97,Roadmap!$D:$D,0)+COUNTIF($E97:R97,"u")+COUNTIF($E97:R97,"t"),
     INDEX(Roadmap!$D:$K,MATCH($E97,Roadmap!$D:$D,0)+COUNTIF($E97:R97,"u")+COUNTIF($E97:R97,"t")+COUNTIF($E97:R97,"¶")+COUNTIF($E97:R97,"²")+COUNTIF($E97:R97,"µ")+COUNTIF($E97:R97,1),ColTypeEcheance)),
  IF(LEN(R97)=1,
  IF(LEN(INDEX(Roadmap!$D:$K,MATCH($E97,Roadmap!$D:$D,0)-1+COUNTIF($E97:R97,"u")+COUNTIF($E97:R97,"t")+COUNTIF($E97:R97,"¶")+COUNTIF($E97:R97,"²")+COUNTIF($E97:R97,"µ")+COUNTIF($E97:R97,1),ColDescriptionCourte))&gt;1,
HYPERLINK("#Roadmap!C"&amp; MATCH($E97,Roadmap!$D:$D,0)+COUNTIF($E97:R97,"u")+COUNTIF($E97:R97,"t")+COUNTIF($E97:R97,"¶")+COUNTIF($E97:R97,"²")+COUNTIF($E97:R97,"µ")+COUNTIF($E97:R97,1)-1,INDEX(Roadmap!$D:$K,MATCH($E97,Roadmap!$D:$D,0)-1+COUNTIF($E97:R97,"u")+COUNTIF($E97:R97,"t")+COUNTIF($E97:R97,"¶")+COUNTIF($E97:R97,"²")+COUNTIF($E97:R97,"µ")+COUNTIF($E97:R97,1),ColDescriptionCourte)),""),
  "")),"")</f>
        <v/>
      </c>
      <c r="T97" s="40" t="str">
        <f ca="1">IFERROR(IF(AND(
  INDEX(Roadmap!$D:$K,MATCH($E97,Roadmap!$D:$D,0)+COUNTIF($E97:S97,"u")+COUNTIF($E97:S97,"t")+COUNTIF($E97:S97,"¶")+COUNTIF($E97:S97,"²")+COUNTIF($E97:S97,"µ")+COUNTIF($E97:S97,1),ColLivraison)=T$6,
  VLOOKUP($E97,INDIRECT("tri!"&amp; CHAR(64+ C0Col) &amp;":"&amp; CHAR(65+C0Col)),2,FALSE)&gt;COUNTIF($E97:S97,"u")+COUNTIF($E97:S97,"t")+COUNTIF($E97:S97,"¶")+COUNTIF($E97:S97,"²")+COUNTIF($E97:S97,"µ")+COUNTIF($E97:S97,1)),
HYPERLINK("#Roadmap!C"&amp; MATCH($E97,Roadmap!$D:$D,0)+COUNTIF($E97:S97,"u")+COUNTIF($E97:S97,"t"),
     INDEX(Roadmap!$D:$K,MATCH($E97,Roadmap!$D:$D,0)+COUNTIF($E97:S97,"u")+COUNTIF($E97:S97,"t")+COUNTIF($E97:S97,"¶")+COUNTIF($E97:S97,"²")+COUNTIF($E97:S97,"µ")+COUNTIF($E97:S97,1),ColTypeEcheance)),
  IF(LEN(S97)=1,
  IF(LEN(INDEX(Roadmap!$D:$K,MATCH($E97,Roadmap!$D:$D,0)-1+COUNTIF($E97:S97,"u")+COUNTIF($E97:S97,"t")+COUNTIF($E97:S97,"¶")+COUNTIF($E97:S97,"²")+COUNTIF($E97:S97,"µ")+COUNTIF($E97:S97,1),ColDescriptionCourte))&gt;1,
HYPERLINK("#Roadmap!C"&amp; MATCH($E97,Roadmap!$D:$D,0)+COUNTIF($E97:S97,"u")+COUNTIF($E97:S97,"t")+COUNTIF($E97:S97,"¶")+COUNTIF($E97:S97,"²")+COUNTIF($E97:S97,"µ")+COUNTIF($E97:S97,1)-1,INDEX(Roadmap!$D:$K,MATCH($E97,Roadmap!$D:$D,0)-1+COUNTIF($E97:S97,"u")+COUNTIF($E97:S97,"t")+COUNTIF($E97:S97,"¶")+COUNTIF($E97:S97,"²")+COUNTIF($E97:S97,"µ")+COUNTIF($E97:S97,1),ColDescriptionCourte)),""),
  "")),"")</f>
        <v/>
      </c>
      <c r="U97" s="40" t="str">
        <f ca="1">IFERROR(IF(AND(
  INDEX(Roadmap!$D:$K,MATCH($E97,Roadmap!$D:$D,0)+COUNTIF($E97:T97,"u")+COUNTIF($E97:T97,"t")+COUNTIF($E97:T97,"¶")+COUNTIF($E97:T97,"²")+COUNTIF($E97:T97,"µ")+COUNTIF($E97:T97,1),ColLivraison)=U$6,
  VLOOKUP($E97,INDIRECT("tri!"&amp; CHAR(64+ C0Col) &amp;":"&amp; CHAR(65+C0Col)),2,FALSE)&gt;COUNTIF($E97:T97,"u")+COUNTIF($E97:T97,"t")+COUNTIF($E97:T97,"¶")+COUNTIF($E97:T97,"²")+COUNTIF($E97:T97,"µ")+COUNTIF($E97:T97,1)),
HYPERLINK("#Roadmap!C"&amp; MATCH($E97,Roadmap!$D:$D,0)+COUNTIF($E97:T97,"u")+COUNTIF($E97:T97,"t"),
     INDEX(Roadmap!$D:$K,MATCH($E97,Roadmap!$D:$D,0)+COUNTIF($E97:T97,"u")+COUNTIF($E97:T97,"t")+COUNTIF($E97:T97,"¶")+COUNTIF($E97:T97,"²")+COUNTIF($E97:T97,"µ")+COUNTIF($E97:T97,1),ColTypeEcheance)),
  IF(LEN(T97)=1,
  IF(LEN(INDEX(Roadmap!$D:$K,MATCH($E97,Roadmap!$D:$D,0)-1+COUNTIF($E97:T97,"u")+COUNTIF($E97:T97,"t")+COUNTIF($E97:T97,"¶")+COUNTIF($E97:T97,"²")+COUNTIF($E97:T97,"µ")+COUNTIF($E97:T97,1),ColDescriptionCourte))&gt;1,
HYPERLINK("#Roadmap!C"&amp; MATCH($E97,Roadmap!$D:$D,0)+COUNTIF($E97:T97,"u")+COUNTIF($E97:T97,"t")+COUNTIF($E97:T97,"¶")+COUNTIF($E97:T97,"²")+COUNTIF($E97:T97,"µ")+COUNTIF($E97:T97,1)-1,INDEX(Roadmap!$D:$K,MATCH($E97,Roadmap!$D:$D,0)-1+COUNTIF($E97:T97,"u")+COUNTIF($E97:T97,"t")+COUNTIF($E97:T97,"¶")+COUNTIF($E97:T97,"²")+COUNTIF($E97:T97,"µ")+COUNTIF($E97:T97,1),ColDescriptionCourte)),""),
  "")),"")</f>
        <v/>
      </c>
      <c r="V97" s="40" t="str">
        <f ca="1">IFERROR(IF(AND(
  INDEX(Roadmap!$D:$K,MATCH($E97,Roadmap!$D:$D,0)+COUNTIF($E97:U97,"u")+COUNTIF($E97:U97,"t")+COUNTIF($E97:U97,"¶")+COUNTIF($E97:U97,"²")+COUNTIF($E97:U97,"µ")+COUNTIF($E97:U97,1),ColLivraison)=V$6,
  VLOOKUP($E97,INDIRECT("tri!"&amp; CHAR(64+ C0Col) &amp;":"&amp; CHAR(65+C0Col)),2,FALSE)&gt;COUNTIF($E97:U97,"u")+COUNTIF($E97:U97,"t")+COUNTIF($E97:U97,"¶")+COUNTIF($E97:U97,"²")+COUNTIF($E97:U97,"µ")+COUNTIF($E97:U97,1)),
HYPERLINK("#Roadmap!C"&amp; MATCH($E97,Roadmap!$D:$D,0)+COUNTIF($E97:U97,"u")+COUNTIF($E97:U97,"t"),
     INDEX(Roadmap!$D:$K,MATCH($E97,Roadmap!$D:$D,0)+COUNTIF($E97:U97,"u")+COUNTIF($E97:U97,"t")+COUNTIF($E97:U97,"¶")+COUNTIF($E97:U97,"²")+COUNTIF($E97:U97,"µ")+COUNTIF($E97:U97,1),ColTypeEcheance)),
  IF(LEN(U97)=1,
  IF(LEN(INDEX(Roadmap!$D:$K,MATCH($E97,Roadmap!$D:$D,0)-1+COUNTIF($E97:U97,"u")+COUNTIF($E97:U97,"t")+COUNTIF($E97:U97,"¶")+COUNTIF($E97:U97,"²")+COUNTIF($E97:U97,"µ")+COUNTIF($E97:U97,1),ColDescriptionCourte))&gt;1,
HYPERLINK("#Roadmap!C"&amp; MATCH($E97,Roadmap!$D:$D,0)+COUNTIF($E97:U97,"u")+COUNTIF($E97:U97,"t")+COUNTIF($E97:U97,"¶")+COUNTIF($E97:U97,"²")+COUNTIF($E97:U97,"µ")+COUNTIF($E97:U97,1)-1,INDEX(Roadmap!$D:$K,MATCH($E97,Roadmap!$D:$D,0)-1+COUNTIF($E97:U97,"u")+COUNTIF($E97:U97,"t")+COUNTIF($E97:U97,"¶")+COUNTIF($E97:U97,"²")+COUNTIF($E97:U97,"µ")+COUNTIF($E97:U97,1),ColDescriptionCourte)),""),
  "")),"")</f>
        <v/>
      </c>
      <c r="W97" s="40" t="str">
        <f ca="1">IFERROR(IF(AND(
  INDEX(Roadmap!$D:$K,MATCH($E97,Roadmap!$D:$D,0)+COUNTIF($E97:V97,"u")+COUNTIF($E97:V97,"t")+COUNTIF($E97:V97,"¶")+COUNTIF($E97:V97,"²")+COUNTIF($E97:V97,"µ")+COUNTIF($E97:V97,1),ColLivraison)=W$6,
  VLOOKUP($E97,INDIRECT("tri!"&amp; CHAR(64+ C0Col) &amp;":"&amp; CHAR(65+C0Col)),2,FALSE)&gt;COUNTIF($E97:V97,"u")+COUNTIF($E97:V97,"t")+COUNTIF($E97:V97,"¶")+COUNTIF($E97:V97,"²")+COUNTIF($E97:V97,"µ")+COUNTIF($E97:V97,1)),
HYPERLINK("#Roadmap!C"&amp; MATCH($E97,Roadmap!$D:$D,0)+COUNTIF($E97:V97,"u")+COUNTIF($E97:V97,"t"),
     INDEX(Roadmap!$D:$K,MATCH($E97,Roadmap!$D:$D,0)+COUNTIF($E97:V97,"u")+COUNTIF($E97:V97,"t")+COUNTIF($E97:V97,"¶")+COUNTIF($E97:V97,"²")+COUNTIF($E97:V97,"µ")+COUNTIF($E97:V97,1),ColTypeEcheance)),
  IF(LEN(V97)=1,
  IF(LEN(INDEX(Roadmap!$D:$K,MATCH($E97,Roadmap!$D:$D,0)-1+COUNTIF($E97:V97,"u")+COUNTIF($E97:V97,"t")+COUNTIF($E97:V97,"¶")+COUNTIF($E97:V97,"²")+COUNTIF($E97:V97,"µ")+COUNTIF($E97:V97,1),ColDescriptionCourte))&gt;1,
HYPERLINK("#Roadmap!C"&amp; MATCH($E97,Roadmap!$D:$D,0)+COUNTIF($E97:V97,"u")+COUNTIF($E97:V97,"t")+COUNTIF($E97:V97,"¶")+COUNTIF($E97:V97,"²")+COUNTIF($E97:V97,"µ")+COUNTIF($E97:V97,1)-1,INDEX(Roadmap!$D:$K,MATCH($E97,Roadmap!$D:$D,0)-1+COUNTIF($E97:V97,"u")+COUNTIF($E97:V97,"t")+COUNTIF($E97:V97,"¶")+COUNTIF($E97:V97,"²")+COUNTIF($E97:V97,"µ")+COUNTIF($E97:V97,1),ColDescriptionCourte)),""),
  "")),"")</f>
        <v/>
      </c>
      <c r="X97" s="40" t="str">
        <f ca="1">IFERROR(IF(AND(
  INDEX(Roadmap!$D:$K,MATCH($E97,Roadmap!$D:$D,0)+COUNTIF($E97:W97,"u")+COUNTIF($E97:W97,"t")+COUNTIF($E97:W97,"¶")+COUNTIF($E97:W97,"²")+COUNTIF($E97:W97,"µ")+COUNTIF($E97:W97,1),ColLivraison)=X$6,
  VLOOKUP($E97,INDIRECT("tri!"&amp; CHAR(64+ C0Col) &amp;":"&amp; CHAR(65+C0Col)),2,FALSE)&gt;COUNTIF($E97:W97,"u")+COUNTIF($E97:W97,"t")+COUNTIF($E97:W97,"¶")+COUNTIF($E97:W97,"²")+COUNTIF($E97:W97,"µ")+COUNTIF($E97:W97,1)),
HYPERLINK("#Roadmap!C"&amp; MATCH($E97,Roadmap!$D:$D,0)+COUNTIF($E97:W97,"u")+COUNTIF($E97:W97,"t"),
     INDEX(Roadmap!$D:$K,MATCH($E97,Roadmap!$D:$D,0)+COUNTIF($E97:W97,"u")+COUNTIF($E97:W97,"t")+COUNTIF($E97:W97,"¶")+COUNTIF($E97:W97,"²")+COUNTIF($E97:W97,"µ")+COUNTIF($E97:W97,1),ColTypeEcheance)),
  IF(LEN(W97)=1,
  IF(LEN(INDEX(Roadmap!$D:$K,MATCH($E97,Roadmap!$D:$D,0)-1+COUNTIF($E97:W97,"u")+COUNTIF($E97:W97,"t")+COUNTIF($E97:W97,"¶")+COUNTIF($E97:W97,"²")+COUNTIF($E97:W97,"µ")+COUNTIF($E97:W97,1),ColDescriptionCourte))&gt;1,
HYPERLINK("#Roadmap!C"&amp; MATCH($E97,Roadmap!$D:$D,0)+COUNTIF($E97:W97,"u")+COUNTIF($E97:W97,"t")+COUNTIF($E97:W97,"¶")+COUNTIF($E97:W97,"²")+COUNTIF($E97:W97,"µ")+COUNTIF($E97:W97,1)-1,INDEX(Roadmap!$D:$K,MATCH($E97,Roadmap!$D:$D,0)-1+COUNTIF($E97:W97,"u")+COUNTIF($E97:W97,"t")+COUNTIF($E97:W97,"¶")+COUNTIF($E97:W97,"²")+COUNTIF($E97:W97,"µ")+COUNTIF($E97:W97,1),ColDescriptionCourte)),""),
  "")),"")</f>
        <v/>
      </c>
      <c r="Y97" s="40" t="str">
        <f ca="1">IFERROR(IF(AND(
  INDEX(Roadmap!$D:$K,MATCH($E97,Roadmap!$D:$D,0)+COUNTIF($E97:X97,"u")+COUNTIF($E97:X97,"t")+COUNTIF($E97:X97,"¶")+COUNTIF($E97:X97,"²")+COUNTIF($E97:X97,"µ")+COUNTIF($E97:X97,1),ColLivraison)=Y$6,
  VLOOKUP($E97,INDIRECT("tri!"&amp; CHAR(64+ C0Col) &amp;":"&amp; CHAR(65+C0Col)),2,FALSE)&gt;COUNTIF($E97:X97,"u")+COUNTIF($E97:X97,"t")+COUNTIF($E97:X97,"¶")+COUNTIF($E97:X97,"²")+COUNTIF($E97:X97,"µ")+COUNTIF($E97:X97,1)),
HYPERLINK("#Roadmap!C"&amp; MATCH($E97,Roadmap!$D:$D,0)+COUNTIF($E97:X97,"u")+COUNTIF($E97:X97,"t"),
     INDEX(Roadmap!$D:$K,MATCH($E97,Roadmap!$D:$D,0)+COUNTIF($E97:X97,"u")+COUNTIF($E97:X97,"t")+COUNTIF($E97:X97,"¶")+COUNTIF($E97:X97,"²")+COUNTIF($E97:X97,"µ")+COUNTIF($E97:X97,1),ColTypeEcheance)),
  IF(LEN(X97)=1,
  IF(LEN(INDEX(Roadmap!$D:$K,MATCH($E97,Roadmap!$D:$D,0)-1+COUNTIF($E97:X97,"u")+COUNTIF($E97:X97,"t")+COUNTIF($E97:X97,"¶")+COUNTIF($E97:X97,"²")+COUNTIF($E97:X97,"µ")+COUNTIF($E97:X97,1),ColDescriptionCourte))&gt;1,
HYPERLINK("#Roadmap!C"&amp; MATCH($E97,Roadmap!$D:$D,0)+COUNTIF($E97:X97,"u")+COUNTIF($E97:X97,"t")+COUNTIF($E97:X97,"¶")+COUNTIF($E97:X97,"²")+COUNTIF($E97:X97,"µ")+COUNTIF($E97:X97,1)-1,INDEX(Roadmap!$D:$K,MATCH($E97,Roadmap!$D:$D,0)-1+COUNTIF($E97:X97,"u")+COUNTIF($E97:X97,"t")+COUNTIF($E97:X97,"¶")+COUNTIF($E97:X97,"²")+COUNTIF($E97:X97,"µ")+COUNTIF($E97:X97,1),ColDescriptionCourte)),""),
  "")),"")</f>
        <v/>
      </c>
      <c r="Z97" s="40" t="str">
        <f ca="1">IFERROR(IF(AND(
  INDEX(Roadmap!$D:$K,MATCH($E97,Roadmap!$D:$D,0)+COUNTIF($E97:Y97,"u")+COUNTIF($E97:Y97,"t")+COUNTIF($E97:Y97,"¶")+COUNTIF($E97:Y97,"²")+COUNTIF($E97:Y97,"µ")+COUNTIF($E97:Y97,1),ColLivraison)=Z$6,
  VLOOKUP($E97,INDIRECT("tri!"&amp; CHAR(64+ C0Col) &amp;":"&amp; CHAR(65+C0Col)),2,FALSE)&gt;COUNTIF($E97:Y97,"u")+COUNTIF($E97:Y97,"t")+COUNTIF($E97:Y97,"¶")+COUNTIF($E97:Y97,"²")+COUNTIF($E97:Y97,"µ")+COUNTIF($E97:Y97,1)),
HYPERLINK("#Roadmap!C"&amp; MATCH($E97,Roadmap!$D:$D,0)+COUNTIF($E97:Y97,"u")+COUNTIF($E97:Y97,"t"),
     INDEX(Roadmap!$D:$K,MATCH($E97,Roadmap!$D:$D,0)+COUNTIF($E97:Y97,"u")+COUNTIF($E97:Y97,"t")+COUNTIF($E97:Y97,"¶")+COUNTIF($E97:Y97,"²")+COUNTIF($E97:Y97,"µ")+COUNTIF($E97:Y97,1),ColTypeEcheance)),
  IF(LEN(Y97)=1,
  IF(LEN(INDEX(Roadmap!$D:$K,MATCH($E97,Roadmap!$D:$D,0)-1+COUNTIF($E97:Y97,"u")+COUNTIF($E97:Y97,"t")+COUNTIF($E97:Y97,"¶")+COUNTIF($E97:Y97,"²")+COUNTIF($E97:Y97,"µ")+COUNTIF($E97:Y97,1),ColDescriptionCourte))&gt;1,
HYPERLINK("#Roadmap!C"&amp; MATCH($E97,Roadmap!$D:$D,0)+COUNTIF($E97:Y97,"u")+COUNTIF($E97:Y97,"t")+COUNTIF($E97:Y97,"¶")+COUNTIF($E97:Y97,"²")+COUNTIF($E97:Y97,"µ")+COUNTIF($E97:Y97,1)-1,INDEX(Roadmap!$D:$K,MATCH($E97,Roadmap!$D:$D,0)-1+COUNTIF($E97:Y97,"u")+COUNTIF($E97:Y97,"t")+COUNTIF($E97:Y97,"¶")+COUNTIF($E97:Y97,"²")+COUNTIF($E97:Y97,"µ")+COUNTIF($E97:Y97,1),ColDescriptionCourte)),""),
  "")),"")</f>
        <v/>
      </c>
      <c r="AA97" s="40" t="str">
        <f ca="1">IFERROR(IF(AND(
  INDEX(Roadmap!$D:$K,MATCH($E97,Roadmap!$D:$D,0)+COUNTIF($E97:Z97,"u")+COUNTIF($E97:Z97,"t")+COUNTIF($E97:Z97,"¶")+COUNTIF($E97:Z97,"²")+COUNTIF($E97:Z97,"µ")+COUNTIF($E97:Z97,1),ColLivraison)=AA$6,
  VLOOKUP($E97,INDIRECT("tri!"&amp; CHAR(64+ C0Col) &amp;":"&amp; CHAR(65+C0Col)),2,FALSE)&gt;COUNTIF($E97:Z97,"u")+COUNTIF($E97:Z97,"t")+COUNTIF($E97:Z97,"¶")+COUNTIF($E97:Z97,"²")+COUNTIF($E97:Z97,"µ")+COUNTIF($E97:Z97,1)),
HYPERLINK("#Roadmap!C"&amp; MATCH($E97,Roadmap!$D:$D,0)+COUNTIF($E97:Z97,"u")+COUNTIF($E97:Z97,"t"),
     INDEX(Roadmap!$D:$K,MATCH($E97,Roadmap!$D:$D,0)+COUNTIF($E97:Z97,"u")+COUNTIF($E97:Z97,"t")+COUNTIF($E97:Z97,"¶")+COUNTIF($E97:Z97,"²")+COUNTIF($E97:Z97,"µ")+COUNTIF($E97:Z97,1),ColTypeEcheance)),
  IF(LEN(Z97)=1,
  IF(LEN(INDEX(Roadmap!$D:$K,MATCH($E97,Roadmap!$D:$D,0)-1+COUNTIF($E97:Z97,"u")+COUNTIF($E97:Z97,"t")+COUNTIF($E97:Z97,"¶")+COUNTIF($E97:Z97,"²")+COUNTIF($E97:Z97,"µ")+COUNTIF($E97:Z97,1),ColDescriptionCourte))&gt;1,
HYPERLINK("#Roadmap!C"&amp; MATCH($E97,Roadmap!$D:$D,0)+COUNTIF($E97:Z97,"u")+COUNTIF($E97:Z97,"t")+COUNTIF($E97:Z97,"¶")+COUNTIF($E97:Z97,"²")+COUNTIF($E97:Z97,"µ")+COUNTIF($E97:Z97,1)-1,INDEX(Roadmap!$D:$K,MATCH($E97,Roadmap!$D:$D,0)-1+COUNTIF($E97:Z97,"u")+COUNTIF($E97:Z97,"t")+COUNTIF($E97:Z97,"¶")+COUNTIF($E97:Z97,"²")+COUNTIF($E97:Z97,"µ")+COUNTIF($E97:Z97,1),ColDescriptionCourte)),""),
  "")),"")</f>
        <v/>
      </c>
      <c r="AB97" s="40" t="str">
        <f ca="1">IFERROR(IF(AND(
  INDEX(Roadmap!$D:$K,MATCH($E97,Roadmap!$D:$D,0)+COUNTIF($E97:AA97,"u")+COUNTIF($E97:AA97,"t")+COUNTIF($E97:AA97,"¶")+COUNTIF($E97:AA97,"²")+COUNTIF($E97:AA97,"µ")+COUNTIF($E97:AA97,1),ColLivraison)=AB$6,
  VLOOKUP($E97,INDIRECT("tri!"&amp; CHAR(64+ C0Col) &amp;":"&amp; CHAR(65+C0Col)),2,FALSE)&gt;COUNTIF($E97:AA97,"u")+COUNTIF($E97:AA97,"t")+COUNTIF($E97:AA97,"¶")+COUNTIF($E97:AA97,"²")+COUNTIF($E97:AA97,"µ")+COUNTIF($E97:AA97,1)),
HYPERLINK("#Roadmap!C"&amp; MATCH($E97,Roadmap!$D:$D,0)+COUNTIF($E97:AA97,"u")+COUNTIF($E97:AA97,"t"),
     INDEX(Roadmap!$D:$K,MATCH($E97,Roadmap!$D:$D,0)+COUNTIF($E97:AA97,"u")+COUNTIF($E97:AA97,"t")+COUNTIF($E97:AA97,"¶")+COUNTIF($E97:AA97,"²")+COUNTIF($E97:AA97,"µ")+COUNTIF($E97:AA97,1),ColTypeEcheance)),
  IF(LEN(AA97)=1,
  IF(LEN(INDEX(Roadmap!$D:$K,MATCH($E97,Roadmap!$D:$D,0)-1+COUNTIF($E97:AA97,"u")+COUNTIF($E97:AA97,"t")+COUNTIF($E97:AA97,"¶")+COUNTIF($E97:AA97,"²")+COUNTIF($E97:AA97,"µ")+COUNTIF($E97:AA97,1),ColDescriptionCourte))&gt;1,
HYPERLINK("#Roadmap!C"&amp; MATCH($E97,Roadmap!$D:$D,0)+COUNTIF($E97:AA97,"u")+COUNTIF($E97:AA97,"t")+COUNTIF($E97:AA97,"¶")+COUNTIF($E97:AA97,"²")+COUNTIF($E97:AA97,"µ")+COUNTIF($E97:AA97,1)-1,INDEX(Roadmap!$D:$K,MATCH($E97,Roadmap!$D:$D,0)-1+COUNTIF($E97:AA97,"u")+COUNTIF($E97:AA97,"t")+COUNTIF($E97:AA97,"¶")+COUNTIF($E97:AA97,"²")+COUNTIF($E97:AA97,"µ")+COUNTIF($E97:AA97,1),ColDescriptionCourte)),""),
  "")),"")</f>
        <v/>
      </c>
      <c r="AC97" s="40" t="str">
        <f ca="1">IFERROR(IF(AND(
  INDEX(Roadmap!$D:$K,MATCH($E97,Roadmap!$D:$D,0)+COUNTIF($E97:AB97,"u")+COUNTIF($E97:AB97,"t")+COUNTIF($E97:AB97,"¶")+COUNTIF($E97:AB97,"²")+COUNTIF($E97:AB97,"µ")+COUNTIF($E97:AB97,1),ColLivraison)=AC$6,
  VLOOKUP($E97,INDIRECT("tri!"&amp; CHAR(64+ C0Col) &amp;":"&amp; CHAR(65+C0Col)),2,FALSE)&gt;COUNTIF($E97:AB97,"u")+COUNTIF($E97:AB97,"t")+COUNTIF($E97:AB97,"¶")+COUNTIF($E97:AB97,"²")+COUNTIF($E97:AB97,"µ")+COUNTIF($E97:AB97,1)),
HYPERLINK("#Roadmap!C"&amp; MATCH($E97,Roadmap!$D:$D,0)+COUNTIF($E97:AB97,"u")+COUNTIF($E97:AB97,"t"),
     INDEX(Roadmap!$D:$K,MATCH($E97,Roadmap!$D:$D,0)+COUNTIF($E97:AB97,"u")+COUNTIF($E97:AB97,"t")+COUNTIF($E97:AB97,"¶")+COUNTIF($E97:AB97,"²")+COUNTIF($E97:AB97,"µ")+COUNTIF($E97:AB97,1),ColTypeEcheance)),
  IF(LEN(AB97)=1,
  IF(LEN(INDEX(Roadmap!$D:$K,MATCH($E97,Roadmap!$D:$D,0)-1+COUNTIF($E97:AB97,"u")+COUNTIF($E97:AB97,"t")+COUNTIF($E97:AB97,"¶")+COUNTIF($E97:AB97,"²")+COUNTIF($E97:AB97,"µ")+COUNTIF($E97:AB97,1),ColDescriptionCourte))&gt;1,
HYPERLINK("#Roadmap!C"&amp; MATCH($E97,Roadmap!$D:$D,0)+COUNTIF($E97:AB97,"u")+COUNTIF($E97:AB97,"t")+COUNTIF($E97:AB97,"¶")+COUNTIF($E97:AB97,"²")+COUNTIF($E97:AB97,"µ")+COUNTIF($E97:AB97,1)-1,INDEX(Roadmap!$D:$K,MATCH($E97,Roadmap!$D:$D,0)-1+COUNTIF($E97:AB97,"u")+COUNTIF($E97:AB97,"t")+COUNTIF($E97:AB97,"¶")+COUNTIF($E97:AB97,"²")+COUNTIF($E97:AB97,"µ")+COUNTIF($E97:AB97,1),ColDescriptionCourte)),""),
  "")),"")</f>
        <v/>
      </c>
      <c r="AD97" s="40" t="str">
        <f ca="1">IFERROR(IF(AND(
  INDEX(Roadmap!$D:$K,MATCH($E97,Roadmap!$D:$D,0)+COUNTIF($E97:AC97,"u")+COUNTIF($E97:AC97,"t")+COUNTIF($E97:AC97,"¶")+COUNTIF($E97:AC97,"²")+COUNTIF($E97:AC97,"µ")+COUNTIF($E97:AC97,1),ColLivraison)=AD$6,
  VLOOKUP($E97,INDIRECT("tri!"&amp; CHAR(64+ C0Col) &amp;":"&amp; CHAR(65+C0Col)),2,FALSE)&gt;COUNTIF($E97:AC97,"u")+COUNTIF($E97:AC97,"t")+COUNTIF($E97:AC97,"¶")+COUNTIF($E97:AC97,"²")+COUNTIF($E97:AC97,"µ")+COUNTIF($E97:AC97,1)),
HYPERLINK("#Roadmap!C"&amp; MATCH($E97,Roadmap!$D:$D,0)+COUNTIF($E97:AC97,"u")+COUNTIF($E97:AC97,"t"),
     INDEX(Roadmap!$D:$K,MATCH($E97,Roadmap!$D:$D,0)+COUNTIF($E97:AC97,"u")+COUNTIF($E97:AC97,"t")+COUNTIF($E97:AC97,"¶")+COUNTIF($E97:AC97,"²")+COUNTIF($E97:AC97,"µ")+COUNTIF($E97:AC97,1),ColTypeEcheance)),
  IF(LEN(AC97)=1,
  IF(LEN(INDEX(Roadmap!$D:$K,MATCH($E97,Roadmap!$D:$D,0)-1+COUNTIF($E97:AC97,"u")+COUNTIF($E97:AC97,"t")+COUNTIF($E97:AC97,"¶")+COUNTIF($E97:AC97,"²")+COUNTIF($E97:AC97,"µ")+COUNTIF($E97:AC97,1),ColDescriptionCourte))&gt;1,
HYPERLINK("#Roadmap!C"&amp; MATCH($E97,Roadmap!$D:$D,0)+COUNTIF($E97:AC97,"u")+COUNTIF($E97:AC97,"t")+COUNTIF($E97:AC97,"¶")+COUNTIF($E97:AC97,"²")+COUNTIF($E97:AC97,"µ")+COUNTIF($E97:AC97,1)-1,INDEX(Roadmap!$D:$K,MATCH($E97,Roadmap!$D:$D,0)-1+COUNTIF($E97:AC97,"u")+COUNTIF($E97:AC97,"t")+COUNTIF($E97:AC97,"¶")+COUNTIF($E97:AC97,"²")+COUNTIF($E97:AC97,"µ")+COUNTIF($E97:AC97,1),ColDescriptionCourte)),""),
  "")),"")</f>
        <v/>
      </c>
      <c r="AE97" s="40" t="str">
        <f ca="1">IFERROR(IF(AND(
  INDEX(Roadmap!$D:$K,MATCH($E97,Roadmap!$D:$D,0)+COUNTIF($E97:AD97,"u")+COUNTIF($E97:AD97,"t")+COUNTIF($E97:AD97,"¶")+COUNTIF($E97:AD97,"²")+COUNTIF($E97:AD97,"µ")+COUNTIF($E97:AD97,1),ColLivraison)=AE$6,
  VLOOKUP($E97,INDIRECT("tri!"&amp; CHAR(64+ C0Col) &amp;":"&amp; CHAR(65+C0Col)),2,FALSE)&gt;COUNTIF($E97:AD97,"u")+COUNTIF($E97:AD97,"t")+COUNTIF($E97:AD97,"¶")+COUNTIF($E97:AD97,"²")+COUNTIF($E97:AD97,"µ")+COUNTIF($E97:AD97,1)),
HYPERLINK("#Roadmap!C"&amp; MATCH($E97,Roadmap!$D:$D,0)+COUNTIF($E97:AD97,"u")+COUNTIF($E97:AD97,"t"),
     INDEX(Roadmap!$D:$K,MATCH($E97,Roadmap!$D:$D,0)+COUNTIF($E97:AD97,"u")+COUNTIF($E97:AD97,"t")+COUNTIF($E97:AD97,"¶")+COUNTIF($E97:AD97,"²")+COUNTIF($E97:AD97,"µ")+COUNTIF($E97:AD97,1),ColTypeEcheance)),
  IF(LEN(AD97)=1,
  IF(LEN(INDEX(Roadmap!$D:$K,MATCH($E97,Roadmap!$D:$D,0)-1+COUNTIF($E97:AD97,"u")+COUNTIF($E97:AD97,"t")+COUNTIF($E97:AD97,"¶")+COUNTIF($E97:AD97,"²")+COUNTIF($E97:AD97,"µ")+COUNTIF($E97:AD97,1),ColDescriptionCourte))&gt;1,
HYPERLINK("#Roadmap!C"&amp; MATCH($E97,Roadmap!$D:$D,0)+COUNTIF($E97:AD97,"u")+COUNTIF($E97:AD97,"t")+COUNTIF($E97:AD97,"¶")+COUNTIF($E97:AD97,"²")+COUNTIF($E97:AD97,"µ")+COUNTIF($E97:AD97,1)-1,INDEX(Roadmap!$D:$K,MATCH($E97,Roadmap!$D:$D,0)-1+COUNTIF($E97:AD97,"u")+COUNTIF($E97:AD97,"t")+COUNTIF($E97:AD97,"¶")+COUNTIF($E97:AD97,"²")+COUNTIF($E97:AD97,"µ")+COUNTIF($E97:AD97,1),ColDescriptionCourte)),""),
  "")),"")</f>
        <v/>
      </c>
      <c r="AF97" s="40" t="str">
        <f ca="1">IFERROR(IF(AND(
  INDEX(Roadmap!$D:$K,MATCH($E97,Roadmap!$D:$D,0)+COUNTIF($E97:AE97,"u")+COUNTIF($E97:AE97,"t")+COUNTIF($E97:AE97,"¶")+COUNTIF($E97:AE97,"²")+COUNTIF($E97:AE97,"µ")+COUNTIF($E97:AE97,1),ColLivraison)=AF$6,
  VLOOKUP($E97,INDIRECT("tri!"&amp; CHAR(64+ C0Col) &amp;":"&amp; CHAR(65+C0Col)),2,FALSE)&gt;COUNTIF($E97:AE97,"u")+COUNTIF($E97:AE97,"t")+COUNTIF($E97:AE97,"¶")+COUNTIF($E97:AE97,"²")+COUNTIF($E97:AE97,"µ")+COUNTIF($E97:AE97,1)),
HYPERLINK("#Roadmap!C"&amp; MATCH($E97,Roadmap!$D:$D,0)+COUNTIF($E97:AE97,"u")+COUNTIF($E97:AE97,"t"),
     INDEX(Roadmap!$D:$K,MATCH($E97,Roadmap!$D:$D,0)+COUNTIF($E97:AE97,"u")+COUNTIF($E97:AE97,"t")+COUNTIF($E97:AE97,"¶")+COUNTIF($E97:AE97,"²")+COUNTIF($E97:AE97,"µ")+COUNTIF($E97:AE97,1),ColTypeEcheance)),
  IF(LEN(AE97)=1,
  IF(LEN(INDEX(Roadmap!$D:$K,MATCH($E97,Roadmap!$D:$D,0)-1+COUNTIF($E97:AE97,"u")+COUNTIF($E97:AE97,"t")+COUNTIF($E97:AE97,"¶")+COUNTIF($E97:AE97,"²")+COUNTIF($E97:AE97,"µ")+COUNTIF($E97:AE97,1),ColDescriptionCourte))&gt;1,
HYPERLINK("#Roadmap!C"&amp; MATCH($E97,Roadmap!$D:$D,0)+COUNTIF($E97:AE97,"u")+COUNTIF($E97:AE97,"t")+COUNTIF($E97:AE97,"¶")+COUNTIF($E97:AE97,"²")+COUNTIF($E97:AE97,"µ")+COUNTIF($E97:AE97,1)-1,INDEX(Roadmap!$D:$K,MATCH($E97,Roadmap!$D:$D,0)-1+COUNTIF($E97:AE97,"u")+COUNTIF($E97:AE97,"t")+COUNTIF($E97:AE97,"¶")+COUNTIF($E97:AE97,"²")+COUNTIF($E97:AE97,"µ")+COUNTIF($E97:AE97,1),ColDescriptionCourte)),""),
  "")),"")</f>
        <v/>
      </c>
      <c r="AG97" s="40" t="str">
        <f ca="1">IFERROR(IF(AND(
  INDEX(Roadmap!$D:$K,MATCH($E97,Roadmap!$D:$D,0)+COUNTIF($E97:AF97,"u")+COUNTIF($E97:AF97,"t")+COUNTIF($E97:AF97,"¶")+COUNTIF($E97:AF97,"²")+COUNTIF($E97:AF97,"µ")+COUNTIF($E97:AF97,1),ColLivraison)=AG$6,
  VLOOKUP($E97,INDIRECT("tri!"&amp; CHAR(64+ C0Col) &amp;":"&amp; CHAR(65+C0Col)),2,FALSE)&gt;COUNTIF($E97:AF97,"u")+COUNTIF($E97:AF97,"t")+COUNTIF($E97:AF97,"¶")+COUNTIF($E97:AF97,"²")+COUNTIF($E97:AF97,"µ")+COUNTIF($E97:AF97,1)),
HYPERLINK("#Roadmap!C"&amp; MATCH($E97,Roadmap!$D:$D,0)+COUNTIF($E97:AF97,"u")+COUNTIF($E97:AF97,"t"),
     INDEX(Roadmap!$D:$K,MATCH($E97,Roadmap!$D:$D,0)+COUNTIF($E97:AF97,"u")+COUNTIF($E97:AF97,"t")+COUNTIF($E97:AF97,"¶")+COUNTIF($E97:AF97,"²")+COUNTIF($E97:AF97,"µ")+COUNTIF($E97:AF97,1),ColTypeEcheance)),
  IF(LEN(AF97)=1,
  IF(LEN(INDEX(Roadmap!$D:$K,MATCH($E97,Roadmap!$D:$D,0)-1+COUNTIF($E97:AF97,"u")+COUNTIF($E97:AF97,"t")+COUNTIF($E97:AF97,"¶")+COUNTIF($E97:AF97,"²")+COUNTIF($E97:AF97,"µ")+COUNTIF($E97:AF97,1),ColDescriptionCourte))&gt;1,
HYPERLINK("#Roadmap!C"&amp; MATCH($E97,Roadmap!$D:$D,0)+COUNTIF($E97:AF97,"u")+COUNTIF($E97:AF97,"t")+COUNTIF($E97:AF97,"¶")+COUNTIF($E97:AF97,"²")+COUNTIF($E97:AF97,"µ")+COUNTIF($E97:AF97,1)-1,INDEX(Roadmap!$D:$K,MATCH($E97,Roadmap!$D:$D,0)-1+COUNTIF($E97:AF97,"u")+COUNTIF($E97:AF97,"t")+COUNTIF($E97:AF97,"¶")+COUNTIF($E97:AF97,"²")+COUNTIF($E97:AF97,"µ")+COUNTIF($E97:AF97,1),ColDescriptionCourte)),""),
  "")),"")</f>
        <v/>
      </c>
      <c r="AH97" s="40" t="str">
        <f ca="1">IFERROR(IF(AND(
  INDEX(Roadmap!$D:$K,MATCH($E97,Roadmap!$D:$D,0)+COUNTIF($E97:AG97,"u")+COUNTIF($E97:AG97,"t")+COUNTIF($E97:AG97,1),ColLivraison)=AH$6,
  VLOOKUP($E97,INDIRECT("tri!"&amp; CHAR(64+ C0Col) &amp;":"&amp; CHAR(65+C0Col)),2,FALSE)&gt;COUNTIF($E97:AG97,"u")+COUNTIF($E97:AG97,"t")+COUNTIF($E97:AG97,1)),
HYPERLINK("#Roadmap!C"&amp; MATCH($E97,Roadmap!$D:$D,0)+COUNTIF($E97:AG97,"u")+COUNTIF($E97:AG97,"t"),
     INDEX(Roadmap!$D:$K,MATCH($E97,Roadmap!$D:$D,0)+COUNTIF($E97:AG97,"u")+COUNTIF($E97:AG97,"t")+COUNTIF($E97:AG97,1),ColTypeEcheance)),
  IF(OR(AG97="u",AG97="t",AG97=1),
  IF(LEN(INDEX(Roadmap!$D:$K,MATCH($E97,Roadmap!$D:$D,0)-1+COUNTIF($E97:AG97,"u")+COUNTIF($E97:AG97,"t")+COUNTIF($E97:AG97,1),ColDescriptionCourte))&gt;1,
HYPERLINK("#Roadmap!C"&amp; MATCH($E97,Roadmap!$D:$D,0)+COUNTIF($E97:AG97,"u")+COUNTIF($E97:AG97,"t")+COUNTIF($E97:AG97,1)-1,INDEX(Roadmap!$D:$K,MATCH($E97,Roadmap!$D:$D,0)-1+COUNTIF($E97:AG97,"u")+COUNTIF($E97:AG97,"t")+COUNTIF($E97:AG97,1),ColDescriptionCourte)),""),
  "")),"")</f>
        <v/>
      </c>
      <c r="AI97" s="40"/>
      <c r="AJ97" s="40"/>
      <c r="AK97" s="40"/>
      <c r="AL97" s="40"/>
      <c r="AM97" s="40"/>
    </row>
    <row r="98" spans="4:39" ht="14.1" customHeight="1">
      <c r="D98" s="20" t="str">
        <f t="shared" ca="1" si="29"/>
        <v/>
      </c>
      <c r="E98" s="53" t="str">
        <f t="shared" ca="1" si="30"/>
        <v/>
      </c>
      <c r="F98" s="39" t="str">
        <f ca="1">IFERROR(IF(AND(
  INDEX(Roadmap!$D:$K,MATCH($E98,Roadmap!$D:$D,0)+COUNTIF($E98:E98,"u")+COUNTIF($E98:E98,"t")+COUNTIF($E98:E98,"¶")+COUNTIF($E98:E98,"²")+COUNTIF($E98:E98,"µ")+COUNTIF($E98:E98,1),ColLivraison)=F$6,
  VLOOKUP($E98,INDIRECT("tri!"&amp; CHAR(64+ C0Col) &amp;":"&amp; CHAR(65+C0Col)),2,FALSE)&gt;COUNTIF($E98:E98,"u")+COUNTIF($E98:E98,"t")+COUNTIF($E98:E98,"¶")+COUNTIF($E98:E98,"²")+COUNTIF($E98:E98,"µ")+COUNTIF($E98:E98,1)),
HYPERLINK("#Roadmap!C"&amp; MATCH($E98,Roadmap!$D:$D,0)+COUNTIF($E98:E98,"u")+COUNTIF($E98:E98,"t"),
     INDEX(Roadmap!$D:$K,MATCH($E98,Roadmap!$D:$D,0)+COUNTIF($E98:E98,"u")+COUNTIF($E98:E98,"t")+COUNTIF($E98:E98,"¶")+COUNTIF($E98:E98,"²")+COUNTIF($E98:E98,"µ")+COUNTIF($E98:E98,1),ColTypeEcheance)),
  IF(LEN(E98)=1,
  IF(LEN(INDEX(Roadmap!$D:$K,MATCH($E98,Roadmap!$D:$D,0)-1+COUNTIF($E98:E98,"u")+COUNTIF($E98:E98,"t")+COUNTIF($E98:E98,"¶")+COUNTIF($E98:E98,"²")+COUNTIF($E98:E98,"µ")+COUNTIF($E98:E98,1),ColDescriptionCourte))&gt;1,
HYPERLINK("#Roadmap!C"&amp; MATCH($E98,Roadmap!$D:$D,0)+COUNTIF($E98:E98,"u")+COUNTIF($E98:E98,"t")+COUNTIF($E98:E98,"¶")+COUNTIF($E98:E98,"²")+COUNTIF($E98:E98,"µ")+COUNTIF($E98:E98,1)-1,INDEX(Roadmap!$D:$K,MATCH($E98,Roadmap!$D:$D,0)-1+COUNTIF($E98:E98,"u")+COUNTIF($E98:E98,"t")+COUNTIF($E98:E98,"¶")+COUNTIF($E98:E98,"²")+COUNTIF($E98:E98,"µ")+COUNTIF($E98:E98,1),ColDescriptionCourte)),""),
  "")),"")</f>
        <v/>
      </c>
      <c r="G98" s="40" t="str">
        <f ca="1">IFERROR(IF(AND(
  INDEX(Roadmap!$D:$K,MATCH($E98,Roadmap!$D:$D,0)+COUNTIF($E98:F98,"u")+COUNTIF($E98:F98,"t")+COUNTIF($E98:F98,"¶")+COUNTIF($E98:F98,"²")+COUNTIF($E98:F98,"µ")+COUNTIF($E98:F98,1),ColLivraison)=G$6,
  VLOOKUP($E98,INDIRECT("tri!"&amp; CHAR(64+ C0Col) &amp;":"&amp; CHAR(65+C0Col)),2,FALSE)&gt;COUNTIF($E98:F98,"u")+COUNTIF($E98:F98,"t")+COUNTIF($E98:F98,"¶")+COUNTIF($E98:F98,"²")+COUNTIF($E98:F98,"µ")+COUNTIF($E98:F98,1)),
HYPERLINK("#Roadmap!C"&amp; MATCH($E98,Roadmap!$D:$D,0)+COUNTIF($E98:F98,"u")+COUNTIF($E98:F98,"t"),
     INDEX(Roadmap!$D:$K,MATCH($E98,Roadmap!$D:$D,0)+COUNTIF($E98:F98,"u")+COUNTIF($E98:F98,"t")+COUNTIF($E98:F98,"¶")+COUNTIF($E98:F98,"²")+COUNTIF($E98:F98,"µ")+COUNTIF($E98:F98,1),ColTypeEcheance)),
  IF(LEN(F98)=1,
  IF(LEN(INDEX(Roadmap!$D:$K,MATCH($E98,Roadmap!$D:$D,0)-1+COUNTIF($E98:F98,"u")+COUNTIF($E98:F98,"t")+COUNTIF($E98:F98,"¶")+COUNTIF($E98:F98,"²")+COUNTIF($E98:F98,"µ")+COUNTIF($E98:F98,1),ColDescriptionCourte))&gt;1,
HYPERLINK("#Roadmap!C"&amp; MATCH($E98,Roadmap!$D:$D,0)+COUNTIF($E98:F98,"u")+COUNTIF($E98:F98,"t")+COUNTIF($E98:F98,"¶")+COUNTIF($E98:F98,"²")+COUNTIF($E98:F98,"µ")+COUNTIF($E98:F98,1)-1,INDEX(Roadmap!$D:$K,MATCH($E98,Roadmap!$D:$D,0)-1+COUNTIF($E98:F98,"u")+COUNTIF($E98:F98,"t")+COUNTIF($E98:F98,"¶")+COUNTIF($E98:F98,"²")+COUNTIF($E98:F98,"µ")+COUNTIF($E98:F98,1),ColDescriptionCourte)),""),
  "")),"")</f>
        <v/>
      </c>
      <c r="H98" s="40" t="str">
        <f ca="1">IFERROR(IF(AND(
  INDEX(Roadmap!$D:$K,MATCH($E98,Roadmap!$D:$D,0)+COUNTIF($E98:G98,"u")+COUNTIF($E98:G98,"t")+COUNTIF($E98:G98,"¶")+COUNTIF($E98:G98,"²")+COUNTIF($E98:G98,"µ")+COUNTIF($E98:G98,1),ColLivraison)=H$6,
  VLOOKUP($E98,INDIRECT("tri!"&amp; CHAR(64+ C0Col) &amp;":"&amp; CHAR(65+C0Col)),2,FALSE)&gt;COUNTIF($E98:G98,"u")+COUNTIF($E98:G98,"t")+COUNTIF($E98:G98,"¶")+COUNTIF($E98:G98,"²")+COUNTIF($E98:G98,"µ")+COUNTIF($E98:G98,1)),
HYPERLINK("#Roadmap!C"&amp; MATCH($E98,Roadmap!$D:$D,0)+COUNTIF($E98:G98,"u")+COUNTIF($E98:G98,"t"),
     INDEX(Roadmap!$D:$K,MATCH($E98,Roadmap!$D:$D,0)+COUNTIF($E98:G98,"u")+COUNTIF($E98:G98,"t")+COUNTIF($E98:G98,"¶")+COUNTIF($E98:G98,"²")+COUNTIF($E98:G98,"µ")+COUNTIF($E98:G98,1),ColTypeEcheance)),
  IF(LEN(G98)=1,
  IF(LEN(INDEX(Roadmap!$D:$K,MATCH($E98,Roadmap!$D:$D,0)-1+COUNTIF($E98:G98,"u")+COUNTIF($E98:G98,"t")+COUNTIF($E98:G98,"¶")+COUNTIF($E98:G98,"²")+COUNTIF($E98:G98,"µ")+COUNTIF($E98:G98,1),ColDescriptionCourte))&gt;1,
HYPERLINK("#Roadmap!C"&amp; MATCH($E98,Roadmap!$D:$D,0)+COUNTIF($E98:G98,"u")+COUNTIF($E98:G98,"t")+COUNTIF($E98:G98,"¶")+COUNTIF($E98:G98,"²")+COUNTIF($E98:G98,"µ")+COUNTIF($E98:G98,1)-1,INDEX(Roadmap!$D:$K,MATCH($E98,Roadmap!$D:$D,0)-1+COUNTIF($E98:G98,"u")+COUNTIF($E98:G98,"t")+COUNTIF($E98:G98,"¶")+COUNTIF($E98:G98,"²")+COUNTIF($E98:G98,"µ")+COUNTIF($E98:G98,1),ColDescriptionCourte)),""),
  "")),"")</f>
        <v/>
      </c>
      <c r="I98" s="40" t="str">
        <f ca="1">IFERROR(IF(AND(
  INDEX(Roadmap!$D:$K,MATCH($E98,Roadmap!$D:$D,0)+COUNTIF($E98:H98,"u")+COUNTIF($E98:H98,"t")+COUNTIF($E98:H98,"¶")+COUNTIF($E98:H98,"²")+COUNTIF($E98:H98,"µ")+COUNTIF($E98:H98,1),ColLivraison)=I$6,
  VLOOKUP($E98,INDIRECT("tri!"&amp; CHAR(64+ C0Col) &amp;":"&amp; CHAR(65+C0Col)),2,FALSE)&gt;COUNTIF($E98:H98,"u")+COUNTIF($E98:H98,"t")+COUNTIF($E98:H98,"¶")+COUNTIF($E98:H98,"²")+COUNTIF($E98:H98,"µ")+COUNTIF($E98:H98,1)),
HYPERLINK("#Roadmap!C"&amp; MATCH($E98,Roadmap!$D:$D,0)+COUNTIF($E98:H98,"u")+COUNTIF($E98:H98,"t"),
     INDEX(Roadmap!$D:$K,MATCH($E98,Roadmap!$D:$D,0)+COUNTIF($E98:H98,"u")+COUNTIF($E98:H98,"t")+COUNTIF($E98:H98,"¶")+COUNTIF($E98:H98,"²")+COUNTIF($E98:H98,"µ")+COUNTIF($E98:H98,1),ColTypeEcheance)),
  IF(LEN(H98)=1,
  IF(LEN(INDEX(Roadmap!$D:$K,MATCH($E98,Roadmap!$D:$D,0)-1+COUNTIF($E98:H98,"u")+COUNTIF($E98:H98,"t")+COUNTIF($E98:H98,"¶")+COUNTIF($E98:H98,"²")+COUNTIF($E98:H98,"µ")+COUNTIF($E98:H98,1),ColDescriptionCourte))&gt;1,
HYPERLINK("#Roadmap!C"&amp; MATCH($E98,Roadmap!$D:$D,0)+COUNTIF($E98:H98,"u")+COUNTIF($E98:H98,"t")+COUNTIF($E98:H98,"¶")+COUNTIF($E98:H98,"²")+COUNTIF($E98:H98,"µ")+COUNTIF($E98:H98,1)-1,INDEX(Roadmap!$D:$K,MATCH($E98,Roadmap!$D:$D,0)-1+COUNTIF($E98:H98,"u")+COUNTIF($E98:H98,"t")+COUNTIF($E98:H98,"¶")+COUNTIF($E98:H98,"²")+COUNTIF($E98:H98,"µ")+COUNTIF($E98:H98,1),ColDescriptionCourte)),""),
  "")),"")</f>
        <v/>
      </c>
      <c r="J98" s="40" t="str">
        <f ca="1">IFERROR(IF(AND(
  INDEX(Roadmap!$D:$K,MATCH($E98,Roadmap!$D:$D,0)+COUNTIF($E98:I98,"u")+COUNTIF($E98:I98,"t")+COUNTIF($E98:I98,"¶")+COUNTIF($E98:I98,"²")+COUNTIF($E98:I98,"µ")+COUNTIF($E98:I98,1),ColLivraison)=J$6,
  VLOOKUP($E98,INDIRECT("tri!"&amp; CHAR(64+ C0Col) &amp;":"&amp; CHAR(65+C0Col)),2,FALSE)&gt;COUNTIF($E98:I98,"u")+COUNTIF($E98:I98,"t")+COUNTIF($E98:I98,"¶")+COUNTIF($E98:I98,"²")+COUNTIF($E98:I98,"µ")+COUNTIF($E98:I98,1)),
HYPERLINK("#Roadmap!C"&amp; MATCH($E98,Roadmap!$D:$D,0)+COUNTIF($E98:I98,"u")+COUNTIF($E98:I98,"t"),
     INDEX(Roadmap!$D:$K,MATCH($E98,Roadmap!$D:$D,0)+COUNTIF($E98:I98,"u")+COUNTIF($E98:I98,"t")+COUNTIF($E98:I98,"¶")+COUNTIF($E98:I98,"²")+COUNTIF($E98:I98,"µ")+COUNTIF($E98:I98,1),ColTypeEcheance)),
  IF(LEN(I98)=1,
  IF(LEN(INDEX(Roadmap!$D:$K,MATCH($E98,Roadmap!$D:$D,0)-1+COUNTIF($E98:I98,"u")+COUNTIF($E98:I98,"t")+COUNTIF($E98:I98,"¶")+COUNTIF($E98:I98,"²")+COUNTIF($E98:I98,"µ")+COUNTIF($E98:I98,1),ColDescriptionCourte))&gt;1,
HYPERLINK("#Roadmap!C"&amp; MATCH($E98,Roadmap!$D:$D,0)+COUNTIF($E98:I98,"u")+COUNTIF($E98:I98,"t")+COUNTIF($E98:I98,"¶")+COUNTIF($E98:I98,"²")+COUNTIF($E98:I98,"µ")+COUNTIF($E98:I98,1)-1,INDEX(Roadmap!$D:$K,MATCH($E98,Roadmap!$D:$D,0)-1+COUNTIF($E98:I98,"u")+COUNTIF($E98:I98,"t")+COUNTIF($E98:I98,"¶")+COUNTIF($E98:I98,"²")+COUNTIF($E98:I98,"µ")+COUNTIF($E98:I98,1),ColDescriptionCourte)),""),
  "")),"")</f>
        <v/>
      </c>
      <c r="K98" s="40" t="str">
        <f ca="1">IFERROR(IF(AND(
  INDEX(Roadmap!$D:$K,MATCH($E98,Roadmap!$D:$D,0)+COUNTIF($E98:J98,"u")+COUNTIF($E98:J98,"t")+COUNTIF($E98:J98,"¶")+COUNTIF($E98:J98,"²")+COUNTIF($E98:J98,"µ")+COUNTIF($E98:J98,1),ColLivraison)=K$6,
  VLOOKUP($E98,INDIRECT("tri!"&amp; CHAR(64+ C0Col) &amp;":"&amp; CHAR(65+C0Col)),2,FALSE)&gt;COUNTIF($E98:J98,"u")+COUNTIF($E98:J98,"t")+COUNTIF($E98:J98,"¶")+COUNTIF($E98:J98,"²")+COUNTIF($E98:J98,"µ")+COUNTIF($E98:J98,1)),
HYPERLINK("#Roadmap!C"&amp; MATCH($E98,Roadmap!$D:$D,0)+COUNTIF($E98:J98,"u")+COUNTIF($E98:J98,"t"),
     INDEX(Roadmap!$D:$K,MATCH($E98,Roadmap!$D:$D,0)+COUNTIF($E98:J98,"u")+COUNTIF($E98:J98,"t")+COUNTIF($E98:J98,"¶")+COUNTIF($E98:J98,"²")+COUNTIF($E98:J98,"µ")+COUNTIF($E98:J98,1),ColTypeEcheance)),
  IF(LEN(J98)=1,
  IF(LEN(INDEX(Roadmap!$D:$K,MATCH($E98,Roadmap!$D:$D,0)-1+COUNTIF($E98:J98,"u")+COUNTIF($E98:J98,"t")+COUNTIF($E98:J98,"¶")+COUNTIF($E98:J98,"²")+COUNTIF($E98:J98,"µ")+COUNTIF($E98:J98,1),ColDescriptionCourte))&gt;1,
HYPERLINK("#Roadmap!C"&amp; MATCH($E98,Roadmap!$D:$D,0)+COUNTIF($E98:J98,"u")+COUNTIF($E98:J98,"t")+COUNTIF($E98:J98,"¶")+COUNTIF($E98:J98,"²")+COUNTIF($E98:J98,"µ")+COUNTIF($E98:J98,1)-1,INDEX(Roadmap!$D:$K,MATCH($E98,Roadmap!$D:$D,0)-1+COUNTIF($E98:J98,"u")+COUNTIF($E98:J98,"t")+COUNTIF($E98:J98,"¶")+COUNTIF($E98:J98,"²")+COUNTIF($E98:J98,"µ")+COUNTIF($E98:J98,1),ColDescriptionCourte)),""),
  "")),"")</f>
        <v/>
      </c>
      <c r="L98" s="39" t="str">
        <f ca="1">IFERROR(IF(AND(
  INDEX(Roadmap!$D:$K,MATCH($E98,Roadmap!$D:$D,0)+COUNTIF($E98:K98,"u")+COUNTIF($E98:K98,"t")+COUNTIF($E98:K98,"¶")+COUNTIF($E98:K98,"²")+COUNTIF($E98:K98,"µ")+COUNTIF($E98:K98,1),ColLivraison)=L$6,
  VLOOKUP($E98,INDIRECT("tri!"&amp; CHAR(64+ C0Col) &amp;":"&amp; CHAR(65+C0Col)),2,FALSE)&gt;COUNTIF($E98:K98,"u")+COUNTIF($E98:K98,"t")+COUNTIF($E98:K98,"¶")+COUNTIF($E98:K98,"²")+COUNTIF($E98:K98,"µ")+COUNTIF($E98:K98,1)),
HYPERLINK("#Roadmap!C"&amp; MATCH($E98,Roadmap!$D:$D,0)+COUNTIF($E98:K98,"u")+COUNTIF($E98:K98,"t"),
     INDEX(Roadmap!$D:$K,MATCH($E98,Roadmap!$D:$D,0)+COUNTIF($E98:K98,"u")+COUNTIF($E98:K98,"t")+COUNTIF($E98:K98,"¶")+COUNTIF($E98:K98,"²")+COUNTIF($E98:K98,"µ")+COUNTIF($E98:K98,1),ColTypeEcheance)),
  IF(LEN(K98)=1,
  IF(LEN(INDEX(Roadmap!$D:$K,MATCH($E98,Roadmap!$D:$D,0)-1+COUNTIF($E98:K98,"u")+COUNTIF($E98:K98,"t")+COUNTIF($E98:K98,"¶")+COUNTIF($E98:K98,"²")+COUNTIF($E98:K98,"µ")+COUNTIF($E98:K98,1),ColDescriptionCourte))&gt;1,
HYPERLINK("#Roadmap!C"&amp; MATCH($E98,Roadmap!$D:$D,0)+COUNTIF($E98:K98,"u")+COUNTIF($E98:K98,"t")+COUNTIF($E98:K98,"¶")+COUNTIF($E98:K98,"²")+COUNTIF($E98:K98,"µ")+COUNTIF($E98:K98,1)-1,INDEX(Roadmap!$D:$K,MATCH($E98,Roadmap!$D:$D,0)-1+COUNTIF($E98:K98,"u")+COUNTIF($E98:K98,"t")+COUNTIF($E98:K98,"¶")+COUNTIF($E98:K98,"²")+COUNTIF($E98:K98,"µ")+COUNTIF($E98:K98,1),ColDescriptionCourte)),""),
  "")),"")</f>
        <v/>
      </c>
      <c r="M98" s="40" t="str">
        <f ca="1">IFERROR(IF(AND(
  INDEX(Roadmap!$D:$K,MATCH($E98,Roadmap!$D:$D,0)+COUNTIF($E98:L98,"u")+COUNTIF($E98:L98,"t")+COUNTIF($E98:L98,"¶")+COUNTIF($E98:L98,"²")+COUNTIF($E98:L98,"µ")+COUNTIF($E98:L98,1),ColLivraison)=M$6,
  VLOOKUP($E98,INDIRECT("tri!"&amp; CHAR(64+ C0Col) &amp;":"&amp; CHAR(65+C0Col)),2,FALSE)&gt;COUNTIF($E98:L98,"u")+COUNTIF($E98:L98,"t")+COUNTIF($E98:L98,"¶")+COUNTIF($E98:L98,"²")+COUNTIF($E98:L98,"µ")+COUNTIF($E98:L98,1)),
HYPERLINK("#Roadmap!C"&amp; MATCH($E98,Roadmap!$D:$D,0)+COUNTIF($E98:L98,"u")+COUNTIF($E98:L98,"t"),
     INDEX(Roadmap!$D:$K,MATCH($E98,Roadmap!$D:$D,0)+COUNTIF($E98:L98,"u")+COUNTIF($E98:L98,"t")+COUNTIF($E98:L98,"¶")+COUNTIF($E98:L98,"²")+COUNTIF($E98:L98,"µ")+COUNTIF($E98:L98,1),ColTypeEcheance)),
  IF(LEN(L98)=1,
  IF(LEN(INDEX(Roadmap!$D:$K,MATCH($E98,Roadmap!$D:$D,0)-1+COUNTIF($E98:L98,"u")+COUNTIF($E98:L98,"t")+COUNTIF($E98:L98,"¶")+COUNTIF($E98:L98,"²")+COUNTIF($E98:L98,"µ")+COUNTIF($E98:L98,1),ColDescriptionCourte))&gt;1,
HYPERLINK("#Roadmap!C"&amp; MATCH($E98,Roadmap!$D:$D,0)+COUNTIF($E98:L98,"u")+COUNTIF($E98:L98,"t")+COUNTIF($E98:L98,"¶")+COUNTIF($E98:L98,"²")+COUNTIF($E98:L98,"µ")+COUNTIF($E98:L98,1)-1,INDEX(Roadmap!$D:$K,MATCH($E98,Roadmap!$D:$D,0)-1+COUNTIF($E98:L98,"u")+COUNTIF($E98:L98,"t")+COUNTIF($E98:L98,"¶")+COUNTIF($E98:L98,"²")+COUNTIF($E98:L98,"µ")+COUNTIF($E98:L98,1),ColDescriptionCourte)),""),
  "")),"")</f>
        <v/>
      </c>
      <c r="N98" s="40" t="str">
        <f ca="1">IFERROR(IF(AND(
  INDEX(Roadmap!$D:$K,MATCH($E98,Roadmap!$D:$D,0)+COUNTIF($E98:M98,"u")+COUNTIF($E98:M98,"t")+COUNTIF($E98:M98,"¶")+COUNTIF($E98:M98,"²")+COUNTIF($E98:M98,"µ")+COUNTIF($E98:M98,1),ColLivraison)=N$6,
  VLOOKUP($E98,INDIRECT("tri!"&amp; CHAR(64+ C0Col) &amp;":"&amp; CHAR(65+C0Col)),2,FALSE)&gt;COUNTIF($E98:M98,"u")+COUNTIF($E98:M98,"t")+COUNTIF($E98:M98,"¶")+COUNTIF($E98:M98,"²")+COUNTIF($E98:M98,"µ")+COUNTIF($E98:M98,1)),
HYPERLINK("#Roadmap!C"&amp; MATCH($E98,Roadmap!$D:$D,0)+COUNTIF($E98:M98,"u")+COUNTIF($E98:M98,"t"),
     INDEX(Roadmap!$D:$K,MATCH($E98,Roadmap!$D:$D,0)+COUNTIF($E98:M98,"u")+COUNTIF($E98:M98,"t")+COUNTIF($E98:M98,"¶")+COUNTIF($E98:M98,"²")+COUNTIF($E98:M98,"µ")+COUNTIF($E98:M98,1),ColTypeEcheance)),
  IF(LEN(M98)=1,
  IF(LEN(INDEX(Roadmap!$D:$K,MATCH($E98,Roadmap!$D:$D,0)-1+COUNTIF($E98:M98,"u")+COUNTIF($E98:M98,"t")+COUNTIF($E98:M98,"¶")+COUNTIF($E98:M98,"²")+COUNTIF($E98:M98,"µ")+COUNTIF($E98:M98,1),ColDescriptionCourte))&gt;1,
HYPERLINK("#Roadmap!C"&amp; MATCH($E98,Roadmap!$D:$D,0)+COUNTIF($E98:M98,"u")+COUNTIF($E98:M98,"t")+COUNTIF($E98:M98,"¶")+COUNTIF($E98:M98,"²")+COUNTIF($E98:M98,"µ")+COUNTIF($E98:M98,1)-1,INDEX(Roadmap!$D:$K,MATCH($E98,Roadmap!$D:$D,0)-1+COUNTIF($E98:M98,"u")+COUNTIF($E98:M98,"t")+COUNTIF($E98:M98,"¶")+COUNTIF($E98:M98,"²")+COUNTIF($E98:M98,"µ")+COUNTIF($E98:M98,1),ColDescriptionCourte)),""),
  "")),"")</f>
        <v/>
      </c>
      <c r="O98" s="40" t="str">
        <f ca="1">IFERROR(IF(AND(
  INDEX(Roadmap!$D:$K,MATCH($E98,Roadmap!$D:$D,0)+COUNTIF($E98:N98,"u")+COUNTIF($E98:N98,"t")+COUNTIF($E98:N98,"¶")+COUNTIF($E98:N98,"²")+COUNTIF($E98:N98,"µ")+COUNTIF($E98:N98,1),ColLivraison)=O$6,
  VLOOKUP($E98,INDIRECT("tri!"&amp; CHAR(64+ C0Col) &amp;":"&amp; CHAR(65+C0Col)),2,FALSE)&gt;COUNTIF($E98:N98,"u")+COUNTIF($E98:N98,"t")+COUNTIF($E98:N98,"¶")+COUNTIF($E98:N98,"²")+COUNTIF($E98:N98,"µ")+COUNTIF($E98:N98,1)),
HYPERLINK("#Roadmap!C"&amp; MATCH($E98,Roadmap!$D:$D,0)+COUNTIF($E98:N98,"u")+COUNTIF($E98:N98,"t"),
     INDEX(Roadmap!$D:$K,MATCH($E98,Roadmap!$D:$D,0)+COUNTIF($E98:N98,"u")+COUNTIF($E98:N98,"t")+COUNTIF($E98:N98,"¶")+COUNTIF($E98:N98,"²")+COUNTIF($E98:N98,"µ")+COUNTIF($E98:N98,1),ColTypeEcheance)),
  IF(LEN(N98)=1,
  IF(LEN(INDEX(Roadmap!$D:$K,MATCH($E98,Roadmap!$D:$D,0)-1+COUNTIF($E98:N98,"u")+COUNTIF($E98:N98,"t")+COUNTIF($E98:N98,"¶")+COUNTIF($E98:N98,"²")+COUNTIF($E98:N98,"µ")+COUNTIF($E98:N98,1),ColDescriptionCourte))&gt;1,
HYPERLINK("#Roadmap!C"&amp; MATCH($E98,Roadmap!$D:$D,0)+COUNTIF($E98:N98,"u")+COUNTIF($E98:N98,"t")+COUNTIF($E98:N98,"¶")+COUNTIF($E98:N98,"²")+COUNTIF($E98:N98,"µ")+COUNTIF($E98:N98,1)-1,INDEX(Roadmap!$D:$K,MATCH($E98,Roadmap!$D:$D,0)-1+COUNTIF($E98:N98,"u")+COUNTIF($E98:N98,"t")+COUNTIF($E98:N98,"¶")+COUNTIF($E98:N98,"²")+COUNTIF($E98:N98,"µ")+COUNTIF($E98:N98,1),ColDescriptionCourte)),""),
  "")),"")</f>
        <v/>
      </c>
      <c r="P98" s="40" t="str">
        <f ca="1">IFERROR(IF(AND(
  INDEX(Roadmap!$D:$K,MATCH($E98,Roadmap!$D:$D,0)+COUNTIF($E98:O98,"u")+COUNTIF($E98:O98,"t")+COUNTIF($E98:O98,"¶")+COUNTIF($E98:O98,"²")+COUNTIF($E98:O98,"µ")+COUNTIF($E98:O98,1),ColLivraison)=P$6,
  VLOOKUP($E98,INDIRECT("tri!"&amp; CHAR(64+ C0Col) &amp;":"&amp; CHAR(65+C0Col)),2,FALSE)&gt;COUNTIF($E98:O98,"u")+COUNTIF($E98:O98,"t")+COUNTIF($E98:O98,"¶")+COUNTIF($E98:O98,"²")+COUNTIF($E98:O98,"µ")+COUNTIF($E98:O98,1)),
HYPERLINK("#Roadmap!C"&amp; MATCH($E98,Roadmap!$D:$D,0)+COUNTIF($E98:O98,"u")+COUNTIF($E98:O98,"t"),
     INDEX(Roadmap!$D:$K,MATCH($E98,Roadmap!$D:$D,0)+COUNTIF($E98:O98,"u")+COUNTIF($E98:O98,"t")+COUNTIF($E98:O98,"¶")+COUNTIF($E98:O98,"²")+COUNTIF($E98:O98,"µ")+COUNTIF($E98:O98,1),ColTypeEcheance)),
  IF(LEN(O98)=1,
  IF(LEN(INDEX(Roadmap!$D:$K,MATCH($E98,Roadmap!$D:$D,0)-1+COUNTIF($E98:O98,"u")+COUNTIF($E98:O98,"t")+COUNTIF($E98:O98,"¶")+COUNTIF($E98:O98,"²")+COUNTIF($E98:O98,"µ")+COUNTIF($E98:O98,1),ColDescriptionCourte))&gt;1,
HYPERLINK("#Roadmap!C"&amp; MATCH($E98,Roadmap!$D:$D,0)+COUNTIF($E98:O98,"u")+COUNTIF($E98:O98,"t")+COUNTIF($E98:O98,"¶")+COUNTIF($E98:O98,"²")+COUNTIF($E98:O98,"µ")+COUNTIF($E98:O98,1)-1,INDEX(Roadmap!$D:$K,MATCH($E98,Roadmap!$D:$D,0)-1+COUNTIF($E98:O98,"u")+COUNTIF($E98:O98,"t")+COUNTIF($E98:O98,"¶")+COUNTIF($E98:O98,"²")+COUNTIF($E98:O98,"µ")+COUNTIF($E98:O98,1),ColDescriptionCourte)),""),
  "")),"")</f>
        <v/>
      </c>
      <c r="Q98" s="40" t="str">
        <f ca="1">IFERROR(IF(AND(
  INDEX(Roadmap!$D:$K,MATCH($E98,Roadmap!$D:$D,0)+COUNTIF($E98:P98,"u")+COUNTIF($E98:P98,"t")+COUNTIF($E98:P98,"¶")+COUNTIF($E98:P98,"²")+COUNTIF($E98:P98,"µ")+COUNTIF($E98:P98,1),ColLivraison)=Q$6,
  VLOOKUP($E98,INDIRECT("tri!"&amp; CHAR(64+ C0Col) &amp;":"&amp; CHAR(65+C0Col)),2,FALSE)&gt;COUNTIF($E98:P98,"u")+COUNTIF($E98:P98,"t")+COUNTIF($E98:P98,"¶")+COUNTIF($E98:P98,"²")+COUNTIF($E98:P98,"µ")+COUNTIF($E98:P98,1)),
HYPERLINK("#Roadmap!C"&amp; MATCH($E98,Roadmap!$D:$D,0)+COUNTIF($E98:P98,"u")+COUNTIF($E98:P98,"t"),
     INDEX(Roadmap!$D:$K,MATCH($E98,Roadmap!$D:$D,0)+COUNTIF($E98:P98,"u")+COUNTIF($E98:P98,"t")+COUNTIF($E98:P98,"¶")+COUNTIF($E98:P98,"²")+COUNTIF($E98:P98,"µ")+COUNTIF($E98:P98,1),ColTypeEcheance)),
  IF(LEN(P98)=1,
  IF(LEN(INDEX(Roadmap!$D:$K,MATCH($E98,Roadmap!$D:$D,0)-1+COUNTIF($E98:P98,"u")+COUNTIF($E98:P98,"t")+COUNTIF($E98:P98,"¶")+COUNTIF($E98:P98,"²")+COUNTIF($E98:P98,"µ")+COUNTIF($E98:P98,1),ColDescriptionCourte))&gt;1,
HYPERLINK("#Roadmap!C"&amp; MATCH($E98,Roadmap!$D:$D,0)+COUNTIF($E98:P98,"u")+COUNTIF($E98:P98,"t")+COUNTIF($E98:P98,"¶")+COUNTIF($E98:P98,"²")+COUNTIF($E98:P98,"µ")+COUNTIF($E98:P98,1)-1,INDEX(Roadmap!$D:$K,MATCH($E98,Roadmap!$D:$D,0)-1+COUNTIF($E98:P98,"u")+COUNTIF($E98:P98,"t")+COUNTIF($E98:P98,"¶")+COUNTIF($E98:P98,"²")+COUNTIF($E98:P98,"µ")+COUNTIF($E98:P98,1),ColDescriptionCourte)),""),
  "")),"")</f>
        <v/>
      </c>
      <c r="R98" s="40" t="str">
        <f ca="1">IFERROR(IF(AND(
  INDEX(Roadmap!$D:$K,MATCH($E98,Roadmap!$D:$D,0)+COUNTIF($E98:Q98,"u")+COUNTIF($E98:Q98,"t")+COUNTIF($E98:Q98,"¶")+COUNTIF($E98:Q98,"²")+COUNTIF($E98:Q98,"µ")+COUNTIF($E98:Q98,1),ColLivraison)=R$6,
  VLOOKUP($E98,INDIRECT("tri!"&amp; CHAR(64+ C0Col) &amp;":"&amp; CHAR(65+C0Col)),2,FALSE)&gt;COUNTIF($E98:Q98,"u")+COUNTIF($E98:Q98,"t")+COUNTIF($E98:Q98,"¶")+COUNTIF($E98:Q98,"²")+COUNTIF($E98:Q98,"µ")+COUNTIF($E98:Q98,1)),
HYPERLINK("#Roadmap!C"&amp; MATCH($E98,Roadmap!$D:$D,0)+COUNTIF($E98:Q98,"u")+COUNTIF($E98:Q98,"t"),
     INDEX(Roadmap!$D:$K,MATCH($E98,Roadmap!$D:$D,0)+COUNTIF($E98:Q98,"u")+COUNTIF($E98:Q98,"t")+COUNTIF($E98:Q98,"¶")+COUNTIF($E98:Q98,"²")+COUNTIF($E98:Q98,"µ")+COUNTIF($E98:Q98,1),ColTypeEcheance)),
  IF(LEN(Q98)=1,
  IF(LEN(INDEX(Roadmap!$D:$K,MATCH($E98,Roadmap!$D:$D,0)-1+COUNTIF($E98:Q98,"u")+COUNTIF($E98:Q98,"t")+COUNTIF($E98:Q98,"¶")+COUNTIF($E98:Q98,"²")+COUNTIF($E98:Q98,"µ")+COUNTIF($E98:Q98,1),ColDescriptionCourte))&gt;1,
HYPERLINK("#Roadmap!C"&amp; MATCH($E98,Roadmap!$D:$D,0)+COUNTIF($E98:Q98,"u")+COUNTIF($E98:Q98,"t")+COUNTIF($E98:Q98,"¶")+COUNTIF($E98:Q98,"²")+COUNTIF($E98:Q98,"µ")+COUNTIF($E98:Q98,1)-1,INDEX(Roadmap!$D:$K,MATCH($E98,Roadmap!$D:$D,0)-1+COUNTIF($E98:Q98,"u")+COUNTIF($E98:Q98,"t")+COUNTIF($E98:Q98,"¶")+COUNTIF($E98:Q98,"²")+COUNTIF($E98:Q98,"µ")+COUNTIF($E98:Q98,1),ColDescriptionCourte)),""),
  "")),"")</f>
        <v/>
      </c>
      <c r="S98" s="40" t="str">
        <f ca="1">IFERROR(IF(AND(
  INDEX(Roadmap!$D:$K,MATCH($E98,Roadmap!$D:$D,0)+COUNTIF($E98:R98,"u")+COUNTIF($E98:R98,"t")+COUNTIF($E98:R98,"¶")+COUNTIF($E98:R98,"²")+COUNTIF($E98:R98,"µ")+COUNTIF($E98:R98,1),ColLivraison)=S$6,
  VLOOKUP($E98,INDIRECT("tri!"&amp; CHAR(64+ C0Col) &amp;":"&amp; CHAR(65+C0Col)),2,FALSE)&gt;COUNTIF($E98:R98,"u")+COUNTIF($E98:R98,"t")+COUNTIF($E98:R98,"¶")+COUNTIF($E98:R98,"²")+COUNTIF($E98:R98,"µ")+COUNTIF($E98:R98,1)),
HYPERLINK("#Roadmap!C"&amp; MATCH($E98,Roadmap!$D:$D,0)+COUNTIF($E98:R98,"u")+COUNTIF($E98:R98,"t"),
     INDEX(Roadmap!$D:$K,MATCH($E98,Roadmap!$D:$D,0)+COUNTIF($E98:R98,"u")+COUNTIF($E98:R98,"t")+COUNTIF($E98:R98,"¶")+COUNTIF($E98:R98,"²")+COUNTIF($E98:R98,"µ")+COUNTIF($E98:R98,1),ColTypeEcheance)),
  IF(LEN(R98)=1,
  IF(LEN(INDEX(Roadmap!$D:$K,MATCH($E98,Roadmap!$D:$D,0)-1+COUNTIF($E98:R98,"u")+COUNTIF($E98:R98,"t")+COUNTIF($E98:R98,"¶")+COUNTIF($E98:R98,"²")+COUNTIF($E98:R98,"µ")+COUNTIF($E98:R98,1),ColDescriptionCourte))&gt;1,
HYPERLINK("#Roadmap!C"&amp; MATCH($E98,Roadmap!$D:$D,0)+COUNTIF($E98:R98,"u")+COUNTIF($E98:R98,"t")+COUNTIF($E98:R98,"¶")+COUNTIF($E98:R98,"²")+COUNTIF($E98:R98,"µ")+COUNTIF($E98:R98,1)-1,INDEX(Roadmap!$D:$K,MATCH($E98,Roadmap!$D:$D,0)-1+COUNTIF($E98:R98,"u")+COUNTIF($E98:R98,"t")+COUNTIF($E98:R98,"¶")+COUNTIF($E98:R98,"²")+COUNTIF($E98:R98,"µ")+COUNTIF($E98:R98,1),ColDescriptionCourte)),""),
  "")),"")</f>
        <v/>
      </c>
      <c r="T98" s="40" t="str">
        <f ca="1">IFERROR(IF(AND(
  INDEX(Roadmap!$D:$K,MATCH($E98,Roadmap!$D:$D,0)+COUNTIF($E98:S98,"u")+COUNTIF($E98:S98,"t")+COUNTIF($E98:S98,"¶")+COUNTIF($E98:S98,"²")+COUNTIF($E98:S98,"µ")+COUNTIF($E98:S98,1),ColLivraison)=T$6,
  VLOOKUP($E98,INDIRECT("tri!"&amp; CHAR(64+ C0Col) &amp;":"&amp; CHAR(65+C0Col)),2,FALSE)&gt;COUNTIF($E98:S98,"u")+COUNTIF($E98:S98,"t")+COUNTIF($E98:S98,"¶")+COUNTIF($E98:S98,"²")+COUNTIF($E98:S98,"µ")+COUNTIF($E98:S98,1)),
HYPERLINK("#Roadmap!C"&amp; MATCH($E98,Roadmap!$D:$D,0)+COUNTIF($E98:S98,"u")+COUNTIF($E98:S98,"t"),
     INDEX(Roadmap!$D:$K,MATCH($E98,Roadmap!$D:$D,0)+COUNTIF($E98:S98,"u")+COUNTIF($E98:S98,"t")+COUNTIF($E98:S98,"¶")+COUNTIF($E98:S98,"²")+COUNTIF($E98:S98,"µ")+COUNTIF($E98:S98,1),ColTypeEcheance)),
  IF(LEN(S98)=1,
  IF(LEN(INDEX(Roadmap!$D:$K,MATCH($E98,Roadmap!$D:$D,0)-1+COUNTIF($E98:S98,"u")+COUNTIF($E98:S98,"t")+COUNTIF($E98:S98,"¶")+COUNTIF($E98:S98,"²")+COUNTIF($E98:S98,"µ")+COUNTIF($E98:S98,1),ColDescriptionCourte))&gt;1,
HYPERLINK("#Roadmap!C"&amp; MATCH($E98,Roadmap!$D:$D,0)+COUNTIF($E98:S98,"u")+COUNTIF($E98:S98,"t")+COUNTIF($E98:S98,"¶")+COUNTIF($E98:S98,"²")+COUNTIF($E98:S98,"µ")+COUNTIF($E98:S98,1)-1,INDEX(Roadmap!$D:$K,MATCH($E98,Roadmap!$D:$D,0)-1+COUNTIF($E98:S98,"u")+COUNTIF($E98:S98,"t")+COUNTIF($E98:S98,"¶")+COUNTIF($E98:S98,"²")+COUNTIF($E98:S98,"µ")+COUNTIF($E98:S98,1),ColDescriptionCourte)),""),
  "")),"")</f>
        <v/>
      </c>
      <c r="U98" s="40" t="str">
        <f ca="1">IFERROR(IF(AND(
  INDEX(Roadmap!$D:$K,MATCH($E98,Roadmap!$D:$D,0)+COUNTIF($E98:T98,"u")+COUNTIF($E98:T98,"t")+COUNTIF($E98:T98,"¶")+COUNTIF($E98:T98,"²")+COUNTIF($E98:T98,"µ")+COUNTIF($E98:T98,1),ColLivraison)=U$6,
  VLOOKUP($E98,INDIRECT("tri!"&amp; CHAR(64+ C0Col) &amp;":"&amp; CHAR(65+C0Col)),2,FALSE)&gt;COUNTIF($E98:T98,"u")+COUNTIF($E98:T98,"t")+COUNTIF($E98:T98,"¶")+COUNTIF($E98:T98,"²")+COUNTIF($E98:T98,"µ")+COUNTIF($E98:T98,1)),
HYPERLINK("#Roadmap!C"&amp; MATCH($E98,Roadmap!$D:$D,0)+COUNTIF($E98:T98,"u")+COUNTIF($E98:T98,"t"),
     INDEX(Roadmap!$D:$K,MATCH($E98,Roadmap!$D:$D,0)+COUNTIF($E98:T98,"u")+COUNTIF($E98:T98,"t")+COUNTIF($E98:T98,"¶")+COUNTIF($E98:T98,"²")+COUNTIF($E98:T98,"µ")+COUNTIF($E98:T98,1),ColTypeEcheance)),
  IF(LEN(T98)=1,
  IF(LEN(INDEX(Roadmap!$D:$K,MATCH($E98,Roadmap!$D:$D,0)-1+COUNTIF($E98:T98,"u")+COUNTIF($E98:T98,"t")+COUNTIF($E98:T98,"¶")+COUNTIF($E98:T98,"²")+COUNTIF($E98:T98,"µ")+COUNTIF($E98:T98,1),ColDescriptionCourte))&gt;1,
HYPERLINK("#Roadmap!C"&amp; MATCH($E98,Roadmap!$D:$D,0)+COUNTIF($E98:T98,"u")+COUNTIF($E98:T98,"t")+COUNTIF($E98:T98,"¶")+COUNTIF($E98:T98,"²")+COUNTIF($E98:T98,"µ")+COUNTIF($E98:T98,1)-1,INDEX(Roadmap!$D:$K,MATCH($E98,Roadmap!$D:$D,0)-1+COUNTIF($E98:T98,"u")+COUNTIF($E98:T98,"t")+COUNTIF($E98:T98,"¶")+COUNTIF($E98:T98,"²")+COUNTIF($E98:T98,"µ")+COUNTIF($E98:T98,1),ColDescriptionCourte)),""),
  "")),"")</f>
        <v/>
      </c>
      <c r="V98" s="40" t="str">
        <f ca="1">IFERROR(IF(AND(
  INDEX(Roadmap!$D:$K,MATCH($E98,Roadmap!$D:$D,0)+COUNTIF($E98:U98,"u")+COUNTIF($E98:U98,"t")+COUNTIF($E98:U98,"¶")+COUNTIF($E98:U98,"²")+COUNTIF($E98:U98,"µ")+COUNTIF($E98:U98,1),ColLivraison)=V$6,
  VLOOKUP($E98,INDIRECT("tri!"&amp; CHAR(64+ C0Col) &amp;":"&amp; CHAR(65+C0Col)),2,FALSE)&gt;COUNTIF($E98:U98,"u")+COUNTIF($E98:U98,"t")+COUNTIF($E98:U98,"¶")+COUNTIF($E98:U98,"²")+COUNTIF($E98:U98,"µ")+COUNTIF($E98:U98,1)),
HYPERLINK("#Roadmap!C"&amp; MATCH($E98,Roadmap!$D:$D,0)+COUNTIF($E98:U98,"u")+COUNTIF($E98:U98,"t"),
     INDEX(Roadmap!$D:$K,MATCH($E98,Roadmap!$D:$D,0)+COUNTIF($E98:U98,"u")+COUNTIF($E98:U98,"t")+COUNTIF($E98:U98,"¶")+COUNTIF($E98:U98,"²")+COUNTIF($E98:U98,"µ")+COUNTIF($E98:U98,1),ColTypeEcheance)),
  IF(LEN(U98)=1,
  IF(LEN(INDEX(Roadmap!$D:$K,MATCH($E98,Roadmap!$D:$D,0)-1+COUNTIF($E98:U98,"u")+COUNTIF($E98:U98,"t")+COUNTIF($E98:U98,"¶")+COUNTIF($E98:U98,"²")+COUNTIF($E98:U98,"µ")+COUNTIF($E98:U98,1),ColDescriptionCourte))&gt;1,
HYPERLINK("#Roadmap!C"&amp; MATCH($E98,Roadmap!$D:$D,0)+COUNTIF($E98:U98,"u")+COUNTIF($E98:U98,"t")+COUNTIF($E98:U98,"¶")+COUNTIF($E98:U98,"²")+COUNTIF($E98:U98,"µ")+COUNTIF($E98:U98,1)-1,INDEX(Roadmap!$D:$K,MATCH($E98,Roadmap!$D:$D,0)-1+COUNTIF($E98:U98,"u")+COUNTIF($E98:U98,"t")+COUNTIF($E98:U98,"¶")+COUNTIF($E98:U98,"²")+COUNTIF($E98:U98,"µ")+COUNTIF($E98:U98,1),ColDescriptionCourte)),""),
  "")),"")</f>
        <v/>
      </c>
      <c r="W98" s="40" t="str">
        <f ca="1">IFERROR(IF(AND(
  INDEX(Roadmap!$D:$K,MATCH($E98,Roadmap!$D:$D,0)+COUNTIF($E98:V98,"u")+COUNTIF($E98:V98,"t")+COUNTIF($E98:V98,"¶")+COUNTIF($E98:V98,"²")+COUNTIF($E98:V98,"µ")+COUNTIF($E98:V98,1),ColLivraison)=W$6,
  VLOOKUP($E98,INDIRECT("tri!"&amp; CHAR(64+ C0Col) &amp;":"&amp; CHAR(65+C0Col)),2,FALSE)&gt;COUNTIF($E98:V98,"u")+COUNTIF($E98:V98,"t")+COUNTIF($E98:V98,"¶")+COUNTIF($E98:V98,"²")+COUNTIF($E98:V98,"µ")+COUNTIF($E98:V98,1)),
HYPERLINK("#Roadmap!C"&amp; MATCH($E98,Roadmap!$D:$D,0)+COUNTIF($E98:V98,"u")+COUNTIF($E98:V98,"t"),
     INDEX(Roadmap!$D:$K,MATCH($E98,Roadmap!$D:$D,0)+COUNTIF($E98:V98,"u")+COUNTIF($E98:V98,"t")+COUNTIF($E98:V98,"¶")+COUNTIF($E98:V98,"²")+COUNTIF($E98:V98,"µ")+COUNTIF($E98:V98,1),ColTypeEcheance)),
  IF(LEN(V98)=1,
  IF(LEN(INDEX(Roadmap!$D:$K,MATCH($E98,Roadmap!$D:$D,0)-1+COUNTIF($E98:V98,"u")+COUNTIF($E98:V98,"t")+COUNTIF($E98:V98,"¶")+COUNTIF($E98:V98,"²")+COUNTIF($E98:V98,"µ")+COUNTIF($E98:V98,1),ColDescriptionCourte))&gt;1,
HYPERLINK("#Roadmap!C"&amp; MATCH($E98,Roadmap!$D:$D,0)+COUNTIF($E98:V98,"u")+COUNTIF($E98:V98,"t")+COUNTIF($E98:V98,"¶")+COUNTIF($E98:V98,"²")+COUNTIF($E98:V98,"µ")+COUNTIF($E98:V98,1)-1,INDEX(Roadmap!$D:$K,MATCH($E98,Roadmap!$D:$D,0)-1+COUNTIF($E98:V98,"u")+COUNTIF($E98:V98,"t")+COUNTIF($E98:V98,"¶")+COUNTIF($E98:V98,"²")+COUNTIF($E98:V98,"µ")+COUNTIF($E98:V98,1),ColDescriptionCourte)),""),
  "")),"")</f>
        <v/>
      </c>
      <c r="X98" s="40" t="str">
        <f ca="1">IFERROR(IF(AND(
  INDEX(Roadmap!$D:$K,MATCH($E98,Roadmap!$D:$D,0)+COUNTIF($E98:W98,"u")+COUNTIF($E98:W98,"t")+COUNTIF($E98:W98,"¶")+COUNTIF($E98:W98,"²")+COUNTIF($E98:W98,"µ")+COUNTIF($E98:W98,1),ColLivraison)=X$6,
  VLOOKUP($E98,INDIRECT("tri!"&amp; CHAR(64+ C0Col) &amp;":"&amp; CHAR(65+C0Col)),2,FALSE)&gt;COUNTIF($E98:W98,"u")+COUNTIF($E98:W98,"t")+COUNTIF($E98:W98,"¶")+COUNTIF($E98:W98,"²")+COUNTIF($E98:W98,"µ")+COUNTIF($E98:W98,1)),
HYPERLINK("#Roadmap!C"&amp; MATCH($E98,Roadmap!$D:$D,0)+COUNTIF($E98:W98,"u")+COUNTIF($E98:W98,"t"),
     INDEX(Roadmap!$D:$K,MATCH($E98,Roadmap!$D:$D,0)+COUNTIF($E98:W98,"u")+COUNTIF($E98:W98,"t")+COUNTIF($E98:W98,"¶")+COUNTIF($E98:W98,"²")+COUNTIF($E98:W98,"µ")+COUNTIF($E98:W98,1),ColTypeEcheance)),
  IF(LEN(W98)=1,
  IF(LEN(INDEX(Roadmap!$D:$K,MATCH($E98,Roadmap!$D:$D,0)-1+COUNTIF($E98:W98,"u")+COUNTIF($E98:W98,"t")+COUNTIF($E98:W98,"¶")+COUNTIF($E98:W98,"²")+COUNTIF($E98:W98,"µ")+COUNTIF($E98:W98,1),ColDescriptionCourte))&gt;1,
HYPERLINK("#Roadmap!C"&amp; MATCH($E98,Roadmap!$D:$D,0)+COUNTIF($E98:W98,"u")+COUNTIF($E98:W98,"t")+COUNTIF($E98:W98,"¶")+COUNTIF($E98:W98,"²")+COUNTIF($E98:W98,"µ")+COUNTIF($E98:W98,1)-1,INDEX(Roadmap!$D:$K,MATCH($E98,Roadmap!$D:$D,0)-1+COUNTIF($E98:W98,"u")+COUNTIF($E98:W98,"t")+COUNTIF($E98:W98,"¶")+COUNTIF($E98:W98,"²")+COUNTIF($E98:W98,"µ")+COUNTIF($E98:W98,1),ColDescriptionCourte)),""),
  "")),"")</f>
        <v/>
      </c>
      <c r="Y98" s="40" t="str">
        <f ca="1">IFERROR(IF(AND(
  INDEX(Roadmap!$D:$K,MATCH($E98,Roadmap!$D:$D,0)+COUNTIF($E98:X98,"u")+COUNTIF($E98:X98,"t")+COUNTIF($E98:X98,"¶")+COUNTIF($E98:X98,"²")+COUNTIF($E98:X98,"µ")+COUNTIF($E98:X98,1),ColLivraison)=Y$6,
  VLOOKUP($E98,INDIRECT("tri!"&amp; CHAR(64+ C0Col) &amp;":"&amp; CHAR(65+C0Col)),2,FALSE)&gt;COUNTIF($E98:X98,"u")+COUNTIF($E98:X98,"t")+COUNTIF($E98:X98,"¶")+COUNTIF($E98:X98,"²")+COUNTIF($E98:X98,"µ")+COUNTIF($E98:X98,1)),
HYPERLINK("#Roadmap!C"&amp; MATCH($E98,Roadmap!$D:$D,0)+COUNTIF($E98:X98,"u")+COUNTIF($E98:X98,"t"),
     INDEX(Roadmap!$D:$K,MATCH($E98,Roadmap!$D:$D,0)+COUNTIF($E98:X98,"u")+COUNTIF($E98:X98,"t")+COUNTIF($E98:X98,"¶")+COUNTIF($E98:X98,"²")+COUNTIF($E98:X98,"µ")+COUNTIF($E98:X98,1),ColTypeEcheance)),
  IF(LEN(X98)=1,
  IF(LEN(INDEX(Roadmap!$D:$K,MATCH($E98,Roadmap!$D:$D,0)-1+COUNTIF($E98:X98,"u")+COUNTIF($E98:X98,"t")+COUNTIF($E98:X98,"¶")+COUNTIF($E98:X98,"²")+COUNTIF($E98:X98,"µ")+COUNTIF($E98:X98,1),ColDescriptionCourte))&gt;1,
HYPERLINK("#Roadmap!C"&amp; MATCH($E98,Roadmap!$D:$D,0)+COUNTIF($E98:X98,"u")+COUNTIF($E98:X98,"t")+COUNTIF($E98:X98,"¶")+COUNTIF($E98:X98,"²")+COUNTIF($E98:X98,"µ")+COUNTIF($E98:X98,1)-1,INDEX(Roadmap!$D:$K,MATCH($E98,Roadmap!$D:$D,0)-1+COUNTIF($E98:X98,"u")+COUNTIF($E98:X98,"t")+COUNTIF($E98:X98,"¶")+COUNTIF($E98:X98,"²")+COUNTIF($E98:X98,"µ")+COUNTIF($E98:X98,1),ColDescriptionCourte)),""),
  "")),"")</f>
        <v/>
      </c>
      <c r="Z98" s="40" t="str">
        <f ca="1">IFERROR(IF(AND(
  INDEX(Roadmap!$D:$K,MATCH($E98,Roadmap!$D:$D,0)+COUNTIF($E98:Y98,"u")+COUNTIF($E98:Y98,"t")+COUNTIF($E98:Y98,"¶")+COUNTIF($E98:Y98,"²")+COUNTIF($E98:Y98,"µ")+COUNTIF($E98:Y98,1),ColLivraison)=Z$6,
  VLOOKUP($E98,INDIRECT("tri!"&amp; CHAR(64+ C0Col) &amp;":"&amp; CHAR(65+C0Col)),2,FALSE)&gt;COUNTIF($E98:Y98,"u")+COUNTIF($E98:Y98,"t")+COUNTIF($E98:Y98,"¶")+COUNTIF($E98:Y98,"²")+COUNTIF($E98:Y98,"µ")+COUNTIF($E98:Y98,1)),
HYPERLINK("#Roadmap!C"&amp; MATCH($E98,Roadmap!$D:$D,0)+COUNTIF($E98:Y98,"u")+COUNTIF($E98:Y98,"t"),
     INDEX(Roadmap!$D:$K,MATCH($E98,Roadmap!$D:$D,0)+COUNTIF($E98:Y98,"u")+COUNTIF($E98:Y98,"t")+COUNTIF($E98:Y98,"¶")+COUNTIF($E98:Y98,"²")+COUNTIF($E98:Y98,"µ")+COUNTIF($E98:Y98,1),ColTypeEcheance)),
  IF(LEN(Y98)=1,
  IF(LEN(INDEX(Roadmap!$D:$K,MATCH($E98,Roadmap!$D:$D,0)-1+COUNTIF($E98:Y98,"u")+COUNTIF($E98:Y98,"t")+COUNTIF($E98:Y98,"¶")+COUNTIF($E98:Y98,"²")+COUNTIF($E98:Y98,"µ")+COUNTIF($E98:Y98,1),ColDescriptionCourte))&gt;1,
HYPERLINK("#Roadmap!C"&amp; MATCH($E98,Roadmap!$D:$D,0)+COUNTIF($E98:Y98,"u")+COUNTIF($E98:Y98,"t")+COUNTIF($E98:Y98,"¶")+COUNTIF($E98:Y98,"²")+COUNTIF($E98:Y98,"µ")+COUNTIF($E98:Y98,1)-1,INDEX(Roadmap!$D:$K,MATCH($E98,Roadmap!$D:$D,0)-1+COUNTIF($E98:Y98,"u")+COUNTIF($E98:Y98,"t")+COUNTIF($E98:Y98,"¶")+COUNTIF($E98:Y98,"²")+COUNTIF($E98:Y98,"µ")+COUNTIF($E98:Y98,1),ColDescriptionCourte)),""),
  "")),"")</f>
        <v/>
      </c>
      <c r="AA98" s="40" t="str">
        <f ca="1">IFERROR(IF(AND(
  INDEX(Roadmap!$D:$K,MATCH($E98,Roadmap!$D:$D,0)+COUNTIF($E98:Z98,"u")+COUNTIF($E98:Z98,"t")+COUNTIF($E98:Z98,"¶")+COUNTIF($E98:Z98,"²")+COUNTIF($E98:Z98,"µ")+COUNTIF($E98:Z98,1),ColLivraison)=AA$6,
  VLOOKUP($E98,INDIRECT("tri!"&amp; CHAR(64+ C0Col) &amp;":"&amp; CHAR(65+C0Col)),2,FALSE)&gt;COUNTIF($E98:Z98,"u")+COUNTIF($E98:Z98,"t")+COUNTIF($E98:Z98,"¶")+COUNTIF($E98:Z98,"²")+COUNTIF($E98:Z98,"µ")+COUNTIF($E98:Z98,1)),
HYPERLINK("#Roadmap!C"&amp; MATCH($E98,Roadmap!$D:$D,0)+COUNTIF($E98:Z98,"u")+COUNTIF($E98:Z98,"t"),
     INDEX(Roadmap!$D:$K,MATCH($E98,Roadmap!$D:$D,0)+COUNTIF($E98:Z98,"u")+COUNTIF($E98:Z98,"t")+COUNTIF($E98:Z98,"¶")+COUNTIF($E98:Z98,"²")+COUNTIF($E98:Z98,"µ")+COUNTIF($E98:Z98,1),ColTypeEcheance)),
  IF(LEN(Z98)=1,
  IF(LEN(INDEX(Roadmap!$D:$K,MATCH($E98,Roadmap!$D:$D,0)-1+COUNTIF($E98:Z98,"u")+COUNTIF($E98:Z98,"t")+COUNTIF($E98:Z98,"¶")+COUNTIF($E98:Z98,"²")+COUNTIF($E98:Z98,"µ")+COUNTIF($E98:Z98,1),ColDescriptionCourte))&gt;1,
HYPERLINK("#Roadmap!C"&amp; MATCH($E98,Roadmap!$D:$D,0)+COUNTIF($E98:Z98,"u")+COUNTIF($E98:Z98,"t")+COUNTIF($E98:Z98,"¶")+COUNTIF($E98:Z98,"²")+COUNTIF($E98:Z98,"µ")+COUNTIF($E98:Z98,1)-1,INDEX(Roadmap!$D:$K,MATCH($E98,Roadmap!$D:$D,0)-1+COUNTIF($E98:Z98,"u")+COUNTIF($E98:Z98,"t")+COUNTIF($E98:Z98,"¶")+COUNTIF($E98:Z98,"²")+COUNTIF($E98:Z98,"µ")+COUNTIF($E98:Z98,1),ColDescriptionCourte)),""),
  "")),"")</f>
        <v/>
      </c>
      <c r="AB98" s="40" t="str">
        <f ca="1">IFERROR(IF(AND(
  INDEX(Roadmap!$D:$K,MATCH($E98,Roadmap!$D:$D,0)+COUNTIF($E98:AA98,"u")+COUNTIF($E98:AA98,"t")+COUNTIF($E98:AA98,"¶")+COUNTIF($E98:AA98,"²")+COUNTIF($E98:AA98,"µ")+COUNTIF($E98:AA98,1),ColLivraison)=AB$6,
  VLOOKUP($E98,INDIRECT("tri!"&amp; CHAR(64+ C0Col) &amp;":"&amp; CHAR(65+C0Col)),2,FALSE)&gt;COUNTIF($E98:AA98,"u")+COUNTIF($E98:AA98,"t")+COUNTIF($E98:AA98,"¶")+COUNTIF($E98:AA98,"²")+COUNTIF($E98:AA98,"µ")+COUNTIF($E98:AA98,1)),
HYPERLINK("#Roadmap!C"&amp; MATCH($E98,Roadmap!$D:$D,0)+COUNTIF($E98:AA98,"u")+COUNTIF($E98:AA98,"t"),
     INDEX(Roadmap!$D:$K,MATCH($E98,Roadmap!$D:$D,0)+COUNTIF($E98:AA98,"u")+COUNTIF($E98:AA98,"t")+COUNTIF($E98:AA98,"¶")+COUNTIF($E98:AA98,"²")+COUNTIF($E98:AA98,"µ")+COUNTIF($E98:AA98,1),ColTypeEcheance)),
  IF(LEN(AA98)=1,
  IF(LEN(INDEX(Roadmap!$D:$K,MATCH($E98,Roadmap!$D:$D,0)-1+COUNTIF($E98:AA98,"u")+COUNTIF($E98:AA98,"t")+COUNTIF($E98:AA98,"¶")+COUNTIF($E98:AA98,"²")+COUNTIF($E98:AA98,"µ")+COUNTIF($E98:AA98,1),ColDescriptionCourte))&gt;1,
HYPERLINK("#Roadmap!C"&amp; MATCH($E98,Roadmap!$D:$D,0)+COUNTIF($E98:AA98,"u")+COUNTIF($E98:AA98,"t")+COUNTIF($E98:AA98,"¶")+COUNTIF($E98:AA98,"²")+COUNTIF($E98:AA98,"µ")+COUNTIF($E98:AA98,1)-1,INDEX(Roadmap!$D:$K,MATCH($E98,Roadmap!$D:$D,0)-1+COUNTIF($E98:AA98,"u")+COUNTIF($E98:AA98,"t")+COUNTIF($E98:AA98,"¶")+COUNTIF($E98:AA98,"²")+COUNTIF($E98:AA98,"µ")+COUNTIF($E98:AA98,1),ColDescriptionCourte)),""),
  "")),"")</f>
        <v/>
      </c>
      <c r="AC98" s="40" t="str">
        <f ca="1">IFERROR(IF(AND(
  INDEX(Roadmap!$D:$K,MATCH($E98,Roadmap!$D:$D,0)+COUNTIF($E98:AB98,"u")+COUNTIF($E98:AB98,"t")+COUNTIF($E98:AB98,"¶")+COUNTIF($E98:AB98,"²")+COUNTIF($E98:AB98,"µ")+COUNTIF($E98:AB98,1),ColLivraison)=AC$6,
  VLOOKUP($E98,INDIRECT("tri!"&amp; CHAR(64+ C0Col) &amp;":"&amp; CHAR(65+C0Col)),2,FALSE)&gt;COUNTIF($E98:AB98,"u")+COUNTIF($E98:AB98,"t")+COUNTIF($E98:AB98,"¶")+COUNTIF($E98:AB98,"²")+COUNTIF($E98:AB98,"µ")+COUNTIF($E98:AB98,1)),
HYPERLINK("#Roadmap!C"&amp; MATCH($E98,Roadmap!$D:$D,0)+COUNTIF($E98:AB98,"u")+COUNTIF($E98:AB98,"t"),
     INDEX(Roadmap!$D:$K,MATCH($E98,Roadmap!$D:$D,0)+COUNTIF($E98:AB98,"u")+COUNTIF($E98:AB98,"t")+COUNTIF($E98:AB98,"¶")+COUNTIF($E98:AB98,"²")+COUNTIF($E98:AB98,"µ")+COUNTIF($E98:AB98,1),ColTypeEcheance)),
  IF(LEN(AB98)=1,
  IF(LEN(INDEX(Roadmap!$D:$K,MATCH($E98,Roadmap!$D:$D,0)-1+COUNTIF($E98:AB98,"u")+COUNTIF($E98:AB98,"t")+COUNTIF($E98:AB98,"¶")+COUNTIF($E98:AB98,"²")+COUNTIF($E98:AB98,"µ")+COUNTIF($E98:AB98,1),ColDescriptionCourte))&gt;1,
HYPERLINK("#Roadmap!C"&amp; MATCH($E98,Roadmap!$D:$D,0)+COUNTIF($E98:AB98,"u")+COUNTIF($E98:AB98,"t")+COUNTIF($E98:AB98,"¶")+COUNTIF($E98:AB98,"²")+COUNTIF($E98:AB98,"µ")+COUNTIF($E98:AB98,1)-1,INDEX(Roadmap!$D:$K,MATCH($E98,Roadmap!$D:$D,0)-1+COUNTIF($E98:AB98,"u")+COUNTIF($E98:AB98,"t")+COUNTIF($E98:AB98,"¶")+COUNTIF($E98:AB98,"²")+COUNTIF($E98:AB98,"µ")+COUNTIF($E98:AB98,1),ColDescriptionCourte)),""),
  "")),"")</f>
        <v/>
      </c>
      <c r="AD98" s="40" t="str">
        <f ca="1">IFERROR(IF(AND(
  INDEX(Roadmap!$D:$K,MATCH($E98,Roadmap!$D:$D,0)+COUNTIF($E98:AC98,"u")+COUNTIF($E98:AC98,"t")+COUNTIF($E98:AC98,"¶")+COUNTIF($E98:AC98,"²")+COUNTIF($E98:AC98,"µ")+COUNTIF($E98:AC98,1),ColLivraison)=AD$6,
  VLOOKUP($E98,INDIRECT("tri!"&amp; CHAR(64+ C0Col) &amp;":"&amp; CHAR(65+C0Col)),2,FALSE)&gt;COUNTIF($E98:AC98,"u")+COUNTIF($E98:AC98,"t")+COUNTIF($E98:AC98,"¶")+COUNTIF($E98:AC98,"²")+COUNTIF($E98:AC98,"µ")+COUNTIF($E98:AC98,1)),
HYPERLINK("#Roadmap!C"&amp; MATCH($E98,Roadmap!$D:$D,0)+COUNTIF($E98:AC98,"u")+COUNTIF($E98:AC98,"t"),
     INDEX(Roadmap!$D:$K,MATCH($E98,Roadmap!$D:$D,0)+COUNTIF($E98:AC98,"u")+COUNTIF($E98:AC98,"t")+COUNTIF($E98:AC98,"¶")+COUNTIF($E98:AC98,"²")+COUNTIF($E98:AC98,"µ")+COUNTIF($E98:AC98,1),ColTypeEcheance)),
  IF(LEN(AC98)=1,
  IF(LEN(INDEX(Roadmap!$D:$K,MATCH($E98,Roadmap!$D:$D,0)-1+COUNTIF($E98:AC98,"u")+COUNTIF($E98:AC98,"t")+COUNTIF($E98:AC98,"¶")+COUNTIF($E98:AC98,"²")+COUNTIF($E98:AC98,"µ")+COUNTIF($E98:AC98,1),ColDescriptionCourte))&gt;1,
HYPERLINK("#Roadmap!C"&amp; MATCH($E98,Roadmap!$D:$D,0)+COUNTIF($E98:AC98,"u")+COUNTIF($E98:AC98,"t")+COUNTIF($E98:AC98,"¶")+COUNTIF($E98:AC98,"²")+COUNTIF($E98:AC98,"µ")+COUNTIF($E98:AC98,1)-1,INDEX(Roadmap!$D:$K,MATCH($E98,Roadmap!$D:$D,0)-1+COUNTIF($E98:AC98,"u")+COUNTIF($E98:AC98,"t")+COUNTIF($E98:AC98,"¶")+COUNTIF($E98:AC98,"²")+COUNTIF($E98:AC98,"µ")+COUNTIF($E98:AC98,1),ColDescriptionCourte)),""),
  "")),"")</f>
        <v/>
      </c>
      <c r="AE98" s="40" t="str">
        <f ca="1">IFERROR(IF(AND(
  INDEX(Roadmap!$D:$K,MATCH($E98,Roadmap!$D:$D,0)+COUNTIF($E98:AD98,"u")+COUNTIF($E98:AD98,"t")+COUNTIF($E98:AD98,"¶")+COUNTIF($E98:AD98,"²")+COUNTIF($E98:AD98,"µ")+COUNTIF($E98:AD98,1),ColLivraison)=AE$6,
  VLOOKUP($E98,INDIRECT("tri!"&amp; CHAR(64+ C0Col) &amp;":"&amp; CHAR(65+C0Col)),2,FALSE)&gt;COUNTIF($E98:AD98,"u")+COUNTIF($E98:AD98,"t")+COUNTIF($E98:AD98,"¶")+COUNTIF($E98:AD98,"²")+COUNTIF($E98:AD98,"µ")+COUNTIF($E98:AD98,1)),
HYPERLINK("#Roadmap!C"&amp; MATCH($E98,Roadmap!$D:$D,0)+COUNTIF($E98:AD98,"u")+COUNTIF($E98:AD98,"t"),
     INDEX(Roadmap!$D:$K,MATCH($E98,Roadmap!$D:$D,0)+COUNTIF($E98:AD98,"u")+COUNTIF($E98:AD98,"t")+COUNTIF($E98:AD98,"¶")+COUNTIF($E98:AD98,"²")+COUNTIF($E98:AD98,"µ")+COUNTIF($E98:AD98,1),ColTypeEcheance)),
  IF(LEN(AD98)=1,
  IF(LEN(INDEX(Roadmap!$D:$K,MATCH($E98,Roadmap!$D:$D,0)-1+COUNTIF($E98:AD98,"u")+COUNTIF($E98:AD98,"t")+COUNTIF($E98:AD98,"¶")+COUNTIF($E98:AD98,"²")+COUNTIF($E98:AD98,"µ")+COUNTIF($E98:AD98,1),ColDescriptionCourte))&gt;1,
HYPERLINK("#Roadmap!C"&amp; MATCH($E98,Roadmap!$D:$D,0)+COUNTIF($E98:AD98,"u")+COUNTIF($E98:AD98,"t")+COUNTIF($E98:AD98,"¶")+COUNTIF($E98:AD98,"²")+COUNTIF($E98:AD98,"µ")+COUNTIF($E98:AD98,1)-1,INDEX(Roadmap!$D:$K,MATCH($E98,Roadmap!$D:$D,0)-1+COUNTIF($E98:AD98,"u")+COUNTIF($E98:AD98,"t")+COUNTIF($E98:AD98,"¶")+COUNTIF($E98:AD98,"²")+COUNTIF($E98:AD98,"µ")+COUNTIF($E98:AD98,1),ColDescriptionCourte)),""),
  "")),"")</f>
        <v/>
      </c>
      <c r="AF98" s="40" t="str">
        <f ca="1">IFERROR(IF(AND(
  INDEX(Roadmap!$D:$K,MATCH($E98,Roadmap!$D:$D,0)+COUNTIF($E98:AE98,"u")+COUNTIF($E98:AE98,"t")+COUNTIF($E98:AE98,"¶")+COUNTIF($E98:AE98,"²")+COUNTIF($E98:AE98,"µ")+COUNTIF($E98:AE98,1),ColLivraison)=AF$6,
  VLOOKUP($E98,INDIRECT("tri!"&amp; CHAR(64+ C0Col) &amp;":"&amp; CHAR(65+C0Col)),2,FALSE)&gt;COUNTIF($E98:AE98,"u")+COUNTIF($E98:AE98,"t")+COUNTIF($E98:AE98,"¶")+COUNTIF($E98:AE98,"²")+COUNTIF($E98:AE98,"µ")+COUNTIF($E98:AE98,1)),
HYPERLINK("#Roadmap!C"&amp; MATCH($E98,Roadmap!$D:$D,0)+COUNTIF($E98:AE98,"u")+COUNTIF($E98:AE98,"t"),
     INDEX(Roadmap!$D:$K,MATCH($E98,Roadmap!$D:$D,0)+COUNTIF($E98:AE98,"u")+COUNTIF($E98:AE98,"t")+COUNTIF($E98:AE98,"¶")+COUNTIF($E98:AE98,"²")+COUNTIF($E98:AE98,"µ")+COUNTIF($E98:AE98,1),ColTypeEcheance)),
  IF(LEN(AE98)=1,
  IF(LEN(INDEX(Roadmap!$D:$K,MATCH($E98,Roadmap!$D:$D,0)-1+COUNTIF($E98:AE98,"u")+COUNTIF($E98:AE98,"t")+COUNTIF($E98:AE98,"¶")+COUNTIF($E98:AE98,"²")+COUNTIF($E98:AE98,"µ")+COUNTIF($E98:AE98,1),ColDescriptionCourte))&gt;1,
HYPERLINK("#Roadmap!C"&amp; MATCH($E98,Roadmap!$D:$D,0)+COUNTIF($E98:AE98,"u")+COUNTIF($E98:AE98,"t")+COUNTIF($E98:AE98,"¶")+COUNTIF($E98:AE98,"²")+COUNTIF($E98:AE98,"µ")+COUNTIF($E98:AE98,1)-1,INDEX(Roadmap!$D:$K,MATCH($E98,Roadmap!$D:$D,0)-1+COUNTIF($E98:AE98,"u")+COUNTIF($E98:AE98,"t")+COUNTIF($E98:AE98,"¶")+COUNTIF($E98:AE98,"²")+COUNTIF($E98:AE98,"µ")+COUNTIF($E98:AE98,1),ColDescriptionCourte)),""),
  "")),"")</f>
        <v/>
      </c>
      <c r="AG98" s="40" t="str">
        <f ca="1">IFERROR(IF(AND(
  INDEX(Roadmap!$D:$K,MATCH($E98,Roadmap!$D:$D,0)+COUNTIF($E98:AF98,"u")+COUNTIF($E98:AF98,"t")+COUNTIF($E98:AF98,"¶")+COUNTIF($E98:AF98,"²")+COUNTIF($E98:AF98,"µ")+COUNTIF($E98:AF98,1),ColLivraison)=AG$6,
  VLOOKUP($E98,INDIRECT("tri!"&amp; CHAR(64+ C0Col) &amp;":"&amp; CHAR(65+C0Col)),2,FALSE)&gt;COUNTIF($E98:AF98,"u")+COUNTIF($E98:AF98,"t")+COUNTIF($E98:AF98,"¶")+COUNTIF($E98:AF98,"²")+COUNTIF($E98:AF98,"µ")+COUNTIF($E98:AF98,1)),
HYPERLINK("#Roadmap!C"&amp; MATCH($E98,Roadmap!$D:$D,0)+COUNTIF($E98:AF98,"u")+COUNTIF($E98:AF98,"t"),
     INDEX(Roadmap!$D:$K,MATCH($E98,Roadmap!$D:$D,0)+COUNTIF($E98:AF98,"u")+COUNTIF($E98:AF98,"t")+COUNTIF($E98:AF98,"¶")+COUNTIF($E98:AF98,"²")+COUNTIF($E98:AF98,"µ")+COUNTIF($E98:AF98,1),ColTypeEcheance)),
  IF(LEN(AF98)=1,
  IF(LEN(INDEX(Roadmap!$D:$K,MATCH($E98,Roadmap!$D:$D,0)-1+COUNTIF($E98:AF98,"u")+COUNTIF($E98:AF98,"t")+COUNTIF($E98:AF98,"¶")+COUNTIF($E98:AF98,"²")+COUNTIF($E98:AF98,"µ")+COUNTIF($E98:AF98,1),ColDescriptionCourte))&gt;1,
HYPERLINK("#Roadmap!C"&amp; MATCH($E98,Roadmap!$D:$D,0)+COUNTIF($E98:AF98,"u")+COUNTIF($E98:AF98,"t")+COUNTIF($E98:AF98,"¶")+COUNTIF($E98:AF98,"²")+COUNTIF($E98:AF98,"µ")+COUNTIF($E98:AF98,1)-1,INDEX(Roadmap!$D:$K,MATCH($E98,Roadmap!$D:$D,0)-1+COUNTIF($E98:AF98,"u")+COUNTIF($E98:AF98,"t")+COUNTIF($E98:AF98,"¶")+COUNTIF($E98:AF98,"²")+COUNTIF($E98:AF98,"µ")+COUNTIF($E98:AF98,1),ColDescriptionCourte)),""),
  "")),"")</f>
        <v/>
      </c>
      <c r="AH98" s="40" t="str">
        <f ca="1">IFERROR(IF(AND(
  INDEX(Roadmap!$D:$K,MATCH($E98,Roadmap!$D:$D,0)+COUNTIF($E98:AG98,"u")+COUNTIF($E98:AG98,"t")+COUNTIF($E98:AG98,1),ColLivraison)=AH$6,
  VLOOKUP($E98,INDIRECT("tri!"&amp; CHAR(64+ C0Col) &amp;":"&amp; CHAR(65+C0Col)),2,FALSE)&gt;COUNTIF($E98:AG98,"u")+COUNTIF($E98:AG98,"t")+COUNTIF($E98:AG98,1)),
HYPERLINK("#Roadmap!C"&amp; MATCH($E98,Roadmap!$D:$D,0)+COUNTIF($E98:AG98,"u")+COUNTIF($E98:AG98,"t"),
     INDEX(Roadmap!$D:$K,MATCH($E98,Roadmap!$D:$D,0)+COUNTIF($E98:AG98,"u")+COUNTIF($E98:AG98,"t")+COUNTIF($E98:AG98,1),ColTypeEcheance)),
  IF(OR(AG98="u",AG98="t",AG98=1),
  IF(LEN(INDEX(Roadmap!$D:$K,MATCH($E98,Roadmap!$D:$D,0)-1+COUNTIF($E98:AG98,"u")+COUNTIF($E98:AG98,"t")+COUNTIF($E98:AG98,1),ColDescriptionCourte))&gt;1,
HYPERLINK("#Roadmap!C"&amp; MATCH($E98,Roadmap!$D:$D,0)+COUNTIF($E98:AG98,"u")+COUNTIF($E98:AG98,"t")+COUNTIF($E98:AG98,1)-1,INDEX(Roadmap!$D:$K,MATCH($E98,Roadmap!$D:$D,0)-1+COUNTIF($E98:AG98,"u")+COUNTIF($E98:AG98,"t")+COUNTIF($E98:AG98,1),ColDescriptionCourte)),""),
  "")),"")</f>
        <v/>
      </c>
      <c r="AI98" s="40"/>
      <c r="AJ98" s="40"/>
      <c r="AK98" s="40"/>
      <c r="AL98" s="40"/>
      <c r="AM98" s="40"/>
    </row>
    <row r="99" spans="4:39" ht="14.1" customHeight="1">
      <c r="D99" s="20" t="str">
        <f t="shared" ca="1" si="29"/>
        <v/>
      </c>
      <c r="E99" s="53" t="str">
        <f t="shared" ca="1" si="30"/>
        <v/>
      </c>
      <c r="F99" s="39" t="str">
        <f ca="1">IFERROR(IF(AND(
  INDEX(Roadmap!$D:$K,MATCH($E99,Roadmap!$D:$D,0)+COUNTIF($E99:E99,"u")+COUNTIF($E99:E99,"t")+COUNTIF($E99:E99,"¶")+COUNTIF($E99:E99,"²")+COUNTIF($E99:E99,"µ")+COUNTIF($E99:E99,1),ColLivraison)=F$6,
  VLOOKUP($E99,INDIRECT("tri!"&amp; CHAR(64+ C0Col) &amp;":"&amp; CHAR(65+C0Col)),2,FALSE)&gt;COUNTIF($E99:E99,"u")+COUNTIF($E99:E99,"t")+COUNTIF($E99:E99,"¶")+COUNTIF($E99:E99,"²")+COUNTIF($E99:E99,"µ")+COUNTIF($E99:E99,1)),
HYPERLINK("#Roadmap!C"&amp; MATCH($E99,Roadmap!$D:$D,0)+COUNTIF($E99:E99,"u")+COUNTIF($E99:E99,"t"),
     INDEX(Roadmap!$D:$K,MATCH($E99,Roadmap!$D:$D,0)+COUNTIF($E99:E99,"u")+COUNTIF($E99:E99,"t")+COUNTIF($E99:E99,"¶")+COUNTIF($E99:E99,"²")+COUNTIF($E99:E99,"µ")+COUNTIF($E99:E99,1),ColTypeEcheance)),
  IF(LEN(E99)=1,
  IF(LEN(INDEX(Roadmap!$D:$K,MATCH($E99,Roadmap!$D:$D,0)-1+COUNTIF($E99:E99,"u")+COUNTIF($E99:E99,"t")+COUNTIF($E99:E99,"¶")+COUNTIF($E99:E99,"²")+COUNTIF($E99:E99,"µ")+COUNTIF($E99:E99,1),ColDescriptionCourte))&gt;1,
HYPERLINK("#Roadmap!C"&amp; MATCH($E99,Roadmap!$D:$D,0)+COUNTIF($E99:E99,"u")+COUNTIF($E99:E99,"t")+COUNTIF($E99:E99,"¶")+COUNTIF($E99:E99,"²")+COUNTIF($E99:E99,"µ")+COUNTIF($E99:E99,1)-1,INDEX(Roadmap!$D:$K,MATCH($E99,Roadmap!$D:$D,0)-1+COUNTIF($E99:E99,"u")+COUNTIF($E99:E99,"t")+COUNTIF($E99:E99,"¶")+COUNTIF($E99:E99,"²")+COUNTIF($E99:E99,"µ")+COUNTIF($E99:E99,1),ColDescriptionCourte)),""),
  "")),"")</f>
        <v/>
      </c>
      <c r="G99" s="40" t="str">
        <f ca="1">IFERROR(IF(AND(
  INDEX(Roadmap!$D:$K,MATCH($E99,Roadmap!$D:$D,0)+COUNTIF($E99:F99,"u")+COUNTIF($E99:F99,"t")+COUNTIF($E99:F99,"¶")+COUNTIF($E99:F99,"²")+COUNTIF($E99:F99,"µ")+COUNTIF($E99:F99,1),ColLivraison)=G$6,
  VLOOKUP($E99,INDIRECT("tri!"&amp; CHAR(64+ C0Col) &amp;":"&amp; CHAR(65+C0Col)),2,FALSE)&gt;COUNTIF($E99:F99,"u")+COUNTIF($E99:F99,"t")+COUNTIF($E99:F99,"¶")+COUNTIF($E99:F99,"²")+COUNTIF($E99:F99,"µ")+COUNTIF($E99:F99,1)),
HYPERLINK("#Roadmap!C"&amp; MATCH($E99,Roadmap!$D:$D,0)+COUNTIF($E99:F99,"u")+COUNTIF($E99:F99,"t"),
     INDEX(Roadmap!$D:$K,MATCH($E99,Roadmap!$D:$D,0)+COUNTIF($E99:F99,"u")+COUNTIF($E99:F99,"t")+COUNTIF($E99:F99,"¶")+COUNTIF($E99:F99,"²")+COUNTIF($E99:F99,"µ")+COUNTIF($E99:F99,1),ColTypeEcheance)),
  IF(LEN(F99)=1,
  IF(LEN(INDEX(Roadmap!$D:$K,MATCH($E99,Roadmap!$D:$D,0)-1+COUNTIF($E99:F99,"u")+COUNTIF($E99:F99,"t")+COUNTIF($E99:F99,"¶")+COUNTIF($E99:F99,"²")+COUNTIF($E99:F99,"µ")+COUNTIF($E99:F99,1),ColDescriptionCourte))&gt;1,
HYPERLINK("#Roadmap!C"&amp; MATCH($E99,Roadmap!$D:$D,0)+COUNTIF($E99:F99,"u")+COUNTIF($E99:F99,"t")+COUNTIF($E99:F99,"¶")+COUNTIF($E99:F99,"²")+COUNTIF($E99:F99,"µ")+COUNTIF($E99:F99,1)-1,INDEX(Roadmap!$D:$K,MATCH($E99,Roadmap!$D:$D,0)-1+COUNTIF($E99:F99,"u")+COUNTIF($E99:F99,"t")+COUNTIF($E99:F99,"¶")+COUNTIF($E99:F99,"²")+COUNTIF($E99:F99,"µ")+COUNTIF($E99:F99,1),ColDescriptionCourte)),""),
  "")),"")</f>
        <v/>
      </c>
      <c r="H99" s="40" t="str">
        <f ca="1">IFERROR(IF(AND(
  INDEX(Roadmap!$D:$K,MATCH($E99,Roadmap!$D:$D,0)+COUNTIF($E99:G99,"u")+COUNTIF($E99:G99,"t")+COUNTIF($E99:G99,"¶")+COUNTIF($E99:G99,"²")+COUNTIF($E99:G99,"µ")+COUNTIF($E99:G99,1),ColLivraison)=H$6,
  VLOOKUP($E99,INDIRECT("tri!"&amp; CHAR(64+ C0Col) &amp;":"&amp; CHAR(65+C0Col)),2,FALSE)&gt;COUNTIF($E99:G99,"u")+COUNTIF($E99:G99,"t")+COUNTIF($E99:G99,"¶")+COUNTIF($E99:G99,"²")+COUNTIF($E99:G99,"µ")+COUNTIF($E99:G99,1)),
HYPERLINK("#Roadmap!C"&amp; MATCH($E99,Roadmap!$D:$D,0)+COUNTIF($E99:G99,"u")+COUNTIF($E99:G99,"t"),
     INDEX(Roadmap!$D:$K,MATCH($E99,Roadmap!$D:$D,0)+COUNTIF($E99:G99,"u")+COUNTIF($E99:G99,"t")+COUNTIF($E99:G99,"¶")+COUNTIF($E99:G99,"²")+COUNTIF($E99:G99,"µ")+COUNTIF($E99:G99,1),ColTypeEcheance)),
  IF(LEN(G99)=1,
  IF(LEN(INDEX(Roadmap!$D:$K,MATCH($E99,Roadmap!$D:$D,0)-1+COUNTIF($E99:G99,"u")+COUNTIF($E99:G99,"t")+COUNTIF($E99:G99,"¶")+COUNTIF($E99:G99,"²")+COUNTIF($E99:G99,"µ")+COUNTIF($E99:G99,1),ColDescriptionCourte))&gt;1,
HYPERLINK("#Roadmap!C"&amp; MATCH($E99,Roadmap!$D:$D,0)+COUNTIF($E99:G99,"u")+COUNTIF($E99:G99,"t")+COUNTIF($E99:G99,"¶")+COUNTIF($E99:G99,"²")+COUNTIF($E99:G99,"µ")+COUNTIF($E99:G99,1)-1,INDEX(Roadmap!$D:$K,MATCH($E99,Roadmap!$D:$D,0)-1+COUNTIF($E99:G99,"u")+COUNTIF($E99:G99,"t")+COUNTIF($E99:G99,"¶")+COUNTIF($E99:G99,"²")+COUNTIF($E99:G99,"µ")+COUNTIF($E99:G99,1),ColDescriptionCourte)),""),
  "")),"")</f>
        <v/>
      </c>
      <c r="I99" s="40" t="str">
        <f ca="1">IFERROR(IF(AND(
  INDEX(Roadmap!$D:$K,MATCH($E99,Roadmap!$D:$D,0)+COUNTIF($E99:H99,"u")+COUNTIF($E99:H99,"t")+COUNTIF($E99:H99,"¶")+COUNTIF($E99:H99,"²")+COUNTIF($E99:H99,"µ")+COUNTIF($E99:H99,1),ColLivraison)=I$6,
  VLOOKUP($E99,INDIRECT("tri!"&amp; CHAR(64+ C0Col) &amp;":"&amp; CHAR(65+C0Col)),2,FALSE)&gt;COUNTIF($E99:H99,"u")+COUNTIF($E99:H99,"t")+COUNTIF($E99:H99,"¶")+COUNTIF($E99:H99,"²")+COUNTIF($E99:H99,"µ")+COUNTIF($E99:H99,1)),
HYPERLINK("#Roadmap!C"&amp; MATCH($E99,Roadmap!$D:$D,0)+COUNTIF($E99:H99,"u")+COUNTIF($E99:H99,"t"),
     INDEX(Roadmap!$D:$K,MATCH($E99,Roadmap!$D:$D,0)+COUNTIF($E99:H99,"u")+COUNTIF($E99:H99,"t")+COUNTIF($E99:H99,"¶")+COUNTIF($E99:H99,"²")+COUNTIF($E99:H99,"µ")+COUNTIF($E99:H99,1),ColTypeEcheance)),
  IF(LEN(H99)=1,
  IF(LEN(INDEX(Roadmap!$D:$K,MATCH($E99,Roadmap!$D:$D,0)-1+COUNTIF($E99:H99,"u")+COUNTIF($E99:H99,"t")+COUNTIF($E99:H99,"¶")+COUNTIF($E99:H99,"²")+COUNTIF($E99:H99,"µ")+COUNTIF($E99:H99,1),ColDescriptionCourte))&gt;1,
HYPERLINK("#Roadmap!C"&amp; MATCH($E99,Roadmap!$D:$D,0)+COUNTIF($E99:H99,"u")+COUNTIF($E99:H99,"t")+COUNTIF($E99:H99,"¶")+COUNTIF($E99:H99,"²")+COUNTIF($E99:H99,"µ")+COUNTIF($E99:H99,1)-1,INDEX(Roadmap!$D:$K,MATCH($E99,Roadmap!$D:$D,0)-1+COUNTIF($E99:H99,"u")+COUNTIF($E99:H99,"t")+COUNTIF($E99:H99,"¶")+COUNTIF($E99:H99,"²")+COUNTIF($E99:H99,"µ")+COUNTIF($E99:H99,1),ColDescriptionCourte)),""),
  "")),"")</f>
        <v/>
      </c>
      <c r="J99" s="40" t="str">
        <f ca="1">IFERROR(IF(AND(
  INDEX(Roadmap!$D:$K,MATCH($E99,Roadmap!$D:$D,0)+COUNTIF($E99:I99,"u")+COUNTIF($E99:I99,"t")+COUNTIF($E99:I99,"¶")+COUNTIF($E99:I99,"²")+COUNTIF($E99:I99,"µ")+COUNTIF($E99:I99,1),ColLivraison)=J$6,
  VLOOKUP($E99,INDIRECT("tri!"&amp; CHAR(64+ C0Col) &amp;":"&amp; CHAR(65+C0Col)),2,FALSE)&gt;COUNTIF($E99:I99,"u")+COUNTIF($E99:I99,"t")+COUNTIF($E99:I99,"¶")+COUNTIF($E99:I99,"²")+COUNTIF($E99:I99,"µ")+COUNTIF($E99:I99,1)),
HYPERLINK("#Roadmap!C"&amp; MATCH($E99,Roadmap!$D:$D,0)+COUNTIF($E99:I99,"u")+COUNTIF($E99:I99,"t"),
     INDEX(Roadmap!$D:$K,MATCH($E99,Roadmap!$D:$D,0)+COUNTIF($E99:I99,"u")+COUNTIF($E99:I99,"t")+COUNTIF($E99:I99,"¶")+COUNTIF($E99:I99,"²")+COUNTIF($E99:I99,"µ")+COUNTIF($E99:I99,1),ColTypeEcheance)),
  IF(LEN(I99)=1,
  IF(LEN(INDEX(Roadmap!$D:$K,MATCH($E99,Roadmap!$D:$D,0)-1+COUNTIF($E99:I99,"u")+COUNTIF($E99:I99,"t")+COUNTIF($E99:I99,"¶")+COUNTIF($E99:I99,"²")+COUNTIF($E99:I99,"µ")+COUNTIF($E99:I99,1),ColDescriptionCourte))&gt;1,
HYPERLINK("#Roadmap!C"&amp; MATCH($E99,Roadmap!$D:$D,0)+COUNTIF($E99:I99,"u")+COUNTIF($E99:I99,"t")+COUNTIF($E99:I99,"¶")+COUNTIF($E99:I99,"²")+COUNTIF($E99:I99,"µ")+COUNTIF($E99:I99,1)-1,INDEX(Roadmap!$D:$K,MATCH($E99,Roadmap!$D:$D,0)-1+COUNTIF($E99:I99,"u")+COUNTIF($E99:I99,"t")+COUNTIF($E99:I99,"¶")+COUNTIF($E99:I99,"²")+COUNTIF($E99:I99,"µ")+COUNTIF($E99:I99,1),ColDescriptionCourte)),""),
  "")),"")</f>
        <v/>
      </c>
      <c r="K99" s="40" t="str">
        <f ca="1">IFERROR(IF(AND(
  INDEX(Roadmap!$D:$K,MATCH($E99,Roadmap!$D:$D,0)+COUNTIF($E99:J99,"u")+COUNTIF($E99:J99,"t")+COUNTIF($E99:J99,"¶")+COUNTIF($E99:J99,"²")+COUNTIF($E99:J99,"µ")+COUNTIF($E99:J99,1),ColLivraison)=K$6,
  VLOOKUP($E99,INDIRECT("tri!"&amp; CHAR(64+ C0Col) &amp;":"&amp; CHAR(65+C0Col)),2,FALSE)&gt;COUNTIF($E99:J99,"u")+COUNTIF($E99:J99,"t")+COUNTIF($E99:J99,"¶")+COUNTIF($E99:J99,"²")+COUNTIF($E99:J99,"µ")+COUNTIF($E99:J99,1)),
HYPERLINK("#Roadmap!C"&amp; MATCH($E99,Roadmap!$D:$D,0)+COUNTIF($E99:J99,"u")+COUNTIF($E99:J99,"t"),
     INDEX(Roadmap!$D:$K,MATCH($E99,Roadmap!$D:$D,0)+COUNTIF($E99:J99,"u")+COUNTIF($E99:J99,"t")+COUNTIF($E99:J99,"¶")+COUNTIF($E99:J99,"²")+COUNTIF($E99:J99,"µ")+COUNTIF($E99:J99,1),ColTypeEcheance)),
  IF(LEN(J99)=1,
  IF(LEN(INDEX(Roadmap!$D:$K,MATCH($E99,Roadmap!$D:$D,0)-1+COUNTIF($E99:J99,"u")+COUNTIF($E99:J99,"t")+COUNTIF($E99:J99,"¶")+COUNTIF($E99:J99,"²")+COUNTIF($E99:J99,"µ")+COUNTIF($E99:J99,1),ColDescriptionCourte))&gt;1,
HYPERLINK("#Roadmap!C"&amp; MATCH($E99,Roadmap!$D:$D,0)+COUNTIF($E99:J99,"u")+COUNTIF($E99:J99,"t")+COUNTIF($E99:J99,"¶")+COUNTIF($E99:J99,"²")+COUNTIF($E99:J99,"µ")+COUNTIF($E99:J99,1)-1,INDEX(Roadmap!$D:$K,MATCH($E99,Roadmap!$D:$D,0)-1+COUNTIF($E99:J99,"u")+COUNTIF($E99:J99,"t")+COUNTIF($E99:J99,"¶")+COUNTIF($E99:J99,"²")+COUNTIF($E99:J99,"µ")+COUNTIF($E99:J99,1),ColDescriptionCourte)),""),
  "")),"")</f>
        <v/>
      </c>
      <c r="L99" s="39" t="str">
        <f ca="1">IFERROR(IF(AND(
  INDEX(Roadmap!$D:$K,MATCH($E99,Roadmap!$D:$D,0)+COUNTIF($E99:K99,"u")+COUNTIF($E99:K99,"t")+COUNTIF($E99:K99,"¶")+COUNTIF($E99:K99,"²")+COUNTIF($E99:K99,"µ")+COUNTIF($E99:K99,1),ColLivraison)=L$6,
  VLOOKUP($E99,INDIRECT("tri!"&amp; CHAR(64+ C0Col) &amp;":"&amp; CHAR(65+C0Col)),2,FALSE)&gt;COUNTIF($E99:K99,"u")+COUNTIF($E99:K99,"t")+COUNTIF($E99:K99,"¶")+COUNTIF($E99:K99,"²")+COUNTIF($E99:K99,"µ")+COUNTIF($E99:K99,1)),
HYPERLINK("#Roadmap!C"&amp; MATCH($E99,Roadmap!$D:$D,0)+COUNTIF($E99:K99,"u")+COUNTIF($E99:K99,"t"),
     INDEX(Roadmap!$D:$K,MATCH($E99,Roadmap!$D:$D,0)+COUNTIF($E99:K99,"u")+COUNTIF($E99:K99,"t")+COUNTIF($E99:K99,"¶")+COUNTIF($E99:K99,"²")+COUNTIF($E99:K99,"µ")+COUNTIF($E99:K99,1),ColTypeEcheance)),
  IF(LEN(K99)=1,
  IF(LEN(INDEX(Roadmap!$D:$K,MATCH($E99,Roadmap!$D:$D,0)-1+COUNTIF($E99:K99,"u")+COUNTIF($E99:K99,"t")+COUNTIF($E99:K99,"¶")+COUNTIF($E99:K99,"²")+COUNTIF($E99:K99,"µ")+COUNTIF($E99:K99,1),ColDescriptionCourte))&gt;1,
HYPERLINK("#Roadmap!C"&amp; MATCH($E99,Roadmap!$D:$D,0)+COUNTIF($E99:K99,"u")+COUNTIF($E99:K99,"t")+COUNTIF($E99:K99,"¶")+COUNTIF($E99:K99,"²")+COUNTIF($E99:K99,"µ")+COUNTIF($E99:K99,1)-1,INDEX(Roadmap!$D:$K,MATCH($E99,Roadmap!$D:$D,0)-1+COUNTIF($E99:K99,"u")+COUNTIF($E99:K99,"t")+COUNTIF($E99:K99,"¶")+COUNTIF($E99:K99,"²")+COUNTIF($E99:K99,"µ")+COUNTIF($E99:K99,1),ColDescriptionCourte)),""),
  "")),"")</f>
        <v/>
      </c>
      <c r="M99" s="40" t="str">
        <f ca="1">IFERROR(IF(AND(
  INDEX(Roadmap!$D:$K,MATCH($E99,Roadmap!$D:$D,0)+COUNTIF($E99:L99,"u")+COUNTIF($E99:L99,"t")+COUNTIF($E99:L99,"¶")+COUNTIF($E99:L99,"²")+COUNTIF($E99:L99,"µ")+COUNTIF($E99:L99,1),ColLivraison)=M$6,
  VLOOKUP($E99,INDIRECT("tri!"&amp; CHAR(64+ C0Col) &amp;":"&amp; CHAR(65+C0Col)),2,FALSE)&gt;COUNTIF($E99:L99,"u")+COUNTIF($E99:L99,"t")+COUNTIF($E99:L99,"¶")+COUNTIF($E99:L99,"²")+COUNTIF($E99:L99,"µ")+COUNTIF($E99:L99,1)),
HYPERLINK("#Roadmap!C"&amp; MATCH($E99,Roadmap!$D:$D,0)+COUNTIF($E99:L99,"u")+COUNTIF($E99:L99,"t"),
     INDEX(Roadmap!$D:$K,MATCH($E99,Roadmap!$D:$D,0)+COUNTIF($E99:L99,"u")+COUNTIF($E99:L99,"t")+COUNTIF($E99:L99,"¶")+COUNTIF($E99:L99,"²")+COUNTIF($E99:L99,"µ")+COUNTIF($E99:L99,1),ColTypeEcheance)),
  IF(LEN(L99)=1,
  IF(LEN(INDEX(Roadmap!$D:$K,MATCH($E99,Roadmap!$D:$D,0)-1+COUNTIF($E99:L99,"u")+COUNTIF($E99:L99,"t")+COUNTIF($E99:L99,"¶")+COUNTIF($E99:L99,"²")+COUNTIF($E99:L99,"µ")+COUNTIF($E99:L99,1),ColDescriptionCourte))&gt;1,
HYPERLINK("#Roadmap!C"&amp; MATCH($E99,Roadmap!$D:$D,0)+COUNTIF($E99:L99,"u")+COUNTIF($E99:L99,"t")+COUNTIF($E99:L99,"¶")+COUNTIF($E99:L99,"²")+COUNTIF($E99:L99,"µ")+COUNTIF($E99:L99,1)-1,INDEX(Roadmap!$D:$K,MATCH($E99,Roadmap!$D:$D,0)-1+COUNTIF($E99:L99,"u")+COUNTIF($E99:L99,"t")+COUNTIF($E99:L99,"¶")+COUNTIF($E99:L99,"²")+COUNTIF($E99:L99,"µ")+COUNTIF($E99:L99,1),ColDescriptionCourte)),""),
  "")),"")</f>
        <v/>
      </c>
      <c r="N99" s="40" t="str">
        <f ca="1">IFERROR(IF(AND(
  INDEX(Roadmap!$D:$K,MATCH($E99,Roadmap!$D:$D,0)+COUNTIF($E99:M99,"u")+COUNTIF($E99:M99,"t")+COUNTIF($E99:M99,"¶")+COUNTIF($E99:M99,"²")+COUNTIF($E99:M99,"µ")+COUNTIF($E99:M99,1),ColLivraison)=N$6,
  VLOOKUP($E99,INDIRECT("tri!"&amp; CHAR(64+ C0Col) &amp;":"&amp; CHAR(65+C0Col)),2,FALSE)&gt;COUNTIF($E99:M99,"u")+COUNTIF($E99:M99,"t")+COUNTIF($E99:M99,"¶")+COUNTIF($E99:M99,"²")+COUNTIF($E99:M99,"µ")+COUNTIF($E99:M99,1)),
HYPERLINK("#Roadmap!C"&amp; MATCH($E99,Roadmap!$D:$D,0)+COUNTIF($E99:M99,"u")+COUNTIF($E99:M99,"t"),
     INDEX(Roadmap!$D:$K,MATCH($E99,Roadmap!$D:$D,0)+COUNTIF($E99:M99,"u")+COUNTIF($E99:M99,"t")+COUNTIF($E99:M99,"¶")+COUNTIF($E99:M99,"²")+COUNTIF($E99:M99,"µ")+COUNTIF($E99:M99,1),ColTypeEcheance)),
  IF(LEN(M99)=1,
  IF(LEN(INDEX(Roadmap!$D:$K,MATCH($E99,Roadmap!$D:$D,0)-1+COUNTIF($E99:M99,"u")+COUNTIF($E99:M99,"t")+COUNTIF($E99:M99,"¶")+COUNTIF($E99:M99,"²")+COUNTIF($E99:M99,"µ")+COUNTIF($E99:M99,1),ColDescriptionCourte))&gt;1,
HYPERLINK("#Roadmap!C"&amp; MATCH($E99,Roadmap!$D:$D,0)+COUNTIF($E99:M99,"u")+COUNTIF($E99:M99,"t")+COUNTIF($E99:M99,"¶")+COUNTIF($E99:M99,"²")+COUNTIF($E99:M99,"µ")+COUNTIF($E99:M99,1)-1,INDEX(Roadmap!$D:$K,MATCH($E99,Roadmap!$D:$D,0)-1+COUNTIF($E99:M99,"u")+COUNTIF($E99:M99,"t")+COUNTIF($E99:M99,"¶")+COUNTIF($E99:M99,"²")+COUNTIF($E99:M99,"µ")+COUNTIF($E99:M99,1),ColDescriptionCourte)),""),
  "")),"")</f>
        <v/>
      </c>
      <c r="O99" s="40" t="str">
        <f ca="1">IFERROR(IF(AND(
  INDEX(Roadmap!$D:$K,MATCH($E99,Roadmap!$D:$D,0)+COUNTIF($E99:N99,"u")+COUNTIF($E99:N99,"t")+COUNTIF($E99:N99,"¶")+COUNTIF($E99:N99,"²")+COUNTIF($E99:N99,"µ")+COUNTIF($E99:N99,1),ColLivraison)=O$6,
  VLOOKUP($E99,INDIRECT("tri!"&amp; CHAR(64+ C0Col) &amp;":"&amp; CHAR(65+C0Col)),2,FALSE)&gt;COUNTIF($E99:N99,"u")+COUNTIF($E99:N99,"t")+COUNTIF($E99:N99,"¶")+COUNTIF($E99:N99,"²")+COUNTIF($E99:N99,"µ")+COUNTIF($E99:N99,1)),
HYPERLINK("#Roadmap!C"&amp; MATCH($E99,Roadmap!$D:$D,0)+COUNTIF($E99:N99,"u")+COUNTIF($E99:N99,"t"),
     INDEX(Roadmap!$D:$K,MATCH($E99,Roadmap!$D:$D,0)+COUNTIF($E99:N99,"u")+COUNTIF($E99:N99,"t")+COUNTIF($E99:N99,"¶")+COUNTIF($E99:N99,"²")+COUNTIF($E99:N99,"µ")+COUNTIF($E99:N99,1),ColTypeEcheance)),
  IF(LEN(N99)=1,
  IF(LEN(INDEX(Roadmap!$D:$K,MATCH($E99,Roadmap!$D:$D,0)-1+COUNTIF($E99:N99,"u")+COUNTIF($E99:N99,"t")+COUNTIF($E99:N99,"¶")+COUNTIF($E99:N99,"²")+COUNTIF($E99:N99,"µ")+COUNTIF($E99:N99,1),ColDescriptionCourte))&gt;1,
HYPERLINK("#Roadmap!C"&amp; MATCH($E99,Roadmap!$D:$D,0)+COUNTIF($E99:N99,"u")+COUNTIF($E99:N99,"t")+COUNTIF($E99:N99,"¶")+COUNTIF($E99:N99,"²")+COUNTIF($E99:N99,"µ")+COUNTIF($E99:N99,1)-1,INDEX(Roadmap!$D:$K,MATCH($E99,Roadmap!$D:$D,0)-1+COUNTIF($E99:N99,"u")+COUNTIF($E99:N99,"t")+COUNTIF($E99:N99,"¶")+COUNTIF($E99:N99,"²")+COUNTIF($E99:N99,"µ")+COUNTIF($E99:N99,1),ColDescriptionCourte)),""),
  "")),"")</f>
        <v/>
      </c>
      <c r="P99" s="40" t="str">
        <f ca="1">IFERROR(IF(AND(
  INDEX(Roadmap!$D:$K,MATCH($E99,Roadmap!$D:$D,0)+COUNTIF($E99:O99,"u")+COUNTIF($E99:O99,"t")+COUNTIF($E99:O99,"¶")+COUNTIF($E99:O99,"²")+COUNTIF($E99:O99,"µ")+COUNTIF($E99:O99,1),ColLivraison)=P$6,
  VLOOKUP($E99,INDIRECT("tri!"&amp; CHAR(64+ C0Col) &amp;":"&amp; CHAR(65+C0Col)),2,FALSE)&gt;COUNTIF($E99:O99,"u")+COUNTIF($E99:O99,"t")+COUNTIF($E99:O99,"¶")+COUNTIF($E99:O99,"²")+COUNTIF($E99:O99,"µ")+COUNTIF($E99:O99,1)),
HYPERLINK("#Roadmap!C"&amp; MATCH($E99,Roadmap!$D:$D,0)+COUNTIF($E99:O99,"u")+COUNTIF($E99:O99,"t"),
     INDEX(Roadmap!$D:$K,MATCH($E99,Roadmap!$D:$D,0)+COUNTIF($E99:O99,"u")+COUNTIF($E99:O99,"t")+COUNTIF($E99:O99,"¶")+COUNTIF($E99:O99,"²")+COUNTIF($E99:O99,"µ")+COUNTIF($E99:O99,1),ColTypeEcheance)),
  IF(LEN(O99)=1,
  IF(LEN(INDEX(Roadmap!$D:$K,MATCH($E99,Roadmap!$D:$D,0)-1+COUNTIF($E99:O99,"u")+COUNTIF($E99:O99,"t")+COUNTIF($E99:O99,"¶")+COUNTIF($E99:O99,"²")+COUNTIF($E99:O99,"µ")+COUNTIF($E99:O99,1),ColDescriptionCourte))&gt;1,
HYPERLINK("#Roadmap!C"&amp; MATCH($E99,Roadmap!$D:$D,0)+COUNTIF($E99:O99,"u")+COUNTIF($E99:O99,"t")+COUNTIF($E99:O99,"¶")+COUNTIF($E99:O99,"²")+COUNTIF($E99:O99,"µ")+COUNTIF($E99:O99,1)-1,INDEX(Roadmap!$D:$K,MATCH($E99,Roadmap!$D:$D,0)-1+COUNTIF($E99:O99,"u")+COUNTIF($E99:O99,"t")+COUNTIF($E99:O99,"¶")+COUNTIF($E99:O99,"²")+COUNTIF($E99:O99,"µ")+COUNTIF($E99:O99,1),ColDescriptionCourte)),""),
  "")),"")</f>
        <v/>
      </c>
      <c r="Q99" s="40" t="str">
        <f ca="1">IFERROR(IF(AND(
  INDEX(Roadmap!$D:$K,MATCH($E99,Roadmap!$D:$D,0)+COUNTIF($E99:P99,"u")+COUNTIF($E99:P99,"t")+COUNTIF($E99:P99,"¶")+COUNTIF($E99:P99,"²")+COUNTIF($E99:P99,"µ")+COUNTIF($E99:P99,1),ColLivraison)=Q$6,
  VLOOKUP($E99,INDIRECT("tri!"&amp; CHAR(64+ C0Col) &amp;":"&amp; CHAR(65+C0Col)),2,FALSE)&gt;COUNTIF($E99:P99,"u")+COUNTIF($E99:P99,"t")+COUNTIF($E99:P99,"¶")+COUNTIF($E99:P99,"²")+COUNTIF($E99:P99,"µ")+COUNTIF($E99:P99,1)),
HYPERLINK("#Roadmap!C"&amp; MATCH($E99,Roadmap!$D:$D,0)+COUNTIF($E99:P99,"u")+COUNTIF($E99:P99,"t"),
     INDEX(Roadmap!$D:$K,MATCH($E99,Roadmap!$D:$D,0)+COUNTIF($E99:P99,"u")+COUNTIF($E99:P99,"t")+COUNTIF($E99:P99,"¶")+COUNTIF($E99:P99,"²")+COUNTIF($E99:P99,"µ")+COUNTIF($E99:P99,1),ColTypeEcheance)),
  IF(LEN(P99)=1,
  IF(LEN(INDEX(Roadmap!$D:$K,MATCH($E99,Roadmap!$D:$D,0)-1+COUNTIF($E99:P99,"u")+COUNTIF($E99:P99,"t")+COUNTIF($E99:P99,"¶")+COUNTIF($E99:P99,"²")+COUNTIF($E99:P99,"µ")+COUNTIF($E99:P99,1),ColDescriptionCourte))&gt;1,
HYPERLINK("#Roadmap!C"&amp; MATCH($E99,Roadmap!$D:$D,0)+COUNTIF($E99:P99,"u")+COUNTIF($E99:P99,"t")+COUNTIF($E99:P99,"¶")+COUNTIF($E99:P99,"²")+COUNTIF($E99:P99,"µ")+COUNTIF($E99:P99,1)-1,INDEX(Roadmap!$D:$K,MATCH($E99,Roadmap!$D:$D,0)-1+COUNTIF($E99:P99,"u")+COUNTIF($E99:P99,"t")+COUNTIF($E99:P99,"¶")+COUNTIF($E99:P99,"²")+COUNTIF($E99:P99,"µ")+COUNTIF($E99:P99,1),ColDescriptionCourte)),""),
  "")),"")</f>
        <v/>
      </c>
      <c r="R99" s="40" t="str">
        <f ca="1">IFERROR(IF(AND(
  INDEX(Roadmap!$D:$K,MATCH($E99,Roadmap!$D:$D,0)+COUNTIF($E99:Q99,"u")+COUNTIF($E99:Q99,"t")+COUNTIF($E99:Q99,"¶")+COUNTIF($E99:Q99,"²")+COUNTIF($E99:Q99,"µ")+COUNTIF($E99:Q99,1),ColLivraison)=R$6,
  VLOOKUP($E99,INDIRECT("tri!"&amp; CHAR(64+ C0Col) &amp;":"&amp; CHAR(65+C0Col)),2,FALSE)&gt;COUNTIF($E99:Q99,"u")+COUNTIF($E99:Q99,"t")+COUNTIF($E99:Q99,"¶")+COUNTIF($E99:Q99,"²")+COUNTIF($E99:Q99,"µ")+COUNTIF($E99:Q99,1)),
HYPERLINK("#Roadmap!C"&amp; MATCH($E99,Roadmap!$D:$D,0)+COUNTIF($E99:Q99,"u")+COUNTIF($E99:Q99,"t"),
     INDEX(Roadmap!$D:$K,MATCH($E99,Roadmap!$D:$D,0)+COUNTIF($E99:Q99,"u")+COUNTIF($E99:Q99,"t")+COUNTIF($E99:Q99,"¶")+COUNTIF($E99:Q99,"²")+COUNTIF($E99:Q99,"µ")+COUNTIF($E99:Q99,1),ColTypeEcheance)),
  IF(LEN(Q99)=1,
  IF(LEN(INDEX(Roadmap!$D:$K,MATCH($E99,Roadmap!$D:$D,0)-1+COUNTIF($E99:Q99,"u")+COUNTIF($E99:Q99,"t")+COUNTIF($E99:Q99,"¶")+COUNTIF($E99:Q99,"²")+COUNTIF($E99:Q99,"µ")+COUNTIF($E99:Q99,1),ColDescriptionCourte))&gt;1,
HYPERLINK("#Roadmap!C"&amp; MATCH($E99,Roadmap!$D:$D,0)+COUNTIF($E99:Q99,"u")+COUNTIF($E99:Q99,"t")+COUNTIF($E99:Q99,"¶")+COUNTIF($E99:Q99,"²")+COUNTIF($E99:Q99,"µ")+COUNTIF($E99:Q99,1)-1,INDEX(Roadmap!$D:$K,MATCH($E99,Roadmap!$D:$D,0)-1+COUNTIF($E99:Q99,"u")+COUNTIF($E99:Q99,"t")+COUNTIF($E99:Q99,"¶")+COUNTIF($E99:Q99,"²")+COUNTIF($E99:Q99,"µ")+COUNTIF($E99:Q99,1),ColDescriptionCourte)),""),
  "")),"")</f>
        <v/>
      </c>
      <c r="S99" s="40" t="str">
        <f ca="1">IFERROR(IF(AND(
  INDEX(Roadmap!$D:$K,MATCH($E99,Roadmap!$D:$D,0)+COUNTIF($E99:R99,"u")+COUNTIF($E99:R99,"t")+COUNTIF($E99:R99,"¶")+COUNTIF($E99:R99,"²")+COUNTIF($E99:R99,"µ")+COUNTIF($E99:R99,1),ColLivraison)=S$6,
  VLOOKUP($E99,INDIRECT("tri!"&amp; CHAR(64+ C0Col) &amp;":"&amp; CHAR(65+C0Col)),2,FALSE)&gt;COUNTIF($E99:R99,"u")+COUNTIF($E99:R99,"t")+COUNTIF($E99:R99,"¶")+COUNTIF($E99:R99,"²")+COUNTIF($E99:R99,"µ")+COUNTIF($E99:R99,1)),
HYPERLINK("#Roadmap!C"&amp; MATCH($E99,Roadmap!$D:$D,0)+COUNTIF($E99:R99,"u")+COUNTIF($E99:R99,"t"),
     INDEX(Roadmap!$D:$K,MATCH($E99,Roadmap!$D:$D,0)+COUNTIF($E99:R99,"u")+COUNTIF($E99:R99,"t")+COUNTIF($E99:R99,"¶")+COUNTIF($E99:R99,"²")+COUNTIF($E99:R99,"µ")+COUNTIF($E99:R99,1),ColTypeEcheance)),
  IF(LEN(R99)=1,
  IF(LEN(INDEX(Roadmap!$D:$K,MATCH($E99,Roadmap!$D:$D,0)-1+COUNTIF($E99:R99,"u")+COUNTIF($E99:R99,"t")+COUNTIF($E99:R99,"¶")+COUNTIF($E99:R99,"²")+COUNTIF($E99:R99,"µ")+COUNTIF($E99:R99,1),ColDescriptionCourte))&gt;1,
HYPERLINK("#Roadmap!C"&amp; MATCH($E99,Roadmap!$D:$D,0)+COUNTIF($E99:R99,"u")+COUNTIF($E99:R99,"t")+COUNTIF($E99:R99,"¶")+COUNTIF($E99:R99,"²")+COUNTIF($E99:R99,"µ")+COUNTIF($E99:R99,1)-1,INDEX(Roadmap!$D:$K,MATCH($E99,Roadmap!$D:$D,0)-1+COUNTIF($E99:R99,"u")+COUNTIF($E99:R99,"t")+COUNTIF($E99:R99,"¶")+COUNTIF($E99:R99,"²")+COUNTIF($E99:R99,"µ")+COUNTIF($E99:R99,1),ColDescriptionCourte)),""),
  "")),"")</f>
        <v/>
      </c>
      <c r="T99" s="40" t="str">
        <f ca="1">IFERROR(IF(AND(
  INDEX(Roadmap!$D:$K,MATCH($E99,Roadmap!$D:$D,0)+COUNTIF($E99:S99,"u")+COUNTIF($E99:S99,"t")+COUNTIF($E99:S99,"¶")+COUNTIF($E99:S99,"²")+COUNTIF($E99:S99,"µ")+COUNTIF($E99:S99,1),ColLivraison)=T$6,
  VLOOKUP($E99,INDIRECT("tri!"&amp; CHAR(64+ C0Col) &amp;":"&amp; CHAR(65+C0Col)),2,FALSE)&gt;COUNTIF($E99:S99,"u")+COUNTIF($E99:S99,"t")+COUNTIF($E99:S99,"¶")+COUNTIF($E99:S99,"²")+COUNTIF($E99:S99,"µ")+COUNTIF($E99:S99,1)),
HYPERLINK("#Roadmap!C"&amp; MATCH($E99,Roadmap!$D:$D,0)+COUNTIF($E99:S99,"u")+COUNTIF($E99:S99,"t"),
     INDEX(Roadmap!$D:$K,MATCH($E99,Roadmap!$D:$D,0)+COUNTIF($E99:S99,"u")+COUNTIF($E99:S99,"t")+COUNTIF($E99:S99,"¶")+COUNTIF($E99:S99,"²")+COUNTIF($E99:S99,"µ")+COUNTIF($E99:S99,1),ColTypeEcheance)),
  IF(LEN(S99)=1,
  IF(LEN(INDEX(Roadmap!$D:$K,MATCH($E99,Roadmap!$D:$D,0)-1+COUNTIF($E99:S99,"u")+COUNTIF($E99:S99,"t")+COUNTIF($E99:S99,"¶")+COUNTIF($E99:S99,"²")+COUNTIF($E99:S99,"µ")+COUNTIF($E99:S99,1),ColDescriptionCourte))&gt;1,
HYPERLINK("#Roadmap!C"&amp; MATCH($E99,Roadmap!$D:$D,0)+COUNTIF($E99:S99,"u")+COUNTIF($E99:S99,"t")+COUNTIF($E99:S99,"¶")+COUNTIF($E99:S99,"²")+COUNTIF($E99:S99,"µ")+COUNTIF($E99:S99,1)-1,INDEX(Roadmap!$D:$K,MATCH($E99,Roadmap!$D:$D,0)-1+COUNTIF($E99:S99,"u")+COUNTIF($E99:S99,"t")+COUNTIF($E99:S99,"¶")+COUNTIF($E99:S99,"²")+COUNTIF($E99:S99,"µ")+COUNTIF($E99:S99,1),ColDescriptionCourte)),""),
  "")),"")</f>
        <v/>
      </c>
      <c r="U99" s="40" t="str">
        <f ca="1">IFERROR(IF(AND(
  INDEX(Roadmap!$D:$K,MATCH($E99,Roadmap!$D:$D,0)+COUNTIF($E99:T99,"u")+COUNTIF($E99:T99,"t")+COUNTIF($E99:T99,"¶")+COUNTIF($E99:T99,"²")+COUNTIF($E99:T99,"µ")+COUNTIF($E99:T99,1),ColLivraison)=U$6,
  VLOOKUP($E99,INDIRECT("tri!"&amp; CHAR(64+ C0Col) &amp;":"&amp; CHAR(65+C0Col)),2,FALSE)&gt;COUNTIF($E99:T99,"u")+COUNTIF($E99:T99,"t")+COUNTIF($E99:T99,"¶")+COUNTIF($E99:T99,"²")+COUNTIF($E99:T99,"µ")+COUNTIF($E99:T99,1)),
HYPERLINK("#Roadmap!C"&amp; MATCH($E99,Roadmap!$D:$D,0)+COUNTIF($E99:T99,"u")+COUNTIF($E99:T99,"t"),
     INDEX(Roadmap!$D:$K,MATCH($E99,Roadmap!$D:$D,0)+COUNTIF($E99:T99,"u")+COUNTIF($E99:T99,"t")+COUNTIF($E99:T99,"¶")+COUNTIF($E99:T99,"²")+COUNTIF($E99:T99,"µ")+COUNTIF($E99:T99,1),ColTypeEcheance)),
  IF(LEN(T99)=1,
  IF(LEN(INDEX(Roadmap!$D:$K,MATCH($E99,Roadmap!$D:$D,0)-1+COUNTIF($E99:T99,"u")+COUNTIF($E99:T99,"t")+COUNTIF($E99:T99,"¶")+COUNTIF($E99:T99,"²")+COUNTIF($E99:T99,"µ")+COUNTIF($E99:T99,1),ColDescriptionCourte))&gt;1,
HYPERLINK("#Roadmap!C"&amp; MATCH($E99,Roadmap!$D:$D,0)+COUNTIF($E99:T99,"u")+COUNTIF($E99:T99,"t")+COUNTIF($E99:T99,"¶")+COUNTIF($E99:T99,"²")+COUNTIF($E99:T99,"µ")+COUNTIF($E99:T99,1)-1,INDEX(Roadmap!$D:$K,MATCH($E99,Roadmap!$D:$D,0)-1+COUNTIF($E99:T99,"u")+COUNTIF($E99:T99,"t")+COUNTIF($E99:T99,"¶")+COUNTIF($E99:T99,"²")+COUNTIF($E99:T99,"µ")+COUNTIF($E99:T99,1),ColDescriptionCourte)),""),
  "")),"")</f>
        <v/>
      </c>
      <c r="V99" s="40" t="str">
        <f ca="1">IFERROR(IF(AND(
  INDEX(Roadmap!$D:$K,MATCH($E99,Roadmap!$D:$D,0)+COUNTIF($E99:U99,"u")+COUNTIF($E99:U99,"t")+COUNTIF($E99:U99,"¶")+COUNTIF($E99:U99,"²")+COUNTIF($E99:U99,"µ")+COUNTIF($E99:U99,1),ColLivraison)=V$6,
  VLOOKUP($E99,INDIRECT("tri!"&amp; CHAR(64+ C0Col) &amp;":"&amp; CHAR(65+C0Col)),2,FALSE)&gt;COUNTIF($E99:U99,"u")+COUNTIF($E99:U99,"t")+COUNTIF($E99:U99,"¶")+COUNTIF($E99:U99,"²")+COUNTIF($E99:U99,"µ")+COUNTIF($E99:U99,1)),
HYPERLINK("#Roadmap!C"&amp; MATCH($E99,Roadmap!$D:$D,0)+COUNTIF($E99:U99,"u")+COUNTIF($E99:U99,"t"),
     INDEX(Roadmap!$D:$K,MATCH($E99,Roadmap!$D:$D,0)+COUNTIF($E99:U99,"u")+COUNTIF($E99:U99,"t")+COUNTIF($E99:U99,"¶")+COUNTIF($E99:U99,"²")+COUNTIF($E99:U99,"µ")+COUNTIF($E99:U99,1),ColTypeEcheance)),
  IF(LEN(U99)=1,
  IF(LEN(INDEX(Roadmap!$D:$K,MATCH($E99,Roadmap!$D:$D,0)-1+COUNTIF($E99:U99,"u")+COUNTIF($E99:U99,"t")+COUNTIF($E99:U99,"¶")+COUNTIF($E99:U99,"²")+COUNTIF($E99:U99,"µ")+COUNTIF($E99:U99,1),ColDescriptionCourte))&gt;1,
HYPERLINK("#Roadmap!C"&amp; MATCH($E99,Roadmap!$D:$D,0)+COUNTIF($E99:U99,"u")+COUNTIF($E99:U99,"t")+COUNTIF($E99:U99,"¶")+COUNTIF($E99:U99,"²")+COUNTIF($E99:U99,"µ")+COUNTIF($E99:U99,1)-1,INDEX(Roadmap!$D:$K,MATCH($E99,Roadmap!$D:$D,0)-1+COUNTIF($E99:U99,"u")+COUNTIF($E99:U99,"t")+COUNTIF($E99:U99,"¶")+COUNTIF($E99:U99,"²")+COUNTIF($E99:U99,"µ")+COUNTIF($E99:U99,1),ColDescriptionCourte)),""),
  "")),"")</f>
        <v/>
      </c>
      <c r="W99" s="40" t="str">
        <f ca="1">IFERROR(IF(AND(
  INDEX(Roadmap!$D:$K,MATCH($E99,Roadmap!$D:$D,0)+COUNTIF($E99:V99,"u")+COUNTIF($E99:V99,"t")+COUNTIF($E99:V99,"¶")+COUNTIF($E99:V99,"²")+COUNTIF($E99:V99,"µ")+COUNTIF($E99:V99,1),ColLivraison)=W$6,
  VLOOKUP($E99,INDIRECT("tri!"&amp; CHAR(64+ C0Col) &amp;":"&amp; CHAR(65+C0Col)),2,FALSE)&gt;COUNTIF($E99:V99,"u")+COUNTIF($E99:V99,"t")+COUNTIF($E99:V99,"¶")+COUNTIF($E99:V99,"²")+COUNTIF($E99:V99,"µ")+COUNTIF($E99:V99,1)),
HYPERLINK("#Roadmap!C"&amp; MATCH($E99,Roadmap!$D:$D,0)+COUNTIF($E99:V99,"u")+COUNTIF($E99:V99,"t"),
     INDEX(Roadmap!$D:$K,MATCH($E99,Roadmap!$D:$D,0)+COUNTIF($E99:V99,"u")+COUNTIF($E99:V99,"t")+COUNTIF($E99:V99,"¶")+COUNTIF($E99:V99,"²")+COUNTIF($E99:V99,"µ")+COUNTIF($E99:V99,1),ColTypeEcheance)),
  IF(LEN(V99)=1,
  IF(LEN(INDEX(Roadmap!$D:$K,MATCH($E99,Roadmap!$D:$D,0)-1+COUNTIF($E99:V99,"u")+COUNTIF($E99:V99,"t")+COUNTIF($E99:V99,"¶")+COUNTIF($E99:V99,"²")+COUNTIF($E99:V99,"µ")+COUNTIF($E99:V99,1),ColDescriptionCourte))&gt;1,
HYPERLINK("#Roadmap!C"&amp; MATCH($E99,Roadmap!$D:$D,0)+COUNTIF($E99:V99,"u")+COUNTIF($E99:V99,"t")+COUNTIF($E99:V99,"¶")+COUNTIF($E99:V99,"²")+COUNTIF($E99:V99,"µ")+COUNTIF($E99:V99,1)-1,INDEX(Roadmap!$D:$K,MATCH($E99,Roadmap!$D:$D,0)-1+COUNTIF($E99:V99,"u")+COUNTIF($E99:V99,"t")+COUNTIF($E99:V99,"¶")+COUNTIF($E99:V99,"²")+COUNTIF($E99:V99,"µ")+COUNTIF($E99:V99,1),ColDescriptionCourte)),""),
  "")),"")</f>
        <v/>
      </c>
      <c r="X99" s="40" t="str">
        <f ca="1">IFERROR(IF(AND(
  INDEX(Roadmap!$D:$K,MATCH($E99,Roadmap!$D:$D,0)+COUNTIF($E99:W99,"u")+COUNTIF($E99:W99,"t")+COUNTIF($E99:W99,"¶")+COUNTIF($E99:W99,"²")+COUNTIF($E99:W99,"µ")+COUNTIF($E99:W99,1),ColLivraison)=X$6,
  VLOOKUP($E99,INDIRECT("tri!"&amp; CHAR(64+ C0Col) &amp;":"&amp; CHAR(65+C0Col)),2,FALSE)&gt;COUNTIF($E99:W99,"u")+COUNTIF($E99:W99,"t")+COUNTIF($E99:W99,"¶")+COUNTIF($E99:W99,"²")+COUNTIF($E99:W99,"µ")+COUNTIF($E99:W99,1)),
HYPERLINK("#Roadmap!C"&amp; MATCH($E99,Roadmap!$D:$D,0)+COUNTIF($E99:W99,"u")+COUNTIF($E99:W99,"t"),
     INDEX(Roadmap!$D:$K,MATCH($E99,Roadmap!$D:$D,0)+COUNTIF($E99:W99,"u")+COUNTIF($E99:W99,"t")+COUNTIF($E99:W99,"¶")+COUNTIF($E99:W99,"²")+COUNTIF($E99:W99,"µ")+COUNTIF($E99:W99,1),ColTypeEcheance)),
  IF(LEN(W99)=1,
  IF(LEN(INDEX(Roadmap!$D:$K,MATCH($E99,Roadmap!$D:$D,0)-1+COUNTIF($E99:W99,"u")+COUNTIF($E99:W99,"t")+COUNTIF($E99:W99,"¶")+COUNTIF($E99:W99,"²")+COUNTIF($E99:W99,"µ")+COUNTIF($E99:W99,1),ColDescriptionCourte))&gt;1,
HYPERLINK("#Roadmap!C"&amp; MATCH($E99,Roadmap!$D:$D,0)+COUNTIF($E99:W99,"u")+COUNTIF($E99:W99,"t")+COUNTIF($E99:W99,"¶")+COUNTIF($E99:W99,"²")+COUNTIF($E99:W99,"µ")+COUNTIF($E99:W99,1)-1,INDEX(Roadmap!$D:$K,MATCH($E99,Roadmap!$D:$D,0)-1+COUNTIF($E99:W99,"u")+COUNTIF($E99:W99,"t")+COUNTIF($E99:W99,"¶")+COUNTIF($E99:W99,"²")+COUNTIF($E99:W99,"µ")+COUNTIF($E99:W99,1),ColDescriptionCourte)),""),
  "")),"")</f>
        <v/>
      </c>
      <c r="Y99" s="40" t="str">
        <f ca="1">IFERROR(IF(AND(
  INDEX(Roadmap!$D:$K,MATCH($E99,Roadmap!$D:$D,0)+COUNTIF($E99:X99,"u")+COUNTIF($E99:X99,"t")+COUNTIF($E99:X99,"¶")+COUNTIF($E99:X99,"²")+COUNTIF($E99:X99,"µ")+COUNTIF($E99:X99,1),ColLivraison)=Y$6,
  VLOOKUP($E99,INDIRECT("tri!"&amp; CHAR(64+ C0Col) &amp;":"&amp; CHAR(65+C0Col)),2,FALSE)&gt;COUNTIF($E99:X99,"u")+COUNTIF($E99:X99,"t")+COUNTIF($E99:X99,"¶")+COUNTIF($E99:X99,"²")+COUNTIF($E99:X99,"µ")+COUNTIF($E99:X99,1)),
HYPERLINK("#Roadmap!C"&amp; MATCH($E99,Roadmap!$D:$D,0)+COUNTIF($E99:X99,"u")+COUNTIF($E99:X99,"t"),
     INDEX(Roadmap!$D:$K,MATCH($E99,Roadmap!$D:$D,0)+COUNTIF($E99:X99,"u")+COUNTIF($E99:X99,"t")+COUNTIF($E99:X99,"¶")+COUNTIF($E99:X99,"²")+COUNTIF($E99:X99,"µ")+COUNTIF($E99:X99,1),ColTypeEcheance)),
  IF(LEN(X99)=1,
  IF(LEN(INDEX(Roadmap!$D:$K,MATCH($E99,Roadmap!$D:$D,0)-1+COUNTIF($E99:X99,"u")+COUNTIF($E99:X99,"t")+COUNTIF($E99:X99,"¶")+COUNTIF($E99:X99,"²")+COUNTIF($E99:X99,"µ")+COUNTIF($E99:X99,1),ColDescriptionCourte))&gt;1,
HYPERLINK("#Roadmap!C"&amp; MATCH($E99,Roadmap!$D:$D,0)+COUNTIF($E99:X99,"u")+COUNTIF($E99:X99,"t")+COUNTIF($E99:X99,"¶")+COUNTIF($E99:X99,"²")+COUNTIF($E99:X99,"µ")+COUNTIF($E99:X99,1)-1,INDEX(Roadmap!$D:$K,MATCH($E99,Roadmap!$D:$D,0)-1+COUNTIF($E99:X99,"u")+COUNTIF($E99:X99,"t")+COUNTIF($E99:X99,"¶")+COUNTIF($E99:X99,"²")+COUNTIF($E99:X99,"µ")+COUNTIF($E99:X99,1),ColDescriptionCourte)),""),
  "")),"")</f>
        <v/>
      </c>
      <c r="Z99" s="40" t="str">
        <f ca="1">IFERROR(IF(AND(
  INDEX(Roadmap!$D:$K,MATCH($E99,Roadmap!$D:$D,0)+COUNTIF($E99:Y99,"u")+COUNTIF($E99:Y99,"t")+COUNTIF($E99:Y99,"¶")+COUNTIF($E99:Y99,"²")+COUNTIF($E99:Y99,"µ")+COUNTIF($E99:Y99,1),ColLivraison)=Z$6,
  VLOOKUP($E99,INDIRECT("tri!"&amp; CHAR(64+ C0Col) &amp;":"&amp; CHAR(65+C0Col)),2,FALSE)&gt;COUNTIF($E99:Y99,"u")+COUNTIF($E99:Y99,"t")+COUNTIF($E99:Y99,"¶")+COUNTIF($E99:Y99,"²")+COUNTIF($E99:Y99,"µ")+COUNTIF($E99:Y99,1)),
HYPERLINK("#Roadmap!C"&amp; MATCH($E99,Roadmap!$D:$D,0)+COUNTIF($E99:Y99,"u")+COUNTIF($E99:Y99,"t"),
     INDEX(Roadmap!$D:$K,MATCH($E99,Roadmap!$D:$D,0)+COUNTIF($E99:Y99,"u")+COUNTIF($E99:Y99,"t")+COUNTIF($E99:Y99,"¶")+COUNTIF($E99:Y99,"²")+COUNTIF($E99:Y99,"µ")+COUNTIF($E99:Y99,1),ColTypeEcheance)),
  IF(LEN(Y99)=1,
  IF(LEN(INDEX(Roadmap!$D:$K,MATCH($E99,Roadmap!$D:$D,0)-1+COUNTIF($E99:Y99,"u")+COUNTIF($E99:Y99,"t")+COUNTIF($E99:Y99,"¶")+COUNTIF($E99:Y99,"²")+COUNTIF($E99:Y99,"µ")+COUNTIF($E99:Y99,1),ColDescriptionCourte))&gt;1,
HYPERLINK("#Roadmap!C"&amp; MATCH($E99,Roadmap!$D:$D,0)+COUNTIF($E99:Y99,"u")+COUNTIF($E99:Y99,"t")+COUNTIF($E99:Y99,"¶")+COUNTIF($E99:Y99,"²")+COUNTIF($E99:Y99,"µ")+COUNTIF($E99:Y99,1)-1,INDEX(Roadmap!$D:$K,MATCH($E99,Roadmap!$D:$D,0)-1+COUNTIF($E99:Y99,"u")+COUNTIF($E99:Y99,"t")+COUNTIF($E99:Y99,"¶")+COUNTIF($E99:Y99,"²")+COUNTIF($E99:Y99,"µ")+COUNTIF($E99:Y99,1),ColDescriptionCourte)),""),
  "")),"")</f>
        <v/>
      </c>
      <c r="AA99" s="40" t="str">
        <f ca="1">IFERROR(IF(AND(
  INDEX(Roadmap!$D:$K,MATCH($E99,Roadmap!$D:$D,0)+COUNTIF($E99:Z99,"u")+COUNTIF($E99:Z99,"t")+COUNTIF($E99:Z99,"¶")+COUNTIF($E99:Z99,"²")+COUNTIF($E99:Z99,"µ")+COUNTIF($E99:Z99,1),ColLivraison)=AA$6,
  VLOOKUP($E99,INDIRECT("tri!"&amp; CHAR(64+ C0Col) &amp;":"&amp; CHAR(65+C0Col)),2,FALSE)&gt;COUNTIF($E99:Z99,"u")+COUNTIF($E99:Z99,"t")+COUNTIF($E99:Z99,"¶")+COUNTIF($E99:Z99,"²")+COUNTIF($E99:Z99,"µ")+COUNTIF($E99:Z99,1)),
HYPERLINK("#Roadmap!C"&amp; MATCH($E99,Roadmap!$D:$D,0)+COUNTIF($E99:Z99,"u")+COUNTIF($E99:Z99,"t"),
     INDEX(Roadmap!$D:$K,MATCH($E99,Roadmap!$D:$D,0)+COUNTIF($E99:Z99,"u")+COUNTIF($E99:Z99,"t")+COUNTIF($E99:Z99,"¶")+COUNTIF($E99:Z99,"²")+COUNTIF($E99:Z99,"µ")+COUNTIF($E99:Z99,1),ColTypeEcheance)),
  IF(LEN(Z99)=1,
  IF(LEN(INDEX(Roadmap!$D:$K,MATCH($E99,Roadmap!$D:$D,0)-1+COUNTIF($E99:Z99,"u")+COUNTIF($E99:Z99,"t")+COUNTIF($E99:Z99,"¶")+COUNTIF($E99:Z99,"²")+COUNTIF($E99:Z99,"µ")+COUNTIF($E99:Z99,1),ColDescriptionCourte))&gt;1,
HYPERLINK("#Roadmap!C"&amp; MATCH($E99,Roadmap!$D:$D,0)+COUNTIF($E99:Z99,"u")+COUNTIF($E99:Z99,"t")+COUNTIF($E99:Z99,"¶")+COUNTIF($E99:Z99,"²")+COUNTIF($E99:Z99,"µ")+COUNTIF($E99:Z99,1)-1,INDEX(Roadmap!$D:$K,MATCH($E99,Roadmap!$D:$D,0)-1+COUNTIF($E99:Z99,"u")+COUNTIF($E99:Z99,"t")+COUNTIF($E99:Z99,"¶")+COUNTIF($E99:Z99,"²")+COUNTIF($E99:Z99,"µ")+COUNTIF($E99:Z99,1),ColDescriptionCourte)),""),
  "")),"")</f>
        <v/>
      </c>
      <c r="AB99" s="40" t="str">
        <f ca="1">IFERROR(IF(AND(
  INDEX(Roadmap!$D:$K,MATCH($E99,Roadmap!$D:$D,0)+COUNTIF($E99:AA99,"u")+COUNTIF($E99:AA99,"t")+COUNTIF($E99:AA99,"¶")+COUNTIF($E99:AA99,"²")+COUNTIF($E99:AA99,"µ")+COUNTIF($E99:AA99,1),ColLivraison)=AB$6,
  VLOOKUP($E99,INDIRECT("tri!"&amp; CHAR(64+ C0Col) &amp;":"&amp; CHAR(65+C0Col)),2,FALSE)&gt;COUNTIF($E99:AA99,"u")+COUNTIF($E99:AA99,"t")+COUNTIF($E99:AA99,"¶")+COUNTIF($E99:AA99,"²")+COUNTIF($E99:AA99,"µ")+COUNTIF($E99:AA99,1)),
HYPERLINK("#Roadmap!C"&amp; MATCH($E99,Roadmap!$D:$D,0)+COUNTIF($E99:AA99,"u")+COUNTIF($E99:AA99,"t"),
     INDEX(Roadmap!$D:$K,MATCH($E99,Roadmap!$D:$D,0)+COUNTIF($E99:AA99,"u")+COUNTIF($E99:AA99,"t")+COUNTIF($E99:AA99,"¶")+COUNTIF($E99:AA99,"²")+COUNTIF($E99:AA99,"µ")+COUNTIF($E99:AA99,1),ColTypeEcheance)),
  IF(LEN(AA99)=1,
  IF(LEN(INDEX(Roadmap!$D:$K,MATCH($E99,Roadmap!$D:$D,0)-1+COUNTIF($E99:AA99,"u")+COUNTIF($E99:AA99,"t")+COUNTIF($E99:AA99,"¶")+COUNTIF($E99:AA99,"²")+COUNTIF($E99:AA99,"µ")+COUNTIF($E99:AA99,1),ColDescriptionCourte))&gt;1,
HYPERLINK("#Roadmap!C"&amp; MATCH($E99,Roadmap!$D:$D,0)+COUNTIF($E99:AA99,"u")+COUNTIF($E99:AA99,"t")+COUNTIF($E99:AA99,"¶")+COUNTIF($E99:AA99,"²")+COUNTIF($E99:AA99,"µ")+COUNTIF($E99:AA99,1)-1,INDEX(Roadmap!$D:$K,MATCH($E99,Roadmap!$D:$D,0)-1+COUNTIF($E99:AA99,"u")+COUNTIF($E99:AA99,"t")+COUNTIF($E99:AA99,"¶")+COUNTIF($E99:AA99,"²")+COUNTIF($E99:AA99,"µ")+COUNTIF($E99:AA99,1),ColDescriptionCourte)),""),
  "")),"")</f>
        <v/>
      </c>
      <c r="AC99" s="40" t="str">
        <f ca="1">IFERROR(IF(AND(
  INDEX(Roadmap!$D:$K,MATCH($E99,Roadmap!$D:$D,0)+COUNTIF($E99:AB99,"u")+COUNTIF($E99:AB99,"t")+COUNTIF($E99:AB99,"¶")+COUNTIF($E99:AB99,"²")+COUNTIF($E99:AB99,"µ")+COUNTIF($E99:AB99,1),ColLivraison)=AC$6,
  VLOOKUP($E99,INDIRECT("tri!"&amp; CHAR(64+ C0Col) &amp;":"&amp; CHAR(65+C0Col)),2,FALSE)&gt;COUNTIF($E99:AB99,"u")+COUNTIF($E99:AB99,"t")+COUNTIF($E99:AB99,"¶")+COUNTIF($E99:AB99,"²")+COUNTIF($E99:AB99,"µ")+COUNTIF($E99:AB99,1)),
HYPERLINK("#Roadmap!C"&amp; MATCH($E99,Roadmap!$D:$D,0)+COUNTIF($E99:AB99,"u")+COUNTIF($E99:AB99,"t"),
     INDEX(Roadmap!$D:$K,MATCH($E99,Roadmap!$D:$D,0)+COUNTIF($E99:AB99,"u")+COUNTIF($E99:AB99,"t")+COUNTIF($E99:AB99,"¶")+COUNTIF($E99:AB99,"²")+COUNTIF($E99:AB99,"µ")+COUNTIF($E99:AB99,1),ColTypeEcheance)),
  IF(LEN(AB99)=1,
  IF(LEN(INDEX(Roadmap!$D:$K,MATCH($E99,Roadmap!$D:$D,0)-1+COUNTIF($E99:AB99,"u")+COUNTIF($E99:AB99,"t")+COUNTIF($E99:AB99,"¶")+COUNTIF($E99:AB99,"²")+COUNTIF($E99:AB99,"µ")+COUNTIF($E99:AB99,1),ColDescriptionCourte))&gt;1,
HYPERLINK("#Roadmap!C"&amp; MATCH($E99,Roadmap!$D:$D,0)+COUNTIF($E99:AB99,"u")+COUNTIF($E99:AB99,"t")+COUNTIF($E99:AB99,"¶")+COUNTIF($E99:AB99,"²")+COUNTIF($E99:AB99,"µ")+COUNTIF($E99:AB99,1)-1,INDEX(Roadmap!$D:$K,MATCH($E99,Roadmap!$D:$D,0)-1+COUNTIF($E99:AB99,"u")+COUNTIF($E99:AB99,"t")+COUNTIF($E99:AB99,"¶")+COUNTIF($E99:AB99,"²")+COUNTIF($E99:AB99,"µ")+COUNTIF($E99:AB99,1),ColDescriptionCourte)),""),
  "")),"")</f>
        <v/>
      </c>
      <c r="AD99" s="40" t="str">
        <f ca="1">IFERROR(IF(AND(
  INDEX(Roadmap!$D:$K,MATCH($E99,Roadmap!$D:$D,0)+COUNTIF($E99:AC99,"u")+COUNTIF($E99:AC99,"t")+COUNTIF($E99:AC99,"¶")+COUNTIF($E99:AC99,"²")+COUNTIF($E99:AC99,"µ")+COUNTIF($E99:AC99,1),ColLivraison)=AD$6,
  VLOOKUP($E99,INDIRECT("tri!"&amp; CHAR(64+ C0Col) &amp;":"&amp; CHAR(65+C0Col)),2,FALSE)&gt;COUNTIF($E99:AC99,"u")+COUNTIF($E99:AC99,"t")+COUNTIF($E99:AC99,"¶")+COUNTIF($E99:AC99,"²")+COUNTIF($E99:AC99,"µ")+COUNTIF($E99:AC99,1)),
HYPERLINK("#Roadmap!C"&amp; MATCH($E99,Roadmap!$D:$D,0)+COUNTIF($E99:AC99,"u")+COUNTIF($E99:AC99,"t"),
     INDEX(Roadmap!$D:$K,MATCH($E99,Roadmap!$D:$D,0)+COUNTIF($E99:AC99,"u")+COUNTIF($E99:AC99,"t")+COUNTIF($E99:AC99,"¶")+COUNTIF($E99:AC99,"²")+COUNTIF($E99:AC99,"µ")+COUNTIF($E99:AC99,1),ColTypeEcheance)),
  IF(LEN(AC99)=1,
  IF(LEN(INDEX(Roadmap!$D:$K,MATCH($E99,Roadmap!$D:$D,0)-1+COUNTIF($E99:AC99,"u")+COUNTIF($E99:AC99,"t")+COUNTIF($E99:AC99,"¶")+COUNTIF($E99:AC99,"²")+COUNTIF($E99:AC99,"µ")+COUNTIF($E99:AC99,1),ColDescriptionCourte))&gt;1,
HYPERLINK("#Roadmap!C"&amp; MATCH($E99,Roadmap!$D:$D,0)+COUNTIF($E99:AC99,"u")+COUNTIF($E99:AC99,"t")+COUNTIF($E99:AC99,"¶")+COUNTIF($E99:AC99,"²")+COUNTIF($E99:AC99,"µ")+COUNTIF($E99:AC99,1)-1,INDEX(Roadmap!$D:$K,MATCH($E99,Roadmap!$D:$D,0)-1+COUNTIF($E99:AC99,"u")+COUNTIF($E99:AC99,"t")+COUNTIF($E99:AC99,"¶")+COUNTIF($E99:AC99,"²")+COUNTIF($E99:AC99,"µ")+COUNTIF($E99:AC99,1),ColDescriptionCourte)),""),
  "")),"")</f>
        <v/>
      </c>
      <c r="AE99" s="40" t="str">
        <f ca="1">IFERROR(IF(AND(
  INDEX(Roadmap!$D:$K,MATCH($E99,Roadmap!$D:$D,0)+COUNTIF($E99:AD99,"u")+COUNTIF($E99:AD99,"t")+COUNTIF($E99:AD99,"¶")+COUNTIF($E99:AD99,"²")+COUNTIF($E99:AD99,"µ")+COUNTIF($E99:AD99,1),ColLivraison)=AE$6,
  VLOOKUP($E99,INDIRECT("tri!"&amp; CHAR(64+ C0Col) &amp;":"&amp; CHAR(65+C0Col)),2,FALSE)&gt;COUNTIF($E99:AD99,"u")+COUNTIF($E99:AD99,"t")+COUNTIF($E99:AD99,"¶")+COUNTIF($E99:AD99,"²")+COUNTIF($E99:AD99,"µ")+COUNTIF($E99:AD99,1)),
HYPERLINK("#Roadmap!C"&amp; MATCH($E99,Roadmap!$D:$D,0)+COUNTIF($E99:AD99,"u")+COUNTIF($E99:AD99,"t"),
     INDEX(Roadmap!$D:$K,MATCH($E99,Roadmap!$D:$D,0)+COUNTIF($E99:AD99,"u")+COUNTIF($E99:AD99,"t")+COUNTIF($E99:AD99,"¶")+COUNTIF($E99:AD99,"²")+COUNTIF($E99:AD99,"µ")+COUNTIF($E99:AD99,1),ColTypeEcheance)),
  IF(LEN(AD99)=1,
  IF(LEN(INDEX(Roadmap!$D:$K,MATCH($E99,Roadmap!$D:$D,0)-1+COUNTIF($E99:AD99,"u")+COUNTIF($E99:AD99,"t")+COUNTIF($E99:AD99,"¶")+COUNTIF($E99:AD99,"²")+COUNTIF($E99:AD99,"µ")+COUNTIF($E99:AD99,1),ColDescriptionCourte))&gt;1,
HYPERLINK("#Roadmap!C"&amp; MATCH($E99,Roadmap!$D:$D,0)+COUNTIF($E99:AD99,"u")+COUNTIF($E99:AD99,"t")+COUNTIF($E99:AD99,"¶")+COUNTIF($E99:AD99,"²")+COUNTIF($E99:AD99,"µ")+COUNTIF($E99:AD99,1)-1,INDEX(Roadmap!$D:$K,MATCH($E99,Roadmap!$D:$D,0)-1+COUNTIF($E99:AD99,"u")+COUNTIF($E99:AD99,"t")+COUNTIF($E99:AD99,"¶")+COUNTIF($E99:AD99,"²")+COUNTIF($E99:AD99,"µ")+COUNTIF($E99:AD99,1),ColDescriptionCourte)),""),
  "")),"")</f>
        <v/>
      </c>
      <c r="AF99" s="40" t="str">
        <f ca="1">IFERROR(IF(AND(
  INDEX(Roadmap!$D:$K,MATCH($E99,Roadmap!$D:$D,0)+COUNTIF($E99:AE99,"u")+COUNTIF($E99:AE99,"t")+COUNTIF($E99:AE99,"¶")+COUNTIF($E99:AE99,"²")+COUNTIF($E99:AE99,"µ")+COUNTIF($E99:AE99,1),ColLivraison)=AF$6,
  VLOOKUP($E99,INDIRECT("tri!"&amp; CHAR(64+ C0Col) &amp;":"&amp; CHAR(65+C0Col)),2,FALSE)&gt;COUNTIF($E99:AE99,"u")+COUNTIF($E99:AE99,"t")+COUNTIF($E99:AE99,"¶")+COUNTIF($E99:AE99,"²")+COUNTIF($E99:AE99,"µ")+COUNTIF($E99:AE99,1)),
HYPERLINK("#Roadmap!C"&amp; MATCH($E99,Roadmap!$D:$D,0)+COUNTIF($E99:AE99,"u")+COUNTIF($E99:AE99,"t"),
     INDEX(Roadmap!$D:$K,MATCH($E99,Roadmap!$D:$D,0)+COUNTIF($E99:AE99,"u")+COUNTIF($E99:AE99,"t")+COUNTIF($E99:AE99,"¶")+COUNTIF($E99:AE99,"²")+COUNTIF($E99:AE99,"µ")+COUNTIF($E99:AE99,1),ColTypeEcheance)),
  IF(LEN(AE99)=1,
  IF(LEN(INDEX(Roadmap!$D:$K,MATCH($E99,Roadmap!$D:$D,0)-1+COUNTIF($E99:AE99,"u")+COUNTIF($E99:AE99,"t")+COUNTIF($E99:AE99,"¶")+COUNTIF($E99:AE99,"²")+COUNTIF($E99:AE99,"µ")+COUNTIF($E99:AE99,1),ColDescriptionCourte))&gt;1,
HYPERLINK("#Roadmap!C"&amp; MATCH($E99,Roadmap!$D:$D,0)+COUNTIF($E99:AE99,"u")+COUNTIF($E99:AE99,"t")+COUNTIF($E99:AE99,"¶")+COUNTIF($E99:AE99,"²")+COUNTIF($E99:AE99,"µ")+COUNTIF($E99:AE99,1)-1,INDEX(Roadmap!$D:$K,MATCH($E99,Roadmap!$D:$D,0)-1+COUNTIF($E99:AE99,"u")+COUNTIF($E99:AE99,"t")+COUNTIF($E99:AE99,"¶")+COUNTIF($E99:AE99,"²")+COUNTIF($E99:AE99,"µ")+COUNTIF($E99:AE99,1),ColDescriptionCourte)),""),
  "")),"")</f>
        <v/>
      </c>
      <c r="AG99" s="40" t="str">
        <f ca="1">IFERROR(IF(AND(
  INDEX(Roadmap!$D:$K,MATCH($E99,Roadmap!$D:$D,0)+COUNTIF($E99:AF99,"u")+COUNTIF($E99:AF99,"t")+COUNTIF($E99:AF99,"¶")+COUNTIF($E99:AF99,"²")+COUNTIF($E99:AF99,"µ")+COUNTIF($E99:AF99,1),ColLivraison)=AG$6,
  VLOOKUP($E99,INDIRECT("tri!"&amp; CHAR(64+ C0Col) &amp;":"&amp; CHAR(65+C0Col)),2,FALSE)&gt;COUNTIF($E99:AF99,"u")+COUNTIF($E99:AF99,"t")+COUNTIF($E99:AF99,"¶")+COUNTIF($E99:AF99,"²")+COUNTIF($E99:AF99,"µ")+COUNTIF($E99:AF99,1)),
HYPERLINK("#Roadmap!C"&amp; MATCH($E99,Roadmap!$D:$D,0)+COUNTIF($E99:AF99,"u")+COUNTIF($E99:AF99,"t"),
     INDEX(Roadmap!$D:$K,MATCH($E99,Roadmap!$D:$D,0)+COUNTIF($E99:AF99,"u")+COUNTIF($E99:AF99,"t")+COUNTIF($E99:AF99,"¶")+COUNTIF($E99:AF99,"²")+COUNTIF($E99:AF99,"µ")+COUNTIF($E99:AF99,1),ColTypeEcheance)),
  IF(LEN(AF99)=1,
  IF(LEN(INDEX(Roadmap!$D:$K,MATCH($E99,Roadmap!$D:$D,0)-1+COUNTIF($E99:AF99,"u")+COUNTIF($E99:AF99,"t")+COUNTIF($E99:AF99,"¶")+COUNTIF($E99:AF99,"²")+COUNTIF($E99:AF99,"µ")+COUNTIF($E99:AF99,1),ColDescriptionCourte))&gt;1,
HYPERLINK("#Roadmap!C"&amp; MATCH($E99,Roadmap!$D:$D,0)+COUNTIF($E99:AF99,"u")+COUNTIF($E99:AF99,"t")+COUNTIF($E99:AF99,"¶")+COUNTIF($E99:AF99,"²")+COUNTIF($E99:AF99,"µ")+COUNTIF($E99:AF99,1)-1,INDEX(Roadmap!$D:$K,MATCH($E99,Roadmap!$D:$D,0)-1+COUNTIF($E99:AF99,"u")+COUNTIF($E99:AF99,"t")+COUNTIF($E99:AF99,"¶")+COUNTIF($E99:AF99,"²")+COUNTIF($E99:AF99,"µ")+COUNTIF($E99:AF99,1),ColDescriptionCourte)),""),
  "")),"")</f>
        <v/>
      </c>
      <c r="AH99" s="40" t="str">
        <f ca="1">IFERROR(IF(AND(
  INDEX(Roadmap!$D:$K,MATCH($E99,Roadmap!$D:$D,0)+COUNTIF($E99:AG99,"u")+COUNTIF($E99:AG99,"t")+COUNTIF($E99:AG99,1),ColLivraison)=AH$6,
  VLOOKUP($E99,INDIRECT("tri!"&amp; CHAR(64+ C0Col) &amp;":"&amp; CHAR(65+C0Col)),2,FALSE)&gt;COUNTIF($E99:AG99,"u")+COUNTIF($E99:AG99,"t")+COUNTIF($E99:AG99,1)),
HYPERLINK("#Roadmap!C"&amp; MATCH($E99,Roadmap!$D:$D,0)+COUNTIF($E99:AG99,"u")+COUNTIF($E99:AG99,"t"),
     INDEX(Roadmap!$D:$K,MATCH($E99,Roadmap!$D:$D,0)+COUNTIF($E99:AG99,"u")+COUNTIF($E99:AG99,"t")+COUNTIF($E99:AG99,1),ColTypeEcheance)),
  IF(OR(AG99="u",AG99="t",AG99=1),
  IF(LEN(INDEX(Roadmap!$D:$K,MATCH($E99,Roadmap!$D:$D,0)-1+COUNTIF($E99:AG99,"u")+COUNTIF($E99:AG99,"t")+COUNTIF($E99:AG99,1),ColDescriptionCourte))&gt;1,
HYPERLINK("#Roadmap!C"&amp; MATCH($E99,Roadmap!$D:$D,0)+COUNTIF($E99:AG99,"u")+COUNTIF($E99:AG99,"t")+COUNTIF($E99:AG99,1)-1,INDEX(Roadmap!$D:$K,MATCH($E99,Roadmap!$D:$D,0)-1+COUNTIF($E99:AG99,"u")+COUNTIF($E99:AG99,"t")+COUNTIF($E99:AG99,1),ColDescriptionCourte)),""),
  "")),"")</f>
        <v/>
      </c>
      <c r="AI99" s="40"/>
      <c r="AJ99" s="40"/>
      <c r="AK99" s="40"/>
      <c r="AL99" s="40"/>
      <c r="AM99" s="40"/>
    </row>
    <row r="100" spans="4:39" ht="14.1" customHeight="1">
      <c r="D100" s="20" t="str">
        <f t="shared" ca="1" si="29"/>
        <v/>
      </c>
      <c r="E100" s="53" t="str">
        <f t="shared" ca="1" si="30"/>
        <v/>
      </c>
      <c r="F100" s="39" t="str">
        <f ca="1">IFERROR(IF(AND(
  INDEX(Roadmap!$D:$K,MATCH($E100,Roadmap!$D:$D,0)+COUNTIF($E100:E100,"u")+COUNTIF($E100:E100,"t")+COUNTIF($E100:E100,"¶")+COUNTIF($E100:E100,"²")+COUNTIF($E100:E100,"µ")+COUNTIF($E100:E100,1),ColLivraison)=F$6,
  VLOOKUP($E100,INDIRECT("tri!"&amp; CHAR(64+ C0Col) &amp;":"&amp; CHAR(65+C0Col)),2,FALSE)&gt;COUNTIF($E100:E100,"u")+COUNTIF($E100:E100,"t")+COUNTIF($E100:E100,"¶")+COUNTIF($E100:E100,"²")+COUNTIF($E100:E100,"µ")+COUNTIF($E100:E100,1)),
HYPERLINK("#Roadmap!C"&amp; MATCH($E100,Roadmap!$D:$D,0)+COUNTIF($E100:E100,"u")+COUNTIF($E100:E100,"t"),
     INDEX(Roadmap!$D:$K,MATCH($E100,Roadmap!$D:$D,0)+COUNTIF($E100:E100,"u")+COUNTIF($E100:E100,"t")+COUNTIF($E100:E100,"¶")+COUNTIF($E100:E100,"²")+COUNTIF($E100:E100,"µ")+COUNTIF($E100:E100,1),ColTypeEcheance)),
  IF(LEN(E100)=1,
  IF(LEN(INDEX(Roadmap!$D:$K,MATCH($E100,Roadmap!$D:$D,0)-1+COUNTIF($E100:E100,"u")+COUNTIF($E100:E100,"t")+COUNTIF($E100:E100,"¶")+COUNTIF($E100:E100,"²")+COUNTIF($E100:E100,"µ")+COUNTIF($E100:E100,1),ColDescriptionCourte))&gt;1,
HYPERLINK("#Roadmap!C"&amp; MATCH($E100,Roadmap!$D:$D,0)+COUNTIF($E100:E100,"u")+COUNTIF($E100:E100,"t")+COUNTIF($E100:E100,"¶")+COUNTIF($E100:E100,"²")+COUNTIF($E100:E100,"µ")+COUNTIF($E100:E100,1)-1,INDEX(Roadmap!$D:$K,MATCH($E100,Roadmap!$D:$D,0)-1+COUNTIF($E100:E100,"u")+COUNTIF($E100:E100,"t")+COUNTIF($E100:E100,"¶")+COUNTIF($E100:E100,"²")+COUNTIF($E100:E100,"µ")+COUNTIF($E100:E100,1),ColDescriptionCourte)),""),
  "")),"")</f>
        <v/>
      </c>
      <c r="G100" s="40" t="str">
        <f ca="1">IFERROR(IF(AND(
  INDEX(Roadmap!$D:$K,MATCH($E100,Roadmap!$D:$D,0)+COUNTIF($E100:F100,"u")+COUNTIF($E100:F100,"t")+COUNTIF($E100:F100,"¶")+COUNTIF($E100:F100,"²")+COUNTIF($E100:F100,"µ")+COUNTIF($E100:F100,1),ColLivraison)=G$6,
  VLOOKUP($E100,INDIRECT("tri!"&amp; CHAR(64+ C0Col) &amp;":"&amp; CHAR(65+C0Col)),2,FALSE)&gt;COUNTIF($E100:F100,"u")+COUNTIF($E100:F100,"t")+COUNTIF($E100:F100,"¶")+COUNTIF($E100:F100,"²")+COUNTIF($E100:F100,"µ")+COUNTIF($E100:F100,1)),
HYPERLINK("#Roadmap!C"&amp; MATCH($E100,Roadmap!$D:$D,0)+COUNTIF($E100:F100,"u")+COUNTIF($E100:F100,"t"),
     INDEX(Roadmap!$D:$K,MATCH($E100,Roadmap!$D:$D,0)+COUNTIF($E100:F100,"u")+COUNTIF($E100:F100,"t")+COUNTIF($E100:F100,"¶")+COUNTIF($E100:F100,"²")+COUNTIF($E100:F100,"µ")+COUNTIF($E100:F100,1),ColTypeEcheance)),
  IF(LEN(F100)=1,
  IF(LEN(INDEX(Roadmap!$D:$K,MATCH($E100,Roadmap!$D:$D,0)-1+COUNTIF($E100:F100,"u")+COUNTIF($E100:F100,"t")+COUNTIF($E100:F100,"¶")+COUNTIF($E100:F100,"²")+COUNTIF($E100:F100,"µ")+COUNTIF($E100:F100,1),ColDescriptionCourte))&gt;1,
HYPERLINK("#Roadmap!C"&amp; MATCH($E100,Roadmap!$D:$D,0)+COUNTIF($E100:F100,"u")+COUNTIF($E100:F100,"t")+COUNTIF($E100:F100,"¶")+COUNTIF($E100:F100,"²")+COUNTIF($E100:F100,"µ")+COUNTIF($E100:F100,1)-1,INDEX(Roadmap!$D:$K,MATCH($E100,Roadmap!$D:$D,0)-1+COUNTIF($E100:F100,"u")+COUNTIF($E100:F100,"t")+COUNTIF($E100:F100,"¶")+COUNTIF($E100:F100,"²")+COUNTIF($E100:F100,"µ")+COUNTIF($E100:F100,1),ColDescriptionCourte)),""),
  "")),"")</f>
        <v/>
      </c>
      <c r="H100" s="40" t="str">
        <f ca="1">IFERROR(IF(AND(
  INDEX(Roadmap!$D:$K,MATCH($E100,Roadmap!$D:$D,0)+COUNTIF($E100:G100,"u")+COUNTIF($E100:G100,"t")+COUNTIF($E100:G100,"¶")+COUNTIF($E100:G100,"²")+COUNTIF($E100:G100,"µ")+COUNTIF($E100:G100,1),ColLivraison)=H$6,
  VLOOKUP($E100,INDIRECT("tri!"&amp; CHAR(64+ C0Col) &amp;":"&amp; CHAR(65+C0Col)),2,FALSE)&gt;COUNTIF($E100:G100,"u")+COUNTIF($E100:G100,"t")+COUNTIF($E100:G100,"¶")+COUNTIF($E100:G100,"²")+COUNTIF($E100:G100,"µ")+COUNTIF($E100:G100,1)),
HYPERLINK("#Roadmap!C"&amp; MATCH($E100,Roadmap!$D:$D,0)+COUNTIF($E100:G100,"u")+COUNTIF($E100:G100,"t"),
     INDEX(Roadmap!$D:$K,MATCH($E100,Roadmap!$D:$D,0)+COUNTIF($E100:G100,"u")+COUNTIF($E100:G100,"t")+COUNTIF($E100:G100,"¶")+COUNTIF($E100:G100,"²")+COUNTIF($E100:G100,"µ")+COUNTIF($E100:G100,1),ColTypeEcheance)),
  IF(LEN(G100)=1,
  IF(LEN(INDEX(Roadmap!$D:$K,MATCH($E100,Roadmap!$D:$D,0)-1+COUNTIF($E100:G100,"u")+COUNTIF($E100:G100,"t")+COUNTIF($E100:G100,"¶")+COUNTIF($E100:G100,"²")+COUNTIF($E100:G100,"µ")+COUNTIF($E100:G100,1),ColDescriptionCourte))&gt;1,
HYPERLINK("#Roadmap!C"&amp; MATCH($E100,Roadmap!$D:$D,0)+COUNTIF($E100:G100,"u")+COUNTIF($E100:G100,"t")+COUNTIF($E100:G100,"¶")+COUNTIF($E100:G100,"²")+COUNTIF($E100:G100,"µ")+COUNTIF($E100:G100,1)-1,INDEX(Roadmap!$D:$K,MATCH($E100,Roadmap!$D:$D,0)-1+COUNTIF($E100:G100,"u")+COUNTIF($E100:G100,"t")+COUNTIF($E100:G100,"¶")+COUNTIF($E100:G100,"²")+COUNTIF($E100:G100,"µ")+COUNTIF($E100:G100,1),ColDescriptionCourte)),""),
  "")),"")</f>
        <v/>
      </c>
      <c r="I100" s="40" t="str">
        <f ca="1">IFERROR(IF(AND(
  INDEX(Roadmap!$D:$K,MATCH($E100,Roadmap!$D:$D,0)+COUNTIF($E100:H100,"u")+COUNTIF($E100:H100,"t")+COUNTIF($E100:H100,"¶")+COUNTIF($E100:H100,"²")+COUNTIF($E100:H100,"µ")+COUNTIF($E100:H100,1),ColLivraison)=I$6,
  VLOOKUP($E100,INDIRECT("tri!"&amp; CHAR(64+ C0Col) &amp;":"&amp; CHAR(65+C0Col)),2,FALSE)&gt;COUNTIF($E100:H100,"u")+COUNTIF($E100:H100,"t")+COUNTIF($E100:H100,"¶")+COUNTIF($E100:H100,"²")+COUNTIF($E100:H100,"µ")+COUNTIF($E100:H100,1)),
HYPERLINK("#Roadmap!C"&amp; MATCH($E100,Roadmap!$D:$D,0)+COUNTIF($E100:H100,"u")+COUNTIF($E100:H100,"t"),
     INDEX(Roadmap!$D:$K,MATCH($E100,Roadmap!$D:$D,0)+COUNTIF($E100:H100,"u")+COUNTIF($E100:H100,"t")+COUNTIF($E100:H100,"¶")+COUNTIF($E100:H100,"²")+COUNTIF($E100:H100,"µ")+COUNTIF($E100:H100,1),ColTypeEcheance)),
  IF(LEN(H100)=1,
  IF(LEN(INDEX(Roadmap!$D:$K,MATCH($E100,Roadmap!$D:$D,0)-1+COUNTIF($E100:H100,"u")+COUNTIF($E100:H100,"t")+COUNTIF($E100:H100,"¶")+COUNTIF($E100:H100,"²")+COUNTIF($E100:H100,"µ")+COUNTIF($E100:H100,1),ColDescriptionCourte))&gt;1,
HYPERLINK("#Roadmap!C"&amp; MATCH($E100,Roadmap!$D:$D,0)+COUNTIF($E100:H100,"u")+COUNTIF($E100:H100,"t")+COUNTIF($E100:H100,"¶")+COUNTIF($E100:H100,"²")+COUNTIF($E100:H100,"µ")+COUNTIF($E100:H100,1)-1,INDEX(Roadmap!$D:$K,MATCH($E100,Roadmap!$D:$D,0)-1+COUNTIF($E100:H100,"u")+COUNTIF($E100:H100,"t")+COUNTIF($E100:H100,"¶")+COUNTIF($E100:H100,"²")+COUNTIF($E100:H100,"µ")+COUNTIF($E100:H100,1),ColDescriptionCourte)),""),
  "")),"")</f>
        <v/>
      </c>
      <c r="J100" s="40" t="str">
        <f ca="1">IFERROR(IF(AND(
  INDEX(Roadmap!$D:$K,MATCH($E100,Roadmap!$D:$D,0)+COUNTIF($E100:I100,"u")+COUNTIF($E100:I100,"t")+COUNTIF($E100:I100,"¶")+COUNTIF($E100:I100,"²")+COUNTIF($E100:I100,"µ")+COUNTIF($E100:I100,1),ColLivraison)=J$6,
  VLOOKUP($E100,INDIRECT("tri!"&amp; CHAR(64+ C0Col) &amp;":"&amp; CHAR(65+C0Col)),2,FALSE)&gt;COUNTIF($E100:I100,"u")+COUNTIF($E100:I100,"t")+COUNTIF($E100:I100,"¶")+COUNTIF($E100:I100,"²")+COUNTIF($E100:I100,"µ")+COUNTIF($E100:I100,1)),
HYPERLINK("#Roadmap!C"&amp; MATCH($E100,Roadmap!$D:$D,0)+COUNTIF($E100:I100,"u")+COUNTIF($E100:I100,"t"),
     INDEX(Roadmap!$D:$K,MATCH($E100,Roadmap!$D:$D,0)+COUNTIF($E100:I100,"u")+COUNTIF($E100:I100,"t")+COUNTIF($E100:I100,"¶")+COUNTIF($E100:I100,"²")+COUNTIF($E100:I100,"µ")+COUNTIF($E100:I100,1),ColTypeEcheance)),
  IF(LEN(I100)=1,
  IF(LEN(INDEX(Roadmap!$D:$K,MATCH($E100,Roadmap!$D:$D,0)-1+COUNTIF($E100:I100,"u")+COUNTIF($E100:I100,"t")+COUNTIF($E100:I100,"¶")+COUNTIF($E100:I100,"²")+COUNTIF($E100:I100,"µ")+COUNTIF($E100:I100,1),ColDescriptionCourte))&gt;1,
HYPERLINK("#Roadmap!C"&amp; MATCH($E100,Roadmap!$D:$D,0)+COUNTIF($E100:I100,"u")+COUNTIF($E100:I100,"t")+COUNTIF($E100:I100,"¶")+COUNTIF($E100:I100,"²")+COUNTIF($E100:I100,"µ")+COUNTIF($E100:I100,1)-1,INDEX(Roadmap!$D:$K,MATCH($E100,Roadmap!$D:$D,0)-1+COUNTIF($E100:I100,"u")+COUNTIF($E100:I100,"t")+COUNTIF($E100:I100,"¶")+COUNTIF($E100:I100,"²")+COUNTIF($E100:I100,"µ")+COUNTIF($E100:I100,1),ColDescriptionCourte)),""),
  "")),"")</f>
        <v/>
      </c>
      <c r="K100" s="40" t="str">
        <f ca="1">IFERROR(IF(AND(
  INDEX(Roadmap!$D:$K,MATCH($E100,Roadmap!$D:$D,0)+COUNTIF($E100:J100,"u")+COUNTIF($E100:J100,"t")+COUNTIF($E100:J100,"¶")+COUNTIF($E100:J100,"²")+COUNTIF($E100:J100,"µ")+COUNTIF($E100:J100,1),ColLivraison)=K$6,
  VLOOKUP($E100,INDIRECT("tri!"&amp; CHAR(64+ C0Col) &amp;":"&amp; CHAR(65+C0Col)),2,FALSE)&gt;COUNTIF($E100:J100,"u")+COUNTIF($E100:J100,"t")+COUNTIF($E100:J100,"¶")+COUNTIF($E100:J100,"²")+COUNTIF($E100:J100,"µ")+COUNTIF($E100:J100,1)),
HYPERLINK("#Roadmap!C"&amp; MATCH($E100,Roadmap!$D:$D,0)+COUNTIF($E100:J100,"u")+COUNTIF($E100:J100,"t"),
     INDEX(Roadmap!$D:$K,MATCH($E100,Roadmap!$D:$D,0)+COUNTIF($E100:J100,"u")+COUNTIF($E100:J100,"t")+COUNTIF($E100:J100,"¶")+COUNTIF($E100:J100,"²")+COUNTIF($E100:J100,"µ")+COUNTIF($E100:J100,1),ColTypeEcheance)),
  IF(LEN(J100)=1,
  IF(LEN(INDEX(Roadmap!$D:$K,MATCH($E100,Roadmap!$D:$D,0)-1+COUNTIF($E100:J100,"u")+COUNTIF($E100:J100,"t")+COUNTIF($E100:J100,"¶")+COUNTIF($E100:J100,"²")+COUNTIF($E100:J100,"µ")+COUNTIF($E100:J100,1),ColDescriptionCourte))&gt;1,
HYPERLINK("#Roadmap!C"&amp; MATCH($E100,Roadmap!$D:$D,0)+COUNTIF($E100:J100,"u")+COUNTIF($E100:J100,"t")+COUNTIF($E100:J100,"¶")+COUNTIF($E100:J100,"²")+COUNTIF($E100:J100,"µ")+COUNTIF($E100:J100,1)-1,INDEX(Roadmap!$D:$K,MATCH($E100,Roadmap!$D:$D,0)-1+COUNTIF($E100:J100,"u")+COUNTIF($E100:J100,"t")+COUNTIF($E100:J100,"¶")+COUNTIF($E100:J100,"²")+COUNTIF($E100:J100,"µ")+COUNTIF($E100:J100,1),ColDescriptionCourte)),""),
  "")),"")</f>
        <v/>
      </c>
      <c r="L100" s="39" t="str">
        <f ca="1">IFERROR(IF(AND(
  INDEX(Roadmap!$D:$K,MATCH($E100,Roadmap!$D:$D,0)+COUNTIF($E100:K100,"u")+COUNTIF($E100:K100,"t")+COUNTIF($E100:K100,"¶")+COUNTIF($E100:K100,"²")+COUNTIF($E100:K100,"µ")+COUNTIF($E100:K100,1),ColLivraison)=L$6,
  VLOOKUP($E100,INDIRECT("tri!"&amp; CHAR(64+ C0Col) &amp;":"&amp; CHAR(65+C0Col)),2,FALSE)&gt;COUNTIF($E100:K100,"u")+COUNTIF($E100:K100,"t")+COUNTIF($E100:K100,"¶")+COUNTIF($E100:K100,"²")+COUNTIF($E100:K100,"µ")+COUNTIF($E100:K100,1)),
HYPERLINK("#Roadmap!C"&amp; MATCH($E100,Roadmap!$D:$D,0)+COUNTIF($E100:K100,"u")+COUNTIF($E100:K100,"t"),
     INDEX(Roadmap!$D:$K,MATCH($E100,Roadmap!$D:$D,0)+COUNTIF($E100:K100,"u")+COUNTIF($E100:K100,"t")+COUNTIF($E100:K100,"¶")+COUNTIF($E100:K100,"²")+COUNTIF($E100:K100,"µ")+COUNTIF($E100:K100,1),ColTypeEcheance)),
  IF(LEN(K100)=1,
  IF(LEN(INDEX(Roadmap!$D:$K,MATCH($E100,Roadmap!$D:$D,0)-1+COUNTIF($E100:K100,"u")+COUNTIF($E100:K100,"t")+COUNTIF($E100:K100,"¶")+COUNTIF($E100:K100,"²")+COUNTIF($E100:K100,"µ")+COUNTIF($E100:K100,1),ColDescriptionCourte))&gt;1,
HYPERLINK("#Roadmap!C"&amp; MATCH($E100,Roadmap!$D:$D,0)+COUNTIF($E100:K100,"u")+COUNTIF($E100:K100,"t")+COUNTIF($E100:K100,"¶")+COUNTIF($E100:K100,"²")+COUNTIF($E100:K100,"µ")+COUNTIF($E100:K100,1)-1,INDEX(Roadmap!$D:$K,MATCH($E100,Roadmap!$D:$D,0)-1+COUNTIF($E100:K100,"u")+COUNTIF($E100:K100,"t")+COUNTIF($E100:K100,"¶")+COUNTIF($E100:K100,"²")+COUNTIF($E100:K100,"µ")+COUNTIF($E100:K100,1),ColDescriptionCourte)),""),
  "")),"")</f>
        <v/>
      </c>
      <c r="M100" s="40" t="str">
        <f ca="1">IFERROR(IF(AND(
  INDEX(Roadmap!$D:$K,MATCH($E100,Roadmap!$D:$D,0)+COUNTIF($E100:L100,"u")+COUNTIF($E100:L100,"t")+COUNTIF($E100:L100,"¶")+COUNTIF($E100:L100,"²")+COUNTIF($E100:L100,"µ")+COUNTIF($E100:L100,1),ColLivraison)=M$6,
  VLOOKUP($E100,INDIRECT("tri!"&amp; CHAR(64+ C0Col) &amp;":"&amp; CHAR(65+C0Col)),2,FALSE)&gt;COUNTIF($E100:L100,"u")+COUNTIF($E100:L100,"t")+COUNTIF($E100:L100,"¶")+COUNTIF($E100:L100,"²")+COUNTIF($E100:L100,"µ")+COUNTIF($E100:L100,1)),
HYPERLINK("#Roadmap!C"&amp; MATCH($E100,Roadmap!$D:$D,0)+COUNTIF($E100:L100,"u")+COUNTIF($E100:L100,"t"),
     INDEX(Roadmap!$D:$K,MATCH($E100,Roadmap!$D:$D,0)+COUNTIF($E100:L100,"u")+COUNTIF($E100:L100,"t")+COUNTIF($E100:L100,"¶")+COUNTIF($E100:L100,"²")+COUNTIF($E100:L100,"µ")+COUNTIF($E100:L100,1),ColTypeEcheance)),
  IF(LEN(L100)=1,
  IF(LEN(INDEX(Roadmap!$D:$K,MATCH($E100,Roadmap!$D:$D,0)-1+COUNTIF($E100:L100,"u")+COUNTIF($E100:L100,"t")+COUNTIF($E100:L100,"¶")+COUNTIF($E100:L100,"²")+COUNTIF($E100:L100,"µ")+COUNTIF($E100:L100,1),ColDescriptionCourte))&gt;1,
HYPERLINK("#Roadmap!C"&amp; MATCH($E100,Roadmap!$D:$D,0)+COUNTIF($E100:L100,"u")+COUNTIF($E100:L100,"t")+COUNTIF($E100:L100,"¶")+COUNTIF($E100:L100,"²")+COUNTIF($E100:L100,"µ")+COUNTIF($E100:L100,1)-1,INDEX(Roadmap!$D:$K,MATCH($E100,Roadmap!$D:$D,0)-1+COUNTIF($E100:L100,"u")+COUNTIF($E100:L100,"t")+COUNTIF($E100:L100,"¶")+COUNTIF($E100:L100,"²")+COUNTIF($E100:L100,"µ")+COUNTIF($E100:L100,1),ColDescriptionCourte)),""),
  "")),"")</f>
        <v/>
      </c>
      <c r="N100" s="40" t="str">
        <f ca="1">IFERROR(IF(AND(
  INDEX(Roadmap!$D:$K,MATCH($E100,Roadmap!$D:$D,0)+COUNTIF($E100:M100,"u")+COUNTIF($E100:M100,"t")+COUNTIF($E100:M100,"¶")+COUNTIF($E100:M100,"²")+COUNTIF($E100:M100,"µ")+COUNTIF($E100:M100,1),ColLivraison)=N$6,
  VLOOKUP($E100,INDIRECT("tri!"&amp; CHAR(64+ C0Col) &amp;":"&amp; CHAR(65+C0Col)),2,FALSE)&gt;COUNTIF($E100:M100,"u")+COUNTIF($E100:M100,"t")+COUNTIF($E100:M100,"¶")+COUNTIF($E100:M100,"²")+COUNTIF($E100:M100,"µ")+COUNTIF($E100:M100,1)),
HYPERLINK("#Roadmap!C"&amp; MATCH($E100,Roadmap!$D:$D,0)+COUNTIF($E100:M100,"u")+COUNTIF($E100:M100,"t"),
     INDEX(Roadmap!$D:$K,MATCH($E100,Roadmap!$D:$D,0)+COUNTIF($E100:M100,"u")+COUNTIF($E100:M100,"t")+COUNTIF($E100:M100,"¶")+COUNTIF($E100:M100,"²")+COUNTIF($E100:M100,"µ")+COUNTIF($E100:M100,1),ColTypeEcheance)),
  IF(LEN(M100)=1,
  IF(LEN(INDEX(Roadmap!$D:$K,MATCH($E100,Roadmap!$D:$D,0)-1+COUNTIF($E100:M100,"u")+COUNTIF($E100:M100,"t")+COUNTIF($E100:M100,"¶")+COUNTIF($E100:M100,"²")+COUNTIF($E100:M100,"µ")+COUNTIF($E100:M100,1),ColDescriptionCourte))&gt;1,
HYPERLINK("#Roadmap!C"&amp; MATCH($E100,Roadmap!$D:$D,0)+COUNTIF($E100:M100,"u")+COUNTIF($E100:M100,"t")+COUNTIF($E100:M100,"¶")+COUNTIF($E100:M100,"²")+COUNTIF($E100:M100,"µ")+COUNTIF($E100:M100,1)-1,INDEX(Roadmap!$D:$K,MATCH($E100,Roadmap!$D:$D,0)-1+COUNTIF($E100:M100,"u")+COUNTIF($E100:M100,"t")+COUNTIF($E100:M100,"¶")+COUNTIF($E100:M100,"²")+COUNTIF($E100:M100,"µ")+COUNTIF($E100:M100,1),ColDescriptionCourte)),""),
  "")),"")</f>
        <v/>
      </c>
      <c r="O100" s="40" t="str">
        <f ca="1">IFERROR(IF(AND(
  INDEX(Roadmap!$D:$K,MATCH($E100,Roadmap!$D:$D,0)+COUNTIF($E100:N100,"u")+COUNTIF($E100:N100,"t")+COUNTIF($E100:N100,"¶")+COUNTIF($E100:N100,"²")+COUNTIF($E100:N100,"µ")+COUNTIF($E100:N100,1),ColLivraison)=O$6,
  VLOOKUP($E100,INDIRECT("tri!"&amp; CHAR(64+ C0Col) &amp;":"&amp; CHAR(65+C0Col)),2,FALSE)&gt;COUNTIF($E100:N100,"u")+COUNTIF($E100:N100,"t")+COUNTIF($E100:N100,"¶")+COUNTIF($E100:N100,"²")+COUNTIF($E100:N100,"µ")+COUNTIF($E100:N100,1)),
HYPERLINK("#Roadmap!C"&amp; MATCH($E100,Roadmap!$D:$D,0)+COUNTIF($E100:N100,"u")+COUNTIF($E100:N100,"t"),
     INDEX(Roadmap!$D:$K,MATCH($E100,Roadmap!$D:$D,0)+COUNTIF($E100:N100,"u")+COUNTIF($E100:N100,"t")+COUNTIF($E100:N100,"¶")+COUNTIF($E100:N100,"²")+COUNTIF($E100:N100,"µ")+COUNTIF($E100:N100,1),ColTypeEcheance)),
  IF(LEN(N100)=1,
  IF(LEN(INDEX(Roadmap!$D:$K,MATCH($E100,Roadmap!$D:$D,0)-1+COUNTIF($E100:N100,"u")+COUNTIF($E100:N100,"t")+COUNTIF($E100:N100,"¶")+COUNTIF($E100:N100,"²")+COUNTIF($E100:N100,"µ")+COUNTIF($E100:N100,1),ColDescriptionCourte))&gt;1,
HYPERLINK("#Roadmap!C"&amp; MATCH($E100,Roadmap!$D:$D,0)+COUNTIF($E100:N100,"u")+COUNTIF($E100:N100,"t")+COUNTIF($E100:N100,"¶")+COUNTIF($E100:N100,"²")+COUNTIF($E100:N100,"µ")+COUNTIF($E100:N100,1)-1,INDEX(Roadmap!$D:$K,MATCH($E100,Roadmap!$D:$D,0)-1+COUNTIF($E100:N100,"u")+COUNTIF($E100:N100,"t")+COUNTIF($E100:N100,"¶")+COUNTIF($E100:N100,"²")+COUNTIF($E100:N100,"µ")+COUNTIF($E100:N100,1),ColDescriptionCourte)),""),
  "")),"")</f>
        <v/>
      </c>
      <c r="P100" s="40" t="str">
        <f ca="1">IFERROR(IF(AND(
  INDEX(Roadmap!$D:$K,MATCH($E100,Roadmap!$D:$D,0)+COUNTIF($E100:O100,"u")+COUNTIF($E100:O100,"t")+COUNTIF($E100:O100,"¶")+COUNTIF($E100:O100,"²")+COUNTIF($E100:O100,"µ")+COUNTIF($E100:O100,1),ColLivraison)=P$6,
  VLOOKUP($E100,INDIRECT("tri!"&amp; CHAR(64+ C0Col) &amp;":"&amp; CHAR(65+C0Col)),2,FALSE)&gt;COUNTIF($E100:O100,"u")+COUNTIF($E100:O100,"t")+COUNTIF($E100:O100,"¶")+COUNTIF($E100:O100,"²")+COUNTIF($E100:O100,"µ")+COUNTIF($E100:O100,1)),
HYPERLINK("#Roadmap!C"&amp; MATCH($E100,Roadmap!$D:$D,0)+COUNTIF($E100:O100,"u")+COUNTIF($E100:O100,"t"),
     INDEX(Roadmap!$D:$K,MATCH($E100,Roadmap!$D:$D,0)+COUNTIF($E100:O100,"u")+COUNTIF($E100:O100,"t")+COUNTIF($E100:O100,"¶")+COUNTIF($E100:O100,"²")+COUNTIF($E100:O100,"µ")+COUNTIF($E100:O100,1),ColTypeEcheance)),
  IF(LEN(O100)=1,
  IF(LEN(INDEX(Roadmap!$D:$K,MATCH($E100,Roadmap!$D:$D,0)-1+COUNTIF($E100:O100,"u")+COUNTIF($E100:O100,"t")+COUNTIF($E100:O100,"¶")+COUNTIF($E100:O100,"²")+COUNTIF($E100:O100,"µ")+COUNTIF($E100:O100,1),ColDescriptionCourte))&gt;1,
HYPERLINK("#Roadmap!C"&amp; MATCH($E100,Roadmap!$D:$D,0)+COUNTIF($E100:O100,"u")+COUNTIF($E100:O100,"t")+COUNTIF($E100:O100,"¶")+COUNTIF($E100:O100,"²")+COUNTIF($E100:O100,"µ")+COUNTIF($E100:O100,1)-1,INDEX(Roadmap!$D:$K,MATCH($E100,Roadmap!$D:$D,0)-1+COUNTIF($E100:O100,"u")+COUNTIF($E100:O100,"t")+COUNTIF($E100:O100,"¶")+COUNTIF($E100:O100,"²")+COUNTIF($E100:O100,"µ")+COUNTIF($E100:O100,1),ColDescriptionCourte)),""),
  "")),"")</f>
        <v/>
      </c>
      <c r="Q100" s="40" t="str">
        <f ca="1">IFERROR(IF(AND(
  INDEX(Roadmap!$D:$K,MATCH($E100,Roadmap!$D:$D,0)+COUNTIF($E100:P100,"u")+COUNTIF($E100:P100,"t")+COUNTIF($E100:P100,"¶")+COUNTIF($E100:P100,"²")+COUNTIF($E100:P100,"µ")+COUNTIF($E100:P100,1),ColLivraison)=Q$6,
  VLOOKUP($E100,INDIRECT("tri!"&amp; CHAR(64+ C0Col) &amp;":"&amp; CHAR(65+C0Col)),2,FALSE)&gt;COUNTIF($E100:P100,"u")+COUNTIF($E100:P100,"t")+COUNTIF($E100:P100,"¶")+COUNTIF($E100:P100,"²")+COUNTIF($E100:P100,"µ")+COUNTIF($E100:P100,1)),
HYPERLINK("#Roadmap!C"&amp; MATCH($E100,Roadmap!$D:$D,0)+COUNTIF($E100:P100,"u")+COUNTIF($E100:P100,"t"),
     INDEX(Roadmap!$D:$K,MATCH($E100,Roadmap!$D:$D,0)+COUNTIF($E100:P100,"u")+COUNTIF($E100:P100,"t")+COUNTIF($E100:P100,"¶")+COUNTIF($E100:P100,"²")+COUNTIF($E100:P100,"µ")+COUNTIF($E100:P100,1),ColTypeEcheance)),
  IF(LEN(P100)=1,
  IF(LEN(INDEX(Roadmap!$D:$K,MATCH($E100,Roadmap!$D:$D,0)-1+COUNTIF($E100:P100,"u")+COUNTIF($E100:P100,"t")+COUNTIF($E100:P100,"¶")+COUNTIF($E100:P100,"²")+COUNTIF($E100:P100,"µ")+COUNTIF($E100:P100,1),ColDescriptionCourte))&gt;1,
HYPERLINK("#Roadmap!C"&amp; MATCH($E100,Roadmap!$D:$D,0)+COUNTIF($E100:P100,"u")+COUNTIF($E100:P100,"t")+COUNTIF($E100:P100,"¶")+COUNTIF($E100:P100,"²")+COUNTIF($E100:P100,"µ")+COUNTIF($E100:P100,1)-1,INDEX(Roadmap!$D:$K,MATCH($E100,Roadmap!$D:$D,0)-1+COUNTIF($E100:P100,"u")+COUNTIF($E100:P100,"t")+COUNTIF($E100:P100,"¶")+COUNTIF($E100:P100,"²")+COUNTIF($E100:P100,"µ")+COUNTIF($E100:P100,1),ColDescriptionCourte)),""),
  "")),"")</f>
        <v/>
      </c>
      <c r="R100" s="40" t="str">
        <f ca="1">IFERROR(IF(AND(
  INDEX(Roadmap!$D:$K,MATCH($E100,Roadmap!$D:$D,0)+COUNTIF($E100:Q100,"u")+COUNTIF($E100:Q100,"t")+COUNTIF($E100:Q100,"¶")+COUNTIF($E100:Q100,"²")+COUNTIF($E100:Q100,"µ")+COUNTIF($E100:Q100,1),ColLivraison)=R$6,
  VLOOKUP($E100,INDIRECT("tri!"&amp; CHAR(64+ C0Col) &amp;":"&amp; CHAR(65+C0Col)),2,FALSE)&gt;COUNTIF($E100:Q100,"u")+COUNTIF($E100:Q100,"t")+COUNTIF($E100:Q100,"¶")+COUNTIF($E100:Q100,"²")+COUNTIF($E100:Q100,"µ")+COUNTIF($E100:Q100,1)),
HYPERLINK("#Roadmap!C"&amp; MATCH($E100,Roadmap!$D:$D,0)+COUNTIF($E100:Q100,"u")+COUNTIF($E100:Q100,"t"),
     INDEX(Roadmap!$D:$K,MATCH($E100,Roadmap!$D:$D,0)+COUNTIF($E100:Q100,"u")+COUNTIF($E100:Q100,"t")+COUNTIF($E100:Q100,"¶")+COUNTIF($E100:Q100,"²")+COUNTIF($E100:Q100,"µ")+COUNTIF($E100:Q100,1),ColTypeEcheance)),
  IF(LEN(Q100)=1,
  IF(LEN(INDEX(Roadmap!$D:$K,MATCH($E100,Roadmap!$D:$D,0)-1+COUNTIF($E100:Q100,"u")+COUNTIF($E100:Q100,"t")+COUNTIF($E100:Q100,"¶")+COUNTIF($E100:Q100,"²")+COUNTIF($E100:Q100,"µ")+COUNTIF($E100:Q100,1),ColDescriptionCourte))&gt;1,
HYPERLINK("#Roadmap!C"&amp; MATCH($E100,Roadmap!$D:$D,0)+COUNTIF($E100:Q100,"u")+COUNTIF($E100:Q100,"t")+COUNTIF($E100:Q100,"¶")+COUNTIF($E100:Q100,"²")+COUNTIF($E100:Q100,"µ")+COUNTIF($E100:Q100,1)-1,INDEX(Roadmap!$D:$K,MATCH($E100,Roadmap!$D:$D,0)-1+COUNTIF($E100:Q100,"u")+COUNTIF($E100:Q100,"t")+COUNTIF($E100:Q100,"¶")+COUNTIF($E100:Q100,"²")+COUNTIF($E100:Q100,"µ")+COUNTIF($E100:Q100,1),ColDescriptionCourte)),""),
  "")),"")</f>
        <v/>
      </c>
      <c r="S100" s="40" t="str">
        <f ca="1">IFERROR(IF(AND(
  INDEX(Roadmap!$D:$K,MATCH($E100,Roadmap!$D:$D,0)+COUNTIF($E100:R100,"u")+COUNTIF($E100:R100,"t")+COUNTIF($E100:R100,"¶")+COUNTIF($E100:R100,"²")+COUNTIF($E100:R100,"µ")+COUNTIF($E100:R100,1),ColLivraison)=S$6,
  VLOOKUP($E100,INDIRECT("tri!"&amp; CHAR(64+ C0Col) &amp;":"&amp; CHAR(65+C0Col)),2,FALSE)&gt;COUNTIF($E100:R100,"u")+COUNTIF($E100:R100,"t")+COUNTIF($E100:R100,"¶")+COUNTIF($E100:R100,"²")+COUNTIF($E100:R100,"µ")+COUNTIF($E100:R100,1)),
HYPERLINK("#Roadmap!C"&amp; MATCH($E100,Roadmap!$D:$D,0)+COUNTIF($E100:R100,"u")+COUNTIF($E100:R100,"t"),
     INDEX(Roadmap!$D:$K,MATCH($E100,Roadmap!$D:$D,0)+COUNTIF($E100:R100,"u")+COUNTIF($E100:R100,"t")+COUNTIF($E100:R100,"¶")+COUNTIF($E100:R100,"²")+COUNTIF($E100:R100,"µ")+COUNTIF($E100:R100,1),ColTypeEcheance)),
  IF(LEN(R100)=1,
  IF(LEN(INDEX(Roadmap!$D:$K,MATCH($E100,Roadmap!$D:$D,0)-1+COUNTIF($E100:R100,"u")+COUNTIF($E100:R100,"t")+COUNTIF($E100:R100,"¶")+COUNTIF($E100:R100,"²")+COUNTIF($E100:R100,"µ")+COUNTIF($E100:R100,1),ColDescriptionCourte))&gt;1,
HYPERLINK("#Roadmap!C"&amp; MATCH($E100,Roadmap!$D:$D,0)+COUNTIF($E100:R100,"u")+COUNTIF($E100:R100,"t")+COUNTIF($E100:R100,"¶")+COUNTIF($E100:R100,"²")+COUNTIF($E100:R100,"µ")+COUNTIF($E100:R100,1)-1,INDEX(Roadmap!$D:$K,MATCH($E100,Roadmap!$D:$D,0)-1+COUNTIF($E100:R100,"u")+COUNTIF($E100:R100,"t")+COUNTIF($E100:R100,"¶")+COUNTIF($E100:R100,"²")+COUNTIF($E100:R100,"µ")+COUNTIF($E100:R100,1),ColDescriptionCourte)),""),
  "")),"")</f>
        <v/>
      </c>
      <c r="T100" s="40" t="str">
        <f ca="1">IFERROR(IF(AND(
  INDEX(Roadmap!$D:$K,MATCH($E100,Roadmap!$D:$D,0)+COUNTIF($E100:S100,"u")+COUNTIF($E100:S100,"t")+COUNTIF($E100:S100,"¶")+COUNTIF($E100:S100,"²")+COUNTIF($E100:S100,"µ")+COUNTIF($E100:S100,1),ColLivraison)=T$6,
  VLOOKUP($E100,INDIRECT("tri!"&amp; CHAR(64+ C0Col) &amp;":"&amp; CHAR(65+C0Col)),2,FALSE)&gt;COUNTIF($E100:S100,"u")+COUNTIF($E100:S100,"t")+COUNTIF($E100:S100,"¶")+COUNTIF($E100:S100,"²")+COUNTIF($E100:S100,"µ")+COUNTIF($E100:S100,1)),
HYPERLINK("#Roadmap!C"&amp; MATCH($E100,Roadmap!$D:$D,0)+COUNTIF($E100:S100,"u")+COUNTIF($E100:S100,"t"),
     INDEX(Roadmap!$D:$K,MATCH($E100,Roadmap!$D:$D,0)+COUNTIF($E100:S100,"u")+COUNTIF($E100:S100,"t")+COUNTIF($E100:S100,"¶")+COUNTIF($E100:S100,"²")+COUNTIF($E100:S100,"µ")+COUNTIF($E100:S100,1),ColTypeEcheance)),
  IF(LEN(S100)=1,
  IF(LEN(INDEX(Roadmap!$D:$K,MATCH($E100,Roadmap!$D:$D,0)-1+COUNTIF($E100:S100,"u")+COUNTIF($E100:S100,"t")+COUNTIF($E100:S100,"¶")+COUNTIF($E100:S100,"²")+COUNTIF($E100:S100,"µ")+COUNTIF($E100:S100,1),ColDescriptionCourte))&gt;1,
HYPERLINK("#Roadmap!C"&amp; MATCH($E100,Roadmap!$D:$D,0)+COUNTIF($E100:S100,"u")+COUNTIF($E100:S100,"t")+COUNTIF($E100:S100,"¶")+COUNTIF($E100:S100,"²")+COUNTIF($E100:S100,"µ")+COUNTIF($E100:S100,1)-1,INDEX(Roadmap!$D:$K,MATCH($E100,Roadmap!$D:$D,0)-1+COUNTIF($E100:S100,"u")+COUNTIF($E100:S100,"t")+COUNTIF($E100:S100,"¶")+COUNTIF($E100:S100,"²")+COUNTIF($E100:S100,"µ")+COUNTIF($E100:S100,1),ColDescriptionCourte)),""),
  "")),"")</f>
        <v/>
      </c>
      <c r="U100" s="40" t="str">
        <f ca="1">IFERROR(IF(AND(
  INDEX(Roadmap!$D:$K,MATCH($E100,Roadmap!$D:$D,0)+COUNTIF($E100:T100,"u")+COUNTIF($E100:T100,"t")+COUNTIF($E100:T100,"¶")+COUNTIF($E100:T100,"²")+COUNTIF($E100:T100,"µ")+COUNTIF($E100:T100,1),ColLivraison)=U$6,
  VLOOKUP($E100,INDIRECT("tri!"&amp; CHAR(64+ C0Col) &amp;":"&amp; CHAR(65+C0Col)),2,FALSE)&gt;COUNTIF($E100:T100,"u")+COUNTIF($E100:T100,"t")+COUNTIF($E100:T100,"¶")+COUNTIF($E100:T100,"²")+COUNTIF($E100:T100,"µ")+COUNTIF($E100:T100,1)),
HYPERLINK("#Roadmap!C"&amp; MATCH($E100,Roadmap!$D:$D,0)+COUNTIF($E100:T100,"u")+COUNTIF($E100:T100,"t"),
     INDEX(Roadmap!$D:$K,MATCH($E100,Roadmap!$D:$D,0)+COUNTIF($E100:T100,"u")+COUNTIF($E100:T100,"t")+COUNTIF($E100:T100,"¶")+COUNTIF($E100:T100,"²")+COUNTIF($E100:T100,"µ")+COUNTIF($E100:T100,1),ColTypeEcheance)),
  IF(LEN(T100)=1,
  IF(LEN(INDEX(Roadmap!$D:$K,MATCH($E100,Roadmap!$D:$D,0)-1+COUNTIF($E100:T100,"u")+COUNTIF($E100:T100,"t")+COUNTIF($E100:T100,"¶")+COUNTIF($E100:T100,"²")+COUNTIF($E100:T100,"µ")+COUNTIF($E100:T100,1),ColDescriptionCourte))&gt;1,
HYPERLINK("#Roadmap!C"&amp; MATCH($E100,Roadmap!$D:$D,0)+COUNTIF($E100:T100,"u")+COUNTIF($E100:T100,"t")+COUNTIF($E100:T100,"¶")+COUNTIF($E100:T100,"²")+COUNTIF($E100:T100,"µ")+COUNTIF($E100:T100,1)-1,INDEX(Roadmap!$D:$K,MATCH($E100,Roadmap!$D:$D,0)-1+COUNTIF($E100:T100,"u")+COUNTIF($E100:T100,"t")+COUNTIF($E100:T100,"¶")+COUNTIF($E100:T100,"²")+COUNTIF($E100:T100,"µ")+COUNTIF($E100:T100,1),ColDescriptionCourte)),""),
  "")),"")</f>
        <v/>
      </c>
      <c r="V100" s="40" t="str">
        <f ca="1">IFERROR(IF(AND(
  INDEX(Roadmap!$D:$K,MATCH($E100,Roadmap!$D:$D,0)+COUNTIF($E100:U100,"u")+COUNTIF($E100:U100,"t")+COUNTIF($E100:U100,"¶")+COUNTIF($E100:U100,"²")+COUNTIF($E100:U100,"µ")+COUNTIF($E100:U100,1),ColLivraison)=V$6,
  VLOOKUP($E100,INDIRECT("tri!"&amp; CHAR(64+ C0Col) &amp;":"&amp; CHAR(65+C0Col)),2,FALSE)&gt;COUNTIF($E100:U100,"u")+COUNTIF($E100:U100,"t")+COUNTIF($E100:U100,"¶")+COUNTIF($E100:U100,"²")+COUNTIF($E100:U100,"µ")+COUNTIF($E100:U100,1)),
HYPERLINK("#Roadmap!C"&amp; MATCH($E100,Roadmap!$D:$D,0)+COUNTIF($E100:U100,"u")+COUNTIF($E100:U100,"t"),
     INDEX(Roadmap!$D:$K,MATCH($E100,Roadmap!$D:$D,0)+COUNTIF($E100:U100,"u")+COUNTIF($E100:U100,"t")+COUNTIF($E100:U100,"¶")+COUNTIF($E100:U100,"²")+COUNTIF($E100:U100,"µ")+COUNTIF($E100:U100,1),ColTypeEcheance)),
  IF(LEN(U100)=1,
  IF(LEN(INDEX(Roadmap!$D:$K,MATCH($E100,Roadmap!$D:$D,0)-1+COUNTIF($E100:U100,"u")+COUNTIF($E100:U100,"t")+COUNTIF($E100:U100,"¶")+COUNTIF($E100:U100,"²")+COUNTIF($E100:U100,"µ")+COUNTIF($E100:U100,1),ColDescriptionCourte))&gt;1,
HYPERLINK("#Roadmap!C"&amp; MATCH($E100,Roadmap!$D:$D,0)+COUNTIF($E100:U100,"u")+COUNTIF($E100:U100,"t")+COUNTIF($E100:U100,"¶")+COUNTIF($E100:U100,"²")+COUNTIF($E100:U100,"µ")+COUNTIF($E100:U100,1)-1,INDEX(Roadmap!$D:$K,MATCH($E100,Roadmap!$D:$D,0)-1+COUNTIF($E100:U100,"u")+COUNTIF($E100:U100,"t")+COUNTIF($E100:U100,"¶")+COUNTIF($E100:U100,"²")+COUNTIF($E100:U100,"µ")+COUNTIF($E100:U100,1),ColDescriptionCourte)),""),
  "")),"")</f>
        <v/>
      </c>
      <c r="W100" s="40" t="str">
        <f ca="1">IFERROR(IF(AND(
  INDEX(Roadmap!$D:$K,MATCH($E100,Roadmap!$D:$D,0)+COUNTIF($E100:V100,"u")+COUNTIF($E100:V100,"t")+COUNTIF($E100:V100,"¶")+COUNTIF($E100:V100,"²")+COUNTIF($E100:V100,"µ")+COUNTIF($E100:V100,1),ColLivraison)=W$6,
  VLOOKUP($E100,INDIRECT("tri!"&amp; CHAR(64+ C0Col) &amp;":"&amp; CHAR(65+C0Col)),2,FALSE)&gt;COUNTIF($E100:V100,"u")+COUNTIF($E100:V100,"t")+COUNTIF($E100:V100,"¶")+COUNTIF($E100:V100,"²")+COUNTIF($E100:V100,"µ")+COUNTIF($E100:V100,1)),
HYPERLINK("#Roadmap!C"&amp; MATCH($E100,Roadmap!$D:$D,0)+COUNTIF($E100:V100,"u")+COUNTIF($E100:V100,"t"),
     INDEX(Roadmap!$D:$K,MATCH($E100,Roadmap!$D:$D,0)+COUNTIF($E100:V100,"u")+COUNTIF($E100:V100,"t")+COUNTIF($E100:V100,"¶")+COUNTIF($E100:V100,"²")+COUNTIF($E100:V100,"µ")+COUNTIF($E100:V100,1),ColTypeEcheance)),
  IF(LEN(V100)=1,
  IF(LEN(INDEX(Roadmap!$D:$K,MATCH($E100,Roadmap!$D:$D,0)-1+COUNTIF($E100:V100,"u")+COUNTIF($E100:V100,"t")+COUNTIF($E100:V100,"¶")+COUNTIF($E100:V100,"²")+COUNTIF($E100:V100,"µ")+COUNTIF($E100:V100,1),ColDescriptionCourte))&gt;1,
HYPERLINK("#Roadmap!C"&amp; MATCH($E100,Roadmap!$D:$D,0)+COUNTIF($E100:V100,"u")+COUNTIF($E100:V100,"t")+COUNTIF($E100:V100,"¶")+COUNTIF($E100:V100,"²")+COUNTIF($E100:V100,"µ")+COUNTIF($E100:V100,1)-1,INDEX(Roadmap!$D:$K,MATCH($E100,Roadmap!$D:$D,0)-1+COUNTIF($E100:V100,"u")+COUNTIF($E100:V100,"t")+COUNTIF($E100:V100,"¶")+COUNTIF($E100:V100,"²")+COUNTIF($E100:V100,"µ")+COUNTIF($E100:V100,1),ColDescriptionCourte)),""),
  "")),"")</f>
        <v/>
      </c>
      <c r="X100" s="40" t="str">
        <f ca="1">IFERROR(IF(AND(
  INDEX(Roadmap!$D:$K,MATCH($E100,Roadmap!$D:$D,0)+COUNTIF($E100:W100,"u")+COUNTIF($E100:W100,"t")+COUNTIF($E100:W100,"¶")+COUNTIF($E100:W100,"²")+COUNTIF($E100:W100,"µ")+COUNTIF($E100:W100,1),ColLivraison)=X$6,
  VLOOKUP($E100,INDIRECT("tri!"&amp; CHAR(64+ C0Col) &amp;":"&amp; CHAR(65+C0Col)),2,FALSE)&gt;COUNTIF($E100:W100,"u")+COUNTIF($E100:W100,"t")+COUNTIF($E100:W100,"¶")+COUNTIF($E100:W100,"²")+COUNTIF($E100:W100,"µ")+COUNTIF($E100:W100,1)),
HYPERLINK("#Roadmap!C"&amp; MATCH($E100,Roadmap!$D:$D,0)+COUNTIF($E100:W100,"u")+COUNTIF($E100:W100,"t"),
     INDEX(Roadmap!$D:$K,MATCH($E100,Roadmap!$D:$D,0)+COUNTIF($E100:W100,"u")+COUNTIF($E100:W100,"t")+COUNTIF($E100:W100,"¶")+COUNTIF($E100:W100,"²")+COUNTIF($E100:W100,"µ")+COUNTIF($E100:W100,1),ColTypeEcheance)),
  IF(LEN(W100)=1,
  IF(LEN(INDEX(Roadmap!$D:$K,MATCH($E100,Roadmap!$D:$D,0)-1+COUNTIF($E100:W100,"u")+COUNTIF($E100:W100,"t")+COUNTIF($E100:W100,"¶")+COUNTIF($E100:W100,"²")+COUNTIF($E100:W100,"µ")+COUNTIF($E100:W100,1),ColDescriptionCourte))&gt;1,
HYPERLINK("#Roadmap!C"&amp; MATCH($E100,Roadmap!$D:$D,0)+COUNTIF($E100:W100,"u")+COUNTIF($E100:W100,"t")+COUNTIF($E100:W100,"¶")+COUNTIF($E100:W100,"²")+COUNTIF($E100:W100,"µ")+COUNTIF($E100:W100,1)-1,INDEX(Roadmap!$D:$K,MATCH($E100,Roadmap!$D:$D,0)-1+COUNTIF($E100:W100,"u")+COUNTIF($E100:W100,"t")+COUNTIF($E100:W100,"¶")+COUNTIF($E100:W100,"²")+COUNTIF($E100:W100,"µ")+COUNTIF($E100:W100,1),ColDescriptionCourte)),""),
  "")),"")</f>
        <v/>
      </c>
      <c r="Y100" s="40" t="str">
        <f ca="1">IFERROR(IF(AND(
  INDEX(Roadmap!$D:$K,MATCH($E100,Roadmap!$D:$D,0)+COUNTIF($E100:X100,"u")+COUNTIF($E100:X100,"t")+COUNTIF($E100:X100,"¶")+COUNTIF($E100:X100,"²")+COUNTIF($E100:X100,"µ")+COUNTIF($E100:X100,1),ColLivraison)=Y$6,
  VLOOKUP($E100,INDIRECT("tri!"&amp; CHAR(64+ C0Col) &amp;":"&amp; CHAR(65+C0Col)),2,FALSE)&gt;COUNTIF($E100:X100,"u")+COUNTIF($E100:X100,"t")+COUNTIF($E100:X100,"¶")+COUNTIF($E100:X100,"²")+COUNTIF($E100:X100,"µ")+COUNTIF($E100:X100,1)),
HYPERLINK("#Roadmap!C"&amp; MATCH($E100,Roadmap!$D:$D,0)+COUNTIF($E100:X100,"u")+COUNTIF($E100:X100,"t"),
     INDEX(Roadmap!$D:$K,MATCH($E100,Roadmap!$D:$D,0)+COUNTIF($E100:X100,"u")+COUNTIF($E100:X100,"t")+COUNTIF($E100:X100,"¶")+COUNTIF($E100:X100,"²")+COUNTIF($E100:X100,"µ")+COUNTIF($E100:X100,1),ColTypeEcheance)),
  IF(LEN(X100)=1,
  IF(LEN(INDEX(Roadmap!$D:$K,MATCH($E100,Roadmap!$D:$D,0)-1+COUNTIF($E100:X100,"u")+COUNTIF($E100:X100,"t")+COUNTIF($E100:X100,"¶")+COUNTIF($E100:X100,"²")+COUNTIF($E100:X100,"µ")+COUNTIF($E100:X100,1),ColDescriptionCourte))&gt;1,
HYPERLINK("#Roadmap!C"&amp; MATCH($E100,Roadmap!$D:$D,0)+COUNTIF($E100:X100,"u")+COUNTIF($E100:X100,"t")+COUNTIF($E100:X100,"¶")+COUNTIF($E100:X100,"²")+COUNTIF($E100:X100,"µ")+COUNTIF($E100:X100,1)-1,INDEX(Roadmap!$D:$K,MATCH($E100,Roadmap!$D:$D,0)-1+COUNTIF($E100:X100,"u")+COUNTIF($E100:X100,"t")+COUNTIF($E100:X100,"¶")+COUNTIF($E100:X100,"²")+COUNTIF($E100:X100,"µ")+COUNTIF($E100:X100,1),ColDescriptionCourte)),""),
  "")),"")</f>
        <v/>
      </c>
      <c r="Z100" s="40" t="str">
        <f ca="1">IFERROR(IF(AND(
  INDEX(Roadmap!$D:$K,MATCH($E100,Roadmap!$D:$D,0)+COUNTIF($E100:Y100,"u")+COUNTIF($E100:Y100,"t")+COUNTIF($E100:Y100,"¶")+COUNTIF($E100:Y100,"²")+COUNTIF($E100:Y100,"µ")+COUNTIF($E100:Y100,1),ColLivraison)=Z$6,
  VLOOKUP($E100,INDIRECT("tri!"&amp; CHAR(64+ C0Col) &amp;":"&amp; CHAR(65+C0Col)),2,FALSE)&gt;COUNTIF($E100:Y100,"u")+COUNTIF($E100:Y100,"t")+COUNTIF($E100:Y100,"¶")+COUNTIF($E100:Y100,"²")+COUNTIF($E100:Y100,"µ")+COUNTIF($E100:Y100,1)),
HYPERLINK("#Roadmap!C"&amp; MATCH($E100,Roadmap!$D:$D,0)+COUNTIF($E100:Y100,"u")+COUNTIF($E100:Y100,"t"),
     INDEX(Roadmap!$D:$K,MATCH($E100,Roadmap!$D:$D,0)+COUNTIF($E100:Y100,"u")+COUNTIF($E100:Y100,"t")+COUNTIF($E100:Y100,"¶")+COUNTIF($E100:Y100,"²")+COUNTIF($E100:Y100,"µ")+COUNTIF($E100:Y100,1),ColTypeEcheance)),
  IF(LEN(Y100)=1,
  IF(LEN(INDEX(Roadmap!$D:$K,MATCH($E100,Roadmap!$D:$D,0)-1+COUNTIF($E100:Y100,"u")+COUNTIF($E100:Y100,"t")+COUNTIF($E100:Y100,"¶")+COUNTIF($E100:Y100,"²")+COUNTIF($E100:Y100,"µ")+COUNTIF($E100:Y100,1),ColDescriptionCourte))&gt;1,
HYPERLINK("#Roadmap!C"&amp; MATCH($E100,Roadmap!$D:$D,0)+COUNTIF($E100:Y100,"u")+COUNTIF($E100:Y100,"t")+COUNTIF($E100:Y100,"¶")+COUNTIF($E100:Y100,"²")+COUNTIF($E100:Y100,"µ")+COUNTIF($E100:Y100,1)-1,INDEX(Roadmap!$D:$K,MATCH($E100,Roadmap!$D:$D,0)-1+COUNTIF($E100:Y100,"u")+COUNTIF($E100:Y100,"t")+COUNTIF($E100:Y100,"¶")+COUNTIF($E100:Y100,"²")+COUNTIF($E100:Y100,"µ")+COUNTIF($E100:Y100,1),ColDescriptionCourte)),""),
  "")),"")</f>
        <v/>
      </c>
      <c r="AA100" s="40" t="str">
        <f ca="1">IFERROR(IF(AND(
  INDEX(Roadmap!$D:$K,MATCH($E100,Roadmap!$D:$D,0)+COUNTIF($E100:Z100,"u")+COUNTIF($E100:Z100,"t")+COUNTIF($E100:Z100,"¶")+COUNTIF($E100:Z100,"²")+COUNTIF($E100:Z100,"µ")+COUNTIF($E100:Z100,1),ColLivraison)=AA$6,
  VLOOKUP($E100,INDIRECT("tri!"&amp; CHAR(64+ C0Col) &amp;":"&amp; CHAR(65+C0Col)),2,FALSE)&gt;COUNTIF($E100:Z100,"u")+COUNTIF($E100:Z100,"t")+COUNTIF($E100:Z100,"¶")+COUNTIF($E100:Z100,"²")+COUNTIF($E100:Z100,"µ")+COUNTIF($E100:Z100,1)),
HYPERLINK("#Roadmap!C"&amp; MATCH($E100,Roadmap!$D:$D,0)+COUNTIF($E100:Z100,"u")+COUNTIF($E100:Z100,"t"),
     INDEX(Roadmap!$D:$K,MATCH($E100,Roadmap!$D:$D,0)+COUNTIF($E100:Z100,"u")+COUNTIF($E100:Z100,"t")+COUNTIF($E100:Z100,"¶")+COUNTIF($E100:Z100,"²")+COUNTIF($E100:Z100,"µ")+COUNTIF($E100:Z100,1),ColTypeEcheance)),
  IF(LEN(Z100)=1,
  IF(LEN(INDEX(Roadmap!$D:$K,MATCH($E100,Roadmap!$D:$D,0)-1+COUNTIF($E100:Z100,"u")+COUNTIF($E100:Z100,"t")+COUNTIF($E100:Z100,"¶")+COUNTIF($E100:Z100,"²")+COUNTIF($E100:Z100,"µ")+COUNTIF($E100:Z100,1),ColDescriptionCourte))&gt;1,
HYPERLINK("#Roadmap!C"&amp; MATCH($E100,Roadmap!$D:$D,0)+COUNTIF($E100:Z100,"u")+COUNTIF($E100:Z100,"t")+COUNTIF($E100:Z100,"¶")+COUNTIF($E100:Z100,"²")+COUNTIF($E100:Z100,"µ")+COUNTIF($E100:Z100,1)-1,INDEX(Roadmap!$D:$K,MATCH($E100,Roadmap!$D:$D,0)-1+COUNTIF($E100:Z100,"u")+COUNTIF($E100:Z100,"t")+COUNTIF($E100:Z100,"¶")+COUNTIF($E100:Z100,"²")+COUNTIF($E100:Z100,"µ")+COUNTIF($E100:Z100,1),ColDescriptionCourte)),""),
  "")),"")</f>
        <v/>
      </c>
      <c r="AB100" s="40" t="str">
        <f ca="1">IFERROR(IF(AND(
  INDEX(Roadmap!$D:$K,MATCH($E100,Roadmap!$D:$D,0)+COUNTIF($E100:AA100,"u")+COUNTIF($E100:AA100,"t")+COUNTIF($E100:AA100,"¶")+COUNTIF($E100:AA100,"²")+COUNTIF($E100:AA100,"µ")+COUNTIF($E100:AA100,1),ColLivraison)=AB$6,
  VLOOKUP($E100,INDIRECT("tri!"&amp; CHAR(64+ C0Col) &amp;":"&amp; CHAR(65+C0Col)),2,FALSE)&gt;COUNTIF($E100:AA100,"u")+COUNTIF($E100:AA100,"t")+COUNTIF($E100:AA100,"¶")+COUNTIF($E100:AA100,"²")+COUNTIF($E100:AA100,"µ")+COUNTIF($E100:AA100,1)),
HYPERLINK("#Roadmap!C"&amp; MATCH($E100,Roadmap!$D:$D,0)+COUNTIF($E100:AA100,"u")+COUNTIF($E100:AA100,"t"),
     INDEX(Roadmap!$D:$K,MATCH($E100,Roadmap!$D:$D,0)+COUNTIF($E100:AA100,"u")+COUNTIF($E100:AA100,"t")+COUNTIF($E100:AA100,"¶")+COUNTIF($E100:AA100,"²")+COUNTIF($E100:AA100,"µ")+COUNTIF($E100:AA100,1),ColTypeEcheance)),
  IF(LEN(AA100)=1,
  IF(LEN(INDEX(Roadmap!$D:$K,MATCH($E100,Roadmap!$D:$D,0)-1+COUNTIF($E100:AA100,"u")+COUNTIF($E100:AA100,"t")+COUNTIF($E100:AA100,"¶")+COUNTIF($E100:AA100,"²")+COUNTIF($E100:AA100,"µ")+COUNTIF($E100:AA100,1),ColDescriptionCourte))&gt;1,
HYPERLINK("#Roadmap!C"&amp; MATCH($E100,Roadmap!$D:$D,0)+COUNTIF($E100:AA100,"u")+COUNTIF($E100:AA100,"t")+COUNTIF($E100:AA100,"¶")+COUNTIF($E100:AA100,"²")+COUNTIF($E100:AA100,"µ")+COUNTIF($E100:AA100,1)-1,INDEX(Roadmap!$D:$K,MATCH($E100,Roadmap!$D:$D,0)-1+COUNTIF($E100:AA100,"u")+COUNTIF($E100:AA100,"t")+COUNTIF($E100:AA100,"¶")+COUNTIF($E100:AA100,"²")+COUNTIF($E100:AA100,"µ")+COUNTIF($E100:AA100,1),ColDescriptionCourte)),""),
  "")),"")</f>
        <v/>
      </c>
      <c r="AC100" s="40" t="str">
        <f ca="1">IFERROR(IF(AND(
  INDEX(Roadmap!$D:$K,MATCH($E100,Roadmap!$D:$D,0)+COUNTIF($E100:AB100,"u")+COUNTIF($E100:AB100,"t")+COUNTIF($E100:AB100,"¶")+COUNTIF($E100:AB100,"²")+COUNTIF($E100:AB100,"µ")+COUNTIF($E100:AB100,1),ColLivraison)=AC$6,
  VLOOKUP($E100,INDIRECT("tri!"&amp; CHAR(64+ C0Col) &amp;":"&amp; CHAR(65+C0Col)),2,FALSE)&gt;COUNTIF($E100:AB100,"u")+COUNTIF($E100:AB100,"t")+COUNTIF($E100:AB100,"¶")+COUNTIF($E100:AB100,"²")+COUNTIF($E100:AB100,"µ")+COUNTIF($E100:AB100,1)),
HYPERLINK("#Roadmap!C"&amp; MATCH($E100,Roadmap!$D:$D,0)+COUNTIF($E100:AB100,"u")+COUNTIF($E100:AB100,"t"),
     INDEX(Roadmap!$D:$K,MATCH($E100,Roadmap!$D:$D,0)+COUNTIF($E100:AB100,"u")+COUNTIF($E100:AB100,"t")+COUNTIF($E100:AB100,"¶")+COUNTIF($E100:AB100,"²")+COUNTIF($E100:AB100,"µ")+COUNTIF($E100:AB100,1),ColTypeEcheance)),
  IF(LEN(AB100)=1,
  IF(LEN(INDEX(Roadmap!$D:$K,MATCH($E100,Roadmap!$D:$D,0)-1+COUNTIF($E100:AB100,"u")+COUNTIF($E100:AB100,"t")+COUNTIF($E100:AB100,"¶")+COUNTIF($E100:AB100,"²")+COUNTIF($E100:AB100,"µ")+COUNTIF($E100:AB100,1),ColDescriptionCourte))&gt;1,
HYPERLINK("#Roadmap!C"&amp; MATCH($E100,Roadmap!$D:$D,0)+COUNTIF($E100:AB100,"u")+COUNTIF($E100:AB100,"t")+COUNTIF($E100:AB100,"¶")+COUNTIF($E100:AB100,"²")+COUNTIF($E100:AB100,"µ")+COUNTIF($E100:AB100,1)-1,INDEX(Roadmap!$D:$K,MATCH($E100,Roadmap!$D:$D,0)-1+COUNTIF($E100:AB100,"u")+COUNTIF($E100:AB100,"t")+COUNTIF($E100:AB100,"¶")+COUNTIF($E100:AB100,"²")+COUNTIF($E100:AB100,"µ")+COUNTIF($E100:AB100,1),ColDescriptionCourte)),""),
  "")),"")</f>
        <v/>
      </c>
      <c r="AD100" s="40" t="str">
        <f ca="1">IFERROR(IF(AND(
  INDEX(Roadmap!$D:$K,MATCH($E100,Roadmap!$D:$D,0)+COUNTIF($E100:AC100,"u")+COUNTIF($E100:AC100,"t")+COUNTIF($E100:AC100,"¶")+COUNTIF($E100:AC100,"²")+COUNTIF($E100:AC100,"µ")+COUNTIF($E100:AC100,1),ColLivraison)=AD$6,
  VLOOKUP($E100,INDIRECT("tri!"&amp; CHAR(64+ C0Col) &amp;":"&amp; CHAR(65+C0Col)),2,FALSE)&gt;COUNTIF($E100:AC100,"u")+COUNTIF($E100:AC100,"t")+COUNTIF($E100:AC100,"¶")+COUNTIF($E100:AC100,"²")+COUNTIF($E100:AC100,"µ")+COUNTIF($E100:AC100,1)),
HYPERLINK("#Roadmap!C"&amp; MATCH($E100,Roadmap!$D:$D,0)+COUNTIF($E100:AC100,"u")+COUNTIF($E100:AC100,"t"),
     INDEX(Roadmap!$D:$K,MATCH($E100,Roadmap!$D:$D,0)+COUNTIF($E100:AC100,"u")+COUNTIF($E100:AC100,"t")+COUNTIF($E100:AC100,"¶")+COUNTIF($E100:AC100,"²")+COUNTIF($E100:AC100,"µ")+COUNTIF($E100:AC100,1),ColTypeEcheance)),
  IF(LEN(AC100)=1,
  IF(LEN(INDEX(Roadmap!$D:$K,MATCH($E100,Roadmap!$D:$D,0)-1+COUNTIF($E100:AC100,"u")+COUNTIF($E100:AC100,"t")+COUNTIF($E100:AC100,"¶")+COUNTIF($E100:AC100,"²")+COUNTIF($E100:AC100,"µ")+COUNTIF($E100:AC100,1),ColDescriptionCourte))&gt;1,
HYPERLINK("#Roadmap!C"&amp; MATCH($E100,Roadmap!$D:$D,0)+COUNTIF($E100:AC100,"u")+COUNTIF($E100:AC100,"t")+COUNTIF($E100:AC100,"¶")+COUNTIF($E100:AC100,"²")+COUNTIF($E100:AC100,"µ")+COUNTIF($E100:AC100,1)-1,INDEX(Roadmap!$D:$K,MATCH($E100,Roadmap!$D:$D,0)-1+COUNTIF($E100:AC100,"u")+COUNTIF($E100:AC100,"t")+COUNTIF($E100:AC100,"¶")+COUNTIF($E100:AC100,"²")+COUNTIF($E100:AC100,"µ")+COUNTIF($E100:AC100,1),ColDescriptionCourte)),""),
  "")),"")</f>
        <v/>
      </c>
      <c r="AE100" s="40" t="str">
        <f ca="1">IFERROR(IF(AND(
  INDEX(Roadmap!$D:$K,MATCH($E100,Roadmap!$D:$D,0)+COUNTIF($E100:AD100,"u")+COUNTIF($E100:AD100,"t")+COUNTIF($E100:AD100,"¶")+COUNTIF($E100:AD100,"²")+COUNTIF($E100:AD100,"µ")+COUNTIF($E100:AD100,1),ColLivraison)=AE$6,
  VLOOKUP($E100,INDIRECT("tri!"&amp; CHAR(64+ C0Col) &amp;":"&amp; CHAR(65+C0Col)),2,FALSE)&gt;COUNTIF($E100:AD100,"u")+COUNTIF($E100:AD100,"t")+COUNTIF($E100:AD100,"¶")+COUNTIF($E100:AD100,"²")+COUNTIF($E100:AD100,"µ")+COUNTIF($E100:AD100,1)),
HYPERLINK("#Roadmap!C"&amp; MATCH($E100,Roadmap!$D:$D,0)+COUNTIF($E100:AD100,"u")+COUNTIF($E100:AD100,"t"),
     INDEX(Roadmap!$D:$K,MATCH($E100,Roadmap!$D:$D,0)+COUNTIF($E100:AD100,"u")+COUNTIF($E100:AD100,"t")+COUNTIF($E100:AD100,"¶")+COUNTIF($E100:AD100,"²")+COUNTIF($E100:AD100,"µ")+COUNTIF($E100:AD100,1),ColTypeEcheance)),
  IF(LEN(AD100)=1,
  IF(LEN(INDEX(Roadmap!$D:$K,MATCH($E100,Roadmap!$D:$D,0)-1+COUNTIF($E100:AD100,"u")+COUNTIF($E100:AD100,"t")+COUNTIF($E100:AD100,"¶")+COUNTIF($E100:AD100,"²")+COUNTIF($E100:AD100,"µ")+COUNTIF($E100:AD100,1),ColDescriptionCourte))&gt;1,
HYPERLINK("#Roadmap!C"&amp; MATCH($E100,Roadmap!$D:$D,0)+COUNTIF($E100:AD100,"u")+COUNTIF($E100:AD100,"t")+COUNTIF($E100:AD100,"¶")+COUNTIF($E100:AD100,"²")+COUNTIF($E100:AD100,"µ")+COUNTIF($E100:AD100,1)-1,INDEX(Roadmap!$D:$K,MATCH($E100,Roadmap!$D:$D,0)-1+COUNTIF($E100:AD100,"u")+COUNTIF($E100:AD100,"t")+COUNTIF($E100:AD100,"¶")+COUNTIF($E100:AD100,"²")+COUNTIF($E100:AD100,"µ")+COUNTIF($E100:AD100,1),ColDescriptionCourte)),""),
  "")),"")</f>
        <v/>
      </c>
      <c r="AF100" s="40" t="str">
        <f ca="1">IFERROR(IF(AND(
  INDEX(Roadmap!$D:$K,MATCH($E100,Roadmap!$D:$D,0)+COUNTIF($E100:AE100,"u")+COUNTIF($E100:AE100,"t")+COUNTIF($E100:AE100,"¶")+COUNTIF($E100:AE100,"²")+COUNTIF($E100:AE100,"µ")+COUNTIF($E100:AE100,1),ColLivraison)=AF$6,
  VLOOKUP($E100,INDIRECT("tri!"&amp; CHAR(64+ C0Col) &amp;":"&amp; CHAR(65+C0Col)),2,FALSE)&gt;COUNTIF($E100:AE100,"u")+COUNTIF($E100:AE100,"t")+COUNTIF($E100:AE100,"¶")+COUNTIF($E100:AE100,"²")+COUNTIF($E100:AE100,"µ")+COUNTIF($E100:AE100,1)),
HYPERLINK("#Roadmap!C"&amp; MATCH($E100,Roadmap!$D:$D,0)+COUNTIF($E100:AE100,"u")+COUNTIF($E100:AE100,"t"),
     INDEX(Roadmap!$D:$K,MATCH($E100,Roadmap!$D:$D,0)+COUNTIF($E100:AE100,"u")+COUNTIF($E100:AE100,"t")+COUNTIF($E100:AE100,"¶")+COUNTIF($E100:AE100,"²")+COUNTIF($E100:AE100,"µ")+COUNTIF($E100:AE100,1),ColTypeEcheance)),
  IF(LEN(AE100)=1,
  IF(LEN(INDEX(Roadmap!$D:$K,MATCH($E100,Roadmap!$D:$D,0)-1+COUNTIF($E100:AE100,"u")+COUNTIF($E100:AE100,"t")+COUNTIF($E100:AE100,"¶")+COUNTIF($E100:AE100,"²")+COUNTIF($E100:AE100,"µ")+COUNTIF($E100:AE100,1),ColDescriptionCourte))&gt;1,
HYPERLINK("#Roadmap!C"&amp; MATCH($E100,Roadmap!$D:$D,0)+COUNTIF($E100:AE100,"u")+COUNTIF($E100:AE100,"t")+COUNTIF($E100:AE100,"¶")+COUNTIF($E100:AE100,"²")+COUNTIF($E100:AE100,"µ")+COUNTIF($E100:AE100,1)-1,INDEX(Roadmap!$D:$K,MATCH($E100,Roadmap!$D:$D,0)-1+COUNTIF($E100:AE100,"u")+COUNTIF($E100:AE100,"t")+COUNTIF($E100:AE100,"¶")+COUNTIF($E100:AE100,"²")+COUNTIF($E100:AE100,"µ")+COUNTIF($E100:AE100,1),ColDescriptionCourte)),""),
  "")),"")</f>
        <v/>
      </c>
      <c r="AG100" s="40" t="str">
        <f ca="1">IFERROR(IF(AND(
  INDEX(Roadmap!$D:$K,MATCH($E100,Roadmap!$D:$D,0)+COUNTIF($E100:AF100,"u")+COUNTIF($E100:AF100,"t")+COUNTIF($E100:AF100,"¶")+COUNTIF($E100:AF100,"²")+COUNTIF($E100:AF100,"µ")+COUNTIF($E100:AF100,1),ColLivraison)=AG$6,
  VLOOKUP($E100,INDIRECT("tri!"&amp; CHAR(64+ C0Col) &amp;":"&amp; CHAR(65+C0Col)),2,FALSE)&gt;COUNTIF($E100:AF100,"u")+COUNTIF($E100:AF100,"t")+COUNTIF($E100:AF100,"¶")+COUNTIF($E100:AF100,"²")+COUNTIF($E100:AF100,"µ")+COUNTIF($E100:AF100,1)),
HYPERLINK("#Roadmap!C"&amp; MATCH($E100,Roadmap!$D:$D,0)+COUNTIF($E100:AF100,"u")+COUNTIF($E100:AF100,"t"),
     INDEX(Roadmap!$D:$K,MATCH($E100,Roadmap!$D:$D,0)+COUNTIF($E100:AF100,"u")+COUNTIF($E100:AF100,"t")+COUNTIF($E100:AF100,"¶")+COUNTIF($E100:AF100,"²")+COUNTIF($E100:AF100,"µ")+COUNTIF($E100:AF100,1),ColTypeEcheance)),
  IF(LEN(AF100)=1,
  IF(LEN(INDEX(Roadmap!$D:$K,MATCH($E100,Roadmap!$D:$D,0)-1+COUNTIF($E100:AF100,"u")+COUNTIF($E100:AF100,"t")+COUNTIF($E100:AF100,"¶")+COUNTIF($E100:AF100,"²")+COUNTIF($E100:AF100,"µ")+COUNTIF($E100:AF100,1),ColDescriptionCourte))&gt;1,
HYPERLINK("#Roadmap!C"&amp; MATCH($E100,Roadmap!$D:$D,0)+COUNTIF($E100:AF100,"u")+COUNTIF($E100:AF100,"t")+COUNTIF($E100:AF100,"¶")+COUNTIF($E100:AF100,"²")+COUNTIF($E100:AF100,"µ")+COUNTIF($E100:AF100,1)-1,INDEX(Roadmap!$D:$K,MATCH($E100,Roadmap!$D:$D,0)-1+COUNTIF($E100:AF100,"u")+COUNTIF($E100:AF100,"t")+COUNTIF($E100:AF100,"¶")+COUNTIF($E100:AF100,"²")+COUNTIF($E100:AF100,"µ")+COUNTIF($E100:AF100,1),ColDescriptionCourte)),""),
  "")),"")</f>
        <v/>
      </c>
      <c r="AH100" s="40" t="str">
        <f ca="1">IFERROR(IF(AND(
  INDEX(Roadmap!$D:$K,MATCH($E100,Roadmap!$D:$D,0)+COUNTIF($E100:AG100,"u")+COUNTIF($E100:AG100,"t")+COUNTIF($E100:AG100,1),ColLivraison)=AH$6,
  VLOOKUP($E100,INDIRECT("tri!"&amp; CHAR(64+ C0Col) &amp;":"&amp; CHAR(65+C0Col)),2,FALSE)&gt;COUNTIF($E100:AG100,"u")+COUNTIF($E100:AG100,"t")+COUNTIF($E100:AG100,1)),
HYPERLINK("#Roadmap!C"&amp; MATCH($E100,Roadmap!$D:$D,0)+COUNTIF($E100:AG100,"u")+COUNTIF($E100:AG100,"t"),
     INDEX(Roadmap!$D:$K,MATCH($E100,Roadmap!$D:$D,0)+COUNTIF($E100:AG100,"u")+COUNTIF($E100:AG100,"t")+COUNTIF($E100:AG100,1),ColTypeEcheance)),
  IF(OR(AG100="u",AG100="t",AG100=1),
  IF(LEN(INDEX(Roadmap!$D:$K,MATCH($E100,Roadmap!$D:$D,0)-1+COUNTIF($E100:AG100,"u")+COUNTIF($E100:AG100,"t")+COUNTIF($E100:AG100,1),ColDescriptionCourte))&gt;1,
HYPERLINK("#Roadmap!C"&amp; MATCH($E100,Roadmap!$D:$D,0)+COUNTIF($E100:AG100,"u")+COUNTIF($E100:AG100,"t")+COUNTIF($E100:AG100,1)-1,INDEX(Roadmap!$D:$K,MATCH($E100,Roadmap!$D:$D,0)-1+COUNTIF($E100:AG100,"u")+COUNTIF($E100:AG100,"t")+COUNTIF($E100:AG100,1),ColDescriptionCourte)),""),
  "")),"")</f>
        <v/>
      </c>
      <c r="AI100" s="40"/>
      <c r="AJ100" s="40"/>
      <c r="AK100" s="40"/>
      <c r="AL100" s="40"/>
      <c r="AM100" s="40"/>
    </row>
    <row r="101" spans="4:39" ht="14.1" customHeight="1">
      <c r="D101" s="20" t="str">
        <f t="shared" ca="1" si="29"/>
        <v/>
      </c>
      <c r="E101" s="53" t="str">
        <f t="shared" ca="1" si="30"/>
        <v/>
      </c>
      <c r="F101" s="39" t="str">
        <f ca="1">IFERROR(IF(AND(
  INDEX(Roadmap!$D:$K,MATCH($E101,Roadmap!$D:$D,0)+COUNTIF($E101:E101,"u")+COUNTIF($E101:E101,"t")+COUNTIF($E101:E101,"¶")+COUNTIF($E101:E101,"²")+COUNTIF($E101:E101,"µ")+COUNTIF($E101:E101,1),ColLivraison)=F$6,
  VLOOKUP($E101,INDIRECT("tri!"&amp; CHAR(64+ C0Col) &amp;":"&amp; CHAR(65+C0Col)),2,FALSE)&gt;COUNTIF($E101:E101,"u")+COUNTIF($E101:E101,"t")+COUNTIF($E101:E101,"¶")+COUNTIF($E101:E101,"²")+COUNTIF($E101:E101,"µ")+COUNTIF($E101:E101,1)),
HYPERLINK("#Roadmap!C"&amp; MATCH($E101,Roadmap!$D:$D,0)+COUNTIF($E101:E101,"u")+COUNTIF($E101:E101,"t"),
     INDEX(Roadmap!$D:$K,MATCH($E101,Roadmap!$D:$D,0)+COUNTIF($E101:E101,"u")+COUNTIF($E101:E101,"t")+COUNTIF($E101:E101,"¶")+COUNTIF($E101:E101,"²")+COUNTIF($E101:E101,"µ")+COUNTIF($E101:E101,1),ColTypeEcheance)),
  IF(LEN(E101)=1,
  IF(LEN(INDEX(Roadmap!$D:$K,MATCH($E101,Roadmap!$D:$D,0)-1+COUNTIF($E101:E101,"u")+COUNTIF($E101:E101,"t")+COUNTIF($E101:E101,"¶")+COUNTIF($E101:E101,"²")+COUNTIF($E101:E101,"µ")+COUNTIF($E101:E101,1),ColDescriptionCourte))&gt;1,
HYPERLINK("#Roadmap!C"&amp; MATCH($E101,Roadmap!$D:$D,0)+COUNTIF($E101:E101,"u")+COUNTIF($E101:E101,"t")+COUNTIF($E101:E101,"¶")+COUNTIF($E101:E101,"²")+COUNTIF($E101:E101,"µ")+COUNTIF($E101:E101,1)-1,INDEX(Roadmap!$D:$K,MATCH($E101,Roadmap!$D:$D,0)-1+COUNTIF($E101:E101,"u")+COUNTIF($E101:E101,"t")+COUNTIF($E101:E101,"¶")+COUNTIF($E101:E101,"²")+COUNTIF($E101:E101,"µ")+COUNTIF($E101:E101,1),ColDescriptionCourte)),""),
  "")),"")</f>
        <v/>
      </c>
      <c r="G101" s="40" t="str">
        <f ca="1">IFERROR(IF(AND(
  INDEX(Roadmap!$D:$K,MATCH($E101,Roadmap!$D:$D,0)+COUNTIF($E101:F101,"u")+COUNTIF($E101:F101,"t")+COUNTIF($E101:F101,"¶")+COUNTIF($E101:F101,"²")+COUNTIF($E101:F101,"µ")+COUNTIF($E101:F101,1),ColLivraison)=G$6,
  VLOOKUP($E101,INDIRECT("tri!"&amp; CHAR(64+ C0Col) &amp;":"&amp; CHAR(65+C0Col)),2,FALSE)&gt;COUNTIF($E101:F101,"u")+COUNTIF($E101:F101,"t")+COUNTIF($E101:F101,"¶")+COUNTIF($E101:F101,"²")+COUNTIF($E101:F101,"µ")+COUNTIF($E101:F101,1)),
HYPERLINK("#Roadmap!C"&amp; MATCH($E101,Roadmap!$D:$D,0)+COUNTIF($E101:F101,"u")+COUNTIF($E101:F101,"t"),
     INDEX(Roadmap!$D:$K,MATCH($E101,Roadmap!$D:$D,0)+COUNTIF($E101:F101,"u")+COUNTIF($E101:F101,"t")+COUNTIF($E101:F101,"¶")+COUNTIF($E101:F101,"²")+COUNTIF($E101:F101,"µ")+COUNTIF($E101:F101,1),ColTypeEcheance)),
  IF(LEN(F101)=1,
  IF(LEN(INDEX(Roadmap!$D:$K,MATCH($E101,Roadmap!$D:$D,0)-1+COUNTIF($E101:F101,"u")+COUNTIF($E101:F101,"t")+COUNTIF($E101:F101,"¶")+COUNTIF($E101:F101,"²")+COUNTIF($E101:F101,"µ")+COUNTIF($E101:F101,1),ColDescriptionCourte))&gt;1,
HYPERLINK("#Roadmap!C"&amp; MATCH($E101,Roadmap!$D:$D,0)+COUNTIF($E101:F101,"u")+COUNTIF($E101:F101,"t")+COUNTIF($E101:F101,"¶")+COUNTIF($E101:F101,"²")+COUNTIF($E101:F101,"µ")+COUNTIF($E101:F101,1)-1,INDEX(Roadmap!$D:$K,MATCH($E101,Roadmap!$D:$D,0)-1+COUNTIF($E101:F101,"u")+COUNTIF($E101:F101,"t")+COUNTIF($E101:F101,"¶")+COUNTIF($E101:F101,"²")+COUNTIF($E101:F101,"µ")+COUNTIF($E101:F101,1),ColDescriptionCourte)),""),
  "")),"")</f>
        <v/>
      </c>
      <c r="H101" s="40" t="str">
        <f ca="1">IFERROR(IF(AND(
  INDEX(Roadmap!$D:$K,MATCH($E101,Roadmap!$D:$D,0)+COUNTIF($E101:G101,"u")+COUNTIF($E101:G101,"t")+COUNTIF($E101:G101,"¶")+COUNTIF($E101:G101,"²")+COUNTIF($E101:G101,"µ")+COUNTIF($E101:G101,1),ColLivraison)=H$6,
  VLOOKUP($E101,INDIRECT("tri!"&amp; CHAR(64+ C0Col) &amp;":"&amp; CHAR(65+C0Col)),2,FALSE)&gt;COUNTIF($E101:G101,"u")+COUNTIF($E101:G101,"t")+COUNTIF($E101:G101,"¶")+COUNTIF($E101:G101,"²")+COUNTIF($E101:G101,"µ")+COUNTIF($E101:G101,1)),
HYPERLINK("#Roadmap!C"&amp; MATCH($E101,Roadmap!$D:$D,0)+COUNTIF($E101:G101,"u")+COUNTIF($E101:G101,"t"),
     INDEX(Roadmap!$D:$K,MATCH($E101,Roadmap!$D:$D,0)+COUNTIF($E101:G101,"u")+COUNTIF($E101:G101,"t")+COUNTIF($E101:G101,"¶")+COUNTIF($E101:G101,"²")+COUNTIF($E101:G101,"µ")+COUNTIF($E101:G101,1),ColTypeEcheance)),
  IF(LEN(G101)=1,
  IF(LEN(INDEX(Roadmap!$D:$K,MATCH($E101,Roadmap!$D:$D,0)-1+COUNTIF($E101:G101,"u")+COUNTIF($E101:G101,"t")+COUNTIF($E101:G101,"¶")+COUNTIF($E101:G101,"²")+COUNTIF($E101:G101,"µ")+COUNTIF($E101:G101,1),ColDescriptionCourte))&gt;1,
HYPERLINK("#Roadmap!C"&amp; MATCH($E101,Roadmap!$D:$D,0)+COUNTIF($E101:G101,"u")+COUNTIF($E101:G101,"t")+COUNTIF($E101:G101,"¶")+COUNTIF($E101:G101,"²")+COUNTIF($E101:G101,"µ")+COUNTIF($E101:G101,1)-1,INDEX(Roadmap!$D:$K,MATCH($E101,Roadmap!$D:$D,0)-1+COUNTIF($E101:G101,"u")+COUNTIF($E101:G101,"t")+COUNTIF($E101:G101,"¶")+COUNTIF($E101:G101,"²")+COUNTIF($E101:G101,"µ")+COUNTIF($E101:G101,1),ColDescriptionCourte)),""),
  "")),"")</f>
        <v/>
      </c>
      <c r="I101" s="40" t="str">
        <f ca="1">IFERROR(IF(AND(
  INDEX(Roadmap!$D:$K,MATCH($E101,Roadmap!$D:$D,0)+COUNTIF($E101:H101,"u")+COUNTIF($E101:H101,"t")+COUNTIF($E101:H101,"¶")+COUNTIF($E101:H101,"²")+COUNTIF($E101:H101,"µ")+COUNTIF($E101:H101,1),ColLivraison)=I$6,
  VLOOKUP($E101,INDIRECT("tri!"&amp; CHAR(64+ C0Col) &amp;":"&amp; CHAR(65+C0Col)),2,FALSE)&gt;COUNTIF($E101:H101,"u")+COUNTIF($E101:H101,"t")+COUNTIF($E101:H101,"¶")+COUNTIF($E101:H101,"²")+COUNTIF($E101:H101,"µ")+COUNTIF($E101:H101,1)),
HYPERLINK("#Roadmap!C"&amp; MATCH($E101,Roadmap!$D:$D,0)+COUNTIF($E101:H101,"u")+COUNTIF($E101:H101,"t"),
     INDEX(Roadmap!$D:$K,MATCH($E101,Roadmap!$D:$D,0)+COUNTIF($E101:H101,"u")+COUNTIF($E101:H101,"t")+COUNTIF($E101:H101,"¶")+COUNTIF($E101:H101,"²")+COUNTIF($E101:H101,"µ")+COUNTIF($E101:H101,1),ColTypeEcheance)),
  IF(LEN(H101)=1,
  IF(LEN(INDEX(Roadmap!$D:$K,MATCH($E101,Roadmap!$D:$D,0)-1+COUNTIF($E101:H101,"u")+COUNTIF($E101:H101,"t")+COUNTIF($E101:H101,"¶")+COUNTIF($E101:H101,"²")+COUNTIF($E101:H101,"µ")+COUNTIF($E101:H101,1),ColDescriptionCourte))&gt;1,
HYPERLINK("#Roadmap!C"&amp; MATCH($E101,Roadmap!$D:$D,0)+COUNTIF($E101:H101,"u")+COUNTIF($E101:H101,"t")+COUNTIF($E101:H101,"¶")+COUNTIF($E101:H101,"²")+COUNTIF($E101:H101,"µ")+COUNTIF($E101:H101,1)-1,INDEX(Roadmap!$D:$K,MATCH($E101,Roadmap!$D:$D,0)-1+COUNTIF($E101:H101,"u")+COUNTIF($E101:H101,"t")+COUNTIF($E101:H101,"¶")+COUNTIF($E101:H101,"²")+COUNTIF($E101:H101,"µ")+COUNTIF($E101:H101,1),ColDescriptionCourte)),""),
  "")),"")</f>
        <v/>
      </c>
      <c r="J101" s="40" t="str">
        <f ca="1">IFERROR(IF(AND(
  INDEX(Roadmap!$D:$K,MATCH($E101,Roadmap!$D:$D,0)+COUNTIF($E101:I101,"u")+COUNTIF($E101:I101,"t")+COUNTIF($E101:I101,"¶")+COUNTIF($E101:I101,"²")+COUNTIF($E101:I101,"µ")+COUNTIF($E101:I101,1),ColLivraison)=J$6,
  VLOOKUP($E101,INDIRECT("tri!"&amp; CHAR(64+ C0Col) &amp;":"&amp; CHAR(65+C0Col)),2,FALSE)&gt;COUNTIF($E101:I101,"u")+COUNTIF($E101:I101,"t")+COUNTIF($E101:I101,"¶")+COUNTIF($E101:I101,"²")+COUNTIF($E101:I101,"µ")+COUNTIF($E101:I101,1)),
HYPERLINK("#Roadmap!C"&amp; MATCH($E101,Roadmap!$D:$D,0)+COUNTIF($E101:I101,"u")+COUNTIF($E101:I101,"t"),
     INDEX(Roadmap!$D:$K,MATCH($E101,Roadmap!$D:$D,0)+COUNTIF($E101:I101,"u")+COUNTIF($E101:I101,"t")+COUNTIF($E101:I101,"¶")+COUNTIF($E101:I101,"²")+COUNTIF($E101:I101,"µ")+COUNTIF($E101:I101,1),ColTypeEcheance)),
  IF(LEN(I101)=1,
  IF(LEN(INDEX(Roadmap!$D:$K,MATCH($E101,Roadmap!$D:$D,0)-1+COUNTIF($E101:I101,"u")+COUNTIF($E101:I101,"t")+COUNTIF($E101:I101,"¶")+COUNTIF($E101:I101,"²")+COUNTIF($E101:I101,"µ")+COUNTIF($E101:I101,1),ColDescriptionCourte))&gt;1,
HYPERLINK("#Roadmap!C"&amp; MATCH($E101,Roadmap!$D:$D,0)+COUNTIF($E101:I101,"u")+COUNTIF($E101:I101,"t")+COUNTIF($E101:I101,"¶")+COUNTIF($E101:I101,"²")+COUNTIF($E101:I101,"µ")+COUNTIF($E101:I101,1)-1,INDEX(Roadmap!$D:$K,MATCH($E101,Roadmap!$D:$D,0)-1+COUNTIF($E101:I101,"u")+COUNTIF($E101:I101,"t")+COUNTIF($E101:I101,"¶")+COUNTIF($E101:I101,"²")+COUNTIF($E101:I101,"µ")+COUNTIF($E101:I101,1),ColDescriptionCourte)),""),
  "")),"")</f>
        <v/>
      </c>
      <c r="K101" s="40" t="str">
        <f ca="1">IFERROR(IF(AND(
  INDEX(Roadmap!$D:$K,MATCH($E101,Roadmap!$D:$D,0)+COUNTIF($E101:J101,"u")+COUNTIF($E101:J101,"t")+COUNTIF($E101:J101,"¶")+COUNTIF($E101:J101,"²")+COUNTIF($E101:J101,"µ")+COUNTIF($E101:J101,1),ColLivraison)=K$6,
  VLOOKUP($E101,INDIRECT("tri!"&amp; CHAR(64+ C0Col) &amp;":"&amp; CHAR(65+C0Col)),2,FALSE)&gt;COUNTIF($E101:J101,"u")+COUNTIF($E101:J101,"t")+COUNTIF($E101:J101,"¶")+COUNTIF($E101:J101,"²")+COUNTIF($E101:J101,"µ")+COUNTIF($E101:J101,1)),
HYPERLINK("#Roadmap!C"&amp; MATCH($E101,Roadmap!$D:$D,0)+COUNTIF($E101:J101,"u")+COUNTIF($E101:J101,"t"),
     INDEX(Roadmap!$D:$K,MATCH($E101,Roadmap!$D:$D,0)+COUNTIF($E101:J101,"u")+COUNTIF($E101:J101,"t")+COUNTIF($E101:J101,"¶")+COUNTIF($E101:J101,"²")+COUNTIF($E101:J101,"µ")+COUNTIF($E101:J101,1),ColTypeEcheance)),
  IF(LEN(J101)=1,
  IF(LEN(INDEX(Roadmap!$D:$K,MATCH($E101,Roadmap!$D:$D,0)-1+COUNTIF($E101:J101,"u")+COUNTIF($E101:J101,"t")+COUNTIF($E101:J101,"¶")+COUNTIF($E101:J101,"²")+COUNTIF($E101:J101,"µ")+COUNTIF($E101:J101,1),ColDescriptionCourte))&gt;1,
HYPERLINK("#Roadmap!C"&amp; MATCH($E101,Roadmap!$D:$D,0)+COUNTIF($E101:J101,"u")+COUNTIF($E101:J101,"t")+COUNTIF($E101:J101,"¶")+COUNTIF($E101:J101,"²")+COUNTIF($E101:J101,"µ")+COUNTIF($E101:J101,1)-1,INDEX(Roadmap!$D:$K,MATCH($E101,Roadmap!$D:$D,0)-1+COUNTIF($E101:J101,"u")+COUNTIF($E101:J101,"t")+COUNTIF($E101:J101,"¶")+COUNTIF($E101:J101,"²")+COUNTIF($E101:J101,"µ")+COUNTIF($E101:J101,1),ColDescriptionCourte)),""),
  "")),"")</f>
        <v/>
      </c>
      <c r="L101" s="39" t="str">
        <f ca="1">IFERROR(IF(AND(
  INDEX(Roadmap!$D:$K,MATCH($E101,Roadmap!$D:$D,0)+COUNTIF($E101:K101,"u")+COUNTIF($E101:K101,"t")+COUNTIF($E101:K101,"¶")+COUNTIF($E101:K101,"²")+COUNTIF($E101:K101,"µ")+COUNTIF($E101:K101,1),ColLivraison)=L$6,
  VLOOKUP($E101,INDIRECT("tri!"&amp; CHAR(64+ C0Col) &amp;":"&amp; CHAR(65+C0Col)),2,FALSE)&gt;COUNTIF($E101:K101,"u")+COUNTIF($E101:K101,"t")+COUNTIF($E101:K101,"¶")+COUNTIF($E101:K101,"²")+COUNTIF($E101:K101,"µ")+COUNTIF($E101:K101,1)),
HYPERLINK("#Roadmap!C"&amp; MATCH($E101,Roadmap!$D:$D,0)+COUNTIF($E101:K101,"u")+COUNTIF($E101:K101,"t"),
     INDEX(Roadmap!$D:$K,MATCH($E101,Roadmap!$D:$D,0)+COUNTIF($E101:K101,"u")+COUNTIF($E101:K101,"t")+COUNTIF($E101:K101,"¶")+COUNTIF($E101:K101,"²")+COUNTIF($E101:K101,"µ")+COUNTIF($E101:K101,1),ColTypeEcheance)),
  IF(LEN(K101)=1,
  IF(LEN(INDEX(Roadmap!$D:$K,MATCH($E101,Roadmap!$D:$D,0)-1+COUNTIF($E101:K101,"u")+COUNTIF($E101:K101,"t")+COUNTIF($E101:K101,"¶")+COUNTIF($E101:K101,"²")+COUNTIF($E101:K101,"µ")+COUNTIF($E101:K101,1),ColDescriptionCourte))&gt;1,
HYPERLINK("#Roadmap!C"&amp; MATCH($E101,Roadmap!$D:$D,0)+COUNTIF($E101:K101,"u")+COUNTIF($E101:K101,"t")+COUNTIF($E101:K101,"¶")+COUNTIF($E101:K101,"²")+COUNTIF($E101:K101,"µ")+COUNTIF($E101:K101,1)-1,INDEX(Roadmap!$D:$K,MATCH($E101,Roadmap!$D:$D,0)-1+COUNTIF($E101:K101,"u")+COUNTIF($E101:K101,"t")+COUNTIF($E101:K101,"¶")+COUNTIF($E101:K101,"²")+COUNTIF($E101:K101,"µ")+COUNTIF($E101:K101,1),ColDescriptionCourte)),""),
  "")),"")</f>
        <v/>
      </c>
      <c r="M101" s="40" t="str">
        <f ca="1">IFERROR(IF(AND(
  INDEX(Roadmap!$D:$K,MATCH($E101,Roadmap!$D:$D,0)+COUNTIF($E101:L101,"u")+COUNTIF($E101:L101,"t")+COUNTIF($E101:L101,"¶")+COUNTIF($E101:L101,"²")+COUNTIF($E101:L101,"µ")+COUNTIF($E101:L101,1),ColLivraison)=M$6,
  VLOOKUP($E101,INDIRECT("tri!"&amp; CHAR(64+ C0Col) &amp;":"&amp; CHAR(65+C0Col)),2,FALSE)&gt;COUNTIF($E101:L101,"u")+COUNTIF($E101:L101,"t")+COUNTIF($E101:L101,"¶")+COUNTIF($E101:L101,"²")+COUNTIF($E101:L101,"µ")+COUNTIF($E101:L101,1)),
HYPERLINK("#Roadmap!C"&amp; MATCH($E101,Roadmap!$D:$D,0)+COUNTIF($E101:L101,"u")+COUNTIF($E101:L101,"t"),
     INDEX(Roadmap!$D:$K,MATCH($E101,Roadmap!$D:$D,0)+COUNTIF($E101:L101,"u")+COUNTIF($E101:L101,"t")+COUNTIF($E101:L101,"¶")+COUNTIF($E101:L101,"²")+COUNTIF($E101:L101,"µ")+COUNTIF($E101:L101,1),ColTypeEcheance)),
  IF(LEN(L101)=1,
  IF(LEN(INDEX(Roadmap!$D:$K,MATCH($E101,Roadmap!$D:$D,0)-1+COUNTIF($E101:L101,"u")+COUNTIF($E101:L101,"t")+COUNTIF($E101:L101,"¶")+COUNTIF($E101:L101,"²")+COUNTIF($E101:L101,"µ")+COUNTIF($E101:L101,1),ColDescriptionCourte))&gt;1,
HYPERLINK("#Roadmap!C"&amp; MATCH($E101,Roadmap!$D:$D,0)+COUNTIF($E101:L101,"u")+COUNTIF($E101:L101,"t")+COUNTIF($E101:L101,"¶")+COUNTIF($E101:L101,"²")+COUNTIF($E101:L101,"µ")+COUNTIF($E101:L101,1)-1,INDEX(Roadmap!$D:$K,MATCH($E101,Roadmap!$D:$D,0)-1+COUNTIF($E101:L101,"u")+COUNTIF($E101:L101,"t")+COUNTIF($E101:L101,"¶")+COUNTIF($E101:L101,"²")+COUNTIF($E101:L101,"µ")+COUNTIF($E101:L101,1),ColDescriptionCourte)),""),
  "")),"")</f>
        <v/>
      </c>
      <c r="N101" s="40" t="str">
        <f ca="1">IFERROR(IF(AND(
  INDEX(Roadmap!$D:$K,MATCH($E101,Roadmap!$D:$D,0)+COUNTIF($E101:M101,"u")+COUNTIF($E101:M101,"t")+COUNTIF($E101:M101,"¶")+COUNTIF($E101:M101,"²")+COUNTIF($E101:M101,"µ")+COUNTIF($E101:M101,1),ColLivraison)=N$6,
  VLOOKUP($E101,INDIRECT("tri!"&amp; CHAR(64+ C0Col) &amp;":"&amp; CHAR(65+C0Col)),2,FALSE)&gt;COUNTIF($E101:M101,"u")+COUNTIF($E101:M101,"t")+COUNTIF($E101:M101,"¶")+COUNTIF($E101:M101,"²")+COUNTIF($E101:M101,"µ")+COUNTIF($E101:M101,1)),
HYPERLINK("#Roadmap!C"&amp; MATCH($E101,Roadmap!$D:$D,0)+COUNTIF($E101:M101,"u")+COUNTIF($E101:M101,"t"),
     INDEX(Roadmap!$D:$K,MATCH($E101,Roadmap!$D:$D,0)+COUNTIF($E101:M101,"u")+COUNTIF($E101:M101,"t")+COUNTIF($E101:M101,"¶")+COUNTIF($E101:M101,"²")+COUNTIF($E101:M101,"µ")+COUNTIF($E101:M101,1),ColTypeEcheance)),
  IF(LEN(M101)=1,
  IF(LEN(INDEX(Roadmap!$D:$K,MATCH($E101,Roadmap!$D:$D,0)-1+COUNTIF($E101:M101,"u")+COUNTIF($E101:M101,"t")+COUNTIF($E101:M101,"¶")+COUNTIF($E101:M101,"²")+COUNTIF($E101:M101,"µ")+COUNTIF($E101:M101,1),ColDescriptionCourte))&gt;1,
HYPERLINK("#Roadmap!C"&amp; MATCH($E101,Roadmap!$D:$D,0)+COUNTIF($E101:M101,"u")+COUNTIF($E101:M101,"t")+COUNTIF($E101:M101,"¶")+COUNTIF($E101:M101,"²")+COUNTIF($E101:M101,"µ")+COUNTIF($E101:M101,1)-1,INDEX(Roadmap!$D:$K,MATCH($E101,Roadmap!$D:$D,0)-1+COUNTIF($E101:M101,"u")+COUNTIF($E101:M101,"t")+COUNTIF($E101:M101,"¶")+COUNTIF($E101:M101,"²")+COUNTIF($E101:M101,"µ")+COUNTIF($E101:M101,1),ColDescriptionCourte)),""),
  "")),"")</f>
        <v/>
      </c>
      <c r="O101" s="40" t="str">
        <f ca="1">IFERROR(IF(AND(
  INDEX(Roadmap!$D:$K,MATCH($E101,Roadmap!$D:$D,0)+COUNTIF($E101:N101,"u")+COUNTIF($E101:N101,"t")+COUNTIF($E101:N101,"¶")+COUNTIF($E101:N101,"²")+COUNTIF($E101:N101,"µ")+COUNTIF($E101:N101,1),ColLivraison)=O$6,
  VLOOKUP($E101,INDIRECT("tri!"&amp; CHAR(64+ C0Col) &amp;":"&amp; CHAR(65+C0Col)),2,FALSE)&gt;COUNTIF($E101:N101,"u")+COUNTIF($E101:N101,"t")+COUNTIF($E101:N101,"¶")+COUNTIF($E101:N101,"²")+COUNTIF($E101:N101,"µ")+COUNTIF($E101:N101,1)),
HYPERLINK("#Roadmap!C"&amp; MATCH($E101,Roadmap!$D:$D,0)+COUNTIF($E101:N101,"u")+COUNTIF($E101:N101,"t"),
     INDEX(Roadmap!$D:$K,MATCH($E101,Roadmap!$D:$D,0)+COUNTIF($E101:N101,"u")+COUNTIF($E101:N101,"t")+COUNTIF($E101:N101,"¶")+COUNTIF($E101:N101,"²")+COUNTIF($E101:N101,"µ")+COUNTIF($E101:N101,1),ColTypeEcheance)),
  IF(LEN(N101)=1,
  IF(LEN(INDEX(Roadmap!$D:$K,MATCH($E101,Roadmap!$D:$D,0)-1+COUNTIF($E101:N101,"u")+COUNTIF($E101:N101,"t")+COUNTIF($E101:N101,"¶")+COUNTIF($E101:N101,"²")+COUNTIF($E101:N101,"µ")+COUNTIF($E101:N101,1),ColDescriptionCourte))&gt;1,
HYPERLINK("#Roadmap!C"&amp; MATCH($E101,Roadmap!$D:$D,0)+COUNTIF($E101:N101,"u")+COUNTIF($E101:N101,"t")+COUNTIF($E101:N101,"¶")+COUNTIF($E101:N101,"²")+COUNTIF($E101:N101,"µ")+COUNTIF($E101:N101,1)-1,INDEX(Roadmap!$D:$K,MATCH($E101,Roadmap!$D:$D,0)-1+COUNTIF($E101:N101,"u")+COUNTIF($E101:N101,"t")+COUNTIF($E101:N101,"¶")+COUNTIF($E101:N101,"²")+COUNTIF($E101:N101,"µ")+COUNTIF($E101:N101,1),ColDescriptionCourte)),""),
  "")),"")</f>
        <v/>
      </c>
      <c r="P101" s="40" t="str">
        <f ca="1">IFERROR(IF(AND(
  INDEX(Roadmap!$D:$K,MATCH($E101,Roadmap!$D:$D,0)+COUNTIF($E101:O101,"u")+COUNTIF($E101:O101,"t")+COUNTIF($E101:O101,"¶")+COUNTIF($E101:O101,"²")+COUNTIF($E101:O101,"µ")+COUNTIF($E101:O101,1),ColLivraison)=P$6,
  VLOOKUP($E101,INDIRECT("tri!"&amp; CHAR(64+ C0Col) &amp;":"&amp; CHAR(65+C0Col)),2,FALSE)&gt;COUNTIF($E101:O101,"u")+COUNTIF($E101:O101,"t")+COUNTIF($E101:O101,"¶")+COUNTIF($E101:O101,"²")+COUNTIF($E101:O101,"µ")+COUNTIF($E101:O101,1)),
HYPERLINK("#Roadmap!C"&amp; MATCH($E101,Roadmap!$D:$D,0)+COUNTIF($E101:O101,"u")+COUNTIF($E101:O101,"t"),
     INDEX(Roadmap!$D:$K,MATCH($E101,Roadmap!$D:$D,0)+COUNTIF($E101:O101,"u")+COUNTIF($E101:O101,"t")+COUNTIF($E101:O101,"¶")+COUNTIF($E101:O101,"²")+COUNTIF($E101:O101,"µ")+COUNTIF($E101:O101,1),ColTypeEcheance)),
  IF(LEN(O101)=1,
  IF(LEN(INDEX(Roadmap!$D:$K,MATCH($E101,Roadmap!$D:$D,0)-1+COUNTIF($E101:O101,"u")+COUNTIF($E101:O101,"t")+COUNTIF($E101:O101,"¶")+COUNTIF($E101:O101,"²")+COUNTIF($E101:O101,"µ")+COUNTIF($E101:O101,1),ColDescriptionCourte))&gt;1,
HYPERLINK("#Roadmap!C"&amp; MATCH($E101,Roadmap!$D:$D,0)+COUNTIF($E101:O101,"u")+COUNTIF($E101:O101,"t")+COUNTIF($E101:O101,"¶")+COUNTIF($E101:O101,"²")+COUNTIF($E101:O101,"µ")+COUNTIF($E101:O101,1)-1,INDEX(Roadmap!$D:$K,MATCH($E101,Roadmap!$D:$D,0)-1+COUNTIF($E101:O101,"u")+COUNTIF($E101:O101,"t")+COUNTIF($E101:O101,"¶")+COUNTIF($E101:O101,"²")+COUNTIF($E101:O101,"µ")+COUNTIF($E101:O101,1),ColDescriptionCourte)),""),
  "")),"")</f>
        <v/>
      </c>
      <c r="Q101" s="40" t="str">
        <f ca="1">IFERROR(IF(AND(
  INDEX(Roadmap!$D:$K,MATCH($E101,Roadmap!$D:$D,0)+COUNTIF($E101:P101,"u")+COUNTIF($E101:P101,"t")+COUNTIF($E101:P101,"¶")+COUNTIF($E101:P101,"²")+COUNTIF($E101:P101,"µ")+COUNTIF($E101:P101,1),ColLivraison)=Q$6,
  VLOOKUP($E101,INDIRECT("tri!"&amp; CHAR(64+ C0Col) &amp;":"&amp; CHAR(65+C0Col)),2,FALSE)&gt;COUNTIF($E101:P101,"u")+COUNTIF($E101:P101,"t")+COUNTIF($E101:P101,"¶")+COUNTIF($E101:P101,"²")+COUNTIF($E101:P101,"µ")+COUNTIF($E101:P101,1)),
HYPERLINK("#Roadmap!C"&amp; MATCH($E101,Roadmap!$D:$D,0)+COUNTIF($E101:P101,"u")+COUNTIF($E101:P101,"t"),
     INDEX(Roadmap!$D:$K,MATCH($E101,Roadmap!$D:$D,0)+COUNTIF($E101:P101,"u")+COUNTIF($E101:P101,"t")+COUNTIF($E101:P101,"¶")+COUNTIF($E101:P101,"²")+COUNTIF($E101:P101,"µ")+COUNTIF($E101:P101,1),ColTypeEcheance)),
  IF(LEN(P101)=1,
  IF(LEN(INDEX(Roadmap!$D:$K,MATCH($E101,Roadmap!$D:$D,0)-1+COUNTIF($E101:P101,"u")+COUNTIF($E101:P101,"t")+COUNTIF($E101:P101,"¶")+COUNTIF($E101:P101,"²")+COUNTIF($E101:P101,"µ")+COUNTIF($E101:P101,1),ColDescriptionCourte))&gt;1,
HYPERLINK("#Roadmap!C"&amp; MATCH($E101,Roadmap!$D:$D,0)+COUNTIF($E101:P101,"u")+COUNTIF($E101:P101,"t")+COUNTIF($E101:P101,"¶")+COUNTIF($E101:P101,"²")+COUNTIF($E101:P101,"µ")+COUNTIF($E101:P101,1)-1,INDEX(Roadmap!$D:$K,MATCH($E101,Roadmap!$D:$D,0)-1+COUNTIF($E101:P101,"u")+COUNTIF($E101:P101,"t")+COUNTIF($E101:P101,"¶")+COUNTIF($E101:P101,"²")+COUNTIF($E101:P101,"µ")+COUNTIF($E101:P101,1),ColDescriptionCourte)),""),
  "")),"")</f>
        <v/>
      </c>
      <c r="R101" s="40" t="str">
        <f ca="1">IFERROR(IF(AND(
  INDEX(Roadmap!$D:$K,MATCH($E101,Roadmap!$D:$D,0)+COUNTIF($E101:Q101,"u")+COUNTIF($E101:Q101,"t")+COUNTIF($E101:Q101,"¶")+COUNTIF($E101:Q101,"²")+COUNTIF($E101:Q101,"µ")+COUNTIF($E101:Q101,1),ColLivraison)=R$6,
  VLOOKUP($E101,INDIRECT("tri!"&amp; CHAR(64+ C0Col) &amp;":"&amp; CHAR(65+C0Col)),2,FALSE)&gt;COUNTIF($E101:Q101,"u")+COUNTIF($E101:Q101,"t")+COUNTIF($E101:Q101,"¶")+COUNTIF($E101:Q101,"²")+COUNTIF($E101:Q101,"µ")+COUNTIF($E101:Q101,1)),
HYPERLINK("#Roadmap!C"&amp; MATCH($E101,Roadmap!$D:$D,0)+COUNTIF($E101:Q101,"u")+COUNTIF($E101:Q101,"t"),
     INDEX(Roadmap!$D:$K,MATCH($E101,Roadmap!$D:$D,0)+COUNTIF($E101:Q101,"u")+COUNTIF($E101:Q101,"t")+COUNTIF($E101:Q101,"¶")+COUNTIF($E101:Q101,"²")+COUNTIF($E101:Q101,"µ")+COUNTIF($E101:Q101,1),ColTypeEcheance)),
  IF(LEN(Q101)=1,
  IF(LEN(INDEX(Roadmap!$D:$K,MATCH($E101,Roadmap!$D:$D,0)-1+COUNTIF($E101:Q101,"u")+COUNTIF($E101:Q101,"t")+COUNTIF($E101:Q101,"¶")+COUNTIF($E101:Q101,"²")+COUNTIF($E101:Q101,"µ")+COUNTIF($E101:Q101,1),ColDescriptionCourte))&gt;1,
HYPERLINK("#Roadmap!C"&amp; MATCH($E101,Roadmap!$D:$D,0)+COUNTIF($E101:Q101,"u")+COUNTIF($E101:Q101,"t")+COUNTIF($E101:Q101,"¶")+COUNTIF($E101:Q101,"²")+COUNTIF($E101:Q101,"µ")+COUNTIF($E101:Q101,1)-1,INDEX(Roadmap!$D:$K,MATCH($E101,Roadmap!$D:$D,0)-1+COUNTIF($E101:Q101,"u")+COUNTIF($E101:Q101,"t")+COUNTIF($E101:Q101,"¶")+COUNTIF($E101:Q101,"²")+COUNTIF($E101:Q101,"µ")+COUNTIF($E101:Q101,1),ColDescriptionCourte)),""),
  "")),"")</f>
        <v/>
      </c>
      <c r="S101" s="40" t="str">
        <f ca="1">IFERROR(IF(AND(
  INDEX(Roadmap!$D:$K,MATCH($E101,Roadmap!$D:$D,0)+COUNTIF($E101:R101,"u")+COUNTIF($E101:R101,"t")+COUNTIF($E101:R101,"¶")+COUNTIF($E101:R101,"²")+COUNTIF($E101:R101,"µ")+COUNTIF($E101:R101,1),ColLivraison)=S$6,
  VLOOKUP($E101,INDIRECT("tri!"&amp; CHAR(64+ C0Col) &amp;":"&amp; CHAR(65+C0Col)),2,FALSE)&gt;COUNTIF($E101:R101,"u")+COUNTIF($E101:R101,"t")+COUNTIF($E101:R101,"¶")+COUNTIF($E101:R101,"²")+COUNTIF($E101:R101,"µ")+COUNTIF($E101:R101,1)),
HYPERLINK("#Roadmap!C"&amp; MATCH($E101,Roadmap!$D:$D,0)+COUNTIF($E101:R101,"u")+COUNTIF($E101:R101,"t"),
     INDEX(Roadmap!$D:$K,MATCH($E101,Roadmap!$D:$D,0)+COUNTIF($E101:R101,"u")+COUNTIF($E101:R101,"t")+COUNTIF($E101:R101,"¶")+COUNTIF($E101:R101,"²")+COUNTIF($E101:R101,"µ")+COUNTIF($E101:R101,1),ColTypeEcheance)),
  IF(LEN(R101)=1,
  IF(LEN(INDEX(Roadmap!$D:$K,MATCH($E101,Roadmap!$D:$D,0)-1+COUNTIF($E101:R101,"u")+COUNTIF($E101:R101,"t")+COUNTIF($E101:R101,"¶")+COUNTIF($E101:R101,"²")+COUNTIF($E101:R101,"µ")+COUNTIF($E101:R101,1),ColDescriptionCourte))&gt;1,
HYPERLINK("#Roadmap!C"&amp; MATCH($E101,Roadmap!$D:$D,0)+COUNTIF($E101:R101,"u")+COUNTIF($E101:R101,"t")+COUNTIF($E101:R101,"¶")+COUNTIF($E101:R101,"²")+COUNTIF($E101:R101,"µ")+COUNTIF($E101:R101,1)-1,INDEX(Roadmap!$D:$K,MATCH($E101,Roadmap!$D:$D,0)-1+COUNTIF($E101:R101,"u")+COUNTIF($E101:R101,"t")+COUNTIF($E101:R101,"¶")+COUNTIF($E101:R101,"²")+COUNTIF($E101:R101,"µ")+COUNTIF($E101:R101,1),ColDescriptionCourte)),""),
  "")),"")</f>
        <v/>
      </c>
      <c r="T101" s="40" t="str">
        <f ca="1">IFERROR(IF(AND(
  INDEX(Roadmap!$D:$K,MATCH($E101,Roadmap!$D:$D,0)+COUNTIF($E101:S101,"u")+COUNTIF($E101:S101,"t")+COUNTIF($E101:S101,"¶")+COUNTIF($E101:S101,"²")+COUNTIF($E101:S101,"µ")+COUNTIF($E101:S101,1),ColLivraison)=T$6,
  VLOOKUP($E101,INDIRECT("tri!"&amp; CHAR(64+ C0Col) &amp;":"&amp; CHAR(65+C0Col)),2,FALSE)&gt;COUNTIF($E101:S101,"u")+COUNTIF($E101:S101,"t")+COUNTIF($E101:S101,"¶")+COUNTIF($E101:S101,"²")+COUNTIF($E101:S101,"µ")+COUNTIF($E101:S101,1)),
HYPERLINK("#Roadmap!C"&amp; MATCH($E101,Roadmap!$D:$D,0)+COUNTIF($E101:S101,"u")+COUNTIF($E101:S101,"t"),
     INDEX(Roadmap!$D:$K,MATCH($E101,Roadmap!$D:$D,0)+COUNTIF($E101:S101,"u")+COUNTIF($E101:S101,"t")+COUNTIF($E101:S101,"¶")+COUNTIF($E101:S101,"²")+COUNTIF($E101:S101,"µ")+COUNTIF($E101:S101,1),ColTypeEcheance)),
  IF(LEN(S101)=1,
  IF(LEN(INDEX(Roadmap!$D:$K,MATCH($E101,Roadmap!$D:$D,0)-1+COUNTIF($E101:S101,"u")+COUNTIF($E101:S101,"t")+COUNTIF($E101:S101,"¶")+COUNTIF($E101:S101,"²")+COUNTIF($E101:S101,"µ")+COUNTIF($E101:S101,1),ColDescriptionCourte))&gt;1,
HYPERLINK("#Roadmap!C"&amp; MATCH($E101,Roadmap!$D:$D,0)+COUNTIF($E101:S101,"u")+COUNTIF($E101:S101,"t")+COUNTIF($E101:S101,"¶")+COUNTIF($E101:S101,"²")+COUNTIF($E101:S101,"µ")+COUNTIF($E101:S101,1)-1,INDEX(Roadmap!$D:$K,MATCH($E101,Roadmap!$D:$D,0)-1+COUNTIF($E101:S101,"u")+COUNTIF($E101:S101,"t")+COUNTIF($E101:S101,"¶")+COUNTIF($E101:S101,"²")+COUNTIF($E101:S101,"µ")+COUNTIF($E101:S101,1),ColDescriptionCourte)),""),
  "")),"")</f>
        <v/>
      </c>
      <c r="U101" s="40" t="str">
        <f ca="1">IFERROR(IF(AND(
  INDEX(Roadmap!$D:$K,MATCH($E101,Roadmap!$D:$D,0)+COUNTIF($E101:T101,"u")+COUNTIF($E101:T101,"t")+COUNTIF($E101:T101,"¶")+COUNTIF($E101:T101,"²")+COUNTIF($E101:T101,"µ")+COUNTIF($E101:T101,1),ColLivraison)=U$6,
  VLOOKUP($E101,INDIRECT("tri!"&amp; CHAR(64+ C0Col) &amp;":"&amp; CHAR(65+C0Col)),2,FALSE)&gt;COUNTIF($E101:T101,"u")+COUNTIF($E101:T101,"t")+COUNTIF($E101:T101,"¶")+COUNTIF($E101:T101,"²")+COUNTIF($E101:T101,"µ")+COUNTIF($E101:T101,1)),
HYPERLINK("#Roadmap!C"&amp; MATCH($E101,Roadmap!$D:$D,0)+COUNTIF($E101:T101,"u")+COUNTIF($E101:T101,"t"),
     INDEX(Roadmap!$D:$K,MATCH($E101,Roadmap!$D:$D,0)+COUNTIF($E101:T101,"u")+COUNTIF($E101:T101,"t")+COUNTIF($E101:T101,"¶")+COUNTIF($E101:T101,"²")+COUNTIF($E101:T101,"µ")+COUNTIF($E101:T101,1),ColTypeEcheance)),
  IF(LEN(T101)=1,
  IF(LEN(INDEX(Roadmap!$D:$K,MATCH($E101,Roadmap!$D:$D,0)-1+COUNTIF($E101:T101,"u")+COUNTIF($E101:T101,"t")+COUNTIF($E101:T101,"¶")+COUNTIF($E101:T101,"²")+COUNTIF($E101:T101,"µ")+COUNTIF($E101:T101,1),ColDescriptionCourte))&gt;1,
HYPERLINK("#Roadmap!C"&amp; MATCH($E101,Roadmap!$D:$D,0)+COUNTIF($E101:T101,"u")+COUNTIF($E101:T101,"t")+COUNTIF($E101:T101,"¶")+COUNTIF($E101:T101,"²")+COUNTIF($E101:T101,"µ")+COUNTIF($E101:T101,1)-1,INDEX(Roadmap!$D:$K,MATCH($E101,Roadmap!$D:$D,0)-1+COUNTIF($E101:T101,"u")+COUNTIF($E101:T101,"t")+COUNTIF($E101:T101,"¶")+COUNTIF($E101:T101,"²")+COUNTIF($E101:T101,"µ")+COUNTIF($E101:T101,1),ColDescriptionCourte)),""),
  "")),"")</f>
        <v/>
      </c>
      <c r="V101" s="40" t="str">
        <f ca="1">IFERROR(IF(AND(
  INDEX(Roadmap!$D:$K,MATCH($E101,Roadmap!$D:$D,0)+COUNTIF($E101:U101,"u")+COUNTIF($E101:U101,"t")+COUNTIF($E101:U101,"¶")+COUNTIF($E101:U101,"²")+COUNTIF($E101:U101,"µ")+COUNTIF($E101:U101,1),ColLivraison)=V$6,
  VLOOKUP($E101,INDIRECT("tri!"&amp; CHAR(64+ C0Col) &amp;":"&amp; CHAR(65+C0Col)),2,FALSE)&gt;COUNTIF($E101:U101,"u")+COUNTIF($E101:U101,"t")+COUNTIF($E101:U101,"¶")+COUNTIF($E101:U101,"²")+COUNTIF($E101:U101,"µ")+COUNTIF($E101:U101,1)),
HYPERLINK("#Roadmap!C"&amp; MATCH($E101,Roadmap!$D:$D,0)+COUNTIF($E101:U101,"u")+COUNTIF($E101:U101,"t"),
     INDEX(Roadmap!$D:$K,MATCH($E101,Roadmap!$D:$D,0)+COUNTIF($E101:U101,"u")+COUNTIF($E101:U101,"t")+COUNTIF($E101:U101,"¶")+COUNTIF($E101:U101,"²")+COUNTIF($E101:U101,"µ")+COUNTIF($E101:U101,1),ColTypeEcheance)),
  IF(LEN(U101)=1,
  IF(LEN(INDEX(Roadmap!$D:$K,MATCH($E101,Roadmap!$D:$D,0)-1+COUNTIF($E101:U101,"u")+COUNTIF($E101:U101,"t")+COUNTIF($E101:U101,"¶")+COUNTIF($E101:U101,"²")+COUNTIF($E101:U101,"µ")+COUNTIF($E101:U101,1),ColDescriptionCourte))&gt;1,
HYPERLINK("#Roadmap!C"&amp; MATCH($E101,Roadmap!$D:$D,0)+COUNTIF($E101:U101,"u")+COUNTIF($E101:U101,"t")+COUNTIF($E101:U101,"¶")+COUNTIF($E101:U101,"²")+COUNTIF($E101:U101,"µ")+COUNTIF($E101:U101,1)-1,INDEX(Roadmap!$D:$K,MATCH($E101,Roadmap!$D:$D,0)-1+COUNTIF($E101:U101,"u")+COUNTIF($E101:U101,"t")+COUNTIF($E101:U101,"¶")+COUNTIF($E101:U101,"²")+COUNTIF($E101:U101,"µ")+COUNTIF($E101:U101,1),ColDescriptionCourte)),""),
  "")),"")</f>
        <v/>
      </c>
      <c r="W101" s="40" t="str">
        <f ca="1">IFERROR(IF(AND(
  INDEX(Roadmap!$D:$K,MATCH($E101,Roadmap!$D:$D,0)+COUNTIF($E101:V101,"u")+COUNTIF($E101:V101,"t")+COUNTIF($E101:V101,"¶")+COUNTIF($E101:V101,"²")+COUNTIF($E101:V101,"µ")+COUNTIF($E101:V101,1),ColLivraison)=W$6,
  VLOOKUP($E101,INDIRECT("tri!"&amp; CHAR(64+ C0Col) &amp;":"&amp; CHAR(65+C0Col)),2,FALSE)&gt;COUNTIF($E101:V101,"u")+COUNTIF($E101:V101,"t")+COUNTIF($E101:V101,"¶")+COUNTIF($E101:V101,"²")+COUNTIF($E101:V101,"µ")+COUNTIF($E101:V101,1)),
HYPERLINK("#Roadmap!C"&amp; MATCH($E101,Roadmap!$D:$D,0)+COUNTIF($E101:V101,"u")+COUNTIF($E101:V101,"t"),
     INDEX(Roadmap!$D:$K,MATCH($E101,Roadmap!$D:$D,0)+COUNTIF($E101:V101,"u")+COUNTIF($E101:V101,"t")+COUNTIF($E101:V101,"¶")+COUNTIF($E101:V101,"²")+COUNTIF($E101:V101,"µ")+COUNTIF($E101:V101,1),ColTypeEcheance)),
  IF(LEN(V101)=1,
  IF(LEN(INDEX(Roadmap!$D:$K,MATCH($E101,Roadmap!$D:$D,0)-1+COUNTIF($E101:V101,"u")+COUNTIF($E101:V101,"t")+COUNTIF($E101:V101,"¶")+COUNTIF($E101:V101,"²")+COUNTIF($E101:V101,"µ")+COUNTIF($E101:V101,1),ColDescriptionCourte))&gt;1,
HYPERLINK("#Roadmap!C"&amp; MATCH($E101,Roadmap!$D:$D,0)+COUNTIF($E101:V101,"u")+COUNTIF($E101:V101,"t")+COUNTIF($E101:V101,"¶")+COUNTIF($E101:V101,"²")+COUNTIF($E101:V101,"µ")+COUNTIF($E101:V101,1)-1,INDEX(Roadmap!$D:$K,MATCH($E101,Roadmap!$D:$D,0)-1+COUNTIF($E101:V101,"u")+COUNTIF($E101:V101,"t")+COUNTIF($E101:V101,"¶")+COUNTIF($E101:V101,"²")+COUNTIF($E101:V101,"µ")+COUNTIF($E101:V101,1),ColDescriptionCourte)),""),
  "")),"")</f>
        <v/>
      </c>
      <c r="X101" s="40" t="str">
        <f ca="1">IFERROR(IF(AND(
  INDEX(Roadmap!$D:$K,MATCH($E101,Roadmap!$D:$D,0)+COUNTIF($E101:W101,"u")+COUNTIF($E101:W101,"t")+COUNTIF($E101:W101,"¶")+COUNTIF($E101:W101,"²")+COUNTIF($E101:W101,"µ")+COUNTIF($E101:W101,1),ColLivraison)=X$6,
  VLOOKUP($E101,INDIRECT("tri!"&amp; CHAR(64+ C0Col) &amp;":"&amp; CHAR(65+C0Col)),2,FALSE)&gt;COUNTIF($E101:W101,"u")+COUNTIF($E101:W101,"t")+COUNTIF($E101:W101,"¶")+COUNTIF($E101:W101,"²")+COUNTIF($E101:W101,"µ")+COUNTIF($E101:W101,1)),
HYPERLINK("#Roadmap!C"&amp; MATCH($E101,Roadmap!$D:$D,0)+COUNTIF($E101:W101,"u")+COUNTIF($E101:W101,"t"),
     INDEX(Roadmap!$D:$K,MATCH($E101,Roadmap!$D:$D,0)+COUNTIF($E101:W101,"u")+COUNTIF($E101:W101,"t")+COUNTIF($E101:W101,"¶")+COUNTIF($E101:W101,"²")+COUNTIF($E101:W101,"µ")+COUNTIF($E101:W101,1),ColTypeEcheance)),
  IF(LEN(W101)=1,
  IF(LEN(INDEX(Roadmap!$D:$K,MATCH($E101,Roadmap!$D:$D,0)-1+COUNTIF($E101:W101,"u")+COUNTIF($E101:W101,"t")+COUNTIF($E101:W101,"¶")+COUNTIF($E101:W101,"²")+COUNTIF($E101:W101,"µ")+COUNTIF($E101:W101,1),ColDescriptionCourte))&gt;1,
HYPERLINK("#Roadmap!C"&amp; MATCH($E101,Roadmap!$D:$D,0)+COUNTIF($E101:W101,"u")+COUNTIF($E101:W101,"t")+COUNTIF($E101:W101,"¶")+COUNTIF($E101:W101,"²")+COUNTIF($E101:W101,"µ")+COUNTIF($E101:W101,1)-1,INDEX(Roadmap!$D:$K,MATCH($E101,Roadmap!$D:$D,0)-1+COUNTIF($E101:W101,"u")+COUNTIF($E101:W101,"t")+COUNTIF($E101:W101,"¶")+COUNTIF($E101:W101,"²")+COUNTIF($E101:W101,"µ")+COUNTIF($E101:W101,1),ColDescriptionCourte)),""),
  "")),"")</f>
        <v/>
      </c>
      <c r="Y101" s="40" t="str">
        <f ca="1">IFERROR(IF(AND(
  INDEX(Roadmap!$D:$K,MATCH($E101,Roadmap!$D:$D,0)+COUNTIF($E101:X101,"u")+COUNTIF($E101:X101,"t")+COUNTIF($E101:X101,"¶")+COUNTIF($E101:X101,"²")+COUNTIF($E101:X101,"µ")+COUNTIF($E101:X101,1),ColLivraison)=Y$6,
  VLOOKUP($E101,INDIRECT("tri!"&amp; CHAR(64+ C0Col) &amp;":"&amp; CHAR(65+C0Col)),2,FALSE)&gt;COUNTIF($E101:X101,"u")+COUNTIF($E101:X101,"t")+COUNTIF($E101:X101,"¶")+COUNTIF($E101:X101,"²")+COUNTIF($E101:X101,"µ")+COUNTIF($E101:X101,1)),
HYPERLINK("#Roadmap!C"&amp; MATCH($E101,Roadmap!$D:$D,0)+COUNTIF($E101:X101,"u")+COUNTIF($E101:X101,"t"),
     INDEX(Roadmap!$D:$K,MATCH($E101,Roadmap!$D:$D,0)+COUNTIF($E101:X101,"u")+COUNTIF($E101:X101,"t")+COUNTIF($E101:X101,"¶")+COUNTIF($E101:X101,"²")+COUNTIF($E101:X101,"µ")+COUNTIF($E101:X101,1),ColTypeEcheance)),
  IF(LEN(X101)=1,
  IF(LEN(INDEX(Roadmap!$D:$K,MATCH($E101,Roadmap!$D:$D,0)-1+COUNTIF($E101:X101,"u")+COUNTIF($E101:X101,"t")+COUNTIF($E101:X101,"¶")+COUNTIF($E101:X101,"²")+COUNTIF($E101:X101,"µ")+COUNTIF($E101:X101,1),ColDescriptionCourte))&gt;1,
HYPERLINK("#Roadmap!C"&amp; MATCH($E101,Roadmap!$D:$D,0)+COUNTIF($E101:X101,"u")+COUNTIF($E101:X101,"t")+COUNTIF($E101:X101,"¶")+COUNTIF($E101:X101,"²")+COUNTIF($E101:X101,"µ")+COUNTIF($E101:X101,1)-1,INDEX(Roadmap!$D:$K,MATCH($E101,Roadmap!$D:$D,0)-1+COUNTIF($E101:X101,"u")+COUNTIF($E101:X101,"t")+COUNTIF($E101:X101,"¶")+COUNTIF($E101:X101,"²")+COUNTIF($E101:X101,"µ")+COUNTIF($E101:X101,1),ColDescriptionCourte)),""),
  "")),"")</f>
        <v/>
      </c>
      <c r="Z101" s="40" t="str">
        <f ca="1">IFERROR(IF(AND(
  INDEX(Roadmap!$D:$K,MATCH($E101,Roadmap!$D:$D,0)+COUNTIF($E101:Y101,"u")+COUNTIF($E101:Y101,"t")+COUNTIF($E101:Y101,"¶")+COUNTIF($E101:Y101,"²")+COUNTIF($E101:Y101,"µ")+COUNTIF($E101:Y101,1),ColLivraison)=Z$6,
  VLOOKUP($E101,INDIRECT("tri!"&amp; CHAR(64+ C0Col) &amp;":"&amp; CHAR(65+C0Col)),2,FALSE)&gt;COUNTIF($E101:Y101,"u")+COUNTIF($E101:Y101,"t")+COUNTIF($E101:Y101,"¶")+COUNTIF($E101:Y101,"²")+COUNTIF($E101:Y101,"µ")+COUNTIF($E101:Y101,1)),
HYPERLINK("#Roadmap!C"&amp; MATCH($E101,Roadmap!$D:$D,0)+COUNTIF($E101:Y101,"u")+COUNTIF($E101:Y101,"t"),
     INDEX(Roadmap!$D:$K,MATCH($E101,Roadmap!$D:$D,0)+COUNTIF($E101:Y101,"u")+COUNTIF($E101:Y101,"t")+COUNTIF($E101:Y101,"¶")+COUNTIF($E101:Y101,"²")+COUNTIF($E101:Y101,"µ")+COUNTIF($E101:Y101,1),ColTypeEcheance)),
  IF(LEN(Y101)=1,
  IF(LEN(INDEX(Roadmap!$D:$K,MATCH($E101,Roadmap!$D:$D,0)-1+COUNTIF($E101:Y101,"u")+COUNTIF($E101:Y101,"t")+COUNTIF($E101:Y101,"¶")+COUNTIF($E101:Y101,"²")+COUNTIF($E101:Y101,"µ")+COUNTIF($E101:Y101,1),ColDescriptionCourte))&gt;1,
HYPERLINK("#Roadmap!C"&amp; MATCH($E101,Roadmap!$D:$D,0)+COUNTIF($E101:Y101,"u")+COUNTIF($E101:Y101,"t")+COUNTIF($E101:Y101,"¶")+COUNTIF($E101:Y101,"²")+COUNTIF($E101:Y101,"µ")+COUNTIF($E101:Y101,1)-1,INDEX(Roadmap!$D:$K,MATCH($E101,Roadmap!$D:$D,0)-1+COUNTIF($E101:Y101,"u")+COUNTIF($E101:Y101,"t")+COUNTIF($E101:Y101,"¶")+COUNTIF($E101:Y101,"²")+COUNTIF($E101:Y101,"µ")+COUNTIF($E101:Y101,1),ColDescriptionCourte)),""),
  "")),"")</f>
        <v/>
      </c>
      <c r="AA101" s="40" t="str">
        <f ca="1">IFERROR(IF(AND(
  INDEX(Roadmap!$D:$K,MATCH($E101,Roadmap!$D:$D,0)+COUNTIF($E101:Z101,"u")+COUNTIF($E101:Z101,"t")+COUNTIF($E101:Z101,"¶")+COUNTIF($E101:Z101,"²")+COUNTIF($E101:Z101,"µ")+COUNTIF($E101:Z101,1),ColLivraison)=AA$6,
  VLOOKUP($E101,INDIRECT("tri!"&amp; CHAR(64+ C0Col) &amp;":"&amp; CHAR(65+C0Col)),2,FALSE)&gt;COUNTIF($E101:Z101,"u")+COUNTIF($E101:Z101,"t")+COUNTIF($E101:Z101,"¶")+COUNTIF($E101:Z101,"²")+COUNTIF($E101:Z101,"µ")+COUNTIF($E101:Z101,1)),
HYPERLINK("#Roadmap!C"&amp; MATCH($E101,Roadmap!$D:$D,0)+COUNTIF($E101:Z101,"u")+COUNTIF($E101:Z101,"t"),
     INDEX(Roadmap!$D:$K,MATCH($E101,Roadmap!$D:$D,0)+COUNTIF($E101:Z101,"u")+COUNTIF($E101:Z101,"t")+COUNTIF($E101:Z101,"¶")+COUNTIF($E101:Z101,"²")+COUNTIF($E101:Z101,"µ")+COUNTIF($E101:Z101,1),ColTypeEcheance)),
  IF(LEN(Z101)=1,
  IF(LEN(INDEX(Roadmap!$D:$K,MATCH($E101,Roadmap!$D:$D,0)-1+COUNTIF($E101:Z101,"u")+COUNTIF($E101:Z101,"t")+COUNTIF($E101:Z101,"¶")+COUNTIF($E101:Z101,"²")+COUNTIF($E101:Z101,"µ")+COUNTIF($E101:Z101,1),ColDescriptionCourte))&gt;1,
HYPERLINK("#Roadmap!C"&amp; MATCH($E101,Roadmap!$D:$D,0)+COUNTIF($E101:Z101,"u")+COUNTIF($E101:Z101,"t")+COUNTIF($E101:Z101,"¶")+COUNTIF($E101:Z101,"²")+COUNTIF($E101:Z101,"µ")+COUNTIF($E101:Z101,1)-1,INDEX(Roadmap!$D:$K,MATCH($E101,Roadmap!$D:$D,0)-1+COUNTIF($E101:Z101,"u")+COUNTIF($E101:Z101,"t")+COUNTIF($E101:Z101,"¶")+COUNTIF($E101:Z101,"²")+COUNTIF($E101:Z101,"µ")+COUNTIF($E101:Z101,1),ColDescriptionCourte)),""),
  "")),"")</f>
        <v/>
      </c>
      <c r="AB101" s="40" t="str">
        <f ca="1">IFERROR(IF(AND(
  INDEX(Roadmap!$D:$K,MATCH($E101,Roadmap!$D:$D,0)+COUNTIF($E101:AA101,"u")+COUNTIF($E101:AA101,"t")+COUNTIF($E101:AA101,"¶")+COUNTIF($E101:AA101,"²")+COUNTIF($E101:AA101,"µ")+COUNTIF($E101:AA101,1),ColLivraison)=AB$6,
  VLOOKUP($E101,INDIRECT("tri!"&amp; CHAR(64+ C0Col) &amp;":"&amp; CHAR(65+C0Col)),2,FALSE)&gt;COUNTIF($E101:AA101,"u")+COUNTIF($E101:AA101,"t")+COUNTIF($E101:AA101,"¶")+COUNTIF($E101:AA101,"²")+COUNTIF($E101:AA101,"µ")+COUNTIF($E101:AA101,1)),
HYPERLINK("#Roadmap!C"&amp; MATCH($E101,Roadmap!$D:$D,0)+COUNTIF($E101:AA101,"u")+COUNTIF($E101:AA101,"t"),
     INDEX(Roadmap!$D:$K,MATCH($E101,Roadmap!$D:$D,0)+COUNTIF($E101:AA101,"u")+COUNTIF($E101:AA101,"t")+COUNTIF($E101:AA101,"¶")+COUNTIF($E101:AA101,"²")+COUNTIF($E101:AA101,"µ")+COUNTIF($E101:AA101,1),ColTypeEcheance)),
  IF(LEN(AA101)=1,
  IF(LEN(INDEX(Roadmap!$D:$K,MATCH($E101,Roadmap!$D:$D,0)-1+COUNTIF($E101:AA101,"u")+COUNTIF($E101:AA101,"t")+COUNTIF($E101:AA101,"¶")+COUNTIF($E101:AA101,"²")+COUNTIF($E101:AA101,"µ")+COUNTIF($E101:AA101,1),ColDescriptionCourte))&gt;1,
HYPERLINK("#Roadmap!C"&amp; MATCH($E101,Roadmap!$D:$D,0)+COUNTIF($E101:AA101,"u")+COUNTIF($E101:AA101,"t")+COUNTIF($E101:AA101,"¶")+COUNTIF($E101:AA101,"²")+COUNTIF($E101:AA101,"µ")+COUNTIF($E101:AA101,1)-1,INDEX(Roadmap!$D:$K,MATCH($E101,Roadmap!$D:$D,0)-1+COUNTIF($E101:AA101,"u")+COUNTIF($E101:AA101,"t")+COUNTIF($E101:AA101,"¶")+COUNTIF($E101:AA101,"²")+COUNTIF($E101:AA101,"µ")+COUNTIF($E101:AA101,1),ColDescriptionCourte)),""),
  "")),"")</f>
        <v/>
      </c>
      <c r="AC101" s="40" t="str">
        <f ca="1">IFERROR(IF(AND(
  INDEX(Roadmap!$D:$K,MATCH($E101,Roadmap!$D:$D,0)+COUNTIF($E101:AB101,"u")+COUNTIF($E101:AB101,"t")+COUNTIF($E101:AB101,"¶")+COUNTIF($E101:AB101,"²")+COUNTIF($E101:AB101,"µ")+COUNTIF($E101:AB101,1),ColLivraison)=AC$6,
  VLOOKUP($E101,INDIRECT("tri!"&amp; CHAR(64+ C0Col) &amp;":"&amp; CHAR(65+C0Col)),2,FALSE)&gt;COUNTIF($E101:AB101,"u")+COUNTIF($E101:AB101,"t")+COUNTIF($E101:AB101,"¶")+COUNTIF($E101:AB101,"²")+COUNTIF($E101:AB101,"µ")+COUNTIF($E101:AB101,1)),
HYPERLINK("#Roadmap!C"&amp; MATCH($E101,Roadmap!$D:$D,0)+COUNTIF($E101:AB101,"u")+COUNTIF($E101:AB101,"t"),
     INDEX(Roadmap!$D:$K,MATCH($E101,Roadmap!$D:$D,0)+COUNTIF($E101:AB101,"u")+COUNTIF($E101:AB101,"t")+COUNTIF($E101:AB101,"¶")+COUNTIF($E101:AB101,"²")+COUNTIF($E101:AB101,"µ")+COUNTIF($E101:AB101,1),ColTypeEcheance)),
  IF(LEN(AB101)=1,
  IF(LEN(INDEX(Roadmap!$D:$K,MATCH($E101,Roadmap!$D:$D,0)-1+COUNTIF($E101:AB101,"u")+COUNTIF($E101:AB101,"t")+COUNTIF($E101:AB101,"¶")+COUNTIF($E101:AB101,"²")+COUNTIF($E101:AB101,"µ")+COUNTIF($E101:AB101,1),ColDescriptionCourte))&gt;1,
HYPERLINK("#Roadmap!C"&amp; MATCH($E101,Roadmap!$D:$D,0)+COUNTIF($E101:AB101,"u")+COUNTIF($E101:AB101,"t")+COUNTIF($E101:AB101,"¶")+COUNTIF($E101:AB101,"²")+COUNTIF($E101:AB101,"µ")+COUNTIF($E101:AB101,1)-1,INDEX(Roadmap!$D:$K,MATCH($E101,Roadmap!$D:$D,0)-1+COUNTIF($E101:AB101,"u")+COUNTIF($E101:AB101,"t")+COUNTIF($E101:AB101,"¶")+COUNTIF($E101:AB101,"²")+COUNTIF($E101:AB101,"µ")+COUNTIF($E101:AB101,1),ColDescriptionCourte)),""),
  "")),"")</f>
        <v/>
      </c>
      <c r="AD101" s="40" t="str">
        <f ca="1">IFERROR(IF(AND(
  INDEX(Roadmap!$D:$K,MATCH($E101,Roadmap!$D:$D,0)+COUNTIF($E101:AC101,"u")+COUNTIF($E101:AC101,"t")+COUNTIF($E101:AC101,"¶")+COUNTIF($E101:AC101,"²")+COUNTIF($E101:AC101,"µ")+COUNTIF($E101:AC101,1),ColLivraison)=AD$6,
  VLOOKUP($E101,INDIRECT("tri!"&amp; CHAR(64+ C0Col) &amp;":"&amp; CHAR(65+C0Col)),2,FALSE)&gt;COUNTIF($E101:AC101,"u")+COUNTIF($E101:AC101,"t")+COUNTIF($E101:AC101,"¶")+COUNTIF($E101:AC101,"²")+COUNTIF($E101:AC101,"µ")+COUNTIF($E101:AC101,1)),
HYPERLINK("#Roadmap!C"&amp; MATCH($E101,Roadmap!$D:$D,0)+COUNTIF($E101:AC101,"u")+COUNTIF($E101:AC101,"t"),
     INDEX(Roadmap!$D:$K,MATCH($E101,Roadmap!$D:$D,0)+COUNTIF($E101:AC101,"u")+COUNTIF($E101:AC101,"t")+COUNTIF($E101:AC101,"¶")+COUNTIF($E101:AC101,"²")+COUNTIF($E101:AC101,"µ")+COUNTIF($E101:AC101,1),ColTypeEcheance)),
  IF(LEN(AC101)=1,
  IF(LEN(INDEX(Roadmap!$D:$K,MATCH($E101,Roadmap!$D:$D,0)-1+COUNTIF($E101:AC101,"u")+COUNTIF($E101:AC101,"t")+COUNTIF($E101:AC101,"¶")+COUNTIF($E101:AC101,"²")+COUNTIF($E101:AC101,"µ")+COUNTIF($E101:AC101,1),ColDescriptionCourte))&gt;1,
HYPERLINK("#Roadmap!C"&amp; MATCH($E101,Roadmap!$D:$D,0)+COUNTIF($E101:AC101,"u")+COUNTIF($E101:AC101,"t")+COUNTIF($E101:AC101,"¶")+COUNTIF($E101:AC101,"²")+COUNTIF($E101:AC101,"µ")+COUNTIF($E101:AC101,1)-1,INDEX(Roadmap!$D:$K,MATCH($E101,Roadmap!$D:$D,0)-1+COUNTIF($E101:AC101,"u")+COUNTIF($E101:AC101,"t")+COUNTIF($E101:AC101,"¶")+COUNTIF($E101:AC101,"²")+COUNTIF($E101:AC101,"µ")+COUNTIF($E101:AC101,1),ColDescriptionCourte)),""),
  "")),"")</f>
        <v/>
      </c>
      <c r="AE101" s="40" t="str">
        <f ca="1">IFERROR(IF(AND(
  INDEX(Roadmap!$D:$K,MATCH($E101,Roadmap!$D:$D,0)+COUNTIF($E101:AD101,"u")+COUNTIF($E101:AD101,"t")+COUNTIF($E101:AD101,"¶")+COUNTIF($E101:AD101,"²")+COUNTIF($E101:AD101,"µ")+COUNTIF($E101:AD101,1),ColLivraison)=AE$6,
  VLOOKUP($E101,INDIRECT("tri!"&amp; CHAR(64+ C0Col) &amp;":"&amp; CHAR(65+C0Col)),2,FALSE)&gt;COUNTIF($E101:AD101,"u")+COUNTIF($E101:AD101,"t")+COUNTIF($E101:AD101,"¶")+COUNTIF($E101:AD101,"²")+COUNTIF($E101:AD101,"µ")+COUNTIF($E101:AD101,1)),
HYPERLINK("#Roadmap!C"&amp; MATCH($E101,Roadmap!$D:$D,0)+COUNTIF($E101:AD101,"u")+COUNTIF($E101:AD101,"t"),
     INDEX(Roadmap!$D:$K,MATCH($E101,Roadmap!$D:$D,0)+COUNTIF($E101:AD101,"u")+COUNTIF($E101:AD101,"t")+COUNTIF($E101:AD101,"¶")+COUNTIF($E101:AD101,"²")+COUNTIF($E101:AD101,"µ")+COUNTIF($E101:AD101,1),ColTypeEcheance)),
  IF(LEN(AD101)=1,
  IF(LEN(INDEX(Roadmap!$D:$K,MATCH($E101,Roadmap!$D:$D,0)-1+COUNTIF($E101:AD101,"u")+COUNTIF($E101:AD101,"t")+COUNTIF($E101:AD101,"¶")+COUNTIF($E101:AD101,"²")+COUNTIF($E101:AD101,"µ")+COUNTIF($E101:AD101,1),ColDescriptionCourte))&gt;1,
HYPERLINK("#Roadmap!C"&amp; MATCH($E101,Roadmap!$D:$D,0)+COUNTIF($E101:AD101,"u")+COUNTIF($E101:AD101,"t")+COUNTIF($E101:AD101,"¶")+COUNTIF($E101:AD101,"²")+COUNTIF($E101:AD101,"µ")+COUNTIF($E101:AD101,1)-1,INDEX(Roadmap!$D:$K,MATCH($E101,Roadmap!$D:$D,0)-1+COUNTIF($E101:AD101,"u")+COUNTIF($E101:AD101,"t")+COUNTIF($E101:AD101,"¶")+COUNTIF($E101:AD101,"²")+COUNTIF($E101:AD101,"µ")+COUNTIF($E101:AD101,1),ColDescriptionCourte)),""),
  "")),"")</f>
        <v/>
      </c>
      <c r="AF101" s="40" t="str">
        <f ca="1">IFERROR(IF(AND(
  INDEX(Roadmap!$D:$K,MATCH($E101,Roadmap!$D:$D,0)+COUNTIF($E101:AE101,"u")+COUNTIF($E101:AE101,"t")+COUNTIF($E101:AE101,"¶")+COUNTIF($E101:AE101,"²")+COUNTIF($E101:AE101,"µ")+COUNTIF($E101:AE101,1),ColLivraison)=AF$6,
  VLOOKUP($E101,INDIRECT("tri!"&amp; CHAR(64+ C0Col) &amp;":"&amp; CHAR(65+C0Col)),2,FALSE)&gt;COUNTIF($E101:AE101,"u")+COUNTIF($E101:AE101,"t")+COUNTIF($E101:AE101,"¶")+COUNTIF($E101:AE101,"²")+COUNTIF($E101:AE101,"µ")+COUNTIF($E101:AE101,1)),
HYPERLINK("#Roadmap!C"&amp; MATCH($E101,Roadmap!$D:$D,0)+COUNTIF($E101:AE101,"u")+COUNTIF($E101:AE101,"t"),
     INDEX(Roadmap!$D:$K,MATCH($E101,Roadmap!$D:$D,0)+COUNTIF($E101:AE101,"u")+COUNTIF($E101:AE101,"t")+COUNTIF($E101:AE101,"¶")+COUNTIF($E101:AE101,"²")+COUNTIF($E101:AE101,"µ")+COUNTIF($E101:AE101,1),ColTypeEcheance)),
  IF(LEN(AE101)=1,
  IF(LEN(INDEX(Roadmap!$D:$K,MATCH($E101,Roadmap!$D:$D,0)-1+COUNTIF($E101:AE101,"u")+COUNTIF($E101:AE101,"t")+COUNTIF($E101:AE101,"¶")+COUNTIF($E101:AE101,"²")+COUNTIF($E101:AE101,"µ")+COUNTIF($E101:AE101,1),ColDescriptionCourte))&gt;1,
HYPERLINK("#Roadmap!C"&amp; MATCH($E101,Roadmap!$D:$D,0)+COUNTIF($E101:AE101,"u")+COUNTIF($E101:AE101,"t")+COUNTIF($E101:AE101,"¶")+COUNTIF($E101:AE101,"²")+COUNTIF($E101:AE101,"µ")+COUNTIF($E101:AE101,1)-1,INDEX(Roadmap!$D:$K,MATCH($E101,Roadmap!$D:$D,0)-1+COUNTIF($E101:AE101,"u")+COUNTIF($E101:AE101,"t")+COUNTIF($E101:AE101,"¶")+COUNTIF($E101:AE101,"²")+COUNTIF($E101:AE101,"µ")+COUNTIF($E101:AE101,1),ColDescriptionCourte)),""),
  "")),"")</f>
        <v/>
      </c>
      <c r="AG101" s="40" t="str">
        <f ca="1">IFERROR(IF(AND(
  INDEX(Roadmap!$D:$K,MATCH($E101,Roadmap!$D:$D,0)+COUNTIF($E101:AF101,"u")+COUNTIF($E101:AF101,"t")+COUNTIF($E101:AF101,"¶")+COUNTIF($E101:AF101,"²")+COUNTIF($E101:AF101,"µ")+COUNTIF($E101:AF101,1),ColLivraison)=AG$6,
  VLOOKUP($E101,INDIRECT("tri!"&amp; CHAR(64+ C0Col) &amp;":"&amp; CHAR(65+C0Col)),2,FALSE)&gt;COUNTIF($E101:AF101,"u")+COUNTIF($E101:AF101,"t")+COUNTIF($E101:AF101,"¶")+COUNTIF($E101:AF101,"²")+COUNTIF($E101:AF101,"µ")+COUNTIF($E101:AF101,1)),
HYPERLINK("#Roadmap!C"&amp; MATCH($E101,Roadmap!$D:$D,0)+COUNTIF($E101:AF101,"u")+COUNTIF($E101:AF101,"t"),
     INDEX(Roadmap!$D:$K,MATCH($E101,Roadmap!$D:$D,0)+COUNTIF($E101:AF101,"u")+COUNTIF($E101:AF101,"t")+COUNTIF($E101:AF101,"¶")+COUNTIF($E101:AF101,"²")+COUNTIF($E101:AF101,"µ")+COUNTIF($E101:AF101,1),ColTypeEcheance)),
  IF(LEN(AF101)=1,
  IF(LEN(INDEX(Roadmap!$D:$K,MATCH($E101,Roadmap!$D:$D,0)-1+COUNTIF($E101:AF101,"u")+COUNTIF($E101:AF101,"t")+COUNTIF($E101:AF101,"¶")+COUNTIF($E101:AF101,"²")+COUNTIF($E101:AF101,"µ")+COUNTIF($E101:AF101,1),ColDescriptionCourte))&gt;1,
HYPERLINK("#Roadmap!C"&amp; MATCH($E101,Roadmap!$D:$D,0)+COUNTIF($E101:AF101,"u")+COUNTIF($E101:AF101,"t")+COUNTIF($E101:AF101,"¶")+COUNTIF($E101:AF101,"²")+COUNTIF($E101:AF101,"µ")+COUNTIF($E101:AF101,1)-1,INDEX(Roadmap!$D:$K,MATCH($E101,Roadmap!$D:$D,0)-1+COUNTIF($E101:AF101,"u")+COUNTIF($E101:AF101,"t")+COUNTIF($E101:AF101,"¶")+COUNTIF($E101:AF101,"²")+COUNTIF($E101:AF101,"µ")+COUNTIF($E101:AF101,1),ColDescriptionCourte)),""),
  "")),"")</f>
        <v/>
      </c>
      <c r="AH101" s="40" t="str">
        <f ca="1">IFERROR(IF(AND(
  INDEX(Roadmap!$D:$K,MATCH($E101,Roadmap!$D:$D,0)+COUNTIF($E101:AG101,"u")+COUNTIF($E101:AG101,"t")+COUNTIF($E101:AG101,1),ColLivraison)=AH$6,
  VLOOKUP($E101,INDIRECT("tri!"&amp; CHAR(64+ C0Col) &amp;":"&amp; CHAR(65+C0Col)),2,FALSE)&gt;COUNTIF($E101:AG101,"u")+COUNTIF($E101:AG101,"t")+COUNTIF($E101:AG101,1)),
HYPERLINK("#Roadmap!C"&amp; MATCH($E101,Roadmap!$D:$D,0)+COUNTIF($E101:AG101,"u")+COUNTIF($E101:AG101,"t"),
     INDEX(Roadmap!$D:$K,MATCH($E101,Roadmap!$D:$D,0)+COUNTIF($E101:AG101,"u")+COUNTIF($E101:AG101,"t")+COUNTIF($E101:AG101,1),ColTypeEcheance)),
  IF(OR(AG101="u",AG101="t",AG101=1),
  IF(LEN(INDEX(Roadmap!$D:$K,MATCH($E101,Roadmap!$D:$D,0)-1+COUNTIF($E101:AG101,"u")+COUNTIF($E101:AG101,"t")+COUNTIF($E101:AG101,1),ColDescriptionCourte))&gt;1,
HYPERLINK("#Roadmap!C"&amp; MATCH($E101,Roadmap!$D:$D,0)+COUNTIF($E101:AG101,"u")+COUNTIF($E101:AG101,"t")+COUNTIF($E101:AG101,1)-1,INDEX(Roadmap!$D:$K,MATCH($E101,Roadmap!$D:$D,0)-1+COUNTIF($E101:AG101,"u")+COUNTIF($E101:AG101,"t")+COUNTIF($E101:AG101,1),ColDescriptionCourte)),""),
  "")),"")</f>
        <v/>
      </c>
      <c r="AI101" s="40"/>
      <c r="AJ101" s="40"/>
      <c r="AK101" s="40"/>
      <c r="AL101" s="40"/>
      <c r="AM101" s="40"/>
    </row>
    <row r="102" spans="4:39" ht="14.1" customHeight="1">
      <c r="D102" s="20" t="str">
        <f t="shared" ca="1" si="29"/>
        <v/>
      </c>
      <c r="E102" s="53" t="str">
        <f t="shared" ca="1" si="30"/>
        <v/>
      </c>
      <c r="F102" s="39" t="str">
        <f ca="1">IFERROR(IF(AND(
  INDEX(Roadmap!$D:$K,MATCH($E102,Roadmap!$D:$D,0)+COUNTIF($E102:E102,"u")+COUNTIF($E102:E102,"t")+COUNTIF($E102:E102,"¶")+COUNTIF($E102:E102,"²")+COUNTIF($E102:E102,"µ")+COUNTIF($E102:E102,1),ColLivraison)=F$6,
  VLOOKUP($E102,INDIRECT("tri!"&amp; CHAR(64+ C0Col) &amp;":"&amp; CHAR(65+C0Col)),2,FALSE)&gt;COUNTIF($E102:E102,"u")+COUNTIF($E102:E102,"t")+COUNTIF($E102:E102,"¶")+COUNTIF($E102:E102,"²")+COUNTIF($E102:E102,"µ")+COUNTIF($E102:E102,1)),
HYPERLINK("#Roadmap!C"&amp; MATCH($E102,Roadmap!$D:$D,0)+COUNTIF($E102:E102,"u")+COUNTIF($E102:E102,"t"),
     INDEX(Roadmap!$D:$K,MATCH($E102,Roadmap!$D:$D,0)+COUNTIF($E102:E102,"u")+COUNTIF($E102:E102,"t")+COUNTIF($E102:E102,"¶")+COUNTIF($E102:E102,"²")+COUNTIF($E102:E102,"µ")+COUNTIF($E102:E102,1),ColTypeEcheance)),
  IF(LEN(E102)=1,
  IF(LEN(INDEX(Roadmap!$D:$K,MATCH($E102,Roadmap!$D:$D,0)-1+COUNTIF($E102:E102,"u")+COUNTIF($E102:E102,"t")+COUNTIF($E102:E102,"¶")+COUNTIF($E102:E102,"²")+COUNTIF($E102:E102,"µ")+COUNTIF($E102:E102,1),ColDescriptionCourte))&gt;1,
HYPERLINK("#Roadmap!C"&amp; MATCH($E102,Roadmap!$D:$D,0)+COUNTIF($E102:E102,"u")+COUNTIF($E102:E102,"t")+COUNTIF($E102:E102,"¶")+COUNTIF($E102:E102,"²")+COUNTIF($E102:E102,"µ")+COUNTIF($E102:E102,1)-1,INDEX(Roadmap!$D:$K,MATCH($E102,Roadmap!$D:$D,0)-1+COUNTIF($E102:E102,"u")+COUNTIF($E102:E102,"t")+COUNTIF($E102:E102,"¶")+COUNTIF($E102:E102,"²")+COUNTIF($E102:E102,"µ")+COUNTIF($E102:E102,1),ColDescriptionCourte)),""),
  "")),"")</f>
        <v/>
      </c>
      <c r="G102" s="40" t="str">
        <f ca="1">IFERROR(IF(AND(
  INDEX(Roadmap!$D:$K,MATCH($E102,Roadmap!$D:$D,0)+COUNTIF($E102:F102,"u")+COUNTIF($E102:F102,"t")+COUNTIF($E102:F102,"¶")+COUNTIF($E102:F102,"²")+COUNTIF($E102:F102,"µ")+COUNTIF($E102:F102,1),ColLivraison)=G$6,
  VLOOKUP($E102,INDIRECT("tri!"&amp; CHAR(64+ C0Col) &amp;":"&amp; CHAR(65+C0Col)),2,FALSE)&gt;COUNTIF($E102:F102,"u")+COUNTIF($E102:F102,"t")+COUNTIF($E102:F102,"¶")+COUNTIF($E102:F102,"²")+COUNTIF($E102:F102,"µ")+COUNTIF($E102:F102,1)),
HYPERLINK("#Roadmap!C"&amp; MATCH($E102,Roadmap!$D:$D,0)+COUNTIF($E102:F102,"u")+COUNTIF($E102:F102,"t"),
     INDEX(Roadmap!$D:$K,MATCH($E102,Roadmap!$D:$D,0)+COUNTIF($E102:F102,"u")+COUNTIF($E102:F102,"t")+COUNTIF($E102:F102,"¶")+COUNTIF($E102:F102,"²")+COUNTIF($E102:F102,"µ")+COUNTIF($E102:F102,1),ColTypeEcheance)),
  IF(LEN(F102)=1,
  IF(LEN(INDEX(Roadmap!$D:$K,MATCH($E102,Roadmap!$D:$D,0)-1+COUNTIF($E102:F102,"u")+COUNTIF($E102:F102,"t")+COUNTIF($E102:F102,"¶")+COUNTIF($E102:F102,"²")+COUNTIF($E102:F102,"µ")+COUNTIF($E102:F102,1),ColDescriptionCourte))&gt;1,
HYPERLINK("#Roadmap!C"&amp; MATCH($E102,Roadmap!$D:$D,0)+COUNTIF($E102:F102,"u")+COUNTIF($E102:F102,"t")+COUNTIF($E102:F102,"¶")+COUNTIF($E102:F102,"²")+COUNTIF($E102:F102,"µ")+COUNTIF($E102:F102,1)-1,INDEX(Roadmap!$D:$K,MATCH($E102,Roadmap!$D:$D,0)-1+COUNTIF($E102:F102,"u")+COUNTIF($E102:F102,"t")+COUNTIF($E102:F102,"¶")+COUNTIF($E102:F102,"²")+COUNTIF($E102:F102,"µ")+COUNTIF($E102:F102,1),ColDescriptionCourte)),""),
  "")),"")</f>
        <v/>
      </c>
      <c r="H102" s="40" t="str">
        <f ca="1">IFERROR(IF(AND(
  INDEX(Roadmap!$D:$K,MATCH($E102,Roadmap!$D:$D,0)+COUNTIF($E102:G102,"u")+COUNTIF($E102:G102,"t")+COUNTIF($E102:G102,"¶")+COUNTIF($E102:G102,"²")+COUNTIF($E102:G102,"µ")+COUNTIF($E102:G102,1),ColLivraison)=H$6,
  VLOOKUP($E102,INDIRECT("tri!"&amp; CHAR(64+ C0Col) &amp;":"&amp; CHAR(65+C0Col)),2,FALSE)&gt;COUNTIF($E102:G102,"u")+COUNTIF($E102:G102,"t")+COUNTIF($E102:G102,"¶")+COUNTIF($E102:G102,"²")+COUNTIF($E102:G102,"µ")+COUNTIF($E102:G102,1)),
HYPERLINK("#Roadmap!C"&amp; MATCH($E102,Roadmap!$D:$D,0)+COUNTIF($E102:G102,"u")+COUNTIF($E102:G102,"t"),
     INDEX(Roadmap!$D:$K,MATCH($E102,Roadmap!$D:$D,0)+COUNTIF($E102:G102,"u")+COUNTIF($E102:G102,"t")+COUNTIF($E102:G102,"¶")+COUNTIF($E102:G102,"²")+COUNTIF($E102:G102,"µ")+COUNTIF($E102:G102,1),ColTypeEcheance)),
  IF(LEN(G102)=1,
  IF(LEN(INDEX(Roadmap!$D:$K,MATCH($E102,Roadmap!$D:$D,0)-1+COUNTIF($E102:G102,"u")+COUNTIF($E102:G102,"t")+COUNTIF($E102:G102,"¶")+COUNTIF($E102:G102,"²")+COUNTIF($E102:G102,"µ")+COUNTIF($E102:G102,1),ColDescriptionCourte))&gt;1,
HYPERLINK("#Roadmap!C"&amp; MATCH($E102,Roadmap!$D:$D,0)+COUNTIF($E102:G102,"u")+COUNTIF($E102:G102,"t")+COUNTIF($E102:G102,"¶")+COUNTIF($E102:G102,"²")+COUNTIF($E102:G102,"µ")+COUNTIF($E102:G102,1)-1,INDEX(Roadmap!$D:$K,MATCH($E102,Roadmap!$D:$D,0)-1+COUNTIF($E102:G102,"u")+COUNTIF($E102:G102,"t")+COUNTIF($E102:G102,"¶")+COUNTIF($E102:G102,"²")+COUNTIF($E102:G102,"µ")+COUNTIF($E102:G102,1),ColDescriptionCourte)),""),
  "")),"")</f>
        <v/>
      </c>
      <c r="I102" s="40" t="str">
        <f ca="1">IFERROR(IF(AND(
  INDEX(Roadmap!$D:$K,MATCH($E102,Roadmap!$D:$D,0)+COUNTIF($E102:H102,"u")+COUNTIF($E102:H102,"t")+COUNTIF($E102:H102,"¶")+COUNTIF($E102:H102,"²")+COUNTIF($E102:H102,"µ")+COUNTIF($E102:H102,1),ColLivraison)=I$6,
  VLOOKUP($E102,INDIRECT("tri!"&amp; CHAR(64+ C0Col) &amp;":"&amp; CHAR(65+C0Col)),2,FALSE)&gt;COUNTIF($E102:H102,"u")+COUNTIF($E102:H102,"t")+COUNTIF($E102:H102,"¶")+COUNTIF($E102:H102,"²")+COUNTIF($E102:H102,"µ")+COUNTIF($E102:H102,1)),
HYPERLINK("#Roadmap!C"&amp; MATCH($E102,Roadmap!$D:$D,0)+COUNTIF($E102:H102,"u")+COUNTIF($E102:H102,"t"),
     INDEX(Roadmap!$D:$K,MATCH($E102,Roadmap!$D:$D,0)+COUNTIF($E102:H102,"u")+COUNTIF($E102:H102,"t")+COUNTIF($E102:H102,"¶")+COUNTIF($E102:H102,"²")+COUNTIF($E102:H102,"µ")+COUNTIF($E102:H102,1),ColTypeEcheance)),
  IF(LEN(H102)=1,
  IF(LEN(INDEX(Roadmap!$D:$K,MATCH($E102,Roadmap!$D:$D,0)-1+COUNTIF($E102:H102,"u")+COUNTIF($E102:H102,"t")+COUNTIF($E102:H102,"¶")+COUNTIF($E102:H102,"²")+COUNTIF($E102:H102,"µ")+COUNTIF($E102:H102,1),ColDescriptionCourte))&gt;1,
HYPERLINK("#Roadmap!C"&amp; MATCH($E102,Roadmap!$D:$D,0)+COUNTIF($E102:H102,"u")+COUNTIF($E102:H102,"t")+COUNTIF($E102:H102,"¶")+COUNTIF($E102:H102,"²")+COUNTIF($E102:H102,"µ")+COUNTIF($E102:H102,1)-1,INDEX(Roadmap!$D:$K,MATCH($E102,Roadmap!$D:$D,0)-1+COUNTIF($E102:H102,"u")+COUNTIF($E102:H102,"t")+COUNTIF($E102:H102,"¶")+COUNTIF($E102:H102,"²")+COUNTIF($E102:H102,"µ")+COUNTIF($E102:H102,1),ColDescriptionCourte)),""),
  "")),"")</f>
        <v/>
      </c>
      <c r="J102" s="40" t="str">
        <f ca="1">IFERROR(IF(AND(
  INDEX(Roadmap!$D:$K,MATCH($E102,Roadmap!$D:$D,0)+COUNTIF($E102:I102,"u")+COUNTIF($E102:I102,"t")+COUNTIF($E102:I102,"¶")+COUNTIF($E102:I102,"²")+COUNTIF($E102:I102,"µ")+COUNTIF($E102:I102,1),ColLivraison)=J$6,
  VLOOKUP($E102,INDIRECT("tri!"&amp; CHAR(64+ C0Col) &amp;":"&amp; CHAR(65+C0Col)),2,FALSE)&gt;COUNTIF($E102:I102,"u")+COUNTIF($E102:I102,"t")+COUNTIF($E102:I102,"¶")+COUNTIF($E102:I102,"²")+COUNTIF($E102:I102,"µ")+COUNTIF($E102:I102,1)),
HYPERLINK("#Roadmap!C"&amp; MATCH($E102,Roadmap!$D:$D,0)+COUNTIF($E102:I102,"u")+COUNTIF($E102:I102,"t"),
     INDEX(Roadmap!$D:$K,MATCH($E102,Roadmap!$D:$D,0)+COUNTIF($E102:I102,"u")+COUNTIF($E102:I102,"t")+COUNTIF($E102:I102,"¶")+COUNTIF($E102:I102,"²")+COUNTIF($E102:I102,"µ")+COUNTIF($E102:I102,1),ColTypeEcheance)),
  IF(LEN(I102)=1,
  IF(LEN(INDEX(Roadmap!$D:$K,MATCH($E102,Roadmap!$D:$D,0)-1+COUNTIF($E102:I102,"u")+COUNTIF($E102:I102,"t")+COUNTIF($E102:I102,"¶")+COUNTIF($E102:I102,"²")+COUNTIF($E102:I102,"µ")+COUNTIF($E102:I102,1),ColDescriptionCourte))&gt;1,
HYPERLINK("#Roadmap!C"&amp; MATCH($E102,Roadmap!$D:$D,0)+COUNTIF($E102:I102,"u")+COUNTIF($E102:I102,"t")+COUNTIF($E102:I102,"¶")+COUNTIF($E102:I102,"²")+COUNTIF($E102:I102,"µ")+COUNTIF($E102:I102,1)-1,INDEX(Roadmap!$D:$K,MATCH($E102,Roadmap!$D:$D,0)-1+COUNTIF($E102:I102,"u")+COUNTIF($E102:I102,"t")+COUNTIF($E102:I102,"¶")+COUNTIF($E102:I102,"²")+COUNTIF($E102:I102,"µ")+COUNTIF($E102:I102,1),ColDescriptionCourte)),""),
  "")),"")</f>
        <v/>
      </c>
      <c r="K102" s="40" t="str">
        <f ca="1">IFERROR(IF(AND(
  INDEX(Roadmap!$D:$K,MATCH($E102,Roadmap!$D:$D,0)+COUNTIF($E102:J102,"u")+COUNTIF($E102:J102,"t")+COUNTIF($E102:J102,"¶")+COUNTIF($E102:J102,"²")+COUNTIF($E102:J102,"µ")+COUNTIF($E102:J102,1),ColLivraison)=K$6,
  VLOOKUP($E102,INDIRECT("tri!"&amp; CHAR(64+ C0Col) &amp;":"&amp; CHAR(65+C0Col)),2,FALSE)&gt;COUNTIF($E102:J102,"u")+COUNTIF($E102:J102,"t")+COUNTIF($E102:J102,"¶")+COUNTIF($E102:J102,"²")+COUNTIF($E102:J102,"µ")+COUNTIF($E102:J102,1)),
HYPERLINK("#Roadmap!C"&amp; MATCH($E102,Roadmap!$D:$D,0)+COUNTIF($E102:J102,"u")+COUNTIF($E102:J102,"t"),
     INDEX(Roadmap!$D:$K,MATCH($E102,Roadmap!$D:$D,0)+COUNTIF($E102:J102,"u")+COUNTIF($E102:J102,"t")+COUNTIF($E102:J102,"¶")+COUNTIF($E102:J102,"²")+COUNTIF($E102:J102,"µ")+COUNTIF($E102:J102,1),ColTypeEcheance)),
  IF(LEN(J102)=1,
  IF(LEN(INDEX(Roadmap!$D:$K,MATCH($E102,Roadmap!$D:$D,0)-1+COUNTIF($E102:J102,"u")+COUNTIF($E102:J102,"t")+COUNTIF($E102:J102,"¶")+COUNTIF($E102:J102,"²")+COUNTIF($E102:J102,"µ")+COUNTIF($E102:J102,1),ColDescriptionCourte))&gt;1,
HYPERLINK("#Roadmap!C"&amp; MATCH($E102,Roadmap!$D:$D,0)+COUNTIF($E102:J102,"u")+COUNTIF($E102:J102,"t")+COUNTIF($E102:J102,"¶")+COUNTIF($E102:J102,"²")+COUNTIF($E102:J102,"µ")+COUNTIF($E102:J102,1)-1,INDEX(Roadmap!$D:$K,MATCH($E102,Roadmap!$D:$D,0)-1+COUNTIF($E102:J102,"u")+COUNTIF($E102:J102,"t")+COUNTIF($E102:J102,"¶")+COUNTIF($E102:J102,"²")+COUNTIF($E102:J102,"µ")+COUNTIF($E102:J102,1),ColDescriptionCourte)),""),
  "")),"")</f>
        <v/>
      </c>
      <c r="L102" s="39" t="str">
        <f ca="1">IFERROR(IF(AND(
  INDEX(Roadmap!$D:$K,MATCH($E102,Roadmap!$D:$D,0)+COUNTIF($E102:K102,"u")+COUNTIF($E102:K102,"t")+COUNTIF($E102:K102,"¶")+COUNTIF($E102:K102,"²")+COUNTIF($E102:K102,"µ")+COUNTIF($E102:K102,1),ColLivraison)=L$6,
  VLOOKUP($E102,INDIRECT("tri!"&amp; CHAR(64+ C0Col) &amp;":"&amp; CHAR(65+C0Col)),2,FALSE)&gt;COUNTIF($E102:K102,"u")+COUNTIF($E102:K102,"t")+COUNTIF($E102:K102,"¶")+COUNTIF($E102:K102,"²")+COUNTIF($E102:K102,"µ")+COUNTIF($E102:K102,1)),
HYPERLINK("#Roadmap!C"&amp; MATCH($E102,Roadmap!$D:$D,0)+COUNTIF($E102:K102,"u")+COUNTIF($E102:K102,"t"),
     INDEX(Roadmap!$D:$K,MATCH($E102,Roadmap!$D:$D,0)+COUNTIF($E102:K102,"u")+COUNTIF($E102:K102,"t")+COUNTIF($E102:K102,"¶")+COUNTIF($E102:K102,"²")+COUNTIF($E102:K102,"µ")+COUNTIF($E102:K102,1),ColTypeEcheance)),
  IF(LEN(K102)=1,
  IF(LEN(INDEX(Roadmap!$D:$K,MATCH($E102,Roadmap!$D:$D,0)-1+COUNTIF($E102:K102,"u")+COUNTIF($E102:K102,"t")+COUNTIF($E102:K102,"¶")+COUNTIF($E102:K102,"²")+COUNTIF($E102:K102,"µ")+COUNTIF($E102:K102,1),ColDescriptionCourte))&gt;1,
HYPERLINK("#Roadmap!C"&amp; MATCH($E102,Roadmap!$D:$D,0)+COUNTIF($E102:K102,"u")+COUNTIF($E102:K102,"t")+COUNTIF($E102:K102,"¶")+COUNTIF($E102:K102,"²")+COUNTIF($E102:K102,"µ")+COUNTIF($E102:K102,1)-1,INDEX(Roadmap!$D:$K,MATCH($E102,Roadmap!$D:$D,0)-1+COUNTIF($E102:K102,"u")+COUNTIF($E102:K102,"t")+COUNTIF($E102:K102,"¶")+COUNTIF($E102:K102,"²")+COUNTIF($E102:K102,"µ")+COUNTIF($E102:K102,1),ColDescriptionCourte)),""),
  "")),"")</f>
        <v/>
      </c>
      <c r="M102" s="40" t="str">
        <f ca="1">IFERROR(IF(AND(
  INDEX(Roadmap!$D:$K,MATCH($E102,Roadmap!$D:$D,0)+COUNTIF($E102:L102,"u")+COUNTIF($E102:L102,"t")+COUNTIF($E102:L102,"¶")+COUNTIF($E102:L102,"²")+COUNTIF($E102:L102,"µ")+COUNTIF($E102:L102,1),ColLivraison)=M$6,
  VLOOKUP($E102,INDIRECT("tri!"&amp; CHAR(64+ C0Col) &amp;":"&amp; CHAR(65+C0Col)),2,FALSE)&gt;COUNTIF($E102:L102,"u")+COUNTIF($E102:L102,"t")+COUNTIF($E102:L102,"¶")+COUNTIF($E102:L102,"²")+COUNTIF($E102:L102,"µ")+COUNTIF($E102:L102,1)),
HYPERLINK("#Roadmap!C"&amp; MATCH($E102,Roadmap!$D:$D,0)+COUNTIF($E102:L102,"u")+COUNTIF($E102:L102,"t"),
     INDEX(Roadmap!$D:$K,MATCH($E102,Roadmap!$D:$D,0)+COUNTIF($E102:L102,"u")+COUNTIF($E102:L102,"t")+COUNTIF($E102:L102,"¶")+COUNTIF($E102:L102,"²")+COUNTIF($E102:L102,"µ")+COUNTIF($E102:L102,1),ColTypeEcheance)),
  IF(LEN(L102)=1,
  IF(LEN(INDEX(Roadmap!$D:$K,MATCH($E102,Roadmap!$D:$D,0)-1+COUNTIF($E102:L102,"u")+COUNTIF($E102:L102,"t")+COUNTIF($E102:L102,"¶")+COUNTIF($E102:L102,"²")+COUNTIF($E102:L102,"µ")+COUNTIF($E102:L102,1),ColDescriptionCourte))&gt;1,
HYPERLINK("#Roadmap!C"&amp; MATCH($E102,Roadmap!$D:$D,0)+COUNTIF($E102:L102,"u")+COUNTIF($E102:L102,"t")+COUNTIF($E102:L102,"¶")+COUNTIF($E102:L102,"²")+COUNTIF($E102:L102,"µ")+COUNTIF($E102:L102,1)-1,INDEX(Roadmap!$D:$K,MATCH($E102,Roadmap!$D:$D,0)-1+COUNTIF($E102:L102,"u")+COUNTIF($E102:L102,"t")+COUNTIF($E102:L102,"¶")+COUNTIF($E102:L102,"²")+COUNTIF($E102:L102,"µ")+COUNTIF($E102:L102,1),ColDescriptionCourte)),""),
  "")),"")</f>
        <v/>
      </c>
      <c r="N102" s="40" t="str">
        <f ca="1">IFERROR(IF(AND(
  INDEX(Roadmap!$D:$K,MATCH($E102,Roadmap!$D:$D,0)+COUNTIF($E102:M102,"u")+COUNTIF($E102:M102,"t")+COUNTIF($E102:M102,"¶")+COUNTIF($E102:M102,"²")+COUNTIF($E102:M102,"µ")+COUNTIF($E102:M102,1),ColLivraison)=N$6,
  VLOOKUP($E102,INDIRECT("tri!"&amp; CHAR(64+ C0Col) &amp;":"&amp; CHAR(65+C0Col)),2,FALSE)&gt;COUNTIF($E102:M102,"u")+COUNTIF($E102:M102,"t")+COUNTIF($E102:M102,"¶")+COUNTIF($E102:M102,"²")+COUNTIF($E102:M102,"µ")+COUNTIF($E102:M102,1)),
HYPERLINK("#Roadmap!C"&amp; MATCH($E102,Roadmap!$D:$D,0)+COUNTIF($E102:M102,"u")+COUNTIF($E102:M102,"t"),
     INDEX(Roadmap!$D:$K,MATCH($E102,Roadmap!$D:$D,0)+COUNTIF($E102:M102,"u")+COUNTIF($E102:M102,"t")+COUNTIF($E102:M102,"¶")+COUNTIF($E102:M102,"²")+COUNTIF($E102:M102,"µ")+COUNTIF($E102:M102,1),ColTypeEcheance)),
  IF(LEN(M102)=1,
  IF(LEN(INDEX(Roadmap!$D:$K,MATCH($E102,Roadmap!$D:$D,0)-1+COUNTIF($E102:M102,"u")+COUNTIF($E102:M102,"t")+COUNTIF($E102:M102,"¶")+COUNTIF($E102:M102,"²")+COUNTIF($E102:M102,"µ")+COUNTIF($E102:M102,1),ColDescriptionCourte))&gt;1,
HYPERLINK("#Roadmap!C"&amp; MATCH($E102,Roadmap!$D:$D,0)+COUNTIF($E102:M102,"u")+COUNTIF($E102:M102,"t")+COUNTIF($E102:M102,"¶")+COUNTIF($E102:M102,"²")+COUNTIF($E102:M102,"µ")+COUNTIF($E102:M102,1)-1,INDEX(Roadmap!$D:$K,MATCH($E102,Roadmap!$D:$D,0)-1+COUNTIF($E102:M102,"u")+COUNTIF($E102:M102,"t")+COUNTIF($E102:M102,"¶")+COUNTIF($E102:M102,"²")+COUNTIF($E102:M102,"µ")+COUNTIF($E102:M102,1),ColDescriptionCourte)),""),
  "")),"")</f>
        <v/>
      </c>
      <c r="O102" s="40" t="str">
        <f ca="1">IFERROR(IF(AND(
  INDEX(Roadmap!$D:$K,MATCH($E102,Roadmap!$D:$D,0)+COUNTIF($E102:N102,"u")+COUNTIF($E102:N102,"t")+COUNTIF($E102:N102,"¶")+COUNTIF($E102:N102,"²")+COUNTIF($E102:N102,"µ")+COUNTIF($E102:N102,1),ColLivraison)=O$6,
  VLOOKUP($E102,INDIRECT("tri!"&amp; CHAR(64+ C0Col) &amp;":"&amp; CHAR(65+C0Col)),2,FALSE)&gt;COUNTIF($E102:N102,"u")+COUNTIF($E102:N102,"t")+COUNTIF($E102:N102,"¶")+COUNTIF($E102:N102,"²")+COUNTIF($E102:N102,"µ")+COUNTIF($E102:N102,1)),
HYPERLINK("#Roadmap!C"&amp; MATCH($E102,Roadmap!$D:$D,0)+COUNTIF($E102:N102,"u")+COUNTIF($E102:N102,"t"),
     INDEX(Roadmap!$D:$K,MATCH($E102,Roadmap!$D:$D,0)+COUNTIF($E102:N102,"u")+COUNTIF($E102:N102,"t")+COUNTIF($E102:N102,"¶")+COUNTIF($E102:N102,"²")+COUNTIF($E102:N102,"µ")+COUNTIF($E102:N102,1),ColTypeEcheance)),
  IF(LEN(N102)=1,
  IF(LEN(INDEX(Roadmap!$D:$K,MATCH($E102,Roadmap!$D:$D,0)-1+COUNTIF($E102:N102,"u")+COUNTIF($E102:N102,"t")+COUNTIF($E102:N102,"¶")+COUNTIF($E102:N102,"²")+COUNTIF($E102:N102,"µ")+COUNTIF($E102:N102,1),ColDescriptionCourte))&gt;1,
HYPERLINK("#Roadmap!C"&amp; MATCH($E102,Roadmap!$D:$D,0)+COUNTIF($E102:N102,"u")+COUNTIF($E102:N102,"t")+COUNTIF($E102:N102,"¶")+COUNTIF($E102:N102,"²")+COUNTIF($E102:N102,"µ")+COUNTIF($E102:N102,1)-1,INDEX(Roadmap!$D:$K,MATCH($E102,Roadmap!$D:$D,0)-1+COUNTIF($E102:N102,"u")+COUNTIF($E102:N102,"t")+COUNTIF($E102:N102,"¶")+COUNTIF($E102:N102,"²")+COUNTIF($E102:N102,"µ")+COUNTIF($E102:N102,1),ColDescriptionCourte)),""),
  "")),"")</f>
        <v/>
      </c>
      <c r="P102" s="40" t="str">
        <f ca="1">IFERROR(IF(AND(
  INDEX(Roadmap!$D:$K,MATCH($E102,Roadmap!$D:$D,0)+COUNTIF($E102:O102,"u")+COUNTIF($E102:O102,"t")+COUNTIF($E102:O102,"¶")+COUNTIF($E102:O102,"²")+COUNTIF($E102:O102,"µ")+COUNTIF($E102:O102,1),ColLivraison)=P$6,
  VLOOKUP($E102,INDIRECT("tri!"&amp; CHAR(64+ C0Col) &amp;":"&amp; CHAR(65+C0Col)),2,FALSE)&gt;COUNTIF($E102:O102,"u")+COUNTIF($E102:O102,"t")+COUNTIF($E102:O102,"¶")+COUNTIF($E102:O102,"²")+COUNTIF($E102:O102,"µ")+COUNTIF($E102:O102,1)),
HYPERLINK("#Roadmap!C"&amp; MATCH($E102,Roadmap!$D:$D,0)+COUNTIF($E102:O102,"u")+COUNTIF($E102:O102,"t"),
     INDEX(Roadmap!$D:$K,MATCH($E102,Roadmap!$D:$D,0)+COUNTIF($E102:O102,"u")+COUNTIF($E102:O102,"t")+COUNTIF($E102:O102,"¶")+COUNTIF($E102:O102,"²")+COUNTIF($E102:O102,"µ")+COUNTIF($E102:O102,1),ColTypeEcheance)),
  IF(LEN(O102)=1,
  IF(LEN(INDEX(Roadmap!$D:$K,MATCH($E102,Roadmap!$D:$D,0)-1+COUNTIF($E102:O102,"u")+COUNTIF($E102:O102,"t")+COUNTIF($E102:O102,"¶")+COUNTIF($E102:O102,"²")+COUNTIF($E102:O102,"µ")+COUNTIF($E102:O102,1),ColDescriptionCourte))&gt;1,
HYPERLINK("#Roadmap!C"&amp; MATCH($E102,Roadmap!$D:$D,0)+COUNTIF($E102:O102,"u")+COUNTIF($E102:O102,"t")+COUNTIF($E102:O102,"¶")+COUNTIF($E102:O102,"²")+COUNTIF($E102:O102,"µ")+COUNTIF($E102:O102,1)-1,INDEX(Roadmap!$D:$K,MATCH($E102,Roadmap!$D:$D,0)-1+COUNTIF($E102:O102,"u")+COUNTIF($E102:O102,"t")+COUNTIF($E102:O102,"¶")+COUNTIF($E102:O102,"²")+COUNTIF($E102:O102,"µ")+COUNTIF($E102:O102,1),ColDescriptionCourte)),""),
  "")),"")</f>
        <v/>
      </c>
      <c r="Q102" s="40" t="str">
        <f ca="1">IFERROR(IF(AND(
  INDEX(Roadmap!$D:$K,MATCH($E102,Roadmap!$D:$D,0)+COUNTIF($E102:P102,"u")+COUNTIF($E102:P102,"t")+COUNTIF($E102:P102,"¶")+COUNTIF($E102:P102,"²")+COUNTIF($E102:P102,"µ")+COUNTIF($E102:P102,1),ColLivraison)=Q$6,
  VLOOKUP($E102,INDIRECT("tri!"&amp; CHAR(64+ C0Col) &amp;":"&amp; CHAR(65+C0Col)),2,FALSE)&gt;COUNTIF($E102:P102,"u")+COUNTIF($E102:P102,"t")+COUNTIF($E102:P102,"¶")+COUNTIF($E102:P102,"²")+COUNTIF($E102:P102,"µ")+COUNTIF($E102:P102,1)),
HYPERLINK("#Roadmap!C"&amp; MATCH($E102,Roadmap!$D:$D,0)+COUNTIF($E102:P102,"u")+COUNTIF($E102:P102,"t"),
     INDEX(Roadmap!$D:$K,MATCH($E102,Roadmap!$D:$D,0)+COUNTIF($E102:P102,"u")+COUNTIF($E102:P102,"t")+COUNTIF($E102:P102,"¶")+COUNTIF($E102:P102,"²")+COUNTIF($E102:P102,"µ")+COUNTIF($E102:P102,1),ColTypeEcheance)),
  IF(LEN(P102)=1,
  IF(LEN(INDEX(Roadmap!$D:$K,MATCH($E102,Roadmap!$D:$D,0)-1+COUNTIF($E102:P102,"u")+COUNTIF($E102:P102,"t")+COUNTIF($E102:P102,"¶")+COUNTIF($E102:P102,"²")+COUNTIF($E102:P102,"µ")+COUNTIF($E102:P102,1),ColDescriptionCourte))&gt;1,
HYPERLINK("#Roadmap!C"&amp; MATCH($E102,Roadmap!$D:$D,0)+COUNTIF($E102:P102,"u")+COUNTIF($E102:P102,"t")+COUNTIF($E102:P102,"¶")+COUNTIF($E102:P102,"²")+COUNTIF($E102:P102,"µ")+COUNTIF($E102:P102,1)-1,INDEX(Roadmap!$D:$K,MATCH($E102,Roadmap!$D:$D,0)-1+COUNTIF($E102:P102,"u")+COUNTIF($E102:P102,"t")+COUNTIF($E102:P102,"¶")+COUNTIF($E102:P102,"²")+COUNTIF($E102:P102,"µ")+COUNTIF($E102:P102,1),ColDescriptionCourte)),""),
  "")),"")</f>
        <v/>
      </c>
      <c r="R102" s="40" t="str">
        <f ca="1">IFERROR(IF(AND(
  INDEX(Roadmap!$D:$K,MATCH($E102,Roadmap!$D:$D,0)+COUNTIF($E102:Q102,"u")+COUNTIF($E102:Q102,"t")+COUNTIF($E102:Q102,"¶")+COUNTIF($E102:Q102,"²")+COUNTIF($E102:Q102,"µ")+COUNTIF($E102:Q102,1),ColLivraison)=R$6,
  VLOOKUP($E102,INDIRECT("tri!"&amp; CHAR(64+ C0Col) &amp;":"&amp; CHAR(65+C0Col)),2,FALSE)&gt;COUNTIF($E102:Q102,"u")+COUNTIF($E102:Q102,"t")+COUNTIF($E102:Q102,"¶")+COUNTIF($E102:Q102,"²")+COUNTIF($E102:Q102,"µ")+COUNTIF($E102:Q102,1)),
HYPERLINK("#Roadmap!C"&amp; MATCH($E102,Roadmap!$D:$D,0)+COUNTIF($E102:Q102,"u")+COUNTIF($E102:Q102,"t"),
     INDEX(Roadmap!$D:$K,MATCH($E102,Roadmap!$D:$D,0)+COUNTIF($E102:Q102,"u")+COUNTIF($E102:Q102,"t")+COUNTIF($E102:Q102,"¶")+COUNTIF($E102:Q102,"²")+COUNTIF($E102:Q102,"µ")+COUNTIF($E102:Q102,1),ColTypeEcheance)),
  IF(LEN(Q102)=1,
  IF(LEN(INDEX(Roadmap!$D:$K,MATCH($E102,Roadmap!$D:$D,0)-1+COUNTIF($E102:Q102,"u")+COUNTIF($E102:Q102,"t")+COUNTIF($E102:Q102,"¶")+COUNTIF($E102:Q102,"²")+COUNTIF($E102:Q102,"µ")+COUNTIF($E102:Q102,1),ColDescriptionCourte))&gt;1,
HYPERLINK("#Roadmap!C"&amp; MATCH($E102,Roadmap!$D:$D,0)+COUNTIF($E102:Q102,"u")+COUNTIF($E102:Q102,"t")+COUNTIF($E102:Q102,"¶")+COUNTIF($E102:Q102,"²")+COUNTIF($E102:Q102,"µ")+COUNTIF($E102:Q102,1)-1,INDEX(Roadmap!$D:$K,MATCH($E102,Roadmap!$D:$D,0)-1+COUNTIF($E102:Q102,"u")+COUNTIF($E102:Q102,"t")+COUNTIF($E102:Q102,"¶")+COUNTIF($E102:Q102,"²")+COUNTIF($E102:Q102,"µ")+COUNTIF($E102:Q102,1),ColDescriptionCourte)),""),
  "")),"")</f>
        <v/>
      </c>
      <c r="S102" s="40" t="str">
        <f ca="1">IFERROR(IF(AND(
  INDEX(Roadmap!$D:$K,MATCH($E102,Roadmap!$D:$D,0)+COUNTIF($E102:R102,"u")+COUNTIF($E102:R102,"t")+COUNTIF($E102:R102,"¶")+COUNTIF($E102:R102,"²")+COUNTIF($E102:R102,"µ")+COUNTIF($E102:R102,1),ColLivraison)=S$6,
  VLOOKUP($E102,INDIRECT("tri!"&amp; CHAR(64+ C0Col) &amp;":"&amp; CHAR(65+C0Col)),2,FALSE)&gt;COUNTIF($E102:R102,"u")+COUNTIF($E102:R102,"t")+COUNTIF($E102:R102,"¶")+COUNTIF($E102:R102,"²")+COUNTIF($E102:R102,"µ")+COUNTIF($E102:R102,1)),
HYPERLINK("#Roadmap!C"&amp; MATCH($E102,Roadmap!$D:$D,0)+COUNTIF($E102:R102,"u")+COUNTIF($E102:R102,"t"),
     INDEX(Roadmap!$D:$K,MATCH($E102,Roadmap!$D:$D,0)+COUNTIF($E102:R102,"u")+COUNTIF($E102:R102,"t")+COUNTIF($E102:R102,"¶")+COUNTIF($E102:R102,"²")+COUNTIF($E102:R102,"µ")+COUNTIF($E102:R102,1),ColTypeEcheance)),
  IF(LEN(R102)=1,
  IF(LEN(INDEX(Roadmap!$D:$K,MATCH($E102,Roadmap!$D:$D,0)-1+COUNTIF($E102:R102,"u")+COUNTIF($E102:R102,"t")+COUNTIF($E102:R102,"¶")+COUNTIF($E102:R102,"²")+COUNTIF($E102:R102,"µ")+COUNTIF($E102:R102,1),ColDescriptionCourte))&gt;1,
HYPERLINK("#Roadmap!C"&amp; MATCH($E102,Roadmap!$D:$D,0)+COUNTIF($E102:R102,"u")+COUNTIF($E102:R102,"t")+COUNTIF($E102:R102,"¶")+COUNTIF($E102:R102,"²")+COUNTIF($E102:R102,"µ")+COUNTIF($E102:R102,1)-1,INDEX(Roadmap!$D:$K,MATCH($E102,Roadmap!$D:$D,0)-1+COUNTIF($E102:R102,"u")+COUNTIF($E102:R102,"t")+COUNTIF($E102:R102,"¶")+COUNTIF($E102:R102,"²")+COUNTIF($E102:R102,"µ")+COUNTIF($E102:R102,1),ColDescriptionCourte)),""),
  "")),"")</f>
        <v/>
      </c>
      <c r="T102" s="40" t="str">
        <f ca="1">IFERROR(IF(AND(
  INDEX(Roadmap!$D:$K,MATCH($E102,Roadmap!$D:$D,0)+COUNTIF($E102:S102,"u")+COUNTIF($E102:S102,"t")+COUNTIF($E102:S102,"¶")+COUNTIF($E102:S102,"²")+COUNTIF($E102:S102,"µ")+COUNTIF($E102:S102,1),ColLivraison)=T$6,
  VLOOKUP($E102,INDIRECT("tri!"&amp; CHAR(64+ C0Col) &amp;":"&amp; CHAR(65+C0Col)),2,FALSE)&gt;COUNTIF($E102:S102,"u")+COUNTIF($E102:S102,"t")+COUNTIF($E102:S102,"¶")+COUNTIF($E102:S102,"²")+COUNTIF($E102:S102,"µ")+COUNTIF($E102:S102,1)),
HYPERLINK("#Roadmap!C"&amp; MATCH($E102,Roadmap!$D:$D,0)+COUNTIF($E102:S102,"u")+COUNTIF($E102:S102,"t"),
     INDEX(Roadmap!$D:$K,MATCH($E102,Roadmap!$D:$D,0)+COUNTIF($E102:S102,"u")+COUNTIF($E102:S102,"t")+COUNTIF($E102:S102,"¶")+COUNTIF($E102:S102,"²")+COUNTIF($E102:S102,"µ")+COUNTIF($E102:S102,1),ColTypeEcheance)),
  IF(LEN(S102)=1,
  IF(LEN(INDEX(Roadmap!$D:$K,MATCH($E102,Roadmap!$D:$D,0)-1+COUNTIF($E102:S102,"u")+COUNTIF($E102:S102,"t")+COUNTIF($E102:S102,"¶")+COUNTIF($E102:S102,"²")+COUNTIF($E102:S102,"µ")+COUNTIF($E102:S102,1),ColDescriptionCourte))&gt;1,
HYPERLINK("#Roadmap!C"&amp; MATCH($E102,Roadmap!$D:$D,0)+COUNTIF($E102:S102,"u")+COUNTIF($E102:S102,"t")+COUNTIF($E102:S102,"¶")+COUNTIF($E102:S102,"²")+COUNTIF($E102:S102,"µ")+COUNTIF($E102:S102,1)-1,INDEX(Roadmap!$D:$K,MATCH($E102,Roadmap!$D:$D,0)-1+COUNTIF($E102:S102,"u")+COUNTIF($E102:S102,"t")+COUNTIF($E102:S102,"¶")+COUNTIF($E102:S102,"²")+COUNTIF($E102:S102,"µ")+COUNTIF($E102:S102,1),ColDescriptionCourte)),""),
  "")),"")</f>
        <v/>
      </c>
      <c r="U102" s="40" t="str">
        <f ca="1">IFERROR(IF(AND(
  INDEX(Roadmap!$D:$K,MATCH($E102,Roadmap!$D:$D,0)+COUNTIF($E102:T102,"u")+COUNTIF($E102:T102,"t")+COUNTIF($E102:T102,"¶")+COUNTIF($E102:T102,"²")+COUNTIF($E102:T102,"µ")+COUNTIF($E102:T102,1),ColLivraison)=U$6,
  VLOOKUP($E102,INDIRECT("tri!"&amp; CHAR(64+ C0Col) &amp;":"&amp; CHAR(65+C0Col)),2,FALSE)&gt;COUNTIF($E102:T102,"u")+COUNTIF($E102:T102,"t")+COUNTIF($E102:T102,"¶")+COUNTIF($E102:T102,"²")+COUNTIF($E102:T102,"µ")+COUNTIF($E102:T102,1)),
HYPERLINK("#Roadmap!C"&amp; MATCH($E102,Roadmap!$D:$D,0)+COUNTIF($E102:T102,"u")+COUNTIF($E102:T102,"t"),
     INDEX(Roadmap!$D:$K,MATCH($E102,Roadmap!$D:$D,0)+COUNTIF($E102:T102,"u")+COUNTIF($E102:T102,"t")+COUNTIF($E102:T102,"¶")+COUNTIF($E102:T102,"²")+COUNTIF($E102:T102,"µ")+COUNTIF($E102:T102,1),ColTypeEcheance)),
  IF(LEN(T102)=1,
  IF(LEN(INDEX(Roadmap!$D:$K,MATCH($E102,Roadmap!$D:$D,0)-1+COUNTIF($E102:T102,"u")+COUNTIF($E102:T102,"t")+COUNTIF($E102:T102,"¶")+COUNTIF($E102:T102,"²")+COUNTIF($E102:T102,"µ")+COUNTIF($E102:T102,1),ColDescriptionCourte))&gt;1,
HYPERLINK("#Roadmap!C"&amp; MATCH($E102,Roadmap!$D:$D,0)+COUNTIF($E102:T102,"u")+COUNTIF($E102:T102,"t")+COUNTIF($E102:T102,"¶")+COUNTIF($E102:T102,"²")+COUNTIF($E102:T102,"µ")+COUNTIF($E102:T102,1)-1,INDEX(Roadmap!$D:$K,MATCH($E102,Roadmap!$D:$D,0)-1+COUNTIF($E102:T102,"u")+COUNTIF($E102:T102,"t")+COUNTIF($E102:T102,"¶")+COUNTIF($E102:T102,"²")+COUNTIF($E102:T102,"µ")+COUNTIF($E102:T102,1),ColDescriptionCourte)),""),
  "")),"")</f>
        <v/>
      </c>
      <c r="V102" s="40" t="str">
        <f ca="1">IFERROR(IF(AND(
  INDEX(Roadmap!$D:$K,MATCH($E102,Roadmap!$D:$D,0)+COUNTIF($E102:U102,"u")+COUNTIF($E102:U102,"t")+COUNTIF($E102:U102,"¶")+COUNTIF($E102:U102,"²")+COUNTIF($E102:U102,"µ")+COUNTIF($E102:U102,1),ColLivraison)=V$6,
  VLOOKUP($E102,INDIRECT("tri!"&amp; CHAR(64+ C0Col) &amp;":"&amp; CHAR(65+C0Col)),2,FALSE)&gt;COUNTIF($E102:U102,"u")+COUNTIF($E102:U102,"t")+COUNTIF($E102:U102,"¶")+COUNTIF($E102:U102,"²")+COUNTIF($E102:U102,"µ")+COUNTIF($E102:U102,1)),
HYPERLINK("#Roadmap!C"&amp; MATCH($E102,Roadmap!$D:$D,0)+COUNTIF($E102:U102,"u")+COUNTIF($E102:U102,"t"),
     INDEX(Roadmap!$D:$K,MATCH($E102,Roadmap!$D:$D,0)+COUNTIF($E102:U102,"u")+COUNTIF($E102:U102,"t")+COUNTIF($E102:U102,"¶")+COUNTIF($E102:U102,"²")+COUNTIF($E102:U102,"µ")+COUNTIF($E102:U102,1),ColTypeEcheance)),
  IF(LEN(U102)=1,
  IF(LEN(INDEX(Roadmap!$D:$K,MATCH($E102,Roadmap!$D:$D,0)-1+COUNTIF($E102:U102,"u")+COUNTIF($E102:U102,"t")+COUNTIF($E102:U102,"¶")+COUNTIF($E102:U102,"²")+COUNTIF($E102:U102,"µ")+COUNTIF($E102:U102,1),ColDescriptionCourte))&gt;1,
HYPERLINK("#Roadmap!C"&amp; MATCH($E102,Roadmap!$D:$D,0)+COUNTIF($E102:U102,"u")+COUNTIF($E102:U102,"t")+COUNTIF($E102:U102,"¶")+COUNTIF($E102:U102,"²")+COUNTIF($E102:U102,"µ")+COUNTIF($E102:U102,1)-1,INDEX(Roadmap!$D:$K,MATCH($E102,Roadmap!$D:$D,0)-1+COUNTIF($E102:U102,"u")+COUNTIF($E102:U102,"t")+COUNTIF($E102:U102,"¶")+COUNTIF($E102:U102,"²")+COUNTIF($E102:U102,"µ")+COUNTIF($E102:U102,1),ColDescriptionCourte)),""),
  "")),"")</f>
        <v/>
      </c>
      <c r="W102" s="40" t="str">
        <f ca="1">IFERROR(IF(AND(
  INDEX(Roadmap!$D:$K,MATCH($E102,Roadmap!$D:$D,0)+COUNTIF($E102:V102,"u")+COUNTIF($E102:V102,"t")+COUNTIF($E102:V102,"¶")+COUNTIF($E102:V102,"²")+COUNTIF($E102:V102,"µ")+COUNTIF($E102:V102,1),ColLivraison)=W$6,
  VLOOKUP($E102,INDIRECT("tri!"&amp; CHAR(64+ C0Col) &amp;":"&amp; CHAR(65+C0Col)),2,FALSE)&gt;COUNTIF($E102:V102,"u")+COUNTIF($E102:V102,"t")+COUNTIF($E102:V102,"¶")+COUNTIF($E102:V102,"²")+COUNTIF($E102:V102,"µ")+COUNTIF($E102:V102,1)),
HYPERLINK("#Roadmap!C"&amp; MATCH($E102,Roadmap!$D:$D,0)+COUNTIF($E102:V102,"u")+COUNTIF($E102:V102,"t"),
     INDEX(Roadmap!$D:$K,MATCH($E102,Roadmap!$D:$D,0)+COUNTIF($E102:V102,"u")+COUNTIF($E102:V102,"t")+COUNTIF($E102:V102,"¶")+COUNTIF($E102:V102,"²")+COUNTIF($E102:V102,"µ")+COUNTIF($E102:V102,1),ColTypeEcheance)),
  IF(LEN(V102)=1,
  IF(LEN(INDEX(Roadmap!$D:$K,MATCH($E102,Roadmap!$D:$D,0)-1+COUNTIF($E102:V102,"u")+COUNTIF($E102:V102,"t")+COUNTIF($E102:V102,"¶")+COUNTIF($E102:V102,"²")+COUNTIF($E102:V102,"µ")+COUNTIF($E102:V102,1),ColDescriptionCourte))&gt;1,
HYPERLINK("#Roadmap!C"&amp; MATCH($E102,Roadmap!$D:$D,0)+COUNTIF($E102:V102,"u")+COUNTIF($E102:V102,"t")+COUNTIF($E102:V102,"¶")+COUNTIF($E102:V102,"²")+COUNTIF($E102:V102,"µ")+COUNTIF($E102:V102,1)-1,INDEX(Roadmap!$D:$K,MATCH($E102,Roadmap!$D:$D,0)-1+COUNTIF($E102:V102,"u")+COUNTIF($E102:V102,"t")+COUNTIF($E102:V102,"¶")+COUNTIF($E102:V102,"²")+COUNTIF($E102:V102,"µ")+COUNTIF($E102:V102,1),ColDescriptionCourte)),""),
  "")),"")</f>
        <v/>
      </c>
      <c r="X102" s="40" t="str">
        <f ca="1">IFERROR(IF(AND(
  INDEX(Roadmap!$D:$K,MATCH($E102,Roadmap!$D:$D,0)+COUNTIF($E102:W102,"u")+COUNTIF($E102:W102,"t")+COUNTIF($E102:W102,"¶")+COUNTIF($E102:W102,"²")+COUNTIF($E102:W102,"µ")+COUNTIF($E102:W102,1),ColLivraison)=X$6,
  VLOOKUP($E102,INDIRECT("tri!"&amp; CHAR(64+ C0Col) &amp;":"&amp; CHAR(65+C0Col)),2,FALSE)&gt;COUNTIF($E102:W102,"u")+COUNTIF($E102:W102,"t")+COUNTIF($E102:W102,"¶")+COUNTIF($E102:W102,"²")+COUNTIF($E102:W102,"µ")+COUNTIF($E102:W102,1)),
HYPERLINK("#Roadmap!C"&amp; MATCH($E102,Roadmap!$D:$D,0)+COUNTIF($E102:W102,"u")+COUNTIF($E102:W102,"t"),
     INDEX(Roadmap!$D:$K,MATCH($E102,Roadmap!$D:$D,0)+COUNTIF($E102:W102,"u")+COUNTIF($E102:W102,"t")+COUNTIF($E102:W102,"¶")+COUNTIF($E102:W102,"²")+COUNTIF($E102:W102,"µ")+COUNTIF($E102:W102,1),ColTypeEcheance)),
  IF(LEN(W102)=1,
  IF(LEN(INDEX(Roadmap!$D:$K,MATCH($E102,Roadmap!$D:$D,0)-1+COUNTIF($E102:W102,"u")+COUNTIF($E102:W102,"t")+COUNTIF($E102:W102,"¶")+COUNTIF($E102:W102,"²")+COUNTIF($E102:W102,"µ")+COUNTIF($E102:W102,1),ColDescriptionCourte))&gt;1,
HYPERLINK("#Roadmap!C"&amp; MATCH($E102,Roadmap!$D:$D,0)+COUNTIF($E102:W102,"u")+COUNTIF($E102:W102,"t")+COUNTIF($E102:W102,"¶")+COUNTIF($E102:W102,"²")+COUNTIF($E102:W102,"µ")+COUNTIF($E102:W102,1)-1,INDEX(Roadmap!$D:$K,MATCH($E102,Roadmap!$D:$D,0)-1+COUNTIF($E102:W102,"u")+COUNTIF($E102:W102,"t")+COUNTIF($E102:W102,"¶")+COUNTIF($E102:W102,"²")+COUNTIF($E102:W102,"µ")+COUNTIF($E102:W102,1),ColDescriptionCourte)),""),
  "")),"")</f>
        <v/>
      </c>
      <c r="Y102" s="40" t="str">
        <f ca="1">IFERROR(IF(AND(
  INDEX(Roadmap!$D:$K,MATCH($E102,Roadmap!$D:$D,0)+COUNTIF($E102:X102,"u")+COUNTIF($E102:X102,"t")+COUNTIF($E102:X102,"¶")+COUNTIF($E102:X102,"²")+COUNTIF($E102:X102,"µ")+COUNTIF($E102:X102,1),ColLivraison)=Y$6,
  VLOOKUP($E102,INDIRECT("tri!"&amp; CHAR(64+ C0Col) &amp;":"&amp; CHAR(65+C0Col)),2,FALSE)&gt;COUNTIF($E102:X102,"u")+COUNTIF($E102:X102,"t")+COUNTIF($E102:X102,"¶")+COUNTIF($E102:X102,"²")+COUNTIF($E102:X102,"µ")+COUNTIF($E102:X102,1)),
HYPERLINK("#Roadmap!C"&amp; MATCH($E102,Roadmap!$D:$D,0)+COUNTIF($E102:X102,"u")+COUNTIF($E102:X102,"t"),
     INDEX(Roadmap!$D:$K,MATCH($E102,Roadmap!$D:$D,0)+COUNTIF($E102:X102,"u")+COUNTIF($E102:X102,"t")+COUNTIF($E102:X102,"¶")+COUNTIF($E102:X102,"²")+COUNTIF($E102:X102,"µ")+COUNTIF($E102:X102,1),ColTypeEcheance)),
  IF(LEN(X102)=1,
  IF(LEN(INDEX(Roadmap!$D:$K,MATCH($E102,Roadmap!$D:$D,0)-1+COUNTIF($E102:X102,"u")+COUNTIF($E102:X102,"t")+COUNTIF($E102:X102,"¶")+COUNTIF($E102:X102,"²")+COUNTIF($E102:X102,"µ")+COUNTIF($E102:X102,1),ColDescriptionCourte))&gt;1,
HYPERLINK("#Roadmap!C"&amp; MATCH($E102,Roadmap!$D:$D,0)+COUNTIF($E102:X102,"u")+COUNTIF($E102:X102,"t")+COUNTIF($E102:X102,"¶")+COUNTIF($E102:X102,"²")+COUNTIF($E102:X102,"µ")+COUNTIF($E102:X102,1)-1,INDEX(Roadmap!$D:$K,MATCH($E102,Roadmap!$D:$D,0)-1+COUNTIF($E102:X102,"u")+COUNTIF($E102:X102,"t")+COUNTIF($E102:X102,"¶")+COUNTIF($E102:X102,"²")+COUNTIF($E102:X102,"µ")+COUNTIF($E102:X102,1),ColDescriptionCourte)),""),
  "")),"")</f>
        <v/>
      </c>
      <c r="Z102" s="40" t="str">
        <f ca="1">IFERROR(IF(AND(
  INDEX(Roadmap!$D:$K,MATCH($E102,Roadmap!$D:$D,0)+COUNTIF($E102:Y102,"u")+COUNTIF($E102:Y102,"t")+COUNTIF($E102:Y102,"¶")+COUNTIF($E102:Y102,"²")+COUNTIF($E102:Y102,"µ")+COUNTIF($E102:Y102,1),ColLivraison)=Z$6,
  VLOOKUP($E102,INDIRECT("tri!"&amp; CHAR(64+ C0Col) &amp;":"&amp; CHAR(65+C0Col)),2,FALSE)&gt;COUNTIF($E102:Y102,"u")+COUNTIF($E102:Y102,"t")+COUNTIF($E102:Y102,"¶")+COUNTIF($E102:Y102,"²")+COUNTIF($E102:Y102,"µ")+COUNTIF($E102:Y102,1)),
HYPERLINK("#Roadmap!C"&amp; MATCH($E102,Roadmap!$D:$D,0)+COUNTIF($E102:Y102,"u")+COUNTIF($E102:Y102,"t"),
     INDEX(Roadmap!$D:$K,MATCH($E102,Roadmap!$D:$D,0)+COUNTIF($E102:Y102,"u")+COUNTIF($E102:Y102,"t")+COUNTIF($E102:Y102,"¶")+COUNTIF($E102:Y102,"²")+COUNTIF($E102:Y102,"µ")+COUNTIF($E102:Y102,1),ColTypeEcheance)),
  IF(LEN(Y102)=1,
  IF(LEN(INDEX(Roadmap!$D:$K,MATCH($E102,Roadmap!$D:$D,0)-1+COUNTIF($E102:Y102,"u")+COUNTIF($E102:Y102,"t")+COUNTIF($E102:Y102,"¶")+COUNTIF($E102:Y102,"²")+COUNTIF($E102:Y102,"µ")+COUNTIF($E102:Y102,1),ColDescriptionCourte))&gt;1,
HYPERLINK("#Roadmap!C"&amp; MATCH($E102,Roadmap!$D:$D,0)+COUNTIF($E102:Y102,"u")+COUNTIF($E102:Y102,"t")+COUNTIF($E102:Y102,"¶")+COUNTIF($E102:Y102,"²")+COUNTIF($E102:Y102,"µ")+COUNTIF($E102:Y102,1)-1,INDEX(Roadmap!$D:$K,MATCH($E102,Roadmap!$D:$D,0)-1+COUNTIF($E102:Y102,"u")+COUNTIF($E102:Y102,"t")+COUNTIF($E102:Y102,"¶")+COUNTIF($E102:Y102,"²")+COUNTIF($E102:Y102,"µ")+COUNTIF($E102:Y102,1),ColDescriptionCourte)),""),
  "")),"")</f>
        <v/>
      </c>
      <c r="AA102" s="40" t="str">
        <f ca="1">IFERROR(IF(AND(
  INDEX(Roadmap!$D:$K,MATCH($E102,Roadmap!$D:$D,0)+COUNTIF($E102:Z102,"u")+COUNTIF($E102:Z102,"t")+COUNTIF($E102:Z102,"¶")+COUNTIF($E102:Z102,"²")+COUNTIF($E102:Z102,"µ")+COUNTIF($E102:Z102,1),ColLivraison)=AA$6,
  VLOOKUP($E102,INDIRECT("tri!"&amp; CHAR(64+ C0Col) &amp;":"&amp; CHAR(65+C0Col)),2,FALSE)&gt;COUNTIF($E102:Z102,"u")+COUNTIF($E102:Z102,"t")+COUNTIF($E102:Z102,"¶")+COUNTIF($E102:Z102,"²")+COUNTIF($E102:Z102,"µ")+COUNTIF($E102:Z102,1)),
HYPERLINK("#Roadmap!C"&amp; MATCH($E102,Roadmap!$D:$D,0)+COUNTIF($E102:Z102,"u")+COUNTIF($E102:Z102,"t"),
     INDEX(Roadmap!$D:$K,MATCH($E102,Roadmap!$D:$D,0)+COUNTIF($E102:Z102,"u")+COUNTIF($E102:Z102,"t")+COUNTIF($E102:Z102,"¶")+COUNTIF($E102:Z102,"²")+COUNTIF($E102:Z102,"µ")+COUNTIF($E102:Z102,1),ColTypeEcheance)),
  IF(LEN(Z102)=1,
  IF(LEN(INDEX(Roadmap!$D:$K,MATCH($E102,Roadmap!$D:$D,0)-1+COUNTIF($E102:Z102,"u")+COUNTIF($E102:Z102,"t")+COUNTIF($E102:Z102,"¶")+COUNTIF($E102:Z102,"²")+COUNTIF($E102:Z102,"µ")+COUNTIF($E102:Z102,1),ColDescriptionCourte))&gt;1,
HYPERLINK("#Roadmap!C"&amp; MATCH($E102,Roadmap!$D:$D,0)+COUNTIF($E102:Z102,"u")+COUNTIF($E102:Z102,"t")+COUNTIF($E102:Z102,"¶")+COUNTIF($E102:Z102,"²")+COUNTIF($E102:Z102,"µ")+COUNTIF($E102:Z102,1)-1,INDEX(Roadmap!$D:$K,MATCH($E102,Roadmap!$D:$D,0)-1+COUNTIF($E102:Z102,"u")+COUNTIF($E102:Z102,"t")+COUNTIF($E102:Z102,"¶")+COUNTIF($E102:Z102,"²")+COUNTIF($E102:Z102,"µ")+COUNTIF($E102:Z102,1),ColDescriptionCourte)),""),
  "")),"")</f>
        <v/>
      </c>
      <c r="AB102" s="40" t="str">
        <f ca="1">IFERROR(IF(AND(
  INDEX(Roadmap!$D:$K,MATCH($E102,Roadmap!$D:$D,0)+COUNTIF($E102:AA102,"u")+COUNTIF($E102:AA102,"t")+COUNTIF($E102:AA102,"¶")+COUNTIF($E102:AA102,"²")+COUNTIF($E102:AA102,"µ")+COUNTIF($E102:AA102,1),ColLivraison)=AB$6,
  VLOOKUP($E102,INDIRECT("tri!"&amp; CHAR(64+ C0Col) &amp;":"&amp; CHAR(65+C0Col)),2,FALSE)&gt;COUNTIF($E102:AA102,"u")+COUNTIF($E102:AA102,"t")+COUNTIF($E102:AA102,"¶")+COUNTIF($E102:AA102,"²")+COUNTIF($E102:AA102,"µ")+COUNTIF($E102:AA102,1)),
HYPERLINK("#Roadmap!C"&amp; MATCH($E102,Roadmap!$D:$D,0)+COUNTIF($E102:AA102,"u")+COUNTIF($E102:AA102,"t"),
     INDEX(Roadmap!$D:$K,MATCH($E102,Roadmap!$D:$D,0)+COUNTIF($E102:AA102,"u")+COUNTIF($E102:AA102,"t")+COUNTIF($E102:AA102,"¶")+COUNTIF($E102:AA102,"²")+COUNTIF($E102:AA102,"µ")+COUNTIF($E102:AA102,1),ColTypeEcheance)),
  IF(LEN(AA102)=1,
  IF(LEN(INDEX(Roadmap!$D:$K,MATCH($E102,Roadmap!$D:$D,0)-1+COUNTIF($E102:AA102,"u")+COUNTIF($E102:AA102,"t")+COUNTIF($E102:AA102,"¶")+COUNTIF($E102:AA102,"²")+COUNTIF($E102:AA102,"µ")+COUNTIF($E102:AA102,1),ColDescriptionCourte))&gt;1,
HYPERLINK("#Roadmap!C"&amp; MATCH($E102,Roadmap!$D:$D,0)+COUNTIF($E102:AA102,"u")+COUNTIF($E102:AA102,"t")+COUNTIF($E102:AA102,"¶")+COUNTIF($E102:AA102,"²")+COUNTIF($E102:AA102,"µ")+COUNTIF($E102:AA102,1)-1,INDEX(Roadmap!$D:$K,MATCH($E102,Roadmap!$D:$D,0)-1+COUNTIF($E102:AA102,"u")+COUNTIF($E102:AA102,"t")+COUNTIF($E102:AA102,"¶")+COUNTIF($E102:AA102,"²")+COUNTIF($E102:AA102,"µ")+COUNTIF($E102:AA102,1),ColDescriptionCourte)),""),
  "")),"")</f>
        <v/>
      </c>
      <c r="AC102" s="40" t="str">
        <f ca="1">IFERROR(IF(AND(
  INDEX(Roadmap!$D:$K,MATCH($E102,Roadmap!$D:$D,0)+COUNTIF($E102:AB102,"u")+COUNTIF($E102:AB102,"t")+COUNTIF($E102:AB102,"¶")+COUNTIF($E102:AB102,"²")+COUNTIF($E102:AB102,"µ")+COUNTIF($E102:AB102,1),ColLivraison)=AC$6,
  VLOOKUP($E102,INDIRECT("tri!"&amp; CHAR(64+ C0Col) &amp;":"&amp; CHAR(65+C0Col)),2,FALSE)&gt;COUNTIF($E102:AB102,"u")+COUNTIF($E102:AB102,"t")+COUNTIF($E102:AB102,"¶")+COUNTIF($E102:AB102,"²")+COUNTIF($E102:AB102,"µ")+COUNTIF($E102:AB102,1)),
HYPERLINK("#Roadmap!C"&amp; MATCH($E102,Roadmap!$D:$D,0)+COUNTIF($E102:AB102,"u")+COUNTIF($E102:AB102,"t"),
     INDEX(Roadmap!$D:$K,MATCH($E102,Roadmap!$D:$D,0)+COUNTIF($E102:AB102,"u")+COUNTIF($E102:AB102,"t")+COUNTIF($E102:AB102,"¶")+COUNTIF($E102:AB102,"²")+COUNTIF($E102:AB102,"µ")+COUNTIF($E102:AB102,1),ColTypeEcheance)),
  IF(LEN(AB102)=1,
  IF(LEN(INDEX(Roadmap!$D:$K,MATCH($E102,Roadmap!$D:$D,0)-1+COUNTIF($E102:AB102,"u")+COUNTIF($E102:AB102,"t")+COUNTIF($E102:AB102,"¶")+COUNTIF($E102:AB102,"²")+COUNTIF($E102:AB102,"µ")+COUNTIF($E102:AB102,1),ColDescriptionCourte))&gt;1,
HYPERLINK("#Roadmap!C"&amp; MATCH($E102,Roadmap!$D:$D,0)+COUNTIF($E102:AB102,"u")+COUNTIF($E102:AB102,"t")+COUNTIF($E102:AB102,"¶")+COUNTIF($E102:AB102,"²")+COUNTIF($E102:AB102,"µ")+COUNTIF($E102:AB102,1)-1,INDEX(Roadmap!$D:$K,MATCH($E102,Roadmap!$D:$D,0)-1+COUNTIF($E102:AB102,"u")+COUNTIF($E102:AB102,"t")+COUNTIF($E102:AB102,"¶")+COUNTIF($E102:AB102,"²")+COUNTIF($E102:AB102,"µ")+COUNTIF($E102:AB102,1),ColDescriptionCourte)),""),
  "")),"")</f>
        <v/>
      </c>
      <c r="AD102" s="40" t="str">
        <f ca="1">IFERROR(IF(AND(
  INDEX(Roadmap!$D:$K,MATCH($E102,Roadmap!$D:$D,0)+COUNTIF($E102:AC102,"u")+COUNTIF($E102:AC102,"t")+COUNTIF($E102:AC102,"¶")+COUNTIF($E102:AC102,"²")+COUNTIF($E102:AC102,"µ")+COUNTIF($E102:AC102,1),ColLivraison)=AD$6,
  VLOOKUP($E102,INDIRECT("tri!"&amp; CHAR(64+ C0Col) &amp;":"&amp; CHAR(65+C0Col)),2,FALSE)&gt;COUNTIF($E102:AC102,"u")+COUNTIF($E102:AC102,"t")+COUNTIF($E102:AC102,"¶")+COUNTIF($E102:AC102,"²")+COUNTIF($E102:AC102,"µ")+COUNTIF($E102:AC102,1)),
HYPERLINK("#Roadmap!C"&amp; MATCH($E102,Roadmap!$D:$D,0)+COUNTIF($E102:AC102,"u")+COUNTIF($E102:AC102,"t"),
     INDEX(Roadmap!$D:$K,MATCH($E102,Roadmap!$D:$D,0)+COUNTIF($E102:AC102,"u")+COUNTIF($E102:AC102,"t")+COUNTIF($E102:AC102,"¶")+COUNTIF($E102:AC102,"²")+COUNTIF($E102:AC102,"µ")+COUNTIF($E102:AC102,1),ColTypeEcheance)),
  IF(LEN(AC102)=1,
  IF(LEN(INDEX(Roadmap!$D:$K,MATCH($E102,Roadmap!$D:$D,0)-1+COUNTIF($E102:AC102,"u")+COUNTIF($E102:AC102,"t")+COUNTIF($E102:AC102,"¶")+COUNTIF($E102:AC102,"²")+COUNTIF($E102:AC102,"µ")+COUNTIF($E102:AC102,1),ColDescriptionCourte))&gt;1,
HYPERLINK("#Roadmap!C"&amp; MATCH($E102,Roadmap!$D:$D,0)+COUNTIF($E102:AC102,"u")+COUNTIF($E102:AC102,"t")+COUNTIF($E102:AC102,"¶")+COUNTIF($E102:AC102,"²")+COUNTIF($E102:AC102,"µ")+COUNTIF($E102:AC102,1)-1,INDEX(Roadmap!$D:$K,MATCH($E102,Roadmap!$D:$D,0)-1+COUNTIF($E102:AC102,"u")+COUNTIF($E102:AC102,"t")+COUNTIF($E102:AC102,"¶")+COUNTIF($E102:AC102,"²")+COUNTIF($E102:AC102,"µ")+COUNTIF($E102:AC102,1),ColDescriptionCourte)),""),
  "")),"")</f>
        <v/>
      </c>
      <c r="AE102" s="40" t="str">
        <f ca="1">IFERROR(IF(AND(
  INDEX(Roadmap!$D:$K,MATCH($E102,Roadmap!$D:$D,0)+COUNTIF($E102:AD102,"u")+COUNTIF($E102:AD102,"t")+COUNTIF($E102:AD102,"¶")+COUNTIF($E102:AD102,"²")+COUNTIF($E102:AD102,"µ")+COUNTIF($E102:AD102,1),ColLivraison)=AE$6,
  VLOOKUP($E102,INDIRECT("tri!"&amp; CHAR(64+ C0Col) &amp;":"&amp; CHAR(65+C0Col)),2,FALSE)&gt;COUNTIF($E102:AD102,"u")+COUNTIF($E102:AD102,"t")+COUNTIF($E102:AD102,"¶")+COUNTIF($E102:AD102,"²")+COUNTIF($E102:AD102,"µ")+COUNTIF($E102:AD102,1)),
HYPERLINK("#Roadmap!C"&amp; MATCH($E102,Roadmap!$D:$D,0)+COUNTIF($E102:AD102,"u")+COUNTIF($E102:AD102,"t"),
     INDEX(Roadmap!$D:$K,MATCH($E102,Roadmap!$D:$D,0)+COUNTIF($E102:AD102,"u")+COUNTIF($E102:AD102,"t")+COUNTIF($E102:AD102,"¶")+COUNTIF($E102:AD102,"²")+COUNTIF($E102:AD102,"µ")+COUNTIF($E102:AD102,1),ColTypeEcheance)),
  IF(LEN(AD102)=1,
  IF(LEN(INDEX(Roadmap!$D:$K,MATCH($E102,Roadmap!$D:$D,0)-1+COUNTIF($E102:AD102,"u")+COUNTIF($E102:AD102,"t")+COUNTIF($E102:AD102,"¶")+COUNTIF($E102:AD102,"²")+COUNTIF($E102:AD102,"µ")+COUNTIF($E102:AD102,1),ColDescriptionCourte))&gt;1,
HYPERLINK("#Roadmap!C"&amp; MATCH($E102,Roadmap!$D:$D,0)+COUNTIF($E102:AD102,"u")+COUNTIF($E102:AD102,"t")+COUNTIF($E102:AD102,"¶")+COUNTIF($E102:AD102,"²")+COUNTIF($E102:AD102,"µ")+COUNTIF($E102:AD102,1)-1,INDEX(Roadmap!$D:$K,MATCH($E102,Roadmap!$D:$D,0)-1+COUNTIF($E102:AD102,"u")+COUNTIF($E102:AD102,"t")+COUNTIF($E102:AD102,"¶")+COUNTIF($E102:AD102,"²")+COUNTIF($E102:AD102,"µ")+COUNTIF($E102:AD102,1),ColDescriptionCourte)),""),
  "")),"")</f>
        <v/>
      </c>
      <c r="AF102" s="40" t="str">
        <f ca="1">IFERROR(IF(AND(
  INDEX(Roadmap!$D:$K,MATCH($E102,Roadmap!$D:$D,0)+COUNTIF($E102:AE102,"u")+COUNTIF($E102:AE102,"t")+COUNTIF($E102:AE102,"¶")+COUNTIF($E102:AE102,"²")+COUNTIF($E102:AE102,"µ")+COUNTIF($E102:AE102,1),ColLivraison)=AF$6,
  VLOOKUP($E102,INDIRECT("tri!"&amp; CHAR(64+ C0Col) &amp;":"&amp; CHAR(65+C0Col)),2,FALSE)&gt;COUNTIF($E102:AE102,"u")+COUNTIF($E102:AE102,"t")+COUNTIF($E102:AE102,"¶")+COUNTIF($E102:AE102,"²")+COUNTIF($E102:AE102,"µ")+COUNTIF($E102:AE102,1)),
HYPERLINK("#Roadmap!C"&amp; MATCH($E102,Roadmap!$D:$D,0)+COUNTIF($E102:AE102,"u")+COUNTIF($E102:AE102,"t"),
     INDEX(Roadmap!$D:$K,MATCH($E102,Roadmap!$D:$D,0)+COUNTIF($E102:AE102,"u")+COUNTIF($E102:AE102,"t")+COUNTIF($E102:AE102,"¶")+COUNTIF($E102:AE102,"²")+COUNTIF($E102:AE102,"µ")+COUNTIF($E102:AE102,1),ColTypeEcheance)),
  IF(LEN(AE102)=1,
  IF(LEN(INDEX(Roadmap!$D:$K,MATCH($E102,Roadmap!$D:$D,0)-1+COUNTIF($E102:AE102,"u")+COUNTIF($E102:AE102,"t")+COUNTIF($E102:AE102,"¶")+COUNTIF($E102:AE102,"²")+COUNTIF($E102:AE102,"µ")+COUNTIF($E102:AE102,1),ColDescriptionCourte))&gt;1,
HYPERLINK("#Roadmap!C"&amp; MATCH($E102,Roadmap!$D:$D,0)+COUNTIF($E102:AE102,"u")+COUNTIF($E102:AE102,"t")+COUNTIF($E102:AE102,"¶")+COUNTIF($E102:AE102,"²")+COUNTIF($E102:AE102,"µ")+COUNTIF($E102:AE102,1)-1,INDEX(Roadmap!$D:$K,MATCH($E102,Roadmap!$D:$D,0)-1+COUNTIF($E102:AE102,"u")+COUNTIF($E102:AE102,"t")+COUNTIF($E102:AE102,"¶")+COUNTIF($E102:AE102,"²")+COUNTIF($E102:AE102,"µ")+COUNTIF($E102:AE102,1),ColDescriptionCourte)),""),
  "")),"")</f>
        <v/>
      </c>
      <c r="AG102" s="40" t="str">
        <f ca="1">IFERROR(IF(AND(
  INDEX(Roadmap!$D:$K,MATCH($E102,Roadmap!$D:$D,0)+COUNTIF($E102:AF102,"u")+COUNTIF($E102:AF102,"t")+COUNTIF($E102:AF102,"¶")+COUNTIF($E102:AF102,"²")+COUNTIF($E102:AF102,"µ")+COUNTIF($E102:AF102,1),ColLivraison)=AG$6,
  VLOOKUP($E102,INDIRECT("tri!"&amp; CHAR(64+ C0Col) &amp;":"&amp; CHAR(65+C0Col)),2,FALSE)&gt;COUNTIF($E102:AF102,"u")+COUNTIF($E102:AF102,"t")+COUNTIF($E102:AF102,"¶")+COUNTIF($E102:AF102,"²")+COUNTIF($E102:AF102,"µ")+COUNTIF($E102:AF102,1)),
HYPERLINK("#Roadmap!C"&amp; MATCH($E102,Roadmap!$D:$D,0)+COUNTIF($E102:AF102,"u")+COUNTIF($E102:AF102,"t"),
     INDEX(Roadmap!$D:$K,MATCH($E102,Roadmap!$D:$D,0)+COUNTIF($E102:AF102,"u")+COUNTIF($E102:AF102,"t")+COUNTIF($E102:AF102,"¶")+COUNTIF($E102:AF102,"²")+COUNTIF($E102:AF102,"µ")+COUNTIF($E102:AF102,1),ColTypeEcheance)),
  IF(LEN(AF102)=1,
  IF(LEN(INDEX(Roadmap!$D:$K,MATCH($E102,Roadmap!$D:$D,0)-1+COUNTIF($E102:AF102,"u")+COUNTIF($E102:AF102,"t")+COUNTIF($E102:AF102,"¶")+COUNTIF($E102:AF102,"²")+COUNTIF($E102:AF102,"µ")+COUNTIF($E102:AF102,1),ColDescriptionCourte))&gt;1,
HYPERLINK("#Roadmap!C"&amp; MATCH($E102,Roadmap!$D:$D,0)+COUNTIF($E102:AF102,"u")+COUNTIF($E102:AF102,"t")+COUNTIF($E102:AF102,"¶")+COUNTIF($E102:AF102,"²")+COUNTIF($E102:AF102,"µ")+COUNTIF($E102:AF102,1)-1,INDEX(Roadmap!$D:$K,MATCH($E102,Roadmap!$D:$D,0)-1+COUNTIF($E102:AF102,"u")+COUNTIF($E102:AF102,"t")+COUNTIF($E102:AF102,"¶")+COUNTIF($E102:AF102,"²")+COUNTIF($E102:AF102,"µ")+COUNTIF($E102:AF102,1),ColDescriptionCourte)),""),
  "")),"")</f>
        <v/>
      </c>
      <c r="AH102" s="40" t="str">
        <f ca="1">IFERROR(IF(AND(
  INDEX(Roadmap!$D:$K,MATCH($E102,Roadmap!$D:$D,0)+COUNTIF($E102:AG102,"u")+COUNTIF($E102:AG102,"t")+COUNTIF($E102:AG102,1),ColLivraison)=AH$6,
  VLOOKUP($E102,INDIRECT("tri!"&amp; CHAR(64+ C0Col) &amp;":"&amp; CHAR(65+C0Col)),2,FALSE)&gt;COUNTIF($E102:AG102,"u")+COUNTIF($E102:AG102,"t")+COUNTIF($E102:AG102,1)),
HYPERLINK("#Roadmap!C"&amp; MATCH($E102,Roadmap!$D:$D,0)+COUNTIF($E102:AG102,"u")+COUNTIF($E102:AG102,"t"),
     INDEX(Roadmap!$D:$K,MATCH($E102,Roadmap!$D:$D,0)+COUNTIF($E102:AG102,"u")+COUNTIF($E102:AG102,"t")+COUNTIF($E102:AG102,1),ColTypeEcheance)),
  IF(OR(AG102="u",AG102="t",AG102=1),
  IF(LEN(INDEX(Roadmap!$D:$K,MATCH($E102,Roadmap!$D:$D,0)-1+COUNTIF($E102:AG102,"u")+COUNTIF($E102:AG102,"t")+COUNTIF($E102:AG102,1),ColDescriptionCourte))&gt;1,
HYPERLINK("#Roadmap!C"&amp; MATCH($E102,Roadmap!$D:$D,0)+COUNTIF($E102:AG102,"u")+COUNTIF($E102:AG102,"t")+COUNTIF($E102:AG102,1)-1,INDEX(Roadmap!$D:$K,MATCH($E102,Roadmap!$D:$D,0)-1+COUNTIF($E102:AG102,"u")+COUNTIF($E102:AG102,"t")+COUNTIF($E102:AG102,1),ColDescriptionCourte)),""),
  "")),"")</f>
        <v/>
      </c>
      <c r="AI102" s="40"/>
      <c r="AJ102" s="40"/>
      <c r="AK102" s="40"/>
      <c r="AL102" s="40"/>
      <c r="AM102" s="40"/>
    </row>
    <row r="103" spans="4:39" ht="14.1" customHeight="1">
      <c r="D103" s="20" t="str">
        <f t="shared" ca="1" si="29"/>
        <v/>
      </c>
      <c r="E103" s="53" t="str">
        <f t="shared" ca="1" si="30"/>
        <v/>
      </c>
      <c r="F103" s="39" t="str">
        <f ca="1">IFERROR(IF(AND(
  INDEX(Roadmap!$D:$K,MATCH($E103,Roadmap!$D:$D,0)+COUNTIF($E103:E103,"u")+COUNTIF($E103:E103,"t")+COUNTIF($E103:E103,"¶")+COUNTIF($E103:E103,"²")+COUNTIF($E103:E103,"µ")+COUNTIF($E103:E103,1),ColLivraison)=F$6,
  VLOOKUP($E103,INDIRECT("tri!"&amp; CHAR(64+ C0Col) &amp;":"&amp; CHAR(65+C0Col)),2,FALSE)&gt;COUNTIF($E103:E103,"u")+COUNTIF($E103:E103,"t")+COUNTIF($E103:E103,"¶")+COUNTIF($E103:E103,"²")+COUNTIF($E103:E103,"µ")+COUNTIF($E103:E103,1)),
HYPERLINK("#Roadmap!C"&amp; MATCH($E103,Roadmap!$D:$D,0)+COUNTIF($E103:E103,"u")+COUNTIF($E103:E103,"t"),
     INDEX(Roadmap!$D:$K,MATCH($E103,Roadmap!$D:$D,0)+COUNTIF($E103:E103,"u")+COUNTIF($E103:E103,"t")+COUNTIF($E103:E103,"¶")+COUNTIF($E103:E103,"²")+COUNTIF($E103:E103,"µ")+COUNTIF($E103:E103,1),ColTypeEcheance)),
  IF(LEN(E103)=1,
  IF(LEN(INDEX(Roadmap!$D:$K,MATCH($E103,Roadmap!$D:$D,0)-1+COUNTIF($E103:E103,"u")+COUNTIF($E103:E103,"t")+COUNTIF($E103:E103,"¶")+COUNTIF($E103:E103,"²")+COUNTIF($E103:E103,"µ")+COUNTIF($E103:E103,1),ColDescriptionCourte))&gt;1,
HYPERLINK("#Roadmap!C"&amp; MATCH($E103,Roadmap!$D:$D,0)+COUNTIF($E103:E103,"u")+COUNTIF($E103:E103,"t")+COUNTIF($E103:E103,"¶")+COUNTIF($E103:E103,"²")+COUNTIF($E103:E103,"µ")+COUNTIF($E103:E103,1)-1,INDEX(Roadmap!$D:$K,MATCH($E103,Roadmap!$D:$D,0)-1+COUNTIF($E103:E103,"u")+COUNTIF($E103:E103,"t")+COUNTIF($E103:E103,"¶")+COUNTIF($E103:E103,"²")+COUNTIF($E103:E103,"µ")+COUNTIF($E103:E103,1),ColDescriptionCourte)),""),
  "")),"")</f>
        <v/>
      </c>
      <c r="G103" s="40" t="str">
        <f ca="1">IFERROR(IF(AND(
  INDEX(Roadmap!$D:$K,MATCH($E103,Roadmap!$D:$D,0)+COUNTIF($E103:F103,"u")+COUNTIF($E103:F103,"t")+COUNTIF($E103:F103,"¶")+COUNTIF($E103:F103,"²")+COUNTIF($E103:F103,"µ")+COUNTIF($E103:F103,1),ColLivraison)=G$6,
  VLOOKUP($E103,INDIRECT("tri!"&amp; CHAR(64+ C0Col) &amp;":"&amp; CHAR(65+C0Col)),2,FALSE)&gt;COUNTIF($E103:F103,"u")+COUNTIF($E103:F103,"t")+COUNTIF($E103:F103,"¶")+COUNTIF($E103:F103,"²")+COUNTIF($E103:F103,"µ")+COUNTIF($E103:F103,1)),
HYPERLINK("#Roadmap!C"&amp; MATCH($E103,Roadmap!$D:$D,0)+COUNTIF($E103:F103,"u")+COUNTIF($E103:F103,"t"),
     INDEX(Roadmap!$D:$K,MATCH($E103,Roadmap!$D:$D,0)+COUNTIF($E103:F103,"u")+COUNTIF($E103:F103,"t")+COUNTIF($E103:F103,"¶")+COUNTIF($E103:F103,"²")+COUNTIF($E103:F103,"µ")+COUNTIF($E103:F103,1),ColTypeEcheance)),
  IF(LEN(F103)=1,
  IF(LEN(INDEX(Roadmap!$D:$K,MATCH($E103,Roadmap!$D:$D,0)-1+COUNTIF($E103:F103,"u")+COUNTIF($E103:F103,"t")+COUNTIF($E103:F103,"¶")+COUNTIF($E103:F103,"²")+COUNTIF($E103:F103,"µ")+COUNTIF($E103:F103,1),ColDescriptionCourte))&gt;1,
HYPERLINK("#Roadmap!C"&amp; MATCH($E103,Roadmap!$D:$D,0)+COUNTIF($E103:F103,"u")+COUNTIF($E103:F103,"t")+COUNTIF($E103:F103,"¶")+COUNTIF($E103:F103,"²")+COUNTIF($E103:F103,"µ")+COUNTIF($E103:F103,1)-1,INDEX(Roadmap!$D:$K,MATCH($E103,Roadmap!$D:$D,0)-1+COUNTIF($E103:F103,"u")+COUNTIF($E103:F103,"t")+COUNTIF($E103:F103,"¶")+COUNTIF($E103:F103,"²")+COUNTIF($E103:F103,"µ")+COUNTIF($E103:F103,1),ColDescriptionCourte)),""),
  "")),"")</f>
        <v/>
      </c>
      <c r="H103" s="40" t="str">
        <f ca="1">IFERROR(IF(AND(
  INDEX(Roadmap!$D:$K,MATCH($E103,Roadmap!$D:$D,0)+COUNTIF($E103:G103,"u")+COUNTIF($E103:G103,"t")+COUNTIF($E103:G103,"¶")+COUNTIF($E103:G103,"²")+COUNTIF($E103:G103,"µ")+COUNTIF($E103:G103,1),ColLivraison)=H$6,
  VLOOKUP($E103,INDIRECT("tri!"&amp; CHAR(64+ C0Col) &amp;":"&amp; CHAR(65+C0Col)),2,FALSE)&gt;COUNTIF($E103:G103,"u")+COUNTIF($E103:G103,"t")+COUNTIF($E103:G103,"¶")+COUNTIF($E103:G103,"²")+COUNTIF($E103:G103,"µ")+COUNTIF($E103:G103,1)),
HYPERLINK("#Roadmap!C"&amp; MATCH($E103,Roadmap!$D:$D,0)+COUNTIF($E103:G103,"u")+COUNTIF($E103:G103,"t"),
     INDEX(Roadmap!$D:$K,MATCH($E103,Roadmap!$D:$D,0)+COUNTIF($E103:G103,"u")+COUNTIF($E103:G103,"t")+COUNTIF($E103:G103,"¶")+COUNTIF($E103:G103,"²")+COUNTIF($E103:G103,"µ")+COUNTIF($E103:G103,1),ColTypeEcheance)),
  IF(LEN(G103)=1,
  IF(LEN(INDEX(Roadmap!$D:$K,MATCH($E103,Roadmap!$D:$D,0)-1+COUNTIF($E103:G103,"u")+COUNTIF($E103:G103,"t")+COUNTIF($E103:G103,"¶")+COUNTIF($E103:G103,"²")+COUNTIF($E103:G103,"µ")+COUNTIF($E103:G103,1),ColDescriptionCourte))&gt;1,
HYPERLINK("#Roadmap!C"&amp; MATCH($E103,Roadmap!$D:$D,0)+COUNTIF($E103:G103,"u")+COUNTIF($E103:G103,"t")+COUNTIF($E103:G103,"¶")+COUNTIF($E103:G103,"²")+COUNTIF($E103:G103,"µ")+COUNTIF($E103:G103,1)-1,INDEX(Roadmap!$D:$K,MATCH($E103,Roadmap!$D:$D,0)-1+COUNTIF($E103:G103,"u")+COUNTIF($E103:G103,"t")+COUNTIF($E103:G103,"¶")+COUNTIF($E103:G103,"²")+COUNTIF($E103:G103,"µ")+COUNTIF($E103:G103,1),ColDescriptionCourte)),""),
  "")),"")</f>
        <v/>
      </c>
      <c r="I103" s="40" t="str">
        <f ca="1">IFERROR(IF(AND(
  INDEX(Roadmap!$D:$K,MATCH($E103,Roadmap!$D:$D,0)+COUNTIF($E103:H103,"u")+COUNTIF($E103:H103,"t")+COUNTIF($E103:H103,"¶")+COUNTIF($E103:H103,"²")+COUNTIF($E103:H103,"µ")+COUNTIF($E103:H103,1),ColLivraison)=I$6,
  VLOOKUP($E103,INDIRECT("tri!"&amp; CHAR(64+ C0Col) &amp;":"&amp; CHAR(65+C0Col)),2,FALSE)&gt;COUNTIF($E103:H103,"u")+COUNTIF($E103:H103,"t")+COUNTIF($E103:H103,"¶")+COUNTIF($E103:H103,"²")+COUNTIF($E103:H103,"µ")+COUNTIF($E103:H103,1)),
HYPERLINK("#Roadmap!C"&amp; MATCH($E103,Roadmap!$D:$D,0)+COUNTIF($E103:H103,"u")+COUNTIF($E103:H103,"t"),
     INDEX(Roadmap!$D:$K,MATCH($E103,Roadmap!$D:$D,0)+COUNTIF($E103:H103,"u")+COUNTIF($E103:H103,"t")+COUNTIF($E103:H103,"¶")+COUNTIF($E103:H103,"²")+COUNTIF($E103:H103,"µ")+COUNTIF($E103:H103,1),ColTypeEcheance)),
  IF(LEN(H103)=1,
  IF(LEN(INDEX(Roadmap!$D:$K,MATCH($E103,Roadmap!$D:$D,0)-1+COUNTIF($E103:H103,"u")+COUNTIF($E103:H103,"t")+COUNTIF($E103:H103,"¶")+COUNTIF($E103:H103,"²")+COUNTIF($E103:H103,"µ")+COUNTIF($E103:H103,1),ColDescriptionCourte))&gt;1,
HYPERLINK("#Roadmap!C"&amp; MATCH($E103,Roadmap!$D:$D,0)+COUNTIF($E103:H103,"u")+COUNTIF($E103:H103,"t")+COUNTIF($E103:H103,"¶")+COUNTIF($E103:H103,"²")+COUNTIF($E103:H103,"µ")+COUNTIF($E103:H103,1)-1,INDEX(Roadmap!$D:$K,MATCH($E103,Roadmap!$D:$D,0)-1+COUNTIF($E103:H103,"u")+COUNTIF($E103:H103,"t")+COUNTIF($E103:H103,"¶")+COUNTIF($E103:H103,"²")+COUNTIF($E103:H103,"µ")+COUNTIF($E103:H103,1),ColDescriptionCourte)),""),
  "")),"")</f>
        <v/>
      </c>
      <c r="J103" s="40" t="str">
        <f ca="1">IFERROR(IF(AND(
  INDEX(Roadmap!$D:$K,MATCH($E103,Roadmap!$D:$D,0)+COUNTIF($E103:I103,"u")+COUNTIF($E103:I103,"t")+COUNTIF($E103:I103,"¶")+COUNTIF($E103:I103,"²")+COUNTIF($E103:I103,"µ")+COUNTIF($E103:I103,1),ColLivraison)=J$6,
  VLOOKUP($E103,INDIRECT("tri!"&amp; CHAR(64+ C0Col) &amp;":"&amp; CHAR(65+C0Col)),2,FALSE)&gt;COUNTIF($E103:I103,"u")+COUNTIF($E103:I103,"t")+COUNTIF($E103:I103,"¶")+COUNTIF($E103:I103,"²")+COUNTIF($E103:I103,"µ")+COUNTIF($E103:I103,1)),
HYPERLINK("#Roadmap!C"&amp; MATCH($E103,Roadmap!$D:$D,0)+COUNTIF($E103:I103,"u")+COUNTIF($E103:I103,"t"),
     INDEX(Roadmap!$D:$K,MATCH($E103,Roadmap!$D:$D,0)+COUNTIF($E103:I103,"u")+COUNTIF($E103:I103,"t")+COUNTIF($E103:I103,"¶")+COUNTIF($E103:I103,"²")+COUNTIF($E103:I103,"µ")+COUNTIF($E103:I103,1),ColTypeEcheance)),
  IF(LEN(I103)=1,
  IF(LEN(INDEX(Roadmap!$D:$K,MATCH($E103,Roadmap!$D:$D,0)-1+COUNTIF($E103:I103,"u")+COUNTIF($E103:I103,"t")+COUNTIF($E103:I103,"¶")+COUNTIF($E103:I103,"²")+COUNTIF($E103:I103,"µ")+COUNTIF($E103:I103,1),ColDescriptionCourte))&gt;1,
HYPERLINK("#Roadmap!C"&amp; MATCH($E103,Roadmap!$D:$D,0)+COUNTIF($E103:I103,"u")+COUNTIF($E103:I103,"t")+COUNTIF($E103:I103,"¶")+COUNTIF($E103:I103,"²")+COUNTIF($E103:I103,"µ")+COUNTIF($E103:I103,1)-1,INDEX(Roadmap!$D:$K,MATCH($E103,Roadmap!$D:$D,0)-1+COUNTIF($E103:I103,"u")+COUNTIF($E103:I103,"t")+COUNTIF($E103:I103,"¶")+COUNTIF($E103:I103,"²")+COUNTIF($E103:I103,"µ")+COUNTIF($E103:I103,1),ColDescriptionCourte)),""),
  "")),"")</f>
        <v/>
      </c>
      <c r="K103" s="40" t="str">
        <f ca="1">IFERROR(IF(AND(
  INDEX(Roadmap!$D:$K,MATCH($E103,Roadmap!$D:$D,0)+COUNTIF($E103:J103,"u")+COUNTIF($E103:J103,"t")+COUNTIF($E103:J103,"¶")+COUNTIF($E103:J103,"²")+COUNTIF($E103:J103,"µ")+COUNTIF($E103:J103,1),ColLivraison)=K$6,
  VLOOKUP($E103,INDIRECT("tri!"&amp; CHAR(64+ C0Col) &amp;":"&amp; CHAR(65+C0Col)),2,FALSE)&gt;COUNTIF($E103:J103,"u")+COUNTIF($E103:J103,"t")+COUNTIF($E103:J103,"¶")+COUNTIF($E103:J103,"²")+COUNTIF($E103:J103,"µ")+COUNTIF($E103:J103,1)),
HYPERLINK("#Roadmap!C"&amp; MATCH($E103,Roadmap!$D:$D,0)+COUNTIF($E103:J103,"u")+COUNTIF($E103:J103,"t"),
     INDEX(Roadmap!$D:$K,MATCH($E103,Roadmap!$D:$D,0)+COUNTIF($E103:J103,"u")+COUNTIF($E103:J103,"t")+COUNTIF($E103:J103,"¶")+COUNTIF($E103:J103,"²")+COUNTIF($E103:J103,"µ")+COUNTIF($E103:J103,1),ColTypeEcheance)),
  IF(LEN(J103)=1,
  IF(LEN(INDEX(Roadmap!$D:$K,MATCH($E103,Roadmap!$D:$D,0)-1+COUNTIF($E103:J103,"u")+COUNTIF($E103:J103,"t")+COUNTIF($E103:J103,"¶")+COUNTIF($E103:J103,"²")+COUNTIF($E103:J103,"µ")+COUNTIF($E103:J103,1),ColDescriptionCourte))&gt;1,
HYPERLINK("#Roadmap!C"&amp; MATCH($E103,Roadmap!$D:$D,0)+COUNTIF($E103:J103,"u")+COUNTIF($E103:J103,"t")+COUNTIF($E103:J103,"¶")+COUNTIF($E103:J103,"²")+COUNTIF($E103:J103,"µ")+COUNTIF($E103:J103,1)-1,INDEX(Roadmap!$D:$K,MATCH($E103,Roadmap!$D:$D,0)-1+COUNTIF($E103:J103,"u")+COUNTIF($E103:J103,"t")+COUNTIF($E103:J103,"¶")+COUNTIF($E103:J103,"²")+COUNTIF($E103:J103,"µ")+COUNTIF($E103:J103,1),ColDescriptionCourte)),""),
  "")),"")</f>
        <v/>
      </c>
      <c r="L103" s="39" t="str">
        <f ca="1">IFERROR(IF(AND(
  INDEX(Roadmap!$D:$K,MATCH($E103,Roadmap!$D:$D,0)+COUNTIF($E103:K103,"u")+COUNTIF($E103:K103,"t")+COUNTIF($E103:K103,"¶")+COUNTIF($E103:K103,"²")+COUNTIF($E103:K103,"µ")+COUNTIF($E103:K103,1),ColLivraison)=L$6,
  VLOOKUP($E103,INDIRECT("tri!"&amp; CHAR(64+ C0Col) &amp;":"&amp; CHAR(65+C0Col)),2,FALSE)&gt;COUNTIF($E103:K103,"u")+COUNTIF($E103:K103,"t")+COUNTIF($E103:K103,"¶")+COUNTIF($E103:K103,"²")+COUNTIF($E103:K103,"µ")+COUNTIF($E103:K103,1)),
HYPERLINK("#Roadmap!C"&amp; MATCH($E103,Roadmap!$D:$D,0)+COUNTIF($E103:K103,"u")+COUNTIF($E103:K103,"t"),
     INDEX(Roadmap!$D:$K,MATCH($E103,Roadmap!$D:$D,0)+COUNTIF($E103:K103,"u")+COUNTIF($E103:K103,"t")+COUNTIF($E103:K103,"¶")+COUNTIF($E103:K103,"²")+COUNTIF($E103:K103,"µ")+COUNTIF($E103:K103,1),ColTypeEcheance)),
  IF(LEN(K103)=1,
  IF(LEN(INDEX(Roadmap!$D:$K,MATCH($E103,Roadmap!$D:$D,0)-1+COUNTIF($E103:K103,"u")+COUNTIF($E103:K103,"t")+COUNTIF($E103:K103,"¶")+COUNTIF($E103:K103,"²")+COUNTIF($E103:K103,"µ")+COUNTIF($E103:K103,1),ColDescriptionCourte))&gt;1,
HYPERLINK("#Roadmap!C"&amp; MATCH($E103,Roadmap!$D:$D,0)+COUNTIF($E103:K103,"u")+COUNTIF($E103:K103,"t")+COUNTIF($E103:K103,"¶")+COUNTIF($E103:K103,"²")+COUNTIF($E103:K103,"µ")+COUNTIF($E103:K103,1)-1,INDEX(Roadmap!$D:$K,MATCH($E103,Roadmap!$D:$D,0)-1+COUNTIF($E103:K103,"u")+COUNTIF($E103:K103,"t")+COUNTIF($E103:K103,"¶")+COUNTIF($E103:K103,"²")+COUNTIF($E103:K103,"µ")+COUNTIF($E103:K103,1),ColDescriptionCourte)),""),
  "")),"")</f>
        <v/>
      </c>
      <c r="M103" s="40" t="str">
        <f ca="1">IFERROR(IF(AND(
  INDEX(Roadmap!$D:$K,MATCH($E103,Roadmap!$D:$D,0)+COUNTIF($E103:L103,"u")+COUNTIF($E103:L103,"t")+COUNTIF($E103:L103,"¶")+COUNTIF($E103:L103,"²")+COUNTIF($E103:L103,"µ")+COUNTIF($E103:L103,1),ColLivraison)=M$6,
  VLOOKUP($E103,INDIRECT("tri!"&amp; CHAR(64+ C0Col) &amp;":"&amp; CHAR(65+C0Col)),2,FALSE)&gt;COUNTIF($E103:L103,"u")+COUNTIF($E103:L103,"t")+COUNTIF($E103:L103,"¶")+COUNTIF($E103:L103,"²")+COUNTIF($E103:L103,"µ")+COUNTIF($E103:L103,1)),
HYPERLINK("#Roadmap!C"&amp; MATCH($E103,Roadmap!$D:$D,0)+COUNTIF($E103:L103,"u")+COUNTIF($E103:L103,"t"),
     INDEX(Roadmap!$D:$K,MATCH($E103,Roadmap!$D:$D,0)+COUNTIF($E103:L103,"u")+COUNTIF($E103:L103,"t")+COUNTIF($E103:L103,"¶")+COUNTIF($E103:L103,"²")+COUNTIF($E103:L103,"µ")+COUNTIF($E103:L103,1),ColTypeEcheance)),
  IF(LEN(L103)=1,
  IF(LEN(INDEX(Roadmap!$D:$K,MATCH($E103,Roadmap!$D:$D,0)-1+COUNTIF($E103:L103,"u")+COUNTIF($E103:L103,"t")+COUNTIF($E103:L103,"¶")+COUNTIF($E103:L103,"²")+COUNTIF($E103:L103,"µ")+COUNTIF($E103:L103,1),ColDescriptionCourte))&gt;1,
HYPERLINK("#Roadmap!C"&amp; MATCH($E103,Roadmap!$D:$D,0)+COUNTIF($E103:L103,"u")+COUNTIF($E103:L103,"t")+COUNTIF($E103:L103,"¶")+COUNTIF($E103:L103,"²")+COUNTIF($E103:L103,"µ")+COUNTIF($E103:L103,1)-1,INDEX(Roadmap!$D:$K,MATCH($E103,Roadmap!$D:$D,0)-1+COUNTIF($E103:L103,"u")+COUNTIF($E103:L103,"t")+COUNTIF($E103:L103,"¶")+COUNTIF($E103:L103,"²")+COUNTIF($E103:L103,"µ")+COUNTIF($E103:L103,1),ColDescriptionCourte)),""),
  "")),"")</f>
        <v/>
      </c>
      <c r="N103" s="40" t="str">
        <f ca="1">IFERROR(IF(AND(
  INDEX(Roadmap!$D:$K,MATCH($E103,Roadmap!$D:$D,0)+COUNTIF($E103:M103,"u")+COUNTIF($E103:M103,"t")+COUNTIF($E103:M103,"¶")+COUNTIF($E103:M103,"²")+COUNTIF($E103:M103,"µ")+COUNTIF($E103:M103,1),ColLivraison)=N$6,
  VLOOKUP($E103,INDIRECT("tri!"&amp; CHAR(64+ C0Col) &amp;":"&amp; CHAR(65+C0Col)),2,FALSE)&gt;COUNTIF($E103:M103,"u")+COUNTIF($E103:M103,"t")+COUNTIF($E103:M103,"¶")+COUNTIF($E103:M103,"²")+COUNTIF($E103:M103,"µ")+COUNTIF($E103:M103,1)),
HYPERLINK("#Roadmap!C"&amp; MATCH($E103,Roadmap!$D:$D,0)+COUNTIF($E103:M103,"u")+COUNTIF($E103:M103,"t"),
     INDEX(Roadmap!$D:$K,MATCH($E103,Roadmap!$D:$D,0)+COUNTIF($E103:M103,"u")+COUNTIF($E103:M103,"t")+COUNTIF($E103:M103,"¶")+COUNTIF($E103:M103,"²")+COUNTIF($E103:M103,"µ")+COUNTIF($E103:M103,1),ColTypeEcheance)),
  IF(LEN(M103)=1,
  IF(LEN(INDEX(Roadmap!$D:$K,MATCH($E103,Roadmap!$D:$D,0)-1+COUNTIF($E103:M103,"u")+COUNTIF($E103:M103,"t")+COUNTIF($E103:M103,"¶")+COUNTIF($E103:M103,"²")+COUNTIF($E103:M103,"µ")+COUNTIF($E103:M103,1),ColDescriptionCourte))&gt;1,
HYPERLINK("#Roadmap!C"&amp; MATCH($E103,Roadmap!$D:$D,0)+COUNTIF($E103:M103,"u")+COUNTIF($E103:M103,"t")+COUNTIF($E103:M103,"¶")+COUNTIF($E103:M103,"²")+COUNTIF($E103:M103,"µ")+COUNTIF($E103:M103,1)-1,INDEX(Roadmap!$D:$K,MATCH($E103,Roadmap!$D:$D,0)-1+COUNTIF($E103:M103,"u")+COUNTIF($E103:M103,"t")+COUNTIF($E103:M103,"¶")+COUNTIF($E103:M103,"²")+COUNTIF($E103:M103,"µ")+COUNTIF($E103:M103,1),ColDescriptionCourte)),""),
  "")),"")</f>
        <v/>
      </c>
      <c r="O103" s="40" t="str">
        <f ca="1">IFERROR(IF(AND(
  INDEX(Roadmap!$D:$K,MATCH($E103,Roadmap!$D:$D,0)+COUNTIF($E103:N103,"u")+COUNTIF($E103:N103,"t")+COUNTIF($E103:N103,"¶")+COUNTIF($E103:N103,"²")+COUNTIF($E103:N103,"µ")+COUNTIF($E103:N103,1),ColLivraison)=O$6,
  VLOOKUP($E103,INDIRECT("tri!"&amp; CHAR(64+ C0Col) &amp;":"&amp; CHAR(65+C0Col)),2,FALSE)&gt;COUNTIF($E103:N103,"u")+COUNTIF($E103:N103,"t")+COUNTIF($E103:N103,"¶")+COUNTIF($E103:N103,"²")+COUNTIF($E103:N103,"µ")+COUNTIF($E103:N103,1)),
HYPERLINK("#Roadmap!C"&amp; MATCH($E103,Roadmap!$D:$D,0)+COUNTIF($E103:N103,"u")+COUNTIF($E103:N103,"t"),
     INDEX(Roadmap!$D:$K,MATCH($E103,Roadmap!$D:$D,0)+COUNTIF($E103:N103,"u")+COUNTIF($E103:N103,"t")+COUNTIF($E103:N103,"¶")+COUNTIF($E103:N103,"²")+COUNTIF($E103:N103,"µ")+COUNTIF($E103:N103,1),ColTypeEcheance)),
  IF(LEN(N103)=1,
  IF(LEN(INDEX(Roadmap!$D:$K,MATCH($E103,Roadmap!$D:$D,0)-1+COUNTIF($E103:N103,"u")+COUNTIF($E103:N103,"t")+COUNTIF($E103:N103,"¶")+COUNTIF($E103:N103,"²")+COUNTIF($E103:N103,"µ")+COUNTIF($E103:N103,1),ColDescriptionCourte))&gt;1,
HYPERLINK("#Roadmap!C"&amp; MATCH($E103,Roadmap!$D:$D,0)+COUNTIF($E103:N103,"u")+COUNTIF($E103:N103,"t")+COUNTIF($E103:N103,"¶")+COUNTIF($E103:N103,"²")+COUNTIF($E103:N103,"µ")+COUNTIF($E103:N103,1)-1,INDEX(Roadmap!$D:$K,MATCH($E103,Roadmap!$D:$D,0)-1+COUNTIF($E103:N103,"u")+COUNTIF($E103:N103,"t")+COUNTIF($E103:N103,"¶")+COUNTIF($E103:N103,"²")+COUNTIF($E103:N103,"µ")+COUNTIF($E103:N103,1),ColDescriptionCourte)),""),
  "")),"")</f>
        <v/>
      </c>
      <c r="P103" s="40" t="str">
        <f ca="1">IFERROR(IF(AND(
  INDEX(Roadmap!$D:$K,MATCH($E103,Roadmap!$D:$D,0)+COUNTIF($E103:O103,"u")+COUNTIF($E103:O103,"t")+COUNTIF($E103:O103,"¶")+COUNTIF($E103:O103,"²")+COUNTIF($E103:O103,"µ")+COUNTIF($E103:O103,1),ColLivraison)=P$6,
  VLOOKUP($E103,INDIRECT("tri!"&amp; CHAR(64+ C0Col) &amp;":"&amp; CHAR(65+C0Col)),2,FALSE)&gt;COUNTIF($E103:O103,"u")+COUNTIF($E103:O103,"t")+COUNTIF($E103:O103,"¶")+COUNTIF($E103:O103,"²")+COUNTIF($E103:O103,"µ")+COUNTIF($E103:O103,1)),
HYPERLINK("#Roadmap!C"&amp; MATCH($E103,Roadmap!$D:$D,0)+COUNTIF($E103:O103,"u")+COUNTIF($E103:O103,"t"),
     INDEX(Roadmap!$D:$K,MATCH($E103,Roadmap!$D:$D,0)+COUNTIF($E103:O103,"u")+COUNTIF($E103:O103,"t")+COUNTIF($E103:O103,"¶")+COUNTIF($E103:O103,"²")+COUNTIF($E103:O103,"µ")+COUNTIF($E103:O103,1),ColTypeEcheance)),
  IF(LEN(O103)=1,
  IF(LEN(INDEX(Roadmap!$D:$K,MATCH($E103,Roadmap!$D:$D,0)-1+COUNTIF($E103:O103,"u")+COUNTIF($E103:O103,"t")+COUNTIF($E103:O103,"¶")+COUNTIF($E103:O103,"²")+COUNTIF($E103:O103,"µ")+COUNTIF($E103:O103,1),ColDescriptionCourte))&gt;1,
HYPERLINK("#Roadmap!C"&amp; MATCH($E103,Roadmap!$D:$D,0)+COUNTIF($E103:O103,"u")+COUNTIF($E103:O103,"t")+COUNTIF($E103:O103,"¶")+COUNTIF($E103:O103,"²")+COUNTIF($E103:O103,"µ")+COUNTIF($E103:O103,1)-1,INDEX(Roadmap!$D:$K,MATCH($E103,Roadmap!$D:$D,0)-1+COUNTIF($E103:O103,"u")+COUNTIF($E103:O103,"t")+COUNTIF($E103:O103,"¶")+COUNTIF($E103:O103,"²")+COUNTIF($E103:O103,"µ")+COUNTIF($E103:O103,1),ColDescriptionCourte)),""),
  "")),"")</f>
        <v/>
      </c>
      <c r="Q103" s="40" t="str">
        <f ca="1">IFERROR(IF(AND(
  INDEX(Roadmap!$D:$K,MATCH($E103,Roadmap!$D:$D,0)+COUNTIF($E103:P103,"u")+COUNTIF($E103:P103,"t")+COUNTIF($E103:P103,"¶")+COUNTIF($E103:P103,"²")+COUNTIF($E103:P103,"µ")+COUNTIF($E103:P103,1),ColLivraison)=Q$6,
  VLOOKUP($E103,INDIRECT("tri!"&amp; CHAR(64+ C0Col) &amp;":"&amp; CHAR(65+C0Col)),2,FALSE)&gt;COUNTIF($E103:P103,"u")+COUNTIF($E103:P103,"t")+COUNTIF($E103:P103,"¶")+COUNTIF($E103:P103,"²")+COUNTIF($E103:P103,"µ")+COUNTIF($E103:P103,1)),
HYPERLINK("#Roadmap!C"&amp; MATCH($E103,Roadmap!$D:$D,0)+COUNTIF($E103:P103,"u")+COUNTIF($E103:P103,"t"),
     INDEX(Roadmap!$D:$K,MATCH($E103,Roadmap!$D:$D,0)+COUNTIF($E103:P103,"u")+COUNTIF($E103:P103,"t")+COUNTIF($E103:P103,"¶")+COUNTIF($E103:P103,"²")+COUNTIF($E103:P103,"µ")+COUNTIF($E103:P103,1),ColTypeEcheance)),
  IF(LEN(P103)=1,
  IF(LEN(INDEX(Roadmap!$D:$K,MATCH($E103,Roadmap!$D:$D,0)-1+COUNTIF($E103:P103,"u")+COUNTIF($E103:P103,"t")+COUNTIF($E103:P103,"¶")+COUNTIF($E103:P103,"²")+COUNTIF($E103:P103,"µ")+COUNTIF($E103:P103,1),ColDescriptionCourte))&gt;1,
HYPERLINK("#Roadmap!C"&amp; MATCH($E103,Roadmap!$D:$D,0)+COUNTIF($E103:P103,"u")+COUNTIF($E103:P103,"t")+COUNTIF($E103:P103,"¶")+COUNTIF($E103:P103,"²")+COUNTIF($E103:P103,"µ")+COUNTIF($E103:P103,1)-1,INDEX(Roadmap!$D:$K,MATCH($E103,Roadmap!$D:$D,0)-1+COUNTIF($E103:P103,"u")+COUNTIF($E103:P103,"t")+COUNTIF($E103:P103,"¶")+COUNTIF($E103:P103,"²")+COUNTIF($E103:P103,"µ")+COUNTIF($E103:P103,1),ColDescriptionCourte)),""),
  "")),"")</f>
        <v/>
      </c>
      <c r="R103" s="40" t="str">
        <f ca="1">IFERROR(IF(AND(
  INDEX(Roadmap!$D:$K,MATCH($E103,Roadmap!$D:$D,0)+COUNTIF($E103:Q103,"u")+COUNTIF($E103:Q103,"t")+COUNTIF($E103:Q103,"¶")+COUNTIF($E103:Q103,"²")+COUNTIF($E103:Q103,"µ")+COUNTIF($E103:Q103,1),ColLivraison)=R$6,
  VLOOKUP($E103,INDIRECT("tri!"&amp; CHAR(64+ C0Col) &amp;":"&amp; CHAR(65+C0Col)),2,FALSE)&gt;COUNTIF($E103:Q103,"u")+COUNTIF($E103:Q103,"t")+COUNTIF($E103:Q103,"¶")+COUNTIF($E103:Q103,"²")+COUNTIF($E103:Q103,"µ")+COUNTIF($E103:Q103,1)),
HYPERLINK("#Roadmap!C"&amp; MATCH($E103,Roadmap!$D:$D,0)+COUNTIF($E103:Q103,"u")+COUNTIF($E103:Q103,"t"),
     INDEX(Roadmap!$D:$K,MATCH($E103,Roadmap!$D:$D,0)+COUNTIF($E103:Q103,"u")+COUNTIF($E103:Q103,"t")+COUNTIF($E103:Q103,"¶")+COUNTIF($E103:Q103,"²")+COUNTIF($E103:Q103,"µ")+COUNTIF($E103:Q103,1),ColTypeEcheance)),
  IF(LEN(Q103)=1,
  IF(LEN(INDEX(Roadmap!$D:$K,MATCH($E103,Roadmap!$D:$D,0)-1+COUNTIF($E103:Q103,"u")+COUNTIF($E103:Q103,"t")+COUNTIF($E103:Q103,"¶")+COUNTIF($E103:Q103,"²")+COUNTIF($E103:Q103,"µ")+COUNTIF($E103:Q103,1),ColDescriptionCourte))&gt;1,
HYPERLINK("#Roadmap!C"&amp; MATCH($E103,Roadmap!$D:$D,0)+COUNTIF($E103:Q103,"u")+COUNTIF($E103:Q103,"t")+COUNTIF($E103:Q103,"¶")+COUNTIF($E103:Q103,"²")+COUNTIF($E103:Q103,"µ")+COUNTIF($E103:Q103,1)-1,INDEX(Roadmap!$D:$K,MATCH($E103,Roadmap!$D:$D,0)-1+COUNTIF($E103:Q103,"u")+COUNTIF($E103:Q103,"t")+COUNTIF($E103:Q103,"¶")+COUNTIF($E103:Q103,"²")+COUNTIF($E103:Q103,"µ")+COUNTIF($E103:Q103,1),ColDescriptionCourte)),""),
  "")),"")</f>
        <v/>
      </c>
      <c r="S103" s="40" t="str">
        <f ca="1">IFERROR(IF(AND(
  INDEX(Roadmap!$D:$K,MATCH($E103,Roadmap!$D:$D,0)+COUNTIF($E103:R103,"u")+COUNTIF($E103:R103,"t")+COUNTIF($E103:R103,"¶")+COUNTIF($E103:R103,"²")+COUNTIF($E103:R103,"µ")+COUNTIF($E103:R103,1),ColLivraison)=S$6,
  VLOOKUP($E103,INDIRECT("tri!"&amp; CHAR(64+ C0Col) &amp;":"&amp; CHAR(65+C0Col)),2,FALSE)&gt;COUNTIF($E103:R103,"u")+COUNTIF($E103:R103,"t")+COUNTIF($E103:R103,"¶")+COUNTIF($E103:R103,"²")+COUNTIF($E103:R103,"µ")+COUNTIF($E103:R103,1)),
HYPERLINK("#Roadmap!C"&amp; MATCH($E103,Roadmap!$D:$D,0)+COUNTIF($E103:R103,"u")+COUNTIF($E103:R103,"t"),
     INDEX(Roadmap!$D:$K,MATCH($E103,Roadmap!$D:$D,0)+COUNTIF($E103:R103,"u")+COUNTIF($E103:R103,"t")+COUNTIF($E103:R103,"¶")+COUNTIF($E103:R103,"²")+COUNTIF($E103:R103,"µ")+COUNTIF($E103:R103,1),ColTypeEcheance)),
  IF(LEN(R103)=1,
  IF(LEN(INDEX(Roadmap!$D:$K,MATCH($E103,Roadmap!$D:$D,0)-1+COUNTIF($E103:R103,"u")+COUNTIF($E103:R103,"t")+COUNTIF($E103:R103,"¶")+COUNTIF($E103:R103,"²")+COUNTIF($E103:R103,"µ")+COUNTIF($E103:R103,1),ColDescriptionCourte))&gt;1,
HYPERLINK("#Roadmap!C"&amp; MATCH($E103,Roadmap!$D:$D,0)+COUNTIF($E103:R103,"u")+COUNTIF($E103:R103,"t")+COUNTIF($E103:R103,"¶")+COUNTIF($E103:R103,"²")+COUNTIF($E103:R103,"µ")+COUNTIF($E103:R103,1)-1,INDEX(Roadmap!$D:$K,MATCH($E103,Roadmap!$D:$D,0)-1+COUNTIF($E103:R103,"u")+COUNTIF($E103:R103,"t")+COUNTIF($E103:R103,"¶")+COUNTIF($E103:R103,"²")+COUNTIF($E103:R103,"µ")+COUNTIF($E103:R103,1),ColDescriptionCourte)),""),
  "")),"")</f>
        <v/>
      </c>
      <c r="T103" s="40" t="str">
        <f ca="1">IFERROR(IF(AND(
  INDEX(Roadmap!$D:$K,MATCH($E103,Roadmap!$D:$D,0)+COUNTIF($E103:S103,"u")+COUNTIF($E103:S103,"t")+COUNTIF($E103:S103,"¶")+COUNTIF($E103:S103,"²")+COUNTIF($E103:S103,"µ")+COUNTIF($E103:S103,1),ColLivraison)=T$6,
  VLOOKUP($E103,INDIRECT("tri!"&amp; CHAR(64+ C0Col) &amp;":"&amp; CHAR(65+C0Col)),2,FALSE)&gt;COUNTIF($E103:S103,"u")+COUNTIF($E103:S103,"t")+COUNTIF($E103:S103,"¶")+COUNTIF($E103:S103,"²")+COUNTIF($E103:S103,"µ")+COUNTIF($E103:S103,1)),
HYPERLINK("#Roadmap!C"&amp; MATCH($E103,Roadmap!$D:$D,0)+COUNTIF($E103:S103,"u")+COUNTIF($E103:S103,"t"),
     INDEX(Roadmap!$D:$K,MATCH($E103,Roadmap!$D:$D,0)+COUNTIF($E103:S103,"u")+COUNTIF($E103:S103,"t")+COUNTIF($E103:S103,"¶")+COUNTIF($E103:S103,"²")+COUNTIF($E103:S103,"µ")+COUNTIF($E103:S103,1),ColTypeEcheance)),
  IF(LEN(S103)=1,
  IF(LEN(INDEX(Roadmap!$D:$K,MATCH($E103,Roadmap!$D:$D,0)-1+COUNTIF($E103:S103,"u")+COUNTIF($E103:S103,"t")+COUNTIF($E103:S103,"¶")+COUNTIF($E103:S103,"²")+COUNTIF($E103:S103,"µ")+COUNTIF($E103:S103,1),ColDescriptionCourte))&gt;1,
HYPERLINK("#Roadmap!C"&amp; MATCH($E103,Roadmap!$D:$D,0)+COUNTIF($E103:S103,"u")+COUNTIF($E103:S103,"t")+COUNTIF($E103:S103,"¶")+COUNTIF($E103:S103,"²")+COUNTIF($E103:S103,"µ")+COUNTIF($E103:S103,1)-1,INDEX(Roadmap!$D:$K,MATCH($E103,Roadmap!$D:$D,0)-1+COUNTIF($E103:S103,"u")+COUNTIF($E103:S103,"t")+COUNTIF($E103:S103,"¶")+COUNTIF($E103:S103,"²")+COUNTIF($E103:S103,"µ")+COUNTIF($E103:S103,1),ColDescriptionCourte)),""),
  "")),"")</f>
        <v/>
      </c>
      <c r="U103" s="40" t="str">
        <f ca="1">IFERROR(IF(AND(
  INDEX(Roadmap!$D:$K,MATCH($E103,Roadmap!$D:$D,0)+COUNTIF($E103:T103,"u")+COUNTIF($E103:T103,"t")+COUNTIF($E103:T103,"¶")+COUNTIF($E103:T103,"²")+COUNTIF($E103:T103,"µ")+COUNTIF($E103:T103,1),ColLivraison)=U$6,
  VLOOKUP($E103,INDIRECT("tri!"&amp; CHAR(64+ C0Col) &amp;":"&amp; CHAR(65+C0Col)),2,FALSE)&gt;COUNTIF($E103:T103,"u")+COUNTIF($E103:T103,"t")+COUNTIF($E103:T103,"¶")+COUNTIF($E103:T103,"²")+COUNTIF($E103:T103,"µ")+COUNTIF($E103:T103,1)),
HYPERLINK("#Roadmap!C"&amp; MATCH($E103,Roadmap!$D:$D,0)+COUNTIF($E103:T103,"u")+COUNTIF($E103:T103,"t"),
     INDEX(Roadmap!$D:$K,MATCH($E103,Roadmap!$D:$D,0)+COUNTIF($E103:T103,"u")+COUNTIF($E103:T103,"t")+COUNTIF($E103:T103,"¶")+COUNTIF($E103:T103,"²")+COUNTIF($E103:T103,"µ")+COUNTIF($E103:T103,1),ColTypeEcheance)),
  IF(LEN(T103)=1,
  IF(LEN(INDEX(Roadmap!$D:$K,MATCH($E103,Roadmap!$D:$D,0)-1+COUNTIF($E103:T103,"u")+COUNTIF($E103:T103,"t")+COUNTIF($E103:T103,"¶")+COUNTIF($E103:T103,"²")+COUNTIF($E103:T103,"µ")+COUNTIF($E103:T103,1),ColDescriptionCourte))&gt;1,
HYPERLINK("#Roadmap!C"&amp; MATCH($E103,Roadmap!$D:$D,0)+COUNTIF($E103:T103,"u")+COUNTIF($E103:T103,"t")+COUNTIF($E103:T103,"¶")+COUNTIF($E103:T103,"²")+COUNTIF($E103:T103,"µ")+COUNTIF($E103:T103,1)-1,INDEX(Roadmap!$D:$K,MATCH($E103,Roadmap!$D:$D,0)-1+COUNTIF($E103:T103,"u")+COUNTIF($E103:T103,"t")+COUNTIF($E103:T103,"¶")+COUNTIF($E103:T103,"²")+COUNTIF($E103:T103,"µ")+COUNTIF($E103:T103,1),ColDescriptionCourte)),""),
  "")),"")</f>
        <v/>
      </c>
      <c r="V103" s="40" t="str">
        <f ca="1">IFERROR(IF(AND(
  INDEX(Roadmap!$D:$K,MATCH($E103,Roadmap!$D:$D,0)+COUNTIF($E103:U103,"u")+COUNTIF($E103:U103,"t")+COUNTIF($E103:U103,"¶")+COUNTIF($E103:U103,"²")+COUNTIF($E103:U103,"µ")+COUNTIF($E103:U103,1),ColLivraison)=V$6,
  VLOOKUP($E103,INDIRECT("tri!"&amp; CHAR(64+ C0Col) &amp;":"&amp; CHAR(65+C0Col)),2,FALSE)&gt;COUNTIF($E103:U103,"u")+COUNTIF($E103:U103,"t")+COUNTIF($E103:U103,"¶")+COUNTIF($E103:U103,"²")+COUNTIF($E103:U103,"µ")+COUNTIF($E103:U103,1)),
HYPERLINK("#Roadmap!C"&amp; MATCH($E103,Roadmap!$D:$D,0)+COUNTIF($E103:U103,"u")+COUNTIF($E103:U103,"t"),
     INDEX(Roadmap!$D:$K,MATCH($E103,Roadmap!$D:$D,0)+COUNTIF($E103:U103,"u")+COUNTIF($E103:U103,"t")+COUNTIF($E103:U103,"¶")+COUNTIF($E103:U103,"²")+COUNTIF($E103:U103,"µ")+COUNTIF($E103:U103,1),ColTypeEcheance)),
  IF(LEN(U103)=1,
  IF(LEN(INDEX(Roadmap!$D:$K,MATCH($E103,Roadmap!$D:$D,0)-1+COUNTIF($E103:U103,"u")+COUNTIF($E103:U103,"t")+COUNTIF($E103:U103,"¶")+COUNTIF($E103:U103,"²")+COUNTIF($E103:U103,"µ")+COUNTIF($E103:U103,1),ColDescriptionCourte))&gt;1,
HYPERLINK("#Roadmap!C"&amp; MATCH($E103,Roadmap!$D:$D,0)+COUNTIF($E103:U103,"u")+COUNTIF($E103:U103,"t")+COUNTIF($E103:U103,"¶")+COUNTIF($E103:U103,"²")+COUNTIF($E103:U103,"µ")+COUNTIF($E103:U103,1)-1,INDEX(Roadmap!$D:$K,MATCH($E103,Roadmap!$D:$D,0)-1+COUNTIF($E103:U103,"u")+COUNTIF($E103:U103,"t")+COUNTIF($E103:U103,"¶")+COUNTIF($E103:U103,"²")+COUNTIF($E103:U103,"µ")+COUNTIF($E103:U103,1),ColDescriptionCourte)),""),
  "")),"")</f>
        <v/>
      </c>
      <c r="W103" s="40" t="str">
        <f ca="1">IFERROR(IF(AND(
  INDEX(Roadmap!$D:$K,MATCH($E103,Roadmap!$D:$D,0)+COUNTIF($E103:V103,"u")+COUNTIF($E103:V103,"t")+COUNTIF($E103:V103,"¶")+COUNTIF($E103:V103,"²")+COUNTIF($E103:V103,"µ")+COUNTIF($E103:V103,1),ColLivraison)=W$6,
  VLOOKUP($E103,INDIRECT("tri!"&amp; CHAR(64+ C0Col) &amp;":"&amp; CHAR(65+C0Col)),2,FALSE)&gt;COUNTIF($E103:V103,"u")+COUNTIF($E103:V103,"t")+COUNTIF($E103:V103,"¶")+COUNTIF($E103:V103,"²")+COUNTIF($E103:V103,"µ")+COUNTIF($E103:V103,1)),
HYPERLINK("#Roadmap!C"&amp; MATCH($E103,Roadmap!$D:$D,0)+COUNTIF($E103:V103,"u")+COUNTIF($E103:V103,"t"),
     INDEX(Roadmap!$D:$K,MATCH($E103,Roadmap!$D:$D,0)+COUNTIF($E103:V103,"u")+COUNTIF($E103:V103,"t")+COUNTIF($E103:V103,"¶")+COUNTIF($E103:V103,"²")+COUNTIF($E103:V103,"µ")+COUNTIF($E103:V103,1),ColTypeEcheance)),
  IF(LEN(V103)=1,
  IF(LEN(INDEX(Roadmap!$D:$K,MATCH($E103,Roadmap!$D:$D,0)-1+COUNTIF($E103:V103,"u")+COUNTIF($E103:V103,"t")+COUNTIF($E103:V103,"¶")+COUNTIF($E103:V103,"²")+COUNTIF($E103:V103,"µ")+COUNTIF($E103:V103,1),ColDescriptionCourte))&gt;1,
HYPERLINK("#Roadmap!C"&amp; MATCH($E103,Roadmap!$D:$D,0)+COUNTIF($E103:V103,"u")+COUNTIF($E103:V103,"t")+COUNTIF($E103:V103,"¶")+COUNTIF($E103:V103,"²")+COUNTIF($E103:V103,"µ")+COUNTIF($E103:V103,1)-1,INDEX(Roadmap!$D:$K,MATCH($E103,Roadmap!$D:$D,0)-1+COUNTIF($E103:V103,"u")+COUNTIF($E103:V103,"t")+COUNTIF($E103:V103,"¶")+COUNTIF($E103:V103,"²")+COUNTIF($E103:V103,"µ")+COUNTIF($E103:V103,1),ColDescriptionCourte)),""),
  "")),"")</f>
        <v/>
      </c>
      <c r="X103" s="40" t="str">
        <f ca="1">IFERROR(IF(AND(
  INDEX(Roadmap!$D:$K,MATCH($E103,Roadmap!$D:$D,0)+COUNTIF($E103:W103,"u")+COUNTIF($E103:W103,"t")+COUNTIF($E103:W103,"¶")+COUNTIF($E103:W103,"²")+COUNTIF($E103:W103,"µ")+COUNTIF($E103:W103,1),ColLivraison)=X$6,
  VLOOKUP($E103,INDIRECT("tri!"&amp; CHAR(64+ C0Col) &amp;":"&amp; CHAR(65+C0Col)),2,FALSE)&gt;COUNTIF($E103:W103,"u")+COUNTIF($E103:W103,"t")+COUNTIF($E103:W103,"¶")+COUNTIF($E103:W103,"²")+COUNTIF($E103:W103,"µ")+COUNTIF($E103:W103,1)),
HYPERLINK("#Roadmap!C"&amp; MATCH($E103,Roadmap!$D:$D,0)+COUNTIF($E103:W103,"u")+COUNTIF($E103:W103,"t"),
     INDEX(Roadmap!$D:$K,MATCH($E103,Roadmap!$D:$D,0)+COUNTIF($E103:W103,"u")+COUNTIF($E103:W103,"t")+COUNTIF($E103:W103,"¶")+COUNTIF($E103:W103,"²")+COUNTIF($E103:W103,"µ")+COUNTIF($E103:W103,1),ColTypeEcheance)),
  IF(LEN(W103)=1,
  IF(LEN(INDEX(Roadmap!$D:$K,MATCH($E103,Roadmap!$D:$D,0)-1+COUNTIF($E103:W103,"u")+COUNTIF($E103:W103,"t")+COUNTIF($E103:W103,"¶")+COUNTIF($E103:W103,"²")+COUNTIF($E103:W103,"µ")+COUNTIF($E103:W103,1),ColDescriptionCourte))&gt;1,
HYPERLINK("#Roadmap!C"&amp; MATCH($E103,Roadmap!$D:$D,0)+COUNTIF($E103:W103,"u")+COUNTIF($E103:W103,"t")+COUNTIF($E103:W103,"¶")+COUNTIF($E103:W103,"²")+COUNTIF($E103:W103,"µ")+COUNTIF($E103:W103,1)-1,INDEX(Roadmap!$D:$K,MATCH($E103,Roadmap!$D:$D,0)-1+COUNTIF($E103:W103,"u")+COUNTIF($E103:W103,"t")+COUNTIF($E103:W103,"¶")+COUNTIF($E103:W103,"²")+COUNTIF($E103:W103,"µ")+COUNTIF($E103:W103,1),ColDescriptionCourte)),""),
  "")),"")</f>
        <v/>
      </c>
      <c r="Y103" s="40" t="str">
        <f ca="1">IFERROR(IF(AND(
  INDEX(Roadmap!$D:$K,MATCH($E103,Roadmap!$D:$D,0)+COUNTIF($E103:X103,"u")+COUNTIF($E103:X103,"t")+COUNTIF($E103:X103,"¶")+COUNTIF($E103:X103,"²")+COUNTIF($E103:X103,"µ")+COUNTIF($E103:X103,1),ColLivraison)=Y$6,
  VLOOKUP($E103,INDIRECT("tri!"&amp; CHAR(64+ C0Col) &amp;":"&amp; CHAR(65+C0Col)),2,FALSE)&gt;COUNTIF($E103:X103,"u")+COUNTIF($E103:X103,"t")+COUNTIF($E103:X103,"¶")+COUNTIF($E103:X103,"²")+COUNTIF($E103:X103,"µ")+COUNTIF($E103:X103,1)),
HYPERLINK("#Roadmap!C"&amp; MATCH($E103,Roadmap!$D:$D,0)+COUNTIF($E103:X103,"u")+COUNTIF($E103:X103,"t"),
     INDEX(Roadmap!$D:$K,MATCH($E103,Roadmap!$D:$D,0)+COUNTIF($E103:X103,"u")+COUNTIF($E103:X103,"t")+COUNTIF($E103:X103,"¶")+COUNTIF($E103:X103,"²")+COUNTIF($E103:X103,"µ")+COUNTIF($E103:X103,1),ColTypeEcheance)),
  IF(LEN(X103)=1,
  IF(LEN(INDEX(Roadmap!$D:$K,MATCH($E103,Roadmap!$D:$D,0)-1+COUNTIF($E103:X103,"u")+COUNTIF($E103:X103,"t")+COUNTIF($E103:X103,"¶")+COUNTIF($E103:X103,"²")+COUNTIF($E103:X103,"µ")+COUNTIF($E103:X103,1),ColDescriptionCourte))&gt;1,
HYPERLINK("#Roadmap!C"&amp; MATCH($E103,Roadmap!$D:$D,0)+COUNTIF($E103:X103,"u")+COUNTIF($E103:X103,"t")+COUNTIF($E103:X103,"¶")+COUNTIF($E103:X103,"²")+COUNTIF($E103:X103,"µ")+COUNTIF($E103:X103,1)-1,INDEX(Roadmap!$D:$K,MATCH($E103,Roadmap!$D:$D,0)-1+COUNTIF($E103:X103,"u")+COUNTIF($E103:X103,"t")+COUNTIF($E103:X103,"¶")+COUNTIF($E103:X103,"²")+COUNTIF($E103:X103,"µ")+COUNTIF($E103:X103,1),ColDescriptionCourte)),""),
  "")),"")</f>
        <v/>
      </c>
      <c r="Z103" s="40" t="str">
        <f ca="1">IFERROR(IF(AND(
  INDEX(Roadmap!$D:$K,MATCH($E103,Roadmap!$D:$D,0)+COUNTIF($E103:Y103,"u")+COUNTIF($E103:Y103,"t")+COUNTIF($E103:Y103,"¶")+COUNTIF($E103:Y103,"²")+COUNTIF($E103:Y103,"µ")+COUNTIF($E103:Y103,1),ColLivraison)=Z$6,
  VLOOKUP($E103,INDIRECT("tri!"&amp; CHAR(64+ C0Col) &amp;":"&amp; CHAR(65+C0Col)),2,FALSE)&gt;COUNTIF($E103:Y103,"u")+COUNTIF($E103:Y103,"t")+COUNTIF($E103:Y103,"¶")+COUNTIF($E103:Y103,"²")+COUNTIF($E103:Y103,"µ")+COUNTIF($E103:Y103,1)),
HYPERLINK("#Roadmap!C"&amp; MATCH($E103,Roadmap!$D:$D,0)+COUNTIF($E103:Y103,"u")+COUNTIF($E103:Y103,"t"),
     INDEX(Roadmap!$D:$K,MATCH($E103,Roadmap!$D:$D,0)+COUNTIF($E103:Y103,"u")+COUNTIF($E103:Y103,"t")+COUNTIF($E103:Y103,"¶")+COUNTIF($E103:Y103,"²")+COUNTIF($E103:Y103,"µ")+COUNTIF($E103:Y103,1),ColTypeEcheance)),
  IF(LEN(Y103)=1,
  IF(LEN(INDEX(Roadmap!$D:$K,MATCH($E103,Roadmap!$D:$D,0)-1+COUNTIF($E103:Y103,"u")+COUNTIF($E103:Y103,"t")+COUNTIF($E103:Y103,"¶")+COUNTIF($E103:Y103,"²")+COUNTIF($E103:Y103,"µ")+COUNTIF($E103:Y103,1),ColDescriptionCourte))&gt;1,
HYPERLINK("#Roadmap!C"&amp; MATCH($E103,Roadmap!$D:$D,0)+COUNTIF($E103:Y103,"u")+COUNTIF($E103:Y103,"t")+COUNTIF($E103:Y103,"¶")+COUNTIF($E103:Y103,"²")+COUNTIF($E103:Y103,"µ")+COUNTIF($E103:Y103,1)-1,INDEX(Roadmap!$D:$K,MATCH($E103,Roadmap!$D:$D,0)-1+COUNTIF($E103:Y103,"u")+COUNTIF($E103:Y103,"t")+COUNTIF($E103:Y103,"¶")+COUNTIF($E103:Y103,"²")+COUNTIF($E103:Y103,"µ")+COUNTIF($E103:Y103,1),ColDescriptionCourte)),""),
  "")),"")</f>
        <v/>
      </c>
      <c r="AA103" s="40" t="str">
        <f ca="1">IFERROR(IF(AND(
  INDEX(Roadmap!$D:$K,MATCH($E103,Roadmap!$D:$D,0)+COUNTIF($E103:Z103,"u")+COUNTIF($E103:Z103,"t")+COUNTIF($E103:Z103,"¶")+COUNTIF($E103:Z103,"²")+COUNTIF($E103:Z103,"µ")+COUNTIF($E103:Z103,1),ColLivraison)=AA$6,
  VLOOKUP($E103,INDIRECT("tri!"&amp; CHAR(64+ C0Col) &amp;":"&amp; CHAR(65+C0Col)),2,FALSE)&gt;COUNTIF($E103:Z103,"u")+COUNTIF($E103:Z103,"t")+COUNTIF($E103:Z103,"¶")+COUNTIF($E103:Z103,"²")+COUNTIF($E103:Z103,"µ")+COUNTIF($E103:Z103,1)),
HYPERLINK("#Roadmap!C"&amp; MATCH($E103,Roadmap!$D:$D,0)+COUNTIF($E103:Z103,"u")+COUNTIF($E103:Z103,"t"),
     INDEX(Roadmap!$D:$K,MATCH($E103,Roadmap!$D:$D,0)+COUNTIF($E103:Z103,"u")+COUNTIF($E103:Z103,"t")+COUNTIF($E103:Z103,"¶")+COUNTIF($E103:Z103,"²")+COUNTIF($E103:Z103,"µ")+COUNTIF($E103:Z103,1),ColTypeEcheance)),
  IF(LEN(Z103)=1,
  IF(LEN(INDEX(Roadmap!$D:$K,MATCH($E103,Roadmap!$D:$D,0)-1+COUNTIF($E103:Z103,"u")+COUNTIF($E103:Z103,"t")+COUNTIF($E103:Z103,"¶")+COUNTIF($E103:Z103,"²")+COUNTIF($E103:Z103,"µ")+COUNTIF($E103:Z103,1),ColDescriptionCourte))&gt;1,
HYPERLINK("#Roadmap!C"&amp; MATCH($E103,Roadmap!$D:$D,0)+COUNTIF($E103:Z103,"u")+COUNTIF($E103:Z103,"t")+COUNTIF($E103:Z103,"¶")+COUNTIF($E103:Z103,"²")+COUNTIF($E103:Z103,"µ")+COUNTIF($E103:Z103,1)-1,INDEX(Roadmap!$D:$K,MATCH($E103,Roadmap!$D:$D,0)-1+COUNTIF($E103:Z103,"u")+COUNTIF($E103:Z103,"t")+COUNTIF($E103:Z103,"¶")+COUNTIF($E103:Z103,"²")+COUNTIF($E103:Z103,"µ")+COUNTIF($E103:Z103,1),ColDescriptionCourte)),""),
  "")),"")</f>
        <v/>
      </c>
      <c r="AB103" s="40" t="str">
        <f ca="1">IFERROR(IF(AND(
  INDEX(Roadmap!$D:$K,MATCH($E103,Roadmap!$D:$D,0)+COUNTIF($E103:AA103,"u")+COUNTIF($E103:AA103,"t")+COUNTIF($E103:AA103,"¶")+COUNTIF($E103:AA103,"²")+COUNTIF($E103:AA103,"µ")+COUNTIF($E103:AA103,1),ColLivraison)=AB$6,
  VLOOKUP($E103,INDIRECT("tri!"&amp; CHAR(64+ C0Col) &amp;":"&amp; CHAR(65+C0Col)),2,FALSE)&gt;COUNTIF($E103:AA103,"u")+COUNTIF($E103:AA103,"t")+COUNTIF($E103:AA103,"¶")+COUNTIF($E103:AA103,"²")+COUNTIF($E103:AA103,"µ")+COUNTIF($E103:AA103,1)),
HYPERLINK("#Roadmap!C"&amp; MATCH($E103,Roadmap!$D:$D,0)+COUNTIF($E103:AA103,"u")+COUNTIF($E103:AA103,"t"),
     INDEX(Roadmap!$D:$K,MATCH($E103,Roadmap!$D:$D,0)+COUNTIF($E103:AA103,"u")+COUNTIF($E103:AA103,"t")+COUNTIF($E103:AA103,"¶")+COUNTIF($E103:AA103,"²")+COUNTIF($E103:AA103,"µ")+COUNTIF($E103:AA103,1),ColTypeEcheance)),
  IF(LEN(AA103)=1,
  IF(LEN(INDEX(Roadmap!$D:$K,MATCH($E103,Roadmap!$D:$D,0)-1+COUNTIF($E103:AA103,"u")+COUNTIF($E103:AA103,"t")+COUNTIF($E103:AA103,"¶")+COUNTIF($E103:AA103,"²")+COUNTIF($E103:AA103,"µ")+COUNTIF($E103:AA103,1),ColDescriptionCourte))&gt;1,
HYPERLINK("#Roadmap!C"&amp; MATCH($E103,Roadmap!$D:$D,0)+COUNTIF($E103:AA103,"u")+COUNTIF($E103:AA103,"t")+COUNTIF($E103:AA103,"¶")+COUNTIF($E103:AA103,"²")+COUNTIF($E103:AA103,"µ")+COUNTIF($E103:AA103,1)-1,INDEX(Roadmap!$D:$K,MATCH($E103,Roadmap!$D:$D,0)-1+COUNTIF($E103:AA103,"u")+COUNTIF($E103:AA103,"t")+COUNTIF($E103:AA103,"¶")+COUNTIF($E103:AA103,"²")+COUNTIF($E103:AA103,"µ")+COUNTIF($E103:AA103,1),ColDescriptionCourte)),""),
  "")),"")</f>
        <v/>
      </c>
      <c r="AC103" s="40" t="str">
        <f ca="1">IFERROR(IF(AND(
  INDEX(Roadmap!$D:$K,MATCH($E103,Roadmap!$D:$D,0)+COUNTIF($E103:AB103,"u")+COUNTIF($E103:AB103,"t")+COUNTIF($E103:AB103,"¶")+COUNTIF($E103:AB103,"²")+COUNTIF($E103:AB103,"µ")+COUNTIF($E103:AB103,1),ColLivraison)=AC$6,
  VLOOKUP($E103,INDIRECT("tri!"&amp; CHAR(64+ C0Col) &amp;":"&amp; CHAR(65+C0Col)),2,FALSE)&gt;COUNTIF($E103:AB103,"u")+COUNTIF($E103:AB103,"t")+COUNTIF($E103:AB103,"¶")+COUNTIF($E103:AB103,"²")+COUNTIF($E103:AB103,"µ")+COUNTIF($E103:AB103,1)),
HYPERLINK("#Roadmap!C"&amp; MATCH($E103,Roadmap!$D:$D,0)+COUNTIF($E103:AB103,"u")+COUNTIF($E103:AB103,"t"),
     INDEX(Roadmap!$D:$K,MATCH($E103,Roadmap!$D:$D,0)+COUNTIF($E103:AB103,"u")+COUNTIF($E103:AB103,"t")+COUNTIF($E103:AB103,"¶")+COUNTIF($E103:AB103,"²")+COUNTIF($E103:AB103,"µ")+COUNTIF($E103:AB103,1),ColTypeEcheance)),
  IF(LEN(AB103)=1,
  IF(LEN(INDEX(Roadmap!$D:$K,MATCH($E103,Roadmap!$D:$D,0)-1+COUNTIF($E103:AB103,"u")+COUNTIF($E103:AB103,"t")+COUNTIF($E103:AB103,"¶")+COUNTIF($E103:AB103,"²")+COUNTIF($E103:AB103,"µ")+COUNTIF($E103:AB103,1),ColDescriptionCourte))&gt;1,
HYPERLINK("#Roadmap!C"&amp; MATCH($E103,Roadmap!$D:$D,0)+COUNTIF($E103:AB103,"u")+COUNTIF($E103:AB103,"t")+COUNTIF($E103:AB103,"¶")+COUNTIF($E103:AB103,"²")+COUNTIF($E103:AB103,"µ")+COUNTIF($E103:AB103,1)-1,INDEX(Roadmap!$D:$K,MATCH($E103,Roadmap!$D:$D,0)-1+COUNTIF($E103:AB103,"u")+COUNTIF($E103:AB103,"t")+COUNTIF($E103:AB103,"¶")+COUNTIF($E103:AB103,"²")+COUNTIF($E103:AB103,"µ")+COUNTIF($E103:AB103,1),ColDescriptionCourte)),""),
  "")),"")</f>
        <v/>
      </c>
      <c r="AD103" s="40" t="str">
        <f ca="1">IFERROR(IF(AND(
  INDEX(Roadmap!$D:$K,MATCH($E103,Roadmap!$D:$D,0)+COUNTIF($E103:AC103,"u")+COUNTIF($E103:AC103,"t")+COUNTIF($E103:AC103,"¶")+COUNTIF($E103:AC103,"²")+COUNTIF($E103:AC103,"µ")+COUNTIF($E103:AC103,1),ColLivraison)=AD$6,
  VLOOKUP($E103,INDIRECT("tri!"&amp; CHAR(64+ C0Col) &amp;":"&amp; CHAR(65+C0Col)),2,FALSE)&gt;COUNTIF($E103:AC103,"u")+COUNTIF($E103:AC103,"t")+COUNTIF($E103:AC103,"¶")+COUNTIF($E103:AC103,"²")+COUNTIF($E103:AC103,"µ")+COUNTIF($E103:AC103,1)),
HYPERLINK("#Roadmap!C"&amp; MATCH($E103,Roadmap!$D:$D,0)+COUNTIF($E103:AC103,"u")+COUNTIF($E103:AC103,"t"),
     INDEX(Roadmap!$D:$K,MATCH($E103,Roadmap!$D:$D,0)+COUNTIF($E103:AC103,"u")+COUNTIF($E103:AC103,"t")+COUNTIF($E103:AC103,"¶")+COUNTIF($E103:AC103,"²")+COUNTIF($E103:AC103,"µ")+COUNTIF($E103:AC103,1),ColTypeEcheance)),
  IF(LEN(AC103)=1,
  IF(LEN(INDEX(Roadmap!$D:$K,MATCH($E103,Roadmap!$D:$D,0)-1+COUNTIF($E103:AC103,"u")+COUNTIF($E103:AC103,"t")+COUNTIF($E103:AC103,"¶")+COUNTIF($E103:AC103,"²")+COUNTIF($E103:AC103,"µ")+COUNTIF($E103:AC103,1),ColDescriptionCourte))&gt;1,
HYPERLINK("#Roadmap!C"&amp; MATCH($E103,Roadmap!$D:$D,0)+COUNTIF($E103:AC103,"u")+COUNTIF($E103:AC103,"t")+COUNTIF($E103:AC103,"¶")+COUNTIF($E103:AC103,"²")+COUNTIF($E103:AC103,"µ")+COUNTIF($E103:AC103,1)-1,INDEX(Roadmap!$D:$K,MATCH($E103,Roadmap!$D:$D,0)-1+COUNTIF($E103:AC103,"u")+COUNTIF($E103:AC103,"t")+COUNTIF($E103:AC103,"¶")+COUNTIF($E103:AC103,"²")+COUNTIF($E103:AC103,"µ")+COUNTIF($E103:AC103,1),ColDescriptionCourte)),""),
  "")),"")</f>
        <v/>
      </c>
      <c r="AE103" s="40" t="str">
        <f ca="1">IFERROR(IF(AND(
  INDEX(Roadmap!$D:$K,MATCH($E103,Roadmap!$D:$D,0)+COUNTIF($E103:AD103,"u")+COUNTIF($E103:AD103,"t")+COUNTIF($E103:AD103,"¶")+COUNTIF($E103:AD103,"²")+COUNTIF($E103:AD103,"µ")+COUNTIF($E103:AD103,1),ColLivraison)=AE$6,
  VLOOKUP($E103,INDIRECT("tri!"&amp; CHAR(64+ C0Col) &amp;":"&amp; CHAR(65+C0Col)),2,FALSE)&gt;COUNTIF($E103:AD103,"u")+COUNTIF($E103:AD103,"t")+COUNTIF($E103:AD103,"¶")+COUNTIF($E103:AD103,"²")+COUNTIF($E103:AD103,"µ")+COUNTIF($E103:AD103,1)),
HYPERLINK("#Roadmap!C"&amp; MATCH($E103,Roadmap!$D:$D,0)+COUNTIF($E103:AD103,"u")+COUNTIF($E103:AD103,"t"),
     INDEX(Roadmap!$D:$K,MATCH($E103,Roadmap!$D:$D,0)+COUNTIF($E103:AD103,"u")+COUNTIF($E103:AD103,"t")+COUNTIF($E103:AD103,"¶")+COUNTIF($E103:AD103,"²")+COUNTIF($E103:AD103,"µ")+COUNTIF($E103:AD103,1),ColTypeEcheance)),
  IF(LEN(AD103)=1,
  IF(LEN(INDEX(Roadmap!$D:$K,MATCH($E103,Roadmap!$D:$D,0)-1+COUNTIF($E103:AD103,"u")+COUNTIF($E103:AD103,"t")+COUNTIF($E103:AD103,"¶")+COUNTIF($E103:AD103,"²")+COUNTIF($E103:AD103,"µ")+COUNTIF($E103:AD103,1),ColDescriptionCourte))&gt;1,
HYPERLINK("#Roadmap!C"&amp; MATCH($E103,Roadmap!$D:$D,0)+COUNTIF($E103:AD103,"u")+COUNTIF($E103:AD103,"t")+COUNTIF($E103:AD103,"¶")+COUNTIF($E103:AD103,"²")+COUNTIF($E103:AD103,"µ")+COUNTIF($E103:AD103,1)-1,INDEX(Roadmap!$D:$K,MATCH($E103,Roadmap!$D:$D,0)-1+COUNTIF($E103:AD103,"u")+COUNTIF($E103:AD103,"t")+COUNTIF($E103:AD103,"¶")+COUNTIF($E103:AD103,"²")+COUNTIF($E103:AD103,"µ")+COUNTIF($E103:AD103,1),ColDescriptionCourte)),""),
  "")),"")</f>
        <v/>
      </c>
      <c r="AF103" s="40" t="str">
        <f ca="1">IFERROR(IF(AND(
  INDEX(Roadmap!$D:$K,MATCH($E103,Roadmap!$D:$D,0)+COUNTIF($E103:AE103,"u")+COUNTIF($E103:AE103,"t")+COUNTIF($E103:AE103,"¶")+COUNTIF($E103:AE103,"²")+COUNTIF($E103:AE103,"µ")+COUNTIF($E103:AE103,1),ColLivraison)=AF$6,
  VLOOKUP($E103,INDIRECT("tri!"&amp; CHAR(64+ C0Col) &amp;":"&amp; CHAR(65+C0Col)),2,FALSE)&gt;COUNTIF($E103:AE103,"u")+COUNTIF($E103:AE103,"t")+COUNTIF($E103:AE103,"¶")+COUNTIF($E103:AE103,"²")+COUNTIF($E103:AE103,"µ")+COUNTIF($E103:AE103,1)),
HYPERLINK("#Roadmap!C"&amp; MATCH($E103,Roadmap!$D:$D,0)+COUNTIF($E103:AE103,"u")+COUNTIF($E103:AE103,"t"),
     INDEX(Roadmap!$D:$K,MATCH($E103,Roadmap!$D:$D,0)+COUNTIF($E103:AE103,"u")+COUNTIF($E103:AE103,"t")+COUNTIF($E103:AE103,"¶")+COUNTIF($E103:AE103,"²")+COUNTIF($E103:AE103,"µ")+COUNTIF($E103:AE103,1),ColTypeEcheance)),
  IF(LEN(AE103)=1,
  IF(LEN(INDEX(Roadmap!$D:$K,MATCH($E103,Roadmap!$D:$D,0)-1+COUNTIF($E103:AE103,"u")+COUNTIF($E103:AE103,"t")+COUNTIF($E103:AE103,"¶")+COUNTIF($E103:AE103,"²")+COUNTIF($E103:AE103,"µ")+COUNTIF($E103:AE103,1),ColDescriptionCourte))&gt;1,
HYPERLINK("#Roadmap!C"&amp; MATCH($E103,Roadmap!$D:$D,0)+COUNTIF($E103:AE103,"u")+COUNTIF($E103:AE103,"t")+COUNTIF($E103:AE103,"¶")+COUNTIF($E103:AE103,"²")+COUNTIF($E103:AE103,"µ")+COUNTIF($E103:AE103,1)-1,INDEX(Roadmap!$D:$K,MATCH($E103,Roadmap!$D:$D,0)-1+COUNTIF($E103:AE103,"u")+COUNTIF($E103:AE103,"t")+COUNTIF($E103:AE103,"¶")+COUNTIF($E103:AE103,"²")+COUNTIF($E103:AE103,"µ")+COUNTIF($E103:AE103,1),ColDescriptionCourte)),""),
  "")),"")</f>
        <v/>
      </c>
      <c r="AG103" s="40" t="str">
        <f ca="1">IFERROR(IF(AND(
  INDEX(Roadmap!$D:$K,MATCH($E103,Roadmap!$D:$D,0)+COUNTIF($E103:AF103,"u")+COUNTIF($E103:AF103,"t")+COUNTIF($E103:AF103,"¶")+COUNTIF($E103:AF103,"²")+COUNTIF($E103:AF103,"µ")+COUNTIF($E103:AF103,1),ColLivraison)=AG$6,
  VLOOKUP($E103,INDIRECT("tri!"&amp; CHAR(64+ C0Col) &amp;":"&amp; CHAR(65+C0Col)),2,FALSE)&gt;COUNTIF($E103:AF103,"u")+COUNTIF($E103:AF103,"t")+COUNTIF($E103:AF103,"¶")+COUNTIF($E103:AF103,"²")+COUNTIF($E103:AF103,"µ")+COUNTIF($E103:AF103,1)),
HYPERLINK("#Roadmap!C"&amp; MATCH($E103,Roadmap!$D:$D,0)+COUNTIF($E103:AF103,"u")+COUNTIF($E103:AF103,"t"),
     INDEX(Roadmap!$D:$K,MATCH($E103,Roadmap!$D:$D,0)+COUNTIF($E103:AF103,"u")+COUNTIF($E103:AF103,"t")+COUNTIF($E103:AF103,"¶")+COUNTIF($E103:AF103,"²")+COUNTIF($E103:AF103,"µ")+COUNTIF($E103:AF103,1),ColTypeEcheance)),
  IF(LEN(AF103)=1,
  IF(LEN(INDEX(Roadmap!$D:$K,MATCH($E103,Roadmap!$D:$D,0)-1+COUNTIF($E103:AF103,"u")+COUNTIF($E103:AF103,"t")+COUNTIF($E103:AF103,"¶")+COUNTIF($E103:AF103,"²")+COUNTIF($E103:AF103,"µ")+COUNTIF($E103:AF103,1),ColDescriptionCourte))&gt;1,
HYPERLINK("#Roadmap!C"&amp; MATCH($E103,Roadmap!$D:$D,0)+COUNTIF($E103:AF103,"u")+COUNTIF($E103:AF103,"t")+COUNTIF($E103:AF103,"¶")+COUNTIF($E103:AF103,"²")+COUNTIF($E103:AF103,"µ")+COUNTIF($E103:AF103,1)-1,INDEX(Roadmap!$D:$K,MATCH($E103,Roadmap!$D:$D,0)-1+COUNTIF($E103:AF103,"u")+COUNTIF($E103:AF103,"t")+COUNTIF($E103:AF103,"¶")+COUNTIF($E103:AF103,"²")+COUNTIF($E103:AF103,"µ")+COUNTIF($E103:AF103,1),ColDescriptionCourte)),""),
  "")),"")</f>
        <v/>
      </c>
      <c r="AH103" s="40" t="str">
        <f ca="1">IFERROR(IF(AND(
  INDEX(Roadmap!$D:$K,MATCH($E103,Roadmap!$D:$D,0)+COUNTIF($E103:AG103,"u")+COUNTIF($E103:AG103,"t")+COUNTIF($E103:AG103,1),ColLivraison)=AH$6,
  VLOOKUP($E103,INDIRECT("tri!"&amp; CHAR(64+ C0Col) &amp;":"&amp; CHAR(65+C0Col)),2,FALSE)&gt;COUNTIF($E103:AG103,"u")+COUNTIF($E103:AG103,"t")+COUNTIF($E103:AG103,1)),
HYPERLINK("#Roadmap!C"&amp; MATCH($E103,Roadmap!$D:$D,0)+COUNTIF($E103:AG103,"u")+COUNTIF($E103:AG103,"t"),
     INDEX(Roadmap!$D:$K,MATCH($E103,Roadmap!$D:$D,0)+COUNTIF($E103:AG103,"u")+COUNTIF($E103:AG103,"t")+COUNTIF($E103:AG103,1),ColTypeEcheance)),
  IF(OR(AG103="u",AG103="t",AG103=1),
  IF(LEN(INDEX(Roadmap!$D:$K,MATCH($E103,Roadmap!$D:$D,0)-1+COUNTIF($E103:AG103,"u")+COUNTIF($E103:AG103,"t")+COUNTIF($E103:AG103,1),ColDescriptionCourte))&gt;1,
HYPERLINK("#Roadmap!C"&amp; MATCH($E103,Roadmap!$D:$D,0)+COUNTIF($E103:AG103,"u")+COUNTIF($E103:AG103,"t")+COUNTIF($E103:AG103,1)-1,INDEX(Roadmap!$D:$K,MATCH($E103,Roadmap!$D:$D,0)-1+COUNTIF($E103:AG103,"u")+COUNTIF($E103:AG103,"t")+COUNTIF($E103:AG103,1),ColDescriptionCourte)),""),
  "")),"")</f>
        <v/>
      </c>
      <c r="AI103" s="40"/>
      <c r="AJ103" s="40"/>
      <c r="AK103" s="40"/>
      <c r="AL103" s="40"/>
      <c r="AM103" s="40"/>
    </row>
    <row r="104" spans="4:39" ht="14.1" customHeight="1">
      <c r="D104" s="20" t="str">
        <f t="shared" ca="1" si="29"/>
        <v/>
      </c>
      <c r="E104" s="53" t="str">
        <f t="shared" ca="1" si="30"/>
        <v/>
      </c>
      <c r="F104" s="39" t="str">
        <f ca="1">IFERROR(IF(AND(
  INDEX(Roadmap!$D:$K,MATCH($E104,Roadmap!$D:$D,0)+COUNTIF($E104:E104,"u")+COUNTIF($E104:E104,"t")+COUNTIF($E104:E104,"¶")+COUNTIF($E104:E104,"²")+COUNTIF($E104:E104,"µ")+COUNTIF($E104:E104,1),ColLivraison)=F$6,
  VLOOKUP($E104,INDIRECT("tri!"&amp; CHAR(64+ C0Col) &amp;":"&amp; CHAR(65+C0Col)),2,FALSE)&gt;COUNTIF($E104:E104,"u")+COUNTIF($E104:E104,"t")+COUNTIF($E104:E104,"¶")+COUNTIF($E104:E104,"²")+COUNTIF($E104:E104,"µ")+COUNTIF($E104:E104,1)),
HYPERLINK("#Roadmap!C"&amp; MATCH($E104,Roadmap!$D:$D,0)+COUNTIF($E104:E104,"u")+COUNTIF($E104:E104,"t"),
     INDEX(Roadmap!$D:$K,MATCH($E104,Roadmap!$D:$D,0)+COUNTIF($E104:E104,"u")+COUNTIF($E104:E104,"t")+COUNTIF($E104:E104,"¶")+COUNTIF($E104:E104,"²")+COUNTIF($E104:E104,"µ")+COUNTIF($E104:E104,1),ColTypeEcheance)),
  IF(LEN(E104)=1,
  IF(LEN(INDEX(Roadmap!$D:$K,MATCH($E104,Roadmap!$D:$D,0)-1+COUNTIF($E104:E104,"u")+COUNTIF($E104:E104,"t")+COUNTIF($E104:E104,"¶")+COUNTIF($E104:E104,"²")+COUNTIF($E104:E104,"µ")+COUNTIF($E104:E104,1),ColDescriptionCourte))&gt;1,
HYPERLINK("#Roadmap!C"&amp; MATCH($E104,Roadmap!$D:$D,0)+COUNTIF($E104:E104,"u")+COUNTIF($E104:E104,"t")+COUNTIF($E104:E104,"¶")+COUNTIF($E104:E104,"²")+COUNTIF($E104:E104,"µ")+COUNTIF($E104:E104,1)-1,INDEX(Roadmap!$D:$K,MATCH($E104,Roadmap!$D:$D,0)-1+COUNTIF($E104:E104,"u")+COUNTIF($E104:E104,"t")+COUNTIF($E104:E104,"¶")+COUNTIF($E104:E104,"²")+COUNTIF($E104:E104,"µ")+COUNTIF($E104:E104,1),ColDescriptionCourte)),""),
  "")),"")</f>
        <v/>
      </c>
      <c r="G104" s="40" t="str">
        <f ca="1">IFERROR(IF(AND(
  INDEX(Roadmap!$D:$K,MATCH($E104,Roadmap!$D:$D,0)+COUNTIF($E104:F104,"u")+COUNTIF($E104:F104,"t")+COUNTIF($E104:F104,"¶")+COUNTIF($E104:F104,"²")+COUNTIF($E104:F104,"µ")+COUNTIF($E104:F104,1),ColLivraison)=G$6,
  VLOOKUP($E104,INDIRECT("tri!"&amp; CHAR(64+ C0Col) &amp;":"&amp; CHAR(65+C0Col)),2,FALSE)&gt;COUNTIF($E104:F104,"u")+COUNTIF($E104:F104,"t")+COUNTIF($E104:F104,"¶")+COUNTIF($E104:F104,"²")+COUNTIF($E104:F104,"µ")+COUNTIF($E104:F104,1)),
HYPERLINK("#Roadmap!C"&amp; MATCH($E104,Roadmap!$D:$D,0)+COUNTIF($E104:F104,"u")+COUNTIF($E104:F104,"t"),
     INDEX(Roadmap!$D:$K,MATCH($E104,Roadmap!$D:$D,0)+COUNTIF($E104:F104,"u")+COUNTIF($E104:F104,"t")+COUNTIF($E104:F104,"¶")+COUNTIF($E104:F104,"²")+COUNTIF($E104:F104,"µ")+COUNTIF($E104:F104,1),ColTypeEcheance)),
  IF(LEN(F104)=1,
  IF(LEN(INDEX(Roadmap!$D:$K,MATCH($E104,Roadmap!$D:$D,0)-1+COUNTIF($E104:F104,"u")+COUNTIF($E104:F104,"t")+COUNTIF($E104:F104,"¶")+COUNTIF($E104:F104,"²")+COUNTIF($E104:F104,"µ")+COUNTIF($E104:F104,1),ColDescriptionCourte))&gt;1,
HYPERLINK("#Roadmap!C"&amp; MATCH($E104,Roadmap!$D:$D,0)+COUNTIF($E104:F104,"u")+COUNTIF($E104:F104,"t")+COUNTIF($E104:F104,"¶")+COUNTIF($E104:F104,"²")+COUNTIF($E104:F104,"µ")+COUNTIF($E104:F104,1)-1,INDEX(Roadmap!$D:$K,MATCH($E104,Roadmap!$D:$D,0)-1+COUNTIF($E104:F104,"u")+COUNTIF($E104:F104,"t")+COUNTIF($E104:F104,"¶")+COUNTIF($E104:F104,"²")+COUNTIF($E104:F104,"µ")+COUNTIF($E104:F104,1),ColDescriptionCourte)),""),
  "")),"")</f>
        <v/>
      </c>
      <c r="H104" s="40" t="str">
        <f ca="1">IFERROR(IF(AND(
  INDEX(Roadmap!$D:$K,MATCH($E104,Roadmap!$D:$D,0)+COUNTIF($E104:G104,"u")+COUNTIF($E104:G104,"t")+COUNTIF($E104:G104,"¶")+COUNTIF($E104:G104,"²")+COUNTIF($E104:G104,"µ")+COUNTIF($E104:G104,1),ColLivraison)=H$6,
  VLOOKUP($E104,INDIRECT("tri!"&amp; CHAR(64+ C0Col) &amp;":"&amp; CHAR(65+C0Col)),2,FALSE)&gt;COUNTIF($E104:G104,"u")+COUNTIF($E104:G104,"t")+COUNTIF($E104:G104,"¶")+COUNTIF($E104:G104,"²")+COUNTIF($E104:G104,"µ")+COUNTIF($E104:G104,1)),
HYPERLINK("#Roadmap!C"&amp; MATCH($E104,Roadmap!$D:$D,0)+COUNTIF($E104:G104,"u")+COUNTIF($E104:G104,"t"),
     INDEX(Roadmap!$D:$K,MATCH($E104,Roadmap!$D:$D,0)+COUNTIF($E104:G104,"u")+COUNTIF($E104:G104,"t")+COUNTIF($E104:G104,"¶")+COUNTIF($E104:G104,"²")+COUNTIF($E104:G104,"µ")+COUNTIF($E104:G104,1),ColTypeEcheance)),
  IF(LEN(G104)=1,
  IF(LEN(INDEX(Roadmap!$D:$K,MATCH($E104,Roadmap!$D:$D,0)-1+COUNTIF($E104:G104,"u")+COUNTIF($E104:G104,"t")+COUNTIF($E104:G104,"¶")+COUNTIF($E104:G104,"²")+COUNTIF($E104:G104,"µ")+COUNTIF($E104:G104,1),ColDescriptionCourte))&gt;1,
HYPERLINK("#Roadmap!C"&amp; MATCH($E104,Roadmap!$D:$D,0)+COUNTIF($E104:G104,"u")+COUNTIF($E104:G104,"t")+COUNTIF($E104:G104,"¶")+COUNTIF($E104:G104,"²")+COUNTIF($E104:G104,"µ")+COUNTIF($E104:G104,1)-1,INDEX(Roadmap!$D:$K,MATCH($E104,Roadmap!$D:$D,0)-1+COUNTIF($E104:G104,"u")+COUNTIF($E104:G104,"t")+COUNTIF($E104:G104,"¶")+COUNTIF($E104:G104,"²")+COUNTIF($E104:G104,"µ")+COUNTIF($E104:G104,1),ColDescriptionCourte)),""),
  "")),"")</f>
        <v/>
      </c>
      <c r="I104" s="40" t="str">
        <f ca="1">IFERROR(IF(AND(
  INDEX(Roadmap!$D:$K,MATCH($E104,Roadmap!$D:$D,0)+COUNTIF($E104:H104,"u")+COUNTIF($E104:H104,"t")+COUNTIF($E104:H104,"¶")+COUNTIF($E104:H104,"²")+COUNTIF($E104:H104,"µ")+COUNTIF($E104:H104,1),ColLivraison)=I$6,
  VLOOKUP($E104,INDIRECT("tri!"&amp; CHAR(64+ C0Col) &amp;":"&amp; CHAR(65+C0Col)),2,FALSE)&gt;COUNTIF($E104:H104,"u")+COUNTIF($E104:H104,"t")+COUNTIF($E104:H104,"¶")+COUNTIF($E104:H104,"²")+COUNTIF($E104:H104,"µ")+COUNTIF($E104:H104,1)),
HYPERLINK("#Roadmap!C"&amp; MATCH($E104,Roadmap!$D:$D,0)+COUNTIF($E104:H104,"u")+COUNTIF($E104:H104,"t"),
     INDEX(Roadmap!$D:$K,MATCH($E104,Roadmap!$D:$D,0)+COUNTIF($E104:H104,"u")+COUNTIF($E104:H104,"t")+COUNTIF($E104:H104,"¶")+COUNTIF($E104:H104,"²")+COUNTIF($E104:H104,"µ")+COUNTIF($E104:H104,1),ColTypeEcheance)),
  IF(LEN(H104)=1,
  IF(LEN(INDEX(Roadmap!$D:$K,MATCH($E104,Roadmap!$D:$D,0)-1+COUNTIF($E104:H104,"u")+COUNTIF($E104:H104,"t")+COUNTIF($E104:H104,"¶")+COUNTIF($E104:H104,"²")+COUNTIF($E104:H104,"µ")+COUNTIF($E104:H104,1),ColDescriptionCourte))&gt;1,
HYPERLINK("#Roadmap!C"&amp; MATCH($E104,Roadmap!$D:$D,0)+COUNTIF($E104:H104,"u")+COUNTIF($E104:H104,"t")+COUNTIF($E104:H104,"¶")+COUNTIF($E104:H104,"²")+COUNTIF($E104:H104,"µ")+COUNTIF($E104:H104,1)-1,INDEX(Roadmap!$D:$K,MATCH($E104,Roadmap!$D:$D,0)-1+COUNTIF($E104:H104,"u")+COUNTIF($E104:H104,"t")+COUNTIF($E104:H104,"¶")+COUNTIF($E104:H104,"²")+COUNTIF($E104:H104,"µ")+COUNTIF($E104:H104,1),ColDescriptionCourte)),""),
  "")),"")</f>
        <v/>
      </c>
      <c r="J104" s="40" t="str">
        <f ca="1">IFERROR(IF(AND(
  INDEX(Roadmap!$D:$K,MATCH($E104,Roadmap!$D:$D,0)+COUNTIF($E104:I104,"u")+COUNTIF($E104:I104,"t")+COUNTIF($E104:I104,"¶")+COUNTIF($E104:I104,"²")+COUNTIF($E104:I104,"µ")+COUNTIF($E104:I104,1),ColLivraison)=J$6,
  VLOOKUP($E104,INDIRECT("tri!"&amp; CHAR(64+ C0Col) &amp;":"&amp; CHAR(65+C0Col)),2,FALSE)&gt;COUNTIF($E104:I104,"u")+COUNTIF($E104:I104,"t")+COUNTIF($E104:I104,"¶")+COUNTIF($E104:I104,"²")+COUNTIF($E104:I104,"µ")+COUNTIF($E104:I104,1)),
HYPERLINK("#Roadmap!C"&amp; MATCH($E104,Roadmap!$D:$D,0)+COUNTIF($E104:I104,"u")+COUNTIF($E104:I104,"t"),
     INDEX(Roadmap!$D:$K,MATCH($E104,Roadmap!$D:$D,0)+COUNTIF($E104:I104,"u")+COUNTIF($E104:I104,"t")+COUNTIF($E104:I104,"¶")+COUNTIF($E104:I104,"²")+COUNTIF($E104:I104,"µ")+COUNTIF($E104:I104,1),ColTypeEcheance)),
  IF(LEN(I104)=1,
  IF(LEN(INDEX(Roadmap!$D:$K,MATCH($E104,Roadmap!$D:$D,0)-1+COUNTIF($E104:I104,"u")+COUNTIF($E104:I104,"t")+COUNTIF($E104:I104,"¶")+COUNTIF($E104:I104,"²")+COUNTIF($E104:I104,"µ")+COUNTIF($E104:I104,1),ColDescriptionCourte))&gt;1,
HYPERLINK("#Roadmap!C"&amp; MATCH($E104,Roadmap!$D:$D,0)+COUNTIF($E104:I104,"u")+COUNTIF($E104:I104,"t")+COUNTIF($E104:I104,"¶")+COUNTIF($E104:I104,"²")+COUNTIF($E104:I104,"µ")+COUNTIF($E104:I104,1)-1,INDEX(Roadmap!$D:$K,MATCH($E104,Roadmap!$D:$D,0)-1+COUNTIF($E104:I104,"u")+COUNTIF($E104:I104,"t")+COUNTIF($E104:I104,"¶")+COUNTIF($E104:I104,"²")+COUNTIF($E104:I104,"µ")+COUNTIF($E104:I104,1),ColDescriptionCourte)),""),
  "")),"")</f>
        <v/>
      </c>
      <c r="K104" s="40" t="str">
        <f ca="1">IFERROR(IF(AND(
  INDEX(Roadmap!$D:$K,MATCH($E104,Roadmap!$D:$D,0)+COUNTIF($E104:J104,"u")+COUNTIF($E104:J104,"t")+COUNTIF($E104:J104,"¶")+COUNTIF($E104:J104,"²")+COUNTIF($E104:J104,"µ")+COUNTIF($E104:J104,1),ColLivraison)=K$6,
  VLOOKUP($E104,INDIRECT("tri!"&amp; CHAR(64+ C0Col) &amp;":"&amp; CHAR(65+C0Col)),2,FALSE)&gt;COUNTIF($E104:J104,"u")+COUNTIF($E104:J104,"t")+COUNTIF($E104:J104,"¶")+COUNTIF($E104:J104,"²")+COUNTIF($E104:J104,"µ")+COUNTIF($E104:J104,1)),
HYPERLINK("#Roadmap!C"&amp; MATCH($E104,Roadmap!$D:$D,0)+COUNTIF($E104:J104,"u")+COUNTIF($E104:J104,"t"),
     INDEX(Roadmap!$D:$K,MATCH($E104,Roadmap!$D:$D,0)+COUNTIF($E104:J104,"u")+COUNTIF($E104:J104,"t")+COUNTIF($E104:J104,"¶")+COUNTIF($E104:J104,"²")+COUNTIF($E104:J104,"µ")+COUNTIF($E104:J104,1),ColTypeEcheance)),
  IF(LEN(J104)=1,
  IF(LEN(INDEX(Roadmap!$D:$K,MATCH($E104,Roadmap!$D:$D,0)-1+COUNTIF($E104:J104,"u")+COUNTIF($E104:J104,"t")+COUNTIF($E104:J104,"¶")+COUNTIF($E104:J104,"²")+COUNTIF($E104:J104,"µ")+COUNTIF($E104:J104,1),ColDescriptionCourte))&gt;1,
HYPERLINK("#Roadmap!C"&amp; MATCH($E104,Roadmap!$D:$D,0)+COUNTIF($E104:J104,"u")+COUNTIF($E104:J104,"t")+COUNTIF($E104:J104,"¶")+COUNTIF($E104:J104,"²")+COUNTIF($E104:J104,"µ")+COUNTIF($E104:J104,1)-1,INDEX(Roadmap!$D:$K,MATCH($E104,Roadmap!$D:$D,0)-1+COUNTIF($E104:J104,"u")+COUNTIF($E104:J104,"t")+COUNTIF($E104:J104,"¶")+COUNTIF($E104:J104,"²")+COUNTIF($E104:J104,"µ")+COUNTIF($E104:J104,1),ColDescriptionCourte)),""),
  "")),"")</f>
        <v/>
      </c>
      <c r="L104" s="39" t="str">
        <f ca="1">IFERROR(IF(AND(
  INDEX(Roadmap!$D:$K,MATCH($E104,Roadmap!$D:$D,0)+COUNTIF($E104:K104,"u")+COUNTIF($E104:K104,"t")+COUNTIF($E104:K104,"¶")+COUNTIF($E104:K104,"²")+COUNTIF($E104:K104,"µ")+COUNTIF($E104:K104,1),ColLivraison)=L$6,
  VLOOKUP($E104,INDIRECT("tri!"&amp; CHAR(64+ C0Col) &amp;":"&amp; CHAR(65+C0Col)),2,FALSE)&gt;COUNTIF($E104:K104,"u")+COUNTIF($E104:K104,"t")+COUNTIF($E104:K104,"¶")+COUNTIF($E104:K104,"²")+COUNTIF($E104:K104,"µ")+COUNTIF($E104:K104,1)),
HYPERLINK("#Roadmap!C"&amp; MATCH($E104,Roadmap!$D:$D,0)+COUNTIF($E104:K104,"u")+COUNTIF($E104:K104,"t"),
     INDEX(Roadmap!$D:$K,MATCH($E104,Roadmap!$D:$D,0)+COUNTIF($E104:K104,"u")+COUNTIF($E104:K104,"t")+COUNTIF($E104:K104,"¶")+COUNTIF($E104:K104,"²")+COUNTIF($E104:K104,"µ")+COUNTIF($E104:K104,1),ColTypeEcheance)),
  IF(LEN(K104)=1,
  IF(LEN(INDEX(Roadmap!$D:$K,MATCH($E104,Roadmap!$D:$D,0)-1+COUNTIF($E104:K104,"u")+COUNTIF($E104:K104,"t")+COUNTIF($E104:K104,"¶")+COUNTIF($E104:K104,"²")+COUNTIF($E104:K104,"µ")+COUNTIF($E104:K104,1),ColDescriptionCourte))&gt;1,
HYPERLINK("#Roadmap!C"&amp; MATCH($E104,Roadmap!$D:$D,0)+COUNTIF($E104:K104,"u")+COUNTIF($E104:K104,"t")+COUNTIF($E104:K104,"¶")+COUNTIF($E104:K104,"²")+COUNTIF($E104:K104,"µ")+COUNTIF($E104:K104,1)-1,INDEX(Roadmap!$D:$K,MATCH($E104,Roadmap!$D:$D,0)-1+COUNTIF($E104:K104,"u")+COUNTIF($E104:K104,"t")+COUNTIF($E104:K104,"¶")+COUNTIF($E104:K104,"²")+COUNTIF($E104:K104,"µ")+COUNTIF($E104:K104,1),ColDescriptionCourte)),""),
  "")),"")</f>
        <v/>
      </c>
      <c r="M104" s="40" t="str">
        <f ca="1">IFERROR(IF(AND(
  INDEX(Roadmap!$D:$K,MATCH($E104,Roadmap!$D:$D,0)+COUNTIF($E104:L104,"u")+COUNTIF($E104:L104,"t")+COUNTIF($E104:L104,"¶")+COUNTIF($E104:L104,"²")+COUNTIF($E104:L104,"µ")+COUNTIF($E104:L104,1),ColLivraison)=M$6,
  VLOOKUP($E104,INDIRECT("tri!"&amp; CHAR(64+ C0Col) &amp;":"&amp; CHAR(65+C0Col)),2,FALSE)&gt;COUNTIF($E104:L104,"u")+COUNTIF($E104:L104,"t")+COUNTIF($E104:L104,"¶")+COUNTIF($E104:L104,"²")+COUNTIF($E104:L104,"µ")+COUNTIF($E104:L104,1)),
HYPERLINK("#Roadmap!C"&amp; MATCH($E104,Roadmap!$D:$D,0)+COUNTIF($E104:L104,"u")+COUNTIF($E104:L104,"t"),
     INDEX(Roadmap!$D:$K,MATCH($E104,Roadmap!$D:$D,0)+COUNTIF($E104:L104,"u")+COUNTIF($E104:L104,"t")+COUNTIF($E104:L104,"¶")+COUNTIF($E104:L104,"²")+COUNTIF($E104:L104,"µ")+COUNTIF($E104:L104,1),ColTypeEcheance)),
  IF(LEN(L104)=1,
  IF(LEN(INDEX(Roadmap!$D:$K,MATCH($E104,Roadmap!$D:$D,0)-1+COUNTIF($E104:L104,"u")+COUNTIF($E104:L104,"t")+COUNTIF($E104:L104,"¶")+COUNTIF($E104:L104,"²")+COUNTIF($E104:L104,"µ")+COUNTIF($E104:L104,1),ColDescriptionCourte))&gt;1,
HYPERLINK("#Roadmap!C"&amp; MATCH($E104,Roadmap!$D:$D,0)+COUNTIF($E104:L104,"u")+COUNTIF($E104:L104,"t")+COUNTIF($E104:L104,"¶")+COUNTIF($E104:L104,"²")+COUNTIF($E104:L104,"µ")+COUNTIF($E104:L104,1)-1,INDEX(Roadmap!$D:$K,MATCH($E104,Roadmap!$D:$D,0)-1+COUNTIF($E104:L104,"u")+COUNTIF($E104:L104,"t")+COUNTIF($E104:L104,"¶")+COUNTIF($E104:L104,"²")+COUNTIF($E104:L104,"µ")+COUNTIF($E104:L104,1),ColDescriptionCourte)),""),
  "")),"")</f>
        <v/>
      </c>
      <c r="N104" s="40" t="str">
        <f ca="1">IFERROR(IF(AND(
  INDEX(Roadmap!$D:$K,MATCH($E104,Roadmap!$D:$D,0)+COUNTIF($E104:M104,"u")+COUNTIF($E104:M104,"t")+COUNTIF($E104:M104,"¶")+COUNTIF($E104:M104,"²")+COUNTIF($E104:M104,"µ")+COUNTIF($E104:M104,1),ColLivraison)=N$6,
  VLOOKUP($E104,INDIRECT("tri!"&amp; CHAR(64+ C0Col) &amp;":"&amp; CHAR(65+C0Col)),2,FALSE)&gt;COUNTIF($E104:M104,"u")+COUNTIF($E104:M104,"t")+COUNTIF($E104:M104,"¶")+COUNTIF($E104:M104,"²")+COUNTIF($E104:M104,"µ")+COUNTIF($E104:M104,1)),
HYPERLINK("#Roadmap!C"&amp; MATCH($E104,Roadmap!$D:$D,0)+COUNTIF($E104:M104,"u")+COUNTIF($E104:M104,"t"),
     INDEX(Roadmap!$D:$K,MATCH($E104,Roadmap!$D:$D,0)+COUNTIF($E104:M104,"u")+COUNTIF($E104:M104,"t")+COUNTIF($E104:M104,"¶")+COUNTIF($E104:M104,"²")+COUNTIF($E104:M104,"µ")+COUNTIF($E104:M104,1),ColTypeEcheance)),
  IF(LEN(M104)=1,
  IF(LEN(INDEX(Roadmap!$D:$K,MATCH($E104,Roadmap!$D:$D,0)-1+COUNTIF($E104:M104,"u")+COUNTIF($E104:M104,"t")+COUNTIF($E104:M104,"¶")+COUNTIF($E104:M104,"²")+COUNTIF($E104:M104,"µ")+COUNTIF($E104:M104,1),ColDescriptionCourte))&gt;1,
HYPERLINK("#Roadmap!C"&amp; MATCH($E104,Roadmap!$D:$D,0)+COUNTIF($E104:M104,"u")+COUNTIF($E104:M104,"t")+COUNTIF($E104:M104,"¶")+COUNTIF($E104:M104,"²")+COUNTIF($E104:M104,"µ")+COUNTIF($E104:M104,1)-1,INDEX(Roadmap!$D:$K,MATCH($E104,Roadmap!$D:$D,0)-1+COUNTIF($E104:M104,"u")+COUNTIF($E104:M104,"t")+COUNTIF($E104:M104,"¶")+COUNTIF($E104:M104,"²")+COUNTIF($E104:M104,"µ")+COUNTIF($E104:M104,1),ColDescriptionCourte)),""),
  "")),"")</f>
        <v/>
      </c>
      <c r="O104" s="40" t="str">
        <f ca="1">IFERROR(IF(AND(
  INDEX(Roadmap!$D:$K,MATCH($E104,Roadmap!$D:$D,0)+COUNTIF($E104:N104,"u")+COUNTIF($E104:N104,"t")+COUNTIF($E104:N104,"¶")+COUNTIF($E104:N104,"²")+COUNTIF($E104:N104,"µ")+COUNTIF($E104:N104,1),ColLivraison)=O$6,
  VLOOKUP($E104,INDIRECT("tri!"&amp; CHAR(64+ C0Col) &amp;":"&amp; CHAR(65+C0Col)),2,FALSE)&gt;COUNTIF($E104:N104,"u")+COUNTIF($E104:N104,"t")+COUNTIF($E104:N104,"¶")+COUNTIF($E104:N104,"²")+COUNTIF($E104:N104,"µ")+COUNTIF($E104:N104,1)),
HYPERLINK("#Roadmap!C"&amp; MATCH($E104,Roadmap!$D:$D,0)+COUNTIF($E104:N104,"u")+COUNTIF($E104:N104,"t"),
     INDEX(Roadmap!$D:$K,MATCH($E104,Roadmap!$D:$D,0)+COUNTIF($E104:N104,"u")+COUNTIF($E104:N104,"t")+COUNTIF($E104:N104,"¶")+COUNTIF($E104:N104,"²")+COUNTIF($E104:N104,"µ")+COUNTIF($E104:N104,1),ColTypeEcheance)),
  IF(LEN(N104)=1,
  IF(LEN(INDEX(Roadmap!$D:$K,MATCH($E104,Roadmap!$D:$D,0)-1+COUNTIF($E104:N104,"u")+COUNTIF($E104:N104,"t")+COUNTIF($E104:N104,"¶")+COUNTIF($E104:N104,"²")+COUNTIF($E104:N104,"µ")+COUNTIF($E104:N104,1),ColDescriptionCourte))&gt;1,
HYPERLINK("#Roadmap!C"&amp; MATCH($E104,Roadmap!$D:$D,0)+COUNTIF($E104:N104,"u")+COUNTIF($E104:N104,"t")+COUNTIF($E104:N104,"¶")+COUNTIF($E104:N104,"²")+COUNTIF($E104:N104,"µ")+COUNTIF($E104:N104,1)-1,INDEX(Roadmap!$D:$K,MATCH($E104,Roadmap!$D:$D,0)-1+COUNTIF($E104:N104,"u")+COUNTIF($E104:N104,"t")+COUNTIF($E104:N104,"¶")+COUNTIF($E104:N104,"²")+COUNTIF($E104:N104,"µ")+COUNTIF($E104:N104,1),ColDescriptionCourte)),""),
  "")),"")</f>
        <v/>
      </c>
      <c r="P104" s="40" t="str">
        <f ca="1">IFERROR(IF(AND(
  INDEX(Roadmap!$D:$K,MATCH($E104,Roadmap!$D:$D,0)+COUNTIF($E104:O104,"u")+COUNTIF($E104:O104,"t")+COUNTIF($E104:O104,"¶")+COUNTIF($E104:O104,"²")+COUNTIF($E104:O104,"µ")+COUNTIF($E104:O104,1),ColLivraison)=P$6,
  VLOOKUP($E104,INDIRECT("tri!"&amp; CHAR(64+ C0Col) &amp;":"&amp; CHAR(65+C0Col)),2,FALSE)&gt;COUNTIF($E104:O104,"u")+COUNTIF($E104:O104,"t")+COUNTIF($E104:O104,"¶")+COUNTIF($E104:O104,"²")+COUNTIF($E104:O104,"µ")+COUNTIF($E104:O104,1)),
HYPERLINK("#Roadmap!C"&amp; MATCH($E104,Roadmap!$D:$D,0)+COUNTIF($E104:O104,"u")+COUNTIF($E104:O104,"t"),
     INDEX(Roadmap!$D:$K,MATCH($E104,Roadmap!$D:$D,0)+COUNTIF($E104:O104,"u")+COUNTIF($E104:O104,"t")+COUNTIF($E104:O104,"¶")+COUNTIF($E104:O104,"²")+COUNTIF($E104:O104,"µ")+COUNTIF($E104:O104,1),ColTypeEcheance)),
  IF(LEN(O104)=1,
  IF(LEN(INDEX(Roadmap!$D:$K,MATCH($E104,Roadmap!$D:$D,0)-1+COUNTIF($E104:O104,"u")+COUNTIF($E104:O104,"t")+COUNTIF($E104:O104,"¶")+COUNTIF($E104:O104,"²")+COUNTIF($E104:O104,"µ")+COUNTIF($E104:O104,1),ColDescriptionCourte))&gt;1,
HYPERLINK("#Roadmap!C"&amp; MATCH($E104,Roadmap!$D:$D,0)+COUNTIF($E104:O104,"u")+COUNTIF($E104:O104,"t")+COUNTIF($E104:O104,"¶")+COUNTIF($E104:O104,"²")+COUNTIF($E104:O104,"µ")+COUNTIF($E104:O104,1)-1,INDEX(Roadmap!$D:$K,MATCH($E104,Roadmap!$D:$D,0)-1+COUNTIF($E104:O104,"u")+COUNTIF($E104:O104,"t")+COUNTIF($E104:O104,"¶")+COUNTIF($E104:O104,"²")+COUNTIF($E104:O104,"µ")+COUNTIF($E104:O104,1),ColDescriptionCourte)),""),
  "")),"")</f>
        <v/>
      </c>
      <c r="Q104" s="40" t="str">
        <f ca="1">IFERROR(IF(AND(
  INDEX(Roadmap!$D:$K,MATCH($E104,Roadmap!$D:$D,0)+COUNTIF($E104:P104,"u")+COUNTIF($E104:P104,"t")+COUNTIF($E104:P104,"¶")+COUNTIF($E104:P104,"²")+COUNTIF($E104:P104,"µ")+COUNTIF($E104:P104,1),ColLivraison)=Q$6,
  VLOOKUP($E104,INDIRECT("tri!"&amp; CHAR(64+ C0Col) &amp;":"&amp; CHAR(65+C0Col)),2,FALSE)&gt;COUNTIF($E104:P104,"u")+COUNTIF($E104:P104,"t")+COUNTIF($E104:P104,"¶")+COUNTIF($E104:P104,"²")+COUNTIF($E104:P104,"µ")+COUNTIF($E104:P104,1)),
HYPERLINK("#Roadmap!C"&amp; MATCH($E104,Roadmap!$D:$D,0)+COUNTIF($E104:P104,"u")+COUNTIF($E104:P104,"t"),
     INDEX(Roadmap!$D:$K,MATCH($E104,Roadmap!$D:$D,0)+COUNTIF($E104:P104,"u")+COUNTIF($E104:P104,"t")+COUNTIF($E104:P104,"¶")+COUNTIF($E104:P104,"²")+COUNTIF($E104:P104,"µ")+COUNTIF($E104:P104,1),ColTypeEcheance)),
  IF(LEN(P104)=1,
  IF(LEN(INDEX(Roadmap!$D:$K,MATCH($E104,Roadmap!$D:$D,0)-1+COUNTIF($E104:P104,"u")+COUNTIF($E104:P104,"t")+COUNTIF($E104:P104,"¶")+COUNTIF($E104:P104,"²")+COUNTIF($E104:P104,"µ")+COUNTIF($E104:P104,1),ColDescriptionCourte))&gt;1,
HYPERLINK("#Roadmap!C"&amp; MATCH($E104,Roadmap!$D:$D,0)+COUNTIF($E104:P104,"u")+COUNTIF($E104:P104,"t")+COUNTIF($E104:P104,"¶")+COUNTIF($E104:P104,"²")+COUNTIF($E104:P104,"µ")+COUNTIF($E104:P104,1)-1,INDEX(Roadmap!$D:$K,MATCH($E104,Roadmap!$D:$D,0)-1+COUNTIF($E104:P104,"u")+COUNTIF($E104:P104,"t")+COUNTIF($E104:P104,"¶")+COUNTIF($E104:P104,"²")+COUNTIF($E104:P104,"µ")+COUNTIF($E104:P104,1),ColDescriptionCourte)),""),
  "")),"")</f>
        <v/>
      </c>
      <c r="R104" s="40" t="str">
        <f ca="1">IFERROR(IF(AND(
  INDEX(Roadmap!$D:$K,MATCH($E104,Roadmap!$D:$D,0)+COUNTIF($E104:Q104,"u")+COUNTIF($E104:Q104,"t")+COUNTIF($E104:Q104,"¶")+COUNTIF($E104:Q104,"²")+COUNTIF($E104:Q104,"µ")+COUNTIF($E104:Q104,1),ColLivraison)=R$6,
  VLOOKUP($E104,INDIRECT("tri!"&amp; CHAR(64+ C0Col) &amp;":"&amp; CHAR(65+C0Col)),2,FALSE)&gt;COUNTIF($E104:Q104,"u")+COUNTIF($E104:Q104,"t")+COUNTIF($E104:Q104,"¶")+COUNTIF($E104:Q104,"²")+COUNTIF($E104:Q104,"µ")+COUNTIF($E104:Q104,1)),
HYPERLINK("#Roadmap!C"&amp; MATCH($E104,Roadmap!$D:$D,0)+COUNTIF($E104:Q104,"u")+COUNTIF($E104:Q104,"t"),
     INDEX(Roadmap!$D:$K,MATCH($E104,Roadmap!$D:$D,0)+COUNTIF($E104:Q104,"u")+COUNTIF($E104:Q104,"t")+COUNTIF($E104:Q104,"¶")+COUNTIF($E104:Q104,"²")+COUNTIF($E104:Q104,"µ")+COUNTIF($E104:Q104,1),ColTypeEcheance)),
  IF(LEN(Q104)=1,
  IF(LEN(INDEX(Roadmap!$D:$K,MATCH($E104,Roadmap!$D:$D,0)-1+COUNTIF($E104:Q104,"u")+COUNTIF($E104:Q104,"t")+COUNTIF($E104:Q104,"¶")+COUNTIF($E104:Q104,"²")+COUNTIF($E104:Q104,"µ")+COUNTIF($E104:Q104,1),ColDescriptionCourte))&gt;1,
HYPERLINK("#Roadmap!C"&amp; MATCH($E104,Roadmap!$D:$D,0)+COUNTIF($E104:Q104,"u")+COUNTIF($E104:Q104,"t")+COUNTIF($E104:Q104,"¶")+COUNTIF($E104:Q104,"²")+COUNTIF($E104:Q104,"µ")+COUNTIF($E104:Q104,1)-1,INDEX(Roadmap!$D:$K,MATCH($E104,Roadmap!$D:$D,0)-1+COUNTIF($E104:Q104,"u")+COUNTIF($E104:Q104,"t")+COUNTIF($E104:Q104,"¶")+COUNTIF($E104:Q104,"²")+COUNTIF($E104:Q104,"µ")+COUNTIF($E104:Q104,1),ColDescriptionCourte)),""),
  "")),"")</f>
        <v/>
      </c>
      <c r="S104" s="40" t="str">
        <f ca="1">IFERROR(IF(AND(
  INDEX(Roadmap!$D:$K,MATCH($E104,Roadmap!$D:$D,0)+COUNTIF($E104:R104,"u")+COUNTIF($E104:R104,"t")+COUNTIF($E104:R104,"¶")+COUNTIF($E104:R104,"²")+COUNTIF($E104:R104,"µ")+COUNTIF($E104:R104,1),ColLivraison)=S$6,
  VLOOKUP($E104,INDIRECT("tri!"&amp; CHAR(64+ C0Col) &amp;":"&amp; CHAR(65+C0Col)),2,FALSE)&gt;COUNTIF($E104:R104,"u")+COUNTIF($E104:R104,"t")+COUNTIF($E104:R104,"¶")+COUNTIF($E104:R104,"²")+COUNTIF($E104:R104,"µ")+COUNTIF($E104:R104,1)),
HYPERLINK("#Roadmap!C"&amp; MATCH($E104,Roadmap!$D:$D,0)+COUNTIF($E104:R104,"u")+COUNTIF($E104:R104,"t"),
     INDEX(Roadmap!$D:$K,MATCH($E104,Roadmap!$D:$D,0)+COUNTIF($E104:R104,"u")+COUNTIF($E104:R104,"t")+COUNTIF($E104:R104,"¶")+COUNTIF($E104:R104,"²")+COUNTIF($E104:R104,"µ")+COUNTIF($E104:R104,1),ColTypeEcheance)),
  IF(LEN(R104)=1,
  IF(LEN(INDEX(Roadmap!$D:$K,MATCH($E104,Roadmap!$D:$D,0)-1+COUNTIF($E104:R104,"u")+COUNTIF($E104:R104,"t")+COUNTIF($E104:R104,"¶")+COUNTIF($E104:R104,"²")+COUNTIF($E104:R104,"µ")+COUNTIF($E104:R104,1),ColDescriptionCourte))&gt;1,
HYPERLINK("#Roadmap!C"&amp; MATCH($E104,Roadmap!$D:$D,0)+COUNTIF($E104:R104,"u")+COUNTIF($E104:R104,"t")+COUNTIF($E104:R104,"¶")+COUNTIF($E104:R104,"²")+COUNTIF($E104:R104,"µ")+COUNTIF($E104:R104,1)-1,INDEX(Roadmap!$D:$K,MATCH($E104,Roadmap!$D:$D,0)-1+COUNTIF($E104:R104,"u")+COUNTIF($E104:R104,"t")+COUNTIF($E104:R104,"¶")+COUNTIF($E104:R104,"²")+COUNTIF($E104:R104,"µ")+COUNTIF($E104:R104,1),ColDescriptionCourte)),""),
  "")),"")</f>
        <v/>
      </c>
      <c r="T104" s="40" t="str">
        <f ca="1">IFERROR(IF(AND(
  INDEX(Roadmap!$D:$K,MATCH($E104,Roadmap!$D:$D,0)+COUNTIF($E104:S104,"u")+COUNTIF($E104:S104,"t")+COUNTIF($E104:S104,"¶")+COUNTIF($E104:S104,"²")+COUNTIF($E104:S104,"µ")+COUNTIF($E104:S104,1),ColLivraison)=T$6,
  VLOOKUP($E104,INDIRECT("tri!"&amp; CHAR(64+ C0Col) &amp;":"&amp; CHAR(65+C0Col)),2,FALSE)&gt;COUNTIF($E104:S104,"u")+COUNTIF($E104:S104,"t")+COUNTIF($E104:S104,"¶")+COUNTIF($E104:S104,"²")+COUNTIF($E104:S104,"µ")+COUNTIF($E104:S104,1)),
HYPERLINK("#Roadmap!C"&amp; MATCH($E104,Roadmap!$D:$D,0)+COUNTIF($E104:S104,"u")+COUNTIF($E104:S104,"t"),
     INDEX(Roadmap!$D:$K,MATCH($E104,Roadmap!$D:$D,0)+COUNTIF($E104:S104,"u")+COUNTIF($E104:S104,"t")+COUNTIF($E104:S104,"¶")+COUNTIF($E104:S104,"²")+COUNTIF($E104:S104,"µ")+COUNTIF($E104:S104,1),ColTypeEcheance)),
  IF(LEN(S104)=1,
  IF(LEN(INDEX(Roadmap!$D:$K,MATCH($E104,Roadmap!$D:$D,0)-1+COUNTIF($E104:S104,"u")+COUNTIF($E104:S104,"t")+COUNTIF($E104:S104,"¶")+COUNTIF($E104:S104,"²")+COUNTIF($E104:S104,"µ")+COUNTIF($E104:S104,1),ColDescriptionCourte))&gt;1,
HYPERLINK("#Roadmap!C"&amp; MATCH($E104,Roadmap!$D:$D,0)+COUNTIF($E104:S104,"u")+COUNTIF($E104:S104,"t")+COUNTIF($E104:S104,"¶")+COUNTIF($E104:S104,"²")+COUNTIF($E104:S104,"µ")+COUNTIF($E104:S104,1)-1,INDEX(Roadmap!$D:$K,MATCH($E104,Roadmap!$D:$D,0)-1+COUNTIF($E104:S104,"u")+COUNTIF($E104:S104,"t")+COUNTIF($E104:S104,"¶")+COUNTIF($E104:S104,"²")+COUNTIF($E104:S104,"µ")+COUNTIF($E104:S104,1),ColDescriptionCourte)),""),
  "")),"")</f>
        <v/>
      </c>
      <c r="U104" s="40" t="str">
        <f ca="1">IFERROR(IF(AND(
  INDEX(Roadmap!$D:$K,MATCH($E104,Roadmap!$D:$D,0)+COUNTIF($E104:T104,"u")+COUNTIF($E104:T104,"t")+COUNTIF($E104:T104,"¶")+COUNTIF($E104:T104,"²")+COUNTIF($E104:T104,"µ")+COUNTIF($E104:T104,1),ColLivraison)=U$6,
  VLOOKUP($E104,INDIRECT("tri!"&amp; CHAR(64+ C0Col) &amp;":"&amp; CHAR(65+C0Col)),2,FALSE)&gt;COUNTIF($E104:T104,"u")+COUNTIF($E104:T104,"t")+COUNTIF($E104:T104,"¶")+COUNTIF($E104:T104,"²")+COUNTIF($E104:T104,"µ")+COUNTIF($E104:T104,1)),
HYPERLINK("#Roadmap!C"&amp; MATCH($E104,Roadmap!$D:$D,0)+COUNTIF($E104:T104,"u")+COUNTIF($E104:T104,"t"),
     INDEX(Roadmap!$D:$K,MATCH($E104,Roadmap!$D:$D,0)+COUNTIF($E104:T104,"u")+COUNTIF($E104:T104,"t")+COUNTIF($E104:T104,"¶")+COUNTIF($E104:T104,"²")+COUNTIF($E104:T104,"µ")+COUNTIF($E104:T104,1),ColTypeEcheance)),
  IF(LEN(T104)=1,
  IF(LEN(INDEX(Roadmap!$D:$K,MATCH($E104,Roadmap!$D:$D,0)-1+COUNTIF($E104:T104,"u")+COUNTIF($E104:T104,"t")+COUNTIF($E104:T104,"¶")+COUNTIF($E104:T104,"²")+COUNTIF($E104:T104,"µ")+COUNTIF($E104:T104,1),ColDescriptionCourte))&gt;1,
HYPERLINK("#Roadmap!C"&amp; MATCH($E104,Roadmap!$D:$D,0)+COUNTIF($E104:T104,"u")+COUNTIF($E104:T104,"t")+COUNTIF($E104:T104,"¶")+COUNTIF($E104:T104,"²")+COUNTIF($E104:T104,"µ")+COUNTIF($E104:T104,1)-1,INDEX(Roadmap!$D:$K,MATCH($E104,Roadmap!$D:$D,0)-1+COUNTIF($E104:T104,"u")+COUNTIF($E104:T104,"t")+COUNTIF($E104:T104,"¶")+COUNTIF($E104:T104,"²")+COUNTIF($E104:T104,"µ")+COUNTIF($E104:T104,1),ColDescriptionCourte)),""),
  "")),"")</f>
        <v/>
      </c>
      <c r="V104" s="40" t="str">
        <f ca="1">IFERROR(IF(AND(
  INDEX(Roadmap!$D:$K,MATCH($E104,Roadmap!$D:$D,0)+COUNTIF($E104:U104,"u")+COUNTIF($E104:U104,"t")+COUNTIF($E104:U104,"¶")+COUNTIF($E104:U104,"²")+COUNTIF($E104:U104,"µ")+COUNTIF($E104:U104,1),ColLivraison)=V$6,
  VLOOKUP($E104,INDIRECT("tri!"&amp; CHAR(64+ C0Col) &amp;":"&amp; CHAR(65+C0Col)),2,FALSE)&gt;COUNTIF($E104:U104,"u")+COUNTIF($E104:U104,"t")+COUNTIF($E104:U104,"¶")+COUNTIF($E104:U104,"²")+COUNTIF($E104:U104,"µ")+COUNTIF($E104:U104,1)),
HYPERLINK("#Roadmap!C"&amp; MATCH($E104,Roadmap!$D:$D,0)+COUNTIF($E104:U104,"u")+COUNTIF($E104:U104,"t"),
     INDEX(Roadmap!$D:$K,MATCH($E104,Roadmap!$D:$D,0)+COUNTIF($E104:U104,"u")+COUNTIF($E104:U104,"t")+COUNTIF($E104:U104,"¶")+COUNTIF($E104:U104,"²")+COUNTIF($E104:U104,"µ")+COUNTIF($E104:U104,1),ColTypeEcheance)),
  IF(LEN(U104)=1,
  IF(LEN(INDEX(Roadmap!$D:$K,MATCH($E104,Roadmap!$D:$D,0)-1+COUNTIF($E104:U104,"u")+COUNTIF($E104:U104,"t")+COUNTIF($E104:U104,"¶")+COUNTIF($E104:U104,"²")+COUNTIF($E104:U104,"µ")+COUNTIF($E104:U104,1),ColDescriptionCourte))&gt;1,
HYPERLINK("#Roadmap!C"&amp; MATCH($E104,Roadmap!$D:$D,0)+COUNTIF($E104:U104,"u")+COUNTIF($E104:U104,"t")+COUNTIF($E104:U104,"¶")+COUNTIF($E104:U104,"²")+COUNTIF($E104:U104,"µ")+COUNTIF($E104:U104,1)-1,INDEX(Roadmap!$D:$K,MATCH($E104,Roadmap!$D:$D,0)-1+COUNTIF($E104:U104,"u")+COUNTIF($E104:U104,"t")+COUNTIF($E104:U104,"¶")+COUNTIF($E104:U104,"²")+COUNTIF($E104:U104,"µ")+COUNTIF($E104:U104,1),ColDescriptionCourte)),""),
  "")),"")</f>
        <v/>
      </c>
      <c r="W104" s="40" t="str">
        <f ca="1">IFERROR(IF(AND(
  INDEX(Roadmap!$D:$K,MATCH($E104,Roadmap!$D:$D,0)+COUNTIF($E104:V104,"u")+COUNTIF($E104:V104,"t")+COUNTIF($E104:V104,"¶")+COUNTIF($E104:V104,"²")+COUNTIF($E104:V104,"µ")+COUNTIF($E104:V104,1),ColLivraison)=W$6,
  VLOOKUP($E104,INDIRECT("tri!"&amp; CHAR(64+ C0Col) &amp;":"&amp; CHAR(65+C0Col)),2,FALSE)&gt;COUNTIF($E104:V104,"u")+COUNTIF($E104:V104,"t")+COUNTIF($E104:V104,"¶")+COUNTIF($E104:V104,"²")+COUNTIF($E104:V104,"µ")+COUNTIF($E104:V104,1)),
HYPERLINK("#Roadmap!C"&amp; MATCH($E104,Roadmap!$D:$D,0)+COUNTIF($E104:V104,"u")+COUNTIF($E104:V104,"t"),
     INDEX(Roadmap!$D:$K,MATCH($E104,Roadmap!$D:$D,0)+COUNTIF($E104:V104,"u")+COUNTIF($E104:V104,"t")+COUNTIF($E104:V104,"¶")+COUNTIF($E104:V104,"²")+COUNTIF($E104:V104,"µ")+COUNTIF($E104:V104,1),ColTypeEcheance)),
  IF(LEN(V104)=1,
  IF(LEN(INDEX(Roadmap!$D:$K,MATCH($E104,Roadmap!$D:$D,0)-1+COUNTIF($E104:V104,"u")+COUNTIF($E104:V104,"t")+COUNTIF($E104:V104,"¶")+COUNTIF($E104:V104,"²")+COUNTIF($E104:V104,"µ")+COUNTIF($E104:V104,1),ColDescriptionCourte))&gt;1,
HYPERLINK("#Roadmap!C"&amp; MATCH($E104,Roadmap!$D:$D,0)+COUNTIF($E104:V104,"u")+COUNTIF($E104:V104,"t")+COUNTIF($E104:V104,"¶")+COUNTIF($E104:V104,"²")+COUNTIF($E104:V104,"µ")+COUNTIF($E104:V104,1)-1,INDEX(Roadmap!$D:$K,MATCH($E104,Roadmap!$D:$D,0)-1+COUNTIF($E104:V104,"u")+COUNTIF($E104:V104,"t")+COUNTIF($E104:V104,"¶")+COUNTIF($E104:V104,"²")+COUNTIF($E104:V104,"µ")+COUNTIF($E104:V104,1),ColDescriptionCourte)),""),
  "")),"")</f>
        <v/>
      </c>
      <c r="X104" s="40" t="str">
        <f ca="1">IFERROR(IF(AND(
  INDEX(Roadmap!$D:$K,MATCH($E104,Roadmap!$D:$D,0)+COUNTIF($E104:W104,"u")+COUNTIF($E104:W104,"t")+COUNTIF($E104:W104,"¶")+COUNTIF($E104:W104,"²")+COUNTIF($E104:W104,"µ")+COUNTIF($E104:W104,1),ColLivraison)=X$6,
  VLOOKUP($E104,INDIRECT("tri!"&amp; CHAR(64+ C0Col) &amp;":"&amp; CHAR(65+C0Col)),2,FALSE)&gt;COUNTIF($E104:W104,"u")+COUNTIF($E104:W104,"t")+COUNTIF($E104:W104,"¶")+COUNTIF($E104:W104,"²")+COUNTIF($E104:W104,"µ")+COUNTIF($E104:W104,1)),
HYPERLINK("#Roadmap!C"&amp; MATCH($E104,Roadmap!$D:$D,0)+COUNTIF($E104:W104,"u")+COUNTIF($E104:W104,"t"),
     INDEX(Roadmap!$D:$K,MATCH($E104,Roadmap!$D:$D,0)+COUNTIF($E104:W104,"u")+COUNTIF($E104:W104,"t")+COUNTIF($E104:W104,"¶")+COUNTIF($E104:W104,"²")+COUNTIF($E104:W104,"µ")+COUNTIF($E104:W104,1),ColTypeEcheance)),
  IF(LEN(W104)=1,
  IF(LEN(INDEX(Roadmap!$D:$K,MATCH($E104,Roadmap!$D:$D,0)-1+COUNTIF($E104:W104,"u")+COUNTIF($E104:W104,"t")+COUNTIF($E104:W104,"¶")+COUNTIF($E104:W104,"²")+COUNTIF($E104:W104,"µ")+COUNTIF($E104:W104,1),ColDescriptionCourte))&gt;1,
HYPERLINK("#Roadmap!C"&amp; MATCH($E104,Roadmap!$D:$D,0)+COUNTIF($E104:W104,"u")+COUNTIF($E104:W104,"t")+COUNTIF($E104:W104,"¶")+COUNTIF($E104:W104,"²")+COUNTIF($E104:W104,"µ")+COUNTIF($E104:W104,1)-1,INDEX(Roadmap!$D:$K,MATCH($E104,Roadmap!$D:$D,0)-1+COUNTIF($E104:W104,"u")+COUNTIF($E104:W104,"t")+COUNTIF($E104:W104,"¶")+COUNTIF($E104:W104,"²")+COUNTIF($E104:W104,"µ")+COUNTIF($E104:W104,1),ColDescriptionCourte)),""),
  "")),"")</f>
        <v/>
      </c>
      <c r="Y104" s="40" t="str">
        <f ca="1">IFERROR(IF(AND(
  INDEX(Roadmap!$D:$K,MATCH($E104,Roadmap!$D:$D,0)+COUNTIF($E104:X104,"u")+COUNTIF($E104:X104,"t")+COUNTIF($E104:X104,"¶")+COUNTIF($E104:X104,"²")+COUNTIF($E104:X104,"µ")+COUNTIF($E104:X104,1),ColLivraison)=Y$6,
  VLOOKUP($E104,INDIRECT("tri!"&amp; CHAR(64+ C0Col) &amp;":"&amp; CHAR(65+C0Col)),2,FALSE)&gt;COUNTIF($E104:X104,"u")+COUNTIF($E104:X104,"t")+COUNTIF($E104:X104,"¶")+COUNTIF($E104:X104,"²")+COUNTIF($E104:X104,"µ")+COUNTIF($E104:X104,1)),
HYPERLINK("#Roadmap!C"&amp; MATCH($E104,Roadmap!$D:$D,0)+COUNTIF($E104:X104,"u")+COUNTIF($E104:X104,"t"),
     INDEX(Roadmap!$D:$K,MATCH($E104,Roadmap!$D:$D,0)+COUNTIF($E104:X104,"u")+COUNTIF($E104:X104,"t")+COUNTIF($E104:X104,"¶")+COUNTIF($E104:X104,"²")+COUNTIF($E104:X104,"µ")+COUNTIF($E104:X104,1),ColTypeEcheance)),
  IF(LEN(X104)=1,
  IF(LEN(INDEX(Roadmap!$D:$K,MATCH($E104,Roadmap!$D:$D,0)-1+COUNTIF($E104:X104,"u")+COUNTIF($E104:X104,"t")+COUNTIF($E104:X104,"¶")+COUNTIF($E104:X104,"²")+COUNTIF($E104:X104,"µ")+COUNTIF($E104:X104,1),ColDescriptionCourte))&gt;1,
HYPERLINK("#Roadmap!C"&amp; MATCH($E104,Roadmap!$D:$D,0)+COUNTIF($E104:X104,"u")+COUNTIF($E104:X104,"t")+COUNTIF($E104:X104,"¶")+COUNTIF($E104:X104,"²")+COUNTIF($E104:X104,"µ")+COUNTIF($E104:X104,1)-1,INDEX(Roadmap!$D:$K,MATCH($E104,Roadmap!$D:$D,0)-1+COUNTIF($E104:X104,"u")+COUNTIF($E104:X104,"t")+COUNTIF($E104:X104,"¶")+COUNTIF($E104:X104,"²")+COUNTIF($E104:X104,"µ")+COUNTIF($E104:X104,1),ColDescriptionCourte)),""),
  "")),"")</f>
        <v/>
      </c>
      <c r="Z104" s="40" t="str">
        <f ca="1">IFERROR(IF(AND(
  INDEX(Roadmap!$D:$K,MATCH($E104,Roadmap!$D:$D,0)+COUNTIF($E104:Y104,"u")+COUNTIF($E104:Y104,"t")+COUNTIF($E104:Y104,"¶")+COUNTIF($E104:Y104,"²")+COUNTIF($E104:Y104,"µ")+COUNTIF($E104:Y104,1),ColLivraison)=Z$6,
  VLOOKUP($E104,INDIRECT("tri!"&amp; CHAR(64+ C0Col) &amp;":"&amp; CHAR(65+C0Col)),2,FALSE)&gt;COUNTIF($E104:Y104,"u")+COUNTIF($E104:Y104,"t")+COUNTIF($E104:Y104,"¶")+COUNTIF($E104:Y104,"²")+COUNTIF($E104:Y104,"µ")+COUNTIF($E104:Y104,1)),
HYPERLINK("#Roadmap!C"&amp; MATCH($E104,Roadmap!$D:$D,0)+COUNTIF($E104:Y104,"u")+COUNTIF($E104:Y104,"t"),
     INDEX(Roadmap!$D:$K,MATCH($E104,Roadmap!$D:$D,0)+COUNTIF($E104:Y104,"u")+COUNTIF($E104:Y104,"t")+COUNTIF($E104:Y104,"¶")+COUNTIF($E104:Y104,"²")+COUNTIF($E104:Y104,"µ")+COUNTIF($E104:Y104,1),ColTypeEcheance)),
  IF(LEN(Y104)=1,
  IF(LEN(INDEX(Roadmap!$D:$K,MATCH($E104,Roadmap!$D:$D,0)-1+COUNTIF($E104:Y104,"u")+COUNTIF($E104:Y104,"t")+COUNTIF($E104:Y104,"¶")+COUNTIF($E104:Y104,"²")+COUNTIF($E104:Y104,"µ")+COUNTIF($E104:Y104,1),ColDescriptionCourte))&gt;1,
HYPERLINK("#Roadmap!C"&amp; MATCH($E104,Roadmap!$D:$D,0)+COUNTIF($E104:Y104,"u")+COUNTIF($E104:Y104,"t")+COUNTIF($E104:Y104,"¶")+COUNTIF($E104:Y104,"²")+COUNTIF($E104:Y104,"µ")+COUNTIF($E104:Y104,1)-1,INDEX(Roadmap!$D:$K,MATCH($E104,Roadmap!$D:$D,0)-1+COUNTIF($E104:Y104,"u")+COUNTIF($E104:Y104,"t")+COUNTIF($E104:Y104,"¶")+COUNTIF($E104:Y104,"²")+COUNTIF($E104:Y104,"µ")+COUNTIF($E104:Y104,1),ColDescriptionCourte)),""),
  "")),"")</f>
        <v/>
      </c>
      <c r="AA104" s="40" t="str">
        <f ca="1">IFERROR(IF(AND(
  INDEX(Roadmap!$D:$K,MATCH($E104,Roadmap!$D:$D,0)+COUNTIF($E104:Z104,"u")+COUNTIF($E104:Z104,"t")+COUNTIF($E104:Z104,"¶")+COUNTIF($E104:Z104,"²")+COUNTIF($E104:Z104,"µ")+COUNTIF($E104:Z104,1),ColLivraison)=AA$6,
  VLOOKUP($E104,INDIRECT("tri!"&amp; CHAR(64+ C0Col) &amp;":"&amp; CHAR(65+C0Col)),2,FALSE)&gt;COUNTIF($E104:Z104,"u")+COUNTIF($E104:Z104,"t")+COUNTIF($E104:Z104,"¶")+COUNTIF($E104:Z104,"²")+COUNTIF($E104:Z104,"µ")+COUNTIF($E104:Z104,1)),
HYPERLINK("#Roadmap!C"&amp; MATCH($E104,Roadmap!$D:$D,0)+COUNTIF($E104:Z104,"u")+COUNTIF($E104:Z104,"t"),
     INDEX(Roadmap!$D:$K,MATCH($E104,Roadmap!$D:$D,0)+COUNTIF($E104:Z104,"u")+COUNTIF($E104:Z104,"t")+COUNTIF($E104:Z104,"¶")+COUNTIF($E104:Z104,"²")+COUNTIF($E104:Z104,"µ")+COUNTIF($E104:Z104,1),ColTypeEcheance)),
  IF(LEN(Z104)=1,
  IF(LEN(INDEX(Roadmap!$D:$K,MATCH($E104,Roadmap!$D:$D,0)-1+COUNTIF($E104:Z104,"u")+COUNTIF($E104:Z104,"t")+COUNTIF($E104:Z104,"¶")+COUNTIF($E104:Z104,"²")+COUNTIF($E104:Z104,"µ")+COUNTIF($E104:Z104,1),ColDescriptionCourte))&gt;1,
HYPERLINK("#Roadmap!C"&amp; MATCH($E104,Roadmap!$D:$D,0)+COUNTIF($E104:Z104,"u")+COUNTIF($E104:Z104,"t")+COUNTIF($E104:Z104,"¶")+COUNTIF($E104:Z104,"²")+COUNTIF($E104:Z104,"µ")+COUNTIF($E104:Z104,1)-1,INDEX(Roadmap!$D:$K,MATCH($E104,Roadmap!$D:$D,0)-1+COUNTIF($E104:Z104,"u")+COUNTIF($E104:Z104,"t")+COUNTIF($E104:Z104,"¶")+COUNTIF($E104:Z104,"²")+COUNTIF($E104:Z104,"µ")+COUNTIF($E104:Z104,1),ColDescriptionCourte)),""),
  "")),"")</f>
        <v/>
      </c>
      <c r="AB104" s="40" t="str">
        <f ca="1">IFERROR(IF(AND(
  INDEX(Roadmap!$D:$K,MATCH($E104,Roadmap!$D:$D,0)+COUNTIF($E104:AA104,"u")+COUNTIF($E104:AA104,"t")+COUNTIF($E104:AA104,"¶")+COUNTIF($E104:AA104,"²")+COUNTIF($E104:AA104,"µ")+COUNTIF($E104:AA104,1),ColLivraison)=AB$6,
  VLOOKUP($E104,INDIRECT("tri!"&amp; CHAR(64+ C0Col) &amp;":"&amp; CHAR(65+C0Col)),2,FALSE)&gt;COUNTIF($E104:AA104,"u")+COUNTIF($E104:AA104,"t")+COUNTIF($E104:AA104,"¶")+COUNTIF($E104:AA104,"²")+COUNTIF($E104:AA104,"µ")+COUNTIF($E104:AA104,1)),
HYPERLINK("#Roadmap!C"&amp; MATCH($E104,Roadmap!$D:$D,0)+COUNTIF($E104:AA104,"u")+COUNTIF($E104:AA104,"t"),
     INDEX(Roadmap!$D:$K,MATCH($E104,Roadmap!$D:$D,0)+COUNTIF($E104:AA104,"u")+COUNTIF($E104:AA104,"t")+COUNTIF($E104:AA104,"¶")+COUNTIF($E104:AA104,"²")+COUNTIF($E104:AA104,"µ")+COUNTIF($E104:AA104,1),ColTypeEcheance)),
  IF(LEN(AA104)=1,
  IF(LEN(INDEX(Roadmap!$D:$K,MATCH($E104,Roadmap!$D:$D,0)-1+COUNTIF($E104:AA104,"u")+COUNTIF($E104:AA104,"t")+COUNTIF($E104:AA104,"¶")+COUNTIF($E104:AA104,"²")+COUNTIF($E104:AA104,"µ")+COUNTIF($E104:AA104,1),ColDescriptionCourte))&gt;1,
HYPERLINK("#Roadmap!C"&amp; MATCH($E104,Roadmap!$D:$D,0)+COUNTIF($E104:AA104,"u")+COUNTIF($E104:AA104,"t")+COUNTIF($E104:AA104,"¶")+COUNTIF($E104:AA104,"²")+COUNTIF($E104:AA104,"µ")+COUNTIF($E104:AA104,1)-1,INDEX(Roadmap!$D:$K,MATCH($E104,Roadmap!$D:$D,0)-1+COUNTIF($E104:AA104,"u")+COUNTIF($E104:AA104,"t")+COUNTIF($E104:AA104,"¶")+COUNTIF($E104:AA104,"²")+COUNTIF($E104:AA104,"µ")+COUNTIF($E104:AA104,1),ColDescriptionCourte)),""),
  "")),"")</f>
        <v/>
      </c>
      <c r="AC104" s="40" t="str">
        <f ca="1">IFERROR(IF(AND(
  INDEX(Roadmap!$D:$K,MATCH($E104,Roadmap!$D:$D,0)+COUNTIF($E104:AB104,"u")+COUNTIF($E104:AB104,"t")+COUNTIF($E104:AB104,"¶")+COUNTIF($E104:AB104,"²")+COUNTIF($E104:AB104,"µ")+COUNTIF($E104:AB104,1),ColLivraison)=AC$6,
  VLOOKUP($E104,INDIRECT("tri!"&amp; CHAR(64+ C0Col) &amp;":"&amp; CHAR(65+C0Col)),2,FALSE)&gt;COUNTIF($E104:AB104,"u")+COUNTIF($E104:AB104,"t")+COUNTIF($E104:AB104,"¶")+COUNTIF($E104:AB104,"²")+COUNTIF($E104:AB104,"µ")+COUNTIF($E104:AB104,1)),
HYPERLINK("#Roadmap!C"&amp; MATCH($E104,Roadmap!$D:$D,0)+COUNTIF($E104:AB104,"u")+COUNTIF($E104:AB104,"t"),
     INDEX(Roadmap!$D:$K,MATCH($E104,Roadmap!$D:$D,0)+COUNTIF($E104:AB104,"u")+COUNTIF($E104:AB104,"t")+COUNTIF($E104:AB104,"¶")+COUNTIF($E104:AB104,"²")+COUNTIF($E104:AB104,"µ")+COUNTIF($E104:AB104,1),ColTypeEcheance)),
  IF(LEN(AB104)=1,
  IF(LEN(INDEX(Roadmap!$D:$K,MATCH($E104,Roadmap!$D:$D,0)-1+COUNTIF($E104:AB104,"u")+COUNTIF($E104:AB104,"t")+COUNTIF($E104:AB104,"¶")+COUNTIF($E104:AB104,"²")+COUNTIF($E104:AB104,"µ")+COUNTIF($E104:AB104,1),ColDescriptionCourte))&gt;1,
HYPERLINK("#Roadmap!C"&amp; MATCH($E104,Roadmap!$D:$D,0)+COUNTIF($E104:AB104,"u")+COUNTIF($E104:AB104,"t")+COUNTIF($E104:AB104,"¶")+COUNTIF($E104:AB104,"²")+COUNTIF($E104:AB104,"µ")+COUNTIF($E104:AB104,1)-1,INDEX(Roadmap!$D:$K,MATCH($E104,Roadmap!$D:$D,0)-1+COUNTIF($E104:AB104,"u")+COUNTIF($E104:AB104,"t")+COUNTIF($E104:AB104,"¶")+COUNTIF($E104:AB104,"²")+COUNTIF($E104:AB104,"µ")+COUNTIF($E104:AB104,1),ColDescriptionCourte)),""),
  "")),"")</f>
        <v/>
      </c>
      <c r="AD104" s="40" t="str">
        <f ca="1">IFERROR(IF(AND(
  INDEX(Roadmap!$D:$K,MATCH($E104,Roadmap!$D:$D,0)+COUNTIF($E104:AC104,"u")+COUNTIF($E104:AC104,"t")+COUNTIF($E104:AC104,"¶")+COUNTIF($E104:AC104,"²")+COUNTIF($E104:AC104,"µ")+COUNTIF($E104:AC104,1),ColLivraison)=AD$6,
  VLOOKUP($E104,INDIRECT("tri!"&amp; CHAR(64+ C0Col) &amp;":"&amp; CHAR(65+C0Col)),2,FALSE)&gt;COUNTIF($E104:AC104,"u")+COUNTIF($E104:AC104,"t")+COUNTIF($E104:AC104,"¶")+COUNTIF($E104:AC104,"²")+COUNTIF($E104:AC104,"µ")+COUNTIF($E104:AC104,1)),
HYPERLINK("#Roadmap!C"&amp; MATCH($E104,Roadmap!$D:$D,0)+COUNTIF($E104:AC104,"u")+COUNTIF($E104:AC104,"t"),
     INDEX(Roadmap!$D:$K,MATCH($E104,Roadmap!$D:$D,0)+COUNTIF($E104:AC104,"u")+COUNTIF($E104:AC104,"t")+COUNTIF($E104:AC104,"¶")+COUNTIF($E104:AC104,"²")+COUNTIF($E104:AC104,"µ")+COUNTIF($E104:AC104,1),ColTypeEcheance)),
  IF(LEN(AC104)=1,
  IF(LEN(INDEX(Roadmap!$D:$K,MATCH($E104,Roadmap!$D:$D,0)-1+COUNTIF($E104:AC104,"u")+COUNTIF($E104:AC104,"t")+COUNTIF($E104:AC104,"¶")+COUNTIF($E104:AC104,"²")+COUNTIF($E104:AC104,"µ")+COUNTIF($E104:AC104,1),ColDescriptionCourte))&gt;1,
HYPERLINK("#Roadmap!C"&amp; MATCH($E104,Roadmap!$D:$D,0)+COUNTIF($E104:AC104,"u")+COUNTIF($E104:AC104,"t")+COUNTIF($E104:AC104,"¶")+COUNTIF($E104:AC104,"²")+COUNTIF($E104:AC104,"µ")+COUNTIF($E104:AC104,1)-1,INDEX(Roadmap!$D:$K,MATCH($E104,Roadmap!$D:$D,0)-1+COUNTIF($E104:AC104,"u")+COUNTIF($E104:AC104,"t")+COUNTIF($E104:AC104,"¶")+COUNTIF($E104:AC104,"²")+COUNTIF($E104:AC104,"µ")+COUNTIF($E104:AC104,1),ColDescriptionCourte)),""),
  "")),"")</f>
        <v/>
      </c>
      <c r="AE104" s="40" t="str">
        <f ca="1">IFERROR(IF(AND(
  INDEX(Roadmap!$D:$K,MATCH($E104,Roadmap!$D:$D,0)+COUNTIF($E104:AD104,"u")+COUNTIF($E104:AD104,"t")+COUNTIF($E104:AD104,"¶")+COUNTIF($E104:AD104,"²")+COUNTIF($E104:AD104,"µ")+COUNTIF($E104:AD104,1),ColLivraison)=AE$6,
  VLOOKUP($E104,INDIRECT("tri!"&amp; CHAR(64+ C0Col) &amp;":"&amp; CHAR(65+C0Col)),2,FALSE)&gt;COUNTIF($E104:AD104,"u")+COUNTIF($E104:AD104,"t")+COUNTIF($E104:AD104,"¶")+COUNTIF($E104:AD104,"²")+COUNTIF($E104:AD104,"µ")+COUNTIF($E104:AD104,1)),
HYPERLINK("#Roadmap!C"&amp; MATCH($E104,Roadmap!$D:$D,0)+COUNTIF($E104:AD104,"u")+COUNTIF($E104:AD104,"t"),
     INDEX(Roadmap!$D:$K,MATCH($E104,Roadmap!$D:$D,0)+COUNTIF($E104:AD104,"u")+COUNTIF($E104:AD104,"t")+COUNTIF($E104:AD104,"¶")+COUNTIF($E104:AD104,"²")+COUNTIF($E104:AD104,"µ")+COUNTIF($E104:AD104,1),ColTypeEcheance)),
  IF(LEN(AD104)=1,
  IF(LEN(INDEX(Roadmap!$D:$K,MATCH($E104,Roadmap!$D:$D,0)-1+COUNTIF($E104:AD104,"u")+COUNTIF($E104:AD104,"t")+COUNTIF($E104:AD104,"¶")+COUNTIF($E104:AD104,"²")+COUNTIF($E104:AD104,"µ")+COUNTIF($E104:AD104,1),ColDescriptionCourte))&gt;1,
HYPERLINK("#Roadmap!C"&amp; MATCH($E104,Roadmap!$D:$D,0)+COUNTIF($E104:AD104,"u")+COUNTIF($E104:AD104,"t")+COUNTIF($E104:AD104,"¶")+COUNTIF($E104:AD104,"²")+COUNTIF($E104:AD104,"µ")+COUNTIF($E104:AD104,1)-1,INDEX(Roadmap!$D:$K,MATCH($E104,Roadmap!$D:$D,0)-1+COUNTIF($E104:AD104,"u")+COUNTIF($E104:AD104,"t")+COUNTIF($E104:AD104,"¶")+COUNTIF($E104:AD104,"²")+COUNTIF($E104:AD104,"µ")+COUNTIF($E104:AD104,1),ColDescriptionCourte)),""),
  "")),"")</f>
        <v/>
      </c>
      <c r="AF104" s="40" t="str">
        <f ca="1">IFERROR(IF(AND(
  INDEX(Roadmap!$D:$K,MATCH($E104,Roadmap!$D:$D,0)+COUNTIF($E104:AE104,"u")+COUNTIF($E104:AE104,"t")+COUNTIF($E104:AE104,"¶")+COUNTIF($E104:AE104,"²")+COUNTIF($E104:AE104,"µ")+COUNTIF($E104:AE104,1),ColLivraison)=AF$6,
  VLOOKUP($E104,INDIRECT("tri!"&amp; CHAR(64+ C0Col) &amp;":"&amp; CHAR(65+C0Col)),2,FALSE)&gt;COUNTIF($E104:AE104,"u")+COUNTIF($E104:AE104,"t")+COUNTIF($E104:AE104,"¶")+COUNTIF($E104:AE104,"²")+COUNTIF($E104:AE104,"µ")+COUNTIF($E104:AE104,1)),
HYPERLINK("#Roadmap!C"&amp; MATCH($E104,Roadmap!$D:$D,0)+COUNTIF($E104:AE104,"u")+COUNTIF($E104:AE104,"t"),
     INDEX(Roadmap!$D:$K,MATCH($E104,Roadmap!$D:$D,0)+COUNTIF($E104:AE104,"u")+COUNTIF($E104:AE104,"t")+COUNTIF($E104:AE104,"¶")+COUNTIF($E104:AE104,"²")+COUNTIF($E104:AE104,"µ")+COUNTIF($E104:AE104,1),ColTypeEcheance)),
  IF(LEN(AE104)=1,
  IF(LEN(INDEX(Roadmap!$D:$K,MATCH($E104,Roadmap!$D:$D,0)-1+COUNTIF($E104:AE104,"u")+COUNTIF($E104:AE104,"t")+COUNTIF($E104:AE104,"¶")+COUNTIF($E104:AE104,"²")+COUNTIF($E104:AE104,"µ")+COUNTIF($E104:AE104,1),ColDescriptionCourte))&gt;1,
HYPERLINK("#Roadmap!C"&amp; MATCH($E104,Roadmap!$D:$D,0)+COUNTIF($E104:AE104,"u")+COUNTIF($E104:AE104,"t")+COUNTIF($E104:AE104,"¶")+COUNTIF($E104:AE104,"²")+COUNTIF($E104:AE104,"µ")+COUNTIF($E104:AE104,1)-1,INDEX(Roadmap!$D:$K,MATCH($E104,Roadmap!$D:$D,0)-1+COUNTIF($E104:AE104,"u")+COUNTIF($E104:AE104,"t")+COUNTIF($E104:AE104,"¶")+COUNTIF($E104:AE104,"²")+COUNTIF($E104:AE104,"µ")+COUNTIF($E104:AE104,1),ColDescriptionCourte)),""),
  "")),"")</f>
        <v/>
      </c>
      <c r="AG104" s="40" t="str">
        <f ca="1">IFERROR(IF(AND(
  INDEX(Roadmap!$D:$K,MATCH($E104,Roadmap!$D:$D,0)+COUNTIF($E104:AF104,"u")+COUNTIF($E104:AF104,"t")+COUNTIF($E104:AF104,"¶")+COUNTIF($E104:AF104,"²")+COUNTIF($E104:AF104,"µ")+COUNTIF($E104:AF104,1),ColLivraison)=AG$6,
  VLOOKUP($E104,INDIRECT("tri!"&amp; CHAR(64+ C0Col) &amp;":"&amp; CHAR(65+C0Col)),2,FALSE)&gt;COUNTIF($E104:AF104,"u")+COUNTIF($E104:AF104,"t")+COUNTIF($E104:AF104,"¶")+COUNTIF($E104:AF104,"²")+COUNTIF($E104:AF104,"µ")+COUNTIF($E104:AF104,1)),
HYPERLINK("#Roadmap!C"&amp; MATCH($E104,Roadmap!$D:$D,0)+COUNTIF($E104:AF104,"u")+COUNTIF($E104:AF104,"t"),
     INDEX(Roadmap!$D:$K,MATCH($E104,Roadmap!$D:$D,0)+COUNTIF($E104:AF104,"u")+COUNTIF($E104:AF104,"t")+COUNTIF($E104:AF104,"¶")+COUNTIF($E104:AF104,"²")+COUNTIF($E104:AF104,"µ")+COUNTIF($E104:AF104,1),ColTypeEcheance)),
  IF(LEN(AF104)=1,
  IF(LEN(INDEX(Roadmap!$D:$K,MATCH($E104,Roadmap!$D:$D,0)-1+COUNTIF($E104:AF104,"u")+COUNTIF($E104:AF104,"t")+COUNTIF($E104:AF104,"¶")+COUNTIF($E104:AF104,"²")+COUNTIF($E104:AF104,"µ")+COUNTIF($E104:AF104,1),ColDescriptionCourte))&gt;1,
HYPERLINK("#Roadmap!C"&amp; MATCH($E104,Roadmap!$D:$D,0)+COUNTIF($E104:AF104,"u")+COUNTIF($E104:AF104,"t")+COUNTIF($E104:AF104,"¶")+COUNTIF($E104:AF104,"²")+COUNTIF($E104:AF104,"µ")+COUNTIF($E104:AF104,1)-1,INDEX(Roadmap!$D:$K,MATCH($E104,Roadmap!$D:$D,0)-1+COUNTIF($E104:AF104,"u")+COUNTIF($E104:AF104,"t")+COUNTIF($E104:AF104,"¶")+COUNTIF($E104:AF104,"²")+COUNTIF($E104:AF104,"µ")+COUNTIF($E104:AF104,1),ColDescriptionCourte)),""),
  "")),"")</f>
        <v/>
      </c>
      <c r="AH104" s="40" t="str">
        <f ca="1">IFERROR(IF(AND(
  INDEX(Roadmap!$D:$K,MATCH($E104,Roadmap!$D:$D,0)+COUNTIF($E104:AG104,"u")+COUNTIF($E104:AG104,"t")+COUNTIF($E104:AG104,1),ColLivraison)=AH$6,
  VLOOKUP($E104,INDIRECT("tri!"&amp; CHAR(64+ C0Col) &amp;":"&amp; CHAR(65+C0Col)),2,FALSE)&gt;COUNTIF($E104:AG104,"u")+COUNTIF($E104:AG104,"t")+COUNTIF($E104:AG104,1)),
HYPERLINK("#Roadmap!C"&amp; MATCH($E104,Roadmap!$D:$D,0)+COUNTIF($E104:AG104,"u")+COUNTIF($E104:AG104,"t"),
     INDEX(Roadmap!$D:$K,MATCH($E104,Roadmap!$D:$D,0)+COUNTIF($E104:AG104,"u")+COUNTIF($E104:AG104,"t")+COUNTIF($E104:AG104,1),ColTypeEcheance)),
  IF(OR(AG104="u",AG104="t",AG104=1),
  IF(LEN(INDEX(Roadmap!$D:$K,MATCH($E104,Roadmap!$D:$D,0)-1+COUNTIF($E104:AG104,"u")+COUNTIF($E104:AG104,"t")+COUNTIF($E104:AG104,1),ColDescriptionCourte))&gt;1,
HYPERLINK("#Roadmap!C"&amp; MATCH($E104,Roadmap!$D:$D,0)+COUNTIF($E104:AG104,"u")+COUNTIF($E104:AG104,"t")+COUNTIF($E104:AG104,1)-1,INDEX(Roadmap!$D:$K,MATCH($E104,Roadmap!$D:$D,0)-1+COUNTIF($E104:AG104,"u")+COUNTIF($E104:AG104,"t")+COUNTIF($E104:AG104,1),ColDescriptionCourte)),""),
  "")),"")</f>
        <v/>
      </c>
      <c r="AI104" s="40"/>
      <c r="AJ104" s="40"/>
      <c r="AK104" s="40"/>
      <c r="AL104" s="40"/>
      <c r="AM104" s="40"/>
    </row>
    <row r="105" spans="4:39" ht="14.1" customHeight="1">
      <c r="D105" s="20" t="str">
        <f t="shared" ca="1" si="29"/>
        <v/>
      </c>
      <c r="E105" s="53" t="str">
        <f t="shared" ca="1" si="30"/>
        <v/>
      </c>
      <c r="F105" s="39" t="str">
        <f ca="1">IFERROR(IF(AND(
  INDEX(Roadmap!$D:$K,MATCH($E105,Roadmap!$D:$D,0)+COUNTIF($E105:E105,"u")+COUNTIF($E105:E105,"t")+COUNTIF($E105:E105,"¶")+COUNTIF($E105:E105,"²")+COUNTIF($E105:E105,"µ")+COUNTIF($E105:E105,1),ColLivraison)=F$6,
  VLOOKUP($E105,INDIRECT("tri!"&amp; CHAR(64+ C0Col) &amp;":"&amp; CHAR(65+C0Col)),2,FALSE)&gt;COUNTIF($E105:E105,"u")+COUNTIF($E105:E105,"t")+COUNTIF($E105:E105,"¶")+COUNTIF($E105:E105,"²")+COUNTIF($E105:E105,"µ")+COUNTIF($E105:E105,1)),
HYPERLINK("#Roadmap!C"&amp; MATCH($E105,Roadmap!$D:$D,0)+COUNTIF($E105:E105,"u")+COUNTIF($E105:E105,"t"),
     INDEX(Roadmap!$D:$K,MATCH($E105,Roadmap!$D:$D,0)+COUNTIF($E105:E105,"u")+COUNTIF($E105:E105,"t")+COUNTIF($E105:E105,"¶")+COUNTIF($E105:E105,"²")+COUNTIF($E105:E105,"µ")+COUNTIF($E105:E105,1),ColTypeEcheance)),
  IF(LEN(E105)=1,
  IF(LEN(INDEX(Roadmap!$D:$K,MATCH($E105,Roadmap!$D:$D,0)-1+COUNTIF($E105:E105,"u")+COUNTIF($E105:E105,"t")+COUNTIF($E105:E105,"¶")+COUNTIF($E105:E105,"²")+COUNTIF($E105:E105,"µ")+COUNTIF($E105:E105,1),ColDescriptionCourte))&gt;1,
HYPERLINK("#Roadmap!C"&amp; MATCH($E105,Roadmap!$D:$D,0)+COUNTIF($E105:E105,"u")+COUNTIF($E105:E105,"t")+COUNTIF($E105:E105,"¶")+COUNTIF($E105:E105,"²")+COUNTIF($E105:E105,"µ")+COUNTIF($E105:E105,1)-1,INDEX(Roadmap!$D:$K,MATCH($E105,Roadmap!$D:$D,0)-1+COUNTIF($E105:E105,"u")+COUNTIF($E105:E105,"t")+COUNTIF($E105:E105,"¶")+COUNTIF($E105:E105,"²")+COUNTIF($E105:E105,"µ")+COUNTIF($E105:E105,1),ColDescriptionCourte)),""),
  "")),"")</f>
        <v/>
      </c>
      <c r="G105" s="40" t="str">
        <f ca="1">IFERROR(IF(AND(
  INDEX(Roadmap!$D:$K,MATCH($E105,Roadmap!$D:$D,0)+COUNTIF($E105:F105,"u")+COUNTIF($E105:F105,"t")+COUNTIF($E105:F105,"¶")+COUNTIF($E105:F105,"²")+COUNTIF($E105:F105,"µ")+COUNTIF($E105:F105,1),ColLivraison)=G$6,
  VLOOKUP($E105,INDIRECT("tri!"&amp; CHAR(64+ C0Col) &amp;":"&amp; CHAR(65+C0Col)),2,FALSE)&gt;COUNTIF($E105:F105,"u")+COUNTIF($E105:F105,"t")+COUNTIF($E105:F105,"¶")+COUNTIF($E105:F105,"²")+COUNTIF($E105:F105,"µ")+COUNTIF($E105:F105,1)),
HYPERLINK("#Roadmap!C"&amp; MATCH($E105,Roadmap!$D:$D,0)+COUNTIF($E105:F105,"u")+COUNTIF($E105:F105,"t"),
     INDEX(Roadmap!$D:$K,MATCH($E105,Roadmap!$D:$D,0)+COUNTIF($E105:F105,"u")+COUNTIF($E105:F105,"t")+COUNTIF($E105:F105,"¶")+COUNTIF($E105:F105,"²")+COUNTIF($E105:F105,"µ")+COUNTIF($E105:F105,1),ColTypeEcheance)),
  IF(LEN(F105)=1,
  IF(LEN(INDEX(Roadmap!$D:$K,MATCH($E105,Roadmap!$D:$D,0)-1+COUNTIF($E105:F105,"u")+COUNTIF($E105:F105,"t")+COUNTIF($E105:F105,"¶")+COUNTIF($E105:F105,"²")+COUNTIF($E105:F105,"µ")+COUNTIF($E105:F105,1),ColDescriptionCourte))&gt;1,
HYPERLINK("#Roadmap!C"&amp; MATCH($E105,Roadmap!$D:$D,0)+COUNTIF($E105:F105,"u")+COUNTIF($E105:F105,"t")+COUNTIF($E105:F105,"¶")+COUNTIF($E105:F105,"²")+COUNTIF($E105:F105,"µ")+COUNTIF($E105:F105,1)-1,INDEX(Roadmap!$D:$K,MATCH($E105,Roadmap!$D:$D,0)-1+COUNTIF($E105:F105,"u")+COUNTIF($E105:F105,"t")+COUNTIF($E105:F105,"¶")+COUNTIF($E105:F105,"²")+COUNTIF($E105:F105,"µ")+COUNTIF($E105:F105,1),ColDescriptionCourte)),""),
  "")),"")</f>
        <v/>
      </c>
      <c r="H105" s="40" t="str">
        <f ca="1">IFERROR(IF(AND(
  INDEX(Roadmap!$D:$K,MATCH($E105,Roadmap!$D:$D,0)+COUNTIF($E105:G105,"u")+COUNTIF($E105:G105,"t")+COUNTIF($E105:G105,"¶")+COUNTIF($E105:G105,"²")+COUNTIF($E105:G105,"µ")+COUNTIF($E105:G105,1),ColLivraison)=H$6,
  VLOOKUP($E105,INDIRECT("tri!"&amp; CHAR(64+ C0Col) &amp;":"&amp; CHAR(65+C0Col)),2,FALSE)&gt;COUNTIF($E105:G105,"u")+COUNTIF($E105:G105,"t")+COUNTIF($E105:G105,"¶")+COUNTIF($E105:G105,"²")+COUNTIF($E105:G105,"µ")+COUNTIF($E105:G105,1)),
HYPERLINK("#Roadmap!C"&amp; MATCH($E105,Roadmap!$D:$D,0)+COUNTIF($E105:G105,"u")+COUNTIF($E105:G105,"t"),
     INDEX(Roadmap!$D:$K,MATCH($E105,Roadmap!$D:$D,0)+COUNTIF($E105:G105,"u")+COUNTIF($E105:G105,"t")+COUNTIF($E105:G105,"¶")+COUNTIF($E105:G105,"²")+COUNTIF($E105:G105,"µ")+COUNTIF($E105:G105,1),ColTypeEcheance)),
  IF(LEN(G105)=1,
  IF(LEN(INDEX(Roadmap!$D:$K,MATCH($E105,Roadmap!$D:$D,0)-1+COUNTIF($E105:G105,"u")+COUNTIF($E105:G105,"t")+COUNTIF($E105:G105,"¶")+COUNTIF($E105:G105,"²")+COUNTIF($E105:G105,"µ")+COUNTIF($E105:G105,1),ColDescriptionCourte))&gt;1,
HYPERLINK("#Roadmap!C"&amp; MATCH($E105,Roadmap!$D:$D,0)+COUNTIF($E105:G105,"u")+COUNTIF($E105:G105,"t")+COUNTIF($E105:G105,"¶")+COUNTIF($E105:G105,"²")+COUNTIF($E105:G105,"µ")+COUNTIF($E105:G105,1)-1,INDEX(Roadmap!$D:$K,MATCH($E105,Roadmap!$D:$D,0)-1+COUNTIF($E105:G105,"u")+COUNTIF($E105:G105,"t")+COUNTIF($E105:G105,"¶")+COUNTIF($E105:G105,"²")+COUNTIF($E105:G105,"µ")+COUNTIF($E105:G105,1),ColDescriptionCourte)),""),
  "")),"")</f>
        <v/>
      </c>
      <c r="I105" s="40" t="str">
        <f ca="1">IFERROR(IF(AND(
  INDEX(Roadmap!$D:$K,MATCH($E105,Roadmap!$D:$D,0)+COUNTIF($E105:H105,"u")+COUNTIF($E105:H105,"t")+COUNTIF($E105:H105,"¶")+COUNTIF($E105:H105,"²")+COUNTIF($E105:H105,"µ")+COUNTIF($E105:H105,1),ColLivraison)=I$6,
  VLOOKUP($E105,INDIRECT("tri!"&amp; CHAR(64+ C0Col) &amp;":"&amp; CHAR(65+C0Col)),2,FALSE)&gt;COUNTIF($E105:H105,"u")+COUNTIF($E105:H105,"t")+COUNTIF($E105:H105,"¶")+COUNTIF($E105:H105,"²")+COUNTIF($E105:H105,"µ")+COUNTIF($E105:H105,1)),
HYPERLINK("#Roadmap!C"&amp; MATCH($E105,Roadmap!$D:$D,0)+COUNTIF($E105:H105,"u")+COUNTIF($E105:H105,"t"),
     INDEX(Roadmap!$D:$K,MATCH($E105,Roadmap!$D:$D,0)+COUNTIF($E105:H105,"u")+COUNTIF($E105:H105,"t")+COUNTIF($E105:H105,"¶")+COUNTIF($E105:H105,"²")+COUNTIF($E105:H105,"µ")+COUNTIF($E105:H105,1),ColTypeEcheance)),
  IF(LEN(H105)=1,
  IF(LEN(INDEX(Roadmap!$D:$K,MATCH($E105,Roadmap!$D:$D,0)-1+COUNTIF($E105:H105,"u")+COUNTIF($E105:H105,"t")+COUNTIF($E105:H105,"¶")+COUNTIF($E105:H105,"²")+COUNTIF($E105:H105,"µ")+COUNTIF($E105:H105,1),ColDescriptionCourte))&gt;1,
HYPERLINK("#Roadmap!C"&amp; MATCH($E105,Roadmap!$D:$D,0)+COUNTIF($E105:H105,"u")+COUNTIF($E105:H105,"t")+COUNTIF($E105:H105,"¶")+COUNTIF($E105:H105,"²")+COUNTIF($E105:H105,"µ")+COUNTIF($E105:H105,1)-1,INDEX(Roadmap!$D:$K,MATCH($E105,Roadmap!$D:$D,0)-1+COUNTIF($E105:H105,"u")+COUNTIF($E105:H105,"t")+COUNTIF($E105:H105,"¶")+COUNTIF($E105:H105,"²")+COUNTIF($E105:H105,"µ")+COUNTIF($E105:H105,1),ColDescriptionCourte)),""),
  "")),"")</f>
        <v/>
      </c>
      <c r="J105" s="40" t="str">
        <f ca="1">IFERROR(IF(AND(
  INDEX(Roadmap!$D:$K,MATCH($E105,Roadmap!$D:$D,0)+COUNTIF($E105:I105,"u")+COUNTIF($E105:I105,"t")+COUNTIF($E105:I105,"¶")+COUNTIF($E105:I105,"²")+COUNTIF($E105:I105,"µ")+COUNTIF($E105:I105,1),ColLivraison)=J$6,
  VLOOKUP($E105,INDIRECT("tri!"&amp; CHAR(64+ C0Col) &amp;":"&amp; CHAR(65+C0Col)),2,FALSE)&gt;COUNTIF($E105:I105,"u")+COUNTIF($E105:I105,"t")+COUNTIF($E105:I105,"¶")+COUNTIF($E105:I105,"²")+COUNTIF($E105:I105,"µ")+COUNTIF($E105:I105,1)),
HYPERLINK("#Roadmap!C"&amp; MATCH($E105,Roadmap!$D:$D,0)+COUNTIF($E105:I105,"u")+COUNTIF($E105:I105,"t"),
     INDEX(Roadmap!$D:$K,MATCH($E105,Roadmap!$D:$D,0)+COUNTIF($E105:I105,"u")+COUNTIF($E105:I105,"t")+COUNTIF($E105:I105,"¶")+COUNTIF($E105:I105,"²")+COUNTIF($E105:I105,"µ")+COUNTIF($E105:I105,1),ColTypeEcheance)),
  IF(LEN(I105)=1,
  IF(LEN(INDEX(Roadmap!$D:$K,MATCH($E105,Roadmap!$D:$D,0)-1+COUNTIF($E105:I105,"u")+COUNTIF($E105:I105,"t")+COUNTIF($E105:I105,"¶")+COUNTIF($E105:I105,"²")+COUNTIF($E105:I105,"µ")+COUNTIF($E105:I105,1),ColDescriptionCourte))&gt;1,
HYPERLINK("#Roadmap!C"&amp; MATCH($E105,Roadmap!$D:$D,0)+COUNTIF($E105:I105,"u")+COUNTIF($E105:I105,"t")+COUNTIF($E105:I105,"¶")+COUNTIF($E105:I105,"²")+COUNTIF($E105:I105,"µ")+COUNTIF($E105:I105,1)-1,INDEX(Roadmap!$D:$K,MATCH($E105,Roadmap!$D:$D,0)-1+COUNTIF($E105:I105,"u")+COUNTIF($E105:I105,"t")+COUNTIF($E105:I105,"¶")+COUNTIF($E105:I105,"²")+COUNTIF($E105:I105,"µ")+COUNTIF($E105:I105,1),ColDescriptionCourte)),""),
  "")),"")</f>
        <v/>
      </c>
      <c r="K105" s="40" t="str">
        <f ca="1">IFERROR(IF(AND(
  INDEX(Roadmap!$D:$K,MATCH($E105,Roadmap!$D:$D,0)+COUNTIF($E105:J105,"u")+COUNTIF($E105:J105,"t")+COUNTIF($E105:J105,"¶")+COUNTIF($E105:J105,"²")+COUNTIF($E105:J105,"µ")+COUNTIF($E105:J105,1),ColLivraison)=K$6,
  VLOOKUP($E105,INDIRECT("tri!"&amp; CHAR(64+ C0Col) &amp;":"&amp; CHAR(65+C0Col)),2,FALSE)&gt;COUNTIF($E105:J105,"u")+COUNTIF($E105:J105,"t")+COUNTIF($E105:J105,"¶")+COUNTIF($E105:J105,"²")+COUNTIF($E105:J105,"µ")+COUNTIF($E105:J105,1)),
HYPERLINK("#Roadmap!C"&amp; MATCH($E105,Roadmap!$D:$D,0)+COUNTIF($E105:J105,"u")+COUNTIF($E105:J105,"t"),
     INDEX(Roadmap!$D:$K,MATCH($E105,Roadmap!$D:$D,0)+COUNTIF($E105:J105,"u")+COUNTIF($E105:J105,"t")+COUNTIF($E105:J105,"¶")+COUNTIF($E105:J105,"²")+COUNTIF($E105:J105,"µ")+COUNTIF($E105:J105,1),ColTypeEcheance)),
  IF(LEN(J105)=1,
  IF(LEN(INDEX(Roadmap!$D:$K,MATCH($E105,Roadmap!$D:$D,0)-1+COUNTIF($E105:J105,"u")+COUNTIF($E105:J105,"t")+COUNTIF($E105:J105,"¶")+COUNTIF($E105:J105,"²")+COUNTIF($E105:J105,"µ")+COUNTIF($E105:J105,1),ColDescriptionCourte))&gt;1,
HYPERLINK("#Roadmap!C"&amp; MATCH($E105,Roadmap!$D:$D,0)+COUNTIF($E105:J105,"u")+COUNTIF($E105:J105,"t")+COUNTIF($E105:J105,"¶")+COUNTIF($E105:J105,"²")+COUNTIF($E105:J105,"µ")+COUNTIF($E105:J105,1)-1,INDEX(Roadmap!$D:$K,MATCH($E105,Roadmap!$D:$D,0)-1+COUNTIF($E105:J105,"u")+COUNTIF($E105:J105,"t")+COUNTIF($E105:J105,"¶")+COUNTIF($E105:J105,"²")+COUNTIF($E105:J105,"µ")+COUNTIF($E105:J105,1),ColDescriptionCourte)),""),
  "")),"")</f>
        <v/>
      </c>
      <c r="L105" s="39" t="str">
        <f ca="1">IFERROR(IF(AND(
  INDEX(Roadmap!$D:$K,MATCH($E105,Roadmap!$D:$D,0)+COUNTIF($E105:K105,"u")+COUNTIF($E105:K105,"t")+COUNTIF($E105:K105,"¶")+COUNTIF($E105:K105,"²")+COUNTIF($E105:K105,"µ")+COUNTIF($E105:K105,1),ColLivraison)=L$6,
  VLOOKUP($E105,INDIRECT("tri!"&amp; CHAR(64+ C0Col) &amp;":"&amp; CHAR(65+C0Col)),2,FALSE)&gt;COUNTIF($E105:K105,"u")+COUNTIF($E105:K105,"t")+COUNTIF($E105:K105,"¶")+COUNTIF($E105:K105,"²")+COUNTIF($E105:K105,"µ")+COUNTIF($E105:K105,1)),
HYPERLINK("#Roadmap!C"&amp; MATCH($E105,Roadmap!$D:$D,0)+COUNTIF($E105:K105,"u")+COUNTIF($E105:K105,"t"),
     INDEX(Roadmap!$D:$K,MATCH($E105,Roadmap!$D:$D,0)+COUNTIF($E105:K105,"u")+COUNTIF($E105:K105,"t")+COUNTIF($E105:K105,"¶")+COUNTIF($E105:K105,"²")+COUNTIF($E105:K105,"µ")+COUNTIF($E105:K105,1),ColTypeEcheance)),
  IF(LEN(K105)=1,
  IF(LEN(INDEX(Roadmap!$D:$K,MATCH($E105,Roadmap!$D:$D,0)-1+COUNTIF($E105:K105,"u")+COUNTIF($E105:K105,"t")+COUNTIF($E105:K105,"¶")+COUNTIF($E105:K105,"²")+COUNTIF($E105:K105,"µ")+COUNTIF($E105:K105,1),ColDescriptionCourte))&gt;1,
HYPERLINK("#Roadmap!C"&amp; MATCH($E105,Roadmap!$D:$D,0)+COUNTIF($E105:K105,"u")+COUNTIF($E105:K105,"t")+COUNTIF($E105:K105,"¶")+COUNTIF($E105:K105,"²")+COUNTIF($E105:K105,"µ")+COUNTIF($E105:K105,1)-1,INDEX(Roadmap!$D:$K,MATCH($E105,Roadmap!$D:$D,0)-1+COUNTIF($E105:K105,"u")+COUNTIF($E105:K105,"t")+COUNTIF($E105:K105,"¶")+COUNTIF($E105:K105,"²")+COUNTIF($E105:K105,"µ")+COUNTIF($E105:K105,1),ColDescriptionCourte)),""),
  "")),"")</f>
        <v/>
      </c>
      <c r="M105" s="40" t="str">
        <f ca="1">IFERROR(IF(AND(
  INDEX(Roadmap!$D:$K,MATCH($E105,Roadmap!$D:$D,0)+COUNTIF($E105:L105,"u")+COUNTIF($E105:L105,"t")+COUNTIF($E105:L105,"¶")+COUNTIF($E105:L105,"²")+COUNTIF($E105:L105,"µ")+COUNTIF($E105:L105,1),ColLivraison)=M$6,
  VLOOKUP($E105,INDIRECT("tri!"&amp; CHAR(64+ C0Col) &amp;":"&amp; CHAR(65+C0Col)),2,FALSE)&gt;COUNTIF($E105:L105,"u")+COUNTIF($E105:L105,"t")+COUNTIF($E105:L105,"¶")+COUNTIF($E105:L105,"²")+COUNTIF($E105:L105,"µ")+COUNTIF($E105:L105,1)),
HYPERLINK("#Roadmap!C"&amp; MATCH($E105,Roadmap!$D:$D,0)+COUNTIF($E105:L105,"u")+COUNTIF($E105:L105,"t"),
     INDEX(Roadmap!$D:$K,MATCH($E105,Roadmap!$D:$D,0)+COUNTIF($E105:L105,"u")+COUNTIF($E105:L105,"t")+COUNTIF($E105:L105,"¶")+COUNTIF($E105:L105,"²")+COUNTIF($E105:L105,"µ")+COUNTIF($E105:L105,1),ColTypeEcheance)),
  IF(LEN(L105)=1,
  IF(LEN(INDEX(Roadmap!$D:$K,MATCH($E105,Roadmap!$D:$D,0)-1+COUNTIF($E105:L105,"u")+COUNTIF($E105:L105,"t")+COUNTIF($E105:L105,"¶")+COUNTIF($E105:L105,"²")+COUNTIF($E105:L105,"µ")+COUNTIF($E105:L105,1),ColDescriptionCourte))&gt;1,
HYPERLINK("#Roadmap!C"&amp; MATCH($E105,Roadmap!$D:$D,0)+COUNTIF($E105:L105,"u")+COUNTIF($E105:L105,"t")+COUNTIF($E105:L105,"¶")+COUNTIF($E105:L105,"²")+COUNTIF($E105:L105,"µ")+COUNTIF($E105:L105,1)-1,INDEX(Roadmap!$D:$K,MATCH($E105,Roadmap!$D:$D,0)-1+COUNTIF($E105:L105,"u")+COUNTIF($E105:L105,"t")+COUNTIF($E105:L105,"¶")+COUNTIF($E105:L105,"²")+COUNTIF($E105:L105,"µ")+COUNTIF($E105:L105,1),ColDescriptionCourte)),""),
  "")),"")</f>
        <v/>
      </c>
      <c r="N105" s="40" t="str">
        <f ca="1">IFERROR(IF(AND(
  INDEX(Roadmap!$D:$K,MATCH($E105,Roadmap!$D:$D,0)+COUNTIF($E105:M105,"u")+COUNTIF($E105:M105,"t")+COUNTIF($E105:M105,"¶")+COUNTIF($E105:M105,"²")+COUNTIF($E105:M105,"µ")+COUNTIF($E105:M105,1),ColLivraison)=N$6,
  VLOOKUP($E105,INDIRECT("tri!"&amp; CHAR(64+ C0Col) &amp;":"&amp; CHAR(65+C0Col)),2,FALSE)&gt;COUNTIF($E105:M105,"u")+COUNTIF($E105:M105,"t")+COUNTIF($E105:M105,"¶")+COUNTIF($E105:M105,"²")+COUNTIF($E105:M105,"µ")+COUNTIF($E105:M105,1)),
HYPERLINK("#Roadmap!C"&amp; MATCH($E105,Roadmap!$D:$D,0)+COUNTIF($E105:M105,"u")+COUNTIF($E105:M105,"t"),
     INDEX(Roadmap!$D:$K,MATCH($E105,Roadmap!$D:$D,0)+COUNTIF($E105:M105,"u")+COUNTIF($E105:M105,"t")+COUNTIF($E105:M105,"¶")+COUNTIF($E105:M105,"²")+COUNTIF($E105:M105,"µ")+COUNTIF($E105:M105,1),ColTypeEcheance)),
  IF(LEN(M105)=1,
  IF(LEN(INDEX(Roadmap!$D:$K,MATCH($E105,Roadmap!$D:$D,0)-1+COUNTIF($E105:M105,"u")+COUNTIF($E105:M105,"t")+COUNTIF($E105:M105,"¶")+COUNTIF($E105:M105,"²")+COUNTIF($E105:M105,"µ")+COUNTIF($E105:M105,1),ColDescriptionCourte))&gt;1,
HYPERLINK("#Roadmap!C"&amp; MATCH($E105,Roadmap!$D:$D,0)+COUNTIF($E105:M105,"u")+COUNTIF($E105:M105,"t")+COUNTIF($E105:M105,"¶")+COUNTIF($E105:M105,"²")+COUNTIF($E105:M105,"µ")+COUNTIF($E105:M105,1)-1,INDEX(Roadmap!$D:$K,MATCH($E105,Roadmap!$D:$D,0)-1+COUNTIF($E105:M105,"u")+COUNTIF($E105:M105,"t")+COUNTIF($E105:M105,"¶")+COUNTIF($E105:M105,"²")+COUNTIF($E105:M105,"µ")+COUNTIF($E105:M105,1),ColDescriptionCourte)),""),
  "")),"")</f>
        <v/>
      </c>
      <c r="O105" s="40" t="str">
        <f ca="1">IFERROR(IF(AND(
  INDEX(Roadmap!$D:$K,MATCH($E105,Roadmap!$D:$D,0)+COUNTIF($E105:N105,"u")+COUNTIF($E105:N105,"t")+COUNTIF($E105:N105,"¶")+COUNTIF($E105:N105,"²")+COUNTIF($E105:N105,"µ")+COUNTIF($E105:N105,1),ColLivraison)=O$6,
  VLOOKUP($E105,INDIRECT("tri!"&amp; CHAR(64+ C0Col) &amp;":"&amp; CHAR(65+C0Col)),2,FALSE)&gt;COUNTIF($E105:N105,"u")+COUNTIF($E105:N105,"t")+COUNTIF($E105:N105,"¶")+COUNTIF($E105:N105,"²")+COUNTIF($E105:N105,"µ")+COUNTIF($E105:N105,1)),
HYPERLINK("#Roadmap!C"&amp; MATCH($E105,Roadmap!$D:$D,0)+COUNTIF($E105:N105,"u")+COUNTIF($E105:N105,"t"),
     INDEX(Roadmap!$D:$K,MATCH($E105,Roadmap!$D:$D,0)+COUNTIF($E105:N105,"u")+COUNTIF($E105:N105,"t")+COUNTIF($E105:N105,"¶")+COUNTIF($E105:N105,"²")+COUNTIF($E105:N105,"µ")+COUNTIF($E105:N105,1),ColTypeEcheance)),
  IF(LEN(N105)=1,
  IF(LEN(INDEX(Roadmap!$D:$K,MATCH($E105,Roadmap!$D:$D,0)-1+COUNTIF($E105:N105,"u")+COUNTIF($E105:N105,"t")+COUNTIF($E105:N105,"¶")+COUNTIF($E105:N105,"²")+COUNTIF($E105:N105,"µ")+COUNTIF($E105:N105,1),ColDescriptionCourte))&gt;1,
HYPERLINK("#Roadmap!C"&amp; MATCH($E105,Roadmap!$D:$D,0)+COUNTIF($E105:N105,"u")+COUNTIF($E105:N105,"t")+COUNTIF($E105:N105,"¶")+COUNTIF($E105:N105,"²")+COUNTIF($E105:N105,"µ")+COUNTIF($E105:N105,1)-1,INDEX(Roadmap!$D:$K,MATCH($E105,Roadmap!$D:$D,0)-1+COUNTIF($E105:N105,"u")+COUNTIF($E105:N105,"t")+COUNTIF($E105:N105,"¶")+COUNTIF($E105:N105,"²")+COUNTIF($E105:N105,"µ")+COUNTIF($E105:N105,1),ColDescriptionCourte)),""),
  "")),"")</f>
        <v/>
      </c>
      <c r="P105" s="40" t="str">
        <f ca="1">IFERROR(IF(AND(
  INDEX(Roadmap!$D:$K,MATCH($E105,Roadmap!$D:$D,0)+COUNTIF($E105:O105,"u")+COUNTIF($E105:O105,"t")+COUNTIF($E105:O105,"¶")+COUNTIF($E105:O105,"²")+COUNTIF($E105:O105,"µ")+COUNTIF($E105:O105,1),ColLivraison)=P$6,
  VLOOKUP($E105,INDIRECT("tri!"&amp; CHAR(64+ C0Col) &amp;":"&amp; CHAR(65+C0Col)),2,FALSE)&gt;COUNTIF($E105:O105,"u")+COUNTIF($E105:O105,"t")+COUNTIF($E105:O105,"¶")+COUNTIF($E105:O105,"²")+COUNTIF($E105:O105,"µ")+COUNTIF($E105:O105,1)),
HYPERLINK("#Roadmap!C"&amp; MATCH($E105,Roadmap!$D:$D,0)+COUNTIF($E105:O105,"u")+COUNTIF($E105:O105,"t"),
     INDEX(Roadmap!$D:$K,MATCH($E105,Roadmap!$D:$D,0)+COUNTIF($E105:O105,"u")+COUNTIF($E105:O105,"t")+COUNTIF($E105:O105,"¶")+COUNTIF($E105:O105,"²")+COUNTIF($E105:O105,"µ")+COUNTIF($E105:O105,1),ColTypeEcheance)),
  IF(LEN(O105)=1,
  IF(LEN(INDEX(Roadmap!$D:$K,MATCH($E105,Roadmap!$D:$D,0)-1+COUNTIF($E105:O105,"u")+COUNTIF($E105:O105,"t")+COUNTIF($E105:O105,"¶")+COUNTIF($E105:O105,"²")+COUNTIF($E105:O105,"µ")+COUNTIF($E105:O105,1),ColDescriptionCourte))&gt;1,
HYPERLINK("#Roadmap!C"&amp; MATCH($E105,Roadmap!$D:$D,0)+COUNTIF($E105:O105,"u")+COUNTIF($E105:O105,"t")+COUNTIF($E105:O105,"¶")+COUNTIF($E105:O105,"²")+COUNTIF($E105:O105,"µ")+COUNTIF($E105:O105,1)-1,INDEX(Roadmap!$D:$K,MATCH($E105,Roadmap!$D:$D,0)-1+COUNTIF($E105:O105,"u")+COUNTIF($E105:O105,"t")+COUNTIF($E105:O105,"¶")+COUNTIF($E105:O105,"²")+COUNTIF($E105:O105,"µ")+COUNTIF($E105:O105,1),ColDescriptionCourte)),""),
  "")),"")</f>
        <v/>
      </c>
      <c r="Q105" s="40" t="str">
        <f ca="1">IFERROR(IF(AND(
  INDEX(Roadmap!$D:$K,MATCH($E105,Roadmap!$D:$D,0)+COUNTIF($E105:P105,"u")+COUNTIF($E105:P105,"t")+COUNTIF($E105:P105,"¶")+COUNTIF($E105:P105,"²")+COUNTIF($E105:P105,"µ")+COUNTIF($E105:P105,1),ColLivraison)=Q$6,
  VLOOKUP($E105,INDIRECT("tri!"&amp; CHAR(64+ C0Col) &amp;":"&amp; CHAR(65+C0Col)),2,FALSE)&gt;COUNTIF($E105:P105,"u")+COUNTIF($E105:P105,"t")+COUNTIF($E105:P105,"¶")+COUNTIF($E105:P105,"²")+COUNTIF($E105:P105,"µ")+COUNTIF($E105:P105,1)),
HYPERLINK("#Roadmap!C"&amp; MATCH($E105,Roadmap!$D:$D,0)+COUNTIF($E105:P105,"u")+COUNTIF($E105:P105,"t"),
     INDEX(Roadmap!$D:$K,MATCH($E105,Roadmap!$D:$D,0)+COUNTIF($E105:P105,"u")+COUNTIF($E105:P105,"t")+COUNTIF($E105:P105,"¶")+COUNTIF($E105:P105,"²")+COUNTIF($E105:P105,"µ")+COUNTIF($E105:P105,1),ColTypeEcheance)),
  IF(LEN(P105)=1,
  IF(LEN(INDEX(Roadmap!$D:$K,MATCH($E105,Roadmap!$D:$D,0)-1+COUNTIF($E105:P105,"u")+COUNTIF($E105:P105,"t")+COUNTIF($E105:P105,"¶")+COUNTIF($E105:P105,"²")+COUNTIF($E105:P105,"µ")+COUNTIF($E105:P105,1),ColDescriptionCourte))&gt;1,
HYPERLINK("#Roadmap!C"&amp; MATCH($E105,Roadmap!$D:$D,0)+COUNTIF($E105:P105,"u")+COUNTIF($E105:P105,"t")+COUNTIF($E105:P105,"¶")+COUNTIF($E105:P105,"²")+COUNTIF($E105:P105,"µ")+COUNTIF($E105:P105,1)-1,INDEX(Roadmap!$D:$K,MATCH($E105,Roadmap!$D:$D,0)-1+COUNTIF($E105:P105,"u")+COUNTIF($E105:P105,"t")+COUNTIF($E105:P105,"¶")+COUNTIF($E105:P105,"²")+COUNTIF($E105:P105,"µ")+COUNTIF($E105:P105,1),ColDescriptionCourte)),""),
  "")),"")</f>
        <v/>
      </c>
      <c r="R105" s="40" t="str">
        <f ca="1">IFERROR(IF(AND(
  INDEX(Roadmap!$D:$K,MATCH($E105,Roadmap!$D:$D,0)+COUNTIF($E105:Q105,"u")+COUNTIF($E105:Q105,"t")+COUNTIF($E105:Q105,"¶")+COUNTIF($E105:Q105,"²")+COUNTIF($E105:Q105,"µ")+COUNTIF($E105:Q105,1),ColLivraison)=R$6,
  VLOOKUP($E105,INDIRECT("tri!"&amp; CHAR(64+ C0Col) &amp;":"&amp; CHAR(65+C0Col)),2,FALSE)&gt;COUNTIF($E105:Q105,"u")+COUNTIF($E105:Q105,"t")+COUNTIF($E105:Q105,"¶")+COUNTIF($E105:Q105,"²")+COUNTIF($E105:Q105,"µ")+COUNTIF($E105:Q105,1)),
HYPERLINK("#Roadmap!C"&amp; MATCH($E105,Roadmap!$D:$D,0)+COUNTIF($E105:Q105,"u")+COUNTIF($E105:Q105,"t"),
     INDEX(Roadmap!$D:$K,MATCH($E105,Roadmap!$D:$D,0)+COUNTIF($E105:Q105,"u")+COUNTIF($E105:Q105,"t")+COUNTIF($E105:Q105,"¶")+COUNTIF($E105:Q105,"²")+COUNTIF($E105:Q105,"µ")+COUNTIF($E105:Q105,1),ColTypeEcheance)),
  IF(LEN(Q105)=1,
  IF(LEN(INDEX(Roadmap!$D:$K,MATCH($E105,Roadmap!$D:$D,0)-1+COUNTIF($E105:Q105,"u")+COUNTIF($E105:Q105,"t")+COUNTIF($E105:Q105,"¶")+COUNTIF($E105:Q105,"²")+COUNTIF($E105:Q105,"µ")+COUNTIF($E105:Q105,1),ColDescriptionCourte))&gt;1,
HYPERLINK("#Roadmap!C"&amp; MATCH($E105,Roadmap!$D:$D,0)+COUNTIF($E105:Q105,"u")+COUNTIF($E105:Q105,"t")+COUNTIF($E105:Q105,"¶")+COUNTIF($E105:Q105,"²")+COUNTIF($E105:Q105,"µ")+COUNTIF($E105:Q105,1)-1,INDEX(Roadmap!$D:$K,MATCH($E105,Roadmap!$D:$D,0)-1+COUNTIF($E105:Q105,"u")+COUNTIF($E105:Q105,"t")+COUNTIF($E105:Q105,"¶")+COUNTIF($E105:Q105,"²")+COUNTIF($E105:Q105,"µ")+COUNTIF($E105:Q105,1),ColDescriptionCourte)),""),
  "")),"")</f>
        <v/>
      </c>
      <c r="S105" s="40" t="str">
        <f ca="1">IFERROR(IF(AND(
  INDEX(Roadmap!$D:$K,MATCH($E105,Roadmap!$D:$D,0)+COUNTIF($E105:R105,"u")+COUNTIF($E105:R105,"t")+COUNTIF($E105:R105,"¶")+COUNTIF($E105:R105,"²")+COUNTIF($E105:R105,"µ")+COUNTIF($E105:R105,1),ColLivraison)=S$6,
  VLOOKUP($E105,INDIRECT("tri!"&amp; CHAR(64+ C0Col) &amp;":"&amp; CHAR(65+C0Col)),2,FALSE)&gt;COUNTIF($E105:R105,"u")+COUNTIF($E105:R105,"t")+COUNTIF($E105:R105,"¶")+COUNTIF($E105:R105,"²")+COUNTIF($E105:R105,"µ")+COUNTIF($E105:R105,1)),
HYPERLINK("#Roadmap!C"&amp; MATCH($E105,Roadmap!$D:$D,0)+COUNTIF($E105:R105,"u")+COUNTIF($E105:R105,"t"),
     INDEX(Roadmap!$D:$K,MATCH($E105,Roadmap!$D:$D,0)+COUNTIF($E105:R105,"u")+COUNTIF($E105:R105,"t")+COUNTIF($E105:R105,"¶")+COUNTIF($E105:R105,"²")+COUNTIF($E105:R105,"µ")+COUNTIF($E105:R105,1),ColTypeEcheance)),
  IF(LEN(R105)=1,
  IF(LEN(INDEX(Roadmap!$D:$K,MATCH($E105,Roadmap!$D:$D,0)-1+COUNTIF($E105:R105,"u")+COUNTIF($E105:R105,"t")+COUNTIF($E105:R105,"¶")+COUNTIF($E105:R105,"²")+COUNTIF($E105:R105,"µ")+COUNTIF($E105:R105,1),ColDescriptionCourte))&gt;1,
HYPERLINK("#Roadmap!C"&amp; MATCH($E105,Roadmap!$D:$D,0)+COUNTIF($E105:R105,"u")+COUNTIF($E105:R105,"t")+COUNTIF($E105:R105,"¶")+COUNTIF($E105:R105,"²")+COUNTIF($E105:R105,"µ")+COUNTIF($E105:R105,1)-1,INDEX(Roadmap!$D:$K,MATCH($E105,Roadmap!$D:$D,0)-1+COUNTIF($E105:R105,"u")+COUNTIF($E105:R105,"t")+COUNTIF($E105:R105,"¶")+COUNTIF($E105:R105,"²")+COUNTIF($E105:R105,"µ")+COUNTIF($E105:R105,1),ColDescriptionCourte)),""),
  "")),"")</f>
        <v/>
      </c>
      <c r="T105" s="40" t="str">
        <f ca="1">IFERROR(IF(AND(
  INDEX(Roadmap!$D:$K,MATCH($E105,Roadmap!$D:$D,0)+COUNTIF($E105:S105,"u")+COUNTIF($E105:S105,"t")+COUNTIF($E105:S105,"¶")+COUNTIF($E105:S105,"²")+COUNTIF($E105:S105,"µ")+COUNTIF($E105:S105,1),ColLivraison)=T$6,
  VLOOKUP($E105,INDIRECT("tri!"&amp; CHAR(64+ C0Col) &amp;":"&amp; CHAR(65+C0Col)),2,FALSE)&gt;COUNTIF($E105:S105,"u")+COUNTIF($E105:S105,"t")+COUNTIF($E105:S105,"¶")+COUNTIF($E105:S105,"²")+COUNTIF($E105:S105,"µ")+COUNTIF($E105:S105,1)),
HYPERLINK("#Roadmap!C"&amp; MATCH($E105,Roadmap!$D:$D,0)+COUNTIF($E105:S105,"u")+COUNTIF($E105:S105,"t"),
     INDEX(Roadmap!$D:$K,MATCH($E105,Roadmap!$D:$D,0)+COUNTIF($E105:S105,"u")+COUNTIF($E105:S105,"t")+COUNTIF($E105:S105,"¶")+COUNTIF($E105:S105,"²")+COUNTIF($E105:S105,"µ")+COUNTIF($E105:S105,1),ColTypeEcheance)),
  IF(LEN(S105)=1,
  IF(LEN(INDEX(Roadmap!$D:$K,MATCH($E105,Roadmap!$D:$D,0)-1+COUNTIF($E105:S105,"u")+COUNTIF($E105:S105,"t")+COUNTIF($E105:S105,"¶")+COUNTIF($E105:S105,"²")+COUNTIF($E105:S105,"µ")+COUNTIF($E105:S105,1),ColDescriptionCourte))&gt;1,
HYPERLINK("#Roadmap!C"&amp; MATCH($E105,Roadmap!$D:$D,0)+COUNTIF($E105:S105,"u")+COUNTIF($E105:S105,"t")+COUNTIF($E105:S105,"¶")+COUNTIF($E105:S105,"²")+COUNTIF($E105:S105,"µ")+COUNTIF($E105:S105,1)-1,INDEX(Roadmap!$D:$K,MATCH($E105,Roadmap!$D:$D,0)-1+COUNTIF($E105:S105,"u")+COUNTIF($E105:S105,"t")+COUNTIF($E105:S105,"¶")+COUNTIF($E105:S105,"²")+COUNTIF($E105:S105,"µ")+COUNTIF($E105:S105,1),ColDescriptionCourte)),""),
  "")),"")</f>
        <v/>
      </c>
      <c r="U105" s="40" t="str">
        <f ca="1">IFERROR(IF(AND(
  INDEX(Roadmap!$D:$K,MATCH($E105,Roadmap!$D:$D,0)+COUNTIF($E105:T105,"u")+COUNTIF($E105:T105,"t")+COUNTIF($E105:T105,"¶")+COUNTIF($E105:T105,"²")+COUNTIF($E105:T105,"µ")+COUNTIF($E105:T105,1),ColLivraison)=U$6,
  VLOOKUP($E105,INDIRECT("tri!"&amp; CHAR(64+ C0Col) &amp;":"&amp; CHAR(65+C0Col)),2,FALSE)&gt;COUNTIF($E105:T105,"u")+COUNTIF($E105:T105,"t")+COUNTIF($E105:T105,"¶")+COUNTIF($E105:T105,"²")+COUNTIF($E105:T105,"µ")+COUNTIF($E105:T105,1)),
HYPERLINK("#Roadmap!C"&amp; MATCH($E105,Roadmap!$D:$D,0)+COUNTIF($E105:T105,"u")+COUNTIF($E105:T105,"t"),
     INDEX(Roadmap!$D:$K,MATCH($E105,Roadmap!$D:$D,0)+COUNTIF($E105:T105,"u")+COUNTIF($E105:T105,"t")+COUNTIF($E105:T105,"¶")+COUNTIF($E105:T105,"²")+COUNTIF($E105:T105,"µ")+COUNTIF($E105:T105,1),ColTypeEcheance)),
  IF(LEN(T105)=1,
  IF(LEN(INDEX(Roadmap!$D:$K,MATCH($E105,Roadmap!$D:$D,0)-1+COUNTIF($E105:T105,"u")+COUNTIF($E105:T105,"t")+COUNTIF($E105:T105,"¶")+COUNTIF($E105:T105,"²")+COUNTIF($E105:T105,"µ")+COUNTIF($E105:T105,1),ColDescriptionCourte))&gt;1,
HYPERLINK("#Roadmap!C"&amp; MATCH($E105,Roadmap!$D:$D,0)+COUNTIF($E105:T105,"u")+COUNTIF($E105:T105,"t")+COUNTIF($E105:T105,"¶")+COUNTIF($E105:T105,"²")+COUNTIF($E105:T105,"µ")+COUNTIF($E105:T105,1)-1,INDEX(Roadmap!$D:$K,MATCH($E105,Roadmap!$D:$D,0)-1+COUNTIF($E105:T105,"u")+COUNTIF($E105:T105,"t")+COUNTIF($E105:T105,"¶")+COUNTIF($E105:T105,"²")+COUNTIF($E105:T105,"µ")+COUNTIF($E105:T105,1),ColDescriptionCourte)),""),
  "")),"")</f>
        <v/>
      </c>
      <c r="V105" s="40" t="str">
        <f ca="1">IFERROR(IF(AND(
  INDEX(Roadmap!$D:$K,MATCH($E105,Roadmap!$D:$D,0)+COUNTIF($E105:U105,"u")+COUNTIF($E105:U105,"t")+COUNTIF($E105:U105,"¶")+COUNTIF($E105:U105,"²")+COUNTIF($E105:U105,"µ")+COUNTIF($E105:U105,1),ColLivraison)=V$6,
  VLOOKUP($E105,INDIRECT("tri!"&amp; CHAR(64+ C0Col) &amp;":"&amp; CHAR(65+C0Col)),2,FALSE)&gt;COUNTIF($E105:U105,"u")+COUNTIF($E105:U105,"t")+COUNTIF($E105:U105,"¶")+COUNTIF($E105:U105,"²")+COUNTIF($E105:U105,"µ")+COUNTIF($E105:U105,1)),
HYPERLINK("#Roadmap!C"&amp; MATCH($E105,Roadmap!$D:$D,0)+COUNTIF($E105:U105,"u")+COUNTIF($E105:U105,"t"),
     INDEX(Roadmap!$D:$K,MATCH($E105,Roadmap!$D:$D,0)+COUNTIF($E105:U105,"u")+COUNTIF($E105:U105,"t")+COUNTIF($E105:U105,"¶")+COUNTIF($E105:U105,"²")+COUNTIF($E105:U105,"µ")+COUNTIF($E105:U105,1),ColTypeEcheance)),
  IF(LEN(U105)=1,
  IF(LEN(INDEX(Roadmap!$D:$K,MATCH($E105,Roadmap!$D:$D,0)-1+COUNTIF($E105:U105,"u")+COUNTIF($E105:U105,"t")+COUNTIF($E105:U105,"¶")+COUNTIF($E105:U105,"²")+COUNTIF($E105:U105,"µ")+COUNTIF($E105:U105,1),ColDescriptionCourte))&gt;1,
HYPERLINK("#Roadmap!C"&amp; MATCH($E105,Roadmap!$D:$D,0)+COUNTIF($E105:U105,"u")+COUNTIF($E105:U105,"t")+COUNTIF($E105:U105,"¶")+COUNTIF($E105:U105,"²")+COUNTIF($E105:U105,"µ")+COUNTIF($E105:U105,1)-1,INDEX(Roadmap!$D:$K,MATCH($E105,Roadmap!$D:$D,0)-1+COUNTIF($E105:U105,"u")+COUNTIF($E105:U105,"t")+COUNTIF($E105:U105,"¶")+COUNTIF($E105:U105,"²")+COUNTIF($E105:U105,"µ")+COUNTIF($E105:U105,1),ColDescriptionCourte)),""),
  "")),"")</f>
        <v/>
      </c>
      <c r="W105" s="40" t="str">
        <f ca="1">IFERROR(IF(AND(
  INDEX(Roadmap!$D:$K,MATCH($E105,Roadmap!$D:$D,0)+COUNTIF($E105:V105,"u")+COUNTIF($E105:V105,"t")+COUNTIF($E105:V105,"¶")+COUNTIF($E105:V105,"²")+COUNTIF($E105:V105,"µ")+COUNTIF($E105:V105,1),ColLivraison)=W$6,
  VLOOKUP($E105,INDIRECT("tri!"&amp; CHAR(64+ C0Col) &amp;":"&amp; CHAR(65+C0Col)),2,FALSE)&gt;COUNTIF($E105:V105,"u")+COUNTIF($E105:V105,"t")+COUNTIF($E105:V105,"¶")+COUNTIF($E105:V105,"²")+COUNTIF($E105:V105,"µ")+COUNTIF($E105:V105,1)),
HYPERLINK("#Roadmap!C"&amp; MATCH($E105,Roadmap!$D:$D,0)+COUNTIF($E105:V105,"u")+COUNTIF($E105:V105,"t"),
     INDEX(Roadmap!$D:$K,MATCH($E105,Roadmap!$D:$D,0)+COUNTIF($E105:V105,"u")+COUNTIF($E105:V105,"t")+COUNTIF($E105:V105,"¶")+COUNTIF($E105:V105,"²")+COUNTIF($E105:V105,"µ")+COUNTIF($E105:V105,1),ColTypeEcheance)),
  IF(LEN(V105)=1,
  IF(LEN(INDEX(Roadmap!$D:$K,MATCH($E105,Roadmap!$D:$D,0)-1+COUNTIF($E105:V105,"u")+COUNTIF($E105:V105,"t")+COUNTIF($E105:V105,"¶")+COUNTIF($E105:V105,"²")+COUNTIF($E105:V105,"µ")+COUNTIF($E105:V105,1),ColDescriptionCourte))&gt;1,
HYPERLINK("#Roadmap!C"&amp; MATCH($E105,Roadmap!$D:$D,0)+COUNTIF($E105:V105,"u")+COUNTIF($E105:V105,"t")+COUNTIF($E105:V105,"¶")+COUNTIF($E105:V105,"²")+COUNTIF($E105:V105,"µ")+COUNTIF($E105:V105,1)-1,INDEX(Roadmap!$D:$K,MATCH($E105,Roadmap!$D:$D,0)-1+COUNTIF($E105:V105,"u")+COUNTIF($E105:V105,"t")+COUNTIF($E105:V105,"¶")+COUNTIF($E105:V105,"²")+COUNTIF($E105:V105,"µ")+COUNTIF($E105:V105,1),ColDescriptionCourte)),""),
  "")),"")</f>
        <v/>
      </c>
      <c r="X105" s="40" t="str">
        <f ca="1">IFERROR(IF(AND(
  INDEX(Roadmap!$D:$K,MATCH($E105,Roadmap!$D:$D,0)+COUNTIF($E105:W105,"u")+COUNTIF($E105:W105,"t")+COUNTIF($E105:W105,"¶")+COUNTIF($E105:W105,"²")+COUNTIF($E105:W105,"µ")+COUNTIF($E105:W105,1),ColLivraison)=X$6,
  VLOOKUP($E105,INDIRECT("tri!"&amp; CHAR(64+ C0Col) &amp;":"&amp; CHAR(65+C0Col)),2,FALSE)&gt;COUNTIF($E105:W105,"u")+COUNTIF($E105:W105,"t")+COUNTIF($E105:W105,"¶")+COUNTIF($E105:W105,"²")+COUNTIF($E105:W105,"µ")+COUNTIF($E105:W105,1)),
HYPERLINK("#Roadmap!C"&amp; MATCH($E105,Roadmap!$D:$D,0)+COUNTIF($E105:W105,"u")+COUNTIF($E105:W105,"t"),
     INDEX(Roadmap!$D:$K,MATCH($E105,Roadmap!$D:$D,0)+COUNTIF($E105:W105,"u")+COUNTIF($E105:W105,"t")+COUNTIF($E105:W105,"¶")+COUNTIF($E105:W105,"²")+COUNTIF($E105:W105,"µ")+COUNTIF($E105:W105,1),ColTypeEcheance)),
  IF(LEN(W105)=1,
  IF(LEN(INDEX(Roadmap!$D:$K,MATCH($E105,Roadmap!$D:$D,0)-1+COUNTIF($E105:W105,"u")+COUNTIF($E105:W105,"t")+COUNTIF($E105:W105,"¶")+COUNTIF($E105:W105,"²")+COUNTIF($E105:W105,"µ")+COUNTIF($E105:W105,1),ColDescriptionCourte))&gt;1,
HYPERLINK("#Roadmap!C"&amp; MATCH($E105,Roadmap!$D:$D,0)+COUNTIF($E105:W105,"u")+COUNTIF($E105:W105,"t")+COUNTIF($E105:W105,"¶")+COUNTIF($E105:W105,"²")+COUNTIF($E105:W105,"µ")+COUNTIF($E105:W105,1)-1,INDEX(Roadmap!$D:$K,MATCH($E105,Roadmap!$D:$D,0)-1+COUNTIF($E105:W105,"u")+COUNTIF($E105:W105,"t")+COUNTIF($E105:W105,"¶")+COUNTIF($E105:W105,"²")+COUNTIF($E105:W105,"µ")+COUNTIF($E105:W105,1),ColDescriptionCourte)),""),
  "")),"")</f>
        <v/>
      </c>
      <c r="Y105" s="40" t="str">
        <f ca="1">IFERROR(IF(AND(
  INDEX(Roadmap!$D:$K,MATCH($E105,Roadmap!$D:$D,0)+COUNTIF($E105:X105,"u")+COUNTIF($E105:X105,"t")+COUNTIF($E105:X105,"¶")+COUNTIF($E105:X105,"²")+COUNTIF($E105:X105,"µ")+COUNTIF($E105:X105,1),ColLivraison)=Y$6,
  VLOOKUP($E105,INDIRECT("tri!"&amp; CHAR(64+ C0Col) &amp;":"&amp; CHAR(65+C0Col)),2,FALSE)&gt;COUNTIF($E105:X105,"u")+COUNTIF($E105:X105,"t")+COUNTIF($E105:X105,"¶")+COUNTIF($E105:X105,"²")+COUNTIF($E105:X105,"µ")+COUNTIF($E105:X105,1)),
HYPERLINK("#Roadmap!C"&amp; MATCH($E105,Roadmap!$D:$D,0)+COUNTIF($E105:X105,"u")+COUNTIF($E105:X105,"t"),
     INDEX(Roadmap!$D:$K,MATCH($E105,Roadmap!$D:$D,0)+COUNTIF($E105:X105,"u")+COUNTIF($E105:X105,"t")+COUNTIF($E105:X105,"¶")+COUNTIF($E105:X105,"²")+COUNTIF($E105:X105,"µ")+COUNTIF($E105:X105,1),ColTypeEcheance)),
  IF(LEN(X105)=1,
  IF(LEN(INDEX(Roadmap!$D:$K,MATCH($E105,Roadmap!$D:$D,0)-1+COUNTIF($E105:X105,"u")+COUNTIF($E105:X105,"t")+COUNTIF($E105:X105,"¶")+COUNTIF($E105:X105,"²")+COUNTIF($E105:X105,"µ")+COUNTIF($E105:X105,1),ColDescriptionCourte))&gt;1,
HYPERLINK("#Roadmap!C"&amp; MATCH($E105,Roadmap!$D:$D,0)+COUNTIF($E105:X105,"u")+COUNTIF($E105:X105,"t")+COUNTIF($E105:X105,"¶")+COUNTIF($E105:X105,"²")+COUNTIF($E105:X105,"µ")+COUNTIF($E105:X105,1)-1,INDEX(Roadmap!$D:$K,MATCH($E105,Roadmap!$D:$D,0)-1+COUNTIF($E105:X105,"u")+COUNTIF($E105:X105,"t")+COUNTIF($E105:X105,"¶")+COUNTIF($E105:X105,"²")+COUNTIF($E105:X105,"µ")+COUNTIF($E105:X105,1),ColDescriptionCourte)),""),
  "")),"")</f>
        <v/>
      </c>
      <c r="Z105" s="40" t="str">
        <f ca="1">IFERROR(IF(AND(
  INDEX(Roadmap!$D:$K,MATCH($E105,Roadmap!$D:$D,0)+COUNTIF($E105:Y105,"u")+COUNTIF($E105:Y105,"t")+COUNTIF($E105:Y105,"¶")+COUNTIF($E105:Y105,"²")+COUNTIF($E105:Y105,"µ")+COUNTIF($E105:Y105,1),ColLivraison)=Z$6,
  VLOOKUP($E105,INDIRECT("tri!"&amp; CHAR(64+ C0Col) &amp;":"&amp; CHAR(65+C0Col)),2,FALSE)&gt;COUNTIF($E105:Y105,"u")+COUNTIF($E105:Y105,"t")+COUNTIF($E105:Y105,"¶")+COUNTIF($E105:Y105,"²")+COUNTIF($E105:Y105,"µ")+COUNTIF($E105:Y105,1)),
HYPERLINK("#Roadmap!C"&amp; MATCH($E105,Roadmap!$D:$D,0)+COUNTIF($E105:Y105,"u")+COUNTIF($E105:Y105,"t"),
     INDEX(Roadmap!$D:$K,MATCH($E105,Roadmap!$D:$D,0)+COUNTIF($E105:Y105,"u")+COUNTIF($E105:Y105,"t")+COUNTIF($E105:Y105,"¶")+COUNTIF($E105:Y105,"²")+COUNTIF($E105:Y105,"µ")+COUNTIF($E105:Y105,1),ColTypeEcheance)),
  IF(LEN(Y105)=1,
  IF(LEN(INDEX(Roadmap!$D:$K,MATCH($E105,Roadmap!$D:$D,0)-1+COUNTIF($E105:Y105,"u")+COUNTIF($E105:Y105,"t")+COUNTIF($E105:Y105,"¶")+COUNTIF($E105:Y105,"²")+COUNTIF($E105:Y105,"µ")+COUNTIF($E105:Y105,1),ColDescriptionCourte))&gt;1,
HYPERLINK("#Roadmap!C"&amp; MATCH($E105,Roadmap!$D:$D,0)+COUNTIF($E105:Y105,"u")+COUNTIF($E105:Y105,"t")+COUNTIF($E105:Y105,"¶")+COUNTIF($E105:Y105,"²")+COUNTIF($E105:Y105,"µ")+COUNTIF($E105:Y105,1)-1,INDEX(Roadmap!$D:$K,MATCH($E105,Roadmap!$D:$D,0)-1+COUNTIF($E105:Y105,"u")+COUNTIF($E105:Y105,"t")+COUNTIF($E105:Y105,"¶")+COUNTIF($E105:Y105,"²")+COUNTIF($E105:Y105,"µ")+COUNTIF($E105:Y105,1),ColDescriptionCourte)),""),
  "")),"")</f>
        <v/>
      </c>
      <c r="AA105" s="40" t="str">
        <f ca="1">IFERROR(IF(AND(
  INDEX(Roadmap!$D:$K,MATCH($E105,Roadmap!$D:$D,0)+COUNTIF($E105:Z105,"u")+COUNTIF($E105:Z105,"t")+COUNTIF($E105:Z105,"¶")+COUNTIF($E105:Z105,"²")+COUNTIF($E105:Z105,"µ")+COUNTIF($E105:Z105,1),ColLivraison)=AA$6,
  VLOOKUP($E105,INDIRECT("tri!"&amp; CHAR(64+ C0Col) &amp;":"&amp; CHAR(65+C0Col)),2,FALSE)&gt;COUNTIF($E105:Z105,"u")+COUNTIF($E105:Z105,"t")+COUNTIF($E105:Z105,"¶")+COUNTIF($E105:Z105,"²")+COUNTIF($E105:Z105,"µ")+COUNTIF($E105:Z105,1)),
HYPERLINK("#Roadmap!C"&amp; MATCH($E105,Roadmap!$D:$D,0)+COUNTIF($E105:Z105,"u")+COUNTIF($E105:Z105,"t"),
     INDEX(Roadmap!$D:$K,MATCH($E105,Roadmap!$D:$D,0)+COUNTIF($E105:Z105,"u")+COUNTIF($E105:Z105,"t")+COUNTIF($E105:Z105,"¶")+COUNTIF($E105:Z105,"²")+COUNTIF($E105:Z105,"µ")+COUNTIF($E105:Z105,1),ColTypeEcheance)),
  IF(LEN(Z105)=1,
  IF(LEN(INDEX(Roadmap!$D:$K,MATCH($E105,Roadmap!$D:$D,0)-1+COUNTIF($E105:Z105,"u")+COUNTIF($E105:Z105,"t")+COUNTIF($E105:Z105,"¶")+COUNTIF($E105:Z105,"²")+COUNTIF($E105:Z105,"µ")+COUNTIF($E105:Z105,1),ColDescriptionCourte))&gt;1,
HYPERLINK("#Roadmap!C"&amp; MATCH($E105,Roadmap!$D:$D,0)+COUNTIF($E105:Z105,"u")+COUNTIF($E105:Z105,"t")+COUNTIF($E105:Z105,"¶")+COUNTIF($E105:Z105,"²")+COUNTIF($E105:Z105,"µ")+COUNTIF($E105:Z105,1)-1,INDEX(Roadmap!$D:$K,MATCH($E105,Roadmap!$D:$D,0)-1+COUNTIF($E105:Z105,"u")+COUNTIF($E105:Z105,"t")+COUNTIF($E105:Z105,"¶")+COUNTIF($E105:Z105,"²")+COUNTIF($E105:Z105,"µ")+COUNTIF($E105:Z105,1),ColDescriptionCourte)),""),
  "")),"")</f>
        <v/>
      </c>
      <c r="AB105" s="40" t="str">
        <f ca="1">IFERROR(IF(AND(
  INDEX(Roadmap!$D:$K,MATCH($E105,Roadmap!$D:$D,0)+COUNTIF($E105:AA105,"u")+COUNTIF($E105:AA105,"t")+COUNTIF($E105:AA105,"¶")+COUNTIF($E105:AA105,"²")+COUNTIF($E105:AA105,"µ")+COUNTIF($E105:AA105,1),ColLivraison)=AB$6,
  VLOOKUP($E105,INDIRECT("tri!"&amp; CHAR(64+ C0Col) &amp;":"&amp; CHAR(65+C0Col)),2,FALSE)&gt;COUNTIF($E105:AA105,"u")+COUNTIF($E105:AA105,"t")+COUNTIF($E105:AA105,"¶")+COUNTIF($E105:AA105,"²")+COUNTIF($E105:AA105,"µ")+COUNTIF($E105:AA105,1)),
HYPERLINK("#Roadmap!C"&amp; MATCH($E105,Roadmap!$D:$D,0)+COUNTIF($E105:AA105,"u")+COUNTIF($E105:AA105,"t"),
     INDEX(Roadmap!$D:$K,MATCH($E105,Roadmap!$D:$D,0)+COUNTIF($E105:AA105,"u")+COUNTIF($E105:AA105,"t")+COUNTIF($E105:AA105,"¶")+COUNTIF($E105:AA105,"²")+COUNTIF($E105:AA105,"µ")+COUNTIF($E105:AA105,1),ColTypeEcheance)),
  IF(LEN(AA105)=1,
  IF(LEN(INDEX(Roadmap!$D:$K,MATCH($E105,Roadmap!$D:$D,0)-1+COUNTIF($E105:AA105,"u")+COUNTIF($E105:AA105,"t")+COUNTIF($E105:AA105,"¶")+COUNTIF($E105:AA105,"²")+COUNTIF($E105:AA105,"µ")+COUNTIF($E105:AA105,1),ColDescriptionCourte))&gt;1,
HYPERLINK("#Roadmap!C"&amp; MATCH($E105,Roadmap!$D:$D,0)+COUNTIF($E105:AA105,"u")+COUNTIF($E105:AA105,"t")+COUNTIF($E105:AA105,"¶")+COUNTIF($E105:AA105,"²")+COUNTIF($E105:AA105,"µ")+COUNTIF($E105:AA105,1)-1,INDEX(Roadmap!$D:$K,MATCH($E105,Roadmap!$D:$D,0)-1+COUNTIF($E105:AA105,"u")+COUNTIF($E105:AA105,"t")+COUNTIF($E105:AA105,"¶")+COUNTIF($E105:AA105,"²")+COUNTIF($E105:AA105,"µ")+COUNTIF($E105:AA105,1),ColDescriptionCourte)),""),
  "")),"")</f>
        <v/>
      </c>
      <c r="AC105" s="40" t="str">
        <f ca="1">IFERROR(IF(AND(
  INDEX(Roadmap!$D:$K,MATCH($E105,Roadmap!$D:$D,0)+COUNTIF($E105:AB105,"u")+COUNTIF($E105:AB105,"t")+COUNTIF($E105:AB105,"¶")+COUNTIF($E105:AB105,"²")+COUNTIF($E105:AB105,"µ")+COUNTIF($E105:AB105,1),ColLivraison)=AC$6,
  VLOOKUP($E105,INDIRECT("tri!"&amp; CHAR(64+ C0Col) &amp;":"&amp; CHAR(65+C0Col)),2,FALSE)&gt;COUNTIF($E105:AB105,"u")+COUNTIF($E105:AB105,"t")+COUNTIF($E105:AB105,"¶")+COUNTIF($E105:AB105,"²")+COUNTIF($E105:AB105,"µ")+COUNTIF($E105:AB105,1)),
HYPERLINK("#Roadmap!C"&amp; MATCH($E105,Roadmap!$D:$D,0)+COUNTIF($E105:AB105,"u")+COUNTIF($E105:AB105,"t"),
     INDEX(Roadmap!$D:$K,MATCH($E105,Roadmap!$D:$D,0)+COUNTIF($E105:AB105,"u")+COUNTIF($E105:AB105,"t")+COUNTIF($E105:AB105,"¶")+COUNTIF($E105:AB105,"²")+COUNTIF($E105:AB105,"µ")+COUNTIF($E105:AB105,1),ColTypeEcheance)),
  IF(LEN(AB105)=1,
  IF(LEN(INDEX(Roadmap!$D:$K,MATCH($E105,Roadmap!$D:$D,0)-1+COUNTIF($E105:AB105,"u")+COUNTIF($E105:AB105,"t")+COUNTIF($E105:AB105,"¶")+COUNTIF($E105:AB105,"²")+COUNTIF($E105:AB105,"µ")+COUNTIF($E105:AB105,1),ColDescriptionCourte))&gt;1,
HYPERLINK("#Roadmap!C"&amp; MATCH($E105,Roadmap!$D:$D,0)+COUNTIF($E105:AB105,"u")+COUNTIF($E105:AB105,"t")+COUNTIF($E105:AB105,"¶")+COUNTIF($E105:AB105,"²")+COUNTIF($E105:AB105,"µ")+COUNTIF($E105:AB105,1)-1,INDEX(Roadmap!$D:$K,MATCH($E105,Roadmap!$D:$D,0)-1+COUNTIF($E105:AB105,"u")+COUNTIF($E105:AB105,"t")+COUNTIF($E105:AB105,"¶")+COUNTIF($E105:AB105,"²")+COUNTIF($E105:AB105,"µ")+COUNTIF($E105:AB105,1),ColDescriptionCourte)),""),
  "")),"")</f>
        <v/>
      </c>
      <c r="AD105" s="40" t="str">
        <f ca="1">IFERROR(IF(AND(
  INDEX(Roadmap!$D:$K,MATCH($E105,Roadmap!$D:$D,0)+COUNTIF($E105:AC105,"u")+COUNTIF($E105:AC105,"t")+COUNTIF($E105:AC105,"¶")+COUNTIF($E105:AC105,"²")+COUNTIF($E105:AC105,"µ")+COUNTIF($E105:AC105,1),ColLivraison)=AD$6,
  VLOOKUP($E105,INDIRECT("tri!"&amp; CHAR(64+ C0Col) &amp;":"&amp; CHAR(65+C0Col)),2,FALSE)&gt;COUNTIF($E105:AC105,"u")+COUNTIF($E105:AC105,"t")+COUNTIF($E105:AC105,"¶")+COUNTIF($E105:AC105,"²")+COUNTIF($E105:AC105,"µ")+COUNTIF($E105:AC105,1)),
HYPERLINK("#Roadmap!C"&amp; MATCH($E105,Roadmap!$D:$D,0)+COUNTIF($E105:AC105,"u")+COUNTIF($E105:AC105,"t"),
     INDEX(Roadmap!$D:$K,MATCH($E105,Roadmap!$D:$D,0)+COUNTIF($E105:AC105,"u")+COUNTIF($E105:AC105,"t")+COUNTIF($E105:AC105,"¶")+COUNTIF($E105:AC105,"²")+COUNTIF($E105:AC105,"µ")+COUNTIF($E105:AC105,1),ColTypeEcheance)),
  IF(LEN(AC105)=1,
  IF(LEN(INDEX(Roadmap!$D:$K,MATCH($E105,Roadmap!$D:$D,0)-1+COUNTIF($E105:AC105,"u")+COUNTIF($E105:AC105,"t")+COUNTIF($E105:AC105,"¶")+COUNTIF($E105:AC105,"²")+COUNTIF($E105:AC105,"µ")+COUNTIF($E105:AC105,1),ColDescriptionCourte))&gt;1,
HYPERLINK("#Roadmap!C"&amp; MATCH($E105,Roadmap!$D:$D,0)+COUNTIF($E105:AC105,"u")+COUNTIF($E105:AC105,"t")+COUNTIF($E105:AC105,"¶")+COUNTIF($E105:AC105,"²")+COUNTIF($E105:AC105,"µ")+COUNTIF($E105:AC105,1)-1,INDEX(Roadmap!$D:$K,MATCH($E105,Roadmap!$D:$D,0)-1+COUNTIF($E105:AC105,"u")+COUNTIF($E105:AC105,"t")+COUNTIF($E105:AC105,"¶")+COUNTIF($E105:AC105,"²")+COUNTIF($E105:AC105,"µ")+COUNTIF($E105:AC105,1),ColDescriptionCourte)),""),
  "")),"")</f>
        <v/>
      </c>
      <c r="AE105" s="40" t="str">
        <f ca="1">IFERROR(IF(AND(
  INDEX(Roadmap!$D:$K,MATCH($E105,Roadmap!$D:$D,0)+COUNTIF($E105:AD105,"u")+COUNTIF($E105:AD105,"t")+COUNTIF($E105:AD105,"¶")+COUNTIF($E105:AD105,"²")+COUNTIF($E105:AD105,"µ")+COUNTIF($E105:AD105,1),ColLivraison)=AE$6,
  VLOOKUP($E105,INDIRECT("tri!"&amp; CHAR(64+ C0Col) &amp;":"&amp; CHAR(65+C0Col)),2,FALSE)&gt;COUNTIF($E105:AD105,"u")+COUNTIF($E105:AD105,"t")+COUNTIF($E105:AD105,"¶")+COUNTIF($E105:AD105,"²")+COUNTIF($E105:AD105,"µ")+COUNTIF($E105:AD105,1)),
HYPERLINK("#Roadmap!C"&amp; MATCH($E105,Roadmap!$D:$D,0)+COUNTIF($E105:AD105,"u")+COUNTIF($E105:AD105,"t"),
     INDEX(Roadmap!$D:$K,MATCH($E105,Roadmap!$D:$D,0)+COUNTIF($E105:AD105,"u")+COUNTIF($E105:AD105,"t")+COUNTIF($E105:AD105,"¶")+COUNTIF($E105:AD105,"²")+COUNTIF($E105:AD105,"µ")+COUNTIF($E105:AD105,1),ColTypeEcheance)),
  IF(LEN(AD105)=1,
  IF(LEN(INDEX(Roadmap!$D:$K,MATCH($E105,Roadmap!$D:$D,0)-1+COUNTIF($E105:AD105,"u")+COUNTIF($E105:AD105,"t")+COUNTIF($E105:AD105,"¶")+COUNTIF($E105:AD105,"²")+COUNTIF($E105:AD105,"µ")+COUNTIF($E105:AD105,1),ColDescriptionCourte))&gt;1,
HYPERLINK("#Roadmap!C"&amp; MATCH($E105,Roadmap!$D:$D,0)+COUNTIF($E105:AD105,"u")+COUNTIF($E105:AD105,"t")+COUNTIF($E105:AD105,"¶")+COUNTIF($E105:AD105,"²")+COUNTIF($E105:AD105,"µ")+COUNTIF($E105:AD105,1)-1,INDEX(Roadmap!$D:$K,MATCH($E105,Roadmap!$D:$D,0)-1+COUNTIF($E105:AD105,"u")+COUNTIF($E105:AD105,"t")+COUNTIF($E105:AD105,"¶")+COUNTIF($E105:AD105,"²")+COUNTIF($E105:AD105,"µ")+COUNTIF($E105:AD105,1),ColDescriptionCourte)),""),
  "")),"")</f>
        <v/>
      </c>
      <c r="AF105" s="40" t="str">
        <f ca="1">IFERROR(IF(AND(
  INDEX(Roadmap!$D:$K,MATCH($E105,Roadmap!$D:$D,0)+COUNTIF($E105:AE105,"u")+COUNTIF($E105:AE105,"t")+COUNTIF($E105:AE105,"¶")+COUNTIF($E105:AE105,"²")+COUNTIF($E105:AE105,"µ")+COUNTIF($E105:AE105,1),ColLivraison)=AF$6,
  VLOOKUP($E105,INDIRECT("tri!"&amp; CHAR(64+ C0Col) &amp;":"&amp; CHAR(65+C0Col)),2,FALSE)&gt;COUNTIF($E105:AE105,"u")+COUNTIF($E105:AE105,"t")+COUNTIF($E105:AE105,"¶")+COUNTIF($E105:AE105,"²")+COUNTIF($E105:AE105,"µ")+COUNTIF($E105:AE105,1)),
HYPERLINK("#Roadmap!C"&amp; MATCH($E105,Roadmap!$D:$D,0)+COUNTIF($E105:AE105,"u")+COUNTIF($E105:AE105,"t"),
     INDEX(Roadmap!$D:$K,MATCH($E105,Roadmap!$D:$D,0)+COUNTIF($E105:AE105,"u")+COUNTIF($E105:AE105,"t")+COUNTIF($E105:AE105,"¶")+COUNTIF($E105:AE105,"²")+COUNTIF($E105:AE105,"µ")+COUNTIF($E105:AE105,1),ColTypeEcheance)),
  IF(LEN(AE105)=1,
  IF(LEN(INDEX(Roadmap!$D:$K,MATCH($E105,Roadmap!$D:$D,0)-1+COUNTIF($E105:AE105,"u")+COUNTIF($E105:AE105,"t")+COUNTIF($E105:AE105,"¶")+COUNTIF($E105:AE105,"²")+COUNTIF($E105:AE105,"µ")+COUNTIF($E105:AE105,1),ColDescriptionCourte))&gt;1,
HYPERLINK("#Roadmap!C"&amp; MATCH($E105,Roadmap!$D:$D,0)+COUNTIF($E105:AE105,"u")+COUNTIF($E105:AE105,"t")+COUNTIF($E105:AE105,"¶")+COUNTIF($E105:AE105,"²")+COUNTIF($E105:AE105,"µ")+COUNTIF($E105:AE105,1)-1,INDEX(Roadmap!$D:$K,MATCH($E105,Roadmap!$D:$D,0)-1+COUNTIF($E105:AE105,"u")+COUNTIF($E105:AE105,"t")+COUNTIF($E105:AE105,"¶")+COUNTIF($E105:AE105,"²")+COUNTIF($E105:AE105,"µ")+COUNTIF($E105:AE105,1),ColDescriptionCourte)),""),
  "")),"")</f>
        <v/>
      </c>
      <c r="AG105" s="40" t="str">
        <f ca="1">IFERROR(IF(AND(
  INDEX(Roadmap!$D:$K,MATCH($E105,Roadmap!$D:$D,0)+COUNTIF($E105:AF105,"u")+COUNTIF($E105:AF105,"t")+COUNTIF($E105:AF105,"¶")+COUNTIF($E105:AF105,"²")+COUNTIF($E105:AF105,"µ")+COUNTIF($E105:AF105,1),ColLivraison)=AG$6,
  VLOOKUP($E105,INDIRECT("tri!"&amp; CHAR(64+ C0Col) &amp;":"&amp; CHAR(65+C0Col)),2,FALSE)&gt;COUNTIF($E105:AF105,"u")+COUNTIF($E105:AF105,"t")+COUNTIF($E105:AF105,"¶")+COUNTIF($E105:AF105,"²")+COUNTIF($E105:AF105,"µ")+COUNTIF($E105:AF105,1)),
HYPERLINK("#Roadmap!C"&amp; MATCH($E105,Roadmap!$D:$D,0)+COUNTIF($E105:AF105,"u")+COUNTIF($E105:AF105,"t"),
     INDEX(Roadmap!$D:$K,MATCH($E105,Roadmap!$D:$D,0)+COUNTIF($E105:AF105,"u")+COUNTIF($E105:AF105,"t")+COUNTIF($E105:AF105,"¶")+COUNTIF($E105:AF105,"²")+COUNTIF($E105:AF105,"µ")+COUNTIF($E105:AF105,1),ColTypeEcheance)),
  IF(LEN(AF105)=1,
  IF(LEN(INDEX(Roadmap!$D:$K,MATCH($E105,Roadmap!$D:$D,0)-1+COUNTIF($E105:AF105,"u")+COUNTIF($E105:AF105,"t")+COUNTIF($E105:AF105,"¶")+COUNTIF($E105:AF105,"²")+COUNTIF($E105:AF105,"µ")+COUNTIF($E105:AF105,1),ColDescriptionCourte))&gt;1,
HYPERLINK("#Roadmap!C"&amp; MATCH($E105,Roadmap!$D:$D,0)+COUNTIF($E105:AF105,"u")+COUNTIF($E105:AF105,"t")+COUNTIF($E105:AF105,"¶")+COUNTIF($E105:AF105,"²")+COUNTIF($E105:AF105,"µ")+COUNTIF($E105:AF105,1)-1,INDEX(Roadmap!$D:$K,MATCH($E105,Roadmap!$D:$D,0)-1+COUNTIF($E105:AF105,"u")+COUNTIF($E105:AF105,"t")+COUNTIF($E105:AF105,"¶")+COUNTIF($E105:AF105,"²")+COUNTIF($E105:AF105,"µ")+COUNTIF($E105:AF105,1),ColDescriptionCourte)),""),
  "")),"")</f>
        <v/>
      </c>
      <c r="AH105" s="40" t="str">
        <f ca="1">IFERROR(IF(AND(
  INDEX(Roadmap!$D:$K,MATCH($E105,Roadmap!$D:$D,0)+COUNTIF($E105:AG105,"u")+COUNTIF($E105:AG105,"t")+COUNTIF($E105:AG105,1),ColLivraison)=AH$6,
  VLOOKUP($E105,INDIRECT("tri!"&amp; CHAR(64+ C0Col) &amp;":"&amp; CHAR(65+C0Col)),2,FALSE)&gt;COUNTIF($E105:AG105,"u")+COUNTIF($E105:AG105,"t")+COUNTIF($E105:AG105,1)),
HYPERLINK("#Roadmap!C"&amp; MATCH($E105,Roadmap!$D:$D,0)+COUNTIF($E105:AG105,"u")+COUNTIF($E105:AG105,"t"),
     INDEX(Roadmap!$D:$K,MATCH($E105,Roadmap!$D:$D,0)+COUNTIF($E105:AG105,"u")+COUNTIF($E105:AG105,"t")+COUNTIF($E105:AG105,1),ColTypeEcheance)),
  IF(OR(AG105="u",AG105="t",AG105=1),
  IF(LEN(INDEX(Roadmap!$D:$K,MATCH($E105,Roadmap!$D:$D,0)-1+COUNTIF($E105:AG105,"u")+COUNTIF($E105:AG105,"t")+COUNTIF($E105:AG105,1),ColDescriptionCourte))&gt;1,
HYPERLINK("#Roadmap!C"&amp; MATCH($E105,Roadmap!$D:$D,0)+COUNTIF($E105:AG105,"u")+COUNTIF($E105:AG105,"t")+COUNTIF($E105:AG105,1)-1,INDEX(Roadmap!$D:$K,MATCH($E105,Roadmap!$D:$D,0)-1+COUNTIF($E105:AG105,"u")+COUNTIF($E105:AG105,"t")+COUNTIF($E105:AG105,1),ColDescriptionCourte)),""),
  "")),"")</f>
        <v/>
      </c>
      <c r="AI105" s="40"/>
      <c r="AJ105" s="40"/>
      <c r="AK105" s="40"/>
      <c r="AL105" s="40"/>
      <c r="AM105" s="40"/>
    </row>
    <row r="106" spans="4:39" ht="14.1" customHeight="1">
      <c r="D106" s="20" t="str">
        <f t="shared" ca="1" si="29"/>
        <v/>
      </c>
      <c r="E106" s="53" t="str">
        <f t="shared" ca="1" si="30"/>
        <v/>
      </c>
      <c r="F106" s="39" t="str">
        <f ca="1">IFERROR(IF(AND(
  INDEX(Roadmap!$D:$K,MATCH($E106,Roadmap!$D:$D,0)+COUNTIF($E106:E106,"u")+COUNTIF($E106:E106,"t")+COUNTIF($E106:E106,"¶")+COUNTIF($E106:E106,"²")+COUNTIF($E106:E106,"µ")+COUNTIF($E106:E106,1),ColLivraison)=F$6,
  VLOOKUP($E106,INDIRECT("tri!"&amp; CHAR(64+ C0Col) &amp;":"&amp; CHAR(65+C0Col)),2,FALSE)&gt;COUNTIF($E106:E106,"u")+COUNTIF($E106:E106,"t")+COUNTIF($E106:E106,"¶")+COUNTIF($E106:E106,"²")+COUNTIF($E106:E106,"µ")+COUNTIF($E106:E106,1)),
HYPERLINK("#Roadmap!C"&amp; MATCH($E106,Roadmap!$D:$D,0)+COUNTIF($E106:E106,"u")+COUNTIF($E106:E106,"t"),
     INDEX(Roadmap!$D:$K,MATCH($E106,Roadmap!$D:$D,0)+COUNTIF($E106:E106,"u")+COUNTIF($E106:E106,"t")+COUNTIF($E106:E106,"¶")+COUNTIF($E106:E106,"²")+COUNTIF($E106:E106,"µ")+COUNTIF($E106:E106,1),ColTypeEcheance)),
  IF(LEN(E106)=1,
  IF(LEN(INDEX(Roadmap!$D:$K,MATCH($E106,Roadmap!$D:$D,0)-1+COUNTIF($E106:E106,"u")+COUNTIF($E106:E106,"t")+COUNTIF($E106:E106,"¶")+COUNTIF($E106:E106,"²")+COUNTIF($E106:E106,"µ")+COUNTIF($E106:E106,1),ColDescriptionCourte))&gt;1,
HYPERLINK("#Roadmap!C"&amp; MATCH($E106,Roadmap!$D:$D,0)+COUNTIF($E106:E106,"u")+COUNTIF($E106:E106,"t")+COUNTIF($E106:E106,"¶")+COUNTIF($E106:E106,"²")+COUNTIF($E106:E106,"µ")+COUNTIF($E106:E106,1)-1,INDEX(Roadmap!$D:$K,MATCH($E106,Roadmap!$D:$D,0)-1+COUNTIF($E106:E106,"u")+COUNTIF($E106:E106,"t")+COUNTIF($E106:E106,"¶")+COUNTIF($E106:E106,"²")+COUNTIF($E106:E106,"µ")+COUNTIF($E106:E106,1),ColDescriptionCourte)),""),
  "")),"")</f>
        <v/>
      </c>
      <c r="G106" s="40" t="str">
        <f ca="1">IFERROR(IF(AND(
  INDEX(Roadmap!$D:$K,MATCH($E106,Roadmap!$D:$D,0)+COUNTIF($E106:F106,"u")+COUNTIF($E106:F106,"t")+COUNTIF($E106:F106,"¶")+COUNTIF($E106:F106,"²")+COUNTIF($E106:F106,"µ")+COUNTIF($E106:F106,1),ColLivraison)=G$6,
  VLOOKUP($E106,INDIRECT("tri!"&amp; CHAR(64+ C0Col) &amp;":"&amp; CHAR(65+C0Col)),2,FALSE)&gt;COUNTIF($E106:F106,"u")+COUNTIF($E106:F106,"t")+COUNTIF($E106:F106,"¶")+COUNTIF($E106:F106,"²")+COUNTIF($E106:F106,"µ")+COUNTIF($E106:F106,1)),
HYPERLINK("#Roadmap!C"&amp; MATCH($E106,Roadmap!$D:$D,0)+COUNTIF($E106:F106,"u")+COUNTIF($E106:F106,"t"),
     INDEX(Roadmap!$D:$K,MATCH($E106,Roadmap!$D:$D,0)+COUNTIF($E106:F106,"u")+COUNTIF($E106:F106,"t")+COUNTIF($E106:F106,"¶")+COUNTIF($E106:F106,"²")+COUNTIF($E106:F106,"µ")+COUNTIF($E106:F106,1),ColTypeEcheance)),
  IF(LEN(F106)=1,
  IF(LEN(INDEX(Roadmap!$D:$K,MATCH($E106,Roadmap!$D:$D,0)-1+COUNTIF($E106:F106,"u")+COUNTIF($E106:F106,"t")+COUNTIF($E106:F106,"¶")+COUNTIF($E106:F106,"²")+COUNTIF($E106:F106,"µ")+COUNTIF($E106:F106,1),ColDescriptionCourte))&gt;1,
HYPERLINK("#Roadmap!C"&amp; MATCH($E106,Roadmap!$D:$D,0)+COUNTIF($E106:F106,"u")+COUNTIF($E106:F106,"t")+COUNTIF($E106:F106,"¶")+COUNTIF($E106:F106,"²")+COUNTIF($E106:F106,"µ")+COUNTIF($E106:F106,1)-1,INDEX(Roadmap!$D:$K,MATCH($E106,Roadmap!$D:$D,0)-1+COUNTIF($E106:F106,"u")+COUNTIF($E106:F106,"t")+COUNTIF($E106:F106,"¶")+COUNTIF($E106:F106,"²")+COUNTIF($E106:F106,"µ")+COUNTIF($E106:F106,1),ColDescriptionCourte)),""),
  "")),"")</f>
        <v/>
      </c>
      <c r="H106" s="40" t="str">
        <f ca="1">IFERROR(IF(AND(
  INDEX(Roadmap!$D:$K,MATCH($E106,Roadmap!$D:$D,0)+COUNTIF($E106:G106,"u")+COUNTIF($E106:G106,"t")+COUNTIF($E106:G106,"¶")+COUNTIF($E106:G106,"²")+COUNTIF($E106:G106,"µ")+COUNTIF($E106:G106,1),ColLivraison)=H$6,
  VLOOKUP($E106,INDIRECT("tri!"&amp; CHAR(64+ C0Col) &amp;":"&amp; CHAR(65+C0Col)),2,FALSE)&gt;COUNTIF($E106:G106,"u")+COUNTIF($E106:G106,"t")+COUNTIF($E106:G106,"¶")+COUNTIF($E106:G106,"²")+COUNTIF($E106:G106,"µ")+COUNTIF($E106:G106,1)),
HYPERLINK("#Roadmap!C"&amp; MATCH($E106,Roadmap!$D:$D,0)+COUNTIF($E106:G106,"u")+COUNTIF($E106:G106,"t"),
     INDEX(Roadmap!$D:$K,MATCH($E106,Roadmap!$D:$D,0)+COUNTIF($E106:G106,"u")+COUNTIF($E106:G106,"t")+COUNTIF($E106:G106,"¶")+COUNTIF($E106:G106,"²")+COUNTIF($E106:G106,"µ")+COUNTIF($E106:G106,1),ColTypeEcheance)),
  IF(LEN(G106)=1,
  IF(LEN(INDEX(Roadmap!$D:$K,MATCH($E106,Roadmap!$D:$D,0)-1+COUNTIF($E106:G106,"u")+COUNTIF($E106:G106,"t")+COUNTIF($E106:G106,"¶")+COUNTIF($E106:G106,"²")+COUNTIF($E106:G106,"µ")+COUNTIF($E106:G106,1),ColDescriptionCourte))&gt;1,
HYPERLINK("#Roadmap!C"&amp; MATCH($E106,Roadmap!$D:$D,0)+COUNTIF($E106:G106,"u")+COUNTIF($E106:G106,"t")+COUNTIF($E106:G106,"¶")+COUNTIF($E106:G106,"²")+COUNTIF($E106:G106,"µ")+COUNTIF($E106:G106,1)-1,INDEX(Roadmap!$D:$K,MATCH($E106,Roadmap!$D:$D,0)-1+COUNTIF($E106:G106,"u")+COUNTIF($E106:G106,"t")+COUNTIF($E106:G106,"¶")+COUNTIF($E106:G106,"²")+COUNTIF($E106:G106,"µ")+COUNTIF($E106:G106,1),ColDescriptionCourte)),""),
  "")),"")</f>
        <v/>
      </c>
      <c r="I106" s="40" t="str">
        <f ca="1">IFERROR(IF(AND(
  INDEX(Roadmap!$D:$K,MATCH($E106,Roadmap!$D:$D,0)+COUNTIF($E106:H106,"u")+COUNTIF($E106:H106,"t")+COUNTIF($E106:H106,"¶")+COUNTIF($E106:H106,"²")+COUNTIF($E106:H106,"µ")+COUNTIF($E106:H106,1),ColLivraison)=I$6,
  VLOOKUP($E106,INDIRECT("tri!"&amp; CHAR(64+ C0Col) &amp;":"&amp; CHAR(65+C0Col)),2,FALSE)&gt;COUNTIF($E106:H106,"u")+COUNTIF($E106:H106,"t")+COUNTIF($E106:H106,"¶")+COUNTIF($E106:H106,"²")+COUNTIF($E106:H106,"µ")+COUNTIF($E106:H106,1)),
HYPERLINK("#Roadmap!C"&amp; MATCH($E106,Roadmap!$D:$D,0)+COUNTIF($E106:H106,"u")+COUNTIF($E106:H106,"t"),
     INDEX(Roadmap!$D:$K,MATCH($E106,Roadmap!$D:$D,0)+COUNTIF($E106:H106,"u")+COUNTIF($E106:H106,"t")+COUNTIF($E106:H106,"¶")+COUNTIF($E106:H106,"²")+COUNTIF($E106:H106,"µ")+COUNTIF($E106:H106,1),ColTypeEcheance)),
  IF(LEN(H106)=1,
  IF(LEN(INDEX(Roadmap!$D:$K,MATCH($E106,Roadmap!$D:$D,0)-1+COUNTIF($E106:H106,"u")+COUNTIF($E106:H106,"t")+COUNTIF($E106:H106,"¶")+COUNTIF($E106:H106,"²")+COUNTIF($E106:H106,"µ")+COUNTIF($E106:H106,1),ColDescriptionCourte))&gt;1,
HYPERLINK("#Roadmap!C"&amp; MATCH($E106,Roadmap!$D:$D,0)+COUNTIF($E106:H106,"u")+COUNTIF($E106:H106,"t")+COUNTIF($E106:H106,"¶")+COUNTIF($E106:H106,"²")+COUNTIF($E106:H106,"µ")+COUNTIF($E106:H106,1)-1,INDEX(Roadmap!$D:$K,MATCH($E106,Roadmap!$D:$D,0)-1+COUNTIF($E106:H106,"u")+COUNTIF($E106:H106,"t")+COUNTIF($E106:H106,"¶")+COUNTIF($E106:H106,"²")+COUNTIF($E106:H106,"µ")+COUNTIF($E106:H106,1),ColDescriptionCourte)),""),
  "")),"")</f>
        <v/>
      </c>
      <c r="J106" s="40" t="str">
        <f ca="1">IFERROR(IF(AND(
  INDEX(Roadmap!$D:$K,MATCH($E106,Roadmap!$D:$D,0)+COUNTIF($E106:I106,"u")+COUNTIF($E106:I106,"t")+COUNTIF($E106:I106,"¶")+COUNTIF($E106:I106,"²")+COUNTIF($E106:I106,"µ")+COUNTIF($E106:I106,1),ColLivraison)=J$6,
  VLOOKUP($E106,INDIRECT("tri!"&amp; CHAR(64+ C0Col) &amp;":"&amp; CHAR(65+C0Col)),2,FALSE)&gt;COUNTIF($E106:I106,"u")+COUNTIF($E106:I106,"t")+COUNTIF($E106:I106,"¶")+COUNTIF($E106:I106,"²")+COUNTIF($E106:I106,"µ")+COUNTIF($E106:I106,1)),
HYPERLINK("#Roadmap!C"&amp; MATCH($E106,Roadmap!$D:$D,0)+COUNTIF($E106:I106,"u")+COUNTIF($E106:I106,"t"),
     INDEX(Roadmap!$D:$K,MATCH($E106,Roadmap!$D:$D,0)+COUNTIF($E106:I106,"u")+COUNTIF($E106:I106,"t")+COUNTIF($E106:I106,"¶")+COUNTIF($E106:I106,"²")+COUNTIF($E106:I106,"µ")+COUNTIF($E106:I106,1),ColTypeEcheance)),
  IF(LEN(I106)=1,
  IF(LEN(INDEX(Roadmap!$D:$K,MATCH($E106,Roadmap!$D:$D,0)-1+COUNTIF($E106:I106,"u")+COUNTIF($E106:I106,"t")+COUNTIF($E106:I106,"¶")+COUNTIF($E106:I106,"²")+COUNTIF($E106:I106,"µ")+COUNTIF($E106:I106,1),ColDescriptionCourte))&gt;1,
HYPERLINK("#Roadmap!C"&amp; MATCH($E106,Roadmap!$D:$D,0)+COUNTIF($E106:I106,"u")+COUNTIF($E106:I106,"t")+COUNTIF($E106:I106,"¶")+COUNTIF($E106:I106,"²")+COUNTIF($E106:I106,"µ")+COUNTIF($E106:I106,1)-1,INDEX(Roadmap!$D:$K,MATCH($E106,Roadmap!$D:$D,0)-1+COUNTIF($E106:I106,"u")+COUNTIF($E106:I106,"t")+COUNTIF($E106:I106,"¶")+COUNTIF($E106:I106,"²")+COUNTIF($E106:I106,"µ")+COUNTIF($E106:I106,1),ColDescriptionCourte)),""),
  "")),"")</f>
        <v/>
      </c>
      <c r="K106" s="40" t="str">
        <f ca="1">IFERROR(IF(AND(
  INDEX(Roadmap!$D:$K,MATCH($E106,Roadmap!$D:$D,0)+COUNTIF($E106:J106,"u")+COUNTIF($E106:J106,"t")+COUNTIF($E106:J106,"¶")+COUNTIF($E106:J106,"²")+COUNTIF($E106:J106,"µ")+COUNTIF($E106:J106,1),ColLivraison)=K$6,
  VLOOKUP($E106,INDIRECT("tri!"&amp; CHAR(64+ C0Col) &amp;":"&amp; CHAR(65+C0Col)),2,FALSE)&gt;COUNTIF($E106:J106,"u")+COUNTIF($E106:J106,"t")+COUNTIF($E106:J106,"¶")+COUNTIF($E106:J106,"²")+COUNTIF($E106:J106,"µ")+COUNTIF($E106:J106,1)),
HYPERLINK("#Roadmap!C"&amp; MATCH($E106,Roadmap!$D:$D,0)+COUNTIF($E106:J106,"u")+COUNTIF($E106:J106,"t"),
     INDEX(Roadmap!$D:$K,MATCH($E106,Roadmap!$D:$D,0)+COUNTIF($E106:J106,"u")+COUNTIF($E106:J106,"t")+COUNTIF($E106:J106,"¶")+COUNTIF($E106:J106,"²")+COUNTIF($E106:J106,"µ")+COUNTIF($E106:J106,1),ColTypeEcheance)),
  IF(LEN(J106)=1,
  IF(LEN(INDEX(Roadmap!$D:$K,MATCH($E106,Roadmap!$D:$D,0)-1+COUNTIF($E106:J106,"u")+COUNTIF($E106:J106,"t")+COUNTIF($E106:J106,"¶")+COUNTIF($E106:J106,"²")+COUNTIF($E106:J106,"µ")+COUNTIF($E106:J106,1),ColDescriptionCourte))&gt;1,
HYPERLINK("#Roadmap!C"&amp; MATCH($E106,Roadmap!$D:$D,0)+COUNTIF($E106:J106,"u")+COUNTIF($E106:J106,"t")+COUNTIF($E106:J106,"¶")+COUNTIF($E106:J106,"²")+COUNTIF($E106:J106,"µ")+COUNTIF($E106:J106,1)-1,INDEX(Roadmap!$D:$K,MATCH($E106,Roadmap!$D:$D,0)-1+COUNTIF($E106:J106,"u")+COUNTIF($E106:J106,"t")+COUNTIF($E106:J106,"¶")+COUNTIF($E106:J106,"²")+COUNTIF($E106:J106,"µ")+COUNTIF($E106:J106,1),ColDescriptionCourte)),""),
  "")),"")</f>
        <v/>
      </c>
      <c r="L106" s="39" t="str">
        <f ca="1">IFERROR(IF(AND(
  INDEX(Roadmap!$D:$K,MATCH($E106,Roadmap!$D:$D,0)+COUNTIF($E106:K106,"u")+COUNTIF($E106:K106,"t")+COUNTIF($E106:K106,"¶")+COUNTIF($E106:K106,"²")+COUNTIF($E106:K106,"µ")+COUNTIF($E106:K106,1),ColLivraison)=L$6,
  VLOOKUP($E106,INDIRECT("tri!"&amp; CHAR(64+ C0Col) &amp;":"&amp; CHAR(65+C0Col)),2,FALSE)&gt;COUNTIF($E106:K106,"u")+COUNTIF($E106:K106,"t")+COUNTIF($E106:K106,"¶")+COUNTIF($E106:K106,"²")+COUNTIF($E106:K106,"µ")+COUNTIF($E106:K106,1)),
HYPERLINK("#Roadmap!C"&amp; MATCH($E106,Roadmap!$D:$D,0)+COUNTIF($E106:K106,"u")+COUNTIF($E106:K106,"t"),
     INDEX(Roadmap!$D:$K,MATCH($E106,Roadmap!$D:$D,0)+COUNTIF($E106:K106,"u")+COUNTIF($E106:K106,"t")+COUNTIF($E106:K106,"¶")+COUNTIF($E106:K106,"²")+COUNTIF($E106:K106,"µ")+COUNTIF($E106:K106,1),ColTypeEcheance)),
  IF(LEN(K106)=1,
  IF(LEN(INDEX(Roadmap!$D:$K,MATCH($E106,Roadmap!$D:$D,0)-1+COUNTIF($E106:K106,"u")+COUNTIF($E106:K106,"t")+COUNTIF($E106:K106,"¶")+COUNTIF($E106:K106,"²")+COUNTIF($E106:K106,"µ")+COUNTIF($E106:K106,1),ColDescriptionCourte))&gt;1,
HYPERLINK("#Roadmap!C"&amp; MATCH($E106,Roadmap!$D:$D,0)+COUNTIF($E106:K106,"u")+COUNTIF($E106:K106,"t")+COUNTIF($E106:K106,"¶")+COUNTIF($E106:K106,"²")+COUNTIF($E106:K106,"µ")+COUNTIF($E106:K106,1)-1,INDEX(Roadmap!$D:$K,MATCH($E106,Roadmap!$D:$D,0)-1+COUNTIF($E106:K106,"u")+COUNTIF($E106:K106,"t")+COUNTIF($E106:K106,"¶")+COUNTIF($E106:K106,"²")+COUNTIF($E106:K106,"µ")+COUNTIF($E106:K106,1),ColDescriptionCourte)),""),
  "")),"")</f>
        <v/>
      </c>
      <c r="M106" s="40" t="str">
        <f ca="1">IFERROR(IF(AND(
  INDEX(Roadmap!$D:$K,MATCH($E106,Roadmap!$D:$D,0)+COUNTIF($E106:L106,"u")+COUNTIF($E106:L106,"t")+COUNTIF($E106:L106,"¶")+COUNTIF($E106:L106,"²")+COUNTIF($E106:L106,"µ")+COUNTIF($E106:L106,1),ColLivraison)=M$6,
  VLOOKUP($E106,INDIRECT("tri!"&amp; CHAR(64+ C0Col) &amp;":"&amp; CHAR(65+C0Col)),2,FALSE)&gt;COUNTIF($E106:L106,"u")+COUNTIF($E106:L106,"t")+COUNTIF($E106:L106,"¶")+COUNTIF($E106:L106,"²")+COUNTIF($E106:L106,"µ")+COUNTIF($E106:L106,1)),
HYPERLINK("#Roadmap!C"&amp; MATCH($E106,Roadmap!$D:$D,0)+COUNTIF($E106:L106,"u")+COUNTIF($E106:L106,"t"),
     INDEX(Roadmap!$D:$K,MATCH($E106,Roadmap!$D:$D,0)+COUNTIF($E106:L106,"u")+COUNTIF($E106:L106,"t")+COUNTIF($E106:L106,"¶")+COUNTIF($E106:L106,"²")+COUNTIF($E106:L106,"µ")+COUNTIF($E106:L106,1),ColTypeEcheance)),
  IF(LEN(L106)=1,
  IF(LEN(INDEX(Roadmap!$D:$K,MATCH($E106,Roadmap!$D:$D,0)-1+COUNTIF($E106:L106,"u")+COUNTIF($E106:L106,"t")+COUNTIF($E106:L106,"¶")+COUNTIF($E106:L106,"²")+COUNTIF($E106:L106,"µ")+COUNTIF($E106:L106,1),ColDescriptionCourte))&gt;1,
HYPERLINK("#Roadmap!C"&amp; MATCH($E106,Roadmap!$D:$D,0)+COUNTIF($E106:L106,"u")+COUNTIF($E106:L106,"t")+COUNTIF($E106:L106,"¶")+COUNTIF($E106:L106,"²")+COUNTIF($E106:L106,"µ")+COUNTIF($E106:L106,1)-1,INDEX(Roadmap!$D:$K,MATCH($E106,Roadmap!$D:$D,0)-1+COUNTIF($E106:L106,"u")+COUNTIF($E106:L106,"t")+COUNTIF($E106:L106,"¶")+COUNTIF($E106:L106,"²")+COUNTIF($E106:L106,"µ")+COUNTIF($E106:L106,1),ColDescriptionCourte)),""),
  "")),"")</f>
        <v/>
      </c>
      <c r="N106" s="40" t="str">
        <f ca="1">IFERROR(IF(AND(
  INDEX(Roadmap!$D:$K,MATCH($E106,Roadmap!$D:$D,0)+COUNTIF($E106:M106,"u")+COUNTIF($E106:M106,"t")+COUNTIF($E106:M106,"¶")+COUNTIF($E106:M106,"²")+COUNTIF($E106:M106,"µ")+COUNTIF($E106:M106,1),ColLivraison)=N$6,
  VLOOKUP($E106,INDIRECT("tri!"&amp; CHAR(64+ C0Col) &amp;":"&amp; CHAR(65+C0Col)),2,FALSE)&gt;COUNTIF($E106:M106,"u")+COUNTIF($E106:M106,"t")+COUNTIF($E106:M106,"¶")+COUNTIF($E106:M106,"²")+COUNTIF($E106:M106,"µ")+COUNTIF($E106:M106,1)),
HYPERLINK("#Roadmap!C"&amp; MATCH($E106,Roadmap!$D:$D,0)+COUNTIF($E106:M106,"u")+COUNTIF($E106:M106,"t"),
     INDEX(Roadmap!$D:$K,MATCH($E106,Roadmap!$D:$D,0)+COUNTIF($E106:M106,"u")+COUNTIF($E106:M106,"t")+COUNTIF($E106:M106,"¶")+COUNTIF($E106:M106,"²")+COUNTIF($E106:M106,"µ")+COUNTIF($E106:M106,1),ColTypeEcheance)),
  IF(LEN(M106)=1,
  IF(LEN(INDEX(Roadmap!$D:$K,MATCH($E106,Roadmap!$D:$D,0)-1+COUNTIF($E106:M106,"u")+COUNTIF($E106:M106,"t")+COUNTIF($E106:M106,"¶")+COUNTIF($E106:M106,"²")+COUNTIF($E106:M106,"µ")+COUNTIF($E106:M106,1),ColDescriptionCourte))&gt;1,
HYPERLINK("#Roadmap!C"&amp; MATCH($E106,Roadmap!$D:$D,0)+COUNTIF($E106:M106,"u")+COUNTIF($E106:M106,"t")+COUNTIF($E106:M106,"¶")+COUNTIF($E106:M106,"²")+COUNTIF($E106:M106,"µ")+COUNTIF($E106:M106,1)-1,INDEX(Roadmap!$D:$K,MATCH($E106,Roadmap!$D:$D,0)-1+COUNTIF($E106:M106,"u")+COUNTIF($E106:M106,"t")+COUNTIF($E106:M106,"¶")+COUNTIF($E106:M106,"²")+COUNTIF($E106:M106,"µ")+COUNTIF($E106:M106,1),ColDescriptionCourte)),""),
  "")),"")</f>
        <v/>
      </c>
      <c r="O106" s="40" t="str">
        <f ca="1">IFERROR(IF(AND(
  INDEX(Roadmap!$D:$K,MATCH($E106,Roadmap!$D:$D,0)+COUNTIF($E106:N106,"u")+COUNTIF($E106:N106,"t")+COUNTIF($E106:N106,"¶")+COUNTIF($E106:N106,"²")+COUNTIF($E106:N106,"µ")+COUNTIF($E106:N106,1),ColLivraison)=O$6,
  VLOOKUP($E106,INDIRECT("tri!"&amp; CHAR(64+ C0Col) &amp;":"&amp; CHAR(65+C0Col)),2,FALSE)&gt;COUNTIF($E106:N106,"u")+COUNTIF($E106:N106,"t")+COUNTIF($E106:N106,"¶")+COUNTIF($E106:N106,"²")+COUNTIF($E106:N106,"µ")+COUNTIF($E106:N106,1)),
HYPERLINK("#Roadmap!C"&amp; MATCH($E106,Roadmap!$D:$D,0)+COUNTIF($E106:N106,"u")+COUNTIF($E106:N106,"t"),
     INDEX(Roadmap!$D:$K,MATCH($E106,Roadmap!$D:$D,0)+COUNTIF($E106:N106,"u")+COUNTIF($E106:N106,"t")+COUNTIF($E106:N106,"¶")+COUNTIF($E106:N106,"²")+COUNTIF($E106:N106,"µ")+COUNTIF($E106:N106,1),ColTypeEcheance)),
  IF(LEN(N106)=1,
  IF(LEN(INDEX(Roadmap!$D:$K,MATCH($E106,Roadmap!$D:$D,0)-1+COUNTIF($E106:N106,"u")+COUNTIF($E106:N106,"t")+COUNTIF($E106:N106,"¶")+COUNTIF($E106:N106,"²")+COUNTIF($E106:N106,"µ")+COUNTIF($E106:N106,1),ColDescriptionCourte))&gt;1,
HYPERLINK("#Roadmap!C"&amp; MATCH($E106,Roadmap!$D:$D,0)+COUNTIF($E106:N106,"u")+COUNTIF($E106:N106,"t")+COUNTIF($E106:N106,"¶")+COUNTIF($E106:N106,"²")+COUNTIF($E106:N106,"µ")+COUNTIF($E106:N106,1)-1,INDEX(Roadmap!$D:$K,MATCH($E106,Roadmap!$D:$D,0)-1+COUNTIF($E106:N106,"u")+COUNTIF($E106:N106,"t")+COUNTIF($E106:N106,"¶")+COUNTIF($E106:N106,"²")+COUNTIF($E106:N106,"µ")+COUNTIF($E106:N106,1),ColDescriptionCourte)),""),
  "")),"")</f>
        <v/>
      </c>
      <c r="P106" s="40" t="str">
        <f ca="1">IFERROR(IF(AND(
  INDEX(Roadmap!$D:$K,MATCH($E106,Roadmap!$D:$D,0)+COUNTIF($E106:O106,"u")+COUNTIF($E106:O106,"t")+COUNTIF($E106:O106,"¶")+COUNTIF($E106:O106,"²")+COUNTIF($E106:O106,"µ")+COUNTIF($E106:O106,1),ColLivraison)=P$6,
  VLOOKUP($E106,INDIRECT("tri!"&amp; CHAR(64+ C0Col) &amp;":"&amp; CHAR(65+C0Col)),2,FALSE)&gt;COUNTIF($E106:O106,"u")+COUNTIF($E106:O106,"t")+COUNTIF($E106:O106,"¶")+COUNTIF($E106:O106,"²")+COUNTIF($E106:O106,"µ")+COUNTIF($E106:O106,1)),
HYPERLINK("#Roadmap!C"&amp; MATCH($E106,Roadmap!$D:$D,0)+COUNTIF($E106:O106,"u")+COUNTIF($E106:O106,"t"),
     INDEX(Roadmap!$D:$K,MATCH($E106,Roadmap!$D:$D,0)+COUNTIF($E106:O106,"u")+COUNTIF($E106:O106,"t")+COUNTIF($E106:O106,"¶")+COUNTIF($E106:O106,"²")+COUNTIF($E106:O106,"µ")+COUNTIF($E106:O106,1),ColTypeEcheance)),
  IF(LEN(O106)=1,
  IF(LEN(INDEX(Roadmap!$D:$K,MATCH($E106,Roadmap!$D:$D,0)-1+COUNTIF($E106:O106,"u")+COUNTIF($E106:O106,"t")+COUNTIF($E106:O106,"¶")+COUNTIF($E106:O106,"²")+COUNTIF($E106:O106,"µ")+COUNTIF($E106:O106,1),ColDescriptionCourte))&gt;1,
HYPERLINK("#Roadmap!C"&amp; MATCH($E106,Roadmap!$D:$D,0)+COUNTIF($E106:O106,"u")+COUNTIF($E106:O106,"t")+COUNTIF($E106:O106,"¶")+COUNTIF($E106:O106,"²")+COUNTIF($E106:O106,"µ")+COUNTIF($E106:O106,1)-1,INDEX(Roadmap!$D:$K,MATCH($E106,Roadmap!$D:$D,0)-1+COUNTIF($E106:O106,"u")+COUNTIF($E106:O106,"t")+COUNTIF($E106:O106,"¶")+COUNTIF($E106:O106,"²")+COUNTIF($E106:O106,"µ")+COUNTIF($E106:O106,1),ColDescriptionCourte)),""),
  "")),"")</f>
        <v/>
      </c>
      <c r="Q106" s="40" t="str">
        <f ca="1">IFERROR(IF(AND(
  INDEX(Roadmap!$D:$K,MATCH($E106,Roadmap!$D:$D,0)+COUNTIF($E106:P106,"u")+COUNTIF($E106:P106,"t")+COUNTIF($E106:P106,"¶")+COUNTIF($E106:P106,"²")+COUNTIF($E106:P106,"µ")+COUNTIF($E106:P106,1),ColLivraison)=Q$6,
  VLOOKUP($E106,INDIRECT("tri!"&amp; CHAR(64+ C0Col) &amp;":"&amp; CHAR(65+C0Col)),2,FALSE)&gt;COUNTIF($E106:P106,"u")+COUNTIF($E106:P106,"t")+COUNTIF($E106:P106,"¶")+COUNTIF($E106:P106,"²")+COUNTIF($E106:P106,"µ")+COUNTIF($E106:P106,1)),
HYPERLINK("#Roadmap!C"&amp; MATCH($E106,Roadmap!$D:$D,0)+COUNTIF($E106:P106,"u")+COUNTIF($E106:P106,"t"),
     INDEX(Roadmap!$D:$K,MATCH($E106,Roadmap!$D:$D,0)+COUNTIF($E106:P106,"u")+COUNTIF($E106:P106,"t")+COUNTIF($E106:P106,"¶")+COUNTIF($E106:P106,"²")+COUNTIF($E106:P106,"µ")+COUNTIF($E106:P106,1),ColTypeEcheance)),
  IF(LEN(P106)=1,
  IF(LEN(INDEX(Roadmap!$D:$K,MATCH($E106,Roadmap!$D:$D,0)-1+COUNTIF($E106:P106,"u")+COUNTIF($E106:P106,"t")+COUNTIF($E106:P106,"¶")+COUNTIF($E106:P106,"²")+COUNTIF($E106:P106,"µ")+COUNTIF($E106:P106,1),ColDescriptionCourte))&gt;1,
HYPERLINK("#Roadmap!C"&amp; MATCH($E106,Roadmap!$D:$D,0)+COUNTIF($E106:P106,"u")+COUNTIF($E106:P106,"t")+COUNTIF($E106:P106,"¶")+COUNTIF($E106:P106,"²")+COUNTIF($E106:P106,"µ")+COUNTIF($E106:P106,1)-1,INDEX(Roadmap!$D:$K,MATCH($E106,Roadmap!$D:$D,0)-1+COUNTIF($E106:P106,"u")+COUNTIF($E106:P106,"t")+COUNTIF($E106:P106,"¶")+COUNTIF($E106:P106,"²")+COUNTIF($E106:P106,"µ")+COUNTIF($E106:P106,1),ColDescriptionCourte)),""),
  "")),"")</f>
        <v/>
      </c>
      <c r="R106" s="40" t="str">
        <f ca="1">IFERROR(IF(AND(
  INDEX(Roadmap!$D:$K,MATCH($E106,Roadmap!$D:$D,0)+COUNTIF($E106:Q106,"u")+COUNTIF($E106:Q106,"t")+COUNTIF($E106:Q106,"¶")+COUNTIF($E106:Q106,"²")+COUNTIF($E106:Q106,"µ")+COUNTIF($E106:Q106,1),ColLivraison)=R$6,
  VLOOKUP($E106,INDIRECT("tri!"&amp; CHAR(64+ C0Col) &amp;":"&amp; CHAR(65+C0Col)),2,FALSE)&gt;COUNTIF($E106:Q106,"u")+COUNTIF($E106:Q106,"t")+COUNTIF($E106:Q106,"¶")+COUNTIF($E106:Q106,"²")+COUNTIF($E106:Q106,"µ")+COUNTIF($E106:Q106,1)),
HYPERLINK("#Roadmap!C"&amp; MATCH($E106,Roadmap!$D:$D,0)+COUNTIF($E106:Q106,"u")+COUNTIF($E106:Q106,"t"),
     INDEX(Roadmap!$D:$K,MATCH($E106,Roadmap!$D:$D,0)+COUNTIF($E106:Q106,"u")+COUNTIF($E106:Q106,"t")+COUNTIF($E106:Q106,"¶")+COUNTIF($E106:Q106,"²")+COUNTIF($E106:Q106,"µ")+COUNTIF($E106:Q106,1),ColTypeEcheance)),
  IF(LEN(Q106)=1,
  IF(LEN(INDEX(Roadmap!$D:$K,MATCH($E106,Roadmap!$D:$D,0)-1+COUNTIF($E106:Q106,"u")+COUNTIF($E106:Q106,"t")+COUNTIF($E106:Q106,"¶")+COUNTIF($E106:Q106,"²")+COUNTIF($E106:Q106,"µ")+COUNTIF($E106:Q106,1),ColDescriptionCourte))&gt;1,
HYPERLINK("#Roadmap!C"&amp; MATCH($E106,Roadmap!$D:$D,0)+COUNTIF($E106:Q106,"u")+COUNTIF($E106:Q106,"t")+COUNTIF($E106:Q106,"¶")+COUNTIF($E106:Q106,"²")+COUNTIF($E106:Q106,"µ")+COUNTIF($E106:Q106,1)-1,INDEX(Roadmap!$D:$K,MATCH($E106,Roadmap!$D:$D,0)-1+COUNTIF($E106:Q106,"u")+COUNTIF($E106:Q106,"t")+COUNTIF($E106:Q106,"¶")+COUNTIF($E106:Q106,"²")+COUNTIF($E106:Q106,"µ")+COUNTIF($E106:Q106,1),ColDescriptionCourte)),""),
  "")),"")</f>
        <v/>
      </c>
      <c r="S106" s="40" t="str">
        <f ca="1">IFERROR(IF(AND(
  INDEX(Roadmap!$D:$K,MATCH($E106,Roadmap!$D:$D,0)+COUNTIF($E106:R106,"u")+COUNTIF($E106:R106,"t")+COUNTIF($E106:R106,"¶")+COUNTIF($E106:R106,"²")+COUNTIF($E106:R106,"µ")+COUNTIF($E106:R106,1),ColLivraison)=S$6,
  VLOOKUP($E106,INDIRECT("tri!"&amp; CHAR(64+ C0Col) &amp;":"&amp; CHAR(65+C0Col)),2,FALSE)&gt;COUNTIF($E106:R106,"u")+COUNTIF($E106:R106,"t")+COUNTIF($E106:R106,"¶")+COUNTIF($E106:R106,"²")+COUNTIF($E106:R106,"µ")+COUNTIF($E106:R106,1)),
HYPERLINK("#Roadmap!C"&amp; MATCH($E106,Roadmap!$D:$D,0)+COUNTIF($E106:R106,"u")+COUNTIF($E106:R106,"t"),
     INDEX(Roadmap!$D:$K,MATCH($E106,Roadmap!$D:$D,0)+COUNTIF($E106:R106,"u")+COUNTIF($E106:R106,"t")+COUNTIF($E106:R106,"¶")+COUNTIF($E106:R106,"²")+COUNTIF($E106:R106,"µ")+COUNTIF($E106:R106,1),ColTypeEcheance)),
  IF(LEN(R106)=1,
  IF(LEN(INDEX(Roadmap!$D:$K,MATCH($E106,Roadmap!$D:$D,0)-1+COUNTIF($E106:R106,"u")+COUNTIF($E106:R106,"t")+COUNTIF($E106:R106,"¶")+COUNTIF($E106:R106,"²")+COUNTIF($E106:R106,"µ")+COUNTIF($E106:R106,1),ColDescriptionCourte))&gt;1,
HYPERLINK("#Roadmap!C"&amp; MATCH($E106,Roadmap!$D:$D,0)+COUNTIF($E106:R106,"u")+COUNTIF($E106:R106,"t")+COUNTIF($E106:R106,"¶")+COUNTIF($E106:R106,"²")+COUNTIF($E106:R106,"µ")+COUNTIF($E106:R106,1)-1,INDEX(Roadmap!$D:$K,MATCH($E106,Roadmap!$D:$D,0)-1+COUNTIF($E106:R106,"u")+COUNTIF($E106:R106,"t")+COUNTIF($E106:R106,"¶")+COUNTIF($E106:R106,"²")+COUNTIF($E106:R106,"µ")+COUNTIF($E106:R106,1),ColDescriptionCourte)),""),
  "")),"")</f>
        <v/>
      </c>
      <c r="T106" s="40" t="str">
        <f ca="1">IFERROR(IF(AND(
  INDEX(Roadmap!$D:$K,MATCH($E106,Roadmap!$D:$D,0)+COUNTIF($E106:S106,"u")+COUNTIF($E106:S106,"t")+COUNTIF($E106:S106,"¶")+COUNTIF($E106:S106,"²")+COUNTIF($E106:S106,"µ")+COUNTIF($E106:S106,1),ColLivraison)=T$6,
  VLOOKUP($E106,INDIRECT("tri!"&amp; CHAR(64+ C0Col) &amp;":"&amp; CHAR(65+C0Col)),2,FALSE)&gt;COUNTIF($E106:S106,"u")+COUNTIF($E106:S106,"t")+COUNTIF($E106:S106,"¶")+COUNTIF($E106:S106,"²")+COUNTIF($E106:S106,"µ")+COUNTIF($E106:S106,1)),
HYPERLINK("#Roadmap!C"&amp; MATCH($E106,Roadmap!$D:$D,0)+COUNTIF($E106:S106,"u")+COUNTIF($E106:S106,"t"),
     INDEX(Roadmap!$D:$K,MATCH($E106,Roadmap!$D:$D,0)+COUNTIF($E106:S106,"u")+COUNTIF($E106:S106,"t")+COUNTIF($E106:S106,"¶")+COUNTIF($E106:S106,"²")+COUNTIF($E106:S106,"µ")+COUNTIF($E106:S106,1),ColTypeEcheance)),
  IF(LEN(S106)=1,
  IF(LEN(INDEX(Roadmap!$D:$K,MATCH($E106,Roadmap!$D:$D,0)-1+COUNTIF($E106:S106,"u")+COUNTIF($E106:S106,"t")+COUNTIF($E106:S106,"¶")+COUNTIF($E106:S106,"²")+COUNTIF($E106:S106,"µ")+COUNTIF($E106:S106,1),ColDescriptionCourte))&gt;1,
HYPERLINK("#Roadmap!C"&amp; MATCH($E106,Roadmap!$D:$D,0)+COUNTIF($E106:S106,"u")+COUNTIF($E106:S106,"t")+COUNTIF($E106:S106,"¶")+COUNTIF($E106:S106,"²")+COUNTIF($E106:S106,"µ")+COUNTIF($E106:S106,1)-1,INDEX(Roadmap!$D:$K,MATCH($E106,Roadmap!$D:$D,0)-1+COUNTIF($E106:S106,"u")+COUNTIF($E106:S106,"t")+COUNTIF($E106:S106,"¶")+COUNTIF($E106:S106,"²")+COUNTIF($E106:S106,"µ")+COUNTIF($E106:S106,1),ColDescriptionCourte)),""),
  "")),"")</f>
        <v/>
      </c>
      <c r="U106" s="40" t="str">
        <f ca="1">IFERROR(IF(AND(
  INDEX(Roadmap!$D:$K,MATCH($E106,Roadmap!$D:$D,0)+COUNTIF($E106:T106,"u")+COUNTIF($E106:T106,"t")+COUNTIF($E106:T106,"¶")+COUNTIF($E106:T106,"²")+COUNTIF($E106:T106,"µ")+COUNTIF($E106:T106,1),ColLivraison)=U$6,
  VLOOKUP($E106,INDIRECT("tri!"&amp; CHAR(64+ C0Col) &amp;":"&amp; CHAR(65+C0Col)),2,FALSE)&gt;COUNTIF($E106:T106,"u")+COUNTIF($E106:T106,"t")+COUNTIF($E106:T106,"¶")+COUNTIF($E106:T106,"²")+COUNTIF($E106:T106,"µ")+COUNTIF($E106:T106,1)),
HYPERLINK("#Roadmap!C"&amp; MATCH($E106,Roadmap!$D:$D,0)+COUNTIF($E106:T106,"u")+COUNTIF($E106:T106,"t"),
     INDEX(Roadmap!$D:$K,MATCH($E106,Roadmap!$D:$D,0)+COUNTIF($E106:T106,"u")+COUNTIF($E106:T106,"t")+COUNTIF($E106:T106,"¶")+COUNTIF($E106:T106,"²")+COUNTIF($E106:T106,"µ")+COUNTIF($E106:T106,1),ColTypeEcheance)),
  IF(LEN(T106)=1,
  IF(LEN(INDEX(Roadmap!$D:$K,MATCH($E106,Roadmap!$D:$D,0)-1+COUNTIF($E106:T106,"u")+COUNTIF($E106:T106,"t")+COUNTIF($E106:T106,"¶")+COUNTIF($E106:T106,"²")+COUNTIF($E106:T106,"µ")+COUNTIF($E106:T106,1),ColDescriptionCourte))&gt;1,
HYPERLINK("#Roadmap!C"&amp; MATCH($E106,Roadmap!$D:$D,0)+COUNTIF($E106:T106,"u")+COUNTIF($E106:T106,"t")+COUNTIF($E106:T106,"¶")+COUNTIF($E106:T106,"²")+COUNTIF($E106:T106,"µ")+COUNTIF($E106:T106,1)-1,INDEX(Roadmap!$D:$K,MATCH($E106,Roadmap!$D:$D,0)-1+COUNTIF($E106:T106,"u")+COUNTIF($E106:T106,"t")+COUNTIF($E106:T106,"¶")+COUNTIF($E106:T106,"²")+COUNTIF($E106:T106,"µ")+COUNTIF($E106:T106,1),ColDescriptionCourte)),""),
  "")),"")</f>
        <v/>
      </c>
      <c r="V106" s="40" t="str">
        <f ca="1">IFERROR(IF(AND(
  INDEX(Roadmap!$D:$K,MATCH($E106,Roadmap!$D:$D,0)+COUNTIF($E106:U106,"u")+COUNTIF($E106:U106,"t")+COUNTIF($E106:U106,"¶")+COUNTIF($E106:U106,"²")+COUNTIF($E106:U106,"µ")+COUNTIF($E106:U106,1),ColLivraison)=V$6,
  VLOOKUP($E106,INDIRECT("tri!"&amp; CHAR(64+ C0Col) &amp;":"&amp; CHAR(65+C0Col)),2,FALSE)&gt;COUNTIF($E106:U106,"u")+COUNTIF($E106:U106,"t")+COUNTIF($E106:U106,"¶")+COUNTIF($E106:U106,"²")+COUNTIF($E106:U106,"µ")+COUNTIF($E106:U106,1)),
HYPERLINK("#Roadmap!C"&amp; MATCH($E106,Roadmap!$D:$D,0)+COUNTIF($E106:U106,"u")+COUNTIF($E106:U106,"t"),
     INDEX(Roadmap!$D:$K,MATCH($E106,Roadmap!$D:$D,0)+COUNTIF($E106:U106,"u")+COUNTIF($E106:U106,"t")+COUNTIF($E106:U106,"¶")+COUNTIF($E106:U106,"²")+COUNTIF($E106:U106,"µ")+COUNTIF($E106:U106,1),ColTypeEcheance)),
  IF(LEN(U106)=1,
  IF(LEN(INDEX(Roadmap!$D:$K,MATCH($E106,Roadmap!$D:$D,0)-1+COUNTIF($E106:U106,"u")+COUNTIF($E106:U106,"t")+COUNTIF($E106:U106,"¶")+COUNTIF($E106:U106,"²")+COUNTIF($E106:U106,"µ")+COUNTIF($E106:U106,1),ColDescriptionCourte))&gt;1,
HYPERLINK("#Roadmap!C"&amp; MATCH($E106,Roadmap!$D:$D,0)+COUNTIF($E106:U106,"u")+COUNTIF($E106:U106,"t")+COUNTIF($E106:U106,"¶")+COUNTIF($E106:U106,"²")+COUNTIF($E106:U106,"µ")+COUNTIF($E106:U106,1)-1,INDEX(Roadmap!$D:$K,MATCH($E106,Roadmap!$D:$D,0)-1+COUNTIF($E106:U106,"u")+COUNTIF($E106:U106,"t")+COUNTIF($E106:U106,"¶")+COUNTIF($E106:U106,"²")+COUNTIF($E106:U106,"µ")+COUNTIF($E106:U106,1),ColDescriptionCourte)),""),
  "")),"")</f>
        <v/>
      </c>
      <c r="W106" s="40" t="str">
        <f ca="1">IFERROR(IF(AND(
  INDEX(Roadmap!$D:$K,MATCH($E106,Roadmap!$D:$D,0)+COUNTIF($E106:V106,"u")+COUNTIF($E106:V106,"t")+COUNTIF($E106:V106,"¶")+COUNTIF($E106:V106,"²")+COUNTIF($E106:V106,"µ")+COUNTIF($E106:V106,1),ColLivraison)=W$6,
  VLOOKUP($E106,INDIRECT("tri!"&amp; CHAR(64+ C0Col) &amp;":"&amp; CHAR(65+C0Col)),2,FALSE)&gt;COUNTIF($E106:V106,"u")+COUNTIF($E106:V106,"t")+COUNTIF($E106:V106,"¶")+COUNTIF($E106:V106,"²")+COUNTIF($E106:V106,"µ")+COUNTIF($E106:V106,1)),
HYPERLINK("#Roadmap!C"&amp; MATCH($E106,Roadmap!$D:$D,0)+COUNTIF($E106:V106,"u")+COUNTIF($E106:V106,"t"),
     INDEX(Roadmap!$D:$K,MATCH($E106,Roadmap!$D:$D,0)+COUNTIF($E106:V106,"u")+COUNTIF($E106:V106,"t")+COUNTIF($E106:V106,"¶")+COUNTIF($E106:V106,"²")+COUNTIF($E106:V106,"µ")+COUNTIF($E106:V106,1),ColTypeEcheance)),
  IF(LEN(V106)=1,
  IF(LEN(INDEX(Roadmap!$D:$K,MATCH($E106,Roadmap!$D:$D,0)-1+COUNTIF($E106:V106,"u")+COUNTIF($E106:V106,"t")+COUNTIF($E106:V106,"¶")+COUNTIF($E106:V106,"²")+COUNTIF($E106:V106,"µ")+COUNTIF($E106:V106,1),ColDescriptionCourte))&gt;1,
HYPERLINK("#Roadmap!C"&amp; MATCH($E106,Roadmap!$D:$D,0)+COUNTIF($E106:V106,"u")+COUNTIF($E106:V106,"t")+COUNTIF($E106:V106,"¶")+COUNTIF($E106:V106,"²")+COUNTIF($E106:V106,"µ")+COUNTIF($E106:V106,1)-1,INDEX(Roadmap!$D:$K,MATCH($E106,Roadmap!$D:$D,0)-1+COUNTIF($E106:V106,"u")+COUNTIF($E106:V106,"t")+COUNTIF($E106:V106,"¶")+COUNTIF($E106:V106,"²")+COUNTIF($E106:V106,"µ")+COUNTIF($E106:V106,1),ColDescriptionCourte)),""),
  "")),"")</f>
        <v/>
      </c>
      <c r="X106" s="40" t="str">
        <f ca="1">IFERROR(IF(AND(
  INDEX(Roadmap!$D:$K,MATCH($E106,Roadmap!$D:$D,0)+COUNTIF($E106:W106,"u")+COUNTIF($E106:W106,"t")+COUNTIF($E106:W106,"¶")+COUNTIF($E106:W106,"²")+COUNTIF($E106:W106,"µ")+COUNTIF($E106:W106,1),ColLivraison)=X$6,
  VLOOKUP($E106,INDIRECT("tri!"&amp; CHAR(64+ C0Col) &amp;":"&amp; CHAR(65+C0Col)),2,FALSE)&gt;COUNTIF($E106:W106,"u")+COUNTIF($E106:W106,"t")+COUNTIF($E106:W106,"¶")+COUNTIF($E106:W106,"²")+COUNTIF($E106:W106,"µ")+COUNTIF($E106:W106,1)),
HYPERLINK("#Roadmap!C"&amp; MATCH($E106,Roadmap!$D:$D,0)+COUNTIF($E106:W106,"u")+COUNTIF($E106:W106,"t"),
     INDEX(Roadmap!$D:$K,MATCH($E106,Roadmap!$D:$D,0)+COUNTIF($E106:W106,"u")+COUNTIF($E106:W106,"t")+COUNTIF($E106:W106,"¶")+COUNTIF($E106:W106,"²")+COUNTIF($E106:W106,"µ")+COUNTIF($E106:W106,1),ColTypeEcheance)),
  IF(LEN(W106)=1,
  IF(LEN(INDEX(Roadmap!$D:$K,MATCH($E106,Roadmap!$D:$D,0)-1+COUNTIF($E106:W106,"u")+COUNTIF($E106:W106,"t")+COUNTIF($E106:W106,"¶")+COUNTIF($E106:W106,"²")+COUNTIF($E106:W106,"µ")+COUNTIF($E106:W106,1),ColDescriptionCourte))&gt;1,
HYPERLINK("#Roadmap!C"&amp; MATCH($E106,Roadmap!$D:$D,0)+COUNTIF($E106:W106,"u")+COUNTIF($E106:W106,"t")+COUNTIF($E106:W106,"¶")+COUNTIF($E106:W106,"²")+COUNTIF($E106:W106,"µ")+COUNTIF($E106:W106,1)-1,INDEX(Roadmap!$D:$K,MATCH($E106,Roadmap!$D:$D,0)-1+COUNTIF($E106:W106,"u")+COUNTIF($E106:W106,"t")+COUNTIF($E106:W106,"¶")+COUNTIF($E106:W106,"²")+COUNTIF($E106:W106,"µ")+COUNTIF($E106:W106,1),ColDescriptionCourte)),""),
  "")),"")</f>
        <v/>
      </c>
      <c r="Y106" s="40" t="str">
        <f ca="1">IFERROR(IF(AND(
  INDEX(Roadmap!$D:$K,MATCH($E106,Roadmap!$D:$D,0)+COUNTIF($E106:X106,"u")+COUNTIF($E106:X106,"t")+COUNTIF($E106:X106,"¶")+COUNTIF($E106:X106,"²")+COUNTIF($E106:X106,"µ")+COUNTIF($E106:X106,1),ColLivraison)=Y$6,
  VLOOKUP($E106,INDIRECT("tri!"&amp; CHAR(64+ C0Col) &amp;":"&amp; CHAR(65+C0Col)),2,FALSE)&gt;COUNTIF($E106:X106,"u")+COUNTIF($E106:X106,"t")+COUNTIF($E106:X106,"¶")+COUNTIF($E106:X106,"²")+COUNTIF($E106:X106,"µ")+COUNTIF($E106:X106,1)),
HYPERLINK("#Roadmap!C"&amp; MATCH($E106,Roadmap!$D:$D,0)+COUNTIF($E106:X106,"u")+COUNTIF($E106:X106,"t"),
     INDEX(Roadmap!$D:$K,MATCH($E106,Roadmap!$D:$D,0)+COUNTIF($E106:X106,"u")+COUNTIF($E106:X106,"t")+COUNTIF($E106:X106,"¶")+COUNTIF($E106:X106,"²")+COUNTIF($E106:X106,"µ")+COUNTIF($E106:X106,1),ColTypeEcheance)),
  IF(LEN(X106)=1,
  IF(LEN(INDEX(Roadmap!$D:$K,MATCH($E106,Roadmap!$D:$D,0)-1+COUNTIF($E106:X106,"u")+COUNTIF($E106:X106,"t")+COUNTIF($E106:X106,"¶")+COUNTIF($E106:X106,"²")+COUNTIF($E106:X106,"µ")+COUNTIF($E106:X106,1),ColDescriptionCourte))&gt;1,
HYPERLINK("#Roadmap!C"&amp; MATCH($E106,Roadmap!$D:$D,0)+COUNTIF($E106:X106,"u")+COUNTIF($E106:X106,"t")+COUNTIF($E106:X106,"¶")+COUNTIF($E106:X106,"²")+COUNTIF($E106:X106,"µ")+COUNTIF($E106:X106,1)-1,INDEX(Roadmap!$D:$K,MATCH($E106,Roadmap!$D:$D,0)-1+COUNTIF($E106:X106,"u")+COUNTIF($E106:X106,"t")+COUNTIF($E106:X106,"¶")+COUNTIF($E106:X106,"²")+COUNTIF($E106:X106,"µ")+COUNTIF($E106:X106,1),ColDescriptionCourte)),""),
  "")),"")</f>
        <v/>
      </c>
      <c r="Z106" s="40" t="str">
        <f ca="1">IFERROR(IF(AND(
  INDEX(Roadmap!$D:$K,MATCH($E106,Roadmap!$D:$D,0)+COUNTIF($E106:Y106,"u")+COUNTIF($E106:Y106,"t")+COUNTIF($E106:Y106,"¶")+COUNTIF($E106:Y106,"²")+COUNTIF($E106:Y106,"µ")+COUNTIF($E106:Y106,1),ColLivraison)=Z$6,
  VLOOKUP($E106,INDIRECT("tri!"&amp; CHAR(64+ C0Col) &amp;":"&amp; CHAR(65+C0Col)),2,FALSE)&gt;COUNTIF($E106:Y106,"u")+COUNTIF($E106:Y106,"t")+COUNTIF($E106:Y106,"¶")+COUNTIF($E106:Y106,"²")+COUNTIF($E106:Y106,"µ")+COUNTIF($E106:Y106,1)),
HYPERLINK("#Roadmap!C"&amp; MATCH($E106,Roadmap!$D:$D,0)+COUNTIF($E106:Y106,"u")+COUNTIF($E106:Y106,"t"),
     INDEX(Roadmap!$D:$K,MATCH($E106,Roadmap!$D:$D,0)+COUNTIF($E106:Y106,"u")+COUNTIF($E106:Y106,"t")+COUNTIF($E106:Y106,"¶")+COUNTIF($E106:Y106,"²")+COUNTIF($E106:Y106,"µ")+COUNTIF($E106:Y106,1),ColTypeEcheance)),
  IF(LEN(Y106)=1,
  IF(LEN(INDEX(Roadmap!$D:$K,MATCH($E106,Roadmap!$D:$D,0)-1+COUNTIF($E106:Y106,"u")+COUNTIF($E106:Y106,"t")+COUNTIF($E106:Y106,"¶")+COUNTIF($E106:Y106,"²")+COUNTIF($E106:Y106,"µ")+COUNTIF($E106:Y106,1),ColDescriptionCourte))&gt;1,
HYPERLINK("#Roadmap!C"&amp; MATCH($E106,Roadmap!$D:$D,0)+COUNTIF($E106:Y106,"u")+COUNTIF($E106:Y106,"t")+COUNTIF($E106:Y106,"¶")+COUNTIF($E106:Y106,"²")+COUNTIF($E106:Y106,"µ")+COUNTIF($E106:Y106,1)-1,INDEX(Roadmap!$D:$K,MATCH($E106,Roadmap!$D:$D,0)-1+COUNTIF($E106:Y106,"u")+COUNTIF($E106:Y106,"t")+COUNTIF($E106:Y106,"¶")+COUNTIF($E106:Y106,"²")+COUNTIF($E106:Y106,"µ")+COUNTIF($E106:Y106,1),ColDescriptionCourte)),""),
  "")),"")</f>
        <v/>
      </c>
      <c r="AA106" s="40" t="str">
        <f ca="1">IFERROR(IF(AND(
  INDEX(Roadmap!$D:$K,MATCH($E106,Roadmap!$D:$D,0)+COUNTIF($E106:Z106,"u")+COUNTIF($E106:Z106,"t")+COUNTIF($E106:Z106,"¶")+COUNTIF($E106:Z106,"²")+COUNTIF($E106:Z106,"µ")+COUNTIF($E106:Z106,1),ColLivraison)=AA$6,
  VLOOKUP($E106,INDIRECT("tri!"&amp; CHAR(64+ C0Col) &amp;":"&amp; CHAR(65+C0Col)),2,FALSE)&gt;COUNTIF($E106:Z106,"u")+COUNTIF($E106:Z106,"t")+COUNTIF($E106:Z106,"¶")+COUNTIF($E106:Z106,"²")+COUNTIF($E106:Z106,"µ")+COUNTIF($E106:Z106,1)),
HYPERLINK("#Roadmap!C"&amp; MATCH($E106,Roadmap!$D:$D,0)+COUNTIF($E106:Z106,"u")+COUNTIF($E106:Z106,"t"),
     INDEX(Roadmap!$D:$K,MATCH($E106,Roadmap!$D:$D,0)+COUNTIF($E106:Z106,"u")+COUNTIF($E106:Z106,"t")+COUNTIF($E106:Z106,"¶")+COUNTIF($E106:Z106,"²")+COUNTIF($E106:Z106,"µ")+COUNTIF($E106:Z106,1),ColTypeEcheance)),
  IF(LEN(Z106)=1,
  IF(LEN(INDEX(Roadmap!$D:$K,MATCH($E106,Roadmap!$D:$D,0)-1+COUNTIF($E106:Z106,"u")+COUNTIF($E106:Z106,"t")+COUNTIF($E106:Z106,"¶")+COUNTIF($E106:Z106,"²")+COUNTIF($E106:Z106,"µ")+COUNTIF($E106:Z106,1),ColDescriptionCourte))&gt;1,
HYPERLINK("#Roadmap!C"&amp; MATCH($E106,Roadmap!$D:$D,0)+COUNTIF($E106:Z106,"u")+COUNTIF($E106:Z106,"t")+COUNTIF($E106:Z106,"¶")+COUNTIF($E106:Z106,"²")+COUNTIF($E106:Z106,"µ")+COUNTIF($E106:Z106,1)-1,INDEX(Roadmap!$D:$K,MATCH($E106,Roadmap!$D:$D,0)-1+COUNTIF($E106:Z106,"u")+COUNTIF($E106:Z106,"t")+COUNTIF($E106:Z106,"¶")+COUNTIF($E106:Z106,"²")+COUNTIF($E106:Z106,"µ")+COUNTIF($E106:Z106,1),ColDescriptionCourte)),""),
  "")),"")</f>
        <v/>
      </c>
      <c r="AB106" s="40" t="str">
        <f ca="1">IFERROR(IF(AND(
  INDEX(Roadmap!$D:$K,MATCH($E106,Roadmap!$D:$D,0)+COUNTIF($E106:AA106,"u")+COUNTIF($E106:AA106,"t")+COUNTIF($E106:AA106,"¶")+COUNTIF($E106:AA106,"²")+COUNTIF($E106:AA106,"µ")+COUNTIF($E106:AA106,1),ColLivraison)=AB$6,
  VLOOKUP($E106,INDIRECT("tri!"&amp; CHAR(64+ C0Col) &amp;":"&amp; CHAR(65+C0Col)),2,FALSE)&gt;COUNTIF($E106:AA106,"u")+COUNTIF($E106:AA106,"t")+COUNTIF($E106:AA106,"¶")+COUNTIF($E106:AA106,"²")+COUNTIF($E106:AA106,"µ")+COUNTIF($E106:AA106,1)),
HYPERLINK("#Roadmap!C"&amp; MATCH($E106,Roadmap!$D:$D,0)+COUNTIF($E106:AA106,"u")+COUNTIF($E106:AA106,"t"),
     INDEX(Roadmap!$D:$K,MATCH($E106,Roadmap!$D:$D,0)+COUNTIF($E106:AA106,"u")+COUNTIF($E106:AA106,"t")+COUNTIF($E106:AA106,"¶")+COUNTIF($E106:AA106,"²")+COUNTIF($E106:AA106,"µ")+COUNTIF($E106:AA106,1),ColTypeEcheance)),
  IF(LEN(AA106)=1,
  IF(LEN(INDEX(Roadmap!$D:$K,MATCH($E106,Roadmap!$D:$D,0)-1+COUNTIF($E106:AA106,"u")+COUNTIF($E106:AA106,"t")+COUNTIF($E106:AA106,"¶")+COUNTIF($E106:AA106,"²")+COUNTIF($E106:AA106,"µ")+COUNTIF($E106:AA106,1),ColDescriptionCourte))&gt;1,
HYPERLINK("#Roadmap!C"&amp; MATCH($E106,Roadmap!$D:$D,0)+COUNTIF($E106:AA106,"u")+COUNTIF($E106:AA106,"t")+COUNTIF($E106:AA106,"¶")+COUNTIF($E106:AA106,"²")+COUNTIF($E106:AA106,"µ")+COUNTIF($E106:AA106,1)-1,INDEX(Roadmap!$D:$K,MATCH($E106,Roadmap!$D:$D,0)-1+COUNTIF($E106:AA106,"u")+COUNTIF($E106:AA106,"t")+COUNTIF($E106:AA106,"¶")+COUNTIF($E106:AA106,"²")+COUNTIF($E106:AA106,"µ")+COUNTIF($E106:AA106,1),ColDescriptionCourte)),""),
  "")),"")</f>
        <v/>
      </c>
      <c r="AC106" s="40" t="str">
        <f ca="1">IFERROR(IF(AND(
  INDEX(Roadmap!$D:$K,MATCH($E106,Roadmap!$D:$D,0)+COUNTIF($E106:AB106,"u")+COUNTIF($E106:AB106,"t")+COUNTIF($E106:AB106,"¶")+COUNTIF($E106:AB106,"²")+COUNTIF($E106:AB106,"µ")+COUNTIF($E106:AB106,1),ColLivraison)=AC$6,
  VLOOKUP($E106,INDIRECT("tri!"&amp; CHAR(64+ C0Col) &amp;":"&amp; CHAR(65+C0Col)),2,FALSE)&gt;COUNTIF($E106:AB106,"u")+COUNTIF($E106:AB106,"t")+COUNTIF($E106:AB106,"¶")+COUNTIF($E106:AB106,"²")+COUNTIF($E106:AB106,"µ")+COUNTIF($E106:AB106,1)),
HYPERLINK("#Roadmap!C"&amp; MATCH($E106,Roadmap!$D:$D,0)+COUNTIF($E106:AB106,"u")+COUNTIF($E106:AB106,"t"),
     INDEX(Roadmap!$D:$K,MATCH($E106,Roadmap!$D:$D,0)+COUNTIF($E106:AB106,"u")+COUNTIF($E106:AB106,"t")+COUNTIF($E106:AB106,"¶")+COUNTIF($E106:AB106,"²")+COUNTIF($E106:AB106,"µ")+COUNTIF($E106:AB106,1),ColTypeEcheance)),
  IF(LEN(AB106)=1,
  IF(LEN(INDEX(Roadmap!$D:$K,MATCH($E106,Roadmap!$D:$D,0)-1+COUNTIF($E106:AB106,"u")+COUNTIF($E106:AB106,"t")+COUNTIF($E106:AB106,"¶")+COUNTIF($E106:AB106,"²")+COUNTIF($E106:AB106,"µ")+COUNTIF($E106:AB106,1),ColDescriptionCourte))&gt;1,
HYPERLINK("#Roadmap!C"&amp; MATCH($E106,Roadmap!$D:$D,0)+COUNTIF($E106:AB106,"u")+COUNTIF($E106:AB106,"t")+COUNTIF($E106:AB106,"¶")+COUNTIF($E106:AB106,"²")+COUNTIF($E106:AB106,"µ")+COUNTIF($E106:AB106,1)-1,INDEX(Roadmap!$D:$K,MATCH($E106,Roadmap!$D:$D,0)-1+COUNTIF($E106:AB106,"u")+COUNTIF($E106:AB106,"t")+COUNTIF($E106:AB106,"¶")+COUNTIF($E106:AB106,"²")+COUNTIF($E106:AB106,"µ")+COUNTIF($E106:AB106,1),ColDescriptionCourte)),""),
  "")),"")</f>
        <v/>
      </c>
      <c r="AD106" s="40" t="str">
        <f ca="1">IFERROR(IF(AND(
  INDEX(Roadmap!$D:$K,MATCH($E106,Roadmap!$D:$D,0)+COUNTIF($E106:AC106,"u")+COUNTIF($E106:AC106,"t")+COUNTIF($E106:AC106,"¶")+COUNTIF($E106:AC106,"²")+COUNTIF($E106:AC106,"µ")+COUNTIF($E106:AC106,1),ColLivraison)=AD$6,
  VLOOKUP($E106,INDIRECT("tri!"&amp; CHAR(64+ C0Col) &amp;":"&amp; CHAR(65+C0Col)),2,FALSE)&gt;COUNTIF($E106:AC106,"u")+COUNTIF($E106:AC106,"t")+COUNTIF($E106:AC106,"¶")+COUNTIF($E106:AC106,"²")+COUNTIF($E106:AC106,"µ")+COUNTIF($E106:AC106,1)),
HYPERLINK("#Roadmap!C"&amp; MATCH($E106,Roadmap!$D:$D,0)+COUNTIF($E106:AC106,"u")+COUNTIF($E106:AC106,"t"),
     INDEX(Roadmap!$D:$K,MATCH($E106,Roadmap!$D:$D,0)+COUNTIF($E106:AC106,"u")+COUNTIF($E106:AC106,"t")+COUNTIF($E106:AC106,"¶")+COUNTIF($E106:AC106,"²")+COUNTIF($E106:AC106,"µ")+COUNTIF($E106:AC106,1),ColTypeEcheance)),
  IF(LEN(AC106)=1,
  IF(LEN(INDEX(Roadmap!$D:$K,MATCH($E106,Roadmap!$D:$D,0)-1+COUNTIF($E106:AC106,"u")+COUNTIF($E106:AC106,"t")+COUNTIF($E106:AC106,"¶")+COUNTIF($E106:AC106,"²")+COUNTIF($E106:AC106,"µ")+COUNTIF($E106:AC106,1),ColDescriptionCourte))&gt;1,
HYPERLINK("#Roadmap!C"&amp; MATCH($E106,Roadmap!$D:$D,0)+COUNTIF($E106:AC106,"u")+COUNTIF($E106:AC106,"t")+COUNTIF($E106:AC106,"¶")+COUNTIF($E106:AC106,"²")+COUNTIF($E106:AC106,"µ")+COUNTIF($E106:AC106,1)-1,INDEX(Roadmap!$D:$K,MATCH($E106,Roadmap!$D:$D,0)-1+COUNTIF($E106:AC106,"u")+COUNTIF($E106:AC106,"t")+COUNTIF($E106:AC106,"¶")+COUNTIF($E106:AC106,"²")+COUNTIF($E106:AC106,"µ")+COUNTIF($E106:AC106,1),ColDescriptionCourte)),""),
  "")),"")</f>
        <v/>
      </c>
      <c r="AE106" s="40" t="str">
        <f ca="1">IFERROR(IF(AND(
  INDEX(Roadmap!$D:$K,MATCH($E106,Roadmap!$D:$D,0)+COUNTIF($E106:AD106,"u")+COUNTIF($E106:AD106,"t")+COUNTIF($E106:AD106,"¶")+COUNTIF($E106:AD106,"²")+COUNTIF($E106:AD106,"µ")+COUNTIF($E106:AD106,1),ColLivraison)=AE$6,
  VLOOKUP($E106,INDIRECT("tri!"&amp; CHAR(64+ C0Col) &amp;":"&amp; CHAR(65+C0Col)),2,FALSE)&gt;COUNTIF($E106:AD106,"u")+COUNTIF($E106:AD106,"t")+COUNTIF($E106:AD106,"¶")+COUNTIF($E106:AD106,"²")+COUNTIF($E106:AD106,"µ")+COUNTIF($E106:AD106,1)),
HYPERLINK("#Roadmap!C"&amp; MATCH($E106,Roadmap!$D:$D,0)+COUNTIF($E106:AD106,"u")+COUNTIF($E106:AD106,"t"),
     INDEX(Roadmap!$D:$K,MATCH($E106,Roadmap!$D:$D,0)+COUNTIF($E106:AD106,"u")+COUNTIF($E106:AD106,"t")+COUNTIF($E106:AD106,"¶")+COUNTIF($E106:AD106,"²")+COUNTIF($E106:AD106,"µ")+COUNTIF($E106:AD106,1),ColTypeEcheance)),
  IF(LEN(AD106)=1,
  IF(LEN(INDEX(Roadmap!$D:$K,MATCH($E106,Roadmap!$D:$D,0)-1+COUNTIF($E106:AD106,"u")+COUNTIF($E106:AD106,"t")+COUNTIF($E106:AD106,"¶")+COUNTIF($E106:AD106,"²")+COUNTIF($E106:AD106,"µ")+COUNTIF($E106:AD106,1),ColDescriptionCourte))&gt;1,
HYPERLINK("#Roadmap!C"&amp; MATCH($E106,Roadmap!$D:$D,0)+COUNTIF($E106:AD106,"u")+COUNTIF($E106:AD106,"t")+COUNTIF($E106:AD106,"¶")+COUNTIF($E106:AD106,"²")+COUNTIF($E106:AD106,"µ")+COUNTIF($E106:AD106,1)-1,INDEX(Roadmap!$D:$K,MATCH($E106,Roadmap!$D:$D,0)-1+COUNTIF($E106:AD106,"u")+COUNTIF($E106:AD106,"t")+COUNTIF($E106:AD106,"¶")+COUNTIF($E106:AD106,"²")+COUNTIF($E106:AD106,"µ")+COUNTIF($E106:AD106,1),ColDescriptionCourte)),""),
  "")),"")</f>
        <v/>
      </c>
      <c r="AF106" s="40" t="str">
        <f ca="1">IFERROR(IF(AND(
  INDEX(Roadmap!$D:$K,MATCH($E106,Roadmap!$D:$D,0)+COUNTIF($E106:AE106,"u")+COUNTIF($E106:AE106,"t")+COUNTIF($E106:AE106,"¶")+COUNTIF($E106:AE106,"²")+COUNTIF($E106:AE106,"µ")+COUNTIF($E106:AE106,1),ColLivraison)=AF$6,
  VLOOKUP($E106,INDIRECT("tri!"&amp; CHAR(64+ C0Col) &amp;":"&amp; CHAR(65+C0Col)),2,FALSE)&gt;COUNTIF($E106:AE106,"u")+COUNTIF($E106:AE106,"t")+COUNTIF($E106:AE106,"¶")+COUNTIF($E106:AE106,"²")+COUNTIF($E106:AE106,"µ")+COUNTIF($E106:AE106,1)),
HYPERLINK("#Roadmap!C"&amp; MATCH($E106,Roadmap!$D:$D,0)+COUNTIF($E106:AE106,"u")+COUNTIF($E106:AE106,"t"),
     INDEX(Roadmap!$D:$K,MATCH($E106,Roadmap!$D:$D,0)+COUNTIF($E106:AE106,"u")+COUNTIF($E106:AE106,"t")+COUNTIF($E106:AE106,"¶")+COUNTIF($E106:AE106,"²")+COUNTIF($E106:AE106,"µ")+COUNTIF($E106:AE106,1),ColTypeEcheance)),
  IF(LEN(AE106)=1,
  IF(LEN(INDEX(Roadmap!$D:$K,MATCH($E106,Roadmap!$D:$D,0)-1+COUNTIF($E106:AE106,"u")+COUNTIF($E106:AE106,"t")+COUNTIF($E106:AE106,"¶")+COUNTIF($E106:AE106,"²")+COUNTIF($E106:AE106,"µ")+COUNTIF($E106:AE106,1),ColDescriptionCourte))&gt;1,
HYPERLINK("#Roadmap!C"&amp; MATCH($E106,Roadmap!$D:$D,0)+COUNTIF($E106:AE106,"u")+COUNTIF($E106:AE106,"t")+COUNTIF($E106:AE106,"¶")+COUNTIF($E106:AE106,"²")+COUNTIF($E106:AE106,"µ")+COUNTIF($E106:AE106,1)-1,INDEX(Roadmap!$D:$K,MATCH($E106,Roadmap!$D:$D,0)-1+COUNTIF($E106:AE106,"u")+COUNTIF($E106:AE106,"t")+COUNTIF($E106:AE106,"¶")+COUNTIF($E106:AE106,"²")+COUNTIF($E106:AE106,"µ")+COUNTIF($E106:AE106,1),ColDescriptionCourte)),""),
  "")),"")</f>
        <v/>
      </c>
      <c r="AG106" s="40" t="str">
        <f ca="1">IFERROR(IF(AND(
  INDEX(Roadmap!$D:$K,MATCH($E106,Roadmap!$D:$D,0)+COUNTIF($E106:AF106,"u")+COUNTIF($E106:AF106,"t")+COUNTIF($E106:AF106,"¶")+COUNTIF($E106:AF106,"²")+COUNTIF($E106:AF106,"µ")+COUNTIF($E106:AF106,1),ColLivraison)=AG$6,
  VLOOKUP($E106,INDIRECT("tri!"&amp; CHAR(64+ C0Col) &amp;":"&amp; CHAR(65+C0Col)),2,FALSE)&gt;COUNTIF($E106:AF106,"u")+COUNTIF($E106:AF106,"t")+COUNTIF($E106:AF106,"¶")+COUNTIF($E106:AF106,"²")+COUNTIF($E106:AF106,"µ")+COUNTIF($E106:AF106,1)),
HYPERLINK("#Roadmap!C"&amp; MATCH($E106,Roadmap!$D:$D,0)+COUNTIF($E106:AF106,"u")+COUNTIF($E106:AF106,"t"),
     INDEX(Roadmap!$D:$K,MATCH($E106,Roadmap!$D:$D,0)+COUNTIF($E106:AF106,"u")+COUNTIF($E106:AF106,"t")+COUNTIF($E106:AF106,"¶")+COUNTIF($E106:AF106,"²")+COUNTIF($E106:AF106,"µ")+COUNTIF($E106:AF106,1),ColTypeEcheance)),
  IF(LEN(AF106)=1,
  IF(LEN(INDEX(Roadmap!$D:$K,MATCH($E106,Roadmap!$D:$D,0)-1+COUNTIF($E106:AF106,"u")+COUNTIF($E106:AF106,"t")+COUNTIF($E106:AF106,"¶")+COUNTIF($E106:AF106,"²")+COUNTIF($E106:AF106,"µ")+COUNTIF($E106:AF106,1),ColDescriptionCourte))&gt;1,
HYPERLINK("#Roadmap!C"&amp; MATCH($E106,Roadmap!$D:$D,0)+COUNTIF($E106:AF106,"u")+COUNTIF($E106:AF106,"t")+COUNTIF($E106:AF106,"¶")+COUNTIF($E106:AF106,"²")+COUNTIF($E106:AF106,"µ")+COUNTIF($E106:AF106,1)-1,INDEX(Roadmap!$D:$K,MATCH($E106,Roadmap!$D:$D,0)-1+COUNTIF($E106:AF106,"u")+COUNTIF($E106:AF106,"t")+COUNTIF($E106:AF106,"¶")+COUNTIF($E106:AF106,"²")+COUNTIF($E106:AF106,"µ")+COUNTIF($E106:AF106,1),ColDescriptionCourte)),""),
  "")),"")</f>
        <v/>
      </c>
      <c r="AH106" s="40" t="str">
        <f ca="1">IFERROR(IF(AND(
  INDEX(Roadmap!$D:$K,MATCH($E106,Roadmap!$D:$D,0)+COUNTIF($E106:AG106,"u")+COUNTIF($E106:AG106,"t")+COUNTIF($E106:AG106,1),ColLivraison)=AH$6,
  VLOOKUP($E106,INDIRECT("tri!"&amp; CHAR(64+ C0Col) &amp;":"&amp; CHAR(65+C0Col)),2,FALSE)&gt;COUNTIF($E106:AG106,"u")+COUNTIF($E106:AG106,"t")+COUNTIF($E106:AG106,1)),
HYPERLINK("#Roadmap!C"&amp; MATCH($E106,Roadmap!$D:$D,0)+COUNTIF($E106:AG106,"u")+COUNTIF($E106:AG106,"t"),
     INDEX(Roadmap!$D:$K,MATCH($E106,Roadmap!$D:$D,0)+COUNTIF($E106:AG106,"u")+COUNTIF($E106:AG106,"t")+COUNTIF($E106:AG106,1),ColTypeEcheance)),
  IF(OR(AG106="u",AG106="t",AG106=1),
  IF(LEN(INDEX(Roadmap!$D:$K,MATCH($E106,Roadmap!$D:$D,0)-1+COUNTIF($E106:AG106,"u")+COUNTIF($E106:AG106,"t")+COUNTIF($E106:AG106,1),ColDescriptionCourte))&gt;1,
HYPERLINK("#Roadmap!C"&amp; MATCH($E106,Roadmap!$D:$D,0)+COUNTIF($E106:AG106,"u")+COUNTIF($E106:AG106,"t")+COUNTIF($E106:AG106,1)-1,INDEX(Roadmap!$D:$K,MATCH($E106,Roadmap!$D:$D,0)-1+COUNTIF($E106:AG106,"u")+COUNTIF($E106:AG106,"t")+COUNTIF($E106:AG106,1),ColDescriptionCourte)),""),
  "")),"")</f>
        <v/>
      </c>
      <c r="AI106" s="40"/>
      <c r="AJ106" s="40"/>
      <c r="AK106" s="40"/>
      <c r="AL106" s="40"/>
      <c r="AM106" s="40"/>
    </row>
    <row r="107" spans="4:39" ht="14.1" customHeight="1">
      <c r="D107" s="20" t="str">
        <f t="shared" ca="1" si="29"/>
        <v/>
      </c>
      <c r="E107" s="53" t="str">
        <f t="shared" ca="1" si="30"/>
        <v/>
      </c>
      <c r="F107" s="39" t="str">
        <f ca="1">IFERROR(IF(AND(
  INDEX(Roadmap!$D:$K,MATCH($E107,Roadmap!$D:$D,0)+COUNTIF($E107:E107,"u")+COUNTIF($E107:E107,"t")+COUNTIF($E107:E107,"¶")+COUNTIF($E107:E107,"²")+COUNTIF($E107:E107,"µ")+COUNTIF($E107:E107,1),ColLivraison)=F$6,
  VLOOKUP($E107,INDIRECT("tri!"&amp; CHAR(64+ C0Col) &amp;":"&amp; CHAR(65+C0Col)),2,FALSE)&gt;COUNTIF($E107:E107,"u")+COUNTIF($E107:E107,"t")+COUNTIF($E107:E107,"¶")+COUNTIF($E107:E107,"²")+COUNTIF($E107:E107,"µ")+COUNTIF($E107:E107,1)),
HYPERLINK("#Roadmap!C"&amp; MATCH($E107,Roadmap!$D:$D,0)+COUNTIF($E107:E107,"u")+COUNTIF($E107:E107,"t"),
     INDEX(Roadmap!$D:$K,MATCH($E107,Roadmap!$D:$D,0)+COUNTIF($E107:E107,"u")+COUNTIF($E107:E107,"t")+COUNTIF($E107:E107,"¶")+COUNTIF($E107:E107,"²")+COUNTIF($E107:E107,"µ")+COUNTIF($E107:E107,1),ColTypeEcheance)),
  IF(LEN(E107)=1,
  IF(LEN(INDEX(Roadmap!$D:$K,MATCH($E107,Roadmap!$D:$D,0)-1+COUNTIF($E107:E107,"u")+COUNTIF($E107:E107,"t")+COUNTIF($E107:E107,"¶")+COUNTIF($E107:E107,"²")+COUNTIF($E107:E107,"µ")+COUNTIF($E107:E107,1),ColDescriptionCourte))&gt;1,
HYPERLINK("#Roadmap!C"&amp; MATCH($E107,Roadmap!$D:$D,0)+COUNTIF($E107:E107,"u")+COUNTIF($E107:E107,"t")+COUNTIF($E107:E107,"¶")+COUNTIF($E107:E107,"²")+COUNTIF($E107:E107,"µ")+COUNTIF($E107:E107,1)-1,INDEX(Roadmap!$D:$K,MATCH($E107,Roadmap!$D:$D,0)-1+COUNTIF($E107:E107,"u")+COUNTIF($E107:E107,"t")+COUNTIF($E107:E107,"¶")+COUNTIF($E107:E107,"²")+COUNTIF($E107:E107,"µ")+COUNTIF($E107:E107,1),ColDescriptionCourte)),""),
  "")),"")</f>
        <v/>
      </c>
      <c r="G107" s="40" t="str">
        <f ca="1">IFERROR(IF(AND(
  INDEX(Roadmap!$D:$K,MATCH($E107,Roadmap!$D:$D,0)+COUNTIF($E107:F107,"u")+COUNTIF($E107:F107,"t")+COUNTIF($E107:F107,"¶")+COUNTIF($E107:F107,"²")+COUNTIF($E107:F107,"µ")+COUNTIF($E107:F107,1),ColLivraison)=G$6,
  VLOOKUP($E107,INDIRECT("tri!"&amp; CHAR(64+ C0Col) &amp;":"&amp; CHAR(65+C0Col)),2,FALSE)&gt;COUNTIF($E107:F107,"u")+COUNTIF($E107:F107,"t")+COUNTIF($E107:F107,"¶")+COUNTIF($E107:F107,"²")+COUNTIF($E107:F107,"µ")+COUNTIF($E107:F107,1)),
HYPERLINK("#Roadmap!C"&amp; MATCH($E107,Roadmap!$D:$D,0)+COUNTIF($E107:F107,"u")+COUNTIF($E107:F107,"t"),
     INDEX(Roadmap!$D:$K,MATCH($E107,Roadmap!$D:$D,0)+COUNTIF($E107:F107,"u")+COUNTIF($E107:F107,"t")+COUNTIF($E107:F107,"¶")+COUNTIF($E107:F107,"²")+COUNTIF($E107:F107,"µ")+COUNTIF($E107:F107,1),ColTypeEcheance)),
  IF(LEN(F107)=1,
  IF(LEN(INDEX(Roadmap!$D:$K,MATCH($E107,Roadmap!$D:$D,0)-1+COUNTIF($E107:F107,"u")+COUNTIF($E107:F107,"t")+COUNTIF($E107:F107,"¶")+COUNTIF($E107:F107,"²")+COUNTIF($E107:F107,"µ")+COUNTIF($E107:F107,1),ColDescriptionCourte))&gt;1,
HYPERLINK("#Roadmap!C"&amp; MATCH($E107,Roadmap!$D:$D,0)+COUNTIF($E107:F107,"u")+COUNTIF($E107:F107,"t")+COUNTIF($E107:F107,"¶")+COUNTIF($E107:F107,"²")+COUNTIF($E107:F107,"µ")+COUNTIF($E107:F107,1)-1,INDEX(Roadmap!$D:$K,MATCH($E107,Roadmap!$D:$D,0)-1+COUNTIF($E107:F107,"u")+COUNTIF($E107:F107,"t")+COUNTIF($E107:F107,"¶")+COUNTIF($E107:F107,"²")+COUNTIF($E107:F107,"µ")+COUNTIF($E107:F107,1),ColDescriptionCourte)),""),
  "")),"")</f>
        <v/>
      </c>
      <c r="H107" s="40" t="str">
        <f ca="1">IFERROR(IF(AND(
  INDEX(Roadmap!$D:$K,MATCH($E107,Roadmap!$D:$D,0)+COUNTIF($E107:G107,"u")+COUNTIF($E107:G107,"t")+COUNTIF($E107:G107,"¶")+COUNTIF($E107:G107,"²")+COUNTIF($E107:G107,"µ")+COUNTIF($E107:G107,1),ColLivraison)=H$6,
  VLOOKUP($E107,INDIRECT("tri!"&amp; CHAR(64+ C0Col) &amp;":"&amp; CHAR(65+C0Col)),2,FALSE)&gt;COUNTIF($E107:G107,"u")+COUNTIF($E107:G107,"t")+COUNTIF($E107:G107,"¶")+COUNTIF($E107:G107,"²")+COUNTIF($E107:G107,"µ")+COUNTIF($E107:G107,1)),
HYPERLINK("#Roadmap!C"&amp; MATCH($E107,Roadmap!$D:$D,0)+COUNTIF($E107:G107,"u")+COUNTIF($E107:G107,"t"),
     INDEX(Roadmap!$D:$K,MATCH($E107,Roadmap!$D:$D,0)+COUNTIF($E107:G107,"u")+COUNTIF($E107:G107,"t")+COUNTIF($E107:G107,"¶")+COUNTIF($E107:G107,"²")+COUNTIF($E107:G107,"µ")+COUNTIF($E107:G107,1),ColTypeEcheance)),
  IF(LEN(G107)=1,
  IF(LEN(INDEX(Roadmap!$D:$K,MATCH($E107,Roadmap!$D:$D,0)-1+COUNTIF($E107:G107,"u")+COUNTIF($E107:G107,"t")+COUNTIF($E107:G107,"¶")+COUNTIF($E107:G107,"²")+COUNTIF($E107:G107,"µ")+COUNTIF($E107:G107,1),ColDescriptionCourte))&gt;1,
HYPERLINK("#Roadmap!C"&amp; MATCH($E107,Roadmap!$D:$D,0)+COUNTIF($E107:G107,"u")+COUNTIF($E107:G107,"t")+COUNTIF($E107:G107,"¶")+COUNTIF($E107:G107,"²")+COUNTIF($E107:G107,"µ")+COUNTIF($E107:G107,1)-1,INDEX(Roadmap!$D:$K,MATCH($E107,Roadmap!$D:$D,0)-1+COUNTIF($E107:G107,"u")+COUNTIF($E107:G107,"t")+COUNTIF($E107:G107,"¶")+COUNTIF($E107:G107,"²")+COUNTIF($E107:G107,"µ")+COUNTIF($E107:G107,1),ColDescriptionCourte)),""),
  "")),"")</f>
        <v/>
      </c>
      <c r="I107" s="40" t="str">
        <f ca="1">IFERROR(IF(AND(
  INDEX(Roadmap!$D:$K,MATCH($E107,Roadmap!$D:$D,0)+COUNTIF($E107:H107,"u")+COUNTIF($E107:H107,"t")+COUNTIF($E107:H107,"¶")+COUNTIF($E107:H107,"²")+COUNTIF($E107:H107,"µ")+COUNTIF($E107:H107,1),ColLivraison)=I$6,
  VLOOKUP($E107,INDIRECT("tri!"&amp; CHAR(64+ C0Col) &amp;":"&amp; CHAR(65+C0Col)),2,FALSE)&gt;COUNTIF($E107:H107,"u")+COUNTIF($E107:H107,"t")+COUNTIF($E107:H107,"¶")+COUNTIF($E107:H107,"²")+COUNTIF($E107:H107,"µ")+COUNTIF($E107:H107,1)),
HYPERLINK("#Roadmap!C"&amp; MATCH($E107,Roadmap!$D:$D,0)+COUNTIF($E107:H107,"u")+COUNTIF($E107:H107,"t"),
     INDEX(Roadmap!$D:$K,MATCH($E107,Roadmap!$D:$D,0)+COUNTIF($E107:H107,"u")+COUNTIF($E107:H107,"t")+COUNTIF($E107:H107,"¶")+COUNTIF($E107:H107,"²")+COUNTIF($E107:H107,"µ")+COUNTIF($E107:H107,1),ColTypeEcheance)),
  IF(LEN(H107)=1,
  IF(LEN(INDEX(Roadmap!$D:$K,MATCH($E107,Roadmap!$D:$D,0)-1+COUNTIF($E107:H107,"u")+COUNTIF($E107:H107,"t")+COUNTIF($E107:H107,"¶")+COUNTIF($E107:H107,"²")+COUNTIF($E107:H107,"µ")+COUNTIF($E107:H107,1),ColDescriptionCourte))&gt;1,
HYPERLINK("#Roadmap!C"&amp; MATCH($E107,Roadmap!$D:$D,0)+COUNTIF($E107:H107,"u")+COUNTIF($E107:H107,"t")+COUNTIF($E107:H107,"¶")+COUNTIF($E107:H107,"²")+COUNTIF($E107:H107,"µ")+COUNTIF($E107:H107,1)-1,INDEX(Roadmap!$D:$K,MATCH($E107,Roadmap!$D:$D,0)-1+COUNTIF($E107:H107,"u")+COUNTIF($E107:H107,"t")+COUNTIF($E107:H107,"¶")+COUNTIF($E107:H107,"²")+COUNTIF($E107:H107,"µ")+COUNTIF($E107:H107,1),ColDescriptionCourte)),""),
  "")),"")</f>
        <v/>
      </c>
      <c r="J107" s="40" t="str">
        <f ca="1">IFERROR(IF(AND(
  INDEX(Roadmap!$D:$K,MATCH($E107,Roadmap!$D:$D,0)+COUNTIF($E107:I107,"u")+COUNTIF($E107:I107,"t")+COUNTIF($E107:I107,"¶")+COUNTIF($E107:I107,"²")+COUNTIF($E107:I107,"µ")+COUNTIF($E107:I107,1),ColLivraison)=J$6,
  VLOOKUP($E107,INDIRECT("tri!"&amp; CHAR(64+ C0Col) &amp;":"&amp; CHAR(65+C0Col)),2,FALSE)&gt;COUNTIF($E107:I107,"u")+COUNTIF($E107:I107,"t")+COUNTIF($E107:I107,"¶")+COUNTIF($E107:I107,"²")+COUNTIF($E107:I107,"µ")+COUNTIF($E107:I107,1)),
HYPERLINK("#Roadmap!C"&amp; MATCH($E107,Roadmap!$D:$D,0)+COUNTIF($E107:I107,"u")+COUNTIF($E107:I107,"t"),
     INDEX(Roadmap!$D:$K,MATCH($E107,Roadmap!$D:$D,0)+COUNTIF($E107:I107,"u")+COUNTIF($E107:I107,"t")+COUNTIF($E107:I107,"¶")+COUNTIF($E107:I107,"²")+COUNTIF($E107:I107,"µ")+COUNTIF($E107:I107,1),ColTypeEcheance)),
  IF(LEN(I107)=1,
  IF(LEN(INDEX(Roadmap!$D:$K,MATCH($E107,Roadmap!$D:$D,0)-1+COUNTIF($E107:I107,"u")+COUNTIF($E107:I107,"t")+COUNTIF($E107:I107,"¶")+COUNTIF($E107:I107,"²")+COUNTIF($E107:I107,"µ")+COUNTIF($E107:I107,1),ColDescriptionCourte))&gt;1,
HYPERLINK("#Roadmap!C"&amp; MATCH($E107,Roadmap!$D:$D,0)+COUNTIF($E107:I107,"u")+COUNTIF($E107:I107,"t")+COUNTIF($E107:I107,"¶")+COUNTIF($E107:I107,"²")+COUNTIF($E107:I107,"µ")+COUNTIF($E107:I107,1)-1,INDEX(Roadmap!$D:$K,MATCH($E107,Roadmap!$D:$D,0)-1+COUNTIF($E107:I107,"u")+COUNTIF($E107:I107,"t")+COUNTIF($E107:I107,"¶")+COUNTIF($E107:I107,"²")+COUNTIF($E107:I107,"µ")+COUNTIF($E107:I107,1),ColDescriptionCourte)),""),
  "")),"")</f>
        <v/>
      </c>
      <c r="K107" s="40" t="str">
        <f ca="1">IFERROR(IF(AND(
  INDEX(Roadmap!$D:$K,MATCH($E107,Roadmap!$D:$D,0)+COUNTIF($E107:J107,"u")+COUNTIF($E107:J107,"t")+COUNTIF($E107:J107,"¶")+COUNTIF($E107:J107,"²")+COUNTIF($E107:J107,"µ")+COUNTIF($E107:J107,1),ColLivraison)=K$6,
  VLOOKUP($E107,INDIRECT("tri!"&amp; CHAR(64+ C0Col) &amp;":"&amp; CHAR(65+C0Col)),2,FALSE)&gt;COUNTIF($E107:J107,"u")+COUNTIF($E107:J107,"t")+COUNTIF($E107:J107,"¶")+COUNTIF($E107:J107,"²")+COUNTIF($E107:J107,"µ")+COUNTIF($E107:J107,1)),
HYPERLINK("#Roadmap!C"&amp; MATCH($E107,Roadmap!$D:$D,0)+COUNTIF($E107:J107,"u")+COUNTIF($E107:J107,"t"),
     INDEX(Roadmap!$D:$K,MATCH($E107,Roadmap!$D:$D,0)+COUNTIF($E107:J107,"u")+COUNTIF($E107:J107,"t")+COUNTIF($E107:J107,"¶")+COUNTIF($E107:J107,"²")+COUNTIF($E107:J107,"µ")+COUNTIF($E107:J107,1),ColTypeEcheance)),
  IF(LEN(J107)=1,
  IF(LEN(INDEX(Roadmap!$D:$K,MATCH($E107,Roadmap!$D:$D,0)-1+COUNTIF($E107:J107,"u")+COUNTIF($E107:J107,"t")+COUNTIF($E107:J107,"¶")+COUNTIF($E107:J107,"²")+COUNTIF($E107:J107,"µ")+COUNTIF($E107:J107,1),ColDescriptionCourte))&gt;1,
HYPERLINK("#Roadmap!C"&amp; MATCH($E107,Roadmap!$D:$D,0)+COUNTIF($E107:J107,"u")+COUNTIF($E107:J107,"t")+COUNTIF($E107:J107,"¶")+COUNTIF($E107:J107,"²")+COUNTIF($E107:J107,"µ")+COUNTIF($E107:J107,1)-1,INDEX(Roadmap!$D:$K,MATCH($E107,Roadmap!$D:$D,0)-1+COUNTIF($E107:J107,"u")+COUNTIF($E107:J107,"t")+COUNTIF($E107:J107,"¶")+COUNTIF($E107:J107,"²")+COUNTIF($E107:J107,"µ")+COUNTIF($E107:J107,1),ColDescriptionCourte)),""),
  "")),"")</f>
        <v/>
      </c>
      <c r="L107" s="39" t="str">
        <f ca="1">IFERROR(IF(AND(
  INDEX(Roadmap!$D:$K,MATCH($E107,Roadmap!$D:$D,0)+COUNTIF($E107:K107,"u")+COUNTIF($E107:K107,"t")+COUNTIF($E107:K107,"¶")+COUNTIF($E107:K107,"²")+COUNTIF($E107:K107,"µ")+COUNTIF($E107:K107,1),ColLivraison)=L$6,
  VLOOKUP($E107,INDIRECT("tri!"&amp; CHAR(64+ C0Col) &amp;":"&amp; CHAR(65+C0Col)),2,FALSE)&gt;COUNTIF($E107:K107,"u")+COUNTIF($E107:K107,"t")+COUNTIF($E107:K107,"¶")+COUNTIF($E107:K107,"²")+COUNTIF($E107:K107,"µ")+COUNTIF($E107:K107,1)),
HYPERLINK("#Roadmap!C"&amp; MATCH($E107,Roadmap!$D:$D,0)+COUNTIF($E107:K107,"u")+COUNTIF($E107:K107,"t"),
     INDEX(Roadmap!$D:$K,MATCH($E107,Roadmap!$D:$D,0)+COUNTIF($E107:K107,"u")+COUNTIF($E107:K107,"t")+COUNTIF($E107:K107,"¶")+COUNTIF($E107:K107,"²")+COUNTIF($E107:K107,"µ")+COUNTIF($E107:K107,1),ColTypeEcheance)),
  IF(LEN(K107)=1,
  IF(LEN(INDEX(Roadmap!$D:$K,MATCH($E107,Roadmap!$D:$D,0)-1+COUNTIF($E107:K107,"u")+COUNTIF($E107:K107,"t")+COUNTIF($E107:K107,"¶")+COUNTIF($E107:K107,"²")+COUNTIF($E107:K107,"µ")+COUNTIF($E107:K107,1),ColDescriptionCourte))&gt;1,
HYPERLINK("#Roadmap!C"&amp; MATCH($E107,Roadmap!$D:$D,0)+COUNTIF($E107:K107,"u")+COUNTIF($E107:K107,"t")+COUNTIF($E107:K107,"¶")+COUNTIF($E107:K107,"²")+COUNTIF($E107:K107,"µ")+COUNTIF($E107:K107,1)-1,INDEX(Roadmap!$D:$K,MATCH($E107,Roadmap!$D:$D,0)-1+COUNTIF($E107:K107,"u")+COUNTIF($E107:K107,"t")+COUNTIF($E107:K107,"¶")+COUNTIF($E107:K107,"²")+COUNTIF($E107:K107,"µ")+COUNTIF($E107:K107,1),ColDescriptionCourte)),""),
  "")),"")</f>
        <v/>
      </c>
      <c r="M107" s="40" t="str">
        <f ca="1">IFERROR(IF(AND(
  INDEX(Roadmap!$D:$K,MATCH($E107,Roadmap!$D:$D,0)+COUNTIF($E107:L107,"u")+COUNTIF($E107:L107,"t")+COUNTIF($E107:L107,"¶")+COUNTIF($E107:L107,"²")+COUNTIF($E107:L107,"µ")+COUNTIF($E107:L107,1),ColLivraison)=M$6,
  VLOOKUP($E107,INDIRECT("tri!"&amp; CHAR(64+ C0Col) &amp;":"&amp; CHAR(65+C0Col)),2,FALSE)&gt;COUNTIF($E107:L107,"u")+COUNTIF($E107:L107,"t")+COUNTIF($E107:L107,"¶")+COUNTIF($E107:L107,"²")+COUNTIF($E107:L107,"µ")+COUNTIF($E107:L107,1)),
HYPERLINK("#Roadmap!C"&amp; MATCH($E107,Roadmap!$D:$D,0)+COUNTIF($E107:L107,"u")+COUNTIF($E107:L107,"t"),
     INDEX(Roadmap!$D:$K,MATCH($E107,Roadmap!$D:$D,0)+COUNTIF($E107:L107,"u")+COUNTIF($E107:L107,"t")+COUNTIF($E107:L107,"¶")+COUNTIF($E107:L107,"²")+COUNTIF($E107:L107,"µ")+COUNTIF($E107:L107,1),ColTypeEcheance)),
  IF(LEN(L107)=1,
  IF(LEN(INDEX(Roadmap!$D:$K,MATCH($E107,Roadmap!$D:$D,0)-1+COUNTIF($E107:L107,"u")+COUNTIF($E107:L107,"t")+COUNTIF($E107:L107,"¶")+COUNTIF($E107:L107,"²")+COUNTIF($E107:L107,"µ")+COUNTIF($E107:L107,1),ColDescriptionCourte))&gt;1,
HYPERLINK("#Roadmap!C"&amp; MATCH($E107,Roadmap!$D:$D,0)+COUNTIF($E107:L107,"u")+COUNTIF($E107:L107,"t")+COUNTIF($E107:L107,"¶")+COUNTIF($E107:L107,"²")+COUNTIF($E107:L107,"µ")+COUNTIF($E107:L107,1)-1,INDEX(Roadmap!$D:$K,MATCH($E107,Roadmap!$D:$D,0)-1+COUNTIF($E107:L107,"u")+COUNTIF($E107:L107,"t")+COUNTIF($E107:L107,"¶")+COUNTIF($E107:L107,"²")+COUNTIF($E107:L107,"µ")+COUNTIF($E107:L107,1),ColDescriptionCourte)),""),
  "")),"")</f>
        <v/>
      </c>
      <c r="N107" s="40" t="str">
        <f ca="1">IFERROR(IF(AND(
  INDEX(Roadmap!$D:$K,MATCH($E107,Roadmap!$D:$D,0)+COUNTIF($E107:M107,"u")+COUNTIF($E107:M107,"t")+COUNTIF($E107:M107,"¶")+COUNTIF($E107:M107,"²")+COUNTIF($E107:M107,"µ")+COUNTIF($E107:M107,1),ColLivraison)=N$6,
  VLOOKUP($E107,INDIRECT("tri!"&amp; CHAR(64+ C0Col) &amp;":"&amp; CHAR(65+C0Col)),2,FALSE)&gt;COUNTIF($E107:M107,"u")+COUNTIF($E107:M107,"t")+COUNTIF($E107:M107,"¶")+COUNTIF($E107:M107,"²")+COUNTIF($E107:M107,"µ")+COUNTIF($E107:M107,1)),
HYPERLINK("#Roadmap!C"&amp; MATCH($E107,Roadmap!$D:$D,0)+COUNTIF($E107:M107,"u")+COUNTIF($E107:M107,"t"),
     INDEX(Roadmap!$D:$K,MATCH($E107,Roadmap!$D:$D,0)+COUNTIF($E107:M107,"u")+COUNTIF($E107:M107,"t")+COUNTIF($E107:M107,"¶")+COUNTIF($E107:M107,"²")+COUNTIF($E107:M107,"µ")+COUNTIF($E107:M107,1),ColTypeEcheance)),
  IF(LEN(M107)=1,
  IF(LEN(INDEX(Roadmap!$D:$K,MATCH($E107,Roadmap!$D:$D,0)-1+COUNTIF($E107:M107,"u")+COUNTIF($E107:M107,"t")+COUNTIF($E107:M107,"¶")+COUNTIF($E107:M107,"²")+COUNTIF($E107:M107,"µ")+COUNTIF($E107:M107,1),ColDescriptionCourte))&gt;1,
HYPERLINK("#Roadmap!C"&amp; MATCH($E107,Roadmap!$D:$D,0)+COUNTIF($E107:M107,"u")+COUNTIF($E107:M107,"t")+COUNTIF($E107:M107,"¶")+COUNTIF($E107:M107,"²")+COUNTIF($E107:M107,"µ")+COUNTIF($E107:M107,1)-1,INDEX(Roadmap!$D:$K,MATCH($E107,Roadmap!$D:$D,0)-1+COUNTIF($E107:M107,"u")+COUNTIF($E107:M107,"t")+COUNTIF($E107:M107,"¶")+COUNTIF($E107:M107,"²")+COUNTIF($E107:M107,"µ")+COUNTIF($E107:M107,1),ColDescriptionCourte)),""),
  "")),"")</f>
        <v/>
      </c>
      <c r="O107" s="40" t="str">
        <f ca="1">IFERROR(IF(AND(
  INDEX(Roadmap!$D:$K,MATCH($E107,Roadmap!$D:$D,0)+COUNTIF($E107:N107,"u")+COUNTIF($E107:N107,"t")+COUNTIF($E107:N107,"¶")+COUNTIF($E107:N107,"²")+COUNTIF($E107:N107,"µ")+COUNTIF($E107:N107,1),ColLivraison)=O$6,
  VLOOKUP($E107,INDIRECT("tri!"&amp; CHAR(64+ C0Col) &amp;":"&amp; CHAR(65+C0Col)),2,FALSE)&gt;COUNTIF($E107:N107,"u")+COUNTIF($E107:N107,"t")+COUNTIF($E107:N107,"¶")+COUNTIF($E107:N107,"²")+COUNTIF($E107:N107,"µ")+COUNTIF($E107:N107,1)),
HYPERLINK("#Roadmap!C"&amp; MATCH($E107,Roadmap!$D:$D,0)+COUNTIF($E107:N107,"u")+COUNTIF($E107:N107,"t"),
     INDEX(Roadmap!$D:$K,MATCH($E107,Roadmap!$D:$D,0)+COUNTIF($E107:N107,"u")+COUNTIF($E107:N107,"t")+COUNTIF($E107:N107,"¶")+COUNTIF($E107:N107,"²")+COUNTIF($E107:N107,"µ")+COUNTIF($E107:N107,1),ColTypeEcheance)),
  IF(LEN(N107)=1,
  IF(LEN(INDEX(Roadmap!$D:$K,MATCH($E107,Roadmap!$D:$D,0)-1+COUNTIF($E107:N107,"u")+COUNTIF($E107:N107,"t")+COUNTIF($E107:N107,"¶")+COUNTIF($E107:N107,"²")+COUNTIF($E107:N107,"µ")+COUNTIF($E107:N107,1),ColDescriptionCourte))&gt;1,
HYPERLINK("#Roadmap!C"&amp; MATCH($E107,Roadmap!$D:$D,0)+COUNTIF($E107:N107,"u")+COUNTIF($E107:N107,"t")+COUNTIF($E107:N107,"¶")+COUNTIF($E107:N107,"²")+COUNTIF($E107:N107,"µ")+COUNTIF($E107:N107,1)-1,INDEX(Roadmap!$D:$K,MATCH($E107,Roadmap!$D:$D,0)-1+COUNTIF($E107:N107,"u")+COUNTIF($E107:N107,"t")+COUNTIF($E107:N107,"¶")+COUNTIF($E107:N107,"²")+COUNTIF($E107:N107,"µ")+COUNTIF($E107:N107,1),ColDescriptionCourte)),""),
  "")),"")</f>
        <v/>
      </c>
      <c r="P107" s="40" t="str">
        <f ca="1">IFERROR(IF(AND(
  INDEX(Roadmap!$D:$K,MATCH($E107,Roadmap!$D:$D,0)+COUNTIF($E107:O107,"u")+COUNTIF($E107:O107,"t")+COUNTIF($E107:O107,"¶")+COUNTIF($E107:O107,"²")+COUNTIF($E107:O107,"µ")+COUNTIF($E107:O107,1),ColLivraison)=P$6,
  VLOOKUP($E107,INDIRECT("tri!"&amp; CHAR(64+ C0Col) &amp;":"&amp; CHAR(65+C0Col)),2,FALSE)&gt;COUNTIF($E107:O107,"u")+COUNTIF($E107:O107,"t")+COUNTIF($E107:O107,"¶")+COUNTIF($E107:O107,"²")+COUNTIF($E107:O107,"µ")+COUNTIF($E107:O107,1)),
HYPERLINK("#Roadmap!C"&amp; MATCH($E107,Roadmap!$D:$D,0)+COUNTIF($E107:O107,"u")+COUNTIF($E107:O107,"t"),
     INDEX(Roadmap!$D:$K,MATCH($E107,Roadmap!$D:$D,0)+COUNTIF($E107:O107,"u")+COUNTIF($E107:O107,"t")+COUNTIF($E107:O107,"¶")+COUNTIF($E107:O107,"²")+COUNTIF($E107:O107,"µ")+COUNTIF($E107:O107,1),ColTypeEcheance)),
  IF(LEN(O107)=1,
  IF(LEN(INDEX(Roadmap!$D:$K,MATCH($E107,Roadmap!$D:$D,0)-1+COUNTIF($E107:O107,"u")+COUNTIF($E107:O107,"t")+COUNTIF($E107:O107,"¶")+COUNTIF($E107:O107,"²")+COUNTIF($E107:O107,"µ")+COUNTIF($E107:O107,1),ColDescriptionCourte))&gt;1,
HYPERLINK("#Roadmap!C"&amp; MATCH($E107,Roadmap!$D:$D,0)+COUNTIF($E107:O107,"u")+COUNTIF($E107:O107,"t")+COUNTIF($E107:O107,"¶")+COUNTIF($E107:O107,"²")+COUNTIF($E107:O107,"µ")+COUNTIF($E107:O107,1)-1,INDEX(Roadmap!$D:$K,MATCH($E107,Roadmap!$D:$D,0)-1+COUNTIF($E107:O107,"u")+COUNTIF($E107:O107,"t")+COUNTIF($E107:O107,"¶")+COUNTIF($E107:O107,"²")+COUNTIF($E107:O107,"µ")+COUNTIF($E107:O107,1),ColDescriptionCourte)),""),
  "")),"")</f>
        <v/>
      </c>
      <c r="Q107" s="40" t="str">
        <f ca="1">IFERROR(IF(AND(
  INDEX(Roadmap!$D:$K,MATCH($E107,Roadmap!$D:$D,0)+COUNTIF($E107:P107,"u")+COUNTIF($E107:P107,"t")+COUNTIF($E107:P107,"¶")+COUNTIF($E107:P107,"²")+COUNTIF($E107:P107,"µ")+COUNTIF($E107:P107,1),ColLivraison)=Q$6,
  VLOOKUP($E107,INDIRECT("tri!"&amp; CHAR(64+ C0Col) &amp;":"&amp; CHAR(65+C0Col)),2,FALSE)&gt;COUNTIF($E107:P107,"u")+COUNTIF($E107:P107,"t")+COUNTIF($E107:P107,"¶")+COUNTIF($E107:P107,"²")+COUNTIF($E107:P107,"µ")+COUNTIF($E107:P107,1)),
HYPERLINK("#Roadmap!C"&amp; MATCH($E107,Roadmap!$D:$D,0)+COUNTIF($E107:P107,"u")+COUNTIF($E107:P107,"t"),
     INDEX(Roadmap!$D:$K,MATCH($E107,Roadmap!$D:$D,0)+COUNTIF($E107:P107,"u")+COUNTIF($E107:P107,"t")+COUNTIF($E107:P107,"¶")+COUNTIF($E107:P107,"²")+COUNTIF($E107:P107,"µ")+COUNTIF($E107:P107,1),ColTypeEcheance)),
  IF(LEN(P107)=1,
  IF(LEN(INDEX(Roadmap!$D:$K,MATCH($E107,Roadmap!$D:$D,0)-1+COUNTIF($E107:P107,"u")+COUNTIF($E107:P107,"t")+COUNTIF($E107:P107,"¶")+COUNTIF($E107:P107,"²")+COUNTIF($E107:P107,"µ")+COUNTIF($E107:P107,1),ColDescriptionCourte))&gt;1,
HYPERLINK("#Roadmap!C"&amp; MATCH($E107,Roadmap!$D:$D,0)+COUNTIF($E107:P107,"u")+COUNTIF($E107:P107,"t")+COUNTIF($E107:P107,"¶")+COUNTIF($E107:P107,"²")+COUNTIF($E107:P107,"µ")+COUNTIF($E107:P107,1)-1,INDEX(Roadmap!$D:$K,MATCH($E107,Roadmap!$D:$D,0)-1+COUNTIF($E107:P107,"u")+COUNTIF($E107:P107,"t")+COUNTIF($E107:P107,"¶")+COUNTIF($E107:P107,"²")+COUNTIF($E107:P107,"µ")+COUNTIF($E107:P107,1),ColDescriptionCourte)),""),
  "")),"")</f>
        <v/>
      </c>
      <c r="R107" s="40" t="str">
        <f ca="1">IFERROR(IF(AND(
  INDEX(Roadmap!$D:$K,MATCH($E107,Roadmap!$D:$D,0)+COUNTIF($E107:Q107,"u")+COUNTIF($E107:Q107,"t")+COUNTIF($E107:Q107,"¶")+COUNTIF($E107:Q107,"²")+COUNTIF($E107:Q107,"µ")+COUNTIF($E107:Q107,1),ColLivraison)=R$6,
  VLOOKUP($E107,INDIRECT("tri!"&amp; CHAR(64+ C0Col) &amp;":"&amp; CHAR(65+C0Col)),2,FALSE)&gt;COUNTIF($E107:Q107,"u")+COUNTIF($E107:Q107,"t")+COUNTIF($E107:Q107,"¶")+COUNTIF($E107:Q107,"²")+COUNTIF($E107:Q107,"µ")+COUNTIF($E107:Q107,1)),
HYPERLINK("#Roadmap!C"&amp; MATCH($E107,Roadmap!$D:$D,0)+COUNTIF($E107:Q107,"u")+COUNTIF($E107:Q107,"t"),
     INDEX(Roadmap!$D:$K,MATCH($E107,Roadmap!$D:$D,0)+COUNTIF($E107:Q107,"u")+COUNTIF($E107:Q107,"t")+COUNTIF($E107:Q107,"¶")+COUNTIF($E107:Q107,"²")+COUNTIF($E107:Q107,"µ")+COUNTIF($E107:Q107,1),ColTypeEcheance)),
  IF(LEN(Q107)=1,
  IF(LEN(INDEX(Roadmap!$D:$K,MATCH($E107,Roadmap!$D:$D,0)-1+COUNTIF($E107:Q107,"u")+COUNTIF($E107:Q107,"t")+COUNTIF($E107:Q107,"¶")+COUNTIF($E107:Q107,"²")+COUNTIF($E107:Q107,"µ")+COUNTIF($E107:Q107,1),ColDescriptionCourte))&gt;1,
HYPERLINK("#Roadmap!C"&amp; MATCH($E107,Roadmap!$D:$D,0)+COUNTIF($E107:Q107,"u")+COUNTIF($E107:Q107,"t")+COUNTIF($E107:Q107,"¶")+COUNTIF($E107:Q107,"²")+COUNTIF($E107:Q107,"µ")+COUNTIF($E107:Q107,1)-1,INDEX(Roadmap!$D:$K,MATCH($E107,Roadmap!$D:$D,0)-1+COUNTIF($E107:Q107,"u")+COUNTIF($E107:Q107,"t")+COUNTIF($E107:Q107,"¶")+COUNTIF($E107:Q107,"²")+COUNTIF($E107:Q107,"µ")+COUNTIF($E107:Q107,1),ColDescriptionCourte)),""),
  "")),"")</f>
        <v/>
      </c>
      <c r="S107" s="40" t="str">
        <f ca="1">IFERROR(IF(AND(
  INDEX(Roadmap!$D:$K,MATCH($E107,Roadmap!$D:$D,0)+COUNTIF($E107:R107,"u")+COUNTIF($E107:R107,"t")+COUNTIF($E107:R107,"¶")+COUNTIF($E107:R107,"²")+COUNTIF($E107:R107,"µ")+COUNTIF($E107:R107,1),ColLivraison)=S$6,
  VLOOKUP($E107,INDIRECT("tri!"&amp; CHAR(64+ C0Col) &amp;":"&amp; CHAR(65+C0Col)),2,FALSE)&gt;COUNTIF($E107:R107,"u")+COUNTIF($E107:R107,"t")+COUNTIF($E107:R107,"¶")+COUNTIF($E107:R107,"²")+COUNTIF($E107:R107,"µ")+COUNTIF($E107:R107,1)),
HYPERLINK("#Roadmap!C"&amp; MATCH($E107,Roadmap!$D:$D,0)+COUNTIF($E107:R107,"u")+COUNTIF($E107:R107,"t"),
     INDEX(Roadmap!$D:$K,MATCH($E107,Roadmap!$D:$D,0)+COUNTIF($E107:R107,"u")+COUNTIF($E107:R107,"t")+COUNTIF($E107:R107,"¶")+COUNTIF($E107:R107,"²")+COUNTIF($E107:R107,"µ")+COUNTIF($E107:R107,1),ColTypeEcheance)),
  IF(LEN(R107)=1,
  IF(LEN(INDEX(Roadmap!$D:$K,MATCH($E107,Roadmap!$D:$D,0)-1+COUNTIF($E107:R107,"u")+COUNTIF($E107:R107,"t")+COUNTIF($E107:R107,"¶")+COUNTIF($E107:R107,"²")+COUNTIF($E107:R107,"µ")+COUNTIF($E107:R107,1),ColDescriptionCourte))&gt;1,
HYPERLINK("#Roadmap!C"&amp; MATCH($E107,Roadmap!$D:$D,0)+COUNTIF($E107:R107,"u")+COUNTIF($E107:R107,"t")+COUNTIF($E107:R107,"¶")+COUNTIF($E107:R107,"²")+COUNTIF($E107:R107,"µ")+COUNTIF($E107:R107,1)-1,INDEX(Roadmap!$D:$K,MATCH($E107,Roadmap!$D:$D,0)-1+COUNTIF($E107:R107,"u")+COUNTIF($E107:R107,"t")+COUNTIF($E107:R107,"¶")+COUNTIF($E107:R107,"²")+COUNTIF($E107:R107,"µ")+COUNTIF($E107:R107,1),ColDescriptionCourte)),""),
  "")),"")</f>
        <v/>
      </c>
      <c r="T107" s="40" t="str">
        <f ca="1">IFERROR(IF(AND(
  INDEX(Roadmap!$D:$K,MATCH($E107,Roadmap!$D:$D,0)+COUNTIF($E107:S107,"u")+COUNTIF($E107:S107,"t")+COUNTIF($E107:S107,"¶")+COUNTIF($E107:S107,"²")+COUNTIF($E107:S107,"µ")+COUNTIF($E107:S107,1),ColLivraison)=T$6,
  VLOOKUP($E107,INDIRECT("tri!"&amp; CHAR(64+ C0Col) &amp;":"&amp; CHAR(65+C0Col)),2,FALSE)&gt;COUNTIF($E107:S107,"u")+COUNTIF($E107:S107,"t")+COUNTIF($E107:S107,"¶")+COUNTIF($E107:S107,"²")+COUNTIF($E107:S107,"µ")+COUNTIF($E107:S107,1)),
HYPERLINK("#Roadmap!C"&amp; MATCH($E107,Roadmap!$D:$D,0)+COUNTIF($E107:S107,"u")+COUNTIF($E107:S107,"t"),
     INDEX(Roadmap!$D:$K,MATCH($E107,Roadmap!$D:$D,0)+COUNTIF($E107:S107,"u")+COUNTIF($E107:S107,"t")+COUNTIF($E107:S107,"¶")+COUNTIF($E107:S107,"²")+COUNTIF($E107:S107,"µ")+COUNTIF($E107:S107,1),ColTypeEcheance)),
  IF(LEN(S107)=1,
  IF(LEN(INDEX(Roadmap!$D:$K,MATCH($E107,Roadmap!$D:$D,0)-1+COUNTIF($E107:S107,"u")+COUNTIF($E107:S107,"t")+COUNTIF($E107:S107,"¶")+COUNTIF($E107:S107,"²")+COUNTIF($E107:S107,"µ")+COUNTIF($E107:S107,1),ColDescriptionCourte))&gt;1,
HYPERLINK("#Roadmap!C"&amp; MATCH($E107,Roadmap!$D:$D,0)+COUNTIF($E107:S107,"u")+COUNTIF($E107:S107,"t")+COUNTIF($E107:S107,"¶")+COUNTIF($E107:S107,"²")+COUNTIF($E107:S107,"µ")+COUNTIF($E107:S107,1)-1,INDEX(Roadmap!$D:$K,MATCH($E107,Roadmap!$D:$D,0)-1+COUNTIF($E107:S107,"u")+COUNTIF($E107:S107,"t")+COUNTIF($E107:S107,"¶")+COUNTIF($E107:S107,"²")+COUNTIF($E107:S107,"µ")+COUNTIF($E107:S107,1),ColDescriptionCourte)),""),
  "")),"")</f>
        <v/>
      </c>
      <c r="U107" s="40" t="str">
        <f ca="1">IFERROR(IF(AND(
  INDEX(Roadmap!$D:$K,MATCH($E107,Roadmap!$D:$D,0)+COUNTIF($E107:T107,"u")+COUNTIF($E107:T107,"t")+COUNTIF($E107:T107,"¶")+COUNTIF($E107:T107,"²")+COUNTIF($E107:T107,"µ")+COUNTIF($E107:T107,1),ColLivraison)=U$6,
  VLOOKUP($E107,INDIRECT("tri!"&amp; CHAR(64+ C0Col) &amp;":"&amp; CHAR(65+C0Col)),2,FALSE)&gt;COUNTIF($E107:T107,"u")+COUNTIF($E107:T107,"t")+COUNTIF($E107:T107,"¶")+COUNTIF($E107:T107,"²")+COUNTIF($E107:T107,"µ")+COUNTIF($E107:T107,1)),
HYPERLINK("#Roadmap!C"&amp; MATCH($E107,Roadmap!$D:$D,0)+COUNTIF($E107:T107,"u")+COUNTIF($E107:T107,"t"),
     INDEX(Roadmap!$D:$K,MATCH($E107,Roadmap!$D:$D,0)+COUNTIF($E107:T107,"u")+COUNTIF($E107:T107,"t")+COUNTIF($E107:T107,"¶")+COUNTIF($E107:T107,"²")+COUNTIF($E107:T107,"µ")+COUNTIF($E107:T107,1),ColTypeEcheance)),
  IF(LEN(T107)=1,
  IF(LEN(INDEX(Roadmap!$D:$K,MATCH($E107,Roadmap!$D:$D,0)-1+COUNTIF($E107:T107,"u")+COUNTIF($E107:T107,"t")+COUNTIF($E107:T107,"¶")+COUNTIF($E107:T107,"²")+COUNTIF($E107:T107,"µ")+COUNTIF($E107:T107,1),ColDescriptionCourte))&gt;1,
HYPERLINK("#Roadmap!C"&amp; MATCH($E107,Roadmap!$D:$D,0)+COUNTIF($E107:T107,"u")+COUNTIF($E107:T107,"t")+COUNTIF($E107:T107,"¶")+COUNTIF($E107:T107,"²")+COUNTIF($E107:T107,"µ")+COUNTIF($E107:T107,1)-1,INDEX(Roadmap!$D:$K,MATCH($E107,Roadmap!$D:$D,0)-1+COUNTIF($E107:T107,"u")+COUNTIF($E107:T107,"t")+COUNTIF($E107:T107,"¶")+COUNTIF($E107:T107,"²")+COUNTIF($E107:T107,"µ")+COUNTIF($E107:T107,1),ColDescriptionCourte)),""),
  "")),"")</f>
        <v/>
      </c>
      <c r="V107" s="40" t="str">
        <f ca="1">IFERROR(IF(AND(
  INDEX(Roadmap!$D:$K,MATCH($E107,Roadmap!$D:$D,0)+COUNTIF($E107:U107,"u")+COUNTIF($E107:U107,"t")+COUNTIF($E107:U107,"¶")+COUNTIF($E107:U107,"²")+COUNTIF($E107:U107,"µ")+COUNTIF($E107:U107,1),ColLivraison)=V$6,
  VLOOKUP($E107,INDIRECT("tri!"&amp; CHAR(64+ C0Col) &amp;":"&amp; CHAR(65+C0Col)),2,FALSE)&gt;COUNTIF($E107:U107,"u")+COUNTIF($E107:U107,"t")+COUNTIF($E107:U107,"¶")+COUNTIF($E107:U107,"²")+COUNTIF($E107:U107,"µ")+COUNTIF($E107:U107,1)),
HYPERLINK("#Roadmap!C"&amp; MATCH($E107,Roadmap!$D:$D,0)+COUNTIF($E107:U107,"u")+COUNTIF($E107:U107,"t"),
     INDEX(Roadmap!$D:$K,MATCH($E107,Roadmap!$D:$D,0)+COUNTIF($E107:U107,"u")+COUNTIF($E107:U107,"t")+COUNTIF($E107:U107,"¶")+COUNTIF($E107:U107,"²")+COUNTIF($E107:U107,"µ")+COUNTIF($E107:U107,1),ColTypeEcheance)),
  IF(LEN(U107)=1,
  IF(LEN(INDEX(Roadmap!$D:$K,MATCH($E107,Roadmap!$D:$D,0)-1+COUNTIF($E107:U107,"u")+COUNTIF($E107:U107,"t")+COUNTIF($E107:U107,"¶")+COUNTIF($E107:U107,"²")+COUNTIF($E107:U107,"µ")+COUNTIF($E107:U107,1),ColDescriptionCourte))&gt;1,
HYPERLINK("#Roadmap!C"&amp; MATCH($E107,Roadmap!$D:$D,0)+COUNTIF($E107:U107,"u")+COUNTIF($E107:U107,"t")+COUNTIF($E107:U107,"¶")+COUNTIF($E107:U107,"²")+COUNTIF($E107:U107,"µ")+COUNTIF($E107:U107,1)-1,INDEX(Roadmap!$D:$K,MATCH($E107,Roadmap!$D:$D,0)-1+COUNTIF($E107:U107,"u")+COUNTIF($E107:U107,"t")+COUNTIF($E107:U107,"¶")+COUNTIF($E107:U107,"²")+COUNTIF($E107:U107,"µ")+COUNTIF($E107:U107,1),ColDescriptionCourte)),""),
  "")),"")</f>
        <v/>
      </c>
      <c r="W107" s="40" t="str">
        <f ca="1">IFERROR(IF(AND(
  INDEX(Roadmap!$D:$K,MATCH($E107,Roadmap!$D:$D,0)+COUNTIF($E107:V107,"u")+COUNTIF($E107:V107,"t")+COUNTIF($E107:V107,"¶")+COUNTIF($E107:V107,"²")+COUNTIF($E107:V107,"µ")+COUNTIF($E107:V107,1),ColLivraison)=W$6,
  VLOOKUP($E107,INDIRECT("tri!"&amp; CHAR(64+ C0Col) &amp;":"&amp; CHAR(65+C0Col)),2,FALSE)&gt;COUNTIF($E107:V107,"u")+COUNTIF($E107:V107,"t")+COUNTIF($E107:V107,"¶")+COUNTIF($E107:V107,"²")+COUNTIF($E107:V107,"µ")+COUNTIF($E107:V107,1)),
HYPERLINK("#Roadmap!C"&amp; MATCH($E107,Roadmap!$D:$D,0)+COUNTIF($E107:V107,"u")+COUNTIF($E107:V107,"t"),
     INDEX(Roadmap!$D:$K,MATCH($E107,Roadmap!$D:$D,0)+COUNTIF($E107:V107,"u")+COUNTIF($E107:V107,"t")+COUNTIF($E107:V107,"¶")+COUNTIF($E107:V107,"²")+COUNTIF($E107:V107,"µ")+COUNTIF($E107:V107,1),ColTypeEcheance)),
  IF(LEN(V107)=1,
  IF(LEN(INDEX(Roadmap!$D:$K,MATCH($E107,Roadmap!$D:$D,0)-1+COUNTIF($E107:V107,"u")+COUNTIF($E107:V107,"t")+COUNTIF($E107:V107,"¶")+COUNTIF($E107:V107,"²")+COUNTIF($E107:V107,"µ")+COUNTIF($E107:V107,1),ColDescriptionCourte))&gt;1,
HYPERLINK("#Roadmap!C"&amp; MATCH($E107,Roadmap!$D:$D,0)+COUNTIF($E107:V107,"u")+COUNTIF($E107:V107,"t")+COUNTIF($E107:V107,"¶")+COUNTIF($E107:V107,"²")+COUNTIF($E107:V107,"µ")+COUNTIF($E107:V107,1)-1,INDEX(Roadmap!$D:$K,MATCH($E107,Roadmap!$D:$D,0)-1+COUNTIF($E107:V107,"u")+COUNTIF($E107:V107,"t")+COUNTIF($E107:V107,"¶")+COUNTIF($E107:V107,"²")+COUNTIF($E107:V107,"µ")+COUNTIF($E107:V107,1),ColDescriptionCourte)),""),
  "")),"")</f>
        <v/>
      </c>
      <c r="X107" s="40" t="str">
        <f ca="1">IFERROR(IF(AND(
  INDEX(Roadmap!$D:$K,MATCH($E107,Roadmap!$D:$D,0)+COUNTIF($E107:W107,"u")+COUNTIF($E107:W107,"t")+COUNTIF($E107:W107,"¶")+COUNTIF($E107:W107,"²")+COUNTIF($E107:W107,"µ")+COUNTIF($E107:W107,1),ColLivraison)=X$6,
  VLOOKUP($E107,INDIRECT("tri!"&amp; CHAR(64+ C0Col) &amp;":"&amp; CHAR(65+C0Col)),2,FALSE)&gt;COUNTIF($E107:W107,"u")+COUNTIF($E107:W107,"t")+COUNTIF($E107:W107,"¶")+COUNTIF($E107:W107,"²")+COUNTIF($E107:W107,"µ")+COUNTIF($E107:W107,1)),
HYPERLINK("#Roadmap!C"&amp; MATCH($E107,Roadmap!$D:$D,0)+COUNTIF($E107:W107,"u")+COUNTIF($E107:W107,"t"),
     INDEX(Roadmap!$D:$K,MATCH($E107,Roadmap!$D:$D,0)+COUNTIF($E107:W107,"u")+COUNTIF($E107:W107,"t")+COUNTIF($E107:W107,"¶")+COUNTIF($E107:W107,"²")+COUNTIF($E107:W107,"µ")+COUNTIF($E107:W107,1),ColTypeEcheance)),
  IF(LEN(W107)=1,
  IF(LEN(INDEX(Roadmap!$D:$K,MATCH($E107,Roadmap!$D:$D,0)-1+COUNTIF($E107:W107,"u")+COUNTIF($E107:W107,"t")+COUNTIF($E107:W107,"¶")+COUNTIF($E107:W107,"²")+COUNTIF($E107:W107,"µ")+COUNTIF($E107:W107,1),ColDescriptionCourte))&gt;1,
HYPERLINK("#Roadmap!C"&amp; MATCH($E107,Roadmap!$D:$D,0)+COUNTIF($E107:W107,"u")+COUNTIF($E107:W107,"t")+COUNTIF($E107:W107,"¶")+COUNTIF($E107:W107,"²")+COUNTIF($E107:W107,"µ")+COUNTIF($E107:W107,1)-1,INDEX(Roadmap!$D:$K,MATCH($E107,Roadmap!$D:$D,0)-1+COUNTIF($E107:W107,"u")+COUNTIF($E107:W107,"t")+COUNTIF($E107:W107,"¶")+COUNTIF($E107:W107,"²")+COUNTIF($E107:W107,"µ")+COUNTIF($E107:W107,1),ColDescriptionCourte)),""),
  "")),"")</f>
        <v/>
      </c>
      <c r="Y107" s="40" t="str">
        <f ca="1">IFERROR(IF(AND(
  INDEX(Roadmap!$D:$K,MATCH($E107,Roadmap!$D:$D,0)+COUNTIF($E107:X107,"u")+COUNTIF($E107:X107,"t")+COUNTIF($E107:X107,"¶")+COUNTIF($E107:X107,"²")+COUNTIF($E107:X107,"µ")+COUNTIF($E107:X107,1),ColLivraison)=Y$6,
  VLOOKUP($E107,INDIRECT("tri!"&amp; CHAR(64+ C0Col) &amp;":"&amp; CHAR(65+C0Col)),2,FALSE)&gt;COUNTIF($E107:X107,"u")+COUNTIF($E107:X107,"t")+COUNTIF($E107:X107,"¶")+COUNTIF($E107:X107,"²")+COUNTIF($E107:X107,"µ")+COUNTIF($E107:X107,1)),
HYPERLINK("#Roadmap!C"&amp; MATCH($E107,Roadmap!$D:$D,0)+COUNTIF($E107:X107,"u")+COUNTIF($E107:X107,"t"),
     INDEX(Roadmap!$D:$K,MATCH($E107,Roadmap!$D:$D,0)+COUNTIF($E107:X107,"u")+COUNTIF($E107:X107,"t")+COUNTIF($E107:X107,"¶")+COUNTIF($E107:X107,"²")+COUNTIF($E107:X107,"µ")+COUNTIF($E107:X107,1),ColTypeEcheance)),
  IF(LEN(X107)=1,
  IF(LEN(INDEX(Roadmap!$D:$K,MATCH($E107,Roadmap!$D:$D,0)-1+COUNTIF($E107:X107,"u")+COUNTIF($E107:X107,"t")+COUNTIF($E107:X107,"¶")+COUNTIF($E107:X107,"²")+COUNTIF($E107:X107,"µ")+COUNTIF($E107:X107,1),ColDescriptionCourte))&gt;1,
HYPERLINK("#Roadmap!C"&amp; MATCH($E107,Roadmap!$D:$D,0)+COUNTIF($E107:X107,"u")+COUNTIF($E107:X107,"t")+COUNTIF($E107:X107,"¶")+COUNTIF($E107:X107,"²")+COUNTIF($E107:X107,"µ")+COUNTIF($E107:X107,1)-1,INDEX(Roadmap!$D:$K,MATCH($E107,Roadmap!$D:$D,0)-1+COUNTIF($E107:X107,"u")+COUNTIF($E107:X107,"t")+COUNTIF($E107:X107,"¶")+COUNTIF($E107:X107,"²")+COUNTIF($E107:X107,"µ")+COUNTIF($E107:X107,1),ColDescriptionCourte)),""),
  "")),"")</f>
        <v/>
      </c>
      <c r="Z107" s="40" t="str">
        <f ca="1">IFERROR(IF(AND(
  INDEX(Roadmap!$D:$K,MATCH($E107,Roadmap!$D:$D,0)+COUNTIF($E107:Y107,"u")+COUNTIF($E107:Y107,"t")+COUNTIF($E107:Y107,"¶")+COUNTIF($E107:Y107,"²")+COUNTIF($E107:Y107,"µ")+COUNTIF($E107:Y107,1),ColLivraison)=Z$6,
  VLOOKUP($E107,INDIRECT("tri!"&amp; CHAR(64+ C0Col) &amp;":"&amp; CHAR(65+C0Col)),2,FALSE)&gt;COUNTIF($E107:Y107,"u")+COUNTIF($E107:Y107,"t")+COUNTIF($E107:Y107,"¶")+COUNTIF($E107:Y107,"²")+COUNTIF($E107:Y107,"µ")+COUNTIF($E107:Y107,1)),
HYPERLINK("#Roadmap!C"&amp; MATCH($E107,Roadmap!$D:$D,0)+COUNTIF($E107:Y107,"u")+COUNTIF($E107:Y107,"t"),
     INDEX(Roadmap!$D:$K,MATCH($E107,Roadmap!$D:$D,0)+COUNTIF($E107:Y107,"u")+COUNTIF($E107:Y107,"t")+COUNTIF($E107:Y107,"¶")+COUNTIF($E107:Y107,"²")+COUNTIF($E107:Y107,"µ")+COUNTIF($E107:Y107,1),ColTypeEcheance)),
  IF(LEN(Y107)=1,
  IF(LEN(INDEX(Roadmap!$D:$K,MATCH($E107,Roadmap!$D:$D,0)-1+COUNTIF($E107:Y107,"u")+COUNTIF($E107:Y107,"t")+COUNTIF($E107:Y107,"¶")+COUNTIF($E107:Y107,"²")+COUNTIF($E107:Y107,"µ")+COUNTIF($E107:Y107,1),ColDescriptionCourte))&gt;1,
HYPERLINK("#Roadmap!C"&amp; MATCH($E107,Roadmap!$D:$D,0)+COUNTIF($E107:Y107,"u")+COUNTIF($E107:Y107,"t")+COUNTIF($E107:Y107,"¶")+COUNTIF($E107:Y107,"²")+COUNTIF($E107:Y107,"µ")+COUNTIF($E107:Y107,1)-1,INDEX(Roadmap!$D:$K,MATCH($E107,Roadmap!$D:$D,0)-1+COUNTIF($E107:Y107,"u")+COUNTIF($E107:Y107,"t")+COUNTIF($E107:Y107,"¶")+COUNTIF($E107:Y107,"²")+COUNTIF($E107:Y107,"µ")+COUNTIF($E107:Y107,1),ColDescriptionCourte)),""),
  "")),"")</f>
        <v/>
      </c>
      <c r="AA107" s="40" t="str">
        <f ca="1">IFERROR(IF(AND(
  INDEX(Roadmap!$D:$K,MATCH($E107,Roadmap!$D:$D,0)+COUNTIF($E107:Z107,"u")+COUNTIF($E107:Z107,"t")+COUNTIF($E107:Z107,"¶")+COUNTIF($E107:Z107,"²")+COUNTIF($E107:Z107,"µ")+COUNTIF($E107:Z107,1),ColLivraison)=AA$6,
  VLOOKUP($E107,INDIRECT("tri!"&amp; CHAR(64+ C0Col) &amp;":"&amp; CHAR(65+C0Col)),2,FALSE)&gt;COUNTIF($E107:Z107,"u")+COUNTIF($E107:Z107,"t")+COUNTIF($E107:Z107,"¶")+COUNTIF($E107:Z107,"²")+COUNTIF($E107:Z107,"µ")+COUNTIF($E107:Z107,1)),
HYPERLINK("#Roadmap!C"&amp; MATCH($E107,Roadmap!$D:$D,0)+COUNTIF($E107:Z107,"u")+COUNTIF($E107:Z107,"t"),
     INDEX(Roadmap!$D:$K,MATCH($E107,Roadmap!$D:$D,0)+COUNTIF($E107:Z107,"u")+COUNTIF($E107:Z107,"t")+COUNTIF($E107:Z107,"¶")+COUNTIF($E107:Z107,"²")+COUNTIF($E107:Z107,"µ")+COUNTIF($E107:Z107,1),ColTypeEcheance)),
  IF(LEN(Z107)=1,
  IF(LEN(INDEX(Roadmap!$D:$K,MATCH($E107,Roadmap!$D:$D,0)-1+COUNTIF($E107:Z107,"u")+COUNTIF($E107:Z107,"t")+COUNTIF($E107:Z107,"¶")+COUNTIF($E107:Z107,"²")+COUNTIF($E107:Z107,"µ")+COUNTIF($E107:Z107,1),ColDescriptionCourte))&gt;1,
HYPERLINK("#Roadmap!C"&amp; MATCH($E107,Roadmap!$D:$D,0)+COUNTIF($E107:Z107,"u")+COUNTIF($E107:Z107,"t")+COUNTIF($E107:Z107,"¶")+COUNTIF($E107:Z107,"²")+COUNTIF($E107:Z107,"µ")+COUNTIF($E107:Z107,1)-1,INDEX(Roadmap!$D:$K,MATCH($E107,Roadmap!$D:$D,0)-1+COUNTIF($E107:Z107,"u")+COUNTIF($E107:Z107,"t")+COUNTIF($E107:Z107,"¶")+COUNTIF($E107:Z107,"²")+COUNTIF($E107:Z107,"µ")+COUNTIF($E107:Z107,1),ColDescriptionCourte)),""),
  "")),"")</f>
        <v/>
      </c>
      <c r="AB107" s="40" t="str">
        <f ca="1">IFERROR(IF(AND(
  INDEX(Roadmap!$D:$K,MATCH($E107,Roadmap!$D:$D,0)+COUNTIF($E107:AA107,"u")+COUNTIF($E107:AA107,"t")+COUNTIF($E107:AA107,"¶")+COUNTIF($E107:AA107,"²")+COUNTIF($E107:AA107,"µ")+COUNTIF($E107:AA107,1),ColLivraison)=AB$6,
  VLOOKUP($E107,INDIRECT("tri!"&amp; CHAR(64+ C0Col) &amp;":"&amp; CHAR(65+C0Col)),2,FALSE)&gt;COUNTIF($E107:AA107,"u")+COUNTIF($E107:AA107,"t")+COUNTIF($E107:AA107,"¶")+COUNTIF($E107:AA107,"²")+COUNTIF($E107:AA107,"µ")+COUNTIF($E107:AA107,1)),
HYPERLINK("#Roadmap!C"&amp; MATCH($E107,Roadmap!$D:$D,0)+COUNTIF($E107:AA107,"u")+COUNTIF($E107:AA107,"t"),
     INDEX(Roadmap!$D:$K,MATCH($E107,Roadmap!$D:$D,0)+COUNTIF($E107:AA107,"u")+COUNTIF($E107:AA107,"t")+COUNTIF($E107:AA107,"¶")+COUNTIF($E107:AA107,"²")+COUNTIF($E107:AA107,"µ")+COUNTIF($E107:AA107,1),ColTypeEcheance)),
  IF(LEN(AA107)=1,
  IF(LEN(INDEX(Roadmap!$D:$K,MATCH($E107,Roadmap!$D:$D,0)-1+COUNTIF($E107:AA107,"u")+COUNTIF($E107:AA107,"t")+COUNTIF($E107:AA107,"¶")+COUNTIF($E107:AA107,"²")+COUNTIF($E107:AA107,"µ")+COUNTIF($E107:AA107,1),ColDescriptionCourte))&gt;1,
HYPERLINK("#Roadmap!C"&amp; MATCH($E107,Roadmap!$D:$D,0)+COUNTIF($E107:AA107,"u")+COUNTIF($E107:AA107,"t")+COUNTIF($E107:AA107,"¶")+COUNTIF($E107:AA107,"²")+COUNTIF($E107:AA107,"µ")+COUNTIF($E107:AA107,1)-1,INDEX(Roadmap!$D:$K,MATCH($E107,Roadmap!$D:$D,0)-1+COUNTIF($E107:AA107,"u")+COUNTIF($E107:AA107,"t")+COUNTIF($E107:AA107,"¶")+COUNTIF($E107:AA107,"²")+COUNTIF($E107:AA107,"µ")+COUNTIF($E107:AA107,1),ColDescriptionCourte)),""),
  "")),"")</f>
        <v/>
      </c>
      <c r="AC107" s="40" t="str">
        <f ca="1">IFERROR(IF(AND(
  INDEX(Roadmap!$D:$K,MATCH($E107,Roadmap!$D:$D,0)+COUNTIF($E107:AB107,"u")+COUNTIF($E107:AB107,"t")+COUNTIF($E107:AB107,"¶")+COUNTIF($E107:AB107,"²")+COUNTIF($E107:AB107,"µ")+COUNTIF($E107:AB107,1),ColLivraison)=AC$6,
  VLOOKUP($E107,INDIRECT("tri!"&amp; CHAR(64+ C0Col) &amp;":"&amp; CHAR(65+C0Col)),2,FALSE)&gt;COUNTIF($E107:AB107,"u")+COUNTIF($E107:AB107,"t")+COUNTIF($E107:AB107,"¶")+COUNTIF($E107:AB107,"²")+COUNTIF($E107:AB107,"µ")+COUNTIF($E107:AB107,1)),
HYPERLINK("#Roadmap!C"&amp; MATCH($E107,Roadmap!$D:$D,0)+COUNTIF($E107:AB107,"u")+COUNTIF($E107:AB107,"t"),
     INDEX(Roadmap!$D:$K,MATCH($E107,Roadmap!$D:$D,0)+COUNTIF($E107:AB107,"u")+COUNTIF($E107:AB107,"t")+COUNTIF($E107:AB107,"¶")+COUNTIF($E107:AB107,"²")+COUNTIF($E107:AB107,"µ")+COUNTIF($E107:AB107,1),ColTypeEcheance)),
  IF(LEN(AB107)=1,
  IF(LEN(INDEX(Roadmap!$D:$K,MATCH($E107,Roadmap!$D:$D,0)-1+COUNTIF($E107:AB107,"u")+COUNTIF($E107:AB107,"t")+COUNTIF($E107:AB107,"¶")+COUNTIF($E107:AB107,"²")+COUNTIF($E107:AB107,"µ")+COUNTIF($E107:AB107,1),ColDescriptionCourte))&gt;1,
HYPERLINK("#Roadmap!C"&amp; MATCH($E107,Roadmap!$D:$D,0)+COUNTIF($E107:AB107,"u")+COUNTIF($E107:AB107,"t")+COUNTIF($E107:AB107,"¶")+COUNTIF($E107:AB107,"²")+COUNTIF($E107:AB107,"µ")+COUNTIF($E107:AB107,1)-1,INDEX(Roadmap!$D:$K,MATCH($E107,Roadmap!$D:$D,0)-1+COUNTIF($E107:AB107,"u")+COUNTIF($E107:AB107,"t")+COUNTIF($E107:AB107,"¶")+COUNTIF($E107:AB107,"²")+COUNTIF($E107:AB107,"µ")+COUNTIF($E107:AB107,1),ColDescriptionCourte)),""),
  "")),"")</f>
        <v/>
      </c>
      <c r="AD107" s="40" t="str">
        <f ca="1">IFERROR(IF(AND(
  INDEX(Roadmap!$D:$K,MATCH($E107,Roadmap!$D:$D,0)+COUNTIF($E107:AC107,"u")+COUNTIF($E107:AC107,"t")+COUNTIF($E107:AC107,"¶")+COUNTIF($E107:AC107,"²")+COUNTIF($E107:AC107,"µ")+COUNTIF($E107:AC107,1),ColLivraison)=AD$6,
  VLOOKUP($E107,INDIRECT("tri!"&amp; CHAR(64+ C0Col) &amp;":"&amp; CHAR(65+C0Col)),2,FALSE)&gt;COUNTIF($E107:AC107,"u")+COUNTIF($E107:AC107,"t")+COUNTIF($E107:AC107,"¶")+COUNTIF($E107:AC107,"²")+COUNTIF($E107:AC107,"µ")+COUNTIF($E107:AC107,1)),
HYPERLINK("#Roadmap!C"&amp; MATCH($E107,Roadmap!$D:$D,0)+COUNTIF($E107:AC107,"u")+COUNTIF($E107:AC107,"t"),
     INDEX(Roadmap!$D:$K,MATCH($E107,Roadmap!$D:$D,0)+COUNTIF($E107:AC107,"u")+COUNTIF($E107:AC107,"t")+COUNTIF($E107:AC107,"¶")+COUNTIF($E107:AC107,"²")+COUNTIF($E107:AC107,"µ")+COUNTIF($E107:AC107,1),ColTypeEcheance)),
  IF(LEN(AC107)=1,
  IF(LEN(INDEX(Roadmap!$D:$K,MATCH($E107,Roadmap!$D:$D,0)-1+COUNTIF($E107:AC107,"u")+COUNTIF($E107:AC107,"t")+COUNTIF($E107:AC107,"¶")+COUNTIF($E107:AC107,"²")+COUNTIF($E107:AC107,"µ")+COUNTIF($E107:AC107,1),ColDescriptionCourte))&gt;1,
HYPERLINK("#Roadmap!C"&amp; MATCH($E107,Roadmap!$D:$D,0)+COUNTIF($E107:AC107,"u")+COUNTIF($E107:AC107,"t")+COUNTIF($E107:AC107,"¶")+COUNTIF($E107:AC107,"²")+COUNTIF($E107:AC107,"µ")+COUNTIF($E107:AC107,1)-1,INDEX(Roadmap!$D:$K,MATCH($E107,Roadmap!$D:$D,0)-1+COUNTIF($E107:AC107,"u")+COUNTIF($E107:AC107,"t")+COUNTIF($E107:AC107,"¶")+COUNTIF($E107:AC107,"²")+COUNTIF($E107:AC107,"µ")+COUNTIF($E107:AC107,1),ColDescriptionCourte)),""),
  "")),"")</f>
        <v/>
      </c>
      <c r="AE107" s="40" t="str">
        <f ca="1">IFERROR(IF(AND(
  INDEX(Roadmap!$D:$K,MATCH($E107,Roadmap!$D:$D,0)+COUNTIF($E107:AD107,"u")+COUNTIF($E107:AD107,"t")+COUNTIF($E107:AD107,"¶")+COUNTIF($E107:AD107,"²")+COUNTIF($E107:AD107,"µ")+COUNTIF($E107:AD107,1),ColLivraison)=AE$6,
  VLOOKUP($E107,INDIRECT("tri!"&amp; CHAR(64+ C0Col) &amp;":"&amp; CHAR(65+C0Col)),2,FALSE)&gt;COUNTIF($E107:AD107,"u")+COUNTIF($E107:AD107,"t")+COUNTIF($E107:AD107,"¶")+COUNTIF($E107:AD107,"²")+COUNTIF($E107:AD107,"µ")+COUNTIF($E107:AD107,1)),
HYPERLINK("#Roadmap!C"&amp; MATCH($E107,Roadmap!$D:$D,0)+COUNTIF($E107:AD107,"u")+COUNTIF($E107:AD107,"t"),
     INDEX(Roadmap!$D:$K,MATCH($E107,Roadmap!$D:$D,0)+COUNTIF($E107:AD107,"u")+COUNTIF($E107:AD107,"t")+COUNTIF($E107:AD107,"¶")+COUNTIF($E107:AD107,"²")+COUNTIF($E107:AD107,"µ")+COUNTIF($E107:AD107,1),ColTypeEcheance)),
  IF(LEN(AD107)=1,
  IF(LEN(INDEX(Roadmap!$D:$K,MATCH($E107,Roadmap!$D:$D,0)-1+COUNTIF($E107:AD107,"u")+COUNTIF($E107:AD107,"t")+COUNTIF($E107:AD107,"¶")+COUNTIF($E107:AD107,"²")+COUNTIF($E107:AD107,"µ")+COUNTIF($E107:AD107,1),ColDescriptionCourte))&gt;1,
HYPERLINK("#Roadmap!C"&amp; MATCH($E107,Roadmap!$D:$D,0)+COUNTIF($E107:AD107,"u")+COUNTIF($E107:AD107,"t")+COUNTIF($E107:AD107,"¶")+COUNTIF($E107:AD107,"²")+COUNTIF($E107:AD107,"µ")+COUNTIF($E107:AD107,1)-1,INDEX(Roadmap!$D:$K,MATCH($E107,Roadmap!$D:$D,0)-1+COUNTIF($E107:AD107,"u")+COUNTIF($E107:AD107,"t")+COUNTIF($E107:AD107,"¶")+COUNTIF($E107:AD107,"²")+COUNTIF($E107:AD107,"µ")+COUNTIF($E107:AD107,1),ColDescriptionCourte)),""),
  "")),"")</f>
        <v/>
      </c>
      <c r="AF107" s="40" t="str">
        <f ca="1">IFERROR(IF(AND(
  INDEX(Roadmap!$D:$K,MATCH($E107,Roadmap!$D:$D,0)+COUNTIF($E107:AE107,"u")+COUNTIF($E107:AE107,"t")+COUNTIF($E107:AE107,"¶")+COUNTIF($E107:AE107,"²")+COUNTIF($E107:AE107,"µ")+COUNTIF($E107:AE107,1),ColLivraison)=AF$6,
  VLOOKUP($E107,INDIRECT("tri!"&amp; CHAR(64+ C0Col) &amp;":"&amp; CHAR(65+C0Col)),2,FALSE)&gt;COUNTIF($E107:AE107,"u")+COUNTIF($E107:AE107,"t")+COUNTIF($E107:AE107,"¶")+COUNTIF($E107:AE107,"²")+COUNTIF($E107:AE107,"µ")+COUNTIF($E107:AE107,1)),
HYPERLINK("#Roadmap!C"&amp; MATCH($E107,Roadmap!$D:$D,0)+COUNTIF($E107:AE107,"u")+COUNTIF($E107:AE107,"t"),
     INDEX(Roadmap!$D:$K,MATCH($E107,Roadmap!$D:$D,0)+COUNTIF($E107:AE107,"u")+COUNTIF($E107:AE107,"t")+COUNTIF($E107:AE107,"¶")+COUNTIF($E107:AE107,"²")+COUNTIF($E107:AE107,"µ")+COUNTIF($E107:AE107,1),ColTypeEcheance)),
  IF(LEN(AE107)=1,
  IF(LEN(INDEX(Roadmap!$D:$K,MATCH($E107,Roadmap!$D:$D,0)-1+COUNTIF($E107:AE107,"u")+COUNTIF($E107:AE107,"t")+COUNTIF($E107:AE107,"¶")+COUNTIF($E107:AE107,"²")+COUNTIF($E107:AE107,"µ")+COUNTIF($E107:AE107,1),ColDescriptionCourte))&gt;1,
HYPERLINK("#Roadmap!C"&amp; MATCH($E107,Roadmap!$D:$D,0)+COUNTIF($E107:AE107,"u")+COUNTIF($E107:AE107,"t")+COUNTIF($E107:AE107,"¶")+COUNTIF($E107:AE107,"²")+COUNTIF($E107:AE107,"µ")+COUNTIF($E107:AE107,1)-1,INDEX(Roadmap!$D:$K,MATCH($E107,Roadmap!$D:$D,0)-1+COUNTIF($E107:AE107,"u")+COUNTIF($E107:AE107,"t")+COUNTIF($E107:AE107,"¶")+COUNTIF($E107:AE107,"²")+COUNTIF($E107:AE107,"µ")+COUNTIF($E107:AE107,1),ColDescriptionCourte)),""),
  "")),"")</f>
        <v/>
      </c>
      <c r="AG107" s="40" t="str">
        <f ca="1">IFERROR(IF(AND(
  INDEX(Roadmap!$D:$K,MATCH($E107,Roadmap!$D:$D,0)+COUNTIF($E107:AF107,"u")+COUNTIF($E107:AF107,"t")+COUNTIF($E107:AF107,"¶")+COUNTIF($E107:AF107,"²")+COUNTIF($E107:AF107,"µ")+COUNTIF($E107:AF107,1),ColLivraison)=AG$6,
  VLOOKUP($E107,INDIRECT("tri!"&amp; CHAR(64+ C0Col) &amp;":"&amp; CHAR(65+C0Col)),2,FALSE)&gt;COUNTIF($E107:AF107,"u")+COUNTIF($E107:AF107,"t")+COUNTIF($E107:AF107,"¶")+COUNTIF($E107:AF107,"²")+COUNTIF($E107:AF107,"µ")+COUNTIF($E107:AF107,1)),
HYPERLINK("#Roadmap!C"&amp; MATCH($E107,Roadmap!$D:$D,0)+COUNTIF($E107:AF107,"u")+COUNTIF($E107:AF107,"t"),
     INDEX(Roadmap!$D:$K,MATCH($E107,Roadmap!$D:$D,0)+COUNTIF($E107:AF107,"u")+COUNTIF($E107:AF107,"t")+COUNTIF($E107:AF107,"¶")+COUNTIF($E107:AF107,"²")+COUNTIF($E107:AF107,"µ")+COUNTIF($E107:AF107,1),ColTypeEcheance)),
  IF(LEN(AF107)=1,
  IF(LEN(INDEX(Roadmap!$D:$K,MATCH($E107,Roadmap!$D:$D,0)-1+COUNTIF($E107:AF107,"u")+COUNTIF($E107:AF107,"t")+COUNTIF($E107:AF107,"¶")+COUNTIF($E107:AF107,"²")+COUNTIF($E107:AF107,"µ")+COUNTIF($E107:AF107,1),ColDescriptionCourte))&gt;1,
HYPERLINK("#Roadmap!C"&amp; MATCH($E107,Roadmap!$D:$D,0)+COUNTIF($E107:AF107,"u")+COUNTIF($E107:AF107,"t")+COUNTIF($E107:AF107,"¶")+COUNTIF($E107:AF107,"²")+COUNTIF($E107:AF107,"µ")+COUNTIF($E107:AF107,1)-1,INDEX(Roadmap!$D:$K,MATCH($E107,Roadmap!$D:$D,0)-1+COUNTIF($E107:AF107,"u")+COUNTIF($E107:AF107,"t")+COUNTIF($E107:AF107,"¶")+COUNTIF($E107:AF107,"²")+COUNTIF($E107:AF107,"µ")+COUNTIF($E107:AF107,1),ColDescriptionCourte)),""),
  "")),"")</f>
        <v/>
      </c>
      <c r="AH107" s="40" t="str">
        <f ca="1">IFERROR(IF(AND(
  INDEX(Roadmap!$D:$K,MATCH($E107,Roadmap!$D:$D,0)+COUNTIF($E107:AG107,"u")+COUNTIF($E107:AG107,"t")+COUNTIF($E107:AG107,1),ColLivraison)=AH$6,
  VLOOKUP($E107,INDIRECT("tri!"&amp; CHAR(64+ C0Col) &amp;":"&amp; CHAR(65+C0Col)),2,FALSE)&gt;COUNTIF($E107:AG107,"u")+COUNTIF($E107:AG107,"t")+COUNTIF($E107:AG107,1)),
HYPERLINK("#Roadmap!C"&amp; MATCH($E107,Roadmap!$D:$D,0)+COUNTIF($E107:AG107,"u")+COUNTIF($E107:AG107,"t"),
     INDEX(Roadmap!$D:$K,MATCH($E107,Roadmap!$D:$D,0)+COUNTIF($E107:AG107,"u")+COUNTIF($E107:AG107,"t")+COUNTIF($E107:AG107,1),ColTypeEcheance)),
  IF(OR(AG107="u",AG107="t",AG107=1),
  IF(LEN(INDEX(Roadmap!$D:$K,MATCH($E107,Roadmap!$D:$D,0)-1+COUNTIF($E107:AG107,"u")+COUNTIF($E107:AG107,"t")+COUNTIF($E107:AG107,1),ColDescriptionCourte))&gt;1,
HYPERLINK("#Roadmap!C"&amp; MATCH($E107,Roadmap!$D:$D,0)+COUNTIF($E107:AG107,"u")+COUNTIF($E107:AG107,"t")+COUNTIF($E107:AG107,1)-1,INDEX(Roadmap!$D:$K,MATCH($E107,Roadmap!$D:$D,0)-1+COUNTIF($E107:AG107,"u")+COUNTIF($E107:AG107,"t")+COUNTIF($E107:AG107,1),ColDescriptionCourte)),""),
  "")),"")</f>
        <v/>
      </c>
      <c r="AI107" s="40"/>
      <c r="AJ107" s="40"/>
      <c r="AK107" s="40"/>
      <c r="AL107" s="40"/>
      <c r="AM107" s="40"/>
    </row>
    <row r="108" spans="4:39" ht="14.1" customHeight="1">
      <c r="D108" s="20" t="str">
        <f t="shared" ca="1" si="29"/>
        <v/>
      </c>
      <c r="E108" s="53" t="str">
        <f t="shared" ca="1" si="30"/>
        <v/>
      </c>
      <c r="F108" s="39" t="str">
        <f ca="1">IFERROR(IF(AND(
  INDEX(Roadmap!$D:$K,MATCH($E108,Roadmap!$D:$D,0)+COUNTIF($E108:E108,"u")+COUNTIF($E108:E108,"t")+COUNTIF($E108:E108,"¶")+COUNTIF($E108:E108,"²")+COUNTIF($E108:E108,"µ")+COUNTIF($E108:E108,1),ColLivraison)=F$6,
  VLOOKUP($E108,INDIRECT("tri!"&amp; CHAR(64+ C0Col) &amp;":"&amp; CHAR(65+C0Col)),2,FALSE)&gt;COUNTIF($E108:E108,"u")+COUNTIF($E108:E108,"t")+COUNTIF($E108:E108,"¶")+COUNTIF($E108:E108,"²")+COUNTIF($E108:E108,"µ")+COUNTIF($E108:E108,1)),
HYPERLINK("#Roadmap!C"&amp; MATCH($E108,Roadmap!$D:$D,0)+COUNTIF($E108:E108,"u")+COUNTIF($E108:E108,"t"),
     INDEX(Roadmap!$D:$K,MATCH($E108,Roadmap!$D:$D,0)+COUNTIF($E108:E108,"u")+COUNTIF($E108:E108,"t")+COUNTIF($E108:E108,"¶")+COUNTIF($E108:E108,"²")+COUNTIF($E108:E108,"µ")+COUNTIF($E108:E108,1),ColTypeEcheance)),
  IF(LEN(E108)=1,
  IF(LEN(INDEX(Roadmap!$D:$K,MATCH($E108,Roadmap!$D:$D,0)-1+COUNTIF($E108:E108,"u")+COUNTIF($E108:E108,"t")+COUNTIF($E108:E108,"¶")+COUNTIF($E108:E108,"²")+COUNTIF($E108:E108,"µ")+COUNTIF($E108:E108,1),ColDescriptionCourte))&gt;1,
HYPERLINK("#Roadmap!C"&amp; MATCH($E108,Roadmap!$D:$D,0)+COUNTIF($E108:E108,"u")+COUNTIF($E108:E108,"t")+COUNTIF($E108:E108,"¶")+COUNTIF($E108:E108,"²")+COUNTIF($E108:E108,"µ")+COUNTIF($E108:E108,1)-1,INDEX(Roadmap!$D:$K,MATCH($E108,Roadmap!$D:$D,0)-1+COUNTIF($E108:E108,"u")+COUNTIF($E108:E108,"t")+COUNTIF($E108:E108,"¶")+COUNTIF($E108:E108,"²")+COUNTIF($E108:E108,"µ")+COUNTIF($E108:E108,1),ColDescriptionCourte)),""),
  "")),"")</f>
        <v/>
      </c>
      <c r="G108" s="40" t="str">
        <f ca="1">IFERROR(IF(AND(
  INDEX(Roadmap!$D:$K,MATCH($E108,Roadmap!$D:$D,0)+COUNTIF($E108:F108,"u")+COUNTIF($E108:F108,"t")+COUNTIF($E108:F108,"¶")+COUNTIF($E108:F108,"²")+COUNTIF($E108:F108,"µ")+COUNTIF($E108:F108,1),ColLivraison)=G$6,
  VLOOKUP($E108,INDIRECT("tri!"&amp; CHAR(64+ C0Col) &amp;":"&amp; CHAR(65+C0Col)),2,FALSE)&gt;COUNTIF($E108:F108,"u")+COUNTIF($E108:F108,"t")+COUNTIF($E108:F108,"¶")+COUNTIF($E108:F108,"²")+COUNTIF($E108:F108,"µ")+COUNTIF($E108:F108,1)),
HYPERLINK("#Roadmap!C"&amp; MATCH($E108,Roadmap!$D:$D,0)+COUNTIF($E108:F108,"u")+COUNTIF($E108:F108,"t"),
     INDEX(Roadmap!$D:$K,MATCH($E108,Roadmap!$D:$D,0)+COUNTIF($E108:F108,"u")+COUNTIF($E108:F108,"t")+COUNTIF($E108:F108,"¶")+COUNTIF($E108:F108,"²")+COUNTIF($E108:F108,"µ")+COUNTIF($E108:F108,1),ColTypeEcheance)),
  IF(LEN(F108)=1,
  IF(LEN(INDEX(Roadmap!$D:$K,MATCH($E108,Roadmap!$D:$D,0)-1+COUNTIF($E108:F108,"u")+COUNTIF($E108:F108,"t")+COUNTIF($E108:F108,"¶")+COUNTIF($E108:F108,"²")+COUNTIF($E108:F108,"µ")+COUNTIF($E108:F108,1),ColDescriptionCourte))&gt;1,
HYPERLINK("#Roadmap!C"&amp; MATCH($E108,Roadmap!$D:$D,0)+COUNTIF($E108:F108,"u")+COUNTIF($E108:F108,"t")+COUNTIF($E108:F108,"¶")+COUNTIF($E108:F108,"²")+COUNTIF($E108:F108,"µ")+COUNTIF($E108:F108,1)-1,INDEX(Roadmap!$D:$K,MATCH($E108,Roadmap!$D:$D,0)-1+COUNTIF($E108:F108,"u")+COUNTIF($E108:F108,"t")+COUNTIF($E108:F108,"¶")+COUNTIF($E108:F108,"²")+COUNTIF($E108:F108,"µ")+COUNTIF($E108:F108,1),ColDescriptionCourte)),""),
  "")),"")</f>
        <v/>
      </c>
      <c r="H108" s="40" t="str">
        <f ca="1">IFERROR(IF(AND(
  INDEX(Roadmap!$D:$K,MATCH($E108,Roadmap!$D:$D,0)+COUNTIF($E108:G108,"u")+COUNTIF($E108:G108,"t")+COUNTIF($E108:G108,"¶")+COUNTIF($E108:G108,"²")+COUNTIF($E108:G108,"µ")+COUNTIF($E108:G108,1),ColLivraison)=H$6,
  VLOOKUP($E108,INDIRECT("tri!"&amp; CHAR(64+ C0Col) &amp;":"&amp; CHAR(65+C0Col)),2,FALSE)&gt;COUNTIF($E108:G108,"u")+COUNTIF($E108:G108,"t")+COUNTIF($E108:G108,"¶")+COUNTIF($E108:G108,"²")+COUNTIF($E108:G108,"µ")+COUNTIF($E108:G108,1)),
HYPERLINK("#Roadmap!C"&amp; MATCH($E108,Roadmap!$D:$D,0)+COUNTIF($E108:G108,"u")+COUNTIF($E108:G108,"t"),
     INDEX(Roadmap!$D:$K,MATCH($E108,Roadmap!$D:$D,0)+COUNTIF($E108:G108,"u")+COUNTIF($E108:G108,"t")+COUNTIF($E108:G108,"¶")+COUNTIF($E108:G108,"²")+COUNTIF($E108:G108,"µ")+COUNTIF($E108:G108,1),ColTypeEcheance)),
  IF(LEN(G108)=1,
  IF(LEN(INDEX(Roadmap!$D:$K,MATCH($E108,Roadmap!$D:$D,0)-1+COUNTIF($E108:G108,"u")+COUNTIF($E108:G108,"t")+COUNTIF($E108:G108,"¶")+COUNTIF($E108:G108,"²")+COUNTIF($E108:G108,"µ")+COUNTIF($E108:G108,1),ColDescriptionCourte))&gt;1,
HYPERLINK("#Roadmap!C"&amp; MATCH($E108,Roadmap!$D:$D,0)+COUNTIF($E108:G108,"u")+COUNTIF($E108:G108,"t")+COUNTIF($E108:G108,"¶")+COUNTIF($E108:G108,"²")+COUNTIF($E108:G108,"µ")+COUNTIF($E108:G108,1)-1,INDEX(Roadmap!$D:$K,MATCH($E108,Roadmap!$D:$D,0)-1+COUNTIF($E108:G108,"u")+COUNTIF($E108:G108,"t")+COUNTIF($E108:G108,"¶")+COUNTIF($E108:G108,"²")+COUNTIF($E108:G108,"µ")+COUNTIF($E108:G108,1),ColDescriptionCourte)),""),
  "")),"")</f>
        <v/>
      </c>
      <c r="I108" s="40" t="str">
        <f ca="1">IFERROR(IF(AND(
  INDEX(Roadmap!$D:$K,MATCH($E108,Roadmap!$D:$D,0)+COUNTIF($E108:H108,"u")+COUNTIF($E108:H108,"t")+COUNTIF($E108:H108,"¶")+COUNTIF($E108:H108,"²")+COUNTIF($E108:H108,"µ")+COUNTIF($E108:H108,1),ColLivraison)=I$6,
  VLOOKUP($E108,INDIRECT("tri!"&amp; CHAR(64+ C0Col) &amp;":"&amp; CHAR(65+C0Col)),2,FALSE)&gt;COUNTIF($E108:H108,"u")+COUNTIF($E108:H108,"t")+COUNTIF($E108:H108,"¶")+COUNTIF($E108:H108,"²")+COUNTIF($E108:H108,"µ")+COUNTIF($E108:H108,1)),
HYPERLINK("#Roadmap!C"&amp; MATCH($E108,Roadmap!$D:$D,0)+COUNTIF($E108:H108,"u")+COUNTIF($E108:H108,"t"),
     INDEX(Roadmap!$D:$K,MATCH($E108,Roadmap!$D:$D,0)+COUNTIF($E108:H108,"u")+COUNTIF($E108:H108,"t")+COUNTIF($E108:H108,"¶")+COUNTIF($E108:H108,"²")+COUNTIF($E108:H108,"µ")+COUNTIF($E108:H108,1),ColTypeEcheance)),
  IF(LEN(H108)=1,
  IF(LEN(INDEX(Roadmap!$D:$K,MATCH($E108,Roadmap!$D:$D,0)-1+COUNTIF($E108:H108,"u")+COUNTIF($E108:H108,"t")+COUNTIF($E108:H108,"¶")+COUNTIF($E108:H108,"²")+COUNTIF($E108:H108,"µ")+COUNTIF($E108:H108,1),ColDescriptionCourte))&gt;1,
HYPERLINK("#Roadmap!C"&amp; MATCH($E108,Roadmap!$D:$D,0)+COUNTIF($E108:H108,"u")+COUNTIF($E108:H108,"t")+COUNTIF($E108:H108,"¶")+COUNTIF($E108:H108,"²")+COUNTIF($E108:H108,"µ")+COUNTIF($E108:H108,1)-1,INDEX(Roadmap!$D:$K,MATCH($E108,Roadmap!$D:$D,0)-1+COUNTIF($E108:H108,"u")+COUNTIF($E108:H108,"t")+COUNTIF($E108:H108,"¶")+COUNTIF($E108:H108,"²")+COUNTIF($E108:H108,"µ")+COUNTIF($E108:H108,1),ColDescriptionCourte)),""),
  "")),"")</f>
        <v/>
      </c>
      <c r="J108" s="40" t="str">
        <f ca="1">IFERROR(IF(AND(
  INDEX(Roadmap!$D:$K,MATCH($E108,Roadmap!$D:$D,0)+COUNTIF($E108:I108,"u")+COUNTIF($E108:I108,"t")+COUNTIF($E108:I108,"¶")+COUNTIF($E108:I108,"²")+COUNTIF($E108:I108,"µ")+COUNTIF($E108:I108,1),ColLivraison)=J$6,
  VLOOKUP($E108,INDIRECT("tri!"&amp; CHAR(64+ C0Col) &amp;":"&amp; CHAR(65+C0Col)),2,FALSE)&gt;COUNTIF($E108:I108,"u")+COUNTIF($E108:I108,"t")+COUNTIF($E108:I108,"¶")+COUNTIF($E108:I108,"²")+COUNTIF($E108:I108,"µ")+COUNTIF($E108:I108,1)),
HYPERLINK("#Roadmap!C"&amp; MATCH($E108,Roadmap!$D:$D,0)+COUNTIF($E108:I108,"u")+COUNTIF($E108:I108,"t"),
     INDEX(Roadmap!$D:$K,MATCH($E108,Roadmap!$D:$D,0)+COUNTIF($E108:I108,"u")+COUNTIF($E108:I108,"t")+COUNTIF($E108:I108,"¶")+COUNTIF($E108:I108,"²")+COUNTIF($E108:I108,"µ")+COUNTIF($E108:I108,1),ColTypeEcheance)),
  IF(LEN(I108)=1,
  IF(LEN(INDEX(Roadmap!$D:$K,MATCH($E108,Roadmap!$D:$D,0)-1+COUNTIF($E108:I108,"u")+COUNTIF($E108:I108,"t")+COUNTIF($E108:I108,"¶")+COUNTIF($E108:I108,"²")+COUNTIF($E108:I108,"µ")+COUNTIF($E108:I108,1),ColDescriptionCourte))&gt;1,
HYPERLINK("#Roadmap!C"&amp; MATCH($E108,Roadmap!$D:$D,0)+COUNTIF($E108:I108,"u")+COUNTIF($E108:I108,"t")+COUNTIF($E108:I108,"¶")+COUNTIF($E108:I108,"²")+COUNTIF($E108:I108,"µ")+COUNTIF($E108:I108,1)-1,INDEX(Roadmap!$D:$K,MATCH($E108,Roadmap!$D:$D,0)-1+COUNTIF($E108:I108,"u")+COUNTIF($E108:I108,"t")+COUNTIF($E108:I108,"¶")+COUNTIF($E108:I108,"²")+COUNTIF($E108:I108,"µ")+COUNTIF($E108:I108,1),ColDescriptionCourte)),""),
  "")),"")</f>
        <v/>
      </c>
      <c r="K108" s="40" t="str">
        <f ca="1">IFERROR(IF(AND(
  INDEX(Roadmap!$D:$K,MATCH($E108,Roadmap!$D:$D,0)+COUNTIF($E108:J108,"u")+COUNTIF($E108:J108,"t")+COUNTIF($E108:J108,"¶")+COUNTIF($E108:J108,"²")+COUNTIF($E108:J108,"µ")+COUNTIF($E108:J108,1),ColLivraison)=K$6,
  VLOOKUP($E108,INDIRECT("tri!"&amp; CHAR(64+ C0Col) &amp;":"&amp; CHAR(65+C0Col)),2,FALSE)&gt;COUNTIF($E108:J108,"u")+COUNTIF($E108:J108,"t")+COUNTIF($E108:J108,"¶")+COUNTIF($E108:J108,"²")+COUNTIF($E108:J108,"µ")+COUNTIF($E108:J108,1)),
HYPERLINK("#Roadmap!C"&amp; MATCH($E108,Roadmap!$D:$D,0)+COUNTIF($E108:J108,"u")+COUNTIF($E108:J108,"t"),
     INDEX(Roadmap!$D:$K,MATCH($E108,Roadmap!$D:$D,0)+COUNTIF($E108:J108,"u")+COUNTIF($E108:J108,"t")+COUNTIF($E108:J108,"¶")+COUNTIF($E108:J108,"²")+COUNTIF($E108:J108,"µ")+COUNTIF($E108:J108,1),ColTypeEcheance)),
  IF(LEN(J108)=1,
  IF(LEN(INDEX(Roadmap!$D:$K,MATCH($E108,Roadmap!$D:$D,0)-1+COUNTIF($E108:J108,"u")+COUNTIF($E108:J108,"t")+COUNTIF($E108:J108,"¶")+COUNTIF($E108:J108,"²")+COUNTIF($E108:J108,"µ")+COUNTIF($E108:J108,1),ColDescriptionCourte))&gt;1,
HYPERLINK("#Roadmap!C"&amp; MATCH($E108,Roadmap!$D:$D,0)+COUNTIF($E108:J108,"u")+COUNTIF($E108:J108,"t")+COUNTIF($E108:J108,"¶")+COUNTIF($E108:J108,"²")+COUNTIF($E108:J108,"µ")+COUNTIF($E108:J108,1)-1,INDEX(Roadmap!$D:$K,MATCH($E108,Roadmap!$D:$D,0)-1+COUNTIF($E108:J108,"u")+COUNTIF($E108:J108,"t")+COUNTIF($E108:J108,"¶")+COUNTIF($E108:J108,"²")+COUNTIF($E108:J108,"µ")+COUNTIF($E108:J108,1),ColDescriptionCourte)),""),
  "")),"")</f>
        <v/>
      </c>
      <c r="L108" s="39" t="str">
        <f ca="1">IFERROR(IF(AND(
  INDEX(Roadmap!$D:$K,MATCH($E108,Roadmap!$D:$D,0)+COUNTIF($E108:K108,"u")+COUNTIF($E108:K108,"t")+COUNTIF($E108:K108,"¶")+COUNTIF($E108:K108,"²")+COUNTIF($E108:K108,"µ")+COUNTIF($E108:K108,1),ColLivraison)=L$6,
  VLOOKUP($E108,INDIRECT("tri!"&amp; CHAR(64+ C0Col) &amp;":"&amp; CHAR(65+C0Col)),2,FALSE)&gt;COUNTIF($E108:K108,"u")+COUNTIF($E108:K108,"t")+COUNTIF($E108:K108,"¶")+COUNTIF($E108:K108,"²")+COUNTIF($E108:K108,"µ")+COUNTIF($E108:K108,1)),
HYPERLINK("#Roadmap!C"&amp; MATCH($E108,Roadmap!$D:$D,0)+COUNTIF($E108:K108,"u")+COUNTIF($E108:K108,"t"),
     INDEX(Roadmap!$D:$K,MATCH($E108,Roadmap!$D:$D,0)+COUNTIF($E108:K108,"u")+COUNTIF($E108:K108,"t")+COUNTIF($E108:K108,"¶")+COUNTIF($E108:K108,"²")+COUNTIF($E108:K108,"µ")+COUNTIF($E108:K108,1),ColTypeEcheance)),
  IF(LEN(K108)=1,
  IF(LEN(INDEX(Roadmap!$D:$K,MATCH($E108,Roadmap!$D:$D,0)-1+COUNTIF($E108:K108,"u")+COUNTIF($E108:K108,"t")+COUNTIF($E108:K108,"¶")+COUNTIF($E108:K108,"²")+COUNTIF($E108:K108,"µ")+COUNTIF($E108:K108,1),ColDescriptionCourte))&gt;1,
HYPERLINK("#Roadmap!C"&amp; MATCH($E108,Roadmap!$D:$D,0)+COUNTIF($E108:K108,"u")+COUNTIF($E108:K108,"t")+COUNTIF($E108:K108,"¶")+COUNTIF($E108:K108,"²")+COUNTIF($E108:K108,"µ")+COUNTIF($E108:K108,1)-1,INDEX(Roadmap!$D:$K,MATCH($E108,Roadmap!$D:$D,0)-1+COUNTIF($E108:K108,"u")+COUNTIF($E108:K108,"t")+COUNTIF($E108:K108,"¶")+COUNTIF($E108:K108,"²")+COUNTIF($E108:K108,"µ")+COUNTIF($E108:K108,1),ColDescriptionCourte)),""),
  "")),"")</f>
        <v/>
      </c>
      <c r="M108" s="40" t="str">
        <f ca="1">IFERROR(IF(AND(
  INDEX(Roadmap!$D:$K,MATCH($E108,Roadmap!$D:$D,0)+COUNTIF($E108:L108,"u")+COUNTIF($E108:L108,"t")+COUNTIF($E108:L108,"¶")+COUNTIF($E108:L108,"²")+COUNTIF($E108:L108,"µ")+COUNTIF($E108:L108,1),ColLivraison)=M$6,
  VLOOKUP($E108,INDIRECT("tri!"&amp; CHAR(64+ C0Col) &amp;":"&amp; CHAR(65+C0Col)),2,FALSE)&gt;COUNTIF($E108:L108,"u")+COUNTIF($E108:L108,"t")+COUNTIF($E108:L108,"¶")+COUNTIF($E108:L108,"²")+COUNTIF($E108:L108,"µ")+COUNTIF($E108:L108,1)),
HYPERLINK("#Roadmap!C"&amp; MATCH($E108,Roadmap!$D:$D,0)+COUNTIF($E108:L108,"u")+COUNTIF($E108:L108,"t"),
     INDEX(Roadmap!$D:$K,MATCH($E108,Roadmap!$D:$D,0)+COUNTIF($E108:L108,"u")+COUNTIF($E108:L108,"t")+COUNTIF($E108:L108,"¶")+COUNTIF($E108:L108,"²")+COUNTIF($E108:L108,"µ")+COUNTIF($E108:L108,1),ColTypeEcheance)),
  IF(LEN(L108)=1,
  IF(LEN(INDEX(Roadmap!$D:$K,MATCH($E108,Roadmap!$D:$D,0)-1+COUNTIF($E108:L108,"u")+COUNTIF($E108:L108,"t")+COUNTIF($E108:L108,"¶")+COUNTIF($E108:L108,"²")+COUNTIF($E108:L108,"µ")+COUNTIF($E108:L108,1),ColDescriptionCourte))&gt;1,
HYPERLINK("#Roadmap!C"&amp; MATCH($E108,Roadmap!$D:$D,0)+COUNTIF($E108:L108,"u")+COUNTIF($E108:L108,"t")+COUNTIF($E108:L108,"¶")+COUNTIF($E108:L108,"²")+COUNTIF($E108:L108,"µ")+COUNTIF($E108:L108,1)-1,INDEX(Roadmap!$D:$K,MATCH($E108,Roadmap!$D:$D,0)-1+COUNTIF($E108:L108,"u")+COUNTIF($E108:L108,"t")+COUNTIF($E108:L108,"¶")+COUNTIF($E108:L108,"²")+COUNTIF($E108:L108,"µ")+COUNTIF($E108:L108,1),ColDescriptionCourte)),""),
  "")),"")</f>
        <v/>
      </c>
      <c r="N108" s="40" t="str">
        <f ca="1">IFERROR(IF(AND(
  INDEX(Roadmap!$D:$K,MATCH($E108,Roadmap!$D:$D,0)+COUNTIF($E108:M108,"u")+COUNTIF($E108:M108,"t")+COUNTIF($E108:M108,"¶")+COUNTIF($E108:M108,"²")+COUNTIF($E108:M108,"µ")+COUNTIF($E108:M108,1),ColLivraison)=N$6,
  VLOOKUP($E108,INDIRECT("tri!"&amp; CHAR(64+ C0Col) &amp;":"&amp; CHAR(65+C0Col)),2,FALSE)&gt;COUNTIF($E108:M108,"u")+COUNTIF($E108:M108,"t")+COUNTIF($E108:M108,"¶")+COUNTIF($E108:M108,"²")+COUNTIF($E108:M108,"µ")+COUNTIF($E108:M108,1)),
HYPERLINK("#Roadmap!C"&amp; MATCH($E108,Roadmap!$D:$D,0)+COUNTIF($E108:M108,"u")+COUNTIF($E108:M108,"t"),
     INDEX(Roadmap!$D:$K,MATCH($E108,Roadmap!$D:$D,0)+COUNTIF($E108:M108,"u")+COUNTIF($E108:M108,"t")+COUNTIF($E108:M108,"¶")+COUNTIF($E108:M108,"²")+COUNTIF($E108:M108,"µ")+COUNTIF($E108:M108,1),ColTypeEcheance)),
  IF(LEN(M108)=1,
  IF(LEN(INDEX(Roadmap!$D:$K,MATCH($E108,Roadmap!$D:$D,0)-1+COUNTIF($E108:M108,"u")+COUNTIF($E108:M108,"t")+COUNTIF($E108:M108,"¶")+COUNTIF($E108:M108,"²")+COUNTIF($E108:M108,"µ")+COUNTIF($E108:M108,1),ColDescriptionCourte))&gt;1,
HYPERLINK("#Roadmap!C"&amp; MATCH($E108,Roadmap!$D:$D,0)+COUNTIF($E108:M108,"u")+COUNTIF($E108:M108,"t")+COUNTIF($E108:M108,"¶")+COUNTIF($E108:M108,"²")+COUNTIF($E108:M108,"µ")+COUNTIF($E108:M108,1)-1,INDEX(Roadmap!$D:$K,MATCH($E108,Roadmap!$D:$D,0)-1+COUNTIF($E108:M108,"u")+COUNTIF($E108:M108,"t")+COUNTIF($E108:M108,"¶")+COUNTIF($E108:M108,"²")+COUNTIF($E108:M108,"µ")+COUNTIF($E108:M108,1),ColDescriptionCourte)),""),
  "")),"")</f>
        <v/>
      </c>
      <c r="O108" s="40" t="str">
        <f ca="1">IFERROR(IF(AND(
  INDEX(Roadmap!$D:$K,MATCH($E108,Roadmap!$D:$D,0)+COUNTIF($E108:N108,"u")+COUNTIF($E108:N108,"t")+COUNTIF($E108:N108,"¶")+COUNTIF($E108:N108,"²")+COUNTIF($E108:N108,"µ")+COUNTIF($E108:N108,1),ColLivraison)=O$6,
  VLOOKUP($E108,INDIRECT("tri!"&amp; CHAR(64+ C0Col) &amp;":"&amp; CHAR(65+C0Col)),2,FALSE)&gt;COUNTIF($E108:N108,"u")+COUNTIF($E108:N108,"t")+COUNTIF($E108:N108,"¶")+COUNTIF($E108:N108,"²")+COUNTIF($E108:N108,"µ")+COUNTIF($E108:N108,1)),
HYPERLINK("#Roadmap!C"&amp; MATCH($E108,Roadmap!$D:$D,0)+COUNTIF($E108:N108,"u")+COUNTIF($E108:N108,"t"),
     INDEX(Roadmap!$D:$K,MATCH($E108,Roadmap!$D:$D,0)+COUNTIF($E108:N108,"u")+COUNTIF($E108:N108,"t")+COUNTIF($E108:N108,"¶")+COUNTIF($E108:N108,"²")+COUNTIF($E108:N108,"µ")+COUNTIF($E108:N108,1),ColTypeEcheance)),
  IF(LEN(N108)=1,
  IF(LEN(INDEX(Roadmap!$D:$K,MATCH($E108,Roadmap!$D:$D,0)-1+COUNTIF($E108:N108,"u")+COUNTIF($E108:N108,"t")+COUNTIF($E108:N108,"¶")+COUNTIF($E108:N108,"²")+COUNTIF($E108:N108,"µ")+COUNTIF($E108:N108,1),ColDescriptionCourte))&gt;1,
HYPERLINK("#Roadmap!C"&amp; MATCH($E108,Roadmap!$D:$D,0)+COUNTIF($E108:N108,"u")+COUNTIF($E108:N108,"t")+COUNTIF($E108:N108,"¶")+COUNTIF($E108:N108,"²")+COUNTIF($E108:N108,"µ")+COUNTIF($E108:N108,1)-1,INDEX(Roadmap!$D:$K,MATCH($E108,Roadmap!$D:$D,0)-1+COUNTIF($E108:N108,"u")+COUNTIF($E108:N108,"t")+COUNTIF($E108:N108,"¶")+COUNTIF($E108:N108,"²")+COUNTIF($E108:N108,"µ")+COUNTIF($E108:N108,1),ColDescriptionCourte)),""),
  "")),"")</f>
        <v/>
      </c>
      <c r="P108" s="40" t="str">
        <f ca="1">IFERROR(IF(AND(
  INDEX(Roadmap!$D:$K,MATCH($E108,Roadmap!$D:$D,0)+COUNTIF($E108:O108,"u")+COUNTIF($E108:O108,"t")+COUNTIF($E108:O108,"¶")+COUNTIF($E108:O108,"²")+COUNTIF($E108:O108,"µ")+COUNTIF($E108:O108,1),ColLivraison)=P$6,
  VLOOKUP($E108,INDIRECT("tri!"&amp; CHAR(64+ C0Col) &amp;":"&amp; CHAR(65+C0Col)),2,FALSE)&gt;COUNTIF($E108:O108,"u")+COUNTIF($E108:O108,"t")+COUNTIF($E108:O108,"¶")+COUNTIF($E108:O108,"²")+COUNTIF($E108:O108,"µ")+COUNTIF($E108:O108,1)),
HYPERLINK("#Roadmap!C"&amp; MATCH($E108,Roadmap!$D:$D,0)+COUNTIF($E108:O108,"u")+COUNTIF($E108:O108,"t"),
     INDEX(Roadmap!$D:$K,MATCH($E108,Roadmap!$D:$D,0)+COUNTIF($E108:O108,"u")+COUNTIF($E108:O108,"t")+COUNTIF($E108:O108,"¶")+COUNTIF($E108:O108,"²")+COUNTIF($E108:O108,"µ")+COUNTIF($E108:O108,1),ColTypeEcheance)),
  IF(LEN(O108)=1,
  IF(LEN(INDEX(Roadmap!$D:$K,MATCH($E108,Roadmap!$D:$D,0)-1+COUNTIF($E108:O108,"u")+COUNTIF($E108:O108,"t")+COUNTIF($E108:O108,"¶")+COUNTIF($E108:O108,"²")+COUNTIF($E108:O108,"µ")+COUNTIF($E108:O108,1),ColDescriptionCourte))&gt;1,
HYPERLINK("#Roadmap!C"&amp; MATCH($E108,Roadmap!$D:$D,0)+COUNTIF($E108:O108,"u")+COUNTIF($E108:O108,"t")+COUNTIF($E108:O108,"¶")+COUNTIF($E108:O108,"²")+COUNTIF($E108:O108,"µ")+COUNTIF($E108:O108,1)-1,INDEX(Roadmap!$D:$K,MATCH($E108,Roadmap!$D:$D,0)-1+COUNTIF($E108:O108,"u")+COUNTIF($E108:O108,"t")+COUNTIF($E108:O108,"¶")+COUNTIF($E108:O108,"²")+COUNTIF($E108:O108,"µ")+COUNTIF($E108:O108,1),ColDescriptionCourte)),""),
  "")),"")</f>
        <v/>
      </c>
      <c r="Q108" s="40" t="str">
        <f ca="1">IFERROR(IF(AND(
  INDEX(Roadmap!$D:$K,MATCH($E108,Roadmap!$D:$D,0)+COUNTIF($E108:P108,"u")+COUNTIF($E108:P108,"t")+COUNTIF($E108:P108,"¶")+COUNTIF($E108:P108,"²")+COUNTIF($E108:P108,"µ")+COUNTIF($E108:P108,1),ColLivraison)=Q$6,
  VLOOKUP($E108,INDIRECT("tri!"&amp; CHAR(64+ C0Col) &amp;":"&amp; CHAR(65+C0Col)),2,FALSE)&gt;COUNTIF($E108:P108,"u")+COUNTIF($E108:P108,"t")+COUNTIF($E108:P108,"¶")+COUNTIF($E108:P108,"²")+COUNTIF($E108:P108,"µ")+COUNTIF($E108:P108,1)),
HYPERLINK("#Roadmap!C"&amp; MATCH($E108,Roadmap!$D:$D,0)+COUNTIF($E108:P108,"u")+COUNTIF($E108:P108,"t"),
     INDEX(Roadmap!$D:$K,MATCH($E108,Roadmap!$D:$D,0)+COUNTIF($E108:P108,"u")+COUNTIF($E108:P108,"t")+COUNTIF($E108:P108,"¶")+COUNTIF($E108:P108,"²")+COUNTIF($E108:P108,"µ")+COUNTIF($E108:P108,1),ColTypeEcheance)),
  IF(LEN(P108)=1,
  IF(LEN(INDEX(Roadmap!$D:$K,MATCH($E108,Roadmap!$D:$D,0)-1+COUNTIF($E108:P108,"u")+COUNTIF($E108:P108,"t")+COUNTIF($E108:P108,"¶")+COUNTIF($E108:P108,"²")+COUNTIF($E108:P108,"µ")+COUNTIF($E108:P108,1),ColDescriptionCourte))&gt;1,
HYPERLINK("#Roadmap!C"&amp; MATCH($E108,Roadmap!$D:$D,0)+COUNTIF($E108:P108,"u")+COUNTIF($E108:P108,"t")+COUNTIF($E108:P108,"¶")+COUNTIF($E108:P108,"²")+COUNTIF($E108:P108,"µ")+COUNTIF($E108:P108,1)-1,INDEX(Roadmap!$D:$K,MATCH($E108,Roadmap!$D:$D,0)-1+COUNTIF($E108:P108,"u")+COUNTIF($E108:P108,"t")+COUNTIF($E108:P108,"¶")+COUNTIF($E108:P108,"²")+COUNTIF($E108:P108,"µ")+COUNTIF($E108:P108,1),ColDescriptionCourte)),""),
  "")),"")</f>
        <v/>
      </c>
      <c r="R108" s="40" t="str">
        <f ca="1">IFERROR(IF(AND(
  INDEX(Roadmap!$D:$K,MATCH($E108,Roadmap!$D:$D,0)+COUNTIF($E108:Q108,"u")+COUNTIF($E108:Q108,"t")+COUNTIF($E108:Q108,"¶")+COUNTIF($E108:Q108,"²")+COUNTIF($E108:Q108,"µ")+COUNTIF($E108:Q108,1),ColLivraison)=R$6,
  VLOOKUP($E108,INDIRECT("tri!"&amp; CHAR(64+ C0Col) &amp;":"&amp; CHAR(65+C0Col)),2,FALSE)&gt;COUNTIF($E108:Q108,"u")+COUNTIF($E108:Q108,"t")+COUNTIF($E108:Q108,"¶")+COUNTIF($E108:Q108,"²")+COUNTIF($E108:Q108,"µ")+COUNTIF($E108:Q108,1)),
HYPERLINK("#Roadmap!C"&amp; MATCH($E108,Roadmap!$D:$D,0)+COUNTIF($E108:Q108,"u")+COUNTIF($E108:Q108,"t"),
     INDEX(Roadmap!$D:$K,MATCH($E108,Roadmap!$D:$D,0)+COUNTIF($E108:Q108,"u")+COUNTIF($E108:Q108,"t")+COUNTIF($E108:Q108,"¶")+COUNTIF($E108:Q108,"²")+COUNTIF($E108:Q108,"µ")+COUNTIF($E108:Q108,1),ColTypeEcheance)),
  IF(LEN(Q108)=1,
  IF(LEN(INDEX(Roadmap!$D:$K,MATCH($E108,Roadmap!$D:$D,0)-1+COUNTIF($E108:Q108,"u")+COUNTIF($E108:Q108,"t")+COUNTIF($E108:Q108,"¶")+COUNTIF($E108:Q108,"²")+COUNTIF($E108:Q108,"µ")+COUNTIF($E108:Q108,1),ColDescriptionCourte))&gt;1,
HYPERLINK("#Roadmap!C"&amp; MATCH($E108,Roadmap!$D:$D,0)+COUNTIF($E108:Q108,"u")+COUNTIF($E108:Q108,"t")+COUNTIF($E108:Q108,"¶")+COUNTIF($E108:Q108,"²")+COUNTIF($E108:Q108,"µ")+COUNTIF($E108:Q108,1)-1,INDEX(Roadmap!$D:$K,MATCH($E108,Roadmap!$D:$D,0)-1+COUNTIF($E108:Q108,"u")+COUNTIF($E108:Q108,"t")+COUNTIF($E108:Q108,"¶")+COUNTIF($E108:Q108,"²")+COUNTIF($E108:Q108,"µ")+COUNTIF($E108:Q108,1),ColDescriptionCourte)),""),
  "")),"")</f>
        <v/>
      </c>
      <c r="S108" s="40" t="str">
        <f ca="1">IFERROR(IF(AND(
  INDEX(Roadmap!$D:$K,MATCH($E108,Roadmap!$D:$D,0)+COUNTIF($E108:R108,"u")+COUNTIF($E108:R108,"t")+COUNTIF($E108:R108,"¶")+COUNTIF($E108:R108,"²")+COUNTIF($E108:R108,"µ")+COUNTIF($E108:R108,1),ColLivraison)=S$6,
  VLOOKUP($E108,INDIRECT("tri!"&amp; CHAR(64+ C0Col) &amp;":"&amp; CHAR(65+C0Col)),2,FALSE)&gt;COUNTIF($E108:R108,"u")+COUNTIF($E108:R108,"t")+COUNTIF($E108:R108,"¶")+COUNTIF($E108:R108,"²")+COUNTIF($E108:R108,"µ")+COUNTIF($E108:R108,1)),
HYPERLINK("#Roadmap!C"&amp; MATCH($E108,Roadmap!$D:$D,0)+COUNTIF($E108:R108,"u")+COUNTIF($E108:R108,"t"),
     INDEX(Roadmap!$D:$K,MATCH($E108,Roadmap!$D:$D,0)+COUNTIF($E108:R108,"u")+COUNTIF($E108:R108,"t")+COUNTIF($E108:R108,"¶")+COUNTIF($E108:R108,"²")+COUNTIF($E108:R108,"µ")+COUNTIF($E108:R108,1),ColTypeEcheance)),
  IF(LEN(R108)=1,
  IF(LEN(INDEX(Roadmap!$D:$K,MATCH($E108,Roadmap!$D:$D,0)-1+COUNTIF($E108:R108,"u")+COUNTIF($E108:R108,"t")+COUNTIF($E108:R108,"¶")+COUNTIF($E108:R108,"²")+COUNTIF($E108:R108,"µ")+COUNTIF($E108:R108,1),ColDescriptionCourte))&gt;1,
HYPERLINK("#Roadmap!C"&amp; MATCH($E108,Roadmap!$D:$D,0)+COUNTIF($E108:R108,"u")+COUNTIF($E108:R108,"t")+COUNTIF($E108:R108,"¶")+COUNTIF($E108:R108,"²")+COUNTIF($E108:R108,"µ")+COUNTIF($E108:R108,1)-1,INDEX(Roadmap!$D:$K,MATCH($E108,Roadmap!$D:$D,0)-1+COUNTIF($E108:R108,"u")+COUNTIF($E108:R108,"t")+COUNTIF($E108:R108,"¶")+COUNTIF($E108:R108,"²")+COUNTIF($E108:R108,"µ")+COUNTIF($E108:R108,1),ColDescriptionCourte)),""),
  "")),"")</f>
        <v/>
      </c>
      <c r="T108" s="40" t="str">
        <f ca="1">IFERROR(IF(AND(
  INDEX(Roadmap!$D:$K,MATCH($E108,Roadmap!$D:$D,0)+COUNTIF($E108:S108,"u")+COUNTIF($E108:S108,"t")+COUNTIF($E108:S108,"¶")+COUNTIF($E108:S108,"²")+COUNTIF($E108:S108,"µ")+COUNTIF($E108:S108,1),ColLivraison)=T$6,
  VLOOKUP($E108,INDIRECT("tri!"&amp; CHAR(64+ C0Col) &amp;":"&amp; CHAR(65+C0Col)),2,FALSE)&gt;COUNTIF($E108:S108,"u")+COUNTIF($E108:S108,"t")+COUNTIF($E108:S108,"¶")+COUNTIF($E108:S108,"²")+COUNTIF($E108:S108,"µ")+COUNTIF($E108:S108,1)),
HYPERLINK("#Roadmap!C"&amp; MATCH($E108,Roadmap!$D:$D,0)+COUNTIF($E108:S108,"u")+COUNTIF($E108:S108,"t"),
     INDEX(Roadmap!$D:$K,MATCH($E108,Roadmap!$D:$D,0)+COUNTIF($E108:S108,"u")+COUNTIF($E108:S108,"t")+COUNTIF($E108:S108,"¶")+COUNTIF($E108:S108,"²")+COUNTIF($E108:S108,"µ")+COUNTIF($E108:S108,1),ColTypeEcheance)),
  IF(LEN(S108)=1,
  IF(LEN(INDEX(Roadmap!$D:$K,MATCH($E108,Roadmap!$D:$D,0)-1+COUNTIF($E108:S108,"u")+COUNTIF($E108:S108,"t")+COUNTIF($E108:S108,"¶")+COUNTIF($E108:S108,"²")+COUNTIF($E108:S108,"µ")+COUNTIF($E108:S108,1),ColDescriptionCourte))&gt;1,
HYPERLINK("#Roadmap!C"&amp; MATCH($E108,Roadmap!$D:$D,0)+COUNTIF($E108:S108,"u")+COUNTIF($E108:S108,"t")+COUNTIF($E108:S108,"¶")+COUNTIF($E108:S108,"²")+COUNTIF($E108:S108,"µ")+COUNTIF($E108:S108,1)-1,INDEX(Roadmap!$D:$K,MATCH($E108,Roadmap!$D:$D,0)-1+COUNTIF($E108:S108,"u")+COUNTIF($E108:S108,"t")+COUNTIF($E108:S108,"¶")+COUNTIF($E108:S108,"²")+COUNTIF($E108:S108,"µ")+COUNTIF($E108:S108,1),ColDescriptionCourte)),""),
  "")),"")</f>
        <v/>
      </c>
      <c r="U108" s="40" t="str">
        <f ca="1">IFERROR(IF(AND(
  INDEX(Roadmap!$D:$K,MATCH($E108,Roadmap!$D:$D,0)+COUNTIF($E108:T108,"u")+COUNTIF($E108:T108,"t")+COUNTIF($E108:T108,"¶")+COUNTIF($E108:T108,"²")+COUNTIF($E108:T108,"µ")+COUNTIF($E108:T108,1),ColLivraison)=U$6,
  VLOOKUP($E108,INDIRECT("tri!"&amp; CHAR(64+ C0Col) &amp;":"&amp; CHAR(65+C0Col)),2,FALSE)&gt;COUNTIF($E108:T108,"u")+COUNTIF($E108:T108,"t")+COUNTIF($E108:T108,"¶")+COUNTIF($E108:T108,"²")+COUNTIF($E108:T108,"µ")+COUNTIF($E108:T108,1)),
HYPERLINK("#Roadmap!C"&amp; MATCH($E108,Roadmap!$D:$D,0)+COUNTIF($E108:T108,"u")+COUNTIF($E108:T108,"t"),
     INDEX(Roadmap!$D:$K,MATCH($E108,Roadmap!$D:$D,0)+COUNTIF($E108:T108,"u")+COUNTIF($E108:T108,"t")+COUNTIF($E108:T108,"¶")+COUNTIF($E108:T108,"²")+COUNTIF($E108:T108,"µ")+COUNTIF($E108:T108,1),ColTypeEcheance)),
  IF(LEN(T108)=1,
  IF(LEN(INDEX(Roadmap!$D:$K,MATCH($E108,Roadmap!$D:$D,0)-1+COUNTIF($E108:T108,"u")+COUNTIF($E108:T108,"t")+COUNTIF($E108:T108,"¶")+COUNTIF($E108:T108,"²")+COUNTIF($E108:T108,"µ")+COUNTIF($E108:T108,1),ColDescriptionCourte))&gt;1,
HYPERLINK("#Roadmap!C"&amp; MATCH($E108,Roadmap!$D:$D,0)+COUNTIF($E108:T108,"u")+COUNTIF($E108:T108,"t")+COUNTIF($E108:T108,"¶")+COUNTIF($E108:T108,"²")+COUNTIF($E108:T108,"µ")+COUNTIF($E108:T108,1)-1,INDEX(Roadmap!$D:$K,MATCH($E108,Roadmap!$D:$D,0)-1+COUNTIF($E108:T108,"u")+COUNTIF($E108:T108,"t")+COUNTIF($E108:T108,"¶")+COUNTIF($E108:T108,"²")+COUNTIF($E108:T108,"µ")+COUNTIF($E108:T108,1),ColDescriptionCourte)),""),
  "")),"")</f>
        <v/>
      </c>
      <c r="V108" s="40" t="str">
        <f ca="1">IFERROR(IF(AND(
  INDEX(Roadmap!$D:$K,MATCH($E108,Roadmap!$D:$D,0)+COUNTIF($E108:U108,"u")+COUNTIF($E108:U108,"t")+COUNTIF($E108:U108,"¶")+COUNTIF($E108:U108,"²")+COUNTIF($E108:U108,"µ")+COUNTIF($E108:U108,1),ColLivraison)=V$6,
  VLOOKUP($E108,INDIRECT("tri!"&amp; CHAR(64+ C0Col) &amp;":"&amp; CHAR(65+C0Col)),2,FALSE)&gt;COUNTIF($E108:U108,"u")+COUNTIF($E108:U108,"t")+COUNTIF($E108:U108,"¶")+COUNTIF($E108:U108,"²")+COUNTIF($E108:U108,"µ")+COUNTIF($E108:U108,1)),
HYPERLINK("#Roadmap!C"&amp; MATCH($E108,Roadmap!$D:$D,0)+COUNTIF($E108:U108,"u")+COUNTIF($E108:U108,"t"),
     INDEX(Roadmap!$D:$K,MATCH($E108,Roadmap!$D:$D,0)+COUNTIF($E108:U108,"u")+COUNTIF($E108:U108,"t")+COUNTIF($E108:U108,"¶")+COUNTIF($E108:U108,"²")+COUNTIF($E108:U108,"µ")+COUNTIF($E108:U108,1),ColTypeEcheance)),
  IF(LEN(U108)=1,
  IF(LEN(INDEX(Roadmap!$D:$K,MATCH($E108,Roadmap!$D:$D,0)-1+COUNTIF($E108:U108,"u")+COUNTIF($E108:U108,"t")+COUNTIF($E108:U108,"¶")+COUNTIF($E108:U108,"²")+COUNTIF($E108:U108,"µ")+COUNTIF($E108:U108,1),ColDescriptionCourte))&gt;1,
HYPERLINK("#Roadmap!C"&amp; MATCH($E108,Roadmap!$D:$D,0)+COUNTIF($E108:U108,"u")+COUNTIF($E108:U108,"t")+COUNTIF($E108:U108,"¶")+COUNTIF($E108:U108,"²")+COUNTIF($E108:U108,"µ")+COUNTIF($E108:U108,1)-1,INDEX(Roadmap!$D:$K,MATCH($E108,Roadmap!$D:$D,0)-1+COUNTIF($E108:U108,"u")+COUNTIF($E108:U108,"t")+COUNTIF($E108:U108,"¶")+COUNTIF($E108:U108,"²")+COUNTIF($E108:U108,"µ")+COUNTIF($E108:U108,1),ColDescriptionCourte)),""),
  "")),"")</f>
        <v/>
      </c>
      <c r="W108" s="40" t="str">
        <f ca="1">IFERROR(IF(AND(
  INDEX(Roadmap!$D:$K,MATCH($E108,Roadmap!$D:$D,0)+COUNTIF($E108:V108,"u")+COUNTIF($E108:V108,"t")+COUNTIF($E108:V108,"¶")+COUNTIF($E108:V108,"²")+COUNTIF($E108:V108,"µ")+COUNTIF($E108:V108,1),ColLivraison)=W$6,
  VLOOKUP($E108,INDIRECT("tri!"&amp; CHAR(64+ C0Col) &amp;":"&amp; CHAR(65+C0Col)),2,FALSE)&gt;COUNTIF($E108:V108,"u")+COUNTIF($E108:V108,"t")+COUNTIF($E108:V108,"¶")+COUNTIF($E108:V108,"²")+COUNTIF($E108:V108,"µ")+COUNTIF($E108:V108,1)),
HYPERLINK("#Roadmap!C"&amp; MATCH($E108,Roadmap!$D:$D,0)+COUNTIF($E108:V108,"u")+COUNTIF($E108:V108,"t"),
     INDEX(Roadmap!$D:$K,MATCH($E108,Roadmap!$D:$D,0)+COUNTIF($E108:V108,"u")+COUNTIF($E108:V108,"t")+COUNTIF($E108:V108,"¶")+COUNTIF($E108:V108,"²")+COUNTIF($E108:V108,"µ")+COUNTIF($E108:V108,1),ColTypeEcheance)),
  IF(LEN(V108)=1,
  IF(LEN(INDEX(Roadmap!$D:$K,MATCH($E108,Roadmap!$D:$D,0)-1+COUNTIF($E108:V108,"u")+COUNTIF($E108:V108,"t")+COUNTIF($E108:V108,"¶")+COUNTIF($E108:V108,"²")+COUNTIF($E108:V108,"µ")+COUNTIF($E108:V108,1),ColDescriptionCourte))&gt;1,
HYPERLINK("#Roadmap!C"&amp; MATCH($E108,Roadmap!$D:$D,0)+COUNTIF($E108:V108,"u")+COUNTIF($E108:V108,"t")+COUNTIF($E108:V108,"¶")+COUNTIF($E108:V108,"²")+COUNTIF($E108:V108,"µ")+COUNTIF($E108:V108,1)-1,INDEX(Roadmap!$D:$K,MATCH($E108,Roadmap!$D:$D,0)-1+COUNTIF($E108:V108,"u")+COUNTIF($E108:V108,"t")+COUNTIF($E108:V108,"¶")+COUNTIF($E108:V108,"²")+COUNTIF($E108:V108,"µ")+COUNTIF($E108:V108,1),ColDescriptionCourte)),""),
  "")),"")</f>
        <v/>
      </c>
      <c r="X108" s="40" t="str">
        <f ca="1">IFERROR(IF(AND(
  INDEX(Roadmap!$D:$K,MATCH($E108,Roadmap!$D:$D,0)+COUNTIF($E108:W108,"u")+COUNTIF($E108:W108,"t")+COUNTIF($E108:W108,"¶")+COUNTIF($E108:W108,"²")+COUNTIF($E108:W108,"µ")+COUNTIF($E108:W108,1),ColLivraison)=X$6,
  VLOOKUP($E108,INDIRECT("tri!"&amp; CHAR(64+ C0Col) &amp;":"&amp; CHAR(65+C0Col)),2,FALSE)&gt;COUNTIF($E108:W108,"u")+COUNTIF($E108:W108,"t")+COUNTIF($E108:W108,"¶")+COUNTIF($E108:W108,"²")+COUNTIF($E108:W108,"µ")+COUNTIF($E108:W108,1)),
HYPERLINK("#Roadmap!C"&amp; MATCH($E108,Roadmap!$D:$D,0)+COUNTIF($E108:W108,"u")+COUNTIF($E108:W108,"t"),
     INDEX(Roadmap!$D:$K,MATCH($E108,Roadmap!$D:$D,0)+COUNTIF($E108:W108,"u")+COUNTIF($E108:W108,"t")+COUNTIF($E108:W108,"¶")+COUNTIF($E108:W108,"²")+COUNTIF($E108:W108,"µ")+COUNTIF($E108:W108,1),ColTypeEcheance)),
  IF(LEN(W108)=1,
  IF(LEN(INDEX(Roadmap!$D:$K,MATCH($E108,Roadmap!$D:$D,0)-1+COUNTIF($E108:W108,"u")+COUNTIF($E108:W108,"t")+COUNTIF($E108:W108,"¶")+COUNTIF($E108:W108,"²")+COUNTIF($E108:W108,"µ")+COUNTIF($E108:W108,1),ColDescriptionCourte))&gt;1,
HYPERLINK("#Roadmap!C"&amp; MATCH($E108,Roadmap!$D:$D,0)+COUNTIF($E108:W108,"u")+COUNTIF($E108:W108,"t")+COUNTIF($E108:W108,"¶")+COUNTIF($E108:W108,"²")+COUNTIF($E108:W108,"µ")+COUNTIF($E108:W108,1)-1,INDEX(Roadmap!$D:$K,MATCH($E108,Roadmap!$D:$D,0)-1+COUNTIF($E108:W108,"u")+COUNTIF($E108:W108,"t")+COUNTIF($E108:W108,"¶")+COUNTIF($E108:W108,"²")+COUNTIF($E108:W108,"µ")+COUNTIF($E108:W108,1),ColDescriptionCourte)),""),
  "")),"")</f>
        <v/>
      </c>
      <c r="Y108" s="40" t="str">
        <f ca="1">IFERROR(IF(AND(
  INDEX(Roadmap!$D:$K,MATCH($E108,Roadmap!$D:$D,0)+COUNTIF($E108:X108,"u")+COUNTIF($E108:X108,"t")+COUNTIF($E108:X108,"¶")+COUNTIF($E108:X108,"²")+COUNTIF($E108:X108,"µ")+COUNTIF($E108:X108,1),ColLivraison)=Y$6,
  VLOOKUP($E108,INDIRECT("tri!"&amp; CHAR(64+ C0Col) &amp;":"&amp; CHAR(65+C0Col)),2,FALSE)&gt;COUNTIF($E108:X108,"u")+COUNTIF($E108:X108,"t")+COUNTIF($E108:X108,"¶")+COUNTIF($E108:X108,"²")+COUNTIF($E108:X108,"µ")+COUNTIF($E108:X108,1)),
HYPERLINK("#Roadmap!C"&amp; MATCH($E108,Roadmap!$D:$D,0)+COUNTIF($E108:X108,"u")+COUNTIF($E108:X108,"t"),
     INDEX(Roadmap!$D:$K,MATCH($E108,Roadmap!$D:$D,0)+COUNTIF($E108:X108,"u")+COUNTIF($E108:X108,"t")+COUNTIF($E108:X108,"¶")+COUNTIF($E108:X108,"²")+COUNTIF($E108:X108,"µ")+COUNTIF($E108:X108,1),ColTypeEcheance)),
  IF(LEN(X108)=1,
  IF(LEN(INDEX(Roadmap!$D:$K,MATCH($E108,Roadmap!$D:$D,0)-1+COUNTIF($E108:X108,"u")+COUNTIF($E108:X108,"t")+COUNTIF($E108:X108,"¶")+COUNTIF($E108:X108,"²")+COUNTIF($E108:X108,"µ")+COUNTIF($E108:X108,1),ColDescriptionCourte))&gt;1,
HYPERLINK("#Roadmap!C"&amp; MATCH($E108,Roadmap!$D:$D,0)+COUNTIF($E108:X108,"u")+COUNTIF($E108:X108,"t")+COUNTIF($E108:X108,"¶")+COUNTIF($E108:X108,"²")+COUNTIF($E108:X108,"µ")+COUNTIF($E108:X108,1)-1,INDEX(Roadmap!$D:$K,MATCH($E108,Roadmap!$D:$D,0)-1+COUNTIF($E108:X108,"u")+COUNTIF($E108:X108,"t")+COUNTIF($E108:X108,"¶")+COUNTIF($E108:X108,"²")+COUNTIF($E108:X108,"µ")+COUNTIF($E108:X108,1),ColDescriptionCourte)),""),
  "")),"")</f>
        <v/>
      </c>
      <c r="Z108" s="40" t="str">
        <f ca="1">IFERROR(IF(AND(
  INDEX(Roadmap!$D:$K,MATCH($E108,Roadmap!$D:$D,0)+COUNTIF($E108:Y108,"u")+COUNTIF($E108:Y108,"t")+COUNTIF($E108:Y108,"¶")+COUNTIF($E108:Y108,"²")+COUNTIF($E108:Y108,"µ")+COUNTIF($E108:Y108,1),ColLivraison)=Z$6,
  VLOOKUP($E108,INDIRECT("tri!"&amp; CHAR(64+ C0Col) &amp;":"&amp; CHAR(65+C0Col)),2,FALSE)&gt;COUNTIF($E108:Y108,"u")+COUNTIF($E108:Y108,"t")+COUNTIF($E108:Y108,"¶")+COUNTIF($E108:Y108,"²")+COUNTIF($E108:Y108,"µ")+COUNTIF($E108:Y108,1)),
HYPERLINK("#Roadmap!C"&amp; MATCH($E108,Roadmap!$D:$D,0)+COUNTIF($E108:Y108,"u")+COUNTIF($E108:Y108,"t"),
     INDEX(Roadmap!$D:$K,MATCH($E108,Roadmap!$D:$D,0)+COUNTIF($E108:Y108,"u")+COUNTIF($E108:Y108,"t")+COUNTIF($E108:Y108,"¶")+COUNTIF($E108:Y108,"²")+COUNTIF($E108:Y108,"µ")+COUNTIF($E108:Y108,1),ColTypeEcheance)),
  IF(LEN(Y108)=1,
  IF(LEN(INDEX(Roadmap!$D:$K,MATCH($E108,Roadmap!$D:$D,0)-1+COUNTIF($E108:Y108,"u")+COUNTIF($E108:Y108,"t")+COUNTIF($E108:Y108,"¶")+COUNTIF($E108:Y108,"²")+COUNTIF($E108:Y108,"µ")+COUNTIF($E108:Y108,1),ColDescriptionCourte))&gt;1,
HYPERLINK("#Roadmap!C"&amp; MATCH($E108,Roadmap!$D:$D,0)+COUNTIF($E108:Y108,"u")+COUNTIF($E108:Y108,"t")+COUNTIF($E108:Y108,"¶")+COUNTIF($E108:Y108,"²")+COUNTIF($E108:Y108,"µ")+COUNTIF($E108:Y108,1)-1,INDEX(Roadmap!$D:$K,MATCH($E108,Roadmap!$D:$D,0)-1+COUNTIF($E108:Y108,"u")+COUNTIF($E108:Y108,"t")+COUNTIF($E108:Y108,"¶")+COUNTIF($E108:Y108,"²")+COUNTIF($E108:Y108,"µ")+COUNTIF($E108:Y108,1),ColDescriptionCourte)),""),
  "")),"")</f>
        <v/>
      </c>
      <c r="AA108" s="40" t="str">
        <f ca="1">IFERROR(IF(AND(
  INDEX(Roadmap!$D:$K,MATCH($E108,Roadmap!$D:$D,0)+COUNTIF($E108:Z108,"u")+COUNTIF($E108:Z108,"t")+COUNTIF($E108:Z108,"¶")+COUNTIF($E108:Z108,"²")+COUNTIF($E108:Z108,"µ")+COUNTIF($E108:Z108,1),ColLivraison)=AA$6,
  VLOOKUP($E108,INDIRECT("tri!"&amp; CHAR(64+ C0Col) &amp;":"&amp; CHAR(65+C0Col)),2,FALSE)&gt;COUNTIF($E108:Z108,"u")+COUNTIF($E108:Z108,"t")+COUNTIF($E108:Z108,"¶")+COUNTIF($E108:Z108,"²")+COUNTIF($E108:Z108,"µ")+COUNTIF($E108:Z108,1)),
HYPERLINK("#Roadmap!C"&amp; MATCH($E108,Roadmap!$D:$D,0)+COUNTIF($E108:Z108,"u")+COUNTIF($E108:Z108,"t"),
     INDEX(Roadmap!$D:$K,MATCH($E108,Roadmap!$D:$D,0)+COUNTIF($E108:Z108,"u")+COUNTIF($E108:Z108,"t")+COUNTIF($E108:Z108,"¶")+COUNTIF($E108:Z108,"²")+COUNTIF($E108:Z108,"µ")+COUNTIF($E108:Z108,1),ColTypeEcheance)),
  IF(LEN(Z108)=1,
  IF(LEN(INDEX(Roadmap!$D:$K,MATCH($E108,Roadmap!$D:$D,0)-1+COUNTIF($E108:Z108,"u")+COUNTIF($E108:Z108,"t")+COUNTIF($E108:Z108,"¶")+COUNTIF($E108:Z108,"²")+COUNTIF($E108:Z108,"µ")+COUNTIF($E108:Z108,1),ColDescriptionCourte))&gt;1,
HYPERLINK("#Roadmap!C"&amp; MATCH($E108,Roadmap!$D:$D,0)+COUNTIF($E108:Z108,"u")+COUNTIF($E108:Z108,"t")+COUNTIF($E108:Z108,"¶")+COUNTIF($E108:Z108,"²")+COUNTIF($E108:Z108,"µ")+COUNTIF($E108:Z108,1)-1,INDEX(Roadmap!$D:$K,MATCH($E108,Roadmap!$D:$D,0)-1+COUNTIF($E108:Z108,"u")+COUNTIF($E108:Z108,"t")+COUNTIF($E108:Z108,"¶")+COUNTIF($E108:Z108,"²")+COUNTIF($E108:Z108,"µ")+COUNTIF($E108:Z108,1),ColDescriptionCourte)),""),
  "")),"")</f>
        <v/>
      </c>
      <c r="AB108" s="40" t="str">
        <f ca="1">IFERROR(IF(AND(
  INDEX(Roadmap!$D:$K,MATCH($E108,Roadmap!$D:$D,0)+COUNTIF($E108:AA108,"u")+COUNTIF($E108:AA108,"t")+COUNTIF($E108:AA108,"¶")+COUNTIF($E108:AA108,"²")+COUNTIF($E108:AA108,"µ")+COUNTIF($E108:AA108,1),ColLivraison)=AB$6,
  VLOOKUP($E108,INDIRECT("tri!"&amp; CHAR(64+ C0Col) &amp;":"&amp; CHAR(65+C0Col)),2,FALSE)&gt;COUNTIF($E108:AA108,"u")+COUNTIF($E108:AA108,"t")+COUNTIF($E108:AA108,"¶")+COUNTIF($E108:AA108,"²")+COUNTIF($E108:AA108,"µ")+COUNTIF($E108:AA108,1)),
HYPERLINK("#Roadmap!C"&amp; MATCH($E108,Roadmap!$D:$D,0)+COUNTIF($E108:AA108,"u")+COUNTIF($E108:AA108,"t"),
     INDEX(Roadmap!$D:$K,MATCH($E108,Roadmap!$D:$D,0)+COUNTIF($E108:AA108,"u")+COUNTIF($E108:AA108,"t")+COUNTIF($E108:AA108,"¶")+COUNTIF($E108:AA108,"²")+COUNTIF($E108:AA108,"µ")+COUNTIF($E108:AA108,1),ColTypeEcheance)),
  IF(LEN(AA108)=1,
  IF(LEN(INDEX(Roadmap!$D:$K,MATCH($E108,Roadmap!$D:$D,0)-1+COUNTIF($E108:AA108,"u")+COUNTIF($E108:AA108,"t")+COUNTIF($E108:AA108,"¶")+COUNTIF($E108:AA108,"²")+COUNTIF($E108:AA108,"µ")+COUNTIF($E108:AA108,1),ColDescriptionCourte))&gt;1,
HYPERLINK("#Roadmap!C"&amp; MATCH($E108,Roadmap!$D:$D,0)+COUNTIF($E108:AA108,"u")+COUNTIF($E108:AA108,"t")+COUNTIF($E108:AA108,"¶")+COUNTIF($E108:AA108,"²")+COUNTIF($E108:AA108,"µ")+COUNTIF($E108:AA108,1)-1,INDEX(Roadmap!$D:$K,MATCH($E108,Roadmap!$D:$D,0)-1+COUNTIF($E108:AA108,"u")+COUNTIF($E108:AA108,"t")+COUNTIF($E108:AA108,"¶")+COUNTIF($E108:AA108,"²")+COUNTIF($E108:AA108,"µ")+COUNTIF($E108:AA108,1),ColDescriptionCourte)),""),
  "")),"")</f>
        <v/>
      </c>
      <c r="AC108" s="40" t="str">
        <f ca="1">IFERROR(IF(AND(
  INDEX(Roadmap!$D:$K,MATCH($E108,Roadmap!$D:$D,0)+COUNTIF($E108:AB108,"u")+COUNTIF($E108:AB108,"t")+COUNTIF($E108:AB108,"¶")+COUNTIF($E108:AB108,"²")+COUNTIF($E108:AB108,"µ")+COUNTIF($E108:AB108,1),ColLivraison)=AC$6,
  VLOOKUP($E108,INDIRECT("tri!"&amp; CHAR(64+ C0Col) &amp;":"&amp; CHAR(65+C0Col)),2,FALSE)&gt;COUNTIF($E108:AB108,"u")+COUNTIF($E108:AB108,"t")+COUNTIF($E108:AB108,"¶")+COUNTIF($E108:AB108,"²")+COUNTIF($E108:AB108,"µ")+COUNTIF($E108:AB108,1)),
HYPERLINK("#Roadmap!C"&amp; MATCH($E108,Roadmap!$D:$D,0)+COUNTIF($E108:AB108,"u")+COUNTIF($E108:AB108,"t"),
     INDEX(Roadmap!$D:$K,MATCH($E108,Roadmap!$D:$D,0)+COUNTIF($E108:AB108,"u")+COUNTIF($E108:AB108,"t")+COUNTIF($E108:AB108,"¶")+COUNTIF($E108:AB108,"²")+COUNTIF($E108:AB108,"µ")+COUNTIF($E108:AB108,1),ColTypeEcheance)),
  IF(LEN(AB108)=1,
  IF(LEN(INDEX(Roadmap!$D:$K,MATCH($E108,Roadmap!$D:$D,0)-1+COUNTIF($E108:AB108,"u")+COUNTIF($E108:AB108,"t")+COUNTIF($E108:AB108,"¶")+COUNTIF($E108:AB108,"²")+COUNTIF($E108:AB108,"µ")+COUNTIF($E108:AB108,1),ColDescriptionCourte))&gt;1,
HYPERLINK("#Roadmap!C"&amp; MATCH($E108,Roadmap!$D:$D,0)+COUNTIF($E108:AB108,"u")+COUNTIF($E108:AB108,"t")+COUNTIF($E108:AB108,"¶")+COUNTIF($E108:AB108,"²")+COUNTIF($E108:AB108,"µ")+COUNTIF($E108:AB108,1)-1,INDEX(Roadmap!$D:$K,MATCH($E108,Roadmap!$D:$D,0)-1+COUNTIF($E108:AB108,"u")+COUNTIF($E108:AB108,"t")+COUNTIF($E108:AB108,"¶")+COUNTIF($E108:AB108,"²")+COUNTIF($E108:AB108,"µ")+COUNTIF($E108:AB108,1),ColDescriptionCourte)),""),
  "")),"")</f>
        <v/>
      </c>
      <c r="AD108" s="40" t="str">
        <f ca="1">IFERROR(IF(AND(
  INDEX(Roadmap!$D:$K,MATCH($E108,Roadmap!$D:$D,0)+COUNTIF($E108:AC108,"u")+COUNTIF($E108:AC108,"t")+COUNTIF($E108:AC108,"¶")+COUNTIF($E108:AC108,"²")+COUNTIF($E108:AC108,"µ")+COUNTIF($E108:AC108,1),ColLivraison)=AD$6,
  VLOOKUP($E108,INDIRECT("tri!"&amp; CHAR(64+ C0Col) &amp;":"&amp; CHAR(65+C0Col)),2,FALSE)&gt;COUNTIF($E108:AC108,"u")+COUNTIF($E108:AC108,"t")+COUNTIF($E108:AC108,"¶")+COUNTIF($E108:AC108,"²")+COUNTIF($E108:AC108,"µ")+COUNTIF($E108:AC108,1)),
HYPERLINK("#Roadmap!C"&amp; MATCH($E108,Roadmap!$D:$D,0)+COUNTIF($E108:AC108,"u")+COUNTIF($E108:AC108,"t"),
     INDEX(Roadmap!$D:$K,MATCH($E108,Roadmap!$D:$D,0)+COUNTIF($E108:AC108,"u")+COUNTIF($E108:AC108,"t")+COUNTIF($E108:AC108,"¶")+COUNTIF($E108:AC108,"²")+COUNTIF($E108:AC108,"µ")+COUNTIF($E108:AC108,1),ColTypeEcheance)),
  IF(LEN(AC108)=1,
  IF(LEN(INDEX(Roadmap!$D:$K,MATCH($E108,Roadmap!$D:$D,0)-1+COUNTIF($E108:AC108,"u")+COUNTIF($E108:AC108,"t")+COUNTIF($E108:AC108,"¶")+COUNTIF($E108:AC108,"²")+COUNTIF($E108:AC108,"µ")+COUNTIF($E108:AC108,1),ColDescriptionCourte))&gt;1,
HYPERLINK("#Roadmap!C"&amp; MATCH($E108,Roadmap!$D:$D,0)+COUNTIF($E108:AC108,"u")+COUNTIF($E108:AC108,"t")+COUNTIF($E108:AC108,"¶")+COUNTIF($E108:AC108,"²")+COUNTIF($E108:AC108,"µ")+COUNTIF($E108:AC108,1)-1,INDEX(Roadmap!$D:$K,MATCH($E108,Roadmap!$D:$D,0)-1+COUNTIF($E108:AC108,"u")+COUNTIF($E108:AC108,"t")+COUNTIF($E108:AC108,"¶")+COUNTIF($E108:AC108,"²")+COUNTIF($E108:AC108,"µ")+COUNTIF($E108:AC108,1),ColDescriptionCourte)),""),
  "")),"")</f>
        <v/>
      </c>
      <c r="AE108" s="40" t="str">
        <f ca="1">IFERROR(IF(AND(
  INDEX(Roadmap!$D:$K,MATCH($E108,Roadmap!$D:$D,0)+COUNTIF($E108:AD108,"u")+COUNTIF($E108:AD108,"t")+COUNTIF($E108:AD108,"¶")+COUNTIF($E108:AD108,"²")+COUNTIF($E108:AD108,"µ")+COUNTIF($E108:AD108,1),ColLivraison)=AE$6,
  VLOOKUP($E108,INDIRECT("tri!"&amp; CHAR(64+ C0Col) &amp;":"&amp; CHAR(65+C0Col)),2,FALSE)&gt;COUNTIF($E108:AD108,"u")+COUNTIF($E108:AD108,"t")+COUNTIF($E108:AD108,"¶")+COUNTIF($E108:AD108,"²")+COUNTIF($E108:AD108,"µ")+COUNTIF($E108:AD108,1)),
HYPERLINK("#Roadmap!C"&amp; MATCH($E108,Roadmap!$D:$D,0)+COUNTIF($E108:AD108,"u")+COUNTIF($E108:AD108,"t"),
     INDEX(Roadmap!$D:$K,MATCH($E108,Roadmap!$D:$D,0)+COUNTIF($E108:AD108,"u")+COUNTIF($E108:AD108,"t")+COUNTIF($E108:AD108,"¶")+COUNTIF($E108:AD108,"²")+COUNTIF($E108:AD108,"µ")+COUNTIF($E108:AD108,1),ColTypeEcheance)),
  IF(LEN(AD108)=1,
  IF(LEN(INDEX(Roadmap!$D:$K,MATCH($E108,Roadmap!$D:$D,0)-1+COUNTIF($E108:AD108,"u")+COUNTIF($E108:AD108,"t")+COUNTIF($E108:AD108,"¶")+COUNTIF($E108:AD108,"²")+COUNTIF($E108:AD108,"µ")+COUNTIF($E108:AD108,1),ColDescriptionCourte))&gt;1,
HYPERLINK("#Roadmap!C"&amp; MATCH($E108,Roadmap!$D:$D,0)+COUNTIF($E108:AD108,"u")+COUNTIF($E108:AD108,"t")+COUNTIF($E108:AD108,"¶")+COUNTIF($E108:AD108,"²")+COUNTIF($E108:AD108,"µ")+COUNTIF($E108:AD108,1)-1,INDEX(Roadmap!$D:$K,MATCH($E108,Roadmap!$D:$D,0)-1+COUNTIF($E108:AD108,"u")+COUNTIF($E108:AD108,"t")+COUNTIF($E108:AD108,"¶")+COUNTIF($E108:AD108,"²")+COUNTIF($E108:AD108,"µ")+COUNTIF($E108:AD108,1),ColDescriptionCourte)),""),
  "")),"")</f>
        <v/>
      </c>
      <c r="AF108" s="40" t="str">
        <f ca="1">IFERROR(IF(AND(
  INDEX(Roadmap!$D:$K,MATCH($E108,Roadmap!$D:$D,0)+COUNTIF($E108:AE108,"u")+COUNTIF($E108:AE108,"t")+COUNTIF($E108:AE108,"¶")+COUNTIF($E108:AE108,"²")+COUNTIF($E108:AE108,"µ")+COUNTIF($E108:AE108,1),ColLivraison)=AF$6,
  VLOOKUP($E108,INDIRECT("tri!"&amp; CHAR(64+ C0Col) &amp;":"&amp; CHAR(65+C0Col)),2,FALSE)&gt;COUNTIF($E108:AE108,"u")+COUNTIF($E108:AE108,"t")+COUNTIF($E108:AE108,"¶")+COUNTIF($E108:AE108,"²")+COUNTIF($E108:AE108,"µ")+COUNTIF($E108:AE108,1)),
HYPERLINK("#Roadmap!C"&amp; MATCH($E108,Roadmap!$D:$D,0)+COUNTIF($E108:AE108,"u")+COUNTIF($E108:AE108,"t"),
     INDEX(Roadmap!$D:$K,MATCH($E108,Roadmap!$D:$D,0)+COUNTIF($E108:AE108,"u")+COUNTIF($E108:AE108,"t")+COUNTIF($E108:AE108,"¶")+COUNTIF($E108:AE108,"²")+COUNTIF($E108:AE108,"µ")+COUNTIF($E108:AE108,1),ColTypeEcheance)),
  IF(LEN(AE108)=1,
  IF(LEN(INDEX(Roadmap!$D:$K,MATCH($E108,Roadmap!$D:$D,0)-1+COUNTIF($E108:AE108,"u")+COUNTIF($E108:AE108,"t")+COUNTIF($E108:AE108,"¶")+COUNTIF($E108:AE108,"²")+COUNTIF($E108:AE108,"µ")+COUNTIF($E108:AE108,1),ColDescriptionCourte))&gt;1,
HYPERLINK("#Roadmap!C"&amp; MATCH($E108,Roadmap!$D:$D,0)+COUNTIF($E108:AE108,"u")+COUNTIF($E108:AE108,"t")+COUNTIF($E108:AE108,"¶")+COUNTIF($E108:AE108,"²")+COUNTIF($E108:AE108,"µ")+COUNTIF($E108:AE108,1)-1,INDEX(Roadmap!$D:$K,MATCH($E108,Roadmap!$D:$D,0)-1+COUNTIF($E108:AE108,"u")+COUNTIF($E108:AE108,"t")+COUNTIF($E108:AE108,"¶")+COUNTIF($E108:AE108,"²")+COUNTIF($E108:AE108,"µ")+COUNTIF($E108:AE108,1),ColDescriptionCourte)),""),
  "")),"")</f>
        <v/>
      </c>
      <c r="AG108" s="40" t="str">
        <f ca="1">IFERROR(IF(AND(
  INDEX(Roadmap!$D:$K,MATCH($E108,Roadmap!$D:$D,0)+COUNTIF($E108:AF108,"u")+COUNTIF($E108:AF108,"t")+COUNTIF($E108:AF108,"¶")+COUNTIF($E108:AF108,"²")+COUNTIF($E108:AF108,"µ")+COUNTIF($E108:AF108,1),ColLivraison)=AG$6,
  VLOOKUP($E108,INDIRECT("tri!"&amp; CHAR(64+ C0Col) &amp;":"&amp; CHAR(65+C0Col)),2,FALSE)&gt;COUNTIF($E108:AF108,"u")+COUNTIF($E108:AF108,"t")+COUNTIF($E108:AF108,"¶")+COUNTIF($E108:AF108,"²")+COUNTIF($E108:AF108,"µ")+COUNTIF($E108:AF108,1)),
HYPERLINK("#Roadmap!C"&amp; MATCH($E108,Roadmap!$D:$D,0)+COUNTIF($E108:AF108,"u")+COUNTIF($E108:AF108,"t"),
     INDEX(Roadmap!$D:$K,MATCH($E108,Roadmap!$D:$D,0)+COUNTIF($E108:AF108,"u")+COUNTIF($E108:AF108,"t")+COUNTIF($E108:AF108,"¶")+COUNTIF($E108:AF108,"²")+COUNTIF($E108:AF108,"µ")+COUNTIF($E108:AF108,1),ColTypeEcheance)),
  IF(LEN(AF108)=1,
  IF(LEN(INDEX(Roadmap!$D:$K,MATCH($E108,Roadmap!$D:$D,0)-1+COUNTIF($E108:AF108,"u")+COUNTIF($E108:AF108,"t")+COUNTIF($E108:AF108,"¶")+COUNTIF($E108:AF108,"²")+COUNTIF($E108:AF108,"µ")+COUNTIF($E108:AF108,1),ColDescriptionCourte))&gt;1,
HYPERLINK("#Roadmap!C"&amp; MATCH($E108,Roadmap!$D:$D,0)+COUNTIF($E108:AF108,"u")+COUNTIF($E108:AF108,"t")+COUNTIF($E108:AF108,"¶")+COUNTIF($E108:AF108,"²")+COUNTIF($E108:AF108,"µ")+COUNTIF($E108:AF108,1)-1,INDEX(Roadmap!$D:$K,MATCH($E108,Roadmap!$D:$D,0)-1+COUNTIF($E108:AF108,"u")+COUNTIF($E108:AF108,"t")+COUNTIF($E108:AF108,"¶")+COUNTIF($E108:AF108,"²")+COUNTIF($E108:AF108,"µ")+COUNTIF($E108:AF108,1),ColDescriptionCourte)),""),
  "")),"")</f>
        <v/>
      </c>
      <c r="AH108" s="40" t="str">
        <f ca="1">IFERROR(IF(AND(
  INDEX(Roadmap!$D:$K,MATCH($E108,Roadmap!$D:$D,0)+COUNTIF($E108:AG108,"u")+COUNTIF($E108:AG108,"t")+COUNTIF($E108:AG108,1),ColLivraison)=AH$6,
  VLOOKUP($E108,INDIRECT("tri!"&amp; CHAR(64+ C0Col) &amp;":"&amp; CHAR(65+C0Col)),2,FALSE)&gt;COUNTIF($E108:AG108,"u")+COUNTIF($E108:AG108,"t")+COUNTIF($E108:AG108,1)),
HYPERLINK("#Roadmap!C"&amp; MATCH($E108,Roadmap!$D:$D,0)+COUNTIF($E108:AG108,"u")+COUNTIF($E108:AG108,"t"),
     INDEX(Roadmap!$D:$K,MATCH($E108,Roadmap!$D:$D,0)+COUNTIF($E108:AG108,"u")+COUNTIF($E108:AG108,"t")+COUNTIF($E108:AG108,1),ColTypeEcheance)),
  IF(OR(AG108="u",AG108="t",AG108=1),
  IF(LEN(INDEX(Roadmap!$D:$K,MATCH($E108,Roadmap!$D:$D,0)-1+COUNTIF($E108:AG108,"u")+COUNTIF($E108:AG108,"t")+COUNTIF($E108:AG108,1),ColDescriptionCourte))&gt;1,
HYPERLINK("#Roadmap!C"&amp; MATCH($E108,Roadmap!$D:$D,0)+COUNTIF($E108:AG108,"u")+COUNTIF($E108:AG108,"t")+COUNTIF($E108:AG108,1)-1,INDEX(Roadmap!$D:$K,MATCH($E108,Roadmap!$D:$D,0)-1+COUNTIF($E108:AG108,"u")+COUNTIF($E108:AG108,"t")+COUNTIF($E108:AG108,1),ColDescriptionCourte)),""),
  "")),"")</f>
        <v/>
      </c>
      <c r="AI108" s="40"/>
      <c r="AJ108" s="40"/>
      <c r="AK108" s="40"/>
      <c r="AL108" s="40"/>
      <c r="AM108" s="40"/>
    </row>
    <row r="109" spans="4:39" ht="14.1" customHeight="1">
      <c r="D109" s="20" t="str">
        <f t="shared" ca="1" si="29"/>
        <v/>
      </c>
      <c r="E109" s="53" t="str">
        <f t="shared" ca="1" si="30"/>
        <v/>
      </c>
      <c r="F109" s="39" t="str">
        <f ca="1">IFERROR(IF(AND(
  INDEX(Roadmap!$D:$K,MATCH($E109,Roadmap!$D:$D,0)+COUNTIF($E109:E109,"u")+COUNTIF($E109:E109,"t")+COUNTIF($E109:E109,"¶")+COUNTIF($E109:E109,"²")+COUNTIF($E109:E109,"µ")+COUNTIF($E109:E109,1),ColLivraison)=F$6,
  VLOOKUP($E109,INDIRECT("tri!"&amp; CHAR(64+ C0Col) &amp;":"&amp; CHAR(65+C0Col)),2,FALSE)&gt;COUNTIF($E109:E109,"u")+COUNTIF($E109:E109,"t")+COUNTIF($E109:E109,"¶")+COUNTIF($E109:E109,"²")+COUNTIF($E109:E109,"µ")+COUNTIF($E109:E109,1)),
HYPERLINK("#Roadmap!C"&amp; MATCH($E109,Roadmap!$D:$D,0)+COUNTIF($E109:E109,"u")+COUNTIF($E109:E109,"t"),
     INDEX(Roadmap!$D:$K,MATCH($E109,Roadmap!$D:$D,0)+COUNTIF($E109:E109,"u")+COUNTIF($E109:E109,"t")+COUNTIF($E109:E109,"¶")+COUNTIF($E109:E109,"²")+COUNTIF($E109:E109,"µ")+COUNTIF($E109:E109,1),ColTypeEcheance)),
  IF(LEN(E109)=1,
  IF(LEN(INDEX(Roadmap!$D:$K,MATCH($E109,Roadmap!$D:$D,0)-1+COUNTIF($E109:E109,"u")+COUNTIF($E109:E109,"t")+COUNTIF($E109:E109,"¶")+COUNTIF($E109:E109,"²")+COUNTIF($E109:E109,"µ")+COUNTIF($E109:E109,1),ColDescriptionCourte))&gt;1,
HYPERLINK("#Roadmap!C"&amp; MATCH($E109,Roadmap!$D:$D,0)+COUNTIF($E109:E109,"u")+COUNTIF($E109:E109,"t")+COUNTIF($E109:E109,"¶")+COUNTIF($E109:E109,"²")+COUNTIF($E109:E109,"µ")+COUNTIF($E109:E109,1)-1,INDEX(Roadmap!$D:$K,MATCH($E109,Roadmap!$D:$D,0)-1+COUNTIF($E109:E109,"u")+COUNTIF($E109:E109,"t")+COUNTIF($E109:E109,"¶")+COUNTIF($E109:E109,"²")+COUNTIF($E109:E109,"µ")+COUNTIF($E109:E109,1),ColDescriptionCourte)),""),
  "")),"")</f>
        <v/>
      </c>
      <c r="G109" s="40" t="str">
        <f ca="1">IFERROR(IF(AND(
  INDEX(Roadmap!$D:$K,MATCH($E109,Roadmap!$D:$D,0)+COUNTIF($E109:F109,"u")+COUNTIF($E109:F109,"t")+COUNTIF($E109:F109,"¶")+COUNTIF($E109:F109,"²")+COUNTIF($E109:F109,"µ")+COUNTIF($E109:F109,1),ColLivraison)=G$6,
  VLOOKUP($E109,INDIRECT("tri!"&amp; CHAR(64+ C0Col) &amp;":"&amp; CHAR(65+C0Col)),2,FALSE)&gt;COUNTIF($E109:F109,"u")+COUNTIF($E109:F109,"t")+COUNTIF($E109:F109,"¶")+COUNTIF($E109:F109,"²")+COUNTIF($E109:F109,"µ")+COUNTIF($E109:F109,1)),
HYPERLINK("#Roadmap!C"&amp; MATCH($E109,Roadmap!$D:$D,0)+COUNTIF($E109:F109,"u")+COUNTIF($E109:F109,"t"),
     INDEX(Roadmap!$D:$K,MATCH($E109,Roadmap!$D:$D,0)+COUNTIF($E109:F109,"u")+COUNTIF($E109:F109,"t")+COUNTIF($E109:F109,"¶")+COUNTIF($E109:F109,"²")+COUNTIF($E109:F109,"µ")+COUNTIF($E109:F109,1),ColTypeEcheance)),
  IF(LEN(F109)=1,
  IF(LEN(INDEX(Roadmap!$D:$K,MATCH($E109,Roadmap!$D:$D,0)-1+COUNTIF($E109:F109,"u")+COUNTIF($E109:F109,"t")+COUNTIF($E109:F109,"¶")+COUNTIF($E109:F109,"²")+COUNTIF($E109:F109,"µ")+COUNTIF($E109:F109,1),ColDescriptionCourte))&gt;1,
HYPERLINK("#Roadmap!C"&amp; MATCH($E109,Roadmap!$D:$D,0)+COUNTIF($E109:F109,"u")+COUNTIF($E109:F109,"t")+COUNTIF($E109:F109,"¶")+COUNTIF($E109:F109,"²")+COUNTIF($E109:F109,"µ")+COUNTIF($E109:F109,1)-1,INDEX(Roadmap!$D:$K,MATCH($E109,Roadmap!$D:$D,0)-1+COUNTIF($E109:F109,"u")+COUNTIF($E109:F109,"t")+COUNTIF($E109:F109,"¶")+COUNTIF($E109:F109,"²")+COUNTIF($E109:F109,"µ")+COUNTIF($E109:F109,1),ColDescriptionCourte)),""),
  "")),"")</f>
        <v/>
      </c>
      <c r="H109" s="40" t="str">
        <f ca="1">IFERROR(IF(AND(
  INDEX(Roadmap!$D:$K,MATCH($E109,Roadmap!$D:$D,0)+COUNTIF($E109:G109,"u")+COUNTIF($E109:G109,"t")+COUNTIF($E109:G109,"¶")+COUNTIF($E109:G109,"²")+COUNTIF($E109:G109,"µ")+COUNTIF($E109:G109,1),ColLivraison)=H$6,
  VLOOKUP($E109,INDIRECT("tri!"&amp; CHAR(64+ C0Col) &amp;":"&amp; CHAR(65+C0Col)),2,FALSE)&gt;COUNTIF($E109:G109,"u")+COUNTIF($E109:G109,"t")+COUNTIF($E109:G109,"¶")+COUNTIF($E109:G109,"²")+COUNTIF($E109:G109,"µ")+COUNTIF($E109:G109,1)),
HYPERLINK("#Roadmap!C"&amp; MATCH($E109,Roadmap!$D:$D,0)+COUNTIF($E109:G109,"u")+COUNTIF($E109:G109,"t"),
     INDEX(Roadmap!$D:$K,MATCH($E109,Roadmap!$D:$D,0)+COUNTIF($E109:G109,"u")+COUNTIF($E109:G109,"t")+COUNTIF($E109:G109,"¶")+COUNTIF($E109:G109,"²")+COUNTIF($E109:G109,"µ")+COUNTIF($E109:G109,1),ColTypeEcheance)),
  IF(LEN(G109)=1,
  IF(LEN(INDEX(Roadmap!$D:$K,MATCH($E109,Roadmap!$D:$D,0)-1+COUNTIF($E109:G109,"u")+COUNTIF($E109:G109,"t")+COUNTIF($E109:G109,"¶")+COUNTIF($E109:G109,"²")+COUNTIF($E109:G109,"µ")+COUNTIF($E109:G109,1),ColDescriptionCourte))&gt;1,
HYPERLINK("#Roadmap!C"&amp; MATCH($E109,Roadmap!$D:$D,0)+COUNTIF($E109:G109,"u")+COUNTIF($E109:G109,"t")+COUNTIF($E109:G109,"¶")+COUNTIF($E109:G109,"²")+COUNTIF($E109:G109,"µ")+COUNTIF($E109:G109,1)-1,INDEX(Roadmap!$D:$K,MATCH($E109,Roadmap!$D:$D,0)-1+COUNTIF($E109:G109,"u")+COUNTIF($E109:G109,"t")+COUNTIF($E109:G109,"¶")+COUNTIF($E109:G109,"²")+COUNTIF($E109:G109,"µ")+COUNTIF($E109:G109,1),ColDescriptionCourte)),""),
  "")),"")</f>
        <v/>
      </c>
      <c r="I109" s="40" t="str">
        <f ca="1">IFERROR(IF(AND(
  INDEX(Roadmap!$D:$K,MATCH($E109,Roadmap!$D:$D,0)+COUNTIF($E109:H109,"u")+COUNTIF($E109:H109,"t")+COUNTIF($E109:H109,"¶")+COUNTIF($E109:H109,"²")+COUNTIF($E109:H109,"µ")+COUNTIF($E109:H109,1),ColLivraison)=I$6,
  VLOOKUP($E109,INDIRECT("tri!"&amp; CHAR(64+ C0Col) &amp;":"&amp; CHAR(65+C0Col)),2,FALSE)&gt;COUNTIF($E109:H109,"u")+COUNTIF($E109:H109,"t")+COUNTIF($E109:H109,"¶")+COUNTIF($E109:H109,"²")+COUNTIF($E109:H109,"µ")+COUNTIF($E109:H109,1)),
HYPERLINK("#Roadmap!C"&amp; MATCH($E109,Roadmap!$D:$D,0)+COUNTIF($E109:H109,"u")+COUNTIF($E109:H109,"t"),
     INDEX(Roadmap!$D:$K,MATCH($E109,Roadmap!$D:$D,0)+COUNTIF($E109:H109,"u")+COUNTIF($E109:H109,"t")+COUNTIF($E109:H109,"¶")+COUNTIF($E109:H109,"²")+COUNTIF($E109:H109,"µ")+COUNTIF($E109:H109,1),ColTypeEcheance)),
  IF(LEN(H109)=1,
  IF(LEN(INDEX(Roadmap!$D:$K,MATCH($E109,Roadmap!$D:$D,0)-1+COUNTIF($E109:H109,"u")+COUNTIF($E109:H109,"t")+COUNTIF($E109:H109,"¶")+COUNTIF($E109:H109,"²")+COUNTIF($E109:H109,"µ")+COUNTIF($E109:H109,1),ColDescriptionCourte))&gt;1,
HYPERLINK("#Roadmap!C"&amp; MATCH($E109,Roadmap!$D:$D,0)+COUNTIF($E109:H109,"u")+COUNTIF($E109:H109,"t")+COUNTIF($E109:H109,"¶")+COUNTIF($E109:H109,"²")+COUNTIF($E109:H109,"µ")+COUNTIF($E109:H109,1)-1,INDEX(Roadmap!$D:$K,MATCH($E109,Roadmap!$D:$D,0)-1+COUNTIF($E109:H109,"u")+COUNTIF($E109:H109,"t")+COUNTIF($E109:H109,"¶")+COUNTIF($E109:H109,"²")+COUNTIF($E109:H109,"µ")+COUNTIF($E109:H109,1),ColDescriptionCourte)),""),
  "")),"")</f>
        <v/>
      </c>
      <c r="J109" s="40" t="str">
        <f ca="1">IFERROR(IF(AND(
  INDEX(Roadmap!$D:$K,MATCH($E109,Roadmap!$D:$D,0)+COUNTIF($E109:I109,"u")+COUNTIF($E109:I109,"t")+COUNTIF($E109:I109,"¶")+COUNTIF($E109:I109,"²")+COUNTIF($E109:I109,"µ")+COUNTIF($E109:I109,1),ColLivraison)=J$6,
  VLOOKUP($E109,INDIRECT("tri!"&amp; CHAR(64+ C0Col) &amp;":"&amp; CHAR(65+C0Col)),2,FALSE)&gt;COUNTIF($E109:I109,"u")+COUNTIF($E109:I109,"t")+COUNTIF($E109:I109,"¶")+COUNTIF($E109:I109,"²")+COUNTIF($E109:I109,"µ")+COUNTIF($E109:I109,1)),
HYPERLINK("#Roadmap!C"&amp; MATCH($E109,Roadmap!$D:$D,0)+COUNTIF($E109:I109,"u")+COUNTIF($E109:I109,"t"),
     INDEX(Roadmap!$D:$K,MATCH($E109,Roadmap!$D:$D,0)+COUNTIF($E109:I109,"u")+COUNTIF($E109:I109,"t")+COUNTIF($E109:I109,"¶")+COUNTIF($E109:I109,"²")+COUNTIF($E109:I109,"µ")+COUNTIF($E109:I109,1),ColTypeEcheance)),
  IF(LEN(I109)=1,
  IF(LEN(INDEX(Roadmap!$D:$K,MATCH($E109,Roadmap!$D:$D,0)-1+COUNTIF($E109:I109,"u")+COUNTIF($E109:I109,"t")+COUNTIF($E109:I109,"¶")+COUNTIF($E109:I109,"²")+COUNTIF($E109:I109,"µ")+COUNTIF($E109:I109,1),ColDescriptionCourte))&gt;1,
HYPERLINK("#Roadmap!C"&amp; MATCH($E109,Roadmap!$D:$D,0)+COUNTIF($E109:I109,"u")+COUNTIF($E109:I109,"t")+COUNTIF($E109:I109,"¶")+COUNTIF($E109:I109,"²")+COUNTIF($E109:I109,"µ")+COUNTIF($E109:I109,1)-1,INDEX(Roadmap!$D:$K,MATCH($E109,Roadmap!$D:$D,0)-1+COUNTIF($E109:I109,"u")+COUNTIF($E109:I109,"t")+COUNTIF($E109:I109,"¶")+COUNTIF($E109:I109,"²")+COUNTIF($E109:I109,"µ")+COUNTIF($E109:I109,1),ColDescriptionCourte)),""),
  "")),"")</f>
        <v/>
      </c>
      <c r="K109" s="40" t="str">
        <f ca="1">IFERROR(IF(AND(
  INDEX(Roadmap!$D:$K,MATCH($E109,Roadmap!$D:$D,0)+COUNTIF($E109:J109,"u")+COUNTIF($E109:J109,"t")+COUNTIF($E109:J109,"¶")+COUNTIF($E109:J109,"²")+COUNTIF($E109:J109,"µ")+COUNTIF($E109:J109,1),ColLivraison)=K$6,
  VLOOKUP($E109,INDIRECT("tri!"&amp; CHAR(64+ C0Col) &amp;":"&amp; CHAR(65+C0Col)),2,FALSE)&gt;COUNTIF($E109:J109,"u")+COUNTIF($E109:J109,"t")+COUNTIF($E109:J109,"¶")+COUNTIF($E109:J109,"²")+COUNTIF($E109:J109,"µ")+COUNTIF($E109:J109,1)),
HYPERLINK("#Roadmap!C"&amp; MATCH($E109,Roadmap!$D:$D,0)+COUNTIF($E109:J109,"u")+COUNTIF($E109:J109,"t"),
     INDEX(Roadmap!$D:$K,MATCH($E109,Roadmap!$D:$D,0)+COUNTIF($E109:J109,"u")+COUNTIF($E109:J109,"t")+COUNTIF($E109:J109,"¶")+COUNTIF($E109:J109,"²")+COUNTIF($E109:J109,"µ")+COUNTIF($E109:J109,1),ColTypeEcheance)),
  IF(LEN(J109)=1,
  IF(LEN(INDEX(Roadmap!$D:$K,MATCH($E109,Roadmap!$D:$D,0)-1+COUNTIF($E109:J109,"u")+COUNTIF($E109:J109,"t")+COUNTIF($E109:J109,"¶")+COUNTIF($E109:J109,"²")+COUNTIF($E109:J109,"µ")+COUNTIF($E109:J109,1),ColDescriptionCourte))&gt;1,
HYPERLINK("#Roadmap!C"&amp; MATCH($E109,Roadmap!$D:$D,0)+COUNTIF($E109:J109,"u")+COUNTIF($E109:J109,"t")+COUNTIF($E109:J109,"¶")+COUNTIF($E109:J109,"²")+COUNTIF($E109:J109,"µ")+COUNTIF($E109:J109,1)-1,INDEX(Roadmap!$D:$K,MATCH($E109,Roadmap!$D:$D,0)-1+COUNTIF($E109:J109,"u")+COUNTIF($E109:J109,"t")+COUNTIF($E109:J109,"¶")+COUNTIF($E109:J109,"²")+COUNTIF($E109:J109,"µ")+COUNTIF($E109:J109,1),ColDescriptionCourte)),""),
  "")),"")</f>
        <v/>
      </c>
      <c r="L109" s="39" t="str">
        <f ca="1">IFERROR(IF(AND(
  INDEX(Roadmap!$D:$K,MATCH($E109,Roadmap!$D:$D,0)+COUNTIF($E109:K109,"u")+COUNTIF($E109:K109,"t")+COUNTIF($E109:K109,"¶")+COUNTIF($E109:K109,"²")+COUNTIF($E109:K109,"µ")+COUNTIF($E109:K109,1),ColLivraison)=L$6,
  VLOOKUP($E109,INDIRECT("tri!"&amp; CHAR(64+ C0Col) &amp;":"&amp; CHAR(65+C0Col)),2,FALSE)&gt;COUNTIF($E109:K109,"u")+COUNTIF($E109:K109,"t")+COUNTIF($E109:K109,"¶")+COUNTIF($E109:K109,"²")+COUNTIF($E109:K109,"µ")+COUNTIF($E109:K109,1)),
HYPERLINK("#Roadmap!C"&amp; MATCH($E109,Roadmap!$D:$D,0)+COUNTIF($E109:K109,"u")+COUNTIF($E109:K109,"t"),
     INDEX(Roadmap!$D:$K,MATCH($E109,Roadmap!$D:$D,0)+COUNTIF($E109:K109,"u")+COUNTIF($E109:K109,"t")+COUNTIF($E109:K109,"¶")+COUNTIF($E109:K109,"²")+COUNTIF($E109:K109,"µ")+COUNTIF($E109:K109,1),ColTypeEcheance)),
  IF(LEN(K109)=1,
  IF(LEN(INDEX(Roadmap!$D:$K,MATCH($E109,Roadmap!$D:$D,0)-1+COUNTIF($E109:K109,"u")+COUNTIF($E109:K109,"t")+COUNTIF($E109:K109,"¶")+COUNTIF($E109:K109,"²")+COUNTIF($E109:K109,"µ")+COUNTIF($E109:K109,1),ColDescriptionCourte))&gt;1,
HYPERLINK("#Roadmap!C"&amp; MATCH($E109,Roadmap!$D:$D,0)+COUNTIF($E109:K109,"u")+COUNTIF($E109:K109,"t")+COUNTIF($E109:K109,"¶")+COUNTIF($E109:K109,"²")+COUNTIF($E109:K109,"µ")+COUNTIF($E109:K109,1)-1,INDEX(Roadmap!$D:$K,MATCH($E109,Roadmap!$D:$D,0)-1+COUNTIF($E109:K109,"u")+COUNTIF($E109:K109,"t")+COUNTIF($E109:K109,"¶")+COUNTIF($E109:K109,"²")+COUNTIF($E109:K109,"µ")+COUNTIF($E109:K109,1),ColDescriptionCourte)),""),
  "")),"")</f>
        <v/>
      </c>
      <c r="M109" s="40" t="str">
        <f ca="1">IFERROR(IF(AND(
  INDEX(Roadmap!$D:$K,MATCH($E109,Roadmap!$D:$D,0)+COUNTIF($E109:L109,"u")+COUNTIF($E109:L109,"t")+COUNTIF($E109:L109,"¶")+COUNTIF($E109:L109,"²")+COUNTIF($E109:L109,"µ")+COUNTIF($E109:L109,1),ColLivraison)=M$6,
  VLOOKUP($E109,INDIRECT("tri!"&amp; CHAR(64+ C0Col) &amp;":"&amp; CHAR(65+C0Col)),2,FALSE)&gt;COUNTIF($E109:L109,"u")+COUNTIF($E109:L109,"t")+COUNTIF($E109:L109,"¶")+COUNTIF($E109:L109,"²")+COUNTIF($E109:L109,"µ")+COUNTIF($E109:L109,1)),
HYPERLINK("#Roadmap!C"&amp; MATCH($E109,Roadmap!$D:$D,0)+COUNTIF($E109:L109,"u")+COUNTIF($E109:L109,"t"),
     INDEX(Roadmap!$D:$K,MATCH($E109,Roadmap!$D:$D,0)+COUNTIF($E109:L109,"u")+COUNTIF($E109:L109,"t")+COUNTIF($E109:L109,"¶")+COUNTIF($E109:L109,"²")+COUNTIF($E109:L109,"µ")+COUNTIF($E109:L109,1),ColTypeEcheance)),
  IF(LEN(L109)=1,
  IF(LEN(INDEX(Roadmap!$D:$K,MATCH($E109,Roadmap!$D:$D,0)-1+COUNTIF($E109:L109,"u")+COUNTIF($E109:L109,"t")+COUNTIF($E109:L109,"¶")+COUNTIF($E109:L109,"²")+COUNTIF($E109:L109,"µ")+COUNTIF($E109:L109,1),ColDescriptionCourte))&gt;1,
HYPERLINK("#Roadmap!C"&amp; MATCH($E109,Roadmap!$D:$D,0)+COUNTIF($E109:L109,"u")+COUNTIF($E109:L109,"t")+COUNTIF($E109:L109,"¶")+COUNTIF($E109:L109,"²")+COUNTIF($E109:L109,"µ")+COUNTIF($E109:L109,1)-1,INDEX(Roadmap!$D:$K,MATCH($E109,Roadmap!$D:$D,0)-1+COUNTIF($E109:L109,"u")+COUNTIF($E109:L109,"t")+COUNTIF($E109:L109,"¶")+COUNTIF($E109:L109,"²")+COUNTIF($E109:L109,"µ")+COUNTIF($E109:L109,1),ColDescriptionCourte)),""),
  "")),"")</f>
        <v/>
      </c>
      <c r="N109" s="40" t="str">
        <f ca="1">IFERROR(IF(AND(
  INDEX(Roadmap!$D:$K,MATCH($E109,Roadmap!$D:$D,0)+COUNTIF($E109:M109,"u")+COUNTIF($E109:M109,"t")+COUNTIF($E109:M109,"¶")+COUNTIF($E109:M109,"²")+COUNTIF($E109:M109,"µ")+COUNTIF($E109:M109,1),ColLivraison)=N$6,
  VLOOKUP($E109,INDIRECT("tri!"&amp; CHAR(64+ C0Col) &amp;":"&amp; CHAR(65+C0Col)),2,FALSE)&gt;COUNTIF($E109:M109,"u")+COUNTIF($E109:M109,"t")+COUNTIF($E109:M109,"¶")+COUNTIF($E109:M109,"²")+COUNTIF($E109:M109,"µ")+COUNTIF($E109:M109,1)),
HYPERLINK("#Roadmap!C"&amp; MATCH($E109,Roadmap!$D:$D,0)+COUNTIF($E109:M109,"u")+COUNTIF($E109:M109,"t"),
     INDEX(Roadmap!$D:$K,MATCH($E109,Roadmap!$D:$D,0)+COUNTIF($E109:M109,"u")+COUNTIF($E109:M109,"t")+COUNTIF($E109:M109,"¶")+COUNTIF($E109:M109,"²")+COUNTIF($E109:M109,"µ")+COUNTIF($E109:M109,1),ColTypeEcheance)),
  IF(LEN(M109)=1,
  IF(LEN(INDEX(Roadmap!$D:$K,MATCH($E109,Roadmap!$D:$D,0)-1+COUNTIF($E109:M109,"u")+COUNTIF($E109:M109,"t")+COUNTIF($E109:M109,"¶")+COUNTIF($E109:M109,"²")+COUNTIF($E109:M109,"µ")+COUNTIF($E109:M109,1),ColDescriptionCourte))&gt;1,
HYPERLINK("#Roadmap!C"&amp; MATCH($E109,Roadmap!$D:$D,0)+COUNTIF($E109:M109,"u")+COUNTIF($E109:M109,"t")+COUNTIF($E109:M109,"¶")+COUNTIF($E109:M109,"²")+COUNTIF($E109:M109,"µ")+COUNTIF($E109:M109,1)-1,INDEX(Roadmap!$D:$K,MATCH($E109,Roadmap!$D:$D,0)-1+COUNTIF($E109:M109,"u")+COUNTIF($E109:M109,"t")+COUNTIF($E109:M109,"¶")+COUNTIF($E109:M109,"²")+COUNTIF($E109:M109,"µ")+COUNTIF($E109:M109,1),ColDescriptionCourte)),""),
  "")),"")</f>
        <v/>
      </c>
      <c r="O109" s="40" t="str">
        <f ca="1">IFERROR(IF(AND(
  INDEX(Roadmap!$D:$K,MATCH($E109,Roadmap!$D:$D,0)+COUNTIF($E109:N109,"u")+COUNTIF($E109:N109,"t")+COUNTIF($E109:N109,"¶")+COUNTIF($E109:N109,"²")+COUNTIF($E109:N109,"µ")+COUNTIF($E109:N109,1),ColLivraison)=O$6,
  VLOOKUP($E109,INDIRECT("tri!"&amp; CHAR(64+ C0Col) &amp;":"&amp; CHAR(65+C0Col)),2,FALSE)&gt;COUNTIF($E109:N109,"u")+COUNTIF($E109:N109,"t")+COUNTIF($E109:N109,"¶")+COUNTIF($E109:N109,"²")+COUNTIF($E109:N109,"µ")+COUNTIF($E109:N109,1)),
HYPERLINK("#Roadmap!C"&amp; MATCH($E109,Roadmap!$D:$D,0)+COUNTIF($E109:N109,"u")+COUNTIF($E109:N109,"t"),
     INDEX(Roadmap!$D:$K,MATCH($E109,Roadmap!$D:$D,0)+COUNTIF($E109:N109,"u")+COUNTIF($E109:N109,"t")+COUNTIF($E109:N109,"¶")+COUNTIF($E109:N109,"²")+COUNTIF($E109:N109,"µ")+COUNTIF($E109:N109,1),ColTypeEcheance)),
  IF(LEN(N109)=1,
  IF(LEN(INDEX(Roadmap!$D:$K,MATCH($E109,Roadmap!$D:$D,0)-1+COUNTIF($E109:N109,"u")+COUNTIF($E109:N109,"t")+COUNTIF($E109:N109,"¶")+COUNTIF($E109:N109,"²")+COUNTIF($E109:N109,"µ")+COUNTIF($E109:N109,1),ColDescriptionCourte))&gt;1,
HYPERLINK("#Roadmap!C"&amp; MATCH($E109,Roadmap!$D:$D,0)+COUNTIF($E109:N109,"u")+COUNTIF($E109:N109,"t")+COUNTIF($E109:N109,"¶")+COUNTIF($E109:N109,"²")+COUNTIF($E109:N109,"µ")+COUNTIF($E109:N109,1)-1,INDEX(Roadmap!$D:$K,MATCH($E109,Roadmap!$D:$D,0)-1+COUNTIF($E109:N109,"u")+COUNTIF($E109:N109,"t")+COUNTIF($E109:N109,"¶")+COUNTIF($E109:N109,"²")+COUNTIF($E109:N109,"µ")+COUNTIF($E109:N109,1),ColDescriptionCourte)),""),
  "")),"")</f>
        <v/>
      </c>
      <c r="P109" s="40" t="str">
        <f ca="1">IFERROR(IF(AND(
  INDEX(Roadmap!$D:$K,MATCH($E109,Roadmap!$D:$D,0)+COUNTIF($E109:O109,"u")+COUNTIF($E109:O109,"t")+COUNTIF($E109:O109,"¶")+COUNTIF($E109:O109,"²")+COUNTIF($E109:O109,"µ")+COUNTIF($E109:O109,1),ColLivraison)=P$6,
  VLOOKUP($E109,INDIRECT("tri!"&amp; CHAR(64+ C0Col) &amp;":"&amp; CHAR(65+C0Col)),2,FALSE)&gt;COUNTIF($E109:O109,"u")+COUNTIF($E109:O109,"t")+COUNTIF($E109:O109,"¶")+COUNTIF($E109:O109,"²")+COUNTIF($E109:O109,"µ")+COUNTIF($E109:O109,1)),
HYPERLINK("#Roadmap!C"&amp; MATCH($E109,Roadmap!$D:$D,0)+COUNTIF($E109:O109,"u")+COUNTIF($E109:O109,"t"),
     INDEX(Roadmap!$D:$K,MATCH($E109,Roadmap!$D:$D,0)+COUNTIF($E109:O109,"u")+COUNTIF($E109:O109,"t")+COUNTIF($E109:O109,"¶")+COUNTIF($E109:O109,"²")+COUNTIF($E109:O109,"µ")+COUNTIF($E109:O109,1),ColTypeEcheance)),
  IF(LEN(O109)=1,
  IF(LEN(INDEX(Roadmap!$D:$K,MATCH($E109,Roadmap!$D:$D,0)-1+COUNTIF($E109:O109,"u")+COUNTIF($E109:O109,"t")+COUNTIF($E109:O109,"¶")+COUNTIF($E109:O109,"²")+COUNTIF($E109:O109,"µ")+COUNTIF($E109:O109,1),ColDescriptionCourte))&gt;1,
HYPERLINK("#Roadmap!C"&amp; MATCH($E109,Roadmap!$D:$D,0)+COUNTIF($E109:O109,"u")+COUNTIF($E109:O109,"t")+COUNTIF($E109:O109,"¶")+COUNTIF($E109:O109,"²")+COUNTIF($E109:O109,"µ")+COUNTIF($E109:O109,1)-1,INDEX(Roadmap!$D:$K,MATCH($E109,Roadmap!$D:$D,0)-1+COUNTIF($E109:O109,"u")+COUNTIF($E109:O109,"t")+COUNTIF($E109:O109,"¶")+COUNTIF($E109:O109,"²")+COUNTIF($E109:O109,"µ")+COUNTIF($E109:O109,1),ColDescriptionCourte)),""),
  "")),"")</f>
        <v/>
      </c>
      <c r="Q109" s="40" t="str">
        <f ca="1">IFERROR(IF(AND(
  INDEX(Roadmap!$D:$K,MATCH($E109,Roadmap!$D:$D,0)+COUNTIF($E109:P109,"u")+COUNTIF($E109:P109,"t")+COUNTIF($E109:P109,"¶")+COUNTIF($E109:P109,"²")+COUNTIF($E109:P109,"µ")+COUNTIF($E109:P109,1),ColLivraison)=Q$6,
  VLOOKUP($E109,INDIRECT("tri!"&amp; CHAR(64+ C0Col) &amp;":"&amp; CHAR(65+C0Col)),2,FALSE)&gt;COUNTIF($E109:P109,"u")+COUNTIF($E109:P109,"t")+COUNTIF($E109:P109,"¶")+COUNTIF($E109:P109,"²")+COUNTIF($E109:P109,"µ")+COUNTIF($E109:P109,1)),
HYPERLINK("#Roadmap!C"&amp; MATCH($E109,Roadmap!$D:$D,0)+COUNTIF($E109:P109,"u")+COUNTIF($E109:P109,"t"),
     INDEX(Roadmap!$D:$K,MATCH($E109,Roadmap!$D:$D,0)+COUNTIF($E109:P109,"u")+COUNTIF($E109:P109,"t")+COUNTIF($E109:P109,"¶")+COUNTIF($E109:P109,"²")+COUNTIF($E109:P109,"µ")+COUNTIF($E109:P109,1),ColTypeEcheance)),
  IF(LEN(P109)=1,
  IF(LEN(INDEX(Roadmap!$D:$K,MATCH($E109,Roadmap!$D:$D,0)-1+COUNTIF($E109:P109,"u")+COUNTIF($E109:P109,"t")+COUNTIF($E109:P109,"¶")+COUNTIF($E109:P109,"²")+COUNTIF($E109:P109,"µ")+COUNTIF($E109:P109,1),ColDescriptionCourte))&gt;1,
HYPERLINK("#Roadmap!C"&amp; MATCH($E109,Roadmap!$D:$D,0)+COUNTIF($E109:P109,"u")+COUNTIF($E109:P109,"t")+COUNTIF($E109:P109,"¶")+COUNTIF($E109:P109,"²")+COUNTIF($E109:P109,"µ")+COUNTIF($E109:P109,1)-1,INDEX(Roadmap!$D:$K,MATCH($E109,Roadmap!$D:$D,0)-1+COUNTIF($E109:P109,"u")+COUNTIF($E109:P109,"t")+COUNTIF($E109:P109,"¶")+COUNTIF($E109:P109,"²")+COUNTIF($E109:P109,"µ")+COUNTIF($E109:P109,1),ColDescriptionCourte)),""),
  "")),"")</f>
        <v/>
      </c>
      <c r="R109" s="40" t="str">
        <f ca="1">IFERROR(IF(AND(
  INDEX(Roadmap!$D:$K,MATCH($E109,Roadmap!$D:$D,0)+COUNTIF($E109:Q109,"u")+COUNTIF($E109:Q109,"t")+COUNTIF($E109:Q109,"¶")+COUNTIF($E109:Q109,"²")+COUNTIF($E109:Q109,"µ")+COUNTIF($E109:Q109,1),ColLivraison)=R$6,
  VLOOKUP($E109,INDIRECT("tri!"&amp; CHAR(64+ C0Col) &amp;":"&amp; CHAR(65+C0Col)),2,FALSE)&gt;COUNTIF($E109:Q109,"u")+COUNTIF($E109:Q109,"t")+COUNTIF($E109:Q109,"¶")+COUNTIF($E109:Q109,"²")+COUNTIF($E109:Q109,"µ")+COUNTIF($E109:Q109,1)),
HYPERLINK("#Roadmap!C"&amp; MATCH($E109,Roadmap!$D:$D,0)+COUNTIF($E109:Q109,"u")+COUNTIF($E109:Q109,"t"),
     INDEX(Roadmap!$D:$K,MATCH($E109,Roadmap!$D:$D,0)+COUNTIF($E109:Q109,"u")+COUNTIF($E109:Q109,"t")+COUNTIF($E109:Q109,"¶")+COUNTIF($E109:Q109,"²")+COUNTIF($E109:Q109,"µ")+COUNTIF($E109:Q109,1),ColTypeEcheance)),
  IF(LEN(Q109)=1,
  IF(LEN(INDEX(Roadmap!$D:$K,MATCH($E109,Roadmap!$D:$D,0)-1+COUNTIF($E109:Q109,"u")+COUNTIF($E109:Q109,"t")+COUNTIF($E109:Q109,"¶")+COUNTIF($E109:Q109,"²")+COUNTIF($E109:Q109,"µ")+COUNTIF($E109:Q109,1),ColDescriptionCourte))&gt;1,
HYPERLINK("#Roadmap!C"&amp; MATCH($E109,Roadmap!$D:$D,0)+COUNTIF($E109:Q109,"u")+COUNTIF($E109:Q109,"t")+COUNTIF($E109:Q109,"¶")+COUNTIF($E109:Q109,"²")+COUNTIF($E109:Q109,"µ")+COUNTIF($E109:Q109,1)-1,INDEX(Roadmap!$D:$K,MATCH($E109,Roadmap!$D:$D,0)-1+COUNTIF($E109:Q109,"u")+COUNTIF($E109:Q109,"t")+COUNTIF($E109:Q109,"¶")+COUNTIF($E109:Q109,"²")+COUNTIF($E109:Q109,"µ")+COUNTIF($E109:Q109,1),ColDescriptionCourte)),""),
  "")),"")</f>
        <v/>
      </c>
      <c r="S109" s="40" t="str">
        <f ca="1">IFERROR(IF(AND(
  INDEX(Roadmap!$D:$K,MATCH($E109,Roadmap!$D:$D,0)+COUNTIF($E109:R109,"u")+COUNTIF($E109:R109,"t")+COUNTIF($E109:R109,"¶")+COUNTIF($E109:R109,"²")+COUNTIF($E109:R109,"µ")+COUNTIF($E109:R109,1),ColLivraison)=S$6,
  VLOOKUP($E109,INDIRECT("tri!"&amp; CHAR(64+ C0Col) &amp;":"&amp; CHAR(65+C0Col)),2,FALSE)&gt;COUNTIF($E109:R109,"u")+COUNTIF($E109:R109,"t")+COUNTIF($E109:R109,"¶")+COUNTIF($E109:R109,"²")+COUNTIF($E109:R109,"µ")+COUNTIF($E109:R109,1)),
HYPERLINK("#Roadmap!C"&amp; MATCH($E109,Roadmap!$D:$D,0)+COUNTIF($E109:R109,"u")+COUNTIF($E109:R109,"t"),
     INDEX(Roadmap!$D:$K,MATCH($E109,Roadmap!$D:$D,0)+COUNTIF($E109:R109,"u")+COUNTIF($E109:R109,"t")+COUNTIF($E109:R109,"¶")+COUNTIF($E109:R109,"²")+COUNTIF($E109:R109,"µ")+COUNTIF($E109:R109,1),ColTypeEcheance)),
  IF(LEN(R109)=1,
  IF(LEN(INDEX(Roadmap!$D:$K,MATCH($E109,Roadmap!$D:$D,0)-1+COUNTIF($E109:R109,"u")+COUNTIF($E109:R109,"t")+COUNTIF($E109:R109,"¶")+COUNTIF($E109:R109,"²")+COUNTIF($E109:R109,"µ")+COUNTIF($E109:R109,1),ColDescriptionCourte))&gt;1,
HYPERLINK("#Roadmap!C"&amp; MATCH($E109,Roadmap!$D:$D,0)+COUNTIF($E109:R109,"u")+COUNTIF($E109:R109,"t")+COUNTIF($E109:R109,"¶")+COUNTIF($E109:R109,"²")+COUNTIF($E109:R109,"µ")+COUNTIF($E109:R109,1)-1,INDEX(Roadmap!$D:$K,MATCH($E109,Roadmap!$D:$D,0)-1+COUNTIF($E109:R109,"u")+COUNTIF($E109:R109,"t")+COUNTIF($E109:R109,"¶")+COUNTIF($E109:R109,"²")+COUNTIF($E109:R109,"µ")+COUNTIF($E109:R109,1),ColDescriptionCourte)),""),
  "")),"")</f>
        <v/>
      </c>
      <c r="T109" s="40" t="str">
        <f ca="1">IFERROR(IF(AND(
  INDEX(Roadmap!$D:$K,MATCH($E109,Roadmap!$D:$D,0)+COUNTIF($E109:S109,"u")+COUNTIF($E109:S109,"t")+COUNTIF($E109:S109,"¶")+COUNTIF($E109:S109,"²")+COUNTIF($E109:S109,"µ")+COUNTIF($E109:S109,1),ColLivraison)=T$6,
  VLOOKUP($E109,INDIRECT("tri!"&amp; CHAR(64+ C0Col) &amp;":"&amp; CHAR(65+C0Col)),2,FALSE)&gt;COUNTIF($E109:S109,"u")+COUNTIF($E109:S109,"t")+COUNTIF($E109:S109,"¶")+COUNTIF($E109:S109,"²")+COUNTIF($E109:S109,"µ")+COUNTIF($E109:S109,1)),
HYPERLINK("#Roadmap!C"&amp; MATCH($E109,Roadmap!$D:$D,0)+COUNTIF($E109:S109,"u")+COUNTIF($E109:S109,"t"),
     INDEX(Roadmap!$D:$K,MATCH($E109,Roadmap!$D:$D,0)+COUNTIF($E109:S109,"u")+COUNTIF($E109:S109,"t")+COUNTIF($E109:S109,"¶")+COUNTIF($E109:S109,"²")+COUNTIF($E109:S109,"µ")+COUNTIF($E109:S109,1),ColTypeEcheance)),
  IF(LEN(S109)=1,
  IF(LEN(INDEX(Roadmap!$D:$K,MATCH($E109,Roadmap!$D:$D,0)-1+COUNTIF($E109:S109,"u")+COUNTIF($E109:S109,"t")+COUNTIF($E109:S109,"¶")+COUNTIF($E109:S109,"²")+COUNTIF($E109:S109,"µ")+COUNTIF($E109:S109,1),ColDescriptionCourte))&gt;1,
HYPERLINK("#Roadmap!C"&amp; MATCH($E109,Roadmap!$D:$D,0)+COUNTIF($E109:S109,"u")+COUNTIF($E109:S109,"t")+COUNTIF($E109:S109,"¶")+COUNTIF($E109:S109,"²")+COUNTIF($E109:S109,"µ")+COUNTIF($E109:S109,1)-1,INDEX(Roadmap!$D:$K,MATCH($E109,Roadmap!$D:$D,0)-1+COUNTIF($E109:S109,"u")+COUNTIF($E109:S109,"t")+COUNTIF($E109:S109,"¶")+COUNTIF($E109:S109,"²")+COUNTIF($E109:S109,"µ")+COUNTIF($E109:S109,1),ColDescriptionCourte)),""),
  "")),"")</f>
        <v/>
      </c>
      <c r="U109" s="40" t="str">
        <f ca="1">IFERROR(IF(AND(
  INDEX(Roadmap!$D:$K,MATCH($E109,Roadmap!$D:$D,0)+COUNTIF($E109:T109,"u")+COUNTIF($E109:T109,"t")+COUNTIF($E109:T109,"¶")+COUNTIF($E109:T109,"²")+COUNTIF($E109:T109,"µ")+COUNTIF($E109:T109,1),ColLivraison)=U$6,
  VLOOKUP($E109,INDIRECT("tri!"&amp; CHAR(64+ C0Col) &amp;":"&amp; CHAR(65+C0Col)),2,FALSE)&gt;COUNTIF($E109:T109,"u")+COUNTIF($E109:T109,"t")+COUNTIF($E109:T109,"¶")+COUNTIF($E109:T109,"²")+COUNTIF($E109:T109,"µ")+COUNTIF($E109:T109,1)),
HYPERLINK("#Roadmap!C"&amp; MATCH($E109,Roadmap!$D:$D,0)+COUNTIF($E109:T109,"u")+COUNTIF($E109:T109,"t"),
     INDEX(Roadmap!$D:$K,MATCH($E109,Roadmap!$D:$D,0)+COUNTIF($E109:T109,"u")+COUNTIF($E109:T109,"t")+COUNTIF($E109:T109,"¶")+COUNTIF($E109:T109,"²")+COUNTIF($E109:T109,"µ")+COUNTIF($E109:T109,1),ColTypeEcheance)),
  IF(LEN(T109)=1,
  IF(LEN(INDEX(Roadmap!$D:$K,MATCH($E109,Roadmap!$D:$D,0)-1+COUNTIF($E109:T109,"u")+COUNTIF($E109:T109,"t")+COUNTIF($E109:T109,"¶")+COUNTIF($E109:T109,"²")+COUNTIF($E109:T109,"µ")+COUNTIF($E109:T109,1),ColDescriptionCourte))&gt;1,
HYPERLINK("#Roadmap!C"&amp; MATCH($E109,Roadmap!$D:$D,0)+COUNTIF($E109:T109,"u")+COUNTIF($E109:T109,"t")+COUNTIF($E109:T109,"¶")+COUNTIF($E109:T109,"²")+COUNTIF($E109:T109,"µ")+COUNTIF($E109:T109,1)-1,INDEX(Roadmap!$D:$K,MATCH($E109,Roadmap!$D:$D,0)-1+COUNTIF($E109:T109,"u")+COUNTIF($E109:T109,"t")+COUNTIF($E109:T109,"¶")+COUNTIF($E109:T109,"²")+COUNTIF($E109:T109,"µ")+COUNTIF($E109:T109,1),ColDescriptionCourte)),""),
  "")),"")</f>
        <v/>
      </c>
      <c r="V109" s="40" t="str">
        <f ca="1">IFERROR(IF(AND(
  INDEX(Roadmap!$D:$K,MATCH($E109,Roadmap!$D:$D,0)+COUNTIF($E109:U109,"u")+COUNTIF($E109:U109,"t")+COUNTIF($E109:U109,"¶")+COUNTIF($E109:U109,"²")+COUNTIF($E109:U109,"µ")+COUNTIF($E109:U109,1),ColLivraison)=V$6,
  VLOOKUP($E109,INDIRECT("tri!"&amp; CHAR(64+ C0Col) &amp;":"&amp; CHAR(65+C0Col)),2,FALSE)&gt;COUNTIF($E109:U109,"u")+COUNTIF($E109:U109,"t")+COUNTIF($E109:U109,"¶")+COUNTIF($E109:U109,"²")+COUNTIF($E109:U109,"µ")+COUNTIF($E109:U109,1)),
HYPERLINK("#Roadmap!C"&amp; MATCH($E109,Roadmap!$D:$D,0)+COUNTIF($E109:U109,"u")+COUNTIF($E109:U109,"t"),
     INDEX(Roadmap!$D:$K,MATCH($E109,Roadmap!$D:$D,0)+COUNTIF($E109:U109,"u")+COUNTIF($E109:U109,"t")+COUNTIF($E109:U109,"¶")+COUNTIF($E109:U109,"²")+COUNTIF($E109:U109,"µ")+COUNTIF($E109:U109,1),ColTypeEcheance)),
  IF(LEN(U109)=1,
  IF(LEN(INDEX(Roadmap!$D:$K,MATCH($E109,Roadmap!$D:$D,0)-1+COUNTIF($E109:U109,"u")+COUNTIF($E109:U109,"t")+COUNTIF($E109:U109,"¶")+COUNTIF($E109:U109,"²")+COUNTIF($E109:U109,"µ")+COUNTIF($E109:U109,1),ColDescriptionCourte))&gt;1,
HYPERLINK("#Roadmap!C"&amp; MATCH($E109,Roadmap!$D:$D,0)+COUNTIF($E109:U109,"u")+COUNTIF($E109:U109,"t")+COUNTIF($E109:U109,"¶")+COUNTIF($E109:U109,"²")+COUNTIF($E109:U109,"µ")+COUNTIF($E109:U109,1)-1,INDEX(Roadmap!$D:$K,MATCH($E109,Roadmap!$D:$D,0)-1+COUNTIF($E109:U109,"u")+COUNTIF($E109:U109,"t")+COUNTIF($E109:U109,"¶")+COUNTIF($E109:U109,"²")+COUNTIF($E109:U109,"µ")+COUNTIF($E109:U109,1),ColDescriptionCourte)),""),
  "")),"")</f>
        <v/>
      </c>
      <c r="W109" s="40" t="str">
        <f ca="1">IFERROR(IF(AND(
  INDEX(Roadmap!$D:$K,MATCH($E109,Roadmap!$D:$D,0)+COUNTIF($E109:V109,"u")+COUNTIF($E109:V109,"t")+COUNTIF($E109:V109,"¶")+COUNTIF($E109:V109,"²")+COUNTIF($E109:V109,"µ")+COUNTIF($E109:V109,1),ColLivraison)=W$6,
  VLOOKUP($E109,INDIRECT("tri!"&amp; CHAR(64+ C0Col) &amp;":"&amp; CHAR(65+C0Col)),2,FALSE)&gt;COUNTIF($E109:V109,"u")+COUNTIF($E109:V109,"t")+COUNTIF($E109:V109,"¶")+COUNTIF($E109:V109,"²")+COUNTIF($E109:V109,"µ")+COUNTIF($E109:V109,1)),
HYPERLINK("#Roadmap!C"&amp; MATCH($E109,Roadmap!$D:$D,0)+COUNTIF($E109:V109,"u")+COUNTIF($E109:V109,"t"),
     INDEX(Roadmap!$D:$K,MATCH($E109,Roadmap!$D:$D,0)+COUNTIF($E109:V109,"u")+COUNTIF($E109:V109,"t")+COUNTIF($E109:V109,"¶")+COUNTIF($E109:V109,"²")+COUNTIF($E109:V109,"µ")+COUNTIF($E109:V109,1),ColTypeEcheance)),
  IF(LEN(V109)=1,
  IF(LEN(INDEX(Roadmap!$D:$K,MATCH($E109,Roadmap!$D:$D,0)-1+COUNTIF($E109:V109,"u")+COUNTIF($E109:V109,"t")+COUNTIF($E109:V109,"¶")+COUNTIF($E109:V109,"²")+COUNTIF($E109:V109,"µ")+COUNTIF($E109:V109,1),ColDescriptionCourte))&gt;1,
HYPERLINK("#Roadmap!C"&amp; MATCH($E109,Roadmap!$D:$D,0)+COUNTIF($E109:V109,"u")+COUNTIF($E109:V109,"t")+COUNTIF($E109:V109,"¶")+COUNTIF($E109:V109,"²")+COUNTIF($E109:V109,"µ")+COUNTIF($E109:V109,1)-1,INDEX(Roadmap!$D:$K,MATCH($E109,Roadmap!$D:$D,0)-1+COUNTIF($E109:V109,"u")+COUNTIF($E109:V109,"t")+COUNTIF($E109:V109,"¶")+COUNTIF($E109:V109,"²")+COUNTIF($E109:V109,"µ")+COUNTIF($E109:V109,1),ColDescriptionCourte)),""),
  "")),"")</f>
        <v/>
      </c>
      <c r="X109" s="40" t="str">
        <f ca="1">IFERROR(IF(AND(
  INDEX(Roadmap!$D:$K,MATCH($E109,Roadmap!$D:$D,0)+COUNTIF($E109:W109,"u")+COUNTIF($E109:W109,"t")+COUNTIF($E109:W109,"¶")+COUNTIF($E109:W109,"²")+COUNTIF($E109:W109,"µ")+COUNTIF($E109:W109,1),ColLivraison)=X$6,
  VLOOKUP($E109,INDIRECT("tri!"&amp; CHAR(64+ C0Col) &amp;":"&amp; CHAR(65+C0Col)),2,FALSE)&gt;COUNTIF($E109:W109,"u")+COUNTIF($E109:W109,"t")+COUNTIF($E109:W109,"¶")+COUNTIF($E109:W109,"²")+COUNTIF($E109:W109,"µ")+COUNTIF($E109:W109,1)),
HYPERLINK("#Roadmap!C"&amp; MATCH($E109,Roadmap!$D:$D,0)+COUNTIF($E109:W109,"u")+COUNTIF($E109:W109,"t"),
     INDEX(Roadmap!$D:$K,MATCH($E109,Roadmap!$D:$D,0)+COUNTIF($E109:W109,"u")+COUNTIF($E109:W109,"t")+COUNTIF($E109:W109,"¶")+COUNTIF($E109:W109,"²")+COUNTIF($E109:W109,"µ")+COUNTIF($E109:W109,1),ColTypeEcheance)),
  IF(LEN(W109)=1,
  IF(LEN(INDEX(Roadmap!$D:$K,MATCH($E109,Roadmap!$D:$D,0)-1+COUNTIF($E109:W109,"u")+COUNTIF($E109:W109,"t")+COUNTIF($E109:W109,"¶")+COUNTIF($E109:W109,"²")+COUNTIF($E109:W109,"µ")+COUNTIF($E109:W109,1),ColDescriptionCourte))&gt;1,
HYPERLINK("#Roadmap!C"&amp; MATCH($E109,Roadmap!$D:$D,0)+COUNTIF($E109:W109,"u")+COUNTIF($E109:W109,"t")+COUNTIF($E109:W109,"¶")+COUNTIF($E109:W109,"²")+COUNTIF($E109:W109,"µ")+COUNTIF($E109:W109,1)-1,INDEX(Roadmap!$D:$K,MATCH($E109,Roadmap!$D:$D,0)-1+COUNTIF($E109:W109,"u")+COUNTIF($E109:W109,"t")+COUNTIF($E109:W109,"¶")+COUNTIF($E109:W109,"²")+COUNTIF($E109:W109,"µ")+COUNTIF($E109:W109,1),ColDescriptionCourte)),""),
  "")),"")</f>
        <v/>
      </c>
      <c r="Y109" s="40" t="str">
        <f ca="1">IFERROR(IF(AND(
  INDEX(Roadmap!$D:$K,MATCH($E109,Roadmap!$D:$D,0)+COUNTIF($E109:X109,"u")+COUNTIF($E109:X109,"t")+COUNTIF($E109:X109,"¶")+COUNTIF($E109:X109,"²")+COUNTIF($E109:X109,"µ")+COUNTIF($E109:X109,1),ColLivraison)=Y$6,
  VLOOKUP($E109,INDIRECT("tri!"&amp; CHAR(64+ C0Col) &amp;":"&amp; CHAR(65+C0Col)),2,FALSE)&gt;COUNTIF($E109:X109,"u")+COUNTIF($E109:X109,"t")+COUNTIF($E109:X109,"¶")+COUNTIF($E109:X109,"²")+COUNTIF($E109:X109,"µ")+COUNTIF($E109:X109,1)),
HYPERLINK("#Roadmap!C"&amp; MATCH($E109,Roadmap!$D:$D,0)+COUNTIF($E109:X109,"u")+COUNTIF($E109:X109,"t"),
     INDEX(Roadmap!$D:$K,MATCH($E109,Roadmap!$D:$D,0)+COUNTIF($E109:X109,"u")+COUNTIF($E109:X109,"t")+COUNTIF($E109:X109,"¶")+COUNTIF($E109:X109,"²")+COUNTIF($E109:X109,"µ")+COUNTIF($E109:X109,1),ColTypeEcheance)),
  IF(LEN(X109)=1,
  IF(LEN(INDEX(Roadmap!$D:$K,MATCH($E109,Roadmap!$D:$D,0)-1+COUNTIF($E109:X109,"u")+COUNTIF($E109:X109,"t")+COUNTIF($E109:X109,"¶")+COUNTIF($E109:X109,"²")+COUNTIF($E109:X109,"µ")+COUNTIF($E109:X109,1),ColDescriptionCourte))&gt;1,
HYPERLINK("#Roadmap!C"&amp; MATCH($E109,Roadmap!$D:$D,0)+COUNTIF($E109:X109,"u")+COUNTIF($E109:X109,"t")+COUNTIF($E109:X109,"¶")+COUNTIF($E109:X109,"²")+COUNTIF($E109:X109,"µ")+COUNTIF($E109:X109,1)-1,INDEX(Roadmap!$D:$K,MATCH($E109,Roadmap!$D:$D,0)-1+COUNTIF($E109:X109,"u")+COUNTIF($E109:X109,"t")+COUNTIF($E109:X109,"¶")+COUNTIF($E109:X109,"²")+COUNTIF($E109:X109,"µ")+COUNTIF($E109:X109,1),ColDescriptionCourte)),""),
  "")),"")</f>
        <v/>
      </c>
      <c r="Z109" s="40" t="str">
        <f ca="1">IFERROR(IF(AND(
  INDEX(Roadmap!$D:$K,MATCH($E109,Roadmap!$D:$D,0)+COUNTIF($E109:Y109,"u")+COUNTIF($E109:Y109,"t")+COUNTIF($E109:Y109,"¶")+COUNTIF($E109:Y109,"²")+COUNTIF($E109:Y109,"µ")+COUNTIF($E109:Y109,1),ColLivraison)=Z$6,
  VLOOKUP($E109,INDIRECT("tri!"&amp; CHAR(64+ C0Col) &amp;":"&amp; CHAR(65+C0Col)),2,FALSE)&gt;COUNTIF($E109:Y109,"u")+COUNTIF($E109:Y109,"t")+COUNTIF($E109:Y109,"¶")+COUNTIF($E109:Y109,"²")+COUNTIF($E109:Y109,"µ")+COUNTIF($E109:Y109,1)),
HYPERLINK("#Roadmap!C"&amp; MATCH($E109,Roadmap!$D:$D,0)+COUNTIF($E109:Y109,"u")+COUNTIF($E109:Y109,"t"),
     INDEX(Roadmap!$D:$K,MATCH($E109,Roadmap!$D:$D,0)+COUNTIF($E109:Y109,"u")+COUNTIF($E109:Y109,"t")+COUNTIF($E109:Y109,"¶")+COUNTIF($E109:Y109,"²")+COUNTIF($E109:Y109,"µ")+COUNTIF($E109:Y109,1),ColTypeEcheance)),
  IF(LEN(Y109)=1,
  IF(LEN(INDEX(Roadmap!$D:$K,MATCH($E109,Roadmap!$D:$D,0)-1+COUNTIF($E109:Y109,"u")+COUNTIF($E109:Y109,"t")+COUNTIF($E109:Y109,"¶")+COUNTIF($E109:Y109,"²")+COUNTIF($E109:Y109,"µ")+COUNTIF($E109:Y109,1),ColDescriptionCourte))&gt;1,
HYPERLINK("#Roadmap!C"&amp; MATCH($E109,Roadmap!$D:$D,0)+COUNTIF($E109:Y109,"u")+COUNTIF($E109:Y109,"t")+COUNTIF($E109:Y109,"¶")+COUNTIF($E109:Y109,"²")+COUNTIF($E109:Y109,"µ")+COUNTIF($E109:Y109,1)-1,INDEX(Roadmap!$D:$K,MATCH($E109,Roadmap!$D:$D,0)-1+COUNTIF($E109:Y109,"u")+COUNTIF($E109:Y109,"t")+COUNTIF($E109:Y109,"¶")+COUNTIF($E109:Y109,"²")+COUNTIF($E109:Y109,"µ")+COUNTIF($E109:Y109,1),ColDescriptionCourte)),""),
  "")),"")</f>
        <v/>
      </c>
      <c r="AA109" s="40" t="str">
        <f ca="1">IFERROR(IF(AND(
  INDEX(Roadmap!$D:$K,MATCH($E109,Roadmap!$D:$D,0)+COUNTIF($E109:Z109,"u")+COUNTIF($E109:Z109,"t")+COUNTIF($E109:Z109,"¶")+COUNTIF($E109:Z109,"²")+COUNTIF($E109:Z109,"µ")+COUNTIF($E109:Z109,1),ColLivraison)=AA$6,
  VLOOKUP($E109,INDIRECT("tri!"&amp; CHAR(64+ C0Col) &amp;":"&amp; CHAR(65+C0Col)),2,FALSE)&gt;COUNTIF($E109:Z109,"u")+COUNTIF($E109:Z109,"t")+COUNTIF($E109:Z109,"¶")+COUNTIF($E109:Z109,"²")+COUNTIF($E109:Z109,"µ")+COUNTIF($E109:Z109,1)),
HYPERLINK("#Roadmap!C"&amp; MATCH($E109,Roadmap!$D:$D,0)+COUNTIF($E109:Z109,"u")+COUNTIF($E109:Z109,"t"),
     INDEX(Roadmap!$D:$K,MATCH($E109,Roadmap!$D:$D,0)+COUNTIF($E109:Z109,"u")+COUNTIF($E109:Z109,"t")+COUNTIF($E109:Z109,"¶")+COUNTIF($E109:Z109,"²")+COUNTIF($E109:Z109,"µ")+COUNTIF($E109:Z109,1),ColTypeEcheance)),
  IF(LEN(Z109)=1,
  IF(LEN(INDEX(Roadmap!$D:$K,MATCH($E109,Roadmap!$D:$D,0)-1+COUNTIF($E109:Z109,"u")+COUNTIF($E109:Z109,"t")+COUNTIF($E109:Z109,"¶")+COUNTIF($E109:Z109,"²")+COUNTIF($E109:Z109,"µ")+COUNTIF($E109:Z109,1),ColDescriptionCourte))&gt;1,
HYPERLINK("#Roadmap!C"&amp; MATCH($E109,Roadmap!$D:$D,0)+COUNTIF($E109:Z109,"u")+COUNTIF($E109:Z109,"t")+COUNTIF($E109:Z109,"¶")+COUNTIF($E109:Z109,"²")+COUNTIF($E109:Z109,"µ")+COUNTIF($E109:Z109,1)-1,INDEX(Roadmap!$D:$K,MATCH($E109,Roadmap!$D:$D,0)-1+COUNTIF($E109:Z109,"u")+COUNTIF($E109:Z109,"t")+COUNTIF($E109:Z109,"¶")+COUNTIF($E109:Z109,"²")+COUNTIF($E109:Z109,"µ")+COUNTIF($E109:Z109,1),ColDescriptionCourte)),""),
  "")),"")</f>
        <v/>
      </c>
      <c r="AB109" s="40" t="str">
        <f ca="1">IFERROR(IF(AND(
  INDEX(Roadmap!$D:$K,MATCH($E109,Roadmap!$D:$D,0)+COUNTIF($E109:AA109,"u")+COUNTIF($E109:AA109,"t")+COUNTIF($E109:AA109,"¶")+COUNTIF($E109:AA109,"²")+COUNTIF($E109:AA109,"µ")+COUNTIF($E109:AA109,1),ColLivraison)=AB$6,
  VLOOKUP($E109,INDIRECT("tri!"&amp; CHAR(64+ C0Col) &amp;":"&amp; CHAR(65+C0Col)),2,FALSE)&gt;COUNTIF($E109:AA109,"u")+COUNTIF($E109:AA109,"t")+COUNTIF($E109:AA109,"¶")+COUNTIF($E109:AA109,"²")+COUNTIF($E109:AA109,"µ")+COUNTIF($E109:AA109,1)),
HYPERLINK("#Roadmap!C"&amp; MATCH($E109,Roadmap!$D:$D,0)+COUNTIF($E109:AA109,"u")+COUNTIF($E109:AA109,"t"),
     INDEX(Roadmap!$D:$K,MATCH($E109,Roadmap!$D:$D,0)+COUNTIF($E109:AA109,"u")+COUNTIF($E109:AA109,"t")+COUNTIF($E109:AA109,"¶")+COUNTIF($E109:AA109,"²")+COUNTIF($E109:AA109,"µ")+COUNTIF($E109:AA109,1),ColTypeEcheance)),
  IF(LEN(AA109)=1,
  IF(LEN(INDEX(Roadmap!$D:$K,MATCH($E109,Roadmap!$D:$D,0)-1+COUNTIF($E109:AA109,"u")+COUNTIF($E109:AA109,"t")+COUNTIF($E109:AA109,"¶")+COUNTIF($E109:AA109,"²")+COUNTIF($E109:AA109,"µ")+COUNTIF($E109:AA109,1),ColDescriptionCourte))&gt;1,
HYPERLINK("#Roadmap!C"&amp; MATCH($E109,Roadmap!$D:$D,0)+COUNTIF($E109:AA109,"u")+COUNTIF($E109:AA109,"t")+COUNTIF($E109:AA109,"¶")+COUNTIF($E109:AA109,"²")+COUNTIF($E109:AA109,"µ")+COUNTIF($E109:AA109,1)-1,INDEX(Roadmap!$D:$K,MATCH($E109,Roadmap!$D:$D,0)-1+COUNTIF($E109:AA109,"u")+COUNTIF($E109:AA109,"t")+COUNTIF($E109:AA109,"¶")+COUNTIF($E109:AA109,"²")+COUNTIF($E109:AA109,"µ")+COUNTIF($E109:AA109,1),ColDescriptionCourte)),""),
  "")),"")</f>
        <v/>
      </c>
      <c r="AC109" s="40" t="str">
        <f ca="1">IFERROR(IF(AND(
  INDEX(Roadmap!$D:$K,MATCH($E109,Roadmap!$D:$D,0)+COUNTIF($E109:AB109,"u")+COUNTIF($E109:AB109,"t")+COUNTIF($E109:AB109,"¶")+COUNTIF($E109:AB109,"²")+COUNTIF($E109:AB109,"µ")+COUNTIF($E109:AB109,1),ColLivraison)=AC$6,
  VLOOKUP($E109,INDIRECT("tri!"&amp; CHAR(64+ C0Col) &amp;":"&amp; CHAR(65+C0Col)),2,FALSE)&gt;COUNTIF($E109:AB109,"u")+COUNTIF($E109:AB109,"t")+COUNTIF($E109:AB109,"¶")+COUNTIF($E109:AB109,"²")+COUNTIF($E109:AB109,"µ")+COUNTIF($E109:AB109,1)),
HYPERLINK("#Roadmap!C"&amp; MATCH($E109,Roadmap!$D:$D,0)+COUNTIF($E109:AB109,"u")+COUNTIF($E109:AB109,"t"),
     INDEX(Roadmap!$D:$K,MATCH($E109,Roadmap!$D:$D,0)+COUNTIF($E109:AB109,"u")+COUNTIF($E109:AB109,"t")+COUNTIF($E109:AB109,"¶")+COUNTIF($E109:AB109,"²")+COUNTIF($E109:AB109,"µ")+COUNTIF($E109:AB109,1),ColTypeEcheance)),
  IF(LEN(AB109)=1,
  IF(LEN(INDEX(Roadmap!$D:$K,MATCH($E109,Roadmap!$D:$D,0)-1+COUNTIF($E109:AB109,"u")+COUNTIF($E109:AB109,"t")+COUNTIF($E109:AB109,"¶")+COUNTIF($E109:AB109,"²")+COUNTIF($E109:AB109,"µ")+COUNTIF($E109:AB109,1),ColDescriptionCourte))&gt;1,
HYPERLINK("#Roadmap!C"&amp; MATCH($E109,Roadmap!$D:$D,0)+COUNTIF($E109:AB109,"u")+COUNTIF($E109:AB109,"t")+COUNTIF($E109:AB109,"¶")+COUNTIF($E109:AB109,"²")+COUNTIF($E109:AB109,"µ")+COUNTIF($E109:AB109,1)-1,INDEX(Roadmap!$D:$K,MATCH($E109,Roadmap!$D:$D,0)-1+COUNTIF($E109:AB109,"u")+COUNTIF($E109:AB109,"t")+COUNTIF($E109:AB109,"¶")+COUNTIF($E109:AB109,"²")+COUNTIF($E109:AB109,"µ")+COUNTIF($E109:AB109,1),ColDescriptionCourte)),""),
  "")),"")</f>
        <v/>
      </c>
      <c r="AD109" s="40" t="str">
        <f ca="1">IFERROR(IF(AND(
  INDEX(Roadmap!$D:$K,MATCH($E109,Roadmap!$D:$D,0)+COUNTIF($E109:AC109,"u")+COUNTIF($E109:AC109,"t")+COUNTIF($E109:AC109,"¶")+COUNTIF($E109:AC109,"²")+COUNTIF($E109:AC109,"µ")+COUNTIF($E109:AC109,1),ColLivraison)=AD$6,
  VLOOKUP($E109,INDIRECT("tri!"&amp; CHAR(64+ C0Col) &amp;":"&amp; CHAR(65+C0Col)),2,FALSE)&gt;COUNTIF($E109:AC109,"u")+COUNTIF($E109:AC109,"t")+COUNTIF($E109:AC109,"¶")+COUNTIF($E109:AC109,"²")+COUNTIF($E109:AC109,"µ")+COUNTIF($E109:AC109,1)),
HYPERLINK("#Roadmap!C"&amp; MATCH($E109,Roadmap!$D:$D,0)+COUNTIF($E109:AC109,"u")+COUNTIF($E109:AC109,"t"),
     INDEX(Roadmap!$D:$K,MATCH($E109,Roadmap!$D:$D,0)+COUNTIF($E109:AC109,"u")+COUNTIF($E109:AC109,"t")+COUNTIF($E109:AC109,"¶")+COUNTIF($E109:AC109,"²")+COUNTIF($E109:AC109,"µ")+COUNTIF($E109:AC109,1),ColTypeEcheance)),
  IF(LEN(AC109)=1,
  IF(LEN(INDEX(Roadmap!$D:$K,MATCH($E109,Roadmap!$D:$D,0)-1+COUNTIF($E109:AC109,"u")+COUNTIF($E109:AC109,"t")+COUNTIF($E109:AC109,"¶")+COUNTIF($E109:AC109,"²")+COUNTIF($E109:AC109,"µ")+COUNTIF($E109:AC109,1),ColDescriptionCourte))&gt;1,
HYPERLINK("#Roadmap!C"&amp; MATCH($E109,Roadmap!$D:$D,0)+COUNTIF($E109:AC109,"u")+COUNTIF($E109:AC109,"t")+COUNTIF($E109:AC109,"¶")+COUNTIF($E109:AC109,"²")+COUNTIF($E109:AC109,"µ")+COUNTIF($E109:AC109,1)-1,INDEX(Roadmap!$D:$K,MATCH($E109,Roadmap!$D:$D,0)-1+COUNTIF($E109:AC109,"u")+COUNTIF($E109:AC109,"t")+COUNTIF($E109:AC109,"¶")+COUNTIF($E109:AC109,"²")+COUNTIF($E109:AC109,"µ")+COUNTIF($E109:AC109,1),ColDescriptionCourte)),""),
  "")),"")</f>
        <v/>
      </c>
      <c r="AE109" s="40" t="str">
        <f ca="1">IFERROR(IF(AND(
  INDEX(Roadmap!$D:$K,MATCH($E109,Roadmap!$D:$D,0)+COUNTIF($E109:AD109,"u")+COUNTIF($E109:AD109,"t")+COUNTIF($E109:AD109,"¶")+COUNTIF($E109:AD109,"²")+COUNTIF($E109:AD109,"µ")+COUNTIF($E109:AD109,1),ColLivraison)=AE$6,
  VLOOKUP($E109,INDIRECT("tri!"&amp; CHAR(64+ C0Col) &amp;":"&amp; CHAR(65+C0Col)),2,FALSE)&gt;COUNTIF($E109:AD109,"u")+COUNTIF($E109:AD109,"t")+COUNTIF($E109:AD109,"¶")+COUNTIF($E109:AD109,"²")+COUNTIF($E109:AD109,"µ")+COUNTIF($E109:AD109,1)),
HYPERLINK("#Roadmap!C"&amp; MATCH($E109,Roadmap!$D:$D,0)+COUNTIF($E109:AD109,"u")+COUNTIF($E109:AD109,"t"),
     INDEX(Roadmap!$D:$K,MATCH($E109,Roadmap!$D:$D,0)+COUNTIF($E109:AD109,"u")+COUNTIF($E109:AD109,"t")+COUNTIF($E109:AD109,"¶")+COUNTIF($E109:AD109,"²")+COUNTIF($E109:AD109,"µ")+COUNTIF($E109:AD109,1),ColTypeEcheance)),
  IF(LEN(AD109)=1,
  IF(LEN(INDEX(Roadmap!$D:$K,MATCH($E109,Roadmap!$D:$D,0)-1+COUNTIF($E109:AD109,"u")+COUNTIF($E109:AD109,"t")+COUNTIF($E109:AD109,"¶")+COUNTIF($E109:AD109,"²")+COUNTIF($E109:AD109,"µ")+COUNTIF($E109:AD109,1),ColDescriptionCourte))&gt;1,
HYPERLINK("#Roadmap!C"&amp; MATCH($E109,Roadmap!$D:$D,0)+COUNTIF($E109:AD109,"u")+COUNTIF($E109:AD109,"t")+COUNTIF($E109:AD109,"¶")+COUNTIF($E109:AD109,"²")+COUNTIF($E109:AD109,"µ")+COUNTIF($E109:AD109,1)-1,INDEX(Roadmap!$D:$K,MATCH($E109,Roadmap!$D:$D,0)-1+COUNTIF($E109:AD109,"u")+COUNTIF($E109:AD109,"t")+COUNTIF($E109:AD109,"¶")+COUNTIF($E109:AD109,"²")+COUNTIF($E109:AD109,"µ")+COUNTIF($E109:AD109,1),ColDescriptionCourte)),""),
  "")),"")</f>
        <v/>
      </c>
      <c r="AF109" s="40" t="str">
        <f ca="1">IFERROR(IF(AND(
  INDEX(Roadmap!$D:$K,MATCH($E109,Roadmap!$D:$D,0)+COUNTIF($E109:AE109,"u")+COUNTIF($E109:AE109,"t")+COUNTIF($E109:AE109,"¶")+COUNTIF($E109:AE109,"²")+COUNTIF($E109:AE109,"µ")+COUNTIF($E109:AE109,1),ColLivraison)=AF$6,
  VLOOKUP($E109,INDIRECT("tri!"&amp; CHAR(64+ C0Col) &amp;":"&amp; CHAR(65+C0Col)),2,FALSE)&gt;COUNTIF($E109:AE109,"u")+COUNTIF($E109:AE109,"t")+COUNTIF($E109:AE109,"¶")+COUNTIF($E109:AE109,"²")+COUNTIF($E109:AE109,"µ")+COUNTIF($E109:AE109,1)),
HYPERLINK("#Roadmap!C"&amp; MATCH($E109,Roadmap!$D:$D,0)+COUNTIF($E109:AE109,"u")+COUNTIF($E109:AE109,"t"),
     INDEX(Roadmap!$D:$K,MATCH($E109,Roadmap!$D:$D,0)+COUNTIF($E109:AE109,"u")+COUNTIF($E109:AE109,"t")+COUNTIF($E109:AE109,"¶")+COUNTIF($E109:AE109,"²")+COUNTIF($E109:AE109,"µ")+COUNTIF($E109:AE109,1),ColTypeEcheance)),
  IF(LEN(AE109)=1,
  IF(LEN(INDEX(Roadmap!$D:$K,MATCH($E109,Roadmap!$D:$D,0)-1+COUNTIF($E109:AE109,"u")+COUNTIF($E109:AE109,"t")+COUNTIF($E109:AE109,"¶")+COUNTIF($E109:AE109,"²")+COUNTIF($E109:AE109,"µ")+COUNTIF($E109:AE109,1),ColDescriptionCourte))&gt;1,
HYPERLINK("#Roadmap!C"&amp; MATCH($E109,Roadmap!$D:$D,0)+COUNTIF($E109:AE109,"u")+COUNTIF($E109:AE109,"t")+COUNTIF($E109:AE109,"¶")+COUNTIF($E109:AE109,"²")+COUNTIF($E109:AE109,"µ")+COUNTIF($E109:AE109,1)-1,INDEX(Roadmap!$D:$K,MATCH($E109,Roadmap!$D:$D,0)-1+COUNTIF($E109:AE109,"u")+COUNTIF($E109:AE109,"t")+COUNTIF($E109:AE109,"¶")+COUNTIF($E109:AE109,"²")+COUNTIF($E109:AE109,"µ")+COUNTIF($E109:AE109,1),ColDescriptionCourte)),""),
  "")),"")</f>
        <v/>
      </c>
      <c r="AG109" s="40" t="str">
        <f ca="1">IFERROR(IF(AND(
  INDEX(Roadmap!$D:$K,MATCH($E109,Roadmap!$D:$D,0)+COUNTIF($E109:AF109,"u")+COUNTIF($E109:AF109,"t")+COUNTIF($E109:AF109,"¶")+COUNTIF($E109:AF109,"²")+COUNTIF($E109:AF109,"µ")+COUNTIF($E109:AF109,1),ColLivraison)=AG$6,
  VLOOKUP($E109,INDIRECT("tri!"&amp; CHAR(64+ C0Col) &amp;":"&amp; CHAR(65+C0Col)),2,FALSE)&gt;COUNTIF($E109:AF109,"u")+COUNTIF($E109:AF109,"t")+COUNTIF($E109:AF109,"¶")+COUNTIF($E109:AF109,"²")+COUNTIF($E109:AF109,"µ")+COUNTIF($E109:AF109,1)),
HYPERLINK("#Roadmap!C"&amp; MATCH($E109,Roadmap!$D:$D,0)+COUNTIF($E109:AF109,"u")+COUNTIF($E109:AF109,"t"),
     INDEX(Roadmap!$D:$K,MATCH($E109,Roadmap!$D:$D,0)+COUNTIF($E109:AF109,"u")+COUNTIF($E109:AF109,"t")+COUNTIF($E109:AF109,"¶")+COUNTIF($E109:AF109,"²")+COUNTIF($E109:AF109,"µ")+COUNTIF($E109:AF109,1),ColTypeEcheance)),
  IF(LEN(AF109)=1,
  IF(LEN(INDEX(Roadmap!$D:$K,MATCH($E109,Roadmap!$D:$D,0)-1+COUNTIF($E109:AF109,"u")+COUNTIF($E109:AF109,"t")+COUNTIF($E109:AF109,"¶")+COUNTIF($E109:AF109,"²")+COUNTIF($E109:AF109,"µ")+COUNTIF($E109:AF109,1),ColDescriptionCourte))&gt;1,
HYPERLINK("#Roadmap!C"&amp; MATCH($E109,Roadmap!$D:$D,0)+COUNTIF($E109:AF109,"u")+COUNTIF($E109:AF109,"t")+COUNTIF($E109:AF109,"¶")+COUNTIF($E109:AF109,"²")+COUNTIF($E109:AF109,"µ")+COUNTIF($E109:AF109,1)-1,INDEX(Roadmap!$D:$K,MATCH($E109,Roadmap!$D:$D,0)-1+COUNTIF($E109:AF109,"u")+COUNTIF($E109:AF109,"t")+COUNTIF($E109:AF109,"¶")+COUNTIF($E109:AF109,"²")+COUNTIF($E109:AF109,"µ")+COUNTIF($E109:AF109,1),ColDescriptionCourte)),""),
  "")),"")</f>
        <v/>
      </c>
      <c r="AH109" s="40" t="str">
        <f ca="1">IFERROR(IF(AND(
  INDEX(Roadmap!$D:$K,MATCH($E109,Roadmap!$D:$D,0)+COUNTIF($E109:AG109,"u")+COUNTIF($E109:AG109,"t")+COUNTIF($E109:AG109,1),ColLivraison)=AH$6,
  VLOOKUP($E109,INDIRECT("tri!"&amp; CHAR(64+ C0Col) &amp;":"&amp; CHAR(65+C0Col)),2,FALSE)&gt;COUNTIF($E109:AG109,"u")+COUNTIF($E109:AG109,"t")+COUNTIF($E109:AG109,1)),
HYPERLINK("#Roadmap!C"&amp; MATCH($E109,Roadmap!$D:$D,0)+COUNTIF($E109:AG109,"u")+COUNTIF($E109:AG109,"t"),
     INDEX(Roadmap!$D:$K,MATCH($E109,Roadmap!$D:$D,0)+COUNTIF($E109:AG109,"u")+COUNTIF($E109:AG109,"t")+COUNTIF($E109:AG109,1),ColTypeEcheance)),
  IF(OR(AG109="u",AG109="t",AG109=1),
  IF(LEN(INDEX(Roadmap!$D:$K,MATCH($E109,Roadmap!$D:$D,0)-1+COUNTIF($E109:AG109,"u")+COUNTIF($E109:AG109,"t")+COUNTIF($E109:AG109,1),ColDescriptionCourte))&gt;1,
HYPERLINK("#Roadmap!C"&amp; MATCH($E109,Roadmap!$D:$D,0)+COUNTIF($E109:AG109,"u")+COUNTIF($E109:AG109,"t")+COUNTIF($E109:AG109,1)-1,INDEX(Roadmap!$D:$K,MATCH($E109,Roadmap!$D:$D,0)-1+COUNTIF($E109:AG109,"u")+COUNTIF($E109:AG109,"t")+COUNTIF($E109:AG109,1),ColDescriptionCourte)),""),
  "")),"")</f>
        <v/>
      </c>
      <c r="AI109" s="40"/>
      <c r="AJ109" s="40"/>
      <c r="AK109" s="40"/>
      <c r="AL109" s="40"/>
      <c r="AM109" s="40"/>
    </row>
    <row r="110" spans="4:39" ht="14.1" customHeight="1">
      <c r="D110" s="20" t="str">
        <f t="shared" ca="1" si="29"/>
        <v/>
      </c>
      <c r="E110" s="53" t="str">
        <f t="shared" ca="1" si="30"/>
        <v/>
      </c>
      <c r="F110" s="39" t="str">
        <f ca="1">IFERROR(IF(AND(
  INDEX(Roadmap!$D:$K,MATCH($E110,Roadmap!$D:$D,0)+COUNTIF($E110:E110,"u")+COUNTIF($E110:E110,"t")+COUNTIF($E110:E110,"¶")+COUNTIF($E110:E110,"²")+COUNTIF($E110:E110,"µ")+COUNTIF($E110:E110,1),ColLivraison)=F$6,
  VLOOKUP($E110,INDIRECT("tri!"&amp; CHAR(64+ C0Col) &amp;":"&amp; CHAR(65+C0Col)),2,FALSE)&gt;COUNTIF($E110:E110,"u")+COUNTIF($E110:E110,"t")+COUNTIF($E110:E110,"¶")+COUNTIF($E110:E110,"²")+COUNTIF($E110:E110,"µ")+COUNTIF($E110:E110,1)),
HYPERLINK("#Roadmap!C"&amp; MATCH($E110,Roadmap!$D:$D,0)+COUNTIF($E110:E110,"u")+COUNTIF($E110:E110,"t"),
     INDEX(Roadmap!$D:$K,MATCH($E110,Roadmap!$D:$D,0)+COUNTIF($E110:E110,"u")+COUNTIF($E110:E110,"t")+COUNTIF($E110:E110,"¶")+COUNTIF($E110:E110,"²")+COUNTIF($E110:E110,"µ")+COUNTIF($E110:E110,1),ColTypeEcheance)),
  IF(LEN(E110)=1,
  IF(LEN(INDEX(Roadmap!$D:$K,MATCH($E110,Roadmap!$D:$D,0)-1+COUNTIF($E110:E110,"u")+COUNTIF($E110:E110,"t")+COUNTIF($E110:E110,"¶")+COUNTIF($E110:E110,"²")+COUNTIF($E110:E110,"µ")+COUNTIF($E110:E110,1),ColDescriptionCourte))&gt;1,
HYPERLINK("#Roadmap!C"&amp; MATCH($E110,Roadmap!$D:$D,0)+COUNTIF($E110:E110,"u")+COUNTIF($E110:E110,"t")+COUNTIF($E110:E110,"¶")+COUNTIF($E110:E110,"²")+COUNTIF($E110:E110,"µ")+COUNTIF($E110:E110,1)-1,INDEX(Roadmap!$D:$K,MATCH($E110,Roadmap!$D:$D,0)-1+COUNTIF($E110:E110,"u")+COUNTIF($E110:E110,"t")+COUNTIF($E110:E110,"¶")+COUNTIF($E110:E110,"²")+COUNTIF($E110:E110,"µ")+COUNTIF($E110:E110,1),ColDescriptionCourte)),""),
  "")),"")</f>
        <v/>
      </c>
      <c r="G110" s="40" t="str">
        <f ca="1">IFERROR(IF(AND(
  INDEX(Roadmap!$D:$K,MATCH($E110,Roadmap!$D:$D,0)+COUNTIF($E110:F110,"u")+COUNTIF($E110:F110,"t")+COUNTIF($E110:F110,"¶")+COUNTIF($E110:F110,"²")+COUNTIF($E110:F110,"µ")+COUNTIF($E110:F110,1),ColLivraison)=G$6,
  VLOOKUP($E110,INDIRECT("tri!"&amp; CHAR(64+ C0Col) &amp;":"&amp; CHAR(65+C0Col)),2,FALSE)&gt;COUNTIF($E110:F110,"u")+COUNTIF($E110:F110,"t")+COUNTIF($E110:F110,"¶")+COUNTIF($E110:F110,"²")+COUNTIF($E110:F110,"µ")+COUNTIF($E110:F110,1)),
HYPERLINK("#Roadmap!C"&amp; MATCH($E110,Roadmap!$D:$D,0)+COUNTIF($E110:F110,"u")+COUNTIF($E110:F110,"t"),
     INDEX(Roadmap!$D:$K,MATCH($E110,Roadmap!$D:$D,0)+COUNTIF($E110:F110,"u")+COUNTIF($E110:F110,"t")+COUNTIF($E110:F110,"¶")+COUNTIF($E110:F110,"²")+COUNTIF($E110:F110,"µ")+COUNTIF($E110:F110,1),ColTypeEcheance)),
  IF(LEN(F110)=1,
  IF(LEN(INDEX(Roadmap!$D:$K,MATCH($E110,Roadmap!$D:$D,0)-1+COUNTIF($E110:F110,"u")+COUNTIF($E110:F110,"t")+COUNTIF($E110:F110,"¶")+COUNTIF($E110:F110,"²")+COUNTIF($E110:F110,"µ")+COUNTIF($E110:F110,1),ColDescriptionCourte))&gt;1,
HYPERLINK("#Roadmap!C"&amp; MATCH($E110,Roadmap!$D:$D,0)+COUNTIF($E110:F110,"u")+COUNTIF($E110:F110,"t")+COUNTIF($E110:F110,"¶")+COUNTIF($E110:F110,"²")+COUNTIF($E110:F110,"µ")+COUNTIF($E110:F110,1)-1,INDEX(Roadmap!$D:$K,MATCH($E110,Roadmap!$D:$D,0)-1+COUNTIF($E110:F110,"u")+COUNTIF($E110:F110,"t")+COUNTIF($E110:F110,"¶")+COUNTIF($E110:F110,"²")+COUNTIF($E110:F110,"µ")+COUNTIF($E110:F110,1),ColDescriptionCourte)),""),
  "")),"")</f>
        <v/>
      </c>
      <c r="H110" s="40" t="str">
        <f ca="1">IFERROR(IF(AND(
  INDEX(Roadmap!$D:$K,MATCH($E110,Roadmap!$D:$D,0)+COUNTIF($E110:G110,"u")+COUNTIF($E110:G110,"t")+COUNTIF($E110:G110,"¶")+COUNTIF($E110:G110,"²")+COUNTIF($E110:G110,"µ")+COUNTIF($E110:G110,1),ColLivraison)=H$6,
  VLOOKUP($E110,INDIRECT("tri!"&amp; CHAR(64+ C0Col) &amp;":"&amp; CHAR(65+C0Col)),2,FALSE)&gt;COUNTIF($E110:G110,"u")+COUNTIF($E110:G110,"t")+COUNTIF($E110:G110,"¶")+COUNTIF($E110:G110,"²")+COUNTIF($E110:G110,"µ")+COUNTIF($E110:G110,1)),
HYPERLINK("#Roadmap!C"&amp; MATCH($E110,Roadmap!$D:$D,0)+COUNTIF($E110:G110,"u")+COUNTIF($E110:G110,"t"),
     INDEX(Roadmap!$D:$K,MATCH($E110,Roadmap!$D:$D,0)+COUNTIF($E110:G110,"u")+COUNTIF($E110:G110,"t")+COUNTIF($E110:G110,"¶")+COUNTIF($E110:G110,"²")+COUNTIF($E110:G110,"µ")+COUNTIF($E110:G110,1),ColTypeEcheance)),
  IF(LEN(G110)=1,
  IF(LEN(INDEX(Roadmap!$D:$K,MATCH($E110,Roadmap!$D:$D,0)-1+COUNTIF($E110:G110,"u")+COUNTIF($E110:G110,"t")+COUNTIF($E110:G110,"¶")+COUNTIF($E110:G110,"²")+COUNTIF($E110:G110,"µ")+COUNTIF($E110:G110,1),ColDescriptionCourte))&gt;1,
HYPERLINK("#Roadmap!C"&amp; MATCH($E110,Roadmap!$D:$D,0)+COUNTIF($E110:G110,"u")+COUNTIF($E110:G110,"t")+COUNTIF($E110:G110,"¶")+COUNTIF($E110:G110,"²")+COUNTIF($E110:G110,"µ")+COUNTIF($E110:G110,1)-1,INDEX(Roadmap!$D:$K,MATCH($E110,Roadmap!$D:$D,0)-1+COUNTIF($E110:G110,"u")+COUNTIF($E110:G110,"t")+COUNTIF($E110:G110,"¶")+COUNTIF($E110:G110,"²")+COUNTIF($E110:G110,"µ")+COUNTIF($E110:G110,1),ColDescriptionCourte)),""),
  "")),"")</f>
        <v/>
      </c>
      <c r="I110" s="40" t="str">
        <f ca="1">IFERROR(IF(AND(
  INDEX(Roadmap!$D:$K,MATCH($E110,Roadmap!$D:$D,0)+COUNTIF($E110:H110,"u")+COUNTIF($E110:H110,"t")+COUNTIF($E110:H110,"¶")+COUNTIF($E110:H110,"²")+COUNTIF($E110:H110,"µ")+COUNTIF($E110:H110,1),ColLivraison)=I$6,
  VLOOKUP($E110,INDIRECT("tri!"&amp; CHAR(64+ C0Col) &amp;":"&amp; CHAR(65+C0Col)),2,FALSE)&gt;COUNTIF($E110:H110,"u")+COUNTIF($E110:H110,"t")+COUNTIF($E110:H110,"¶")+COUNTIF($E110:H110,"²")+COUNTIF($E110:H110,"µ")+COUNTIF($E110:H110,1)),
HYPERLINK("#Roadmap!C"&amp; MATCH($E110,Roadmap!$D:$D,0)+COUNTIF($E110:H110,"u")+COUNTIF($E110:H110,"t"),
     INDEX(Roadmap!$D:$K,MATCH($E110,Roadmap!$D:$D,0)+COUNTIF($E110:H110,"u")+COUNTIF($E110:H110,"t")+COUNTIF($E110:H110,"¶")+COUNTIF($E110:H110,"²")+COUNTIF($E110:H110,"µ")+COUNTIF($E110:H110,1),ColTypeEcheance)),
  IF(LEN(H110)=1,
  IF(LEN(INDEX(Roadmap!$D:$K,MATCH($E110,Roadmap!$D:$D,0)-1+COUNTIF($E110:H110,"u")+COUNTIF($E110:H110,"t")+COUNTIF($E110:H110,"¶")+COUNTIF($E110:H110,"²")+COUNTIF($E110:H110,"µ")+COUNTIF($E110:H110,1),ColDescriptionCourte))&gt;1,
HYPERLINK("#Roadmap!C"&amp; MATCH($E110,Roadmap!$D:$D,0)+COUNTIF($E110:H110,"u")+COUNTIF($E110:H110,"t")+COUNTIF($E110:H110,"¶")+COUNTIF($E110:H110,"²")+COUNTIF($E110:H110,"µ")+COUNTIF($E110:H110,1)-1,INDEX(Roadmap!$D:$K,MATCH($E110,Roadmap!$D:$D,0)-1+COUNTIF($E110:H110,"u")+COUNTIF($E110:H110,"t")+COUNTIF($E110:H110,"¶")+COUNTIF($E110:H110,"²")+COUNTIF($E110:H110,"µ")+COUNTIF($E110:H110,1),ColDescriptionCourte)),""),
  "")),"")</f>
        <v/>
      </c>
      <c r="J110" s="40" t="str">
        <f ca="1">IFERROR(IF(AND(
  INDEX(Roadmap!$D:$K,MATCH($E110,Roadmap!$D:$D,0)+COUNTIF($E110:I110,"u")+COUNTIF($E110:I110,"t")+COUNTIF($E110:I110,"¶")+COUNTIF($E110:I110,"²")+COUNTIF($E110:I110,"µ")+COUNTIF($E110:I110,1),ColLivraison)=J$6,
  VLOOKUP($E110,INDIRECT("tri!"&amp; CHAR(64+ C0Col) &amp;":"&amp; CHAR(65+C0Col)),2,FALSE)&gt;COUNTIF($E110:I110,"u")+COUNTIF($E110:I110,"t")+COUNTIF($E110:I110,"¶")+COUNTIF($E110:I110,"²")+COUNTIF($E110:I110,"µ")+COUNTIF($E110:I110,1)),
HYPERLINK("#Roadmap!C"&amp; MATCH($E110,Roadmap!$D:$D,0)+COUNTIF($E110:I110,"u")+COUNTIF($E110:I110,"t"),
     INDEX(Roadmap!$D:$K,MATCH($E110,Roadmap!$D:$D,0)+COUNTIF($E110:I110,"u")+COUNTIF($E110:I110,"t")+COUNTIF($E110:I110,"¶")+COUNTIF($E110:I110,"²")+COUNTIF($E110:I110,"µ")+COUNTIF($E110:I110,1),ColTypeEcheance)),
  IF(LEN(I110)=1,
  IF(LEN(INDEX(Roadmap!$D:$K,MATCH($E110,Roadmap!$D:$D,0)-1+COUNTIF($E110:I110,"u")+COUNTIF($E110:I110,"t")+COUNTIF($E110:I110,"¶")+COUNTIF($E110:I110,"²")+COUNTIF($E110:I110,"µ")+COUNTIF($E110:I110,1),ColDescriptionCourte))&gt;1,
HYPERLINK("#Roadmap!C"&amp; MATCH($E110,Roadmap!$D:$D,0)+COUNTIF($E110:I110,"u")+COUNTIF($E110:I110,"t")+COUNTIF($E110:I110,"¶")+COUNTIF($E110:I110,"²")+COUNTIF($E110:I110,"µ")+COUNTIF($E110:I110,1)-1,INDEX(Roadmap!$D:$K,MATCH($E110,Roadmap!$D:$D,0)-1+COUNTIF($E110:I110,"u")+COUNTIF($E110:I110,"t")+COUNTIF($E110:I110,"¶")+COUNTIF($E110:I110,"²")+COUNTIF($E110:I110,"µ")+COUNTIF($E110:I110,1),ColDescriptionCourte)),""),
  "")),"")</f>
        <v/>
      </c>
      <c r="K110" s="40" t="str">
        <f ca="1">IFERROR(IF(AND(
  INDEX(Roadmap!$D:$K,MATCH($E110,Roadmap!$D:$D,0)+COUNTIF($E110:J110,"u")+COUNTIF($E110:J110,"t")+COUNTIF($E110:J110,"¶")+COUNTIF($E110:J110,"²")+COUNTIF($E110:J110,"µ")+COUNTIF($E110:J110,1),ColLivraison)=K$6,
  VLOOKUP($E110,INDIRECT("tri!"&amp; CHAR(64+ C0Col) &amp;":"&amp; CHAR(65+C0Col)),2,FALSE)&gt;COUNTIF($E110:J110,"u")+COUNTIF($E110:J110,"t")+COUNTIF($E110:J110,"¶")+COUNTIF($E110:J110,"²")+COUNTIF($E110:J110,"µ")+COUNTIF($E110:J110,1)),
HYPERLINK("#Roadmap!C"&amp; MATCH($E110,Roadmap!$D:$D,0)+COUNTIF($E110:J110,"u")+COUNTIF($E110:J110,"t"),
     INDEX(Roadmap!$D:$K,MATCH($E110,Roadmap!$D:$D,0)+COUNTIF($E110:J110,"u")+COUNTIF($E110:J110,"t")+COUNTIF($E110:J110,"¶")+COUNTIF($E110:J110,"²")+COUNTIF($E110:J110,"µ")+COUNTIF($E110:J110,1),ColTypeEcheance)),
  IF(LEN(J110)=1,
  IF(LEN(INDEX(Roadmap!$D:$K,MATCH($E110,Roadmap!$D:$D,0)-1+COUNTIF($E110:J110,"u")+COUNTIF($E110:J110,"t")+COUNTIF($E110:J110,"¶")+COUNTIF($E110:J110,"²")+COUNTIF($E110:J110,"µ")+COUNTIF($E110:J110,1),ColDescriptionCourte))&gt;1,
HYPERLINK("#Roadmap!C"&amp; MATCH($E110,Roadmap!$D:$D,0)+COUNTIF($E110:J110,"u")+COUNTIF($E110:J110,"t")+COUNTIF($E110:J110,"¶")+COUNTIF($E110:J110,"²")+COUNTIF($E110:J110,"µ")+COUNTIF($E110:J110,1)-1,INDEX(Roadmap!$D:$K,MATCH($E110,Roadmap!$D:$D,0)-1+COUNTIF($E110:J110,"u")+COUNTIF($E110:J110,"t")+COUNTIF($E110:J110,"¶")+COUNTIF($E110:J110,"²")+COUNTIF($E110:J110,"µ")+COUNTIF($E110:J110,1),ColDescriptionCourte)),""),
  "")),"")</f>
        <v/>
      </c>
      <c r="L110" s="39" t="str">
        <f ca="1">IFERROR(IF(AND(
  INDEX(Roadmap!$D:$K,MATCH($E110,Roadmap!$D:$D,0)+COUNTIF($E110:K110,"u")+COUNTIF($E110:K110,"t")+COUNTIF($E110:K110,"¶")+COUNTIF($E110:K110,"²")+COUNTIF($E110:K110,"µ")+COUNTIF($E110:K110,1),ColLivraison)=L$6,
  VLOOKUP($E110,INDIRECT("tri!"&amp; CHAR(64+ C0Col) &amp;":"&amp; CHAR(65+C0Col)),2,FALSE)&gt;COUNTIF($E110:K110,"u")+COUNTIF($E110:K110,"t")+COUNTIF($E110:K110,"¶")+COUNTIF($E110:K110,"²")+COUNTIF($E110:K110,"µ")+COUNTIF($E110:K110,1)),
HYPERLINK("#Roadmap!C"&amp; MATCH($E110,Roadmap!$D:$D,0)+COUNTIF($E110:K110,"u")+COUNTIF($E110:K110,"t"),
     INDEX(Roadmap!$D:$K,MATCH($E110,Roadmap!$D:$D,0)+COUNTIF($E110:K110,"u")+COUNTIF($E110:K110,"t")+COUNTIF($E110:K110,"¶")+COUNTIF($E110:K110,"²")+COUNTIF($E110:K110,"µ")+COUNTIF($E110:K110,1),ColTypeEcheance)),
  IF(LEN(K110)=1,
  IF(LEN(INDEX(Roadmap!$D:$K,MATCH($E110,Roadmap!$D:$D,0)-1+COUNTIF($E110:K110,"u")+COUNTIF($E110:K110,"t")+COUNTIF($E110:K110,"¶")+COUNTIF($E110:K110,"²")+COUNTIF($E110:K110,"µ")+COUNTIF($E110:K110,1),ColDescriptionCourte))&gt;1,
HYPERLINK("#Roadmap!C"&amp; MATCH($E110,Roadmap!$D:$D,0)+COUNTIF($E110:K110,"u")+COUNTIF($E110:K110,"t")+COUNTIF($E110:K110,"¶")+COUNTIF($E110:K110,"²")+COUNTIF($E110:K110,"µ")+COUNTIF($E110:K110,1)-1,INDEX(Roadmap!$D:$K,MATCH($E110,Roadmap!$D:$D,0)-1+COUNTIF($E110:K110,"u")+COUNTIF($E110:K110,"t")+COUNTIF($E110:K110,"¶")+COUNTIF($E110:K110,"²")+COUNTIF($E110:K110,"µ")+COUNTIF($E110:K110,1),ColDescriptionCourte)),""),
  "")),"")</f>
        <v/>
      </c>
      <c r="M110" s="40" t="str">
        <f ca="1">IFERROR(IF(AND(
  INDEX(Roadmap!$D:$K,MATCH($E110,Roadmap!$D:$D,0)+COUNTIF($E110:L110,"u")+COUNTIF($E110:L110,"t")+COUNTIF($E110:L110,"¶")+COUNTIF($E110:L110,"²")+COUNTIF($E110:L110,"µ")+COUNTIF($E110:L110,1),ColLivraison)=M$6,
  VLOOKUP($E110,INDIRECT("tri!"&amp; CHAR(64+ C0Col) &amp;":"&amp; CHAR(65+C0Col)),2,FALSE)&gt;COUNTIF($E110:L110,"u")+COUNTIF($E110:L110,"t")+COUNTIF($E110:L110,"¶")+COUNTIF($E110:L110,"²")+COUNTIF($E110:L110,"µ")+COUNTIF($E110:L110,1)),
HYPERLINK("#Roadmap!C"&amp; MATCH($E110,Roadmap!$D:$D,0)+COUNTIF($E110:L110,"u")+COUNTIF($E110:L110,"t"),
     INDEX(Roadmap!$D:$K,MATCH($E110,Roadmap!$D:$D,0)+COUNTIF($E110:L110,"u")+COUNTIF($E110:L110,"t")+COUNTIF($E110:L110,"¶")+COUNTIF($E110:L110,"²")+COUNTIF($E110:L110,"µ")+COUNTIF($E110:L110,1),ColTypeEcheance)),
  IF(LEN(L110)=1,
  IF(LEN(INDEX(Roadmap!$D:$K,MATCH($E110,Roadmap!$D:$D,0)-1+COUNTIF($E110:L110,"u")+COUNTIF($E110:L110,"t")+COUNTIF($E110:L110,"¶")+COUNTIF($E110:L110,"²")+COUNTIF($E110:L110,"µ")+COUNTIF($E110:L110,1),ColDescriptionCourte))&gt;1,
HYPERLINK("#Roadmap!C"&amp; MATCH($E110,Roadmap!$D:$D,0)+COUNTIF($E110:L110,"u")+COUNTIF($E110:L110,"t")+COUNTIF($E110:L110,"¶")+COUNTIF($E110:L110,"²")+COUNTIF($E110:L110,"µ")+COUNTIF($E110:L110,1)-1,INDEX(Roadmap!$D:$K,MATCH($E110,Roadmap!$D:$D,0)-1+COUNTIF($E110:L110,"u")+COUNTIF($E110:L110,"t")+COUNTIF($E110:L110,"¶")+COUNTIF($E110:L110,"²")+COUNTIF($E110:L110,"µ")+COUNTIF($E110:L110,1),ColDescriptionCourte)),""),
  "")),"")</f>
        <v/>
      </c>
      <c r="N110" s="40" t="str">
        <f ca="1">IFERROR(IF(AND(
  INDEX(Roadmap!$D:$K,MATCH($E110,Roadmap!$D:$D,0)+COUNTIF($E110:M110,"u")+COUNTIF($E110:M110,"t")+COUNTIF($E110:M110,"¶")+COUNTIF($E110:M110,"²")+COUNTIF($E110:M110,"µ")+COUNTIF($E110:M110,1),ColLivraison)=N$6,
  VLOOKUP($E110,INDIRECT("tri!"&amp; CHAR(64+ C0Col) &amp;":"&amp; CHAR(65+C0Col)),2,FALSE)&gt;COUNTIF($E110:M110,"u")+COUNTIF($E110:M110,"t")+COUNTIF($E110:M110,"¶")+COUNTIF($E110:M110,"²")+COUNTIF($E110:M110,"µ")+COUNTIF($E110:M110,1)),
HYPERLINK("#Roadmap!C"&amp; MATCH($E110,Roadmap!$D:$D,0)+COUNTIF($E110:M110,"u")+COUNTIF($E110:M110,"t"),
     INDEX(Roadmap!$D:$K,MATCH($E110,Roadmap!$D:$D,0)+COUNTIF($E110:M110,"u")+COUNTIF($E110:M110,"t")+COUNTIF($E110:M110,"¶")+COUNTIF($E110:M110,"²")+COUNTIF($E110:M110,"µ")+COUNTIF($E110:M110,1),ColTypeEcheance)),
  IF(LEN(M110)=1,
  IF(LEN(INDEX(Roadmap!$D:$K,MATCH($E110,Roadmap!$D:$D,0)-1+COUNTIF($E110:M110,"u")+COUNTIF($E110:M110,"t")+COUNTIF($E110:M110,"¶")+COUNTIF($E110:M110,"²")+COUNTIF($E110:M110,"µ")+COUNTIF($E110:M110,1),ColDescriptionCourte))&gt;1,
HYPERLINK("#Roadmap!C"&amp; MATCH($E110,Roadmap!$D:$D,0)+COUNTIF($E110:M110,"u")+COUNTIF($E110:M110,"t")+COUNTIF($E110:M110,"¶")+COUNTIF($E110:M110,"²")+COUNTIF($E110:M110,"µ")+COUNTIF($E110:M110,1)-1,INDEX(Roadmap!$D:$K,MATCH($E110,Roadmap!$D:$D,0)-1+COUNTIF($E110:M110,"u")+COUNTIF($E110:M110,"t")+COUNTIF($E110:M110,"¶")+COUNTIF($E110:M110,"²")+COUNTIF($E110:M110,"µ")+COUNTIF($E110:M110,1),ColDescriptionCourte)),""),
  "")),"")</f>
        <v/>
      </c>
      <c r="O110" s="40" t="str">
        <f ca="1">IFERROR(IF(AND(
  INDEX(Roadmap!$D:$K,MATCH($E110,Roadmap!$D:$D,0)+COUNTIF($E110:N110,"u")+COUNTIF($E110:N110,"t")+COUNTIF($E110:N110,"¶")+COUNTIF($E110:N110,"²")+COUNTIF($E110:N110,"µ")+COUNTIF($E110:N110,1),ColLivraison)=O$6,
  VLOOKUP($E110,INDIRECT("tri!"&amp; CHAR(64+ C0Col) &amp;":"&amp; CHAR(65+C0Col)),2,FALSE)&gt;COUNTIF($E110:N110,"u")+COUNTIF($E110:N110,"t")+COUNTIF($E110:N110,"¶")+COUNTIF($E110:N110,"²")+COUNTIF($E110:N110,"µ")+COUNTIF($E110:N110,1)),
HYPERLINK("#Roadmap!C"&amp; MATCH($E110,Roadmap!$D:$D,0)+COUNTIF($E110:N110,"u")+COUNTIF($E110:N110,"t"),
     INDEX(Roadmap!$D:$K,MATCH($E110,Roadmap!$D:$D,0)+COUNTIF($E110:N110,"u")+COUNTIF($E110:N110,"t")+COUNTIF($E110:N110,"¶")+COUNTIF($E110:N110,"²")+COUNTIF($E110:N110,"µ")+COUNTIF($E110:N110,1),ColTypeEcheance)),
  IF(LEN(N110)=1,
  IF(LEN(INDEX(Roadmap!$D:$K,MATCH($E110,Roadmap!$D:$D,0)-1+COUNTIF($E110:N110,"u")+COUNTIF($E110:N110,"t")+COUNTIF($E110:N110,"¶")+COUNTIF($E110:N110,"²")+COUNTIF($E110:N110,"µ")+COUNTIF($E110:N110,1),ColDescriptionCourte))&gt;1,
HYPERLINK("#Roadmap!C"&amp; MATCH($E110,Roadmap!$D:$D,0)+COUNTIF($E110:N110,"u")+COUNTIF($E110:N110,"t")+COUNTIF($E110:N110,"¶")+COUNTIF($E110:N110,"²")+COUNTIF($E110:N110,"µ")+COUNTIF($E110:N110,1)-1,INDEX(Roadmap!$D:$K,MATCH($E110,Roadmap!$D:$D,0)-1+COUNTIF($E110:N110,"u")+COUNTIF($E110:N110,"t")+COUNTIF($E110:N110,"¶")+COUNTIF($E110:N110,"²")+COUNTIF($E110:N110,"µ")+COUNTIF($E110:N110,1),ColDescriptionCourte)),""),
  "")),"")</f>
        <v/>
      </c>
      <c r="P110" s="40" t="str">
        <f ca="1">IFERROR(IF(AND(
  INDEX(Roadmap!$D:$K,MATCH($E110,Roadmap!$D:$D,0)+COUNTIF($E110:O110,"u")+COUNTIF($E110:O110,"t")+COUNTIF($E110:O110,"¶")+COUNTIF($E110:O110,"²")+COUNTIF($E110:O110,"µ")+COUNTIF($E110:O110,1),ColLivraison)=P$6,
  VLOOKUP($E110,INDIRECT("tri!"&amp; CHAR(64+ C0Col) &amp;":"&amp; CHAR(65+C0Col)),2,FALSE)&gt;COUNTIF($E110:O110,"u")+COUNTIF($E110:O110,"t")+COUNTIF($E110:O110,"¶")+COUNTIF($E110:O110,"²")+COUNTIF($E110:O110,"µ")+COUNTIF($E110:O110,1)),
HYPERLINK("#Roadmap!C"&amp; MATCH($E110,Roadmap!$D:$D,0)+COUNTIF($E110:O110,"u")+COUNTIF($E110:O110,"t"),
     INDEX(Roadmap!$D:$K,MATCH($E110,Roadmap!$D:$D,0)+COUNTIF($E110:O110,"u")+COUNTIF($E110:O110,"t")+COUNTIF($E110:O110,"¶")+COUNTIF($E110:O110,"²")+COUNTIF($E110:O110,"µ")+COUNTIF($E110:O110,1),ColTypeEcheance)),
  IF(LEN(O110)=1,
  IF(LEN(INDEX(Roadmap!$D:$K,MATCH($E110,Roadmap!$D:$D,0)-1+COUNTIF($E110:O110,"u")+COUNTIF($E110:O110,"t")+COUNTIF($E110:O110,"¶")+COUNTIF($E110:O110,"²")+COUNTIF($E110:O110,"µ")+COUNTIF($E110:O110,1),ColDescriptionCourte))&gt;1,
HYPERLINK("#Roadmap!C"&amp; MATCH($E110,Roadmap!$D:$D,0)+COUNTIF($E110:O110,"u")+COUNTIF($E110:O110,"t")+COUNTIF($E110:O110,"¶")+COUNTIF($E110:O110,"²")+COUNTIF($E110:O110,"µ")+COUNTIF($E110:O110,1)-1,INDEX(Roadmap!$D:$K,MATCH($E110,Roadmap!$D:$D,0)-1+COUNTIF($E110:O110,"u")+COUNTIF($E110:O110,"t")+COUNTIF($E110:O110,"¶")+COUNTIF($E110:O110,"²")+COUNTIF($E110:O110,"µ")+COUNTIF($E110:O110,1),ColDescriptionCourte)),""),
  "")),"")</f>
        <v/>
      </c>
      <c r="Q110" s="40" t="str">
        <f ca="1">IFERROR(IF(AND(
  INDEX(Roadmap!$D:$K,MATCH($E110,Roadmap!$D:$D,0)+COUNTIF($E110:P110,"u")+COUNTIF($E110:P110,"t")+COUNTIF($E110:P110,"¶")+COUNTIF($E110:P110,"²")+COUNTIF($E110:P110,"µ")+COUNTIF($E110:P110,1),ColLivraison)=Q$6,
  VLOOKUP($E110,INDIRECT("tri!"&amp; CHAR(64+ C0Col) &amp;":"&amp; CHAR(65+C0Col)),2,FALSE)&gt;COUNTIF($E110:P110,"u")+COUNTIF($E110:P110,"t")+COUNTIF($E110:P110,"¶")+COUNTIF($E110:P110,"²")+COUNTIF($E110:P110,"µ")+COUNTIF($E110:P110,1)),
HYPERLINK("#Roadmap!C"&amp; MATCH($E110,Roadmap!$D:$D,0)+COUNTIF($E110:P110,"u")+COUNTIF($E110:P110,"t"),
     INDEX(Roadmap!$D:$K,MATCH($E110,Roadmap!$D:$D,0)+COUNTIF($E110:P110,"u")+COUNTIF($E110:P110,"t")+COUNTIF($E110:P110,"¶")+COUNTIF($E110:P110,"²")+COUNTIF($E110:P110,"µ")+COUNTIF($E110:P110,1),ColTypeEcheance)),
  IF(LEN(P110)=1,
  IF(LEN(INDEX(Roadmap!$D:$K,MATCH($E110,Roadmap!$D:$D,0)-1+COUNTIF($E110:P110,"u")+COUNTIF($E110:P110,"t")+COUNTIF($E110:P110,"¶")+COUNTIF($E110:P110,"²")+COUNTIF($E110:P110,"µ")+COUNTIF($E110:P110,1),ColDescriptionCourte))&gt;1,
HYPERLINK("#Roadmap!C"&amp; MATCH($E110,Roadmap!$D:$D,0)+COUNTIF($E110:P110,"u")+COUNTIF($E110:P110,"t")+COUNTIF($E110:P110,"¶")+COUNTIF($E110:P110,"²")+COUNTIF($E110:P110,"µ")+COUNTIF($E110:P110,1)-1,INDEX(Roadmap!$D:$K,MATCH($E110,Roadmap!$D:$D,0)-1+COUNTIF($E110:P110,"u")+COUNTIF($E110:P110,"t")+COUNTIF($E110:P110,"¶")+COUNTIF($E110:P110,"²")+COUNTIF($E110:P110,"µ")+COUNTIF($E110:P110,1),ColDescriptionCourte)),""),
  "")),"")</f>
        <v/>
      </c>
      <c r="R110" s="40" t="str">
        <f ca="1">IFERROR(IF(AND(
  INDEX(Roadmap!$D:$K,MATCH($E110,Roadmap!$D:$D,0)+COUNTIF($E110:Q110,"u")+COUNTIF($E110:Q110,"t")+COUNTIF($E110:Q110,"¶")+COUNTIF($E110:Q110,"²")+COUNTIF($E110:Q110,"µ")+COUNTIF($E110:Q110,1),ColLivraison)=R$6,
  VLOOKUP($E110,INDIRECT("tri!"&amp; CHAR(64+ C0Col) &amp;":"&amp; CHAR(65+C0Col)),2,FALSE)&gt;COUNTIF($E110:Q110,"u")+COUNTIF($E110:Q110,"t")+COUNTIF($E110:Q110,"¶")+COUNTIF($E110:Q110,"²")+COUNTIF($E110:Q110,"µ")+COUNTIF($E110:Q110,1)),
HYPERLINK("#Roadmap!C"&amp; MATCH($E110,Roadmap!$D:$D,0)+COUNTIF($E110:Q110,"u")+COUNTIF($E110:Q110,"t"),
     INDEX(Roadmap!$D:$K,MATCH($E110,Roadmap!$D:$D,0)+COUNTIF($E110:Q110,"u")+COUNTIF($E110:Q110,"t")+COUNTIF($E110:Q110,"¶")+COUNTIF($E110:Q110,"²")+COUNTIF($E110:Q110,"µ")+COUNTIF($E110:Q110,1),ColTypeEcheance)),
  IF(LEN(Q110)=1,
  IF(LEN(INDEX(Roadmap!$D:$K,MATCH($E110,Roadmap!$D:$D,0)-1+COUNTIF($E110:Q110,"u")+COUNTIF($E110:Q110,"t")+COUNTIF($E110:Q110,"¶")+COUNTIF($E110:Q110,"²")+COUNTIF($E110:Q110,"µ")+COUNTIF($E110:Q110,1),ColDescriptionCourte))&gt;1,
HYPERLINK("#Roadmap!C"&amp; MATCH($E110,Roadmap!$D:$D,0)+COUNTIF($E110:Q110,"u")+COUNTIF($E110:Q110,"t")+COUNTIF($E110:Q110,"¶")+COUNTIF($E110:Q110,"²")+COUNTIF($E110:Q110,"µ")+COUNTIF($E110:Q110,1)-1,INDEX(Roadmap!$D:$K,MATCH($E110,Roadmap!$D:$D,0)-1+COUNTIF($E110:Q110,"u")+COUNTIF($E110:Q110,"t")+COUNTIF($E110:Q110,"¶")+COUNTIF($E110:Q110,"²")+COUNTIF($E110:Q110,"µ")+COUNTIF($E110:Q110,1),ColDescriptionCourte)),""),
  "")),"")</f>
        <v/>
      </c>
      <c r="S110" s="40" t="str">
        <f ca="1">IFERROR(IF(AND(
  INDEX(Roadmap!$D:$K,MATCH($E110,Roadmap!$D:$D,0)+COUNTIF($E110:R110,"u")+COUNTIF($E110:R110,"t")+COUNTIF($E110:R110,"¶")+COUNTIF($E110:R110,"²")+COUNTIF($E110:R110,"µ")+COUNTIF($E110:R110,1),ColLivraison)=S$6,
  VLOOKUP($E110,INDIRECT("tri!"&amp; CHAR(64+ C0Col) &amp;":"&amp; CHAR(65+C0Col)),2,FALSE)&gt;COUNTIF($E110:R110,"u")+COUNTIF($E110:R110,"t")+COUNTIF($E110:R110,"¶")+COUNTIF($E110:R110,"²")+COUNTIF($E110:R110,"µ")+COUNTIF($E110:R110,1)),
HYPERLINK("#Roadmap!C"&amp; MATCH($E110,Roadmap!$D:$D,0)+COUNTIF($E110:R110,"u")+COUNTIF($E110:R110,"t"),
     INDEX(Roadmap!$D:$K,MATCH($E110,Roadmap!$D:$D,0)+COUNTIF($E110:R110,"u")+COUNTIF($E110:R110,"t")+COUNTIF($E110:R110,"¶")+COUNTIF($E110:R110,"²")+COUNTIF($E110:R110,"µ")+COUNTIF($E110:R110,1),ColTypeEcheance)),
  IF(LEN(R110)=1,
  IF(LEN(INDEX(Roadmap!$D:$K,MATCH($E110,Roadmap!$D:$D,0)-1+COUNTIF($E110:R110,"u")+COUNTIF($E110:R110,"t")+COUNTIF($E110:R110,"¶")+COUNTIF($E110:R110,"²")+COUNTIF($E110:R110,"µ")+COUNTIF($E110:R110,1),ColDescriptionCourte))&gt;1,
HYPERLINK("#Roadmap!C"&amp; MATCH($E110,Roadmap!$D:$D,0)+COUNTIF($E110:R110,"u")+COUNTIF($E110:R110,"t")+COUNTIF($E110:R110,"¶")+COUNTIF($E110:R110,"²")+COUNTIF($E110:R110,"µ")+COUNTIF($E110:R110,1)-1,INDEX(Roadmap!$D:$K,MATCH($E110,Roadmap!$D:$D,0)-1+COUNTIF($E110:R110,"u")+COUNTIF($E110:R110,"t")+COUNTIF($E110:R110,"¶")+COUNTIF($E110:R110,"²")+COUNTIF($E110:R110,"µ")+COUNTIF($E110:R110,1),ColDescriptionCourte)),""),
  "")),"")</f>
        <v/>
      </c>
      <c r="T110" s="40" t="str">
        <f ca="1">IFERROR(IF(AND(
  INDEX(Roadmap!$D:$K,MATCH($E110,Roadmap!$D:$D,0)+COUNTIF($E110:S110,"u")+COUNTIF($E110:S110,"t")+COUNTIF($E110:S110,"¶")+COUNTIF($E110:S110,"²")+COUNTIF($E110:S110,"µ")+COUNTIF($E110:S110,1),ColLivraison)=T$6,
  VLOOKUP($E110,INDIRECT("tri!"&amp; CHAR(64+ C0Col) &amp;":"&amp; CHAR(65+C0Col)),2,FALSE)&gt;COUNTIF($E110:S110,"u")+COUNTIF($E110:S110,"t")+COUNTIF($E110:S110,"¶")+COUNTIF($E110:S110,"²")+COUNTIF($E110:S110,"µ")+COUNTIF($E110:S110,1)),
HYPERLINK("#Roadmap!C"&amp; MATCH($E110,Roadmap!$D:$D,0)+COUNTIF($E110:S110,"u")+COUNTIF($E110:S110,"t"),
     INDEX(Roadmap!$D:$K,MATCH($E110,Roadmap!$D:$D,0)+COUNTIF($E110:S110,"u")+COUNTIF($E110:S110,"t")+COUNTIF($E110:S110,"¶")+COUNTIF($E110:S110,"²")+COUNTIF($E110:S110,"µ")+COUNTIF($E110:S110,1),ColTypeEcheance)),
  IF(LEN(S110)=1,
  IF(LEN(INDEX(Roadmap!$D:$K,MATCH($E110,Roadmap!$D:$D,0)-1+COUNTIF($E110:S110,"u")+COUNTIF($E110:S110,"t")+COUNTIF($E110:S110,"¶")+COUNTIF($E110:S110,"²")+COUNTIF($E110:S110,"µ")+COUNTIF($E110:S110,1),ColDescriptionCourte))&gt;1,
HYPERLINK("#Roadmap!C"&amp; MATCH($E110,Roadmap!$D:$D,0)+COUNTIF($E110:S110,"u")+COUNTIF($E110:S110,"t")+COUNTIF($E110:S110,"¶")+COUNTIF($E110:S110,"²")+COUNTIF($E110:S110,"µ")+COUNTIF($E110:S110,1)-1,INDEX(Roadmap!$D:$K,MATCH($E110,Roadmap!$D:$D,0)-1+COUNTIF($E110:S110,"u")+COUNTIF($E110:S110,"t")+COUNTIF($E110:S110,"¶")+COUNTIF($E110:S110,"²")+COUNTIF($E110:S110,"µ")+COUNTIF($E110:S110,1),ColDescriptionCourte)),""),
  "")),"")</f>
        <v/>
      </c>
      <c r="U110" s="40" t="str">
        <f ca="1">IFERROR(IF(AND(
  INDEX(Roadmap!$D:$K,MATCH($E110,Roadmap!$D:$D,0)+COUNTIF($E110:T110,"u")+COUNTIF($E110:T110,"t")+COUNTIF($E110:T110,"¶")+COUNTIF($E110:T110,"²")+COUNTIF($E110:T110,"µ")+COUNTIF($E110:T110,1),ColLivraison)=U$6,
  VLOOKUP($E110,INDIRECT("tri!"&amp; CHAR(64+ C0Col) &amp;":"&amp; CHAR(65+C0Col)),2,FALSE)&gt;COUNTIF($E110:T110,"u")+COUNTIF($E110:T110,"t")+COUNTIF($E110:T110,"¶")+COUNTIF($E110:T110,"²")+COUNTIF($E110:T110,"µ")+COUNTIF($E110:T110,1)),
HYPERLINK("#Roadmap!C"&amp; MATCH($E110,Roadmap!$D:$D,0)+COUNTIF($E110:T110,"u")+COUNTIF($E110:T110,"t"),
     INDEX(Roadmap!$D:$K,MATCH($E110,Roadmap!$D:$D,0)+COUNTIF($E110:T110,"u")+COUNTIF($E110:T110,"t")+COUNTIF($E110:T110,"¶")+COUNTIF($E110:T110,"²")+COUNTIF($E110:T110,"µ")+COUNTIF($E110:T110,1),ColTypeEcheance)),
  IF(LEN(T110)=1,
  IF(LEN(INDEX(Roadmap!$D:$K,MATCH($E110,Roadmap!$D:$D,0)-1+COUNTIF($E110:T110,"u")+COUNTIF($E110:T110,"t")+COUNTIF($E110:T110,"¶")+COUNTIF($E110:T110,"²")+COUNTIF($E110:T110,"µ")+COUNTIF($E110:T110,1),ColDescriptionCourte))&gt;1,
HYPERLINK("#Roadmap!C"&amp; MATCH($E110,Roadmap!$D:$D,0)+COUNTIF($E110:T110,"u")+COUNTIF($E110:T110,"t")+COUNTIF($E110:T110,"¶")+COUNTIF($E110:T110,"²")+COUNTIF($E110:T110,"µ")+COUNTIF($E110:T110,1)-1,INDEX(Roadmap!$D:$K,MATCH($E110,Roadmap!$D:$D,0)-1+COUNTIF($E110:T110,"u")+COUNTIF($E110:T110,"t")+COUNTIF($E110:T110,"¶")+COUNTIF($E110:T110,"²")+COUNTIF($E110:T110,"µ")+COUNTIF($E110:T110,1),ColDescriptionCourte)),""),
  "")),"")</f>
        <v/>
      </c>
      <c r="V110" s="40" t="str">
        <f ca="1">IFERROR(IF(AND(
  INDEX(Roadmap!$D:$K,MATCH($E110,Roadmap!$D:$D,0)+COUNTIF($E110:U110,"u")+COUNTIF($E110:U110,"t")+COUNTIF($E110:U110,"¶")+COUNTIF($E110:U110,"²")+COUNTIF($E110:U110,"µ")+COUNTIF($E110:U110,1),ColLivraison)=V$6,
  VLOOKUP($E110,INDIRECT("tri!"&amp; CHAR(64+ C0Col) &amp;":"&amp; CHAR(65+C0Col)),2,FALSE)&gt;COUNTIF($E110:U110,"u")+COUNTIF($E110:U110,"t")+COUNTIF($E110:U110,"¶")+COUNTIF($E110:U110,"²")+COUNTIF($E110:U110,"µ")+COUNTIF($E110:U110,1)),
HYPERLINK("#Roadmap!C"&amp; MATCH($E110,Roadmap!$D:$D,0)+COUNTIF($E110:U110,"u")+COUNTIF($E110:U110,"t"),
     INDEX(Roadmap!$D:$K,MATCH($E110,Roadmap!$D:$D,0)+COUNTIF($E110:U110,"u")+COUNTIF($E110:U110,"t")+COUNTIF($E110:U110,"¶")+COUNTIF($E110:U110,"²")+COUNTIF($E110:U110,"µ")+COUNTIF($E110:U110,1),ColTypeEcheance)),
  IF(LEN(U110)=1,
  IF(LEN(INDEX(Roadmap!$D:$K,MATCH($E110,Roadmap!$D:$D,0)-1+COUNTIF($E110:U110,"u")+COUNTIF($E110:U110,"t")+COUNTIF($E110:U110,"¶")+COUNTIF($E110:U110,"²")+COUNTIF($E110:U110,"µ")+COUNTIF($E110:U110,1),ColDescriptionCourte))&gt;1,
HYPERLINK("#Roadmap!C"&amp; MATCH($E110,Roadmap!$D:$D,0)+COUNTIF($E110:U110,"u")+COUNTIF($E110:U110,"t")+COUNTIF($E110:U110,"¶")+COUNTIF($E110:U110,"²")+COUNTIF($E110:U110,"µ")+COUNTIF($E110:U110,1)-1,INDEX(Roadmap!$D:$K,MATCH($E110,Roadmap!$D:$D,0)-1+COUNTIF($E110:U110,"u")+COUNTIF($E110:U110,"t")+COUNTIF($E110:U110,"¶")+COUNTIF($E110:U110,"²")+COUNTIF($E110:U110,"µ")+COUNTIF($E110:U110,1),ColDescriptionCourte)),""),
  "")),"")</f>
        <v/>
      </c>
      <c r="W110" s="40" t="str">
        <f ca="1">IFERROR(IF(AND(
  INDEX(Roadmap!$D:$K,MATCH($E110,Roadmap!$D:$D,0)+COUNTIF($E110:V110,"u")+COUNTIF($E110:V110,"t")+COUNTIF($E110:V110,"¶")+COUNTIF($E110:V110,"²")+COUNTIF($E110:V110,"µ")+COUNTIF($E110:V110,1),ColLivraison)=W$6,
  VLOOKUP($E110,INDIRECT("tri!"&amp; CHAR(64+ C0Col) &amp;":"&amp; CHAR(65+C0Col)),2,FALSE)&gt;COUNTIF($E110:V110,"u")+COUNTIF($E110:V110,"t")+COUNTIF($E110:V110,"¶")+COUNTIF($E110:V110,"²")+COUNTIF($E110:V110,"µ")+COUNTIF($E110:V110,1)),
HYPERLINK("#Roadmap!C"&amp; MATCH($E110,Roadmap!$D:$D,0)+COUNTIF($E110:V110,"u")+COUNTIF($E110:V110,"t"),
     INDEX(Roadmap!$D:$K,MATCH($E110,Roadmap!$D:$D,0)+COUNTIF($E110:V110,"u")+COUNTIF($E110:V110,"t")+COUNTIF($E110:V110,"¶")+COUNTIF($E110:V110,"²")+COUNTIF($E110:V110,"µ")+COUNTIF($E110:V110,1),ColTypeEcheance)),
  IF(LEN(V110)=1,
  IF(LEN(INDEX(Roadmap!$D:$K,MATCH($E110,Roadmap!$D:$D,0)-1+COUNTIF($E110:V110,"u")+COUNTIF($E110:V110,"t")+COUNTIF($E110:V110,"¶")+COUNTIF($E110:V110,"²")+COUNTIF($E110:V110,"µ")+COUNTIF($E110:V110,1),ColDescriptionCourte))&gt;1,
HYPERLINK("#Roadmap!C"&amp; MATCH($E110,Roadmap!$D:$D,0)+COUNTIF($E110:V110,"u")+COUNTIF($E110:V110,"t")+COUNTIF($E110:V110,"¶")+COUNTIF($E110:V110,"²")+COUNTIF($E110:V110,"µ")+COUNTIF($E110:V110,1)-1,INDEX(Roadmap!$D:$K,MATCH($E110,Roadmap!$D:$D,0)-1+COUNTIF($E110:V110,"u")+COUNTIF($E110:V110,"t")+COUNTIF($E110:V110,"¶")+COUNTIF($E110:V110,"²")+COUNTIF($E110:V110,"µ")+COUNTIF($E110:V110,1),ColDescriptionCourte)),""),
  "")),"")</f>
        <v/>
      </c>
      <c r="X110" s="40" t="str">
        <f ca="1">IFERROR(IF(AND(
  INDEX(Roadmap!$D:$K,MATCH($E110,Roadmap!$D:$D,0)+COUNTIF($E110:W110,"u")+COUNTIF($E110:W110,"t")+COUNTIF($E110:W110,"¶")+COUNTIF($E110:W110,"²")+COUNTIF($E110:W110,"µ")+COUNTIF($E110:W110,1),ColLivraison)=X$6,
  VLOOKUP($E110,INDIRECT("tri!"&amp; CHAR(64+ C0Col) &amp;":"&amp; CHAR(65+C0Col)),2,FALSE)&gt;COUNTIF($E110:W110,"u")+COUNTIF($E110:W110,"t")+COUNTIF($E110:W110,"¶")+COUNTIF($E110:W110,"²")+COUNTIF($E110:W110,"µ")+COUNTIF($E110:W110,1)),
HYPERLINK("#Roadmap!C"&amp; MATCH($E110,Roadmap!$D:$D,0)+COUNTIF($E110:W110,"u")+COUNTIF($E110:W110,"t"),
     INDEX(Roadmap!$D:$K,MATCH($E110,Roadmap!$D:$D,0)+COUNTIF($E110:W110,"u")+COUNTIF($E110:W110,"t")+COUNTIF($E110:W110,"¶")+COUNTIF($E110:W110,"²")+COUNTIF($E110:W110,"µ")+COUNTIF($E110:W110,1),ColTypeEcheance)),
  IF(LEN(W110)=1,
  IF(LEN(INDEX(Roadmap!$D:$K,MATCH($E110,Roadmap!$D:$D,0)-1+COUNTIF($E110:W110,"u")+COUNTIF($E110:W110,"t")+COUNTIF($E110:W110,"¶")+COUNTIF($E110:W110,"²")+COUNTIF($E110:W110,"µ")+COUNTIF($E110:W110,1),ColDescriptionCourte))&gt;1,
HYPERLINK("#Roadmap!C"&amp; MATCH($E110,Roadmap!$D:$D,0)+COUNTIF($E110:W110,"u")+COUNTIF($E110:W110,"t")+COUNTIF($E110:W110,"¶")+COUNTIF($E110:W110,"²")+COUNTIF($E110:W110,"µ")+COUNTIF($E110:W110,1)-1,INDEX(Roadmap!$D:$K,MATCH($E110,Roadmap!$D:$D,0)-1+COUNTIF($E110:W110,"u")+COUNTIF($E110:W110,"t")+COUNTIF($E110:W110,"¶")+COUNTIF($E110:W110,"²")+COUNTIF($E110:W110,"µ")+COUNTIF($E110:W110,1),ColDescriptionCourte)),""),
  "")),"")</f>
        <v/>
      </c>
      <c r="Y110" s="40" t="str">
        <f ca="1">IFERROR(IF(AND(
  INDEX(Roadmap!$D:$K,MATCH($E110,Roadmap!$D:$D,0)+COUNTIF($E110:X110,"u")+COUNTIF($E110:X110,"t")+COUNTIF($E110:X110,"¶")+COUNTIF($E110:X110,"²")+COUNTIF($E110:X110,"µ")+COUNTIF($E110:X110,1),ColLivraison)=Y$6,
  VLOOKUP($E110,INDIRECT("tri!"&amp; CHAR(64+ C0Col) &amp;":"&amp; CHAR(65+C0Col)),2,FALSE)&gt;COUNTIF($E110:X110,"u")+COUNTIF($E110:X110,"t")+COUNTIF($E110:X110,"¶")+COUNTIF($E110:X110,"²")+COUNTIF($E110:X110,"µ")+COUNTIF($E110:X110,1)),
HYPERLINK("#Roadmap!C"&amp; MATCH($E110,Roadmap!$D:$D,0)+COUNTIF($E110:X110,"u")+COUNTIF($E110:X110,"t"),
     INDEX(Roadmap!$D:$K,MATCH($E110,Roadmap!$D:$D,0)+COUNTIF($E110:X110,"u")+COUNTIF($E110:X110,"t")+COUNTIF($E110:X110,"¶")+COUNTIF($E110:X110,"²")+COUNTIF($E110:X110,"µ")+COUNTIF($E110:X110,1),ColTypeEcheance)),
  IF(LEN(X110)=1,
  IF(LEN(INDEX(Roadmap!$D:$K,MATCH($E110,Roadmap!$D:$D,0)-1+COUNTIF($E110:X110,"u")+COUNTIF($E110:X110,"t")+COUNTIF($E110:X110,"¶")+COUNTIF($E110:X110,"²")+COUNTIF($E110:X110,"µ")+COUNTIF($E110:X110,1),ColDescriptionCourte))&gt;1,
HYPERLINK("#Roadmap!C"&amp; MATCH($E110,Roadmap!$D:$D,0)+COUNTIF($E110:X110,"u")+COUNTIF($E110:X110,"t")+COUNTIF($E110:X110,"¶")+COUNTIF($E110:X110,"²")+COUNTIF($E110:X110,"µ")+COUNTIF($E110:X110,1)-1,INDEX(Roadmap!$D:$K,MATCH($E110,Roadmap!$D:$D,0)-1+COUNTIF($E110:X110,"u")+COUNTIF($E110:X110,"t")+COUNTIF($E110:X110,"¶")+COUNTIF($E110:X110,"²")+COUNTIF($E110:X110,"µ")+COUNTIF($E110:X110,1),ColDescriptionCourte)),""),
  "")),"")</f>
        <v/>
      </c>
      <c r="Z110" s="40" t="str">
        <f ca="1">IFERROR(IF(AND(
  INDEX(Roadmap!$D:$K,MATCH($E110,Roadmap!$D:$D,0)+COUNTIF($E110:Y110,"u")+COUNTIF($E110:Y110,"t")+COUNTIF($E110:Y110,"¶")+COUNTIF($E110:Y110,"²")+COUNTIF($E110:Y110,"µ")+COUNTIF($E110:Y110,1),ColLivraison)=Z$6,
  VLOOKUP($E110,INDIRECT("tri!"&amp; CHAR(64+ C0Col) &amp;":"&amp; CHAR(65+C0Col)),2,FALSE)&gt;COUNTIF($E110:Y110,"u")+COUNTIF($E110:Y110,"t")+COUNTIF($E110:Y110,"¶")+COUNTIF($E110:Y110,"²")+COUNTIF($E110:Y110,"µ")+COUNTIF($E110:Y110,1)),
HYPERLINK("#Roadmap!C"&amp; MATCH($E110,Roadmap!$D:$D,0)+COUNTIF($E110:Y110,"u")+COUNTIF($E110:Y110,"t"),
     INDEX(Roadmap!$D:$K,MATCH($E110,Roadmap!$D:$D,0)+COUNTIF($E110:Y110,"u")+COUNTIF($E110:Y110,"t")+COUNTIF($E110:Y110,"¶")+COUNTIF($E110:Y110,"²")+COUNTIF($E110:Y110,"µ")+COUNTIF($E110:Y110,1),ColTypeEcheance)),
  IF(LEN(Y110)=1,
  IF(LEN(INDEX(Roadmap!$D:$K,MATCH($E110,Roadmap!$D:$D,0)-1+COUNTIF($E110:Y110,"u")+COUNTIF($E110:Y110,"t")+COUNTIF($E110:Y110,"¶")+COUNTIF($E110:Y110,"²")+COUNTIF($E110:Y110,"µ")+COUNTIF($E110:Y110,1),ColDescriptionCourte))&gt;1,
HYPERLINK("#Roadmap!C"&amp; MATCH($E110,Roadmap!$D:$D,0)+COUNTIF($E110:Y110,"u")+COUNTIF($E110:Y110,"t")+COUNTIF($E110:Y110,"¶")+COUNTIF($E110:Y110,"²")+COUNTIF($E110:Y110,"µ")+COUNTIF($E110:Y110,1)-1,INDEX(Roadmap!$D:$K,MATCH($E110,Roadmap!$D:$D,0)-1+COUNTIF($E110:Y110,"u")+COUNTIF($E110:Y110,"t")+COUNTIF($E110:Y110,"¶")+COUNTIF($E110:Y110,"²")+COUNTIF($E110:Y110,"µ")+COUNTIF($E110:Y110,1),ColDescriptionCourte)),""),
  "")),"")</f>
        <v/>
      </c>
      <c r="AA110" s="40" t="str">
        <f ca="1">IFERROR(IF(AND(
  INDEX(Roadmap!$D:$K,MATCH($E110,Roadmap!$D:$D,0)+COUNTIF($E110:Z110,"u")+COUNTIF($E110:Z110,"t")+COUNTIF($E110:Z110,"¶")+COUNTIF($E110:Z110,"²")+COUNTIF($E110:Z110,"µ")+COUNTIF($E110:Z110,1),ColLivraison)=AA$6,
  VLOOKUP($E110,INDIRECT("tri!"&amp; CHAR(64+ C0Col) &amp;":"&amp; CHAR(65+C0Col)),2,FALSE)&gt;COUNTIF($E110:Z110,"u")+COUNTIF($E110:Z110,"t")+COUNTIF($E110:Z110,"¶")+COUNTIF($E110:Z110,"²")+COUNTIF($E110:Z110,"µ")+COUNTIF($E110:Z110,1)),
HYPERLINK("#Roadmap!C"&amp; MATCH($E110,Roadmap!$D:$D,0)+COUNTIF($E110:Z110,"u")+COUNTIF($E110:Z110,"t"),
     INDEX(Roadmap!$D:$K,MATCH($E110,Roadmap!$D:$D,0)+COUNTIF($E110:Z110,"u")+COUNTIF($E110:Z110,"t")+COUNTIF($E110:Z110,"¶")+COUNTIF($E110:Z110,"²")+COUNTIF($E110:Z110,"µ")+COUNTIF($E110:Z110,1),ColTypeEcheance)),
  IF(LEN(Z110)=1,
  IF(LEN(INDEX(Roadmap!$D:$K,MATCH($E110,Roadmap!$D:$D,0)-1+COUNTIF($E110:Z110,"u")+COUNTIF($E110:Z110,"t")+COUNTIF($E110:Z110,"¶")+COUNTIF($E110:Z110,"²")+COUNTIF($E110:Z110,"µ")+COUNTIF($E110:Z110,1),ColDescriptionCourte))&gt;1,
HYPERLINK("#Roadmap!C"&amp; MATCH($E110,Roadmap!$D:$D,0)+COUNTIF($E110:Z110,"u")+COUNTIF($E110:Z110,"t")+COUNTIF($E110:Z110,"¶")+COUNTIF($E110:Z110,"²")+COUNTIF($E110:Z110,"µ")+COUNTIF($E110:Z110,1)-1,INDEX(Roadmap!$D:$K,MATCH($E110,Roadmap!$D:$D,0)-1+COUNTIF($E110:Z110,"u")+COUNTIF($E110:Z110,"t")+COUNTIF($E110:Z110,"¶")+COUNTIF($E110:Z110,"²")+COUNTIF($E110:Z110,"µ")+COUNTIF($E110:Z110,1),ColDescriptionCourte)),""),
  "")),"")</f>
        <v/>
      </c>
      <c r="AB110" s="40" t="str">
        <f ca="1">IFERROR(IF(AND(
  INDEX(Roadmap!$D:$K,MATCH($E110,Roadmap!$D:$D,0)+COUNTIF($E110:AA110,"u")+COUNTIF($E110:AA110,"t")+COUNTIF($E110:AA110,"¶")+COUNTIF($E110:AA110,"²")+COUNTIF($E110:AA110,"µ")+COUNTIF($E110:AA110,1),ColLivraison)=AB$6,
  VLOOKUP($E110,INDIRECT("tri!"&amp; CHAR(64+ C0Col) &amp;":"&amp; CHAR(65+C0Col)),2,FALSE)&gt;COUNTIF($E110:AA110,"u")+COUNTIF($E110:AA110,"t")+COUNTIF($E110:AA110,"¶")+COUNTIF($E110:AA110,"²")+COUNTIF($E110:AA110,"µ")+COUNTIF($E110:AA110,1)),
HYPERLINK("#Roadmap!C"&amp; MATCH($E110,Roadmap!$D:$D,0)+COUNTIF($E110:AA110,"u")+COUNTIF($E110:AA110,"t"),
     INDEX(Roadmap!$D:$K,MATCH($E110,Roadmap!$D:$D,0)+COUNTIF($E110:AA110,"u")+COUNTIF($E110:AA110,"t")+COUNTIF($E110:AA110,"¶")+COUNTIF($E110:AA110,"²")+COUNTIF($E110:AA110,"µ")+COUNTIF($E110:AA110,1),ColTypeEcheance)),
  IF(LEN(AA110)=1,
  IF(LEN(INDEX(Roadmap!$D:$K,MATCH($E110,Roadmap!$D:$D,0)-1+COUNTIF($E110:AA110,"u")+COUNTIF($E110:AA110,"t")+COUNTIF($E110:AA110,"¶")+COUNTIF($E110:AA110,"²")+COUNTIF($E110:AA110,"µ")+COUNTIF($E110:AA110,1),ColDescriptionCourte))&gt;1,
HYPERLINK("#Roadmap!C"&amp; MATCH($E110,Roadmap!$D:$D,0)+COUNTIF($E110:AA110,"u")+COUNTIF($E110:AA110,"t")+COUNTIF($E110:AA110,"¶")+COUNTIF($E110:AA110,"²")+COUNTIF($E110:AA110,"µ")+COUNTIF($E110:AA110,1)-1,INDEX(Roadmap!$D:$K,MATCH($E110,Roadmap!$D:$D,0)-1+COUNTIF($E110:AA110,"u")+COUNTIF($E110:AA110,"t")+COUNTIF($E110:AA110,"¶")+COUNTIF($E110:AA110,"²")+COUNTIF($E110:AA110,"µ")+COUNTIF($E110:AA110,1),ColDescriptionCourte)),""),
  "")),"")</f>
        <v/>
      </c>
      <c r="AC110" s="40" t="str">
        <f ca="1">IFERROR(IF(AND(
  INDEX(Roadmap!$D:$K,MATCH($E110,Roadmap!$D:$D,0)+COUNTIF($E110:AB110,"u")+COUNTIF($E110:AB110,"t")+COUNTIF($E110:AB110,"¶")+COUNTIF($E110:AB110,"²")+COUNTIF($E110:AB110,"µ")+COUNTIF($E110:AB110,1),ColLivraison)=AC$6,
  VLOOKUP($E110,INDIRECT("tri!"&amp; CHAR(64+ C0Col) &amp;":"&amp; CHAR(65+C0Col)),2,FALSE)&gt;COUNTIF($E110:AB110,"u")+COUNTIF($E110:AB110,"t")+COUNTIF($E110:AB110,"¶")+COUNTIF($E110:AB110,"²")+COUNTIF($E110:AB110,"µ")+COUNTIF($E110:AB110,1)),
HYPERLINK("#Roadmap!C"&amp; MATCH($E110,Roadmap!$D:$D,0)+COUNTIF($E110:AB110,"u")+COUNTIF($E110:AB110,"t"),
     INDEX(Roadmap!$D:$K,MATCH($E110,Roadmap!$D:$D,0)+COUNTIF($E110:AB110,"u")+COUNTIF($E110:AB110,"t")+COUNTIF($E110:AB110,"¶")+COUNTIF($E110:AB110,"²")+COUNTIF($E110:AB110,"µ")+COUNTIF($E110:AB110,1),ColTypeEcheance)),
  IF(LEN(AB110)=1,
  IF(LEN(INDEX(Roadmap!$D:$K,MATCH($E110,Roadmap!$D:$D,0)-1+COUNTIF($E110:AB110,"u")+COUNTIF($E110:AB110,"t")+COUNTIF($E110:AB110,"¶")+COUNTIF($E110:AB110,"²")+COUNTIF($E110:AB110,"µ")+COUNTIF($E110:AB110,1),ColDescriptionCourte))&gt;1,
HYPERLINK("#Roadmap!C"&amp; MATCH($E110,Roadmap!$D:$D,0)+COUNTIF($E110:AB110,"u")+COUNTIF($E110:AB110,"t")+COUNTIF($E110:AB110,"¶")+COUNTIF($E110:AB110,"²")+COUNTIF($E110:AB110,"µ")+COUNTIF($E110:AB110,1)-1,INDEX(Roadmap!$D:$K,MATCH($E110,Roadmap!$D:$D,0)-1+COUNTIF($E110:AB110,"u")+COUNTIF($E110:AB110,"t")+COUNTIF($E110:AB110,"¶")+COUNTIF($E110:AB110,"²")+COUNTIF($E110:AB110,"µ")+COUNTIF($E110:AB110,1),ColDescriptionCourte)),""),
  "")),"")</f>
        <v/>
      </c>
      <c r="AD110" s="40" t="str">
        <f ca="1">IFERROR(IF(AND(
  INDEX(Roadmap!$D:$K,MATCH($E110,Roadmap!$D:$D,0)+COUNTIF($E110:AC110,"u")+COUNTIF($E110:AC110,"t")+COUNTIF($E110:AC110,"¶")+COUNTIF($E110:AC110,"²")+COUNTIF($E110:AC110,"µ")+COUNTIF($E110:AC110,1),ColLivraison)=AD$6,
  VLOOKUP($E110,INDIRECT("tri!"&amp; CHAR(64+ C0Col) &amp;":"&amp; CHAR(65+C0Col)),2,FALSE)&gt;COUNTIF($E110:AC110,"u")+COUNTIF($E110:AC110,"t")+COUNTIF($E110:AC110,"¶")+COUNTIF($E110:AC110,"²")+COUNTIF($E110:AC110,"µ")+COUNTIF($E110:AC110,1)),
HYPERLINK("#Roadmap!C"&amp; MATCH($E110,Roadmap!$D:$D,0)+COUNTIF($E110:AC110,"u")+COUNTIF($E110:AC110,"t"),
     INDEX(Roadmap!$D:$K,MATCH($E110,Roadmap!$D:$D,0)+COUNTIF($E110:AC110,"u")+COUNTIF($E110:AC110,"t")+COUNTIF($E110:AC110,"¶")+COUNTIF($E110:AC110,"²")+COUNTIF($E110:AC110,"µ")+COUNTIF($E110:AC110,1),ColTypeEcheance)),
  IF(LEN(AC110)=1,
  IF(LEN(INDEX(Roadmap!$D:$K,MATCH($E110,Roadmap!$D:$D,0)-1+COUNTIF($E110:AC110,"u")+COUNTIF($E110:AC110,"t")+COUNTIF($E110:AC110,"¶")+COUNTIF($E110:AC110,"²")+COUNTIF($E110:AC110,"µ")+COUNTIF($E110:AC110,1),ColDescriptionCourte))&gt;1,
HYPERLINK("#Roadmap!C"&amp; MATCH($E110,Roadmap!$D:$D,0)+COUNTIF($E110:AC110,"u")+COUNTIF($E110:AC110,"t")+COUNTIF($E110:AC110,"¶")+COUNTIF($E110:AC110,"²")+COUNTIF($E110:AC110,"µ")+COUNTIF($E110:AC110,1)-1,INDEX(Roadmap!$D:$K,MATCH($E110,Roadmap!$D:$D,0)-1+COUNTIF($E110:AC110,"u")+COUNTIF($E110:AC110,"t")+COUNTIF($E110:AC110,"¶")+COUNTIF($E110:AC110,"²")+COUNTIF($E110:AC110,"µ")+COUNTIF($E110:AC110,1),ColDescriptionCourte)),""),
  "")),"")</f>
        <v/>
      </c>
      <c r="AE110" s="40" t="str">
        <f ca="1">IFERROR(IF(AND(
  INDEX(Roadmap!$D:$K,MATCH($E110,Roadmap!$D:$D,0)+COUNTIF($E110:AD110,"u")+COUNTIF($E110:AD110,"t")+COUNTIF($E110:AD110,"¶")+COUNTIF($E110:AD110,"²")+COUNTIF($E110:AD110,"µ")+COUNTIF($E110:AD110,1),ColLivraison)=AE$6,
  VLOOKUP($E110,INDIRECT("tri!"&amp; CHAR(64+ C0Col) &amp;":"&amp; CHAR(65+C0Col)),2,FALSE)&gt;COUNTIF($E110:AD110,"u")+COUNTIF($E110:AD110,"t")+COUNTIF($E110:AD110,"¶")+COUNTIF($E110:AD110,"²")+COUNTIF($E110:AD110,"µ")+COUNTIF($E110:AD110,1)),
HYPERLINK("#Roadmap!C"&amp; MATCH($E110,Roadmap!$D:$D,0)+COUNTIF($E110:AD110,"u")+COUNTIF($E110:AD110,"t"),
     INDEX(Roadmap!$D:$K,MATCH($E110,Roadmap!$D:$D,0)+COUNTIF($E110:AD110,"u")+COUNTIF($E110:AD110,"t")+COUNTIF($E110:AD110,"¶")+COUNTIF($E110:AD110,"²")+COUNTIF($E110:AD110,"µ")+COUNTIF($E110:AD110,1),ColTypeEcheance)),
  IF(LEN(AD110)=1,
  IF(LEN(INDEX(Roadmap!$D:$K,MATCH($E110,Roadmap!$D:$D,0)-1+COUNTIF($E110:AD110,"u")+COUNTIF($E110:AD110,"t")+COUNTIF($E110:AD110,"¶")+COUNTIF($E110:AD110,"²")+COUNTIF($E110:AD110,"µ")+COUNTIF($E110:AD110,1),ColDescriptionCourte))&gt;1,
HYPERLINK("#Roadmap!C"&amp; MATCH($E110,Roadmap!$D:$D,0)+COUNTIF($E110:AD110,"u")+COUNTIF($E110:AD110,"t")+COUNTIF($E110:AD110,"¶")+COUNTIF($E110:AD110,"²")+COUNTIF($E110:AD110,"µ")+COUNTIF($E110:AD110,1)-1,INDEX(Roadmap!$D:$K,MATCH($E110,Roadmap!$D:$D,0)-1+COUNTIF($E110:AD110,"u")+COUNTIF($E110:AD110,"t")+COUNTIF($E110:AD110,"¶")+COUNTIF($E110:AD110,"²")+COUNTIF($E110:AD110,"µ")+COUNTIF($E110:AD110,1),ColDescriptionCourte)),""),
  "")),"")</f>
        <v/>
      </c>
      <c r="AF110" s="40" t="str">
        <f ca="1">IFERROR(IF(AND(
  INDEX(Roadmap!$D:$K,MATCH($E110,Roadmap!$D:$D,0)+COUNTIF($E110:AE110,"u")+COUNTIF($E110:AE110,"t")+COUNTIF($E110:AE110,"¶")+COUNTIF($E110:AE110,"²")+COUNTIF($E110:AE110,"µ")+COUNTIF($E110:AE110,1),ColLivraison)=AF$6,
  VLOOKUP($E110,INDIRECT("tri!"&amp; CHAR(64+ C0Col) &amp;":"&amp; CHAR(65+C0Col)),2,FALSE)&gt;COUNTIF($E110:AE110,"u")+COUNTIF($E110:AE110,"t")+COUNTIF($E110:AE110,"¶")+COUNTIF($E110:AE110,"²")+COUNTIF($E110:AE110,"µ")+COUNTIF($E110:AE110,1)),
HYPERLINK("#Roadmap!C"&amp; MATCH($E110,Roadmap!$D:$D,0)+COUNTIF($E110:AE110,"u")+COUNTIF($E110:AE110,"t"),
     INDEX(Roadmap!$D:$K,MATCH($E110,Roadmap!$D:$D,0)+COUNTIF($E110:AE110,"u")+COUNTIF($E110:AE110,"t")+COUNTIF($E110:AE110,"¶")+COUNTIF($E110:AE110,"²")+COUNTIF($E110:AE110,"µ")+COUNTIF($E110:AE110,1),ColTypeEcheance)),
  IF(LEN(AE110)=1,
  IF(LEN(INDEX(Roadmap!$D:$K,MATCH($E110,Roadmap!$D:$D,0)-1+COUNTIF($E110:AE110,"u")+COUNTIF($E110:AE110,"t")+COUNTIF($E110:AE110,"¶")+COUNTIF($E110:AE110,"²")+COUNTIF($E110:AE110,"µ")+COUNTIF($E110:AE110,1),ColDescriptionCourte))&gt;1,
HYPERLINK("#Roadmap!C"&amp; MATCH($E110,Roadmap!$D:$D,0)+COUNTIF($E110:AE110,"u")+COUNTIF($E110:AE110,"t")+COUNTIF($E110:AE110,"¶")+COUNTIF($E110:AE110,"²")+COUNTIF($E110:AE110,"µ")+COUNTIF($E110:AE110,1)-1,INDEX(Roadmap!$D:$K,MATCH($E110,Roadmap!$D:$D,0)-1+COUNTIF($E110:AE110,"u")+COUNTIF($E110:AE110,"t")+COUNTIF($E110:AE110,"¶")+COUNTIF($E110:AE110,"²")+COUNTIF($E110:AE110,"µ")+COUNTIF($E110:AE110,1),ColDescriptionCourte)),""),
  "")),"")</f>
        <v/>
      </c>
      <c r="AG110" s="40" t="str">
        <f ca="1">IFERROR(IF(AND(
  INDEX(Roadmap!$D:$K,MATCH($E110,Roadmap!$D:$D,0)+COUNTIF($E110:AF110,"u")+COUNTIF($E110:AF110,"t")+COUNTIF($E110:AF110,"¶")+COUNTIF($E110:AF110,"²")+COUNTIF($E110:AF110,"µ")+COUNTIF($E110:AF110,1),ColLivraison)=AG$6,
  VLOOKUP($E110,INDIRECT("tri!"&amp; CHAR(64+ C0Col) &amp;":"&amp; CHAR(65+C0Col)),2,FALSE)&gt;COUNTIF($E110:AF110,"u")+COUNTIF($E110:AF110,"t")+COUNTIF($E110:AF110,"¶")+COUNTIF($E110:AF110,"²")+COUNTIF($E110:AF110,"µ")+COUNTIF($E110:AF110,1)),
HYPERLINK("#Roadmap!C"&amp; MATCH($E110,Roadmap!$D:$D,0)+COUNTIF($E110:AF110,"u")+COUNTIF($E110:AF110,"t"),
     INDEX(Roadmap!$D:$K,MATCH($E110,Roadmap!$D:$D,0)+COUNTIF($E110:AF110,"u")+COUNTIF($E110:AF110,"t")+COUNTIF($E110:AF110,"¶")+COUNTIF($E110:AF110,"²")+COUNTIF($E110:AF110,"µ")+COUNTIF($E110:AF110,1),ColTypeEcheance)),
  IF(LEN(AF110)=1,
  IF(LEN(INDEX(Roadmap!$D:$K,MATCH($E110,Roadmap!$D:$D,0)-1+COUNTIF($E110:AF110,"u")+COUNTIF($E110:AF110,"t")+COUNTIF($E110:AF110,"¶")+COUNTIF($E110:AF110,"²")+COUNTIF($E110:AF110,"µ")+COUNTIF($E110:AF110,1),ColDescriptionCourte))&gt;1,
HYPERLINK("#Roadmap!C"&amp; MATCH($E110,Roadmap!$D:$D,0)+COUNTIF($E110:AF110,"u")+COUNTIF($E110:AF110,"t")+COUNTIF($E110:AF110,"¶")+COUNTIF($E110:AF110,"²")+COUNTIF($E110:AF110,"µ")+COUNTIF($E110:AF110,1)-1,INDEX(Roadmap!$D:$K,MATCH($E110,Roadmap!$D:$D,0)-1+COUNTIF($E110:AF110,"u")+COUNTIF($E110:AF110,"t")+COUNTIF($E110:AF110,"¶")+COUNTIF($E110:AF110,"²")+COUNTIF($E110:AF110,"µ")+COUNTIF($E110:AF110,1),ColDescriptionCourte)),""),
  "")),"")</f>
        <v/>
      </c>
      <c r="AH110" s="40" t="str">
        <f ca="1">IFERROR(IF(AND(
  INDEX(Roadmap!$D:$K,MATCH($E110,Roadmap!$D:$D,0)+COUNTIF($E110:AG110,"u")+COUNTIF($E110:AG110,"t")+COUNTIF($E110:AG110,1),ColLivraison)=AH$6,
  VLOOKUP($E110,INDIRECT("tri!"&amp; CHAR(64+ C0Col) &amp;":"&amp; CHAR(65+C0Col)),2,FALSE)&gt;COUNTIF($E110:AG110,"u")+COUNTIF($E110:AG110,"t")+COUNTIF($E110:AG110,1)),
HYPERLINK("#Roadmap!C"&amp; MATCH($E110,Roadmap!$D:$D,0)+COUNTIF($E110:AG110,"u")+COUNTIF($E110:AG110,"t"),
     INDEX(Roadmap!$D:$K,MATCH($E110,Roadmap!$D:$D,0)+COUNTIF($E110:AG110,"u")+COUNTIF($E110:AG110,"t")+COUNTIF($E110:AG110,1),ColTypeEcheance)),
  IF(OR(AG110="u",AG110="t",AG110=1),
  IF(LEN(INDEX(Roadmap!$D:$K,MATCH($E110,Roadmap!$D:$D,0)-1+COUNTIF($E110:AG110,"u")+COUNTIF($E110:AG110,"t")+COUNTIF($E110:AG110,1),ColDescriptionCourte))&gt;1,
HYPERLINK("#Roadmap!C"&amp; MATCH($E110,Roadmap!$D:$D,0)+COUNTIF($E110:AG110,"u")+COUNTIF($E110:AG110,"t")+COUNTIF($E110:AG110,1)-1,INDEX(Roadmap!$D:$K,MATCH($E110,Roadmap!$D:$D,0)-1+COUNTIF($E110:AG110,"u")+COUNTIF($E110:AG110,"t")+COUNTIF($E110:AG110,1),ColDescriptionCourte)),""),
  "")),"")</f>
        <v/>
      </c>
      <c r="AI110" s="40"/>
      <c r="AJ110" s="40"/>
      <c r="AK110" s="40"/>
      <c r="AL110" s="40"/>
      <c r="AM110" s="40"/>
    </row>
    <row r="111" spans="4:39" ht="14.1" customHeight="1">
      <c r="D111" s="20" t="str">
        <f t="shared" ca="1" si="29"/>
        <v/>
      </c>
      <c r="E111" s="53" t="str">
        <f t="shared" ca="1" si="30"/>
        <v/>
      </c>
      <c r="F111" s="39" t="str">
        <f ca="1">IFERROR(IF(AND(
  INDEX(Roadmap!$D:$K,MATCH($E111,Roadmap!$D:$D,0)+COUNTIF($E111:E111,"u")+COUNTIF($E111:E111,"t")+COUNTIF($E111:E111,"¶")+COUNTIF($E111:E111,"²")+COUNTIF($E111:E111,"µ")+COUNTIF($E111:E111,1),ColLivraison)=F$6,
  VLOOKUP($E111,INDIRECT("tri!"&amp; CHAR(64+ C0Col) &amp;":"&amp; CHAR(65+C0Col)),2,FALSE)&gt;COUNTIF($E111:E111,"u")+COUNTIF($E111:E111,"t")+COUNTIF($E111:E111,"¶")+COUNTIF($E111:E111,"²")+COUNTIF($E111:E111,"µ")+COUNTIF($E111:E111,1)),
HYPERLINK("#Roadmap!C"&amp; MATCH($E111,Roadmap!$D:$D,0)+COUNTIF($E111:E111,"u")+COUNTIF($E111:E111,"t"),
     INDEX(Roadmap!$D:$K,MATCH($E111,Roadmap!$D:$D,0)+COUNTIF($E111:E111,"u")+COUNTIF($E111:E111,"t")+COUNTIF($E111:E111,"¶")+COUNTIF($E111:E111,"²")+COUNTIF($E111:E111,"µ")+COUNTIF($E111:E111,1),ColTypeEcheance)),
  IF(LEN(E111)=1,
  IF(LEN(INDEX(Roadmap!$D:$K,MATCH($E111,Roadmap!$D:$D,0)-1+COUNTIF($E111:E111,"u")+COUNTIF($E111:E111,"t")+COUNTIF($E111:E111,"¶")+COUNTIF($E111:E111,"²")+COUNTIF($E111:E111,"µ")+COUNTIF($E111:E111,1),ColDescriptionCourte))&gt;1,
HYPERLINK("#Roadmap!C"&amp; MATCH($E111,Roadmap!$D:$D,0)+COUNTIF($E111:E111,"u")+COUNTIF($E111:E111,"t")+COUNTIF($E111:E111,"¶")+COUNTIF($E111:E111,"²")+COUNTIF($E111:E111,"µ")+COUNTIF($E111:E111,1)-1,INDEX(Roadmap!$D:$K,MATCH($E111,Roadmap!$D:$D,0)-1+COUNTIF($E111:E111,"u")+COUNTIF($E111:E111,"t")+COUNTIF($E111:E111,"¶")+COUNTIF($E111:E111,"²")+COUNTIF($E111:E111,"µ")+COUNTIF($E111:E111,1),ColDescriptionCourte)),""),
  "")),"")</f>
        <v/>
      </c>
      <c r="G111" s="40" t="str">
        <f ca="1">IFERROR(IF(AND(
  INDEX(Roadmap!$D:$K,MATCH($E111,Roadmap!$D:$D,0)+COUNTIF($E111:F111,"u")+COUNTIF($E111:F111,"t")+COUNTIF($E111:F111,"¶")+COUNTIF($E111:F111,"²")+COUNTIF($E111:F111,"µ")+COUNTIF($E111:F111,1),ColLivraison)=G$6,
  VLOOKUP($E111,INDIRECT("tri!"&amp; CHAR(64+ C0Col) &amp;":"&amp; CHAR(65+C0Col)),2,FALSE)&gt;COUNTIF($E111:F111,"u")+COUNTIF($E111:F111,"t")+COUNTIF($E111:F111,"¶")+COUNTIF($E111:F111,"²")+COUNTIF($E111:F111,"µ")+COUNTIF($E111:F111,1)),
HYPERLINK("#Roadmap!C"&amp; MATCH($E111,Roadmap!$D:$D,0)+COUNTIF($E111:F111,"u")+COUNTIF($E111:F111,"t"),
     INDEX(Roadmap!$D:$K,MATCH($E111,Roadmap!$D:$D,0)+COUNTIF($E111:F111,"u")+COUNTIF($E111:F111,"t")+COUNTIF($E111:F111,"¶")+COUNTIF($E111:F111,"²")+COUNTIF($E111:F111,"µ")+COUNTIF($E111:F111,1),ColTypeEcheance)),
  IF(LEN(F111)=1,
  IF(LEN(INDEX(Roadmap!$D:$K,MATCH($E111,Roadmap!$D:$D,0)-1+COUNTIF($E111:F111,"u")+COUNTIF($E111:F111,"t")+COUNTIF($E111:F111,"¶")+COUNTIF($E111:F111,"²")+COUNTIF($E111:F111,"µ")+COUNTIF($E111:F111,1),ColDescriptionCourte))&gt;1,
HYPERLINK("#Roadmap!C"&amp; MATCH($E111,Roadmap!$D:$D,0)+COUNTIF($E111:F111,"u")+COUNTIF($E111:F111,"t")+COUNTIF($E111:F111,"¶")+COUNTIF($E111:F111,"²")+COUNTIF($E111:F111,"µ")+COUNTIF($E111:F111,1)-1,INDEX(Roadmap!$D:$K,MATCH($E111,Roadmap!$D:$D,0)-1+COUNTIF($E111:F111,"u")+COUNTIF($E111:F111,"t")+COUNTIF($E111:F111,"¶")+COUNTIF($E111:F111,"²")+COUNTIF($E111:F111,"µ")+COUNTIF($E111:F111,1),ColDescriptionCourte)),""),
  "")),"")</f>
        <v/>
      </c>
      <c r="H111" s="40" t="str">
        <f ca="1">IFERROR(IF(AND(
  INDEX(Roadmap!$D:$K,MATCH($E111,Roadmap!$D:$D,0)+COUNTIF($E111:G111,"u")+COUNTIF($E111:G111,"t")+COUNTIF($E111:G111,"¶")+COUNTIF($E111:G111,"²")+COUNTIF($E111:G111,"µ")+COUNTIF($E111:G111,1),ColLivraison)=H$6,
  VLOOKUP($E111,INDIRECT("tri!"&amp; CHAR(64+ C0Col) &amp;":"&amp; CHAR(65+C0Col)),2,FALSE)&gt;COUNTIF($E111:G111,"u")+COUNTIF($E111:G111,"t")+COUNTIF($E111:G111,"¶")+COUNTIF($E111:G111,"²")+COUNTIF($E111:G111,"µ")+COUNTIF($E111:G111,1)),
HYPERLINK("#Roadmap!C"&amp; MATCH($E111,Roadmap!$D:$D,0)+COUNTIF($E111:G111,"u")+COUNTIF($E111:G111,"t"),
     INDEX(Roadmap!$D:$K,MATCH($E111,Roadmap!$D:$D,0)+COUNTIF($E111:G111,"u")+COUNTIF($E111:G111,"t")+COUNTIF($E111:G111,"¶")+COUNTIF($E111:G111,"²")+COUNTIF($E111:G111,"µ")+COUNTIF($E111:G111,1),ColTypeEcheance)),
  IF(LEN(G111)=1,
  IF(LEN(INDEX(Roadmap!$D:$K,MATCH($E111,Roadmap!$D:$D,0)-1+COUNTIF($E111:G111,"u")+COUNTIF($E111:G111,"t")+COUNTIF($E111:G111,"¶")+COUNTIF($E111:G111,"²")+COUNTIF($E111:G111,"µ")+COUNTIF($E111:G111,1),ColDescriptionCourte))&gt;1,
HYPERLINK("#Roadmap!C"&amp; MATCH($E111,Roadmap!$D:$D,0)+COUNTIF($E111:G111,"u")+COUNTIF($E111:G111,"t")+COUNTIF($E111:G111,"¶")+COUNTIF($E111:G111,"²")+COUNTIF($E111:G111,"µ")+COUNTIF($E111:G111,1)-1,INDEX(Roadmap!$D:$K,MATCH($E111,Roadmap!$D:$D,0)-1+COUNTIF($E111:G111,"u")+COUNTIF($E111:G111,"t")+COUNTIF($E111:G111,"¶")+COUNTIF($E111:G111,"²")+COUNTIF($E111:G111,"µ")+COUNTIF($E111:G111,1),ColDescriptionCourte)),""),
  "")),"")</f>
        <v/>
      </c>
      <c r="I111" s="40" t="str">
        <f ca="1">IFERROR(IF(AND(
  INDEX(Roadmap!$D:$K,MATCH($E111,Roadmap!$D:$D,0)+COUNTIF($E111:H111,"u")+COUNTIF($E111:H111,"t")+COUNTIF($E111:H111,"¶")+COUNTIF($E111:H111,"²")+COUNTIF($E111:H111,"µ")+COUNTIF($E111:H111,1),ColLivraison)=I$6,
  VLOOKUP($E111,INDIRECT("tri!"&amp; CHAR(64+ C0Col) &amp;":"&amp; CHAR(65+C0Col)),2,FALSE)&gt;COUNTIF($E111:H111,"u")+COUNTIF($E111:H111,"t")+COUNTIF($E111:H111,"¶")+COUNTIF($E111:H111,"²")+COUNTIF($E111:H111,"µ")+COUNTIF($E111:H111,1)),
HYPERLINK("#Roadmap!C"&amp; MATCH($E111,Roadmap!$D:$D,0)+COUNTIF($E111:H111,"u")+COUNTIF($E111:H111,"t"),
     INDEX(Roadmap!$D:$K,MATCH($E111,Roadmap!$D:$D,0)+COUNTIF($E111:H111,"u")+COUNTIF($E111:H111,"t")+COUNTIF($E111:H111,"¶")+COUNTIF($E111:H111,"²")+COUNTIF($E111:H111,"µ")+COUNTIF($E111:H111,1),ColTypeEcheance)),
  IF(LEN(H111)=1,
  IF(LEN(INDEX(Roadmap!$D:$K,MATCH($E111,Roadmap!$D:$D,0)-1+COUNTIF($E111:H111,"u")+COUNTIF($E111:H111,"t")+COUNTIF($E111:H111,"¶")+COUNTIF($E111:H111,"²")+COUNTIF($E111:H111,"µ")+COUNTIF($E111:H111,1),ColDescriptionCourte))&gt;1,
HYPERLINK("#Roadmap!C"&amp; MATCH($E111,Roadmap!$D:$D,0)+COUNTIF($E111:H111,"u")+COUNTIF($E111:H111,"t")+COUNTIF($E111:H111,"¶")+COUNTIF($E111:H111,"²")+COUNTIF($E111:H111,"µ")+COUNTIF($E111:H111,1)-1,INDEX(Roadmap!$D:$K,MATCH($E111,Roadmap!$D:$D,0)-1+COUNTIF($E111:H111,"u")+COUNTIF($E111:H111,"t")+COUNTIF($E111:H111,"¶")+COUNTIF($E111:H111,"²")+COUNTIF($E111:H111,"µ")+COUNTIF($E111:H111,1),ColDescriptionCourte)),""),
  "")),"")</f>
        <v/>
      </c>
      <c r="J111" s="40" t="str">
        <f ca="1">IFERROR(IF(AND(
  INDEX(Roadmap!$D:$K,MATCH($E111,Roadmap!$D:$D,0)+COUNTIF($E111:I111,"u")+COUNTIF($E111:I111,"t")+COUNTIF($E111:I111,"¶")+COUNTIF($E111:I111,"²")+COUNTIF($E111:I111,"µ")+COUNTIF($E111:I111,1),ColLivraison)=J$6,
  VLOOKUP($E111,INDIRECT("tri!"&amp; CHAR(64+ C0Col) &amp;":"&amp; CHAR(65+C0Col)),2,FALSE)&gt;COUNTIF($E111:I111,"u")+COUNTIF($E111:I111,"t")+COUNTIF($E111:I111,"¶")+COUNTIF($E111:I111,"²")+COUNTIF($E111:I111,"µ")+COUNTIF($E111:I111,1)),
HYPERLINK("#Roadmap!C"&amp; MATCH($E111,Roadmap!$D:$D,0)+COUNTIF($E111:I111,"u")+COUNTIF($E111:I111,"t"),
     INDEX(Roadmap!$D:$K,MATCH($E111,Roadmap!$D:$D,0)+COUNTIF($E111:I111,"u")+COUNTIF($E111:I111,"t")+COUNTIF($E111:I111,"¶")+COUNTIF($E111:I111,"²")+COUNTIF($E111:I111,"µ")+COUNTIF($E111:I111,1),ColTypeEcheance)),
  IF(LEN(I111)=1,
  IF(LEN(INDEX(Roadmap!$D:$K,MATCH($E111,Roadmap!$D:$D,0)-1+COUNTIF($E111:I111,"u")+COUNTIF($E111:I111,"t")+COUNTIF($E111:I111,"¶")+COUNTIF($E111:I111,"²")+COUNTIF($E111:I111,"µ")+COUNTIF($E111:I111,1),ColDescriptionCourte))&gt;1,
HYPERLINK("#Roadmap!C"&amp; MATCH($E111,Roadmap!$D:$D,0)+COUNTIF($E111:I111,"u")+COUNTIF($E111:I111,"t")+COUNTIF($E111:I111,"¶")+COUNTIF($E111:I111,"²")+COUNTIF($E111:I111,"µ")+COUNTIF($E111:I111,1)-1,INDEX(Roadmap!$D:$K,MATCH($E111,Roadmap!$D:$D,0)-1+COUNTIF($E111:I111,"u")+COUNTIF($E111:I111,"t")+COUNTIF($E111:I111,"¶")+COUNTIF($E111:I111,"²")+COUNTIF($E111:I111,"µ")+COUNTIF($E111:I111,1),ColDescriptionCourte)),""),
  "")),"")</f>
        <v/>
      </c>
      <c r="K111" s="40" t="str">
        <f ca="1">IFERROR(IF(AND(
  INDEX(Roadmap!$D:$K,MATCH($E111,Roadmap!$D:$D,0)+COUNTIF($E111:J111,"u")+COUNTIF($E111:J111,"t")+COUNTIF($E111:J111,"¶")+COUNTIF($E111:J111,"²")+COUNTIF($E111:J111,"µ")+COUNTIF($E111:J111,1),ColLivraison)=K$6,
  VLOOKUP($E111,INDIRECT("tri!"&amp; CHAR(64+ C0Col) &amp;":"&amp; CHAR(65+C0Col)),2,FALSE)&gt;COUNTIF($E111:J111,"u")+COUNTIF($E111:J111,"t")+COUNTIF($E111:J111,"¶")+COUNTIF($E111:J111,"²")+COUNTIF($E111:J111,"µ")+COUNTIF($E111:J111,1)),
HYPERLINK("#Roadmap!C"&amp; MATCH($E111,Roadmap!$D:$D,0)+COUNTIF($E111:J111,"u")+COUNTIF($E111:J111,"t"),
     INDEX(Roadmap!$D:$K,MATCH($E111,Roadmap!$D:$D,0)+COUNTIF($E111:J111,"u")+COUNTIF($E111:J111,"t")+COUNTIF($E111:J111,"¶")+COUNTIF($E111:J111,"²")+COUNTIF($E111:J111,"µ")+COUNTIF($E111:J111,1),ColTypeEcheance)),
  IF(LEN(J111)=1,
  IF(LEN(INDEX(Roadmap!$D:$K,MATCH($E111,Roadmap!$D:$D,0)-1+COUNTIF($E111:J111,"u")+COUNTIF($E111:J111,"t")+COUNTIF($E111:J111,"¶")+COUNTIF($E111:J111,"²")+COUNTIF($E111:J111,"µ")+COUNTIF($E111:J111,1),ColDescriptionCourte))&gt;1,
HYPERLINK("#Roadmap!C"&amp; MATCH($E111,Roadmap!$D:$D,0)+COUNTIF($E111:J111,"u")+COUNTIF($E111:J111,"t")+COUNTIF($E111:J111,"¶")+COUNTIF($E111:J111,"²")+COUNTIF($E111:J111,"µ")+COUNTIF($E111:J111,1)-1,INDEX(Roadmap!$D:$K,MATCH($E111,Roadmap!$D:$D,0)-1+COUNTIF($E111:J111,"u")+COUNTIF($E111:J111,"t")+COUNTIF($E111:J111,"¶")+COUNTIF($E111:J111,"²")+COUNTIF($E111:J111,"µ")+COUNTIF($E111:J111,1),ColDescriptionCourte)),""),
  "")),"")</f>
        <v/>
      </c>
      <c r="L111" s="39" t="str">
        <f ca="1">IFERROR(IF(AND(
  INDEX(Roadmap!$D:$K,MATCH($E111,Roadmap!$D:$D,0)+COUNTIF($E111:K111,"u")+COUNTIF($E111:K111,"t")+COUNTIF($E111:K111,"¶")+COUNTIF($E111:K111,"²")+COUNTIF($E111:K111,"µ")+COUNTIF($E111:K111,1),ColLivraison)=L$6,
  VLOOKUP($E111,INDIRECT("tri!"&amp; CHAR(64+ C0Col) &amp;":"&amp; CHAR(65+C0Col)),2,FALSE)&gt;COUNTIF($E111:K111,"u")+COUNTIF($E111:K111,"t")+COUNTIF($E111:K111,"¶")+COUNTIF($E111:K111,"²")+COUNTIF($E111:K111,"µ")+COUNTIF($E111:K111,1)),
HYPERLINK("#Roadmap!C"&amp; MATCH($E111,Roadmap!$D:$D,0)+COUNTIF($E111:K111,"u")+COUNTIF($E111:K111,"t"),
     INDEX(Roadmap!$D:$K,MATCH($E111,Roadmap!$D:$D,0)+COUNTIF($E111:K111,"u")+COUNTIF($E111:K111,"t")+COUNTIF($E111:K111,"¶")+COUNTIF($E111:K111,"²")+COUNTIF($E111:K111,"µ")+COUNTIF($E111:K111,1),ColTypeEcheance)),
  IF(LEN(K111)=1,
  IF(LEN(INDEX(Roadmap!$D:$K,MATCH($E111,Roadmap!$D:$D,0)-1+COUNTIF($E111:K111,"u")+COUNTIF($E111:K111,"t")+COUNTIF($E111:K111,"¶")+COUNTIF($E111:K111,"²")+COUNTIF($E111:K111,"µ")+COUNTIF($E111:K111,1),ColDescriptionCourte))&gt;1,
HYPERLINK("#Roadmap!C"&amp; MATCH($E111,Roadmap!$D:$D,0)+COUNTIF($E111:K111,"u")+COUNTIF($E111:K111,"t")+COUNTIF($E111:K111,"¶")+COUNTIF($E111:K111,"²")+COUNTIF($E111:K111,"µ")+COUNTIF($E111:K111,1)-1,INDEX(Roadmap!$D:$K,MATCH($E111,Roadmap!$D:$D,0)-1+COUNTIF($E111:K111,"u")+COUNTIF($E111:K111,"t")+COUNTIF($E111:K111,"¶")+COUNTIF($E111:K111,"²")+COUNTIF($E111:K111,"µ")+COUNTIF($E111:K111,1),ColDescriptionCourte)),""),
  "")),"")</f>
        <v/>
      </c>
      <c r="M111" s="40" t="str">
        <f ca="1">IFERROR(IF(AND(
  INDEX(Roadmap!$D:$K,MATCH($E111,Roadmap!$D:$D,0)+COUNTIF($E111:L111,"u")+COUNTIF($E111:L111,"t")+COUNTIF($E111:L111,"¶")+COUNTIF($E111:L111,"²")+COUNTIF($E111:L111,"µ")+COUNTIF($E111:L111,1),ColLivraison)=M$6,
  VLOOKUP($E111,INDIRECT("tri!"&amp; CHAR(64+ C0Col) &amp;":"&amp; CHAR(65+C0Col)),2,FALSE)&gt;COUNTIF($E111:L111,"u")+COUNTIF($E111:L111,"t")+COUNTIF($E111:L111,"¶")+COUNTIF($E111:L111,"²")+COUNTIF($E111:L111,"µ")+COUNTIF($E111:L111,1)),
HYPERLINK("#Roadmap!C"&amp; MATCH($E111,Roadmap!$D:$D,0)+COUNTIF($E111:L111,"u")+COUNTIF($E111:L111,"t"),
     INDEX(Roadmap!$D:$K,MATCH($E111,Roadmap!$D:$D,0)+COUNTIF($E111:L111,"u")+COUNTIF($E111:L111,"t")+COUNTIF($E111:L111,"¶")+COUNTIF($E111:L111,"²")+COUNTIF($E111:L111,"µ")+COUNTIF($E111:L111,1),ColTypeEcheance)),
  IF(LEN(L111)=1,
  IF(LEN(INDEX(Roadmap!$D:$K,MATCH($E111,Roadmap!$D:$D,0)-1+COUNTIF($E111:L111,"u")+COUNTIF($E111:L111,"t")+COUNTIF($E111:L111,"¶")+COUNTIF($E111:L111,"²")+COUNTIF($E111:L111,"µ")+COUNTIF($E111:L111,1),ColDescriptionCourte))&gt;1,
HYPERLINK("#Roadmap!C"&amp; MATCH($E111,Roadmap!$D:$D,0)+COUNTIF($E111:L111,"u")+COUNTIF($E111:L111,"t")+COUNTIF($E111:L111,"¶")+COUNTIF($E111:L111,"²")+COUNTIF($E111:L111,"µ")+COUNTIF($E111:L111,1)-1,INDEX(Roadmap!$D:$K,MATCH($E111,Roadmap!$D:$D,0)-1+COUNTIF($E111:L111,"u")+COUNTIF($E111:L111,"t")+COUNTIF($E111:L111,"¶")+COUNTIF($E111:L111,"²")+COUNTIF($E111:L111,"µ")+COUNTIF($E111:L111,1),ColDescriptionCourte)),""),
  "")),"")</f>
        <v/>
      </c>
      <c r="N111" s="40" t="str">
        <f ca="1">IFERROR(IF(AND(
  INDEX(Roadmap!$D:$K,MATCH($E111,Roadmap!$D:$D,0)+COUNTIF($E111:M111,"u")+COUNTIF($E111:M111,"t")+COUNTIF($E111:M111,"¶")+COUNTIF($E111:M111,"²")+COUNTIF($E111:M111,"µ")+COUNTIF($E111:M111,1),ColLivraison)=N$6,
  VLOOKUP($E111,INDIRECT("tri!"&amp; CHAR(64+ C0Col) &amp;":"&amp; CHAR(65+C0Col)),2,FALSE)&gt;COUNTIF($E111:M111,"u")+COUNTIF($E111:M111,"t")+COUNTIF($E111:M111,"¶")+COUNTIF($E111:M111,"²")+COUNTIF($E111:M111,"µ")+COUNTIF($E111:M111,1)),
HYPERLINK("#Roadmap!C"&amp; MATCH($E111,Roadmap!$D:$D,0)+COUNTIF($E111:M111,"u")+COUNTIF($E111:M111,"t"),
     INDEX(Roadmap!$D:$K,MATCH($E111,Roadmap!$D:$D,0)+COUNTIF($E111:M111,"u")+COUNTIF($E111:M111,"t")+COUNTIF($E111:M111,"¶")+COUNTIF($E111:M111,"²")+COUNTIF($E111:M111,"µ")+COUNTIF($E111:M111,1),ColTypeEcheance)),
  IF(LEN(M111)=1,
  IF(LEN(INDEX(Roadmap!$D:$K,MATCH($E111,Roadmap!$D:$D,0)-1+COUNTIF($E111:M111,"u")+COUNTIF($E111:M111,"t")+COUNTIF($E111:M111,"¶")+COUNTIF($E111:M111,"²")+COUNTIF($E111:M111,"µ")+COUNTIF($E111:M111,1),ColDescriptionCourte))&gt;1,
HYPERLINK("#Roadmap!C"&amp; MATCH($E111,Roadmap!$D:$D,0)+COUNTIF($E111:M111,"u")+COUNTIF($E111:M111,"t")+COUNTIF($E111:M111,"¶")+COUNTIF($E111:M111,"²")+COUNTIF($E111:M111,"µ")+COUNTIF($E111:M111,1)-1,INDEX(Roadmap!$D:$K,MATCH($E111,Roadmap!$D:$D,0)-1+COUNTIF($E111:M111,"u")+COUNTIF($E111:M111,"t")+COUNTIF($E111:M111,"¶")+COUNTIF($E111:M111,"²")+COUNTIF($E111:M111,"µ")+COUNTIF($E111:M111,1),ColDescriptionCourte)),""),
  "")),"")</f>
        <v/>
      </c>
      <c r="O111" s="40" t="str">
        <f ca="1">IFERROR(IF(AND(
  INDEX(Roadmap!$D:$K,MATCH($E111,Roadmap!$D:$D,0)+COUNTIF($E111:N111,"u")+COUNTIF($E111:N111,"t")+COUNTIF($E111:N111,"¶")+COUNTIF($E111:N111,"²")+COUNTIF($E111:N111,"µ")+COUNTIF($E111:N111,1),ColLivraison)=O$6,
  VLOOKUP($E111,INDIRECT("tri!"&amp; CHAR(64+ C0Col) &amp;":"&amp; CHAR(65+C0Col)),2,FALSE)&gt;COUNTIF($E111:N111,"u")+COUNTIF($E111:N111,"t")+COUNTIF($E111:N111,"¶")+COUNTIF($E111:N111,"²")+COUNTIF($E111:N111,"µ")+COUNTIF($E111:N111,1)),
HYPERLINK("#Roadmap!C"&amp; MATCH($E111,Roadmap!$D:$D,0)+COUNTIF($E111:N111,"u")+COUNTIF($E111:N111,"t"),
     INDEX(Roadmap!$D:$K,MATCH($E111,Roadmap!$D:$D,0)+COUNTIF($E111:N111,"u")+COUNTIF($E111:N111,"t")+COUNTIF($E111:N111,"¶")+COUNTIF($E111:N111,"²")+COUNTIF($E111:N111,"µ")+COUNTIF($E111:N111,1),ColTypeEcheance)),
  IF(LEN(N111)=1,
  IF(LEN(INDEX(Roadmap!$D:$K,MATCH($E111,Roadmap!$D:$D,0)-1+COUNTIF($E111:N111,"u")+COUNTIF($E111:N111,"t")+COUNTIF($E111:N111,"¶")+COUNTIF($E111:N111,"²")+COUNTIF($E111:N111,"µ")+COUNTIF($E111:N111,1),ColDescriptionCourte))&gt;1,
HYPERLINK("#Roadmap!C"&amp; MATCH($E111,Roadmap!$D:$D,0)+COUNTIF($E111:N111,"u")+COUNTIF($E111:N111,"t")+COUNTIF($E111:N111,"¶")+COUNTIF($E111:N111,"²")+COUNTIF($E111:N111,"µ")+COUNTIF($E111:N111,1)-1,INDEX(Roadmap!$D:$K,MATCH($E111,Roadmap!$D:$D,0)-1+COUNTIF($E111:N111,"u")+COUNTIF($E111:N111,"t")+COUNTIF($E111:N111,"¶")+COUNTIF($E111:N111,"²")+COUNTIF($E111:N111,"µ")+COUNTIF($E111:N111,1),ColDescriptionCourte)),""),
  "")),"")</f>
        <v/>
      </c>
      <c r="P111" s="40" t="str">
        <f ca="1">IFERROR(IF(AND(
  INDEX(Roadmap!$D:$K,MATCH($E111,Roadmap!$D:$D,0)+COUNTIF($E111:O111,"u")+COUNTIF($E111:O111,"t")+COUNTIF($E111:O111,"¶")+COUNTIF($E111:O111,"²")+COUNTIF($E111:O111,"µ")+COUNTIF($E111:O111,1),ColLivraison)=P$6,
  VLOOKUP($E111,INDIRECT("tri!"&amp; CHAR(64+ C0Col) &amp;":"&amp; CHAR(65+C0Col)),2,FALSE)&gt;COUNTIF($E111:O111,"u")+COUNTIF($E111:O111,"t")+COUNTIF($E111:O111,"¶")+COUNTIF($E111:O111,"²")+COUNTIF($E111:O111,"µ")+COUNTIF($E111:O111,1)),
HYPERLINK("#Roadmap!C"&amp; MATCH($E111,Roadmap!$D:$D,0)+COUNTIF($E111:O111,"u")+COUNTIF($E111:O111,"t"),
     INDEX(Roadmap!$D:$K,MATCH($E111,Roadmap!$D:$D,0)+COUNTIF($E111:O111,"u")+COUNTIF($E111:O111,"t")+COUNTIF($E111:O111,"¶")+COUNTIF($E111:O111,"²")+COUNTIF($E111:O111,"µ")+COUNTIF($E111:O111,1),ColTypeEcheance)),
  IF(LEN(O111)=1,
  IF(LEN(INDEX(Roadmap!$D:$K,MATCH($E111,Roadmap!$D:$D,0)-1+COUNTIF($E111:O111,"u")+COUNTIF($E111:O111,"t")+COUNTIF($E111:O111,"¶")+COUNTIF($E111:O111,"²")+COUNTIF($E111:O111,"µ")+COUNTIF($E111:O111,1),ColDescriptionCourte))&gt;1,
HYPERLINK("#Roadmap!C"&amp; MATCH($E111,Roadmap!$D:$D,0)+COUNTIF($E111:O111,"u")+COUNTIF($E111:O111,"t")+COUNTIF($E111:O111,"¶")+COUNTIF($E111:O111,"²")+COUNTIF($E111:O111,"µ")+COUNTIF($E111:O111,1)-1,INDEX(Roadmap!$D:$K,MATCH($E111,Roadmap!$D:$D,0)-1+COUNTIF($E111:O111,"u")+COUNTIF($E111:O111,"t")+COUNTIF($E111:O111,"¶")+COUNTIF($E111:O111,"²")+COUNTIF($E111:O111,"µ")+COUNTIF($E111:O111,1),ColDescriptionCourte)),""),
  "")),"")</f>
        <v/>
      </c>
      <c r="Q111" s="40" t="str">
        <f ca="1">IFERROR(IF(AND(
  INDEX(Roadmap!$D:$K,MATCH($E111,Roadmap!$D:$D,0)+COUNTIF($E111:P111,"u")+COUNTIF($E111:P111,"t")+COUNTIF($E111:P111,"¶")+COUNTIF($E111:P111,"²")+COUNTIF($E111:P111,"µ")+COUNTIF($E111:P111,1),ColLivraison)=Q$6,
  VLOOKUP($E111,INDIRECT("tri!"&amp; CHAR(64+ C0Col) &amp;":"&amp; CHAR(65+C0Col)),2,FALSE)&gt;COUNTIF($E111:P111,"u")+COUNTIF($E111:P111,"t")+COUNTIF($E111:P111,"¶")+COUNTIF($E111:P111,"²")+COUNTIF($E111:P111,"µ")+COUNTIF($E111:P111,1)),
HYPERLINK("#Roadmap!C"&amp; MATCH($E111,Roadmap!$D:$D,0)+COUNTIF($E111:P111,"u")+COUNTIF($E111:P111,"t"),
     INDEX(Roadmap!$D:$K,MATCH($E111,Roadmap!$D:$D,0)+COUNTIF($E111:P111,"u")+COUNTIF($E111:P111,"t")+COUNTIF($E111:P111,"¶")+COUNTIF($E111:P111,"²")+COUNTIF($E111:P111,"µ")+COUNTIF($E111:P111,1),ColTypeEcheance)),
  IF(LEN(P111)=1,
  IF(LEN(INDEX(Roadmap!$D:$K,MATCH($E111,Roadmap!$D:$D,0)-1+COUNTIF($E111:P111,"u")+COUNTIF($E111:P111,"t")+COUNTIF($E111:P111,"¶")+COUNTIF($E111:P111,"²")+COUNTIF($E111:P111,"µ")+COUNTIF($E111:P111,1),ColDescriptionCourte))&gt;1,
HYPERLINK("#Roadmap!C"&amp; MATCH($E111,Roadmap!$D:$D,0)+COUNTIF($E111:P111,"u")+COUNTIF($E111:P111,"t")+COUNTIF($E111:P111,"¶")+COUNTIF($E111:P111,"²")+COUNTIF($E111:P111,"µ")+COUNTIF($E111:P111,1)-1,INDEX(Roadmap!$D:$K,MATCH($E111,Roadmap!$D:$D,0)-1+COUNTIF($E111:P111,"u")+COUNTIF($E111:P111,"t")+COUNTIF($E111:P111,"¶")+COUNTIF($E111:P111,"²")+COUNTIF($E111:P111,"µ")+COUNTIF($E111:P111,1),ColDescriptionCourte)),""),
  "")),"")</f>
        <v/>
      </c>
      <c r="R111" s="40" t="str">
        <f ca="1">IFERROR(IF(AND(
  INDEX(Roadmap!$D:$K,MATCH($E111,Roadmap!$D:$D,0)+COUNTIF($E111:Q111,"u")+COUNTIF($E111:Q111,"t")+COUNTIF($E111:Q111,"¶")+COUNTIF($E111:Q111,"²")+COUNTIF($E111:Q111,"µ")+COUNTIF($E111:Q111,1),ColLivraison)=R$6,
  VLOOKUP($E111,INDIRECT("tri!"&amp; CHAR(64+ C0Col) &amp;":"&amp; CHAR(65+C0Col)),2,FALSE)&gt;COUNTIF($E111:Q111,"u")+COUNTIF($E111:Q111,"t")+COUNTIF($E111:Q111,"¶")+COUNTIF($E111:Q111,"²")+COUNTIF($E111:Q111,"µ")+COUNTIF($E111:Q111,1)),
HYPERLINK("#Roadmap!C"&amp; MATCH($E111,Roadmap!$D:$D,0)+COUNTIF($E111:Q111,"u")+COUNTIF($E111:Q111,"t"),
     INDEX(Roadmap!$D:$K,MATCH($E111,Roadmap!$D:$D,0)+COUNTIF($E111:Q111,"u")+COUNTIF($E111:Q111,"t")+COUNTIF($E111:Q111,"¶")+COUNTIF($E111:Q111,"²")+COUNTIF($E111:Q111,"µ")+COUNTIF($E111:Q111,1),ColTypeEcheance)),
  IF(LEN(Q111)=1,
  IF(LEN(INDEX(Roadmap!$D:$K,MATCH($E111,Roadmap!$D:$D,0)-1+COUNTIF($E111:Q111,"u")+COUNTIF($E111:Q111,"t")+COUNTIF($E111:Q111,"¶")+COUNTIF($E111:Q111,"²")+COUNTIF($E111:Q111,"µ")+COUNTIF($E111:Q111,1),ColDescriptionCourte))&gt;1,
HYPERLINK("#Roadmap!C"&amp; MATCH($E111,Roadmap!$D:$D,0)+COUNTIF($E111:Q111,"u")+COUNTIF($E111:Q111,"t")+COUNTIF($E111:Q111,"¶")+COUNTIF($E111:Q111,"²")+COUNTIF($E111:Q111,"µ")+COUNTIF($E111:Q111,1)-1,INDEX(Roadmap!$D:$K,MATCH($E111,Roadmap!$D:$D,0)-1+COUNTIF($E111:Q111,"u")+COUNTIF($E111:Q111,"t")+COUNTIF($E111:Q111,"¶")+COUNTIF($E111:Q111,"²")+COUNTIF($E111:Q111,"µ")+COUNTIF($E111:Q111,1),ColDescriptionCourte)),""),
  "")),"")</f>
        <v/>
      </c>
      <c r="S111" s="40" t="str">
        <f ca="1">IFERROR(IF(AND(
  INDEX(Roadmap!$D:$K,MATCH($E111,Roadmap!$D:$D,0)+COUNTIF($E111:R111,"u")+COUNTIF($E111:R111,"t")+COUNTIF($E111:R111,"¶")+COUNTIF($E111:R111,"²")+COUNTIF($E111:R111,"µ")+COUNTIF($E111:R111,1),ColLivraison)=S$6,
  VLOOKUP($E111,INDIRECT("tri!"&amp; CHAR(64+ C0Col) &amp;":"&amp; CHAR(65+C0Col)),2,FALSE)&gt;COUNTIF($E111:R111,"u")+COUNTIF($E111:R111,"t")+COUNTIF($E111:R111,"¶")+COUNTIF($E111:R111,"²")+COUNTIF($E111:R111,"µ")+COUNTIF($E111:R111,1)),
HYPERLINK("#Roadmap!C"&amp; MATCH($E111,Roadmap!$D:$D,0)+COUNTIF($E111:R111,"u")+COUNTIF($E111:R111,"t"),
     INDEX(Roadmap!$D:$K,MATCH($E111,Roadmap!$D:$D,0)+COUNTIF($E111:R111,"u")+COUNTIF($E111:R111,"t")+COUNTIF($E111:R111,"¶")+COUNTIF($E111:R111,"²")+COUNTIF($E111:R111,"µ")+COUNTIF($E111:R111,1),ColTypeEcheance)),
  IF(LEN(R111)=1,
  IF(LEN(INDEX(Roadmap!$D:$K,MATCH($E111,Roadmap!$D:$D,0)-1+COUNTIF($E111:R111,"u")+COUNTIF($E111:R111,"t")+COUNTIF($E111:R111,"¶")+COUNTIF($E111:R111,"²")+COUNTIF($E111:R111,"µ")+COUNTIF($E111:R111,1),ColDescriptionCourte))&gt;1,
HYPERLINK("#Roadmap!C"&amp; MATCH($E111,Roadmap!$D:$D,0)+COUNTIF($E111:R111,"u")+COUNTIF($E111:R111,"t")+COUNTIF($E111:R111,"¶")+COUNTIF($E111:R111,"²")+COUNTIF($E111:R111,"µ")+COUNTIF($E111:R111,1)-1,INDEX(Roadmap!$D:$K,MATCH($E111,Roadmap!$D:$D,0)-1+COUNTIF($E111:R111,"u")+COUNTIF($E111:R111,"t")+COUNTIF($E111:R111,"¶")+COUNTIF($E111:R111,"²")+COUNTIF($E111:R111,"µ")+COUNTIF($E111:R111,1),ColDescriptionCourte)),""),
  "")),"")</f>
        <v/>
      </c>
      <c r="T111" s="40" t="str">
        <f ca="1">IFERROR(IF(AND(
  INDEX(Roadmap!$D:$K,MATCH($E111,Roadmap!$D:$D,0)+COUNTIF($E111:S111,"u")+COUNTIF($E111:S111,"t")+COUNTIF($E111:S111,"¶")+COUNTIF($E111:S111,"²")+COUNTIF($E111:S111,"µ")+COUNTIF($E111:S111,1),ColLivraison)=T$6,
  VLOOKUP($E111,INDIRECT("tri!"&amp; CHAR(64+ C0Col) &amp;":"&amp; CHAR(65+C0Col)),2,FALSE)&gt;COUNTIF($E111:S111,"u")+COUNTIF($E111:S111,"t")+COUNTIF($E111:S111,"¶")+COUNTIF($E111:S111,"²")+COUNTIF($E111:S111,"µ")+COUNTIF($E111:S111,1)),
HYPERLINK("#Roadmap!C"&amp; MATCH($E111,Roadmap!$D:$D,0)+COUNTIF($E111:S111,"u")+COUNTIF($E111:S111,"t"),
     INDEX(Roadmap!$D:$K,MATCH($E111,Roadmap!$D:$D,0)+COUNTIF($E111:S111,"u")+COUNTIF($E111:S111,"t")+COUNTIF($E111:S111,"¶")+COUNTIF($E111:S111,"²")+COUNTIF($E111:S111,"µ")+COUNTIF($E111:S111,1),ColTypeEcheance)),
  IF(LEN(S111)=1,
  IF(LEN(INDEX(Roadmap!$D:$K,MATCH($E111,Roadmap!$D:$D,0)-1+COUNTIF($E111:S111,"u")+COUNTIF($E111:S111,"t")+COUNTIF($E111:S111,"¶")+COUNTIF($E111:S111,"²")+COUNTIF($E111:S111,"µ")+COUNTIF($E111:S111,1),ColDescriptionCourte))&gt;1,
HYPERLINK("#Roadmap!C"&amp; MATCH($E111,Roadmap!$D:$D,0)+COUNTIF($E111:S111,"u")+COUNTIF($E111:S111,"t")+COUNTIF($E111:S111,"¶")+COUNTIF($E111:S111,"²")+COUNTIF($E111:S111,"µ")+COUNTIF($E111:S111,1)-1,INDEX(Roadmap!$D:$K,MATCH($E111,Roadmap!$D:$D,0)-1+COUNTIF($E111:S111,"u")+COUNTIF($E111:S111,"t")+COUNTIF($E111:S111,"¶")+COUNTIF($E111:S111,"²")+COUNTIF($E111:S111,"µ")+COUNTIF($E111:S111,1),ColDescriptionCourte)),""),
  "")),"")</f>
        <v/>
      </c>
      <c r="U111" s="40" t="str">
        <f ca="1">IFERROR(IF(AND(
  INDEX(Roadmap!$D:$K,MATCH($E111,Roadmap!$D:$D,0)+COUNTIF($E111:T111,"u")+COUNTIF($E111:T111,"t")+COUNTIF($E111:T111,"¶")+COUNTIF($E111:T111,"²")+COUNTIF($E111:T111,"µ")+COUNTIF($E111:T111,1),ColLivraison)=U$6,
  VLOOKUP($E111,INDIRECT("tri!"&amp; CHAR(64+ C0Col) &amp;":"&amp; CHAR(65+C0Col)),2,FALSE)&gt;COUNTIF($E111:T111,"u")+COUNTIF($E111:T111,"t")+COUNTIF($E111:T111,"¶")+COUNTIF($E111:T111,"²")+COUNTIF($E111:T111,"µ")+COUNTIF($E111:T111,1)),
HYPERLINK("#Roadmap!C"&amp; MATCH($E111,Roadmap!$D:$D,0)+COUNTIF($E111:T111,"u")+COUNTIF($E111:T111,"t"),
     INDEX(Roadmap!$D:$K,MATCH($E111,Roadmap!$D:$D,0)+COUNTIF($E111:T111,"u")+COUNTIF($E111:T111,"t")+COUNTIF($E111:T111,"¶")+COUNTIF($E111:T111,"²")+COUNTIF($E111:T111,"µ")+COUNTIF($E111:T111,1),ColTypeEcheance)),
  IF(LEN(T111)=1,
  IF(LEN(INDEX(Roadmap!$D:$K,MATCH($E111,Roadmap!$D:$D,0)-1+COUNTIF($E111:T111,"u")+COUNTIF($E111:T111,"t")+COUNTIF($E111:T111,"¶")+COUNTIF($E111:T111,"²")+COUNTIF($E111:T111,"µ")+COUNTIF($E111:T111,1),ColDescriptionCourte))&gt;1,
HYPERLINK("#Roadmap!C"&amp; MATCH($E111,Roadmap!$D:$D,0)+COUNTIF($E111:T111,"u")+COUNTIF($E111:T111,"t")+COUNTIF($E111:T111,"¶")+COUNTIF($E111:T111,"²")+COUNTIF($E111:T111,"µ")+COUNTIF($E111:T111,1)-1,INDEX(Roadmap!$D:$K,MATCH($E111,Roadmap!$D:$D,0)-1+COUNTIF($E111:T111,"u")+COUNTIF($E111:T111,"t")+COUNTIF($E111:T111,"¶")+COUNTIF($E111:T111,"²")+COUNTIF($E111:T111,"µ")+COUNTIF($E111:T111,1),ColDescriptionCourte)),""),
  "")),"")</f>
        <v/>
      </c>
      <c r="V111" s="40" t="str">
        <f ca="1">IFERROR(IF(AND(
  INDEX(Roadmap!$D:$K,MATCH($E111,Roadmap!$D:$D,0)+COUNTIF($E111:U111,"u")+COUNTIF($E111:U111,"t")+COUNTIF($E111:U111,"¶")+COUNTIF($E111:U111,"²")+COUNTIF($E111:U111,"µ")+COUNTIF($E111:U111,1),ColLivraison)=V$6,
  VLOOKUP($E111,INDIRECT("tri!"&amp; CHAR(64+ C0Col) &amp;":"&amp; CHAR(65+C0Col)),2,FALSE)&gt;COUNTIF($E111:U111,"u")+COUNTIF($E111:U111,"t")+COUNTIF($E111:U111,"¶")+COUNTIF($E111:U111,"²")+COUNTIF($E111:U111,"µ")+COUNTIF($E111:U111,1)),
HYPERLINK("#Roadmap!C"&amp; MATCH($E111,Roadmap!$D:$D,0)+COUNTIF($E111:U111,"u")+COUNTIF($E111:U111,"t"),
     INDEX(Roadmap!$D:$K,MATCH($E111,Roadmap!$D:$D,0)+COUNTIF($E111:U111,"u")+COUNTIF($E111:U111,"t")+COUNTIF($E111:U111,"¶")+COUNTIF($E111:U111,"²")+COUNTIF($E111:U111,"µ")+COUNTIF($E111:U111,1),ColTypeEcheance)),
  IF(LEN(U111)=1,
  IF(LEN(INDEX(Roadmap!$D:$K,MATCH($E111,Roadmap!$D:$D,0)-1+COUNTIF($E111:U111,"u")+COUNTIF($E111:U111,"t")+COUNTIF($E111:U111,"¶")+COUNTIF($E111:U111,"²")+COUNTIF($E111:U111,"µ")+COUNTIF($E111:U111,1),ColDescriptionCourte))&gt;1,
HYPERLINK("#Roadmap!C"&amp; MATCH($E111,Roadmap!$D:$D,0)+COUNTIF($E111:U111,"u")+COUNTIF($E111:U111,"t")+COUNTIF($E111:U111,"¶")+COUNTIF($E111:U111,"²")+COUNTIF($E111:U111,"µ")+COUNTIF($E111:U111,1)-1,INDEX(Roadmap!$D:$K,MATCH($E111,Roadmap!$D:$D,0)-1+COUNTIF($E111:U111,"u")+COUNTIF($E111:U111,"t")+COUNTIF($E111:U111,"¶")+COUNTIF($E111:U111,"²")+COUNTIF($E111:U111,"µ")+COUNTIF($E111:U111,1),ColDescriptionCourte)),""),
  "")),"")</f>
        <v/>
      </c>
      <c r="W111" s="40" t="str">
        <f ca="1">IFERROR(IF(AND(
  INDEX(Roadmap!$D:$K,MATCH($E111,Roadmap!$D:$D,0)+COUNTIF($E111:V111,"u")+COUNTIF($E111:V111,"t")+COUNTIF($E111:V111,"¶")+COUNTIF($E111:V111,"²")+COUNTIF($E111:V111,"µ")+COUNTIF($E111:V111,1),ColLivraison)=W$6,
  VLOOKUP($E111,INDIRECT("tri!"&amp; CHAR(64+ C0Col) &amp;":"&amp; CHAR(65+C0Col)),2,FALSE)&gt;COUNTIF($E111:V111,"u")+COUNTIF($E111:V111,"t")+COUNTIF($E111:V111,"¶")+COUNTIF($E111:V111,"²")+COUNTIF($E111:V111,"µ")+COUNTIF($E111:V111,1)),
HYPERLINK("#Roadmap!C"&amp; MATCH($E111,Roadmap!$D:$D,0)+COUNTIF($E111:V111,"u")+COUNTIF($E111:V111,"t"),
     INDEX(Roadmap!$D:$K,MATCH($E111,Roadmap!$D:$D,0)+COUNTIF($E111:V111,"u")+COUNTIF($E111:V111,"t")+COUNTIF($E111:V111,"¶")+COUNTIF($E111:V111,"²")+COUNTIF($E111:V111,"µ")+COUNTIF($E111:V111,1),ColTypeEcheance)),
  IF(LEN(V111)=1,
  IF(LEN(INDEX(Roadmap!$D:$K,MATCH($E111,Roadmap!$D:$D,0)-1+COUNTIF($E111:V111,"u")+COUNTIF($E111:V111,"t")+COUNTIF($E111:V111,"¶")+COUNTIF($E111:V111,"²")+COUNTIF($E111:V111,"µ")+COUNTIF($E111:V111,1),ColDescriptionCourte))&gt;1,
HYPERLINK("#Roadmap!C"&amp; MATCH($E111,Roadmap!$D:$D,0)+COUNTIF($E111:V111,"u")+COUNTIF($E111:V111,"t")+COUNTIF($E111:V111,"¶")+COUNTIF($E111:V111,"²")+COUNTIF($E111:V111,"µ")+COUNTIF($E111:V111,1)-1,INDEX(Roadmap!$D:$K,MATCH($E111,Roadmap!$D:$D,0)-1+COUNTIF($E111:V111,"u")+COUNTIF($E111:V111,"t")+COUNTIF($E111:V111,"¶")+COUNTIF($E111:V111,"²")+COUNTIF($E111:V111,"µ")+COUNTIF($E111:V111,1),ColDescriptionCourte)),""),
  "")),"")</f>
        <v/>
      </c>
      <c r="X111" s="40" t="str">
        <f ca="1">IFERROR(IF(AND(
  INDEX(Roadmap!$D:$K,MATCH($E111,Roadmap!$D:$D,0)+COUNTIF($E111:W111,"u")+COUNTIF($E111:W111,"t")+COUNTIF($E111:W111,"¶")+COUNTIF($E111:W111,"²")+COUNTIF($E111:W111,"µ")+COUNTIF($E111:W111,1),ColLivraison)=X$6,
  VLOOKUP($E111,INDIRECT("tri!"&amp; CHAR(64+ C0Col) &amp;":"&amp; CHAR(65+C0Col)),2,FALSE)&gt;COUNTIF($E111:W111,"u")+COUNTIF($E111:W111,"t")+COUNTIF($E111:W111,"¶")+COUNTIF($E111:W111,"²")+COUNTIF($E111:W111,"µ")+COUNTIF($E111:W111,1)),
HYPERLINK("#Roadmap!C"&amp; MATCH($E111,Roadmap!$D:$D,0)+COUNTIF($E111:W111,"u")+COUNTIF($E111:W111,"t"),
     INDEX(Roadmap!$D:$K,MATCH($E111,Roadmap!$D:$D,0)+COUNTIF($E111:W111,"u")+COUNTIF($E111:W111,"t")+COUNTIF($E111:W111,"¶")+COUNTIF($E111:W111,"²")+COUNTIF($E111:W111,"µ")+COUNTIF($E111:W111,1),ColTypeEcheance)),
  IF(LEN(W111)=1,
  IF(LEN(INDEX(Roadmap!$D:$K,MATCH($E111,Roadmap!$D:$D,0)-1+COUNTIF($E111:W111,"u")+COUNTIF($E111:W111,"t")+COUNTIF($E111:W111,"¶")+COUNTIF($E111:W111,"²")+COUNTIF($E111:W111,"µ")+COUNTIF($E111:W111,1),ColDescriptionCourte))&gt;1,
HYPERLINK("#Roadmap!C"&amp; MATCH($E111,Roadmap!$D:$D,0)+COUNTIF($E111:W111,"u")+COUNTIF($E111:W111,"t")+COUNTIF($E111:W111,"¶")+COUNTIF($E111:W111,"²")+COUNTIF($E111:W111,"µ")+COUNTIF($E111:W111,1)-1,INDEX(Roadmap!$D:$K,MATCH($E111,Roadmap!$D:$D,0)-1+COUNTIF($E111:W111,"u")+COUNTIF($E111:W111,"t")+COUNTIF($E111:W111,"¶")+COUNTIF($E111:W111,"²")+COUNTIF($E111:W111,"µ")+COUNTIF($E111:W111,1),ColDescriptionCourte)),""),
  "")),"")</f>
        <v/>
      </c>
      <c r="Y111" s="40" t="str">
        <f ca="1">IFERROR(IF(AND(
  INDEX(Roadmap!$D:$K,MATCH($E111,Roadmap!$D:$D,0)+COUNTIF($E111:X111,"u")+COUNTIF($E111:X111,"t")+COUNTIF($E111:X111,"¶")+COUNTIF($E111:X111,"²")+COUNTIF($E111:X111,"µ")+COUNTIF($E111:X111,1),ColLivraison)=Y$6,
  VLOOKUP($E111,INDIRECT("tri!"&amp; CHAR(64+ C0Col) &amp;":"&amp; CHAR(65+C0Col)),2,FALSE)&gt;COUNTIF($E111:X111,"u")+COUNTIF($E111:X111,"t")+COUNTIF($E111:X111,"¶")+COUNTIF($E111:X111,"²")+COUNTIF($E111:X111,"µ")+COUNTIF($E111:X111,1)),
HYPERLINK("#Roadmap!C"&amp; MATCH($E111,Roadmap!$D:$D,0)+COUNTIF($E111:X111,"u")+COUNTIF($E111:X111,"t"),
     INDEX(Roadmap!$D:$K,MATCH($E111,Roadmap!$D:$D,0)+COUNTIF($E111:X111,"u")+COUNTIF($E111:X111,"t")+COUNTIF($E111:X111,"¶")+COUNTIF($E111:X111,"²")+COUNTIF($E111:X111,"µ")+COUNTIF($E111:X111,1),ColTypeEcheance)),
  IF(LEN(X111)=1,
  IF(LEN(INDEX(Roadmap!$D:$K,MATCH($E111,Roadmap!$D:$D,0)-1+COUNTIF($E111:X111,"u")+COUNTIF($E111:X111,"t")+COUNTIF($E111:X111,"¶")+COUNTIF($E111:X111,"²")+COUNTIF($E111:X111,"µ")+COUNTIF($E111:X111,1),ColDescriptionCourte))&gt;1,
HYPERLINK("#Roadmap!C"&amp; MATCH($E111,Roadmap!$D:$D,0)+COUNTIF($E111:X111,"u")+COUNTIF($E111:X111,"t")+COUNTIF($E111:X111,"¶")+COUNTIF($E111:X111,"²")+COUNTIF($E111:X111,"µ")+COUNTIF($E111:X111,1)-1,INDEX(Roadmap!$D:$K,MATCH($E111,Roadmap!$D:$D,0)-1+COUNTIF($E111:X111,"u")+COUNTIF($E111:X111,"t")+COUNTIF($E111:X111,"¶")+COUNTIF($E111:X111,"²")+COUNTIF($E111:X111,"µ")+COUNTIF($E111:X111,1),ColDescriptionCourte)),""),
  "")),"")</f>
        <v/>
      </c>
      <c r="Z111" s="40" t="str">
        <f ca="1">IFERROR(IF(AND(
  INDEX(Roadmap!$D:$K,MATCH($E111,Roadmap!$D:$D,0)+COUNTIF($E111:Y111,"u")+COUNTIF($E111:Y111,"t")+COUNTIF($E111:Y111,"¶")+COUNTIF($E111:Y111,"²")+COUNTIF($E111:Y111,"µ")+COUNTIF($E111:Y111,1),ColLivraison)=Z$6,
  VLOOKUP($E111,INDIRECT("tri!"&amp; CHAR(64+ C0Col) &amp;":"&amp; CHAR(65+C0Col)),2,FALSE)&gt;COUNTIF($E111:Y111,"u")+COUNTIF($E111:Y111,"t")+COUNTIF($E111:Y111,"¶")+COUNTIF($E111:Y111,"²")+COUNTIF($E111:Y111,"µ")+COUNTIF($E111:Y111,1)),
HYPERLINK("#Roadmap!C"&amp; MATCH($E111,Roadmap!$D:$D,0)+COUNTIF($E111:Y111,"u")+COUNTIF($E111:Y111,"t"),
     INDEX(Roadmap!$D:$K,MATCH($E111,Roadmap!$D:$D,0)+COUNTIF($E111:Y111,"u")+COUNTIF($E111:Y111,"t")+COUNTIF($E111:Y111,"¶")+COUNTIF($E111:Y111,"²")+COUNTIF($E111:Y111,"µ")+COUNTIF($E111:Y111,1),ColTypeEcheance)),
  IF(LEN(Y111)=1,
  IF(LEN(INDEX(Roadmap!$D:$K,MATCH($E111,Roadmap!$D:$D,0)-1+COUNTIF($E111:Y111,"u")+COUNTIF($E111:Y111,"t")+COUNTIF($E111:Y111,"¶")+COUNTIF($E111:Y111,"²")+COUNTIF($E111:Y111,"µ")+COUNTIF($E111:Y111,1),ColDescriptionCourte))&gt;1,
HYPERLINK("#Roadmap!C"&amp; MATCH($E111,Roadmap!$D:$D,0)+COUNTIF($E111:Y111,"u")+COUNTIF($E111:Y111,"t")+COUNTIF($E111:Y111,"¶")+COUNTIF($E111:Y111,"²")+COUNTIF($E111:Y111,"µ")+COUNTIF($E111:Y111,1)-1,INDEX(Roadmap!$D:$K,MATCH($E111,Roadmap!$D:$D,0)-1+COUNTIF($E111:Y111,"u")+COUNTIF($E111:Y111,"t")+COUNTIF($E111:Y111,"¶")+COUNTIF($E111:Y111,"²")+COUNTIF($E111:Y111,"µ")+COUNTIF($E111:Y111,1),ColDescriptionCourte)),""),
  "")),"")</f>
        <v/>
      </c>
      <c r="AA111" s="40" t="str">
        <f ca="1">IFERROR(IF(AND(
  INDEX(Roadmap!$D:$K,MATCH($E111,Roadmap!$D:$D,0)+COUNTIF($E111:Z111,"u")+COUNTIF($E111:Z111,"t")+COUNTIF($E111:Z111,"¶")+COUNTIF($E111:Z111,"²")+COUNTIF($E111:Z111,"µ")+COUNTIF($E111:Z111,1),ColLivraison)=AA$6,
  VLOOKUP($E111,INDIRECT("tri!"&amp; CHAR(64+ C0Col) &amp;":"&amp; CHAR(65+C0Col)),2,FALSE)&gt;COUNTIF($E111:Z111,"u")+COUNTIF($E111:Z111,"t")+COUNTIF($E111:Z111,"¶")+COUNTIF($E111:Z111,"²")+COUNTIF($E111:Z111,"µ")+COUNTIF($E111:Z111,1)),
HYPERLINK("#Roadmap!C"&amp; MATCH($E111,Roadmap!$D:$D,0)+COUNTIF($E111:Z111,"u")+COUNTIF($E111:Z111,"t"),
     INDEX(Roadmap!$D:$K,MATCH($E111,Roadmap!$D:$D,0)+COUNTIF($E111:Z111,"u")+COUNTIF($E111:Z111,"t")+COUNTIF($E111:Z111,"¶")+COUNTIF($E111:Z111,"²")+COUNTIF($E111:Z111,"µ")+COUNTIF($E111:Z111,1),ColTypeEcheance)),
  IF(LEN(Z111)=1,
  IF(LEN(INDEX(Roadmap!$D:$K,MATCH($E111,Roadmap!$D:$D,0)-1+COUNTIF($E111:Z111,"u")+COUNTIF($E111:Z111,"t")+COUNTIF($E111:Z111,"¶")+COUNTIF($E111:Z111,"²")+COUNTIF($E111:Z111,"µ")+COUNTIF($E111:Z111,1),ColDescriptionCourte))&gt;1,
HYPERLINK("#Roadmap!C"&amp; MATCH($E111,Roadmap!$D:$D,0)+COUNTIF($E111:Z111,"u")+COUNTIF($E111:Z111,"t")+COUNTIF($E111:Z111,"¶")+COUNTIF($E111:Z111,"²")+COUNTIF($E111:Z111,"µ")+COUNTIF($E111:Z111,1)-1,INDEX(Roadmap!$D:$K,MATCH($E111,Roadmap!$D:$D,0)-1+COUNTIF($E111:Z111,"u")+COUNTIF($E111:Z111,"t")+COUNTIF($E111:Z111,"¶")+COUNTIF($E111:Z111,"²")+COUNTIF($E111:Z111,"µ")+COUNTIF($E111:Z111,1),ColDescriptionCourte)),""),
  "")),"")</f>
        <v/>
      </c>
      <c r="AB111" s="40" t="str">
        <f ca="1">IFERROR(IF(AND(
  INDEX(Roadmap!$D:$K,MATCH($E111,Roadmap!$D:$D,0)+COUNTIF($E111:AA111,"u")+COUNTIF($E111:AA111,"t")+COUNTIF($E111:AA111,"¶")+COUNTIF($E111:AA111,"²")+COUNTIF($E111:AA111,"µ")+COUNTIF($E111:AA111,1),ColLivraison)=AB$6,
  VLOOKUP($E111,INDIRECT("tri!"&amp; CHAR(64+ C0Col) &amp;":"&amp; CHAR(65+C0Col)),2,FALSE)&gt;COUNTIF($E111:AA111,"u")+COUNTIF($E111:AA111,"t")+COUNTIF($E111:AA111,"¶")+COUNTIF($E111:AA111,"²")+COUNTIF($E111:AA111,"µ")+COUNTIF($E111:AA111,1)),
HYPERLINK("#Roadmap!C"&amp; MATCH($E111,Roadmap!$D:$D,0)+COUNTIF($E111:AA111,"u")+COUNTIF($E111:AA111,"t"),
     INDEX(Roadmap!$D:$K,MATCH($E111,Roadmap!$D:$D,0)+COUNTIF($E111:AA111,"u")+COUNTIF($E111:AA111,"t")+COUNTIF($E111:AA111,"¶")+COUNTIF($E111:AA111,"²")+COUNTIF($E111:AA111,"µ")+COUNTIF($E111:AA111,1),ColTypeEcheance)),
  IF(LEN(AA111)=1,
  IF(LEN(INDEX(Roadmap!$D:$K,MATCH($E111,Roadmap!$D:$D,0)-1+COUNTIF($E111:AA111,"u")+COUNTIF($E111:AA111,"t")+COUNTIF($E111:AA111,"¶")+COUNTIF($E111:AA111,"²")+COUNTIF($E111:AA111,"µ")+COUNTIF($E111:AA111,1),ColDescriptionCourte))&gt;1,
HYPERLINK("#Roadmap!C"&amp; MATCH($E111,Roadmap!$D:$D,0)+COUNTIF($E111:AA111,"u")+COUNTIF($E111:AA111,"t")+COUNTIF($E111:AA111,"¶")+COUNTIF($E111:AA111,"²")+COUNTIF($E111:AA111,"µ")+COUNTIF($E111:AA111,1)-1,INDEX(Roadmap!$D:$K,MATCH($E111,Roadmap!$D:$D,0)-1+COUNTIF($E111:AA111,"u")+COUNTIF($E111:AA111,"t")+COUNTIF($E111:AA111,"¶")+COUNTIF($E111:AA111,"²")+COUNTIF($E111:AA111,"µ")+COUNTIF($E111:AA111,1),ColDescriptionCourte)),""),
  "")),"")</f>
        <v/>
      </c>
      <c r="AC111" s="40" t="str">
        <f ca="1">IFERROR(IF(AND(
  INDEX(Roadmap!$D:$K,MATCH($E111,Roadmap!$D:$D,0)+COUNTIF($E111:AB111,"u")+COUNTIF($E111:AB111,"t")+COUNTIF($E111:AB111,"¶")+COUNTIF($E111:AB111,"²")+COUNTIF($E111:AB111,"µ")+COUNTIF($E111:AB111,1),ColLivraison)=AC$6,
  VLOOKUP($E111,INDIRECT("tri!"&amp; CHAR(64+ C0Col) &amp;":"&amp; CHAR(65+C0Col)),2,FALSE)&gt;COUNTIF($E111:AB111,"u")+COUNTIF($E111:AB111,"t")+COUNTIF($E111:AB111,"¶")+COUNTIF($E111:AB111,"²")+COUNTIF($E111:AB111,"µ")+COUNTIF($E111:AB111,1)),
HYPERLINK("#Roadmap!C"&amp; MATCH($E111,Roadmap!$D:$D,0)+COUNTIF($E111:AB111,"u")+COUNTIF($E111:AB111,"t"),
     INDEX(Roadmap!$D:$K,MATCH($E111,Roadmap!$D:$D,0)+COUNTIF($E111:AB111,"u")+COUNTIF($E111:AB111,"t")+COUNTIF($E111:AB111,"¶")+COUNTIF($E111:AB111,"²")+COUNTIF($E111:AB111,"µ")+COUNTIF($E111:AB111,1),ColTypeEcheance)),
  IF(LEN(AB111)=1,
  IF(LEN(INDEX(Roadmap!$D:$K,MATCH($E111,Roadmap!$D:$D,0)-1+COUNTIF($E111:AB111,"u")+COUNTIF($E111:AB111,"t")+COUNTIF($E111:AB111,"¶")+COUNTIF($E111:AB111,"²")+COUNTIF($E111:AB111,"µ")+COUNTIF($E111:AB111,1),ColDescriptionCourte))&gt;1,
HYPERLINK("#Roadmap!C"&amp; MATCH($E111,Roadmap!$D:$D,0)+COUNTIF($E111:AB111,"u")+COUNTIF($E111:AB111,"t")+COUNTIF($E111:AB111,"¶")+COUNTIF($E111:AB111,"²")+COUNTIF($E111:AB111,"µ")+COUNTIF($E111:AB111,1)-1,INDEX(Roadmap!$D:$K,MATCH($E111,Roadmap!$D:$D,0)-1+COUNTIF($E111:AB111,"u")+COUNTIF($E111:AB111,"t")+COUNTIF($E111:AB111,"¶")+COUNTIF($E111:AB111,"²")+COUNTIF($E111:AB111,"µ")+COUNTIF($E111:AB111,1),ColDescriptionCourte)),""),
  "")),"")</f>
        <v/>
      </c>
      <c r="AD111" s="40" t="str">
        <f ca="1">IFERROR(IF(AND(
  INDEX(Roadmap!$D:$K,MATCH($E111,Roadmap!$D:$D,0)+COUNTIF($E111:AC111,"u")+COUNTIF($E111:AC111,"t")+COUNTIF($E111:AC111,"¶")+COUNTIF($E111:AC111,"²")+COUNTIF($E111:AC111,"µ")+COUNTIF($E111:AC111,1),ColLivraison)=AD$6,
  VLOOKUP($E111,INDIRECT("tri!"&amp; CHAR(64+ C0Col) &amp;":"&amp; CHAR(65+C0Col)),2,FALSE)&gt;COUNTIF($E111:AC111,"u")+COUNTIF($E111:AC111,"t")+COUNTIF($E111:AC111,"¶")+COUNTIF($E111:AC111,"²")+COUNTIF($E111:AC111,"µ")+COUNTIF($E111:AC111,1)),
HYPERLINK("#Roadmap!C"&amp; MATCH($E111,Roadmap!$D:$D,0)+COUNTIF($E111:AC111,"u")+COUNTIF($E111:AC111,"t"),
     INDEX(Roadmap!$D:$K,MATCH($E111,Roadmap!$D:$D,0)+COUNTIF($E111:AC111,"u")+COUNTIF($E111:AC111,"t")+COUNTIF($E111:AC111,"¶")+COUNTIF($E111:AC111,"²")+COUNTIF($E111:AC111,"µ")+COUNTIF($E111:AC111,1),ColTypeEcheance)),
  IF(LEN(AC111)=1,
  IF(LEN(INDEX(Roadmap!$D:$K,MATCH($E111,Roadmap!$D:$D,0)-1+COUNTIF($E111:AC111,"u")+COUNTIF($E111:AC111,"t")+COUNTIF($E111:AC111,"¶")+COUNTIF($E111:AC111,"²")+COUNTIF($E111:AC111,"µ")+COUNTIF($E111:AC111,1),ColDescriptionCourte))&gt;1,
HYPERLINK("#Roadmap!C"&amp; MATCH($E111,Roadmap!$D:$D,0)+COUNTIF($E111:AC111,"u")+COUNTIF($E111:AC111,"t")+COUNTIF($E111:AC111,"¶")+COUNTIF($E111:AC111,"²")+COUNTIF($E111:AC111,"µ")+COUNTIF($E111:AC111,1)-1,INDEX(Roadmap!$D:$K,MATCH($E111,Roadmap!$D:$D,0)-1+COUNTIF($E111:AC111,"u")+COUNTIF($E111:AC111,"t")+COUNTIF($E111:AC111,"¶")+COUNTIF($E111:AC111,"²")+COUNTIF($E111:AC111,"µ")+COUNTIF($E111:AC111,1),ColDescriptionCourte)),""),
  "")),"")</f>
        <v/>
      </c>
      <c r="AE111" s="40" t="str">
        <f ca="1">IFERROR(IF(AND(
  INDEX(Roadmap!$D:$K,MATCH($E111,Roadmap!$D:$D,0)+COUNTIF($E111:AD111,"u")+COUNTIF($E111:AD111,"t")+COUNTIF($E111:AD111,"¶")+COUNTIF($E111:AD111,"²")+COUNTIF($E111:AD111,"µ")+COUNTIF($E111:AD111,1),ColLivraison)=AE$6,
  VLOOKUP($E111,INDIRECT("tri!"&amp; CHAR(64+ C0Col) &amp;":"&amp; CHAR(65+C0Col)),2,FALSE)&gt;COUNTIF($E111:AD111,"u")+COUNTIF($E111:AD111,"t")+COUNTIF($E111:AD111,"¶")+COUNTIF($E111:AD111,"²")+COUNTIF($E111:AD111,"µ")+COUNTIF($E111:AD111,1)),
HYPERLINK("#Roadmap!C"&amp; MATCH($E111,Roadmap!$D:$D,0)+COUNTIF($E111:AD111,"u")+COUNTIF($E111:AD111,"t"),
     INDEX(Roadmap!$D:$K,MATCH($E111,Roadmap!$D:$D,0)+COUNTIF($E111:AD111,"u")+COUNTIF($E111:AD111,"t")+COUNTIF($E111:AD111,"¶")+COUNTIF($E111:AD111,"²")+COUNTIF($E111:AD111,"µ")+COUNTIF($E111:AD111,1),ColTypeEcheance)),
  IF(LEN(AD111)=1,
  IF(LEN(INDEX(Roadmap!$D:$K,MATCH($E111,Roadmap!$D:$D,0)-1+COUNTIF($E111:AD111,"u")+COUNTIF($E111:AD111,"t")+COUNTIF($E111:AD111,"¶")+COUNTIF($E111:AD111,"²")+COUNTIF($E111:AD111,"µ")+COUNTIF($E111:AD111,1),ColDescriptionCourte))&gt;1,
HYPERLINK("#Roadmap!C"&amp; MATCH($E111,Roadmap!$D:$D,0)+COUNTIF($E111:AD111,"u")+COUNTIF($E111:AD111,"t")+COUNTIF($E111:AD111,"¶")+COUNTIF($E111:AD111,"²")+COUNTIF($E111:AD111,"µ")+COUNTIF($E111:AD111,1)-1,INDEX(Roadmap!$D:$K,MATCH($E111,Roadmap!$D:$D,0)-1+COUNTIF($E111:AD111,"u")+COUNTIF($E111:AD111,"t")+COUNTIF($E111:AD111,"¶")+COUNTIF($E111:AD111,"²")+COUNTIF($E111:AD111,"µ")+COUNTIF($E111:AD111,1),ColDescriptionCourte)),""),
  "")),"")</f>
        <v/>
      </c>
      <c r="AF111" s="40" t="str">
        <f ca="1">IFERROR(IF(AND(
  INDEX(Roadmap!$D:$K,MATCH($E111,Roadmap!$D:$D,0)+COUNTIF($E111:AE111,"u")+COUNTIF($E111:AE111,"t")+COUNTIF($E111:AE111,"¶")+COUNTIF($E111:AE111,"²")+COUNTIF($E111:AE111,"µ")+COUNTIF($E111:AE111,1),ColLivraison)=AF$6,
  VLOOKUP($E111,INDIRECT("tri!"&amp; CHAR(64+ C0Col) &amp;":"&amp; CHAR(65+C0Col)),2,FALSE)&gt;COUNTIF($E111:AE111,"u")+COUNTIF($E111:AE111,"t")+COUNTIF($E111:AE111,"¶")+COUNTIF($E111:AE111,"²")+COUNTIF($E111:AE111,"µ")+COUNTIF($E111:AE111,1)),
HYPERLINK("#Roadmap!C"&amp; MATCH($E111,Roadmap!$D:$D,0)+COUNTIF($E111:AE111,"u")+COUNTIF($E111:AE111,"t"),
     INDEX(Roadmap!$D:$K,MATCH($E111,Roadmap!$D:$D,0)+COUNTIF($E111:AE111,"u")+COUNTIF($E111:AE111,"t")+COUNTIF($E111:AE111,"¶")+COUNTIF($E111:AE111,"²")+COUNTIF($E111:AE111,"µ")+COUNTIF($E111:AE111,1),ColTypeEcheance)),
  IF(LEN(AE111)=1,
  IF(LEN(INDEX(Roadmap!$D:$K,MATCH($E111,Roadmap!$D:$D,0)-1+COUNTIF($E111:AE111,"u")+COUNTIF($E111:AE111,"t")+COUNTIF($E111:AE111,"¶")+COUNTIF($E111:AE111,"²")+COUNTIF($E111:AE111,"µ")+COUNTIF($E111:AE111,1),ColDescriptionCourte))&gt;1,
HYPERLINK("#Roadmap!C"&amp; MATCH($E111,Roadmap!$D:$D,0)+COUNTIF($E111:AE111,"u")+COUNTIF($E111:AE111,"t")+COUNTIF($E111:AE111,"¶")+COUNTIF($E111:AE111,"²")+COUNTIF($E111:AE111,"µ")+COUNTIF($E111:AE111,1)-1,INDEX(Roadmap!$D:$K,MATCH($E111,Roadmap!$D:$D,0)-1+COUNTIF($E111:AE111,"u")+COUNTIF($E111:AE111,"t")+COUNTIF($E111:AE111,"¶")+COUNTIF($E111:AE111,"²")+COUNTIF($E111:AE111,"µ")+COUNTIF($E111:AE111,1),ColDescriptionCourte)),""),
  "")),"")</f>
        <v/>
      </c>
      <c r="AG111" s="40" t="str">
        <f ca="1">IFERROR(IF(AND(
  INDEX(Roadmap!$D:$K,MATCH($E111,Roadmap!$D:$D,0)+COUNTIF($E111:AF111,"u")+COUNTIF($E111:AF111,"t")+COUNTIF($E111:AF111,"¶")+COUNTIF($E111:AF111,"²")+COUNTIF($E111:AF111,"µ")+COUNTIF($E111:AF111,1),ColLivraison)=AG$6,
  VLOOKUP($E111,INDIRECT("tri!"&amp; CHAR(64+ C0Col) &amp;":"&amp; CHAR(65+C0Col)),2,FALSE)&gt;COUNTIF($E111:AF111,"u")+COUNTIF($E111:AF111,"t")+COUNTIF($E111:AF111,"¶")+COUNTIF($E111:AF111,"²")+COUNTIF($E111:AF111,"µ")+COUNTIF($E111:AF111,1)),
HYPERLINK("#Roadmap!C"&amp; MATCH($E111,Roadmap!$D:$D,0)+COUNTIF($E111:AF111,"u")+COUNTIF($E111:AF111,"t"),
     INDEX(Roadmap!$D:$K,MATCH($E111,Roadmap!$D:$D,0)+COUNTIF($E111:AF111,"u")+COUNTIF($E111:AF111,"t")+COUNTIF($E111:AF111,"¶")+COUNTIF($E111:AF111,"²")+COUNTIF($E111:AF111,"µ")+COUNTIF($E111:AF111,1),ColTypeEcheance)),
  IF(LEN(AF111)=1,
  IF(LEN(INDEX(Roadmap!$D:$K,MATCH($E111,Roadmap!$D:$D,0)-1+COUNTIF($E111:AF111,"u")+COUNTIF($E111:AF111,"t")+COUNTIF($E111:AF111,"¶")+COUNTIF($E111:AF111,"²")+COUNTIF($E111:AF111,"µ")+COUNTIF($E111:AF111,1),ColDescriptionCourte))&gt;1,
HYPERLINK("#Roadmap!C"&amp; MATCH($E111,Roadmap!$D:$D,0)+COUNTIF($E111:AF111,"u")+COUNTIF($E111:AF111,"t")+COUNTIF($E111:AF111,"¶")+COUNTIF($E111:AF111,"²")+COUNTIF($E111:AF111,"µ")+COUNTIF($E111:AF111,1)-1,INDEX(Roadmap!$D:$K,MATCH($E111,Roadmap!$D:$D,0)-1+COUNTIF($E111:AF111,"u")+COUNTIF($E111:AF111,"t")+COUNTIF($E111:AF111,"¶")+COUNTIF($E111:AF111,"²")+COUNTIF($E111:AF111,"µ")+COUNTIF($E111:AF111,1),ColDescriptionCourte)),""),
  "")),"")</f>
        <v/>
      </c>
      <c r="AH111" s="40" t="str">
        <f ca="1">IFERROR(IF(AND(
  INDEX(Roadmap!$D:$K,MATCH($E111,Roadmap!$D:$D,0)+COUNTIF($E111:AG111,"u")+COUNTIF($E111:AG111,"t")+COUNTIF($E111:AG111,1),ColLivraison)=AH$6,
  VLOOKUP($E111,INDIRECT("tri!"&amp; CHAR(64+ C0Col) &amp;":"&amp; CHAR(65+C0Col)),2,FALSE)&gt;COUNTIF($E111:AG111,"u")+COUNTIF($E111:AG111,"t")+COUNTIF($E111:AG111,1)),
HYPERLINK("#Roadmap!C"&amp; MATCH($E111,Roadmap!$D:$D,0)+COUNTIF($E111:AG111,"u")+COUNTIF($E111:AG111,"t"),
     INDEX(Roadmap!$D:$K,MATCH($E111,Roadmap!$D:$D,0)+COUNTIF($E111:AG111,"u")+COUNTIF($E111:AG111,"t")+COUNTIF($E111:AG111,1),ColTypeEcheance)),
  IF(OR(AG111="u",AG111="t",AG111=1),
  IF(LEN(INDEX(Roadmap!$D:$K,MATCH($E111,Roadmap!$D:$D,0)-1+COUNTIF($E111:AG111,"u")+COUNTIF($E111:AG111,"t")+COUNTIF($E111:AG111,1),ColDescriptionCourte))&gt;1,
HYPERLINK("#Roadmap!C"&amp; MATCH($E111,Roadmap!$D:$D,0)+COUNTIF($E111:AG111,"u")+COUNTIF($E111:AG111,"t")+COUNTIF($E111:AG111,1)-1,INDEX(Roadmap!$D:$K,MATCH($E111,Roadmap!$D:$D,0)-1+COUNTIF($E111:AG111,"u")+COUNTIF($E111:AG111,"t")+COUNTIF($E111:AG111,1),ColDescriptionCourte)),""),
  "")),"")</f>
        <v/>
      </c>
      <c r="AI111" s="40"/>
      <c r="AJ111" s="40"/>
      <c r="AK111" s="40"/>
      <c r="AL111" s="40"/>
      <c r="AM111" s="40"/>
    </row>
    <row r="112" spans="4:39" ht="14.1" customHeight="1">
      <c r="D112" s="20" t="str">
        <f t="shared" ca="1" si="29"/>
        <v/>
      </c>
      <c r="E112" s="53" t="str">
        <f t="shared" ca="1" si="30"/>
        <v/>
      </c>
      <c r="F112" s="39" t="str">
        <f ca="1">IFERROR(IF(AND(
  INDEX(Roadmap!$D:$K,MATCH($E112,Roadmap!$D:$D,0)+COUNTIF($E112:E112,"u")+COUNTIF($E112:E112,"t")+COUNTIF($E112:E112,"¶")+COUNTIF($E112:E112,"²")+COUNTIF($E112:E112,"µ")+COUNTIF($E112:E112,1),ColLivraison)=F$6,
  VLOOKUP($E112,INDIRECT("tri!"&amp; CHAR(64+ C0Col) &amp;":"&amp; CHAR(65+C0Col)),2,FALSE)&gt;COUNTIF($E112:E112,"u")+COUNTIF($E112:E112,"t")+COUNTIF($E112:E112,"¶")+COUNTIF($E112:E112,"²")+COUNTIF($E112:E112,"µ")+COUNTIF($E112:E112,1)),
HYPERLINK("#Roadmap!C"&amp; MATCH($E112,Roadmap!$D:$D,0)+COUNTIF($E112:E112,"u")+COUNTIF($E112:E112,"t"),
     INDEX(Roadmap!$D:$K,MATCH($E112,Roadmap!$D:$D,0)+COUNTIF($E112:E112,"u")+COUNTIF($E112:E112,"t")+COUNTIF($E112:E112,"¶")+COUNTIF($E112:E112,"²")+COUNTIF($E112:E112,"µ")+COUNTIF($E112:E112,1),ColTypeEcheance)),
  IF(LEN(E112)=1,
  IF(LEN(INDEX(Roadmap!$D:$K,MATCH($E112,Roadmap!$D:$D,0)-1+COUNTIF($E112:E112,"u")+COUNTIF($E112:E112,"t")+COUNTIF($E112:E112,"¶")+COUNTIF($E112:E112,"²")+COUNTIF($E112:E112,"µ")+COUNTIF($E112:E112,1),ColDescriptionCourte))&gt;1,
HYPERLINK("#Roadmap!C"&amp; MATCH($E112,Roadmap!$D:$D,0)+COUNTIF($E112:E112,"u")+COUNTIF($E112:E112,"t")+COUNTIF($E112:E112,"¶")+COUNTIF($E112:E112,"²")+COUNTIF($E112:E112,"µ")+COUNTIF($E112:E112,1)-1,INDEX(Roadmap!$D:$K,MATCH($E112,Roadmap!$D:$D,0)-1+COUNTIF($E112:E112,"u")+COUNTIF($E112:E112,"t")+COUNTIF($E112:E112,"¶")+COUNTIF($E112:E112,"²")+COUNTIF($E112:E112,"µ")+COUNTIF($E112:E112,1),ColDescriptionCourte)),""),
  "")),"")</f>
        <v/>
      </c>
      <c r="G112" s="40" t="str">
        <f ca="1">IFERROR(IF(AND(
  INDEX(Roadmap!$D:$K,MATCH($E112,Roadmap!$D:$D,0)+COUNTIF($E112:F112,"u")+COUNTIF($E112:F112,"t")+COUNTIF($E112:F112,"¶")+COUNTIF($E112:F112,"²")+COUNTIF($E112:F112,"µ")+COUNTIF($E112:F112,1),ColLivraison)=G$6,
  VLOOKUP($E112,INDIRECT("tri!"&amp; CHAR(64+ C0Col) &amp;":"&amp; CHAR(65+C0Col)),2,FALSE)&gt;COUNTIF($E112:F112,"u")+COUNTIF($E112:F112,"t")+COUNTIF($E112:F112,"¶")+COUNTIF($E112:F112,"²")+COUNTIF($E112:F112,"µ")+COUNTIF($E112:F112,1)),
HYPERLINK("#Roadmap!C"&amp; MATCH($E112,Roadmap!$D:$D,0)+COUNTIF($E112:F112,"u")+COUNTIF($E112:F112,"t"),
     INDEX(Roadmap!$D:$K,MATCH($E112,Roadmap!$D:$D,0)+COUNTIF($E112:F112,"u")+COUNTIF($E112:F112,"t")+COUNTIF($E112:F112,"¶")+COUNTIF($E112:F112,"²")+COUNTIF($E112:F112,"µ")+COUNTIF($E112:F112,1),ColTypeEcheance)),
  IF(LEN(F112)=1,
  IF(LEN(INDEX(Roadmap!$D:$K,MATCH($E112,Roadmap!$D:$D,0)-1+COUNTIF($E112:F112,"u")+COUNTIF($E112:F112,"t")+COUNTIF($E112:F112,"¶")+COUNTIF($E112:F112,"²")+COUNTIF($E112:F112,"µ")+COUNTIF($E112:F112,1),ColDescriptionCourte))&gt;1,
HYPERLINK("#Roadmap!C"&amp; MATCH($E112,Roadmap!$D:$D,0)+COUNTIF($E112:F112,"u")+COUNTIF($E112:F112,"t")+COUNTIF($E112:F112,"¶")+COUNTIF($E112:F112,"²")+COUNTIF($E112:F112,"µ")+COUNTIF($E112:F112,1)-1,INDEX(Roadmap!$D:$K,MATCH($E112,Roadmap!$D:$D,0)-1+COUNTIF($E112:F112,"u")+COUNTIF($E112:F112,"t")+COUNTIF($E112:F112,"¶")+COUNTIF($E112:F112,"²")+COUNTIF($E112:F112,"µ")+COUNTIF($E112:F112,1),ColDescriptionCourte)),""),
  "")),"")</f>
        <v/>
      </c>
      <c r="H112" s="40" t="str">
        <f ca="1">IFERROR(IF(AND(
  INDEX(Roadmap!$D:$K,MATCH($E112,Roadmap!$D:$D,0)+COUNTIF($E112:G112,"u")+COUNTIF($E112:G112,"t")+COUNTIF($E112:G112,"¶")+COUNTIF($E112:G112,"²")+COUNTIF($E112:G112,"µ")+COUNTIF($E112:G112,1),ColLivraison)=H$6,
  VLOOKUP($E112,INDIRECT("tri!"&amp; CHAR(64+ C0Col) &amp;":"&amp; CHAR(65+C0Col)),2,FALSE)&gt;COUNTIF($E112:G112,"u")+COUNTIF($E112:G112,"t")+COUNTIF($E112:G112,"¶")+COUNTIF($E112:G112,"²")+COUNTIF($E112:G112,"µ")+COUNTIF($E112:G112,1)),
HYPERLINK("#Roadmap!C"&amp; MATCH($E112,Roadmap!$D:$D,0)+COUNTIF($E112:G112,"u")+COUNTIF($E112:G112,"t"),
     INDEX(Roadmap!$D:$K,MATCH($E112,Roadmap!$D:$D,0)+COUNTIF($E112:G112,"u")+COUNTIF($E112:G112,"t")+COUNTIF($E112:G112,"¶")+COUNTIF($E112:G112,"²")+COUNTIF($E112:G112,"µ")+COUNTIF($E112:G112,1),ColTypeEcheance)),
  IF(LEN(G112)=1,
  IF(LEN(INDEX(Roadmap!$D:$K,MATCH($E112,Roadmap!$D:$D,0)-1+COUNTIF($E112:G112,"u")+COUNTIF($E112:G112,"t")+COUNTIF($E112:G112,"¶")+COUNTIF($E112:G112,"²")+COUNTIF($E112:G112,"µ")+COUNTIF($E112:G112,1),ColDescriptionCourte))&gt;1,
HYPERLINK("#Roadmap!C"&amp; MATCH($E112,Roadmap!$D:$D,0)+COUNTIF($E112:G112,"u")+COUNTIF($E112:G112,"t")+COUNTIF($E112:G112,"¶")+COUNTIF($E112:G112,"²")+COUNTIF($E112:G112,"µ")+COUNTIF($E112:G112,1)-1,INDEX(Roadmap!$D:$K,MATCH($E112,Roadmap!$D:$D,0)-1+COUNTIF($E112:G112,"u")+COUNTIF($E112:G112,"t")+COUNTIF($E112:G112,"¶")+COUNTIF($E112:G112,"²")+COUNTIF($E112:G112,"µ")+COUNTIF($E112:G112,1),ColDescriptionCourte)),""),
  "")),"")</f>
        <v/>
      </c>
      <c r="I112" s="40" t="str">
        <f ca="1">IFERROR(IF(AND(
  INDEX(Roadmap!$D:$K,MATCH($E112,Roadmap!$D:$D,0)+COUNTIF($E112:H112,"u")+COUNTIF($E112:H112,"t")+COUNTIF($E112:H112,"¶")+COUNTIF($E112:H112,"²")+COUNTIF($E112:H112,"µ")+COUNTIF($E112:H112,1),ColLivraison)=I$6,
  VLOOKUP($E112,INDIRECT("tri!"&amp; CHAR(64+ C0Col) &amp;":"&amp; CHAR(65+C0Col)),2,FALSE)&gt;COUNTIF($E112:H112,"u")+COUNTIF($E112:H112,"t")+COUNTIF($E112:H112,"¶")+COUNTIF($E112:H112,"²")+COUNTIF($E112:H112,"µ")+COUNTIF($E112:H112,1)),
HYPERLINK("#Roadmap!C"&amp; MATCH($E112,Roadmap!$D:$D,0)+COUNTIF($E112:H112,"u")+COUNTIF($E112:H112,"t"),
     INDEX(Roadmap!$D:$K,MATCH($E112,Roadmap!$D:$D,0)+COUNTIF($E112:H112,"u")+COUNTIF($E112:H112,"t")+COUNTIF($E112:H112,"¶")+COUNTIF($E112:H112,"²")+COUNTIF($E112:H112,"µ")+COUNTIF($E112:H112,1),ColTypeEcheance)),
  IF(LEN(H112)=1,
  IF(LEN(INDEX(Roadmap!$D:$K,MATCH($E112,Roadmap!$D:$D,0)-1+COUNTIF($E112:H112,"u")+COUNTIF($E112:H112,"t")+COUNTIF($E112:H112,"¶")+COUNTIF($E112:H112,"²")+COUNTIF($E112:H112,"µ")+COUNTIF($E112:H112,1),ColDescriptionCourte))&gt;1,
HYPERLINK("#Roadmap!C"&amp; MATCH($E112,Roadmap!$D:$D,0)+COUNTIF($E112:H112,"u")+COUNTIF($E112:H112,"t")+COUNTIF($E112:H112,"¶")+COUNTIF($E112:H112,"²")+COUNTIF($E112:H112,"µ")+COUNTIF($E112:H112,1)-1,INDEX(Roadmap!$D:$K,MATCH($E112,Roadmap!$D:$D,0)-1+COUNTIF($E112:H112,"u")+COUNTIF($E112:H112,"t")+COUNTIF($E112:H112,"¶")+COUNTIF($E112:H112,"²")+COUNTIF($E112:H112,"µ")+COUNTIF($E112:H112,1),ColDescriptionCourte)),""),
  "")),"")</f>
        <v/>
      </c>
      <c r="J112" s="40" t="str">
        <f ca="1">IFERROR(IF(AND(
  INDEX(Roadmap!$D:$K,MATCH($E112,Roadmap!$D:$D,0)+COUNTIF($E112:I112,"u")+COUNTIF($E112:I112,"t")+COUNTIF($E112:I112,"¶")+COUNTIF($E112:I112,"²")+COUNTIF($E112:I112,"µ")+COUNTIF($E112:I112,1),ColLivraison)=J$6,
  VLOOKUP($E112,INDIRECT("tri!"&amp; CHAR(64+ C0Col) &amp;":"&amp; CHAR(65+C0Col)),2,FALSE)&gt;COUNTIF($E112:I112,"u")+COUNTIF($E112:I112,"t")+COUNTIF($E112:I112,"¶")+COUNTIF($E112:I112,"²")+COUNTIF($E112:I112,"µ")+COUNTIF($E112:I112,1)),
HYPERLINK("#Roadmap!C"&amp; MATCH($E112,Roadmap!$D:$D,0)+COUNTIF($E112:I112,"u")+COUNTIF($E112:I112,"t"),
     INDEX(Roadmap!$D:$K,MATCH($E112,Roadmap!$D:$D,0)+COUNTIF($E112:I112,"u")+COUNTIF($E112:I112,"t")+COUNTIF($E112:I112,"¶")+COUNTIF($E112:I112,"²")+COUNTIF($E112:I112,"µ")+COUNTIF($E112:I112,1),ColTypeEcheance)),
  IF(LEN(I112)=1,
  IF(LEN(INDEX(Roadmap!$D:$K,MATCH($E112,Roadmap!$D:$D,0)-1+COUNTIF($E112:I112,"u")+COUNTIF($E112:I112,"t")+COUNTIF($E112:I112,"¶")+COUNTIF($E112:I112,"²")+COUNTIF($E112:I112,"µ")+COUNTIF($E112:I112,1),ColDescriptionCourte))&gt;1,
HYPERLINK("#Roadmap!C"&amp; MATCH($E112,Roadmap!$D:$D,0)+COUNTIF($E112:I112,"u")+COUNTIF($E112:I112,"t")+COUNTIF($E112:I112,"¶")+COUNTIF($E112:I112,"²")+COUNTIF($E112:I112,"µ")+COUNTIF($E112:I112,1)-1,INDEX(Roadmap!$D:$K,MATCH($E112,Roadmap!$D:$D,0)-1+COUNTIF($E112:I112,"u")+COUNTIF($E112:I112,"t")+COUNTIF($E112:I112,"¶")+COUNTIF($E112:I112,"²")+COUNTIF($E112:I112,"µ")+COUNTIF($E112:I112,1),ColDescriptionCourte)),""),
  "")),"")</f>
        <v/>
      </c>
      <c r="K112" s="40" t="str">
        <f ca="1">IFERROR(IF(AND(
  INDEX(Roadmap!$D:$K,MATCH($E112,Roadmap!$D:$D,0)+COUNTIF($E112:J112,"u")+COUNTIF($E112:J112,"t")+COUNTIF($E112:J112,"¶")+COUNTIF($E112:J112,"²")+COUNTIF($E112:J112,"µ")+COUNTIF($E112:J112,1),ColLivraison)=K$6,
  VLOOKUP($E112,INDIRECT("tri!"&amp; CHAR(64+ C0Col) &amp;":"&amp; CHAR(65+C0Col)),2,FALSE)&gt;COUNTIF($E112:J112,"u")+COUNTIF($E112:J112,"t")+COUNTIF($E112:J112,"¶")+COUNTIF($E112:J112,"²")+COUNTIF($E112:J112,"µ")+COUNTIF($E112:J112,1)),
HYPERLINK("#Roadmap!C"&amp; MATCH($E112,Roadmap!$D:$D,0)+COUNTIF($E112:J112,"u")+COUNTIF($E112:J112,"t"),
     INDEX(Roadmap!$D:$K,MATCH($E112,Roadmap!$D:$D,0)+COUNTIF($E112:J112,"u")+COUNTIF($E112:J112,"t")+COUNTIF($E112:J112,"¶")+COUNTIF($E112:J112,"²")+COUNTIF($E112:J112,"µ")+COUNTIF($E112:J112,1),ColTypeEcheance)),
  IF(LEN(J112)=1,
  IF(LEN(INDEX(Roadmap!$D:$K,MATCH($E112,Roadmap!$D:$D,0)-1+COUNTIF($E112:J112,"u")+COUNTIF($E112:J112,"t")+COUNTIF($E112:J112,"¶")+COUNTIF($E112:J112,"²")+COUNTIF($E112:J112,"µ")+COUNTIF($E112:J112,1),ColDescriptionCourte))&gt;1,
HYPERLINK("#Roadmap!C"&amp; MATCH($E112,Roadmap!$D:$D,0)+COUNTIF($E112:J112,"u")+COUNTIF($E112:J112,"t")+COUNTIF($E112:J112,"¶")+COUNTIF($E112:J112,"²")+COUNTIF($E112:J112,"µ")+COUNTIF($E112:J112,1)-1,INDEX(Roadmap!$D:$K,MATCH($E112,Roadmap!$D:$D,0)-1+COUNTIF($E112:J112,"u")+COUNTIF($E112:J112,"t")+COUNTIF($E112:J112,"¶")+COUNTIF($E112:J112,"²")+COUNTIF($E112:J112,"µ")+COUNTIF($E112:J112,1),ColDescriptionCourte)),""),
  "")),"")</f>
        <v/>
      </c>
      <c r="L112" s="39" t="str">
        <f ca="1">IFERROR(IF(AND(
  INDEX(Roadmap!$D:$K,MATCH($E112,Roadmap!$D:$D,0)+COUNTIF($E112:K112,"u")+COUNTIF($E112:K112,"t")+COUNTIF($E112:K112,"¶")+COUNTIF($E112:K112,"²")+COUNTIF($E112:K112,"µ")+COUNTIF($E112:K112,1),ColLivraison)=L$6,
  VLOOKUP($E112,INDIRECT("tri!"&amp; CHAR(64+ C0Col) &amp;":"&amp; CHAR(65+C0Col)),2,FALSE)&gt;COUNTIF($E112:K112,"u")+COUNTIF($E112:K112,"t")+COUNTIF($E112:K112,"¶")+COUNTIF($E112:K112,"²")+COUNTIF($E112:K112,"µ")+COUNTIF($E112:K112,1)),
HYPERLINK("#Roadmap!C"&amp; MATCH($E112,Roadmap!$D:$D,0)+COUNTIF($E112:K112,"u")+COUNTIF($E112:K112,"t"),
     INDEX(Roadmap!$D:$K,MATCH($E112,Roadmap!$D:$D,0)+COUNTIF($E112:K112,"u")+COUNTIF($E112:K112,"t")+COUNTIF($E112:K112,"¶")+COUNTIF($E112:K112,"²")+COUNTIF($E112:K112,"µ")+COUNTIF($E112:K112,1),ColTypeEcheance)),
  IF(LEN(K112)=1,
  IF(LEN(INDEX(Roadmap!$D:$K,MATCH($E112,Roadmap!$D:$D,0)-1+COUNTIF($E112:K112,"u")+COUNTIF($E112:K112,"t")+COUNTIF($E112:K112,"¶")+COUNTIF($E112:K112,"²")+COUNTIF($E112:K112,"µ")+COUNTIF($E112:K112,1),ColDescriptionCourte))&gt;1,
HYPERLINK("#Roadmap!C"&amp; MATCH($E112,Roadmap!$D:$D,0)+COUNTIF($E112:K112,"u")+COUNTIF($E112:K112,"t")+COUNTIF($E112:K112,"¶")+COUNTIF($E112:K112,"²")+COUNTIF($E112:K112,"µ")+COUNTIF($E112:K112,1)-1,INDEX(Roadmap!$D:$K,MATCH($E112,Roadmap!$D:$D,0)-1+COUNTIF($E112:K112,"u")+COUNTIF($E112:K112,"t")+COUNTIF($E112:K112,"¶")+COUNTIF($E112:K112,"²")+COUNTIF($E112:K112,"µ")+COUNTIF($E112:K112,1),ColDescriptionCourte)),""),
  "")),"")</f>
        <v/>
      </c>
      <c r="M112" s="40" t="str">
        <f ca="1">IFERROR(IF(AND(
  INDEX(Roadmap!$D:$K,MATCH($E112,Roadmap!$D:$D,0)+COUNTIF($E112:L112,"u")+COUNTIF($E112:L112,"t")+COUNTIF($E112:L112,"¶")+COUNTIF($E112:L112,"²")+COUNTIF($E112:L112,"µ")+COUNTIF($E112:L112,1),ColLivraison)=M$6,
  VLOOKUP($E112,INDIRECT("tri!"&amp; CHAR(64+ C0Col) &amp;":"&amp; CHAR(65+C0Col)),2,FALSE)&gt;COUNTIF($E112:L112,"u")+COUNTIF($E112:L112,"t")+COUNTIF($E112:L112,"¶")+COUNTIF($E112:L112,"²")+COUNTIF($E112:L112,"µ")+COUNTIF($E112:L112,1)),
HYPERLINK("#Roadmap!C"&amp; MATCH($E112,Roadmap!$D:$D,0)+COUNTIF($E112:L112,"u")+COUNTIF($E112:L112,"t"),
     INDEX(Roadmap!$D:$K,MATCH($E112,Roadmap!$D:$D,0)+COUNTIF($E112:L112,"u")+COUNTIF($E112:L112,"t")+COUNTIF($E112:L112,"¶")+COUNTIF($E112:L112,"²")+COUNTIF($E112:L112,"µ")+COUNTIF($E112:L112,1),ColTypeEcheance)),
  IF(LEN(L112)=1,
  IF(LEN(INDEX(Roadmap!$D:$K,MATCH($E112,Roadmap!$D:$D,0)-1+COUNTIF($E112:L112,"u")+COUNTIF($E112:L112,"t")+COUNTIF($E112:L112,"¶")+COUNTIF($E112:L112,"²")+COUNTIF($E112:L112,"µ")+COUNTIF($E112:L112,1),ColDescriptionCourte))&gt;1,
HYPERLINK("#Roadmap!C"&amp; MATCH($E112,Roadmap!$D:$D,0)+COUNTIF($E112:L112,"u")+COUNTIF($E112:L112,"t")+COUNTIF($E112:L112,"¶")+COUNTIF($E112:L112,"²")+COUNTIF($E112:L112,"µ")+COUNTIF($E112:L112,1)-1,INDEX(Roadmap!$D:$K,MATCH($E112,Roadmap!$D:$D,0)-1+COUNTIF($E112:L112,"u")+COUNTIF($E112:L112,"t")+COUNTIF($E112:L112,"¶")+COUNTIF($E112:L112,"²")+COUNTIF($E112:L112,"µ")+COUNTIF($E112:L112,1),ColDescriptionCourte)),""),
  "")),"")</f>
        <v/>
      </c>
      <c r="N112" s="40" t="str">
        <f ca="1">IFERROR(IF(AND(
  INDEX(Roadmap!$D:$K,MATCH($E112,Roadmap!$D:$D,0)+COUNTIF($E112:M112,"u")+COUNTIF($E112:M112,"t")+COUNTIF($E112:M112,"¶")+COUNTIF($E112:M112,"²")+COUNTIF($E112:M112,"µ")+COUNTIF($E112:M112,1),ColLivraison)=N$6,
  VLOOKUP($E112,INDIRECT("tri!"&amp; CHAR(64+ C0Col) &amp;":"&amp; CHAR(65+C0Col)),2,FALSE)&gt;COUNTIF($E112:M112,"u")+COUNTIF($E112:M112,"t")+COUNTIF($E112:M112,"¶")+COUNTIF($E112:M112,"²")+COUNTIF($E112:M112,"µ")+COUNTIF($E112:M112,1)),
HYPERLINK("#Roadmap!C"&amp; MATCH($E112,Roadmap!$D:$D,0)+COUNTIF($E112:M112,"u")+COUNTIF($E112:M112,"t"),
     INDEX(Roadmap!$D:$K,MATCH($E112,Roadmap!$D:$D,0)+COUNTIF($E112:M112,"u")+COUNTIF($E112:M112,"t")+COUNTIF($E112:M112,"¶")+COUNTIF($E112:M112,"²")+COUNTIF($E112:M112,"µ")+COUNTIF($E112:M112,1),ColTypeEcheance)),
  IF(LEN(M112)=1,
  IF(LEN(INDEX(Roadmap!$D:$K,MATCH($E112,Roadmap!$D:$D,0)-1+COUNTIF($E112:M112,"u")+COUNTIF($E112:M112,"t")+COUNTIF($E112:M112,"¶")+COUNTIF($E112:M112,"²")+COUNTIF($E112:M112,"µ")+COUNTIF($E112:M112,1),ColDescriptionCourte))&gt;1,
HYPERLINK("#Roadmap!C"&amp; MATCH($E112,Roadmap!$D:$D,0)+COUNTIF($E112:M112,"u")+COUNTIF($E112:M112,"t")+COUNTIF($E112:M112,"¶")+COUNTIF($E112:M112,"²")+COUNTIF($E112:M112,"µ")+COUNTIF($E112:M112,1)-1,INDEX(Roadmap!$D:$K,MATCH($E112,Roadmap!$D:$D,0)-1+COUNTIF($E112:M112,"u")+COUNTIF($E112:M112,"t")+COUNTIF($E112:M112,"¶")+COUNTIF($E112:M112,"²")+COUNTIF($E112:M112,"µ")+COUNTIF($E112:M112,1),ColDescriptionCourte)),""),
  "")),"")</f>
        <v/>
      </c>
      <c r="O112" s="40" t="str">
        <f ca="1">IFERROR(IF(AND(
  INDEX(Roadmap!$D:$K,MATCH($E112,Roadmap!$D:$D,0)+COUNTIF($E112:N112,"u")+COUNTIF($E112:N112,"t")+COUNTIF($E112:N112,"¶")+COUNTIF($E112:N112,"²")+COUNTIF($E112:N112,"µ")+COUNTIF($E112:N112,1),ColLivraison)=O$6,
  VLOOKUP($E112,INDIRECT("tri!"&amp; CHAR(64+ C0Col) &amp;":"&amp; CHAR(65+C0Col)),2,FALSE)&gt;COUNTIF($E112:N112,"u")+COUNTIF($E112:N112,"t")+COUNTIF($E112:N112,"¶")+COUNTIF($E112:N112,"²")+COUNTIF($E112:N112,"µ")+COUNTIF($E112:N112,1)),
HYPERLINK("#Roadmap!C"&amp; MATCH($E112,Roadmap!$D:$D,0)+COUNTIF($E112:N112,"u")+COUNTIF($E112:N112,"t"),
     INDEX(Roadmap!$D:$K,MATCH($E112,Roadmap!$D:$D,0)+COUNTIF($E112:N112,"u")+COUNTIF($E112:N112,"t")+COUNTIF($E112:N112,"¶")+COUNTIF($E112:N112,"²")+COUNTIF($E112:N112,"µ")+COUNTIF($E112:N112,1),ColTypeEcheance)),
  IF(LEN(N112)=1,
  IF(LEN(INDEX(Roadmap!$D:$K,MATCH($E112,Roadmap!$D:$D,0)-1+COUNTIF($E112:N112,"u")+COUNTIF($E112:N112,"t")+COUNTIF($E112:N112,"¶")+COUNTIF($E112:N112,"²")+COUNTIF($E112:N112,"µ")+COUNTIF($E112:N112,1),ColDescriptionCourte))&gt;1,
HYPERLINK("#Roadmap!C"&amp; MATCH($E112,Roadmap!$D:$D,0)+COUNTIF($E112:N112,"u")+COUNTIF($E112:N112,"t")+COUNTIF($E112:N112,"¶")+COUNTIF($E112:N112,"²")+COUNTIF($E112:N112,"µ")+COUNTIF($E112:N112,1)-1,INDEX(Roadmap!$D:$K,MATCH($E112,Roadmap!$D:$D,0)-1+COUNTIF($E112:N112,"u")+COUNTIF($E112:N112,"t")+COUNTIF($E112:N112,"¶")+COUNTIF($E112:N112,"²")+COUNTIF($E112:N112,"µ")+COUNTIF($E112:N112,1),ColDescriptionCourte)),""),
  "")),"")</f>
        <v/>
      </c>
      <c r="P112" s="40" t="str">
        <f ca="1">IFERROR(IF(AND(
  INDEX(Roadmap!$D:$K,MATCH($E112,Roadmap!$D:$D,0)+COUNTIF($E112:O112,"u")+COUNTIF($E112:O112,"t")+COUNTIF($E112:O112,"¶")+COUNTIF($E112:O112,"²")+COUNTIF($E112:O112,"µ")+COUNTIF($E112:O112,1),ColLivraison)=P$6,
  VLOOKUP($E112,INDIRECT("tri!"&amp; CHAR(64+ C0Col) &amp;":"&amp; CHAR(65+C0Col)),2,FALSE)&gt;COUNTIF($E112:O112,"u")+COUNTIF($E112:O112,"t")+COUNTIF($E112:O112,"¶")+COUNTIF($E112:O112,"²")+COUNTIF($E112:O112,"µ")+COUNTIF($E112:O112,1)),
HYPERLINK("#Roadmap!C"&amp; MATCH($E112,Roadmap!$D:$D,0)+COUNTIF($E112:O112,"u")+COUNTIF($E112:O112,"t"),
     INDEX(Roadmap!$D:$K,MATCH($E112,Roadmap!$D:$D,0)+COUNTIF($E112:O112,"u")+COUNTIF($E112:O112,"t")+COUNTIF($E112:O112,"¶")+COUNTIF($E112:O112,"²")+COUNTIF($E112:O112,"µ")+COUNTIF($E112:O112,1),ColTypeEcheance)),
  IF(LEN(O112)=1,
  IF(LEN(INDEX(Roadmap!$D:$K,MATCH($E112,Roadmap!$D:$D,0)-1+COUNTIF($E112:O112,"u")+COUNTIF($E112:O112,"t")+COUNTIF($E112:O112,"¶")+COUNTIF($E112:O112,"²")+COUNTIF($E112:O112,"µ")+COUNTIF($E112:O112,1),ColDescriptionCourte))&gt;1,
HYPERLINK("#Roadmap!C"&amp; MATCH($E112,Roadmap!$D:$D,0)+COUNTIF($E112:O112,"u")+COUNTIF($E112:O112,"t")+COUNTIF($E112:O112,"¶")+COUNTIF($E112:O112,"²")+COUNTIF($E112:O112,"µ")+COUNTIF($E112:O112,1)-1,INDEX(Roadmap!$D:$K,MATCH($E112,Roadmap!$D:$D,0)-1+COUNTIF($E112:O112,"u")+COUNTIF($E112:O112,"t")+COUNTIF($E112:O112,"¶")+COUNTIF($E112:O112,"²")+COUNTIF($E112:O112,"µ")+COUNTIF($E112:O112,1),ColDescriptionCourte)),""),
  "")),"")</f>
        <v/>
      </c>
      <c r="Q112" s="40" t="str">
        <f ca="1">IFERROR(IF(AND(
  INDEX(Roadmap!$D:$K,MATCH($E112,Roadmap!$D:$D,0)+COUNTIF($E112:P112,"u")+COUNTIF($E112:P112,"t")+COUNTIF($E112:P112,"¶")+COUNTIF($E112:P112,"²")+COUNTIF($E112:P112,"µ")+COUNTIF($E112:P112,1),ColLivraison)=Q$6,
  VLOOKUP($E112,INDIRECT("tri!"&amp; CHAR(64+ C0Col) &amp;":"&amp; CHAR(65+C0Col)),2,FALSE)&gt;COUNTIF($E112:P112,"u")+COUNTIF($E112:P112,"t")+COUNTIF($E112:P112,"¶")+COUNTIF($E112:P112,"²")+COUNTIF($E112:P112,"µ")+COUNTIF($E112:P112,1)),
HYPERLINK("#Roadmap!C"&amp; MATCH($E112,Roadmap!$D:$D,0)+COUNTIF($E112:P112,"u")+COUNTIF($E112:P112,"t"),
     INDEX(Roadmap!$D:$K,MATCH($E112,Roadmap!$D:$D,0)+COUNTIF($E112:P112,"u")+COUNTIF($E112:P112,"t")+COUNTIF($E112:P112,"¶")+COUNTIF($E112:P112,"²")+COUNTIF($E112:P112,"µ")+COUNTIF($E112:P112,1),ColTypeEcheance)),
  IF(LEN(P112)=1,
  IF(LEN(INDEX(Roadmap!$D:$K,MATCH($E112,Roadmap!$D:$D,0)-1+COUNTIF($E112:P112,"u")+COUNTIF($E112:P112,"t")+COUNTIF($E112:P112,"¶")+COUNTIF($E112:P112,"²")+COUNTIF($E112:P112,"µ")+COUNTIF($E112:P112,1),ColDescriptionCourte))&gt;1,
HYPERLINK("#Roadmap!C"&amp; MATCH($E112,Roadmap!$D:$D,0)+COUNTIF($E112:P112,"u")+COUNTIF($E112:P112,"t")+COUNTIF($E112:P112,"¶")+COUNTIF($E112:P112,"²")+COUNTIF($E112:P112,"µ")+COUNTIF($E112:P112,1)-1,INDEX(Roadmap!$D:$K,MATCH($E112,Roadmap!$D:$D,0)-1+COUNTIF($E112:P112,"u")+COUNTIF($E112:P112,"t")+COUNTIF($E112:P112,"¶")+COUNTIF($E112:P112,"²")+COUNTIF($E112:P112,"µ")+COUNTIF($E112:P112,1),ColDescriptionCourte)),""),
  "")),"")</f>
        <v/>
      </c>
      <c r="R112" s="40" t="str">
        <f ca="1">IFERROR(IF(AND(
  INDEX(Roadmap!$D:$K,MATCH($E112,Roadmap!$D:$D,0)+COUNTIF($E112:Q112,"u")+COUNTIF($E112:Q112,"t")+COUNTIF($E112:Q112,"¶")+COUNTIF($E112:Q112,"²")+COUNTIF($E112:Q112,"µ")+COUNTIF($E112:Q112,1),ColLivraison)=R$6,
  VLOOKUP($E112,INDIRECT("tri!"&amp; CHAR(64+ C0Col) &amp;":"&amp; CHAR(65+C0Col)),2,FALSE)&gt;COUNTIF($E112:Q112,"u")+COUNTIF($E112:Q112,"t")+COUNTIF($E112:Q112,"¶")+COUNTIF($E112:Q112,"²")+COUNTIF($E112:Q112,"µ")+COUNTIF($E112:Q112,1)),
HYPERLINK("#Roadmap!C"&amp; MATCH($E112,Roadmap!$D:$D,0)+COUNTIF($E112:Q112,"u")+COUNTIF($E112:Q112,"t"),
     INDEX(Roadmap!$D:$K,MATCH($E112,Roadmap!$D:$D,0)+COUNTIF($E112:Q112,"u")+COUNTIF($E112:Q112,"t")+COUNTIF($E112:Q112,"¶")+COUNTIF($E112:Q112,"²")+COUNTIF($E112:Q112,"µ")+COUNTIF($E112:Q112,1),ColTypeEcheance)),
  IF(LEN(Q112)=1,
  IF(LEN(INDEX(Roadmap!$D:$K,MATCH($E112,Roadmap!$D:$D,0)-1+COUNTIF($E112:Q112,"u")+COUNTIF($E112:Q112,"t")+COUNTIF($E112:Q112,"¶")+COUNTIF($E112:Q112,"²")+COUNTIF($E112:Q112,"µ")+COUNTIF($E112:Q112,1),ColDescriptionCourte))&gt;1,
HYPERLINK("#Roadmap!C"&amp; MATCH($E112,Roadmap!$D:$D,0)+COUNTIF($E112:Q112,"u")+COUNTIF($E112:Q112,"t")+COUNTIF($E112:Q112,"¶")+COUNTIF($E112:Q112,"²")+COUNTIF($E112:Q112,"µ")+COUNTIF($E112:Q112,1)-1,INDEX(Roadmap!$D:$K,MATCH($E112,Roadmap!$D:$D,0)-1+COUNTIF($E112:Q112,"u")+COUNTIF($E112:Q112,"t")+COUNTIF($E112:Q112,"¶")+COUNTIF($E112:Q112,"²")+COUNTIF($E112:Q112,"µ")+COUNTIF($E112:Q112,1),ColDescriptionCourte)),""),
  "")),"")</f>
        <v/>
      </c>
      <c r="S112" s="40" t="str">
        <f ca="1">IFERROR(IF(AND(
  INDEX(Roadmap!$D:$K,MATCH($E112,Roadmap!$D:$D,0)+COUNTIF($E112:R112,"u")+COUNTIF($E112:R112,"t")+COUNTIF($E112:R112,"¶")+COUNTIF($E112:R112,"²")+COUNTIF($E112:R112,"µ")+COUNTIF($E112:R112,1),ColLivraison)=S$6,
  VLOOKUP($E112,INDIRECT("tri!"&amp; CHAR(64+ C0Col) &amp;":"&amp; CHAR(65+C0Col)),2,FALSE)&gt;COUNTIF($E112:R112,"u")+COUNTIF($E112:R112,"t")+COUNTIF($E112:R112,"¶")+COUNTIF($E112:R112,"²")+COUNTIF($E112:R112,"µ")+COUNTIF($E112:R112,1)),
HYPERLINK("#Roadmap!C"&amp; MATCH($E112,Roadmap!$D:$D,0)+COUNTIF($E112:R112,"u")+COUNTIF($E112:R112,"t"),
     INDEX(Roadmap!$D:$K,MATCH($E112,Roadmap!$D:$D,0)+COUNTIF($E112:R112,"u")+COUNTIF($E112:R112,"t")+COUNTIF($E112:R112,"¶")+COUNTIF($E112:R112,"²")+COUNTIF($E112:R112,"µ")+COUNTIF($E112:R112,1),ColTypeEcheance)),
  IF(LEN(R112)=1,
  IF(LEN(INDEX(Roadmap!$D:$K,MATCH($E112,Roadmap!$D:$D,0)-1+COUNTIF($E112:R112,"u")+COUNTIF($E112:R112,"t")+COUNTIF($E112:R112,"¶")+COUNTIF($E112:R112,"²")+COUNTIF($E112:R112,"µ")+COUNTIF($E112:R112,1),ColDescriptionCourte))&gt;1,
HYPERLINK("#Roadmap!C"&amp; MATCH($E112,Roadmap!$D:$D,0)+COUNTIF($E112:R112,"u")+COUNTIF($E112:R112,"t")+COUNTIF($E112:R112,"¶")+COUNTIF($E112:R112,"²")+COUNTIF($E112:R112,"µ")+COUNTIF($E112:R112,1)-1,INDEX(Roadmap!$D:$K,MATCH($E112,Roadmap!$D:$D,0)-1+COUNTIF($E112:R112,"u")+COUNTIF($E112:R112,"t")+COUNTIF($E112:R112,"¶")+COUNTIF($E112:R112,"²")+COUNTIF($E112:R112,"µ")+COUNTIF($E112:R112,1),ColDescriptionCourte)),""),
  "")),"")</f>
        <v/>
      </c>
      <c r="T112" s="40" t="str">
        <f ca="1">IFERROR(IF(AND(
  INDEX(Roadmap!$D:$K,MATCH($E112,Roadmap!$D:$D,0)+COUNTIF($E112:S112,"u")+COUNTIF($E112:S112,"t")+COUNTIF($E112:S112,"¶")+COUNTIF($E112:S112,"²")+COUNTIF($E112:S112,"µ")+COUNTIF($E112:S112,1),ColLivraison)=T$6,
  VLOOKUP($E112,INDIRECT("tri!"&amp; CHAR(64+ C0Col) &amp;":"&amp; CHAR(65+C0Col)),2,FALSE)&gt;COUNTIF($E112:S112,"u")+COUNTIF($E112:S112,"t")+COUNTIF($E112:S112,"¶")+COUNTIF($E112:S112,"²")+COUNTIF($E112:S112,"µ")+COUNTIF($E112:S112,1)),
HYPERLINK("#Roadmap!C"&amp; MATCH($E112,Roadmap!$D:$D,0)+COUNTIF($E112:S112,"u")+COUNTIF($E112:S112,"t"),
     INDEX(Roadmap!$D:$K,MATCH($E112,Roadmap!$D:$D,0)+COUNTIF($E112:S112,"u")+COUNTIF($E112:S112,"t")+COUNTIF($E112:S112,"¶")+COUNTIF($E112:S112,"²")+COUNTIF($E112:S112,"µ")+COUNTIF($E112:S112,1),ColTypeEcheance)),
  IF(LEN(S112)=1,
  IF(LEN(INDEX(Roadmap!$D:$K,MATCH($E112,Roadmap!$D:$D,0)-1+COUNTIF($E112:S112,"u")+COUNTIF($E112:S112,"t")+COUNTIF($E112:S112,"¶")+COUNTIF($E112:S112,"²")+COUNTIF($E112:S112,"µ")+COUNTIF($E112:S112,1),ColDescriptionCourte))&gt;1,
HYPERLINK("#Roadmap!C"&amp; MATCH($E112,Roadmap!$D:$D,0)+COUNTIF($E112:S112,"u")+COUNTIF($E112:S112,"t")+COUNTIF($E112:S112,"¶")+COUNTIF($E112:S112,"²")+COUNTIF($E112:S112,"µ")+COUNTIF($E112:S112,1)-1,INDEX(Roadmap!$D:$K,MATCH($E112,Roadmap!$D:$D,0)-1+COUNTIF($E112:S112,"u")+COUNTIF($E112:S112,"t")+COUNTIF($E112:S112,"¶")+COUNTIF($E112:S112,"²")+COUNTIF($E112:S112,"µ")+COUNTIF($E112:S112,1),ColDescriptionCourte)),""),
  "")),"")</f>
        <v/>
      </c>
      <c r="U112" s="40" t="str">
        <f ca="1">IFERROR(IF(AND(
  INDEX(Roadmap!$D:$K,MATCH($E112,Roadmap!$D:$D,0)+COUNTIF($E112:T112,"u")+COUNTIF($E112:T112,"t")+COUNTIF($E112:T112,"¶")+COUNTIF($E112:T112,"²")+COUNTIF($E112:T112,"µ")+COUNTIF($E112:T112,1),ColLivraison)=U$6,
  VLOOKUP($E112,INDIRECT("tri!"&amp; CHAR(64+ C0Col) &amp;":"&amp; CHAR(65+C0Col)),2,FALSE)&gt;COUNTIF($E112:T112,"u")+COUNTIF($E112:T112,"t")+COUNTIF($E112:T112,"¶")+COUNTIF($E112:T112,"²")+COUNTIF($E112:T112,"µ")+COUNTIF($E112:T112,1)),
HYPERLINK("#Roadmap!C"&amp; MATCH($E112,Roadmap!$D:$D,0)+COUNTIF($E112:T112,"u")+COUNTIF($E112:T112,"t"),
     INDEX(Roadmap!$D:$K,MATCH($E112,Roadmap!$D:$D,0)+COUNTIF($E112:T112,"u")+COUNTIF($E112:T112,"t")+COUNTIF($E112:T112,"¶")+COUNTIF($E112:T112,"²")+COUNTIF($E112:T112,"µ")+COUNTIF($E112:T112,1),ColTypeEcheance)),
  IF(LEN(T112)=1,
  IF(LEN(INDEX(Roadmap!$D:$K,MATCH($E112,Roadmap!$D:$D,0)-1+COUNTIF($E112:T112,"u")+COUNTIF($E112:T112,"t")+COUNTIF($E112:T112,"¶")+COUNTIF($E112:T112,"²")+COUNTIF($E112:T112,"µ")+COUNTIF($E112:T112,1),ColDescriptionCourte))&gt;1,
HYPERLINK("#Roadmap!C"&amp; MATCH($E112,Roadmap!$D:$D,0)+COUNTIF($E112:T112,"u")+COUNTIF($E112:T112,"t")+COUNTIF($E112:T112,"¶")+COUNTIF($E112:T112,"²")+COUNTIF($E112:T112,"µ")+COUNTIF($E112:T112,1)-1,INDEX(Roadmap!$D:$K,MATCH($E112,Roadmap!$D:$D,0)-1+COUNTIF($E112:T112,"u")+COUNTIF($E112:T112,"t")+COUNTIF($E112:T112,"¶")+COUNTIF($E112:T112,"²")+COUNTIF($E112:T112,"µ")+COUNTIF($E112:T112,1),ColDescriptionCourte)),""),
  "")),"")</f>
        <v/>
      </c>
      <c r="V112" s="40" t="str">
        <f ca="1">IFERROR(IF(AND(
  INDEX(Roadmap!$D:$K,MATCH($E112,Roadmap!$D:$D,0)+COUNTIF($E112:U112,"u")+COUNTIF($E112:U112,"t")+COUNTIF($E112:U112,"¶")+COUNTIF($E112:U112,"²")+COUNTIF($E112:U112,"µ")+COUNTIF($E112:U112,1),ColLivraison)=V$6,
  VLOOKUP($E112,INDIRECT("tri!"&amp; CHAR(64+ C0Col) &amp;":"&amp; CHAR(65+C0Col)),2,FALSE)&gt;COUNTIF($E112:U112,"u")+COUNTIF($E112:U112,"t")+COUNTIF($E112:U112,"¶")+COUNTIF($E112:U112,"²")+COUNTIF($E112:U112,"µ")+COUNTIF($E112:U112,1)),
HYPERLINK("#Roadmap!C"&amp; MATCH($E112,Roadmap!$D:$D,0)+COUNTIF($E112:U112,"u")+COUNTIF($E112:U112,"t"),
     INDEX(Roadmap!$D:$K,MATCH($E112,Roadmap!$D:$D,0)+COUNTIF($E112:U112,"u")+COUNTIF($E112:U112,"t")+COUNTIF($E112:U112,"¶")+COUNTIF($E112:U112,"²")+COUNTIF($E112:U112,"µ")+COUNTIF($E112:U112,1),ColTypeEcheance)),
  IF(LEN(U112)=1,
  IF(LEN(INDEX(Roadmap!$D:$K,MATCH($E112,Roadmap!$D:$D,0)-1+COUNTIF($E112:U112,"u")+COUNTIF($E112:U112,"t")+COUNTIF($E112:U112,"¶")+COUNTIF($E112:U112,"²")+COUNTIF($E112:U112,"µ")+COUNTIF($E112:U112,1),ColDescriptionCourte))&gt;1,
HYPERLINK("#Roadmap!C"&amp; MATCH($E112,Roadmap!$D:$D,0)+COUNTIF($E112:U112,"u")+COUNTIF($E112:U112,"t")+COUNTIF($E112:U112,"¶")+COUNTIF($E112:U112,"²")+COUNTIF($E112:U112,"µ")+COUNTIF($E112:U112,1)-1,INDEX(Roadmap!$D:$K,MATCH($E112,Roadmap!$D:$D,0)-1+COUNTIF($E112:U112,"u")+COUNTIF($E112:U112,"t")+COUNTIF($E112:U112,"¶")+COUNTIF($E112:U112,"²")+COUNTIF($E112:U112,"µ")+COUNTIF($E112:U112,1),ColDescriptionCourte)),""),
  "")),"")</f>
        <v/>
      </c>
      <c r="W112" s="40" t="str">
        <f ca="1">IFERROR(IF(AND(
  INDEX(Roadmap!$D:$K,MATCH($E112,Roadmap!$D:$D,0)+COUNTIF($E112:V112,"u")+COUNTIF($E112:V112,"t")+COUNTIF($E112:V112,"¶")+COUNTIF($E112:V112,"²")+COUNTIF($E112:V112,"µ")+COUNTIF($E112:V112,1),ColLivraison)=W$6,
  VLOOKUP($E112,INDIRECT("tri!"&amp; CHAR(64+ C0Col) &amp;":"&amp; CHAR(65+C0Col)),2,FALSE)&gt;COUNTIF($E112:V112,"u")+COUNTIF($E112:V112,"t")+COUNTIF($E112:V112,"¶")+COUNTIF($E112:V112,"²")+COUNTIF($E112:V112,"µ")+COUNTIF($E112:V112,1)),
HYPERLINK("#Roadmap!C"&amp; MATCH($E112,Roadmap!$D:$D,0)+COUNTIF($E112:V112,"u")+COUNTIF($E112:V112,"t"),
     INDEX(Roadmap!$D:$K,MATCH($E112,Roadmap!$D:$D,0)+COUNTIF($E112:V112,"u")+COUNTIF($E112:V112,"t")+COUNTIF($E112:V112,"¶")+COUNTIF($E112:V112,"²")+COUNTIF($E112:V112,"µ")+COUNTIF($E112:V112,1),ColTypeEcheance)),
  IF(LEN(V112)=1,
  IF(LEN(INDEX(Roadmap!$D:$K,MATCH($E112,Roadmap!$D:$D,0)-1+COUNTIF($E112:V112,"u")+COUNTIF($E112:V112,"t")+COUNTIF($E112:V112,"¶")+COUNTIF($E112:V112,"²")+COUNTIF($E112:V112,"µ")+COUNTIF($E112:V112,1),ColDescriptionCourte))&gt;1,
HYPERLINK("#Roadmap!C"&amp; MATCH($E112,Roadmap!$D:$D,0)+COUNTIF($E112:V112,"u")+COUNTIF($E112:V112,"t")+COUNTIF($E112:V112,"¶")+COUNTIF($E112:V112,"²")+COUNTIF($E112:V112,"µ")+COUNTIF($E112:V112,1)-1,INDEX(Roadmap!$D:$K,MATCH($E112,Roadmap!$D:$D,0)-1+COUNTIF($E112:V112,"u")+COUNTIF($E112:V112,"t")+COUNTIF($E112:V112,"¶")+COUNTIF($E112:V112,"²")+COUNTIF($E112:V112,"µ")+COUNTIF($E112:V112,1),ColDescriptionCourte)),""),
  "")),"")</f>
        <v/>
      </c>
      <c r="X112" s="40" t="str">
        <f ca="1">IFERROR(IF(AND(
  INDEX(Roadmap!$D:$K,MATCH($E112,Roadmap!$D:$D,0)+COUNTIF($E112:W112,"u")+COUNTIF($E112:W112,"t")+COUNTIF($E112:W112,"¶")+COUNTIF($E112:W112,"²")+COUNTIF($E112:W112,"µ")+COUNTIF($E112:W112,1),ColLivraison)=X$6,
  VLOOKUP($E112,INDIRECT("tri!"&amp; CHAR(64+ C0Col) &amp;":"&amp; CHAR(65+C0Col)),2,FALSE)&gt;COUNTIF($E112:W112,"u")+COUNTIF($E112:W112,"t")+COUNTIF($E112:W112,"¶")+COUNTIF($E112:W112,"²")+COUNTIF($E112:W112,"µ")+COUNTIF($E112:W112,1)),
HYPERLINK("#Roadmap!C"&amp; MATCH($E112,Roadmap!$D:$D,0)+COUNTIF($E112:W112,"u")+COUNTIF($E112:W112,"t"),
     INDEX(Roadmap!$D:$K,MATCH($E112,Roadmap!$D:$D,0)+COUNTIF($E112:W112,"u")+COUNTIF($E112:W112,"t")+COUNTIF($E112:W112,"¶")+COUNTIF($E112:W112,"²")+COUNTIF($E112:W112,"µ")+COUNTIF($E112:W112,1),ColTypeEcheance)),
  IF(LEN(W112)=1,
  IF(LEN(INDEX(Roadmap!$D:$K,MATCH($E112,Roadmap!$D:$D,0)-1+COUNTIF($E112:W112,"u")+COUNTIF($E112:W112,"t")+COUNTIF($E112:W112,"¶")+COUNTIF($E112:W112,"²")+COUNTIF($E112:W112,"µ")+COUNTIF($E112:W112,1),ColDescriptionCourte))&gt;1,
HYPERLINK("#Roadmap!C"&amp; MATCH($E112,Roadmap!$D:$D,0)+COUNTIF($E112:W112,"u")+COUNTIF($E112:W112,"t")+COUNTIF($E112:W112,"¶")+COUNTIF($E112:W112,"²")+COUNTIF($E112:W112,"µ")+COUNTIF($E112:W112,1)-1,INDEX(Roadmap!$D:$K,MATCH($E112,Roadmap!$D:$D,0)-1+COUNTIF($E112:W112,"u")+COUNTIF($E112:W112,"t")+COUNTIF($E112:W112,"¶")+COUNTIF($E112:W112,"²")+COUNTIF($E112:W112,"µ")+COUNTIF($E112:W112,1),ColDescriptionCourte)),""),
  "")),"")</f>
        <v/>
      </c>
      <c r="Y112" s="40" t="str">
        <f ca="1">IFERROR(IF(AND(
  INDEX(Roadmap!$D:$K,MATCH($E112,Roadmap!$D:$D,0)+COUNTIF($E112:X112,"u")+COUNTIF($E112:X112,"t")+COUNTIF($E112:X112,"¶")+COUNTIF($E112:X112,"²")+COUNTIF($E112:X112,"µ")+COUNTIF($E112:X112,1),ColLivraison)=Y$6,
  VLOOKUP($E112,INDIRECT("tri!"&amp; CHAR(64+ C0Col) &amp;":"&amp; CHAR(65+C0Col)),2,FALSE)&gt;COUNTIF($E112:X112,"u")+COUNTIF($E112:X112,"t")+COUNTIF($E112:X112,"¶")+COUNTIF($E112:X112,"²")+COUNTIF($E112:X112,"µ")+COUNTIF($E112:X112,1)),
HYPERLINK("#Roadmap!C"&amp; MATCH($E112,Roadmap!$D:$D,0)+COUNTIF($E112:X112,"u")+COUNTIF($E112:X112,"t"),
     INDEX(Roadmap!$D:$K,MATCH($E112,Roadmap!$D:$D,0)+COUNTIF($E112:X112,"u")+COUNTIF($E112:X112,"t")+COUNTIF($E112:X112,"¶")+COUNTIF($E112:X112,"²")+COUNTIF($E112:X112,"µ")+COUNTIF($E112:X112,1),ColTypeEcheance)),
  IF(LEN(X112)=1,
  IF(LEN(INDEX(Roadmap!$D:$K,MATCH($E112,Roadmap!$D:$D,0)-1+COUNTIF($E112:X112,"u")+COUNTIF($E112:X112,"t")+COUNTIF($E112:X112,"¶")+COUNTIF($E112:X112,"²")+COUNTIF($E112:X112,"µ")+COUNTIF($E112:X112,1),ColDescriptionCourte))&gt;1,
HYPERLINK("#Roadmap!C"&amp; MATCH($E112,Roadmap!$D:$D,0)+COUNTIF($E112:X112,"u")+COUNTIF($E112:X112,"t")+COUNTIF($E112:X112,"¶")+COUNTIF($E112:X112,"²")+COUNTIF($E112:X112,"µ")+COUNTIF($E112:X112,1)-1,INDEX(Roadmap!$D:$K,MATCH($E112,Roadmap!$D:$D,0)-1+COUNTIF($E112:X112,"u")+COUNTIF($E112:X112,"t")+COUNTIF($E112:X112,"¶")+COUNTIF($E112:X112,"²")+COUNTIF($E112:X112,"µ")+COUNTIF($E112:X112,1),ColDescriptionCourte)),""),
  "")),"")</f>
        <v/>
      </c>
      <c r="Z112" s="40" t="str">
        <f ca="1">IFERROR(IF(AND(
  INDEX(Roadmap!$D:$K,MATCH($E112,Roadmap!$D:$D,0)+COUNTIF($E112:Y112,"u")+COUNTIF($E112:Y112,"t")+COUNTIF($E112:Y112,"¶")+COUNTIF($E112:Y112,"²")+COUNTIF($E112:Y112,"µ")+COUNTIF($E112:Y112,1),ColLivraison)=Z$6,
  VLOOKUP($E112,INDIRECT("tri!"&amp; CHAR(64+ C0Col) &amp;":"&amp; CHAR(65+C0Col)),2,FALSE)&gt;COUNTIF($E112:Y112,"u")+COUNTIF($E112:Y112,"t")+COUNTIF($E112:Y112,"¶")+COUNTIF($E112:Y112,"²")+COUNTIF($E112:Y112,"µ")+COUNTIF($E112:Y112,1)),
HYPERLINK("#Roadmap!C"&amp; MATCH($E112,Roadmap!$D:$D,0)+COUNTIF($E112:Y112,"u")+COUNTIF($E112:Y112,"t"),
     INDEX(Roadmap!$D:$K,MATCH($E112,Roadmap!$D:$D,0)+COUNTIF($E112:Y112,"u")+COUNTIF($E112:Y112,"t")+COUNTIF($E112:Y112,"¶")+COUNTIF($E112:Y112,"²")+COUNTIF($E112:Y112,"µ")+COUNTIF($E112:Y112,1),ColTypeEcheance)),
  IF(LEN(Y112)=1,
  IF(LEN(INDEX(Roadmap!$D:$K,MATCH($E112,Roadmap!$D:$D,0)-1+COUNTIF($E112:Y112,"u")+COUNTIF($E112:Y112,"t")+COUNTIF($E112:Y112,"¶")+COUNTIF($E112:Y112,"²")+COUNTIF($E112:Y112,"µ")+COUNTIF($E112:Y112,1),ColDescriptionCourte))&gt;1,
HYPERLINK("#Roadmap!C"&amp; MATCH($E112,Roadmap!$D:$D,0)+COUNTIF($E112:Y112,"u")+COUNTIF($E112:Y112,"t")+COUNTIF($E112:Y112,"¶")+COUNTIF($E112:Y112,"²")+COUNTIF($E112:Y112,"µ")+COUNTIF($E112:Y112,1)-1,INDEX(Roadmap!$D:$K,MATCH($E112,Roadmap!$D:$D,0)-1+COUNTIF($E112:Y112,"u")+COUNTIF($E112:Y112,"t")+COUNTIF($E112:Y112,"¶")+COUNTIF($E112:Y112,"²")+COUNTIF($E112:Y112,"µ")+COUNTIF($E112:Y112,1),ColDescriptionCourte)),""),
  "")),"")</f>
        <v/>
      </c>
      <c r="AA112" s="40" t="str">
        <f ca="1">IFERROR(IF(AND(
  INDEX(Roadmap!$D:$K,MATCH($E112,Roadmap!$D:$D,0)+COUNTIF($E112:Z112,"u")+COUNTIF($E112:Z112,"t")+COUNTIF($E112:Z112,"¶")+COUNTIF($E112:Z112,"²")+COUNTIF($E112:Z112,"µ")+COUNTIF($E112:Z112,1),ColLivraison)=AA$6,
  VLOOKUP($E112,INDIRECT("tri!"&amp; CHAR(64+ C0Col) &amp;":"&amp; CHAR(65+C0Col)),2,FALSE)&gt;COUNTIF($E112:Z112,"u")+COUNTIF($E112:Z112,"t")+COUNTIF($E112:Z112,"¶")+COUNTIF($E112:Z112,"²")+COUNTIF($E112:Z112,"µ")+COUNTIF($E112:Z112,1)),
HYPERLINK("#Roadmap!C"&amp; MATCH($E112,Roadmap!$D:$D,0)+COUNTIF($E112:Z112,"u")+COUNTIF($E112:Z112,"t"),
     INDEX(Roadmap!$D:$K,MATCH($E112,Roadmap!$D:$D,0)+COUNTIF($E112:Z112,"u")+COUNTIF($E112:Z112,"t")+COUNTIF($E112:Z112,"¶")+COUNTIF($E112:Z112,"²")+COUNTIF($E112:Z112,"µ")+COUNTIF($E112:Z112,1),ColTypeEcheance)),
  IF(LEN(Z112)=1,
  IF(LEN(INDEX(Roadmap!$D:$K,MATCH($E112,Roadmap!$D:$D,0)-1+COUNTIF($E112:Z112,"u")+COUNTIF($E112:Z112,"t")+COUNTIF($E112:Z112,"¶")+COUNTIF($E112:Z112,"²")+COUNTIF($E112:Z112,"µ")+COUNTIF($E112:Z112,1),ColDescriptionCourte))&gt;1,
HYPERLINK("#Roadmap!C"&amp; MATCH($E112,Roadmap!$D:$D,0)+COUNTIF($E112:Z112,"u")+COUNTIF($E112:Z112,"t")+COUNTIF($E112:Z112,"¶")+COUNTIF($E112:Z112,"²")+COUNTIF($E112:Z112,"µ")+COUNTIF($E112:Z112,1)-1,INDEX(Roadmap!$D:$K,MATCH($E112,Roadmap!$D:$D,0)-1+COUNTIF($E112:Z112,"u")+COUNTIF($E112:Z112,"t")+COUNTIF($E112:Z112,"¶")+COUNTIF($E112:Z112,"²")+COUNTIF($E112:Z112,"µ")+COUNTIF($E112:Z112,1),ColDescriptionCourte)),""),
  "")),"")</f>
        <v/>
      </c>
      <c r="AB112" s="40" t="str">
        <f ca="1">IFERROR(IF(AND(
  INDEX(Roadmap!$D:$K,MATCH($E112,Roadmap!$D:$D,0)+COUNTIF($E112:AA112,"u")+COUNTIF($E112:AA112,"t")+COUNTIF($E112:AA112,"¶")+COUNTIF($E112:AA112,"²")+COUNTIF($E112:AA112,"µ")+COUNTIF($E112:AA112,1),ColLivraison)=AB$6,
  VLOOKUP($E112,INDIRECT("tri!"&amp; CHAR(64+ C0Col) &amp;":"&amp; CHAR(65+C0Col)),2,FALSE)&gt;COUNTIF($E112:AA112,"u")+COUNTIF($E112:AA112,"t")+COUNTIF($E112:AA112,"¶")+COUNTIF($E112:AA112,"²")+COUNTIF($E112:AA112,"µ")+COUNTIF($E112:AA112,1)),
HYPERLINK("#Roadmap!C"&amp; MATCH($E112,Roadmap!$D:$D,0)+COUNTIF($E112:AA112,"u")+COUNTIF($E112:AA112,"t"),
     INDEX(Roadmap!$D:$K,MATCH($E112,Roadmap!$D:$D,0)+COUNTIF($E112:AA112,"u")+COUNTIF($E112:AA112,"t")+COUNTIF($E112:AA112,"¶")+COUNTIF($E112:AA112,"²")+COUNTIF($E112:AA112,"µ")+COUNTIF($E112:AA112,1),ColTypeEcheance)),
  IF(LEN(AA112)=1,
  IF(LEN(INDEX(Roadmap!$D:$K,MATCH($E112,Roadmap!$D:$D,0)-1+COUNTIF($E112:AA112,"u")+COUNTIF($E112:AA112,"t")+COUNTIF($E112:AA112,"¶")+COUNTIF($E112:AA112,"²")+COUNTIF($E112:AA112,"µ")+COUNTIF($E112:AA112,1),ColDescriptionCourte))&gt;1,
HYPERLINK("#Roadmap!C"&amp; MATCH($E112,Roadmap!$D:$D,0)+COUNTIF($E112:AA112,"u")+COUNTIF($E112:AA112,"t")+COUNTIF($E112:AA112,"¶")+COUNTIF($E112:AA112,"²")+COUNTIF($E112:AA112,"µ")+COUNTIF($E112:AA112,1)-1,INDEX(Roadmap!$D:$K,MATCH($E112,Roadmap!$D:$D,0)-1+COUNTIF($E112:AA112,"u")+COUNTIF($E112:AA112,"t")+COUNTIF($E112:AA112,"¶")+COUNTIF($E112:AA112,"²")+COUNTIF($E112:AA112,"µ")+COUNTIF($E112:AA112,1),ColDescriptionCourte)),""),
  "")),"")</f>
        <v/>
      </c>
      <c r="AC112" s="40" t="str">
        <f ca="1">IFERROR(IF(AND(
  INDEX(Roadmap!$D:$K,MATCH($E112,Roadmap!$D:$D,0)+COUNTIF($E112:AB112,"u")+COUNTIF($E112:AB112,"t")+COUNTIF($E112:AB112,"¶")+COUNTIF($E112:AB112,"²")+COUNTIF($E112:AB112,"µ")+COUNTIF($E112:AB112,1),ColLivraison)=AC$6,
  VLOOKUP($E112,INDIRECT("tri!"&amp; CHAR(64+ C0Col) &amp;":"&amp; CHAR(65+C0Col)),2,FALSE)&gt;COUNTIF($E112:AB112,"u")+COUNTIF($E112:AB112,"t")+COUNTIF($E112:AB112,"¶")+COUNTIF($E112:AB112,"²")+COUNTIF($E112:AB112,"µ")+COUNTIF($E112:AB112,1)),
HYPERLINK("#Roadmap!C"&amp; MATCH($E112,Roadmap!$D:$D,0)+COUNTIF($E112:AB112,"u")+COUNTIF($E112:AB112,"t"),
     INDEX(Roadmap!$D:$K,MATCH($E112,Roadmap!$D:$D,0)+COUNTIF($E112:AB112,"u")+COUNTIF($E112:AB112,"t")+COUNTIF($E112:AB112,"¶")+COUNTIF($E112:AB112,"²")+COUNTIF($E112:AB112,"µ")+COUNTIF($E112:AB112,1),ColTypeEcheance)),
  IF(LEN(AB112)=1,
  IF(LEN(INDEX(Roadmap!$D:$K,MATCH($E112,Roadmap!$D:$D,0)-1+COUNTIF($E112:AB112,"u")+COUNTIF($E112:AB112,"t")+COUNTIF($E112:AB112,"¶")+COUNTIF($E112:AB112,"²")+COUNTIF($E112:AB112,"µ")+COUNTIF($E112:AB112,1),ColDescriptionCourte))&gt;1,
HYPERLINK("#Roadmap!C"&amp; MATCH($E112,Roadmap!$D:$D,0)+COUNTIF($E112:AB112,"u")+COUNTIF($E112:AB112,"t")+COUNTIF($E112:AB112,"¶")+COUNTIF($E112:AB112,"²")+COUNTIF($E112:AB112,"µ")+COUNTIF($E112:AB112,1)-1,INDEX(Roadmap!$D:$K,MATCH($E112,Roadmap!$D:$D,0)-1+COUNTIF($E112:AB112,"u")+COUNTIF($E112:AB112,"t")+COUNTIF($E112:AB112,"¶")+COUNTIF($E112:AB112,"²")+COUNTIF($E112:AB112,"µ")+COUNTIF($E112:AB112,1),ColDescriptionCourte)),""),
  "")),"")</f>
        <v/>
      </c>
      <c r="AD112" s="40" t="str">
        <f ca="1">IFERROR(IF(AND(
  INDEX(Roadmap!$D:$K,MATCH($E112,Roadmap!$D:$D,0)+COUNTIF($E112:AC112,"u")+COUNTIF($E112:AC112,"t")+COUNTIF($E112:AC112,"¶")+COUNTIF($E112:AC112,"²")+COUNTIF($E112:AC112,"µ")+COUNTIF($E112:AC112,1),ColLivraison)=AD$6,
  VLOOKUP($E112,INDIRECT("tri!"&amp; CHAR(64+ C0Col) &amp;":"&amp; CHAR(65+C0Col)),2,FALSE)&gt;COUNTIF($E112:AC112,"u")+COUNTIF($E112:AC112,"t")+COUNTIF($E112:AC112,"¶")+COUNTIF($E112:AC112,"²")+COUNTIF($E112:AC112,"µ")+COUNTIF($E112:AC112,1)),
HYPERLINK("#Roadmap!C"&amp; MATCH($E112,Roadmap!$D:$D,0)+COUNTIF($E112:AC112,"u")+COUNTIF($E112:AC112,"t"),
     INDEX(Roadmap!$D:$K,MATCH($E112,Roadmap!$D:$D,0)+COUNTIF($E112:AC112,"u")+COUNTIF($E112:AC112,"t")+COUNTIF($E112:AC112,"¶")+COUNTIF($E112:AC112,"²")+COUNTIF($E112:AC112,"µ")+COUNTIF($E112:AC112,1),ColTypeEcheance)),
  IF(LEN(AC112)=1,
  IF(LEN(INDEX(Roadmap!$D:$K,MATCH($E112,Roadmap!$D:$D,0)-1+COUNTIF($E112:AC112,"u")+COUNTIF($E112:AC112,"t")+COUNTIF($E112:AC112,"¶")+COUNTIF($E112:AC112,"²")+COUNTIF($E112:AC112,"µ")+COUNTIF($E112:AC112,1),ColDescriptionCourte))&gt;1,
HYPERLINK("#Roadmap!C"&amp; MATCH($E112,Roadmap!$D:$D,0)+COUNTIF($E112:AC112,"u")+COUNTIF($E112:AC112,"t")+COUNTIF($E112:AC112,"¶")+COUNTIF($E112:AC112,"²")+COUNTIF($E112:AC112,"µ")+COUNTIF($E112:AC112,1)-1,INDEX(Roadmap!$D:$K,MATCH($E112,Roadmap!$D:$D,0)-1+COUNTIF($E112:AC112,"u")+COUNTIF($E112:AC112,"t")+COUNTIF($E112:AC112,"¶")+COUNTIF($E112:AC112,"²")+COUNTIF($E112:AC112,"µ")+COUNTIF($E112:AC112,1),ColDescriptionCourte)),""),
  "")),"")</f>
        <v/>
      </c>
      <c r="AE112" s="40" t="str">
        <f ca="1">IFERROR(IF(AND(
  INDEX(Roadmap!$D:$K,MATCH($E112,Roadmap!$D:$D,0)+COUNTIF($E112:AD112,"u")+COUNTIF($E112:AD112,"t")+COUNTIF($E112:AD112,"¶")+COUNTIF($E112:AD112,"²")+COUNTIF($E112:AD112,"µ")+COUNTIF($E112:AD112,1),ColLivraison)=AE$6,
  VLOOKUP($E112,INDIRECT("tri!"&amp; CHAR(64+ C0Col) &amp;":"&amp; CHAR(65+C0Col)),2,FALSE)&gt;COUNTIF($E112:AD112,"u")+COUNTIF($E112:AD112,"t")+COUNTIF($E112:AD112,"¶")+COUNTIF($E112:AD112,"²")+COUNTIF($E112:AD112,"µ")+COUNTIF($E112:AD112,1)),
HYPERLINK("#Roadmap!C"&amp; MATCH($E112,Roadmap!$D:$D,0)+COUNTIF($E112:AD112,"u")+COUNTIF($E112:AD112,"t"),
     INDEX(Roadmap!$D:$K,MATCH($E112,Roadmap!$D:$D,0)+COUNTIF($E112:AD112,"u")+COUNTIF($E112:AD112,"t")+COUNTIF($E112:AD112,"¶")+COUNTIF($E112:AD112,"²")+COUNTIF($E112:AD112,"µ")+COUNTIF($E112:AD112,1),ColTypeEcheance)),
  IF(LEN(AD112)=1,
  IF(LEN(INDEX(Roadmap!$D:$K,MATCH($E112,Roadmap!$D:$D,0)-1+COUNTIF($E112:AD112,"u")+COUNTIF($E112:AD112,"t")+COUNTIF($E112:AD112,"¶")+COUNTIF($E112:AD112,"²")+COUNTIF($E112:AD112,"µ")+COUNTIF($E112:AD112,1),ColDescriptionCourte))&gt;1,
HYPERLINK("#Roadmap!C"&amp; MATCH($E112,Roadmap!$D:$D,0)+COUNTIF($E112:AD112,"u")+COUNTIF($E112:AD112,"t")+COUNTIF($E112:AD112,"¶")+COUNTIF($E112:AD112,"²")+COUNTIF($E112:AD112,"µ")+COUNTIF($E112:AD112,1)-1,INDEX(Roadmap!$D:$K,MATCH($E112,Roadmap!$D:$D,0)-1+COUNTIF($E112:AD112,"u")+COUNTIF($E112:AD112,"t")+COUNTIF($E112:AD112,"¶")+COUNTIF($E112:AD112,"²")+COUNTIF($E112:AD112,"µ")+COUNTIF($E112:AD112,1),ColDescriptionCourte)),""),
  "")),"")</f>
        <v/>
      </c>
      <c r="AF112" s="40" t="str">
        <f ca="1">IFERROR(IF(AND(
  INDEX(Roadmap!$D:$K,MATCH($E112,Roadmap!$D:$D,0)+COUNTIF($E112:AE112,"u")+COUNTIF($E112:AE112,"t")+COUNTIF($E112:AE112,"¶")+COUNTIF($E112:AE112,"²")+COUNTIF($E112:AE112,"µ")+COUNTIF($E112:AE112,1),ColLivraison)=AF$6,
  VLOOKUP($E112,INDIRECT("tri!"&amp; CHAR(64+ C0Col) &amp;":"&amp; CHAR(65+C0Col)),2,FALSE)&gt;COUNTIF($E112:AE112,"u")+COUNTIF($E112:AE112,"t")+COUNTIF($E112:AE112,"¶")+COUNTIF($E112:AE112,"²")+COUNTIF($E112:AE112,"µ")+COUNTIF($E112:AE112,1)),
HYPERLINK("#Roadmap!C"&amp; MATCH($E112,Roadmap!$D:$D,0)+COUNTIF($E112:AE112,"u")+COUNTIF($E112:AE112,"t"),
     INDEX(Roadmap!$D:$K,MATCH($E112,Roadmap!$D:$D,0)+COUNTIF($E112:AE112,"u")+COUNTIF($E112:AE112,"t")+COUNTIF($E112:AE112,"¶")+COUNTIF($E112:AE112,"²")+COUNTIF($E112:AE112,"µ")+COUNTIF($E112:AE112,1),ColTypeEcheance)),
  IF(LEN(AE112)=1,
  IF(LEN(INDEX(Roadmap!$D:$K,MATCH($E112,Roadmap!$D:$D,0)-1+COUNTIF($E112:AE112,"u")+COUNTIF($E112:AE112,"t")+COUNTIF($E112:AE112,"¶")+COUNTIF($E112:AE112,"²")+COUNTIF($E112:AE112,"µ")+COUNTIF($E112:AE112,1),ColDescriptionCourte))&gt;1,
HYPERLINK("#Roadmap!C"&amp; MATCH($E112,Roadmap!$D:$D,0)+COUNTIF($E112:AE112,"u")+COUNTIF($E112:AE112,"t")+COUNTIF($E112:AE112,"¶")+COUNTIF($E112:AE112,"²")+COUNTIF($E112:AE112,"µ")+COUNTIF($E112:AE112,1)-1,INDEX(Roadmap!$D:$K,MATCH($E112,Roadmap!$D:$D,0)-1+COUNTIF($E112:AE112,"u")+COUNTIF($E112:AE112,"t")+COUNTIF($E112:AE112,"¶")+COUNTIF($E112:AE112,"²")+COUNTIF($E112:AE112,"µ")+COUNTIF($E112:AE112,1),ColDescriptionCourte)),""),
  "")),"")</f>
        <v/>
      </c>
      <c r="AG112" s="40" t="str">
        <f ca="1">IFERROR(IF(AND(
  INDEX(Roadmap!$D:$K,MATCH($E112,Roadmap!$D:$D,0)+COUNTIF($E112:AF112,"u")+COUNTIF($E112:AF112,"t")+COUNTIF($E112:AF112,"¶")+COUNTIF($E112:AF112,"²")+COUNTIF($E112:AF112,"µ")+COUNTIF($E112:AF112,1),ColLivraison)=AG$6,
  VLOOKUP($E112,INDIRECT("tri!"&amp; CHAR(64+ C0Col) &amp;":"&amp; CHAR(65+C0Col)),2,FALSE)&gt;COUNTIF($E112:AF112,"u")+COUNTIF($E112:AF112,"t")+COUNTIF($E112:AF112,"¶")+COUNTIF($E112:AF112,"²")+COUNTIF($E112:AF112,"µ")+COUNTIF($E112:AF112,1)),
HYPERLINK("#Roadmap!C"&amp; MATCH($E112,Roadmap!$D:$D,0)+COUNTIF($E112:AF112,"u")+COUNTIF($E112:AF112,"t"),
     INDEX(Roadmap!$D:$K,MATCH($E112,Roadmap!$D:$D,0)+COUNTIF($E112:AF112,"u")+COUNTIF($E112:AF112,"t")+COUNTIF($E112:AF112,"¶")+COUNTIF($E112:AF112,"²")+COUNTIF($E112:AF112,"µ")+COUNTIF($E112:AF112,1),ColTypeEcheance)),
  IF(LEN(AF112)=1,
  IF(LEN(INDEX(Roadmap!$D:$K,MATCH($E112,Roadmap!$D:$D,0)-1+COUNTIF($E112:AF112,"u")+COUNTIF($E112:AF112,"t")+COUNTIF($E112:AF112,"¶")+COUNTIF($E112:AF112,"²")+COUNTIF($E112:AF112,"µ")+COUNTIF($E112:AF112,1),ColDescriptionCourte))&gt;1,
HYPERLINK("#Roadmap!C"&amp; MATCH($E112,Roadmap!$D:$D,0)+COUNTIF($E112:AF112,"u")+COUNTIF($E112:AF112,"t")+COUNTIF($E112:AF112,"¶")+COUNTIF($E112:AF112,"²")+COUNTIF($E112:AF112,"µ")+COUNTIF($E112:AF112,1)-1,INDEX(Roadmap!$D:$K,MATCH($E112,Roadmap!$D:$D,0)-1+COUNTIF($E112:AF112,"u")+COUNTIF($E112:AF112,"t")+COUNTIF($E112:AF112,"¶")+COUNTIF($E112:AF112,"²")+COUNTIF($E112:AF112,"µ")+COUNTIF($E112:AF112,1),ColDescriptionCourte)),""),
  "")),"")</f>
        <v/>
      </c>
      <c r="AH112" s="40" t="str">
        <f ca="1">IFERROR(IF(AND(
  INDEX(Roadmap!$D:$K,MATCH($E112,Roadmap!$D:$D,0)+COUNTIF($E112:AG112,"u")+COUNTIF($E112:AG112,"t")+COUNTIF($E112:AG112,1),ColLivraison)=AH$6,
  VLOOKUP($E112,INDIRECT("tri!"&amp; CHAR(64+ C0Col) &amp;":"&amp; CHAR(65+C0Col)),2,FALSE)&gt;COUNTIF($E112:AG112,"u")+COUNTIF($E112:AG112,"t")+COUNTIF($E112:AG112,1)),
HYPERLINK("#Roadmap!C"&amp; MATCH($E112,Roadmap!$D:$D,0)+COUNTIF($E112:AG112,"u")+COUNTIF($E112:AG112,"t"),
     INDEX(Roadmap!$D:$K,MATCH($E112,Roadmap!$D:$D,0)+COUNTIF($E112:AG112,"u")+COUNTIF($E112:AG112,"t")+COUNTIF($E112:AG112,1),ColTypeEcheance)),
  IF(OR(AG112="u",AG112="t",AG112=1),
  IF(LEN(INDEX(Roadmap!$D:$K,MATCH($E112,Roadmap!$D:$D,0)-1+COUNTIF($E112:AG112,"u")+COUNTIF($E112:AG112,"t")+COUNTIF($E112:AG112,1),ColDescriptionCourte))&gt;1,
HYPERLINK("#Roadmap!C"&amp; MATCH($E112,Roadmap!$D:$D,0)+COUNTIF($E112:AG112,"u")+COUNTIF($E112:AG112,"t")+COUNTIF($E112:AG112,1)-1,INDEX(Roadmap!$D:$K,MATCH($E112,Roadmap!$D:$D,0)-1+COUNTIF($E112:AG112,"u")+COUNTIF($E112:AG112,"t")+COUNTIF($E112:AG112,1),ColDescriptionCourte)),""),
  "")),"")</f>
        <v/>
      </c>
      <c r="AI112" s="40"/>
      <c r="AJ112" s="40"/>
      <c r="AK112" s="40"/>
      <c r="AL112" s="40"/>
      <c r="AM112" s="40"/>
    </row>
    <row r="113" spans="4:39" ht="14.1" customHeight="1">
      <c r="D113" s="20" t="str">
        <f t="shared" ca="1" si="29"/>
        <v/>
      </c>
      <c r="E113" s="53" t="str">
        <f t="shared" ca="1" si="30"/>
        <v/>
      </c>
      <c r="F113" s="39" t="str">
        <f ca="1">IFERROR(IF(AND(
  INDEX(Roadmap!$D:$K,MATCH($E113,Roadmap!$D:$D,0)+COUNTIF($E113:E113,"u")+COUNTIF($E113:E113,"t")+COUNTIF($E113:E113,"¶")+COUNTIF($E113:E113,"²")+COUNTIF($E113:E113,"µ")+COUNTIF($E113:E113,1),ColLivraison)=F$6,
  VLOOKUP($E113,INDIRECT("tri!"&amp; CHAR(64+ C0Col) &amp;":"&amp; CHAR(65+C0Col)),2,FALSE)&gt;COUNTIF($E113:E113,"u")+COUNTIF($E113:E113,"t")+COUNTIF($E113:E113,"¶")+COUNTIF($E113:E113,"²")+COUNTIF($E113:E113,"µ")+COUNTIF($E113:E113,1)),
HYPERLINK("#Roadmap!C"&amp; MATCH($E113,Roadmap!$D:$D,0)+COUNTIF($E113:E113,"u")+COUNTIF($E113:E113,"t"),
     INDEX(Roadmap!$D:$K,MATCH($E113,Roadmap!$D:$D,0)+COUNTIF($E113:E113,"u")+COUNTIF($E113:E113,"t")+COUNTIF($E113:E113,"¶")+COUNTIF($E113:E113,"²")+COUNTIF($E113:E113,"µ")+COUNTIF($E113:E113,1),ColTypeEcheance)),
  IF(LEN(E113)=1,
  IF(LEN(INDEX(Roadmap!$D:$K,MATCH($E113,Roadmap!$D:$D,0)-1+COUNTIF($E113:E113,"u")+COUNTIF($E113:E113,"t")+COUNTIF($E113:E113,"¶")+COUNTIF($E113:E113,"²")+COUNTIF($E113:E113,"µ")+COUNTIF($E113:E113,1),ColDescriptionCourte))&gt;1,
HYPERLINK("#Roadmap!C"&amp; MATCH($E113,Roadmap!$D:$D,0)+COUNTIF($E113:E113,"u")+COUNTIF($E113:E113,"t")+COUNTIF($E113:E113,"¶")+COUNTIF($E113:E113,"²")+COUNTIF($E113:E113,"µ")+COUNTIF($E113:E113,1)-1,INDEX(Roadmap!$D:$K,MATCH($E113,Roadmap!$D:$D,0)-1+COUNTIF($E113:E113,"u")+COUNTIF($E113:E113,"t")+COUNTIF($E113:E113,"¶")+COUNTIF($E113:E113,"²")+COUNTIF($E113:E113,"µ")+COUNTIF($E113:E113,1),ColDescriptionCourte)),""),
  "")),"")</f>
        <v/>
      </c>
      <c r="G113" s="40" t="str">
        <f ca="1">IFERROR(IF(AND(
  INDEX(Roadmap!$D:$K,MATCH($E113,Roadmap!$D:$D,0)+COUNTIF($E113:F113,"u")+COUNTIF($E113:F113,"t")+COUNTIF($E113:F113,"¶")+COUNTIF($E113:F113,"²")+COUNTIF($E113:F113,"µ")+COUNTIF($E113:F113,1),ColLivraison)=G$6,
  VLOOKUP($E113,INDIRECT("tri!"&amp; CHAR(64+ C0Col) &amp;":"&amp; CHAR(65+C0Col)),2,FALSE)&gt;COUNTIF($E113:F113,"u")+COUNTIF($E113:F113,"t")+COUNTIF($E113:F113,"¶")+COUNTIF($E113:F113,"²")+COUNTIF($E113:F113,"µ")+COUNTIF($E113:F113,1)),
HYPERLINK("#Roadmap!C"&amp; MATCH($E113,Roadmap!$D:$D,0)+COUNTIF($E113:F113,"u")+COUNTIF($E113:F113,"t"),
     INDEX(Roadmap!$D:$K,MATCH($E113,Roadmap!$D:$D,0)+COUNTIF($E113:F113,"u")+COUNTIF($E113:F113,"t")+COUNTIF($E113:F113,"¶")+COUNTIF($E113:F113,"²")+COUNTIF($E113:F113,"µ")+COUNTIF($E113:F113,1),ColTypeEcheance)),
  IF(LEN(F113)=1,
  IF(LEN(INDEX(Roadmap!$D:$K,MATCH($E113,Roadmap!$D:$D,0)-1+COUNTIF($E113:F113,"u")+COUNTIF($E113:F113,"t")+COUNTIF($E113:F113,"¶")+COUNTIF($E113:F113,"²")+COUNTIF($E113:F113,"µ")+COUNTIF($E113:F113,1),ColDescriptionCourte))&gt;1,
HYPERLINK("#Roadmap!C"&amp; MATCH($E113,Roadmap!$D:$D,0)+COUNTIF($E113:F113,"u")+COUNTIF($E113:F113,"t")+COUNTIF($E113:F113,"¶")+COUNTIF($E113:F113,"²")+COUNTIF($E113:F113,"µ")+COUNTIF($E113:F113,1)-1,INDEX(Roadmap!$D:$K,MATCH($E113,Roadmap!$D:$D,0)-1+COUNTIF($E113:F113,"u")+COUNTIF($E113:F113,"t")+COUNTIF($E113:F113,"¶")+COUNTIF($E113:F113,"²")+COUNTIF($E113:F113,"µ")+COUNTIF($E113:F113,1),ColDescriptionCourte)),""),
  "")),"")</f>
        <v/>
      </c>
      <c r="H113" s="40" t="str">
        <f ca="1">IFERROR(IF(AND(
  INDEX(Roadmap!$D:$K,MATCH($E113,Roadmap!$D:$D,0)+COUNTIF($E113:G113,"u")+COUNTIF($E113:G113,"t")+COUNTIF($E113:G113,"¶")+COUNTIF($E113:G113,"²")+COUNTIF($E113:G113,"µ")+COUNTIF($E113:G113,1),ColLivraison)=H$6,
  VLOOKUP($E113,INDIRECT("tri!"&amp; CHAR(64+ C0Col) &amp;":"&amp; CHAR(65+C0Col)),2,FALSE)&gt;COUNTIF($E113:G113,"u")+COUNTIF($E113:G113,"t")+COUNTIF($E113:G113,"¶")+COUNTIF($E113:G113,"²")+COUNTIF($E113:G113,"µ")+COUNTIF($E113:G113,1)),
HYPERLINK("#Roadmap!C"&amp; MATCH($E113,Roadmap!$D:$D,0)+COUNTIF($E113:G113,"u")+COUNTIF($E113:G113,"t"),
     INDEX(Roadmap!$D:$K,MATCH($E113,Roadmap!$D:$D,0)+COUNTIF($E113:G113,"u")+COUNTIF($E113:G113,"t")+COUNTIF($E113:G113,"¶")+COUNTIF($E113:G113,"²")+COUNTIF($E113:G113,"µ")+COUNTIF($E113:G113,1),ColTypeEcheance)),
  IF(LEN(G113)=1,
  IF(LEN(INDEX(Roadmap!$D:$K,MATCH($E113,Roadmap!$D:$D,0)-1+COUNTIF($E113:G113,"u")+COUNTIF($E113:G113,"t")+COUNTIF($E113:G113,"¶")+COUNTIF($E113:G113,"²")+COUNTIF($E113:G113,"µ")+COUNTIF($E113:G113,1),ColDescriptionCourte))&gt;1,
HYPERLINK("#Roadmap!C"&amp; MATCH($E113,Roadmap!$D:$D,0)+COUNTIF($E113:G113,"u")+COUNTIF($E113:G113,"t")+COUNTIF($E113:G113,"¶")+COUNTIF($E113:G113,"²")+COUNTIF($E113:G113,"µ")+COUNTIF($E113:G113,1)-1,INDEX(Roadmap!$D:$K,MATCH($E113,Roadmap!$D:$D,0)-1+COUNTIF($E113:G113,"u")+COUNTIF($E113:G113,"t")+COUNTIF($E113:G113,"¶")+COUNTIF($E113:G113,"²")+COUNTIF($E113:G113,"µ")+COUNTIF($E113:G113,1),ColDescriptionCourte)),""),
  "")),"")</f>
        <v/>
      </c>
      <c r="I113" s="40" t="str">
        <f ca="1">IFERROR(IF(AND(
  INDEX(Roadmap!$D:$K,MATCH($E113,Roadmap!$D:$D,0)+COUNTIF($E113:H113,"u")+COUNTIF($E113:H113,"t")+COUNTIF($E113:H113,"¶")+COUNTIF($E113:H113,"²")+COUNTIF($E113:H113,"µ")+COUNTIF($E113:H113,1),ColLivraison)=I$6,
  VLOOKUP($E113,INDIRECT("tri!"&amp; CHAR(64+ C0Col) &amp;":"&amp; CHAR(65+C0Col)),2,FALSE)&gt;COUNTIF($E113:H113,"u")+COUNTIF($E113:H113,"t")+COUNTIF($E113:H113,"¶")+COUNTIF($E113:H113,"²")+COUNTIF($E113:H113,"µ")+COUNTIF($E113:H113,1)),
HYPERLINK("#Roadmap!C"&amp; MATCH($E113,Roadmap!$D:$D,0)+COUNTIF($E113:H113,"u")+COUNTIF($E113:H113,"t"),
     INDEX(Roadmap!$D:$K,MATCH($E113,Roadmap!$D:$D,0)+COUNTIF($E113:H113,"u")+COUNTIF($E113:H113,"t")+COUNTIF($E113:H113,"¶")+COUNTIF($E113:H113,"²")+COUNTIF($E113:H113,"µ")+COUNTIF($E113:H113,1),ColTypeEcheance)),
  IF(LEN(H113)=1,
  IF(LEN(INDEX(Roadmap!$D:$K,MATCH($E113,Roadmap!$D:$D,0)-1+COUNTIF($E113:H113,"u")+COUNTIF($E113:H113,"t")+COUNTIF($E113:H113,"¶")+COUNTIF($E113:H113,"²")+COUNTIF($E113:H113,"µ")+COUNTIF($E113:H113,1),ColDescriptionCourte))&gt;1,
HYPERLINK("#Roadmap!C"&amp; MATCH($E113,Roadmap!$D:$D,0)+COUNTIF($E113:H113,"u")+COUNTIF($E113:H113,"t")+COUNTIF($E113:H113,"¶")+COUNTIF($E113:H113,"²")+COUNTIF($E113:H113,"µ")+COUNTIF($E113:H113,1)-1,INDEX(Roadmap!$D:$K,MATCH($E113,Roadmap!$D:$D,0)-1+COUNTIF($E113:H113,"u")+COUNTIF($E113:H113,"t")+COUNTIF($E113:H113,"¶")+COUNTIF($E113:H113,"²")+COUNTIF($E113:H113,"µ")+COUNTIF($E113:H113,1),ColDescriptionCourte)),""),
  "")),"")</f>
        <v/>
      </c>
      <c r="J113" s="40" t="str">
        <f ca="1">IFERROR(IF(AND(
  INDEX(Roadmap!$D:$K,MATCH($E113,Roadmap!$D:$D,0)+COUNTIF($E113:I113,"u")+COUNTIF($E113:I113,"t")+COUNTIF($E113:I113,"¶")+COUNTIF($E113:I113,"²")+COUNTIF($E113:I113,"µ")+COUNTIF($E113:I113,1),ColLivraison)=J$6,
  VLOOKUP($E113,INDIRECT("tri!"&amp; CHAR(64+ C0Col) &amp;":"&amp; CHAR(65+C0Col)),2,FALSE)&gt;COUNTIF($E113:I113,"u")+COUNTIF($E113:I113,"t")+COUNTIF($E113:I113,"¶")+COUNTIF($E113:I113,"²")+COUNTIF($E113:I113,"µ")+COUNTIF($E113:I113,1)),
HYPERLINK("#Roadmap!C"&amp; MATCH($E113,Roadmap!$D:$D,0)+COUNTIF($E113:I113,"u")+COUNTIF($E113:I113,"t"),
     INDEX(Roadmap!$D:$K,MATCH($E113,Roadmap!$D:$D,0)+COUNTIF($E113:I113,"u")+COUNTIF($E113:I113,"t")+COUNTIF($E113:I113,"¶")+COUNTIF($E113:I113,"²")+COUNTIF($E113:I113,"µ")+COUNTIF($E113:I113,1),ColTypeEcheance)),
  IF(LEN(I113)=1,
  IF(LEN(INDEX(Roadmap!$D:$K,MATCH($E113,Roadmap!$D:$D,0)-1+COUNTIF($E113:I113,"u")+COUNTIF($E113:I113,"t")+COUNTIF($E113:I113,"¶")+COUNTIF($E113:I113,"²")+COUNTIF($E113:I113,"µ")+COUNTIF($E113:I113,1),ColDescriptionCourte))&gt;1,
HYPERLINK("#Roadmap!C"&amp; MATCH($E113,Roadmap!$D:$D,0)+COUNTIF($E113:I113,"u")+COUNTIF($E113:I113,"t")+COUNTIF($E113:I113,"¶")+COUNTIF($E113:I113,"²")+COUNTIF($E113:I113,"µ")+COUNTIF($E113:I113,1)-1,INDEX(Roadmap!$D:$K,MATCH($E113,Roadmap!$D:$D,0)-1+COUNTIF($E113:I113,"u")+COUNTIF($E113:I113,"t")+COUNTIF($E113:I113,"¶")+COUNTIF($E113:I113,"²")+COUNTIF($E113:I113,"µ")+COUNTIF($E113:I113,1),ColDescriptionCourte)),""),
  "")),"")</f>
        <v/>
      </c>
      <c r="K113" s="40" t="str">
        <f ca="1">IFERROR(IF(AND(
  INDEX(Roadmap!$D:$K,MATCH($E113,Roadmap!$D:$D,0)+COUNTIF($E113:J113,"u")+COUNTIF($E113:J113,"t")+COUNTIF($E113:J113,"¶")+COUNTIF($E113:J113,"²")+COUNTIF($E113:J113,"µ")+COUNTIF($E113:J113,1),ColLivraison)=K$6,
  VLOOKUP($E113,INDIRECT("tri!"&amp; CHAR(64+ C0Col) &amp;":"&amp; CHAR(65+C0Col)),2,FALSE)&gt;COUNTIF($E113:J113,"u")+COUNTIF($E113:J113,"t")+COUNTIF($E113:J113,"¶")+COUNTIF($E113:J113,"²")+COUNTIF($E113:J113,"µ")+COUNTIF($E113:J113,1)),
HYPERLINK("#Roadmap!C"&amp; MATCH($E113,Roadmap!$D:$D,0)+COUNTIF($E113:J113,"u")+COUNTIF($E113:J113,"t"),
     INDEX(Roadmap!$D:$K,MATCH($E113,Roadmap!$D:$D,0)+COUNTIF($E113:J113,"u")+COUNTIF($E113:J113,"t")+COUNTIF($E113:J113,"¶")+COUNTIF($E113:J113,"²")+COUNTIF($E113:J113,"µ")+COUNTIF($E113:J113,1),ColTypeEcheance)),
  IF(LEN(J113)=1,
  IF(LEN(INDEX(Roadmap!$D:$K,MATCH($E113,Roadmap!$D:$D,0)-1+COUNTIF($E113:J113,"u")+COUNTIF($E113:J113,"t")+COUNTIF($E113:J113,"¶")+COUNTIF($E113:J113,"²")+COUNTIF($E113:J113,"µ")+COUNTIF($E113:J113,1),ColDescriptionCourte))&gt;1,
HYPERLINK("#Roadmap!C"&amp; MATCH($E113,Roadmap!$D:$D,0)+COUNTIF($E113:J113,"u")+COUNTIF($E113:J113,"t")+COUNTIF($E113:J113,"¶")+COUNTIF($E113:J113,"²")+COUNTIF($E113:J113,"µ")+COUNTIF($E113:J113,1)-1,INDEX(Roadmap!$D:$K,MATCH($E113,Roadmap!$D:$D,0)-1+COUNTIF($E113:J113,"u")+COUNTIF($E113:J113,"t")+COUNTIF($E113:J113,"¶")+COUNTIF($E113:J113,"²")+COUNTIF($E113:J113,"µ")+COUNTIF($E113:J113,1),ColDescriptionCourte)),""),
  "")),"")</f>
        <v/>
      </c>
      <c r="L113" s="39" t="str">
        <f ca="1">IFERROR(IF(AND(
  INDEX(Roadmap!$D:$K,MATCH($E113,Roadmap!$D:$D,0)+COUNTIF($E113:K113,"u")+COUNTIF($E113:K113,"t")+COUNTIF($E113:K113,"¶")+COUNTIF($E113:K113,"²")+COUNTIF($E113:K113,"µ")+COUNTIF($E113:K113,1),ColLivraison)=L$6,
  VLOOKUP($E113,INDIRECT("tri!"&amp; CHAR(64+ C0Col) &amp;":"&amp; CHAR(65+C0Col)),2,FALSE)&gt;COUNTIF($E113:K113,"u")+COUNTIF($E113:K113,"t")+COUNTIF($E113:K113,"¶")+COUNTIF($E113:K113,"²")+COUNTIF($E113:K113,"µ")+COUNTIF($E113:K113,1)),
HYPERLINK("#Roadmap!C"&amp; MATCH($E113,Roadmap!$D:$D,0)+COUNTIF($E113:K113,"u")+COUNTIF($E113:K113,"t"),
     INDEX(Roadmap!$D:$K,MATCH($E113,Roadmap!$D:$D,0)+COUNTIF($E113:K113,"u")+COUNTIF($E113:K113,"t")+COUNTIF($E113:K113,"¶")+COUNTIF($E113:K113,"²")+COUNTIF($E113:K113,"µ")+COUNTIF($E113:K113,1),ColTypeEcheance)),
  IF(LEN(K113)=1,
  IF(LEN(INDEX(Roadmap!$D:$K,MATCH($E113,Roadmap!$D:$D,0)-1+COUNTIF($E113:K113,"u")+COUNTIF($E113:K113,"t")+COUNTIF($E113:K113,"¶")+COUNTIF($E113:K113,"²")+COUNTIF($E113:K113,"µ")+COUNTIF($E113:K113,1),ColDescriptionCourte))&gt;1,
HYPERLINK("#Roadmap!C"&amp; MATCH($E113,Roadmap!$D:$D,0)+COUNTIF($E113:K113,"u")+COUNTIF($E113:K113,"t")+COUNTIF($E113:K113,"¶")+COUNTIF($E113:K113,"²")+COUNTIF($E113:K113,"µ")+COUNTIF($E113:K113,1)-1,INDEX(Roadmap!$D:$K,MATCH($E113,Roadmap!$D:$D,0)-1+COUNTIF($E113:K113,"u")+COUNTIF($E113:K113,"t")+COUNTIF($E113:K113,"¶")+COUNTIF($E113:K113,"²")+COUNTIF($E113:K113,"µ")+COUNTIF($E113:K113,1),ColDescriptionCourte)),""),
  "")),"")</f>
        <v/>
      </c>
      <c r="M113" s="40" t="str">
        <f ca="1">IFERROR(IF(AND(
  INDEX(Roadmap!$D:$K,MATCH($E113,Roadmap!$D:$D,0)+COUNTIF($E113:L113,"u")+COUNTIF($E113:L113,"t")+COUNTIF($E113:L113,"¶")+COUNTIF($E113:L113,"²")+COUNTIF($E113:L113,"µ")+COUNTIF($E113:L113,1),ColLivraison)=M$6,
  VLOOKUP($E113,INDIRECT("tri!"&amp; CHAR(64+ C0Col) &amp;":"&amp; CHAR(65+C0Col)),2,FALSE)&gt;COUNTIF($E113:L113,"u")+COUNTIF($E113:L113,"t")+COUNTIF($E113:L113,"¶")+COUNTIF($E113:L113,"²")+COUNTIF($E113:L113,"µ")+COUNTIF($E113:L113,1)),
HYPERLINK("#Roadmap!C"&amp; MATCH($E113,Roadmap!$D:$D,0)+COUNTIF($E113:L113,"u")+COUNTIF($E113:L113,"t"),
     INDEX(Roadmap!$D:$K,MATCH($E113,Roadmap!$D:$D,0)+COUNTIF($E113:L113,"u")+COUNTIF($E113:L113,"t")+COUNTIF($E113:L113,"¶")+COUNTIF($E113:L113,"²")+COUNTIF($E113:L113,"µ")+COUNTIF($E113:L113,1),ColTypeEcheance)),
  IF(LEN(L113)=1,
  IF(LEN(INDEX(Roadmap!$D:$K,MATCH($E113,Roadmap!$D:$D,0)-1+COUNTIF($E113:L113,"u")+COUNTIF($E113:L113,"t")+COUNTIF($E113:L113,"¶")+COUNTIF($E113:L113,"²")+COUNTIF($E113:L113,"µ")+COUNTIF($E113:L113,1),ColDescriptionCourte))&gt;1,
HYPERLINK("#Roadmap!C"&amp; MATCH($E113,Roadmap!$D:$D,0)+COUNTIF($E113:L113,"u")+COUNTIF($E113:L113,"t")+COUNTIF($E113:L113,"¶")+COUNTIF($E113:L113,"²")+COUNTIF($E113:L113,"µ")+COUNTIF($E113:L113,1)-1,INDEX(Roadmap!$D:$K,MATCH($E113,Roadmap!$D:$D,0)-1+COUNTIF($E113:L113,"u")+COUNTIF($E113:L113,"t")+COUNTIF($E113:L113,"¶")+COUNTIF($E113:L113,"²")+COUNTIF($E113:L113,"µ")+COUNTIF($E113:L113,1),ColDescriptionCourte)),""),
  "")),"")</f>
        <v/>
      </c>
      <c r="N113" s="40" t="str">
        <f ca="1">IFERROR(IF(AND(
  INDEX(Roadmap!$D:$K,MATCH($E113,Roadmap!$D:$D,0)+COUNTIF($E113:M113,"u")+COUNTIF($E113:M113,"t")+COUNTIF($E113:M113,"¶")+COUNTIF($E113:M113,"²")+COUNTIF($E113:M113,"µ")+COUNTIF($E113:M113,1),ColLivraison)=N$6,
  VLOOKUP($E113,INDIRECT("tri!"&amp; CHAR(64+ C0Col) &amp;":"&amp; CHAR(65+C0Col)),2,FALSE)&gt;COUNTIF($E113:M113,"u")+COUNTIF($E113:M113,"t")+COUNTIF($E113:M113,"¶")+COUNTIF($E113:M113,"²")+COUNTIF($E113:M113,"µ")+COUNTIF($E113:M113,1)),
HYPERLINK("#Roadmap!C"&amp; MATCH($E113,Roadmap!$D:$D,0)+COUNTIF($E113:M113,"u")+COUNTIF($E113:M113,"t"),
     INDEX(Roadmap!$D:$K,MATCH($E113,Roadmap!$D:$D,0)+COUNTIF($E113:M113,"u")+COUNTIF($E113:M113,"t")+COUNTIF($E113:M113,"¶")+COUNTIF($E113:M113,"²")+COUNTIF($E113:M113,"µ")+COUNTIF($E113:M113,1),ColTypeEcheance)),
  IF(LEN(M113)=1,
  IF(LEN(INDEX(Roadmap!$D:$K,MATCH($E113,Roadmap!$D:$D,0)-1+COUNTIF($E113:M113,"u")+COUNTIF($E113:M113,"t")+COUNTIF($E113:M113,"¶")+COUNTIF($E113:M113,"²")+COUNTIF($E113:M113,"µ")+COUNTIF($E113:M113,1),ColDescriptionCourte))&gt;1,
HYPERLINK("#Roadmap!C"&amp; MATCH($E113,Roadmap!$D:$D,0)+COUNTIF($E113:M113,"u")+COUNTIF($E113:M113,"t")+COUNTIF($E113:M113,"¶")+COUNTIF($E113:M113,"²")+COUNTIF($E113:M113,"µ")+COUNTIF($E113:M113,1)-1,INDEX(Roadmap!$D:$K,MATCH($E113,Roadmap!$D:$D,0)-1+COUNTIF($E113:M113,"u")+COUNTIF($E113:M113,"t")+COUNTIF($E113:M113,"¶")+COUNTIF($E113:M113,"²")+COUNTIF($E113:M113,"µ")+COUNTIF($E113:M113,1),ColDescriptionCourte)),""),
  "")),"")</f>
        <v/>
      </c>
      <c r="O113" s="40" t="str">
        <f ca="1">IFERROR(IF(AND(
  INDEX(Roadmap!$D:$K,MATCH($E113,Roadmap!$D:$D,0)+COUNTIF($E113:N113,"u")+COUNTIF($E113:N113,"t")+COUNTIF($E113:N113,"¶")+COUNTIF($E113:N113,"²")+COUNTIF($E113:N113,"µ")+COUNTIF($E113:N113,1),ColLivraison)=O$6,
  VLOOKUP($E113,INDIRECT("tri!"&amp; CHAR(64+ C0Col) &amp;":"&amp; CHAR(65+C0Col)),2,FALSE)&gt;COUNTIF($E113:N113,"u")+COUNTIF($E113:N113,"t")+COUNTIF($E113:N113,"¶")+COUNTIF($E113:N113,"²")+COUNTIF($E113:N113,"µ")+COUNTIF($E113:N113,1)),
HYPERLINK("#Roadmap!C"&amp; MATCH($E113,Roadmap!$D:$D,0)+COUNTIF($E113:N113,"u")+COUNTIF($E113:N113,"t"),
     INDEX(Roadmap!$D:$K,MATCH($E113,Roadmap!$D:$D,0)+COUNTIF($E113:N113,"u")+COUNTIF($E113:N113,"t")+COUNTIF($E113:N113,"¶")+COUNTIF($E113:N113,"²")+COUNTIF($E113:N113,"µ")+COUNTIF($E113:N113,1),ColTypeEcheance)),
  IF(LEN(N113)=1,
  IF(LEN(INDEX(Roadmap!$D:$K,MATCH($E113,Roadmap!$D:$D,0)-1+COUNTIF($E113:N113,"u")+COUNTIF($E113:N113,"t")+COUNTIF($E113:N113,"¶")+COUNTIF($E113:N113,"²")+COUNTIF($E113:N113,"µ")+COUNTIF($E113:N113,1),ColDescriptionCourte))&gt;1,
HYPERLINK("#Roadmap!C"&amp; MATCH($E113,Roadmap!$D:$D,0)+COUNTIF($E113:N113,"u")+COUNTIF($E113:N113,"t")+COUNTIF($E113:N113,"¶")+COUNTIF($E113:N113,"²")+COUNTIF($E113:N113,"µ")+COUNTIF($E113:N113,1)-1,INDEX(Roadmap!$D:$K,MATCH($E113,Roadmap!$D:$D,0)-1+COUNTIF($E113:N113,"u")+COUNTIF($E113:N113,"t")+COUNTIF($E113:N113,"¶")+COUNTIF($E113:N113,"²")+COUNTIF($E113:N113,"µ")+COUNTIF($E113:N113,1),ColDescriptionCourte)),""),
  "")),"")</f>
        <v/>
      </c>
      <c r="P113" s="40" t="str">
        <f ca="1">IFERROR(IF(AND(
  INDEX(Roadmap!$D:$K,MATCH($E113,Roadmap!$D:$D,0)+COUNTIF($E113:O113,"u")+COUNTIF($E113:O113,"t")+COUNTIF($E113:O113,"¶")+COUNTIF($E113:O113,"²")+COUNTIF($E113:O113,"µ")+COUNTIF($E113:O113,1),ColLivraison)=P$6,
  VLOOKUP($E113,INDIRECT("tri!"&amp; CHAR(64+ C0Col) &amp;":"&amp; CHAR(65+C0Col)),2,FALSE)&gt;COUNTIF($E113:O113,"u")+COUNTIF($E113:O113,"t")+COUNTIF($E113:O113,"¶")+COUNTIF($E113:O113,"²")+COUNTIF($E113:O113,"µ")+COUNTIF($E113:O113,1)),
HYPERLINK("#Roadmap!C"&amp; MATCH($E113,Roadmap!$D:$D,0)+COUNTIF($E113:O113,"u")+COUNTIF($E113:O113,"t"),
     INDEX(Roadmap!$D:$K,MATCH($E113,Roadmap!$D:$D,0)+COUNTIF($E113:O113,"u")+COUNTIF($E113:O113,"t")+COUNTIF($E113:O113,"¶")+COUNTIF($E113:O113,"²")+COUNTIF($E113:O113,"µ")+COUNTIF($E113:O113,1),ColTypeEcheance)),
  IF(LEN(O113)=1,
  IF(LEN(INDEX(Roadmap!$D:$K,MATCH($E113,Roadmap!$D:$D,0)-1+COUNTIF($E113:O113,"u")+COUNTIF($E113:O113,"t")+COUNTIF($E113:O113,"¶")+COUNTIF($E113:O113,"²")+COUNTIF($E113:O113,"µ")+COUNTIF($E113:O113,1),ColDescriptionCourte))&gt;1,
HYPERLINK("#Roadmap!C"&amp; MATCH($E113,Roadmap!$D:$D,0)+COUNTIF($E113:O113,"u")+COUNTIF($E113:O113,"t")+COUNTIF($E113:O113,"¶")+COUNTIF($E113:O113,"²")+COUNTIF($E113:O113,"µ")+COUNTIF($E113:O113,1)-1,INDEX(Roadmap!$D:$K,MATCH($E113,Roadmap!$D:$D,0)-1+COUNTIF($E113:O113,"u")+COUNTIF($E113:O113,"t")+COUNTIF($E113:O113,"¶")+COUNTIF($E113:O113,"²")+COUNTIF($E113:O113,"µ")+COUNTIF($E113:O113,1),ColDescriptionCourte)),""),
  "")),"")</f>
        <v/>
      </c>
      <c r="Q113" s="40" t="str">
        <f ca="1">IFERROR(IF(AND(
  INDEX(Roadmap!$D:$K,MATCH($E113,Roadmap!$D:$D,0)+COUNTIF($E113:P113,"u")+COUNTIF($E113:P113,"t")+COUNTIF($E113:P113,"¶")+COUNTIF($E113:P113,"²")+COUNTIF($E113:P113,"µ")+COUNTIF($E113:P113,1),ColLivraison)=Q$6,
  VLOOKUP($E113,INDIRECT("tri!"&amp; CHAR(64+ C0Col) &amp;":"&amp; CHAR(65+C0Col)),2,FALSE)&gt;COUNTIF($E113:P113,"u")+COUNTIF($E113:P113,"t")+COUNTIF($E113:P113,"¶")+COUNTIF($E113:P113,"²")+COUNTIF($E113:P113,"µ")+COUNTIF($E113:P113,1)),
HYPERLINK("#Roadmap!C"&amp; MATCH($E113,Roadmap!$D:$D,0)+COUNTIF($E113:P113,"u")+COUNTIF($E113:P113,"t"),
     INDEX(Roadmap!$D:$K,MATCH($E113,Roadmap!$D:$D,0)+COUNTIF($E113:P113,"u")+COUNTIF($E113:P113,"t")+COUNTIF($E113:P113,"¶")+COUNTIF($E113:P113,"²")+COUNTIF($E113:P113,"µ")+COUNTIF($E113:P113,1),ColTypeEcheance)),
  IF(LEN(P113)=1,
  IF(LEN(INDEX(Roadmap!$D:$K,MATCH($E113,Roadmap!$D:$D,0)-1+COUNTIF($E113:P113,"u")+COUNTIF($E113:P113,"t")+COUNTIF($E113:P113,"¶")+COUNTIF($E113:P113,"²")+COUNTIF($E113:P113,"µ")+COUNTIF($E113:P113,1),ColDescriptionCourte))&gt;1,
HYPERLINK("#Roadmap!C"&amp; MATCH($E113,Roadmap!$D:$D,0)+COUNTIF($E113:P113,"u")+COUNTIF($E113:P113,"t")+COUNTIF($E113:P113,"¶")+COUNTIF($E113:P113,"²")+COUNTIF($E113:P113,"µ")+COUNTIF($E113:P113,1)-1,INDEX(Roadmap!$D:$K,MATCH($E113,Roadmap!$D:$D,0)-1+COUNTIF($E113:P113,"u")+COUNTIF($E113:P113,"t")+COUNTIF($E113:P113,"¶")+COUNTIF($E113:P113,"²")+COUNTIF($E113:P113,"µ")+COUNTIF($E113:P113,1),ColDescriptionCourte)),""),
  "")),"")</f>
        <v/>
      </c>
      <c r="R113" s="40" t="str">
        <f ca="1">IFERROR(IF(AND(
  INDEX(Roadmap!$D:$K,MATCH($E113,Roadmap!$D:$D,0)+COUNTIF($E113:Q113,"u")+COUNTIF($E113:Q113,"t")+COUNTIF($E113:Q113,"¶")+COUNTIF($E113:Q113,"²")+COUNTIF($E113:Q113,"µ")+COUNTIF($E113:Q113,1),ColLivraison)=R$6,
  VLOOKUP($E113,INDIRECT("tri!"&amp; CHAR(64+ C0Col) &amp;":"&amp; CHAR(65+C0Col)),2,FALSE)&gt;COUNTIF($E113:Q113,"u")+COUNTIF($E113:Q113,"t")+COUNTIF($E113:Q113,"¶")+COUNTIF($E113:Q113,"²")+COUNTIF($E113:Q113,"µ")+COUNTIF($E113:Q113,1)),
HYPERLINK("#Roadmap!C"&amp; MATCH($E113,Roadmap!$D:$D,0)+COUNTIF($E113:Q113,"u")+COUNTIF($E113:Q113,"t"),
     INDEX(Roadmap!$D:$K,MATCH($E113,Roadmap!$D:$D,0)+COUNTIF($E113:Q113,"u")+COUNTIF($E113:Q113,"t")+COUNTIF($E113:Q113,"¶")+COUNTIF($E113:Q113,"²")+COUNTIF($E113:Q113,"µ")+COUNTIF($E113:Q113,1),ColTypeEcheance)),
  IF(LEN(Q113)=1,
  IF(LEN(INDEX(Roadmap!$D:$K,MATCH($E113,Roadmap!$D:$D,0)-1+COUNTIF($E113:Q113,"u")+COUNTIF($E113:Q113,"t")+COUNTIF($E113:Q113,"¶")+COUNTIF($E113:Q113,"²")+COUNTIF($E113:Q113,"µ")+COUNTIF($E113:Q113,1),ColDescriptionCourte))&gt;1,
HYPERLINK("#Roadmap!C"&amp; MATCH($E113,Roadmap!$D:$D,0)+COUNTIF($E113:Q113,"u")+COUNTIF($E113:Q113,"t")+COUNTIF($E113:Q113,"¶")+COUNTIF($E113:Q113,"²")+COUNTIF($E113:Q113,"µ")+COUNTIF($E113:Q113,1)-1,INDEX(Roadmap!$D:$K,MATCH($E113,Roadmap!$D:$D,0)-1+COUNTIF($E113:Q113,"u")+COUNTIF($E113:Q113,"t")+COUNTIF($E113:Q113,"¶")+COUNTIF($E113:Q113,"²")+COUNTIF($E113:Q113,"µ")+COUNTIF($E113:Q113,1),ColDescriptionCourte)),""),
  "")),"")</f>
        <v/>
      </c>
      <c r="S113" s="40" t="str">
        <f ca="1">IFERROR(IF(AND(
  INDEX(Roadmap!$D:$K,MATCH($E113,Roadmap!$D:$D,0)+COUNTIF($E113:R113,"u")+COUNTIF($E113:R113,"t")+COUNTIF($E113:R113,"¶")+COUNTIF($E113:R113,"²")+COUNTIF($E113:R113,"µ")+COUNTIF($E113:R113,1),ColLivraison)=S$6,
  VLOOKUP($E113,INDIRECT("tri!"&amp; CHAR(64+ C0Col) &amp;":"&amp; CHAR(65+C0Col)),2,FALSE)&gt;COUNTIF($E113:R113,"u")+COUNTIF($E113:R113,"t")+COUNTIF($E113:R113,"¶")+COUNTIF($E113:R113,"²")+COUNTIF($E113:R113,"µ")+COUNTIF($E113:R113,1)),
HYPERLINK("#Roadmap!C"&amp; MATCH($E113,Roadmap!$D:$D,0)+COUNTIF($E113:R113,"u")+COUNTIF($E113:R113,"t"),
     INDEX(Roadmap!$D:$K,MATCH($E113,Roadmap!$D:$D,0)+COUNTIF($E113:R113,"u")+COUNTIF($E113:R113,"t")+COUNTIF($E113:R113,"¶")+COUNTIF($E113:R113,"²")+COUNTIF($E113:R113,"µ")+COUNTIF($E113:R113,1),ColTypeEcheance)),
  IF(LEN(R113)=1,
  IF(LEN(INDEX(Roadmap!$D:$K,MATCH($E113,Roadmap!$D:$D,0)-1+COUNTIF($E113:R113,"u")+COUNTIF($E113:R113,"t")+COUNTIF($E113:R113,"¶")+COUNTIF($E113:R113,"²")+COUNTIF($E113:R113,"µ")+COUNTIF($E113:R113,1),ColDescriptionCourte))&gt;1,
HYPERLINK("#Roadmap!C"&amp; MATCH($E113,Roadmap!$D:$D,0)+COUNTIF($E113:R113,"u")+COUNTIF($E113:R113,"t")+COUNTIF($E113:R113,"¶")+COUNTIF($E113:R113,"²")+COUNTIF($E113:R113,"µ")+COUNTIF($E113:R113,1)-1,INDEX(Roadmap!$D:$K,MATCH($E113,Roadmap!$D:$D,0)-1+COUNTIF($E113:R113,"u")+COUNTIF($E113:R113,"t")+COUNTIF($E113:R113,"¶")+COUNTIF($E113:R113,"²")+COUNTIF($E113:R113,"µ")+COUNTIF($E113:R113,1),ColDescriptionCourte)),""),
  "")),"")</f>
        <v/>
      </c>
      <c r="T113" s="40" t="str">
        <f ca="1">IFERROR(IF(AND(
  INDEX(Roadmap!$D:$K,MATCH($E113,Roadmap!$D:$D,0)+COUNTIF($E113:S113,"u")+COUNTIF($E113:S113,"t")+COUNTIF($E113:S113,"¶")+COUNTIF($E113:S113,"²")+COUNTIF($E113:S113,"µ")+COUNTIF($E113:S113,1),ColLivraison)=T$6,
  VLOOKUP($E113,INDIRECT("tri!"&amp; CHAR(64+ C0Col) &amp;":"&amp; CHAR(65+C0Col)),2,FALSE)&gt;COUNTIF($E113:S113,"u")+COUNTIF($E113:S113,"t")+COUNTIF($E113:S113,"¶")+COUNTIF($E113:S113,"²")+COUNTIF($E113:S113,"µ")+COUNTIF($E113:S113,1)),
HYPERLINK("#Roadmap!C"&amp; MATCH($E113,Roadmap!$D:$D,0)+COUNTIF($E113:S113,"u")+COUNTIF($E113:S113,"t"),
     INDEX(Roadmap!$D:$K,MATCH($E113,Roadmap!$D:$D,0)+COUNTIF($E113:S113,"u")+COUNTIF($E113:S113,"t")+COUNTIF($E113:S113,"¶")+COUNTIF($E113:S113,"²")+COUNTIF($E113:S113,"µ")+COUNTIF($E113:S113,1),ColTypeEcheance)),
  IF(LEN(S113)=1,
  IF(LEN(INDEX(Roadmap!$D:$K,MATCH($E113,Roadmap!$D:$D,0)-1+COUNTIF($E113:S113,"u")+COUNTIF($E113:S113,"t")+COUNTIF($E113:S113,"¶")+COUNTIF($E113:S113,"²")+COUNTIF($E113:S113,"µ")+COUNTIF($E113:S113,1),ColDescriptionCourte))&gt;1,
HYPERLINK("#Roadmap!C"&amp; MATCH($E113,Roadmap!$D:$D,0)+COUNTIF($E113:S113,"u")+COUNTIF($E113:S113,"t")+COUNTIF($E113:S113,"¶")+COUNTIF($E113:S113,"²")+COUNTIF($E113:S113,"µ")+COUNTIF($E113:S113,1)-1,INDEX(Roadmap!$D:$K,MATCH($E113,Roadmap!$D:$D,0)-1+COUNTIF($E113:S113,"u")+COUNTIF($E113:S113,"t")+COUNTIF($E113:S113,"¶")+COUNTIF($E113:S113,"²")+COUNTIF($E113:S113,"µ")+COUNTIF($E113:S113,1),ColDescriptionCourte)),""),
  "")),"")</f>
        <v/>
      </c>
      <c r="U113" s="40" t="str">
        <f ca="1">IFERROR(IF(AND(
  INDEX(Roadmap!$D:$K,MATCH($E113,Roadmap!$D:$D,0)+COUNTIF($E113:T113,"u")+COUNTIF($E113:T113,"t")+COUNTIF($E113:T113,"¶")+COUNTIF($E113:T113,"²")+COUNTIF($E113:T113,"µ")+COUNTIF($E113:T113,1),ColLivraison)=U$6,
  VLOOKUP($E113,INDIRECT("tri!"&amp; CHAR(64+ C0Col) &amp;":"&amp; CHAR(65+C0Col)),2,FALSE)&gt;COUNTIF($E113:T113,"u")+COUNTIF($E113:T113,"t")+COUNTIF($E113:T113,"¶")+COUNTIF($E113:T113,"²")+COUNTIF($E113:T113,"µ")+COUNTIF($E113:T113,1)),
HYPERLINK("#Roadmap!C"&amp; MATCH($E113,Roadmap!$D:$D,0)+COUNTIF($E113:T113,"u")+COUNTIF($E113:T113,"t"),
     INDEX(Roadmap!$D:$K,MATCH($E113,Roadmap!$D:$D,0)+COUNTIF($E113:T113,"u")+COUNTIF($E113:T113,"t")+COUNTIF($E113:T113,"¶")+COUNTIF($E113:T113,"²")+COUNTIF($E113:T113,"µ")+COUNTIF($E113:T113,1),ColTypeEcheance)),
  IF(LEN(T113)=1,
  IF(LEN(INDEX(Roadmap!$D:$K,MATCH($E113,Roadmap!$D:$D,0)-1+COUNTIF($E113:T113,"u")+COUNTIF($E113:T113,"t")+COUNTIF($E113:T113,"¶")+COUNTIF($E113:T113,"²")+COUNTIF($E113:T113,"µ")+COUNTIF($E113:T113,1),ColDescriptionCourte))&gt;1,
HYPERLINK("#Roadmap!C"&amp; MATCH($E113,Roadmap!$D:$D,0)+COUNTIF($E113:T113,"u")+COUNTIF($E113:T113,"t")+COUNTIF($E113:T113,"¶")+COUNTIF($E113:T113,"²")+COUNTIF($E113:T113,"µ")+COUNTIF($E113:T113,1)-1,INDEX(Roadmap!$D:$K,MATCH($E113,Roadmap!$D:$D,0)-1+COUNTIF($E113:T113,"u")+COUNTIF($E113:T113,"t")+COUNTIF($E113:T113,"¶")+COUNTIF($E113:T113,"²")+COUNTIF($E113:T113,"µ")+COUNTIF($E113:T113,1),ColDescriptionCourte)),""),
  "")),"")</f>
        <v/>
      </c>
      <c r="V113" s="40" t="str">
        <f ca="1">IFERROR(IF(AND(
  INDEX(Roadmap!$D:$K,MATCH($E113,Roadmap!$D:$D,0)+COUNTIF($E113:U113,"u")+COUNTIF($E113:U113,"t")+COUNTIF($E113:U113,"¶")+COUNTIF($E113:U113,"²")+COUNTIF($E113:U113,"µ")+COUNTIF($E113:U113,1),ColLivraison)=V$6,
  VLOOKUP($E113,INDIRECT("tri!"&amp; CHAR(64+ C0Col) &amp;":"&amp; CHAR(65+C0Col)),2,FALSE)&gt;COUNTIF($E113:U113,"u")+COUNTIF($E113:U113,"t")+COUNTIF($E113:U113,"¶")+COUNTIF($E113:U113,"²")+COUNTIF($E113:U113,"µ")+COUNTIF($E113:U113,1)),
HYPERLINK("#Roadmap!C"&amp; MATCH($E113,Roadmap!$D:$D,0)+COUNTIF($E113:U113,"u")+COUNTIF($E113:U113,"t"),
     INDEX(Roadmap!$D:$K,MATCH($E113,Roadmap!$D:$D,0)+COUNTIF($E113:U113,"u")+COUNTIF($E113:U113,"t")+COUNTIF($E113:U113,"¶")+COUNTIF($E113:U113,"²")+COUNTIF($E113:U113,"µ")+COUNTIF($E113:U113,1),ColTypeEcheance)),
  IF(LEN(U113)=1,
  IF(LEN(INDEX(Roadmap!$D:$K,MATCH($E113,Roadmap!$D:$D,0)-1+COUNTIF($E113:U113,"u")+COUNTIF($E113:U113,"t")+COUNTIF($E113:U113,"¶")+COUNTIF($E113:U113,"²")+COUNTIF($E113:U113,"µ")+COUNTIF($E113:U113,1),ColDescriptionCourte))&gt;1,
HYPERLINK("#Roadmap!C"&amp; MATCH($E113,Roadmap!$D:$D,0)+COUNTIF($E113:U113,"u")+COUNTIF($E113:U113,"t")+COUNTIF($E113:U113,"¶")+COUNTIF($E113:U113,"²")+COUNTIF($E113:U113,"µ")+COUNTIF($E113:U113,1)-1,INDEX(Roadmap!$D:$K,MATCH($E113,Roadmap!$D:$D,0)-1+COUNTIF($E113:U113,"u")+COUNTIF($E113:U113,"t")+COUNTIF($E113:U113,"¶")+COUNTIF($E113:U113,"²")+COUNTIF($E113:U113,"µ")+COUNTIF($E113:U113,1),ColDescriptionCourte)),""),
  "")),"")</f>
        <v/>
      </c>
      <c r="W113" s="40" t="str">
        <f ca="1">IFERROR(IF(AND(
  INDEX(Roadmap!$D:$K,MATCH($E113,Roadmap!$D:$D,0)+COUNTIF($E113:V113,"u")+COUNTIF($E113:V113,"t")+COUNTIF($E113:V113,"¶")+COUNTIF($E113:V113,"²")+COUNTIF($E113:V113,"µ")+COUNTIF($E113:V113,1),ColLivraison)=W$6,
  VLOOKUP($E113,INDIRECT("tri!"&amp; CHAR(64+ C0Col) &amp;":"&amp; CHAR(65+C0Col)),2,FALSE)&gt;COUNTIF($E113:V113,"u")+COUNTIF($E113:V113,"t")+COUNTIF($E113:V113,"¶")+COUNTIF($E113:V113,"²")+COUNTIF($E113:V113,"µ")+COUNTIF($E113:V113,1)),
HYPERLINK("#Roadmap!C"&amp; MATCH($E113,Roadmap!$D:$D,0)+COUNTIF($E113:V113,"u")+COUNTIF($E113:V113,"t"),
     INDEX(Roadmap!$D:$K,MATCH($E113,Roadmap!$D:$D,0)+COUNTIF($E113:V113,"u")+COUNTIF($E113:V113,"t")+COUNTIF($E113:V113,"¶")+COUNTIF($E113:V113,"²")+COUNTIF($E113:V113,"µ")+COUNTIF($E113:V113,1),ColTypeEcheance)),
  IF(LEN(V113)=1,
  IF(LEN(INDEX(Roadmap!$D:$K,MATCH($E113,Roadmap!$D:$D,0)-1+COUNTIF($E113:V113,"u")+COUNTIF($E113:V113,"t")+COUNTIF($E113:V113,"¶")+COUNTIF($E113:V113,"²")+COUNTIF($E113:V113,"µ")+COUNTIF($E113:V113,1),ColDescriptionCourte))&gt;1,
HYPERLINK("#Roadmap!C"&amp; MATCH($E113,Roadmap!$D:$D,0)+COUNTIF($E113:V113,"u")+COUNTIF($E113:V113,"t")+COUNTIF($E113:V113,"¶")+COUNTIF($E113:V113,"²")+COUNTIF($E113:V113,"µ")+COUNTIF($E113:V113,1)-1,INDEX(Roadmap!$D:$K,MATCH($E113,Roadmap!$D:$D,0)-1+COUNTIF($E113:V113,"u")+COUNTIF($E113:V113,"t")+COUNTIF($E113:V113,"¶")+COUNTIF($E113:V113,"²")+COUNTIF($E113:V113,"µ")+COUNTIF($E113:V113,1),ColDescriptionCourte)),""),
  "")),"")</f>
        <v/>
      </c>
      <c r="X113" s="40" t="str">
        <f ca="1">IFERROR(IF(AND(
  INDEX(Roadmap!$D:$K,MATCH($E113,Roadmap!$D:$D,0)+COUNTIF($E113:W113,"u")+COUNTIF($E113:W113,"t")+COUNTIF($E113:W113,"¶")+COUNTIF($E113:W113,"²")+COUNTIF($E113:W113,"µ")+COUNTIF($E113:W113,1),ColLivraison)=X$6,
  VLOOKUP($E113,INDIRECT("tri!"&amp; CHAR(64+ C0Col) &amp;":"&amp; CHAR(65+C0Col)),2,FALSE)&gt;COUNTIF($E113:W113,"u")+COUNTIF($E113:W113,"t")+COUNTIF($E113:W113,"¶")+COUNTIF($E113:W113,"²")+COUNTIF($E113:W113,"µ")+COUNTIF($E113:W113,1)),
HYPERLINK("#Roadmap!C"&amp; MATCH($E113,Roadmap!$D:$D,0)+COUNTIF($E113:W113,"u")+COUNTIF($E113:W113,"t"),
     INDEX(Roadmap!$D:$K,MATCH($E113,Roadmap!$D:$D,0)+COUNTIF($E113:W113,"u")+COUNTIF($E113:W113,"t")+COUNTIF($E113:W113,"¶")+COUNTIF($E113:W113,"²")+COUNTIF($E113:W113,"µ")+COUNTIF($E113:W113,1),ColTypeEcheance)),
  IF(LEN(W113)=1,
  IF(LEN(INDEX(Roadmap!$D:$K,MATCH($E113,Roadmap!$D:$D,0)-1+COUNTIF($E113:W113,"u")+COUNTIF($E113:W113,"t")+COUNTIF($E113:W113,"¶")+COUNTIF($E113:W113,"²")+COUNTIF($E113:W113,"µ")+COUNTIF($E113:W113,1),ColDescriptionCourte))&gt;1,
HYPERLINK("#Roadmap!C"&amp; MATCH($E113,Roadmap!$D:$D,0)+COUNTIF($E113:W113,"u")+COUNTIF($E113:W113,"t")+COUNTIF($E113:W113,"¶")+COUNTIF($E113:W113,"²")+COUNTIF($E113:W113,"µ")+COUNTIF($E113:W113,1)-1,INDEX(Roadmap!$D:$K,MATCH($E113,Roadmap!$D:$D,0)-1+COUNTIF($E113:W113,"u")+COUNTIF($E113:W113,"t")+COUNTIF($E113:W113,"¶")+COUNTIF($E113:W113,"²")+COUNTIF($E113:W113,"µ")+COUNTIF($E113:W113,1),ColDescriptionCourte)),""),
  "")),"")</f>
        <v/>
      </c>
      <c r="Y113" s="40" t="str">
        <f ca="1">IFERROR(IF(AND(
  INDEX(Roadmap!$D:$K,MATCH($E113,Roadmap!$D:$D,0)+COUNTIF($E113:X113,"u")+COUNTIF($E113:X113,"t")+COUNTIF($E113:X113,"¶")+COUNTIF($E113:X113,"²")+COUNTIF($E113:X113,"µ")+COUNTIF($E113:X113,1),ColLivraison)=Y$6,
  VLOOKUP($E113,INDIRECT("tri!"&amp; CHAR(64+ C0Col) &amp;":"&amp; CHAR(65+C0Col)),2,FALSE)&gt;COUNTIF($E113:X113,"u")+COUNTIF($E113:X113,"t")+COUNTIF($E113:X113,"¶")+COUNTIF($E113:X113,"²")+COUNTIF($E113:X113,"µ")+COUNTIF($E113:X113,1)),
HYPERLINK("#Roadmap!C"&amp; MATCH($E113,Roadmap!$D:$D,0)+COUNTIF($E113:X113,"u")+COUNTIF($E113:X113,"t"),
     INDEX(Roadmap!$D:$K,MATCH($E113,Roadmap!$D:$D,0)+COUNTIF($E113:X113,"u")+COUNTIF($E113:X113,"t")+COUNTIF($E113:X113,"¶")+COUNTIF($E113:X113,"²")+COUNTIF($E113:X113,"µ")+COUNTIF($E113:X113,1),ColTypeEcheance)),
  IF(LEN(X113)=1,
  IF(LEN(INDEX(Roadmap!$D:$K,MATCH($E113,Roadmap!$D:$D,0)-1+COUNTIF($E113:X113,"u")+COUNTIF($E113:X113,"t")+COUNTIF($E113:X113,"¶")+COUNTIF($E113:X113,"²")+COUNTIF($E113:X113,"µ")+COUNTIF($E113:X113,1),ColDescriptionCourte))&gt;1,
HYPERLINK("#Roadmap!C"&amp; MATCH($E113,Roadmap!$D:$D,0)+COUNTIF($E113:X113,"u")+COUNTIF($E113:X113,"t")+COUNTIF($E113:X113,"¶")+COUNTIF($E113:X113,"²")+COUNTIF($E113:X113,"µ")+COUNTIF($E113:X113,1)-1,INDEX(Roadmap!$D:$K,MATCH($E113,Roadmap!$D:$D,0)-1+COUNTIF($E113:X113,"u")+COUNTIF($E113:X113,"t")+COUNTIF($E113:X113,"¶")+COUNTIF($E113:X113,"²")+COUNTIF($E113:X113,"µ")+COUNTIF($E113:X113,1),ColDescriptionCourte)),""),
  "")),"")</f>
        <v/>
      </c>
      <c r="Z113" s="40" t="str">
        <f ca="1">IFERROR(IF(AND(
  INDEX(Roadmap!$D:$K,MATCH($E113,Roadmap!$D:$D,0)+COUNTIF($E113:Y113,"u")+COUNTIF($E113:Y113,"t")+COUNTIF($E113:Y113,"¶")+COUNTIF($E113:Y113,"²")+COUNTIF($E113:Y113,"µ")+COUNTIF($E113:Y113,1),ColLivraison)=Z$6,
  VLOOKUP($E113,INDIRECT("tri!"&amp; CHAR(64+ C0Col) &amp;":"&amp; CHAR(65+C0Col)),2,FALSE)&gt;COUNTIF($E113:Y113,"u")+COUNTIF($E113:Y113,"t")+COUNTIF($E113:Y113,"¶")+COUNTIF($E113:Y113,"²")+COUNTIF($E113:Y113,"µ")+COUNTIF($E113:Y113,1)),
HYPERLINK("#Roadmap!C"&amp; MATCH($E113,Roadmap!$D:$D,0)+COUNTIF($E113:Y113,"u")+COUNTIF($E113:Y113,"t"),
     INDEX(Roadmap!$D:$K,MATCH($E113,Roadmap!$D:$D,0)+COUNTIF($E113:Y113,"u")+COUNTIF($E113:Y113,"t")+COUNTIF($E113:Y113,"¶")+COUNTIF($E113:Y113,"²")+COUNTIF($E113:Y113,"µ")+COUNTIF($E113:Y113,1),ColTypeEcheance)),
  IF(LEN(Y113)=1,
  IF(LEN(INDEX(Roadmap!$D:$K,MATCH($E113,Roadmap!$D:$D,0)-1+COUNTIF($E113:Y113,"u")+COUNTIF($E113:Y113,"t")+COUNTIF($E113:Y113,"¶")+COUNTIF($E113:Y113,"²")+COUNTIF($E113:Y113,"µ")+COUNTIF($E113:Y113,1),ColDescriptionCourte))&gt;1,
HYPERLINK("#Roadmap!C"&amp; MATCH($E113,Roadmap!$D:$D,0)+COUNTIF($E113:Y113,"u")+COUNTIF($E113:Y113,"t")+COUNTIF($E113:Y113,"¶")+COUNTIF($E113:Y113,"²")+COUNTIF($E113:Y113,"µ")+COUNTIF($E113:Y113,1)-1,INDEX(Roadmap!$D:$K,MATCH($E113,Roadmap!$D:$D,0)-1+COUNTIF($E113:Y113,"u")+COUNTIF($E113:Y113,"t")+COUNTIF($E113:Y113,"¶")+COUNTIF($E113:Y113,"²")+COUNTIF($E113:Y113,"µ")+COUNTIF($E113:Y113,1),ColDescriptionCourte)),""),
  "")),"")</f>
        <v/>
      </c>
      <c r="AA113" s="40" t="str">
        <f ca="1">IFERROR(IF(AND(
  INDEX(Roadmap!$D:$K,MATCH($E113,Roadmap!$D:$D,0)+COUNTIF($E113:Z113,"u")+COUNTIF($E113:Z113,"t")+COUNTIF($E113:Z113,"¶")+COUNTIF($E113:Z113,"²")+COUNTIF($E113:Z113,"µ")+COUNTIF($E113:Z113,1),ColLivraison)=AA$6,
  VLOOKUP($E113,INDIRECT("tri!"&amp; CHAR(64+ C0Col) &amp;":"&amp; CHAR(65+C0Col)),2,FALSE)&gt;COUNTIF($E113:Z113,"u")+COUNTIF($E113:Z113,"t")+COUNTIF($E113:Z113,"¶")+COUNTIF($E113:Z113,"²")+COUNTIF($E113:Z113,"µ")+COUNTIF($E113:Z113,1)),
HYPERLINK("#Roadmap!C"&amp; MATCH($E113,Roadmap!$D:$D,0)+COUNTIF($E113:Z113,"u")+COUNTIF($E113:Z113,"t"),
     INDEX(Roadmap!$D:$K,MATCH($E113,Roadmap!$D:$D,0)+COUNTIF($E113:Z113,"u")+COUNTIF($E113:Z113,"t")+COUNTIF($E113:Z113,"¶")+COUNTIF($E113:Z113,"²")+COUNTIF($E113:Z113,"µ")+COUNTIF($E113:Z113,1),ColTypeEcheance)),
  IF(LEN(Z113)=1,
  IF(LEN(INDEX(Roadmap!$D:$K,MATCH($E113,Roadmap!$D:$D,0)-1+COUNTIF($E113:Z113,"u")+COUNTIF($E113:Z113,"t")+COUNTIF($E113:Z113,"¶")+COUNTIF($E113:Z113,"²")+COUNTIF($E113:Z113,"µ")+COUNTIF($E113:Z113,1),ColDescriptionCourte))&gt;1,
HYPERLINK("#Roadmap!C"&amp; MATCH($E113,Roadmap!$D:$D,0)+COUNTIF($E113:Z113,"u")+COUNTIF($E113:Z113,"t")+COUNTIF($E113:Z113,"¶")+COUNTIF($E113:Z113,"²")+COUNTIF($E113:Z113,"µ")+COUNTIF($E113:Z113,1)-1,INDEX(Roadmap!$D:$K,MATCH($E113,Roadmap!$D:$D,0)-1+COUNTIF($E113:Z113,"u")+COUNTIF($E113:Z113,"t")+COUNTIF($E113:Z113,"¶")+COUNTIF($E113:Z113,"²")+COUNTIF($E113:Z113,"µ")+COUNTIF($E113:Z113,1),ColDescriptionCourte)),""),
  "")),"")</f>
        <v/>
      </c>
      <c r="AB113" s="40" t="str">
        <f ca="1">IFERROR(IF(AND(
  INDEX(Roadmap!$D:$K,MATCH($E113,Roadmap!$D:$D,0)+COUNTIF($E113:AA113,"u")+COUNTIF($E113:AA113,"t")+COUNTIF($E113:AA113,"¶")+COUNTIF($E113:AA113,"²")+COUNTIF($E113:AA113,"µ")+COUNTIF($E113:AA113,1),ColLivraison)=AB$6,
  VLOOKUP($E113,INDIRECT("tri!"&amp; CHAR(64+ C0Col) &amp;":"&amp; CHAR(65+C0Col)),2,FALSE)&gt;COUNTIF($E113:AA113,"u")+COUNTIF($E113:AA113,"t")+COUNTIF($E113:AA113,"¶")+COUNTIF($E113:AA113,"²")+COUNTIF($E113:AA113,"µ")+COUNTIF($E113:AA113,1)),
HYPERLINK("#Roadmap!C"&amp; MATCH($E113,Roadmap!$D:$D,0)+COUNTIF($E113:AA113,"u")+COUNTIF($E113:AA113,"t"),
     INDEX(Roadmap!$D:$K,MATCH($E113,Roadmap!$D:$D,0)+COUNTIF($E113:AA113,"u")+COUNTIF($E113:AA113,"t")+COUNTIF($E113:AA113,"¶")+COUNTIF($E113:AA113,"²")+COUNTIF($E113:AA113,"µ")+COUNTIF($E113:AA113,1),ColTypeEcheance)),
  IF(LEN(AA113)=1,
  IF(LEN(INDEX(Roadmap!$D:$K,MATCH($E113,Roadmap!$D:$D,0)-1+COUNTIF($E113:AA113,"u")+COUNTIF($E113:AA113,"t")+COUNTIF($E113:AA113,"¶")+COUNTIF($E113:AA113,"²")+COUNTIF($E113:AA113,"µ")+COUNTIF($E113:AA113,1),ColDescriptionCourte))&gt;1,
HYPERLINK("#Roadmap!C"&amp; MATCH($E113,Roadmap!$D:$D,0)+COUNTIF($E113:AA113,"u")+COUNTIF($E113:AA113,"t")+COUNTIF($E113:AA113,"¶")+COUNTIF($E113:AA113,"²")+COUNTIF($E113:AA113,"µ")+COUNTIF($E113:AA113,1)-1,INDEX(Roadmap!$D:$K,MATCH($E113,Roadmap!$D:$D,0)-1+COUNTIF($E113:AA113,"u")+COUNTIF($E113:AA113,"t")+COUNTIF($E113:AA113,"¶")+COUNTIF($E113:AA113,"²")+COUNTIF($E113:AA113,"µ")+COUNTIF($E113:AA113,1),ColDescriptionCourte)),""),
  "")),"")</f>
        <v/>
      </c>
      <c r="AC113" s="40" t="str">
        <f ca="1">IFERROR(IF(AND(
  INDEX(Roadmap!$D:$K,MATCH($E113,Roadmap!$D:$D,0)+COUNTIF($E113:AB113,"u")+COUNTIF($E113:AB113,"t")+COUNTIF($E113:AB113,"¶")+COUNTIF($E113:AB113,"²")+COUNTIF($E113:AB113,"µ")+COUNTIF($E113:AB113,1),ColLivraison)=AC$6,
  VLOOKUP($E113,INDIRECT("tri!"&amp; CHAR(64+ C0Col) &amp;":"&amp; CHAR(65+C0Col)),2,FALSE)&gt;COUNTIF($E113:AB113,"u")+COUNTIF($E113:AB113,"t")+COUNTIF($E113:AB113,"¶")+COUNTIF($E113:AB113,"²")+COUNTIF($E113:AB113,"µ")+COUNTIF($E113:AB113,1)),
HYPERLINK("#Roadmap!C"&amp; MATCH($E113,Roadmap!$D:$D,0)+COUNTIF($E113:AB113,"u")+COUNTIF($E113:AB113,"t"),
     INDEX(Roadmap!$D:$K,MATCH($E113,Roadmap!$D:$D,0)+COUNTIF($E113:AB113,"u")+COUNTIF($E113:AB113,"t")+COUNTIF($E113:AB113,"¶")+COUNTIF($E113:AB113,"²")+COUNTIF($E113:AB113,"µ")+COUNTIF($E113:AB113,1),ColTypeEcheance)),
  IF(LEN(AB113)=1,
  IF(LEN(INDEX(Roadmap!$D:$K,MATCH($E113,Roadmap!$D:$D,0)-1+COUNTIF($E113:AB113,"u")+COUNTIF($E113:AB113,"t")+COUNTIF($E113:AB113,"¶")+COUNTIF($E113:AB113,"²")+COUNTIF($E113:AB113,"µ")+COUNTIF($E113:AB113,1),ColDescriptionCourte))&gt;1,
HYPERLINK("#Roadmap!C"&amp; MATCH($E113,Roadmap!$D:$D,0)+COUNTIF($E113:AB113,"u")+COUNTIF($E113:AB113,"t")+COUNTIF($E113:AB113,"¶")+COUNTIF($E113:AB113,"²")+COUNTIF($E113:AB113,"µ")+COUNTIF($E113:AB113,1)-1,INDEX(Roadmap!$D:$K,MATCH($E113,Roadmap!$D:$D,0)-1+COUNTIF($E113:AB113,"u")+COUNTIF($E113:AB113,"t")+COUNTIF($E113:AB113,"¶")+COUNTIF($E113:AB113,"²")+COUNTIF($E113:AB113,"µ")+COUNTIF($E113:AB113,1),ColDescriptionCourte)),""),
  "")),"")</f>
        <v/>
      </c>
      <c r="AD113" s="40" t="str">
        <f ca="1">IFERROR(IF(AND(
  INDEX(Roadmap!$D:$K,MATCH($E113,Roadmap!$D:$D,0)+COUNTIF($E113:AC113,"u")+COUNTIF($E113:AC113,"t")+COUNTIF($E113:AC113,"¶")+COUNTIF($E113:AC113,"²")+COUNTIF($E113:AC113,"µ")+COUNTIF($E113:AC113,1),ColLivraison)=AD$6,
  VLOOKUP($E113,INDIRECT("tri!"&amp; CHAR(64+ C0Col) &amp;":"&amp; CHAR(65+C0Col)),2,FALSE)&gt;COUNTIF($E113:AC113,"u")+COUNTIF($E113:AC113,"t")+COUNTIF($E113:AC113,"¶")+COUNTIF($E113:AC113,"²")+COUNTIF($E113:AC113,"µ")+COUNTIF($E113:AC113,1)),
HYPERLINK("#Roadmap!C"&amp; MATCH($E113,Roadmap!$D:$D,0)+COUNTIF($E113:AC113,"u")+COUNTIF($E113:AC113,"t"),
     INDEX(Roadmap!$D:$K,MATCH($E113,Roadmap!$D:$D,0)+COUNTIF($E113:AC113,"u")+COUNTIF($E113:AC113,"t")+COUNTIF($E113:AC113,"¶")+COUNTIF($E113:AC113,"²")+COUNTIF($E113:AC113,"µ")+COUNTIF($E113:AC113,1),ColTypeEcheance)),
  IF(LEN(AC113)=1,
  IF(LEN(INDEX(Roadmap!$D:$K,MATCH($E113,Roadmap!$D:$D,0)-1+COUNTIF($E113:AC113,"u")+COUNTIF($E113:AC113,"t")+COUNTIF($E113:AC113,"¶")+COUNTIF($E113:AC113,"²")+COUNTIF($E113:AC113,"µ")+COUNTIF($E113:AC113,1),ColDescriptionCourte))&gt;1,
HYPERLINK("#Roadmap!C"&amp; MATCH($E113,Roadmap!$D:$D,0)+COUNTIF($E113:AC113,"u")+COUNTIF($E113:AC113,"t")+COUNTIF($E113:AC113,"¶")+COUNTIF($E113:AC113,"²")+COUNTIF($E113:AC113,"µ")+COUNTIF($E113:AC113,1)-1,INDEX(Roadmap!$D:$K,MATCH($E113,Roadmap!$D:$D,0)-1+COUNTIF($E113:AC113,"u")+COUNTIF($E113:AC113,"t")+COUNTIF($E113:AC113,"¶")+COUNTIF($E113:AC113,"²")+COUNTIF($E113:AC113,"µ")+COUNTIF($E113:AC113,1),ColDescriptionCourte)),""),
  "")),"")</f>
        <v/>
      </c>
      <c r="AE113" s="40" t="str">
        <f ca="1">IFERROR(IF(AND(
  INDEX(Roadmap!$D:$K,MATCH($E113,Roadmap!$D:$D,0)+COUNTIF($E113:AD113,"u")+COUNTIF($E113:AD113,"t")+COUNTIF($E113:AD113,"¶")+COUNTIF($E113:AD113,"²")+COUNTIF($E113:AD113,"µ")+COUNTIF($E113:AD113,1),ColLivraison)=AE$6,
  VLOOKUP($E113,INDIRECT("tri!"&amp; CHAR(64+ C0Col) &amp;":"&amp; CHAR(65+C0Col)),2,FALSE)&gt;COUNTIF($E113:AD113,"u")+COUNTIF($E113:AD113,"t")+COUNTIF($E113:AD113,"¶")+COUNTIF($E113:AD113,"²")+COUNTIF($E113:AD113,"µ")+COUNTIF($E113:AD113,1)),
HYPERLINK("#Roadmap!C"&amp; MATCH($E113,Roadmap!$D:$D,0)+COUNTIF($E113:AD113,"u")+COUNTIF($E113:AD113,"t"),
     INDEX(Roadmap!$D:$K,MATCH($E113,Roadmap!$D:$D,0)+COUNTIF($E113:AD113,"u")+COUNTIF($E113:AD113,"t")+COUNTIF($E113:AD113,"¶")+COUNTIF($E113:AD113,"²")+COUNTIF($E113:AD113,"µ")+COUNTIF($E113:AD113,1),ColTypeEcheance)),
  IF(LEN(AD113)=1,
  IF(LEN(INDEX(Roadmap!$D:$K,MATCH($E113,Roadmap!$D:$D,0)-1+COUNTIF($E113:AD113,"u")+COUNTIF($E113:AD113,"t")+COUNTIF($E113:AD113,"¶")+COUNTIF($E113:AD113,"²")+COUNTIF($E113:AD113,"µ")+COUNTIF($E113:AD113,1),ColDescriptionCourte))&gt;1,
HYPERLINK("#Roadmap!C"&amp; MATCH($E113,Roadmap!$D:$D,0)+COUNTIF($E113:AD113,"u")+COUNTIF($E113:AD113,"t")+COUNTIF($E113:AD113,"¶")+COUNTIF($E113:AD113,"²")+COUNTIF($E113:AD113,"µ")+COUNTIF($E113:AD113,1)-1,INDEX(Roadmap!$D:$K,MATCH($E113,Roadmap!$D:$D,0)-1+COUNTIF($E113:AD113,"u")+COUNTIF($E113:AD113,"t")+COUNTIF($E113:AD113,"¶")+COUNTIF($E113:AD113,"²")+COUNTIF($E113:AD113,"µ")+COUNTIF($E113:AD113,1),ColDescriptionCourte)),""),
  "")),"")</f>
        <v/>
      </c>
      <c r="AF113" s="40" t="str">
        <f ca="1">IFERROR(IF(AND(
  INDEX(Roadmap!$D:$K,MATCH($E113,Roadmap!$D:$D,0)+COUNTIF($E113:AE113,"u")+COUNTIF($E113:AE113,"t")+COUNTIF($E113:AE113,"¶")+COUNTIF($E113:AE113,"²")+COUNTIF($E113:AE113,"µ")+COUNTIF($E113:AE113,1),ColLivraison)=AF$6,
  VLOOKUP($E113,INDIRECT("tri!"&amp; CHAR(64+ C0Col) &amp;":"&amp; CHAR(65+C0Col)),2,FALSE)&gt;COUNTIF($E113:AE113,"u")+COUNTIF($E113:AE113,"t")+COUNTIF($E113:AE113,"¶")+COUNTIF($E113:AE113,"²")+COUNTIF($E113:AE113,"µ")+COUNTIF($E113:AE113,1)),
HYPERLINK("#Roadmap!C"&amp; MATCH($E113,Roadmap!$D:$D,0)+COUNTIF($E113:AE113,"u")+COUNTIF($E113:AE113,"t"),
     INDEX(Roadmap!$D:$K,MATCH($E113,Roadmap!$D:$D,0)+COUNTIF($E113:AE113,"u")+COUNTIF($E113:AE113,"t")+COUNTIF($E113:AE113,"¶")+COUNTIF($E113:AE113,"²")+COUNTIF($E113:AE113,"µ")+COUNTIF($E113:AE113,1),ColTypeEcheance)),
  IF(LEN(AE113)=1,
  IF(LEN(INDEX(Roadmap!$D:$K,MATCH($E113,Roadmap!$D:$D,0)-1+COUNTIF($E113:AE113,"u")+COUNTIF($E113:AE113,"t")+COUNTIF($E113:AE113,"¶")+COUNTIF($E113:AE113,"²")+COUNTIF($E113:AE113,"µ")+COUNTIF($E113:AE113,1),ColDescriptionCourte))&gt;1,
HYPERLINK("#Roadmap!C"&amp; MATCH($E113,Roadmap!$D:$D,0)+COUNTIF($E113:AE113,"u")+COUNTIF($E113:AE113,"t")+COUNTIF($E113:AE113,"¶")+COUNTIF($E113:AE113,"²")+COUNTIF($E113:AE113,"µ")+COUNTIF($E113:AE113,1)-1,INDEX(Roadmap!$D:$K,MATCH($E113,Roadmap!$D:$D,0)-1+COUNTIF($E113:AE113,"u")+COUNTIF($E113:AE113,"t")+COUNTIF($E113:AE113,"¶")+COUNTIF($E113:AE113,"²")+COUNTIF($E113:AE113,"µ")+COUNTIF($E113:AE113,1),ColDescriptionCourte)),""),
  "")),"")</f>
        <v/>
      </c>
      <c r="AG113" s="40" t="str">
        <f ca="1">IFERROR(IF(AND(
  INDEX(Roadmap!$D:$K,MATCH($E113,Roadmap!$D:$D,0)+COUNTIF($E113:AF113,"u")+COUNTIF($E113:AF113,"t")+COUNTIF($E113:AF113,"¶")+COUNTIF($E113:AF113,"²")+COUNTIF($E113:AF113,"µ")+COUNTIF($E113:AF113,1),ColLivraison)=AG$6,
  VLOOKUP($E113,INDIRECT("tri!"&amp; CHAR(64+ C0Col) &amp;":"&amp; CHAR(65+C0Col)),2,FALSE)&gt;COUNTIF($E113:AF113,"u")+COUNTIF($E113:AF113,"t")+COUNTIF($E113:AF113,"¶")+COUNTIF($E113:AF113,"²")+COUNTIF($E113:AF113,"µ")+COUNTIF($E113:AF113,1)),
HYPERLINK("#Roadmap!C"&amp; MATCH($E113,Roadmap!$D:$D,0)+COUNTIF($E113:AF113,"u")+COUNTIF($E113:AF113,"t"),
     INDEX(Roadmap!$D:$K,MATCH($E113,Roadmap!$D:$D,0)+COUNTIF($E113:AF113,"u")+COUNTIF($E113:AF113,"t")+COUNTIF($E113:AF113,"¶")+COUNTIF($E113:AF113,"²")+COUNTIF($E113:AF113,"µ")+COUNTIF($E113:AF113,1),ColTypeEcheance)),
  IF(LEN(AF113)=1,
  IF(LEN(INDEX(Roadmap!$D:$K,MATCH($E113,Roadmap!$D:$D,0)-1+COUNTIF($E113:AF113,"u")+COUNTIF($E113:AF113,"t")+COUNTIF($E113:AF113,"¶")+COUNTIF($E113:AF113,"²")+COUNTIF($E113:AF113,"µ")+COUNTIF($E113:AF113,1),ColDescriptionCourte))&gt;1,
HYPERLINK("#Roadmap!C"&amp; MATCH($E113,Roadmap!$D:$D,0)+COUNTIF($E113:AF113,"u")+COUNTIF($E113:AF113,"t")+COUNTIF($E113:AF113,"¶")+COUNTIF($E113:AF113,"²")+COUNTIF($E113:AF113,"µ")+COUNTIF($E113:AF113,1)-1,INDEX(Roadmap!$D:$K,MATCH($E113,Roadmap!$D:$D,0)-1+COUNTIF($E113:AF113,"u")+COUNTIF($E113:AF113,"t")+COUNTIF($E113:AF113,"¶")+COUNTIF($E113:AF113,"²")+COUNTIF($E113:AF113,"µ")+COUNTIF($E113:AF113,1),ColDescriptionCourte)),""),
  "")),"")</f>
        <v/>
      </c>
      <c r="AH113" s="40" t="str">
        <f ca="1">IFERROR(IF(AND(
  INDEX(Roadmap!$D:$K,MATCH($E113,Roadmap!$D:$D,0)+COUNTIF($E113:AG113,"u")+COUNTIF($E113:AG113,"t")+COUNTIF($E113:AG113,1),ColLivraison)=AH$6,
  VLOOKUP($E113,INDIRECT("tri!"&amp; CHAR(64+ C0Col) &amp;":"&amp; CHAR(65+C0Col)),2,FALSE)&gt;COUNTIF($E113:AG113,"u")+COUNTIF($E113:AG113,"t")+COUNTIF($E113:AG113,1)),
HYPERLINK("#Roadmap!C"&amp; MATCH($E113,Roadmap!$D:$D,0)+COUNTIF($E113:AG113,"u")+COUNTIF($E113:AG113,"t"),
     INDEX(Roadmap!$D:$K,MATCH($E113,Roadmap!$D:$D,0)+COUNTIF($E113:AG113,"u")+COUNTIF($E113:AG113,"t")+COUNTIF($E113:AG113,1),ColTypeEcheance)),
  IF(OR(AG113="u",AG113="t",AG113=1),
  IF(LEN(INDEX(Roadmap!$D:$K,MATCH($E113,Roadmap!$D:$D,0)-1+COUNTIF($E113:AG113,"u")+COUNTIF($E113:AG113,"t")+COUNTIF($E113:AG113,1),ColDescriptionCourte))&gt;1,
HYPERLINK("#Roadmap!C"&amp; MATCH($E113,Roadmap!$D:$D,0)+COUNTIF($E113:AG113,"u")+COUNTIF($E113:AG113,"t")+COUNTIF($E113:AG113,1)-1,INDEX(Roadmap!$D:$K,MATCH($E113,Roadmap!$D:$D,0)-1+COUNTIF($E113:AG113,"u")+COUNTIF($E113:AG113,"t")+COUNTIF($E113:AG113,1),ColDescriptionCourte)),""),
  "")),"")</f>
        <v/>
      </c>
      <c r="AI113" s="40"/>
      <c r="AJ113" s="40"/>
      <c r="AK113" s="40"/>
      <c r="AL113" s="40"/>
      <c r="AM113" s="40"/>
    </row>
    <row r="114" spans="4:39" ht="14.1" customHeight="1">
      <c r="D114" s="20" t="str">
        <f t="shared" ca="1" si="29"/>
        <v/>
      </c>
      <c r="E114" s="53" t="str">
        <f t="shared" ca="1" si="30"/>
        <v/>
      </c>
      <c r="F114" s="39" t="str">
        <f ca="1">IFERROR(IF(AND(
  INDEX(Roadmap!$D:$K,MATCH($E114,Roadmap!$D:$D,0)+COUNTIF($E114:E114,"u")+COUNTIF($E114:E114,"t")+COUNTIF($E114:E114,"¶")+COUNTIF($E114:E114,"²")+COUNTIF($E114:E114,"µ")+COUNTIF($E114:E114,1),ColLivraison)=F$6,
  VLOOKUP($E114,INDIRECT("tri!"&amp; CHAR(64+ C0Col) &amp;":"&amp; CHAR(65+C0Col)),2,FALSE)&gt;COUNTIF($E114:E114,"u")+COUNTIF($E114:E114,"t")+COUNTIF($E114:E114,"¶")+COUNTIF($E114:E114,"²")+COUNTIF($E114:E114,"µ")+COUNTIF($E114:E114,1)),
HYPERLINK("#Roadmap!C"&amp; MATCH($E114,Roadmap!$D:$D,0)+COUNTIF($E114:E114,"u")+COUNTIF($E114:E114,"t"),
     INDEX(Roadmap!$D:$K,MATCH($E114,Roadmap!$D:$D,0)+COUNTIF($E114:E114,"u")+COUNTIF($E114:E114,"t")+COUNTIF($E114:E114,"¶")+COUNTIF($E114:E114,"²")+COUNTIF($E114:E114,"µ")+COUNTIF($E114:E114,1),ColTypeEcheance)),
  IF(LEN(E114)=1,
  IF(LEN(INDEX(Roadmap!$D:$K,MATCH($E114,Roadmap!$D:$D,0)-1+COUNTIF($E114:E114,"u")+COUNTIF($E114:E114,"t")+COUNTIF($E114:E114,"¶")+COUNTIF($E114:E114,"²")+COUNTIF($E114:E114,"µ")+COUNTIF($E114:E114,1),ColDescriptionCourte))&gt;1,
HYPERLINK("#Roadmap!C"&amp; MATCH($E114,Roadmap!$D:$D,0)+COUNTIF($E114:E114,"u")+COUNTIF($E114:E114,"t")+COUNTIF($E114:E114,"¶")+COUNTIF($E114:E114,"²")+COUNTIF($E114:E114,"µ")+COUNTIF($E114:E114,1)-1,INDEX(Roadmap!$D:$K,MATCH($E114,Roadmap!$D:$D,0)-1+COUNTIF($E114:E114,"u")+COUNTIF($E114:E114,"t")+COUNTIF($E114:E114,"¶")+COUNTIF($E114:E114,"²")+COUNTIF($E114:E114,"µ")+COUNTIF($E114:E114,1),ColDescriptionCourte)),""),
  "")),"")</f>
        <v/>
      </c>
      <c r="G114" s="40" t="str">
        <f ca="1">IFERROR(IF(AND(
  INDEX(Roadmap!$D:$K,MATCH($E114,Roadmap!$D:$D,0)+COUNTIF($E114:F114,"u")+COUNTIF($E114:F114,"t")+COUNTIF($E114:F114,"¶")+COUNTIF($E114:F114,"²")+COUNTIF($E114:F114,"µ")+COUNTIF($E114:F114,1),ColLivraison)=G$6,
  VLOOKUP($E114,INDIRECT("tri!"&amp; CHAR(64+ C0Col) &amp;":"&amp; CHAR(65+C0Col)),2,FALSE)&gt;COUNTIF($E114:F114,"u")+COUNTIF($E114:F114,"t")+COUNTIF($E114:F114,"¶")+COUNTIF($E114:F114,"²")+COUNTIF($E114:F114,"µ")+COUNTIF($E114:F114,1)),
HYPERLINK("#Roadmap!C"&amp; MATCH($E114,Roadmap!$D:$D,0)+COUNTIF($E114:F114,"u")+COUNTIF($E114:F114,"t"),
     INDEX(Roadmap!$D:$K,MATCH($E114,Roadmap!$D:$D,0)+COUNTIF($E114:F114,"u")+COUNTIF($E114:F114,"t")+COUNTIF($E114:F114,"¶")+COUNTIF($E114:F114,"²")+COUNTIF($E114:F114,"µ")+COUNTIF($E114:F114,1),ColTypeEcheance)),
  IF(LEN(F114)=1,
  IF(LEN(INDEX(Roadmap!$D:$K,MATCH($E114,Roadmap!$D:$D,0)-1+COUNTIF($E114:F114,"u")+COUNTIF($E114:F114,"t")+COUNTIF($E114:F114,"¶")+COUNTIF($E114:F114,"²")+COUNTIF($E114:F114,"µ")+COUNTIF($E114:F114,1),ColDescriptionCourte))&gt;1,
HYPERLINK("#Roadmap!C"&amp; MATCH($E114,Roadmap!$D:$D,0)+COUNTIF($E114:F114,"u")+COUNTIF($E114:F114,"t")+COUNTIF($E114:F114,"¶")+COUNTIF($E114:F114,"²")+COUNTIF($E114:F114,"µ")+COUNTIF($E114:F114,1)-1,INDEX(Roadmap!$D:$K,MATCH($E114,Roadmap!$D:$D,0)-1+COUNTIF($E114:F114,"u")+COUNTIF($E114:F114,"t")+COUNTIF($E114:F114,"¶")+COUNTIF($E114:F114,"²")+COUNTIF($E114:F114,"µ")+COUNTIF($E114:F114,1),ColDescriptionCourte)),""),
  "")),"")</f>
        <v/>
      </c>
      <c r="H114" s="40" t="str">
        <f ca="1">IFERROR(IF(AND(
  INDEX(Roadmap!$D:$K,MATCH($E114,Roadmap!$D:$D,0)+COUNTIF($E114:G114,"u")+COUNTIF($E114:G114,"t")+COUNTIF($E114:G114,"¶")+COUNTIF($E114:G114,"²")+COUNTIF($E114:G114,"µ")+COUNTIF($E114:G114,1),ColLivraison)=H$6,
  VLOOKUP($E114,INDIRECT("tri!"&amp; CHAR(64+ C0Col) &amp;":"&amp; CHAR(65+C0Col)),2,FALSE)&gt;COUNTIF($E114:G114,"u")+COUNTIF($E114:G114,"t")+COUNTIF($E114:G114,"¶")+COUNTIF($E114:G114,"²")+COUNTIF($E114:G114,"µ")+COUNTIF($E114:G114,1)),
HYPERLINK("#Roadmap!C"&amp; MATCH($E114,Roadmap!$D:$D,0)+COUNTIF($E114:G114,"u")+COUNTIF($E114:G114,"t"),
     INDEX(Roadmap!$D:$K,MATCH($E114,Roadmap!$D:$D,0)+COUNTIF($E114:G114,"u")+COUNTIF($E114:G114,"t")+COUNTIF($E114:G114,"¶")+COUNTIF($E114:G114,"²")+COUNTIF($E114:G114,"µ")+COUNTIF($E114:G114,1),ColTypeEcheance)),
  IF(LEN(G114)=1,
  IF(LEN(INDEX(Roadmap!$D:$K,MATCH($E114,Roadmap!$D:$D,0)-1+COUNTIF($E114:G114,"u")+COUNTIF($E114:G114,"t")+COUNTIF($E114:G114,"¶")+COUNTIF($E114:G114,"²")+COUNTIF($E114:G114,"µ")+COUNTIF($E114:G114,1),ColDescriptionCourte))&gt;1,
HYPERLINK("#Roadmap!C"&amp; MATCH($E114,Roadmap!$D:$D,0)+COUNTIF($E114:G114,"u")+COUNTIF($E114:G114,"t")+COUNTIF($E114:G114,"¶")+COUNTIF($E114:G114,"²")+COUNTIF($E114:G114,"µ")+COUNTIF($E114:G114,1)-1,INDEX(Roadmap!$D:$K,MATCH($E114,Roadmap!$D:$D,0)-1+COUNTIF($E114:G114,"u")+COUNTIF($E114:G114,"t")+COUNTIF($E114:G114,"¶")+COUNTIF($E114:G114,"²")+COUNTIF($E114:G114,"µ")+COUNTIF($E114:G114,1),ColDescriptionCourte)),""),
  "")),"")</f>
        <v/>
      </c>
      <c r="I114" s="40" t="str">
        <f ca="1">IFERROR(IF(AND(
  INDEX(Roadmap!$D:$K,MATCH($E114,Roadmap!$D:$D,0)+COUNTIF($E114:H114,"u")+COUNTIF($E114:H114,"t")+COUNTIF($E114:H114,"¶")+COUNTIF($E114:H114,"²")+COUNTIF($E114:H114,"µ")+COUNTIF($E114:H114,1),ColLivraison)=I$6,
  VLOOKUP($E114,INDIRECT("tri!"&amp; CHAR(64+ C0Col) &amp;":"&amp; CHAR(65+C0Col)),2,FALSE)&gt;COUNTIF($E114:H114,"u")+COUNTIF($E114:H114,"t")+COUNTIF($E114:H114,"¶")+COUNTIF($E114:H114,"²")+COUNTIF($E114:H114,"µ")+COUNTIF($E114:H114,1)),
HYPERLINK("#Roadmap!C"&amp; MATCH($E114,Roadmap!$D:$D,0)+COUNTIF($E114:H114,"u")+COUNTIF($E114:H114,"t"),
     INDEX(Roadmap!$D:$K,MATCH($E114,Roadmap!$D:$D,0)+COUNTIF($E114:H114,"u")+COUNTIF($E114:H114,"t")+COUNTIF($E114:H114,"¶")+COUNTIF($E114:H114,"²")+COUNTIF($E114:H114,"µ")+COUNTIF($E114:H114,1),ColTypeEcheance)),
  IF(LEN(H114)=1,
  IF(LEN(INDEX(Roadmap!$D:$K,MATCH($E114,Roadmap!$D:$D,0)-1+COUNTIF($E114:H114,"u")+COUNTIF($E114:H114,"t")+COUNTIF($E114:H114,"¶")+COUNTIF($E114:H114,"²")+COUNTIF($E114:H114,"µ")+COUNTIF($E114:H114,1),ColDescriptionCourte))&gt;1,
HYPERLINK("#Roadmap!C"&amp; MATCH($E114,Roadmap!$D:$D,0)+COUNTIF($E114:H114,"u")+COUNTIF($E114:H114,"t")+COUNTIF($E114:H114,"¶")+COUNTIF($E114:H114,"²")+COUNTIF($E114:H114,"µ")+COUNTIF($E114:H114,1)-1,INDEX(Roadmap!$D:$K,MATCH($E114,Roadmap!$D:$D,0)-1+COUNTIF($E114:H114,"u")+COUNTIF($E114:H114,"t")+COUNTIF($E114:H114,"¶")+COUNTIF($E114:H114,"²")+COUNTIF($E114:H114,"µ")+COUNTIF($E114:H114,1),ColDescriptionCourte)),""),
  "")),"")</f>
        <v/>
      </c>
      <c r="J114" s="40" t="str">
        <f ca="1">IFERROR(IF(AND(
  INDEX(Roadmap!$D:$K,MATCH($E114,Roadmap!$D:$D,0)+COUNTIF($E114:I114,"u")+COUNTIF($E114:I114,"t")+COUNTIF($E114:I114,"¶")+COUNTIF($E114:I114,"²")+COUNTIF($E114:I114,"µ")+COUNTIF($E114:I114,1),ColLivraison)=J$6,
  VLOOKUP($E114,INDIRECT("tri!"&amp; CHAR(64+ C0Col) &amp;":"&amp; CHAR(65+C0Col)),2,FALSE)&gt;COUNTIF($E114:I114,"u")+COUNTIF($E114:I114,"t")+COUNTIF($E114:I114,"¶")+COUNTIF($E114:I114,"²")+COUNTIF($E114:I114,"µ")+COUNTIF($E114:I114,1)),
HYPERLINK("#Roadmap!C"&amp; MATCH($E114,Roadmap!$D:$D,0)+COUNTIF($E114:I114,"u")+COUNTIF($E114:I114,"t"),
     INDEX(Roadmap!$D:$K,MATCH($E114,Roadmap!$D:$D,0)+COUNTIF($E114:I114,"u")+COUNTIF($E114:I114,"t")+COUNTIF($E114:I114,"¶")+COUNTIF($E114:I114,"²")+COUNTIF($E114:I114,"µ")+COUNTIF($E114:I114,1),ColTypeEcheance)),
  IF(LEN(I114)=1,
  IF(LEN(INDEX(Roadmap!$D:$K,MATCH($E114,Roadmap!$D:$D,0)-1+COUNTIF($E114:I114,"u")+COUNTIF($E114:I114,"t")+COUNTIF($E114:I114,"¶")+COUNTIF($E114:I114,"²")+COUNTIF($E114:I114,"µ")+COUNTIF($E114:I114,1),ColDescriptionCourte))&gt;1,
HYPERLINK("#Roadmap!C"&amp; MATCH($E114,Roadmap!$D:$D,0)+COUNTIF($E114:I114,"u")+COUNTIF($E114:I114,"t")+COUNTIF($E114:I114,"¶")+COUNTIF($E114:I114,"²")+COUNTIF($E114:I114,"µ")+COUNTIF($E114:I114,1)-1,INDEX(Roadmap!$D:$K,MATCH($E114,Roadmap!$D:$D,0)-1+COUNTIF($E114:I114,"u")+COUNTIF($E114:I114,"t")+COUNTIF($E114:I114,"¶")+COUNTIF($E114:I114,"²")+COUNTIF($E114:I114,"µ")+COUNTIF($E114:I114,1),ColDescriptionCourte)),""),
  "")),"")</f>
        <v/>
      </c>
      <c r="K114" s="40" t="str">
        <f ca="1">IFERROR(IF(AND(
  INDEX(Roadmap!$D:$K,MATCH($E114,Roadmap!$D:$D,0)+COUNTIF($E114:J114,"u")+COUNTIF($E114:J114,"t")+COUNTIF($E114:J114,"¶")+COUNTIF($E114:J114,"²")+COUNTIF($E114:J114,"µ")+COUNTIF($E114:J114,1),ColLivraison)=K$6,
  VLOOKUP($E114,INDIRECT("tri!"&amp; CHAR(64+ C0Col) &amp;":"&amp; CHAR(65+C0Col)),2,FALSE)&gt;COUNTIF($E114:J114,"u")+COUNTIF($E114:J114,"t")+COUNTIF($E114:J114,"¶")+COUNTIF($E114:J114,"²")+COUNTIF($E114:J114,"µ")+COUNTIF($E114:J114,1)),
HYPERLINK("#Roadmap!C"&amp; MATCH($E114,Roadmap!$D:$D,0)+COUNTIF($E114:J114,"u")+COUNTIF($E114:J114,"t"),
     INDEX(Roadmap!$D:$K,MATCH($E114,Roadmap!$D:$D,0)+COUNTIF($E114:J114,"u")+COUNTIF($E114:J114,"t")+COUNTIF($E114:J114,"¶")+COUNTIF($E114:J114,"²")+COUNTIF($E114:J114,"µ")+COUNTIF($E114:J114,1),ColTypeEcheance)),
  IF(LEN(J114)=1,
  IF(LEN(INDEX(Roadmap!$D:$K,MATCH($E114,Roadmap!$D:$D,0)-1+COUNTIF($E114:J114,"u")+COUNTIF($E114:J114,"t")+COUNTIF($E114:J114,"¶")+COUNTIF($E114:J114,"²")+COUNTIF($E114:J114,"µ")+COUNTIF($E114:J114,1),ColDescriptionCourte))&gt;1,
HYPERLINK("#Roadmap!C"&amp; MATCH($E114,Roadmap!$D:$D,0)+COUNTIF($E114:J114,"u")+COUNTIF($E114:J114,"t")+COUNTIF($E114:J114,"¶")+COUNTIF($E114:J114,"²")+COUNTIF($E114:J114,"µ")+COUNTIF($E114:J114,1)-1,INDEX(Roadmap!$D:$K,MATCH($E114,Roadmap!$D:$D,0)-1+COUNTIF($E114:J114,"u")+COUNTIF($E114:J114,"t")+COUNTIF($E114:J114,"¶")+COUNTIF($E114:J114,"²")+COUNTIF($E114:J114,"µ")+COUNTIF($E114:J114,1),ColDescriptionCourte)),""),
  "")),"")</f>
        <v/>
      </c>
      <c r="L114" s="39" t="str">
        <f ca="1">IFERROR(IF(AND(
  INDEX(Roadmap!$D:$K,MATCH($E114,Roadmap!$D:$D,0)+COUNTIF($E114:K114,"u")+COUNTIF($E114:K114,"t")+COUNTIF($E114:K114,"¶")+COUNTIF($E114:K114,"²")+COUNTIF($E114:K114,"µ")+COUNTIF($E114:K114,1),ColLivraison)=L$6,
  VLOOKUP($E114,INDIRECT("tri!"&amp; CHAR(64+ C0Col) &amp;":"&amp; CHAR(65+C0Col)),2,FALSE)&gt;COUNTIF($E114:K114,"u")+COUNTIF($E114:K114,"t")+COUNTIF($E114:K114,"¶")+COUNTIF($E114:K114,"²")+COUNTIF($E114:K114,"µ")+COUNTIF($E114:K114,1)),
HYPERLINK("#Roadmap!C"&amp; MATCH($E114,Roadmap!$D:$D,0)+COUNTIF($E114:K114,"u")+COUNTIF($E114:K114,"t"),
     INDEX(Roadmap!$D:$K,MATCH($E114,Roadmap!$D:$D,0)+COUNTIF($E114:K114,"u")+COUNTIF($E114:K114,"t")+COUNTIF($E114:K114,"¶")+COUNTIF($E114:K114,"²")+COUNTIF($E114:K114,"µ")+COUNTIF($E114:K114,1),ColTypeEcheance)),
  IF(LEN(K114)=1,
  IF(LEN(INDEX(Roadmap!$D:$K,MATCH($E114,Roadmap!$D:$D,0)-1+COUNTIF($E114:K114,"u")+COUNTIF($E114:K114,"t")+COUNTIF($E114:K114,"¶")+COUNTIF($E114:K114,"²")+COUNTIF($E114:K114,"µ")+COUNTIF($E114:K114,1),ColDescriptionCourte))&gt;1,
HYPERLINK("#Roadmap!C"&amp; MATCH($E114,Roadmap!$D:$D,0)+COUNTIF($E114:K114,"u")+COUNTIF($E114:K114,"t")+COUNTIF($E114:K114,"¶")+COUNTIF($E114:K114,"²")+COUNTIF($E114:K114,"µ")+COUNTIF($E114:K114,1)-1,INDEX(Roadmap!$D:$K,MATCH($E114,Roadmap!$D:$D,0)-1+COUNTIF($E114:K114,"u")+COUNTIF($E114:K114,"t")+COUNTIF($E114:K114,"¶")+COUNTIF($E114:K114,"²")+COUNTIF($E114:K114,"µ")+COUNTIF($E114:K114,1),ColDescriptionCourte)),""),
  "")),"")</f>
        <v/>
      </c>
      <c r="M114" s="40" t="str">
        <f ca="1">IFERROR(IF(AND(
  INDEX(Roadmap!$D:$K,MATCH($E114,Roadmap!$D:$D,0)+COUNTIF($E114:L114,"u")+COUNTIF($E114:L114,"t")+COUNTIF($E114:L114,"¶")+COUNTIF($E114:L114,"²")+COUNTIF($E114:L114,"µ")+COUNTIF($E114:L114,1),ColLivraison)=M$6,
  VLOOKUP($E114,INDIRECT("tri!"&amp; CHAR(64+ C0Col) &amp;":"&amp; CHAR(65+C0Col)),2,FALSE)&gt;COUNTIF($E114:L114,"u")+COUNTIF($E114:L114,"t")+COUNTIF($E114:L114,"¶")+COUNTIF($E114:L114,"²")+COUNTIF($E114:L114,"µ")+COUNTIF($E114:L114,1)),
HYPERLINK("#Roadmap!C"&amp; MATCH($E114,Roadmap!$D:$D,0)+COUNTIF($E114:L114,"u")+COUNTIF($E114:L114,"t"),
     INDEX(Roadmap!$D:$K,MATCH($E114,Roadmap!$D:$D,0)+COUNTIF($E114:L114,"u")+COUNTIF($E114:L114,"t")+COUNTIF($E114:L114,"¶")+COUNTIF($E114:L114,"²")+COUNTIF($E114:L114,"µ")+COUNTIF($E114:L114,1),ColTypeEcheance)),
  IF(LEN(L114)=1,
  IF(LEN(INDEX(Roadmap!$D:$K,MATCH($E114,Roadmap!$D:$D,0)-1+COUNTIF($E114:L114,"u")+COUNTIF($E114:L114,"t")+COUNTIF($E114:L114,"¶")+COUNTIF($E114:L114,"²")+COUNTIF($E114:L114,"µ")+COUNTIF($E114:L114,1),ColDescriptionCourte))&gt;1,
HYPERLINK("#Roadmap!C"&amp; MATCH($E114,Roadmap!$D:$D,0)+COUNTIF($E114:L114,"u")+COUNTIF($E114:L114,"t")+COUNTIF($E114:L114,"¶")+COUNTIF($E114:L114,"²")+COUNTIF($E114:L114,"µ")+COUNTIF($E114:L114,1)-1,INDEX(Roadmap!$D:$K,MATCH($E114,Roadmap!$D:$D,0)-1+COUNTIF($E114:L114,"u")+COUNTIF($E114:L114,"t")+COUNTIF($E114:L114,"¶")+COUNTIF($E114:L114,"²")+COUNTIF($E114:L114,"µ")+COUNTIF($E114:L114,1),ColDescriptionCourte)),""),
  "")),"")</f>
        <v/>
      </c>
      <c r="N114" s="40" t="str">
        <f ca="1">IFERROR(IF(AND(
  INDEX(Roadmap!$D:$K,MATCH($E114,Roadmap!$D:$D,0)+COUNTIF($E114:M114,"u")+COUNTIF($E114:M114,"t")+COUNTIF($E114:M114,"¶")+COUNTIF($E114:M114,"²")+COUNTIF($E114:M114,"µ")+COUNTIF($E114:M114,1),ColLivraison)=N$6,
  VLOOKUP($E114,INDIRECT("tri!"&amp; CHAR(64+ C0Col) &amp;":"&amp; CHAR(65+C0Col)),2,FALSE)&gt;COUNTIF($E114:M114,"u")+COUNTIF($E114:M114,"t")+COUNTIF($E114:M114,"¶")+COUNTIF($E114:M114,"²")+COUNTIF($E114:M114,"µ")+COUNTIF($E114:M114,1)),
HYPERLINK("#Roadmap!C"&amp; MATCH($E114,Roadmap!$D:$D,0)+COUNTIF($E114:M114,"u")+COUNTIF($E114:M114,"t"),
     INDEX(Roadmap!$D:$K,MATCH($E114,Roadmap!$D:$D,0)+COUNTIF($E114:M114,"u")+COUNTIF($E114:M114,"t")+COUNTIF($E114:M114,"¶")+COUNTIF($E114:M114,"²")+COUNTIF($E114:M114,"µ")+COUNTIF($E114:M114,1),ColTypeEcheance)),
  IF(LEN(M114)=1,
  IF(LEN(INDEX(Roadmap!$D:$K,MATCH($E114,Roadmap!$D:$D,0)-1+COUNTIF($E114:M114,"u")+COUNTIF($E114:M114,"t")+COUNTIF($E114:M114,"¶")+COUNTIF($E114:M114,"²")+COUNTIF($E114:M114,"µ")+COUNTIF($E114:M114,1),ColDescriptionCourte))&gt;1,
HYPERLINK("#Roadmap!C"&amp; MATCH($E114,Roadmap!$D:$D,0)+COUNTIF($E114:M114,"u")+COUNTIF($E114:M114,"t")+COUNTIF($E114:M114,"¶")+COUNTIF($E114:M114,"²")+COUNTIF($E114:M114,"µ")+COUNTIF($E114:M114,1)-1,INDEX(Roadmap!$D:$K,MATCH($E114,Roadmap!$D:$D,0)-1+COUNTIF($E114:M114,"u")+COUNTIF($E114:M114,"t")+COUNTIF($E114:M114,"¶")+COUNTIF($E114:M114,"²")+COUNTIF($E114:M114,"µ")+COUNTIF($E114:M114,1),ColDescriptionCourte)),""),
  "")),"")</f>
        <v/>
      </c>
      <c r="O114" s="40" t="str">
        <f ca="1">IFERROR(IF(AND(
  INDEX(Roadmap!$D:$K,MATCH($E114,Roadmap!$D:$D,0)+COUNTIF($E114:N114,"u")+COUNTIF($E114:N114,"t")+COUNTIF($E114:N114,"¶")+COUNTIF($E114:N114,"²")+COUNTIF($E114:N114,"µ")+COUNTIF($E114:N114,1),ColLivraison)=O$6,
  VLOOKUP($E114,INDIRECT("tri!"&amp; CHAR(64+ C0Col) &amp;":"&amp; CHAR(65+C0Col)),2,FALSE)&gt;COUNTIF($E114:N114,"u")+COUNTIF($E114:N114,"t")+COUNTIF($E114:N114,"¶")+COUNTIF($E114:N114,"²")+COUNTIF($E114:N114,"µ")+COUNTIF($E114:N114,1)),
HYPERLINK("#Roadmap!C"&amp; MATCH($E114,Roadmap!$D:$D,0)+COUNTIF($E114:N114,"u")+COUNTIF($E114:N114,"t"),
     INDEX(Roadmap!$D:$K,MATCH($E114,Roadmap!$D:$D,0)+COUNTIF($E114:N114,"u")+COUNTIF($E114:N114,"t")+COUNTIF($E114:N114,"¶")+COUNTIF($E114:N114,"²")+COUNTIF($E114:N114,"µ")+COUNTIF($E114:N114,1),ColTypeEcheance)),
  IF(LEN(N114)=1,
  IF(LEN(INDEX(Roadmap!$D:$K,MATCH($E114,Roadmap!$D:$D,0)-1+COUNTIF($E114:N114,"u")+COUNTIF($E114:N114,"t")+COUNTIF($E114:N114,"¶")+COUNTIF($E114:N114,"²")+COUNTIF($E114:N114,"µ")+COUNTIF($E114:N114,1),ColDescriptionCourte))&gt;1,
HYPERLINK("#Roadmap!C"&amp; MATCH($E114,Roadmap!$D:$D,0)+COUNTIF($E114:N114,"u")+COUNTIF($E114:N114,"t")+COUNTIF($E114:N114,"¶")+COUNTIF($E114:N114,"²")+COUNTIF($E114:N114,"µ")+COUNTIF($E114:N114,1)-1,INDEX(Roadmap!$D:$K,MATCH($E114,Roadmap!$D:$D,0)-1+COUNTIF($E114:N114,"u")+COUNTIF($E114:N114,"t")+COUNTIF($E114:N114,"¶")+COUNTIF($E114:N114,"²")+COUNTIF($E114:N114,"µ")+COUNTIF($E114:N114,1),ColDescriptionCourte)),""),
  "")),"")</f>
        <v/>
      </c>
      <c r="P114" s="40" t="str">
        <f ca="1">IFERROR(IF(AND(
  INDEX(Roadmap!$D:$K,MATCH($E114,Roadmap!$D:$D,0)+COUNTIF($E114:O114,"u")+COUNTIF($E114:O114,"t")+COUNTIF($E114:O114,"¶")+COUNTIF($E114:O114,"²")+COUNTIF($E114:O114,"µ")+COUNTIF($E114:O114,1),ColLivraison)=P$6,
  VLOOKUP($E114,INDIRECT("tri!"&amp; CHAR(64+ C0Col) &amp;":"&amp; CHAR(65+C0Col)),2,FALSE)&gt;COUNTIF($E114:O114,"u")+COUNTIF($E114:O114,"t")+COUNTIF($E114:O114,"¶")+COUNTIF($E114:O114,"²")+COUNTIF($E114:O114,"µ")+COUNTIF($E114:O114,1)),
HYPERLINK("#Roadmap!C"&amp; MATCH($E114,Roadmap!$D:$D,0)+COUNTIF($E114:O114,"u")+COUNTIF($E114:O114,"t"),
     INDEX(Roadmap!$D:$K,MATCH($E114,Roadmap!$D:$D,0)+COUNTIF($E114:O114,"u")+COUNTIF($E114:O114,"t")+COUNTIF($E114:O114,"¶")+COUNTIF($E114:O114,"²")+COUNTIF($E114:O114,"µ")+COUNTIF($E114:O114,1),ColTypeEcheance)),
  IF(LEN(O114)=1,
  IF(LEN(INDEX(Roadmap!$D:$K,MATCH($E114,Roadmap!$D:$D,0)-1+COUNTIF($E114:O114,"u")+COUNTIF($E114:O114,"t")+COUNTIF($E114:O114,"¶")+COUNTIF($E114:O114,"²")+COUNTIF($E114:O114,"µ")+COUNTIF($E114:O114,1),ColDescriptionCourte))&gt;1,
HYPERLINK("#Roadmap!C"&amp; MATCH($E114,Roadmap!$D:$D,0)+COUNTIF($E114:O114,"u")+COUNTIF($E114:O114,"t")+COUNTIF($E114:O114,"¶")+COUNTIF($E114:O114,"²")+COUNTIF($E114:O114,"µ")+COUNTIF($E114:O114,1)-1,INDEX(Roadmap!$D:$K,MATCH($E114,Roadmap!$D:$D,0)-1+COUNTIF($E114:O114,"u")+COUNTIF($E114:O114,"t")+COUNTIF($E114:O114,"¶")+COUNTIF($E114:O114,"²")+COUNTIF($E114:O114,"µ")+COUNTIF($E114:O114,1),ColDescriptionCourte)),""),
  "")),"")</f>
        <v/>
      </c>
      <c r="Q114" s="40" t="str">
        <f ca="1">IFERROR(IF(AND(
  INDEX(Roadmap!$D:$K,MATCH($E114,Roadmap!$D:$D,0)+COUNTIF($E114:P114,"u")+COUNTIF($E114:P114,"t")+COUNTIF($E114:P114,"¶")+COUNTIF($E114:P114,"²")+COUNTIF($E114:P114,"µ")+COUNTIF($E114:P114,1),ColLivraison)=Q$6,
  VLOOKUP($E114,INDIRECT("tri!"&amp; CHAR(64+ C0Col) &amp;":"&amp; CHAR(65+C0Col)),2,FALSE)&gt;COUNTIF($E114:P114,"u")+COUNTIF($E114:P114,"t")+COUNTIF($E114:P114,"¶")+COUNTIF($E114:P114,"²")+COUNTIF($E114:P114,"µ")+COUNTIF($E114:P114,1)),
HYPERLINK("#Roadmap!C"&amp; MATCH($E114,Roadmap!$D:$D,0)+COUNTIF($E114:P114,"u")+COUNTIF($E114:P114,"t"),
     INDEX(Roadmap!$D:$K,MATCH($E114,Roadmap!$D:$D,0)+COUNTIF($E114:P114,"u")+COUNTIF($E114:P114,"t")+COUNTIF($E114:P114,"¶")+COUNTIF($E114:P114,"²")+COUNTIF($E114:P114,"µ")+COUNTIF($E114:P114,1),ColTypeEcheance)),
  IF(LEN(P114)=1,
  IF(LEN(INDEX(Roadmap!$D:$K,MATCH($E114,Roadmap!$D:$D,0)-1+COUNTIF($E114:P114,"u")+COUNTIF($E114:P114,"t")+COUNTIF($E114:P114,"¶")+COUNTIF($E114:P114,"²")+COUNTIF($E114:P114,"µ")+COUNTIF($E114:P114,1),ColDescriptionCourte))&gt;1,
HYPERLINK("#Roadmap!C"&amp; MATCH($E114,Roadmap!$D:$D,0)+COUNTIF($E114:P114,"u")+COUNTIF($E114:P114,"t")+COUNTIF($E114:P114,"¶")+COUNTIF($E114:P114,"²")+COUNTIF($E114:P114,"µ")+COUNTIF($E114:P114,1)-1,INDEX(Roadmap!$D:$K,MATCH($E114,Roadmap!$D:$D,0)-1+COUNTIF($E114:P114,"u")+COUNTIF($E114:P114,"t")+COUNTIF($E114:P114,"¶")+COUNTIF($E114:P114,"²")+COUNTIF($E114:P114,"µ")+COUNTIF($E114:P114,1),ColDescriptionCourte)),""),
  "")),"")</f>
        <v/>
      </c>
      <c r="R114" s="40" t="str">
        <f ca="1">IFERROR(IF(AND(
  INDEX(Roadmap!$D:$K,MATCH($E114,Roadmap!$D:$D,0)+COUNTIF($E114:Q114,"u")+COUNTIF($E114:Q114,"t")+COUNTIF($E114:Q114,"¶")+COUNTIF($E114:Q114,"²")+COUNTIF($E114:Q114,"µ")+COUNTIF($E114:Q114,1),ColLivraison)=R$6,
  VLOOKUP($E114,INDIRECT("tri!"&amp; CHAR(64+ C0Col) &amp;":"&amp; CHAR(65+C0Col)),2,FALSE)&gt;COUNTIF($E114:Q114,"u")+COUNTIF($E114:Q114,"t")+COUNTIF($E114:Q114,"¶")+COUNTIF($E114:Q114,"²")+COUNTIF($E114:Q114,"µ")+COUNTIF($E114:Q114,1)),
HYPERLINK("#Roadmap!C"&amp; MATCH($E114,Roadmap!$D:$D,0)+COUNTIF($E114:Q114,"u")+COUNTIF($E114:Q114,"t"),
     INDEX(Roadmap!$D:$K,MATCH($E114,Roadmap!$D:$D,0)+COUNTIF($E114:Q114,"u")+COUNTIF($E114:Q114,"t")+COUNTIF($E114:Q114,"¶")+COUNTIF($E114:Q114,"²")+COUNTIF($E114:Q114,"µ")+COUNTIF($E114:Q114,1),ColTypeEcheance)),
  IF(LEN(Q114)=1,
  IF(LEN(INDEX(Roadmap!$D:$K,MATCH($E114,Roadmap!$D:$D,0)-1+COUNTIF($E114:Q114,"u")+COUNTIF($E114:Q114,"t")+COUNTIF($E114:Q114,"¶")+COUNTIF($E114:Q114,"²")+COUNTIF($E114:Q114,"µ")+COUNTIF($E114:Q114,1),ColDescriptionCourte))&gt;1,
HYPERLINK("#Roadmap!C"&amp; MATCH($E114,Roadmap!$D:$D,0)+COUNTIF($E114:Q114,"u")+COUNTIF($E114:Q114,"t")+COUNTIF($E114:Q114,"¶")+COUNTIF($E114:Q114,"²")+COUNTIF($E114:Q114,"µ")+COUNTIF($E114:Q114,1)-1,INDEX(Roadmap!$D:$K,MATCH($E114,Roadmap!$D:$D,0)-1+COUNTIF($E114:Q114,"u")+COUNTIF($E114:Q114,"t")+COUNTIF($E114:Q114,"¶")+COUNTIF($E114:Q114,"²")+COUNTIF($E114:Q114,"µ")+COUNTIF($E114:Q114,1),ColDescriptionCourte)),""),
  "")),"")</f>
        <v/>
      </c>
      <c r="S114" s="40" t="str">
        <f ca="1">IFERROR(IF(AND(
  INDEX(Roadmap!$D:$K,MATCH($E114,Roadmap!$D:$D,0)+COUNTIF($E114:R114,"u")+COUNTIF($E114:R114,"t")+COUNTIF($E114:R114,"¶")+COUNTIF($E114:R114,"²")+COUNTIF($E114:R114,"µ")+COUNTIF($E114:R114,1),ColLivraison)=S$6,
  VLOOKUP($E114,INDIRECT("tri!"&amp; CHAR(64+ C0Col) &amp;":"&amp; CHAR(65+C0Col)),2,FALSE)&gt;COUNTIF($E114:R114,"u")+COUNTIF($E114:R114,"t")+COUNTIF($E114:R114,"¶")+COUNTIF($E114:R114,"²")+COUNTIF($E114:R114,"µ")+COUNTIF($E114:R114,1)),
HYPERLINK("#Roadmap!C"&amp; MATCH($E114,Roadmap!$D:$D,0)+COUNTIF($E114:R114,"u")+COUNTIF($E114:R114,"t"),
     INDEX(Roadmap!$D:$K,MATCH($E114,Roadmap!$D:$D,0)+COUNTIF($E114:R114,"u")+COUNTIF($E114:R114,"t")+COUNTIF($E114:R114,"¶")+COUNTIF($E114:R114,"²")+COUNTIF($E114:R114,"µ")+COUNTIF($E114:R114,1),ColTypeEcheance)),
  IF(LEN(R114)=1,
  IF(LEN(INDEX(Roadmap!$D:$K,MATCH($E114,Roadmap!$D:$D,0)-1+COUNTIF($E114:R114,"u")+COUNTIF($E114:R114,"t")+COUNTIF($E114:R114,"¶")+COUNTIF($E114:R114,"²")+COUNTIF($E114:R114,"µ")+COUNTIF($E114:R114,1),ColDescriptionCourte))&gt;1,
HYPERLINK("#Roadmap!C"&amp; MATCH($E114,Roadmap!$D:$D,0)+COUNTIF($E114:R114,"u")+COUNTIF($E114:R114,"t")+COUNTIF($E114:R114,"¶")+COUNTIF($E114:R114,"²")+COUNTIF($E114:R114,"µ")+COUNTIF($E114:R114,1)-1,INDEX(Roadmap!$D:$K,MATCH($E114,Roadmap!$D:$D,0)-1+COUNTIF($E114:R114,"u")+COUNTIF($E114:R114,"t")+COUNTIF($E114:R114,"¶")+COUNTIF($E114:R114,"²")+COUNTIF($E114:R114,"µ")+COUNTIF($E114:R114,1),ColDescriptionCourte)),""),
  "")),"")</f>
        <v/>
      </c>
      <c r="T114" s="40" t="str">
        <f ca="1">IFERROR(IF(AND(
  INDEX(Roadmap!$D:$K,MATCH($E114,Roadmap!$D:$D,0)+COUNTIF($E114:S114,"u")+COUNTIF($E114:S114,"t")+COUNTIF($E114:S114,"¶")+COUNTIF($E114:S114,"²")+COUNTIF($E114:S114,"µ")+COUNTIF($E114:S114,1),ColLivraison)=T$6,
  VLOOKUP($E114,INDIRECT("tri!"&amp; CHAR(64+ C0Col) &amp;":"&amp; CHAR(65+C0Col)),2,FALSE)&gt;COUNTIF($E114:S114,"u")+COUNTIF($E114:S114,"t")+COUNTIF($E114:S114,"¶")+COUNTIF($E114:S114,"²")+COUNTIF($E114:S114,"µ")+COUNTIF($E114:S114,1)),
HYPERLINK("#Roadmap!C"&amp; MATCH($E114,Roadmap!$D:$D,0)+COUNTIF($E114:S114,"u")+COUNTIF($E114:S114,"t"),
     INDEX(Roadmap!$D:$K,MATCH($E114,Roadmap!$D:$D,0)+COUNTIF($E114:S114,"u")+COUNTIF($E114:S114,"t")+COUNTIF($E114:S114,"¶")+COUNTIF($E114:S114,"²")+COUNTIF($E114:S114,"µ")+COUNTIF($E114:S114,1),ColTypeEcheance)),
  IF(LEN(S114)=1,
  IF(LEN(INDEX(Roadmap!$D:$K,MATCH($E114,Roadmap!$D:$D,0)-1+COUNTIF($E114:S114,"u")+COUNTIF($E114:S114,"t")+COUNTIF($E114:S114,"¶")+COUNTIF($E114:S114,"²")+COUNTIF($E114:S114,"µ")+COUNTIF($E114:S114,1),ColDescriptionCourte))&gt;1,
HYPERLINK("#Roadmap!C"&amp; MATCH($E114,Roadmap!$D:$D,0)+COUNTIF($E114:S114,"u")+COUNTIF($E114:S114,"t")+COUNTIF($E114:S114,"¶")+COUNTIF($E114:S114,"²")+COUNTIF($E114:S114,"µ")+COUNTIF($E114:S114,1)-1,INDEX(Roadmap!$D:$K,MATCH($E114,Roadmap!$D:$D,0)-1+COUNTIF($E114:S114,"u")+COUNTIF($E114:S114,"t")+COUNTIF($E114:S114,"¶")+COUNTIF($E114:S114,"²")+COUNTIF($E114:S114,"µ")+COUNTIF($E114:S114,1),ColDescriptionCourte)),""),
  "")),"")</f>
        <v/>
      </c>
      <c r="U114" s="40" t="str">
        <f ca="1">IFERROR(IF(AND(
  INDEX(Roadmap!$D:$K,MATCH($E114,Roadmap!$D:$D,0)+COUNTIF($E114:T114,"u")+COUNTIF($E114:T114,"t")+COUNTIF($E114:T114,"¶")+COUNTIF($E114:T114,"²")+COUNTIF($E114:T114,"µ")+COUNTIF($E114:T114,1),ColLivraison)=U$6,
  VLOOKUP($E114,INDIRECT("tri!"&amp; CHAR(64+ C0Col) &amp;":"&amp; CHAR(65+C0Col)),2,FALSE)&gt;COUNTIF($E114:T114,"u")+COUNTIF($E114:T114,"t")+COUNTIF($E114:T114,"¶")+COUNTIF($E114:T114,"²")+COUNTIF($E114:T114,"µ")+COUNTIF($E114:T114,1)),
HYPERLINK("#Roadmap!C"&amp; MATCH($E114,Roadmap!$D:$D,0)+COUNTIF($E114:T114,"u")+COUNTIF($E114:T114,"t"),
     INDEX(Roadmap!$D:$K,MATCH($E114,Roadmap!$D:$D,0)+COUNTIF($E114:T114,"u")+COUNTIF($E114:T114,"t")+COUNTIF($E114:T114,"¶")+COUNTIF($E114:T114,"²")+COUNTIF($E114:T114,"µ")+COUNTIF($E114:T114,1),ColTypeEcheance)),
  IF(LEN(T114)=1,
  IF(LEN(INDEX(Roadmap!$D:$K,MATCH($E114,Roadmap!$D:$D,0)-1+COUNTIF($E114:T114,"u")+COUNTIF($E114:T114,"t")+COUNTIF($E114:T114,"¶")+COUNTIF($E114:T114,"²")+COUNTIF($E114:T114,"µ")+COUNTIF($E114:T114,1),ColDescriptionCourte))&gt;1,
HYPERLINK("#Roadmap!C"&amp; MATCH($E114,Roadmap!$D:$D,0)+COUNTIF($E114:T114,"u")+COUNTIF($E114:T114,"t")+COUNTIF($E114:T114,"¶")+COUNTIF($E114:T114,"²")+COUNTIF($E114:T114,"µ")+COUNTIF($E114:T114,1)-1,INDEX(Roadmap!$D:$K,MATCH($E114,Roadmap!$D:$D,0)-1+COUNTIF($E114:T114,"u")+COUNTIF($E114:T114,"t")+COUNTIF($E114:T114,"¶")+COUNTIF($E114:T114,"²")+COUNTIF($E114:T114,"µ")+COUNTIF($E114:T114,1),ColDescriptionCourte)),""),
  "")),"")</f>
        <v/>
      </c>
      <c r="V114" s="40" t="str">
        <f ca="1">IFERROR(IF(AND(
  INDEX(Roadmap!$D:$K,MATCH($E114,Roadmap!$D:$D,0)+COUNTIF($E114:U114,"u")+COUNTIF($E114:U114,"t")+COUNTIF($E114:U114,"¶")+COUNTIF($E114:U114,"²")+COUNTIF($E114:U114,"µ")+COUNTIF($E114:U114,1),ColLivraison)=V$6,
  VLOOKUP($E114,INDIRECT("tri!"&amp; CHAR(64+ C0Col) &amp;":"&amp; CHAR(65+C0Col)),2,FALSE)&gt;COUNTIF($E114:U114,"u")+COUNTIF($E114:U114,"t")+COUNTIF($E114:U114,"¶")+COUNTIF($E114:U114,"²")+COUNTIF($E114:U114,"µ")+COUNTIF($E114:U114,1)),
HYPERLINK("#Roadmap!C"&amp; MATCH($E114,Roadmap!$D:$D,0)+COUNTIF($E114:U114,"u")+COUNTIF($E114:U114,"t"),
     INDEX(Roadmap!$D:$K,MATCH($E114,Roadmap!$D:$D,0)+COUNTIF($E114:U114,"u")+COUNTIF($E114:U114,"t")+COUNTIF($E114:U114,"¶")+COUNTIF($E114:U114,"²")+COUNTIF($E114:U114,"µ")+COUNTIF($E114:U114,1),ColTypeEcheance)),
  IF(LEN(U114)=1,
  IF(LEN(INDEX(Roadmap!$D:$K,MATCH($E114,Roadmap!$D:$D,0)-1+COUNTIF($E114:U114,"u")+COUNTIF($E114:U114,"t")+COUNTIF($E114:U114,"¶")+COUNTIF($E114:U114,"²")+COUNTIF($E114:U114,"µ")+COUNTIF($E114:U114,1),ColDescriptionCourte))&gt;1,
HYPERLINK("#Roadmap!C"&amp; MATCH($E114,Roadmap!$D:$D,0)+COUNTIF($E114:U114,"u")+COUNTIF($E114:U114,"t")+COUNTIF($E114:U114,"¶")+COUNTIF($E114:U114,"²")+COUNTIF($E114:U114,"µ")+COUNTIF($E114:U114,1)-1,INDEX(Roadmap!$D:$K,MATCH($E114,Roadmap!$D:$D,0)-1+COUNTIF($E114:U114,"u")+COUNTIF($E114:U114,"t")+COUNTIF($E114:U114,"¶")+COUNTIF($E114:U114,"²")+COUNTIF($E114:U114,"µ")+COUNTIF($E114:U114,1),ColDescriptionCourte)),""),
  "")),"")</f>
        <v/>
      </c>
      <c r="W114" s="40" t="str">
        <f ca="1">IFERROR(IF(AND(
  INDEX(Roadmap!$D:$K,MATCH($E114,Roadmap!$D:$D,0)+COUNTIF($E114:V114,"u")+COUNTIF($E114:V114,"t")+COUNTIF($E114:V114,"¶")+COUNTIF($E114:V114,"²")+COUNTIF($E114:V114,"µ")+COUNTIF($E114:V114,1),ColLivraison)=W$6,
  VLOOKUP($E114,INDIRECT("tri!"&amp; CHAR(64+ C0Col) &amp;":"&amp; CHAR(65+C0Col)),2,FALSE)&gt;COUNTIF($E114:V114,"u")+COUNTIF($E114:V114,"t")+COUNTIF($E114:V114,"¶")+COUNTIF($E114:V114,"²")+COUNTIF($E114:V114,"µ")+COUNTIF($E114:V114,1)),
HYPERLINK("#Roadmap!C"&amp; MATCH($E114,Roadmap!$D:$D,0)+COUNTIF($E114:V114,"u")+COUNTIF($E114:V114,"t"),
     INDEX(Roadmap!$D:$K,MATCH($E114,Roadmap!$D:$D,0)+COUNTIF($E114:V114,"u")+COUNTIF($E114:V114,"t")+COUNTIF($E114:V114,"¶")+COUNTIF($E114:V114,"²")+COUNTIF($E114:V114,"µ")+COUNTIF($E114:V114,1),ColTypeEcheance)),
  IF(LEN(V114)=1,
  IF(LEN(INDEX(Roadmap!$D:$K,MATCH($E114,Roadmap!$D:$D,0)-1+COUNTIF($E114:V114,"u")+COUNTIF($E114:V114,"t")+COUNTIF($E114:V114,"¶")+COUNTIF($E114:V114,"²")+COUNTIF($E114:V114,"µ")+COUNTIF($E114:V114,1),ColDescriptionCourte))&gt;1,
HYPERLINK("#Roadmap!C"&amp; MATCH($E114,Roadmap!$D:$D,0)+COUNTIF($E114:V114,"u")+COUNTIF($E114:V114,"t")+COUNTIF($E114:V114,"¶")+COUNTIF($E114:V114,"²")+COUNTIF($E114:V114,"µ")+COUNTIF($E114:V114,1)-1,INDEX(Roadmap!$D:$K,MATCH($E114,Roadmap!$D:$D,0)-1+COUNTIF($E114:V114,"u")+COUNTIF($E114:V114,"t")+COUNTIF($E114:V114,"¶")+COUNTIF($E114:V114,"²")+COUNTIF($E114:V114,"µ")+COUNTIF($E114:V114,1),ColDescriptionCourte)),""),
  "")),"")</f>
        <v/>
      </c>
      <c r="X114" s="40" t="str">
        <f ca="1">IFERROR(IF(AND(
  INDEX(Roadmap!$D:$K,MATCH($E114,Roadmap!$D:$D,0)+COUNTIF($E114:W114,"u")+COUNTIF($E114:W114,"t")+COUNTIF($E114:W114,"¶")+COUNTIF($E114:W114,"²")+COUNTIF($E114:W114,"µ")+COUNTIF($E114:W114,1),ColLivraison)=X$6,
  VLOOKUP($E114,INDIRECT("tri!"&amp; CHAR(64+ C0Col) &amp;":"&amp; CHAR(65+C0Col)),2,FALSE)&gt;COUNTIF($E114:W114,"u")+COUNTIF($E114:W114,"t")+COUNTIF($E114:W114,"¶")+COUNTIF($E114:W114,"²")+COUNTIF($E114:W114,"µ")+COUNTIF($E114:W114,1)),
HYPERLINK("#Roadmap!C"&amp; MATCH($E114,Roadmap!$D:$D,0)+COUNTIF($E114:W114,"u")+COUNTIF($E114:W114,"t"),
     INDEX(Roadmap!$D:$K,MATCH($E114,Roadmap!$D:$D,0)+COUNTIF($E114:W114,"u")+COUNTIF($E114:W114,"t")+COUNTIF($E114:W114,"¶")+COUNTIF($E114:W114,"²")+COUNTIF($E114:W114,"µ")+COUNTIF($E114:W114,1),ColTypeEcheance)),
  IF(LEN(W114)=1,
  IF(LEN(INDEX(Roadmap!$D:$K,MATCH($E114,Roadmap!$D:$D,0)-1+COUNTIF($E114:W114,"u")+COUNTIF($E114:W114,"t")+COUNTIF($E114:W114,"¶")+COUNTIF($E114:W114,"²")+COUNTIF($E114:W114,"µ")+COUNTIF($E114:W114,1),ColDescriptionCourte))&gt;1,
HYPERLINK("#Roadmap!C"&amp; MATCH($E114,Roadmap!$D:$D,0)+COUNTIF($E114:W114,"u")+COUNTIF($E114:W114,"t")+COUNTIF($E114:W114,"¶")+COUNTIF($E114:W114,"²")+COUNTIF($E114:W114,"µ")+COUNTIF($E114:W114,1)-1,INDEX(Roadmap!$D:$K,MATCH($E114,Roadmap!$D:$D,0)-1+COUNTIF($E114:W114,"u")+COUNTIF($E114:W114,"t")+COUNTIF($E114:W114,"¶")+COUNTIF($E114:W114,"²")+COUNTIF($E114:W114,"µ")+COUNTIF($E114:W114,1),ColDescriptionCourte)),""),
  "")),"")</f>
        <v/>
      </c>
      <c r="Y114" s="40" t="str">
        <f ca="1">IFERROR(IF(AND(
  INDEX(Roadmap!$D:$K,MATCH($E114,Roadmap!$D:$D,0)+COUNTIF($E114:X114,"u")+COUNTIF($E114:X114,"t")+COUNTIF($E114:X114,"¶")+COUNTIF($E114:X114,"²")+COUNTIF($E114:X114,"µ")+COUNTIF($E114:X114,1),ColLivraison)=Y$6,
  VLOOKUP($E114,INDIRECT("tri!"&amp; CHAR(64+ C0Col) &amp;":"&amp; CHAR(65+C0Col)),2,FALSE)&gt;COUNTIF($E114:X114,"u")+COUNTIF($E114:X114,"t")+COUNTIF($E114:X114,"¶")+COUNTIF($E114:X114,"²")+COUNTIF($E114:X114,"µ")+COUNTIF($E114:X114,1)),
HYPERLINK("#Roadmap!C"&amp; MATCH($E114,Roadmap!$D:$D,0)+COUNTIF($E114:X114,"u")+COUNTIF($E114:X114,"t"),
     INDEX(Roadmap!$D:$K,MATCH($E114,Roadmap!$D:$D,0)+COUNTIF($E114:X114,"u")+COUNTIF($E114:X114,"t")+COUNTIF($E114:X114,"¶")+COUNTIF($E114:X114,"²")+COUNTIF($E114:X114,"µ")+COUNTIF($E114:X114,1),ColTypeEcheance)),
  IF(LEN(X114)=1,
  IF(LEN(INDEX(Roadmap!$D:$K,MATCH($E114,Roadmap!$D:$D,0)-1+COUNTIF($E114:X114,"u")+COUNTIF($E114:X114,"t")+COUNTIF($E114:X114,"¶")+COUNTIF($E114:X114,"²")+COUNTIF($E114:X114,"µ")+COUNTIF($E114:X114,1),ColDescriptionCourte))&gt;1,
HYPERLINK("#Roadmap!C"&amp; MATCH($E114,Roadmap!$D:$D,0)+COUNTIF($E114:X114,"u")+COUNTIF($E114:X114,"t")+COUNTIF($E114:X114,"¶")+COUNTIF($E114:X114,"²")+COUNTIF($E114:X114,"µ")+COUNTIF($E114:X114,1)-1,INDEX(Roadmap!$D:$K,MATCH($E114,Roadmap!$D:$D,0)-1+COUNTIF($E114:X114,"u")+COUNTIF($E114:X114,"t")+COUNTIF($E114:X114,"¶")+COUNTIF($E114:X114,"²")+COUNTIF($E114:X114,"µ")+COUNTIF($E114:X114,1),ColDescriptionCourte)),""),
  "")),"")</f>
        <v/>
      </c>
      <c r="Z114" s="40" t="str">
        <f ca="1">IFERROR(IF(AND(
  INDEX(Roadmap!$D:$K,MATCH($E114,Roadmap!$D:$D,0)+COUNTIF($E114:Y114,"u")+COUNTIF($E114:Y114,"t")+COUNTIF($E114:Y114,"¶")+COUNTIF($E114:Y114,"²")+COUNTIF($E114:Y114,"µ")+COUNTIF($E114:Y114,1),ColLivraison)=Z$6,
  VLOOKUP($E114,INDIRECT("tri!"&amp; CHAR(64+ C0Col) &amp;":"&amp; CHAR(65+C0Col)),2,FALSE)&gt;COUNTIF($E114:Y114,"u")+COUNTIF($E114:Y114,"t")+COUNTIF($E114:Y114,"¶")+COUNTIF($E114:Y114,"²")+COUNTIF($E114:Y114,"µ")+COUNTIF($E114:Y114,1)),
HYPERLINK("#Roadmap!C"&amp; MATCH($E114,Roadmap!$D:$D,0)+COUNTIF($E114:Y114,"u")+COUNTIF($E114:Y114,"t"),
     INDEX(Roadmap!$D:$K,MATCH($E114,Roadmap!$D:$D,0)+COUNTIF($E114:Y114,"u")+COUNTIF($E114:Y114,"t")+COUNTIF($E114:Y114,"¶")+COUNTIF($E114:Y114,"²")+COUNTIF($E114:Y114,"µ")+COUNTIF($E114:Y114,1),ColTypeEcheance)),
  IF(LEN(Y114)=1,
  IF(LEN(INDEX(Roadmap!$D:$K,MATCH($E114,Roadmap!$D:$D,0)-1+COUNTIF($E114:Y114,"u")+COUNTIF($E114:Y114,"t")+COUNTIF($E114:Y114,"¶")+COUNTIF($E114:Y114,"²")+COUNTIF($E114:Y114,"µ")+COUNTIF($E114:Y114,1),ColDescriptionCourte))&gt;1,
HYPERLINK("#Roadmap!C"&amp; MATCH($E114,Roadmap!$D:$D,0)+COUNTIF($E114:Y114,"u")+COUNTIF($E114:Y114,"t")+COUNTIF($E114:Y114,"¶")+COUNTIF($E114:Y114,"²")+COUNTIF($E114:Y114,"µ")+COUNTIF($E114:Y114,1)-1,INDEX(Roadmap!$D:$K,MATCH($E114,Roadmap!$D:$D,0)-1+COUNTIF($E114:Y114,"u")+COUNTIF($E114:Y114,"t")+COUNTIF($E114:Y114,"¶")+COUNTIF($E114:Y114,"²")+COUNTIF($E114:Y114,"µ")+COUNTIF($E114:Y114,1),ColDescriptionCourte)),""),
  "")),"")</f>
        <v/>
      </c>
      <c r="AA114" s="40" t="str">
        <f ca="1">IFERROR(IF(AND(
  INDEX(Roadmap!$D:$K,MATCH($E114,Roadmap!$D:$D,0)+COUNTIF($E114:Z114,"u")+COUNTIF($E114:Z114,"t")+COUNTIF($E114:Z114,"¶")+COUNTIF($E114:Z114,"²")+COUNTIF($E114:Z114,"µ")+COUNTIF($E114:Z114,1),ColLivraison)=AA$6,
  VLOOKUP($E114,INDIRECT("tri!"&amp; CHAR(64+ C0Col) &amp;":"&amp; CHAR(65+C0Col)),2,FALSE)&gt;COUNTIF($E114:Z114,"u")+COUNTIF($E114:Z114,"t")+COUNTIF($E114:Z114,"¶")+COUNTIF($E114:Z114,"²")+COUNTIF($E114:Z114,"µ")+COUNTIF($E114:Z114,1)),
HYPERLINK("#Roadmap!C"&amp; MATCH($E114,Roadmap!$D:$D,0)+COUNTIF($E114:Z114,"u")+COUNTIF($E114:Z114,"t"),
     INDEX(Roadmap!$D:$K,MATCH($E114,Roadmap!$D:$D,0)+COUNTIF($E114:Z114,"u")+COUNTIF($E114:Z114,"t")+COUNTIF($E114:Z114,"¶")+COUNTIF($E114:Z114,"²")+COUNTIF($E114:Z114,"µ")+COUNTIF($E114:Z114,1),ColTypeEcheance)),
  IF(LEN(Z114)=1,
  IF(LEN(INDEX(Roadmap!$D:$K,MATCH($E114,Roadmap!$D:$D,0)-1+COUNTIF($E114:Z114,"u")+COUNTIF($E114:Z114,"t")+COUNTIF($E114:Z114,"¶")+COUNTIF($E114:Z114,"²")+COUNTIF($E114:Z114,"µ")+COUNTIF($E114:Z114,1),ColDescriptionCourte))&gt;1,
HYPERLINK("#Roadmap!C"&amp; MATCH($E114,Roadmap!$D:$D,0)+COUNTIF($E114:Z114,"u")+COUNTIF($E114:Z114,"t")+COUNTIF($E114:Z114,"¶")+COUNTIF($E114:Z114,"²")+COUNTIF($E114:Z114,"µ")+COUNTIF($E114:Z114,1)-1,INDEX(Roadmap!$D:$K,MATCH($E114,Roadmap!$D:$D,0)-1+COUNTIF($E114:Z114,"u")+COUNTIF($E114:Z114,"t")+COUNTIF($E114:Z114,"¶")+COUNTIF($E114:Z114,"²")+COUNTIF($E114:Z114,"µ")+COUNTIF($E114:Z114,1),ColDescriptionCourte)),""),
  "")),"")</f>
        <v/>
      </c>
      <c r="AB114" s="40" t="str">
        <f ca="1">IFERROR(IF(AND(
  INDEX(Roadmap!$D:$K,MATCH($E114,Roadmap!$D:$D,0)+COUNTIF($E114:AA114,"u")+COUNTIF($E114:AA114,"t")+COUNTIF($E114:AA114,"¶")+COUNTIF($E114:AA114,"²")+COUNTIF($E114:AA114,"µ")+COUNTIF($E114:AA114,1),ColLivraison)=AB$6,
  VLOOKUP($E114,INDIRECT("tri!"&amp; CHAR(64+ C0Col) &amp;":"&amp; CHAR(65+C0Col)),2,FALSE)&gt;COUNTIF($E114:AA114,"u")+COUNTIF($E114:AA114,"t")+COUNTIF($E114:AA114,"¶")+COUNTIF($E114:AA114,"²")+COUNTIF($E114:AA114,"µ")+COUNTIF($E114:AA114,1)),
HYPERLINK("#Roadmap!C"&amp; MATCH($E114,Roadmap!$D:$D,0)+COUNTIF($E114:AA114,"u")+COUNTIF($E114:AA114,"t"),
     INDEX(Roadmap!$D:$K,MATCH($E114,Roadmap!$D:$D,0)+COUNTIF($E114:AA114,"u")+COUNTIF($E114:AA114,"t")+COUNTIF($E114:AA114,"¶")+COUNTIF($E114:AA114,"²")+COUNTIF($E114:AA114,"µ")+COUNTIF($E114:AA114,1),ColTypeEcheance)),
  IF(LEN(AA114)=1,
  IF(LEN(INDEX(Roadmap!$D:$K,MATCH($E114,Roadmap!$D:$D,0)-1+COUNTIF($E114:AA114,"u")+COUNTIF($E114:AA114,"t")+COUNTIF($E114:AA114,"¶")+COUNTIF($E114:AA114,"²")+COUNTIF($E114:AA114,"µ")+COUNTIF($E114:AA114,1),ColDescriptionCourte))&gt;1,
HYPERLINK("#Roadmap!C"&amp; MATCH($E114,Roadmap!$D:$D,0)+COUNTIF($E114:AA114,"u")+COUNTIF($E114:AA114,"t")+COUNTIF($E114:AA114,"¶")+COUNTIF($E114:AA114,"²")+COUNTIF($E114:AA114,"µ")+COUNTIF($E114:AA114,1)-1,INDEX(Roadmap!$D:$K,MATCH($E114,Roadmap!$D:$D,0)-1+COUNTIF($E114:AA114,"u")+COUNTIF($E114:AA114,"t")+COUNTIF($E114:AA114,"¶")+COUNTIF($E114:AA114,"²")+COUNTIF($E114:AA114,"µ")+COUNTIF($E114:AA114,1),ColDescriptionCourte)),""),
  "")),"")</f>
        <v/>
      </c>
      <c r="AC114" s="40" t="str">
        <f ca="1">IFERROR(IF(AND(
  INDEX(Roadmap!$D:$K,MATCH($E114,Roadmap!$D:$D,0)+COUNTIF($E114:AB114,"u")+COUNTIF($E114:AB114,"t")+COUNTIF($E114:AB114,"¶")+COUNTIF($E114:AB114,"²")+COUNTIF($E114:AB114,"µ")+COUNTIF($E114:AB114,1),ColLivraison)=AC$6,
  VLOOKUP($E114,INDIRECT("tri!"&amp; CHAR(64+ C0Col) &amp;":"&amp; CHAR(65+C0Col)),2,FALSE)&gt;COUNTIF($E114:AB114,"u")+COUNTIF($E114:AB114,"t")+COUNTIF($E114:AB114,"¶")+COUNTIF($E114:AB114,"²")+COUNTIF($E114:AB114,"µ")+COUNTIF($E114:AB114,1)),
HYPERLINK("#Roadmap!C"&amp; MATCH($E114,Roadmap!$D:$D,0)+COUNTIF($E114:AB114,"u")+COUNTIF($E114:AB114,"t"),
     INDEX(Roadmap!$D:$K,MATCH($E114,Roadmap!$D:$D,0)+COUNTIF($E114:AB114,"u")+COUNTIF($E114:AB114,"t")+COUNTIF($E114:AB114,"¶")+COUNTIF($E114:AB114,"²")+COUNTIF($E114:AB114,"µ")+COUNTIF($E114:AB114,1),ColTypeEcheance)),
  IF(LEN(AB114)=1,
  IF(LEN(INDEX(Roadmap!$D:$K,MATCH($E114,Roadmap!$D:$D,0)-1+COUNTIF($E114:AB114,"u")+COUNTIF($E114:AB114,"t")+COUNTIF($E114:AB114,"¶")+COUNTIF($E114:AB114,"²")+COUNTIF($E114:AB114,"µ")+COUNTIF($E114:AB114,1),ColDescriptionCourte))&gt;1,
HYPERLINK("#Roadmap!C"&amp; MATCH($E114,Roadmap!$D:$D,0)+COUNTIF($E114:AB114,"u")+COUNTIF($E114:AB114,"t")+COUNTIF($E114:AB114,"¶")+COUNTIF($E114:AB114,"²")+COUNTIF($E114:AB114,"µ")+COUNTIF($E114:AB114,1)-1,INDEX(Roadmap!$D:$K,MATCH($E114,Roadmap!$D:$D,0)-1+COUNTIF($E114:AB114,"u")+COUNTIF($E114:AB114,"t")+COUNTIF($E114:AB114,"¶")+COUNTIF($E114:AB114,"²")+COUNTIF($E114:AB114,"µ")+COUNTIF($E114:AB114,1),ColDescriptionCourte)),""),
  "")),"")</f>
        <v/>
      </c>
      <c r="AD114" s="40" t="str">
        <f ca="1">IFERROR(IF(AND(
  INDEX(Roadmap!$D:$K,MATCH($E114,Roadmap!$D:$D,0)+COUNTIF($E114:AC114,"u")+COUNTIF($E114:AC114,"t")+COUNTIF($E114:AC114,"¶")+COUNTIF($E114:AC114,"²")+COUNTIF($E114:AC114,"µ")+COUNTIF($E114:AC114,1),ColLivraison)=AD$6,
  VLOOKUP($E114,INDIRECT("tri!"&amp; CHAR(64+ C0Col) &amp;":"&amp; CHAR(65+C0Col)),2,FALSE)&gt;COUNTIF($E114:AC114,"u")+COUNTIF($E114:AC114,"t")+COUNTIF($E114:AC114,"¶")+COUNTIF($E114:AC114,"²")+COUNTIF($E114:AC114,"µ")+COUNTIF($E114:AC114,1)),
HYPERLINK("#Roadmap!C"&amp; MATCH($E114,Roadmap!$D:$D,0)+COUNTIF($E114:AC114,"u")+COUNTIF($E114:AC114,"t"),
     INDEX(Roadmap!$D:$K,MATCH($E114,Roadmap!$D:$D,0)+COUNTIF($E114:AC114,"u")+COUNTIF($E114:AC114,"t")+COUNTIF($E114:AC114,"¶")+COUNTIF($E114:AC114,"²")+COUNTIF($E114:AC114,"µ")+COUNTIF($E114:AC114,1),ColTypeEcheance)),
  IF(LEN(AC114)=1,
  IF(LEN(INDEX(Roadmap!$D:$K,MATCH($E114,Roadmap!$D:$D,0)-1+COUNTIF($E114:AC114,"u")+COUNTIF($E114:AC114,"t")+COUNTIF($E114:AC114,"¶")+COUNTIF($E114:AC114,"²")+COUNTIF($E114:AC114,"µ")+COUNTIF($E114:AC114,1),ColDescriptionCourte))&gt;1,
HYPERLINK("#Roadmap!C"&amp; MATCH($E114,Roadmap!$D:$D,0)+COUNTIF($E114:AC114,"u")+COUNTIF($E114:AC114,"t")+COUNTIF($E114:AC114,"¶")+COUNTIF($E114:AC114,"²")+COUNTIF($E114:AC114,"µ")+COUNTIF($E114:AC114,1)-1,INDEX(Roadmap!$D:$K,MATCH($E114,Roadmap!$D:$D,0)-1+COUNTIF($E114:AC114,"u")+COUNTIF($E114:AC114,"t")+COUNTIF($E114:AC114,"¶")+COUNTIF($E114:AC114,"²")+COUNTIF($E114:AC114,"µ")+COUNTIF($E114:AC114,1),ColDescriptionCourte)),""),
  "")),"")</f>
        <v/>
      </c>
      <c r="AE114" s="40" t="str">
        <f ca="1">IFERROR(IF(AND(
  INDEX(Roadmap!$D:$K,MATCH($E114,Roadmap!$D:$D,0)+COUNTIF($E114:AD114,"u")+COUNTIF($E114:AD114,"t")+COUNTIF($E114:AD114,"¶")+COUNTIF($E114:AD114,"²")+COUNTIF($E114:AD114,"µ")+COUNTIF($E114:AD114,1),ColLivraison)=AE$6,
  VLOOKUP($E114,INDIRECT("tri!"&amp; CHAR(64+ C0Col) &amp;":"&amp; CHAR(65+C0Col)),2,FALSE)&gt;COUNTIF($E114:AD114,"u")+COUNTIF($E114:AD114,"t")+COUNTIF($E114:AD114,"¶")+COUNTIF($E114:AD114,"²")+COUNTIF($E114:AD114,"µ")+COUNTIF($E114:AD114,1)),
HYPERLINK("#Roadmap!C"&amp; MATCH($E114,Roadmap!$D:$D,0)+COUNTIF($E114:AD114,"u")+COUNTIF($E114:AD114,"t"),
     INDEX(Roadmap!$D:$K,MATCH($E114,Roadmap!$D:$D,0)+COUNTIF($E114:AD114,"u")+COUNTIF($E114:AD114,"t")+COUNTIF($E114:AD114,"¶")+COUNTIF($E114:AD114,"²")+COUNTIF($E114:AD114,"µ")+COUNTIF($E114:AD114,1),ColTypeEcheance)),
  IF(LEN(AD114)=1,
  IF(LEN(INDEX(Roadmap!$D:$K,MATCH($E114,Roadmap!$D:$D,0)-1+COUNTIF($E114:AD114,"u")+COUNTIF($E114:AD114,"t")+COUNTIF($E114:AD114,"¶")+COUNTIF($E114:AD114,"²")+COUNTIF($E114:AD114,"µ")+COUNTIF($E114:AD114,1),ColDescriptionCourte))&gt;1,
HYPERLINK("#Roadmap!C"&amp; MATCH($E114,Roadmap!$D:$D,0)+COUNTIF($E114:AD114,"u")+COUNTIF($E114:AD114,"t")+COUNTIF($E114:AD114,"¶")+COUNTIF($E114:AD114,"²")+COUNTIF($E114:AD114,"µ")+COUNTIF($E114:AD114,1)-1,INDEX(Roadmap!$D:$K,MATCH($E114,Roadmap!$D:$D,0)-1+COUNTIF($E114:AD114,"u")+COUNTIF($E114:AD114,"t")+COUNTIF($E114:AD114,"¶")+COUNTIF($E114:AD114,"²")+COUNTIF($E114:AD114,"µ")+COUNTIF($E114:AD114,1),ColDescriptionCourte)),""),
  "")),"")</f>
        <v/>
      </c>
      <c r="AF114" s="40" t="str">
        <f ca="1">IFERROR(IF(AND(
  INDEX(Roadmap!$D:$K,MATCH($E114,Roadmap!$D:$D,0)+COUNTIF($E114:AE114,"u")+COUNTIF($E114:AE114,"t")+COUNTIF($E114:AE114,"¶")+COUNTIF($E114:AE114,"²")+COUNTIF($E114:AE114,"µ")+COUNTIF($E114:AE114,1),ColLivraison)=AF$6,
  VLOOKUP($E114,INDIRECT("tri!"&amp; CHAR(64+ C0Col) &amp;":"&amp; CHAR(65+C0Col)),2,FALSE)&gt;COUNTIF($E114:AE114,"u")+COUNTIF($E114:AE114,"t")+COUNTIF($E114:AE114,"¶")+COUNTIF($E114:AE114,"²")+COUNTIF($E114:AE114,"µ")+COUNTIF($E114:AE114,1)),
HYPERLINK("#Roadmap!C"&amp; MATCH($E114,Roadmap!$D:$D,0)+COUNTIF($E114:AE114,"u")+COUNTIF($E114:AE114,"t"),
     INDEX(Roadmap!$D:$K,MATCH($E114,Roadmap!$D:$D,0)+COUNTIF($E114:AE114,"u")+COUNTIF($E114:AE114,"t")+COUNTIF($E114:AE114,"¶")+COUNTIF($E114:AE114,"²")+COUNTIF($E114:AE114,"µ")+COUNTIF($E114:AE114,1),ColTypeEcheance)),
  IF(LEN(AE114)=1,
  IF(LEN(INDEX(Roadmap!$D:$K,MATCH($E114,Roadmap!$D:$D,0)-1+COUNTIF($E114:AE114,"u")+COUNTIF($E114:AE114,"t")+COUNTIF($E114:AE114,"¶")+COUNTIF($E114:AE114,"²")+COUNTIF($E114:AE114,"µ")+COUNTIF($E114:AE114,1),ColDescriptionCourte))&gt;1,
HYPERLINK("#Roadmap!C"&amp; MATCH($E114,Roadmap!$D:$D,0)+COUNTIF($E114:AE114,"u")+COUNTIF($E114:AE114,"t")+COUNTIF($E114:AE114,"¶")+COUNTIF($E114:AE114,"²")+COUNTIF($E114:AE114,"µ")+COUNTIF($E114:AE114,1)-1,INDEX(Roadmap!$D:$K,MATCH($E114,Roadmap!$D:$D,0)-1+COUNTIF($E114:AE114,"u")+COUNTIF($E114:AE114,"t")+COUNTIF($E114:AE114,"¶")+COUNTIF($E114:AE114,"²")+COUNTIF($E114:AE114,"µ")+COUNTIF($E114:AE114,1),ColDescriptionCourte)),""),
  "")),"")</f>
        <v/>
      </c>
      <c r="AG114" s="40" t="str">
        <f ca="1">IFERROR(IF(AND(
  INDEX(Roadmap!$D:$K,MATCH($E114,Roadmap!$D:$D,0)+COUNTIF($E114:AF114,"u")+COUNTIF($E114:AF114,"t")+COUNTIF($E114:AF114,"¶")+COUNTIF($E114:AF114,"²")+COUNTIF($E114:AF114,"µ")+COUNTIF($E114:AF114,1),ColLivraison)=AG$6,
  VLOOKUP($E114,INDIRECT("tri!"&amp; CHAR(64+ C0Col) &amp;":"&amp; CHAR(65+C0Col)),2,FALSE)&gt;COUNTIF($E114:AF114,"u")+COUNTIF($E114:AF114,"t")+COUNTIF($E114:AF114,"¶")+COUNTIF($E114:AF114,"²")+COUNTIF($E114:AF114,"µ")+COUNTIF($E114:AF114,1)),
HYPERLINK("#Roadmap!C"&amp; MATCH($E114,Roadmap!$D:$D,0)+COUNTIF($E114:AF114,"u")+COUNTIF($E114:AF114,"t"),
     INDEX(Roadmap!$D:$K,MATCH($E114,Roadmap!$D:$D,0)+COUNTIF($E114:AF114,"u")+COUNTIF($E114:AF114,"t")+COUNTIF($E114:AF114,"¶")+COUNTIF($E114:AF114,"²")+COUNTIF($E114:AF114,"µ")+COUNTIF($E114:AF114,1),ColTypeEcheance)),
  IF(LEN(AF114)=1,
  IF(LEN(INDEX(Roadmap!$D:$K,MATCH($E114,Roadmap!$D:$D,0)-1+COUNTIF($E114:AF114,"u")+COUNTIF($E114:AF114,"t")+COUNTIF($E114:AF114,"¶")+COUNTIF($E114:AF114,"²")+COUNTIF($E114:AF114,"µ")+COUNTIF($E114:AF114,1),ColDescriptionCourte))&gt;1,
HYPERLINK("#Roadmap!C"&amp; MATCH($E114,Roadmap!$D:$D,0)+COUNTIF($E114:AF114,"u")+COUNTIF($E114:AF114,"t")+COUNTIF($E114:AF114,"¶")+COUNTIF($E114:AF114,"²")+COUNTIF($E114:AF114,"µ")+COUNTIF($E114:AF114,1)-1,INDEX(Roadmap!$D:$K,MATCH($E114,Roadmap!$D:$D,0)-1+COUNTIF($E114:AF114,"u")+COUNTIF($E114:AF114,"t")+COUNTIF($E114:AF114,"¶")+COUNTIF($E114:AF114,"²")+COUNTIF($E114:AF114,"µ")+COUNTIF($E114:AF114,1),ColDescriptionCourte)),""),
  "")),"")</f>
        <v/>
      </c>
      <c r="AH114" s="40" t="str">
        <f ca="1">IFERROR(IF(AND(
  INDEX(Roadmap!$D:$K,MATCH($E114,Roadmap!$D:$D,0)+COUNTIF($E114:AG114,"u")+COUNTIF($E114:AG114,"t")+COUNTIF($E114:AG114,1),ColLivraison)=AH$6,
  VLOOKUP($E114,INDIRECT("tri!"&amp; CHAR(64+ C0Col) &amp;":"&amp; CHAR(65+C0Col)),2,FALSE)&gt;COUNTIF($E114:AG114,"u")+COUNTIF($E114:AG114,"t")+COUNTIF($E114:AG114,1)),
HYPERLINK("#Roadmap!C"&amp; MATCH($E114,Roadmap!$D:$D,0)+COUNTIF($E114:AG114,"u")+COUNTIF($E114:AG114,"t"),
     INDEX(Roadmap!$D:$K,MATCH($E114,Roadmap!$D:$D,0)+COUNTIF($E114:AG114,"u")+COUNTIF($E114:AG114,"t")+COUNTIF($E114:AG114,1),ColTypeEcheance)),
  IF(OR(AG114="u",AG114="t",AG114=1),
  IF(LEN(INDEX(Roadmap!$D:$K,MATCH($E114,Roadmap!$D:$D,0)-1+COUNTIF($E114:AG114,"u")+COUNTIF($E114:AG114,"t")+COUNTIF($E114:AG114,1),ColDescriptionCourte))&gt;1,
HYPERLINK("#Roadmap!C"&amp; MATCH($E114,Roadmap!$D:$D,0)+COUNTIF($E114:AG114,"u")+COUNTIF($E114:AG114,"t")+COUNTIF($E114:AG114,1)-1,INDEX(Roadmap!$D:$K,MATCH($E114,Roadmap!$D:$D,0)-1+COUNTIF($E114:AG114,"u")+COUNTIF($E114:AG114,"t")+COUNTIF($E114:AG114,1),ColDescriptionCourte)),""),
  "")),"")</f>
        <v/>
      </c>
      <c r="AI114" s="40"/>
      <c r="AJ114" s="40"/>
      <c r="AK114" s="40"/>
      <c r="AL114" s="40"/>
      <c r="AM114" s="40"/>
    </row>
    <row r="115" spans="4:39" ht="14.1" customHeight="1">
      <c r="D115" s="20" t="str">
        <f t="shared" ca="1" si="29"/>
        <v/>
      </c>
      <c r="E115" s="53" t="str">
        <f t="shared" ca="1" si="30"/>
        <v/>
      </c>
      <c r="F115" s="39" t="str">
        <f ca="1">IFERROR(IF(AND(
  INDEX(Roadmap!$D:$K,MATCH($E115,Roadmap!$D:$D,0)+COUNTIF($E115:E115,"u")+COUNTIF($E115:E115,"t")+COUNTIF($E115:E115,"¶")+COUNTIF($E115:E115,"²")+COUNTIF($E115:E115,"µ")+COUNTIF($E115:E115,1),ColLivraison)=F$6,
  VLOOKUP($E115,INDIRECT("tri!"&amp; CHAR(64+ C0Col) &amp;":"&amp; CHAR(65+C0Col)),2,FALSE)&gt;COUNTIF($E115:E115,"u")+COUNTIF($E115:E115,"t")+COUNTIF($E115:E115,"¶")+COUNTIF($E115:E115,"²")+COUNTIF($E115:E115,"µ")+COUNTIF($E115:E115,1)),
HYPERLINK("#Roadmap!C"&amp; MATCH($E115,Roadmap!$D:$D,0)+COUNTIF($E115:E115,"u")+COUNTIF($E115:E115,"t"),
     INDEX(Roadmap!$D:$K,MATCH($E115,Roadmap!$D:$D,0)+COUNTIF($E115:E115,"u")+COUNTIF($E115:E115,"t")+COUNTIF($E115:E115,"¶")+COUNTIF($E115:E115,"²")+COUNTIF($E115:E115,"µ")+COUNTIF($E115:E115,1),ColTypeEcheance)),
  IF(LEN(E115)=1,
  IF(LEN(INDEX(Roadmap!$D:$K,MATCH($E115,Roadmap!$D:$D,0)-1+COUNTIF($E115:E115,"u")+COUNTIF($E115:E115,"t")+COUNTIF($E115:E115,"¶")+COUNTIF($E115:E115,"²")+COUNTIF($E115:E115,"µ")+COUNTIF($E115:E115,1),ColDescriptionCourte))&gt;1,
HYPERLINK("#Roadmap!C"&amp; MATCH($E115,Roadmap!$D:$D,0)+COUNTIF($E115:E115,"u")+COUNTIF($E115:E115,"t")+COUNTIF($E115:E115,"¶")+COUNTIF($E115:E115,"²")+COUNTIF($E115:E115,"µ")+COUNTIF($E115:E115,1)-1,INDEX(Roadmap!$D:$K,MATCH($E115,Roadmap!$D:$D,0)-1+COUNTIF($E115:E115,"u")+COUNTIF($E115:E115,"t")+COUNTIF($E115:E115,"¶")+COUNTIF($E115:E115,"²")+COUNTIF($E115:E115,"µ")+COUNTIF($E115:E115,1),ColDescriptionCourte)),""),
  "")),"")</f>
        <v/>
      </c>
      <c r="G115" s="40" t="str">
        <f ca="1">IFERROR(IF(AND(
  INDEX(Roadmap!$D:$K,MATCH($E115,Roadmap!$D:$D,0)+COUNTIF($E115:F115,"u")+COUNTIF($E115:F115,"t")+COUNTIF($E115:F115,"¶")+COUNTIF($E115:F115,"²")+COUNTIF($E115:F115,"µ")+COUNTIF($E115:F115,1),ColLivraison)=G$6,
  VLOOKUP($E115,INDIRECT("tri!"&amp; CHAR(64+ C0Col) &amp;":"&amp; CHAR(65+C0Col)),2,FALSE)&gt;COUNTIF($E115:F115,"u")+COUNTIF($E115:F115,"t")+COUNTIF($E115:F115,"¶")+COUNTIF($E115:F115,"²")+COUNTIF($E115:F115,"µ")+COUNTIF($E115:F115,1)),
HYPERLINK("#Roadmap!C"&amp; MATCH($E115,Roadmap!$D:$D,0)+COUNTIF($E115:F115,"u")+COUNTIF($E115:F115,"t"),
     INDEX(Roadmap!$D:$K,MATCH($E115,Roadmap!$D:$D,0)+COUNTIF($E115:F115,"u")+COUNTIF($E115:F115,"t")+COUNTIF($E115:F115,"¶")+COUNTIF($E115:F115,"²")+COUNTIF($E115:F115,"µ")+COUNTIF($E115:F115,1),ColTypeEcheance)),
  IF(LEN(F115)=1,
  IF(LEN(INDEX(Roadmap!$D:$K,MATCH($E115,Roadmap!$D:$D,0)-1+COUNTIF($E115:F115,"u")+COUNTIF($E115:F115,"t")+COUNTIF($E115:F115,"¶")+COUNTIF($E115:F115,"²")+COUNTIF($E115:F115,"µ")+COUNTIF($E115:F115,1),ColDescriptionCourte))&gt;1,
HYPERLINK("#Roadmap!C"&amp; MATCH($E115,Roadmap!$D:$D,0)+COUNTIF($E115:F115,"u")+COUNTIF($E115:F115,"t")+COUNTIF($E115:F115,"¶")+COUNTIF($E115:F115,"²")+COUNTIF($E115:F115,"µ")+COUNTIF($E115:F115,1)-1,INDEX(Roadmap!$D:$K,MATCH($E115,Roadmap!$D:$D,0)-1+COUNTIF($E115:F115,"u")+COUNTIF($E115:F115,"t")+COUNTIF($E115:F115,"¶")+COUNTIF($E115:F115,"²")+COUNTIF($E115:F115,"µ")+COUNTIF($E115:F115,1),ColDescriptionCourte)),""),
  "")),"")</f>
        <v/>
      </c>
      <c r="H115" s="40" t="str">
        <f ca="1">IFERROR(IF(AND(
  INDEX(Roadmap!$D:$K,MATCH($E115,Roadmap!$D:$D,0)+COUNTIF($E115:G115,"u")+COUNTIF($E115:G115,"t")+COUNTIF($E115:G115,"¶")+COUNTIF($E115:G115,"²")+COUNTIF($E115:G115,"µ")+COUNTIF($E115:G115,1),ColLivraison)=H$6,
  VLOOKUP($E115,INDIRECT("tri!"&amp; CHAR(64+ C0Col) &amp;":"&amp; CHAR(65+C0Col)),2,FALSE)&gt;COUNTIF($E115:G115,"u")+COUNTIF($E115:G115,"t")+COUNTIF($E115:G115,"¶")+COUNTIF($E115:G115,"²")+COUNTIF($E115:G115,"µ")+COUNTIF($E115:G115,1)),
HYPERLINK("#Roadmap!C"&amp; MATCH($E115,Roadmap!$D:$D,0)+COUNTIF($E115:G115,"u")+COUNTIF($E115:G115,"t"),
     INDEX(Roadmap!$D:$K,MATCH($E115,Roadmap!$D:$D,0)+COUNTIF($E115:G115,"u")+COUNTIF($E115:G115,"t")+COUNTIF($E115:G115,"¶")+COUNTIF($E115:G115,"²")+COUNTIF($E115:G115,"µ")+COUNTIF($E115:G115,1),ColTypeEcheance)),
  IF(LEN(G115)=1,
  IF(LEN(INDEX(Roadmap!$D:$K,MATCH($E115,Roadmap!$D:$D,0)-1+COUNTIF($E115:G115,"u")+COUNTIF($E115:G115,"t")+COUNTIF($E115:G115,"¶")+COUNTIF($E115:G115,"²")+COUNTIF($E115:G115,"µ")+COUNTIF($E115:G115,1),ColDescriptionCourte))&gt;1,
HYPERLINK("#Roadmap!C"&amp; MATCH($E115,Roadmap!$D:$D,0)+COUNTIF($E115:G115,"u")+COUNTIF($E115:G115,"t")+COUNTIF($E115:G115,"¶")+COUNTIF($E115:G115,"²")+COUNTIF($E115:G115,"µ")+COUNTIF($E115:G115,1)-1,INDEX(Roadmap!$D:$K,MATCH($E115,Roadmap!$D:$D,0)-1+COUNTIF($E115:G115,"u")+COUNTIF($E115:G115,"t")+COUNTIF($E115:G115,"¶")+COUNTIF($E115:G115,"²")+COUNTIF($E115:G115,"µ")+COUNTIF($E115:G115,1),ColDescriptionCourte)),""),
  "")),"")</f>
        <v/>
      </c>
      <c r="I115" s="40" t="str">
        <f ca="1">IFERROR(IF(AND(
  INDEX(Roadmap!$D:$K,MATCH($E115,Roadmap!$D:$D,0)+COUNTIF($E115:H115,"u")+COUNTIF($E115:H115,"t")+COUNTIF($E115:H115,"¶")+COUNTIF($E115:H115,"²")+COUNTIF($E115:H115,"µ")+COUNTIF($E115:H115,1),ColLivraison)=I$6,
  VLOOKUP($E115,INDIRECT("tri!"&amp; CHAR(64+ C0Col) &amp;":"&amp; CHAR(65+C0Col)),2,FALSE)&gt;COUNTIF($E115:H115,"u")+COUNTIF($E115:H115,"t")+COUNTIF($E115:H115,"¶")+COUNTIF($E115:H115,"²")+COUNTIF($E115:H115,"µ")+COUNTIF($E115:H115,1)),
HYPERLINK("#Roadmap!C"&amp; MATCH($E115,Roadmap!$D:$D,0)+COUNTIF($E115:H115,"u")+COUNTIF($E115:H115,"t"),
     INDEX(Roadmap!$D:$K,MATCH($E115,Roadmap!$D:$D,0)+COUNTIF($E115:H115,"u")+COUNTIF($E115:H115,"t")+COUNTIF($E115:H115,"¶")+COUNTIF($E115:H115,"²")+COUNTIF($E115:H115,"µ")+COUNTIF($E115:H115,1),ColTypeEcheance)),
  IF(LEN(H115)=1,
  IF(LEN(INDEX(Roadmap!$D:$K,MATCH($E115,Roadmap!$D:$D,0)-1+COUNTIF($E115:H115,"u")+COUNTIF($E115:H115,"t")+COUNTIF($E115:H115,"¶")+COUNTIF($E115:H115,"²")+COUNTIF($E115:H115,"µ")+COUNTIF($E115:H115,1),ColDescriptionCourte))&gt;1,
HYPERLINK("#Roadmap!C"&amp; MATCH($E115,Roadmap!$D:$D,0)+COUNTIF($E115:H115,"u")+COUNTIF($E115:H115,"t")+COUNTIF($E115:H115,"¶")+COUNTIF($E115:H115,"²")+COUNTIF($E115:H115,"µ")+COUNTIF($E115:H115,1)-1,INDEX(Roadmap!$D:$K,MATCH($E115,Roadmap!$D:$D,0)-1+COUNTIF($E115:H115,"u")+COUNTIF($E115:H115,"t")+COUNTIF($E115:H115,"¶")+COUNTIF($E115:H115,"²")+COUNTIF($E115:H115,"µ")+COUNTIF($E115:H115,1),ColDescriptionCourte)),""),
  "")),"")</f>
        <v/>
      </c>
      <c r="J115" s="40" t="str">
        <f ca="1">IFERROR(IF(AND(
  INDEX(Roadmap!$D:$K,MATCH($E115,Roadmap!$D:$D,0)+COUNTIF($E115:I115,"u")+COUNTIF($E115:I115,"t")+COUNTIF($E115:I115,"¶")+COUNTIF($E115:I115,"²")+COUNTIF($E115:I115,"µ")+COUNTIF($E115:I115,1),ColLivraison)=J$6,
  VLOOKUP($E115,INDIRECT("tri!"&amp; CHAR(64+ C0Col) &amp;":"&amp; CHAR(65+C0Col)),2,FALSE)&gt;COUNTIF($E115:I115,"u")+COUNTIF($E115:I115,"t")+COUNTIF($E115:I115,"¶")+COUNTIF($E115:I115,"²")+COUNTIF($E115:I115,"µ")+COUNTIF($E115:I115,1)),
HYPERLINK("#Roadmap!C"&amp; MATCH($E115,Roadmap!$D:$D,0)+COUNTIF($E115:I115,"u")+COUNTIF($E115:I115,"t"),
     INDEX(Roadmap!$D:$K,MATCH($E115,Roadmap!$D:$D,0)+COUNTIF($E115:I115,"u")+COUNTIF($E115:I115,"t")+COUNTIF($E115:I115,"¶")+COUNTIF($E115:I115,"²")+COUNTIF($E115:I115,"µ")+COUNTIF($E115:I115,1),ColTypeEcheance)),
  IF(LEN(I115)=1,
  IF(LEN(INDEX(Roadmap!$D:$K,MATCH($E115,Roadmap!$D:$D,0)-1+COUNTIF($E115:I115,"u")+COUNTIF($E115:I115,"t")+COUNTIF($E115:I115,"¶")+COUNTIF($E115:I115,"²")+COUNTIF($E115:I115,"µ")+COUNTIF($E115:I115,1),ColDescriptionCourte))&gt;1,
HYPERLINK("#Roadmap!C"&amp; MATCH($E115,Roadmap!$D:$D,0)+COUNTIF($E115:I115,"u")+COUNTIF($E115:I115,"t")+COUNTIF($E115:I115,"¶")+COUNTIF($E115:I115,"²")+COUNTIF($E115:I115,"µ")+COUNTIF($E115:I115,1)-1,INDEX(Roadmap!$D:$K,MATCH($E115,Roadmap!$D:$D,0)-1+COUNTIF($E115:I115,"u")+COUNTIF($E115:I115,"t")+COUNTIF($E115:I115,"¶")+COUNTIF($E115:I115,"²")+COUNTIF($E115:I115,"µ")+COUNTIF($E115:I115,1),ColDescriptionCourte)),""),
  "")),"")</f>
        <v/>
      </c>
      <c r="K115" s="40" t="str">
        <f ca="1">IFERROR(IF(AND(
  INDEX(Roadmap!$D:$K,MATCH($E115,Roadmap!$D:$D,0)+COUNTIF($E115:J115,"u")+COUNTIF($E115:J115,"t")+COUNTIF($E115:J115,"¶")+COUNTIF($E115:J115,"²")+COUNTIF($E115:J115,"µ")+COUNTIF($E115:J115,1),ColLivraison)=K$6,
  VLOOKUP($E115,INDIRECT("tri!"&amp; CHAR(64+ C0Col) &amp;":"&amp; CHAR(65+C0Col)),2,FALSE)&gt;COUNTIF($E115:J115,"u")+COUNTIF($E115:J115,"t")+COUNTIF($E115:J115,"¶")+COUNTIF($E115:J115,"²")+COUNTIF($E115:J115,"µ")+COUNTIF($E115:J115,1)),
HYPERLINK("#Roadmap!C"&amp; MATCH($E115,Roadmap!$D:$D,0)+COUNTIF($E115:J115,"u")+COUNTIF($E115:J115,"t"),
     INDEX(Roadmap!$D:$K,MATCH($E115,Roadmap!$D:$D,0)+COUNTIF($E115:J115,"u")+COUNTIF($E115:J115,"t")+COUNTIF($E115:J115,"¶")+COUNTIF($E115:J115,"²")+COUNTIF($E115:J115,"µ")+COUNTIF($E115:J115,1),ColTypeEcheance)),
  IF(LEN(J115)=1,
  IF(LEN(INDEX(Roadmap!$D:$K,MATCH($E115,Roadmap!$D:$D,0)-1+COUNTIF($E115:J115,"u")+COUNTIF($E115:J115,"t")+COUNTIF($E115:J115,"¶")+COUNTIF($E115:J115,"²")+COUNTIF($E115:J115,"µ")+COUNTIF($E115:J115,1),ColDescriptionCourte))&gt;1,
HYPERLINK("#Roadmap!C"&amp; MATCH($E115,Roadmap!$D:$D,0)+COUNTIF($E115:J115,"u")+COUNTIF($E115:J115,"t")+COUNTIF($E115:J115,"¶")+COUNTIF($E115:J115,"²")+COUNTIF($E115:J115,"µ")+COUNTIF($E115:J115,1)-1,INDEX(Roadmap!$D:$K,MATCH($E115,Roadmap!$D:$D,0)-1+COUNTIF($E115:J115,"u")+COUNTIF($E115:J115,"t")+COUNTIF($E115:J115,"¶")+COUNTIF($E115:J115,"²")+COUNTIF($E115:J115,"µ")+COUNTIF($E115:J115,1),ColDescriptionCourte)),""),
  "")),"")</f>
        <v/>
      </c>
      <c r="L115" s="39" t="str">
        <f ca="1">IFERROR(IF(AND(
  INDEX(Roadmap!$D:$K,MATCH($E115,Roadmap!$D:$D,0)+COUNTIF($E115:K115,"u")+COUNTIF($E115:K115,"t")+COUNTIF($E115:K115,"¶")+COUNTIF($E115:K115,"²")+COUNTIF($E115:K115,"µ")+COUNTIF($E115:K115,1),ColLivraison)=L$6,
  VLOOKUP($E115,INDIRECT("tri!"&amp; CHAR(64+ C0Col) &amp;":"&amp; CHAR(65+C0Col)),2,FALSE)&gt;COUNTIF($E115:K115,"u")+COUNTIF($E115:K115,"t")+COUNTIF($E115:K115,"¶")+COUNTIF($E115:K115,"²")+COUNTIF($E115:K115,"µ")+COUNTIF($E115:K115,1)),
HYPERLINK("#Roadmap!C"&amp; MATCH($E115,Roadmap!$D:$D,0)+COUNTIF($E115:K115,"u")+COUNTIF($E115:K115,"t"),
     INDEX(Roadmap!$D:$K,MATCH($E115,Roadmap!$D:$D,0)+COUNTIF($E115:K115,"u")+COUNTIF($E115:K115,"t")+COUNTIF($E115:K115,"¶")+COUNTIF($E115:K115,"²")+COUNTIF($E115:K115,"µ")+COUNTIF($E115:K115,1),ColTypeEcheance)),
  IF(LEN(K115)=1,
  IF(LEN(INDEX(Roadmap!$D:$K,MATCH($E115,Roadmap!$D:$D,0)-1+COUNTIF($E115:K115,"u")+COUNTIF($E115:K115,"t")+COUNTIF($E115:K115,"¶")+COUNTIF($E115:K115,"²")+COUNTIF($E115:K115,"µ")+COUNTIF($E115:K115,1),ColDescriptionCourte))&gt;1,
HYPERLINK("#Roadmap!C"&amp; MATCH($E115,Roadmap!$D:$D,0)+COUNTIF($E115:K115,"u")+COUNTIF($E115:K115,"t")+COUNTIF($E115:K115,"¶")+COUNTIF($E115:K115,"²")+COUNTIF($E115:K115,"µ")+COUNTIF($E115:K115,1)-1,INDEX(Roadmap!$D:$K,MATCH($E115,Roadmap!$D:$D,0)-1+COUNTIF($E115:K115,"u")+COUNTIF($E115:K115,"t")+COUNTIF($E115:K115,"¶")+COUNTIF($E115:K115,"²")+COUNTIF($E115:K115,"µ")+COUNTIF($E115:K115,1),ColDescriptionCourte)),""),
  "")),"")</f>
        <v/>
      </c>
      <c r="M115" s="40" t="str">
        <f ca="1">IFERROR(IF(AND(
  INDEX(Roadmap!$D:$K,MATCH($E115,Roadmap!$D:$D,0)+COUNTIF($E115:L115,"u")+COUNTIF($E115:L115,"t")+COUNTIF($E115:L115,"¶")+COUNTIF($E115:L115,"²")+COUNTIF($E115:L115,"µ")+COUNTIF($E115:L115,1),ColLivraison)=M$6,
  VLOOKUP($E115,INDIRECT("tri!"&amp; CHAR(64+ C0Col) &amp;":"&amp; CHAR(65+C0Col)),2,FALSE)&gt;COUNTIF($E115:L115,"u")+COUNTIF($E115:L115,"t")+COUNTIF($E115:L115,"¶")+COUNTIF($E115:L115,"²")+COUNTIF($E115:L115,"µ")+COUNTIF($E115:L115,1)),
HYPERLINK("#Roadmap!C"&amp; MATCH($E115,Roadmap!$D:$D,0)+COUNTIF($E115:L115,"u")+COUNTIF($E115:L115,"t"),
     INDEX(Roadmap!$D:$K,MATCH($E115,Roadmap!$D:$D,0)+COUNTIF($E115:L115,"u")+COUNTIF($E115:L115,"t")+COUNTIF($E115:L115,"¶")+COUNTIF($E115:L115,"²")+COUNTIF($E115:L115,"µ")+COUNTIF($E115:L115,1),ColTypeEcheance)),
  IF(LEN(L115)=1,
  IF(LEN(INDEX(Roadmap!$D:$K,MATCH($E115,Roadmap!$D:$D,0)-1+COUNTIF($E115:L115,"u")+COUNTIF($E115:L115,"t")+COUNTIF($E115:L115,"¶")+COUNTIF($E115:L115,"²")+COUNTIF($E115:L115,"µ")+COUNTIF($E115:L115,1),ColDescriptionCourte))&gt;1,
HYPERLINK("#Roadmap!C"&amp; MATCH($E115,Roadmap!$D:$D,0)+COUNTIF($E115:L115,"u")+COUNTIF($E115:L115,"t")+COUNTIF($E115:L115,"¶")+COUNTIF($E115:L115,"²")+COUNTIF($E115:L115,"µ")+COUNTIF($E115:L115,1)-1,INDEX(Roadmap!$D:$K,MATCH($E115,Roadmap!$D:$D,0)-1+COUNTIF($E115:L115,"u")+COUNTIF($E115:L115,"t")+COUNTIF($E115:L115,"¶")+COUNTIF($E115:L115,"²")+COUNTIF($E115:L115,"µ")+COUNTIF($E115:L115,1),ColDescriptionCourte)),""),
  "")),"")</f>
        <v/>
      </c>
      <c r="N115" s="40" t="str">
        <f ca="1">IFERROR(IF(AND(
  INDEX(Roadmap!$D:$K,MATCH($E115,Roadmap!$D:$D,0)+COUNTIF($E115:M115,"u")+COUNTIF($E115:M115,"t")+COUNTIF($E115:M115,"¶")+COUNTIF($E115:M115,"²")+COUNTIF($E115:M115,"µ")+COUNTIF($E115:M115,1),ColLivraison)=N$6,
  VLOOKUP($E115,INDIRECT("tri!"&amp; CHAR(64+ C0Col) &amp;":"&amp; CHAR(65+C0Col)),2,FALSE)&gt;COUNTIF($E115:M115,"u")+COUNTIF($E115:M115,"t")+COUNTIF($E115:M115,"¶")+COUNTIF($E115:M115,"²")+COUNTIF($E115:M115,"µ")+COUNTIF($E115:M115,1)),
HYPERLINK("#Roadmap!C"&amp; MATCH($E115,Roadmap!$D:$D,0)+COUNTIF($E115:M115,"u")+COUNTIF($E115:M115,"t"),
     INDEX(Roadmap!$D:$K,MATCH($E115,Roadmap!$D:$D,0)+COUNTIF($E115:M115,"u")+COUNTIF($E115:M115,"t")+COUNTIF($E115:M115,"¶")+COUNTIF($E115:M115,"²")+COUNTIF($E115:M115,"µ")+COUNTIF($E115:M115,1),ColTypeEcheance)),
  IF(LEN(M115)=1,
  IF(LEN(INDEX(Roadmap!$D:$K,MATCH($E115,Roadmap!$D:$D,0)-1+COUNTIF($E115:M115,"u")+COUNTIF($E115:M115,"t")+COUNTIF($E115:M115,"¶")+COUNTIF($E115:M115,"²")+COUNTIF($E115:M115,"µ")+COUNTIF($E115:M115,1),ColDescriptionCourte))&gt;1,
HYPERLINK("#Roadmap!C"&amp; MATCH($E115,Roadmap!$D:$D,0)+COUNTIF($E115:M115,"u")+COUNTIF($E115:M115,"t")+COUNTIF($E115:M115,"¶")+COUNTIF($E115:M115,"²")+COUNTIF($E115:M115,"µ")+COUNTIF($E115:M115,1)-1,INDEX(Roadmap!$D:$K,MATCH($E115,Roadmap!$D:$D,0)-1+COUNTIF($E115:M115,"u")+COUNTIF($E115:M115,"t")+COUNTIF($E115:M115,"¶")+COUNTIF($E115:M115,"²")+COUNTIF($E115:M115,"µ")+COUNTIF($E115:M115,1),ColDescriptionCourte)),""),
  "")),"")</f>
        <v/>
      </c>
      <c r="O115" s="40" t="str">
        <f ca="1">IFERROR(IF(AND(
  INDEX(Roadmap!$D:$K,MATCH($E115,Roadmap!$D:$D,0)+COUNTIF($E115:N115,"u")+COUNTIF($E115:N115,"t")+COUNTIF($E115:N115,"¶")+COUNTIF($E115:N115,"²")+COUNTIF($E115:N115,"µ")+COUNTIF($E115:N115,1),ColLivraison)=O$6,
  VLOOKUP($E115,INDIRECT("tri!"&amp; CHAR(64+ C0Col) &amp;":"&amp; CHAR(65+C0Col)),2,FALSE)&gt;COUNTIF($E115:N115,"u")+COUNTIF($E115:N115,"t")+COUNTIF($E115:N115,"¶")+COUNTIF($E115:N115,"²")+COUNTIF($E115:N115,"µ")+COUNTIF($E115:N115,1)),
HYPERLINK("#Roadmap!C"&amp; MATCH($E115,Roadmap!$D:$D,0)+COUNTIF($E115:N115,"u")+COUNTIF($E115:N115,"t"),
     INDEX(Roadmap!$D:$K,MATCH($E115,Roadmap!$D:$D,0)+COUNTIF($E115:N115,"u")+COUNTIF($E115:N115,"t")+COUNTIF($E115:N115,"¶")+COUNTIF($E115:N115,"²")+COUNTIF($E115:N115,"µ")+COUNTIF($E115:N115,1),ColTypeEcheance)),
  IF(LEN(N115)=1,
  IF(LEN(INDEX(Roadmap!$D:$K,MATCH($E115,Roadmap!$D:$D,0)-1+COUNTIF($E115:N115,"u")+COUNTIF($E115:N115,"t")+COUNTIF($E115:N115,"¶")+COUNTIF($E115:N115,"²")+COUNTIF($E115:N115,"µ")+COUNTIF($E115:N115,1),ColDescriptionCourte))&gt;1,
HYPERLINK("#Roadmap!C"&amp; MATCH($E115,Roadmap!$D:$D,0)+COUNTIF($E115:N115,"u")+COUNTIF($E115:N115,"t")+COUNTIF($E115:N115,"¶")+COUNTIF($E115:N115,"²")+COUNTIF($E115:N115,"µ")+COUNTIF($E115:N115,1)-1,INDEX(Roadmap!$D:$K,MATCH($E115,Roadmap!$D:$D,0)-1+COUNTIF($E115:N115,"u")+COUNTIF($E115:N115,"t")+COUNTIF($E115:N115,"¶")+COUNTIF($E115:N115,"²")+COUNTIF($E115:N115,"µ")+COUNTIF($E115:N115,1),ColDescriptionCourte)),""),
  "")),"")</f>
        <v/>
      </c>
      <c r="P115" s="40" t="str">
        <f ca="1">IFERROR(IF(AND(
  INDEX(Roadmap!$D:$K,MATCH($E115,Roadmap!$D:$D,0)+COUNTIF($E115:O115,"u")+COUNTIF($E115:O115,"t")+COUNTIF($E115:O115,"¶")+COUNTIF($E115:O115,"²")+COUNTIF($E115:O115,"µ")+COUNTIF($E115:O115,1),ColLivraison)=P$6,
  VLOOKUP($E115,INDIRECT("tri!"&amp; CHAR(64+ C0Col) &amp;":"&amp; CHAR(65+C0Col)),2,FALSE)&gt;COUNTIF($E115:O115,"u")+COUNTIF($E115:O115,"t")+COUNTIF($E115:O115,"¶")+COUNTIF($E115:O115,"²")+COUNTIF($E115:O115,"µ")+COUNTIF($E115:O115,1)),
HYPERLINK("#Roadmap!C"&amp; MATCH($E115,Roadmap!$D:$D,0)+COUNTIF($E115:O115,"u")+COUNTIF($E115:O115,"t"),
     INDEX(Roadmap!$D:$K,MATCH($E115,Roadmap!$D:$D,0)+COUNTIF($E115:O115,"u")+COUNTIF($E115:O115,"t")+COUNTIF($E115:O115,"¶")+COUNTIF($E115:O115,"²")+COUNTIF($E115:O115,"µ")+COUNTIF($E115:O115,1),ColTypeEcheance)),
  IF(LEN(O115)=1,
  IF(LEN(INDEX(Roadmap!$D:$K,MATCH($E115,Roadmap!$D:$D,0)-1+COUNTIF($E115:O115,"u")+COUNTIF($E115:O115,"t")+COUNTIF($E115:O115,"¶")+COUNTIF($E115:O115,"²")+COUNTIF($E115:O115,"µ")+COUNTIF($E115:O115,1),ColDescriptionCourte))&gt;1,
HYPERLINK("#Roadmap!C"&amp; MATCH($E115,Roadmap!$D:$D,0)+COUNTIF($E115:O115,"u")+COUNTIF($E115:O115,"t")+COUNTIF($E115:O115,"¶")+COUNTIF($E115:O115,"²")+COUNTIF($E115:O115,"µ")+COUNTIF($E115:O115,1)-1,INDEX(Roadmap!$D:$K,MATCH($E115,Roadmap!$D:$D,0)-1+COUNTIF($E115:O115,"u")+COUNTIF($E115:O115,"t")+COUNTIF($E115:O115,"¶")+COUNTIF($E115:O115,"²")+COUNTIF($E115:O115,"µ")+COUNTIF($E115:O115,1),ColDescriptionCourte)),""),
  "")),"")</f>
        <v/>
      </c>
      <c r="Q115" s="40" t="str">
        <f ca="1">IFERROR(IF(AND(
  INDEX(Roadmap!$D:$K,MATCH($E115,Roadmap!$D:$D,0)+COUNTIF($E115:P115,"u")+COUNTIF($E115:P115,"t")+COUNTIF($E115:P115,"¶")+COUNTIF($E115:P115,"²")+COUNTIF($E115:P115,"µ")+COUNTIF($E115:P115,1),ColLivraison)=Q$6,
  VLOOKUP($E115,INDIRECT("tri!"&amp; CHAR(64+ C0Col) &amp;":"&amp; CHAR(65+C0Col)),2,FALSE)&gt;COUNTIF($E115:P115,"u")+COUNTIF($E115:P115,"t")+COUNTIF($E115:P115,"¶")+COUNTIF($E115:P115,"²")+COUNTIF($E115:P115,"µ")+COUNTIF($E115:P115,1)),
HYPERLINK("#Roadmap!C"&amp; MATCH($E115,Roadmap!$D:$D,0)+COUNTIF($E115:P115,"u")+COUNTIF($E115:P115,"t"),
     INDEX(Roadmap!$D:$K,MATCH($E115,Roadmap!$D:$D,0)+COUNTIF($E115:P115,"u")+COUNTIF($E115:P115,"t")+COUNTIF($E115:P115,"¶")+COUNTIF($E115:P115,"²")+COUNTIF($E115:P115,"µ")+COUNTIF($E115:P115,1),ColTypeEcheance)),
  IF(LEN(P115)=1,
  IF(LEN(INDEX(Roadmap!$D:$K,MATCH($E115,Roadmap!$D:$D,0)-1+COUNTIF($E115:P115,"u")+COUNTIF($E115:P115,"t")+COUNTIF($E115:P115,"¶")+COUNTIF($E115:P115,"²")+COUNTIF($E115:P115,"µ")+COUNTIF($E115:P115,1),ColDescriptionCourte))&gt;1,
HYPERLINK("#Roadmap!C"&amp; MATCH($E115,Roadmap!$D:$D,0)+COUNTIF($E115:P115,"u")+COUNTIF($E115:P115,"t")+COUNTIF($E115:P115,"¶")+COUNTIF($E115:P115,"²")+COUNTIF($E115:P115,"µ")+COUNTIF($E115:P115,1)-1,INDEX(Roadmap!$D:$K,MATCH($E115,Roadmap!$D:$D,0)-1+COUNTIF($E115:P115,"u")+COUNTIF($E115:P115,"t")+COUNTIF($E115:P115,"¶")+COUNTIF($E115:P115,"²")+COUNTIF($E115:P115,"µ")+COUNTIF($E115:P115,1),ColDescriptionCourte)),""),
  "")),"")</f>
        <v/>
      </c>
      <c r="R115" s="40" t="str">
        <f ca="1">IFERROR(IF(AND(
  INDEX(Roadmap!$D:$K,MATCH($E115,Roadmap!$D:$D,0)+COUNTIF($E115:Q115,"u")+COUNTIF($E115:Q115,"t")+COUNTIF($E115:Q115,"¶")+COUNTIF($E115:Q115,"²")+COUNTIF($E115:Q115,"µ")+COUNTIF($E115:Q115,1),ColLivraison)=R$6,
  VLOOKUP($E115,INDIRECT("tri!"&amp; CHAR(64+ C0Col) &amp;":"&amp; CHAR(65+C0Col)),2,FALSE)&gt;COUNTIF($E115:Q115,"u")+COUNTIF($E115:Q115,"t")+COUNTIF($E115:Q115,"¶")+COUNTIF($E115:Q115,"²")+COUNTIF($E115:Q115,"µ")+COUNTIF($E115:Q115,1)),
HYPERLINK("#Roadmap!C"&amp; MATCH($E115,Roadmap!$D:$D,0)+COUNTIF($E115:Q115,"u")+COUNTIF($E115:Q115,"t"),
     INDEX(Roadmap!$D:$K,MATCH($E115,Roadmap!$D:$D,0)+COUNTIF($E115:Q115,"u")+COUNTIF($E115:Q115,"t")+COUNTIF($E115:Q115,"¶")+COUNTIF($E115:Q115,"²")+COUNTIF($E115:Q115,"µ")+COUNTIF($E115:Q115,1),ColTypeEcheance)),
  IF(LEN(Q115)=1,
  IF(LEN(INDEX(Roadmap!$D:$K,MATCH($E115,Roadmap!$D:$D,0)-1+COUNTIF($E115:Q115,"u")+COUNTIF($E115:Q115,"t")+COUNTIF($E115:Q115,"¶")+COUNTIF($E115:Q115,"²")+COUNTIF($E115:Q115,"µ")+COUNTIF($E115:Q115,1),ColDescriptionCourte))&gt;1,
HYPERLINK("#Roadmap!C"&amp; MATCH($E115,Roadmap!$D:$D,0)+COUNTIF($E115:Q115,"u")+COUNTIF($E115:Q115,"t")+COUNTIF($E115:Q115,"¶")+COUNTIF($E115:Q115,"²")+COUNTIF($E115:Q115,"µ")+COUNTIF($E115:Q115,1)-1,INDEX(Roadmap!$D:$K,MATCH($E115,Roadmap!$D:$D,0)-1+COUNTIF($E115:Q115,"u")+COUNTIF($E115:Q115,"t")+COUNTIF($E115:Q115,"¶")+COUNTIF($E115:Q115,"²")+COUNTIF($E115:Q115,"µ")+COUNTIF($E115:Q115,1),ColDescriptionCourte)),""),
  "")),"")</f>
        <v/>
      </c>
      <c r="S115" s="40" t="str">
        <f ca="1">IFERROR(IF(AND(
  INDEX(Roadmap!$D:$K,MATCH($E115,Roadmap!$D:$D,0)+COUNTIF($E115:R115,"u")+COUNTIF($E115:R115,"t")+COUNTIF($E115:R115,"¶")+COUNTIF($E115:R115,"²")+COUNTIF($E115:R115,"µ")+COUNTIF($E115:R115,1),ColLivraison)=S$6,
  VLOOKUP($E115,INDIRECT("tri!"&amp; CHAR(64+ C0Col) &amp;":"&amp; CHAR(65+C0Col)),2,FALSE)&gt;COUNTIF($E115:R115,"u")+COUNTIF($E115:R115,"t")+COUNTIF($E115:R115,"¶")+COUNTIF($E115:R115,"²")+COUNTIF($E115:R115,"µ")+COUNTIF($E115:R115,1)),
HYPERLINK("#Roadmap!C"&amp; MATCH($E115,Roadmap!$D:$D,0)+COUNTIF($E115:R115,"u")+COUNTIF($E115:R115,"t"),
     INDEX(Roadmap!$D:$K,MATCH($E115,Roadmap!$D:$D,0)+COUNTIF($E115:R115,"u")+COUNTIF($E115:R115,"t")+COUNTIF($E115:R115,"¶")+COUNTIF($E115:R115,"²")+COUNTIF($E115:R115,"µ")+COUNTIF($E115:R115,1),ColTypeEcheance)),
  IF(LEN(R115)=1,
  IF(LEN(INDEX(Roadmap!$D:$K,MATCH($E115,Roadmap!$D:$D,0)-1+COUNTIF($E115:R115,"u")+COUNTIF($E115:R115,"t")+COUNTIF($E115:R115,"¶")+COUNTIF($E115:R115,"²")+COUNTIF($E115:R115,"µ")+COUNTIF($E115:R115,1),ColDescriptionCourte))&gt;1,
HYPERLINK("#Roadmap!C"&amp; MATCH($E115,Roadmap!$D:$D,0)+COUNTIF($E115:R115,"u")+COUNTIF($E115:R115,"t")+COUNTIF($E115:R115,"¶")+COUNTIF($E115:R115,"²")+COUNTIF($E115:R115,"µ")+COUNTIF($E115:R115,1)-1,INDEX(Roadmap!$D:$K,MATCH($E115,Roadmap!$D:$D,0)-1+COUNTIF($E115:R115,"u")+COUNTIF($E115:R115,"t")+COUNTIF($E115:R115,"¶")+COUNTIF($E115:R115,"²")+COUNTIF($E115:R115,"µ")+COUNTIF($E115:R115,1),ColDescriptionCourte)),""),
  "")),"")</f>
        <v/>
      </c>
      <c r="T115" s="40" t="str">
        <f ca="1">IFERROR(IF(AND(
  INDEX(Roadmap!$D:$K,MATCH($E115,Roadmap!$D:$D,0)+COUNTIF($E115:S115,"u")+COUNTIF($E115:S115,"t")+COUNTIF($E115:S115,"¶")+COUNTIF($E115:S115,"²")+COUNTIF($E115:S115,"µ")+COUNTIF($E115:S115,1),ColLivraison)=T$6,
  VLOOKUP($E115,INDIRECT("tri!"&amp; CHAR(64+ C0Col) &amp;":"&amp; CHAR(65+C0Col)),2,FALSE)&gt;COUNTIF($E115:S115,"u")+COUNTIF($E115:S115,"t")+COUNTIF($E115:S115,"¶")+COUNTIF($E115:S115,"²")+COUNTIF($E115:S115,"µ")+COUNTIF($E115:S115,1)),
HYPERLINK("#Roadmap!C"&amp; MATCH($E115,Roadmap!$D:$D,0)+COUNTIF($E115:S115,"u")+COUNTIF($E115:S115,"t"),
     INDEX(Roadmap!$D:$K,MATCH($E115,Roadmap!$D:$D,0)+COUNTIF($E115:S115,"u")+COUNTIF($E115:S115,"t")+COUNTIF($E115:S115,"¶")+COUNTIF($E115:S115,"²")+COUNTIF($E115:S115,"µ")+COUNTIF($E115:S115,1),ColTypeEcheance)),
  IF(LEN(S115)=1,
  IF(LEN(INDEX(Roadmap!$D:$K,MATCH($E115,Roadmap!$D:$D,0)-1+COUNTIF($E115:S115,"u")+COUNTIF($E115:S115,"t")+COUNTIF($E115:S115,"¶")+COUNTIF($E115:S115,"²")+COUNTIF($E115:S115,"µ")+COUNTIF($E115:S115,1),ColDescriptionCourte))&gt;1,
HYPERLINK("#Roadmap!C"&amp; MATCH($E115,Roadmap!$D:$D,0)+COUNTIF($E115:S115,"u")+COUNTIF($E115:S115,"t")+COUNTIF($E115:S115,"¶")+COUNTIF($E115:S115,"²")+COUNTIF($E115:S115,"µ")+COUNTIF($E115:S115,1)-1,INDEX(Roadmap!$D:$K,MATCH($E115,Roadmap!$D:$D,0)-1+COUNTIF($E115:S115,"u")+COUNTIF($E115:S115,"t")+COUNTIF($E115:S115,"¶")+COUNTIF($E115:S115,"²")+COUNTIF($E115:S115,"µ")+COUNTIF($E115:S115,1),ColDescriptionCourte)),""),
  "")),"")</f>
        <v/>
      </c>
      <c r="U115" s="40" t="str">
        <f ca="1">IFERROR(IF(AND(
  INDEX(Roadmap!$D:$K,MATCH($E115,Roadmap!$D:$D,0)+COUNTIF($E115:T115,"u")+COUNTIF($E115:T115,"t")+COUNTIF($E115:T115,"¶")+COUNTIF($E115:T115,"²")+COUNTIF($E115:T115,"µ")+COUNTIF($E115:T115,1),ColLivraison)=U$6,
  VLOOKUP($E115,INDIRECT("tri!"&amp; CHAR(64+ C0Col) &amp;":"&amp; CHAR(65+C0Col)),2,FALSE)&gt;COUNTIF($E115:T115,"u")+COUNTIF($E115:T115,"t")+COUNTIF($E115:T115,"¶")+COUNTIF($E115:T115,"²")+COUNTIF($E115:T115,"µ")+COUNTIF($E115:T115,1)),
HYPERLINK("#Roadmap!C"&amp; MATCH($E115,Roadmap!$D:$D,0)+COUNTIF($E115:T115,"u")+COUNTIF($E115:T115,"t"),
     INDEX(Roadmap!$D:$K,MATCH($E115,Roadmap!$D:$D,0)+COUNTIF($E115:T115,"u")+COUNTIF($E115:T115,"t")+COUNTIF($E115:T115,"¶")+COUNTIF($E115:T115,"²")+COUNTIF($E115:T115,"µ")+COUNTIF($E115:T115,1),ColTypeEcheance)),
  IF(LEN(T115)=1,
  IF(LEN(INDEX(Roadmap!$D:$K,MATCH($E115,Roadmap!$D:$D,0)-1+COUNTIF($E115:T115,"u")+COUNTIF($E115:T115,"t")+COUNTIF($E115:T115,"¶")+COUNTIF($E115:T115,"²")+COUNTIF($E115:T115,"µ")+COUNTIF($E115:T115,1),ColDescriptionCourte))&gt;1,
HYPERLINK("#Roadmap!C"&amp; MATCH($E115,Roadmap!$D:$D,0)+COUNTIF($E115:T115,"u")+COUNTIF($E115:T115,"t")+COUNTIF($E115:T115,"¶")+COUNTIF($E115:T115,"²")+COUNTIF($E115:T115,"µ")+COUNTIF($E115:T115,1)-1,INDEX(Roadmap!$D:$K,MATCH($E115,Roadmap!$D:$D,0)-1+COUNTIF($E115:T115,"u")+COUNTIF($E115:T115,"t")+COUNTIF($E115:T115,"¶")+COUNTIF($E115:T115,"²")+COUNTIF($E115:T115,"µ")+COUNTIF($E115:T115,1),ColDescriptionCourte)),""),
  "")),"")</f>
        <v/>
      </c>
      <c r="V115" s="40" t="str">
        <f ca="1">IFERROR(IF(AND(
  INDEX(Roadmap!$D:$K,MATCH($E115,Roadmap!$D:$D,0)+COUNTIF($E115:U115,"u")+COUNTIF($E115:U115,"t")+COUNTIF($E115:U115,"¶")+COUNTIF($E115:U115,"²")+COUNTIF($E115:U115,"µ")+COUNTIF($E115:U115,1),ColLivraison)=V$6,
  VLOOKUP($E115,INDIRECT("tri!"&amp; CHAR(64+ C0Col) &amp;":"&amp; CHAR(65+C0Col)),2,FALSE)&gt;COUNTIF($E115:U115,"u")+COUNTIF($E115:U115,"t")+COUNTIF($E115:U115,"¶")+COUNTIF($E115:U115,"²")+COUNTIF($E115:U115,"µ")+COUNTIF($E115:U115,1)),
HYPERLINK("#Roadmap!C"&amp; MATCH($E115,Roadmap!$D:$D,0)+COUNTIF($E115:U115,"u")+COUNTIF($E115:U115,"t"),
     INDEX(Roadmap!$D:$K,MATCH($E115,Roadmap!$D:$D,0)+COUNTIF($E115:U115,"u")+COUNTIF($E115:U115,"t")+COUNTIF($E115:U115,"¶")+COUNTIF($E115:U115,"²")+COUNTIF($E115:U115,"µ")+COUNTIF($E115:U115,1),ColTypeEcheance)),
  IF(LEN(U115)=1,
  IF(LEN(INDEX(Roadmap!$D:$K,MATCH($E115,Roadmap!$D:$D,0)-1+COUNTIF($E115:U115,"u")+COUNTIF($E115:U115,"t")+COUNTIF($E115:U115,"¶")+COUNTIF($E115:U115,"²")+COUNTIF($E115:U115,"µ")+COUNTIF($E115:U115,1),ColDescriptionCourte))&gt;1,
HYPERLINK("#Roadmap!C"&amp; MATCH($E115,Roadmap!$D:$D,0)+COUNTIF($E115:U115,"u")+COUNTIF($E115:U115,"t")+COUNTIF($E115:U115,"¶")+COUNTIF($E115:U115,"²")+COUNTIF($E115:U115,"µ")+COUNTIF($E115:U115,1)-1,INDEX(Roadmap!$D:$K,MATCH($E115,Roadmap!$D:$D,0)-1+COUNTIF($E115:U115,"u")+COUNTIF($E115:U115,"t")+COUNTIF($E115:U115,"¶")+COUNTIF($E115:U115,"²")+COUNTIF($E115:U115,"µ")+COUNTIF($E115:U115,1),ColDescriptionCourte)),""),
  "")),"")</f>
        <v/>
      </c>
      <c r="W115" s="40" t="str">
        <f ca="1">IFERROR(IF(AND(
  INDEX(Roadmap!$D:$K,MATCH($E115,Roadmap!$D:$D,0)+COUNTIF($E115:V115,"u")+COUNTIF($E115:V115,"t")+COUNTIF($E115:V115,"¶")+COUNTIF($E115:V115,"²")+COUNTIF($E115:V115,"µ")+COUNTIF($E115:V115,1),ColLivraison)=W$6,
  VLOOKUP($E115,INDIRECT("tri!"&amp; CHAR(64+ C0Col) &amp;":"&amp; CHAR(65+C0Col)),2,FALSE)&gt;COUNTIF($E115:V115,"u")+COUNTIF($E115:V115,"t")+COUNTIF($E115:V115,"¶")+COUNTIF($E115:V115,"²")+COUNTIF($E115:V115,"µ")+COUNTIF($E115:V115,1)),
HYPERLINK("#Roadmap!C"&amp; MATCH($E115,Roadmap!$D:$D,0)+COUNTIF($E115:V115,"u")+COUNTIF($E115:V115,"t"),
     INDEX(Roadmap!$D:$K,MATCH($E115,Roadmap!$D:$D,0)+COUNTIF($E115:V115,"u")+COUNTIF($E115:V115,"t")+COUNTIF($E115:V115,"¶")+COUNTIF($E115:V115,"²")+COUNTIF($E115:V115,"µ")+COUNTIF($E115:V115,1),ColTypeEcheance)),
  IF(LEN(V115)=1,
  IF(LEN(INDEX(Roadmap!$D:$K,MATCH($E115,Roadmap!$D:$D,0)-1+COUNTIF($E115:V115,"u")+COUNTIF($E115:V115,"t")+COUNTIF($E115:V115,"¶")+COUNTIF($E115:V115,"²")+COUNTIF($E115:V115,"µ")+COUNTIF($E115:V115,1),ColDescriptionCourte))&gt;1,
HYPERLINK("#Roadmap!C"&amp; MATCH($E115,Roadmap!$D:$D,0)+COUNTIF($E115:V115,"u")+COUNTIF($E115:V115,"t")+COUNTIF($E115:V115,"¶")+COUNTIF($E115:V115,"²")+COUNTIF($E115:V115,"µ")+COUNTIF($E115:V115,1)-1,INDEX(Roadmap!$D:$K,MATCH($E115,Roadmap!$D:$D,0)-1+COUNTIF($E115:V115,"u")+COUNTIF($E115:V115,"t")+COUNTIF($E115:V115,"¶")+COUNTIF($E115:V115,"²")+COUNTIF($E115:V115,"µ")+COUNTIF($E115:V115,1),ColDescriptionCourte)),""),
  "")),"")</f>
        <v/>
      </c>
      <c r="X115" s="40" t="str">
        <f ca="1">IFERROR(IF(AND(
  INDEX(Roadmap!$D:$K,MATCH($E115,Roadmap!$D:$D,0)+COUNTIF($E115:W115,"u")+COUNTIF($E115:W115,"t")+COUNTIF($E115:W115,"¶")+COUNTIF($E115:W115,"²")+COUNTIF($E115:W115,"µ")+COUNTIF($E115:W115,1),ColLivraison)=X$6,
  VLOOKUP($E115,INDIRECT("tri!"&amp; CHAR(64+ C0Col) &amp;":"&amp; CHAR(65+C0Col)),2,FALSE)&gt;COUNTIF($E115:W115,"u")+COUNTIF($E115:W115,"t")+COUNTIF($E115:W115,"¶")+COUNTIF($E115:W115,"²")+COUNTIF($E115:W115,"µ")+COUNTIF($E115:W115,1)),
HYPERLINK("#Roadmap!C"&amp; MATCH($E115,Roadmap!$D:$D,0)+COUNTIF($E115:W115,"u")+COUNTIF($E115:W115,"t"),
     INDEX(Roadmap!$D:$K,MATCH($E115,Roadmap!$D:$D,0)+COUNTIF($E115:W115,"u")+COUNTIF($E115:W115,"t")+COUNTIF($E115:W115,"¶")+COUNTIF($E115:W115,"²")+COUNTIF($E115:W115,"µ")+COUNTIF($E115:W115,1),ColTypeEcheance)),
  IF(LEN(W115)=1,
  IF(LEN(INDEX(Roadmap!$D:$K,MATCH($E115,Roadmap!$D:$D,0)-1+COUNTIF($E115:W115,"u")+COUNTIF($E115:W115,"t")+COUNTIF($E115:W115,"¶")+COUNTIF($E115:W115,"²")+COUNTIF($E115:W115,"µ")+COUNTIF($E115:W115,1),ColDescriptionCourte))&gt;1,
HYPERLINK("#Roadmap!C"&amp; MATCH($E115,Roadmap!$D:$D,0)+COUNTIF($E115:W115,"u")+COUNTIF($E115:W115,"t")+COUNTIF($E115:W115,"¶")+COUNTIF($E115:W115,"²")+COUNTIF($E115:W115,"µ")+COUNTIF($E115:W115,1)-1,INDEX(Roadmap!$D:$K,MATCH($E115,Roadmap!$D:$D,0)-1+COUNTIF($E115:W115,"u")+COUNTIF($E115:W115,"t")+COUNTIF($E115:W115,"¶")+COUNTIF($E115:W115,"²")+COUNTIF($E115:W115,"µ")+COUNTIF($E115:W115,1),ColDescriptionCourte)),""),
  "")),"")</f>
        <v/>
      </c>
      <c r="Y115" s="40" t="str">
        <f ca="1">IFERROR(IF(AND(
  INDEX(Roadmap!$D:$K,MATCH($E115,Roadmap!$D:$D,0)+COUNTIF($E115:X115,"u")+COUNTIF($E115:X115,"t")+COUNTIF($E115:X115,"¶")+COUNTIF($E115:X115,"²")+COUNTIF($E115:X115,"µ")+COUNTIF($E115:X115,1),ColLivraison)=Y$6,
  VLOOKUP($E115,INDIRECT("tri!"&amp; CHAR(64+ C0Col) &amp;":"&amp; CHAR(65+C0Col)),2,FALSE)&gt;COUNTIF($E115:X115,"u")+COUNTIF($E115:X115,"t")+COUNTIF($E115:X115,"¶")+COUNTIF($E115:X115,"²")+COUNTIF($E115:X115,"µ")+COUNTIF($E115:X115,1)),
HYPERLINK("#Roadmap!C"&amp; MATCH($E115,Roadmap!$D:$D,0)+COUNTIF($E115:X115,"u")+COUNTIF($E115:X115,"t"),
     INDEX(Roadmap!$D:$K,MATCH($E115,Roadmap!$D:$D,0)+COUNTIF($E115:X115,"u")+COUNTIF($E115:X115,"t")+COUNTIF($E115:X115,"¶")+COUNTIF($E115:X115,"²")+COUNTIF($E115:X115,"µ")+COUNTIF($E115:X115,1),ColTypeEcheance)),
  IF(LEN(X115)=1,
  IF(LEN(INDEX(Roadmap!$D:$K,MATCH($E115,Roadmap!$D:$D,0)-1+COUNTIF($E115:X115,"u")+COUNTIF($E115:X115,"t")+COUNTIF($E115:X115,"¶")+COUNTIF($E115:X115,"²")+COUNTIF($E115:X115,"µ")+COUNTIF($E115:X115,1),ColDescriptionCourte))&gt;1,
HYPERLINK("#Roadmap!C"&amp; MATCH($E115,Roadmap!$D:$D,0)+COUNTIF($E115:X115,"u")+COUNTIF($E115:X115,"t")+COUNTIF($E115:X115,"¶")+COUNTIF($E115:X115,"²")+COUNTIF($E115:X115,"µ")+COUNTIF($E115:X115,1)-1,INDEX(Roadmap!$D:$K,MATCH($E115,Roadmap!$D:$D,0)-1+COUNTIF($E115:X115,"u")+COUNTIF($E115:X115,"t")+COUNTIF($E115:X115,"¶")+COUNTIF($E115:X115,"²")+COUNTIF($E115:X115,"µ")+COUNTIF($E115:X115,1),ColDescriptionCourte)),""),
  "")),"")</f>
        <v/>
      </c>
      <c r="Z115" s="40" t="str">
        <f ca="1">IFERROR(IF(AND(
  INDEX(Roadmap!$D:$K,MATCH($E115,Roadmap!$D:$D,0)+COUNTIF($E115:Y115,"u")+COUNTIF($E115:Y115,"t")+COUNTIF($E115:Y115,"¶")+COUNTIF($E115:Y115,"²")+COUNTIF($E115:Y115,"µ")+COUNTIF($E115:Y115,1),ColLivraison)=Z$6,
  VLOOKUP($E115,INDIRECT("tri!"&amp; CHAR(64+ C0Col) &amp;":"&amp; CHAR(65+C0Col)),2,FALSE)&gt;COUNTIF($E115:Y115,"u")+COUNTIF($E115:Y115,"t")+COUNTIF($E115:Y115,"¶")+COUNTIF($E115:Y115,"²")+COUNTIF($E115:Y115,"µ")+COUNTIF($E115:Y115,1)),
HYPERLINK("#Roadmap!C"&amp; MATCH($E115,Roadmap!$D:$D,0)+COUNTIF($E115:Y115,"u")+COUNTIF($E115:Y115,"t"),
     INDEX(Roadmap!$D:$K,MATCH($E115,Roadmap!$D:$D,0)+COUNTIF($E115:Y115,"u")+COUNTIF($E115:Y115,"t")+COUNTIF($E115:Y115,"¶")+COUNTIF($E115:Y115,"²")+COUNTIF($E115:Y115,"µ")+COUNTIF($E115:Y115,1),ColTypeEcheance)),
  IF(LEN(Y115)=1,
  IF(LEN(INDEX(Roadmap!$D:$K,MATCH($E115,Roadmap!$D:$D,0)-1+COUNTIF($E115:Y115,"u")+COUNTIF($E115:Y115,"t")+COUNTIF($E115:Y115,"¶")+COUNTIF($E115:Y115,"²")+COUNTIF($E115:Y115,"µ")+COUNTIF($E115:Y115,1),ColDescriptionCourte))&gt;1,
HYPERLINK("#Roadmap!C"&amp; MATCH($E115,Roadmap!$D:$D,0)+COUNTIF($E115:Y115,"u")+COUNTIF($E115:Y115,"t")+COUNTIF($E115:Y115,"¶")+COUNTIF($E115:Y115,"²")+COUNTIF($E115:Y115,"µ")+COUNTIF($E115:Y115,1)-1,INDEX(Roadmap!$D:$K,MATCH($E115,Roadmap!$D:$D,0)-1+COUNTIF($E115:Y115,"u")+COUNTIF($E115:Y115,"t")+COUNTIF($E115:Y115,"¶")+COUNTIF($E115:Y115,"²")+COUNTIF($E115:Y115,"µ")+COUNTIF($E115:Y115,1),ColDescriptionCourte)),""),
  "")),"")</f>
        <v/>
      </c>
      <c r="AA115" s="40" t="str">
        <f ca="1">IFERROR(IF(AND(
  INDEX(Roadmap!$D:$K,MATCH($E115,Roadmap!$D:$D,0)+COUNTIF($E115:Z115,"u")+COUNTIF($E115:Z115,"t")+COUNTIF($E115:Z115,"¶")+COUNTIF($E115:Z115,"²")+COUNTIF($E115:Z115,"µ")+COUNTIF($E115:Z115,1),ColLivraison)=AA$6,
  VLOOKUP($E115,INDIRECT("tri!"&amp; CHAR(64+ C0Col) &amp;":"&amp; CHAR(65+C0Col)),2,FALSE)&gt;COUNTIF($E115:Z115,"u")+COUNTIF($E115:Z115,"t")+COUNTIF($E115:Z115,"¶")+COUNTIF($E115:Z115,"²")+COUNTIF($E115:Z115,"µ")+COUNTIF($E115:Z115,1)),
HYPERLINK("#Roadmap!C"&amp; MATCH($E115,Roadmap!$D:$D,0)+COUNTIF($E115:Z115,"u")+COUNTIF($E115:Z115,"t"),
     INDEX(Roadmap!$D:$K,MATCH($E115,Roadmap!$D:$D,0)+COUNTIF($E115:Z115,"u")+COUNTIF($E115:Z115,"t")+COUNTIF($E115:Z115,"¶")+COUNTIF($E115:Z115,"²")+COUNTIF($E115:Z115,"µ")+COUNTIF($E115:Z115,1),ColTypeEcheance)),
  IF(LEN(Z115)=1,
  IF(LEN(INDEX(Roadmap!$D:$K,MATCH($E115,Roadmap!$D:$D,0)-1+COUNTIF($E115:Z115,"u")+COUNTIF($E115:Z115,"t")+COUNTIF($E115:Z115,"¶")+COUNTIF($E115:Z115,"²")+COUNTIF($E115:Z115,"µ")+COUNTIF($E115:Z115,1),ColDescriptionCourte))&gt;1,
HYPERLINK("#Roadmap!C"&amp; MATCH($E115,Roadmap!$D:$D,0)+COUNTIF($E115:Z115,"u")+COUNTIF($E115:Z115,"t")+COUNTIF($E115:Z115,"¶")+COUNTIF($E115:Z115,"²")+COUNTIF($E115:Z115,"µ")+COUNTIF($E115:Z115,1)-1,INDEX(Roadmap!$D:$K,MATCH($E115,Roadmap!$D:$D,0)-1+COUNTIF($E115:Z115,"u")+COUNTIF($E115:Z115,"t")+COUNTIF($E115:Z115,"¶")+COUNTIF($E115:Z115,"²")+COUNTIF($E115:Z115,"µ")+COUNTIF($E115:Z115,1),ColDescriptionCourte)),""),
  "")),"")</f>
        <v/>
      </c>
      <c r="AB115" s="40" t="str">
        <f ca="1">IFERROR(IF(AND(
  INDEX(Roadmap!$D:$K,MATCH($E115,Roadmap!$D:$D,0)+COUNTIF($E115:AA115,"u")+COUNTIF($E115:AA115,"t")+COUNTIF($E115:AA115,"¶")+COUNTIF($E115:AA115,"²")+COUNTIF($E115:AA115,"µ")+COUNTIF($E115:AA115,1),ColLivraison)=AB$6,
  VLOOKUP($E115,INDIRECT("tri!"&amp; CHAR(64+ C0Col) &amp;":"&amp; CHAR(65+C0Col)),2,FALSE)&gt;COUNTIF($E115:AA115,"u")+COUNTIF($E115:AA115,"t")+COUNTIF($E115:AA115,"¶")+COUNTIF($E115:AA115,"²")+COUNTIF($E115:AA115,"µ")+COUNTIF($E115:AA115,1)),
HYPERLINK("#Roadmap!C"&amp; MATCH($E115,Roadmap!$D:$D,0)+COUNTIF($E115:AA115,"u")+COUNTIF($E115:AA115,"t"),
     INDEX(Roadmap!$D:$K,MATCH($E115,Roadmap!$D:$D,0)+COUNTIF($E115:AA115,"u")+COUNTIF($E115:AA115,"t")+COUNTIF($E115:AA115,"¶")+COUNTIF($E115:AA115,"²")+COUNTIF($E115:AA115,"µ")+COUNTIF($E115:AA115,1),ColTypeEcheance)),
  IF(LEN(AA115)=1,
  IF(LEN(INDEX(Roadmap!$D:$K,MATCH($E115,Roadmap!$D:$D,0)-1+COUNTIF($E115:AA115,"u")+COUNTIF($E115:AA115,"t")+COUNTIF($E115:AA115,"¶")+COUNTIF($E115:AA115,"²")+COUNTIF($E115:AA115,"µ")+COUNTIF($E115:AA115,1),ColDescriptionCourte))&gt;1,
HYPERLINK("#Roadmap!C"&amp; MATCH($E115,Roadmap!$D:$D,0)+COUNTIF($E115:AA115,"u")+COUNTIF($E115:AA115,"t")+COUNTIF($E115:AA115,"¶")+COUNTIF($E115:AA115,"²")+COUNTIF($E115:AA115,"µ")+COUNTIF($E115:AA115,1)-1,INDEX(Roadmap!$D:$K,MATCH($E115,Roadmap!$D:$D,0)-1+COUNTIF($E115:AA115,"u")+COUNTIF($E115:AA115,"t")+COUNTIF($E115:AA115,"¶")+COUNTIF($E115:AA115,"²")+COUNTIF($E115:AA115,"µ")+COUNTIF($E115:AA115,1),ColDescriptionCourte)),""),
  "")),"")</f>
        <v/>
      </c>
      <c r="AC115" s="40" t="str">
        <f ca="1">IFERROR(IF(AND(
  INDEX(Roadmap!$D:$K,MATCH($E115,Roadmap!$D:$D,0)+COUNTIF($E115:AB115,"u")+COUNTIF($E115:AB115,"t")+COUNTIF($E115:AB115,"¶")+COUNTIF($E115:AB115,"²")+COUNTIF($E115:AB115,"µ")+COUNTIF($E115:AB115,1),ColLivraison)=AC$6,
  VLOOKUP($E115,INDIRECT("tri!"&amp; CHAR(64+ C0Col) &amp;":"&amp; CHAR(65+C0Col)),2,FALSE)&gt;COUNTIF($E115:AB115,"u")+COUNTIF($E115:AB115,"t")+COUNTIF($E115:AB115,"¶")+COUNTIF($E115:AB115,"²")+COUNTIF($E115:AB115,"µ")+COUNTIF($E115:AB115,1)),
HYPERLINK("#Roadmap!C"&amp; MATCH($E115,Roadmap!$D:$D,0)+COUNTIF($E115:AB115,"u")+COUNTIF($E115:AB115,"t"),
     INDEX(Roadmap!$D:$K,MATCH($E115,Roadmap!$D:$D,0)+COUNTIF($E115:AB115,"u")+COUNTIF($E115:AB115,"t")+COUNTIF($E115:AB115,"¶")+COUNTIF($E115:AB115,"²")+COUNTIF($E115:AB115,"µ")+COUNTIF($E115:AB115,1),ColTypeEcheance)),
  IF(LEN(AB115)=1,
  IF(LEN(INDEX(Roadmap!$D:$K,MATCH($E115,Roadmap!$D:$D,0)-1+COUNTIF($E115:AB115,"u")+COUNTIF($E115:AB115,"t")+COUNTIF($E115:AB115,"¶")+COUNTIF($E115:AB115,"²")+COUNTIF($E115:AB115,"µ")+COUNTIF($E115:AB115,1),ColDescriptionCourte))&gt;1,
HYPERLINK("#Roadmap!C"&amp; MATCH($E115,Roadmap!$D:$D,0)+COUNTIF($E115:AB115,"u")+COUNTIF($E115:AB115,"t")+COUNTIF($E115:AB115,"¶")+COUNTIF($E115:AB115,"²")+COUNTIF($E115:AB115,"µ")+COUNTIF($E115:AB115,1)-1,INDEX(Roadmap!$D:$K,MATCH($E115,Roadmap!$D:$D,0)-1+COUNTIF($E115:AB115,"u")+COUNTIF($E115:AB115,"t")+COUNTIF($E115:AB115,"¶")+COUNTIF($E115:AB115,"²")+COUNTIF($E115:AB115,"µ")+COUNTIF($E115:AB115,1),ColDescriptionCourte)),""),
  "")),"")</f>
        <v/>
      </c>
      <c r="AD115" s="40" t="str">
        <f ca="1">IFERROR(IF(AND(
  INDEX(Roadmap!$D:$K,MATCH($E115,Roadmap!$D:$D,0)+COUNTIF($E115:AC115,"u")+COUNTIF($E115:AC115,"t")+COUNTIF($E115:AC115,"¶")+COUNTIF($E115:AC115,"²")+COUNTIF($E115:AC115,"µ")+COUNTIF($E115:AC115,1),ColLivraison)=AD$6,
  VLOOKUP($E115,INDIRECT("tri!"&amp; CHAR(64+ C0Col) &amp;":"&amp; CHAR(65+C0Col)),2,FALSE)&gt;COUNTIF($E115:AC115,"u")+COUNTIF($E115:AC115,"t")+COUNTIF($E115:AC115,"¶")+COUNTIF($E115:AC115,"²")+COUNTIF($E115:AC115,"µ")+COUNTIF($E115:AC115,1)),
HYPERLINK("#Roadmap!C"&amp; MATCH($E115,Roadmap!$D:$D,0)+COUNTIF($E115:AC115,"u")+COUNTIF($E115:AC115,"t"),
     INDEX(Roadmap!$D:$K,MATCH($E115,Roadmap!$D:$D,0)+COUNTIF($E115:AC115,"u")+COUNTIF($E115:AC115,"t")+COUNTIF($E115:AC115,"¶")+COUNTIF($E115:AC115,"²")+COUNTIF($E115:AC115,"µ")+COUNTIF($E115:AC115,1),ColTypeEcheance)),
  IF(LEN(AC115)=1,
  IF(LEN(INDEX(Roadmap!$D:$K,MATCH($E115,Roadmap!$D:$D,0)-1+COUNTIF($E115:AC115,"u")+COUNTIF($E115:AC115,"t")+COUNTIF($E115:AC115,"¶")+COUNTIF($E115:AC115,"²")+COUNTIF($E115:AC115,"µ")+COUNTIF($E115:AC115,1),ColDescriptionCourte))&gt;1,
HYPERLINK("#Roadmap!C"&amp; MATCH($E115,Roadmap!$D:$D,0)+COUNTIF($E115:AC115,"u")+COUNTIF($E115:AC115,"t")+COUNTIF($E115:AC115,"¶")+COUNTIF($E115:AC115,"²")+COUNTIF($E115:AC115,"µ")+COUNTIF($E115:AC115,1)-1,INDEX(Roadmap!$D:$K,MATCH($E115,Roadmap!$D:$D,0)-1+COUNTIF($E115:AC115,"u")+COUNTIF($E115:AC115,"t")+COUNTIF($E115:AC115,"¶")+COUNTIF($E115:AC115,"²")+COUNTIF($E115:AC115,"µ")+COUNTIF($E115:AC115,1),ColDescriptionCourte)),""),
  "")),"")</f>
        <v/>
      </c>
      <c r="AE115" s="40" t="str">
        <f ca="1">IFERROR(IF(AND(
  INDEX(Roadmap!$D:$K,MATCH($E115,Roadmap!$D:$D,0)+COUNTIF($E115:AD115,"u")+COUNTIF($E115:AD115,"t")+COUNTIF($E115:AD115,"¶")+COUNTIF($E115:AD115,"²")+COUNTIF($E115:AD115,"µ")+COUNTIF($E115:AD115,1),ColLivraison)=AE$6,
  VLOOKUP($E115,INDIRECT("tri!"&amp; CHAR(64+ C0Col) &amp;":"&amp; CHAR(65+C0Col)),2,FALSE)&gt;COUNTIF($E115:AD115,"u")+COUNTIF($E115:AD115,"t")+COUNTIF($E115:AD115,"¶")+COUNTIF($E115:AD115,"²")+COUNTIF($E115:AD115,"µ")+COUNTIF($E115:AD115,1)),
HYPERLINK("#Roadmap!C"&amp; MATCH($E115,Roadmap!$D:$D,0)+COUNTIF($E115:AD115,"u")+COUNTIF($E115:AD115,"t"),
     INDEX(Roadmap!$D:$K,MATCH($E115,Roadmap!$D:$D,0)+COUNTIF($E115:AD115,"u")+COUNTIF($E115:AD115,"t")+COUNTIF($E115:AD115,"¶")+COUNTIF($E115:AD115,"²")+COUNTIF($E115:AD115,"µ")+COUNTIF($E115:AD115,1),ColTypeEcheance)),
  IF(LEN(AD115)=1,
  IF(LEN(INDEX(Roadmap!$D:$K,MATCH($E115,Roadmap!$D:$D,0)-1+COUNTIF($E115:AD115,"u")+COUNTIF($E115:AD115,"t")+COUNTIF($E115:AD115,"¶")+COUNTIF($E115:AD115,"²")+COUNTIF($E115:AD115,"µ")+COUNTIF($E115:AD115,1),ColDescriptionCourte))&gt;1,
HYPERLINK("#Roadmap!C"&amp; MATCH($E115,Roadmap!$D:$D,0)+COUNTIF($E115:AD115,"u")+COUNTIF($E115:AD115,"t")+COUNTIF($E115:AD115,"¶")+COUNTIF($E115:AD115,"²")+COUNTIF($E115:AD115,"µ")+COUNTIF($E115:AD115,1)-1,INDEX(Roadmap!$D:$K,MATCH($E115,Roadmap!$D:$D,0)-1+COUNTIF($E115:AD115,"u")+COUNTIF($E115:AD115,"t")+COUNTIF($E115:AD115,"¶")+COUNTIF($E115:AD115,"²")+COUNTIF($E115:AD115,"µ")+COUNTIF($E115:AD115,1),ColDescriptionCourte)),""),
  "")),"")</f>
        <v/>
      </c>
      <c r="AF115" s="40" t="str">
        <f ca="1">IFERROR(IF(AND(
  INDEX(Roadmap!$D:$K,MATCH($E115,Roadmap!$D:$D,0)+COUNTIF($E115:AE115,"u")+COUNTIF($E115:AE115,"t")+COUNTIF($E115:AE115,"¶")+COUNTIF($E115:AE115,"²")+COUNTIF($E115:AE115,"µ")+COUNTIF($E115:AE115,1),ColLivraison)=AF$6,
  VLOOKUP($E115,INDIRECT("tri!"&amp; CHAR(64+ C0Col) &amp;":"&amp; CHAR(65+C0Col)),2,FALSE)&gt;COUNTIF($E115:AE115,"u")+COUNTIF($E115:AE115,"t")+COUNTIF($E115:AE115,"¶")+COUNTIF($E115:AE115,"²")+COUNTIF($E115:AE115,"µ")+COUNTIF($E115:AE115,1)),
HYPERLINK("#Roadmap!C"&amp; MATCH($E115,Roadmap!$D:$D,0)+COUNTIF($E115:AE115,"u")+COUNTIF($E115:AE115,"t"),
     INDEX(Roadmap!$D:$K,MATCH($E115,Roadmap!$D:$D,0)+COUNTIF($E115:AE115,"u")+COUNTIF($E115:AE115,"t")+COUNTIF($E115:AE115,"¶")+COUNTIF($E115:AE115,"²")+COUNTIF($E115:AE115,"µ")+COUNTIF($E115:AE115,1),ColTypeEcheance)),
  IF(LEN(AE115)=1,
  IF(LEN(INDEX(Roadmap!$D:$K,MATCH($E115,Roadmap!$D:$D,0)-1+COUNTIF($E115:AE115,"u")+COUNTIF($E115:AE115,"t")+COUNTIF($E115:AE115,"¶")+COUNTIF($E115:AE115,"²")+COUNTIF($E115:AE115,"µ")+COUNTIF($E115:AE115,1),ColDescriptionCourte))&gt;1,
HYPERLINK("#Roadmap!C"&amp; MATCH($E115,Roadmap!$D:$D,0)+COUNTIF($E115:AE115,"u")+COUNTIF($E115:AE115,"t")+COUNTIF($E115:AE115,"¶")+COUNTIF($E115:AE115,"²")+COUNTIF($E115:AE115,"µ")+COUNTIF($E115:AE115,1)-1,INDEX(Roadmap!$D:$K,MATCH($E115,Roadmap!$D:$D,0)-1+COUNTIF($E115:AE115,"u")+COUNTIF($E115:AE115,"t")+COUNTIF($E115:AE115,"¶")+COUNTIF($E115:AE115,"²")+COUNTIF($E115:AE115,"µ")+COUNTIF($E115:AE115,1),ColDescriptionCourte)),""),
  "")),"")</f>
        <v/>
      </c>
      <c r="AG115" s="40" t="str">
        <f ca="1">IFERROR(IF(AND(
  INDEX(Roadmap!$D:$K,MATCH($E115,Roadmap!$D:$D,0)+COUNTIF($E115:AF115,"u")+COUNTIF($E115:AF115,"t")+COUNTIF($E115:AF115,"¶")+COUNTIF($E115:AF115,"²")+COUNTIF($E115:AF115,"µ")+COUNTIF($E115:AF115,1),ColLivraison)=AG$6,
  VLOOKUP($E115,INDIRECT("tri!"&amp; CHAR(64+ C0Col) &amp;":"&amp; CHAR(65+C0Col)),2,FALSE)&gt;COUNTIF($E115:AF115,"u")+COUNTIF($E115:AF115,"t")+COUNTIF($E115:AF115,"¶")+COUNTIF($E115:AF115,"²")+COUNTIF($E115:AF115,"µ")+COUNTIF($E115:AF115,1)),
HYPERLINK("#Roadmap!C"&amp; MATCH($E115,Roadmap!$D:$D,0)+COUNTIF($E115:AF115,"u")+COUNTIF($E115:AF115,"t"),
     INDEX(Roadmap!$D:$K,MATCH($E115,Roadmap!$D:$D,0)+COUNTIF($E115:AF115,"u")+COUNTIF($E115:AF115,"t")+COUNTIF($E115:AF115,"¶")+COUNTIF($E115:AF115,"²")+COUNTIF($E115:AF115,"µ")+COUNTIF($E115:AF115,1),ColTypeEcheance)),
  IF(LEN(AF115)=1,
  IF(LEN(INDEX(Roadmap!$D:$K,MATCH($E115,Roadmap!$D:$D,0)-1+COUNTIF($E115:AF115,"u")+COUNTIF($E115:AF115,"t")+COUNTIF($E115:AF115,"¶")+COUNTIF($E115:AF115,"²")+COUNTIF($E115:AF115,"µ")+COUNTIF($E115:AF115,1),ColDescriptionCourte))&gt;1,
HYPERLINK("#Roadmap!C"&amp; MATCH($E115,Roadmap!$D:$D,0)+COUNTIF($E115:AF115,"u")+COUNTIF($E115:AF115,"t")+COUNTIF($E115:AF115,"¶")+COUNTIF($E115:AF115,"²")+COUNTIF($E115:AF115,"µ")+COUNTIF($E115:AF115,1)-1,INDEX(Roadmap!$D:$K,MATCH($E115,Roadmap!$D:$D,0)-1+COUNTIF($E115:AF115,"u")+COUNTIF($E115:AF115,"t")+COUNTIF($E115:AF115,"¶")+COUNTIF($E115:AF115,"²")+COUNTIF($E115:AF115,"µ")+COUNTIF($E115:AF115,1),ColDescriptionCourte)),""),
  "")),"")</f>
        <v/>
      </c>
      <c r="AH115" s="40" t="str">
        <f ca="1">IFERROR(IF(AND(
  INDEX(Roadmap!$D:$K,MATCH($E115,Roadmap!$D:$D,0)+COUNTIF($E115:AG115,"u")+COUNTIF($E115:AG115,"t")+COUNTIF($E115:AG115,1),ColLivraison)=AH$6,
  VLOOKUP($E115,INDIRECT("tri!"&amp; CHAR(64+ C0Col) &amp;":"&amp; CHAR(65+C0Col)),2,FALSE)&gt;COUNTIF($E115:AG115,"u")+COUNTIF($E115:AG115,"t")+COUNTIF($E115:AG115,1)),
HYPERLINK("#Roadmap!C"&amp; MATCH($E115,Roadmap!$D:$D,0)+COUNTIF($E115:AG115,"u")+COUNTIF($E115:AG115,"t"),
     INDEX(Roadmap!$D:$K,MATCH($E115,Roadmap!$D:$D,0)+COUNTIF($E115:AG115,"u")+COUNTIF($E115:AG115,"t")+COUNTIF($E115:AG115,1),ColTypeEcheance)),
  IF(OR(AG115="u",AG115="t",AG115=1),
  IF(LEN(INDEX(Roadmap!$D:$K,MATCH($E115,Roadmap!$D:$D,0)-1+COUNTIF($E115:AG115,"u")+COUNTIF($E115:AG115,"t")+COUNTIF($E115:AG115,1),ColDescriptionCourte))&gt;1,
HYPERLINK("#Roadmap!C"&amp; MATCH($E115,Roadmap!$D:$D,0)+COUNTIF($E115:AG115,"u")+COUNTIF($E115:AG115,"t")+COUNTIF($E115:AG115,1)-1,INDEX(Roadmap!$D:$K,MATCH($E115,Roadmap!$D:$D,0)-1+COUNTIF($E115:AG115,"u")+COUNTIF($E115:AG115,"t")+COUNTIF($E115:AG115,1),ColDescriptionCourte)),""),
  "")),"")</f>
        <v/>
      </c>
      <c r="AI115" s="40"/>
      <c r="AJ115" s="40"/>
      <c r="AK115" s="40"/>
      <c r="AL115" s="40"/>
      <c r="AM115" s="40"/>
    </row>
    <row r="116" spans="4:39" ht="14.1" customHeight="1">
      <c r="D116" s="20" t="str">
        <f t="shared" ca="1" si="29"/>
        <v/>
      </c>
      <c r="E116" s="53" t="str">
        <f t="shared" ca="1" si="30"/>
        <v/>
      </c>
      <c r="F116" s="39" t="str">
        <f ca="1">IFERROR(IF(AND(
  INDEX(Roadmap!$D:$K,MATCH($E116,Roadmap!$D:$D,0)+COUNTIF($E116:E116,"u")+COUNTIF($E116:E116,"t")+COUNTIF($E116:E116,"¶")+COUNTIF($E116:E116,"²")+COUNTIF($E116:E116,"µ")+COUNTIF($E116:E116,1),ColLivraison)=F$6,
  VLOOKUP($E116,INDIRECT("tri!"&amp; CHAR(64+ C0Col) &amp;":"&amp; CHAR(65+C0Col)),2,FALSE)&gt;COUNTIF($E116:E116,"u")+COUNTIF($E116:E116,"t")+COUNTIF($E116:E116,"¶")+COUNTIF($E116:E116,"²")+COUNTIF($E116:E116,"µ")+COUNTIF($E116:E116,1)),
HYPERLINK("#Roadmap!C"&amp; MATCH($E116,Roadmap!$D:$D,0)+COUNTIF($E116:E116,"u")+COUNTIF($E116:E116,"t"),
     INDEX(Roadmap!$D:$K,MATCH($E116,Roadmap!$D:$D,0)+COUNTIF($E116:E116,"u")+COUNTIF($E116:E116,"t")+COUNTIF($E116:E116,"¶")+COUNTIF($E116:E116,"²")+COUNTIF($E116:E116,"µ")+COUNTIF($E116:E116,1),ColTypeEcheance)),
  IF(LEN(E116)=1,
  IF(LEN(INDEX(Roadmap!$D:$K,MATCH($E116,Roadmap!$D:$D,0)-1+COUNTIF($E116:E116,"u")+COUNTIF($E116:E116,"t")+COUNTIF($E116:E116,"¶")+COUNTIF($E116:E116,"²")+COUNTIF($E116:E116,"µ")+COUNTIF($E116:E116,1),ColDescriptionCourte))&gt;1,
HYPERLINK("#Roadmap!C"&amp; MATCH($E116,Roadmap!$D:$D,0)+COUNTIF($E116:E116,"u")+COUNTIF($E116:E116,"t")+COUNTIF($E116:E116,"¶")+COUNTIF($E116:E116,"²")+COUNTIF($E116:E116,"µ")+COUNTIF($E116:E116,1)-1,INDEX(Roadmap!$D:$K,MATCH($E116,Roadmap!$D:$D,0)-1+COUNTIF($E116:E116,"u")+COUNTIF($E116:E116,"t")+COUNTIF($E116:E116,"¶")+COUNTIF($E116:E116,"²")+COUNTIF($E116:E116,"µ")+COUNTIF($E116:E116,1),ColDescriptionCourte)),""),
  "")),"")</f>
        <v/>
      </c>
      <c r="G116" s="40" t="str">
        <f ca="1">IFERROR(IF(AND(
  INDEX(Roadmap!$D:$K,MATCH($E116,Roadmap!$D:$D,0)+COUNTIF($E116:F116,"u")+COUNTIF($E116:F116,"t")+COUNTIF($E116:F116,"¶")+COUNTIF($E116:F116,"²")+COUNTIF($E116:F116,"µ")+COUNTIF($E116:F116,1),ColLivraison)=G$6,
  VLOOKUP($E116,INDIRECT("tri!"&amp; CHAR(64+ C0Col) &amp;":"&amp; CHAR(65+C0Col)),2,FALSE)&gt;COUNTIF($E116:F116,"u")+COUNTIF($E116:F116,"t")+COUNTIF($E116:F116,"¶")+COUNTIF($E116:F116,"²")+COUNTIF($E116:F116,"µ")+COUNTIF($E116:F116,1)),
HYPERLINK("#Roadmap!C"&amp; MATCH($E116,Roadmap!$D:$D,0)+COUNTIF($E116:F116,"u")+COUNTIF($E116:F116,"t"),
     INDEX(Roadmap!$D:$K,MATCH($E116,Roadmap!$D:$D,0)+COUNTIF($E116:F116,"u")+COUNTIF($E116:F116,"t")+COUNTIF($E116:F116,"¶")+COUNTIF($E116:F116,"²")+COUNTIF($E116:F116,"µ")+COUNTIF($E116:F116,1),ColTypeEcheance)),
  IF(LEN(F116)=1,
  IF(LEN(INDEX(Roadmap!$D:$K,MATCH($E116,Roadmap!$D:$D,0)-1+COUNTIF($E116:F116,"u")+COUNTIF($E116:F116,"t")+COUNTIF($E116:F116,"¶")+COUNTIF($E116:F116,"²")+COUNTIF($E116:F116,"µ")+COUNTIF($E116:F116,1),ColDescriptionCourte))&gt;1,
HYPERLINK("#Roadmap!C"&amp; MATCH($E116,Roadmap!$D:$D,0)+COUNTIF($E116:F116,"u")+COUNTIF($E116:F116,"t")+COUNTIF($E116:F116,"¶")+COUNTIF($E116:F116,"²")+COUNTIF($E116:F116,"µ")+COUNTIF($E116:F116,1)-1,INDEX(Roadmap!$D:$K,MATCH($E116,Roadmap!$D:$D,0)-1+COUNTIF($E116:F116,"u")+COUNTIF($E116:F116,"t")+COUNTIF($E116:F116,"¶")+COUNTIF($E116:F116,"²")+COUNTIF($E116:F116,"µ")+COUNTIF($E116:F116,1),ColDescriptionCourte)),""),
  "")),"")</f>
        <v/>
      </c>
      <c r="H116" s="40" t="str">
        <f ca="1">IFERROR(IF(AND(
  INDEX(Roadmap!$D:$K,MATCH($E116,Roadmap!$D:$D,0)+COUNTIF($E116:G116,"u")+COUNTIF($E116:G116,"t")+COUNTIF($E116:G116,"¶")+COUNTIF($E116:G116,"²")+COUNTIF($E116:G116,"µ")+COUNTIF($E116:G116,1),ColLivraison)=H$6,
  VLOOKUP($E116,INDIRECT("tri!"&amp; CHAR(64+ C0Col) &amp;":"&amp; CHAR(65+C0Col)),2,FALSE)&gt;COUNTIF($E116:G116,"u")+COUNTIF($E116:G116,"t")+COUNTIF($E116:G116,"¶")+COUNTIF($E116:G116,"²")+COUNTIF($E116:G116,"µ")+COUNTIF($E116:G116,1)),
HYPERLINK("#Roadmap!C"&amp; MATCH($E116,Roadmap!$D:$D,0)+COUNTIF($E116:G116,"u")+COUNTIF($E116:G116,"t"),
     INDEX(Roadmap!$D:$K,MATCH($E116,Roadmap!$D:$D,0)+COUNTIF($E116:G116,"u")+COUNTIF($E116:G116,"t")+COUNTIF($E116:G116,"¶")+COUNTIF($E116:G116,"²")+COUNTIF($E116:G116,"µ")+COUNTIF($E116:G116,1),ColTypeEcheance)),
  IF(LEN(G116)=1,
  IF(LEN(INDEX(Roadmap!$D:$K,MATCH($E116,Roadmap!$D:$D,0)-1+COUNTIF($E116:G116,"u")+COUNTIF($E116:G116,"t")+COUNTIF($E116:G116,"¶")+COUNTIF($E116:G116,"²")+COUNTIF($E116:G116,"µ")+COUNTIF($E116:G116,1),ColDescriptionCourte))&gt;1,
HYPERLINK("#Roadmap!C"&amp; MATCH($E116,Roadmap!$D:$D,0)+COUNTIF($E116:G116,"u")+COUNTIF($E116:G116,"t")+COUNTIF($E116:G116,"¶")+COUNTIF($E116:G116,"²")+COUNTIF($E116:G116,"µ")+COUNTIF($E116:G116,1)-1,INDEX(Roadmap!$D:$K,MATCH($E116,Roadmap!$D:$D,0)-1+COUNTIF($E116:G116,"u")+COUNTIF($E116:G116,"t")+COUNTIF($E116:G116,"¶")+COUNTIF($E116:G116,"²")+COUNTIF($E116:G116,"µ")+COUNTIF($E116:G116,1),ColDescriptionCourte)),""),
  "")),"")</f>
        <v/>
      </c>
      <c r="I116" s="40" t="str">
        <f ca="1">IFERROR(IF(AND(
  INDEX(Roadmap!$D:$K,MATCH($E116,Roadmap!$D:$D,0)+COUNTIF($E116:H116,"u")+COUNTIF($E116:H116,"t")+COUNTIF($E116:H116,"¶")+COUNTIF($E116:H116,"²")+COUNTIF($E116:H116,"µ")+COUNTIF($E116:H116,1),ColLivraison)=I$6,
  VLOOKUP($E116,INDIRECT("tri!"&amp; CHAR(64+ C0Col) &amp;":"&amp; CHAR(65+C0Col)),2,FALSE)&gt;COUNTIF($E116:H116,"u")+COUNTIF($E116:H116,"t")+COUNTIF($E116:H116,"¶")+COUNTIF($E116:H116,"²")+COUNTIF($E116:H116,"µ")+COUNTIF($E116:H116,1)),
HYPERLINK("#Roadmap!C"&amp; MATCH($E116,Roadmap!$D:$D,0)+COUNTIF($E116:H116,"u")+COUNTIF($E116:H116,"t"),
     INDEX(Roadmap!$D:$K,MATCH($E116,Roadmap!$D:$D,0)+COUNTIF($E116:H116,"u")+COUNTIF($E116:H116,"t")+COUNTIF($E116:H116,"¶")+COUNTIF($E116:H116,"²")+COUNTIF($E116:H116,"µ")+COUNTIF($E116:H116,1),ColTypeEcheance)),
  IF(LEN(H116)=1,
  IF(LEN(INDEX(Roadmap!$D:$K,MATCH($E116,Roadmap!$D:$D,0)-1+COUNTIF($E116:H116,"u")+COUNTIF($E116:H116,"t")+COUNTIF($E116:H116,"¶")+COUNTIF($E116:H116,"²")+COUNTIF($E116:H116,"µ")+COUNTIF($E116:H116,1),ColDescriptionCourte))&gt;1,
HYPERLINK("#Roadmap!C"&amp; MATCH($E116,Roadmap!$D:$D,0)+COUNTIF($E116:H116,"u")+COUNTIF($E116:H116,"t")+COUNTIF($E116:H116,"¶")+COUNTIF($E116:H116,"²")+COUNTIF($E116:H116,"µ")+COUNTIF($E116:H116,1)-1,INDEX(Roadmap!$D:$K,MATCH($E116,Roadmap!$D:$D,0)-1+COUNTIF($E116:H116,"u")+COUNTIF($E116:H116,"t")+COUNTIF($E116:H116,"¶")+COUNTIF($E116:H116,"²")+COUNTIF($E116:H116,"µ")+COUNTIF($E116:H116,1),ColDescriptionCourte)),""),
  "")),"")</f>
        <v/>
      </c>
      <c r="J116" s="40" t="str">
        <f ca="1">IFERROR(IF(AND(
  INDEX(Roadmap!$D:$K,MATCH($E116,Roadmap!$D:$D,0)+COUNTIF($E116:I116,"u")+COUNTIF($E116:I116,"t")+COUNTIF($E116:I116,"¶")+COUNTIF($E116:I116,"²")+COUNTIF($E116:I116,"µ")+COUNTIF($E116:I116,1),ColLivraison)=J$6,
  VLOOKUP($E116,INDIRECT("tri!"&amp; CHAR(64+ C0Col) &amp;":"&amp; CHAR(65+C0Col)),2,FALSE)&gt;COUNTIF($E116:I116,"u")+COUNTIF($E116:I116,"t")+COUNTIF($E116:I116,"¶")+COUNTIF($E116:I116,"²")+COUNTIF($E116:I116,"µ")+COUNTIF($E116:I116,1)),
HYPERLINK("#Roadmap!C"&amp; MATCH($E116,Roadmap!$D:$D,0)+COUNTIF($E116:I116,"u")+COUNTIF($E116:I116,"t"),
     INDEX(Roadmap!$D:$K,MATCH($E116,Roadmap!$D:$D,0)+COUNTIF($E116:I116,"u")+COUNTIF($E116:I116,"t")+COUNTIF($E116:I116,"¶")+COUNTIF($E116:I116,"²")+COUNTIF($E116:I116,"µ")+COUNTIF($E116:I116,1),ColTypeEcheance)),
  IF(LEN(I116)=1,
  IF(LEN(INDEX(Roadmap!$D:$K,MATCH($E116,Roadmap!$D:$D,0)-1+COUNTIF($E116:I116,"u")+COUNTIF($E116:I116,"t")+COUNTIF($E116:I116,"¶")+COUNTIF($E116:I116,"²")+COUNTIF($E116:I116,"µ")+COUNTIF($E116:I116,1),ColDescriptionCourte))&gt;1,
HYPERLINK("#Roadmap!C"&amp; MATCH($E116,Roadmap!$D:$D,0)+COUNTIF($E116:I116,"u")+COUNTIF($E116:I116,"t")+COUNTIF($E116:I116,"¶")+COUNTIF($E116:I116,"²")+COUNTIF($E116:I116,"µ")+COUNTIF($E116:I116,1)-1,INDEX(Roadmap!$D:$K,MATCH($E116,Roadmap!$D:$D,0)-1+COUNTIF($E116:I116,"u")+COUNTIF($E116:I116,"t")+COUNTIF($E116:I116,"¶")+COUNTIF($E116:I116,"²")+COUNTIF($E116:I116,"µ")+COUNTIF($E116:I116,1),ColDescriptionCourte)),""),
  "")),"")</f>
        <v/>
      </c>
      <c r="K116" s="40" t="str">
        <f ca="1">IFERROR(IF(AND(
  INDEX(Roadmap!$D:$K,MATCH($E116,Roadmap!$D:$D,0)+COUNTIF($E116:J116,"u")+COUNTIF($E116:J116,"t")+COUNTIF($E116:J116,"¶")+COUNTIF($E116:J116,"²")+COUNTIF($E116:J116,"µ")+COUNTIF($E116:J116,1),ColLivraison)=K$6,
  VLOOKUP($E116,INDIRECT("tri!"&amp; CHAR(64+ C0Col) &amp;":"&amp; CHAR(65+C0Col)),2,FALSE)&gt;COUNTIF($E116:J116,"u")+COUNTIF($E116:J116,"t")+COUNTIF($E116:J116,"¶")+COUNTIF($E116:J116,"²")+COUNTIF($E116:J116,"µ")+COUNTIF($E116:J116,1)),
HYPERLINK("#Roadmap!C"&amp; MATCH($E116,Roadmap!$D:$D,0)+COUNTIF($E116:J116,"u")+COUNTIF($E116:J116,"t"),
     INDEX(Roadmap!$D:$K,MATCH($E116,Roadmap!$D:$D,0)+COUNTIF($E116:J116,"u")+COUNTIF($E116:J116,"t")+COUNTIF($E116:J116,"¶")+COUNTIF($E116:J116,"²")+COUNTIF($E116:J116,"µ")+COUNTIF($E116:J116,1),ColTypeEcheance)),
  IF(LEN(J116)=1,
  IF(LEN(INDEX(Roadmap!$D:$K,MATCH($E116,Roadmap!$D:$D,0)-1+COUNTIF($E116:J116,"u")+COUNTIF($E116:J116,"t")+COUNTIF($E116:J116,"¶")+COUNTIF($E116:J116,"²")+COUNTIF($E116:J116,"µ")+COUNTIF($E116:J116,1),ColDescriptionCourte))&gt;1,
HYPERLINK("#Roadmap!C"&amp; MATCH($E116,Roadmap!$D:$D,0)+COUNTIF($E116:J116,"u")+COUNTIF($E116:J116,"t")+COUNTIF($E116:J116,"¶")+COUNTIF($E116:J116,"²")+COUNTIF($E116:J116,"µ")+COUNTIF($E116:J116,1)-1,INDEX(Roadmap!$D:$K,MATCH($E116,Roadmap!$D:$D,0)-1+COUNTIF($E116:J116,"u")+COUNTIF($E116:J116,"t")+COUNTIF($E116:J116,"¶")+COUNTIF($E116:J116,"²")+COUNTIF($E116:J116,"µ")+COUNTIF($E116:J116,1),ColDescriptionCourte)),""),
  "")),"")</f>
        <v/>
      </c>
      <c r="L116" s="39" t="str">
        <f ca="1">IFERROR(IF(AND(
  INDEX(Roadmap!$D:$K,MATCH($E116,Roadmap!$D:$D,0)+COUNTIF($E116:K116,"u")+COUNTIF($E116:K116,"t")+COUNTIF($E116:K116,"¶")+COUNTIF($E116:K116,"²")+COUNTIF($E116:K116,"µ")+COUNTIF($E116:K116,1),ColLivraison)=L$6,
  VLOOKUP($E116,INDIRECT("tri!"&amp; CHAR(64+ C0Col) &amp;":"&amp; CHAR(65+C0Col)),2,FALSE)&gt;COUNTIF($E116:K116,"u")+COUNTIF($E116:K116,"t")+COUNTIF($E116:K116,"¶")+COUNTIF($E116:K116,"²")+COUNTIF($E116:K116,"µ")+COUNTIF($E116:K116,1)),
HYPERLINK("#Roadmap!C"&amp; MATCH($E116,Roadmap!$D:$D,0)+COUNTIF($E116:K116,"u")+COUNTIF($E116:K116,"t"),
     INDEX(Roadmap!$D:$K,MATCH($E116,Roadmap!$D:$D,0)+COUNTIF($E116:K116,"u")+COUNTIF($E116:K116,"t")+COUNTIF($E116:K116,"¶")+COUNTIF($E116:K116,"²")+COUNTIF($E116:K116,"µ")+COUNTIF($E116:K116,1),ColTypeEcheance)),
  IF(LEN(K116)=1,
  IF(LEN(INDEX(Roadmap!$D:$K,MATCH($E116,Roadmap!$D:$D,0)-1+COUNTIF($E116:K116,"u")+COUNTIF($E116:K116,"t")+COUNTIF($E116:K116,"¶")+COUNTIF($E116:K116,"²")+COUNTIF($E116:K116,"µ")+COUNTIF($E116:K116,1),ColDescriptionCourte))&gt;1,
HYPERLINK("#Roadmap!C"&amp; MATCH($E116,Roadmap!$D:$D,0)+COUNTIF($E116:K116,"u")+COUNTIF($E116:K116,"t")+COUNTIF($E116:K116,"¶")+COUNTIF($E116:K116,"²")+COUNTIF($E116:K116,"µ")+COUNTIF($E116:K116,1)-1,INDEX(Roadmap!$D:$K,MATCH($E116,Roadmap!$D:$D,0)-1+COUNTIF($E116:K116,"u")+COUNTIF($E116:K116,"t")+COUNTIF($E116:K116,"¶")+COUNTIF($E116:K116,"²")+COUNTIF($E116:K116,"µ")+COUNTIF($E116:K116,1),ColDescriptionCourte)),""),
  "")),"")</f>
        <v/>
      </c>
      <c r="M116" s="40" t="str">
        <f ca="1">IFERROR(IF(AND(
  INDEX(Roadmap!$D:$K,MATCH($E116,Roadmap!$D:$D,0)+COUNTIF($E116:L116,"u")+COUNTIF($E116:L116,"t")+COUNTIF($E116:L116,"¶")+COUNTIF($E116:L116,"²")+COUNTIF($E116:L116,"µ")+COUNTIF($E116:L116,1),ColLivraison)=M$6,
  VLOOKUP($E116,INDIRECT("tri!"&amp; CHAR(64+ C0Col) &amp;":"&amp; CHAR(65+C0Col)),2,FALSE)&gt;COUNTIF($E116:L116,"u")+COUNTIF($E116:L116,"t")+COUNTIF($E116:L116,"¶")+COUNTIF($E116:L116,"²")+COUNTIF($E116:L116,"µ")+COUNTIF($E116:L116,1)),
HYPERLINK("#Roadmap!C"&amp; MATCH($E116,Roadmap!$D:$D,0)+COUNTIF($E116:L116,"u")+COUNTIF($E116:L116,"t"),
     INDEX(Roadmap!$D:$K,MATCH($E116,Roadmap!$D:$D,0)+COUNTIF($E116:L116,"u")+COUNTIF($E116:L116,"t")+COUNTIF($E116:L116,"¶")+COUNTIF($E116:L116,"²")+COUNTIF($E116:L116,"µ")+COUNTIF($E116:L116,1),ColTypeEcheance)),
  IF(LEN(L116)=1,
  IF(LEN(INDEX(Roadmap!$D:$K,MATCH($E116,Roadmap!$D:$D,0)-1+COUNTIF($E116:L116,"u")+COUNTIF($E116:L116,"t")+COUNTIF($E116:L116,"¶")+COUNTIF($E116:L116,"²")+COUNTIF($E116:L116,"µ")+COUNTIF($E116:L116,1),ColDescriptionCourte))&gt;1,
HYPERLINK("#Roadmap!C"&amp; MATCH($E116,Roadmap!$D:$D,0)+COUNTIF($E116:L116,"u")+COUNTIF($E116:L116,"t")+COUNTIF($E116:L116,"¶")+COUNTIF($E116:L116,"²")+COUNTIF($E116:L116,"µ")+COUNTIF($E116:L116,1)-1,INDEX(Roadmap!$D:$K,MATCH($E116,Roadmap!$D:$D,0)-1+COUNTIF($E116:L116,"u")+COUNTIF($E116:L116,"t")+COUNTIF($E116:L116,"¶")+COUNTIF($E116:L116,"²")+COUNTIF($E116:L116,"µ")+COUNTIF($E116:L116,1),ColDescriptionCourte)),""),
  "")),"")</f>
        <v/>
      </c>
      <c r="N116" s="40" t="str">
        <f ca="1">IFERROR(IF(AND(
  INDEX(Roadmap!$D:$K,MATCH($E116,Roadmap!$D:$D,0)+COUNTIF($E116:M116,"u")+COUNTIF($E116:M116,"t")+COUNTIF($E116:M116,"¶")+COUNTIF($E116:M116,"²")+COUNTIF($E116:M116,"µ")+COUNTIF($E116:M116,1),ColLivraison)=N$6,
  VLOOKUP($E116,INDIRECT("tri!"&amp; CHAR(64+ C0Col) &amp;":"&amp; CHAR(65+C0Col)),2,FALSE)&gt;COUNTIF($E116:M116,"u")+COUNTIF($E116:M116,"t")+COUNTIF($E116:M116,"¶")+COUNTIF($E116:M116,"²")+COUNTIF($E116:M116,"µ")+COUNTIF($E116:M116,1)),
HYPERLINK("#Roadmap!C"&amp; MATCH($E116,Roadmap!$D:$D,0)+COUNTIF($E116:M116,"u")+COUNTIF($E116:M116,"t"),
     INDEX(Roadmap!$D:$K,MATCH($E116,Roadmap!$D:$D,0)+COUNTIF($E116:M116,"u")+COUNTIF($E116:M116,"t")+COUNTIF($E116:M116,"¶")+COUNTIF($E116:M116,"²")+COUNTIF($E116:M116,"µ")+COUNTIF($E116:M116,1),ColTypeEcheance)),
  IF(LEN(M116)=1,
  IF(LEN(INDEX(Roadmap!$D:$K,MATCH($E116,Roadmap!$D:$D,0)-1+COUNTIF($E116:M116,"u")+COUNTIF($E116:M116,"t")+COUNTIF($E116:M116,"¶")+COUNTIF($E116:M116,"²")+COUNTIF($E116:M116,"µ")+COUNTIF($E116:M116,1),ColDescriptionCourte))&gt;1,
HYPERLINK("#Roadmap!C"&amp; MATCH($E116,Roadmap!$D:$D,0)+COUNTIF($E116:M116,"u")+COUNTIF($E116:M116,"t")+COUNTIF($E116:M116,"¶")+COUNTIF($E116:M116,"²")+COUNTIF($E116:M116,"µ")+COUNTIF($E116:M116,1)-1,INDEX(Roadmap!$D:$K,MATCH($E116,Roadmap!$D:$D,0)-1+COUNTIF($E116:M116,"u")+COUNTIF($E116:M116,"t")+COUNTIF($E116:M116,"¶")+COUNTIF($E116:M116,"²")+COUNTIF($E116:M116,"µ")+COUNTIF($E116:M116,1),ColDescriptionCourte)),""),
  "")),"")</f>
        <v/>
      </c>
      <c r="O116" s="40" t="str">
        <f ca="1">IFERROR(IF(AND(
  INDEX(Roadmap!$D:$K,MATCH($E116,Roadmap!$D:$D,0)+COUNTIF($E116:N116,"u")+COUNTIF($E116:N116,"t")+COUNTIF($E116:N116,"¶")+COUNTIF($E116:N116,"²")+COUNTIF($E116:N116,"µ")+COUNTIF($E116:N116,1),ColLivraison)=O$6,
  VLOOKUP($E116,INDIRECT("tri!"&amp; CHAR(64+ C0Col) &amp;":"&amp; CHAR(65+C0Col)),2,FALSE)&gt;COUNTIF($E116:N116,"u")+COUNTIF($E116:N116,"t")+COUNTIF($E116:N116,"¶")+COUNTIF($E116:N116,"²")+COUNTIF($E116:N116,"µ")+COUNTIF($E116:N116,1)),
HYPERLINK("#Roadmap!C"&amp; MATCH($E116,Roadmap!$D:$D,0)+COUNTIF($E116:N116,"u")+COUNTIF($E116:N116,"t"),
     INDEX(Roadmap!$D:$K,MATCH($E116,Roadmap!$D:$D,0)+COUNTIF($E116:N116,"u")+COUNTIF($E116:N116,"t")+COUNTIF($E116:N116,"¶")+COUNTIF($E116:N116,"²")+COUNTIF($E116:N116,"µ")+COUNTIF($E116:N116,1),ColTypeEcheance)),
  IF(LEN(N116)=1,
  IF(LEN(INDEX(Roadmap!$D:$K,MATCH($E116,Roadmap!$D:$D,0)-1+COUNTIF($E116:N116,"u")+COUNTIF($E116:N116,"t")+COUNTIF($E116:N116,"¶")+COUNTIF($E116:N116,"²")+COUNTIF($E116:N116,"µ")+COUNTIF($E116:N116,1),ColDescriptionCourte))&gt;1,
HYPERLINK("#Roadmap!C"&amp; MATCH($E116,Roadmap!$D:$D,0)+COUNTIF($E116:N116,"u")+COUNTIF($E116:N116,"t")+COUNTIF($E116:N116,"¶")+COUNTIF($E116:N116,"²")+COUNTIF($E116:N116,"µ")+COUNTIF($E116:N116,1)-1,INDEX(Roadmap!$D:$K,MATCH($E116,Roadmap!$D:$D,0)-1+COUNTIF($E116:N116,"u")+COUNTIF($E116:N116,"t")+COUNTIF($E116:N116,"¶")+COUNTIF($E116:N116,"²")+COUNTIF($E116:N116,"µ")+COUNTIF($E116:N116,1),ColDescriptionCourte)),""),
  "")),"")</f>
        <v/>
      </c>
      <c r="P116" s="40" t="str">
        <f ca="1">IFERROR(IF(AND(
  INDEX(Roadmap!$D:$K,MATCH($E116,Roadmap!$D:$D,0)+COUNTIF($E116:O116,"u")+COUNTIF($E116:O116,"t")+COUNTIF($E116:O116,"¶")+COUNTIF($E116:O116,"²")+COUNTIF($E116:O116,"µ")+COUNTIF($E116:O116,1),ColLivraison)=P$6,
  VLOOKUP($E116,INDIRECT("tri!"&amp; CHAR(64+ C0Col) &amp;":"&amp; CHAR(65+C0Col)),2,FALSE)&gt;COUNTIF($E116:O116,"u")+COUNTIF($E116:O116,"t")+COUNTIF($E116:O116,"¶")+COUNTIF($E116:O116,"²")+COUNTIF($E116:O116,"µ")+COUNTIF($E116:O116,1)),
HYPERLINK("#Roadmap!C"&amp; MATCH($E116,Roadmap!$D:$D,0)+COUNTIF($E116:O116,"u")+COUNTIF($E116:O116,"t"),
     INDEX(Roadmap!$D:$K,MATCH($E116,Roadmap!$D:$D,0)+COUNTIF($E116:O116,"u")+COUNTIF($E116:O116,"t")+COUNTIF($E116:O116,"¶")+COUNTIF($E116:O116,"²")+COUNTIF($E116:O116,"µ")+COUNTIF($E116:O116,1),ColTypeEcheance)),
  IF(LEN(O116)=1,
  IF(LEN(INDEX(Roadmap!$D:$K,MATCH($E116,Roadmap!$D:$D,0)-1+COUNTIF($E116:O116,"u")+COUNTIF($E116:O116,"t")+COUNTIF($E116:O116,"¶")+COUNTIF($E116:O116,"²")+COUNTIF($E116:O116,"µ")+COUNTIF($E116:O116,1),ColDescriptionCourte))&gt;1,
HYPERLINK("#Roadmap!C"&amp; MATCH($E116,Roadmap!$D:$D,0)+COUNTIF($E116:O116,"u")+COUNTIF($E116:O116,"t")+COUNTIF($E116:O116,"¶")+COUNTIF($E116:O116,"²")+COUNTIF($E116:O116,"µ")+COUNTIF($E116:O116,1)-1,INDEX(Roadmap!$D:$K,MATCH($E116,Roadmap!$D:$D,0)-1+COUNTIF($E116:O116,"u")+COUNTIF($E116:O116,"t")+COUNTIF($E116:O116,"¶")+COUNTIF($E116:O116,"²")+COUNTIF($E116:O116,"µ")+COUNTIF($E116:O116,1),ColDescriptionCourte)),""),
  "")),"")</f>
        <v/>
      </c>
      <c r="Q116" s="40" t="str">
        <f ca="1">IFERROR(IF(AND(
  INDEX(Roadmap!$D:$K,MATCH($E116,Roadmap!$D:$D,0)+COUNTIF($E116:P116,"u")+COUNTIF($E116:P116,"t")+COUNTIF($E116:P116,"¶")+COUNTIF($E116:P116,"²")+COUNTIF($E116:P116,"µ")+COUNTIF($E116:P116,1),ColLivraison)=Q$6,
  VLOOKUP($E116,INDIRECT("tri!"&amp; CHAR(64+ C0Col) &amp;":"&amp; CHAR(65+C0Col)),2,FALSE)&gt;COUNTIF($E116:P116,"u")+COUNTIF($E116:P116,"t")+COUNTIF($E116:P116,"¶")+COUNTIF($E116:P116,"²")+COUNTIF($E116:P116,"µ")+COUNTIF($E116:P116,1)),
HYPERLINK("#Roadmap!C"&amp; MATCH($E116,Roadmap!$D:$D,0)+COUNTIF($E116:P116,"u")+COUNTIF($E116:P116,"t"),
     INDEX(Roadmap!$D:$K,MATCH($E116,Roadmap!$D:$D,0)+COUNTIF($E116:P116,"u")+COUNTIF($E116:P116,"t")+COUNTIF($E116:P116,"¶")+COUNTIF($E116:P116,"²")+COUNTIF($E116:P116,"µ")+COUNTIF($E116:P116,1),ColTypeEcheance)),
  IF(LEN(P116)=1,
  IF(LEN(INDEX(Roadmap!$D:$K,MATCH($E116,Roadmap!$D:$D,0)-1+COUNTIF($E116:P116,"u")+COUNTIF($E116:P116,"t")+COUNTIF($E116:P116,"¶")+COUNTIF($E116:P116,"²")+COUNTIF($E116:P116,"µ")+COUNTIF($E116:P116,1),ColDescriptionCourte))&gt;1,
HYPERLINK("#Roadmap!C"&amp; MATCH($E116,Roadmap!$D:$D,0)+COUNTIF($E116:P116,"u")+COUNTIF($E116:P116,"t")+COUNTIF($E116:P116,"¶")+COUNTIF($E116:P116,"²")+COUNTIF($E116:P116,"µ")+COUNTIF($E116:P116,1)-1,INDEX(Roadmap!$D:$K,MATCH($E116,Roadmap!$D:$D,0)-1+COUNTIF($E116:P116,"u")+COUNTIF($E116:P116,"t")+COUNTIF($E116:P116,"¶")+COUNTIF($E116:P116,"²")+COUNTIF($E116:P116,"µ")+COUNTIF($E116:P116,1),ColDescriptionCourte)),""),
  "")),"")</f>
        <v/>
      </c>
      <c r="R116" s="40" t="str">
        <f ca="1">IFERROR(IF(AND(
  INDEX(Roadmap!$D:$K,MATCH($E116,Roadmap!$D:$D,0)+COUNTIF($E116:Q116,"u")+COUNTIF($E116:Q116,"t")+COUNTIF($E116:Q116,"¶")+COUNTIF($E116:Q116,"²")+COUNTIF($E116:Q116,"µ")+COUNTIF($E116:Q116,1),ColLivraison)=R$6,
  VLOOKUP($E116,INDIRECT("tri!"&amp; CHAR(64+ C0Col) &amp;":"&amp; CHAR(65+C0Col)),2,FALSE)&gt;COUNTIF($E116:Q116,"u")+COUNTIF($E116:Q116,"t")+COUNTIF($E116:Q116,"¶")+COUNTIF($E116:Q116,"²")+COUNTIF($E116:Q116,"µ")+COUNTIF($E116:Q116,1)),
HYPERLINK("#Roadmap!C"&amp; MATCH($E116,Roadmap!$D:$D,0)+COUNTIF($E116:Q116,"u")+COUNTIF($E116:Q116,"t"),
     INDEX(Roadmap!$D:$K,MATCH($E116,Roadmap!$D:$D,0)+COUNTIF($E116:Q116,"u")+COUNTIF($E116:Q116,"t")+COUNTIF($E116:Q116,"¶")+COUNTIF($E116:Q116,"²")+COUNTIF($E116:Q116,"µ")+COUNTIF($E116:Q116,1),ColTypeEcheance)),
  IF(LEN(Q116)=1,
  IF(LEN(INDEX(Roadmap!$D:$K,MATCH($E116,Roadmap!$D:$D,0)-1+COUNTIF($E116:Q116,"u")+COUNTIF($E116:Q116,"t")+COUNTIF($E116:Q116,"¶")+COUNTIF($E116:Q116,"²")+COUNTIF($E116:Q116,"µ")+COUNTIF($E116:Q116,1),ColDescriptionCourte))&gt;1,
HYPERLINK("#Roadmap!C"&amp; MATCH($E116,Roadmap!$D:$D,0)+COUNTIF($E116:Q116,"u")+COUNTIF($E116:Q116,"t")+COUNTIF($E116:Q116,"¶")+COUNTIF($E116:Q116,"²")+COUNTIF($E116:Q116,"µ")+COUNTIF($E116:Q116,1)-1,INDEX(Roadmap!$D:$K,MATCH($E116,Roadmap!$D:$D,0)-1+COUNTIF($E116:Q116,"u")+COUNTIF($E116:Q116,"t")+COUNTIF($E116:Q116,"¶")+COUNTIF($E116:Q116,"²")+COUNTIF($E116:Q116,"µ")+COUNTIF($E116:Q116,1),ColDescriptionCourte)),""),
  "")),"")</f>
        <v/>
      </c>
      <c r="S116" s="40" t="str">
        <f ca="1">IFERROR(IF(AND(
  INDEX(Roadmap!$D:$K,MATCH($E116,Roadmap!$D:$D,0)+COUNTIF($E116:R116,"u")+COUNTIF($E116:R116,"t")+COUNTIF($E116:R116,"¶")+COUNTIF($E116:R116,"²")+COUNTIF($E116:R116,"µ")+COUNTIF($E116:R116,1),ColLivraison)=S$6,
  VLOOKUP($E116,INDIRECT("tri!"&amp; CHAR(64+ C0Col) &amp;":"&amp; CHAR(65+C0Col)),2,FALSE)&gt;COUNTIF($E116:R116,"u")+COUNTIF($E116:R116,"t")+COUNTIF($E116:R116,"¶")+COUNTIF($E116:R116,"²")+COUNTIF($E116:R116,"µ")+COUNTIF($E116:R116,1)),
HYPERLINK("#Roadmap!C"&amp; MATCH($E116,Roadmap!$D:$D,0)+COUNTIF($E116:R116,"u")+COUNTIF($E116:R116,"t"),
     INDEX(Roadmap!$D:$K,MATCH($E116,Roadmap!$D:$D,0)+COUNTIF($E116:R116,"u")+COUNTIF($E116:R116,"t")+COUNTIF($E116:R116,"¶")+COUNTIF($E116:R116,"²")+COUNTIF($E116:R116,"µ")+COUNTIF($E116:R116,1),ColTypeEcheance)),
  IF(LEN(R116)=1,
  IF(LEN(INDEX(Roadmap!$D:$K,MATCH($E116,Roadmap!$D:$D,0)-1+COUNTIF($E116:R116,"u")+COUNTIF($E116:R116,"t")+COUNTIF($E116:R116,"¶")+COUNTIF($E116:R116,"²")+COUNTIF($E116:R116,"µ")+COUNTIF($E116:R116,1),ColDescriptionCourte))&gt;1,
HYPERLINK("#Roadmap!C"&amp; MATCH($E116,Roadmap!$D:$D,0)+COUNTIF($E116:R116,"u")+COUNTIF($E116:R116,"t")+COUNTIF($E116:R116,"¶")+COUNTIF($E116:R116,"²")+COUNTIF($E116:R116,"µ")+COUNTIF($E116:R116,1)-1,INDEX(Roadmap!$D:$K,MATCH($E116,Roadmap!$D:$D,0)-1+COUNTIF($E116:R116,"u")+COUNTIF($E116:R116,"t")+COUNTIF($E116:R116,"¶")+COUNTIF($E116:R116,"²")+COUNTIF($E116:R116,"µ")+COUNTIF($E116:R116,1),ColDescriptionCourte)),""),
  "")),"")</f>
        <v/>
      </c>
      <c r="T116" s="40" t="str">
        <f ca="1">IFERROR(IF(AND(
  INDEX(Roadmap!$D:$K,MATCH($E116,Roadmap!$D:$D,0)+COUNTIF($E116:S116,"u")+COUNTIF($E116:S116,"t")+COUNTIF($E116:S116,"¶")+COUNTIF($E116:S116,"²")+COUNTIF($E116:S116,"µ")+COUNTIF($E116:S116,1),ColLivraison)=T$6,
  VLOOKUP($E116,INDIRECT("tri!"&amp; CHAR(64+ C0Col) &amp;":"&amp; CHAR(65+C0Col)),2,FALSE)&gt;COUNTIF($E116:S116,"u")+COUNTIF($E116:S116,"t")+COUNTIF($E116:S116,"¶")+COUNTIF($E116:S116,"²")+COUNTIF($E116:S116,"µ")+COUNTIF($E116:S116,1)),
HYPERLINK("#Roadmap!C"&amp; MATCH($E116,Roadmap!$D:$D,0)+COUNTIF($E116:S116,"u")+COUNTIF($E116:S116,"t"),
     INDEX(Roadmap!$D:$K,MATCH($E116,Roadmap!$D:$D,0)+COUNTIF($E116:S116,"u")+COUNTIF($E116:S116,"t")+COUNTIF($E116:S116,"¶")+COUNTIF($E116:S116,"²")+COUNTIF($E116:S116,"µ")+COUNTIF($E116:S116,1),ColTypeEcheance)),
  IF(LEN(S116)=1,
  IF(LEN(INDEX(Roadmap!$D:$K,MATCH($E116,Roadmap!$D:$D,0)-1+COUNTIF($E116:S116,"u")+COUNTIF($E116:S116,"t")+COUNTIF($E116:S116,"¶")+COUNTIF($E116:S116,"²")+COUNTIF($E116:S116,"µ")+COUNTIF($E116:S116,1),ColDescriptionCourte))&gt;1,
HYPERLINK("#Roadmap!C"&amp; MATCH($E116,Roadmap!$D:$D,0)+COUNTIF($E116:S116,"u")+COUNTIF($E116:S116,"t")+COUNTIF($E116:S116,"¶")+COUNTIF($E116:S116,"²")+COUNTIF($E116:S116,"µ")+COUNTIF($E116:S116,1)-1,INDEX(Roadmap!$D:$K,MATCH($E116,Roadmap!$D:$D,0)-1+COUNTIF($E116:S116,"u")+COUNTIF($E116:S116,"t")+COUNTIF($E116:S116,"¶")+COUNTIF($E116:S116,"²")+COUNTIF($E116:S116,"µ")+COUNTIF($E116:S116,1),ColDescriptionCourte)),""),
  "")),"")</f>
        <v/>
      </c>
      <c r="U116" s="40" t="str">
        <f ca="1">IFERROR(IF(AND(
  INDEX(Roadmap!$D:$K,MATCH($E116,Roadmap!$D:$D,0)+COUNTIF($E116:T116,"u")+COUNTIF($E116:T116,"t")+COUNTIF($E116:T116,"¶")+COUNTIF($E116:T116,"²")+COUNTIF($E116:T116,"µ")+COUNTIF($E116:T116,1),ColLivraison)=U$6,
  VLOOKUP($E116,INDIRECT("tri!"&amp; CHAR(64+ C0Col) &amp;":"&amp; CHAR(65+C0Col)),2,FALSE)&gt;COUNTIF($E116:T116,"u")+COUNTIF($E116:T116,"t")+COUNTIF($E116:T116,"¶")+COUNTIF($E116:T116,"²")+COUNTIF($E116:T116,"µ")+COUNTIF($E116:T116,1)),
HYPERLINK("#Roadmap!C"&amp; MATCH($E116,Roadmap!$D:$D,0)+COUNTIF($E116:T116,"u")+COUNTIF($E116:T116,"t"),
     INDEX(Roadmap!$D:$K,MATCH($E116,Roadmap!$D:$D,0)+COUNTIF($E116:T116,"u")+COUNTIF($E116:T116,"t")+COUNTIF($E116:T116,"¶")+COUNTIF($E116:T116,"²")+COUNTIF($E116:T116,"µ")+COUNTIF($E116:T116,1),ColTypeEcheance)),
  IF(LEN(T116)=1,
  IF(LEN(INDEX(Roadmap!$D:$K,MATCH($E116,Roadmap!$D:$D,0)-1+COUNTIF($E116:T116,"u")+COUNTIF($E116:T116,"t")+COUNTIF($E116:T116,"¶")+COUNTIF($E116:T116,"²")+COUNTIF($E116:T116,"µ")+COUNTIF($E116:T116,1),ColDescriptionCourte))&gt;1,
HYPERLINK("#Roadmap!C"&amp; MATCH($E116,Roadmap!$D:$D,0)+COUNTIF($E116:T116,"u")+COUNTIF($E116:T116,"t")+COUNTIF($E116:T116,"¶")+COUNTIF($E116:T116,"²")+COUNTIF($E116:T116,"µ")+COUNTIF($E116:T116,1)-1,INDEX(Roadmap!$D:$K,MATCH($E116,Roadmap!$D:$D,0)-1+COUNTIF($E116:T116,"u")+COUNTIF($E116:T116,"t")+COUNTIF($E116:T116,"¶")+COUNTIF($E116:T116,"²")+COUNTIF($E116:T116,"µ")+COUNTIF($E116:T116,1),ColDescriptionCourte)),""),
  "")),"")</f>
        <v/>
      </c>
      <c r="V116" s="40" t="str">
        <f ca="1">IFERROR(IF(AND(
  INDEX(Roadmap!$D:$K,MATCH($E116,Roadmap!$D:$D,0)+COUNTIF($E116:U116,"u")+COUNTIF($E116:U116,"t")+COUNTIF($E116:U116,"¶")+COUNTIF($E116:U116,"²")+COUNTIF($E116:U116,"µ")+COUNTIF($E116:U116,1),ColLivraison)=V$6,
  VLOOKUP($E116,INDIRECT("tri!"&amp; CHAR(64+ C0Col) &amp;":"&amp; CHAR(65+C0Col)),2,FALSE)&gt;COUNTIF($E116:U116,"u")+COUNTIF($E116:U116,"t")+COUNTIF($E116:U116,"¶")+COUNTIF($E116:U116,"²")+COUNTIF($E116:U116,"µ")+COUNTIF($E116:U116,1)),
HYPERLINK("#Roadmap!C"&amp; MATCH($E116,Roadmap!$D:$D,0)+COUNTIF($E116:U116,"u")+COUNTIF($E116:U116,"t"),
     INDEX(Roadmap!$D:$K,MATCH($E116,Roadmap!$D:$D,0)+COUNTIF($E116:U116,"u")+COUNTIF($E116:U116,"t")+COUNTIF($E116:U116,"¶")+COUNTIF($E116:U116,"²")+COUNTIF($E116:U116,"µ")+COUNTIF($E116:U116,1),ColTypeEcheance)),
  IF(LEN(U116)=1,
  IF(LEN(INDEX(Roadmap!$D:$K,MATCH($E116,Roadmap!$D:$D,0)-1+COUNTIF($E116:U116,"u")+COUNTIF($E116:U116,"t")+COUNTIF($E116:U116,"¶")+COUNTIF($E116:U116,"²")+COUNTIF($E116:U116,"µ")+COUNTIF($E116:U116,1),ColDescriptionCourte))&gt;1,
HYPERLINK("#Roadmap!C"&amp; MATCH($E116,Roadmap!$D:$D,0)+COUNTIF($E116:U116,"u")+COUNTIF($E116:U116,"t")+COUNTIF($E116:U116,"¶")+COUNTIF($E116:U116,"²")+COUNTIF($E116:U116,"µ")+COUNTIF($E116:U116,1)-1,INDEX(Roadmap!$D:$K,MATCH($E116,Roadmap!$D:$D,0)-1+COUNTIF($E116:U116,"u")+COUNTIF($E116:U116,"t")+COUNTIF($E116:U116,"¶")+COUNTIF($E116:U116,"²")+COUNTIF($E116:U116,"µ")+COUNTIF($E116:U116,1),ColDescriptionCourte)),""),
  "")),"")</f>
        <v/>
      </c>
      <c r="W116" s="40" t="str">
        <f ca="1">IFERROR(IF(AND(
  INDEX(Roadmap!$D:$K,MATCH($E116,Roadmap!$D:$D,0)+COUNTIF($E116:V116,"u")+COUNTIF($E116:V116,"t")+COUNTIF($E116:V116,"¶")+COUNTIF($E116:V116,"²")+COUNTIF($E116:V116,"µ")+COUNTIF($E116:V116,1),ColLivraison)=W$6,
  VLOOKUP($E116,INDIRECT("tri!"&amp; CHAR(64+ C0Col) &amp;":"&amp; CHAR(65+C0Col)),2,FALSE)&gt;COUNTIF($E116:V116,"u")+COUNTIF($E116:V116,"t")+COUNTIF($E116:V116,"¶")+COUNTIF($E116:V116,"²")+COUNTIF($E116:V116,"µ")+COUNTIF($E116:V116,1)),
HYPERLINK("#Roadmap!C"&amp; MATCH($E116,Roadmap!$D:$D,0)+COUNTIF($E116:V116,"u")+COUNTIF($E116:V116,"t"),
     INDEX(Roadmap!$D:$K,MATCH($E116,Roadmap!$D:$D,0)+COUNTIF($E116:V116,"u")+COUNTIF($E116:V116,"t")+COUNTIF($E116:V116,"¶")+COUNTIF($E116:V116,"²")+COUNTIF($E116:V116,"µ")+COUNTIF($E116:V116,1),ColTypeEcheance)),
  IF(LEN(V116)=1,
  IF(LEN(INDEX(Roadmap!$D:$K,MATCH($E116,Roadmap!$D:$D,0)-1+COUNTIF($E116:V116,"u")+COUNTIF($E116:V116,"t")+COUNTIF($E116:V116,"¶")+COUNTIF($E116:V116,"²")+COUNTIF($E116:V116,"µ")+COUNTIF($E116:V116,1),ColDescriptionCourte))&gt;1,
HYPERLINK("#Roadmap!C"&amp; MATCH($E116,Roadmap!$D:$D,0)+COUNTIF($E116:V116,"u")+COUNTIF($E116:V116,"t")+COUNTIF($E116:V116,"¶")+COUNTIF($E116:V116,"²")+COUNTIF($E116:V116,"µ")+COUNTIF($E116:V116,1)-1,INDEX(Roadmap!$D:$K,MATCH($E116,Roadmap!$D:$D,0)-1+COUNTIF($E116:V116,"u")+COUNTIF($E116:V116,"t")+COUNTIF($E116:V116,"¶")+COUNTIF($E116:V116,"²")+COUNTIF($E116:V116,"µ")+COUNTIF($E116:V116,1),ColDescriptionCourte)),""),
  "")),"")</f>
        <v/>
      </c>
      <c r="X116" s="40" t="str">
        <f ca="1">IFERROR(IF(AND(
  INDEX(Roadmap!$D:$K,MATCH($E116,Roadmap!$D:$D,0)+COUNTIF($E116:W116,"u")+COUNTIF($E116:W116,"t")+COUNTIF($E116:W116,"¶")+COUNTIF($E116:W116,"²")+COUNTIF($E116:W116,"µ")+COUNTIF($E116:W116,1),ColLivraison)=X$6,
  VLOOKUP($E116,INDIRECT("tri!"&amp; CHAR(64+ C0Col) &amp;":"&amp; CHAR(65+C0Col)),2,FALSE)&gt;COUNTIF($E116:W116,"u")+COUNTIF($E116:W116,"t")+COUNTIF($E116:W116,"¶")+COUNTIF($E116:W116,"²")+COUNTIF($E116:W116,"µ")+COUNTIF($E116:W116,1)),
HYPERLINK("#Roadmap!C"&amp; MATCH($E116,Roadmap!$D:$D,0)+COUNTIF($E116:W116,"u")+COUNTIF($E116:W116,"t"),
     INDEX(Roadmap!$D:$K,MATCH($E116,Roadmap!$D:$D,0)+COUNTIF($E116:W116,"u")+COUNTIF($E116:W116,"t")+COUNTIF($E116:W116,"¶")+COUNTIF($E116:W116,"²")+COUNTIF($E116:W116,"µ")+COUNTIF($E116:W116,1),ColTypeEcheance)),
  IF(LEN(W116)=1,
  IF(LEN(INDEX(Roadmap!$D:$K,MATCH($E116,Roadmap!$D:$D,0)-1+COUNTIF($E116:W116,"u")+COUNTIF($E116:W116,"t")+COUNTIF($E116:W116,"¶")+COUNTIF($E116:W116,"²")+COUNTIF($E116:W116,"µ")+COUNTIF($E116:W116,1),ColDescriptionCourte))&gt;1,
HYPERLINK("#Roadmap!C"&amp; MATCH($E116,Roadmap!$D:$D,0)+COUNTIF($E116:W116,"u")+COUNTIF($E116:W116,"t")+COUNTIF($E116:W116,"¶")+COUNTIF($E116:W116,"²")+COUNTIF($E116:W116,"µ")+COUNTIF($E116:W116,1)-1,INDEX(Roadmap!$D:$K,MATCH($E116,Roadmap!$D:$D,0)-1+COUNTIF($E116:W116,"u")+COUNTIF($E116:W116,"t")+COUNTIF($E116:W116,"¶")+COUNTIF($E116:W116,"²")+COUNTIF($E116:W116,"µ")+COUNTIF($E116:W116,1),ColDescriptionCourte)),""),
  "")),"")</f>
        <v/>
      </c>
      <c r="Y116" s="40" t="str">
        <f ca="1">IFERROR(IF(AND(
  INDEX(Roadmap!$D:$K,MATCH($E116,Roadmap!$D:$D,0)+COUNTIF($E116:X116,"u")+COUNTIF($E116:X116,"t")+COUNTIF($E116:X116,"¶")+COUNTIF($E116:X116,"²")+COUNTIF($E116:X116,"µ")+COUNTIF($E116:X116,1),ColLivraison)=Y$6,
  VLOOKUP($E116,INDIRECT("tri!"&amp; CHAR(64+ C0Col) &amp;":"&amp; CHAR(65+C0Col)),2,FALSE)&gt;COUNTIF($E116:X116,"u")+COUNTIF($E116:X116,"t")+COUNTIF($E116:X116,"¶")+COUNTIF($E116:X116,"²")+COUNTIF($E116:X116,"µ")+COUNTIF($E116:X116,1)),
HYPERLINK("#Roadmap!C"&amp; MATCH($E116,Roadmap!$D:$D,0)+COUNTIF($E116:X116,"u")+COUNTIF($E116:X116,"t"),
     INDEX(Roadmap!$D:$K,MATCH($E116,Roadmap!$D:$D,0)+COUNTIF($E116:X116,"u")+COUNTIF($E116:X116,"t")+COUNTIF($E116:X116,"¶")+COUNTIF($E116:X116,"²")+COUNTIF($E116:X116,"µ")+COUNTIF($E116:X116,1),ColTypeEcheance)),
  IF(LEN(X116)=1,
  IF(LEN(INDEX(Roadmap!$D:$K,MATCH($E116,Roadmap!$D:$D,0)-1+COUNTIF($E116:X116,"u")+COUNTIF($E116:X116,"t")+COUNTIF($E116:X116,"¶")+COUNTIF($E116:X116,"²")+COUNTIF($E116:X116,"µ")+COUNTIF($E116:X116,1),ColDescriptionCourte))&gt;1,
HYPERLINK("#Roadmap!C"&amp; MATCH($E116,Roadmap!$D:$D,0)+COUNTIF($E116:X116,"u")+COUNTIF($E116:X116,"t")+COUNTIF($E116:X116,"¶")+COUNTIF($E116:X116,"²")+COUNTIF($E116:X116,"µ")+COUNTIF($E116:X116,1)-1,INDEX(Roadmap!$D:$K,MATCH($E116,Roadmap!$D:$D,0)-1+COUNTIF($E116:X116,"u")+COUNTIF($E116:X116,"t")+COUNTIF($E116:X116,"¶")+COUNTIF($E116:X116,"²")+COUNTIF($E116:X116,"µ")+COUNTIF($E116:X116,1),ColDescriptionCourte)),""),
  "")),"")</f>
        <v/>
      </c>
      <c r="Z116" s="40" t="str">
        <f ca="1">IFERROR(IF(AND(
  INDEX(Roadmap!$D:$K,MATCH($E116,Roadmap!$D:$D,0)+COUNTIF($E116:Y116,"u")+COUNTIF($E116:Y116,"t")+COUNTIF($E116:Y116,"¶")+COUNTIF($E116:Y116,"²")+COUNTIF($E116:Y116,"µ")+COUNTIF($E116:Y116,1),ColLivraison)=Z$6,
  VLOOKUP($E116,INDIRECT("tri!"&amp; CHAR(64+ C0Col) &amp;":"&amp; CHAR(65+C0Col)),2,FALSE)&gt;COUNTIF($E116:Y116,"u")+COUNTIF($E116:Y116,"t")+COUNTIF($E116:Y116,"¶")+COUNTIF($E116:Y116,"²")+COUNTIF($E116:Y116,"µ")+COUNTIF($E116:Y116,1)),
HYPERLINK("#Roadmap!C"&amp; MATCH($E116,Roadmap!$D:$D,0)+COUNTIF($E116:Y116,"u")+COUNTIF($E116:Y116,"t"),
     INDEX(Roadmap!$D:$K,MATCH($E116,Roadmap!$D:$D,0)+COUNTIF($E116:Y116,"u")+COUNTIF($E116:Y116,"t")+COUNTIF($E116:Y116,"¶")+COUNTIF($E116:Y116,"²")+COUNTIF($E116:Y116,"µ")+COUNTIF($E116:Y116,1),ColTypeEcheance)),
  IF(LEN(Y116)=1,
  IF(LEN(INDEX(Roadmap!$D:$K,MATCH($E116,Roadmap!$D:$D,0)-1+COUNTIF($E116:Y116,"u")+COUNTIF($E116:Y116,"t")+COUNTIF($E116:Y116,"¶")+COUNTIF($E116:Y116,"²")+COUNTIF($E116:Y116,"µ")+COUNTIF($E116:Y116,1),ColDescriptionCourte))&gt;1,
HYPERLINK("#Roadmap!C"&amp; MATCH($E116,Roadmap!$D:$D,0)+COUNTIF($E116:Y116,"u")+COUNTIF($E116:Y116,"t")+COUNTIF($E116:Y116,"¶")+COUNTIF($E116:Y116,"²")+COUNTIF($E116:Y116,"µ")+COUNTIF($E116:Y116,1)-1,INDEX(Roadmap!$D:$K,MATCH($E116,Roadmap!$D:$D,0)-1+COUNTIF($E116:Y116,"u")+COUNTIF($E116:Y116,"t")+COUNTIF($E116:Y116,"¶")+COUNTIF($E116:Y116,"²")+COUNTIF($E116:Y116,"µ")+COUNTIF($E116:Y116,1),ColDescriptionCourte)),""),
  "")),"")</f>
        <v/>
      </c>
      <c r="AA116" s="40" t="str">
        <f ca="1">IFERROR(IF(AND(
  INDEX(Roadmap!$D:$K,MATCH($E116,Roadmap!$D:$D,0)+COUNTIF($E116:Z116,"u")+COUNTIF($E116:Z116,"t")+COUNTIF($E116:Z116,"¶")+COUNTIF($E116:Z116,"²")+COUNTIF($E116:Z116,"µ")+COUNTIF($E116:Z116,1),ColLivraison)=AA$6,
  VLOOKUP($E116,INDIRECT("tri!"&amp; CHAR(64+ C0Col) &amp;":"&amp; CHAR(65+C0Col)),2,FALSE)&gt;COUNTIF($E116:Z116,"u")+COUNTIF($E116:Z116,"t")+COUNTIF($E116:Z116,"¶")+COUNTIF($E116:Z116,"²")+COUNTIF($E116:Z116,"µ")+COUNTIF($E116:Z116,1)),
HYPERLINK("#Roadmap!C"&amp; MATCH($E116,Roadmap!$D:$D,0)+COUNTIF($E116:Z116,"u")+COUNTIF($E116:Z116,"t"),
     INDEX(Roadmap!$D:$K,MATCH($E116,Roadmap!$D:$D,0)+COUNTIF($E116:Z116,"u")+COUNTIF($E116:Z116,"t")+COUNTIF($E116:Z116,"¶")+COUNTIF($E116:Z116,"²")+COUNTIF($E116:Z116,"µ")+COUNTIF($E116:Z116,1),ColTypeEcheance)),
  IF(LEN(Z116)=1,
  IF(LEN(INDEX(Roadmap!$D:$K,MATCH($E116,Roadmap!$D:$D,0)-1+COUNTIF($E116:Z116,"u")+COUNTIF($E116:Z116,"t")+COUNTIF($E116:Z116,"¶")+COUNTIF($E116:Z116,"²")+COUNTIF($E116:Z116,"µ")+COUNTIF($E116:Z116,1),ColDescriptionCourte))&gt;1,
HYPERLINK("#Roadmap!C"&amp; MATCH($E116,Roadmap!$D:$D,0)+COUNTIF($E116:Z116,"u")+COUNTIF($E116:Z116,"t")+COUNTIF($E116:Z116,"¶")+COUNTIF($E116:Z116,"²")+COUNTIF($E116:Z116,"µ")+COUNTIF($E116:Z116,1)-1,INDEX(Roadmap!$D:$K,MATCH($E116,Roadmap!$D:$D,0)-1+COUNTIF($E116:Z116,"u")+COUNTIF($E116:Z116,"t")+COUNTIF($E116:Z116,"¶")+COUNTIF($E116:Z116,"²")+COUNTIF($E116:Z116,"µ")+COUNTIF($E116:Z116,1),ColDescriptionCourte)),""),
  "")),"")</f>
        <v/>
      </c>
      <c r="AB116" s="40" t="str">
        <f ca="1">IFERROR(IF(AND(
  INDEX(Roadmap!$D:$K,MATCH($E116,Roadmap!$D:$D,0)+COUNTIF($E116:AA116,"u")+COUNTIF($E116:AA116,"t")+COUNTIF($E116:AA116,"¶")+COUNTIF($E116:AA116,"²")+COUNTIF($E116:AA116,"µ")+COUNTIF($E116:AA116,1),ColLivraison)=AB$6,
  VLOOKUP($E116,INDIRECT("tri!"&amp; CHAR(64+ C0Col) &amp;":"&amp; CHAR(65+C0Col)),2,FALSE)&gt;COUNTIF($E116:AA116,"u")+COUNTIF($E116:AA116,"t")+COUNTIF($E116:AA116,"¶")+COUNTIF($E116:AA116,"²")+COUNTIF($E116:AA116,"µ")+COUNTIF($E116:AA116,1)),
HYPERLINK("#Roadmap!C"&amp; MATCH($E116,Roadmap!$D:$D,0)+COUNTIF($E116:AA116,"u")+COUNTIF($E116:AA116,"t"),
     INDEX(Roadmap!$D:$K,MATCH($E116,Roadmap!$D:$D,0)+COUNTIF($E116:AA116,"u")+COUNTIF($E116:AA116,"t")+COUNTIF($E116:AA116,"¶")+COUNTIF($E116:AA116,"²")+COUNTIF($E116:AA116,"µ")+COUNTIF($E116:AA116,1),ColTypeEcheance)),
  IF(LEN(AA116)=1,
  IF(LEN(INDEX(Roadmap!$D:$K,MATCH($E116,Roadmap!$D:$D,0)-1+COUNTIF($E116:AA116,"u")+COUNTIF($E116:AA116,"t")+COUNTIF($E116:AA116,"¶")+COUNTIF($E116:AA116,"²")+COUNTIF($E116:AA116,"µ")+COUNTIF($E116:AA116,1),ColDescriptionCourte))&gt;1,
HYPERLINK("#Roadmap!C"&amp; MATCH($E116,Roadmap!$D:$D,0)+COUNTIF($E116:AA116,"u")+COUNTIF($E116:AA116,"t")+COUNTIF($E116:AA116,"¶")+COUNTIF($E116:AA116,"²")+COUNTIF($E116:AA116,"µ")+COUNTIF($E116:AA116,1)-1,INDEX(Roadmap!$D:$K,MATCH($E116,Roadmap!$D:$D,0)-1+COUNTIF($E116:AA116,"u")+COUNTIF($E116:AA116,"t")+COUNTIF($E116:AA116,"¶")+COUNTIF($E116:AA116,"²")+COUNTIF($E116:AA116,"µ")+COUNTIF($E116:AA116,1),ColDescriptionCourte)),""),
  "")),"")</f>
        <v/>
      </c>
      <c r="AC116" s="40" t="str">
        <f ca="1">IFERROR(IF(AND(
  INDEX(Roadmap!$D:$K,MATCH($E116,Roadmap!$D:$D,0)+COUNTIF($E116:AB116,"u")+COUNTIF($E116:AB116,"t")+COUNTIF($E116:AB116,"¶")+COUNTIF($E116:AB116,"²")+COUNTIF($E116:AB116,"µ")+COUNTIF($E116:AB116,1),ColLivraison)=AC$6,
  VLOOKUP($E116,INDIRECT("tri!"&amp; CHAR(64+ C0Col) &amp;":"&amp; CHAR(65+C0Col)),2,FALSE)&gt;COUNTIF($E116:AB116,"u")+COUNTIF($E116:AB116,"t")+COUNTIF($E116:AB116,"¶")+COUNTIF($E116:AB116,"²")+COUNTIF($E116:AB116,"µ")+COUNTIF($E116:AB116,1)),
HYPERLINK("#Roadmap!C"&amp; MATCH($E116,Roadmap!$D:$D,0)+COUNTIF($E116:AB116,"u")+COUNTIF($E116:AB116,"t"),
     INDEX(Roadmap!$D:$K,MATCH($E116,Roadmap!$D:$D,0)+COUNTIF($E116:AB116,"u")+COUNTIF($E116:AB116,"t")+COUNTIF($E116:AB116,"¶")+COUNTIF($E116:AB116,"²")+COUNTIF($E116:AB116,"µ")+COUNTIF($E116:AB116,1),ColTypeEcheance)),
  IF(LEN(AB116)=1,
  IF(LEN(INDEX(Roadmap!$D:$K,MATCH($E116,Roadmap!$D:$D,0)-1+COUNTIF($E116:AB116,"u")+COUNTIF($E116:AB116,"t")+COUNTIF($E116:AB116,"¶")+COUNTIF($E116:AB116,"²")+COUNTIF($E116:AB116,"µ")+COUNTIF($E116:AB116,1),ColDescriptionCourte))&gt;1,
HYPERLINK("#Roadmap!C"&amp; MATCH($E116,Roadmap!$D:$D,0)+COUNTIF($E116:AB116,"u")+COUNTIF($E116:AB116,"t")+COUNTIF($E116:AB116,"¶")+COUNTIF($E116:AB116,"²")+COUNTIF($E116:AB116,"µ")+COUNTIF($E116:AB116,1)-1,INDEX(Roadmap!$D:$K,MATCH($E116,Roadmap!$D:$D,0)-1+COUNTIF($E116:AB116,"u")+COUNTIF($E116:AB116,"t")+COUNTIF($E116:AB116,"¶")+COUNTIF($E116:AB116,"²")+COUNTIF($E116:AB116,"µ")+COUNTIF($E116:AB116,1),ColDescriptionCourte)),""),
  "")),"")</f>
        <v/>
      </c>
      <c r="AD116" s="40" t="str">
        <f ca="1">IFERROR(IF(AND(
  INDEX(Roadmap!$D:$K,MATCH($E116,Roadmap!$D:$D,0)+COUNTIF($E116:AC116,"u")+COUNTIF($E116:AC116,"t")+COUNTIF($E116:AC116,"¶")+COUNTIF($E116:AC116,"²")+COUNTIF($E116:AC116,"µ")+COUNTIF($E116:AC116,1),ColLivraison)=AD$6,
  VLOOKUP($E116,INDIRECT("tri!"&amp; CHAR(64+ C0Col) &amp;":"&amp; CHAR(65+C0Col)),2,FALSE)&gt;COUNTIF($E116:AC116,"u")+COUNTIF($E116:AC116,"t")+COUNTIF($E116:AC116,"¶")+COUNTIF($E116:AC116,"²")+COUNTIF($E116:AC116,"µ")+COUNTIF($E116:AC116,1)),
HYPERLINK("#Roadmap!C"&amp; MATCH($E116,Roadmap!$D:$D,0)+COUNTIF($E116:AC116,"u")+COUNTIF($E116:AC116,"t"),
     INDEX(Roadmap!$D:$K,MATCH($E116,Roadmap!$D:$D,0)+COUNTIF($E116:AC116,"u")+COUNTIF($E116:AC116,"t")+COUNTIF($E116:AC116,"¶")+COUNTIF($E116:AC116,"²")+COUNTIF($E116:AC116,"µ")+COUNTIF($E116:AC116,1),ColTypeEcheance)),
  IF(LEN(AC116)=1,
  IF(LEN(INDEX(Roadmap!$D:$K,MATCH($E116,Roadmap!$D:$D,0)-1+COUNTIF($E116:AC116,"u")+COUNTIF($E116:AC116,"t")+COUNTIF($E116:AC116,"¶")+COUNTIF($E116:AC116,"²")+COUNTIF($E116:AC116,"µ")+COUNTIF($E116:AC116,1),ColDescriptionCourte))&gt;1,
HYPERLINK("#Roadmap!C"&amp; MATCH($E116,Roadmap!$D:$D,0)+COUNTIF($E116:AC116,"u")+COUNTIF($E116:AC116,"t")+COUNTIF($E116:AC116,"¶")+COUNTIF($E116:AC116,"²")+COUNTIF($E116:AC116,"µ")+COUNTIF($E116:AC116,1)-1,INDEX(Roadmap!$D:$K,MATCH($E116,Roadmap!$D:$D,0)-1+COUNTIF($E116:AC116,"u")+COUNTIF($E116:AC116,"t")+COUNTIF($E116:AC116,"¶")+COUNTIF($E116:AC116,"²")+COUNTIF($E116:AC116,"µ")+COUNTIF($E116:AC116,1),ColDescriptionCourte)),""),
  "")),"")</f>
        <v/>
      </c>
      <c r="AE116" s="40" t="str">
        <f ca="1">IFERROR(IF(AND(
  INDEX(Roadmap!$D:$K,MATCH($E116,Roadmap!$D:$D,0)+COUNTIF($E116:AD116,"u")+COUNTIF($E116:AD116,"t")+COUNTIF($E116:AD116,"¶")+COUNTIF($E116:AD116,"²")+COUNTIF($E116:AD116,"µ")+COUNTIF($E116:AD116,1),ColLivraison)=AE$6,
  VLOOKUP($E116,INDIRECT("tri!"&amp; CHAR(64+ C0Col) &amp;":"&amp; CHAR(65+C0Col)),2,FALSE)&gt;COUNTIF($E116:AD116,"u")+COUNTIF($E116:AD116,"t")+COUNTIF($E116:AD116,"¶")+COUNTIF($E116:AD116,"²")+COUNTIF($E116:AD116,"µ")+COUNTIF($E116:AD116,1)),
HYPERLINK("#Roadmap!C"&amp; MATCH($E116,Roadmap!$D:$D,0)+COUNTIF($E116:AD116,"u")+COUNTIF($E116:AD116,"t"),
     INDEX(Roadmap!$D:$K,MATCH($E116,Roadmap!$D:$D,0)+COUNTIF($E116:AD116,"u")+COUNTIF($E116:AD116,"t")+COUNTIF($E116:AD116,"¶")+COUNTIF($E116:AD116,"²")+COUNTIF($E116:AD116,"µ")+COUNTIF($E116:AD116,1),ColTypeEcheance)),
  IF(LEN(AD116)=1,
  IF(LEN(INDEX(Roadmap!$D:$K,MATCH($E116,Roadmap!$D:$D,0)-1+COUNTIF($E116:AD116,"u")+COUNTIF($E116:AD116,"t")+COUNTIF($E116:AD116,"¶")+COUNTIF($E116:AD116,"²")+COUNTIF($E116:AD116,"µ")+COUNTIF($E116:AD116,1),ColDescriptionCourte))&gt;1,
HYPERLINK("#Roadmap!C"&amp; MATCH($E116,Roadmap!$D:$D,0)+COUNTIF($E116:AD116,"u")+COUNTIF($E116:AD116,"t")+COUNTIF($E116:AD116,"¶")+COUNTIF($E116:AD116,"²")+COUNTIF($E116:AD116,"µ")+COUNTIF($E116:AD116,1)-1,INDEX(Roadmap!$D:$K,MATCH($E116,Roadmap!$D:$D,0)-1+COUNTIF($E116:AD116,"u")+COUNTIF($E116:AD116,"t")+COUNTIF($E116:AD116,"¶")+COUNTIF($E116:AD116,"²")+COUNTIF($E116:AD116,"µ")+COUNTIF($E116:AD116,1),ColDescriptionCourte)),""),
  "")),"")</f>
        <v/>
      </c>
      <c r="AF116" s="40" t="str">
        <f ca="1">IFERROR(IF(AND(
  INDEX(Roadmap!$D:$K,MATCH($E116,Roadmap!$D:$D,0)+COUNTIF($E116:AE116,"u")+COUNTIF($E116:AE116,"t")+COUNTIF($E116:AE116,"¶")+COUNTIF($E116:AE116,"²")+COUNTIF($E116:AE116,"µ")+COUNTIF($E116:AE116,1),ColLivraison)=AF$6,
  VLOOKUP($E116,INDIRECT("tri!"&amp; CHAR(64+ C0Col) &amp;":"&amp; CHAR(65+C0Col)),2,FALSE)&gt;COUNTIF($E116:AE116,"u")+COUNTIF($E116:AE116,"t")+COUNTIF($E116:AE116,"¶")+COUNTIF($E116:AE116,"²")+COUNTIF($E116:AE116,"µ")+COUNTIF($E116:AE116,1)),
HYPERLINK("#Roadmap!C"&amp; MATCH($E116,Roadmap!$D:$D,0)+COUNTIF($E116:AE116,"u")+COUNTIF($E116:AE116,"t"),
     INDEX(Roadmap!$D:$K,MATCH($E116,Roadmap!$D:$D,0)+COUNTIF($E116:AE116,"u")+COUNTIF($E116:AE116,"t")+COUNTIF($E116:AE116,"¶")+COUNTIF($E116:AE116,"²")+COUNTIF($E116:AE116,"µ")+COUNTIF($E116:AE116,1),ColTypeEcheance)),
  IF(LEN(AE116)=1,
  IF(LEN(INDEX(Roadmap!$D:$K,MATCH($E116,Roadmap!$D:$D,0)-1+COUNTIF($E116:AE116,"u")+COUNTIF($E116:AE116,"t")+COUNTIF($E116:AE116,"¶")+COUNTIF($E116:AE116,"²")+COUNTIF($E116:AE116,"µ")+COUNTIF($E116:AE116,1),ColDescriptionCourte))&gt;1,
HYPERLINK("#Roadmap!C"&amp; MATCH($E116,Roadmap!$D:$D,0)+COUNTIF($E116:AE116,"u")+COUNTIF($E116:AE116,"t")+COUNTIF($E116:AE116,"¶")+COUNTIF($E116:AE116,"²")+COUNTIF($E116:AE116,"µ")+COUNTIF($E116:AE116,1)-1,INDEX(Roadmap!$D:$K,MATCH($E116,Roadmap!$D:$D,0)-1+COUNTIF($E116:AE116,"u")+COUNTIF($E116:AE116,"t")+COUNTIF($E116:AE116,"¶")+COUNTIF($E116:AE116,"²")+COUNTIF($E116:AE116,"µ")+COUNTIF($E116:AE116,1),ColDescriptionCourte)),""),
  "")),"")</f>
        <v/>
      </c>
      <c r="AG116" s="40" t="str">
        <f ca="1">IFERROR(IF(AND(
  INDEX(Roadmap!$D:$K,MATCH($E116,Roadmap!$D:$D,0)+COUNTIF($E116:AF116,"u")+COUNTIF($E116:AF116,"t")+COUNTIF($E116:AF116,"¶")+COUNTIF($E116:AF116,"²")+COUNTIF($E116:AF116,"µ")+COUNTIF($E116:AF116,1),ColLivraison)=AG$6,
  VLOOKUP($E116,INDIRECT("tri!"&amp; CHAR(64+ C0Col) &amp;":"&amp; CHAR(65+C0Col)),2,FALSE)&gt;COUNTIF($E116:AF116,"u")+COUNTIF($E116:AF116,"t")+COUNTIF($E116:AF116,"¶")+COUNTIF($E116:AF116,"²")+COUNTIF($E116:AF116,"µ")+COUNTIF($E116:AF116,1)),
HYPERLINK("#Roadmap!C"&amp; MATCH($E116,Roadmap!$D:$D,0)+COUNTIF($E116:AF116,"u")+COUNTIF($E116:AF116,"t"),
     INDEX(Roadmap!$D:$K,MATCH($E116,Roadmap!$D:$D,0)+COUNTIF($E116:AF116,"u")+COUNTIF($E116:AF116,"t")+COUNTIF($E116:AF116,"¶")+COUNTIF($E116:AF116,"²")+COUNTIF($E116:AF116,"µ")+COUNTIF($E116:AF116,1),ColTypeEcheance)),
  IF(LEN(AF116)=1,
  IF(LEN(INDEX(Roadmap!$D:$K,MATCH($E116,Roadmap!$D:$D,0)-1+COUNTIF($E116:AF116,"u")+COUNTIF($E116:AF116,"t")+COUNTIF($E116:AF116,"¶")+COUNTIF($E116:AF116,"²")+COUNTIF($E116:AF116,"µ")+COUNTIF($E116:AF116,1),ColDescriptionCourte))&gt;1,
HYPERLINK("#Roadmap!C"&amp; MATCH($E116,Roadmap!$D:$D,0)+COUNTIF($E116:AF116,"u")+COUNTIF($E116:AF116,"t")+COUNTIF($E116:AF116,"¶")+COUNTIF($E116:AF116,"²")+COUNTIF($E116:AF116,"µ")+COUNTIF($E116:AF116,1)-1,INDEX(Roadmap!$D:$K,MATCH($E116,Roadmap!$D:$D,0)-1+COUNTIF($E116:AF116,"u")+COUNTIF($E116:AF116,"t")+COUNTIF($E116:AF116,"¶")+COUNTIF($E116:AF116,"²")+COUNTIF($E116:AF116,"µ")+COUNTIF($E116:AF116,1),ColDescriptionCourte)),""),
  "")),"")</f>
        <v/>
      </c>
      <c r="AH116" s="40" t="str">
        <f ca="1">IFERROR(IF(AND(
  INDEX(Roadmap!$D:$K,MATCH($E116,Roadmap!$D:$D,0)+COUNTIF($E116:AG116,"u")+COUNTIF($E116:AG116,"t")+COUNTIF($E116:AG116,1),ColLivraison)=AH$6,
  VLOOKUP($E116,INDIRECT("tri!"&amp; CHAR(64+ C0Col) &amp;":"&amp; CHAR(65+C0Col)),2,FALSE)&gt;COUNTIF($E116:AG116,"u")+COUNTIF($E116:AG116,"t")+COUNTIF($E116:AG116,1)),
HYPERLINK("#Roadmap!C"&amp; MATCH($E116,Roadmap!$D:$D,0)+COUNTIF($E116:AG116,"u")+COUNTIF($E116:AG116,"t"),
     INDEX(Roadmap!$D:$K,MATCH($E116,Roadmap!$D:$D,0)+COUNTIF($E116:AG116,"u")+COUNTIF($E116:AG116,"t")+COUNTIF($E116:AG116,1),ColTypeEcheance)),
  IF(OR(AG116="u",AG116="t",AG116=1),
  IF(LEN(INDEX(Roadmap!$D:$K,MATCH($E116,Roadmap!$D:$D,0)-1+COUNTIF($E116:AG116,"u")+COUNTIF($E116:AG116,"t")+COUNTIF($E116:AG116,1),ColDescriptionCourte))&gt;1,
HYPERLINK("#Roadmap!C"&amp; MATCH($E116,Roadmap!$D:$D,0)+COUNTIF($E116:AG116,"u")+COUNTIF($E116:AG116,"t")+COUNTIF($E116:AG116,1)-1,INDEX(Roadmap!$D:$K,MATCH($E116,Roadmap!$D:$D,0)-1+COUNTIF($E116:AG116,"u")+COUNTIF($E116:AG116,"t")+COUNTIF($E116:AG116,1),ColDescriptionCourte)),""),
  "")),"")</f>
        <v/>
      </c>
      <c r="AI116" s="40"/>
      <c r="AJ116" s="40"/>
      <c r="AK116" s="40"/>
      <c r="AL116" s="40"/>
      <c r="AM116" s="40"/>
    </row>
    <row r="117" spans="4:39" ht="14.1" customHeight="1">
      <c r="D117" s="20" t="str">
        <f t="shared" ca="1" si="29"/>
        <v/>
      </c>
      <c r="E117" s="53" t="str">
        <f t="shared" ca="1" si="30"/>
        <v/>
      </c>
      <c r="F117" s="39" t="str">
        <f ca="1">IFERROR(IF(AND(
  INDEX(Roadmap!$D:$K,MATCH($E117,Roadmap!$D:$D,0)+COUNTIF($E117:E117,"u")+COUNTIF($E117:E117,"t")+COUNTIF($E117:E117,"¶")+COUNTIF($E117:E117,"²")+COUNTIF($E117:E117,"µ")+COUNTIF($E117:E117,1),ColLivraison)=F$6,
  VLOOKUP($E117,INDIRECT("tri!"&amp; CHAR(64+ C0Col) &amp;":"&amp; CHAR(65+C0Col)),2,FALSE)&gt;COUNTIF($E117:E117,"u")+COUNTIF($E117:E117,"t")+COUNTIF($E117:E117,"¶")+COUNTIF($E117:E117,"²")+COUNTIF($E117:E117,"µ")+COUNTIF($E117:E117,1)),
HYPERLINK("#Roadmap!C"&amp; MATCH($E117,Roadmap!$D:$D,0)+COUNTIF($E117:E117,"u")+COUNTIF($E117:E117,"t"),
     INDEX(Roadmap!$D:$K,MATCH($E117,Roadmap!$D:$D,0)+COUNTIF($E117:E117,"u")+COUNTIF($E117:E117,"t")+COUNTIF($E117:E117,"¶")+COUNTIF($E117:E117,"²")+COUNTIF($E117:E117,"µ")+COUNTIF($E117:E117,1),ColTypeEcheance)),
  IF(LEN(E117)=1,
  IF(LEN(INDEX(Roadmap!$D:$K,MATCH($E117,Roadmap!$D:$D,0)-1+COUNTIF($E117:E117,"u")+COUNTIF($E117:E117,"t")+COUNTIF($E117:E117,"¶")+COUNTIF($E117:E117,"²")+COUNTIF($E117:E117,"µ")+COUNTIF($E117:E117,1),ColDescriptionCourte))&gt;1,
HYPERLINK("#Roadmap!C"&amp; MATCH($E117,Roadmap!$D:$D,0)+COUNTIF($E117:E117,"u")+COUNTIF($E117:E117,"t")+COUNTIF($E117:E117,"¶")+COUNTIF($E117:E117,"²")+COUNTIF($E117:E117,"µ")+COUNTIF($E117:E117,1)-1,INDEX(Roadmap!$D:$K,MATCH($E117,Roadmap!$D:$D,0)-1+COUNTIF($E117:E117,"u")+COUNTIF($E117:E117,"t")+COUNTIF($E117:E117,"¶")+COUNTIF($E117:E117,"²")+COUNTIF($E117:E117,"µ")+COUNTIF($E117:E117,1),ColDescriptionCourte)),""),
  "")),"")</f>
        <v/>
      </c>
      <c r="G117" s="40" t="str">
        <f ca="1">IFERROR(IF(AND(
  INDEX(Roadmap!$D:$K,MATCH($E117,Roadmap!$D:$D,0)+COUNTIF($E117:F117,"u")+COUNTIF($E117:F117,"t")+COUNTIF($E117:F117,"¶")+COUNTIF($E117:F117,"²")+COUNTIF($E117:F117,"µ")+COUNTIF($E117:F117,1),ColLivraison)=G$6,
  VLOOKUP($E117,INDIRECT("tri!"&amp; CHAR(64+ C0Col) &amp;":"&amp; CHAR(65+C0Col)),2,FALSE)&gt;COUNTIF($E117:F117,"u")+COUNTIF($E117:F117,"t")+COUNTIF($E117:F117,"¶")+COUNTIF($E117:F117,"²")+COUNTIF($E117:F117,"µ")+COUNTIF($E117:F117,1)),
HYPERLINK("#Roadmap!C"&amp; MATCH($E117,Roadmap!$D:$D,0)+COUNTIF($E117:F117,"u")+COUNTIF($E117:F117,"t"),
     INDEX(Roadmap!$D:$K,MATCH($E117,Roadmap!$D:$D,0)+COUNTIF($E117:F117,"u")+COUNTIF($E117:F117,"t")+COUNTIF($E117:F117,"¶")+COUNTIF($E117:F117,"²")+COUNTIF($E117:F117,"µ")+COUNTIF($E117:F117,1),ColTypeEcheance)),
  IF(LEN(F117)=1,
  IF(LEN(INDEX(Roadmap!$D:$K,MATCH($E117,Roadmap!$D:$D,0)-1+COUNTIF($E117:F117,"u")+COUNTIF($E117:F117,"t")+COUNTIF($E117:F117,"¶")+COUNTIF($E117:F117,"²")+COUNTIF($E117:F117,"µ")+COUNTIF($E117:F117,1),ColDescriptionCourte))&gt;1,
HYPERLINK("#Roadmap!C"&amp; MATCH($E117,Roadmap!$D:$D,0)+COUNTIF($E117:F117,"u")+COUNTIF($E117:F117,"t")+COUNTIF($E117:F117,"¶")+COUNTIF($E117:F117,"²")+COUNTIF($E117:F117,"µ")+COUNTIF($E117:F117,1)-1,INDEX(Roadmap!$D:$K,MATCH($E117,Roadmap!$D:$D,0)-1+COUNTIF($E117:F117,"u")+COUNTIF($E117:F117,"t")+COUNTIF($E117:F117,"¶")+COUNTIF($E117:F117,"²")+COUNTIF($E117:F117,"µ")+COUNTIF($E117:F117,1),ColDescriptionCourte)),""),
  "")),"")</f>
        <v/>
      </c>
      <c r="H117" s="40" t="str">
        <f ca="1">IFERROR(IF(AND(
  INDEX(Roadmap!$D:$K,MATCH($E117,Roadmap!$D:$D,0)+COUNTIF($E117:G117,"u")+COUNTIF($E117:G117,"t")+COUNTIF($E117:G117,"¶")+COUNTIF($E117:G117,"²")+COUNTIF($E117:G117,"µ")+COUNTIF($E117:G117,1),ColLivraison)=H$6,
  VLOOKUP($E117,INDIRECT("tri!"&amp; CHAR(64+ C0Col) &amp;":"&amp; CHAR(65+C0Col)),2,FALSE)&gt;COUNTIF($E117:G117,"u")+COUNTIF($E117:G117,"t")+COUNTIF($E117:G117,"¶")+COUNTIF($E117:G117,"²")+COUNTIF($E117:G117,"µ")+COUNTIF($E117:G117,1)),
HYPERLINK("#Roadmap!C"&amp; MATCH($E117,Roadmap!$D:$D,0)+COUNTIF($E117:G117,"u")+COUNTIF($E117:G117,"t"),
     INDEX(Roadmap!$D:$K,MATCH($E117,Roadmap!$D:$D,0)+COUNTIF($E117:G117,"u")+COUNTIF($E117:G117,"t")+COUNTIF($E117:G117,"¶")+COUNTIF($E117:G117,"²")+COUNTIF($E117:G117,"µ")+COUNTIF($E117:G117,1),ColTypeEcheance)),
  IF(LEN(G117)=1,
  IF(LEN(INDEX(Roadmap!$D:$K,MATCH($E117,Roadmap!$D:$D,0)-1+COUNTIF($E117:G117,"u")+COUNTIF($E117:G117,"t")+COUNTIF($E117:G117,"¶")+COUNTIF($E117:G117,"²")+COUNTIF($E117:G117,"µ")+COUNTIF($E117:G117,1),ColDescriptionCourte))&gt;1,
HYPERLINK("#Roadmap!C"&amp; MATCH($E117,Roadmap!$D:$D,0)+COUNTIF($E117:G117,"u")+COUNTIF($E117:G117,"t")+COUNTIF($E117:G117,"¶")+COUNTIF($E117:G117,"²")+COUNTIF($E117:G117,"µ")+COUNTIF($E117:G117,1)-1,INDEX(Roadmap!$D:$K,MATCH($E117,Roadmap!$D:$D,0)-1+COUNTIF($E117:G117,"u")+COUNTIF($E117:G117,"t")+COUNTIF($E117:G117,"¶")+COUNTIF($E117:G117,"²")+COUNTIF($E117:G117,"µ")+COUNTIF($E117:G117,1),ColDescriptionCourte)),""),
  "")),"")</f>
        <v/>
      </c>
      <c r="I117" s="40" t="str">
        <f ca="1">IFERROR(IF(AND(
  INDEX(Roadmap!$D:$K,MATCH($E117,Roadmap!$D:$D,0)+COUNTIF($E117:H117,"u")+COUNTIF($E117:H117,"t")+COUNTIF($E117:H117,"¶")+COUNTIF($E117:H117,"²")+COUNTIF($E117:H117,"µ")+COUNTIF($E117:H117,1),ColLivraison)=I$6,
  VLOOKUP($E117,INDIRECT("tri!"&amp; CHAR(64+ C0Col) &amp;":"&amp; CHAR(65+C0Col)),2,FALSE)&gt;COUNTIF($E117:H117,"u")+COUNTIF($E117:H117,"t")+COUNTIF($E117:H117,"¶")+COUNTIF($E117:H117,"²")+COUNTIF($E117:H117,"µ")+COUNTIF($E117:H117,1)),
HYPERLINK("#Roadmap!C"&amp; MATCH($E117,Roadmap!$D:$D,0)+COUNTIF($E117:H117,"u")+COUNTIF($E117:H117,"t"),
     INDEX(Roadmap!$D:$K,MATCH($E117,Roadmap!$D:$D,0)+COUNTIF($E117:H117,"u")+COUNTIF($E117:H117,"t")+COUNTIF($E117:H117,"¶")+COUNTIF($E117:H117,"²")+COUNTIF($E117:H117,"µ")+COUNTIF($E117:H117,1),ColTypeEcheance)),
  IF(LEN(H117)=1,
  IF(LEN(INDEX(Roadmap!$D:$K,MATCH($E117,Roadmap!$D:$D,0)-1+COUNTIF($E117:H117,"u")+COUNTIF($E117:H117,"t")+COUNTIF($E117:H117,"¶")+COUNTIF($E117:H117,"²")+COUNTIF($E117:H117,"µ")+COUNTIF($E117:H117,1),ColDescriptionCourte))&gt;1,
HYPERLINK("#Roadmap!C"&amp; MATCH($E117,Roadmap!$D:$D,0)+COUNTIF($E117:H117,"u")+COUNTIF($E117:H117,"t")+COUNTIF($E117:H117,"¶")+COUNTIF($E117:H117,"²")+COUNTIF($E117:H117,"µ")+COUNTIF($E117:H117,1)-1,INDEX(Roadmap!$D:$K,MATCH($E117,Roadmap!$D:$D,0)-1+COUNTIF($E117:H117,"u")+COUNTIF($E117:H117,"t")+COUNTIF($E117:H117,"¶")+COUNTIF($E117:H117,"²")+COUNTIF($E117:H117,"µ")+COUNTIF($E117:H117,1),ColDescriptionCourte)),""),
  "")),"")</f>
        <v/>
      </c>
      <c r="J117" s="40" t="str">
        <f ca="1">IFERROR(IF(AND(
  INDEX(Roadmap!$D:$K,MATCH($E117,Roadmap!$D:$D,0)+COUNTIF($E117:I117,"u")+COUNTIF($E117:I117,"t")+COUNTIF($E117:I117,"¶")+COUNTIF($E117:I117,"²")+COUNTIF($E117:I117,"µ")+COUNTIF($E117:I117,1),ColLivraison)=J$6,
  VLOOKUP($E117,INDIRECT("tri!"&amp; CHAR(64+ C0Col) &amp;":"&amp; CHAR(65+C0Col)),2,FALSE)&gt;COUNTIF($E117:I117,"u")+COUNTIF($E117:I117,"t")+COUNTIF($E117:I117,"¶")+COUNTIF($E117:I117,"²")+COUNTIF($E117:I117,"µ")+COUNTIF($E117:I117,1)),
HYPERLINK("#Roadmap!C"&amp; MATCH($E117,Roadmap!$D:$D,0)+COUNTIF($E117:I117,"u")+COUNTIF($E117:I117,"t"),
     INDEX(Roadmap!$D:$K,MATCH($E117,Roadmap!$D:$D,0)+COUNTIF($E117:I117,"u")+COUNTIF($E117:I117,"t")+COUNTIF($E117:I117,"¶")+COUNTIF($E117:I117,"²")+COUNTIF($E117:I117,"µ")+COUNTIF($E117:I117,1),ColTypeEcheance)),
  IF(LEN(I117)=1,
  IF(LEN(INDEX(Roadmap!$D:$K,MATCH($E117,Roadmap!$D:$D,0)-1+COUNTIF($E117:I117,"u")+COUNTIF($E117:I117,"t")+COUNTIF($E117:I117,"¶")+COUNTIF($E117:I117,"²")+COUNTIF($E117:I117,"µ")+COUNTIF($E117:I117,1),ColDescriptionCourte))&gt;1,
HYPERLINK("#Roadmap!C"&amp; MATCH($E117,Roadmap!$D:$D,0)+COUNTIF($E117:I117,"u")+COUNTIF($E117:I117,"t")+COUNTIF($E117:I117,"¶")+COUNTIF($E117:I117,"²")+COUNTIF($E117:I117,"µ")+COUNTIF($E117:I117,1)-1,INDEX(Roadmap!$D:$K,MATCH($E117,Roadmap!$D:$D,0)-1+COUNTIF($E117:I117,"u")+COUNTIF($E117:I117,"t")+COUNTIF($E117:I117,"¶")+COUNTIF($E117:I117,"²")+COUNTIF($E117:I117,"µ")+COUNTIF($E117:I117,1),ColDescriptionCourte)),""),
  "")),"")</f>
        <v/>
      </c>
      <c r="K117" s="40" t="str">
        <f ca="1">IFERROR(IF(AND(
  INDEX(Roadmap!$D:$K,MATCH($E117,Roadmap!$D:$D,0)+COUNTIF($E117:J117,"u")+COUNTIF($E117:J117,"t")+COUNTIF($E117:J117,"¶")+COUNTIF($E117:J117,"²")+COUNTIF($E117:J117,"µ")+COUNTIF($E117:J117,1),ColLivraison)=K$6,
  VLOOKUP($E117,INDIRECT("tri!"&amp; CHAR(64+ C0Col) &amp;":"&amp; CHAR(65+C0Col)),2,FALSE)&gt;COUNTIF($E117:J117,"u")+COUNTIF($E117:J117,"t")+COUNTIF($E117:J117,"¶")+COUNTIF($E117:J117,"²")+COUNTIF($E117:J117,"µ")+COUNTIF($E117:J117,1)),
HYPERLINK("#Roadmap!C"&amp; MATCH($E117,Roadmap!$D:$D,0)+COUNTIF($E117:J117,"u")+COUNTIF($E117:J117,"t"),
     INDEX(Roadmap!$D:$K,MATCH($E117,Roadmap!$D:$D,0)+COUNTIF($E117:J117,"u")+COUNTIF($E117:J117,"t")+COUNTIF($E117:J117,"¶")+COUNTIF($E117:J117,"²")+COUNTIF($E117:J117,"µ")+COUNTIF($E117:J117,1),ColTypeEcheance)),
  IF(LEN(J117)=1,
  IF(LEN(INDEX(Roadmap!$D:$K,MATCH($E117,Roadmap!$D:$D,0)-1+COUNTIF($E117:J117,"u")+COUNTIF($E117:J117,"t")+COUNTIF($E117:J117,"¶")+COUNTIF($E117:J117,"²")+COUNTIF($E117:J117,"µ")+COUNTIF($E117:J117,1),ColDescriptionCourte))&gt;1,
HYPERLINK("#Roadmap!C"&amp; MATCH($E117,Roadmap!$D:$D,0)+COUNTIF($E117:J117,"u")+COUNTIF($E117:J117,"t")+COUNTIF($E117:J117,"¶")+COUNTIF($E117:J117,"²")+COUNTIF($E117:J117,"µ")+COUNTIF($E117:J117,1)-1,INDEX(Roadmap!$D:$K,MATCH($E117,Roadmap!$D:$D,0)-1+COUNTIF($E117:J117,"u")+COUNTIF($E117:J117,"t")+COUNTIF($E117:J117,"¶")+COUNTIF($E117:J117,"²")+COUNTIF($E117:J117,"µ")+COUNTIF($E117:J117,1),ColDescriptionCourte)),""),
  "")),"")</f>
        <v/>
      </c>
      <c r="L117" s="39" t="str">
        <f ca="1">IFERROR(IF(AND(
  INDEX(Roadmap!$D:$K,MATCH($E117,Roadmap!$D:$D,0)+COUNTIF($E117:K117,"u")+COUNTIF($E117:K117,"t")+COUNTIF($E117:K117,"¶")+COUNTIF($E117:K117,"²")+COUNTIF($E117:K117,"µ")+COUNTIF($E117:K117,1),ColLivraison)=L$6,
  VLOOKUP($E117,INDIRECT("tri!"&amp; CHAR(64+ C0Col) &amp;":"&amp; CHAR(65+C0Col)),2,FALSE)&gt;COUNTIF($E117:K117,"u")+COUNTIF($E117:K117,"t")+COUNTIF($E117:K117,"¶")+COUNTIF($E117:K117,"²")+COUNTIF($E117:K117,"µ")+COUNTIF($E117:K117,1)),
HYPERLINK("#Roadmap!C"&amp; MATCH($E117,Roadmap!$D:$D,0)+COUNTIF($E117:K117,"u")+COUNTIF($E117:K117,"t"),
     INDEX(Roadmap!$D:$K,MATCH($E117,Roadmap!$D:$D,0)+COUNTIF($E117:K117,"u")+COUNTIF($E117:K117,"t")+COUNTIF($E117:K117,"¶")+COUNTIF($E117:K117,"²")+COUNTIF($E117:K117,"µ")+COUNTIF($E117:K117,1),ColTypeEcheance)),
  IF(LEN(K117)=1,
  IF(LEN(INDEX(Roadmap!$D:$K,MATCH($E117,Roadmap!$D:$D,0)-1+COUNTIF($E117:K117,"u")+COUNTIF($E117:K117,"t")+COUNTIF($E117:K117,"¶")+COUNTIF($E117:K117,"²")+COUNTIF($E117:K117,"µ")+COUNTIF($E117:K117,1),ColDescriptionCourte))&gt;1,
HYPERLINK("#Roadmap!C"&amp; MATCH($E117,Roadmap!$D:$D,0)+COUNTIF($E117:K117,"u")+COUNTIF($E117:K117,"t")+COUNTIF($E117:K117,"¶")+COUNTIF($E117:K117,"²")+COUNTIF($E117:K117,"µ")+COUNTIF($E117:K117,1)-1,INDEX(Roadmap!$D:$K,MATCH($E117,Roadmap!$D:$D,0)-1+COUNTIF($E117:K117,"u")+COUNTIF($E117:K117,"t")+COUNTIF($E117:K117,"¶")+COUNTIF($E117:K117,"²")+COUNTIF($E117:K117,"µ")+COUNTIF($E117:K117,1),ColDescriptionCourte)),""),
  "")),"")</f>
        <v/>
      </c>
      <c r="M117" s="40" t="str">
        <f ca="1">IFERROR(IF(AND(
  INDEX(Roadmap!$D:$K,MATCH($E117,Roadmap!$D:$D,0)+COUNTIF($E117:L117,"u")+COUNTIF($E117:L117,"t")+COUNTIF($E117:L117,"¶")+COUNTIF($E117:L117,"²")+COUNTIF($E117:L117,"µ")+COUNTIF($E117:L117,1),ColLivraison)=M$6,
  VLOOKUP($E117,INDIRECT("tri!"&amp; CHAR(64+ C0Col) &amp;":"&amp; CHAR(65+C0Col)),2,FALSE)&gt;COUNTIF($E117:L117,"u")+COUNTIF($E117:L117,"t")+COUNTIF($E117:L117,"¶")+COUNTIF($E117:L117,"²")+COUNTIF($E117:L117,"µ")+COUNTIF($E117:L117,1)),
HYPERLINK("#Roadmap!C"&amp; MATCH($E117,Roadmap!$D:$D,0)+COUNTIF($E117:L117,"u")+COUNTIF($E117:L117,"t"),
     INDEX(Roadmap!$D:$K,MATCH($E117,Roadmap!$D:$D,0)+COUNTIF($E117:L117,"u")+COUNTIF($E117:L117,"t")+COUNTIF($E117:L117,"¶")+COUNTIF($E117:L117,"²")+COUNTIF($E117:L117,"µ")+COUNTIF($E117:L117,1),ColTypeEcheance)),
  IF(LEN(L117)=1,
  IF(LEN(INDEX(Roadmap!$D:$K,MATCH($E117,Roadmap!$D:$D,0)-1+COUNTIF($E117:L117,"u")+COUNTIF($E117:L117,"t")+COUNTIF($E117:L117,"¶")+COUNTIF($E117:L117,"²")+COUNTIF($E117:L117,"µ")+COUNTIF($E117:L117,1),ColDescriptionCourte))&gt;1,
HYPERLINK("#Roadmap!C"&amp; MATCH($E117,Roadmap!$D:$D,0)+COUNTIF($E117:L117,"u")+COUNTIF($E117:L117,"t")+COUNTIF($E117:L117,"¶")+COUNTIF($E117:L117,"²")+COUNTIF($E117:L117,"µ")+COUNTIF($E117:L117,1)-1,INDEX(Roadmap!$D:$K,MATCH($E117,Roadmap!$D:$D,0)-1+COUNTIF($E117:L117,"u")+COUNTIF($E117:L117,"t")+COUNTIF($E117:L117,"¶")+COUNTIF($E117:L117,"²")+COUNTIF($E117:L117,"µ")+COUNTIF($E117:L117,1),ColDescriptionCourte)),""),
  "")),"")</f>
        <v/>
      </c>
      <c r="N117" s="40" t="str">
        <f ca="1">IFERROR(IF(AND(
  INDEX(Roadmap!$D:$K,MATCH($E117,Roadmap!$D:$D,0)+COUNTIF($E117:M117,"u")+COUNTIF($E117:M117,"t")+COUNTIF($E117:M117,"¶")+COUNTIF($E117:M117,"²")+COUNTIF($E117:M117,"µ")+COUNTIF($E117:M117,1),ColLivraison)=N$6,
  VLOOKUP($E117,INDIRECT("tri!"&amp; CHAR(64+ C0Col) &amp;":"&amp; CHAR(65+C0Col)),2,FALSE)&gt;COUNTIF($E117:M117,"u")+COUNTIF($E117:M117,"t")+COUNTIF($E117:M117,"¶")+COUNTIF($E117:M117,"²")+COUNTIF($E117:M117,"µ")+COUNTIF($E117:M117,1)),
HYPERLINK("#Roadmap!C"&amp; MATCH($E117,Roadmap!$D:$D,0)+COUNTIF($E117:M117,"u")+COUNTIF($E117:M117,"t"),
     INDEX(Roadmap!$D:$K,MATCH($E117,Roadmap!$D:$D,0)+COUNTIF($E117:M117,"u")+COUNTIF($E117:M117,"t")+COUNTIF($E117:M117,"¶")+COUNTIF($E117:M117,"²")+COUNTIF($E117:M117,"µ")+COUNTIF($E117:M117,1),ColTypeEcheance)),
  IF(LEN(M117)=1,
  IF(LEN(INDEX(Roadmap!$D:$K,MATCH($E117,Roadmap!$D:$D,0)-1+COUNTIF($E117:M117,"u")+COUNTIF($E117:M117,"t")+COUNTIF($E117:M117,"¶")+COUNTIF($E117:M117,"²")+COUNTIF($E117:M117,"µ")+COUNTIF($E117:M117,1),ColDescriptionCourte))&gt;1,
HYPERLINK("#Roadmap!C"&amp; MATCH($E117,Roadmap!$D:$D,0)+COUNTIF($E117:M117,"u")+COUNTIF($E117:M117,"t")+COUNTIF($E117:M117,"¶")+COUNTIF($E117:M117,"²")+COUNTIF($E117:M117,"µ")+COUNTIF($E117:M117,1)-1,INDEX(Roadmap!$D:$K,MATCH($E117,Roadmap!$D:$D,0)-1+COUNTIF($E117:M117,"u")+COUNTIF($E117:M117,"t")+COUNTIF($E117:M117,"¶")+COUNTIF($E117:M117,"²")+COUNTIF($E117:M117,"µ")+COUNTIF($E117:M117,1),ColDescriptionCourte)),""),
  "")),"")</f>
        <v/>
      </c>
      <c r="O117" s="40" t="str">
        <f ca="1">IFERROR(IF(AND(
  INDEX(Roadmap!$D:$K,MATCH($E117,Roadmap!$D:$D,0)+COUNTIF($E117:N117,"u")+COUNTIF($E117:N117,"t")+COUNTIF($E117:N117,"¶")+COUNTIF($E117:N117,"²")+COUNTIF($E117:N117,"µ")+COUNTIF($E117:N117,1),ColLivraison)=O$6,
  VLOOKUP($E117,INDIRECT("tri!"&amp; CHAR(64+ C0Col) &amp;":"&amp; CHAR(65+C0Col)),2,FALSE)&gt;COUNTIF($E117:N117,"u")+COUNTIF($E117:N117,"t")+COUNTIF($E117:N117,"¶")+COUNTIF($E117:N117,"²")+COUNTIF($E117:N117,"µ")+COUNTIF($E117:N117,1)),
HYPERLINK("#Roadmap!C"&amp; MATCH($E117,Roadmap!$D:$D,0)+COUNTIF($E117:N117,"u")+COUNTIF($E117:N117,"t"),
     INDEX(Roadmap!$D:$K,MATCH($E117,Roadmap!$D:$D,0)+COUNTIF($E117:N117,"u")+COUNTIF($E117:N117,"t")+COUNTIF($E117:N117,"¶")+COUNTIF($E117:N117,"²")+COUNTIF($E117:N117,"µ")+COUNTIF($E117:N117,1),ColTypeEcheance)),
  IF(LEN(N117)=1,
  IF(LEN(INDEX(Roadmap!$D:$K,MATCH($E117,Roadmap!$D:$D,0)-1+COUNTIF($E117:N117,"u")+COUNTIF($E117:N117,"t")+COUNTIF($E117:N117,"¶")+COUNTIF($E117:N117,"²")+COUNTIF($E117:N117,"µ")+COUNTIF($E117:N117,1),ColDescriptionCourte))&gt;1,
HYPERLINK("#Roadmap!C"&amp; MATCH($E117,Roadmap!$D:$D,0)+COUNTIF($E117:N117,"u")+COUNTIF($E117:N117,"t")+COUNTIF($E117:N117,"¶")+COUNTIF($E117:N117,"²")+COUNTIF($E117:N117,"µ")+COUNTIF($E117:N117,1)-1,INDEX(Roadmap!$D:$K,MATCH($E117,Roadmap!$D:$D,0)-1+COUNTIF($E117:N117,"u")+COUNTIF($E117:N117,"t")+COUNTIF($E117:N117,"¶")+COUNTIF($E117:N117,"²")+COUNTIF($E117:N117,"µ")+COUNTIF($E117:N117,1),ColDescriptionCourte)),""),
  "")),"")</f>
        <v/>
      </c>
      <c r="P117" s="40" t="str">
        <f ca="1">IFERROR(IF(AND(
  INDEX(Roadmap!$D:$K,MATCH($E117,Roadmap!$D:$D,0)+COUNTIF($E117:O117,"u")+COUNTIF($E117:O117,"t")+COUNTIF($E117:O117,"¶")+COUNTIF($E117:O117,"²")+COUNTIF($E117:O117,"µ")+COUNTIF($E117:O117,1),ColLivraison)=P$6,
  VLOOKUP($E117,INDIRECT("tri!"&amp; CHAR(64+ C0Col) &amp;":"&amp; CHAR(65+C0Col)),2,FALSE)&gt;COUNTIF($E117:O117,"u")+COUNTIF($E117:O117,"t")+COUNTIF($E117:O117,"¶")+COUNTIF($E117:O117,"²")+COUNTIF($E117:O117,"µ")+COUNTIF($E117:O117,1)),
HYPERLINK("#Roadmap!C"&amp; MATCH($E117,Roadmap!$D:$D,0)+COUNTIF($E117:O117,"u")+COUNTIF($E117:O117,"t"),
     INDEX(Roadmap!$D:$K,MATCH($E117,Roadmap!$D:$D,0)+COUNTIF($E117:O117,"u")+COUNTIF($E117:O117,"t")+COUNTIF($E117:O117,"¶")+COUNTIF($E117:O117,"²")+COUNTIF($E117:O117,"µ")+COUNTIF($E117:O117,1),ColTypeEcheance)),
  IF(LEN(O117)=1,
  IF(LEN(INDEX(Roadmap!$D:$K,MATCH($E117,Roadmap!$D:$D,0)-1+COUNTIF($E117:O117,"u")+COUNTIF($E117:O117,"t")+COUNTIF($E117:O117,"¶")+COUNTIF($E117:O117,"²")+COUNTIF($E117:O117,"µ")+COUNTIF($E117:O117,1),ColDescriptionCourte))&gt;1,
HYPERLINK("#Roadmap!C"&amp; MATCH($E117,Roadmap!$D:$D,0)+COUNTIF($E117:O117,"u")+COUNTIF($E117:O117,"t")+COUNTIF($E117:O117,"¶")+COUNTIF($E117:O117,"²")+COUNTIF($E117:O117,"µ")+COUNTIF($E117:O117,1)-1,INDEX(Roadmap!$D:$K,MATCH($E117,Roadmap!$D:$D,0)-1+COUNTIF($E117:O117,"u")+COUNTIF($E117:O117,"t")+COUNTIF($E117:O117,"¶")+COUNTIF($E117:O117,"²")+COUNTIF($E117:O117,"µ")+COUNTIF($E117:O117,1),ColDescriptionCourte)),""),
  "")),"")</f>
        <v/>
      </c>
      <c r="Q117" s="40" t="str">
        <f ca="1">IFERROR(IF(AND(
  INDEX(Roadmap!$D:$K,MATCH($E117,Roadmap!$D:$D,0)+COUNTIF($E117:P117,"u")+COUNTIF($E117:P117,"t")+COUNTIF($E117:P117,"¶")+COUNTIF($E117:P117,"²")+COUNTIF($E117:P117,"µ")+COUNTIF($E117:P117,1),ColLivraison)=Q$6,
  VLOOKUP($E117,INDIRECT("tri!"&amp; CHAR(64+ C0Col) &amp;":"&amp; CHAR(65+C0Col)),2,FALSE)&gt;COUNTIF($E117:P117,"u")+COUNTIF($E117:P117,"t")+COUNTIF($E117:P117,"¶")+COUNTIF($E117:P117,"²")+COUNTIF($E117:P117,"µ")+COUNTIF($E117:P117,1)),
HYPERLINK("#Roadmap!C"&amp; MATCH($E117,Roadmap!$D:$D,0)+COUNTIF($E117:P117,"u")+COUNTIF($E117:P117,"t"),
     INDEX(Roadmap!$D:$K,MATCH($E117,Roadmap!$D:$D,0)+COUNTIF($E117:P117,"u")+COUNTIF($E117:P117,"t")+COUNTIF($E117:P117,"¶")+COUNTIF($E117:P117,"²")+COUNTIF($E117:P117,"µ")+COUNTIF($E117:P117,1),ColTypeEcheance)),
  IF(LEN(P117)=1,
  IF(LEN(INDEX(Roadmap!$D:$K,MATCH($E117,Roadmap!$D:$D,0)-1+COUNTIF($E117:P117,"u")+COUNTIF($E117:P117,"t")+COUNTIF($E117:P117,"¶")+COUNTIF($E117:P117,"²")+COUNTIF($E117:P117,"µ")+COUNTIF($E117:P117,1),ColDescriptionCourte))&gt;1,
HYPERLINK("#Roadmap!C"&amp; MATCH($E117,Roadmap!$D:$D,0)+COUNTIF($E117:P117,"u")+COUNTIF($E117:P117,"t")+COUNTIF($E117:P117,"¶")+COUNTIF($E117:P117,"²")+COUNTIF($E117:P117,"µ")+COUNTIF($E117:P117,1)-1,INDEX(Roadmap!$D:$K,MATCH($E117,Roadmap!$D:$D,0)-1+COUNTIF($E117:P117,"u")+COUNTIF($E117:P117,"t")+COUNTIF($E117:P117,"¶")+COUNTIF($E117:P117,"²")+COUNTIF($E117:P117,"µ")+COUNTIF($E117:P117,1),ColDescriptionCourte)),""),
  "")),"")</f>
        <v/>
      </c>
      <c r="R117" s="40" t="str">
        <f ca="1">IFERROR(IF(AND(
  INDEX(Roadmap!$D:$K,MATCH($E117,Roadmap!$D:$D,0)+COUNTIF($E117:Q117,"u")+COUNTIF($E117:Q117,"t")+COUNTIF($E117:Q117,"¶")+COUNTIF($E117:Q117,"²")+COUNTIF($E117:Q117,"µ")+COUNTIF($E117:Q117,1),ColLivraison)=R$6,
  VLOOKUP($E117,INDIRECT("tri!"&amp; CHAR(64+ C0Col) &amp;":"&amp; CHAR(65+C0Col)),2,FALSE)&gt;COUNTIF($E117:Q117,"u")+COUNTIF($E117:Q117,"t")+COUNTIF($E117:Q117,"¶")+COUNTIF($E117:Q117,"²")+COUNTIF($E117:Q117,"µ")+COUNTIF($E117:Q117,1)),
HYPERLINK("#Roadmap!C"&amp; MATCH($E117,Roadmap!$D:$D,0)+COUNTIF($E117:Q117,"u")+COUNTIF($E117:Q117,"t"),
     INDEX(Roadmap!$D:$K,MATCH($E117,Roadmap!$D:$D,0)+COUNTIF($E117:Q117,"u")+COUNTIF($E117:Q117,"t")+COUNTIF($E117:Q117,"¶")+COUNTIF($E117:Q117,"²")+COUNTIF($E117:Q117,"µ")+COUNTIF($E117:Q117,1),ColTypeEcheance)),
  IF(LEN(Q117)=1,
  IF(LEN(INDEX(Roadmap!$D:$K,MATCH($E117,Roadmap!$D:$D,0)-1+COUNTIF($E117:Q117,"u")+COUNTIF($E117:Q117,"t")+COUNTIF($E117:Q117,"¶")+COUNTIF($E117:Q117,"²")+COUNTIF($E117:Q117,"µ")+COUNTIF($E117:Q117,1),ColDescriptionCourte))&gt;1,
HYPERLINK("#Roadmap!C"&amp; MATCH($E117,Roadmap!$D:$D,0)+COUNTIF($E117:Q117,"u")+COUNTIF($E117:Q117,"t")+COUNTIF($E117:Q117,"¶")+COUNTIF($E117:Q117,"²")+COUNTIF($E117:Q117,"µ")+COUNTIF($E117:Q117,1)-1,INDEX(Roadmap!$D:$K,MATCH($E117,Roadmap!$D:$D,0)-1+COUNTIF($E117:Q117,"u")+COUNTIF($E117:Q117,"t")+COUNTIF($E117:Q117,"¶")+COUNTIF($E117:Q117,"²")+COUNTIF($E117:Q117,"µ")+COUNTIF($E117:Q117,1),ColDescriptionCourte)),""),
  "")),"")</f>
        <v/>
      </c>
      <c r="S117" s="40" t="str">
        <f ca="1">IFERROR(IF(AND(
  INDEX(Roadmap!$D:$K,MATCH($E117,Roadmap!$D:$D,0)+COUNTIF($E117:R117,"u")+COUNTIF($E117:R117,"t")+COUNTIF($E117:R117,"¶")+COUNTIF($E117:R117,"²")+COUNTIF($E117:R117,"µ")+COUNTIF($E117:R117,1),ColLivraison)=S$6,
  VLOOKUP($E117,INDIRECT("tri!"&amp; CHAR(64+ C0Col) &amp;":"&amp; CHAR(65+C0Col)),2,FALSE)&gt;COUNTIF($E117:R117,"u")+COUNTIF($E117:R117,"t")+COUNTIF($E117:R117,"¶")+COUNTIF($E117:R117,"²")+COUNTIF($E117:R117,"µ")+COUNTIF($E117:R117,1)),
HYPERLINK("#Roadmap!C"&amp; MATCH($E117,Roadmap!$D:$D,0)+COUNTIF($E117:R117,"u")+COUNTIF($E117:R117,"t"),
     INDEX(Roadmap!$D:$K,MATCH($E117,Roadmap!$D:$D,0)+COUNTIF($E117:R117,"u")+COUNTIF($E117:R117,"t")+COUNTIF($E117:R117,"¶")+COUNTIF($E117:R117,"²")+COUNTIF($E117:R117,"µ")+COUNTIF($E117:R117,1),ColTypeEcheance)),
  IF(LEN(R117)=1,
  IF(LEN(INDEX(Roadmap!$D:$K,MATCH($E117,Roadmap!$D:$D,0)-1+COUNTIF($E117:R117,"u")+COUNTIF($E117:R117,"t")+COUNTIF($E117:R117,"¶")+COUNTIF($E117:R117,"²")+COUNTIF($E117:R117,"µ")+COUNTIF($E117:R117,1),ColDescriptionCourte))&gt;1,
HYPERLINK("#Roadmap!C"&amp; MATCH($E117,Roadmap!$D:$D,0)+COUNTIF($E117:R117,"u")+COUNTIF($E117:R117,"t")+COUNTIF($E117:R117,"¶")+COUNTIF($E117:R117,"²")+COUNTIF($E117:R117,"µ")+COUNTIF($E117:R117,1)-1,INDEX(Roadmap!$D:$K,MATCH($E117,Roadmap!$D:$D,0)-1+COUNTIF($E117:R117,"u")+COUNTIF($E117:R117,"t")+COUNTIF($E117:R117,"¶")+COUNTIF($E117:R117,"²")+COUNTIF($E117:R117,"µ")+COUNTIF($E117:R117,1),ColDescriptionCourte)),""),
  "")),"")</f>
        <v/>
      </c>
      <c r="T117" s="40" t="str">
        <f ca="1">IFERROR(IF(AND(
  INDEX(Roadmap!$D:$K,MATCH($E117,Roadmap!$D:$D,0)+COUNTIF($E117:S117,"u")+COUNTIF($E117:S117,"t")+COUNTIF($E117:S117,"¶")+COUNTIF($E117:S117,"²")+COUNTIF($E117:S117,"µ")+COUNTIF($E117:S117,1),ColLivraison)=T$6,
  VLOOKUP($E117,INDIRECT("tri!"&amp; CHAR(64+ C0Col) &amp;":"&amp; CHAR(65+C0Col)),2,FALSE)&gt;COUNTIF($E117:S117,"u")+COUNTIF($E117:S117,"t")+COUNTIF($E117:S117,"¶")+COUNTIF($E117:S117,"²")+COUNTIF($E117:S117,"µ")+COUNTIF($E117:S117,1)),
HYPERLINK("#Roadmap!C"&amp; MATCH($E117,Roadmap!$D:$D,0)+COUNTIF($E117:S117,"u")+COUNTIF($E117:S117,"t"),
     INDEX(Roadmap!$D:$K,MATCH($E117,Roadmap!$D:$D,0)+COUNTIF($E117:S117,"u")+COUNTIF($E117:S117,"t")+COUNTIF($E117:S117,"¶")+COUNTIF($E117:S117,"²")+COUNTIF($E117:S117,"µ")+COUNTIF($E117:S117,1),ColTypeEcheance)),
  IF(LEN(S117)=1,
  IF(LEN(INDEX(Roadmap!$D:$K,MATCH($E117,Roadmap!$D:$D,0)-1+COUNTIF($E117:S117,"u")+COUNTIF($E117:S117,"t")+COUNTIF($E117:S117,"¶")+COUNTIF($E117:S117,"²")+COUNTIF($E117:S117,"µ")+COUNTIF($E117:S117,1),ColDescriptionCourte))&gt;1,
HYPERLINK("#Roadmap!C"&amp; MATCH($E117,Roadmap!$D:$D,0)+COUNTIF($E117:S117,"u")+COUNTIF($E117:S117,"t")+COUNTIF($E117:S117,"¶")+COUNTIF($E117:S117,"²")+COUNTIF($E117:S117,"µ")+COUNTIF($E117:S117,1)-1,INDEX(Roadmap!$D:$K,MATCH($E117,Roadmap!$D:$D,0)-1+COUNTIF($E117:S117,"u")+COUNTIF($E117:S117,"t")+COUNTIF($E117:S117,"¶")+COUNTIF($E117:S117,"²")+COUNTIF($E117:S117,"µ")+COUNTIF($E117:S117,1),ColDescriptionCourte)),""),
  "")),"")</f>
        <v/>
      </c>
      <c r="U117" s="40" t="str">
        <f ca="1">IFERROR(IF(AND(
  INDEX(Roadmap!$D:$K,MATCH($E117,Roadmap!$D:$D,0)+COUNTIF($E117:T117,"u")+COUNTIF($E117:T117,"t")+COUNTIF($E117:T117,"¶")+COUNTIF($E117:T117,"²")+COUNTIF($E117:T117,"µ")+COUNTIF($E117:T117,1),ColLivraison)=U$6,
  VLOOKUP($E117,INDIRECT("tri!"&amp; CHAR(64+ C0Col) &amp;":"&amp; CHAR(65+C0Col)),2,FALSE)&gt;COUNTIF($E117:T117,"u")+COUNTIF($E117:T117,"t")+COUNTIF($E117:T117,"¶")+COUNTIF($E117:T117,"²")+COUNTIF($E117:T117,"µ")+COUNTIF($E117:T117,1)),
HYPERLINK("#Roadmap!C"&amp; MATCH($E117,Roadmap!$D:$D,0)+COUNTIF($E117:T117,"u")+COUNTIF($E117:T117,"t"),
     INDEX(Roadmap!$D:$K,MATCH($E117,Roadmap!$D:$D,0)+COUNTIF($E117:T117,"u")+COUNTIF($E117:T117,"t")+COUNTIF($E117:T117,"¶")+COUNTIF($E117:T117,"²")+COUNTIF($E117:T117,"µ")+COUNTIF($E117:T117,1),ColTypeEcheance)),
  IF(LEN(T117)=1,
  IF(LEN(INDEX(Roadmap!$D:$K,MATCH($E117,Roadmap!$D:$D,0)-1+COUNTIF($E117:T117,"u")+COUNTIF($E117:T117,"t")+COUNTIF($E117:T117,"¶")+COUNTIF($E117:T117,"²")+COUNTIF($E117:T117,"µ")+COUNTIF($E117:T117,1),ColDescriptionCourte))&gt;1,
HYPERLINK("#Roadmap!C"&amp; MATCH($E117,Roadmap!$D:$D,0)+COUNTIF($E117:T117,"u")+COUNTIF($E117:T117,"t")+COUNTIF($E117:T117,"¶")+COUNTIF($E117:T117,"²")+COUNTIF($E117:T117,"µ")+COUNTIF($E117:T117,1)-1,INDEX(Roadmap!$D:$K,MATCH($E117,Roadmap!$D:$D,0)-1+COUNTIF($E117:T117,"u")+COUNTIF($E117:T117,"t")+COUNTIF($E117:T117,"¶")+COUNTIF($E117:T117,"²")+COUNTIF($E117:T117,"µ")+COUNTIF($E117:T117,1),ColDescriptionCourte)),""),
  "")),"")</f>
        <v/>
      </c>
      <c r="V117" s="40" t="str">
        <f ca="1">IFERROR(IF(AND(
  INDEX(Roadmap!$D:$K,MATCH($E117,Roadmap!$D:$D,0)+COUNTIF($E117:U117,"u")+COUNTIF($E117:U117,"t")+COUNTIF($E117:U117,"¶")+COUNTIF($E117:U117,"²")+COUNTIF($E117:U117,"µ")+COUNTIF($E117:U117,1),ColLivraison)=V$6,
  VLOOKUP($E117,INDIRECT("tri!"&amp; CHAR(64+ C0Col) &amp;":"&amp; CHAR(65+C0Col)),2,FALSE)&gt;COUNTIF($E117:U117,"u")+COUNTIF($E117:U117,"t")+COUNTIF($E117:U117,"¶")+COUNTIF($E117:U117,"²")+COUNTIF($E117:U117,"µ")+COUNTIF($E117:U117,1)),
HYPERLINK("#Roadmap!C"&amp; MATCH($E117,Roadmap!$D:$D,0)+COUNTIF($E117:U117,"u")+COUNTIF($E117:U117,"t"),
     INDEX(Roadmap!$D:$K,MATCH($E117,Roadmap!$D:$D,0)+COUNTIF($E117:U117,"u")+COUNTIF($E117:U117,"t")+COUNTIF($E117:U117,"¶")+COUNTIF($E117:U117,"²")+COUNTIF($E117:U117,"µ")+COUNTIF($E117:U117,1),ColTypeEcheance)),
  IF(LEN(U117)=1,
  IF(LEN(INDEX(Roadmap!$D:$K,MATCH($E117,Roadmap!$D:$D,0)-1+COUNTIF($E117:U117,"u")+COUNTIF($E117:U117,"t")+COUNTIF($E117:U117,"¶")+COUNTIF($E117:U117,"²")+COUNTIF($E117:U117,"µ")+COUNTIF($E117:U117,1),ColDescriptionCourte))&gt;1,
HYPERLINK("#Roadmap!C"&amp; MATCH($E117,Roadmap!$D:$D,0)+COUNTIF($E117:U117,"u")+COUNTIF($E117:U117,"t")+COUNTIF($E117:U117,"¶")+COUNTIF($E117:U117,"²")+COUNTIF($E117:U117,"µ")+COUNTIF($E117:U117,1)-1,INDEX(Roadmap!$D:$K,MATCH($E117,Roadmap!$D:$D,0)-1+COUNTIF($E117:U117,"u")+COUNTIF($E117:U117,"t")+COUNTIF($E117:U117,"¶")+COUNTIF($E117:U117,"²")+COUNTIF($E117:U117,"µ")+COUNTIF($E117:U117,1),ColDescriptionCourte)),""),
  "")),"")</f>
        <v/>
      </c>
      <c r="W117" s="40" t="str">
        <f ca="1">IFERROR(IF(AND(
  INDEX(Roadmap!$D:$K,MATCH($E117,Roadmap!$D:$D,0)+COUNTIF($E117:V117,"u")+COUNTIF($E117:V117,"t")+COUNTIF($E117:V117,"¶")+COUNTIF($E117:V117,"²")+COUNTIF($E117:V117,"µ")+COUNTIF($E117:V117,1),ColLivraison)=W$6,
  VLOOKUP($E117,INDIRECT("tri!"&amp; CHAR(64+ C0Col) &amp;":"&amp; CHAR(65+C0Col)),2,FALSE)&gt;COUNTIF($E117:V117,"u")+COUNTIF($E117:V117,"t")+COUNTIF($E117:V117,"¶")+COUNTIF($E117:V117,"²")+COUNTIF($E117:V117,"µ")+COUNTIF($E117:V117,1)),
HYPERLINK("#Roadmap!C"&amp; MATCH($E117,Roadmap!$D:$D,0)+COUNTIF($E117:V117,"u")+COUNTIF($E117:V117,"t"),
     INDEX(Roadmap!$D:$K,MATCH($E117,Roadmap!$D:$D,0)+COUNTIF($E117:V117,"u")+COUNTIF($E117:V117,"t")+COUNTIF($E117:V117,"¶")+COUNTIF($E117:V117,"²")+COUNTIF($E117:V117,"µ")+COUNTIF($E117:V117,1),ColTypeEcheance)),
  IF(LEN(V117)=1,
  IF(LEN(INDEX(Roadmap!$D:$K,MATCH($E117,Roadmap!$D:$D,0)-1+COUNTIF($E117:V117,"u")+COUNTIF($E117:V117,"t")+COUNTIF($E117:V117,"¶")+COUNTIF($E117:V117,"²")+COUNTIF($E117:V117,"µ")+COUNTIF($E117:V117,1),ColDescriptionCourte))&gt;1,
HYPERLINK("#Roadmap!C"&amp; MATCH($E117,Roadmap!$D:$D,0)+COUNTIF($E117:V117,"u")+COUNTIF($E117:V117,"t")+COUNTIF($E117:V117,"¶")+COUNTIF($E117:V117,"²")+COUNTIF($E117:V117,"µ")+COUNTIF($E117:V117,1)-1,INDEX(Roadmap!$D:$K,MATCH($E117,Roadmap!$D:$D,0)-1+COUNTIF($E117:V117,"u")+COUNTIF($E117:V117,"t")+COUNTIF($E117:V117,"¶")+COUNTIF($E117:V117,"²")+COUNTIF($E117:V117,"µ")+COUNTIF($E117:V117,1),ColDescriptionCourte)),""),
  "")),"")</f>
        <v/>
      </c>
      <c r="X117" s="40" t="str">
        <f ca="1">IFERROR(IF(AND(
  INDEX(Roadmap!$D:$K,MATCH($E117,Roadmap!$D:$D,0)+COUNTIF($E117:W117,"u")+COUNTIF($E117:W117,"t")+COUNTIF($E117:W117,"¶")+COUNTIF($E117:W117,"²")+COUNTIF($E117:W117,"µ")+COUNTIF($E117:W117,1),ColLivraison)=X$6,
  VLOOKUP($E117,INDIRECT("tri!"&amp; CHAR(64+ C0Col) &amp;":"&amp; CHAR(65+C0Col)),2,FALSE)&gt;COUNTIF($E117:W117,"u")+COUNTIF($E117:W117,"t")+COUNTIF($E117:W117,"¶")+COUNTIF($E117:W117,"²")+COUNTIF($E117:W117,"µ")+COUNTIF($E117:W117,1)),
HYPERLINK("#Roadmap!C"&amp; MATCH($E117,Roadmap!$D:$D,0)+COUNTIF($E117:W117,"u")+COUNTIF($E117:W117,"t"),
     INDEX(Roadmap!$D:$K,MATCH($E117,Roadmap!$D:$D,0)+COUNTIF($E117:W117,"u")+COUNTIF($E117:W117,"t")+COUNTIF($E117:W117,"¶")+COUNTIF($E117:W117,"²")+COUNTIF($E117:W117,"µ")+COUNTIF($E117:W117,1),ColTypeEcheance)),
  IF(LEN(W117)=1,
  IF(LEN(INDEX(Roadmap!$D:$K,MATCH($E117,Roadmap!$D:$D,0)-1+COUNTIF($E117:W117,"u")+COUNTIF($E117:W117,"t")+COUNTIF($E117:W117,"¶")+COUNTIF($E117:W117,"²")+COUNTIF($E117:W117,"µ")+COUNTIF($E117:W117,1),ColDescriptionCourte))&gt;1,
HYPERLINK("#Roadmap!C"&amp; MATCH($E117,Roadmap!$D:$D,0)+COUNTIF($E117:W117,"u")+COUNTIF($E117:W117,"t")+COUNTIF($E117:W117,"¶")+COUNTIF($E117:W117,"²")+COUNTIF($E117:W117,"µ")+COUNTIF($E117:W117,1)-1,INDEX(Roadmap!$D:$K,MATCH($E117,Roadmap!$D:$D,0)-1+COUNTIF($E117:W117,"u")+COUNTIF($E117:W117,"t")+COUNTIF($E117:W117,"¶")+COUNTIF($E117:W117,"²")+COUNTIF($E117:W117,"µ")+COUNTIF($E117:W117,1),ColDescriptionCourte)),""),
  "")),"")</f>
        <v/>
      </c>
      <c r="Y117" s="40" t="str">
        <f ca="1">IFERROR(IF(AND(
  INDEX(Roadmap!$D:$K,MATCH($E117,Roadmap!$D:$D,0)+COUNTIF($E117:X117,"u")+COUNTIF($E117:X117,"t")+COUNTIF($E117:X117,"¶")+COUNTIF($E117:X117,"²")+COUNTIF($E117:X117,"µ")+COUNTIF($E117:X117,1),ColLivraison)=Y$6,
  VLOOKUP($E117,INDIRECT("tri!"&amp; CHAR(64+ C0Col) &amp;":"&amp; CHAR(65+C0Col)),2,FALSE)&gt;COUNTIF($E117:X117,"u")+COUNTIF($E117:X117,"t")+COUNTIF($E117:X117,"¶")+COUNTIF($E117:X117,"²")+COUNTIF($E117:X117,"µ")+COUNTIF($E117:X117,1)),
HYPERLINK("#Roadmap!C"&amp; MATCH($E117,Roadmap!$D:$D,0)+COUNTIF($E117:X117,"u")+COUNTIF($E117:X117,"t"),
     INDEX(Roadmap!$D:$K,MATCH($E117,Roadmap!$D:$D,0)+COUNTIF($E117:X117,"u")+COUNTIF($E117:X117,"t")+COUNTIF($E117:X117,"¶")+COUNTIF($E117:X117,"²")+COUNTIF($E117:X117,"µ")+COUNTIF($E117:X117,1),ColTypeEcheance)),
  IF(LEN(X117)=1,
  IF(LEN(INDEX(Roadmap!$D:$K,MATCH($E117,Roadmap!$D:$D,0)-1+COUNTIF($E117:X117,"u")+COUNTIF($E117:X117,"t")+COUNTIF($E117:X117,"¶")+COUNTIF($E117:X117,"²")+COUNTIF($E117:X117,"µ")+COUNTIF($E117:X117,1),ColDescriptionCourte))&gt;1,
HYPERLINK("#Roadmap!C"&amp; MATCH($E117,Roadmap!$D:$D,0)+COUNTIF($E117:X117,"u")+COUNTIF($E117:X117,"t")+COUNTIF($E117:X117,"¶")+COUNTIF($E117:X117,"²")+COUNTIF($E117:X117,"µ")+COUNTIF($E117:X117,1)-1,INDEX(Roadmap!$D:$K,MATCH($E117,Roadmap!$D:$D,0)-1+COUNTIF($E117:X117,"u")+COUNTIF($E117:X117,"t")+COUNTIF($E117:X117,"¶")+COUNTIF($E117:X117,"²")+COUNTIF($E117:X117,"µ")+COUNTIF($E117:X117,1),ColDescriptionCourte)),""),
  "")),"")</f>
        <v/>
      </c>
      <c r="Z117" s="40" t="str">
        <f ca="1">IFERROR(IF(AND(
  INDEX(Roadmap!$D:$K,MATCH($E117,Roadmap!$D:$D,0)+COUNTIF($E117:Y117,"u")+COUNTIF($E117:Y117,"t")+COUNTIF($E117:Y117,"¶")+COUNTIF($E117:Y117,"²")+COUNTIF($E117:Y117,"µ")+COUNTIF($E117:Y117,1),ColLivraison)=Z$6,
  VLOOKUP($E117,INDIRECT("tri!"&amp; CHAR(64+ C0Col) &amp;":"&amp; CHAR(65+C0Col)),2,FALSE)&gt;COUNTIF($E117:Y117,"u")+COUNTIF($E117:Y117,"t")+COUNTIF($E117:Y117,"¶")+COUNTIF($E117:Y117,"²")+COUNTIF($E117:Y117,"µ")+COUNTIF($E117:Y117,1)),
HYPERLINK("#Roadmap!C"&amp; MATCH($E117,Roadmap!$D:$D,0)+COUNTIF($E117:Y117,"u")+COUNTIF($E117:Y117,"t"),
     INDEX(Roadmap!$D:$K,MATCH($E117,Roadmap!$D:$D,0)+COUNTIF($E117:Y117,"u")+COUNTIF($E117:Y117,"t")+COUNTIF($E117:Y117,"¶")+COUNTIF($E117:Y117,"²")+COUNTIF($E117:Y117,"µ")+COUNTIF($E117:Y117,1),ColTypeEcheance)),
  IF(LEN(Y117)=1,
  IF(LEN(INDEX(Roadmap!$D:$K,MATCH($E117,Roadmap!$D:$D,0)-1+COUNTIF($E117:Y117,"u")+COUNTIF($E117:Y117,"t")+COUNTIF($E117:Y117,"¶")+COUNTIF($E117:Y117,"²")+COUNTIF($E117:Y117,"µ")+COUNTIF($E117:Y117,1),ColDescriptionCourte))&gt;1,
HYPERLINK("#Roadmap!C"&amp; MATCH($E117,Roadmap!$D:$D,0)+COUNTIF($E117:Y117,"u")+COUNTIF($E117:Y117,"t")+COUNTIF($E117:Y117,"¶")+COUNTIF($E117:Y117,"²")+COUNTIF($E117:Y117,"µ")+COUNTIF($E117:Y117,1)-1,INDEX(Roadmap!$D:$K,MATCH($E117,Roadmap!$D:$D,0)-1+COUNTIF($E117:Y117,"u")+COUNTIF($E117:Y117,"t")+COUNTIF($E117:Y117,"¶")+COUNTIF($E117:Y117,"²")+COUNTIF($E117:Y117,"µ")+COUNTIF($E117:Y117,1),ColDescriptionCourte)),""),
  "")),"")</f>
        <v/>
      </c>
      <c r="AA117" s="40" t="str">
        <f ca="1">IFERROR(IF(AND(
  INDEX(Roadmap!$D:$K,MATCH($E117,Roadmap!$D:$D,0)+COUNTIF($E117:Z117,"u")+COUNTIF($E117:Z117,"t")+COUNTIF($E117:Z117,"¶")+COUNTIF($E117:Z117,"²")+COUNTIF($E117:Z117,"µ")+COUNTIF($E117:Z117,1),ColLivraison)=AA$6,
  VLOOKUP($E117,INDIRECT("tri!"&amp; CHAR(64+ C0Col) &amp;":"&amp; CHAR(65+C0Col)),2,FALSE)&gt;COUNTIF($E117:Z117,"u")+COUNTIF($E117:Z117,"t")+COUNTIF($E117:Z117,"¶")+COUNTIF($E117:Z117,"²")+COUNTIF($E117:Z117,"µ")+COUNTIF($E117:Z117,1)),
HYPERLINK("#Roadmap!C"&amp; MATCH($E117,Roadmap!$D:$D,0)+COUNTIF($E117:Z117,"u")+COUNTIF($E117:Z117,"t"),
     INDEX(Roadmap!$D:$K,MATCH($E117,Roadmap!$D:$D,0)+COUNTIF($E117:Z117,"u")+COUNTIF($E117:Z117,"t")+COUNTIF($E117:Z117,"¶")+COUNTIF($E117:Z117,"²")+COUNTIF($E117:Z117,"µ")+COUNTIF($E117:Z117,1),ColTypeEcheance)),
  IF(LEN(Z117)=1,
  IF(LEN(INDEX(Roadmap!$D:$K,MATCH($E117,Roadmap!$D:$D,0)-1+COUNTIF($E117:Z117,"u")+COUNTIF($E117:Z117,"t")+COUNTIF($E117:Z117,"¶")+COUNTIF($E117:Z117,"²")+COUNTIF($E117:Z117,"µ")+COUNTIF($E117:Z117,1),ColDescriptionCourte))&gt;1,
HYPERLINK("#Roadmap!C"&amp; MATCH($E117,Roadmap!$D:$D,0)+COUNTIF($E117:Z117,"u")+COUNTIF($E117:Z117,"t")+COUNTIF($E117:Z117,"¶")+COUNTIF($E117:Z117,"²")+COUNTIF($E117:Z117,"µ")+COUNTIF($E117:Z117,1)-1,INDEX(Roadmap!$D:$K,MATCH($E117,Roadmap!$D:$D,0)-1+COUNTIF($E117:Z117,"u")+COUNTIF($E117:Z117,"t")+COUNTIF($E117:Z117,"¶")+COUNTIF($E117:Z117,"²")+COUNTIF($E117:Z117,"µ")+COUNTIF($E117:Z117,1),ColDescriptionCourte)),""),
  "")),"")</f>
        <v/>
      </c>
      <c r="AB117" s="40" t="str">
        <f ca="1">IFERROR(IF(AND(
  INDEX(Roadmap!$D:$K,MATCH($E117,Roadmap!$D:$D,0)+COUNTIF($E117:AA117,"u")+COUNTIF($E117:AA117,"t")+COUNTIF($E117:AA117,"¶")+COUNTIF($E117:AA117,"²")+COUNTIF($E117:AA117,"µ")+COUNTIF($E117:AA117,1),ColLivraison)=AB$6,
  VLOOKUP($E117,INDIRECT("tri!"&amp; CHAR(64+ C0Col) &amp;":"&amp; CHAR(65+C0Col)),2,FALSE)&gt;COUNTIF($E117:AA117,"u")+COUNTIF($E117:AA117,"t")+COUNTIF($E117:AA117,"¶")+COUNTIF($E117:AA117,"²")+COUNTIF($E117:AA117,"µ")+COUNTIF($E117:AA117,1)),
HYPERLINK("#Roadmap!C"&amp; MATCH($E117,Roadmap!$D:$D,0)+COUNTIF($E117:AA117,"u")+COUNTIF($E117:AA117,"t"),
     INDEX(Roadmap!$D:$K,MATCH($E117,Roadmap!$D:$D,0)+COUNTIF($E117:AA117,"u")+COUNTIF($E117:AA117,"t")+COUNTIF($E117:AA117,"¶")+COUNTIF($E117:AA117,"²")+COUNTIF($E117:AA117,"µ")+COUNTIF($E117:AA117,1),ColTypeEcheance)),
  IF(LEN(AA117)=1,
  IF(LEN(INDEX(Roadmap!$D:$K,MATCH($E117,Roadmap!$D:$D,0)-1+COUNTIF($E117:AA117,"u")+COUNTIF($E117:AA117,"t")+COUNTIF($E117:AA117,"¶")+COUNTIF($E117:AA117,"²")+COUNTIF($E117:AA117,"µ")+COUNTIF($E117:AA117,1),ColDescriptionCourte))&gt;1,
HYPERLINK("#Roadmap!C"&amp; MATCH($E117,Roadmap!$D:$D,0)+COUNTIF($E117:AA117,"u")+COUNTIF($E117:AA117,"t")+COUNTIF($E117:AA117,"¶")+COUNTIF($E117:AA117,"²")+COUNTIF($E117:AA117,"µ")+COUNTIF($E117:AA117,1)-1,INDEX(Roadmap!$D:$K,MATCH($E117,Roadmap!$D:$D,0)-1+COUNTIF($E117:AA117,"u")+COUNTIF($E117:AA117,"t")+COUNTIF($E117:AA117,"¶")+COUNTIF($E117:AA117,"²")+COUNTIF($E117:AA117,"µ")+COUNTIF($E117:AA117,1),ColDescriptionCourte)),""),
  "")),"")</f>
        <v/>
      </c>
      <c r="AC117" s="40" t="str">
        <f ca="1">IFERROR(IF(AND(
  INDEX(Roadmap!$D:$K,MATCH($E117,Roadmap!$D:$D,0)+COUNTIF($E117:AB117,"u")+COUNTIF($E117:AB117,"t")+COUNTIF($E117:AB117,"¶")+COUNTIF($E117:AB117,"²")+COUNTIF($E117:AB117,"µ")+COUNTIF($E117:AB117,1),ColLivraison)=AC$6,
  VLOOKUP($E117,INDIRECT("tri!"&amp; CHAR(64+ C0Col) &amp;":"&amp; CHAR(65+C0Col)),2,FALSE)&gt;COUNTIF($E117:AB117,"u")+COUNTIF($E117:AB117,"t")+COUNTIF($E117:AB117,"¶")+COUNTIF($E117:AB117,"²")+COUNTIF($E117:AB117,"µ")+COUNTIF($E117:AB117,1)),
HYPERLINK("#Roadmap!C"&amp; MATCH($E117,Roadmap!$D:$D,0)+COUNTIF($E117:AB117,"u")+COUNTIF($E117:AB117,"t"),
     INDEX(Roadmap!$D:$K,MATCH($E117,Roadmap!$D:$D,0)+COUNTIF($E117:AB117,"u")+COUNTIF($E117:AB117,"t")+COUNTIF($E117:AB117,"¶")+COUNTIF($E117:AB117,"²")+COUNTIF($E117:AB117,"µ")+COUNTIF($E117:AB117,1),ColTypeEcheance)),
  IF(LEN(AB117)=1,
  IF(LEN(INDEX(Roadmap!$D:$K,MATCH($E117,Roadmap!$D:$D,0)-1+COUNTIF($E117:AB117,"u")+COUNTIF($E117:AB117,"t")+COUNTIF($E117:AB117,"¶")+COUNTIF($E117:AB117,"²")+COUNTIF($E117:AB117,"µ")+COUNTIF($E117:AB117,1),ColDescriptionCourte))&gt;1,
HYPERLINK("#Roadmap!C"&amp; MATCH($E117,Roadmap!$D:$D,0)+COUNTIF($E117:AB117,"u")+COUNTIF($E117:AB117,"t")+COUNTIF($E117:AB117,"¶")+COUNTIF($E117:AB117,"²")+COUNTIF($E117:AB117,"µ")+COUNTIF($E117:AB117,1)-1,INDEX(Roadmap!$D:$K,MATCH($E117,Roadmap!$D:$D,0)-1+COUNTIF($E117:AB117,"u")+COUNTIF($E117:AB117,"t")+COUNTIF($E117:AB117,"¶")+COUNTIF($E117:AB117,"²")+COUNTIF($E117:AB117,"µ")+COUNTIF($E117:AB117,1),ColDescriptionCourte)),""),
  "")),"")</f>
        <v/>
      </c>
      <c r="AD117" s="40" t="str">
        <f ca="1">IFERROR(IF(AND(
  INDEX(Roadmap!$D:$K,MATCH($E117,Roadmap!$D:$D,0)+COUNTIF($E117:AC117,"u")+COUNTIF($E117:AC117,"t")+COUNTIF($E117:AC117,"¶")+COUNTIF($E117:AC117,"²")+COUNTIF($E117:AC117,"µ")+COUNTIF($E117:AC117,1),ColLivraison)=AD$6,
  VLOOKUP($E117,INDIRECT("tri!"&amp; CHAR(64+ C0Col) &amp;":"&amp; CHAR(65+C0Col)),2,FALSE)&gt;COUNTIF($E117:AC117,"u")+COUNTIF($E117:AC117,"t")+COUNTIF($E117:AC117,"¶")+COUNTIF($E117:AC117,"²")+COUNTIF($E117:AC117,"µ")+COUNTIF($E117:AC117,1)),
HYPERLINK("#Roadmap!C"&amp; MATCH($E117,Roadmap!$D:$D,0)+COUNTIF($E117:AC117,"u")+COUNTIF($E117:AC117,"t"),
     INDEX(Roadmap!$D:$K,MATCH($E117,Roadmap!$D:$D,0)+COUNTIF($E117:AC117,"u")+COUNTIF($E117:AC117,"t")+COUNTIF($E117:AC117,"¶")+COUNTIF($E117:AC117,"²")+COUNTIF($E117:AC117,"µ")+COUNTIF($E117:AC117,1),ColTypeEcheance)),
  IF(LEN(AC117)=1,
  IF(LEN(INDEX(Roadmap!$D:$K,MATCH($E117,Roadmap!$D:$D,0)-1+COUNTIF($E117:AC117,"u")+COUNTIF($E117:AC117,"t")+COUNTIF($E117:AC117,"¶")+COUNTIF($E117:AC117,"²")+COUNTIF($E117:AC117,"µ")+COUNTIF($E117:AC117,1),ColDescriptionCourte))&gt;1,
HYPERLINK("#Roadmap!C"&amp; MATCH($E117,Roadmap!$D:$D,0)+COUNTIF($E117:AC117,"u")+COUNTIF($E117:AC117,"t")+COUNTIF($E117:AC117,"¶")+COUNTIF($E117:AC117,"²")+COUNTIF($E117:AC117,"µ")+COUNTIF($E117:AC117,1)-1,INDEX(Roadmap!$D:$K,MATCH($E117,Roadmap!$D:$D,0)-1+COUNTIF($E117:AC117,"u")+COUNTIF($E117:AC117,"t")+COUNTIF($E117:AC117,"¶")+COUNTIF($E117:AC117,"²")+COUNTIF($E117:AC117,"µ")+COUNTIF($E117:AC117,1),ColDescriptionCourte)),""),
  "")),"")</f>
        <v/>
      </c>
      <c r="AE117" s="40" t="str">
        <f ca="1">IFERROR(IF(AND(
  INDEX(Roadmap!$D:$K,MATCH($E117,Roadmap!$D:$D,0)+COUNTIF($E117:AD117,"u")+COUNTIF($E117:AD117,"t")+COUNTIF($E117:AD117,"¶")+COUNTIF($E117:AD117,"²")+COUNTIF($E117:AD117,"µ")+COUNTIF($E117:AD117,1),ColLivraison)=AE$6,
  VLOOKUP($E117,INDIRECT("tri!"&amp; CHAR(64+ C0Col) &amp;":"&amp; CHAR(65+C0Col)),2,FALSE)&gt;COUNTIF($E117:AD117,"u")+COUNTIF($E117:AD117,"t")+COUNTIF($E117:AD117,"¶")+COUNTIF($E117:AD117,"²")+COUNTIF($E117:AD117,"µ")+COUNTIF($E117:AD117,1)),
HYPERLINK("#Roadmap!C"&amp; MATCH($E117,Roadmap!$D:$D,0)+COUNTIF($E117:AD117,"u")+COUNTIF($E117:AD117,"t"),
     INDEX(Roadmap!$D:$K,MATCH($E117,Roadmap!$D:$D,0)+COUNTIF($E117:AD117,"u")+COUNTIF($E117:AD117,"t")+COUNTIF($E117:AD117,"¶")+COUNTIF($E117:AD117,"²")+COUNTIF($E117:AD117,"µ")+COUNTIF($E117:AD117,1),ColTypeEcheance)),
  IF(LEN(AD117)=1,
  IF(LEN(INDEX(Roadmap!$D:$K,MATCH($E117,Roadmap!$D:$D,0)-1+COUNTIF($E117:AD117,"u")+COUNTIF($E117:AD117,"t")+COUNTIF($E117:AD117,"¶")+COUNTIF($E117:AD117,"²")+COUNTIF($E117:AD117,"µ")+COUNTIF($E117:AD117,1),ColDescriptionCourte))&gt;1,
HYPERLINK("#Roadmap!C"&amp; MATCH($E117,Roadmap!$D:$D,0)+COUNTIF($E117:AD117,"u")+COUNTIF($E117:AD117,"t")+COUNTIF($E117:AD117,"¶")+COUNTIF($E117:AD117,"²")+COUNTIF($E117:AD117,"µ")+COUNTIF($E117:AD117,1)-1,INDEX(Roadmap!$D:$K,MATCH($E117,Roadmap!$D:$D,0)-1+COUNTIF($E117:AD117,"u")+COUNTIF($E117:AD117,"t")+COUNTIF($E117:AD117,"¶")+COUNTIF($E117:AD117,"²")+COUNTIF($E117:AD117,"µ")+COUNTIF($E117:AD117,1),ColDescriptionCourte)),""),
  "")),"")</f>
        <v/>
      </c>
      <c r="AF117" s="40" t="str">
        <f ca="1">IFERROR(IF(AND(
  INDEX(Roadmap!$D:$K,MATCH($E117,Roadmap!$D:$D,0)+COUNTIF($E117:AE117,"u")+COUNTIF($E117:AE117,"t")+COUNTIF($E117:AE117,"¶")+COUNTIF($E117:AE117,"²")+COUNTIF($E117:AE117,"µ")+COUNTIF($E117:AE117,1),ColLivraison)=AF$6,
  VLOOKUP($E117,INDIRECT("tri!"&amp; CHAR(64+ C0Col) &amp;":"&amp; CHAR(65+C0Col)),2,FALSE)&gt;COUNTIF($E117:AE117,"u")+COUNTIF($E117:AE117,"t")+COUNTIF($E117:AE117,"¶")+COUNTIF($E117:AE117,"²")+COUNTIF($E117:AE117,"µ")+COUNTIF($E117:AE117,1)),
HYPERLINK("#Roadmap!C"&amp; MATCH($E117,Roadmap!$D:$D,0)+COUNTIF($E117:AE117,"u")+COUNTIF($E117:AE117,"t"),
     INDEX(Roadmap!$D:$K,MATCH($E117,Roadmap!$D:$D,0)+COUNTIF($E117:AE117,"u")+COUNTIF($E117:AE117,"t")+COUNTIF($E117:AE117,"¶")+COUNTIF($E117:AE117,"²")+COUNTIF($E117:AE117,"µ")+COUNTIF($E117:AE117,1),ColTypeEcheance)),
  IF(LEN(AE117)=1,
  IF(LEN(INDEX(Roadmap!$D:$K,MATCH($E117,Roadmap!$D:$D,0)-1+COUNTIF($E117:AE117,"u")+COUNTIF($E117:AE117,"t")+COUNTIF($E117:AE117,"¶")+COUNTIF($E117:AE117,"²")+COUNTIF($E117:AE117,"µ")+COUNTIF($E117:AE117,1),ColDescriptionCourte))&gt;1,
HYPERLINK("#Roadmap!C"&amp; MATCH($E117,Roadmap!$D:$D,0)+COUNTIF($E117:AE117,"u")+COUNTIF($E117:AE117,"t")+COUNTIF($E117:AE117,"¶")+COUNTIF($E117:AE117,"²")+COUNTIF($E117:AE117,"µ")+COUNTIF($E117:AE117,1)-1,INDEX(Roadmap!$D:$K,MATCH($E117,Roadmap!$D:$D,0)-1+COUNTIF($E117:AE117,"u")+COUNTIF($E117:AE117,"t")+COUNTIF($E117:AE117,"¶")+COUNTIF($E117:AE117,"²")+COUNTIF($E117:AE117,"µ")+COUNTIF($E117:AE117,1),ColDescriptionCourte)),""),
  "")),"")</f>
        <v/>
      </c>
      <c r="AG117" s="40" t="str">
        <f ca="1">IFERROR(IF(AND(
  INDEX(Roadmap!$D:$K,MATCH($E117,Roadmap!$D:$D,0)+COUNTIF($E117:AF117,"u")+COUNTIF($E117:AF117,"t")+COUNTIF($E117:AF117,"¶")+COUNTIF($E117:AF117,"²")+COUNTIF($E117:AF117,"µ")+COUNTIF($E117:AF117,1),ColLivraison)=AG$6,
  VLOOKUP($E117,INDIRECT("tri!"&amp; CHAR(64+ C0Col) &amp;":"&amp; CHAR(65+C0Col)),2,FALSE)&gt;COUNTIF($E117:AF117,"u")+COUNTIF($E117:AF117,"t")+COUNTIF($E117:AF117,"¶")+COUNTIF($E117:AF117,"²")+COUNTIF($E117:AF117,"µ")+COUNTIF($E117:AF117,1)),
HYPERLINK("#Roadmap!C"&amp; MATCH($E117,Roadmap!$D:$D,0)+COUNTIF($E117:AF117,"u")+COUNTIF($E117:AF117,"t"),
     INDEX(Roadmap!$D:$K,MATCH($E117,Roadmap!$D:$D,0)+COUNTIF($E117:AF117,"u")+COUNTIF($E117:AF117,"t")+COUNTIF($E117:AF117,"¶")+COUNTIF($E117:AF117,"²")+COUNTIF($E117:AF117,"µ")+COUNTIF($E117:AF117,1),ColTypeEcheance)),
  IF(LEN(AF117)=1,
  IF(LEN(INDEX(Roadmap!$D:$K,MATCH($E117,Roadmap!$D:$D,0)-1+COUNTIF($E117:AF117,"u")+COUNTIF($E117:AF117,"t")+COUNTIF($E117:AF117,"¶")+COUNTIF($E117:AF117,"²")+COUNTIF($E117:AF117,"µ")+COUNTIF($E117:AF117,1),ColDescriptionCourte))&gt;1,
HYPERLINK("#Roadmap!C"&amp; MATCH($E117,Roadmap!$D:$D,0)+COUNTIF($E117:AF117,"u")+COUNTIF($E117:AF117,"t")+COUNTIF($E117:AF117,"¶")+COUNTIF($E117:AF117,"²")+COUNTIF($E117:AF117,"µ")+COUNTIF($E117:AF117,1)-1,INDEX(Roadmap!$D:$K,MATCH($E117,Roadmap!$D:$D,0)-1+COUNTIF($E117:AF117,"u")+COUNTIF($E117:AF117,"t")+COUNTIF($E117:AF117,"¶")+COUNTIF($E117:AF117,"²")+COUNTIF($E117:AF117,"µ")+COUNTIF($E117:AF117,1),ColDescriptionCourte)),""),
  "")),"")</f>
        <v/>
      </c>
      <c r="AH117" s="40" t="str">
        <f ca="1">IFERROR(IF(AND(
  INDEX(Roadmap!$D:$K,MATCH($E117,Roadmap!$D:$D,0)+COUNTIF($E117:AG117,"u")+COUNTIF($E117:AG117,"t")+COUNTIF($E117:AG117,1),ColLivraison)=AH$6,
  VLOOKUP($E117,INDIRECT("tri!"&amp; CHAR(64+ C0Col) &amp;":"&amp; CHAR(65+C0Col)),2,FALSE)&gt;COUNTIF($E117:AG117,"u")+COUNTIF($E117:AG117,"t")+COUNTIF($E117:AG117,1)),
HYPERLINK("#Roadmap!C"&amp; MATCH($E117,Roadmap!$D:$D,0)+COUNTIF($E117:AG117,"u")+COUNTIF($E117:AG117,"t"),
     INDEX(Roadmap!$D:$K,MATCH($E117,Roadmap!$D:$D,0)+COUNTIF($E117:AG117,"u")+COUNTIF($E117:AG117,"t")+COUNTIF($E117:AG117,1),ColTypeEcheance)),
  IF(OR(AG117="u",AG117="t",AG117=1),
  IF(LEN(INDEX(Roadmap!$D:$K,MATCH($E117,Roadmap!$D:$D,0)-1+COUNTIF($E117:AG117,"u")+COUNTIF($E117:AG117,"t")+COUNTIF($E117:AG117,1),ColDescriptionCourte))&gt;1,
HYPERLINK("#Roadmap!C"&amp; MATCH($E117,Roadmap!$D:$D,0)+COUNTIF($E117:AG117,"u")+COUNTIF($E117:AG117,"t")+COUNTIF($E117:AG117,1)-1,INDEX(Roadmap!$D:$K,MATCH($E117,Roadmap!$D:$D,0)-1+COUNTIF($E117:AG117,"u")+COUNTIF($E117:AG117,"t")+COUNTIF($E117:AG117,1),ColDescriptionCourte)),""),
  "")),"")</f>
        <v/>
      </c>
      <c r="AI117" s="40"/>
      <c r="AJ117" s="40"/>
      <c r="AK117" s="40"/>
      <c r="AL117" s="40"/>
      <c r="AM117" s="40"/>
    </row>
    <row r="118" spans="4:39" ht="14.1" customHeight="1">
      <c r="D118" s="20" t="str">
        <f t="shared" ca="1" si="29"/>
        <v/>
      </c>
      <c r="E118" s="53" t="str">
        <f t="shared" ca="1" si="30"/>
        <v/>
      </c>
      <c r="F118" s="39" t="str">
        <f ca="1">IFERROR(IF(AND(
  INDEX(Roadmap!$D:$K,MATCH($E118,Roadmap!$D:$D,0)+COUNTIF($E118:E118,"u")+COUNTIF($E118:E118,"t")+COUNTIF($E118:E118,"¶")+COUNTIF($E118:E118,"²")+COUNTIF($E118:E118,"µ")+COUNTIF($E118:E118,1),ColLivraison)=F$6,
  VLOOKUP($E118,INDIRECT("tri!"&amp; CHAR(64+ C0Col) &amp;":"&amp; CHAR(65+C0Col)),2,FALSE)&gt;COUNTIF($E118:E118,"u")+COUNTIF($E118:E118,"t")+COUNTIF($E118:E118,"¶")+COUNTIF($E118:E118,"²")+COUNTIF($E118:E118,"µ")+COUNTIF($E118:E118,1)),
HYPERLINK("#Roadmap!C"&amp; MATCH($E118,Roadmap!$D:$D,0)+COUNTIF($E118:E118,"u")+COUNTIF($E118:E118,"t"),
     INDEX(Roadmap!$D:$K,MATCH($E118,Roadmap!$D:$D,0)+COUNTIF($E118:E118,"u")+COUNTIF($E118:E118,"t")+COUNTIF($E118:E118,"¶")+COUNTIF($E118:E118,"²")+COUNTIF($E118:E118,"µ")+COUNTIF($E118:E118,1),ColTypeEcheance)),
  IF(LEN(E118)=1,
  IF(LEN(INDEX(Roadmap!$D:$K,MATCH($E118,Roadmap!$D:$D,0)-1+COUNTIF($E118:E118,"u")+COUNTIF($E118:E118,"t")+COUNTIF($E118:E118,"¶")+COUNTIF($E118:E118,"²")+COUNTIF($E118:E118,"µ")+COUNTIF($E118:E118,1),ColDescriptionCourte))&gt;1,
HYPERLINK("#Roadmap!C"&amp; MATCH($E118,Roadmap!$D:$D,0)+COUNTIF($E118:E118,"u")+COUNTIF($E118:E118,"t")+COUNTIF($E118:E118,"¶")+COUNTIF($E118:E118,"²")+COUNTIF($E118:E118,"µ")+COUNTIF($E118:E118,1)-1,INDEX(Roadmap!$D:$K,MATCH($E118,Roadmap!$D:$D,0)-1+COUNTIF($E118:E118,"u")+COUNTIF($E118:E118,"t")+COUNTIF($E118:E118,"¶")+COUNTIF($E118:E118,"²")+COUNTIF($E118:E118,"µ")+COUNTIF($E118:E118,1),ColDescriptionCourte)),""),
  "")),"")</f>
        <v/>
      </c>
      <c r="G118" s="40" t="str">
        <f ca="1">IFERROR(IF(AND(
  INDEX(Roadmap!$D:$K,MATCH($E118,Roadmap!$D:$D,0)+COUNTIF($E118:F118,"u")+COUNTIF($E118:F118,"t")+COUNTIF($E118:F118,"¶")+COUNTIF($E118:F118,"²")+COUNTIF($E118:F118,"µ")+COUNTIF($E118:F118,1),ColLivraison)=G$6,
  VLOOKUP($E118,INDIRECT("tri!"&amp; CHAR(64+ C0Col) &amp;":"&amp; CHAR(65+C0Col)),2,FALSE)&gt;COUNTIF($E118:F118,"u")+COUNTIF($E118:F118,"t")+COUNTIF($E118:F118,"¶")+COUNTIF($E118:F118,"²")+COUNTIF($E118:F118,"µ")+COUNTIF($E118:F118,1)),
HYPERLINK("#Roadmap!C"&amp; MATCH($E118,Roadmap!$D:$D,0)+COUNTIF($E118:F118,"u")+COUNTIF($E118:F118,"t"),
     INDEX(Roadmap!$D:$K,MATCH($E118,Roadmap!$D:$D,0)+COUNTIF($E118:F118,"u")+COUNTIF($E118:F118,"t")+COUNTIF($E118:F118,"¶")+COUNTIF($E118:F118,"²")+COUNTIF($E118:F118,"µ")+COUNTIF($E118:F118,1),ColTypeEcheance)),
  IF(LEN(F118)=1,
  IF(LEN(INDEX(Roadmap!$D:$K,MATCH($E118,Roadmap!$D:$D,0)-1+COUNTIF($E118:F118,"u")+COUNTIF($E118:F118,"t")+COUNTIF($E118:F118,"¶")+COUNTIF($E118:F118,"²")+COUNTIF($E118:F118,"µ")+COUNTIF($E118:F118,1),ColDescriptionCourte))&gt;1,
HYPERLINK("#Roadmap!C"&amp; MATCH($E118,Roadmap!$D:$D,0)+COUNTIF($E118:F118,"u")+COUNTIF($E118:F118,"t")+COUNTIF($E118:F118,"¶")+COUNTIF($E118:F118,"²")+COUNTIF($E118:F118,"µ")+COUNTIF($E118:F118,1)-1,INDEX(Roadmap!$D:$K,MATCH($E118,Roadmap!$D:$D,0)-1+COUNTIF($E118:F118,"u")+COUNTIF($E118:F118,"t")+COUNTIF($E118:F118,"¶")+COUNTIF($E118:F118,"²")+COUNTIF($E118:F118,"µ")+COUNTIF($E118:F118,1),ColDescriptionCourte)),""),
  "")),"")</f>
        <v/>
      </c>
      <c r="H118" s="40" t="str">
        <f ca="1">IFERROR(IF(AND(
  INDEX(Roadmap!$D:$K,MATCH($E118,Roadmap!$D:$D,0)+COUNTIF($E118:G118,"u")+COUNTIF($E118:G118,"t")+COUNTIF($E118:G118,"¶")+COUNTIF($E118:G118,"²")+COUNTIF($E118:G118,"µ")+COUNTIF($E118:G118,1),ColLivraison)=H$6,
  VLOOKUP($E118,INDIRECT("tri!"&amp; CHAR(64+ C0Col) &amp;":"&amp; CHAR(65+C0Col)),2,FALSE)&gt;COUNTIF($E118:G118,"u")+COUNTIF($E118:G118,"t")+COUNTIF($E118:G118,"¶")+COUNTIF($E118:G118,"²")+COUNTIF($E118:G118,"µ")+COUNTIF($E118:G118,1)),
HYPERLINK("#Roadmap!C"&amp; MATCH($E118,Roadmap!$D:$D,0)+COUNTIF($E118:G118,"u")+COUNTIF($E118:G118,"t"),
     INDEX(Roadmap!$D:$K,MATCH($E118,Roadmap!$D:$D,0)+COUNTIF($E118:G118,"u")+COUNTIF($E118:G118,"t")+COUNTIF($E118:G118,"¶")+COUNTIF($E118:G118,"²")+COUNTIF($E118:G118,"µ")+COUNTIF($E118:G118,1),ColTypeEcheance)),
  IF(LEN(G118)=1,
  IF(LEN(INDEX(Roadmap!$D:$K,MATCH($E118,Roadmap!$D:$D,0)-1+COUNTIF($E118:G118,"u")+COUNTIF($E118:G118,"t")+COUNTIF($E118:G118,"¶")+COUNTIF($E118:G118,"²")+COUNTIF($E118:G118,"µ")+COUNTIF($E118:G118,1),ColDescriptionCourte))&gt;1,
HYPERLINK("#Roadmap!C"&amp; MATCH($E118,Roadmap!$D:$D,0)+COUNTIF($E118:G118,"u")+COUNTIF($E118:G118,"t")+COUNTIF($E118:G118,"¶")+COUNTIF($E118:G118,"²")+COUNTIF($E118:G118,"µ")+COUNTIF($E118:G118,1)-1,INDEX(Roadmap!$D:$K,MATCH($E118,Roadmap!$D:$D,0)-1+COUNTIF($E118:G118,"u")+COUNTIF($E118:G118,"t")+COUNTIF($E118:G118,"¶")+COUNTIF($E118:G118,"²")+COUNTIF($E118:G118,"µ")+COUNTIF($E118:G118,1),ColDescriptionCourte)),""),
  "")),"")</f>
        <v/>
      </c>
      <c r="I118" s="40" t="str">
        <f ca="1">IFERROR(IF(AND(
  INDEX(Roadmap!$D:$K,MATCH($E118,Roadmap!$D:$D,0)+COUNTIF($E118:H118,"u")+COUNTIF($E118:H118,"t")+COUNTIF($E118:H118,"¶")+COUNTIF($E118:H118,"²")+COUNTIF($E118:H118,"µ")+COUNTIF($E118:H118,1),ColLivraison)=I$6,
  VLOOKUP($E118,INDIRECT("tri!"&amp; CHAR(64+ C0Col) &amp;":"&amp; CHAR(65+C0Col)),2,FALSE)&gt;COUNTIF($E118:H118,"u")+COUNTIF($E118:H118,"t")+COUNTIF($E118:H118,"¶")+COUNTIF($E118:H118,"²")+COUNTIF($E118:H118,"µ")+COUNTIF($E118:H118,1)),
HYPERLINK("#Roadmap!C"&amp; MATCH($E118,Roadmap!$D:$D,0)+COUNTIF($E118:H118,"u")+COUNTIF($E118:H118,"t"),
     INDEX(Roadmap!$D:$K,MATCH($E118,Roadmap!$D:$D,0)+COUNTIF($E118:H118,"u")+COUNTIF($E118:H118,"t")+COUNTIF($E118:H118,"¶")+COUNTIF($E118:H118,"²")+COUNTIF($E118:H118,"µ")+COUNTIF($E118:H118,1),ColTypeEcheance)),
  IF(LEN(H118)=1,
  IF(LEN(INDEX(Roadmap!$D:$K,MATCH($E118,Roadmap!$D:$D,0)-1+COUNTIF($E118:H118,"u")+COUNTIF($E118:H118,"t")+COUNTIF($E118:H118,"¶")+COUNTIF($E118:H118,"²")+COUNTIF($E118:H118,"µ")+COUNTIF($E118:H118,1),ColDescriptionCourte))&gt;1,
HYPERLINK("#Roadmap!C"&amp; MATCH($E118,Roadmap!$D:$D,0)+COUNTIF($E118:H118,"u")+COUNTIF($E118:H118,"t")+COUNTIF($E118:H118,"¶")+COUNTIF($E118:H118,"²")+COUNTIF($E118:H118,"µ")+COUNTIF($E118:H118,1)-1,INDEX(Roadmap!$D:$K,MATCH($E118,Roadmap!$D:$D,0)-1+COUNTIF($E118:H118,"u")+COUNTIF($E118:H118,"t")+COUNTIF($E118:H118,"¶")+COUNTIF($E118:H118,"²")+COUNTIF($E118:H118,"µ")+COUNTIF($E118:H118,1),ColDescriptionCourte)),""),
  "")),"")</f>
        <v/>
      </c>
      <c r="J118" s="40" t="str">
        <f ca="1">IFERROR(IF(AND(
  INDEX(Roadmap!$D:$K,MATCH($E118,Roadmap!$D:$D,0)+COUNTIF($E118:I118,"u")+COUNTIF($E118:I118,"t")+COUNTIF($E118:I118,"¶")+COUNTIF($E118:I118,"²")+COUNTIF($E118:I118,"µ")+COUNTIF($E118:I118,1),ColLivraison)=J$6,
  VLOOKUP($E118,INDIRECT("tri!"&amp; CHAR(64+ C0Col) &amp;":"&amp; CHAR(65+C0Col)),2,FALSE)&gt;COUNTIF($E118:I118,"u")+COUNTIF($E118:I118,"t")+COUNTIF($E118:I118,"¶")+COUNTIF($E118:I118,"²")+COUNTIF($E118:I118,"µ")+COUNTIF($E118:I118,1)),
HYPERLINK("#Roadmap!C"&amp; MATCH($E118,Roadmap!$D:$D,0)+COUNTIF($E118:I118,"u")+COUNTIF($E118:I118,"t"),
     INDEX(Roadmap!$D:$K,MATCH($E118,Roadmap!$D:$D,0)+COUNTIF($E118:I118,"u")+COUNTIF($E118:I118,"t")+COUNTIF($E118:I118,"¶")+COUNTIF($E118:I118,"²")+COUNTIF($E118:I118,"µ")+COUNTIF($E118:I118,1),ColTypeEcheance)),
  IF(LEN(I118)=1,
  IF(LEN(INDEX(Roadmap!$D:$K,MATCH($E118,Roadmap!$D:$D,0)-1+COUNTIF($E118:I118,"u")+COUNTIF($E118:I118,"t")+COUNTIF($E118:I118,"¶")+COUNTIF($E118:I118,"²")+COUNTIF($E118:I118,"µ")+COUNTIF($E118:I118,1),ColDescriptionCourte))&gt;1,
HYPERLINK("#Roadmap!C"&amp; MATCH($E118,Roadmap!$D:$D,0)+COUNTIF($E118:I118,"u")+COUNTIF($E118:I118,"t")+COUNTIF($E118:I118,"¶")+COUNTIF($E118:I118,"²")+COUNTIF($E118:I118,"µ")+COUNTIF($E118:I118,1)-1,INDEX(Roadmap!$D:$K,MATCH($E118,Roadmap!$D:$D,0)-1+COUNTIF($E118:I118,"u")+COUNTIF($E118:I118,"t")+COUNTIF($E118:I118,"¶")+COUNTIF($E118:I118,"²")+COUNTIF($E118:I118,"µ")+COUNTIF($E118:I118,1),ColDescriptionCourte)),""),
  "")),"")</f>
        <v/>
      </c>
      <c r="K118" s="40" t="str">
        <f ca="1">IFERROR(IF(AND(
  INDEX(Roadmap!$D:$K,MATCH($E118,Roadmap!$D:$D,0)+COUNTIF($E118:J118,"u")+COUNTIF($E118:J118,"t")+COUNTIF($E118:J118,"¶")+COUNTIF($E118:J118,"²")+COUNTIF($E118:J118,"µ")+COUNTIF($E118:J118,1),ColLivraison)=K$6,
  VLOOKUP($E118,INDIRECT("tri!"&amp; CHAR(64+ C0Col) &amp;":"&amp; CHAR(65+C0Col)),2,FALSE)&gt;COUNTIF($E118:J118,"u")+COUNTIF($E118:J118,"t")+COUNTIF($E118:J118,"¶")+COUNTIF($E118:J118,"²")+COUNTIF($E118:J118,"µ")+COUNTIF($E118:J118,1)),
HYPERLINK("#Roadmap!C"&amp; MATCH($E118,Roadmap!$D:$D,0)+COUNTIF($E118:J118,"u")+COUNTIF($E118:J118,"t"),
     INDEX(Roadmap!$D:$K,MATCH($E118,Roadmap!$D:$D,0)+COUNTIF($E118:J118,"u")+COUNTIF($E118:J118,"t")+COUNTIF($E118:J118,"¶")+COUNTIF($E118:J118,"²")+COUNTIF($E118:J118,"µ")+COUNTIF($E118:J118,1),ColTypeEcheance)),
  IF(LEN(J118)=1,
  IF(LEN(INDEX(Roadmap!$D:$K,MATCH($E118,Roadmap!$D:$D,0)-1+COUNTIF($E118:J118,"u")+COUNTIF($E118:J118,"t")+COUNTIF($E118:J118,"¶")+COUNTIF($E118:J118,"²")+COUNTIF($E118:J118,"µ")+COUNTIF($E118:J118,1),ColDescriptionCourte))&gt;1,
HYPERLINK("#Roadmap!C"&amp; MATCH($E118,Roadmap!$D:$D,0)+COUNTIF($E118:J118,"u")+COUNTIF($E118:J118,"t")+COUNTIF($E118:J118,"¶")+COUNTIF($E118:J118,"²")+COUNTIF($E118:J118,"µ")+COUNTIF($E118:J118,1)-1,INDEX(Roadmap!$D:$K,MATCH($E118,Roadmap!$D:$D,0)-1+COUNTIF($E118:J118,"u")+COUNTIF($E118:J118,"t")+COUNTIF($E118:J118,"¶")+COUNTIF($E118:J118,"²")+COUNTIF($E118:J118,"µ")+COUNTIF($E118:J118,1),ColDescriptionCourte)),""),
  "")),"")</f>
        <v/>
      </c>
      <c r="L118" s="39" t="str">
        <f ca="1">IFERROR(IF(AND(
  INDEX(Roadmap!$D:$K,MATCH($E118,Roadmap!$D:$D,0)+COUNTIF($E118:K118,"u")+COUNTIF($E118:K118,"t")+COUNTIF($E118:K118,"¶")+COUNTIF($E118:K118,"²")+COUNTIF($E118:K118,"µ")+COUNTIF($E118:K118,1),ColLivraison)=L$6,
  VLOOKUP($E118,INDIRECT("tri!"&amp; CHAR(64+ C0Col) &amp;":"&amp; CHAR(65+C0Col)),2,FALSE)&gt;COUNTIF($E118:K118,"u")+COUNTIF($E118:K118,"t")+COUNTIF($E118:K118,"¶")+COUNTIF($E118:K118,"²")+COUNTIF($E118:K118,"µ")+COUNTIF($E118:K118,1)),
HYPERLINK("#Roadmap!C"&amp; MATCH($E118,Roadmap!$D:$D,0)+COUNTIF($E118:K118,"u")+COUNTIF($E118:K118,"t"),
     INDEX(Roadmap!$D:$K,MATCH($E118,Roadmap!$D:$D,0)+COUNTIF($E118:K118,"u")+COUNTIF($E118:K118,"t")+COUNTIF($E118:K118,"¶")+COUNTIF($E118:K118,"²")+COUNTIF($E118:K118,"µ")+COUNTIF($E118:K118,1),ColTypeEcheance)),
  IF(LEN(K118)=1,
  IF(LEN(INDEX(Roadmap!$D:$K,MATCH($E118,Roadmap!$D:$D,0)-1+COUNTIF($E118:K118,"u")+COUNTIF($E118:K118,"t")+COUNTIF($E118:K118,"¶")+COUNTIF($E118:K118,"²")+COUNTIF($E118:K118,"µ")+COUNTIF($E118:K118,1),ColDescriptionCourte))&gt;1,
HYPERLINK("#Roadmap!C"&amp; MATCH($E118,Roadmap!$D:$D,0)+COUNTIF($E118:K118,"u")+COUNTIF($E118:K118,"t")+COUNTIF($E118:K118,"¶")+COUNTIF($E118:K118,"²")+COUNTIF($E118:K118,"µ")+COUNTIF($E118:K118,1)-1,INDEX(Roadmap!$D:$K,MATCH($E118,Roadmap!$D:$D,0)-1+COUNTIF($E118:K118,"u")+COUNTIF($E118:K118,"t")+COUNTIF($E118:K118,"¶")+COUNTIF($E118:K118,"²")+COUNTIF($E118:K118,"µ")+COUNTIF($E118:K118,1),ColDescriptionCourte)),""),
  "")),"")</f>
        <v/>
      </c>
      <c r="M118" s="40" t="str">
        <f ca="1">IFERROR(IF(AND(
  INDEX(Roadmap!$D:$K,MATCH($E118,Roadmap!$D:$D,0)+COUNTIF($E118:L118,"u")+COUNTIF($E118:L118,"t")+COUNTIF($E118:L118,"¶")+COUNTIF($E118:L118,"²")+COUNTIF($E118:L118,"µ")+COUNTIF($E118:L118,1),ColLivraison)=M$6,
  VLOOKUP($E118,INDIRECT("tri!"&amp; CHAR(64+ C0Col) &amp;":"&amp; CHAR(65+C0Col)),2,FALSE)&gt;COUNTIF($E118:L118,"u")+COUNTIF($E118:L118,"t")+COUNTIF($E118:L118,"¶")+COUNTIF($E118:L118,"²")+COUNTIF($E118:L118,"µ")+COUNTIF($E118:L118,1)),
HYPERLINK("#Roadmap!C"&amp; MATCH($E118,Roadmap!$D:$D,0)+COUNTIF($E118:L118,"u")+COUNTIF($E118:L118,"t"),
     INDEX(Roadmap!$D:$K,MATCH($E118,Roadmap!$D:$D,0)+COUNTIF($E118:L118,"u")+COUNTIF($E118:L118,"t")+COUNTIF($E118:L118,"¶")+COUNTIF($E118:L118,"²")+COUNTIF($E118:L118,"µ")+COUNTIF($E118:L118,1),ColTypeEcheance)),
  IF(LEN(L118)=1,
  IF(LEN(INDEX(Roadmap!$D:$K,MATCH($E118,Roadmap!$D:$D,0)-1+COUNTIF($E118:L118,"u")+COUNTIF($E118:L118,"t")+COUNTIF($E118:L118,"¶")+COUNTIF($E118:L118,"²")+COUNTIF($E118:L118,"µ")+COUNTIF($E118:L118,1),ColDescriptionCourte))&gt;1,
HYPERLINK("#Roadmap!C"&amp; MATCH($E118,Roadmap!$D:$D,0)+COUNTIF($E118:L118,"u")+COUNTIF($E118:L118,"t")+COUNTIF($E118:L118,"¶")+COUNTIF($E118:L118,"²")+COUNTIF($E118:L118,"µ")+COUNTIF($E118:L118,1)-1,INDEX(Roadmap!$D:$K,MATCH($E118,Roadmap!$D:$D,0)-1+COUNTIF($E118:L118,"u")+COUNTIF($E118:L118,"t")+COUNTIF($E118:L118,"¶")+COUNTIF($E118:L118,"²")+COUNTIF($E118:L118,"µ")+COUNTIF($E118:L118,1),ColDescriptionCourte)),""),
  "")),"")</f>
        <v/>
      </c>
      <c r="N118" s="40" t="str">
        <f ca="1">IFERROR(IF(AND(
  INDEX(Roadmap!$D:$K,MATCH($E118,Roadmap!$D:$D,0)+COUNTIF($E118:M118,"u")+COUNTIF($E118:M118,"t")+COUNTIF($E118:M118,"¶")+COUNTIF($E118:M118,"²")+COUNTIF($E118:M118,"µ")+COUNTIF($E118:M118,1),ColLivraison)=N$6,
  VLOOKUP($E118,INDIRECT("tri!"&amp; CHAR(64+ C0Col) &amp;":"&amp; CHAR(65+C0Col)),2,FALSE)&gt;COUNTIF($E118:M118,"u")+COUNTIF($E118:M118,"t")+COUNTIF($E118:M118,"¶")+COUNTIF($E118:M118,"²")+COUNTIF($E118:M118,"µ")+COUNTIF($E118:M118,1)),
HYPERLINK("#Roadmap!C"&amp; MATCH($E118,Roadmap!$D:$D,0)+COUNTIF($E118:M118,"u")+COUNTIF($E118:M118,"t"),
     INDEX(Roadmap!$D:$K,MATCH($E118,Roadmap!$D:$D,0)+COUNTIF($E118:M118,"u")+COUNTIF($E118:M118,"t")+COUNTIF($E118:M118,"¶")+COUNTIF($E118:M118,"²")+COUNTIF($E118:M118,"µ")+COUNTIF($E118:M118,1),ColTypeEcheance)),
  IF(LEN(M118)=1,
  IF(LEN(INDEX(Roadmap!$D:$K,MATCH($E118,Roadmap!$D:$D,0)-1+COUNTIF($E118:M118,"u")+COUNTIF($E118:M118,"t")+COUNTIF($E118:M118,"¶")+COUNTIF($E118:M118,"²")+COUNTIF($E118:M118,"µ")+COUNTIF($E118:M118,1),ColDescriptionCourte))&gt;1,
HYPERLINK("#Roadmap!C"&amp; MATCH($E118,Roadmap!$D:$D,0)+COUNTIF($E118:M118,"u")+COUNTIF($E118:M118,"t")+COUNTIF($E118:M118,"¶")+COUNTIF($E118:M118,"²")+COUNTIF($E118:M118,"µ")+COUNTIF($E118:M118,1)-1,INDEX(Roadmap!$D:$K,MATCH($E118,Roadmap!$D:$D,0)-1+COUNTIF($E118:M118,"u")+COUNTIF($E118:M118,"t")+COUNTIF($E118:M118,"¶")+COUNTIF($E118:M118,"²")+COUNTIF($E118:M118,"µ")+COUNTIF($E118:M118,1),ColDescriptionCourte)),""),
  "")),"")</f>
        <v/>
      </c>
      <c r="O118" s="40" t="str">
        <f ca="1">IFERROR(IF(AND(
  INDEX(Roadmap!$D:$K,MATCH($E118,Roadmap!$D:$D,0)+COUNTIF($E118:N118,"u")+COUNTIF($E118:N118,"t")+COUNTIF($E118:N118,"¶")+COUNTIF($E118:N118,"²")+COUNTIF($E118:N118,"µ")+COUNTIF($E118:N118,1),ColLivraison)=O$6,
  VLOOKUP($E118,INDIRECT("tri!"&amp; CHAR(64+ C0Col) &amp;":"&amp; CHAR(65+C0Col)),2,FALSE)&gt;COUNTIF($E118:N118,"u")+COUNTIF($E118:N118,"t")+COUNTIF($E118:N118,"¶")+COUNTIF($E118:N118,"²")+COUNTIF($E118:N118,"µ")+COUNTIF($E118:N118,1)),
HYPERLINK("#Roadmap!C"&amp; MATCH($E118,Roadmap!$D:$D,0)+COUNTIF($E118:N118,"u")+COUNTIF($E118:N118,"t"),
     INDEX(Roadmap!$D:$K,MATCH($E118,Roadmap!$D:$D,0)+COUNTIF($E118:N118,"u")+COUNTIF($E118:N118,"t")+COUNTIF($E118:N118,"¶")+COUNTIF($E118:N118,"²")+COUNTIF($E118:N118,"µ")+COUNTIF($E118:N118,1),ColTypeEcheance)),
  IF(LEN(N118)=1,
  IF(LEN(INDEX(Roadmap!$D:$K,MATCH($E118,Roadmap!$D:$D,0)-1+COUNTIF($E118:N118,"u")+COUNTIF($E118:N118,"t")+COUNTIF($E118:N118,"¶")+COUNTIF($E118:N118,"²")+COUNTIF($E118:N118,"µ")+COUNTIF($E118:N118,1),ColDescriptionCourte))&gt;1,
HYPERLINK("#Roadmap!C"&amp; MATCH($E118,Roadmap!$D:$D,0)+COUNTIF($E118:N118,"u")+COUNTIF($E118:N118,"t")+COUNTIF($E118:N118,"¶")+COUNTIF($E118:N118,"²")+COUNTIF($E118:N118,"µ")+COUNTIF($E118:N118,1)-1,INDEX(Roadmap!$D:$K,MATCH($E118,Roadmap!$D:$D,0)-1+COUNTIF($E118:N118,"u")+COUNTIF($E118:N118,"t")+COUNTIF($E118:N118,"¶")+COUNTIF($E118:N118,"²")+COUNTIF($E118:N118,"µ")+COUNTIF($E118:N118,1),ColDescriptionCourte)),""),
  "")),"")</f>
        <v/>
      </c>
      <c r="P118" s="40" t="str">
        <f ca="1">IFERROR(IF(AND(
  INDEX(Roadmap!$D:$K,MATCH($E118,Roadmap!$D:$D,0)+COUNTIF($E118:O118,"u")+COUNTIF($E118:O118,"t")+COUNTIF($E118:O118,"¶")+COUNTIF($E118:O118,"²")+COUNTIF($E118:O118,"µ")+COUNTIF($E118:O118,1),ColLivraison)=P$6,
  VLOOKUP($E118,INDIRECT("tri!"&amp; CHAR(64+ C0Col) &amp;":"&amp; CHAR(65+C0Col)),2,FALSE)&gt;COUNTIF($E118:O118,"u")+COUNTIF($E118:O118,"t")+COUNTIF($E118:O118,"¶")+COUNTIF($E118:O118,"²")+COUNTIF($E118:O118,"µ")+COUNTIF($E118:O118,1)),
HYPERLINK("#Roadmap!C"&amp; MATCH($E118,Roadmap!$D:$D,0)+COUNTIF($E118:O118,"u")+COUNTIF($E118:O118,"t"),
     INDEX(Roadmap!$D:$K,MATCH($E118,Roadmap!$D:$D,0)+COUNTIF($E118:O118,"u")+COUNTIF($E118:O118,"t")+COUNTIF($E118:O118,"¶")+COUNTIF($E118:O118,"²")+COUNTIF($E118:O118,"µ")+COUNTIF($E118:O118,1),ColTypeEcheance)),
  IF(LEN(O118)=1,
  IF(LEN(INDEX(Roadmap!$D:$K,MATCH($E118,Roadmap!$D:$D,0)-1+COUNTIF($E118:O118,"u")+COUNTIF($E118:O118,"t")+COUNTIF($E118:O118,"¶")+COUNTIF($E118:O118,"²")+COUNTIF($E118:O118,"µ")+COUNTIF($E118:O118,1),ColDescriptionCourte))&gt;1,
HYPERLINK("#Roadmap!C"&amp; MATCH($E118,Roadmap!$D:$D,0)+COUNTIF($E118:O118,"u")+COUNTIF($E118:O118,"t")+COUNTIF($E118:O118,"¶")+COUNTIF($E118:O118,"²")+COUNTIF($E118:O118,"µ")+COUNTIF($E118:O118,1)-1,INDEX(Roadmap!$D:$K,MATCH($E118,Roadmap!$D:$D,0)-1+COUNTIF($E118:O118,"u")+COUNTIF($E118:O118,"t")+COUNTIF($E118:O118,"¶")+COUNTIF($E118:O118,"²")+COUNTIF($E118:O118,"µ")+COUNTIF($E118:O118,1),ColDescriptionCourte)),""),
  "")),"")</f>
        <v/>
      </c>
      <c r="Q118" s="40" t="str">
        <f ca="1">IFERROR(IF(AND(
  INDEX(Roadmap!$D:$K,MATCH($E118,Roadmap!$D:$D,0)+COUNTIF($E118:P118,"u")+COUNTIF($E118:P118,"t")+COUNTIF($E118:P118,"¶")+COUNTIF($E118:P118,"²")+COUNTIF($E118:P118,"µ")+COUNTIF($E118:P118,1),ColLivraison)=Q$6,
  VLOOKUP($E118,INDIRECT("tri!"&amp; CHAR(64+ C0Col) &amp;":"&amp; CHAR(65+C0Col)),2,FALSE)&gt;COUNTIF($E118:P118,"u")+COUNTIF($E118:P118,"t")+COUNTIF($E118:P118,"¶")+COUNTIF($E118:P118,"²")+COUNTIF($E118:P118,"µ")+COUNTIF($E118:P118,1)),
HYPERLINK("#Roadmap!C"&amp; MATCH($E118,Roadmap!$D:$D,0)+COUNTIF($E118:P118,"u")+COUNTIF($E118:P118,"t"),
     INDEX(Roadmap!$D:$K,MATCH($E118,Roadmap!$D:$D,0)+COUNTIF($E118:P118,"u")+COUNTIF($E118:P118,"t")+COUNTIF($E118:P118,"¶")+COUNTIF($E118:P118,"²")+COUNTIF($E118:P118,"µ")+COUNTIF($E118:P118,1),ColTypeEcheance)),
  IF(LEN(P118)=1,
  IF(LEN(INDEX(Roadmap!$D:$K,MATCH($E118,Roadmap!$D:$D,0)-1+COUNTIF($E118:P118,"u")+COUNTIF($E118:P118,"t")+COUNTIF($E118:P118,"¶")+COUNTIF($E118:P118,"²")+COUNTIF($E118:P118,"µ")+COUNTIF($E118:P118,1),ColDescriptionCourte))&gt;1,
HYPERLINK("#Roadmap!C"&amp; MATCH($E118,Roadmap!$D:$D,0)+COUNTIF($E118:P118,"u")+COUNTIF($E118:P118,"t")+COUNTIF($E118:P118,"¶")+COUNTIF($E118:P118,"²")+COUNTIF($E118:P118,"µ")+COUNTIF($E118:P118,1)-1,INDEX(Roadmap!$D:$K,MATCH($E118,Roadmap!$D:$D,0)-1+COUNTIF($E118:P118,"u")+COUNTIF($E118:P118,"t")+COUNTIF($E118:P118,"¶")+COUNTIF($E118:P118,"²")+COUNTIF($E118:P118,"µ")+COUNTIF($E118:P118,1),ColDescriptionCourte)),""),
  "")),"")</f>
        <v/>
      </c>
      <c r="R118" s="40" t="str">
        <f ca="1">IFERROR(IF(AND(
  INDEX(Roadmap!$D:$K,MATCH($E118,Roadmap!$D:$D,0)+COUNTIF($E118:Q118,"u")+COUNTIF($E118:Q118,"t")+COUNTIF($E118:Q118,"¶")+COUNTIF($E118:Q118,"²")+COUNTIF($E118:Q118,"µ")+COUNTIF($E118:Q118,1),ColLivraison)=R$6,
  VLOOKUP($E118,INDIRECT("tri!"&amp; CHAR(64+ C0Col) &amp;":"&amp; CHAR(65+C0Col)),2,FALSE)&gt;COUNTIF($E118:Q118,"u")+COUNTIF($E118:Q118,"t")+COUNTIF($E118:Q118,"¶")+COUNTIF($E118:Q118,"²")+COUNTIF($E118:Q118,"µ")+COUNTIF($E118:Q118,1)),
HYPERLINK("#Roadmap!C"&amp; MATCH($E118,Roadmap!$D:$D,0)+COUNTIF($E118:Q118,"u")+COUNTIF($E118:Q118,"t"),
     INDEX(Roadmap!$D:$K,MATCH($E118,Roadmap!$D:$D,0)+COUNTIF($E118:Q118,"u")+COUNTIF($E118:Q118,"t")+COUNTIF($E118:Q118,"¶")+COUNTIF($E118:Q118,"²")+COUNTIF($E118:Q118,"µ")+COUNTIF($E118:Q118,1),ColTypeEcheance)),
  IF(LEN(Q118)=1,
  IF(LEN(INDEX(Roadmap!$D:$K,MATCH($E118,Roadmap!$D:$D,0)-1+COUNTIF($E118:Q118,"u")+COUNTIF($E118:Q118,"t")+COUNTIF($E118:Q118,"¶")+COUNTIF($E118:Q118,"²")+COUNTIF($E118:Q118,"µ")+COUNTIF($E118:Q118,1),ColDescriptionCourte))&gt;1,
HYPERLINK("#Roadmap!C"&amp; MATCH($E118,Roadmap!$D:$D,0)+COUNTIF($E118:Q118,"u")+COUNTIF($E118:Q118,"t")+COUNTIF($E118:Q118,"¶")+COUNTIF($E118:Q118,"²")+COUNTIF($E118:Q118,"µ")+COUNTIF($E118:Q118,1)-1,INDEX(Roadmap!$D:$K,MATCH($E118,Roadmap!$D:$D,0)-1+COUNTIF($E118:Q118,"u")+COUNTIF($E118:Q118,"t")+COUNTIF($E118:Q118,"¶")+COUNTIF($E118:Q118,"²")+COUNTIF($E118:Q118,"µ")+COUNTIF($E118:Q118,1),ColDescriptionCourte)),""),
  "")),"")</f>
        <v/>
      </c>
      <c r="S118" s="40" t="str">
        <f ca="1">IFERROR(IF(AND(
  INDEX(Roadmap!$D:$K,MATCH($E118,Roadmap!$D:$D,0)+COUNTIF($E118:R118,"u")+COUNTIF($E118:R118,"t")+COUNTIF($E118:R118,"¶")+COUNTIF($E118:R118,"²")+COUNTIF($E118:R118,"µ")+COUNTIF($E118:R118,1),ColLivraison)=S$6,
  VLOOKUP($E118,INDIRECT("tri!"&amp; CHAR(64+ C0Col) &amp;":"&amp; CHAR(65+C0Col)),2,FALSE)&gt;COUNTIF($E118:R118,"u")+COUNTIF($E118:R118,"t")+COUNTIF($E118:R118,"¶")+COUNTIF($E118:R118,"²")+COUNTIF($E118:R118,"µ")+COUNTIF($E118:R118,1)),
HYPERLINK("#Roadmap!C"&amp; MATCH($E118,Roadmap!$D:$D,0)+COUNTIF($E118:R118,"u")+COUNTIF($E118:R118,"t"),
     INDEX(Roadmap!$D:$K,MATCH($E118,Roadmap!$D:$D,0)+COUNTIF($E118:R118,"u")+COUNTIF($E118:R118,"t")+COUNTIF($E118:R118,"¶")+COUNTIF($E118:R118,"²")+COUNTIF($E118:R118,"µ")+COUNTIF($E118:R118,1),ColTypeEcheance)),
  IF(LEN(R118)=1,
  IF(LEN(INDEX(Roadmap!$D:$K,MATCH($E118,Roadmap!$D:$D,0)-1+COUNTIF($E118:R118,"u")+COUNTIF($E118:R118,"t")+COUNTIF($E118:R118,"¶")+COUNTIF($E118:R118,"²")+COUNTIF($E118:R118,"µ")+COUNTIF($E118:R118,1),ColDescriptionCourte))&gt;1,
HYPERLINK("#Roadmap!C"&amp; MATCH($E118,Roadmap!$D:$D,0)+COUNTIF($E118:R118,"u")+COUNTIF($E118:R118,"t")+COUNTIF($E118:R118,"¶")+COUNTIF($E118:R118,"²")+COUNTIF($E118:R118,"µ")+COUNTIF($E118:R118,1)-1,INDEX(Roadmap!$D:$K,MATCH($E118,Roadmap!$D:$D,0)-1+COUNTIF($E118:R118,"u")+COUNTIF($E118:R118,"t")+COUNTIF($E118:R118,"¶")+COUNTIF($E118:R118,"²")+COUNTIF($E118:R118,"µ")+COUNTIF($E118:R118,1),ColDescriptionCourte)),""),
  "")),"")</f>
        <v/>
      </c>
      <c r="T118" s="40" t="str">
        <f ca="1">IFERROR(IF(AND(
  INDEX(Roadmap!$D:$K,MATCH($E118,Roadmap!$D:$D,0)+COUNTIF($E118:S118,"u")+COUNTIF($E118:S118,"t")+COUNTIF($E118:S118,"¶")+COUNTIF($E118:S118,"²")+COUNTIF($E118:S118,"µ")+COUNTIF($E118:S118,1),ColLivraison)=T$6,
  VLOOKUP($E118,INDIRECT("tri!"&amp; CHAR(64+ C0Col) &amp;":"&amp; CHAR(65+C0Col)),2,FALSE)&gt;COUNTIF($E118:S118,"u")+COUNTIF($E118:S118,"t")+COUNTIF($E118:S118,"¶")+COUNTIF($E118:S118,"²")+COUNTIF($E118:S118,"µ")+COUNTIF($E118:S118,1)),
HYPERLINK("#Roadmap!C"&amp; MATCH($E118,Roadmap!$D:$D,0)+COUNTIF($E118:S118,"u")+COUNTIF($E118:S118,"t"),
     INDEX(Roadmap!$D:$K,MATCH($E118,Roadmap!$D:$D,0)+COUNTIF($E118:S118,"u")+COUNTIF($E118:S118,"t")+COUNTIF($E118:S118,"¶")+COUNTIF($E118:S118,"²")+COUNTIF($E118:S118,"µ")+COUNTIF($E118:S118,1),ColTypeEcheance)),
  IF(LEN(S118)=1,
  IF(LEN(INDEX(Roadmap!$D:$K,MATCH($E118,Roadmap!$D:$D,0)-1+COUNTIF($E118:S118,"u")+COUNTIF($E118:S118,"t")+COUNTIF($E118:S118,"¶")+COUNTIF($E118:S118,"²")+COUNTIF($E118:S118,"µ")+COUNTIF($E118:S118,1),ColDescriptionCourte))&gt;1,
HYPERLINK("#Roadmap!C"&amp; MATCH($E118,Roadmap!$D:$D,0)+COUNTIF($E118:S118,"u")+COUNTIF($E118:S118,"t")+COUNTIF($E118:S118,"¶")+COUNTIF($E118:S118,"²")+COUNTIF($E118:S118,"µ")+COUNTIF($E118:S118,1)-1,INDEX(Roadmap!$D:$K,MATCH($E118,Roadmap!$D:$D,0)-1+COUNTIF($E118:S118,"u")+COUNTIF($E118:S118,"t")+COUNTIF($E118:S118,"¶")+COUNTIF($E118:S118,"²")+COUNTIF($E118:S118,"µ")+COUNTIF($E118:S118,1),ColDescriptionCourte)),""),
  "")),"")</f>
        <v/>
      </c>
      <c r="U118" s="40" t="str">
        <f ca="1">IFERROR(IF(AND(
  INDEX(Roadmap!$D:$K,MATCH($E118,Roadmap!$D:$D,0)+COUNTIF($E118:T118,"u")+COUNTIF($E118:T118,"t")+COUNTIF($E118:T118,"¶")+COUNTIF($E118:T118,"²")+COUNTIF($E118:T118,"µ")+COUNTIF($E118:T118,1),ColLivraison)=U$6,
  VLOOKUP($E118,INDIRECT("tri!"&amp; CHAR(64+ C0Col) &amp;":"&amp; CHAR(65+C0Col)),2,FALSE)&gt;COUNTIF($E118:T118,"u")+COUNTIF($E118:T118,"t")+COUNTIF($E118:T118,"¶")+COUNTIF($E118:T118,"²")+COUNTIF($E118:T118,"µ")+COUNTIF($E118:T118,1)),
HYPERLINK("#Roadmap!C"&amp; MATCH($E118,Roadmap!$D:$D,0)+COUNTIF($E118:T118,"u")+COUNTIF($E118:T118,"t"),
     INDEX(Roadmap!$D:$K,MATCH($E118,Roadmap!$D:$D,0)+COUNTIF($E118:T118,"u")+COUNTIF($E118:T118,"t")+COUNTIF($E118:T118,"¶")+COUNTIF($E118:T118,"²")+COUNTIF($E118:T118,"µ")+COUNTIF($E118:T118,1),ColTypeEcheance)),
  IF(LEN(T118)=1,
  IF(LEN(INDEX(Roadmap!$D:$K,MATCH($E118,Roadmap!$D:$D,0)-1+COUNTIF($E118:T118,"u")+COUNTIF($E118:T118,"t")+COUNTIF($E118:T118,"¶")+COUNTIF($E118:T118,"²")+COUNTIF($E118:T118,"µ")+COUNTIF($E118:T118,1),ColDescriptionCourte))&gt;1,
HYPERLINK("#Roadmap!C"&amp; MATCH($E118,Roadmap!$D:$D,0)+COUNTIF($E118:T118,"u")+COUNTIF($E118:T118,"t")+COUNTIF($E118:T118,"¶")+COUNTIF($E118:T118,"²")+COUNTIF($E118:T118,"µ")+COUNTIF($E118:T118,1)-1,INDEX(Roadmap!$D:$K,MATCH($E118,Roadmap!$D:$D,0)-1+COUNTIF($E118:T118,"u")+COUNTIF($E118:T118,"t")+COUNTIF($E118:T118,"¶")+COUNTIF($E118:T118,"²")+COUNTIF($E118:T118,"µ")+COUNTIF($E118:T118,1),ColDescriptionCourte)),""),
  "")),"")</f>
        <v/>
      </c>
      <c r="V118" s="40" t="str">
        <f ca="1">IFERROR(IF(AND(
  INDEX(Roadmap!$D:$K,MATCH($E118,Roadmap!$D:$D,0)+COUNTIF($E118:U118,"u")+COUNTIF($E118:U118,"t")+COUNTIF($E118:U118,"¶")+COUNTIF($E118:U118,"²")+COUNTIF($E118:U118,"µ")+COUNTIF($E118:U118,1),ColLivraison)=V$6,
  VLOOKUP($E118,INDIRECT("tri!"&amp; CHAR(64+ C0Col) &amp;":"&amp; CHAR(65+C0Col)),2,FALSE)&gt;COUNTIF($E118:U118,"u")+COUNTIF($E118:U118,"t")+COUNTIF($E118:U118,"¶")+COUNTIF($E118:U118,"²")+COUNTIF($E118:U118,"µ")+COUNTIF($E118:U118,1)),
HYPERLINK("#Roadmap!C"&amp; MATCH($E118,Roadmap!$D:$D,0)+COUNTIF($E118:U118,"u")+COUNTIF($E118:U118,"t"),
     INDEX(Roadmap!$D:$K,MATCH($E118,Roadmap!$D:$D,0)+COUNTIF($E118:U118,"u")+COUNTIF($E118:U118,"t")+COUNTIF($E118:U118,"¶")+COUNTIF($E118:U118,"²")+COUNTIF($E118:U118,"µ")+COUNTIF($E118:U118,1),ColTypeEcheance)),
  IF(LEN(U118)=1,
  IF(LEN(INDEX(Roadmap!$D:$K,MATCH($E118,Roadmap!$D:$D,0)-1+COUNTIF($E118:U118,"u")+COUNTIF($E118:U118,"t")+COUNTIF($E118:U118,"¶")+COUNTIF($E118:U118,"²")+COUNTIF($E118:U118,"µ")+COUNTIF($E118:U118,1),ColDescriptionCourte))&gt;1,
HYPERLINK("#Roadmap!C"&amp; MATCH($E118,Roadmap!$D:$D,0)+COUNTIF($E118:U118,"u")+COUNTIF($E118:U118,"t")+COUNTIF($E118:U118,"¶")+COUNTIF($E118:U118,"²")+COUNTIF($E118:U118,"µ")+COUNTIF($E118:U118,1)-1,INDEX(Roadmap!$D:$K,MATCH($E118,Roadmap!$D:$D,0)-1+COUNTIF($E118:U118,"u")+COUNTIF($E118:U118,"t")+COUNTIF($E118:U118,"¶")+COUNTIF($E118:U118,"²")+COUNTIF($E118:U118,"µ")+COUNTIF($E118:U118,1),ColDescriptionCourte)),""),
  "")),"")</f>
        <v/>
      </c>
      <c r="W118" s="40" t="str">
        <f ca="1">IFERROR(IF(AND(
  INDEX(Roadmap!$D:$K,MATCH($E118,Roadmap!$D:$D,0)+COUNTIF($E118:V118,"u")+COUNTIF($E118:V118,"t")+COUNTIF($E118:V118,"¶")+COUNTIF($E118:V118,"²")+COUNTIF($E118:V118,"µ")+COUNTIF($E118:V118,1),ColLivraison)=W$6,
  VLOOKUP($E118,INDIRECT("tri!"&amp; CHAR(64+ C0Col) &amp;":"&amp; CHAR(65+C0Col)),2,FALSE)&gt;COUNTIF($E118:V118,"u")+COUNTIF($E118:V118,"t")+COUNTIF($E118:V118,"¶")+COUNTIF($E118:V118,"²")+COUNTIF($E118:V118,"µ")+COUNTIF($E118:V118,1)),
HYPERLINK("#Roadmap!C"&amp; MATCH($E118,Roadmap!$D:$D,0)+COUNTIF($E118:V118,"u")+COUNTIF($E118:V118,"t"),
     INDEX(Roadmap!$D:$K,MATCH($E118,Roadmap!$D:$D,0)+COUNTIF($E118:V118,"u")+COUNTIF($E118:V118,"t")+COUNTIF($E118:V118,"¶")+COUNTIF($E118:V118,"²")+COUNTIF($E118:V118,"µ")+COUNTIF($E118:V118,1),ColTypeEcheance)),
  IF(LEN(V118)=1,
  IF(LEN(INDEX(Roadmap!$D:$K,MATCH($E118,Roadmap!$D:$D,0)-1+COUNTIF($E118:V118,"u")+COUNTIF($E118:V118,"t")+COUNTIF($E118:V118,"¶")+COUNTIF($E118:V118,"²")+COUNTIF($E118:V118,"µ")+COUNTIF($E118:V118,1),ColDescriptionCourte))&gt;1,
HYPERLINK("#Roadmap!C"&amp; MATCH($E118,Roadmap!$D:$D,0)+COUNTIF($E118:V118,"u")+COUNTIF($E118:V118,"t")+COUNTIF($E118:V118,"¶")+COUNTIF($E118:V118,"²")+COUNTIF($E118:V118,"µ")+COUNTIF($E118:V118,1)-1,INDEX(Roadmap!$D:$K,MATCH($E118,Roadmap!$D:$D,0)-1+COUNTIF($E118:V118,"u")+COUNTIF($E118:V118,"t")+COUNTIF($E118:V118,"¶")+COUNTIF($E118:V118,"²")+COUNTIF($E118:V118,"µ")+COUNTIF($E118:V118,1),ColDescriptionCourte)),""),
  "")),"")</f>
        <v/>
      </c>
      <c r="X118" s="40" t="str">
        <f ca="1">IFERROR(IF(AND(
  INDEX(Roadmap!$D:$K,MATCH($E118,Roadmap!$D:$D,0)+COUNTIF($E118:W118,"u")+COUNTIF($E118:W118,"t")+COUNTIF($E118:W118,"¶")+COUNTIF($E118:W118,"²")+COUNTIF($E118:W118,"µ")+COUNTIF($E118:W118,1),ColLivraison)=X$6,
  VLOOKUP($E118,INDIRECT("tri!"&amp; CHAR(64+ C0Col) &amp;":"&amp; CHAR(65+C0Col)),2,FALSE)&gt;COUNTIF($E118:W118,"u")+COUNTIF($E118:W118,"t")+COUNTIF($E118:W118,"¶")+COUNTIF($E118:W118,"²")+COUNTIF($E118:W118,"µ")+COUNTIF($E118:W118,1)),
HYPERLINK("#Roadmap!C"&amp; MATCH($E118,Roadmap!$D:$D,0)+COUNTIF($E118:W118,"u")+COUNTIF($E118:W118,"t"),
     INDEX(Roadmap!$D:$K,MATCH($E118,Roadmap!$D:$D,0)+COUNTIF($E118:W118,"u")+COUNTIF($E118:W118,"t")+COUNTIF($E118:W118,"¶")+COUNTIF($E118:W118,"²")+COUNTIF($E118:W118,"µ")+COUNTIF($E118:W118,1),ColTypeEcheance)),
  IF(LEN(W118)=1,
  IF(LEN(INDEX(Roadmap!$D:$K,MATCH($E118,Roadmap!$D:$D,0)-1+COUNTIF($E118:W118,"u")+COUNTIF($E118:W118,"t")+COUNTIF($E118:W118,"¶")+COUNTIF($E118:W118,"²")+COUNTIF($E118:W118,"µ")+COUNTIF($E118:W118,1),ColDescriptionCourte))&gt;1,
HYPERLINK("#Roadmap!C"&amp; MATCH($E118,Roadmap!$D:$D,0)+COUNTIF($E118:W118,"u")+COUNTIF($E118:W118,"t")+COUNTIF($E118:W118,"¶")+COUNTIF($E118:W118,"²")+COUNTIF($E118:W118,"µ")+COUNTIF($E118:W118,1)-1,INDEX(Roadmap!$D:$K,MATCH($E118,Roadmap!$D:$D,0)-1+COUNTIF($E118:W118,"u")+COUNTIF($E118:W118,"t")+COUNTIF($E118:W118,"¶")+COUNTIF($E118:W118,"²")+COUNTIF($E118:W118,"µ")+COUNTIF($E118:W118,1),ColDescriptionCourte)),""),
  "")),"")</f>
        <v/>
      </c>
      <c r="Y118" s="40" t="str">
        <f ca="1">IFERROR(IF(AND(
  INDEX(Roadmap!$D:$K,MATCH($E118,Roadmap!$D:$D,0)+COUNTIF($E118:X118,"u")+COUNTIF($E118:X118,"t")+COUNTIF($E118:X118,"¶")+COUNTIF($E118:X118,"²")+COUNTIF($E118:X118,"µ")+COUNTIF($E118:X118,1),ColLivraison)=Y$6,
  VLOOKUP($E118,INDIRECT("tri!"&amp; CHAR(64+ C0Col) &amp;":"&amp; CHAR(65+C0Col)),2,FALSE)&gt;COUNTIF($E118:X118,"u")+COUNTIF($E118:X118,"t")+COUNTIF($E118:X118,"¶")+COUNTIF($E118:X118,"²")+COUNTIF($E118:X118,"µ")+COUNTIF($E118:X118,1)),
HYPERLINK("#Roadmap!C"&amp; MATCH($E118,Roadmap!$D:$D,0)+COUNTIF($E118:X118,"u")+COUNTIF($E118:X118,"t"),
     INDEX(Roadmap!$D:$K,MATCH($E118,Roadmap!$D:$D,0)+COUNTIF($E118:X118,"u")+COUNTIF($E118:X118,"t")+COUNTIF($E118:X118,"¶")+COUNTIF($E118:X118,"²")+COUNTIF($E118:X118,"µ")+COUNTIF($E118:X118,1),ColTypeEcheance)),
  IF(LEN(X118)=1,
  IF(LEN(INDEX(Roadmap!$D:$K,MATCH($E118,Roadmap!$D:$D,0)-1+COUNTIF($E118:X118,"u")+COUNTIF($E118:X118,"t")+COUNTIF($E118:X118,"¶")+COUNTIF($E118:X118,"²")+COUNTIF($E118:X118,"µ")+COUNTIF($E118:X118,1),ColDescriptionCourte))&gt;1,
HYPERLINK("#Roadmap!C"&amp; MATCH($E118,Roadmap!$D:$D,0)+COUNTIF($E118:X118,"u")+COUNTIF($E118:X118,"t")+COUNTIF($E118:X118,"¶")+COUNTIF($E118:X118,"²")+COUNTIF($E118:X118,"µ")+COUNTIF($E118:X118,1)-1,INDEX(Roadmap!$D:$K,MATCH($E118,Roadmap!$D:$D,0)-1+COUNTIF($E118:X118,"u")+COUNTIF($E118:X118,"t")+COUNTIF($E118:X118,"¶")+COUNTIF($E118:X118,"²")+COUNTIF($E118:X118,"µ")+COUNTIF($E118:X118,1),ColDescriptionCourte)),""),
  "")),"")</f>
        <v/>
      </c>
      <c r="Z118" s="40" t="str">
        <f ca="1">IFERROR(IF(AND(
  INDEX(Roadmap!$D:$K,MATCH($E118,Roadmap!$D:$D,0)+COUNTIF($E118:Y118,"u")+COUNTIF($E118:Y118,"t")+COUNTIF($E118:Y118,"¶")+COUNTIF($E118:Y118,"²")+COUNTIF($E118:Y118,"µ")+COUNTIF($E118:Y118,1),ColLivraison)=Z$6,
  VLOOKUP($E118,INDIRECT("tri!"&amp; CHAR(64+ C0Col) &amp;":"&amp; CHAR(65+C0Col)),2,FALSE)&gt;COUNTIF($E118:Y118,"u")+COUNTIF($E118:Y118,"t")+COUNTIF($E118:Y118,"¶")+COUNTIF($E118:Y118,"²")+COUNTIF($E118:Y118,"µ")+COUNTIF($E118:Y118,1)),
HYPERLINK("#Roadmap!C"&amp; MATCH($E118,Roadmap!$D:$D,0)+COUNTIF($E118:Y118,"u")+COUNTIF($E118:Y118,"t"),
     INDEX(Roadmap!$D:$K,MATCH($E118,Roadmap!$D:$D,0)+COUNTIF($E118:Y118,"u")+COUNTIF($E118:Y118,"t")+COUNTIF($E118:Y118,"¶")+COUNTIF($E118:Y118,"²")+COUNTIF($E118:Y118,"µ")+COUNTIF($E118:Y118,1),ColTypeEcheance)),
  IF(LEN(Y118)=1,
  IF(LEN(INDEX(Roadmap!$D:$K,MATCH($E118,Roadmap!$D:$D,0)-1+COUNTIF($E118:Y118,"u")+COUNTIF($E118:Y118,"t")+COUNTIF($E118:Y118,"¶")+COUNTIF($E118:Y118,"²")+COUNTIF($E118:Y118,"µ")+COUNTIF($E118:Y118,1),ColDescriptionCourte))&gt;1,
HYPERLINK("#Roadmap!C"&amp; MATCH($E118,Roadmap!$D:$D,0)+COUNTIF($E118:Y118,"u")+COUNTIF($E118:Y118,"t")+COUNTIF($E118:Y118,"¶")+COUNTIF($E118:Y118,"²")+COUNTIF($E118:Y118,"µ")+COUNTIF($E118:Y118,1)-1,INDEX(Roadmap!$D:$K,MATCH($E118,Roadmap!$D:$D,0)-1+COUNTIF($E118:Y118,"u")+COUNTIF($E118:Y118,"t")+COUNTIF($E118:Y118,"¶")+COUNTIF($E118:Y118,"²")+COUNTIF($E118:Y118,"µ")+COUNTIF($E118:Y118,1),ColDescriptionCourte)),""),
  "")),"")</f>
        <v/>
      </c>
      <c r="AA118" s="40" t="str">
        <f ca="1">IFERROR(IF(AND(
  INDEX(Roadmap!$D:$K,MATCH($E118,Roadmap!$D:$D,0)+COUNTIF($E118:Z118,"u")+COUNTIF($E118:Z118,"t")+COUNTIF($E118:Z118,"¶")+COUNTIF($E118:Z118,"²")+COUNTIF($E118:Z118,"µ")+COUNTIF($E118:Z118,1),ColLivraison)=AA$6,
  VLOOKUP($E118,INDIRECT("tri!"&amp; CHAR(64+ C0Col) &amp;":"&amp; CHAR(65+C0Col)),2,FALSE)&gt;COUNTIF($E118:Z118,"u")+COUNTIF($E118:Z118,"t")+COUNTIF($E118:Z118,"¶")+COUNTIF($E118:Z118,"²")+COUNTIF($E118:Z118,"µ")+COUNTIF($E118:Z118,1)),
HYPERLINK("#Roadmap!C"&amp; MATCH($E118,Roadmap!$D:$D,0)+COUNTIF($E118:Z118,"u")+COUNTIF($E118:Z118,"t"),
     INDEX(Roadmap!$D:$K,MATCH($E118,Roadmap!$D:$D,0)+COUNTIF($E118:Z118,"u")+COUNTIF($E118:Z118,"t")+COUNTIF($E118:Z118,"¶")+COUNTIF($E118:Z118,"²")+COUNTIF($E118:Z118,"µ")+COUNTIF($E118:Z118,1),ColTypeEcheance)),
  IF(LEN(Z118)=1,
  IF(LEN(INDEX(Roadmap!$D:$K,MATCH($E118,Roadmap!$D:$D,0)-1+COUNTIF($E118:Z118,"u")+COUNTIF($E118:Z118,"t")+COUNTIF($E118:Z118,"¶")+COUNTIF($E118:Z118,"²")+COUNTIF($E118:Z118,"µ")+COUNTIF($E118:Z118,1),ColDescriptionCourte))&gt;1,
HYPERLINK("#Roadmap!C"&amp; MATCH($E118,Roadmap!$D:$D,0)+COUNTIF($E118:Z118,"u")+COUNTIF($E118:Z118,"t")+COUNTIF($E118:Z118,"¶")+COUNTIF($E118:Z118,"²")+COUNTIF($E118:Z118,"µ")+COUNTIF($E118:Z118,1)-1,INDEX(Roadmap!$D:$K,MATCH($E118,Roadmap!$D:$D,0)-1+COUNTIF($E118:Z118,"u")+COUNTIF($E118:Z118,"t")+COUNTIF($E118:Z118,"¶")+COUNTIF($E118:Z118,"²")+COUNTIF($E118:Z118,"µ")+COUNTIF($E118:Z118,1),ColDescriptionCourte)),""),
  "")),"")</f>
        <v/>
      </c>
      <c r="AB118" s="40" t="str">
        <f ca="1">IFERROR(IF(AND(
  INDEX(Roadmap!$D:$K,MATCH($E118,Roadmap!$D:$D,0)+COUNTIF($E118:AA118,"u")+COUNTIF($E118:AA118,"t")+COUNTIF($E118:AA118,"¶")+COUNTIF($E118:AA118,"²")+COUNTIF($E118:AA118,"µ")+COUNTIF($E118:AA118,1),ColLivraison)=AB$6,
  VLOOKUP($E118,INDIRECT("tri!"&amp; CHAR(64+ C0Col) &amp;":"&amp; CHAR(65+C0Col)),2,FALSE)&gt;COUNTIF($E118:AA118,"u")+COUNTIF($E118:AA118,"t")+COUNTIF($E118:AA118,"¶")+COUNTIF($E118:AA118,"²")+COUNTIF($E118:AA118,"µ")+COUNTIF($E118:AA118,1)),
HYPERLINK("#Roadmap!C"&amp; MATCH($E118,Roadmap!$D:$D,0)+COUNTIF($E118:AA118,"u")+COUNTIF($E118:AA118,"t"),
     INDEX(Roadmap!$D:$K,MATCH($E118,Roadmap!$D:$D,0)+COUNTIF($E118:AA118,"u")+COUNTIF($E118:AA118,"t")+COUNTIF($E118:AA118,"¶")+COUNTIF($E118:AA118,"²")+COUNTIF($E118:AA118,"µ")+COUNTIF($E118:AA118,1),ColTypeEcheance)),
  IF(LEN(AA118)=1,
  IF(LEN(INDEX(Roadmap!$D:$K,MATCH($E118,Roadmap!$D:$D,0)-1+COUNTIF($E118:AA118,"u")+COUNTIF($E118:AA118,"t")+COUNTIF($E118:AA118,"¶")+COUNTIF($E118:AA118,"²")+COUNTIF($E118:AA118,"µ")+COUNTIF($E118:AA118,1),ColDescriptionCourte))&gt;1,
HYPERLINK("#Roadmap!C"&amp; MATCH($E118,Roadmap!$D:$D,0)+COUNTIF($E118:AA118,"u")+COUNTIF($E118:AA118,"t")+COUNTIF($E118:AA118,"¶")+COUNTIF($E118:AA118,"²")+COUNTIF($E118:AA118,"µ")+COUNTIF($E118:AA118,1)-1,INDEX(Roadmap!$D:$K,MATCH($E118,Roadmap!$D:$D,0)-1+COUNTIF($E118:AA118,"u")+COUNTIF($E118:AA118,"t")+COUNTIF($E118:AA118,"¶")+COUNTIF($E118:AA118,"²")+COUNTIF($E118:AA118,"µ")+COUNTIF($E118:AA118,1),ColDescriptionCourte)),""),
  "")),"")</f>
        <v/>
      </c>
      <c r="AC118" s="40" t="str">
        <f ca="1">IFERROR(IF(AND(
  INDEX(Roadmap!$D:$K,MATCH($E118,Roadmap!$D:$D,0)+COUNTIF($E118:AB118,"u")+COUNTIF($E118:AB118,"t")+COUNTIF($E118:AB118,"¶")+COUNTIF($E118:AB118,"²")+COUNTIF($E118:AB118,"µ")+COUNTIF($E118:AB118,1),ColLivraison)=AC$6,
  VLOOKUP($E118,INDIRECT("tri!"&amp; CHAR(64+ C0Col) &amp;":"&amp; CHAR(65+C0Col)),2,FALSE)&gt;COUNTIF($E118:AB118,"u")+COUNTIF($E118:AB118,"t")+COUNTIF($E118:AB118,"¶")+COUNTIF($E118:AB118,"²")+COUNTIF($E118:AB118,"µ")+COUNTIF($E118:AB118,1)),
HYPERLINK("#Roadmap!C"&amp; MATCH($E118,Roadmap!$D:$D,0)+COUNTIF($E118:AB118,"u")+COUNTIF($E118:AB118,"t"),
     INDEX(Roadmap!$D:$K,MATCH($E118,Roadmap!$D:$D,0)+COUNTIF($E118:AB118,"u")+COUNTIF($E118:AB118,"t")+COUNTIF($E118:AB118,"¶")+COUNTIF($E118:AB118,"²")+COUNTIF($E118:AB118,"µ")+COUNTIF($E118:AB118,1),ColTypeEcheance)),
  IF(LEN(AB118)=1,
  IF(LEN(INDEX(Roadmap!$D:$K,MATCH($E118,Roadmap!$D:$D,0)-1+COUNTIF($E118:AB118,"u")+COUNTIF($E118:AB118,"t")+COUNTIF($E118:AB118,"¶")+COUNTIF($E118:AB118,"²")+COUNTIF($E118:AB118,"µ")+COUNTIF($E118:AB118,1),ColDescriptionCourte))&gt;1,
HYPERLINK("#Roadmap!C"&amp; MATCH($E118,Roadmap!$D:$D,0)+COUNTIF($E118:AB118,"u")+COUNTIF($E118:AB118,"t")+COUNTIF($E118:AB118,"¶")+COUNTIF($E118:AB118,"²")+COUNTIF($E118:AB118,"µ")+COUNTIF($E118:AB118,1)-1,INDEX(Roadmap!$D:$K,MATCH($E118,Roadmap!$D:$D,0)-1+COUNTIF($E118:AB118,"u")+COUNTIF($E118:AB118,"t")+COUNTIF($E118:AB118,"¶")+COUNTIF($E118:AB118,"²")+COUNTIF($E118:AB118,"µ")+COUNTIF($E118:AB118,1),ColDescriptionCourte)),""),
  "")),"")</f>
        <v/>
      </c>
      <c r="AD118" s="40" t="str">
        <f ca="1">IFERROR(IF(AND(
  INDEX(Roadmap!$D:$K,MATCH($E118,Roadmap!$D:$D,0)+COUNTIF($E118:AC118,"u")+COUNTIF($E118:AC118,"t")+COUNTIF($E118:AC118,"¶")+COUNTIF($E118:AC118,"²")+COUNTIF($E118:AC118,"µ")+COUNTIF($E118:AC118,1),ColLivraison)=AD$6,
  VLOOKUP($E118,INDIRECT("tri!"&amp; CHAR(64+ C0Col) &amp;":"&amp; CHAR(65+C0Col)),2,FALSE)&gt;COUNTIF($E118:AC118,"u")+COUNTIF($E118:AC118,"t")+COUNTIF($E118:AC118,"¶")+COUNTIF($E118:AC118,"²")+COUNTIF($E118:AC118,"µ")+COUNTIF($E118:AC118,1)),
HYPERLINK("#Roadmap!C"&amp; MATCH($E118,Roadmap!$D:$D,0)+COUNTIF($E118:AC118,"u")+COUNTIF($E118:AC118,"t"),
     INDEX(Roadmap!$D:$K,MATCH($E118,Roadmap!$D:$D,0)+COUNTIF($E118:AC118,"u")+COUNTIF($E118:AC118,"t")+COUNTIF($E118:AC118,"¶")+COUNTIF($E118:AC118,"²")+COUNTIF($E118:AC118,"µ")+COUNTIF($E118:AC118,1),ColTypeEcheance)),
  IF(LEN(AC118)=1,
  IF(LEN(INDEX(Roadmap!$D:$K,MATCH($E118,Roadmap!$D:$D,0)-1+COUNTIF($E118:AC118,"u")+COUNTIF($E118:AC118,"t")+COUNTIF($E118:AC118,"¶")+COUNTIF($E118:AC118,"²")+COUNTIF($E118:AC118,"µ")+COUNTIF($E118:AC118,1),ColDescriptionCourte))&gt;1,
HYPERLINK("#Roadmap!C"&amp; MATCH($E118,Roadmap!$D:$D,0)+COUNTIF($E118:AC118,"u")+COUNTIF($E118:AC118,"t")+COUNTIF($E118:AC118,"¶")+COUNTIF($E118:AC118,"²")+COUNTIF($E118:AC118,"µ")+COUNTIF($E118:AC118,1)-1,INDEX(Roadmap!$D:$K,MATCH($E118,Roadmap!$D:$D,0)-1+COUNTIF($E118:AC118,"u")+COUNTIF($E118:AC118,"t")+COUNTIF($E118:AC118,"¶")+COUNTIF($E118:AC118,"²")+COUNTIF($E118:AC118,"µ")+COUNTIF($E118:AC118,1),ColDescriptionCourte)),""),
  "")),"")</f>
        <v/>
      </c>
      <c r="AE118" s="40" t="str">
        <f ca="1">IFERROR(IF(AND(
  INDEX(Roadmap!$D:$K,MATCH($E118,Roadmap!$D:$D,0)+COUNTIF($E118:AD118,"u")+COUNTIF($E118:AD118,"t")+COUNTIF($E118:AD118,"¶")+COUNTIF($E118:AD118,"²")+COUNTIF($E118:AD118,"µ")+COUNTIF($E118:AD118,1),ColLivraison)=AE$6,
  VLOOKUP($E118,INDIRECT("tri!"&amp; CHAR(64+ C0Col) &amp;":"&amp; CHAR(65+C0Col)),2,FALSE)&gt;COUNTIF($E118:AD118,"u")+COUNTIF($E118:AD118,"t")+COUNTIF($E118:AD118,"¶")+COUNTIF($E118:AD118,"²")+COUNTIF($E118:AD118,"µ")+COUNTIF($E118:AD118,1)),
HYPERLINK("#Roadmap!C"&amp; MATCH($E118,Roadmap!$D:$D,0)+COUNTIF($E118:AD118,"u")+COUNTIF($E118:AD118,"t"),
     INDEX(Roadmap!$D:$K,MATCH($E118,Roadmap!$D:$D,0)+COUNTIF($E118:AD118,"u")+COUNTIF($E118:AD118,"t")+COUNTIF($E118:AD118,"¶")+COUNTIF($E118:AD118,"²")+COUNTIF($E118:AD118,"µ")+COUNTIF($E118:AD118,1),ColTypeEcheance)),
  IF(LEN(AD118)=1,
  IF(LEN(INDEX(Roadmap!$D:$K,MATCH($E118,Roadmap!$D:$D,0)-1+COUNTIF($E118:AD118,"u")+COUNTIF($E118:AD118,"t")+COUNTIF($E118:AD118,"¶")+COUNTIF($E118:AD118,"²")+COUNTIF($E118:AD118,"µ")+COUNTIF($E118:AD118,1),ColDescriptionCourte))&gt;1,
HYPERLINK("#Roadmap!C"&amp; MATCH($E118,Roadmap!$D:$D,0)+COUNTIF($E118:AD118,"u")+COUNTIF($E118:AD118,"t")+COUNTIF($E118:AD118,"¶")+COUNTIF($E118:AD118,"²")+COUNTIF($E118:AD118,"µ")+COUNTIF($E118:AD118,1)-1,INDEX(Roadmap!$D:$K,MATCH($E118,Roadmap!$D:$D,0)-1+COUNTIF($E118:AD118,"u")+COUNTIF($E118:AD118,"t")+COUNTIF($E118:AD118,"¶")+COUNTIF($E118:AD118,"²")+COUNTIF($E118:AD118,"µ")+COUNTIF($E118:AD118,1),ColDescriptionCourte)),""),
  "")),"")</f>
        <v/>
      </c>
      <c r="AF118" s="40" t="str">
        <f ca="1">IFERROR(IF(AND(
  INDEX(Roadmap!$D:$K,MATCH($E118,Roadmap!$D:$D,0)+COUNTIF($E118:AE118,"u")+COUNTIF($E118:AE118,"t")+COUNTIF($E118:AE118,"¶")+COUNTIF($E118:AE118,"²")+COUNTIF($E118:AE118,"µ")+COUNTIF($E118:AE118,1),ColLivraison)=AF$6,
  VLOOKUP($E118,INDIRECT("tri!"&amp; CHAR(64+ C0Col) &amp;":"&amp; CHAR(65+C0Col)),2,FALSE)&gt;COUNTIF($E118:AE118,"u")+COUNTIF($E118:AE118,"t")+COUNTIF($E118:AE118,"¶")+COUNTIF($E118:AE118,"²")+COUNTIF($E118:AE118,"µ")+COUNTIF($E118:AE118,1)),
HYPERLINK("#Roadmap!C"&amp; MATCH($E118,Roadmap!$D:$D,0)+COUNTIF($E118:AE118,"u")+COUNTIF($E118:AE118,"t"),
     INDEX(Roadmap!$D:$K,MATCH($E118,Roadmap!$D:$D,0)+COUNTIF($E118:AE118,"u")+COUNTIF($E118:AE118,"t")+COUNTIF($E118:AE118,"¶")+COUNTIF($E118:AE118,"²")+COUNTIF($E118:AE118,"µ")+COUNTIF($E118:AE118,1),ColTypeEcheance)),
  IF(LEN(AE118)=1,
  IF(LEN(INDEX(Roadmap!$D:$K,MATCH($E118,Roadmap!$D:$D,0)-1+COUNTIF($E118:AE118,"u")+COUNTIF($E118:AE118,"t")+COUNTIF($E118:AE118,"¶")+COUNTIF($E118:AE118,"²")+COUNTIF($E118:AE118,"µ")+COUNTIF($E118:AE118,1),ColDescriptionCourte))&gt;1,
HYPERLINK("#Roadmap!C"&amp; MATCH($E118,Roadmap!$D:$D,0)+COUNTIF($E118:AE118,"u")+COUNTIF($E118:AE118,"t")+COUNTIF($E118:AE118,"¶")+COUNTIF($E118:AE118,"²")+COUNTIF($E118:AE118,"µ")+COUNTIF($E118:AE118,1)-1,INDEX(Roadmap!$D:$K,MATCH($E118,Roadmap!$D:$D,0)-1+COUNTIF($E118:AE118,"u")+COUNTIF($E118:AE118,"t")+COUNTIF($E118:AE118,"¶")+COUNTIF($E118:AE118,"²")+COUNTIF($E118:AE118,"µ")+COUNTIF($E118:AE118,1),ColDescriptionCourte)),""),
  "")),"")</f>
        <v/>
      </c>
      <c r="AG118" s="40" t="str">
        <f ca="1">IFERROR(IF(AND(
  INDEX(Roadmap!$D:$K,MATCH($E118,Roadmap!$D:$D,0)+COUNTIF($E118:AF118,"u")+COUNTIF($E118:AF118,"t")+COUNTIF($E118:AF118,"¶")+COUNTIF($E118:AF118,"²")+COUNTIF($E118:AF118,"µ")+COUNTIF($E118:AF118,1),ColLivraison)=AG$6,
  VLOOKUP($E118,INDIRECT("tri!"&amp; CHAR(64+ C0Col) &amp;":"&amp; CHAR(65+C0Col)),2,FALSE)&gt;COUNTIF($E118:AF118,"u")+COUNTIF($E118:AF118,"t")+COUNTIF($E118:AF118,"¶")+COUNTIF($E118:AF118,"²")+COUNTIF($E118:AF118,"µ")+COUNTIF($E118:AF118,1)),
HYPERLINK("#Roadmap!C"&amp; MATCH($E118,Roadmap!$D:$D,0)+COUNTIF($E118:AF118,"u")+COUNTIF($E118:AF118,"t"),
     INDEX(Roadmap!$D:$K,MATCH($E118,Roadmap!$D:$D,0)+COUNTIF($E118:AF118,"u")+COUNTIF($E118:AF118,"t")+COUNTIF($E118:AF118,"¶")+COUNTIF($E118:AF118,"²")+COUNTIF($E118:AF118,"µ")+COUNTIF($E118:AF118,1),ColTypeEcheance)),
  IF(LEN(AF118)=1,
  IF(LEN(INDEX(Roadmap!$D:$K,MATCH($E118,Roadmap!$D:$D,0)-1+COUNTIF($E118:AF118,"u")+COUNTIF($E118:AF118,"t")+COUNTIF($E118:AF118,"¶")+COUNTIF($E118:AF118,"²")+COUNTIF($E118:AF118,"µ")+COUNTIF($E118:AF118,1),ColDescriptionCourte))&gt;1,
HYPERLINK("#Roadmap!C"&amp; MATCH($E118,Roadmap!$D:$D,0)+COUNTIF($E118:AF118,"u")+COUNTIF($E118:AF118,"t")+COUNTIF($E118:AF118,"¶")+COUNTIF($E118:AF118,"²")+COUNTIF($E118:AF118,"µ")+COUNTIF($E118:AF118,1)-1,INDEX(Roadmap!$D:$K,MATCH($E118,Roadmap!$D:$D,0)-1+COUNTIF($E118:AF118,"u")+COUNTIF($E118:AF118,"t")+COUNTIF($E118:AF118,"¶")+COUNTIF($E118:AF118,"²")+COUNTIF($E118:AF118,"µ")+COUNTIF($E118:AF118,1),ColDescriptionCourte)),""),
  "")),"")</f>
        <v/>
      </c>
      <c r="AH118" s="40" t="str">
        <f ca="1">IFERROR(IF(AND(
  INDEX(Roadmap!$D:$K,MATCH($E118,Roadmap!$D:$D,0)+COUNTIF($E118:AG118,"u")+COUNTIF($E118:AG118,"t")+COUNTIF($E118:AG118,1),ColLivraison)=AH$6,
  VLOOKUP($E118,INDIRECT("tri!"&amp; CHAR(64+ C0Col) &amp;":"&amp; CHAR(65+C0Col)),2,FALSE)&gt;COUNTIF($E118:AG118,"u")+COUNTIF($E118:AG118,"t")+COUNTIF($E118:AG118,1)),
HYPERLINK("#Roadmap!C"&amp; MATCH($E118,Roadmap!$D:$D,0)+COUNTIF($E118:AG118,"u")+COUNTIF($E118:AG118,"t"),
     INDEX(Roadmap!$D:$K,MATCH($E118,Roadmap!$D:$D,0)+COUNTIF($E118:AG118,"u")+COUNTIF($E118:AG118,"t")+COUNTIF($E118:AG118,1),ColTypeEcheance)),
  IF(OR(AG118="u",AG118="t",AG118=1),
  IF(LEN(INDEX(Roadmap!$D:$K,MATCH($E118,Roadmap!$D:$D,0)-1+COUNTIF($E118:AG118,"u")+COUNTIF($E118:AG118,"t")+COUNTIF($E118:AG118,1),ColDescriptionCourte))&gt;1,
HYPERLINK("#Roadmap!C"&amp; MATCH($E118,Roadmap!$D:$D,0)+COUNTIF($E118:AG118,"u")+COUNTIF($E118:AG118,"t")+COUNTIF($E118:AG118,1)-1,INDEX(Roadmap!$D:$K,MATCH($E118,Roadmap!$D:$D,0)-1+COUNTIF($E118:AG118,"u")+COUNTIF($E118:AG118,"t")+COUNTIF($E118:AG118,1),ColDescriptionCourte)),""),
  "")),"")</f>
        <v/>
      </c>
      <c r="AI118" s="40"/>
      <c r="AJ118" s="40"/>
      <c r="AK118" s="40"/>
      <c r="AL118" s="40"/>
      <c r="AM118" s="40"/>
    </row>
    <row r="119" spans="4:39" ht="14.1" customHeight="1">
      <c r="D119" s="20" t="str">
        <f t="shared" ca="1" si="29"/>
        <v/>
      </c>
      <c r="E119" s="53" t="str">
        <f t="shared" ca="1" si="30"/>
        <v/>
      </c>
      <c r="F119" s="39" t="str">
        <f ca="1">IFERROR(IF(AND(
  INDEX(Roadmap!$D:$K,MATCH($E119,Roadmap!$D:$D,0)+COUNTIF($E119:E119,"u")+COUNTIF($E119:E119,"t")+COUNTIF($E119:E119,"¶")+COUNTIF($E119:E119,"²")+COUNTIF($E119:E119,"µ")+COUNTIF($E119:E119,1),ColLivraison)=F$6,
  VLOOKUP($E119,INDIRECT("tri!"&amp; CHAR(64+ C0Col) &amp;":"&amp; CHAR(65+C0Col)),2,FALSE)&gt;COUNTIF($E119:E119,"u")+COUNTIF($E119:E119,"t")+COUNTIF($E119:E119,"¶")+COUNTIF($E119:E119,"²")+COUNTIF($E119:E119,"µ")+COUNTIF($E119:E119,1)),
HYPERLINK("#Roadmap!C"&amp; MATCH($E119,Roadmap!$D:$D,0)+COUNTIF($E119:E119,"u")+COUNTIF($E119:E119,"t"),
     INDEX(Roadmap!$D:$K,MATCH($E119,Roadmap!$D:$D,0)+COUNTIF($E119:E119,"u")+COUNTIF($E119:E119,"t")+COUNTIF($E119:E119,"¶")+COUNTIF($E119:E119,"²")+COUNTIF($E119:E119,"µ")+COUNTIF($E119:E119,1),ColTypeEcheance)),
  IF(LEN(E119)=1,
  IF(LEN(INDEX(Roadmap!$D:$K,MATCH($E119,Roadmap!$D:$D,0)-1+COUNTIF($E119:E119,"u")+COUNTIF($E119:E119,"t")+COUNTIF($E119:E119,"¶")+COUNTIF($E119:E119,"²")+COUNTIF($E119:E119,"µ")+COUNTIF($E119:E119,1),ColDescriptionCourte))&gt;1,
HYPERLINK("#Roadmap!C"&amp; MATCH($E119,Roadmap!$D:$D,0)+COUNTIF($E119:E119,"u")+COUNTIF($E119:E119,"t")+COUNTIF($E119:E119,"¶")+COUNTIF($E119:E119,"²")+COUNTIF($E119:E119,"µ")+COUNTIF($E119:E119,1)-1,INDEX(Roadmap!$D:$K,MATCH($E119,Roadmap!$D:$D,0)-1+COUNTIF($E119:E119,"u")+COUNTIF($E119:E119,"t")+COUNTIF($E119:E119,"¶")+COUNTIF($E119:E119,"²")+COUNTIF($E119:E119,"µ")+COUNTIF($E119:E119,1),ColDescriptionCourte)),""),
  "")),"")</f>
        <v/>
      </c>
      <c r="G119" s="40" t="str">
        <f ca="1">IFERROR(IF(AND(
  INDEX(Roadmap!$D:$K,MATCH($E119,Roadmap!$D:$D,0)+COUNTIF($E119:F119,"u")+COUNTIF($E119:F119,"t")+COUNTIF($E119:F119,"¶")+COUNTIF($E119:F119,"²")+COUNTIF($E119:F119,"µ")+COUNTIF($E119:F119,1),ColLivraison)=G$6,
  VLOOKUP($E119,INDIRECT("tri!"&amp; CHAR(64+ C0Col) &amp;":"&amp; CHAR(65+C0Col)),2,FALSE)&gt;COUNTIF($E119:F119,"u")+COUNTIF($E119:F119,"t")+COUNTIF($E119:F119,"¶")+COUNTIF($E119:F119,"²")+COUNTIF($E119:F119,"µ")+COUNTIF($E119:F119,1)),
HYPERLINK("#Roadmap!C"&amp; MATCH($E119,Roadmap!$D:$D,0)+COUNTIF($E119:F119,"u")+COUNTIF($E119:F119,"t"),
     INDEX(Roadmap!$D:$K,MATCH($E119,Roadmap!$D:$D,0)+COUNTIF($E119:F119,"u")+COUNTIF($E119:F119,"t")+COUNTIF($E119:F119,"¶")+COUNTIF($E119:F119,"²")+COUNTIF($E119:F119,"µ")+COUNTIF($E119:F119,1),ColTypeEcheance)),
  IF(LEN(F119)=1,
  IF(LEN(INDEX(Roadmap!$D:$K,MATCH($E119,Roadmap!$D:$D,0)-1+COUNTIF($E119:F119,"u")+COUNTIF($E119:F119,"t")+COUNTIF($E119:F119,"¶")+COUNTIF($E119:F119,"²")+COUNTIF($E119:F119,"µ")+COUNTIF($E119:F119,1),ColDescriptionCourte))&gt;1,
HYPERLINK("#Roadmap!C"&amp; MATCH($E119,Roadmap!$D:$D,0)+COUNTIF($E119:F119,"u")+COUNTIF($E119:F119,"t")+COUNTIF($E119:F119,"¶")+COUNTIF($E119:F119,"²")+COUNTIF($E119:F119,"µ")+COUNTIF($E119:F119,1)-1,INDEX(Roadmap!$D:$K,MATCH($E119,Roadmap!$D:$D,0)-1+COUNTIF($E119:F119,"u")+COUNTIF($E119:F119,"t")+COUNTIF($E119:F119,"¶")+COUNTIF($E119:F119,"²")+COUNTIF($E119:F119,"µ")+COUNTIF($E119:F119,1),ColDescriptionCourte)),""),
  "")),"")</f>
        <v/>
      </c>
      <c r="H119" s="40" t="str">
        <f ca="1">IFERROR(IF(AND(
  INDEX(Roadmap!$D:$K,MATCH($E119,Roadmap!$D:$D,0)+COUNTIF($E119:G119,"u")+COUNTIF($E119:G119,"t")+COUNTIF($E119:G119,"¶")+COUNTIF($E119:G119,"²")+COUNTIF($E119:G119,"µ")+COUNTIF($E119:G119,1),ColLivraison)=H$6,
  VLOOKUP($E119,INDIRECT("tri!"&amp; CHAR(64+ C0Col) &amp;":"&amp; CHAR(65+C0Col)),2,FALSE)&gt;COUNTIF($E119:G119,"u")+COUNTIF($E119:G119,"t")+COUNTIF($E119:G119,"¶")+COUNTIF($E119:G119,"²")+COUNTIF($E119:G119,"µ")+COUNTIF($E119:G119,1)),
HYPERLINK("#Roadmap!C"&amp; MATCH($E119,Roadmap!$D:$D,0)+COUNTIF($E119:G119,"u")+COUNTIF($E119:G119,"t"),
     INDEX(Roadmap!$D:$K,MATCH($E119,Roadmap!$D:$D,0)+COUNTIF($E119:G119,"u")+COUNTIF($E119:G119,"t")+COUNTIF($E119:G119,"¶")+COUNTIF($E119:G119,"²")+COUNTIF($E119:G119,"µ")+COUNTIF($E119:G119,1),ColTypeEcheance)),
  IF(LEN(G119)=1,
  IF(LEN(INDEX(Roadmap!$D:$K,MATCH($E119,Roadmap!$D:$D,0)-1+COUNTIF($E119:G119,"u")+COUNTIF($E119:G119,"t")+COUNTIF($E119:G119,"¶")+COUNTIF($E119:G119,"²")+COUNTIF($E119:G119,"µ")+COUNTIF($E119:G119,1),ColDescriptionCourte))&gt;1,
HYPERLINK("#Roadmap!C"&amp; MATCH($E119,Roadmap!$D:$D,0)+COUNTIF($E119:G119,"u")+COUNTIF($E119:G119,"t")+COUNTIF($E119:G119,"¶")+COUNTIF($E119:G119,"²")+COUNTIF($E119:G119,"µ")+COUNTIF($E119:G119,1)-1,INDEX(Roadmap!$D:$K,MATCH($E119,Roadmap!$D:$D,0)-1+COUNTIF($E119:G119,"u")+COUNTIF($E119:G119,"t")+COUNTIF($E119:G119,"¶")+COUNTIF($E119:G119,"²")+COUNTIF($E119:G119,"µ")+COUNTIF($E119:G119,1),ColDescriptionCourte)),""),
  "")),"")</f>
        <v/>
      </c>
      <c r="I119" s="40" t="str">
        <f ca="1">IFERROR(IF(AND(
  INDEX(Roadmap!$D:$K,MATCH($E119,Roadmap!$D:$D,0)+COUNTIF($E119:H119,"u")+COUNTIF($E119:H119,"t")+COUNTIF($E119:H119,"¶")+COUNTIF($E119:H119,"²")+COUNTIF($E119:H119,"µ")+COUNTIF($E119:H119,1),ColLivraison)=I$6,
  VLOOKUP($E119,INDIRECT("tri!"&amp; CHAR(64+ C0Col) &amp;":"&amp; CHAR(65+C0Col)),2,FALSE)&gt;COUNTIF($E119:H119,"u")+COUNTIF($E119:H119,"t")+COUNTIF($E119:H119,"¶")+COUNTIF($E119:H119,"²")+COUNTIF($E119:H119,"µ")+COUNTIF($E119:H119,1)),
HYPERLINK("#Roadmap!C"&amp; MATCH($E119,Roadmap!$D:$D,0)+COUNTIF($E119:H119,"u")+COUNTIF($E119:H119,"t"),
     INDEX(Roadmap!$D:$K,MATCH($E119,Roadmap!$D:$D,0)+COUNTIF($E119:H119,"u")+COUNTIF($E119:H119,"t")+COUNTIF($E119:H119,"¶")+COUNTIF($E119:H119,"²")+COUNTIF($E119:H119,"µ")+COUNTIF($E119:H119,1),ColTypeEcheance)),
  IF(LEN(H119)=1,
  IF(LEN(INDEX(Roadmap!$D:$K,MATCH($E119,Roadmap!$D:$D,0)-1+COUNTIF($E119:H119,"u")+COUNTIF($E119:H119,"t")+COUNTIF($E119:H119,"¶")+COUNTIF($E119:H119,"²")+COUNTIF($E119:H119,"µ")+COUNTIF($E119:H119,1),ColDescriptionCourte))&gt;1,
HYPERLINK("#Roadmap!C"&amp; MATCH($E119,Roadmap!$D:$D,0)+COUNTIF($E119:H119,"u")+COUNTIF($E119:H119,"t")+COUNTIF($E119:H119,"¶")+COUNTIF($E119:H119,"²")+COUNTIF($E119:H119,"µ")+COUNTIF($E119:H119,1)-1,INDEX(Roadmap!$D:$K,MATCH($E119,Roadmap!$D:$D,0)-1+COUNTIF($E119:H119,"u")+COUNTIF($E119:H119,"t")+COUNTIF($E119:H119,"¶")+COUNTIF($E119:H119,"²")+COUNTIF($E119:H119,"µ")+COUNTIF($E119:H119,1),ColDescriptionCourte)),""),
  "")),"")</f>
        <v/>
      </c>
      <c r="J119" s="40" t="str">
        <f ca="1">IFERROR(IF(AND(
  INDEX(Roadmap!$D:$K,MATCH($E119,Roadmap!$D:$D,0)+COUNTIF($E119:I119,"u")+COUNTIF($E119:I119,"t")+COUNTIF($E119:I119,"¶")+COUNTIF($E119:I119,"²")+COUNTIF($E119:I119,"µ")+COUNTIF($E119:I119,1),ColLivraison)=J$6,
  VLOOKUP($E119,INDIRECT("tri!"&amp; CHAR(64+ C0Col) &amp;":"&amp; CHAR(65+C0Col)),2,FALSE)&gt;COUNTIF($E119:I119,"u")+COUNTIF($E119:I119,"t")+COUNTIF($E119:I119,"¶")+COUNTIF($E119:I119,"²")+COUNTIF($E119:I119,"µ")+COUNTIF($E119:I119,1)),
HYPERLINK("#Roadmap!C"&amp; MATCH($E119,Roadmap!$D:$D,0)+COUNTIF($E119:I119,"u")+COUNTIF($E119:I119,"t"),
     INDEX(Roadmap!$D:$K,MATCH($E119,Roadmap!$D:$D,0)+COUNTIF($E119:I119,"u")+COUNTIF($E119:I119,"t")+COUNTIF($E119:I119,"¶")+COUNTIF($E119:I119,"²")+COUNTIF($E119:I119,"µ")+COUNTIF($E119:I119,1),ColTypeEcheance)),
  IF(LEN(I119)=1,
  IF(LEN(INDEX(Roadmap!$D:$K,MATCH($E119,Roadmap!$D:$D,0)-1+COUNTIF($E119:I119,"u")+COUNTIF($E119:I119,"t")+COUNTIF($E119:I119,"¶")+COUNTIF($E119:I119,"²")+COUNTIF($E119:I119,"µ")+COUNTIF($E119:I119,1),ColDescriptionCourte))&gt;1,
HYPERLINK("#Roadmap!C"&amp; MATCH($E119,Roadmap!$D:$D,0)+COUNTIF($E119:I119,"u")+COUNTIF($E119:I119,"t")+COUNTIF($E119:I119,"¶")+COUNTIF($E119:I119,"²")+COUNTIF($E119:I119,"µ")+COUNTIF($E119:I119,1)-1,INDEX(Roadmap!$D:$K,MATCH($E119,Roadmap!$D:$D,0)-1+COUNTIF($E119:I119,"u")+COUNTIF($E119:I119,"t")+COUNTIF($E119:I119,"¶")+COUNTIF($E119:I119,"²")+COUNTIF($E119:I119,"µ")+COUNTIF($E119:I119,1),ColDescriptionCourte)),""),
  "")),"")</f>
        <v/>
      </c>
      <c r="K119" s="40" t="str">
        <f ca="1">IFERROR(IF(AND(
  INDEX(Roadmap!$D:$K,MATCH($E119,Roadmap!$D:$D,0)+COUNTIF($E119:J119,"u")+COUNTIF($E119:J119,"t")+COUNTIF($E119:J119,"¶")+COUNTIF($E119:J119,"²")+COUNTIF($E119:J119,"µ")+COUNTIF($E119:J119,1),ColLivraison)=K$6,
  VLOOKUP($E119,INDIRECT("tri!"&amp; CHAR(64+ C0Col) &amp;":"&amp; CHAR(65+C0Col)),2,FALSE)&gt;COUNTIF($E119:J119,"u")+COUNTIF($E119:J119,"t")+COUNTIF($E119:J119,"¶")+COUNTIF($E119:J119,"²")+COUNTIF($E119:J119,"µ")+COUNTIF($E119:J119,1)),
HYPERLINK("#Roadmap!C"&amp; MATCH($E119,Roadmap!$D:$D,0)+COUNTIF($E119:J119,"u")+COUNTIF($E119:J119,"t"),
     INDEX(Roadmap!$D:$K,MATCH($E119,Roadmap!$D:$D,0)+COUNTIF($E119:J119,"u")+COUNTIF($E119:J119,"t")+COUNTIF($E119:J119,"¶")+COUNTIF($E119:J119,"²")+COUNTIF($E119:J119,"µ")+COUNTIF($E119:J119,1),ColTypeEcheance)),
  IF(LEN(J119)=1,
  IF(LEN(INDEX(Roadmap!$D:$K,MATCH($E119,Roadmap!$D:$D,0)-1+COUNTIF($E119:J119,"u")+COUNTIF($E119:J119,"t")+COUNTIF($E119:J119,"¶")+COUNTIF($E119:J119,"²")+COUNTIF($E119:J119,"µ")+COUNTIF($E119:J119,1),ColDescriptionCourte))&gt;1,
HYPERLINK("#Roadmap!C"&amp; MATCH($E119,Roadmap!$D:$D,0)+COUNTIF($E119:J119,"u")+COUNTIF($E119:J119,"t")+COUNTIF($E119:J119,"¶")+COUNTIF($E119:J119,"²")+COUNTIF($E119:J119,"µ")+COUNTIF($E119:J119,1)-1,INDEX(Roadmap!$D:$K,MATCH($E119,Roadmap!$D:$D,0)-1+COUNTIF($E119:J119,"u")+COUNTIF($E119:J119,"t")+COUNTIF($E119:J119,"¶")+COUNTIF($E119:J119,"²")+COUNTIF($E119:J119,"µ")+COUNTIF($E119:J119,1),ColDescriptionCourte)),""),
  "")),"")</f>
        <v/>
      </c>
      <c r="L119" s="39" t="str">
        <f ca="1">IFERROR(IF(AND(
  INDEX(Roadmap!$D:$K,MATCH($E119,Roadmap!$D:$D,0)+COUNTIF($E119:K119,"u")+COUNTIF($E119:K119,"t")+COUNTIF($E119:K119,"¶")+COUNTIF($E119:K119,"²")+COUNTIF($E119:K119,"µ")+COUNTIF($E119:K119,1),ColLivraison)=L$6,
  VLOOKUP($E119,INDIRECT("tri!"&amp; CHAR(64+ C0Col) &amp;":"&amp; CHAR(65+C0Col)),2,FALSE)&gt;COUNTIF($E119:K119,"u")+COUNTIF($E119:K119,"t")+COUNTIF($E119:K119,"¶")+COUNTIF($E119:K119,"²")+COUNTIF($E119:K119,"µ")+COUNTIF($E119:K119,1)),
HYPERLINK("#Roadmap!C"&amp; MATCH($E119,Roadmap!$D:$D,0)+COUNTIF($E119:K119,"u")+COUNTIF($E119:K119,"t"),
     INDEX(Roadmap!$D:$K,MATCH($E119,Roadmap!$D:$D,0)+COUNTIF($E119:K119,"u")+COUNTIF($E119:K119,"t")+COUNTIF($E119:K119,"¶")+COUNTIF($E119:K119,"²")+COUNTIF($E119:K119,"µ")+COUNTIF($E119:K119,1),ColTypeEcheance)),
  IF(LEN(K119)=1,
  IF(LEN(INDEX(Roadmap!$D:$K,MATCH($E119,Roadmap!$D:$D,0)-1+COUNTIF($E119:K119,"u")+COUNTIF($E119:K119,"t")+COUNTIF($E119:K119,"¶")+COUNTIF($E119:K119,"²")+COUNTIF($E119:K119,"µ")+COUNTIF($E119:K119,1),ColDescriptionCourte))&gt;1,
HYPERLINK("#Roadmap!C"&amp; MATCH($E119,Roadmap!$D:$D,0)+COUNTIF($E119:K119,"u")+COUNTIF($E119:K119,"t")+COUNTIF($E119:K119,"¶")+COUNTIF($E119:K119,"²")+COUNTIF($E119:K119,"µ")+COUNTIF($E119:K119,1)-1,INDEX(Roadmap!$D:$K,MATCH($E119,Roadmap!$D:$D,0)-1+COUNTIF($E119:K119,"u")+COUNTIF($E119:K119,"t")+COUNTIF($E119:K119,"¶")+COUNTIF($E119:K119,"²")+COUNTIF($E119:K119,"µ")+COUNTIF($E119:K119,1),ColDescriptionCourte)),""),
  "")),"")</f>
        <v/>
      </c>
      <c r="M119" s="40" t="str">
        <f ca="1">IFERROR(IF(AND(
  INDEX(Roadmap!$D:$K,MATCH($E119,Roadmap!$D:$D,0)+COUNTIF($E119:L119,"u")+COUNTIF($E119:L119,"t")+COUNTIF($E119:L119,"¶")+COUNTIF($E119:L119,"²")+COUNTIF($E119:L119,"µ")+COUNTIF($E119:L119,1),ColLivraison)=M$6,
  VLOOKUP($E119,INDIRECT("tri!"&amp; CHAR(64+ C0Col) &amp;":"&amp; CHAR(65+C0Col)),2,FALSE)&gt;COUNTIF($E119:L119,"u")+COUNTIF($E119:L119,"t")+COUNTIF($E119:L119,"¶")+COUNTIF($E119:L119,"²")+COUNTIF($E119:L119,"µ")+COUNTIF($E119:L119,1)),
HYPERLINK("#Roadmap!C"&amp; MATCH($E119,Roadmap!$D:$D,0)+COUNTIF($E119:L119,"u")+COUNTIF($E119:L119,"t"),
     INDEX(Roadmap!$D:$K,MATCH($E119,Roadmap!$D:$D,0)+COUNTIF($E119:L119,"u")+COUNTIF($E119:L119,"t")+COUNTIF($E119:L119,"¶")+COUNTIF($E119:L119,"²")+COUNTIF($E119:L119,"µ")+COUNTIF($E119:L119,1),ColTypeEcheance)),
  IF(LEN(L119)=1,
  IF(LEN(INDEX(Roadmap!$D:$K,MATCH($E119,Roadmap!$D:$D,0)-1+COUNTIF($E119:L119,"u")+COUNTIF($E119:L119,"t")+COUNTIF($E119:L119,"¶")+COUNTIF($E119:L119,"²")+COUNTIF($E119:L119,"µ")+COUNTIF($E119:L119,1),ColDescriptionCourte))&gt;1,
HYPERLINK("#Roadmap!C"&amp; MATCH($E119,Roadmap!$D:$D,0)+COUNTIF($E119:L119,"u")+COUNTIF($E119:L119,"t")+COUNTIF($E119:L119,"¶")+COUNTIF($E119:L119,"²")+COUNTIF($E119:L119,"µ")+COUNTIF($E119:L119,1)-1,INDEX(Roadmap!$D:$K,MATCH($E119,Roadmap!$D:$D,0)-1+COUNTIF($E119:L119,"u")+COUNTIF($E119:L119,"t")+COUNTIF($E119:L119,"¶")+COUNTIF($E119:L119,"²")+COUNTIF($E119:L119,"µ")+COUNTIF($E119:L119,1),ColDescriptionCourte)),""),
  "")),"")</f>
        <v/>
      </c>
      <c r="N119" s="40" t="str">
        <f ca="1">IFERROR(IF(AND(
  INDEX(Roadmap!$D:$K,MATCH($E119,Roadmap!$D:$D,0)+COUNTIF($E119:M119,"u")+COUNTIF($E119:M119,"t")+COUNTIF($E119:M119,"¶")+COUNTIF($E119:M119,"²")+COUNTIF($E119:M119,"µ")+COUNTIF($E119:M119,1),ColLivraison)=N$6,
  VLOOKUP($E119,INDIRECT("tri!"&amp; CHAR(64+ C0Col) &amp;":"&amp; CHAR(65+C0Col)),2,FALSE)&gt;COUNTIF($E119:M119,"u")+COUNTIF($E119:M119,"t")+COUNTIF($E119:M119,"¶")+COUNTIF($E119:M119,"²")+COUNTIF($E119:M119,"µ")+COUNTIF($E119:M119,1)),
HYPERLINK("#Roadmap!C"&amp; MATCH($E119,Roadmap!$D:$D,0)+COUNTIF($E119:M119,"u")+COUNTIF($E119:M119,"t"),
     INDEX(Roadmap!$D:$K,MATCH($E119,Roadmap!$D:$D,0)+COUNTIF($E119:M119,"u")+COUNTIF($E119:M119,"t")+COUNTIF($E119:M119,"¶")+COUNTIF($E119:M119,"²")+COUNTIF($E119:M119,"µ")+COUNTIF($E119:M119,1),ColTypeEcheance)),
  IF(LEN(M119)=1,
  IF(LEN(INDEX(Roadmap!$D:$K,MATCH($E119,Roadmap!$D:$D,0)-1+COUNTIF($E119:M119,"u")+COUNTIF($E119:M119,"t")+COUNTIF($E119:M119,"¶")+COUNTIF($E119:M119,"²")+COUNTIF($E119:M119,"µ")+COUNTIF($E119:M119,1),ColDescriptionCourte))&gt;1,
HYPERLINK("#Roadmap!C"&amp; MATCH($E119,Roadmap!$D:$D,0)+COUNTIF($E119:M119,"u")+COUNTIF($E119:M119,"t")+COUNTIF($E119:M119,"¶")+COUNTIF($E119:M119,"²")+COUNTIF($E119:M119,"µ")+COUNTIF($E119:M119,1)-1,INDEX(Roadmap!$D:$K,MATCH($E119,Roadmap!$D:$D,0)-1+COUNTIF($E119:M119,"u")+COUNTIF($E119:M119,"t")+COUNTIF($E119:M119,"¶")+COUNTIF($E119:M119,"²")+COUNTIF($E119:M119,"µ")+COUNTIF($E119:M119,1),ColDescriptionCourte)),""),
  "")),"")</f>
        <v/>
      </c>
      <c r="O119" s="40" t="str">
        <f ca="1">IFERROR(IF(AND(
  INDEX(Roadmap!$D:$K,MATCH($E119,Roadmap!$D:$D,0)+COUNTIF($E119:N119,"u")+COUNTIF($E119:N119,"t")+COUNTIF($E119:N119,"¶")+COUNTIF($E119:N119,"²")+COUNTIF($E119:N119,"µ")+COUNTIF($E119:N119,1),ColLivraison)=O$6,
  VLOOKUP($E119,INDIRECT("tri!"&amp; CHAR(64+ C0Col) &amp;":"&amp; CHAR(65+C0Col)),2,FALSE)&gt;COUNTIF($E119:N119,"u")+COUNTIF($E119:N119,"t")+COUNTIF($E119:N119,"¶")+COUNTIF($E119:N119,"²")+COUNTIF($E119:N119,"µ")+COUNTIF($E119:N119,1)),
HYPERLINK("#Roadmap!C"&amp; MATCH($E119,Roadmap!$D:$D,0)+COUNTIF($E119:N119,"u")+COUNTIF($E119:N119,"t"),
     INDEX(Roadmap!$D:$K,MATCH($E119,Roadmap!$D:$D,0)+COUNTIF($E119:N119,"u")+COUNTIF($E119:N119,"t")+COUNTIF($E119:N119,"¶")+COUNTIF($E119:N119,"²")+COUNTIF($E119:N119,"µ")+COUNTIF($E119:N119,1),ColTypeEcheance)),
  IF(LEN(N119)=1,
  IF(LEN(INDEX(Roadmap!$D:$K,MATCH($E119,Roadmap!$D:$D,0)-1+COUNTIF($E119:N119,"u")+COUNTIF($E119:N119,"t")+COUNTIF($E119:N119,"¶")+COUNTIF($E119:N119,"²")+COUNTIF($E119:N119,"µ")+COUNTIF($E119:N119,1),ColDescriptionCourte))&gt;1,
HYPERLINK("#Roadmap!C"&amp; MATCH($E119,Roadmap!$D:$D,0)+COUNTIF($E119:N119,"u")+COUNTIF($E119:N119,"t")+COUNTIF($E119:N119,"¶")+COUNTIF($E119:N119,"²")+COUNTIF($E119:N119,"µ")+COUNTIF($E119:N119,1)-1,INDEX(Roadmap!$D:$K,MATCH($E119,Roadmap!$D:$D,0)-1+COUNTIF($E119:N119,"u")+COUNTIF($E119:N119,"t")+COUNTIF($E119:N119,"¶")+COUNTIF($E119:N119,"²")+COUNTIF($E119:N119,"µ")+COUNTIF($E119:N119,1),ColDescriptionCourte)),""),
  "")),"")</f>
        <v/>
      </c>
      <c r="P119" s="40" t="str">
        <f ca="1">IFERROR(IF(AND(
  INDEX(Roadmap!$D:$K,MATCH($E119,Roadmap!$D:$D,0)+COUNTIF($E119:O119,"u")+COUNTIF($E119:O119,"t")+COUNTIF($E119:O119,"¶")+COUNTIF($E119:O119,"²")+COUNTIF($E119:O119,"µ")+COUNTIF($E119:O119,1),ColLivraison)=P$6,
  VLOOKUP($E119,INDIRECT("tri!"&amp; CHAR(64+ C0Col) &amp;":"&amp; CHAR(65+C0Col)),2,FALSE)&gt;COUNTIF($E119:O119,"u")+COUNTIF($E119:O119,"t")+COUNTIF($E119:O119,"¶")+COUNTIF($E119:O119,"²")+COUNTIF($E119:O119,"µ")+COUNTIF($E119:O119,1)),
HYPERLINK("#Roadmap!C"&amp; MATCH($E119,Roadmap!$D:$D,0)+COUNTIF($E119:O119,"u")+COUNTIF($E119:O119,"t"),
     INDEX(Roadmap!$D:$K,MATCH($E119,Roadmap!$D:$D,0)+COUNTIF($E119:O119,"u")+COUNTIF($E119:O119,"t")+COUNTIF($E119:O119,"¶")+COUNTIF($E119:O119,"²")+COUNTIF($E119:O119,"µ")+COUNTIF($E119:O119,1),ColTypeEcheance)),
  IF(LEN(O119)=1,
  IF(LEN(INDEX(Roadmap!$D:$K,MATCH($E119,Roadmap!$D:$D,0)-1+COUNTIF($E119:O119,"u")+COUNTIF($E119:O119,"t")+COUNTIF($E119:O119,"¶")+COUNTIF($E119:O119,"²")+COUNTIF($E119:O119,"µ")+COUNTIF($E119:O119,1),ColDescriptionCourte))&gt;1,
HYPERLINK("#Roadmap!C"&amp; MATCH($E119,Roadmap!$D:$D,0)+COUNTIF($E119:O119,"u")+COUNTIF($E119:O119,"t")+COUNTIF($E119:O119,"¶")+COUNTIF($E119:O119,"²")+COUNTIF($E119:O119,"µ")+COUNTIF($E119:O119,1)-1,INDEX(Roadmap!$D:$K,MATCH($E119,Roadmap!$D:$D,0)-1+COUNTIF($E119:O119,"u")+COUNTIF($E119:O119,"t")+COUNTIF($E119:O119,"¶")+COUNTIF($E119:O119,"²")+COUNTIF($E119:O119,"µ")+COUNTIF($E119:O119,1),ColDescriptionCourte)),""),
  "")),"")</f>
        <v/>
      </c>
      <c r="Q119" s="40" t="str">
        <f ca="1">IFERROR(IF(AND(
  INDEX(Roadmap!$D:$K,MATCH($E119,Roadmap!$D:$D,0)+COUNTIF($E119:P119,"u")+COUNTIF($E119:P119,"t")+COUNTIF($E119:P119,"¶")+COUNTIF($E119:P119,"²")+COUNTIF($E119:P119,"µ")+COUNTIF($E119:P119,1),ColLivraison)=Q$6,
  VLOOKUP($E119,INDIRECT("tri!"&amp; CHAR(64+ C0Col) &amp;":"&amp; CHAR(65+C0Col)),2,FALSE)&gt;COUNTIF($E119:P119,"u")+COUNTIF($E119:P119,"t")+COUNTIF($E119:P119,"¶")+COUNTIF($E119:P119,"²")+COUNTIF($E119:P119,"µ")+COUNTIF($E119:P119,1)),
HYPERLINK("#Roadmap!C"&amp; MATCH($E119,Roadmap!$D:$D,0)+COUNTIF($E119:P119,"u")+COUNTIF($E119:P119,"t"),
     INDEX(Roadmap!$D:$K,MATCH($E119,Roadmap!$D:$D,0)+COUNTIF($E119:P119,"u")+COUNTIF($E119:P119,"t")+COUNTIF($E119:P119,"¶")+COUNTIF($E119:P119,"²")+COUNTIF($E119:P119,"µ")+COUNTIF($E119:P119,1),ColTypeEcheance)),
  IF(LEN(P119)=1,
  IF(LEN(INDEX(Roadmap!$D:$K,MATCH($E119,Roadmap!$D:$D,0)-1+COUNTIF($E119:P119,"u")+COUNTIF($E119:P119,"t")+COUNTIF($E119:P119,"¶")+COUNTIF($E119:P119,"²")+COUNTIF($E119:P119,"µ")+COUNTIF($E119:P119,1),ColDescriptionCourte))&gt;1,
HYPERLINK("#Roadmap!C"&amp; MATCH($E119,Roadmap!$D:$D,0)+COUNTIF($E119:P119,"u")+COUNTIF($E119:P119,"t")+COUNTIF($E119:P119,"¶")+COUNTIF($E119:P119,"²")+COUNTIF($E119:P119,"µ")+COUNTIF($E119:P119,1)-1,INDEX(Roadmap!$D:$K,MATCH($E119,Roadmap!$D:$D,0)-1+COUNTIF($E119:P119,"u")+COUNTIF($E119:P119,"t")+COUNTIF($E119:P119,"¶")+COUNTIF($E119:P119,"²")+COUNTIF($E119:P119,"µ")+COUNTIF($E119:P119,1),ColDescriptionCourte)),""),
  "")),"")</f>
        <v/>
      </c>
      <c r="R119" s="40" t="str">
        <f ca="1">IFERROR(IF(AND(
  INDEX(Roadmap!$D:$K,MATCH($E119,Roadmap!$D:$D,0)+COUNTIF($E119:Q119,"u")+COUNTIF($E119:Q119,"t")+COUNTIF($E119:Q119,"¶")+COUNTIF($E119:Q119,"²")+COUNTIF($E119:Q119,"µ")+COUNTIF($E119:Q119,1),ColLivraison)=R$6,
  VLOOKUP($E119,INDIRECT("tri!"&amp; CHAR(64+ C0Col) &amp;":"&amp; CHAR(65+C0Col)),2,FALSE)&gt;COUNTIF($E119:Q119,"u")+COUNTIF($E119:Q119,"t")+COUNTIF($E119:Q119,"¶")+COUNTIF($E119:Q119,"²")+COUNTIF($E119:Q119,"µ")+COUNTIF($E119:Q119,1)),
HYPERLINK("#Roadmap!C"&amp; MATCH($E119,Roadmap!$D:$D,0)+COUNTIF($E119:Q119,"u")+COUNTIF($E119:Q119,"t"),
     INDEX(Roadmap!$D:$K,MATCH($E119,Roadmap!$D:$D,0)+COUNTIF($E119:Q119,"u")+COUNTIF($E119:Q119,"t")+COUNTIF($E119:Q119,"¶")+COUNTIF($E119:Q119,"²")+COUNTIF($E119:Q119,"µ")+COUNTIF($E119:Q119,1),ColTypeEcheance)),
  IF(LEN(Q119)=1,
  IF(LEN(INDEX(Roadmap!$D:$K,MATCH($E119,Roadmap!$D:$D,0)-1+COUNTIF($E119:Q119,"u")+COUNTIF($E119:Q119,"t")+COUNTIF($E119:Q119,"¶")+COUNTIF($E119:Q119,"²")+COUNTIF($E119:Q119,"µ")+COUNTIF($E119:Q119,1),ColDescriptionCourte))&gt;1,
HYPERLINK("#Roadmap!C"&amp; MATCH($E119,Roadmap!$D:$D,0)+COUNTIF($E119:Q119,"u")+COUNTIF($E119:Q119,"t")+COUNTIF($E119:Q119,"¶")+COUNTIF($E119:Q119,"²")+COUNTIF($E119:Q119,"µ")+COUNTIF($E119:Q119,1)-1,INDEX(Roadmap!$D:$K,MATCH($E119,Roadmap!$D:$D,0)-1+COUNTIF($E119:Q119,"u")+COUNTIF($E119:Q119,"t")+COUNTIF($E119:Q119,"¶")+COUNTIF($E119:Q119,"²")+COUNTIF($E119:Q119,"µ")+COUNTIF($E119:Q119,1),ColDescriptionCourte)),""),
  "")),"")</f>
        <v/>
      </c>
      <c r="S119" s="40" t="str">
        <f ca="1">IFERROR(IF(AND(
  INDEX(Roadmap!$D:$K,MATCH($E119,Roadmap!$D:$D,0)+COUNTIF($E119:R119,"u")+COUNTIF($E119:R119,"t")+COUNTIF($E119:R119,"¶")+COUNTIF($E119:R119,"²")+COUNTIF($E119:R119,"µ")+COUNTIF($E119:R119,1),ColLivraison)=S$6,
  VLOOKUP($E119,INDIRECT("tri!"&amp; CHAR(64+ C0Col) &amp;":"&amp; CHAR(65+C0Col)),2,FALSE)&gt;COUNTIF($E119:R119,"u")+COUNTIF($E119:R119,"t")+COUNTIF($E119:R119,"¶")+COUNTIF($E119:R119,"²")+COUNTIF($E119:R119,"µ")+COUNTIF($E119:R119,1)),
HYPERLINK("#Roadmap!C"&amp; MATCH($E119,Roadmap!$D:$D,0)+COUNTIF($E119:R119,"u")+COUNTIF($E119:R119,"t"),
     INDEX(Roadmap!$D:$K,MATCH($E119,Roadmap!$D:$D,0)+COUNTIF($E119:R119,"u")+COUNTIF($E119:R119,"t")+COUNTIF($E119:R119,"¶")+COUNTIF($E119:R119,"²")+COUNTIF($E119:R119,"µ")+COUNTIF($E119:R119,1),ColTypeEcheance)),
  IF(LEN(R119)=1,
  IF(LEN(INDEX(Roadmap!$D:$K,MATCH($E119,Roadmap!$D:$D,0)-1+COUNTIF($E119:R119,"u")+COUNTIF($E119:R119,"t")+COUNTIF($E119:R119,"¶")+COUNTIF($E119:R119,"²")+COUNTIF($E119:R119,"µ")+COUNTIF($E119:R119,1),ColDescriptionCourte))&gt;1,
HYPERLINK("#Roadmap!C"&amp; MATCH($E119,Roadmap!$D:$D,0)+COUNTIF($E119:R119,"u")+COUNTIF($E119:R119,"t")+COUNTIF($E119:R119,"¶")+COUNTIF($E119:R119,"²")+COUNTIF($E119:R119,"µ")+COUNTIF($E119:R119,1)-1,INDEX(Roadmap!$D:$K,MATCH($E119,Roadmap!$D:$D,0)-1+COUNTIF($E119:R119,"u")+COUNTIF($E119:R119,"t")+COUNTIF($E119:R119,"¶")+COUNTIF($E119:R119,"²")+COUNTIF($E119:R119,"µ")+COUNTIF($E119:R119,1),ColDescriptionCourte)),""),
  "")),"")</f>
        <v/>
      </c>
      <c r="T119" s="40" t="str">
        <f ca="1">IFERROR(IF(AND(
  INDEX(Roadmap!$D:$K,MATCH($E119,Roadmap!$D:$D,0)+COUNTIF($E119:S119,"u")+COUNTIF($E119:S119,"t")+COUNTIF($E119:S119,"¶")+COUNTIF($E119:S119,"²")+COUNTIF($E119:S119,"µ")+COUNTIF($E119:S119,1),ColLivraison)=T$6,
  VLOOKUP($E119,INDIRECT("tri!"&amp; CHAR(64+ C0Col) &amp;":"&amp; CHAR(65+C0Col)),2,FALSE)&gt;COUNTIF($E119:S119,"u")+COUNTIF($E119:S119,"t")+COUNTIF($E119:S119,"¶")+COUNTIF($E119:S119,"²")+COUNTIF($E119:S119,"µ")+COUNTIF($E119:S119,1)),
HYPERLINK("#Roadmap!C"&amp; MATCH($E119,Roadmap!$D:$D,0)+COUNTIF($E119:S119,"u")+COUNTIF($E119:S119,"t"),
     INDEX(Roadmap!$D:$K,MATCH($E119,Roadmap!$D:$D,0)+COUNTIF($E119:S119,"u")+COUNTIF($E119:S119,"t")+COUNTIF($E119:S119,"¶")+COUNTIF($E119:S119,"²")+COUNTIF($E119:S119,"µ")+COUNTIF($E119:S119,1),ColTypeEcheance)),
  IF(LEN(S119)=1,
  IF(LEN(INDEX(Roadmap!$D:$K,MATCH($E119,Roadmap!$D:$D,0)-1+COUNTIF($E119:S119,"u")+COUNTIF($E119:S119,"t")+COUNTIF($E119:S119,"¶")+COUNTIF($E119:S119,"²")+COUNTIF($E119:S119,"µ")+COUNTIF($E119:S119,1),ColDescriptionCourte))&gt;1,
HYPERLINK("#Roadmap!C"&amp; MATCH($E119,Roadmap!$D:$D,0)+COUNTIF($E119:S119,"u")+COUNTIF($E119:S119,"t")+COUNTIF($E119:S119,"¶")+COUNTIF($E119:S119,"²")+COUNTIF($E119:S119,"µ")+COUNTIF($E119:S119,1)-1,INDEX(Roadmap!$D:$K,MATCH($E119,Roadmap!$D:$D,0)-1+COUNTIF($E119:S119,"u")+COUNTIF($E119:S119,"t")+COUNTIF($E119:S119,"¶")+COUNTIF($E119:S119,"²")+COUNTIF($E119:S119,"µ")+COUNTIF($E119:S119,1),ColDescriptionCourte)),""),
  "")),"")</f>
        <v/>
      </c>
      <c r="U119" s="40" t="str">
        <f ca="1">IFERROR(IF(AND(
  INDEX(Roadmap!$D:$K,MATCH($E119,Roadmap!$D:$D,0)+COUNTIF($E119:T119,"u")+COUNTIF($E119:T119,"t")+COUNTIF($E119:T119,"¶")+COUNTIF($E119:T119,"²")+COUNTIF($E119:T119,"µ")+COUNTIF($E119:T119,1),ColLivraison)=U$6,
  VLOOKUP($E119,INDIRECT("tri!"&amp; CHAR(64+ C0Col) &amp;":"&amp; CHAR(65+C0Col)),2,FALSE)&gt;COUNTIF($E119:T119,"u")+COUNTIF($E119:T119,"t")+COUNTIF($E119:T119,"¶")+COUNTIF($E119:T119,"²")+COUNTIF($E119:T119,"µ")+COUNTIF($E119:T119,1)),
HYPERLINK("#Roadmap!C"&amp; MATCH($E119,Roadmap!$D:$D,0)+COUNTIF($E119:T119,"u")+COUNTIF($E119:T119,"t"),
     INDEX(Roadmap!$D:$K,MATCH($E119,Roadmap!$D:$D,0)+COUNTIF($E119:T119,"u")+COUNTIF($E119:T119,"t")+COUNTIF($E119:T119,"¶")+COUNTIF($E119:T119,"²")+COUNTIF($E119:T119,"µ")+COUNTIF($E119:T119,1),ColTypeEcheance)),
  IF(LEN(T119)=1,
  IF(LEN(INDEX(Roadmap!$D:$K,MATCH($E119,Roadmap!$D:$D,0)-1+COUNTIF($E119:T119,"u")+COUNTIF($E119:T119,"t")+COUNTIF($E119:T119,"¶")+COUNTIF($E119:T119,"²")+COUNTIF($E119:T119,"µ")+COUNTIF($E119:T119,1),ColDescriptionCourte))&gt;1,
HYPERLINK("#Roadmap!C"&amp; MATCH($E119,Roadmap!$D:$D,0)+COUNTIF($E119:T119,"u")+COUNTIF($E119:T119,"t")+COUNTIF($E119:T119,"¶")+COUNTIF($E119:T119,"²")+COUNTIF($E119:T119,"µ")+COUNTIF($E119:T119,1)-1,INDEX(Roadmap!$D:$K,MATCH($E119,Roadmap!$D:$D,0)-1+COUNTIF($E119:T119,"u")+COUNTIF($E119:T119,"t")+COUNTIF($E119:T119,"¶")+COUNTIF($E119:T119,"²")+COUNTIF($E119:T119,"µ")+COUNTIF($E119:T119,1),ColDescriptionCourte)),""),
  "")),"")</f>
        <v/>
      </c>
      <c r="V119" s="40" t="str">
        <f ca="1">IFERROR(IF(AND(
  INDEX(Roadmap!$D:$K,MATCH($E119,Roadmap!$D:$D,0)+COUNTIF($E119:U119,"u")+COUNTIF($E119:U119,"t")+COUNTIF($E119:U119,"¶")+COUNTIF($E119:U119,"²")+COUNTIF($E119:U119,"µ")+COUNTIF($E119:U119,1),ColLivraison)=V$6,
  VLOOKUP($E119,INDIRECT("tri!"&amp; CHAR(64+ C0Col) &amp;":"&amp; CHAR(65+C0Col)),2,FALSE)&gt;COUNTIF($E119:U119,"u")+COUNTIF($E119:U119,"t")+COUNTIF($E119:U119,"¶")+COUNTIF($E119:U119,"²")+COUNTIF($E119:U119,"µ")+COUNTIF($E119:U119,1)),
HYPERLINK("#Roadmap!C"&amp; MATCH($E119,Roadmap!$D:$D,0)+COUNTIF($E119:U119,"u")+COUNTIF($E119:U119,"t"),
     INDEX(Roadmap!$D:$K,MATCH($E119,Roadmap!$D:$D,0)+COUNTIF($E119:U119,"u")+COUNTIF($E119:U119,"t")+COUNTIF($E119:U119,"¶")+COUNTIF($E119:U119,"²")+COUNTIF($E119:U119,"µ")+COUNTIF($E119:U119,1),ColTypeEcheance)),
  IF(LEN(U119)=1,
  IF(LEN(INDEX(Roadmap!$D:$K,MATCH($E119,Roadmap!$D:$D,0)-1+COUNTIF($E119:U119,"u")+COUNTIF($E119:U119,"t")+COUNTIF($E119:U119,"¶")+COUNTIF($E119:U119,"²")+COUNTIF($E119:U119,"µ")+COUNTIF($E119:U119,1),ColDescriptionCourte))&gt;1,
HYPERLINK("#Roadmap!C"&amp; MATCH($E119,Roadmap!$D:$D,0)+COUNTIF($E119:U119,"u")+COUNTIF($E119:U119,"t")+COUNTIF($E119:U119,"¶")+COUNTIF($E119:U119,"²")+COUNTIF($E119:U119,"µ")+COUNTIF($E119:U119,1)-1,INDEX(Roadmap!$D:$K,MATCH($E119,Roadmap!$D:$D,0)-1+COUNTIF($E119:U119,"u")+COUNTIF($E119:U119,"t")+COUNTIF($E119:U119,"¶")+COUNTIF($E119:U119,"²")+COUNTIF($E119:U119,"µ")+COUNTIF($E119:U119,1),ColDescriptionCourte)),""),
  "")),"")</f>
        <v/>
      </c>
      <c r="W119" s="40" t="str">
        <f ca="1">IFERROR(IF(AND(
  INDEX(Roadmap!$D:$K,MATCH($E119,Roadmap!$D:$D,0)+COUNTIF($E119:V119,"u")+COUNTIF($E119:V119,"t")+COUNTIF($E119:V119,"¶")+COUNTIF($E119:V119,"²")+COUNTIF($E119:V119,"µ")+COUNTIF($E119:V119,1),ColLivraison)=W$6,
  VLOOKUP($E119,INDIRECT("tri!"&amp; CHAR(64+ C0Col) &amp;":"&amp; CHAR(65+C0Col)),2,FALSE)&gt;COUNTIF($E119:V119,"u")+COUNTIF($E119:V119,"t")+COUNTIF($E119:V119,"¶")+COUNTIF($E119:V119,"²")+COUNTIF($E119:V119,"µ")+COUNTIF($E119:V119,1)),
HYPERLINK("#Roadmap!C"&amp; MATCH($E119,Roadmap!$D:$D,0)+COUNTIF($E119:V119,"u")+COUNTIF($E119:V119,"t"),
     INDEX(Roadmap!$D:$K,MATCH($E119,Roadmap!$D:$D,0)+COUNTIF($E119:V119,"u")+COUNTIF($E119:V119,"t")+COUNTIF($E119:V119,"¶")+COUNTIF($E119:V119,"²")+COUNTIF($E119:V119,"µ")+COUNTIF($E119:V119,1),ColTypeEcheance)),
  IF(LEN(V119)=1,
  IF(LEN(INDEX(Roadmap!$D:$K,MATCH($E119,Roadmap!$D:$D,0)-1+COUNTIF($E119:V119,"u")+COUNTIF($E119:V119,"t")+COUNTIF($E119:V119,"¶")+COUNTIF($E119:V119,"²")+COUNTIF($E119:V119,"µ")+COUNTIF($E119:V119,1),ColDescriptionCourte))&gt;1,
HYPERLINK("#Roadmap!C"&amp; MATCH($E119,Roadmap!$D:$D,0)+COUNTIF($E119:V119,"u")+COUNTIF($E119:V119,"t")+COUNTIF($E119:V119,"¶")+COUNTIF($E119:V119,"²")+COUNTIF($E119:V119,"µ")+COUNTIF($E119:V119,1)-1,INDEX(Roadmap!$D:$K,MATCH($E119,Roadmap!$D:$D,0)-1+COUNTIF($E119:V119,"u")+COUNTIF($E119:V119,"t")+COUNTIF($E119:V119,"¶")+COUNTIF($E119:V119,"²")+COUNTIF($E119:V119,"µ")+COUNTIF($E119:V119,1),ColDescriptionCourte)),""),
  "")),"")</f>
        <v/>
      </c>
      <c r="X119" s="40" t="str">
        <f ca="1">IFERROR(IF(AND(
  INDEX(Roadmap!$D:$K,MATCH($E119,Roadmap!$D:$D,0)+COUNTIF($E119:W119,"u")+COUNTIF($E119:W119,"t")+COUNTIF($E119:W119,"¶")+COUNTIF($E119:W119,"²")+COUNTIF($E119:W119,"µ")+COUNTIF($E119:W119,1),ColLivraison)=X$6,
  VLOOKUP($E119,INDIRECT("tri!"&amp; CHAR(64+ C0Col) &amp;":"&amp; CHAR(65+C0Col)),2,FALSE)&gt;COUNTIF($E119:W119,"u")+COUNTIF($E119:W119,"t")+COUNTIF($E119:W119,"¶")+COUNTIF($E119:W119,"²")+COUNTIF($E119:W119,"µ")+COUNTIF($E119:W119,1)),
HYPERLINK("#Roadmap!C"&amp; MATCH($E119,Roadmap!$D:$D,0)+COUNTIF($E119:W119,"u")+COUNTIF($E119:W119,"t"),
     INDEX(Roadmap!$D:$K,MATCH($E119,Roadmap!$D:$D,0)+COUNTIF($E119:W119,"u")+COUNTIF($E119:W119,"t")+COUNTIF($E119:W119,"¶")+COUNTIF($E119:W119,"²")+COUNTIF($E119:W119,"µ")+COUNTIF($E119:W119,1),ColTypeEcheance)),
  IF(LEN(W119)=1,
  IF(LEN(INDEX(Roadmap!$D:$K,MATCH($E119,Roadmap!$D:$D,0)-1+COUNTIF($E119:W119,"u")+COUNTIF($E119:W119,"t")+COUNTIF($E119:W119,"¶")+COUNTIF($E119:W119,"²")+COUNTIF($E119:W119,"µ")+COUNTIF($E119:W119,1),ColDescriptionCourte))&gt;1,
HYPERLINK("#Roadmap!C"&amp; MATCH($E119,Roadmap!$D:$D,0)+COUNTIF($E119:W119,"u")+COUNTIF($E119:W119,"t")+COUNTIF($E119:W119,"¶")+COUNTIF($E119:W119,"²")+COUNTIF($E119:W119,"µ")+COUNTIF($E119:W119,1)-1,INDEX(Roadmap!$D:$K,MATCH($E119,Roadmap!$D:$D,0)-1+COUNTIF($E119:W119,"u")+COUNTIF($E119:W119,"t")+COUNTIF($E119:W119,"¶")+COUNTIF($E119:W119,"²")+COUNTIF($E119:W119,"µ")+COUNTIF($E119:W119,1),ColDescriptionCourte)),""),
  "")),"")</f>
        <v/>
      </c>
      <c r="Y119" s="40" t="str">
        <f ca="1">IFERROR(IF(AND(
  INDEX(Roadmap!$D:$K,MATCH($E119,Roadmap!$D:$D,0)+COUNTIF($E119:X119,"u")+COUNTIF($E119:X119,"t")+COUNTIF($E119:X119,"¶")+COUNTIF($E119:X119,"²")+COUNTIF($E119:X119,"µ")+COUNTIF($E119:X119,1),ColLivraison)=Y$6,
  VLOOKUP($E119,INDIRECT("tri!"&amp; CHAR(64+ C0Col) &amp;":"&amp; CHAR(65+C0Col)),2,FALSE)&gt;COUNTIF($E119:X119,"u")+COUNTIF($E119:X119,"t")+COUNTIF($E119:X119,"¶")+COUNTIF($E119:X119,"²")+COUNTIF($E119:X119,"µ")+COUNTIF($E119:X119,1)),
HYPERLINK("#Roadmap!C"&amp; MATCH($E119,Roadmap!$D:$D,0)+COUNTIF($E119:X119,"u")+COUNTIF($E119:X119,"t"),
     INDEX(Roadmap!$D:$K,MATCH($E119,Roadmap!$D:$D,0)+COUNTIF($E119:X119,"u")+COUNTIF($E119:X119,"t")+COUNTIF($E119:X119,"¶")+COUNTIF($E119:X119,"²")+COUNTIF($E119:X119,"µ")+COUNTIF($E119:X119,1),ColTypeEcheance)),
  IF(LEN(X119)=1,
  IF(LEN(INDEX(Roadmap!$D:$K,MATCH($E119,Roadmap!$D:$D,0)-1+COUNTIF($E119:X119,"u")+COUNTIF($E119:X119,"t")+COUNTIF($E119:X119,"¶")+COUNTIF($E119:X119,"²")+COUNTIF($E119:X119,"µ")+COUNTIF($E119:X119,1),ColDescriptionCourte))&gt;1,
HYPERLINK("#Roadmap!C"&amp; MATCH($E119,Roadmap!$D:$D,0)+COUNTIF($E119:X119,"u")+COUNTIF($E119:X119,"t")+COUNTIF($E119:X119,"¶")+COUNTIF($E119:X119,"²")+COUNTIF($E119:X119,"µ")+COUNTIF($E119:X119,1)-1,INDEX(Roadmap!$D:$K,MATCH($E119,Roadmap!$D:$D,0)-1+COUNTIF($E119:X119,"u")+COUNTIF($E119:X119,"t")+COUNTIF($E119:X119,"¶")+COUNTIF($E119:X119,"²")+COUNTIF($E119:X119,"µ")+COUNTIF($E119:X119,1),ColDescriptionCourte)),""),
  "")),"")</f>
        <v/>
      </c>
      <c r="Z119" s="40" t="str">
        <f ca="1">IFERROR(IF(AND(
  INDEX(Roadmap!$D:$K,MATCH($E119,Roadmap!$D:$D,0)+COUNTIF($E119:Y119,"u")+COUNTIF($E119:Y119,"t")+COUNTIF($E119:Y119,"¶")+COUNTIF($E119:Y119,"²")+COUNTIF($E119:Y119,"µ")+COUNTIF($E119:Y119,1),ColLivraison)=Z$6,
  VLOOKUP($E119,INDIRECT("tri!"&amp; CHAR(64+ C0Col) &amp;":"&amp; CHAR(65+C0Col)),2,FALSE)&gt;COUNTIF($E119:Y119,"u")+COUNTIF($E119:Y119,"t")+COUNTIF($E119:Y119,"¶")+COUNTIF($E119:Y119,"²")+COUNTIF($E119:Y119,"µ")+COUNTIF($E119:Y119,1)),
HYPERLINK("#Roadmap!C"&amp; MATCH($E119,Roadmap!$D:$D,0)+COUNTIF($E119:Y119,"u")+COUNTIF($E119:Y119,"t"),
     INDEX(Roadmap!$D:$K,MATCH($E119,Roadmap!$D:$D,0)+COUNTIF($E119:Y119,"u")+COUNTIF($E119:Y119,"t")+COUNTIF($E119:Y119,"¶")+COUNTIF($E119:Y119,"²")+COUNTIF($E119:Y119,"µ")+COUNTIF($E119:Y119,1),ColTypeEcheance)),
  IF(LEN(Y119)=1,
  IF(LEN(INDEX(Roadmap!$D:$K,MATCH($E119,Roadmap!$D:$D,0)-1+COUNTIF($E119:Y119,"u")+COUNTIF($E119:Y119,"t")+COUNTIF($E119:Y119,"¶")+COUNTIF($E119:Y119,"²")+COUNTIF($E119:Y119,"µ")+COUNTIF($E119:Y119,1),ColDescriptionCourte))&gt;1,
HYPERLINK("#Roadmap!C"&amp; MATCH($E119,Roadmap!$D:$D,0)+COUNTIF($E119:Y119,"u")+COUNTIF($E119:Y119,"t")+COUNTIF($E119:Y119,"¶")+COUNTIF($E119:Y119,"²")+COUNTIF($E119:Y119,"µ")+COUNTIF($E119:Y119,1)-1,INDEX(Roadmap!$D:$K,MATCH($E119,Roadmap!$D:$D,0)-1+COUNTIF($E119:Y119,"u")+COUNTIF($E119:Y119,"t")+COUNTIF($E119:Y119,"¶")+COUNTIF($E119:Y119,"²")+COUNTIF($E119:Y119,"µ")+COUNTIF($E119:Y119,1),ColDescriptionCourte)),""),
  "")),"")</f>
        <v/>
      </c>
      <c r="AA119" s="40" t="str">
        <f ca="1">IFERROR(IF(AND(
  INDEX(Roadmap!$D:$K,MATCH($E119,Roadmap!$D:$D,0)+COUNTIF($E119:Z119,"u")+COUNTIF($E119:Z119,"t")+COUNTIF($E119:Z119,"¶")+COUNTIF($E119:Z119,"²")+COUNTIF($E119:Z119,"µ")+COUNTIF($E119:Z119,1),ColLivraison)=AA$6,
  VLOOKUP($E119,INDIRECT("tri!"&amp; CHAR(64+ C0Col) &amp;":"&amp; CHAR(65+C0Col)),2,FALSE)&gt;COUNTIF($E119:Z119,"u")+COUNTIF($E119:Z119,"t")+COUNTIF($E119:Z119,"¶")+COUNTIF($E119:Z119,"²")+COUNTIF($E119:Z119,"µ")+COUNTIF($E119:Z119,1)),
HYPERLINK("#Roadmap!C"&amp; MATCH($E119,Roadmap!$D:$D,0)+COUNTIF($E119:Z119,"u")+COUNTIF($E119:Z119,"t"),
     INDEX(Roadmap!$D:$K,MATCH($E119,Roadmap!$D:$D,0)+COUNTIF($E119:Z119,"u")+COUNTIF($E119:Z119,"t")+COUNTIF($E119:Z119,"¶")+COUNTIF($E119:Z119,"²")+COUNTIF($E119:Z119,"µ")+COUNTIF($E119:Z119,1),ColTypeEcheance)),
  IF(LEN(Z119)=1,
  IF(LEN(INDEX(Roadmap!$D:$K,MATCH($E119,Roadmap!$D:$D,0)-1+COUNTIF($E119:Z119,"u")+COUNTIF($E119:Z119,"t")+COUNTIF($E119:Z119,"¶")+COUNTIF($E119:Z119,"²")+COUNTIF($E119:Z119,"µ")+COUNTIF($E119:Z119,1),ColDescriptionCourte))&gt;1,
HYPERLINK("#Roadmap!C"&amp; MATCH($E119,Roadmap!$D:$D,0)+COUNTIF($E119:Z119,"u")+COUNTIF($E119:Z119,"t")+COUNTIF($E119:Z119,"¶")+COUNTIF($E119:Z119,"²")+COUNTIF($E119:Z119,"µ")+COUNTIF($E119:Z119,1)-1,INDEX(Roadmap!$D:$K,MATCH($E119,Roadmap!$D:$D,0)-1+COUNTIF($E119:Z119,"u")+COUNTIF($E119:Z119,"t")+COUNTIF($E119:Z119,"¶")+COUNTIF($E119:Z119,"²")+COUNTIF($E119:Z119,"µ")+COUNTIF($E119:Z119,1),ColDescriptionCourte)),""),
  "")),"")</f>
        <v/>
      </c>
      <c r="AB119" s="40" t="str">
        <f ca="1">IFERROR(IF(AND(
  INDEX(Roadmap!$D:$K,MATCH($E119,Roadmap!$D:$D,0)+COUNTIF($E119:AA119,"u")+COUNTIF($E119:AA119,"t")+COUNTIF($E119:AA119,"¶")+COUNTIF($E119:AA119,"²")+COUNTIF($E119:AA119,"µ")+COUNTIF($E119:AA119,1),ColLivraison)=AB$6,
  VLOOKUP($E119,INDIRECT("tri!"&amp; CHAR(64+ C0Col) &amp;":"&amp; CHAR(65+C0Col)),2,FALSE)&gt;COUNTIF($E119:AA119,"u")+COUNTIF($E119:AA119,"t")+COUNTIF($E119:AA119,"¶")+COUNTIF($E119:AA119,"²")+COUNTIF($E119:AA119,"µ")+COUNTIF($E119:AA119,1)),
HYPERLINK("#Roadmap!C"&amp; MATCH($E119,Roadmap!$D:$D,0)+COUNTIF($E119:AA119,"u")+COUNTIF($E119:AA119,"t"),
     INDEX(Roadmap!$D:$K,MATCH($E119,Roadmap!$D:$D,0)+COUNTIF($E119:AA119,"u")+COUNTIF($E119:AA119,"t")+COUNTIF($E119:AA119,"¶")+COUNTIF($E119:AA119,"²")+COUNTIF($E119:AA119,"µ")+COUNTIF($E119:AA119,1),ColTypeEcheance)),
  IF(LEN(AA119)=1,
  IF(LEN(INDEX(Roadmap!$D:$K,MATCH($E119,Roadmap!$D:$D,0)-1+COUNTIF($E119:AA119,"u")+COUNTIF($E119:AA119,"t")+COUNTIF($E119:AA119,"¶")+COUNTIF($E119:AA119,"²")+COUNTIF($E119:AA119,"µ")+COUNTIF($E119:AA119,1),ColDescriptionCourte))&gt;1,
HYPERLINK("#Roadmap!C"&amp; MATCH($E119,Roadmap!$D:$D,0)+COUNTIF($E119:AA119,"u")+COUNTIF($E119:AA119,"t")+COUNTIF($E119:AA119,"¶")+COUNTIF($E119:AA119,"²")+COUNTIF($E119:AA119,"µ")+COUNTIF($E119:AA119,1)-1,INDEX(Roadmap!$D:$K,MATCH($E119,Roadmap!$D:$D,0)-1+COUNTIF($E119:AA119,"u")+COUNTIF($E119:AA119,"t")+COUNTIF($E119:AA119,"¶")+COUNTIF($E119:AA119,"²")+COUNTIF($E119:AA119,"µ")+COUNTIF($E119:AA119,1),ColDescriptionCourte)),""),
  "")),"")</f>
        <v/>
      </c>
      <c r="AC119" s="40" t="str">
        <f ca="1">IFERROR(IF(AND(
  INDEX(Roadmap!$D:$K,MATCH($E119,Roadmap!$D:$D,0)+COUNTIF($E119:AB119,"u")+COUNTIF($E119:AB119,"t")+COUNTIF($E119:AB119,"¶")+COUNTIF($E119:AB119,"²")+COUNTIF($E119:AB119,"µ")+COUNTIF($E119:AB119,1),ColLivraison)=AC$6,
  VLOOKUP($E119,INDIRECT("tri!"&amp; CHAR(64+ C0Col) &amp;":"&amp; CHAR(65+C0Col)),2,FALSE)&gt;COUNTIF($E119:AB119,"u")+COUNTIF($E119:AB119,"t")+COUNTIF($E119:AB119,"¶")+COUNTIF($E119:AB119,"²")+COUNTIF($E119:AB119,"µ")+COUNTIF($E119:AB119,1)),
HYPERLINK("#Roadmap!C"&amp; MATCH($E119,Roadmap!$D:$D,0)+COUNTIF($E119:AB119,"u")+COUNTIF($E119:AB119,"t"),
     INDEX(Roadmap!$D:$K,MATCH($E119,Roadmap!$D:$D,0)+COUNTIF($E119:AB119,"u")+COUNTIF($E119:AB119,"t")+COUNTIF($E119:AB119,"¶")+COUNTIF($E119:AB119,"²")+COUNTIF($E119:AB119,"µ")+COUNTIF($E119:AB119,1),ColTypeEcheance)),
  IF(LEN(AB119)=1,
  IF(LEN(INDEX(Roadmap!$D:$K,MATCH($E119,Roadmap!$D:$D,0)-1+COUNTIF($E119:AB119,"u")+COUNTIF($E119:AB119,"t")+COUNTIF($E119:AB119,"¶")+COUNTIF($E119:AB119,"²")+COUNTIF($E119:AB119,"µ")+COUNTIF($E119:AB119,1),ColDescriptionCourte))&gt;1,
HYPERLINK("#Roadmap!C"&amp; MATCH($E119,Roadmap!$D:$D,0)+COUNTIF($E119:AB119,"u")+COUNTIF($E119:AB119,"t")+COUNTIF($E119:AB119,"¶")+COUNTIF($E119:AB119,"²")+COUNTIF($E119:AB119,"µ")+COUNTIF($E119:AB119,1)-1,INDEX(Roadmap!$D:$K,MATCH($E119,Roadmap!$D:$D,0)-1+COUNTIF($E119:AB119,"u")+COUNTIF($E119:AB119,"t")+COUNTIF($E119:AB119,"¶")+COUNTIF($E119:AB119,"²")+COUNTIF($E119:AB119,"µ")+COUNTIF($E119:AB119,1),ColDescriptionCourte)),""),
  "")),"")</f>
        <v/>
      </c>
      <c r="AD119" s="40" t="str">
        <f ca="1">IFERROR(IF(AND(
  INDEX(Roadmap!$D:$K,MATCH($E119,Roadmap!$D:$D,0)+COUNTIF($E119:AC119,"u")+COUNTIF($E119:AC119,"t")+COUNTIF($E119:AC119,"¶")+COUNTIF($E119:AC119,"²")+COUNTIF($E119:AC119,"µ")+COUNTIF($E119:AC119,1),ColLivraison)=AD$6,
  VLOOKUP($E119,INDIRECT("tri!"&amp; CHAR(64+ C0Col) &amp;":"&amp; CHAR(65+C0Col)),2,FALSE)&gt;COUNTIF($E119:AC119,"u")+COUNTIF($E119:AC119,"t")+COUNTIF($E119:AC119,"¶")+COUNTIF($E119:AC119,"²")+COUNTIF($E119:AC119,"µ")+COUNTIF($E119:AC119,1)),
HYPERLINK("#Roadmap!C"&amp; MATCH($E119,Roadmap!$D:$D,0)+COUNTIF($E119:AC119,"u")+COUNTIF($E119:AC119,"t"),
     INDEX(Roadmap!$D:$K,MATCH($E119,Roadmap!$D:$D,0)+COUNTIF($E119:AC119,"u")+COUNTIF($E119:AC119,"t")+COUNTIF($E119:AC119,"¶")+COUNTIF($E119:AC119,"²")+COUNTIF($E119:AC119,"µ")+COUNTIF($E119:AC119,1),ColTypeEcheance)),
  IF(LEN(AC119)=1,
  IF(LEN(INDEX(Roadmap!$D:$K,MATCH($E119,Roadmap!$D:$D,0)-1+COUNTIF($E119:AC119,"u")+COUNTIF($E119:AC119,"t")+COUNTIF($E119:AC119,"¶")+COUNTIF($E119:AC119,"²")+COUNTIF($E119:AC119,"µ")+COUNTIF($E119:AC119,1),ColDescriptionCourte))&gt;1,
HYPERLINK("#Roadmap!C"&amp; MATCH($E119,Roadmap!$D:$D,0)+COUNTIF($E119:AC119,"u")+COUNTIF($E119:AC119,"t")+COUNTIF($E119:AC119,"¶")+COUNTIF($E119:AC119,"²")+COUNTIF($E119:AC119,"µ")+COUNTIF($E119:AC119,1)-1,INDEX(Roadmap!$D:$K,MATCH($E119,Roadmap!$D:$D,0)-1+COUNTIF($E119:AC119,"u")+COUNTIF($E119:AC119,"t")+COUNTIF($E119:AC119,"¶")+COUNTIF($E119:AC119,"²")+COUNTIF($E119:AC119,"µ")+COUNTIF($E119:AC119,1),ColDescriptionCourte)),""),
  "")),"")</f>
        <v/>
      </c>
      <c r="AE119" s="40" t="str">
        <f ca="1">IFERROR(IF(AND(
  INDEX(Roadmap!$D:$K,MATCH($E119,Roadmap!$D:$D,0)+COUNTIF($E119:AD119,"u")+COUNTIF($E119:AD119,"t")+COUNTIF($E119:AD119,"¶")+COUNTIF($E119:AD119,"²")+COUNTIF($E119:AD119,"µ")+COUNTIF($E119:AD119,1),ColLivraison)=AE$6,
  VLOOKUP($E119,INDIRECT("tri!"&amp; CHAR(64+ C0Col) &amp;":"&amp; CHAR(65+C0Col)),2,FALSE)&gt;COUNTIF($E119:AD119,"u")+COUNTIF($E119:AD119,"t")+COUNTIF($E119:AD119,"¶")+COUNTIF($E119:AD119,"²")+COUNTIF($E119:AD119,"µ")+COUNTIF($E119:AD119,1)),
HYPERLINK("#Roadmap!C"&amp; MATCH($E119,Roadmap!$D:$D,0)+COUNTIF($E119:AD119,"u")+COUNTIF($E119:AD119,"t"),
     INDEX(Roadmap!$D:$K,MATCH($E119,Roadmap!$D:$D,0)+COUNTIF($E119:AD119,"u")+COUNTIF($E119:AD119,"t")+COUNTIF($E119:AD119,"¶")+COUNTIF($E119:AD119,"²")+COUNTIF($E119:AD119,"µ")+COUNTIF($E119:AD119,1),ColTypeEcheance)),
  IF(LEN(AD119)=1,
  IF(LEN(INDEX(Roadmap!$D:$K,MATCH($E119,Roadmap!$D:$D,0)-1+COUNTIF($E119:AD119,"u")+COUNTIF($E119:AD119,"t")+COUNTIF($E119:AD119,"¶")+COUNTIF($E119:AD119,"²")+COUNTIF($E119:AD119,"µ")+COUNTIF($E119:AD119,1),ColDescriptionCourte))&gt;1,
HYPERLINK("#Roadmap!C"&amp; MATCH($E119,Roadmap!$D:$D,0)+COUNTIF($E119:AD119,"u")+COUNTIF($E119:AD119,"t")+COUNTIF($E119:AD119,"¶")+COUNTIF($E119:AD119,"²")+COUNTIF($E119:AD119,"µ")+COUNTIF($E119:AD119,1)-1,INDEX(Roadmap!$D:$K,MATCH($E119,Roadmap!$D:$D,0)-1+COUNTIF($E119:AD119,"u")+COUNTIF($E119:AD119,"t")+COUNTIF($E119:AD119,"¶")+COUNTIF($E119:AD119,"²")+COUNTIF($E119:AD119,"µ")+COUNTIF($E119:AD119,1),ColDescriptionCourte)),""),
  "")),"")</f>
        <v/>
      </c>
      <c r="AF119" s="40" t="str">
        <f ca="1">IFERROR(IF(AND(
  INDEX(Roadmap!$D:$K,MATCH($E119,Roadmap!$D:$D,0)+COUNTIF($E119:AE119,"u")+COUNTIF($E119:AE119,"t")+COUNTIF($E119:AE119,"¶")+COUNTIF($E119:AE119,"²")+COUNTIF($E119:AE119,"µ")+COUNTIF($E119:AE119,1),ColLivraison)=AF$6,
  VLOOKUP($E119,INDIRECT("tri!"&amp; CHAR(64+ C0Col) &amp;":"&amp; CHAR(65+C0Col)),2,FALSE)&gt;COUNTIF($E119:AE119,"u")+COUNTIF($E119:AE119,"t")+COUNTIF($E119:AE119,"¶")+COUNTIF($E119:AE119,"²")+COUNTIF($E119:AE119,"µ")+COUNTIF($E119:AE119,1)),
HYPERLINK("#Roadmap!C"&amp; MATCH($E119,Roadmap!$D:$D,0)+COUNTIF($E119:AE119,"u")+COUNTIF($E119:AE119,"t"),
     INDEX(Roadmap!$D:$K,MATCH($E119,Roadmap!$D:$D,0)+COUNTIF($E119:AE119,"u")+COUNTIF($E119:AE119,"t")+COUNTIF($E119:AE119,"¶")+COUNTIF($E119:AE119,"²")+COUNTIF($E119:AE119,"µ")+COUNTIF($E119:AE119,1),ColTypeEcheance)),
  IF(LEN(AE119)=1,
  IF(LEN(INDEX(Roadmap!$D:$K,MATCH($E119,Roadmap!$D:$D,0)-1+COUNTIF($E119:AE119,"u")+COUNTIF($E119:AE119,"t")+COUNTIF($E119:AE119,"¶")+COUNTIF($E119:AE119,"²")+COUNTIF($E119:AE119,"µ")+COUNTIF($E119:AE119,1),ColDescriptionCourte))&gt;1,
HYPERLINK("#Roadmap!C"&amp; MATCH($E119,Roadmap!$D:$D,0)+COUNTIF($E119:AE119,"u")+COUNTIF($E119:AE119,"t")+COUNTIF($E119:AE119,"¶")+COUNTIF($E119:AE119,"²")+COUNTIF($E119:AE119,"µ")+COUNTIF($E119:AE119,1)-1,INDEX(Roadmap!$D:$K,MATCH($E119,Roadmap!$D:$D,0)-1+COUNTIF($E119:AE119,"u")+COUNTIF($E119:AE119,"t")+COUNTIF($E119:AE119,"¶")+COUNTIF($E119:AE119,"²")+COUNTIF($E119:AE119,"µ")+COUNTIF($E119:AE119,1),ColDescriptionCourte)),""),
  "")),"")</f>
        <v/>
      </c>
      <c r="AG119" s="40" t="str">
        <f ca="1">IFERROR(IF(AND(
  INDEX(Roadmap!$D:$K,MATCH($E119,Roadmap!$D:$D,0)+COUNTIF($E119:AF119,"u")+COUNTIF($E119:AF119,"t")+COUNTIF($E119:AF119,"¶")+COUNTIF($E119:AF119,"²")+COUNTIF($E119:AF119,"µ")+COUNTIF($E119:AF119,1),ColLivraison)=AG$6,
  VLOOKUP($E119,INDIRECT("tri!"&amp; CHAR(64+ C0Col) &amp;":"&amp; CHAR(65+C0Col)),2,FALSE)&gt;COUNTIF($E119:AF119,"u")+COUNTIF($E119:AF119,"t")+COUNTIF($E119:AF119,"¶")+COUNTIF($E119:AF119,"²")+COUNTIF($E119:AF119,"µ")+COUNTIF($E119:AF119,1)),
HYPERLINK("#Roadmap!C"&amp; MATCH($E119,Roadmap!$D:$D,0)+COUNTIF($E119:AF119,"u")+COUNTIF($E119:AF119,"t"),
     INDEX(Roadmap!$D:$K,MATCH($E119,Roadmap!$D:$D,0)+COUNTIF($E119:AF119,"u")+COUNTIF($E119:AF119,"t")+COUNTIF($E119:AF119,"¶")+COUNTIF($E119:AF119,"²")+COUNTIF($E119:AF119,"µ")+COUNTIF($E119:AF119,1),ColTypeEcheance)),
  IF(LEN(AF119)=1,
  IF(LEN(INDEX(Roadmap!$D:$K,MATCH($E119,Roadmap!$D:$D,0)-1+COUNTIF($E119:AF119,"u")+COUNTIF($E119:AF119,"t")+COUNTIF($E119:AF119,"¶")+COUNTIF($E119:AF119,"²")+COUNTIF($E119:AF119,"µ")+COUNTIF($E119:AF119,1),ColDescriptionCourte))&gt;1,
HYPERLINK("#Roadmap!C"&amp; MATCH($E119,Roadmap!$D:$D,0)+COUNTIF($E119:AF119,"u")+COUNTIF($E119:AF119,"t")+COUNTIF($E119:AF119,"¶")+COUNTIF($E119:AF119,"²")+COUNTIF($E119:AF119,"µ")+COUNTIF($E119:AF119,1)-1,INDEX(Roadmap!$D:$K,MATCH($E119,Roadmap!$D:$D,0)-1+COUNTIF($E119:AF119,"u")+COUNTIF($E119:AF119,"t")+COUNTIF($E119:AF119,"¶")+COUNTIF($E119:AF119,"²")+COUNTIF($E119:AF119,"µ")+COUNTIF($E119:AF119,1),ColDescriptionCourte)),""),
  "")),"")</f>
        <v/>
      </c>
      <c r="AH119" s="40" t="str">
        <f ca="1">IFERROR(IF(AND(
  INDEX(Roadmap!$D:$K,MATCH($E119,Roadmap!$D:$D,0)+COUNTIF($E119:AG119,"u")+COUNTIF($E119:AG119,"t")+COUNTIF($E119:AG119,1),ColLivraison)=AH$6,
  VLOOKUP($E119,INDIRECT("tri!"&amp; CHAR(64+ C0Col) &amp;":"&amp; CHAR(65+C0Col)),2,FALSE)&gt;COUNTIF($E119:AG119,"u")+COUNTIF($E119:AG119,"t")+COUNTIF($E119:AG119,1)),
HYPERLINK("#Roadmap!C"&amp; MATCH($E119,Roadmap!$D:$D,0)+COUNTIF($E119:AG119,"u")+COUNTIF($E119:AG119,"t"),
     INDEX(Roadmap!$D:$K,MATCH($E119,Roadmap!$D:$D,0)+COUNTIF($E119:AG119,"u")+COUNTIF($E119:AG119,"t")+COUNTIF($E119:AG119,1),ColTypeEcheance)),
  IF(OR(AG119="u",AG119="t",AG119=1),
  IF(LEN(INDEX(Roadmap!$D:$K,MATCH($E119,Roadmap!$D:$D,0)-1+COUNTIF($E119:AG119,"u")+COUNTIF($E119:AG119,"t")+COUNTIF($E119:AG119,1),ColDescriptionCourte))&gt;1,
HYPERLINK("#Roadmap!C"&amp; MATCH($E119,Roadmap!$D:$D,0)+COUNTIF($E119:AG119,"u")+COUNTIF($E119:AG119,"t")+COUNTIF($E119:AG119,1)-1,INDEX(Roadmap!$D:$K,MATCH($E119,Roadmap!$D:$D,0)-1+COUNTIF($E119:AG119,"u")+COUNTIF($E119:AG119,"t")+COUNTIF($E119:AG119,1),ColDescriptionCourte)),""),
  "")),"")</f>
        <v/>
      </c>
      <c r="AI119" s="40"/>
      <c r="AJ119" s="40"/>
      <c r="AK119" s="40"/>
      <c r="AL119" s="40"/>
      <c r="AM119" s="40"/>
    </row>
    <row r="120" spans="4:39" ht="14.1" customHeight="1">
      <c r="D120" s="20" t="str">
        <f t="shared" ca="1" si="29"/>
        <v/>
      </c>
      <c r="E120" s="53" t="str">
        <f t="shared" ca="1" si="30"/>
        <v/>
      </c>
      <c r="F120" s="39" t="str">
        <f ca="1">IFERROR(IF(AND(
  INDEX(Roadmap!$D:$K,MATCH($E120,Roadmap!$D:$D,0)+COUNTIF($E120:E120,"u")+COUNTIF($E120:E120,"t")+COUNTIF($E120:E120,"¶")+COUNTIF($E120:E120,"²")+COUNTIF($E120:E120,"µ")+COUNTIF($E120:E120,1),ColLivraison)=F$6,
  VLOOKUP($E120,INDIRECT("tri!"&amp; CHAR(64+ C0Col) &amp;":"&amp; CHAR(65+C0Col)),2,FALSE)&gt;COUNTIF($E120:E120,"u")+COUNTIF($E120:E120,"t")+COUNTIF($E120:E120,"¶")+COUNTIF($E120:E120,"²")+COUNTIF($E120:E120,"µ")+COUNTIF($E120:E120,1)),
HYPERLINK("#Roadmap!C"&amp; MATCH($E120,Roadmap!$D:$D,0)+COUNTIF($E120:E120,"u")+COUNTIF($E120:E120,"t"),
     INDEX(Roadmap!$D:$K,MATCH($E120,Roadmap!$D:$D,0)+COUNTIF($E120:E120,"u")+COUNTIF($E120:E120,"t")+COUNTIF($E120:E120,"¶")+COUNTIF($E120:E120,"²")+COUNTIF($E120:E120,"µ")+COUNTIF($E120:E120,1),ColTypeEcheance)),
  IF(LEN(E120)=1,
  IF(LEN(INDEX(Roadmap!$D:$K,MATCH($E120,Roadmap!$D:$D,0)-1+COUNTIF($E120:E120,"u")+COUNTIF($E120:E120,"t")+COUNTIF($E120:E120,"¶")+COUNTIF($E120:E120,"²")+COUNTIF($E120:E120,"µ")+COUNTIF($E120:E120,1),ColDescriptionCourte))&gt;1,
HYPERLINK("#Roadmap!C"&amp; MATCH($E120,Roadmap!$D:$D,0)+COUNTIF($E120:E120,"u")+COUNTIF($E120:E120,"t")+COUNTIF($E120:E120,"¶")+COUNTIF($E120:E120,"²")+COUNTIF($E120:E120,"µ")+COUNTIF($E120:E120,1)-1,INDEX(Roadmap!$D:$K,MATCH($E120,Roadmap!$D:$D,0)-1+COUNTIF($E120:E120,"u")+COUNTIF($E120:E120,"t")+COUNTIF($E120:E120,"¶")+COUNTIF($E120:E120,"²")+COUNTIF($E120:E120,"µ")+COUNTIF($E120:E120,1),ColDescriptionCourte)),""),
  "")),"")</f>
        <v/>
      </c>
      <c r="G120" s="40" t="str">
        <f ca="1">IFERROR(IF(AND(
  INDEX(Roadmap!$D:$K,MATCH($E120,Roadmap!$D:$D,0)+COUNTIF($E120:F120,"u")+COUNTIF($E120:F120,"t")+COUNTIF($E120:F120,"¶")+COUNTIF($E120:F120,"²")+COUNTIF($E120:F120,"µ")+COUNTIF($E120:F120,1),ColLivraison)=G$6,
  VLOOKUP($E120,INDIRECT("tri!"&amp; CHAR(64+ C0Col) &amp;":"&amp; CHAR(65+C0Col)),2,FALSE)&gt;COUNTIF($E120:F120,"u")+COUNTIF($E120:F120,"t")+COUNTIF($E120:F120,"¶")+COUNTIF($E120:F120,"²")+COUNTIF($E120:F120,"µ")+COUNTIF($E120:F120,1)),
HYPERLINK("#Roadmap!C"&amp; MATCH($E120,Roadmap!$D:$D,0)+COUNTIF($E120:F120,"u")+COUNTIF($E120:F120,"t"),
     INDEX(Roadmap!$D:$K,MATCH($E120,Roadmap!$D:$D,0)+COUNTIF($E120:F120,"u")+COUNTIF($E120:F120,"t")+COUNTIF($E120:F120,"¶")+COUNTIF($E120:F120,"²")+COUNTIF($E120:F120,"µ")+COUNTIF($E120:F120,1),ColTypeEcheance)),
  IF(LEN(F120)=1,
  IF(LEN(INDEX(Roadmap!$D:$K,MATCH($E120,Roadmap!$D:$D,0)-1+COUNTIF($E120:F120,"u")+COUNTIF($E120:F120,"t")+COUNTIF($E120:F120,"¶")+COUNTIF($E120:F120,"²")+COUNTIF($E120:F120,"µ")+COUNTIF($E120:F120,1),ColDescriptionCourte))&gt;1,
HYPERLINK("#Roadmap!C"&amp; MATCH($E120,Roadmap!$D:$D,0)+COUNTIF($E120:F120,"u")+COUNTIF($E120:F120,"t")+COUNTIF($E120:F120,"¶")+COUNTIF($E120:F120,"²")+COUNTIF($E120:F120,"µ")+COUNTIF($E120:F120,1)-1,INDEX(Roadmap!$D:$K,MATCH($E120,Roadmap!$D:$D,0)-1+COUNTIF($E120:F120,"u")+COUNTIF($E120:F120,"t")+COUNTIF($E120:F120,"¶")+COUNTIF($E120:F120,"²")+COUNTIF($E120:F120,"µ")+COUNTIF($E120:F120,1),ColDescriptionCourte)),""),
  "")),"")</f>
        <v/>
      </c>
      <c r="H120" s="40" t="str">
        <f ca="1">IFERROR(IF(AND(
  INDEX(Roadmap!$D:$K,MATCH($E120,Roadmap!$D:$D,0)+COUNTIF($E120:G120,"u")+COUNTIF($E120:G120,"t")+COUNTIF($E120:G120,"¶")+COUNTIF($E120:G120,"²")+COUNTIF($E120:G120,"µ")+COUNTIF($E120:G120,1),ColLivraison)=H$6,
  VLOOKUP($E120,INDIRECT("tri!"&amp; CHAR(64+ C0Col) &amp;":"&amp; CHAR(65+C0Col)),2,FALSE)&gt;COUNTIF($E120:G120,"u")+COUNTIF($E120:G120,"t")+COUNTIF($E120:G120,"¶")+COUNTIF($E120:G120,"²")+COUNTIF($E120:G120,"µ")+COUNTIF($E120:G120,1)),
HYPERLINK("#Roadmap!C"&amp; MATCH($E120,Roadmap!$D:$D,0)+COUNTIF($E120:G120,"u")+COUNTIF($E120:G120,"t"),
     INDEX(Roadmap!$D:$K,MATCH($E120,Roadmap!$D:$D,0)+COUNTIF($E120:G120,"u")+COUNTIF($E120:G120,"t")+COUNTIF($E120:G120,"¶")+COUNTIF($E120:G120,"²")+COUNTIF($E120:G120,"µ")+COUNTIF($E120:G120,1),ColTypeEcheance)),
  IF(LEN(G120)=1,
  IF(LEN(INDEX(Roadmap!$D:$K,MATCH($E120,Roadmap!$D:$D,0)-1+COUNTIF($E120:G120,"u")+COUNTIF($E120:G120,"t")+COUNTIF($E120:G120,"¶")+COUNTIF($E120:G120,"²")+COUNTIF($E120:G120,"µ")+COUNTIF($E120:G120,1),ColDescriptionCourte))&gt;1,
HYPERLINK("#Roadmap!C"&amp; MATCH($E120,Roadmap!$D:$D,0)+COUNTIF($E120:G120,"u")+COUNTIF($E120:G120,"t")+COUNTIF($E120:G120,"¶")+COUNTIF($E120:G120,"²")+COUNTIF($E120:G120,"µ")+COUNTIF($E120:G120,1)-1,INDEX(Roadmap!$D:$K,MATCH($E120,Roadmap!$D:$D,0)-1+COUNTIF($E120:G120,"u")+COUNTIF($E120:G120,"t")+COUNTIF($E120:G120,"¶")+COUNTIF($E120:G120,"²")+COUNTIF($E120:G120,"µ")+COUNTIF($E120:G120,1),ColDescriptionCourte)),""),
  "")),"")</f>
        <v/>
      </c>
      <c r="I120" s="40" t="str">
        <f ca="1">IFERROR(IF(AND(
  INDEX(Roadmap!$D:$K,MATCH($E120,Roadmap!$D:$D,0)+COUNTIF($E120:H120,"u")+COUNTIF($E120:H120,"t")+COUNTIF($E120:H120,"¶")+COUNTIF($E120:H120,"²")+COUNTIF($E120:H120,"µ")+COUNTIF($E120:H120,1),ColLivraison)=I$6,
  VLOOKUP($E120,INDIRECT("tri!"&amp; CHAR(64+ C0Col) &amp;":"&amp; CHAR(65+C0Col)),2,FALSE)&gt;COUNTIF($E120:H120,"u")+COUNTIF($E120:H120,"t")+COUNTIF($E120:H120,"¶")+COUNTIF($E120:H120,"²")+COUNTIF($E120:H120,"µ")+COUNTIF($E120:H120,1)),
HYPERLINK("#Roadmap!C"&amp; MATCH($E120,Roadmap!$D:$D,0)+COUNTIF($E120:H120,"u")+COUNTIF($E120:H120,"t"),
     INDEX(Roadmap!$D:$K,MATCH($E120,Roadmap!$D:$D,0)+COUNTIF($E120:H120,"u")+COUNTIF($E120:H120,"t")+COUNTIF($E120:H120,"¶")+COUNTIF($E120:H120,"²")+COUNTIF($E120:H120,"µ")+COUNTIF($E120:H120,1),ColTypeEcheance)),
  IF(LEN(H120)=1,
  IF(LEN(INDEX(Roadmap!$D:$K,MATCH($E120,Roadmap!$D:$D,0)-1+COUNTIF($E120:H120,"u")+COUNTIF($E120:H120,"t")+COUNTIF($E120:H120,"¶")+COUNTIF($E120:H120,"²")+COUNTIF($E120:H120,"µ")+COUNTIF($E120:H120,1),ColDescriptionCourte))&gt;1,
HYPERLINK("#Roadmap!C"&amp; MATCH($E120,Roadmap!$D:$D,0)+COUNTIF($E120:H120,"u")+COUNTIF($E120:H120,"t")+COUNTIF($E120:H120,"¶")+COUNTIF($E120:H120,"²")+COUNTIF($E120:H120,"µ")+COUNTIF($E120:H120,1)-1,INDEX(Roadmap!$D:$K,MATCH($E120,Roadmap!$D:$D,0)-1+COUNTIF($E120:H120,"u")+COUNTIF($E120:H120,"t")+COUNTIF($E120:H120,"¶")+COUNTIF($E120:H120,"²")+COUNTIF($E120:H120,"µ")+COUNTIF($E120:H120,1),ColDescriptionCourte)),""),
  "")),"")</f>
        <v/>
      </c>
      <c r="J120" s="40" t="str">
        <f ca="1">IFERROR(IF(AND(
  INDEX(Roadmap!$D:$K,MATCH($E120,Roadmap!$D:$D,0)+COUNTIF($E120:I120,"u")+COUNTIF($E120:I120,"t")+COUNTIF($E120:I120,"¶")+COUNTIF($E120:I120,"²")+COUNTIF($E120:I120,"µ")+COUNTIF($E120:I120,1),ColLivraison)=J$6,
  VLOOKUP($E120,INDIRECT("tri!"&amp; CHAR(64+ C0Col) &amp;":"&amp; CHAR(65+C0Col)),2,FALSE)&gt;COUNTIF($E120:I120,"u")+COUNTIF($E120:I120,"t")+COUNTIF($E120:I120,"¶")+COUNTIF($E120:I120,"²")+COUNTIF($E120:I120,"µ")+COUNTIF($E120:I120,1)),
HYPERLINK("#Roadmap!C"&amp; MATCH($E120,Roadmap!$D:$D,0)+COUNTIF($E120:I120,"u")+COUNTIF($E120:I120,"t"),
     INDEX(Roadmap!$D:$K,MATCH($E120,Roadmap!$D:$D,0)+COUNTIF($E120:I120,"u")+COUNTIF($E120:I120,"t")+COUNTIF($E120:I120,"¶")+COUNTIF($E120:I120,"²")+COUNTIF($E120:I120,"µ")+COUNTIF($E120:I120,1),ColTypeEcheance)),
  IF(LEN(I120)=1,
  IF(LEN(INDEX(Roadmap!$D:$K,MATCH($E120,Roadmap!$D:$D,0)-1+COUNTIF($E120:I120,"u")+COUNTIF($E120:I120,"t")+COUNTIF($E120:I120,"¶")+COUNTIF($E120:I120,"²")+COUNTIF($E120:I120,"µ")+COUNTIF($E120:I120,1),ColDescriptionCourte))&gt;1,
HYPERLINK("#Roadmap!C"&amp; MATCH($E120,Roadmap!$D:$D,0)+COUNTIF($E120:I120,"u")+COUNTIF($E120:I120,"t")+COUNTIF($E120:I120,"¶")+COUNTIF($E120:I120,"²")+COUNTIF($E120:I120,"µ")+COUNTIF($E120:I120,1)-1,INDEX(Roadmap!$D:$K,MATCH($E120,Roadmap!$D:$D,0)-1+COUNTIF($E120:I120,"u")+COUNTIF($E120:I120,"t")+COUNTIF($E120:I120,"¶")+COUNTIF($E120:I120,"²")+COUNTIF($E120:I120,"µ")+COUNTIF($E120:I120,1),ColDescriptionCourte)),""),
  "")),"")</f>
        <v/>
      </c>
      <c r="K120" s="40" t="str">
        <f ca="1">IFERROR(IF(AND(
  INDEX(Roadmap!$D:$K,MATCH($E120,Roadmap!$D:$D,0)+COUNTIF($E120:J120,"u")+COUNTIF($E120:J120,"t")+COUNTIF($E120:J120,"¶")+COUNTIF($E120:J120,"²")+COUNTIF($E120:J120,"µ")+COUNTIF($E120:J120,1),ColLivraison)=K$6,
  VLOOKUP($E120,INDIRECT("tri!"&amp; CHAR(64+ C0Col) &amp;":"&amp; CHAR(65+C0Col)),2,FALSE)&gt;COUNTIF($E120:J120,"u")+COUNTIF($E120:J120,"t")+COUNTIF($E120:J120,"¶")+COUNTIF($E120:J120,"²")+COUNTIF($E120:J120,"µ")+COUNTIF($E120:J120,1)),
HYPERLINK("#Roadmap!C"&amp; MATCH($E120,Roadmap!$D:$D,0)+COUNTIF($E120:J120,"u")+COUNTIF($E120:J120,"t"),
     INDEX(Roadmap!$D:$K,MATCH($E120,Roadmap!$D:$D,0)+COUNTIF($E120:J120,"u")+COUNTIF($E120:J120,"t")+COUNTIF($E120:J120,"¶")+COUNTIF($E120:J120,"²")+COUNTIF($E120:J120,"µ")+COUNTIF($E120:J120,1),ColTypeEcheance)),
  IF(LEN(J120)=1,
  IF(LEN(INDEX(Roadmap!$D:$K,MATCH($E120,Roadmap!$D:$D,0)-1+COUNTIF($E120:J120,"u")+COUNTIF($E120:J120,"t")+COUNTIF($E120:J120,"¶")+COUNTIF($E120:J120,"²")+COUNTIF($E120:J120,"µ")+COUNTIF($E120:J120,1),ColDescriptionCourte))&gt;1,
HYPERLINK("#Roadmap!C"&amp; MATCH($E120,Roadmap!$D:$D,0)+COUNTIF($E120:J120,"u")+COUNTIF($E120:J120,"t")+COUNTIF($E120:J120,"¶")+COUNTIF($E120:J120,"²")+COUNTIF($E120:J120,"µ")+COUNTIF($E120:J120,1)-1,INDEX(Roadmap!$D:$K,MATCH($E120,Roadmap!$D:$D,0)-1+COUNTIF($E120:J120,"u")+COUNTIF($E120:J120,"t")+COUNTIF($E120:J120,"¶")+COUNTIF($E120:J120,"²")+COUNTIF($E120:J120,"µ")+COUNTIF($E120:J120,1),ColDescriptionCourte)),""),
  "")),"")</f>
        <v/>
      </c>
      <c r="L120" s="39" t="str">
        <f ca="1">IFERROR(IF(AND(
  INDEX(Roadmap!$D:$K,MATCH($E120,Roadmap!$D:$D,0)+COUNTIF($E120:K120,"u")+COUNTIF($E120:K120,"t")+COUNTIF($E120:K120,"¶")+COUNTIF($E120:K120,"²")+COUNTIF($E120:K120,"µ")+COUNTIF($E120:K120,1),ColLivraison)=L$6,
  VLOOKUP($E120,INDIRECT("tri!"&amp; CHAR(64+ C0Col) &amp;":"&amp; CHAR(65+C0Col)),2,FALSE)&gt;COUNTIF($E120:K120,"u")+COUNTIF($E120:K120,"t")+COUNTIF($E120:K120,"¶")+COUNTIF($E120:K120,"²")+COUNTIF($E120:K120,"µ")+COUNTIF($E120:K120,1)),
HYPERLINK("#Roadmap!C"&amp; MATCH($E120,Roadmap!$D:$D,0)+COUNTIF($E120:K120,"u")+COUNTIF($E120:K120,"t"),
     INDEX(Roadmap!$D:$K,MATCH($E120,Roadmap!$D:$D,0)+COUNTIF($E120:K120,"u")+COUNTIF($E120:K120,"t")+COUNTIF($E120:K120,"¶")+COUNTIF($E120:K120,"²")+COUNTIF($E120:K120,"µ")+COUNTIF($E120:K120,1),ColTypeEcheance)),
  IF(LEN(K120)=1,
  IF(LEN(INDEX(Roadmap!$D:$K,MATCH($E120,Roadmap!$D:$D,0)-1+COUNTIF($E120:K120,"u")+COUNTIF($E120:K120,"t")+COUNTIF($E120:K120,"¶")+COUNTIF($E120:K120,"²")+COUNTIF($E120:K120,"µ")+COUNTIF($E120:K120,1),ColDescriptionCourte))&gt;1,
HYPERLINK("#Roadmap!C"&amp; MATCH($E120,Roadmap!$D:$D,0)+COUNTIF($E120:K120,"u")+COUNTIF($E120:K120,"t")+COUNTIF($E120:K120,"¶")+COUNTIF($E120:K120,"²")+COUNTIF($E120:K120,"µ")+COUNTIF($E120:K120,1)-1,INDEX(Roadmap!$D:$K,MATCH($E120,Roadmap!$D:$D,0)-1+COUNTIF($E120:K120,"u")+COUNTIF($E120:K120,"t")+COUNTIF($E120:K120,"¶")+COUNTIF($E120:K120,"²")+COUNTIF($E120:K120,"µ")+COUNTIF($E120:K120,1),ColDescriptionCourte)),""),
  "")),"")</f>
        <v/>
      </c>
      <c r="M120" s="40" t="str">
        <f ca="1">IFERROR(IF(AND(
  INDEX(Roadmap!$D:$K,MATCH($E120,Roadmap!$D:$D,0)+COUNTIF($E120:L120,"u")+COUNTIF($E120:L120,"t")+COUNTIF($E120:L120,"¶")+COUNTIF($E120:L120,"²")+COUNTIF($E120:L120,"µ")+COUNTIF($E120:L120,1),ColLivraison)=M$6,
  VLOOKUP($E120,INDIRECT("tri!"&amp; CHAR(64+ C0Col) &amp;":"&amp; CHAR(65+C0Col)),2,FALSE)&gt;COUNTIF($E120:L120,"u")+COUNTIF($E120:L120,"t")+COUNTIF($E120:L120,"¶")+COUNTIF($E120:L120,"²")+COUNTIF($E120:L120,"µ")+COUNTIF($E120:L120,1)),
HYPERLINK("#Roadmap!C"&amp; MATCH($E120,Roadmap!$D:$D,0)+COUNTIF($E120:L120,"u")+COUNTIF($E120:L120,"t"),
     INDEX(Roadmap!$D:$K,MATCH($E120,Roadmap!$D:$D,0)+COUNTIF($E120:L120,"u")+COUNTIF($E120:L120,"t")+COUNTIF($E120:L120,"¶")+COUNTIF($E120:L120,"²")+COUNTIF($E120:L120,"µ")+COUNTIF($E120:L120,1),ColTypeEcheance)),
  IF(LEN(L120)=1,
  IF(LEN(INDEX(Roadmap!$D:$K,MATCH($E120,Roadmap!$D:$D,0)-1+COUNTIF($E120:L120,"u")+COUNTIF($E120:L120,"t")+COUNTIF($E120:L120,"¶")+COUNTIF($E120:L120,"²")+COUNTIF($E120:L120,"µ")+COUNTIF($E120:L120,1),ColDescriptionCourte))&gt;1,
HYPERLINK("#Roadmap!C"&amp; MATCH($E120,Roadmap!$D:$D,0)+COUNTIF($E120:L120,"u")+COUNTIF($E120:L120,"t")+COUNTIF($E120:L120,"¶")+COUNTIF($E120:L120,"²")+COUNTIF($E120:L120,"µ")+COUNTIF($E120:L120,1)-1,INDEX(Roadmap!$D:$K,MATCH($E120,Roadmap!$D:$D,0)-1+COUNTIF($E120:L120,"u")+COUNTIF($E120:L120,"t")+COUNTIF($E120:L120,"¶")+COUNTIF($E120:L120,"²")+COUNTIF($E120:L120,"µ")+COUNTIF($E120:L120,1),ColDescriptionCourte)),""),
  "")),"")</f>
        <v/>
      </c>
      <c r="N120" s="40" t="str">
        <f ca="1">IFERROR(IF(AND(
  INDEX(Roadmap!$D:$K,MATCH($E120,Roadmap!$D:$D,0)+COUNTIF($E120:M120,"u")+COUNTIF($E120:M120,"t")+COUNTIF($E120:M120,"¶")+COUNTIF($E120:M120,"²")+COUNTIF($E120:M120,"µ")+COUNTIF($E120:M120,1),ColLivraison)=N$6,
  VLOOKUP($E120,INDIRECT("tri!"&amp; CHAR(64+ C0Col) &amp;":"&amp; CHAR(65+C0Col)),2,FALSE)&gt;COUNTIF($E120:M120,"u")+COUNTIF($E120:M120,"t")+COUNTIF($E120:M120,"¶")+COUNTIF($E120:M120,"²")+COUNTIF($E120:M120,"µ")+COUNTIF($E120:M120,1)),
HYPERLINK("#Roadmap!C"&amp; MATCH($E120,Roadmap!$D:$D,0)+COUNTIF($E120:M120,"u")+COUNTIF($E120:M120,"t"),
     INDEX(Roadmap!$D:$K,MATCH($E120,Roadmap!$D:$D,0)+COUNTIF($E120:M120,"u")+COUNTIF($E120:M120,"t")+COUNTIF($E120:M120,"¶")+COUNTIF($E120:M120,"²")+COUNTIF($E120:M120,"µ")+COUNTIF($E120:M120,1),ColTypeEcheance)),
  IF(LEN(M120)=1,
  IF(LEN(INDEX(Roadmap!$D:$K,MATCH($E120,Roadmap!$D:$D,0)-1+COUNTIF($E120:M120,"u")+COUNTIF($E120:M120,"t")+COUNTIF($E120:M120,"¶")+COUNTIF($E120:M120,"²")+COUNTIF($E120:M120,"µ")+COUNTIF($E120:M120,1),ColDescriptionCourte))&gt;1,
HYPERLINK("#Roadmap!C"&amp; MATCH($E120,Roadmap!$D:$D,0)+COUNTIF($E120:M120,"u")+COUNTIF($E120:M120,"t")+COUNTIF($E120:M120,"¶")+COUNTIF($E120:M120,"²")+COUNTIF($E120:M120,"µ")+COUNTIF($E120:M120,1)-1,INDEX(Roadmap!$D:$K,MATCH($E120,Roadmap!$D:$D,0)-1+COUNTIF($E120:M120,"u")+COUNTIF($E120:M120,"t")+COUNTIF($E120:M120,"¶")+COUNTIF($E120:M120,"²")+COUNTIF($E120:M120,"µ")+COUNTIF($E120:M120,1),ColDescriptionCourte)),""),
  "")),"")</f>
        <v/>
      </c>
      <c r="O120" s="40" t="str">
        <f ca="1">IFERROR(IF(AND(
  INDEX(Roadmap!$D:$K,MATCH($E120,Roadmap!$D:$D,0)+COUNTIF($E120:N120,"u")+COUNTIF($E120:N120,"t")+COUNTIF($E120:N120,"¶")+COUNTIF($E120:N120,"²")+COUNTIF($E120:N120,"µ")+COUNTIF($E120:N120,1),ColLivraison)=O$6,
  VLOOKUP($E120,INDIRECT("tri!"&amp; CHAR(64+ C0Col) &amp;":"&amp; CHAR(65+C0Col)),2,FALSE)&gt;COUNTIF($E120:N120,"u")+COUNTIF($E120:N120,"t")+COUNTIF($E120:N120,"¶")+COUNTIF($E120:N120,"²")+COUNTIF($E120:N120,"µ")+COUNTIF($E120:N120,1)),
HYPERLINK("#Roadmap!C"&amp; MATCH($E120,Roadmap!$D:$D,0)+COUNTIF($E120:N120,"u")+COUNTIF($E120:N120,"t"),
     INDEX(Roadmap!$D:$K,MATCH($E120,Roadmap!$D:$D,0)+COUNTIF($E120:N120,"u")+COUNTIF($E120:N120,"t")+COUNTIF($E120:N120,"¶")+COUNTIF($E120:N120,"²")+COUNTIF($E120:N120,"µ")+COUNTIF($E120:N120,1),ColTypeEcheance)),
  IF(LEN(N120)=1,
  IF(LEN(INDEX(Roadmap!$D:$K,MATCH($E120,Roadmap!$D:$D,0)-1+COUNTIF($E120:N120,"u")+COUNTIF($E120:N120,"t")+COUNTIF($E120:N120,"¶")+COUNTIF($E120:N120,"²")+COUNTIF($E120:N120,"µ")+COUNTIF($E120:N120,1),ColDescriptionCourte))&gt;1,
HYPERLINK("#Roadmap!C"&amp; MATCH($E120,Roadmap!$D:$D,0)+COUNTIF($E120:N120,"u")+COUNTIF($E120:N120,"t")+COUNTIF($E120:N120,"¶")+COUNTIF($E120:N120,"²")+COUNTIF($E120:N120,"µ")+COUNTIF($E120:N120,1)-1,INDEX(Roadmap!$D:$K,MATCH($E120,Roadmap!$D:$D,0)-1+COUNTIF($E120:N120,"u")+COUNTIF($E120:N120,"t")+COUNTIF($E120:N120,"¶")+COUNTIF($E120:N120,"²")+COUNTIF($E120:N120,"µ")+COUNTIF($E120:N120,1),ColDescriptionCourte)),""),
  "")),"")</f>
        <v/>
      </c>
      <c r="P120" s="40" t="str">
        <f ca="1">IFERROR(IF(AND(
  INDEX(Roadmap!$D:$K,MATCH($E120,Roadmap!$D:$D,0)+COUNTIF($E120:O120,"u")+COUNTIF($E120:O120,"t")+COUNTIF($E120:O120,"¶")+COUNTIF($E120:O120,"²")+COUNTIF($E120:O120,"µ")+COUNTIF($E120:O120,1),ColLivraison)=P$6,
  VLOOKUP($E120,INDIRECT("tri!"&amp; CHAR(64+ C0Col) &amp;":"&amp; CHAR(65+C0Col)),2,FALSE)&gt;COUNTIF($E120:O120,"u")+COUNTIF($E120:O120,"t")+COUNTIF($E120:O120,"¶")+COUNTIF($E120:O120,"²")+COUNTIF($E120:O120,"µ")+COUNTIF($E120:O120,1)),
HYPERLINK("#Roadmap!C"&amp; MATCH($E120,Roadmap!$D:$D,0)+COUNTIF($E120:O120,"u")+COUNTIF($E120:O120,"t"),
     INDEX(Roadmap!$D:$K,MATCH($E120,Roadmap!$D:$D,0)+COUNTIF($E120:O120,"u")+COUNTIF($E120:O120,"t")+COUNTIF($E120:O120,"¶")+COUNTIF($E120:O120,"²")+COUNTIF($E120:O120,"µ")+COUNTIF($E120:O120,1),ColTypeEcheance)),
  IF(LEN(O120)=1,
  IF(LEN(INDEX(Roadmap!$D:$K,MATCH($E120,Roadmap!$D:$D,0)-1+COUNTIF($E120:O120,"u")+COUNTIF($E120:O120,"t")+COUNTIF($E120:O120,"¶")+COUNTIF($E120:O120,"²")+COUNTIF($E120:O120,"µ")+COUNTIF($E120:O120,1),ColDescriptionCourte))&gt;1,
HYPERLINK("#Roadmap!C"&amp; MATCH($E120,Roadmap!$D:$D,0)+COUNTIF($E120:O120,"u")+COUNTIF($E120:O120,"t")+COUNTIF($E120:O120,"¶")+COUNTIF($E120:O120,"²")+COUNTIF($E120:O120,"µ")+COUNTIF($E120:O120,1)-1,INDEX(Roadmap!$D:$K,MATCH($E120,Roadmap!$D:$D,0)-1+COUNTIF($E120:O120,"u")+COUNTIF($E120:O120,"t")+COUNTIF($E120:O120,"¶")+COUNTIF($E120:O120,"²")+COUNTIF($E120:O120,"µ")+COUNTIF($E120:O120,1),ColDescriptionCourte)),""),
  "")),"")</f>
        <v/>
      </c>
      <c r="Q120" s="40" t="str">
        <f ca="1">IFERROR(IF(AND(
  INDEX(Roadmap!$D:$K,MATCH($E120,Roadmap!$D:$D,0)+COUNTIF($E120:P120,"u")+COUNTIF($E120:P120,"t")+COUNTIF($E120:P120,"¶")+COUNTIF($E120:P120,"²")+COUNTIF($E120:P120,"µ")+COUNTIF($E120:P120,1),ColLivraison)=Q$6,
  VLOOKUP($E120,INDIRECT("tri!"&amp; CHAR(64+ C0Col) &amp;":"&amp; CHAR(65+C0Col)),2,FALSE)&gt;COUNTIF($E120:P120,"u")+COUNTIF($E120:P120,"t")+COUNTIF($E120:P120,"¶")+COUNTIF($E120:P120,"²")+COUNTIF($E120:P120,"µ")+COUNTIF($E120:P120,1)),
HYPERLINK("#Roadmap!C"&amp; MATCH($E120,Roadmap!$D:$D,0)+COUNTIF($E120:P120,"u")+COUNTIF($E120:P120,"t"),
     INDEX(Roadmap!$D:$K,MATCH($E120,Roadmap!$D:$D,0)+COUNTIF($E120:P120,"u")+COUNTIF($E120:P120,"t")+COUNTIF($E120:P120,"¶")+COUNTIF($E120:P120,"²")+COUNTIF($E120:P120,"µ")+COUNTIF($E120:P120,1),ColTypeEcheance)),
  IF(LEN(P120)=1,
  IF(LEN(INDEX(Roadmap!$D:$K,MATCH($E120,Roadmap!$D:$D,0)-1+COUNTIF($E120:P120,"u")+COUNTIF($E120:P120,"t")+COUNTIF($E120:P120,"¶")+COUNTIF($E120:P120,"²")+COUNTIF($E120:P120,"µ")+COUNTIF($E120:P120,1),ColDescriptionCourte))&gt;1,
HYPERLINK("#Roadmap!C"&amp; MATCH($E120,Roadmap!$D:$D,0)+COUNTIF($E120:P120,"u")+COUNTIF($E120:P120,"t")+COUNTIF($E120:P120,"¶")+COUNTIF($E120:P120,"²")+COUNTIF($E120:P120,"µ")+COUNTIF($E120:P120,1)-1,INDEX(Roadmap!$D:$K,MATCH($E120,Roadmap!$D:$D,0)-1+COUNTIF($E120:P120,"u")+COUNTIF($E120:P120,"t")+COUNTIF($E120:P120,"¶")+COUNTIF($E120:P120,"²")+COUNTIF($E120:P120,"µ")+COUNTIF($E120:P120,1),ColDescriptionCourte)),""),
  "")),"")</f>
        <v/>
      </c>
      <c r="R120" s="40" t="str">
        <f ca="1">IFERROR(IF(AND(
  INDEX(Roadmap!$D:$K,MATCH($E120,Roadmap!$D:$D,0)+COUNTIF($E120:Q120,"u")+COUNTIF($E120:Q120,"t")+COUNTIF($E120:Q120,"¶")+COUNTIF($E120:Q120,"²")+COUNTIF($E120:Q120,"µ")+COUNTIF($E120:Q120,1),ColLivraison)=R$6,
  VLOOKUP($E120,INDIRECT("tri!"&amp; CHAR(64+ C0Col) &amp;":"&amp; CHAR(65+C0Col)),2,FALSE)&gt;COUNTIF($E120:Q120,"u")+COUNTIF($E120:Q120,"t")+COUNTIF($E120:Q120,"¶")+COUNTIF($E120:Q120,"²")+COUNTIF($E120:Q120,"µ")+COUNTIF($E120:Q120,1)),
HYPERLINK("#Roadmap!C"&amp; MATCH($E120,Roadmap!$D:$D,0)+COUNTIF($E120:Q120,"u")+COUNTIF($E120:Q120,"t"),
     INDEX(Roadmap!$D:$K,MATCH($E120,Roadmap!$D:$D,0)+COUNTIF($E120:Q120,"u")+COUNTIF($E120:Q120,"t")+COUNTIF($E120:Q120,"¶")+COUNTIF($E120:Q120,"²")+COUNTIF($E120:Q120,"µ")+COUNTIF($E120:Q120,1),ColTypeEcheance)),
  IF(LEN(Q120)=1,
  IF(LEN(INDEX(Roadmap!$D:$K,MATCH($E120,Roadmap!$D:$D,0)-1+COUNTIF($E120:Q120,"u")+COUNTIF($E120:Q120,"t")+COUNTIF($E120:Q120,"¶")+COUNTIF($E120:Q120,"²")+COUNTIF($E120:Q120,"µ")+COUNTIF($E120:Q120,1),ColDescriptionCourte))&gt;1,
HYPERLINK("#Roadmap!C"&amp; MATCH($E120,Roadmap!$D:$D,0)+COUNTIF($E120:Q120,"u")+COUNTIF($E120:Q120,"t")+COUNTIF($E120:Q120,"¶")+COUNTIF($E120:Q120,"²")+COUNTIF($E120:Q120,"µ")+COUNTIF($E120:Q120,1)-1,INDEX(Roadmap!$D:$K,MATCH($E120,Roadmap!$D:$D,0)-1+COUNTIF($E120:Q120,"u")+COUNTIF($E120:Q120,"t")+COUNTIF($E120:Q120,"¶")+COUNTIF($E120:Q120,"²")+COUNTIF($E120:Q120,"µ")+COUNTIF($E120:Q120,1),ColDescriptionCourte)),""),
  "")),"")</f>
        <v/>
      </c>
      <c r="S120" s="40" t="str">
        <f ca="1">IFERROR(IF(AND(
  INDEX(Roadmap!$D:$K,MATCH($E120,Roadmap!$D:$D,0)+COUNTIF($E120:R120,"u")+COUNTIF($E120:R120,"t")+COUNTIF($E120:R120,"¶")+COUNTIF($E120:R120,"²")+COUNTIF($E120:R120,"µ")+COUNTIF($E120:R120,1),ColLivraison)=S$6,
  VLOOKUP($E120,INDIRECT("tri!"&amp; CHAR(64+ C0Col) &amp;":"&amp; CHAR(65+C0Col)),2,FALSE)&gt;COUNTIF($E120:R120,"u")+COUNTIF($E120:R120,"t")+COUNTIF($E120:R120,"¶")+COUNTIF($E120:R120,"²")+COUNTIF($E120:R120,"µ")+COUNTIF($E120:R120,1)),
HYPERLINK("#Roadmap!C"&amp; MATCH($E120,Roadmap!$D:$D,0)+COUNTIF($E120:R120,"u")+COUNTIF($E120:R120,"t"),
     INDEX(Roadmap!$D:$K,MATCH($E120,Roadmap!$D:$D,0)+COUNTIF($E120:R120,"u")+COUNTIF($E120:R120,"t")+COUNTIF($E120:R120,"¶")+COUNTIF($E120:R120,"²")+COUNTIF($E120:R120,"µ")+COUNTIF($E120:R120,1),ColTypeEcheance)),
  IF(LEN(R120)=1,
  IF(LEN(INDEX(Roadmap!$D:$K,MATCH($E120,Roadmap!$D:$D,0)-1+COUNTIF($E120:R120,"u")+COUNTIF($E120:R120,"t")+COUNTIF($E120:R120,"¶")+COUNTIF($E120:R120,"²")+COUNTIF($E120:R120,"µ")+COUNTIF($E120:R120,1),ColDescriptionCourte))&gt;1,
HYPERLINK("#Roadmap!C"&amp; MATCH($E120,Roadmap!$D:$D,0)+COUNTIF($E120:R120,"u")+COUNTIF($E120:R120,"t")+COUNTIF($E120:R120,"¶")+COUNTIF($E120:R120,"²")+COUNTIF($E120:R120,"µ")+COUNTIF($E120:R120,1)-1,INDEX(Roadmap!$D:$K,MATCH($E120,Roadmap!$D:$D,0)-1+COUNTIF($E120:R120,"u")+COUNTIF($E120:R120,"t")+COUNTIF($E120:R120,"¶")+COUNTIF($E120:R120,"²")+COUNTIF($E120:R120,"µ")+COUNTIF($E120:R120,1),ColDescriptionCourte)),""),
  "")),"")</f>
        <v/>
      </c>
      <c r="T120" s="40" t="str">
        <f ca="1">IFERROR(IF(AND(
  INDEX(Roadmap!$D:$K,MATCH($E120,Roadmap!$D:$D,0)+COUNTIF($E120:S120,"u")+COUNTIF($E120:S120,"t")+COUNTIF($E120:S120,"¶")+COUNTIF($E120:S120,"²")+COUNTIF($E120:S120,"µ")+COUNTIF($E120:S120,1),ColLivraison)=T$6,
  VLOOKUP($E120,INDIRECT("tri!"&amp; CHAR(64+ C0Col) &amp;":"&amp; CHAR(65+C0Col)),2,FALSE)&gt;COUNTIF($E120:S120,"u")+COUNTIF($E120:S120,"t")+COUNTIF($E120:S120,"¶")+COUNTIF($E120:S120,"²")+COUNTIF($E120:S120,"µ")+COUNTIF($E120:S120,1)),
HYPERLINK("#Roadmap!C"&amp; MATCH($E120,Roadmap!$D:$D,0)+COUNTIF($E120:S120,"u")+COUNTIF($E120:S120,"t"),
     INDEX(Roadmap!$D:$K,MATCH($E120,Roadmap!$D:$D,0)+COUNTIF($E120:S120,"u")+COUNTIF($E120:S120,"t")+COUNTIF($E120:S120,"¶")+COUNTIF($E120:S120,"²")+COUNTIF($E120:S120,"µ")+COUNTIF($E120:S120,1),ColTypeEcheance)),
  IF(LEN(S120)=1,
  IF(LEN(INDEX(Roadmap!$D:$K,MATCH($E120,Roadmap!$D:$D,0)-1+COUNTIF($E120:S120,"u")+COUNTIF($E120:S120,"t")+COUNTIF($E120:S120,"¶")+COUNTIF($E120:S120,"²")+COUNTIF($E120:S120,"µ")+COUNTIF($E120:S120,1),ColDescriptionCourte))&gt;1,
HYPERLINK("#Roadmap!C"&amp; MATCH($E120,Roadmap!$D:$D,0)+COUNTIF($E120:S120,"u")+COUNTIF($E120:S120,"t")+COUNTIF($E120:S120,"¶")+COUNTIF($E120:S120,"²")+COUNTIF($E120:S120,"µ")+COUNTIF($E120:S120,1)-1,INDEX(Roadmap!$D:$K,MATCH($E120,Roadmap!$D:$D,0)-1+COUNTIF($E120:S120,"u")+COUNTIF($E120:S120,"t")+COUNTIF($E120:S120,"¶")+COUNTIF($E120:S120,"²")+COUNTIF($E120:S120,"µ")+COUNTIF($E120:S120,1),ColDescriptionCourte)),""),
  "")),"")</f>
        <v/>
      </c>
      <c r="U120" s="40" t="str">
        <f ca="1">IFERROR(IF(AND(
  INDEX(Roadmap!$D:$K,MATCH($E120,Roadmap!$D:$D,0)+COUNTIF($E120:T120,"u")+COUNTIF($E120:T120,"t")+COUNTIF($E120:T120,"¶")+COUNTIF($E120:T120,"²")+COUNTIF($E120:T120,"µ")+COUNTIF($E120:T120,1),ColLivraison)=U$6,
  VLOOKUP($E120,INDIRECT("tri!"&amp; CHAR(64+ C0Col) &amp;":"&amp; CHAR(65+C0Col)),2,FALSE)&gt;COUNTIF($E120:T120,"u")+COUNTIF($E120:T120,"t")+COUNTIF($E120:T120,"¶")+COUNTIF($E120:T120,"²")+COUNTIF($E120:T120,"µ")+COUNTIF($E120:T120,1)),
HYPERLINK("#Roadmap!C"&amp; MATCH($E120,Roadmap!$D:$D,0)+COUNTIF($E120:T120,"u")+COUNTIF($E120:T120,"t"),
     INDEX(Roadmap!$D:$K,MATCH($E120,Roadmap!$D:$D,0)+COUNTIF($E120:T120,"u")+COUNTIF($E120:T120,"t")+COUNTIF($E120:T120,"¶")+COUNTIF($E120:T120,"²")+COUNTIF($E120:T120,"µ")+COUNTIF($E120:T120,1),ColTypeEcheance)),
  IF(LEN(T120)=1,
  IF(LEN(INDEX(Roadmap!$D:$K,MATCH($E120,Roadmap!$D:$D,0)-1+COUNTIF($E120:T120,"u")+COUNTIF($E120:T120,"t")+COUNTIF($E120:T120,"¶")+COUNTIF($E120:T120,"²")+COUNTIF($E120:T120,"µ")+COUNTIF($E120:T120,1),ColDescriptionCourte))&gt;1,
HYPERLINK("#Roadmap!C"&amp; MATCH($E120,Roadmap!$D:$D,0)+COUNTIF($E120:T120,"u")+COUNTIF($E120:T120,"t")+COUNTIF($E120:T120,"¶")+COUNTIF($E120:T120,"²")+COUNTIF($E120:T120,"µ")+COUNTIF($E120:T120,1)-1,INDEX(Roadmap!$D:$K,MATCH($E120,Roadmap!$D:$D,0)-1+COUNTIF($E120:T120,"u")+COUNTIF($E120:T120,"t")+COUNTIF($E120:T120,"¶")+COUNTIF($E120:T120,"²")+COUNTIF($E120:T120,"µ")+COUNTIF($E120:T120,1),ColDescriptionCourte)),""),
  "")),"")</f>
        <v/>
      </c>
      <c r="V120" s="40" t="str">
        <f ca="1">IFERROR(IF(AND(
  INDEX(Roadmap!$D:$K,MATCH($E120,Roadmap!$D:$D,0)+COUNTIF($E120:U120,"u")+COUNTIF($E120:U120,"t")+COUNTIF($E120:U120,"¶")+COUNTIF($E120:U120,"²")+COUNTIF($E120:U120,"µ")+COUNTIF($E120:U120,1),ColLivraison)=V$6,
  VLOOKUP($E120,INDIRECT("tri!"&amp; CHAR(64+ C0Col) &amp;":"&amp; CHAR(65+C0Col)),2,FALSE)&gt;COUNTIF($E120:U120,"u")+COUNTIF($E120:U120,"t")+COUNTIF($E120:U120,"¶")+COUNTIF($E120:U120,"²")+COUNTIF($E120:U120,"µ")+COUNTIF($E120:U120,1)),
HYPERLINK("#Roadmap!C"&amp; MATCH($E120,Roadmap!$D:$D,0)+COUNTIF($E120:U120,"u")+COUNTIF($E120:U120,"t"),
     INDEX(Roadmap!$D:$K,MATCH($E120,Roadmap!$D:$D,0)+COUNTIF($E120:U120,"u")+COUNTIF($E120:U120,"t")+COUNTIF($E120:U120,"¶")+COUNTIF($E120:U120,"²")+COUNTIF($E120:U120,"µ")+COUNTIF($E120:U120,1),ColTypeEcheance)),
  IF(LEN(U120)=1,
  IF(LEN(INDEX(Roadmap!$D:$K,MATCH($E120,Roadmap!$D:$D,0)-1+COUNTIF($E120:U120,"u")+COUNTIF($E120:U120,"t")+COUNTIF($E120:U120,"¶")+COUNTIF($E120:U120,"²")+COUNTIF($E120:U120,"µ")+COUNTIF($E120:U120,1),ColDescriptionCourte))&gt;1,
HYPERLINK("#Roadmap!C"&amp; MATCH($E120,Roadmap!$D:$D,0)+COUNTIF($E120:U120,"u")+COUNTIF($E120:U120,"t")+COUNTIF($E120:U120,"¶")+COUNTIF($E120:U120,"²")+COUNTIF($E120:U120,"µ")+COUNTIF($E120:U120,1)-1,INDEX(Roadmap!$D:$K,MATCH($E120,Roadmap!$D:$D,0)-1+COUNTIF($E120:U120,"u")+COUNTIF($E120:U120,"t")+COUNTIF($E120:U120,"¶")+COUNTIF($E120:U120,"²")+COUNTIF($E120:U120,"µ")+COUNTIF($E120:U120,1),ColDescriptionCourte)),""),
  "")),"")</f>
        <v/>
      </c>
      <c r="W120" s="40" t="str">
        <f ca="1">IFERROR(IF(AND(
  INDEX(Roadmap!$D:$K,MATCH($E120,Roadmap!$D:$D,0)+COUNTIF($E120:V120,"u")+COUNTIF($E120:V120,"t")+COUNTIF($E120:V120,"¶")+COUNTIF($E120:V120,"²")+COUNTIF($E120:V120,"µ")+COUNTIF($E120:V120,1),ColLivraison)=W$6,
  VLOOKUP($E120,INDIRECT("tri!"&amp; CHAR(64+ C0Col) &amp;":"&amp; CHAR(65+C0Col)),2,FALSE)&gt;COUNTIF($E120:V120,"u")+COUNTIF($E120:V120,"t")+COUNTIF($E120:V120,"¶")+COUNTIF($E120:V120,"²")+COUNTIF($E120:V120,"µ")+COUNTIF($E120:V120,1)),
HYPERLINK("#Roadmap!C"&amp; MATCH($E120,Roadmap!$D:$D,0)+COUNTIF($E120:V120,"u")+COUNTIF($E120:V120,"t"),
     INDEX(Roadmap!$D:$K,MATCH($E120,Roadmap!$D:$D,0)+COUNTIF($E120:V120,"u")+COUNTIF($E120:V120,"t")+COUNTIF($E120:V120,"¶")+COUNTIF($E120:V120,"²")+COUNTIF($E120:V120,"µ")+COUNTIF($E120:V120,1),ColTypeEcheance)),
  IF(LEN(V120)=1,
  IF(LEN(INDEX(Roadmap!$D:$K,MATCH($E120,Roadmap!$D:$D,0)-1+COUNTIF($E120:V120,"u")+COUNTIF($E120:V120,"t")+COUNTIF($E120:V120,"¶")+COUNTIF($E120:V120,"²")+COUNTIF($E120:V120,"µ")+COUNTIF($E120:V120,1),ColDescriptionCourte))&gt;1,
HYPERLINK("#Roadmap!C"&amp; MATCH($E120,Roadmap!$D:$D,0)+COUNTIF($E120:V120,"u")+COUNTIF($E120:V120,"t")+COUNTIF($E120:V120,"¶")+COUNTIF($E120:V120,"²")+COUNTIF($E120:V120,"µ")+COUNTIF($E120:V120,1)-1,INDEX(Roadmap!$D:$K,MATCH($E120,Roadmap!$D:$D,0)-1+COUNTIF($E120:V120,"u")+COUNTIF($E120:V120,"t")+COUNTIF($E120:V120,"¶")+COUNTIF($E120:V120,"²")+COUNTIF($E120:V120,"µ")+COUNTIF($E120:V120,1),ColDescriptionCourte)),""),
  "")),"")</f>
        <v/>
      </c>
      <c r="X120" s="40" t="str">
        <f ca="1">IFERROR(IF(AND(
  INDEX(Roadmap!$D:$K,MATCH($E120,Roadmap!$D:$D,0)+COUNTIF($E120:W120,"u")+COUNTIF($E120:W120,"t")+COUNTIF($E120:W120,"¶")+COUNTIF($E120:W120,"²")+COUNTIF($E120:W120,"µ")+COUNTIF($E120:W120,1),ColLivraison)=X$6,
  VLOOKUP($E120,INDIRECT("tri!"&amp; CHAR(64+ C0Col) &amp;":"&amp; CHAR(65+C0Col)),2,FALSE)&gt;COUNTIF($E120:W120,"u")+COUNTIF($E120:W120,"t")+COUNTIF($E120:W120,"¶")+COUNTIF($E120:W120,"²")+COUNTIF($E120:W120,"µ")+COUNTIF($E120:W120,1)),
HYPERLINK("#Roadmap!C"&amp; MATCH($E120,Roadmap!$D:$D,0)+COUNTIF($E120:W120,"u")+COUNTIF($E120:W120,"t"),
     INDEX(Roadmap!$D:$K,MATCH($E120,Roadmap!$D:$D,0)+COUNTIF($E120:W120,"u")+COUNTIF($E120:W120,"t")+COUNTIF($E120:W120,"¶")+COUNTIF($E120:W120,"²")+COUNTIF($E120:W120,"µ")+COUNTIF($E120:W120,1),ColTypeEcheance)),
  IF(LEN(W120)=1,
  IF(LEN(INDEX(Roadmap!$D:$K,MATCH($E120,Roadmap!$D:$D,0)-1+COUNTIF($E120:W120,"u")+COUNTIF($E120:W120,"t")+COUNTIF($E120:W120,"¶")+COUNTIF($E120:W120,"²")+COUNTIF($E120:W120,"µ")+COUNTIF($E120:W120,1),ColDescriptionCourte))&gt;1,
HYPERLINK("#Roadmap!C"&amp; MATCH($E120,Roadmap!$D:$D,0)+COUNTIF($E120:W120,"u")+COUNTIF($E120:W120,"t")+COUNTIF($E120:W120,"¶")+COUNTIF($E120:W120,"²")+COUNTIF($E120:W120,"µ")+COUNTIF($E120:W120,1)-1,INDEX(Roadmap!$D:$K,MATCH($E120,Roadmap!$D:$D,0)-1+COUNTIF($E120:W120,"u")+COUNTIF($E120:W120,"t")+COUNTIF($E120:W120,"¶")+COUNTIF($E120:W120,"²")+COUNTIF($E120:W120,"µ")+COUNTIF($E120:W120,1),ColDescriptionCourte)),""),
  "")),"")</f>
        <v/>
      </c>
      <c r="Y120" s="40" t="str">
        <f ca="1">IFERROR(IF(AND(
  INDEX(Roadmap!$D:$K,MATCH($E120,Roadmap!$D:$D,0)+COUNTIF($E120:X120,"u")+COUNTIF($E120:X120,"t")+COUNTIF($E120:X120,"¶")+COUNTIF($E120:X120,"²")+COUNTIF($E120:X120,"µ")+COUNTIF($E120:X120,1),ColLivraison)=Y$6,
  VLOOKUP($E120,INDIRECT("tri!"&amp; CHAR(64+ C0Col) &amp;":"&amp; CHAR(65+C0Col)),2,FALSE)&gt;COUNTIF($E120:X120,"u")+COUNTIF($E120:X120,"t")+COUNTIF($E120:X120,"¶")+COUNTIF($E120:X120,"²")+COUNTIF($E120:X120,"µ")+COUNTIF($E120:X120,1)),
HYPERLINK("#Roadmap!C"&amp; MATCH($E120,Roadmap!$D:$D,0)+COUNTIF($E120:X120,"u")+COUNTIF($E120:X120,"t"),
     INDEX(Roadmap!$D:$K,MATCH($E120,Roadmap!$D:$D,0)+COUNTIF($E120:X120,"u")+COUNTIF($E120:X120,"t")+COUNTIF($E120:X120,"¶")+COUNTIF($E120:X120,"²")+COUNTIF($E120:X120,"µ")+COUNTIF($E120:X120,1),ColTypeEcheance)),
  IF(LEN(X120)=1,
  IF(LEN(INDEX(Roadmap!$D:$K,MATCH($E120,Roadmap!$D:$D,0)-1+COUNTIF($E120:X120,"u")+COUNTIF($E120:X120,"t")+COUNTIF($E120:X120,"¶")+COUNTIF($E120:X120,"²")+COUNTIF($E120:X120,"µ")+COUNTIF($E120:X120,1),ColDescriptionCourte))&gt;1,
HYPERLINK("#Roadmap!C"&amp; MATCH($E120,Roadmap!$D:$D,0)+COUNTIF($E120:X120,"u")+COUNTIF($E120:X120,"t")+COUNTIF($E120:X120,"¶")+COUNTIF($E120:X120,"²")+COUNTIF($E120:X120,"µ")+COUNTIF($E120:X120,1)-1,INDEX(Roadmap!$D:$K,MATCH($E120,Roadmap!$D:$D,0)-1+COUNTIF($E120:X120,"u")+COUNTIF($E120:X120,"t")+COUNTIF($E120:X120,"¶")+COUNTIF($E120:X120,"²")+COUNTIF($E120:X120,"µ")+COUNTIF($E120:X120,1),ColDescriptionCourte)),""),
  "")),"")</f>
        <v/>
      </c>
      <c r="Z120" s="40" t="str">
        <f ca="1">IFERROR(IF(AND(
  INDEX(Roadmap!$D:$K,MATCH($E120,Roadmap!$D:$D,0)+COUNTIF($E120:Y120,"u")+COUNTIF($E120:Y120,"t")+COUNTIF($E120:Y120,"¶")+COUNTIF($E120:Y120,"²")+COUNTIF($E120:Y120,"µ")+COUNTIF($E120:Y120,1),ColLivraison)=Z$6,
  VLOOKUP($E120,INDIRECT("tri!"&amp; CHAR(64+ C0Col) &amp;":"&amp; CHAR(65+C0Col)),2,FALSE)&gt;COUNTIF($E120:Y120,"u")+COUNTIF($E120:Y120,"t")+COUNTIF($E120:Y120,"¶")+COUNTIF($E120:Y120,"²")+COUNTIF($E120:Y120,"µ")+COUNTIF($E120:Y120,1)),
HYPERLINK("#Roadmap!C"&amp; MATCH($E120,Roadmap!$D:$D,0)+COUNTIF($E120:Y120,"u")+COUNTIF($E120:Y120,"t"),
     INDEX(Roadmap!$D:$K,MATCH($E120,Roadmap!$D:$D,0)+COUNTIF($E120:Y120,"u")+COUNTIF($E120:Y120,"t")+COUNTIF($E120:Y120,"¶")+COUNTIF($E120:Y120,"²")+COUNTIF($E120:Y120,"µ")+COUNTIF($E120:Y120,1),ColTypeEcheance)),
  IF(LEN(Y120)=1,
  IF(LEN(INDEX(Roadmap!$D:$K,MATCH($E120,Roadmap!$D:$D,0)-1+COUNTIF($E120:Y120,"u")+COUNTIF($E120:Y120,"t")+COUNTIF($E120:Y120,"¶")+COUNTIF($E120:Y120,"²")+COUNTIF($E120:Y120,"µ")+COUNTIF($E120:Y120,1),ColDescriptionCourte))&gt;1,
HYPERLINK("#Roadmap!C"&amp; MATCH($E120,Roadmap!$D:$D,0)+COUNTIF($E120:Y120,"u")+COUNTIF($E120:Y120,"t")+COUNTIF($E120:Y120,"¶")+COUNTIF($E120:Y120,"²")+COUNTIF($E120:Y120,"µ")+COUNTIF($E120:Y120,1)-1,INDEX(Roadmap!$D:$K,MATCH($E120,Roadmap!$D:$D,0)-1+COUNTIF($E120:Y120,"u")+COUNTIF($E120:Y120,"t")+COUNTIF($E120:Y120,"¶")+COUNTIF($E120:Y120,"²")+COUNTIF($E120:Y120,"µ")+COUNTIF($E120:Y120,1),ColDescriptionCourte)),""),
  "")),"")</f>
        <v/>
      </c>
      <c r="AA120" s="40" t="str">
        <f ca="1">IFERROR(IF(AND(
  INDEX(Roadmap!$D:$K,MATCH($E120,Roadmap!$D:$D,0)+COUNTIF($E120:Z120,"u")+COUNTIF($E120:Z120,"t")+COUNTIF($E120:Z120,"¶")+COUNTIF($E120:Z120,"²")+COUNTIF($E120:Z120,"µ")+COUNTIF($E120:Z120,1),ColLivraison)=AA$6,
  VLOOKUP($E120,INDIRECT("tri!"&amp; CHAR(64+ C0Col) &amp;":"&amp; CHAR(65+C0Col)),2,FALSE)&gt;COUNTIF($E120:Z120,"u")+COUNTIF($E120:Z120,"t")+COUNTIF($E120:Z120,"¶")+COUNTIF($E120:Z120,"²")+COUNTIF($E120:Z120,"µ")+COUNTIF($E120:Z120,1)),
HYPERLINK("#Roadmap!C"&amp; MATCH($E120,Roadmap!$D:$D,0)+COUNTIF($E120:Z120,"u")+COUNTIF($E120:Z120,"t"),
     INDEX(Roadmap!$D:$K,MATCH($E120,Roadmap!$D:$D,0)+COUNTIF($E120:Z120,"u")+COUNTIF($E120:Z120,"t")+COUNTIF($E120:Z120,"¶")+COUNTIF($E120:Z120,"²")+COUNTIF($E120:Z120,"µ")+COUNTIF($E120:Z120,1),ColTypeEcheance)),
  IF(LEN(Z120)=1,
  IF(LEN(INDEX(Roadmap!$D:$K,MATCH($E120,Roadmap!$D:$D,0)-1+COUNTIF($E120:Z120,"u")+COUNTIF($E120:Z120,"t")+COUNTIF($E120:Z120,"¶")+COUNTIF($E120:Z120,"²")+COUNTIF($E120:Z120,"µ")+COUNTIF($E120:Z120,1),ColDescriptionCourte))&gt;1,
HYPERLINK("#Roadmap!C"&amp; MATCH($E120,Roadmap!$D:$D,0)+COUNTIF($E120:Z120,"u")+COUNTIF($E120:Z120,"t")+COUNTIF($E120:Z120,"¶")+COUNTIF($E120:Z120,"²")+COUNTIF($E120:Z120,"µ")+COUNTIF($E120:Z120,1)-1,INDEX(Roadmap!$D:$K,MATCH($E120,Roadmap!$D:$D,0)-1+COUNTIF($E120:Z120,"u")+COUNTIF($E120:Z120,"t")+COUNTIF($E120:Z120,"¶")+COUNTIF($E120:Z120,"²")+COUNTIF($E120:Z120,"µ")+COUNTIF($E120:Z120,1),ColDescriptionCourte)),""),
  "")),"")</f>
        <v/>
      </c>
      <c r="AB120" s="40" t="str">
        <f ca="1">IFERROR(IF(AND(
  INDEX(Roadmap!$D:$K,MATCH($E120,Roadmap!$D:$D,0)+COUNTIF($E120:AA120,"u")+COUNTIF($E120:AA120,"t")+COUNTIF($E120:AA120,"¶")+COUNTIF($E120:AA120,"²")+COUNTIF($E120:AA120,"µ")+COUNTIF($E120:AA120,1),ColLivraison)=AB$6,
  VLOOKUP($E120,INDIRECT("tri!"&amp; CHAR(64+ C0Col) &amp;":"&amp; CHAR(65+C0Col)),2,FALSE)&gt;COUNTIF($E120:AA120,"u")+COUNTIF($E120:AA120,"t")+COUNTIF($E120:AA120,"¶")+COUNTIF($E120:AA120,"²")+COUNTIF($E120:AA120,"µ")+COUNTIF($E120:AA120,1)),
HYPERLINK("#Roadmap!C"&amp; MATCH($E120,Roadmap!$D:$D,0)+COUNTIF($E120:AA120,"u")+COUNTIF($E120:AA120,"t"),
     INDEX(Roadmap!$D:$K,MATCH($E120,Roadmap!$D:$D,0)+COUNTIF($E120:AA120,"u")+COUNTIF($E120:AA120,"t")+COUNTIF($E120:AA120,"¶")+COUNTIF($E120:AA120,"²")+COUNTIF($E120:AA120,"µ")+COUNTIF($E120:AA120,1),ColTypeEcheance)),
  IF(LEN(AA120)=1,
  IF(LEN(INDEX(Roadmap!$D:$K,MATCH($E120,Roadmap!$D:$D,0)-1+COUNTIF($E120:AA120,"u")+COUNTIF($E120:AA120,"t")+COUNTIF($E120:AA120,"¶")+COUNTIF($E120:AA120,"²")+COUNTIF($E120:AA120,"µ")+COUNTIF($E120:AA120,1),ColDescriptionCourte))&gt;1,
HYPERLINK("#Roadmap!C"&amp; MATCH($E120,Roadmap!$D:$D,0)+COUNTIF($E120:AA120,"u")+COUNTIF($E120:AA120,"t")+COUNTIF($E120:AA120,"¶")+COUNTIF($E120:AA120,"²")+COUNTIF($E120:AA120,"µ")+COUNTIF($E120:AA120,1)-1,INDEX(Roadmap!$D:$K,MATCH($E120,Roadmap!$D:$D,0)-1+COUNTIF($E120:AA120,"u")+COUNTIF($E120:AA120,"t")+COUNTIF($E120:AA120,"¶")+COUNTIF($E120:AA120,"²")+COUNTIF($E120:AA120,"µ")+COUNTIF($E120:AA120,1),ColDescriptionCourte)),""),
  "")),"")</f>
        <v/>
      </c>
      <c r="AC120" s="40" t="str">
        <f ca="1">IFERROR(IF(AND(
  INDEX(Roadmap!$D:$K,MATCH($E120,Roadmap!$D:$D,0)+COUNTIF($E120:AB120,"u")+COUNTIF($E120:AB120,"t")+COUNTIF($E120:AB120,"¶")+COUNTIF($E120:AB120,"²")+COUNTIF($E120:AB120,"µ")+COUNTIF($E120:AB120,1),ColLivraison)=AC$6,
  VLOOKUP($E120,INDIRECT("tri!"&amp; CHAR(64+ C0Col) &amp;":"&amp; CHAR(65+C0Col)),2,FALSE)&gt;COUNTIF($E120:AB120,"u")+COUNTIF($E120:AB120,"t")+COUNTIF($E120:AB120,"¶")+COUNTIF($E120:AB120,"²")+COUNTIF($E120:AB120,"µ")+COUNTIF($E120:AB120,1)),
HYPERLINK("#Roadmap!C"&amp; MATCH($E120,Roadmap!$D:$D,0)+COUNTIF($E120:AB120,"u")+COUNTIF($E120:AB120,"t"),
     INDEX(Roadmap!$D:$K,MATCH($E120,Roadmap!$D:$D,0)+COUNTIF($E120:AB120,"u")+COUNTIF($E120:AB120,"t")+COUNTIF($E120:AB120,"¶")+COUNTIF($E120:AB120,"²")+COUNTIF($E120:AB120,"µ")+COUNTIF($E120:AB120,1),ColTypeEcheance)),
  IF(LEN(AB120)=1,
  IF(LEN(INDEX(Roadmap!$D:$K,MATCH($E120,Roadmap!$D:$D,0)-1+COUNTIF($E120:AB120,"u")+COUNTIF($E120:AB120,"t")+COUNTIF($E120:AB120,"¶")+COUNTIF($E120:AB120,"²")+COUNTIF($E120:AB120,"µ")+COUNTIF($E120:AB120,1),ColDescriptionCourte))&gt;1,
HYPERLINK("#Roadmap!C"&amp; MATCH($E120,Roadmap!$D:$D,0)+COUNTIF($E120:AB120,"u")+COUNTIF($E120:AB120,"t")+COUNTIF($E120:AB120,"¶")+COUNTIF($E120:AB120,"²")+COUNTIF($E120:AB120,"µ")+COUNTIF($E120:AB120,1)-1,INDEX(Roadmap!$D:$K,MATCH($E120,Roadmap!$D:$D,0)-1+COUNTIF($E120:AB120,"u")+COUNTIF($E120:AB120,"t")+COUNTIF($E120:AB120,"¶")+COUNTIF($E120:AB120,"²")+COUNTIF($E120:AB120,"µ")+COUNTIF($E120:AB120,1),ColDescriptionCourte)),""),
  "")),"")</f>
        <v/>
      </c>
      <c r="AD120" s="40" t="str">
        <f ca="1">IFERROR(IF(AND(
  INDEX(Roadmap!$D:$K,MATCH($E120,Roadmap!$D:$D,0)+COUNTIF($E120:AC120,"u")+COUNTIF($E120:AC120,"t")+COUNTIF($E120:AC120,"¶")+COUNTIF($E120:AC120,"²")+COUNTIF($E120:AC120,"µ")+COUNTIF($E120:AC120,1),ColLivraison)=AD$6,
  VLOOKUP($E120,INDIRECT("tri!"&amp; CHAR(64+ C0Col) &amp;":"&amp; CHAR(65+C0Col)),2,FALSE)&gt;COUNTIF($E120:AC120,"u")+COUNTIF($E120:AC120,"t")+COUNTIF($E120:AC120,"¶")+COUNTIF($E120:AC120,"²")+COUNTIF($E120:AC120,"µ")+COUNTIF($E120:AC120,1)),
HYPERLINK("#Roadmap!C"&amp; MATCH($E120,Roadmap!$D:$D,0)+COUNTIF($E120:AC120,"u")+COUNTIF($E120:AC120,"t"),
     INDEX(Roadmap!$D:$K,MATCH($E120,Roadmap!$D:$D,0)+COUNTIF($E120:AC120,"u")+COUNTIF($E120:AC120,"t")+COUNTIF($E120:AC120,"¶")+COUNTIF($E120:AC120,"²")+COUNTIF($E120:AC120,"µ")+COUNTIF($E120:AC120,1),ColTypeEcheance)),
  IF(LEN(AC120)=1,
  IF(LEN(INDEX(Roadmap!$D:$K,MATCH($E120,Roadmap!$D:$D,0)-1+COUNTIF($E120:AC120,"u")+COUNTIF($E120:AC120,"t")+COUNTIF($E120:AC120,"¶")+COUNTIF($E120:AC120,"²")+COUNTIF($E120:AC120,"µ")+COUNTIF($E120:AC120,1),ColDescriptionCourte))&gt;1,
HYPERLINK("#Roadmap!C"&amp; MATCH($E120,Roadmap!$D:$D,0)+COUNTIF($E120:AC120,"u")+COUNTIF($E120:AC120,"t")+COUNTIF($E120:AC120,"¶")+COUNTIF($E120:AC120,"²")+COUNTIF($E120:AC120,"µ")+COUNTIF($E120:AC120,1)-1,INDEX(Roadmap!$D:$K,MATCH($E120,Roadmap!$D:$D,0)-1+COUNTIF($E120:AC120,"u")+COUNTIF($E120:AC120,"t")+COUNTIF($E120:AC120,"¶")+COUNTIF($E120:AC120,"²")+COUNTIF($E120:AC120,"µ")+COUNTIF($E120:AC120,1),ColDescriptionCourte)),""),
  "")),"")</f>
        <v/>
      </c>
      <c r="AE120" s="40" t="str">
        <f ca="1">IFERROR(IF(AND(
  INDEX(Roadmap!$D:$K,MATCH($E120,Roadmap!$D:$D,0)+COUNTIF($E120:AD120,"u")+COUNTIF($E120:AD120,"t")+COUNTIF($E120:AD120,"¶")+COUNTIF($E120:AD120,"²")+COUNTIF($E120:AD120,"µ")+COUNTIF($E120:AD120,1),ColLivraison)=AE$6,
  VLOOKUP($E120,INDIRECT("tri!"&amp; CHAR(64+ C0Col) &amp;":"&amp; CHAR(65+C0Col)),2,FALSE)&gt;COUNTIF($E120:AD120,"u")+COUNTIF($E120:AD120,"t")+COUNTIF($E120:AD120,"¶")+COUNTIF($E120:AD120,"²")+COUNTIF($E120:AD120,"µ")+COUNTIF($E120:AD120,1)),
HYPERLINK("#Roadmap!C"&amp; MATCH($E120,Roadmap!$D:$D,0)+COUNTIF($E120:AD120,"u")+COUNTIF($E120:AD120,"t"),
     INDEX(Roadmap!$D:$K,MATCH($E120,Roadmap!$D:$D,0)+COUNTIF($E120:AD120,"u")+COUNTIF($E120:AD120,"t")+COUNTIF($E120:AD120,"¶")+COUNTIF($E120:AD120,"²")+COUNTIF($E120:AD120,"µ")+COUNTIF($E120:AD120,1),ColTypeEcheance)),
  IF(LEN(AD120)=1,
  IF(LEN(INDEX(Roadmap!$D:$K,MATCH($E120,Roadmap!$D:$D,0)-1+COUNTIF($E120:AD120,"u")+COUNTIF($E120:AD120,"t")+COUNTIF($E120:AD120,"¶")+COUNTIF($E120:AD120,"²")+COUNTIF($E120:AD120,"µ")+COUNTIF($E120:AD120,1),ColDescriptionCourte))&gt;1,
HYPERLINK("#Roadmap!C"&amp; MATCH($E120,Roadmap!$D:$D,0)+COUNTIF($E120:AD120,"u")+COUNTIF($E120:AD120,"t")+COUNTIF($E120:AD120,"¶")+COUNTIF($E120:AD120,"²")+COUNTIF($E120:AD120,"µ")+COUNTIF($E120:AD120,1)-1,INDEX(Roadmap!$D:$K,MATCH($E120,Roadmap!$D:$D,0)-1+COUNTIF($E120:AD120,"u")+COUNTIF($E120:AD120,"t")+COUNTIF($E120:AD120,"¶")+COUNTIF($E120:AD120,"²")+COUNTIF($E120:AD120,"µ")+COUNTIF($E120:AD120,1),ColDescriptionCourte)),""),
  "")),"")</f>
        <v/>
      </c>
      <c r="AF120" s="40" t="str">
        <f ca="1">IFERROR(IF(AND(
  INDEX(Roadmap!$D:$K,MATCH($E120,Roadmap!$D:$D,0)+COUNTIF($E120:AE120,"u")+COUNTIF($E120:AE120,"t")+COUNTIF($E120:AE120,"¶")+COUNTIF($E120:AE120,"²")+COUNTIF($E120:AE120,"µ")+COUNTIF($E120:AE120,1),ColLivraison)=AF$6,
  VLOOKUP($E120,INDIRECT("tri!"&amp; CHAR(64+ C0Col) &amp;":"&amp; CHAR(65+C0Col)),2,FALSE)&gt;COUNTIF($E120:AE120,"u")+COUNTIF($E120:AE120,"t")+COUNTIF($E120:AE120,"¶")+COUNTIF($E120:AE120,"²")+COUNTIF($E120:AE120,"µ")+COUNTIF($E120:AE120,1)),
HYPERLINK("#Roadmap!C"&amp; MATCH($E120,Roadmap!$D:$D,0)+COUNTIF($E120:AE120,"u")+COUNTIF($E120:AE120,"t"),
     INDEX(Roadmap!$D:$K,MATCH($E120,Roadmap!$D:$D,0)+COUNTIF($E120:AE120,"u")+COUNTIF($E120:AE120,"t")+COUNTIF($E120:AE120,"¶")+COUNTIF($E120:AE120,"²")+COUNTIF($E120:AE120,"µ")+COUNTIF($E120:AE120,1),ColTypeEcheance)),
  IF(LEN(AE120)=1,
  IF(LEN(INDEX(Roadmap!$D:$K,MATCH($E120,Roadmap!$D:$D,0)-1+COUNTIF($E120:AE120,"u")+COUNTIF($E120:AE120,"t")+COUNTIF($E120:AE120,"¶")+COUNTIF($E120:AE120,"²")+COUNTIF($E120:AE120,"µ")+COUNTIF($E120:AE120,1),ColDescriptionCourte))&gt;1,
HYPERLINK("#Roadmap!C"&amp; MATCH($E120,Roadmap!$D:$D,0)+COUNTIF($E120:AE120,"u")+COUNTIF($E120:AE120,"t")+COUNTIF($E120:AE120,"¶")+COUNTIF($E120:AE120,"²")+COUNTIF($E120:AE120,"µ")+COUNTIF($E120:AE120,1)-1,INDEX(Roadmap!$D:$K,MATCH($E120,Roadmap!$D:$D,0)-1+COUNTIF($E120:AE120,"u")+COUNTIF($E120:AE120,"t")+COUNTIF($E120:AE120,"¶")+COUNTIF($E120:AE120,"²")+COUNTIF($E120:AE120,"µ")+COUNTIF($E120:AE120,1),ColDescriptionCourte)),""),
  "")),"")</f>
        <v/>
      </c>
      <c r="AG120" s="40" t="str">
        <f ca="1">IFERROR(IF(AND(
  INDEX(Roadmap!$D:$K,MATCH($E120,Roadmap!$D:$D,0)+COUNTIF($E120:AF120,"u")+COUNTIF($E120:AF120,"t")+COUNTIF($E120:AF120,"¶")+COUNTIF($E120:AF120,"²")+COUNTIF($E120:AF120,"µ")+COUNTIF($E120:AF120,1),ColLivraison)=AG$6,
  VLOOKUP($E120,INDIRECT("tri!"&amp; CHAR(64+ C0Col) &amp;":"&amp; CHAR(65+C0Col)),2,FALSE)&gt;COUNTIF($E120:AF120,"u")+COUNTIF($E120:AF120,"t")+COUNTIF($E120:AF120,"¶")+COUNTIF($E120:AF120,"²")+COUNTIF($E120:AF120,"µ")+COUNTIF($E120:AF120,1)),
HYPERLINK("#Roadmap!C"&amp; MATCH($E120,Roadmap!$D:$D,0)+COUNTIF($E120:AF120,"u")+COUNTIF($E120:AF120,"t"),
     INDEX(Roadmap!$D:$K,MATCH($E120,Roadmap!$D:$D,0)+COUNTIF($E120:AF120,"u")+COUNTIF($E120:AF120,"t")+COUNTIF($E120:AF120,"¶")+COUNTIF($E120:AF120,"²")+COUNTIF($E120:AF120,"µ")+COUNTIF($E120:AF120,1),ColTypeEcheance)),
  IF(LEN(AF120)=1,
  IF(LEN(INDEX(Roadmap!$D:$K,MATCH($E120,Roadmap!$D:$D,0)-1+COUNTIF($E120:AF120,"u")+COUNTIF($E120:AF120,"t")+COUNTIF($E120:AF120,"¶")+COUNTIF($E120:AF120,"²")+COUNTIF($E120:AF120,"µ")+COUNTIF($E120:AF120,1),ColDescriptionCourte))&gt;1,
HYPERLINK("#Roadmap!C"&amp; MATCH($E120,Roadmap!$D:$D,0)+COUNTIF($E120:AF120,"u")+COUNTIF($E120:AF120,"t")+COUNTIF($E120:AF120,"¶")+COUNTIF($E120:AF120,"²")+COUNTIF($E120:AF120,"µ")+COUNTIF($E120:AF120,1)-1,INDEX(Roadmap!$D:$K,MATCH($E120,Roadmap!$D:$D,0)-1+COUNTIF($E120:AF120,"u")+COUNTIF($E120:AF120,"t")+COUNTIF($E120:AF120,"¶")+COUNTIF($E120:AF120,"²")+COUNTIF($E120:AF120,"µ")+COUNTIF($E120:AF120,1),ColDescriptionCourte)),""),
  "")),"")</f>
        <v/>
      </c>
      <c r="AH120" s="40" t="str">
        <f ca="1">IFERROR(IF(AND(
  INDEX(Roadmap!$D:$K,MATCH($E120,Roadmap!$D:$D,0)+COUNTIF($E120:AG120,"u")+COUNTIF($E120:AG120,"t")+COUNTIF($E120:AG120,1),ColLivraison)=AH$6,
  VLOOKUP($E120,INDIRECT("tri!"&amp; CHAR(64+ C0Col) &amp;":"&amp; CHAR(65+C0Col)),2,FALSE)&gt;COUNTIF($E120:AG120,"u")+COUNTIF($E120:AG120,"t")+COUNTIF($E120:AG120,1)),
HYPERLINK("#Roadmap!C"&amp; MATCH($E120,Roadmap!$D:$D,0)+COUNTIF($E120:AG120,"u")+COUNTIF($E120:AG120,"t"),
     INDEX(Roadmap!$D:$K,MATCH($E120,Roadmap!$D:$D,0)+COUNTIF($E120:AG120,"u")+COUNTIF($E120:AG120,"t")+COUNTIF($E120:AG120,1),ColTypeEcheance)),
  IF(OR(AG120="u",AG120="t",AG120=1),
  IF(LEN(INDEX(Roadmap!$D:$K,MATCH($E120,Roadmap!$D:$D,0)-1+COUNTIF($E120:AG120,"u")+COUNTIF($E120:AG120,"t")+COUNTIF($E120:AG120,1),ColDescriptionCourte))&gt;1,
HYPERLINK("#Roadmap!C"&amp; MATCH($E120,Roadmap!$D:$D,0)+COUNTIF($E120:AG120,"u")+COUNTIF($E120:AG120,"t")+COUNTIF($E120:AG120,1)-1,INDEX(Roadmap!$D:$K,MATCH($E120,Roadmap!$D:$D,0)-1+COUNTIF($E120:AG120,"u")+COUNTIF($E120:AG120,"t")+COUNTIF($E120:AG120,1),ColDescriptionCourte)),""),
  "")),"")</f>
        <v/>
      </c>
      <c r="AI120" s="40"/>
      <c r="AJ120" s="40"/>
      <c r="AK120" s="40"/>
      <c r="AL120" s="40"/>
      <c r="AM120" s="40"/>
    </row>
    <row r="121" spans="4:39" ht="14.1" customHeight="1">
      <c r="D121" s="20" t="str">
        <f t="shared" ca="1" si="29"/>
        <v/>
      </c>
      <c r="E121" s="53" t="str">
        <f t="shared" ca="1" si="30"/>
        <v/>
      </c>
      <c r="F121" s="39" t="str">
        <f ca="1">IFERROR(IF(AND(
  INDEX(Roadmap!$D:$K,MATCH($E121,Roadmap!$D:$D,0)+COUNTIF($E121:E121,"u")+COUNTIF($E121:E121,"t")+COUNTIF($E121:E121,"¶")+COUNTIF($E121:E121,"²")+COUNTIF($E121:E121,"µ")+COUNTIF($E121:E121,1),ColLivraison)=F$6,
  VLOOKUP($E121,INDIRECT("tri!"&amp; CHAR(64+ C0Col) &amp;":"&amp; CHAR(65+C0Col)),2,FALSE)&gt;COUNTIF($E121:E121,"u")+COUNTIF($E121:E121,"t")+COUNTIF($E121:E121,"¶")+COUNTIF($E121:E121,"²")+COUNTIF($E121:E121,"µ")+COUNTIF($E121:E121,1)),
HYPERLINK("#Roadmap!C"&amp; MATCH($E121,Roadmap!$D:$D,0)+COUNTIF($E121:E121,"u")+COUNTIF($E121:E121,"t"),
     INDEX(Roadmap!$D:$K,MATCH($E121,Roadmap!$D:$D,0)+COUNTIF($E121:E121,"u")+COUNTIF($E121:E121,"t")+COUNTIF($E121:E121,"¶")+COUNTIF($E121:E121,"²")+COUNTIF($E121:E121,"µ")+COUNTIF($E121:E121,1),ColTypeEcheance)),
  IF(LEN(E121)=1,
  IF(LEN(INDEX(Roadmap!$D:$K,MATCH($E121,Roadmap!$D:$D,0)-1+COUNTIF($E121:E121,"u")+COUNTIF($E121:E121,"t")+COUNTIF($E121:E121,"¶")+COUNTIF($E121:E121,"²")+COUNTIF($E121:E121,"µ")+COUNTIF($E121:E121,1),ColDescriptionCourte))&gt;1,
HYPERLINK("#Roadmap!C"&amp; MATCH($E121,Roadmap!$D:$D,0)+COUNTIF($E121:E121,"u")+COUNTIF($E121:E121,"t")+COUNTIF($E121:E121,"¶")+COUNTIF($E121:E121,"²")+COUNTIF($E121:E121,"µ")+COUNTIF($E121:E121,1)-1,INDEX(Roadmap!$D:$K,MATCH($E121,Roadmap!$D:$D,0)-1+COUNTIF($E121:E121,"u")+COUNTIF($E121:E121,"t")+COUNTIF($E121:E121,"¶")+COUNTIF($E121:E121,"²")+COUNTIF($E121:E121,"µ")+COUNTIF($E121:E121,1),ColDescriptionCourte)),""),
  "")),"")</f>
        <v/>
      </c>
      <c r="G121" s="40" t="str">
        <f ca="1">IFERROR(IF(AND(
  INDEX(Roadmap!$D:$K,MATCH($E121,Roadmap!$D:$D,0)+COUNTIF($E121:F121,"u")+COUNTIF($E121:F121,"t")+COUNTIF($E121:F121,"¶")+COUNTIF($E121:F121,"²")+COUNTIF($E121:F121,"µ")+COUNTIF($E121:F121,1),ColLivraison)=G$6,
  VLOOKUP($E121,INDIRECT("tri!"&amp; CHAR(64+ C0Col) &amp;":"&amp; CHAR(65+C0Col)),2,FALSE)&gt;COUNTIF($E121:F121,"u")+COUNTIF($E121:F121,"t")+COUNTIF($E121:F121,"¶")+COUNTIF($E121:F121,"²")+COUNTIF($E121:F121,"µ")+COUNTIF($E121:F121,1)),
HYPERLINK("#Roadmap!C"&amp; MATCH($E121,Roadmap!$D:$D,0)+COUNTIF($E121:F121,"u")+COUNTIF($E121:F121,"t"),
     INDEX(Roadmap!$D:$K,MATCH($E121,Roadmap!$D:$D,0)+COUNTIF($E121:F121,"u")+COUNTIF($E121:F121,"t")+COUNTIF($E121:F121,"¶")+COUNTIF($E121:F121,"²")+COUNTIF($E121:F121,"µ")+COUNTIF($E121:F121,1),ColTypeEcheance)),
  IF(LEN(F121)=1,
  IF(LEN(INDEX(Roadmap!$D:$K,MATCH($E121,Roadmap!$D:$D,0)-1+COUNTIF($E121:F121,"u")+COUNTIF($E121:F121,"t")+COUNTIF($E121:F121,"¶")+COUNTIF($E121:F121,"²")+COUNTIF($E121:F121,"µ")+COUNTIF($E121:F121,1),ColDescriptionCourte))&gt;1,
HYPERLINK("#Roadmap!C"&amp; MATCH($E121,Roadmap!$D:$D,0)+COUNTIF($E121:F121,"u")+COUNTIF($E121:F121,"t")+COUNTIF($E121:F121,"¶")+COUNTIF($E121:F121,"²")+COUNTIF($E121:F121,"µ")+COUNTIF($E121:F121,1)-1,INDEX(Roadmap!$D:$K,MATCH($E121,Roadmap!$D:$D,0)-1+COUNTIF($E121:F121,"u")+COUNTIF($E121:F121,"t")+COUNTIF($E121:F121,"¶")+COUNTIF($E121:F121,"²")+COUNTIF($E121:F121,"µ")+COUNTIF($E121:F121,1),ColDescriptionCourte)),""),
  "")),"")</f>
        <v/>
      </c>
      <c r="H121" s="40" t="str">
        <f ca="1">IFERROR(IF(AND(
  INDEX(Roadmap!$D:$K,MATCH($E121,Roadmap!$D:$D,0)+COUNTIF($E121:G121,"u")+COUNTIF($E121:G121,"t")+COUNTIF($E121:G121,"¶")+COUNTIF($E121:G121,"²")+COUNTIF($E121:G121,"µ")+COUNTIF($E121:G121,1),ColLivraison)=H$6,
  VLOOKUP($E121,INDIRECT("tri!"&amp; CHAR(64+ C0Col) &amp;":"&amp; CHAR(65+C0Col)),2,FALSE)&gt;COUNTIF($E121:G121,"u")+COUNTIF($E121:G121,"t")+COUNTIF($E121:G121,"¶")+COUNTIF($E121:G121,"²")+COUNTIF($E121:G121,"µ")+COUNTIF($E121:G121,1)),
HYPERLINK("#Roadmap!C"&amp; MATCH($E121,Roadmap!$D:$D,0)+COUNTIF($E121:G121,"u")+COUNTIF($E121:G121,"t"),
     INDEX(Roadmap!$D:$K,MATCH($E121,Roadmap!$D:$D,0)+COUNTIF($E121:G121,"u")+COUNTIF($E121:G121,"t")+COUNTIF($E121:G121,"¶")+COUNTIF($E121:G121,"²")+COUNTIF($E121:G121,"µ")+COUNTIF($E121:G121,1),ColTypeEcheance)),
  IF(LEN(G121)=1,
  IF(LEN(INDEX(Roadmap!$D:$K,MATCH($E121,Roadmap!$D:$D,0)-1+COUNTIF($E121:G121,"u")+COUNTIF($E121:G121,"t")+COUNTIF($E121:G121,"¶")+COUNTIF($E121:G121,"²")+COUNTIF($E121:G121,"µ")+COUNTIF($E121:G121,1),ColDescriptionCourte))&gt;1,
HYPERLINK("#Roadmap!C"&amp; MATCH($E121,Roadmap!$D:$D,0)+COUNTIF($E121:G121,"u")+COUNTIF($E121:G121,"t")+COUNTIF($E121:G121,"¶")+COUNTIF($E121:G121,"²")+COUNTIF($E121:G121,"µ")+COUNTIF($E121:G121,1)-1,INDEX(Roadmap!$D:$K,MATCH($E121,Roadmap!$D:$D,0)-1+COUNTIF($E121:G121,"u")+COUNTIF($E121:G121,"t")+COUNTIF($E121:G121,"¶")+COUNTIF($E121:G121,"²")+COUNTIF($E121:G121,"µ")+COUNTIF($E121:G121,1),ColDescriptionCourte)),""),
  "")),"")</f>
        <v/>
      </c>
      <c r="I121" s="40" t="str">
        <f ca="1">IFERROR(IF(AND(
  INDEX(Roadmap!$D:$K,MATCH($E121,Roadmap!$D:$D,0)+COUNTIF($E121:H121,"u")+COUNTIF($E121:H121,"t")+COUNTIF($E121:H121,"¶")+COUNTIF($E121:H121,"²")+COUNTIF($E121:H121,"µ")+COUNTIF($E121:H121,1),ColLivraison)=I$6,
  VLOOKUP($E121,INDIRECT("tri!"&amp; CHAR(64+ C0Col) &amp;":"&amp; CHAR(65+C0Col)),2,FALSE)&gt;COUNTIF($E121:H121,"u")+COUNTIF($E121:H121,"t")+COUNTIF($E121:H121,"¶")+COUNTIF($E121:H121,"²")+COUNTIF($E121:H121,"µ")+COUNTIF($E121:H121,1)),
HYPERLINK("#Roadmap!C"&amp; MATCH($E121,Roadmap!$D:$D,0)+COUNTIF($E121:H121,"u")+COUNTIF($E121:H121,"t"),
     INDEX(Roadmap!$D:$K,MATCH($E121,Roadmap!$D:$D,0)+COUNTIF($E121:H121,"u")+COUNTIF($E121:H121,"t")+COUNTIF($E121:H121,"¶")+COUNTIF($E121:H121,"²")+COUNTIF($E121:H121,"µ")+COUNTIF($E121:H121,1),ColTypeEcheance)),
  IF(LEN(H121)=1,
  IF(LEN(INDEX(Roadmap!$D:$K,MATCH($E121,Roadmap!$D:$D,0)-1+COUNTIF($E121:H121,"u")+COUNTIF($E121:H121,"t")+COUNTIF($E121:H121,"¶")+COUNTIF($E121:H121,"²")+COUNTIF($E121:H121,"µ")+COUNTIF($E121:H121,1),ColDescriptionCourte))&gt;1,
HYPERLINK("#Roadmap!C"&amp; MATCH($E121,Roadmap!$D:$D,0)+COUNTIF($E121:H121,"u")+COUNTIF($E121:H121,"t")+COUNTIF($E121:H121,"¶")+COUNTIF($E121:H121,"²")+COUNTIF($E121:H121,"µ")+COUNTIF($E121:H121,1)-1,INDEX(Roadmap!$D:$K,MATCH($E121,Roadmap!$D:$D,0)-1+COUNTIF($E121:H121,"u")+COUNTIF($E121:H121,"t")+COUNTIF($E121:H121,"¶")+COUNTIF($E121:H121,"²")+COUNTIF($E121:H121,"µ")+COUNTIF($E121:H121,1),ColDescriptionCourte)),""),
  "")),"")</f>
        <v/>
      </c>
      <c r="J121" s="40" t="str">
        <f ca="1">IFERROR(IF(AND(
  INDEX(Roadmap!$D:$K,MATCH($E121,Roadmap!$D:$D,0)+COUNTIF($E121:I121,"u")+COUNTIF($E121:I121,"t")+COUNTIF($E121:I121,"¶")+COUNTIF($E121:I121,"²")+COUNTIF($E121:I121,"µ")+COUNTIF($E121:I121,1),ColLivraison)=J$6,
  VLOOKUP($E121,INDIRECT("tri!"&amp; CHAR(64+ C0Col) &amp;":"&amp; CHAR(65+C0Col)),2,FALSE)&gt;COUNTIF($E121:I121,"u")+COUNTIF($E121:I121,"t")+COUNTIF($E121:I121,"¶")+COUNTIF($E121:I121,"²")+COUNTIF($E121:I121,"µ")+COUNTIF($E121:I121,1)),
HYPERLINK("#Roadmap!C"&amp; MATCH($E121,Roadmap!$D:$D,0)+COUNTIF($E121:I121,"u")+COUNTIF($E121:I121,"t"),
     INDEX(Roadmap!$D:$K,MATCH($E121,Roadmap!$D:$D,0)+COUNTIF($E121:I121,"u")+COUNTIF($E121:I121,"t")+COUNTIF($E121:I121,"¶")+COUNTIF($E121:I121,"²")+COUNTIF($E121:I121,"µ")+COUNTIF($E121:I121,1),ColTypeEcheance)),
  IF(LEN(I121)=1,
  IF(LEN(INDEX(Roadmap!$D:$K,MATCH($E121,Roadmap!$D:$D,0)-1+COUNTIF($E121:I121,"u")+COUNTIF($E121:I121,"t")+COUNTIF($E121:I121,"¶")+COUNTIF($E121:I121,"²")+COUNTIF($E121:I121,"µ")+COUNTIF($E121:I121,1),ColDescriptionCourte))&gt;1,
HYPERLINK("#Roadmap!C"&amp; MATCH($E121,Roadmap!$D:$D,0)+COUNTIF($E121:I121,"u")+COUNTIF($E121:I121,"t")+COUNTIF($E121:I121,"¶")+COUNTIF($E121:I121,"²")+COUNTIF($E121:I121,"µ")+COUNTIF($E121:I121,1)-1,INDEX(Roadmap!$D:$K,MATCH($E121,Roadmap!$D:$D,0)-1+COUNTIF($E121:I121,"u")+COUNTIF($E121:I121,"t")+COUNTIF($E121:I121,"¶")+COUNTIF($E121:I121,"²")+COUNTIF($E121:I121,"µ")+COUNTIF($E121:I121,1),ColDescriptionCourte)),""),
  "")),"")</f>
        <v/>
      </c>
      <c r="K121" s="40" t="str">
        <f ca="1">IFERROR(IF(AND(
  INDEX(Roadmap!$D:$K,MATCH($E121,Roadmap!$D:$D,0)+COUNTIF($E121:J121,"u")+COUNTIF($E121:J121,"t")+COUNTIF($E121:J121,"¶")+COUNTIF($E121:J121,"²")+COUNTIF($E121:J121,"µ")+COUNTIF($E121:J121,1),ColLivraison)=K$6,
  VLOOKUP($E121,INDIRECT("tri!"&amp; CHAR(64+ C0Col) &amp;":"&amp; CHAR(65+C0Col)),2,FALSE)&gt;COUNTIF($E121:J121,"u")+COUNTIF($E121:J121,"t")+COUNTIF($E121:J121,"¶")+COUNTIF($E121:J121,"²")+COUNTIF($E121:J121,"µ")+COUNTIF($E121:J121,1)),
HYPERLINK("#Roadmap!C"&amp; MATCH($E121,Roadmap!$D:$D,0)+COUNTIF($E121:J121,"u")+COUNTIF($E121:J121,"t"),
     INDEX(Roadmap!$D:$K,MATCH($E121,Roadmap!$D:$D,0)+COUNTIF($E121:J121,"u")+COUNTIF($E121:J121,"t")+COUNTIF($E121:J121,"¶")+COUNTIF($E121:J121,"²")+COUNTIF($E121:J121,"µ")+COUNTIF($E121:J121,1),ColTypeEcheance)),
  IF(LEN(J121)=1,
  IF(LEN(INDEX(Roadmap!$D:$K,MATCH($E121,Roadmap!$D:$D,0)-1+COUNTIF($E121:J121,"u")+COUNTIF($E121:J121,"t")+COUNTIF($E121:J121,"¶")+COUNTIF($E121:J121,"²")+COUNTIF($E121:J121,"µ")+COUNTIF($E121:J121,1),ColDescriptionCourte))&gt;1,
HYPERLINK("#Roadmap!C"&amp; MATCH($E121,Roadmap!$D:$D,0)+COUNTIF($E121:J121,"u")+COUNTIF($E121:J121,"t")+COUNTIF($E121:J121,"¶")+COUNTIF($E121:J121,"²")+COUNTIF($E121:J121,"µ")+COUNTIF($E121:J121,1)-1,INDEX(Roadmap!$D:$K,MATCH($E121,Roadmap!$D:$D,0)-1+COUNTIF($E121:J121,"u")+COUNTIF($E121:J121,"t")+COUNTIF($E121:J121,"¶")+COUNTIF($E121:J121,"²")+COUNTIF($E121:J121,"µ")+COUNTIF($E121:J121,1),ColDescriptionCourte)),""),
  "")),"")</f>
        <v/>
      </c>
      <c r="L121" s="39" t="str">
        <f ca="1">IFERROR(IF(AND(
  INDEX(Roadmap!$D:$K,MATCH($E121,Roadmap!$D:$D,0)+COUNTIF($E121:K121,"u")+COUNTIF($E121:K121,"t")+COUNTIF($E121:K121,"¶")+COUNTIF($E121:K121,"²")+COUNTIF($E121:K121,"µ")+COUNTIF($E121:K121,1),ColLivraison)=L$6,
  VLOOKUP($E121,INDIRECT("tri!"&amp; CHAR(64+ C0Col) &amp;":"&amp; CHAR(65+C0Col)),2,FALSE)&gt;COUNTIF($E121:K121,"u")+COUNTIF($E121:K121,"t")+COUNTIF($E121:K121,"¶")+COUNTIF($E121:K121,"²")+COUNTIF($E121:K121,"µ")+COUNTIF($E121:K121,1)),
HYPERLINK("#Roadmap!C"&amp; MATCH($E121,Roadmap!$D:$D,0)+COUNTIF($E121:K121,"u")+COUNTIF($E121:K121,"t"),
     INDEX(Roadmap!$D:$K,MATCH($E121,Roadmap!$D:$D,0)+COUNTIF($E121:K121,"u")+COUNTIF($E121:K121,"t")+COUNTIF($E121:K121,"¶")+COUNTIF($E121:K121,"²")+COUNTIF($E121:K121,"µ")+COUNTIF($E121:K121,1),ColTypeEcheance)),
  IF(LEN(K121)=1,
  IF(LEN(INDEX(Roadmap!$D:$K,MATCH($E121,Roadmap!$D:$D,0)-1+COUNTIF($E121:K121,"u")+COUNTIF($E121:K121,"t")+COUNTIF($E121:K121,"¶")+COUNTIF($E121:K121,"²")+COUNTIF($E121:K121,"µ")+COUNTIF($E121:K121,1),ColDescriptionCourte))&gt;1,
HYPERLINK("#Roadmap!C"&amp; MATCH($E121,Roadmap!$D:$D,0)+COUNTIF($E121:K121,"u")+COUNTIF($E121:K121,"t")+COUNTIF($E121:K121,"¶")+COUNTIF($E121:K121,"²")+COUNTIF($E121:K121,"µ")+COUNTIF($E121:K121,1)-1,INDEX(Roadmap!$D:$K,MATCH($E121,Roadmap!$D:$D,0)-1+COUNTIF($E121:K121,"u")+COUNTIF($E121:K121,"t")+COUNTIF($E121:K121,"¶")+COUNTIF($E121:K121,"²")+COUNTIF($E121:K121,"µ")+COUNTIF($E121:K121,1),ColDescriptionCourte)),""),
  "")),"")</f>
        <v/>
      </c>
      <c r="M121" s="40" t="str">
        <f ca="1">IFERROR(IF(AND(
  INDEX(Roadmap!$D:$K,MATCH($E121,Roadmap!$D:$D,0)+COUNTIF($E121:L121,"u")+COUNTIF($E121:L121,"t")+COUNTIF($E121:L121,"¶")+COUNTIF($E121:L121,"²")+COUNTIF($E121:L121,"µ")+COUNTIF($E121:L121,1),ColLivraison)=M$6,
  VLOOKUP($E121,INDIRECT("tri!"&amp; CHAR(64+ C0Col) &amp;":"&amp; CHAR(65+C0Col)),2,FALSE)&gt;COUNTIF($E121:L121,"u")+COUNTIF($E121:L121,"t")+COUNTIF($E121:L121,"¶")+COUNTIF($E121:L121,"²")+COUNTIF($E121:L121,"µ")+COUNTIF($E121:L121,1)),
HYPERLINK("#Roadmap!C"&amp; MATCH($E121,Roadmap!$D:$D,0)+COUNTIF($E121:L121,"u")+COUNTIF($E121:L121,"t"),
     INDEX(Roadmap!$D:$K,MATCH($E121,Roadmap!$D:$D,0)+COUNTIF($E121:L121,"u")+COUNTIF($E121:L121,"t")+COUNTIF($E121:L121,"¶")+COUNTIF($E121:L121,"²")+COUNTIF($E121:L121,"µ")+COUNTIF($E121:L121,1),ColTypeEcheance)),
  IF(LEN(L121)=1,
  IF(LEN(INDEX(Roadmap!$D:$K,MATCH($E121,Roadmap!$D:$D,0)-1+COUNTIF($E121:L121,"u")+COUNTIF($E121:L121,"t")+COUNTIF($E121:L121,"¶")+COUNTIF($E121:L121,"²")+COUNTIF($E121:L121,"µ")+COUNTIF($E121:L121,1),ColDescriptionCourte))&gt;1,
HYPERLINK("#Roadmap!C"&amp; MATCH($E121,Roadmap!$D:$D,0)+COUNTIF($E121:L121,"u")+COUNTIF($E121:L121,"t")+COUNTIF($E121:L121,"¶")+COUNTIF($E121:L121,"²")+COUNTIF($E121:L121,"µ")+COUNTIF($E121:L121,1)-1,INDEX(Roadmap!$D:$K,MATCH($E121,Roadmap!$D:$D,0)-1+COUNTIF($E121:L121,"u")+COUNTIF($E121:L121,"t")+COUNTIF($E121:L121,"¶")+COUNTIF($E121:L121,"²")+COUNTIF($E121:L121,"µ")+COUNTIF($E121:L121,1),ColDescriptionCourte)),""),
  "")),"")</f>
        <v/>
      </c>
      <c r="N121" s="40" t="str">
        <f ca="1">IFERROR(IF(AND(
  INDEX(Roadmap!$D:$K,MATCH($E121,Roadmap!$D:$D,0)+COUNTIF($E121:M121,"u")+COUNTIF($E121:M121,"t")+COUNTIF($E121:M121,"¶")+COUNTIF($E121:M121,"²")+COUNTIF($E121:M121,"µ")+COUNTIF($E121:M121,1),ColLivraison)=N$6,
  VLOOKUP($E121,INDIRECT("tri!"&amp; CHAR(64+ C0Col) &amp;":"&amp; CHAR(65+C0Col)),2,FALSE)&gt;COUNTIF($E121:M121,"u")+COUNTIF($E121:M121,"t")+COUNTIF($E121:M121,"¶")+COUNTIF($E121:M121,"²")+COUNTIF($E121:M121,"µ")+COUNTIF($E121:M121,1)),
HYPERLINK("#Roadmap!C"&amp; MATCH($E121,Roadmap!$D:$D,0)+COUNTIF($E121:M121,"u")+COUNTIF($E121:M121,"t"),
     INDEX(Roadmap!$D:$K,MATCH($E121,Roadmap!$D:$D,0)+COUNTIF($E121:M121,"u")+COUNTIF($E121:M121,"t")+COUNTIF($E121:M121,"¶")+COUNTIF($E121:M121,"²")+COUNTIF($E121:M121,"µ")+COUNTIF($E121:M121,1),ColTypeEcheance)),
  IF(LEN(M121)=1,
  IF(LEN(INDEX(Roadmap!$D:$K,MATCH($E121,Roadmap!$D:$D,0)-1+COUNTIF($E121:M121,"u")+COUNTIF($E121:M121,"t")+COUNTIF($E121:M121,"¶")+COUNTIF($E121:M121,"²")+COUNTIF($E121:M121,"µ")+COUNTIF($E121:M121,1),ColDescriptionCourte))&gt;1,
HYPERLINK("#Roadmap!C"&amp; MATCH($E121,Roadmap!$D:$D,0)+COUNTIF($E121:M121,"u")+COUNTIF($E121:M121,"t")+COUNTIF($E121:M121,"¶")+COUNTIF($E121:M121,"²")+COUNTIF($E121:M121,"µ")+COUNTIF($E121:M121,1)-1,INDEX(Roadmap!$D:$K,MATCH($E121,Roadmap!$D:$D,0)-1+COUNTIF($E121:M121,"u")+COUNTIF($E121:M121,"t")+COUNTIF($E121:M121,"¶")+COUNTIF($E121:M121,"²")+COUNTIF($E121:M121,"µ")+COUNTIF($E121:M121,1),ColDescriptionCourte)),""),
  "")),"")</f>
        <v/>
      </c>
      <c r="O121" s="40" t="str">
        <f ca="1">IFERROR(IF(AND(
  INDEX(Roadmap!$D:$K,MATCH($E121,Roadmap!$D:$D,0)+COUNTIF($E121:N121,"u")+COUNTIF($E121:N121,"t")+COUNTIF($E121:N121,"¶")+COUNTIF($E121:N121,"²")+COUNTIF($E121:N121,"µ")+COUNTIF($E121:N121,1),ColLivraison)=O$6,
  VLOOKUP($E121,INDIRECT("tri!"&amp; CHAR(64+ C0Col) &amp;":"&amp; CHAR(65+C0Col)),2,FALSE)&gt;COUNTIF($E121:N121,"u")+COUNTIF($E121:N121,"t")+COUNTIF($E121:N121,"¶")+COUNTIF($E121:N121,"²")+COUNTIF($E121:N121,"µ")+COUNTIF($E121:N121,1)),
HYPERLINK("#Roadmap!C"&amp; MATCH($E121,Roadmap!$D:$D,0)+COUNTIF($E121:N121,"u")+COUNTIF($E121:N121,"t"),
     INDEX(Roadmap!$D:$K,MATCH($E121,Roadmap!$D:$D,0)+COUNTIF($E121:N121,"u")+COUNTIF($E121:N121,"t")+COUNTIF($E121:N121,"¶")+COUNTIF($E121:N121,"²")+COUNTIF($E121:N121,"µ")+COUNTIF($E121:N121,1),ColTypeEcheance)),
  IF(LEN(N121)=1,
  IF(LEN(INDEX(Roadmap!$D:$K,MATCH($E121,Roadmap!$D:$D,0)-1+COUNTIF($E121:N121,"u")+COUNTIF($E121:N121,"t")+COUNTIF($E121:N121,"¶")+COUNTIF($E121:N121,"²")+COUNTIF($E121:N121,"µ")+COUNTIF($E121:N121,1),ColDescriptionCourte))&gt;1,
HYPERLINK("#Roadmap!C"&amp; MATCH($E121,Roadmap!$D:$D,0)+COUNTIF($E121:N121,"u")+COUNTIF($E121:N121,"t")+COUNTIF($E121:N121,"¶")+COUNTIF($E121:N121,"²")+COUNTIF($E121:N121,"µ")+COUNTIF($E121:N121,1)-1,INDEX(Roadmap!$D:$K,MATCH($E121,Roadmap!$D:$D,0)-1+COUNTIF($E121:N121,"u")+COUNTIF($E121:N121,"t")+COUNTIF($E121:N121,"¶")+COUNTIF($E121:N121,"²")+COUNTIF($E121:N121,"µ")+COUNTIF($E121:N121,1),ColDescriptionCourte)),""),
  "")),"")</f>
        <v/>
      </c>
      <c r="P121" s="40" t="str">
        <f ca="1">IFERROR(IF(AND(
  INDEX(Roadmap!$D:$K,MATCH($E121,Roadmap!$D:$D,0)+COUNTIF($E121:O121,"u")+COUNTIF($E121:O121,"t")+COUNTIF($E121:O121,"¶")+COUNTIF($E121:O121,"²")+COUNTIF($E121:O121,"µ")+COUNTIF($E121:O121,1),ColLivraison)=P$6,
  VLOOKUP($E121,INDIRECT("tri!"&amp; CHAR(64+ C0Col) &amp;":"&amp; CHAR(65+C0Col)),2,FALSE)&gt;COUNTIF($E121:O121,"u")+COUNTIF($E121:O121,"t")+COUNTIF($E121:O121,"¶")+COUNTIF($E121:O121,"²")+COUNTIF($E121:O121,"µ")+COUNTIF($E121:O121,1)),
HYPERLINK("#Roadmap!C"&amp; MATCH($E121,Roadmap!$D:$D,0)+COUNTIF($E121:O121,"u")+COUNTIF($E121:O121,"t"),
     INDEX(Roadmap!$D:$K,MATCH($E121,Roadmap!$D:$D,0)+COUNTIF($E121:O121,"u")+COUNTIF($E121:O121,"t")+COUNTIF($E121:O121,"¶")+COUNTIF($E121:O121,"²")+COUNTIF($E121:O121,"µ")+COUNTIF($E121:O121,1),ColTypeEcheance)),
  IF(LEN(O121)=1,
  IF(LEN(INDEX(Roadmap!$D:$K,MATCH($E121,Roadmap!$D:$D,0)-1+COUNTIF($E121:O121,"u")+COUNTIF($E121:O121,"t")+COUNTIF($E121:O121,"¶")+COUNTIF($E121:O121,"²")+COUNTIF($E121:O121,"µ")+COUNTIF($E121:O121,1),ColDescriptionCourte))&gt;1,
HYPERLINK("#Roadmap!C"&amp; MATCH($E121,Roadmap!$D:$D,0)+COUNTIF($E121:O121,"u")+COUNTIF($E121:O121,"t")+COUNTIF($E121:O121,"¶")+COUNTIF($E121:O121,"²")+COUNTIF($E121:O121,"µ")+COUNTIF($E121:O121,1)-1,INDEX(Roadmap!$D:$K,MATCH($E121,Roadmap!$D:$D,0)-1+COUNTIF($E121:O121,"u")+COUNTIF($E121:O121,"t")+COUNTIF($E121:O121,"¶")+COUNTIF($E121:O121,"²")+COUNTIF($E121:O121,"µ")+COUNTIF($E121:O121,1),ColDescriptionCourte)),""),
  "")),"")</f>
        <v/>
      </c>
      <c r="Q121" s="40" t="str">
        <f ca="1">IFERROR(IF(AND(
  INDEX(Roadmap!$D:$K,MATCH($E121,Roadmap!$D:$D,0)+COUNTIF($E121:P121,"u")+COUNTIF($E121:P121,"t")+COUNTIF($E121:P121,"¶")+COUNTIF($E121:P121,"²")+COUNTIF($E121:P121,"µ")+COUNTIF($E121:P121,1),ColLivraison)=Q$6,
  VLOOKUP($E121,INDIRECT("tri!"&amp; CHAR(64+ C0Col) &amp;":"&amp; CHAR(65+C0Col)),2,FALSE)&gt;COUNTIF($E121:P121,"u")+COUNTIF($E121:P121,"t")+COUNTIF($E121:P121,"¶")+COUNTIF($E121:P121,"²")+COUNTIF($E121:P121,"µ")+COUNTIF($E121:P121,1)),
HYPERLINK("#Roadmap!C"&amp; MATCH($E121,Roadmap!$D:$D,0)+COUNTIF($E121:P121,"u")+COUNTIF($E121:P121,"t"),
     INDEX(Roadmap!$D:$K,MATCH($E121,Roadmap!$D:$D,0)+COUNTIF($E121:P121,"u")+COUNTIF($E121:P121,"t")+COUNTIF($E121:P121,"¶")+COUNTIF($E121:P121,"²")+COUNTIF($E121:P121,"µ")+COUNTIF($E121:P121,1),ColTypeEcheance)),
  IF(LEN(P121)=1,
  IF(LEN(INDEX(Roadmap!$D:$K,MATCH($E121,Roadmap!$D:$D,0)-1+COUNTIF($E121:P121,"u")+COUNTIF($E121:P121,"t")+COUNTIF($E121:P121,"¶")+COUNTIF($E121:P121,"²")+COUNTIF($E121:P121,"µ")+COUNTIF($E121:P121,1),ColDescriptionCourte))&gt;1,
HYPERLINK("#Roadmap!C"&amp; MATCH($E121,Roadmap!$D:$D,0)+COUNTIF($E121:P121,"u")+COUNTIF($E121:P121,"t")+COUNTIF($E121:P121,"¶")+COUNTIF($E121:P121,"²")+COUNTIF($E121:P121,"µ")+COUNTIF($E121:P121,1)-1,INDEX(Roadmap!$D:$K,MATCH($E121,Roadmap!$D:$D,0)-1+COUNTIF($E121:P121,"u")+COUNTIF($E121:P121,"t")+COUNTIF($E121:P121,"¶")+COUNTIF($E121:P121,"²")+COUNTIF($E121:P121,"µ")+COUNTIF($E121:P121,1),ColDescriptionCourte)),""),
  "")),"")</f>
        <v/>
      </c>
      <c r="R121" s="40" t="str">
        <f ca="1">IFERROR(IF(AND(
  INDEX(Roadmap!$D:$K,MATCH($E121,Roadmap!$D:$D,0)+COUNTIF($E121:Q121,"u")+COUNTIF($E121:Q121,"t")+COUNTIF($E121:Q121,"¶")+COUNTIF($E121:Q121,"²")+COUNTIF($E121:Q121,"µ")+COUNTIF($E121:Q121,1),ColLivraison)=R$6,
  VLOOKUP($E121,INDIRECT("tri!"&amp; CHAR(64+ C0Col) &amp;":"&amp; CHAR(65+C0Col)),2,FALSE)&gt;COUNTIF($E121:Q121,"u")+COUNTIF($E121:Q121,"t")+COUNTIF($E121:Q121,"¶")+COUNTIF($E121:Q121,"²")+COUNTIF($E121:Q121,"µ")+COUNTIF($E121:Q121,1)),
HYPERLINK("#Roadmap!C"&amp; MATCH($E121,Roadmap!$D:$D,0)+COUNTIF($E121:Q121,"u")+COUNTIF($E121:Q121,"t"),
     INDEX(Roadmap!$D:$K,MATCH($E121,Roadmap!$D:$D,0)+COUNTIF($E121:Q121,"u")+COUNTIF($E121:Q121,"t")+COUNTIF($E121:Q121,"¶")+COUNTIF($E121:Q121,"²")+COUNTIF($E121:Q121,"µ")+COUNTIF($E121:Q121,1),ColTypeEcheance)),
  IF(LEN(Q121)=1,
  IF(LEN(INDEX(Roadmap!$D:$K,MATCH($E121,Roadmap!$D:$D,0)-1+COUNTIF($E121:Q121,"u")+COUNTIF($E121:Q121,"t")+COUNTIF($E121:Q121,"¶")+COUNTIF($E121:Q121,"²")+COUNTIF($E121:Q121,"µ")+COUNTIF($E121:Q121,1),ColDescriptionCourte))&gt;1,
HYPERLINK("#Roadmap!C"&amp; MATCH($E121,Roadmap!$D:$D,0)+COUNTIF($E121:Q121,"u")+COUNTIF($E121:Q121,"t")+COUNTIF($E121:Q121,"¶")+COUNTIF($E121:Q121,"²")+COUNTIF($E121:Q121,"µ")+COUNTIF($E121:Q121,1)-1,INDEX(Roadmap!$D:$K,MATCH($E121,Roadmap!$D:$D,0)-1+COUNTIF($E121:Q121,"u")+COUNTIF($E121:Q121,"t")+COUNTIF($E121:Q121,"¶")+COUNTIF($E121:Q121,"²")+COUNTIF($E121:Q121,"µ")+COUNTIF($E121:Q121,1),ColDescriptionCourte)),""),
  "")),"")</f>
        <v/>
      </c>
      <c r="S121" s="40" t="str">
        <f ca="1">IFERROR(IF(AND(
  INDEX(Roadmap!$D:$K,MATCH($E121,Roadmap!$D:$D,0)+COUNTIF($E121:R121,"u")+COUNTIF($E121:R121,"t")+COUNTIF($E121:R121,"¶")+COUNTIF($E121:R121,"²")+COUNTIF($E121:R121,"µ")+COUNTIF($E121:R121,1),ColLivraison)=S$6,
  VLOOKUP($E121,INDIRECT("tri!"&amp; CHAR(64+ C0Col) &amp;":"&amp; CHAR(65+C0Col)),2,FALSE)&gt;COUNTIF($E121:R121,"u")+COUNTIF($E121:R121,"t")+COUNTIF($E121:R121,"¶")+COUNTIF($E121:R121,"²")+COUNTIF($E121:R121,"µ")+COUNTIF($E121:R121,1)),
HYPERLINK("#Roadmap!C"&amp; MATCH($E121,Roadmap!$D:$D,0)+COUNTIF($E121:R121,"u")+COUNTIF($E121:R121,"t"),
     INDEX(Roadmap!$D:$K,MATCH($E121,Roadmap!$D:$D,0)+COUNTIF($E121:R121,"u")+COUNTIF($E121:R121,"t")+COUNTIF($E121:R121,"¶")+COUNTIF($E121:R121,"²")+COUNTIF($E121:R121,"µ")+COUNTIF($E121:R121,1),ColTypeEcheance)),
  IF(LEN(R121)=1,
  IF(LEN(INDEX(Roadmap!$D:$K,MATCH($E121,Roadmap!$D:$D,0)-1+COUNTIF($E121:R121,"u")+COUNTIF($E121:R121,"t")+COUNTIF($E121:R121,"¶")+COUNTIF($E121:R121,"²")+COUNTIF($E121:R121,"µ")+COUNTIF($E121:R121,1),ColDescriptionCourte))&gt;1,
HYPERLINK("#Roadmap!C"&amp; MATCH($E121,Roadmap!$D:$D,0)+COUNTIF($E121:R121,"u")+COUNTIF($E121:R121,"t")+COUNTIF($E121:R121,"¶")+COUNTIF($E121:R121,"²")+COUNTIF($E121:R121,"µ")+COUNTIF($E121:R121,1)-1,INDEX(Roadmap!$D:$K,MATCH($E121,Roadmap!$D:$D,0)-1+COUNTIF($E121:R121,"u")+COUNTIF($E121:R121,"t")+COUNTIF($E121:R121,"¶")+COUNTIF($E121:R121,"²")+COUNTIF($E121:R121,"µ")+COUNTIF($E121:R121,1),ColDescriptionCourte)),""),
  "")),"")</f>
        <v/>
      </c>
      <c r="T121" s="40" t="str">
        <f ca="1">IFERROR(IF(AND(
  INDEX(Roadmap!$D:$K,MATCH($E121,Roadmap!$D:$D,0)+COUNTIF($E121:S121,"u")+COUNTIF($E121:S121,"t")+COUNTIF($E121:S121,"¶")+COUNTIF($E121:S121,"²")+COUNTIF($E121:S121,"µ")+COUNTIF($E121:S121,1),ColLivraison)=T$6,
  VLOOKUP($E121,INDIRECT("tri!"&amp; CHAR(64+ C0Col) &amp;":"&amp; CHAR(65+C0Col)),2,FALSE)&gt;COUNTIF($E121:S121,"u")+COUNTIF($E121:S121,"t")+COUNTIF($E121:S121,"¶")+COUNTIF($E121:S121,"²")+COUNTIF($E121:S121,"µ")+COUNTIF($E121:S121,1)),
HYPERLINK("#Roadmap!C"&amp; MATCH($E121,Roadmap!$D:$D,0)+COUNTIF($E121:S121,"u")+COUNTIF($E121:S121,"t"),
     INDEX(Roadmap!$D:$K,MATCH($E121,Roadmap!$D:$D,0)+COUNTIF($E121:S121,"u")+COUNTIF($E121:S121,"t")+COUNTIF($E121:S121,"¶")+COUNTIF($E121:S121,"²")+COUNTIF($E121:S121,"µ")+COUNTIF($E121:S121,1),ColTypeEcheance)),
  IF(LEN(S121)=1,
  IF(LEN(INDEX(Roadmap!$D:$K,MATCH($E121,Roadmap!$D:$D,0)-1+COUNTIF($E121:S121,"u")+COUNTIF($E121:S121,"t")+COUNTIF($E121:S121,"¶")+COUNTIF($E121:S121,"²")+COUNTIF($E121:S121,"µ")+COUNTIF($E121:S121,1),ColDescriptionCourte))&gt;1,
HYPERLINK("#Roadmap!C"&amp; MATCH($E121,Roadmap!$D:$D,0)+COUNTIF($E121:S121,"u")+COUNTIF($E121:S121,"t")+COUNTIF($E121:S121,"¶")+COUNTIF($E121:S121,"²")+COUNTIF($E121:S121,"µ")+COUNTIF($E121:S121,1)-1,INDEX(Roadmap!$D:$K,MATCH($E121,Roadmap!$D:$D,0)-1+COUNTIF($E121:S121,"u")+COUNTIF($E121:S121,"t")+COUNTIF($E121:S121,"¶")+COUNTIF($E121:S121,"²")+COUNTIF($E121:S121,"µ")+COUNTIF($E121:S121,1),ColDescriptionCourte)),""),
  "")),"")</f>
        <v/>
      </c>
      <c r="U121" s="40" t="str">
        <f ca="1">IFERROR(IF(AND(
  INDEX(Roadmap!$D:$K,MATCH($E121,Roadmap!$D:$D,0)+COUNTIF($E121:T121,"u")+COUNTIF($E121:T121,"t")+COUNTIF($E121:T121,"¶")+COUNTIF($E121:T121,"²")+COUNTIF($E121:T121,"µ")+COUNTIF($E121:T121,1),ColLivraison)=U$6,
  VLOOKUP($E121,INDIRECT("tri!"&amp; CHAR(64+ C0Col) &amp;":"&amp; CHAR(65+C0Col)),2,FALSE)&gt;COUNTIF($E121:T121,"u")+COUNTIF($E121:T121,"t")+COUNTIF($E121:T121,"¶")+COUNTIF($E121:T121,"²")+COUNTIF($E121:T121,"µ")+COUNTIF($E121:T121,1)),
HYPERLINK("#Roadmap!C"&amp; MATCH($E121,Roadmap!$D:$D,0)+COUNTIF($E121:T121,"u")+COUNTIF($E121:T121,"t"),
     INDEX(Roadmap!$D:$K,MATCH($E121,Roadmap!$D:$D,0)+COUNTIF($E121:T121,"u")+COUNTIF($E121:T121,"t")+COUNTIF($E121:T121,"¶")+COUNTIF($E121:T121,"²")+COUNTIF($E121:T121,"µ")+COUNTIF($E121:T121,1),ColTypeEcheance)),
  IF(LEN(T121)=1,
  IF(LEN(INDEX(Roadmap!$D:$K,MATCH($E121,Roadmap!$D:$D,0)-1+COUNTIF($E121:T121,"u")+COUNTIF($E121:T121,"t")+COUNTIF($E121:T121,"¶")+COUNTIF($E121:T121,"²")+COUNTIF($E121:T121,"µ")+COUNTIF($E121:T121,1),ColDescriptionCourte))&gt;1,
HYPERLINK("#Roadmap!C"&amp; MATCH($E121,Roadmap!$D:$D,0)+COUNTIF($E121:T121,"u")+COUNTIF($E121:T121,"t")+COUNTIF($E121:T121,"¶")+COUNTIF($E121:T121,"²")+COUNTIF($E121:T121,"µ")+COUNTIF($E121:T121,1)-1,INDEX(Roadmap!$D:$K,MATCH($E121,Roadmap!$D:$D,0)-1+COUNTIF($E121:T121,"u")+COUNTIF($E121:T121,"t")+COUNTIF($E121:T121,"¶")+COUNTIF($E121:T121,"²")+COUNTIF($E121:T121,"µ")+COUNTIF($E121:T121,1),ColDescriptionCourte)),""),
  "")),"")</f>
        <v/>
      </c>
      <c r="V121" s="40" t="str">
        <f ca="1">IFERROR(IF(AND(
  INDEX(Roadmap!$D:$K,MATCH($E121,Roadmap!$D:$D,0)+COUNTIF($E121:U121,"u")+COUNTIF($E121:U121,"t")+COUNTIF($E121:U121,"¶")+COUNTIF($E121:U121,"²")+COUNTIF($E121:U121,"µ")+COUNTIF($E121:U121,1),ColLivraison)=V$6,
  VLOOKUP($E121,INDIRECT("tri!"&amp; CHAR(64+ C0Col) &amp;":"&amp; CHAR(65+C0Col)),2,FALSE)&gt;COUNTIF($E121:U121,"u")+COUNTIF($E121:U121,"t")+COUNTIF($E121:U121,"¶")+COUNTIF($E121:U121,"²")+COUNTIF($E121:U121,"µ")+COUNTIF($E121:U121,1)),
HYPERLINK("#Roadmap!C"&amp; MATCH($E121,Roadmap!$D:$D,0)+COUNTIF($E121:U121,"u")+COUNTIF($E121:U121,"t"),
     INDEX(Roadmap!$D:$K,MATCH($E121,Roadmap!$D:$D,0)+COUNTIF($E121:U121,"u")+COUNTIF($E121:U121,"t")+COUNTIF($E121:U121,"¶")+COUNTIF($E121:U121,"²")+COUNTIF($E121:U121,"µ")+COUNTIF($E121:U121,1),ColTypeEcheance)),
  IF(LEN(U121)=1,
  IF(LEN(INDEX(Roadmap!$D:$K,MATCH($E121,Roadmap!$D:$D,0)-1+COUNTIF($E121:U121,"u")+COUNTIF($E121:U121,"t")+COUNTIF($E121:U121,"¶")+COUNTIF($E121:U121,"²")+COUNTIF($E121:U121,"µ")+COUNTIF($E121:U121,1),ColDescriptionCourte))&gt;1,
HYPERLINK("#Roadmap!C"&amp; MATCH($E121,Roadmap!$D:$D,0)+COUNTIF($E121:U121,"u")+COUNTIF($E121:U121,"t")+COUNTIF($E121:U121,"¶")+COUNTIF($E121:U121,"²")+COUNTIF($E121:U121,"µ")+COUNTIF($E121:U121,1)-1,INDEX(Roadmap!$D:$K,MATCH($E121,Roadmap!$D:$D,0)-1+COUNTIF($E121:U121,"u")+COUNTIF($E121:U121,"t")+COUNTIF($E121:U121,"¶")+COUNTIF($E121:U121,"²")+COUNTIF($E121:U121,"µ")+COUNTIF($E121:U121,1),ColDescriptionCourte)),""),
  "")),"")</f>
        <v/>
      </c>
      <c r="W121" s="40" t="str">
        <f ca="1">IFERROR(IF(AND(
  INDEX(Roadmap!$D:$K,MATCH($E121,Roadmap!$D:$D,0)+COUNTIF($E121:V121,"u")+COUNTIF($E121:V121,"t")+COUNTIF($E121:V121,"¶")+COUNTIF($E121:V121,"²")+COUNTIF($E121:V121,"µ")+COUNTIF($E121:V121,1),ColLivraison)=W$6,
  VLOOKUP($E121,INDIRECT("tri!"&amp; CHAR(64+ C0Col) &amp;":"&amp; CHAR(65+C0Col)),2,FALSE)&gt;COUNTIF($E121:V121,"u")+COUNTIF($E121:V121,"t")+COUNTIF($E121:V121,"¶")+COUNTIF($E121:V121,"²")+COUNTIF($E121:V121,"µ")+COUNTIF($E121:V121,1)),
HYPERLINK("#Roadmap!C"&amp; MATCH($E121,Roadmap!$D:$D,0)+COUNTIF($E121:V121,"u")+COUNTIF($E121:V121,"t"),
     INDEX(Roadmap!$D:$K,MATCH($E121,Roadmap!$D:$D,0)+COUNTIF($E121:V121,"u")+COUNTIF($E121:V121,"t")+COUNTIF($E121:V121,"¶")+COUNTIF($E121:V121,"²")+COUNTIF($E121:V121,"µ")+COUNTIF($E121:V121,1),ColTypeEcheance)),
  IF(LEN(V121)=1,
  IF(LEN(INDEX(Roadmap!$D:$K,MATCH($E121,Roadmap!$D:$D,0)-1+COUNTIF($E121:V121,"u")+COUNTIF($E121:V121,"t")+COUNTIF($E121:V121,"¶")+COUNTIF($E121:V121,"²")+COUNTIF($E121:V121,"µ")+COUNTIF($E121:V121,1),ColDescriptionCourte))&gt;1,
HYPERLINK("#Roadmap!C"&amp; MATCH($E121,Roadmap!$D:$D,0)+COUNTIF($E121:V121,"u")+COUNTIF($E121:V121,"t")+COUNTIF($E121:V121,"¶")+COUNTIF($E121:V121,"²")+COUNTIF($E121:V121,"µ")+COUNTIF($E121:V121,1)-1,INDEX(Roadmap!$D:$K,MATCH($E121,Roadmap!$D:$D,0)-1+COUNTIF($E121:V121,"u")+COUNTIF($E121:V121,"t")+COUNTIF($E121:V121,"¶")+COUNTIF($E121:V121,"²")+COUNTIF($E121:V121,"µ")+COUNTIF($E121:V121,1),ColDescriptionCourte)),""),
  "")),"")</f>
        <v/>
      </c>
      <c r="X121" s="40" t="str">
        <f ca="1">IFERROR(IF(AND(
  INDEX(Roadmap!$D:$K,MATCH($E121,Roadmap!$D:$D,0)+COUNTIF($E121:W121,"u")+COUNTIF($E121:W121,"t")+COUNTIF($E121:W121,"¶")+COUNTIF($E121:W121,"²")+COUNTIF($E121:W121,"µ")+COUNTIF($E121:W121,1),ColLivraison)=X$6,
  VLOOKUP($E121,INDIRECT("tri!"&amp; CHAR(64+ C0Col) &amp;":"&amp; CHAR(65+C0Col)),2,FALSE)&gt;COUNTIF($E121:W121,"u")+COUNTIF($E121:W121,"t")+COUNTIF($E121:W121,"¶")+COUNTIF($E121:W121,"²")+COUNTIF($E121:W121,"µ")+COUNTIF($E121:W121,1)),
HYPERLINK("#Roadmap!C"&amp; MATCH($E121,Roadmap!$D:$D,0)+COUNTIF($E121:W121,"u")+COUNTIF($E121:W121,"t"),
     INDEX(Roadmap!$D:$K,MATCH($E121,Roadmap!$D:$D,0)+COUNTIF($E121:W121,"u")+COUNTIF($E121:W121,"t")+COUNTIF($E121:W121,"¶")+COUNTIF($E121:W121,"²")+COUNTIF($E121:W121,"µ")+COUNTIF($E121:W121,1),ColTypeEcheance)),
  IF(LEN(W121)=1,
  IF(LEN(INDEX(Roadmap!$D:$K,MATCH($E121,Roadmap!$D:$D,0)-1+COUNTIF($E121:W121,"u")+COUNTIF($E121:W121,"t")+COUNTIF($E121:W121,"¶")+COUNTIF($E121:W121,"²")+COUNTIF($E121:W121,"µ")+COUNTIF($E121:W121,1),ColDescriptionCourte))&gt;1,
HYPERLINK("#Roadmap!C"&amp; MATCH($E121,Roadmap!$D:$D,0)+COUNTIF($E121:W121,"u")+COUNTIF($E121:W121,"t")+COUNTIF($E121:W121,"¶")+COUNTIF($E121:W121,"²")+COUNTIF($E121:W121,"µ")+COUNTIF($E121:W121,1)-1,INDEX(Roadmap!$D:$K,MATCH($E121,Roadmap!$D:$D,0)-1+COUNTIF($E121:W121,"u")+COUNTIF($E121:W121,"t")+COUNTIF($E121:W121,"¶")+COUNTIF($E121:W121,"²")+COUNTIF($E121:W121,"µ")+COUNTIF($E121:W121,1),ColDescriptionCourte)),""),
  "")),"")</f>
        <v/>
      </c>
      <c r="Y121" s="40" t="str">
        <f ca="1">IFERROR(IF(AND(
  INDEX(Roadmap!$D:$K,MATCH($E121,Roadmap!$D:$D,0)+COUNTIF($E121:X121,"u")+COUNTIF($E121:X121,"t")+COUNTIF($E121:X121,"¶")+COUNTIF($E121:X121,"²")+COUNTIF($E121:X121,"µ")+COUNTIF($E121:X121,1),ColLivraison)=Y$6,
  VLOOKUP($E121,INDIRECT("tri!"&amp; CHAR(64+ C0Col) &amp;":"&amp; CHAR(65+C0Col)),2,FALSE)&gt;COUNTIF($E121:X121,"u")+COUNTIF($E121:X121,"t")+COUNTIF($E121:X121,"¶")+COUNTIF($E121:X121,"²")+COUNTIF($E121:X121,"µ")+COUNTIF($E121:X121,1)),
HYPERLINK("#Roadmap!C"&amp; MATCH($E121,Roadmap!$D:$D,0)+COUNTIF($E121:X121,"u")+COUNTIF($E121:X121,"t"),
     INDEX(Roadmap!$D:$K,MATCH($E121,Roadmap!$D:$D,0)+COUNTIF($E121:X121,"u")+COUNTIF($E121:X121,"t")+COUNTIF($E121:X121,"¶")+COUNTIF($E121:X121,"²")+COUNTIF($E121:X121,"µ")+COUNTIF($E121:X121,1),ColTypeEcheance)),
  IF(LEN(X121)=1,
  IF(LEN(INDEX(Roadmap!$D:$K,MATCH($E121,Roadmap!$D:$D,0)-1+COUNTIF($E121:X121,"u")+COUNTIF($E121:X121,"t")+COUNTIF($E121:X121,"¶")+COUNTIF($E121:X121,"²")+COUNTIF($E121:X121,"µ")+COUNTIF($E121:X121,1),ColDescriptionCourte))&gt;1,
HYPERLINK("#Roadmap!C"&amp; MATCH($E121,Roadmap!$D:$D,0)+COUNTIF($E121:X121,"u")+COUNTIF($E121:X121,"t")+COUNTIF($E121:X121,"¶")+COUNTIF($E121:X121,"²")+COUNTIF($E121:X121,"µ")+COUNTIF($E121:X121,1)-1,INDEX(Roadmap!$D:$K,MATCH($E121,Roadmap!$D:$D,0)-1+COUNTIF($E121:X121,"u")+COUNTIF($E121:X121,"t")+COUNTIF($E121:X121,"¶")+COUNTIF($E121:X121,"²")+COUNTIF($E121:X121,"µ")+COUNTIF($E121:X121,1),ColDescriptionCourte)),""),
  "")),"")</f>
        <v/>
      </c>
      <c r="Z121" s="40" t="str">
        <f ca="1">IFERROR(IF(AND(
  INDEX(Roadmap!$D:$K,MATCH($E121,Roadmap!$D:$D,0)+COUNTIF($E121:Y121,"u")+COUNTIF($E121:Y121,"t")+COUNTIF($E121:Y121,"¶")+COUNTIF($E121:Y121,"²")+COUNTIF($E121:Y121,"µ")+COUNTIF($E121:Y121,1),ColLivraison)=Z$6,
  VLOOKUP($E121,INDIRECT("tri!"&amp; CHAR(64+ C0Col) &amp;":"&amp; CHAR(65+C0Col)),2,FALSE)&gt;COUNTIF($E121:Y121,"u")+COUNTIF($E121:Y121,"t")+COUNTIF($E121:Y121,"¶")+COUNTIF($E121:Y121,"²")+COUNTIF($E121:Y121,"µ")+COUNTIF($E121:Y121,1)),
HYPERLINK("#Roadmap!C"&amp; MATCH($E121,Roadmap!$D:$D,0)+COUNTIF($E121:Y121,"u")+COUNTIF($E121:Y121,"t"),
     INDEX(Roadmap!$D:$K,MATCH($E121,Roadmap!$D:$D,0)+COUNTIF($E121:Y121,"u")+COUNTIF($E121:Y121,"t")+COUNTIF($E121:Y121,"¶")+COUNTIF($E121:Y121,"²")+COUNTIF($E121:Y121,"µ")+COUNTIF($E121:Y121,1),ColTypeEcheance)),
  IF(LEN(Y121)=1,
  IF(LEN(INDEX(Roadmap!$D:$K,MATCH($E121,Roadmap!$D:$D,0)-1+COUNTIF($E121:Y121,"u")+COUNTIF($E121:Y121,"t")+COUNTIF($E121:Y121,"¶")+COUNTIF($E121:Y121,"²")+COUNTIF($E121:Y121,"µ")+COUNTIF($E121:Y121,1),ColDescriptionCourte))&gt;1,
HYPERLINK("#Roadmap!C"&amp; MATCH($E121,Roadmap!$D:$D,0)+COUNTIF($E121:Y121,"u")+COUNTIF($E121:Y121,"t")+COUNTIF($E121:Y121,"¶")+COUNTIF($E121:Y121,"²")+COUNTIF($E121:Y121,"µ")+COUNTIF($E121:Y121,1)-1,INDEX(Roadmap!$D:$K,MATCH($E121,Roadmap!$D:$D,0)-1+COUNTIF($E121:Y121,"u")+COUNTIF($E121:Y121,"t")+COUNTIF($E121:Y121,"¶")+COUNTIF($E121:Y121,"²")+COUNTIF($E121:Y121,"µ")+COUNTIF($E121:Y121,1),ColDescriptionCourte)),""),
  "")),"")</f>
        <v/>
      </c>
      <c r="AA121" s="40" t="str">
        <f ca="1">IFERROR(IF(AND(
  INDEX(Roadmap!$D:$K,MATCH($E121,Roadmap!$D:$D,0)+COUNTIF($E121:Z121,"u")+COUNTIF($E121:Z121,"t")+COUNTIF($E121:Z121,"¶")+COUNTIF($E121:Z121,"²")+COUNTIF($E121:Z121,"µ")+COUNTIF($E121:Z121,1),ColLivraison)=AA$6,
  VLOOKUP($E121,INDIRECT("tri!"&amp; CHAR(64+ C0Col) &amp;":"&amp; CHAR(65+C0Col)),2,FALSE)&gt;COUNTIF($E121:Z121,"u")+COUNTIF($E121:Z121,"t")+COUNTIF($E121:Z121,"¶")+COUNTIF($E121:Z121,"²")+COUNTIF($E121:Z121,"µ")+COUNTIF($E121:Z121,1)),
HYPERLINK("#Roadmap!C"&amp; MATCH($E121,Roadmap!$D:$D,0)+COUNTIF($E121:Z121,"u")+COUNTIF($E121:Z121,"t"),
     INDEX(Roadmap!$D:$K,MATCH($E121,Roadmap!$D:$D,0)+COUNTIF($E121:Z121,"u")+COUNTIF($E121:Z121,"t")+COUNTIF($E121:Z121,"¶")+COUNTIF($E121:Z121,"²")+COUNTIF($E121:Z121,"µ")+COUNTIF($E121:Z121,1),ColTypeEcheance)),
  IF(LEN(Z121)=1,
  IF(LEN(INDEX(Roadmap!$D:$K,MATCH($E121,Roadmap!$D:$D,0)-1+COUNTIF($E121:Z121,"u")+COUNTIF($E121:Z121,"t")+COUNTIF($E121:Z121,"¶")+COUNTIF($E121:Z121,"²")+COUNTIF($E121:Z121,"µ")+COUNTIF($E121:Z121,1),ColDescriptionCourte))&gt;1,
HYPERLINK("#Roadmap!C"&amp; MATCH($E121,Roadmap!$D:$D,0)+COUNTIF($E121:Z121,"u")+COUNTIF($E121:Z121,"t")+COUNTIF($E121:Z121,"¶")+COUNTIF($E121:Z121,"²")+COUNTIF($E121:Z121,"µ")+COUNTIF($E121:Z121,1)-1,INDEX(Roadmap!$D:$K,MATCH($E121,Roadmap!$D:$D,0)-1+COUNTIF($E121:Z121,"u")+COUNTIF($E121:Z121,"t")+COUNTIF($E121:Z121,"¶")+COUNTIF($E121:Z121,"²")+COUNTIF($E121:Z121,"µ")+COUNTIF($E121:Z121,1),ColDescriptionCourte)),""),
  "")),"")</f>
        <v/>
      </c>
      <c r="AB121" s="40" t="str">
        <f ca="1">IFERROR(IF(AND(
  INDEX(Roadmap!$D:$K,MATCH($E121,Roadmap!$D:$D,0)+COUNTIF($E121:AA121,"u")+COUNTIF($E121:AA121,"t")+COUNTIF($E121:AA121,"¶")+COUNTIF($E121:AA121,"²")+COUNTIF($E121:AA121,"µ")+COUNTIF($E121:AA121,1),ColLivraison)=AB$6,
  VLOOKUP($E121,INDIRECT("tri!"&amp; CHAR(64+ C0Col) &amp;":"&amp; CHAR(65+C0Col)),2,FALSE)&gt;COUNTIF($E121:AA121,"u")+COUNTIF($E121:AA121,"t")+COUNTIF($E121:AA121,"¶")+COUNTIF($E121:AA121,"²")+COUNTIF($E121:AA121,"µ")+COUNTIF($E121:AA121,1)),
HYPERLINK("#Roadmap!C"&amp; MATCH($E121,Roadmap!$D:$D,0)+COUNTIF($E121:AA121,"u")+COUNTIF($E121:AA121,"t"),
     INDEX(Roadmap!$D:$K,MATCH($E121,Roadmap!$D:$D,0)+COUNTIF($E121:AA121,"u")+COUNTIF($E121:AA121,"t")+COUNTIF($E121:AA121,"¶")+COUNTIF($E121:AA121,"²")+COUNTIF($E121:AA121,"µ")+COUNTIF($E121:AA121,1),ColTypeEcheance)),
  IF(LEN(AA121)=1,
  IF(LEN(INDEX(Roadmap!$D:$K,MATCH($E121,Roadmap!$D:$D,0)-1+COUNTIF($E121:AA121,"u")+COUNTIF($E121:AA121,"t")+COUNTIF($E121:AA121,"¶")+COUNTIF($E121:AA121,"²")+COUNTIF($E121:AA121,"µ")+COUNTIF($E121:AA121,1),ColDescriptionCourte))&gt;1,
HYPERLINK("#Roadmap!C"&amp; MATCH($E121,Roadmap!$D:$D,0)+COUNTIF($E121:AA121,"u")+COUNTIF($E121:AA121,"t")+COUNTIF($E121:AA121,"¶")+COUNTIF($E121:AA121,"²")+COUNTIF($E121:AA121,"µ")+COUNTIF($E121:AA121,1)-1,INDEX(Roadmap!$D:$K,MATCH($E121,Roadmap!$D:$D,0)-1+COUNTIF($E121:AA121,"u")+COUNTIF($E121:AA121,"t")+COUNTIF($E121:AA121,"¶")+COUNTIF($E121:AA121,"²")+COUNTIF($E121:AA121,"µ")+COUNTIF($E121:AA121,1),ColDescriptionCourte)),""),
  "")),"")</f>
        <v/>
      </c>
      <c r="AC121" s="40" t="str">
        <f ca="1">IFERROR(IF(AND(
  INDEX(Roadmap!$D:$K,MATCH($E121,Roadmap!$D:$D,0)+COUNTIF($E121:AB121,"u")+COUNTIF($E121:AB121,"t")+COUNTIF($E121:AB121,"¶")+COUNTIF($E121:AB121,"²")+COUNTIF($E121:AB121,"µ")+COUNTIF($E121:AB121,1),ColLivraison)=AC$6,
  VLOOKUP($E121,INDIRECT("tri!"&amp; CHAR(64+ C0Col) &amp;":"&amp; CHAR(65+C0Col)),2,FALSE)&gt;COUNTIF($E121:AB121,"u")+COUNTIF($E121:AB121,"t")+COUNTIF($E121:AB121,"¶")+COUNTIF($E121:AB121,"²")+COUNTIF($E121:AB121,"µ")+COUNTIF($E121:AB121,1)),
HYPERLINK("#Roadmap!C"&amp; MATCH($E121,Roadmap!$D:$D,0)+COUNTIF($E121:AB121,"u")+COUNTIF($E121:AB121,"t"),
     INDEX(Roadmap!$D:$K,MATCH($E121,Roadmap!$D:$D,0)+COUNTIF($E121:AB121,"u")+COUNTIF($E121:AB121,"t")+COUNTIF($E121:AB121,"¶")+COUNTIF($E121:AB121,"²")+COUNTIF($E121:AB121,"µ")+COUNTIF($E121:AB121,1),ColTypeEcheance)),
  IF(LEN(AB121)=1,
  IF(LEN(INDEX(Roadmap!$D:$K,MATCH($E121,Roadmap!$D:$D,0)-1+COUNTIF($E121:AB121,"u")+COUNTIF($E121:AB121,"t")+COUNTIF($E121:AB121,"¶")+COUNTIF($E121:AB121,"²")+COUNTIF($E121:AB121,"µ")+COUNTIF($E121:AB121,1),ColDescriptionCourte))&gt;1,
HYPERLINK("#Roadmap!C"&amp; MATCH($E121,Roadmap!$D:$D,0)+COUNTIF($E121:AB121,"u")+COUNTIF($E121:AB121,"t")+COUNTIF($E121:AB121,"¶")+COUNTIF($E121:AB121,"²")+COUNTIF($E121:AB121,"µ")+COUNTIF($E121:AB121,1)-1,INDEX(Roadmap!$D:$K,MATCH($E121,Roadmap!$D:$D,0)-1+COUNTIF($E121:AB121,"u")+COUNTIF($E121:AB121,"t")+COUNTIF($E121:AB121,"¶")+COUNTIF($E121:AB121,"²")+COUNTIF($E121:AB121,"µ")+COUNTIF($E121:AB121,1),ColDescriptionCourte)),""),
  "")),"")</f>
        <v/>
      </c>
      <c r="AD121" s="40" t="str">
        <f ca="1">IFERROR(IF(AND(
  INDEX(Roadmap!$D:$K,MATCH($E121,Roadmap!$D:$D,0)+COUNTIF($E121:AC121,"u")+COUNTIF($E121:AC121,"t")+COUNTIF($E121:AC121,"¶")+COUNTIF($E121:AC121,"²")+COUNTIF($E121:AC121,"µ")+COUNTIF($E121:AC121,1),ColLivraison)=AD$6,
  VLOOKUP($E121,INDIRECT("tri!"&amp; CHAR(64+ C0Col) &amp;":"&amp; CHAR(65+C0Col)),2,FALSE)&gt;COUNTIF($E121:AC121,"u")+COUNTIF($E121:AC121,"t")+COUNTIF($E121:AC121,"¶")+COUNTIF($E121:AC121,"²")+COUNTIF($E121:AC121,"µ")+COUNTIF($E121:AC121,1)),
HYPERLINK("#Roadmap!C"&amp; MATCH($E121,Roadmap!$D:$D,0)+COUNTIF($E121:AC121,"u")+COUNTIF($E121:AC121,"t"),
     INDEX(Roadmap!$D:$K,MATCH($E121,Roadmap!$D:$D,0)+COUNTIF($E121:AC121,"u")+COUNTIF($E121:AC121,"t")+COUNTIF($E121:AC121,"¶")+COUNTIF($E121:AC121,"²")+COUNTIF($E121:AC121,"µ")+COUNTIF($E121:AC121,1),ColTypeEcheance)),
  IF(LEN(AC121)=1,
  IF(LEN(INDEX(Roadmap!$D:$K,MATCH($E121,Roadmap!$D:$D,0)-1+COUNTIF($E121:AC121,"u")+COUNTIF($E121:AC121,"t")+COUNTIF($E121:AC121,"¶")+COUNTIF($E121:AC121,"²")+COUNTIF($E121:AC121,"µ")+COUNTIF($E121:AC121,1),ColDescriptionCourte))&gt;1,
HYPERLINK("#Roadmap!C"&amp; MATCH($E121,Roadmap!$D:$D,0)+COUNTIF($E121:AC121,"u")+COUNTIF($E121:AC121,"t")+COUNTIF($E121:AC121,"¶")+COUNTIF($E121:AC121,"²")+COUNTIF($E121:AC121,"µ")+COUNTIF($E121:AC121,1)-1,INDEX(Roadmap!$D:$K,MATCH($E121,Roadmap!$D:$D,0)-1+COUNTIF($E121:AC121,"u")+COUNTIF($E121:AC121,"t")+COUNTIF($E121:AC121,"¶")+COUNTIF($E121:AC121,"²")+COUNTIF($E121:AC121,"µ")+COUNTIF($E121:AC121,1),ColDescriptionCourte)),""),
  "")),"")</f>
        <v/>
      </c>
      <c r="AE121" s="40" t="str">
        <f ca="1">IFERROR(IF(AND(
  INDEX(Roadmap!$D:$K,MATCH($E121,Roadmap!$D:$D,0)+COUNTIF($E121:AD121,"u")+COUNTIF($E121:AD121,"t")+COUNTIF($E121:AD121,"¶")+COUNTIF($E121:AD121,"²")+COUNTIF($E121:AD121,"µ")+COUNTIF($E121:AD121,1),ColLivraison)=AE$6,
  VLOOKUP($E121,INDIRECT("tri!"&amp; CHAR(64+ C0Col) &amp;":"&amp; CHAR(65+C0Col)),2,FALSE)&gt;COUNTIF($E121:AD121,"u")+COUNTIF($E121:AD121,"t")+COUNTIF($E121:AD121,"¶")+COUNTIF($E121:AD121,"²")+COUNTIF($E121:AD121,"µ")+COUNTIF($E121:AD121,1)),
HYPERLINK("#Roadmap!C"&amp; MATCH($E121,Roadmap!$D:$D,0)+COUNTIF($E121:AD121,"u")+COUNTIF($E121:AD121,"t"),
     INDEX(Roadmap!$D:$K,MATCH($E121,Roadmap!$D:$D,0)+COUNTIF($E121:AD121,"u")+COUNTIF($E121:AD121,"t")+COUNTIF($E121:AD121,"¶")+COUNTIF($E121:AD121,"²")+COUNTIF($E121:AD121,"µ")+COUNTIF($E121:AD121,1),ColTypeEcheance)),
  IF(LEN(AD121)=1,
  IF(LEN(INDEX(Roadmap!$D:$K,MATCH($E121,Roadmap!$D:$D,0)-1+COUNTIF($E121:AD121,"u")+COUNTIF($E121:AD121,"t")+COUNTIF($E121:AD121,"¶")+COUNTIF($E121:AD121,"²")+COUNTIF($E121:AD121,"µ")+COUNTIF($E121:AD121,1),ColDescriptionCourte))&gt;1,
HYPERLINK("#Roadmap!C"&amp; MATCH($E121,Roadmap!$D:$D,0)+COUNTIF($E121:AD121,"u")+COUNTIF($E121:AD121,"t")+COUNTIF($E121:AD121,"¶")+COUNTIF($E121:AD121,"²")+COUNTIF($E121:AD121,"µ")+COUNTIF($E121:AD121,1)-1,INDEX(Roadmap!$D:$K,MATCH($E121,Roadmap!$D:$D,0)-1+COUNTIF($E121:AD121,"u")+COUNTIF($E121:AD121,"t")+COUNTIF($E121:AD121,"¶")+COUNTIF($E121:AD121,"²")+COUNTIF($E121:AD121,"µ")+COUNTIF($E121:AD121,1),ColDescriptionCourte)),""),
  "")),"")</f>
        <v/>
      </c>
      <c r="AF121" s="40" t="str">
        <f ca="1">IFERROR(IF(AND(
  INDEX(Roadmap!$D:$K,MATCH($E121,Roadmap!$D:$D,0)+COUNTIF($E121:AE121,"u")+COUNTIF($E121:AE121,"t")+COUNTIF($E121:AE121,"¶")+COUNTIF($E121:AE121,"²")+COUNTIF($E121:AE121,"µ")+COUNTIF($E121:AE121,1),ColLivraison)=AF$6,
  VLOOKUP($E121,INDIRECT("tri!"&amp; CHAR(64+ C0Col) &amp;":"&amp; CHAR(65+C0Col)),2,FALSE)&gt;COUNTIF($E121:AE121,"u")+COUNTIF($E121:AE121,"t")+COUNTIF($E121:AE121,"¶")+COUNTIF($E121:AE121,"²")+COUNTIF($E121:AE121,"µ")+COUNTIF($E121:AE121,1)),
HYPERLINK("#Roadmap!C"&amp; MATCH($E121,Roadmap!$D:$D,0)+COUNTIF($E121:AE121,"u")+COUNTIF($E121:AE121,"t"),
     INDEX(Roadmap!$D:$K,MATCH($E121,Roadmap!$D:$D,0)+COUNTIF($E121:AE121,"u")+COUNTIF($E121:AE121,"t")+COUNTIF($E121:AE121,"¶")+COUNTIF($E121:AE121,"²")+COUNTIF($E121:AE121,"µ")+COUNTIF($E121:AE121,1),ColTypeEcheance)),
  IF(LEN(AE121)=1,
  IF(LEN(INDEX(Roadmap!$D:$K,MATCH($E121,Roadmap!$D:$D,0)-1+COUNTIF($E121:AE121,"u")+COUNTIF($E121:AE121,"t")+COUNTIF($E121:AE121,"¶")+COUNTIF($E121:AE121,"²")+COUNTIF($E121:AE121,"µ")+COUNTIF($E121:AE121,1),ColDescriptionCourte))&gt;1,
HYPERLINK("#Roadmap!C"&amp; MATCH($E121,Roadmap!$D:$D,0)+COUNTIF($E121:AE121,"u")+COUNTIF($E121:AE121,"t")+COUNTIF($E121:AE121,"¶")+COUNTIF($E121:AE121,"²")+COUNTIF($E121:AE121,"µ")+COUNTIF($E121:AE121,1)-1,INDEX(Roadmap!$D:$K,MATCH($E121,Roadmap!$D:$D,0)-1+COUNTIF($E121:AE121,"u")+COUNTIF($E121:AE121,"t")+COUNTIF($E121:AE121,"¶")+COUNTIF($E121:AE121,"²")+COUNTIF($E121:AE121,"µ")+COUNTIF($E121:AE121,1),ColDescriptionCourte)),""),
  "")),"")</f>
        <v/>
      </c>
      <c r="AG121" s="40" t="str">
        <f ca="1">IFERROR(IF(AND(
  INDEX(Roadmap!$D:$K,MATCH($E121,Roadmap!$D:$D,0)+COUNTIF($E121:AF121,"u")+COUNTIF($E121:AF121,"t")+COUNTIF($E121:AF121,"¶")+COUNTIF($E121:AF121,"²")+COUNTIF($E121:AF121,"µ")+COUNTIF($E121:AF121,1),ColLivraison)=AG$6,
  VLOOKUP($E121,INDIRECT("tri!"&amp; CHAR(64+ C0Col) &amp;":"&amp; CHAR(65+C0Col)),2,FALSE)&gt;COUNTIF($E121:AF121,"u")+COUNTIF($E121:AF121,"t")+COUNTIF($E121:AF121,"¶")+COUNTIF($E121:AF121,"²")+COUNTIF($E121:AF121,"µ")+COUNTIF($E121:AF121,1)),
HYPERLINK("#Roadmap!C"&amp; MATCH($E121,Roadmap!$D:$D,0)+COUNTIF($E121:AF121,"u")+COUNTIF($E121:AF121,"t"),
     INDEX(Roadmap!$D:$K,MATCH($E121,Roadmap!$D:$D,0)+COUNTIF($E121:AF121,"u")+COUNTIF($E121:AF121,"t")+COUNTIF($E121:AF121,"¶")+COUNTIF($E121:AF121,"²")+COUNTIF($E121:AF121,"µ")+COUNTIF($E121:AF121,1),ColTypeEcheance)),
  IF(LEN(AF121)=1,
  IF(LEN(INDEX(Roadmap!$D:$K,MATCH($E121,Roadmap!$D:$D,0)-1+COUNTIF($E121:AF121,"u")+COUNTIF($E121:AF121,"t")+COUNTIF($E121:AF121,"¶")+COUNTIF($E121:AF121,"²")+COUNTIF($E121:AF121,"µ")+COUNTIF($E121:AF121,1),ColDescriptionCourte))&gt;1,
HYPERLINK("#Roadmap!C"&amp; MATCH($E121,Roadmap!$D:$D,0)+COUNTIF($E121:AF121,"u")+COUNTIF($E121:AF121,"t")+COUNTIF($E121:AF121,"¶")+COUNTIF($E121:AF121,"²")+COUNTIF($E121:AF121,"µ")+COUNTIF($E121:AF121,1)-1,INDEX(Roadmap!$D:$K,MATCH($E121,Roadmap!$D:$D,0)-1+COUNTIF($E121:AF121,"u")+COUNTIF($E121:AF121,"t")+COUNTIF($E121:AF121,"¶")+COUNTIF($E121:AF121,"²")+COUNTIF($E121:AF121,"µ")+COUNTIF($E121:AF121,1),ColDescriptionCourte)),""),
  "")),"")</f>
        <v/>
      </c>
      <c r="AH121" s="40" t="str">
        <f ca="1">IFERROR(IF(AND(
  INDEX(Roadmap!$D:$K,MATCH($E121,Roadmap!$D:$D,0)+COUNTIF($E121:AG121,"u")+COUNTIF($E121:AG121,"t")+COUNTIF($E121:AG121,1),ColLivraison)=AH$6,
  VLOOKUP($E121,INDIRECT("tri!"&amp; CHAR(64+ C0Col) &amp;":"&amp; CHAR(65+C0Col)),2,FALSE)&gt;COUNTIF($E121:AG121,"u")+COUNTIF($E121:AG121,"t")+COUNTIF($E121:AG121,1)),
HYPERLINK("#Roadmap!C"&amp; MATCH($E121,Roadmap!$D:$D,0)+COUNTIF($E121:AG121,"u")+COUNTIF($E121:AG121,"t"),
     INDEX(Roadmap!$D:$K,MATCH($E121,Roadmap!$D:$D,0)+COUNTIF($E121:AG121,"u")+COUNTIF($E121:AG121,"t")+COUNTIF($E121:AG121,1),ColTypeEcheance)),
  IF(OR(AG121="u",AG121="t",AG121=1),
  IF(LEN(INDEX(Roadmap!$D:$K,MATCH($E121,Roadmap!$D:$D,0)-1+COUNTIF($E121:AG121,"u")+COUNTIF($E121:AG121,"t")+COUNTIF($E121:AG121,1),ColDescriptionCourte))&gt;1,
HYPERLINK("#Roadmap!C"&amp; MATCH($E121,Roadmap!$D:$D,0)+COUNTIF($E121:AG121,"u")+COUNTIF($E121:AG121,"t")+COUNTIF($E121:AG121,1)-1,INDEX(Roadmap!$D:$K,MATCH($E121,Roadmap!$D:$D,0)-1+COUNTIF($E121:AG121,"u")+COUNTIF($E121:AG121,"t")+COUNTIF($E121:AG121,1),ColDescriptionCourte)),""),
  "")),"")</f>
        <v/>
      </c>
      <c r="AI121" s="40"/>
      <c r="AJ121" s="40"/>
      <c r="AK121" s="40"/>
      <c r="AL121" s="40"/>
      <c r="AM121" s="40"/>
    </row>
    <row r="122" spans="4:39" ht="14.1" customHeight="1">
      <c r="D122" s="20" t="str">
        <f t="shared" ca="1" si="29"/>
        <v/>
      </c>
      <c r="E122" s="53" t="str">
        <f t="shared" ca="1" si="30"/>
        <v/>
      </c>
      <c r="F122" s="39" t="str">
        <f ca="1">IFERROR(IF(AND(
  INDEX(Roadmap!$D:$K,MATCH($E122,Roadmap!$D:$D,0)+COUNTIF($E122:E122,"u")+COUNTIF($E122:E122,"t")+COUNTIF($E122:E122,"¶")+COUNTIF($E122:E122,"²")+COUNTIF($E122:E122,"µ")+COUNTIF($E122:E122,1),ColLivraison)=F$6,
  VLOOKUP($E122,INDIRECT("tri!"&amp; CHAR(64+ C0Col) &amp;":"&amp; CHAR(65+C0Col)),2,FALSE)&gt;COUNTIF($E122:E122,"u")+COUNTIF($E122:E122,"t")+COUNTIF($E122:E122,"¶")+COUNTIF($E122:E122,"²")+COUNTIF($E122:E122,"µ")+COUNTIF($E122:E122,1)),
HYPERLINK("#Roadmap!C"&amp; MATCH($E122,Roadmap!$D:$D,0)+COUNTIF($E122:E122,"u")+COUNTIF($E122:E122,"t"),
     INDEX(Roadmap!$D:$K,MATCH($E122,Roadmap!$D:$D,0)+COUNTIF($E122:E122,"u")+COUNTIF($E122:E122,"t")+COUNTIF($E122:E122,"¶")+COUNTIF($E122:E122,"²")+COUNTIF($E122:E122,"µ")+COUNTIF($E122:E122,1),ColTypeEcheance)),
  IF(LEN(E122)=1,
  IF(LEN(INDEX(Roadmap!$D:$K,MATCH($E122,Roadmap!$D:$D,0)-1+COUNTIF($E122:E122,"u")+COUNTIF($E122:E122,"t")+COUNTIF($E122:E122,"¶")+COUNTIF($E122:E122,"²")+COUNTIF($E122:E122,"µ")+COUNTIF($E122:E122,1),ColDescriptionCourte))&gt;1,
HYPERLINK("#Roadmap!C"&amp; MATCH($E122,Roadmap!$D:$D,0)+COUNTIF($E122:E122,"u")+COUNTIF($E122:E122,"t")+COUNTIF($E122:E122,"¶")+COUNTIF($E122:E122,"²")+COUNTIF($E122:E122,"µ")+COUNTIF($E122:E122,1)-1,INDEX(Roadmap!$D:$K,MATCH($E122,Roadmap!$D:$D,0)-1+COUNTIF($E122:E122,"u")+COUNTIF($E122:E122,"t")+COUNTIF($E122:E122,"¶")+COUNTIF($E122:E122,"²")+COUNTIF($E122:E122,"µ")+COUNTIF($E122:E122,1),ColDescriptionCourte)),""),
  "")),"")</f>
        <v/>
      </c>
      <c r="G122" s="40" t="str">
        <f ca="1">IFERROR(IF(AND(
  INDEX(Roadmap!$D:$K,MATCH($E122,Roadmap!$D:$D,0)+COUNTIF($E122:F122,"u")+COUNTIF($E122:F122,"t")+COUNTIF($E122:F122,"¶")+COUNTIF($E122:F122,"²")+COUNTIF($E122:F122,"µ")+COUNTIF($E122:F122,1),ColLivraison)=G$6,
  VLOOKUP($E122,INDIRECT("tri!"&amp; CHAR(64+ C0Col) &amp;":"&amp; CHAR(65+C0Col)),2,FALSE)&gt;COUNTIF($E122:F122,"u")+COUNTIF($E122:F122,"t")+COUNTIF($E122:F122,"¶")+COUNTIF($E122:F122,"²")+COUNTIF($E122:F122,"µ")+COUNTIF($E122:F122,1)),
HYPERLINK("#Roadmap!C"&amp; MATCH($E122,Roadmap!$D:$D,0)+COUNTIF($E122:F122,"u")+COUNTIF($E122:F122,"t"),
     INDEX(Roadmap!$D:$K,MATCH($E122,Roadmap!$D:$D,0)+COUNTIF($E122:F122,"u")+COUNTIF($E122:F122,"t")+COUNTIF($E122:F122,"¶")+COUNTIF($E122:F122,"²")+COUNTIF($E122:F122,"µ")+COUNTIF($E122:F122,1),ColTypeEcheance)),
  IF(LEN(F122)=1,
  IF(LEN(INDEX(Roadmap!$D:$K,MATCH($E122,Roadmap!$D:$D,0)-1+COUNTIF($E122:F122,"u")+COUNTIF($E122:F122,"t")+COUNTIF($E122:F122,"¶")+COUNTIF($E122:F122,"²")+COUNTIF($E122:F122,"µ")+COUNTIF($E122:F122,1),ColDescriptionCourte))&gt;1,
HYPERLINK("#Roadmap!C"&amp; MATCH($E122,Roadmap!$D:$D,0)+COUNTIF($E122:F122,"u")+COUNTIF($E122:F122,"t")+COUNTIF($E122:F122,"¶")+COUNTIF($E122:F122,"²")+COUNTIF($E122:F122,"µ")+COUNTIF($E122:F122,1)-1,INDEX(Roadmap!$D:$K,MATCH($E122,Roadmap!$D:$D,0)-1+COUNTIF($E122:F122,"u")+COUNTIF($E122:F122,"t")+COUNTIF($E122:F122,"¶")+COUNTIF($E122:F122,"²")+COUNTIF($E122:F122,"µ")+COUNTIF($E122:F122,1),ColDescriptionCourte)),""),
  "")),"")</f>
        <v/>
      </c>
      <c r="H122" s="40" t="str">
        <f ca="1">IFERROR(IF(AND(
  INDEX(Roadmap!$D:$K,MATCH($E122,Roadmap!$D:$D,0)+COUNTIF($E122:G122,"u")+COUNTIF($E122:G122,"t")+COUNTIF($E122:G122,"¶")+COUNTIF($E122:G122,"²")+COUNTIF($E122:G122,"µ")+COUNTIF($E122:G122,1),ColLivraison)=H$6,
  VLOOKUP($E122,INDIRECT("tri!"&amp; CHAR(64+ C0Col) &amp;":"&amp; CHAR(65+C0Col)),2,FALSE)&gt;COUNTIF($E122:G122,"u")+COUNTIF($E122:G122,"t")+COUNTIF($E122:G122,"¶")+COUNTIF($E122:G122,"²")+COUNTIF($E122:G122,"µ")+COUNTIF($E122:G122,1)),
HYPERLINK("#Roadmap!C"&amp; MATCH($E122,Roadmap!$D:$D,0)+COUNTIF($E122:G122,"u")+COUNTIF($E122:G122,"t"),
     INDEX(Roadmap!$D:$K,MATCH($E122,Roadmap!$D:$D,0)+COUNTIF($E122:G122,"u")+COUNTIF($E122:G122,"t")+COUNTIF($E122:G122,"¶")+COUNTIF($E122:G122,"²")+COUNTIF($E122:G122,"µ")+COUNTIF($E122:G122,1),ColTypeEcheance)),
  IF(LEN(G122)=1,
  IF(LEN(INDEX(Roadmap!$D:$K,MATCH($E122,Roadmap!$D:$D,0)-1+COUNTIF($E122:G122,"u")+COUNTIF($E122:G122,"t")+COUNTIF($E122:G122,"¶")+COUNTIF($E122:G122,"²")+COUNTIF($E122:G122,"µ")+COUNTIF($E122:G122,1),ColDescriptionCourte))&gt;1,
HYPERLINK("#Roadmap!C"&amp; MATCH($E122,Roadmap!$D:$D,0)+COUNTIF($E122:G122,"u")+COUNTIF($E122:G122,"t")+COUNTIF($E122:G122,"¶")+COUNTIF($E122:G122,"²")+COUNTIF($E122:G122,"µ")+COUNTIF($E122:G122,1)-1,INDEX(Roadmap!$D:$K,MATCH($E122,Roadmap!$D:$D,0)-1+COUNTIF($E122:G122,"u")+COUNTIF($E122:G122,"t")+COUNTIF($E122:G122,"¶")+COUNTIF($E122:G122,"²")+COUNTIF($E122:G122,"µ")+COUNTIF($E122:G122,1),ColDescriptionCourte)),""),
  "")),"")</f>
        <v/>
      </c>
      <c r="I122" s="40" t="str">
        <f ca="1">IFERROR(IF(AND(
  INDEX(Roadmap!$D:$K,MATCH($E122,Roadmap!$D:$D,0)+COUNTIF($E122:H122,"u")+COUNTIF($E122:H122,"t")+COUNTIF($E122:H122,"¶")+COUNTIF($E122:H122,"²")+COUNTIF($E122:H122,"µ")+COUNTIF($E122:H122,1),ColLivraison)=I$6,
  VLOOKUP($E122,INDIRECT("tri!"&amp; CHAR(64+ C0Col) &amp;":"&amp; CHAR(65+C0Col)),2,FALSE)&gt;COUNTIF($E122:H122,"u")+COUNTIF($E122:H122,"t")+COUNTIF($E122:H122,"¶")+COUNTIF($E122:H122,"²")+COUNTIF($E122:H122,"µ")+COUNTIF($E122:H122,1)),
HYPERLINK("#Roadmap!C"&amp; MATCH($E122,Roadmap!$D:$D,0)+COUNTIF($E122:H122,"u")+COUNTIF($E122:H122,"t"),
     INDEX(Roadmap!$D:$K,MATCH($E122,Roadmap!$D:$D,0)+COUNTIF($E122:H122,"u")+COUNTIF($E122:H122,"t")+COUNTIF($E122:H122,"¶")+COUNTIF($E122:H122,"²")+COUNTIF($E122:H122,"µ")+COUNTIF($E122:H122,1),ColTypeEcheance)),
  IF(LEN(H122)=1,
  IF(LEN(INDEX(Roadmap!$D:$K,MATCH($E122,Roadmap!$D:$D,0)-1+COUNTIF($E122:H122,"u")+COUNTIF($E122:H122,"t")+COUNTIF($E122:H122,"¶")+COUNTIF($E122:H122,"²")+COUNTIF($E122:H122,"µ")+COUNTIF($E122:H122,1),ColDescriptionCourte))&gt;1,
HYPERLINK("#Roadmap!C"&amp; MATCH($E122,Roadmap!$D:$D,0)+COUNTIF($E122:H122,"u")+COUNTIF($E122:H122,"t")+COUNTIF($E122:H122,"¶")+COUNTIF($E122:H122,"²")+COUNTIF($E122:H122,"µ")+COUNTIF($E122:H122,1)-1,INDEX(Roadmap!$D:$K,MATCH($E122,Roadmap!$D:$D,0)-1+COUNTIF($E122:H122,"u")+COUNTIF($E122:H122,"t")+COUNTIF($E122:H122,"¶")+COUNTIF($E122:H122,"²")+COUNTIF($E122:H122,"µ")+COUNTIF($E122:H122,1),ColDescriptionCourte)),""),
  "")),"")</f>
        <v/>
      </c>
      <c r="J122" s="40" t="str">
        <f ca="1">IFERROR(IF(AND(
  INDEX(Roadmap!$D:$K,MATCH($E122,Roadmap!$D:$D,0)+COUNTIF($E122:I122,"u")+COUNTIF($E122:I122,"t")+COUNTIF($E122:I122,"¶")+COUNTIF($E122:I122,"²")+COUNTIF($E122:I122,"µ")+COUNTIF($E122:I122,1),ColLivraison)=J$6,
  VLOOKUP($E122,INDIRECT("tri!"&amp; CHAR(64+ C0Col) &amp;":"&amp; CHAR(65+C0Col)),2,FALSE)&gt;COUNTIF($E122:I122,"u")+COUNTIF($E122:I122,"t")+COUNTIF($E122:I122,"¶")+COUNTIF($E122:I122,"²")+COUNTIF($E122:I122,"µ")+COUNTIF($E122:I122,1)),
HYPERLINK("#Roadmap!C"&amp; MATCH($E122,Roadmap!$D:$D,0)+COUNTIF($E122:I122,"u")+COUNTIF($E122:I122,"t"),
     INDEX(Roadmap!$D:$K,MATCH($E122,Roadmap!$D:$D,0)+COUNTIF($E122:I122,"u")+COUNTIF($E122:I122,"t")+COUNTIF($E122:I122,"¶")+COUNTIF($E122:I122,"²")+COUNTIF($E122:I122,"µ")+COUNTIF($E122:I122,1),ColTypeEcheance)),
  IF(LEN(I122)=1,
  IF(LEN(INDEX(Roadmap!$D:$K,MATCH($E122,Roadmap!$D:$D,0)-1+COUNTIF($E122:I122,"u")+COUNTIF($E122:I122,"t")+COUNTIF($E122:I122,"¶")+COUNTIF($E122:I122,"²")+COUNTIF($E122:I122,"µ")+COUNTIF($E122:I122,1),ColDescriptionCourte))&gt;1,
HYPERLINK("#Roadmap!C"&amp; MATCH($E122,Roadmap!$D:$D,0)+COUNTIF($E122:I122,"u")+COUNTIF($E122:I122,"t")+COUNTIF($E122:I122,"¶")+COUNTIF($E122:I122,"²")+COUNTIF($E122:I122,"µ")+COUNTIF($E122:I122,1)-1,INDEX(Roadmap!$D:$K,MATCH($E122,Roadmap!$D:$D,0)-1+COUNTIF($E122:I122,"u")+COUNTIF($E122:I122,"t")+COUNTIF($E122:I122,"¶")+COUNTIF($E122:I122,"²")+COUNTIF($E122:I122,"µ")+COUNTIF($E122:I122,1),ColDescriptionCourte)),""),
  "")),"")</f>
        <v/>
      </c>
      <c r="K122" s="40" t="str">
        <f ca="1">IFERROR(IF(AND(
  INDEX(Roadmap!$D:$K,MATCH($E122,Roadmap!$D:$D,0)+COUNTIF($E122:J122,"u")+COUNTIF($E122:J122,"t")+COUNTIF($E122:J122,"¶")+COUNTIF($E122:J122,"²")+COUNTIF($E122:J122,"µ")+COUNTIF($E122:J122,1),ColLivraison)=K$6,
  VLOOKUP($E122,INDIRECT("tri!"&amp; CHAR(64+ C0Col) &amp;":"&amp; CHAR(65+C0Col)),2,FALSE)&gt;COUNTIF($E122:J122,"u")+COUNTIF($E122:J122,"t")+COUNTIF($E122:J122,"¶")+COUNTIF($E122:J122,"²")+COUNTIF($E122:J122,"µ")+COUNTIF($E122:J122,1)),
HYPERLINK("#Roadmap!C"&amp; MATCH($E122,Roadmap!$D:$D,0)+COUNTIF($E122:J122,"u")+COUNTIF($E122:J122,"t"),
     INDEX(Roadmap!$D:$K,MATCH($E122,Roadmap!$D:$D,0)+COUNTIF($E122:J122,"u")+COUNTIF($E122:J122,"t")+COUNTIF($E122:J122,"¶")+COUNTIF($E122:J122,"²")+COUNTIF($E122:J122,"µ")+COUNTIF($E122:J122,1),ColTypeEcheance)),
  IF(LEN(J122)=1,
  IF(LEN(INDEX(Roadmap!$D:$K,MATCH($E122,Roadmap!$D:$D,0)-1+COUNTIF($E122:J122,"u")+COUNTIF($E122:J122,"t")+COUNTIF($E122:J122,"¶")+COUNTIF($E122:J122,"²")+COUNTIF($E122:J122,"µ")+COUNTIF($E122:J122,1),ColDescriptionCourte))&gt;1,
HYPERLINK("#Roadmap!C"&amp; MATCH($E122,Roadmap!$D:$D,0)+COUNTIF($E122:J122,"u")+COUNTIF($E122:J122,"t")+COUNTIF($E122:J122,"¶")+COUNTIF($E122:J122,"²")+COUNTIF($E122:J122,"µ")+COUNTIF($E122:J122,1)-1,INDEX(Roadmap!$D:$K,MATCH($E122,Roadmap!$D:$D,0)-1+COUNTIF($E122:J122,"u")+COUNTIF($E122:J122,"t")+COUNTIF($E122:J122,"¶")+COUNTIF($E122:J122,"²")+COUNTIF($E122:J122,"µ")+COUNTIF($E122:J122,1),ColDescriptionCourte)),""),
  "")),"")</f>
        <v/>
      </c>
      <c r="L122" s="39" t="str">
        <f ca="1">IFERROR(IF(AND(
  INDEX(Roadmap!$D:$K,MATCH($E122,Roadmap!$D:$D,0)+COUNTIF($E122:K122,"u")+COUNTIF($E122:K122,"t")+COUNTIF($E122:K122,"¶")+COUNTIF($E122:K122,"²")+COUNTIF($E122:K122,"µ")+COUNTIF($E122:K122,1),ColLivraison)=L$6,
  VLOOKUP($E122,INDIRECT("tri!"&amp; CHAR(64+ C0Col) &amp;":"&amp; CHAR(65+C0Col)),2,FALSE)&gt;COUNTIF($E122:K122,"u")+COUNTIF($E122:K122,"t")+COUNTIF($E122:K122,"¶")+COUNTIF($E122:K122,"²")+COUNTIF($E122:K122,"µ")+COUNTIF($E122:K122,1)),
HYPERLINK("#Roadmap!C"&amp; MATCH($E122,Roadmap!$D:$D,0)+COUNTIF($E122:K122,"u")+COUNTIF($E122:K122,"t"),
     INDEX(Roadmap!$D:$K,MATCH($E122,Roadmap!$D:$D,0)+COUNTIF($E122:K122,"u")+COUNTIF($E122:K122,"t")+COUNTIF($E122:K122,"¶")+COUNTIF($E122:K122,"²")+COUNTIF($E122:K122,"µ")+COUNTIF($E122:K122,1),ColTypeEcheance)),
  IF(LEN(K122)=1,
  IF(LEN(INDEX(Roadmap!$D:$K,MATCH($E122,Roadmap!$D:$D,0)-1+COUNTIF($E122:K122,"u")+COUNTIF($E122:K122,"t")+COUNTIF($E122:K122,"¶")+COUNTIF($E122:K122,"²")+COUNTIF($E122:K122,"µ")+COUNTIF($E122:K122,1),ColDescriptionCourte))&gt;1,
HYPERLINK("#Roadmap!C"&amp; MATCH($E122,Roadmap!$D:$D,0)+COUNTIF($E122:K122,"u")+COUNTIF($E122:K122,"t")+COUNTIF($E122:K122,"¶")+COUNTIF($E122:K122,"²")+COUNTIF($E122:K122,"µ")+COUNTIF($E122:K122,1)-1,INDEX(Roadmap!$D:$K,MATCH($E122,Roadmap!$D:$D,0)-1+COUNTIF($E122:K122,"u")+COUNTIF($E122:K122,"t")+COUNTIF($E122:K122,"¶")+COUNTIF($E122:K122,"²")+COUNTIF($E122:K122,"µ")+COUNTIF($E122:K122,1),ColDescriptionCourte)),""),
  "")),"")</f>
        <v/>
      </c>
      <c r="M122" s="40" t="str">
        <f ca="1">IFERROR(IF(AND(
  INDEX(Roadmap!$D:$K,MATCH($E122,Roadmap!$D:$D,0)+COUNTIF($E122:L122,"u")+COUNTIF($E122:L122,"t")+COUNTIF($E122:L122,"¶")+COUNTIF($E122:L122,"²")+COUNTIF($E122:L122,"µ")+COUNTIF($E122:L122,1),ColLivraison)=M$6,
  VLOOKUP($E122,INDIRECT("tri!"&amp; CHAR(64+ C0Col) &amp;":"&amp; CHAR(65+C0Col)),2,FALSE)&gt;COUNTIF($E122:L122,"u")+COUNTIF($E122:L122,"t")+COUNTIF($E122:L122,"¶")+COUNTIF($E122:L122,"²")+COUNTIF($E122:L122,"µ")+COUNTIF($E122:L122,1)),
HYPERLINK("#Roadmap!C"&amp; MATCH($E122,Roadmap!$D:$D,0)+COUNTIF($E122:L122,"u")+COUNTIF($E122:L122,"t"),
     INDEX(Roadmap!$D:$K,MATCH($E122,Roadmap!$D:$D,0)+COUNTIF($E122:L122,"u")+COUNTIF($E122:L122,"t")+COUNTIF($E122:L122,"¶")+COUNTIF($E122:L122,"²")+COUNTIF($E122:L122,"µ")+COUNTIF($E122:L122,1),ColTypeEcheance)),
  IF(LEN(L122)=1,
  IF(LEN(INDEX(Roadmap!$D:$K,MATCH($E122,Roadmap!$D:$D,0)-1+COUNTIF($E122:L122,"u")+COUNTIF($E122:L122,"t")+COUNTIF($E122:L122,"¶")+COUNTIF($E122:L122,"²")+COUNTIF($E122:L122,"µ")+COUNTIF($E122:L122,1),ColDescriptionCourte))&gt;1,
HYPERLINK("#Roadmap!C"&amp; MATCH($E122,Roadmap!$D:$D,0)+COUNTIF($E122:L122,"u")+COUNTIF($E122:L122,"t")+COUNTIF($E122:L122,"¶")+COUNTIF($E122:L122,"²")+COUNTIF($E122:L122,"µ")+COUNTIF($E122:L122,1)-1,INDEX(Roadmap!$D:$K,MATCH($E122,Roadmap!$D:$D,0)-1+COUNTIF($E122:L122,"u")+COUNTIF($E122:L122,"t")+COUNTIF($E122:L122,"¶")+COUNTIF($E122:L122,"²")+COUNTIF($E122:L122,"µ")+COUNTIF($E122:L122,1),ColDescriptionCourte)),""),
  "")),"")</f>
        <v/>
      </c>
      <c r="N122" s="40" t="str">
        <f ca="1">IFERROR(IF(AND(
  INDEX(Roadmap!$D:$K,MATCH($E122,Roadmap!$D:$D,0)+COUNTIF($E122:M122,"u")+COUNTIF($E122:M122,"t")+COUNTIF($E122:M122,"¶")+COUNTIF($E122:M122,"²")+COUNTIF($E122:M122,"µ")+COUNTIF($E122:M122,1),ColLivraison)=N$6,
  VLOOKUP($E122,INDIRECT("tri!"&amp; CHAR(64+ C0Col) &amp;":"&amp; CHAR(65+C0Col)),2,FALSE)&gt;COUNTIF($E122:M122,"u")+COUNTIF($E122:M122,"t")+COUNTIF($E122:M122,"¶")+COUNTIF($E122:M122,"²")+COUNTIF($E122:M122,"µ")+COUNTIF($E122:M122,1)),
HYPERLINK("#Roadmap!C"&amp; MATCH($E122,Roadmap!$D:$D,0)+COUNTIF($E122:M122,"u")+COUNTIF($E122:M122,"t"),
     INDEX(Roadmap!$D:$K,MATCH($E122,Roadmap!$D:$D,0)+COUNTIF($E122:M122,"u")+COUNTIF($E122:M122,"t")+COUNTIF($E122:M122,"¶")+COUNTIF($E122:M122,"²")+COUNTIF($E122:M122,"µ")+COUNTIF($E122:M122,1),ColTypeEcheance)),
  IF(LEN(M122)=1,
  IF(LEN(INDEX(Roadmap!$D:$K,MATCH($E122,Roadmap!$D:$D,0)-1+COUNTIF($E122:M122,"u")+COUNTIF($E122:M122,"t")+COUNTIF($E122:M122,"¶")+COUNTIF($E122:M122,"²")+COUNTIF($E122:M122,"µ")+COUNTIF($E122:M122,1),ColDescriptionCourte))&gt;1,
HYPERLINK("#Roadmap!C"&amp; MATCH($E122,Roadmap!$D:$D,0)+COUNTIF($E122:M122,"u")+COUNTIF($E122:M122,"t")+COUNTIF($E122:M122,"¶")+COUNTIF($E122:M122,"²")+COUNTIF($E122:M122,"µ")+COUNTIF($E122:M122,1)-1,INDEX(Roadmap!$D:$K,MATCH($E122,Roadmap!$D:$D,0)-1+COUNTIF($E122:M122,"u")+COUNTIF($E122:M122,"t")+COUNTIF($E122:M122,"¶")+COUNTIF($E122:M122,"²")+COUNTIF($E122:M122,"µ")+COUNTIF($E122:M122,1),ColDescriptionCourte)),""),
  "")),"")</f>
        <v/>
      </c>
      <c r="O122" s="40" t="str">
        <f ca="1">IFERROR(IF(AND(
  INDEX(Roadmap!$D:$K,MATCH($E122,Roadmap!$D:$D,0)+COUNTIF($E122:N122,"u")+COUNTIF($E122:N122,"t")+COUNTIF($E122:N122,"¶")+COUNTIF($E122:N122,"²")+COUNTIF($E122:N122,"µ")+COUNTIF($E122:N122,1),ColLivraison)=O$6,
  VLOOKUP($E122,INDIRECT("tri!"&amp; CHAR(64+ C0Col) &amp;":"&amp; CHAR(65+C0Col)),2,FALSE)&gt;COUNTIF($E122:N122,"u")+COUNTIF($E122:N122,"t")+COUNTIF($E122:N122,"¶")+COUNTIF($E122:N122,"²")+COUNTIF($E122:N122,"µ")+COUNTIF($E122:N122,1)),
HYPERLINK("#Roadmap!C"&amp; MATCH($E122,Roadmap!$D:$D,0)+COUNTIF($E122:N122,"u")+COUNTIF($E122:N122,"t"),
     INDEX(Roadmap!$D:$K,MATCH($E122,Roadmap!$D:$D,0)+COUNTIF($E122:N122,"u")+COUNTIF($E122:N122,"t")+COUNTIF($E122:N122,"¶")+COUNTIF($E122:N122,"²")+COUNTIF($E122:N122,"µ")+COUNTIF($E122:N122,1),ColTypeEcheance)),
  IF(LEN(N122)=1,
  IF(LEN(INDEX(Roadmap!$D:$K,MATCH($E122,Roadmap!$D:$D,0)-1+COUNTIF($E122:N122,"u")+COUNTIF($E122:N122,"t")+COUNTIF($E122:N122,"¶")+COUNTIF($E122:N122,"²")+COUNTIF($E122:N122,"µ")+COUNTIF($E122:N122,1),ColDescriptionCourte))&gt;1,
HYPERLINK("#Roadmap!C"&amp; MATCH($E122,Roadmap!$D:$D,0)+COUNTIF($E122:N122,"u")+COUNTIF($E122:N122,"t")+COUNTIF($E122:N122,"¶")+COUNTIF($E122:N122,"²")+COUNTIF($E122:N122,"µ")+COUNTIF($E122:N122,1)-1,INDEX(Roadmap!$D:$K,MATCH($E122,Roadmap!$D:$D,0)-1+COUNTIF($E122:N122,"u")+COUNTIF($E122:N122,"t")+COUNTIF($E122:N122,"¶")+COUNTIF($E122:N122,"²")+COUNTIF($E122:N122,"µ")+COUNTIF($E122:N122,1),ColDescriptionCourte)),""),
  "")),"")</f>
        <v/>
      </c>
      <c r="P122" s="40" t="str">
        <f ca="1">IFERROR(IF(AND(
  INDEX(Roadmap!$D:$K,MATCH($E122,Roadmap!$D:$D,0)+COUNTIF($E122:O122,"u")+COUNTIF($E122:O122,"t")+COUNTIF($E122:O122,"¶")+COUNTIF($E122:O122,"²")+COUNTIF($E122:O122,"µ")+COUNTIF($E122:O122,1),ColLivraison)=P$6,
  VLOOKUP($E122,INDIRECT("tri!"&amp; CHAR(64+ C0Col) &amp;":"&amp; CHAR(65+C0Col)),2,FALSE)&gt;COUNTIF($E122:O122,"u")+COUNTIF($E122:O122,"t")+COUNTIF($E122:O122,"¶")+COUNTIF($E122:O122,"²")+COUNTIF($E122:O122,"µ")+COUNTIF($E122:O122,1)),
HYPERLINK("#Roadmap!C"&amp; MATCH($E122,Roadmap!$D:$D,0)+COUNTIF($E122:O122,"u")+COUNTIF($E122:O122,"t"),
     INDEX(Roadmap!$D:$K,MATCH($E122,Roadmap!$D:$D,0)+COUNTIF($E122:O122,"u")+COUNTIF($E122:O122,"t")+COUNTIF($E122:O122,"¶")+COUNTIF($E122:O122,"²")+COUNTIF($E122:O122,"µ")+COUNTIF($E122:O122,1),ColTypeEcheance)),
  IF(LEN(O122)=1,
  IF(LEN(INDEX(Roadmap!$D:$K,MATCH($E122,Roadmap!$D:$D,0)-1+COUNTIF($E122:O122,"u")+COUNTIF($E122:O122,"t")+COUNTIF($E122:O122,"¶")+COUNTIF($E122:O122,"²")+COUNTIF($E122:O122,"µ")+COUNTIF($E122:O122,1),ColDescriptionCourte))&gt;1,
HYPERLINK("#Roadmap!C"&amp; MATCH($E122,Roadmap!$D:$D,0)+COUNTIF($E122:O122,"u")+COUNTIF($E122:O122,"t")+COUNTIF($E122:O122,"¶")+COUNTIF($E122:O122,"²")+COUNTIF($E122:O122,"µ")+COUNTIF($E122:O122,1)-1,INDEX(Roadmap!$D:$K,MATCH($E122,Roadmap!$D:$D,0)-1+COUNTIF($E122:O122,"u")+COUNTIF($E122:O122,"t")+COUNTIF($E122:O122,"¶")+COUNTIF($E122:O122,"²")+COUNTIF($E122:O122,"µ")+COUNTIF($E122:O122,1),ColDescriptionCourte)),""),
  "")),"")</f>
        <v/>
      </c>
      <c r="Q122" s="40" t="str">
        <f ca="1">IFERROR(IF(AND(
  INDEX(Roadmap!$D:$K,MATCH($E122,Roadmap!$D:$D,0)+COUNTIF($E122:P122,"u")+COUNTIF($E122:P122,"t")+COUNTIF($E122:P122,"¶")+COUNTIF($E122:P122,"²")+COUNTIF($E122:P122,"µ")+COUNTIF($E122:P122,1),ColLivraison)=Q$6,
  VLOOKUP($E122,INDIRECT("tri!"&amp; CHAR(64+ C0Col) &amp;":"&amp; CHAR(65+C0Col)),2,FALSE)&gt;COUNTIF($E122:P122,"u")+COUNTIF($E122:P122,"t")+COUNTIF($E122:P122,"¶")+COUNTIF($E122:P122,"²")+COUNTIF($E122:P122,"µ")+COUNTIF($E122:P122,1)),
HYPERLINK("#Roadmap!C"&amp; MATCH($E122,Roadmap!$D:$D,0)+COUNTIF($E122:P122,"u")+COUNTIF($E122:P122,"t"),
     INDEX(Roadmap!$D:$K,MATCH($E122,Roadmap!$D:$D,0)+COUNTIF($E122:P122,"u")+COUNTIF($E122:P122,"t")+COUNTIF($E122:P122,"¶")+COUNTIF($E122:P122,"²")+COUNTIF($E122:P122,"µ")+COUNTIF($E122:P122,1),ColTypeEcheance)),
  IF(LEN(P122)=1,
  IF(LEN(INDEX(Roadmap!$D:$K,MATCH($E122,Roadmap!$D:$D,0)-1+COUNTIF($E122:P122,"u")+COUNTIF($E122:P122,"t")+COUNTIF($E122:P122,"¶")+COUNTIF($E122:P122,"²")+COUNTIF($E122:P122,"µ")+COUNTIF($E122:P122,1),ColDescriptionCourte))&gt;1,
HYPERLINK("#Roadmap!C"&amp; MATCH($E122,Roadmap!$D:$D,0)+COUNTIF($E122:P122,"u")+COUNTIF($E122:P122,"t")+COUNTIF($E122:P122,"¶")+COUNTIF($E122:P122,"²")+COUNTIF($E122:P122,"µ")+COUNTIF($E122:P122,1)-1,INDEX(Roadmap!$D:$K,MATCH($E122,Roadmap!$D:$D,0)-1+COUNTIF($E122:P122,"u")+COUNTIF($E122:P122,"t")+COUNTIF($E122:P122,"¶")+COUNTIF($E122:P122,"²")+COUNTIF($E122:P122,"µ")+COUNTIF($E122:P122,1),ColDescriptionCourte)),""),
  "")),"")</f>
        <v/>
      </c>
      <c r="R122" s="40" t="str">
        <f ca="1">IFERROR(IF(AND(
  INDEX(Roadmap!$D:$K,MATCH($E122,Roadmap!$D:$D,0)+COUNTIF($E122:Q122,"u")+COUNTIF($E122:Q122,"t")+COUNTIF($E122:Q122,"¶")+COUNTIF($E122:Q122,"²")+COUNTIF($E122:Q122,"µ")+COUNTIF($E122:Q122,1),ColLivraison)=R$6,
  VLOOKUP($E122,INDIRECT("tri!"&amp; CHAR(64+ C0Col) &amp;":"&amp; CHAR(65+C0Col)),2,FALSE)&gt;COUNTIF($E122:Q122,"u")+COUNTIF($E122:Q122,"t")+COUNTIF($E122:Q122,"¶")+COUNTIF($E122:Q122,"²")+COUNTIF($E122:Q122,"µ")+COUNTIF($E122:Q122,1)),
HYPERLINK("#Roadmap!C"&amp; MATCH($E122,Roadmap!$D:$D,0)+COUNTIF($E122:Q122,"u")+COUNTIF($E122:Q122,"t"),
     INDEX(Roadmap!$D:$K,MATCH($E122,Roadmap!$D:$D,0)+COUNTIF($E122:Q122,"u")+COUNTIF($E122:Q122,"t")+COUNTIF($E122:Q122,"¶")+COUNTIF($E122:Q122,"²")+COUNTIF($E122:Q122,"µ")+COUNTIF($E122:Q122,1),ColTypeEcheance)),
  IF(LEN(Q122)=1,
  IF(LEN(INDEX(Roadmap!$D:$K,MATCH($E122,Roadmap!$D:$D,0)-1+COUNTIF($E122:Q122,"u")+COUNTIF($E122:Q122,"t")+COUNTIF($E122:Q122,"¶")+COUNTIF($E122:Q122,"²")+COUNTIF($E122:Q122,"µ")+COUNTIF($E122:Q122,1),ColDescriptionCourte))&gt;1,
HYPERLINK("#Roadmap!C"&amp; MATCH($E122,Roadmap!$D:$D,0)+COUNTIF($E122:Q122,"u")+COUNTIF($E122:Q122,"t")+COUNTIF($E122:Q122,"¶")+COUNTIF($E122:Q122,"²")+COUNTIF($E122:Q122,"µ")+COUNTIF($E122:Q122,1)-1,INDEX(Roadmap!$D:$K,MATCH($E122,Roadmap!$D:$D,0)-1+COUNTIF($E122:Q122,"u")+COUNTIF($E122:Q122,"t")+COUNTIF($E122:Q122,"¶")+COUNTIF($E122:Q122,"²")+COUNTIF($E122:Q122,"µ")+COUNTIF($E122:Q122,1),ColDescriptionCourte)),""),
  "")),"")</f>
        <v/>
      </c>
      <c r="S122" s="40" t="str">
        <f ca="1">IFERROR(IF(AND(
  INDEX(Roadmap!$D:$K,MATCH($E122,Roadmap!$D:$D,0)+COUNTIF($E122:R122,"u")+COUNTIF($E122:R122,"t")+COUNTIF($E122:R122,"¶")+COUNTIF($E122:R122,"²")+COUNTIF($E122:R122,"µ")+COUNTIF($E122:R122,1),ColLivraison)=S$6,
  VLOOKUP($E122,INDIRECT("tri!"&amp; CHAR(64+ C0Col) &amp;":"&amp; CHAR(65+C0Col)),2,FALSE)&gt;COUNTIF($E122:R122,"u")+COUNTIF($E122:R122,"t")+COUNTIF($E122:R122,"¶")+COUNTIF($E122:R122,"²")+COUNTIF($E122:R122,"µ")+COUNTIF($E122:R122,1)),
HYPERLINK("#Roadmap!C"&amp; MATCH($E122,Roadmap!$D:$D,0)+COUNTIF($E122:R122,"u")+COUNTIF($E122:R122,"t"),
     INDEX(Roadmap!$D:$K,MATCH($E122,Roadmap!$D:$D,0)+COUNTIF($E122:R122,"u")+COUNTIF($E122:R122,"t")+COUNTIF($E122:R122,"¶")+COUNTIF($E122:R122,"²")+COUNTIF($E122:R122,"µ")+COUNTIF($E122:R122,1),ColTypeEcheance)),
  IF(LEN(R122)=1,
  IF(LEN(INDEX(Roadmap!$D:$K,MATCH($E122,Roadmap!$D:$D,0)-1+COUNTIF($E122:R122,"u")+COUNTIF($E122:R122,"t")+COUNTIF($E122:R122,"¶")+COUNTIF($E122:R122,"²")+COUNTIF($E122:R122,"µ")+COUNTIF($E122:R122,1),ColDescriptionCourte))&gt;1,
HYPERLINK("#Roadmap!C"&amp; MATCH($E122,Roadmap!$D:$D,0)+COUNTIF($E122:R122,"u")+COUNTIF($E122:R122,"t")+COUNTIF($E122:R122,"¶")+COUNTIF($E122:R122,"²")+COUNTIF($E122:R122,"µ")+COUNTIF($E122:R122,1)-1,INDEX(Roadmap!$D:$K,MATCH($E122,Roadmap!$D:$D,0)-1+COUNTIF($E122:R122,"u")+COUNTIF($E122:R122,"t")+COUNTIF($E122:R122,"¶")+COUNTIF($E122:R122,"²")+COUNTIF($E122:R122,"µ")+COUNTIF($E122:R122,1),ColDescriptionCourte)),""),
  "")),"")</f>
        <v/>
      </c>
      <c r="T122" s="40" t="str">
        <f ca="1">IFERROR(IF(AND(
  INDEX(Roadmap!$D:$K,MATCH($E122,Roadmap!$D:$D,0)+COUNTIF($E122:S122,"u")+COUNTIF($E122:S122,"t")+COUNTIF($E122:S122,"¶")+COUNTIF($E122:S122,"²")+COUNTIF($E122:S122,"µ")+COUNTIF($E122:S122,1),ColLivraison)=T$6,
  VLOOKUP($E122,INDIRECT("tri!"&amp; CHAR(64+ C0Col) &amp;":"&amp; CHAR(65+C0Col)),2,FALSE)&gt;COUNTIF($E122:S122,"u")+COUNTIF($E122:S122,"t")+COUNTIF($E122:S122,"¶")+COUNTIF($E122:S122,"²")+COUNTIF($E122:S122,"µ")+COUNTIF($E122:S122,1)),
HYPERLINK("#Roadmap!C"&amp; MATCH($E122,Roadmap!$D:$D,0)+COUNTIF($E122:S122,"u")+COUNTIF($E122:S122,"t"),
     INDEX(Roadmap!$D:$K,MATCH($E122,Roadmap!$D:$D,0)+COUNTIF($E122:S122,"u")+COUNTIF($E122:S122,"t")+COUNTIF($E122:S122,"¶")+COUNTIF($E122:S122,"²")+COUNTIF($E122:S122,"µ")+COUNTIF($E122:S122,1),ColTypeEcheance)),
  IF(LEN(S122)=1,
  IF(LEN(INDEX(Roadmap!$D:$K,MATCH($E122,Roadmap!$D:$D,0)-1+COUNTIF($E122:S122,"u")+COUNTIF($E122:S122,"t")+COUNTIF($E122:S122,"¶")+COUNTIF($E122:S122,"²")+COUNTIF($E122:S122,"µ")+COUNTIF($E122:S122,1),ColDescriptionCourte))&gt;1,
HYPERLINK("#Roadmap!C"&amp; MATCH($E122,Roadmap!$D:$D,0)+COUNTIF($E122:S122,"u")+COUNTIF($E122:S122,"t")+COUNTIF($E122:S122,"¶")+COUNTIF($E122:S122,"²")+COUNTIF($E122:S122,"µ")+COUNTIF($E122:S122,1)-1,INDEX(Roadmap!$D:$K,MATCH($E122,Roadmap!$D:$D,0)-1+COUNTIF($E122:S122,"u")+COUNTIF($E122:S122,"t")+COUNTIF($E122:S122,"¶")+COUNTIF($E122:S122,"²")+COUNTIF($E122:S122,"µ")+COUNTIF($E122:S122,1),ColDescriptionCourte)),""),
  "")),"")</f>
        <v/>
      </c>
      <c r="U122" s="40" t="str">
        <f ca="1">IFERROR(IF(AND(
  INDEX(Roadmap!$D:$K,MATCH($E122,Roadmap!$D:$D,0)+COUNTIF($E122:T122,"u")+COUNTIF($E122:T122,"t")+COUNTIF($E122:T122,"¶")+COUNTIF($E122:T122,"²")+COUNTIF($E122:T122,"µ")+COUNTIF($E122:T122,1),ColLivraison)=U$6,
  VLOOKUP($E122,INDIRECT("tri!"&amp; CHAR(64+ C0Col) &amp;":"&amp; CHAR(65+C0Col)),2,FALSE)&gt;COUNTIF($E122:T122,"u")+COUNTIF($E122:T122,"t")+COUNTIF($E122:T122,"¶")+COUNTIF($E122:T122,"²")+COUNTIF($E122:T122,"µ")+COUNTIF($E122:T122,1)),
HYPERLINK("#Roadmap!C"&amp; MATCH($E122,Roadmap!$D:$D,0)+COUNTIF($E122:T122,"u")+COUNTIF($E122:T122,"t"),
     INDEX(Roadmap!$D:$K,MATCH($E122,Roadmap!$D:$D,0)+COUNTIF($E122:T122,"u")+COUNTIF($E122:T122,"t")+COUNTIF($E122:T122,"¶")+COUNTIF($E122:T122,"²")+COUNTIF($E122:T122,"µ")+COUNTIF($E122:T122,1),ColTypeEcheance)),
  IF(LEN(T122)=1,
  IF(LEN(INDEX(Roadmap!$D:$K,MATCH($E122,Roadmap!$D:$D,0)-1+COUNTIF($E122:T122,"u")+COUNTIF($E122:T122,"t")+COUNTIF($E122:T122,"¶")+COUNTIF($E122:T122,"²")+COUNTIF($E122:T122,"µ")+COUNTIF($E122:T122,1),ColDescriptionCourte))&gt;1,
HYPERLINK("#Roadmap!C"&amp; MATCH($E122,Roadmap!$D:$D,0)+COUNTIF($E122:T122,"u")+COUNTIF($E122:T122,"t")+COUNTIF($E122:T122,"¶")+COUNTIF($E122:T122,"²")+COUNTIF($E122:T122,"µ")+COUNTIF($E122:T122,1)-1,INDEX(Roadmap!$D:$K,MATCH($E122,Roadmap!$D:$D,0)-1+COUNTIF($E122:T122,"u")+COUNTIF($E122:T122,"t")+COUNTIF($E122:T122,"¶")+COUNTIF($E122:T122,"²")+COUNTIF($E122:T122,"µ")+COUNTIF($E122:T122,1),ColDescriptionCourte)),""),
  "")),"")</f>
        <v/>
      </c>
      <c r="V122" s="40" t="str">
        <f ca="1">IFERROR(IF(AND(
  INDEX(Roadmap!$D:$K,MATCH($E122,Roadmap!$D:$D,0)+COUNTIF($E122:U122,"u")+COUNTIF($E122:U122,"t")+COUNTIF($E122:U122,"¶")+COUNTIF($E122:U122,"²")+COUNTIF($E122:U122,"µ")+COUNTIF($E122:U122,1),ColLivraison)=V$6,
  VLOOKUP($E122,INDIRECT("tri!"&amp; CHAR(64+ C0Col) &amp;":"&amp; CHAR(65+C0Col)),2,FALSE)&gt;COUNTIF($E122:U122,"u")+COUNTIF($E122:U122,"t")+COUNTIF($E122:U122,"¶")+COUNTIF($E122:U122,"²")+COUNTIF($E122:U122,"µ")+COUNTIF($E122:U122,1)),
HYPERLINK("#Roadmap!C"&amp; MATCH($E122,Roadmap!$D:$D,0)+COUNTIF($E122:U122,"u")+COUNTIF($E122:U122,"t"),
     INDEX(Roadmap!$D:$K,MATCH($E122,Roadmap!$D:$D,0)+COUNTIF($E122:U122,"u")+COUNTIF($E122:U122,"t")+COUNTIF($E122:U122,"¶")+COUNTIF($E122:U122,"²")+COUNTIF($E122:U122,"µ")+COUNTIF($E122:U122,1),ColTypeEcheance)),
  IF(LEN(U122)=1,
  IF(LEN(INDEX(Roadmap!$D:$K,MATCH($E122,Roadmap!$D:$D,0)-1+COUNTIF($E122:U122,"u")+COUNTIF($E122:U122,"t")+COUNTIF($E122:U122,"¶")+COUNTIF($E122:U122,"²")+COUNTIF($E122:U122,"µ")+COUNTIF($E122:U122,1),ColDescriptionCourte))&gt;1,
HYPERLINK("#Roadmap!C"&amp; MATCH($E122,Roadmap!$D:$D,0)+COUNTIF($E122:U122,"u")+COUNTIF($E122:U122,"t")+COUNTIF($E122:U122,"¶")+COUNTIF($E122:U122,"²")+COUNTIF($E122:U122,"µ")+COUNTIF($E122:U122,1)-1,INDEX(Roadmap!$D:$K,MATCH($E122,Roadmap!$D:$D,0)-1+COUNTIF($E122:U122,"u")+COUNTIF($E122:U122,"t")+COUNTIF($E122:U122,"¶")+COUNTIF($E122:U122,"²")+COUNTIF($E122:U122,"µ")+COUNTIF($E122:U122,1),ColDescriptionCourte)),""),
  "")),"")</f>
        <v/>
      </c>
      <c r="W122" s="40" t="str">
        <f ca="1">IFERROR(IF(AND(
  INDEX(Roadmap!$D:$K,MATCH($E122,Roadmap!$D:$D,0)+COUNTIF($E122:V122,"u")+COUNTIF($E122:V122,"t")+COUNTIF($E122:V122,"¶")+COUNTIF($E122:V122,"²")+COUNTIF($E122:V122,"µ")+COUNTIF($E122:V122,1),ColLivraison)=W$6,
  VLOOKUP($E122,INDIRECT("tri!"&amp; CHAR(64+ C0Col) &amp;":"&amp; CHAR(65+C0Col)),2,FALSE)&gt;COUNTIF($E122:V122,"u")+COUNTIF($E122:V122,"t")+COUNTIF($E122:V122,"¶")+COUNTIF($E122:V122,"²")+COUNTIF($E122:V122,"µ")+COUNTIF($E122:V122,1)),
HYPERLINK("#Roadmap!C"&amp; MATCH($E122,Roadmap!$D:$D,0)+COUNTIF($E122:V122,"u")+COUNTIF($E122:V122,"t"),
     INDEX(Roadmap!$D:$K,MATCH($E122,Roadmap!$D:$D,0)+COUNTIF($E122:V122,"u")+COUNTIF($E122:V122,"t")+COUNTIF($E122:V122,"¶")+COUNTIF($E122:V122,"²")+COUNTIF($E122:V122,"µ")+COUNTIF($E122:V122,1),ColTypeEcheance)),
  IF(LEN(V122)=1,
  IF(LEN(INDEX(Roadmap!$D:$K,MATCH($E122,Roadmap!$D:$D,0)-1+COUNTIF($E122:V122,"u")+COUNTIF($E122:V122,"t")+COUNTIF($E122:V122,"¶")+COUNTIF($E122:V122,"²")+COUNTIF($E122:V122,"µ")+COUNTIF($E122:V122,1),ColDescriptionCourte))&gt;1,
HYPERLINK("#Roadmap!C"&amp; MATCH($E122,Roadmap!$D:$D,0)+COUNTIF($E122:V122,"u")+COUNTIF($E122:V122,"t")+COUNTIF($E122:V122,"¶")+COUNTIF($E122:V122,"²")+COUNTIF($E122:V122,"µ")+COUNTIF($E122:V122,1)-1,INDEX(Roadmap!$D:$K,MATCH($E122,Roadmap!$D:$D,0)-1+COUNTIF($E122:V122,"u")+COUNTIF($E122:V122,"t")+COUNTIF($E122:V122,"¶")+COUNTIF($E122:V122,"²")+COUNTIF($E122:V122,"µ")+COUNTIF($E122:V122,1),ColDescriptionCourte)),""),
  "")),"")</f>
        <v/>
      </c>
      <c r="X122" s="40" t="str">
        <f ca="1">IFERROR(IF(AND(
  INDEX(Roadmap!$D:$K,MATCH($E122,Roadmap!$D:$D,0)+COUNTIF($E122:W122,"u")+COUNTIF($E122:W122,"t")+COUNTIF($E122:W122,"¶")+COUNTIF($E122:W122,"²")+COUNTIF($E122:W122,"µ")+COUNTIF($E122:W122,1),ColLivraison)=X$6,
  VLOOKUP($E122,INDIRECT("tri!"&amp; CHAR(64+ C0Col) &amp;":"&amp; CHAR(65+C0Col)),2,FALSE)&gt;COUNTIF($E122:W122,"u")+COUNTIF($E122:W122,"t")+COUNTIF($E122:W122,"¶")+COUNTIF($E122:W122,"²")+COUNTIF($E122:W122,"µ")+COUNTIF($E122:W122,1)),
HYPERLINK("#Roadmap!C"&amp; MATCH($E122,Roadmap!$D:$D,0)+COUNTIF($E122:W122,"u")+COUNTIF($E122:W122,"t"),
     INDEX(Roadmap!$D:$K,MATCH($E122,Roadmap!$D:$D,0)+COUNTIF($E122:W122,"u")+COUNTIF($E122:W122,"t")+COUNTIF($E122:W122,"¶")+COUNTIF($E122:W122,"²")+COUNTIF($E122:W122,"µ")+COUNTIF($E122:W122,1),ColTypeEcheance)),
  IF(LEN(W122)=1,
  IF(LEN(INDEX(Roadmap!$D:$K,MATCH($E122,Roadmap!$D:$D,0)-1+COUNTIF($E122:W122,"u")+COUNTIF($E122:W122,"t")+COUNTIF($E122:W122,"¶")+COUNTIF($E122:W122,"²")+COUNTIF($E122:W122,"µ")+COUNTIF($E122:W122,1),ColDescriptionCourte))&gt;1,
HYPERLINK("#Roadmap!C"&amp; MATCH($E122,Roadmap!$D:$D,0)+COUNTIF($E122:W122,"u")+COUNTIF($E122:W122,"t")+COUNTIF($E122:W122,"¶")+COUNTIF($E122:W122,"²")+COUNTIF($E122:W122,"µ")+COUNTIF($E122:W122,1)-1,INDEX(Roadmap!$D:$K,MATCH($E122,Roadmap!$D:$D,0)-1+COUNTIF($E122:W122,"u")+COUNTIF($E122:W122,"t")+COUNTIF($E122:W122,"¶")+COUNTIF($E122:W122,"²")+COUNTIF($E122:W122,"µ")+COUNTIF($E122:W122,1),ColDescriptionCourte)),""),
  "")),"")</f>
        <v/>
      </c>
      <c r="Y122" s="40" t="str">
        <f ca="1">IFERROR(IF(AND(
  INDEX(Roadmap!$D:$K,MATCH($E122,Roadmap!$D:$D,0)+COUNTIF($E122:X122,"u")+COUNTIF($E122:X122,"t")+COUNTIF($E122:X122,"¶")+COUNTIF($E122:X122,"²")+COUNTIF($E122:X122,"µ")+COUNTIF($E122:X122,1),ColLivraison)=Y$6,
  VLOOKUP($E122,INDIRECT("tri!"&amp; CHAR(64+ C0Col) &amp;":"&amp; CHAR(65+C0Col)),2,FALSE)&gt;COUNTIF($E122:X122,"u")+COUNTIF($E122:X122,"t")+COUNTIF($E122:X122,"¶")+COUNTIF($E122:X122,"²")+COUNTIF($E122:X122,"µ")+COUNTIF($E122:X122,1)),
HYPERLINK("#Roadmap!C"&amp; MATCH($E122,Roadmap!$D:$D,0)+COUNTIF($E122:X122,"u")+COUNTIF($E122:X122,"t"),
     INDEX(Roadmap!$D:$K,MATCH($E122,Roadmap!$D:$D,0)+COUNTIF($E122:X122,"u")+COUNTIF($E122:X122,"t")+COUNTIF($E122:X122,"¶")+COUNTIF($E122:X122,"²")+COUNTIF($E122:X122,"µ")+COUNTIF($E122:X122,1),ColTypeEcheance)),
  IF(LEN(X122)=1,
  IF(LEN(INDEX(Roadmap!$D:$K,MATCH($E122,Roadmap!$D:$D,0)-1+COUNTIF($E122:X122,"u")+COUNTIF($E122:X122,"t")+COUNTIF($E122:X122,"¶")+COUNTIF($E122:X122,"²")+COUNTIF($E122:X122,"µ")+COUNTIF($E122:X122,1),ColDescriptionCourte))&gt;1,
HYPERLINK("#Roadmap!C"&amp; MATCH($E122,Roadmap!$D:$D,0)+COUNTIF($E122:X122,"u")+COUNTIF($E122:X122,"t")+COUNTIF($E122:X122,"¶")+COUNTIF($E122:X122,"²")+COUNTIF($E122:X122,"µ")+COUNTIF($E122:X122,1)-1,INDEX(Roadmap!$D:$K,MATCH($E122,Roadmap!$D:$D,0)-1+COUNTIF($E122:X122,"u")+COUNTIF($E122:X122,"t")+COUNTIF($E122:X122,"¶")+COUNTIF($E122:X122,"²")+COUNTIF($E122:X122,"µ")+COUNTIF($E122:X122,1),ColDescriptionCourte)),""),
  "")),"")</f>
        <v/>
      </c>
      <c r="Z122" s="40" t="str">
        <f ca="1">IFERROR(IF(AND(
  INDEX(Roadmap!$D:$K,MATCH($E122,Roadmap!$D:$D,0)+COUNTIF($E122:Y122,"u")+COUNTIF($E122:Y122,"t")+COUNTIF($E122:Y122,"¶")+COUNTIF($E122:Y122,"²")+COUNTIF($E122:Y122,"µ")+COUNTIF($E122:Y122,1),ColLivraison)=Z$6,
  VLOOKUP($E122,INDIRECT("tri!"&amp; CHAR(64+ C0Col) &amp;":"&amp; CHAR(65+C0Col)),2,FALSE)&gt;COUNTIF($E122:Y122,"u")+COUNTIF($E122:Y122,"t")+COUNTIF($E122:Y122,"¶")+COUNTIF($E122:Y122,"²")+COUNTIF($E122:Y122,"µ")+COUNTIF($E122:Y122,1)),
HYPERLINK("#Roadmap!C"&amp; MATCH($E122,Roadmap!$D:$D,0)+COUNTIF($E122:Y122,"u")+COUNTIF($E122:Y122,"t"),
     INDEX(Roadmap!$D:$K,MATCH($E122,Roadmap!$D:$D,0)+COUNTIF($E122:Y122,"u")+COUNTIF($E122:Y122,"t")+COUNTIF($E122:Y122,"¶")+COUNTIF($E122:Y122,"²")+COUNTIF($E122:Y122,"µ")+COUNTIF($E122:Y122,1),ColTypeEcheance)),
  IF(LEN(Y122)=1,
  IF(LEN(INDEX(Roadmap!$D:$K,MATCH($E122,Roadmap!$D:$D,0)-1+COUNTIF($E122:Y122,"u")+COUNTIF($E122:Y122,"t")+COUNTIF($E122:Y122,"¶")+COUNTIF($E122:Y122,"²")+COUNTIF($E122:Y122,"µ")+COUNTIF($E122:Y122,1),ColDescriptionCourte))&gt;1,
HYPERLINK("#Roadmap!C"&amp; MATCH($E122,Roadmap!$D:$D,0)+COUNTIF($E122:Y122,"u")+COUNTIF($E122:Y122,"t")+COUNTIF($E122:Y122,"¶")+COUNTIF($E122:Y122,"²")+COUNTIF($E122:Y122,"µ")+COUNTIF($E122:Y122,1)-1,INDEX(Roadmap!$D:$K,MATCH($E122,Roadmap!$D:$D,0)-1+COUNTIF($E122:Y122,"u")+COUNTIF($E122:Y122,"t")+COUNTIF($E122:Y122,"¶")+COUNTIF($E122:Y122,"²")+COUNTIF($E122:Y122,"µ")+COUNTIF($E122:Y122,1),ColDescriptionCourte)),""),
  "")),"")</f>
        <v/>
      </c>
      <c r="AA122" s="40" t="str">
        <f ca="1">IFERROR(IF(AND(
  INDEX(Roadmap!$D:$K,MATCH($E122,Roadmap!$D:$D,0)+COUNTIF($E122:Z122,"u")+COUNTIF($E122:Z122,"t")+COUNTIF($E122:Z122,"¶")+COUNTIF($E122:Z122,"²")+COUNTIF($E122:Z122,"µ")+COUNTIF($E122:Z122,1),ColLivraison)=AA$6,
  VLOOKUP($E122,INDIRECT("tri!"&amp; CHAR(64+ C0Col) &amp;":"&amp; CHAR(65+C0Col)),2,FALSE)&gt;COUNTIF($E122:Z122,"u")+COUNTIF($E122:Z122,"t")+COUNTIF($E122:Z122,"¶")+COUNTIF($E122:Z122,"²")+COUNTIF($E122:Z122,"µ")+COUNTIF($E122:Z122,1)),
HYPERLINK("#Roadmap!C"&amp; MATCH($E122,Roadmap!$D:$D,0)+COUNTIF($E122:Z122,"u")+COUNTIF($E122:Z122,"t"),
     INDEX(Roadmap!$D:$K,MATCH($E122,Roadmap!$D:$D,0)+COUNTIF($E122:Z122,"u")+COUNTIF($E122:Z122,"t")+COUNTIF($E122:Z122,"¶")+COUNTIF($E122:Z122,"²")+COUNTIF($E122:Z122,"µ")+COUNTIF($E122:Z122,1),ColTypeEcheance)),
  IF(LEN(Z122)=1,
  IF(LEN(INDEX(Roadmap!$D:$K,MATCH($E122,Roadmap!$D:$D,0)-1+COUNTIF($E122:Z122,"u")+COUNTIF($E122:Z122,"t")+COUNTIF($E122:Z122,"¶")+COUNTIF($E122:Z122,"²")+COUNTIF($E122:Z122,"µ")+COUNTIF($E122:Z122,1),ColDescriptionCourte))&gt;1,
HYPERLINK("#Roadmap!C"&amp; MATCH($E122,Roadmap!$D:$D,0)+COUNTIF($E122:Z122,"u")+COUNTIF($E122:Z122,"t")+COUNTIF($E122:Z122,"¶")+COUNTIF($E122:Z122,"²")+COUNTIF($E122:Z122,"µ")+COUNTIF($E122:Z122,1)-1,INDEX(Roadmap!$D:$K,MATCH($E122,Roadmap!$D:$D,0)-1+COUNTIF($E122:Z122,"u")+COUNTIF($E122:Z122,"t")+COUNTIF($E122:Z122,"¶")+COUNTIF($E122:Z122,"²")+COUNTIF($E122:Z122,"µ")+COUNTIF($E122:Z122,1),ColDescriptionCourte)),""),
  "")),"")</f>
        <v/>
      </c>
      <c r="AB122" s="40" t="str">
        <f ca="1">IFERROR(IF(AND(
  INDEX(Roadmap!$D:$K,MATCH($E122,Roadmap!$D:$D,0)+COUNTIF($E122:AA122,"u")+COUNTIF($E122:AA122,"t")+COUNTIF($E122:AA122,"¶")+COUNTIF($E122:AA122,"²")+COUNTIF($E122:AA122,"µ")+COUNTIF($E122:AA122,1),ColLivraison)=AB$6,
  VLOOKUP($E122,INDIRECT("tri!"&amp; CHAR(64+ C0Col) &amp;":"&amp; CHAR(65+C0Col)),2,FALSE)&gt;COUNTIF($E122:AA122,"u")+COUNTIF($E122:AA122,"t")+COUNTIF($E122:AA122,"¶")+COUNTIF($E122:AA122,"²")+COUNTIF($E122:AA122,"µ")+COUNTIF($E122:AA122,1)),
HYPERLINK("#Roadmap!C"&amp; MATCH($E122,Roadmap!$D:$D,0)+COUNTIF($E122:AA122,"u")+COUNTIF($E122:AA122,"t"),
     INDEX(Roadmap!$D:$K,MATCH($E122,Roadmap!$D:$D,0)+COUNTIF($E122:AA122,"u")+COUNTIF($E122:AA122,"t")+COUNTIF($E122:AA122,"¶")+COUNTIF($E122:AA122,"²")+COUNTIF($E122:AA122,"µ")+COUNTIF($E122:AA122,1),ColTypeEcheance)),
  IF(LEN(AA122)=1,
  IF(LEN(INDEX(Roadmap!$D:$K,MATCH($E122,Roadmap!$D:$D,0)-1+COUNTIF($E122:AA122,"u")+COUNTIF($E122:AA122,"t")+COUNTIF($E122:AA122,"¶")+COUNTIF($E122:AA122,"²")+COUNTIF($E122:AA122,"µ")+COUNTIF($E122:AA122,1),ColDescriptionCourte))&gt;1,
HYPERLINK("#Roadmap!C"&amp; MATCH($E122,Roadmap!$D:$D,0)+COUNTIF($E122:AA122,"u")+COUNTIF($E122:AA122,"t")+COUNTIF($E122:AA122,"¶")+COUNTIF($E122:AA122,"²")+COUNTIF($E122:AA122,"µ")+COUNTIF($E122:AA122,1)-1,INDEX(Roadmap!$D:$K,MATCH($E122,Roadmap!$D:$D,0)-1+COUNTIF($E122:AA122,"u")+COUNTIF($E122:AA122,"t")+COUNTIF($E122:AA122,"¶")+COUNTIF($E122:AA122,"²")+COUNTIF($E122:AA122,"µ")+COUNTIF($E122:AA122,1),ColDescriptionCourte)),""),
  "")),"")</f>
        <v/>
      </c>
      <c r="AC122" s="40" t="str">
        <f ca="1">IFERROR(IF(AND(
  INDEX(Roadmap!$D:$K,MATCH($E122,Roadmap!$D:$D,0)+COUNTIF($E122:AB122,"u")+COUNTIF($E122:AB122,"t")+COUNTIF($E122:AB122,"¶")+COUNTIF($E122:AB122,"²")+COUNTIF($E122:AB122,"µ")+COUNTIF($E122:AB122,1),ColLivraison)=AC$6,
  VLOOKUP($E122,INDIRECT("tri!"&amp; CHAR(64+ C0Col) &amp;":"&amp; CHAR(65+C0Col)),2,FALSE)&gt;COUNTIF($E122:AB122,"u")+COUNTIF($E122:AB122,"t")+COUNTIF($E122:AB122,"¶")+COUNTIF($E122:AB122,"²")+COUNTIF($E122:AB122,"µ")+COUNTIF($E122:AB122,1)),
HYPERLINK("#Roadmap!C"&amp; MATCH($E122,Roadmap!$D:$D,0)+COUNTIF($E122:AB122,"u")+COUNTIF($E122:AB122,"t"),
     INDEX(Roadmap!$D:$K,MATCH($E122,Roadmap!$D:$D,0)+COUNTIF($E122:AB122,"u")+COUNTIF($E122:AB122,"t")+COUNTIF($E122:AB122,"¶")+COUNTIF($E122:AB122,"²")+COUNTIF($E122:AB122,"µ")+COUNTIF($E122:AB122,1),ColTypeEcheance)),
  IF(LEN(AB122)=1,
  IF(LEN(INDEX(Roadmap!$D:$K,MATCH($E122,Roadmap!$D:$D,0)-1+COUNTIF($E122:AB122,"u")+COUNTIF($E122:AB122,"t")+COUNTIF($E122:AB122,"¶")+COUNTIF($E122:AB122,"²")+COUNTIF($E122:AB122,"µ")+COUNTIF($E122:AB122,1),ColDescriptionCourte))&gt;1,
HYPERLINK("#Roadmap!C"&amp; MATCH($E122,Roadmap!$D:$D,0)+COUNTIF($E122:AB122,"u")+COUNTIF($E122:AB122,"t")+COUNTIF($E122:AB122,"¶")+COUNTIF($E122:AB122,"²")+COUNTIF($E122:AB122,"µ")+COUNTIF($E122:AB122,1)-1,INDEX(Roadmap!$D:$K,MATCH($E122,Roadmap!$D:$D,0)-1+COUNTIF($E122:AB122,"u")+COUNTIF($E122:AB122,"t")+COUNTIF($E122:AB122,"¶")+COUNTIF($E122:AB122,"²")+COUNTIF($E122:AB122,"µ")+COUNTIF($E122:AB122,1),ColDescriptionCourte)),""),
  "")),"")</f>
        <v/>
      </c>
      <c r="AD122" s="40" t="str">
        <f ca="1">IFERROR(IF(AND(
  INDEX(Roadmap!$D:$K,MATCH($E122,Roadmap!$D:$D,0)+COUNTIF($E122:AC122,"u")+COUNTIF($E122:AC122,"t")+COUNTIF($E122:AC122,"¶")+COUNTIF($E122:AC122,"²")+COUNTIF($E122:AC122,"µ")+COUNTIF($E122:AC122,1),ColLivraison)=AD$6,
  VLOOKUP($E122,INDIRECT("tri!"&amp; CHAR(64+ C0Col) &amp;":"&amp; CHAR(65+C0Col)),2,FALSE)&gt;COUNTIF($E122:AC122,"u")+COUNTIF($E122:AC122,"t")+COUNTIF($E122:AC122,"¶")+COUNTIF($E122:AC122,"²")+COUNTIF($E122:AC122,"µ")+COUNTIF($E122:AC122,1)),
HYPERLINK("#Roadmap!C"&amp; MATCH($E122,Roadmap!$D:$D,0)+COUNTIF($E122:AC122,"u")+COUNTIF($E122:AC122,"t"),
     INDEX(Roadmap!$D:$K,MATCH($E122,Roadmap!$D:$D,0)+COUNTIF($E122:AC122,"u")+COUNTIF($E122:AC122,"t")+COUNTIF($E122:AC122,"¶")+COUNTIF($E122:AC122,"²")+COUNTIF($E122:AC122,"µ")+COUNTIF($E122:AC122,1),ColTypeEcheance)),
  IF(LEN(AC122)=1,
  IF(LEN(INDEX(Roadmap!$D:$K,MATCH($E122,Roadmap!$D:$D,0)-1+COUNTIF($E122:AC122,"u")+COUNTIF($E122:AC122,"t")+COUNTIF($E122:AC122,"¶")+COUNTIF($E122:AC122,"²")+COUNTIF($E122:AC122,"µ")+COUNTIF($E122:AC122,1),ColDescriptionCourte))&gt;1,
HYPERLINK("#Roadmap!C"&amp; MATCH($E122,Roadmap!$D:$D,0)+COUNTIF($E122:AC122,"u")+COUNTIF($E122:AC122,"t")+COUNTIF($E122:AC122,"¶")+COUNTIF($E122:AC122,"²")+COUNTIF($E122:AC122,"µ")+COUNTIF($E122:AC122,1)-1,INDEX(Roadmap!$D:$K,MATCH($E122,Roadmap!$D:$D,0)-1+COUNTIF($E122:AC122,"u")+COUNTIF($E122:AC122,"t")+COUNTIF($E122:AC122,"¶")+COUNTIF($E122:AC122,"²")+COUNTIF($E122:AC122,"µ")+COUNTIF($E122:AC122,1),ColDescriptionCourte)),""),
  "")),"")</f>
        <v/>
      </c>
      <c r="AE122" s="40" t="str">
        <f ca="1">IFERROR(IF(AND(
  INDEX(Roadmap!$D:$K,MATCH($E122,Roadmap!$D:$D,0)+COUNTIF($E122:AD122,"u")+COUNTIF($E122:AD122,"t")+COUNTIF($E122:AD122,"¶")+COUNTIF($E122:AD122,"²")+COUNTIF($E122:AD122,"µ")+COUNTIF($E122:AD122,1),ColLivraison)=AE$6,
  VLOOKUP($E122,INDIRECT("tri!"&amp; CHAR(64+ C0Col) &amp;":"&amp; CHAR(65+C0Col)),2,FALSE)&gt;COUNTIF($E122:AD122,"u")+COUNTIF($E122:AD122,"t")+COUNTIF($E122:AD122,"¶")+COUNTIF($E122:AD122,"²")+COUNTIF($E122:AD122,"µ")+COUNTIF($E122:AD122,1)),
HYPERLINK("#Roadmap!C"&amp; MATCH($E122,Roadmap!$D:$D,0)+COUNTIF($E122:AD122,"u")+COUNTIF($E122:AD122,"t"),
     INDEX(Roadmap!$D:$K,MATCH($E122,Roadmap!$D:$D,0)+COUNTIF($E122:AD122,"u")+COUNTIF($E122:AD122,"t")+COUNTIF($E122:AD122,"¶")+COUNTIF($E122:AD122,"²")+COUNTIF($E122:AD122,"µ")+COUNTIF($E122:AD122,1),ColTypeEcheance)),
  IF(LEN(AD122)=1,
  IF(LEN(INDEX(Roadmap!$D:$K,MATCH($E122,Roadmap!$D:$D,0)-1+COUNTIF($E122:AD122,"u")+COUNTIF($E122:AD122,"t")+COUNTIF($E122:AD122,"¶")+COUNTIF($E122:AD122,"²")+COUNTIF($E122:AD122,"µ")+COUNTIF($E122:AD122,1),ColDescriptionCourte))&gt;1,
HYPERLINK("#Roadmap!C"&amp; MATCH($E122,Roadmap!$D:$D,0)+COUNTIF($E122:AD122,"u")+COUNTIF($E122:AD122,"t")+COUNTIF($E122:AD122,"¶")+COUNTIF($E122:AD122,"²")+COUNTIF($E122:AD122,"µ")+COUNTIF($E122:AD122,1)-1,INDEX(Roadmap!$D:$K,MATCH($E122,Roadmap!$D:$D,0)-1+COUNTIF($E122:AD122,"u")+COUNTIF($E122:AD122,"t")+COUNTIF($E122:AD122,"¶")+COUNTIF($E122:AD122,"²")+COUNTIF($E122:AD122,"µ")+COUNTIF($E122:AD122,1),ColDescriptionCourte)),""),
  "")),"")</f>
        <v/>
      </c>
      <c r="AF122" s="40" t="str">
        <f ca="1">IFERROR(IF(AND(
  INDEX(Roadmap!$D:$K,MATCH($E122,Roadmap!$D:$D,0)+COUNTIF($E122:AE122,"u")+COUNTIF($E122:AE122,"t")+COUNTIF($E122:AE122,"¶")+COUNTIF($E122:AE122,"²")+COUNTIF($E122:AE122,"µ")+COUNTIF($E122:AE122,1),ColLivraison)=AF$6,
  VLOOKUP($E122,INDIRECT("tri!"&amp; CHAR(64+ C0Col) &amp;":"&amp; CHAR(65+C0Col)),2,FALSE)&gt;COUNTIF($E122:AE122,"u")+COUNTIF($E122:AE122,"t")+COUNTIF($E122:AE122,"¶")+COUNTIF($E122:AE122,"²")+COUNTIF($E122:AE122,"µ")+COUNTIF($E122:AE122,1)),
HYPERLINK("#Roadmap!C"&amp; MATCH($E122,Roadmap!$D:$D,0)+COUNTIF($E122:AE122,"u")+COUNTIF($E122:AE122,"t"),
     INDEX(Roadmap!$D:$K,MATCH($E122,Roadmap!$D:$D,0)+COUNTIF($E122:AE122,"u")+COUNTIF($E122:AE122,"t")+COUNTIF($E122:AE122,"¶")+COUNTIF($E122:AE122,"²")+COUNTIF($E122:AE122,"µ")+COUNTIF($E122:AE122,1),ColTypeEcheance)),
  IF(LEN(AE122)=1,
  IF(LEN(INDEX(Roadmap!$D:$K,MATCH($E122,Roadmap!$D:$D,0)-1+COUNTIF($E122:AE122,"u")+COUNTIF($E122:AE122,"t")+COUNTIF($E122:AE122,"¶")+COUNTIF($E122:AE122,"²")+COUNTIF($E122:AE122,"µ")+COUNTIF($E122:AE122,1),ColDescriptionCourte))&gt;1,
HYPERLINK("#Roadmap!C"&amp; MATCH($E122,Roadmap!$D:$D,0)+COUNTIF($E122:AE122,"u")+COUNTIF($E122:AE122,"t")+COUNTIF($E122:AE122,"¶")+COUNTIF($E122:AE122,"²")+COUNTIF($E122:AE122,"µ")+COUNTIF($E122:AE122,1)-1,INDEX(Roadmap!$D:$K,MATCH($E122,Roadmap!$D:$D,0)-1+COUNTIF($E122:AE122,"u")+COUNTIF($E122:AE122,"t")+COUNTIF($E122:AE122,"¶")+COUNTIF($E122:AE122,"²")+COUNTIF($E122:AE122,"µ")+COUNTIF($E122:AE122,1),ColDescriptionCourte)),""),
  "")),"")</f>
        <v/>
      </c>
      <c r="AG122" s="40" t="str">
        <f ca="1">IFERROR(IF(AND(
  INDEX(Roadmap!$D:$K,MATCH($E122,Roadmap!$D:$D,0)+COUNTIF($E122:AF122,"u")+COUNTIF($E122:AF122,"t")+COUNTIF($E122:AF122,"¶")+COUNTIF($E122:AF122,"²")+COUNTIF($E122:AF122,"µ")+COUNTIF($E122:AF122,1),ColLivraison)=AG$6,
  VLOOKUP($E122,INDIRECT("tri!"&amp; CHAR(64+ C0Col) &amp;":"&amp; CHAR(65+C0Col)),2,FALSE)&gt;COUNTIF($E122:AF122,"u")+COUNTIF($E122:AF122,"t")+COUNTIF($E122:AF122,"¶")+COUNTIF($E122:AF122,"²")+COUNTIF($E122:AF122,"µ")+COUNTIF($E122:AF122,1)),
HYPERLINK("#Roadmap!C"&amp; MATCH($E122,Roadmap!$D:$D,0)+COUNTIF($E122:AF122,"u")+COUNTIF($E122:AF122,"t"),
     INDEX(Roadmap!$D:$K,MATCH($E122,Roadmap!$D:$D,0)+COUNTIF($E122:AF122,"u")+COUNTIF($E122:AF122,"t")+COUNTIF($E122:AF122,"¶")+COUNTIF($E122:AF122,"²")+COUNTIF($E122:AF122,"µ")+COUNTIF($E122:AF122,1),ColTypeEcheance)),
  IF(LEN(AF122)=1,
  IF(LEN(INDEX(Roadmap!$D:$K,MATCH($E122,Roadmap!$D:$D,0)-1+COUNTIF($E122:AF122,"u")+COUNTIF($E122:AF122,"t")+COUNTIF($E122:AF122,"¶")+COUNTIF($E122:AF122,"²")+COUNTIF($E122:AF122,"µ")+COUNTIF($E122:AF122,1),ColDescriptionCourte))&gt;1,
HYPERLINK("#Roadmap!C"&amp; MATCH($E122,Roadmap!$D:$D,0)+COUNTIF($E122:AF122,"u")+COUNTIF($E122:AF122,"t")+COUNTIF($E122:AF122,"¶")+COUNTIF($E122:AF122,"²")+COUNTIF($E122:AF122,"µ")+COUNTIF($E122:AF122,1)-1,INDEX(Roadmap!$D:$K,MATCH($E122,Roadmap!$D:$D,0)-1+COUNTIF($E122:AF122,"u")+COUNTIF($E122:AF122,"t")+COUNTIF($E122:AF122,"¶")+COUNTIF($E122:AF122,"²")+COUNTIF($E122:AF122,"µ")+COUNTIF($E122:AF122,1),ColDescriptionCourte)),""),
  "")),"")</f>
        <v/>
      </c>
      <c r="AH122" s="40" t="str">
        <f ca="1">IFERROR(IF(AND(
  INDEX(Roadmap!$D:$K,MATCH($E122,Roadmap!$D:$D,0)+COUNTIF($E122:AG122,"u")+COUNTIF($E122:AG122,"t")+COUNTIF($E122:AG122,1),ColLivraison)=AH$6,
  VLOOKUP($E122,INDIRECT("tri!"&amp; CHAR(64+ C0Col) &amp;":"&amp; CHAR(65+C0Col)),2,FALSE)&gt;COUNTIF($E122:AG122,"u")+COUNTIF($E122:AG122,"t")+COUNTIF($E122:AG122,1)),
HYPERLINK("#Roadmap!C"&amp; MATCH($E122,Roadmap!$D:$D,0)+COUNTIF($E122:AG122,"u")+COUNTIF($E122:AG122,"t"),
     INDEX(Roadmap!$D:$K,MATCH($E122,Roadmap!$D:$D,0)+COUNTIF($E122:AG122,"u")+COUNTIF($E122:AG122,"t")+COUNTIF($E122:AG122,1),ColTypeEcheance)),
  IF(OR(AG122="u",AG122="t",AG122=1),
  IF(LEN(INDEX(Roadmap!$D:$K,MATCH($E122,Roadmap!$D:$D,0)-1+COUNTIF($E122:AG122,"u")+COUNTIF($E122:AG122,"t")+COUNTIF($E122:AG122,1),ColDescriptionCourte))&gt;1,
HYPERLINK("#Roadmap!C"&amp; MATCH($E122,Roadmap!$D:$D,0)+COUNTIF($E122:AG122,"u")+COUNTIF($E122:AG122,"t")+COUNTIF($E122:AG122,1)-1,INDEX(Roadmap!$D:$K,MATCH($E122,Roadmap!$D:$D,0)-1+COUNTIF($E122:AG122,"u")+COUNTIF($E122:AG122,"t")+COUNTIF($E122:AG122,1),ColDescriptionCourte)),""),
  "")),"")</f>
        <v/>
      </c>
      <c r="AI122" s="40"/>
      <c r="AJ122" s="40"/>
      <c r="AK122" s="40"/>
      <c r="AL122" s="40"/>
      <c r="AM122" s="40"/>
    </row>
    <row r="123" spans="4:39" ht="14.1" customHeight="1">
      <c r="D123" s="20" t="str">
        <f t="shared" ca="1" si="29"/>
        <v/>
      </c>
      <c r="E123" s="53" t="str">
        <f t="shared" ca="1" si="30"/>
        <v/>
      </c>
      <c r="F123" s="39" t="str">
        <f ca="1">IFERROR(IF(AND(
  INDEX(Roadmap!$D:$K,MATCH($E123,Roadmap!$D:$D,0)+COUNTIF($E123:E123,"u")+COUNTIF($E123:E123,"t")+COUNTIF($E123:E123,"¶")+COUNTIF($E123:E123,"²")+COUNTIF($E123:E123,"µ")+COUNTIF($E123:E123,1),ColLivraison)=F$6,
  VLOOKUP($E123,INDIRECT("tri!"&amp; CHAR(64+ C0Col) &amp;":"&amp; CHAR(65+C0Col)),2,FALSE)&gt;COUNTIF($E123:E123,"u")+COUNTIF($E123:E123,"t")+COUNTIF($E123:E123,"¶")+COUNTIF($E123:E123,"²")+COUNTIF($E123:E123,"µ")+COUNTIF($E123:E123,1)),
HYPERLINK("#Roadmap!C"&amp; MATCH($E123,Roadmap!$D:$D,0)+COUNTIF($E123:E123,"u")+COUNTIF($E123:E123,"t"),
     INDEX(Roadmap!$D:$K,MATCH($E123,Roadmap!$D:$D,0)+COUNTIF($E123:E123,"u")+COUNTIF($E123:E123,"t")+COUNTIF($E123:E123,"¶")+COUNTIF($E123:E123,"²")+COUNTIF($E123:E123,"µ")+COUNTIF($E123:E123,1),ColTypeEcheance)),
  IF(LEN(E123)=1,
  IF(LEN(INDEX(Roadmap!$D:$K,MATCH($E123,Roadmap!$D:$D,0)-1+COUNTIF($E123:E123,"u")+COUNTIF($E123:E123,"t")+COUNTIF($E123:E123,"¶")+COUNTIF($E123:E123,"²")+COUNTIF($E123:E123,"µ")+COUNTIF($E123:E123,1),ColDescriptionCourte))&gt;1,
HYPERLINK("#Roadmap!C"&amp; MATCH($E123,Roadmap!$D:$D,0)+COUNTIF($E123:E123,"u")+COUNTIF($E123:E123,"t")+COUNTIF($E123:E123,"¶")+COUNTIF($E123:E123,"²")+COUNTIF($E123:E123,"µ")+COUNTIF($E123:E123,1)-1,INDEX(Roadmap!$D:$K,MATCH($E123,Roadmap!$D:$D,0)-1+COUNTIF($E123:E123,"u")+COUNTIF($E123:E123,"t")+COUNTIF($E123:E123,"¶")+COUNTIF($E123:E123,"²")+COUNTIF($E123:E123,"µ")+COUNTIF($E123:E123,1),ColDescriptionCourte)),""),
  "")),"")</f>
        <v/>
      </c>
      <c r="G123" s="40" t="str">
        <f ca="1">IFERROR(IF(AND(
  INDEX(Roadmap!$D:$K,MATCH($E123,Roadmap!$D:$D,0)+COUNTIF($E123:F123,"u")+COUNTIF($E123:F123,"t")+COUNTIF($E123:F123,"¶")+COUNTIF($E123:F123,"²")+COUNTIF($E123:F123,"µ")+COUNTIF($E123:F123,1),ColLivraison)=G$6,
  VLOOKUP($E123,INDIRECT("tri!"&amp; CHAR(64+ C0Col) &amp;":"&amp; CHAR(65+C0Col)),2,FALSE)&gt;COUNTIF($E123:F123,"u")+COUNTIF($E123:F123,"t")+COUNTIF($E123:F123,"¶")+COUNTIF($E123:F123,"²")+COUNTIF($E123:F123,"µ")+COUNTIF($E123:F123,1)),
HYPERLINK("#Roadmap!C"&amp; MATCH($E123,Roadmap!$D:$D,0)+COUNTIF($E123:F123,"u")+COUNTIF($E123:F123,"t"),
     INDEX(Roadmap!$D:$K,MATCH($E123,Roadmap!$D:$D,0)+COUNTIF($E123:F123,"u")+COUNTIF($E123:F123,"t")+COUNTIF($E123:F123,"¶")+COUNTIF($E123:F123,"²")+COUNTIF($E123:F123,"µ")+COUNTIF($E123:F123,1),ColTypeEcheance)),
  IF(LEN(F123)=1,
  IF(LEN(INDEX(Roadmap!$D:$K,MATCH($E123,Roadmap!$D:$D,0)-1+COUNTIF($E123:F123,"u")+COUNTIF($E123:F123,"t")+COUNTIF($E123:F123,"¶")+COUNTIF($E123:F123,"²")+COUNTIF($E123:F123,"µ")+COUNTIF($E123:F123,1),ColDescriptionCourte))&gt;1,
HYPERLINK("#Roadmap!C"&amp; MATCH($E123,Roadmap!$D:$D,0)+COUNTIF($E123:F123,"u")+COUNTIF($E123:F123,"t")+COUNTIF($E123:F123,"¶")+COUNTIF($E123:F123,"²")+COUNTIF($E123:F123,"µ")+COUNTIF($E123:F123,1)-1,INDEX(Roadmap!$D:$K,MATCH($E123,Roadmap!$D:$D,0)-1+COUNTIF($E123:F123,"u")+COUNTIF($E123:F123,"t")+COUNTIF($E123:F123,"¶")+COUNTIF($E123:F123,"²")+COUNTIF($E123:F123,"µ")+COUNTIF($E123:F123,1),ColDescriptionCourte)),""),
  "")),"")</f>
        <v/>
      </c>
      <c r="H123" s="40" t="str">
        <f ca="1">IFERROR(IF(AND(
  INDEX(Roadmap!$D:$K,MATCH($E123,Roadmap!$D:$D,0)+COUNTIF($E123:G123,"u")+COUNTIF($E123:G123,"t")+COUNTIF($E123:G123,"¶")+COUNTIF($E123:G123,"²")+COUNTIF($E123:G123,"µ")+COUNTIF($E123:G123,1),ColLivraison)=H$6,
  VLOOKUP($E123,INDIRECT("tri!"&amp; CHAR(64+ C0Col) &amp;":"&amp; CHAR(65+C0Col)),2,FALSE)&gt;COUNTIF($E123:G123,"u")+COUNTIF($E123:G123,"t")+COUNTIF($E123:G123,"¶")+COUNTIF($E123:G123,"²")+COUNTIF($E123:G123,"µ")+COUNTIF($E123:G123,1)),
HYPERLINK("#Roadmap!C"&amp; MATCH($E123,Roadmap!$D:$D,0)+COUNTIF($E123:G123,"u")+COUNTIF($E123:G123,"t"),
     INDEX(Roadmap!$D:$K,MATCH($E123,Roadmap!$D:$D,0)+COUNTIF($E123:G123,"u")+COUNTIF($E123:G123,"t")+COUNTIF($E123:G123,"¶")+COUNTIF($E123:G123,"²")+COUNTIF($E123:G123,"µ")+COUNTIF($E123:G123,1),ColTypeEcheance)),
  IF(LEN(G123)=1,
  IF(LEN(INDEX(Roadmap!$D:$K,MATCH($E123,Roadmap!$D:$D,0)-1+COUNTIF($E123:G123,"u")+COUNTIF($E123:G123,"t")+COUNTIF($E123:G123,"¶")+COUNTIF($E123:G123,"²")+COUNTIF($E123:G123,"µ")+COUNTIF($E123:G123,1),ColDescriptionCourte))&gt;1,
HYPERLINK("#Roadmap!C"&amp; MATCH($E123,Roadmap!$D:$D,0)+COUNTIF($E123:G123,"u")+COUNTIF($E123:G123,"t")+COUNTIF($E123:G123,"¶")+COUNTIF($E123:G123,"²")+COUNTIF($E123:G123,"µ")+COUNTIF($E123:G123,1)-1,INDEX(Roadmap!$D:$K,MATCH($E123,Roadmap!$D:$D,0)-1+COUNTIF($E123:G123,"u")+COUNTIF($E123:G123,"t")+COUNTIF($E123:G123,"¶")+COUNTIF($E123:G123,"²")+COUNTIF($E123:G123,"µ")+COUNTIF($E123:G123,1),ColDescriptionCourte)),""),
  "")),"")</f>
        <v/>
      </c>
      <c r="I123" s="40" t="str">
        <f ca="1">IFERROR(IF(AND(
  INDEX(Roadmap!$D:$K,MATCH($E123,Roadmap!$D:$D,0)+COUNTIF($E123:H123,"u")+COUNTIF($E123:H123,"t")+COUNTIF($E123:H123,"¶")+COUNTIF($E123:H123,"²")+COUNTIF($E123:H123,"µ")+COUNTIF($E123:H123,1),ColLivraison)=I$6,
  VLOOKUP($E123,INDIRECT("tri!"&amp; CHAR(64+ C0Col) &amp;":"&amp; CHAR(65+C0Col)),2,FALSE)&gt;COUNTIF($E123:H123,"u")+COUNTIF($E123:H123,"t")+COUNTIF($E123:H123,"¶")+COUNTIF($E123:H123,"²")+COUNTIF($E123:H123,"µ")+COUNTIF($E123:H123,1)),
HYPERLINK("#Roadmap!C"&amp; MATCH($E123,Roadmap!$D:$D,0)+COUNTIF($E123:H123,"u")+COUNTIF($E123:H123,"t"),
     INDEX(Roadmap!$D:$K,MATCH($E123,Roadmap!$D:$D,0)+COUNTIF($E123:H123,"u")+COUNTIF($E123:H123,"t")+COUNTIF($E123:H123,"¶")+COUNTIF($E123:H123,"²")+COUNTIF($E123:H123,"µ")+COUNTIF($E123:H123,1),ColTypeEcheance)),
  IF(LEN(H123)=1,
  IF(LEN(INDEX(Roadmap!$D:$K,MATCH($E123,Roadmap!$D:$D,0)-1+COUNTIF($E123:H123,"u")+COUNTIF($E123:H123,"t")+COUNTIF($E123:H123,"¶")+COUNTIF($E123:H123,"²")+COUNTIF($E123:H123,"µ")+COUNTIF($E123:H123,1),ColDescriptionCourte))&gt;1,
HYPERLINK("#Roadmap!C"&amp; MATCH($E123,Roadmap!$D:$D,0)+COUNTIF($E123:H123,"u")+COUNTIF($E123:H123,"t")+COUNTIF($E123:H123,"¶")+COUNTIF($E123:H123,"²")+COUNTIF($E123:H123,"µ")+COUNTIF($E123:H123,1)-1,INDEX(Roadmap!$D:$K,MATCH($E123,Roadmap!$D:$D,0)-1+COUNTIF($E123:H123,"u")+COUNTIF($E123:H123,"t")+COUNTIF($E123:H123,"¶")+COUNTIF($E123:H123,"²")+COUNTIF($E123:H123,"µ")+COUNTIF($E123:H123,1),ColDescriptionCourte)),""),
  "")),"")</f>
        <v/>
      </c>
      <c r="J123" s="40" t="str">
        <f ca="1">IFERROR(IF(AND(
  INDEX(Roadmap!$D:$K,MATCH($E123,Roadmap!$D:$D,0)+COUNTIF($E123:I123,"u")+COUNTIF($E123:I123,"t")+COUNTIF($E123:I123,"¶")+COUNTIF($E123:I123,"²")+COUNTIF($E123:I123,"µ")+COUNTIF($E123:I123,1),ColLivraison)=J$6,
  VLOOKUP($E123,INDIRECT("tri!"&amp; CHAR(64+ C0Col) &amp;":"&amp; CHAR(65+C0Col)),2,FALSE)&gt;COUNTIF($E123:I123,"u")+COUNTIF($E123:I123,"t")+COUNTIF($E123:I123,"¶")+COUNTIF($E123:I123,"²")+COUNTIF($E123:I123,"µ")+COUNTIF($E123:I123,1)),
HYPERLINK("#Roadmap!C"&amp; MATCH($E123,Roadmap!$D:$D,0)+COUNTIF($E123:I123,"u")+COUNTIF($E123:I123,"t"),
     INDEX(Roadmap!$D:$K,MATCH($E123,Roadmap!$D:$D,0)+COUNTIF($E123:I123,"u")+COUNTIF($E123:I123,"t")+COUNTIF($E123:I123,"¶")+COUNTIF($E123:I123,"²")+COUNTIF($E123:I123,"µ")+COUNTIF($E123:I123,1),ColTypeEcheance)),
  IF(LEN(I123)=1,
  IF(LEN(INDEX(Roadmap!$D:$K,MATCH($E123,Roadmap!$D:$D,0)-1+COUNTIF($E123:I123,"u")+COUNTIF($E123:I123,"t")+COUNTIF($E123:I123,"¶")+COUNTIF($E123:I123,"²")+COUNTIF($E123:I123,"µ")+COUNTIF($E123:I123,1),ColDescriptionCourte))&gt;1,
HYPERLINK("#Roadmap!C"&amp; MATCH($E123,Roadmap!$D:$D,0)+COUNTIF($E123:I123,"u")+COUNTIF($E123:I123,"t")+COUNTIF($E123:I123,"¶")+COUNTIF($E123:I123,"²")+COUNTIF($E123:I123,"µ")+COUNTIF($E123:I123,1)-1,INDEX(Roadmap!$D:$K,MATCH($E123,Roadmap!$D:$D,0)-1+COUNTIF($E123:I123,"u")+COUNTIF($E123:I123,"t")+COUNTIF($E123:I123,"¶")+COUNTIF($E123:I123,"²")+COUNTIF($E123:I123,"µ")+COUNTIF($E123:I123,1),ColDescriptionCourte)),""),
  "")),"")</f>
        <v/>
      </c>
      <c r="K123" s="40" t="str">
        <f ca="1">IFERROR(IF(AND(
  INDEX(Roadmap!$D:$K,MATCH($E123,Roadmap!$D:$D,0)+COUNTIF($E123:J123,"u")+COUNTIF($E123:J123,"t")+COUNTIF($E123:J123,"¶")+COUNTIF($E123:J123,"²")+COUNTIF($E123:J123,"µ")+COUNTIF($E123:J123,1),ColLivraison)=K$6,
  VLOOKUP($E123,INDIRECT("tri!"&amp; CHAR(64+ C0Col) &amp;":"&amp; CHAR(65+C0Col)),2,FALSE)&gt;COUNTIF($E123:J123,"u")+COUNTIF($E123:J123,"t")+COUNTIF($E123:J123,"¶")+COUNTIF($E123:J123,"²")+COUNTIF($E123:J123,"µ")+COUNTIF($E123:J123,1)),
HYPERLINK("#Roadmap!C"&amp; MATCH($E123,Roadmap!$D:$D,0)+COUNTIF($E123:J123,"u")+COUNTIF($E123:J123,"t"),
     INDEX(Roadmap!$D:$K,MATCH($E123,Roadmap!$D:$D,0)+COUNTIF($E123:J123,"u")+COUNTIF($E123:J123,"t")+COUNTIF($E123:J123,"¶")+COUNTIF($E123:J123,"²")+COUNTIF($E123:J123,"µ")+COUNTIF($E123:J123,1),ColTypeEcheance)),
  IF(LEN(J123)=1,
  IF(LEN(INDEX(Roadmap!$D:$K,MATCH($E123,Roadmap!$D:$D,0)-1+COUNTIF($E123:J123,"u")+COUNTIF($E123:J123,"t")+COUNTIF($E123:J123,"¶")+COUNTIF($E123:J123,"²")+COUNTIF($E123:J123,"µ")+COUNTIF($E123:J123,1),ColDescriptionCourte))&gt;1,
HYPERLINK("#Roadmap!C"&amp; MATCH($E123,Roadmap!$D:$D,0)+COUNTIF($E123:J123,"u")+COUNTIF($E123:J123,"t")+COUNTIF($E123:J123,"¶")+COUNTIF($E123:J123,"²")+COUNTIF($E123:J123,"µ")+COUNTIF($E123:J123,1)-1,INDEX(Roadmap!$D:$K,MATCH($E123,Roadmap!$D:$D,0)-1+COUNTIF($E123:J123,"u")+COUNTIF($E123:J123,"t")+COUNTIF($E123:J123,"¶")+COUNTIF($E123:J123,"²")+COUNTIF($E123:J123,"µ")+COUNTIF($E123:J123,1),ColDescriptionCourte)),""),
  "")),"")</f>
        <v/>
      </c>
      <c r="L123" s="39" t="str">
        <f ca="1">IFERROR(IF(AND(
  INDEX(Roadmap!$D:$K,MATCH($E123,Roadmap!$D:$D,0)+COUNTIF($E123:K123,"u")+COUNTIF($E123:K123,"t")+COUNTIF($E123:K123,"¶")+COUNTIF($E123:K123,"²")+COUNTIF($E123:K123,"µ")+COUNTIF($E123:K123,1),ColLivraison)=L$6,
  VLOOKUP($E123,INDIRECT("tri!"&amp; CHAR(64+ C0Col) &amp;":"&amp; CHAR(65+C0Col)),2,FALSE)&gt;COUNTIF($E123:K123,"u")+COUNTIF($E123:K123,"t")+COUNTIF($E123:K123,"¶")+COUNTIF($E123:K123,"²")+COUNTIF($E123:K123,"µ")+COUNTIF($E123:K123,1)),
HYPERLINK("#Roadmap!C"&amp; MATCH($E123,Roadmap!$D:$D,0)+COUNTIF($E123:K123,"u")+COUNTIF($E123:K123,"t"),
     INDEX(Roadmap!$D:$K,MATCH($E123,Roadmap!$D:$D,0)+COUNTIF($E123:K123,"u")+COUNTIF($E123:K123,"t")+COUNTIF($E123:K123,"¶")+COUNTIF($E123:K123,"²")+COUNTIF($E123:K123,"µ")+COUNTIF($E123:K123,1),ColTypeEcheance)),
  IF(LEN(K123)=1,
  IF(LEN(INDEX(Roadmap!$D:$K,MATCH($E123,Roadmap!$D:$D,0)-1+COUNTIF($E123:K123,"u")+COUNTIF($E123:K123,"t")+COUNTIF($E123:K123,"¶")+COUNTIF($E123:K123,"²")+COUNTIF($E123:K123,"µ")+COUNTIF($E123:K123,1),ColDescriptionCourte))&gt;1,
HYPERLINK("#Roadmap!C"&amp; MATCH($E123,Roadmap!$D:$D,0)+COUNTIF($E123:K123,"u")+COUNTIF($E123:K123,"t")+COUNTIF($E123:K123,"¶")+COUNTIF($E123:K123,"²")+COUNTIF($E123:K123,"µ")+COUNTIF($E123:K123,1)-1,INDEX(Roadmap!$D:$K,MATCH($E123,Roadmap!$D:$D,0)-1+COUNTIF($E123:K123,"u")+COUNTIF($E123:K123,"t")+COUNTIF($E123:K123,"¶")+COUNTIF($E123:K123,"²")+COUNTIF($E123:K123,"µ")+COUNTIF($E123:K123,1),ColDescriptionCourte)),""),
  "")),"")</f>
        <v/>
      </c>
      <c r="M123" s="40" t="str">
        <f ca="1">IFERROR(IF(AND(
  INDEX(Roadmap!$D:$K,MATCH($E123,Roadmap!$D:$D,0)+COUNTIF($E123:L123,"u")+COUNTIF($E123:L123,"t")+COUNTIF($E123:L123,"¶")+COUNTIF($E123:L123,"²")+COUNTIF($E123:L123,"µ")+COUNTIF($E123:L123,1),ColLivraison)=M$6,
  VLOOKUP($E123,INDIRECT("tri!"&amp; CHAR(64+ C0Col) &amp;":"&amp; CHAR(65+C0Col)),2,FALSE)&gt;COUNTIF($E123:L123,"u")+COUNTIF($E123:L123,"t")+COUNTIF($E123:L123,"¶")+COUNTIF($E123:L123,"²")+COUNTIF($E123:L123,"µ")+COUNTIF($E123:L123,1)),
HYPERLINK("#Roadmap!C"&amp; MATCH($E123,Roadmap!$D:$D,0)+COUNTIF($E123:L123,"u")+COUNTIF($E123:L123,"t"),
     INDEX(Roadmap!$D:$K,MATCH($E123,Roadmap!$D:$D,0)+COUNTIF($E123:L123,"u")+COUNTIF($E123:L123,"t")+COUNTIF($E123:L123,"¶")+COUNTIF($E123:L123,"²")+COUNTIF($E123:L123,"µ")+COUNTIF($E123:L123,1),ColTypeEcheance)),
  IF(LEN(L123)=1,
  IF(LEN(INDEX(Roadmap!$D:$K,MATCH($E123,Roadmap!$D:$D,0)-1+COUNTIF($E123:L123,"u")+COUNTIF($E123:L123,"t")+COUNTIF($E123:L123,"¶")+COUNTIF($E123:L123,"²")+COUNTIF($E123:L123,"µ")+COUNTIF($E123:L123,1),ColDescriptionCourte))&gt;1,
HYPERLINK("#Roadmap!C"&amp; MATCH($E123,Roadmap!$D:$D,0)+COUNTIF($E123:L123,"u")+COUNTIF($E123:L123,"t")+COUNTIF($E123:L123,"¶")+COUNTIF($E123:L123,"²")+COUNTIF($E123:L123,"µ")+COUNTIF($E123:L123,1)-1,INDEX(Roadmap!$D:$K,MATCH($E123,Roadmap!$D:$D,0)-1+COUNTIF($E123:L123,"u")+COUNTIF($E123:L123,"t")+COUNTIF($E123:L123,"¶")+COUNTIF($E123:L123,"²")+COUNTIF($E123:L123,"µ")+COUNTIF($E123:L123,1),ColDescriptionCourte)),""),
  "")),"")</f>
        <v/>
      </c>
      <c r="N123" s="40" t="str">
        <f ca="1">IFERROR(IF(AND(
  INDEX(Roadmap!$D:$K,MATCH($E123,Roadmap!$D:$D,0)+COUNTIF($E123:M123,"u")+COUNTIF($E123:M123,"t")+COUNTIF($E123:M123,"¶")+COUNTIF($E123:M123,"²")+COUNTIF($E123:M123,"µ")+COUNTIF($E123:M123,1),ColLivraison)=N$6,
  VLOOKUP($E123,INDIRECT("tri!"&amp; CHAR(64+ C0Col) &amp;":"&amp; CHAR(65+C0Col)),2,FALSE)&gt;COUNTIF($E123:M123,"u")+COUNTIF($E123:M123,"t")+COUNTIF($E123:M123,"¶")+COUNTIF($E123:M123,"²")+COUNTIF($E123:M123,"µ")+COUNTIF($E123:M123,1)),
HYPERLINK("#Roadmap!C"&amp; MATCH($E123,Roadmap!$D:$D,0)+COUNTIF($E123:M123,"u")+COUNTIF($E123:M123,"t"),
     INDEX(Roadmap!$D:$K,MATCH($E123,Roadmap!$D:$D,0)+COUNTIF($E123:M123,"u")+COUNTIF($E123:M123,"t")+COUNTIF($E123:M123,"¶")+COUNTIF($E123:M123,"²")+COUNTIF($E123:M123,"µ")+COUNTIF($E123:M123,1),ColTypeEcheance)),
  IF(LEN(M123)=1,
  IF(LEN(INDEX(Roadmap!$D:$K,MATCH($E123,Roadmap!$D:$D,0)-1+COUNTIF($E123:M123,"u")+COUNTIF($E123:M123,"t")+COUNTIF($E123:M123,"¶")+COUNTIF($E123:M123,"²")+COUNTIF($E123:M123,"µ")+COUNTIF($E123:M123,1),ColDescriptionCourte))&gt;1,
HYPERLINK("#Roadmap!C"&amp; MATCH($E123,Roadmap!$D:$D,0)+COUNTIF($E123:M123,"u")+COUNTIF($E123:M123,"t")+COUNTIF($E123:M123,"¶")+COUNTIF($E123:M123,"²")+COUNTIF($E123:M123,"µ")+COUNTIF($E123:M123,1)-1,INDEX(Roadmap!$D:$K,MATCH($E123,Roadmap!$D:$D,0)-1+COUNTIF($E123:M123,"u")+COUNTIF($E123:M123,"t")+COUNTIF($E123:M123,"¶")+COUNTIF($E123:M123,"²")+COUNTIF($E123:M123,"µ")+COUNTIF($E123:M123,1),ColDescriptionCourte)),""),
  "")),"")</f>
        <v/>
      </c>
      <c r="O123" s="40" t="str">
        <f ca="1">IFERROR(IF(AND(
  INDEX(Roadmap!$D:$K,MATCH($E123,Roadmap!$D:$D,0)+COUNTIF($E123:N123,"u")+COUNTIF($E123:N123,"t")+COUNTIF($E123:N123,"¶")+COUNTIF($E123:N123,"²")+COUNTIF($E123:N123,"µ")+COUNTIF($E123:N123,1),ColLivraison)=O$6,
  VLOOKUP($E123,INDIRECT("tri!"&amp; CHAR(64+ C0Col) &amp;":"&amp; CHAR(65+C0Col)),2,FALSE)&gt;COUNTIF($E123:N123,"u")+COUNTIF($E123:N123,"t")+COUNTIF($E123:N123,"¶")+COUNTIF($E123:N123,"²")+COUNTIF($E123:N123,"µ")+COUNTIF($E123:N123,1)),
HYPERLINK("#Roadmap!C"&amp; MATCH($E123,Roadmap!$D:$D,0)+COUNTIF($E123:N123,"u")+COUNTIF($E123:N123,"t"),
     INDEX(Roadmap!$D:$K,MATCH($E123,Roadmap!$D:$D,0)+COUNTIF($E123:N123,"u")+COUNTIF($E123:N123,"t")+COUNTIF($E123:N123,"¶")+COUNTIF($E123:N123,"²")+COUNTIF($E123:N123,"µ")+COUNTIF($E123:N123,1),ColTypeEcheance)),
  IF(LEN(N123)=1,
  IF(LEN(INDEX(Roadmap!$D:$K,MATCH($E123,Roadmap!$D:$D,0)-1+COUNTIF($E123:N123,"u")+COUNTIF($E123:N123,"t")+COUNTIF($E123:N123,"¶")+COUNTIF($E123:N123,"²")+COUNTIF($E123:N123,"µ")+COUNTIF($E123:N123,1),ColDescriptionCourte))&gt;1,
HYPERLINK("#Roadmap!C"&amp; MATCH($E123,Roadmap!$D:$D,0)+COUNTIF($E123:N123,"u")+COUNTIF($E123:N123,"t")+COUNTIF($E123:N123,"¶")+COUNTIF($E123:N123,"²")+COUNTIF($E123:N123,"µ")+COUNTIF($E123:N123,1)-1,INDEX(Roadmap!$D:$K,MATCH($E123,Roadmap!$D:$D,0)-1+COUNTIF($E123:N123,"u")+COUNTIF($E123:N123,"t")+COUNTIF($E123:N123,"¶")+COUNTIF($E123:N123,"²")+COUNTIF($E123:N123,"µ")+COUNTIF($E123:N123,1),ColDescriptionCourte)),""),
  "")),"")</f>
        <v/>
      </c>
      <c r="P123" s="40" t="str">
        <f ca="1">IFERROR(IF(AND(
  INDEX(Roadmap!$D:$K,MATCH($E123,Roadmap!$D:$D,0)+COUNTIF($E123:O123,"u")+COUNTIF($E123:O123,"t")+COUNTIF($E123:O123,"¶")+COUNTIF($E123:O123,"²")+COUNTIF($E123:O123,"µ")+COUNTIF($E123:O123,1),ColLivraison)=P$6,
  VLOOKUP($E123,INDIRECT("tri!"&amp; CHAR(64+ C0Col) &amp;":"&amp; CHAR(65+C0Col)),2,FALSE)&gt;COUNTIF($E123:O123,"u")+COUNTIF($E123:O123,"t")+COUNTIF($E123:O123,"¶")+COUNTIF($E123:O123,"²")+COUNTIF($E123:O123,"µ")+COUNTIF($E123:O123,1)),
HYPERLINK("#Roadmap!C"&amp; MATCH($E123,Roadmap!$D:$D,0)+COUNTIF($E123:O123,"u")+COUNTIF($E123:O123,"t"),
     INDEX(Roadmap!$D:$K,MATCH($E123,Roadmap!$D:$D,0)+COUNTIF($E123:O123,"u")+COUNTIF($E123:O123,"t")+COUNTIF($E123:O123,"¶")+COUNTIF($E123:O123,"²")+COUNTIF($E123:O123,"µ")+COUNTIF($E123:O123,1),ColTypeEcheance)),
  IF(LEN(O123)=1,
  IF(LEN(INDEX(Roadmap!$D:$K,MATCH($E123,Roadmap!$D:$D,0)-1+COUNTIF($E123:O123,"u")+COUNTIF($E123:O123,"t")+COUNTIF($E123:O123,"¶")+COUNTIF($E123:O123,"²")+COUNTIF($E123:O123,"µ")+COUNTIF($E123:O123,1),ColDescriptionCourte))&gt;1,
HYPERLINK("#Roadmap!C"&amp; MATCH($E123,Roadmap!$D:$D,0)+COUNTIF($E123:O123,"u")+COUNTIF($E123:O123,"t")+COUNTIF($E123:O123,"¶")+COUNTIF($E123:O123,"²")+COUNTIF($E123:O123,"µ")+COUNTIF($E123:O123,1)-1,INDEX(Roadmap!$D:$K,MATCH($E123,Roadmap!$D:$D,0)-1+COUNTIF($E123:O123,"u")+COUNTIF($E123:O123,"t")+COUNTIF($E123:O123,"¶")+COUNTIF($E123:O123,"²")+COUNTIF($E123:O123,"µ")+COUNTIF($E123:O123,1),ColDescriptionCourte)),""),
  "")),"")</f>
        <v/>
      </c>
      <c r="Q123" s="40" t="str">
        <f ca="1">IFERROR(IF(AND(
  INDEX(Roadmap!$D:$K,MATCH($E123,Roadmap!$D:$D,0)+COUNTIF($E123:P123,"u")+COUNTIF($E123:P123,"t")+COUNTIF($E123:P123,"¶")+COUNTIF($E123:P123,"²")+COUNTIF($E123:P123,"µ")+COUNTIF($E123:P123,1),ColLivraison)=Q$6,
  VLOOKUP($E123,INDIRECT("tri!"&amp; CHAR(64+ C0Col) &amp;":"&amp; CHAR(65+C0Col)),2,FALSE)&gt;COUNTIF($E123:P123,"u")+COUNTIF($E123:P123,"t")+COUNTIF($E123:P123,"¶")+COUNTIF($E123:P123,"²")+COUNTIF($E123:P123,"µ")+COUNTIF($E123:P123,1)),
HYPERLINK("#Roadmap!C"&amp; MATCH($E123,Roadmap!$D:$D,0)+COUNTIF($E123:P123,"u")+COUNTIF($E123:P123,"t"),
     INDEX(Roadmap!$D:$K,MATCH($E123,Roadmap!$D:$D,0)+COUNTIF($E123:P123,"u")+COUNTIF($E123:P123,"t")+COUNTIF($E123:P123,"¶")+COUNTIF($E123:P123,"²")+COUNTIF($E123:P123,"µ")+COUNTIF($E123:P123,1),ColTypeEcheance)),
  IF(LEN(P123)=1,
  IF(LEN(INDEX(Roadmap!$D:$K,MATCH($E123,Roadmap!$D:$D,0)-1+COUNTIF($E123:P123,"u")+COUNTIF($E123:P123,"t")+COUNTIF($E123:P123,"¶")+COUNTIF($E123:P123,"²")+COUNTIF($E123:P123,"µ")+COUNTIF($E123:P123,1),ColDescriptionCourte))&gt;1,
HYPERLINK("#Roadmap!C"&amp; MATCH($E123,Roadmap!$D:$D,0)+COUNTIF($E123:P123,"u")+COUNTIF($E123:P123,"t")+COUNTIF($E123:P123,"¶")+COUNTIF($E123:P123,"²")+COUNTIF($E123:P123,"µ")+COUNTIF($E123:P123,1)-1,INDEX(Roadmap!$D:$K,MATCH($E123,Roadmap!$D:$D,0)-1+COUNTIF($E123:P123,"u")+COUNTIF($E123:P123,"t")+COUNTIF($E123:P123,"¶")+COUNTIF($E123:P123,"²")+COUNTIF($E123:P123,"µ")+COUNTIF($E123:P123,1),ColDescriptionCourte)),""),
  "")),"")</f>
        <v/>
      </c>
      <c r="R123" s="40" t="str">
        <f ca="1">IFERROR(IF(AND(
  INDEX(Roadmap!$D:$K,MATCH($E123,Roadmap!$D:$D,0)+COUNTIF($E123:Q123,"u")+COUNTIF($E123:Q123,"t")+COUNTIF($E123:Q123,"¶")+COUNTIF($E123:Q123,"²")+COUNTIF($E123:Q123,"µ")+COUNTIF($E123:Q123,1),ColLivraison)=R$6,
  VLOOKUP($E123,INDIRECT("tri!"&amp; CHAR(64+ C0Col) &amp;":"&amp; CHAR(65+C0Col)),2,FALSE)&gt;COUNTIF($E123:Q123,"u")+COUNTIF($E123:Q123,"t")+COUNTIF($E123:Q123,"¶")+COUNTIF($E123:Q123,"²")+COUNTIF($E123:Q123,"µ")+COUNTIF($E123:Q123,1)),
HYPERLINK("#Roadmap!C"&amp; MATCH($E123,Roadmap!$D:$D,0)+COUNTIF($E123:Q123,"u")+COUNTIF($E123:Q123,"t"),
     INDEX(Roadmap!$D:$K,MATCH($E123,Roadmap!$D:$D,0)+COUNTIF($E123:Q123,"u")+COUNTIF($E123:Q123,"t")+COUNTIF($E123:Q123,"¶")+COUNTIF($E123:Q123,"²")+COUNTIF($E123:Q123,"µ")+COUNTIF($E123:Q123,1),ColTypeEcheance)),
  IF(LEN(Q123)=1,
  IF(LEN(INDEX(Roadmap!$D:$K,MATCH($E123,Roadmap!$D:$D,0)-1+COUNTIF($E123:Q123,"u")+COUNTIF($E123:Q123,"t")+COUNTIF($E123:Q123,"¶")+COUNTIF($E123:Q123,"²")+COUNTIF($E123:Q123,"µ")+COUNTIF($E123:Q123,1),ColDescriptionCourte))&gt;1,
HYPERLINK("#Roadmap!C"&amp; MATCH($E123,Roadmap!$D:$D,0)+COUNTIF($E123:Q123,"u")+COUNTIF($E123:Q123,"t")+COUNTIF($E123:Q123,"¶")+COUNTIF($E123:Q123,"²")+COUNTIF($E123:Q123,"µ")+COUNTIF($E123:Q123,1)-1,INDEX(Roadmap!$D:$K,MATCH($E123,Roadmap!$D:$D,0)-1+COUNTIF($E123:Q123,"u")+COUNTIF($E123:Q123,"t")+COUNTIF($E123:Q123,"¶")+COUNTIF($E123:Q123,"²")+COUNTIF($E123:Q123,"µ")+COUNTIF($E123:Q123,1),ColDescriptionCourte)),""),
  "")),"")</f>
        <v/>
      </c>
      <c r="S123" s="40" t="str">
        <f ca="1">IFERROR(IF(AND(
  INDEX(Roadmap!$D:$K,MATCH($E123,Roadmap!$D:$D,0)+COUNTIF($E123:R123,"u")+COUNTIF($E123:R123,"t")+COUNTIF($E123:R123,"¶")+COUNTIF($E123:R123,"²")+COUNTIF($E123:R123,"µ")+COUNTIF($E123:R123,1),ColLivraison)=S$6,
  VLOOKUP($E123,INDIRECT("tri!"&amp; CHAR(64+ C0Col) &amp;":"&amp; CHAR(65+C0Col)),2,FALSE)&gt;COUNTIF($E123:R123,"u")+COUNTIF($E123:R123,"t")+COUNTIF($E123:R123,"¶")+COUNTIF($E123:R123,"²")+COUNTIF($E123:R123,"µ")+COUNTIF($E123:R123,1)),
HYPERLINK("#Roadmap!C"&amp; MATCH($E123,Roadmap!$D:$D,0)+COUNTIF($E123:R123,"u")+COUNTIF($E123:R123,"t"),
     INDEX(Roadmap!$D:$K,MATCH($E123,Roadmap!$D:$D,0)+COUNTIF($E123:R123,"u")+COUNTIF($E123:R123,"t")+COUNTIF($E123:R123,"¶")+COUNTIF($E123:R123,"²")+COUNTIF($E123:R123,"µ")+COUNTIF($E123:R123,1),ColTypeEcheance)),
  IF(LEN(R123)=1,
  IF(LEN(INDEX(Roadmap!$D:$K,MATCH($E123,Roadmap!$D:$D,0)-1+COUNTIF($E123:R123,"u")+COUNTIF($E123:R123,"t")+COUNTIF($E123:R123,"¶")+COUNTIF($E123:R123,"²")+COUNTIF($E123:R123,"µ")+COUNTIF($E123:R123,1),ColDescriptionCourte))&gt;1,
HYPERLINK("#Roadmap!C"&amp; MATCH($E123,Roadmap!$D:$D,0)+COUNTIF($E123:R123,"u")+COUNTIF($E123:R123,"t")+COUNTIF($E123:R123,"¶")+COUNTIF($E123:R123,"²")+COUNTIF($E123:R123,"µ")+COUNTIF($E123:R123,1)-1,INDEX(Roadmap!$D:$K,MATCH($E123,Roadmap!$D:$D,0)-1+COUNTIF($E123:R123,"u")+COUNTIF($E123:R123,"t")+COUNTIF($E123:R123,"¶")+COUNTIF($E123:R123,"²")+COUNTIF($E123:R123,"µ")+COUNTIF($E123:R123,1),ColDescriptionCourte)),""),
  "")),"")</f>
        <v/>
      </c>
      <c r="T123" s="40" t="str">
        <f ca="1">IFERROR(IF(AND(
  INDEX(Roadmap!$D:$K,MATCH($E123,Roadmap!$D:$D,0)+COUNTIF($E123:S123,"u")+COUNTIF($E123:S123,"t")+COUNTIF($E123:S123,"¶")+COUNTIF($E123:S123,"²")+COUNTIF($E123:S123,"µ")+COUNTIF($E123:S123,1),ColLivraison)=T$6,
  VLOOKUP($E123,INDIRECT("tri!"&amp; CHAR(64+ C0Col) &amp;":"&amp; CHAR(65+C0Col)),2,FALSE)&gt;COUNTIF($E123:S123,"u")+COUNTIF($E123:S123,"t")+COUNTIF($E123:S123,"¶")+COUNTIF($E123:S123,"²")+COUNTIF($E123:S123,"µ")+COUNTIF($E123:S123,1)),
HYPERLINK("#Roadmap!C"&amp; MATCH($E123,Roadmap!$D:$D,0)+COUNTIF($E123:S123,"u")+COUNTIF($E123:S123,"t"),
     INDEX(Roadmap!$D:$K,MATCH($E123,Roadmap!$D:$D,0)+COUNTIF($E123:S123,"u")+COUNTIF($E123:S123,"t")+COUNTIF($E123:S123,"¶")+COUNTIF($E123:S123,"²")+COUNTIF($E123:S123,"µ")+COUNTIF($E123:S123,1),ColTypeEcheance)),
  IF(LEN(S123)=1,
  IF(LEN(INDEX(Roadmap!$D:$K,MATCH($E123,Roadmap!$D:$D,0)-1+COUNTIF($E123:S123,"u")+COUNTIF($E123:S123,"t")+COUNTIF($E123:S123,"¶")+COUNTIF($E123:S123,"²")+COUNTIF($E123:S123,"µ")+COUNTIF($E123:S123,1),ColDescriptionCourte))&gt;1,
HYPERLINK("#Roadmap!C"&amp; MATCH($E123,Roadmap!$D:$D,0)+COUNTIF($E123:S123,"u")+COUNTIF($E123:S123,"t")+COUNTIF($E123:S123,"¶")+COUNTIF($E123:S123,"²")+COUNTIF($E123:S123,"µ")+COUNTIF($E123:S123,1)-1,INDEX(Roadmap!$D:$K,MATCH($E123,Roadmap!$D:$D,0)-1+COUNTIF($E123:S123,"u")+COUNTIF($E123:S123,"t")+COUNTIF($E123:S123,"¶")+COUNTIF($E123:S123,"²")+COUNTIF($E123:S123,"µ")+COUNTIF($E123:S123,1),ColDescriptionCourte)),""),
  "")),"")</f>
        <v/>
      </c>
      <c r="U123" s="40" t="str">
        <f ca="1">IFERROR(IF(AND(
  INDEX(Roadmap!$D:$K,MATCH($E123,Roadmap!$D:$D,0)+COUNTIF($E123:T123,"u")+COUNTIF($E123:T123,"t")+COUNTIF($E123:T123,"¶")+COUNTIF($E123:T123,"²")+COUNTIF($E123:T123,"µ")+COUNTIF($E123:T123,1),ColLivraison)=U$6,
  VLOOKUP($E123,INDIRECT("tri!"&amp; CHAR(64+ C0Col) &amp;":"&amp; CHAR(65+C0Col)),2,FALSE)&gt;COUNTIF($E123:T123,"u")+COUNTIF($E123:T123,"t")+COUNTIF($E123:T123,"¶")+COUNTIF($E123:T123,"²")+COUNTIF($E123:T123,"µ")+COUNTIF($E123:T123,1)),
HYPERLINK("#Roadmap!C"&amp; MATCH($E123,Roadmap!$D:$D,0)+COUNTIF($E123:T123,"u")+COUNTIF($E123:T123,"t"),
     INDEX(Roadmap!$D:$K,MATCH($E123,Roadmap!$D:$D,0)+COUNTIF($E123:T123,"u")+COUNTIF($E123:T123,"t")+COUNTIF($E123:T123,"¶")+COUNTIF($E123:T123,"²")+COUNTIF($E123:T123,"µ")+COUNTIF($E123:T123,1),ColTypeEcheance)),
  IF(LEN(T123)=1,
  IF(LEN(INDEX(Roadmap!$D:$K,MATCH($E123,Roadmap!$D:$D,0)-1+COUNTIF($E123:T123,"u")+COUNTIF($E123:T123,"t")+COUNTIF($E123:T123,"¶")+COUNTIF($E123:T123,"²")+COUNTIF($E123:T123,"µ")+COUNTIF($E123:T123,1),ColDescriptionCourte))&gt;1,
HYPERLINK("#Roadmap!C"&amp; MATCH($E123,Roadmap!$D:$D,0)+COUNTIF($E123:T123,"u")+COUNTIF($E123:T123,"t")+COUNTIF($E123:T123,"¶")+COUNTIF($E123:T123,"²")+COUNTIF($E123:T123,"µ")+COUNTIF($E123:T123,1)-1,INDEX(Roadmap!$D:$K,MATCH($E123,Roadmap!$D:$D,0)-1+COUNTIF($E123:T123,"u")+COUNTIF($E123:T123,"t")+COUNTIF($E123:T123,"¶")+COUNTIF($E123:T123,"²")+COUNTIF($E123:T123,"µ")+COUNTIF($E123:T123,1),ColDescriptionCourte)),""),
  "")),"")</f>
        <v/>
      </c>
      <c r="V123" s="40" t="str">
        <f ca="1">IFERROR(IF(AND(
  INDEX(Roadmap!$D:$K,MATCH($E123,Roadmap!$D:$D,0)+COUNTIF($E123:U123,"u")+COUNTIF($E123:U123,"t")+COUNTIF($E123:U123,"¶")+COUNTIF($E123:U123,"²")+COUNTIF($E123:U123,"µ")+COUNTIF($E123:U123,1),ColLivraison)=V$6,
  VLOOKUP($E123,INDIRECT("tri!"&amp; CHAR(64+ C0Col) &amp;":"&amp; CHAR(65+C0Col)),2,FALSE)&gt;COUNTIF($E123:U123,"u")+COUNTIF($E123:U123,"t")+COUNTIF($E123:U123,"¶")+COUNTIF($E123:U123,"²")+COUNTIF($E123:U123,"µ")+COUNTIF($E123:U123,1)),
HYPERLINK("#Roadmap!C"&amp; MATCH($E123,Roadmap!$D:$D,0)+COUNTIF($E123:U123,"u")+COUNTIF($E123:U123,"t"),
     INDEX(Roadmap!$D:$K,MATCH($E123,Roadmap!$D:$D,0)+COUNTIF($E123:U123,"u")+COUNTIF($E123:U123,"t")+COUNTIF($E123:U123,"¶")+COUNTIF($E123:U123,"²")+COUNTIF($E123:U123,"µ")+COUNTIF($E123:U123,1),ColTypeEcheance)),
  IF(LEN(U123)=1,
  IF(LEN(INDEX(Roadmap!$D:$K,MATCH($E123,Roadmap!$D:$D,0)-1+COUNTIF($E123:U123,"u")+COUNTIF($E123:U123,"t")+COUNTIF($E123:U123,"¶")+COUNTIF($E123:U123,"²")+COUNTIF($E123:U123,"µ")+COUNTIF($E123:U123,1),ColDescriptionCourte))&gt;1,
HYPERLINK("#Roadmap!C"&amp; MATCH($E123,Roadmap!$D:$D,0)+COUNTIF($E123:U123,"u")+COUNTIF($E123:U123,"t")+COUNTIF($E123:U123,"¶")+COUNTIF($E123:U123,"²")+COUNTIF($E123:U123,"µ")+COUNTIF($E123:U123,1)-1,INDEX(Roadmap!$D:$K,MATCH($E123,Roadmap!$D:$D,0)-1+COUNTIF($E123:U123,"u")+COUNTIF($E123:U123,"t")+COUNTIF($E123:U123,"¶")+COUNTIF($E123:U123,"²")+COUNTIF($E123:U123,"µ")+COUNTIF($E123:U123,1),ColDescriptionCourte)),""),
  "")),"")</f>
        <v/>
      </c>
      <c r="W123" s="40" t="str">
        <f ca="1">IFERROR(IF(AND(
  INDEX(Roadmap!$D:$K,MATCH($E123,Roadmap!$D:$D,0)+COUNTIF($E123:V123,"u")+COUNTIF($E123:V123,"t")+COUNTIF($E123:V123,"¶")+COUNTIF($E123:V123,"²")+COUNTIF($E123:V123,"µ")+COUNTIF($E123:V123,1),ColLivraison)=W$6,
  VLOOKUP($E123,INDIRECT("tri!"&amp; CHAR(64+ C0Col) &amp;":"&amp; CHAR(65+C0Col)),2,FALSE)&gt;COUNTIF($E123:V123,"u")+COUNTIF($E123:V123,"t")+COUNTIF($E123:V123,"¶")+COUNTIF($E123:V123,"²")+COUNTIF($E123:V123,"µ")+COUNTIF($E123:V123,1)),
HYPERLINK("#Roadmap!C"&amp; MATCH($E123,Roadmap!$D:$D,0)+COUNTIF($E123:V123,"u")+COUNTIF($E123:V123,"t"),
     INDEX(Roadmap!$D:$K,MATCH($E123,Roadmap!$D:$D,0)+COUNTIF($E123:V123,"u")+COUNTIF($E123:V123,"t")+COUNTIF($E123:V123,"¶")+COUNTIF($E123:V123,"²")+COUNTIF($E123:V123,"µ")+COUNTIF($E123:V123,1),ColTypeEcheance)),
  IF(LEN(V123)=1,
  IF(LEN(INDEX(Roadmap!$D:$K,MATCH($E123,Roadmap!$D:$D,0)-1+COUNTIF($E123:V123,"u")+COUNTIF($E123:V123,"t")+COUNTIF($E123:V123,"¶")+COUNTIF($E123:V123,"²")+COUNTIF($E123:V123,"µ")+COUNTIF($E123:V123,1),ColDescriptionCourte))&gt;1,
HYPERLINK("#Roadmap!C"&amp; MATCH($E123,Roadmap!$D:$D,0)+COUNTIF($E123:V123,"u")+COUNTIF($E123:V123,"t")+COUNTIF($E123:V123,"¶")+COUNTIF($E123:V123,"²")+COUNTIF($E123:V123,"µ")+COUNTIF($E123:V123,1)-1,INDEX(Roadmap!$D:$K,MATCH($E123,Roadmap!$D:$D,0)-1+COUNTIF($E123:V123,"u")+COUNTIF($E123:V123,"t")+COUNTIF($E123:V123,"¶")+COUNTIF($E123:V123,"²")+COUNTIF($E123:V123,"µ")+COUNTIF($E123:V123,1),ColDescriptionCourte)),""),
  "")),"")</f>
        <v/>
      </c>
      <c r="X123" s="40" t="str">
        <f ca="1">IFERROR(IF(AND(
  INDEX(Roadmap!$D:$K,MATCH($E123,Roadmap!$D:$D,0)+COUNTIF($E123:W123,"u")+COUNTIF($E123:W123,"t")+COUNTIF($E123:W123,"¶")+COUNTIF($E123:W123,"²")+COUNTIF($E123:W123,"µ")+COUNTIF($E123:W123,1),ColLivraison)=X$6,
  VLOOKUP($E123,INDIRECT("tri!"&amp; CHAR(64+ C0Col) &amp;":"&amp; CHAR(65+C0Col)),2,FALSE)&gt;COUNTIF($E123:W123,"u")+COUNTIF($E123:W123,"t")+COUNTIF($E123:W123,"¶")+COUNTIF($E123:W123,"²")+COUNTIF($E123:W123,"µ")+COUNTIF($E123:W123,1)),
HYPERLINK("#Roadmap!C"&amp; MATCH($E123,Roadmap!$D:$D,0)+COUNTIF($E123:W123,"u")+COUNTIF($E123:W123,"t"),
     INDEX(Roadmap!$D:$K,MATCH($E123,Roadmap!$D:$D,0)+COUNTIF($E123:W123,"u")+COUNTIF($E123:W123,"t")+COUNTIF($E123:W123,"¶")+COUNTIF($E123:W123,"²")+COUNTIF($E123:W123,"µ")+COUNTIF($E123:W123,1),ColTypeEcheance)),
  IF(LEN(W123)=1,
  IF(LEN(INDEX(Roadmap!$D:$K,MATCH($E123,Roadmap!$D:$D,0)-1+COUNTIF($E123:W123,"u")+COUNTIF($E123:W123,"t")+COUNTIF($E123:W123,"¶")+COUNTIF($E123:W123,"²")+COUNTIF($E123:W123,"µ")+COUNTIF($E123:W123,1),ColDescriptionCourte))&gt;1,
HYPERLINK("#Roadmap!C"&amp; MATCH($E123,Roadmap!$D:$D,0)+COUNTIF($E123:W123,"u")+COUNTIF($E123:W123,"t")+COUNTIF($E123:W123,"¶")+COUNTIF($E123:W123,"²")+COUNTIF($E123:W123,"µ")+COUNTIF($E123:W123,1)-1,INDEX(Roadmap!$D:$K,MATCH($E123,Roadmap!$D:$D,0)-1+COUNTIF($E123:W123,"u")+COUNTIF($E123:W123,"t")+COUNTIF($E123:W123,"¶")+COUNTIF($E123:W123,"²")+COUNTIF($E123:W123,"µ")+COUNTIF($E123:W123,1),ColDescriptionCourte)),""),
  "")),"")</f>
        <v/>
      </c>
      <c r="Y123" s="40" t="str">
        <f ca="1">IFERROR(IF(AND(
  INDEX(Roadmap!$D:$K,MATCH($E123,Roadmap!$D:$D,0)+COUNTIF($E123:X123,"u")+COUNTIF($E123:X123,"t")+COUNTIF($E123:X123,"¶")+COUNTIF($E123:X123,"²")+COUNTIF($E123:X123,"µ")+COUNTIF($E123:X123,1),ColLivraison)=Y$6,
  VLOOKUP($E123,INDIRECT("tri!"&amp; CHAR(64+ C0Col) &amp;":"&amp; CHAR(65+C0Col)),2,FALSE)&gt;COUNTIF($E123:X123,"u")+COUNTIF($E123:X123,"t")+COUNTIF($E123:X123,"¶")+COUNTIF($E123:X123,"²")+COUNTIF($E123:X123,"µ")+COUNTIF($E123:X123,1)),
HYPERLINK("#Roadmap!C"&amp; MATCH($E123,Roadmap!$D:$D,0)+COUNTIF($E123:X123,"u")+COUNTIF($E123:X123,"t"),
     INDEX(Roadmap!$D:$K,MATCH($E123,Roadmap!$D:$D,0)+COUNTIF($E123:X123,"u")+COUNTIF($E123:X123,"t")+COUNTIF($E123:X123,"¶")+COUNTIF($E123:X123,"²")+COUNTIF($E123:X123,"µ")+COUNTIF($E123:X123,1),ColTypeEcheance)),
  IF(LEN(X123)=1,
  IF(LEN(INDEX(Roadmap!$D:$K,MATCH($E123,Roadmap!$D:$D,0)-1+COUNTIF($E123:X123,"u")+COUNTIF($E123:X123,"t")+COUNTIF($E123:X123,"¶")+COUNTIF($E123:X123,"²")+COUNTIF($E123:X123,"µ")+COUNTIF($E123:X123,1),ColDescriptionCourte))&gt;1,
HYPERLINK("#Roadmap!C"&amp; MATCH($E123,Roadmap!$D:$D,0)+COUNTIF($E123:X123,"u")+COUNTIF($E123:X123,"t")+COUNTIF($E123:X123,"¶")+COUNTIF($E123:X123,"²")+COUNTIF($E123:X123,"µ")+COUNTIF($E123:X123,1)-1,INDEX(Roadmap!$D:$K,MATCH($E123,Roadmap!$D:$D,0)-1+COUNTIF($E123:X123,"u")+COUNTIF($E123:X123,"t")+COUNTIF($E123:X123,"¶")+COUNTIF($E123:X123,"²")+COUNTIF($E123:X123,"µ")+COUNTIF($E123:X123,1),ColDescriptionCourte)),""),
  "")),"")</f>
        <v/>
      </c>
      <c r="Z123" s="40" t="str">
        <f ca="1">IFERROR(IF(AND(
  INDEX(Roadmap!$D:$K,MATCH($E123,Roadmap!$D:$D,0)+COUNTIF($E123:Y123,"u")+COUNTIF($E123:Y123,"t")+COUNTIF($E123:Y123,"¶")+COUNTIF($E123:Y123,"²")+COUNTIF($E123:Y123,"µ")+COUNTIF($E123:Y123,1),ColLivraison)=Z$6,
  VLOOKUP($E123,INDIRECT("tri!"&amp; CHAR(64+ C0Col) &amp;":"&amp; CHAR(65+C0Col)),2,FALSE)&gt;COUNTIF($E123:Y123,"u")+COUNTIF($E123:Y123,"t")+COUNTIF($E123:Y123,"¶")+COUNTIF($E123:Y123,"²")+COUNTIF($E123:Y123,"µ")+COUNTIF($E123:Y123,1)),
HYPERLINK("#Roadmap!C"&amp; MATCH($E123,Roadmap!$D:$D,0)+COUNTIF($E123:Y123,"u")+COUNTIF($E123:Y123,"t"),
     INDEX(Roadmap!$D:$K,MATCH($E123,Roadmap!$D:$D,0)+COUNTIF($E123:Y123,"u")+COUNTIF($E123:Y123,"t")+COUNTIF($E123:Y123,"¶")+COUNTIF($E123:Y123,"²")+COUNTIF($E123:Y123,"µ")+COUNTIF($E123:Y123,1),ColTypeEcheance)),
  IF(LEN(Y123)=1,
  IF(LEN(INDEX(Roadmap!$D:$K,MATCH($E123,Roadmap!$D:$D,0)-1+COUNTIF($E123:Y123,"u")+COUNTIF($E123:Y123,"t")+COUNTIF($E123:Y123,"¶")+COUNTIF($E123:Y123,"²")+COUNTIF($E123:Y123,"µ")+COUNTIF($E123:Y123,1),ColDescriptionCourte))&gt;1,
HYPERLINK("#Roadmap!C"&amp; MATCH($E123,Roadmap!$D:$D,0)+COUNTIF($E123:Y123,"u")+COUNTIF($E123:Y123,"t")+COUNTIF($E123:Y123,"¶")+COUNTIF($E123:Y123,"²")+COUNTIF($E123:Y123,"µ")+COUNTIF($E123:Y123,1)-1,INDEX(Roadmap!$D:$K,MATCH($E123,Roadmap!$D:$D,0)-1+COUNTIF($E123:Y123,"u")+COUNTIF($E123:Y123,"t")+COUNTIF($E123:Y123,"¶")+COUNTIF($E123:Y123,"²")+COUNTIF($E123:Y123,"µ")+COUNTIF($E123:Y123,1),ColDescriptionCourte)),""),
  "")),"")</f>
        <v/>
      </c>
      <c r="AA123" s="40" t="str">
        <f ca="1">IFERROR(IF(AND(
  INDEX(Roadmap!$D:$K,MATCH($E123,Roadmap!$D:$D,0)+COUNTIF($E123:Z123,"u")+COUNTIF($E123:Z123,"t")+COUNTIF($E123:Z123,"¶")+COUNTIF($E123:Z123,"²")+COUNTIF($E123:Z123,"µ")+COUNTIF($E123:Z123,1),ColLivraison)=AA$6,
  VLOOKUP($E123,INDIRECT("tri!"&amp; CHAR(64+ C0Col) &amp;":"&amp; CHAR(65+C0Col)),2,FALSE)&gt;COUNTIF($E123:Z123,"u")+COUNTIF($E123:Z123,"t")+COUNTIF($E123:Z123,"¶")+COUNTIF($E123:Z123,"²")+COUNTIF($E123:Z123,"µ")+COUNTIF($E123:Z123,1)),
HYPERLINK("#Roadmap!C"&amp; MATCH($E123,Roadmap!$D:$D,0)+COUNTIF($E123:Z123,"u")+COUNTIF($E123:Z123,"t"),
     INDEX(Roadmap!$D:$K,MATCH($E123,Roadmap!$D:$D,0)+COUNTIF($E123:Z123,"u")+COUNTIF($E123:Z123,"t")+COUNTIF($E123:Z123,"¶")+COUNTIF($E123:Z123,"²")+COUNTIF($E123:Z123,"µ")+COUNTIF($E123:Z123,1),ColTypeEcheance)),
  IF(LEN(Z123)=1,
  IF(LEN(INDEX(Roadmap!$D:$K,MATCH($E123,Roadmap!$D:$D,0)-1+COUNTIF($E123:Z123,"u")+COUNTIF($E123:Z123,"t")+COUNTIF($E123:Z123,"¶")+COUNTIF($E123:Z123,"²")+COUNTIF($E123:Z123,"µ")+COUNTIF($E123:Z123,1),ColDescriptionCourte))&gt;1,
HYPERLINK("#Roadmap!C"&amp; MATCH($E123,Roadmap!$D:$D,0)+COUNTIF($E123:Z123,"u")+COUNTIF($E123:Z123,"t")+COUNTIF($E123:Z123,"¶")+COUNTIF($E123:Z123,"²")+COUNTIF($E123:Z123,"µ")+COUNTIF($E123:Z123,1)-1,INDEX(Roadmap!$D:$K,MATCH($E123,Roadmap!$D:$D,0)-1+COUNTIF($E123:Z123,"u")+COUNTIF($E123:Z123,"t")+COUNTIF($E123:Z123,"¶")+COUNTIF($E123:Z123,"²")+COUNTIF($E123:Z123,"µ")+COUNTIF($E123:Z123,1),ColDescriptionCourte)),""),
  "")),"")</f>
        <v/>
      </c>
      <c r="AB123" s="40" t="str">
        <f ca="1">IFERROR(IF(AND(
  INDEX(Roadmap!$D:$K,MATCH($E123,Roadmap!$D:$D,0)+COUNTIF($E123:AA123,"u")+COUNTIF($E123:AA123,"t")+COUNTIF($E123:AA123,"¶")+COUNTIF($E123:AA123,"²")+COUNTIF($E123:AA123,"µ")+COUNTIF($E123:AA123,1),ColLivraison)=AB$6,
  VLOOKUP($E123,INDIRECT("tri!"&amp; CHAR(64+ C0Col) &amp;":"&amp; CHAR(65+C0Col)),2,FALSE)&gt;COUNTIF($E123:AA123,"u")+COUNTIF($E123:AA123,"t")+COUNTIF($E123:AA123,"¶")+COUNTIF($E123:AA123,"²")+COUNTIF($E123:AA123,"µ")+COUNTIF($E123:AA123,1)),
HYPERLINK("#Roadmap!C"&amp; MATCH($E123,Roadmap!$D:$D,0)+COUNTIF($E123:AA123,"u")+COUNTIF($E123:AA123,"t"),
     INDEX(Roadmap!$D:$K,MATCH($E123,Roadmap!$D:$D,0)+COUNTIF($E123:AA123,"u")+COUNTIF($E123:AA123,"t")+COUNTIF($E123:AA123,"¶")+COUNTIF($E123:AA123,"²")+COUNTIF($E123:AA123,"µ")+COUNTIF($E123:AA123,1),ColTypeEcheance)),
  IF(LEN(AA123)=1,
  IF(LEN(INDEX(Roadmap!$D:$K,MATCH($E123,Roadmap!$D:$D,0)-1+COUNTIF($E123:AA123,"u")+COUNTIF($E123:AA123,"t")+COUNTIF($E123:AA123,"¶")+COUNTIF($E123:AA123,"²")+COUNTIF($E123:AA123,"µ")+COUNTIF($E123:AA123,1),ColDescriptionCourte))&gt;1,
HYPERLINK("#Roadmap!C"&amp; MATCH($E123,Roadmap!$D:$D,0)+COUNTIF($E123:AA123,"u")+COUNTIF($E123:AA123,"t")+COUNTIF($E123:AA123,"¶")+COUNTIF($E123:AA123,"²")+COUNTIF($E123:AA123,"µ")+COUNTIF($E123:AA123,1)-1,INDEX(Roadmap!$D:$K,MATCH($E123,Roadmap!$D:$D,0)-1+COUNTIF($E123:AA123,"u")+COUNTIF($E123:AA123,"t")+COUNTIF($E123:AA123,"¶")+COUNTIF($E123:AA123,"²")+COUNTIF($E123:AA123,"µ")+COUNTIF($E123:AA123,1),ColDescriptionCourte)),""),
  "")),"")</f>
        <v/>
      </c>
      <c r="AC123" s="40" t="str">
        <f ca="1">IFERROR(IF(AND(
  INDEX(Roadmap!$D:$K,MATCH($E123,Roadmap!$D:$D,0)+COUNTIF($E123:AB123,"u")+COUNTIF($E123:AB123,"t")+COUNTIF($E123:AB123,"¶")+COUNTIF($E123:AB123,"²")+COUNTIF($E123:AB123,"µ")+COUNTIF($E123:AB123,1),ColLivraison)=AC$6,
  VLOOKUP($E123,INDIRECT("tri!"&amp; CHAR(64+ C0Col) &amp;":"&amp; CHAR(65+C0Col)),2,FALSE)&gt;COUNTIF($E123:AB123,"u")+COUNTIF($E123:AB123,"t")+COUNTIF($E123:AB123,"¶")+COUNTIF($E123:AB123,"²")+COUNTIF($E123:AB123,"µ")+COUNTIF($E123:AB123,1)),
HYPERLINK("#Roadmap!C"&amp; MATCH($E123,Roadmap!$D:$D,0)+COUNTIF($E123:AB123,"u")+COUNTIF($E123:AB123,"t"),
     INDEX(Roadmap!$D:$K,MATCH($E123,Roadmap!$D:$D,0)+COUNTIF($E123:AB123,"u")+COUNTIF($E123:AB123,"t")+COUNTIF($E123:AB123,"¶")+COUNTIF($E123:AB123,"²")+COUNTIF($E123:AB123,"µ")+COUNTIF($E123:AB123,1),ColTypeEcheance)),
  IF(LEN(AB123)=1,
  IF(LEN(INDEX(Roadmap!$D:$K,MATCH($E123,Roadmap!$D:$D,0)-1+COUNTIF($E123:AB123,"u")+COUNTIF($E123:AB123,"t")+COUNTIF($E123:AB123,"¶")+COUNTIF($E123:AB123,"²")+COUNTIF($E123:AB123,"µ")+COUNTIF($E123:AB123,1),ColDescriptionCourte))&gt;1,
HYPERLINK("#Roadmap!C"&amp; MATCH($E123,Roadmap!$D:$D,0)+COUNTIF($E123:AB123,"u")+COUNTIF($E123:AB123,"t")+COUNTIF($E123:AB123,"¶")+COUNTIF($E123:AB123,"²")+COUNTIF($E123:AB123,"µ")+COUNTIF($E123:AB123,1)-1,INDEX(Roadmap!$D:$K,MATCH($E123,Roadmap!$D:$D,0)-1+COUNTIF($E123:AB123,"u")+COUNTIF($E123:AB123,"t")+COUNTIF($E123:AB123,"¶")+COUNTIF($E123:AB123,"²")+COUNTIF($E123:AB123,"µ")+COUNTIF($E123:AB123,1),ColDescriptionCourte)),""),
  "")),"")</f>
        <v/>
      </c>
      <c r="AD123" s="40" t="str">
        <f ca="1">IFERROR(IF(AND(
  INDEX(Roadmap!$D:$K,MATCH($E123,Roadmap!$D:$D,0)+COUNTIF($E123:AC123,"u")+COUNTIF($E123:AC123,"t")+COUNTIF($E123:AC123,"¶")+COUNTIF($E123:AC123,"²")+COUNTIF($E123:AC123,"µ")+COUNTIF($E123:AC123,1),ColLivraison)=AD$6,
  VLOOKUP($E123,INDIRECT("tri!"&amp; CHAR(64+ C0Col) &amp;":"&amp; CHAR(65+C0Col)),2,FALSE)&gt;COUNTIF($E123:AC123,"u")+COUNTIF($E123:AC123,"t")+COUNTIF($E123:AC123,"¶")+COUNTIF($E123:AC123,"²")+COUNTIF($E123:AC123,"µ")+COUNTIF($E123:AC123,1)),
HYPERLINK("#Roadmap!C"&amp; MATCH($E123,Roadmap!$D:$D,0)+COUNTIF($E123:AC123,"u")+COUNTIF($E123:AC123,"t"),
     INDEX(Roadmap!$D:$K,MATCH($E123,Roadmap!$D:$D,0)+COUNTIF($E123:AC123,"u")+COUNTIF($E123:AC123,"t")+COUNTIF($E123:AC123,"¶")+COUNTIF($E123:AC123,"²")+COUNTIF($E123:AC123,"µ")+COUNTIF($E123:AC123,1),ColTypeEcheance)),
  IF(LEN(AC123)=1,
  IF(LEN(INDEX(Roadmap!$D:$K,MATCH($E123,Roadmap!$D:$D,0)-1+COUNTIF($E123:AC123,"u")+COUNTIF($E123:AC123,"t")+COUNTIF($E123:AC123,"¶")+COUNTIF($E123:AC123,"²")+COUNTIF($E123:AC123,"µ")+COUNTIF($E123:AC123,1),ColDescriptionCourte))&gt;1,
HYPERLINK("#Roadmap!C"&amp; MATCH($E123,Roadmap!$D:$D,0)+COUNTIF($E123:AC123,"u")+COUNTIF($E123:AC123,"t")+COUNTIF($E123:AC123,"¶")+COUNTIF($E123:AC123,"²")+COUNTIF($E123:AC123,"µ")+COUNTIF($E123:AC123,1)-1,INDEX(Roadmap!$D:$K,MATCH($E123,Roadmap!$D:$D,0)-1+COUNTIF($E123:AC123,"u")+COUNTIF($E123:AC123,"t")+COUNTIF($E123:AC123,"¶")+COUNTIF($E123:AC123,"²")+COUNTIF($E123:AC123,"µ")+COUNTIF($E123:AC123,1),ColDescriptionCourte)),""),
  "")),"")</f>
        <v/>
      </c>
      <c r="AE123" s="40" t="str">
        <f ca="1">IFERROR(IF(AND(
  INDEX(Roadmap!$D:$K,MATCH($E123,Roadmap!$D:$D,0)+COUNTIF($E123:AD123,"u")+COUNTIF($E123:AD123,"t")+COUNTIF($E123:AD123,"¶")+COUNTIF($E123:AD123,"²")+COUNTIF($E123:AD123,"µ")+COUNTIF($E123:AD123,1),ColLivraison)=AE$6,
  VLOOKUP($E123,INDIRECT("tri!"&amp; CHAR(64+ C0Col) &amp;":"&amp; CHAR(65+C0Col)),2,FALSE)&gt;COUNTIF($E123:AD123,"u")+COUNTIF($E123:AD123,"t")+COUNTIF($E123:AD123,"¶")+COUNTIF($E123:AD123,"²")+COUNTIF($E123:AD123,"µ")+COUNTIF($E123:AD123,1)),
HYPERLINK("#Roadmap!C"&amp; MATCH($E123,Roadmap!$D:$D,0)+COUNTIF($E123:AD123,"u")+COUNTIF($E123:AD123,"t"),
     INDEX(Roadmap!$D:$K,MATCH($E123,Roadmap!$D:$D,0)+COUNTIF($E123:AD123,"u")+COUNTIF($E123:AD123,"t")+COUNTIF($E123:AD123,"¶")+COUNTIF($E123:AD123,"²")+COUNTIF($E123:AD123,"µ")+COUNTIF($E123:AD123,1),ColTypeEcheance)),
  IF(LEN(AD123)=1,
  IF(LEN(INDEX(Roadmap!$D:$K,MATCH($E123,Roadmap!$D:$D,0)-1+COUNTIF($E123:AD123,"u")+COUNTIF($E123:AD123,"t")+COUNTIF($E123:AD123,"¶")+COUNTIF($E123:AD123,"²")+COUNTIF($E123:AD123,"µ")+COUNTIF($E123:AD123,1),ColDescriptionCourte))&gt;1,
HYPERLINK("#Roadmap!C"&amp; MATCH($E123,Roadmap!$D:$D,0)+COUNTIF($E123:AD123,"u")+COUNTIF($E123:AD123,"t")+COUNTIF($E123:AD123,"¶")+COUNTIF($E123:AD123,"²")+COUNTIF($E123:AD123,"µ")+COUNTIF($E123:AD123,1)-1,INDEX(Roadmap!$D:$K,MATCH($E123,Roadmap!$D:$D,0)-1+COUNTIF($E123:AD123,"u")+COUNTIF($E123:AD123,"t")+COUNTIF($E123:AD123,"¶")+COUNTIF($E123:AD123,"²")+COUNTIF($E123:AD123,"µ")+COUNTIF($E123:AD123,1),ColDescriptionCourte)),""),
  "")),"")</f>
        <v/>
      </c>
      <c r="AF123" s="40" t="str">
        <f ca="1">IFERROR(IF(AND(
  INDEX(Roadmap!$D:$K,MATCH($E123,Roadmap!$D:$D,0)+COUNTIF($E123:AE123,"u")+COUNTIF($E123:AE123,"t")+COUNTIF($E123:AE123,"¶")+COUNTIF($E123:AE123,"²")+COUNTIF($E123:AE123,"µ")+COUNTIF($E123:AE123,1),ColLivraison)=AF$6,
  VLOOKUP($E123,INDIRECT("tri!"&amp; CHAR(64+ C0Col) &amp;":"&amp; CHAR(65+C0Col)),2,FALSE)&gt;COUNTIF($E123:AE123,"u")+COUNTIF($E123:AE123,"t")+COUNTIF($E123:AE123,"¶")+COUNTIF($E123:AE123,"²")+COUNTIF($E123:AE123,"µ")+COUNTIF($E123:AE123,1)),
HYPERLINK("#Roadmap!C"&amp; MATCH($E123,Roadmap!$D:$D,0)+COUNTIF($E123:AE123,"u")+COUNTIF($E123:AE123,"t"),
     INDEX(Roadmap!$D:$K,MATCH($E123,Roadmap!$D:$D,0)+COUNTIF($E123:AE123,"u")+COUNTIF($E123:AE123,"t")+COUNTIF($E123:AE123,"¶")+COUNTIF($E123:AE123,"²")+COUNTIF($E123:AE123,"µ")+COUNTIF($E123:AE123,1),ColTypeEcheance)),
  IF(LEN(AE123)=1,
  IF(LEN(INDEX(Roadmap!$D:$K,MATCH($E123,Roadmap!$D:$D,0)-1+COUNTIF($E123:AE123,"u")+COUNTIF($E123:AE123,"t")+COUNTIF($E123:AE123,"¶")+COUNTIF($E123:AE123,"²")+COUNTIF($E123:AE123,"µ")+COUNTIF($E123:AE123,1),ColDescriptionCourte))&gt;1,
HYPERLINK("#Roadmap!C"&amp; MATCH($E123,Roadmap!$D:$D,0)+COUNTIF($E123:AE123,"u")+COUNTIF($E123:AE123,"t")+COUNTIF($E123:AE123,"¶")+COUNTIF($E123:AE123,"²")+COUNTIF($E123:AE123,"µ")+COUNTIF($E123:AE123,1)-1,INDEX(Roadmap!$D:$K,MATCH($E123,Roadmap!$D:$D,0)-1+COUNTIF($E123:AE123,"u")+COUNTIF($E123:AE123,"t")+COUNTIF($E123:AE123,"¶")+COUNTIF($E123:AE123,"²")+COUNTIF($E123:AE123,"µ")+COUNTIF($E123:AE123,1),ColDescriptionCourte)),""),
  "")),"")</f>
        <v/>
      </c>
      <c r="AG123" s="40" t="str">
        <f ca="1">IFERROR(IF(AND(
  INDEX(Roadmap!$D:$K,MATCH($E123,Roadmap!$D:$D,0)+COUNTIF($E123:AF123,"u")+COUNTIF($E123:AF123,"t")+COUNTIF($E123:AF123,"¶")+COUNTIF($E123:AF123,"²")+COUNTIF($E123:AF123,"µ")+COUNTIF($E123:AF123,1),ColLivraison)=AG$6,
  VLOOKUP($E123,INDIRECT("tri!"&amp; CHAR(64+ C0Col) &amp;":"&amp; CHAR(65+C0Col)),2,FALSE)&gt;COUNTIF($E123:AF123,"u")+COUNTIF($E123:AF123,"t")+COUNTIF($E123:AF123,"¶")+COUNTIF($E123:AF123,"²")+COUNTIF($E123:AF123,"µ")+COUNTIF($E123:AF123,1)),
HYPERLINK("#Roadmap!C"&amp; MATCH($E123,Roadmap!$D:$D,0)+COUNTIF($E123:AF123,"u")+COUNTIF($E123:AF123,"t"),
     INDEX(Roadmap!$D:$K,MATCH($E123,Roadmap!$D:$D,0)+COUNTIF($E123:AF123,"u")+COUNTIF($E123:AF123,"t")+COUNTIF($E123:AF123,"¶")+COUNTIF($E123:AF123,"²")+COUNTIF($E123:AF123,"µ")+COUNTIF($E123:AF123,1),ColTypeEcheance)),
  IF(LEN(AF123)=1,
  IF(LEN(INDEX(Roadmap!$D:$K,MATCH($E123,Roadmap!$D:$D,0)-1+COUNTIF($E123:AF123,"u")+COUNTIF($E123:AF123,"t")+COUNTIF($E123:AF123,"¶")+COUNTIF($E123:AF123,"²")+COUNTIF($E123:AF123,"µ")+COUNTIF($E123:AF123,1),ColDescriptionCourte))&gt;1,
HYPERLINK("#Roadmap!C"&amp; MATCH($E123,Roadmap!$D:$D,0)+COUNTIF($E123:AF123,"u")+COUNTIF($E123:AF123,"t")+COUNTIF($E123:AF123,"¶")+COUNTIF($E123:AF123,"²")+COUNTIF($E123:AF123,"µ")+COUNTIF($E123:AF123,1)-1,INDEX(Roadmap!$D:$K,MATCH($E123,Roadmap!$D:$D,0)-1+COUNTIF($E123:AF123,"u")+COUNTIF($E123:AF123,"t")+COUNTIF($E123:AF123,"¶")+COUNTIF($E123:AF123,"²")+COUNTIF($E123:AF123,"µ")+COUNTIF($E123:AF123,1),ColDescriptionCourte)),""),
  "")),"")</f>
        <v/>
      </c>
      <c r="AH123" s="40" t="str">
        <f ca="1">IFERROR(IF(AND(
  INDEX(Roadmap!$D:$K,MATCH($E123,Roadmap!$D:$D,0)+COUNTIF($E123:AG123,"u")+COUNTIF($E123:AG123,"t")+COUNTIF($E123:AG123,1),ColLivraison)=AH$6,
  VLOOKUP($E123,INDIRECT("tri!"&amp; CHAR(64+ C0Col) &amp;":"&amp; CHAR(65+C0Col)),2,FALSE)&gt;COUNTIF($E123:AG123,"u")+COUNTIF($E123:AG123,"t")+COUNTIF($E123:AG123,1)),
HYPERLINK("#Roadmap!C"&amp; MATCH($E123,Roadmap!$D:$D,0)+COUNTIF($E123:AG123,"u")+COUNTIF($E123:AG123,"t"),
     INDEX(Roadmap!$D:$K,MATCH($E123,Roadmap!$D:$D,0)+COUNTIF($E123:AG123,"u")+COUNTIF($E123:AG123,"t")+COUNTIF($E123:AG123,1),ColTypeEcheance)),
  IF(OR(AG123="u",AG123="t",AG123=1),
  IF(LEN(INDEX(Roadmap!$D:$K,MATCH($E123,Roadmap!$D:$D,0)-1+COUNTIF($E123:AG123,"u")+COUNTIF($E123:AG123,"t")+COUNTIF($E123:AG123,1),ColDescriptionCourte))&gt;1,
HYPERLINK("#Roadmap!C"&amp; MATCH($E123,Roadmap!$D:$D,0)+COUNTIF($E123:AG123,"u")+COUNTIF($E123:AG123,"t")+COUNTIF($E123:AG123,1)-1,INDEX(Roadmap!$D:$K,MATCH($E123,Roadmap!$D:$D,0)-1+COUNTIF($E123:AG123,"u")+COUNTIF($E123:AG123,"t")+COUNTIF($E123:AG123,1),ColDescriptionCourte)),""),
  "")),"")</f>
        <v/>
      </c>
      <c r="AI123" s="40"/>
      <c r="AJ123" s="40"/>
      <c r="AK123" s="40"/>
      <c r="AL123" s="40"/>
      <c r="AM123" s="40"/>
    </row>
    <row r="124" spans="4:39" ht="14.1" customHeight="1">
      <c r="D124" s="20" t="str">
        <f t="shared" ca="1" si="29"/>
        <v/>
      </c>
      <c r="E124" s="53" t="str">
        <f t="shared" ca="1" si="30"/>
        <v/>
      </c>
      <c r="F124" s="39" t="str">
        <f ca="1">IFERROR(IF(AND(
  INDEX(Roadmap!$D:$K,MATCH($E124,Roadmap!$D:$D,0)+COUNTIF($E124:E124,"u")+COUNTIF($E124:E124,"t")+COUNTIF($E124:E124,"¶")+COUNTIF($E124:E124,"²")+COUNTIF($E124:E124,"µ")+COUNTIF($E124:E124,1),ColLivraison)=F$6,
  VLOOKUP($E124,INDIRECT("tri!"&amp; CHAR(64+ C0Col) &amp;":"&amp; CHAR(65+C0Col)),2,FALSE)&gt;COUNTIF($E124:E124,"u")+COUNTIF($E124:E124,"t")+COUNTIF($E124:E124,"¶")+COUNTIF($E124:E124,"²")+COUNTIF($E124:E124,"µ")+COUNTIF($E124:E124,1)),
HYPERLINK("#Roadmap!C"&amp; MATCH($E124,Roadmap!$D:$D,0)+COUNTIF($E124:E124,"u")+COUNTIF($E124:E124,"t"),
     INDEX(Roadmap!$D:$K,MATCH($E124,Roadmap!$D:$D,0)+COUNTIF($E124:E124,"u")+COUNTIF($E124:E124,"t")+COUNTIF($E124:E124,"¶")+COUNTIF($E124:E124,"²")+COUNTIF($E124:E124,"µ")+COUNTIF($E124:E124,1),ColTypeEcheance)),
  IF(LEN(E124)=1,
  IF(LEN(INDEX(Roadmap!$D:$K,MATCH($E124,Roadmap!$D:$D,0)-1+COUNTIF($E124:E124,"u")+COUNTIF($E124:E124,"t")+COUNTIF($E124:E124,"¶")+COUNTIF($E124:E124,"²")+COUNTIF($E124:E124,"µ")+COUNTIF($E124:E124,1),ColDescriptionCourte))&gt;1,
HYPERLINK("#Roadmap!C"&amp; MATCH($E124,Roadmap!$D:$D,0)+COUNTIF($E124:E124,"u")+COUNTIF($E124:E124,"t")+COUNTIF($E124:E124,"¶")+COUNTIF($E124:E124,"²")+COUNTIF($E124:E124,"µ")+COUNTIF($E124:E124,1)-1,INDEX(Roadmap!$D:$K,MATCH($E124,Roadmap!$D:$D,0)-1+COUNTIF($E124:E124,"u")+COUNTIF($E124:E124,"t")+COUNTIF($E124:E124,"¶")+COUNTIF($E124:E124,"²")+COUNTIF($E124:E124,"µ")+COUNTIF($E124:E124,1),ColDescriptionCourte)),""),
  "")),"")</f>
        <v/>
      </c>
      <c r="G124" s="40" t="str">
        <f ca="1">IFERROR(IF(AND(
  INDEX(Roadmap!$D:$K,MATCH($E124,Roadmap!$D:$D,0)+COUNTIF($E124:F124,"u")+COUNTIF($E124:F124,"t")+COUNTIF($E124:F124,"¶")+COUNTIF($E124:F124,"²")+COUNTIF($E124:F124,"µ")+COUNTIF($E124:F124,1),ColLivraison)=G$6,
  VLOOKUP($E124,INDIRECT("tri!"&amp; CHAR(64+ C0Col) &amp;":"&amp; CHAR(65+C0Col)),2,FALSE)&gt;COUNTIF($E124:F124,"u")+COUNTIF($E124:F124,"t")+COUNTIF($E124:F124,"¶")+COUNTIF($E124:F124,"²")+COUNTIF($E124:F124,"µ")+COUNTIF($E124:F124,1)),
HYPERLINK("#Roadmap!C"&amp; MATCH($E124,Roadmap!$D:$D,0)+COUNTIF($E124:F124,"u")+COUNTIF($E124:F124,"t"),
     INDEX(Roadmap!$D:$K,MATCH($E124,Roadmap!$D:$D,0)+COUNTIF($E124:F124,"u")+COUNTIF($E124:F124,"t")+COUNTIF($E124:F124,"¶")+COUNTIF($E124:F124,"²")+COUNTIF($E124:F124,"µ")+COUNTIF($E124:F124,1),ColTypeEcheance)),
  IF(LEN(F124)=1,
  IF(LEN(INDEX(Roadmap!$D:$K,MATCH($E124,Roadmap!$D:$D,0)-1+COUNTIF($E124:F124,"u")+COUNTIF($E124:F124,"t")+COUNTIF($E124:F124,"¶")+COUNTIF($E124:F124,"²")+COUNTIF($E124:F124,"µ")+COUNTIF($E124:F124,1),ColDescriptionCourte))&gt;1,
HYPERLINK("#Roadmap!C"&amp; MATCH($E124,Roadmap!$D:$D,0)+COUNTIF($E124:F124,"u")+COUNTIF($E124:F124,"t")+COUNTIF($E124:F124,"¶")+COUNTIF($E124:F124,"²")+COUNTIF($E124:F124,"µ")+COUNTIF($E124:F124,1)-1,INDEX(Roadmap!$D:$K,MATCH($E124,Roadmap!$D:$D,0)-1+COUNTIF($E124:F124,"u")+COUNTIF($E124:F124,"t")+COUNTIF($E124:F124,"¶")+COUNTIF($E124:F124,"²")+COUNTIF($E124:F124,"µ")+COUNTIF($E124:F124,1),ColDescriptionCourte)),""),
  "")),"")</f>
        <v/>
      </c>
      <c r="H124" s="40" t="str">
        <f ca="1">IFERROR(IF(AND(
  INDEX(Roadmap!$D:$K,MATCH($E124,Roadmap!$D:$D,0)+COUNTIF($E124:G124,"u")+COUNTIF($E124:G124,"t")+COUNTIF($E124:G124,"¶")+COUNTIF($E124:G124,"²")+COUNTIF($E124:G124,"µ")+COUNTIF($E124:G124,1),ColLivraison)=H$6,
  VLOOKUP($E124,INDIRECT("tri!"&amp; CHAR(64+ C0Col) &amp;":"&amp; CHAR(65+C0Col)),2,FALSE)&gt;COUNTIF($E124:G124,"u")+COUNTIF($E124:G124,"t")+COUNTIF($E124:G124,"¶")+COUNTIF($E124:G124,"²")+COUNTIF($E124:G124,"µ")+COUNTIF($E124:G124,1)),
HYPERLINK("#Roadmap!C"&amp; MATCH($E124,Roadmap!$D:$D,0)+COUNTIF($E124:G124,"u")+COUNTIF($E124:G124,"t"),
     INDEX(Roadmap!$D:$K,MATCH($E124,Roadmap!$D:$D,0)+COUNTIF($E124:G124,"u")+COUNTIF($E124:G124,"t")+COUNTIF($E124:G124,"¶")+COUNTIF($E124:G124,"²")+COUNTIF($E124:G124,"µ")+COUNTIF($E124:G124,1),ColTypeEcheance)),
  IF(LEN(G124)=1,
  IF(LEN(INDEX(Roadmap!$D:$K,MATCH($E124,Roadmap!$D:$D,0)-1+COUNTIF($E124:G124,"u")+COUNTIF($E124:G124,"t")+COUNTIF($E124:G124,"¶")+COUNTIF($E124:G124,"²")+COUNTIF($E124:G124,"µ")+COUNTIF($E124:G124,1),ColDescriptionCourte))&gt;1,
HYPERLINK("#Roadmap!C"&amp; MATCH($E124,Roadmap!$D:$D,0)+COUNTIF($E124:G124,"u")+COUNTIF($E124:G124,"t")+COUNTIF($E124:G124,"¶")+COUNTIF($E124:G124,"²")+COUNTIF($E124:G124,"µ")+COUNTIF($E124:G124,1)-1,INDEX(Roadmap!$D:$K,MATCH($E124,Roadmap!$D:$D,0)-1+COUNTIF($E124:G124,"u")+COUNTIF($E124:G124,"t")+COUNTIF($E124:G124,"¶")+COUNTIF($E124:G124,"²")+COUNTIF($E124:G124,"µ")+COUNTIF($E124:G124,1),ColDescriptionCourte)),""),
  "")),"")</f>
        <v/>
      </c>
      <c r="I124" s="40" t="str">
        <f ca="1">IFERROR(IF(AND(
  INDEX(Roadmap!$D:$K,MATCH($E124,Roadmap!$D:$D,0)+COUNTIF($E124:H124,"u")+COUNTIF($E124:H124,"t")+COUNTIF($E124:H124,"¶")+COUNTIF($E124:H124,"²")+COUNTIF($E124:H124,"µ")+COUNTIF($E124:H124,1),ColLivraison)=I$6,
  VLOOKUP($E124,INDIRECT("tri!"&amp; CHAR(64+ C0Col) &amp;":"&amp; CHAR(65+C0Col)),2,FALSE)&gt;COUNTIF($E124:H124,"u")+COUNTIF($E124:H124,"t")+COUNTIF($E124:H124,"¶")+COUNTIF($E124:H124,"²")+COUNTIF($E124:H124,"µ")+COUNTIF($E124:H124,1)),
HYPERLINK("#Roadmap!C"&amp; MATCH($E124,Roadmap!$D:$D,0)+COUNTIF($E124:H124,"u")+COUNTIF($E124:H124,"t"),
     INDEX(Roadmap!$D:$K,MATCH($E124,Roadmap!$D:$D,0)+COUNTIF($E124:H124,"u")+COUNTIF($E124:H124,"t")+COUNTIF($E124:H124,"¶")+COUNTIF($E124:H124,"²")+COUNTIF($E124:H124,"µ")+COUNTIF($E124:H124,1),ColTypeEcheance)),
  IF(LEN(H124)=1,
  IF(LEN(INDEX(Roadmap!$D:$K,MATCH($E124,Roadmap!$D:$D,0)-1+COUNTIF($E124:H124,"u")+COUNTIF($E124:H124,"t")+COUNTIF($E124:H124,"¶")+COUNTIF($E124:H124,"²")+COUNTIF($E124:H124,"µ")+COUNTIF($E124:H124,1),ColDescriptionCourte))&gt;1,
HYPERLINK("#Roadmap!C"&amp; MATCH($E124,Roadmap!$D:$D,0)+COUNTIF($E124:H124,"u")+COUNTIF($E124:H124,"t")+COUNTIF($E124:H124,"¶")+COUNTIF($E124:H124,"²")+COUNTIF($E124:H124,"µ")+COUNTIF($E124:H124,1)-1,INDEX(Roadmap!$D:$K,MATCH($E124,Roadmap!$D:$D,0)-1+COUNTIF($E124:H124,"u")+COUNTIF($E124:H124,"t")+COUNTIF($E124:H124,"¶")+COUNTIF($E124:H124,"²")+COUNTIF($E124:H124,"µ")+COUNTIF($E124:H124,1),ColDescriptionCourte)),""),
  "")),"")</f>
        <v/>
      </c>
      <c r="J124" s="40" t="str">
        <f ca="1">IFERROR(IF(AND(
  INDEX(Roadmap!$D:$K,MATCH($E124,Roadmap!$D:$D,0)+COUNTIF($E124:I124,"u")+COUNTIF($E124:I124,"t")+COUNTIF($E124:I124,"¶")+COUNTIF($E124:I124,"²")+COUNTIF($E124:I124,"µ")+COUNTIF($E124:I124,1),ColLivraison)=J$6,
  VLOOKUP($E124,INDIRECT("tri!"&amp; CHAR(64+ C0Col) &amp;":"&amp; CHAR(65+C0Col)),2,FALSE)&gt;COUNTIF($E124:I124,"u")+COUNTIF($E124:I124,"t")+COUNTIF($E124:I124,"¶")+COUNTIF($E124:I124,"²")+COUNTIF($E124:I124,"µ")+COUNTIF($E124:I124,1)),
HYPERLINK("#Roadmap!C"&amp; MATCH($E124,Roadmap!$D:$D,0)+COUNTIF($E124:I124,"u")+COUNTIF($E124:I124,"t"),
     INDEX(Roadmap!$D:$K,MATCH($E124,Roadmap!$D:$D,0)+COUNTIF($E124:I124,"u")+COUNTIF($E124:I124,"t")+COUNTIF($E124:I124,"¶")+COUNTIF($E124:I124,"²")+COUNTIF($E124:I124,"µ")+COUNTIF($E124:I124,1),ColTypeEcheance)),
  IF(LEN(I124)=1,
  IF(LEN(INDEX(Roadmap!$D:$K,MATCH($E124,Roadmap!$D:$D,0)-1+COUNTIF($E124:I124,"u")+COUNTIF($E124:I124,"t")+COUNTIF($E124:I124,"¶")+COUNTIF($E124:I124,"²")+COUNTIF($E124:I124,"µ")+COUNTIF($E124:I124,1),ColDescriptionCourte))&gt;1,
HYPERLINK("#Roadmap!C"&amp; MATCH($E124,Roadmap!$D:$D,0)+COUNTIF($E124:I124,"u")+COUNTIF($E124:I124,"t")+COUNTIF($E124:I124,"¶")+COUNTIF($E124:I124,"²")+COUNTIF($E124:I124,"µ")+COUNTIF($E124:I124,1)-1,INDEX(Roadmap!$D:$K,MATCH($E124,Roadmap!$D:$D,0)-1+COUNTIF($E124:I124,"u")+COUNTIF($E124:I124,"t")+COUNTIF($E124:I124,"¶")+COUNTIF($E124:I124,"²")+COUNTIF($E124:I124,"µ")+COUNTIF($E124:I124,1),ColDescriptionCourte)),""),
  "")),"")</f>
        <v/>
      </c>
      <c r="K124" s="40" t="str">
        <f ca="1">IFERROR(IF(AND(
  INDEX(Roadmap!$D:$K,MATCH($E124,Roadmap!$D:$D,0)+COUNTIF($E124:J124,"u")+COUNTIF($E124:J124,"t")+COUNTIF($E124:J124,"¶")+COUNTIF($E124:J124,"²")+COUNTIF($E124:J124,"µ")+COUNTIF($E124:J124,1),ColLivraison)=K$6,
  VLOOKUP($E124,INDIRECT("tri!"&amp; CHAR(64+ C0Col) &amp;":"&amp; CHAR(65+C0Col)),2,FALSE)&gt;COUNTIF($E124:J124,"u")+COUNTIF($E124:J124,"t")+COUNTIF($E124:J124,"¶")+COUNTIF($E124:J124,"²")+COUNTIF($E124:J124,"µ")+COUNTIF($E124:J124,1)),
HYPERLINK("#Roadmap!C"&amp; MATCH($E124,Roadmap!$D:$D,0)+COUNTIF($E124:J124,"u")+COUNTIF($E124:J124,"t"),
     INDEX(Roadmap!$D:$K,MATCH($E124,Roadmap!$D:$D,0)+COUNTIF($E124:J124,"u")+COUNTIF($E124:J124,"t")+COUNTIF($E124:J124,"¶")+COUNTIF($E124:J124,"²")+COUNTIF($E124:J124,"µ")+COUNTIF($E124:J124,1),ColTypeEcheance)),
  IF(LEN(J124)=1,
  IF(LEN(INDEX(Roadmap!$D:$K,MATCH($E124,Roadmap!$D:$D,0)-1+COUNTIF($E124:J124,"u")+COUNTIF($E124:J124,"t")+COUNTIF($E124:J124,"¶")+COUNTIF($E124:J124,"²")+COUNTIF($E124:J124,"µ")+COUNTIF($E124:J124,1),ColDescriptionCourte))&gt;1,
HYPERLINK("#Roadmap!C"&amp; MATCH($E124,Roadmap!$D:$D,0)+COUNTIF($E124:J124,"u")+COUNTIF($E124:J124,"t")+COUNTIF($E124:J124,"¶")+COUNTIF($E124:J124,"²")+COUNTIF($E124:J124,"µ")+COUNTIF($E124:J124,1)-1,INDEX(Roadmap!$D:$K,MATCH($E124,Roadmap!$D:$D,0)-1+COUNTIF($E124:J124,"u")+COUNTIF($E124:J124,"t")+COUNTIF($E124:J124,"¶")+COUNTIF($E124:J124,"²")+COUNTIF($E124:J124,"µ")+COUNTIF($E124:J124,1),ColDescriptionCourte)),""),
  "")),"")</f>
        <v/>
      </c>
      <c r="L124" s="39" t="str">
        <f ca="1">IFERROR(IF(AND(
  INDEX(Roadmap!$D:$K,MATCH($E124,Roadmap!$D:$D,0)+COUNTIF($E124:K124,"u")+COUNTIF($E124:K124,"t")+COUNTIF($E124:K124,"¶")+COUNTIF($E124:K124,"²")+COUNTIF($E124:K124,"µ")+COUNTIF($E124:K124,1),ColLivraison)=L$6,
  VLOOKUP($E124,INDIRECT("tri!"&amp; CHAR(64+ C0Col) &amp;":"&amp; CHAR(65+C0Col)),2,FALSE)&gt;COUNTIF($E124:K124,"u")+COUNTIF($E124:K124,"t")+COUNTIF($E124:K124,"¶")+COUNTIF($E124:K124,"²")+COUNTIF($E124:K124,"µ")+COUNTIF($E124:K124,1)),
HYPERLINK("#Roadmap!C"&amp; MATCH($E124,Roadmap!$D:$D,0)+COUNTIF($E124:K124,"u")+COUNTIF($E124:K124,"t"),
     INDEX(Roadmap!$D:$K,MATCH($E124,Roadmap!$D:$D,0)+COUNTIF($E124:K124,"u")+COUNTIF($E124:K124,"t")+COUNTIF($E124:K124,"¶")+COUNTIF($E124:K124,"²")+COUNTIF($E124:K124,"µ")+COUNTIF($E124:K124,1),ColTypeEcheance)),
  IF(LEN(K124)=1,
  IF(LEN(INDEX(Roadmap!$D:$K,MATCH($E124,Roadmap!$D:$D,0)-1+COUNTIF($E124:K124,"u")+COUNTIF($E124:K124,"t")+COUNTIF($E124:K124,"¶")+COUNTIF($E124:K124,"²")+COUNTIF($E124:K124,"µ")+COUNTIF($E124:K124,1),ColDescriptionCourte))&gt;1,
HYPERLINK("#Roadmap!C"&amp; MATCH($E124,Roadmap!$D:$D,0)+COUNTIF($E124:K124,"u")+COUNTIF($E124:K124,"t")+COUNTIF($E124:K124,"¶")+COUNTIF($E124:K124,"²")+COUNTIF($E124:K124,"µ")+COUNTIF($E124:K124,1)-1,INDEX(Roadmap!$D:$K,MATCH($E124,Roadmap!$D:$D,0)-1+COUNTIF($E124:K124,"u")+COUNTIF($E124:K124,"t")+COUNTIF($E124:K124,"¶")+COUNTIF($E124:K124,"²")+COUNTIF($E124:K124,"µ")+COUNTIF($E124:K124,1),ColDescriptionCourte)),""),
  "")),"")</f>
        <v/>
      </c>
      <c r="M124" s="40" t="str">
        <f ca="1">IFERROR(IF(AND(
  INDEX(Roadmap!$D:$K,MATCH($E124,Roadmap!$D:$D,0)+COUNTIF($E124:L124,"u")+COUNTIF($E124:L124,"t")+COUNTIF($E124:L124,"¶")+COUNTIF($E124:L124,"²")+COUNTIF($E124:L124,"µ")+COUNTIF($E124:L124,1),ColLivraison)=M$6,
  VLOOKUP($E124,INDIRECT("tri!"&amp; CHAR(64+ C0Col) &amp;":"&amp; CHAR(65+C0Col)),2,FALSE)&gt;COUNTIF($E124:L124,"u")+COUNTIF($E124:L124,"t")+COUNTIF($E124:L124,"¶")+COUNTIF($E124:L124,"²")+COUNTIF($E124:L124,"µ")+COUNTIF($E124:L124,1)),
HYPERLINK("#Roadmap!C"&amp; MATCH($E124,Roadmap!$D:$D,0)+COUNTIF($E124:L124,"u")+COUNTIF($E124:L124,"t"),
     INDEX(Roadmap!$D:$K,MATCH($E124,Roadmap!$D:$D,0)+COUNTIF($E124:L124,"u")+COUNTIF($E124:L124,"t")+COUNTIF($E124:L124,"¶")+COUNTIF($E124:L124,"²")+COUNTIF($E124:L124,"µ")+COUNTIF($E124:L124,1),ColTypeEcheance)),
  IF(LEN(L124)=1,
  IF(LEN(INDEX(Roadmap!$D:$K,MATCH($E124,Roadmap!$D:$D,0)-1+COUNTIF($E124:L124,"u")+COUNTIF($E124:L124,"t")+COUNTIF($E124:L124,"¶")+COUNTIF($E124:L124,"²")+COUNTIF($E124:L124,"µ")+COUNTIF($E124:L124,1),ColDescriptionCourte))&gt;1,
HYPERLINK("#Roadmap!C"&amp; MATCH($E124,Roadmap!$D:$D,0)+COUNTIF($E124:L124,"u")+COUNTIF($E124:L124,"t")+COUNTIF($E124:L124,"¶")+COUNTIF($E124:L124,"²")+COUNTIF($E124:L124,"µ")+COUNTIF($E124:L124,1)-1,INDEX(Roadmap!$D:$K,MATCH($E124,Roadmap!$D:$D,0)-1+COUNTIF($E124:L124,"u")+COUNTIF($E124:L124,"t")+COUNTIF($E124:L124,"¶")+COUNTIF($E124:L124,"²")+COUNTIF($E124:L124,"µ")+COUNTIF($E124:L124,1),ColDescriptionCourte)),""),
  "")),"")</f>
        <v/>
      </c>
      <c r="N124" s="40" t="str">
        <f ca="1">IFERROR(IF(AND(
  INDEX(Roadmap!$D:$K,MATCH($E124,Roadmap!$D:$D,0)+COUNTIF($E124:M124,"u")+COUNTIF($E124:M124,"t")+COUNTIF($E124:M124,"¶")+COUNTIF($E124:M124,"²")+COUNTIF($E124:M124,"µ")+COUNTIF($E124:M124,1),ColLivraison)=N$6,
  VLOOKUP($E124,INDIRECT("tri!"&amp; CHAR(64+ C0Col) &amp;":"&amp; CHAR(65+C0Col)),2,FALSE)&gt;COUNTIF($E124:M124,"u")+COUNTIF($E124:M124,"t")+COUNTIF($E124:M124,"¶")+COUNTIF($E124:M124,"²")+COUNTIF($E124:M124,"µ")+COUNTIF($E124:M124,1)),
HYPERLINK("#Roadmap!C"&amp; MATCH($E124,Roadmap!$D:$D,0)+COUNTIF($E124:M124,"u")+COUNTIF($E124:M124,"t"),
     INDEX(Roadmap!$D:$K,MATCH($E124,Roadmap!$D:$D,0)+COUNTIF($E124:M124,"u")+COUNTIF($E124:M124,"t")+COUNTIF($E124:M124,"¶")+COUNTIF($E124:M124,"²")+COUNTIF($E124:M124,"µ")+COUNTIF($E124:M124,1),ColTypeEcheance)),
  IF(LEN(M124)=1,
  IF(LEN(INDEX(Roadmap!$D:$K,MATCH($E124,Roadmap!$D:$D,0)-1+COUNTIF($E124:M124,"u")+COUNTIF($E124:M124,"t")+COUNTIF($E124:M124,"¶")+COUNTIF($E124:M124,"²")+COUNTIF($E124:M124,"µ")+COUNTIF($E124:M124,1),ColDescriptionCourte))&gt;1,
HYPERLINK("#Roadmap!C"&amp; MATCH($E124,Roadmap!$D:$D,0)+COUNTIF($E124:M124,"u")+COUNTIF($E124:M124,"t")+COUNTIF($E124:M124,"¶")+COUNTIF($E124:M124,"²")+COUNTIF($E124:M124,"µ")+COUNTIF($E124:M124,1)-1,INDEX(Roadmap!$D:$K,MATCH($E124,Roadmap!$D:$D,0)-1+COUNTIF($E124:M124,"u")+COUNTIF($E124:M124,"t")+COUNTIF($E124:M124,"¶")+COUNTIF($E124:M124,"²")+COUNTIF($E124:M124,"µ")+COUNTIF($E124:M124,1),ColDescriptionCourte)),""),
  "")),"")</f>
        <v/>
      </c>
      <c r="O124" s="40" t="str">
        <f ca="1">IFERROR(IF(AND(
  INDEX(Roadmap!$D:$K,MATCH($E124,Roadmap!$D:$D,0)+COUNTIF($E124:N124,"u")+COUNTIF($E124:N124,"t")+COUNTIF($E124:N124,"¶")+COUNTIF($E124:N124,"²")+COUNTIF($E124:N124,"µ")+COUNTIF($E124:N124,1),ColLivraison)=O$6,
  VLOOKUP($E124,INDIRECT("tri!"&amp; CHAR(64+ C0Col) &amp;":"&amp; CHAR(65+C0Col)),2,FALSE)&gt;COUNTIF($E124:N124,"u")+COUNTIF($E124:N124,"t")+COUNTIF($E124:N124,"¶")+COUNTIF($E124:N124,"²")+COUNTIF($E124:N124,"µ")+COUNTIF($E124:N124,1)),
HYPERLINK("#Roadmap!C"&amp; MATCH($E124,Roadmap!$D:$D,0)+COUNTIF($E124:N124,"u")+COUNTIF($E124:N124,"t"),
     INDEX(Roadmap!$D:$K,MATCH($E124,Roadmap!$D:$D,0)+COUNTIF($E124:N124,"u")+COUNTIF($E124:N124,"t")+COUNTIF($E124:N124,"¶")+COUNTIF($E124:N124,"²")+COUNTIF($E124:N124,"µ")+COUNTIF($E124:N124,1),ColTypeEcheance)),
  IF(LEN(N124)=1,
  IF(LEN(INDEX(Roadmap!$D:$K,MATCH($E124,Roadmap!$D:$D,0)-1+COUNTIF($E124:N124,"u")+COUNTIF($E124:N124,"t")+COUNTIF($E124:N124,"¶")+COUNTIF($E124:N124,"²")+COUNTIF($E124:N124,"µ")+COUNTIF($E124:N124,1),ColDescriptionCourte))&gt;1,
HYPERLINK("#Roadmap!C"&amp; MATCH($E124,Roadmap!$D:$D,0)+COUNTIF($E124:N124,"u")+COUNTIF($E124:N124,"t")+COUNTIF($E124:N124,"¶")+COUNTIF($E124:N124,"²")+COUNTIF($E124:N124,"µ")+COUNTIF($E124:N124,1)-1,INDEX(Roadmap!$D:$K,MATCH($E124,Roadmap!$D:$D,0)-1+COUNTIF($E124:N124,"u")+COUNTIF($E124:N124,"t")+COUNTIF($E124:N124,"¶")+COUNTIF($E124:N124,"²")+COUNTIF($E124:N124,"µ")+COUNTIF($E124:N124,1),ColDescriptionCourte)),""),
  "")),"")</f>
        <v/>
      </c>
      <c r="P124" s="40" t="str">
        <f ca="1">IFERROR(IF(AND(
  INDEX(Roadmap!$D:$K,MATCH($E124,Roadmap!$D:$D,0)+COUNTIF($E124:O124,"u")+COUNTIF($E124:O124,"t")+COUNTIF($E124:O124,"¶")+COUNTIF($E124:O124,"²")+COUNTIF($E124:O124,"µ")+COUNTIF($E124:O124,1),ColLivraison)=P$6,
  VLOOKUP($E124,INDIRECT("tri!"&amp; CHAR(64+ C0Col) &amp;":"&amp; CHAR(65+C0Col)),2,FALSE)&gt;COUNTIF($E124:O124,"u")+COUNTIF($E124:O124,"t")+COUNTIF($E124:O124,"¶")+COUNTIF($E124:O124,"²")+COUNTIF($E124:O124,"µ")+COUNTIF($E124:O124,1)),
HYPERLINK("#Roadmap!C"&amp; MATCH($E124,Roadmap!$D:$D,0)+COUNTIF($E124:O124,"u")+COUNTIF($E124:O124,"t"),
     INDEX(Roadmap!$D:$K,MATCH($E124,Roadmap!$D:$D,0)+COUNTIF($E124:O124,"u")+COUNTIF($E124:O124,"t")+COUNTIF($E124:O124,"¶")+COUNTIF($E124:O124,"²")+COUNTIF($E124:O124,"µ")+COUNTIF($E124:O124,1),ColTypeEcheance)),
  IF(LEN(O124)=1,
  IF(LEN(INDEX(Roadmap!$D:$K,MATCH($E124,Roadmap!$D:$D,0)-1+COUNTIF($E124:O124,"u")+COUNTIF($E124:O124,"t")+COUNTIF($E124:O124,"¶")+COUNTIF($E124:O124,"²")+COUNTIF($E124:O124,"µ")+COUNTIF($E124:O124,1),ColDescriptionCourte))&gt;1,
HYPERLINK("#Roadmap!C"&amp; MATCH($E124,Roadmap!$D:$D,0)+COUNTIF($E124:O124,"u")+COUNTIF($E124:O124,"t")+COUNTIF($E124:O124,"¶")+COUNTIF($E124:O124,"²")+COUNTIF($E124:O124,"µ")+COUNTIF($E124:O124,1)-1,INDEX(Roadmap!$D:$K,MATCH($E124,Roadmap!$D:$D,0)-1+COUNTIF($E124:O124,"u")+COUNTIF($E124:O124,"t")+COUNTIF($E124:O124,"¶")+COUNTIF($E124:O124,"²")+COUNTIF($E124:O124,"µ")+COUNTIF($E124:O124,1),ColDescriptionCourte)),""),
  "")),"")</f>
        <v/>
      </c>
      <c r="Q124" s="40" t="str">
        <f ca="1">IFERROR(IF(AND(
  INDEX(Roadmap!$D:$K,MATCH($E124,Roadmap!$D:$D,0)+COUNTIF($E124:P124,"u")+COUNTIF($E124:P124,"t")+COUNTIF($E124:P124,"¶")+COUNTIF($E124:P124,"²")+COUNTIF($E124:P124,"µ")+COUNTIF($E124:P124,1),ColLivraison)=Q$6,
  VLOOKUP($E124,INDIRECT("tri!"&amp; CHAR(64+ C0Col) &amp;":"&amp; CHAR(65+C0Col)),2,FALSE)&gt;COUNTIF($E124:P124,"u")+COUNTIF($E124:P124,"t")+COUNTIF($E124:P124,"¶")+COUNTIF($E124:P124,"²")+COUNTIF($E124:P124,"µ")+COUNTIF($E124:P124,1)),
HYPERLINK("#Roadmap!C"&amp; MATCH($E124,Roadmap!$D:$D,0)+COUNTIF($E124:P124,"u")+COUNTIF($E124:P124,"t"),
     INDEX(Roadmap!$D:$K,MATCH($E124,Roadmap!$D:$D,0)+COUNTIF($E124:P124,"u")+COUNTIF($E124:P124,"t")+COUNTIF($E124:P124,"¶")+COUNTIF($E124:P124,"²")+COUNTIF($E124:P124,"µ")+COUNTIF($E124:P124,1),ColTypeEcheance)),
  IF(LEN(P124)=1,
  IF(LEN(INDEX(Roadmap!$D:$K,MATCH($E124,Roadmap!$D:$D,0)-1+COUNTIF($E124:P124,"u")+COUNTIF($E124:P124,"t")+COUNTIF($E124:P124,"¶")+COUNTIF($E124:P124,"²")+COUNTIF($E124:P124,"µ")+COUNTIF($E124:P124,1),ColDescriptionCourte))&gt;1,
HYPERLINK("#Roadmap!C"&amp; MATCH($E124,Roadmap!$D:$D,0)+COUNTIF($E124:P124,"u")+COUNTIF($E124:P124,"t")+COUNTIF($E124:P124,"¶")+COUNTIF($E124:P124,"²")+COUNTIF($E124:P124,"µ")+COUNTIF($E124:P124,1)-1,INDEX(Roadmap!$D:$K,MATCH($E124,Roadmap!$D:$D,0)-1+COUNTIF($E124:P124,"u")+COUNTIF($E124:P124,"t")+COUNTIF($E124:P124,"¶")+COUNTIF($E124:P124,"²")+COUNTIF($E124:P124,"µ")+COUNTIF($E124:P124,1),ColDescriptionCourte)),""),
  "")),"")</f>
        <v/>
      </c>
      <c r="R124" s="40" t="str">
        <f ca="1">IFERROR(IF(AND(
  INDEX(Roadmap!$D:$K,MATCH($E124,Roadmap!$D:$D,0)+COUNTIF($E124:Q124,"u")+COUNTIF($E124:Q124,"t")+COUNTIF($E124:Q124,"¶")+COUNTIF($E124:Q124,"²")+COUNTIF($E124:Q124,"µ")+COUNTIF($E124:Q124,1),ColLivraison)=R$6,
  VLOOKUP($E124,INDIRECT("tri!"&amp; CHAR(64+ C0Col) &amp;":"&amp; CHAR(65+C0Col)),2,FALSE)&gt;COUNTIF($E124:Q124,"u")+COUNTIF($E124:Q124,"t")+COUNTIF($E124:Q124,"¶")+COUNTIF($E124:Q124,"²")+COUNTIF($E124:Q124,"µ")+COUNTIF($E124:Q124,1)),
HYPERLINK("#Roadmap!C"&amp; MATCH($E124,Roadmap!$D:$D,0)+COUNTIF($E124:Q124,"u")+COUNTIF($E124:Q124,"t"),
     INDEX(Roadmap!$D:$K,MATCH($E124,Roadmap!$D:$D,0)+COUNTIF($E124:Q124,"u")+COUNTIF($E124:Q124,"t")+COUNTIF($E124:Q124,"¶")+COUNTIF($E124:Q124,"²")+COUNTIF($E124:Q124,"µ")+COUNTIF($E124:Q124,1),ColTypeEcheance)),
  IF(LEN(Q124)=1,
  IF(LEN(INDEX(Roadmap!$D:$K,MATCH($E124,Roadmap!$D:$D,0)-1+COUNTIF($E124:Q124,"u")+COUNTIF($E124:Q124,"t")+COUNTIF($E124:Q124,"¶")+COUNTIF($E124:Q124,"²")+COUNTIF($E124:Q124,"µ")+COUNTIF($E124:Q124,1),ColDescriptionCourte))&gt;1,
HYPERLINK("#Roadmap!C"&amp; MATCH($E124,Roadmap!$D:$D,0)+COUNTIF($E124:Q124,"u")+COUNTIF($E124:Q124,"t")+COUNTIF($E124:Q124,"¶")+COUNTIF($E124:Q124,"²")+COUNTIF($E124:Q124,"µ")+COUNTIF($E124:Q124,1)-1,INDEX(Roadmap!$D:$K,MATCH($E124,Roadmap!$D:$D,0)-1+COUNTIF($E124:Q124,"u")+COUNTIF($E124:Q124,"t")+COUNTIF($E124:Q124,"¶")+COUNTIF($E124:Q124,"²")+COUNTIF($E124:Q124,"µ")+COUNTIF($E124:Q124,1),ColDescriptionCourte)),""),
  "")),"")</f>
        <v/>
      </c>
      <c r="S124" s="40" t="str">
        <f ca="1">IFERROR(IF(AND(
  INDEX(Roadmap!$D:$K,MATCH($E124,Roadmap!$D:$D,0)+COUNTIF($E124:R124,"u")+COUNTIF($E124:R124,"t")+COUNTIF($E124:R124,"¶")+COUNTIF($E124:R124,"²")+COUNTIF($E124:R124,"µ")+COUNTIF($E124:R124,1),ColLivraison)=S$6,
  VLOOKUP($E124,INDIRECT("tri!"&amp; CHAR(64+ C0Col) &amp;":"&amp; CHAR(65+C0Col)),2,FALSE)&gt;COUNTIF($E124:R124,"u")+COUNTIF($E124:R124,"t")+COUNTIF($E124:R124,"¶")+COUNTIF($E124:R124,"²")+COUNTIF($E124:R124,"µ")+COUNTIF($E124:R124,1)),
HYPERLINK("#Roadmap!C"&amp; MATCH($E124,Roadmap!$D:$D,0)+COUNTIF($E124:R124,"u")+COUNTIF($E124:R124,"t"),
     INDEX(Roadmap!$D:$K,MATCH($E124,Roadmap!$D:$D,0)+COUNTIF($E124:R124,"u")+COUNTIF($E124:R124,"t")+COUNTIF($E124:R124,"¶")+COUNTIF($E124:R124,"²")+COUNTIF($E124:R124,"µ")+COUNTIF($E124:R124,1),ColTypeEcheance)),
  IF(LEN(R124)=1,
  IF(LEN(INDEX(Roadmap!$D:$K,MATCH($E124,Roadmap!$D:$D,0)-1+COUNTIF($E124:R124,"u")+COUNTIF($E124:R124,"t")+COUNTIF($E124:R124,"¶")+COUNTIF($E124:R124,"²")+COUNTIF($E124:R124,"µ")+COUNTIF($E124:R124,1),ColDescriptionCourte))&gt;1,
HYPERLINK("#Roadmap!C"&amp; MATCH($E124,Roadmap!$D:$D,0)+COUNTIF($E124:R124,"u")+COUNTIF($E124:R124,"t")+COUNTIF($E124:R124,"¶")+COUNTIF($E124:R124,"²")+COUNTIF($E124:R124,"µ")+COUNTIF($E124:R124,1)-1,INDEX(Roadmap!$D:$K,MATCH($E124,Roadmap!$D:$D,0)-1+COUNTIF($E124:R124,"u")+COUNTIF($E124:R124,"t")+COUNTIF($E124:R124,"¶")+COUNTIF($E124:R124,"²")+COUNTIF($E124:R124,"µ")+COUNTIF($E124:R124,1),ColDescriptionCourte)),""),
  "")),"")</f>
        <v/>
      </c>
      <c r="T124" s="40" t="str">
        <f ca="1">IFERROR(IF(AND(
  INDEX(Roadmap!$D:$K,MATCH($E124,Roadmap!$D:$D,0)+COUNTIF($E124:S124,"u")+COUNTIF($E124:S124,"t")+COUNTIF($E124:S124,"¶")+COUNTIF($E124:S124,"²")+COUNTIF($E124:S124,"µ")+COUNTIF($E124:S124,1),ColLivraison)=T$6,
  VLOOKUP($E124,INDIRECT("tri!"&amp; CHAR(64+ C0Col) &amp;":"&amp; CHAR(65+C0Col)),2,FALSE)&gt;COUNTIF($E124:S124,"u")+COUNTIF($E124:S124,"t")+COUNTIF($E124:S124,"¶")+COUNTIF($E124:S124,"²")+COUNTIF($E124:S124,"µ")+COUNTIF($E124:S124,1)),
HYPERLINK("#Roadmap!C"&amp; MATCH($E124,Roadmap!$D:$D,0)+COUNTIF($E124:S124,"u")+COUNTIF($E124:S124,"t"),
     INDEX(Roadmap!$D:$K,MATCH($E124,Roadmap!$D:$D,0)+COUNTIF($E124:S124,"u")+COUNTIF($E124:S124,"t")+COUNTIF($E124:S124,"¶")+COUNTIF($E124:S124,"²")+COUNTIF($E124:S124,"µ")+COUNTIF($E124:S124,1),ColTypeEcheance)),
  IF(LEN(S124)=1,
  IF(LEN(INDEX(Roadmap!$D:$K,MATCH($E124,Roadmap!$D:$D,0)-1+COUNTIF($E124:S124,"u")+COUNTIF($E124:S124,"t")+COUNTIF($E124:S124,"¶")+COUNTIF($E124:S124,"²")+COUNTIF($E124:S124,"µ")+COUNTIF($E124:S124,1),ColDescriptionCourte))&gt;1,
HYPERLINK("#Roadmap!C"&amp; MATCH($E124,Roadmap!$D:$D,0)+COUNTIF($E124:S124,"u")+COUNTIF($E124:S124,"t")+COUNTIF($E124:S124,"¶")+COUNTIF($E124:S124,"²")+COUNTIF($E124:S124,"µ")+COUNTIF($E124:S124,1)-1,INDEX(Roadmap!$D:$K,MATCH($E124,Roadmap!$D:$D,0)-1+COUNTIF($E124:S124,"u")+COUNTIF($E124:S124,"t")+COUNTIF($E124:S124,"¶")+COUNTIF($E124:S124,"²")+COUNTIF($E124:S124,"µ")+COUNTIF($E124:S124,1),ColDescriptionCourte)),""),
  "")),"")</f>
        <v/>
      </c>
      <c r="U124" s="40" t="str">
        <f ca="1">IFERROR(IF(AND(
  INDEX(Roadmap!$D:$K,MATCH($E124,Roadmap!$D:$D,0)+COUNTIF($E124:T124,"u")+COUNTIF($E124:T124,"t")+COUNTIF($E124:T124,"¶")+COUNTIF($E124:T124,"²")+COUNTIF($E124:T124,"µ")+COUNTIF($E124:T124,1),ColLivraison)=U$6,
  VLOOKUP($E124,INDIRECT("tri!"&amp; CHAR(64+ C0Col) &amp;":"&amp; CHAR(65+C0Col)),2,FALSE)&gt;COUNTIF($E124:T124,"u")+COUNTIF($E124:T124,"t")+COUNTIF($E124:T124,"¶")+COUNTIF($E124:T124,"²")+COUNTIF($E124:T124,"µ")+COUNTIF($E124:T124,1)),
HYPERLINK("#Roadmap!C"&amp; MATCH($E124,Roadmap!$D:$D,0)+COUNTIF($E124:T124,"u")+COUNTIF($E124:T124,"t"),
     INDEX(Roadmap!$D:$K,MATCH($E124,Roadmap!$D:$D,0)+COUNTIF($E124:T124,"u")+COUNTIF($E124:T124,"t")+COUNTIF($E124:T124,"¶")+COUNTIF($E124:T124,"²")+COUNTIF($E124:T124,"µ")+COUNTIF($E124:T124,1),ColTypeEcheance)),
  IF(LEN(T124)=1,
  IF(LEN(INDEX(Roadmap!$D:$K,MATCH($E124,Roadmap!$D:$D,0)-1+COUNTIF($E124:T124,"u")+COUNTIF($E124:T124,"t")+COUNTIF($E124:T124,"¶")+COUNTIF($E124:T124,"²")+COUNTIF($E124:T124,"µ")+COUNTIF($E124:T124,1),ColDescriptionCourte))&gt;1,
HYPERLINK("#Roadmap!C"&amp; MATCH($E124,Roadmap!$D:$D,0)+COUNTIF($E124:T124,"u")+COUNTIF($E124:T124,"t")+COUNTIF($E124:T124,"¶")+COUNTIF($E124:T124,"²")+COUNTIF($E124:T124,"µ")+COUNTIF($E124:T124,1)-1,INDEX(Roadmap!$D:$K,MATCH($E124,Roadmap!$D:$D,0)-1+COUNTIF($E124:T124,"u")+COUNTIF($E124:T124,"t")+COUNTIF($E124:T124,"¶")+COUNTIF($E124:T124,"²")+COUNTIF($E124:T124,"µ")+COUNTIF($E124:T124,1),ColDescriptionCourte)),""),
  "")),"")</f>
        <v/>
      </c>
      <c r="V124" s="40" t="str">
        <f ca="1">IFERROR(IF(AND(
  INDEX(Roadmap!$D:$K,MATCH($E124,Roadmap!$D:$D,0)+COUNTIF($E124:U124,"u")+COUNTIF($E124:U124,"t")+COUNTIF($E124:U124,"¶")+COUNTIF($E124:U124,"²")+COUNTIF($E124:U124,"µ")+COUNTIF($E124:U124,1),ColLivraison)=V$6,
  VLOOKUP($E124,INDIRECT("tri!"&amp; CHAR(64+ C0Col) &amp;":"&amp; CHAR(65+C0Col)),2,FALSE)&gt;COUNTIF($E124:U124,"u")+COUNTIF($E124:U124,"t")+COUNTIF($E124:U124,"¶")+COUNTIF($E124:U124,"²")+COUNTIF($E124:U124,"µ")+COUNTIF($E124:U124,1)),
HYPERLINK("#Roadmap!C"&amp; MATCH($E124,Roadmap!$D:$D,0)+COUNTIF($E124:U124,"u")+COUNTIF($E124:U124,"t"),
     INDEX(Roadmap!$D:$K,MATCH($E124,Roadmap!$D:$D,0)+COUNTIF($E124:U124,"u")+COUNTIF($E124:U124,"t")+COUNTIF($E124:U124,"¶")+COUNTIF($E124:U124,"²")+COUNTIF($E124:U124,"µ")+COUNTIF($E124:U124,1),ColTypeEcheance)),
  IF(LEN(U124)=1,
  IF(LEN(INDEX(Roadmap!$D:$K,MATCH($E124,Roadmap!$D:$D,0)-1+COUNTIF($E124:U124,"u")+COUNTIF($E124:U124,"t")+COUNTIF($E124:U124,"¶")+COUNTIF($E124:U124,"²")+COUNTIF($E124:U124,"µ")+COUNTIF($E124:U124,1),ColDescriptionCourte))&gt;1,
HYPERLINK("#Roadmap!C"&amp; MATCH($E124,Roadmap!$D:$D,0)+COUNTIF($E124:U124,"u")+COUNTIF($E124:U124,"t")+COUNTIF($E124:U124,"¶")+COUNTIF($E124:U124,"²")+COUNTIF($E124:U124,"µ")+COUNTIF($E124:U124,1)-1,INDEX(Roadmap!$D:$K,MATCH($E124,Roadmap!$D:$D,0)-1+COUNTIF($E124:U124,"u")+COUNTIF($E124:U124,"t")+COUNTIF($E124:U124,"¶")+COUNTIF($E124:U124,"²")+COUNTIF($E124:U124,"µ")+COUNTIF($E124:U124,1),ColDescriptionCourte)),""),
  "")),"")</f>
        <v/>
      </c>
      <c r="W124" s="40" t="str">
        <f ca="1">IFERROR(IF(AND(
  INDEX(Roadmap!$D:$K,MATCH($E124,Roadmap!$D:$D,0)+COUNTIF($E124:V124,"u")+COUNTIF($E124:V124,"t")+COUNTIF($E124:V124,"¶")+COUNTIF($E124:V124,"²")+COUNTIF($E124:V124,"µ")+COUNTIF($E124:V124,1),ColLivraison)=W$6,
  VLOOKUP($E124,INDIRECT("tri!"&amp; CHAR(64+ C0Col) &amp;":"&amp; CHAR(65+C0Col)),2,FALSE)&gt;COUNTIF($E124:V124,"u")+COUNTIF($E124:V124,"t")+COUNTIF($E124:V124,"¶")+COUNTIF($E124:V124,"²")+COUNTIF($E124:V124,"µ")+COUNTIF($E124:V124,1)),
HYPERLINK("#Roadmap!C"&amp; MATCH($E124,Roadmap!$D:$D,0)+COUNTIF($E124:V124,"u")+COUNTIF($E124:V124,"t"),
     INDEX(Roadmap!$D:$K,MATCH($E124,Roadmap!$D:$D,0)+COUNTIF($E124:V124,"u")+COUNTIF($E124:V124,"t")+COUNTIF($E124:V124,"¶")+COUNTIF($E124:V124,"²")+COUNTIF($E124:V124,"µ")+COUNTIF($E124:V124,1),ColTypeEcheance)),
  IF(LEN(V124)=1,
  IF(LEN(INDEX(Roadmap!$D:$K,MATCH($E124,Roadmap!$D:$D,0)-1+COUNTIF($E124:V124,"u")+COUNTIF($E124:V124,"t")+COUNTIF($E124:V124,"¶")+COUNTIF($E124:V124,"²")+COUNTIF($E124:V124,"µ")+COUNTIF($E124:V124,1),ColDescriptionCourte))&gt;1,
HYPERLINK("#Roadmap!C"&amp; MATCH($E124,Roadmap!$D:$D,0)+COUNTIF($E124:V124,"u")+COUNTIF($E124:V124,"t")+COUNTIF($E124:V124,"¶")+COUNTIF($E124:V124,"²")+COUNTIF($E124:V124,"µ")+COUNTIF($E124:V124,1)-1,INDEX(Roadmap!$D:$K,MATCH($E124,Roadmap!$D:$D,0)-1+COUNTIF($E124:V124,"u")+COUNTIF($E124:V124,"t")+COUNTIF($E124:V124,"¶")+COUNTIF($E124:V124,"²")+COUNTIF($E124:V124,"µ")+COUNTIF($E124:V124,1),ColDescriptionCourte)),""),
  "")),"")</f>
        <v/>
      </c>
      <c r="X124" s="40" t="str">
        <f ca="1">IFERROR(IF(AND(
  INDEX(Roadmap!$D:$K,MATCH($E124,Roadmap!$D:$D,0)+COUNTIF($E124:W124,"u")+COUNTIF($E124:W124,"t")+COUNTIF($E124:W124,"¶")+COUNTIF($E124:W124,"²")+COUNTIF($E124:W124,"µ")+COUNTIF($E124:W124,1),ColLivraison)=X$6,
  VLOOKUP($E124,INDIRECT("tri!"&amp; CHAR(64+ C0Col) &amp;":"&amp; CHAR(65+C0Col)),2,FALSE)&gt;COUNTIF($E124:W124,"u")+COUNTIF($E124:W124,"t")+COUNTIF($E124:W124,"¶")+COUNTIF($E124:W124,"²")+COUNTIF($E124:W124,"µ")+COUNTIF($E124:W124,1)),
HYPERLINK("#Roadmap!C"&amp; MATCH($E124,Roadmap!$D:$D,0)+COUNTIF($E124:W124,"u")+COUNTIF($E124:W124,"t"),
     INDEX(Roadmap!$D:$K,MATCH($E124,Roadmap!$D:$D,0)+COUNTIF($E124:W124,"u")+COUNTIF($E124:W124,"t")+COUNTIF($E124:W124,"¶")+COUNTIF($E124:W124,"²")+COUNTIF($E124:W124,"µ")+COUNTIF($E124:W124,1),ColTypeEcheance)),
  IF(LEN(W124)=1,
  IF(LEN(INDEX(Roadmap!$D:$K,MATCH($E124,Roadmap!$D:$D,0)-1+COUNTIF($E124:W124,"u")+COUNTIF($E124:W124,"t")+COUNTIF($E124:W124,"¶")+COUNTIF($E124:W124,"²")+COUNTIF($E124:W124,"µ")+COUNTIF($E124:W124,1),ColDescriptionCourte))&gt;1,
HYPERLINK("#Roadmap!C"&amp; MATCH($E124,Roadmap!$D:$D,0)+COUNTIF($E124:W124,"u")+COUNTIF($E124:W124,"t")+COUNTIF($E124:W124,"¶")+COUNTIF($E124:W124,"²")+COUNTIF($E124:W124,"µ")+COUNTIF($E124:W124,1)-1,INDEX(Roadmap!$D:$K,MATCH($E124,Roadmap!$D:$D,0)-1+COUNTIF($E124:W124,"u")+COUNTIF($E124:W124,"t")+COUNTIF($E124:W124,"¶")+COUNTIF($E124:W124,"²")+COUNTIF($E124:W124,"µ")+COUNTIF($E124:W124,1),ColDescriptionCourte)),""),
  "")),"")</f>
        <v/>
      </c>
      <c r="Y124" s="40" t="str">
        <f ca="1">IFERROR(IF(AND(
  INDEX(Roadmap!$D:$K,MATCH($E124,Roadmap!$D:$D,0)+COUNTIF($E124:X124,"u")+COUNTIF($E124:X124,"t")+COUNTIF($E124:X124,"¶")+COUNTIF($E124:X124,"²")+COUNTIF($E124:X124,"µ")+COUNTIF($E124:X124,1),ColLivraison)=Y$6,
  VLOOKUP($E124,INDIRECT("tri!"&amp; CHAR(64+ C0Col) &amp;":"&amp; CHAR(65+C0Col)),2,FALSE)&gt;COUNTIF($E124:X124,"u")+COUNTIF($E124:X124,"t")+COUNTIF($E124:X124,"¶")+COUNTIF($E124:X124,"²")+COUNTIF($E124:X124,"µ")+COUNTIF($E124:X124,1)),
HYPERLINK("#Roadmap!C"&amp; MATCH($E124,Roadmap!$D:$D,0)+COUNTIF($E124:X124,"u")+COUNTIF($E124:X124,"t"),
     INDEX(Roadmap!$D:$K,MATCH($E124,Roadmap!$D:$D,0)+COUNTIF($E124:X124,"u")+COUNTIF($E124:X124,"t")+COUNTIF($E124:X124,"¶")+COUNTIF($E124:X124,"²")+COUNTIF($E124:X124,"µ")+COUNTIF($E124:X124,1),ColTypeEcheance)),
  IF(LEN(X124)=1,
  IF(LEN(INDEX(Roadmap!$D:$K,MATCH($E124,Roadmap!$D:$D,0)-1+COUNTIF($E124:X124,"u")+COUNTIF($E124:X124,"t")+COUNTIF($E124:X124,"¶")+COUNTIF($E124:X124,"²")+COUNTIF($E124:X124,"µ")+COUNTIF($E124:X124,1),ColDescriptionCourte))&gt;1,
HYPERLINK("#Roadmap!C"&amp; MATCH($E124,Roadmap!$D:$D,0)+COUNTIF($E124:X124,"u")+COUNTIF($E124:X124,"t")+COUNTIF($E124:X124,"¶")+COUNTIF($E124:X124,"²")+COUNTIF($E124:X124,"µ")+COUNTIF($E124:X124,1)-1,INDEX(Roadmap!$D:$K,MATCH($E124,Roadmap!$D:$D,0)-1+COUNTIF($E124:X124,"u")+COUNTIF($E124:X124,"t")+COUNTIF($E124:X124,"¶")+COUNTIF($E124:X124,"²")+COUNTIF($E124:X124,"µ")+COUNTIF($E124:X124,1),ColDescriptionCourte)),""),
  "")),"")</f>
        <v/>
      </c>
      <c r="Z124" s="40" t="str">
        <f ca="1">IFERROR(IF(AND(
  INDEX(Roadmap!$D:$K,MATCH($E124,Roadmap!$D:$D,0)+COUNTIF($E124:Y124,"u")+COUNTIF($E124:Y124,"t")+COUNTIF($E124:Y124,"¶")+COUNTIF($E124:Y124,"²")+COUNTIF($E124:Y124,"µ")+COUNTIF($E124:Y124,1),ColLivraison)=Z$6,
  VLOOKUP($E124,INDIRECT("tri!"&amp; CHAR(64+ C0Col) &amp;":"&amp; CHAR(65+C0Col)),2,FALSE)&gt;COUNTIF($E124:Y124,"u")+COUNTIF($E124:Y124,"t")+COUNTIF($E124:Y124,"¶")+COUNTIF($E124:Y124,"²")+COUNTIF($E124:Y124,"µ")+COUNTIF($E124:Y124,1)),
HYPERLINK("#Roadmap!C"&amp; MATCH($E124,Roadmap!$D:$D,0)+COUNTIF($E124:Y124,"u")+COUNTIF($E124:Y124,"t"),
     INDEX(Roadmap!$D:$K,MATCH($E124,Roadmap!$D:$D,0)+COUNTIF($E124:Y124,"u")+COUNTIF($E124:Y124,"t")+COUNTIF($E124:Y124,"¶")+COUNTIF($E124:Y124,"²")+COUNTIF($E124:Y124,"µ")+COUNTIF($E124:Y124,1),ColTypeEcheance)),
  IF(LEN(Y124)=1,
  IF(LEN(INDEX(Roadmap!$D:$K,MATCH($E124,Roadmap!$D:$D,0)-1+COUNTIF($E124:Y124,"u")+COUNTIF($E124:Y124,"t")+COUNTIF($E124:Y124,"¶")+COUNTIF($E124:Y124,"²")+COUNTIF($E124:Y124,"µ")+COUNTIF($E124:Y124,1),ColDescriptionCourte))&gt;1,
HYPERLINK("#Roadmap!C"&amp; MATCH($E124,Roadmap!$D:$D,0)+COUNTIF($E124:Y124,"u")+COUNTIF($E124:Y124,"t")+COUNTIF($E124:Y124,"¶")+COUNTIF($E124:Y124,"²")+COUNTIF($E124:Y124,"µ")+COUNTIF($E124:Y124,1)-1,INDEX(Roadmap!$D:$K,MATCH($E124,Roadmap!$D:$D,0)-1+COUNTIF($E124:Y124,"u")+COUNTIF($E124:Y124,"t")+COUNTIF($E124:Y124,"¶")+COUNTIF($E124:Y124,"²")+COUNTIF($E124:Y124,"µ")+COUNTIF($E124:Y124,1),ColDescriptionCourte)),""),
  "")),"")</f>
        <v/>
      </c>
      <c r="AA124" s="40" t="str">
        <f ca="1">IFERROR(IF(AND(
  INDEX(Roadmap!$D:$K,MATCH($E124,Roadmap!$D:$D,0)+COUNTIF($E124:Z124,"u")+COUNTIF($E124:Z124,"t")+COUNTIF($E124:Z124,"¶")+COUNTIF($E124:Z124,"²")+COUNTIF($E124:Z124,"µ")+COUNTIF($E124:Z124,1),ColLivraison)=AA$6,
  VLOOKUP($E124,INDIRECT("tri!"&amp; CHAR(64+ C0Col) &amp;":"&amp; CHAR(65+C0Col)),2,FALSE)&gt;COUNTIF($E124:Z124,"u")+COUNTIF($E124:Z124,"t")+COUNTIF($E124:Z124,"¶")+COUNTIF($E124:Z124,"²")+COUNTIF($E124:Z124,"µ")+COUNTIF($E124:Z124,1)),
HYPERLINK("#Roadmap!C"&amp; MATCH($E124,Roadmap!$D:$D,0)+COUNTIF($E124:Z124,"u")+COUNTIF($E124:Z124,"t"),
     INDEX(Roadmap!$D:$K,MATCH($E124,Roadmap!$D:$D,0)+COUNTIF($E124:Z124,"u")+COUNTIF($E124:Z124,"t")+COUNTIF($E124:Z124,"¶")+COUNTIF($E124:Z124,"²")+COUNTIF($E124:Z124,"µ")+COUNTIF($E124:Z124,1),ColTypeEcheance)),
  IF(LEN(Z124)=1,
  IF(LEN(INDEX(Roadmap!$D:$K,MATCH($E124,Roadmap!$D:$D,0)-1+COUNTIF($E124:Z124,"u")+COUNTIF($E124:Z124,"t")+COUNTIF($E124:Z124,"¶")+COUNTIF($E124:Z124,"²")+COUNTIF($E124:Z124,"µ")+COUNTIF($E124:Z124,1),ColDescriptionCourte))&gt;1,
HYPERLINK("#Roadmap!C"&amp; MATCH($E124,Roadmap!$D:$D,0)+COUNTIF($E124:Z124,"u")+COUNTIF($E124:Z124,"t")+COUNTIF($E124:Z124,"¶")+COUNTIF($E124:Z124,"²")+COUNTIF($E124:Z124,"µ")+COUNTIF($E124:Z124,1)-1,INDEX(Roadmap!$D:$K,MATCH($E124,Roadmap!$D:$D,0)-1+COUNTIF($E124:Z124,"u")+COUNTIF($E124:Z124,"t")+COUNTIF($E124:Z124,"¶")+COUNTIF($E124:Z124,"²")+COUNTIF($E124:Z124,"µ")+COUNTIF($E124:Z124,1),ColDescriptionCourte)),""),
  "")),"")</f>
        <v/>
      </c>
      <c r="AB124" s="40" t="str">
        <f ca="1">IFERROR(IF(AND(
  INDEX(Roadmap!$D:$K,MATCH($E124,Roadmap!$D:$D,0)+COUNTIF($E124:AA124,"u")+COUNTIF($E124:AA124,"t")+COUNTIF($E124:AA124,"¶")+COUNTIF($E124:AA124,"²")+COUNTIF($E124:AA124,"µ")+COUNTIF($E124:AA124,1),ColLivraison)=AB$6,
  VLOOKUP($E124,INDIRECT("tri!"&amp; CHAR(64+ C0Col) &amp;":"&amp; CHAR(65+C0Col)),2,FALSE)&gt;COUNTIF($E124:AA124,"u")+COUNTIF($E124:AA124,"t")+COUNTIF($E124:AA124,"¶")+COUNTIF($E124:AA124,"²")+COUNTIF($E124:AA124,"µ")+COUNTIF($E124:AA124,1)),
HYPERLINK("#Roadmap!C"&amp; MATCH($E124,Roadmap!$D:$D,0)+COUNTIF($E124:AA124,"u")+COUNTIF($E124:AA124,"t"),
     INDEX(Roadmap!$D:$K,MATCH($E124,Roadmap!$D:$D,0)+COUNTIF($E124:AA124,"u")+COUNTIF($E124:AA124,"t")+COUNTIF($E124:AA124,"¶")+COUNTIF($E124:AA124,"²")+COUNTIF($E124:AA124,"µ")+COUNTIF($E124:AA124,1),ColTypeEcheance)),
  IF(LEN(AA124)=1,
  IF(LEN(INDEX(Roadmap!$D:$K,MATCH($E124,Roadmap!$D:$D,0)-1+COUNTIF($E124:AA124,"u")+COUNTIF($E124:AA124,"t")+COUNTIF($E124:AA124,"¶")+COUNTIF($E124:AA124,"²")+COUNTIF($E124:AA124,"µ")+COUNTIF($E124:AA124,1),ColDescriptionCourte))&gt;1,
HYPERLINK("#Roadmap!C"&amp; MATCH($E124,Roadmap!$D:$D,0)+COUNTIF($E124:AA124,"u")+COUNTIF($E124:AA124,"t")+COUNTIF($E124:AA124,"¶")+COUNTIF($E124:AA124,"²")+COUNTIF($E124:AA124,"µ")+COUNTIF($E124:AA124,1)-1,INDEX(Roadmap!$D:$K,MATCH($E124,Roadmap!$D:$D,0)-1+COUNTIF($E124:AA124,"u")+COUNTIF($E124:AA124,"t")+COUNTIF($E124:AA124,"¶")+COUNTIF($E124:AA124,"²")+COUNTIF($E124:AA124,"µ")+COUNTIF($E124:AA124,1),ColDescriptionCourte)),""),
  "")),"")</f>
        <v/>
      </c>
      <c r="AC124" s="40" t="str">
        <f ca="1">IFERROR(IF(AND(
  INDEX(Roadmap!$D:$K,MATCH($E124,Roadmap!$D:$D,0)+COUNTIF($E124:AB124,"u")+COUNTIF($E124:AB124,"t")+COUNTIF($E124:AB124,"¶")+COUNTIF($E124:AB124,"²")+COUNTIF($E124:AB124,"µ")+COUNTIF($E124:AB124,1),ColLivraison)=AC$6,
  VLOOKUP($E124,INDIRECT("tri!"&amp; CHAR(64+ C0Col) &amp;":"&amp; CHAR(65+C0Col)),2,FALSE)&gt;COUNTIF($E124:AB124,"u")+COUNTIF($E124:AB124,"t")+COUNTIF($E124:AB124,"¶")+COUNTIF($E124:AB124,"²")+COUNTIF($E124:AB124,"µ")+COUNTIF($E124:AB124,1)),
HYPERLINK("#Roadmap!C"&amp; MATCH($E124,Roadmap!$D:$D,0)+COUNTIF($E124:AB124,"u")+COUNTIF($E124:AB124,"t"),
     INDEX(Roadmap!$D:$K,MATCH($E124,Roadmap!$D:$D,0)+COUNTIF($E124:AB124,"u")+COUNTIF($E124:AB124,"t")+COUNTIF($E124:AB124,"¶")+COUNTIF($E124:AB124,"²")+COUNTIF($E124:AB124,"µ")+COUNTIF($E124:AB124,1),ColTypeEcheance)),
  IF(LEN(AB124)=1,
  IF(LEN(INDEX(Roadmap!$D:$K,MATCH($E124,Roadmap!$D:$D,0)-1+COUNTIF($E124:AB124,"u")+COUNTIF($E124:AB124,"t")+COUNTIF($E124:AB124,"¶")+COUNTIF($E124:AB124,"²")+COUNTIF($E124:AB124,"µ")+COUNTIF($E124:AB124,1),ColDescriptionCourte))&gt;1,
HYPERLINK("#Roadmap!C"&amp; MATCH($E124,Roadmap!$D:$D,0)+COUNTIF($E124:AB124,"u")+COUNTIF($E124:AB124,"t")+COUNTIF($E124:AB124,"¶")+COUNTIF($E124:AB124,"²")+COUNTIF($E124:AB124,"µ")+COUNTIF($E124:AB124,1)-1,INDEX(Roadmap!$D:$K,MATCH($E124,Roadmap!$D:$D,0)-1+COUNTIF($E124:AB124,"u")+COUNTIF($E124:AB124,"t")+COUNTIF($E124:AB124,"¶")+COUNTIF($E124:AB124,"²")+COUNTIF($E124:AB124,"µ")+COUNTIF($E124:AB124,1),ColDescriptionCourte)),""),
  "")),"")</f>
        <v/>
      </c>
      <c r="AD124" s="40" t="str">
        <f ca="1">IFERROR(IF(AND(
  INDEX(Roadmap!$D:$K,MATCH($E124,Roadmap!$D:$D,0)+COUNTIF($E124:AC124,"u")+COUNTIF($E124:AC124,"t")+COUNTIF($E124:AC124,"¶")+COUNTIF($E124:AC124,"²")+COUNTIF($E124:AC124,"µ")+COUNTIF($E124:AC124,1),ColLivraison)=AD$6,
  VLOOKUP($E124,INDIRECT("tri!"&amp; CHAR(64+ C0Col) &amp;":"&amp; CHAR(65+C0Col)),2,FALSE)&gt;COUNTIF($E124:AC124,"u")+COUNTIF($E124:AC124,"t")+COUNTIF($E124:AC124,"¶")+COUNTIF($E124:AC124,"²")+COUNTIF($E124:AC124,"µ")+COUNTIF($E124:AC124,1)),
HYPERLINK("#Roadmap!C"&amp; MATCH($E124,Roadmap!$D:$D,0)+COUNTIF($E124:AC124,"u")+COUNTIF($E124:AC124,"t"),
     INDEX(Roadmap!$D:$K,MATCH($E124,Roadmap!$D:$D,0)+COUNTIF($E124:AC124,"u")+COUNTIF($E124:AC124,"t")+COUNTIF($E124:AC124,"¶")+COUNTIF($E124:AC124,"²")+COUNTIF($E124:AC124,"µ")+COUNTIF($E124:AC124,1),ColTypeEcheance)),
  IF(LEN(AC124)=1,
  IF(LEN(INDEX(Roadmap!$D:$K,MATCH($E124,Roadmap!$D:$D,0)-1+COUNTIF($E124:AC124,"u")+COUNTIF($E124:AC124,"t")+COUNTIF($E124:AC124,"¶")+COUNTIF($E124:AC124,"²")+COUNTIF($E124:AC124,"µ")+COUNTIF($E124:AC124,1),ColDescriptionCourte))&gt;1,
HYPERLINK("#Roadmap!C"&amp; MATCH($E124,Roadmap!$D:$D,0)+COUNTIF($E124:AC124,"u")+COUNTIF($E124:AC124,"t")+COUNTIF($E124:AC124,"¶")+COUNTIF($E124:AC124,"²")+COUNTIF($E124:AC124,"µ")+COUNTIF($E124:AC124,1)-1,INDEX(Roadmap!$D:$K,MATCH($E124,Roadmap!$D:$D,0)-1+COUNTIF($E124:AC124,"u")+COUNTIF($E124:AC124,"t")+COUNTIF($E124:AC124,"¶")+COUNTIF($E124:AC124,"²")+COUNTIF($E124:AC124,"µ")+COUNTIF($E124:AC124,1),ColDescriptionCourte)),""),
  "")),"")</f>
        <v/>
      </c>
      <c r="AE124" s="40" t="str">
        <f ca="1">IFERROR(IF(AND(
  INDEX(Roadmap!$D:$K,MATCH($E124,Roadmap!$D:$D,0)+COUNTIF($E124:AD124,"u")+COUNTIF($E124:AD124,"t")+COUNTIF($E124:AD124,"¶")+COUNTIF($E124:AD124,"²")+COUNTIF($E124:AD124,"µ")+COUNTIF($E124:AD124,1),ColLivraison)=AE$6,
  VLOOKUP($E124,INDIRECT("tri!"&amp; CHAR(64+ C0Col) &amp;":"&amp; CHAR(65+C0Col)),2,FALSE)&gt;COUNTIF($E124:AD124,"u")+COUNTIF($E124:AD124,"t")+COUNTIF($E124:AD124,"¶")+COUNTIF($E124:AD124,"²")+COUNTIF($E124:AD124,"µ")+COUNTIF($E124:AD124,1)),
HYPERLINK("#Roadmap!C"&amp; MATCH($E124,Roadmap!$D:$D,0)+COUNTIF($E124:AD124,"u")+COUNTIF($E124:AD124,"t"),
     INDEX(Roadmap!$D:$K,MATCH($E124,Roadmap!$D:$D,0)+COUNTIF($E124:AD124,"u")+COUNTIF($E124:AD124,"t")+COUNTIF($E124:AD124,"¶")+COUNTIF($E124:AD124,"²")+COUNTIF($E124:AD124,"µ")+COUNTIF($E124:AD124,1),ColTypeEcheance)),
  IF(LEN(AD124)=1,
  IF(LEN(INDEX(Roadmap!$D:$K,MATCH($E124,Roadmap!$D:$D,0)-1+COUNTIF($E124:AD124,"u")+COUNTIF($E124:AD124,"t")+COUNTIF($E124:AD124,"¶")+COUNTIF($E124:AD124,"²")+COUNTIF($E124:AD124,"µ")+COUNTIF($E124:AD124,1),ColDescriptionCourte))&gt;1,
HYPERLINK("#Roadmap!C"&amp; MATCH($E124,Roadmap!$D:$D,0)+COUNTIF($E124:AD124,"u")+COUNTIF($E124:AD124,"t")+COUNTIF($E124:AD124,"¶")+COUNTIF($E124:AD124,"²")+COUNTIF($E124:AD124,"µ")+COUNTIF($E124:AD124,1)-1,INDEX(Roadmap!$D:$K,MATCH($E124,Roadmap!$D:$D,0)-1+COUNTIF($E124:AD124,"u")+COUNTIF($E124:AD124,"t")+COUNTIF($E124:AD124,"¶")+COUNTIF($E124:AD124,"²")+COUNTIF($E124:AD124,"µ")+COUNTIF($E124:AD124,1),ColDescriptionCourte)),""),
  "")),"")</f>
        <v/>
      </c>
      <c r="AF124" s="40" t="str">
        <f ca="1">IFERROR(IF(AND(
  INDEX(Roadmap!$D:$K,MATCH($E124,Roadmap!$D:$D,0)+COUNTIF($E124:AE124,"u")+COUNTIF($E124:AE124,"t")+COUNTIF($E124:AE124,"¶")+COUNTIF($E124:AE124,"²")+COUNTIF($E124:AE124,"µ")+COUNTIF($E124:AE124,1),ColLivraison)=AF$6,
  VLOOKUP($E124,INDIRECT("tri!"&amp; CHAR(64+ C0Col) &amp;":"&amp; CHAR(65+C0Col)),2,FALSE)&gt;COUNTIF($E124:AE124,"u")+COUNTIF($E124:AE124,"t")+COUNTIF($E124:AE124,"¶")+COUNTIF($E124:AE124,"²")+COUNTIF($E124:AE124,"µ")+COUNTIF($E124:AE124,1)),
HYPERLINK("#Roadmap!C"&amp; MATCH($E124,Roadmap!$D:$D,0)+COUNTIF($E124:AE124,"u")+COUNTIF($E124:AE124,"t"),
     INDEX(Roadmap!$D:$K,MATCH($E124,Roadmap!$D:$D,0)+COUNTIF($E124:AE124,"u")+COUNTIF($E124:AE124,"t")+COUNTIF($E124:AE124,"¶")+COUNTIF($E124:AE124,"²")+COUNTIF($E124:AE124,"µ")+COUNTIF($E124:AE124,1),ColTypeEcheance)),
  IF(LEN(AE124)=1,
  IF(LEN(INDEX(Roadmap!$D:$K,MATCH($E124,Roadmap!$D:$D,0)-1+COUNTIF($E124:AE124,"u")+COUNTIF($E124:AE124,"t")+COUNTIF($E124:AE124,"¶")+COUNTIF($E124:AE124,"²")+COUNTIF($E124:AE124,"µ")+COUNTIF($E124:AE124,1),ColDescriptionCourte))&gt;1,
HYPERLINK("#Roadmap!C"&amp; MATCH($E124,Roadmap!$D:$D,0)+COUNTIF($E124:AE124,"u")+COUNTIF($E124:AE124,"t")+COUNTIF($E124:AE124,"¶")+COUNTIF($E124:AE124,"²")+COUNTIF($E124:AE124,"µ")+COUNTIF($E124:AE124,1)-1,INDEX(Roadmap!$D:$K,MATCH($E124,Roadmap!$D:$D,0)-1+COUNTIF($E124:AE124,"u")+COUNTIF($E124:AE124,"t")+COUNTIF($E124:AE124,"¶")+COUNTIF($E124:AE124,"²")+COUNTIF($E124:AE124,"µ")+COUNTIF($E124:AE124,1),ColDescriptionCourte)),""),
  "")),"")</f>
        <v/>
      </c>
      <c r="AG124" s="40" t="str">
        <f ca="1">IFERROR(IF(AND(
  INDEX(Roadmap!$D:$K,MATCH($E124,Roadmap!$D:$D,0)+COUNTIF($E124:AF124,"u")+COUNTIF($E124:AF124,"t")+COUNTIF($E124:AF124,"¶")+COUNTIF($E124:AF124,"²")+COUNTIF($E124:AF124,"µ")+COUNTIF($E124:AF124,1),ColLivraison)=AG$6,
  VLOOKUP($E124,INDIRECT("tri!"&amp; CHAR(64+ C0Col) &amp;":"&amp; CHAR(65+C0Col)),2,FALSE)&gt;COUNTIF($E124:AF124,"u")+COUNTIF($E124:AF124,"t")+COUNTIF($E124:AF124,"¶")+COUNTIF($E124:AF124,"²")+COUNTIF($E124:AF124,"µ")+COUNTIF($E124:AF124,1)),
HYPERLINK("#Roadmap!C"&amp; MATCH($E124,Roadmap!$D:$D,0)+COUNTIF($E124:AF124,"u")+COUNTIF($E124:AF124,"t"),
     INDEX(Roadmap!$D:$K,MATCH($E124,Roadmap!$D:$D,0)+COUNTIF($E124:AF124,"u")+COUNTIF($E124:AF124,"t")+COUNTIF($E124:AF124,"¶")+COUNTIF($E124:AF124,"²")+COUNTIF($E124:AF124,"µ")+COUNTIF($E124:AF124,1),ColTypeEcheance)),
  IF(LEN(AF124)=1,
  IF(LEN(INDEX(Roadmap!$D:$K,MATCH($E124,Roadmap!$D:$D,0)-1+COUNTIF($E124:AF124,"u")+COUNTIF($E124:AF124,"t")+COUNTIF($E124:AF124,"¶")+COUNTIF($E124:AF124,"²")+COUNTIF($E124:AF124,"µ")+COUNTIF($E124:AF124,1),ColDescriptionCourte))&gt;1,
HYPERLINK("#Roadmap!C"&amp; MATCH($E124,Roadmap!$D:$D,0)+COUNTIF($E124:AF124,"u")+COUNTIF($E124:AF124,"t")+COUNTIF($E124:AF124,"¶")+COUNTIF($E124:AF124,"²")+COUNTIF($E124:AF124,"µ")+COUNTIF($E124:AF124,1)-1,INDEX(Roadmap!$D:$K,MATCH($E124,Roadmap!$D:$D,0)-1+COUNTIF($E124:AF124,"u")+COUNTIF($E124:AF124,"t")+COUNTIF($E124:AF124,"¶")+COUNTIF($E124:AF124,"²")+COUNTIF($E124:AF124,"µ")+COUNTIF($E124:AF124,1),ColDescriptionCourte)),""),
  "")),"")</f>
        <v/>
      </c>
      <c r="AH124" s="40" t="str">
        <f ca="1">IFERROR(IF(AND(
  INDEX(Roadmap!$D:$K,MATCH($E124,Roadmap!$D:$D,0)+COUNTIF($E124:AG124,"u")+COUNTIF($E124:AG124,"t")+COUNTIF($E124:AG124,1),ColLivraison)=AH$6,
  VLOOKUP($E124,INDIRECT("tri!"&amp; CHAR(64+ C0Col) &amp;":"&amp; CHAR(65+C0Col)),2,FALSE)&gt;COUNTIF($E124:AG124,"u")+COUNTIF($E124:AG124,"t")+COUNTIF($E124:AG124,1)),
HYPERLINK("#Roadmap!C"&amp; MATCH($E124,Roadmap!$D:$D,0)+COUNTIF($E124:AG124,"u")+COUNTIF($E124:AG124,"t"),
     INDEX(Roadmap!$D:$K,MATCH($E124,Roadmap!$D:$D,0)+COUNTIF($E124:AG124,"u")+COUNTIF($E124:AG124,"t")+COUNTIF($E124:AG124,1),ColTypeEcheance)),
  IF(OR(AG124="u",AG124="t",AG124=1),
  IF(LEN(INDEX(Roadmap!$D:$K,MATCH($E124,Roadmap!$D:$D,0)-1+COUNTIF($E124:AG124,"u")+COUNTIF($E124:AG124,"t")+COUNTIF($E124:AG124,1),ColDescriptionCourte))&gt;1,
HYPERLINK("#Roadmap!C"&amp; MATCH($E124,Roadmap!$D:$D,0)+COUNTIF($E124:AG124,"u")+COUNTIF($E124:AG124,"t")+COUNTIF($E124:AG124,1)-1,INDEX(Roadmap!$D:$K,MATCH($E124,Roadmap!$D:$D,0)-1+COUNTIF($E124:AG124,"u")+COUNTIF($E124:AG124,"t")+COUNTIF($E124:AG124,1),ColDescriptionCourte)),""),
  "")),"")</f>
        <v/>
      </c>
      <c r="AI124" s="40"/>
      <c r="AJ124" s="40"/>
      <c r="AK124" s="40"/>
      <c r="AL124" s="40"/>
      <c r="AM124" s="40"/>
    </row>
    <row r="125" spans="4:39" ht="14.1" customHeight="1">
      <c r="D125" s="20" t="str">
        <f t="shared" ca="1" si="29"/>
        <v/>
      </c>
      <c r="E125" s="53" t="str">
        <f t="shared" ca="1" si="30"/>
        <v/>
      </c>
      <c r="F125" s="39" t="str">
        <f ca="1">IFERROR(IF(AND(
  INDEX(Roadmap!$D:$K,MATCH($E125,Roadmap!$D:$D,0)+COUNTIF($E125:E125,"u")+COUNTIF($E125:E125,"t")+COUNTIF($E125:E125,"¶")+COUNTIF($E125:E125,"²")+COUNTIF($E125:E125,"µ")+COUNTIF($E125:E125,1),ColLivraison)=F$6,
  VLOOKUP($E125,INDIRECT("tri!"&amp; CHAR(64+ C0Col) &amp;":"&amp; CHAR(65+C0Col)),2,FALSE)&gt;COUNTIF($E125:E125,"u")+COUNTIF($E125:E125,"t")+COUNTIF($E125:E125,"¶")+COUNTIF($E125:E125,"²")+COUNTIF($E125:E125,"µ")+COUNTIF($E125:E125,1)),
HYPERLINK("#Roadmap!C"&amp; MATCH($E125,Roadmap!$D:$D,0)+COUNTIF($E125:E125,"u")+COUNTIF($E125:E125,"t"),
     INDEX(Roadmap!$D:$K,MATCH($E125,Roadmap!$D:$D,0)+COUNTIF($E125:E125,"u")+COUNTIF($E125:E125,"t")+COUNTIF($E125:E125,"¶")+COUNTIF($E125:E125,"²")+COUNTIF($E125:E125,"µ")+COUNTIF($E125:E125,1),ColTypeEcheance)),
  IF(LEN(E125)=1,
  IF(LEN(INDEX(Roadmap!$D:$K,MATCH($E125,Roadmap!$D:$D,0)-1+COUNTIF($E125:E125,"u")+COUNTIF($E125:E125,"t")+COUNTIF($E125:E125,"¶")+COUNTIF($E125:E125,"²")+COUNTIF($E125:E125,"µ")+COUNTIF($E125:E125,1),ColDescriptionCourte))&gt;1,
HYPERLINK("#Roadmap!C"&amp; MATCH($E125,Roadmap!$D:$D,0)+COUNTIF($E125:E125,"u")+COUNTIF($E125:E125,"t")+COUNTIF($E125:E125,"¶")+COUNTIF($E125:E125,"²")+COUNTIF($E125:E125,"µ")+COUNTIF($E125:E125,1)-1,INDEX(Roadmap!$D:$K,MATCH($E125,Roadmap!$D:$D,0)-1+COUNTIF($E125:E125,"u")+COUNTIF($E125:E125,"t")+COUNTIF($E125:E125,"¶")+COUNTIF($E125:E125,"²")+COUNTIF($E125:E125,"µ")+COUNTIF($E125:E125,1),ColDescriptionCourte)),""),
  "")),"")</f>
        <v/>
      </c>
      <c r="G125" s="40" t="str">
        <f ca="1">IFERROR(IF(AND(
  INDEX(Roadmap!$D:$K,MATCH($E125,Roadmap!$D:$D,0)+COUNTIF($E125:F125,"u")+COUNTIF($E125:F125,"t")+COUNTIF($E125:F125,"¶")+COUNTIF($E125:F125,"²")+COUNTIF($E125:F125,"µ")+COUNTIF($E125:F125,1),ColLivraison)=G$6,
  VLOOKUP($E125,INDIRECT("tri!"&amp; CHAR(64+ C0Col) &amp;":"&amp; CHAR(65+C0Col)),2,FALSE)&gt;COUNTIF($E125:F125,"u")+COUNTIF($E125:F125,"t")+COUNTIF($E125:F125,"¶")+COUNTIF($E125:F125,"²")+COUNTIF($E125:F125,"µ")+COUNTIF($E125:F125,1)),
HYPERLINK("#Roadmap!C"&amp; MATCH($E125,Roadmap!$D:$D,0)+COUNTIF($E125:F125,"u")+COUNTIF($E125:F125,"t"),
     INDEX(Roadmap!$D:$K,MATCH($E125,Roadmap!$D:$D,0)+COUNTIF($E125:F125,"u")+COUNTIF($E125:F125,"t")+COUNTIF($E125:F125,"¶")+COUNTIF($E125:F125,"²")+COUNTIF($E125:F125,"µ")+COUNTIF($E125:F125,1),ColTypeEcheance)),
  IF(LEN(F125)=1,
  IF(LEN(INDEX(Roadmap!$D:$K,MATCH($E125,Roadmap!$D:$D,0)-1+COUNTIF($E125:F125,"u")+COUNTIF($E125:F125,"t")+COUNTIF($E125:F125,"¶")+COUNTIF($E125:F125,"²")+COUNTIF($E125:F125,"µ")+COUNTIF($E125:F125,1),ColDescriptionCourte))&gt;1,
HYPERLINK("#Roadmap!C"&amp; MATCH($E125,Roadmap!$D:$D,0)+COUNTIF($E125:F125,"u")+COUNTIF($E125:F125,"t")+COUNTIF($E125:F125,"¶")+COUNTIF($E125:F125,"²")+COUNTIF($E125:F125,"µ")+COUNTIF($E125:F125,1)-1,INDEX(Roadmap!$D:$K,MATCH($E125,Roadmap!$D:$D,0)-1+COUNTIF($E125:F125,"u")+COUNTIF($E125:F125,"t")+COUNTIF($E125:F125,"¶")+COUNTIF($E125:F125,"²")+COUNTIF($E125:F125,"µ")+COUNTIF($E125:F125,1),ColDescriptionCourte)),""),
  "")),"")</f>
        <v/>
      </c>
      <c r="H125" s="40" t="str">
        <f ca="1">IFERROR(IF(AND(
  INDEX(Roadmap!$D:$K,MATCH($E125,Roadmap!$D:$D,0)+COUNTIF($E125:G125,"u")+COUNTIF($E125:G125,"t")+COUNTIF($E125:G125,"¶")+COUNTIF($E125:G125,"²")+COUNTIF($E125:G125,"µ")+COUNTIF($E125:G125,1),ColLivraison)=H$6,
  VLOOKUP($E125,INDIRECT("tri!"&amp; CHAR(64+ C0Col) &amp;":"&amp; CHAR(65+C0Col)),2,FALSE)&gt;COUNTIF($E125:G125,"u")+COUNTIF($E125:G125,"t")+COUNTIF($E125:G125,"¶")+COUNTIF($E125:G125,"²")+COUNTIF($E125:G125,"µ")+COUNTIF($E125:G125,1)),
HYPERLINK("#Roadmap!C"&amp; MATCH($E125,Roadmap!$D:$D,0)+COUNTIF($E125:G125,"u")+COUNTIF($E125:G125,"t"),
     INDEX(Roadmap!$D:$K,MATCH($E125,Roadmap!$D:$D,0)+COUNTIF($E125:G125,"u")+COUNTIF($E125:G125,"t")+COUNTIF($E125:G125,"¶")+COUNTIF($E125:G125,"²")+COUNTIF($E125:G125,"µ")+COUNTIF($E125:G125,1),ColTypeEcheance)),
  IF(LEN(G125)=1,
  IF(LEN(INDEX(Roadmap!$D:$K,MATCH($E125,Roadmap!$D:$D,0)-1+COUNTIF($E125:G125,"u")+COUNTIF($E125:G125,"t")+COUNTIF($E125:G125,"¶")+COUNTIF($E125:G125,"²")+COUNTIF($E125:G125,"µ")+COUNTIF($E125:G125,1),ColDescriptionCourte))&gt;1,
HYPERLINK("#Roadmap!C"&amp; MATCH($E125,Roadmap!$D:$D,0)+COUNTIF($E125:G125,"u")+COUNTIF($E125:G125,"t")+COUNTIF($E125:G125,"¶")+COUNTIF($E125:G125,"²")+COUNTIF($E125:G125,"µ")+COUNTIF($E125:G125,1)-1,INDEX(Roadmap!$D:$K,MATCH($E125,Roadmap!$D:$D,0)-1+COUNTIF($E125:G125,"u")+COUNTIF($E125:G125,"t")+COUNTIF($E125:G125,"¶")+COUNTIF($E125:G125,"²")+COUNTIF($E125:G125,"µ")+COUNTIF($E125:G125,1),ColDescriptionCourte)),""),
  "")),"")</f>
        <v/>
      </c>
      <c r="I125" s="40" t="str">
        <f ca="1">IFERROR(IF(AND(
  INDEX(Roadmap!$D:$K,MATCH($E125,Roadmap!$D:$D,0)+COUNTIF($E125:H125,"u")+COUNTIF($E125:H125,"t")+COUNTIF($E125:H125,"¶")+COUNTIF($E125:H125,"²")+COUNTIF($E125:H125,"µ")+COUNTIF($E125:H125,1),ColLivraison)=I$6,
  VLOOKUP($E125,INDIRECT("tri!"&amp; CHAR(64+ C0Col) &amp;":"&amp; CHAR(65+C0Col)),2,FALSE)&gt;COUNTIF($E125:H125,"u")+COUNTIF($E125:H125,"t")+COUNTIF($E125:H125,"¶")+COUNTIF($E125:H125,"²")+COUNTIF($E125:H125,"µ")+COUNTIF($E125:H125,1)),
HYPERLINK("#Roadmap!C"&amp; MATCH($E125,Roadmap!$D:$D,0)+COUNTIF($E125:H125,"u")+COUNTIF($E125:H125,"t"),
     INDEX(Roadmap!$D:$K,MATCH($E125,Roadmap!$D:$D,0)+COUNTIF($E125:H125,"u")+COUNTIF($E125:H125,"t")+COUNTIF($E125:H125,"¶")+COUNTIF($E125:H125,"²")+COUNTIF($E125:H125,"µ")+COUNTIF($E125:H125,1),ColTypeEcheance)),
  IF(LEN(H125)=1,
  IF(LEN(INDEX(Roadmap!$D:$K,MATCH($E125,Roadmap!$D:$D,0)-1+COUNTIF($E125:H125,"u")+COUNTIF($E125:H125,"t")+COUNTIF($E125:H125,"¶")+COUNTIF($E125:H125,"²")+COUNTIF($E125:H125,"µ")+COUNTIF($E125:H125,1),ColDescriptionCourte))&gt;1,
HYPERLINK("#Roadmap!C"&amp; MATCH($E125,Roadmap!$D:$D,0)+COUNTIF($E125:H125,"u")+COUNTIF($E125:H125,"t")+COUNTIF($E125:H125,"¶")+COUNTIF($E125:H125,"²")+COUNTIF($E125:H125,"µ")+COUNTIF($E125:H125,1)-1,INDEX(Roadmap!$D:$K,MATCH($E125,Roadmap!$D:$D,0)-1+COUNTIF($E125:H125,"u")+COUNTIF($E125:H125,"t")+COUNTIF($E125:H125,"¶")+COUNTIF($E125:H125,"²")+COUNTIF($E125:H125,"µ")+COUNTIF($E125:H125,1),ColDescriptionCourte)),""),
  "")),"")</f>
        <v/>
      </c>
      <c r="J125" s="40" t="str">
        <f ca="1">IFERROR(IF(AND(
  INDEX(Roadmap!$D:$K,MATCH($E125,Roadmap!$D:$D,0)+COUNTIF($E125:I125,"u")+COUNTIF($E125:I125,"t")+COUNTIF($E125:I125,"¶")+COUNTIF($E125:I125,"²")+COUNTIF($E125:I125,"µ")+COUNTIF($E125:I125,1),ColLivraison)=J$6,
  VLOOKUP($E125,INDIRECT("tri!"&amp; CHAR(64+ C0Col) &amp;":"&amp; CHAR(65+C0Col)),2,FALSE)&gt;COUNTIF($E125:I125,"u")+COUNTIF($E125:I125,"t")+COUNTIF($E125:I125,"¶")+COUNTIF($E125:I125,"²")+COUNTIF($E125:I125,"µ")+COUNTIF($E125:I125,1)),
HYPERLINK("#Roadmap!C"&amp; MATCH($E125,Roadmap!$D:$D,0)+COUNTIF($E125:I125,"u")+COUNTIF($E125:I125,"t"),
     INDEX(Roadmap!$D:$K,MATCH($E125,Roadmap!$D:$D,0)+COUNTIF($E125:I125,"u")+COUNTIF($E125:I125,"t")+COUNTIF($E125:I125,"¶")+COUNTIF($E125:I125,"²")+COUNTIF($E125:I125,"µ")+COUNTIF($E125:I125,1),ColTypeEcheance)),
  IF(LEN(I125)=1,
  IF(LEN(INDEX(Roadmap!$D:$K,MATCH($E125,Roadmap!$D:$D,0)-1+COUNTIF($E125:I125,"u")+COUNTIF($E125:I125,"t")+COUNTIF($E125:I125,"¶")+COUNTIF($E125:I125,"²")+COUNTIF($E125:I125,"µ")+COUNTIF($E125:I125,1),ColDescriptionCourte))&gt;1,
HYPERLINK("#Roadmap!C"&amp; MATCH($E125,Roadmap!$D:$D,0)+COUNTIF($E125:I125,"u")+COUNTIF($E125:I125,"t")+COUNTIF($E125:I125,"¶")+COUNTIF($E125:I125,"²")+COUNTIF($E125:I125,"µ")+COUNTIF($E125:I125,1)-1,INDEX(Roadmap!$D:$K,MATCH($E125,Roadmap!$D:$D,0)-1+COUNTIF($E125:I125,"u")+COUNTIF($E125:I125,"t")+COUNTIF($E125:I125,"¶")+COUNTIF($E125:I125,"²")+COUNTIF($E125:I125,"µ")+COUNTIF($E125:I125,1),ColDescriptionCourte)),""),
  "")),"")</f>
        <v/>
      </c>
      <c r="K125" s="40" t="str">
        <f ca="1">IFERROR(IF(AND(
  INDEX(Roadmap!$D:$K,MATCH($E125,Roadmap!$D:$D,0)+COUNTIF($E125:J125,"u")+COUNTIF($E125:J125,"t")+COUNTIF($E125:J125,"¶")+COUNTIF($E125:J125,"²")+COUNTIF($E125:J125,"µ")+COUNTIF($E125:J125,1),ColLivraison)=K$6,
  VLOOKUP($E125,INDIRECT("tri!"&amp; CHAR(64+ C0Col) &amp;":"&amp; CHAR(65+C0Col)),2,FALSE)&gt;COUNTIF($E125:J125,"u")+COUNTIF($E125:J125,"t")+COUNTIF($E125:J125,"¶")+COUNTIF($E125:J125,"²")+COUNTIF($E125:J125,"µ")+COUNTIF($E125:J125,1)),
HYPERLINK("#Roadmap!C"&amp; MATCH($E125,Roadmap!$D:$D,0)+COUNTIF($E125:J125,"u")+COUNTIF($E125:J125,"t"),
     INDEX(Roadmap!$D:$K,MATCH($E125,Roadmap!$D:$D,0)+COUNTIF($E125:J125,"u")+COUNTIF($E125:J125,"t")+COUNTIF($E125:J125,"¶")+COUNTIF($E125:J125,"²")+COUNTIF($E125:J125,"µ")+COUNTIF($E125:J125,1),ColTypeEcheance)),
  IF(LEN(J125)=1,
  IF(LEN(INDEX(Roadmap!$D:$K,MATCH($E125,Roadmap!$D:$D,0)-1+COUNTIF($E125:J125,"u")+COUNTIF($E125:J125,"t")+COUNTIF($E125:J125,"¶")+COUNTIF($E125:J125,"²")+COUNTIF($E125:J125,"µ")+COUNTIF($E125:J125,1),ColDescriptionCourte))&gt;1,
HYPERLINK("#Roadmap!C"&amp; MATCH($E125,Roadmap!$D:$D,0)+COUNTIF($E125:J125,"u")+COUNTIF($E125:J125,"t")+COUNTIF($E125:J125,"¶")+COUNTIF($E125:J125,"²")+COUNTIF($E125:J125,"µ")+COUNTIF($E125:J125,1)-1,INDEX(Roadmap!$D:$K,MATCH($E125,Roadmap!$D:$D,0)-1+COUNTIF($E125:J125,"u")+COUNTIF($E125:J125,"t")+COUNTIF($E125:J125,"¶")+COUNTIF($E125:J125,"²")+COUNTIF($E125:J125,"µ")+COUNTIF($E125:J125,1),ColDescriptionCourte)),""),
  "")),"")</f>
        <v/>
      </c>
      <c r="L125" s="39" t="str">
        <f ca="1">IFERROR(IF(AND(
  INDEX(Roadmap!$D:$K,MATCH($E125,Roadmap!$D:$D,0)+COUNTIF($E125:K125,"u")+COUNTIF($E125:K125,"t")+COUNTIF($E125:K125,"¶")+COUNTIF($E125:K125,"²")+COUNTIF($E125:K125,"µ")+COUNTIF($E125:K125,1),ColLivraison)=L$6,
  VLOOKUP($E125,INDIRECT("tri!"&amp; CHAR(64+ C0Col) &amp;":"&amp; CHAR(65+C0Col)),2,FALSE)&gt;COUNTIF($E125:K125,"u")+COUNTIF($E125:K125,"t")+COUNTIF($E125:K125,"¶")+COUNTIF($E125:K125,"²")+COUNTIF($E125:K125,"µ")+COUNTIF($E125:K125,1)),
HYPERLINK("#Roadmap!C"&amp; MATCH($E125,Roadmap!$D:$D,0)+COUNTIF($E125:K125,"u")+COUNTIF($E125:K125,"t"),
     INDEX(Roadmap!$D:$K,MATCH($E125,Roadmap!$D:$D,0)+COUNTIF($E125:K125,"u")+COUNTIF($E125:K125,"t")+COUNTIF($E125:K125,"¶")+COUNTIF($E125:K125,"²")+COUNTIF($E125:K125,"µ")+COUNTIF($E125:K125,1),ColTypeEcheance)),
  IF(LEN(K125)=1,
  IF(LEN(INDEX(Roadmap!$D:$K,MATCH($E125,Roadmap!$D:$D,0)-1+COUNTIF($E125:K125,"u")+COUNTIF($E125:K125,"t")+COUNTIF($E125:K125,"¶")+COUNTIF($E125:K125,"²")+COUNTIF($E125:K125,"µ")+COUNTIF($E125:K125,1),ColDescriptionCourte))&gt;1,
HYPERLINK("#Roadmap!C"&amp; MATCH($E125,Roadmap!$D:$D,0)+COUNTIF($E125:K125,"u")+COUNTIF($E125:K125,"t")+COUNTIF($E125:K125,"¶")+COUNTIF($E125:K125,"²")+COUNTIF($E125:K125,"µ")+COUNTIF($E125:K125,1)-1,INDEX(Roadmap!$D:$K,MATCH($E125,Roadmap!$D:$D,0)-1+COUNTIF($E125:K125,"u")+COUNTIF($E125:K125,"t")+COUNTIF($E125:K125,"¶")+COUNTIF($E125:K125,"²")+COUNTIF($E125:K125,"µ")+COUNTIF($E125:K125,1),ColDescriptionCourte)),""),
  "")),"")</f>
        <v/>
      </c>
      <c r="M125" s="40" t="str">
        <f ca="1">IFERROR(IF(AND(
  INDEX(Roadmap!$D:$K,MATCH($E125,Roadmap!$D:$D,0)+COUNTIF($E125:L125,"u")+COUNTIF($E125:L125,"t")+COUNTIF($E125:L125,"¶")+COUNTIF($E125:L125,"²")+COUNTIF($E125:L125,"µ")+COUNTIF($E125:L125,1),ColLivraison)=M$6,
  VLOOKUP($E125,INDIRECT("tri!"&amp; CHAR(64+ C0Col) &amp;":"&amp; CHAR(65+C0Col)),2,FALSE)&gt;COUNTIF($E125:L125,"u")+COUNTIF($E125:L125,"t")+COUNTIF($E125:L125,"¶")+COUNTIF($E125:L125,"²")+COUNTIF($E125:L125,"µ")+COUNTIF($E125:L125,1)),
HYPERLINK("#Roadmap!C"&amp; MATCH($E125,Roadmap!$D:$D,0)+COUNTIF($E125:L125,"u")+COUNTIF($E125:L125,"t"),
     INDEX(Roadmap!$D:$K,MATCH($E125,Roadmap!$D:$D,0)+COUNTIF($E125:L125,"u")+COUNTIF($E125:L125,"t")+COUNTIF($E125:L125,"¶")+COUNTIF($E125:L125,"²")+COUNTIF($E125:L125,"µ")+COUNTIF($E125:L125,1),ColTypeEcheance)),
  IF(LEN(L125)=1,
  IF(LEN(INDEX(Roadmap!$D:$K,MATCH($E125,Roadmap!$D:$D,0)-1+COUNTIF($E125:L125,"u")+COUNTIF($E125:L125,"t")+COUNTIF($E125:L125,"¶")+COUNTIF($E125:L125,"²")+COUNTIF($E125:L125,"µ")+COUNTIF($E125:L125,1),ColDescriptionCourte))&gt;1,
HYPERLINK("#Roadmap!C"&amp; MATCH($E125,Roadmap!$D:$D,0)+COUNTIF($E125:L125,"u")+COUNTIF($E125:L125,"t")+COUNTIF($E125:L125,"¶")+COUNTIF($E125:L125,"²")+COUNTIF($E125:L125,"µ")+COUNTIF($E125:L125,1)-1,INDEX(Roadmap!$D:$K,MATCH($E125,Roadmap!$D:$D,0)-1+COUNTIF($E125:L125,"u")+COUNTIF($E125:L125,"t")+COUNTIF($E125:L125,"¶")+COUNTIF($E125:L125,"²")+COUNTIF($E125:L125,"µ")+COUNTIF($E125:L125,1),ColDescriptionCourte)),""),
  "")),"")</f>
        <v/>
      </c>
      <c r="N125" s="40" t="str">
        <f ca="1">IFERROR(IF(AND(
  INDEX(Roadmap!$D:$K,MATCH($E125,Roadmap!$D:$D,0)+COUNTIF($E125:M125,"u")+COUNTIF($E125:M125,"t")+COUNTIF($E125:M125,"¶")+COUNTIF($E125:M125,"²")+COUNTIF($E125:M125,"µ")+COUNTIF($E125:M125,1),ColLivraison)=N$6,
  VLOOKUP($E125,INDIRECT("tri!"&amp; CHAR(64+ C0Col) &amp;":"&amp; CHAR(65+C0Col)),2,FALSE)&gt;COUNTIF($E125:M125,"u")+COUNTIF($E125:M125,"t")+COUNTIF($E125:M125,"¶")+COUNTIF($E125:M125,"²")+COUNTIF($E125:M125,"µ")+COUNTIF($E125:M125,1)),
HYPERLINK("#Roadmap!C"&amp; MATCH($E125,Roadmap!$D:$D,0)+COUNTIF($E125:M125,"u")+COUNTIF($E125:M125,"t"),
     INDEX(Roadmap!$D:$K,MATCH($E125,Roadmap!$D:$D,0)+COUNTIF($E125:M125,"u")+COUNTIF($E125:M125,"t")+COUNTIF($E125:M125,"¶")+COUNTIF($E125:M125,"²")+COUNTIF($E125:M125,"µ")+COUNTIF($E125:M125,1),ColTypeEcheance)),
  IF(LEN(M125)=1,
  IF(LEN(INDEX(Roadmap!$D:$K,MATCH($E125,Roadmap!$D:$D,0)-1+COUNTIF($E125:M125,"u")+COUNTIF($E125:M125,"t")+COUNTIF($E125:M125,"¶")+COUNTIF($E125:M125,"²")+COUNTIF($E125:M125,"µ")+COUNTIF($E125:M125,1),ColDescriptionCourte))&gt;1,
HYPERLINK("#Roadmap!C"&amp; MATCH($E125,Roadmap!$D:$D,0)+COUNTIF($E125:M125,"u")+COUNTIF($E125:M125,"t")+COUNTIF($E125:M125,"¶")+COUNTIF($E125:M125,"²")+COUNTIF($E125:M125,"µ")+COUNTIF($E125:M125,1)-1,INDEX(Roadmap!$D:$K,MATCH($E125,Roadmap!$D:$D,0)-1+COUNTIF($E125:M125,"u")+COUNTIF($E125:M125,"t")+COUNTIF($E125:M125,"¶")+COUNTIF($E125:M125,"²")+COUNTIF($E125:M125,"µ")+COUNTIF($E125:M125,1),ColDescriptionCourte)),""),
  "")),"")</f>
        <v/>
      </c>
      <c r="O125" s="40" t="str">
        <f ca="1">IFERROR(IF(AND(
  INDEX(Roadmap!$D:$K,MATCH($E125,Roadmap!$D:$D,0)+COUNTIF($E125:N125,"u")+COUNTIF($E125:N125,"t")+COUNTIF($E125:N125,"¶")+COUNTIF($E125:N125,"²")+COUNTIF($E125:N125,"µ")+COUNTIF($E125:N125,1),ColLivraison)=O$6,
  VLOOKUP($E125,INDIRECT("tri!"&amp; CHAR(64+ C0Col) &amp;":"&amp; CHAR(65+C0Col)),2,FALSE)&gt;COUNTIF($E125:N125,"u")+COUNTIF($E125:N125,"t")+COUNTIF($E125:N125,"¶")+COUNTIF($E125:N125,"²")+COUNTIF($E125:N125,"µ")+COUNTIF($E125:N125,1)),
HYPERLINK("#Roadmap!C"&amp; MATCH($E125,Roadmap!$D:$D,0)+COUNTIF($E125:N125,"u")+COUNTIF($E125:N125,"t"),
     INDEX(Roadmap!$D:$K,MATCH($E125,Roadmap!$D:$D,0)+COUNTIF($E125:N125,"u")+COUNTIF($E125:N125,"t")+COUNTIF($E125:N125,"¶")+COUNTIF($E125:N125,"²")+COUNTIF($E125:N125,"µ")+COUNTIF($E125:N125,1),ColTypeEcheance)),
  IF(LEN(N125)=1,
  IF(LEN(INDEX(Roadmap!$D:$K,MATCH($E125,Roadmap!$D:$D,0)-1+COUNTIF($E125:N125,"u")+COUNTIF($E125:N125,"t")+COUNTIF($E125:N125,"¶")+COUNTIF($E125:N125,"²")+COUNTIF($E125:N125,"µ")+COUNTIF($E125:N125,1),ColDescriptionCourte))&gt;1,
HYPERLINK("#Roadmap!C"&amp; MATCH($E125,Roadmap!$D:$D,0)+COUNTIF($E125:N125,"u")+COUNTIF($E125:N125,"t")+COUNTIF($E125:N125,"¶")+COUNTIF($E125:N125,"²")+COUNTIF($E125:N125,"µ")+COUNTIF($E125:N125,1)-1,INDEX(Roadmap!$D:$K,MATCH($E125,Roadmap!$D:$D,0)-1+COUNTIF($E125:N125,"u")+COUNTIF($E125:N125,"t")+COUNTIF($E125:N125,"¶")+COUNTIF($E125:N125,"²")+COUNTIF($E125:N125,"µ")+COUNTIF($E125:N125,1),ColDescriptionCourte)),""),
  "")),"")</f>
        <v/>
      </c>
      <c r="P125" s="40" t="str">
        <f ca="1">IFERROR(IF(AND(
  INDEX(Roadmap!$D:$K,MATCH($E125,Roadmap!$D:$D,0)+COUNTIF($E125:O125,"u")+COUNTIF($E125:O125,"t")+COUNTIF($E125:O125,"¶")+COUNTIF($E125:O125,"²")+COUNTIF($E125:O125,"µ")+COUNTIF($E125:O125,1),ColLivraison)=P$6,
  VLOOKUP($E125,INDIRECT("tri!"&amp; CHAR(64+ C0Col) &amp;":"&amp; CHAR(65+C0Col)),2,FALSE)&gt;COUNTIF($E125:O125,"u")+COUNTIF($E125:O125,"t")+COUNTIF($E125:O125,"¶")+COUNTIF($E125:O125,"²")+COUNTIF($E125:O125,"µ")+COUNTIF($E125:O125,1)),
HYPERLINK("#Roadmap!C"&amp; MATCH($E125,Roadmap!$D:$D,0)+COUNTIF($E125:O125,"u")+COUNTIF($E125:O125,"t"),
     INDEX(Roadmap!$D:$K,MATCH($E125,Roadmap!$D:$D,0)+COUNTIF($E125:O125,"u")+COUNTIF($E125:O125,"t")+COUNTIF($E125:O125,"¶")+COUNTIF($E125:O125,"²")+COUNTIF($E125:O125,"µ")+COUNTIF($E125:O125,1),ColTypeEcheance)),
  IF(LEN(O125)=1,
  IF(LEN(INDEX(Roadmap!$D:$K,MATCH($E125,Roadmap!$D:$D,0)-1+COUNTIF($E125:O125,"u")+COUNTIF($E125:O125,"t")+COUNTIF($E125:O125,"¶")+COUNTIF($E125:O125,"²")+COUNTIF($E125:O125,"µ")+COUNTIF($E125:O125,1),ColDescriptionCourte))&gt;1,
HYPERLINK("#Roadmap!C"&amp; MATCH($E125,Roadmap!$D:$D,0)+COUNTIF($E125:O125,"u")+COUNTIF($E125:O125,"t")+COUNTIF($E125:O125,"¶")+COUNTIF($E125:O125,"²")+COUNTIF($E125:O125,"µ")+COUNTIF($E125:O125,1)-1,INDEX(Roadmap!$D:$K,MATCH($E125,Roadmap!$D:$D,0)-1+COUNTIF($E125:O125,"u")+COUNTIF($E125:O125,"t")+COUNTIF($E125:O125,"¶")+COUNTIF($E125:O125,"²")+COUNTIF($E125:O125,"µ")+COUNTIF($E125:O125,1),ColDescriptionCourte)),""),
  "")),"")</f>
        <v/>
      </c>
      <c r="Q125" s="40" t="str">
        <f ca="1">IFERROR(IF(AND(
  INDEX(Roadmap!$D:$K,MATCH($E125,Roadmap!$D:$D,0)+COUNTIF($E125:P125,"u")+COUNTIF($E125:P125,"t")+COUNTIF($E125:P125,"¶")+COUNTIF($E125:P125,"²")+COUNTIF($E125:P125,"µ")+COUNTIF($E125:P125,1),ColLivraison)=Q$6,
  VLOOKUP($E125,INDIRECT("tri!"&amp; CHAR(64+ C0Col) &amp;":"&amp; CHAR(65+C0Col)),2,FALSE)&gt;COUNTIF($E125:P125,"u")+COUNTIF($E125:P125,"t")+COUNTIF($E125:P125,"¶")+COUNTIF($E125:P125,"²")+COUNTIF($E125:P125,"µ")+COUNTIF($E125:P125,1)),
HYPERLINK("#Roadmap!C"&amp; MATCH($E125,Roadmap!$D:$D,0)+COUNTIF($E125:P125,"u")+COUNTIF($E125:P125,"t"),
     INDEX(Roadmap!$D:$K,MATCH($E125,Roadmap!$D:$D,0)+COUNTIF($E125:P125,"u")+COUNTIF($E125:P125,"t")+COUNTIF($E125:P125,"¶")+COUNTIF($E125:P125,"²")+COUNTIF($E125:P125,"µ")+COUNTIF($E125:P125,1),ColTypeEcheance)),
  IF(LEN(P125)=1,
  IF(LEN(INDEX(Roadmap!$D:$K,MATCH($E125,Roadmap!$D:$D,0)-1+COUNTIF($E125:P125,"u")+COUNTIF($E125:P125,"t")+COUNTIF($E125:P125,"¶")+COUNTIF($E125:P125,"²")+COUNTIF($E125:P125,"µ")+COUNTIF($E125:P125,1),ColDescriptionCourte))&gt;1,
HYPERLINK("#Roadmap!C"&amp; MATCH($E125,Roadmap!$D:$D,0)+COUNTIF($E125:P125,"u")+COUNTIF($E125:P125,"t")+COUNTIF($E125:P125,"¶")+COUNTIF($E125:P125,"²")+COUNTIF($E125:P125,"µ")+COUNTIF($E125:P125,1)-1,INDEX(Roadmap!$D:$K,MATCH($E125,Roadmap!$D:$D,0)-1+COUNTIF($E125:P125,"u")+COUNTIF($E125:P125,"t")+COUNTIF($E125:P125,"¶")+COUNTIF($E125:P125,"²")+COUNTIF($E125:P125,"µ")+COUNTIF($E125:P125,1),ColDescriptionCourte)),""),
  "")),"")</f>
        <v/>
      </c>
      <c r="R125" s="40" t="str">
        <f ca="1">IFERROR(IF(AND(
  INDEX(Roadmap!$D:$K,MATCH($E125,Roadmap!$D:$D,0)+COUNTIF($E125:Q125,"u")+COUNTIF($E125:Q125,"t")+COUNTIF($E125:Q125,"¶")+COUNTIF($E125:Q125,"²")+COUNTIF($E125:Q125,"µ")+COUNTIF($E125:Q125,1),ColLivraison)=R$6,
  VLOOKUP($E125,INDIRECT("tri!"&amp; CHAR(64+ C0Col) &amp;":"&amp; CHAR(65+C0Col)),2,FALSE)&gt;COUNTIF($E125:Q125,"u")+COUNTIF($E125:Q125,"t")+COUNTIF($E125:Q125,"¶")+COUNTIF($E125:Q125,"²")+COUNTIF($E125:Q125,"µ")+COUNTIF($E125:Q125,1)),
HYPERLINK("#Roadmap!C"&amp; MATCH($E125,Roadmap!$D:$D,0)+COUNTIF($E125:Q125,"u")+COUNTIF($E125:Q125,"t"),
     INDEX(Roadmap!$D:$K,MATCH($E125,Roadmap!$D:$D,0)+COUNTIF($E125:Q125,"u")+COUNTIF($E125:Q125,"t")+COUNTIF($E125:Q125,"¶")+COUNTIF($E125:Q125,"²")+COUNTIF($E125:Q125,"µ")+COUNTIF($E125:Q125,1),ColTypeEcheance)),
  IF(LEN(Q125)=1,
  IF(LEN(INDEX(Roadmap!$D:$K,MATCH($E125,Roadmap!$D:$D,0)-1+COUNTIF($E125:Q125,"u")+COUNTIF($E125:Q125,"t")+COUNTIF($E125:Q125,"¶")+COUNTIF($E125:Q125,"²")+COUNTIF($E125:Q125,"µ")+COUNTIF($E125:Q125,1),ColDescriptionCourte))&gt;1,
HYPERLINK("#Roadmap!C"&amp; MATCH($E125,Roadmap!$D:$D,0)+COUNTIF($E125:Q125,"u")+COUNTIF($E125:Q125,"t")+COUNTIF($E125:Q125,"¶")+COUNTIF($E125:Q125,"²")+COUNTIF($E125:Q125,"µ")+COUNTIF($E125:Q125,1)-1,INDEX(Roadmap!$D:$K,MATCH($E125,Roadmap!$D:$D,0)-1+COUNTIF($E125:Q125,"u")+COUNTIF($E125:Q125,"t")+COUNTIF($E125:Q125,"¶")+COUNTIF($E125:Q125,"²")+COUNTIF($E125:Q125,"µ")+COUNTIF($E125:Q125,1),ColDescriptionCourte)),""),
  "")),"")</f>
        <v/>
      </c>
      <c r="S125" s="40" t="str">
        <f ca="1">IFERROR(IF(AND(
  INDEX(Roadmap!$D:$K,MATCH($E125,Roadmap!$D:$D,0)+COUNTIF($E125:R125,"u")+COUNTIF($E125:R125,"t")+COUNTIF($E125:R125,"¶")+COUNTIF($E125:R125,"²")+COUNTIF($E125:R125,"µ")+COUNTIF($E125:R125,1),ColLivraison)=S$6,
  VLOOKUP($E125,INDIRECT("tri!"&amp; CHAR(64+ C0Col) &amp;":"&amp; CHAR(65+C0Col)),2,FALSE)&gt;COUNTIF($E125:R125,"u")+COUNTIF($E125:R125,"t")+COUNTIF($E125:R125,"¶")+COUNTIF($E125:R125,"²")+COUNTIF($E125:R125,"µ")+COUNTIF($E125:R125,1)),
HYPERLINK("#Roadmap!C"&amp; MATCH($E125,Roadmap!$D:$D,0)+COUNTIF($E125:R125,"u")+COUNTIF($E125:R125,"t"),
     INDEX(Roadmap!$D:$K,MATCH($E125,Roadmap!$D:$D,0)+COUNTIF($E125:R125,"u")+COUNTIF($E125:R125,"t")+COUNTIF($E125:R125,"¶")+COUNTIF($E125:R125,"²")+COUNTIF($E125:R125,"µ")+COUNTIF($E125:R125,1),ColTypeEcheance)),
  IF(LEN(R125)=1,
  IF(LEN(INDEX(Roadmap!$D:$K,MATCH($E125,Roadmap!$D:$D,0)-1+COUNTIF($E125:R125,"u")+COUNTIF($E125:R125,"t")+COUNTIF($E125:R125,"¶")+COUNTIF($E125:R125,"²")+COUNTIF($E125:R125,"µ")+COUNTIF($E125:R125,1),ColDescriptionCourte))&gt;1,
HYPERLINK("#Roadmap!C"&amp; MATCH($E125,Roadmap!$D:$D,0)+COUNTIF($E125:R125,"u")+COUNTIF($E125:R125,"t")+COUNTIF($E125:R125,"¶")+COUNTIF($E125:R125,"²")+COUNTIF($E125:R125,"µ")+COUNTIF($E125:R125,1)-1,INDEX(Roadmap!$D:$K,MATCH($E125,Roadmap!$D:$D,0)-1+COUNTIF($E125:R125,"u")+COUNTIF($E125:R125,"t")+COUNTIF($E125:R125,"¶")+COUNTIF($E125:R125,"²")+COUNTIF($E125:R125,"µ")+COUNTIF($E125:R125,1),ColDescriptionCourte)),""),
  "")),"")</f>
        <v/>
      </c>
      <c r="T125" s="40" t="str">
        <f ca="1">IFERROR(IF(AND(
  INDEX(Roadmap!$D:$K,MATCH($E125,Roadmap!$D:$D,0)+COUNTIF($E125:S125,"u")+COUNTIF($E125:S125,"t")+COUNTIF($E125:S125,"¶")+COUNTIF($E125:S125,"²")+COUNTIF($E125:S125,"µ")+COUNTIF($E125:S125,1),ColLivraison)=T$6,
  VLOOKUP($E125,INDIRECT("tri!"&amp; CHAR(64+ C0Col) &amp;":"&amp; CHAR(65+C0Col)),2,FALSE)&gt;COUNTIF($E125:S125,"u")+COUNTIF($E125:S125,"t")+COUNTIF($E125:S125,"¶")+COUNTIF($E125:S125,"²")+COUNTIF($E125:S125,"µ")+COUNTIF($E125:S125,1)),
HYPERLINK("#Roadmap!C"&amp; MATCH($E125,Roadmap!$D:$D,0)+COUNTIF($E125:S125,"u")+COUNTIF($E125:S125,"t"),
     INDEX(Roadmap!$D:$K,MATCH($E125,Roadmap!$D:$D,0)+COUNTIF($E125:S125,"u")+COUNTIF($E125:S125,"t")+COUNTIF($E125:S125,"¶")+COUNTIF($E125:S125,"²")+COUNTIF($E125:S125,"µ")+COUNTIF($E125:S125,1),ColTypeEcheance)),
  IF(LEN(S125)=1,
  IF(LEN(INDEX(Roadmap!$D:$K,MATCH($E125,Roadmap!$D:$D,0)-1+COUNTIF($E125:S125,"u")+COUNTIF($E125:S125,"t")+COUNTIF($E125:S125,"¶")+COUNTIF($E125:S125,"²")+COUNTIF($E125:S125,"µ")+COUNTIF($E125:S125,1),ColDescriptionCourte))&gt;1,
HYPERLINK("#Roadmap!C"&amp; MATCH($E125,Roadmap!$D:$D,0)+COUNTIF($E125:S125,"u")+COUNTIF($E125:S125,"t")+COUNTIF($E125:S125,"¶")+COUNTIF($E125:S125,"²")+COUNTIF($E125:S125,"µ")+COUNTIF($E125:S125,1)-1,INDEX(Roadmap!$D:$K,MATCH($E125,Roadmap!$D:$D,0)-1+COUNTIF($E125:S125,"u")+COUNTIF($E125:S125,"t")+COUNTIF($E125:S125,"¶")+COUNTIF($E125:S125,"²")+COUNTIF($E125:S125,"µ")+COUNTIF($E125:S125,1),ColDescriptionCourte)),""),
  "")),"")</f>
        <v/>
      </c>
      <c r="U125" s="40" t="str">
        <f ca="1">IFERROR(IF(AND(
  INDEX(Roadmap!$D:$K,MATCH($E125,Roadmap!$D:$D,0)+COUNTIF($E125:T125,"u")+COUNTIF($E125:T125,"t")+COUNTIF($E125:T125,"¶")+COUNTIF($E125:T125,"²")+COUNTIF($E125:T125,"µ")+COUNTIF($E125:T125,1),ColLivraison)=U$6,
  VLOOKUP($E125,INDIRECT("tri!"&amp; CHAR(64+ C0Col) &amp;":"&amp; CHAR(65+C0Col)),2,FALSE)&gt;COUNTIF($E125:T125,"u")+COUNTIF($E125:T125,"t")+COUNTIF($E125:T125,"¶")+COUNTIF($E125:T125,"²")+COUNTIF($E125:T125,"µ")+COUNTIF($E125:T125,1)),
HYPERLINK("#Roadmap!C"&amp; MATCH($E125,Roadmap!$D:$D,0)+COUNTIF($E125:T125,"u")+COUNTIF($E125:T125,"t"),
     INDEX(Roadmap!$D:$K,MATCH($E125,Roadmap!$D:$D,0)+COUNTIF($E125:T125,"u")+COUNTIF($E125:T125,"t")+COUNTIF($E125:T125,"¶")+COUNTIF($E125:T125,"²")+COUNTIF($E125:T125,"µ")+COUNTIF($E125:T125,1),ColTypeEcheance)),
  IF(LEN(T125)=1,
  IF(LEN(INDEX(Roadmap!$D:$K,MATCH($E125,Roadmap!$D:$D,0)-1+COUNTIF($E125:T125,"u")+COUNTIF($E125:T125,"t")+COUNTIF($E125:T125,"¶")+COUNTIF($E125:T125,"²")+COUNTIF($E125:T125,"µ")+COUNTIF($E125:T125,1),ColDescriptionCourte))&gt;1,
HYPERLINK("#Roadmap!C"&amp; MATCH($E125,Roadmap!$D:$D,0)+COUNTIF($E125:T125,"u")+COUNTIF($E125:T125,"t")+COUNTIF($E125:T125,"¶")+COUNTIF($E125:T125,"²")+COUNTIF($E125:T125,"µ")+COUNTIF($E125:T125,1)-1,INDEX(Roadmap!$D:$K,MATCH($E125,Roadmap!$D:$D,0)-1+COUNTIF($E125:T125,"u")+COUNTIF($E125:T125,"t")+COUNTIF($E125:T125,"¶")+COUNTIF($E125:T125,"²")+COUNTIF($E125:T125,"µ")+COUNTIF($E125:T125,1),ColDescriptionCourte)),""),
  "")),"")</f>
        <v/>
      </c>
      <c r="V125" s="40" t="str">
        <f ca="1">IFERROR(IF(AND(
  INDEX(Roadmap!$D:$K,MATCH($E125,Roadmap!$D:$D,0)+COUNTIF($E125:U125,"u")+COUNTIF($E125:U125,"t")+COUNTIF($E125:U125,"¶")+COUNTIF($E125:U125,"²")+COUNTIF($E125:U125,"µ")+COUNTIF($E125:U125,1),ColLivraison)=V$6,
  VLOOKUP($E125,INDIRECT("tri!"&amp; CHAR(64+ C0Col) &amp;":"&amp; CHAR(65+C0Col)),2,FALSE)&gt;COUNTIF($E125:U125,"u")+COUNTIF($E125:U125,"t")+COUNTIF($E125:U125,"¶")+COUNTIF($E125:U125,"²")+COUNTIF($E125:U125,"µ")+COUNTIF($E125:U125,1)),
HYPERLINK("#Roadmap!C"&amp; MATCH($E125,Roadmap!$D:$D,0)+COUNTIF($E125:U125,"u")+COUNTIF($E125:U125,"t"),
     INDEX(Roadmap!$D:$K,MATCH($E125,Roadmap!$D:$D,0)+COUNTIF($E125:U125,"u")+COUNTIF($E125:U125,"t")+COUNTIF($E125:U125,"¶")+COUNTIF($E125:U125,"²")+COUNTIF($E125:U125,"µ")+COUNTIF($E125:U125,1),ColTypeEcheance)),
  IF(LEN(U125)=1,
  IF(LEN(INDEX(Roadmap!$D:$K,MATCH($E125,Roadmap!$D:$D,0)-1+COUNTIF($E125:U125,"u")+COUNTIF($E125:U125,"t")+COUNTIF($E125:U125,"¶")+COUNTIF($E125:U125,"²")+COUNTIF($E125:U125,"µ")+COUNTIF($E125:U125,1),ColDescriptionCourte))&gt;1,
HYPERLINK("#Roadmap!C"&amp; MATCH($E125,Roadmap!$D:$D,0)+COUNTIF($E125:U125,"u")+COUNTIF($E125:U125,"t")+COUNTIF($E125:U125,"¶")+COUNTIF($E125:U125,"²")+COUNTIF($E125:U125,"µ")+COUNTIF($E125:U125,1)-1,INDEX(Roadmap!$D:$K,MATCH($E125,Roadmap!$D:$D,0)-1+COUNTIF($E125:U125,"u")+COUNTIF($E125:U125,"t")+COUNTIF($E125:U125,"¶")+COUNTIF($E125:U125,"²")+COUNTIF($E125:U125,"µ")+COUNTIF($E125:U125,1),ColDescriptionCourte)),""),
  "")),"")</f>
        <v/>
      </c>
      <c r="W125" s="40" t="str">
        <f ca="1">IFERROR(IF(AND(
  INDEX(Roadmap!$D:$K,MATCH($E125,Roadmap!$D:$D,0)+COUNTIF($E125:V125,"u")+COUNTIF($E125:V125,"t")+COUNTIF($E125:V125,"¶")+COUNTIF($E125:V125,"²")+COUNTIF($E125:V125,"µ")+COUNTIF($E125:V125,1),ColLivraison)=W$6,
  VLOOKUP($E125,INDIRECT("tri!"&amp; CHAR(64+ C0Col) &amp;":"&amp; CHAR(65+C0Col)),2,FALSE)&gt;COUNTIF($E125:V125,"u")+COUNTIF($E125:V125,"t")+COUNTIF($E125:V125,"¶")+COUNTIF($E125:V125,"²")+COUNTIF($E125:V125,"µ")+COUNTIF($E125:V125,1)),
HYPERLINK("#Roadmap!C"&amp; MATCH($E125,Roadmap!$D:$D,0)+COUNTIF($E125:V125,"u")+COUNTIF($E125:V125,"t"),
     INDEX(Roadmap!$D:$K,MATCH($E125,Roadmap!$D:$D,0)+COUNTIF($E125:V125,"u")+COUNTIF($E125:V125,"t")+COUNTIF($E125:V125,"¶")+COUNTIF($E125:V125,"²")+COUNTIF($E125:V125,"µ")+COUNTIF($E125:V125,1),ColTypeEcheance)),
  IF(LEN(V125)=1,
  IF(LEN(INDEX(Roadmap!$D:$K,MATCH($E125,Roadmap!$D:$D,0)-1+COUNTIF($E125:V125,"u")+COUNTIF($E125:V125,"t")+COUNTIF($E125:V125,"¶")+COUNTIF($E125:V125,"²")+COUNTIF($E125:V125,"µ")+COUNTIF($E125:V125,1),ColDescriptionCourte))&gt;1,
HYPERLINK("#Roadmap!C"&amp; MATCH($E125,Roadmap!$D:$D,0)+COUNTIF($E125:V125,"u")+COUNTIF($E125:V125,"t")+COUNTIF($E125:V125,"¶")+COUNTIF($E125:V125,"²")+COUNTIF($E125:V125,"µ")+COUNTIF($E125:V125,1)-1,INDEX(Roadmap!$D:$K,MATCH($E125,Roadmap!$D:$D,0)-1+COUNTIF($E125:V125,"u")+COUNTIF($E125:V125,"t")+COUNTIF($E125:V125,"¶")+COUNTIF($E125:V125,"²")+COUNTIF($E125:V125,"µ")+COUNTIF($E125:V125,1),ColDescriptionCourte)),""),
  "")),"")</f>
        <v/>
      </c>
      <c r="X125" s="40" t="str">
        <f ca="1">IFERROR(IF(AND(
  INDEX(Roadmap!$D:$K,MATCH($E125,Roadmap!$D:$D,0)+COUNTIF($E125:W125,"u")+COUNTIF($E125:W125,"t")+COUNTIF($E125:W125,"¶")+COUNTIF($E125:W125,"²")+COUNTIF($E125:W125,"µ")+COUNTIF($E125:W125,1),ColLivraison)=X$6,
  VLOOKUP($E125,INDIRECT("tri!"&amp; CHAR(64+ C0Col) &amp;":"&amp; CHAR(65+C0Col)),2,FALSE)&gt;COUNTIF($E125:W125,"u")+COUNTIF($E125:W125,"t")+COUNTIF($E125:W125,"¶")+COUNTIF($E125:W125,"²")+COUNTIF($E125:W125,"µ")+COUNTIF($E125:W125,1)),
HYPERLINK("#Roadmap!C"&amp; MATCH($E125,Roadmap!$D:$D,0)+COUNTIF($E125:W125,"u")+COUNTIF($E125:W125,"t"),
     INDEX(Roadmap!$D:$K,MATCH($E125,Roadmap!$D:$D,0)+COUNTIF($E125:W125,"u")+COUNTIF($E125:W125,"t")+COUNTIF($E125:W125,"¶")+COUNTIF($E125:W125,"²")+COUNTIF($E125:W125,"µ")+COUNTIF($E125:W125,1),ColTypeEcheance)),
  IF(LEN(W125)=1,
  IF(LEN(INDEX(Roadmap!$D:$K,MATCH($E125,Roadmap!$D:$D,0)-1+COUNTIF($E125:W125,"u")+COUNTIF($E125:W125,"t")+COUNTIF($E125:W125,"¶")+COUNTIF($E125:W125,"²")+COUNTIF($E125:W125,"µ")+COUNTIF($E125:W125,1),ColDescriptionCourte))&gt;1,
HYPERLINK("#Roadmap!C"&amp; MATCH($E125,Roadmap!$D:$D,0)+COUNTIF($E125:W125,"u")+COUNTIF($E125:W125,"t")+COUNTIF($E125:W125,"¶")+COUNTIF($E125:W125,"²")+COUNTIF($E125:W125,"µ")+COUNTIF($E125:W125,1)-1,INDEX(Roadmap!$D:$K,MATCH($E125,Roadmap!$D:$D,0)-1+COUNTIF($E125:W125,"u")+COUNTIF($E125:W125,"t")+COUNTIF($E125:W125,"¶")+COUNTIF($E125:W125,"²")+COUNTIF($E125:W125,"µ")+COUNTIF($E125:W125,1),ColDescriptionCourte)),""),
  "")),"")</f>
        <v/>
      </c>
      <c r="Y125" s="40" t="str">
        <f ca="1">IFERROR(IF(AND(
  INDEX(Roadmap!$D:$K,MATCH($E125,Roadmap!$D:$D,0)+COUNTIF($E125:X125,"u")+COUNTIF($E125:X125,"t")+COUNTIF($E125:X125,"¶")+COUNTIF($E125:X125,"²")+COUNTIF($E125:X125,"µ")+COUNTIF($E125:X125,1),ColLivraison)=Y$6,
  VLOOKUP($E125,INDIRECT("tri!"&amp; CHAR(64+ C0Col) &amp;":"&amp; CHAR(65+C0Col)),2,FALSE)&gt;COUNTIF($E125:X125,"u")+COUNTIF($E125:X125,"t")+COUNTIF($E125:X125,"¶")+COUNTIF($E125:X125,"²")+COUNTIF($E125:X125,"µ")+COUNTIF($E125:X125,1)),
HYPERLINK("#Roadmap!C"&amp; MATCH($E125,Roadmap!$D:$D,0)+COUNTIF($E125:X125,"u")+COUNTIF($E125:X125,"t"),
     INDEX(Roadmap!$D:$K,MATCH($E125,Roadmap!$D:$D,0)+COUNTIF($E125:X125,"u")+COUNTIF($E125:X125,"t")+COUNTIF($E125:X125,"¶")+COUNTIF($E125:X125,"²")+COUNTIF($E125:X125,"µ")+COUNTIF($E125:X125,1),ColTypeEcheance)),
  IF(LEN(X125)=1,
  IF(LEN(INDEX(Roadmap!$D:$K,MATCH($E125,Roadmap!$D:$D,0)-1+COUNTIF($E125:X125,"u")+COUNTIF($E125:X125,"t")+COUNTIF($E125:X125,"¶")+COUNTIF($E125:X125,"²")+COUNTIF($E125:X125,"µ")+COUNTIF($E125:X125,1),ColDescriptionCourte))&gt;1,
HYPERLINK("#Roadmap!C"&amp; MATCH($E125,Roadmap!$D:$D,0)+COUNTIF($E125:X125,"u")+COUNTIF($E125:X125,"t")+COUNTIF($E125:X125,"¶")+COUNTIF($E125:X125,"²")+COUNTIF($E125:X125,"µ")+COUNTIF($E125:X125,1)-1,INDEX(Roadmap!$D:$K,MATCH($E125,Roadmap!$D:$D,0)-1+COUNTIF($E125:X125,"u")+COUNTIF($E125:X125,"t")+COUNTIF($E125:X125,"¶")+COUNTIF($E125:X125,"²")+COUNTIF($E125:X125,"µ")+COUNTIF($E125:X125,1),ColDescriptionCourte)),""),
  "")),"")</f>
        <v/>
      </c>
      <c r="Z125" s="40" t="str">
        <f ca="1">IFERROR(IF(AND(
  INDEX(Roadmap!$D:$K,MATCH($E125,Roadmap!$D:$D,0)+COUNTIF($E125:Y125,"u")+COUNTIF($E125:Y125,"t")+COUNTIF($E125:Y125,"¶")+COUNTIF($E125:Y125,"²")+COUNTIF($E125:Y125,"µ")+COUNTIF($E125:Y125,1),ColLivraison)=Z$6,
  VLOOKUP($E125,INDIRECT("tri!"&amp; CHAR(64+ C0Col) &amp;":"&amp; CHAR(65+C0Col)),2,FALSE)&gt;COUNTIF($E125:Y125,"u")+COUNTIF($E125:Y125,"t")+COUNTIF($E125:Y125,"¶")+COUNTIF($E125:Y125,"²")+COUNTIF($E125:Y125,"µ")+COUNTIF($E125:Y125,1)),
HYPERLINK("#Roadmap!C"&amp; MATCH($E125,Roadmap!$D:$D,0)+COUNTIF($E125:Y125,"u")+COUNTIF($E125:Y125,"t"),
     INDEX(Roadmap!$D:$K,MATCH($E125,Roadmap!$D:$D,0)+COUNTIF($E125:Y125,"u")+COUNTIF($E125:Y125,"t")+COUNTIF($E125:Y125,"¶")+COUNTIF($E125:Y125,"²")+COUNTIF($E125:Y125,"µ")+COUNTIF($E125:Y125,1),ColTypeEcheance)),
  IF(LEN(Y125)=1,
  IF(LEN(INDEX(Roadmap!$D:$K,MATCH($E125,Roadmap!$D:$D,0)-1+COUNTIF($E125:Y125,"u")+COUNTIF($E125:Y125,"t")+COUNTIF($E125:Y125,"¶")+COUNTIF($E125:Y125,"²")+COUNTIF($E125:Y125,"µ")+COUNTIF($E125:Y125,1),ColDescriptionCourte))&gt;1,
HYPERLINK("#Roadmap!C"&amp; MATCH($E125,Roadmap!$D:$D,0)+COUNTIF($E125:Y125,"u")+COUNTIF($E125:Y125,"t")+COUNTIF($E125:Y125,"¶")+COUNTIF($E125:Y125,"²")+COUNTIF($E125:Y125,"µ")+COUNTIF($E125:Y125,1)-1,INDEX(Roadmap!$D:$K,MATCH($E125,Roadmap!$D:$D,0)-1+COUNTIF($E125:Y125,"u")+COUNTIF($E125:Y125,"t")+COUNTIF($E125:Y125,"¶")+COUNTIF($E125:Y125,"²")+COUNTIF($E125:Y125,"µ")+COUNTIF($E125:Y125,1),ColDescriptionCourte)),""),
  "")),"")</f>
        <v/>
      </c>
      <c r="AA125" s="40" t="str">
        <f ca="1">IFERROR(IF(AND(
  INDEX(Roadmap!$D:$K,MATCH($E125,Roadmap!$D:$D,0)+COUNTIF($E125:Z125,"u")+COUNTIF($E125:Z125,"t")+COUNTIF($E125:Z125,"¶")+COUNTIF($E125:Z125,"²")+COUNTIF($E125:Z125,"µ")+COUNTIF($E125:Z125,1),ColLivraison)=AA$6,
  VLOOKUP($E125,INDIRECT("tri!"&amp; CHAR(64+ C0Col) &amp;":"&amp; CHAR(65+C0Col)),2,FALSE)&gt;COUNTIF($E125:Z125,"u")+COUNTIF($E125:Z125,"t")+COUNTIF($E125:Z125,"¶")+COUNTIF($E125:Z125,"²")+COUNTIF($E125:Z125,"µ")+COUNTIF($E125:Z125,1)),
HYPERLINK("#Roadmap!C"&amp; MATCH($E125,Roadmap!$D:$D,0)+COUNTIF($E125:Z125,"u")+COUNTIF($E125:Z125,"t"),
     INDEX(Roadmap!$D:$K,MATCH($E125,Roadmap!$D:$D,0)+COUNTIF($E125:Z125,"u")+COUNTIF($E125:Z125,"t")+COUNTIF($E125:Z125,"¶")+COUNTIF($E125:Z125,"²")+COUNTIF($E125:Z125,"µ")+COUNTIF($E125:Z125,1),ColTypeEcheance)),
  IF(LEN(Z125)=1,
  IF(LEN(INDEX(Roadmap!$D:$K,MATCH($E125,Roadmap!$D:$D,0)-1+COUNTIF($E125:Z125,"u")+COUNTIF($E125:Z125,"t")+COUNTIF($E125:Z125,"¶")+COUNTIF($E125:Z125,"²")+COUNTIF($E125:Z125,"µ")+COUNTIF($E125:Z125,1),ColDescriptionCourte))&gt;1,
HYPERLINK("#Roadmap!C"&amp; MATCH($E125,Roadmap!$D:$D,0)+COUNTIF($E125:Z125,"u")+COUNTIF($E125:Z125,"t")+COUNTIF($E125:Z125,"¶")+COUNTIF($E125:Z125,"²")+COUNTIF($E125:Z125,"µ")+COUNTIF($E125:Z125,1)-1,INDEX(Roadmap!$D:$K,MATCH($E125,Roadmap!$D:$D,0)-1+COUNTIF($E125:Z125,"u")+COUNTIF($E125:Z125,"t")+COUNTIF($E125:Z125,"¶")+COUNTIF($E125:Z125,"²")+COUNTIF($E125:Z125,"µ")+COUNTIF($E125:Z125,1),ColDescriptionCourte)),""),
  "")),"")</f>
        <v/>
      </c>
      <c r="AB125" s="40" t="str">
        <f ca="1">IFERROR(IF(AND(
  INDEX(Roadmap!$D:$K,MATCH($E125,Roadmap!$D:$D,0)+COUNTIF($E125:AA125,"u")+COUNTIF($E125:AA125,"t")+COUNTIF($E125:AA125,"¶")+COUNTIF($E125:AA125,"²")+COUNTIF($E125:AA125,"µ")+COUNTIF($E125:AA125,1),ColLivraison)=AB$6,
  VLOOKUP($E125,INDIRECT("tri!"&amp; CHAR(64+ C0Col) &amp;":"&amp; CHAR(65+C0Col)),2,FALSE)&gt;COUNTIF($E125:AA125,"u")+COUNTIF($E125:AA125,"t")+COUNTIF($E125:AA125,"¶")+COUNTIF($E125:AA125,"²")+COUNTIF($E125:AA125,"µ")+COUNTIF($E125:AA125,1)),
HYPERLINK("#Roadmap!C"&amp; MATCH($E125,Roadmap!$D:$D,0)+COUNTIF($E125:AA125,"u")+COUNTIF($E125:AA125,"t"),
     INDEX(Roadmap!$D:$K,MATCH($E125,Roadmap!$D:$D,0)+COUNTIF($E125:AA125,"u")+COUNTIF($E125:AA125,"t")+COUNTIF($E125:AA125,"¶")+COUNTIF($E125:AA125,"²")+COUNTIF($E125:AA125,"µ")+COUNTIF($E125:AA125,1),ColTypeEcheance)),
  IF(LEN(AA125)=1,
  IF(LEN(INDEX(Roadmap!$D:$K,MATCH($E125,Roadmap!$D:$D,0)-1+COUNTIF($E125:AA125,"u")+COUNTIF($E125:AA125,"t")+COUNTIF($E125:AA125,"¶")+COUNTIF($E125:AA125,"²")+COUNTIF($E125:AA125,"µ")+COUNTIF($E125:AA125,1),ColDescriptionCourte))&gt;1,
HYPERLINK("#Roadmap!C"&amp; MATCH($E125,Roadmap!$D:$D,0)+COUNTIF($E125:AA125,"u")+COUNTIF($E125:AA125,"t")+COUNTIF($E125:AA125,"¶")+COUNTIF($E125:AA125,"²")+COUNTIF($E125:AA125,"µ")+COUNTIF($E125:AA125,1)-1,INDEX(Roadmap!$D:$K,MATCH($E125,Roadmap!$D:$D,0)-1+COUNTIF($E125:AA125,"u")+COUNTIF($E125:AA125,"t")+COUNTIF($E125:AA125,"¶")+COUNTIF($E125:AA125,"²")+COUNTIF($E125:AA125,"µ")+COUNTIF($E125:AA125,1),ColDescriptionCourte)),""),
  "")),"")</f>
        <v/>
      </c>
      <c r="AC125" s="40" t="str">
        <f ca="1">IFERROR(IF(AND(
  INDEX(Roadmap!$D:$K,MATCH($E125,Roadmap!$D:$D,0)+COUNTIF($E125:AB125,"u")+COUNTIF($E125:AB125,"t")+COUNTIF($E125:AB125,"¶")+COUNTIF($E125:AB125,"²")+COUNTIF($E125:AB125,"µ")+COUNTIF($E125:AB125,1),ColLivraison)=AC$6,
  VLOOKUP($E125,INDIRECT("tri!"&amp; CHAR(64+ C0Col) &amp;":"&amp; CHAR(65+C0Col)),2,FALSE)&gt;COUNTIF($E125:AB125,"u")+COUNTIF($E125:AB125,"t")+COUNTIF($E125:AB125,"¶")+COUNTIF($E125:AB125,"²")+COUNTIF($E125:AB125,"µ")+COUNTIF($E125:AB125,1)),
HYPERLINK("#Roadmap!C"&amp; MATCH($E125,Roadmap!$D:$D,0)+COUNTIF($E125:AB125,"u")+COUNTIF($E125:AB125,"t"),
     INDEX(Roadmap!$D:$K,MATCH($E125,Roadmap!$D:$D,0)+COUNTIF($E125:AB125,"u")+COUNTIF($E125:AB125,"t")+COUNTIF($E125:AB125,"¶")+COUNTIF($E125:AB125,"²")+COUNTIF($E125:AB125,"µ")+COUNTIF($E125:AB125,1),ColTypeEcheance)),
  IF(LEN(AB125)=1,
  IF(LEN(INDEX(Roadmap!$D:$K,MATCH($E125,Roadmap!$D:$D,0)-1+COUNTIF($E125:AB125,"u")+COUNTIF($E125:AB125,"t")+COUNTIF($E125:AB125,"¶")+COUNTIF($E125:AB125,"²")+COUNTIF($E125:AB125,"µ")+COUNTIF($E125:AB125,1),ColDescriptionCourte))&gt;1,
HYPERLINK("#Roadmap!C"&amp; MATCH($E125,Roadmap!$D:$D,0)+COUNTIF($E125:AB125,"u")+COUNTIF($E125:AB125,"t")+COUNTIF($E125:AB125,"¶")+COUNTIF($E125:AB125,"²")+COUNTIF($E125:AB125,"µ")+COUNTIF($E125:AB125,1)-1,INDEX(Roadmap!$D:$K,MATCH($E125,Roadmap!$D:$D,0)-1+COUNTIF($E125:AB125,"u")+COUNTIF($E125:AB125,"t")+COUNTIF($E125:AB125,"¶")+COUNTIF($E125:AB125,"²")+COUNTIF($E125:AB125,"µ")+COUNTIF($E125:AB125,1),ColDescriptionCourte)),""),
  "")),"")</f>
        <v/>
      </c>
      <c r="AD125" s="40" t="str">
        <f ca="1">IFERROR(IF(AND(
  INDEX(Roadmap!$D:$K,MATCH($E125,Roadmap!$D:$D,0)+COUNTIF($E125:AC125,"u")+COUNTIF($E125:AC125,"t")+COUNTIF($E125:AC125,"¶")+COUNTIF($E125:AC125,"²")+COUNTIF($E125:AC125,"µ")+COUNTIF($E125:AC125,1),ColLivraison)=AD$6,
  VLOOKUP($E125,INDIRECT("tri!"&amp; CHAR(64+ C0Col) &amp;":"&amp; CHAR(65+C0Col)),2,FALSE)&gt;COUNTIF($E125:AC125,"u")+COUNTIF($E125:AC125,"t")+COUNTIF($E125:AC125,"¶")+COUNTIF($E125:AC125,"²")+COUNTIF($E125:AC125,"µ")+COUNTIF($E125:AC125,1)),
HYPERLINK("#Roadmap!C"&amp; MATCH($E125,Roadmap!$D:$D,0)+COUNTIF($E125:AC125,"u")+COUNTIF($E125:AC125,"t"),
     INDEX(Roadmap!$D:$K,MATCH($E125,Roadmap!$D:$D,0)+COUNTIF($E125:AC125,"u")+COUNTIF($E125:AC125,"t")+COUNTIF($E125:AC125,"¶")+COUNTIF($E125:AC125,"²")+COUNTIF($E125:AC125,"µ")+COUNTIF($E125:AC125,1),ColTypeEcheance)),
  IF(LEN(AC125)=1,
  IF(LEN(INDEX(Roadmap!$D:$K,MATCH($E125,Roadmap!$D:$D,0)-1+COUNTIF($E125:AC125,"u")+COUNTIF($E125:AC125,"t")+COUNTIF($E125:AC125,"¶")+COUNTIF($E125:AC125,"²")+COUNTIF($E125:AC125,"µ")+COUNTIF($E125:AC125,1),ColDescriptionCourte))&gt;1,
HYPERLINK("#Roadmap!C"&amp; MATCH($E125,Roadmap!$D:$D,0)+COUNTIF($E125:AC125,"u")+COUNTIF($E125:AC125,"t")+COUNTIF($E125:AC125,"¶")+COUNTIF($E125:AC125,"²")+COUNTIF($E125:AC125,"µ")+COUNTIF($E125:AC125,1)-1,INDEX(Roadmap!$D:$K,MATCH($E125,Roadmap!$D:$D,0)-1+COUNTIF($E125:AC125,"u")+COUNTIF($E125:AC125,"t")+COUNTIF($E125:AC125,"¶")+COUNTIF($E125:AC125,"²")+COUNTIF($E125:AC125,"µ")+COUNTIF($E125:AC125,1),ColDescriptionCourte)),""),
  "")),"")</f>
        <v/>
      </c>
      <c r="AE125" s="40" t="str">
        <f ca="1">IFERROR(IF(AND(
  INDEX(Roadmap!$D:$K,MATCH($E125,Roadmap!$D:$D,0)+COUNTIF($E125:AD125,"u")+COUNTIF($E125:AD125,"t")+COUNTIF($E125:AD125,"¶")+COUNTIF($E125:AD125,"²")+COUNTIF($E125:AD125,"µ")+COUNTIF($E125:AD125,1),ColLivraison)=AE$6,
  VLOOKUP($E125,INDIRECT("tri!"&amp; CHAR(64+ C0Col) &amp;":"&amp; CHAR(65+C0Col)),2,FALSE)&gt;COUNTIF($E125:AD125,"u")+COUNTIF($E125:AD125,"t")+COUNTIF($E125:AD125,"¶")+COUNTIF($E125:AD125,"²")+COUNTIF($E125:AD125,"µ")+COUNTIF($E125:AD125,1)),
HYPERLINK("#Roadmap!C"&amp; MATCH($E125,Roadmap!$D:$D,0)+COUNTIF($E125:AD125,"u")+COUNTIF($E125:AD125,"t"),
     INDEX(Roadmap!$D:$K,MATCH($E125,Roadmap!$D:$D,0)+COUNTIF($E125:AD125,"u")+COUNTIF($E125:AD125,"t")+COUNTIF($E125:AD125,"¶")+COUNTIF($E125:AD125,"²")+COUNTIF($E125:AD125,"µ")+COUNTIF($E125:AD125,1),ColTypeEcheance)),
  IF(LEN(AD125)=1,
  IF(LEN(INDEX(Roadmap!$D:$K,MATCH($E125,Roadmap!$D:$D,0)-1+COUNTIF($E125:AD125,"u")+COUNTIF($E125:AD125,"t")+COUNTIF($E125:AD125,"¶")+COUNTIF($E125:AD125,"²")+COUNTIF($E125:AD125,"µ")+COUNTIF($E125:AD125,1),ColDescriptionCourte))&gt;1,
HYPERLINK("#Roadmap!C"&amp; MATCH($E125,Roadmap!$D:$D,0)+COUNTIF($E125:AD125,"u")+COUNTIF($E125:AD125,"t")+COUNTIF($E125:AD125,"¶")+COUNTIF($E125:AD125,"²")+COUNTIF($E125:AD125,"µ")+COUNTIF($E125:AD125,1)-1,INDEX(Roadmap!$D:$K,MATCH($E125,Roadmap!$D:$D,0)-1+COUNTIF($E125:AD125,"u")+COUNTIF($E125:AD125,"t")+COUNTIF($E125:AD125,"¶")+COUNTIF($E125:AD125,"²")+COUNTIF($E125:AD125,"µ")+COUNTIF($E125:AD125,1),ColDescriptionCourte)),""),
  "")),"")</f>
        <v/>
      </c>
      <c r="AF125" s="40" t="str">
        <f ca="1">IFERROR(IF(AND(
  INDEX(Roadmap!$D:$K,MATCH($E125,Roadmap!$D:$D,0)+COUNTIF($E125:AE125,"u")+COUNTIF($E125:AE125,"t")+COUNTIF($E125:AE125,"¶")+COUNTIF($E125:AE125,"²")+COUNTIF($E125:AE125,"µ")+COUNTIF($E125:AE125,1),ColLivraison)=AF$6,
  VLOOKUP($E125,INDIRECT("tri!"&amp; CHAR(64+ C0Col) &amp;":"&amp; CHAR(65+C0Col)),2,FALSE)&gt;COUNTIF($E125:AE125,"u")+COUNTIF($E125:AE125,"t")+COUNTIF($E125:AE125,"¶")+COUNTIF($E125:AE125,"²")+COUNTIF($E125:AE125,"µ")+COUNTIF($E125:AE125,1)),
HYPERLINK("#Roadmap!C"&amp; MATCH($E125,Roadmap!$D:$D,0)+COUNTIF($E125:AE125,"u")+COUNTIF($E125:AE125,"t"),
     INDEX(Roadmap!$D:$K,MATCH($E125,Roadmap!$D:$D,0)+COUNTIF($E125:AE125,"u")+COUNTIF($E125:AE125,"t")+COUNTIF($E125:AE125,"¶")+COUNTIF($E125:AE125,"²")+COUNTIF($E125:AE125,"µ")+COUNTIF($E125:AE125,1),ColTypeEcheance)),
  IF(LEN(AE125)=1,
  IF(LEN(INDEX(Roadmap!$D:$K,MATCH($E125,Roadmap!$D:$D,0)-1+COUNTIF($E125:AE125,"u")+COUNTIF($E125:AE125,"t")+COUNTIF($E125:AE125,"¶")+COUNTIF($E125:AE125,"²")+COUNTIF($E125:AE125,"µ")+COUNTIF($E125:AE125,1),ColDescriptionCourte))&gt;1,
HYPERLINK("#Roadmap!C"&amp; MATCH($E125,Roadmap!$D:$D,0)+COUNTIF($E125:AE125,"u")+COUNTIF($E125:AE125,"t")+COUNTIF($E125:AE125,"¶")+COUNTIF($E125:AE125,"²")+COUNTIF($E125:AE125,"µ")+COUNTIF($E125:AE125,1)-1,INDEX(Roadmap!$D:$K,MATCH($E125,Roadmap!$D:$D,0)-1+COUNTIF($E125:AE125,"u")+COUNTIF($E125:AE125,"t")+COUNTIF($E125:AE125,"¶")+COUNTIF($E125:AE125,"²")+COUNTIF($E125:AE125,"µ")+COUNTIF($E125:AE125,1),ColDescriptionCourte)),""),
  "")),"")</f>
        <v/>
      </c>
      <c r="AG125" s="40" t="str">
        <f ca="1">IFERROR(IF(AND(
  INDEX(Roadmap!$D:$K,MATCH($E125,Roadmap!$D:$D,0)+COUNTIF($E125:AF125,"u")+COUNTIF($E125:AF125,"t")+COUNTIF($E125:AF125,"¶")+COUNTIF($E125:AF125,"²")+COUNTIF($E125:AF125,"µ")+COUNTIF($E125:AF125,1),ColLivraison)=AG$6,
  VLOOKUP($E125,INDIRECT("tri!"&amp; CHAR(64+ C0Col) &amp;":"&amp; CHAR(65+C0Col)),2,FALSE)&gt;COUNTIF($E125:AF125,"u")+COUNTIF($E125:AF125,"t")+COUNTIF($E125:AF125,"¶")+COUNTIF($E125:AF125,"²")+COUNTIF($E125:AF125,"µ")+COUNTIF($E125:AF125,1)),
HYPERLINK("#Roadmap!C"&amp; MATCH($E125,Roadmap!$D:$D,0)+COUNTIF($E125:AF125,"u")+COUNTIF($E125:AF125,"t"),
     INDEX(Roadmap!$D:$K,MATCH($E125,Roadmap!$D:$D,0)+COUNTIF($E125:AF125,"u")+COUNTIF($E125:AF125,"t")+COUNTIF($E125:AF125,"¶")+COUNTIF($E125:AF125,"²")+COUNTIF($E125:AF125,"µ")+COUNTIF($E125:AF125,1),ColTypeEcheance)),
  IF(LEN(AF125)=1,
  IF(LEN(INDEX(Roadmap!$D:$K,MATCH($E125,Roadmap!$D:$D,0)-1+COUNTIF($E125:AF125,"u")+COUNTIF($E125:AF125,"t")+COUNTIF($E125:AF125,"¶")+COUNTIF($E125:AF125,"²")+COUNTIF($E125:AF125,"µ")+COUNTIF($E125:AF125,1),ColDescriptionCourte))&gt;1,
HYPERLINK("#Roadmap!C"&amp; MATCH($E125,Roadmap!$D:$D,0)+COUNTIF($E125:AF125,"u")+COUNTIF($E125:AF125,"t")+COUNTIF($E125:AF125,"¶")+COUNTIF($E125:AF125,"²")+COUNTIF($E125:AF125,"µ")+COUNTIF($E125:AF125,1)-1,INDEX(Roadmap!$D:$K,MATCH($E125,Roadmap!$D:$D,0)-1+COUNTIF($E125:AF125,"u")+COUNTIF($E125:AF125,"t")+COUNTIF($E125:AF125,"¶")+COUNTIF($E125:AF125,"²")+COUNTIF($E125:AF125,"µ")+COUNTIF($E125:AF125,1),ColDescriptionCourte)),""),
  "")),"")</f>
        <v/>
      </c>
      <c r="AH125" s="40" t="str">
        <f ca="1">IFERROR(IF(AND(
  INDEX(Roadmap!$D:$K,MATCH($E125,Roadmap!$D:$D,0)+COUNTIF($E125:AG125,"u")+COUNTIF($E125:AG125,"t")+COUNTIF($E125:AG125,1),ColLivraison)=AH$6,
  VLOOKUP($E125,INDIRECT("tri!"&amp; CHAR(64+ C0Col) &amp;":"&amp; CHAR(65+C0Col)),2,FALSE)&gt;COUNTIF($E125:AG125,"u")+COUNTIF($E125:AG125,"t")+COUNTIF($E125:AG125,1)),
HYPERLINK("#Roadmap!C"&amp; MATCH($E125,Roadmap!$D:$D,0)+COUNTIF($E125:AG125,"u")+COUNTIF($E125:AG125,"t"),
     INDEX(Roadmap!$D:$K,MATCH($E125,Roadmap!$D:$D,0)+COUNTIF($E125:AG125,"u")+COUNTIF($E125:AG125,"t")+COUNTIF($E125:AG125,1),ColTypeEcheance)),
  IF(OR(AG125="u",AG125="t",AG125=1),
  IF(LEN(INDEX(Roadmap!$D:$K,MATCH($E125,Roadmap!$D:$D,0)-1+COUNTIF($E125:AG125,"u")+COUNTIF($E125:AG125,"t")+COUNTIF($E125:AG125,1),ColDescriptionCourte))&gt;1,
HYPERLINK("#Roadmap!C"&amp; MATCH($E125,Roadmap!$D:$D,0)+COUNTIF($E125:AG125,"u")+COUNTIF($E125:AG125,"t")+COUNTIF($E125:AG125,1)-1,INDEX(Roadmap!$D:$K,MATCH($E125,Roadmap!$D:$D,0)-1+COUNTIF($E125:AG125,"u")+COUNTIF($E125:AG125,"t")+COUNTIF($E125:AG125,1),ColDescriptionCourte)),""),
  "")),"")</f>
        <v/>
      </c>
      <c r="AI125" s="40"/>
      <c r="AJ125" s="40"/>
      <c r="AK125" s="40"/>
      <c r="AL125" s="40"/>
      <c r="AM125" s="40"/>
    </row>
    <row r="126" spans="4:39" ht="14.1" customHeight="1">
      <c r="D126" s="20" t="str">
        <f t="shared" ca="1" si="29"/>
        <v/>
      </c>
      <c r="E126" s="53" t="str">
        <f t="shared" ca="1" si="30"/>
        <v/>
      </c>
      <c r="F126" s="39" t="str">
        <f ca="1">IFERROR(IF(AND(
  INDEX(Roadmap!$D:$K,MATCH($E126,Roadmap!$D:$D,0)+COUNTIF($E126:E126,"u")+COUNTIF($E126:E126,"t")+COUNTIF($E126:E126,"¶")+COUNTIF($E126:E126,"²")+COUNTIF($E126:E126,"µ")+COUNTIF($E126:E126,1),ColLivraison)=F$6,
  VLOOKUP($E126,INDIRECT("tri!"&amp; CHAR(64+ C0Col) &amp;":"&amp; CHAR(65+C0Col)),2,FALSE)&gt;COUNTIF($E126:E126,"u")+COUNTIF($E126:E126,"t")+COUNTIF($E126:E126,"¶")+COUNTIF($E126:E126,"²")+COUNTIF($E126:E126,"µ")+COUNTIF($E126:E126,1)),
HYPERLINK("#Roadmap!C"&amp; MATCH($E126,Roadmap!$D:$D,0)+COUNTIF($E126:E126,"u")+COUNTIF($E126:E126,"t"),
     INDEX(Roadmap!$D:$K,MATCH($E126,Roadmap!$D:$D,0)+COUNTIF($E126:E126,"u")+COUNTIF($E126:E126,"t")+COUNTIF($E126:E126,"¶")+COUNTIF($E126:E126,"²")+COUNTIF($E126:E126,"µ")+COUNTIF($E126:E126,1),ColTypeEcheance)),
  IF(LEN(E126)=1,
  IF(LEN(INDEX(Roadmap!$D:$K,MATCH($E126,Roadmap!$D:$D,0)-1+COUNTIF($E126:E126,"u")+COUNTIF($E126:E126,"t")+COUNTIF($E126:E126,"¶")+COUNTIF($E126:E126,"²")+COUNTIF($E126:E126,"µ")+COUNTIF($E126:E126,1),ColDescriptionCourte))&gt;1,
HYPERLINK("#Roadmap!C"&amp; MATCH($E126,Roadmap!$D:$D,0)+COUNTIF($E126:E126,"u")+COUNTIF($E126:E126,"t")+COUNTIF($E126:E126,"¶")+COUNTIF($E126:E126,"²")+COUNTIF($E126:E126,"µ")+COUNTIF($E126:E126,1)-1,INDEX(Roadmap!$D:$K,MATCH($E126,Roadmap!$D:$D,0)-1+COUNTIF($E126:E126,"u")+COUNTIF($E126:E126,"t")+COUNTIF($E126:E126,"¶")+COUNTIF($E126:E126,"²")+COUNTIF($E126:E126,"µ")+COUNTIF($E126:E126,1),ColDescriptionCourte)),""),
  "")),"")</f>
        <v/>
      </c>
      <c r="G126" s="40" t="str">
        <f ca="1">IFERROR(IF(AND(
  INDEX(Roadmap!$D:$K,MATCH($E126,Roadmap!$D:$D,0)+COUNTIF($E126:F126,"u")+COUNTIF($E126:F126,"t")+COUNTIF($E126:F126,"¶")+COUNTIF($E126:F126,"²")+COUNTIF($E126:F126,"µ")+COUNTIF($E126:F126,1),ColLivraison)=G$6,
  VLOOKUP($E126,INDIRECT("tri!"&amp; CHAR(64+ C0Col) &amp;":"&amp; CHAR(65+C0Col)),2,FALSE)&gt;COUNTIF($E126:F126,"u")+COUNTIF($E126:F126,"t")+COUNTIF($E126:F126,"¶")+COUNTIF($E126:F126,"²")+COUNTIF($E126:F126,"µ")+COUNTIF($E126:F126,1)),
HYPERLINK("#Roadmap!C"&amp; MATCH($E126,Roadmap!$D:$D,0)+COUNTIF($E126:F126,"u")+COUNTIF($E126:F126,"t"),
     INDEX(Roadmap!$D:$K,MATCH($E126,Roadmap!$D:$D,0)+COUNTIF($E126:F126,"u")+COUNTIF($E126:F126,"t")+COUNTIF($E126:F126,"¶")+COUNTIF($E126:F126,"²")+COUNTIF($E126:F126,"µ")+COUNTIF($E126:F126,1),ColTypeEcheance)),
  IF(LEN(F126)=1,
  IF(LEN(INDEX(Roadmap!$D:$K,MATCH($E126,Roadmap!$D:$D,0)-1+COUNTIF($E126:F126,"u")+COUNTIF($E126:F126,"t")+COUNTIF($E126:F126,"¶")+COUNTIF($E126:F126,"²")+COUNTIF($E126:F126,"µ")+COUNTIF($E126:F126,1),ColDescriptionCourte))&gt;1,
HYPERLINK("#Roadmap!C"&amp; MATCH($E126,Roadmap!$D:$D,0)+COUNTIF($E126:F126,"u")+COUNTIF($E126:F126,"t")+COUNTIF($E126:F126,"¶")+COUNTIF($E126:F126,"²")+COUNTIF($E126:F126,"µ")+COUNTIF($E126:F126,1)-1,INDEX(Roadmap!$D:$K,MATCH($E126,Roadmap!$D:$D,0)-1+COUNTIF($E126:F126,"u")+COUNTIF($E126:F126,"t")+COUNTIF($E126:F126,"¶")+COUNTIF($E126:F126,"²")+COUNTIF($E126:F126,"µ")+COUNTIF($E126:F126,1),ColDescriptionCourte)),""),
  "")),"")</f>
        <v/>
      </c>
      <c r="H126" s="40" t="str">
        <f ca="1">IFERROR(IF(AND(
  INDEX(Roadmap!$D:$K,MATCH($E126,Roadmap!$D:$D,0)+COUNTIF($E126:G126,"u")+COUNTIF($E126:G126,"t")+COUNTIF($E126:G126,"¶")+COUNTIF($E126:G126,"²")+COUNTIF($E126:G126,"µ")+COUNTIF($E126:G126,1),ColLivraison)=H$6,
  VLOOKUP($E126,INDIRECT("tri!"&amp; CHAR(64+ C0Col) &amp;":"&amp; CHAR(65+C0Col)),2,FALSE)&gt;COUNTIF($E126:G126,"u")+COUNTIF($E126:G126,"t")+COUNTIF($E126:G126,"¶")+COUNTIF($E126:G126,"²")+COUNTIF($E126:G126,"µ")+COUNTIF($E126:G126,1)),
HYPERLINK("#Roadmap!C"&amp; MATCH($E126,Roadmap!$D:$D,0)+COUNTIF($E126:G126,"u")+COUNTIF($E126:G126,"t"),
     INDEX(Roadmap!$D:$K,MATCH($E126,Roadmap!$D:$D,0)+COUNTIF($E126:G126,"u")+COUNTIF($E126:G126,"t")+COUNTIF($E126:G126,"¶")+COUNTIF($E126:G126,"²")+COUNTIF($E126:G126,"µ")+COUNTIF($E126:G126,1),ColTypeEcheance)),
  IF(LEN(G126)=1,
  IF(LEN(INDEX(Roadmap!$D:$K,MATCH($E126,Roadmap!$D:$D,0)-1+COUNTIF($E126:G126,"u")+COUNTIF($E126:G126,"t")+COUNTIF($E126:G126,"¶")+COUNTIF($E126:G126,"²")+COUNTIF($E126:G126,"µ")+COUNTIF($E126:G126,1),ColDescriptionCourte))&gt;1,
HYPERLINK("#Roadmap!C"&amp; MATCH($E126,Roadmap!$D:$D,0)+COUNTIF($E126:G126,"u")+COUNTIF($E126:G126,"t")+COUNTIF($E126:G126,"¶")+COUNTIF($E126:G126,"²")+COUNTIF($E126:G126,"µ")+COUNTIF($E126:G126,1)-1,INDEX(Roadmap!$D:$K,MATCH($E126,Roadmap!$D:$D,0)-1+COUNTIF($E126:G126,"u")+COUNTIF($E126:G126,"t")+COUNTIF($E126:G126,"¶")+COUNTIF($E126:G126,"²")+COUNTIF($E126:G126,"µ")+COUNTIF($E126:G126,1),ColDescriptionCourte)),""),
  "")),"")</f>
        <v/>
      </c>
      <c r="I126" s="40" t="str">
        <f ca="1">IFERROR(IF(AND(
  INDEX(Roadmap!$D:$K,MATCH($E126,Roadmap!$D:$D,0)+COUNTIF($E126:H126,"u")+COUNTIF($E126:H126,"t")+COUNTIF($E126:H126,"¶")+COUNTIF($E126:H126,"²")+COUNTIF($E126:H126,"µ")+COUNTIF($E126:H126,1),ColLivraison)=I$6,
  VLOOKUP($E126,INDIRECT("tri!"&amp; CHAR(64+ C0Col) &amp;":"&amp; CHAR(65+C0Col)),2,FALSE)&gt;COUNTIF($E126:H126,"u")+COUNTIF($E126:H126,"t")+COUNTIF($E126:H126,"¶")+COUNTIF($E126:H126,"²")+COUNTIF($E126:H126,"µ")+COUNTIF($E126:H126,1)),
HYPERLINK("#Roadmap!C"&amp; MATCH($E126,Roadmap!$D:$D,0)+COUNTIF($E126:H126,"u")+COUNTIF($E126:H126,"t"),
     INDEX(Roadmap!$D:$K,MATCH($E126,Roadmap!$D:$D,0)+COUNTIF($E126:H126,"u")+COUNTIF($E126:H126,"t")+COUNTIF($E126:H126,"¶")+COUNTIF($E126:H126,"²")+COUNTIF($E126:H126,"µ")+COUNTIF($E126:H126,1),ColTypeEcheance)),
  IF(LEN(H126)=1,
  IF(LEN(INDEX(Roadmap!$D:$K,MATCH($E126,Roadmap!$D:$D,0)-1+COUNTIF($E126:H126,"u")+COUNTIF($E126:H126,"t")+COUNTIF($E126:H126,"¶")+COUNTIF($E126:H126,"²")+COUNTIF($E126:H126,"µ")+COUNTIF($E126:H126,1),ColDescriptionCourte))&gt;1,
HYPERLINK("#Roadmap!C"&amp; MATCH($E126,Roadmap!$D:$D,0)+COUNTIF($E126:H126,"u")+COUNTIF($E126:H126,"t")+COUNTIF($E126:H126,"¶")+COUNTIF($E126:H126,"²")+COUNTIF($E126:H126,"µ")+COUNTIF($E126:H126,1)-1,INDEX(Roadmap!$D:$K,MATCH($E126,Roadmap!$D:$D,0)-1+COUNTIF($E126:H126,"u")+COUNTIF($E126:H126,"t")+COUNTIF($E126:H126,"¶")+COUNTIF($E126:H126,"²")+COUNTIF($E126:H126,"µ")+COUNTIF($E126:H126,1),ColDescriptionCourte)),""),
  "")),"")</f>
        <v/>
      </c>
      <c r="J126" s="40" t="str">
        <f ca="1">IFERROR(IF(AND(
  INDEX(Roadmap!$D:$K,MATCH($E126,Roadmap!$D:$D,0)+COUNTIF($E126:I126,"u")+COUNTIF($E126:I126,"t")+COUNTIF($E126:I126,"¶")+COUNTIF($E126:I126,"²")+COUNTIF($E126:I126,"µ")+COUNTIF($E126:I126,1),ColLivraison)=J$6,
  VLOOKUP($E126,INDIRECT("tri!"&amp; CHAR(64+ C0Col) &amp;":"&amp; CHAR(65+C0Col)),2,FALSE)&gt;COUNTIF($E126:I126,"u")+COUNTIF($E126:I126,"t")+COUNTIF($E126:I126,"¶")+COUNTIF($E126:I126,"²")+COUNTIF($E126:I126,"µ")+COUNTIF($E126:I126,1)),
HYPERLINK("#Roadmap!C"&amp; MATCH($E126,Roadmap!$D:$D,0)+COUNTIF($E126:I126,"u")+COUNTIF($E126:I126,"t"),
     INDEX(Roadmap!$D:$K,MATCH($E126,Roadmap!$D:$D,0)+COUNTIF($E126:I126,"u")+COUNTIF($E126:I126,"t")+COUNTIF($E126:I126,"¶")+COUNTIF($E126:I126,"²")+COUNTIF($E126:I126,"µ")+COUNTIF($E126:I126,1),ColTypeEcheance)),
  IF(LEN(I126)=1,
  IF(LEN(INDEX(Roadmap!$D:$K,MATCH($E126,Roadmap!$D:$D,0)-1+COUNTIF($E126:I126,"u")+COUNTIF($E126:I126,"t")+COUNTIF($E126:I126,"¶")+COUNTIF($E126:I126,"²")+COUNTIF($E126:I126,"µ")+COUNTIF($E126:I126,1),ColDescriptionCourte))&gt;1,
HYPERLINK("#Roadmap!C"&amp; MATCH($E126,Roadmap!$D:$D,0)+COUNTIF($E126:I126,"u")+COUNTIF($E126:I126,"t")+COUNTIF($E126:I126,"¶")+COUNTIF($E126:I126,"²")+COUNTIF($E126:I126,"µ")+COUNTIF($E126:I126,1)-1,INDEX(Roadmap!$D:$K,MATCH($E126,Roadmap!$D:$D,0)-1+COUNTIF($E126:I126,"u")+COUNTIF($E126:I126,"t")+COUNTIF($E126:I126,"¶")+COUNTIF($E126:I126,"²")+COUNTIF($E126:I126,"µ")+COUNTIF($E126:I126,1),ColDescriptionCourte)),""),
  "")),"")</f>
        <v/>
      </c>
      <c r="K126" s="40" t="str">
        <f ca="1">IFERROR(IF(AND(
  INDEX(Roadmap!$D:$K,MATCH($E126,Roadmap!$D:$D,0)+COUNTIF($E126:J126,"u")+COUNTIF($E126:J126,"t")+COUNTIF($E126:J126,"¶")+COUNTIF($E126:J126,"²")+COUNTIF($E126:J126,"µ")+COUNTIF($E126:J126,1),ColLivraison)=K$6,
  VLOOKUP($E126,INDIRECT("tri!"&amp; CHAR(64+ C0Col) &amp;":"&amp; CHAR(65+C0Col)),2,FALSE)&gt;COUNTIF($E126:J126,"u")+COUNTIF($E126:J126,"t")+COUNTIF($E126:J126,"¶")+COUNTIF($E126:J126,"²")+COUNTIF($E126:J126,"µ")+COUNTIF($E126:J126,1)),
HYPERLINK("#Roadmap!C"&amp; MATCH($E126,Roadmap!$D:$D,0)+COUNTIF($E126:J126,"u")+COUNTIF($E126:J126,"t"),
     INDEX(Roadmap!$D:$K,MATCH($E126,Roadmap!$D:$D,0)+COUNTIF($E126:J126,"u")+COUNTIF($E126:J126,"t")+COUNTIF($E126:J126,"¶")+COUNTIF($E126:J126,"²")+COUNTIF($E126:J126,"µ")+COUNTIF($E126:J126,1),ColTypeEcheance)),
  IF(LEN(J126)=1,
  IF(LEN(INDEX(Roadmap!$D:$K,MATCH($E126,Roadmap!$D:$D,0)-1+COUNTIF($E126:J126,"u")+COUNTIF($E126:J126,"t")+COUNTIF($E126:J126,"¶")+COUNTIF($E126:J126,"²")+COUNTIF($E126:J126,"µ")+COUNTIF($E126:J126,1),ColDescriptionCourte))&gt;1,
HYPERLINK("#Roadmap!C"&amp; MATCH($E126,Roadmap!$D:$D,0)+COUNTIF($E126:J126,"u")+COUNTIF($E126:J126,"t")+COUNTIF($E126:J126,"¶")+COUNTIF($E126:J126,"²")+COUNTIF($E126:J126,"µ")+COUNTIF($E126:J126,1)-1,INDEX(Roadmap!$D:$K,MATCH($E126,Roadmap!$D:$D,0)-1+COUNTIF($E126:J126,"u")+COUNTIF($E126:J126,"t")+COUNTIF($E126:J126,"¶")+COUNTIF($E126:J126,"²")+COUNTIF($E126:J126,"µ")+COUNTIF($E126:J126,1),ColDescriptionCourte)),""),
  "")),"")</f>
        <v/>
      </c>
      <c r="L126" s="39" t="str">
        <f ca="1">IFERROR(IF(AND(
  INDEX(Roadmap!$D:$K,MATCH($E126,Roadmap!$D:$D,0)+COUNTIF($E126:K126,"u")+COUNTIF($E126:K126,"t")+COUNTIF($E126:K126,"¶")+COUNTIF($E126:K126,"²")+COUNTIF($E126:K126,"µ")+COUNTIF($E126:K126,1),ColLivraison)=L$6,
  VLOOKUP($E126,INDIRECT("tri!"&amp; CHAR(64+ C0Col) &amp;":"&amp; CHAR(65+C0Col)),2,FALSE)&gt;COUNTIF($E126:K126,"u")+COUNTIF($E126:K126,"t")+COUNTIF($E126:K126,"¶")+COUNTIF($E126:K126,"²")+COUNTIF($E126:K126,"µ")+COUNTIF($E126:K126,1)),
HYPERLINK("#Roadmap!C"&amp; MATCH($E126,Roadmap!$D:$D,0)+COUNTIF($E126:K126,"u")+COUNTIF($E126:K126,"t"),
     INDEX(Roadmap!$D:$K,MATCH($E126,Roadmap!$D:$D,0)+COUNTIF($E126:K126,"u")+COUNTIF($E126:K126,"t")+COUNTIF($E126:K126,"¶")+COUNTIF($E126:K126,"²")+COUNTIF($E126:K126,"µ")+COUNTIF($E126:K126,1),ColTypeEcheance)),
  IF(LEN(K126)=1,
  IF(LEN(INDEX(Roadmap!$D:$K,MATCH($E126,Roadmap!$D:$D,0)-1+COUNTIF($E126:K126,"u")+COUNTIF($E126:K126,"t")+COUNTIF($E126:K126,"¶")+COUNTIF($E126:K126,"²")+COUNTIF($E126:K126,"µ")+COUNTIF($E126:K126,1),ColDescriptionCourte))&gt;1,
HYPERLINK("#Roadmap!C"&amp; MATCH($E126,Roadmap!$D:$D,0)+COUNTIF($E126:K126,"u")+COUNTIF($E126:K126,"t")+COUNTIF($E126:K126,"¶")+COUNTIF($E126:K126,"²")+COUNTIF($E126:K126,"µ")+COUNTIF($E126:K126,1)-1,INDEX(Roadmap!$D:$K,MATCH($E126,Roadmap!$D:$D,0)-1+COUNTIF($E126:K126,"u")+COUNTIF($E126:K126,"t")+COUNTIF($E126:K126,"¶")+COUNTIF($E126:K126,"²")+COUNTIF($E126:K126,"µ")+COUNTIF($E126:K126,1),ColDescriptionCourte)),""),
  "")),"")</f>
        <v/>
      </c>
      <c r="M126" s="40" t="str">
        <f ca="1">IFERROR(IF(AND(
  INDEX(Roadmap!$D:$K,MATCH($E126,Roadmap!$D:$D,0)+COUNTIF($E126:L126,"u")+COUNTIF($E126:L126,"t")+COUNTIF($E126:L126,"¶")+COUNTIF($E126:L126,"²")+COUNTIF($E126:L126,"µ")+COUNTIF($E126:L126,1),ColLivraison)=M$6,
  VLOOKUP($E126,INDIRECT("tri!"&amp; CHAR(64+ C0Col) &amp;":"&amp; CHAR(65+C0Col)),2,FALSE)&gt;COUNTIF($E126:L126,"u")+COUNTIF($E126:L126,"t")+COUNTIF($E126:L126,"¶")+COUNTIF($E126:L126,"²")+COUNTIF($E126:L126,"µ")+COUNTIF($E126:L126,1)),
HYPERLINK("#Roadmap!C"&amp; MATCH($E126,Roadmap!$D:$D,0)+COUNTIF($E126:L126,"u")+COUNTIF($E126:L126,"t"),
     INDEX(Roadmap!$D:$K,MATCH($E126,Roadmap!$D:$D,0)+COUNTIF($E126:L126,"u")+COUNTIF($E126:L126,"t")+COUNTIF($E126:L126,"¶")+COUNTIF($E126:L126,"²")+COUNTIF($E126:L126,"µ")+COUNTIF($E126:L126,1),ColTypeEcheance)),
  IF(LEN(L126)=1,
  IF(LEN(INDEX(Roadmap!$D:$K,MATCH($E126,Roadmap!$D:$D,0)-1+COUNTIF($E126:L126,"u")+COUNTIF($E126:L126,"t")+COUNTIF($E126:L126,"¶")+COUNTIF($E126:L126,"²")+COUNTIF($E126:L126,"µ")+COUNTIF($E126:L126,1),ColDescriptionCourte))&gt;1,
HYPERLINK("#Roadmap!C"&amp; MATCH($E126,Roadmap!$D:$D,0)+COUNTIF($E126:L126,"u")+COUNTIF($E126:L126,"t")+COUNTIF($E126:L126,"¶")+COUNTIF($E126:L126,"²")+COUNTIF($E126:L126,"µ")+COUNTIF($E126:L126,1)-1,INDEX(Roadmap!$D:$K,MATCH($E126,Roadmap!$D:$D,0)-1+COUNTIF($E126:L126,"u")+COUNTIF($E126:L126,"t")+COUNTIF($E126:L126,"¶")+COUNTIF($E126:L126,"²")+COUNTIF($E126:L126,"µ")+COUNTIF($E126:L126,1),ColDescriptionCourte)),""),
  "")),"")</f>
        <v/>
      </c>
      <c r="N126" s="40" t="str">
        <f ca="1">IFERROR(IF(AND(
  INDEX(Roadmap!$D:$K,MATCH($E126,Roadmap!$D:$D,0)+COUNTIF($E126:M126,"u")+COUNTIF($E126:M126,"t")+COUNTIF($E126:M126,"¶")+COUNTIF($E126:M126,"²")+COUNTIF($E126:M126,"µ")+COUNTIF($E126:M126,1),ColLivraison)=N$6,
  VLOOKUP($E126,INDIRECT("tri!"&amp; CHAR(64+ C0Col) &amp;":"&amp; CHAR(65+C0Col)),2,FALSE)&gt;COUNTIF($E126:M126,"u")+COUNTIF($E126:M126,"t")+COUNTIF($E126:M126,"¶")+COUNTIF($E126:M126,"²")+COUNTIF($E126:M126,"µ")+COUNTIF($E126:M126,1)),
HYPERLINK("#Roadmap!C"&amp; MATCH($E126,Roadmap!$D:$D,0)+COUNTIF($E126:M126,"u")+COUNTIF($E126:M126,"t"),
     INDEX(Roadmap!$D:$K,MATCH($E126,Roadmap!$D:$D,0)+COUNTIF($E126:M126,"u")+COUNTIF($E126:M126,"t")+COUNTIF($E126:M126,"¶")+COUNTIF($E126:M126,"²")+COUNTIF($E126:M126,"µ")+COUNTIF($E126:M126,1),ColTypeEcheance)),
  IF(LEN(M126)=1,
  IF(LEN(INDEX(Roadmap!$D:$K,MATCH($E126,Roadmap!$D:$D,0)-1+COUNTIF($E126:M126,"u")+COUNTIF($E126:M126,"t")+COUNTIF($E126:M126,"¶")+COUNTIF($E126:M126,"²")+COUNTIF($E126:M126,"µ")+COUNTIF($E126:M126,1),ColDescriptionCourte))&gt;1,
HYPERLINK("#Roadmap!C"&amp; MATCH($E126,Roadmap!$D:$D,0)+COUNTIF($E126:M126,"u")+COUNTIF($E126:M126,"t")+COUNTIF($E126:M126,"¶")+COUNTIF($E126:M126,"²")+COUNTIF($E126:M126,"µ")+COUNTIF($E126:M126,1)-1,INDEX(Roadmap!$D:$K,MATCH($E126,Roadmap!$D:$D,0)-1+COUNTIF($E126:M126,"u")+COUNTIF($E126:M126,"t")+COUNTIF($E126:M126,"¶")+COUNTIF($E126:M126,"²")+COUNTIF($E126:M126,"µ")+COUNTIF($E126:M126,1),ColDescriptionCourte)),""),
  "")),"")</f>
        <v/>
      </c>
      <c r="O126" s="40" t="str">
        <f ca="1">IFERROR(IF(AND(
  INDEX(Roadmap!$D:$K,MATCH($E126,Roadmap!$D:$D,0)+COUNTIF($E126:N126,"u")+COUNTIF($E126:N126,"t")+COUNTIF($E126:N126,"¶")+COUNTIF($E126:N126,"²")+COUNTIF($E126:N126,"µ")+COUNTIF($E126:N126,1),ColLivraison)=O$6,
  VLOOKUP($E126,INDIRECT("tri!"&amp; CHAR(64+ C0Col) &amp;":"&amp; CHAR(65+C0Col)),2,FALSE)&gt;COUNTIF($E126:N126,"u")+COUNTIF($E126:N126,"t")+COUNTIF($E126:N126,"¶")+COUNTIF($E126:N126,"²")+COUNTIF($E126:N126,"µ")+COUNTIF($E126:N126,1)),
HYPERLINK("#Roadmap!C"&amp; MATCH($E126,Roadmap!$D:$D,0)+COUNTIF($E126:N126,"u")+COUNTIF($E126:N126,"t"),
     INDEX(Roadmap!$D:$K,MATCH($E126,Roadmap!$D:$D,0)+COUNTIF($E126:N126,"u")+COUNTIF($E126:N126,"t")+COUNTIF($E126:N126,"¶")+COUNTIF($E126:N126,"²")+COUNTIF($E126:N126,"µ")+COUNTIF($E126:N126,1),ColTypeEcheance)),
  IF(LEN(N126)=1,
  IF(LEN(INDEX(Roadmap!$D:$K,MATCH($E126,Roadmap!$D:$D,0)-1+COUNTIF($E126:N126,"u")+COUNTIF($E126:N126,"t")+COUNTIF($E126:N126,"¶")+COUNTIF($E126:N126,"²")+COUNTIF($E126:N126,"µ")+COUNTIF($E126:N126,1),ColDescriptionCourte))&gt;1,
HYPERLINK("#Roadmap!C"&amp; MATCH($E126,Roadmap!$D:$D,0)+COUNTIF($E126:N126,"u")+COUNTIF($E126:N126,"t")+COUNTIF($E126:N126,"¶")+COUNTIF($E126:N126,"²")+COUNTIF($E126:N126,"µ")+COUNTIF($E126:N126,1)-1,INDEX(Roadmap!$D:$K,MATCH($E126,Roadmap!$D:$D,0)-1+COUNTIF($E126:N126,"u")+COUNTIF($E126:N126,"t")+COUNTIF($E126:N126,"¶")+COUNTIF($E126:N126,"²")+COUNTIF($E126:N126,"µ")+COUNTIF($E126:N126,1),ColDescriptionCourte)),""),
  "")),"")</f>
        <v/>
      </c>
      <c r="P126" s="40" t="str">
        <f ca="1">IFERROR(IF(AND(
  INDEX(Roadmap!$D:$K,MATCH($E126,Roadmap!$D:$D,0)+COUNTIF($E126:O126,"u")+COUNTIF($E126:O126,"t")+COUNTIF($E126:O126,"¶")+COUNTIF($E126:O126,"²")+COUNTIF($E126:O126,"µ")+COUNTIF($E126:O126,1),ColLivraison)=P$6,
  VLOOKUP($E126,INDIRECT("tri!"&amp; CHAR(64+ C0Col) &amp;":"&amp; CHAR(65+C0Col)),2,FALSE)&gt;COUNTIF($E126:O126,"u")+COUNTIF($E126:O126,"t")+COUNTIF($E126:O126,"¶")+COUNTIF($E126:O126,"²")+COUNTIF($E126:O126,"µ")+COUNTIF($E126:O126,1)),
HYPERLINK("#Roadmap!C"&amp; MATCH($E126,Roadmap!$D:$D,0)+COUNTIF($E126:O126,"u")+COUNTIF($E126:O126,"t"),
     INDEX(Roadmap!$D:$K,MATCH($E126,Roadmap!$D:$D,0)+COUNTIF($E126:O126,"u")+COUNTIF($E126:O126,"t")+COUNTIF($E126:O126,"¶")+COUNTIF($E126:O126,"²")+COUNTIF($E126:O126,"µ")+COUNTIF($E126:O126,1),ColTypeEcheance)),
  IF(LEN(O126)=1,
  IF(LEN(INDEX(Roadmap!$D:$K,MATCH($E126,Roadmap!$D:$D,0)-1+COUNTIF($E126:O126,"u")+COUNTIF($E126:O126,"t")+COUNTIF($E126:O126,"¶")+COUNTIF($E126:O126,"²")+COUNTIF($E126:O126,"µ")+COUNTIF($E126:O126,1),ColDescriptionCourte))&gt;1,
HYPERLINK("#Roadmap!C"&amp; MATCH($E126,Roadmap!$D:$D,0)+COUNTIF($E126:O126,"u")+COUNTIF($E126:O126,"t")+COUNTIF($E126:O126,"¶")+COUNTIF($E126:O126,"²")+COUNTIF($E126:O126,"µ")+COUNTIF($E126:O126,1)-1,INDEX(Roadmap!$D:$K,MATCH($E126,Roadmap!$D:$D,0)-1+COUNTIF($E126:O126,"u")+COUNTIF($E126:O126,"t")+COUNTIF($E126:O126,"¶")+COUNTIF($E126:O126,"²")+COUNTIF($E126:O126,"µ")+COUNTIF($E126:O126,1),ColDescriptionCourte)),""),
  "")),"")</f>
        <v/>
      </c>
      <c r="Q126" s="40" t="str">
        <f ca="1">IFERROR(IF(AND(
  INDEX(Roadmap!$D:$K,MATCH($E126,Roadmap!$D:$D,0)+COUNTIF($E126:P126,"u")+COUNTIF($E126:P126,"t")+COUNTIF($E126:P126,"¶")+COUNTIF($E126:P126,"²")+COUNTIF($E126:P126,"µ")+COUNTIF($E126:P126,1),ColLivraison)=Q$6,
  VLOOKUP($E126,INDIRECT("tri!"&amp; CHAR(64+ C0Col) &amp;":"&amp; CHAR(65+C0Col)),2,FALSE)&gt;COUNTIF($E126:P126,"u")+COUNTIF($E126:P126,"t")+COUNTIF($E126:P126,"¶")+COUNTIF($E126:P126,"²")+COUNTIF($E126:P126,"µ")+COUNTIF($E126:P126,1)),
HYPERLINK("#Roadmap!C"&amp; MATCH($E126,Roadmap!$D:$D,0)+COUNTIF($E126:P126,"u")+COUNTIF($E126:P126,"t"),
     INDEX(Roadmap!$D:$K,MATCH($E126,Roadmap!$D:$D,0)+COUNTIF($E126:P126,"u")+COUNTIF($E126:P126,"t")+COUNTIF($E126:P126,"¶")+COUNTIF($E126:P126,"²")+COUNTIF($E126:P126,"µ")+COUNTIF($E126:P126,1),ColTypeEcheance)),
  IF(LEN(P126)=1,
  IF(LEN(INDEX(Roadmap!$D:$K,MATCH($E126,Roadmap!$D:$D,0)-1+COUNTIF($E126:P126,"u")+COUNTIF($E126:P126,"t")+COUNTIF($E126:P126,"¶")+COUNTIF($E126:P126,"²")+COUNTIF($E126:P126,"µ")+COUNTIF($E126:P126,1),ColDescriptionCourte))&gt;1,
HYPERLINK("#Roadmap!C"&amp; MATCH($E126,Roadmap!$D:$D,0)+COUNTIF($E126:P126,"u")+COUNTIF($E126:P126,"t")+COUNTIF($E126:P126,"¶")+COUNTIF($E126:P126,"²")+COUNTIF($E126:P126,"µ")+COUNTIF($E126:P126,1)-1,INDEX(Roadmap!$D:$K,MATCH($E126,Roadmap!$D:$D,0)-1+COUNTIF($E126:P126,"u")+COUNTIF($E126:P126,"t")+COUNTIF($E126:P126,"¶")+COUNTIF($E126:P126,"²")+COUNTIF($E126:P126,"µ")+COUNTIF($E126:P126,1),ColDescriptionCourte)),""),
  "")),"")</f>
        <v/>
      </c>
      <c r="R126" s="40" t="str">
        <f ca="1">IFERROR(IF(AND(
  INDEX(Roadmap!$D:$K,MATCH($E126,Roadmap!$D:$D,0)+COUNTIF($E126:Q126,"u")+COUNTIF($E126:Q126,"t")+COUNTIF($E126:Q126,"¶")+COUNTIF($E126:Q126,"²")+COUNTIF($E126:Q126,"µ")+COUNTIF($E126:Q126,1),ColLivraison)=R$6,
  VLOOKUP($E126,INDIRECT("tri!"&amp; CHAR(64+ C0Col) &amp;":"&amp; CHAR(65+C0Col)),2,FALSE)&gt;COUNTIF($E126:Q126,"u")+COUNTIF($E126:Q126,"t")+COUNTIF($E126:Q126,"¶")+COUNTIF($E126:Q126,"²")+COUNTIF($E126:Q126,"µ")+COUNTIF($E126:Q126,1)),
HYPERLINK("#Roadmap!C"&amp; MATCH($E126,Roadmap!$D:$D,0)+COUNTIF($E126:Q126,"u")+COUNTIF($E126:Q126,"t"),
     INDEX(Roadmap!$D:$K,MATCH($E126,Roadmap!$D:$D,0)+COUNTIF($E126:Q126,"u")+COUNTIF($E126:Q126,"t")+COUNTIF($E126:Q126,"¶")+COUNTIF($E126:Q126,"²")+COUNTIF($E126:Q126,"µ")+COUNTIF($E126:Q126,1),ColTypeEcheance)),
  IF(LEN(Q126)=1,
  IF(LEN(INDEX(Roadmap!$D:$K,MATCH($E126,Roadmap!$D:$D,0)-1+COUNTIF($E126:Q126,"u")+COUNTIF($E126:Q126,"t")+COUNTIF($E126:Q126,"¶")+COUNTIF($E126:Q126,"²")+COUNTIF($E126:Q126,"µ")+COUNTIF($E126:Q126,1),ColDescriptionCourte))&gt;1,
HYPERLINK("#Roadmap!C"&amp; MATCH($E126,Roadmap!$D:$D,0)+COUNTIF($E126:Q126,"u")+COUNTIF($E126:Q126,"t")+COUNTIF($E126:Q126,"¶")+COUNTIF($E126:Q126,"²")+COUNTIF($E126:Q126,"µ")+COUNTIF($E126:Q126,1)-1,INDEX(Roadmap!$D:$K,MATCH($E126,Roadmap!$D:$D,0)-1+COUNTIF($E126:Q126,"u")+COUNTIF($E126:Q126,"t")+COUNTIF($E126:Q126,"¶")+COUNTIF($E126:Q126,"²")+COUNTIF($E126:Q126,"µ")+COUNTIF($E126:Q126,1),ColDescriptionCourte)),""),
  "")),"")</f>
        <v/>
      </c>
      <c r="S126" s="40" t="str">
        <f ca="1">IFERROR(IF(AND(
  INDEX(Roadmap!$D:$K,MATCH($E126,Roadmap!$D:$D,0)+COUNTIF($E126:R126,"u")+COUNTIF($E126:R126,"t")+COUNTIF($E126:R126,"¶")+COUNTIF($E126:R126,"²")+COUNTIF($E126:R126,"µ")+COUNTIF($E126:R126,1),ColLivraison)=S$6,
  VLOOKUP($E126,INDIRECT("tri!"&amp; CHAR(64+ C0Col) &amp;":"&amp; CHAR(65+C0Col)),2,FALSE)&gt;COUNTIF($E126:R126,"u")+COUNTIF($E126:R126,"t")+COUNTIF($E126:R126,"¶")+COUNTIF($E126:R126,"²")+COUNTIF($E126:R126,"µ")+COUNTIF($E126:R126,1)),
HYPERLINK("#Roadmap!C"&amp; MATCH($E126,Roadmap!$D:$D,0)+COUNTIF($E126:R126,"u")+COUNTIF($E126:R126,"t"),
     INDEX(Roadmap!$D:$K,MATCH($E126,Roadmap!$D:$D,0)+COUNTIF($E126:R126,"u")+COUNTIF($E126:R126,"t")+COUNTIF($E126:R126,"¶")+COUNTIF($E126:R126,"²")+COUNTIF($E126:R126,"µ")+COUNTIF($E126:R126,1),ColTypeEcheance)),
  IF(LEN(R126)=1,
  IF(LEN(INDEX(Roadmap!$D:$K,MATCH($E126,Roadmap!$D:$D,0)-1+COUNTIF($E126:R126,"u")+COUNTIF($E126:R126,"t")+COUNTIF($E126:R126,"¶")+COUNTIF($E126:R126,"²")+COUNTIF($E126:R126,"µ")+COUNTIF($E126:R126,1),ColDescriptionCourte))&gt;1,
HYPERLINK("#Roadmap!C"&amp; MATCH($E126,Roadmap!$D:$D,0)+COUNTIF($E126:R126,"u")+COUNTIF($E126:R126,"t")+COUNTIF($E126:R126,"¶")+COUNTIF($E126:R126,"²")+COUNTIF($E126:R126,"µ")+COUNTIF($E126:R126,1)-1,INDEX(Roadmap!$D:$K,MATCH($E126,Roadmap!$D:$D,0)-1+COUNTIF($E126:R126,"u")+COUNTIF($E126:R126,"t")+COUNTIF($E126:R126,"¶")+COUNTIF($E126:R126,"²")+COUNTIF($E126:R126,"µ")+COUNTIF($E126:R126,1),ColDescriptionCourte)),""),
  "")),"")</f>
        <v/>
      </c>
      <c r="T126" s="40" t="str">
        <f ca="1">IFERROR(IF(AND(
  INDEX(Roadmap!$D:$K,MATCH($E126,Roadmap!$D:$D,0)+COUNTIF($E126:S126,"u")+COUNTIF($E126:S126,"t")+COUNTIF($E126:S126,"¶")+COUNTIF($E126:S126,"²")+COUNTIF($E126:S126,"µ")+COUNTIF($E126:S126,1),ColLivraison)=T$6,
  VLOOKUP($E126,INDIRECT("tri!"&amp; CHAR(64+ C0Col) &amp;":"&amp; CHAR(65+C0Col)),2,FALSE)&gt;COUNTIF($E126:S126,"u")+COUNTIF($E126:S126,"t")+COUNTIF($E126:S126,"¶")+COUNTIF($E126:S126,"²")+COUNTIF($E126:S126,"µ")+COUNTIF($E126:S126,1)),
HYPERLINK("#Roadmap!C"&amp; MATCH($E126,Roadmap!$D:$D,0)+COUNTIF($E126:S126,"u")+COUNTIF($E126:S126,"t"),
     INDEX(Roadmap!$D:$K,MATCH($E126,Roadmap!$D:$D,0)+COUNTIF($E126:S126,"u")+COUNTIF($E126:S126,"t")+COUNTIF($E126:S126,"¶")+COUNTIF($E126:S126,"²")+COUNTIF($E126:S126,"µ")+COUNTIF($E126:S126,1),ColTypeEcheance)),
  IF(LEN(S126)=1,
  IF(LEN(INDEX(Roadmap!$D:$K,MATCH($E126,Roadmap!$D:$D,0)-1+COUNTIF($E126:S126,"u")+COUNTIF($E126:S126,"t")+COUNTIF($E126:S126,"¶")+COUNTIF($E126:S126,"²")+COUNTIF($E126:S126,"µ")+COUNTIF($E126:S126,1),ColDescriptionCourte))&gt;1,
HYPERLINK("#Roadmap!C"&amp; MATCH($E126,Roadmap!$D:$D,0)+COUNTIF($E126:S126,"u")+COUNTIF($E126:S126,"t")+COUNTIF($E126:S126,"¶")+COUNTIF($E126:S126,"²")+COUNTIF($E126:S126,"µ")+COUNTIF($E126:S126,1)-1,INDEX(Roadmap!$D:$K,MATCH($E126,Roadmap!$D:$D,0)-1+COUNTIF($E126:S126,"u")+COUNTIF($E126:S126,"t")+COUNTIF($E126:S126,"¶")+COUNTIF($E126:S126,"²")+COUNTIF($E126:S126,"µ")+COUNTIF($E126:S126,1),ColDescriptionCourte)),""),
  "")),"")</f>
        <v/>
      </c>
      <c r="U126" s="40" t="str">
        <f ca="1">IFERROR(IF(AND(
  INDEX(Roadmap!$D:$K,MATCH($E126,Roadmap!$D:$D,0)+COUNTIF($E126:T126,"u")+COUNTIF($E126:T126,"t")+COUNTIF($E126:T126,"¶")+COUNTIF($E126:T126,"²")+COUNTIF($E126:T126,"µ")+COUNTIF($E126:T126,1),ColLivraison)=U$6,
  VLOOKUP($E126,INDIRECT("tri!"&amp; CHAR(64+ C0Col) &amp;":"&amp; CHAR(65+C0Col)),2,FALSE)&gt;COUNTIF($E126:T126,"u")+COUNTIF($E126:T126,"t")+COUNTIF($E126:T126,"¶")+COUNTIF($E126:T126,"²")+COUNTIF($E126:T126,"µ")+COUNTIF($E126:T126,1)),
HYPERLINK("#Roadmap!C"&amp; MATCH($E126,Roadmap!$D:$D,0)+COUNTIF($E126:T126,"u")+COUNTIF($E126:T126,"t"),
     INDEX(Roadmap!$D:$K,MATCH($E126,Roadmap!$D:$D,0)+COUNTIF($E126:T126,"u")+COUNTIF($E126:T126,"t")+COUNTIF($E126:T126,"¶")+COUNTIF($E126:T126,"²")+COUNTIF($E126:T126,"µ")+COUNTIF($E126:T126,1),ColTypeEcheance)),
  IF(LEN(T126)=1,
  IF(LEN(INDEX(Roadmap!$D:$K,MATCH($E126,Roadmap!$D:$D,0)-1+COUNTIF($E126:T126,"u")+COUNTIF($E126:T126,"t")+COUNTIF($E126:T126,"¶")+COUNTIF($E126:T126,"²")+COUNTIF($E126:T126,"µ")+COUNTIF($E126:T126,1),ColDescriptionCourte))&gt;1,
HYPERLINK("#Roadmap!C"&amp; MATCH($E126,Roadmap!$D:$D,0)+COUNTIF($E126:T126,"u")+COUNTIF($E126:T126,"t")+COUNTIF($E126:T126,"¶")+COUNTIF($E126:T126,"²")+COUNTIF($E126:T126,"µ")+COUNTIF($E126:T126,1)-1,INDEX(Roadmap!$D:$K,MATCH($E126,Roadmap!$D:$D,0)-1+COUNTIF($E126:T126,"u")+COUNTIF($E126:T126,"t")+COUNTIF($E126:T126,"¶")+COUNTIF($E126:T126,"²")+COUNTIF($E126:T126,"µ")+COUNTIF($E126:T126,1),ColDescriptionCourte)),""),
  "")),"")</f>
        <v/>
      </c>
      <c r="V126" s="40" t="str">
        <f ca="1">IFERROR(IF(AND(
  INDEX(Roadmap!$D:$K,MATCH($E126,Roadmap!$D:$D,0)+COUNTIF($E126:U126,"u")+COUNTIF($E126:U126,"t")+COUNTIF($E126:U126,"¶")+COUNTIF($E126:U126,"²")+COUNTIF($E126:U126,"µ")+COUNTIF($E126:U126,1),ColLivraison)=V$6,
  VLOOKUP($E126,INDIRECT("tri!"&amp; CHAR(64+ C0Col) &amp;":"&amp; CHAR(65+C0Col)),2,FALSE)&gt;COUNTIF($E126:U126,"u")+COUNTIF($E126:U126,"t")+COUNTIF($E126:U126,"¶")+COUNTIF($E126:U126,"²")+COUNTIF($E126:U126,"µ")+COUNTIF($E126:U126,1)),
HYPERLINK("#Roadmap!C"&amp; MATCH($E126,Roadmap!$D:$D,0)+COUNTIF($E126:U126,"u")+COUNTIF($E126:U126,"t"),
     INDEX(Roadmap!$D:$K,MATCH($E126,Roadmap!$D:$D,0)+COUNTIF($E126:U126,"u")+COUNTIF($E126:U126,"t")+COUNTIF($E126:U126,"¶")+COUNTIF($E126:U126,"²")+COUNTIF($E126:U126,"µ")+COUNTIF($E126:U126,1),ColTypeEcheance)),
  IF(LEN(U126)=1,
  IF(LEN(INDEX(Roadmap!$D:$K,MATCH($E126,Roadmap!$D:$D,0)-1+COUNTIF($E126:U126,"u")+COUNTIF($E126:U126,"t")+COUNTIF($E126:U126,"¶")+COUNTIF($E126:U126,"²")+COUNTIF($E126:U126,"µ")+COUNTIF($E126:U126,1),ColDescriptionCourte))&gt;1,
HYPERLINK("#Roadmap!C"&amp; MATCH($E126,Roadmap!$D:$D,0)+COUNTIF($E126:U126,"u")+COUNTIF($E126:U126,"t")+COUNTIF($E126:U126,"¶")+COUNTIF($E126:U126,"²")+COUNTIF($E126:U126,"µ")+COUNTIF($E126:U126,1)-1,INDEX(Roadmap!$D:$K,MATCH($E126,Roadmap!$D:$D,0)-1+COUNTIF($E126:U126,"u")+COUNTIF($E126:U126,"t")+COUNTIF($E126:U126,"¶")+COUNTIF($E126:U126,"²")+COUNTIF($E126:U126,"µ")+COUNTIF($E126:U126,1),ColDescriptionCourte)),""),
  "")),"")</f>
        <v/>
      </c>
      <c r="W126" s="40" t="str">
        <f ca="1">IFERROR(IF(AND(
  INDEX(Roadmap!$D:$K,MATCH($E126,Roadmap!$D:$D,0)+COUNTIF($E126:V126,"u")+COUNTIF($E126:V126,"t")+COUNTIF($E126:V126,"¶")+COUNTIF($E126:V126,"²")+COUNTIF($E126:V126,"µ")+COUNTIF($E126:V126,1),ColLivraison)=W$6,
  VLOOKUP($E126,INDIRECT("tri!"&amp; CHAR(64+ C0Col) &amp;":"&amp; CHAR(65+C0Col)),2,FALSE)&gt;COUNTIF($E126:V126,"u")+COUNTIF($E126:V126,"t")+COUNTIF($E126:V126,"¶")+COUNTIF($E126:V126,"²")+COUNTIF($E126:V126,"µ")+COUNTIF($E126:V126,1)),
HYPERLINK("#Roadmap!C"&amp; MATCH($E126,Roadmap!$D:$D,0)+COUNTIF($E126:V126,"u")+COUNTIF($E126:V126,"t"),
     INDEX(Roadmap!$D:$K,MATCH($E126,Roadmap!$D:$D,0)+COUNTIF($E126:V126,"u")+COUNTIF($E126:V126,"t")+COUNTIF($E126:V126,"¶")+COUNTIF($E126:V126,"²")+COUNTIF($E126:V126,"µ")+COUNTIF($E126:V126,1),ColTypeEcheance)),
  IF(LEN(V126)=1,
  IF(LEN(INDEX(Roadmap!$D:$K,MATCH($E126,Roadmap!$D:$D,0)-1+COUNTIF($E126:V126,"u")+COUNTIF($E126:V126,"t")+COUNTIF($E126:V126,"¶")+COUNTIF($E126:V126,"²")+COUNTIF($E126:V126,"µ")+COUNTIF($E126:V126,1),ColDescriptionCourte))&gt;1,
HYPERLINK("#Roadmap!C"&amp; MATCH($E126,Roadmap!$D:$D,0)+COUNTIF($E126:V126,"u")+COUNTIF($E126:V126,"t")+COUNTIF($E126:V126,"¶")+COUNTIF($E126:V126,"²")+COUNTIF($E126:V126,"µ")+COUNTIF($E126:V126,1)-1,INDEX(Roadmap!$D:$K,MATCH($E126,Roadmap!$D:$D,0)-1+COUNTIF($E126:V126,"u")+COUNTIF($E126:V126,"t")+COUNTIF($E126:V126,"¶")+COUNTIF($E126:V126,"²")+COUNTIF($E126:V126,"µ")+COUNTIF($E126:V126,1),ColDescriptionCourte)),""),
  "")),"")</f>
        <v/>
      </c>
      <c r="X126" s="40" t="str">
        <f ca="1">IFERROR(IF(AND(
  INDEX(Roadmap!$D:$K,MATCH($E126,Roadmap!$D:$D,0)+COUNTIF($E126:W126,"u")+COUNTIF($E126:W126,"t")+COUNTIF($E126:W126,"¶")+COUNTIF($E126:W126,"²")+COUNTIF($E126:W126,"µ")+COUNTIF($E126:W126,1),ColLivraison)=X$6,
  VLOOKUP($E126,INDIRECT("tri!"&amp; CHAR(64+ C0Col) &amp;":"&amp; CHAR(65+C0Col)),2,FALSE)&gt;COUNTIF($E126:W126,"u")+COUNTIF($E126:W126,"t")+COUNTIF($E126:W126,"¶")+COUNTIF($E126:W126,"²")+COUNTIF($E126:W126,"µ")+COUNTIF($E126:W126,1)),
HYPERLINK("#Roadmap!C"&amp; MATCH($E126,Roadmap!$D:$D,0)+COUNTIF($E126:W126,"u")+COUNTIF($E126:W126,"t"),
     INDEX(Roadmap!$D:$K,MATCH($E126,Roadmap!$D:$D,0)+COUNTIF($E126:W126,"u")+COUNTIF($E126:W126,"t")+COUNTIF($E126:W126,"¶")+COUNTIF($E126:W126,"²")+COUNTIF($E126:W126,"µ")+COUNTIF($E126:W126,1),ColTypeEcheance)),
  IF(LEN(W126)=1,
  IF(LEN(INDEX(Roadmap!$D:$K,MATCH($E126,Roadmap!$D:$D,0)-1+COUNTIF($E126:W126,"u")+COUNTIF($E126:W126,"t")+COUNTIF($E126:W126,"¶")+COUNTIF($E126:W126,"²")+COUNTIF($E126:W126,"µ")+COUNTIF($E126:W126,1),ColDescriptionCourte))&gt;1,
HYPERLINK("#Roadmap!C"&amp; MATCH($E126,Roadmap!$D:$D,0)+COUNTIF($E126:W126,"u")+COUNTIF($E126:W126,"t")+COUNTIF($E126:W126,"¶")+COUNTIF($E126:W126,"²")+COUNTIF($E126:W126,"µ")+COUNTIF($E126:W126,1)-1,INDEX(Roadmap!$D:$K,MATCH($E126,Roadmap!$D:$D,0)-1+COUNTIF($E126:W126,"u")+COUNTIF($E126:W126,"t")+COUNTIF($E126:W126,"¶")+COUNTIF($E126:W126,"²")+COUNTIF($E126:W126,"µ")+COUNTIF($E126:W126,1),ColDescriptionCourte)),""),
  "")),"")</f>
        <v/>
      </c>
      <c r="Y126" s="40" t="str">
        <f ca="1">IFERROR(IF(AND(
  INDEX(Roadmap!$D:$K,MATCH($E126,Roadmap!$D:$D,0)+COUNTIF($E126:X126,"u")+COUNTIF($E126:X126,"t")+COUNTIF($E126:X126,"¶")+COUNTIF($E126:X126,"²")+COUNTIF($E126:X126,"µ")+COUNTIF($E126:X126,1),ColLivraison)=Y$6,
  VLOOKUP($E126,INDIRECT("tri!"&amp; CHAR(64+ C0Col) &amp;":"&amp; CHAR(65+C0Col)),2,FALSE)&gt;COUNTIF($E126:X126,"u")+COUNTIF($E126:X126,"t")+COUNTIF($E126:X126,"¶")+COUNTIF($E126:X126,"²")+COUNTIF($E126:X126,"µ")+COUNTIF($E126:X126,1)),
HYPERLINK("#Roadmap!C"&amp; MATCH($E126,Roadmap!$D:$D,0)+COUNTIF($E126:X126,"u")+COUNTIF($E126:X126,"t"),
     INDEX(Roadmap!$D:$K,MATCH($E126,Roadmap!$D:$D,0)+COUNTIF($E126:X126,"u")+COUNTIF($E126:X126,"t")+COUNTIF($E126:X126,"¶")+COUNTIF($E126:X126,"²")+COUNTIF($E126:X126,"µ")+COUNTIF($E126:X126,1),ColTypeEcheance)),
  IF(LEN(X126)=1,
  IF(LEN(INDEX(Roadmap!$D:$K,MATCH($E126,Roadmap!$D:$D,0)-1+COUNTIF($E126:X126,"u")+COUNTIF($E126:X126,"t")+COUNTIF($E126:X126,"¶")+COUNTIF($E126:X126,"²")+COUNTIF($E126:X126,"µ")+COUNTIF($E126:X126,1),ColDescriptionCourte))&gt;1,
HYPERLINK("#Roadmap!C"&amp; MATCH($E126,Roadmap!$D:$D,0)+COUNTIF($E126:X126,"u")+COUNTIF($E126:X126,"t")+COUNTIF($E126:X126,"¶")+COUNTIF($E126:X126,"²")+COUNTIF($E126:X126,"µ")+COUNTIF($E126:X126,1)-1,INDEX(Roadmap!$D:$K,MATCH($E126,Roadmap!$D:$D,0)-1+COUNTIF($E126:X126,"u")+COUNTIF($E126:X126,"t")+COUNTIF($E126:X126,"¶")+COUNTIF($E126:X126,"²")+COUNTIF($E126:X126,"µ")+COUNTIF($E126:X126,1),ColDescriptionCourte)),""),
  "")),"")</f>
        <v/>
      </c>
      <c r="Z126" s="40" t="str">
        <f ca="1">IFERROR(IF(AND(
  INDEX(Roadmap!$D:$K,MATCH($E126,Roadmap!$D:$D,0)+COUNTIF($E126:Y126,"u")+COUNTIF($E126:Y126,"t")+COUNTIF($E126:Y126,"¶")+COUNTIF($E126:Y126,"²")+COUNTIF($E126:Y126,"µ")+COUNTIF($E126:Y126,1),ColLivraison)=Z$6,
  VLOOKUP($E126,INDIRECT("tri!"&amp; CHAR(64+ C0Col) &amp;":"&amp; CHAR(65+C0Col)),2,FALSE)&gt;COUNTIF($E126:Y126,"u")+COUNTIF($E126:Y126,"t")+COUNTIF($E126:Y126,"¶")+COUNTIF($E126:Y126,"²")+COUNTIF($E126:Y126,"µ")+COUNTIF($E126:Y126,1)),
HYPERLINK("#Roadmap!C"&amp; MATCH($E126,Roadmap!$D:$D,0)+COUNTIF($E126:Y126,"u")+COUNTIF($E126:Y126,"t"),
     INDEX(Roadmap!$D:$K,MATCH($E126,Roadmap!$D:$D,0)+COUNTIF($E126:Y126,"u")+COUNTIF($E126:Y126,"t")+COUNTIF($E126:Y126,"¶")+COUNTIF($E126:Y126,"²")+COUNTIF($E126:Y126,"µ")+COUNTIF($E126:Y126,1),ColTypeEcheance)),
  IF(LEN(Y126)=1,
  IF(LEN(INDEX(Roadmap!$D:$K,MATCH($E126,Roadmap!$D:$D,0)-1+COUNTIF($E126:Y126,"u")+COUNTIF($E126:Y126,"t")+COUNTIF($E126:Y126,"¶")+COUNTIF($E126:Y126,"²")+COUNTIF($E126:Y126,"µ")+COUNTIF($E126:Y126,1),ColDescriptionCourte))&gt;1,
HYPERLINK("#Roadmap!C"&amp; MATCH($E126,Roadmap!$D:$D,0)+COUNTIF($E126:Y126,"u")+COUNTIF($E126:Y126,"t")+COUNTIF($E126:Y126,"¶")+COUNTIF($E126:Y126,"²")+COUNTIF($E126:Y126,"µ")+COUNTIF($E126:Y126,1)-1,INDEX(Roadmap!$D:$K,MATCH($E126,Roadmap!$D:$D,0)-1+COUNTIF($E126:Y126,"u")+COUNTIF($E126:Y126,"t")+COUNTIF($E126:Y126,"¶")+COUNTIF($E126:Y126,"²")+COUNTIF($E126:Y126,"µ")+COUNTIF($E126:Y126,1),ColDescriptionCourte)),""),
  "")),"")</f>
        <v/>
      </c>
      <c r="AA126" s="40" t="str">
        <f ca="1">IFERROR(IF(AND(
  INDEX(Roadmap!$D:$K,MATCH($E126,Roadmap!$D:$D,0)+COUNTIF($E126:Z126,"u")+COUNTIF($E126:Z126,"t")+COUNTIF($E126:Z126,"¶")+COUNTIF($E126:Z126,"²")+COUNTIF($E126:Z126,"µ")+COUNTIF($E126:Z126,1),ColLivraison)=AA$6,
  VLOOKUP($E126,INDIRECT("tri!"&amp; CHAR(64+ C0Col) &amp;":"&amp; CHAR(65+C0Col)),2,FALSE)&gt;COUNTIF($E126:Z126,"u")+COUNTIF($E126:Z126,"t")+COUNTIF($E126:Z126,"¶")+COUNTIF($E126:Z126,"²")+COUNTIF($E126:Z126,"µ")+COUNTIF($E126:Z126,1)),
HYPERLINK("#Roadmap!C"&amp; MATCH($E126,Roadmap!$D:$D,0)+COUNTIF($E126:Z126,"u")+COUNTIF($E126:Z126,"t"),
     INDEX(Roadmap!$D:$K,MATCH($E126,Roadmap!$D:$D,0)+COUNTIF($E126:Z126,"u")+COUNTIF($E126:Z126,"t")+COUNTIF($E126:Z126,"¶")+COUNTIF($E126:Z126,"²")+COUNTIF($E126:Z126,"µ")+COUNTIF($E126:Z126,1),ColTypeEcheance)),
  IF(LEN(Z126)=1,
  IF(LEN(INDEX(Roadmap!$D:$K,MATCH($E126,Roadmap!$D:$D,0)-1+COUNTIF($E126:Z126,"u")+COUNTIF($E126:Z126,"t")+COUNTIF($E126:Z126,"¶")+COUNTIF($E126:Z126,"²")+COUNTIF($E126:Z126,"µ")+COUNTIF($E126:Z126,1),ColDescriptionCourte))&gt;1,
HYPERLINK("#Roadmap!C"&amp; MATCH($E126,Roadmap!$D:$D,0)+COUNTIF($E126:Z126,"u")+COUNTIF($E126:Z126,"t")+COUNTIF($E126:Z126,"¶")+COUNTIF($E126:Z126,"²")+COUNTIF($E126:Z126,"µ")+COUNTIF($E126:Z126,1)-1,INDEX(Roadmap!$D:$K,MATCH($E126,Roadmap!$D:$D,0)-1+COUNTIF($E126:Z126,"u")+COUNTIF($E126:Z126,"t")+COUNTIF($E126:Z126,"¶")+COUNTIF($E126:Z126,"²")+COUNTIF($E126:Z126,"µ")+COUNTIF($E126:Z126,1),ColDescriptionCourte)),""),
  "")),"")</f>
        <v/>
      </c>
      <c r="AB126" s="40" t="str">
        <f ca="1">IFERROR(IF(AND(
  INDEX(Roadmap!$D:$K,MATCH($E126,Roadmap!$D:$D,0)+COUNTIF($E126:AA126,"u")+COUNTIF($E126:AA126,"t")+COUNTIF($E126:AA126,"¶")+COUNTIF($E126:AA126,"²")+COUNTIF($E126:AA126,"µ")+COUNTIF($E126:AA126,1),ColLivraison)=AB$6,
  VLOOKUP($E126,INDIRECT("tri!"&amp; CHAR(64+ C0Col) &amp;":"&amp; CHAR(65+C0Col)),2,FALSE)&gt;COUNTIF($E126:AA126,"u")+COUNTIF($E126:AA126,"t")+COUNTIF($E126:AA126,"¶")+COUNTIF($E126:AA126,"²")+COUNTIF($E126:AA126,"µ")+COUNTIF($E126:AA126,1)),
HYPERLINK("#Roadmap!C"&amp; MATCH($E126,Roadmap!$D:$D,0)+COUNTIF($E126:AA126,"u")+COUNTIF($E126:AA126,"t"),
     INDEX(Roadmap!$D:$K,MATCH($E126,Roadmap!$D:$D,0)+COUNTIF($E126:AA126,"u")+COUNTIF($E126:AA126,"t")+COUNTIF($E126:AA126,"¶")+COUNTIF($E126:AA126,"²")+COUNTIF($E126:AA126,"µ")+COUNTIF($E126:AA126,1),ColTypeEcheance)),
  IF(LEN(AA126)=1,
  IF(LEN(INDEX(Roadmap!$D:$K,MATCH($E126,Roadmap!$D:$D,0)-1+COUNTIF($E126:AA126,"u")+COUNTIF($E126:AA126,"t")+COUNTIF($E126:AA126,"¶")+COUNTIF($E126:AA126,"²")+COUNTIF($E126:AA126,"µ")+COUNTIF($E126:AA126,1),ColDescriptionCourte))&gt;1,
HYPERLINK("#Roadmap!C"&amp; MATCH($E126,Roadmap!$D:$D,0)+COUNTIF($E126:AA126,"u")+COUNTIF($E126:AA126,"t")+COUNTIF($E126:AA126,"¶")+COUNTIF($E126:AA126,"²")+COUNTIF($E126:AA126,"µ")+COUNTIF($E126:AA126,1)-1,INDEX(Roadmap!$D:$K,MATCH($E126,Roadmap!$D:$D,0)-1+COUNTIF($E126:AA126,"u")+COUNTIF($E126:AA126,"t")+COUNTIF($E126:AA126,"¶")+COUNTIF($E126:AA126,"²")+COUNTIF($E126:AA126,"µ")+COUNTIF($E126:AA126,1),ColDescriptionCourte)),""),
  "")),"")</f>
        <v/>
      </c>
      <c r="AC126" s="40" t="str">
        <f ca="1">IFERROR(IF(AND(
  INDEX(Roadmap!$D:$K,MATCH($E126,Roadmap!$D:$D,0)+COUNTIF($E126:AB126,"u")+COUNTIF($E126:AB126,"t")+COUNTIF($E126:AB126,"¶")+COUNTIF($E126:AB126,"²")+COUNTIF($E126:AB126,"µ")+COUNTIF($E126:AB126,1),ColLivraison)=AC$6,
  VLOOKUP($E126,INDIRECT("tri!"&amp; CHAR(64+ C0Col) &amp;":"&amp; CHAR(65+C0Col)),2,FALSE)&gt;COUNTIF($E126:AB126,"u")+COUNTIF($E126:AB126,"t")+COUNTIF($E126:AB126,"¶")+COUNTIF($E126:AB126,"²")+COUNTIF($E126:AB126,"µ")+COUNTIF($E126:AB126,1)),
HYPERLINK("#Roadmap!C"&amp; MATCH($E126,Roadmap!$D:$D,0)+COUNTIF($E126:AB126,"u")+COUNTIF($E126:AB126,"t"),
     INDEX(Roadmap!$D:$K,MATCH($E126,Roadmap!$D:$D,0)+COUNTIF($E126:AB126,"u")+COUNTIF($E126:AB126,"t")+COUNTIF($E126:AB126,"¶")+COUNTIF($E126:AB126,"²")+COUNTIF($E126:AB126,"µ")+COUNTIF($E126:AB126,1),ColTypeEcheance)),
  IF(LEN(AB126)=1,
  IF(LEN(INDEX(Roadmap!$D:$K,MATCH($E126,Roadmap!$D:$D,0)-1+COUNTIF($E126:AB126,"u")+COUNTIF($E126:AB126,"t")+COUNTIF($E126:AB126,"¶")+COUNTIF($E126:AB126,"²")+COUNTIF($E126:AB126,"µ")+COUNTIF($E126:AB126,1),ColDescriptionCourte))&gt;1,
HYPERLINK("#Roadmap!C"&amp; MATCH($E126,Roadmap!$D:$D,0)+COUNTIF($E126:AB126,"u")+COUNTIF($E126:AB126,"t")+COUNTIF($E126:AB126,"¶")+COUNTIF($E126:AB126,"²")+COUNTIF($E126:AB126,"µ")+COUNTIF($E126:AB126,1)-1,INDEX(Roadmap!$D:$K,MATCH($E126,Roadmap!$D:$D,0)-1+COUNTIF($E126:AB126,"u")+COUNTIF($E126:AB126,"t")+COUNTIF($E126:AB126,"¶")+COUNTIF($E126:AB126,"²")+COUNTIF($E126:AB126,"µ")+COUNTIF($E126:AB126,1),ColDescriptionCourte)),""),
  "")),"")</f>
        <v/>
      </c>
      <c r="AD126" s="40" t="str">
        <f ca="1">IFERROR(IF(AND(
  INDEX(Roadmap!$D:$K,MATCH($E126,Roadmap!$D:$D,0)+COUNTIF($E126:AC126,"u")+COUNTIF($E126:AC126,"t")+COUNTIF($E126:AC126,"¶")+COUNTIF($E126:AC126,"²")+COUNTIF($E126:AC126,"µ")+COUNTIF($E126:AC126,1),ColLivraison)=AD$6,
  VLOOKUP($E126,INDIRECT("tri!"&amp; CHAR(64+ C0Col) &amp;":"&amp; CHAR(65+C0Col)),2,FALSE)&gt;COUNTIF($E126:AC126,"u")+COUNTIF($E126:AC126,"t")+COUNTIF($E126:AC126,"¶")+COUNTIF($E126:AC126,"²")+COUNTIF($E126:AC126,"µ")+COUNTIF($E126:AC126,1)),
HYPERLINK("#Roadmap!C"&amp; MATCH($E126,Roadmap!$D:$D,0)+COUNTIF($E126:AC126,"u")+COUNTIF($E126:AC126,"t"),
     INDEX(Roadmap!$D:$K,MATCH($E126,Roadmap!$D:$D,0)+COUNTIF($E126:AC126,"u")+COUNTIF($E126:AC126,"t")+COUNTIF($E126:AC126,"¶")+COUNTIF($E126:AC126,"²")+COUNTIF($E126:AC126,"µ")+COUNTIF($E126:AC126,1),ColTypeEcheance)),
  IF(LEN(AC126)=1,
  IF(LEN(INDEX(Roadmap!$D:$K,MATCH($E126,Roadmap!$D:$D,0)-1+COUNTIF($E126:AC126,"u")+COUNTIF($E126:AC126,"t")+COUNTIF($E126:AC126,"¶")+COUNTIF($E126:AC126,"²")+COUNTIF($E126:AC126,"µ")+COUNTIF($E126:AC126,1),ColDescriptionCourte))&gt;1,
HYPERLINK("#Roadmap!C"&amp; MATCH($E126,Roadmap!$D:$D,0)+COUNTIF($E126:AC126,"u")+COUNTIF($E126:AC126,"t")+COUNTIF($E126:AC126,"¶")+COUNTIF($E126:AC126,"²")+COUNTIF($E126:AC126,"µ")+COUNTIF($E126:AC126,1)-1,INDEX(Roadmap!$D:$K,MATCH($E126,Roadmap!$D:$D,0)-1+COUNTIF($E126:AC126,"u")+COUNTIF($E126:AC126,"t")+COUNTIF($E126:AC126,"¶")+COUNTIF($E126:AC126,"²")+COUNTIF($E126:AC126,"µ")+COUNTIF($E126:AC126,1),ColDescriptionCourte)),""),
  "")),"")</f>
        <v/>
      </c>
      <c r="AE126" s="40" t="str">
        <f ca="1">IFERROR(IF(AND(
  INDEX(Roadmap!$D:$K,MATCH($E126,Roadmap!$D:$D,0)+COUNTIF($E126:AD126,"u")+COUNTIF($E126:AD126,"t")+COUNTIF($E126:AD126,"¶")+COUNTIF($E126:AD126,"²")+COUNTIF($E126:AD126,"µ")+COUNTIF($E126:AD126,1),ColLivraison)=AE$6,
  VLOOKUP($E126,INDIRECT("tri!"&amp; CHAR(64+ C0Col) &amp;":"&amp; CHAR(65+C0Col)),2,FALSE)&gt;COUNTIF($E126:AD126,"u")+COUNTIF($E126:AD126,"t")+COUNTIF($E126:AD126,"¶")+COUNTIF($E126:AD126,"²")+COUNTIF($E126:AD126,"µ")+COUNTIF($E126:AD126,1)),
HYPERLINK("#Roadmap!C"&amp; MATCH($E126,Roadmap!$D:$D,0)+COUNTIF($E126:AD126,"u")+COUNTIF($E126:AD126,"t"),
     INDEX(Roadmap!$D:$K,MATCH($E126,Roadmap!$D:$D,0)+COUNTIF($E126:AD126,"u")+COUNTIF($E126:AD126,"t")+COUNTIF($E126:AD126,"¶")+COUNTIF($E126:AD126,"²")+COUNTIF($E126:AD126,"µ")+COUNTIF($E126:AD126,1),ColTypeEcheance)),
  IF(LEN(AD126)=1,
  IF(LEN(INDEX(Roadmap!$D:$K,MATCH($E126,Roadmap!$D:$D,0)-1+COUNTIF($E126:AD126,"u")+COUNTIF($E126:AD126,"t")+COUNTIF($E126:AD126,"¶")+COUNTIF($E126:AD126,"²")+COUNTIF($E126:AD126,"µ")+COUNTIF($E126:AD126,1),ColDescriptionCourte))&gt;1,
HYPERLINK("#Roadmap!C"&amp; MATCH($E126,Roadmap!$D:$D,0)+COUNTIF($E126:AD126,"u")+COUNTIF($E126:AD126,"t")+COUNTIF($E126:AD126,"¶")+COUNTIF($E126:AD126,"²")+COUNTIF($E126:AD126,"µ")+COUNTIF($E126:AD126,1)-1,INDEX(Roadmap!$D:$K,MATCH($E126,Roadmap!$D:$D,0)-1+COUNTIF($E126:AD126,"u")+COUNTIF($E126:AD126,"t")+COUNTIF($E126:AD126,"¶")+COUNTIF($E126:AD126,"²")+COUNTIF($E126:AD126,"µ")+COUNTIF($E126:AD126,1),ColDescriptionCourte)),""),
  "")),"")</f>
        <v/>
      </c>
      <c r="AF126" s="40" t="str">
        <f ca="1">IFERROR(IF(AND(
  INDEX(Roadmap!$D:$K,MATCH($E126,Roadmap!$D:$D,0)+COUNTIF($E126:AE126,"u")+COUNTIF($E126:AE126,"t")+COUNTIF($E126:AE126,"¶")+COUNTIF($E126:AE126,"²")+COUNTIF($E126:AE126,"µ")+COUNTIF($E126:AE126,1),ColLivraison)=AF$6,
  VLOOKUP($E126,INDIRECT("tri!"&amp; CHAR(64+ C0Col) &amp;":"&amp; CHAR(65+C0Col)),2,FALSE)&gt;COUNTIF($E126:AE126,"u")+COUNTIF($E126:AE126,"t")+COUNTIF($E126:AE126,"¶")+COUNTIF($E126:AE126,"²")+COUNTIF($E126:AE126,"µ")+COUNTIF($E126:AE126,1)),
HYPERLINK("#Roadmap!C"&amp; MATCH($E126,Roadmap!$D:$D,0)+COUNTIF($E126:AE126,"u")+COUNTIF($E126:AE126,"t"),
     INDEX(Roadmap!$D:$K,MATCH($E126,Roadmap!$D:$D,0)+COUNTIF($E126:AE126,"u")+COUNTIF($E126:AE126,"t")+COUNTIF($E126:AE126,"¶")+COUNTIF($E126:AE126,"²")+COUNTIF($E126:AE126,"µ")+COUNTIF($E126:AE126,1),ColTypeEcheance)),
  IF(LEN(AE126)=1,
  IF(LEN(INDEX(Roadmap!$D:$K,MATCH($E126,Roadmap!$D:$D,0)-1+COUNTIF($E126:AE126,"u")+COUNTIF($E126:AE126,"t")+COUNTIF($E126:AE126,"¶")+COUNTIF($E126:AE126,"²")+COUNTIF($E126:AE126,"µ")+COUNTIF($E126:AE126,1),ColDescriptionCourte))&gt;1,
HYPERLINK("#Roadmap!C"&amp; MATCH($E126,Roadmap!$D:$D,0)+COUNTIF($E126:AE126,"u")+COUNTIF($E126:AE126,"t")+COUNTIF($E126:AE126,"¶")+COUNTIF($E126:AE126,"²")+COUNTIF($E126:AE126,"µ")+COUNTIF($E126:AE126,1)-1,INDEX(Roadmap!$D:$K,MATCH($E126,Roadmap!$D:$D,0)-1+COUNTIF($E126:AE126,"u")+COUNTIF($E126:AE126,"t")+COUNTIF($E126:AE126,"¶")+COUNTIF($E126:AE126,"²")+COUNTIF($E126:AE126,"µ")+COUNTIF($E126:AE126,1),ColDescriptionCourte)),""),
  "")),"")</f>
        <v/>
      </c>
      <c r="AG126" s="40" t="str">
        <f ca="1">IFERROR(IF(AND(
  INDEX(Roadmap!$D:$K,MATCH($E126,Roadmap!$D:$D,0)+COUNTIF($E126:AF126,"u")+COUNTIF($E126:AF126,"t")+COUNTIF($E126:AF126,"¶")+COUNTIF($E126:AF126,"²")+COUNTIF($E126:AF126,"µ")+COUNTIF($E126:AF126,1),ColLivraison)=AG$6,
  VLOOKUP($E126,INDIRECT("tri!"&amp; CHAR(64+ C0Col) &amp;":"&amp; CHAR(65+C0Col)),2,FALSE)&gt;COUNTIF($E126:AF126,"u")+COUNTIF($E126:AF126,"t")+COUNTIF($E126:AF126,"¶")+COUNTIF($E126:AF126,"²")+COUNTIF($E126:AF126,"µ")+COUNTIF($E126:AF126,1)),
HYPERLINK("#Roadmap!C"&amp; MATCH($E126,Roadmap!$D:$D,0)+COUNTIF($E126:AF126,"u")+COUNTIF($E126:AF126,"t"),
     INDEX(Roadmap!$D:$K,MATCH($E126,Roadmap!$D:$D,0)+COUNTIF($E126:AF126,"u")+COUNTIF($E126:AF126,"t")+COUNTIF($E126:AF126,"¶")+COUNTIF($E126:AF126,"²")+COUNTIF($E126:AF126,"µ")+COUNTIF($E126:AF126,1),ColTypeEcheance)),
  IF(LEN(AF126)=1,
  IF(LEN(INDEX(Roadmap!$D:$K,MATCH($E126,Roadmap!$D:$D,0)-1+COUNTIF($E126:AF126,"u")+COUNTIF($E126:AF126,"t")+COUNTIF($E126:AF126,"¶")+COUNTIF($E126:AF126,"²")+COUNTIF($E126:AF126,"µ")+COUNTIF($E126:AF126,1),ColDescriptionCourte))&gt;1,
HYPERLINK("#Roadmap!C"&amp; MATCH($E126,Roadmap!$D:$D,0)+COUNTIF($E126:AF126,"u")+COUNTIF($E126:AF126,"t")+COUNTIF($E126:AF126,"¶")+COUNTIF($E126:AF126,"²")+COUNTIF($E126:AF126,"µ")+COUNTIF($E126:AF126,1)-1,INDEX(Roadmap!$D:$K,MATCH($E126,Roadmap!$D:$D,0)-1+COUNTIF($E126:AF126,"u")+COUNTIF($E126:AF126,"t")+COUNTIF($E126:AF126,"¶")+COUNTIF($E126:AF126,"²")+COUNTIF($E126:AF126,"µ")+COUNTIF($E126:AF126,1),ColDescriptionCourte)),""),
  "")),"")</f>
        <v/>
      </c>
      <c r="AH126" s="40" t="str">
        <f ca="1">IFERROR(IF(AND(
  INDEX(Roadmap!$D:$K,MATCH($E126,Roadmap!$D:$D,0)+COUNTIF($E126:AG126,"u")+COUNTIF($E126:AG126,"t")+COUNTIF($E126:AG126,1),ColLivraison)=AH$6,
  VLOOKUP($E126,INDIRECT("tri!"&amp; CHAR(64+ C0Col) &amp;":"&amp; CHAR(65+C0Col)),2,FALSE)&gt;COUNTIF($E126:AG126,"u")+COUNTIF($E126:AG126,"t")+COUNTIF($E126:AG126,1)),
HYPERLINK("#Roadmap!C"&amp; MATCH($E126,Roadmap!$D:$D,0)+COUNTIF($E126:AG126,"u")+COUNTIF($E126:AG126,"t"),
     INDEX(Roadmap!$D:$K,MATCH($E126,Roadmap!$D:$D,0)+COUNTIF($E126:AG126,"u")+COUNTIF($E126:AG126,"t")+COUNTIF($E126:AG126,1),ColTypeEcheance)),
  IF(OR(AG126="u",AG126="t",AG126=1),
  IF(LEN(INDEX(Roadmap!$D:$K,MATCH($E126,Roadmap!$D:$D,0)-1+COUNTIF($E126:AG126,"u")+COUNTIF($E126:AG126,"t")+COUNTIF($E126:AG126,1),ColDescriptionCourte))&gt;1,
HYPERLINK("#Roadmap!C"&amp; MATCH($E126,Roadmap!$D:$D,0)+COUNTIF($E126:AG126,"u")+COUNTIF($E126:AG126,"t")+COUNTIF($E126:AG126,1)-1,INDEX(Roadmap!$D:$K,MATCH($E126,Roadmap!$D:$D,0)-1+COUNTIF($E126:AG126,"u")+COUNTIF($E126:AG126,"t")+COUNTIF($E126:AG126,1),ColDescriptionCourte)),""),
  "")),"")</f>
        <v/>
      </c>
      <c r="AI126" s="40"/>
      <c r="AJ126" s="40"/>
      <c r="AK126" s="40"/>
      <c r="AL126" s="40"/>
      <c r="AM126" s="40"/>
    </row>
    <row r="127" spans="4:39" ht="14.1" customHeight="1">
      <c r="D127" s="20" t="str">
        <f t="shared" ca="1" si="29"/>
        <v/>
      </c>
      <c r="E127" s="53" t="str">
        <f t="shared" ca="1" si="30"/>
        <v/>
      </c>
      <c r="F127" s="39" t="str">
        <f ca="1">IFERROR(IF(AND(
  INDEX(Roadmap!$D:$K,MATCH($E127,Roadmap!$D:$D,0)+COUNTIF($E127:E127,"u")+COUNTIF($E127:E127,"t")+COUNTIF($E127:E127,"¶")+COUNTIF($E127:E127,"²")+COUNTIF($E127:E127,"µ")+COUNTIF($E127:E127,1),ColLivraison)=F$6,
  VLOOKUP($E127,INDIRECT("tri!"&amp; CHAR(64+ C0Col) &amp;":"&amp; CHAR(65+C0Col)),2,FALSE)&gt;COUNTIF($E127:E127,"u")+COUNTIF($E127:E127,"t")+COUNTIF($E127:E127,"¶")+COUNTIF($E127:E127,"²")+COUNTIF($E127:E127,"µ")+COUNTIF($E127:E127,1)),
HYPERLINK("#Roadmap!C"&amp; MATCH($E127,Roadmap!$D:$D,0)+COUNTIF($E127:E127,"u")+COUNTIF($E127:E127,"t"),
     INDEX(Roadmap!$D:$K,MATCH($E127,Roadmap!$D:$D,0)+COUNTIF($E127:E127,"u")+COUNTIF($E127:E127,"t")+COUNTIF($E127:E127,"¶")+COUNTIF($E127:E127,"²")+COUNTIF($E127:E127,"µ")+COUNTIF($E127:E127,1),ColTypeEcheance)),
  IF(LEN(E127)=1,
  IF(LEN(INDEX(Roadmap!$D:$K,MATCH($E127,Roadmap!$D:$D,0)-1+COUNTIF($E127:E127,"u")+COUNTIF($E127:E127,"t")+COUNTIF($E127:E127,"¶")+COUNTIF($E127:E127,"²")+COUNTIF($E127:E127,"µ")+COUNTIF($E127:E127,1),ColDescriptionCourte))&gt;1,
HYPERLINK("#Roadmap!C"&amp; MATCH($E127,Roadmap!$D:$D,0)+COUNTIF($E127:E127,"u")+COUNTIF($E127:E127,"t")+COUNTIF($E127:E127,"¶")+COUNTIF($E127:E127,"²")+COUNTIF($E127:E127,"µ")+COUNTIF($E127:E127,1)-1,INDEX(Roadmap!$D:$K,MATCH($E127,Roadmap!$D:$D,0)-1+COUNTIF($E127:E127,"u")+COUNTIF($E127:E127,"t")+COUNTIF($E127:E127,"¶")+COUNTIF($E127:E127,"²")+COUNTIF($E127:E127,"µ")+COUNTIF($E127:E127,1),ColDescriptionCourte)),""),
  "")),"")</f>
        <v/>
      </c>
      <c r="G127" s="40" t="str">
        <f ca="1">IFERROR(IF(AND(
  INDEX(Roadmap!$D:$K,MATCH($E127,Roadmap!$D:$D,0)+COUNTIF($E127:F127,"u")+COUNTIF($E127:F127,"t")+COUNTIF($E127:F127,"¶")+COUNTIF($E127:F127,"²")+COUNTIF($E127:F127,"µ")+COUNTIF($E127:F127,1),ColLivraison)=G$6,
  VLOOKUP($E127,INDIRECT("tri!"&amp; CHAR(64+ C0Col) &amp;":"&amp; CHAR(65+C0Col)),2,FALSE)&gt;COUNTIF($E127:F127,"u")+COUNTIF($E127:F127,"t")+COUNTIF($E127:F127,"¶")+COUNTIF($E127:F127,"²")+COUNTIF($E127:F127,"µ")+COUNTIF($E127:F127,1)),
HYPERLINK("#Roadmap!C"&amp; MATCH($E127,Roadmap!$D:$D,0)+COUNTIF($E127:F127,"u")+COUNTIF($E127:F127,"t"),
     INDEX(Roadmap!$D:$K,MATCH($E127,Roadmap!$D:$D,0)+COUNTIF($E127:F127,"u")+COUNTIF($E127:F127,"t")+COUNTIF($E127:F127,"¶")+COUNTIF($E127:F127,"²")+COUNTIF($E127:F127,"µ")+COUNTIF($E127:F127,1),ColTypeEcheance)),
  IF(LEN(F127)=1,
  IF(LEN(INDEX(Roadmap!$D:$K,MATCH($E127,Roadmap!$D:$D,0)-1+COUNTIF($E127:F127,"u")+COUNTIF($E127:F127,"t")+COUNTIF($E127:F127,"¶")+COUNTIF($E127:F127,"²")+COUNTIF($E127:F127,"µ")+COUNTIF($E127:F127,1),ColDescriptionCourte))&gt;1,
HYPERLINK("#Roadmap!C"&amp; MATCH($E127,Roadmap!$D:$D,0)+COUNTIF($E127:F127,"u")+COUNTIF($E127:F127,"t")+COUNTIF($E127:F127,"¶")+COUNTIF($E127:F127,"²")+COUNTIF($E127:F127,"µ")+COUNTIF($E127:F127,1)-1,INDEX(Roadmap!$D:$K,MATCH($E127,Roadmap!$D:$D,0)-1+COUNTIF($E127:F127,"u")+COUNTIF($E127:F127,"t")+COUNTIF($E127:F127,"¶")+COUNTIF($E127:F127,"²")+COUNTIF($E127:F127,"µ")+COUNTIF($E127:F127,1),ColDescriptionCourte)),""),
  "")),"")</f>
        <v/>
      </c>
      <c r="H127" s="40" t="str">
        <f ca="1">IFERROR(IF(AND(
  INDEX(Roadmap!$D:$K,MATCH($E127,Roadmap!$D:$D,0)+COUNTIF($E127:G127,"u")+COUNTIF($E127:G127,"t")+COUNTIF($E127:G127,"¶")+COUNTIF($E127:G127,"²")+COUNTIF($E127:G127,"µ")+COUNTIF($E127:G127,1),ColLivraison)=H$6,
  VLOOKUP($E127,INDIRECT("tri!"&amp; CHAR(64+ C0Col) &amp;":"&amp; CHAR(65+C0Col)),2,FALSE)&gt;COUNTIF($E127:G127,"u")+COUNTIF($E127:G127,"t")+COUNTIF($E127:G127,"¶")+COUNTIF($E127:G127,"²")+COUNTIF($E127:G127,"µ")+COUNTIF($E127:G127,1)),
HYPERLINK("#Roadmap!C"&amp; MATCH($E127,Roadmap!$D:$D,0)+COUNTIF($E127:G127,"u")+COUNTIF($E127:G127,"t"),
     INDEX(Roadmap!$D:$K,MATCH($E127,Roadmap!$D:$D,0)+COUNTIF($E127:G127,"u")+COUNTIF($E127:G127,"t")+COUNTIF($E127:G127,"¶")+COUNTIF($E127:G127,"²")+COUNTIF($E127:G127,"µ")+COUNTIF($E127:G127,1),ColTypeEcheance)),
  IF(LEN(G127)=1,
  IF(LEN(INDEX(Roadmap!$D:$K,MATCH($E127,Roadmap!$D:$D,0)-1+COUNTIF($E127:G127,"u")+COUNTIF($E127:G127,"t")+COUNTIF($E127:G127,"¶")+COUNTIF($E127:G127,"²")+COUNTIF($E127:G127,"µ")+COUNTIF($E127:G127,1),ColDescriptionCourte))&gt;1,
HYPERLINK("#Roadmap!C"&amp; MATCH($E127,Roadmap!$D:$D,0)+COUNTIF($E127:G127,"u")+COUNTIF($E127:G127,"t")+COUNTIF($E127:G127,"¶")+COUNTIF($E127:G127,"²")+COUNTIF($E127:G127,"µ")+COUNTIF($E127:G127,1)-1,INDEX(Roadmap!$D:$K,MATCH($E127,Roadmap!$D:$D,0)-1+COUNTIF($E127:G127,"u")+COUNTIF($E127:G127,"t")+COUNTIF($E127:G127,"¶")+COUNTIF($E127:G127,"²")+COUNTIF($E127:G127,"µ")+COUNTIF($E127:G127,1),ColDescriptionCourte)),""),
  "")),"")</f>
        <v/>
      </c>
      <c r="I127" s="40" t="str">
        <f ca="1">IFERROR(IF(AND(
  INDEX(Roadmap!$D:$K,MATCH($E127,Roadmap!$D:$D,0)+COUNTIF($E127:H127,"u")+COUNTIF($E127:H127,"t")+COUNTIF($E127:H127,"¶")+COUNTIF($E127:H127,"²")+COUNTIF($E127:H127,"µ")+COUNTIF($E127:H127,1),ColLivraison)=I$6,
  VLOOKUP($E127,INDIRECT("tri!"&amp; CHAR(64+ C0Col) &amp;":"&amp; CHAR(65+C0Col)),2,FALSE)&gt;COUNTIF($E127:H127,"u")+COUNTIF($E127:H127,"t")+COUNTIF($E127:H127,"¶")+COUNTIF($E127:H127,"²")+COUNTIF($E127:H127,"µ")+COUNTIF($E127:H127,1)),
HYPERLINK("#Roadmap!C"&amp; MATCH($E127,Roadmap!$D:$D,0)+COUNTIF($E127:H127,"u")+COUNTIF($E127:H127,"t"),
     INDEX(Roadmap!$D:$K,MATCH($E127,Roadmap!$D:$D,0)+COUNTIF($E127:H127,"u")+COUNTIF($E127:H127,"t")+COUNTIF($E127:H127,"¶")+COUNTIF($E127:H127,"²")+COUNTIF($E127:H127,"µ")+COUNTIF($E127:H127,1),ColTypeEcheance)),
  IF(LEN(H127)=1,
  IF(LEN(INDEX(Roadmap!$D:$K,MATCH($E127,Roadmap!$D:$D,0)-1+COUNTIF($E127:H127,"u")+COUNTIF($E127:H127,"t")+COUNTIF($E127:H127,"¶")+COUNTIF($E127:H127,"²")+COUNTIF($E127:H127,"µ")+COUNTIF($E127:H127,1),ColDescriptionCourte))&gt;1,
HYPERLINK("#Roadmap!C"&amp; MATCH($E127,Roadmap!$D:$D,0)+COUNTIF($E127:H127,"u")+COUNTIF($E127:H127,"t")+COUNTIF($E127:H127,"¶")+COUNTIF($E127:H127,"²")+COUNTIF($E127:H127,"µ")+COUNTIF($E127:H127,1)-1,INDEX(Roadmap!$D:$K,MATCH($E127,Roadmap!$D:$D,0)-1+COUNTIF($E127:H127,"u")+COUNTIF($E127:H127,"t")+COUNTIF($E127:H127,"¶")+COUNTIF($E127:H127,"²")+COUNTIF($E127:H127,"µ")+COUNTIF($E127:H127,1),ColDescriptionCourte)),""),
  "")),"")</f>
        <v/>
      </c>
      <c r="J127" s="40" t="str">
        <f ca="1">IFERROR(IF(AND(
  INDEX(Roadmap!$D:$K,MATCH($E127,Roadmap!$D:$D,0)+COUNTIF($E127:I127,"u")+COUNTIF($E127:I127,"t")+COUNTIF($E127:I127,"¶")+COUNTIF($E127:I127,"²")+COUNTIF($E127:I127,"µ")+COUNTIF($E127:I127,1),ColLivraison)=J$6,
  VLOOKUP($E127,INDIRECT("tri!"&amp; CHAR(64+ C0Col) &amp;":"&amp; CHAR(65+C0Col)),2,FALSE)&gt;COUNTIF($E127:I127,"u")+COUNTIF($E127:I127,"t")+COUNTIF($E127:I127,"¶")+COUNTIF($E127:I127,"²")+COUNTIF($E127:I127,"µ")+COUNTIF($E127:I127,1)),
HYPERLINK("#Roadmap!C"&amp; MATCH($E127,Roadmap!$D:$D,0)+COUNTIF($E127:I127,"u")+COUNTIF($E127:I127,"t"),
     INDEX(Roadmap!$D:$K,MATCH($E127,Roadmap!$D:$D,0)+COUNTIF($E127:I127,"u")+COUNTIF($E127:I127,"t")+COUNTIF($E127:I127,"¶")+COUNTIF($E127:I127,"²")+COUNTIF($E127:I127,"µ")+COUNTIF($E127:I127,1),ColTypeEcheance)),
  IF(LEN(I127)=1,
  IF(LEN(INDEX(Roadmap!$D:$K,MATCH($E127,Roadmap!$D:$D,0)-1+COUNTIF($E127:I127,"u")+COUNTIF($E127:I127,"t")+COUNTIF($E127:I127,"¶")+COUNTIF($E127:I127,"²")+COUNTIF($E127:I127,"µ")+COUNTIF($E127:I127,1),ColDescriptionCourte))&gt;1,
HYPERLINK("#Roadmap!C"&amp; MATCH($E127,Roadmap!$D:$D,0)+COUNTIF($E127:I127,"u")+COUNTIF($E127:I127,"t")+COUNTIF($E127:I127,"¶")+COUNTIF($E127:I127,"²")+COUNTIF($E127:I127,"µ")+COUNTIF($E127:I127,1)-1,INDEX(Roadmap!$D:$K,MATCH($E127,Roadmap!$D:$D,0)-1+COUNTIF($E127:I127,"u")+COUNTIF($E127:I127,"t")+COUNTIF($E127:I127,"¶")+COUNTIF($E127:I127,"²")+COUNTIF($E127:I127,"µ")+COUNTIF($E127:I127,1),ColDescriptionCourte)),""),
  "")),"")</f>
        <v/>
      </c>
      <c r="K127" s="40" t="str">
        <f ca="1">IFERROR(IF(AND(
  INDEX(Roadmap!$D:$K,MATCH($E127,Roadmap!$D:$D,0)+COUNTIF($E127:J127,"u")+COUNTIF($E127:J127,"t")+COUNTIF($E127:J127,"¶")+COUNTIF($E127:J127,"²")+COUNTIF($E127:J127,"µ")+COUNTIF($E127:J127,1),ColLivraison)=K$6,
  VLOOKUP($E127,INDIRECT("tri!"&amp; CHAR(64+ C0Col) &amp;":"&amp; CHAR(65+C0Col)),2,FALSE)&gt;COUNTIF($E127:J127,"u")+COUNTIF($E127:J127,"t")+COUNTIF($E127:J127,"¶")+COUNTIF($E127:J127,"²")+COUNTIF($E127:J127,"µ")+COUNTIF($E127:J127,1)),
HYPERLINK("#Roadmap!C"&amp; MATCH($E127,Roadmap!$D:$D,0)+COUNTIF($E127:J127,"u")+COUNTIF($E127:J127,"t"),
     INDEX(Roadmap!$D:$K,MATCH($E127,Roadmap!$D:$D,0)+COUNTIF($E127:J127,"u")+COUNTIF($E127:J127,"t")+COUNTIF($E127:J127,"¶")+COUNTIF($E127:J127,"²")+COUNTIF($E127:J127,"µ")+COUNTIF($E127:J127,1),ColTypeEcheance)),
  IF(LEN(J127)=1,
  IF(LEN(INDEX(Roadmap!$D:$K,MATCH($E127,Roadmap!$D:$D,0)-1+COUNTIF($E127:J127,"u")+COUNTIF($E127:J127,"t")+COUNTIF($E127:J127,"¶")+COUNTIF($E127:J127,"²")+COUNTIF($E127:J127,"µ")+COUNTIF($E127:J127,1),ColDescriptionCourte))&gt;1,
HYPERLINK("#Roadmap!C"&amp; MATCH($E127,Roadmap!$D:$D,0)+COUNTIF($E127:J127,"u")+COUNTIF($E127:J127,"t")+COUNTIF($E127:J127,"¶")+COUNTIF($E127:J127,"²")+COUNTIF($E127:J127,"µ")+COUNTIF($E127:J127,1)-1,INDEX(Roadmap!$D:$K,MATCH($E127,Roadmap!$D:$D,0)-1+COUNTIF($E127:J127,"u")+COUNTIF($E127:J127,"t")+COUNTIF($E127:J127,"¶")+COUNTIF($E127:J127,"²")+COUNTIF($E127:J127,"µ")+COUNTIF($E127:J127,1),ColDescriptionCourte)),""),
  "")),"")</f>
        <v/>
      </c>
      <c r="L127" s="39" t="str">
        <f ca="1">IFERROR(IF(AND(
  INDEX(Roadmap!$D:$K,MATCH($E127,Roadmap!$D:$D,0)+COUNTIF($E127:K127,"u")+COUNTIF($E127:K127,"t")+COUNTIF($E127:K127,"¶")+COUNTIF($E127:K127,"²")+COUNTIF($E127:K127,"µ")+COUNTIF($E127:K127,1),ColLivraison)=L$6,
  VLOOKUP($E127,INDIRECT("tri!"&amp; CHAR(64+ C0Col) &amp;":"&amp; CHAR(65+C0Col)),2,FALSE)&gt;COUNTIF($E127:K127,"u")+COUNTIF($E127:K127,"t")+COUNTIF($E127:K127,"¶")+COUNTIF($E127:K127,"²")+COUNTIF($E127:K127,"µ")+COUNTIF($E127:K127,1)),
HYPERLINK("#Roadmap!C"&amp; MATCH($E127,Roadmap!$D:$D,0)+COUNTIF($E127:K127,"u")+COUNTIF($E127:K127,"t"),
     INDEX(Roadmap!$D:$K,MATCH($E127,Roadmap!$D:$D,0)+COUNTIF($E127:K127,"u")+COUNTIF($E127:K127,"t")+COUNTIF($E127:K127,"¶")+COUNTIF($E127:K127,"²")+COUNTIF($E127:K127,"µ")+COUNTIF($E127:K127,1),ColTypeEcheance)),
  IF(LEN(K127)=1,
  IF(LEN(INDEX(Roadmap!$D:$K,MATCH($E127,Roadmap!$D:$D,0)-1+COUNTIF($E127:K127,"u")+COUNTIF($E127:K127,"t")+COUNTIF($E127:K127,"¶")+COUNTIF($E127:K127,"²")+COUNTIF($E127:K127,"µ")+COUNTIF($E127:K127,1),ColDescriptionCourte))&gt;1,
HYPERLINK("#Roadmap!C"&amp; MATCH($E127,Roadmap!$D:$D,0)+COUNTIF($E127:K127,"u")+COUNTIF($E127:K127,"t")+COUNTIF($E127:K127,"¶")+COUNTIF($E127:K127,"²")+COUNTIF($E127:K127,"µ")+COUNTIF($E127:K127,1)-1,INDEX(Roadmap!$D:$K,MATCH($E127,Roadmap!$D:$D,0)-1+COUNTIF($E127:K127,"u")+COUNTIF($E127:K127,"t")+COUNTIF($E127:K127,"¶")+COUNTIF($E127:K127,"²")+COUNTIF($E127:K127,"µ")+COUNTIF($E127:K127,1),ColDescriptionCourte)),""),
  "")),"")</f>
        <v/>
      </c>
      <c r="M127" s="40" t="str">
        <f ca="1">IFERROR(IF(AND(
  INDEX(Roadmap!$D:$K,MATCH($E127,Roadmap!$D:$D,0)+COUNTIF($E127:L127,"u")+COUNTIF($E127:L127,"t")+COUNTIF($E127:L127,"¶")+COUNTIF($E127:L127,"²")+COUNTIF($E127:L127,"µ")+COUNTIF($E127:L127,1),ColLivraison)=M$6,
  VLOOKUP($E127,INDIRECT("tri!"&amp; CHAR(64+ C0Col) &amp;":"&amp; CHAR(65+C0Col)),2,FALSE)&gt;COUNTIF($E127:L127,"u")+COUNTIF($E127:L127,"t")+COUNTIF($E127:L127,"¶")+COUNTIF($E127:L127,"²")+COUNTIF($E127:L127,"µ")+COUNTIF($E127:L127,1)),
HYPERLINK("#Roadmap!C"&amp; MATCH($E127,Roadmap!$D:$D,0)+COUNTIF($E127:L127,"u")+COUNTIF($E127:L127,"t"),
     INDEX(Roadmap!$D:$K,MATCH($E127,Roadmap!$D:$D,0)+COUNTIF($E127:L127,"u")+COUNTIF($E127:L127,"t")+COUNTIF($E127:L127,"¶")+COUNTIF($E127:L127,"²")+COUNTIF($E127:L127,"µ")+COUNTIF($E127:L127,1),ColTypeEcheance)),
  IF(LEN(L127)=1,
  IF(LEN(INDEX(Roadmap!$D:$K,MATCH($E127,Roadmap!$D:$D,0)-1+COUNTIF($E127:L127,"u")+COUNTIF($E127:L127,"t")+COUNTIF($E127:L127,"¶")+COUNTIF($E127:L127,"²")+COUNTIF($E127:L127,"µ")+COUNTIF($E127:L127,1),ColDescriptionCourte))&gt;1,
HYPERLINK("#Roadmap!C"&amp; MATCH($E127,Roadmap!$D:$D,0)+COUNTIF($E127:L127,"u")+COUNTIF($E127:L127,"t")+COUNTIF($E127:L127,"¶")+COUNTIF($E127:L127,"²")+COUNTIF($E127:L127,"µ")+COUNTIF($E127:L127,1)-1,INDEX(Roadmap!$D:$K,MATCH($E127,Roadmap!$D:$D,0)-1+COUNTIF($E127:L127,"u")+COUNTIF($E127:L127,"t")+COUNTIF($E127:L127,"¶")+COUNTIF($E127:L127,"²")+COUNTIF($E127:L127,"µ")+COUNTIF($E127:L127,1),ColDescriptionCourte)),""),
  "")),"")</f>
        <v/>
      </c>
      <c r="N127" s="40" t="str">
        <f ca="1">IFERROR(IF(AND(
  INDEX(Roadmap!$D:$K,MATCH($E127,Roadmap!$D:$D,0)+COUNTIF($E127:M127,"u")+COUNTIF($E127:M127,"t")+COUNTIF($E127:M127,"¶")+COUNTIF($E127:M127,"²")+COUNTIF($E127:M127,"µ")+COUNTIF($E127:M127,1),ColLivraison)=N$6,
  VLOOKUP($E127,INDIRECT("tri!"&amp; CHAR(64+ C0Col) &amp;":"&amp; CHAR(65+C0Col)),2,FALSE)&gt;COUNTIF($E127:M127,"u")+COUNTIF($E127:M127,"t")+COUNTIF($E127:M127,"¶")+COUNTIF($E127:M127,"²")+COUNTIF($E127:M127,"µ")+COUNTIF($E127:M127,1)),
HYPERLINK("#Roadmap!C"&amp; MATCH($E127,Roadmap!$D:$D,0)+COUNTIF($E127:M127,"u")+COUNTIF($E127:M127,"t"),
     INDEX(Roadmap!$D:$K,MATCH($E127,Roadmap!$D:$D,0)+COUNTIF($E127:M127,"u")+COUNTIF($E127:M127,"t")+COUNTIF($E127:M127,"¶")+COUNTIF($E127:M127,"²")+COUNTIF($E127:M127,"µ")+COUNTIF($E127:M127,1),ColTypeEcheance)),
  IF(LEN(M127)=1,
  IF(LEN(INDEX(Roadmap!$D:$K,MATCH($E127,Roadmap!$D:$D,0)-1+COUNTIF($E127:M127,"u")+COUNTIF($E127:M127,"t")+COUNTIF($E127:M127,"¶")+COUNTIF($E127:M127,"²")+COUNTIF($E127:M127,"µ")+COUNTIF($E127:M127,1),ColDescriptionCourte))&gt;1,
HYPERLINK("#Roadmap!C"&amp; MATCH($E127,Roadmap!$D:$D,0)+COUNTIF($E127:M127,"u")+COUNTIF($E127:M127,"t")+COUNTIF($E127:M127,"¶")+COUNTIF($E127:M127,"²")+COUNTIF($E127:M127,"µ")+COUNTIF($E127:M127,1)-1,INDEX(Roadmap!$D:$K,MATCH($E127,Roadmap!$D:$D,0)-1+COUNTIF($E127:M127,"u")+COUNTIF($E127:M127,"t")+COUNTIF($E127:M127,"¶")+COUNTIF($E127:M127,"²")+COUNTIF($E127:M127,"µ")+COUNTIF($E127:M127,1),ColDescriptionCourte)),""),
  "")),"")</f>
        <v/>
      </c>
      <c r="O127" s="40" t="str">
        <f ca="1">IFERROR(IF(AND(
  INDEX(Roadmap!$D:$K,MATCH($E127,Roadmap!$D:$D,0)+COUNTIF($E127:N127,"u")+COUNTIF($E127:N127,"t")+COUNTIF($E127:N127,"¶")+COUNTIF($E127:N127,"²")+COUNTIF($E127:N127,"µ")+COUNTIF($E127:N127,1),ColLivraison)=O$6,
  VLOOKUP($E127,INDIRECT("tri!"&amp; CHAR(64+ C0Col) &amp;":"&amp; CHAR(65+C0Col)),2,FALSE)&gt;COUNTIF($E127:N127,"u")+COUNTIF($E127:N127,"t")+COUNTIF($E127:N127,"¶")+COUNTIF($E127:N127,"²")+COUNTIF($E127:N127,"µ")+COUNTIF($E127:N127,1)),
HYPERLINK("#Roadmap!C"&amp; MATCH($E127,Roadmap!$D:$D,0)+COUNTIF($E127:N127,"u")+COUNTIF($E127:N127,"t"),
     INDEX(Roadmap!$D:$K,MATCH($E127,Roadmap!$D:$D,0)+COUNTIF($E127:N127,"u")+COUNTIF($E127:N127,"t")+COUNTIF($E127:N127,"¶")+COUNTIF($E127:N127,"²")+COUNTIF($E127:N127,"µ")+COUNTIF($E127:N127,1),ColTypeEcheance)),
  IF(LEN(N127)=1,
  IF(LEN(INDEX(Roadmap!$D:$K,MATCH($E127,Roadmap!$D:$D,0)-1+COUNTIF($E127:N127,"u")+COUNTIF($E127:N127,"t")+COUNTIF($E127:N127,"¶")+COUNTIF($E127:N127,"²")+COUNTIF($E127:N127,"µ")+COUNTIF($E127:N127,1),ColDescriptionCourte))&gt;1,
HYPERLINK("#Roadmap!C"&amp; MATCH($E127,Roadmap!$D:$D,0)+COUNTIF($E127:N127,"u")+COUNTIF($E127:N127,"t")+COUNTIF($E127:N127,"¶")+COUNTIF($E127:N127,"²")+COUNTIF($E127:N127,"µ")+COUNTIF($E127:N127,1)-1,INDEX(Roadmap!$D:$K,MATCH($E127,Roadmap!$D:$D,0)-1+COUNTIF($E127:N127,"u")+COUNTIF($E127:N127,"t")+COUNTIF($E127:N127,"¶")+COUNTIF($E127:N127,"²")+COUNTIF($E127:N127,"µ")+COUNTIF($E127:N127,1),ColDescriptionCourte)),""),
  "")),"")</f>
        <v/>
      </c>
      <c r="P127" s="40" t="str">
        <f ca="1">IFERROR(IF(AND(
  INDEX(Roadmap!$D:$K,MATCH($E127,Roadmap!$D:$D,0)+COUNTIF($E127:O127,"u")+COUNTIF($E127:O127,"t")+COUNTIF($E127:O127,"¶")+COUNTIF($E127:O127,"²")+COUNTIF($E127:O127,"µ")+COUNTIF($E127:O127,1),ColLivraison)=P$6,
  VLOOKUP($E127,INDIRECT("tri!"&amp; CHAR(64+ C0Col) &amp;":"&amp; CHAR(65+C0Col)),2,FALSE)&gt;COUNTIF($E127:O127,"u")+COUNTIF($E127:O127,"t")+COUNTIF($E127:O127,"¶")+COUNTIF($E127:O127,"²")+COUNTIF($E127:O127,"µ")+COUNTIF($E127:O127,1)),
HYPERLINK("#Roadmap!C"&amp; MATCH($E127,Roadmap!$D:$D,0)+COUNTIF($E127:O127,"u")+COUNTIF($E127:O127,"t"),
     INDEX(Roadmap!$D:$K,MATCH($E127,Roadmap!$D:$D,0)+COUNTIF($E127:O127,"u")+COUNTIF($E127:O127,"t")+COUNTIF($E127:O127,"¶")+COUNTIF($E127:O127,"²")+COUNTIF($E127:O127,"µ")+COUNTIF($E127:O127,1),ColTypeEcheance)),
  IF(LEN(O127)=1,
  IF(LEN(INDEX(Roadmap!$D:$K,MATCH($E127,Roadmap!$D:$D,0)-1+COUNTIF($E127:O127,"u")+COUNTIF($E127:O127,"t")+COUNTIF($E127:O127,"¶")+COUNTIF($E127:O127,"²")+COUNTIF($E127:O127,"µ")+COUNTIF($E127:O127,1),ColDescriptionCourte))&gt;1,
HYPERLINK("#Roadmap!C"&amp; MATCH($E127,Roadmap!$D:$D,0)+COUNTIF($E127:O127,"u")+COUNTIF($E127:O127,"t")+COUNTIF($E127:O127,"¶")+COUNTIF($E127:O127,"²")+COUNTIF($E127:O127,"µ")+COUNTIF($E127:O127,1)-1,INDEX(Roadmap!$D:$K,MATCH($E127,Roadmap!$D:$D,0)-1+COUNTIF($E127:O127,"u")+COUNTIF($E127:O127,"t")+COUNTIF($E127:O127,"¶")+COUNTIF($E127:O127,"²")+COUNTIF($E127:O127,"µ")+COUNTIF($E127:O127,1),ColDescriptionCourte)),""),
  "")),"")</f>
        <v/>
      </c>
      <c r="Q127" s="40" t="str">
        <f ca="1">IFERROR(IF(AND(
  INDEX(Roadmap!$D:$K,MATCH($E127,Roadmap!$D:$D,0)+COUNTIF($E127:P127,"u")+COUNTIF($E127:P127,"t")+COUNTIF($E127:P127,"¶")+COUNTIF($E127:P127,"²")+COUNTIF($E127:P127,"µ")+COUNTIF($E127:P127,1),ColLivraison)=Q$6,
  VLOOKUP($E127,INDIRECT("tri!"&amp; CHAR(64+ C0Col) &amp;":"&amp; CHAR(65+C0Col)),2,FALSE)&gt;COUNTIF($E127:P127,"u")+COUNTIF($E127:P127,"t")+COUNTIF($E127:P127,"¶")+COUNTIF($E127:P127,"²")+COUNTIF($E127:P127,"µ")+COUNTIF($E127:P127,1)),
HYPERLINK("#Roadmap!C"&amp; MATCH($E127,Roadmap!$D:$D,0)+COUNTIF($E127:P127,"u")+COUNTIF($E127:P127,"t"),
     INDEX(Roadmap!$D:$K,MATCH($E127,Roadmap!$D:$D,0)+COUNTIF($E127:P127,"u")+COUNTIF($E127:P127,"t")+COUNTIF($E127:P127,"¶")+COUNTIF($E127:P127,"²")+COUNTIF($E127:P127,"µ")+COUNTIF($E127:P127,1),ColTypeEcheance)),
  IF(LEN(P127)=1,
  IF(LEN(INDEX(Roadmap!$D:$K,MATCH($E127,Roadmap!$D:$D,0)-1+COUNTIF($E127:P127,"u")+COUNTIF($E127:P127,"t")+COUNTIF($E127:P127,"¶")+COUNTIF($E127:P127,"²")+COUNTIF($E127:P127,"µ")+COUNTIF($E127:P127,1),ColDescriptionCourte))&gt;1,
HYPERLINK("#Roadmap!C"&amp; MATCH($E127,Roadmap!$D:$D,0)+COUNTIF($E127:P127,"u")+COUNTIF($E127:P127,"t")+COUNTIF($E127:P127,"¶")+COUNTIF($E127:P127,"²")+COUNTIF($E127:P127,"µ")+COUNTIF($E127:P127,1)-1,INDEX(Roadmap!$D:$K,MATCH($E127,Roadmap!$D:$D,0)-1+COUNTIF($E127:P127,"u")+COUNTIF($E127:P127,"t")+COUNTIF($E127:P127,"¶")+COUNTIF($E127:P127,"²")+COUNTIF($E127:P127,"µ")+COUNTIF($E127:P127,1),ColDescriptionCourte)),""),
  "")),"")</f>
        <v/>
      </c>
      <c r="R127" s="40" t="str">
        <f ca="1">IFERROR(IF(AND(
  INDEX(Roadmap!$D:$K,MATCH($E127,Roadmap!$D:$D,0)+COUNTIF($E127:Q127,"u")+COUNTIF($E127:Q127,"t")+COUNTIF($E127:Q127,"¶")+COUNTIF($E127:Q127,"²")+COUNTIF($E127:Q127,"µ")+COUNTIF($E127:Q127,1),ColLivraison)=R$6,
  VLOOKUP($E127,INDIRECT("tri!"&amp; CHAR(64+ C0Col) &amp;":"&amp; CHAR(65+C0Col)),2,FALSE)&gt;COUNTIF($E127:Q127,"u")+COUNTIF($E127:Q127,"t")+COUNTIF($E127:Q127,"¶")+COUNTIF($E127:Q127,"²")+COUNTIF($E127:Q127,"µ")+COUNTIF($E127:Q127,1)),
HYPERLINK("#Roadmap!C"&amp; MATCH($E127,Roadmap!$D:$D,0)+COUNTIF($E127:Q127,"u")+COUNTIF($E127:Q127,"t"),
     INDEX(Roadmap!$D:$K,MATCH($E127,Roadmap!$D:$D,0)+COUNTIF($E127:Q127,"u")+COUNTIF($E127:Q127,"t")+COUNTIF($E127:Q127,"¶")+COUNTIF($E127:Q127,"²")+COUNTIF($E127:Q127,"µ")+COUNTIF($E127:Q127,1),ColTypeEcheance)),
  IF(LEN(Q127)=1,
  IF(LEN(INDEX(Roadmap!$D:$K,MATCH($E127,Roadmap!$D:$D,0)-1+COUNTIF($E127:Q127,"u")+COUNTIF($E127:Q127,"t")+COUNTIF($E127:Q127,"¶")+COUNTIF($E127:Q127,"²")+COUNTIF($E127:Q127,"µ")+COUNTIF($E127:Q127,1),ColDescriptionCourte))&gt;1,
HYPERLINK("#Roadmap!C"&amp; MATCH($E127,Roadmap!$D:$D,0)+COUNTIF($E127:Q127,"u")+COUNTIF($E127:Q127,"t")+COUNTIF($E127:Q127,"¶")+COUNTIF($E127:Q127,"²")+COUNTIF($E127:Q127,"µ")+COUNTIF($E127:Q127,1)-1,INDEX(Roadmap!$D:$K,MATCH($E127,Roadmap!$D:$D,0)-1+COUNTIF($E127:Q127,"u")+COUNTIF($E127:Q127,"t")+COUNTIF($E127:Q127,"¶")+COUNTIF($E127:Q127,"²")+COUNTIF($E127:Q127,"µ")+COUNTIF($E127:Q127,1),ColDescriptionCourte)),""),
  "")),"")</f>
        <v/>
      </c>
      <c r="S127" s="40" t="str">
        <f ca="1">IFERROR(IF(AND(
  INDEX(Roadmap!$D:$K,MATCH($E127,Roadmap!$D:$D,0)+COUNTIF($E127:R127,"u")+COUNTIF($E127:R127,"t")+COUNTIF($E127:R127,"¶")+COUNTIF($E127:R127,"²")+COUNTIF($E127:R127,"µ")+COUNTIF($E127:R127,1),ColLivraison)=S$6,
  VLOOKUP($E127,INDIRECT("tri!"&amp; CHAR(64+ C0Col) &amp;":"&amp; CHAR(65+C0Col)),2,FALSE)&gt;COUNTIF($E127:R127,"u")+COUNTIF($E127:R127,"t")+COUNTIF($E127:R127,"¶")+COUNTIF($E127:R127,"²")+COUNTIF($E127:R127,"µ")+COUNTIF($E127:R127,1)),
HYPERLINK("#Roadmap!C"&amp; MATCH($E127,Roadmap!$D:$D,0)+COUNTIF($E127:R127,"u")+COUNTIF($E127:R127,"t"),
     INDEX(Roadmap!$D:$K,MATCH($E127,Roadmap!$D:$D,0)+COUNTIF($E127:R127,"u")+COUNTIF($E127:R127,"t")+COUNTIF($E127:R127,"¶")+COUNTIF($E127:R127,"²")+COUNTIF($E127:R127,"µ")+COUNTIF($E127:R127,1),ColTypeEcheance)),
  IF(LEN(R127)=1,
  IF(LEN(INDEX(Roadmap!$D:$K,MATCH($E127,Roadmap!$D:$D,0)-1+COUNTIF($E127:R127,"u")+COUNTIF($E127:R127,"t")+COUNTIF($E127:R127,"¶")+COUNTIF($E127:R127,"²")+COUNTIF($E127:R127,"µ")+COUNTIF($E127:R127,1),ColDescriptionCourte))&gt;1,
HYPERLINK("#Roadmap!C"&amp; MATCH($E127,Roadmap!$D:$D,0)+COUNTIF($E127:R127,"u")+COUNTIF($E127:R127,"t")+COUNTIF($E127:R127,"¶")+COUNTIF($E127:R127,"²")+COUNTIF($E127:R127,"µ")+COUNTIF($E127:R127,1)-1,INDEX(Roadmap!$D:$K,MATCH($E127,Roadmap!$D:$D,0)-1+COUNTIF($E127:R127,"u")+COUNTIF($E127:R127,"t")+COUNTIF($E127:R127,"¶")+COUNTIF($E127:R127,"²")+COUNTIF($E127:R127,"µ")+COUNTIF($E127:R127,1),ColDescriptionCourte)),""),
  "")),"")</f>
        <v/>
      </c>
      <c r="T127" s="40" t="str">
        <f ca="1">IFERROR(IF(AND(
  INDEX(Roadmap!$D:$K,MATCH($E127,Roadmap!$D:$D,0)+COUNTIF($E127:S127,"u")+COUNTIF($E127:S127,"t")+COUNTIF($E127:S127,"¶")+COUNTIF($E127:S127,"²")+COUNTIF($E127:S127,"µ")+COUNTIF($E127:S127,1),ColLivraison)=T$6,
  VLOOKUP($E127,INDIRECT("tri!"&amp; CHAR(64+ C0Col) &amp;":"&amp; CHAR(65+C0Col)),2,FALSE)&gt;COUNTIF($E127:S127,"u")+COUNTIF($E127:S127,"t")+COUNTIF($E127:S127,"¶")+COUNTIF($E127:S127,"²")+COUNTIF($E127:S127,"µ")+COUNTIF($E127:S127,1)),
HYPERLINK("#Roadmap!C"&amp; MATCH($E127,Roadmap!$D:$D,0)+COUNTIF($E127:S127,"u")+COUNTIF($E127:S127,"t"),
     INDEX(Roadmap!$D:$K,MATCH($E127,Roadmap!$D:$D,0)+COUNTIF($E127:S127,"u")+COUNTIF($E127:S127,"t")+COUNTIF($E127:S127,"¶")+COUNTIF($E127:S127,"²")+COUNTIF($E127:S127,"µ")+COUNTIF($E127:S127,1),ColTypeEcheance)),
  IF(LEN(S127)=1,
  IF(LEN(INDEX(Roadmap!$D:$K,MATCH($E127,Roadmap!$D:$D,0)-1+COUNTIF($E127:S127,"u")+COUNTIF($E127:S127,"t")+COUNTIF($E127:S127,"¶")+COUNTIF($E127:S127,"²")+COUNTIF($E127:S127,"µ")+COUNTIF($E127:S127,1),ColDescriptionCourte))&gt;1,
HYPERLINK("#Roadmap!C"&amp; MATCH($E127,Roadmap!$D:$D,0)+COUNTIF($E127:S127,"u")+COUNTIF($E127:S127,"t")+COUNTIF($E127:S127,"¶")+COUNTIF($E127:S127,"²")+COUNTIF($E127:S127,"µ")+COUNTIF($E127:S127,1)-1,INDEX(Roadmap!$D:$K,MATCH($E127,Roadmap!$D:$D,0)-1+COUNTIF($E127:S127,"u")+COUNTIF($E127:S127,"t")+COUNTIF($E127:S127,"¶")+COUNTIF($E127:S127,"²")+COUNTIF($E127:S127,"µ")+COUNTIF($E127:S127,1),ColDescriptionCourte)),""),
  "")),"")</f>
        <v/>
      </c>
      <c r="U127" s="40" t="str">
        <f ca="1">IFERROR(IF(AND(
  INDEX(Roadmap!$D:$K,MATCH($E127,Roadmap!$D:$D,0)+COUNTIF($E127:T127,"u")+COUNTIF($E127:T127,"t")+COUNTIF($E127:T127,"¶")+COUNTIF($E127:T127,"²")+COUNTIF($E127:T127,"µ")+COUNTIF($E127:T127,1),ColLivraison)=U$6,
  VLOOKUP($E127,INDIRECT("tri!"&amp; CHAR(64+ C0Col) &amp;":"&amp; CHAR(65+C0Col)),2,FALSE)&gt;COUNTIF($E127:T127,"u")+COUNTIF($E127:T127,"t")+COUNTIF($E127:T127,"¶")+COUNTIF($E127:T127,"²")+COUNTIF($E127:T127,"µ")+COUNTIF($E127:T127,1)),
HYPERLINK("#Roadmap!C"&amp; MATCH($E127,Roadmap!$D:$D,0)+COUNTIF($E127:T127,"u")+COUNTIF($E127:T127,"t"),
     INDEX(Roadmap!$D:$K,MATCH($E127,Roadmap!$D:$D,0)+COUNTIF($E127:T127,"u")+COUNTIF($E127:T127,"t")+COUNTIF($E127:T127,"¶")+COUNTIF($E127:T127,"²")+COUNTIF($E127:T127,"µ")+COUNTIF($E127:T127,1),ColTypeEcheance)),
  IF(LEN(T127)=1,
  IF(LEN(INDEX(Roadmap!$D:$K,MATCH($E127,Roadmap!$D:$D,0)-1+COUNTIF($E127:T127,"u")+COUNTIF($E127:T127,"t")+COUNTIF($E127:T127,"¶")+COUNTIF($E127:T127,"²")+COUNTIF($E127:T127,"µ")+COUNTIF($E127:T127,1),ColDescriptionCourte))&gt;1,
HYPERLINK("#Roadmap!C"&amp; MATCH($E127,Roadmap!$D:$D,0)+COUNTIF($E127:T127,"u")+COUNTIF($E127:T127,"t")+COUNTIF($E127:T127,"¶")+COUNTIF($E127:T127,"²")+COUNTIF($E127:T127,"µ")+COUNTIF($E127:T127,1)-1,INDEX(Roadmap!$D:$K,MATCH($E127,Roadmap!$D:$D,0)-1+COUNTIF($E127:T127,"u")+COUNTIF($E127:T127,"t")+COUNTIF($E127:T127,"¶")+COUNTIF($E127:T127,"²")+COUNTIF($E127:T127,"µ")+COUNTIF($E127:T127,1),ColDescriptionCourte)),""),
  "")),"")</f>
        <v/>
      </c>
      <c r="V127" s="40" t="str">
        <f ca="1">IFERROR(IF(AND(
  INDEX(Roadmap!$D:$K,MATCH($E127,Roadmap!$D:$D,0)+COUNTIF($E127:U127,"u")+COUNTIF($E127:U127,"t")+COUNTIF($E127:U127,"¶")+COUNTIF($E127:U127,"²")+COUNTIF($E127:U127,"µ")+COUNTIF($E127:U127,1),ColLivraison)=V$6,
  VLOOKUP($E127,INDIRECT("tri!"&amp; CHAR(64+ C0Col) &amp;":"&amp; CHAR(65+C0Col)),2,FALSE)&gt;COUNTIF($E127:U127,"u")+COUNTIF($E127:U127,"t")+COUNTIF($E127:U127,"¶")+COUNTIF($E127:U127,"²")+COUNTIF($E127:U127,"µ")+COUNTIF($E127:U127,1)),
HYPERLINK("#Roadmap!C"&amp; MATCH($E127,Roadmap!$D:$D,0)+COUNTIF($E127:U127,"u")+COUNTIF($E127:U127,"t"),
     INDEX(Roadmap!$D:$K,MATCH($E127,Roadmap!$D:$D,0)+COUNTIF($E127:U127,"u")+COUNTIF($E127:U127,"t")+COUNTIF($E127:U127,"¶")+COUNTIF($E127:U127,"²")+COUNTIF($E127:U127,"µ")+COUNTIF($E127:U127,1),ColTypeEcheance)),
  IF(LEN(U127)=1,
  IF(LEN(INDEX(Roadmap!$D:$K,MATCH($E127,Roadmap!$D:$D,0)-1+COUNTIF($E127:U127,"u")+COUNTIF($E127:U127,"t")+COUNTIF($E127:U127,"¶")+COUNTIF($E127:U127,"²")+COUNTIF($E127:U127,"µ")+COUNTIF($E127:U127,1),ColDescriptionCourte))&gt;1,
HYPERLINK("#Roadmap!C"&amp; MATCH($E127,Roadmap!$D:$D,0)+COUNTIF($E127:U127,"u")+COUNTIF($E127:U127,"t")+COUNTIF($E127:U127,"¶")+COUNTIF($E127:U127,"²")+COUNTIF($E127:U127,"µ")+COUNTIF($E127:U127,1)-1,INDEX(Roadmap!$D:$K,MATCH($E127,Roadmap!$D:$D,0)-1+COUNTIF($E127:U127,"u")+COUNTIF($E127:U127,"t")+COUNTIF($E127:U127,"¶")+COUNTIF($E127:U127,"²")+COUNTIF($E127:U127,"µ")+COUNTIF($E127:U127,1),ColDescriptionCourte)),""),
  "")),"")</f>
        <v/>
      </c>
      <c r="W127" s="40" t="str">
        <f ca="1">IFERROR(IF(AND(
  INDEX(Roadmap!$D:$K,MATCH($E127,Roadmap!$D:$D,0)+COUNTIF($E127:V127,"u")+COUNTIF($E127:V127,"t")+COUNTIF($E127:V127,"¶")+COUNTIF($E127:V127,"²")+COUNTIF($E127:V127,"µ")+COUNTIF($E127:V127,1),ColLivraison)=W$6,
  VLOOKUP($E127,INDIRECT("tri!"&amp; CHAR(64+ C0Col) &amp;":"&amp; CHAR(65+C0Col)),2,FALSE)&gt;COUNTIF($E127:V127,"u")+COUNTIF($E127:V127,"t")+COUNTIF($E127:V127,"¶")+COUNTIF($E127:V127,"²")+COUNTIF($E127:V127,"µ")+COUNTIF($E127:V127,1)),
HYPERLINK("#Roadmap!C"&amp; MATCH($E127,Roadmap!$D:$D,0)+COUNTIF($E127:V127,"u")+COUNTIF($E127:V127,"t"),
     INDEX(Roadmap!$D:$K,MATCH($E127,Roadmap!$D:$D,0)+COUNTIF($E127:V127,"u")+COUNTIF($E127:V127,"t")+COUNTIF($E127:V127,"¶")+COUNTIF($E127:V127,"²")+COUNTIF($E127:V127,"µ")+COUNTIF($E127:V127,1),ColTypeEcheance)),
  IF(LEN(V127)=1,
  IF(LEN(INDEX(Roadmap!$D:$K,MATCH($E127,Roadmap!$D:$D,0)-1+COUNTIF($E127:V127,"u")+COUNTIF($E127:V127,"t")+COUNTIF($E127:V127,"¶")+COUNTIF($E127:V127,"²")+COUNTIF($E127:V127,"µ")+COUNTIF($E127:V127,1),ColDescriptionCourte))&gt;1,
HYPERLINK("#Roadmap!C"&amp; MATCH($E127,Roadmap!$D:$D,0)+COUNTIF($E127:V127,"u")+COUNTIF($E127:V127,"t")+COUNTIF($E127:V127,"¶")+COUNTIF($E127:V127,"²")+COUNTIF($E127:V127,"µ")+COUNTIF($E127:V127,1)-1,INDEX(Roadmap!$D:$K,MATCH($E127,Roadmap!$D:$D,0)-1+COUNTIF($E127:V127,"u")+COUNTIF($E127:V127,"t")+COUNTIF($E127:V127,"¶")+COUNTIF($E127:V127,"²")+COUNTIF($E127:V127,"µ")+COUNTIF($E127:V127,1),ColDescriptionCourte)),""),
  "")),"")</f>
        <v/>
      </c>
      <c r="X127" s="40" t="str">
        <f ca="1">IFERROR(IF(AND(
  INDEX(Roadmap!$D:$K,MATCH($E127,Roadmap!$D:$D,0)+COUNTIF($E127:W127,"u")+COUNTIF($E127:W127,"t")+COUNTIF($E127:W127,"¶")+COUNTIF($E127:W127,"²")+COUNTIF($E127:W127,"µ")+COUNTIF($E127:W127,1),ColLivraison)=X$6,
  VLOOKUP($E127,INDIRECT("tri!"&amp; CHAR(64+ C0Col) &amp;":"&amp; CHAR(65+C0Col)),2,FALSE)&gt;COUNTIF($E127:W127,"u")+COUNTIF($E127:W127,"t")+COUNTIF($E127:W127,"¶")+COUNTIF($E127:W127,"²")+COUNTIF($E127:W127,"µ")+COUNTIF($E127:W127,1)),
HYPERLINK("#Roadmap!C"&amp; MATCH($E127,Roadmap!$D:$D,0)+COUNTIF($E127:W127,"u")+COUNTIF($E127:W127,"t"),
     INDEX(Roadmap!$D:$K,MATCH($E127,Roadmap!$D:$D,0)+COUNTIF($E127:W127,"u")+COUNTIF($E127:W127,"t")+COUNTIF($E127:W127,"¶")+COUNTIF($E127:W127,"²")+COUNTIF($E127:W127,"µ")+COUNTIF($E127:W127,1),ColTypeEcheance)),
  IF(LEN(W127)=1,
  IF(LEN(INDEX(Roadmap!$D:$K,MATCH($E127,Roadmap!$D:$D,0)-1+COUNTIF($E127:W127,"u")+COUNTIF($E127:W127,"t")+COUNTIF($E127:W127,"¶")+COUNTIF($E127:W127,"²")+COUNTIF($E127:W127,"µ")+COUNTIF($E127:W127,1),ColDescriptionCourte))&gt;1,
HYPERLINK("#Roadmap!C"&amp; MATCH($E127,Roadmap!$D:$D,0)+COUNTIF($E127:W127,"u")+COUNTIF($E127:W127,"t")+COUNTIF($E127:W127,"¶")+COUNTIF($E127:W127,"²")+COUNTIF($E127:W127,"µ")+COUNTIF($E127:W127,1)-1,INDEX(Roadmap!$D:$K,MATCH($E127,Roadmap!$D:$D,0)-1+COUNTIF($E127:W127,"u")+COUNTIF($E127:W127,"t")+COUNTIF($E127:W127,"¶")+COUNTIF($E127:W127,"²")+COUNTIF($E127:W127,"µ")+COUNTIF($E127:W127,1),ColDescriptionCourte)),""),
  "")),"")</f>
        <v/>
      </c>
      <c r="Y127" s="40" t="str">
        <f ca="1">IFERROR(IF(AND(
  INDEX(Roadmap!$D:$K,MATCH($E127,Roadmap!$D:$D,0)+COUNTIF($E127:X127,"u")+COUNTIF($E127:X127,"t")+COUNTIF($E127:X127,"¶")+COUNTIF($E127:X127,"²")+COUNTIF($E127:X127,"µ")+COUNTIF($E127:X127,1),ColLivraison)=Y$6,
  VLOOKUP($E127,INDIRECT("tri!"&amp; CHAR(64+ C0Col) &amp;":"&amp; CHAR(65+C0Col)),2,FALSE)&gt;COUNTIF($E127:X127,"u")+COUNTIF($E127:X127,"t")+COUNTIF($E127:X127,"¶")+COUNTIF($E127:X127,"²")+COUNTIF($E127:X127,"µ")+COUNTIF($E127:X127,1)),
HYPERLINK("#Roadmap!C"&amp; MATCH($E127,Roadmap!$D:$D,0)+COUNTIF($E127:X127,"u")+COUNTIF($E127:X127,"t"),
     INDEX(Roadmap!$D:$K,MATCH($E127,Roadmap!$D:$D,0)+COUNTIF($E127:X127,"u")+COUNTIF($E127:X127,"t")+COUNTIF($E127:X127,"¶")+COUNTIF($E127:X127,"²")+COUNTIF($E127:X127,"µ")+COUNTIF($E127:X127,1),ColTypeEcheance)),
  IF(LEN(X127)=1,
  IF(LEN(INDEX(Roadmap!$D:$K,MATCH($E127,Roadmap!$D:$D,0)-1+COUNTIF($E127:X127,"u")+COUNTIF($E127:X127,"t")+COUNTIF($E127:X127,"¶")+COUNTIF($E127:X127,"²")+COUNTIF($E127:X127,"µ")+COUNTIF($E127:X127,1),ColDescriptionCourte))&gt;1,
HYPERLINK("#Roadmap!C"&amp; MATCH($E127,Roadmap!$D:$D,0)+COUNTIF($E127:X127,"u")+COUNTIF($E127:X127,"t")+COUNTIF($E127:X127,"¶")+COUNTIF($E127:X127,"²")+COUNTIF($E127:X127,"µ")+COUNTIF($E127:X127,1)-1,INDEX(Roadmap!$D:$K,MATCH($E127,Roadmap!$D:$D,0)-1+COUNTIF($E127:X127,"u")+COUNTIF($E127:X127,"t")+COUNTIF($E127:X127,"¶")+COUNTIF($E127:X127,"²")+COUNTIF($E127:X127,"µ")+COUNTIF($E127:X127,1),ColDescriptionCourte)),""),
  "")),"")</f>
        <v/>
      </c>
      <c r="Z127" s="40" t="str">
        <f ca="1">IFERROR(IF(AND(
  INDEX(Roadmap!$D:$K,MATCH($E127,Roadmap!$D:$D,0)+COUNTIF($E127:Y127,"u")+COUNTIF($E127:Y127,"t")+COUNTIF($E127:Y127,"¶")+COUNTIF($E127:Y127,"²")+COUNTIF($E127:Y127,"µ")+COUNTIF($E127:Y127,1),ColLivraison)=Z$6,
  VLOOKUP($E127,INDIRECT("tri!"&amp; CHAR(64+ C0Col) &amp;":"&amp; CHAR(65+C0Col)),2,FALSE)&gt;COUNTIF($E127:Y127,"u")+COUNTIF($E127:Y127,"t")+COUNTIF($E127:Y127,"¶")+COUNTIF($E127:Y127,"²")+COUNTIF($E127:Y127,"µ")+COUNTIF($E127:Y127,1)),
HYPERLINK("#Roadmap!C"&amp; MATCH($E127,Roadmap!$D:$D,0)+COUNTIF($E127:Y127,"u")+COUNTIF($E127:Y127,"t"),
     INDEX(Roadmap!$D:$K,MATCH($E127,Roadmap!$D:$D,0)+COUNTIF($E127:Y127,"u")+COUNTIF($E127:Y127,"t")+COUNTIF($E127:Y127,"¶")+COUNTIF($E127:Y127,"²")+COUNTIF($E127:Y127,"µ")+COUNTIF($E127:Y127,1),ColTypeEcheance)),
  IF(LEN(Y127)=1,
  IF(LEN(INDEX(Roadmap!$D:$K,MATCH($E127,Roadmap!$D:$D,0)-1+COUNTIF($E127:Y127,"u")+COUNTIF($E127:Y127,"t")+COUNTIF($E127:Y127,"¶")+COUNTIF($E127:Y127,"²")+COUNTIF($E127:Y127,"µ")+COUNTIF($E127:Y127,1),ColDescriptionCourte))&gt;1,
HYPERLINK("#Roadmap!C"&amp; MATCH($E127,Roadmap!$D:$D,0)+COUNTIF($E127:Y127,"u")+COUNTIF($E127:Y127,"t")+COUNTIF($E127:Y127,"¶")+COUNTIF($E127:Y127,"²")+COUNTIF($E127:Y127,"µ")+COUNTIF($E127:Y127,1)-1,INDEX(Roadmap!$D:$K,MATCH($E127,Roadmap!$D:$D,0)-1+COUNTIF($E127:Y127,"u")+COUNTIF($E127:Y127,"t")+COUNTIF($E127:Y127,"¶")+COUNTIF($E127:Y127,"²")+COUNTIF($E127:Y127,"µ")+COUNTIF($E127:Y127,1),ColDescriptionCourte)),""),
  "")),"")</f>
        <v/>
      </c>
      <c r="AA127" s="40" t="str">
        <f ca="1">IFERROR(IF(AND(
  INDEX(Roadmap!$D:$K,MATCH($E127,Roadmap!$D:$D,0)+COUNTIF($E127:Z127,"u")+COUNTIF($E127:Z127,"t")+COUNTIF($E127:Z127,"¶")+COUNTIF($E127:Z127,"²")+COUNTIF($E127:Z127,"µ")+COUNTIF($E127:Z127,1),ColLivraison)=AA$6,
  VLOOKUP($E127,INDIRECT("tri!"&amp; CHAR(64+ C0Col) &amp;":"&amp; CHAR(65+C0Col)),2,FALSE)&gt;COUNTIF($E127:Z127,"u")+COUNTIF($E127:Z127,"t")+COUNTIF($E127:Z127,"¶")+COUNTIF($E127:Z127,"²")+COUNTIF($E127:Z127,"µ")+COUNTIF($E127:Z127,1)),
HYPERLINK("#Roadmap!C"&amp; MATCH($E127,Roadmap!$D:$D,0)+COUNTIF($E127:Z127,"u")+COUNTIF($E127:Z127,"t"),
     INDEX(Roadmap!$D:$K,MATCH($E127,Roadmap!$D:$D,0)+COUNTIF($E127:Z127,"u")+COUNTIF($E127:Z127,"t")+COUNTIF($E127:Z127,"¶")+COUNTIF($E127:Z127,"²")+COUNTIF($E127:Z127,"µ")+COUNTIF($E127:Z127,1),ColTypeEcheance)),
  IF(LEN(Z127)=1,
  IF(LEN(INDEX(Roadmap!$D:$K,MATCH($E127,Roadmap!$D:$D,0)-1+COUNTIF($E127:Z127,"u")+COUNTIF($E127:Z127,"t")+COUNTIF($E127:Z127,"¶")+COUNTIF($E127:Z127,"²")+COUNTIF($E127:Z127,"µ")+COUNTIF($E127:Z127,1),ColDescriptionCourte))&gt;1,
HYPERLINK("#Roadmap!C"&amp; MATCH($E127,Roadmap!$D:$D,0)+COUNTIF($E127:Z127,"u")+COUNTIF($E127:Z127,"t")+COUNTIF($E127:Z127,"¶")+COUNTIF($E127:Z127,"²")+COUNTIF($E127:Z127,"µ")+COUNTIF($E127:Z127,1)-1,INDEX(Roadmap!$D:$K,MATCH($E127,Roadmap!$D:$D,0)-1+COUNTIF($E127:Z127,"u")+COUNTIF($E127:Z127,"t")+COUNTIF($E127:Z127,"¶")+COUNTIF($E127:Z127,"²")+COUNTIF($E127:Z127,"µ")+COUNTIF($E127:Z127,1),ColDescriptionCourte)),""),
  "")),"")</f>
        <v/>
      </c>
      <c r="AB127" s="40" t="str">
        <f ca="1">IFERROR(IF(AND(
  INDEX(Roadmap!$D:$K,MATCH($E127,Roadmap!$D:$D,0)+COUNTIF($E127:AA127,"u")+COUNTIF($E127:AA127,"t")+COUNTIF($E127:AA127,"¶")+COUNTIF($E127:AA127,"²")+COUNTIF($E127:AA127,"µ")+COUNTIF($E127:AA127,1),ColLivraison)=AB$6,
  VLOOKUP($E127,INDIRECT("tri!"&amp; CHAR(64+ C0Col) &amp;":"&amp; CHAR(65+C0Col)),2,FALSE)&gt;COUNTIF($E127:AA127,"u")+COUNTIF($E127:AA127,"t")+COUNTIF($E127:AA127,"¶")+COUNTIF($E127:AA127,"²")+COUNTIF($E127:AA127,"µ")+COUNTIF($E127:AA127,1)),
HYPERLINK("#Roadmap!C"&amp; MATCH($E127,Roadmap!$D:$D,0)+COUNTIF($E127:AA127,"u")+COUNTIF($E127:AA127,"t"),
     INDEX(Roadmap!$D:$K,MATCH($E127,Roadmap!$D:$D,0)+COUNTIF($E127:AA127,"u")+COUNTIF($E127:AA127,"t")+COUNTIF($E127:AA127,"¶")+COUNTIF($E127:AA127,"²")+COUNTIF($E127:AA127,"µ")+COUNTIF($E127:AA127,1),ColTypeEcheance)),
  IF(LEN(AA127)=1,
  IF(LEN(INDEX(Roadmap!$D:$K,MATCH($E127,Roadmap!$D:$D,0)-1+COUNTIF($E127:AA127,"u")+COUNTIF($E127:AA127,"t")+COUNTIF($E127:AA127,"¶")+COUNTIF($E127:AA127,"²")+COUNTIF($E127:AA127,"µ")+COUNTIF($E127:AA127,1),ColDescriptionCourte))&gt;1,
HYPERLINK("#Roadmap!C"&amp; MATCH($E127,Roadmap!$D:$D,0)+COUNTIF($E127:AA127,"u")+COUNTIF($E127:AA127,"t")+COUNTIF($E127:AA127,"¶")+COUNTIF($E127:AA127,"²")+COUNTIF($E127:AA127,"µ")+COUNTIF($E127:AA127,1)-1,INDEX(Roadmap!$D:$K,MATCH($E127,Roadmap!$D:$D,0)-1+COUNTIF($E127:AA127,"u")+COUNTIF($E127:AA127,"t")+COUNTIF($E127:AA127,"¶")+COUNTIF($E127:AA127,"²")+COUNTIF($E127:AA127,"µ")+COUNTIF($E127:AA127,1),ColDescriptionCourte)),""),
  "")),"")</f>
        <v/>
      </c>
      <c r="AC127" s="40" t="str">
        <f ca="1">IFERROR(IF(AND(
  INDEX(Roadmap!$D:$K,MATCH($E127,Roadmap!$D:$D,0)+COUNTIF($E127:AB127,"u")+COUNTIF($E127:AB127,"t")+COUNTIF($E127:AB127,"¶")+COUNTIF($E127:AB127,"²")+COUNTIF($E127:AB127,"µ")+COUNTIF($E127:AB127,1),ColLivraison)=AC$6,
  VLOOKUP($E127,INDIRECT("tri!"&amp; CHAR(64+ C0Col) &amp;":"&amp; CHAR(65+C0Col)),2,FALSE)&gt;COUNTIF($E127:AB127,"u")+COUNTIF($E127:AB127,"t")+COUNTIF($E127:AB127,"¶")+COUNTIF($E127:AB127,"²")+COUNTIF($E127:AB127,"µ")+COUNTIF($E127:AB127,1)),
HYPERLINK("#Roadmap!C"&amp; MATCH($E127,Roadmap!$D:$D,0)+COUNTIF($E127:AB127,"u")+COUNTIF($E127:AB127,"t"),
     INDEX(Roadmap!$D:$K,MATCH($E127,Roadmap!$D:$D,0)+COUNTIF($E127:AB127,"u")+COUNTIF($E127:AB127,"t")+COUNTIF($E127:AB127,"¶")+COUNTIF($E127:AB127,"²")+COUNTIF($E127:AB127,"µ")+COUNTIF($E127:AB127,1),ColTypeEcheance)),
  IF(LEN(AB127)=1,
  IF(LEN(INDEX(Roadmap!$D:$K,MATCH($E127,Roadmap!$D:$D,0)-1+COUNTIF($E127:AB127,"u")+COUNTIF($E127:AB127,"t")+COUNTIF($E127:AB127,"¶")+COUNTIF($E127:AB127,"²")+COUNTIF($E127:AB127,"µ")+COUNTIF($E127:AB127,1),ColDescriptionCourte))&gt;1,
HYPERLINK("#Roadmap!C"&amp; MATCH($E127,Roadmap!$D:$D,0)+COUNTIF($E127:AB127,"u")+COUNTIF($E127:AB127,"t")+COUNTIF($E127:AB127,"¶")+COUNTIF($E127:AB127,"²")+COUNTIF($E127:AB127,"µ")+COUNTIF($E127:AB127,1)-1,INDEX(Roadmap!$D:$K,MATCH($E127,Roadmap!$D:$D,0)-1+COUNTIF($E127:AB127,"u")+COUNTIF($E127:AB127,"t")+COUNTIF($E127:AB127,"¶")+COUNTIF($E127:AB127,"²")+COUNTIF($E127:AB127,"µ")+COUNTIF($E127:AB127,1),ColDescriptionCourte)),""),
  "")),"")</f>
        <v/>
      </c>
      <c r="AD127" s="40" t="str">
        <f ca="1">IFERROR(IF(AND(
  INDEX(Roadmap!$D:$K,MATCH($E127,Roadmap!$D:$D,0)+COUNTIF($E127:AC127,"u")+COUNTIF($E127:AC127,"t")+COUNTIF($E127:AC127,"¶")+COUNTIF($E127:AC127,"²")+COUNTIF($E127:AC127,"µ")+COUNTIF($E127:AC127,1),ColLivraison)=AD$6,
  VLOOKUP($E127,INDIRECT("tri!"&amp; CHAR(64+ C0Col) &amp;":"&amp; CHAR(65+C0Col)),2,FALSE)&gt;COUNTIF($E127:AC127,"u")+COUNTIF($E127:AC127,"t")+COUNTIF($E127:AC127,"¶")+COUNTIF($E127:AC127,"²")+COUNTIF($E127:AC127,"µ")+COUNTIF($E127:AC127,1)),
HYPERLINK("#Roadmap!C"&amp; MATCH($E127,Roadmap!$D:$D,0)+COUNTIF($E127:AC127,"u")+COUNTIF($E127:AC127,"t"),
     INDEX(Roadmap!$D:$K,MATCH($E127,Roadmap!$D:$D,0)+COUNTIF($E127:AC127,"u")+COUNTIF($E127:AC127,"t")+COUNTIF($E127:AC127,"¶")+COUNTIF($E127:AC127,"²")+COUNTIF($E127:AC127,"µ")+COUNTIF($E127:AC127,1),ColTypeEcheance)),
  IF(LEN(AC127)=1,
  IF(LEN(INDEX(Roadmap!$D:$K,MATCH($E127,Roadmap!$D:$D,0)-1+COUNTIF($E127:AC127,"u")+COUNTIF($E127:AC127,"t")+COUNTIF($E127:AC127,"¶")+COUNTIF($E127:AC127,"²")+COUNTIF($E127:AC127,"µ")+COUNTIF($E127:AC127,1),ColDescriptionCourte))&gt;1,
HYPERLINK("#Roadmap!C"&amp; MATCH($E127,Roadmap!$D:$D,0)+COUNTIF($E127:AC127,"u")+COUNTIF($E127:AC127,"t")+COUNTIF($E127:AC127,"¶")+COUNTIF($E127:AC127,"²")+COUNTIF($E127:AC127,"µ")+COUNTIF($E127:AC127,1)-1,INDEX(Roadmap!$D:$K,MATCH($E127,Roadmap!$D:$D,0)-1+COUNTIF($E127:AC127,"u")+COUNTIF($E127:AC127,"t")+COUNTIF($E127:AC127,"¶")+COUNTIF($E127:AC127,"²")+COUNTIF($E127:AC127,"µ")+COUNTIF($E127:AC127,1),ColDescriptionCourte)),""),
  "")),"")</f>
        <v/>
      </c>
      <c r="AE127" s="40" t="str">
        <f ca="1">IFERROR(IF(AND(
  INDEX(Roadmap!$D:$K,MATCH($E127,Roadmap!$D:$D,0)+COUNTIF($E127:AD127,"u")+COUNTIF($E127:AD127,"t")+COUNTIF($E127:AD127,"¶")+COUNTIF($E127:AD127,"²")+COUNTIF($E127:AD127,"µ")+COUNTIF($E127:AD127,1),ColLivraison)=AE$6,
  VLOOKUP($E127,INDIRECT("tri!"&amp; CHAR(64+ C0Col) &amp;":"&amp; CHAR(65+C0Col)),2,FALSE)&gt;COUNTIF($E127:AD127,"u")+COUNTIF($E127:AD127,"t")+COUNTIF($E127:AD127,"¶")+COUNTIF($E127:AD127,"²")+COUNTIF($E127:AD127,"µ")+COUNTIF($E127:AD127,1)),
HYPERLINK("#Roadmap!C"&amp; MATCH($E127,Roadmap!$D:$D,0)+COUNTIF($E127:AD127,"u")+COUNTIF($E127:AD127,"t"),
     INDEX(Roadmap!$D:$K,MATCH($E127,Roadmap!$D:$D,0)+COUNTIF($E127:AD127,"u")+COUNTIF($E127:AD127,"t")+COUNTIF($E127:AD127,"¶")+COUNTIF($E127:AD127,"²")+COUNTIF($E127:AD127,"µ")+COUNTIF($E127:AD127,1),ColTypeEcheance)),
  IF(LEN(AD127)=1,
  IF(LEN(INDEX(Roadmap!$D:$K,MATCH($E127,Roadmap!$D:$D,0)-1+COUNTIF($E127:AD127,"u")+COUNTIF($E127:AD127,"t")+COUNTIF($E127:AD127,"¶")+COUNTIF($E127:AD127,"²")+COUNTIF($E127:AD127,"µ")+COUNTIF($E127:AD127,1),ColDescriptionCourte))&gt;1,
HYPERLINK("#Roadmap!C"&amp; MATCH($E127,Roadmap!$D:$D,0)+COUNTIF($E127:AD127,"u")+COUNTIF($E127:AD127,"t")+COUNTIF($E127:AD127,"¶")+COUNTIF($E127:AD127,"²")+COUNTIF($E127:AD127,"µ")+COUNTIF($E127:AD127,1)-1,INDEX(Roadmap!$D:$K,MATCH($E127,Roadmap!$D:$D,0)-1+COUNTIF($E127:AD127,"u")+COUNTIF($E127:AD127,"t")+COUNTIF($E127:AD127,"¶")+COUNTIF($E127:AD127,"²")+COUNTIF($E127:AD127,"µ")+COUNTIF($E127:AD127,1),ColDescriptionCourte)),""),
  "")),"")</f>
        <v/>
      </c>
      <c r="AF127" s="40" t="str">
        <f ca="1">IFERROR(IF(AND(
  INDEX(Roadmap!$D:$K,MATCH($E127,Roadmap!$D:$D,0)+COUNTIF($E127:AE127,"u")+COUNTIF($E127:AE127,"t")+COUNTIF($E127:AE127,"¶")+COUNTIF($E127:AE127,"²")+COUNTIF($E127:AE127,"µ")+COUNTIF($E127:AE127,1),ColLivraison)=AF$6,
  VLOOKUP($E127,INDIRECT("tri!"&amp; CHAR(64+ C0Col) &amp;":"&amp; CHAR(65+C0Col)),2,FALSE)&gt;COUNTIF($E127:AE127,"u")+COUNTIF($E127:AE127,"t")+COUNTIF($E127:AE127,"¶")+COUNTIF($E127:AE127,"²")+COUNTIF($E127:AE127,"µ")+COUNTIF($E127:AE127,1)),
HYPERLINK("#Roadmap!C"&amp; MATCH($E127,Roadmap!$D:$D,0)+COUNTIF($E127:AE127,"u")+COUNTIF($E127:AE127,"t"),
     INDEX(Roadmap!$D:$K,MATCH($E127,Roadmap!$D:$D,0)+COUNTIF($E127:AE127,"u")+COUNTIF($E127:AE127,"t")+COUNTIF($E127:AE127,"¶")+COUNTIF($E127:AE127,"²")+COUNTIF($E127:AE127,"µ")+COUNTIF($E127:AE127,1),ColTypeEcheance)),
  IF(LEN(AE127)=1,
  IF(LEN(INDEX(Roadmap!$D:$K,MATCH($E127,Roadmap!$D:$D,0)-1+COUNTIF($E127:AE127,"u")+COUNTIF($E127:AE127,"t")+COUNTIF($E127:AE127,"¶")+COUNTIF($E127:AE127,"²")+COUNTIF($E127:AE127,"µ")+COUNTIF($E127:AE127,1),ColDescriptionCourte))&gt;1,
HYPERLINK("#Roadmap!C"&amp; MATCH($E127,Roadmap!$D:$D,0)+COUNTIF($E127:AE127,"u")+COUNTIF($E127:AE127,"t")+COUNTIF($E127:AE127,"¶")+COUNTIF($E127:AE127,"²")+COUNTIF($E127:AE127,"µ")+COUNTIF($E127:AE127,1)-1,INDEX(Roadmap!$D:$K,MATCH($E127,Roadmap!$D:$D,0)-1+COUNTIF($E127:AE127,"u")+COUNTIF($E127:AE127,"t")+COUNTIF($E127:AE127,"¶")+COUNTIF($E127:AE127,"²")+COUNTIF($E127:AE127,"µ")+COUNTIF($E127:AE127,1),ColDescriptionCourte)),""),
  "")),"")</f>
        <v/>
      </c>
      <c r="AG127" s="40" t="str">
        <f ca="1">IFERROR(IF(AND(
  INDEX(Roadmap!$D:$K,MATCH($E127,Roadmap!$D:$D,0)+COUNTIF($E127:AF127,"u")+COUNTIF($E127:AF127,"t")+COUNTIF($E127:AF127,"¶")+COUNTIF($E127:AF127,"²")+COUNTIF($E127:AF127,"µ")+COUNTIF($E127:AF127,1),ColLivraison)=AG$6,
  VLOOKUP($E127,INDIRECT("tri!"&amp; CHAR(64+ C0Col) &amp;":"&amp; CHAR(65+C0Col)),2,FALSE)&gt;COUNTIF($E127:AF127,"u")+COUNTIF($E127:AF127,"t")+COUNTIF($E127:AF127,"¶")+COUNTIF($E127:AF127,"²")+COUNTIF($E127:AF127,"µ")+COUNTIF($E127:AF127,1)),
HYPERLINK("#Roadmap!C"&amp; MATCH($E127,Roadmap!$D:$D,0)+COUNTIF($E127:AF127,"u")+COUNTIF($E127:AF127,"t"),
     INDEX(Roadmap!$D:$K,MATCH($E127,Roadmap!$D:$D,0)+COUNTIF($E127:AF127,"u")+COUNTIF($E127:AF127,"t")+COUNTIF($E127:AF127,"¶")+COUNTIF($E127:AF127,"²")+COUNTIF($E127:AF127,"µ")+COUNTIF($E127:AF127,1),ColTypeEcheance)),
  IF(LEN(AF127)=1,
  IF(LEN(INDEX(Roadmap!$D:$K,MATCH($E127,Roadmap!$D:$D,0)-1+COUNTIF($E127:AF127,"u")+COUNTIF($E127:AF127,"t")+COUNTIF($E127:AF127,"¶")+COUNTIF($E127:AF127,"²")+COUNTIF($E127:AF127,"µ")+COUNTIF($E127:AF127,1),ColDescriptionCourte))&gt;1,
HYPERLINK("#Roadmap!C"&amp; MATCH($E127,Roadmap!$D:$D,0)+COUNTIF($E127:AF127,"u")+COUNTIF($E127:AF127,"t")+COUNTIF($E127:AF127,"¶")+COUNTIF($E127:AF127,"²")+COUNTIF($E127:AF127,"µ")+COUNTIF($E127:AF127,1)-1,INDEX(Roadmap!$D:$K,MATCH($E127,Roadmap!$D:$D,0)-1+COUNTIF($E127:AF127,"u")+COUNTIF($E127:AF127,"t")+COUNTIF($E127:AF127,"¶")+COUNTIF($E127:AF127,"²")+COUNTIF($E127:AF127,"µ")+COUNTIF($E127:AF127,1),ColDescriptionCourte)),""),
  "")),"")</f>
        <v/>
      </c>
      <c r="AH127" s="40" t="str">
        <f ca="1">IFERROR(IF(AND(
  INDEX(Roadmap!$D:$K,MATCH($E127,Roadmap!$D:$D,0)+COUNTIF($E127:AG127,"u")+COUNTIF($E127:AG127,"t")+COUNTIF($E127:AG127,1),ColLivraison)=AH$6,
  VLOOKUP($E127,INDIRECT("tri!"&amp; CHAR(64+ C0Col) &amp;":"&amp; CHAR(65+C0Col)),2,FALSE)&gt;COUNTIF($E127:AG127,"u")+COUNTIF($E127:AG127,"t")+COUNTIF($E127:AG127,1)),
HYPERLINK("#Roadmap!C"&amp; MATCH($E127,Roadmap!$D:$D,0)+COUNTIF($E127:AG127,"u")+COUNTIF($E127:AG127,"t"),
     INDEX(Roadmap!$D:$K,MATCH($E127,Roadmap!$D:$D,0)+COUNTIF($E127:AG127,"u")+COUNTIF($E127:AG127,"t")+COUNTIF($E127:AG127,1),ColTypeEcheance)),
  IF(OR(AG127="u",AG127="t",AG127=1),
  IF(LEN(INDEX(Roadmap!$D:$K,MATCH($E127,Roadmap!$D:$D,0)-1+COUNTIF($E127:AG127,"u")+COUNTIF($E127:AG127,"t")+COUNTIF($E127:AG127,1),ColDescriptionCourte))&gt;1,
HYPERLINK("#Roadmap!C"&amp; MATCH($E127,Roadmap!$D:$D,0)+COUNTIF($E127:AG127,"u")+COUNTIF($E127:AG127,"t")+COUNTIF($E127:AG127,1)-1,INDEX(Roadmap!$D:$K,MATCH($E127,Roadmap!$D:$D,0)-1+COUNTIF($E127:AG127,"u")+COUNTIF($E127:AG127,"t")+COUNTIF($E127:AG127,1),ColDescriptionCourte)),""),
  "")),"")</f>
        <v/>
      </c>
      <c r="AI127" s="40"/>
      <c r="AJ127" s="40"/>
      <c r="AK127" s="40"/>
      <c r="AL127" s="40"/>
      <c r="AM127" s="40"/>
    </row>
    <row r="128" spans="4:39" ht="14.1" customHeight="1">
      <c r="D128" s="20" t="str">
        <f t="shared" ca="1" si="29"/>
        <v/>
      </c>
      <c r="E128" s="53" t="str">
        <f t="shared" ca="1" si="30"/>
        <v/>
      </c>
      <c r="F128" s="39" t="str">
        <f ca="1">IFERROR(IF(AND(
  INDEX(Roadmap!$D:$K,MATCH($E128,Roadmap!$D:$D,0)+COUNTIF($E128:E128,"u")+COUNTIF($E128:E128,"t")+COUNTIF($E128:E128,"¶")+COUNTIF($E128:E128,"²")+COUNTIF($E128:E128,"µ")+COUNTIF($E128:E128,1),ColLivraison)=F$6,
  VLOOKUP($E128,INDIRECT("tri!"&amp; CHAR(64+ C0Col) &amp;":"&amp; CHAR(65+C0Col)),2,FALSE)&gt;COUNTIF($E128:E128,"u")+COUNTIF($E128:E128,"t")+COUNTIF($E128:E128,"¶")+COUNTIF($E128:E128,"²")+COUNTIF($E128:E128,"µ")+COUNTIF($E128:E128,1)),
HYPERLINK("#Roadmap!C"&amp; MATCH($E128,Roadmap!$D:$D,0)+COUNTIF($E128:E128,"u")+COUNTIF($E128:E128,"t"),
     INDEX(Roadmap!$D:$K,MATCH($E128,Roadmap!$D:$D,0)+COUNTIF($E128:E128,"u")+COUNTIF($E128:E128,"t")+COUNTIF($E128:E128,"¶")+COUNTIF($E128:E128,"²")+COUNTIF($E128:E128,"µ")+COUNTIF($E128:E128,1),ColTypeEcheance)),
  IF(LEN(E128)=1,
  IF(LEN(INDEX(Roadmap!$D:$K,MATCH($E128,Roadmap!$D:$D,0)-1+COUNTIF($E128:E128,"u")+COUNTIF($E128:E128,"t")+COUNTIF($E128:E128,"¶")+COUNTIF($E128:E128,"²")+COUNTIF($E128:E128,"µ")+COUNTIF($E128:E128,1),ColDescriptionCourte))&gt;1,
HYPERLINK("#Roadmap!C"&amp; MATCH($E128,Roadmap!$D:$D,0)+COUNTIF($E128:E128,"u")+COUNTIF($E128:E128,"t")+COUNTIF($E128:E128,"¶")+COUNTIF($E128:E128,"²")+COUNTIF($E128:E128,"µ")+COUNTIF($E128:E128,1)-1,INDEX(Roadmap!$D:$K,MATCH($E128,Roadmap!$D:$D,0)-1+COUNTIF($E128:E128,"u")+COUNTIF($E128:E128,"t")+COUNTIF($E128:E128,"¶")+COUNTIF($E128:E128,"²")+COUNTIF($E128:E128,"µ")+COUNTIF($E128:E128,1),ColDescriptionCourte)),""),
  "")),"")</f>
        <v/>
      </c>
      <c r="G128" s="40" t="str">
        <f ca="1">IFERROR(IF(AND(
  INDEX(Roadmap!$D:$K,MATCH($E128,Roadmap!$D:$D,0)+COUNTIF($E128:F128,"u")+COUNTIF($E128:F128,"t")+COUNTIF($E128:F128,"¶")+COUNTIF($E128:F128,"²")+COUNTIF($E128:F128,"µ")+COUNTIF($E128:F128,1),ColLivraison)=G$6,
  VLOOKUP($E128,INDIRECT("tri!"&amp; CHAR(64+ C0Col) &amp;":"&amp; CHAR(65+C0Col)),2,FALSE)&gt;COUNTIF($E128:F128,"u")+COUNTIF($E128:F128,"t")+COUNTIF($E128:F128,"¶")+COUNTIF($E128:F128,"²")+COUNTIF($E128:F128,"µ")+COUNTIF($E128:F128,1)),
HYPERLINK("#Roadmap!C"&amp; MATCH($E128,Roadmap!$D:$D,0)+COUNTIF($E128:F128,"u")+COUNTIF($E128:F128,"t"),
     INDEX(Roadmap!$D:$K,MATCH($E128,Roadmap!$D:$D,0)+COUNTIF($E128:F128,"u")+COUNTIF($E128:F128,"t")+COUNTIF($E128:F128,"¶")+COUNTIF($E128:F128,"²")+COUNTIF($E128:F128,"µ")+COUNTIF($E128:F128,1),ColTypeEcheance)),
  IF(LEN(F128)=1,
  IF(LEN(INDEX(Roadmap!$D:$K,MATCH($E128,Roadmap!$D:$D,0)-1+COUNTIF($E128:F128,"u")+COUNTIF($E128:F128,"t")+COUNTIF($E128:F128,"¶")+COUNTIF($E128:F128,"²")+COUNTIF($E128:F128,"µ")+COUNTIF($E128:F128,1),ColDescriptionCourte))&gt;1,
HYPERLINK("#Roadmap!C"&amp; MATCH($E128,Roadmap!$D:$D,0)+COUNTIF($E128:F128,"u")+COUNTIF($E128:F128,"t")+COUNTIF($E128:F128,"¶")+COUNTIF($E128:F128,"²")+COUNTIF($E128:F128,"µ")+COUNTIF($E128:F128,1)-1,INDEX(Roadmap!$D:$K,MATCH($E128,Roadmap!$D:$D,0)-1+COUNTIF($E128:F128,"u")+COUNTIF($E128:F128,"t")+COUNTIF($E128:F128,"¶")+COUNTIF($E128:F128,"²")+COUNTIF($E128:F128,"µ")+COUNTIF($E128:F128,1),ColDescriptionCourte)),""),
  "")),"")</f>
        <v/>
      </c>
      <c r="H128" s="40" t="str">
        <f ca="1">IFERROR(IF(AND(
  INDEX(Roadmap!$D:$K,MATCH($E128,Roadmap!$D:$D,0)+COUNTIF($E128:G128,"u")+COUNTIF($E128:G128,"t")+COUNTIF($E128:G128,"¶")+COUNTIF($E128:G128,"²")+COUNTIF($E128:G128,"µ")+COUNTIF($E128:G128,1),ColLivraison)=H$6,
  VLOOKUP($E128,INDIRECT("tri!"&amp; CHAR(64+ C0Col) &amp;":"&amp; CHAR(65+C0Col)),2,FALSE)&gt;COUNTIF($E128:G128,"u")+COUNTIF($E128:G128,"t")+COUNTIF($E128:G128,"¶")+COUNTIF($E128:G128,"²")+COUNTIF($E128:G128,"µ")+COUNTIF($E128:G128,1)),
HYPERLINK("#Roadmap!C"&amp; MATCH($E128,Roadmap!$D:$D,0)+COUNTIF($E128:G128,"u")+COUNTIF($E128:G128,"t"),
     INDEX(Roadmap!$D:$K,MATCH($E128,Roadmap!$D:$D,0)+COUNTIF($E128:G128,"u")+COUNTIF($E128:G128,"t")+COUNTIF($E128:G128,"¶")+COUNTIF($E128:G128,"²")+COUNTIF($E128:G128,"µ")+COUNTIF($E128:G128,1),ColTypeEcheance)),
  IF(LEN(G128)=1,
  IF(LEN(INDEX(Roadmap!$D:$K,MATCH($E128,Roadmap!$D:$D,0)-1+COUNTIF($E128:G128,"u")+COUNTIF($E128:G128,"t")+COUNTIF($E128:G128,"¶")+COUNTIF($E128:G128,"²")+COUNTIF($E128:G128,"µ")+COUNTIF($E128:G128,1),ColDescriptionCourte))&gt;1,
HYPERLINK("#Roadmap!C"&amp; MATCH($E128,Roadmap!$D:$D,0)+COUNTIF($E128:G128,"u")+COUNTIF($E128:G128,"t")+COUNTIF($E128:G128,"¶")+COUNTIF($E128:G128,"²")+COUNTIF($E128:G128,"µ")+COUNTIF($E128:G128,1)-1,INDEX(Roadmap!$D:$K,MATCH($E128,Roadmap!$D:$D,0)-1+COUNTIF($E128:G128,"u")+COUNTIF($E128:G128,"t")+COUNTIF($E128:G128,"¶")+COUNTIF($E128:G128,"²")+COUNTIF($E128:G128,"µ")+COUNTIF($E128:G128,1),ColDescriptionCourte)),""),
  "")),"")</f>
        <v/>
      </c>
      <c r="I128" s="40" t="str">
        <f ca="1">IFERROR(IF(AND(
  INDEX(Roadmap!$D:$K,MATCH($E128,Roadmap!$D:$D,0)+COUNTIF($E128:H128,"u")+COUNTIF($E128:H128,"t")+COUNTIF($E128:H128,"¶")+COUNTIF($E128:H128,"²")+COUNTIF($E128:H128,"µ")+COUNTIF($E128:H128,1),ColLivraison)=I$6,
  VLOOKUP($E128,INDIRECT("tri!"&amp; CHAR(64+ C0Col) &amp;":"&amp; CHAR(65+C0Col)),2,FALSE)&gt;COUNTIF($E128:H128,"u")+COUNTIF($E128:H128,"t")+COUNTIF($E128:H128,"¶")+COUNTIF($E128:H128,"²")+COUNTIF($E128:H128,"µ")+COUNTIF($E128:H128,1)),
HYPERLINK("#Roadmap!C"&amp; MATCH($E128,Roadmap!$D:$D,0)+COUNTIF($E128:H128,"u")+COUNTIF($E128:H128,"t"),
     INDEX(Roadmap!$D:$K,MATCH($E128,Roadmap!$D:$D,0)+COUNTIF($E128:H128,"u")+COUNTIF($E128:H128,"t")+COUNTIF($E128:H128,"¶")+COUNTIF($E128:H128,"²")+COUNTIF($E128:H128,"µ")+COUNTIF($E128:H128,1),ColTypeEcheance)),
  IF(LEN(H128)=1,
  IF(LEN(INDEX(Roadmap!$D:$K,MATCH($E128,Roadmap!$D:$D,0)-1+COUNTIF($E128:H128,"u")+COUNTIF($E128:H128,"t")+COUNTIF($E128:H128,"¶")+COUNTIF($E128:H128,"²")+COUNTIF($E128:H128,"µ")+COUNTIF($E128:H128,1),ColDescriptionCourte))&gt;1,
HYPERLINK("#Roadmap!C"&amp; MATCH($E128,Roadmap!$D:$D,0)+COUNTIF($E128:H128,"u")+COUNTIF($E128:H128,"t")+COUNTIF($E128:H128,"¶")+COUNTIF($E128:H128,"²")+COUNTIF($E128:H128,"µ")+COUNTIF($E128:H128,1)-1,INDEX(Roadmap!$D:$K,MATCH($E128,Roadmap!$D:$D,0)-1+COUNTIF($E128:H128,"u")+COUNTIF($E128:H128,"t")+COUNTIF($E128:H128,"¶")+COUNTIF($E128:H128,"²")+COUNTIF($E128:H128,"µ")+COUNTIF($E128:H128,1),ColDescriptionCourte)),""),
  "")),"")</f>
        <v/>
      </c>
      <c r="J128" s="40" t="str">
        <f ca="1">IFERROR(IF(AND(
  INDEX(Roadmap!$D:$K,MATCH($E128,Roadmap!$D:$D,0)+COUNTIF($E128:I128,"u")+COUNTIF($E128:I128,"t")+COUNTIF($E128:I128,"¶")+COUNTIF($E128:I128,"²")+COUNTIF($E128:I128,"µ")+COUNTIF($E128:I128,1),ColLivraison)=J$6,
  VLOOKUP($E128,INDIRECT("tri!"&amp; CHAR(64+ C0Col) &amp;":"&amp; CHAR(65+C0Col)),2,FALSE)&gt;COUNTIF($E128:I128,"u")+COUNTIF($E128:I128,"t")+COUNTIF($E128:I128,"¶")+COUNTIF($E128:I128,"²")+COUNTIF($E128:I128,"µ")+COUNTIF($E128:I128,1)),
HYPERLINK("#Roadmap!C"&amp; MATCH($E128,Roadmap!$D:$D,0)+COUNTIF($E128:I128,"u")+COUNTIF($E128:I128,"t"),
     INDEX(Roadmap!$D:$K,MATCH($E128,Roadmap!$D:$D,0)+COUNTIF($E128:I128,"u")+COUNTIF($E128:I128,"t")+COUNTIF($E128:I128,"¶")+COUNTIF($E128:I128,"²")+COUNTIF($E128:I128,"µ")+COUNTIF($E128:I128,1),ColTypeEcheance)),
  IF(LEN(I128)=1,
  IF(LEN(INDEX(Roadmap!$D:$K,MATCH($E128,Roadmap!$D:$D,0)-1+COUNTIF($E128:I128,"u")+COUNTIF($E128:I128,"t")+COUNTIF($E128:I128,"¶")+COUNTIF($E128:I128,"²")+COUNTIF($E128:I128,"µ")+COUNTIF($E128:I128,1),ColDescriptionCourte))&gt;1,
HYPERLINK("#Roadmap!C"&amp; MATCH($E128,Roadmap!$D:$D,0)+COUNTIF($E128:I128,"u")+COUNTIF($E128:I128,"t")+COUNTIF($E128:I128,"¶")+COUNTIF($E128:I128,"²")+COUNTIF($E128:I128,"µ")+COUNTIF($E128:I128,1)-1,INDEX(Roadmap!$D:$K,MATCH($E128,Roadmap!$D:$D,0)-1+COUNTIF($E128:I128,"u")+COUNTIF($E128:I128,"t")+COUNTIF($E128:I128,"¶")+COUNTIF($E128:I128,"²")+COUNTIF($E128:I128,"µ")+COUNTIF($E128:I128,1),ColDescriptionCourte)),""),
  "")),"")</f>
        <v/>
      </c>
      <c r="K128" s="40" t="str">
        <f ca="1">IFERROR(IF(AND(
  INDEX(Roadmap!$D:$K,MATCH($E128,Roadmap!$D:$D,0)+COUNTIF($E128:J128,"u")+COUNTIF($E128:J128,"t")+COUNTIF($E128:J128,"¶")+COUNTIF($E128:J128,"²")+COUNTIF($E128:J128,"µ")+COUNTIF($E128:J128,1),ColLivraison)=K$6,
  VLOOKUP($E128,INDIRECT("tri!"&amp; CHAR(64+ C0Col) &amp;":"&amp; CHAR(65+C0Col)),2,FALSE)&gt;COUNTIF($E128:J128,"u")+COUNTIF($E128:J128,"t")+COUNTIF($E128:J128,"¶")+COUNTIF($E128:J128,"²")+COUNTIF($E128:J128,"µ")+COUNTIF($E128:J128,1)),
HYPERLINK("#Roadmap!C"&amp; MATCH($E128,Roadmap!$D:$D,0)+COUNTIF($E128:J128,"u")+COUNTIF($E128:J128,"t"),
     INDEX(Roadmap!$D:$K,MATCH($E128,Roadmap!$D:$D,0)+COUNTIF($E128:J128,"u")+COUNTIF($E128:J128,"t")+COUNTIF($E128:J128,"¶")+COUNTIF($E128:J128,"²")+COUNTIF($E128:J128,"µ")+COUNTIF($E128:J128,1),ColTypeEcheance)),
  IF(LEN(J128)=1,
  IF(LEN(INDEX(Roadmap!$D:$K,MATCH($E128,Roadmap!$D:$D,0)-1+COUNTIF($E128:J128,"u")+COUNTIF($E128:J128,"t")+COUNTIF($E128:J128,"¶")+COUNTIF($E128:J128,"²")+COUNTIF($E128:J128,"µ")+COUNTIF($E128:J128,1),ColDescriptionCourte))&gt;1,
HYPERLINK("#Roadmap!C"&amp; MATCH($E128,Roadmap!$D:$D,0)+COUNTIF($E128:J128,"u")+COUNTIF($E128:J128,"t")+COUNTIF($E128:J128,"¶")+COUNTIF($E128:J128,"²")+COUNTIF($E128:J128,"µ")+COUNTIF($E128:J128,1)-1,INDEX(Roadmap!$D:$K,MATCH($E128,Roadmap!$D:$D,0)-1+COUNTIF($E128:J128,"u")+COUNTIF($E128:J128,"t")+COUNTIF($E128:J128,"¶")+COUNTIF($E128:J128,"²")+COUNTIF($E128:J128,"µ")+COUNTIF($E128:J128,1),ColDescriptionCourte)),""),
  "")),"")</f>
        <v/>
      </c>
      <c r="L128" s="39" t="str">
        <f ca="1">IFERROR(IF(AND(
  INDEX(Roadmap!$D:$K,MATCH($E128,Roadmap!$D:$D,0)+COUNTIF($E128:K128,"u")+COUNTIF($E128:K128,"t")+COUNTIF($E128:K128,"¶")+COUNTIF($E128:K128,"²")+COUNTIF($E128:K128,"µ")+COUNTIF($E128:K128,1),ColLivraison)=L$6,
  VLOOKUP($E128,INDIRECT("tri!"&amp; CHAR(64+ C0Col) &amp;":"&amp; CHAR(65+C0Col)),2,FALSE)&gt;COUNTIF($E128:K128,"u")+COUNTIF($E128:K128,"t")+COUNTIF($E128:K128,"¶")+COUNTIF($E128:K128,"²")+COUNTIF($E128:K128,"µ")+COUNTIF($E128:K128,1)),
HYPERLINK("#Roadmap!C"&amp; MATCH($E128,Roadmap!$D:$D,0)+COUNTIF($E128:K128,"u")+COUNTIF($E128:K128,"t"),
     INDEX(Roadmap!$D:$K,MATCH($E128,Roadmap!$D:$D,0)+COUNTIF($E128:K128,"u")+COUNTIF($E128:K128,"t")+COUNTIF($E128:K128,"¶")+COUNTIF($E128:K128,"²")+COUNTIF($E128:K128,"µ")+COUNTIF($E128:K128,1),ColTypeEcheance)),
  IF(LEN(K128)=1,
  IF(LEN(INDEX(Roadmap!$D:$K,MATCH($E128,Roadmap!$D:$D,0)-1+COUNTIF($E128:K128,"u")+COUNTIF($E128:K128,"t")+COUNTIF($E128:K128,"¶")+COUNTIF($E128:K128,"²")+COUNTIF($E128:K128,"µ")+COUNTIF($E128:K128,1),ColDescriptionCourte))&gt;1,
HYPERLINK("#Roadmap!C"&amp; MATCH($E128,Roadmap!$D:$D,0)+COUNTIF($E128:K128,"u")+COUNTIF($E128:K128,"t")+COUNTIF($E128:K128,"¶")+COUNTIF($E128:K128,"²")+COUNTIF($E128:K128,"µ")+COUNTIF($E128:K128,1)-1,INDEX(Roadmap!$D:$K,MATCH($E128,Roadmap!$D:$D,0)-1+COUNTIF($E128:K128,"u")+COUNTIF($E128:K128,"t")+COUNTIF($E128:K128,"¶")+COUNTIF($E128:K128,"²")+COUNTIF($E128:K128,"µ")+COUNTIF($E128:K128,1),ColDescriptionCourte)),""),
  "")),"")</f>
        <v/>
      </c>
      <c r="M128" s="40" t="str">
        <f ca="1">IFERROR(IF(AND(
  INDEX(Roadmap!$D:$K,MATCH($E128,Roadmap!$D:$D,0)+COUNTIF($E128:L128,"u")+COUNTIF($E128:L128,"t")+COUNTIF($E128:L128,"¶")+COUNTIF($E128:L128,"²")+COUNTIF($E128:L128,"µ")+COUNTIF($E128:L128,1),ColLivraison)=M$6,
  VLOOKUP($E128,INDIRECT("tri!"&amp; CHAR(64+ C0Col) &amp;":"&amp; CHAR(65+C0Col)),2,FALSE)&gt;COUNTIF($E128:L128,"u")+COUNTIF($E128:L128,"t")+COUNTIF($E128:L128,"¶")+COUNTIF($E128:L128,"²")+COUNTIF($E128:L128,"µ")+COUNTIF($E128:L128,1)),
HYPERLINK("#Roadmap!C"&amp; MATCH($E128,Roadmap!$D:$D,0)+COUNTIF($E128:L128,"u")+COUNTIF($E128:L128,"t"),
     INDEX(Roadmap!$D:$K,MATCH($E128,Roadmap!$D:$D,0)+COUNTIF($E128:L128,"u")+COUNTIF($E128:L128,"t")+COUNTIF($E128:L128,"¶")+COUNTIF($E128:L128,"²")+COUNTIF($E128:L128,"µ")+COUNTIF($E128:L128,1),ColTypeEcheance)),
  IF(LEN(L128)=1,
  IF(LEN(INDEX(Roadmap!$D:$K,MATCH($E128,Roadmap!$D:$D,0)-1+COUNTIF($E128:L128,"u")+COUNTIF($E128:L128,"t")+COUNTIF($E128:L128,"¶")+COUNTIF($E128:L128,"²")+COUNTIF($E128:L128,"µ")+COUNTIF($E128:L128,1),ColDescriptionCourte))&gt;1,
HYPERLINK("#Roadmap!C"&amp; MATCH($E128,Roadmap!$D:$D,0)+COUNTIF($E128:L128,"u")+COUNTIF($E128:L128,"t")+COUNTIF($E128:L128,"¶")+COUNTIF($E128:L128,"²")+COUNTIF($E128:L128,"µ")+COUNTIF($E128:L128,1)-1,INDEX(Roadmap!$D:$K,MATCH($E128,Roadmap!$D:$D,0)-1+COUNTIF($E128:L128,"u")+COUNTIF($E128:L128,"t")+COUNTIF($E128:L128,"¶")+COUNTIF($E128:L128,"²")+COUNTIF($E128:L128,"µ")+COUNTIF($E128:L128,1),ColDescriptionCourte)),""),
  "")),"")</f>
        <v/>
      </c>
      <c r="N128" s="40" t="str">
        <f ca="1">IFERROR(IF(AND(
  INDEX(Roadmap!$D:$K,MATCH($E128,Roadmap!$D:$D,0)+COUNTIF($E128:M128,"u")+COUNTIF($E128:M128,"t")+COUNTIF($E128:M128,"¶")+COUNTIF($E128:M128,"²")+COUNTIF($E128:M128,"µ")+COUNTIF($E128:M128,1),ColLivraison)=N$6,
  VLOOKUP($E128,INDIRECT("tri!"&amp; CHAR(64+ C0Col) &amp;":"&amp; CHAR(65+C0Col)),2,FALSE)&gt;COUNTIF($E128:M128,"u")+COUNTIF($E128:M128,"t")+COUNTIF($E128:M128,"¶")+COUNTIF($E128:M128,"²")+COUNTIF($E128:M128,"µ")+COUNTIF($E128:M128,1)),
HYPERLINK("#Roadmap!C"&amp; MATCH($E128,Roadmap!$D:$D,0)+COUNTIF($E128:M128,"u")+COUNTIF($E128:M128,"t"),
     INDEX(Roadmap!$D:$K,MATCH($E128,Roadmap!$D:$D,0)+COUNTIF($E128:M128,"u")+COUNTIF($E128:M128,"t")+COUNTIF($E128:M128,"¶")+COUNTIF($E128:M128,"²")+COUNTIF($E128:M128,"µ")+COUNTIF($E128:M128,1),ColTypeEcheance)),
  IF(LEN(M128)=1,
  IF(LEN(INDEX(Roadmap!$D:$K,MATCH($E128,Roadmap!$D:$D,0)-1+COUNTIF($E128:M128,"u")+COUNTIF($E128:M128,"t")+COUNTIF($E128:M128,"¶")+COUNTIF($E128:M128,"²")+COUNTIF($E128:M128,"µ")+COUNTIF($E128:M128,1),ColDescriptionCourte))&gt;1,
HYPERLINK("#Roadmap!C"&amp; MATCH($E128,Roadmap!$D:$D,0)+COUNTIF($E128:M128,"u")+COUNTIF($E128:M128,"t")+COUNTIF($E128:M128,"¶")+COUNTIF($E128:M128,"²")+COUNTIF($E128:M128,"µ")+COUNTIF($E128:M128,1)-1,INDEX(Roadmap!$D:$K,MATCH($E128,Roadmap!$D:$D,0)-1+COUNTIF($E128:M128,"u")+COUNTIF($E128:M128,"t")+COUNTIF($E128:M128,"¶")+COUNTIF($E128:M128,"²")+COUNTIF($E128:M128,"µ")+COUNTIF($E128:M128,1),ColDescriptionCourte)),""),
  "")),"")</f>
        <v/>
      </c>
      <c r="O128" s="40" t="str">
        <f ca="1">IFERROR(IF(AND(
  INDEX(Roadmap!$D:$K,MATCH($E128,Roadmap!$D:$D,0)+COUNTIF($E128:N128,"u")+COUNTIF($E128:N128,"t")+COUNTIF($E128:N128,"¶")+COUNTIF($E128:N128,"²")+COUNTIF($E128:N128,"µ")+COUNTIF($E128:N128,1),ColLivraison)=O$6,
  VLOOKUP($E128,INDIRECT("tri!"&amp; CHAR(64+ C0Col) &amp;":"&amp; CHAR(65+C0Col)),2,FALSE)&gt;COUNTIF($E128:N128,"u")+COUNTIF($E128:N128,"t")+COUNTIF($E128:N128,"¶")+COUNTIF($E128:N128,"²")+COUNTIF($E128:N128,"µ")+COUNTIF($E128:N128,1)),
HYPERLINK("#Roadmap!C"&amp; MATCH($E128,Roadmap!$D:$D,0)+COUNTIF($E128:N128,"u")+COUNTIF($E128:N128,"t"),
     INDEX(Roadmap!$D:$K,MATCH($E128,Roadmap!$D:$D,0)+COUNTIF($E128:N128,"u")+COUNTIF($E128:N128,"t")+COUNTIF($E128:N128,"¶")+COUNTIF($E128:N128,"²")+COUNTIF($E128:N128,"µ")+COUNTIF($E128:N128,1),ColTypeEcheance)),
  IF(LEN(N128)=1,
  IF(LEN(INDEX(Roadmap!$D:$K,MATCH($E128,Roadmap!$D:$D,0)-1+COUNTIF($E128:N128,"u")+COUNTIF($E128:N128,"t")+COUNTIF($E128:N128,"¶")+COUNTIF($E128:N128,"²")+COUNTIF($E128:N128,"µ")+COUNTIF($E128:N128,1),ColDescriptionCourte))&gt;1,
HYPERLINK("#Roadmap!C"&amp; MATCH($E128,Roadmap!$D:$D,0)+COUNTIF($E128:N128,"u")+COUNTIF($E128:N128,"t")+COUNTIF($E128:N128,"¶")+COUNTIF($E128:N128,"²")+COUNTIF($E128:N128,"µ")+COUNTIF($E128:N128,1)-1,INDEX(Roadmap!$D:$K,MATCH($E128,Roadmap!$D:$D,0)-1+COUNTIF($E128:N128,"u")+COUNTIF($E128:N128,"t")+COUNTIF($E128:N128,"¶")+COUNTIF($E128:N128,"²")+COUNTIF($E128:N128,"µ")+COUNTIF($E128:N128,1),ColDescriptionCourte)),""),
  "")),"")</f>
        <v/>
      </c>
      <c r="P128" s="40" t="str">
        <f ca="1">IFERROR(IF(AND(
  INDEX(Roadmap!$D:$K,MATCH($E128,Roadmap!$D:$D,0)+COUNTIF($E128:O128,"u")+COUNTIF($E128:O128,"t")+COUNTIF($E128:O128,"¶")+COUNTIF($E128:O128,"²")+COUNTIF($E128:O128,"µ")+COUNTIF($E128:O128,1),ColLivraison)=P$6,
  VLOOKUP($E128,INDIRECT("tri!"&amp; CHAR(64+ C0Col) &amp;":"&amp; CHAR(65+C0Col)),2,FALSE)&gt;COUNTIF($E128:O128,"u")+COUNTIF($E128:O128,"t")+COUNTIF($E128:O128,"¶")+COUNTIF($E128:O128,"²")+COUNTIF($E128:O128,"µ")+COUNTIF($E128:O128,1)),
HYPERLINK("#Roadmap!C"&amp; MATCH($E128,Roadmap!$D:$D,0)+COUNTIF($E128:O128,"u")+COUNTIF($E128:O128,"t"),
     INDEX(Roadmap!$D:$K,MATCH($E128,Roadmap!$D:$D,0)+COUNTIF($E128:O128,"u")+COUNTIF($E128:O128,"t")+COUNTIF($E128:O128,"¶")+COUNTIF($E128:O128,"²")+COUNTIF($E128:O128,"µ")+COUNTIF($E128:O128,1),ColTypeEcheance)),
  IF(LEN(O128)=1,
  IF(LEN(INDEX(Roadmap!$D:$K,MATCH($E128,Roadmap!$D:$D,0)-1+COUNTIF($E128:O128,"u")+COUNTIF($E128:O128,"t")+COUNTIF($E128:O128,"¶")+COUNTIF($E128:O128,"²")+COUNTIF($E128:O128,"µ")+COUNTIF($E128:O128,1),ColDescriptionCourte))&gt;1,
HYPERLINK("#Roadmap!C"&amp; MATCH($E128,Roadmap!$D:$D,0)+COUNTIF($E128:O128,"u")+COUNTIF($E128:O128,"t")+COUNTIF($E128:O128,"¶")+COUNTIF($E128:O128,"²")+COUNTIF($E128:O128,"µ")+COUNTIF($E128:O128,1)-1,INDEX(Roadmap!$D:$K,MATCH($E128,Roadmap!$D:$D,0)-1+COUNTIF($E128:O128,"u")+COUNTIF($E128:O128,"t")+COUNTIF($E128:O128,"¶")+COUNTIF($E128:O128,"²")+COUNTIF($E128:O128,"µ")+COUNTIF($E128:O128,1),ColDescriptionCourte)),""),
  "")),"")</f>
        <v/>
      </c>
      <c r="Q128" s="40" t="str">
        <f ca="1">IFERROR(IF(AND(
  INDEX(Roadmap!$D:$K,MATCH($E128,Roadmap!$D:$D,0)+COUNTIF($E128:P128,"u")+COUNTIF($E128:P128,"t")+COUNTIF($E128:P128,"¶")+COUNTIF($E128:P128,"²")+COUNTIF($E128:P128,"µ")+COUNTIF($E128:P128,1),ColLivraison)=Q$6,
  VLOOKUP($E128,INDIRECT("tri!"&amp; CHAR(64+ C0Col) &amp;":"&amp; CHAR(65+C0Col)),2,FALSE)&gt;COUNTIF($E128:P128,"u")+COUNTIF($E128:P128,"t")+COUNTIF($E128:P128,"¶")+COUNTIF($E128:P128,"²")+COUNTIF($E128:P128,"µ")+COUNTIF($E128:P128,1)),
HYPERLINK("#Roadmap!C"&amp; MATCH($E128,Roadmap!$D:$D,0)+COUNTIF($E128:P128,"u")+COUNTIF($E128:P128,"t"),
     INDEX(Roadmap!$D:$K,MATCH($E128,Roadmap!$D:$D,0)+COUNTIF($E128:P128,"u")+COUNTIF($E128:P128,"t")+COUNTIF($E128:P128,"¶")+COUNTIF($E128:P128,"²")+COUNTIF($E128:P128,"µ")+COUNTIF($E128:P128,1),ColTypeEcheance)),
  IF(LEN(P128)=1,
  IF(LEN(INDEX(Roadmap!$D:$K,MATCH($E128,Roadmap!$D:$D,0)-1+COUNTIF($E128:P128,"u")+COUNTIF($E128:P128,"t")+COUNTIF($E128:P128,"¶")+COUNTIF($E128:P128,"²")+COUNTIF($E128:P128,"µ")+COUNTIF($E128:P128,1),ColDescriptionCourte))&gt;1,
HYPERLINK("#Roadmap!C"&amp; MATCH($E128,Roadmap!$D:$D,0)+COUNTIF($E128:P128,"u")+COUNTIF($E128:P128,"t")+COUNTIF($E128:P128,"¶")+COUNTIF($E128:P128,"²")+COUNTIF($E128:P128,"µ")+COUNTIF($E128:P128,1)-1,INDEX(Roadmap!$D:$K,MATCH($E128,Roadmap!$D:$D,0)-1+COUNTIF($E128:P128,"u")+COUNTIF($E128:P128,"t")+COUNTIF($E128:P128,"¶")+COUNTIF($E128:P128,"²")+COUNTIF($E128:P128,"µ")+COUNTIF($E128:P128,1),ColDescriptionCourte)),""),
  "")),"")</f>
        <v/>
      </c>
      <c r="R128" s="40" t="str">
        <f ca="1">IFERROR(IF(AND(
  INDEX(Roadmap!$D:$K,MATCH($E128,Roadmap!$D:$D,0)+COUNTIF($E128:Q128,"u")+COUNTIF($E128:Q128,"t")+COUNTIF($E128:Q128,"¶")+COUNTIF($E128:Q128,"²")+COUNTIF($E128:Q128,"µ")+COUNTIF($E128:Q128,1),ColLivraison)=R$6,
  VLOOKUP($E128,INDIRECT("tri!"&amp; CHAR(64+ C0Col) &amp;":"&amp; CHAR(65+C0Col)),2,FALSE)&gt;COUNTIF($E128:Q128,"u")+COUNTIF($E128:Q128,"t")+COUNTIF($E128:Q128,"¶")+COUNTIF($E128:Q128,"²")+COUNTIF($E128:Q128,"µ")+COUNTIF($E128:Q128,1)),
HYPERLINK("#Roadmap!C"&amp; MATCH($E128,Roadmap!$D:$D,0)+COUNTIF($E128:Q128,"u")+COUNTIF($E128:Q128,"t"),
     INDEX(Roadmap!$D:$K,MATCH($E128,Roadmap!$D:$D,0)+COUNTIF($E128:Q128,"u")+COUNTIF($E128:Q128,"t")+COUNTIF($E128:Q128,"¶")+COUNTIF($E128:Q128,"²")+COUNTIF($E128:Q128,"µ")+COUNTIF($E128:Q128,1),ColTypeEcheance)),
  IF(LEN(Q128)=1,
  IF(LEN(INDEX(Roadmap!$D:$K,MATCH($E128,Roadmap!$D:$D,0)-1+COUNTIF($E128:Q128,"u")+COUNTIF($E128:Q128,"t")+COUNTIF($E128:Q128,"¶")+COUNTIF($E128:Q128,"²")+COUNTIF($E128:Q128,"µ")+COUNTIF($E128:Q128,1),ColDescriptionCourte))&gt;1,
HYPERLINK("#Roadmap!C"&amp; MATCH($E128,Roadmap!$D:$D,0)+COUNTIF($E128:Q128,"u")+COUNTIF($E128:Q128,"t")+COUNTIF($E128:Q128,"¶")+COUNTIF($E128:Q128,"²")+COUNTIF($E128:Q128,"µ")+COUNTIF($E128:Q128,1)-1,INDEX(Roadmap!$D:$K,MATCH($E128,Roadmap!$D:$D,0)-1+COUNTIF($E128:Q128,"u")+COUNTIF($E128:Q128,"t")+COUNTIF($E128:Q128,"¶")+COUNTIF($E128:Q128,"²")+COUNTIF($E128:Q128,"µ")+COUNTIF($E128:Q128,1),ColDescriptionCourte)),""),
  "")),"")</f>
        <v/>
      </c>
      <c r="S128" s="40" t="str">
        <f ca="1">IFERROR(IF(AND(
  INDEX(Roadmap!$D:$K,MATCH($E128,Roadmap!$D:$D,0)+COUNTIF($E128:R128,"u")+COUNTIF($E128:R128,"t")+COUNTIF($E128:R128,"¶")+COUNTIF($E128:R128,"²")+COUNTIF($E128:R128,"µ")+COUNTIF($E128:R128,1),ColLivraison)=S$6,
  VLOOKUP($E128,INDIRECT("tri!"&amp; CHAR(64+ C0Col) &amp;":"&amp; CHAR(65+C0Col)),2,FALSE)&gt;COUNTIF($E128:R128,"u")+COUNTIF($E128:R128,"t")+COUNTIF($E128:R128,"¶")+COUNTIF($E128:R128,"²")+COUNTIF($E128:R128,"µ")+COUNTIF($E128:R128,1)),
HYPERLINK("#Roadmap!C"&amp; MATCH($E128,Roadmap!$D:$D,0)+COUNTIF($E128:R128,"u")+COUNTIF($E128:R128,"t"),
     INDEX(Roadmap!$D:$K,MATCH($E128,Roadmap!$D:$D,0)+COUNTIF($E128:R128,"u")+COUNTIF($E128:R128,"t")+COUNTIF($E128:R128,"¶")+COUNTIF($E128:R128,"²")+COUNTIF($E128:R128,"µ")+COUNTIF($E128:R128,1),ColTypeEcheance)),
  IF(LEN(R128)=1,
  IF(LEN(INDEX(Roadmap!$D:$K,MATCH($E128,Roadmap!$D:$D,0)-1+COUNTIF($E128:R128,"u")+COUNTIF($E128:R128,"t")+COUNTIF($E128:R128,"¶")+COUNTIF($E128:R128,"²")+COUNTIF($E128:R128,"µ")+COUNTIF($E128:R128,1),ColDescriptionCourte))&gt;1,
HYPERLINK("#Roadmap!C"&amp; MATCH($E128,Roadmap!$D:$D,0)+COUNTIF($E128:R128,"u")+COUNTIF($E128:R128,"t")+COUNTIF($E128:R128,"¶")+COUNTIF($E128:R128,"²")+COUNTIF($E128:R128,"µ")+COUNTIF($E128:R128,1)-1,INDEX(Roadmap!$D:$K,MATCH($E128,Roadmap!$D:$D,0)-1+COUNTIF($E128:R128,"u")+COUNTIF($E128:R128,"t")+COUNTIF($E128:R128,"¶")+COUNTIF($E128:R128,"²")+COUNTIF($E128:R128,"µ")+COUNTIF($E128:R128,1),ColDescriptionCourte)),""),
  "")),"")</f>
        <v/>
      </c>
      <c r="T128" s="40" t="str">
        <f ca="1">IFERROR(IF(AND(
  INDEX(Roadmap!$D:$K,MATCH($E128,Roadmap!$D:$D,0)+COUNTIF($E128:S128,"u")+COUNTIF($E128:S128,"t")+COUNTIF($E128:S128,"¶")+COUNTIF($E128:S128,"²")+COUNTIF($E128:S128,"µ")+COUNTIF($E128:S128,1),ColLivraison)=T$6,
  VLOOKUP($E128,INDIRECT("tri!"&amp; CHAR(64+ C0Col) &amp;":"&amp; CHAR(65+C0Col)),2,FALSE)&gt;COUNTIF($E128:S128,"u")+COUNTIF($E128:S128,"t")+COUNTIF($E128:S128,"¶")+COUNTIF($E128:S128,"²")+COUNTIF($E128:S128,"µ")+COUNTIF($E128:S128,1)),
HYPERLINK("#Roadmap!C"&amp; MATCH($E128,Roadmap!$D:$D,0)+COUNTIF($E128:S128,"u")+COUNTIF($E128:S128,"t"),
     INDEX(Roadmap!$D:$K,MATCH($E128,Roadmap!$D:$D,0)+COUNTIF($E128:S128,"u")+COUNTIF($E128:S128,"t")+COUNTIF($E128:S128,"¶")+COUNTIF($E128:S128,"²")+COUNTIF($E128:S128,"µ")+COUNTIF($E128:S128,1),ColTypeEcheance)),
  IF(LEN(S128)=1,
  IF(LEN(INDEX(Roadmap!$D:$K,MATCH($E128,Roadmap!$D:$D,0)-1+COUNTIF($E128:S128,"u")+COUNTIF($E128:S128,"t")+COUNTIF($E128:S128,"¶")+COUNTIF($E128:S128,"²")+COUNTIF($E128:S128,"µ")+COUNTIF($E128:S128,1),ColDescriptionCourte))&gt;1,
HYPERLINK("#Roadmap!C"&amp; MATCH($E128,Roadmap!$D:$D,0)+COUNTIF($E128:S128,"u")+COUNTIF($E128:S128,"t")+COUNTIF($E128:S128,"¶")+COUNTIF($E128:S128,"²")+COUNTIF($E128:S128,"µ")+COUNTIF($E128:S128,1)-1,INDEX(Roadmap!$D:$K,MATCH($E128,Roadmap!$D:$D,0)-1+COUNTIF($E128:S128,"u")+COUNTIF($E128:S128,"t")+COUNTIF($E128:S128,"¶")+COUNTIF($E128:S128,"²")+COUNTIF($E128:S128,"µ")+COUNTIF($E128:S128,1),ColDescriptionCourte)),""),
  "")),"")</f>
        <v/>
      </c>
      <c r="U128" s="40" t="str">
        <f ca="1">IFERROR(IF(AND(
  INDEX(Roadmap!$D:$K,MATCH($E128,Roadmap!$D:$D,0)+COUNTIF($E128:T128,"u")+COUNTIF($E128:T128,"t")+COUNTIF($E128:T128,"¶")+COUNTIF($E128:T128,"²")+COUNTIF($E128:T128,"µ")+COUNTIF($E128:T128,1),ColLivraison)=U$6,
  VLOOKUP($E128,INDIRECT("tri!"&amp; CHAR(64+ C0Col) &amp;":"&amp; CHAR(65+C0Col)),2,FALSE)&gt;COUNTIF($E128:T128,"u")+COUNTIF($E128:T128,"t")+COUNTIF($E128:T128,"¶")+COUNTIF($E128:T128,"²")+COUNTIF($E128:T128,"µ")+COUNTIF($E128:T128,1)),
HYPERLINK("#Roadmap!C"&amp; MATCH($E128,Roadmap!$D:$D,0)+COUNTIF($E128:T128,"u")+COUNTIF($E128:T128,"t"),
     INDEX(Roadmap!$D:$K,MATCH($E128,Roadmap!$D:$D,0)+COUNTIF($E128:T128,"u")+COUNTIF($E128:T128,"t")+COUNTIF($E128:T128,"¶")+COUNTIF($E128:T128,"²")+COUNTIF($E128:T128,"µ")+COUNTIF($E128:T128,1),ColTypeEcheance)),
  IF(LEN(T128)=1,
  IF(LEN(INDEX(Roadmap!$D:$K,MATCH($E128,Roadmap!$D:$D,0)-1+COUNTIF($E128:T128,"u")+COUNTIF($E128:T128,"t")+COUNTIF($E128:T128,"¶")+COUNTIF($E128:T128,"²")+COUNTIF($E128:T128,"µ")+COUNTIF($E128:T128,1),ColDescriptionCourte))&gt;1,
HYPERLINK("#Roadmap!C"&amp; MATCH($E128,Roadmap!$D:$D,0)+COUNTIF($E128:T128,"u")+COUNTIF($E128:T128,"t")+COUNTIF($E128:T128,"¶")+COUNTIF($E128:T128,"²")+COUNTIF($E128:T128,"µ")+COUNTIF($E128:T128,1)-1,INDEX(Roadmap!$D:$K,MATCH($E128,Roadmap!$D:$D,0)-1+COUNTIF($E128:T128,"u")+COUNTIF($E128:T128,"t")+COUNTIF($E128:T128,"¶")+COUNTIF($E128:T128,"²")+COUNTIF($E128:T128,"µ")+COUNTIF($E128:T128,1),ColDescriptionCourte)),""),
  "")),"")</f>
        <v/>
      </c>
      <c r="V128" s="40" t="str">
        <f ca="1">IFERROR(IF(AND(
  INDEX(Roadmap!$D:$K,MATCH($E128,Roadmap!$D:$D,0)+COUNTIF($E128:U128,"u")+COUNTIF($E128:U128,"t")+COUNTIF($E128:U128,"¶")+COUNTIF($E128:U128,"²")+COUNTIF($E128:U128,"µ")+COUNTIF($E128:U128,1),ColLivraison)=V$6,
  VLOOKUP($E128,INDIRECT("tri!"&amp; CHAR(64+ C0Col) &amp;":"&amp; CHAR(65+C0Col)),2,FALSE)&gt;COUNTIF($E128:U128,"u")+COUNTIF($E128:U128,"t")+COUNTIF($E128:U128,"¶")+COUNTIF($E128:U128,"²")+COUNTIF($E128:U128,"µ")+COUNTIF($E128:U128,1)),
HYPERLINK("#Roadmap!C"&amp; MATCH($E128,Roadmap!$D:$D,0)+COUNTIF($E128:U128,"u")+COUNTIF($E128:U128,"t"),
     INDEX(Roadmap!$D:$K,MATCH($E128,Roadmap!$D:$D,0)+COUNTIF($E128:U128,"u")+COUNTIF($E128:U128,"t")+COUNTIF($E128:U128,"¶")+COUNTIF($E128:U128,"²")+COUNTIF($E128:U128,"µ")+COUNTIF($E128:U128,1),ColTypeEcheance)),
  IF(LEN(U128)=1,
  IF(LEN(INDEX(Roadmap!$D:$K,MATCH($E128,Roadmap!$D:$D,0)-1+COUNTIF($E128:U128,"u")+COUNTIF($E128:U128,"t")+COUNTIF($E128:U128,"¶")+COUNTIF($E128:U128,"²")+COUNTIF($E128:U128,"µ")+COUNTIF($E128:U128,1),ColDescriptionCourte))&gt;1,
HYPERLINK("#Roadmap!C"&amp; MATCH($E128,Roadmap!$D:$D,0)+COUNTIF($E128:U128,"u")+COUNTIF($E128:U128,"t")+COUNTIF($E128:U128,"¶")+COUNTIF($E128:U128,"²")+COUNTIF($E128:U128,"µ")+COUNTIF($E128:U128,1)-1,INDEX(Roadmap!$D:$K,MATCH($E128,Roadmap!$D:$D,0)-1+COUNTIF($E128:U128,"u")+COUNTIF($E128:U128,"t")+COUNTIF($E128:U128,"¶")+COUNTIF($E128:U128,"²")+COUNTIF($E128:U128,"µ")+COUNTIF($E128:U128,1),ColDescriptionCourte)),""),
  "")),"")</f>
        <v/>
      </c>
      <c r="W128" s="40" t="str">
        <f ca="1">IFERROR(IF(AND(
  INDEX(Roadmap!$D:$K,MATCH($E128,Roadmap!$D:$D,0)+COUNTIF($E128:V128,"u")+COUNTIF($E128:V128,"t")+COUNTIF($E128:V128,"¶")+COUNTIF($E128:V128,"²")+COUNTIF($E128:V128,"µ")+COUNTIF($E128:V128,1),ColLivraison)=W$6,
  VLOOKUP($E128,INDIRECT("tri!"&amp; CHAR(64+ C0Col) &amp;":"&amp; CHAR(65+C0Col)),2,FALSE)&gt;COUNTIF($E128:V128,"u")+COUNTIF($E128:V128,"t")+COUNTIF($E128:V128,"¶")+COUNTIF($E128:V128,"²")+COUNTIF($E128:V128,"µ")+COUNTIF($E128:V128,1)),
HYPERLINK("#Roadmap!C"&amp; MATCH($E128,Roadmap!$D:$D,0)+COUNTIF($E128:V128,"u")+COUNTIF($E128:V128,"t"),
     INDEX(Roadmap!$D:$K,MATCH($E128,Roadmap!$D:$D,0)+COUNTIF($E128:V128,"u")+COUNTIF($E128:V128,"t")+COUNTIF($E128:V128,"¶")+COUNTIF($E128:V128,"²")+COUNTIF($E128:V128,"µ")+COUNTIF($E128:V128,1),ColTypeEcheance)),
  IF(LEN(V128)=1,
  IF(LEN(INDEX(Roadmap!$D:$K,MATCH($E128,Roadmap!$D:$D,0)-1+COUNTIF($E128:V128,"u")+COUNTIF($E128:V128,"t")+COUNTIF($E128:V128,"¶")+COUNTIF($E128:V128,"²")+COUNTIF($E128:V128,"µ")+COUNTIF($E128:V128,1),ColDescriptionCourte))&gt;1,
HYPERLINK("#Roadmap!C"&amp; MATCH($E128,Roadmap!$D:$D,0)+COUNTIF($E128:V128,"u")+COUNTIF($E128:V128,"t")+COUNTIF($E128:V128,"¶")+COUNTIF($E128:V128,"²")+COUNTIF($E128:V128,"µ")+COUNTIF($E128:V128,1)-1,INDEX(Roadmap!$D:$K,MATCH($E128,Roadmap!$D:$D,0)-1+COUNTIF($E128:V128,"u")+COUNTIF($E128:V128,"t")+COUNTIF($E128:V128,"¶")+COUNTIF($E128:V128,"²")+COUNTIF($E128:V128,"µ")+COUNTIF($E128:V128,1),ColDescriptionCourte)),""),
  "")),"")</f>
        <v/>
      </c>
      <c r="X128" s="40" t="str">
        <f ca="1">IFERROR(IF(AND(
  INDEX(Roadmap!$D:$K,MATCH($E128,Roadmap!$D:$D,0)+COUNTIF($E128:W128,"u")+COUNTIF($E128:W128,"t")+COUNTIF($E128:W128,"¶")+COUNTIF($E128:W128,"²")+COUNTIF($E128:W128,"µ")+COUNTIF($E128:W128,1),ColLivraison)=X$6,
  VLOOKUP($E128,INDIRECT("tri!"&amp; CHAR(64+ C0Col) &amp;":"&amp; CHAR(65+C0Col)),2,FALSE)&gt;COUNTIF($E128:W128,"u")+COUNTIF($E128:W128,"t")+COUNTIF($E128:W128,"¶")+COUNTIF($E128:W128,"²")+COUNTIF($E128:W128,"µ")+COUNTIF($E128:W128,1)),
HYPERLINK("#Roadmap!C"&amp; MATCH($E128,Roadmap!$D:$D,0)+COUNTIF($E128:W128,"u")+COUNTIF($E128:W128,"t"),
     INDEX(Roadmap!$D:$K,MATCH($E128,Roadmap!$D:$D,0)+COUNTIF($E128:W128,"u")+COUNTIF($E128:W128,"t")+COUNTIF($E128:W128,"¶")+COUNTIF($E128:W128,"²")+COUNTIF($E128:W128,"µ")+COUNTIF($E128:W128,1),ColTypeEcheance)),
  IF(LEN(W128)=1,
  IF(LEN(INDEX(Roadmap!$D:$K,MATCH($E128,Roadmap!$D:$D,0)-1+COUNTIF($E128:W128,"u")+COUNTIF($E128:W128,"t")+COUNTIF($E128:W128,"¶")+COUNTIF($E128:W128,"²")+COUNTIF($E128:W128,"µ")+COUNTIF($E128:W128,1),ColDescriptionCourte))&gt;1,
HYPERLINK("#Roadmap!C"&amp; MATCH($E128,Roadmap!$D:$D,0)+COUNTIF($E128:W128,"u")+COUNTIF($E128:W128,"t")+COUNTIF($E128:W128,"¶")+COUNTIF($E128:W128,"²")+COUNTIF($E128:W128,"µ")+COUNTIF($E128:W128,1)-1,INDEX(Roadmap!$D:$K,MATCH($E128,Roadmap!$D:$D,0)-1+COUNTIF($E128:W128,"u")+COUNTIF($E128:W128,"t")+COUNTIF($E128:W128,"¶")+COUNTIF($E128:W128,"²")+COUNTIF($E128:W128,"µ")+COUNTIF($E128:W128,1),ColDescriptionCourte)),""),
  "")),"")</f>
        <v/>
      </c>
      <c r="Y128" s="40" t="str">
        <f ca="1">IFERROR(IF(AND(
  INDEX(Roadmap!$D:$K,MATCH($E128,Roadmap!$D:$D,0)+COUNTIF($E128:X128,"u")+COUNTIF($E128:X128,"t")+COUNTIF($E128:X128,"¶")+COUNTIF($E128:X128,"²")+COUNTIF($E128:X128,"µ")+COUNTIF($E128:X128,1),ColLivraison)=Y$6,
  VLOOKUP($E128,INDIRECT("tri!"&amp; CHAR(64+ C0Col) &amp;":"&amp; CHAR(65+C0Col)),2,FALSE)&gt;COUNTIF($E128:X128,"u")+COUNTIF($E128:X128,"t")+COUNTIF($E128:X128,"¶")+COUNTIF($E128:X128,"²")+COUNTIF($E128:X128,"µ")+COUNTIF($E128:X128,1)),
HYPERLINK("#Roadmap!C"&amp; MATCH($E128,Roadmap!$D:$D,0)+COUNTIF($E128:X128,"u")+COUNTIF($E128:X128,"t"),
     INDEX(Roadmap!$D:$K,MATCH($E128,Roadmap!$D:$D,0)+COUNTIF($E128:X128,"u")+COUNTIF($E128:X128,"t")+COUNTIF($E128:X128,"¶")+COUNTIF($E128:X128,"²")+COUNTIF($E128:X128,"µ")+COUNTIF($E128:X128,1),ColTypeEcheance)),
  IF(LEN(X128)=1,
  IF(LEN(INDEX(Roadmap!$D:$K,MATCH($E128,Roadmap!$D:$D,0)-1+COUNTIF($E128:X128,"u")+COUNTIF($E128:X128,"t")+COUNTIF($E128:X128,"¶")+COUNTIF($E128:X128,"²")+COUNTIF($E128:X128,"µ")+COUNTIF($E128:X128,1),ColDescriptionCourte))&gt;1,
HYPERLINK("#Roadmap!C"&amp; MATCH($E128,Roadmap!$D:$D,0)+COUNTIF($E128:X128,"u")+COUNTIF($E128:X128,"t")+COUNTIF($E128:X128,"¶")+COUNTIF($E128:X128,"²")+COUNTIF($E128:X128,"µ")+COUNTIF($E128:X128,1)-1,INDEX(Roadmap!$D:$K,MATCH($E128,Roadmap!$D:$D,0)-1+COUNTIF($E128:X128,"u")+COUNTIF($E128:X128,"t")+COUNTIF($E128:X128,"¶")+COUNTIF($E128:X128,"²")+COUNTIF($E128:X128,"µ")+COUNTIF($E128:X128,1),ColDescriptionCourte)),""),
  "")),"")</f>
        <v/>
      </c>
      <c r="Z128" s="40" t="str">
        <f ca="1">IFERROR(IF(AND(
  INDEX(Roadmap!$D:$K,MATCH($E128,Roadmap!$D:$D,0)+COUNTIF($E128:Y128,"u")+COUNTIF($E128:Y128,"t")+COUNTIF($E128:Y128,"¶")+COUNTIF($E128:Y128,"²")+COUNTIF($E128:Y128,"µ")+COUNTIF($E128:Y128,1),ColLivraison)=Z$6,
  VLOOKUP($E128,INDIRECT("tri!"&amp; CHAR(64+ C0Col) &amp;":"&amp; CHAR(65+C0Col)),2,FALSE)&gt;COUNTIF($E128:Y128,"u")+COUNTIF($E128:Y128,"t")+COUNTIF($E128:Y128,"¶")+COUNTIF($E128:Y128,"²")+COUNTIF($E128:Y128,"µ")+COUNTIF($E128:Y128,1)),
HYPERLINK("#Roadmap!C"&amp; MATCH($E128,Roadmap!$D:$D,0)+COUNTIF($E128:Y128,"u")+COUNTIF($E128:Y128,"t"),
     INDEX(Roadmap!$D:$K,MATCH($E128,Roadmap!$D:$D,0)+COUNTIF($E128:Y128,"u")+COUNTIF($E128:Y128,"t")+COUNTIF($E128:Y128,"¶")+COUNTIF($E128:Y128,"²")+COUNTIF($E128:Y128,"µ")+COUNTIF($E128:Y128,1),ColTypeEcheance)),
  IF(LEN(Y128)=1,
  IF(LEN(INDEX(Roadmap!$D:$K,MATCH($E128,Roadmap!$D:$D,0)-1+COUNTIF($E128:Y128,"u")+COUNTIF($E128:Y128,"t")+COUNTIF($E128:Y128,"¶")+COUNTIF($E128:Y128,"²")+COUNTIF($E128:Y128,"µ")+COUNTIF($E128:Y128,1),ColDescriptionCourte))&gt;1,
HYPERLINK("#Roadmap!C"&amp; MATCH($E128,Roadmap!$D:$D,0)+COUNTIF($E128:Y128,"u")+COUNTIF($E128:Y128,"t")+COUNTIF($E128:Y128,"¶")+COUNTIF($E128:Y128,"²")+COUNTIF($E128:Y128,"µ")+COUNTIF($E128:Y128,1)-1,INDEX(Roadmap!$D:$K,MATCH($E128,Roadmap!$D:$D,0)-1+COUNTIF($E128:Y128,"u")+COUNTIF($E128:Y128,"t")+COUNTIF($E128:Y128,"¶")+COUNTIF($E128:Y128,"²")+COUNTIF($E128:Y128,"µ")+COUNTIF($E128:Y128,1),ColDescriptionCourte)),""),
  "")),"")</f>
        <v/>
      </c>
      <c r="AA128" s="40" t="str">
        <f ca="1">IFERROR(IF(AND(
  INDEX(Roadmap!$D:$K,MATCH($E128,Roadmap!$D:$D,0)+COUNTIF($E128:Z128,"u")+COUNTIF($E128:Z128,"t")+COUNTIF($E128:Z128,"¶")+COUNTIF($E128:Z128,"²")+COUNTIF($E128:Z128,"µ")+COUNTIF($E128:Z128,1),ColLivraison)=AA$6,
  VLOOKUP($E128,INDIRECT("tri!"&amp; CHAR(64+ C0Col) &amp;":"&amp; CHAR(65+C0Col)),2,FALSE)&gt;COUNTIF($E128:Z128,"u")+COUNTIF($E128:Z128,"t")+COUNTIF($E128:Z128,"¶")+COUNTIF($E128:Z128,"²")+COUNTIF($E128:Z128,"µ")+COUNTIF($E128:Z128,1)),
HYPERLINK("#Roadmap!C"&amp; MATCH($E128,Roadmap!$D:$D,0)+COUNTIF($E128:Z128,"u")+COUNTIF($E128:Z128,"t"),
     INDEX(Roadmap!$D:$K,MATCH($E128,Roadmap!$D:$D,0)+COUNTIF($E128:Z128,"u")+COUNTIF($E128:Z128,"t")+COUNTIF($E128:Z128,"¶")+COUNTIF($E128:Z128,"²")+COUNTIF($E128:Z128,"µ")+COUNTIF($E128:Z128,1),ColTypeEcheance)),
  IF(LEN(Z128)=1,
  IF(LEN(INDEX(Roadmap!$D:$K,MATCH($E128,Roadmap!$D:$D,0)-1+COUNTIF($E128:Z128,"u")+COUNTIF($E128:Z128,"t")+COUNTIF($E128:Z128,"¶")+COUNTIF($E128:Z128,"²")+COUNTIF($E128:Z128,"µ")+COUNTIF($E128:Z128,1),ColDescriptionCourte))&gt;1,
HYPERLINK("#Roadmap!C"&amp; MATCH($E128,Roadmap!$D:$D,0)+COUNTIF($E128:Z128,"u")+COUNTIF($E128:Z128,"t")+COUNTIF($E128:Z128,"¶")+COUNTIF($E128:Z128,"²")+COUNTIF($E128:Z128,"µ")+COUNTIF($E128:Z128,1)-1,INDEX(Roadmap!$D:$K,MATCH($E128,Roadmap!$D:$D,0)-1+COUNTIF($E128:Z128,"u")+COUNTIF($E128:Z128,"t")+COUNTIF($E128:Z128,"¶")+COUNTIF($E128:Z128,"²")+COUNTIF($E128:Z128,"µ")+COUNTIF($E128:Z128,1),ColDescriptionCourte)),""),
  "")),"")</f>
        <v/>
      </c>
      <c r="AB128" s="40" t="str">
        <f ca="1">IFERROR(IF(AND(
  INDEX(Roadmap!$D:$K,MATCH($E128,Roadmap!$D:$D,0)+COUNTIF($E128:AA128,"u")+COUNTIF($E128:AA128,"t")+COUNTIF($E128:AA128,"¶")+COUNTIF($E128:AA128,"²")+COUNTIF($E128:AA128,"µ")+COUNTIF($E128:AA128,1),ColLivraison)=AB$6,
  VLOOKUP($E128,INDIRECT("tri!"&amp; CHAR(64+ C0Col) &amp;":"&amp; CHAR(65+C0Col)),2,FALSE)&gt;COUNTIF($E128:AA128,"u")+COUNTIF($E128:AA128,"t")+COUNTIF($E128:AA128,"¶")+COUNTIF($E128:AA128,"²")+COUNTIF($E128:AA128,"µ")+COUNTIF($E128:AA128,1)),
HYPERLINK("#Roadmap!C"&amp; MATCH($E128,Roadmap!$D:$D,0)+COUNTIF($E128:AA128,"u")+COUNTIF($E128:AA128,"t"),
     INDEX(Roadmap!$D:$K,MATCH($E128,Roadmap!$D:$D,0)+COUNTIF($E128:AA128,"u")+COUNTIF($E128:AA128,"t")+COUNTIF($E128:AA128,"¶")+COUNTIF($E128:AA128,"²")+COUNTIF($E128:AA128,"µ")+COUNTIF($E128:AA128,1),ColTypeEcheance)),
  IF(LEN(AA128)=1,
  IF(LEN(INDEX(Roadmap!$D:$K,MATCH($E128,Roadmap!$D:$D,0)-1+COUNTIF($E128:AA128,"u")+COUNTIF($E128:AA128,"t")+COUNTIF($E128:AA128,"¶")+COUNTIF($E128:AA128,"²")+COUNTIF($E128:AA128,"µ")+COUNTIF($E128:AA128,1),ColDescriptionCourte))&gt;1,
HYPERLINK("#Roadmap!C"&amp; MATCH($E128,Roadmap!$D:$D,0)+COUNTIF($E128:AA128,"u")+COUNTIF($E128:AA128,"t")+COUNTIF($E128:AA128,"¶")+COUNTIF($E128:AA128,"²")+COUNTIF($E128:AA128,"µ")+COUNTIF($E128:AA128,1)-1,INDEX(Roadmap!$D:$K,MATCH($E128,Roadmap!$D:$D,0)-1+COUNTIF($E128:AA128,"u")+COUNTIF($E128:AA128,"t")+COUNTIF($E128:AA128,"¶")+COUNTIF($E128:AA128,"²")+COUNTIF($E128:AA128,"µ")+COUNTIF($E128:AA128,1),ColDescriptionCourte)),""),
  "")),"")</f>
        <v/>
      </c>
      <c r="AC128" s="40" t="str">
        <f ca="1">IFERROR(IF(AND(
  INDEX(Roadmap!$D:$K,MATCH($E128,Roadmap!$D:$D,0)+COUNTIF($E128:AB128,"u")+COUNTIF($E128:AB128,"t")+COUNTIF($E128:AB128,"¶")+COUNTIF($E128:AB128,"²")+COUNTIF($E128:AB128,"µ")+COUNTIF($E128:AB128,1),ColLivraison)=AC$6,
  VLOOKUP($E128,INDIRECT("tri!"&amp; CHAR(64+ C0Col) &amp;":"&amp; CHAR(65+C0Col)),2,FALSE)&gt;COUNTIF($E128:AB128,"u")+COUNTIF($E128:AB128,"t")+COUNTIF($E128:AB128,"¶")+COUNTIF($E128:AB128,"²")+COUNTIF($E128:AB128,"µ")+COUNTIF($E128:AB128,1)),
HYPERLINK("#Roadmap!C"&amp; MATCH($E128,Roadmap!$D:$D,0)+COUNTIF($E128:AB128,"u")+COUNTIF($E128:AB128,"t"),
     INDEX(Roadmap!$D:$K,MATCH($E128,Roadmap!$D:$D,0)+COUNTIF($E128:AB128,"u")+COUNTIF($E128:AB128,"t")+COUNTIF($E128:AB128,"¶")+COUNTIF($E128:AB128,"²")+COUNTIF($E128:AB128,"µ")+COUNTIF($E128:AB128,1),ColTypeEcheance)),
  IF(LEN(AB128)=1,
  IF(LEN(INDEX(Roadmap!$D:$K,MATCH($E128,Roadmap!$D:$D,0)-1+COUNTIF($E128:AB128,"u")+COUNTIF($E128:AB128,"t")+COUNTIF($E128:AB128,"¶")+COUNTIF($E128:AB128,"²")+COUNTIF($E128:AB128,"µ")+COUNTIF($E128:AB128,1),ColDescriptionCourte))&gt;1,
HYPERLINK("#Roadmap!C"&amp; MATCH($E128,Roadmap!$D:$D,0)+COUNTIF($E128:AB128,"u")+COUNTIF($E128:AB128,"t")+COUNTIF($E128:AB128,"¶")+COUNTIF($E128:AB128,"²")+COUNTIF($E128:AB128,"µ")+COUNTIF($E128:AB128,1)-1,INDEX(Roadmap!$D:$K,MATCH($E128,Roadmap!$D:$D,0)-1+COUNTIF($E128:AB128,"u")+COUNTIF($E128:AB128,"t")+COUNTIF($E128:AB128,"¶")+COUNTIF($E128:AB128,"²")+COUNTIF($E128:AB128,"µ")+COUNTIF($E128:AB128,1),ColDescriptionCourte)),""),
  "")),"")</f>
        <v/>
      </c>
      <c r="AD128" s="40" t="str">
        <f ca="1">IFERROR(IF(AND(
  INDEX(Roadmap!$D:$K,MATCH($E128,Roadmap!$D:$D,0)+COUNTIF($E128:AC128,"u")+COUNTIF($E128:AC128,"t")+COUNTIF($E128:AC128,"¶")+COUNTIF($E128:AC128,"²")+COUNTIF($E128:AC128,"µ")+COUNTIF($E128:AC128,1),ColLivraison)=AD$6,
  VLOOKUP($E128,INDIRECT("tri!"&amp; CHAR(64+ C0Col) &amp;":"&amp; CHAR(65+C0Col)),2,FALSE)&gt;COUNTIF($E128:AC128,"u")+COUNTIF($E128:AC128,"t")+COUNTIF($E128:AC128,"¶")+COUNTIF($E128:AC128,"²")+COUNTIF($E128:AC128,"µ")+COUNTIF($E128:AC128,1)),
HYPERLINK("#Roadmap!C"&amp; MATCH($E128,Roadmap!$D:$D,0)+COUNTIF($E128:AC128,"u")+COUNTIF($E128:AC128,"t"),
     INDEX(Roadmap!$D:$K,MATCH($E128,Roadmap!$D:$D,0)+COUNTIF($E128:AC128,"u")+COUNTIF($E128:AC128,"t")+COUNTIF($E128:AC128,"¶")+COUNTIF($E128:AC128,"²")+COUNTIF($E128:AC128,"µ")+COUNTIF($E128:AC128,1),ColTypeEcheance)),
  IF(LEN(AC128)=1,
  IF(LEN(INDEX(Roadmap!$D:$K,MATCH($E128,Roadmap!$D:$D,0)-1+COUNTIF($E128:AC128,"u")+COUNTIF($E128:AC128,"t")+COUNTIF($E128:AC128,"¶")+COUNTIF($E128:AC128,"²")+COUNTIF($E128:AC128,"µ")+COUNTIF($E128:AC128,1),ColDescriptionCourte))&gt;1,
HYPERLINK("#Roadmap!C"&amp; MATCH($E128,Roadmap!$D:$D,0)+COUNTIF($E128:AC128,"u")+COUNTIF($E128:AC128,"t")+COUNTIF($E128:AC128,"¶")+COUNTIF($E128:AC128,"²")+COUNTIF($E128:AC128,"µ")+COUNTIF($E128:AC128,1)-1,INDEX(Roadmap!$D:$K,MATCH($E128,Roadmap!$D:$D,0)-1+COUNTIF($E128:AC128,"u")+COUNTIF($E128:AC128,"t")+COUNTIF($E128:AC128,"¶")+COUNTIF($E128:AC128,"²")+COUNTIF($E128:AC128,"µ")+COUNTIF($E128:AC128,1),ColDescriptionCourte)),""),
  "")),"")</f>
        <v/>
      </c>
      <c r="AE128" s="40" t="str">
        <f ca="1">IFERROR(IF(AND(
  INDEX(Roadmap!$D:$K,MATCH($E128,Roadmap!$D:$D,0)+COUNTIF($E128:AD128,"u")+COUNTIF($E128:AD128,"t")+COUNTIF($E128:AD128,"¶")+COUNTIF($E128:AD128,"²")+COUNTIF($E128:AD128,"µ")+COUNTIF($E128:AD128,1),ColLivraison)=AE$6,
  VLOOKUP($E128,INDIRECT("tri!"&amp; CHAR(64+ C0Col) &amp;":"&amp; CHAR(65+C0Col)),2,FALSE)&gt;COUNTIF($E128:AD128,"u")+COUNTIF($E128:AD128,"t")+COUNTIF($E128:AD128,"¶")+COUNTIF($E128:AD128,"²")+COUNTIF($E128:AD128,"µ")+COUNTIF($E128:AD128,1)),
HYPERLINK("#Roadmap!C"&amp; MATCH($E128,Roadmap!$D:$D,0)+COUNTIF($E128:AD128,"u")+COUNTIF($E128:AD128,"t"),
     INDEX(Roadmap!$D:$K,MATCH($E128,Roadmap!$D:$D,0)+COUNTIF($E128:AD128,"u")+COUNTIF($E128:AD128,"t")+COUNTIF($E128:AD128,"¶")+COUNTIF($E128:AD128,"²")+COUNTIF($E128:AD128,"µ")+COUNTIF($E128:AD128,1),ColTypeEcheance)),
  IF(LEN(AD128)=1,
  IF(LEN(INDEX(Roadmap!$D:$K,MATCH($E128,Roadmap!$D:$D,0)-1+COUNTIF($E128:AD128,"u")+COUNTIF($E128:AD128,"t")+COUNTIF($E128:AD128,"¶")+COUNTIF($E128:AD128,"²")+COUNTIF($E128:AD128,"µ")+COUNTIF($E128:AD128,1),ColDescriptionCourte))&gt;1,
HYPERLINK("#Roadmap!C"&amp; MATCH($E128,Roadmap!$D:$D,0)+COUNTIF($E128:AD128,"u")+COUNTIF($E128:AD128,"t")+COUNTIF($E128:AD128,"¶")+COUNTIF($E128:AD128,"²")+COUNTIF($E128:AD128,"µ")+COUNTIF($E128:AD128,1)-1,INDEX(Roadmap!$D:$K,MATCH($E128,Roadmap!$D:$D,0)-1+COUNTIF($E128:AD128,"u")+COUNTIF($E128:AD128,"t")+COUNTIF($E128:AD128,"¶")+COUNTIF($E128:AD128,"²")+COUNTIF($E128:AD128,"µ")+COUNTIF($E128:AD128,1),ColDescriptionCourte)),""),
  "")),"")</f>
        <v/>
      </c>
      <c r="AF128" s="40" t="str">
        <f ca="1">IFERROR(IF(AND(
  INDEX(Roadmap!$D:$K,MATCH($E128,Roadmap!$D:$D,0)+COUNTIF($E128:AE128,"u")+COUNTIF($E128:AE128,"t")+COUNTIF($E128:AE128,"¶")+COUNTIF($E128:AE128,"²")+COUNTIF($E128:AE128,"µ")+COUNTIF($E128:AE128,1),ColLivraison)=AF$6,
  VLOOKUP($E128,INDIRECT("tri!"&amp; CHAR(64+ C0Col) &amp;":"&amp; CHAR(65+C0Col)),2,FALSE)&gt;COUNTIF($E128:AE128,"u")+COUNTIF($E128:AE128,"t")+COUNTIF($E128:AE128,"¶")+COUNTIF($E128:AE128,"²")+COUNTIF($E128:AE128,"µ")+COUNTIF($E128:AE128,1)),
HYPERLINK("#Roadmap!C"&amp; MATCH($E128,Roadmap!$D:$D,0)+COUNTIF($E128:AE128,"u")+COUNTIF($E128:AE128,"t"),
     INDEX(Roadmap!$D:$K,MATCH($E128,Roadmap!$D:$D,0)+COUNTIF($E128:AE128,"u")+COUNTIF($E128:AE128,"t")+COUNTIF($E128:AE128,"¶")+COUNTIF($E128:AE128,"²")+COUNTIF($E128:AE128,"µ")+COUNTIF($E128:AE128,1),ColTypeEcheance)),
  IF(LEN(AE128)=1,
  IF(LEN(INDEX(Roadmap!$D:$K,MATCH($E128,Roadmap!$D:$D,0)-1+COUNTIF($E128:AE128,"u")+COUNTIF($E128:AE128,"t")+COUNTIF($E128:AE128,"¶")+COUNTIF($E128:AE128,"²")+COUNTIF($E128:AE128,"µ")+COUNTIF($E128:AE128,1),ColDescriptionCourte))&gt;1,
HYPERLINK("#Roadmap!C"&amp; MATCH($E128,Roadmap!$D:$D,0)+COUNTIF($E128:AE128,"u")+COUNTIF($E128:AE128,"t")+COUNTIF($E128:AE128,"¶")+COUNTIF($E128:AE128,"²")+COUNTIF($E128:AE128,"µ")+COUNTIF($E128:AE128,1)-1,INDEX(Roadmap!$D:$K,MATCH($E128,Roadmap!$D:$D,0)-1+COUNTIF($E128:AE128,"u")+COUNTIF($E128:AE128,"t")+COUNTIF($E128:AE128,"¶")+COUNTIF($E128:AE128,"²")+COUNTIF($E128:AE128,"µ")+COUNTIF($E128:AE128,1),ColDescriptionCourte)),""),
  "")),"")</f>
        <v/>
      </c>
      <c r="AG128" s="40" t="str">
        <f ca="1">IFERROR(IF(AND(
  INDEX(Roadmap!$D:$K,MATCH($E128,Roadmap!$D:$D,0)+COUNTIF($E128:AF128,"u")+COUNTIF($E128:AF128,"t")+COUNTIF($E128:AF128,"¶")+COUNTIF($E128:AF128,"²")+COUNTIF($E128:AF128,"µ")+COUNTIF($E128:AF128,1),ColLivraison)=AG$6,
  VLOOKUP($E128,INDIRECT("tri!"&amp; CHAR(64+ C0Col) &amp;":"&amp; CHAR(65+C0Col)),2,FALSE)&gt;COUNTIF($E128:AF128,"u")+COUNTIF($E128:AF128,"t")+COUNTIF($E128:AF128,"¶")+COUNTIF($E128:AF128,"²")+COUNTIF($E128:AF128,"µ")+COUNTIF($E128:AF128,1)),
HYPERLINK("#Roadmap!C"&amp; MATCH($E128,Roadmap!$D:$D,0)+COUNTIF($E128:AF128,"u")+COUNTIF($E128:AF128,"t"),
     INDEX(Roadmap!$D:$K,MATCH($E128,Roadmap!$D:$D,0)+COUNTIF($E128:AF128,"u")+COUNTIF($E128:AF128,"t")+COUNTIF($E128:AF128,"¶")+COUNTIF($E128:AF128,"²")+COUNTIF($E128:AF128,"µ")+COUNTIF($E128:AF128,1),ColTypeEcheance)),
  IF(LEN(AF128)=1,
  IF(LEN(INDEX(Roadmap!$D:$K,MATCH($E128,Roadmap!$D:$D,0)-1+COUNTIF($E128:AF128,"u")+COUNTIF($E128:AF128,"t")+COUNTIF($E128:AF128,"¶")+COUNTIF($E128:AF128,"²")+COUNTIF($E128:AF128,"µ")+COUNTIF($E128:AF128,1),ColDescriptionCourte))&gt;1,
HYPERLINK("#Roadmap!C"&amp; MATCH($E128,Roadmap!$D:$D,0)+COUNTIF($E128:AF128,"u")+COUNTIF($E128:AF128,"t")+COUNTIF($E128:AF128,"¶")+COUNTIF($E128:AF128,"²")+COUNTIF($E128:AF128,"µ")+COUNTIF($E128:AF128,1)-1,INDEX(Roadmap!$D:$K,MATCH($E128,Roadmap!$D:$D,0)-1+COUNTIF($E128:AF128,"u")+COUNTIF($E128:AF128,"t")+COUNTIF($E128:AF128,"¶")+COUNTIF($E128:AF128,"²")+COUNTIF($E128:AF128,"µ")+COUNTIF($E128:AF128,1),ColDescriptionCourte)),""),
  "")),"")</f>
        <v/>
      </c>
      <c r="AH128" s="40" t="str">
        <f ca="1">IFERROR(IF(AND(
  INDEX(Roadmap!$D:$K,MATCH($E128,Roadmap!$D:$D,0)+COUNTIF($E128:AG128,"u")+COUNTIF($E128:AG128,"t")+COUNTIF($E128:AG128,1),ColLivraison)=AH$6,
  VLOOKUP($E128,INDIRECT("tri!"&amp; CHAR(64+ C0Col) &amp;":"&amp; CHAR(65+C0Col)),2,FALSE)&gt;COUNTIF($E128:AG128,"u")+COUNTIF($E128:AG128,"t")+COUNTIF($E128:AG128,1)),
HYPERLINK("#Roadmap!C"&amp; MATCH($E128,Roadmap!$D:$D,0)+COUNTIF($E128:AG128,"u")+COUNTIF($E128:AG128,"t"),
     INDEX(Roadmap!$D:$K,MATCH($E128,Roadmap!$D:$D,0)+COUNTIF($E128:AG128,"u")+COUNTIF($E128:AG128,"t")+COUNTIF($E128:AG128,1),ColTypeEcheance)),
  IF(OR(AG128="u",AG128="t",AG128=1),
  IF(LEN(INDEX(Roadmap!$D:$K,MATCH($E128,Roadmap!$D:$D,0)-1+COUNTIF($E128:AG128,"u")+COUNTIF($E128:AG128,"t")+COUNTIF($E128:AG128,1),ColDescriptionCourte))&gt;1,
HYPERLINK("#Roadmap!C"&amp; MATCH($E128,Roadmap!$D:$D,0)+COUNTIF($E128:AG128,"u")+COUNTIF($E128:AG128,"t")+COUNTIF($E128:AG128,1)-1,INDEX(Roadmap!$D:$K,MATCH($E128,Roadmap!$D:$D,0)-1+COUNTIF($E128:AG128,"u")+COUNTIF($E128:AG128,"t")+COUNTIF($E128:AG128,1),ColDescriptionCourte)),""),
  "")),"")</f>
        <v/>
      </c>
      <c r="AI128" s="40"/>
      <c r="AJ128" s="40"/>
      <c r="AK128" s="40"/>
      <c r="AL128" s="40"/>
      <c r="AM128" s="40"/>
    </row>
    <row r="129" spans="4:39" ht="14.1" customHeight="1">
      <c r="D129" s="20" t="str">
        <f t="shared" ca="1" si="29"/>
        <v/>
      </c>
      <c r="E129" s="53" t="str">
        <f t="shared" ca="1" si="30"/>
        <v/>
      </c>
      <c r="F129" s="39" t="str">
        <f ca="1">IFERROR(IF(AND(
  INDEX(Roadmap!$D:$K,MATCH($E129,Roadmap!$D:$D,0)+COUNTIF($E129:E129,"u")+COUNTIF($E129:E129,"t")+COUNTIF($E129:E129,"¶")+COUNTIF($E129:E129,"²")+COUNTIF($E129:E129,"µ")+COUNTIF($E129:E129,1),ColLivraison)=F$6,
  VLOOKUP($E129,INDIRECT("tri!"&amp; CHAR(64+ C0Col) &amp;":"&amp; CHAR(65+C0Col)),2,FALSE)&gt;COUNTIF($E129:E129,"u")+COUNTIF($E129:E129,"t")+COUNTIF($E129:E129,"¶")+COUNTIF($E129:E129,"²")+COUNTIF($E129:E129,"µ")+COUNTIF($E129:E129,1)),
HYPERLINK("#Roadmap!C"&amp; MATCH($E129,Roadmap!$D:$D,0)+COUNTIF($E129:E129,"u")+COUNTIF($E129:E129,"t"),
     INDEX(Roadmap!$D:$K,MATCH($E129,Roadmap!$D:$D,0)+COUNTIF($E129:E129,"u")+COUNTIF($E129:E129,"t")+COUNTIF($E129:E129,"¶")+COUNTIF($E129:E129,"²")+COUNTIF($E129:E129,"µ")+COUNTIF($E129:E129,1),ColTypeEcheance)),
  IF(LEN(E129)=1,
  IF(LEN(INDEX(Roadmap!$D:$K,MATCH($E129,Roadmap!$D:$D,0)-1+COUNTIF($E129:E129,"u")+COUNTIF($E129:E129,"t")+COUNTIF($E129:E129,"¶")+COUNTIF($E129:E129,"²")+COUNTIF($E129:E129,"µ")+COUNTIF($E129:E129,1),ColDescriptionCourte))&gt;1,
HYPERLINK("#Roadmap!C"&amp; MATCH($E129,Roadmap!$D:$D,0)+COUNTIF($E129:E129,"u")+COUNTIF($E129:E129,"t")+COUNTIF($E129:E129,"¶")+COUNTIF($E129:E129,"²")+COUNTIF($E129:E129,"µ")+COUNTIF($E129:E129,1)-1,INDEX(Roadmap!$D:$K,MATCH($E129,Roadmap!$D:$D,0)-1+COUNTIF($E129:E129,"u")+COUNTIF($E129:E129,"t")+COUNTIF($E129:E129,"¶")+COUNTIF($E129:E129,"²")+COUNTIF($E129:E129,"µ")+COUNTIF($E129:E129,1),ColDescriptionCourte)),""),
  "")),"")</f>
        <v/>
      </c>
      <c r="G129" s="40" t="str">
        <f ca="1">IFERROR(IF(AND(
  INDEX(Roadmap!$D:$K,MATCH($E129,Roadmap!$D:$D,0)+COUNTIF($E129:F129,"u")+COUNTIF($E129:F129,"t")+COUNTIF($E129:F129,"¶")+COUNTIF($E129:F129,"²")+COUNTIF($E129:F129,"µ")+COUNTIF($E129:F129,1),ColLivraison)=G$6,
  VLOOKUP($E129,INDIRECT("tri!"&amp; CHAR(64+ C0Col) &amp;":"&amp; CHAR(65+C0Col)),2,FALSE)&gt;COUNTIF($E129:F129,"u")+COUNTIF($E129:F129,"t")+COUNTIF($E129:F129,"¶")+COUNTIF($E129:F129,"²")+COUNTIF($E129:F129,"µ")+COUNTIF($E129:F129,1)),
HYPERLINK("#Roadmap!C"&amp; MATCH($E129,Roadmap!$D:$D,0)+COUNTIF($E129:F129,"u")+COUNTIF($E129:F129,"t"),
     INDEX(Roadmap!$D:$K,MATCH($E129,Roadmap!$D:$D,0)+COUNTIF($E129:F129,"u")+COUNTIF($E129:F129,"t")+COUNTIF($E129:F129,"¶")+COUNTIF($E129:F129,"²")+COUNTIF($E129:F129,"µ")+COUNTIF($E129:F129,1),ColTypeEcheance)),
  IF(LEN(F129)=1,
  IF(LEN(INDEX(Roadmap!$D:$K,MATCH($E129,Roadmap!$D:$D,0)-1+COUNTIF($E129:F129,"u")+COUNTIF($E129:F129,"t")+COUNTIF($E129:F129,"¶")+COUNTIF($E129:F129,"²")+COUNTIF($E129:F129,"µ")+COUNTIF($E129:F129,1),ColDescriptionCourte))&gt;1,
HYPERLINK("#Roadmap!C"&amp; MATCH($E129,Roadmap!$D:$D,0)+COUNTIF($E129:F129,"u")+COUNTIF($E129:F129,"t")+COUNTIF($E129:F129,"¶")+COUNTIF($E129:F129,"²")+COUNTIF($E129:F129,"µ")+COUNTIF($E129:F129,1)-1,INDEX(Roadmap!$D:$K,MATCH($E129,Roadmap!$D:$D,0)-1+COUNTIF($E129:F129,"u")+COUNTIF($E129:F129,"t")+COUNTIF($E129:F129,"¶")+COUNTIF($E129:F129,"²")+COUNTIF($E129:F129,"µ")+COUNTIF($E129:F129,1),ColDescriptionCourte)),""),
  "")),"")</f>
        <v/>
      </c>
      <c r="H129" s="40" t="str">
        <f ca="1">IFERROR(IF(AND(
  INDEX(Roadmap!$D:$K,MATCH($E129,Roadmap!$D:$D,0)+COUNTIF($E129:G129,"u")+COUNTIF($E129:G129,"t")+COUNTIF($E129:G129,"¶")+COUNTIF($E129:G129,"²")+COUNTIF($E129:G129,"µ")+COUNTIF($E129:G129,1),ColLivraison)=H$6,
  VLOOKUP($E129,INDIRECT("tri!"&amp; CHAR(64+ C0Col) &amp;":"&amp; CHAR(65+C0Col)),2,FALSE)&gt;COUNTIF($E129:G129,"u")+COUNTIF($E129:G129,"t")+COUNTIF($E129:G129,"¶")+COUNTIF($E129:G129,"²")+COUNTIF($E129:G129,"µ")+COUNTIF($E129:G129,1)),
HYPERLINK("#Roadmap!C"&amp; MATCH($E129,Roadmap!$D:$D,0)+COUNTIF($E129:G129,"u")+COUNTIF($E129:G129,"t"),
     INDEX(Roadmap!$D:$K,MATCH($E129,Roadmap!$D:$D,0)+COUNTIF($E129:G129,"u")+COUNTIF($E129:G129,"t")+COUNTIF($E129:G129,"¶")+COUNTIF($E129:G129,"²")+COUNTIF($E129:G129,"µ")+COUNTIF($E129:G129,1),ColTypeEcheance)),
  IF(LEN(G129)=1,
  IF(LEN(INDEX(Roadmap!$D:$K,MATCH($E129,Roadmap!$D:$D,0)-1+COUNTIF($E129:G129,"u")+COUNTIF($E129:G129,"t")+COUNTIF($E129:G129,"¶")+COUNTIF($E129:G129,"²")+COUNTIF($E129:G129,"µ")+COUNTIF($E129:G129,1),ColDescriptionCourte))&gt;1,
HYPERLINK("#Roadmap!C"&amp; MATCH($E129,Roadmap!$D:$D,0)+COUNTIF($E129:G129,"u")+COUNTIF($E129:G129,"t")+COUNTIF($E129:G129,"¶")+COUNTIF($E129:G129,"²")+COUNTIF($E129:G129,"µ")+COUNTIF($E129:G129,1)-1,INDEX(Roadmap!$D:$K,MATCH($E129,Roadmap!$D:$D,0)-1+COUNTIF($E129:G129,"u")+COUNTIF($E129:G129,"t")+COUNTIF($E129:G129,"¶")+COUNTIF($E129:G129,"²")+COUNTIF($E129:G129,"µ")+COUNTIF($E129:G129,1),ColDescriptionCourte)),""),
  "")),"")</f>
        <v/>
      </c>
      <c r="I129" s="40" t="str">
        <f ca="1">IFERROR(IF(AND(
  INDEX(Roadmap!$D:$K,MATCH($E129,Roadmap!$D:$D,0)+COUNTIF($E129:H129,"u")+COUNTIF($E129:H129,"t")+COUNTIF($E129:H129,"¶")+COUNTIF($E129:H129,"²")+COUNTIF($E129:H129,"µ")+COUNTIF($E129:H129,1),ColLivraison)=I$6,
  VLOOKUP($E129,INDIRECT("tri!"&amp; CHAR(64+ C0Col) &amp;":"&amp; CHAR(65+C0Col)),2,FALSE)&gt;COUNTIF($E129:H129,"u")+COUNTIF($E129:H129,"t")+COUNTIF($E129:H129,"¶")+COUNTIF($E129:H129,"²")+COUNTIF($E129:H129,"µ")+COUNTIF($E129:H129,1)),
HYPERLINK("#Roadmap!C"&amp; MATCH($E129,Roadmap!$D:$D,0)+COUNTIF($E129:H129,"u")+COUNTIF($E129:H129,"t"),
     INDEX(Roadmap!$D:$K,MATCH($E129,Roadmap!$D:$D,0)+COUNTIF($E129:H129,"u")+COUNTIF($E129:H129,"t")+COUNTIF($E129:H129,"¶")+COUNTIF($E129:H129,"²")+COUNTIF($E129:H129,"µ")+COUNTIF($E129:H129,1),ColTypeEcheance)),
  IF(LEN(H129)=1,
  IF(LEN(INDEX(Roadmap!$D:$K,MATCH($E129,Roadmap!$D:$D,0)-1+COUNTIF($E129:H129,"u")+COUNTIF($E129:H129,"t")+COUNTIF($E129:H129,"¶")+COUNTIF($E129:H129,"²")+COUNTIF($E129:H129,"µ")+COUNTIF($E129:H129,1),ColDescriptionCourte))&gt;1,
HYPERLINK("#Roadmap!C"&amp; MATCH($E129,Roadmap!$D:$D,0)+COUNTIF($E129:H129,"u")+COUNTIF($E129:H129,"t")+COUNTIF($E129:H129,"¶")+COUNTIF($E129:H129,"²")+COUNTIF($E129:H129,"µ")+COUNTIF($E129:H129,1)-1,INDEX(Roadmap!$D:$K,MATCH($E129,Roadmap!$D:$D,0)-1+COUNTIF($E129:H129,"u")+COUNTIF($E129:H129,"t")+COUNTIF($E129:H129,"¶")+COUNTIF($E129:H129,"²")+COUNTIF($E129:H129,"µ")+COUNTIF($E129:H129,1),ColDescriptionCourte)),""),
  "")),"")</f>
        <v/>
      </c>
      <c r="J129" s="40" t="str">
        <f ca="1">IFERROR(IF(AND(
  INDEX(Roadmap!$D:$K,MATCH($E129,Roadmap!$D:$D,0)+COUNTIF($E129:I129,"u")+COUNTIF($E129:I129,"t")+COUNTIF($E129:I129,"¶")+COUNTIF($E129:I129,"²")+COUNTIF($E129:I129,"µ")+COUNTIF($E129:I129,1),ColLivraison)=J$6,
  VLOOKUP($E129,INDIRECT("tri!"&amp; CHAR(64+ C0Col) &amp;":"&amp; CHAR(65+C0Col)),2,FALSE)&gt;COUNTIF($E129:I129,"u")+COUNTIF($E129:I129,"t")+COUNTIF($E129:I129,"¶")+COUNTIF($E129:I129,"²")+COUNTIF($E129:I129,"µ")+COUNTIF($E129:I129,1)),
HYPERLINK("#Roadmap!C"&amp; MATCH($E129,Roadmap!$D:$D,0)+COUNTIF($E129:I129,"u")+COUNTIF($E129:I129,"t"),
     INDEX(Roadmap!$D:$K,MATCH($E129,Roadmap!$D:$D,0)+COUNTIF($E129:I129,"u")+COUNTIF($E129:I129,"t")+COUNTIF($E129:I129,"¶")+COUNTIF($E129:I129,"²")+COUNTIF($E129:I129,"µ")+COUNTIF($E129:I129,1),ColTypeEcheance)),
  IF(LEN(I129)=1,
  IF(LEN(INDEX(Roadmap!$D:$K,MATCH($E129,Roadmap!$D:$D,0)-1+COUNTIF($E129:I129,"u")+COUNTIF($E129:I129,"t")+COUNTIF($E129:I129,"¶")+COUNTIF($E129:I129,"²")+COUNTIF($E129:I129,"µ")+COUNTIF($E129:I129,1),ColDescriptionCourte))&gt;1,
HYPERLINK("#Roadmap!C"&amp; MATCH($E129,Roadmap!$D:$D,0)+COUNTIF($E129:I129,"u")+COUNTIF($E129:I129,"t")+COUNTIF($E129:I129,"¶")+COUNTIF($E129:I129,"²")+COUNTIF($E129:I129,"µ")+COUNTIF($E129:I129,1)-1,INDEX(Roadmap!$D:$K,MATCH($E129,Roadmap!$D:$D,0)-1+COUNTIF($E129:I129,"u")+COUNTIF($E129:I129,"t")+COUNTIF($E129:I129,"¶")+COUNTIF($E129:I129,"²")+COUNTIF($E129:I129,"µ")+COUNTIF($E129:I129,1),ColDescriptionCourte)),""),
  "")),"")</f>
        <v/>
      </c>
      <c r="K129" s="40" t="str">
        <f ca="1">IFERROR(IF(AND(
  INDEX(Roadmap!$D:$K,MATCH($E129,Roadmap!$D:$D,0)+COUNTIF($E129:J129,"u")+COUNTIF($E129:J129,"t")+COUNTIF($E129:J129,"¶")+COUNTIF($E129:J129,"²")+COUNTIF($E129:J129,"µ")+COUNTIF($E129:J129,1),ColLivraison)=K$6,
  VLOOKUP($E129,INDIRECT("tri!"&amp; CHAR(64+ C0Col) &amp;":"&amp; CHAR(65+C0Col)),2,FALSE)&gt;COUNTIF($E129:J129,"u")+COUNTIF($E129:J129,"t")+COUNTIF($E129:J129,"¶")+COUNTIF($E129:J129,"²")+COUNTIF($E129:J129,"µ")+COUNTIF($E129:J129,1)),
HYPERLINK("#Roadmap!C"&amp; MATCH($E129,Roadmap!$D:$D,0)+COUNTIF($E129:J129,"u")+COUNTIF($E129:J129,"t"),
     INDEX(Roadmap!$D:$K,MATCH($E129,Roadmap!$D:$D,0)+COUNTIF($E129:J129,"u")+COUNTIF($E129:J129,"t")+COUNTIF($E129:J129,"¶")+COUNTIF($E129:J129,"²")+COUNTIF($E129:J129,"µ")+COUNTIF($E129:J129,1),ColTypeEcheance)),
  IF(LEN(J129)=1,
  IF(LEN(INDEX(Roadmap!$D:$K,MATCH($E129,Roadmap!$D:$D,0)-1+COUNTIF($E129:J129,"u")+COUNTIF($E129:J129,"t")+COUNTIF($E129:J129,"¶")+COUNTIF($E129:J129,"²")+COUNTIF($E129:J129,"µ")+COUNTIF($E129:J129,1),ColDescriptionCourte))&gt;1,
HYPERLINK("#Roadmap!C"&amp; MATCH($E129,Roadmap!$D:$D,0)+COUNTIF($E129:J129,"u")+COUNTIF($E129:J129,"t")+COUNTIF($E129:J129,"¶")+COUNTIF($E129:J129,"²")+COUNTIF($E129:J129,"µ")+COUNTIF($E129:J129,1)-1,INDEX(Roadmap!$D:$K,MATCH($E129,Roadmap!$D:$D,0)-1+COUNTIF($E129:J129,"u")+COUNTIF($E129:J129,"t")+COUNTIF($E129:J129,"¶")+COUNTIF($E129:J129,"²")+COUNTIF($E129:J129,"µ")+COUNTIF($E129:J129,1),ColDescriptionCourte)),""),
  "")),"")</f>
        <v/>
      </c>
      <c r="L129" s="39" t="str">
        <f ca="1">IFERROR(IF(AND(
  INDEX(Roadmap!$D:$K,MATCH($E129,Roadmap!$D:$D,0)+COUNTIF($E129:K129,"u")+COUNTIF($E129:K129,"t")+COUNTIF($E129:K129,"¶")+COUNTIF($E129:K129,"²")+COUNTIF($E129:K129,"µ")+COUNTIF($E129:K129,1),ColLivraison)=L$6,
  VLOOKUP($E129,INDIRECT("tri!"&amp; CHAR(64+ C0Col) &amp;":"&amp; CHAR(65+C0Col)),2,FALSE)&gt;COUNTIF($E129:K129,"u")+COUNTIF($E129:K129,"t")+COUNTIF($E129:K129,"¶")+COUNTIF($E129:K129,"²")+COUNTIF($E129:K129,"µ")+COUNTIF($E129:K129,1)),
HYPERLINK("#Roadmap!C"&amp; MATCH($E129,Roadmap!$D:$D,0)+COUNTIF($E129:K129,"u")+COUNTIF($E129:K129,"t"),
     INDEX(Roadmap!$D:$K,MATCH($E129,Roadmap!$D:$D,0)+COUNTIF($E129:K129,"u")+COUNTIF($E129:K129,"t")+COUNTIF($E129:K129,"¶")+COUNTIF($E129:K129,"²")+COUNTIF($E129:K129,"µ")+COUNTIF($E129:K129,1),ColTypeEcheance)),
  IF(LEN(K129)=1,
  IF(LEN(INDEX(Roadmap!$D:$K,MATCH($E129,Roadmap!$D:$D,0)-1+COUNTIF($E129:K129,"u")+COUNTIF($E129:K129,"t")+COUNTIF($E129:K129,"¶")+COUNTIF($E129:K129,"²")+COUNTIF($E129:K129,"µ")+COUNTIF($E129:K129,1),ColDescriptionCourte))&gt;1,
HYPERLINK("#Roadmap!C"&amp; MATCH($E129,Roadmap!$D:$D,0)+COUNTIF($E129:K129,"u")+COUNTIF($E129:K129,"t")+COUNTIF($E129:K129,"¶")+COUNTIF($E129:K129,"²")+COUNTIF($E129:K129,"µ")+COUNTIF($E129:K129,1)-1,INDEX(Roadmap!$D:$K,MATCH($E129,Roadmap!$D:$D,0)-1+COUNTIF($E129:K129,"u")+COUNTIF($E129:K129,"t")+COUNTIF($E129:K129,"¶")+COUNTIF($E129:K129,"²")+COUNTIF($E129:K129,"µ")+COUNTIF($E129:K129,1),ColDescriptionCourte)),""),
  "")),"")</f>
        <v/>
      </c>
      <c r="M129" s="40" t="str">
        <f ca="1">IFERROR(IF(AND(
  INDEX(Roadmap!$D:$K,MATCH($E129,Roadmap!$D:$D,0)+COUNTIF($E129:L129,"u")+COUNTIF($E129:L129,"t")+COUNTIF($E129:L129,"¶")+COUNTIF($E129:L129,"²")+COUNTIF($E129:L129,"µ")+COUNTIF($E129:L129,1),ColLivraison)=M$6,
  VLOOKUP($E129,INDIRECT("tri!"&amp; CHAR(64+ C0Col) &amp;":"&amp; CHAR(65+C0Col)),2,FALSE)&gt;COUNTIF($E129:L129,"u")+COUNTIF($E129:L129,"t")+COUNTIF($E129:L129,"¶")+COUNTIF($E129:L129,"²")+COUNTIF($E129:L129,"µ")+COUNTIF($E129:L129,1)),
HYPERLINK("#Roadmap!C"&amp; MATCH($E129,Roadmap!$D:$D,0)+COUNTIF($E129:L129,"u")+COUNTIF($E129:L129,"t"),
     INDEX(Roadmap!$D:$K,MATCH($E129,Roadmap!$D:$D,0)+COUNTIF($E129:L129,"u")+COUNTIF($E129:L129,"t")+COUNTIF($E129:L129,"¶")+COUNTIF($E129:L129,"²")+COUNTIF($E129:L129,"µ")+COUNTIF($E129:L129,1),ColTypeEcheance)),
  IF(LEN(L129)=1,
  IF(LEN(INDEX(Roadmap!$D:$K,MATCH($E129,Roadmap!$D:$D,0)-1+COUNTIF($E129:L129,"u")+COUNTIF($E129:L129,"t")+COUNTIF($E129:L129,"¶")+COUNTIF($E129:L129,"²")+COUNTIF($E129:L129,"µ")+COUNTIF($E129:L129,1),ColDescriptionCourte))&gt;1,
HYPERLINK("#Roadmap!C"&amp; MATCH($E129,Roadmap!$D:$D,0)+COUNTIF($E129:L129,"u")+COUNTIF($E129:L129,"t")+COUNTIF($E129:L129,"¶")+COUNTIF($E129:L129,"²")+COUNTIF($E129:L129,"µ")+COUNTIF($E129:L129,1)-1,INDEX(Roadmap!$D:$K,MATCH($E129,Roadmap!$D:$D,0)-1+COUNTIF($E129:L129,"u")+COUNTIF($E129:L129,"t")+COUNTIF($E129:L129,"¶")+COUNTIF($E129:L129,"²")+COUNTIF($E129:L129,"µ")+COUNTIF($E129:L129,1),ColDescriptionCourte)),""),
  "")),"")</f>
        <v/>
      </c>
      <c r="N129" s="40" t="str">
        <f ca="1">IFERROR(IF(AND(
  INDEX(Roadmap!$D:$K,MATCH($E129,Roadmap!$D:$D,0)+COUNTIF($E129:M129,"u")+COUNTIF($E129:M129,"t")+COUNTIF($E129:M129,"¶")+COUNTIF($E129:M129,"²")+COUNTIF($E129:M129,"µ")+COUNTIF($E129:M129,1),ColLivraison)=N$6,
  VLOOKUP($E129,INDIRECT("tri!"&amp; CHAR(64+ C0Col) &amp;":"&amp; CHAR(65+C0Col)),2,FALSE)&gt;COUNTIF($E129:M129,"u")+COUNTIF($E129:M129,"t")+COUNTIF($E129:M129,"¶")+COUNTIF($E129:M129,"²")+COUNTIF($E129:M129,"µ")+COUNTIF($E129:M129,1)),
HYPERLINK("#Roadmap!C"&amp; MATCH($E129,Roadmap!$D:$D,0)+COUNTIF($E129:M129,"u")+COUNTIF($E129:M129,"t"),
     INDEX(Roadmap!$D:$K,MATCH($E129,Roadmap!$D:$D,0)+COUNTIF($E129:M129,"u")+COUNTIF($E129:M129,"t")+COUNTIF($E129:M129,"¶")+COUNTIF($E129:M129,"²")+COUNTIF($E129:M129,"µ")+COUNTIF($E129:M129,1),ColTypeEcheance)),
  IF(LEN(M129)=1,
  IF(LEN(INDEX(Roadmap!$D:$K,MATCH($E129,Roadmap!$D:$D,0)-1+COUNTIF($E129:M129,"u")+COUNTIF($E129:M129,"t")+COUNTIF($E129:M129,"¶")+COUNTIF($E129:M129,"²")+COUNTIF($E129:M129,"µ")+COUNTIF($E129:M129,1),ColDescriptionCourte))&gt;1,
HYPERLINK("#Roadmap!C"&amp; MATCH($E129,Roadmap!$D:$D,0)+COUNTIF($E129:M129,"u")+COUNTIF($E129:M129,"t")+COUNTIF($E129:M129,"¶")+COUNTIF($E129:M129,"²")+COUNTIF($E129:M129,"µ")+COUNTIF($E129:M129,1)-1,INDEX(Roadmap!$D:$K,MATCH($E129,Roadmap!$D:$D,0)-1+COUNTIF($E129:M129,"u")+COUNTIF($E129:M129,"t")+COUNTIF($E129:M129,"¶")+COUNTIF($E129:M129,"²")+COUNTIF($E129:M129,"µ")+COUNTIF($E129:M129,1),ColDescriptionCourte)),""),
  "")),"")</f>
        <v/>
      </c>
      <c r="O129" s="40" t="str">
        <f ca="1">IFERROR(IF(AND(
  INDEX(Roadmap!$D:$K,MATCH($E129,Roadmap!$D:$D,0)+COUNTIF($E129:N129,"u")+COUNTIF($E129:N129,"t")+COUNTIF($E129:N129,"¶")+COUNTIF($E129:N129,"²")+COUNTIF($E129:N129,"µ")+COUNTIF($E129:N129,1),ColLivraison)=O$6,
  VLOOKUP($E129,INDIRECT("tri!"&amp; CHAR(64+ C0Col) &amp;":"&amp; CHAR(65+C0Col)),2,FALSE)&gt;COUNTIF($E129:N129,"u")+COUNTIF($E129:N129,"t")+COUNTIF($E129:N129,"¶")+COUNTIF($E129:N129,"²")+COUNTIF($E129:N129,"µ")+COUNTIF($E129:N129,1)),
HYPERLINK("#Roadmap!C"&amp; MATCH($E129,Roadmap!$D:$D,0)+COUNTIF($E129:N129,"u")+COUNTIF($E129:N129,"t"),
     INDEX(Roadmap!$D:$K,MATCH($E129,Roadmap!$D:$D,0)+COUNTIF($E129:N129,"u")+COUNTIF($E129:N129,"t")+COUNTIF($E129:N129,"¶")+COUNTIF($E129:N129,"²")+COUNTIF($E129:N129,"µ")+COUNTIF($E129:N129,1),ColTypeEcheance)),
  IF(LEN(N129)=1,
  IF(LEN(INDEX(Roadmap!$D:$K,MATCH($E129,Roadmap!$D:$D,0)-1+COUNTIF($E129:N129,"u")+COUNTIF($E129:N129,"t")+COUNTIF($E129:N129,"¶")+COUNTIF($E129:N129,"²")+COUNTIF($E129:N129,"µ")+COUNTIF($E129:N129,1),ColDescriptionCourte))&gt;1,
HYPERLINK("#Roadmap!C"&amp; MATCH($E129,Roadmap!$D:$D,0)+COUNTIF($E129:N129,"u")+COUNTIF($E129:N129,"t")+COUNTIF($E129:N129,"¶")+COUNTIF($E129:N129,"²")+COUNTIF($E129:N129,"µ")+COUNTIF($E129:N129,1)-1,INDEX(Roadmap!$D:$K,MATCH($E129,Roadmap!$D:$D,0)-1+COUNTIF($E129:N129,"u")+COUNTIF($E129:N129,"t")+COUNTIF($E129:N129,"¶")+COUNTIF($E129:N129,"²")+COUNTIF($E129:N129,"µ")+COUNTIF($E129:N129,1),ColDescriptionCourte)),""),
  "")),"")</f>
        <v/>
      </c>
      <c r="P129" s="40" t="str">
        <f ca="1">IFERROR(IF(AND(
  INDEX(Roadmap!$D:$K,MATCH($E129,Roadmap!$D:$D,0)+COUNTIF($E129:O129,"u")+COUNTIF($E129:O129,"t")+COUNTIF($E129:O129,"¶")+COUNTIF($E129:O129,"²")+COUNTIF($E129:O129,"µ")+COUNTIF($E129:O129,1),ColLivraison)=P$6,
  VLOOKUP($E129,INDIRECT("tri!"&amp; CHAR(64+ C0Col) &amp;":"&amp; CHAR(65+C0Col)),2,FALSE)&gt;COUNTIF($E129:O129,"u")+COUNTIF($E129:O129,"t")+COUNTIF($E129:O129,"¶")+COUNTIF($E129:O129,"²")+COUNTIF($E129:O129,"µ")+COUNTIF($E129:O129,1)),
HYPERLINK("#Roadmap!C"&amp; MATCH($E129,Roadmap!$D:$D,0)+COUNTIF($E129:O129,"u")+COUNTIF($E129:O129,"t"),
     INDEX(Roadmap!$D:$K,MATCH($E129,Roadmap!$D:$D,0)+COUNTIF($E129:O129,"u")+COUNTIF($E129:O129,"t")+COUNTIF($E129:O129,"¶")+COUNTIF($E129:O129,"²")+COUNTIF($E129:O129,"µ")+COUNTIF($E129:O129,1),ColTypeEcheance)),
  IF(LEN(O129)=1,
  IF(LEN(INDEX(Roadmap!$D:$K,MATCH($E129,Roadmap!$D:$D,0)-1+COUNTIF($E129:O129,"u")+COUNTIF($E129:O129,"t")+COUNTIF($E129:O129,"¶")+COUNTIF($E129:O129,"²")+COUNTIF($E129:O129,"µ")+COUNTIF($E129:O129,1),ColDescriptionCourte))&gt;1,
HYPERLINK("#Roadmap!C"&amp; MATCH($E129,Roadmap!$D:$D,0)+COUNTIF($E129:O129,"u")+COUNTIF($E129:O129,"t")+COUNTIF($E129:O129,"¶")+COUNTIF($E129:O129,"²")+COUNTIF($E129:O129,"µ")+COUNTIF($E129:O129,1)-1,INDEX(Roadmap!$D:$K,MATCH($E129,Roadmap!$D:$D,0)-1+COUNTIF($E129:O129,"u")+COUNTIF($E129:O129,"t")+COUNTIF($E129:O129,"¶")+COUNTIF($E129:O129,"²")+COUNTIF($E129:O129,"µ")+COUNTIF($E129:O129,1),ColDescriptionCourte)),""),
  "")),"")</f>
        <v/>
      </c>
      <c r="Q129" s="40" t="str">
        <f ca="1">IFERROR(IF(AND(
  INDEX(Roadmap!$D:$K,MATCH($E129,Roadmap!$D:$D,0)+COUNTIF($E129:P129,"u")+COUNTIF($E129:P129,"t")+COUNTIF($E129:P129,"¶")+COUNTIF($E129:P129,"²")+COUNTIF($E129:P129,"µ")+COUNTIF($E129:P129,1),ColLivraison)=Q$6,
  VLOOKUP($E129,INDIRECT("tri!"&amp; CHAR(64+ C0Col) &amp;":"&amp; CHAR(65+C0Col)),2,FALSE)&gt;COUNTIF($E129:P129,"u")+COUNTIF($E129:P129,"t")+COUNTIF($E129:P129,"¶")+COUNTIF($E129:P129,"²")+COUNTIF($E129:P129,"µ")+COUNTIF($E129:P129,1)),
HYPERLINK("#Roadmap!C"&amp; MATCH($E129,Roadmap!$D:$D,0)+COUNTIF($E129:P129,"u")+COUNTIF($E129:P129,"t"),
     INDEX(Roadmap!$D:$K,MATCH($E129,Roadmap!$D:$D,0)+COUNTIF($E129:P129,"u")+COUNTIF($E129:P129,"t")+COUNTIF($E129:P129,"¶")+COUNTIF($E129:P129,"²")+COUNTIF($E129:P129,"µ")+COUNTIF($E129:P129,1),ColTypeEcheance)),
  IF(LEN(P129)=1,
  IF(LEN(INDEX(Roadmap!$D:$K,MATCH($E129,Roadmap!$D:$D,0)-1+COUNTIF($E129:P129,"u")+COUNTIF($E129:P129,"t")+COUNTIF($E129:P129,"¶")+COUNTIF($E129:P129,"²")+COUNTIF($E129:P129,"µ")+COUNTIF($E129:P129,1),ColDescriptionCourte))&gt;1,
HYPERLINK("#Roadmap!C"&amp; MATCH($E129,Roadmap!$D:$D,0)+COUNTIF($E129:P129,"u")+COUNTIF($E129:P129,"t")+COUNTIF($E129:P129,"¶")+COUNTIF($E129:P129,"²")+COUNTIF($E129:P129,"µ")+COUNTIF($E129:P129,1)-1,INDEX(Roadmap!$D:$K,MATCH($E129,Roadmap!$D:$D,0)-1+COUNTIF($E129:P129,"u")+COUNTIF($E129:P129,"t")+COUNTIF($E129:P129,"¶")+COUNTIF($E129:P129,"²")+COUNTIF($E129:P129,"µ")+COUNTIF($E129:P129,1),ColDescriptionCourte)),""),
  "")),"")</f>
        <v/>
      </c>
      <c r="R129" s="40" t="str">
        <f ca="1">IFERROR(IF(AND(
  INDEX(Roadmap!$D:$K,MATCH($E129,Roadmap!$D:$D,0)+COUNTIF($E129:Q129,"u")+COUNTIF($E129:Q129,"t")+COUNTIF($E129:Q129,"¶")+COUNTIF($E129:Q129,"²")+COUNTIF($E129:Q129,"µ")+COUNTIF($E129:Q129,1),ColLivraison)=R$6,
  VLOOKUP($E129,INDIRECT("tri!"&amp; CHAR(64+ C0Col) &amp;":"&amp; CHAR(65+C0Col)),2,FALSE)&gt;COUNTIF($E129:Q129,"u")+COUNTIF($E129:Q129,"t")+COUNTIF($E129:Q129,"¶")+COUNTIF($E129:Q129,"²")+COUNTIF($E129:Q129,"µ")+COUNTIF($E129:Q129,1)),
HYPERLINK("#Roadmap!C"&amp; MATCH($E129,Roadmap!$D:$D,0)+COUNTIF($E129:Q129,"u")+COUNTIF($E129:Q129,"t"),
     INDEX(Roadmap!$D:$K,MATCH($E129,Roadmap!$D:$D,0)+COUNTIF($E129:Q129,"u")+COUNTIF($E129:Q129,"t")+COUNTIF($E129:Q129,"¶")+COUNTIF($E129:Q129,"²")+COUNTIF($E129:Q129,"µ")+COUNTIF($E129:Q129,1),ColTypeEcheance)),
  IF(LEN(Q129)=1,
  IF(LEN(INDEX(Roadmap!$D:$K,MATCH($E129,Roadmap!$D:$D,0)-1+COUNTIF($E129:Q129,"u")+COUNTIF($E129:Q129,"t")+COUNTIF($E129:Q129,"¶")+COUNTIF($E129:Q129,"²")+COUNTIF($E129:Q129,"µ")+COUNTIF($E129:Q129,1),ColDescriptionCourte))&gt;1,
HYPERLINK("#Roadmap!C"&amp; MATCH($E129,Roadmap!$D:$D,0)+COUNTIF($E129:Q129,"u")+COUNTIF($E129:Q129,"t")+COUNTIF($E129:Q129,"¶")+COUNTIF($E129:Q129,"²")+COUNTIF($E129:Q129,"µ")+COUNTIF($E129:Q129,1)-1,INDEX(Roadmap!$D:$K,MATCH($E129,Roadmap!$D:$D,0)-1+COUNTIF($E129:Q129,"u")+COUNTIF($E129:Q129,"t")+COUNTIF($E129:Q129,"¶")+COUNTIF($E129:Q129,"²")+COUNTIF($E129:Q129,"µ")+COUNTIF($E129:Q129,1),ColDescriptionCourte)),""),
  "")),"")</f>
        <v/>
      </c>
      <c r="S129" s="40" t="str">
        <f ca="1">IFERROR(IF(AND(
  INDEX(Roadmap!$D:$K,MATCH($E129,Roadmap!$D:$D,0)+COUNTIF($E129:R129,"u")+COUNTIF($E129:R129,"t")+COUNTIF($E129:R129,"¶")+COUNTIF($E129:R129,"²")+COUNTIF($E129:R129,"µ")+COUNTIF($E129:R129,1),ColLivraison)=S$6,
  VLOOKUP($E129,INDIRECT("tri!"&amp; CHAR(64+ C0Col) &amp;":"&amp; CHAR(65+C0Col)),2,FALSE)&gt;COUNTIF($E129:R129,"u")+COUNTIF($E129:R129,"t")+COUNTIF($E129:R129,"¶")+COUNTIF($E129:R129,"²")+COUNTIF($E129:R129,"µ")+COUNTIF($E129:R129,1)),
HYPERLINK("#Roadmap!C"&amp; MATCH($E129,Roadmap!$D:$D,0)+COUNTIF($E129:R129,"u")+COUNTIF($E129:R129,"t"),
     INDEX(Roadmap!$D:$K,MATCH($E129,Roadmap!$D:$D,0)+COUNTIF($E129:R129,"u")+COUNTIF($E129:R129,"t")+COUNTIF($E129:R129,"¶")+COUNTIF($E129:R129,"²")+COUNTIF($E129:R129,"µ")+COUNTIF($E129:R129,1),ColTypeEcheance)),
  IF(LEN(R129)=1,
  IF(LEN(INDEX(Roadmap!$D:$K,MATCH($E129,Roadmap!$D:$D,0)-1+COUNTIF($E129:R129,"u")+COUNTIF($E129:R129,"t")+COUNTIF($E129:R129,"¶")+COUNTIF($E129:R129,"²")+COUNTIF($E129:R129,"µ")+COUNTIF($E129:R129,1),ColDescriptionCourte))&gt;1,
HYPERLINK("#Roadmap!C"&amp; MATCH($E129,Roadmap!$D:$D,0)+COUNTIF($E129:R129,"u")+COUNTIF($E129:R129,"t")+COUNTIF($E129:R129,"¶")+COUNTIF($E129:R129,"²")+COUNTIF($E129:R129,"µ")+COUNTIF($E129:R129,1)-1,INDEX(Roadmap!$D:$K,MATCH($E129,Roadmap!$D:$D,0)-1+COUNTIF($E129:R129,"u")+COUNTIF($E129:R129,"t")+COUNTIF($E129:R129,"¶")+COUNTIF($E129:R129,"²")+COUNTIF($E129:R129,"µ")+COUNTIF($E129:R129,1),ColDescriptionCourte)),""),
  "")),"")</f>
        <v/>
      </c>
      <c r="T129" s="40" t="str">
        <f ca="1">IFERROR(IF(AND(
  INDEX(Roadmap!$D:$K,MATCH($E129,Roadmap!$D:$D,0)+COUNTIF($E129:S129,"u")+COUNTIF($E129:S129,"t")+COUNTIF($E129:S129,"¶")+COUNTIF($E129:S129,"²")+COUNTIF($E129:S129,"µ")+COUNTIF($E129:S129,1),ColLivraison)=T$6,
  VLOOKUP($E129,INDIRECT("tri!"&amp; CHAR(64+ C0Col) &amp;":"&amp; CHAR(65+C0Col)),2,FALSE)&gt;COUNTIF($E129:S129,"u")+COUNTIF($E129:S129,"t")+COUNTIF($E129:S129,"¶")+COUNTIF($E129:S129,"²")+COUNTIF($E129:S129,"µ")+COUNTIF($E129:S129,1)),
HYPERLINK("#Roadmap!C"&amp; MATCH($E129,Roadmap!$D:$D,0)+COUNTIF($E129:S129,"u")+COUNTIF($E129:S129,"t"),
     INDEX(Roadmap!$D:$K,MATCH($E129,Roadmap!$D:$D,0)+COUNTIF($E129:S129,"u")+COUNTIF($E129:S129,"t")+COUNTIF($E129:S129,"¶")+COUNTIF($E129:S129,"²")+COUNTIF($E129:S129,"µ")+COUNTIF($E129:S129,1),ColTypeEcheance)),
  IF(LEN(S129)=1,
  IF(LEN(INDEX(Roadmap!$D:$K,MATCH($E129,Roadmap!$D:$D,0)-1+COUNTIF($E129:S129,"u")+COUNTIF($E129:S129,"t")+COUNTIF($E129:S129,"¶")+COUNTIF($E129:S129,"²")+COUNTIF($E129:S129,"µ")+COUNTIF($E129:S129,1),ColDescriptionCourte))&gt;1,
HYPERLINK("#Roadmap!C"&amp; MATCH($E129,Roadmap!$D:$D,0)+COUNTIF($E129:S129,"u")+COUNTIF($E129:S129,"t")+COUNTIF($E129:S129,"¶")+COUNTIF($E129:S129,"²")+COUNTIF($E129:S129,"µ")+COUNTIF($E129:S129,1)-1,INDEX(Roadmap!$D:$K,MATCH($E129,Roadmap!$D:$D,0)-1+COUNTIF($E129:S129,"u")+COUNTIF($E129:S129,"t")+COUNTIF($E129:S129,"¶")+COUNTIF($E129:S129,"²")+COUNTIF($E129:S129,"µ")+COUNTIF($E129:S129,1),ColDescriptionCourte)),""),
  "")),"")</f>
        <v/>
      </c>
      <c r="U129" s="40" t="str">
        <f ca="1">IFERROR(IF(AND(
  INDEX(Roadmap!$D:$K,MATCH($E129,Roadmap!$D:$D,0)+COUNTIF($E129:T129,"u")+COUNTIF($E129:T129,"t")+COUNTIF($E129:T129,"¶")+COUNTIF($E129:T129,"²")+COUNTIF($E129:T129,"µ")+COUNTIF($E129:T129,1),ColLivraison)=U$6,
  VLOOKUP($E129,INDIRECT("tri!"&amp; CHAR(64+ C0Col) &amp;":"&amp; CHAR(65+C0Col)),2,FALSE)&gt;COUNTIF($E129:T129,"u")+COUNTIF($E129:T129,"t")+COUNTIF($E129:T129,"¶")+COUNTIF($E129:T129,"²")+COUNTIF($E129:T129,"µ")+COUNTIF($E129:T129,1)),
HYPERLINK("#Roadmap!C"&amp; MATCH($E129,Roadmap!$D:$D,0)+COUNTIF($E129:T129,"u")+COUNTIF($E129:T129,"t"),
     INDEX(Roadmap!$D:$K,MATCH($E129,Roadmap!$D:$D,0)+COUNTIF($E129:T129,"u")+COUNTIF($E129:T129,"t")+COUNTIF($E129:T129,"¶")+COUNTIF($E129:T129,"²")+COUNTIF($E129:T129,"µ")+COUNTIF($E129:T129,1),ColTypeEcheance)),
  IF(LEN(T129)=1,
  IF(LEN(INDEX(Roadmap!$D:$K,MATCH($E129,Roadmap!$D:$D,0)-1+COUNTIF($E129:T129,"u")+COUNTIF($E129:T129,"t")+COUNTIF($E129:T129,"¶")+COUNTIF($E129:T129,"²")+COUNTIF($E129:T129,"µ")+COUNTIF($E129:T129,1),ColDescriptionCourte))&gt;1,
HYPERLINK("#Roadmap!C"&amp; MATCH($E129,Roadmap!$D:$D,0)+COUNTIF($E129:T129,"u")+COUNTIF($E129:T129,"t")+COUNTIF($E129:T129,"¶")+COUNTIF($E129:T129,"²")+COUNTIF($E129:T129,"µ")+COUNTIF($E129:T129,1)-1,INDEX(Roadmap!$D:$K,MATCH($E129,Roadmap!$D:$D,0)-1+COUNTIF($E129:T129,"u")+COUNTIF($E129:T129,"t")+COUNTIF($E129:T129,"¶")+COUNTIF($E129:T129,"²")+COUNTIF($E129:T129,"µ")+COUNTIF($E129:T129,1),ColDescriptionCourte)),""),
  "")),"")</f>
        <v/>
      </c>
      <c r="V129" s="40" t="str">
        <f ca="1">IFERROR(IF(AND(
  INDEX(Roadmap!$D:$K,MATCH($E129,Roadmap!$D:$D,0)+COUNTIF($E129:U129,"u")+COUNTIF($E129:U129,"t")+COUNTIF($E129:U129,"¶")+COUNTIF($E129:U129,"²")+COUNTIF($E129:U129,"µ")+COUNTIF($E129:U129,1),ColLivraison)=V$6,
  VLOOKUP($E129,INDIRECT("tri!"&amp; CHAR(64+ C0Col) &amp;":"&amp; CHAR(65+C0Col)),2,FALSE)&gt;COUNTIF($E129:U129,"u")+COUNTIF($E129:U129,"t")+COUNTIF($E129:U129,"¶")+COUNTIF($E129:U129,"²")+COUNTIF($E129:U129,"µ")+COUNTIF($E129:U129,1)),
HYPERLINK("#Roadmap!C"&amp; MATCH($E129,Roadmap!$D:$D,0)+COUNTIF($E129:U129,"u")+COUNTIF($E129:U129,"t"),
     INDEX(Roadmap!$D:$K,MATCH($E129,Roadmap!$D:$D,0)+COUNTIF($E129:U129,"u")+COUNTIF($E129:U129,"t")+COUNTIF($E129:U129,"¶")+COUNTIF($E129:U129,"²")+COUNTIF($E129:U129,"µ")+COUNTIF($E129:U129,1),ColTypeEcheance)),
  IF(LEN(U129)=1,
  IF(LEN(INDEX(Roadmap!$D:$K,MATCH($E129,Roadmap!$D:$D,0)-1+COUNTIF($E129:U129,"u")+COUNTIF($E129:U129,"t")+COUNTIF($E129:U129,"¶")+COUNTIF($E129:U129,"²")+COUNTIF($E129:U129,"µ")+COUNTIF($E129:U129,1),ColDescriptionCourte))&gt;1,
HYPERLINK("#Roadmap!C"&amp; MATCH($E129,Roadmap!$D:$D,0)+COUNTIF($E129:U129,"u")+COUNTIF($E129:U129,"t")+COUNTIF($E129:U129,"¶")+COUNTIF($E129:U129,"²")+COUNTIF($E129:U129,"µ")+COUNTIF($E129:U129,1)-1,INDEX(Roadmap!$D:$K,MATCH($E129,Roadmap!$D:$D,0)-1+COUNTIF($E129:U129,"u")+COUNTIF($E129:U129,"t")+COUNTIF($E129:U129,"¶")+COUNTIF($E129:U129,"²")+COUNTIF($E129:U129,"µ")+COUNTIF($E129:U129,1),ColDescriptionCourte)),""),
  "")),"")</f>
        <v/>
      </c>
      <c r="W129" s="40" t="str">
        <f ca="1">IFERROR(IF(AND(
  INDEX(Roadmap!$D:$K,MATCH($E129,Roadmap!$D:$D,0)+COUNTIF($E129:V129,"u")+COUNTIF($E129:V129,"t")+COUNTIF($E129:V129,"¶")+COUNTIF($E129:V129,"²")+COUNTIF($E129:V129,"µ")+COUNTIF($E129:V129,1),ColLivraison)=W$6,
  VLOOKUP($E129,INDIRECT("tri!"&amp; CHAR(64+ C0Col) &amp;":"&amp; CHAR(65+C0Col)),2,FALSE)&gt;COUNTIF($E129:V129,"u")+COUNTIF($E129:V129,"t")+COUNTIF($E129:V129,"¶")+COUNTIF($E129:V129,"²")+COUNTIF($E129:V129,"µ")+COUNTIF($E129:V129,1)),
HYPERLINK("#Roadmap!C"&amp; MATCH($E129,Roadmap!$D:$D,0)+COUNTIF($E129:V129,"u")+COUNTIF($E129:V129,"t"),
     INDEX(Roadmap!$D:$K,MATCH($E129,Roadmap!$D:$D,0)+COUNTIF($E129:V129,"u")+COUNTIF($E129:V129,"t")+COUNTIF($E129:V129,"¶")+COUNTIF($E129:V129,"²")+COUNTIF($E129:V129,"µ")+COUNTIF($E129:V129,1),ColTypeEcheance)),
  IF(LEN(V129)=1,
  IF(LEN(INDEX(Roadmap!$D:$K,MATCH($E129,Roadmap!$D:$D,0)-1+COUNTIF($E129:V129,"u")+COUNTIF($E129:V129,"t")+COUNTIF($E129:V129,"¶")+COUNTIF($E129:V129,"²")+COUNTIF($E129:V129,"µ")+COUNTIF($E129:V129,1),ColDescriptionCourte))&gt;1,
HYPERLINK("#Roadmap!C"&amp; MATCH($E129,Roadmap!$D:$D,0)+COUNTIF($E129:V129,"u")+COUNTIF($E129:V129,"t")+COUNTIF($E129:V129,"¶")+COUNTIF($E129:V129,"²")+COUNTIF($E129:V129,"µ")+COUNTIF($E129:V129,1)-1,INDEX(Roadmap!$D:$K,MATCH($E129,Roadmap!$D:$D,0)-1+COUNTIF($E129:V129,"u")+COUNTIF($E129:V129,"t")+COUNTIF($E129:V129,"¶")+COUNTIF($E129:V129,"²")+COUNTIF($E129:V129,"µ")+COUNTIF($E129:V129,1),ColDescriptionCourte)),""),
  "")),"")</f>
        <v/>
      </c>
      <c r="X129" s="40" t="str">
        <f ca="1">IFERROR(IF(AND(
  INDEX(Roadmap!$D:$K,MATCH($E129,Roadmap!$D:$D,0)+COUNTIF($E129:W129,"u")+COUNTIF($E129:W129,"t")+COUNTIF($E129:W129,"¶")+COUNTIF($E129:W129,"²")+COUNTIF($E129:W129,"µ")+COUNTIF($E129:W129,1),ColLivraison)=X$6,
  VLOOKUP($E129,INDIRECT("tri!"&amp; CHAR(64+ C0Col) &amp;":"&amp; CHAR(65+C0Col)),2,FALSE)&gt;COUNTIF($E129:W129,"u")+COUNTIF($E129:W129,"t")+COUNTIF($E129:W129,"¶")+COUNTIF($E129:W129,"²")+COUNTIF($E129:W129,"µ")+COUNTIF($E129:W129,1)),
HYPERLINK("#Roadmap!C"&amp; MATCH($E129,Roadmap!$D:$D,0)+COUNTIF($E129:W129,"u")+COUNTIF($E129:W129,"t"),
     INDEX(Roadmap!$D:$K,MATCH($E129,Roadmap!$D:$D,0)+COUNTIF($E129:W129,"u")+COUNTIF($E129:W129,"t")+COUNTIF($E129:W129,"¶")+COUNTIF($E129:W129,"²")+COUNTIF($E129:W129,"µ")+COUNTIF($E129:W129,1),ColTypeEcheance)),
  IF(LEN(W129)=1,
  IF(LEN(INDEX(Roadmap!$D:$K,MATCH($E129,Roadmap!$D:$D,0)-1+COUNTIF($E129:W129,"u")+COUNTIF($E129:W129,"t")+COUNTIF($E129:W129,"¶")+COUNTIF($E129:W129,"²")+COUNTIF($E129:W129,"µ")+COUNTIF($E129:W129,1),ColDescriptionCourte))&gt;1,
HYPERLINK("#Roadmap!C"&amp; MATCH($E129,Roadmap!$D:$D,0)+COUNTIF($E129:W129,"u")+COUNTIF($E129:W129,"t")+COUNTIF($E129:W129,"¶")+COUNTIF($E129:W129,"²")+COUNTIF($E129:W129,"µ")+COUNTIF($E129:W129,1)-1,INDEX(Roadmap!$D:$K,MATCH($E129,Roadmap!$D:$D,0)-1+COUNTIF($E129:W129,"u")+COUNTIF($E129:W129,"t")+COUNTIF($E129:W129,"¶")+COUNTIF($E129:W129,"²")+COUNTIF($E129:W129,"µ")+COUNTIF($E129:W129,1),ColDescriptionCourte)),""),
  "")),"")</f>
        <v/>
      </c>
      <c r="Y129" s="40" t="str">
        <f ca="1">IFERROR(IF(AND(
  INDEX(Roadmap!$D:$K,MATCH($E129,Roadmap!$D:$D,0)+COUNTIF($E129:X129,"u")+COUNTIF($E129:X129,"t")+COUNTIF($E129:X129,"¶")+COUNTIF($E129:X129,"²")+COUNTIF($E129:X129,"µ")+COUNTIF($E129:X129,1),ColLivraison)=Y$6,
  VLOOKUP($E129,INDIRECT("tri!"&amp; CHAR(64+ C0Col) &amp;":"&amp; CHAR(65+C0Col)),2,FALSE)&gt;COUNTIF($E129:X129,"u")+COUNTIF($E129:X129,"t")+COUNTIF($E129:X129,"¶")+COUNTIF($E129:X129,"²")+COUNTIF($E129:X129,"µ")+COUNTIF($E129:X129,1)),
HYPERLINK("#Roadmap!C"&amp; MATCH($E129,Roadmap!$D:$D,0)+COUNTIF($E129:X129,"u")+COUNTIF($E129:X129,"t"),
     INDEX(Roadmap!$D:$K,MATCH($E129,Roadmap!$D:$D,0)+COUNTIF($E129:X129,"u")+COUNTIF($E129:X129,"t")+COUNTIF($E129:X129,"¶")+COUNTIF($E129:X129,"²")+COUNTIF($E129:X129,"µ")+COUNTIF($E129:X129,1),ColTypeEcheance)),
  IF(LEN(X129)=1,
  IF(LEN(INDEX(Roadmap!$D:$K,MATCH($E129,Roadmap!$D:$D,0)-1+COUNTIF($E129:X129,"u")+COUNTIF($E129:X129,"t")+COUNTIF($E129:X129,"¶")+COUNTIF($E129:X129,"²")+COUNTIF($E129:X129,"µ")+COUNTIF($E129:X129,1),ColDescriptionCourte))&gt;1,
HYPERLINK("#Roadmap!C"&amp; MATCH($E129,Roadmap!$D:$D,0)+COUNTIF($E129:X129,"u")+COUNTIF($E129:X129,"t")+COUNTIF($E129:X129,"¶")+COUNTIF($E129:X129,"²")+COUNTIF($E129:X129,"µ")+COUNTIF($E129:X129,1)-1,INDEX(Roadmap!$D:$K,MATCH($E129,Roadmap!$D:$D,0)-1+COUNTIF($E129:X129,"u")+COUNTIF($E129:X129,"t")+COUNTIF($E129:X129,"¶")+COUNTIF($E129:X129,"²")+COUNTIF($E129:X129,"µ")+COUNTIF($E129:X129,1),ColDescriptionCourte)),""),
  "")),"")</f>
        <v/>
      </c>
      <c r="Z129" s="40" t="str">
        <f ca="1">IFERROR(IF(AND(
  INDEX(Roadmap!$D:$K,MATCH($E129,Roadmap!$D:$D,0)+COUNTIF($E129:Y129,"u")+COUNTIF($E129:Y129,"t")+COUNTIF($E129:Y129,"¶")+COUNTIF($E129:Y129,"²")+COUNTIF($E129:Y129,"µ")+COUNTIF($E129:Y129,1),ColLivraison)=Z$6,
  VLOOKUP($E129,INDIRECT("tri!"&amp; CHAR(64+ C0Col) &amp;":"&amp; CHAR(65+C0Col)),2,FALSE)&gt;COUNTIF($E129:Y129,"u")+COUNTIF($E129:Y129,"t")+COUNTIF($E129:Y129,"¶")+COUNTIF($E129:Y129,"²")+COUNTIF($E129:Y129,"µ")+COUNTIF($E129:Y129,1)),
HYPERLINK("#Roadmap!C"&amp; MATCH($E129,Roadmap!$D:$D,0)+COUNTIF($E129:Y129,"u")+COUNTIF($E129:Y129,"t"),
     INDEX(Roadmap!$D:$K,MATCH($E129,Roadmap!$D:$D,0)+COUNTIF($E129:Y129,"u")+COUNTIF($E129:Y129,"t")+COUNTIF($E129:Y129,"¶")+COUNTIF($E129:Y129,"²")+COUNTIF($E129:Y129,"µ")+COUNTIF($E129:Y129,1),ColTypeEcheance)),
  IF(LEN(Y129)=1,
  IF(LEN(INDEX(Roadmap!$D:$K,MATCH($E129,Roadmap!$D:$D,0)-1+COUNTIF($E129:Y129,"u")+COUNTIF($E129:Y129,"t")+COUNTIF($E129:Y129,"¶")+COUNTIF($E129:Y129,"²")+COUNTIF($E129:Y129,"µ")+COUNTIF($E129:Y129,1),ColDescriptionCourte))&gt;1,
HYPERLINK("#Roadmap!C"&amp; MATCH($E129,Roadmap!$D:$D,0)+COUNTIF($E129:Y129,"u")+COUNTIF($E129:Y129,"t")+COUNTIF($E129:Y129,"¶")+COUNTIF($E129:Y129,"²")+COUNTIF($E129:Y129,"µ")+COUNTIF($E129:Y129,1)-1,INDEX(Roadmap!$D:$K,MATCH($E129,Roadmap!$D:$D,0)-1+COUNTIF($E129:Y129,"u")+COUNTIF($E129:Y129,"t")+COUNTIF($E129:Y129,"¶")+COUNTIF($E129:Y129,"²")+COUNTIF($E129:Y129,"µ")+COUNTIF($E129:Y129,1),ColDescriptionCourte)),""),
  "")),"")</f>
        <v/>
      </c>
      <c r="AA129" s="40" t="str">
        <f ca="1">IFERROR(IF(AND(
  INDEX(Roadmap!$D:$K,MATCH($E129,Roadmap!$D:$D,0)+COUNTIF($E129:Z129,"u")+COUNTIF($E129:Z129,"t")+COUNTIF($E129:Z129,"¶")+COUNTIF($E129:Z129,"²")+COUNTIF($E129:Z129,"µ")+COUNTIF($E129:Z129,1),ColLivraison)=AA$6,
  VLOOKUP($E129,INDIRECT("tri!"&amp; CHAR(64+ C0Col) &amp;":"&amp; CHAR(65+C0Col)),2,FALSE)&gt;COUNTIF($E129:Z129,"u")+COUNTIF($E129:Z129,"t")+COUNTIF($E129:Z129,"¶")+COUNTIF($E129:Z129,"²")+COUNTIF($E129:Z129,"µ")+COUNTIF($E129:Z129,1)),
HYPERLINK("#Roadmap!C"&amp; MATCH($E129,Roadmap!$D:$D,0)+COUNTIF($E129:Z129,"u")+COUNTIF($E129:Z129,"t"),
     INDEX(Roadmap!$D:$K,MATCH($E129,Roadmap!$D:$D,0)+COUNTIF($E129:Z129,"u")+COUNTIF($E129:Z129,"t")+COUNTIF($E129:Z129,"¶")+COUNTIF($E129:Z129,"²")+COUNTIF($E129:Z129,"µ")+COUNTIF($E129:Z129,1),ColTypeEcheance)),
  IF(LEN(Z129)=1,
  IF(LEN(INDEX(Roadmap!$D:$K,MATCH($E129,Roadmap!$D:$D,0)-1+COUNTIF($E129:Z129,"u")+COUNTIF($E129:Z129,"t")+COUNTIF($E129:Z129,"¶")+COUNTIF($E129:Z129,"²")+COUNTIF($E129:Z129,"µ")+COUNTIF($E129:Z129,1),ColDescriptionCourte))&gt;1,
HYPERLINK("#Roadmap!C"&amp; MATCH($E129,Roadmap!$D:$D,0)+COUNTIF($E129:Z129,"u")+COUNTIF($E129:Z129,"t")+COUNTIF($E129:Z129,"¶")+COUNTIF($E129:Z129,"²")+COUNTIF($E129:Z129,"µ")+COUNTIF($E129:Z129,1)-1,INDEX(Roadmap!$D:$K,MATCH($E129,Roadmap!$D:$D,0)-1+COUNTIF($E129:Z129,"u")+COUNTIF($E129:Z129,"t")+COUNTIF($E129:Z129,"¶")+COUNTIF($E129:Z129,"²")+COUNTIF($E129:Z129,"µ")+COUNTIF($E129:Z129,1),ColDescriptionCourte)),""),
  "")),"")</f>
        <v/>
      </c>
      <c r="AB129" s="40" t="str">
        <f ca="1">IFERROR(IF(AND(
  INDEX(Roadmap!$D:$K,MATCH($E129,Roadmap!$D:$D,0)+COUNTIF($E129:AA129,"u")+COUNTIF($E129:AA129,"t")+COUNTIF($E129:AA129,"¶")+COUNTIF($E129:AA129,"²")+COUNTIF($E129:AA129,"µ")+COUNTIF($E129:AA129,1),ColLivraison)=AB$6,
  VLOOKUP($E129,INDIRECT("tri!"&amp; CHAR(64+ C0Col) &amp;":"&amp; CHAR(65+C0Col)),2,FALSE)&gt;COUNTIF($E129:AA129,"u")+COUNTIF($E129:AA129,"t")+COUNTIF($E129:AA129,"¶")+COUNTIF($E129:AA129,"²")+COUNTIF($E129:AA129,"µ")+COUNTIF($E129:AA129,1)),
HYPERLINK("#Roadmap!C"&amp; MATCH($E129,Roadmap!$D:$D,0)+COUNTIF($E129:AA129,"u")+COUNTIF($E129:AA129,"t"),
     INDEX(Roadmap!$D:$K,MATCH($E129,Roadmap!$D:$D,0)+COUNTIF($E129:AA129,"u")+COUNTIF($E129:AA129,"t")+COUNTIF($E129:AA129,"¶")+COUNTIF($E129:AA129,"²")+COUNTIF($E129:AA129,"µ")+COUNTIF($E129:AA129,1),ColTypeEcheance)),
  IF(LEN(AA129)=1,
  IF(LEN(INDEX(Roadmap!$D:$K,MATCH($E129,Roadmap!$D:$D,0)-1+COUNTIF($E129:AA129,"u")+COUNTIF($E129:AA129,"t")+COUNTIF($E129:AA129,"¶")+COUNTIF($E129:AA129,"²")+COUNTIF($E129:AA129,"µ")+COUNTIF($E129:AA129,1),ColDescriptionCourte))&gt;1,
HYPERLINK("#Roadmap!C"&amp; MATCH($E129,Roadmap!$D:$D,0)+COUNTIF($E129:AA129,"u")+COUNTIF($E129:AA129,"t")+COUNTIF($E129:AA129,"¶")+COUNTIF($E129:AA129,"²")+COUNTIF($E129:AA129,"µ")+COUNTIF($E129:AA129,1)-1,INDEX(Roadmap!$D:$K,MATCH($E129,Roadmap!$D:$D,0)-1+COUNTIF($E129:AA129,"u")+COUNTIF($E129:AA129,"t")+COUNTIF($E129:AA129,"¶")+COUNTIF($E129:AA129,"²")+COUNTIF($E129:AA129,"µ")+COUNTIF($E129:AA129,1),ColDescriptionCourte)),""),
  "")),"")</f>
        <v/>
      </c>
      <c r="AC129" s="40" t="str">
        <f ca="1">IFERROR(IF(AND(
  INDEX(Roadmap!$D:$K,MATCH($E129,Roadmap!$D:$D,0)+COUNTIF($E129:AB129,"u")+COUNTIF($E129:AB129,"t")+COUNTIF($E129:AB129,"¶")+COUNTIF($E129:AB129,"²")+COUNTIF($E129:AB129,"µ")+COUNTIF($E129:AB129,1),ColLivraison)=AC$6,
  VLOOKUP($E129,INDIRECT("tri!"&amp; CHAR(64+ C0Col) &amp;":"&amp; CHAR(65+C0Col)),2,FALSE)&gt;COUNTIF($E129:AB129,"u")+COUNTIF($E129:AB129,"t")+COUNTIF($E129:AB129,"¶")+COUNTIF($E129:AB129,"²")+COUNTIF($E129:AB129,"µ")+COUNTIF($E129:AB129,1)),
HYPERLINK("#Roadmap!C"&amp; MATCH($E129,Roadmap!$D:$D,0)+COUNTIF($E129:AB129,"u")+COUNTIF($E129:AB129,"t"),
     INDEX(Roadmap!$D:$K,MATCH($E129,Roadmap!$D:$D,0)+COUNTIF($E129:AB129,"u")+COUNTIF($E129:AB129,"t")+COUNTIF($E129:AB129,"¶")+COUNTIF($E129:AB129,"²")+COUNTIF($E129:AB129,"µ")+COUNTIF($E129:AB129,1),ColTypeEcheance)),
  IF(LEN(AB129)=1,
  IF(LEN(INDEX(Roadmap!$D:$K,MATCH($E129,Roadmap!$D:$D,0)-1+COUNTIF($E129:AB129,"u")+COUNTIF($E129:AB129,"t")+COUNTIF($E129:AB129,"¶")+COUNTIF($E129:AB129,"²")+COUNTIF($E129:AB129,"µ")+COUNTIF($E129:AB129,1),ColDescriptionCourte))&gt;1,
HYPERLINK("#Roadmap!C"&amp; MATCH($E129,Roadmap!$D:$D,0)+COUNTIF($E129:AB129,"u")+COUNTIF($E129:AB129,"t")+COUNTIF($E129:AB129,"¶")+COUNTIF($E129:AB129,"²")+COUNTIF($E129:AB129,"µ")+COUNTIF($E129:AB129,1)-1,INDEX(Roadmap!$D:$K,MATCH($E129,Roadmap!$D:$D,0)-1+COUNTIF($E129:AB129,"u")+COUNTIF($E129:AB129,"t")+COUNTIF($E129:AB129,"¶")+COUNTIF($E129:AB129,"²")+COUNTIF($E129:AB129,"µ")+COUNTIF($E129:AB129,1),ColDescriptionCourte)),""),
  "")),"")</f>
        <v/>
      </c>
      <c r="AD129" s="40" t="str">
        <f ca="1">IFERROR(IF(AND(
  INDEX(Roadmap!$D:$K,MATCH($E129,Roadmap!$D:$D,0)+COUNTIF($E129:AC129,"u")+COUNTIF($E129:AC129,"t")+COUNTIF($E129:AC129,"¶")+COUNTIF($E129:AC129,"²")+COUNTIF($E129:AC129,"µ")+COUNTIF($E129:AC129,1),ColLivraison)=AD$6,
  VLOOKUP($E129,INDIRECT("tri!"&amp; CHAR(64+ C0Col) &amp;":"&amp; CHAR(65+C0Col)),2,FALSE)&gt;COUNTIF($E129:AC129,"u")+COUNTIF($E129:AC129,"t")+COUNTIF($E129:AC129,"¶")+COUNTIF($E129:AC129,"²")+COUNTIF($E129:AC129,"µ")+COUNTIF($E129:AC129,1)),
HYPERLINK("#Roadmap!C"&amp; MATCH($E129,Roadmap!$D:$D,0)+COUNTIF($E129:AC129,"u")+COUNTIF($E129:AC129,"t"),
     INDEX(Roadmap!$D:$K,MATCH($E129,Roadmap!$D:$D,0)+COUNTIF($E129:AC129,"u")+COUNTIF($E129:AC129,"t")+COUNTIF($E129:AC129,"¶")+COUNTIF($E129:AC129,"²")+COUNTIF($E129:AC129,"µ")+COUNTIF($E129:AC129,1),ColTypeEcheance)),
  IF(LEN(AC129)=1,
  IF(LEN(INDEX(Roadmap!$D:$K,MATCH($E129,Roadmap!$D:$D,0)-1+COUNTIF($E129:AC129,"u")+COUNTIF($E129:AC129,"t")+COUNTIF($E129:AC129,"¶")+COUNTIF($E129:AC129,"²")+COUNTIF($E129:AC129,"µ")+COUNTIF($E129:AC129,1),ColDescriptionCourte))&gt;1,
HYPERLINK("#Roadmap!C"&amp; MATCH($E129,Roadmap!$D:$D,0)+COUNTIF($E129:AC129,"u")+COUNTIF($E129:AC129,"t")+COUNTIF($E129:AC129,"¶")+COUNTIF($E129:AC129,"²")+COUNTIF($E129:AC129,"µ")+COUNTIF($E129:AC129,1)-1,INDEX(Roadmap!$D:$K,MATCH($E129,Roadmap!$D:$D,0)-1+COUNTIF($E129:AC129,"u")+COUNTIF($E129:AC129,"t")+COUNTIF($E129:AC129,"¶")+COUNTIF($E129:AC129,"²")+COUNTIF($E129:AC129,"µ")+COUNTIF($E129:AC129,1),ColDescriptionCourte)),""),
  "")),"")</f>
        <v/>
      </c>
      <c r="AE129" s="40" t="str">
        <f ca="1">IFERROR(IF(AND(
  INDEX(Roadmap!$D:$K,MATCH($E129,Roadmap!$D:$D,0)+COUNTIF($E129:AD129,"u")+COUNTIF($E129:AD129,"t")+COUNTIF($E129:AD129,"¶")+COUNTIF($E129:AD129,"²")+COUNTIF($E129:AD129,"µ")+COUNTIF($E129:AD129,1),ColLivraison)=AE$6,
  VLOOKUP($E129,INDIRECT("tri!"&amp; CHAR(64+ C0Col) &amp;":"&amp; CHAR(65+C0Col)),2,FALSE)&gt;COUNTIF($E129:AD129,"u")+COUNTIF($E129:AD129,"t")+COUNTIF($E129:AD129,"¶")+COUNTIF($E129:AD129,"²")+COUNTIF($E129:AD129,"µ")+COUNTIF($E129:AD129,1)),
HYPERLINK("#Roadmap!C"&amp; MATCH($E129,Roadmap!$D:$D,0)+COUNTIF($E129:AD129,"u")+COUNTIF($E129:AD129,"t"),
     INDEX(Roadmap!$D:$K,MATCH($E129,Roadmap!$D:$D,0)+COUNTIF($E129:AD129,"u")+COUNTIF($E129:AD129,"t")+COUNTIF($E129:AD129,"¶")+COUNTIF($E129:AD129,"²")+COUNTIF($E129:AD129,"µ")+COUNTIF($E129:AD129,1),ColTypeEcheance)),
  IF(LEN(AD129)=1,
  IF(LEN(INDEX(Roadmap!$D:$K,MATCH($E129,Roadmap!$D:$D,0)-1+COUNTIF($E129:AD129,"u")+COUNTIF($E129:AD129,"t")+COUNTIF($E129:AD129,"¶")+COUNTIF($E129:AD129,"²")+COUNTIF($E129:AD129,"µ")+COUNTIF($E129:AD129,1),ColDescriptionCourte))&gt;1,
HYPERLINK("#Roadmap!C"&amp; MATCH($E129,Roadmap!$D:$D,0)+COUNTIF($E129:AD129,"u")+COUNTIF($E129:AD129,"t")+COUNTIF($E129:AD129,"¶")+COUNTIF($E129:AD129,"²")+COUNTIF($E129:AD129,"µ")+COUNTIF($E129:AD129,1)-1,INDEX(Roadmap!$D:$K,MATCH($E129,Roadmap!$D:$D,0)-1+COUNTIF($E129:AD129,"u")+COUNTIF($E129:AD129,"t")+COUNTIF($E129:AD129,"¶")+COUNTIF($E129:AD129,"²")+COUNTIF($E129:AD129,"µ")+COUNTIF($E129:AD129,1),ColDescriptionCourte)),""),
  "")),"")</f>
        <v/>
      </c>
      <c r="AF129" s="40" t="str">
        <f ca="1">IFERROR(IF(AND(
  INDEX(Roadmap!$D:$K,MATCH($E129,Roadmap!$D:$D,0)+COUNTIF($E129:AE129,"u")+COUNTIF($E129:AE129,"t")+COUNTIF($E129:AE129,"¶")+COUNTIF($E129:AE129,"²")+COUNTIF($E129:AE129,"µ")+COUNTIF($E129:AE129,1),ColLivraison)=AF$6,
  VLOOKUP($E129,INDIRECT("tri!"&amp; CHAR(64+ C0Col) &amp;":"&amp; CHAR(65+C0Col)),2,FALSE)&gt;COUNTIF($E129:AE129,"u")+COUNTIF($E129:AE129,"t")+COUNTIF($E129:AE129,"¶")+COUNTIF($E129:AE129,"²")+COUNTIF($E129:AE129,"µ")+COUNTIF($E129:AE129,1)),
HYPERLINK("#Roadmap!C"&amp; MATCH($E129,Roadmap!$D:$D,0)+COUNTIF($E129:AE129,"u")+COUNTIF($E129:AE129,"t"),
     INDEX(Roadmap!$D:$K,MATCH($E129,Roadmap!$D:$D,0)+COUNTIF($E129:AE129,"u")+COUNTIF($E129:AE129,"t")+COUNTIF($E129:AE129,"¶")+COUNTIF($E129:AE129,"²")+COUNTIF($E129:AE129,"µ")+COUNTIF($E129:AE129,1),ColTypeEcheance)),
  IF(LEN(AE129)=1,
  IF(LEN(INDEX(Roadmap!$D:$K,MATCH($E129,Roadmap!$D:$D,0)-1+COUNTIF($E129:AE129,"u")+COUNTIF($E129:AE129,"t")+COUNTIF($E129:AE129,"¶")+COUNTIF($E129:AE129,"²")+COUNTIF($E129:AE129,"µ")+COUNTIF($E129:AE129,1),ColDescriptionCourte))&gt;1,
HYPERLINK("#Roadmap!C"&amp; MATCH($E129,Roadmap!$D:$D,0)+COUNTIF($E129:AE129,"u")+COUNTIF($E129:AE129,"t")+COUNTIF($E129:AE129,"¶")+COUNTIF($E129:AE129,"²")+COUNTIF($E129:AE129,"µ")+COUNTIF($E129:AE129,1)-1,INDEX(Roadmap!$D:$K,MATCH($E129,Roadmap!$D:$D,0)-1+COUNTIF($E129:AE129,"u")+COUNTIF($E129:AE129,"t")+COUNTIF($E129:AE129,"¶")+COUNTIF($E129:AE129,"²")+COUNTIF($E129:AE129,"µ")+COUNTIF($E129:AE129,1),ColDescriptionCourte)),""),
  "")),"")</f>
        <v/>
      </c>
      <c r="AG129" s="40" t="str">
        <f ca="1">IFERROR(IF(AND(
  INDEX(Roadmap!$D:$K,MATCH($E129,Roadmap!$D:$D,0)+COUNTIF($E129:AF129,"u")+COUNTIF($E129:AF129,"t")+COUNTIF($E129:AF129,"¶")+COUNTIF($E129:AF129,"²")+COUNTIF($E129:AF129,"µ")+COUNTIF($E129:AF129,1),ColLivraison)=AG$6,
  VLOOKUP($E129,INDIRECT("tri!"&amp; CHAR(64+ C0Col) &amp;":"&amp; CHAR(65+C0Col)),2,FALSE)&gt;COUNTIF($E129:AF129,"u")+COUNTIF($E129:AF129,"t")+COUNTIF($E129:AF129,"¶")+COUNTIF($E129:AF129,"²")+COUNTIF($E129:AF129,"µ")+COUNTIF($E129:AF129,1)),
HYPERLINK("#Roadmap!C"&amp; MATCH($E129,Roadmap!$D:$D,0)+COUNTIF($E129:AF129,"u")+COUNTIF($E129:AF129,"t"),
     INDEX(Roadmap!$D:$K,MATCH($E129,Roadmap!$D:$D,0)+COUNTIF($E129:AF129,"u")+COUNTIF($E129:AF129,"t")+COUNTIF($E129:AF129,"¶")+COUNTIF($E129:AF129,"²")+COUNTIF($E129:AF129,"µ")+COUNTIF($E129:AF129,1),ColTypeEcheance)),
  IF(LEN(AF129)=1,
  IF(LEN(INDEX(Roadmap!$D:$K,MATCH($E129,Roadmap!$D:$D,0)-1+COUNTIF($E129:AF129,"u")+COUNTIF($E129:AF129,"t")+COUNTIF($E129:AF129,"¶")+COUNTIF($E129:AF129,"²")+COUNTIF($E129:AF129,"µ")+COUNTIF($E129:AF129,1),ColDescriptionCourte))&gt;1,
HYPERLINK("#Roadmap!C"&amp; MATCH($E129,Roadmap!$D:$D,0)+COUNTIF($E129:AF129,"u")+COUNTIF($E129:AF129,"t")+COUNTIF($E129:AF129,"¶")+COUNTIF($E129:AF129,"²")+COUNTIF($E129:AF129,"µ")+COUNTIF($E129:AF129,1)-1,INDEX(Roadmap!$D:$K,MATCH($E129,Roadmap!$D:$D,0)-1+COUNTIF($E129:AF129,"u")+COUNTIF($E129:AF129,"t")+COUNTIF($E129:AF129,"¶")+COUNTIF($E129:AF129,"²")+COUNTIF($E129:AF129,"µ")+COUNTIF($E129:AF129,1),ColDescriptionCourte)),""),
  "")),"")</f>
        <v/>
      </c>
      <c r="AH129" s="40" t="str">
        <f ca="1">IFERROR(IF(AND(
  INDEX(Roadmap!$D:$K,MATCH($E129,Roadmap!$D:$D,0)+COUNTIF($E129:AG129,"u")+COUNTIF($E129:AG129,"t")+COUNTIF($E129:AG129,1),ColLivraison)=AH$6,
  VLOOKUP($E129,INDIRECT("tri!"&amp; CHAR(64+ C0Col) &amp;":"&amp; CHAR(65+C0Col)),2,FALSE)&gt;COUNTIF($E129:AG129,"u")+COUNTIF($E129:AG129,"t")+COUNTIF($E129:AG129,1)),
HYPERLINK("#Roadmap!C"&amp; MATCH($E129,Roadmap!$D:$D,0)+COUNTIF($E129:AG129,"u")+COUNTIF($E129:AG129,"t"),
     INDEX(Roadmap!$D:$K,MATCH($E129,Roadmap!$D:$D,0)+COUNTIF($E129:AG129,"u")+COUNTIF($E129:AG129,"t")+COUNTIF($E129:AG129,1),ColTypeEcheance)),
  IF(OR(AG129="u",AG129="t",AG129=1),
  IF(LEN(INDEX(Roadmap!$D:$K,MATCH($E129,Roadmap!$D:$D,0)-1+COUNTIF($E129:AG129,"u")+COUNTIF($E129:AG129,"t")+COUNTIF($E129:AG129,1),ColDescriptionCourte))&gt;1,
HYPERLINK("#Roadmap!C"&amp; MATCH($E129,Roadmap!$D:$D,0)+COUNTIF($E129:AG129,"u")+COUNTIF($E129:AG129,"t")+COUNTIF($E129:AG129,1)-1,INDEX(Roadmap!$D:$K,MATCH($E129,Roadmap!$D:$D,0)-1+COUNTIF($E129:AG129,"u")+COUNTIF($E129:AG129,"t")+COUNTIF($E129:AG129,1),ColDescriptionCourte)),""),
  "")),"")</f>
        <v/>
      </c>
      <c r="AI129" s="40"/>
      <c r="AJ129" s="40"/>
      <c r="AK129" s="40"/>
      <c r="AL129" s="40"/>
      <c r="AM129" s="40"/>
    </row>
    <row r="130" spans="4:39" ht="14.1" customHeight="1">
      <c r="D130" s="20" t="str">
        <f t="shared" ca="1" si="29"/>
        <v/>
      </c>
      <c r="E130" s="53" t="str">
        <f t="shared" ca="1" si="30"/>
        <v/>
      </c>
      <c r="F130" s="39" t="str">
        <f ca="1">IFERROR(IF(AND(
  INDEX(Roadmap!$D:$K,MATCH($E130,Roadmap!$D:$D,0)+COUNTIF($E130:E130,"u")+COUNTIF($E130:E130,"t")+COUNTIF($E130:E130,"¶")+COUNTIF($E130:E130,"²")+COUNTIF($E130:E130,"µ")+COUNTIF($E130:E130,1),ColLivraison)=F$6,
  VLOOKUP($E130,INDIRECT("tri!"&amp; CHAR(64+ C0Col) &amp;":"&amp; CHAR(65+C0Col)),2,FALSE)&gt;COUNTIF($E130:E130,"u")+COUNTIF($E130:E130,"t")+COUNTIF($E130:E130,"¶")+COUNTIF($E130:E130,"²")+COUNTIF($E130:E130,"µ")+COUNTIF($E130:E130,1)),
HYPERLINK("#Roadmap!C"&amp; MATCH($E130,Roadmap!$D:$D,0)+COUNTIF($E130:E130,"u")+COUNTIF($E130:E130,"t"),
     INDEX(Roadmap!$D:$K,MATCH($E130,Roadmap!$D:$D,0)+COUNTIF($E130:E130,"u")+COUNTIF($E130:E130,"t")+COUNTIF($E130:E130,"¶")+COUNTIF($E130:E130,"²")+COUNTIF($E130:E130,"µ")+COUNTIF($E130:E130,1),ColTypeEcheance)),
  IF(LEN(E130)=1,
  IF(LEN(INDEX(Roadmap!$D:$K,MATCH($E130,Roadmap!$D:$D,0)-1+COUNTIF($E130:E130,"u")+COUNTIF($E130:E130,"t")+COUNTIF($E130:E130,"¶")+COUNTIF($E130:E130,"²")+COUNTIF($E130:E130,"µ")+COUNTIF($E130:E130,1),ColDescriptionCourte))&gt;1,
HYPERLINK("#Roadmap!C"&amp; MATCH($E130,Roadmap!$D:$D,0)+COUNTIF($E130:E130,"u")+COUNTIF($E130:E130,"t")+COUNTIF($E130:E130,"¶")+COUNTIF($E130:E130,"²")+COUNTIF($E130:E130,"µ")+COUNTIF($E130:E130,1)-1,INDEX(Roadmap!$D:$K,MATCH($E130,Roadmap!$D:$D,0)-1+COUNTIF($E130:E130,"u")+COUNTIF($E130:E130,"t")+COUNTIF($E130:E130,"¶")+COUNTIF($E130:E130,"²")+COUNTIF($E130:E130,"µ")+COUNTIF($E130:E130,1),ColDescriptionCourte)),""),
  "")),"")</f>
        <v/>
      </c>
      <c r="G130" s="40" t="str">
        <f ca="1">IFERROR(IF(AND(
  INDEX(Roadmap!$D:$K,MATCH($E130,Roadmap!$D:$D,0)+COUNTIF($E130:F130,"u")+COUNTIF($E130:F130,"t")+COUNTIF($E130:F130,"¶")+COUNTIF($E130:F130,"²")+COUNTIF($E130:F130,"µ")+COUNTIF($E130:F130,1),ColLivraison)=G$6,
  VLOOKUP($E130,INDIRECT("tri!"&amp; CHAR(64+ C0Col) &amp;":"&amp; CHAR(65+C0Col)),2,FALSE)&gt;COUNTIF($E130:F130,"u")+COUNTIF($E130:F130,"t")+COUNTIF($E130:F130,"¶")+COUNTIF($E130:F130,"²")+COUNTIF($E130:F130,"µ")+COUNTIF($E130:F130,1)),
HYPERLINK("#Roadmap!C"&amp; MATCH($E130,Roadmap!$D:$D,0)+COUNTIF($E130:F130,"u")+COUNTIF($E130:F130,"t"),
     INDEX(Roadmap!$D:$K,MATCH($E130,Roadmap!$D:$D,0)+COUNTIF($E130:F130,"u")+COUNTIF($E130:F130,"t")+COUNTIF($E130:F130,"¶")+COUNTIF($E130:F130,"²")+COUNTIF($E130:F130,"µ")+COUNTIF($E130:F130,1),ColTypeEcheance)),
  IF(LEN(F130)=1,
  IF(LEN(INDEX(Roadmap!$D:$K,MATCH($E130,Roadmap!$D:$D,0)-1+COUNTIF($E130:F130,"u")+COUNTIF($E130:F130,"t")+COUNTIF($E130:F130,"¶")+COUNTIF($E130:F130,"²")+COUNTIF($E130:F130,"µ")+COUNTIF($E130:F130,1),ColDescriptionCourte))&gt;1,
HYPERLINK("#Roadmap!C"&amp; MATCH($E130,Roadmap!$D:$D,0)+COUNTIF($E130:F130,"u")+COUNTIF($E130:F130,"t")+COUNTIF($E130:F130,"¶")+COUNTIF($E130:F130,"²")+COUNTIF($E130:F130,"µ")+COUNTIF($E130:F130,1)-1,INDEX(Roadmap!$D:$K,MATCH($E130,Roadmap!$D:$D,0)-1+COUNTIF($E130:F130,"u")+COUNTIF($E130:F130,"t")+COUNTIF($E130:F130,"¶")+COUNTIF($E130:F130,"²")+COUNTIF($E130:F130,"µ")+COUNTIF($E130:F130,1),ColDescriptionCourte)),""),
  "")),"")</f>
        <v/>
      </c>
      <c r="H130" s="40" t="str">
        <f ca="1">IFERROR(IF(AND(
  INDEX(Roadmap!$D:$K,MATCH($E130,Roadmap!$D:$D,0)+COUNTIF($E130:G130,"u")+COUNTIF($E130:G130,"t")+COUNTIF($E130:G130,"¶")+COUNTIF($E130:G130,"²")+COUNTIF($E130:G130,"µ")+COUNTIF($E130:G130,1),ColLivraison)=H$6,
  VLOOKUP($E130,INDIRECT("tri!"&amp; CHAR(64+ C0Col) &amp;":"&amp; CHAR(65+C0Col)),2,FALSE)&gt;COUNTIF($E130:G130,"u")+COUNTIF($E130:G130,"t")+COUNTIF($E130:G130,"¶")+COUNTIF($E130:G130,"²")+COUNTIF($E130:G130,"µ")+COUNTIF($E130:G130,1)),
HYPERLINK("#Roadmap!C"&amp; MATCH($E130,Roadmap!$D:$D,0)+COUNTIF($E130:G130,"u")+COUNTIF($E130:G130,"t"),
     INDEX(Roadmap!$D:$K,MATCH($E130,Roadmap!$D:$D,0)+COUNTIF($E130:G130,"u")+COUNTIF($E130:G130,"t")+COUNTIF($E130:G130,"¶")+COUNTIF($E130:G130,"²")+COUNTIF($E130:G130,"µ")+COUNTIF($E130:G130,1),ColTypeEcheance)),
  IF(LEN(G130)=1,
  IF(LEN(INDEX(Roadmap!$D:$K,MATCH($E130,Roadmap!$D:$D,0)-1+COUNTIF($E130:G130,"u")+COUNTIF($E130:G130,"t")+COUNTIF($E130:G130,"¶")+COUNTIF($E130:G130,"²")+COUNTIF($E130:G130,"µ")+COUNTIF($E130:G130,1),ColDescriptionCourte))&gt;1,
HYPERLINK("#Roadmap!C"&amp; MATCH($E130,Roadmap!$D:$D,0)+COUNTIF($E130:G130,"u")+COUNTIF($E130:G130,"t")+COUNTIF($E130:G130,"¶")+COUNTIF($E130:G130,"²")+COUNTIF($E130:G130,"µ")+COUNTIF($E130:G130,1)-1,INDEX(Roadmap!$D:$K,MATCH($E130,Roadmap!$D:$D,0)-1+COUNTIF($E130:G130,"u")+COUNTIF($E130:G130,"t")+COUNTIF($E130:G130,"¶")+COUNTIF($E130:G130,"²")+COUNTIF($E130:G130,"µ")+COUNTIF($E130:G130,1),ColDescriptionCourte)),""),
  "")),"")</f>
        <v/>
      </c>
      <c r="I130" s="40" t="str">
        <f ca="1">IFERROR(IF(AND(
  INDEX(Roadmap!$D:$K,MATCH($E130,Roadmap!$D:$D,0)+COUNTIF($E130:H130,"u")+COUNTIF($E130:H130,"t")+COUNTIF($E130:H130,"¶")+COUNTIF($E130:H130,"²")+COUNTIF($E130:H130,"µ")+COUNTIF($E130:H130,1),ColLivraison)=I$6,
  VLOOKUP($E130,INDIRECT("tri!"&amp; CHAR(64+ C0Col) &amp;":"&amp; CHAR(65+C0Col)),2,FALSE)&gt;COUNTIF($E130:H130,"u")+COUNTIF($E130:H130,"t")+COUNTIF($E130:H130,"¶")+COUNTIF($E130:H130,"²")+COUNTIF($E130:H130,"µ")+COUNTIF($E130:H130,1)),
HYPERLINK("#Roadmap!C"&amp; MATCH($E130,Roadmap!$D:$D,0)+COUNTIF($E130:H130,"u")+COUNTIF($E130:H130,"t"),
     INDEX(Roadmap!$D:$K,MATCH($E130,Roadmap!$D:$D,0)+COUNTIF($E130:H130,"u")+COUNTIF($E130:H130,"t")+COUNTIF($E130:H130,"¶")+COUNTIF($E130:H130,"²")+COUNTIF($E130:H130,"µ")+COUNTIF($E130:H130,1),ColTypeEcheance)),
  IF(LEN(H130)=1,
  IF(LEN(INDEX(Roadmap!$D:$K,MATCH($E130,Roadmap!$D:$D,0)-1+COUNTIF($E130:H130,"u")+COUNTIF($E130:H130,"t")+COUNTIF($E130:H130,"¶")+COUNTIF($E130:H130,"²")+COUNTIF($E130:H130,"µ")+COUNTIF($E130:H130,1),ColDescriptionCourte))&gt;1,
HYPERLINK("#Roadmap!C"&amp; MATCH($E130,Roadmap!$D:$D,0)+COUNTIF($E130:H130,"u")+COUNTIF($E130:H130,"t")+COUNTIF($E130:H130,"¶")+COUNTIF($E130:H130,"²")+COUNTIF($E130:H130,"µ")+COUNTIF($E130:H130,1)-1,INDEX(Roadmap!$D:$K,MATCH($E130,Roadmap!$D:$D,0)-1+COUNTIF($E130:H130,"u")+COUNTIF($E130:H130,"t")+COUNTIF($E130:H130,"¶")+COUNTIF($E130:H130,"²")+COUNTIF($E130:H130,"µ")+COUNTIF($E130:H130,1),ColDescriptionCourte)),""),
  "")),"")</f>
        <v/>
      </c>
      <c r="J130" s="40" t="str">
        <f ca="1">IFERROR(IF(AND(
  INDEX(Roadmap!$D:$K,MATCH($E130,Roadmap!$D:$D,0)+COUNTIF($E130:I130,"u")+COUNTIF($E130:I130,"t")+COUNTIF($E130:I130,"¶")+COUNTIF($E130:I130,"²")+COUNTIF($E130:I130,"µ")+COUNTIF($E130:I130,1),ColLivraison)=J$6,
  VLOOKUP($E130,INDIRECT("tri!"&amp; CHAR(64+ C0Col) &amp;":"&amp; CHAR(65+C0Col)),2,FALSE)&gt;COUNTIF($E130:I130,"u")+COUNTIF($E130:I130,"t")+COUNTIF($E130:I130,"¶")+COUNTIF($E130:I130,"²")+COUNTIF($E130:I130,"µ")+COUNTIF($E130:I130,1)),
HYPERLINK("#Roadmap!C"&amp; MATCH($E130,Roadmap!$D:$D,0)+COUNTIF($E130:I130,"u")+COUNTIF($E130:I130,"t"),
     INDEX(Roadmap!$D:$K,MATCH($E130,Roadmap!$D:$D,0)+COUNTIF($E130:I130,"u")+COUNTIF($E130:I130,"t")+COUNTIF($E130:I130,"¶")+COUNTIF($E130:I130,"²")+COUNTIF($E130:I130,"µ")+COUNTIF($E130:I130,1),ColTypeEcheance)),
  IF(LEN(I130)=1,
  IF(LEN(INDEX(Roadmap!$D:$K,MATCH($E130,Roadmap!$D:$D,0)-1+COUNTIF($E130:I130,"u")+COUNTIF($E130:I130,"t")+COUNTIF($E130:I130,"¶")+COUNTIF($E130:I130,"²")+COUNTIF($E130:I130,"µ")+COUNTIF($E130:I130,1),ColDescriptionCourte))&gt;1,
HYPERLINK("#Roadmap!C"&amp; MATCH($E130,Roadmap!$D:$D,0)+COUNTIF($E130:I130,"u")+COUNTIF($E130:I130,"t")+COUNTIF($E130:I130,"¶")+COUNTIF($E130:I130,"²")+COUNTIF($E130:I130,"µ")+COUNTIF($E130:I130,1)-1,INDEX(Roadmap!$D:$K,MATCH($E130,Roadmap!$D:$D,0)-1+COUNTIF($E130:I130,"u")+COUNTIF($E130:I130,"t")+COUNTIF($E130:I130,"¶")+COUNTIF($E130:I130,"²")+COUNTIF($E130:I130,"µ")+COUNTIF($E130:I130,1),ColDescriptionCourte)),""),
  "")),"")</f>
        <v/>
      </c>
      <c r="K130" s="40" t="str">
        <f ca="1">IFERROR(IF(AND(
  INDEX(Roadmap!$D:$K,MATCH($E130,Roadmap!$D:$D,0)+COUNTIF($E130:J130,"u")+COUNTIF($E130:J130,"t")+COUNTIF($E130:J130,"¶")+COUNTIF($E130:J130,"²")+COUNTIF($E130:J130,"µ")+COUNTIF($E130:J130,1),ColLivraison)=K$6,
  VLOOKUP($E130,INDIRECT("tri!"&amp; CHAR(64+ C0Col) &amp;":"&amp; CHAR(65+C0Col)),2,FALSE)&gt;COUNTIF($E130:J130,"u")+COUNTIF($E130:J130,"t")+COUNTIF($E130:J130,"¶")+COUNTIF($E130:J130,"²")+COUNTIF($E130:J130,"µ")+COUNTIF($E130:J130,1)),
HYPERLINK("#Roadmap!C"&amp; MATCH($E130,Roadmap!$D:$D,0)+COUNTIF($E130:J130,"u")+COUNTIF($E130:J130,"t"),
     INDEX(Roadmap!$D:$K,MATCH($E130,Roadmap!$D:$D,0)+COUNTIF($E130:J130,"u")+COUNTIF($E130:J130,"t")+COUNTIF($E130:J130,"¶")+COUNTIF($E130:J130,"²")+COUNTIF($E130:J130,"µ")+COUNTIF($E130:J130,1),ColTypeEcheance)),
  IF(LEN(J130)=1,
  IF(LEN(INDEX(Roadmap!$D:$K,MATCH($E130,Roadmap!$D:$D,0)-1+COUNTIF($E130:J130,"u")+COUNTIF($E130:J130,"t")+COUNTIF($E130:J130,"¶")+COUNTIF($E130:J130,"²")+COUNTIF($E130:J130,"µ")+COUNTIF($E130:J130,1),ColDescriptionCourte))&gt;1,
HYPERLINK("#Roadmap!C"&amp; MATCH($E130,Roadmap!$D:$D,0)+COUNTIF($E130:J130,"u")+COUNTIF($E130:J130,"t")+COUNTIF($E130:J130,"¶")+COUNTIF($E130:J130,"²")+COUNTIF($E130:J130,"µ")+COUNTIF($E130:J130,1)-1,INDEX(Roadmap!$D:$K,MATCH($E130,Roadmap!$D:$D,0)-1+COUNTIF($E130:J130,"u")+COUNTIF($E130:J130,"t")+COUNTIF($E130:J130,"¶")+COUNTIF($E130:J130,"²")+COUNTIF($E130:J130,"µ")+COUNTIF($E130:J130,1),ColDescriptionCourte)),""),
  "")),"")</f>
        <v/>
      </c>
      <c r="L130" s="39" t="str">
        <f ca="1">IFERROR(IF(AND(
  INDEX(Roadmap!$D:$K,MATCH($E130,Roadmap!$D:$D,0)+COUNTIF($E130:K130,"u")+COUNTIF($E130:K130,"t")+COUNTIF($E130:K130,"¶")+COUNTIF($E130:K130,"²")+COUNTIF($E130:K130,"µ")+COUNTIF($E130:K130,1),ColLivraison)=L$6,
  VLOOKUP($E130,INDIRECT("tri!"&amp; CHAR(64+ C0Col) &amp;":"&amp; CHAR(65+C0Col)),2,FALSE)&gt;COUNTIF($E130:K130,"u")+COUNTIF($E130:K130,"t")+COUNTIF($E130:K130,"¶")+COUNTIF($E130:K130,"²")+COUNTIF($E130:K130,"µ")+COUNTIF($E130:K130,1)),
HYPERLINK("#Roadmap!C"&amp; MATCH($E130,Roadmap!$D:$D,0)+COUNTIF($E130:K130,"u")+COUNTIF($E130:K130,"t"),
     INDEX(Roadmap!$D:$K,MATCH($E130,Roadmap!$D:$D,0)+COUNTIF($E130:K130,"u")+COUNTIF($E130:K130,"t")+COUNTIF($E130:K130,"¶")+COUNTIF($E130:K130,"²")+COUNTIF($E130:K130,"µ")+COUNTIF($E130:K130,1),ColTypeEcheance)),
  IF(LEN(K130)=1,
  IF(LEN(INDEX(Roadmap!$D:$K,MATCH($E130,Roadmap!$D:$D,0)-1+COUNTIF($E130:K130,"u")+COUNTIF($E130:K130,"t")+COUNTIF($E130:K130,"¶")+COUNTIF($E130:K130,"²")+COUNTIF($E130:K130,"µ")+COUNTIF($E130:K130,1),ColDescriptionCourte))&gt;1,
HYPERLINK("#Roadmap!C"&amp; MATCH($E130,Roadmap!$D:$D,0)+COUNTIF($E130:K130,"u")+COUNTIF($E130:K130,"t")+COUNTIF($E130:K130,"¶")+COUNTIF($E130:K130,"²")+COUNTIF($E130:K130,"µ")+COUNTIF($E130:K130,1)-1,INDEX(Roadmap!$D:$K,MATCH($E130,Roadmap!$D:$D,0)-1+COUNTIF($E130:K130,"u")+COUNTIF($E130:K130,"t")+COUNTIF($E130:K130,"¶")+COUNTIF($E130:K130,"²")+COUNTIF($E130:K130,"µ")+COUNTIF($E130:K130,1),ColDescriptionCourte)),""),
  "")),"")</f>
        <v/>
      </c>
      <c r="M130" s="40" t="str">
        <f ca="1">IFERROR(IF(AND(
  INDEX(Roadmap!$D:$K,MATCH($E130,Roadmap!$D:$D,0)+COUNTIF($E130:L130,"u")+COUNTIF($E130:L130,"t")+COUNTIF($E130:L130,"¶")+COUNTIF($E130:L130,"²")+COUNTIF($E130:L130,"µ")+COUNTIF($E130:L130,1),ColLivraison)=M$6,
  VLOOKUP($E130,INDIRECT("tri!"&amp; CHAR(64+ C0Col) &amp;":"&amp; CHAR(65+C0Col)),2,FALSE)&gt;COUNTIF($E130:L130,"u")+COUNTIF($E130:L130,"t")+COUNTIF($E130:L130,"¶")+COUNTIF($E130:L130,"²")+COUNTIF($E130:L130,"µ")+COUNTIF($E130:L130,1)),
HYPERLINK("#Roadmap!C"&amp; MATCH($E130,Roadmap!$D:$D,0)+COUNTIF($E130:L130,"u")+COUNTIF($E130:L130,"t"),
     INDEX(Roadmap!$D:$K,MATCH($E130,Roadmap!$D:$D,0)+COUNTIF($E130:L130,"u")+COUNTIF($E130:L130,"t")+COUNTIF($E130:L130,"¶")+COUNTIF($E130:L130,"²")+COUNTIF($E130:L130,"µ")+COUNTIF($E130:L130,1),ColTypeEcheance)),
  IF(LEN(L130)=1,
  IF(LEN(INDEX(Roadmap!$D:$K,MATCH($E130,Roadmap!$D:$D,0)-1+COUNTIF($E130:L130,"u")+COUNTIF($E130:L130,"t")+COUNTIF($E130:L130,"¶")+COUNTIF($E130:L130,"²")+COUNTIF($E130:L130,"µ")+COUNTIF($E130:L130,1),ColDescriptionCourte))&gt;1,
HYPERLINK("#Roadmap!C"&amp; MATCH($E130,Roadmap!$D:$D,0)+COUNTIF($E130:L130,"u")+COUNTIF($E130:L130,"t")+COUNTIF($E130:L130,"¶")+COUNTIF($E130:L130,"²")+COUNTIF($E130:L130,"µ")+COUNTIF($E130:L130,1)-1,INDEX(Roadmap!$D:$K,MATCH($E130,Roadmap!$D:$D,0)-1+COUNTIF($E130:L130,"u")+COUNTIF($E130:L130,"t")+COUNTIF($E130:L130,"¶")+COUNTIF($E130:L130,"²")+COUNTIF($E130:L130,"µ")+COUNTIF($E130:L130,1),ColDescriptionCourte)),""),
  "")),"")</f>
        <v/>
      </c>
      <c r="N130" s="40" t="str">
        <f ca="1">IFERROR(IF(AND(
  INDEX(Roadmap!$D:$K,MATCH($E130,Roadmap!$D:$D,0)+COUNTIF($E130:M130,"u")+COUNTIF($E130:M130,"t")+COUNTIF($E130:M130,"¶")+COUNTIF($E130:M130,"²")+COUNTIF($E130:M130,"µ")+COUNTIF($E130:M130,1),ColLivraison)=N$6,
  VLOOKUP($E130,INDIRECT("tri!"&amp; CHAR(64+ C0Col) &amp;":"&amp; CHAR(65+C0Col)),2,FALSE)&gt;COUNTIF($E130:M130,"u")+COUNTIF($E130:M130,"t")+COUNTIF($E130:M130,"¶")+COUNTIF($E130:M130,"²")+COUNTIF($E130:M130,"µ")+COUNTIF($E130:M130,1)),
HYPERLINK("#Roadmap!C"&amp; MATCH($E130,Roadmap!$D:$D,0)+COUNTIF($E130:M130,"u")+COUNTIF($E130:M130,"t"),
     INDEX(Roadmap!$D:$K,MATCH($E130,Roadmap!$D:$D,0)+COUNTIF($E130:M130,"u")+COUNTIF($E130:M130,"t")+COUNTIF($E130:M130,"¶")+COUNTIF($E130:M130,"²")+COUNTIF($E130:M130,"µ")+COUNTIF($E130:M130,1),ColTypeEcheance)),
  IF(LEN(M130)=1,
  IF(LEN(INDEX(Roadmap!$D:$K,MATCH($E130,Roadmap!$D:$D,0)-1+COUNTIF($E130:M130,"u")+COUNTIF($E130:M130,"t")+COUNTIF($E130:M130,"¶")+COUNTIF($E130:M130,"²")+COUNTIF($E130:M130,"µ")+COUNTIF($E130:M130,1),ColDescriptionCourte))&gt;1,
HYPERLINK("#Roadmap!C"&amp; MATCH($E130,Roadmap!$D:$D,0)+COUNTIF($E130:M130,"u")+COUNTIF($E130:M130,"t")+COUNTIF($E130:M130,"¶")+COUNTIF($E130:M130,"²")+COUNTIF($E130:M130,"µ")+COUNTIF($E130:M130,1)-1,INDEX(Roadmap!$D:$K,MATCH($E130,Roadmap!$D:$D,0)-1+COUNTIF($E130:M130,"u")+COUNTIF($E130:M130,"t")+COUNTIF($E130:M130,"¶")+COUNTIF($E130:M130,"²")+COUNTIF($E130:M130,"µ")+COUNTIF($E130:M130,1),ColDescriptionCourte)),""),
  "")),"")</f>
        <v/>
      </c>
      <c r="O130" s="40" t="str">
        <f ca="1">IFERROR(IF(AND(
  INDEX(Roadmap!$D:$K,MATCH($E130,Roadmap!$D:$D,0)+COUNTIF($E130:N130,"u")+COUNTIF($E130:N130,"t")+COUNTIF($E130:N130,"¶")+COUNTIF($E130:N130,"²")+COUNTIF($E130:N130,"µ")+COUNTIF($E130:N130,1),ColLivraison)=O$6,
  VLOOKUP($E130,INDIRECT("tri!"&amp; CHAR(64+ C0Col) &amp;":"&amp; CHAR(65+C0Col)),2,FALSE)&gt;COUNTIF($E130:N130,"u")+COUNTIF($E130:N130,"t")+COUNTIF($E130:N130,"¶")+COUNTIF($E130:N130,"²")+COUNTIF($E130:N130,"µ")+COUNTIF($E130:N130,1)),
HYPERLINK("#Roadmap!C"&amp; MATCH($E130,Roadmap!$D:$D,0)+COUNTIF($E130:N130,"u")+COUNTIF($E130:N130,"t"),
     INDEX(Roadmap!$D:$K,MATCH($E130,Roadmap!$D:$D,0)+COUNTIF($E130:N130,"u")+COUNTIF($E130:N130,"t")+COUNTIF($E130:N130,"¶")+COUNTIF($E130:N130,"²")+COUNTIF($E130:N130,"µ")+COUNTIF($E130:N130,1),ColTypeEcheance)),
  IF(LEN(N130)=1,
  IF(LEN(INDEX(Roadmap!$D:$K,MATCH($E130,Roadmap!$D:$D,0)-1+COUNTIF($E130:N130,"u")+COUNTIF($E130:N130,"t")+COUNTIF($E130:N130,"¶")+COUNTIF($E130:N130,"²")+COUNTIF($E130:N130,"µ")+COUNTIF($E130:N130,1),ColDescriptionCourte))&gt;1,
HYPERLINK("#Roadmap!C"&amp; MATCH($E130,Roadmap!$D:$D,0)+COUNTIF($E130:N130,"u")+COUNTIF($E130:N130,"t")+COUNTIF($E130:N130,"¶")+COUNTIF($E130:N130,"²")+COUNTIF($E130:N130,"µ")+COUNTIF($E130:N130,1)-1,INDEX(Roadmap!$D:$K,MATCH($E130,Roadmap!$D:$D,0)-1+COUNTIF($E130:N130,"u")+COUNTIF($E130:N130,"t")+COUNTIF($E130:N130,"¶")+COUNTIF($E130:N130,"²")+COUNTIF($E130:N130,"µ")+COUNTIF($E130:N130,1),ColDescriptionCourte)),""),
  "")),"")</f>
        <v/>
      </c>
      <c r="P130" s="40" t="str">
        <f ca="1">IFERROR(IF(AND(
  INDEX(Roadmap!$D:$K,MATCH($E130,Roadmap!$D:$D,0)+COUNTIF($E130:O130,"u")+COUNTIF($E130:O130,"t")+COUNTIF($E130:O130,"¶")+COUNTIF($E130:O130,"²")+COUNTIF($E130:O130,"µ")+COUNTIF($E130:O130,1),ColLivraison)=P$6,
  VLOOKUP($E130,INDIRECT("tri!"&amp; CHAR(64+ C0Col) &amp;":"&amp; CHAR(65+C0Col)),2,FALSE)&gt;COUNTIF($E130:O130,"u")+COUNTIF($E130:O130,"t")+COUNTIF($E130:O130,"¶")+COUNTIF($E130:O130,"²")+COUNTIF($E130:O130,"µ")+COUNTIF($E130:O130,1)),
HYPERLINK("#Roadmap!C"&amp; MATCH($E130,Roadmap!$D:$D,0)+COUNTIF($E130:O130,"u")+COUNTIF($E130:O130,"t"),
     INDEX(Roadmap!$D:$K,MATCH($E130,Roadmap!$D:$D,0)+COUNTIF($E130:O130,"u")+COUNTIF($E130:O130,"t")+COUNTIF($E130:O130,"¶")+COUNTIF($E130:O130,"²")+COUNTIF($E130:O130,"µ")+COUNTIF($E130:O130,1),ColTypeEcheance)),
  IF(LEN(O130)=1,
  IF(LEN(INDEX(Roadmap!$D:$K,MATCH($E130,Roadmap!$D:$D,0)-1+COUNTIF($E130:O130,"u")+COUNTIF($E130:O130,"t")+COUNTIF($E130:O130,"¶")+COUNTIF($E130:O130,"²")+COUNTIF($E130:O130,"µ")+COUNTIF($E130:O130,1),ColDescriptionCourte))&gt;1,
HYPERLINK("#Roadmap!C"&amp; MATCH($E130,Roadmap!$D:$D,0)+COUNTIF($E130:O130,"u")+COUNTIF($E130:O130,"t")+COUNTIF($E130:O130,"¶")+COUNTIF($E130:O130,"²")+COUNTIF($E130:O130,"µ")+COUNTIF($E130:O130,1)-1,INDEX(Roadmap!$D:$K,MATCH($E130,Roadmap!$D:$D,0)-1+COUNTIF($E130:O130,"u")+COUNTIF($E130:O130,"t")+COUNTIF($E130:O130,"¶")+COUNTIF($E130:O130,"²")+COUNTIF($E130:O130,"µ")+COUNTIF($E130:O130,1),ColDescriptionCourte)),""),
  "")),"")</f>
        <v/>
      </c>
      <c r="Q130" s="40" t="str">
        <f ca="1">IFERROR(IF(AND(
  INDEX(Roadmap!$D:$K,MATCH($E130,Roadmap!$D:$D,0)+COUNTIF($E130:P130,"u")+COUNTIF($E130:P130,"t")+COUNTIF($E130:P130,"¶")+COUNTIF($E130:P130,"²")+COUNTIF($E130:P130,"µ")+COUNTIF($E130:P130,1),ColLivraison)=Q$6,
  VLOOKUP($E130,INDIRECT("tri!"&amp; CHAR(64+ C0Col) &amp;":"&amp; CHAR(65+C0Col)),2,FALSE)&gt;COUNTIF($E130:P130,"u")+COUNTIF($E130:P130,"t")+COUNTIF($E130:P130,"¶")+COUNTIF($E130:P130,"²")+COUNTIF($E130:P130,"µ")+COUNTIF($E130:P130,1)),
HYPERLINK("#Roadmap!C"&amp; MATCH($E130,Roadmap!$D:$D,0)+COUNTIF($E130:P130,"u")+COUNTIF($E130:P130,"t"),
     INDEX(Roadmap!$D:$K,MATCH($E130,Roadmap!$D:$D,0)+COUNTIF($E130:P130,"u")+COUNTIF($E130:P130,"t")+COUNTIF($E130:P130,"¶")+COUNTIF($E130:P130,"²")+COUNTIF($E130:P130,"µ")+COUNTIF($E130:P130,1),ColTypeEcheance)),
  IF(LEN(P130)=1,
  IF(LEN(INDEX(Roadmap!$D:$K,MATCH($E130,Roadmap!$D:$D,0)-1+COUNTIF($E130:P130,"u")+COUNTIF($E130:P130,"t")+COUNTIF($E130:P130,"¶")+COUNTIF($E130:P130,"²")+COUNTIF($E130:P130,"µ")+COUNTIF($E130:P130,1),ColDescriptionCourte))&gt;1,
HYPERLINK("#Roadmap!C"&amp; MATCH($E130,Roadmap!$D:$D,0)+COUNTIF($E130:P130,"u")+COUNTIF($E130:P130,"t")+COUNTIF($E130:P130,"¶")+COUNTIF($E130:P130,"²")+COUNTIF($E130:P130,"µ")+COUNTIF($E130:P130,1)-1,INDEX(Roadmap!$D:$K,MATCH($E130,Roadmap!$D:$D,0)-1+COUNTIF($E130:P130,"u")+COUNTIF($E130:P130,"t")+COUNTIF($E130:P130,"¶")+COUNTIF($E130:P130,"²")+COUNTIF($E130:P130,"µ")+COUNTIF($E130:P130,1),ColDescriptionCourte)),""),
  "")),"")</f>
        <v/>
      </c>
      <c r="R130" s="40" t="str">
        <f ca="1">IFERROR(IF(AND(
  INDEX(Roadmap!$D:$K,MATCH($E130,Roadmap!$D:$D,0)+COUNTIF($E130:Q130,"u")+COUNTIF($E130:Q130,"t")+COUNTIF($E130:Q130,"¶")+COUNTIF($E130:Q130,"²")+COUNTIF($E130:Q130,"µ")+COUNTIF($E130:Q130,1),ColLivraison)=R$6,
  VLOOKUP($E130,INDIRECT("tri!"&amp; CHAR(64+ C0Col) &amp;":"&amp; CHAR(65+C0Col)),2,FALSE)&gt;COUNTIF($E130:Q130,"u")+COUNTIF($E130:Q130,"t")+COUNTIF($E130:Q130,"¶")+COUNTIF($E130:Q130,"²")+COUNTIF($E130:Q130,"µ")+COUNTIF($E130:Q130,1)),
HYPERLINK("#Roadmap!C"&amp; MATCH($E130,Roadmap!$D:$D,0)+COUNTIF($E130:Q130,"u")+COUNTIF($E130:Q130,"t"),
     INDEX(Roadmap!$D:$K,MATCH($E130,Roadmap!$D:$D,0)+COUNTIF($E130:Q130,"u")+COUNTIF($E130:Q130,"t")+COUNTIF($E130:Q130,"¶")+COUNTIF($E130:Q130,"²")+COUNTIF($E130:Q130,"µ")+COUNTIF($E130:Q130,1),ColTypeEcheance)),
  IF(LEN(Q130)=1,
  IF(LEN(INDEX(Roadmap!$D:$K,MATCH($E130,Roadmap!$D:$D,0)-1+COUNTIF($E130:Q130,"u")+COUNTIF($E130:Q130,"t")+COUNTIF($E130:Q130,"¶")+COUNTIF($E130:Q130,"²")+COUNTIF($E130:Q130,"µ")+COUNTIF($E130:Q130,1),ColDescriptionCourte))&gt;1,
HYPERLINK("#Roadmap!C"&amp; MATCH($E130,Roadmap!$D:$D,0)+COUNTIF($E130:Q130,"u")+COUNTIF($E130:Q130,"t")+COUNTIF($E130:Q130,"¶")+COUNTIF($E130:Q130,"²")+COUNTIF($E130:Q130,"µ")+COUNTIF($E130:Q130,1)-1,INDEX(Roadmap!$D:$K,MATCH($E130,Roadmap!$D:$D,0)-1+COUNTIF($E130:Q130,"u")+COUNTIF($E130:Q130,"t")+COUNTIF($E130:Q130,"¶")+COUNTIF($E130:Q130,"²")+COUNTIF($E130:Q130,"µ")+COUNTIF($E130:Q130,1),ColDescriptionCourte)),""),
  "")),"")</f>
        <v/>
      </c>
      <c r="S130" s="40" t="str">
        <f ca="1">IFERROR(IF(AND(
  INDEX(Roadmap!$D:$K,MATCH($E130,Roadmap!$D:$D,0)+COUNTIF($E130:R130,"u")+COUNTIF($E130:R130,"t")+COUNTIF($E130:R130,"¶")+COUNTIF($E130:R130,"²")+COUNTIF($E130:R130,"µ")+COUNTIF($E130:R130,1),ColLivraison)=S$6,
  VLOOKUP($E130,INDIRECT("tri!"&amp; CHAR(64+ C0Col) &amp;":"&amp; CHAR(65+C0Col)),2,FALSE)&gt;COUNTIF($E130:R130,"u")+COUNTIF($E130:R130,"t")+COUNTIF($E130:R130,"¶")+COUNTIF($E130:R130,"²")+COUNTIF($E130:R130,"µ")+COUNTIF($E130:R130,1)),
HYPERLINK("#Roadmap!C"&amp; MATCH($E130,Roadmap!$D:$D,0)+COUNTIF($E130:R130,"u")+COUNTIF($E130:R130,"t"),
     INDEX(Roadmap!$D:$K,MATCH($E130,Roadmap!$D:$D,0)+COUNTIF($E130:R130,"u")+COUNTIF($E130:R130,"t")+COUNTIF($E130:R130,"¶")+COUNTIF($E130:R130,"²")+COUNTIF($E130:R130,"µ")+COUNTIF($E130:R130,1),ColTypeEcheance)),
  IF(LEN(R130)=1,
  IF(LEN(INDEX(Roadmap!$D:$K,MATCH($E130,Roadmap!$D:$D,0)-1+COUNTIF($E130:R130,"u")+COUNTIF($E130:R130,"t")+COUNTIF($E130:R130,"¶")+COUNTIF($E130:R130,"²")+COUNTIF($E130:R130,"µ")+COUNTIF($E130:R130,1),ColDescriptionCourte))&gt;1,
HYPERLINK("#Roadmap!C"&amp; MATCH($E130,Roadmap!$D:$D,0)+COUNTIF($E130:R130,"u")+COUNTIF($E130:R130,"t")+COUNTIF($E130:R130,"¶")+COUNTIF($E130:R130,"²")+COUNTIF($E130:R130,"µ")+COUNTIF($E130:R130,1)-1,INDEX(Roadmap!$D:$K,MATCH($E130,Roadmap!$D:$D,0)-1+COUNTIF($E130:R130,"u")+COUNTIF($E130:R130,"t")+COUNTIF($E130:R130,"¶")+COUNTIF($E130:R130,"²")+COUNTIF($E130:R130,"µ")+COUNTIF($E130:R130,1),ColDescriptionCourte)),""),
  "")),"")</f>
        <v/>
      </c>
      <c r="T130" s="40" t="str">
        <f ca="1">IFERROR(IF(AND(
  INDEX(Roadmap!$D:$K,MATCH($E130,Roadmap!$D:$D,0)+COUNTIF($E130:S130,"u")+COUNTIF($E130:S130,"t")+COUNTIF($E130:S130,"¶")+COUNTIF($E130:S130,"²")+COUNTIF($E130:S130,"µ")+COUNTIF($E130:S130,1),ColLivraison)=T$6,
  VLOOKUP($E130,INDIRECT("tri!"&amp; CHAR(64+ C0Col) &amp;":"&amp; CHAR(65+C0Col)),2,FALSE)&gt;COUNTIF($E130:S130,"u")+COUNTIF($E130:S130,"t")+COUNTIF($E130:S130,"¶")+COUNTIF($E130:S130,"²")+COUNTIF($E130:S130,"µ")+COUNTIF($E130:S130,1)),
HYPERLINK("#Roadmap!C"&amp; MATCH($E130,Roadmap!$D:$D,0)+COUNTIF($E130:S130,"u")+COUNTIF($E130:S130,"t"),
     INDEX(Roadmap!$D:$K,MATCH($E130,Roadmap!$D:$D,0)+COUNTIF($E130:S130,"u")+COUNTIF($E130:S130,"t")+COUNTIF($E130:S130,"¶")+COUNTIF($E130:S130,"²")+COUNTIF($E130:S130,"µ")+COUNTIF($E130:S130,1),ColTypeEcheance)),
  IF(LEN(S130)=1,
  IF(LEN(INDEX(Roadmap!$D:$K,MATCH($E130,Roadmap!$D:$D,0)-1+COUNTIF($E130:S130,"u")+COUNTIF($E130:S130,"t")+COUNTIF($E130:S130,"¶")+COUNTIF($E130:S130,"²")+COUNTIF($E130:S130,"µ")+COUNTIF($E130:S130,1),ColDescriptionCourte))&gt;1,
HYPERLINK("#Roadmap!C"&amp; MATCH($E130,Roadmap!$D:$D,0)+COUNTIF($E130:S130,"u")+COUNTIF($E130:S130,"t")+COUNTIF($E130:S130,"¶")+COUNTIF($E130:S130,"²")+COUNTIF($E130:S130,"µ")+COUNTIF($E130:S130,1)-1,INDEX(Roadmap!$D:$K,MATCH($E130,Roadmap!$D:$D,0)-1+COUNTIF($E130:S130,"u")+COUNTIF($E130:S130,"t")+COUNTIF($E130:S130,"¶")+COUNTIF($E130:S130,"²")+COUNTIF($E130:S130,"µ")+COUNTIF($E130:S130,1),ColDescriptionCourte)),""),
  "")),"")</f>
        <v/>
      </c>
      <c r="U130" s="40" t="str">
        <f ca="1">IFERROR(IF(AND(
  INDEX(Roadmap!$D:$K,MATCH($E130,Roadmap!$D:$D,0)+COUNTIF($E130:T130,"u")+COUNTIF($E130:T130,"t")+COUNTIF($E130:T130,"¶")+COUNTIF($E130:T130,"²")+COUNTIF($E130:T130,"µ")+COUNTIF($E130:T130,1),ColLivraison)=U$6,
  VLOOKUP($E130,INDIRECT("tri!"&amp; CHAR(64+ C0Col) &amp;":"&amp; CHAR(65+C0Col)),2,FALSE)&gt;COUNTIF($E130:T130,"u")+COUNTIF($E130:T130,"t")+COUNTIF($E130:T130,"¶")+COUNTIF($E130:T130,"²")+COUNTIF($E130:T130,"µ")+COUNTIF($E130:T130,1)),
HYPERLINK("#Roadmap!C"&amp; MATCH($E130,Roadmap!$D:$D,0)+COUNTIF($E130:T130,"u")+COUNTIF($E130:T130,"t"),
     INDEX(Roadmap!$D:$K,MATCH($E130,Roadmap!$D:$D,0)+COUNTIF($E130:T130,"u")+COUNTIF($E130:T130,"t")+COUNTIF($E130:T130,"¶")+COUNTIF($E130:T130,"²")+COUNTIF($E130:T130,"µ")+COUNTIF($E130:T130,1),ColTypeEcheance)),
  IF(LEN(T130)=1,
  IF(LEN(INDEX(Roadmap!$D:$K,MATCH($E130,Roadmap!$D:$D,0)-1+COUNTIF($E130:T130,"u")+COUNTIF($E130:T130,"t")+COUNTIF($E130:T130,"¶")+COUNTIF($E130:T130,"²")+COUNTIF($E130:T130,"µ")+COUNTIF($E130:T130,1),ColDescriptionCourte))&gt;1,
HYPERLINK("#Roadmap!C"&amp; MATCH($E130,Roadmap!$D:$D,0)+COUNTIF($E130:T130,"u")+COUNTIF($E130:T130,"t")+COUNTIF($E130:T130,"¶")+COUNTIF($E130:T130,"²")+COUNTIF($E130:T130,"µ")+COUNTIF($E130:T130,1)-1,INDEX(Roadmap!$D:$K,MATCH($E130,Roadmap!$D:$D,0)-1+COUNTIF($E130:T130,"u")+COUNTIF($E130:T130,"t")+COUNTIF($E130:T130,"¶")+COUNTIF($E130:T130,"²")+COUNTIF($E130:T130,"µ")+COUNTIF($E130:T130,1),ColDescriptionCourte)),""),
  "")),"")</f>
        <v/>
      </c>
      <c r="V130" s="40" t="str">
        <f ca="1">IFERROR(IF(AND(
  INDEX(Roadmap!$D:$K,MATCH($E130,Roadmap!$D:$D,0)+COUNTIF($E130:U130,"u")+COUNTIF($E130:U130,"t")+COUNTIF($E130:U130,"¶")+COUNTIF($E130:U130,"²")+COUNTIF($E130:U130,"µ")+COUNTIF($E130:U130,1),ColLivraison)=V$6,
  VLOOKUP($E130,INDIRECT("tri!"&amp; CHAR(64+ C0Col) &amp;":"&amp; CHAR(65+C0Col)),2,FALSE)&gt;COUNTIF($E130:U130,"u")+COUNTIF($E130:U130,"t")+COUNTIF($E130:U130,"¶")+COUNTIF($E130:U130,"²")+COUNTIF($E130:U130,"µ")+COUNTIF($E130:U130,1)),
HYPERLINK("#Roadmap!C"&amp; MATCH($E130,Roadmap!$D:$D,0)+COUNTIF($E130:U130,"u")+COUNTIF($E130:U130,"t"),
     INDEX(Roadmap!$D:$K,MATCH($E130,Roadmap!$D:$D,0)+COUNTIF($E130:U130,"u")+COUNTIF($E130:U130,"t")+COUNTIF($E130:U130,"¶")+COUNTIF($E130:U130,"²")+COUNTIF($E130:U130,"µ")+COUNTIF($E130:U130,1),ColTypeEcheance)),
  IF(LEN(U130)=1,
  IF(LEN(INDEX(Roadmap!$D:$K,MATCH($E130,Roadmap!$D:$D,0)-1+COUNTIF($E130:U130,"u")+COUNTIF($E130:U130,"t")+COUNTIF($E130:U130,"¶")+COUNTIF($E130:U130,"²")+COUNTIF($E130:U130,"µ")+COUNTIF($E130:U130,1),ColDescriptionCourte))&gt;1,
HYPERLINK("#Roadmap!C"&amp; MATCH($E130,Roadmap!$D:$D,0)+COUNTIF($E130:U130,"u")+COUNTIF($E130:U130,"t")+COUNTIF($E130:U130,"¶")+COUNTIF($E130:U130,"²")+COUNTIF($E130:U130,"µ")+COUNTIF($E130:U130,1)-1,INDEX(Roadmap!$D:$K,MATCH($E130,Roadmap!$D:$D,0)-1+COUNTIF($E130:U130,"u")+COUNTIF($E130:U130,"t")+COUNTIF($E130:U130,"¶")+COUNTIF($E130:U130,"²")+COUNTIF($E130:U130,"µ")+COUNTIF($E130:U130,1),ColDescriptionCourte)),""),
  "")),"")</f>
        <v/>
      </c>
      <c r="W130" s="40" t="str">
        <f ca="1">IFERROR(IF(AND(
  INDEX(Roadmap!$D:$K,MATCH($E130,Roadmap!$D:$D,0)+COUNTIF($E130:V130,"u")+COUNTIF($E130:V130,"t")+COUNTIF($E130:V130,"¶")+COUNTIF($E130:V130,"²")+COUNTIF($E130:V130,"µ")+COUNTIF($E130:V130,1),ColLivraison)=W$6,
  VLOOKUP($E130,INDIRECT("tri!"&amp; CHAR(64+ C0Col) &amp;":"&amp; CHAR(65+C0Col)),2,FALSE)&gt;COUNTIF($E130:V130,"u")+COUNTIF($E130:V130,"t")+COUNTIF($E130:V130,"¶")+COUNTIF($E130:V130,"²")+COUNTIF($E130:V130,"µ")+COUNTIF($E130:V130,1)),
HYPERLINK("#Roadmap!C"&amp; MATCH($E130,Roadmap!$D:$D,0)+COUNTIF($E130:V130,"u")+COUNTIF($E130:V130,"t"),
     INDEX(Roadmap!$D:$K,MATCH($E130,Roadmap!$D:$D,0)+COUNTIF($E130:V130,"u")+COUNTIF($E130:V130,"t")+COUNTIF($E130:V130,"¶")+COUNTIF($E130:V130,"²")+COUNTIF($E130:V130,"µ")+COUNTIF($E130:V130,1),ColTypeEcheance)),
  IF(LEN(V130)=1,
  IF(LEN(INDEX(Roadmap!$D:$K,MATCH($E130,Roadmap!$D:$D,0)-1+COUNTIF($E130:V130,"u")+COUNTIF($E130:V130,"t")+COUNTIF($E130:V130,"¶")+COUNTIF($E130:V130,"²")+COUNTIF($E130:V130,"µ")+COUNTIF($E130:V130,1),ColDescriptionCourte))&gt;1,
HYPERLINK("#Roadmap!C"&amp; MATCH($E130,Roadmap!$D:$D,0)+COUNTIF($E130:V130,"u")+COUNTIF($E130:V130,"t")+COUNTIF($E130:V130,"¶")+COUNTIF($E130:V130,"²")+COUNTIF($E130:V130,"µ")+COUNTIF($E130:V130,1)-1,INDEX(Roadmap!$D:$K,MATCH($E130,Roadmap!$D:$D,0)-1+COUNTIF($E130:V130,"u")+COUNTIF($E130:V130,"t")+COUNTIF($E130:V130,"¶")+COUNTIF($E130:V130,"²")+COUNTIF($E130:V130,"µ")+COUNTIF($E130:V130,1),ColDescriptionCourte)),""),
  "")),"")</f>
        <v/>
      </c>
      <c r="X130" s="40" t="str">
        <f ca="1">IFERROR(IF(AND(
  INDEX(Roadmap!$D:$K,MATCH($E130,Roadmap!$D:$D,0)+COUNTIF($E130:W130,"u")+COUNTIF($E130:W130,"t")+COUNTIF($E130:W130,"¶")+COUNTIF($E130:W130,"²")+COUNTIF($E130:W130,"µ")+COUNTIF($E130:W130,1),ColLivraison)=X$6,
  VLOOKUP($E130,INDIRECT("tri!"&amp; CHAR(64+ C0Col) &amp;":"&amp; CHAR(65+C0Col)),2,FALSE)&gt;COUNTIF($E130:W130,"u")+COUNTIF($E130:W130,"t")+COUNTIF($E130:W130,"¶")+COUNTIF($E130:W130,"²")+COUNTIF($E130:W130,"µ")+COUNTIF($E130:W130,1)),
HYPERLINK("#Roadmap!C"&amp; MATCH($E130,Roadmap!$D:$D,0)+COUNTIF($E130:W130,"u")+COUNTIF($E130:W130,"t"),
     INDEX(Roadmap!$D:$K,MATCH($E130,Roadmap!$D:$D,0)+COUNTIF($E130:W130,"u")+COUNTIF($E130:W130,"t")+COUNTIF($E130:W130,"¶")+COUNTIF($E130:W130,"²")+COUNTIF($E130:W130,"µ")+COUNTIF($E130:W130,1),ColTypeEcheance)),
  IF(LEN(W130)=1,
  IF(LEN(INDEX(Roadmap!$D:$K,MATCH($E130,Roadmap!$D:$D,0)-1+COUNTIF($E130:W130,"u")+COUNTIF($E130:W130,"t")+COUNTIF($E130:W130,"¶")+COUNTIF($E130:W130,"²")+COUNTIF($E130:W130,"µ")+COUNTIF($E130:W130,1),ColDescriptionCourte))&gt;1,
HYPERLINK("#Roadmap!C"&amp; MATCH($E130,Roadmap!$D:$D,0)+COUNTIF($E130:W130,"u")+COUNTIF($E130:W130,"t")+COUNTIF($E130:W130,"¶")+COUNTIF($E130:W130,"²")+COUNTIF($E130:W130,"µ")+COUNTIF($E130:W130,1)-1,INDEX(Roadmap!$D:$K,MATCH($E130,Roadmap!$D:$D,0)-1+COUNTIF($E130:W130,"u")+COUNTIF($E130:W130,"t")+COUNTIF($E130:W130,"¶")+COUNTIF($E130:W130,"²")+COUNTIF($E130:W130,"µ")+COUNTIF($E130:W130,1),ColDescriptionCourte)),""),
  "")),"")</f>
        <v/>
      </c>
      <c r="Y130" s="40" t="str">
        <f ca="1">IFERROR(IF(AND(
  INDEX(Roadmap!$D:$K,MATCH($E130,Roadmap!$D:$D,0)+COUNTIF($E130:X130,"u")+COUNTIF($E130:X130,"t")+COUNTIF($E130:X130,"¶")+COUNTIF($E130:X130,"²")+COUNTIF($E130:X130,"µ")+COUNTIF($E130:X130,1),ColLivraison)=Y$6,
  VLOOKUP($E130,INDIRECT("tri!"&amp; CHAR(64+ C0Col) &amp;":"&amp; CHAR(65+C0Col)),2,FALSE)&gt;COUNTIF($E130:X130,"u")+COUNTIF($E130:X130,"t")+COUNTIF($E130:X130,"¶")+COUNTIF($E130:X130,"²")+COUNTIF($E130:X130,"µ")+COUNTIF($E130:X130,1)),
HYPERLINK("#Roadmap!C"&amp; MATCH($E130,Roadmap!$D:$D,0)+COUNTIF($E130:X130,"u")+COUNTIF($E130:X130,"t"),
     INDEX(Roadmap!$D:$K,MATCH($E130,Roadmap!$D:$D,0)+COUNTIF($E130:X130,"u")+COUNTIF($E130:X130,"t")+COUNTIF($E130:X130,"¶")+COUNTIF($E130:X130,"²")+COUNTIF($E130:X130,"µ")+COUNTIF($E130:X130,1),ColTypeEcheance)),
  IF(LEN(X130)=1,
  IF(LEN(INDEX(Roadmap!$D:$K,MATCH($E130,Roadmap!$D:$D,0)-1+COUNTIF($E130:X130,"u")+COUNTIF($E130:X130,"t")+COUNTIF($E130:X130,"¶")+COUNTIF($E130:X130,"²")+COUNTIF($E130:X130,"µ")+COUNTIF($E130:X130,1),ColDescriptionCourte))&gt;1,
HYPERLINK("#Roadmap!C"&amp; MATCH($E130,Roadmap!$D:$D,0)+COUNTIF($E130:X130,"u")+COUNTIF($E130:X130,"t")+COUNTIF($E130:X130,"¶")+COUNTIF($E130:X130,"²")+COUNTIF($E130:X130,"µ")+COUNTIF($E130:X130,1)-1,INDEX(Roadmap!$D:$K,MATCH($E130,Roadmap!$D:$D,0)-1+COUNTIF($E130:X130,"u")+COUNTIF($E130:X130,"t")+COUNTIF($E130:X130,"¶")+COUNTIF($E130:X130,"²")+COUNTIF($E130:X130,"µ")+COUNTIF($E130:X130,1),ColDescriptionCourte)),""),
  "")),"")</f>
        <v/>
      </c>
      <c r="Z130" s="40" t="str">
        <f ca="1">IFERROR(IF(AND(
  INDEX(Roadmap!$D:$K,MATCH($E130,Roadmap!$D:$D,0)+COUNTIF($E130:Y130,"u")+COUNTIF($E130:Y130,"t")+COUNTIF($E130:Y130,"¶")+COUNTIF($E130:Y130,"²")+COUNTIF($E130:Y130,"µ")+COUNTIF($E130:Y130,1),ColLivraison)=Z$6,
  VLOOKUP($E130,INDIRECT("tri!"&amp; CHAR(64+ C0Col) &amp;":"&amp; CHAR(65+C0Col)),2,FALSE)&gt;COUNTIF($E130:Y130,"u")+COUNTIF($E130:Y130,"t")+COUNTIF($E130:Y130,"¶")+COUNTIF($E130:Y130,"²")+COUNTIF($E130:Y130,"µ")+COUNTIF($E130:Y130,1)),
HYPERLINK("#Roadmap!C"&amp; MATCH($E130,Roadmap!$D:$D,0)+COUNTIF($E130:Y130,"u")+COUNTIF($E130:Y130,"t"),
     INDEX(Roadmap!$D:$K,MATCH($E130,Roadmap!$D:$D,0)+COUNTIF($E130:Y130,"u")+COUNTIF($E130:Y130,"t")+COUNTIF($E130:Y130,"¶")+COUNTIF($E130:Y130,"²")+COUNTIF($E130:Y130,"µ")+COUNTIF($E130:Y130,1),ColTypeEcheance)),
  IF(LEN(Y130)=1,
  IF(LEN(INDEX(Roadmap!$D:$K,MATCH($E130,Roadmap!$D:$D,0)-1+COUNTIF($E130:Y130,"u")+COUNTIF($E130:Y130,"t")+COUNTIF($E130:Y130,"¶")+COUNTIF($E130:Y130,"²")+COUNTIF($E130:Y130,"µ")+COUNTIF($E130:Y130,1),ColDescriptionCourte))&gt;1,
HYPERLINK("#Roadmap!C"&amp; MATCH($E130,Roadmap!$D:$D,0)+COUNTIF($E130:Y130,"u")+COUNTIF($E130:Y130,"t")+COUNTIF($E130:Y130,"¶")+COUNTIF($E130:Y130,"²")+COUNTIF($E130:Y130,"µ")+COUNTIF($E130:Y130,1)-1,INDEX(Roadmap!$D:$K,MATCH($E130,Roadmap!$D:$D,0)-1+COUNTIF($E130:Y130,"u")+COUNTIF($E130:Y130,"t")+COUNTIF($E130:Y130,"¶")+COUNTIF($E130:Y130,"²")+COUNTIF($E130:Y130,"µ")+COUNTIF($E130:Y130,1),ColDescriptionCourte)),""),
  "")),"")</f>
        <v/>
      </c>
      <c r="AA130" s="40" t="str">
        <f ca="1">IFERROR(IF(AND(
  INDEX(Roadmap!$D:$K,MATCH($E130,Roadmap!$D:$D,0)+COUNTIF($E130:Z130,"u")+COUNTIF($E130:Z130,"t")+COUNTIF($E130:Z130,"¶")+COUNTIF($E130:Z130,"²")+COUNTIF($E130:Z130,"µ")+COUNTIF($E130:Z130,1),ColLivraison)=AA$6,
  VLOOKUP($E130,INDIRECT("tri!"&amp; CHAR(64+ C0Col) &amp;":"&amp; CHAR(65+C0Col)),2,FALSE)&gt;COUNTIF($E130:Z130,"u")+COUNTIF($E130:Z130,"t")+COUNTIF($E130:Z130,"¶")+COUNTIF($E130:Z130,"²")+COUNTIF($E130:Z130,"µ")+COUNTIF($E130:Z130,1)),
HYPERLINK("#Roadmap!C"&amp; MATCH($E130,Roadmap!$D:$D,0)+COUNTIF($E130:Z130,"u")+COUNTIF($E130:Z130,"t"),
     INDEX(Roadmap!$D:$K,MATCH($E130,Roadmap!$D:$D,0)+COUNTIF($E130:Z130,"u")+COUNTIF($E130:Z130,"t")+COUNTIF($E130:Z130,"¶")+COUNTIF($E130:Z130,"²")+COUNTIF($E130:Z130,"µ")+COUNTIF($E130:Z130,1),ColTypeEcheance)),
  IF(LEN(Z130)=1,
  IF(LEN(INDEX(Roadmap!$D:$K,MATCH($E130,Roadmap!$D:$D,0)-1+COUNTIF($E130:Z130,"u")+COUNTIF($E130:Z130,"t")+COUNTIF($E130:Z130,"¶")+COUNTIF($E130:Z130,"²")+COUNTIF($E130:Z130,"µ")+COUNTIF($E130:Z130,1),ColDescriptionCourte))&gt;1,
HYPERLINK("#Roadmap!C"&amp; MATCH($E130,Roadmap!$D:$D,0)+COUNTIF($E130:Z130,"u")+COUNTIF($E130:Z130,"t")+COUNTIF($E130:Z130,"¶")+COUNTIF($E130:Z130,"²")+COUNTIF($E130:Z130,"µ")+COUNTIF($E130:Z130,1)-1,INDEX(Roadmap!$D:$K,MATCH($E130,Roadmap!$D:$D,0)-1+COUNTIF($E130:Z130,"u")+COUNTIF($E130:Z130,"t")+COUNTIF($E130:Z130,"¶")+COUNTIF($E130:Z130,"²")+COUNTIF($E130:Z130,"µ")+COUNTIF($E130:Z130,1),ColDescriptionCourte)),""),
  "")),"")</f>
        <v/>
      </c>
      <c r="AB130" s="40" t="str">
        <f ca="1">IFERROR(IF(AND(
  INDEX(Roadmap!$D:$K,MATCH($E130,Roadmap!$D:$D,0)+COUNTIF($E130:AA130,"u")+COUNTIF($E130:AA130,"t")+COUNTIF($E130:AA130,"¶")+COUNTIF($E130:AA130,"²")+COUNTIF($E130:AA130,"µ")+COUNTIF($E130:AA130,1),ColLivraison)=AB$6,
  VLOOKUP($E130,INDIRECT("tri!"&amp; CHAR(64+ C0Col) &amp;":"&amp; CHAR(65+C0Col)),2,FALSE)&gt;COUNTIF($E130:AA130,"u")+COUNTIF($E130:AA130,"t")+COUNTIF($E130:AA130,"¶")+COUNTIF($E130:AA130,"²")+COUNTIF($E130:AA130,"µ")+COUNTIF($E130:AA130,1)),
HYPERLINK("#Roadmap!C"&amp; MATCH($E130,Roadmap!$D:$D,0)+COUNTIF($E130:AA130,"u")+COUNTIF($E130:AA130,"t"),
     INDEX(Roadmap!$D:$K,MATCH($E130,Roadmap!$D:$D,0)+COUNTIF($E130:AA130,"u")+COUNTIF($E130:AA130,"t")+COUNTIF($E130:AA130,"¶")+COUNTIF($E130:AA130,"²")+COUNTIF($E130:AA130,"µ")+COUNTIF($E130:AA130,1),ColTypeEcheance)),
  IF(LEN(AA130)=1,
  IF(LEN(INDEX(Roadmap!$D:$K,MATCH($E130,Roadmap!$D:$D,0)-1+COUNTIF($E130:AA130,"u")+COUNTIF($E130:AA130,"t")+COUNTIF($E130:AA130,"¶")+COUNTIF($E130:AA130,"²")+COUNTIF($E130:AA130,"µ")+COUNTIF($E130:AA130,1),ColDescriptionCourte))&gt;1,
HYPERLINK("#Roadmap!C"&amp; MATCH($E130,Roadmap!$D:$D,0)+COUNTIF($E130:AA130,"u")+COUNTIF($E130:AA130,"t")+COUNTIF($E130:AA130,"¶")+COUNTIF($E130:AA130,"²")+COUNTIF($E130:AA130,"µ")+COUNTIF($E130:AA130,1)-1,INDEX(Roadmap!$D:$K,MATCH($E130,Roadmap!$D:$D,0)-1+COUNTIF($E130:AA130,"u")+COUNTIF($E130:AA130,"t")+COUNTIF($E130:AA130,"¶")+COUNTIF($E130:AA130,"²")+COUNTIF($E130:AA130,"µ")+COUNTIF($E130:AA130,1),ColDescriptionCourte)),""),
  "")),"")</f>
        <v/>
      </c>
      <c r="AC130" s="40" t="str">
        <f ca="1">IFERROR(IF(AND(
  INDEX(Roadmap!$D:$K,MATCH($E130,Roadmap!$D:$D,0)+COUNTIF($E130:AB130,"u")+COUNTIF($E130:AB130,"t")+COUNTIF($E130:AB130,"¶")+COUNTIF($E130:AB130,"²")+COUNTIF($E130:AB130,"µ")+COUNTIF($E130:AB130,1),ColLivraison)=AC$6,
  VLOOKUP($E130,INDIRECT("tri!"&amp; CHAR(64+ C0Col) &amp;":"&amp; CHAR(65+C0Col)),2,FALSE)&gt;COUNTIF($E130:AB130,"u")+COUNTIF($E130:AB130,"t")+COUNTIF($E130:AB130,"¶")+COUNTIF($E130:AB130,"²")+COUNTIF($E130:AB130,"µ")+COUNTIF($E130:AB130,1)),
HYPERLINK("#Roadmap!C"&amp; MATCH($E130,Roadmap!$D:$D,0)+COUNTIF($E130:AB130,"u")+COUNTIF($E130:AB130,"t"),
     INDEX(Roadmap!$D:$K,MATCH($E130,Roadmap!$D:$D,0)+COUNTIF($E130:AB130,"u")+COUNTIF($E130:AB130,"t")+COUNTIF($E130:AB130,"¶")+COUNTIF($E130:AB130,"²")+COUNTIF($E130:AB130,"µ")+COUNTIF($E130:AB130,1),ColTypeEcheance)),
  IF(LEN(AB130)=1,
  IF(LEN(INDEX(Roadmap!$D:$K,MATCH($E130,Roadmap!$D:$D,0)-1+COUNTIF($E130:AB130,"u")+COUNTIF($E130:AB130,"t")+COUNTIF($E130:AB130,"¶")+COUNTIF($E130:AB130,"²")+COUNTIF($E130:AB130,"µ")+COUNTIF($E130:AB130,1),ColDescriptionCourte))&gt;1,
HYPERLINK("#Roadmap!C"&amp; MATCH($E130,Roadmap!$D:$D,0)+COUNTIF($E130:AB130,"u")+COUNTIF($E130:AB130,"t")+COUNTIF($E130:AB130,"¶")+COUNTIF($E130:AB130,"²")+COUNTIF($E130:AB130,"µ")+COUNTIF($E130:AB130,1)-1,INDEX(Roadmap!$D:$K,MATCH($E130,Roadmap!$D:$D,0)-1+COUNTIF($E130:AB130,"u")+COUNTIF($E130:AB130,"t")+COUNTIF($E130:AB130,"¶")+COUNTIF($E130:AB130,"²")+COUNTIF($E130:AB130,"µ")+COUNTIF($E130:AB130,1),ColDescriptionCourte)),""),
  "")),"")</f>
        <v/>
      </c>
      <c r="AD130" s="40" t="str">
        <f ca="1">IFERROR(IF(AND(
  INDEX(Roadmap!$D:$K,MATCH($E130,Roadmap!$D:$D,0)+COUNTIF($E130:AC130,"u")+COUNTIF($E130:AC130,"t")+COUNTIF($E130:AC130,"¶")+COUNTIF($E130:AC130,"²")+COUNTIF($E130:AC130,"µ")+COUNTIF($E130:AC130,1),ColLivraison)=AD$6,
  VLOOKUP($E130,INDIRECT("tri!"&amp; CHAR(64+ C0Col) &amp;":"&amp; CHAR(65+C0Col)),2,FALSE)&gt;COUNTIF($E130:AC130,"u")+COUNTIF($E130:AC130,"t")+COUNTIF($E130:AC130,"¶")+COUNTIF($E130:AC130,"²")+COUNTIF($E130:AC130,"µ")+COUNTIF($E130:AC130,1)),
HYPERLINK("#Roadmap!C"&amp; MATCH($E130,Roadmap!$D:$D,0)+COUNTIF($E130:AC130,"u")+COUNTIF($E130:AC130,"t"),
     INDEX(Roadmap!$D:$K,MATCH($E130,Roadmap!$D:$D,0)+COUNTIF($E130:AC130,"u")+COUNTIF($E130:AC130,"t")+COUNTIF($E130:AC130,"¶")+COUNTIF($E130:AC130,"²")+COUNTIF($E130:AC130,"µ")+COUNTIF($E130:AC130,1),ColTypeEcheance)),
  IF(LEN(AC130)=1,
  IF(LEN(INDEX(Roadmap!$D:$K,MATCH($E130,Roadmap!$D:$D,0)-1+COUNTIF($E130:AC130,"u")+COUNTIF($E130:AC130,"t")+COUNTIF($E130:AC130,"¶")+COUNTIF($E130:AC130,"²")+COUNTIF($E130:AC130,"µ")+COUNTIF($E130:AC130,1),ColDescriptionCourte))&gt;1,
HYPERLINK("#Roadmap!C"&amp; MATCH($E130,Roadmap!$D:$D,0)+COUNTIF($E130:AC130,"u")+COUNTIF($E130:AC130,"t")+COUNTIF($E130:AC130,"¶")+COUNTIF($E130:AC130,"²")+COUNTIF($E130:AC130,"µ")+COUNTIF($E130:AC130,1)-1,INDEX(Roadmap!$D:$K,MATCH($E130,Roadmap!$D:$D,0)-1+COUNTIF($E130:AC130,"u")+COUNTIF($E130:AC130,"t")+COUNTIF($E130:AC130,"¶")+COUNTIF($E130:AC130,"²")+COUNTIF($E130:AC130,"µ")+COUNTIF($E130:AC130,1),ColDescriptionCourte)),""),
  "")),"")</f>
        <v/>
      </c>
      <c r="AE130" s="40" t="str">
        <f ca="1">IFERROR(IF(AND(
  INDEX(Roadmap!$D:$K,MATCH($E130,Roadmap!$D:$D,0)+COUNTIF($E130:AD130,"u")+COUNTIF($E130:AD130,"t")+COUNTIF($E130:AD130,"¶")+COUNTIF($E130:AD130,"²")+COUNTIF($E130:AD130,"µ")+COUNTIF($E130:AD130,1),ColLivraison)=AE$6,
  VLOOKUP($E130,INDIRECT("tri!"&amp; CHAR(64+ C0Col) &amp;":"&amp; CHAR(65+C0Col)),2,FALSE)&gt;COUNTIF($E130:AD130,"u")+COUNTIF($E130:AD130,"t")+COUNTIF($E130:AD130,"¶")+COUNTIF($E130:AD130,"²")+COUNTIF($E130:AD130,"µ")+COUNTIF($E130:AD130,1)),
HYPERLINK("#Roadmap!C"&amp; MATCH($E130,Roadmap!$D:$D,0)+COUNTIF($E130:AD130,"u")+COUNTIF($E130:AD130,"t"),
     INDEX(Roadmap!$D:$K,MATCH($E130,Roadmap!$D:$D,0)+COUNTIF($E130:AD130,"u")+COUNTIF($E130:AD130,"t")+COUNTIF($E130:AD130,"¶")+COUNTIF($E130:AD130,"²")+COUNTIF($E130:AD130,"µ")+COUNTIF($E130:AD130,1),ColTypeEcheance)),
  IF(LEN(AD130)=1,
  IF(LEN(INDEX(Roadmap!$D:$K,MATCH($E130,Roadmap!$D:$D,0)-1+COUNTIF($E130:AD130,"u")+COUNTIF($E130:AD130,"t")+COUNTIF($E130:AD130,"¶")+COUNTIF($E130:AD130,"²")+COUNTIF($E130:AD130,"µ")+COUNTIF($E130:AD130,1),ColDescriptionCourte))&gt;1,
HYPERLINK("#Roadmap!C"&amp; MATCH($E130,Roadmap!$D:$D,0)+COUNTIF($E130:AD130,"u")+COUNTIF($E130:AD130,"t")+COUNTIF($E130:AD130,"¶")+COUNTIF($E130:AD130,"²")+COUNTIF($E130:AD130,"µ")+COUNTIF($E130:AD130,1)-1,INDEX(Roadmap!$D:$K,MATCH($E130,Roadmap!$D:$D,0)-1+COUNTIF($E130:AD130,"u")+COUNTIF($E130:AD130,"t")+COUNTIF($E130:AD130,"¶")+COUNTIF($E130:AD130,"²")+COUNTIF($E130:AD130,"µ")+COUNTIF($E130:AD130,1),ColDescriptionCourte)),""),
  "")),"")</f>
        <v/>
      </c>
      <c r="AF130" s="40" t="str">
        <f ca="1">IFERROR(IF(AND(
  INDEX(Roadmap!$D:$K,MATCH($E130,Roadmap!$D:$D,0)+COUNTIF($E130:AE130,"u")+COUNTIF($E130:AE130,"t")+COUNTIF($E130:AE130,"¶")+COUNTIF($E130:AE130,"²")+COUNTIF($E130:AE130,"µ")+COUNTIF($E130:AE130,1),ColLivraison)=AF$6,
  VLOOKUP($E130,INDIRECT("tri!"&amp; CHAR(64+ C0Col) &amp;":"&amp; CHAR(65+C0Col)),2,FALSE)&gt;COUNTIF($E130:AE130,"u")+COUNTIF($E130:AE130,"t")+COUNTIF($E130:AE130,"¶")+COUNTIF($E130:AE130,"²")+COUNTIF($E130:AE130,"µ")+COUNTIF($E130:AE130,1)),
HYPERLINK("#Roadmap!C"&amp; MATCH($E130,Roadmap!$D:$D,0)+COUNTIF($E130:AE130,"u")+COUNTIF($E130:AE130,"t"),
     INDEX(Roadmap!$D:$K,MATCH($E130,Roadmap!$D:$D,0)+COUNTIF($E130:AE130,"u")+COUNTIF($E130:AE130,"t")+COUNTIF($E130:AE130,"¶")+COUNTIF($E130:AE130,"²")+COUNTIF($E130:AE130,"µ")+COUNTIF($E130:AE130,1),ColTypeEcheance)),
  IF(LEN(AE130)=1,
  IF(LEN(INDEX(Roadmap!$D:$K,MATCH($E130,Roadmap!$D:$D,0)-1+COUNTIF($E130:AE130,"u")+COUNTIF($E130:AE130,"t")+COUNTIF($E130:AE130,"¶")+COUNTIF($E130:AE130,"²")+COUNTIF($E130:AE130,"µ")+COUNTIF($E130:AE130,1),ColDescriptionCourte))&gt;1,
HYPERLINK("#Roadmap!C"&amp; MATCH($E130,Roadmap!$D:$D,0)+COUNTIF($E130:AE130,"u")+COUNTIF($E130:AE130,"t")+COUNTIF($E130:AE130,"¶")+COUNTIF($E130:AE130,"²")+COUNTIF($E130:AE130,"µ")+COUNTIF($E130:AE130,1)-1,INDEX(Roadmap!$D:$K,MATCH($E130,Roadmap!$D:$D,0)-1+COUNTIF($E130:AE130,"u")+COUNTIF($E130:AE130,"t")+COUNTIF($E130:AE130,"¶")+COUNTIF($E130:AE130,"²")+COUNTIF($E130:AE130,"µ")+COUNTIF($E130:AE130,1),ColDescriptionCourte)),""),
  "")),"")</f>
        <v/>
      </c>
      <c r="AG130" s="40" t="str">
        <f ca="1">IFERROR(IF(AND(
  INDEX(Roadmap!$D:$K,MATCH($E130,Roadmap!$D:$D,0)+COUNTIF($E130:AF130,"u")+COUNTIF($E130:AF130,"t")+COUNTIF($E130:AF130,"¶")+COUNTIF($E130:AF130,"²")+COUNTIF($E130:AF130,"µ")+COUNTIF($E130:AF130,1),ColLivraison)=AG$6,
  VLOOKUP($E130,INDIRECT("tri!"&amp; CHAR(64+ C0Col) &amp;":"&amp; CHAR(65+C0Col)),2,FALSE)&gt;COUNTIF($E130:AF130,"u")+COUNTIF($E130:AF130,"t")+COUNTIF($E130:AF130,"¶")+COUNTIF($E130:AF130,"²")+COUNTIF($E130:AF130,"µ")+COUNTIF($E130:AF130,1)),
HYPERLINK("#Roadmap!C"&amp; MATCH($E130,Roadmap!$D:$D,0)+COUNTIF($E130:AF130,"u")+COUNTIF($E130:AF130,"t"),
     INDEX(Roadmap!$D:$K,MATCH($E130,Roadmap!$D:$D,0)+COUNTIF($E130:AF130,"u")+COUNTIF($E130:AF130,"t")+COUNTIF($E130:AF130,"¶")+COUNTIF($E130:AF130,"²")+COUNTIF($E130:AF130,"µ")+COUNTIF($E130:AF130,1),ColTypeEcheance)),
  IF(LEN(AF130)=1,
  IF(LEN(INDEX(Roadmap!$D:$K,MATCH($E130,Roadmap!$D:$D,0)-1+COUNTIF($E130:AF130,"u")+COUNTIF($E130:AF130,"t")+COUNTIF($E130:AF130,"¶")+COUNTIF($E130:AF130,"²")+COUNTIF($E130:AF130,"µ")+COUNTIF($E130:AF130,1),ColDescriptionCourte))&gt;1,
HYPERLINK("#Roadmap!C"&amp; MATCH($E130,Roadmap!$D:$D,0)+COUNTIF($E130:AF130,"u")+COUNTIF($E130:AF130,"t")+COUNTIF($E130:AF130,"¶")+COUNTIF($E130:AF130,"²")+COUNTIF($E130:AF130,"µ")+COUNTIF($E130:AF130,1)-1,INDEX(Roadmap!$D:$K,MATCH($E130,Roadmap!$D:$D,0)-1+COUNTIF($E130:AF130,"u")+COUNTIF($E130:AF130,"t")+COUNTIF($E130:AF130,"¶")+COUNTIF($E130:AF130,"²")+COUNTIF($E130:AF130,"µ")+COUNTIF($E130:AF130,1),ColDescriptionCourte)),""),
  "")),"")</f>
        <v/>
      </c>
      <c r="AH130" s="40" t="str">
        <f ca="1">IFERROR(IF(AND(
  INDEX(Roadmap!$D:$K,MATCH($E130,Roadmap!$D:$D,0)+COUNTIF($E130:AG130,"u")+COUNTIF($E130:AG130,"t")+COUNTIF($E130:AG130,1),ColLivraison)=AH$6,
  VLOOKUP($E130,INDIRECT("tri!"&amp; CHAR(64+ C0Col) &amp;":"&amp; CHAR(65+C0Col)),2,FALSE)&gt;COUNTIF($E130:AG130,"u")+COUNTIF($E130:AG130,"t")+COUNTIF($E130:AG130,1)),
HYPERLINK("#Roadmap!C"&amp; MATCH($E130,Roadmap!$D:$D,0)+COUNTIF($E130:AG130,"u")+COUNTIF($E130:AG130,"t"),
     INDEX(Roadmap!$D:$K,MATCH($E130,Roadmap!$D:$D,0)+COUNTIF($E130:AG130,"u")+COUNTIF($E130:AG130,"t")+COUNTIF($E130:AG130,1),ColTypeEcheance)),
  IF(OR(AG130="u",AG130="t",AG130=1),
  IF(LEN(INDEX(Roadmap!$D:$K,MATCH($E130,Roadmap!$D:$D,0)-1+COUNTIF($E130:AG130,"u")+COUNTIF($E130:AG130,"t")+COUNTIF($E130:AG130,1),ColDescriptionCourte))&gt;1,
HYPERLINK("#Roadmap!C"&amp; MATCH($E130,Roadmap!$D:$D,0)+COUNTIF($E130:AG130,"u")+COUNTIF($E130:AG130,"t")+COUNTIF($E130:AG130,1)-1,INDEX(Roadmap!$D:$K,MATCH($E130,Roadmap!$D:$D,0)-1+COUNTIF($E130:AG130,"u")+COUNTIF($E130:AG130,"t")+COUNTIF($E130:AG130,1),ColDescriptionCourte)),""),
  "")),"")</f>
        <v/>
      </c>
      <c r="AI130" s="40"/>
      <c r="AJ130" s="40"/>
      <c r="AK130" s="40"/>
      <c r="AL130" s="40"/>
      <c r="AM130" s="40"/>
    </row>
    <row r="131" spans="4:39" ht="14.1" customHeight="1">
      <c r="D131" s="20" t="str">
        <f t="shared" ca="1" si="29"/>
        <v/>
      </c>
      <c r="E131" s="53" t="str">
        <f t="shared" ca="1" si="30"/>
        <v/>
      </c>
      <c r="F131" s="39" t="str">
        <f ca="1">IFERROR(IF(AND(
  INDEX(Roadmap!$D:$K,MATCH($E131,Roadmap!$D:$D,0)+COUNTIF($E131:E131,"u")+COUNTIF($E131:E131,"t")+COUNTIF($E131:E131,"¶")+COUNTIF($E131:E131,"²")+COUNTIF($E131:E131,"µ")+COUNTIF($E131:E131,1),ColLivraison)=F$6,
  VLOOKUP($E131,INDIRECT("tri!"&amp; CHAR(64+ C0Col) &amp;":"&amp; CHAR(65+C0Col)),2,FALSE)&gt;COUNTIF($E131:E131,"u")+COUNTIF($E131:E131,"t")+COUNTIF($E131:E131,"¶")+COUNTIF($E131:E131,"²")+COUNTIF($E131:E131,"µ")+COUNTIF($E131:E131,1)),
HYPERLINK("#Roadmap!C"&amp; MATCH($E131,Roadmap!$D:$D,0)+COUNTIF($E131:E131,"u")+COUNTIF($E131:E131,"t"),
     INDEX(Roadmap!$D:$K,MATCH($E131,Roadmap!$D:$D,0)+COUNTIF($E131:E131,"u")+COUNTIF($E131:E131,"t")+COUNTIF($E131:E131,"¶")+COUNTIF($E131:E131,"²")+COUNTIF($E131:E131,"µ")+COUNTIF($E131:E131,1),ColTypeEcheance)),
  IF(LEN(E131)=1,
  IF(LEN(INDEX(Roadmap!$D:$K,MATCH($E131,Roadmap!$D:$D,0)-1+COUNTIF($E131:E131,"u")+COUNTIF($E131:E131,"t")+COUNTIF($E131:E131,"¶")+COUNTIF($E131:E131,"²")+COUNTIF($E131:E131,"µ")+COUNTIF($E131:E131,1),ColDescriptionCourte))&gt;1,
HYPERLINK("#Roadmap!C"&amp; MATCH($E131,Roadmap!$D:$D,0)+COUNTIF($E131:E131,"u")+COUNTIF($E131:E131,"t")+COUNTIF($E131:E131,"¶")+COUNTIF($E131:E131,"²")+COUNTIF($E131:E131,"µ")+COUNTIF($E131:E131,1)-1,INDEX(Roadmap!$D:$K,MATCH($E131,Roadmap!$D:$D,0)-1+COUNTIF($E131:E131,"u")+COUNTIF($E131:E131,"t")+COUNTIF($E131:E131,"¶")+COUNTIF($E131:E131,"²")+COUNTIF($E131:E131,"µ")+COUNTIF($E131:E131,1),ColDescriptionCourte)),""),
  "")),"")</f>
        <v/>
      </c>
      <c r="G131" s="40" t="str">
        <f ca="1">IFERROR(IF(AND(
  INDEX(Roadmap!$D:$K,MATCH($E131,Roadmap!$D:$D,0)+COUNTIF($E131:F131,"u")+COUNTIF($E131:F131,"t")+COUNTIF($E131:F131,"¶")+COUNTIF($E131:F131,"²")+COUNTIF($E131:F131,"µ")+COUNTIF($E131:F131,1),ColLivraison)=G$6,
  VLOOKUP($E131,INDIRECT("tri!"&amp; CHAR(64+ C0Col) &amp;":"&amp; CHAR(65+C0Col)),2,FALSE)&gt;COUNTIF($E131:F131,"u")+COUNTIF($E131:F131,"t")+COUNTIF($E131:F131,"¶")+COUNTIF($E131:F131,"²")+COUNTIF($E131:F131,"µ")+COUNTIF($E131:F131,1)),
HYPERLINK("#Roadmap!C"&amp; MATCH($E131,Roadmap!$D:$D,0)+COUNTIF($E131:F131,"u")+COUNTIF($E131:F131,"t"),
     INDEX(Roadmap!$D:$K,MATCH($E131,Roadmap!$D:$D,0)+COUNTIF($E131:F131,"u")+COUNTIF($E131:F131,"t")+COUNTIF($E131:F131,"¶")+COUNTIF($E131:F131,"²")+COUNTIF($E131:F131,"µ")+COUNTIF($E131:F131,1),ColTypeEcheance)),
  IF(LEN(F131)=1,
  IF(LEN(INDEX(Roadmap!$D:$K,MATCH($E131,Roadmap!$D:$D,0)-1+COUNTIF($E131:F131,"u")+COUNTIF($E131:F131,"t")+COUNTIF($E131:F131,"¶")+COUNTIF($E131:F131,"²")+COUNTIF($E131:F131,"µ")+COUNTIF($E131:F131,1),ColDescriptionCourte))&gt;1,
HYPERLINK("#Roadmap!C"&amp; MATCH($E131,Roadmap!$D:$D,0)+COUNTIF($E131:F131,"u")+COUNTIF($E131:F131,"t")+COUNTIF($E131:F131,"¶")+COUNTIF($E131:F131,"²")+COUNTIF($E131:F131,"µ")+COUNTIF($E131:F131,1)-1,INDEX(Roadmap!$D:$K,MATCH($E131,Roadmap!$D:$D,0)-1+COUNTIF($E131:F131,"u")+COUNTIF($E131:F131,"t")+COUNTIF($E131:F131,"¶")+COUNTIF($E131:F131,"²")+COUNTIF($E131:F131,"µ")+COUNTIF($E131:F131,1),ColDescriptionCourte)),""),
  "")),"")</f>
        <v/>
      </c>
      <c r="H131" s="40" t="str">
        <f ca="1">IFERROR(IF(AND(
  INDEX(Roadmap!$D:$K,MATCH($E131,Roadmap!$D:$D,0)+COUNTIF($E131:G131,"u")+COUNTIF($E131:G131,"t")+COUNTIF($E131:G131,"¶")+COUNTIF($E131:G131,"²")+COUNTIF($E131:G131,"µ")+COUNTIF($E131:G131,1),ColLivraison)=H$6,
  VLOOKUP($E131,INDIRECT("tri!"&amp; CHAR(64+ C0Col) &amp;":"&amp; CHAR(65+C0Col)),2,FALSE)&gt;COUNTIF($E131:G131,"u")+COUNTIF($E131:G131,"t")+COUNTIF($E131:G131,"¶")+COUNTIF($E131:G131,"²")+COUNTIF($E131:G131,"µ")+COUNTIF($E131:G131,1)),
HYPERLINK("#Roadmap!C"&amp; MATCH($E131,Roadmap!$D:$D,0)+COUNTIF($E131:G131,"u")+COUNTIF($E131:G131,"t"),
     INDEX(Roadmap!$D:$K,MATCH($E131,Roadmap!$D:$D,0)+COUNTIF($E131:G131,"u")+COUNTIF($E131:G131,"t")+COUNTIF($E131:G131,"¶")+COUNTIF($E131:G131,"²")+COUNTIF($E131:G131,"µ")+COUNTIF($E131:G131,1),ColTypeEcheance)),
  IF(LEN(G131)=1,
  IF(LEN(INDEX(Roadmap!$D:$K,MATCH($E131,Roadmap!$D:$D,0)-1+COUNTIF($E131:G131,"u")+COUNTIF($E131:G131,"t")+COUNTIF($E131:G131,"¶")+COUNTIF($E131:G131,"²")+COUNTIF($E131:G131,"µ")+COUNTIF($E131:G131,1),ColDescriptionCourte))&gt;1,
HYPERLINK("#Roadmap!C"&amp; MATCH($E131,Roadmap!$D:$D,0)+COUNTIF($E131:G131,"u")+COUNTIF($E131:G131,"t")+COUNTIF($E131:G131,"¶")+COUNTIF($E131:G131,"²")+COUNTIF($E131:G131,"µ")+COUNTIF($E131:G131,1)-1,INDEX(Roadmap!$D:$K,MATCH($E131,Roadmap!$D:$D,0)-1+COUNTIF($E131:G131,"u")+COUNTIF($E131:G131,"t")+COUNTIF($E131:G131,"¶")+COUNTIF($E131:G131,"²")+COUNTIF($E131:G131,"µ")+COUNTIF($E131:G131,1),ColDescriptionCourte)),""),
  "")),"")</f>
        <v/>
      </c>
      <c r="I131" s="40" t="str">
        <f ca="1">IFERROR(IF(AND(
  INDEX(Roadmap!$D:$K,MATCH($E131,Roadmap!$D:$D,0)+COUNTIF($E131:H131,"u")+COUNTIF($E131:H131,"t")+COUNTIF($E131:H131,"¶")+COUNTIF($E131:H131,"²")+COUNTIF($E131:H131,"µ")+COUNTIF($E131:H131,1),ColLivraison)=I$6,
  VLOOKUP($E131,INDIRECT("tri!"&amp; CHAR(64+ C0Col) &amp;":"&amp; CHAR(65+C0Col)),2,FALSE)&gt;COUNTIF($E131:H131,"u")+COUNTIF($E131:H131,"t")+COUNTIF($E131:H131,"¶")+COUNTIF($E131:H131,"²")+COUNTIF($E131:H131,"µ")+COUNTIF($E131:H131,1)),
HYPERLINK("#Roadmap!C"&amp; MATCH($E131,Roadmap!$D:$D,0)+COUNTIF($E131:H131,"u")+COUNTIF($E131:H131,"t"),
     INDEX(Roadmap!$D:$K,MATCH($E131,Roadmap!$D:$D,0)+COUNTIF($E131:H131,"u")+COUNTIF($E131:H131,"t")+COUNTIF($E131:H131,"¶")+COUNTIF($E131:H131,"²")+COUNTIF($E131:H131,"µ")+COUNTIF($E131:H131,1),ColTypeEcheance)),
  IF(LEN(H131)=1,
  IF(LEN(INDEX(Roadmap!$D:$K,MATCH($E131,Roadmap!$D:$D,0)-1+COUNTIF($E131:H131,"u")+COUNTIF($E131:H131,"t")+COUNTIF($E131:H131,"¶")+COUNTIF($E131:H131,"²")+COUNTIF($E131:H131,"µ")+COUNTIF($E131:H131,1),ColDescriptionCourte))&gt;1,
HYPERLINK("#Roadmap!C"&amp; MATCH($E131,Roadmap!$D:$D,0)+COUNTIF($E131:H131,"u")+COUNTIF($E131:H131,"t")+COUNTIF($E131:H131,"¶")+COUNTIF($E131:H131,"²")+COUNTIF($E131:H131,"µ")+COUNTIF($E131:H131,1)-1,INDEX(Roadmap!$D:$K,MATCH($E131,Roadmap!$D:$D,0)-1+COUNTIF($E131:H131,"u")+COUNTIF($E131:H131,"t")+COUNTIF($E131:H131,"¶")+COUNTIF($E131:H131,"²")+COUNTIF($E131:H131,"µ")+COUNTIF($E131:H131,1),ColDescriptionCourte)),""),
  "")),"")</f>
        <v/>
      </c>
      <c r="J131" s="40" t="str">
        <f ca="1">IFERROR(IF(AND(
  INDEX(Roadmap!$D:$K,MATCH($E131,Roadmap!$D:$D,0)+COUNTIF($E131:I131,"u")+COUNTIF($E131:I131,"t")+COUNTIF($E131:I131,"¶")+COUNTIF($E131:I131,"²")+COUNTIF($E131:I131,"µ")+COUNTIF($E131:I131,1),ColLivraison)=J$6,
  VLOOKUP($E131,INDIRECT("tri!"&amp; CHAR(64+ C0Col) &amp;":"&amp; CHAR(65+C0Col)),2,FALSE)&gt;COUNTIF($E131:I131,"u")+COUNTIF($E131:I131,"t")+COUNTIF($E131:I131,"¶")+COUNTIF($E131:I131,"²")+COUNTIF($E131:I131,"µ")+COUNTIF($E131:I131,1)),
HYPERLINK("#Roadmap!C"&amp; MATCH($E131,Roadmap!$D:$D,0)+COUNTIF($E131:I131,"u")+COUNTIF($E131:I131,"t"),
     INDEX(Roadmap!$D:$K,MATCH($E131,Roadmap!$D:$D,0)+COUNTIF($E131:I131,"u")+COUNTIF($E131:I131,"t")+COUNTIF($E131:I131,"¶")+COUNTIF($E131:I131,"²")+COUNTIF($E131:I131,"µ")+COUNTIF($E131:I131,1),ColTypeEcheance)),
  IF(LEN(I131)=1,
  IF(LEN(INDEX(Roadmap!$D:$K,MATCH($E131,Roadmap!$D:$D,0)-1+COUNTIF($E131:I131,"u")+COUNTIF($E131:I131,"t")+COUNTIF($E131:I131,"¶")+COUNTIF($E131:I131,"²")+COUNTIF($E131:I131,"µ")+COUNTIF($E131:I131,1),ColDescriptionCourte))&gt;1,
HYPERLINK("#Roadmap!C"&amp; MATCH($E131,Roadmap!$D:$D,0)+COUNTIF($E131:I131,"u")+COUNTIF($E131:I131,"t")+COUNTIF($E131:I131,"¶")+COUNTIF($E131:I131,"²")+COUNTIF($E131:I131,"µ")+COUNTIF($E131:I131,1)-1,INDEX(Roadmap!$D:$K,MATCH($E131,Roadmap!$D:$D,0)-1+COUNTIF($E131:I131,"u")+COUNTIF($E131:I131,"t")+COUNTIF($E131:I131,"¶")+COUNTIF($E131:I131,"²")+COUNTIF($E131:I131,"µ")+COUNTIF($E131:I131,1),ColDescriptionCourte)),""),
  "")),"")</f>
        <v/>
      </c>
      <c r="K131" s="40" t="str">
        <f ca="1">IFERROR(IF(AND(
  INDEX(Roadmap!$D:$K,MATCH($E131,Roadmap!$D:$D,0)+COUNTIF($E131:J131,"u")+COUNTIF($E131:J131,"t")+COUNTIF($E131:J131,"¶")+COUNTIF($E131:J131,"²")+COUNTIF($E131:J131,"µ")+COUNTIF($E131:J131,1),ColLivraison)=K$6,
  VLOOKUP($E131,INDIRECT("tri!"&amp; CHAR(64+ C0Col) &amp;":"&amp; CHAR(65+C0Col)),2,FALSE)&gt;COUNTIF($E131:J131,"u")+COUNTIF($E131:J131,"t")+COUNTIF($E131:J131,"¶")+COUNTIF($E131:J131,"²")+COUNTIF($E131:J131,"µ")+COUNTIF($E131:J131,1)),
HYPERLINK("#Roadmap!C"&amp; MATCH($E131,Roadmap!$D:$D,0)+COUNTIF($E131:J131,"u")+COUNTIF($E131:J131,"t"),
     INDEX(Roadmap!$D:$K,MATCH($E131,Roadmap!$D:$D,0)+COUNTIF($E131:J131,"u")+COUNTIF($E131:J131,"t")+COUNTIF($E131:J131,"¶")+COUNTIF($E131:J131,"²")+COUNTIF($E131:J131,"µ")+COUNTIF($E131:J131,1),ColTypeEcheance)),
  IF(LEN(J131)=1,
  IF(LEN(INDEX(Roadmap!$D:$K,MATCH($E131,Roadmap!$D:$D,0)-1+COUNTIF($E131:J131,"u")+COUNTIF($E131:J131,"t")+COUNTIF($E131:J131,"¶")+COUNTIF($E131:J131,"²")+COUNTIF($E131:J131,"µ")+COUNTIF($E131:J131,1),ColDescriptionCourte))&gt;1,
HYPERLINK("#Roadmap!C"&amp; MATCH($E131,Roadmap!$D:$D,0)+COUNTIF($E131:J131,"u")+COUNTIF($E131:J131,"t")+COUNTIF($E131:J131,"¶")+COUNTIF($E131:J131,"²")+COUNTIF($E131:J131,"µ")+COUNTIF($E131:J131,1)-1,INDEX(Roadmap!$D:$K,MATCH($E131,Roadmap!$D:$D,0)-1+COUNTIF($E131:J131,"u")+COUNTIF($E131:J131,"t")+COUNTIF($E131:J131,"¶")+COUNTIF($E131:J131,"²")+COUNTIF($E131:J131,"µ")+COUNTIF($E131:J131,1),ColDescriptionCourte)),""),
  "")),"")</f>
        <v/>
      </c>
      <c r="L131" s="39" t="str">
        <f ca="1">IFERROR(IF(AND(
  INDEX(Roadmap!$D:$K,MATCH($E131,Roadmap!$D:$D,0)+COUNTIF($E131:K131,"u")+COUNTIF($E131:K131,"t")+COUNTIF($E131:K131,"¶")+COUNTIF($E131:K131,"²")+COUNTIF($E131:K131,"µ")+COUNTIF($E131:K131,1),ColLivraison)=L$6,
  VLOOKUP($E131,INDIRECT("tri!"&amp; CHAR(64+ C0Col) &amp;":"&amp; CHAR(65+C0Col)),2,FALSE)&gt;COUNTIF($E131:K131,"u")+COUNTIF($E131:K131,"t")+COUNTIF($E131:K131,"¶")+COUNTIF($E131:K131,"²")+COUNTIF($E131:K131,"µ")+COUNTIF($E131:K131,1)),
HYPERLINK("#Roadmap!C"&amp; MATCH($E131,Roadmap!$D:$D,0)+COUNTIF($E131:K131,"u")+COUNTIF($E131:K131,"t"),
     INDEX(Roadmap!$D:$K,MATCH($E131,Roadmap!$D:$D,0)+COUNTIF($E131:K131,"u")+COUNTIF($E131:K131,"t")+COUNTIF($E131:K131,"¶")+COUNTIF($E131:K131,"²")+COUNTIF($E131:K131,"µ")+COUNTIF($E131:K131,1),ColTypeEcheance)),
  IF(LEN(K131)=1,
  IF(LEN(INDEX(Roadmap!$D:$K,MATCH($E131,Roadmap!$D:$D,0)-1+COUNTIF($E131:K131,"u")+COUNTIF($E131:K131,"t")+COUNTIF($E131:K131,"¶")+COUNTIF($E131:K131,"²")+COUNTIF($E131:K131,"µ")+COUNTIF($E131:K131,1),ColDescriptionCourte))&gt;1,
HYPERLINK("#Roadmap!C"&amp; MATCH($E131,Roadmap!$D:$D,0)+COUNTIF($E131:K131,"u")+COUNTIF($E131:K131,"t")+COUNTIF($E131:K131,"¶")+COUNTIF($E131:K131,"²")+COUNTIF($E131:K131,"µ")+COUNTIF($E131:K131,1)-1,INDEX(Roadmap!$D:$K,MATCH($E131,Roadmap!$D:$D,0)-1+COUNTIF($E131:K131,"u")+COUNTIF($E131:K131,"t")+COUNTIF($E131:K131,"¶")+COUNTIF($E131:K131,"²")+COUNTIF($E131:K131,"µ")+COUNTIF($E131:K131,1),ColDescriptionCourte)),""),
  "")),"")</f>
        <v/>
      </c>
      <c r="M131" s="40" t="str">
        <f ca="1">IFERROR(IF(AND(
  INDEX(Roadmap!$D:$K,MATCH($E131,Roadmap!$D:$D,0)+COUNTIF($E131:L131,"u")+COUNTIF($E131:L131,"t")+COUNTIF($E131:L131,"¶")+COUNTIF($E131:L131,"²")+COUNTIF($E131:L131,"µ")+COUNTIF($E131:L131,1),ColLivraison)=M$6,
  VLOOKUP($E131,INDIRECT("tri!"&amp; CHAR(64+ C0Col) &amp;":"&amp; CHAR(65+C0Col)),2,FALSE)&gt;COUNTIF($E131:L131,"u")+COUNTIF($E131:L131,"t")+COUNTIF($E131:L131,"¶")+COUNTIF($E131:L131,"²")+COUNTIF($E131:L131,"µ")+COUNTIF($E131:L131,1)),
HYPERLINK("#Roadmap!C"&amp; MATCH($E131,Roadmap!$D:$D,0)+COUNTIF($E131:L131,"u")+COUNTIF($E131:L131,"t"),
     INDEX(Roadmap!$D:$K,MATCH($E131,Roadmap!$D:$D,0)+COUNTIF($E131:L131,"u")+COUNTIF($E131:L131,"t")+COUNTIF($E131:L131,"¶")+COUNTIF($E131:L131,"²")+COUNTIF($E131:L131,"µ")+COUNTIF($E131:L131,1),ColTypeEcheance)),
  IF(LEN(L131)=1,
  IF(LEN(INDEX(Roadmap!$D:$K,MATCH($E131,Roadmap!$D:$D,0)-1+COUNTIF($E131:L131,"u")+COUNTIF($E131:L131,"t")+COUNTIF($E131:L131,"¶")+COUNTIF($E131:L131,"²")+COUNTIF($E131:L131,"µ")+COUNTIF($E131:L131,1),ColDescriptionCourte))&gt;1,
HYPERLINK("#Roadmap!C"&amp; MATCH($E131,Roadmap!$D:$D,0)+COUNTIF($E131:L131,"u")+COUNTIF($E131:L131,"t")+COUNTIF($E131:L131,"¶")+COUNTIF($E131:L131,"²")+COUNTIF($E131:L131,"µ")+COUNTIF($E131:L131,1)-1,INDEX(Roadmap!$D:$K,MATCH($E131,Roadmap!$D:$D,0)-1+COUNTIF($E131:L131,"u")+COUNTIF($E131:L131,"t")+COUNTIF($E131:L131,"¶")+COUNTIF($E131:L131,"²")+COUNTIF($E131:L131,"µ")+COUNTIF($E131:L131,1),ColDescriptionCourte)),""),
  "")),"")</f>
        <v/>
      </c>
      <c r="N131" s="40" t="str">
        <f ca="1">IFERROR(IF(AND(
  INDEX(Roadmap!$D:$K,MATCH($E131,Roadmap!$D:$D,0)+COUNTIF($E131:M131,"u")+COUNTIF($E131:M131,"t")+COUNTIF($E131:M131,"¶")+COUNTIF($E131:M131,"²")+COUNTIF($E131:M131,"µ")+COUNTIF($E131:M131,1),ColLivraison)=N$6,
  VLOOKUP($E131,INDIRECT("tri!"&amp; CHAR(64+ C0Col) &amp;":"&amp; CHAR(65+C0Col)),2,FALSE)&gt;COUNTIF($E131:M131,"u")+COUNTIF($E131:M131,"t")+COUNTIF($E131:M131,"¶")+COUNTIF($E131:M131,"²")+COUNTIF($E131:M131,"µ")+COUNTIF($E131:M131,1)),
HYPERLINK("#Roadmap!C"&amp; MATCH($E131,Roadmap!$D:$D,0)+COUNTIF($E131:M131,"u")+COUNTIF($E131:M131,"t"),
     INDEX(Roadmap!$D:$K,MATCH($E131,Roadmap!$D:$D,0)+COUNTIF($E131:M131,"u")+COUNTIF($E131:M131,"t")+COUNTIF($E131:M131,"¶")+COUNTIF($E131:M131,"²")+COUNTIF($E131:M131,"µ")+COUNTIF($E131:M131,1),ColTypeEcheance)),
  IF(LEN(M131)=1,
  IF(LEN(INDEX(Roadmap!$D:$K,MATCH($E131,Roadmap!$D:$D,0)-1+COUNTIF($E131:M131,"u")+COUNTIF($E131:M131,"t")+COUNTIF($E131:M131,"¶")+COUNTIF($E131:M131,"²")+COUNTIF($E131:M131,"µ")+COUNTIF($E131:M131,1),ColDescriptionCourte))&gt;1,
HYPERLINK("#Roadmap!C"&amp; MATCH($E131,Roadmap!$D:$D,0)+COUNTIF($E131:M131,"u")+COUNTIF($E131:M131,"t")+COUNTIF($E131:M131,"¶")+COUNTIF($E131:M131,"²")+COUNTIF($E131:M131,"µ")+COUNTIF($E131:M131,1)-1,INDEX(Roadmap!$D:$K,MATCH($E131,Roadmap!$D:$D,0)-1+COUNTIF($E131:M131,"u")+COUNTIF($E131:M131,"t")+COUNTIF($E131:M131,"¶")+COUNTIF($E131:M131,"²")+COUNTIF($E131:M131,"µ")+COUNTIF($E131:M131,1),ColDescriptionCourte)),""),
  "")),"")</f>
        <v/>
      </c>
      <c r="O131" s="40" t="str">
        <f ca="1">IFERROR(IF(AND(
  INDEX(Roadmap!$D:$K,MATCH($E131,Roadmap!$D:$D,0)+COUNTIF($E131:N131,"u")+COUNTIF($E131:N131,"t")+COUNTIF($E131:N131,"¶")+COUNTIF($E131:N131,"²")+COUNTIF($E131:N131,"µ")+COUNTIF($E131:N131,1),ColLivraison)=O$6,
  VLOOKUP($E131,INDIRECT("tri!"&amp; CHAR(64+ C0Col) &amp;":"&amp; CHAR(65+C0Col)),2,FALSE)&gt;COUNTIF($E131:N131,"u")+COUNTIF($E131:N131,"t")+COUNTIF($E131:N131,"¶")+COUNTIF($E131:N131,"²")+COUNTIF($E131:N131,"µ")+COUNTIF($E131:N131,1)),
HYPERLINK("#Roadmap!C"&amp; MATCH($E131,Roadmap!$D:$D,0)+COUNTIF($E131:N131,"u")+COUNTIF($E131:N131,"t"),
     INDEX(Roadmap!$D:$K,MATCH($E131,Roadmap!$D:$D,0)+COUNTIF($E131:N131,"u")+COUNTIF($E131:N131,"t")+COUNTIF($E131:N131,"¶")+COUNTIF($E131:N131,"²")+COUNTIF($E131:N131,"µ")+COUNTIF($E131:N131,1),ColTypeEcheance)),
  IF(LEN(N131)=1,
  IF(LEN(INDEX(Roadmap!$D:$K,MATCH($E131,Roadmap!$D:$D,0)-1+COUNTIF($E131:N131,"u")+COUNTIF($E131:N131,"t")+COUNTIF($E131:N131,"¶")+COUNTIF($E131:N131,"²")+COUNTIF($E131:N131,"µ")+COUNTIF($E131:N131,1),ColDescriptionCourte))&gt;1,
HYPERLINK("#Roadmap!C"&amp; MATCH($E131,Roadmap!$D:$D,0)+COUNTIF($E131:N131,"u")+COUNTIF($E131:N131,"t")+COUNTIF($E131:N131,"¶")+COUNTIF($E131:N131,"²")+COUNTIF($E131:N131,"µ")+COUNTIF($E131:N131,1)-1,INDEX(Roadmap!$D:$K,MATCH($E131,Roadmap!$D:$D,0)-1+COUNTIF($E131:N131,"u")+COUNTIF($E131:N131,"t")+COUNTIF($E131:N131,"¶")+COUNTIF($E131:N131,"²")+COUNTIF($E131:N131,"µ")+COUNTIF($E131:N131,1),ColDescriptionCourte)),""),
  "")),"")</f>
        <v/>
      </c>
      <c r="P131" s="40" t="str">
        <f ca="1">IFERROR(IF(AND(
  INDEX(Roadmap!$D:$K,MATCH($E131,Roadmap!$D:$D,0)+COUNTIF($E131:O131,"u")+COUNTIF($E131:O131,"t")+COUNTIF($E131:O131,"¶")+COUNTIF($E131:O131,"²")+COUNTIF($E131:O131,"µ")+COUNTIF($E131:O131,1),ColLivraison)=P$6,
  VLOOKUP($E131,INDIRECT("tri!"&amp; CHAR(64+ C0Col) &amp;":"&amp; CHAR(65+C0Col)),2,FALSE)&gt;COUNTIF($E131:O131,"u")+COUNTIF($E131:O131,"t")+COUNTIF($E131:O131,"¶")+COUNTIF($E131:O131,"²")+COUNTIF($E131:O131,"µ")+COUNTIF($E131:O131,1)),
HYPERLINK("#Roadmap!C"&amp; MATCH($E131,Roadmap!$D:$D,0)+COUNTIF($E131:O131,"u")+COUNTIF($E131:O131,"t"),
     INDEX(Roadmap!$D:$K,MATCH($E131,Roadmap!$D:$D,0)+COUNTIF($E131:O131,"u")+COUNTIF($E131:O131,"t")+COUNTIF($E131:O131,"¶")+COUNTIF($E131:O131,"²")+COUNTIF($E131:O131,"µ")+COUNTIF($E131:O131,1),ColTypeEcheance)),
  IF(LEN(O131)=1,
  IF(LEN(INDEX(Roadmap!$D:$K,MATCH($E131,Roadmap!$D:$D,0)-1+COUNTIF($E131:O131,"u")+COUNTIF($E131:O131,"t")+COUNTIF($E131:O131,"¶")+COUNTIF($E131:O131,"²")+COUNTIF($E131:O131,"µ")+COUNTIF($E131:O131,1),ColDescriptionCourte))&gt;1,
HYPERLINK("#Roadmap!C"&amp; MATCH($E131,Roadmap!$D:$D,0)+COUNTIF($E131:O131,"u")+COUNTIF($E131:O131,"t")+COUNTIF($E131:O131,"¶")+COUNTIF($E131:O131,"²")+COUNTIF($E131:O131,"µ")+COUNTIF($E131:O131,1)-1,INDEX(Roadmap!$D:$K,MATCH($E131,Roadmap!$D:$D,0)-1+COUNTIF($E131:O131,"u")+COUNTIF($E131:O131,"t")+COUNTIF($E131:O131,"¶")+COUNTIF($E131:O131,"²")+COUNTIF($E131:O131,"µ")+COUNTIF($E131:O131,1),ColDescriptionCourte)),""),
  "")),"")</f>
        <v/>
      </c>
      <c r="Q131" s="40" t="str">
        <f ca="1">IFERROR(IF(AND(
  INDEX(Roadmap!$D:$K,MATCH($E131,Roadmap!$D:$D,0)+COUNTIF($E131:P131,"u")+COUNTIF($E131:P131,"t")+COUNTIF($E131:P131,"¶")+COUNTIF($E131:P131,"²")+COUNTIF($E131:P131,"µ")+COUNTIF($E131:P131,1),ColLivraison)=Q$6,
  VLOOKUP($E131,INDIRECT("tri!"&amp; CHAR(64+ C0Col) &amp;":"&amp; CHAR(65+C0Col)),2,FALSE)&gt;COUNTIF($E131:P131,"u")+COUNTIF($E131:P131,"t")+COUNTIF($E131:P131,"¶")+COUNTIF($E131:P131,"²")+COUNTIF($E131:P131,"µ")+COUNTIF($E131:P131,1)),
HYPERLINK("#Roadmap!C"&amp; MATCH($E131,Roadmap!$D:$D,0)+COUNTIF($E131:P131,"u")+COUNTIF($E131:P131,"t"),
     INDEX(Roadmap!$D:$K,MATCH($E131,Roadmap!$D:$D,0)+COUNTIF($E131:P131,"u")+COUNTIF($E131:P131,"t")+COUNTIF($E131:P131,"¶")+COUNTIF($E131:P131,"²")+COUNTIF($E131:P131,"µ")+COUNTIF($E131:P131,1),ColTypeEcheance)),
  IF(LEN(P131)=1,
  IF(LEN(INDEX(Roadmap!$D:$K,MATCH($E131,Roadmap!$D:$D,0)-1+COUNTIF($E131:P131,"u")+COUNTIF($E131:P131,"t")+COUNTIF($E131:P131,"¶")+COUNTIF($E131:P131,"²")+COUNTIF($E131:P131,"µ")+COUNTIF($E131:P131,1),ColDescriptionCourte))&gt;1,
HYPERLINK("#Roadmap!C"&amp; MATCH($E131,Roadmap!$D:$D,0)+COUNTIF($E131:P131,"u")+COUNTIF($E131:P131,"t")+COUNTIF($E131:P131,"¶")+COUNTIF($E131:P131,"²")+COUNTIF($E131:P131,"µ")+COUNTIF($E131:P131,1)-1,INDEX(Roadmap!$D:$K,MATCH($E131,Roadmap!$D:$D,0)-1+COUNTIF($E131:P131,"u")+COUNTIF($E131:P131,"t")+COUNTIF($E131:P131,"¶")+COUNTIF($E131:P131,"²")+COUNTIF($E131:P131,"µ")+COUNTIF($E131:P131,1),ColDescriptionCourte)),""),
  "")),"")</f>
        <v/>
      </c>
      <c r="R131" s="40" t="str">
        <f ca="1">IFERROR(IF(AND(
  INDEX(Roadmap!$D:$K,MATCH($E131,Roadmap!$D:$D,0)+COUNTIF($E131:Q131,"u")+COUNTIF($E131:Q131,"t")+COUNTIF($E131:Q131,"¶")+COUNTIF($E131:Q131,"²")+COUNTIF($E131:Q131,"µ")+COUNTIF($E131:Q131,1),ColLivraison)=R$6,
  VLOOKUP($E131,INDIRECT("tri!"&amp; CHAR(64+ C0Col) &amp;":"&amp; CHAR(65+C0Col)),2,FALSE)&gt;COUNTIF($E131:Q131,"u")+COUNTIF($E131:Q131,"t")+COUNTIF($E131:Q131,"¶")+COUNTIF($E131:Q131,"²")+COUNTIF($E131:Q131,"µ")+COUNTIF($E131:Q131,1)),
HYPERLINK("#Roadmap!C"&amp; MATCH($E131,Roadmap!$D:$D,0)+COUNTIF($E131:Q131,"u")+COUNTIF($E131:Q131,"t"),
     INDEX(Roadmap!$D:$K,MATCH($E131,Roadmap!$D:$D,0)+COUNTIF($E131:Q131,"u")+COUNTIF($E131:Q131,"t")+COUNTIF($E131:Q131,"¶")+COUNTIF($E131:Q131,"²")+COUNTIF($E131:Q131,"µ")+COUNTIF($E131:Q131,1),ColTypeEcheance)),
  IF(LEN(Q131)=1,
  IF(LEN(INDEX(Roadmap!$D:$K,MATCH($E131,Roadmap!$D:$D,0)-1+COUNTIF($E131:Q131,"u")+COUNTIF($E131:Q131,"t")+COUNTIF($E131:Q131,"¶")+COUNTIF($E131:Q131,"²")+COUNTIF($E131:Q131,"µ")+COUNTIF($E131:Q131,1),ColDescriptionCourte))&gt;1,
HYPERLINK("#Roadmap!C"&amp; MATCH($E131,Roadmap!$D:$D,0)+COUNTIF($E131:Q131,"u")+COUNTIF($E131:Q131,"t")+COUNTIF($E131:Q131,"¶")+COUNTIF($E131:Q131,"²")+COUNTIF($E131:Q131,"µ")+COUNTIF($E131:Q131,1)-1,INDEX(Roadmap!$D:$K,MATCH($E131,Roadmap!$D:$D,0)-1+COUNTIF($E131:Q131,"u")+COUNTIF($E131:Q131,"t")+COUNTIF($E131:Q131,"¶")+COUNTIF($E131:Q131,"²")+COUNTIF($E131:Q131,"µ")+COUNTIF($E131:Q131,1),ColDescriptionCourte)),""),
  "")),"")</f>
        <v/>
      </c>
      <c r="S131" s="40" t="str">
        <f ca="1">IFERROR(IF(AND(
  INDEX(Roadmap!$D:$K,MATCH($E131,Roadmap!$D:$D,0)+COUNTIF($E131:R131,"u")+COUNTIF($E131:R131,"t")+COUNTIF($E131:R131,"¶")+COUNTIF($E131:R131,"²")+COUNTIF($E131:R131,"µ")+COUNTIF($E131:R131,1),ColLivraison)=S$6,
  VLOOKUP($E131,INDIRECT("tri!"&amp; CHAR(64+ C0Col) &amp;":"&amp; CHAR(65+C0Col)),2,FALSE)&gt;COUNTIF($E131:R131,"u")+COUNTIF($E131:R131,"t")+COUNTIF($E131:R131,"¶")+COUNTIF($E131:R131,"²")+COUNTIF($E131:R131,"µ")+COUNTIF($E131:R131,1)),
HYPERLINK("#Roadmap!C"&amp; MATCH($E131,Roadmap!$D:$D,0)+COUNTIF($E131:R131,"u")+COUNTIF($E131:R131,"t"),
     INDEX(Roadmap!$D:$K,MATCH($E131,Roadmap!$D:$D,0)+COUNTIF($E131:R131,"u")+COUNTIF($E131:R131,"t")+COUNTIF($E131:R131,"¶")+COUNTIF($E131:R131,"²")+COUNTIF($E131:R131,"µ")+COUNTIF($E131:R131,1),ColTypeEcheance)),
  IF(LEN(R131)=1,
  IF(LEN(INDEX(Roadmap!$D:$K,MATCH($E131,Roadmap!$D:$D,0)-1+COUNTIF($E131:R131,"u")+COUNTIF($E131:R131,"t")+COUNTIF($E131:R131,"¶")+COUNTIF($E131:R131,"²")+COUNTIF($E131:R131,"µ")+COUNTIF($E131:R131,1),ColDescriptionCourte))&gt;1,
HYPERLINK("#Roadmap!C"&amp; MATCH($E131,Roadmap!$D:$D,0)+COUNTIF($E131:R131,"u")+COUNTIF($E131:R131,"t")+COUNTIF($E131:R131,"¶")+COUNTIF($E131:R131,"²")+COUNTIF($E131:R131,"µ")+COUNTIF($E131:R131,1)-1,INDEX(Roadmap!$D:$K,MATCH($E131,Roadmap!$D:$D,0)-1+COUNTIF($E131:R131,"u")+COUNTIF($E131:R131,"t")+COUNTIF($E131:R131,"¶")+COUNTIF($E131:R131,"²")+COUNTIF($E131:R131,"µ")+COUNTIF($E131:R131,1),ColDescriptionCourte)),""),
  "")),"")</f>
        <v/>
      </c>
      <c r="T131" s="40" t="str">
        <f ca="1">IFERROR(IF(AND(
  INDEX(Roadmap!$D:$K,MATCH($E131,Roadmap!$D:$D,0)+COUNTIF($E131:S131,"u")+COUNTIF($E131:S131,"t")+COUNTIF($E131:S131,"¶")+COUNTIF($E131:S131,"²")+COUNTIF($E131:S131,"µ")+COUNTIF($E131:S131,1),ColLivraison)=T$6,
  VLOOKUP($E131,INDIRECT("tri!"&amp; CHAR(64+ C0Col) &amp;":"&amp; CHAR(65+C0Col)),2,FALSE)&gt;COUNTIF($E131:S131,"u")+COUNTIF($E131:S131,"t")+COUNTIF($E131:S131,"¶")+COUNTIF($E131:S131,"²")+COUNTIF($E131:S131,"µ")+COUNTIF($E131:S131,1)),
HYPERLINK("#Roadmap!C"&amp; MATCH($E131,Roadmap!$D:$D,0)+COUNTIF($E131:S131,"u")+COUNTIF($E131:S131,"t"),
     INDEX(Roadmap!$D:$K,MATCH($E131,Roadmap!$D:$D,0)+COUNTIF($E131:S131,"u")+COUNTIF($E131:S131,"t")+COUNTIF($E131:S131,"¶")+COUNTIF($E131:S131,"²")+COUNTIF($E131:S131,"µ")+COUNTIF($E131:S131,1),ColTypeEcheance)),
  IF(LEN(S131)=1,
  IF(LEN(INDEX(Roadmap!$D:$K,MATCH($E131,Roadmap!$D:$D,0)-1+COUNTIF($E131:S131,"u")+COUNTIF($E131:S131,"t")+COUNTIF($E131:S131,"¶")+COUNTIF($E131:S131,"²")+COUNTIF($E131:S131,"µ")+COUNTIF($E131:S131,1),ColDescriptionCourte))&gt;1,
HYPERLINK("#Roadmap!C"&amp; MATCH($E131,Roadmap!$D:$D,0)+COUNTIF($E131:S131,"u")+COUNTIF($E131:S131,"t")+COUNTIF($E131:S131,"¶")+COUNTIF($E131:S131,"²")+COUNTIF($E131:S131,"µ")+COUNTIF($E131:S131,1)-1,INDEX(Roadmap!$D:$K,MATCH($E131,Roadmap!$D:$D,0)-1+COUNTIF($E131:S131,"u")+COUNTIF($E131:S131,"t")+COUNTIF($E131:S131,"¶")+COUNTIF($E131:S131,"²")+COUNTIF($E131:S131,"µ")+COUNTIF($E131:S131,1),ColDescriptionCourte)),""),
  "")),"")</f>
        <v/>
      </c>
      <c r="U131" s="40" t="str">
        <f ca="1">IFERROR(IF(AND(
  INDEX(Roadmap!$D:$K,MATCH($E131,Roadmap!$D:$D,0)+COUNTIF($E131:T131,"u")+COUNTIF($E131:T131,"t")+COUNTIF($E131:T131,"¶")+COUNTIF($E131:T131,"²")+COUNTIF($E131:T131,"µ")+COUNTIF($E131:T131,1),ColLivraison)=U$6,
  VLOOKUP($E131,INDIRECT("tri!"&amp; CHAR(64+ C0Col) &amp;":"&amp; CHAR(65+C0Col)),2,FALSE)&gt;COUNTIF($E131:T131,"u")+COUNTIF($E131:T131,"t")+COUNTIF($E131:T131,"¶")+COUNTIF($E131:T131,"²")+COUNTIF($E131:T131,"µ")+COUNTIF($E131:T131,1)),
HYPERLINK("#Roadmap!C"&amp; MATCH($E131,Roadmap!$D:$D,0)+COUNTIF($E131:T131,"u")+COUNTIF($E131:T131,"t"),
     INDEX(Roadmap!$D:$K,MATCH($E131,Roadmap!$D:$D,0)+COUNTIF($E131:T131,"u")+COUNTIF($E131:T131,"t")+COUNTIF($E131:T131,"¶")+COUNTIF($E131:T131,"²")+COUNTIF($E131:T131,"µ")+COUNTIF($E131:T131,1),ColTypeEcheance)),
  IF(LEN(T131)=1,
  IF(LEN(INDEX(Roadmap!$D:$K,MATCH($E131,Roadmap!$D:$D,0)-1+COUNTIF($E131:T131,"u")+COUNTIF($E131:T131,"t")+COUNTIF($E131:T131,"¶")+COUNTIF($E131:T131,"²")+COUNTIF($E131:T131,"µ")+COUNTIF($E131:T131,1),ColDescriptionCourte))&gt;1,
HYPERLINK("#Roadmap!C"&amp; MATCH($E131,Roadmap!$D:$D,0)+COUNTIF($E131:T131,"u")+COUNTIF($E131:T131,"t")+COUNTIF($E131:T131,"¶")+COUNTIF($E131:T131,"²")+COUNTIF($E131:T131,"µ")+COUNTIF($E131:T131,1)-1,INDEX(Roadmap!$D:$K,MATCH($E131,Roadmap!$D:$D,0)-1+COUNTIF($E131:T131,"u")+COUNTIF($E131:T131,"t")+COUNTIF($E131:T131,"¶")+COUNTIF($E131:T131,"²")+COUNTIF($E131:T131,"µ")+COUNTIF($E131:T131,1),ColDescriptionCourte)),""),
  "")),"")</f>
        <v/>
      </c>
      <c r="V131" s="40" t="str">
        <f ca="1">IFERROR(IF(AND(
  INDEX(Roadmap!$D:$K,MATCH($E131,Roadmap!$D:$D,0)+COUNTIF($E131:U131,"u")+COUNTIF($E131:U131,"t")+COUNTIF($E131:U131,"¶")+COUNTIF($E131:U131,"²")+COUNTIF($E131:U131,"µ")+COUNTIF($E131:U131,1),ColLivraison)=V$6,
  VLOOKUP($E131,INDIRECT("tri!"&amp; CHAR(64+ C0Col) &amp;":"&amp; CHAR(65+C0Col)),2,FALSE)&gt;COUNTIF($E131:U131,"u")+COUNTIF($E131:U131,"t")+COUNTIF($E131:U131,"¶")+COUNTIF($E131:U131,"²")+COUNTIF($E131:U131,"µ")+COUNTIF($E131:U131,1)),
HYPERLINK("#Roadmap!C"&amp; MATCH($E131,Roadmap!$D:$D,0)+COUNTIF($E131:U131,"u")+COUNTIF($E131:U131,"t"),
     INDEX(Roadmap!$D:$K,MATCH($E131,Roadmap!$D:$D,0)+COUNTIF($E131:U131,"u")+COUNTIF($E131:U131,"t")+COUNTIF($E131:U131,"¶")+COUNTIF($E131:U131,"²")+COUNTIF($E131:U131,"µ")+COUNTIF($E131:U131,1),ColTypeEcheance)),
  IF(LEN(U131)=1,
  IF(LEN(INDEX(Roadmap!$D:$K,MATCH($E131,Roadmap!$D:$D,0)-1+COUNTIF($E131:U131,"u")+COUNTIF($E131:U131,"t")+COUNTIF($E131:U131,"¶")+COUNTIF($E131:U131,"²")+COUNTIF($E131:U131,"µ")+COUNTIF($E131:U131,1),ColDescriptionCourte))&gt;1,
HYPERLINK("#Roadmap!C"&amp; MATCH($E131,Roadmap!$D:$D,0)+COUNTIF($E131:U131,"u")+COUNTIF($E131:U131,"t")+COUNTIF($E131:U131,"¶")+COUNTIF($E131:U131,"²")+COUNTIF($E131:U131,"µ")+COUNTIF($E131:U131,1)-1,INDEX(Roadmap!$D:$K,MATCH($E131,Roadmap!$D:$D,0)-1+COUNTIF($E131:U131,"u")+COUNTIF($E131:U131,"t")+COUNTIF($E131:U131,"¶")+COUNTIF($E131:U131,"²")+COUNTIF($E131:U131,"µ")+COUNTIF($E131:U131,1),ColDescriptionCourte)),""),
  "")),"")</f>
        <v/>
      </c>
      <c r="W131" s="40" t="str">
        <f ca="1">IFERROR(IF(AND(
  INDEX(Roadmap!$D:$K,MATCH($E131,Roadmap!$D:$D,0)+COUNTIF($E131:V131,"u")+COUNTIF($E131:V131,"t")+COUNTIF($E131:V131,"¶")+COUNTIF($E131:V131,"²")+COUNTIF($E131:V131,"µ")+COUNTIF($E131:V131,1),ColLivraison)=W$6,
  VLOOKUP($E131,INDIRECT("tri!"&amp; CHAR(64+ C0Col) &amp;":"&amp; CHAR(65+C0Col)),2,FALSE)&gt;COUNTIF($E131:V131,"u")+COUNTIF($E131:V131,"t")+COUNTIF($E131:V131,"¶")+COUNTIF($E131:V131,"²")+COUNTIF($E131:V131,"µ")+COUNTIF($E131:V131,1)),
HYPERLINK("#Roadmap!C"&amp; MATCH($E131,Roadmap!$D:$D,0)+COUNTIF($E131:V131,"u")+COUNTIF($E131:V131,"t"),
     INDEX(Roadmap!$D:$K,MATCH($E131,Roadmap!$D:$D,0)+COUNTIF($E131:V131,"u")+COUNTIF($E131:V131,"t")+COUNTIF($E131:V131,"¶")+COUNTIF($E131:V131,"²")+COUNTIF($E131:V131,"µ")+COUNTIF($E131:V131,1),ColTypeEcheance)),
  IF(LEN(V131)=1,
  IF(LEN(INDEX(Roadmap!$D:$K,MATCH($E131,Roadmap!$D:$D,0)-1+COUNTIF($E131:V131,"u")+COUNTIF($E131:V131,"t")+COUNTIF($E131:V131,"¶")+COUNTIF($E131:V131,"²")+COUNTIF($E131:V131,"µ")+COUNTIF($E131:V131,1),ColDescriptionCourte))&gt;1,
HYPERLINK("#Roadmap!C"&amp; MATCH($E131,Roadmap!$D:$D,0)+COUNTIF($E131:V131,"u")+COUNTIF($E131:V131,"t")+COUNTIF($E131:V131,"¶")+COUNTIF($E131:V131,"²")+COUNTIF($E131:V131,"µ")+COUNTIF($E131:V131,1)-1,INDEX(Roadmap!$D:$K,MATCH($E131,Roadmap!$D:$D,0)-1+COUNTIF($E131:V131,"u")+COUNTIF($E131:V131,"t")+COUNTIF($E131:V131,"¶")+COUNTIF($E131:V131,"²")+COUNTIF($E131:V131,"µ")+COUNTIF($E131:V131,1),ColDescriptionCourte)),""),
  "")),"")</f>
        <v/>
      </c>
      <c r="X131" s="40" t="str">
        <f ca="1">IFERROR(IF(AND(
  INDEX(Roadmap!$D:$K,MATCH($E131,Roadmap!$D:$D,0)+COUNTIF($E131:W131,"u")+COUNTIF($E131:W131,"t")+COUNTIF($E131:W131,"¶")+COUNTIF($E131:W131,"²")+COUNTIF($E131:W131,"µ")+COUNTIF($E131:W131,1),ColLivraison)=X$6,
  VLOOKUP($E131,INDIRECT("tri!"&amp; CHAR(64+ C0Col) &amp;":"&amp; CHAR(65+C0Col)),2,FALSE)&gt;COUNTIF($E131:W131,"u")+COUNTIF($E131:W131,"t")+COUNTIF($E131:W131,"¶")+COUNTIF($E131:W131,"²")+COUNTIF($E131:W131,"µ")+COUNTIF($E131:W131,1)),
HYPERLINK("#Roadmap!C"&amp; MATCH($E131,Roadmap!$D:$D,0)+COUNTIF($E131:W131,"u")+COUNTIF($E131:W131,"t"),
     INDEX(Roadmap!$D:$K,MATCH($E131,Roadmap!$D:$D,0)+COUNTIF($E131:W131,"u")+COUNTIF($E131:W131,"t")+COUNTIF($E131:W131,"¶")+COUNTIF($E131:W131,"²")+COUNTIF($E131:W131,"µ")+COUNTIF($E131:W131,1),ColTypeEcheance)),
  IF(LEN(W131)=1,
  IF(LEN(INDEX(Roadmap!$D:$K,MATCH($E131,Roadmap!$D:$D,0)-1+COUNTIF($E131:W131,"u")+COUNTIF($E131:W131,"t")+COUNTIF($E131:W131,"¶")+COUNTIF($E131:W131,"²")+COUNTIF($E131:W131,"µ")+COUNTIF($E131:W131,1),ColDescriptionCourte))&gt;1,
HYPERLINK("#Roadmap!C"&amp; MATCH($E131,Roadmap!$D:$D,0)+COUNTIF($E131:W131,"u")+COUNTIF($E131:W131,"t")+COUNTIF($E131:W131,"¶")+COUNTIF($E131:W131,"²")+COUNTIF($E131:W131,"µ")+COUNTIF($E131:W131,1)-1,INDEX(Roadmap!$D:$K,MATCH($E131,Roadmap!$D:$D,0)-1+COUNTIF($E131:W131,"u")+COUNTIF($E131:W131,"t")+COUNTIF($E131:W131,"¶")+COUNTIF($E131:W131,"²")+COUNTIF($E131:W131,"µ")+COUNTIF($E131:W131,1),ColDescriptionCourte)),""),
  "")),"")</f>
        <v/>
      </c>
      <c r="Y131" s="40" t="str">
        <f ca="1">IFERROR(IF(AND(
  INDEX(Roadmap!$D:$K,MATCH($E131,Roadmap!$D:$D,0)+COUNTIF($E131:X131,"u")+COUNTIF($E131:X131,"t")+COUNTIF($E131:X131,"¶")+COUNTIF($E131:X131,"²")+COUNTIF($E131:X131,"µ")+COUNTIF($E131:X131,1),ColLivraison)=Y$6,
  VLOOKUP($E131,INDIRECT("tri!"&amp; CHAR(64+ C0Col) &amp;":"&amp; CHAR(65+C0Col)),2,FALSE)&gt;COUNTIF($E131:X131,"u")+COUNTIF($E131:X131,"t")+COUNTIF($E131:X131,"¶")+COUNTIF($E131:X131,"²")+COUNTIF($E131:X131,"µ")+COUNTIF($E131:X131,1)),
HYPERLINK("#Roadmap!C"&amp; MATCH($E131,Roadmap!$D:$D,0)+COUNTIF($E131:X131,"u")+COUNTIF($E131:X131,"t"),
     INDEX(Roadmap!$D:$K,MATCH($E131,Roadmap!$D:$D,0)+COUNTIF($E131:X131,"u")+COUNTIF($E131:X131,"t")+COUNTIF($E131:X131,"¶")+COUNTIF($E131:X131,"²")+COUNTIF($E131:X131,"µ")+COUNTIF($E131:X131,1),ColTypeEcheance)),
  IF(LEN(X131)=1,
  IF(LEN(INDEX(Roadmap!$D:$K,MATCH($E131,Roadmap!$D:$D,0)-1+COUNTIF($E131:X131,"u")+COUNTIF($E131:X131,"t")+COUNTIF($E131:X131,"¶")+COUNTIF($E131:X131,"²")+COUNTIF($E131:X131,"µ")+COUNTIF($E131:X131,1),ColDescriptionCourte))&gt;1,
HYPERLINK("#Roadmap!C"&amp; MATCH($E131,Roadmap!$D:$D,0)+COUNTIF($E131:X131,"u")+COUNTIF($E131:X131,"t")+COUNTIF($E131:X131,"¶")+COUNTIF($E131:X131,"²")+COUNTIF($E131:X131,"µ")+COUNTIF($E131:X131,1)-1,INDEX(Roadmap!$D:$K,MATCH($E131,Roadmap!$D:$D,0)-1+COUNTIF($E131:X131,"u")+COUNTIF($E131:X131,"t")+COUNTIF($E131:X131,"¶")+COUNTIF($E131:X131,"²")+COUNTIF($E131:X131,"µ")+COUNTIF($E131:X131,1),ColDescriptionCourte)),""),
  "")),"")</f>
        <v/>
      </c>
      <c r="Z131" s="40" t="str">
        <f ca="1">IFERROR(IF(AND(
  INDEX(Roadmap!$D:$K,MATCH($E131,Roadmap!$D:$D,0)+COUNTIF($E131:Y131,"u")+COUNTIF($E131:Y131,"t")+COUNTIF($E131:Y131,"¶")+COUNTIF($E131:Y131,"²")+COUNTIF($E131:Y131,"µ")+COUNTIF($E131:Y131,1),ColLivraison)=Z$6,
  VLOOKUP($E131,INDIRECT("tri!"&amp; CHAR(64+ C0Col) &amp;":"&amp; CHAR(65+C0Col)),2,FALSE)&gt;COUNTIF($E131:Y131,"u")+COUNTIF($E131:Y131,"t")+COUNTIF($E131:Y131,"¶")+COUNTIF($E131:Y131,"²")+COUNTIF($E131:Y131,"µ")+COUNTIF($E131:Y131,1)),
HYPERLINK("#Roadmap!C"&amp; MATCH($E131,Roadmap!$D:$D,0)+COUNTIF($E131:Y131,"u")+COUNTIF($E131:Y131,"t"),
     INDEX(Roadmap!$D:$K,MATCH($E131,Roadmap!$D:$D,0)+COUNTIF($E131:Y131,"u")+COUNTIF($E131:Y131,"t")+COUNTIF($E131:Y131,"¶")+COUNTIF($E131:Y131,"²")+COUNTIF($E131:Y131,"µ")+COUNTIF($E131:Y131,1),ColTypeEcheance)),
  IF(LEN(Y131)=1,
  IF(LEN(INDEX(Roadmap!$D:$K,MATCH($E131,Roadmap!$D:$D,0)-1+COUNTIF($E131:Y131,"u")+COUNTIF($E131:Y131,"t")+COUNTIF($E131:Y131,"¶")+COUNTIF($E131:Y131,"²")+COUNTIF($E131:Y131,"µ")+COUNTIF($E131:Y131,1),ColDescriptionCourte))&gt;1,
HYPERLINK("#Roadmap!C"&amp; MATCH($E131,Roadmap!$D:$D,0)+COUNTIF($E131:Y131,"u")+COUNTIF($E131:Y131,"t")+COUNTIF($E131:Y131,"¶")+COUNTIF($E131:Y131,"²")+COUNTIF($E131:Y131,"µ")+COUNTIF($E131:Y131,1)-1,INDEX(Roadmap!$D:$K,MATCH($E131,Roadmap!$D:$D,0)-1+COUNTIF($E131:Y131,"u")+COUNTIF($E131:Y131,"t")+COUNTIF($E131:Y131,"¶")+COUNTIF($E131:Y131,"²")+COUNTIF($E131:Y131,"µ")+COUNTIF($E131:Y131,1),ColDescriptionCourte)),""),
  "")),"")</f>
        <v/>
      </c>
      <c r="AA131" s="40" t="str">
        <f ca="1">IFERROR(IF(AND(
  INDEX(Roadmap!$D:$K,MATCH($E131,Roadmap!$D:$D,0)+COUNTIF($E131:Z131,"u")+COUNTIF($E131:Z131,"t")+COUNTIF($E131:Z131,"¶")+COUNTIF($E131:Z131,"²")+COUNTIF($E131:Z131,"µ")+COUNTIF($E131:Z131,1),ColLivraison)=AA$6,
  VLOOKUP($E131,INDIRECT("tri!"&amp; CHAR(64+ C0Col) &amp;":"&amp; CHAR(65+C0Col)),2,FALSE)&gt;COUNTIF($E131:Z131,"u")+COUNTIF($E131:Z131,"t")+COUNTIF($E131:Z131,"¶")+COUNTIF($E131:Z131,"²")+COUNTIF($E131:Z131,"µ")+COUNTIF($E131:Z131,1)),
HYPERLINK("#Roadmap!C"&amp; MATCH($E131,Roadmap!$D:$D,0)+COUNTIF($E131:Z131,"u")+COUNTIF($E131:Z131,"t"),
     INDEX(Roadmap!$D:$K,MATCH($E131,Roadmap!$D:$D,0)+COUNTIF($E131:Z131,"u")+COUNTIF($E131:Z131,"t")+COUNTIF($E131:Z131,"¶")+COUNTIF($E131:Z131,"²")+COUNTIF($E131:Z131,"µ")+COUNTIF($E131:Z131,1),ColTypeEcheance)),
  IF(LEN(Z131)=1,
  IF(LEN(INDEX(Roadmap!$D:$K,MATCH($E131,Roadmap!$D:$D,0)-1+COUNTIF($E131:Z131,"u")+COUNTIF($E131:Z131,"t")+COUNTIF($E131:Z131,"¶")+COUNTIF($E131:Z131,"²")+COUNTIF($E131:Z131,"µ")+COUNTIF($E131:Z131,1),ColDescriptionCourte))&gt;1,
HYPERLINK("#Roadmap!C"&amp; MATCH($E131,Roadmap!$D:$D,0)+COUNTIF($E131:Z131,"u")+COUNTIF($E131:Z131,"t")+COUNTIF($E131:Z131,"¶")+COUNTIF($E131:Z131,"²")+COUNTIF($E131:Z131,"µ")+COUNTIF($E131:Z131,1)-1,INDEX(Roadmap!$D:$K,MATCH($E131,Roadmap!$D:$D,0)-1+COUNTIF($E131:Z131,"u")+COUNTIF($E131:Z131,"t")+COUNTIF($E131:Z131,"¶")+COUNTIF($E131:Z131,"²")+COUNTIF($E131:Z131,"µ")+COUNTIF($E131:Z131,1),ColDescriptionCourte)),""),
  "")),"")</f>
        <v/>
      </c>
      <c r="AB131" s="40" t="str">
        <f ca="1">IFERROR(IF(AND(
  INDEX(Roadmap!$D:$K,MATCH($E131,Roadmap!$D:$D,0)+COUNTIF($E131:AA131,"u")+COUNTIF($E131:AA131,"t")+COUNTIF($E131:AA131,"¶")+COUNTIF($E131:AA131,"²")+COUNTIF($E131:AA131,"µ")+COUNTIF($E131:AA131,1),ColLivraison)=AB$6,
  VLOOKUP($E131,INDIRECT("tri!"&amp; CHAR(64+ C0Col) &amp;":"&amp; CHAR(65+C0Col)),2,FALSE)&gt;COUNTIF($E131:AA131,"u")+COUNTIF($E131:AA131,"t")+COUNTIF($E131:AA131,"¶")+COUNTIF($E131:AA131,"²")+COUNTIF($E131:AA131,"µ")+COUNTIF($E131:AA131,1)),
HYPERLINK("#Roadmap!C"&amp; MATCH($E131,Roadmap!$D:$D,0)+COUNTIF($E131:AA131,"u")+COUNTIF($E131:AA131,"t"),
     INDEX(Roadmap!$D:$K,MATCH($E131,Roadmap!$D:$D,0)+COUNTIF($E131:AA131,"u")+COUNTIF($E131:AA131,"t")+COUNTIF($E131:AA131,"¶")+COUNTIF($E131:AA131,"²")+COUNTIF($E131:AA131,"µ")+COUNTIF($E131:AA131,1),ColTypeEcheance)),
  IF(LEN(AA131)=1,
  IF(LEN(INDEX(Roadmap!$D:$K,MATCH($E131,Roadmap!$D:$D,0)-1+COUNTIF($E131:AA131,"u")+COUNTIF($E131:AA131,"t")+COUNTIF($E131:AA131,"¶")+COUNTIF($E131:AA131,"²")+COUNTIF($E131:AA131,"µ")+COUNTIF($E131:AA131,1),ColDescriptionCourte))&gt;1,
HYPERLINK("#Roadmap!C"&amp; MATCH($E131,Roadmap!$D:$D,0)+COUNTIF($E131:AA131,"u")+COUNTIF($E131:AA131,"t")+COUNTIF($E131:AA131,"¶")+COUNTIF($E131:AA131,"²")+COUNTIF($E131:AA131,"µ")+COUNTIF($E131:AA131,1)-1,INDEX(Roadmap!$D:$K,MATCH($E131,Roadmap!$D:$D,0)-1+COUNTIF($E131:AA131,"u")+COUNTIF($E131:AA131,"t")+COUNTIF($E131:AA131,"¶")+COUNTIF($E131:AA131,"²")+COUNTIF($E131:AA131,"µ")+COUNTIF($E131:AA131,1),ColDescriptionCourte)),""),
  "")),"")</f>
        <v/>
      </c>
      <c r="AC131" s="40" t="str">
        <f ca="1">IFERROR(IF(AND(
  INDEX(Roadmap!$D:$K,MATCH($E131,Roadmap!$D:$D,0)+COUNTIF($E131:AB131,"u")+COUNTIF($E131:AB131,"t")+COUNTIF($E131:AB131,"¶")+COUNTIF($E131:AB131,"²")+COUNTIF($E131:AB131,"µ")+COUNTIF($E131:AB131,1),ColLivraison)=AC$6,
  VLOOKUP($E131,INDIRECT("tri!"&amp; CHAR(64+ C0Col) &amp;":"&amp; CHAR(65+C0Col)),2,FALSE)&gt;COUNTIF($E131:AB131,"u")+COUNTIF($E131:AB131,"t")+COUNTIF($E131:AB131,"¶")+COUNTIF($E131:AB131,"²")+COUNTIF($E131:AB131,"µ")+COUNTIF($E131:AB131,1)),
HYPERLINK("#Roadmap!C"&amp; MATCH($E131,Roadmap!$D:$D,0)+COUNTIF($E131:AB131,"u")+COUNTIF($E131:AB131,"t"),
     INDEX(Roadmap!$D:$K,MATCH($E131,Roadmap!$D:$D,0)+COUNTIF($E131:AB131,"u")+COUNTIF($E131:AB131,"t")+COUNTIF($E131:AB131,"¶")+COUNTIF($E131:AB131,"²")+COUNTIF($E131:AB131,"µ")+COUNTIF($E131:AB131,1),ColTypeEcheance)),
  IF(LEN(AB131)=1,
  IF(LEN(INDEX(Roadmap!$D:$K,MATCH($E131,Roadmap!$D:$D,0)-1+COUNTIF($E131:AB131,"u")+COUNTIF($E131:AB131,"t")+COUNTIF($E131:AB131,"¶")+COUNTIF($E131:AB131,"²")+COUNTIF($E131:AB131,"µ")+COUNTIF($E131:AB131,1),ColDescriptionCourte))&gt;1,
HYPERLINK("#Roadmap!C"&amp; MATCH($E131,Roadmap!$D:$D,0)+COUNTIF($E131:AB131,"u")+COUNTIF($E131:AB131,"t")+COUNTIF($E131:AB131,"¶")+COUNTIF($E131:AB131,"²")+COUNTIF($E131:AB131,"µ")+COUNTIF($E131:AB131,1)-1,INDEX(Roadmap!$D:$K,MATCH($E131,Roadmap!$D:$D,0)-1+COUNTIF($E131:AB131,"u")+COUNTIF($E131:AB131,"t")+COUNTIF($E131:AB131,"¶")+COUNTIF($E131:AB131,"²")+COUNTIF($E131:AB131,"µ")+COUNTIF($E131:AB131,1),ColDescriptionCourte)),""),
  "")),"")</f>
        <v/>
      </c>
      <c r="AD131" s="40" t="str">
        <f ca="1">IFERROR(IF(AND(
  INDEX(Roadmap!$D:$K,MATCH($E131,Roadmap!$D:$D,0)+COUNTIF($E131:AC131,"u")+COUNTIF($E131:AC131,"t")+COUNTIF($E131:AC131,"¶")+COUNTIF($E131:AC131,"²")+COUNTIF($E131:AC131,"µ")+COUNTIF($E131:AC131,1),ColLivraison)=AD$6,
  VLOOKUP($E131,INDIRECT("tri!"&amp; CHAR(64+ C0Col) &amp;":"&amp; CHAR(65+C0Col)),2,FALSE)&gt;COUNTIF($E131:AC131,"u")+COUNTIF($E131:AC131,"t")+COUNTIF($E131:AC131,"¶")+COUNTIF($E131:AC131,"²")+COUNTIF($E131:AC131,"µ")+COUNTIF($E131:AC131,1)),
HYPERLINK("#Roadmap!C"&amp; MATCH($E131,Roadmap!$D:$D,0)+COUNTIF($E131:AC131,"u")+COUNTIF($E131:AC131,"t"),
     INDEX(Roadmap!$D:$K,MATCH($E131,Roadmap!$D:$D,0)+COUNTIF($E131:AC131,"u")+COUNTIF($E131:AC131,"t")+COUNTIF($E131:AC131,"¶")+COUNTIF($E131:AC131,"²")+COUNTIF($E131:AC131,"µ")+COUNTIF($E131:AC131,1),ColTypeEcheance)),
  IF(LEN(AC131)=1,
  IF(LEN(INDEX(Roadmap!$D:$K,MATCH($E131,Roadmap!$D:$D,0)-1+COUNTIF($E131:AC131,"u")+COUNTIF($E131:AC131,"t")+COUNTIF($E131:AC131,"¶")+COUNTIF($E131:AC131,"²")+COUNTIF($E131:AC131,"µ")+COUNTIF($E131:AC131,1),ColDescriptionCourte))&gt;1,
HYPERLINK("#Roadmap!C"&amp; MATCH($E131,Roadmap!$D:$D,0)+COUNTIF($E131:AC131,"u")+COUNTIF($E131:AC131,"t")+COUNTIF($E131:AC131,"¶")+COUNTIF($E131:AC131,"²")+COUNTIF($E131:AC131,"µ")+COUNTIF($E131:AC131,1)-1,INDEX(Roadmap!$D:$K,MATCH($E131,Roadmap!$D:$D,0)-1+COUNTIF($E131:AC131,"u")+COUNTIF($E131:AC131,"t")+COUNTIF($E131:AC131,"¶")+COUNTIF($E131:AC131,"²")+COUNTIF($E131:AC131,"µ")+COUNTIF($E131:AC131,1),ColDescriptionCourte)),""),
  "")),"")</f>
        <v/>
      </c>
      <c r="AE131" s="40" t="str">
        <f ca="1">IFERROR(IF(AND(
  INDEX(Roadmap!$D:$K,MATCH($E131,Roadmap!$D:$D,0)+COUNTIF($E131:AD131,"u")+COUNTIF($E131:AD131,"t")+COUNTIF($E131:AD131,"¶")+COUNTIF($E131:AD131,"²")+COUNTIF($E131:AD131,"µ")+COUNTIF($E131:AD131,1),ColLivraison)=AE$6,
  VLOOKUP($E131,INDIRECT("tri!"&amp; CHAR(64+ C0Col) &amp;":"&amp; CHAR(65+C0Col)),2,FALSE)&gt;COUNTIF($E131:AD131,"u")+COUNTIF($E131:AD131,"t")+COUNTIF($E131:AD131,"¶")+COUNTIF($E131:AD131,"²")+COUNTIF($E131:AD131,"µ")+COUNTIF($E131:AD131,1)),
HYPERLINK("#Roadmap!C"&amp; MATCH($E131,Roadmap!$D:$D,0)+COUNTIF($E131:AD131,"u")+COUNTIF($E131:AD131,"t"),
     INDEX(Roadmap!$D:$K,MATCH($E131,Roadmap!$D:$D,0)+COUNTIF($E131:AD131,"u")+COUNTIF($E131:AD131,"t")+COUNTIF($E131:AD131,"¶")+COUNTIF($E131:AD131,"²")+COUNTIF($E131:AD131,"µ")+COUNTIF($E131:AD131,1),ColTypeEcheance)),
  IF(LEN(AD131)=1,
  IF(LEN(INDEX(Roadmap!$D:$K,MATCH($E131,Roadmap!$D:$D,0)-1+COUNTIF($E131:AD131,"u")+COUNTIF($E131:AD131,"t")+COUNTIF($E131:AD131,"¶")+COUNTIF($E131:AD131,"²")+COUNTIF($E131:AD131,"µ")+COUNTIF($E131:AD131,1),ColDescriptionCourte))&gt;1,
HYPERLINK("#Roadmap!C"&amp; MATCH($E131,Roadmap!$D:$D,0)+COUNTIF($E131:AD131,"u")+COUNTIF($E131:AD131,"t")+COUNTIF($E131:AD131,"¶")+COUNTIF($E131:AD131,"²")+COUNTIF($E131:AD131,"µ")+COUNTIF($E131:AD131,1)-1,INDEX(Roadmap!$D:$K,MATCH($E131,Roadmap!$D:$D,0)-1+COUNTIF($E131:AD131,"u")+COUNTIF($E131:AD131,"t")+COUNTIF($E131:AD131,"¶")+COUNTIF($E131:AD131,"²")+COUNTIF($E131:AD131,"µ")+COUNTIF($E131:AD131,1),ColDescriptionCourte)),""),
  "")),"")</f>
        <v/>
      </c>
      <c r="AF131" s="40" t="str">
        <f ca="1">IFERROR(IF(AND(
  INDEX(Roadmap!$D:$K,MATCH($E131,Roadmap!$D:$D,0)+COUNTIF($E131:AE131,"u")+COUNTIF($E131:AE131,"t")+COUNTIF($E131:AE131,"¶")+COUNTIF($E131:AE131,"²")+COUNTIF($E131:AE131,"µ")+COUNTIF($E131:AE131,1),ColLivraison)=AF$6,
  VLOOKUP($E131,INDIRECT("tri!"&amp; CHAR(64+ C0Col) &amp;":"&amp; CHAR(65+C0Col)),2,FALSE)&gt;COUNTIF($E131:AE131,"u")+COUNTIF($E131:AE131,"t")+COUNTIF($E131:AE131,"¶")+COUNTIF($E131:AE131,"²")+COUNTIF($E131:AE131,"µ")+COUNTIF($E131:AE131,1)),
HYPERLINK("#Roadmap!C"&amp; MATCH($E131,Roadmap!$D:$D,0)+COUNTIF($E131:AE131,"u")+COUNTIF($E131:AE131,"t"),
     INDEX(Roadmap!$D:$K,MATCH($E131,Roadmap!$D:$D,0)+COUNTIF($E131:AE131,"u")+COUNTIF($E131:AE131,"t")+COUNTIF($E131:AE131,"¶")+COUNTIF($E131:AE131,"²")+COUNTIF($E131:AE131,"µ")+COUNTIF($E131:AE131,1),ColTypeEcheance)),
  IF(LEN(AE131)=1,
  IF(LEN(INDEX(Roadmap!$D:$K,MATCH($E131,Roadmap!$D:$D,0)-1+COUNTIF($E131:AE131,"u")+COUNTIF($E131:AE131,"t")+COUNTIF($E131:AE131,"¶")+COUNTIF($E131:AE131,"²")+COUNTIF($E131:AE131,"µ")+COUNTIF($E131:AE131,1),ColDescriptionCourte))&gt;1,
HYPERLINK("#Roadmap!C"&amp; MATCH($E131,Roadmap!$D:$D,0)+COUNTIF($E131:AE131,"u")+COUNTIF($E131:AE131,"t")+COUNTIF($E131:AE131,"¶")+COUNTIF($E131:AE131,"²")+COUNTIF($E131:AE131,"µ")+COUNTIF($E131:AE131,1)-1,INDEX(Roadmap!$D:$K,MATCH($E131,Roadmap!$D:$D,0)-1+COUNTIF($E131:AE131,"u")+COUNTIF($E131:AE131,"t")+COUNTIF($E131:AE131,"¶")+COUNTIF($E131:AE131,"²")+COUNTIF($E131:AE131,"µ")+COUNTIF($E131:AE131,1),ColDescriptionCourte)),""),
  "")),"")</f>
        <v/>
      </c>
      <c r="AG131" s="40" t="str">
        <f ca="1">IFERROR(IF(AND(
  INDEX(Roadmap!$D:$K,MATCH($E131,Roadmap!$D:$D,0)+COUNTIF($E131:AF131,"u")+COUNTIF($E131:AF131,"t")+COUNTIF($E131:AF131,"¶")+COUNTIF($E131:AF131,"²")+COUNTIF($E131:AF131,"µ")+COUNTIF($E131:AF131,1),ColLivraison)=AG$6,
  VLOOKUP($E131,INDIRECT("tri!"&amp; CHAR(64+ C0Col) &amp;":"&amp; CHAR(65+C0Col)),2,FALSE)&gt;COUNTIF($E131:AF131,"u")+COUNTIF($E131:AF131,"t")+COUNTIF($E131:AF131,"¶")+COUNTIF($E131:AF131,"²")+COUNTIF($E131:AF131,"µ")+COUNTIF($E131:AF131,1)),
HYPERLINK("#Roadmap!C"&amp; MATCH($E131,Roadmap!$D:$D,0)+COUNTIF($E131:AF131,"u")+COUNTIF($E131:AF131,"t"),
     INDEX(Roadmap!$D:$K,MATCH($E131,Roadmap!$D:$D,0)+COUNTIF($E131:AF131,"u")+COUNTIF($E131:AF131,"t")+COUNTIF($E131:AF131,"¶")+COUNTIF($E131:AF131,"²")+COUNTIF($E131:AF131,"µ")+COUNTIF($E131:AF131,1),ColTypeEcheance)),
  IF(LEN(AF131)=1,
  IF(LEN(INDEX(Roadmap!$D:$K,MATCH($E131,Roadmap!$D:$D,0)-1+COUNTIF($E131:AF131,"u")+COUNTIF($E131:AF131,"t")+COUNTIF($E131:AF131,"¶")+COUNTIF($E131:AF131,"²")+COUNTIF($E131:AF131,"µ")+COUNTIF($E131:AF131,1),ColDescriptionCourte))&gt;1,
HYPERLINK("#Roadmap!C"&amp; MATCH($E131,Roadmap!$D:$D,0)+COUNTIF($E131:AF131,"u")+COUNTIF($E131:AF131,"t")+COUNTIF($E131:AF131,"¶")+COUNTIF($E131:AF131,"²")+COUNTIF($E131:AF131,"µ")+COUNTIF($E131:AF131,1)-1,INDEX(Roadmap!$D:$K,MATCH($E131,Roadmap!$D:$D,0)-1+COUNTIF($E131:AF131,"u")+COUNTIF($E131:AF131,"t")+COUNTIF($E131:AF131,"¶")+COUNTIF($E131:AF131,"²")+COUNTIF($E131:AF131,"µ")+COUNTIF($E131:AF131,1),ColDescriptionCourte)),""),
  "")),"")</f>
        <v/>
      </c>
      <c r="AH131" s="40" t="str">
        <f ca="1">IFERROR(IF(AND(
  INDEX(Roadmap!$D:$K,MATCH($E131,Roadmap!$D:$D,0)+COUNTIF($E131:AG131,"u")+COUNTIF($E131:AG131,"t")+COUNTIF($E131:AG131,1),ColLivraison)=AH$6,
  VLOOKUP($E131,INDIRECT("tri!"&amp; CHAR(64+ C0Col) &amp;":"&amp; CHAR(65+C0Col)),2,FALSE)&gt;COUNTIF($E131:AG131,"u")+COUNTIF($E131:AG131,"t")+COUNTIF($E131:AG131,1)),
HYPERLINK("#Roadmap!C"&amp; MATCH($E131,Roadmap!$D:$D,0)+COUNTIF($E131:AG131,"u")+COUNTIF($E131:AG131,"t"),
     INDEX(Roadmap!$D:$K,MATCH($E131,Roadmap!$D:$D,0)+COUNTIF($E131:AG131,"u")+COUNTIF($E131:AG131,"t")+COUNTIF($E131:AG131,1),ColTypeEcheance)),
  IF(OR(AG131="u",AG131="t",AG131=1),
  IF(LEN(INDEX(Roadmap!$D:$K,MATCH($E131,Roadmap!$D:$D,0)-1+COUNTIF($E131:AG131,"u")+COUNTIF($E131:AG131,"t")+COUNTIF($E131:AG131,1),ColDescriptionCourte))&gt;1,
HYPERLINK("#Roadmap!C"&amp; MATCH($E131,Roadmap!$D:$D,0)+COUNTIF($E131:AG131,"u")+COUNTIF($E131:AG131,"t")+COUNTIF($E131:AG131,1)-1,INDEX(Roadmap!$D:$K,MATCH($E131,Roadmap!$D:$D,0)-1+COUNTIF($E131:AG131,"u")+COUNTIF($E131:AG131,"t")+COUNTIF($E131:AG131,1),ColDescriptionCourte)),""),
  "")),"")</f>
        <v/>
      </c>
      <c r="AI131" s="40"/>
      <c r="AJ131" s="40"/>
      <c r="AK131" s="40"/>
      <c r="AL131" s="40"/>
      <c r="AM131" s="40"/>
    </row>
    <row r="132" spans="4:39" ht="14.1" customHeight="1">
      <c r="D132" s="20" t="str">
        <f t="shared" ca="1" si="29"/>
        <v/>
      </c>
      <c r="E132" s="53" t="str">
        <f t="shared" ca="1" si="30"/>
        <v/>
      </c>
      <c r="F132" s="39" t="str">
        <f ca="1">IFERROR(IF(AND(
  INDEX(Roadmap!$D:$K,MATCH($E132,Roadmap!$D:$D,0)+COUNTIF($E132:E132,"u")+COUNTIF($E132:E132,"t")+COUNTIF($E132:E132,"¶")+COUNTIF($E132:E132,"²")+COUNTIF($E132:E132,"µ")+COUNTIF($E132:E132,1),ColLivraison)=F$6,
  VLOOKUP($E132,INDIRECT("tri!"&amp; CHAR(64+ C0Col) &amp;":"&amp; CHAR(65+C0Col)),2,FALSE)&gt;COUNTIF($E132:E132,"u")+COUNTIF($E132:E132,"t")+COUNTIF($E132:E132,"¶")+COUNTIF($E132:E132,"²")+COUNTIF($E132:E132,"µ")+COUNTIF($E132:E132,1)),
HYPERLINK("#Roadmap!C"&amp; MATCH($E132,Roadmap!$D:$D,0)+COUNTIF($E132:E132,"u")+COUNTIF($E132:E132,"t"),
     INDEX(Roadmap!$D:$K,MATCH($E132,Roadmap!$D:$D,0)+COUNTIF($E132:E132,"u")+COUNTIF($E132:E132,"t")+COUNTIF($E132:E132,"¶")+COUNTIF($E132:E132,"²")+COUNTIF($E132:E132,"µ")+COUNTIF($E132:E132,1),ColTypeEcheance)),
  IF(LEN(E132)=1,
  IF(LEN(INDEX(Roadmap!$D:$K,MATCH($E132,Roadmap!$D:$D,0)-1+COUNTIF($E132:E132,"u")+COUNTIF($E132:E132,"t")+COUNTIF($E132:E132,"¶")+COUNTIF($E132:E132,"²")+COUNTIF($E132:E132,"µ")+COUNTIF($E132:E132,1),ColDescriptionCourte))&gt;1,
HYPERLINK("#Roadmap!C"&amp; MATCH($E132,Roadmap!$D:$D,0)+COUNTIF($E132:E132,"u")+COUNTIF($E132:E132,"t")+COUNTIF($E132:E132,"¶")+COUNTIF($E132:E132,"²")+COUNTIF($E132:E132,"µ")+COUNTIF($E132:E132,1)-1,INDEX(Roadmap!$D:$K,MATCH($E132,Roadmap!$D:$D,0)-1+COUNTIF($E132:E132,"u")+COUNTIF($E132:E132,"t")+COUNTIF($E132:E132,"¶")+COUNTIF($E132:E132,"²")+COUNTIF($E132:E132,"µ")+COUNTIF($E132:E132,1),ColDescriptionCourte)),""),
  "")),"")</f>
        <v/>
      </c>
      <c r="G132" s="40" t="str">
        <f ca="1">IFERROR(IF(AND(
  INDEX(Roadmap!$D:$K,MATCH($E132,Roadmap!$D:$D,0)+COUNTIF($E132:F132,"u")+COUNTIF($E132:F132,"t")+COUNTIF($E132:F132,"¶")+COUNTIF($E132:F132,"²")+COUNTIF($E132:F132,"µ")+COUNTIF($E132:F132,1),ColLivraison)=G$6,
  VLOOKUP($E132,INDIRECT("tri!"&amp; CHAR(64+ C0Col) &amp;":"&amp; CHAR(65+C0Col)),2,FALSE)&gt;COUNTIF($E132:F132,"u")+COUNTIF($E132:F132,"t")+COUNTIF($E132:F132,"¶")+COUNTIF($E132:F132,"²")+COUNTIF($E132:F132,"µ")+COUNTIF($E132:F132,1)),
HYPERLINK("#Roadmap!C"&amp; MATCH($E132,Roadmap!$D:$D,0)+COUNTIF($E132:F132,"u")+COUNTIF($E132:F132,"t"),
     INDEX(Roadmap!$D:$K,MATCH($E132,Roadmap!$D:$D,0)+COUNTIF($E132:F132,"u")+COUNTIF($E132:F132,"t")+COUNTIF($E132:F132,"¶")+COUNTIF($E132:F132,"²")+COUNTIF($E132:F132,"µ")+COUNTIF($E132:F132,1),ColTypeEcheance)),
  IF(LEN(F132)=1,
  IF(LEN(INDEX(Roadmap!$D:$K,MATCH($E132,Roadmap!$D:$D,0)-1+COUNTIF($E132:F132,"u")+COUNTIF($E132:F132,"t")+COUNTIF($E132:F132,"¶")+COUNTIF($E132:F132,"²")+COUNTIF($E132:F132,"µ")+COUNTIF($E132:F132,1),ColDescriptionCourte))&gt;1,
HYPERLINK("#Roadmap!C"&amp; MATCH($E132,Roadmap!$D:$D,0)+COUNTIF($E132:F132,"u")+COUNTIF($E132:F132,"t")+COUNTIF($E132:F132,"¶")+COUNTIF($E132:F132,"²")+COUNTIF($E132:F132,"µ")+COUNTIF($E132:F132,1)-1,INDEX(Roadmap!$D:$K,MATCH($E132,Roadmap!$D:$D,0)-1+COUNTIF($E132:F132,"u")+COUNTIF($E132:F132,"t")+COUNTIF($E132:F132,"¶")+COUNTIF($E132:F132,"²")+COUNTIF($E132:F132,"µ")+COUNTIF($E132:F132,1),ColDescriptionCourte)),""),
  "")),"")</f>
        <v/>
      </c>
      <c r="H132" s="40" t="str">
        <f ca="1">IFERROR(IF(AND(
  INDEX(Roadmap!$D:$K,MATCH($E132,Roadmap!$D:$D,0)+COUNTIF($E132:G132,"u")+COUNTIF($E132:G132,"t")+COUNTIF($E132:G132,"¶")+COUNTIF($E132:G132,"²")+COUNTIF($E132:G132,"µ")+COUNTIF($E132:G132,1),ColLivraison)=H$6,
  VLOOKUP($E132,INDIRECT("tri!"&amp; CHAR(64+ C0Col) &amp;":"&amp; CHAR(65+C0Col)),2,FALSE)&gt;COUNTIF($E132:G132,"u")+COUNTIF($E132:G132,"t")+COUNTIF($E132:G132,"¶")+COUNTIF($E132:G132,"²")+COUNTIF($E132:G132,"µ")+COUNTIF($E132:G132,1)),
HYPERLINK("#Roadmap!C"&amp; MATCH($E132,Roadmap!$D:$D,0)+COUNTIF($E132:G132,"u")+COUNTIF($E132:G132,"t"),
     INDEX(Roadmap!$D:$K,MATCH($E132,Roadmap!$D:$D,0)+COUNTIF($E132:G132,"u")+COUNTIF($E132:G132,"t")+COUNTIF($E132:G132,"¶")+COUNTIF($E132:G132,"²")+COUNTIF($E132:G132,"µ")+COUNTIF($E132:G132,1),ColTypeEcheance)),
  IF(LEN(G132)=1,
  IF(LEN(INDEX(Roadmap!$D:$K,MATCH($E132,Roadmap!$D:$D,0)-1+COUNTIF($E132:G132,"u")+COUNTIF($E132:G132,"t")+COUNTIF($E132:G132,"¶")+COUNTIF($E132:G132,"²")+COUNTIF($E132:G132,"µ")+COUNTIF($E132:G132,1),ColDescriptionCourte))&gt;1,
HYPERLINK("#Roadmap!C"&amp; MATCH($E132,Roadmap!$D:$D,0)+COUNTIF($E132:G132,"u")+COUNTIF($E132:G132,"t")+COUNTIF($E132:G132,"¶")+COUNTIF($E132:G132,"²")+COUNTIF($E132:G132,"µ")+COUNTIF($E132:G132,1)-1,INDEX(Roadmap!$D:$K,MATCH($E132,Roadmap!$D:$D,0)-1+COUNTIF($E132:G132,"u")+COUNTIF($E132:G132,"t")+COUNTIF($E132:G132,"¶")+COUNTIF($E132:G132,"²")+COUNTIF($E132:G132,"µ")+COUNTIF($E132:G132,1),ColDescriptionCourte)),""),
  "")),"")</f>
        <v/>
      </c>
      <c r="I132" s="40" t="str">
        <f ca="1">IFERROR(IF(AND(
  INDEX(Roadmap!$D:$K,MATCH($E132,Roadmap!$D:$D,0)+COUNTIF($E132:H132,"u")+COUNTIF($E132:H132,"t")+COUNTIF($E132:H132,"¶")+COUNTIF($E132:H132,"²")+COUNTIF($E132:H132,"µ")+COUNTIF($E132:H132,1),ColLivraison)=I$6,
  VLOOKUP($E132,INDIRECT("tri!"&amp; CHAR(64+ C0Col) &amp;":"&amp; CHAR(65+C0Col)),2,FALSE)&gt;COUNTIF($E132:H132,"u")+COUNTIF($E132:H132,"t")+COUNTIF($E132:H132,"¶")+COUNTIF($E132:H132,"²")+COUNTIF($E132:H132,"µ")+COUNTIF($E132:H132,1)),
HYPERLINK("#Roadmap!C"&amp; MATCH($E132,Roadmap!$D:$D,0)+COUNTIF($E132:H132,"u")+COUNTIF($E132:H132,"t"),
     INDEX(Roadmap!$D:$K,MATCH($E132,Roadmap!$D:$D,0)+COUNTIF($E132:H132,"u")+COUNTIF($E132:H132,"t")+COUNTIF($E132:H132,"¶")+COUNTIF($E132:H132,"²")+COUNTIF($E132:H132,"µ")+COUNTIF($E132:H132,1),ColTypeEcheance)),
  IF(LEN(H132)=1,
  IF(LEN(INDEX(Roadmap!$D:$K,MATCH($E132,Roadmap!$D:$D,0)-1+COUNTIF($E132:H132,"u")+COUNTIF($E132:H132,"t")+COUNTIF($E132:H132,"¶")+COUNTIF($E132:H132,"²")+COUNTIF($E132:H132,"µ")+COUNTIF($E132:H132,1),ColDescriptionCourte))&gt;1,
HYPERLINK("#Roadmap!C"&amp; MATCH($E132,Roadmap!$D:$D,0)+COUNTIF($E132:H132,"u")+COUNTIF($E132:H132,"t")+COUNTIF($E132:H132,"¶")+COUNTIF($E132:H132,"²")+COUNTIF($E132:H132,"µ")+COUNTIF($E132:H132,1)-1,INDEX(Roadmap!$D:$K,MATCH($E132,Roadmap!$D:$D,0)-1+COUNTIF($E132:H132,"u")+COUNTIF($E132:H132,"t")+COUNTIF($E132:H132,"¶")+COUNTIF($E132:H132,"²")+COUNTIF($E132:H132,"µ")+COUNTIF($E132:H132,1),ColDescriptionCourte)),""),
  "")),"")</f>
        <v/>
      </c>
      <c r="J132" s="40" t="str">
        <f ca="1">IFERROR(IF(AND(
  INDEX(Roadmap!$D:$K,MATCH($E132,Roadmap!$D:$D,0)+COUNTIF($E132:I132,"u")+COUNTIF($E132:I132,"t")+COUNTIF($E132:I132,"¶")+COUNTIF($E132:I132,"²")+COUNTIF($E132:I132,"µ")+COUNTIF($E132:I132,1),ColLivraison)=J$6,
  VLOOKUP($E132,INDIRECT("tri!"&amp; CHAR(64+ C0Col) &amp;":"&amp; CHAR(65+C0Col)),2,FALSE)&gt;COUNTIF($E132:I132,"u")+COUNTIF($E132:I132,"t")+COUNTIF($E132:I132,"¶")+COUNTIF($E132:I132,"²")+COUNTIF($E132:I132,"µ")+COUNTIF($E132:I132,1)),
HYPERLINK("#Roadmap!C"&amp; MATCH($E132,Roadmap!$D:$D,0)+COUNTIF($E132:I132,"u")+COUNTIF($E132:I132,"t"),
     INDEX(Roadmap!$D:$K,MATCH($E132,Roadmap!$D:$D,0)+COUNTIF($E132:I132,"u")+COUNTIF($E132:I132,"t")+COUNTIF($E132:I132,"¶")+COUNTIF($E132:I132,"²")+COUNTIF($E132:I132,"µ")+COUNTIF($E132:I132,1),ColTypeEcheance)),
  IF(LEN(I132)=1,
  IF(LEN(INDEX(Roadmap!$D:$K,MATCH($E132,Roadmap!$D:$D,0)-1+COUNTIF($E132:I132,"u")+COUNTIF($E132:I132,"t")+COUNTIF($E132:I132,"¶")+COUNTIF($E132:I132,"²")+COUNTIF($E132:I132,"µ")+COUNTIF($E132:I132,1),ColDescriptionCourte))&gt;1,
HYPERLINK("#Roadmap!C"&amp; MATCH($E132,Roadmap!$D:$D,0)+COUNTIF($E132:I132,"u")+COUNTIF($E132:I132,"t")+COUNTIF($E132:I132,"¶")+COUNTIF($E132:I132,"²")+COUNTIF($E132:I132,"µ")+COUNTIF($E132:I132,1)-1,INDEX(Roadmap!$D:$K,MATCH($E132,Roadmap!$D:$D,0)-1+COUNTIF($E132:I132,"u")+COUNTIF($E132:I132,"t")+COUNTIF($E132:I132,"¶")+COUNTIF($E132:I132,"²")+COUNTIF($E132:I132,"µ")+COUNTIF($E132:I132,1),ColDescriptionCourte)),""),
  "")),"")</f>
        <v/>
      </c>
      <c r="K132" s="40" t="str">
        <f ca="1">IFERROR(IF(AND(
  INDEX(Roadmap!$D:$K,MATCH($E132,Roadmap!$D:$D,0)+COUNTIF($E132:J132,"u")+COUNTIF($E132:J132,"t")+COUNTIF($E132:J132,"¶")+COUNTIF($E132:J132,"²")+COUNTIF($E132:J132,"µ")+COUNTIF($E132:J132,1),ColLivraison)=K$6,
  VLOOKUP($E132,INDIRECT("tri!"&amp; CHAR(64+ C0Col) &amp;":"&amp; CHAR(65+C0Col)),2,FALSE)&gt;COUNTIF($E132:J132,"u")+COUNTIF($E132:J132,"t")+COUNTIF($E132:J132,"¶")+COUNTIF($E132:J132,"²")+COUNTIF($E132:J132,"µ")+COUNTIF($E132:J132,1)),
HYPERLINK("#Roadmap!C"&amp; MATCH($E132,Roadmap!$D:$D,0)+COUNTIF($E132:J132,"u")+COUNTIF($E132:J132,"t"),
     INDEX(Roadmap!$D:$K,MATCH($E132,Roadmap!$D:$D,0)+COUNTIF($E132:J132,"u")+COUNTIF($E132:J132,"t")+COUNTIF($E132:J132,"¶")+COUNTIF($E132:J132,"²")+COUNTIF($E132:J132,"µ")+COUNTIF($E132:J132,1),ColTypeEcheance)),
  IF(LEN(J132)=1,
  IF(LEN(INDEX(Roadmap!$D:$K,MATCH($E132,Roadmap!$D:$D,0)-1+COUNTIF($E132:J132,"u")+COUNTIF($E132:J132,"t")+COUNTIF($E132:J132,"¶")+COUNTIF($E132:J132,"²")+COUNTIF($E132:J132,"µ")+COUNTIF($E132:J132,1),ColDescriptionCourte))&gt;1,
HYPERLINK("#Roadmap!C"&amp; MATCH($E132,Roadmap!$D:$D,0)+COUNTIF($E132:J132,"u")+COUNTIF($E132:J132,"t")+COUNTIF($E132:J132,"¶")+COUNTIF($E132:J132,"²")+COUNTIF($E132:J132,"µ")+COUNTIF($E132:J132,1)-1,INDEX(Roadmap!$D:$K,MATCH($E132,Roadmap!$D:$D,0)-1+COUNTIF($E132:J132,"u")+COUNTIF($E132:J132,"t")+COUNTIF($E132:J132,"¶")+COUNTIF($E132:J132,"²")+COUNTIF($E132:J132,"µ")+COUNTIF($E132:J132,1),ColDescriptionCourte)),""),
  "")),"")</f>
        <v/>
      </c>
      <c r="L132" s="39" t="str">
        <f ca="1">IFERROR(IF(AND(
  INDEX(Roadmap!$D:$K,MATCH($E132,Roadmap!$D:$D,0)+COUNTIF($E132:K132,"u")+COUNTIF($E132:K132,"t")+COUNTIF($E132:K132,"¶")+COUNTIF($E132:K132,"²")+COUNTIF($E132:K132,"µ")+COUNTIF($E132:K132,1),ColLivraison)=L$6,
  VLOOKUP($E132,INDIRECT("tri!"&amp; CHAR(64+ C0Col) &amp;":"&amp; CHAR(65+C0Col)),2,FALSE)&gt;COUNTIF($E132:K132,"u")+COUNTIF($E132:K132,"t")+COUNTIF($E132:K132,"¶")+COUNTIF($E132:K132,"²")+COUNTIF($E132:K132,"µ")+COUNTIF($E132:K132,1)),
HYPERLINK("#Roadmap!C"&amp; MATCH($E132,Roadmap!$D:$D,0)+COUNTIF($E132:K132,"u")+COUNTIF($E132:K132,"t"),
     INDEX(Roadmap!$D:$K,MATCH($E132,Roadmap!$D:$D,0)+COUNTIF($E132:K132,"u")+COUNTIF($E132:K132,"t")+COUNTIF($E132:K132,"¶")+COUNTIF($E132:K132,"²")+COUNTIF($E132:K132,"µ")+COUNTIF($E132:K132,1),ColTypeEcheance)),
  IF(LEN(K132)=1,
  IF(LEN(INDEX(Roadmap!$D:$K,MATCH($E132,Roadmap!$D:$D,0)-1+COUNTIF($E132:K132,"u")+COUNTIF($E132:K132,"t")+COUNTIF($E132:K132,"¶")+COUNTIF($E132:K132,"²")+COUNTIF($E132:K132,"µ")+COUNTIF($E132:K132,1),ColDescriptionCourte))&gt;1,
HYPERLINK("#Roadmap!C"&amp; MATCH($E132,Roadmap!$D:$D,0)+COUNTIF($E132:K132,"u")+COUNTIF($E132:K132,"t")+COUNTIF($E132:K132,"¶")+COUNTIF($E132:K132,"²")+COUNTIF($E132:K132,"µ")+COUNTIF($E132:K132,1)-1,INDEX(Roadmap!$D:$K,MATCH($E132,Roadmap!$D:$D,0)-1+COUNTIF($E132:K132,"u")+COUNTIF($E132:K132,"t")+COUNTIF($E132:K132,"¶")+COUNTIF($E132:K132,"²")+COUNTIF($E132:K132,"µ")+COUNTIF($E132:K132,1),ColDescriptionCourte)),""),
  "")),"")</f>
        <v/>
      </c>
      <c r="M132" s="40" t="str">
        <f ca="1">IFERROR(IF(AND(
  INDEX(Roadmap!$D:$K,MATCH($E132,Roadmap!$D:$D,0)+COUNTIF($E132:L132,"u")+COUNTIF($E132:L132,"t")+COUNTIF($E132:L132,"¶")+COUNTIF($E132:L132,"²")+COUNTIF($E132:L132,"µ")+COUNTIF($E132:L132,1),ColLivraison)=M$6,
  VLOOKUP($E132,INDIRECT("tri!"&amp; CHAR(64+ C0Col) &amp;":"&amp; CHAR(65+C0Col)),2,FALSE)&gt;COUNTIF($E132:L132,"u")+COUNTIF($E132:L132,"t")+COUNTIF($E132:L132,"¶")+COUNTIF($E132:L132,"²")+COUNTIF($E132:L132,"µ")+COUNTIF($E132:L132,1)),
HYPERLINK("#Roadmap!C"&amp; MATCH($E132,Roadmap!$D:$D,0)+COUNTIF($E132:L132,"u")+COUNTIF($E132:L132,"t"),
     INDEX(Roadmap!$D:$K,MATCH($E132,Roadmap!$D:$D,0)+COUNTIF($E132:L132,"u")+COUNTIF($E132:L132,"t")+COUNTIF($E132:L132,"¶")+COUNTIF($E132:L132,"²")+COUNTIF($E132:L132,"µ")+COUNTIF($E132:L132,1),ColTypeEcheance)),
  IF(LEN(L132)=1,
  IF(LEN(INDEX(Roadmap!$D:$K,MATCH($E132,Roadmap!$D:$D,0)-1+COUNTIF($E132:L132,"u")+COUNTIF($E132:L132,"t")+COUNTIF($E132:L132,"¶")+COUNTIF($E132:L132,"²")+COUNTIF($E132:L132,"µ")+COUNTIF($E132:L132,1),ColDescriptionCourte))&gt;1,
HYPERLINK("#Roadmap!C"&amp; MATCH($E132,Roadmap!$D:$D,0)+COUNTIF($E132:L132,"u")+COUNTIF($E132:L132,"t")+COUNTIF($E132:L132,"¶")+COUNTIF($E132:L132,"²")+COUNTIF($E132:L132,"µ")+COUNTIF($E132:L132,1)-1,INDEX(Roadmap!$D:$K,MATCH($E132,Roadmap!$D:$D,0)-1+COUNTIF($E132:L132,"u")+COUNTIF($E132:L132,"t")+COUNTIF($E132:L132,"¶")+COUNTIF($E132:L132,"²")+COUNTIF($E132:L132,"µ")+COUNTIF($E132:L132,1),ColDescriptionCourte)),""),
  "")),"")</f>
        <v/>
      </c>
      <c r="N132" s="40" t="str">
        <f ca="1">IFERROR(IF(AND(
  INDEX(Roadmap!$D:$K,MATCH($E132,Roadmap!$D:$D,0)+COUNTIF($E132:M132,"u")+COUNTIF($E132:M132,"t")+COUNTIF($E132:M132,"¶")+COUNTIF($E132:M132,"²")+COUNTIF($E132:M132,"µ")+COUNTIF($E132:M132,1),ColLivraison)=N$6,
  VLOOKUP($E132,INDIRECT("tri!"&amp; CHAR(64+ C0Col) &amp;":"&amp; CHAR(65+C0Col)),2,FALSE)&gt;COUNTIF($E132:M132,"u")+COUNTIF($E132:M132,"t")+COUNTIF($E132:M132,"¶")+COUNTIF($E132:M132,"²")+COUNTIF($E132:M132,"µ")+COUNTIF($E132:M132,1)),
HYPERLINK("#Roadmap!C"&amp; MATCH($E132,Roadmap!$D:$D,0)+COUNTIF($E132:M132,"u")+COUNTIF($E132:M132,"t"),
     INDEX(Roadmap!$D:$K,MATCH($E132,Roadmap!$D:$D,0)+COUNTIF($E132:M132,"u")+COUNTIF($E132:M132,"t")+COUNTIF($E132:M132,"¶")+COUNTIF($E132:M132,"²")+COUNTIF($E132:M132,"µ")+COUNTIF($E132:M132,1),ColTypeEcheance)),
  IF(LEN(M132)=1,
  IF(LEN(INDEX(Roadmap!$D:$K,MATCH($E132,Roadmap!$D:$D,0)-1+COUNTIF($E132:M132,"u")+COUNTIF($E132:M132,"t")+COUNTIF($E132:M132,"¶")+COUNTIF($E132:M132,"²")+COUNTIF($E132:M132,"µ")+COUNTIF($E132:M132,1),ColDescriptionCourte))&gt;1,
HYPERLINK("#Roadmap!C"&amp; MATCH($E132,Roadmap!$D:$D,0)+COUNTIF($E132:M132,"u")+COUNTIF($E132:M132,"t")+COUNTIF($E132:M132,"¶")+COUNTIF($E132:M132,"²")+COUNTIF($E132:M132,"µ")+COUNTIF($E132:M132,1)-1,INDEX(Roadmap!$D:$K,MATCH($E132,Roadmap!$D:$D,0)-1+COUNTIF($E132:M132,"u")+COUNTIF($E132:M132,"t")+COUNTIF($E132:M132,"¶")+COUNTIF($E132:M132,"²")+COUNTIF($E132:M132,"µ")+COUNTIF($E132:M132,1),ColDescriptionCourte)),""),
  "")),"")</f>
        <v/>
      </c>
      <c r="O132" s="40" t="str">
        <f ca="1">IFERROR(IF(AND(
  INDEX(Roadmap!$D:$K,MATCH($E132,Roadmap!$D:$D,0)+COUNTIF($E132:N132,"u")+COUNTIF($E132:N132,"t")+COUNTIF($E132:N132,"¶")+COUNTIF($E132:N132,"²")+COUNTIF($E132:N132,"µ")+COUNTIF($E132:N132,1),ColLivraison)=O$6,
  VLOOKUP($E132,INDIRECT("tri!"&amp; CHAR(64+ C0Col) &amp;":"&amp; CHAR(65+C0Col)),2,FALSE)&gt;COUNTIF($E132:N132,"u")+COUNTIF($E132:N132,"t")+COUNTIF($E132:N132,"¶")+COUNTIF($E132:N132,"²")+COUNTIF($E132:N132,"µ")+COUNTIF($E132:N132,1)),
HYPERLINK("#Roadmap!C"&amp; MATCH($E132,Roadmap!$D:$D,0)+COUNTIF($E132:N132,"u")+COUNTIF($E132:N132,"t"),
     INDEX(Roadmap!$D:$K,MATCH($E132,Roadmap!$D:$D,0)+COUNTIF($E132:N132,"u")+COUNTIF($E132:N132,"t")+COUNTIF($E132:N132,"¶")+COUNTIF($E132:N132,"²")+COUNTIF($E132:N132,"µ")+COUNTIF($E132:N132,1),ColTypeEcheance)),
  IF(LEN(N132)=1,
  IF(LEN(INDEX(Roadmap!$D:$K,MATCH($E132,Roadmap!$D:$D,0)-1+COUNTIF($E132:N132,"u")+COUNTIF($E132:N132,"t")+COUNTIF($E132:N132,"¶")+COUNTIF($E132:N132,"²")+COUNTIF($E132:N132,"µ")+COUNTIF($E132:N132,1),ColDescriptionCourte))&gt;1,
HYPERLINK("#Roadmap!C"&amp; MATCH($E132,Roadmap!$D:$D,0)+COUNTIF($E132:N132,"u")+COUNTIF($E132:N132,"t")+COUNTIF($E132:N132,"¶")+COUNTIF($E132:N132,"²")+COUNTIF($E132:N132,"µ")+COUNTIF($E132:N132,1)-1,INDEX(Roadmap!$D:$K,MATCH($E132,Roadmap!$D:$D,0)-1+COUNTIF($E132:N132,"u")+COUNTIF($E132:N132,"t")+COUNTIF($E132:N132,"¶")+COUNTIF($E132:N132,"²")+COUNTIF($E132:N132,"µ")+COUNTIF($E132:N132,1),ColDescriptionCourte)),""),
  "")),"")</f>
        <v/>
      </c>
      <c r="P132" s="40" t="str">
        <f ca="1">IFERROR(IF(AND(
  INDEX(Roadmap!$D:$K,MATCH($E132,Roadmap!$D:$D,0)+COUNTIF($E132:O132,"u")+COUNTIF($E132:O132,"t")+COUNTIF($E132:O132,"¶")+COUNTIF($E132:O132,"²")+COUNTIF($E132:O132,"µ")+COUNTIF($E132:O132,1),ColLivraison)=P$6,
  VLOOKUP($E132,INDIRECT("tri!"&amp; CHAR(64+ C0Col) &amp;":"&amp; CHAR(65+C0Col)),2,FALSE)&gt;COUNTIF($E132:O132,"u")+COUNTIF($E132:O132,"t")+COUNTIF($E132:O132,"¶")+COUNTIF($E132:O132,"²")+COUNTIF($E132:O132,"µ")+COUNTIF($E132:O132,1)),
HYPERLINK("#Roadmap!C"&amp; MATCH($E132,Roadmap!$D:$D,0)+COUNTIF($E132:O132,"u")+COUNTIF($E132:O132,"t"),
     INDEX(Roadmap!$D:$K,MATCH($E132,Roadmap!$D:$D,0)+COUNTIF($E132:O132,"u")+COUNTIF($E132:O132,"t")+COUNTIF($E132:O132,"¶")+COUNTIF($E132:O132,"²")+COUNTIF($E132:O132,"µ")+COUNTIF($E132:O132,1),ColTypeEcheance)),
  IF(LEN(O132)=1,
  IF(LEN(INDEX(Roadmap!$D:$K,MATCH($E132,Roadmap!$D:$D,0)-1+COUNTIF($E132:O132,"u")+COUNTIF($E132:O132,"t")+COUNTIF($E132:O132,"¶")+COUNTIF($E132:O132,"²")+COUNTIF($E132:O132,"µ")+COUNTIF($E132:O132,1),ColDescriptionCourte))&gt;1,
HYPERLINK("#Roadmap!C"&amp; MATCH($E132,Roadmap!$D:$D,0)+COUNTIF($E132:O132,"u")+COUNTIF($E132:O132,"t")+COUNTIF($E132:O132,"¶")+COUNTIF($E132:O132,"²")+COUNTIF($E132:O132,"µ")+COUNTIF($E132:O132,1)-1,INDEX(Roadmap!$D:$K,MATCH($E132,Roadmap!$D:$D,0)-1+COUNTIF($E132:O132,"u")+COUNTIF($E132:O132,"t")+COUNTIF($E132:O132,"¶")+COUNTIF($E132:O132,"²")+COUNTIF($E132:O132,"µ")+COUNTIF($E132:O132,1),ColDescriptionCourte)),""),
  "")),"")</f>
        <v/>
      </c>
      <c r="Q132" s="40" t="str">
        <f ca="1">IFERROR(IF(AND(
  INDEX(Roadmap!$D:$K,MATCH($E132,Roadmap!$D:$D,0)+COUNTIF($E132:P132,"u")+COUNTIF($E132:P132,"t")+COUNTIF($E132:P132,"¶")+COUNTIF($E132:P132,"²")+COUNTIF($E132:P132,"µ")+COUNTIF($E132:P132,1),ColLivraison)=Q$6,
  VLOOKUP($E132,INDIRECT("tri!"&amp; CHAR(64+ C0Col) &amp;":"&amp; CHAR(65+C0Col)),2,FALSE)&gt;COUNTIF($E132:P132,"u")+COUNTIF($E132:P132,"t")+COUNTIF($E132:P132,"¶")+COUNTIF($E132:P132,"²")+COUNTIF($E132:P132,"µ")+COUNTIF($E132:P132,1)),
HYPERLINK("#Roadmap!C"&amp; MATCH($E132,Roadmap!$D:$D,0)+COUNTIF($E132:P132,"u")+COUNTIF($E132:P132,"t"),
     INDEX(Roadmap!$D:$K,MATCH($E132,Roadmap!$D:$D,0)+COUNTIF($E132:P132,"u")+COUNTIF($E132:P132,"t")+COUNTIF($E132:P132,"¶")+COUNTIF($E132:P132,"²")+COUNTIF($E132:P132,"µ")+COUNTIF($E132:P132,1),ColTypeEcheance)),
  IF(LEN(P132)=1,
  IF(LEN(INDEX(Roadmap!$D:$K,MATCH($E132,Roadmap!$D:$D,0)-1+COUNTIF($E132:P132,"u")+COUNTIF($E132:P132,"t")+COUNTIF($E132:P132,"¶")+COUNTIF($E132:P132,"²")+COUNTIF($E132:P132,"µ")+COUNTIF($E132:P132,1),ColDescriptionCourte))&gt;1,
HYPERLINK("#Roadmap!C"&amp; MATCH($E132,Roadmap!$D:$D,0)+COUNTIF($E132:P132,"u")+COUNTIF($E132:P132,"t")+COUNTIF($E132:P132,"¶")+COUNTIF($E132:P132,"²")+COUNTIF($E132:P132,"µ")+COUNTIF($E132:P132,1)-1,INDEX(Roadmap!$D:$K,MATCH($E132,Roadmap!$D:$D,0)-1+COUNTIF($E132:P132,"u")+COUNTIF($E132:P132,"t")+COUNTIF($E132:P132,"¶")+COUNTIF($E132:P132,"²")+COUNTIF($E132:P132,"µ")+COUNTIF($E132:P132,1),ColDescriptionCourte)),""),
  "")),"")</f>
        <v/>
      </c>
      <c r="R132" s="40" t="str">
        <f ca="1">IFERROR(IF(AND(
  INDEX(Roadmap!$D:$K,MATCH($E132,Roadmap!$D:$D,0)+COUNTIF($E132:Q132,"u")+COUNTIF($E132:Q132,"t")+COUNTIF($E132:Q132,"¶")+COUNTIF($E132:Q132,"²")+COUNTIF($E132:Q132,"µ")+COUNTIF($E132:Q132,1),ColLivraison)=R$6,
  VLOOKUP($E132,INDIRECT("tri!"&amp; CHAR(64+ C0Col) &amp;":"&amp; CHAR(65+C0Col)),2,FALSE)&gt;COUNTIF($E132:Q132,"u")+COUNTIF($E132:Q132,"t")+COUNTIF($E132:Q132,"¶")+COUNTIF($E132:Q132,"²")+COUNTIF($E132:Q132,"µ")+COUNTIF($E132:Q132,1)),
HYPERLINK("#Roadmap!C"&amp; MATCH($E132,Roadmap!$D:$D,0)+COUNTIF($E132:Q132,"u")+COUNTIF($E132:Q132,"t"),
     INDEX(Roadmap!$D:$K,MATCH($E132,Roadmap!$D:$D,0)+COUNTIF($E132:Q132,"u")+COUNTIF($E132:Q132,"t")+COUNTIF($E132:Q132,"¶")+COUNTIF($E132:Q132,"²")+COUNTIF($E132:Q132,"µ")+COUNTIF($E132:Q132,1),ColTypeEcheance)),
  IF(LEN(Q132)=1,
  IF(LEN(INDEX(Roadmap!$D:$K,MATCH($E132,Roadmap!$D:$D,0)-1+COUNTIF($E132:Q132,"u")+COUNTIF($E132:Q132,"t")+COUNTIF($E132:Q132,"¶")+COUNTIF($E132:Q132,"²")+COUNTIF($E132:Q132,"µ")+COUNTIF($E132:Q132,1),ColDescriptionCourte))&gt;1,
HYPERLINK("#Roadmap!C"&amp; MATCH($E132,Roadmap!$D:$D,0)+COUNTIF($E132:Q132,"u")+COUNTIF($E132:Q132,"t")+COUNTIF($E132:Q132,"¶")+COUNTIF($E132:Q132,"²")+COUNTIF($E132:Q132,"µ")+COUNTIF($E132:Q132,1)-1,INDEX(Roadmap!$D:$K,MATCH($E132,Roadmap!$D:$D,0)-1+COUNTIF($E132:Q132,"u")+COUNTIF($E132:Q132,"t")+COUNTIF($E132:Q132,"¶")+COUNTIF($E132:Q132,"²")+COUNTIF($E132:Q132,"µ")+COUNTIF($E132:Q132,1),ColDescriptionCourte)),""),
  "")),"")</f>
        <v/>
      </c>
      <c r="S132" s="40" t="str">
        <f ca="1">IFERROR(IF(AND(
  INDEX(Roadmap!$D:$K,MATCH($E132,Roadmap!$D:$D,0)+COUNTIF($E132:R132,"u")+COUNTIF($E132:R132,"t")+COUNTIF($E132:R132,"¶")+COUNTIF($E132:R132,"²")+COUNTIF($E132:R132,"µ")+COUNTIF($E132:R132,1),ColLivraison)=S$6,
  VLOOKUP($E132,INDIRECT("tri!"&amp; CHAR(64+ C0Col) &amp;":"&amp; CHAR(65+C0Col)),2,FALSE)&gt;COUNTIF($E132:R132,"u")+COUNTIF($E132:R132,"t")+COUNTIF($E132:R132,"¶")+COUNTIF($E132:R132,"²")+COUNTIF($E132:R132,"µ")+COUNTIF($E132:R132,1)),
HYPERLINK("#Roadmap!C"&amp; MATCH($E132,Roadmap!$D:$D,0)+COUNTIF($E132:R132,"u")+COUNTIF($E132:R132,"t"),
     INDEX(Roadmap!$D:$K,MATCH($E132,Roadmap!$D:$D,0)+COUNTIF($E132:R132,"u")+COUNTIF($E132:R132,"t")+COUNTIF($E132:R132,"¶")+COUNTIF($E132:R132,"²")+COUNTIF($E132:R132,"µ")+COUNTIF($E132:R132,1),ColTypeEcheance)),
  IF(LEN(R132)=1,
  IF(LEN(INDEX(Roadmap!$D:$K,MATCH($E132,Roadmap!$D:$D,0)-1+COUNTIF($E132:R132,"u")+COUNTIF($E132:R132,"t")+COUNTIF($E132:R132,"¶")+COUNTIF($E132:R132,"²")+COUNTIF($E132:R132,"µ")+COUNTIF($E132:R132,1),ColDescriptionCourte))&gt;1,
HYPERLINK("#Roadmap!C"&amp; MATCH($E132,Roadmap!$D:$D,0)+COUNTIF($E132:R132,"u")+COUNTIF($E132:R132,"t")+COUNTIF($E132:R132,"¶")+COUNTIF($E132:R132,"²")+COUNTIF($E132:R132,"µ")+COUNTIF($E132:R132,1)-1,INDEX(Roadmap!$D:$K,MATCH($E132,Roadmap!$D:$D,0)-1+COUNTIF($E132:R132,"u")+COUNTIF($E132:R132,"t")+COUNTIF($E132:R132,"¶")+COUNTIF($E132:R132,"²")+COUNTIF($E132:R132,"µ")+COUNTIF($E132:R132,1),ColDescriptionCourte)),""),
  "")),"")</f>
        <v/>
      </c>
      <c r="T132" s="40" t="str">
        <f ca="1">IFERROR(IF(AND(
  INDEX(Roadmap!$D:$K,MATCH($E132,Roadmap!$D:$D,0)+COUNTIF($E132:S132,"u")+COUNTIF($E132:S132,"t")+COUNTIF($E132:S132,"¶")+COUNTIF($E132:S132,"²")+COUNTIF($E132:S132,"µ")+COUNTIF($E132:S132,1),ColLivraison)=T$6,
  VLOOKUP($E132,INDIRECT("tri!"&amp; CHAR(64+ C0Col) &amp;":"&amp; CHAR(65+C0Col)),2,FALSE)&gt;COUNTIF($E132:S132,"u")+COUNTIF($E132:S132,"t")+COUNTIF($E132:S132,"¶")+COUNTIF($E132:S132,"²")+COUNTIF($E132:S132,"µ")+COUNTIF($E132:S132,1)),
HYPERLINK("#Roadmap!C"&amp; MATCH($E132,Roadmap!$D:$D,0)+COUNTIF($E132:S132,"u")+COUNTIF($E132:S132,"t"),
     INDEX(Roadmap!$D:$K,MATCH($E132,Roadmap!$D:$D,0)+COUNTIF($E132:S132,"u")+COUNTIF($E132:S132,"t")+COUNTIF($E132:S132,"¶")+COUNTIF($E132:S132,"²")+COUNTIF($E132:S132,"µ")+COUNTIF($E132:S132,1),ColTypeEcheance)),
  IF(LEN(S132)=1,
  IF(LEN(INDEX(Roadmap!$D:$K,MATCH($E132,Roadmap!$D:$D,0)-1+COUNTIF($E132:S132,"u")+COUNTIF($E132:S132,"t")+COUNTIF($E132:S132,"¶")+COUNTIF($E132:S132,"²")+COUNTIF($E132:S132,"µ")+COUNTIF($E132:S132,1),ColDescriptionCourte))&gt;1,
HYPERLINK("#Roadmap!C"&amp; MATCH($E132,Roadmap!$D:$D,0)+COUNTIF($E132:S132,"u")+COUNTIF($E132:S132,"t")+COUNTIF($E132:S132,"¶")+COUNTIF($E132:S132,"²")+COUNTIF($E132:S132,"µ")+COUNTIF($E132:S132,1)-1,INDEX(Roadmap!$D:$K,MATCH($E132,Roadmap!$D:$D,0)-1+COUNTIF($E132:S132,"u")+COUNTIF($E132:S132,"t")+COUNTIF($E132:S132,"¶")+COUNTIF($E132:S132,"²")+COUNTIF($E132:S132,"µ")+COUNTIF($E132:S132,1),ColDescriptionCourte)),""),
  "")),"")</f>
        <v/>
      </c>
      <c r="U132" s="40" t="str">
        <f ca="1">IFERROR(IF(AND(
  INDEX(Roadmap!$D:$K,MATCH($E132,Roadmap!$D:$D,0)+COUNTIF($E132:T132,"u")+COUNTIF($E132:T132,"t")+COUNTIF($E132:T132,"¶")+COUNTIF($E132:T132,"²")+COUNTIF($E132:T132,"µ")+COUNTIF($E132:T132,1),ColLivraison)=U$6,
  VLOOKUP($E132,INDIRECT("tri!"&amp; CHAR(64+ C0Col) &amp;":"&amp; CHAR(65+C0Col)),2,FALSE)&gt;COUNTIF($E132:T132,"u")+COUNTIF($E132:T132,"t")+COUNTIF($E132:T132,"¶")+COUNTIF($E132:T132,"²")+COUNTIF($E132:T132,"µ")+COUNTIF($E132:T132,1)),
HYPERLINK("#Roadmap!C"&amp; MATCH($E132,Roadmap!$D:$D,0)+COUNTIF($E132:T132,"u")+COUNTIF($E132:T132,"t"),
     INDEX(Roadmap!$D:$K,MATCH($E132,Roadmap!$D:$D,0)+COUNTIF($E132:T132,"u")+COUNTIF($E132:T132,"t")+COUNTIF($E132:T132,"¶")+COUNTIF($E132:T132,"²")+COUNTIF($E132:T132,"µ")+COUNTIF($E132:T132,1),ColTypeEcheance)),
  IF(LEN(T132)=1,
  IF(LEN(INDEX(Roadmap!$D:$K,MATCH($E132,Roadmap!$D:$D,0)-1+COUNTIF($E132:T132,"u")+COUNTIF($E132:T132,"t")+COUNTIF($E132:T132,"¶")+COUNTIF($E132:T132,"²")+COUNTIF($E132:T132,"µ")+COUNTIF($E132:T132,1),ColDescriptionCourte))&gt;1,
HYPERLINK("#Roadmap!C"&amp; MATCH($E132,Roadmap!$D:$D,0)+COUNTIF($E132:T132,"u")+COUNTIF($E132:T132,"t")+COUNTIF($E132:T132,"¶")+COUNTIF($E132:T132,"²")+COUNTIF($E132:T132,"µ")+COUNTIF($E132:T132,1)-1,INDEX(Roadmap!$D:$K,MATCH($E132,Roadmap!$D:$D,0)-1+COUNTIF($E132:T132,"u")+COUNTIF($E132:T132,"t")+COUNTIF($E132:T132,"¶")+COUNTIF($E132:T132,"²")+COUNTIF($E132:T132,"µ")+COUNTIF($E132:T132,1),ColDescriptionCourte)),""),
  "")),"")</f>
        <v/>
      </c>
      <c r="V132" s="40" t="str">
        <f ca="1">IFERROR(IF(AND(
  INDEX(Roadmap!$D:$K,MATCH($E132,Roadmap!$D:$D,0)+COUNTIF($E132:U132,"u")+COUNTIF($E132:U132,"t")+COUNTIF($E132:U132,"¶")+COUNTIF($E132:U132,"²")+COUNTIF($E132:U132,"µ")+COUNTIF($E132:U132,1),ColLivraison)=V$6,
  VLOOKUP($E132,INDIRECT("tri!"&amp; CHAR(64+ C0Col) &amp;":"&amp; CHAR(65+C0Col)),2,FALSE)&gt;COUNTIF($E132:U132,"u")+COUNTIF($E132:U132,"t")+COUNTIF($E132:U132,"¶")+COUNTIF($E132:U132,"²")+COUNTIF($E132:U132,"µ")+COUNTIF($E132:U132,1)),
HYPERLINK("#Roadmap!C"&amp; MATCH($E132,Roadmap!$D:$D,0)+COUNTIF($E132:U132,"u")+COUNTIF($E132:U132,"t"),
     INDEX(Roadmap!$D:$K,MATCH($E132,Roadmap!$D:$D,0)+COUNTIF($E132:U132,"u")+COUNTIF($E132:U132,"t")+COUNTIF($E132:U132,"¶")+COUNTIF($E132:U132,"²")+COUNTIF($E132:U132,"µ")+COUNTIF($E132:U132,1),ColTypeEcheance)),
  IF(LEN(U132)=1,
  IF(LEN(INDEX(Roadmap!$D:$K,MATCH($E132,Roadmap!$D:$D,0)-1+COUNTIF($E132:U132,"u")+COUNTIF($E132:U132,"t")+COUNTIF($E132:U132,"¶")+COUNTIF($E132:U132,"²")+COUNTIF($E132:U132,"µ")+COUNTIF($E132:U132,1),ColDescriptionCourte))&gt;1,
HYPERLINK("#Roadmap!C"&amp; MATCH($E132,Roadmap!$D:$D,0)+COUNTIF($E132:U132,"u")+COUNTIF($E132:U132,"t")+COUNTIF($E132:U132,"¶")+COUNTIF($E132:U132,"²")+COUNTIF($E132:U132,"µ")+COUNTIF($E132:U132,1)-1,INDEX(Roadmap!$D:$K,MATCH($E132,Roadmap!$D:$D,0)-1+COUNTIF($E132:U132,"u")+COUNTIF($E132:U132,"t")+COUNTIF($E132:U132,"¶")+COUNTIF($E132:U132,"²")+COUNTIF($E132:U132,"µ")+COUNTIF($E132:U132,1),ColDescriptionCourte)),""),
  "")),"")</f>
        <v/>
      </c>
      <c r="W132" s="40" t="str">
        <f ca="1">IFERROR(IF(AND(
  INDEX(Roadmap!$D:$K,MATCH($E132,Roadmap!$D:$D,0)+COUNTIF($E132:V132,"u")+COUNTIF($E132:V132,"t")+COUNTIF($E132:V132,"¶")+COUNTIF($E132:V132,"²")+COUNTIF($E132:V132,"µ")+COUNTIF($E132:V132,1),ColLivraison)=W$6,
  VLOOKUP($E132,INDIRECT("tri!"&amp; CHAR(64+ C0Col) &amp;":"&amp; CHAR(65+C0Col)),2,FALSE)&gt;COUNTIF($E132:V132,"u")+COUNTIF($E132:V132,"t")+COUNTIF($E132:V132,"¶")+COUNTIF($E132:V132,"²")+COUNTIF($E132:V132,"µ")+COUNTIF($E132:V132,1)),
HYPERLINK("#Roadmap!C"&amp; MATCH($E132,Roadmap!$D:$D,0)+COUNTIF($E132:V132,"u")+COUNTIF($E132:V132,"t"),
     INDEX(Roadmap!$D:$K,MATCH($E132,Roadmap!$D:$D,0)+COUNTIF($E132:V132,"u")+COUNTIF($E132:V132,"t")+COUNTIF($E132:V132,"¶")+COUNTIF($E132:V132,"²")+COUNTIF($E132:V132,"µ")+COUNTIF($E132:V132,1),ColTypeEcheance)),
  IF(LEN(V132)=1,
  IF(LEN(INDEX(Roadmap!$D:$K,MATCH($E132,Roadmap!$D:$D,0)-1+COUNTIF($E132:V132,"u")+COUNTIF($E132:V132,"t")+COUNTIF($E132:V132,"¶")+COUNTIF($E132:V132,"²")+COUNTIF($E132:V132,"µ")+COUNTIF($E132:V132,1),ColDescriptionCourte))&gt;1,
HYPERLINK("#Roadmap!C"&amp; MATCH($E132,Roadmap!$D:$D,0)+COUNTIF($E132:V132,"u")+COUNTIF($E132:V132,"t")+COUNTIF($E132:V132,"¶")+COUNTIF($E132:V132,"²")+COUNTIF($E132:V132,"µ")+COUNTIF($E132:V132,1)-1,INDEX(Roadmap!$D:$K,MATCH($E132,Roadmap!$D:$D,0)-1+COUNTIF($E132:V132,"u")+COUNTIF($E132:V132,"t")+COUNTIF($E132:V132,"¶")+COUNTIF($E132:V132,"²")+COUNTIF($E132:V132,"µ")+COUNTIF($E132:V132,1),ColDescriptionCourte)),""),
  "")),"")</f>
        <v/>
      </c>
      <c r="X132" s="40" t="str">
        <f ca="1">IFERROR(IF(AND(
  INDEX(Roadmap!$D:$K,MATCH($E132,Roadmap!$D:$D,0)+COUNTIF($E132:W132,"u")+COUNTIF($E132:W132,"t")+COUNTIF($E132:W132,"¶")+COUNTIF($E132:W132,"²")+COUNTIF($E132:W132,"µ")+COUNTIF($E132:W132,1),ColLivraison)=X$6,
  VLOOKUP($E132,INDIRECT("tri!"&amp; CHAR(64+ C0Col) &amp;":"&amp; CHAR(65+C0Col)),2,FALSE)&gt;COUNTIF($E132:W132,"u")+COUNTIF($E132:W132,"t")+COUNTIF($E132:W132,"¶")+COUNTIF($E132:W132,"²")+COUNTIF($E132:W132,"µ")+COUNTIF($E132:W132,1)),
HYPERLINK("#Roadmap!C"&amp; MATCH($E132,Roadmap!$D:$D,0)+COUNTIF($E132:W132,"u")+COUNTIF($E132:W132,"t"),
     INDEX(Roadmap!$D:$K,MATCH($E132,Roadmap!$D:$D,0)+COUNTIF($E132:W132,"u")+COUNTIF($E132:W132,"t")+COUNTIF($E132:W132,"¶")+COUNTIF($E132:W132,"²")+COUNTIF($E132:W132,"µ")+COUNTIF($E132:W132,1),ColTypeEcheance)),
  IF(LEN(W132)=1,
  IF(LEN(INDEX(Roadmap!$D:$K,MATCH($E132,Roadmap!$D:$D,0)-1+COUNTIF($E132:W132,"u")+COUNTIF($E132:W132,"t")+COUNTIF($E132:W132,"¶")+COUNTIF($E132:W132,"²")+COUNTIF($E132:W132,"µ")+COUNTIF($E132:W132,1),ColDescriptionCourte))&gt;1,
HYPERLINK("#Roadmap!C"&amp; MATCH($E132,Roadmap!$D:$D,0)+COUNTIF($E132:W132,"u")+COUNTIF($E132:W132,"t")+COUNTIF($E132:W132,"¶")+COUNTIF($E132:W132,"²")+COUNTIF($E132:W132,"µ")+COUNTIF($E132:W132,1)-1,INDEX(Roadmap!$D:$K,MATCH($E132,Roadmap!$D:$D,0)-1+COUNTIF($E132:W132,"u")+COUNTIF($E132:W132,"t")+COUNTIF($E132:W132,"¶")+COUNTIF($E132:W132,"²")+COUNTIF($E132:W132,"µ")+COUNTIF($E132:W132,1),ColDescriptionCourte)),""),
  "")),"")</f>
        <v/>
      </c>
      <c r="Y132" s="40" t="str">
        <f ca="1">IFERROR(IF(AND(
  INDEX(Roadmap!$D:$K,MATCH($E132,Roadmap!$D:$D,0)+COUNTIF($E132:X132,"u")+COUNTIF($E132:X132,"t")+COUNTIF($E132:X132,"¶")+COUNTIF($E132:X132,"²")+COUNTIF($E132:X132,"µ")+COUNTIF($E132:X132,1),ColLivraison)=Y$6,
  VLOOKUP($E132,INDIRECT("tri!"&amp; CHAR(64+ C0Col) &amp;":"&amp; CHAR(65+C0Col)),2,FALSE)&gt;COUNTIF($E132:X132,"u")+COUNTIF($E132:X132,"t")+COUNTIF($E132:X132,"¶")+COUNTIF($E132:X132,"²")+COUNTIF($E132:X132,"µ")+COUNTIF($E132:X132,1)),
HYPERLINK("#Roadmap!C"&amp; MATCH($E132,Roadmap!$D:$D,0)+COUNTIF($E132:X132,"u")+COUNTIF($E132:X132,"t"),
     INDEX(Roadmap!$D:$K,MATCH($E132,Roadmap!$D:$D,0)+COUNTIF($E132:X132,"u")+COUNTIF($E132:X132,"t")+COUNTIF($E132:X132,"¶")+COUNTIF($E132:X132,"²")+COUNTIF($E132:X132,"µ")+COUNTIF($E132:X132,1),ColTypeEcheance)),
  IF(LEN(X132)=1,
  IF(LEN(INDEX(Roadmap!$D:$K,MATCH($E132,Roadmap!$D:$D,0)-1+COUNTIF($E132:X132,"u")+COUNTIF($E132:X132,"t")+COUNTIF($E132:X132,"¶")+COUNTIF($E132:X132,"²")+COUNTIF($E132:X132,"µ")+COUNTIF($E132:X132,1),ColDescriptionCourte))&gt;1,
HYPERLINK("#Roadmap!C"&amp; MATCH($E132,Roadmap!$D:$D,0)+COUNTIF($E132:X132,"u")+COUNTIF($E132:X132,"t")+COUNTIF($E132:X132,"¶")+COUNTIF($E132:X132,"²")+COUNTIF($E132:X132,"µ")+COUNTIF($E132:X132,1)-1,INDEX(Roadmap!$D:$K,MATCH($E132,Roadmap!$D:$D,0)-1+COUNTIF($E132:X132,"u")+COUNTIF($E132:X132,"t")+COUNTIF($E132:X132,"¶")+COUNTIF($E132:X132,"²")+COUNTIF($E132:X132,"µ")+COUNTIF($E132:X132,1),ColDescriptionCourte)),""),
  "")),"")</f>
        <v/>
      </c>
      <c r="Z132" s="40" t="str">
        <f ca="1">IFERROR(IF(AND(
  INDEX(Roadmap!$D:$K,MATCH($E132,Roadmap!$D:$D,0)+COUNTIF($E132:Y132,"u")+COUNTIF($E132:Y132,"t")+COUNTIF($E132:Y132,"¶")+COUNTIF($E132:Y132,"²")+COUNTIF($E132:Y132,"µ")+COUNTIF($E132:Y132,1),ColLivraison)=Z$6,
  VLOOKUP($E132,INDIRECT("tri!"&amp; CHAR(64+ C0Col) &amp;":"&amp; CHAR(65+C0Col)),2,FALSE)&gt;COUNTIF($E132:Y132,"u")+COUNTIF($E132:Y132,"t")+COUNTIF($E132:Y132,"¶")+COUNTIF($E132:Y132,"²")+COUNTIF($E132:Y132,"µ")+COUNTIF($E132:Y132,1)),
HYPERLINK("#Roadmap!C"&amp; MATCH($E132,Roadmap!$D:$D,0)+COUNTIF($E132:Y132,"u")+COUNTIF($E132:Y132,"t"),
     INDEX(Roadmap!$D:$K,MATCH($E132,Roadmap!$D:$D,0)+COUNTIF($E132:Y132,"u")+COUNTIF($E132:Y132,"t")+COUNTIF($E132:Y132,"¶")+COUNTIF($E132:Y132,"²")+COUNTIF($E132:Y132,"µ")+COUNTIF($E132:Y132,1),ColTypeEcheance)),
  IF(LEN(Y132)=1,
  IF(LEN(INDEX(Roadmap!$D:$K,MATCH($E132,Roadmap!$D:$D,0)-1+COUNTIF($E132:Y132,"u")+COUNTIF($E132:Y132,"t")+COUNTIF($E132:Y132,"¶")+COUNTIF($E132:Y132,"²")+COUNTIF($E132:Y132,"µ")+COUNTIF($E132:Y132,1),ColDescriptionCourte))&gt;1,
HYPERLINK("#Roadmap!C"&amp; MATCH($E132,Roadmap!$D:$D,0)+COUNTIF($E132:Y132,"u")+COUNTIF($E132:Y132,"t")+COUNTIF($E132:Y132,"¶")+COUNTIF($E132:Y132,"²")+COUNTIF($E132:Y132,"µ")+COUNTIF($E132:Y132,1)-1,INDEX(Roadmap!$D:$K,MATCH($E132,Roadmap!$D:$D,0)-1+COUNTIF($E132:Y132,"u")+COUNTIF($E132:Y132,"t")+COUNTIF($E132:Y132,"¶")+COUNTIF($E132:Y132,"²")+COUNTIF($E132:Y132,"µ")+COUNTIF($E132:Y132,1),ColDescriptionCourte)),""),
  "")),"")</f>
        <v/>
      </c>
      <c r="AA132" s="40" t="str">
        <f ca="1">IFERROR(IF(AND(
  INDEX(Roadmap!$D:$K,MATCH($E132,Roadmap!$D:$D,0)+COUNTIF($E132:Z132,"u")+COUNTIF($E132:Z132,"t")+COUNTIF($E132:Z132,"¶")+COUNTIF($E132:Z132,"²")+COUNTIF($E132:Z132,"µ")+COUNTIF($E132:Z132,1),ColLivraison)=AA$6,
  VLOOKUP($E132,INDIRECT("tri!"&amp; CHAR(64+ C0Col) &amp;":"&amp; CHAR(65+C0Col)),2,FALSE)&gt;COUNTIF($E132:Z132,"u")+COUNTIF($E132:Z132,"t")+COUNTIF($E132:Z132,"¶")+COUNTIF($E132:Z132,"²")+COUNTIF($E132:Z132,"µ")+COUNTIF($E132:Z132,1)),
HYPERLINK("#Roadmap!C"&amp; MATCH($E132,Roadmap!$D:$D,0)+COUNTIF($E132:Z132,"u")+COUNTIF($E132:Z132,"t"),
     INDEX(Roadmap!$D:$K,MATCH($E132,Roadmap!$D:$D,0)+COUNTIF($E132:Z132,"u")+COUNTIF($E132:Z132,"t")+COUNTIF($E132:Z132,"¶")+COUNTIF($E132:Z132,"²")+COUNTIF($E132:Z132,"µ")+COUNTIF($E132:Z132,1),ColTypeEcheance)),
  IF(LEN(Z132)=1,
  IF(LEN(INDEX(Roadmap!$D:$K,MATCH($E132,Roadmap!$D:$D,0)-1+COUNTIF($E132:Z132,"u")+COUNTIF($E132:Z132,"t")+COUNTIF($E132:Z132,"¶")+COUNTIF($E132:Z132,"²")+COUNTIF($E132:Z132,"µ")+COUNTIF($E132:Z132,1),ColDescriptionCourte))&gt;1,
HYPERLINK("#Roadmap!C"&amp; MATCH($E132,Roadmap!$D:$D,0)+COUNTIF($E132:Z132,"u")+COUNTIF($E132:Z132,"t")+COUNTIF($E132:Z132,"¶")+COUNTIF($E132:Z132,"²")+COUNTIF($E132:Z132,"µ")+COUNTIF($E132:Z132,1)-1,INDEX(Roadmap!$D:$K,MATCH($E132,Roadmap!$D:$D,0)-1+COUNTIF($E132:Z132,"u")+COUNTIF($E132:Z132,"t")+COUNTIF($E132:Z132,"¶")+COUNTIF($E132:Z132,"²")+COUNTIF($E132:Z132,"µ")+COUNTIF($E132:Z132,1),ColDescriptionCourte)),""),
  "")),"")</f>
        <v/>
      </c>
      <c r="AB132" s="40" t="str">
        <f ca="1">IFERROR(IF(AND(
  INDEX(Roadmap!$D:$K,MATCH($E132,Roadmap!$D:$D,0)+COUNTIF($E132:AA132,"u")+COUNTIF($E132:AA132,"t")+COUNTIF($E132:AA132,"¶")+COUNTIF($E132:AA132,"²")+COUNTIF($E132:AA132,"µ")+COUNTIF($E132:AA132,1),ColLivraison)=AB$6,
  VLOOKUP($E132,INDIRECT("tri!"&amp; CHAR(64+ C0Col) &amp;":"&amp; CHAR(65+C0Col)),2,FALSE)&gt;COUNTIF($E132:AA132,"u")+COUNTIF($E132:AA132,"t")+COUNTIF($E132:AA132,"¶")+COUNTIF($E132:AA132,"²")+COUNTIF($E132:AA132,"µ")+COUNTIF($E132:AA132,1)),
HYPERLINK("#Roadmap!C"&amp; MATCH($E132,Roadmap!$D:$D,0)+COUNTIF($E132:AA132,"u")+COUNTIF($E132:AA132,"t"),
     INDEX(Roadmap!$D:$K,MATCH($E132,Roadmap!$D:$D,0)+COUNTIF($E132:AA132,"u")+COUNTIF($E132:AA132,"t")+COUNTIF($E132:AA132,"¶")+COUNTIF($E132:AA132,"²")+COUNTIF($E132:AA132,"µ")+COUNTIF($E132:AA132,1),ColTypeEcheance)),
  IF(LEN(AA132)=1,
  IF(LEN(INDEX(Roadmap!$D:$K,MATCH($E132,Roadmap!$D:$D,0)-1+COUNTIF($E132:AA132,"u")+COUNTIF($E132:AA132,"t")+COUNTIF($E132:AA132,"¶")+COUNTIF($E132:AA132,"²")+COUNTIF($E132:AA132,"µ")+COUNTIF($E132:AA132,1),ColDescriptionCourte))&gt;1,
HYPERLINK("#Roadmap!C"&amp; MATCH($E132,Roadmap!$D:$D,0)+COUNTIF($E132:AA132,"u")+COUNTIF($E132:AA132,"t")+COUNTIF($E132:AA132,"¶")+COUNTIF($E132:AA132,"²")+COUNTIF($E132:AA132,"µ")+COUNTIF($E132:AA132,1)-1,INDEX(Roadmap!$D:$K,MATCH($E132,Roadmap!$D:$D,0)-1+COUNTIF($E132:AA132,"u")+COUNTIF($E132:AA132,"t")+COUNTIF($E132:AA132,"¶")+COUNTIF($E132:AA132,"²")+COUNTIF($E132:AA132,"µ")+COUNTIF($E132:AA132,1),ColDescriptionCourte)),""),
  "")),"")</f>
        <v/>
      </c>
      <c r="AC132" s="40" t="str">
        <f ca="1">IFERROR(IF(AND(
  INDEX(Roadmap!$D:$K,MATCH($E132,Roadmap!$D:$D,0)+COUNTIF($E132:AB132,"u")+COUNTIF($E132:AB132,"t")+COUNTIF($E132:AB132,"¶")+COUNTIF($E132:AB132,"²")+COUNTIF($E132:AB132,"µ")+COUNTIF($E132:AB132,1),ColLivraison)=AC$6,
  VLOOKUP($E132,INDIRECT("tri!"&amp; CHAR(64+ C0Col) &amp;":"&amp; CHAR(65+C0Col)),2,FALSE)&gt;COUNTIF($E132:AB132,"u")+COUNTIF($E132:AB132,"t")+COUNTIF($E132:AB132,"¶")+COUNTIF($E132:AB132,"²")+COUNTIF($E132:AB132,"µ")+COUNTIF($E132:AB132,1)),
HYPERLINK("#Roadmap!C"&amp; MATCH($E132,Roadmap!$D:$D,0)+COUNTIF($E132:AB132,"u")+COUNTIF($E132:AB132,"t"),
     INDEX(Roadmap!$D:$K,MATCH($E132,Roadmap!$D:$D,0)+COUNTIF($E132:AB132,"u")+COUNTIF($E132:AB132,"t")+COUNTIF($E132:AB132,"¶")+COUNTIF($E132:AB132,"²")+COUNTIF($E132:AB132,"µ")+COUNTIF($E132:AB132,1),ColTypeEcheance)),
  IF(LEN(AB132)=1,
  IF(LEN(INDEX(Roadmap!$D:$K,MATCH($E132,Roadmap!$D:$D,0)-1+COUNTIF($E132:AB132,"u")+COUNTIF($E132:AB132,"t")+COUNTIF($E132:AB132,"¶")+COUNTIF($E132:AB132,"²")+COUNTIF($E132:AB132,"µ")+COUNTIF($E132:AB132,1),ColDescriptionCourte))&gt;1,
HYPERLINK("#Roadmap!C"&amp; MATCH($E132,Roadmap!$D:$D,0)+COUNTIF($E132:AB132,"u")+COUNTIF($E132:AB132,"t")+COUNTIF($E132:AB132,"¶")+COUNTIF($E132:AB132,"²")+COUNTIF($E132:AB132,"µ")+COUNTIF($E132:AB132,1)-1,INDEX(Roadmap!$D:$K,MATCH($E132,Roadmap!$D:$D,0)-1+COUNTIF($E132:AB132,"u")+COUNTIF($E132:AB132,"t")+COUNTIF($E132:AB132,"¶")+COUNTIF($E132:AB132,"²")+COUNTIF($E132:AB132,"µ")+COUNTIF($E132:AB132,1),ColDescriptionCourte)),""),
  "")),"")</f>
        <v/>
      </c>
      <c r="AD132" s="40" t="str">
        <f ca="1">IFERROR(IF(AND(
  INDEX(Roadmap!$D:$K,MATCH($E132,Roadmap!$D:$D,0)+COUNTIF($E132:AC132,"u")+COUNTIF($E132:AC132,"t")+COUNTIF($E132:AC132,"¶")+COUNTIF($E132:AC132,"²")+COUNTIF($E132:AC132,"µ")+COUNTIF($E132:AC132,1),ColLivraison)=AD$6,
  VLOOKUP($E132,INDIRECT("tri!"&amp; CHAR(64+ C0Col) &amp;":"&amp; CHAR(65+C0Col)),2,FALSE)&gt;COUNTIF($E132:AC132,"u")+COUNTIF($E132:AC132,"t")+COUNTIF($E132:AC132,"¶")+COUNTIF($E132:AC132,"²")+COUNTIF($E132:AC132,"µ")+COUNTIF($E132:AC132,1)),
HYPERLINK("#Roadmap!C"&amp; MATCH($E132,Roadmap!$D:$D,0)+COUNTIF($E132:AC132,"u")+COUNTIF($E132:AC132,"t"),
     INDEX(Roadmap!$D:$K,MATCH($E132,Roadmap!$D:$D,0)+COUNTIF($E132:AC132,"u")+COUNTIF($E132:AC132,"t")+COUNTIF($E132:AC132,"¶")+COUNTIF($E132:AC132,"²")+COUNTIF($E132:AC132,"µ")+COUNTIF($E132:AC132,1),ColTypeEcheance)),
  IF(LEN(AC132)=1,
  IF(LEN(INDEX(Roadmap!$D:$K,MATCH($E132,Roadmap!$D:$D,0)-1+COUNTIF($E132:AC132,"u")+COUNTIF($E132:AC132,"t")+COUNTIF($E132:AC132,"¶")+COUNTIF($E132:AC132,"²")+COUNTIF($E132:AC132,"µ")+COUNTIF($E132:AC132,1),ColDescriptionCourte))&gt;1,
HYPERLINK("#Roadmap!C"&amp; MATCH($E132,Roadmap!$D:$D,0)+COUNTIF($E132:AC132,"u")+COUNTIF($E132:AC132,"t")+COUNTIF($E132:AC132,"¶")+COUNTIF($E132:AC132,"²")+COUNTIF($E132:AC132,"µ")+COUNTIF($E132:AC132,1)-1,INDEX(Roadmap!$D:$K,MATCH($E132,Roadmap!$D:$D,0)-1+COUNTIF($E132:AC132,"u")+COUNTIF($E132:AC132,"t")+COUNTIF($E132:AC132,"¶")+COUNTIF($E132:AC132,"²")+COUNTIF($E132:AC132,"µ")+COUNTIF($E132:AC132,1),ColDescriptionCourte)),""),
  "")),"")</f>
        <v/>
      </c>
      <c r="AE132" s="40" t="str">
        <f ca="1">IFERROR(IF(AND(
  INDEX(Roadmap!$D:$K,MATCH($E132,Roadmap!$D:$D,0)+COUNTIF($E132:AD132,"u")+COUNTIF($E132:AD132,"t")+COUNTIF($E132:AD132,"¶")+COUNTIF($E132:AD132,"²")+COUNTIF($E132:AD132,"µ")+COUNTIF($E132:AD132,1),ColLivraison)=AE$6,
  VLOOKUP($E132,INDIRECT("tri!"&amp; CHAR(64+ C0Col) &amp;":"&amp; CHAR(65+C0Col)),2,FALSE)&gt;COUNTIF($E132:AD132,"u")+COUNTIF($E132:AD132,"t")+COUNTIF($E132:AD132,"¶")+COUNTIF($E132:AD132,"²")+COUNTIF($E132:AD132,"µ")+COUNTIF($E132:AD132,1)),
HYPERLINK("#Roadmap!C"&amp; MATCH($E132,Roadmap!$D:$D,0)+COUNTIF($E132:AD132,"u")+COUNTIF($E132:AD132,"t"),
     INDEX(Roadmap!$D:$K,MATCH($E132,Roadmap!$D:$D,0)+COUNTIF($E132:AD132,"u")+COUNTIF($E132:AD132,"t")+COUNTIF($E132:AD132,"¶")+COUNTIF($E132:AD132,"²")+COUNTIF($E132:AD132,"µ")+COUNTIF($E132:AD132,1),ColTypeEcheance)),
  IF(LEN(AD132)=1,
  IF(LEN(INDEX(Roadmap!$D:$K,MATCH($E132,Roadmap!$D:$D,0)-1+COUNTIF($E132:AD132,"u")+COUNTIF($E132:AD132,"t")+COUNTIF($E132:AD132,"¶")+COUNTIF($E132:AD132,"²")+COUNTIF($E132:AD132,"µ")+COUNTIF($E132:AD132,1),ColDescriptionCourte))&gt;1,
HYPERLINK("#Roadmap!C"&amp; MATCH($E132,Roadmap!$D:$D,0)+COUNTIF($E132:AD132,"u")+COUNTIF($E132:AD132,"t")+COUNTIF($E132:AD132,"¶")+COUNTIF($E132:AD132,"²")+COUNTIF($E132:AD132,"µ")+COUNTIF($E132:AD132,1)-1,INDEX(Roadmap!$D:$K,MATCH($E132,Roadmap!$D:$D,0)-1+COUNTIF($E132:AD132,"u")+COUNTIF($E132:AD132,"t")+COUNTIF($E132:AD132,"¶")+COUNTIF($E132:AD132,"²")+COUNTIF($E132:AD132,"µ")+COUNTIF($E132:AD132,1),ColDescriptionCourte)),""),
  "")),"")</f>
        <v/>
      </c>
      <c r="AF132" s="40" t="str">
        <f ca="1">IFERROR(IF(AND(
  INDEX(Roadmap!$D:$K,MATCH($E132,Roadmap!$D:$D,0)+COUNTIF($E132:AE132,"u")+COUNTIF($E132:AE132,"t")+COUNTIF($E132:AE132,"¶")+COUNTIF($E132:AE132,"²")+COUNTIF($E132:AE132,"µ")+COUNTIF($E132:AE132,1),ColLivraison)=AF$6,
  VLOOKUP($E132,INDIRECT("tri!"&amp; CHAR(64+ C0Col) &amp;":"&amp; CHAR(65+C0Col)),2,FALSE)&gt;COUNTIF($E132:AE132,"u")+COUNTIF($E132:AE132,"t")+COUNTIF($E132:AE132,"¶")+COUNTIF($E132:AE132,"²")+COUNTIF($E132:AE132,"µ")+COUNTIF($E132:AE132,1)),
HYPERLINK("#Roadmap!C"&amp; MATCH($E132,Roadmap!$D:$D,0)+COUNTIF($E132:AE132,"u")+COUNTIF($E132:AE132,"t"),
     INDEX(Roadmap!$D:$K,MATCH($E132,Roadmap!$D:$D,0)+COUNTIF($E132:AE132,"u")+COUNTIF($E132:AE132,"t")+COUNTIF($E132:AE132,"¶")+COUNTIF($E132:AE132,"²")+COUNTIF($E132:AE132,"µ")+COUNTIF($E132:AE132,1),ColTypeEcheance)),
  IF(LEN(AE132)=1,
  IF(LEN(INDEX(Roadmap!$D:$K,MATCH($E132,Roadmap!$D:$D,0)-1+COUNTIF($E132:AE132,"u")+COUNTIF($E132:AE132,"t")+COUNTIF($E132:AE132,"¶")+COUNTIF($E132:AE132,"²")+COUNTIF($E132:AE132,"µ")+COUNTIF($E132:AE132,1),ColDescriptionCourte))&gt;1,
HYPERLINK("#Roadmap!C"&amp; MATCH($E132,Roadmap!$D:$D,0)+COUNTIF($E132:AE132,"u")+COUNTIF($E132:AE132,"t")+COUNTIF($E132:AE132,"¶")+COUNTIF($E132:AE132,"²")+COUNTIF($E132:AE132,"µ")+COUNTIF($E132:AE132,1)-1,INDEX(Roadmap!$D:$K,MATCH($E132,Roadmap!$D:$D,0)-1+COUNTIF($E132:AE132,"u")+COUNTIF($E132:AE132,"t")+COUNTIF($E132:AE132,"¶")+COUNTIF($E132:AE132,"²")+COUNTIF($E132:AE132,"µ")+COUNTIF($E132:AE132,1),ColDescriptionCourte)),""),
  "")),"")</f>
        <v/>
      </c>
      <c r="AG132" s="40" t="str">
        <f ca="1">IFERROR(IF(AND(
  INDEX(Roadmap!$D:$K,MATCH($E132,Roadmap!$D:$D,0)+COUNTIF($E132:AF132,"u")+COUNTIF($E132:AF132,"t")+COUNTIF($E132:AF132,"¶")+COUNTIF($E132:AF132,"²")+COUNTIF($E132:AF132,"µ")+COUNTIF($E132:AF132,1),ColLivraison)=AG$6,
  VLOOKUP($E132,INDIRECT("tri!"&amp; CHAR(64+ C0Col) &amp;":"&amp; CHAR(65+C0Col)),2,FALSE)&gt;COUNTIF($E132:AF132,"u")+COUNTIF($E132:AF132,"t")+COUNTIF($E132:AF132,"¶")+COUNTIF($E132:AF132,"²")+COUNTIF($E132:AF132,"µ")+COUNTIF($E132:AF132,1)),
HYPERLINK("#Roadmap!C"&amp; MATCH($E132,Roadmap!$D:$D,0)+COUNTIF($E132:AF132,"u")+COUNTIF($E132:AF132,"t"),
     INDEX(Roadmap!$D:$K,MATCH($E132,Roadmap!$D:$D,0)+COUNTIF($E132:AF132,"u")+COUNTIF($E132:AF132,"t")+COUNTIF($E132:AF132,"¶")+COUNTIF($E132:AF132,"²")+COUNTIF($E132:AF132,"µ")+COUNTIF($E132:AF132,1),ColTypeEcheance)),
  IF(LEN(AF132)=1,
  IF(LEN(INDEX(Roadmap!$D:$K,MATCH($E132,Roadmap!$D:$D,0)-1+COUNTIF($E132:AF132,"u")+COUNTIF($E132:AF132,"t")+COUNTIF($E132:AF132,"¶")+COUNTIF($E132:AF132,"²")+COUNTIF($E132:AF132,"µ")+COUNTIF($E132:AF132,1),ColDescriptionCourte))&gt;1,
HYPERLINK("#Roadmap!C"&amp; MATCH($E132,Roadmap!$D:$D,0)+COUNTIF($E132:AF132,"u")+COUNTIF($E132:AF132,"t")+COUNTIF($E132:AF132,"¶")+COUNTIF($E132:AF132,"²")+COUNTIF($E132:AF132,"µ")+COUNTIF($E132:AF132,1)-1,INDEX(Roadmap!$D:$K,MATCH($E132,Roadmap!$D:$D,0)-1+COUNTIF($E132:AF132,"u")+COUNTIF($E132:AF132,"t")+COUNTIF($E132:AF132,"¶")+COUNTIF($E132:AF132,"²")+COUNTIF($E132:AF132,"µ")+COUNTIF($E132:AF132,1),ColDescriptionCourte)),""),
  "")),"")</f>
        <v/>
      </c>
      <c r="AH132" s="40" t="str">
        <f ca="1">IFERROR(IF(AND(
  INDEX(Roadmap!$D:$K,MATCH($E132,Roadmap!$D:$D,0)+COUNTIF($E132:AG132,"u")+COUNTIF($E132:AG132,"t")+COUNTIF($E132:AG132,1),ColLivraison)=AH$6,
  VLOOKUP($E132,INDIRECT("tri!"&amp; CHAR(64+ C0Col) &amp;":"&amp; CHAR(65+C0Col)),2,FALSE)&gt;COUNTIF($E132:AG132,"u")+COUNTIF($E132:AG132,"t")+COUNTIF($E132:AG132,1)),
HYPERLINK("#Roadmap!C"&amp; MATCH($E132,Roadmap!$D:$D,0)+COUNTIF($E132:AG132,"u")+COUNTIF($E132:AG132,"t"),
     INDEX(Roadmap!$D:$K,MATCH($E132,Roadmap!$D:$D,0)+COUNTIF($E132:AG132,"u")+COUNTIF($E132:AG132,"t")+COUNTIF($E132:AG132,1),ColTypeEcheance)),
  IF(OR(AG132="u",AG132="t",AG132=1),
  IF(LEN(INDEX(Roadmap!$D:$K,MATCH($E132,Roadmap!$D:$D,0)-1+COUNTIF($E132:AG132,"u")+COUNTIF($E132:AG132,"t")+COUNTIF($E132:AG132,1),ColDescriptionCourte))&gt;1,
HYPERLINK("#Roadmap!C"&amp; MATCH($E132,Roadmap!$D:$D,0)+COUNTIF($E132:AG132,"u")+COUNTIF($E132:AG132,"t")+COUNTIF($E132:AG132,1)-1,INDEX(Roadmap!$D:$K,MATCH($E132,Roadmap!$D:$D,0)-1+COUNTIF($E132:AG132,"u")+COUNTIF($E132:AG132,"t")+COUNTIF($E132:AG132,1),ColDescriptionCourte)),""),
  "")),"")</f>
        <v/>
      </c>
      <c r="AI132" s="40"/>
      <c r="AJ132" s="40"/>
      <c r="AK132" s="40"/>
      <c r="AL132" s="40"/>
      <c r="AM132" s="40"/>
    </row>
    <row r="133" spans="4:39" ht="14.1" customHeight="1">
      <c r="D133" s="20" t="str">
        <f t="shared" ca="1" si="29"/>
        <v/>
      </c>
      <c r="E133" s="53" t="str">
        <f t="shared" ca="1" si="30"/>
        <v/>
      </c>
      <c r="F133" s="39" t="str">
        <f ca="1">IFERROR(IF(AND(
  INDEX(Roadmap!$D:$K,MATCH($E133,Roadmap!$D:$D,0)+COUNTIF($E133:E133,"u")+COUNTIF($E133:E133,"t")+COUNTIF($E133:E133,"¶")+COUNTIF($E133:E133,"²")+COUNTIF($E133:E133,"µ")+COUNTIF($E133:E133,1),ColLivraison)=F$6,
  VLOOKUP($E133,INDIRECT("tri!"&amp; CHAR(64+ C0Col) &amp;":"&amp; CHAR(65+C0Col)),2,FALSE)&gt;COUNTIF($E133:E133,"u")+COUNTIF($E133:E133,"t")+COUNTIF($E133:E133,"¶")+COUNTIF($E133:E133,"²")+COUNTIF($E133:E133,"µ")+COUNTIF($E133:E133,1)),
HYPERLINK("#Roadmap!C"&amp; MATCH($E133,Roadmap!$D:$D,0)+COUNTIF($E133:E133,"u")+COUNTIF($E133:E133,"t"),
     INDEX(Roadmap!$D:$K,MATCH($E133,Roadmap!$D:$D,0)+COUNTIF($E133:E133,"u")+COUNTIF($E133:E133,"t")+COUNTIF($E133:E133,"¶")+COUNTIF($E133:E133,"²")+COUNTIF($E133:E133,"µ")+COUNTIF($E133:E133,1),ColTypeEcheance)),
  IF(LEN(E133)=1,
  IF(LEN(INDEX(Roadmap!$D:$K,MATCH($E133,Roadmap!$D:$D,0)-1+COUNTIF($E133:E133,"u")+COUNTIF($E133:E133,"t")+COUNTIF($E133:E133,"¶")+COUNTIF($E133:E133,"²")+COUNTIF($E133:E133,"µ")+COUNTIF($E133:E133,1),ColDescriptionCourte))&gt;1,
HYPERLINK("#Roadmap!C"&amp; MATCH($E133,Roadmap!$D:$D,0)+COUNTIF($E133:E133,"u")+COUNTIF($E133:E133,"t")+COUNTIF($E133:E133,"¶")+COUNTIF($E133:E133,"²")+COUNTIF($E133:E133,"µ")+COUNTIF($E133:E133,1)-1,INDEX(Roadmap!$D:$K,MATCH($E133,Roadmap!$D:$D,0)-1+COUNTIF($E133:E133,"u")+COUNTIF($E133:E133,"t")+COUNTIF($E133:E133,"¶")+COUNTIF($E133:E133,"²")+COUNTIF($E133:E133,"µ")+COUNTIF($E133:E133,1),ColDescriptionCourte)),""),
  "")),"")</f>
        <v/>
      </c>
      <c r="G133" s="40" t="str">
        <f ca="1">IFERROR(IF(AND(
  INDEX(Roadmap!$D:$K,MATCH($E133,Roadmap!$D:$D,0)+COUNTIF($E133:F133,"u")+COUNTIF($E133:F133,"t")+COUNTIF($E133:F133,"¶")+COUNTIF($E133:F133,"²")+COUNTIF($E133:F133,"µ")+COUNTIF($E133:F133,1),ColLivraison)=G$6,
  VLOOKUP($E133,INDIRECT("tri!"&amp; CHAR(64+ C0Col) &amp;":"&amp; CHAR(65+C0Col)),2,FALSE)&gt;COUNTIF($E133:F133,"u")+COUNTIF($E133:F133,"t")+COUNTIF($E133:F133,"¶")+COUNTIF($E133:F133,"²")+COUNTIF($E133:F133,"µ")+COUNTIF($E133:F133,1)),
HYPERLINK("#Roadmap!C"&amp; MATCH($E133,Roadmap!$D:$D,0)+COUNTIF($E133:F133,"u")+COUNTIF($E133:F133,"t"),
     INDEX(Roadmap!$D:$K,MATCH($E133,Roadmap!$D:$D,0)+COUNTIF($E133:F133,"u")+COUNTIF($E133:F133,"t")+COUNTIF($E133:F133,"¶")+COUNTIF($E133:F133,"²")+COUNTIF($E133:F133,"µ")+COUNTIF($E133:F133,1),ColTypeEcheance)),
  IF(LEN(F133)=1,
  IF(LEN(INDEX(Roadmap!$D:$K,MATCH($E133,Roadmap!$D:$D,0)-1+COUNTIF($E133:F133,"u")+COUNTIF($E133:F133,"t")+COUNTIF($E133:F133,"¶")+COUNTIF($E133:F133,"²")+COUNTIF($E133:F133,"µ")+COUNTIF($E133:F133,1),ColDescriptionCourte))&gt;1,
HYPERLINK("#Roadmap!C"&amp; MATCH($E133,Roadmap!$D:$D,0)+COUNTIF($E133:F133,"u")+COUNTIF($E133:F133,"t")+COUNTIF($E133:F133,"¶")+COUNTIF($E133:F133,"²")+COUNTIF($E133:F133,"µ")+COUNTIF($E133:F133,1)-1,INDEX(Roadmap!$D:$K,MATCH($E133,Roadmap!$D:$D,0)-1+COUNTIF($E133:F133,"u")+COUNTIF($E133:F133,"t")+COUNTIF($E133:F133,"¶")+COUNTIF($E133:F133,"²")+COUNTIF($E133:F133,"µ")+COUNTIF($E133:F133,1),ColDescriptionCourte)),""),
  "")),"")</f>
        <v/>
      </c>
      <c r="H133" s="40" t="str">
        <f ca="1">IFERROR(IF(AND(
  INDEX(Roadmap!$D:$K,MATCH($E133,Roadmap!$D:$D,0)+COUNTIF($E133:G133,"u")+COUNTIF($E133:G133,"t")+COUNTIF($E133:G133,"¶")+COUNTIF($E133:G133,"²")+COUNTIF($E133:G133,"µ")+COUNTIF($E133:G133,1),ColLivraison)=H$6,
  VLOOKUP($E133,INDIRECT("tri!"&amp; CHAR(64+ C0Col) &amp;":"&amp; CHAR(65+C0Col)),2,FALSE)&gt;COUNTIF($E133:G133,"u")+COUNTIF($E133:G133,"t")+COUNTIF($E133:G133,"¶")+COUNTIF($E133:G133,"²")+COUNTIF($E133:G133,"µ")+COUNTIF($E133:G133,1)),
HYPERLINK("#Roadmap!C"&amp; MATCH($E133,Roadmap!$D:$D,0)+COUNTIF($E133:G133,"u")+COUNTIF($E133:G133,"t"),
     INDEX(Roadmap!$D:$K,MATCH($E133,Roadmap!$D:$D,0)+COUNTIF($E133:G133,"u")+COUNTIF($E133:G133,"t")+COUNTIF($E133:G133,"¶")+COUNTIF($E133:G133,"²")+COUNTIF($E133:G133,"µ")+COUNTIF($E133:G133,1),ColTypeEcheance)),
  IF(LEN(G133)=1,
  IF(LEN(INDEX(Roadmap!$D:$K,MATCH($E133,Roadmap!$D:$D,0)-1+COUNTIF($E133:G133,"u")+COUNTIF($E133:G133,"t")+COUNTIF($E133:G133,"¶")+COUNTIF($E133:G133,"²")+COUNTIF($E133:G133,"µ")+COUNTIF($E133:G133,1),ColDescriptionCourte))&gt;1,
HYPERLINK("#Roadmap!C"&amp; MATCH($E133,Roadmap!$D:$D,0)+COUNTIF($E133:G133,"u")+COUNTIF($E133:G133,"t")+COUNTIF($E133:G133,"¶")+COUNTIF($E133:G133,"²")+COUNTIF($E133:G133,"µ")+COUNTIF($E133:G133,1)-1,INDEX(Roadmap!$D:$K,MATCH($E133,Roadmap!$D:$D,0)-1+COUNTIF($E133:G133,"u")+COUNTIF($E133:G133,"t")+COUNTIF($E133:G133,"¶")+COUNTIF($E133:G133,"²")+COUNTIF($E133:G133,"µ")+COUNTIF($E133:G133,1),ColDescriptionCourte)),""),
  "")),"")</f>
        <v/>
      </c>
      <c r="I133" s="40" t="str">
        <f ca="1">IFERROR(IF(AND(
  INDEX(Roadmap!$D:$K,MATCH($E133,Roadmap!$D:$D,0)+COUNTIF($E133:H133,"u")+COUNTIF($E133:H133,"t")+COUNTIF($E133:H133,"¶")+COUNTIF($E133:H133,"²")+COUNTIF($E133:H133,"µ")+COUNTIF($E133:H133,1),ColLivraison)=I$6,
  VLOOKUP($E133,INDIRECT("tri!"&amp; CHAR(64+ C0Col) &amp;":"&amp; CHAR(65+C0Col)),2,FALSE)&gt;COUNTIF($E133:H133,"u")+COUNTIF($E133:H133,"t")+COUNTIF($E133:H133,"¶")+COUNTIF($E133:H133,"²")+COUNTIF($E133:H133,"µ")+COUNTIF($E133:H133,1)),
HYPERLINK("#Roadmap!C"&amp; MATCH($E133,Roadmap!$D:$D,0)+COUNTIF($E133:H133,"u")+COUNTIF($E133:H133,"t"),
     INDEX(Roadmap!$D:$K,MATCH($E133,Roadmap!$D:$D,0)+COUNTIF($E133:H133,"u")+COUNTIF($E133:H133,"t")+COUNTIF($E133:H133,"¶")+COUNTIF($E133:H133,"²")+COUNTIF($E133:H133,"µ")+COUNTIF($E133:H133,1),ColTypeEcheance)),
  IF(LEN(H133)=1,
  IF(LEN(INDEX(Roadmap!$D:$K,MATCH($E133,Roadmap!$D:$D,0)-1+COUNTIF($E133:H133,"u")+COUNTIF($E133:H133,"t")+COUNTIF($E133:H133,"¶")+COUNTIF($E133:H133,"²")+COUNTIF($E133:H133,"µ")+COUNTIF($E133:H133,1),ColDescriptionCourte))&gt;1,
HYPERLINK("#Roadmap!C"&amp; MATCH($E133,Roadmap!$D:$D,0)+COUNTIF($E133:H133,"u")+COUNTIF($E133:H133,"t")+COUNTIF($E133:H133,"¶")+COUNTIF($E133:H133,"²")+COUNTIF($E133:H133,"µ")+COUNTIF($E133:H133,1)-1,INDEX(Roadmap!$D:$K,MATCH($E133,Roadmap!$D:$D,0)-1+COUNTIF($E133:H133,"u")+COUNTIF($E133:H133,"t")+COUNTIF($E133:H133,"¶")+COUNTIF($E133:H133,"²")+COUNTIF($E133:H133,"µ")+COUNTIF($E133:H133,1),ColDescriptionCourte)),""),
  "")),"")</f>
        <v/>
      </c>
      <c r="J133" s="40" t="str">
        <f ca="1">IFERROR(IF(AND(
  INDEX(Roadmap!$D:$K,MATCH($E133,Roadmap!$D:$D,0)+COUNTIF($E133:I133,"u")+COUNTIF($E133:I133,"t")+COUNTIF($E133:I133,"¶")+COUNTIF($E133:I133,"²")+COUNTIF($E133:I133,"µ")+COUNTIF($E133:I133,1),ColLivraison)=J$6,
  VLOOKUP($E133,INDIRECT("tri!"&amp; CHAR(64+ C0Col) &amp;":"&amp; CHAR(65+C0Col)),2,FALSE)&gt;COUNTIF($E133:I133,"u")+COUNTIF($E133:I133,"t")+COUNTIF($E133:I133,"¶")+COUNTIF($E133:I133,"²")+COUNTIF($E133:I133,"µ")+COUNTIF($E133:I133,1)),
HYPERLINK("#Roadmap!C"&amp; MATCH($E133,Roadmap!$D:$D,0)+COUNTIF($E133:I133,"u")+COUNTIF($E133:I133,"t"),
     INDEX(Roadmap!$D:$K,MATCH($E133,Roadmap!$D:$D,0)+COUNTIF($E133:I133,"u")+COUNTIF($E133:I133,"t")+COUNTIF($E133:I133,"¶")+COUNTIF($E133:I133,"²")+COUNTIF($E133:I133,"µ")+COUNTIF($E133:I133,1),ColTypeEcheance)),
  IF(LEN(I133)=1,
  IF(LEN(INDEX(Roadmap!$D:$K,MATCH($E133,Roadmap!$D:$D,0)-1+COUNTIF($E133:I133,"u")+COUNTIF($E133:I133,"t")+COUNTIF($E133:I133,"¶")+COUNTIF($E133:I133,"²")+COUNTIF($E133:I133,"µ")+COUNTIF($E133:I133,1),ColDescriptionCourte))&gt;1,
HYPERLINK("#Roadmap!C"&amp; MATCH($E133,Roadmap!$D:$D,0)+COUNTIF($E133:I133,"u")+COUNTIF($E133:I133,"t")+COUNTIF($E133:I133,"¶")+COUNTIF($E133:I133,"²")+COUNTIF($E133:I133,"µ")+COUNTIF($E133:I133,1)-1,INDEX(Roadmap!$D:$K,MATCH($E133,Roadmap!$D:$D,0)-1+COUNTIF($E133:I133,"u")+COUNTIF($E133:I133,"t")+COUNTIF($E133:I133,"¶")+COUNTIF($E133:I133,"²")+COUNTIF($E133:I133,"µ")+COUNTIF($E133:I133,1),ColDescriptionCourte)),""),
  "")),"")</f>
        <v/>
      </c>
      <c r="K133" s="40" t="str">
        <f ca="1">IFERROR(IF(AND(
  INDEX(Roadmap!$D:$K,MATCH($E133,Roadmap!$D:$D,0)+COUNTIF($E133:J133,"u")+COUNTIF($E133:J133,"t")+COUNTIF($E133:J133,"¶")+COUNTIF($E133:J133,"²")+COUNTIF($E133:J133,"µ")+COUNTIF($E133:J133,1),ColLivraison)=K$6,
  VLOOKUP($E133,INDIRECT("tri!"&amp; CHAR(64+ C0Col) &amp;":"&amp; CHAR(65+C0Col)),2,FALSE)&gt;COUNTIF($E133:J133,"u")+COUNTIF($E133:J133,"t")+COUNTIF($E133:J133,"¶")+COUNTIF($E133:J133,"²")+COUNTIF($E133:J133,"µ")+COUNTIF($E133:J133,1)),
HYPERLINK("#Roadmap!C"&amp; MATCH($E133,Roadmap!$D:$D,0)+COUNTIF($E133:J133,"u")+COUNTIF($E133:J133,"t"),
     INDEX(Roadmap!$D:$K,MATCH($E133,Roadmap!$D:$D,0)+COUNTIF($E133:J133,"u")+COUNTIF($E133:J133,"t")+COUNTIF($E133:J133,"¶")+COUNTIF($E133:J133,"²")+COUNTIF($E133:J133,"µ")+COUNTIF($E133:J133,1),ColTypeEcheance)),
  IF(LEN(J133)=1,
  IF(LEN(INDEX(Roadmap!$D:$K,MATCH($E133,Roadmap!$D:$D,0)-1+COUNTIF($E133:J133,"u")+COUNTIF($E133:J133,"t")+COUNTIF($E133:J133,"¶")+COUNTIF($E133:J133,"²")+COUNTIF($E133:J133,"µ")+COUNTIF($E133:J133,1),ColDescriptionCourte))&gt;1,
HYPERLINK("#Roadmap!C"&amp; MATCH($E133,Roadmap!$D:$D,0)+COUNTIF($E133:J133,"u")+COUNTIF($E133:J133,"t")+COUNTIF($E133:J133,"¶")+COUNTIF($E133:J133,"²")+COUNTIF($E133:J133,"µ")+COUNTIF($E133:J133,1)-1,INDEX(Roadmap!$D:$K,MATCH($E133,Roadmap!$D:$D,0)-1+COUNTIF($E133:J133,"u")+COUNTIF($E133:J133,"t")+COUNTIF($E133:J133,"¶")+COUNTIF($E133:J133,"²")+COUNTIF($E133:J133,"µ")+COUNTIF($E133:J133,1),ColDescriptionCourte)),""),
  "")),"")</f>
        <v/>
      </c>
      <c r="L133" s="39" t="str">
        <f ca="1">IFERROR(IF(AND(
  INDEX(Roadmap!$D:$K,MATCH($E133,Roadmap!$D:$D,0)+COUNTIF($E133:K133,"u")+COUNTIF($E133:K133,"t")+COUNTIF($E133:K133,"¶")+COUNTIF($E133:K133,"²")+COUNTIF($E133:K133,"µ")+COUNTIF($E133:K133,1),ColLivraison)=L$6,
  VLOOKUP($E133,INDIRECT("tri!"&amp; CHAR(64+ C0Col) &amp;":"&amp; CHAR(65+C0Col)),2,FALSE)&gt;COUNTIF($E133:K133,"u")+COUNTIF($E133:K133,"t")+COUNTIF($E133:K133,"¶")+COUNTIF($E133:K133,"²")+COUNTIF($E133:K133,"µ")+COUNTIF($E133:K133,1)),
HYPERLINK("#Roadmap!C"&amp; MATCH($E133,Roadmap!$D:$D,0)+COUNTIF($E133:K133,"u")+COUNTIF($E133:K133,"t"),
     INDEX(Roadmap!$D:$K,MATCH($E133,Roadmap!$D:$D,0)+COUNTIF($E133:K133,"u")+COUNTIF($E133:K133,"t")+COUNTIF($E133:K133,"¶")+COUNTIF($E133:K133,"²")+COUNTIF($E133:K133,"µ")+COUNTIF($E133:K133,1),ColTypeEcheance)),
  IF(LEN(K133)=1,
  IF(LEN(INDEX(Roadmap!$D:$K,MATCH($E133,Roadmap!$D:$D,0)-1+COUNTIF($E133:K133,"u")+COUNTIF($E133:K133,"t")+COUNTIF($E133:K133,"¶")+COUNTIF($E133:K133,"²")+COUNTIF($E133:K133,"µ")+COUNTIF($E133:K133,1),ColDescriptionCourte))&gt;1,
HYPERLINK("#Roadmap!C"&amp; MATCH($E133,Roadmap!$D:$D,0)+COUNTIF($E133:K133,"u")+COUNTIF($E133:K133,"t")+COUNTIF($E133:K133,"¶")+COUNTIF($E133:K133,"²")+COUNTIF($E133:K133,"µ")+COUNTIF($E133:K133,1)-1,INDEX(Roadmap!$D:$K,MATCH($E133,Roadmap!$D:$D,0)-1+COUNTIF($E133:K133,"u")+COUNTIF($E133:K133,"t")+COUNTIF($E133:K133,"¶")+COUNTIF($E133:K133,"²")+COUNTIF($E133:K133,"µ")+COUNTIF($E133:K133,1),ColDescriptionCourte)),""),
  "")),"")</f>
        <v/>
      </c>
      <c r="M133" s="40" t="str">
        <f ca="1">IFERROR(IF(AND(
  INDEX(Roadmap!$D:$K,MATCH($E133,Roadmap!$D:$D,0)+COUNTIF($E133:L133,"u")+COUNTIF($E133:L133,"t")+COUNTIF($E133:L133,"¶")+COUNTIF($E133:L133,"²")+COUNTIF($E133:L133,"µ")+COUNTIF($E133:L133,1),ColLivraison)=M$6,
  VLOOKUP($E133,INDIRECT("tri!"&amp; CHAR(64+ C0Col) &amp;":"&amp; CHAR(65+C0Col)),2,FALSE)&gt;COUNTIF($E133:L133,"u")+COUNTIF($E133:L133,"t")+COUNTIF($E133:L133,"¶")+COUNTIF($E133:L133,"²")+COUNTIF($E133:L133,"µ")+COUNTIF($E133:L133,1)),
HYPERLINK("#Roadmap!C"&amp; MATCH($E133,Roadmap!$D:$D,0)+COUNTIF($E133:L133,"u")+COUNTIF($E133:L133,"t"),
     INDEX(Roadmap!$D:$K,MATCH($E133,Roadmap!$D:$D,0)+COUNTIF($E133:L133,"u")+COUNTIF($E133:L133,"t")+COUNTIF($E133:L133,"¶")+COUNTIF($E133:L133,"²")+COUNTIF($E133:L133,"µ")+COUNTIF($E133:L133,1),ColTypeEcheance)),
  IF(LEN(L133)=1,
  IF(LEN(INDEX(Roadmap!$D:$K,MATCH($E133,Roadmap!$D:$D,0)-1+COUNTIF($E133:L133,"u")+COUNTIF($E133:L133,"t")+COUNTIF($E133:L133,"¶")+COUNTIF($E133:L133,"²")+COUNTIF($E133:L133,"µ")+COUNTIF($E133:L133,1),ColDescriptionCourte))&gt;1,
HYPERLINK("#Roadmap!C"&amp; MATCH($E133,Roadmap!$D:$D,0)+COUNTIF($E133:L133,"u")+COUNTIF($E133:L133,"t")+COUNTIF($E133:L133,"¶")+COUNTIF($E133:L133,"²")+COUNTIF($E133:L133,"µ")+COUNTIF($E133:L133,1)-1,INDEX(Roadmap!$D:$K,MATCH($E133,Roadmap!$D:$D,0)-1+COUNTIF($E133:L133,"u")+COUNTIF($E133:L133,"t")+COUNTIF($E133:L133,"¶")+COUNTIF($E133:L133,"²")+COUNTIF($E133:L133,"µ")+COUNTIF($E133:L133,1),ColDescriptionCourte)),""),
  "")),"")</f>
        <v/>
      </c>
      <c r="N133" s="40" t="str">
        <f ca="1">IFERROR(IF(AND(
  INDEX(Roadmap!$D:$K,MATCH($E133,Roadmap!$D:$D,0)+COUNTIF($E133:M133,"u")+COUNTIF($E133:M133,"t")+COUNTIF($E133:M133,"¶")+COUNTIF($E133:M133,"²")+COUNTIF($E133:M133,"µ")+COUNTIF($E133:M133,1),ColLivraison)=N$6,
  VLOOKUP($E133,INDIRECT("tri!"&amp; CHAR(64+ C0Col) &amp;":"&amp; CHAR(65+C0Col)),2,FALSE)&gt;COUNTIF($E133:M133,"u")+COUNTIF($E133:M133,"t")+COUNTIF($E133:M133,"¶")+COUNTIF($E133:M133,"²")+COUNTIF($E133:M133,"µ")+COUNTIF($E133:M133,1)),
HYPERLINK("#Roadmap!C"&amp; MATCH($E133,Roadmap!$D:$D,0)+COUNTIF($E133:M133,"u")+COUNTIF($E133:M133,"t"),
     INDEX(Roadmap!$D:$K,MATCH($E133,Roadmap!$D:$D,0)+COUNTIF($E133:M133,"u")+COUNTIF($E133:M133,"t")+COUNTIF($E133:M133,"¶")+COUNTIF($E133:M133,"²")+COUNTIF($E133:M133,"µ")+COUNTIF($E133:M133,1),ColTypeEcheance)),
  IF(LEN(M133)=1,
  IF(LEN(INDEX(Roadmap!$D:$K,MATCH($E133,Roadmap!$D:$D,0)-1+COUNTIF($E133:M133,"u")+COUNTIF($E133:M133,"t")+COUNTIF($E133:M133,"¶")+COUNTIF($E133:M133,"²")+COUNTIF($E133:M133,"µ")+COUNTIF($E133:M133,1),ColDescriptionCourte))&gt;1,
HYPERLINK("#Roadmap!C"&amp; MATCH($E133,Roadmap!$D:$D,0)+COUNTIF($E133:M133,"u")+COUNTIF($E133:M133,"t")+COUNTIF($E133:M133,"¶")+COUNTIF($E133:M133,"²")+COUNTIF($E133:M133,"µ")+COUNTIF($E133:M133,1)-1,INDEX(Roadmap!$D:$K,MATCH($E133,Roadmap!$D:$D,0)-1+COUNTIF($E133:M133,"u")+COUNTIF($E133:M133,"t")+COUNTIF($E133:M133,"¶")+COUNTIF($E133:M133,"²")+COUNTIF($E133:M133,"µ")+COUNTIF($E133:M133,1),ColDescriptionCourte)),""),
  "")),"")</f>
        <v/>
      </c>
      <c r="O133" s="40" t="str">
        <f ca="1">IFERROR(IF(AND(
  INDEX(Roadmap!$D:$K,MATCH($E133,Roadmap!$D:$D,0)+COUNTIF($E133:N133,"u")+COUNTIF($E133:N133,"t")+COUNTIF($E133:N133,"¶")+COUNTIF($E133:N133,"²")+COUNTIF($E133:N133,"µ")+COUNTIF($E133:N133,1),ColLivraison)=O$6,
  VLOOKUP($E133,INDIRECT("tri!"&amp; CHAR(64+ C0Col) &amp;":"&amp; CHAR(65+C0Col)),2,FALSE)&gt;COUNTIF($E133:N133,"u")+COUNTIF($E133:N133,"t")+COUNTIF($E133:N133,"¶")+COUNTIF($E133:N133,"²")+COUNTIF($E133:N133,"µ")+COUNTIF($E133:N133,1)),
HYPERLINK("#Roadmap!C"&amp; MATCH($E133,Roadmap!$D:$D,0)+COUNTIF($E133:N133,"u")+COUNTIF($E133:N133,"t"),
     INDEX(Roadmap!$D:$K,MATCH($E133,Roadmap!$D:$D,0)+COUNTIF($E133:N133,"u")+COUNTIF($E133:N133,"t")+COUNTIF($E133:N133,"¶")+COUNTIF($E133:N133,"²")+COUNTIF($E133:N133,"µ")+COUNTIF($E133:N133,1),ColTypeEcheance)),
  IF(LEN(N133)=1,
  IF(LEN(INDEX(Roadmap!$D:$K,MATCH($E133,Roadmap!$D:$D,0)-1+COUNTIF($E133:N133,"u")+COUNTIF($E133:N133,"t")+COUNTIF($E133:N133,"¶")+COUNTIF($E133:N133,"²")+COUNTIF($E133:N133,"µ")+COUNTIF($E133:N133,1),ColDescriptionCourte))&gt;1,
HYPERLINK("#Roadmap!C"&amp; MATCH($E133,Roadmap!$D:$D,0)+COUNTIF($E133:N133,"u")+COUNTIF($E133:N133,"t")+COUNTIF($E133:N133,"¶")+COUNTIF($E133:N133,"²")+COUNTIF($E133:N133,"µ")+COUNTIF($E133:N133,1)-1,INDEX(Roadmap!$D:$K,MATCH($E133,Roadmap!$D:$D,0)-1+COUNTIF($E133:N133,"u")+COUNTIF($E133:N133,"t")+COUNTIF($E133:N133,"¶")+COUNTIF($E133:N133,"²")+COUNTIF($E133:N133,"µ")+COUNTIF($E133:N133,1),ColDescriptionCourte)),""),
  "")),"")</f>
        <v/>
      </c>
      <c r="P133" s="40" t="str">
        <f ca="1">IFERROR(IF(AND(
  INDEX(Roadmap!$D:$K,MATCH($E133,Roadmap!$D:$D,0)+COUNTIF($E133:O133,"u")+COUNTIF($E133:O133,"t")+COUNTIF($E133:O133,"¶")+COUNTIF($E133:O133,"²")+COUNTIF($E133:O133,"µ")+COUNTIF($E133:O133,1),ColLivraison)=P$6,
  VLOOKUP($E133,INDIRECT("tri!"&amp; CHAR(64+ C0Col) &amp;":"&amp; CHAR(65+C0Col)),2,FALSE)&gt;COUNTIF($E133:O133,"u")+COUNTIF($E133:O133,"t")+COUNTIF($E133:O133,"¶")+COUNTIF($E133:O133,"²")+COUNTIF($E133:O133,"µ")+COUNTIF($E133:O133,1)),
HYPERLINK("#Roadmap!C"&amp; MATCH($E133,Roadmap!$D:$D,0)+COUNTIF($E133:O133,"u")+COUNTIF($E133:O133,"t"),
     INDEX(Roadmap!$D:$K,MATCH($E133,Roadmap!$D:$D,0)+COUNTIF($E133:O133,"u")+COUNTIF($E133:O133,"t")+COUNTIF($E133:O133,"¶")+COUNTIF($E133:O133,"²")+COUNTIF($E133:O133,"µ")+COUNTIF($E133:O133,1),ColTypeEcheance)),
  IF(LEN(O133)=1,
  IF(LEN(INDEX(Roadmap!$D:$K,MATCH($E133,Roadmap!$D:$D,0)-1+COUNTIF($E133:O133,"u")+COUNTIF($E133:O133,"t")+COUNTIF($E133:O133,"¶")+COUNTIF($E133:O133,"²")+COUNTIF($E133:O133,"µ")+COUNTIF($E133:O133,1),ColDescriptionCourte))&gt;1,
HYPERLINK("#Roadmap!C"&amp; MATCH($E133,Roadmap!$D:$D,0)+COUNTIF($E133:O133,"u")+COUNTIF($E133:O133,"t")+COUNTIF($E133:O133,"¶")+COUNTIF($E133:O133,"²")+COUNTIF($E133:O133,"µ")+COUNTIF($E133:O133,1)-1,INDEX(Roadmap!$D:$K,MATCH($E133,Roadmap!$D:$D,0)-1+COUNTIF($E133:O133,"u")+COUNTIF($E133:O133,"t")+COUNTIF($E133:O133,"¶")+COUNTIF($E133:O133,"²")+COUNTIF($E133:O133,"µ")+COUNTIF($E133:O133,1),ColDescriptionCourte)),""),
  "")),"")</f>
        <v/>
      </c>
      <c r="Q133" s="40" t="str">
        <f ca="1">IFERROR(IF(AND(
  INDEX(Roadmap!$D:$K,MATCH($E133,Roadmap!$D:$D,0)+COUNTIF($E133:P133,"u")+COUNTIF($E133:P133,"t")+COUNTIF($E133:P133,"¶")+COUNTIF($E133:P133,"²")+COUNTIF($E133:P133,"µ")+COUNTIF($E133:P133,1),ColLivraison)=Q$6,
  VLOOKUP($E133,INDIRECT("tri!"&amp; CHAR(64+ C0Col) &amp;":"&amp; CHAR(65+C0Col)),2,FALSE)&gt;COUNTIF($E133:P133,"u")+COUNTIF($E133:P133,"t")+COUNTIF($E133:P133,"¶")+COUNTIF($E133:P133,"²")+COUNTIF($E133:P133,"µ")+COUNTIF($E133:P133,1)),
HYPERLINK("#Roadmap!C"&amp; MATCH($E133,Roadmap!$D:$D,0)+COUNTIF($E133:P133,"u")+COUNTIF($E133:P133,"t"),
     INDEX(Roadmap!$D:$K,MATCH($E133,Roadmap!$D:$D,0)+COUNTIF($E133:P133,"u")+COUNTIF($E133:P133,"t")+COUNTIF($E133:P133,"¶")+COUNTIF($E133:P133,"²")+COUNTIF($E133:P133,"µ")+COUNTIF($E133:P133,1),ColTypeEcheance)),
  IF(LEN(P133)=1,
  IF(LEN(INDEX(Roadmap!$D:$K,MATCH($E133,Roadmap!$D:$D,0)-1+COUNTIF($E133:P133,"u")+COUNTIF($E133:P133,"t")+COUNTIF($E133:P133,"¶")+COUNTIF($E133:P133,"²")+COUNTIF($E133:P133,"µ")+COUNTIF($E133:P133,1),ColDescriptionCourte))&gt;1,
HYPERLINK("#Roadmap!C"&amp; MATCH($E133,Roadmap!$D:$D,0)+COUNTIF($E133:P133,"u")+COUNTIF($E133:P133,"t")+COUNTIF($E133:P133,"¶")+COUNTIF($E133:P133,"²")+COUNTIF($E133:P133,"µ")+COUNTIF($E133:P133,1)-1,INDEX(Roadmap!$D:$K,MATCH($E133,Roadmap!$D:$D,0)-1+COUNTIF($E133:P133,"u")+COUNTIF($E133:P133,"t")+COUNTIF($E133:P133,"¶")+COUNTIF($E133:P133,"²")+COUNTIF($E133:P133,"µ")+COUNTIF($E133:P133,1),ColDescriptionCourte)),""),
  "")),"")</f>
        <v/>
      </c>
      <c r="R133" s="40" t="str">
        <f ca="1">IFERROR(IF(AND(
  INDEX(Roadmap!$D:$K,MATCH($E133,Roadmap!$D:$D,0)+COUNTIF($E133:Q133,"u")+COUNTIF($E133:Q133,"t")+COUNTIF($E133:Q133,"¶")+COUNTIF($E133:Q133,"²")+COUNTIF($E133:Q133,"µ")+COUNTIF($E133:Q133,1),ColLivraison)=R$6,
  VLOOKUP($E133,INDIRECT("tri!"&amp; CHAR(64+ C0Col) &amp;":"&amp; CHAR(65+C0Col)),2,FALSE)&gt;COUNTIF($E133:Q133,"u")+COUNTIF($E133:Q133,"t")+COUNTIF($E133:Q133,"¶")+COUNTIF($E133:Q133,"²")+COUNTIF($E133:Q133,"µ")+COUNTIF($E133:Q133,1)),
HYPERLINK("#Roadmap!C"&amp; MATCH($E133,Roadmap!$D:$D,0)+COUNTIF($E133:Q133,"u")+COUNTIF($E133:Q133,"t"),
     INDEX(Roadmap!$D:$K,MATCH($E133,Roadmap!$D:$D,0)+COUNTIF($E133:Q133,"u")+COUNTIF($E133:Q133,"t")+COUNTIF($E133:Q133,"¶")+COUNTIF($E133:Q133,"²")+COUNTIF($E133:Q133,"µ")+COUNTIF($E133:Q133,1),ColTypeEcheance)),
  IF(LEN(Q133)=1,
  IF(LEN(INDEX(Roadmap!$D:$K,MATCH($E133,Roadmap!$D:$D,0)-1+COUNTIF($E133:Q133,"u")+COUNTIF($E133:Q133,"t")+COUNTIF($E133:Q133,"¶")+COUNTIF($E133:Q133,"²")+COUNTIF($E133:Q133,"µ")+COUNTIF($E133:Q133,1),ColDescriptionCourte))&gt;1,
HYPERLINK("#Roadmap!C"&amp; MATCH($E133,Roadmap!$D:$D,0)+COUNTIF($E133:Q133,"u")+COUNTIF($E133:Q133,"t")+COUNTIF($E133:Q133,"¶")+COUNTIF($E133:Q133,"²")+COUNTIF($E133:Q133,"µ")+COUNTIF($E133:Q133,1)-1,INDEX(Roadmap!$D:$K,MATCH($E133,Roadmap!$D:$D,0)-1+COUNTIF($E133:Q133,"u")+COUNTIF($E133:Q133,"t")+COUNTIF($E133:Q133,"¶")+COUNTIF($E133:Q133,"²")+COUNTIF($E133:Q133,"µ")+COUNTIF($E133:Q133,1),ColDescriptionCourte)),""),
  "")),"")</f>
        <v/>
      </c>
      <c r="S133" s="40" t="str">
        <f ca="1">IFERROR(IF(AND(
  INDEX(Roadmap!$D:$K,MATCH($E133,Roadmap!$D:$D,0)+COUNTIF($E133:R133,"u")+COUNTIF($E133:R133,"t")+COUNTIF($E133:R133,"¶")+COUNTIF($E133:R133,"²")+COUNTIF($E133:R133,"µ")+COUNTIF($E133:R133,1),ColLivraison)=S$6,
  VLOOKUP($E133,INDIRECT("tri!"&amp; CHAR(64+ C0Col) &amp;":"&amp; CHAR(65+C0Col)),2,FALSE)&gt;COUNTIF($E133:R133,"u")+COUNTIF($E133:R133,"t")+COUNTIF($E133:R133,"¶")+COUNTIF($E133:R133,"²")+COUNTIF($E133:R133,"µ")+COUNTIF($E133:R133,1)),
HYPERLINK("#Roadmap!C"&amp; MATCH($E133,Roadmap!$D:$D,0)+COUNTIF($E133:R133,"u")+COUNTIF($E133:R133,"t"),
     INDEX(Roadmap!$D:$K,MATCH($E133,Roadmap!$D:$D,0)+COUNTIF($E133:R133,"u")+COUNTIF($E133:R133,"t")+COUNTIF($E133:R133,"¶")+COUNTIF($E133:R133,"²")+COUNTIF($E133:R133,"µ")+COUNTIF($E133:R133,1),ColTypeEcheance)),
  IF(LEN(R133)=1,
  IF(LEN(INDEX(Roadmap!$D:$K,MATCH($E133,Roadmap!$D:$D,0)-1+COUNTIF($E133:R133,"u")+COUNTIF($E133:R133,"t")+COUNTIF($E133:R133,"¶")+COUNTIF($E133:R133,"²")+COUNTIF($E133:R133,"µ")+COUNTIF($E133:R133,1),ColDescriptionCourte))&gt;1,
HYPERLINK("#Roadmap!C"&amp; MATCH($E133,Roadmap!$D:$D,0)+COUNTIF($E133:R133,"u")+COUNTIF($E133:R133,"t")+COUNTIF($E133:R133,"¶")+COUNTIF($E133:R133,"²")+COUNTIF($E133:R133,"µ")+COUNTIF($E133:R133,1)-1,INDEX(Roadmap!$D:$K,MATCH($E133,Roadmap!$D:$D,0)-1+COUNTIF($E133:R133,"u")+COUNTIF($E133:R133,"t")+COUNTIF($E133:R133,"¶")+COUNTIF($E133:R133,"²")+COUNTIF($E133:R133,"µ")+COUNTIF($E133:R133,1),ColDescriptionCourte)),""),
  "")),"")</f>
        <v/>
      </c>
      <c r="T133" s="40" t="str">
        <f ca="1">IFERROR(IF(AND(
  INDEX(Roadmap!$D:$K,MATCH($E133,Roadmap!$D:$D,0)+COUNTIF($E133:S133,"u")+COUNTIF($E133:S133,"t")+COUNTIF($E133:S133,"¶")+COUNTIF($E133:S133,"²")+COUNTIF($E133:S133,"µ")+COUNTIF($E133:S133,1),ColLivraison)=T$6,
  VLOOKUP($E133,INDIRECT("tri!"&amp; CHAR(64+ C0Col) &amp;":"&amp; CHAR(65+C0Col)),2,FALSE)&gt;COUNTIF($E133:S133,"u")+COUNTIF($E133:S133,"t")+COUNTIF($E133:S133,"¶")+COUNTIF($E133:S133,"²")+COUNTIF($E133:S133,"µ")+COUNTIF($E133:S133,1)),
HYPERLINK("#Roadmap!C"&amp; MATCH($E133,Roadmap!$D:$D,0)+COUNTIF($E133:S133,"u")+COUNTIF($E133:S133,"t"),
     INDEX(Roadmap!$D:$K,MATCH($E133,Roadmap!$D:$D,0)+COUNTIF($E133:S133,"u")+COUNTIF($E133:S133,"t")+COUNTIF($E133:S133,"¶")+COUNTIF($E133:S133,"²")+COUNTIF($E133:S133,"µ")+COUNTIF($E133:S133,1),ColTypeEcheance)),
  IF(LEN(S133)=1,
  IF(LEN(INDEX(Roadmap!$D:$K,MATCH($E133,Roadmap!$D:$D,0)-1+COUNTIF($E133:S133,"u")+COUNTIF($E133:S133,"t")+COUNTIF($E133:S133,"¶")+COUNTIF($E133:S133,"²")+COUNTIF($E133:S133,"µ")+COUNTIF($E133:S133,1),ColDescriptionCourte))&gt;1,
HYPERLINK("#Roadmap!C"&amp; MATCH($E133,Roadmap!$D:$D,0)+COUNTIF($E133:S133,"u")+COUNTIF($E133:S133,"t")+COUNTIF($E133:S133,"¶")+COUNTIF($E133:S133,"²")+COUNTIF($E133:S133,"µ")+COUNTIF($E133:S133,1)-1,INDEX(Roadmap!$D:$K,MATCH($E133,Roadmap!$D:$D,0)-1+COUNTIF($E133:S133,"u")+COUNTIF($E133:S133,"t")+COUNTIF($E133:S133,"¶")+COUNTIF($E133:S133,"²")+COUNTIF($E133:S133,"µ")+COUNTIF($E133:S133,1),ColDescriptionCourte)),""),
  "")),"")</f>
        <v/>
      </c>
      <c r="U133" s="40" t="str">
        <f ca="1">IFERROR(IF(AND(
  INDEX(Roadmap!$D:$K,MATCH($E133,Roadmap!$D:$D,0)+COUNTIF($E133:T133,"u")+COUNTIF($E133:T133,"t")+COUNTIF($E133:T133,"¶")+COUNTIF($E133:T133,"²")+COUNTIF($E133:T133,"µ")+COUNTIF($E133:T133,1),ColLivraison)=U$6,
  VLOOKUP($E133,INDIRECT("tri!"&amp; CHAR(64+ C0Col) &amp;":"&amp; CHAR(65+C0Col)),2,FALSE)&gt;COUNTIF($E133:T133,"u")+COUNTIF($E133:T133,"t")+COUNTIF($E133:T133,"¶")+COUNTIF($E133:T133,"²")+COUNTIF($E133:T133,"µ")+COUNTIF($E133:T133,1)),
HYPERLINK("#Roadmap!C"&amp; MATCH($E133,Roadmap!$D:$D,0)+COUNTIF($E133:T133,"u")+COUNTIF($E133:T133,"t"),
     INDEX(Roadmap!$D:$K,MATCH($E133,Roadmap!$D:$D,0)+COUNTIF($E133:T133,"u")+COUNTIF($E133:T133,"t")+COUNTIF($E133:T133,"¶")+COUNTIF($E133:T133,"²")+COUNTIF($E133:T133,"µ")+COUNTIF($E133:T133,1),ColTypeEcheance)),
  IF(LEN(T133)=1,
  IF(LEN(INDEX(Roadmap!$D:$K,MATCH($E133,Roadmap!$D:$D,0)-1+COUNTIF($E133:T133,"u")+COUNTIF($E133:T133,"t")+COUNTIF($E133:T133,"¶")+COUNTIF($E133:T133,"²")+COUNTIF($E133:T133,"µ")+COUNTIF($E133:T133,1),ColDescriptionCourte))&gt;1,
HYPERLINK("#Roadmap!C"&amp; MATCH($E133,Roadmap!$D:$D,0)+COUNTIF($E133:T133,"u")+COUNTIF($E133:T133,"t")+COUNTIF($E133:T133,"¶")+COUNTIF($E133:T133,"²")+COUNTIF($E133:T133,"µ")+COUNTIF($E133:T133,1)-1,INDEX(Roadmap!$D:$K,MATCH($E133,Roadmap!$D:$D,0)-1+COUNTIF($E133:T133,"u")+COUNTIF($E133:T133,"t")+COUNTIF($E133:T133,"¶")+COUNTIF($E133:T133,"²")+COUNTIF($E133:T133,"µ")+COUNTIF($E133:T133,1),ColDescriptionCourte)),""),
  "")),"")</f>
        <v/>
      </c>
      <c r="V133" s="40" t="str">
        <f ca="1">IFERROR(IF(AND(
  INDEX(Roadmap!$D:$K,MATCH($E133,Roadmap!$D:$D,0)+COUNTIF($E133:U133,"u")+COUNTIF($E133:U133,"t")+COUNTIF($E133:U133,"¶")+COUNTIF($E133:U133,"²")+COUNTIF($E133:U133,"µ")+COUNTIF($E133:U133,1),ColLivraison)=V$6,
  VLOOKUP($E133,INDIRECT("tri!"&amp; CHAR(64+ C0Col) &amp;":"&amp; CHAR(65+C0Col)),2,FALSE)&gt;COUNTIF($E133:U133,"u")+COUNTIF($E133:U133,"t")+COUNTIF($E133:U133,"¶")+COUNTIF($E133:U133,"²")+COUNTIF($E133:U133,"µ")+COUNTIF($E133:U133,1)),
HYPERLINK("#Roadmap!C"&amp; MATCH($E133,Roadmap!$D:$D,0)+COUNTIF($E133:U133,"u")+COUNTIF($E133:U133,"t"),
     INDEX(Roadmap!$D:$K,MATCH($E133,Roadmap!$D:$D,0)+COUNTIF($E133:U133,"u")+COUNTIF($E133:U133,"t")+COUNTIF($E133:U133,"¶")+COUNTIF($E133:U133,"²")+COUNTIF($E133:U133,"µ")+COUNTIF($E133:U133,1),ColTypeEcheance)),
  IF(LEN(U133)=1,
  IF(LEN(INDEX(Roadmap!$D:$K,MATCH($E133,Roadmap!$D:$D,0)-1+COUNTIF($E133:U133,"u")+COUNTIF($E133:U133,"t")+COUNTIF($E133:U133,"¶")+COUNTIF($E133:U133,"²")+COUNTIF($E133:U133,"µ")+COUNTIF($E133:U133,1),ColDescriptionCourte))&gt;1,
HYPERLINK("#Roadmap!C"&amp; MATCH($E133,Roadmap!$D:$D,0)+COUNTIF($E133:U133,"u")+COUNTIF($E133:U133,"t")+COUNTIF($E133:U133,"¶")+COUNTIF($E133:U133,"²")+COUNTIF($E133:U133,"µ")+COUNTIF($E133:U133,1)-1,INDEX(Roadmap!$D:$K,MATCH($E133,Roadmap!$D:$D,0)-1+COUNTIF($E133:U133,"u")+COUNTIF($E133:U133,"t")+COUNTIF($E133:U133,"¶")+COUNTIF($E133:U133,"²")+COUNTIF($E133:U133,"µ")+COUNTIF($E133:U133,1),ColDescriptionCourte)),""),
  "")),"")</f>
        <v/>
      </c>
      <c r="W133" s="40" t="str">
        <f ca="1">IFERROR(IF(AND(
  INDEX(Roadmap!$D:$K,MATCH($E133,Roadmap!$D:$D,0)+COUNTIF($E133:V133,"u")+COUNTIF($E133:V133,"t")+COUNTIF($E133:V133,"¶")+COUNTIF($E133:V133,"²")+COUNTIF($E133:V133,"µ")+COUNTIF($E133:V133,1),ColLivraison)=W$6,
  VLOOKUP($E133,INDIRECT("tri!"&amp; CHAR(64+ C0Col) &amp;":"&amp; CHAR(65+C0Col)),2,FALSE)&gt;COUNTIF($E133:V133,"u")+COUNTIF($E133:V133,"t")+COUNTIF($E133:V133,"¶")+COUNTIF($E133:V133,"²")+COUNTIF($E133:V133,"µ")+COUNTIF($E133:V133,1)),
HYPERLINK("#Roadmap!C"&amp; MATCH($E133,Roadmap!$D:$D,0)+COUNTIF($E133:V133,"u")+COUNTIF($E133:V133,"t"),
     INDEX(Roadmap!$D:$K,MATCH($E133,Roadmap!$D:$D,0)+COUNTIF($E133:V133,"u")+COUNTIF($E133:V133,"t")+COUNTIF($E133:V133,"¶")+COUNTIF($E133:V133,"²")+COUNTIF($E133:V133,"µ")+COUNTIF($E133:V133,1),ColTypeEcheance)),
  IF(LEN(V133)=1,
  IF(LEN(INDEX(Roadmap!$D:$K,MATCH($E133,Roadmap!$D:$D,0)-1+COUNTIF($E133:V133,"u")+COUNTIF($E133:V133,"t")+COUNTIF($E133:V133,"¶")+COUNTIF($E133:V133,"²")+COUNTIF($E133:V133,"µ")+COUNTIF($E133:V133,1),ColDescriptionCourte))&gt;1,
HYPERLINK("#Roadmap!C"&amp; MATCH($E133,Roadmap!$D:$D,0)+COUNTIF($E133:V133,"u")+COUNTIF($E133:V133,"t")+COUNTIF($E133:V133,"¶")+COUNTIF($E133:V133,"²")+COUNTIF($E133:V133,"µ")+COUNTIF($E133:V133,1)-1,INDEX(Roadmap!$D:$K,MATCH($E133,Roadmap!$D:$D,0)-1+COUNTIF($E133:V133,"u")+COUNTIF($E133:V133,"t")+COUNTIF($E133:V133,"¶")+COUNTIF($E133:V133,"²")+COUNTIF($E133:V133,"µ")+COUNTIF($E133:V133,1),ColDescriptionCourte)),""),
  "")),"")</f>
        <v/>
      </c>
      <c r="X133" s="40" t="str">
        <f ca="1">IFERROR(IF(AND(
  INDEX(Roadmap!$D:$K,MATCH($E133,Roadmap!$D:$D,0)+COUNTIF($E133:W133,"u")+COUNTIF($E133:W133,"t")+COUNTIF($E133:W133,"¶")+COUNTIF($E133:W133,"²")+COUNTIF($E133:W133,"µ")+COUNTIF($E133:W133,1),ColLivraison)=X$6,
  VLOOKUP($E133,INDIRECT("tri!"&amp; CHAR(64+ C0Col) &amp;":"&amp; CHAR(65+C0Col)),2,FALSE)&gt;COUNTIF($E133:W133,"u")+COUNTIF($E133:W133,"t")+COUNTIF($E133:W133,"¶")+COUNTIF($E133:W133,"²")+COUNTIF($E133:W133,"µ")+COUNTIF($E133:W133,1)),
HYPERLINK("#Roadmap!C"&amp; MATCH($E133,Roadmap!$D:$D,0)+COUNTIF($E133:W133,"u")+COUNTIF($E133:W133,"t"),
     INDEX(Roadmap!$D:$K,MATCH($E133,Roadmap!$D:$D,0)+COUNTIF($E133:W133,"u")+COUNTIF($E133:W133,"t")+COUNTIF($E133:W133,"¶")+COUNTIF($E133:W133,"²")+COUNTIF($E133:W133,"µ")+COUNTIF($E133:W133,1),ColTypeEcheance)),
  IF(LEN(W133)=1,
  IF(LEN(INDEX(Roadmap!$D:$K,MATCH($E133,Roadmap!$D:$D,0)-1+COUNTIF($E133:W133,"u")+COUNTIF($E133:W133,"t")+COUNTIF($E133:W133,"¶")+COUNTIF($E133:W133,"²")+COUNTIF($E133:W133,"µ")+COUNTIF($E133:W133,1),ColDescriptionCourte))&gt;1,
HYPERLINK("#Roadmap!C"&amp; MATCH($E133,Roadmap!$D:$D,0)+COUNTIF($E133:W133,"u")+COUNTIF($E133:W133,"t")+COUNTIF($E133:W133,"¶")+COUNTIF($E133:W133,"²")+COUNTIF($E133:W133,"µ")+COUNTIF($E133:W133,1)-1,INDEX(Roadmap!$D:$K,MATCH($E133,Roadmap!$D:$D,0)-1+COUNTIF($E133:W133,"u")+COUNTIF($E133:W133,"t")+COUNTIF($E133:W133,"¶")+COUNTIF($E133:W133,"²")+COUNTIF($E133:W133,"µ")+COUNTIF($E133:W133,1),ColDescriptionCourte)),""),
  "")),"")</f>
        <v/>
      </c>
      <c r="Y133" s="40" t="str">
        <f ca="1">IFERROR(IF(AND(
  INDEX(Roadmap!$D:$K,MATCH($E133,Roadmap!$D:$D,0)+COUNTIF($E133:X133,"u")+COUNTIF($E133:X133,"t")+COUNTIF($E133:X133,"¶")+COUNTIF($E133:X133,"²")+COUNTIF($E133:X133,"µ")+COUNTIF($E133:X133,1),ColLivraison)=Y$6,
  VLOOKUP($E133,INDIRECT("tri!"&amp; CHAR(64+ C0Col) &amp;":"&amp; CHAR(65+C0Col)),2,FALSE)&gt;COUNTIF($E133:X133,"u")+COUNTIF($E133:X133,"t")+COUNTIF($E133:X133,"¶")+COUNTIF($E133:X133,"²")+COUNTIF($E133:X133,"µ")+COUNTIF($E133:X133,1)),
HYPERLINK("#Roadmap!C"&amp; MATCH($E133,Roadmap!$D:$D,0)+COUNTIF($E133:X133,"u")+COUNTIF($E133:X133,"t"),
     INDEX(Roadmap!$D:$K,MATCH($E133,Roadmap!$D:$D,0)+COUNTIF($E133:X133,"u")+COUNTIF($E133:X133,"t")+COUNTIF($E133:X133,"¶")+COUNTIF($E133:X133,"²")+COUNTIF($E133:X133,"µ")+COUNTIF($E133:X133,1),ColTypeEcheance)),
  IF(LEN(X133)=1,
  IF(LEN(INDEX(Roadmap!$D:$K,MATCH($E133,Roadmap!$D:$D,0)-1+COUNTIF($E133:X133,"u")+COUNTIF($E133:X133,"t")+COUNTIF($E133:X133,"¶")+COUNTIF($E133:X133,"²")+COUNTIF($E133:X133,"µ")+COUNTIF($E133:X133,1),ColDescriptionCourte))&gt;1,
HYPERLINK("#Roadmap!C"&amp; MATCH($E133,Roadmap!$D:$D,0)+COUNTIF($E133:X133,"u")+COUNTIF($E133:X133,"t")+COUNTIF($E133:X133,"¶")+COUNTIF($E133:X133,"²")+COUNTIF($E133:X133,"µ")+COUNTIF($E133:X133,1)-1,INDEX(Roadmap!$D:$K,MATCH($E133,Roadmap!$D:$D,0)-1+COUNTIF($E133:X133,"u")+COUNTIF($E133:X133,"t")+COUNTIF($E133:X133,"¶")+COUNTIF($E133:X133,"²")+COUNTIF($E133:X133,"µ")+COUNTIF($E133:X133,1),ColDescriptionCourte)),""),
  "")),"")</f>
        <v/>
      </c>
      <c r="Z133" s="40" t="str">
        <f ca="1">IFERROR(IF(AND(
  INDEX(Roadmap!$D:$K,MATCH($E133,Roadmap!$D:$D,0)+COUNTIF($E133:Y133,"u")+COUNTIF($E133:Y133,"t")+COUNTIF($E133:Y133,"¶")+COUNTIF($E133:Y133,"²")+COUNTIF($E133:Y133,"µ")+COUNTIF($E133:Y133,1),ColLivraison)=Z$6,
  VLOOKUP($E133,INDIRECT("tri!"&amp; CHAR(64+ C0Col) &amp;":"&amp; CHAR(65+C0Col)),2,FALSE)&gt;COUNTIF($E133:Y133,"u")+COUNTIF($E133:Y133,"t")+COUNTIF($E133:Y133,"¶")+COUNTIF($E133:Y133,"²")+COUNTIF($E133:Y133,"µ")+COUNTIF($E133:Y133,1)),
HYPERLINK("#Roadmap!C"&amp; MATCH($E133,Roadmap!$D:$D,0)+COUNTIF($E133:Y133,"u")+COUNTIF($E133:Y133,"t"),
     INDEX(Roadmap!$D:$K,MATCH($E133,Roadmap!$D:$D,0)+COUNTIF($E133:Y133,"u")+COUNTIF($E133:Y133,"t")+COUNTIF($E133:Y133,"¶")+COUNTIF($E133:Y133,"²")+COUNTIF($E133:Y133,"µ")+COUNTIF($E133:Y133,1),ColTypeEcheance)),
  IF(LEN(Y133)=1,
  IF(LEN(INDEX(Roadmap!$D:$K,MATCH($E133,Roadmap!$D:$D,0)-1+COUNTIF($E133:Y133,"u")+COUNTIF($E133:Y133,"t")+COUNTIF($E133:Y133,"¶")+COUNTIF($E133:Y133,"²")+COUNTIF($E133:Y133,"µ")+COUNTIF($E133:Y133,1),ColDescriptionCourte))&gt;1,
HYPERLINK("#Roadmap!C"&amp; MATCH($E133,Roadmap!$D:$D,0)+COUNTIF($E133:Y133,"u")+COUNTIF($E133:Y133,"t")+COUNTIF($E133:Y133,"¶")+COUNTIF($E133:Y133,"²")+COUNTIF($E133:Y133,"µ")+COUNTIF($E133:Y133,1)-1,INDEX(Roadmap!$D:$K,MATCH($E133,Roadmap!$D:$D,0)-1+COUNTIF($E133:Y133,"u")+COUNTIF($E133:Y133,"t")+COUNTIF($E133:Y133,"¶")+COUNTIF($E133:Y133,"²")+COUNTIF($E133:Y133,"µ")+COUNTIF($E133:Y133,1),ColDescriptionCourte)),""),
  "")),"")</f>
        <v/>
      </c>
      <c r="AA133" s="40" t="str">
        <f ca="1">IFERROR(IF(AND(
  INDEX(Roadmap!$D:$K,MATCH($E133,Roadmap!$D:$D,0)+COUNTIF($E133:Z133,"u")+COUNTIF($E133:Z133,"t")+COUNTIF($E133:Z133,"¶")+COUNTIF($E133:Z133,"²")+COUNTIF($E133:Z133,"µ")+COUNTIF($E133:Z133,1),ColLivraison)=AA$6,
  VLOOKUP($E133,INDIRECT("tri!"&amp; CHAR(64+ C0Col) &amp;":"&amp; CHAR(65+C0Col)),2,FALSE)&gt;COUNTIF($E133:Z133,"u")+COUNTIF($E133:Z133,"t")+COUNTIF($E133:Z133,"¶")+COUNTIF($E133:Z133,"²")+COUNTIF($E133:Z133,"µ")+COUNTIF($E133:Z133,1)),
HYPERLINK("#Roadmap!C"&amp; MATCH($E133,Roadmap!$D:$D,0)+COUNTIF($E133:Z133,"u")+COUNTIF($E133:Z133,"t"),
     INDEX(Roadmap!$D:$K,MATCH($E133,Roadmap!$D:$D,0)+COUNTIF($E133:Z133,"u")+COUNTIF($E133:Z133,"t")+COUNTIF($E133:Z133,"¶")+COUNTIF($E133:Z133,"²")+COUNTIF($E133:Z133,"µ")+COUNTIF($E133:Z133,1),ColTypeEcheance)),
  IF(LEN(Z133)=1,
  IF(LEN(INDEX(Roadmap!$D:$K,MATCH($E133,Roadmap!$D:$D,0)-1+COUNTIF($E133:Z133,"u")+COUNTIF($E133:Z133,"t")+COUNTIF($E133:Z133,"¶")+COUNTIF($E133:Z133,"²")+COUNTIF($E133:Z133,"µ")+COUNTIF($E133:Z133,1),ColDescriptionCourte))&gt;1,
HYPERLINK("#Roadmap!C"&amp; MATCH($E133,Roadmap!$D:$D,0)+COUNTIF($E133:Z133,"u")+COUNTIF($E133:Z133,"t")+COUNTIF($E133:Z133,"¶")+COUNTIF($E133:Z133,"²")+COUNTIF($E133:Z133,"µ")+COUNTIF($E133:Z133,1)-1,INDEX(Roadmap!$D:$K,MATCH($E133,Roadmap!$D:$D,0)-1+COUNTIF($E133:Z133,"u")+COUNTIF($E133:Z133,"t")+COUNTIF($E133:Z133,"¶")+COUNTIF($E133:Z133,"²")+COUNTIF($E133:Z133,"µ")+COUNTIF($E133:Z133,1),ColDescriptionCourte)),""),
  "")),"")</f>
        <v/>
      </c>
      <c r="AB133" s="40" t="str">
        <f ca="1">IFERROR(IF(AND(
  INDEX(Roadmap!$D:$K,MATCH($E133,Roadmap!$D:$D,0)+COUNTIF($E133:AA133,"u")+COUNTIF($E133:AA133,"t")+COUNTIF($E133:AA133,"¶")+COUNTIF($E133:AA133,"²")+COUNTIF($E133:AA133,"µ")+COUNTIF($E133:AA133,1),ColLivraison)=AB$6,
  VLOOKUP($E133,INDIRECT("tri!"&amp; CHAR(64+ C0Col) &amp;":"&amp; CHAR(65+C0Col)),2,FALSE)&gt;COUNTIF($E133:AA133,"u")+COUNTIF($E133:AA133,"t")+COUNTIF($E133:AA133,"¶")+COUNTIF($E133:AA133,"²")+COUNTIF($E133:AA133,"µ")+COUNTIF($E133:AA133,1)),
HYPERLINK("#Roadmap!C"&amp; MATCH($E133,Roadmap!$D:$D,0)+COUNTIF($E133:AA133,"u")+COUNTIF($E133:AA133,"t"),
     INDEX(Roadmap!$D:$K,MATCH($E133,Roadmap!$D:$D,0)+COUNTIF($E133:AA133,"u")+COUNTIF($E133:AA133,"t")+COUNTIF($E133:AA133,"¶")+COUNTIF($E133:AA133,"²")+COUNTIF($E133:AA133,"µ")+COUNTIF($E133:AA133,1),ColTypeEcheance)),
  IF(LEN(AA133)=1,
  IF(LEN(INDEX(Roadmap!$D:$K,MATCH($E133,Roadmap!$D:$D,0)-1+COUNTIF($E133:AA133,"u")+COUNTIF($E133:AA133,"t")+COUNTIF($E133:AA133,"¶")+COUNTIF($E133:AA133,"²")+COUNTIF($E133:AA133,"µ")+COUNTIF($E133:AA133,1),ColDescriptionCourte))&gt;1,
HYPERLINK("#Roadmap!C"&amp; MATCH($E133,Roadmap!$D:$D,0)+COUNTIF($E133:AA133,"u")+COUNTIF($E133:AA133,"t")+COUNTIF($E133:AA133,"¶")+COUNTIF($E133:AA133,"²")+COUNTIF($E133:AA133,"µ")+COUNTIF($E133:AA133,1)-1,INDEX(Roadmap!$D:$K,MATCH($E133,Roadmap!$D:$D,0)-1+COUNTIF($E133:AA133,"u")+COUNTIF($E133:AA133,"t")+COUNTIF($E133:AA133,"¶")+COUNTIF($E133:AA133,"²")+COUNTIF($E133:AA133,"µ")+COUNTIF($E133:AA133,1),ColDescriptionCourte)),""),
  "")),"")</f>
        <v/>
      </c>
      <c r="AC133" s="40" t="str">
        <f ca="1">IFERROR(IF(AND(
  INDEX(Roadmap!$D:$K,MATCH($E133,Roadmap!$D:$D,0)+COUNTIF($E133:AB133,"u")+COUNTIF($E133:AB133,"t")+COUNTIF($E133:AB133,"¶")+COUNTIF($E133:AB133,"²")+COUNTIF($E133:AB133,"µ")+COUNTIF($E133:AB133,1),ColLivraison)=AC$6,
  VLOOKUP($E133,INDIRECT("tri!"&amp; CHAR(64+ C0Col) &amp;":"&amp; CHAR(65+C0Col)),2,FALSE)&gt;COUNTIF($E133:AB133,"u")+COUNTIF($E133:AB133,"t")+COUNTIF($E133:AB133,"¶")+COUNTIF($E133:AB133,"²")+COUNTIF($E133:AB133,"µ")+COUNTIF($E133:AB133,1)),
HYPERLINK("#Roadmap!C"&amp; MATCH($E133,Roadmap!$D:$D,0)+COUNTIF($E133:AB133,"u")+COUNTIF($E133:AB133,"t"),
     INDEX(Roadmap!$D:$K,MATCH($E133,Roadmap!$D:$D,0)+COUNTIF($E133:AB133,"u")+COUNTIF($E133:AB133,"t")+COUNTIF($E133:AB133,"¶")+COUNTIF($E133:AB133,"²")+COUNTIF($E133:AB133,"µ")+COUNTIF($E133:AB133,1),ColTypeEcheance)),
  IF(LEN(AB133)=1,
  IF(LEN(INDEX(Roadmap!$D:$K,MATCH($E133,Roadmap!$D:$D,0)-1+COUNTIF($E133:AB133,"u")+COUNTIF($E133:AB133,"t")+COUNTIF($E133:AB133,"¶")+COUNTIF($E133:AB133,"²")+COUNTIF($E133:AB133,"µ")+COUNTIF($E133:AB133,1),ColDescriptionCourte))&gt;1,
HYPERLINK("#Roadmap!C"&amp; MATCH($E133,Roadmap!$D:$D,0)+COUNTIF($E133:AB133,"u")+COUNTIF($E133:AB133,"t")+COUNTIF($E133:AB133,"¶")+COUNTIF($E133:AB133,"²")+COUNTIF($E133:AB133,"µ")+COUNTIF($E133:AB133,1)-1,INDEX(Roadmap!$D:$K,MATCH($E133,Roadmap!$D:$D,0)-1+COUNTIF($E133:AB133,"u")+COUNTIF($E133:AB133,"t")+COUNTIF($E133:AB133,"¶")+COUNTIF($E133:AB133,"²")+COUNTIF($E133:AB133,"µ")+COUNTIF($E133:AB133,1),ColDescriptionCourte)),""),
  "")),"")</f>
        <v/>
      </c>
      <c r="AD133" s="40" t="str">
        <f ca="1">IFERROR(IF(AND(
  INDEX(Roadmap!$D:$K,MATCH($E133,Roadmap!$D:$D,0)+COUNTIF($E133:AC133,"u")+COUNTIF($E133:AC133,"t")+COUNTIF($E133:AC133,"¶")+COUNTIF($E133:AC133,"²")+COUNTIF($E133:AC133,"µ")+COUNTIF($E133:AC133,1),ColLivraison)=AD$6,
  VLOOKUP($E133,INDIRECT("tri!"&amp; CHAR(64+ C0Col) &amp;":"&amp; CHAR(65+C0Col)),2,FALSE)&gt;COUNTIF($E133:AC133,"u")+COUNTIF($E133:AC133,"t")+COUNTIF($E133:AC133,"¶")+COUNTIF($E133:AC133,"²")+COUNTIF($E133:AC133,"µ")+COUNTIF($E133:AC133,1)),
HYPERLINK("#Roadmap!C"&amp; MATCH($E133,Roadmap!$D:$D,0)+COUNTIF($E133:AC133,"u")+COUNTIF($E133:AC133,"t"),
     INDEX(Roadmap!$D:$K,MATCH($E133,Roadmap!$D:$D,0)+COUNTIF($E133:AC133,"u")+COUNTIF($E133:AC133,"t")+COUNTIF($E133:AC133,"¶")+COUNTIF($E133:AC133,"²")+COUNTIF($E133:AC133,"µ")+COUNTIF($E133:AC133,1),ColTypeEcheance)),
  IF(LEN(AC133)=1,
  IF(LEN(INDEX(Roadmap!$D:$K,MATCH($E133,Roadmap!$D:$D,0)-1+COUNTIF($E133:AC133,"u")+COUNTIF($E133:AC133,"t")+COUNTIF($E133:AC133,"¶")+COUNTIF($E133:AC133,"²")+COUNTIF($E133:AC133,"µ")+COUNTIF($E133:AC133,1),ColDescriptionCourte))&gt;1,
HYPERLINK("#Roadmap!C"&amp; MATCH($E133,Roadmap!$D:$D,0)+COUNTIF($E133:AC133,"u")+COUNTIF($E133:AC133,"t")+COUNTIF($E133:AC133,"¶")+COUNTIF($E133:AC133,"²")+COUNTIF($E133:AC133,"µ")+COUNTIF($E133:AC133,1)-1,INDEX(Roadmap!$D:$K,MATCH($E133,Roadmap!$D:$D,0)-1+COUNTIF($E133:AC133,"u")+COUNTIF($E133:AC133,"t")+COUNTIF($E133:AC133,"¶")+COUNTIF($E133:AC133,"²")+COUNTIF($E133:AC133,"µ")+COUNTIF($E133:AC133,1),ColDescriptionCourte)),""),
  "")),"")</f>
        <v/>
      </c>
      <c r="AE133" s="40" t="str">
        <f ca="1">IFERROR(IF(AND(
  INDEX(Roadmap!$D:$K,MATCH($E133,Roadmap!$D:$D,0)+COUNTIF($E133:AD133,"u")+COUNTIF($E133:AD133,"t")+COUNTIF($E133:AD133,"¶")+COUNTIF($E133:AD133,"²")+COUNTIF($E133:AD133,"µ")+COUNTIF($E133:AD133,1),ColLivraison)=AE$6,
  VLOOKUP($E133,INDIRECT("tri!"&amp; CHAR(64+ C0Col) &amp;":"&amp; CHAR(65+C0Col)),2,FALSE)&gt;COUNTIF($E133:AD133,"u")+COUNTIF($E133:AD133,"t")+COUNTIF($E133:AD133,"¶")+COUNTIF($E133:AD133,"²")+COUNTIF($E133:AD133,"µ")+COUNTIF($E133:AD133,1)),
HYPERLINK("#Roadmap!C"&amp; MATCH($E133,Roadmap!$D:$D,0)+COUNTIF($E133:AD133,"u")+COUNTIF($E133:AD133,"t"),
     INDEX(Roadmap!$D:$K,MATCH($E133,Roadmap!$D:$D,0)+COUNTIF($E133:AD133,"u")+COUNTIF($E133:AD133,"t")+COUNTIF($E133:AD133,"¶")+COUNTIF($E133:AD133,"²")+COUNTIF($E133:AD133,"µ")+COUNTIF($E133:AD133,1),ColTypeEcheance)),
  IF(LEN(AD133)=1,
  IF(LEN(INDEX(Roadmap!$D:$K,MATCH($E133,Roadmap!$D:$D,0)-1+COUNTIF($E133:AD133,"u")+COUNTIF($E133:AD133,"t")+COUNTIF($E133:AD133,"¶")+COUNTIF($E133:AD133,"²")+COUNTIF($E133:AD133,"µ")+COUNTIF($E133:AD133,1),ColDescriptionCourte))&gt;1,
HYPERLINK("#Roadmap!C"&amp; MATCH($E133,Roadmap!$D:$D,0)+COUNTIF($E133:AD133,"u")+COUNTIF($E133:AD133,"t")+COUNTIF($E133:AD133,"¶")+COUNTIF($E133:AD133,"²")+COUNTIF($E133:AD133,"µ")+COUNTIF($E133:AD133,1)-1,INDEX(Roadmap!$D:$K,MATCH($E133,Roadmap!$D:$D,0)-1+COUNTIF($E133:AD133,"u")+COUNTIF($E133:AD133,"t")+COUNTIF($E133:AD133,"¶")+COUNTIF($E133:AD133,"²")+COUNTIF($E133:AD133,"µ")+COUNTIF($E133:AD133,1),ColDescriptionCourte)),""),
  "")),"")</f>
        <v/>
      </c>
      <c r="AF133" s="40" t="str">
        <f ca="1">IFERROR(IF(AND(
  INDEX(Roadmap!$D:$K,MATCH($E133,Roadmap!$D:$D,0)+COUNTIF($E133:AE133,"u")+COUNTIF($E133:AE133,"t")+COUNTIF($E133:AE133,"¶")+COUNTIF($E133:AE133,"²")+COUNTIF($E133:AE133,"µ")+COUNTIF($E133:AE133,1),ColLivraison)=AF$6,
  VLOOKUP($E133,INDIRECT("tri!"&amp; CHAR(64+ C0Col) &amp;":"&amp; CHAR(65+C0Col)),2,FALSE)&gt;COUNTIF($E133:AE133,"u")+COUNTIF($E133:AE133,"t")+COUNTIF($E133:AE133,"¶")+COUNTIF($E133:AE133,"²")+COUNTIF($E133:AE133,"µ")+COUNTIF($E133:AE133,1)),
HYPERLINK("#Roadmap!C"&amp; MATCH($E133,Roadmap!$D:$D,0)+COUNTIF($E133:AE133,"u")+COUNTIF($E133:AE133,"t"),
     INDEX(Roadmap!$D:$K,MATCH($E133,Roadmap!$D:$D,0)+COUNTIF($E133:AE133,"u")+COUNTIF($E133:AE133,"t")+COUNTIF($E133:AE133,"¶")+COUNTIF($E133:AE133,"²")+COUNTIF($E133:AE133,"µ")+COUNTIF($E133:AE133,1),ColTypeEcheance)),
  IF(LEN(AE133)=1,
  IF(LEN(INDEX(Roadmap!$D:$K,MATCH($E133,Roadmap!$D:$D,0)-1+COUNTIF($E133:AE133,"u")+COUNTIF($E133:AE133,"t")+COUNTIF($E133:AE133,"¶")+COUNTIF($E133:AE133,"²")+COUNTIF($E133:AE133,"µ")+COUNTIF($E133:AE133,1),ColDescriptionCourte))&gt;1,
HYPERLINK("#Roadmap!C"&amp; MATCH($E133,Roadmap!$D:$D,0)+COUNTIF($E133:AE133,"u")+COUNTIF($E133:AE133,"t")+COUNTIF($E133:AE133,"¶")+COUNTIF($E133:AE133,"²")+COUNTIF($E133:AE133,"µ")+COUNTIF($E133:AE133,1)-1,INDEX(Roadmap!$D:$K,MATCH($E133,Roadmap!$D:$D,0)-1+COUNTIF($E133:AE133,"u")+COUNTIF($E133:AE133,"t")+COUNTIF($E133:AE133,"¶")+COUNTIF($E133:AE133,"²")+COUNTIF($E133:AE133,"µ")+COUNTIF($E133:AE133,1),ColDescriptionCourte)),""),
  "")),"")</f>
        <v/>
      </c>
      <c r="AG133" s="40" t="str">
        <f ca="1">IFERROR(IF(AND(
  INDEX(Roadmap!$D:$K,MATCH($E133,Roadmap!$D:$D,0)+COUNTIF($E133:AF133,"u")+COUNTIF($E133:AF133,"t")+COUNTIF($E133:AF133,"¶")+COUNTIF($E133:AF133,"²")+COUNTIF($E133:AF133,"µ")+COUNTIF($E133:AF133,1),ColLivraison)=AG$6,
  VLOOKUP($E133,INDIRECT("tri!"&amp; CHAR(64+ C0Col) &amp;":"&amp; CHAR(65+C0Col)),2,FALSE)&gt;COUNTIF($E133:AF133,"u")+COUNTIF($E133:AF133,"t")+COUNTIF($E133:AF133,"¶")+COUNTIF($E133:AF133,"²")+COUNTIF($E133:AF133,"µ")+COUNTIF($E133:AF133,1)),
HYPERLINK("#Roadmap!C"&amp; MATCH($E133,Roadmap!$D:$D,0)+COUNTIF($E133:AF133,"u")+COUNTIF($E133:AF133,"t"),
     INDEX(Roadmap!$D:$K,MATCH($E133,Roadmap!$D:$D,0)+COUNTIF($E133:AF133,"u")+COUNTIF($E133:AF133,"t")+COUNTIF($E133:AF133,"¶")+COUNTIF($E133:AF133,"²")+COUNTIF($E133:AF133,"µ")+COUNTIF($E133:AF133,1),ColTypeEcheance)),
  IF(LEN(AF133)=1,
  IF(LEN(INDEX(Roadmap!$D:$K,MATCH($E133,Roadmap!$D:$D,0)-1+COUNTIF($E133:AF133,"u")+COUNTIF($E133:AF133,"t")+COUNTIF($E133:AF133,"¶")+COUNTIF($E133:AF133,"²")+COUNTIF($E133:AF133,"µ")+COUNTIF($E133:AF133,1),ColDescriptionCourte))&gt;1,
HYPERLINK("#Roadmap!C"&amp; MATCH($E133,Roadmap!$D:$D,0)+COUNTIF($E133:AF133,"u")+COUNTIF($E133:AF133,"t")+COUNTIF($E133:AF133,"¶")+COUNTIF($E133:AF133,"²")+COUNTIF($E133:AF133,"µ")+COUNTIF($E133:AF133,1)-1,INDEX(Roadmap!$D:$K,MATCH($E133,Roadmap!$D:$D,0)-1+COUNTIF($E133:AF133,"u")+COUNTIF($E133:AF133,"t")+COUNTIF($E133:AF133,"¶")+COUNTIF($E133:AF133,"²")+COUNTIF($E133:AF133,"µ")+COUNTIF($E133:AF133,1),ColDescriptionCourte)),""),
  "")),"")</f>
        <v/>
      </c>
      <c r="AH133" s="40" t="str">
        <f ca="1">IFERROR(IF(AND(
  INDEX(Roadmap!$D:$K,MATCH($E133,Roadmap!$D:$D,0)+COUNTIF($E133:AG133,"u")+COUNTIF($E133:AG133,"t")+COUNTIF($E133:AG133,1),ColLivraison)=AH$6,
  VLOOKUP($E133,INDIRECT("tri!"&amp; CHAR(64+ C0Col) &amp;":"&amp; CHAR(65+C0Col)),2,FALSE)&gt;COUNTIF($E133:AG133,"u")+COUNTIF($E133:AG133,"t")+COUNTIF($E133:AG133,1)),
HYPERLINK("#Roadmap!C"&amp; MATCH($E133,Roadmap!$D:$D,0)+COUNTIF($E133:AG133,"u")+COUNTIF($E133:AG133,"t"),
     INDEX(Roadmap!$D:$K,MATCH($E133,Roadmap!$D:$D,0)+COUNTIF($E133:AG133,"u")+COUNTIF($E133:AG133,"t")+COUNTIF($E133:AG133,1),ColTypeEcheance)),
  IF(OR(AG133="u",AG133="t",AG133=1),
  IF(LEN(INDEX(Roadmap!$D:$K,MATCH($E133,Roadmap!$D:$D,0)-1+COUNTIF($E133:AG133,"u")+COUNTIF($E133:AG133,"t")+COUNTIF($E133:AG133,1),ColDescriptionCourte))&gt;1,
HYPERLINK("#Roadmap!C"&amp; MATCH($E133,Roadmap!$D:$D,0)+COUNTIF($E133:AG133,"u")+COUNTIF($E133:AG133,"t")+COUNTIF($E133:AG133,1)-1,INDEX(Roadmap!$D:$K,MATCH($E133,Roadmap!$D:$D,0)-1+COUNTIF($E133:AG133,"u")+COUNTIF($E133:AG133,"t")+COUNTIF($E133:AG133,1),ColDescriptionCourte)),""),
  "")),"")</f>
        <v/>
      </c>
      <c r="AI133" s="40"/>
      <c r="AJ133" s="40"/>
      <c r="AK133" s="40"/>
      <c r="AL133" s="40"/>
      <c r="AM133" s="40"/>
    </row>
    <row r="134" spans="4:39" ht="14.1" customHeight="1">
      <c r="D134" s="20" t="str">
        <f t="shared" ca="1" si="29"/>
        <v/>
      </c>
      <c r="E134" s="53" t="str">
        <f t="shared" ca="1" si="30"/>
        <v/>
      </c>
      <c r="F134" s="39" t="str">
        <f ca="1">IFERROR(IF(AND(
  INDEX(Roadmap!$D:$K,MATCH($E134,Roadmap!$D:$D,0)+COUNTIF($E134:E134,"u")+COUNTIF($E134:E134,"t")+COUNTIF($E134:E134,"¶")+COUNTIF($E134:E134,"²")+COUNTIF($E134:E134,"µ")+COUNTIF($E134:E134,1),ColLivraison)=F$6,
  VLOOKUP($E134,INDIRECT("tri!"&amp; CHAR(64+ C0Col) &amp;":"&amp; CHAR(65+C0Col)),2,FALSE)&gt;COUNTIF($E134:E134,"u")+COUNTIF($E134:E134,"t")+COUNTIF($E134:E134,"¶")+COUNTIF($E134:E134,"²")+COUNTIF($E134:E134,"µ")+COUNTIF($E134:E134,1)),
HYPERLINK("#Roadmap!C"&amp; MATCH($E134,Roadmap!$D:$D,0)+COUNTIF($E134:E134,"u")+COUNTIF($E134:E134,"t"),
     INDEX(Roadmap!$D:$K,MATCH($E134,Roadmap!$D:$D,0)+COUNTIF($E134:E134,"u")+COUNTIF($E134:E134,"t")+COUNTIF($E134:E134,"¶")+COUNTIF($E134:E134,"²")+COUNTIF($E134:E134,"µ")+COUNTIF($E134:E134,1),ColTypeEcheance)),
  IF(LEN(E134)=1,
  IF(LEN(INDEX(Roadmap!$D:$K,MATCH($E134,Roadmap!$D:$D,0)-1+COUNTIF($E134:E134,"u")+COUNTIF($E134:E134,"t")+COUNTIF($E134:E134,"¶")+COUNTIF($E134:E134,"²")+COUNTIF($E134:E134,"µ")+COUNTIF($E134:E134,1),ColDescriptionCourte))&gt;1,
HYPERLINK("#Roadmap!C"&amp; MATCH($E134,Roadmap!$D:$D,0)+COUNTIF($E134:E134,"u")+COUNTIF($E134:E134,"t")+COUNTIF($E134:E134,"¶")+COUNTIF($E134:E134,"²")+COUNTIF($E134:E134,"µ")+COUNTIF($E134:E134,1)-1,INDEX(Roadmap!$D:$K,MATCH($E134,Roadmap!$D:$D,0)-1+COUNTIF($E134:E134,"u")+COUNTIF($E134:E134,"t")+COUNTIF($E134:E134,"¶")+COUNTIF($E134:E134,"²")+COUNTIF($E134:E134,"µ")+COUNTIF($E134:E134,1),ColDescriptionCourte)),""),
  "")),"")</f>
        <v/>
      </c>
      <c r="G134" s="40" t="str">
        <f ca="1">IFERROR(IF(AND(
  INDEX(Roadmap!$D:$K,MATCH($E134,Roadmap!$D:$D,0)+COUNTIF($E134:F134,"u")+COUNTIF($E134:F134,"t")+COUNTIF($E134:F134,"¶")+COUNTIF($E134:F134,"²")+COUNTIF($E134:F134,"µ")+COUNTIF($E134:F134,1),ColLivraison)=G$6,
  VLOOKUP($E134,INDIRECT("tri!"&amp; CHAR(64+ C0Col) &amp;":"&amp; CHAR(65+C0Col)),2,FALSE)&gt;COUNTIF($E134:F134,"u")+COUNTIF($E134:F134,"t")+COUNTIF($E134:F134,"¶")+COUNTIF($E134:F134,"²")+COUNTIF($E134:F134,"µ")+COUNTIF($E134:F134,1)),
HYPERLINK("#Roadmap!C"&amp; MATCH($E134,Roadmap!$D:$D,0)+COUNTIF($E134:F134,"u")+COUNTIF($E134:F134,"t"),
     INDEX(Roadmap!$D:$K,MATCH($E134,Roadmap!$D:$D,0)+COUNTIF($E134:F134,"u")+COUNTIF($E134:F134,"t")+COUNTIF($E134:F134,"¶")+COUNTIF($E134:F134,"²")+COUNTIF($E134:F134,"µ")+COUNTIF($E134:F134,1),ColTypeEcheance)),
  IF(LEN(F134)=1,
  IF(LEN(INDEX(Roadmap!$D:$K,MATCH($E134,Roadmap!$D:$D,0)-1+COUNTIF($E134:F134,"u")+COUNTIF($E134:F134,"t")+COUNTIF($E134:F134,"¶")+COUNTIF($E134:F134,"²")+COUNTIF($E134:F134,"µ")+COUNTIF($E134:F134,1),ColDescriptionCourte))&gt;1,
HYPERLINK("#Roadmap!C"&amp; MATCH($E134,Roadmap!$D:$D,0)+COUNTIF($E134:F134,"u")+COUNTIF($E134:F134,"t")+COUNTIF($E134:F134,"¶")+COUNTIF($E134:F134,"²")+COUNTIF($E134:F134,"µ")+COUNTIF($E134:F134,1)-1,INDEX(Roadmap!$D:$K,MATCH($E134,Roadmap!$D:$D,0)-1+COUNTIF($E134:F134,"u")+COUNTIF($E134:F134,"t")+COUNTIF($E134:F134,"¶")+COUNTIF($E134:F134,"²")+COUNTIF($E134:F134,"µ")+COUNTIF($E134:F134,1),ColDescriptionCourte)),""),
  "")),"")</f>
        <v/>
      </c>
      <c r="H134" s="40" t="str">
        <f ca="1">IFERROR(IF(AND(
  INDEX(Roadmap!$D:$K,MATCH($E134,Roadmap!$D:$D,0)+COUNTIF($E134:G134,"u")+COUNTIF($E134:G134,"t")+COUNTIF($E134:G134,"¶")+COUNTIF($E134:G134,"²")+COUNTIF($E134:G134,"µ")+COUNTIF($E134:G134,1),ColLivraison)=H$6,
  VLOOKUP($E134,INDIRECT("tri!"&amp; CHAR(64+ C0Col) &amp;":"&amp; CHAR(65+C0Col)),2,FALSE)&gt;COUNTIF($E134:G134,"u")+COUNTIF($E134:G134,"t")+COUNTIF($E134:G134,"¶")+COUNTIF($E134:G134,"²")+COUNTIF($E134:G134,"µ")+COUNTIF($E134:G134,1)),
HYPERLINK("#Roadmap!C"&amp; MATCH($E134,Roadmap!$D:$D,0)+COUNTIF($E134:G134,"u")+COUNTIF($E134:G134,"t"),
     INDEX(Roadmap!$D:$K,MATCH($E134,Roadmap!$D:$D,0)+COUNTIF($E134:G134,"u")+COUNTIF($E134:G134,"t")+COUNTIF($E134:G134,"¶")+COUNTIF($E134:G134,"²")+COUNTIF($E134:G134,"µ")+COUNTIF($E134:G134,1),ColTypeEcheance)),
  IF(LEN(G134)=1,
  IF(LEN(INDEX(Roadmap!$D:$K,MATCH($E134,Roadmap!$D:$D,0)-1+COUNTIF($E134:G134,"u")+COUNTIF($E134:G134,"t")+COUNTIF($E134:G134,"¶")+COUNTIF($E134:G134,"²")+COUNTIF($E134:G134,"µ")+COUNTIF($E134:G134,1),ColDescriptionCourte))&gt;1,
HYPERLINK("#Roadmap!C"&amp; MATCH($E134,Roadmap!$D:$D,0)+COUNTIF($E134:G134,"u")+COUNTIF($E134:G134,"t")+COUNTIF($E134:G134,"¶")+COUNTIF($E134:G134,"²")+COUNTIF($E134:G134,"µ")+COUNTIF($E134:G134,1)-1,INDEX(Roadmap!$D:$K,MATCH($E134,Roadmap!$D:$D,0)-1+COUNTIF($E134:G134,"u")+COUNTIF($E134:G134,"t")+COUNTIF($E134:G134,"¶")+COUNTIF($E134:G134,"²")+COUNTIF($E134:G134,"µ")+COUNTIF($E134:G134,1),ColDescriptionCourte)),""),
  "")),"")</f>
        <v/>
      </c>
      <c r="I134" s="40" t="str">
        <f ca="1">IFERROR(IF(AND(
  INDEX(Roadmap!$D:$K,MATCH($E134,Roadmap!$D:$D,0)+COUNTIF($E134:H134,"u")+COUNTIF($E134:H134,"t")+COUNTIF($E134:H134,"¶")+COUNTIF($E134:H134,"²")+COUNTIF($E134:H134,"µ")+COUNTIF($E134:H134,1),ColLivraison)=I$6,
  VLOOKUP($E134,INDIRECT("tri!"&amp; CHAR(64+ C0Col) &amp;":"&amp; CHAR(65+C0Col)),2,FALSE)&gt;COUNTIF($E134:H134,"u")+COUNTIF($E134:H134,"t")+COUNTIF($E134:H134,"¶")+COUNTIF($E134:H134,"²")+COUNTIF($E134:H134,"µ")+COUNTIF($E134:H134,1)),
HYPERLINK("#Roadmap!C"&amp; MATCH($E134,Roadmap!$D:$D,0)+COUNTIF($E134:H134,"u")+COUNTIF($E134:H134,"t"),
     INDEX(Roadmap!$D:$K,MATCH($E134,Roadmap!$D:$D,0)+COUNTIF($E134:H134,"u")+COUNTIF($E134:H134,"t")+COUNTIF($E134:H134,"¶")+COUNTIF($E134:H134,"²")+COUNTIF($E134:H134,"µ")+COUNTIF($E134:H134,1),ColTypeEcheance)),
  IF(LEN(H134)=1,
  IF(LEN(INDEX(Roadmap!$D:$K,MATCH($E134,Roadmap!$D:$D,0)-1+COUNTIF($E134:H134,"u")+COUNTIF($E134:H134,"t")+COUNTIF($E134:H134,"¶")+COUNTIF($E134:H134,"²")+COUNTIF($E134:H134,"µ")+COUNTIF($E134:H134,1),ColDescriptionCourte))&gt;1,
HYPERLINK("#Roadmap!C"&amp; MATCH($E134,Roadmap!$D:$D,0)+COUNTIF($E134:H134,"u")+COUNTIF($E134:H134,"t")+COUNTIF($E134:H134,"¶")+COUNTIF($E134:H134,"²")+COUNTIF($E134:H134,"µ")+COUNTIF($E134:H134,1)-1,INDEX(Roadmap!$D:$K,MATCH($E134,Roadmap!$D:$D,0)-1+COUNTIF($E134:H134,"u")+COUNTIF($E134:H134,"t")+COUNTIF($E134:H134,"¶")+COUNTIF($E134:H134,"²")+COUNTIF($E134:H134,"µ")+COUNTIF($E134:H134,1),ColDescriptionCourte)),""),
  "")),"")</f>
        <v/>
      </c>
      <c r="J134" s="40" t="str">
        <f ca="1">IFERROR(IF(AND(
  INDEX(Roadmap!$D:$K,MATCH($E134,Roadmap!$D:$D,0)+COUNTIF($E134:I134,"u")+COUNTIF($E134:I134,"t")+COUNTIF($E134:I134,"¶")+COUNTIF($E134:I134,"²")+COUNTIF($E134:I134,"µ")+COUNTIF($E134:I134,1),ColLivraison)=J$6,
  VLOOKUP($E134,INDIRECT("tri!"&amp; CHAR(64+ C0Col) &amp;":"&amp; CHAR(65+C0Col)),2,FALSE)&gt;COUNTIF($E134:I134,"u")+COUNTIF($E134:I134,"t")+COUNTIF($E134:I134,"¶")+COUNTIF($E134:I134,"²")+COUNTIF($E134:I134,"µ")+COUNTIF($E134:I134,1)),
HYPERLINK("#Roadmap!C"&amp; MATCH($E134,Roadmap!$D:$D,0)+COUNTIF($E134:I134,"u")+COUNTIF($E134:I134,"t"),
     INDEX(Roadmap!$D:$K,MATCH($E134,Roadmap!$D:$D,0)+COUNTIF($E134:I134,"u")+COUNTIF($E134:I134,"t")+COUNTIF($E134:I134,"¶")+COUNTIF($E134:I134,"²")+COUNTIF($E134:I134,"µ")+COUNTIF($E134:I134,1),ColTypeEcheance)),
  IF(LEN(I134)=1,
  IF(LEN(INDEX(Roadmap!$D:$K,MATCH($E134,Roadmap!$D:$D,0)-1+COUNTIF($E134:I134,"u")+COUNTIF($E134:I134,"t")+COUNTIF($E134:I134,"¶")+COUNTIF($E134:I134,"²")+COUNTIF($E134:I134,"µ")+COUNTIF($E134:I134,1),ColDescriptionCourte))&gt;1,
HYPERLINK("#Roadmap!C"&amp; MATCH($E134,Roadmap!$D:$D,0)+COUNTIF($E134:I134,"u")+COUNTIF($E134:I134,"t")+COUNTIF($E134:I134,"¶")+COUNTIF($E134:I134,"²")+COUNTIF($E134:I134,"µ")+COUNTIF($E134:I134,1)-1,INDEX(Roadmap!$D:$K,MATCH($E134,Roadmap!$D:$D,0)-1+COUNTIF($E134:I134,"u")+COUNTIF($E134:I134,"t")+COUNTIF($E134:I134,"¶")+COUNTIF($E134:I134,"²")+COUNTIF($E134:I134,"µ")+COUNTIF($E134:I134,1),ColDescriptionCourte)),""),
  "")),"")</f>
        <v/>
      </c>
      <c r="K134" s="40" t="str">
        <f ca="1">IFERROR(IF(AND(
  INDEX(Roadmap!$D:$K,MATCH($E134,Roadmap!$D:$D,0)+COUNTIF($E134:J134,"u")+COUNTIF($E134:J134,"t")+COUNTIF($E134:J134,"¶")+COUNTIF($E134:J134,"²")+COUNTIF($E134:J134,"µ")+COUNTIF($E134:J134,1),ColLivraison)=K$6,
  VLOOKUP($E134,INDIRECT("tri!"&amp; CHAR(64+ C0Col) &amp;":"&amp; CHAR(65+C0Col)),2,FALSE)&gt;COUNTIF($E134:J134,"u")+COUNTIF($E134:J134,"t")+COUNTIF($E134:J134,"¶")+COUNTIF($E134:J134,"²")+COUNTIF($E134:J134,"µ")+COUNTIF($E134:J134,1)),
HYPERLINK("#Roadmap!C"&amp; MATCH($E134,Roadmap!$D:$D,0)+COUNTIF($E134:J134,"u")+COUNTIF($E134:J134,"t"),
     INDEX(Roadmap!$D:$K,MATCH($E134,Roadmap!$D:$D,0)+COUNTIF($E134:J134,"u")+COUNTIF($E134:J134,"t")+COUNTIF($E134:J134,"¶")+COUNTIF($E134:J134,"²")+COUNTIF($E134:J134,"µ")+COUNTIF($E134:J134,1),ColTypeEcheance)),
  IF(LEN(J134)=1,
  IF(LEN(INDEX(Roadmap!$D:$K,MATCH($E134,Roadmap!$D:$D,0)-1+COUNTIF($E134:J134,"u")+COUNTIF($E134:J134,"t")+COUNTIF($E134:J134,"¶")+COUNTIF($E134:J134,"²")+COUNTIF($E134:J134,"µ")+COUNTIF($E134:J134,1),ColDescriptionCourte))&gt;1,
HYPERLINK("#Roadmap!C"&amp; MATCH($E134,Roadmap!$D:$D,0)+COUNTIF($E134:J134,"u")+COUNTIF($E134:J134,"t")+COUNTIF($E134:J134,"¶")+COUNTIF($E134:J134,"²")+COUNTIF($E134:J134,"µ")+COUNTIF($E134:J134,1)-1,INDEX(Roadmap!$D:$K,MATCH($E134,Roadmap!$D:$D,0)-1+COUNTIF($E134:J134,"u")+COUNTIF($E134:J134,"t")+COUNTIF($E134:J134,"¶")+COUNTIF($E134:J134,"²")+COUNTIF($E134:J134,"µ")+COUNTIF($E134:J134,1),ColDescriptionCourte)),""),
  "")),"")</f>
        <v/>
      </c>
      <c r="L134" s="39" t="str">
        <f ca="1">IFERROR(IF(AND(
  INDEX(Roadmap!$D:$K,MATCH($E134,Roadmap!$D:$D,0)+COUNTIF($E134:K134,"u")+COUNTIF($E134:K134,"t")+COUNTIF($E134:K134,"¶")+COUNTIF($E134:K134,"²")+COUNTIF($E134:K134,"µ")+COUNTIF($E134:K134,1),ColLivraison)=L$6,
  VLOOKUP($E134,INDIRECT("tri!"&amp; CHAR(64+ C0Col) &amp;":"&amp; CHAR(65+C0Col)),2,FALSE)&gt;COUNTIF($E134:K134,"u")+COUNTIF($E134:K134,"t")+COUNTIF($E134:K134,"¶")+COUNTIF($E134:K134,"²")+COUNTIF($E134:K134,"µ")+COUNTIF($E134:K134,1)),
HYPERLINK("#Roadmap!C"&amp; MATCH($E134,Roadmap!$D:$D,0)+COUNTIF($E134:K134,"u")+COUNTIF($E134:K134,"t"),
     INDEX(Roadmap!$D:$K,MATCH($E134,Roadmap!$D:$D,0)+COUNTIF($E134:K134,"u")+COUNTIF($E134:K134,"t")+COUNTIF($E134:K134,"¶")+COUNTIF($E134:K134,"²")+COUNTIF($E134:K134,"µ")+COUNTIF($E134:K134,1),ColTypeEcheance)),
  IF(LEN(K134)=1,
  IF(LEN(INDEX(Roadmap!$D:$K,MATCH($E134,Roadmap!$D:$D,0)-1+COUNTIF($E134:K134,"u")+COUNTIF($E134:K134,"t")+COUNTIF($E134:K134,"¶")+COUNTIF($E134:K134,"²")+COUNTIF($E134:K134,"µ")+COUNTIF($E134:K134,1),ColDescriptionCourte))&gt;1,
HYPERLINK("#Roadmap!C"&amp; MATCH($E134,Roadmap!$D:$D,0)+COUNTIF($E134:K134,"u")+COUNTIF($E134:K134,"t")+COUNTIF($E134:K134,"¶")+COUNTIF($E134:K134,"²")+COUNTIF($E134:K134,"µ")+COUNTIF($E134:K134,1)-1,INDEX(Roadmap!$D:$K,MATCH($E134,Roadmap!$D:$D,0)-1+COUNTIF($E134:K134,"u")+COUNTIF($E134:K134,"t")+COUNTIF($E134:K134,"¶")+COUNTIF($E134:K134,"²")+COUNTIF($E134:K134,"µ")+COUNTIF($E134:K134,1),ColDescriptionCourte)),""),
  "")),"")</f>
        <v/>
      </c>
      <c r="M134" s="40" t="str">
        <f ca="1">IFERROR(IF(AND(
  INDEX(Roadmap!$D:$K,MATCH($E134,Roadmap!$D:$D,0)+COUNTIF($E134:L134,"u")+COUNTIF($E134:L134,"t")+COUNTIF($E134:L134,"¶")+COUNTIF($E134:L134,"²")+COUNTIF($E134:L134,"µ")+COUNTIF($E134:L134,1),ColLivraison)=M$6,
  VLOOKUP($E134,INDIRECT("tri!"&amp; CHAR(64+ C0Col) &amp;":"&amp; CHAR(65+C0Col)),2,FALSE)&gt;COUNTIF($E134:L134,"u")+COUNTIF($E134:L134,"t")+COUNTIF($E134:L134,"¶")+COUNTIF($E134:L134,"²")+COUNTIF($E134:L134,"µ")+COUNTIF($E134:L134,1)),
HYPERLINK("#Roadmap!C"&amp; MATCH($E134,Roadmap!$D:$D,0)+COUNTIF($E134:L134,"u")+COUNTIF($E134:L134,"t"),
     INDEX(Roadmap!$D:$K,MATCH($E134,Roadmap!$D:$D,0)+COUNTIF($E134:L134,"u")+COUNTIF($E134:L134,"t")+COUNTIF($E134:L134,"¶")+COUNTIF($E134:L134,"²")+COUNTIF($E134:L134,"µ")+COUNTIF($E134:L134,1),ColTypeEcheance)),
  IF(LEN(L134)=1,
  IF(LEN(INDEX(Roadmap!$D:$K,MATCH($E134,Roadmap!$D:$D,0)-1+COUNTIF($E134:L134,"u")+COUNTIF($E134:L134,"t")+COUNTIF($E134:L134,"¶")+COUNTIF($E134:L134,"²")+COUNTIF($E134:L134,"µ")+COUNTIF($E134:L134,1),ColDescriptionCourte))&gt;1,
HYPERLINK("#Roadmap!C"&amp; MATCH($E134,Roadmap!$D:$D,0)+COUNTIF($E134:L134,"u")+COUNTIF($E134:L134,"t")+COUNTIF($E134:L134,"¶")+COUNTIF($E134:L134,"²")+COUNTIF($E134:L134,"µ")+COUNTIF($E134:L134,1)-1,INDEX(Roadmap!$D:$K,MATCH($E134,Roadmap!$D:$D,0)-1+COUNTIF($E134:L134,"u")+COUNTIF($E134:L134,"t")+COUNTIF($E134:L134,"¶")+COUNTIF($E134:L134,"²")+COUNTIF($E134:L134,"µ")+COUNTIF($E134:L134,1),ColDescriptionCourte)),""),
  "")),"")</f>
        <v/>
      </c>
      <c r="N134" s="40" t="str">
        <f ca="1">IFERROR(IF(AND(
  INDEX(Roadmap!$D:$K,MATCH($E134,Roadmap!$D:$D,0)+COUNTIF($E134:M134,"u")+COUNTIF($E134:M134,"t")+COUNTIF($E134:M134,"¶")+COUNTIF($E134:M134,"²")+COUNTIF($E134:M134,"µ")+COUNTIF($E134:M134,1),ColLivraison)=N$6,
  VLOOKUP($E134,INDIRECT("tri!"&amp; CHAR(64+ C0Col) &amp;":"&amp; CHAR(65+C0Col)),2,FALSE)&gt;COUNTIF($E134:M134,"u")+COUNTIF($E134:M134,"t")+COUNTIF($E134:M134,"¶")+COUNTIF($E134:M134,"²")+COUNTIF($E134:M134,"µ")+COUNTIF($E134:M134,1)),
HYPERLINK("#Roadmap!C"&amp; MATCH($E134,Roadmap!$D:$D,0)+COUNTIF($E134:M134,"u")+COUNTIF($E134:M134,"t"),
     INDEX(Roadmap!$D:$K,MATCH($E134,Roadmap!$D:$D,0)+COUNTIF($E134:M134,"u")+COUNTIF($E134:M134,"t")+COUNTIF($E134:M134,"¶")+COUNTIF($E134:M134,"²")+COUNTIF($E134:M134,"µ")+COUNTIF($E134:M134,1),ColTypeEcheance)),
  IF(LEN(M134)=1,
  IF(LEN(INDEX(Roadmap!$D:$K,MATCH($E134,Roadmap!$D:$D,0)-1+COUNTIF($E134:M134,"u")+COUNTIF($E134:M134,"t")+COUNTIF($E134:M134,"¶")+COUNTIF($E134:M134,"²")+COUNTIF($E134:M134,"µ")+COUNTIF($E134:M134,1),ColDescriptionCourte))&gt;1,
HYPERLINK("#Roadmap!C"&amp; MATCH($E134,Roadmap!$D:$D,0)+COUNTIF($E134:M134,"u")+COUNTIF($E134:M134,"t")+COUNTIF($E134:M134,"¶")+COUNTIF($E134:M134,"²")+COUNTIF($E134:M134,"µ")+COUNTIF($E134:M134,1)-1,INDEX(Roadmap!$D:$K,MATCH($E134,Roadmap!$D:$D,0)-1+COUNTIF($E134:M134,"u")+COUNTIF($E134:M134,"t")+COUNTIF($E134:M134,"¶")+COUNTIF($E134:M134,"²")+COUNTIF($E134:M134,"µ")+COUNTIF($E134:M134,1),ColDescriptionCourte)),""),
  "")),"")</f>
        <v/>
      </c>
      <c r="O134" s="40" t="str">
        <f ca="1">IFERROR(IF(AND(
  INDEX(Roadmap!$D:$K,MATCH($E134,Roadmap!$D:$D,0)+COUNTIF($E134:N134,"u")+COUNTIF($E134:N134,"t")+COUNTIF($E134:N134,"¶")+COUNTIF($E134:N134,"²")+COUNTIF($E134:N134,"µ")+COUNTIF($E134:N134,1),ColLivraison)=O$6,
  VLOOKUP($E134,INDIRECT("tri!"&amp; CHAR(64+ C0Col) &amp;":"&amp; CHAR(65+C0Col)),2,FALSE)&gt;COUNTIF($E134:N134,"u")+COUNTIF($E134:N134,"t")+COUNTIF($E134:N134,"¶")+COUNTIF($E134:N134,"²")+COUNTIF($E134:N134,"µ")+COUNTIF($E134:N134,1)),
HYPERLINK("#Roadmap!C"&amp; MATCH($E134,Roadmap!$D:$D,0)+COUNTIF($E134:N134,"u")+COUNTIF($E134:N134,"t"),
     INDEX(Roadmap!$D:$K,MATCH($E134,Roadmap!$D:$D,0)+COUNTIF($E134:N134,"u")+COUNTIF($E134:N134,"t")+COUNTIF($E134:N134,"¶")+COUNTIF($E134:N134,"²")+COUNTIF($E134:N134,"µ")+COUNTIF($E134:N134,1),ColTypeEcheance)),
  IF(LEN(N134)=1,
  IF(LEN(INDEX(Roadmap!$D:$K,MATCH($E134,Roadmap!$D:$D,0)-1+COUNTIF($E134:N134,"u")+COUNTIF($E134:N134,"t")+COUNTIF($E134:N134,"¶")+COUNTIF($E134:N134,"²")+COUNTIF($E134:N134,"µ")+COUNTIF($E134:N134,1),ColDescriptionCourte))&gt;1,
HYPERLINK("#Roadmap!C"&amp; MATCH($E134,Roadmap!$D:$D,0)+COUNTIF($E134:N134,"u")+COUNTIF($E134:N134,"t")+COUNTIF($E134:N134,"¶")+COUNTIF($E134:N134,"²")+COUNTIF($E134:N134,"µ")+COUNTIF($E134:N134,1)-1,INDEX(Roadmap!$D:$K,MATCH($E134,Roadmap!$D:$D,0)-1+COUNTIF($E134:N134,"u")+COUNTIF($E134:N134,"t")+COUNTIF($E134:N134,"¶")+COUNTIF($E134:N134,"²")+COUNTIF($E134:N134,"µ")+COUNTIF($E134:N134,1),ColDescriptionCourte)),""),
  "")),"")</f>
        <v/>
      </c>
      <c r="P134" s="40" t="str">
        <f ca="1">IFERROR(IF(AND(
  INDEX(Roadmap!$D:$K,MATCH($E134,Roadmap!$D:$D,0)+COUNTIF($E134:O134,"u")+COUNTIF($E134:O134,"t")+COUNTIF($E134:O134,"¶")+COUNTIF($E134:O134,"²")+COUNTIF($E134:O134,"µ")+COUNTIF($E134:O134,1),ColLivraison)=P$6,
  VLOOKUP($E134,INDIRECT("tri!"&amp; CHAR(64+ C0Col) &amp;":"&amp; CHAR(65+C0Col)),2,FALSE)&gt;COUNTIF($E134:O134,"u")+COUNTIF($E134:O134,"t")+COUNTIF($E134:O134,"¶")+COUNTIF($E134:O134,"²")+COUNTIF($E134:O134,"µ")+COUNTIF($E134:O134,1)),
HYPERLINK("#Roadmap!C"&amp; MATCH($E134,Roadmap!$D:$D,0)+COUNTIF($E134:O134,"u")+COUNTIF($E134:O134,"t"),
     INDEX(Roadmap!$D:$K,MATCH($E134,Roadmap!$D:$D,0)+COUNTIF($E134:O134,"u")+COUNTIF($E134:O134,"t")+COUNTIF($E134:O134,"¶")+COUNTIF($E134:O134,"²")+COUNTIF($E134:O134,"µ")+COUNTIF($E134:O134,1),ColTypeEcheance)),
  IF(LEN(O134)=1,
  IF(LEN(INDEX(Roadmap!$D:$K,MATCH($E134,Roadmap!$D:$D,0)-1+COUNTIF($E134:O134,"u")+COUNTIF($E134:O134,"t")+COUNTIF($E134:O134,"¶")+COUNTIF($E134:O134,"²")+COUNTIF($E134:O134,"µ")+COUNTIF($E134:O134,1),ColDescriptionCourte))&gt;1,
HYPERLINK("#Roadmap!C"&amp; MATCH($E134,Roadmap!$D:$D,0)+COUNTIF($E134:O134,"u")+COUNTIF($E134:O134,"t")+COUNTIF($E134:O134,"¶")+COUNTIF($E134:O134,"²")+COUNTIF($E134:O134,"µ")+COUNTIF($E134:O134,1)-1,INDEX(Roadmap!$D:$K,MATCH($E134,Roadmap!$D:$D,0)-1+COUNTIF($E134:O134,"u")+COUNTIF($E134:O134,"t")+COUNTIF($E134:O134,"¶")+COUNTIF($E134:O134,"²")+COUNTIF($E134:O134,"µ")+COUNTIF($E134:O134,1),ColDescriptionCourte)),""),
  "")),"")</f>
        <v/>
      </c>
      <c r="Q134" s="40" t="str">
        <f ca="1">IFERROR(IF(AND(
  INDEX(Roadmap!$D:$K,MATCH($E134,Roadmap!$D:$D,0)+COUNTIF($E134:P134,"u")+COUNTIF($E134:P134,"t")+COUNTIF($E134:P134,"¶")+COUNTIF($E134:P134,"²")+COUNTIF($E134:P134,"µ")+COUNTIF($E134:P134,1),ColLivraison)=Q$6,
  VLOOKUP($E134,INDIRECT("tri!"&amp; CHAR(64+ C0Col) &amp;":"&amp; CHAR(65+C0Col)),2,FALSE)&gt;COUNTIF($E134:P134,"u")+COUNTIF($E134:P134,"t")+COUNTIF($E134:P134,"¶")+COUNTIF($E134:P134,"²")+COUNTIF($E134:P134,"µ")+COUNTIF($E134:P134,1)),
HYPERLINK("#Roadmap!C"&amp; MATCH($E134,Roadmap!$D:$D,0)+COUNTIF($E134:P134,"u")+COUNTIF($E134:P134,"t"),
     INDEX(Roadmap!$D:$K,MATCH($E134,Roadmap!$D:$D,0)+COUNTIF($E134:P134,"u")+COUNTIF($E134:P134,"t")+COUNTIF($E134:P134,"¶")+COUNTIF($E134:P134,"²")+COUNTIF($E134:P134,"µ")+COUNTIF($E134:P134,1),ColTypeEcheance)),
  IF(LEN(P134)=1,
  IF(LEN(INDEX(Roadmap!$D:$K,MATCH($E134,Roadmap!$D:$D,0)-1+COUNTIF($E134:P134,"u")+COUNTIF($E134:P134,"t")+COUNTIF($E134:P134,"¶")+COUNTIF($E134:P134,"²")+COUNTIF($E134:P134,"µ")+COUNTIF($E134:P134,1),ColDescriptionCourte))&gt;1,
HYPERLINK("#Roadmap!C"&amp; MATCH($E134,Roadmap!$D:$D,0)+COUNTIF($E134:P134,"u")+COUNTIF($E134:P134,"t")+COUNTIF($E134:P134,"¶")+COUNTIF($E134:P134,"²")+COUNTIF($E134:P134,"µ")+COUNTIF($E134:P134,1)-1,INDEX(Roadmap!$D:$K,MATCH($E134,Roadmap!$D:$D,0)-1+COUNTIF($E134:P134,"u")+COUNTIF($E134:P134,"t")+COUNTIF($E134:P134,"¶")+COUNTIF($E134:P134,"²")+COUNTIF($E134:P134,"µ")+COUNTIF($E134:P134,1),ColDescriptionCourte)),""),
  "")),"")</f>
        <v/>
      </c>
      <c r="R134" s="40" t="str">
        <f ca="1">IFERROR(IF(AND(
  INDEX(Roadmap!$D:$K,MATCH($E134,Roadmap!$D:$D,0)+COUNTIF($E134:Q134,"u")+COUNTIF($E134:Q134,"t")+COUNTIF($E134:Q134,"¶")+COUNTIF($E134:Q134,"²")+COUNTIF($E134:Q134,"µ")+COUNTIF($E134:Q134,1),ColLivraison)=R$6,
  VLOOKUP($E134,INDIRECT("tri!"&amp; CHAR(64+ C0Col) &amp;":"&amp; CHAR(65+C0Col)),2,FALSE)&gt;COUNTIF($E134:Q134,"u")+COUNTIF($E134:Q134,"t")+COUNTIF($E134:Q134,"¶")+COUNTIF($E134:Q134,"²")+COUNTIF($E134:Q134,"µ")+COUNTIF($E134:Q134,1)),
HYPERLINK("#Roadmap!C"&amp; MATCH($E134,Roadmap!$D:$D,0)+COUNTIF($E134:Q134,"u")+COUNTIF($E134:Q134,"t"),
     INDEX(Roadmap!$D:$K,MATCH($E134,Roadmap!$D:$D,0)+COUNTIF($E134:Q134,"u")+COUNTIF($E134:Q134,"t")+COUNTIF($E134:Q134,"¶")+COUNTIF($E134:Q134,"²")+COUNTIF($E134:Q134,"µ")+COUNTIF($E134:Q134,1),ColTypeEcheance)),
  IF(LEN(Q134)=1,
  IF(LEN(INDEX(Roadmap!$D:$K,MATCH($E134,Roadmap!$D:$D,0)-1+COUNTIF($E134:Q134,"u")+COUNTIF($E134:Q134,"t")+COUNTIF($E134:Q134,"¶")+COUNTIF($E134:Q134,"²")+COUNTIF($E134:Q134,"µ")+COUNTIF($E134:Q134,1),ColDescriptionCourte))&gt;1,
HYPERLINK("#Roadmap!C"&amp; MATCH($E134,Roadmap!$D:$D,0)+COUNTIF($E134:Q134,"u")+COUNTIF($E134:Q134,"t")+COUNTIF($E134:Q134,"¶")+COUNTIF($E134:Q134,"²")+COUNTIF($E134:Q134,"µ")+COUNTIF($E134:Q134,1)-1,INDEX(Roadmap!$D:$K,MATCH($E134,Roadmap!$D:$D,0)-1+COUNTIF($E134:Q134,"u")+COUNTIF($E134:Q134,"t")+COUNTIF($E134:Q134,"¶")+COUNTIF($E134:Q134,"²")+COUNTIF($E134:Q134,"µ")+COUNTIF($E134:Q134,1),ColDescriptionCourte)),""),
  "")),"")</f>
        <v/>
      </c>
      <c r="S134" s="40" t="str">
        <f ca="1">IFERROR(IF(AND(
  INDEX(Roadmap!$D:$K,MATCH($E134,Roadmap!$D:$D,0)+COUNTIF($E134:R134,"u")+COUNTIF($E134:R134,"t")+COUNTIF($E134:R134,"¶")+COUNTIF($E134:R134,"²")+COUNTIF($E134:R134,"µ")+COUNTIF($E134:R134,1),ColLivraison)=S$6,
  VLOOKUP($E134,INDIRECT("tri!"&amp; CHAR(64+ C0Col) &amp;":"&amp; CHAR(65+C0Col)),2,FALSE)&gt;COUNTIF($E134:R134,"u")+COUNTIF($E134:R134,"t")+COUNTIF($E134:R134,"¶")+COUNTIF($E134:R134,"²")+COUNTIF($E134:R134,"µ")+COUNTIF($E134:R134,1)),
HYPERLINK("#Roadmap!C"&amp; MATCH($E134,Roadmap!$D:$D,0)+COUNTIF($E134:R134,"u")+COUNTIF($E134:R134,"t"),
     INDEX(Roadmap!$D:$K,MATCH($E134,Roadmap!$D:$D,0)+COUNTIF($E134:R134,"u")+COUNTIF($E134:R134,"t")+COUNTIF($E134:R134,"¶")+COUNTIF($E134:R134,"²")+COUNTIF($E134:R134,"µ")+COUNTIF($E134:R134,1),ColTypeEcheance)),
  IF(LEN(R134)=1,
  IF(LEN(INDEX(Roadmap!$D:$K,MATCH($E134,Roadmap!$D:$D,0)-1+COUNTIF($E134:R134,"u")+COUNTIF($E134:R134,"t")+COUNTIF($E134:R134,"¶")+COUNTIF($E134:R134,"²")+COUNTIF($E134:R134,"µ")+COUNTIF($E134:R134,1),ColDescriptionCourte))&gt;1,
HYPERLINK("#Roadmap!C"&amp; MATCH($E134,Roadmap!$D:$D,0)+COUNTIF($E134:R134,"u")+COUNTIF($E134:R134,"t")+COUNTIF($E134:R134,"¶")+COUNTIF($E134:R134,"²")+COUNTIF($E134:R134,"µ")+COUNTIF($E134:R134,1)-1,INDEX(Roadmap!$D:$K,MATCH($E134,Roadmap!$D:$D,0)-1+COUNTIF($E134:R134,"u")+COUNTIF($E134:R134,"t")+COUNTIF($E134:R134,"¶")+COUNTIF($E134:R134,"²")+COUNTIF($E134:R134,"µ")+COUNTIF($E134:R134,1),ColDescriptionCourte)),""),
  "")),"")</f>
        <v/>
      </c>
      <c r="T134" s="40" t="str">
        <f ca="1">IFERROR(IF(AND(
  INDEX(Roadmap!$D:$K,MATCH($E134,Roadmap!$D:$D,0)+COUNTIF($E134:S134,"u")+COUNTIF($E134:S134,"t")+COUNTIF($E134:S134,"¶")+COUNTIF($E134:S134,"²")+COUNTIF($E134:S134,"µ")+COUNTIF($E134:S134,1),ColLivraison)=T$6,
  VLOOKUP($E134,INDIRECT("tri!"&amp; CHAR(64+ C0Col) &amp;":"&amp; CHAR(65+C0Col)),2,FALSE)&gt;COUNTIF($E134:S134,"u")+COUNTIF($E134:S134,"t")+COUNTIF($E134:S134,"¶")+COUNTIF($E134:S134,"²")+COUNTIF($E134:S134,"µ")+COUNTIF($E134:S134,1)),
HYPERLINK("#Roadmap!C"&amp; MATCH($E134,Roadmap!$D:$D,0)+COUNTIF($E134:S134,"u")+COUNTIF($E134:S134,"t"),
     INDEX(Roadmap!$D:$K,MATCH($E134,Roadmap!$D:$D,0)+COUNTIF($E134:S134,"u")+COUNTIF($E134:S134,"t")+COUNTIF($E134:S134,"¶")+COUNTIF($E134:S134,"²")+COUNTIF($E134:S134,"µ")+COUNTIF($E134:S134,1),ColTypeEcheance)),
  IF(LEN(S134)=1,
  IF(LEN(INDEX(Roadmap!$D:$K,MATCH($E134,Roadmap!$D:$D,0)-1+COUNTIF($E134:S134,"u")+COUNTIF($E134:S134,"t")+COUNTIF($E134:S134,"¶")+COUNTIF($E134:S134,"²")+COUNTIF($E134:S134,"µ")+COUNTIF($E134:S134,1),ColDescriptionCourte))&gt;1,
HYPERLINK("#Roadmap!C"&amp; MATCH($E134,Roadmap!$D:$D,0)+COUNTIF($E134:S134,"u")+COUNTIF($E134:S134,"t")+COUNTIF($E134:S134,"¶")+COUNTIF($E134:S134,"²")+COUNTIF($E134:S134,"µ")+COUNTIF($E134:S134,1)-1,INDEX(Roadmap!$D:$K,MATCH($E134,Roadmap!$D:$D,0)-1+COUNTIF($E134:S134,"u")+COUNTIF($E134:S134,"t")+COUNTIF($E134:S134,"¶")+COUNTIF($E134:S134,"²")+COUNTIF($E134:S134,"µ")+COUNTIF($E134:S134,1),ColDescriptionCourte)),""),
  "")),"")</f>
        <v/>
      </c>
      <c r="U134" s="40" t="str">
        <f ca="1">IFERROR(IF(AND(
  INDEX(Roadmap!$D:$K,MATCH($E134,Roadmap!$D:$D,0)+COUNTIF($E134:T134,"u")+COUNTIF($E134:T134,"t")+COUNTIF($E134:T134,"¶")+COUNTIF($E134:T134,"²")+COUNTIF($E134:T134,"µ")+COUNTIF($E134:T134,1),ColLivraison)=U$6,
  VLOOKUP($E134,INDIRECT("tri!"&amp; CHAR(64+ C0Col) &amp;":"&amp; CHAR(65+C0Col)),2,FALSE)&gt;COUNTIF($E134:T134,"u")+COUNTIF($E134:T134,"t")+COUNTIF($E134:T134,"¶")+COUNTIF($E134:T134,"²")+COUNTIF($E134:T134,"µ")+COUNTIF($E134:T134,1)),
HYPERLINK("#Roadmap!C"&amp; MATCH($E134,Roadmap!$D:$D,0)+COUNTIF($E134:T134,"u")+COUNTIF($E134:T134,"t"),
     INDEX(Roadmap!$D:$K,MATCH($E134,Roadmap!$D:$D,0)+COUNTIF($E134:T134,"u")+COUNTIF($E134:T134,"t")+COUNTIF($E134:T134,"¶")+COUNTIF($E134:T134,"²")+COUNTIF($E134:T134,"µ")+COUNTIF($E134:T134,1),ColTypeEcheance)),
  IF(LEN(T134)=1,
  IF(LEN(INDEX(Roadmap!$D:$K,MATCH($E134,Roadmap!$D:$D,0)-1+COUNTIF($E134:T134,"u")+COUNTIF($E134:T134,"t")+COUNTIF($E134:T134,"¶")+COUNTIF($E134:T134,"²")+COUNTIF($E134:T134,"µ")+COUNTIF($E134:T134,1),ColDescriptionCourte))&gt;1,
HYPERLINK("#Roadmap!C"&amp; MATCH($E134,Roadmap!$D:$D,0)+COUNTIF($E134:T134,"u")+COUNTIF($E134:T134,"t")+COUNTIF($E134:T134,"¶")+COUNTIF($E134:T134,"²")+COUNTIF($E134:T134,"µ")+COUNTIF($E134:T134,1)-1,INDEX(Roadmap!$D:$K,MATCH($E134,Roadmap!$D:$D,0)-1+COUNTIF($E134:T134,"u")+COUNTIF($E134:T134,"t")+COUNTIF($E134:T134,"¶")+COUNTIF($E134:T134,"²")+COUNTIF($E134:T134,"µ")+COUNTIF($E134:T134,1),ColDescriptionCourte)),""),
  "")),"")</f>
        <v/>
      </c>
      <c r="V134" s="40" t="str">
        <f ca="1">IFERROR(IF(AND(
  INDEX(Roadmap!$D:$K,MATCH($E134,Roadmap!$D:$D,0)+COUNTIF($E134:U134,"u")+COUNTIF($E134:U134,"t")+COUNTIF($E134:U134,"¶")+COUNTIF($E134:U134,"²")+COUNTIF($E134:U134,"µ")+COUNTIF($E134:U134,1),ColLivraison)=V$6,
  VLOOKUP($E134,INDIRECT("tri!"&amp; CHAR(64+ C0Col) &amp;":"&amp; CHAR(65+C0Col)),2,FALSE)&gt;COUNTIF($E134:U134,"u")+COUNTIF($E134:U134,"t")+COUNTIF($E134:U134,"¶")+COUNTIF($E134:U134,"²")+COUNTIF($E134:U134,"µ")+COUNTIF($E134:U134,1)),
HYPERLINK("#Roadmap!C"&amp; MATCH($E134,Roadmap!$D:$D,0)+COUNTIF($E134:U134,"u")+COUNTIF($E134:U134,"t"),
     INDEX(Roadmap!$D:$K,MATCH($E134,Roadmap!$D:$D,0)+COUNTIF($E134:U134,"u")+COUNTIF($E134:U134,"t")+COUNTIF($E134:U134,"¶")+COUNTIF($E134:U134,"²")+COUNTIF($E134:U134,"µ")+COUNTIF($E134:U134,1),ColTypeEcheance)),
  IF(LEN(U134)=1,
  IF(LEN(INDEX(Roadmap!$D:$K,MATCH($E134,Roadmap!$D:$D,0)-1+COUNTIF($E134:U134,"u")+COUNTIF($E134:U134,"t")+COUNTIF($E134:U134,"¶")+COUNTIF($E134:U134,"²")+COUNTIF($E134:U134,"µ")+COUNTIF($E134:U134,1),ColDescriptionCourte))&gt;1,
HYPERLINK("#Roadmap!C"&amp; MATCH($E134,Roadmap!$D:$D,0)+COUNTIF($E134:U134,"u")+COUNTIF($E134:U134,"t")+COUNTIF($E134:U134,"¶")+COUNTIF($E134:U134,"²")+COUNTIF($E134:U134,"µ")+COUNTIF($E134:U134,1)-1,INDEX(Roadmap!$D:$K,MATCH($E134,Roadmap!$D:$D,0)-1+COUNTIF($E134:U134,"u")+COUNTIF($E134:U134,"t")+COUNTIF($E134:U134,"¶")+COUNTIF($E134:U134,"²")+COUNTIF($E134:U134,"µ")+COUNTIF($E134:U134,1),ColDescriptionCourte)),""),
  "")),"")</f>
        <v/>
      </c>
      <c r="W134" s="40" t="str">
        <f ca="1">IFERROR(IF(AND(
  INDEX(Roadmap!$D:$K,MATCH($E134,Roadmap!$D:$D,0)+COUNTIF($E134:V134,"u")+COUNTIF($E134:V134,"t")+COUNTIF($E134:V134,"¶")+COUNTIF($E134:V134,"²")+COUNTIF($E134:V134,"µ")+COUNTIF($E134:V134,1),ColLivraison)=W$6,
  VLOOKUP($E134,INDIRECT("tri!"&amp; CHAR(64+ C0Col) &amp;":"&amp; CHAR(65+C0Col)),2,FALSE)&gt;COUNTIF($E134:V134,"u")+COUNTIF($E134:V134,"t")+COUNTIF($E134:V134,"¶")+COUNTIF($E134:V134,"²")+COUNTIF($E134:V134,"µ")+COUNTIF($E134:V134,1)),
HYPERLINK("#Roadmap!C"&amp; MATCH($E134,Roadmap!$D:$D,0)+COUNTIF($E134:V134,"u")+COUNTIF($E134:V134,"t"),
     INDEX(Roadmap!$D:$K,MATCH($E134,Roadmap!$D:$D,0)+COUNTIF($E134:V134,"u")+COUNTIF($E134:V134,"t")+COUNTIF($E134:V134,"¶")+COUNTIF($E134:V134,"²")+COUNTIF($E134:V134,"µ")+COUNTIF($E134:V134,1),ColTypeEcheance)),
  IF(LEN(V134)=1,
  IF(LEN(INDEX(Roadmap!$D:$K,MATCH($E134,Roadmap!$D:$D,0)-1+COUNTIF($E134:V134,"u")+COUNTIF($E134:V134,"t")+COUNTIF($E134:V134,"¶")+COUNTIF($E134:V134,"²")+COUNTIF($E134:V134,"µ")+COUNTIF($E134:V134,1),ColDescriptionCourte))&gt;1,
HYPERLINK("#Roadmap!C"&amp; MATCH($E134,Roadmap!$D:$D,0)+COUNTIF($E134:V134,"u")+COUNTIF($E134:V134,"t")+COUNTIF($E134:V134,"¶")+COUNTIF($E134:V134,"²")+COUNTIF($E134:V134,"µ")+COUNTIF($E134:V134,1)-1,INDEX(Roadmap!$D:$K,MATCH($E134,Roadmap!$D:$D,0)-1+COUNTIF($E134:V134,"u")+COUNTIF($E134:V134,"t")+COUNTIF($E134:V134,"¶")+COUNTIF($E134:V134,"²")+COUNTIF($E134:V134,"µ")+COUNTIF($E134:V134,1),ColDescriptionCourte)),""),
  "")),"")</f>
        <v/>
      </c>
      <c r="X134" s="40" t="str">
        <f ca="1">IFERROR(IF(AND(
  INDEX(Roadmap!$D:$K,MATCH($E134,Roadmap!$D:$D,0)+COUNTIF($E134:W134,"u")+COUNTIF($E134:W134,"t")+COUNTIF($E134:W134,"¶")+COUNTIF($E134:W134,"²")+COUNTIF($E134:W134,"µ")+COUNTIF($E134:W134,1),ColLivraison)=X$6,
  VLOOKUP($E134,INDIRECT("tri!"&amp; CHAR(64+ C0Col) &amp;":"&amp; CHAR(65+C0Col)),2,FALSE)&gt;COUNTIF($E134:W134,"u")+COUNTIF($E134:W134,"t")+COUNTIF($E134:W134,"¶")+COUNTIF($E134:W134,"²")+COUNTIF($E134:W134,"µ")+COUNTIF($E134:W134,1)),
HYPERLINK("#Roadmap!C"&amp; MATCH($E134,Roadmap!$D:$D,0)+COUNTIF($E134:W134,"u")+COUNTIF($E134:W134,"t"),
     INDEX(Roadmap!$D:$K,MATCH($E134,Roadmap!$D:$D,0)+COUNTIF($E134:W134,"u")+COUNTIF($E134:W134,"t")+COUNTIF($E134:W134,"¶")+COUNTIF($E134:W134,"²")+COUNTIF($E134:W134,"µ")+COUNTIF($E134:W134,1),ColTypeEcheance)),
  IF(LEN(W134)=1,
  IF(LEN(INDEX(Roadmap!$D:$K,MATCH($E134,Roadmap!$D:$D,0)-1+COUNTIF($E134:W134,"u")+COUNTIF($E134:W134,"t")+COUNTIF($E134:W134,"¶")+COUNTIF($E134:W134,"²")+COUNTIF($E134:W134,"µ")+COUNTIF($E134:W134,1),ColDescriptionCourte))&gt;1,
HYPERLINK("#Roadmap!C"&amp; MATCH($E134,Roadmap!$D:$D,0)+COUNTIF($E134:W134,"u")+COUNTIF($E134:W134,"t")+COUNTIF($E134:W134,"¶")+COUNTIF($E134:W134,"²")+COUNTIF($E134:W134,"µ")+COUNTIF($E134:W134,1)-1,INDEX(Roadmap!$D:$K,MATCH($E134,Roadmap!$D:$D,0)-1+COUNTIF($E134:W134,"u")+COUNTIF($E134:W134,"t")+COUNTIF($E134:W134,"¶")+COUNTIF($E134:W134,"²")+COUNTIF($E134:W134,"µ")+COUNTIF($E134:W134,1),ColDescriptionCourte)),""),
  "")),"")</f>
        <v/>
      </c>
      <c r="Y134" s="40" t="str">
        <f ca="1">IFERROR(IF(AND(
  INDEX(Roadmap!$D:$K,MATCH($E134,Roadmap!$D:$D,0)+COUNTIF($E134:X134,"u")+COUNTIF($E134:X134,"t")+COUNTIF($E134:X134,"¶")+COUNTIF($E134:X134,"²")+COUNTIF($E134:X134,"µ")+COUNTIF($E134:X134,1),ColLivraison)=Y$6,
  VLOOKUP($E134,INDIRECT("tri!"&amp; CHAR(64+ C0Col) &amp;":"&amp; CHAR(65+C0Col)),2,FALSE)&gt;COUNTIF($E134:X134,"u")+COUNTIF($E134:X134,"t")+COUNTIF($E134:X134,"¶")+COUNTIF($E134:X134,"²")+COUNTIF($E134:X134,"µ")+COUNTIF($E134:X134,1)),
HYPERLINK("#Roadmap!C"&amp; MATCH($E134,Roadmap!$D:$D,0)+COUNTIF($E134:X134,"u")+COUNTIF($E134:X134,"t"),
     INDEX(Roadmap!$D:$K,MATCH($E134,Roadmap!$D:$D,0)+COUNTIF($E134:X134,"u")+COUNTIF($E134:X134,"t")+COUNTIF($E134:X134,"¶")+COUNTIF($E134:X134,"²")+COUNTIF($E134:X134,"µ")+COUNTIF($E134:X134,1),ColTypeEcheance)),
  IF(LEN(X134)=1,
  IF(LEN(INDEX(Roadmap!$D:$K,MATCH($E134,Roadmap!$D:$D,0)-1+COUNTIF($E134:X134,"u")+COUNTIF($E134:X134,"t")+COUNTIF($E134:X134,"¶")+COUNTIF($E134:X134,"²")+COUNTIF($E134:X134,"µ")+COUNTIF($E134:X134,1),ColDescriptionCourte))&gt;1,
HYPERLINK("#Roadmap!C"&amp; MATCH($E134,Roadmap!$D:$D,0)+COUNTIF($E134:X134,"u")+COUNTIF($E134:X134,"t")+COUNTIF($E134:X134,"¶")+COUNTIF($E134:X134,"²")+COUNTIF($E134:X134,"µ")+COUNTIF($E134:X134,1)-1,INDEX(Roadmap!$D:$K,MATCH($E134,Roadmap!$D:$D,0)-1+COUNTIF($E134:X134,"u")+COUNTIF($E134:X134,"t")+COUNTIF($E134:X134,"¶")+COUNTIF($E134:X134,"²")+COUNTIF($E134:X134,"µ")+COUNTIF($E134:X134,1),ColDescriptionCourte)),""),
  "")),"")</f>
        <v/>
      </c>
      <c r="Z134" s="40" t="str">
        <f ca="1">IFERROR(IF(AND(
  INDEX(Roadmap!$D:$K,MATCH($E134,Roadmap!$D:$D,0)+COUNTIF($E134:Y134,"u")+COUNTIF($E134:Y134,"t")+COUNTIF($E134:Y134,"¶")+COUNTIF($E134:Y134,"²")+COUNTIF($E134:Y134,"µ")+COUNTIF($E134:Y134,1),ColLivraison)=Z$6,
  VLOOKUP($E134,INDIRECT("tri!"&amp; CHAR(64+ C0Col) &amp;":"&amp; CHAR(65+C0Col)),2,FALSE)&gt;COUNTIF($E134:Y134,"u")+COUNTIF($E134:Y134,"t")+COUNTIF($E134:Y134,"¶")+COUNTIF($E134:Y134,"²")+COUNTIF($E134:Y134,"µ")+COUNTIF($E134:Y134,1)),
HYPERLINK("#Roadmap!C"&amp; MATCH($E134,Roadmap!$D:$D,0)+COUNTIF($E134:Y134,"u")+COUNTIF($E134:Y134,"t"),
     INDEX(Roadmap!$D:$K,MATCH($E134,Roadmap!$D:$D,0)+COUNTIF($E134:Y134,"u")+COUNTIF($E134:Y134,"t")+COUNTIF($E134:Y134,"¶")+COUNTIF($E134:Y134,"²")+COUNTIF($E134:Y134,"µ")+COUNTIF($E134:Y134,1),ColTypeEcheance)),
  IF(LEN(Y134)=1,
  IF(LEN(INDEX(Roadmap!$D:$K,MATCH($E134,Roadmap!$D:$D,0)-1+COUNTIF($E134:Y134,"u")+COUNTIF($E134:Y134,"t")+COUNTIF($E134:Y134,"¶")+COUNTIF($E134:Y134,"²")+COUNTIF($E134:Y134,"µ")+COUNTIF($E134:Y134,1),ColDescriptionCourte))&gt;1,
HYPERLINK("#Roadmap!C"&amp; MATCH($E134,Roadmap!$D:$D,0)+COUNTIF($E134:Y134,"u")+COUNTIF($E134:Y134,"t")+COUNTIF($E134:Y134,"¶")+COUNTIF($E134:Y134,"²")+COUNTIF($E134:Y134,"µ")+COUNTIF($E134:Y134,1)-1,INDEX(Roadmap!$D:$K,MATCH($E134,Roadmap!$D:$D,0)-1+COUNTIF($E134:Y134,"u")+COUNTIF($E134:Y134,"t")+COUNTIF($E134:Y134,"¶")+COUNTIF($E134:Y134,"²")+COUNTIF($E134:Y134,"µ")+COUNTIF($E134:Y134,1),ColDescriptionCourte)),""),
  "")),"")</f>
        <v/>
      </c>
      <c r="AA134" s="40" t="str">
        <f ca="1">IFERROR(IF(AND(
  INDEX(Roadmap!$D:$K,MATCH($E134,Roadmap!$D:$D,0)+COUNTIF($E134:Z134,"u")+COUNTIF($E134:Z134,"t")+COUNTIF($E134:Z134,"¶")+COUNTIF($E134:Z134,"²")+COUNTIF($E134:Z134,"µ")+COUNTIF($E134:Z134,1),ColLivraison)=AA$6,
  VLOOKUP($E134,INDIRECT("tri!"&amp; CHAR(64+ C0Col) &amp;":"&amp; CHAR(65+C0Col)),2,FALSE)&gt;COUNTIF($E134:Z134,"u")+COUNTIF($E134:Z134,"t")+COUNTIF($E134:Z134,"¶")+COUNTIF($E134:Z134,"²")+COUNTIF($E134:Z134,"µ")+COUNTIF($E134:Z134,1)),
HYPERLINK("#Roadmap!C"&amp; MATCH($E134,Roadmap!$D:$D,0)+COUNTIF($E134:Z134,"u")+COUNTIF($E134:Z134,"t"),
     INDEX(Roadmap!$D:$K,MATCH($E134,Roadmap!$D:$D,0)+COUNTIF($E134:Z134,"u")+COUNTIF($E134:Z134,"t")+COUNTIF($E134:Z134,"¶")+COUNTIF($E134:Z134,"²")+COUNTIF($E134:Z134,"µ")+COUNTIF($E134:Z134,1),ColTypeEcheance)),
  IF(LEN(Z134)=1,
  IF(LEN(INDEX(Roadmap!$D:$K,MATCH($E134,Roadmap!$D:$D,0)-1+COUNTIF($E134:Z134,"u")+COUNTIF($E134:Z134,"t")+COUNTIF($E134:Z134,"¶")+COUNTIF($E134:Z134,"²")+COUNTIF($E134:Z134,"µ")+COUNTIF($E134:Z134,1),ColDescriptionCourte))&gt;1,
HYPERLINK("#Roadmap!C"&amp; MATCH($E134,Roadmap!$D:$D,0)+COUNTIF($E134:Z134,"u")+COUNTIF($E134:Z134,"t")+COUNTIF($E134:Z134,"¶")+COUNTIF($E134:Z134,"²")+COUNTIF($E134:Z134,"µ")+COUNTIF($E134:Z134,1)-1,INDEX(Roadmap!$D:$K,MATCH($E134,Roadmap!$D:$D,0)-1+COUNTIF($E134:Z134,"u")+COUNTIF($E134:Z134,"t")+COUNTIF($E134:Z134,"¶")+COUNTIF($E134:Z134,"²")+COUNTIF($E134:Z134,"µ")+COUNTIF($E134:Z134,1),ColDescriptionCourte)),""),
  "")),"")</f>
        <v/>
      </c>
      <c r="AB134" s="40" t="str">
        <f ca="1">IFERROR(IF(AND(
  INDEX(Roadmap!$D:$K,MATCH($E134,Roadmap!$D:$D,0)+COUNTIF($E134:AA134,"u")+COUNTIF($E134:AA134,"t")+COUNTIF($E134:AA134,"¶")+COUNTIF($E134:AA134,"²")+COUNTIF($E134:AA134,"µ")+COUNTIF($E134:AA134,1),ColLivraison)=AB$6,
  VLOOKUP($E134,INDIRECT("tri!"&amp; CHAR(64+ C0Col) &amp;":"&amp; CHAR(65+C0Col)),2,FALSE)&gt;COUNTIF($E134:AA134,"u")+COUNTIF($E134:AA134,"t")+COUNTIF($E134:AA134,"¶")+COUNTIF($E134:AA134,"²")+COUNTIF($E134:AA134,"µ")+COUNTIF($E134:AA134,1)),
HYPERLINK("#Roadmap!C"&amp; MATCH($E134,Roadmap!$D:$D,0)+COUNTIF($E134:AA134,"u")+COUNTIF($E134:AA134,"t"),
     INDEX(Roadmap!$D:$K,MATCH($E134,Roadmap!$D:$D,0)+COUNTIF($E134:AA134,"u")+COUNTIF($E134:AA134,"t")+COUNTIF($E134:AA134,"¶")+COUNTIF($E134:AA134,"²")+COUNTIF($E134:AA134,"µ")+COUNTIF($E134:AA134,1),ColTypeEcheance)),
  IF(LEN(AA134)=1,
  IF(LEN(INDEX(Roadmap!$D:$K,MATCH($E134,Roadmap!$D:$D,0)-1+COUNTIF($E134:AA134,"u")+COUNTIF($E134:AA134,"t")+COUNTIF($E134:AA134,"¶")+COUNTIF($E134:AA134,"²")+COUNTIF($E134:AA134,"µ")+COUNTIF($E134:AA134,1),ColDescriptionCourte))&gt;1,
HYPERLINK("#Roadmap!C"&amp; MATCH($E134,Roadmap!$D:$D,0)+COUNTIF($E134:AA134,"u")+COUNTIF($E134:AA134,"t")+COUNTIF($E134:AA134,"¶")+COUNTIF($E134:AA134,"²")+COUNTIF($E134:AA134,"µ")+COUNTIF($E134:AA134,1)-1,INDEX(Roadmap!$D:$K,MATCH($E134,Roadmap!$D:$D,0)-1+COUNTIF($E134:AA134,"u")+COUNTIF($E134:AA134,"t")+COUNTIF($E134:AA134,"¶")+COUNTIF($E134:AA134,"²")+COUNTIF($E134:AA134,"µ")+COUNTIF($E134:AA134,1),ColDescriptionCourte)),""),
  "")),"")</f>
        <v/>
      </c>
      <c r="AC134" s="40" t="str">
        <f ca="1">IFERROR(IF(AND(
  INDEX(Roadmap!$D:$K,MATCH($E134,Roadmap!$D:$D,0)+COUNTIF($E134:AB134,"u")+COUNTIF($E134:AB134,"t")+COUNTIF($E134:AB134,"¶")+COUNTIF($E134:AB134,"²")+COUNTIF($E134:AB134,"µ")+COUNTIF($E134:AB134,1),ColLivraison)=AC$6,
  VLOOKUP($E134,INDIRECT("tri!"&amp; CHAR(64+ C0Col) &amp;":"&amp; CHAR(65+C0Col)),2,FALSE)&gt;COUNTIF($E134:AB134,"u")+COUNTIF($E134:AB134,"t")+COUNTIF($E134:AB134,"¶")+COUNTIF($E134:AB134,"²")+COUNTIF($E134:AB134,"µ")+COUNTIF($E134:AB134,1)),
HYPERLINK("#Roadmap!C"&amp; MATCH($E134,Roadmap!$D:$D,0)+COUNTIF($E134:AB134,"u")+COUNTIF($E134:AB134,"t"),
     INDEX(Roadmap!$D:$K,MATCH($E134,Roadmap!$D:$D,0)+COUNTIF($E134:AB134,"u")+COUNTIF($E134:AB134,"t")+COUNTIF($E134:AB134,"¶")+COUNTIF($E134:AB134,"²")+COUNTIF($E134:AB134,"µ")+COUNTIF($E134:AB134,1),ColTypeEcheance)),
  IF(LEN(AB134)=1,
  IF(LEN(INDEX(Roadmap!$D:$K,MATCH($E134,Roadmap!$D:$D,0)-1+COUNTIF($E134:AB134,"u")+COUNTIF($E134:AB134,"t")+COUNTIF($E134:AB134,"¶")+COUNTIF($E134:AB134,"²")+COUNTIF($E134:AB134,"µ")+COUNTIF($E134:AB134,1),ColDescriptionCourte))&gt;1,
HYPERLINK("#Roadmap!C"&amp; MATCH($E134,Roadmap!$D:$D,0)+COUNTIF($E134:AB134,"u")+COUNTIF($E134:AB134,"t")+COUNTIF($E134:AB134,"¶")+COUNTIF($E134:AB134,"²")+COUNTIF($E134:AB134,"µ")+COUNTIF($E134:AB134,1)-1,INDEX(Roadmap!$D:$K,MATCH($E134,Roadmap!$D:$D,0)-1+COUNTIF($E134:AB134,"u")+COUNTIF($E134:AB134,"t")+COUNTIF($E134:AB134,"¶")+COUNTIF($E134:AB134,"²")+COUNTIF($E134:AB134,"µ")+COUNTIF($E134:AB134,1),ColDescriptionCourte)),""),
  "")),"")</f>
        <v/>
      </c>
      <c r="AD134" s="40" t="str">
        <f ca="1">IFERROR(IF(AND(
  INDEX(Roadmap!$D:$K,MATCH($E134,Roadmap!$D:$D,0)+COUNTIF($E134:AC134,"u")+COUNTIF($E134:AC134,"t")+COUNTIF($E134:AC134,"¶")+COUNTIF($E134:AC134,"²")+COUNTIF($E134:AC134,"µ")+COUNTIF($E134:AC134,1),ColLivraison)=AD$6,
  VLOOKUP($E134,INDIRECT("tri!"&amp; CHAR(64+ C0Col) &amp;":"&amp; CHAR(65+C0Col)),2,FALSE)&gt;COUNTIF($E134:AC134,"u")+COUNTIF($E134:AC134,"t")+COUNTIF($E134:AC134,"¶")+COUNTIF($E134:AC134,"²")+COUNTIF($E134:AC134,"µ")+COUNTIF($E134:AC134,1)),
HYPERLINK("#Roadmap!C"&amp; MATCH($E134,Roadmap!$D:$D,0)+COUNTIF($E134:AC134,"u")+COUNTIF($E134:AC134,"t"),
     INDEX(Roadmap!$D:$K,MATCH($E134,Roadmap!$D:$D,0)+COUNTIF($E134:AC134,"u")+COUNTIF($E134:AC134,"t")+COUNTIF($E134:AC134,"¶")+COUNTIF($E134:AC134,"²")+COUNTIF($E134:AC134,"µ")+COUNTIF($E134:AC134,1),ColTypeEcheance)),
  IF(LEN(AC134)=1,
  IF(LEN(INDEX(Roadmap!$D:$K,MATCH($E134,Roadmap!$D:$D,0)-1+COUNTIF($E134:AC134,"u")+COUNTIF($E134:AC134,"t")+COUNTIF($E134:AC134,"¶")+COUNTIF($E134:AC134,"²")+COUNTIF($E134:AC134,"µ")+COUNTIF($E134:AC134,1),ColDescriptionCourte))&gt;1,
HYPERLINK("#Roadmap!C"&amp; MATCH($E134,Roadmap!$D:$D,0)+COUNTIF($E134:AC134,"u")+COUNTIF($E134:AC134,"t")+COUNTIF($E134:AC134,"¶")+COUNTIF($E134:AC134,"²")+COUNTIF($E134:AC134,"µ")+COUNTIF($E134:AC134,1)-1,INDEX(Roadmap!$D:$K,MATCH($E134,Roadmap!$D:$D,0)-1+COUNTIF($E134:AC134,"u")+COUNTIF($E134:AC134,"t")+COUNTIF($E134:AC134,"¶")+COUNTIF($E134:AC134,"²")+COUNTIF($E134:AC134,"µ")+COUNTIF($E134:AC134,1),ColDescriptionCourte)),""),
  "")),"")</f>
        <v/>
      </c>
      <c r="AE134" s="40" t="str">
        <f ca="1">IFERROR(IF(AND(
  INDEX(Roadmap!$D:$K,MATCH($E134,Roadmap!$D:$D,0)+COUNTIF($E134:AD134,"u")+COUNTIF($E134:AD134,"t")+COUNTIF($E134:AD134,"¶")+COUNTIF($E134:AD134,"²")+COUNTIF($E134:AD134,"µ")+COUNTIF($E134:AD134,1),ColLivraison)=AE$6,
  VLOOKUP($E134,INDIRECT("tri!"&amp; CHAR(64+ C0Col) &amp;":"&amp; CHAR(65+C0Col)),2,FALSE)&gt;COUNTIF($E134:AD134,"u")+COUNTIF($E134:AD134,"t")+COUNTIF($E134:AD134,"¶")+COUNTIF($E134:AD134,"²")+COUNTIF($E134:AD134,"µ")+COUNTIF($E134:AD134,1)),
HYPERLINK("#Roadmap!C"&amp; MATCH($E134,Roadmap!$D:$D,0)+COUNTIF($E134:AD134,"u")+COUNTIF($E134:AD134,"t"),
     INDEX(Roadmap!$D:$K,MATCH($E134,Roadmap!$D:$D,0)+COUNTIF($E134:AD134,"u")+COUNTIF($E134:AD134,"t")+COUNTIF($E134:AD134,"¶")+COUNTIF($E134:AD134,"²")+COUNTIF($E134:AD134,"µ")+COUNTIF($E134:AD134,1),ColTypeEcheance)),
  IF(LEN(AD134)=1,
  IF(LEN(INDEX(Roadmap!$D:$K,MATCH($E134,Roadmap!$D:$D,0)-1+COUNTIF($E134:AD134,"u")+COUNTIF($E134:AD134,"t")+COUNTIF($E134:AD134,"¶")+COUNTIF($E134:AD134,"²")+COUNTIF($E134:AD134,"µ")+COUNTIF($E134:AD134,1),ColDescriptionCourte))&gt;1,
HYPERLINK("#Roadmap!C"&amp; MATCH($E134,Roadmap!$D:$D,0)+COUNTIF($E134:AD134,"u")+COUNTIF($E134:AD134,"t")+COUNTIF($E134:AD134,"¶")+COUNTIF($E134:AD134,"²")+COUNTIF($E134:AD134,"µ")+COUNTIF($E134:AD134,1)-1,INDEX(Roadmap!$D:$K,MATCH($E134,Roadmap!$D:$D,0)-1+COUNTIF($E134:AD134,"u")+COUNTIF($E134:AD134,"t")+COUNTIF($E134:AD134,"¶")+COUNTIF($E134:AD134,"²")+COUNTIF($E134:AD134,"µ")+COUNTIF($E134:AD134,1),ColDescriptionCourte)),""),
  "")),"")</f>
        <v/>
      </c>
      <c r="AF134" s="40" t="str">
        <f ca="1">IFERROR(IF(AND(
  INDEX(Roadmap!$D:$K,MATCH($E134,Roadmap!$D:$D,0)+COUNTIF($E134:AE134,"u")+COUNTIF($E134:AE134,"t")+COUNTIF($E134:AE134,"¶")+COUNTIF($E134:AE134,"²")+COUNTIF($E134:AE134,"µ")+COUNTIF($E134:AE134,1),ColLivraison)=AF$6,
  VLOOKUP($E134,INDIRECT("tri!"&amp; CHAR(64+ C0Col) &amp;":"&amp; CHAR(65+C0Col)),2,FALSE)&gt;COUNTIF($E134:AE134,"u")+COUNTIF($E134:AE134,"t")+COUNTIF($E134:AE134,"¶")+COUNTIF($E134:AE134,"²")+COUNTIF($E134:AE134,"µ")+COUNTIF($E134:AE134,1)),
HYPERLINK("#Roadmap!C"&amp; MATCH($E134,Roadmap!$D:$D,0)+COUNTIF($E134:AE134,"u")+COUNTIF($E134:AE134,"t"),
     INDEX(Roadmap!$D:$K,MATCH($E134,Roadmap!$D:$D,0)+COUNTIF($E134:AE134,"u")+COUNTIF($E134:AE134,"t")+COUNTIF($E134:AE134,"¶")+COUNTIF($E134:AE134,"²")+COUNTIF($E134:AE134,"µ")+COUNTIF($E134:AE134,1),ColTypeEcheance)),
  IF(LEN(AE134)=1,
  IF(LEN(INDEX(Roadmap!$D:$K,MATCH($E134,Roadmap!$D:$D,0)-1+COUNTIF($E134:AE134,"u")+COUNTIF($E134:AE134,"t")+COUNTIF($E134:AE134,"¶")+COUNTIF($E134:AE134,"²")+COUNTIF($E134:AE134,"µ")+COUNTIF($E134:AE134,1),ColDescriptionCourte))&gt;1,
HYPERLINK("#Roadmap!C"&amp; MATCH($E134,Roadmap!$D:$D,0)+COUNTIF($E134:AE134,"u")+COUNTIF($E134:AE134,"t")+COUNTIF($E134:AE134,"¶")+COUNTIF($E134:AE134,"²")+COUNTIF($E134:AE134,"µ")+COUNTIF($E134:AE134,1)-1,INDEX(Roadmap!$D:$K,MATCH($E134,Roadmap!$D:$D,0)-1+COUNTIF($E134:AE134,"u")+COUNTIF($E134:AE134,"t")+COUNTIF($E134:AE134,"¶")+COUNTIF($E134:AE134,"²")+COUNTIF($E134:AE134,"µ")+COUNTIF($E134:AE134,1),ColDescriptionCourte)),""),
  "")),"")</f>
        <v/>
      </c>
      <c r="AG134" s="40" t="str">
        <f ca="1">IFERROR(IF(AND(
  INDEX(Roadmap!$D:$K,MATCH($E134,Roadmap!$D:$D,0)+COUNTIF($E134:AF134,"u")+COUNTIF($E134:AF134,"t")+COUNTIF($E134:AF134,"¶")+COUNTIF($E134:AF134,"²")+COUNTIF($E134:AF134,"µ")+COUNTIF($E134:AF134,1),ColLivraison)=AG$6,
  VLOOKUP($E134,INDIRECT("tri!"&amp; CHAR(64+ C0Col) &amp;":"&amp; CHAR(65+C0Col)),2,FALSE)&gt;COUNTIF($E134:AF134,"u")+COUNTIF($E134:AF134,"t")+COUNTIF($E134:AF134,"¶")+COUNTIF($E134:AF134,"²")+COUNTIF($E134:AF134,"µ")+COUNTIF($E134:AF134,1)),
HYPERLINK("#Roadmap!C"&amp; MATCH($E134,Roadmap!$D:$D,0)+COUNTIF($E134:AF134,"u")+COUNTIF($E134:AF134,"t"),
     INDEX(Roadmap!$D:$K,MATCH($E134,Roadmap!$D:$D,0)+COUNTIF($E134:AF134,"u")+COUNTIF($E134:AF134,"t")+COUNTIF($E134:AF134,"¶")+COUNTIF($E134:AF134,"²")+COUNTIF($E134:AF134,"µ")+COUNTIF($E134:AF134,1),ColTypeEcheance)),
  IF(LEN(AF134)=1,
  IF(LEN(INDEX(Roadmap!$D:$K,MATCH($E134,Roadmap!$D:$D,0)-1+COUNTIF($E134:AF134,"u")+COUNTIF($E134:AF134,"t")+COUNTIF($E134:AF134,"¶")+COUNTIF($E134:AF134,"²")+COUNTIF($E134:AF134,"µ")+COUNTIF($E134:AF134,1),ColDescriptionCourte))&gt;1,
HYPERLINK("#Roadmap!C"&amp; MATCH($E134,Roadmap!$D:$D,0)+COUNTIF($E134:AF134,"u")+COUNTIF($E134:AF134,"t")+COUNTIF($E134:AF134,"¶")+COUNTIF($E134:AF134,"²")+COUNTIF($E134:AF134,"µ")+COUNTIF($E134:AF134,1)-1,INDEX(Roadmap!$D:$K,MATCH($E134,Roadmap!$D:$D,0)-1+COUNTIF($E134:AF134,"u")+COUNTIF($E134:AF134,"t")+COUNTIF($E134:AF134,"¶")+COUNTIF($E134:AF134,"²")+COUNTIF($E134:AF134,"µ")+COUNTIF($E134:AF134,1),ColDescriptionCourte)),""),
  "")),"")</f>
        <v/>
      </c>
      <c r="AH134" s="40" t="str">
        <f ca="1">IFERROR(IF(AND(
  INDEX(Roadmap!$D:$K,MATCH($E134,Roadmap!$D:$D,0)+COUNTIF($E134:AG134,"u")+COUNTIF($E134:AG134,"t")+COUNTIF($E134:AG134,1),ColLivraison)=AH$6,
  VLOOKUP($E134,INDIRECT("tri!"&amp; CHAR(64+ C0Col) &amp;":"&amp; CHAR(65+C0Col)),2,FALSE)&gt;COUNTIF($E134:AG134,"u")+COUNTIF($E134:AG134,"t")+COUNTIF($E134:AG134,1)),
HYPERLINK("#Roadmap!C"&amp; MATCH($E134,Roadmap!$D:$D,0)+COUNTIF($E134:AG134,"u")+COUNTIF($E134:AG134,"t"),
     INDEX(Roadmap!$D:$K,MATCH($E134,Roadmap!$D:$D,0)+COUNTIF($E134:AG134,"u")+COUNTIF($E134:AG134,"t")+COUNTIF($E134:AG134,1),ColTypeEcheance)),
  IF(OR(AG134="u",AG134="t",AG134=1),
  IF(LEN(INDEX(Roadmap!$D:$K,MATCH($E134,Roadmap!$D:$D,0)-1+COUNTIF($E134:AG134,"u")+COUNTIF($E134:AG134,"t")+COUNTIF($E134:AG134,1),ColDescriptionCourte))&gt;1,
HYPERLINK("#Roadmap!C"&amp; MATCH($E134,Roadmap!$D:$D,0)+COUNTIF($E134:AG134,"u")+COUNTIF($E134:AG134,"t")+COUNTIF($E134:AG134,1)-1,INDEX(Roadmap!$D:$K,MATCH($E134,Roadmap!$D:$D,0)-1+COUNTIF($E134:AG134,"u")+COUNTIF($E134:AG134,"t")+COUNTIF($E134:AG134,1),ColDescriptionCourte)),""),
  "")),"")</f>
        <v/>
      </c>
      <c r="AI134" s="40"/>
      <c r="AJ134" s="40"/>
      <c r="AK134" s="40"/>
      <c r="AL134" s="40"/>
      <c r="AM134" s="40"/>
    </row>
    <row r="135" spans="4:39" ht="14.1" customHeight="1">
      <c r="D135" s="20" t="str">
        <f t="shared" ref="D135:D198" ca="1" si="31">IFERROR(IF(LEN(INDIRECT(ADDRESS(C0Ligne+ROW()-MaquetteLigne0,C0Col-1,1,1,"Tri")))&lt;2,"",IF(LEFT(INDIRECT(ADDRESS(C0Ligne+ROW()-MaquetteLigne0,C0Col-1,1,1,"Tri")),5)="Total","",INDIRECT(ADDRESS(C0Ligne+ROW()-MaquetteLigne0,C0Col-1,1,1,"Tri")))),"")</f>
        <v/>
      </c>
      <c r="E135" s="53" t="str">
        <f t="shared" ref="E135:E198" ca="1" si="32">IF(LEN(INDIRECT(ADDRESS(C0Ligne+ROW()-MaquetteLigne0,C0Col,1,1,"Tri")))&lt;2,"",INDIRECT(ADDRESS(C0Ligne+ROW()-MaquetteLigne0,C0Col,1,1,"Tri")))</f>
        <v/>
      </c>
      <c r="F135" s="39" t="str">
        <f ca="1">IFERROR(IF(AND(
  INDEX(Roadmap!$D:$K,MATCH($E135,Roadmap!$D:$D,0)+COUNTIF($E135:E135,"u")+COUNTIF($E135:E135,"t")+COUNTIF($E135:E135,"¶")+COUNTIF($E135:E135,"²")+COUNTIF($E135:E135,"µ")+COUNTIF($E135:E135,1),ColLivraison)=F$6,
  VLOOKUP($E135,INDIRECT("tri!"&amp; CHAR(64+ C0Col) &amp;":"&amp; CHAR(65+C0Col)),2,FALSE)&gt;COUNTIF($E135:E135,"u")+COUNTIF($E135:E135,"t")+COUNTIF($E135:E135,"¶")+COUNTIF($E135:E135,"²")+COUNTIF($E135:E135,"µ")+COUNTIF($E135:E135,1)),
HYPERLINK("#Roadmap!C"&amp; MATCH($E135,Roadmap!$D:$D,0)+COUNTIF($E135:E135,"u")+COUNTIF($E135:E135,"t"),
     INDEX(Roadmap!$D:$K,MATCH($E135,Roadmap!$D:$D,0)+COUNTIF($E135:E135,"u")+COUNTIF($E135:E135,"t")+COUNTIF($E135:E135,"¶")+COUNTIF($E135:E135,"²")+COUNTIF($E135:E135,"µ")+COUNTIF($E135:E135,1),ColTypeEcheance)),
  IF(LEN(E135)=1,
  IF(LEN(INDEX(Roadmap!$D:$K,MATCH($E135,Roadmap!$D:$D,0)-1+COUNTIF($E135:E135,"u")+COUNTIF($E135:E135,"t")+COUNTIF($E135:E135,"¶")+COUNTIF($E135:E135,"²")+COUNTIF($E135:E135,"µ")+COUNTIF($E135:E135,1),ColDescriptionCourte))&gt;1,
HYPERLINK("#Roadmap!C"&amp; MATCH($E135,Roadmap!$D:$D,0)+COUNTIF($E135:E135,"u")+COUNTIF($E135:E135,"t")+COUNTIF($E135:E135,"¶")+COUNTIF($E135:E135,"²")+COUNTIF($E135:E135,"µ")+COUNTIF($E135:E135,1)-1,INDEX(Roadmap!$D:$K,MATCH($E135,Roadmap!$D:$D,0)-1+COUNTIF($E135:E135,"u")+COUNTIF($E135:E135,"t")+COUNTIF($E135:E135,"¶")+COUNTIF($E135:E135,"²")+COUNTIF($E135:E135,"µ")+COUNTIF($E135:E135,1),ColDescriptionCourte)),""),
  "")),"")</f>
        <v/>
      </c>
      <c r="G135" s="40" t="str">
        <f ca="1">IFERROR(IF(AND(
  INDEX(Roadmap!$D:$K,MATCH($E135,Roadmap!$D:$D,0)+COUNTIF($E135:F135,"u")+COUNTIF($E135:F135,"t")+COUNTIF($E135:F135,"¶")+COUNTIF($E135:F135,"²")+COUNTIF($E135:F135,"µ")+COUNTIF($E135:F135,1),ColLivraison)=G$6,
  VLOOKUP($E135,INDIRECT("tri!"&amp; CHAR(64+ C0Col) &amp;":"&amp; CHAR(65+C0Col)),2,FALSE)&gt;COUNTIF($E135:F135,"u")+COUNTIF($E135:F135,"t")+COUNTIF($E135:F135,"¶")+COUNTIF($E135:F135,"²")+COUNTIF($E135:F135,"µ")+COUNTIF($E135:F135,1)),
HYPERLINK("#Roadmap!C"&amp; MATCH($E135,Roadmap!$D:$D,0)+COUNTIF($E135:F135,"u")+COUNTIF($E135:F135,"t"),
     INDEX(Roadmap!$D:$K,MATCH($E135,Roadmap!$D:$D,0)+COUNTIF($E135:F135,"u")+COUNTIF($E135:F135,"t")+COUNTIF($E135:F135,"¶")+COUNTIF($E135:F135,"²")+COUNTIF($E135:F135,"µ")+COUNTIF($E135:F135,1),ColTypeEcheance)),
  IF(LEN(F135)=1,
  IF(LEN(INDEX(Roadmap!$D:$K,MATCH($E135,Roadmap!$D:$D,0)-1+COUNTIF($E135:F135,"u")+COUNTIF($E135:F135,"t")+COUNTIF($E135:F135,"¶")+COUNTIF($E135:F135,"²")+COUNTIF($E135:F135,"µ")+COUNTIF($E135:F135,1),ColDescriptionCourte))&gt;1,
HYPERLINK("#Roadmap!C"&amp; MATCH($E135,Roadmap!$D:$D,0)+COUNTIF($E135:F135,"u")+COUNTIF($E135:F135,"t")+COUNTIF($E135:F135,"¶")+COUNTIF($E135:F135,"²")+COUNTIF($E135:F135,"µ")+COUNTIF($E135:F135,1)-1,INDEX(Roadmap!$D:$K,MATCH($E135,Roadmap!$D:$D,0)-1+COUNTIF($E135:F135,"u")+COUNTIF($E135:F135,"t")+COUNTIF($E135:F135,"¶")+COUNTIF($E135:F135,"²")+COUNTIF($E135:F135,"µ")+COUNTIF($E135:F135,1),ColDescriptionCourte)),""),
  "")),"")</f>
        <v/>
      </c>
      <c r="H135" s="40" t="str">
        <f ca="1">IFERROR(IF(AND(
  INDEX(Roadmap!$D:$K,MATCH($E135,Roadmap!$D:$D,0)+COUNTIF($E135:G135,"u")+COUNTIF($E135:G135,"t")+COUNTIF($E135:G135,"¶")+COUNTIF($E135:G135,"²")+COUNTIF($E135:G135,"µ")+COUNTIF($E135:G135,1),ColLivraison)=H$6,
  VLOOKUP($E135,INDIRECT("tri!"&amp; CHAR(64+ C0Col) &amp;":"&amp; CHAR(65+C0Col)),2,FALSE)&gt;COUNTIF($E135:G135,"u")+COUNTIF($E135:G135,"t")+COUNTIF($E135:G135,"¶")+COUNTIF($E135:G135,"²")+COUNTIF($E135:G135,"µ")+COUNTIF($E135:G135,1)),
HYPERLINK("#Roadmap!C"&amp; MATCH($E135,Roadmap!$D:$D,0)+COUNTIF($E135:G135,"u")+COUNTIF($E135:G135,"t"),
     INDEX(Roadmap!$D:$K,MATCH($E135,Roadmap!$D:$D,0)+COUNTIF($E135:G135,"u")+COUNTIF($E135:G135,"t")+COUNTIF($E135:G135,"¶")+COUNTIF($E135:G135,"²")+COUNTIF($E135:G135,"µ")+COUNTIF($E135:G135,1),ColTypeEcheance)),
  IF(LEN(G135)=1,
  IF(LEN(INDEX(Roadmap!$D:$K,MATCH($E135,Roadmap!$D:$D,0)-1+COUNTIF($E135:G135,"u")+COUNTIF($E135:G135,"t")+COUNTIF($E135:G135,"¶")+COUNTIF($E135:G135,"²")+COUNTIF($E135:G135,"µ")+COUNTIF($E135:G135,1),ColDescriptionCourte))&gt;1,
HYPERLINK("#Roadmap!C"&amp; MATCH($E135,Roadmap!$D:$D,0)+COUNTIF($E135:G135,"u")+COUNTIF($E135:G135,"t")+COUNTIF($E135:G135,"¶")+COUNTIF($E135:G135,"²")+COUNTIF($E135:G135,"µ")+COUNTIF($E135:G135,1)-1,INDEX(Roadmap!$D:$K,MATCH($E135,Roadmap!$D:$D,0)-1+COUNTIF($E135:G135,"u")+COUNTIF($E135:G135,"t")+COUNTIF($E135:G135,"¶")+COUNTIF($E135:G135,"²")+COUNTIF($E135:G135,"µ")+COUNTIF($E135:G135,1),ColDescriptionCourte)),""),
  "")),"")</f>
        <v/>
      </c>
      <c r="I135" s="40" t="str">
        <f ca="1">IFERROR(IF(AND(
  INDEX(Roadmap!$D:$K,MATCH($E135,Roadmap!$D:$D,0)+COUNTIF($E135:H135,"u")+COUNTIF($E135:H135,"t")+COUNTIF($E135:H135,"¶")+COUNTIF($E135:H135,"²")+COUNTIF($E135:H135,"µ")+COUNTIF($E135:H135,1),ColLivraison)=I$6,
  VLOOKUP($E135,INDIRECT("tri!"&amp; CHAR(64+ C0Col) &amp;":"&amp; CHAR(65+C0Col)),2,FALSE)&gt;COUNTIF($E135:H135,"u")+COUNTIF($E135:H135,"t")+COUNTIF($E135:H135,"¶")+COUNTIF($E135:H135,"²")+COUNTIF($E135:H135,"µ")+COUNTIF($E135:H135,1)),
HYPERLINK("#Roadmap!C"&amp; MATCH($E135,Roadmap!$D:$D,0)+COUNTIF($E135:H135,"u")+COUNTIF($E135:H135,"t"),
     INDEX(Roadmap!$D:$K,MATCH($E135,Roadmap!$D:$D,0)+COUNTIF($E135:H135,"u")+COUNTIF($E135:H135,"t")+COUNTIF($E135:H135,"¶")+COUNTIF($E135:H135,"²")+COUNTIF($E135:H135,"µ")+COUNTIF($E135:H135,1),ColTypeEcheance)),
  IF(LEN(H135)=1,
  IF(LEN(INDEX(Roadmap!$D:$K,MATCH($E135,Roadmap!$D:$D,0)-1+COUNTIF($E135:H135,"u")+COUNTIF($E135:H135,"t")+COUNTIF($E135:H135,"¶")+COUNTIF($E135:H135,"²")+COUNTIF($E135:H135,"µ")+COUNTIF($E135:H135,1),ColDescriptionCourte))&gt;1,
HYPERLINK("#Roadmap!C"&amp; MATCH($E135,Roadmap!$D:$D,0)+COUNTIF($E135:H135,"u")+COUNTIF($E135:H135,"t")+COUNTIF($E135:H135,"¶")+COUNTIF($E135:H135,"²")+COUNTIF($E135:H135,"µ")+COUNTIF($E135:H135,1)-1,INDEX(Roadmap!$D:$K,MATCH($E135,Roadmap!$D:$D,0)-1+COUNTIF($E135:H135,"u")+COUNTIF($E135:H135,"t")+COUNTIF($E135:H135,"¶")+COUNTIF($E135:H135,"²")+COUNTIF($E135:H135,"µ")+COUNTIF($E135:H135,1),ColDescriptionCourte)),""),
  "")),"")</f>
        <v/>
      </c>
      <c r="J135" s="40" t="str">
        <f ca="1">IFERROR(IF(AND(
  INDEX(Roadmap!$D:$K,MATCH($E135,Roadmap!$D:$D,0)+COUNTIF($E135:I135,"u")+COUNTIF($E135:I135,"t")+COUNTIF($E135:I135,"¶")+COUNTIF($E135:I135,"²")+COUNTIF($E135:I135,"µ")+COUNTIF($E135:I135,1),ColLivraison)=J$6,
  VLOOKUP($E135,INDIRECT("tri!"&amp; CHAR(64+ C0Col) &amp;":"&amp; CHAR(65+C0Col)),2,FALSE)&gt;COUNTIF($E135:I135,"u")+COUNTIF($E135:I135,"t")+COUNTIF($E135:I135,"¶")+COUNTIF($E135:I135,"²")+COUNTIF($E135:I135,"µ")+COUNTIF($E135:I135,1)),
HYPERLINK("#Roadmap!C"&amp; MATCH($E135,Roadmap!$D:$D,0)+COUNTIF($E135:I135,"u")+COUNTIF($E135:I135,"t"),
     INDEX(Roadmap!$D:$K,MATCH($E135,Roadmap!$D:$D,0)+COUNTIF($E135:I135,"u")+COUNTIF($E135:I135,"t")+COUNTIF($E135:I135,"¶")+COUNTIF($E135:I135,"²")+COUNTIF($E135:I135,"µ")+COUNTIF($E135:I135,1),ColTypeEcheance)),
  IF(LEN(I135)=1,
  IF(LEN(INDEX(Roadmap!$D:$K,MATCH($E135,Roadmap!$D:$D,0)-1+COUNTIF($E135:I135,"u")+COUNTIF($E135:I135,"t")+COUNTIF($E135:I135,"¶")+COUNTIF($E135:I135,"²")+COUNTIF($E135:I135,"µ")+COUNTIF($E135:I135,1),ColDescriptionCourte))&gt;1,
HYPERLINK("#Roadmap!C"&amp; MATCH($E135,Roadmap!$D:$D,0)+COUNTIF($E135:I135,"u")+COUNTIF($E135:I135,"t")+COUNTIF($E135:I135,"¶")+COUNTIF($E135:I135,"²")+COUNTIF($E135:I135,"µ")+COUNTIF($E135:I135,1)-1,INDEX(Roadmap!$D:$K,MATCH($E135,Roadmap!$D:$D,0)-1+COUNTIF($E135:I135,"u")+COUNTIF($E135:I135,"t")+COUNTIF($E135:I135,"¶")+COUNTIF($E135:I135,"²")+COUNTIF($E135:I135,"µ")+COUNTIF($E135:I135,1),ColDescriptionCourte)),""),
  "")),"")</f>
        <v/>
      </c>
      <c r="K135" s="40" t="str">
        <f ca="1">IFERROR(IF(AND(
  INDEX(Roadmap!$D:$K,MATCH($E135,Roadmap!$D:$D,0)+COUNTIF($E135:J135,"u")+COUNTIF($E135:J135,"t")+COUNTIF($E135:J135,"¶")+COUNTIF($E135:J135,"²")+COUNTIF($E135:J135,"µ")+COUNTIF($E135:J135,1),ColLivraison)=K$6,
  VLOOKUP($E135,INDIRECT("tri!"&amp; CHAR(64+ C0Col) &amp;":"&amp; CHAR(65+C0Col)),2,FALSE)&gt;COUNTIF($E135:J135,"u")+COUNTIF($E135:J135,"t")+COUNTIF($E135:J135,"¶")+COUNTIF($E135:J135,"²")+COUNTIF($E135:J135,"µ")+COUNTIF($E135:J135,1)),
HYPERLINK("#Roadmap!C"&amp; MATCH($E135,Roadmap!$D:$D,0)+COUNTIF($E135:J135,"u")+COUNTIF($E135:J135,"t"),
     INDEX(Roadmap!$D:$K,MATCH($E135,Roadmap!$D:$D,0)+COUNTIF($E135:J135,"u")+COUNTIF($E135:J135,"t")+COUNTIF($E135:J135,"¶")+COUNTIF($E135:J135,"²")+COUNTIF($E135:J135,"µ")+COUNTIF($E135:J135,1),ColTypeEcheance)),
  IF(LEN(J135)=1,
  IF(LEN(INDEX(Roadmap!$D:$K,MATCH($E135,Roadmap!$D:$D,0)-1+COUNTIF($E135:J135,"u")+COUNTIF($E135:J135,"t")+COUNTIF($E135:J135,"¶")+COUNTIF($E135:J135,"²")+COUNTIF($E135:J135,"µ")+COUNTIF($E135:J135,1),ColDescriptionCourte))&gt;1,
HYPERLINK("#Roadmap!C"&amp; MATCH($E135,Roadmap!$D:$D,0)+COUNTIF($E135:J135,"u")+COUNTIF($E135:J135,"t")+COUNTIF($E135:J135,"¶")+COUNTIF($E135:J135,"²")+COUNTIF($E135:J135,"µ")+COUNTIF($E135:J135,1)-1,INDEX(Roadmap!$D:$K,MATCH($E135,Roadmap!$D:$D,0)-1+COUNTIF($E135:J135,"u")+COUNTIF($E135:J135,"t")+COUNTIF($E135:J135,"¶")+COUNTIF($E135:J135,"²")+COUNTIF($E135:J135,"µ")+COUNTIF($E135:J135,1),ColDescriptionCourte)),""),
  "")),"")</f>
        <v/>
      </c>
      <c r="L135" s="39" t="str">
        <f ca="1">IFERROR(IF(AND(
  INDEX(Roadmap!$D:$K,MATCH($E135,Roadmap!$D:$D,0)+COUNTIF($E135:K135,"u")+COUNTIF($E135:K135,"t")+COUNTIF($E135:K135,"¶")+COUNTIF($E135:K135,"²")+COUNTIF($E135:K135,"µ")+COUNTIF($E135:K135,1),ColLivraison)=L$6,
  VLOOKUP($E135,INDIRECT("tri!"&amp; CHAR(64+ C0Col) &amp;":"&amp; CHAR(65+C0Col)),2,FALSE)&gt;COUNTIF($E135:K135,"u")+COUNTIF($E135:K135,"t")+COUNTIF($E135:K135,"¶")+COUNTIF($E135:K135,"²")+COUNTIF($E135:K135,"µ")+COUNTIF($E135:K135,1)),
HYPERLINK("#Roadmap!C"&amp; MATCH($E135,Roadmap!$D:$D,0)+COUNTIF($E135:K135,"u")+COUNTIF($E135:K135,"t"),
     INDEX(Roadmap!$D:$K,MATCH($E135,Roadmap!$D:$D,0)+COUNTIF($E135:K135,"u")+COUNTIF($E135:K135,"t")+COUNTIF($E135:K135,"¶")+COUNTIF($E135:K135,"²")+COUNTIF($E135:K135,"µ")+COUNTIF($E135:K135,1),ColTypeEcheance)),
  IF(LEN(K135)=1,
  IF(LEN(INDEX(Roadmap!$D:$K,MATCH($E135,Roadmap!$D:$D,0)-1+COUNTIF($E135:K135,"u")+COUNTIF($E135:K135,"t")+COUNTIF($E135:K135,"¶")+COUNTIF($E135:K135,"²")+COUNTIF($E135:K135,"µ")+COUNTIF($E135:K135,1),ColDescriptionCourte))&gt;1,
HYPERLINK("#Roadmap!C"&amp; MATCH($E135,Roadmap!$D:$D,0)+COUNTIF($E135:K135,"u")+COUNTIF($E135:K135,"t")+COUNTIF($E135:K135,"¶")+COUNTIF($E135:K135,"²")+COUNTIF($E135:K135,"µ")+COUNTIF($E135:K135,1)-1,INDEX(Roadmap!$D:$K,MATCH($E135,Roadmap!$D:$D,0)-1+COUNTIF($E135:K135,"u")+COUNTIF($E135:K135,"t")+COUNTIF($E135:K135,"¶")+COUNTIF($E135:K135,"²")+COUNTIF($E135:K135,"µ")+COUNTIF($E135:K135,1),ColDescriptionCourte)),""),
  "")),"")</f>
        <v/>
      </c>
      <c r="M135" s="40" t="str">
        <f ca="1">IFERROR(IF(AND(
  INDEX(Roadmap!$D:$K,MATCH($E135,Roadmap!$D:$D,0)+COUNTIF($E135:L135,"u")+COUNTIF($E135:L135,"t")+COUNTIF($E135:L135,"¶")+COUNTIF($E135:L135,"²")+COUNTIF($E135:L135,"µ")+COUNTIF($E135:L135,1),ColLivraison)=M$6,
  VLOOKUP($E135,INDIRECT("tri!"&amp; CHAR(64+ C0Col) &amp;":"&amp; CHAR(65+C0Col)),2,FALSE)&gt;COUNTIF($E135:L135,"u")+COUNTIF($E135:L135,"t")+COUNTIF($E135:L135,"¶")+COUNTIF($E135:L135,"²")+COUNTIF($E135:L135,"µ")+COUNTIF($E135:L135,1)),
HYPERLINK("#Roadmap!C"&amp; MATCH($E135,Roadmap!$D:$D,0)+COUNTIF($E135:L135,"u")+COUNTIF($E135:L135,"t"),
     INDEX(Roadmap!$D:$K,MATCH($E135,Roadmap!$D:$D,0)+COUNTIF($E135:L135,"u")+COUNTIF($E135:L135,"t")+COUNTIF($E135:L135,"¶")+COUNTIF($E135:L135,"²")+COUNTIF($E135:L135,"µ")+COUNTIF($E135:L135,1),ColTypeEcheance)),
  IF(LEN(L135)=1,
  IF(LEN(INDEX(Roadmap!$D:$K,MATCH($E135,Roadmap!$D:$D,0)-1+COUNTIF($E135:L135,"u")+COUNTIF($E135:L135,"t")+COUNTIF($E135:L135,"¶")+COUNTIF($E135:L135,"²")+COUNTIF($E135:L135,"µ")+COUNTIF($E135:L135,1),ColDescriptionCourte))&gt;1,
HYPERLINK("#Roadmap!C"&amp; MATCH($E135,Roadmap!$D:$D,0)+COUNTIF($E135:L135,"u")+COUNTIF($E135:L135,"t")+COUNTIF($E135:L135,"¶")+COUNTIF($E135:L135,"²")+COUNTIF($E135:L135,"µ")+COUNTIF($E135:L135,1)-1,INDEX(Roadmap!$D:$K,MATCH($E135,Roadmap!$D:$D,0)-1+COUNTIF($E135:L135,"u")+COUNTIF($E135:L135,"t")+COUNTIF($E135:L135,"¶")+COUNTIF($E135:L135,"²")+COUNTIF($E135:L135,"µ")+COUNTIF($E135:L135,1),ColDescriptionCourte)),""),
  "")),"")</f>
        <v/>
      </c>
      <c r="N135" s="40" t="str">
        <f ca="1">IFERROR(IF(AND(
  INDEX(Roadmap!$D:$K,MATCH($E135,Roadmap!$D:$D,0)+COUNTIF($E135:M135,"u")+COUNTIF($E135:M135,"t")+COUNTIF($E135:M135,"¶")+COUNTIF($E135:M135,"²")+COUNTIF($E135:M135,"µ")+COUNTIF($E135:M135,1),ColLivraison)=N$6,
  VLOOKUP($E135,INDIRECT("tri!"&amp; CHAR(64+ C0Col) &amp;":"&amp; CHAR(65+C0Col)),2,FALSE)&gt;COUNTIF($E135:M135,"u")+COUNTIF($E135:M135,"t")+COUNTIF($E135:M135,"¶")+COUNTIF($E135:M135,"²")+COUNTIF($E135:M135,"µ")+COUNTIF($E135:M135,1)),
HYPERLINK("#Roadmap!C"&amp; MATCH($E135,Roadmap!$D:$D,0)+COUNTIF($E135:M135,"u")+COUNTIF($E135:M135,"t"),
     INDEX(Roadmap!$D:$K,MATCH($E135,Roadmap!$D:$D,0)+COUNTIF($E135:M135,"u")+COUNTIF($E135:M135,"t")+COUNTIF($E135:M135,"¶")+COUNTIF($E135:M135,"²")+COUNTIF($E135:M135,"µ")+COUNTIF($E135:M135,1),ColTypeEcheance)),
  IF(LEN(M135)=1,
  IF(LEN(INDEX(Roadmap!$D:$K,MATCH($E135,Roadmap!$D:$D,0)-1+COUNTIF($E135:M135,"u")+COUNTIF($E135:M135,"t")+COUNTIF($E135:M135,"¶")+COUNTIF($E135:M135,"²")+COUNTIF($E135:M135,"µ")+COUNTIF($E135:M135,1),ColDescriptionCourte))&gt;1,
HYPERLINK("#Roadmap!C"&amp; MATCH($E135,Roadmap!$D:$D,0)+COUNTIF($E135:M135,"u")+COUNTIF($E135:M135,"t")+COUNTIF($E135:M135,"¶")+COUNTIF($E135:M135,"²")+COUNTIF($E135:M135,"µ")+COUNTIF($E135:M135,1)-1,INDEX(Roadmap!$D:$K,MATCH($E135,Roadmap!$D:$D,0)-1+COUNTIF($E135:M135,"u")+COUNTIF($E135:M135,"t")+COUNTIF($E135:M135,"¶")+COUNTIF($E135:M135,"²")+COUNTIF($E135:M135,"µ")+COUNTIF($E135:M135,1),ColDescriptionCourte)),""),
  "")),"")</f>
        <v/>
      </c>
      <c r="O135" s="40" t="str">
        <f ca="1">IFERROR(IF(AND(
  INDEX(Roadmap!$D:$K,MATCH($E135,Roadmap!$D:$D,0)+COUNTIF($E135:N135,"u")+COUNTIF($E135:N135,"t")+COUNTIF($E135:N135,"¶")+COUNTIF($E135:N135,"²")+COUNTIF($E135:N135,"µ")+COUNTIF($E135:N135,1),ColLivraison)=O$6,
  VLOOKUP($E135,INDIRECT("tri!"&amp; CHAR(64+ C0Col) &amp;":"&amp; CHAR(65+C0Col)),2,FALSE)&gt;COUNTIF($E135:N135,"u")+COUNTIF($E135:N135,"t")+COUNTIF($E135:N135,"¶")+COUNTIF($E135:N135,"²")+COUNTIF($E135:N135,"µ")+COUNTIF($E135:N135,1)),
HYPERLINK("#Roadmap!C"&amp; MATCH($E135,Roadmap!$D:$D,0)+COUNTIF($E135:N135,"u")+COUNTIF($E135:N135,"t"),
     INDEX(Roadmap!$D:$K,MATCH($E135,Roadmap!$D:$D,0)+COUNTIF($E135:N135,"u")+COUNTIF($E135:N135,"t")+COUNTIF($E135:N135,"¶")+COUNTIF($E135:N135,"²")+COUNTIF($E135:N135,"µ")+COUNTIF($E135:N135,1),ColTypeEcheance)),
  IF(LEN(N135)=1,
  IF(LEN(INDEX(Roadmap!$D:$K,MATCH($E135,Roadmap!$D:$D,0)-1+COUNTIF($E135:N135,"u")+COUNTIF($E135:N135,"t")+COUNTIF($E135:N135,"¶")+COUNTIF($E135:N135,"²")+COUNTIF($E135:N135,"µ")+COUNTIF($E135:N135,1),ColDescriptionCourte))&gt;1,
HYPERLINK("#Roadmap!C"&amp; MATCH($E135,Roadmap!$D:$D,0)+COUNTIF($E135:N135,"u")+COUNTIF($E135:N135,"t")+COUNTIF($E135:N135,"¶")+COUNTIF($E135:N135,"²")+COUNTIF($E135:N135,"µ")+COUNTIF($E135:N135,1)-1,INDEX(Roadmap!$D:$K,MATCH($E135,Roadmap!$D:$D,0)-1+COUNTIF($E135:N135,"u")+COUNTIF($E135:N135,"t")+COUNTIF($E135:N135,"¶")+COUNTIF($E135:N135,"²")+COUNTIF($E135:N135,"µ")+COUNTIF($E135:N135,1),ColDescriptionCourte)),""),
  "")),"")</f>
        <v/>
      </c>
      <c r="P135" s="40" t="str">
        <f ca="1">IFERROR(IF(AND(
  INDEX(Roadmap!$D:$K,MATCH($E135,Roadmap!$D:$D,0)+COUNTIF($E135:O135,"u")+COUNTIF($E135:O135,"t")+COUNTIF($E135:O135,"¶")+COUNTIF($E135:O135,"²")+COUNTIF($E135:O135,"µ")+COUNTIF($E135:O135,1),ColLivraison)=P$6,
  VLOOKUP($E135,INDIRECT("tri!"&amp; CHAR(64+ C0Col) &amp;":"&amp; CHAR(65+C0Col)),2,FALSE)&gt;COUNTIF($E135:O135,"u")+COUNTIF($E135:O135,"t")+COUNTIF($E135:O135,"¶")+COUNTIF($E135:O135,"²")+COUNTIF($E135:O135,"µ")+COUNTIF($E135:O135,1)),
HYPERLINK("#Roadmap!C"&amp; MATCH($E135,Roadmap!$D:$D,0)+COUNTIF($E135:O135,"u")+COUNTIF($E135:O135,"t"),
     INDEX(Roadmap!$D:$K,MATCH($E135,Roadmap!$D:$D,0)+COUNTIF($E135:O135,"u")+COUNTIF($E135:O135,"t")+COUNTIF($E135:O135,"¶")+COUNTIF($E135:O135,"²")+COUNTIF($E135:O135,"µ")+COUNTIF($E135:O135,1),ColTypeEcheance)),
  IF(LEN(O135)=1,
  IF(LEN(INDEX(Roadmap!$D:$K,MATCH($E135,Roadmap!$D:$D,0)-1+COUNTIF($E135:O135,"u")+COUNTIF($E135:O135,"t")+COUNTIF($E135:O135,"¶")+COUNTIF($E135:O135,"²")+COUNTIF($E135:O135,"µ")+COUNTIF($E135:O135,1),ColDescriptionCourte))&gt;1,
HYPERLINK("#Roadmap!C"&amp; MATCH($E135,Roadmap!$D:$D,0)+COUNTIF($E135:O135,"u")+COUNTIF($E135:O135,"t")+COUNTIF($E135:O135,"¶")+COUNTIF($E135:O135,"²")+COUNTIF($E135:O135,"µ")+COUNTIF($E135:O135,1)-1,INDEX(Roadmap!$D:$K,MATCH($E135,Roadmap!$D:$D,0)-1+COUNTIF($E135:O135,"u")+COUNTIF($E135:O135,"t")+COUNTIF($E135:O135,"¶")+COUNTIF($E135:O135,"²")+COUNTIF($E135:O135,"µ")+COUNTIF($E135:O135,1),ColDescriptionCourte)),""),
  "")),"")</f>
        <v/>
      </c>
      <c r="Q135" s="40" t="str">
        <f ca="1">IFERROR(IF(AND(
  INDEX(Roadmap!$D:$K,MATCH($E135,Roadmap!$D:$D,0)+COUNTIF($E135:P135,"u")+COUNTIF($E135:P135,"t")+COUNTIF($E135:P135,"¶")+COUNTIF($E135:P135,"²")+COUNTIF($E135:P135,"µ")+COUNTIF($E135:P135,1),ColLivraison)=Q$6,
  VLOOKUP($E135,INDIRECT("tri!"&amp; CHAR(64+ C0Col) &amp;":"&amp; CHAR(65+C0Col)),2,FALSE)&gt;COUNTIF($E135:P135,"u")+COUNTIF($E135:P135,"t")+COUNTIF($E135:P135,"¶")+COUNTIF($E135:P135,"²")+COUNTIF($E135:P135,"µ")+COUNTIF($E135:P135,1)),
HYPERLINK("#Roadmap!C"&amp; MATCH($E135,Roadmap!$D:$D,0)+COUNTIF($E135:P135,"u")+COUNTIF($E135:P135,"t"),
     INDEX(Roadmap!$D:$K,MATCH($E135,Roadmap!$D:$D,0)+COUNTIF($E135:P135,"u")+COUNTIF($E135:P135,"t")+COUNTIF($E135:P135,"¶")+COUNTIF($E135:P135,"²")+COUNTIF($E135:P135,"µ")+COUNTIF($E135:P135,1),ColTypeEcheance)),
  IF(LEN(P135)=1,
  IF(LEN(INDEX(Roadmap!$D:$K,MATCH($E135,Roadmap!$D:$D,0)-1+COUNTIF($E135:P135,"u")+COUNTIF($E135:P135,"t")+COUNTIF($E135:P135,"¶")+COUNTIF($E135:P135,"²")+COUNTIF($E135:P135,"µ")+COUNTIF($E135:P135,1),ColDescriptionCourte))&gt;1,
HYPERLINK("#Roadmap!C"&amp; MATCH($E135,Roadmap!$D:$D,0)+COUNTIF($E135:P135,"u")+COUNTIF($E135:P135,"t")+COUNTIF($E135:P135,"¶")+COUNTIF($E135:P135,"²")+COUNTIF($E135:P135,"µ")+COUNTIF($E135:P135,1)-1,INDEX(Roadmap!$D:$K,MATCH($E135,Roadmap!$D:$D,0)-1+COUNTIF($E135:P135,"u")+COUNTIF($E135:P135,"t")+COUNTIF($E135:P135,"¶")+COUNTIF($E135:P135,"²")+COUNTIF($E135:P135,"µ")+COUNTIF($E135:P135,1),ColDescriptionCourte)),""),
  "")),"")</f>
        <v/>
      </c>
      <c r="R135" s="40" t="str">
        <f ca="1">IFERROR(IF(AND(
  INDEX(Roadmap!$D:$K,MATCH($E135,Roadmap!$D:$D,0)+COUNTIF($E135:Q135,"u")+COUNTIF($E135:Q135,"t")+COUNTIF($E135:Q135,"¶")+COUNTIF($E135:Q135,"²")+COUNTIF($E135:Q135,"µ")+COUNTIF($E135:Q135,1),ColLivraison)=R$6,
  VLOOKUP($E135,INDIRECT("tri!"&amp; CHAR(64+ C0Col) &amp;":"&amp; CHAR(65+C0Col)),2,FALSE)&gt;COUNTIF($E135:Q135,"u")+COUNTIF($E135:Q135,"t")+COUNTIF($E135:Q135,"¶")+COUNTIF($E135:Q135,"²")+COUNTIF($E135:Q135,"µ")+COUNTIF($E135:Q135,1)),
HYPERLINK("#Roadmap!C"&amp; MATCH($E135,Roadmap!$D:$D,0)+COUNTIF($E135:Q135,"u")+COUNTIF($E135:Q135,"t"),
     INDEX(Roadmap!$D:$K,MATCH($E135,Roadmap!$D:$D,0)+COUNTIF($E135:Q135,"u")+COUNTIF($E135:Q135,"t")+COUNTIF($E135:Q135,"¶")+COUNTIF($E135:Q135,"²")+COUNTIF($E135:Q135,"µ")+COUNTIF($E135:Q135,1),ColTypeEcheance)),
  IF(LEN(Q135)=1,
  IF(LEN(INDEX(Roadmap!$D:$K,MATCH($E135,Roadmap!$D:$D,0)-1+COUNTIF($E135:Q135,"u")+COUNTIF($E135:Q135,"t")+COUNTIF($E135:Q135,"¶")+COUNTIF($E135:Q135,"²")+COUNTIF($E135:Q135,"µ")+COUNTIF($E135:Q135,1),ColDescriptionCourte))&gt;1,
HYPERLINK("#Roadmap!C"&amp; MATCH($E135,Roadmap!$D:$D,0)+COUNTIF($E135:Q135,"u")+COUNTIF($E135:Q135,"t")+COUNTIF($E135:Q135,"¶")+COUNTIF($E135:Q135,"²")+COUNTIF($E135:Q135,"µ")+COUNTIF($E135:Q135,1)-1,INDEX(Roadmap!$D:$K,MATCH($E135,Roadmap!$D:$D,0)-1+COUNTIF($E135:Q135,"u")+COUNTIF($E135:Q135,"t")+COUNTIF($E135:Q135,"¶")+COUNTIF($E135:Q135,"²")+COUNTIF($E135:Q135,"µ")+COUNTIF($E135:Q135,1),ColDescriptionCourte)),""),
  "")),"")</f>
        <v/>
      </c>
      <c r="S135" s="40" t="str">
        <f ca="1">IFERROR(IF(AND(
  INDEX(Roadmap!$D:$K,MATCH($E135,Roadmap!$D:$D,0)+COUNTIF($E135:R135,"u")+COUNTIF($E135:R135,"t")+COUNTIF($E135:R135,"¶")+COUNTIF($E135:R135,"²")+COUNTIF($E135:R135,"µ")+COUNTIF($E135:R135,1),ColLivraison)=S$6,
  VLOOKUP($E135,INDIRECT("tri!"&amp; CHAR(64+ C0Col) &amp;":"&amp; CHAR(65+C0Col)),2,FALSE)&gt;COUNTIF($E135:R135,"u")+COUNTIF($E135:R135,"t")+COUNTIF($E135:R135,"¶")+COUNTIF($E135:R135,"²")+COUNTIF($E135:R135,"µ")+COUNTIF($E135:R135,1)),
HYPERLINK("#Roadmap!C"&amp; MATCH($E135,Roadmap!$D:$D,0)+COUNTIF($E135:R135,"u")+COUNTIF($E135:R135,"t"),
     INDEX(Roadmap!$D:$K,MATCH($E135,Roadmap!$D:$D,0)+COUNTIF($E135:R135,"u")+COUNTIF($E135:R135,"t")+COUNTIF($E135:R135,"¶")+COUNTIF($E135:R135,"²")+COUNTIF($E135:R135,"µ")+COUNTIF($E135:R135,1),ColTypeEcheance)),
  IF(LEN(R135)=1,
  IF(LEN(INDEX(Roadmap!$D:$K,MATCH($E135,Roadmap!$D:$D,0)-1+COUNTIF($E135:R135,"u")+COUNTIF($E135:R135,"t")+COUNTIF($E135:R135,"¶")+COUNTIF($E135:R135,"²")+COUNTIF($E135:R135,"µ")+COUNTIF($E135:R135,1),ColDescriptionCourte))&gt;1,
HYPERLINK("#Roadmap!C"&amp; MATCH($E135,Roadmap!$D:$D,0)+COUNTIF($E135:R135,"u")+COUNTIF($E135:R135,"t")+COUNTIF($E135:R135,"¶")+COUNTIF($E135:R135,"²")+COUNTIF($E135:R135,"µ")+COUNTIF($E135:R135,1)-1,INDEX(Roadmap!$D:$K,MATCH($E135,Roadmap!$D:$D,0)-1+COUNTIF($E135:R135,"u")+COUNTIF($E135:R135,"t")+COUNTIF($E135:R135,"¶")+COUNTIF($E135:R135,"²")+COUNTIF($E135:R135,"µ")+COUNTIF($E135:R135,1),ColDescriptionCourte)),""),
  "")),"")</f>
        <v/>
      </c>
      <c r="T135" s="40" t="str">
        <f ca="1">IFERROR(IF(AND(
  INDEX(Roadmap!$D:$K,MATCH($E135,Roadmap!$D:$D,0)+COUNTIF($E135:S135,"u")+COUNTIF($E135:S135,"t")+COUNTIF($E135:S135,"¶")+COUNTIF($E135:S135,"²")+COUNTIF($E135:S135,"µ")+COUNTIF($E135:S135,1),ColLivraison)=T$6,
  VLOOKUP($E135,INDIRECT("tri!"&amp; CHAR(64+ C0Col) &amp;":"&amp; CHAR(65+C0Col)),2,FALSE)&gt;COUNTIF($E135:S135,"u")+COUNTIF($E135:S135,"t")+COUNTIF($E135:S135,"¶")+COUNTIF($E135:S135,"²")+COUNTIF($E135:S135,"µ")+COUNTIF($E135:S135,1)),
HYPERLINK("#Roadmap!C"&amp; MATCH($E135,Roadmap!$D:$D,0)+COUNTIF($E135:S135,"u")+COUNTIF($E135:S135,"t"),
     INDEX(Roadmap!$D:$K,MATCH($E135,Roadmap!$D:$D,0)+COUNTIF($E135:S135,"u")+COUNTIF($E135:S135,"t")+COUNTIF($E135:S135,"¶")+COUNTIF($E135:S135,"²")+COUNTIF($E135:S135,"µ")+COUNTIF($E135:S135,1),ColTypeEcheance)),
  IF(LEN(S135)=1,
  IF(LEN(INDEX(Roadmap!$D:$K,MATCH($E135,Roadmap!$D:$D,0)-1+COUNTIF($E135:S135,"u")+COUNTIF($E135:S135,"t")+COUNTIF($E135:S135,"¶")+COUNTIF($E135:S135,"²")+COUNTIF($E135:S135,"µ")+COUNTIF($E135:S135,1),ColDescriptionCourte))&gt;1,
HYPERLINK("#Roadmap!C"&amp; MATCH($E135,Roadmap!$D:$D,0)+COUNTIF($E135:S135,"u")+COUNTIF($E135:S135,"t")+COUNTIF($E135:S135,"¶")+COUNTIF($E135:S135,"²")+COUNTIF($E135:S135,"µ")+COUNTIF($E135:S135,1)-1,INDEX(Roadmap!$D:$K,MATCH($E135,Roadmap!$D:$D,0)-1+COUNTIF($E135:S135,"u")+COUNTIF($E135:S135,"t")+COUNTIF($E135:S135,"¶")+COUNTIF($E135:S135,"²")+COUNTIF($E135:S135,"µ")+COUNTIF($E135:S135,1),ColDescriptionCourte)),""),
  "")),"")</f>
        <v/>
      </c>
      <c r="U135" s="40" t="str">
        <f ca="1">IFERROR(IF(AND(
  INDEX(Roadmap!$D:$K,MATCH($E135,Roadmap!$D:$D,0)+COUNTIF($E135:T135,"u")+COUNTIF($E135:T135,"t")+COUNTIF($E135:T135,"¶")+COUNTIF($E135:T135,"²")+COUNTIF($E135:T135,"µ")+COUNTIF($E135:T135,1),ColLivraison)=U$6,
  VLOOKUP($E135,INDIRECT("tri!"&amp; CHAR(64+ C0Col) &amp;":"&amp; CHAR(65+C0Col)),2,FALSE)&gt;COUNTIF($E135:T135,"u")+COUNTIF($E135:T135,"t")+COUNTIF($E135:T135,"¶")+COUNTIF($E135:T135,"²")+COUNTIF($E135:T135,"µ")+COUNTIF($E135:T135,1)),
HYPERLINK("#Roadmap!C"&amp; MATCH($E135,Roadmap!$D:$D,0)+COUNTIF($E135:T135,"u")+COUNTIF($E135:T135,"t"),
     INDEX(Roadmap!$D:$K,MATCH($E135,Roadmap!$D:$D,0)+COUNTIF($E135:T135,"u")+COUNTIF($E135:T135,"t")+COUNTIF($E135:T135,"¶")+COUNTIF($E135:T135,"²")+COUNTIF($E135:T135,"µ")+COUNTIF($E135:T135,1),ColTypeEcheance)),
  IF(LEN(T135)=1,
  IF(LEN(INDEX(Roadmap!$D:$K,MATCH($E135,Roadmap!$D:$D,0)-1+COUNTIF($E135:T135,"u")+COUNTIF($E135:T135,"t")+COUNTIF($E135:T135,"¶")+COUNTIF($E135:T135,"²")+COUNTIF($E135:T135,"µ")+COUNTIF($E135:T135,1),ColDescriptionCourte))&gt;1,
HYPERLINK("#Roadmap!C"&amp; MATCH($E135,Roadmap!$D:$D,0)+COUNTIF($E135:T135,"u")+COUNTIF($E135:T135,"t")+COUNTIF($E135:T135,"¶")+COUNTIF($E135:T135,"²")+COUNTIF($E135:T135,"µ")+COUNTIF($E135:T135,1)-1,INDEX(Roadmap!$D:$K,MATCH($E135,Roadmap!$D:$D,0)-1+COUNTIF($E135:T135,"u")+COUNTIF($E135:T135,"t")+COUNTIF($E135:T135,"¶")+COUNTIF($E135:T135,"²")+COUNTIF($E135:T135,"µ")+COUNTIF($E135:T135,1),ColDescriptionCourte)),""),
  "")),"")</f>
        <v/>
      </c>
      <c r="V135" s="40" t="str">
        <f ca="1">IFERROR(IF(AND(
  INDEX(Roadmap!$D:$K,MATCH($E135,Roadmap!$D:$D,0)+COUNTIF($E135:U135,"u")+COUNTIF($E135:U135,"t")+COUNTIF($E135:U135,"¶")+COUNTIF($E135:U135,"²")+COUNTIF($E135:U135,"µ")+COUNTIF($E135:U135,1),ColLivraison)=V$6,
  VLOOKUP($E135,INDIRECT("tri!"&amp; CHAR(64+ C0Col) &amp;":"&amp; CHAR(65+C0Col)),2,FALSE)&gt;COUNTIF($E135:U135,"u")+COUNTIF($E135:U135,"t")+COUNTIF($E135:U135,"¶")+COUNTIF($E135:U135,"²")+COUNTIF($E135:U135,"µ")+COUNTIF($E135:U135,1)),
HYPERLINK("#Roadmap!C"&amp; MATCH($E135,Roadmap!$D:$D,0)+COUNTIF($E135:U135,"u")+COUNTIF($E135:U135,"t"),
     INDEX(Roadmap!$D:$K,MATCH($E135,Roadmap!$D:$D,0)+COUNTIF($E135:U135,"u")+COUNTIF($E135:U135,"t")+COUNTIF($E135:U135,"¶")+COUNTIF($E135:U135,"²")+COUNTIF($E135:U135,"µ")+COUNTIF($E135:U135,1),ColTypeEcheance)),
  IF(LEN(U135)=1,
  IF(LEN(INDEX(Roadmap!$D:$K,MATCH($E135,Roadmap!$D:$D,0)-1+COUNTIF($E135:U135,"u")+COUNTIF($E135:U135,"t")+COUNTIF($E135:U135,"¶")+COUNTIF($E135:U135,"²")+COUNTIF($E135:U135,"µ")+COUNTIF($E135:U135,1),ColDescriptionCourte))&gt;1,
HYPERLINK("#Roadmap!C"&amp; MATCH($E135,Roadmap!$D:$D,0)+COUNTIF($E135:U135,"u")+COUNTIF($E135:U135,"t")+COUNTIF($E135:U135,"¶")+COUNTIF($E135:U135,"²")+COUNTIF($E135:U135,"µ")+COUNTIF($E135:U135,1)-1,INDEX(Roadmap!$D:$K,MATCH($E135,Roadmap!$D:$D,0)-1+COUNTIF($E135:U135,"u")+COUNTIF($E135:U135,"t")+COUNTIF($E135:U135,"¶")+COUNTIF($E135:U135,"²")+COUNTIF($E135:U135,"µ")+COUNTIF($E135:U135,1),ColDescriptionCourte)),""),
  "")),"")</f>
        <v/>
      </c>
      <c r="W135" s="40" t="str">
        <f ca="1">IFERROR(IF(AND(
  INDEX(Roadmap!$D:$K,MATCH($E135,Roadmap!$D:$D,0)+COUNTIF($E135:V135,"u")+COUNTIF($E135:V135,"t")+COUNTIF($E135:V135,"¶")+COUNTIF($E135:V135,"²")+COUNTIF($E135:V135,"µ")+COUNTIF($E135:V135,1),ColLivraison)=W$6,
  VLOOKUP($E135,INDIRECT("tri!"&amp; CHAR(64+ C0Col) &amp;":"&amp; CHAR(65+C0Col)),2,FALSE)&gt;COUNTIF($E135:V135,"u")+COUNTIF($E135:V135,"t")+COUNTIF($E135:V135,"¶")+COUNTIF($E135:V135,"²")+COUNTIF($E135:V135,"µ")+COUNTIF($E135:V135,1)),
HYPERLINK("#Roadmap!C"&amp; MATCH($E135,Roadmap!$D:$D,0)+COUNTIF($E135:V135,"u")+COUNTIF($E135:V135,"t"),
     INDEX(Roadmap!$D:$K,MATCH($E135,Roadmap!$D:$D,0)+COUNTIF($E135:V135,"u")+COUNTIF($E135:V135,"t")+COUNTIF($E135:V135,"¶")+COUNTIF($E135:V135,"²")+COUNTIF($E135:V135,"µ")+COUNTIF($E135:V135,1),ColTypeEcheance)),
  IF(LEN(V135)=1,
  IF(LEN(INDEX(Roadmap!$D:$K,MATCH($E135,Roadmap!$D:$D,0)-1+COUNTIF($E135:V135,"u")+COUNTIF($E135:V135,"t")+COUNTIF($E135:V135,"¶")+COUNTIF($E135:V135,"²")+COUNTIF($E135:V135,"µ")+COUNTIF($E135:V135,1),ColDescriptionCourte))&gt;1,
HYPERLINK("#Roadmap!C"&amp; MATCH($E135,Roadmap!$D:$D,0)+COUNTIF($E135:V135,"u")+COUNTIF($E135:V135,"t")+COUNTIF($E135:V135,"¶")+COUNTIF($E135:V135,"²")+COUNTIF($E135:V135,"µ")+COUNTIF($E135:V135,1)-1,INDEX(Roadmap!$D:$K,MATCH($E135,Roadmap!$D:$D,0)-1+COUNTIF($E135:V135,"u")+COUNTIF($E135:V135,"t")+COUNTIF($E135:V135,"¶")+COUNTIF($E135:V135,"²")+COUNTIF($E135:V135,"µ")+COUNTIF($E135:V135,1),ColDescriptionCourte)),""),
  "")),"")</f>
        <v/>
      </c>
      <c r="X135" s="40" t="str">
        <f ca="1">IFERROR(IF(AND(
  INDEX(Roadmap!$D:$K,MATCH($E135,Roadmap!$D:$D,0)+COUNTIF($E135:W135,"u")+COUNTIF($E135:W135,"t")+COUNTIF($E135:W135,"¶")+COUNTIF($E135:W135,"²")+COUNTIF($E135:W135,"µ")+COUNTIF($E135:W135,1),ColLivraison)=X$6,
  VLOOKUP($E135,INDIRECT("tri!"&amp; CHAR(64+ C0Col) &amp;":"&amp; CHAR(65+C0Col)),2,FALSE)&gt;COUNTIF($E135:W135,"u")+COUNTIF($E135:W135,"t")+COUNTIF($E135:W135,"¶")+COUNTIF($E135:W135,"²")+COUNTIF($E135:W135,"µ")+COUNTIF($E135:W135,1)),
HYPERLINK("#Roadmap!C"&amp; MATCH($E135,Roadmap!$D:$D,0)+COUNTIF($E135:W135,"u")+COUNTIF($E135:W135,"t"),
     INDEX(Roadmap!$D:$K,MATCH($E135,Roadmap!$D:$D,0)+COUNTIF($E135:W135,"u")+COUNTIF($E135:W135,"t")+COUNTIF($E135:W135,"¶")+COUNTIF($E135:W135,"²")+COUNTIF($E135:W135,"µ")+COUNTIF($E135:W135,1),ColTypeEcheance)),
  IF(LEN(W135)=1,
  IF(LEN(INDEX(Roadmap!$D:$K,MATCH($E135,Roadmap!$D:$D,0)-1+COUNTIF($E135:W135,"u")+COUNTIF($E135:W135,"t")+COUNTIF($E135:W135,"¶")+COUNTIF($E135:W135,"²")+COUNTIF($E135:W135,"µ")+COUNTIF($E135:W135,1),ColDescriptionCourte))&gt;1,
HYPERLINK("#Roadmap!C"&amp; MATCH($E135,Roadmap!$D:$D,0)+COUNTIF($E135:W135,"u")+COUNTIF($E135:W135,"t")+COUNTIF($E135:W135,"¶")+COUNTIF($E135:W135,"²")+COUNTIF($E135:W135,"µ")+COUNTIF($E135:W135,1)-1,INDEX(Roadmap!$D:$K,MATCH($E135,Roadmap!$D:$D,0)-1+COUNTIF($E135:W135,"u")+COUNTIF($E135:W135,"t")+COUNTIF($E135:W135,"¶")+COUNTIF($E135:W135,"²")+COUNTIF($E135:W135,"µ")+COUNTIF($E135:W135,1),ColDescriptionCourte)),""),
  "")),"")</f>
        <v/>
      </c>
      <c r="Y135" s="40" t="str">
        <f ca="1">IFERROR(IF(AND(
  INDEX(Roadmap!$D:$K,MATCH($E135,Roadmap!$D:$D,0)+COUNTIF($E135:X135,"u")+COUNTIF($E135:X135,"t")+COUNTIF($E135:X135,"¶")+COUNTIF($E135:X135,"²")+COUNTIF($E135:X135,"µ")+COUNTIF($E135:X135,1),ColLivraison)=Y$6,
  VLOOKUP($E135,INDIRECT("tri!"&amp; CHAR(64+ C0Col) &amp;":"&amp; CHAR(65+C0Col)),2,FALSE)&gt;COUNTIF($E135:X135,"u")+COUNTIF($E135:X135,"t")+COUNTIF($E135:X135,"¶")+COUNTIF($E135:X135,"²")+COUNTIF($E135:X135,"µ")+COUNTIF($E135:X135,1)),
HYPERLINK("#Roadmap!C"&amp; MATCH($E135,Roadmap!$D:$D,0)+COUNTIF($E135:X135,"u")+COUNTIF($E135:X135,"t"),
     INDEX(Roadmap!$D:$K,MATCH($E135,Roadmap!$D:$D,0)+COUNTIF($E135:X135,"u")+COUNTIF($E135:X135,"t")+COUNTIF($E135:X135,"¶")+COUNTIF($E135:X135,"²")+COUNTIF($E135:X135,"µ")+COUNTIF($E135:X135,1),ColTypeEcheance)),
  IF(LEN(X135)=1,
  IF(LEN(INDEX(Roadmap!$D:$K,MATCH($E135,Roadmap!$D:$D,0)-1+COUNTIF($E135:X135,"u")+COUNTIF($E135:X135,"t")+COUNTIF($E135:X135,"¶")+COUNTIF($E135:X135,"²")+COUNTIF($E135:X135,"µ")+COUNTIF($E135:X135,1),ColDescriptionCourte))&gt;1,
HYPERLINK("#Roadmap!C"&amp; MATCH($E135,Roadmap!$D:$D,0)+COUNTIF($E135:X135,"u")+COUNTIF($E135:X135,"t")+COUNTIF($E135:X135,"¶")+COUNTIF($E135:X135,"²")+COUNTIF($E135:X135,"µ")+COUNTIF($E135:X135,1)-1,INDEX(Roadmap!$D:$K,MATCH($E135,Roadmap!$D:$D,0)-1+COUNTIF($E135:X135,"u")+COUNTIF($E135:X135,"t")+COUNTIF($E135:X135,"¶")+COUNTIF($E135:X135,"²")+COUNTIF($E135:X135,"µ")+COUNTIF($E135:X135,1),ColDescriptionCourte)),""),
  "")),"")</f>
        <v/>
      </c>
      <c r="Z135" s="40" t="str">
        <f ca="1">IFERROR(IF(AND(
  INDEX(Roadmap!$D:$K,MATCH($E135,Roadmap!$D:$D,0)+COUNTIF($E135:Y135,"u")+COUNTIF($E135:Y135,"t")+COUNTIF($E135:Y135,"¶")+COUNTIF($E135:Y135,"²")+COUNTIF($E135:Y135,"µ")+COUNTIF($E135:Y135,1),ColLivraison)=Z$6,
  VLOOKUP($E135,INDIRECT("tri!"&amp; CHAR(64+ C0Col) &amp;":"&amp; CHAR(65+C0Col)),2,FALSE)&gt;COUNTIF($E135:Y135,"u")+COUNTIF($E135:Y135,"t")+COUNTIF($E135:Y135,"¶")+COUNTIF($E135:Y135,"²")+COUNTIF($E135:Y135,"µ")+COUNTIF($E135:Y135,1)),
HYPERLINK("#Roadmap!C"&amp; MATCH($E135,Roadmap!$D:$D,0)+COUNTIF($E135:Y135,"u")+COUNTIF($E135:Y135,"t"),
     INDEX(Roadmap!$D:$K,MATCH($E135,Roadmap!$D:$D,0)+COUNTIF($E135:Y135,"u")+COUNTIF($E135:Y135,"t")+COUNTIF($E135:Y135,"¶")+COUNTIF($E135:Y135,"²")+COUNTIF($E135:Y135,"µ")+COUNTIF($E135:Y135,1),ColTypeEcheance)),
  IF(LEN(Y135)=1,
  IF(LEN(INDEX(Roadmap!$D:$K,MATCH($E135,Roadmap!$D:$D,0)-1+COUNTIF($E135:Y135,"u")+COUNTIF($E135:Y135,"t")+COUNTIF($E135:Y135,"¶")+COUNTIF($E135:Y135,"²")+COUNTIF($E135:Y135,"µ")+COUNTIF($E135:Y135,1),ColDescriptionCourte))&gt;1,
HYPERLINK("#Roadmap!C"&amp; MATCH($E135,Roadmap!$D:$D,0)+COUNTIF($E135:Y135,"u")+COUNTIF($E135:Y135,"t")+COUNTIF($E135:Y135,"¶")+COUNTIF($E135:Y135,"²")+COUNTIF($E135:Y135,"µ")+COUNTIF($E135:Y135,1)-1,INDEX(Roadmap!$D:$K,MATCH($E135,Roadmap!$D:$D,0)-1+COUNTIF($E135:Y135,"u")+COUNTIF($E135:Y135,"t")+COUNTIF($E135:Y135,"¶")+COUNTIF($E135:Y135,"²")+COUNTIF($E135:Y135,"µ")+COUNTIF($E135:Y135,1),ColDescriptionCourte)),""),
  "")),"")</f>
        <v/>
      </c>
      <c r="AA135" s="40" t="str">
        <f ca="1">IFERROR(IF(AND(
  INDEX(Roadmap!$D:$K,MATCH($E135,Roadmap!$D:$D,0)+COUNTIF($E135:Z135,"u")+COUNTIF($E135:Z135,"t")+COUNTIF($E135:Z135,"¶")+COUNTIF($E135:Z135,"²")+COUNTIF($E135:Z135,"µ")+COUNTIF($E135:Z135,1),ColLivraison)=AA$6,
  VLOOKUP($E135,INDIRECT("tri!"&amp; CHAR(64+ C0Col) &amp;":"&amp; CHAR(65+C0Col)),2,FALSE)&gt;COUNTIF($E135:Z135,"u")+COUNTIF($E135:Z135,"t")+COUNTIF($E135:Z135,"¶")+COUNTIF($E135:Z135,"²")+COUNTIF($E135:Z135,"µ")+COUNTIF($E135:Z135,1)),
HYPERLINK("#Roadmap!C"&amp; MATCH($E135,Roadmap!$D:$D,0)+COUNTIF($E135:Z135,"u")+COUNTIF($E135:Z135,"t"),
     INDEX(Roadmap!$D:$K,MATCH($E135,Roadmap!$D:$D,0)+COUNTIF($E135:Z135,"u")+COUNTIF($E135:Z135,"t")+COUNTIF($E135:Z135,"¶")+COUNTIF($E135:Z135,"²")+COUNTIF($E135:Z135,"µ")+COUNTIF($E135:Z135,1),ColTypeEcheance)),
  IF(LEN(Z135)=1,
  IF(LEN(INDEX(Roadmap!$D:$K,MATCH($E135,Roadmap!$D:$D,0)-1+COUNTIF($E135:Z135,"u")+COUNTIF($E135:Z135,"t")+COUNTIF($E135:Z135,"¶")+COUNTIF($E135:Z135,"²")+COUNTIF($E135:Z135,"µ")+COUNTIF($E135:Z135,1),ColDescriptionCourte))&gt;1,
HYPERLINK("#Roadmap!C"&amp; MATCH($E135,Roadmap!$D:$D,0)+COUNTIF($E135:Z135,"u")+COUNTIF($E135:Z135,"t")+COUNTIF($E135:Z135,"¶")+COUNTIF($E135:Z135,"²")+COUNTIF($E135:Z135,"µ")+COUNTIF($E135:Z135,1)-1,INDEX(Roadmap!$D:$K,MATCH($E135,Roadmap!$D:$D,0)-1+COUNTIF($E135:Z135,"u")+COUNTIF($E135:Z135,"t")+COUNTIF($E135:Z135,"¶")+COUNTIF($E135:Z135,"²")+COUNTIF($E135:Z135,"µ")+COUNTIF($E135:Z135,1),ColDescriptionCourte)),""),
  "")),"")</f>
        <v/>
      </c>
      <c r="AB135" s="40" t="str">
        <f ca="1">IFERROR(IF(AND(
  INDEX(Roadmap!$D:$K,MATCH($E135,Roadmap!$D:$D,0)+COUNTIF($E135:AA135,"u")+COUNTIF($E135:AA135,"t")+COUNTIF($E135:AA135,"¶")+COUNTIF($E135:AA135,"²")+COUNTIF($E135:AA135,"µ")+COUNTIF($E135:AA135,1),ColLivraison)=AB$6,
  VLOOKUP($E135,INDIRECT("tri!"&amp; CHAR(64+ C0Col) &amp;":"&amp; CHAR(65+C0Col)),2,FALSE)&gt;COUNTIF($E135:AA135,"u")+COUNTIF($E135:AA135,"t")+COUNTIF($E135:AA135,"¶")+COUNTIF($E135:AA135,"²")+COUNTIF($E135:AA135,"µ")+COUNTIF($E135:AA135,1)),
HYPERLINK("#Roadmap!C"&amp; MATCH($E135,Roadmap!$D:$D,0)+COUNTIF($E135:AA135,"u")+COUNTIF($E135:AA135,"t"),
     INDEX(Roadmap!$D:$K,MATCH($E135,Roadmap!$D:$D,0)+COUNTIF($E135:AA135,"u")+COUNTIF($E135:AA135,"t")+COUNTIF($E135:AA135,"¶")+COUNTIF($E135:AA135,"²")+COUNTIF($E135:AA135,"µ")+COUNTIF($E135:AA135,1),ColTypeEcheance)),
  IF(LEN(AA135)=1,
  IF(LEN(INDEX(Roadmap!$D:$K,MATCH($E135,Roadmap!$D:$D,0)-1+COUNTIF($E135:AA135,"u")+COUNTIF($E135:AA135,"t")+COUNTIF($E135:AA135,"¶")+COUNTIF($E135:AA135,"²")+COUNTIF($E135:AA135,"µ")+COUNTIF($E135:AA135,1),ColDescriptionCourte))&gt;1,
HYPERLINK("#Roadmap!C"&amp; MATCH($E135,Roadmap!$D:$D,0)+COUNTIF($E135:AA135,"u")+COUNTIF($E135:AA135,"t")+COUNTIF($E135:AA135,"¶")+COUNTIF($E135:AA135,"²")+COUNTIF($E135:AA135,"µ")+COUNTIF($E135:AA135,1)-1,INDEX(Roadmap!$D:$K,MATCH($E135,Roadmap!$D:$D,0)-1+COUNTIF($E135:AA135,"u")+COUNTIF($E135:AA135,"t")+COUNTIF($E135:AA135,"¶")+COUNTIF($E135:AA135,"²")+COUNTIF($E135:AA135,"µ")+COUNTIF($E135:AA135,1),ColDescriptionCourte)),""),
  "")),"")</f>
        <v/>
      </c>
      <c r="AC135" s="40" t="str">
        <f ca="1">IFERROR(IF(AND(
  INDEX(Roadmap!$D:$K,MATCH($E135,Roadmap!$D:$D,0)+COUNTIF($E135:AB135,"u")+COUNTIF($E135:AB135,"t")+COUNTIF($E135:AB135,"¶")+COUNTIF($E135:AB135,"²")+COUNTIF($E135:AB135,"µ")+COUNTIF($E135:AB135,1),ColLivraison)=AC$6,
  VLOOKUP($E135,INDIRECT("tri!"&amp; CHAR(64+ C0Col) &amp;":"&amp; CHAR(65+C0Col)),2,FALSE)&gt;COUNTIF($E135:AB135,"u")+COUNTIF($E135:AB135,"t")+COUNTIF($E135:AB135,"¶")+COUNTIF($E135:AB135,"²")+COUNTIF($E135:AB135,"µ")+COUNTIF($E135:AB135,1)),
HYPERLINK("#Roadmap!C"&amp; MATCH($E135,Roadmap!$D:$D,0)+COUNTIF($E135:AB135,"u")+COUNTIF($E135:AB135,"t"),
     INDEX(Roadmap!$D:$K,MATCH($E135,Roadmap!$D:$D,0)+COUNTIF($E135:AB135,"u")+COUNTIF($E135:AB135,"t")+COUNTIF($E135:AB135,"¶")+COUNTIF($E135:AB135,"²")+COUNTIF($E135:AB135,"µ")+COUNTIF($E135:AB135,1),ColTypeEcheance)),
  IF(LEN(AB135)=1,
  IF(LEN(INDEX(Roadmap!$D:$K,MATCH($E135,Roadmap!$D:$D,0)-1+COUNTIF($E135:AB135,"u")+COUNTIF($E135:AB135,"t")+COUNTIF($E135:AB135,"¶")+COUNTIF($E135:AB135,"²")+COUNTIF($E135:AB135,"µ")+COUNTIF($E135:AB135,1),ColDescriptionCourte))&gt;1,
HYPERLINK("#Roadmap!C"&amp; MATCH($E135,Roadmap!$D:$D,0)+COUNTIF($E135:AB135,"u")+COUNTIF($E135:AB135,"t")+COUNTIF($E135:AB135,"¶")+COUNTIF($E135:AB135,"²")+COUNTIF($E135:AB135,"µ")+COUNTIF($E135:AB135,1)-1,INDEX(Roadmap!$D:$K,MATCH($E135,Roadmap!$D:$D,0)-1+COUNTIF($E135:AB135,"u")+COUNTIF($E135:AB135,"t")+COUNTIF($E135:AB135,"¶")+COUNTIF($E135:AB135,"²")+COUNTIF($E135:AB135,"µ")+COUNTIF($E135:AB135,1),ColDescriptionCourte)),""),
  "")),"")</f>
        <v/>
      </c>
      <c r="AD135" s="40" t="str">
        <f ca="1">IFERROR(IF(AND(
  INDEX(Roadmap!$D:$K,MATCH($E135,Roadmap!$D:$D,0)+COUNTIF($E135:AC135,"u")+COUNTIF($E135:AC135,"t")+COUNTIF($E135:AC135,"¶")+COUNTIF($E135:AC135,"²")+COUNTIF($E135:AC135,"µ")+COUNTIF($E135:AC135,1),ColLivraison)=AD$6,
  VLOOKUP($E135,INDIRECT("tri!"&amp; CHAR(64+ C0Col) &amp;":"&amp; CHAR(65+C0Col)),2,FALSE)&gt;COUNTIF($E135:AC135,"u")+COUNTIF($E135:AC135,"t")+COUNTIF($E135:AC135,"¶")+COUNTIF($E135:AC135,"²")+COUNTIF($E135:AC135,"µ")+COUNTIF($E135:AC135,1)),
HYPERLINK("#Roadmap!C"&amp; MATCH($E135,Roadmap!$D:$D,0)+COUNTIF($E135:AC135,"u")+COUNTIF($E135:AC135,"t"),
     INDEX(Roadmap!$D:$K,MATCH($E135,Roadmap!$D:$D,0)+COUNTIF($E135:AC135,"u")+COUNTIF($E135:AC135,"t")+COUNTIF($E135:AC135,"¶")+COUNTIF($E135:AC135,"²")+COUNTIF($E135:AC135,"µ")+COUNTIF($E135:AC135,1),ColTypeEcheance)),
  IF(LEN(AC135)=1,
  IF(LEN(INDEX(Roadmap!$D:$K,MATCH($E135,Roadmap!$D:$D,0)-1+COUNTIF($E135:AC135,"u")+COUNTIF($E135:AC135,"t")+COUNTIF($E135:AC135,"¶")+COUNTIF($E135:AC135,"²")+COUNTIF($E135:AC135,"µ")+COUNTIF($E135:AC135,1),ColDescriptionCourte))&gt;1,
HYPERLINK("#Roadmap!C"&amp; MATCH($E135,Roadmap!$D:$D,0)+COUNTIF($E135:AC135,"u")+COUNTIF($E135:AC135,"t")+COUNTIF($E135:AC135,"¶")+COUNTIF($E135:AC135,"²")+COUNTIF($E135:AC135,"µ")+COUNTIF($E135:AC135,1)-1,INDEX(Roadmap!$D:$K,MATCH($E135,Roadmap!$D:$D,0)-1+COUNTIF($E135:AC135,"u")+COUNTIF($E135:AC135,"t")+COUNTIF($E135:AC135,"¶")+COUNTIF($E135:AC135,"²")+COUNTIF($E135:AC135,"µ")+COUNTIF($E135:AC135,1),ColDescriptionCourte)),""),
  "")),"")</f>
        <v/>
      </c>
      <c r="AE135" s="40" t="str">
        <f ca="1">IFERROR(IF(AND(
  INDEX(Roadmap!$D:$K,MATCH($E135,Roadmap!$D:$D,0)+COUNTIF($E135:AD135,"u")+COUNTIF($E135:AD135,"t")+COUNTIF($E135:AD135,"¶")+COUNTIF($E135:AD135,"²")+COUNTIF($E135:AD135,"µ")+COUNTIF($E135:AD135,1),ColLivraison)=AE$6,
  VLOOKUP($E135,INDIRECT("tri!"&amp; CHAR(64+ C0Col) &amp;":"&amp; CHAR(65+C0Col)),2,FALSE)&gt;COUNTIF($E135:AD135,"u")+COUNTIF($E135:AD135,"t")+COUNTIF($E135:AD135,"¶")+COUNTIF($E135:AD135,"²")+COUNTIF($E135:AD135,"µ")+COUNTIF($E135:AD135,1)),
HYPERLINK("#Roadmap!C"&amp; MATCH($E135,Roadmap!$D:$D,0)+COUNTIF($E135:AD135,"u")+COUNTIF($E135:AD135,"t"),
     INDEX(Roadmap!$D:$K,MATCH($E135,Roadmap!$D:$D,0)+COUNTIF($E135:AD135,"u")+COUNTIF($E135:AD135,"t")+COUNTIF($E135:AD135,"¶")+COUNTIF($E135:AD135,"²")+COUNTIF($E135:AD135,"µ")+COUNTIF($E135:AD135,1),ColTypeEcheance)),
  IF(LEN(AD135)=1,
  IF(LEN(INDEX(Roadmap!$D:$K,MATCH($E135,Roadmap!$D:$D,0)-1+COUNTIF($E135:AD135,"u")+COUNTIF($E135:AD135,"t")+COUNTIF($E135:AD135,"¶")+COUNTIF($E135:AD135,"²")+COUNTIF($E135:AD135,"µ")+COUNTIF($E135:AD135,1),ColDescriptionCourte))&gt;1,
HYPERLINK("#Roadmap!C"&amp; MATCH($E135,Roadmap!$D:$D,0)+COUNTIF($E135:AD135,"u")+COUNTIF($E135:AD135,"t")+COUNTIF($E135:AD135,"¶")+COUNTIF($E135:AD135,"²")+COUNTIF($E135:AD135,"µ")+COUNTIF($E135:AD135,1)-1,INDEX(Roadmap!$D:$K,MATCH($E135,Roadmap!$D:$D,0)-1+COUNTIF($E135:AD135,"u")+COUNTIF($E135:AD135,"t")+COUNTIF($E135:AD135,"¶")+COUNTIF($E135:AD135,"²")+COUNTIF($E135:AD135,"µ")+COUNTIF($E135:AD135,1),ColDescriptionCourte)),""),
  "")),"")</f>
        <v/>
      </c>
      <c r="AF135" s="40" t="str">
        <f ca="1">IFERROR(IF(AND(
  INDEX(Roadmap!$D:$K,MATCH($E135,Roadmap!$D:$D,0)+COUNTIF($E135:AE135,"u")+COUNTIF($E135:AE135,"t")+COUNTIF($E135:AE135,"¶")+COUNTIF($E135:AE135,"²")+COUNTIF($E135:AE135,"µ")+COUNTIF($E135:AE135,1),ColLivraison)=AF$6,
  VLOOKUP($E135,INDIRECT("tri!"&amp; CHAR(64+ C0Col) &amp;":"&amp; CHAR(65+C0Col)),2,FALSE)&gt;COUNTIF($E135:AE135,"u")+COUNTIF($E135:AE135,"t")+COUNTIF($E135:AE135,"¶")+COUNTIF($E135:AE135,"²")+COUNTIF($E135:AE135,"µ")+COUNTIF($E135:AE135,1)),
HYPERLINK("#Roadmap!C"&amp; MATCH($E135,Roadmap!$D:$D,0)+COUNTIF($E135:AE135,"u")+COUNTIF($E135:AE135,"t"),
     INDEX(Roadmap!$D:$K,MATCH($E135,Roadmap!$D:$D,0)+COUNTIF($E135:AE135,"u")+COUNTIF($E135:AE135,"t")+COUNTIF($E135:AE135,"¶")+COUNTIF($E135:AE135,"²")+COUNTIF($E135:AE135,"µ")+COUNTIF($E135:AE135,1),ColTypeEcheance)),
  IF(LEN(AE135)=1,
  IF(LEN(INDEX(Roadmap!$D:$K,MATCH($E135,Roadmap!$D:$D,0)-1+COUNTIF($E135:AE135,"u")+COUNTIF($E135:AE135,"t")+COUNTIF($E135:AE135,"¶")+COUNTIF($E135:AE135,"²")+COUNTIF($E135:AE135,"µ")+COUNTIF($E135:AE135,1),ColDescriptionCourte))&gt;1,
HYPERLINK("#Roadmap!C"&amp; MATCH($E135,Roadmap!$D:$D,0)+COUNTIF($E135:AE135,"u")+COUNTIF($E135:AE135,"t")+COUNTIF($E135:AE135,"¶")+COUNTIF($E135:AE135,"²")+COUNTIF($E135:AE135,"µ")+COUNTIF($E135:AE135,1)-1,INDEX(Roadmap!$D:$K,MATCH($E135,Roadmap!$D:$D,0)-1+COUNTIF($E135:AE135,"u")+COUNTIF($E135:AE135,"t")+COUNTIF($E135:AE135,"¶")+COUNTIF($E135:AE135,"²")+COUNTIF($E135:AE135,"µ")+COUNTIF($E135:AE135,1),ColDescriptionCourte)),""),
  "")),"")</f>
        <v/>
      </c>
      <c r="AG135" s="40" t="str">
        <f ca="1">IFERROR(IF(AND(
  INDEX(Roadmap!$D:$K,MATCH($E135,Roadmap!$D:$D,0)+COUNTIF($E135:AF135,"u")+COUNTIF($E135:AF135,"t")+COUNTIF($E135:AF135,"¶")+COUNTIF($E135:AF135,"²")+COUNTIF($E135:AF135,"µ")+COUNTIF($E135:AF135,1),ColLivraison)=AG$6,
  VLOOKUP($E135,INDIRECT("tri!"&amp; CHAR(64+ C0Col) &amp;":"&amp; CHAR(65+C0Col)),2,FALSE)&gt;COUNTIF($E135:AF135,"u")+COUNTIF($E135:AF135,"t")+COUNTIF($E135:AF135,"¶")+COUNTIF($E135:AF135,"²")+COUNTIF($E135:AF135,"µ")+COUNTIF($E135:AF135,1)),
HYPERLINK("#Roadmap!C"&amp; MATCH($E135,Roadmap!$D:$D,0)+COUNTIF($E135:AF135,"u")+COUNTIF($E135:AF135,"t"),
     INDEX(Roadmap!$D:$K,MATCH($E135,Roadmap!$D:$D,0)+COUNTIF($E135:AF135,"u")+COUNTIF($E135:AF135,"t")+COUNTIF($E135:AF135,"¶")+COUNTIF($E135:AF135,"²")+COUNTIF($E135:AF135,"µ")+COUNTIF($E135:AF135,1),ColTypeEcheance)),
  IF(LEN(AF135)=1,
  IF(LEN(INDEX(Roadmap!$D:$K,MATCH($E135,Roadmap!$D:$D,0)-1+COUNTIF($E135:AF135,"u")+COUNTIF($E135:AF135,"t")+COUNTIF($E135:AF135,"¶")+COUNTIF($E135:AF135,"²")+COUNTIF($E135:AF135,"µ")+COUNTIF($E135:AF135,1),ColDescriptionCourte))&gt;1,
HYPERLINK("#Roadmap!C"&amp; MATCH($E135,Roadmap!$D:$D,0)+COUNTIF($E135:AF135,"u")+COUNTIF($E135:AF135,"t")+COUNTIF($E135:AF135,"¶")+COUNTIF($E135:AF135,"²")+COUNTIF($E135:AF135,"µ")+COUNTIF($E135:AF135,1)-1,INDEX(Roadmap!$D:$K,MATCH($E135,Roadmap!$D:$D,0)-1+COUNTIF($E135:AF135,"u")+COUNTIF($E135:AF135,"t")+COUNTIF($E135:AF135,"¶")+COUNTIF($E135:AF135,"²")+COUNTIF($E135:AF135,"µ")+COUNTIF($E135:AF135,1),ColDescriptionCourte)),""),
  "")),"")</f>
        <v/>
      </c>
      <c r="AH135" s="40" t="str">
        <f ca="1">IFERROR(IF(AND(
  INDEX(Roadmap!$D:$K,MATCH($E135,Roadmap!$D:$D,0)+COUNTIF($E135:AG135,"u")+COUNTIF($E135:AG135,"t")+COUNTIF($E135:AG135,1),ColLivraison)=AH$6,
  VLOOKUP($E135,INDIRECT("tri!"&amp; CHAR(64+ C0Col) &amp;":"&amp; CHAR(65+C0Col)),2,FALSE)&gt;COUNTIF($E135:AG135,"u")+COUNTIF($E135:AG135,"t")+COUNTIF($E135:AG135,1)),
HYPERLINK("#Roadmap!C"&amp; MATCH($E135,Roadmap!$D:$D,0)+COUNTIF($E135:AG135,"u")+COUNTIF($E135:AG135,"t"),
     INDEX(Roadmap!$D:$K,MATCH($E135,Roadmap!$D:$D,0)+COUNTIF($E135:AG135,"u")+COUNTIF($E135:AG135,"t")+COUNTIF($E135:AG135,1),ColTypeEcheance)),
  IF(OR(AG135="u",AG135="t",AG135=1),
  IF(LEN(INDEX(Roadmap!$D:$K,MATCH($E135,Roadmap!$D:$D,0)-1+COUNTIF($E135:AG135,"u")+COUNTIF($E135:AG135,"t")+COUNTIF($E135:AG135,1),ColDescriptionCourte))&gt;1,
HYPERLINK("#Roadmap!C"&amp; MATCH($E135,Roadmap!$D:$D,0)+COUNTIF($E135:AG135,"u")+COUNTIF($E135:AG135,"t")+COUNTIF($E135:AG135,1)-1,INDEX(Roadmap!$D:$K,MATCH($E135,Roadmap!$D:$D,0)-1+COUNTIF($E135:AG135,"u")+COUNTIF($E135:AG135,"t")+COUNTIF($E135:AG135,1),ColDescriptionCourte)),""),
  "")),"")</f>
        <v/>
      </c>
      <c r="AI135" s="40"/>
      <c r="AJ135" s="40"/>
      <c r="AK135" s="40"/>
      <c r="AL135" s="40"/>
      <c r="AM135" s="40"/>
    </row>
    <row r="136" spans="4:39" ht="14.1" customHeight="1">
      <c r="D136" s="20" t="str">
        <f t="shared" ca="1" si="31"/>
        <v/>
      </c>
      <c r="E136" s="53" t="str">
        <f t="shared" ca="1" si="32"/>
        <v/>
      </c>
      <c r="F136" s="39" t="str">
        <f ca="1">IFERROR(IF(AND(
  INDEX(Roadmap!$D:$K,MATCH($E136,Roadmap!$D:$D,0)+COUNTIF($E136:E136,"u")+COUNTIF($E136:E136,"t")+COUNTIF($E136:E136,"¶")+COUNTIF($E136:E136,"²")+COUNTIF($E136:E136,"µ")+COUNTIF($E136:E136,1),ColLivraison)=F$6,
  VLOOKUP($E136,INDIRECT("tri!"&amp; CHAR(64+ C0Col) &amp;":"&amp; CHAR(65+C0Col)),2,FALSE)&gt;COUNTIF($E136:E136,"u")+COUNTIF($E136:E136,"t")+COUNTIF($E136:E136,"¶")+COUNTIF($E136:E136,"²")+COUNTIF($E136:E136,"µ")+COUNTIF($E136:E136,1)),
HYPERLINK("#Roadmap!C"&amp; MATCH($E136,Roadmap!$D:$D,0)+COUNTIF($E136:E136,"u")+COUNTIF($E136:E136,"t"),
     INDEX(Roadmap!$D:$K,MATCH($E136,Roadmap!$D:$D,0)+COUNTIF($E136:E136,"u")+COUNTIF($E136:E136,"t")+COUNTIF($E136:E136,"¶")+COUNTIF($E136:E136,"²")+COUNTIF($E136:E136,"µ")+COUNTIF($E136:E136,1),ColTypeEcheance)),
  IF(LEN(E136)=1,
  IF(LEN(INDEX(Roadmap!$D:$K,MATCH($E136,Roadmap!$D:$D,0)-1+COUNTIF($E136:E136,"u")+COUNTIF($E136:E136,"t")+COUNTIF($E136:E136,"¶")+COUNTIF($E136:E136,"²")+COUNTIF($E136:E136,"µ")+COUNTIF($E136:E136,1),ColDescriptionCourte))&gt;1,
HYPERLINK("#Roadmap!C"&amp; MATCH($E136,Roadmap!$D:$D,0)+COUNTIF($E136:E136,"u")+COUNTIF($E136:E136,"t")+COUNTIF($E136:E136,"¶")+COUNTIF($E136:E136,"²")+COUNTIF($E136:E136,"µ")+COUNTIF($E136:E136,1)-1,INDEX(Roadmap!$D:$K,MATCH($E136,Roadmap!$D:$D,0)-1+COUNTIF($E136:E136,"u")+COUNTIF($E136:E136,"t")+COUNTIF($E136:E136,"¶")+COUNTIF($E136:E136,"²")+COUNTIF($E136:E136,"µ")+COUNTIF($E136:E136,1),ColDescriptionCourte)),""),
  "")),"")</f>
        <v/>
      </c>
      <c r="G136" s="40" t="str">
        <f ca="1">IFERROR(IF(AND(
  INDEX(Roadmap!$D:$K,MATCH($E136,Roadmap!$D:$D,0)+COUNTIF($E136:F136,"u")+COUNTIF($E136:F136,"t")+COUNTIF($E136:F136,"¶")+COUNTIF($E136:F136,"²")+COUNTIF($E136:F136,"µ")+COUNTIF($E136:F136,1),ColLivraison)=G$6,
  VLOOKUP($E136,INDIRECT("tri!"&amp; CHAR(64+ C0Col) &amp;":"&amp; CHAR(65+C0Col)),2,FALSE)&gt;COUNTIF($E136:F136,"u")+COUNTIF($E136:F136,"t")+COUNTIF($E136:F136,"¶")+COUNTIF($E136:F136,"²")+COUNTIF($E136:F136,"µ")+COUNTIF($E136:F136,1)),
HYPERLINK("#Roadmap!C"&amp; MATCH($E136,Roadmap!$D:$D,0)+COUNTIF($E136:F136,"u")+COUNTIF($E136:F136,"t"),
     INDEX(Roadmap!$D:$K,MATCH($E136,Roadmap!$D:$D,0)+COUNTIF($E136:F136,"u")+COUNTIF($E136:F136,"t")+COUNTIF($E136:F136,"¶")+COUNTIF($E136:F136,"²")+COUNTIF($E136:F136,"µ")+COUNTIF($E136:F136,1),ColTypeEcheance)),
  IF(LEN(F136)=1,
  IF(LEN(INDEX(Roadmap!$D:$K,MATCH($E136,Roadmap!$D:$D,0)-1+COUNTIF($E136:F136,"u")+COUNTIF($E136:F136,"t")+COUNTIF($E136:F136,"¶")+COUNTIF($E136:F136,"²")+COUNTIF($E136:F136,"µ")+COUNTIF($E136:F136,1),ColDescriptionCourte))&gt;1,
HYPERLINK("#Roadmap!C"&amp; MATCH($E136,Roadmap!$D:$D,0)+COUNTIF($E136:F136,"u")+COUNTIF($E136:F136,"t")+COUNTIF($E136:F136,"¶")+COUNTIF($E136:F136,"²")+COUNTIF($E136:F136,"µ")+COUNTIF($E136:F136,1)-1,INDEX(Roadmap!$D:$K,MATCH($E136,Roadmap!$D:$D,0)-1+COUNTIF($E136:F136,"u")+COUNTIF($E136:F136,"t")+COUNTIF($E136:F136,"¶")+COUNTIF($E136:F136,"²")+COUNTIF($E136:F136,"µ")+COUNTIF($E136:F136,1),ColDescriptionCourte)),""),
  "")),"")</f>
        <v/>
      </c>
      <c r="H136" s="40" t="str">
        <f ca="1">IFERROR(IF(AND(
  INDEX(Roadmap!$D:$K,MATCH($E136,Roadmap!$D:$D,0)+COUNTIF($E136:G136,"u")+COUNTIF($E136:G136,"t")+COUNTIF($E136:G136,"¶")+COUNTIF($E136:G136,"²")+COUNTIF($E136:G136,"µ")+COUNTIF($E136:G136,1),ColLivraison)=H$6,
  VLOOKUP($E136,INDIRECT("tri!"&amp; CHAR(64+ C0Col) &amp;":"&amp; CHAR(65+C0Col)),2,FALSE)&gt;COUNTIF($E136:G136,"u")+COUNTIF($E136:G136,"t")+COUNTIF($E136:G136,"¶")+COUNTIF($E136:G136,"²")+COUNTIF($E136:G136,"µ")+COUNTIF($E136:G136,1)),
HYPERLINK("#Roadmap!C"&amp; MATCH($E136,Roadmap!$D:$D,0)+COUNTIF($E136:G136,"u")+COUNTIF($E136:G136,"t"),
     INDEX(Roadmap!$D:$K,MATCH($E136,Roadmap!$D:$D,0)+COUNTIF($E136:G136,"u")+COUNTIF($E136:G136,"t")+COUNTIF($E136:G136,"¶")+COUNTIF($E136:G136,"²")+COUNTIF($E136:G136,"µ")+COUNTIF($E136:G136,1),ColTypeEcheance)),
  IF(LEN(G136)=1,
  IF(LEN(INDEX(Roadmap!$D:$K,MATCH($E136,Roadmap!$D:$D,0)-1+COUNTIF($E136:G136,"u")+COUNTIF($E136:G136,"t")+COUNTIF($E136:G136,"¶")+COUNTIF($E136:G136,"²")+COUNTIF($E136:G136,"µ")+COUNTIF($E136:G136,1),ColDescriptionCourte))&gt;1,
HYPERLINK("#Roadmap!C"&amp; MATCH($E136,Roadmap!$D:$D,0)+COUNTIF($E136:G136,"u")+COUNTIF($E136:G136,"t")+COUNTIF($E136:G136,"¶")+COUNTIF($E136:G136,"²")+COUNTIF($E136:G136,"µ")+COUNTIF($E136:G136,1)-1,INDEX(Roadmap!$D:$K,MATCH($E136,Roadmap!$D:$D,0)-1+COUNTIF($E136:G136,"u")+COUNTIF($E136:G136,"t")+COUNTIF($E136:G136,"¶")+COUNTIF($E136:G136,"²")+COUNTIF($E136:G136,"µ")+COUNTIF($E136:G136,1),ColDescriptionCourte)),""),
  "")),"")</f>
        <v/>
      </c>
      <c r="I136" s="40" t="str">
        <f ca="1">IFERROR(IF(AND(
  INDEX(Roadmap!$D:$K,MATCH($E136,Roadmap!$D:$D,0)+COUNTIF($E136:H136,"u")+COUNTIF($E136:H136,"t")+COUNTIF($E136:H136,"¶")+COUNTIF($E136:H136,"²")+COUNTIF($E136:H136,"µ")+COUNTIF($E136:H136,1),ColLivraison)=I$6,
  VLOOKUP($E136,INDIRECT("tri!"&amp; CHAR(64+ C0Col) &amp;":"&amp; CHAR(65+C0Col)),2,FALSE)&gt;COUNTIF($E136:H136,"u")+COUNTIF($E136:H136,"t")+COUNTIF($E136:H136,"¶")+COUNTIF($E136:H136,"²")+COUNTIF($E136:H136,"µ")+COUNTIF($E136:H136,1)),
HYPERLINK("#Roadmap!C"&amp; MATCH($E136,Roadmap!$D:$D,0)+COUNTIF($E136:H136,"u")+COUNTIF($E136:H136,"t"),
     INDEX(Roadmap!$D:$K,MATCH($E136,Roadmap!$D:$D,0)+COUNTIF($E136:H136,"u")+COUNTIF($E136:H136,"t")+COUNTIF($E136:H136,"¶")+COUNTIF($E136:H136,"²")+COUNTIF($E136:H136,"µ")+COUNTIF($E136:H136,1),ColTypeEcheance)),
  IF(LEN(H136)=1,
  IF(LEN(INDEX(Roadmap!$D:$K,MATCH($E136,Roadmap!$D:$D,0)-1+COUNTIF($E136:H136,"u")+COUNTIF($E136:H136,"t")+COUNTIF($E136:H136,"¶")+COUNTIF($E136:H136,"²")+COUNTIF($E136:H136,"µ")+COUNTIF($E136:H136,1),ColDescriptionCourte))&gt;1,
HYPERLINK("#Roadmap!C"&amp; MATCH($E136,Roadmap!$D:$D,0)+COUNTIF($E136:H136,"u")+COUNTIF($E136:H136,"t")+COUNTIF($E136:H136,"¶")+COUNTIF($E136:H136,"²")+COUNTIF($E136:H136,"µ")+COUNTIF($E136:H136,1)-1,INDEX(Roadmap!$D:$K,MATCH($E136,Roadmap!$D:$D,0)-1+COUNTIF($E136:H136,"u")+COUNTIF($E136:H136,"t")+COUNTIF($E136:H136,"¶")+COUNTIF($E136:H136,"²")+COUNTIF($E136:H136,"µ")+COUNTIF($E136:H136,1),ColDescriptionCourte)),""),
  "")),"")</f>
        <v/>
      </c>
      <c r="J136" s="40" t="str">
        <f ca="1">IFERROR(IF(AND(
  INDEX(Roadmap!$D:$K,MATCH($E136,Roadmap!$D:$D,0)+COUNTIF($E136:I136,"u")+COUNTIF($E136:I136,"t")+COUNTIF($E136:I136,"¶")+COUNTIF($E136:I136,"²")+COUNTIF($E136:I136,"µ")+COUNTIF($E136:I136,1),ColLivraison)=J$6,
  VLOOKUP($E136,INDIRECT("tri!"&amp; CHAR(64+ C0Col) &amp;":"&amp; CHAR(65+C0Col)),2,FALSE)&gt;COUNTIF($E136:I136,"u")+COUNTIF($E136:I136,"t")+COUNTIF($E136:I136,"¶")+COUNTIF($E136:I136,"²")+COUNTIF($E136:I136,"µ")+COUNTIF($E136:I136,1)),
HYPERLINK("#Roadmap!C"&amp; MATCH($E136,Roadmap!$D:$D,0)+COUNTIF($E136:I136,"u")+COUNTIF($E136:I136,"t"),
     INDEX(Roadmap!$D:$K,MATCH($E136,Roadmap!$D:$D,0)+COUNTIF($E136:I136,"u")+COUNTIF($E136:I136,"t")+COUNTIF($E136:I136,"¶")+COUNTIF($E136:I136,"²")+COUNTIF($E136:I136,"µ")+COUNTIF($E136:I136,1),ColTypeEcheance)),
  IF(LEN(I136)=1,
  IF(LEN(INDEX(Roadmap!$D:$K,MATCH($E136,Roadmap!$D:$D,0)-1+COUNTIF($E136:I136,"u")+COUNTIF($E136:I136,"t")+COUNTIF($E136:I136,"¶")+COUNTIF($E136:I136,"²")+COUNTIF($E136:I136,"µ")+COUNTIF($E136:I136,1),ColDescriptionCourte))&gt;1,
HYPERLINK("#Roadmap!C"&amp; MATCH($E136,Roadmap!$D:$D,0)+COUNTIF($E136:I136,"u")+COUNTIF($E136:I136,"t")+COUNTIF($E136:I136,"¶")+COUNTIF($E136:I136,"²")+COUNTIF($E136:I136,"µ")+COUNTIF($E136:I136,1)-1,INDEX(Roadmap!$D:$K,MATCH($E136,Roadmap!$D:$D,0)-1+COUNTIF($E136:I136,"u")+COUNTIF($E136:I136,"t")+COUNTIF($E136:I136,"¶")+COUNTIF($E136:I136,"²")+COUNTIF($E136:I136,"µ")+COUNTIF($E136:I136,1),ColDescriptionCourte)),""),
  "")),"")</f>
        <v/>
      </c>
      <c r="K136" s="40" t="str">
        <f ca="1">IFERROR(IF(AND(
  INDEX(Roadmap!$D:$K,MATCH($E136,Roadmap!$D:$D,0)+COUNTIF($E136:J136,"u")+COUNTIF($E136:J136,"t")+COUNTIF($E136:J136,"¶")+COUNTIF($E136:J136,"²")+COUNTIF($E136:J136,"µ")+COUNTIF($E136:J136,1),ColLivraison)=K$6,
  VLOOKUP($E136,INDIRECT("tri!"&amp; CHAR(64+ C0Col) &amp;":"&amp; CHAR(65+C0Col)),2,FALSE)&gt;COUNTIF($E136:J136,"u")+COUNTIF($E136:J136,"t")+COUNTIF($E136:J136,"¶")+COUNTIF($E136:J136,"²")+COUNTIF($E136:J136,"µ")+COUNTIF($E136:J136,1)),
HYPERLINK("#Roadmap!C"&amp; MATCH($E136,Roadmap!$D:$D,0)+COUNTIF($E136:J136,"u")+COUNTIF($E136:J136,"t"),
     INDEX(Roadmap!$D:$K,MATCH($E136,Roadmap!$D:$D,0)+COUNTIF($E136:J136,"u")+COUNTIF($E136:J136,"t")+COUNTIF($E136:J136,"¶")+COUNTIF($E136:J136,"²")+COUNTIF($E136:J136,"µ")+COUNTIF($E136:J136,1),ColTypeEcheance)),
  IF(LEN(J136)=1,
  IF(LEN(INDEX(Roadmap!$D:$K,MATCH($E136,Roadmap!$D:$D,0)-1+COUNTIF($E136:J136,"u")+COUNTIF($E136:J136,"t")+COUNTIF($E136:J136,"¶")+COUNTIF($E136:J136,"²")+COUNTIF($E136:J136,"µ")+COUNTIF($E136:J136,1),ColDescriptionCourte))&gt;1,
HYPERLINK("#Roadmap!C"&amp; MATCH($E136,Roadmap!$D:$D,0)+COUNTIF($E136:J136,"u")+COUNTIF($E136:J136,"t")+COUNTIF($E136:J136,"¶")+COUNTIF($E136:J136,"²")+COUNTIF($E136:J136,"µ")+COUNTIF($E136:J136,1)-1,INDEX(Roadmap!$D:$K,MATCH($E136,Roadmap!$D:$D,0)-1+COUNTIF($E136:J136,"u")+COUNTIF($E136:J136,"t")+COUNTIF($E136:J136,"¶")+COUNTIF($E136:J136,"²")+COUNTIF($E136:J136,"µ")+COUNTIF($E136:J136,1),ColDescriptionCourte)),""),
  "")),"")</f>
        <v/>
      </c>
      <c r="L136" s="39" t="str">
        <f ca="1">IFERROR(IF(AND(
  INDEX(Roadmap!$D:$K,MATCH($E136,Roadmap!$D:$D,0)+COUNTIF($E136:K136,"u")+COUNTIF($E136:K136,"t")+COUNTIF($E136:K136,"¶")+COUNTIF($E136:K136,"²")+COUNTIF($E136:K136,"µ")+COUNTIF($E136:K136,1),ColLivraison)=L$6,
  VLOOKUP($E136,INDIRECT("tri!"&amp; CHAR(64+ C0Col) &amp;":"&amp; CHAR(65+C0Col)),2,FALSE)&gt;COUNTIF($E136:K136,"u")+COUNTIF($E136:K136,"t")+COUNTIF($E136:K136,"¶")+COUNTIF($E136:K136,"²")+COUNTIF($E136:K136,"µ")+COUNTIF($E136:K136,1)),
HYPERLINK("#Roadmap!C"&amp; MATCH($E136,Roadmap!$D:$D,0)+COUNTIF($E136:K136,"u")+COUNTIF($E136:K136,"t"),
     INDEX(Roadmap!$D:$K,MATCH($E136,Roadmap!$D:$D,0)+COUNTIF($E136:K136,"u")+COUNTIF($E136:K136,"t")+COUNTIF($E136:K136,"¶")+COUNTIF($E136:K136,"²")+COUNTIF($E136:K136,"µ")+COUNTIF($E136:K136,1),ColTypeEcheance)),
  IF(LEN(K136)=1,
  IF(LEN(INDEX(Roadmap!$D:$K,MATCH($E136,Roadmap!$D:$D,0)-1+COUNTIF($E136:K136,"u")+COUNTIF($E136:K136,"t")+COUNTIF($E136:K136,"¶")+COUNTIF($E136:K136,"²")+COUNTIF($E136:K136,"µ")+COUNTIF($E136:K136,1),ColDescriptionCourte))&gt;1,
HYPERLINK("#Roadmap!C"&amp; MATCH($E136,Roadmap!$D:$D,0)+COUNTIF($E136:K136,"u")+COUNTIF($E136:K136,"t")+COUNTIF($E136:K136,"¶")+COUNTIF($E136:K136,"²")+COUNTIF($E136:K136,"µ")+COUNTIF($E136:K136,1)-1,INDEX(Roadmap!$D:$K,MATCH($E136,Roadmap!$D:$D,0)-1+COUNTIF($E136:K136,"u")+COUNTIF($E136:K136,"t")+COUNTIF($E136:K136,"¶")+COUNTIF($E136:K136,"²")+COUNTIF($E136:K136,"µ")+COUNTIF($E136:K136,1),ColDescriptionCourte)),""),
  "")),"")</f>
        <v/>
      </c>
      <c r="M136" s="40" t="str">
        <f ca="1">IFERROR(IF(AND(
  INDEX(Roadmap!$D:$K,MATCH($E136,Roadmap!$D:$D,0)+COUNTIF($E136:L136,"u")+COUNTIF($E136:L136,"t")+COUNTIF($E136:L136,"¶")+COUNTIF($E136:L136,"²")+COUNTIF($E136:L136,"µ")+COUNTIF($E136:L136,1),ColLivraison)=M$6,
  VLOOKUP($E136,INDIRECT("tri!"&amp; CHAR(64+ C0Col) &amp;":"&amp; CHAR(65+C0Col)),2,FALSE)&gt;COUNTIF($E136:L136,"u")+COUNTIF($E136:L136,"t")+COUNTIF($E136:L136,"¶")+COUNTIF($E136:L136,"²")+COUNTIF($E136:L136,"µ")+COUNTIF($E136:L136,1)),
HYPERLINK("#Roadmap!C"&amp; MATCH($E136,Roadmap!$D:$D,0)+COUNTIF($E136:L136,"u")+COUNTIF($E136:L136,"t"),
     INDEX(Roadmap!$D:$K,MATCH($E136,Roadmap!$D:$D,0)+COUNTIF($E136:L136,"u")+COUNTIF($E136:L136,"t")+COUNTIF($E136:L136,"¶")+COUNTIF($E136:L136,"²")+COUNTIF($E136:L136,"µ")+COUNTIF($E136:L136,1),ColTypeEcheance)),
  IF(LEN(L136)=1,
  IF(LEN(INDEX(Roadmap!$D:$K,MATCH($E136,Roadmap!$D:$D,0)-1+COUNTIF($E136:L136,"u")+COUNTIF($E136:L136,"t")+COUNTIF($E136:L136,"¶")+COUNTIF($E136:L136,"²")+COUNTIF($E136:L136,"µ")+COUNTIF($E136:L136,1),ColDescriptionCourte))&gt;1,
HYPERLINK("#Roadmap!C"&amp; MATCH($E136,Roadmap!$D:$D,0)+COUNTIF($E136:L136,"u")+COUNTIF($E136:L136,"t")+COUNTIF($E136:L136,"¶")+COUNTIF($E136:L136,"²")+COUNTIF($E136:L136,"µ")+COUNTIF($E136:L136,1)-1,INDEX(Roadmap!$D:$K,MATCH($E136,Roadmap!$D:$D,0)-1+COUNTIF($E136:L136,"u")+COUNTIF($E136:L136,"t")+COUNTIF($E136:L136,"¶")+COUNTIF($E136:L136,"²")+COUNTIF($E136:L136,"µ")+COUNTIF($E136:L136,1),ColDescriptionCourte)),""),
  "")),"")</f>
        <v/>
      </c>
      <c r="N136" s="40" t="str">
        <f ca="1">IFERROR(IF(AND(
  INDEX(Roadmap!$D:$K,MATCH($E136,Roadmap!$D:$D,0)+COUNTIF($E136:M136,"u")+COUNTIF($E136:M136,"t")+COUNTIF($E136:M136,"¶")+COUNTIF($E136:M136,"²")+COUNTIF($E136:M136,"µ")+COUNTIF($E136:M136,1),ColLivraison)=N$6,
  VLOOKUP($E136,INDIRECT("tri!"&amp; CHAR(64+ C0Col) &amp;":"&amp; CHAR(65+C0Col)),2,FALSE)&gt;COUNTIF($E136:M136,"u")+COUNTIF($E136:M136,"t")+COUNTIF($E136:M136,"¶")+COUNTIF($E136:M136,"²")+COUNTIF($E136:M136,"µ")+COUNTIF($E136:M136,1)),
HYPERLINK("#Roadmap!C"&amp; MATCH($E136,Roadmap!$D:$D,0)+COUNTIF($E136:M136,"u")+COUNTIF($E136:M136,"t"),
     INDEX(Roadmap!$D:$K,MATCH($E136,Roadmap!$D:$D,0)+COUNTIF($E136:M136,"u")+COUNTIF($E136:M136,"t")+COUNTIF($E136:M136,"¶")+COUNTIF($E136:M136,"²")+COUNTIF($E136:M136,"µ")+COUNTIF($E136:M136,1),ColTypeEcheance)),
  IF(LEN(M136)=1,
  IF(LEN(INDEX(Roadmap!$D:$K,MATCH($E136,Roadmap!$D:$D,0)-1+COUNTIF($E136:M136,"u")+COUNTIF($E136:M136,"t")+COUNTIF($E136:M136,"¶")+COUNTIF($E136:M136,"²")+COUNTIF($E136:M136,"µ")+COUNTIF($E136:M136,1),ColDescriptionCourte))&gt;1,
HYPERLINK("#Roadmap!C"&amp; MATCH($E136,Roadmap!$D:$D,0)+COUNTIF($E136:M136,"u")+COUNTIF($E136:M136,"t")+COUNTIF($E136:M136,"¶")+COUNTIF($E136:M136,"²")+COUNTIF($E136:M136,"µ")+COUNTIF($E136:M136,1)-1,INDEX(Roadmap!$D:$K,MATCH($E136,Roadmap!$D:$D,0)-1+COUNTIF($E136:M136,"u")+COUNTIF($E136:M136,"t")+COUNTIF($E136:M136,"¶")+COUNTIF($E136:M136,"²")+COUNTIF($E136:M136,"µ")+COUNTIF($E136:M136,1),ColDescriptionCourte)),""),
  "")),"")</f>
        <v/>
      </c>
      <c r="O136" s="40" t="str">
        <f ca="1">IFERROR(IF(AND(
  INDEX(Roadmap!$D:$K,MATCH($E136,Roadmap!$D:$D,0)+COUNTIF($E136:N136,"u")+COUNTIF($E136:N136,"t")+COUNTIF($E136:N136,"¶")+COUNTIF($E136:N136,"²")+COUNTIF($E136:N136,"µ")+COUNTIF($E136:N136,1),ColLivraison)=O$6,
  VLOOKUP($E136,INDIRECT("tri!"&amp; CHAR(64+ C0Col) &amp;":"&amp; CHAR(65+C0Col)),2,FALSE)&gt;COUNTIF($E136:N136,"u")+COUNTIF($E136:N136,"t")+COUNTIF($E136:N136,"¶")+COUNTIF($E136:N136,"²")+COUNTIF($E136:N136,"µ")+COUNTIF($E136:N136,1)),
HYPERLINK("#Roadmap!C"&amp; MATCH($E136,Roadmap!$D:$D,0)+COUNTIF($E136:N136,"u")+COUNTIF($E136:N136,"t"),
     INDEX(Roadmap!$D:$K,MATCH($E136,Roadmap!$D:$D,0)+COUNTIF($E136:N136,"u")+COUNTIF($E136:N136,"t")+COUNTIF($E136:N136,"¶")+COUNTIF($E136:N136,"²")+COUNTIF($E136:N136,"µ")+COUNTIF($E136:N136,1),ColTypeEcheance)),
  IF(LEN(N136)=1,
  IF(LEN(INDEX(Roadmap!$D:$K,MATCH($E136,Roadmap!$D:$D,0)-1+COUNTIF($E136:N136,"u")+COUNTIF($E136:N136,"t")+COUNTIF($E136:N136,"¶")+COUNTIF($E136:N136,"²")+COUNTIF($E136:N136,"µ")+COUNTIF($E136:N136,1),ColDescriptionCourte))&gt;1,
HYPERLINK("#Roadmap!C"&amp; MATCH($E136,Roadmap!$D:$D,0)+COUNTIF($E136:N136,"u")+COUNTIF($E136:N136,"t")+COUNTIF($E136:N136,"¶")+COUNTIF($E136:N136,"²")+COUNTIF($E136:N136,"µ")+COUNTIF($E136:N136,1)-1,INDEX(Roadmap!$D:$K,MATCH($E136,Roadmap!$D:$D,0)-1+COUNTIF($E136:N136,"u")+COUNTIF($E136:N136,"t")+COUNTIF($E136:N136,"¶")+COUNTIF($E136:N136,"²")+COUNTIF($E136:N136,"µ")+COUNTIF($E136:N136,1),ColDescriptionCourte)),""),
  "")),"")</f>
        <v/>
      </c>
      <c r="P136" s="40" t="str">
        <f ca="1">IFERROR(IF(AND(
  INDEX(Roadmap!$D:$K,MATCH($E136,Roadmap!$D:$D,0)+COUNTIF($E136:O136,"u")+COUNTIF($E136:O136,"t")+COUNTIF($E136:O136,"¶")+COUNTIF($E136:O136,"²")+COUNTIF($E136:O136,"µ")+COUNTIF($E136:O136,1),ColLivraison)=P$6,
  VLOOKUP($E136,INDIRECT("tri!"&amp; CHAR(64+ C0Col) &amp;":"&amp; CHAR(65+C0Col)),2,FALSE)&gt;COUNTIF($E136:O136,"u")+COUNTIF($E136:O136,"t")+COUNTIF($E136:O136,"¶")+COUNTIF($E136:O136,"²")+COUNTIF($E136:O136,"µ")+COUNTIF($E136:O136,1)),
HYPERLINK("#Roadmap!C"&amp; MATCH($E136,Roadmap!$D:$D,0)+COUNTIF($E136:O136,"u")+COUNTIF($E136:O136,"t"),
     INDEX(Roadmap!$D:$K,MATCH($E136,Roadmap!$D:$D,0)+COUNTIF($E136:O136,"u")+COUNTIF($E136:O136,"t")+COUNTIF($E136:O136,"¶")+COUNTIF($E136:O136,"²")+COUNTIF($E136:O136,"µ")+COUNTIF($E136:O136,1),ColTypeEcheance)),
  IF(LEN(O136)=1,
  IF(LEN(INDEX(Roadmap!$D:$K,MATCH($E136,Roadmap!$D:$D,0)-1+COUNTIF($E136:O136,"u")+COUNTIF($E136:O136,"t")+COUNTIF($E136:O136,"¶")+COUNTIF($E136:O136,"²")+COUNTIF($E136:O136,"µ")+COUNTIF($E136:O136,1),ColDescriptionCourte))&gt;1,
HYPERLINK("#Roadmap!C"&amp; MATCH($E136,Roadmap!$D:$D,0)+COUNTIF($E136:O136,"u")+COUNTIF($E136:O136,"t")+COUNTIF($E136:O136,"¶")+COUNTIF($E136:O136,"²")+COUNTIF($E136:O136,"µ")+COUNTIF($E136:O136,1)-1,INDEX(Roadmap!$D:$K,MATCH($E136,Roadmap!$D:$D,0)-1+COUNTIF($E136:O136,"u")+COUNTIF($E136:O136,"t")+COUNTIF($E136:O136,"¶")+COUNTIF($E136:O136,"²")+COUNTIF($E136:O136,"µ")+COUNTIF($E136:O136,1),ColDescriptionCourte)),""),
  "")),"")</f>
        <v/>
      </c>
      <c r="Q136" s="40" t="str">
        <f ca="1">IFERROR(IF(AND(
  INDEX(Roadmap!$D:$K,MATCH($E136,Roadmap!$D:$D,0)+COUNTIF($E136:P136,"u")+COUNTIF($E136:P136,"t")+COUNTIF($E136:P136,"¶")+COUNTIF($E136:P136,"²")+COUNTIF($E136:P136,"µ")+COUNTIF($E136:P136,1),ColLivraison)=Q$6,
  VLOOKUP($E136,INDIRECT("tri!"&amp; CHAR(64+ C0Col) &amp;":"&amp; CHAR(65+C0Col)),2,FALSE)&gt;COUNTIF($E136:P136,"u")+COUNTIF($E136:P136,"t")+COUNTIF($E136:P136,"¶")+COUNTIF($E136:P136,"²")+COUNTIF($E136:P136,"µ")+COUNTIF($E136:P136,1)),
HYPERLINK("#Roadmap!C"&amp; MATCH($E136,Roadmap!$D:$D,0)+COUNTIF($E136:P136,"u")+COUNTIF($E136:P136,"t"),
     INDEX(Roadmap!$D:$K,MATCH($E136,Roadmap!$D:$D,0)+COUNTIF($E136:P136,"u")+COUNTIF($E136:P136,"t")+COUNTIF($E136:P136,"¶")+COUNTIF($E136:P136,"²")+COUNTIF($E136:P136,"µ")+COUNTIF($E136:P136,1),ColTypeEcheance)),
  IF(LEN(P136)=1,
  IF(LEN(INDEX(Roadmap!$D:$K,MATCH($E136,Roadmap!$D:$D,0)-1+COUNTIF($E136:P136,"u")+COUNTIF($E136:P136,"t")+COUNTIF($E136:P136,"¶")+COUNTIF($E136:P136,"²")+COUNTIF($E136:P136,"µ")+COUNTIF($E136:P136,1),ColDescriptionCourte))&gt;1,
HYPERLINK("#Roadmap!C"&amp; MATCH($E136,Roadmap!$D:$D,0)+COUNTIF($E136:P136,"u")+COUNTIF($E136:P136,"t")+COUNTIF($E136:P136,"¶")+COUNTIF($E136:P136,"²")+COUNTIF($E136:P136,"µ")+COUNTIF($E136:P136,1)-1,INDEX(Roadmap!$D:$K,MATCH($E136,Roadmap!$D:$D,0)-1+COUNTIF($E136:P136,"u")+COUNTIF($E136:P136,"t")+COUNTIF($E136:P136,"¶")+COUNTIF($E136:P136,"²")+COUNTIF($E136:P136,"µ")+COUNTIF($E136:P136,1),ColDescriptionCourte)),""),
  "")),"")</f>
        <v/>
      </c>
      <c r="R136" s="40" t="str">
        <f ca="1">IFERROR(IF(AND(
  INDEX(Roadmap!$D:$K,MATCH($E136,Roadmap!$D:$D,0)+COUNTIF($E136:Q136,"u")+COUNTIF($E136:Q136,"t")+COUNTIF($E136:Q136,"¶")+COUNTIF($E136:Q136,"²")+COUNTIF($E136:Q136,"µ")+COUNTIF($E136:Q136,1),ColLivraison)=R$6,
  VLOOKUP($E136,INDIRECT("tri!"&amp; CHAR(64+ C0Col) &amp;":"&amp; CHAR(65+C0Col)),2,FALSE)&gt;COUNTIF($E136:Q136,"u")+COUNTIF($E136:Q136,"t")+COUNTIF($E136:Q136,"¶")+COUNTIF($E136:Q136,"²")+COUNTIF($E136:Q136,"µ")+COUNTIF($E136:Q136,1)),
HYPERLINK("#Roadmap!C"&amp; MATCH($E136,Roadmap!$D:$D,0)+COUNTIF($E136:Q136,"u")+COUNTIF($E136:Q136,"t"),
     INDEX(Roadmap!$D:$K,MATCH($E136,Roadmap!$D:$D,0)+COUNTIF($E136:Q136,"u")+COUNTIF($E136:Q136,"t")+COUNTIF($E136:Q136,"¶")+COUNTIF($E136:Q136,"²")+COUNTIF($E136:Q136,"µ")+COUNTIF($E136:Q136,1),ColTypeEcheance)),
  IF(LEN(Q136)=1,
  IF(LEN(INDEX(Roadmap!$D:$K,MATCH($E136,Roadmap!$D:$D,0)-1+COUNTIF($E136:Q136,"u")+COUNTIF($E136:Q136,"t")+COUNTIF($E136:Q136,"¶")+COUNTIF($E136:Q136,"²")+COUNTIF($E136:Q136,"µ")+COUNTIF($E136:Q136,1),ColDescriptionCourte))&gt;1,
HYPERLINK("#Roadmap!C"&amp; MATCH($E136,Roadmap!$D:$D,0)+COUNTIF($E136:Q136,"u")+COUNTIF($E136:Q136,"t")+COUNTIF($E136:Q136,"¶")+COUNTIF($E136:Q136,"²")+COUNTIF($E136:Q136,"µ")+COUNTIF($E136:Q136,1)-1,INDEX(Roadmap!$D:$K,MATCH($E136,Roadmap!$D:$D,0)-1+COUNTIF($E136:Q136,"u")+COUNTIF($E136:Q136,"t")+COUNTIF($E136:Q136,"¶")+COUNTIF($E136:Q136,"²")+COUNTIF($E136:Q136,"µ")+COUNTIF($E136:Q136,1),ColDescriptionCourte)),""),
  "")),"")</f>
        <v/>
      </c>
      <c r="S136" s="40" t="str">
        <f ca="1">IFERROR(IF(AND(
  INDEX(Roadmap!$D:$K,MATCH($E136,Roadmap!$D:$D,0)+COUNTIF($E136:R136,"u")+COUNTIF($E136:R136,"t")+COUNTIF($E136:R136,"¶")+COUNTIF($E136:R136,"²")+COUNTIF($E136:R136,"µ")+COUNTIF($E136:R136,1),ColLivraison)=S$6,
  VLOOKUP($E136,INDIRECT("tri!"&amp; CHAR(64+ C0Col) &amp;":"&amp; CHAR(65+C0Col)),2,FALSE)&gt;COUNTIF($E136:R136,"u")+COUNTIF($E136:R136,"t")+COUNTIF($E136:R136,"¶")+COUNTIF($E136:R136,"²")+COUNTIF($E136:R136,"µ")+COUNTIF($E136:R136,1)),
HYPERLINK("#Roadmap!C"&amp; MATCH($E136,Roadmap!$D:$D,0)+COUNTIF($E136:R136,"u")+COUNTIF($E136:R136,"t"),
     INDEX(Roadmap!$D:$K,MATCH($E136,Roadmap!$D:$D,0)+COUNTIF($E136:R136,"u")+COUNTIF($E136:R136,"t")+COUNTIF($E136:R136,"¶")+COUNTIF($E136:R136,"²")+COUNTIF($E136:R136,"µ")+COUNTIF($E136:R136,1),ColTypeEcheance)),
  IF(LEN(R136)=1,
  IF(LEN(INDEX(Roadmap!$D:$K,MATCH($E136,Roadmap!$D:$D,0)-1+COUNTIF($E136:R136,"u")+COUNTIF($E136:R136,"t")+COUNTIF($E136:R136,"¶")+COUNTIF($E136:R136,"²")+COUNTIF($E136:R136,"µ")+COUNTIF($E136:R136,1),ColDescriptionCourte))&gt;1,
HYPERLINK("#Roadmap!C"&amp; MATCH($E136,Roadmap!$D:$D,0)+COUNTIF($E136:R136,"u")+COUNTIF($E136:R136,"t")+COUNTIF($E136:R136,"¶")+COUNTIF($E136:R136,"²")+COUNTIF($E136:R136,"µ")+COUNTIF($E136:R136,1)-1,INDEX(Roadmap!$D:$K,MATCH($E136,Roadmap!$D:$D,0)-1+COUNTIF($E136:R136,"u")+COUNTIF($E136:R136,"t")+COUNTIF($E136:R136,"¶")+COUNTIF($E136:R136,"²")+COUNTIF($E136:R136,"µ")+COUNTIF($E136:R136,1),ColDescriptionCourte)),""),
  "")),"")</f>
        <v/>
      </c>
      <c r="T136" s="40" t="str">
        <f ca="1">IFERROR(IF(AND(
  INDEX(Roadmap!$D:$K,MATCH($E136,Roadmap!$D:$D,0)+COUNTIF($E136:S136,"u")+COUNTIF($E136:S136,"t")+COUNTIF($E136:S136,"¶")+COUNTIF($E136:S136,"²")+COUNTIF($E136:S136,"µ")+COUNTIF($E136:S136,1),ColLivraison)=T$6,
  VLOOKUP($E136,INDIRECT("tri!"&amp; CHAR(64+ C0Col) &amp;":"&amp; CHAR(65+C0Col)),2,FALSE)&gt;COUNTIF($E136:S136,"u")+COUNTIF($E136:S136,"t")+COUNTIF($E136:S136,"¶")+COUNTIF($E136:S136,"²")+COUNTIF($E136:S136,"µ")+COUNTIF($E136:S136,1)),
HYPERLINK("#Roadmap!C"&amp; MATCH($E136,Roadmap!$D:$D,0)+COUNTIF($E136:S136,"u")+COUNTIF($E136:S136,"t"),
     INDEX(Roadmap!$D:$K,MATCH($E136,Roadmap!$D:$D,0)+COUNTIF($E136:S136,"u")+COUNTIF($E136:S136,"t")+COUNTIF($E136:S136,"¶")+COUNTIF($E136:S136,"²")+COUNTIF($E136:S136,"µ")+COUNTIF($E136:S136,1),ColTypeEcheance)),
  IF(LEN(S136)=1,
  IF(LEN(INDEX(Roadmap!$D:$K,MATCH($E136,Roadmap!$D:$D,0)-1+COUNTIF($E136:S136,"u")+COUNTIF($E136:S136,"t")+COUNTIF($E136:S136,"¶")+COUNTIF($E136:S136,"²")+COUNTIF($E136:S136,"µ")+COUNTIF($E136:S136,1),ColDescriptionCourte))&gt;1,
HYPERLINK("#Roadmap!C"&amp; MATCH($E136,Roadmap!$D:$D,0)+COUNTIF($E136:S136,"u")+COUNTIF($E136:S136,"t")+COUNTIF($E136:S136,"¶")+COUNTIF($E136:S136,"²")+COUNTIF($E136:S136,"µ")+COUNTIF($E136:S136,1)-1,INDEX(Roadmap!$D:$K,MATCH($E136,Roadmap!$D:$D,0)-1+COUNTIF($E136:S136,"u")+COUNTIF($E136:S136,"t")+COUNTIF($E136:S136,"¶")+COUNTIF($E136:S136,"²")+COUNTIF($E136:S136,"µ")+COUNTIF($E136:S136,1),ColDescriptionCourte)),""),
  "")),"")</f>
        <v/>
      </c>
      <c r="U136" s="40" t="str">
        <f ca="1">IFERROR(IF(AND(
  INDEX(Roadmap!$D:$K,MATCH($E136,Roadmap!$D:$D,0)+COUNTIF($E136:T136,"u")+COUNTIF($E136:T136,"t")+COUNTIF($E136:T136,"¶")+COUNTIF($E136:T136,"²")+COUNTIF($E136:T136,"µ")+COUNTIF($E136:T136,1),ColLivraison)=U$6,
  VLOOKUP($E136,INDIRECT("tri!"&amp; CHAR(64+ C0Col) &amp;":"&amp; CHAR(65+C0Col)),2,FALSE)&gt;COUNTIF($E136:T136,"u")+COUNTIF($E136:T136,"t")+COUNTIF($E136:T136,"¶")+COUNTIF($E136:T136,"²")+COUNTIF($E136:T136,"µ")+COUNTIF($E136:T136,1)),
HYPERLINK("#Roadmap!C"&amp; MATCH($E136,Roadmap!$D:$D,0)+COUNTIF($E136:T136,"u")+COUNTIF($E136:T136,"t"),
     INDEX(Roadmap!$D:$K,MATCH($E136,Roadmap!$D:$D,0)+COUNTIF($E136:T136,"u")+COUNTIF($E136:T136,"t")+COUNTIF($E136:T136,"¶")+COUNTIF($E136:T136,"²")+COUNTIF($E136:T136,"µ")+COUNTIF($E136:T136,1),ColTypeEcheance)),
  IF(LEN(T136)=1,
  IF(LEN(INDEX(Roadmap!$D:$K,MATCH($E136,Roadmap!$D:$D,0)-1+COUNTIF($E136:T136,"u")+COUNTIF($E136:T136,"t")+COUNTIF($E136:T136,"¶")+COUNTIF($E136:T136,"²")+COUNTIF($E136:T136,"µ")+COUNTIF($E136:T136,1),ColDescriptionCourte))&gt;1,
HYPERLINK("#Roadmap!C"&amp; MATCH($E136,Roadmap!$D:$D,0)+COUNTIF($E136:T136,"u")+COUNTIF($E136:T136,"t")+COUNTIF($E136:T136,"¶")+COUNTIF($E136:T136,"²")+COUNTIF($E136:T136,"µ")+COUNTIF($E136:T136,1)-1,INDEX(Roadmap!$D:$K,MATCH($E136,Roadmap!$D:$D,0)-1+COUNTIF($E136:T136,"u")+COUNTIF($E136:T136,"t")+COUNTIF($E136:T136,"¶")+COUNTIF($E136:T136,"²")+COUNTIF($E136:T136,"µ")+COUNTIF($E136:T136,1),ColDescriptionCourte)),""),
  "")),"")</f>
        <v/>
      </c>
      <c r="V136" s="40" t="str">
        <f ca="1">IFERROR(IF(AND(
  INDEX(Roadmap!$D:$K,MATCH($E136,Roadmap!$D:$D,0)+COUNTIF($E136:U136,"u")+COUNTIF($E136:U136,"t")+COUNTIF($E136:U136,"¶")+COUNTIF($E136:U136,"²")+COUNTIF($E136:U136,"µ")+COUNTIF($E136:U136,1),ColLivraison)=V$6,
  VLOOKUP($E136,INDIRECT("tri!"&amp; CHAR(64+ C0Col) &amp;":"&amp; CHAR(65+C0Col)),2,FALSE)&gt;COUNTIF($E136:U136,"u")+COUNTIF($E136:U136,"t")+COUNTIF($E136:U136,"¶")+COUNTIF($E136:U136,"²")+COUNTIF($E136:U136,"µ")+COUNTIF($E136:U136,1)),
HYPERLINK("#Roadmap!C"&amp; MATCH($E136,Roadmap!$D:$D,0)+COUNTIF($E136:U136,"u")+COUNTIF($E136:U136,"t"),
     INDEX(Roadmap!$D:$K,MATCH($E136,Roadmap!$D:$D,0)+COUNTIF($E136:U136,"u")+COUNTIF($E136:U136,"t")+COUNTIF($E136:U136,"¶")+COUNTIF($E136:U136,"²")+COUNTIF($E136:U136,"µ")+COUNTIF($E136:U136,1),ColTypeEcheance)),
  IF(LEN(U136)=1,
  IF(LEN(INDEX(Roadmap!$D:$K,MATCH($E136,Roadmap!$D:$D,0)-1+COUNTIF($E136:U136,"u")+COUNTIF($E136:U136,"t")+COUNTIF($E136:U136,"¶")+COUNTIF($E136:U136,"²")+COUNTIF($E136:U136,"µ")+COUNTIF($E136:U136,1),ColDescriptionCourte))&gt;1,
HYPERLINK("#Roadmap!C"&amp; MATCH($E136,Roadmap!$D:$D,0)+COUNTIF($E136:U136,"u")+COUNTIF($E136:U136,"t")+COUNTIF($E136:U136,"¶")+COUNTIF($E136:U136,"²")+COUNTIF($E136:U136,"µ")+COUNTIF($E136:U136,1)-1,INDEX(Roadmap!$D:$K,MATCH($E136,Roadmap!$D:$D,0)-1+COUNTIF($E136:U136,"u")+COUNTIF($E136:U136,"t")+COUNTIF($E136:U136,"¶")+COUNTIF($E136:U136,"²")+COUNTIF($E136:U136,"µ")+COUNTIF($E136:U136,1),ColDescriptionCourte)),""),
  "")),"")</f>
        <v/>
      </c>
      <c r="W136" s="40" t="str">
        <f ca="1">IFERROR(IF(AND(
  INDEX(Roadmap!$D:$K,MATCH($E136,Roadmap!$D:$D,0)+COUNTIF($E136:V136,"u")+COUNTIF($E136:V136,"t")+COUNTIF($E136:V136,"¶")+COUNTIF($E136:V136,"²")+COUNTIF($E136:V136,"µ")+COUNTIF($E136:V136,1),ColLivraison)=W$6,
  VLOOKUP($E136,INDIRECT("tri!"&amp; CHAR(64+ C0Col) &amp;":"&amp; CHAR(65+C0Col)),2,FALSE)&gt;COUNTIF($E136:V136,"u")+COUNTIF($E136:V136,"t")+COUNTIF($E136:V136,"¶")+COUNTIF($E136:V136,"²")+COUNTIF($E136:V136,"µ")+COUNTIF($E136:V136,1)),
HYPERLINK("#Roadmap!C"&amp; MATCH($E136,Roadmap!$D:$D,0)+COUNTIF($E136:V136,"u")+COUNTIF($E136:V136,"t"),
     INDEX(Roadmap!$D:$K,MATCH($E136,Roadmap!$D:$D,0)+COUNTIF($E136:V136,"u")+COUNTIF($E136:V136,"t")+COUNTIF($E136:V136,"¶")+COUNTIF($E136:V136,"²")+COUNTIF($E136:V136,"µ")+COUNTIF($E136:V136,1),ColTypeEcheance)),
  IF(LEN(V136)=1,
  IF(LEN(INDEX(Roadmap!$D:$K,MATCH($E136,Roadmap!$D:$D,0)-1+COUNTIF($E136:V136,"u")+COUNTIF($E136:V136,"t")+COUNTIF($E136:V136,"¶")+COUNTIF($E136:V136,"²")+COUNTIF($E136:V136,"µ")+COUNTIF($E136:V136,1),ColDescriptionCourte))&gt;1,
HYPERLINK("#Roadmap!C"&amp; MATCH($E136,Roadmap!$D:$D,0)+COUNTIF($E136:V136,"u")+COUNTIF($E136:V136,"t")+COUNTIF($E136:V136,"¶")+COUNTIF($E136:V136,"²")+COUNTIF($E136:V136,"µ")+COUNTIF($E136:V136,1)-1,INDEX(Roadmap!$D:$K,MATCH($E136,Roadmap!$D:$D,0)-1+COUNTIF($E136:V136,"u")+COUNTIF($E136:V136,"t")+COUNTIF($E136:V136,"¶")+COUNTIF($E136:V136,"²")+COUNTIF($E136:V136,"µ")+COUNTIF($E136:V136,1),ColDescriptionCourte)),""),
  "")),"")</f>
        <v/>
      </c>
      <c r="X136" s="40" t="str">
        <f ca="1">IFERROR(IF(AND(
  INDEX(Roadmap!$D:$K,MATCH($E136,Roadmap!$D:$D,0)+COUNTIF($E136:W136,"u")+COUNTIF($E136:W136,"t")+COUNTIF($E136:W136,"¶")+COUNTIF($E136:W136,"²")+COUNTIF($E136:W136,"µ")+COUNTIF($E136:W136,1),ColLivraison)=X$6,
  VLOOKUP($E136,INDIRECT("tri!"&amp; CHAR(64+ C0Col) &amp;":"&amp; CHAR(65+C0Col)),2,FALSE)&gt;COUNTIF($E136:W136,"u")+COUNTIF($E136:W136,"t")+COUNTIF($E136:W136,"¶")+COUNTIF($E136:W136,"²")+COUNTIF($E136:W136,"µ")+COUNTIF($E136:W136,1)),
HYPERLINK("#Roadmap!C"&amp; MATCH($E136,Roadmap!$D:$D,0)+COUNTIF($E136:W136,"u")+COUNTIF($E136:W136,"t"),
     INDEX(Roadmap!$D:$K,MATCH($E136,Roadmap!$D:$D,0)+COUNTIF($E136:W136,"u")+COUNTIF($E136:W136,"t")+COUNTIF($E136:W136,"¶")+COUNTIF($E136:W136,"²")+COUNTIF($E136:W136,"µ")+COUNTIF($E136:W136,1),ColTypeEcheance)),
  IF(LEN(W136)=1,
  IF(LEN(INDEX(Roadmap!$D:$K,MATCH($E136,Roadmap!$D:$D,0)-1+COUNTIF($E136:W136,"u")+COUNTIF($E136:W136,"t")+COUNTIF($E136:W136,"¶")+COUNTIF($E136:W136,"²")+COUNTIF($E136:W136,"µ")+COUNTIF($E136:W136,1),ColDescriptionCourte))&gt;1,
HYPERLINK("#Roadmap!C"&amp; MATCH($E136,Roadmap!$D:$D,0)+COUNTIF($E136:W136,"u")+COUNTIF($E136:W136,"t")+COUNTIF($E136:W136,"¶")+COUNTIF($E136:W136,"²")+COUNTIF($E136:W136,"µ")+COUNTIF($E136:W136,1)-1,INDEX(Roadmap!$D:$K,MATCH($E136,Roadmap!$D:$D,0)-1+COUNTIF($E136:W136,"u")+COUNTIF($E136:W136,"t")+COUNTIF($E136:W136,"¶")+COUNTIF($E136:W136,"²")+COUNTIF($E136:W136,"µ")+COUNTIF($E136:W136,1),ColDescriptionCourte)),""),
  "")),"")</f>
        <v/>
      </c>
      <c r="Y136" s="40" t="str">
        <f ca="1">IFERROR(IF(AND(
  INDEX(Roadmap!$D:$K,MATCH($E136,Roadmap!$D:$D,0)+COUNTIF($E136:X136,"u")+COUNTIF($E136:X136,"t")+COUNTIF($E136:X136,"¶")+COUNTIF($E136:X136,"²")+COUNTIF($E136:X136,"µ")+COUNTIF($E136:X136,1),ColLivraison)=Y$6,
  VLOOKUP($E136,INDIRECT("tri!"&amp; CHAR(64+ C0Col) &amp;":"&amp; CHAR(65+C0Col)),2,FALSE)&gt;COUNTIF($E136:X136,"u")+COUNTIF($E136:X136,"t")+COUNTIF($E136:X136,"¶")+COUNTIF($E136:X136,"²")+COUNTIF($E136:X136,"µ")+COUNTIF($E136:X136,1)),
HYPERLINK("#Roadmap!C"&amp; MATCH($E136,Roadmap!$D:$D,0)+COUNTIF($E136:X136,"u")+COUNTIF($E136:X136,"t"),
     INDEX(Roadmap!$D:$K,MATCH($E136,Roadmap!$D:$D,0)+COUNTIF($E136:X136,"u")+COUNTIF($E136:X136,"t")+COUNTIF($E136:X136,"¶")+COUNTIF($E136:X136,"²")+COUNTIF($E136:X136,"µ")+COUNTIF($E136:X136,1),ColTypeEcheance)),
  IF(LEN(X136)=1,
  IF(LEN(INDEX(Roadmap!$D:$K,MATCH($E136,Roadmap!$D:$D,0)-1+COUNTIF($E136:X136,"u")+COUNTIF($E136:X136,"t")+COUNTIF($E136:X136,"¶")+COUNTIF($E136:X136,"²")+COUNTIF($E136:X136,"µ")+COUNTIF($E136:X136,1),ColDescriptionCourte))&gt;1,
HYPERLINK("#Roadmap!C"&amp; MATCH($E136,Roadmap!$D:$D,0)+COUNTIF($E136:X136,"u")+COUNTIF($E136:X136,"t")+COUNTIF($E136:X136,"¶")+COUNTIF($E136:X136,"²")+COUNTIF($E136:X136,"µ")+COUNTIF($E136:X136,1)-1,INDEX(Roadmap!$D:$K,MATCH($E136,Roadmap!$D:$D,0)-1+COUNTIF($E136:X136,"u")+COUNTIF($E136:X136,"t")+COUNTIF($E136:X136,"¶")+COUNTIF($E136:X136,"²")+COUNTIF($E136:X136,"µ")+COUNTIF($E136:X136,1),ColDescriptionCourte)),""),
  "")),"")</f>
        <v/>
      </c>
      <c r="Z136" s="40" t="str">
        <f ca="1">IFERROR(IF(AND(
  INDEX(Roadmap!$D:$K,MATCH($E136,Roadmap!$D:$D,0)+COUNTIF($E136:Y136,"u")+COUNTIF($E136:Y136,"t")+COUNTIF($E136:Y136,"¶")+COUNTIF($E136:Y136,"²")+COUNTIF($E136:Y136,"µ")+COUNTIF($E136:Y136,1),ColLivraison)=Z$6,
  VLOOKUP($E136,INDIRECT("tri!"&amp; CHAR(64+ C0Col) &amp;":"&amp; CHAR(65+C0Col)),2,FALSE)&gt;COUNTIF($E136:Y136,"u")+COUNTIF($E136:Y136,"t")+COUNTIF($E136:Y136,"¶")+COUNTIF($E136:Y136,"²")+COUNTIF($E136:Y136,"µ")+COUNTIF($E136:Y136,1)),
HYPERLINK("#Roadmap!C"&amp; MATCH($E136,Roadmap!$D:$D,0)+COUNTIF($E136:Y136,"u")+COUNTIF($E136:Y136,"t"),
     INDEX(Roadmap!$D:$K,MATCH($E136,Roadmap!$D:$D,0)+COUNTIF($E136:Y136,"u")+COUNTIF($E136:Y136,"t")+COUNTIF($E136:Y136,"¶")+COUNTIF($E136:Y136,"²")+COUNTIF($E136:Y136,"µ")+COUNTIF($E136:Y136,1),ColTypeEcheance)),
  IF(LEN(Y136)=1,
  IF(LEN(INDEX(Roadmap!$D:$K,MATCH($E136,Roadmap!$D:$D,0)-1+COUNTIF($E136:Y136,"u")+COUNTIF($E136:Y136,"t")+COUNTIF($E136:Y136,"¶")+COUNTIF($E136:Y136,"²")+COUNTIF($E136:Y136,"µ")+COUNTIF($E136:Y136,1),ColDescriptionCourte))&gt;1,
HYPERLINK("#Roadmap!C"&amp; MATCH($E136,Roadmap!$D:$D,0)+COUNTIF($E136:Y136,"u")+COUNTIF($E136:Y136,"t")+COUNTIF($E136:Y136,"¶")+COUNTIF($E136:Y136,"²")+COUNTIF($E136:Y136,"µ")+COUNTIF($E136:Y136,1)-1,INDEX(Roadmap!$D:$K,MATCH($E136,Roadmap!$D:$D,0)-1+COUNTIF($E136:Y136,"u")+COUNTIF($E136:Y136,"t")+COUNTIF($E136:Y136,"¶")+COUNTIF($E136:Y136,"²")+COUNTIF($E136:Y136,"µ")+COUNTIF($E136:Y136,1),ColDescriptionCourte)),""),
  "")),"")</f>
        <v/>
      </c>
      <c r="AA136" s="40" t="str">
        <f ca="1">IFERROR(IF(AND(
  INDEX(Roadmap!$D:$K,MATCH($E136,Roadmap!$D:$D,0)+COUNTIF($E136:Z136,"u")+COUNTIF($E136:Z136,"t")+COUNTIF($E136:Z136,"¶")+COUNTIF($E136:Z136,"²")+COUNTIF($E136:Z136,"µ")+COUNTIF($E136:Z136,1),ColLivraison)=AA$6,
  VLOOKUP($E136,INDIRECT("tri!"&amp; CHAR(64+ C0Col) &amp;":"&amp; CHAR(65+C0Col)),2,FALSE)&gt;COUNTIF($E136:Z136,"u")+COUNTIF($E136:Z136,"t")+COUNTIF($E136:Z136,"¶")+COUNTIF($E136:Z136,"²")+COUNTIF($E136:Z136,"µ")+COUNTIF($E136:Z136,1)),
HYPERLINK("#Roadmap!C"&amp; MATCH($E136,Roadmap!$D:$D,0)+COUNTIF($E136:Z136,"u")+COUNTIF($E136:Z136,"t"),
     INDEX(Roadmap!$D:$K,MATCH($E136,Roadmap!$D:$D,0)+COUNTIF($E136:Z136,"u")+COUNTIF($E136:Z136,"t")+COUNTIF($E136:Z136,"¶")+COUNTIF($E136:Z136,"²")+COUNTIF($E136:Z136,"µ")+COUNTIF($E136:Z136,1),ColTypeEcheance)),
  IF(LEN(Z136)=1,
  IF(LEN(INDEX(Roadmap!$D:$K,MATCH($E136,Roadmap!$D:$D,0)-1+COUNTIF($E136:Z136,"u")+COUNTIF($E136:Z136,"t")+COUNTIF($E136:Z136,"¶")+COUNTIF($E136:Z136,"²")+COUNTIF($E136:Z136,"µ")+COUNTIF($E136:Z136,1),ColDescriptionCourte))&gt;1,
HYPERLINK("#Roadmap!C"&amp; MATCH($E136,Roadmap!$D:$D,0)+COUNTIF($E136:Z136,"u")+COUNTIF($E136:Z136,"t")+COUNTIF($E136:Z136,"¶")+COUNTIF($E136:Z136,"²")+COUNTIF($E136:Z136,"µ")+COUNTIF($E136:Z136,1)-1,INDEX(Roadmap!$D:$K,MATCH($E136,Roadmap!$D:$D,0)-1+COUNTIF($E136:Z136,"u")+COUNTIF($E136:Z136,"t")+COUNTIF($E136:Z136,"¶")+COUNTIF($E136:Z136,"²")+COUNTIF($E136:Z136,"µ")+COUNTIF($E136:Z136,1),ColDescriptionCourte)),""),
  "")),"")</f>
        <v/>
      </c>
      <c r="AB136" s="40" t="str">
        <f ca="1">IFERROR(IF(AND(
  INDEX(Roadmap!$D:$K,MATCH($E136,Roadmap!$D:$D,0)+COUNTIF($E136:AA136,"u")+COUNTIF($E136:AA136,"t")+COUNTIF($E136:AA136,"¶")+COUNTIF($E136:AA136,"²")+COUNTIF($E136:AA136,"µ")+COUNTIF($E136:AA136,1),ColLivraison)=AB$6,
  VLOOKUP($E136,INDIRECT("tri!"&amp; CHAR(64+ C0Col) &amp;":"&amp; CHAR(65+C0Col)),2,FALSE)&gt;COUNTIF($E136:AA136,"u")+COUNTIF($E136:AA136,"t")+COUNTIF($E136:AA136,"¶")+COUNTIF($E136:AA136,"²")+COUNTIF($E136:AA136,"µ")+COUNTIF($E136:AA136,1)),
HYPERLINK("#Roadmap!C"&amp; MATCH($E136,Roadmap!$D:$D,0)+COUNTIF($E136:AA136,"u")+COUNTIF($E136:AA136,"t"),
     INDEX(Roadmap!$D:$K,MATCH($E136,Roadmap!$D:$D,0)+COUNTIF($E136:AA136,"u")+COUNTIF($E136:AA136,"t")+COUNTIF($E136:AA136,"¶")+COUNTIF($E136:AA136,"²")+COUNTIF($E136:AA136,"µ")+COUNTIF($E136:AA136,1),ColTypeEcheance)),
  IF(LEN(AA136)=1,
  IF(LEN(INDEX(Roadmap!$D:$K,MATCH($E136,Roadmap!$D:$D,0)-1+COUNTIF($E136:AA136,"u")+COUNTIF($E136:AA136,"t")+COUNTIF($E136:AA136,"¶")+COUNTIF($E136:AA136,"²")+COUNTIF($E136:AA136,"µ")+COUNTIF($E136:AA136,1),ColDescriptionCourte))&gt;1,
HYPERLINK("#Roadmap!C"&amp; MATCH($E136,Roadmap!$D:$D,0)+COUNTIF($E136:AA136,"u")+COUNTIF($E136:AA136,"t")+COUNTIF($E136:AA136,"¶")+COUNTIF($E136:AA136,"²")+COUNTIF($E136:AA136,"µ")+COUNTIF($E136:AA136,1)-1,INDEX(Roadmap!$D:$K,MATCH($E136,Roadmap!$D:$D,0)-1+COUNTIF($E136:AA136,"u")+COUNTIF($E136:AA136,"t")+COUNTIF($E136:AA136,"¶")+COUNTIF($E136:AA136,"²")+COUNTIF($E136:AA136,"µ")+COUNTIF($E136:AA136,1),ColDescriptionCourte)),""),
  "")),"")</f>
        <v/>
      </c>
      <c r="AC136" s="40" t="str">
        <f ca="1">IFERROR(IF(AND(
  INDEX(Roadmap!$D:$K,MATCH($E136,Roadmap!$D:$D,0)+COUNTIF($E136:AB136,"u")+COUNTIF($E136:AB136,"t")+COUNTIF($E136:AB136,"¶")+COUNTIF($E136:AB136,"²")+COUNTIF($E136:AB136,"µ")+COUNTIF($E136:AB136,1),ColLivraison)=AC$6,
  VLOOKUP($E136,INDIRECT("tri!"&amp; CHAR(64+ C0Col) &amp;":"&amp; CHAR(65+C0Col)),2,FALSE)&gt;COUNTIF($E136:AB136,"u")+COUNTIF($E136:AB136,"t")+COUNTIF($E136:AB136,"¶")+COUNTIF($E136:AB136,"²")+COUNTIF($E136:AB136,"µ")+COUNTIF($E136:AB136,1)),
HYPERLINK("#Roadmap!C"&amp; MATCH($E136,Roadmap!$D:$D,0)+COUNTIF($E136:AB136,"u")+COUNTIF($E136:AB136,"t"),
     INDEX(Roadmap!$D:$K,MATCH($E136,Roadmap!$D:$D,0)+COUNTIF($E136:AB136,"u")+COUNTIF($E136:AB136,"t")+COUNTIF($E136:AB136,"¶")+COUNTIF($E136:AB136,"²")+COUNTIF($E136:AB136,"µ")+COUNTIF($E136:AB136,1),ColTypeEcheance)),
  IF(LEN(AB136)=1,
  IF(LEN(INDEX(Roadmap!$D:$K,MATCH($E136,Roadmap!$D:$D,0)-1+COUNTIF($E136:AB136,"u")+COUNTIF($E136:AB136,"t")+COUNTIF($E136:AB136,"¶")+COUNTIF($E136:AB136,"²")+COUNTIF($E136:AB136,"µ")+COUNTIF($E136:AB136,1),ColDescriptionCourte))&gt;1,
HYPERLINK("#Roadmap!C"&amp; MATCH($E136,Roadmap!$D:$D,0)+COUNTIF($E136:AB136,"u")+COUNTIF($E136:AB136,"t")+COUNTIF($E136:AB136,"¶")+COUNTIF($E136:AB136,"²")+COUNTIF($E136:AB136,"µ")+COUNTIF($E136:AB136,1)-1,INDEX(Roadmap!$D:$K,MATCH($E136,Roadmap!$D:$D,0)-1+COUNTIF($E136:AB136,"u")+COUNTIF($E136:AB136,"t")+COUNTIF($E136:AB136,"¶")+COUNTIF($E136:AB136,"²")+COUNTIF($E136:AB136,"µ")+COUNTIF($E136:AB136,1),ColDescriptionCourte)),""),
  "")),"")</f>
        <v/>
      </c>
      <c r="AD136" s="40" t="str">
        <f ca="1">IFERROR(IF(AND(
  INDEX(Roadmap!$D:$K,MATCH($E136,Roadmap!$D:$D,0)+COUNTIF($E136:AC136,"u")+COUNTIF($E136:AC136,"t")+COUNTIF($E136:AC136,"¶")+COUNTIF($E136:AC136,"²")+COUNTIF($E136:AC136,"µ")+COUNTIF($E136:AC136,1),ColLivraison)=AD$6,
  VLOOKUP($E136,INDIRECT("tri!"&amp; CHAR(64+ C0Col) &amp;":"&amp; CHAR(65+C0Col)),2,FALSE)&gt;COUNTIF($E136:AC136,"u")+COUNTIF($E136:AC136,"t")+COUNTIF($E136:AC136,"¶")+COUNTIF($E136:AC136,"²")+COUNTIF($E136:AC136,"µ")+COUNTIF($E136:AC136,1)),
HYPERLINK("#Roadmap!C"&amp; MATCH($E136,Roadmap!$D:$D,0)+COUNTIF($E136:AC136,"u")+COUNTIF($E136:AC136,"t"),
     INDEX(Roadmap!$D:$K,MATCH($E136,Roadmap!$D:$D,0)+COUNTIF($E136:AC136,"u")+COUNTIF($E136:AC136,"t")+COUNTIF($E136:AC136,"¶")+COUNTIF($E136:AC136,"²")+COUNTIF($E136:AC136,"µ")+COUNTIF($E136:AC136,1),ColTypeEcheance)),
  IF(LEN(AC136)=1,
  IF(LEN(INDEX(Roadmap!$D:$K,MATCH($E136,Roadmap!$D:$D,0)-1+COUNTIF($E136:AC136,"u")+COUNTIF($E136:AC136,"t")+COUNTIF($E136:AC136,"¶")+COUNTIF($E136:AC136,"²")+COUNTIF($E136:AC136,"µ")+COUNTIF($E136:AC136,1),ColDescriptionCourte))&gt;1,
HYPERLINK("#Roadmap!C"&amp; MATCH($E136,Roadmap!$D:$D,0)+COUNTIF($E136:AC136,"u")+COUNTIF($E136:AC136,"t")+COUNTIF($E136:AC136,"¶")+COUNTIF($E136:AC136,"²")+COUNTIF($E136:AC136,"µ")+COUNTIF($E136:AC136,1)-1,INDEX(Roadmap!$D:$K,MATCH($E136,Roadmap!$D:$D,0)-1+COUNTIF($E136:AC136,"u")+COUNTIF($E136:AC136,"t")+COUNTIF($E136:AC136,"¶")+COUNTIF($E136:AC136,"²")+COUNTIF($E136:AC136,"µ")+COUNTIF($E136:AC136,1),ColDescriptionCourte)),""),
  "")),"")</f>
        <v/>
      </c>
      <c r="AE136" s="40" t="str">
        <f ca="1">IFERROR(IF(AND(
  INDEX(Roadmap!$D:$K,MATCH($E136,Roadmap!$D:$D,0)+COUNTIF($E136:AD136,"u")+COUNTIF($E136:AD136,"t")+COUNTIF($E136:AD136,"¶")+COUNTIF($E136:AD136,"²")+COUNTIF($E136:AD136,"µ")+COUNTIF($E136:AD136,1),ColLivraison)=AE$6,
  VLOOKUP($E136,INDIRECT("tri!"&amp; CHAR(64+ C0Col) &amp;":"&amp; CHAR(65+C0Col)),2,FALSE)&gt;COUNTIF($E136:AD136,"u")+COUNTIF($E136:AD136,"t")+COUNTIF($E136:AD136,"¶")+COUNTIF($E136:AD136,"²")+COUNTIF($E136:AD136,"µ")+COUNTIF($E136:AD136,1)),
HYPERLINK("#Roadmap!C"&amp; MATCH($E136,Roadmap!$D:$D,0)+COUNTIF($E136:AD136,"u")+COUNTIF($E136:AD136,"t"),
     INDEX(Roadmap!$D:$K,MATCH($E136,Roadmap!$D:$D,0)+COUNTIF($E136:AD136,"u")+COUNTIF($E136:AD136,"t")+COUNTIF($E136:AD136,"¶")+COUNTIF($E136:AD136,"²")+COUNTIF($E136:AD136,"µ")+COUNTIF($E136:AD136,1),ColTypeEcheance)),
  IF(LEN(AD136)=1,
  IF(LEN(INDEX(Roadmap!$D:$K,MATCH($E136,Roadmap!$D:$D,0)-1+COUNTIF($E136:AD136,"u")+COUNTIF($E136:AD136,"t")+COUNTIF($E136:AD136,"¶")+COUNTIF($E136:AD136,"²")+COUNTIF($E136:AD136,"µ")+COUNTIF($E136:AD136,1),ColDescriptionCourte))&gt;1,
HYPERLINK("#Roadmap!C"&amp; MATCH($E136,Roadmap!$D:$D,0)+COUNTIF($E136:AD136,"u")+COUNTIF($E136:AD136,"t")+COUNTIF($E136:AD136,"¶")+COUNTIF($E136:AD136,"²")+COUNTIF($E136:AD136,"µ")+COUNTIF($E136:AD136,1)-1,INDEX(Roadmap!$D:$K,MATCH($E136,Roadmap!$D:$D,0)-1+COUNTIF($E136:AD136,"u")+COUNTIF($E136:AD136,"t")+COUNTIF($E136:AD136,"¶")+COUNTIF($E136:AD136,"²")+COUNTIF($E136:AD136,"µ")+COUNTIF($E136:AD136,1),ColDescriptionCourte)),""),
  "")),"")</f>
        <v/>
      </c>
      <c r="AF136" s="40" t="str">
        <f ca="1">IFERROR(IF(AND(
  INDEX(Roadmap!$D:$K,MATCH($E136,Roadmap!$D:$D,0)+COUNTIF($E136:AE136,"u")+COUNTIF($E136:AE136,"t")+COUNTIF($E136:AE136,"¶")+COUNTIF($E136:AE136,"²")+COUNTIF($E136:AE136,"µ")+COUNTIF($E136:AE136,1),ColLivraison)=AF$6,
  VLOOKUP($E136,INDIRECT("tri!"&amp; CHAR(64+ C0Col) &amp;":"&amp; CHAR(65+C0Col)),2,FALSE)&gt;COUNTIF($E136:AE136,"u")+COUNTIF($E136:AE136,"t")+COUNTIF($E136:AE136,"¶")+COUNTIF($E136:AE136,"²")+COUNTIF($E136:AE136,"µ")+COUNTIF($E136:AE136,1)),
HYPERLINK("#Roadmap!C"&amp; MATCH($E136,Roadmap!$D:$D,0)+COUNTIF($E136:AE136,"u")+COUNTIF($E136:AE136,"t"),
     INDEX(Roadmap!$D:$K,MATCH($E136,Roadmap!$D:$D,0)+COUNTIF($E136:AE136,"u")+COUNTIF($E136:AE136,"t")+COUNTIF($E136:AE136,"¶")+COUNTIF($E136:AE136,"²")+COUNTIF($E136:AE136,"µ")+COUNTIF($E136:AE136,1),ColTypeEcheance)),
  IF(LEN(AE136)=1,
  IF(LEN(INDEX(Roadmap!$D:$K,MATCH($E136,Roadmap!$D:$D,0)-1+COUNTIF($E136:AE136,"u")+COUNTIF($E136:AE136,"t")+COUNTIF($E136:AE136,"¶")+COUNTIF($E136:AE136,"²")+COUNTIF($E136:AE136,"µ")+COUNTIF($E136:AE136,1),ColDescriptionCourte))&gt;1,
HYPERLINK("#Roadmap!C"&amp; MATCH($E136,Roadmap!$D:$D,0)+COUNTIF($E136:AE136,"u")+COUNTIF($E136:AE136,"t")+COUNTIF($E136:AE136,"¶")+COUNTIF($E136:AE136,"²")+COUNTIF($E136:AE136,"µ")+COUNTIF($E136:AE136,1)-1,INDEX(Roadmap!$D:$K,MATCH($E136,Roadmap!$D:$D,0)-1+COUNTIF($E136:AE136,"u")+COUNTIF($E136:AE136,"t")+COUNTIF($E136:AE136,"¶")+COUNTIF($E136:AE136,"²")+COUNTIF($E136:AE136,"µ")+COUNTIF($E136:AE136,1),ColDescriptionCourte)),""),
  "")),"")</f>
        <v/>
      </c>
      <c r="AG136" s="40" t="str">
        <f ca="1">IFERROR(IF(AND(
  INDEX(Roadmap!$D:$K,MATCH($E136,Roadmap!$D:$D,0)+COUNTIF($E136:AF136,"u")+COUNTIF($E136:AF136,"t")+COUNTIF($E136:AF136,"¶")+COUNTIF($E136:AF136,"²")+COUNTIF($E136:AF136,"µ")+COUNTIF($E136:AF136,1),ColLivraison)=AG$6,
  VLOOKUP($E136,INDIRECT("tri!"&amp; CHAR(64+ C0Col) &amp;":"&amp; CHAR(65+C0Col)),2,FALSE)&gt;COUNTIF($E136:AF136,"u")+COUNTIF($E136:AF136,"t")+COUNTIF($E136:AF136,"¶")+COUNTIF($E136:AF136,"²")+COUNTIF($E136:AF136,"µ")+COUNTIF($E136:AF136,1)),
HYPERLINK("#Roadmap!C"&amp; MATCH($E136,Roadmap!$D:$D,0)+COUNTIF($E136:AF136,"u")+COUNTIF($E136:AF136,"t"),
     INDEX(Roadmap!$D:$K,MATCH($E136,Roadmap!$D:$D,0)+COUNTIF($E136:AF136,"u")+COUNTIF($E136:AF136,"t")+COUNTIF($E136:AF136,"¶")+COUNTIF($E136:AF136,"²")+COUNTIF($E136:AF136,"µ")+COUNTIF($E136:AF136,1),ColTypeEcheance)),
  IF(LEN(AF136)=1,
  IF(LEN(INDEX(Roadmap!$D:$K,MATCH($E136,Roadmap!$D:$D,0)-1+COUNTIF($E136:AF136,"u")+COUNTIF($E136:AF136,"t")+COUNTIF($E136:AF136,"¶")+COUNTIF($E136:AF136,"²")+COUNTIF($E136:AF136,"µ")+COUNTIF($E136:AF136,1),ColDescriptionCourte))&gt;1,
HYPERLINK("#Roadmap!C"&amp; MATCH($E136,Roadmap!$D:$D,0)+COUNTIF($E136:AF136,"u")+COUNTIF($E136:AF136,"t")+COUNTIF($E136:AF136,"¶")+COUNTIF($E136:AF136,"²")+COUNTIF($E136:AF136,"µ")+COUNTIF($E136:AF136,1)-1,INDEX(Roadmap!$D:$K,MATCH($E136,Roadmap!$D:$D,0)-1+COUNTIF($E136:AF136,"u")+COUNTIF($E136:AF136,"t")+COUNTIF($E136:AF136,"¶")+COUNTIF($E136:AF136,"²")+COUNTIF($E136:AF136,"µ")+COUNTIF($E136:AF136,1),ColDescriptionCourte)),""),
  "")),"")</f>
        <v/>
      </c>
      <c r="AH136" s="40" t="str">
        <f ca="1">IFERROR(IF(AND(
  INDEX(Roadmap!$D:$K,MATCH($E136,Roadmap!$D:$D,0)+COUNTIF($E136:AG136,"u")+COUNTIF($E136:AG136,"t")+COUNTIF($E136:AG136,1),ColLivraison)=AH$6,
  VLOOKUP($E136,INDIRECT("tri!"&amp; CHAR(64+ C0Col) &amp;":"&amp; CHAR(65+C0Col)),2,FALSE)&gt;COUNTIF($E136:AG136,"u")+COUNTIF($E136:AG136,"t")+COUNTIF($E136:AG136,1)),
HYPERLINK("#Roadmap!C"&amp; MATCH($E136,Roadmap!$D:$D,0)+COUNTIF($E136:AG136,"u")+COUNTIF($E136:AG136,"t"),
     INDEX(Roadmap!$D:$K,MATCH($E136,Roadmap!$D:$D,0)+COUNTIF($E136:AG136,"u")+COUNTIF($E136:AG136,"t")+COUNTIF($E136:AG136,1),ColTypeEcheance)),
  IF(OR(AG136="u",AG136="t",AG136=1),
  IF(LEN(INDEX(Roadmap!$D:$K,MATCH($E136,Roadmap!$D:$D,0)-1+COUNTIF($E136:AG136,"u")+COUNTIF($E136:AG136,"t")+COUNTIF($E136:AG136,1),ColDescriptionCourte))&gt;1,
HYPERLINK("#Roadmap!C"&amp; MATCH($E136,Roadmap!$D:$D,0)+COUNTIF($E136:AG136,"u")+COUNTIF($E136:AG136,"t")+COUNTIF($E136:AG136,1)-1,INDEX(Roadmap!$D:$K,MATCH($E136,Roadmap!$D:$D,0)-1+COUNTIF($E136:AG136,"u")+COUNTIF($E136:AG136,"t")+COUNTIF($E136:AG136,1),ColDescriptionCourte)),""),
  "")),"")</f>
        <v/>
      </c>
      <c r="AI136" s="40"/>
      <c r="AJ136" s="40"/>
      <c r="AK136" s="40"/>
      <c r="AL136" s="40"/>
      <c r="AM136" s="40"/>
    </row>
    <row r="137" spans="4:39" ht="14.1" customHeight="1">
      <c r="D137" s="20" t="str">
        <f t="shared" ca="1" si="31"/>
        <v/>
      </c>
      <c r="E137" s="53" t="str">
        <f t="shared" ca="1" si="32"/>
        <v/>
      </c>
      <c r="F137" s="39" t="str">
        <f ca="1">IFERROR(IF(AND(
  INDEX(Roadmap!$D:$K,MATCH($E137,Roadmap!$D:$D,0)+COUNTIF($E137:E137,"u")+COUNTIF($E137:E137,"t")+COUNTIF($E137:E137,"¶")+COUNTIF($E137:E137,"²")+COUNTIF($E137:E137,"µ")+COUNTIF($E137:E137,1),ColLivraison)=F$6,
  VLOOKUP($E137,INDIRECT("tri!"&amp; CHAR(64+ C0Col) &amp;":"&amp; CHAR(65+C0Col)),2,FALSE)&gt;COUNTIF($E137:E137,"u")+COUNTIF($E137:E137,"t")+COUNTIF($E137:E137,"¶")+COUNTIF($E137:E137,"²")+COUNTIF($E137:E137,"µ")+COUNTIF($E137:E137,1)),
HYPERLINK("#Roadmap!C"&amp; MATCH($E137,Roadmap!$D:$D,0)+COUNTIF($E137:E137,"u")+COUNTIF($E137:E137,"t"),
     INDEX(Roadmap!$D:$K,MATCH($E137,Roadmap!$D:$D,0)+COUNTIF($E137:E137,"u")+COUNTIF($E137:E137,"t")+COUNTIF($E137:E137,"¶")+COUNTIF($E137:E137,"²")+COUNTIF($E137:E137,"µ")+COUNTIF($E137:E137,1),ColTypeEcheance)),
  IF(LEN(E137)=1,
  IF(LEN(INDEX(Roadmap!$D:$K,MATCH($E137,Roadmap!$D:$D,0)-1+COUNTIF($E137:E137,"u")+COUNTIF($E137:E137,"t")+COUNTIF($E137:E137,"¶")+COUNTIF($E137:E137,"²")+COUNTIF($E137:E137,"µ")+COUNTIF($E137:E137,1),ColDescriptionCourte))&gt;1,
HYPERLINK("#Roadmap!C"&amp; MATCH($E137,Roadmap!$D:$D,0)+COUNTIF($E137:E137,"u")+COUNTIF($E137:E137,"t")+COUNTIF($E137:E137,"¶")+COUNTIF($E137:E137,"²")+COUNTIF($E137:E137,"µ")+COUNTIF($E137:E137,1)-1,INDEX(Roadmap!$D:$K,MATCH($E137,Roadmap!$D:$D,0)-1+COUNTIF($E137:E137,"u")+COUNTIF($E137:E137,"t")+COUNTIF($E137:E137,"¶")+COUNTIF($E137:E137,"²")+COUNTIF($E137:E137,"µ")+COUNTIF($E137:E137,1),ColDescriptionCourte)),""),
  "")),"")</f>
        <v/>
      </c>
      <c r="G137" s="40" t="str">
        <f ca="1">IFERROR(IF(AND(
  INDEX(Roadmap!$D:$K,MATCH($E137,Roadmap!$D:$D,0)+COUNTIF($E137:F137,"u")+COUNTIF($E137:F137,"t")+COUNTIF($E137:F137,"¶")+COUNTIF($E137:F137,"²")+COUNTIF($E137:F137,"µ")+COUNTIF($E137:F137,1),ColLivraison)=G$6,
  VLOOKUP($E137,INDIRECT("tri!"&amp; CHAR(64+ C0Col) &amp;":"&amp; CHAR(65+C0Col)),2,FALSE)&gt;COUNTIF($E137:F137,"u")+COUNTIF($E137:F137,"t")+COUNTIF($E137:F137,"¶")+COUNTIF($E137:F137,"²")+COUNTIF($E137:F137,"µ")+COUNTIF($E137:F137,1)),
HYPERLINK("#Roadmap!C"&amp; MATCH($E137,Roadmap!$D:$D,0)+COUNTIF($E137:F137,"u")+COUNTIF($E137:F137,"t"),
     INDEX(Roadmap!$D:$K,MATCH($E137,Roadmap!$D:$D,0)+COUNTIF($E137:F137,"u")+COUNTIF($E137:F137,"t")+COUNTIF($E137:F137,"¶")+COUNTIF($E137:F137,"²")+COUNTIF($E137:F137,"µ")+COUNTIF($E137:F137,1),ColTypeEcheance)),
  IF(LEN(F137)=1,
  IF(LEN(INDEX(Roadmap!$D:$K,MATCH($E137,Roadmap!$D:$D,0)-1+COUNTIF($E137:F137,"u")+COUNTIF($E137:F137,"t")+COUNTIF($E137:F137,"¶")+COUNTIF($E137:F137,"²")+COUNTIF($E137:F137,"µ")+COUNTIF($E137:F137,1),ColDescriptionCourte))&gt;1,
HYPERLINK("#Roadmap!C"&amp; MATCH($E137,Roadmap!$D:$D,0)+COUNTIF($E137:F137,"u")+COUNTIF($E137:F137,"t")+COUNTIF($E137:F137,"¶")+COUNTIF($E137:F137,"²")+COUNTIF($E137:F137,"µ")+COUNTIF($E137:F137,1)-1,INDEX(Roadmap!$D:$K,MATCH($E137,Roadmap!$D:$D,0)-1+COUNTIF($E137:F137,"u")+COUNTIF($E137:F137,"t")+COUNTIF($E137:F137,"¶")+COUNTIF($E137:F137,"²")+COUNTIF($E137:F137,"µ")+COUNTIF($E137:F137,1),ColDescriptionCourte)),""),
  "")),"")</f>
        <v/>
      </c>
      <c r="H137" s="40" t="str">
        <f ca="1">IFERROR(IF(AND(
  INDEX(Roadmap!$D:$K,MATCH($E137,Roadmap!$D:$D,0)+COUNTIF($E137:G137,"u")+COUNTIF($E137:G137,"t")+COUNTIF($E137:G137,"¶")+COUNTIF($E137:G137,"²")+COUNTIF($E137:G137,"µ")+COUNTIF($E137:G137,1),ColLivraison)=H$6,
  VLOOKUP($E137,INDIRECT("tri!"&amp; CHAR(64+ C0Col) &amp;":"&amp; CHAR(65+C0Col)),2,FALSE)&gt;COUNTIF($E137:G137,"u")+COUNTIF($E137:G137,"t")+COUNTIF($E137:G137,"¶")+COUNTIF($E137:G137,"²")+COUNTIF($E137:G137,"µ")+COUNTIF($E137:G137,1)),
HYPERLINK("#Roadmap!C"&amp; MATCH($E137,Roadmap!$D:$D,0)+COUNTIF($E137:G137,"u")+COUNTIF($E137:G137,"t"),
     INDEX(Roadmap!$D:$K,MATCH($E137,Roadmap!$D:$D,0)+COUNTIF($E137:G137,"u")+COUNTIF($E137:G137,"t")+COUNTIF($E137:G137,"¶")+COUNTIF($E137:G137,"²")+COUNTIF($E137:G137,"µ")+COUNTIF($E137:G137,1),ColTypeEcheance)),
  IF(LEN(G137)=1,
  IF(LEN(INDEX(Roadmap!$D:$K,MATCH($E137,Roadmap!$D:$D,0)-1+COUNTIF($E137:G137,"u")+COUNTIF($E137:G137,"t")+COUNTIF($E137:G137,"¶")+COUNTIF($E137:G137,"²")+COUNTIF($E137:G137,"µ")+COUNTIF($E137:G137,1),ColDescriptionCourte))&gt;1,
HYPERLINK("#Roadmap!C"&amp; MATCH($E137,Roadmap!$D:$D,0)+COUNTIF($E137:G137,"u")+COUNTIF($E137:G137,"t")+COUNTIF($E137:G137,"¶")+COUNTIF($E137:G137,"²")+COUNTIF($E137:G137,"µ")+COUNTIF($E137:G137,1)-1,INDEX(Roadmap!$D:$K,MATCH($E137,Roadmap!$D:$D,0)-1+COUNTIF($E137:G137,"u")+COUNTIF($E137:G137,"t")+COUNTIF($E137:G137,"¶")+COUNTIF($E137:G137,"²")+COUNTIF($E137:G137,"µ")+COUNTIF($E137:G137,1),ColDescriptionCourte)),""),
  "")),"")</f>
        <v/>
      </c>
      <c r="I137" s="40" t="str">
        <f ca="1">IFERROR(IF(AND(
  INDEX(Roadmap!$D:$K,MATCH($E137,Roadmap!$D:$D,0)+COUNTIF($E137:H137,"u")+COUNTIF($E137:H137,"t")+COUNTIF($E137:H137,"¶")+COUNTIF($E137:H137,"²")+COUNTIF($E137:H137,"µ")+COUNTIF($E137:H137,1),ColLivraison)=I$6,
  VLOOKUP($E137,INDIRECT("tri!"&amp; CHAR(64+ C0Col) &amp;":"&amp; CHAR(65+C0Col)),2,FALSE)&gt;COUNTIF($E137:H137,"u")+COUNTIF($E137:H137,"t")+COUNTIF($E137:H137,"¶")+COUNTIF($E137:H137,"²")+COUNTIF($E137:H137,"µ")+COUNTIF($E137:H137,1)),
HYPERLINK("#Roadmap!C"&amp; MATCH($E137,Roadmap!$D:$D,0)+COUNTIF($E137:H137,"u")+COUNTIF($E137:H137,"t"),
     INDEX(Roadmap!$D:$K,MATCH($E137,Roadmap!$D:$D,0)+COUNTIF($E137:H137,"u")+COUNTIF($E137:H137,"t")+COUNTIF($E137:H137,"¶")+COUNTIF($E137:H137,"²")+COUNTIF($E137:H137,"µ")+COUNTIF($E137:H137,1),ColTypeEcheance)),
  IF(LEN(H137)=1,
  IF(LEN(INDEX(Roadmap!$D:$K,MATCH($E137,Roadmap!$D:$D,0)-1+COUNTIF($E137:H137,"u")+COUNTIF($E137:H137,"t")+COUNTIF($E137:H137,"¶")+COUNTIF($E137:H137,"²")+COUNTIF($E137:H137,"µ")+COUNTIF($E137:H137,1),ColDescriptionCourte))&gt;1,
HYPERLINK("#Roadmap!C"&amp; MATCH($E137,Roadmap!$D:$D,0)+COUNTIF($E137:H137,"u")+COUNTIF($E137:H137,"t")+COUNTIF($E137:H137,"¶")+COUNTIF($E137:H137,"²")+COUNTIF($E137:H137,"µ")+COUNTIF($E137:H137,1)-1,INDEX(Roadmap!$D:$K,MATCH($E137,Roadmap!$D:$D,0)-1+COUNTIF($E137:H137,"u")+COUNTIF($E137:H137,"t")+COUNTIF($E137:H137,"¶")+COUNTIF($E137:H137,"²")+COUNTIF($E137:H137,"µ")+COUNTIF($E137:H137,1),ColDescriptionCourte)),""),
  "")),"")</f>
        <v/>
      </c>
      <c r="J137" s="40" t="str">
        <f ca="1">IFERROR(IF(AND(
  INDEX(Roadmap!$D:$K,MATCH($E137,Roadmap!$D:$D,0)+COUNTIF($E137:I137,"u")+COUNTIF($E137:I137,"t")+COUNTIF($E137:I137,"¶")+COUNTIF($E137:I137,"²")+COUNTIF($E137:I137,"µ")+COUNTIF($E137:I137,1),ColLivraison)=J$6,
  VLOOKUP($E137,INDIRECT("tri!"&amp; CHAR(64+ C0Col) &amp;":"&amp; CHAR(65+C0Col)),2,FALSE)&gt;COUNTIF($E137:I137,"u")+COUNTIF($E137:I137,"t")+COUNTIF($E137:I137,"¶")+COUNTIF($E137:I137,"²")+COUNTIF($E137:I137,"µ")+COUNTIF($E137:I137,1)),
HYPERLINK("#Roadmap!C"&amp; MATCH($E137,Roadmap!$D:$D,0)+COUNTIF($E137:I137,"u")+COUNTIF($E137:I137,"t"),
     INDEX(Roadmap!$D:$K,MATCH($E137,Roadmap!$D:$D,0)+COUNTIF($E137:I137,"u")+COUNTIF($E137:I137,"t")+COUNTIF($E137:I137,"¶")+COUNTIF($E137:I137,"²")+COUNTIF($E137:I137,"µ")+COUNTIF($E137:I137,1),ColTypeEcheance)),
  IF(LEN(I137)=1,
  IF(LEN(INDEX(Roadmap!$D:$K,MATCH($E137,Roadmap!$D:$D,0)-1+COUNTIF($E137:I137,"u")+COUNTIF($E137:I137,"t")+COUNTIF($E137:I137,"¶")+COUNTIF($E137:I137,"²")+COUNTIF($E137:I137,"µ")+COUNTIF($E137:I137,1),ColDescriptionCourte))&gt;1,
HYPERLINK("#Roadmap!C"&amp; MATCH($E137,Roadmap!$D:$D,0)+COUNTIF($E137:I137,"u")+COUNTIF($E137:I137,"t")+COUNTIF($E137:I137,"¶")+COUNTIF($E137:I137,"²")+COUNTIF($E137:I137,"µ")+COUNTIF($E137:I137,1)-1,INDEX(Roadmap!$D:$K,MATCH($E137,Roadmap!$D:$D,0)-1+COUNTIF($E137:I137,"u")+COUNTIF($E137:I137,"t")+COUNTIF($E137:I137,"¶")+COUNTIF($E137:I137,"²")+COUNTIF($E137:I137,"µ")+COUNTIF($E137:I137,1),ColDescriptionCourte)),""),
  "")),"")</f>
        <v/>
      </c>
      <c r="K137" s="40" t="str">
        <f ca="1">IFERROR(IF(AND(
  INDEX(Roadmap!$D:$K,MATCH($E137,Roadmap!$D:$D,0)+COUNTIF($E137:J137,"u")+COUNTIF($E137:J137,"t")+COUNTIF($E137:J137,"¶")+COUNTIF($E137:J137,"²")+COUNTIF($E137:J137,"µ")+COUNTIF($E137:J137,1),ColLivraison)=K$6,
  VLOOKUP($E137,INDIRECT("tri!"&amp; CHAR(64+ C0Col) &amp;":"&amp; CHAR(65+C0Col)),2,FALSE)&gt;COUNTIF($E137:J137,"u")+COUNTIF($E137:J137,"t")+COUNTIF($E137:J137,"¶")+COUNTIF($E137:J137,"²")+COUNTIF($E137:J137,"µ")+COUNTIF($E137:J137,1)),
HYPERLINK("#Roadmap!C"&amp; MATCH($E137,Roadmap!$D:$D,0)+COUNTIF($E137:J137,"u")+COUNTIF($E137:J137,"t"),
     INDEX(Roadmap!$D:$K,MATCH($E137,Roadmap!$D:$D,0)+COUNTIF($E137:J137,"u")+COUNTIF($E137:J137,"t")+COUNTIF($E137:J137,"¶")+COUNTIF($E137:J137,"²")+COUNTIF($E137:J137,"µ")+COUNTIF($E137:J137,1),ColTypeEcheance)),
  IF(LEN(J137)=1,
  IF(LEN(INDEX(Roadmap!$D:$K,MATCH($E137,Roadmap!$D:$D,0)-1+COUNTIF($E137:J137,"u")+COUNTIF($E137:J137,"t")+COUNTIF($E137:J137,"¶")+COUNTIF($E137:J137,"²")+COUNTIF($E137:J137,"µ")+COUNTIF($E137:J137,1),ColDescriptionCourte))&gt;1,
HYPERLINK("#Roadmap!C"&amp; MATCH($E137,Roadmap!$D:$D,0)+COUNTIF($E137:J137,"u")+COUNTIF($E137:J137,"t")+COUNTIF($E137:J137,"¶")+COUNTIF($E137:J137,"²")+COUNTIF($E137:J137,"µ")+COUNTIF($E137:J137,1)-1,INDEX(Roadmap!$D:$K,MATCH($E137,Roadmap!$D:$D,0)-1+COUNTIF($E137:J137,"u")+COUNTIF($E137:J137,"t")+COUNTIF($E137:J137,"¶")+COUNTIF($E137:J137,"²")+COUNTIF($E137:J137,"µ")+COUNTIF($E137:J137,1),ColDescriptionCourte)),""),
  "")),"")</f>
        <v/>
      </c>
      <c r="L137" s="39" t="str">
        <f ca="1">IFERROR(IF(AND(
  INDEX(Roadmap!$D:$K,MATCH($E137,Roadmap!$D:$D,0)+COUNTIF($E137:K137,"u")+COUNTIF($E137:K137,"t")+COUNTIF($E137:K137,"¶")+COUNTIF($E137:K137,"²")+COUNTIF($E137:K137,"µ")+COUNTIF($E137:K137,1),ColLivraison)=L$6,
  VLOOKUP($E137,INDIRECT("tri!"&amp; CHAR(64+ C0Col) &amp;":"&amp; CHAR(65+C0Col)),2,FALSE)&gt;COUNTIF($E137:K137,"u")+COUNTIF($E137:K137,"t")+COUNTIF($E137:K137,"¶")+COUNTIF($E137:K137,"²")+COUNTIF($E137:K137,"µ")+COUNTIF($E137:K137,1)),
HYPERLINK("#Roadmap!C"&amp; MATCH($E137,Roadmap!$D:$D,0)+COUNTIF($E137:K137,"u")+COUNTIF($E137:K137,"t"),
     INDEX(Roadmap!$D:$K,MATCH($E137,Roadmap!$D:$D,0)+COUNTIF($E137:K137,"u")+COUNTIF($E137:K137,"t")+COUNTIF($E137:K137,"¶")+COUNTIF($E137:K137,"²")+COUNTIF($E137:K137,"µ")+COUNTIF($E137:K137,1),ColTypeEcheance)),
  IF(LEN(K137)=1,
  IF(LEN(INDEX(Roadmap!$D:$K,MATCH($E137,Roadmap!$D:$D,0)-1+COUNTIF($E137:K137,"u")+COUNTIF($E137:K137,"t")+COUNTIF($E137:K137,"¶")+COUNTIF($E137:K137,"²")+COUNTIF($E137:K137,"µ")+COUNTIF($E137:K137,1),ColDescriptionCourte))&gt;1,
HYPERLINK("#Roadmap!C"&amp; MATCH($E137,Roadmap!$D:$D,0)+COUNTIF($E137:K137,"u")+COUNTIF($E137:K137,"t")+COUNTIF($E137:K137,"¶")+COUNTIF($E137:K137,"²")+COUNTIF($E137:K137,"µ")+COUNTIF($E137:K137,1)-1,INDEX(Roadmap!$D:$K,MATCH($E137,Roadmap!$D:$D,0)-1+COUNTIF($E137:K137,"u")+COUNTIF($E137:K137,"t")+COUNTIF($E137:K137,"¶")+COUNTIF($E137:K137,"²")+COUNTIF($E137:K137,"µ")+COUNTIF($E137:K137,1),ColDescriptionCourte)),""),
  "")),"")</f>
        <v/>
      </c>
      <c r="M137" s="40" t="str">
        <f ca="1">IFERROR(IF(AND(
  INDEX(Roadmap!$D:$K,MATCH($E137,Roadmap!$D:$D,0)+COUNTIF($E137:L137,"u")+COUNTIF($E137:L137,"t")+COUNTIF($E137:L137,"¶")+COUNTIF($E137:L137,"²")+COUNTIF($E137:L137,"µ")+COUNTIF($E137:L137,1),ColLivraison)=M$6,
  VLOOKUP($E137,INDIRECT("tri!"&amp; CHAR(64+ C0Col) &amp;":"&amp; CHAR(65+C0Col)),2,FALSE)&gt;COUNTIF($E137:L137,"u")+COUNTIF($E137:L137,"t")+COUNTIF($E137:L137,"¶")+COUNTIF($E137:L137,"²")+COUNTIF($E137:L137,"µ")+COUNTIF($E137:L137,1)),
HYPERLINK("#Roadmap!C"&amp; MATCH($E137,Roadmap!$D:$D,0)+COUNTIF($E137:L137,"u")+COUNTIF($E137:L137,"t"),
     INDEX(Roadmap!$D:$K,MATCH($E137,Roadmap!$D:$D,0)+COUNTIF($E137:L137,"u")+COUNTIF($E137:L137,"t")+COUNTIF($E137:L137,"¶")+COUNTIF($E137:L137,"²")+COUNTIF($E137:L137,"µ")+COUNTIF($E137:L137,1),ColTypeEcheance)),
  IF(LEN(L137)=1,
  IF(LEN(INDEX(Roadmap!$D:$K,MATCH($E137,Roadmap!$D:$D,0)-1+COUNTIF($E137:L137,"u")+COUNTIF($E137:L137,"t")+COUNTIF($E137:L137,"¶")+COUNTIF($E137:L137,"²")+COUNTIF($E137:L137,"µ")+COUNTIF($E137:L137,1),ColDescriptionCourte))&gt;1,
HYPERLINK("#Roadmap!C"&amp; MATCH($E137,Roadmap!$D:$D,0)+COUNTIF($E137:L137,"u")+COUNTIF($E137:L137,"t")+COUNTIF($E137:L137,"¶")+COUNTIF($E137:L137,"²")+COUNTIF($E137:L137,"µ")+COUNTIF($E137:L137,1)-1,INDEX(Roadmap!$D:$K,MATCH($E137,Roadmap!$D:$D,0)-1+COUNTIF($E137:L137,"u")+COUNTIF($E137:L137,"t")+COUNTIF($E137:L137,"¶")+COUNTIF($E137:L137,"²")+COUNTIF($E137:L137,"µ")+COUNTIF($E137:L137,1),ColDescriptionCourte)),""),
  "")),"")</f>
        <v/>
      </c>
      <c r="N137" s="40" t="str">
        <f ca="1">IFERROR(IF(AND(
  INDEX(Roadmap!$D:$K,MATCH($E137,Roadmap!$D:$D,0)+COUNTIF($E137:M137,"u")+COUNTIF($E137:M137,"t")+COUNTIF($E137:M137,"¶")+COUNTIF($E137:M137,"²")+COUNTIF($E137:M137,"µ")+COUNTIF($E137:M137,1),ColLivraison)=N$6,
  VLOOKUP($E137,INDIRECT("tri!"&amp; CHAR(64+ C0Col) &amp;":"&amp; CHAR(65+C0Col)),2,FALSE)&gt;COUNTIF($E137:M137,"u")+COUNTIF($E137:M137,"t")+COUNTIF($E137:M137,"¶")+COUNTIF($E137:M137,"²")+COUNTIF($E137:M137,"µ")+COUNTIF($E137:M137,1)),
HYPERLINK("#Roadmap!C"&amp; MATCH($E137,Roadmap!$D:$D,0)+COUNTIF($E137:M137,"u")+COUNTIF($E137:M137,"t"),
     INDEX(Roadmap!$D:$K,MATCH($E137,Roadmap!$D:$D,0)+COUNTIF($E137:M137,"u")+COUNTIF($E137:M137,"t")+COUNTIF($E137:M137,"¶")+COUNTIF($E137:M137,"²")+COUNTIF($E137:M137,"µ")+COUNTIF($E137:M137,1),ColTypeEcheance)),
  IF(LEN(M137)=1,
  IF(LEN(INDEX(Roadmap!$D:$K,MATCH($E137,Roadmap!$D:$D,0)-1+COUNTIF($E137:M137,"u")+COUNTIF($E137:M137,"t")+COUNTIF($E137:M137,"¶")+COUNTIF($E137:M137,"²")+COUNTIF($E137:M137,"µ")+COUNTIF($E137:M137,1),ColDescriptionCourte))&gt;1,
HYPERLINK("#Roadmap!C"&amp; MATCH($E137,Roadmap!$D:$D,0)+COUNTIF($E137:M137,"u")+COUNTIF($E137:M137,"t")+COUNTIF($E137:M137,"¶")+COUNTIF($E137:M137,"²")+COUNTIF($E137:M137,"µ")+COUNTIF($E137:M137,1)-1,INDEX(Roadmap!$D:$K,MATCH($E137,Roadmap!$D:$D,0)-1+COUNTIF($E137:M137,"u")+COUNTIF($E137:M137,"t")+COUNTIF($E137:M137,"¶")+COUNTIF($E137:M137,"²")+COUNTIF($E137:M137,"µ")+COUNTIF($E137:M137,1),ColDescriptionCourte)),""),
  "")),"")</f>
        <v/>
      </c>
      <c r="O137" s="40" t="str">
        <f ca="1">IFERROR(IF(AND(
  INDEX(Roadmap!$D:$K,MATCH($E137,Roadmap!$D:$D,0)+COUNTIF($E137:N137,"u")+COUNTIF($E137:N137,"t")+COUNTIF($E137:N137,"¶")+COUNTIF($E137:N137,"²")+COUNTIF($E137:N137,"µ")+COUNTIF($E137:N137,1),ColLivraison)=O$6,
  VLOOKUP($E137,INDIRECT("tri!"&amp; CHAR(64+ C0Col) &amp;":"&amp; CHAR(65+C0Col)),2,FALSE)&gt;COUNTIF($E137:N137,"u")+COUNTIF($E137:N137,"t")+COUNTIF($E137:N137,"¶")+COUNTIF($E137:N137,"²")+COUNTIF($E137:N137,"µ")+COUNTIF($E137:N137,1)),
HYPERLINK("#Roadmap!C"&amp; MATCH($E137,Roadmap!$D:$D,0)+COUNTIF($E137:N137,"u")+COUNTIF($E137:N137,"t"),
     INDEX(Roadmap!$D:$K,MATCH($E137,Roadmap!$D:$D,0)+COUNTIF($E137:N137,"u")+COUNTIF($E137:N137,"t")+COUNTIF($E137:N137,"¶")+COUNTIF($E137:N137,"²")+COUNTIF($E137:N137,"µ")+COUNTIF($E137:N137,1),ColTypeEcheance)),
  IF(LEN(N137)=1,
  IF(LEN(INDEX(Roadmap!$D:$K,MATCH($E137,Roadmap!$D:$D,0)-1+COUNTIF($E137:N137,"u")+COUNTIF($E137:N137,"t")+COUNTIF($E137:N137,"¶")+COUNTIF($E137:N137,"²")+COUNTIF($E137:N137,"µ")+COUNTIF($E137:N137,1),ColDescriptionCourte))&gt;1,
HYPERLINK("#Roadmap!C"&amp; MATCH($E137,Roadmap!$D:$D,0)+COUNTIF($E137:N137,"u")+COUNTIF($E137:N137,"t")+COUNTIF($E137:N137,"¶")+COUNTIF($E137:N137,"²")+COUNTIF($E137:N137,"µ")+COUNTIF($E137:N137,1)-1,INDEX(Roadmap!$D:$K,MATCH($E137,Roadmap!$D:$D,0)-1+COUNTIF($E137:N137,"u")+COUNTIF($E137:N137,"t")+COUNTIF($E137:N137,"¶")+COUNTIF($E137:N137,"²")+COUNTIF($E137:N137,"µ")+COUNTIF($E137:N137,1),ColDescriptionCourte)),""),
  "")),"")</f>
        <v/>
      </c>
      <c r="P137" s="40" t="str">
        <f ca="1">IFERROR(IF(AND(
  INDEX(Roadmap!$D:$K,MATCH($E137,Roadmap!$D:$D,0)+COUNTIF($E137:O137,"u")+COUNTIF($E137:O137,"t")+COUNTIF($E137:O137,"¶")+COUNTIF($E137:O137,"²")+COUNTIF($E137:O137,"µ")+COUNTIF($E137:O137,1),ColLivraison)=P$6,
  VLOOKUP($E137,INDIRECT("tri!"&amp; CHAR(64+ C0Col) &amp;":"&amp; CHAR(65+C0Col)),2,FALSE)&gt;COUNTIF($E137:O137,"u")+COUNTIF($E137:O137,"t")+COUNTIF($E137:O137,"¶")+COUNTIF($E137:O137,"²")+COUNTIF($E137:O137,"µ")+COUNTIF($E137:O137,1)),
HYPERLINK("#Roadmap!C"&amp; MATCH($E137,Roadmap!$D:$D,0)+COUNTIF($E137:O137,"u")+COUNTIF($E137:O137,"t"),
     INDEX(Roadmap!$D:$K,MATCH($E137,Roadmap!$D:$D,0)+COUNTIF($E137:O137,"u")+COUNTIF($E137:O137,"t")+COUNTIF($E137:O137,"¶")+COUNTIF($E137:O137,"²")+COUNTIF($E137:O137,"µ")+COUNTIF($E137:O137,1),ColTypeEcheance)),
  IF(LEN(O137)=1,
  IF(LEN(INDEX(Roadmap!$D:$K,MATCH($E137,Roadmap!$D:$D,0)-1+COUNTIF($E137:O137,"u")+COUNTIF($E137:O137,"t")+COUNTIF($E137:O137,"¶")+COUNTIF($E137:O137,"²")+COUNTIF($E137:O137,"µ")+COUNTIF($E137:O137,1),ColDescriptionCourte))&gt;1,
HYPERLINK("#Roadmap!C"&amp; MATCH($E137,Roadmap!$D:$D,0)+COUNTIF($E137:O137,"u")+COUNTIF($E137:O137,"t")+COUNTIF($E137:O137,"¶")+COUNTIF($E137:O137,"²")+COUNTIF($E137:O137,"µ")+COUNTIF($E137:O137,1)-1,INDEX(Roadmap!$D:$K,MATCH($E137,Roadmap!$D:$D,0)-1+COUNTIF($E137:O137,"u")+COUNTIF($E137:O137,"t")+COUNTIF($E137:O137,"¶")+COUNTIF($E137:O137,"²")+COUNTIF($E137:O137,"µ")+COUNTIF($E137:O137,1),ColDescriptionCourte)),""),
  "")),"")</f>
        <v/>
      </c>
      <c r="Q137" s="40" t="str">
        <f ca="1">IFERROR(IF(AND(
  INDEX(Roadmap!$D:$K,MATCH($E137,Roadmap!$D:$D,0)+COUNTIF($E137:P137,"u")+COUNTIF($E137:P137,"t")+COUNTIF($E137:P137,"¶")+COUNTIF($E137:P137,"²")+COUNTIF($E137:P137,"µ")+COUNTIF($E137:P137,1),ColLivraison)=Q$6,
  VLOOKUP($E137,INDIRECT("tri!"&amp; CHAR(64+ C0Col) &amp;":"&amp; CHAR(65+C0Col)),2,FALSE)&gt;COUNTIF($E137:P137,"u")+COUNTIF($E137:P137,"t")+COUNTIF($E137:P137,"¶")+COUNTIF($E137:P137,"²")+COUNTIF($E137:P137,"µ")+COUNTIF($E137:P137,1)),
HYPERLINK("#Roadmap!C"&amp; MATCH($E137,Roadmap!$D:$D,0)+COUNTIF($E137:P137,"u")+COUNTIF($E137:P137,"t"),
     INDEX(Roadmap!$D:$K,MATCH($E137,Roadmap!$D:$D,0)+COUNTIF($E137:P137,"u")+COUNTIF($E137:P137,"t")+COUNTIF($E137:P137,"¶")+COUNTIF($E137:P137,"²")+COUNTIF($E137:P137,"µ")+COUNTIF($E137:P137,1),ColTypeEcheance)),
  IF(LEN(P137)=1,
  IF(LEN(INDEX(Roadmap!$D:$K,MATCH($E137,Roadmap!$D:$D,0)-1+COUNTIF($E137:P137,"u")+COUNTIF($E137:P137,"t")+COUNTIF($E137:P137,"¶")+COUNTIF($E137:P137,"²")+COUNTIF($E137:P137,"µ")+COUNTIF($E137:P137,1),ColDescriptionCourte))&gt;1,
HYPERLINK("#Roadmap!C"&amp; MATCH($E137,Roadmap!$D:$D,0)+COUNTIF($E137:P137,"u")+COUNTIF($E137:P137,"t")+COUNTIF($E137:P137,"¶")+COUNTIF($E137:P137,"²")+COUNTIF($E137:P137,"µ")+COUNTIF($E137:P137,1)-1,INDEX(Roadmap!$D:$K,MATCH($E137,Roadmap!$D:$D,0)-1+COUNTIF($E137:P137,"u")+COUNTIF($E137:P137,"t")+COUNTIF($E137:P137,"¶")+COUNTIF($E137:P137,"²")+COUNTIF($E137:P137,"µ")+COUNTIF($E137:P137,1),ColDescriptionCourte)),""),
  "")),"")</f>
        <v/>
      </c>
      <c r="R137" s="40" t="str">
        <f ca="1">IFERROR(IF(AND(
  INDEX(Roadmap!$D:$K,MATCH($E137,Roadmap!$D:$D,0)+COUNTIF($E137:Q137,"u")+COUNTIF($E137:Q137,"t")+COUNTIF($E137:Q137,"¶")+COUNTIF($E137:Q137,"²")+COUNTIF($E137:Q137,"µ")+COUNTIF($E137:Q137,1),ColLivraison)=R$6,
  VLOOKUP($E137,INDIRECT("tri!"&amp; CHAR(64+ C0Col) &amp;":"&amp; CHAR(65+C0Col)),2,FALSE)&gt;COUNTIF($E137:Q137,"u")+COUNTIF($E137:Q137,"t")+COUNTIF($E137:Q137,"¶")+COUNTIF($E137:Q137,"²")+COUNTIF($E137:Q137,"µ")+COUNTIF($E137:Q137,1)),
HYPERLINK("#Roadmap!C"&amp; MATCH($E137,Roadmap!$D:$D,0)+COUNTIF($E137:Q137,"u")+COUNTIF($E137:Q137,"t"),
     INDEX(Roadmap!$D:$K,MATCH($E137,Roadmap!$D:$D,0)+COUNTIF($E137:Q137,"u")+COUNTIF($E137:Q137,"t")+COUNTIF($E137:Q137,"¶")+COUNTIF($E137:Q137,"²")+COUNTIF($E137:Q137,"µ")+COUNTIF($E137:Q137,1),ColTypeEcheance)),
  IF(LEN(Q137)=1,
  IF(LEN(INDEX(Roadmap!$D:$K,MATCH($E137,Roadmap!$D:$D,0)-1+COUNTIF($E137:Q137,"u")+COUNTIF($E137:Q137,"t")+COUNTIF($E137:Q137,"¶")+COUNTIF($E137:Q137,"²")+COUNTIF($E137:Q137,"µ")+COUNTIF($E137:Q137,1),ColDescriptionCourte))&gt;1,
HYPERLINK("#Roadmap!C"&amp; MATCH($E137,Roadmap!$D:$D,0)+COUNTIF($E137:Q137,"u")+COUNTIF($E137:Q137,"t")+COUNTIF($E137:Q137,"¶")+COUNTIF($E137:Q137,"²")+COUNTIF($E137:Q137,"µ")+COUNTIF($E137:Q137,1)-1,INDEX(Roadmap!$D:$K,MATCH($E137,Roadmap!$D:$D,0)-1+COUNTIF($E137:Q137,"u")+COUNTIF($E137:Q137,"t")+COUNTIF($E137:Q137,"¶")+COUNTIF($E137:Q137,"²")+COUNTIF($E137:Q137,"µ")+COUNTIF($E137:Q137,1),ColDescriptionCourte)),""),
  "")),"")</f>
        <v/>
      </c>
      <c r="S137" s="40" t="str">
        <f ca="1">IFERROR(IF(AND(
  INDEX(Roadmap!$D:$K,MATCH($E137,Roadmap!$D:$D,0)+COUNTIF($E137:R137,"u")+COUNTIF($E137:R137,"t")+COUNTIF($E137:R137,"¶")+COUNTIF($E137:R137,"²")+COUNTIF($E137:R137,"µ")+COUNTIF($E137:R137,1),ColLivraison)=S$6,
  VLOOKUP($E137,INDIRECT("tri!"&amp; CHAR(64+ C0Col) &amp;":"&amp; CHAR(65+C0Col)),2,FALSE)&gt;COUNTIF($E137:R137,"u")+COUNTIF($E137:R137,"t")+COUNTIF($E137:R137,"¶")+COUNTIF($E137:R137,"²")+COUNTIF($E137:R137,"µ")+COUNTIF($E137:R137,1)),
HYPERLINK("#Roadmap!C"&amp; MATCH($E137,Roadmap!$D:$D,0)+COUNTIF($E137:R137,"u")+COUNTIF($E137:R137,"t"),
     INDEX(Roadmap!$D:$K,MATCH($E137,Roadmap!$D:$D,0)+COUNTIF($E137:R137,"u")+COUNTIF($E137:R137,"t")+COUNTIF($E137:R137,"¶")+COUNTIF($E137:R137,"²")+COUNTIF($E137:R137,"µ")+COUNTIF($E137:R137,1),ColTypeEcheance)),
  IF(LEN(R137)=1,
  IF(LEN(INDEX(Roadmap!$D:$K,MATCH($E137,Roadmap!$D:$D,0)-1+COUNTIF($E137:R137,"u")+COUNTIF($E137:R137,"t")+COUNTIF($E137:R137,"¶")+COUNTIF($E137:R137,"²")+COUNTIF($E137:R137,"µ")+COUNTIF($E137:R137,1),ColDescriptionCourte))&gt;1,
HYPERLINK("#Roadmap!C"&amp; MATCH($E137,Roadmap!$D:$D,0)+COUNTIF($E137:R137,"u")+COUNTIF($E137:R137,"t")+COUNTIF($E137:R137,"¶")+COUNTIF($E137:R137,"²")+COUNTIF($E137:R137,"µ")+COUNTIF($E137:R137,1)-1,INDEX(Roadmap!$D:$K,MATCH($E137,Roadmap!$D:$D,0)-1+COUNTIF($E137:R137,"u")+COUNTIF($E137:R137,"t")+COUNTIF($E137:R137,"¶")+COUNTIF($E137:R137,"²")+COUNTIF($E137:R137,"µ")+COUNTIF($E137:R137,1),ColDescriptionCourte)),""),
  "")),"")</f>
        <v/>
      </c>
      <c r="T137" s="40" t="str">
        <f ca="1">IFERROR(IF(AND(
  INDEX(Roadmap!$D:$K,MATCH($E137,Roadmap!$D:$D,0)+COUNTIF($E137:S137,"u")+COUNTIF($E137:S137,"t")+COUNTIF($E137:S137,"¶")+COUNTIF($E137:S137,"²")+COUNTIF($E137:S137,"µ")+COUNTIF($E137:S137,1),ColLivraison)=T$6,
  VLOOKUP($E137,INDIRECT("tri!"&amp; CHAR(64+ C0Col) &amp;":"&amp; CHAR(65+C0Col)),2,FALSE)&gt;COUNTIF($E137:S137,"u")+COUNTIF($E137:S137,"t")+COUNTIF($E137:S137,"¶")+COUNTIF($E137:S137,"²")+COUNTIF($E137:S137,"µ")+COUNTIF($E137:S137,1)),
HYPERLINK("#Roadmap!C"&amp; MATCH($E137,Roadmap!$D:$D,0)+COUNTIF($E137:S137,"u")+COUNTIF($E137:S137,"t"),
     INDEX(Roadmap!$D:$K,MATCH($E137,Roadmap!$D:$D,0)+COUNTIF($E137:S137,"u")+COUNTIF($E137:S137,"t")+COUNTIF($E137:S137,"¶")+COUNTIF($E137:S137,"²")+COUNTIF($E137:S137,"µ")+COUNTIF($E137:S137,1),ColTypeEcheance)),
  IF(LEN(S137)=1,
  IF(LEN(INDEX(Roadmap!$D:$K,MATCH($E137,Roadmap!$D:$D,0)-1+COUNTIF($E137:S137,"u")+COUNTIF($E137:S137,"t")+COUNTIF($E137:S137,"¶")+COUNTIF($E137:S137,"²")+COUNTIF($E137:S137,"µ")+COUNTIF($E137:S137,1),ColDescriptionCourte))&gt;1,
HYPERLINK("#Roadmap!C"&amp; MATCH($E137,Roadmap!$D:$D,0)+COUNTIF($E137:S137,"u")+COUNTIF($E137:S137,"t")+COUNTIF($E137:S137,"¶")+COUNTIF($E137:S137,"²")+COUNTIF($E137:S137,"µ")+COUNTIF($E137:S137,1)-1,INDEX(Roadmap!$D:$K,MATCH($E137,Roadmap!$D:$D,0)-1+COUNTIF($E137:S137,"u")+COUNTIF($E137:S137,"t")+COUNTIF($E137:S137,"¶")+COUNTIF($E137:S137,"²")+COUNTIF($E137:S137,"µ")+COUNTIF($E137:S137,1),ColDescriptionCourte)),""),
  "")),"")</f>
        <v/>
      </c>
      <c r="U137" s="40" t="str">
        <f ca="1">IFERROR(IF(AND(
  INDEX(Roadmap!$D:$K,MATCH($E137,Roadmap!$D:$D,0)+COUNTIF($E137:T137,"u")+COUNTIF($E137:T137,"t")+COUNTIF($E137:T137,"¶")+COUNTIF($E137:T137,"²")+COUNTIF($E137:T137,"µ")+COUNTIF($E137:T137,1),ColLivraison)=U$6,
  VLOOKUP($E137,INDIRECT("tri!"&amp; CHAR(64+ C0Col) &amp;":"&amp; CHAR(65+C0Col)),2,FALSE)&gt;COUNTIF($E137:T137,"u")+COUNTIF($E137:T137,"t")+COUNTIF($E137:T137,"¶")+COUNTIF($E137:T137,"²")+COUNTIF($E137:T137,"µ")+COUNTIF($E137:T137,1)),
HYPERLINK("#Roadmap!C"&amp; MATCH($E137,Roadmap!$D:$D,0)+COUNTIF($E137:T137,"u")+COUNTIF($E137:T137,"t"),
     INDEX(Roadmap!$D:$K,MATCH($E137,Roadmap!$D:$D,0)+COUNTIF($E137:T137,"u")+COUNTIF($E137:T137,"t")+COUNTIF($E137:T137,"¶")+COUNTIF($E137:T137,"²")+COUNTIF($E137:T137,"µ")+COUNTIF($E137:T137,1),ColTypeEcheance)),
  IF(LEN(T137)=1,
  IF(LEN(INDEX(Roadmap!$D:$K,MATCH($E137,Roadmap!$D:$D,0)-1+COUNTIF($E137:T137,"u")+COUNTIF($E137:T137,"t")+COUNTIF($E137:T137,"¶")+COUNTIF($E137:T137,"²")+COUNTIF($E137:T137,"µ")+COUNTIF($E137:T137,1),ColDescriptionCourte))&gt;1,
HYPERLINK("#Roadmap!C"&amp; MATCH($E137,Roadmap!$D:$D,0)+COUNTIF($E137:T137,"u")+COUNTIF($E137:T137,"t")+COUNTIF($E137:T137,"¶")+COUNTIF($E137:T137,"²")+COUNTIF($E137:T137,"µ")+COUNTIF($E137:T137,1)-1,INDEX(Roadmap!$D:$K,MATCH($E137,Roadmap!$D:$D,0)-1+COUNTIF($E137:T137,"u")+COUNTIF($E137:T137,"t")+COUNTIF($E137:T137,"¶")+COUNTIF($E137:T137,"²")+COUNTIF($E137:T137,"µ")+COUNTIF($E137:T137,1),ColDescriptionCourte)),""),
  "")),"")</f>
        <v/>
      </c>
      <c r="V137" s="40" t="str">
        <f ca="1">IFERROR(IF(AND(
  INDEX(Roadmap!$D:$K,MATCH($E137,Roadmap!$D:$D,0)+COUNTIF($E137:U137,"u")+COUNTIF($E137:U137,"t")+COUNTIF($E137:U137,"¶")+COUNTIF($E137:U137,"²")+COUNTIF($E137:U137,"µ")+COUNTIF($E137:U137,1),ColLivraison)=V$6,
  VLOOKUP($E137,INDIRECT("tri!"&amp; CHAR(64+ C0Col) &amp;":"&amp; CHAR(65+C0Col)),2,FALSE)&gt;COUNTIF($E137:U137,"u")+COUNTIF($E137:U137,"t")+COUNTIF($E137:U137,"¶")+COUNTIF($E137:U137,"²")+COUNTIF($E137:U137,"µ")+COUNTIF($E137:U137,1)),
HYPERLINK("#Roadmap!C"&amp; MATCH($E137,Roadmap!$D:$D,0)+COUNTIF($E137:U137,"u")+COUNTIF($E137:U137,"t"),
     INDEX(Roadmap!$D:$K,MATCH($E137,Roadmap!$D:$D,0)+COUNTIF($E137:U137,"u")+COUNTIF($E137:U137,"t")+COUNTIF($E137:U137,"¶")+COUNTIF($E137:U137,"²")+COUNTIF($E137:U137,"µ")+COUNTIF($E137:U137,1),ColTypeEcheance)),
  IF(LEN(U137)=1,
  IF(LEN(INDEX(Roadmap!$D:$K,MATCH($E137,Roadmap!$D:$D,0)-1+COUNTIF($E137:U137,"u")+COUNTIF($E137:U137,"t")+COUNTIF($E137:U137,"¶")+COUNTIF($E137:U137,"²")+COUNTIF($E137:U137,"µ")+COUNTIF($E137:U137,1),ColDescriptionCourte))&gt;1,
HYPERLINK("#Roadmap!C"&amp; MATCH($E137,Roadmap!$D:$D,0)+COUNTIF($E137:U137,"u")+COUNTIF($E137:U137,"t")+COUNTIF($E137:U137,"¶")+COUNTIF($E137:U137,"²")+COUNTIF($E137:U137,"µ")+COUNTIF($E137:U137,1)-1,INDEX(Roadmap!$D:$K,MATCH($E137,Roadmap!$D:$D,0)-1+COUNTIF($E137:U137,"u")+COUNTIF($E137:U137,"t")+COUNTIF($E137:U137,"¶")+COUNTIF($E137:U137,"²")+COUNTIF($E137:U137,"µ")+COUNTIF($E137:U137,1),ColDescriptionCourte)),""),
  "")),"")</f>
        <v/>
      </c>
      <c r="W137" s="40" t="str">
        <f ca="1">IFERROR(IF(AND(
  INDEX(Roadmap!$D:$K,MATCH($E137,Roadmap!$D:$D,0)+COUNTIF($E137:V137,"u")+COUNTIF($E137:V137,"t")+COUNTIF($E137:V137,"¶")+COUNTIF($E137:V137,"²")+COUNTIF($E137:V137,"µ")+COUNTIF($E137:V137,1),ColLivraison)=W$6,
  VLOOKUP($E137,INDIRECT("tri!"&amp; CHAR(64+ C0Col) &amp;":"&amp; CHAR(65+C0Col)),2,FALSE)&gt;COUNTIF($E137:V137,"u")+COUNTIF($E137:V137,"t")+COUNTIF($E137:V137,"¶")+COUNTIF($E137:V137,"²")+COUNTIF($E137:V137,"µ")+COUNTIF($E137:V137,1)),
HYPERLINK("#Roadmap!C"&amp; MATCH($E137,Roadmap!$D:$D,0)+COUNTIF($E137:V137,"u")+COUNTIF($E137:V137,"t"),
     INDEX(Roadmap!$D:$K,MATCH($E137,Roadmap!$D:$D,0)+COUNTIF($E137:V137,"u")+COUNTIF($E137:V137,"t")+COUNTIF($E137:V137,"¶")+COUNTIF($E137:V137,"²")+COUNTIF($E137:V137,"µ")+COUNTIF($E137:V137,1),ColTypeEcheance)),
  IF(LEN(V137)=1,
  IF(LEN(INDEX(Roadmap!$D:$K,MATCH($E137,Roadmap!$D:$D,0)-1+COUNTIF($E137:V137,"u")+COUNTIF($E137:V137,"t")+COUNTIF($E137:V137,"¶")+COUNTIF($E137:V137,"²")+COUNTIF($E137:V137,"µ")+COUNTIF($E137:V137,1),ColDescriptionCourte))&gt;1,
HYPERLINK("#Roadmap!C"&amp; MATCH($E137,Roadmap!$D:$D,0)+COUNTIF($E137:V137,"u")+COUNTIF($E137:V137,"t")+COUNTIF($E137:V137,"¶")+COUNTIF($E137:V137,"²")+COUNTIF($E137:V137,"µ")+COUNTIF($E137:V137,1)-1,INDEX(Roadmap!$D:$K,MATCH($E137,Roadmap!$D:$D,0)-1+COUNTIF($E137:V137,"u")+COUNTIF($E137:V137,"t")+COUNTIF($E137:V137,"¶")+COUNTIF($E137:V137,"²")+COUNTIF($E137:V137,"µ")+COUNTIF($E137:V137,1),ColDescriptionCourte)),""),
  "")),"")</f>
        <v/>
      </c>
      <c r="X137" s="40" t="str">
        <f ca="1">IFERROR(IF(AND(
  INDEX(Roadmap!$D:$K,MATCH($E137,Roadmap!$D:$D,0)+COUNTIF($E137:W137,"u")+COUNTIF($E137:W137,"t")+COUNTIF($E137:W137,"¶")+COUNTIF($E137:W137,"²")+COUNTIF($E137:W137,"µ")+COUNTIF($E137:W137,1),ColLivraison)=X$6,
  VLOOKUP($E137,INDIRECT("tri!"&amp; CHAR(64+ C0Col) &amp;":"&amp; CHAR(65+C0Col)),2,FALSE)&gt;COUNTIF($E137:W137,"u")+COUNTIF($E137:W137,"t")+COUNTIF($E137:W137,"¶")+COUNTIF($E137:W137,"²")+COUNTIF($E137:W137,"µ")+COUNTIF($E137:W137,1)),
HYPERLINK("#Roadmap!C"&amp; MATCH($E137,Roadmap!$D:$D,0)+COUNTIF($E137:W137,"u")+COUNTIF($E137:W137,"t"),
     INDEX(Roadmap!$D:$K,MATCH($E137,Roadmap!$D:$D,0)+COUNTIF($E137:W137,"u")+COUNTIF($E137:W137,"t")+COUNTIF($E137:W137,"¶")+COUNTIF($E137:W137,"²")+COUNTIF($E137:W137,"µ")+COUNTIF($E137:W137,1),ColTypeEcheance)),
  IF(LEN(W137)=1,
  IF(LEN(INDEX(Roadmap!$D:$K,MATCH($E137,Roadmap!$D:$D,0)-1+COUNTIF($E137:W137,"u")+COUNTIF($E137:W137,"t")+COUNTIF($E137:W137,"¶")+COUNTIF($E137:W137,"²")+COUNTIF($E137:W137,"µ")+COUNTIF($E137:W137,1),ColDescriptionCourte))&gt;1,
HYPERLINK("#Roadmap!C"&amp; MATCH($E137,Roadmap!$D:$D,0)+COUNTIF($E137:W137,"u")+COUNTIF($E137:W137,"t")+COUNTIF($E137:W137,"¶")+COUNTIF($E137:W137,"²")+COUNTIF($E137:W137,"µ")+COUNTIF($E137:W137,1)-1,INDEX(Roadmap!$D:$K,MATCH($E137,Roadmap!$D:$D,0)-1+COUNTIF($E137:W137,"u")+COUNTIF($E137:W137,"t")+COUNTIF($E137:W137,"¶")+COUNTIF($E137:W137,"²")+COUNTIF($E137:W137,"µ")+COUNTIF($E137:W137,1),ColDescriptionCourte)),""),
  "")),"")</f>
        <v/>
      </c>
      <c r="Y137" s="40" t="str">
        <f ca="1">IFERROR(IF(AND(
  INDEX(Roadmap!$D:$K,MATCH($E137,Roadmap!$D:$D,0)+COUNTIF($E137:X137,"u")+COUNTIF($E137:X137,"t")+COUNTIF($E137:X137,"¶")+COUNTIF($E137:X137,"²")+COUNTIF($E137:X137,"µ")+COUNTIF($E137:X137,1),ColLivraison)=Y$6,
  VLOOKUP($E137,INDIRECT("tri!"&amp; CHAR(64+ C0Col) &amp;":"&amp; CHAR(65+C0Col)),2,FALSE)&gt;COUNTIF($E137:X137,"u")+COUNTIF($E137:X137,"t")+COUNTIF($E137:X137,"¶")+COUNTIF($E137:X137,"²")+COUNTIF($E137:X137,"µ")+COUNTIF($E137:X137,1)),
HYPERLINK("#Roadmap!C"&amp; MATCH($E137,Roadmap!$D:$D,0)+COUNTIF($E137:X137,"u")+COUNTIF($E137:X137,"t"),
     INDEX(Roadmap!$D:$K,MATCH($E137,Roadmap!$D:$D,0)+COUNTIF($E137:X137,"u")+COUNTIF($E137:X137,"t")+COUNTIF($E137:X137,"¶")+COUNTIF($E137:X137,"²")+COUNTIF($E137:X137,"µ")+COUNTIF($E137:X137,1),ColTypeEcheance)),
  IF(LEN(X137)=1,
  IF(LEN(INDEX(Roadmap!$D:$K,MATCH($E137,Roadmap!$D:$D,0)-1+COUNTIF($E137:X137,"u")+COUNTIF($E137:X137,"t")+COUNTIF($E137:X137,"¶")+COUNTIF($E137:X137,"²")+COUNTIF($E137:X137,"µ")+COUNTIF($E137:X137,1),ColDescriptionCourte))&gt;1,
HYPERLINK("#Roadmap!C"&amp; MATCH($E137,Roadmap!$D:$D,0)+COUNTIF($E137:X137,"u")+COUNTIF($E137:X137,"t")+COUNTIF($E137:X137,"¶")+COUNTIF($E137:X137,"²")+COUNTIF($E137:X137,"µ")+COUNTIF($E137:X137,1)-1,INDEX(Roadmap!$D:$K,MATCH($E137,Roadmap!$D:$D,0)-1+COUNTIF($E137:X137,"u")+COUNTIF($E137:X137,"t")+COUNTIF($E137:X137,"¶")+COUNTIF($E137:X137,"²")+COUNTIF($E137:X137,"µ")+COUNTIF($E137:X137,1),ColDescriptionCourte)),""),
  "")),"")</f>
        <v/>
      </c>
      <c r="Z137" s="40" t="str">
        <f ca="1">IFERROR(IF(AND(
  INDEX(Roadmap!$D:$K,MATCH($E137,Roadmap!$D:$D,0)+COUNTIF($E137:Y137,"u")+COUNTIF($E137:Y137,"t")+COUNTIF($E137:Y137,"¶")+COUNTIF($E137:Y137,"²")+COUNTIF($E137:Y137,"µ")+COUNTIF($E137:Y137,1),ColLivraison)=Z$6,
  VLOOKUP($E137,INDIRECT("tri!"&amp; CHAR(64+ C0Col) &amp;":"&amp; CHAR(65+C0Col)),2,FALSE)&gt;COUNTIF($E137:Y137,"u")+COUNTIF($E137:Y137,"t")+COUNTIF($E137:Y137,"¶")+COUNTIF($E137:Y137,"²")+COUNTIF($E137:Y137,"µ")+COUNTIF($E137:Y137,1)),
HYPERLINK("#Roadmap!C"&amp; MATCH($E137,Roadmap!$D:$D,0)+COUNTIF($E137:Y137,"u")+COUNTIF($E137:Y137,"t"),
     INDEX(Roadmap!$D:$K,MATCH($E137,Roadmap!$D:$D,0)+COUNTIF($E137:Y137,"u")+COUNTIF($E137:Y137,"t")+COUNTIF($E137:Y137,"¶")+COUNTIF($E137:Y137,"²")+COUNTIF($E137:Y137,"µ")+COUNTIF($E137:Y137,1),ColTypeEcheance)),
  IF(LEN(Y137)=1,
  IF(LEN(INDEX(Roadmap!$D:$K,MATCH($E137,Roadmap!$D:$D,0)-1+COUNTIF($E137:Y137,"u")+COUNTIF($E137:Y137,"t")+COUNTIF($E137:Y137,"¶")+COUNTIF($E137:Y137,"²")+COUNTIF($E137:Y137,"µ")+COUNTIF($E137:Y137,1),ColDescriptionCourte))&gt;1,
HYPERLINK("#Roadmap!C"&amp; MATCH($E137,Roadmap!$D:$D,0)+COUNTIF($E137:Y137,"u")+COUNTIF($E137:Y137,"t")+COUNTIF($E137:Y137,"¶")+COUNTIF($E137:Y137,"²")+COUNTIF($E137:Y137,"µ")+COUNTIF($E137:Y137,1)-1,INDEX(Roadmap!$D:$K,MATCH($E137,Roadmap!$D:$D,0)-1+COUNTIF($E137:Y137,"u")+COUNTIF($E137:Y137,"t")+COUNTIF($E137:Y137,"¶")+COUNTIF($E137:Y137,"²")+COUNTIF($E137:Y137,"µ")+COUNTIF($E137:Y137,1),ColDescriptionCourte)),""),
  "")),"")</f>
        <v/>
      </c>
      <c r="AA137" s="40" t="str">
        <f ca="1">IFERROR(IF(AND(
  INDEX(Roadmap!$D:$K,MATCH($E137,Roadmap!$D:$D,0)+COUNTIF($E137:Z137,"u")+COUNTIF($E137:Z137,"t")+COUNTIF($E137:Z137,"¶")+COUNTIF($E137:Z137,"²")+COUNTIF($E137:Z137,"µ")+COUNTIF($E137:Z137,1),ColLivraison)=AA$6,
  VLOOKUP($E137,INDIRECT("tri!"&amp; CHAR(64+ C0Col) &amp;":"&amp; CHAR(65+C0Col)),2,FALSE)&gt;COUNTIF($E137:Z137,"u")+COUNTIF($E137:Z137,"t")+COUNTIF($E137:Z137,"¶")+COUNTIF($E137:Z137,"²")+COUNTIF($E137:Z137,"µ")+COUNTIF($E137:Z137,1)),
HYPERLINK("#Roadmap!C"&amp; MATCH($E137,Roadmap!$D:$D,0)+COUNTIF($E137:Z137,"u")+COUNTIF($E137:Z137,"t"),
     INDEX(Roadmap!$D:$K,MATCH($E137,Roadmap!$D:$D,0)+COUNTIF($E137:Z137,"u")+COUNTIF($E137:Z137,"t")+COUNTIF($E137:Z137,"¶")+COUNTIF($E137:Z137,"²")+COUNTIF($E137:Z137,"µ")+COUNTIF($E137:Z137,1),ColTypeEcheance)),
  IF(LEN(Z137)=1,
  IF(LEN(INDEX(Roadmap!$D:$K,MATCH($E137,Roadmap!$D:$D,0)-1+COUNTIF($E137:Z137,"u")+COUNTIF($E137:Z137,"t")+COUNTIF($E137:Z137,"¶")+COUNTIF($E137:Z137,"²")+COUNTIF($E137:Z137,"µ")+COUNTIF($E137:Z137,1),ColDescriptionCourte))&gt;1,
HYPERLINK("#Roadmap!C"&amp; MATCH($E137,Roadmap!$D:$D,0)+COUNTIF($E137:Z137,"u")+COUNTIF($E137:Z137,"t")+COUNTIF($E137:Z137,"¶")+COUNTIF($E137:Z137,"²")+COUNTIF($E137:Z137,"µ")+COUNTIF($E137:Z137,1)-1,INDEX(Roadmap!$D:$K,MATCH($E137,Roadmap!$D:$D,0)-1+COUNTIF($E137:Z137,"u")+COUNTIF($E137:Z137,"t")+COUNTIF($E137:Z137,"¶")+COUNTIF($E137:Z137,"²")+COUNTIF($E137:Z137,"µ")+COUNTIF($E137:Z137,1),ColDescriptionCourte)),""),
  "")),"")</f>
        <v/>
      </c>
      <c r="AB137" s="40" t="str">
        <f ca="1">IFERROR(IF(AND(
  INDEX(Roadmap!$D:$K,MATCH($E137,Roadmap!$D:$D,0)+COUNTIF($E137:AA137,"u")+COUNTIF($E137:AA137,"t")+COUNTIF($E137:AA137,"¶")+COUNTIF($E137:AA137,"²")+COUNTIF($E137:AA137,"µ")+COUNTIF($E137:AA137,1),ColLivraison)=AB$6,
  VLOOKUP($E137,INDIRECT("tri!"&amp; CHAR(64+ C0Col) &amp;":"&amp; CHAR(65+C0Col)),2,FALSE)&gt;COUNTIF($E137:AA137,"u")+COUNTIF($E137:AA137,"t")+COUNTIF($E137:AA137,"¶")+COUNTIF($E137:AA137,"²")+COUNTIF($E137:AA137,"µ")+COUNTIF($E137:AA137,1)),
HYPERLINK("#Roadmap!C"&amp; MATCH($E137,Roadmap!$D:$D,0)+COUNTIF($E137:AA137,"u")+COUNTIF($E137:AA137,"t"),
     INDEX(Roadmap!$D:$K,MATCH($E137,Roadmap!$D:$D,0)+COUNTIF($E137:AA137,"u")+COUNTIF($E137:AA137,"t")+COUNTIF($E137:AA137,"¶")+COUNTIF($E137:AA137,"²")+COUNTIF($E137:AA137,"µ")+COUNTIF($E137:AA137,1),ColTypeEcheance)),
  IF(LEN(AA137)=1,
  IF(LEN(INDEX(Roadmap!$D:$K,MATCH($E137,Roadmap!$D:$D,0)-1+COUNTIF($E137:AA137,"u")+COUNTIF($E137:AA137,"t")+COUNTIF($E137:AA137,"¶")+COUNTIF($E137:AA137,"²")+COUNTIF($E137:AA137,"µ")+COUNTIF($E137:AA137,1),ColDescriptionCourte))&gt;1,
HYPERLINK("#Roadmap!C"&amp; MATCH($E137,Roadmap!$D:$D,0)+COUNTIF($E137:AA137,"u")+COUNTIF($E137:AA137,"t")+COUNTIF($E137:AA137,"¶")+COUNTIF($E137:AA137,"²")+COUNTIF($E137:AA137,"µ")+COUNTIF($E137:AA137,1)-1,INDEX(Roadmap!$D:$K,MATCH($E137,Roadmap!$D:$D,0)-1+COUNTIF($E137:AA137,"u")+COUNTIF($E137:AA137,"t")+COUNTIF($E137:AA137,"¶")+COUNTIF($E137:AA137,"²")+COUNTIF($E137:AA137,"µ")+COUNTIF($E137:AA137,1),ColDescriptionCourte)),""),
  "")),"")</f>
        <v/>
      </c>
      <c r="AC137" s="40" t="str">
        <f ca="1">IFERROR(IF(AND(
  INDEX(Roadmap!$D:$K,MATCH($E137,Roadmap!$D:$D,0)+COUNTIF($E137:AB137,"u")+COUNTIF($E137:AB137,"t")+COUNTIF($E137:AB137,"¶")+COUNTIF($E137:AB137,"²")+COUNTIF($E137:AB137,"µ")+COUNTIF($E137:AB137,1),ColLivraison)=AC$6,
  VLOOKUP($E137,INDIRECT("tri!"&amp; CHAR(64+ C0Col) &amp;":"&amp; CHAR(65+C0Col)),2,FALSE)&gt;COUNTIF($E137:AB137,"u")+COUNTIF($E137:AB137,"t")+COUNTIF($E137:AB137,"¶")+COUNTIF($E137:AB137,"²")+COUNTIF($E137:AB137,"µ")+COUNTIF($E137:AB137,1)),
HYPERLINK("#Roadmap!C"&amp; MATCH($E137,Roadmap!$D:$D,0)+COUNTIF($E137:AB137,"u")+COUNTIF($E137:AB137,"t"),
     INDEX(Roadmap!$D:$K,MATCH($E137,Roadmap!$D:$D,0)+COUNTIF($E137:AB137,"u")+COUNTIF($E137:AB137,"t")+COUNTIF($E137:AB137,"¶")+COUNTIF($E137:AB137,"²")+COUNTIF($E137:AB137,"µ")+COUNTIF($E137:AB137,1),ColTypeEcheance)),
  IF(LEN(AB137)=1,
  IF(LEN(INDEX(Roadmap!$D:$K,MATCH($E137,Roadmap!$D:$D,0)-1+COUNTIF($E137:AB137,"u")+COUNTIF($E137:AB137,"t")+COUNTIF($E137:AB137,"¶")+COUNTIF($E137:AB137,"²")+COUNTIF($E137:AB137,"µ")+COUNTIF($E137:AB137,1),ColDescriptionCourte))&gt;1,
HYPERLINK("#Roadmap!C"&amp; MATCH($E137,Roadmap!$D:$D,0)+COUNTIF($E137:AB137,"u")+COUNTIF($E137:AB137,"t")+COUNTIF($E137:AB137,"¶")+COUNTIF($E137:AB137,"²")+COUNTIF($E137:AB137,"µ")+COUNTIF($E137:AB137,1)-1,INDEX(Roadmap!$D:$K,MATCH($E137,Roadmap!$D:$D,0)-1+COUNTIF($E137:AB137,"u")+COUNTIF($E137:AB137,"t")+COUNTIF($E137:AB137,"¶")+COUNTIF($E137:AB137,"²")+COUNTIF($E137:AB137,"µ")+COUNTIF($E137:AB137,1),ColDescriptionCourte)),""),
  "")),"")</f>
        <v/>
      </c>
      <c r="AD137" s="40" t="str">
        <f ca="1">IFERROR(IF(AND(
  INDEX(Roadmap!$D:$K,MATCH($E137,Roadmap!$D:$D,0)+COUNTIF($E137:AC137,"u")+COUNTIF($E137:AC137,"t")+COUNTIF($E137:AC137,"¶")+COUNTIF($E137:AC137,"²")+COUNTIF($E137:AC137,"µ")+COUNTIF($E137:AC137,1),ColLivraison)=AD$6,
  VLOOKUP($E137,INDIRECT("tri!"&amp; CHAR(64+ C0Col) &amp;":"&amp; CHAR(65+C0Col)),2,FALSE)&gt;COUNTIF($E137:AC137,"u")+COUNTIF($E137:AC137,"t")+COUNTIF($E137:AC137,"¶")+COUNTIF($E137:AC137,"²")+COUNTIF($E137:AC137,"µ")+COUNTIF($E137:AC137,1)),
HYPERLINK("#Roadmap!C"&amp; MATCH($E137,Roadmap!$D:$D,0)+COUNTIF($E137:AC137,"u")+COUNTIF($E137:AC137,"t"),
     INDEX(Roadmap!$D:$K,MATCH($E137,Roadmap!$D:$D,0)+COUNTIF($E137:AC137,"u")+COUNTIF($E137:AC137,"t")+COUNTIF($E137:AC137,"¶")+COUNTIF($E137:AC137,"²")+COUNTIF($E137:AC137,"µ")+COUNTIF($E137:AC137,1),ColTypeEcheance)),
  IF(LEN(AC137)=1,
  IF(LEN(INDEX(Roadmap!$D:$K,MATCH($E137,Roadmap!$D:$D,0)-1+COUNTIF($E137:AC137,"u")+COUNTIF($E137:AC137,"t")+COUNTIF($E137:AC137,"¶")+COUNTIF($E137:AC137,"²")+COUNTIF($E137:AC137,"µ")+COUNTIF($E137:AC137,1),ColDescriptionCourte))&gt;1,
HYPERLINK("#Roadmap!C"&amp; MATCH($E137,Roadmap!$D:$D,0)+COUNTIF($E137:AC137,"u")+COUNTIF($E137:AC137,"t")+COUNTIF($E137:AC137,"¶")+COUNTIF($E137:AC137,"²")+COUNTIF($E137:AC137,"µ")+COUNTIF($E137:AC137,1)-1,INDEX(Roadmap!$D:$K,MATCH($E137,Roadmap!$D:$D,0)-1+COUNTIF($E137:AC137,"u")+COUNTIF($E137:AC137,"t")+COUNTIF($E137:AC137,"¶")+COUNTIF($E137:AC137,"²")+COUNTIF($E137:AC137,"µ")+COUNTIF($E137:AC137,1),ColDescriptionCourte)),""),
  "")),"")</f>
        <v/>
      </c>
      <c r="AE137" s="40" t="str">
        <f ca="1">IFERROR(IF(AND(
  INDEX(Roadmap!$D:$K,MATCH($E137,Roadmap!$D:$D,0)+COUNTIF($E137:AD137,"u")+COUNTIF($E137:AD137,"t")+COUNTIF($E137:AD137,"¶")+COUNTIF($E137:AD137,"²")+COUNTIF($E137:AD137,"µ")+COUNTIF($E137:AD137,1),ColLivraison)=AE$6,
  VLOOKUP($E137,INDIRECT("tri!"&amp; CHAR(64+ C0Col) &amp;":"&amp; CHAR(65+C0Col)),2,FALSE)&gt;COUNTIF($E137:AD137,"u")+COUNTIF($E137:AD137,"t")+COUNTIF($E137:AD137,"¶")+COUNTIF($E137:AD137,"²")+COUNTIF($E137:AD137,"µ")+COUNTIF($E137:AD137,1)),
HYPERLINK("#Roadmap!C"&amp; MATCH($E137,Roadmap!$D:$D,0)+COUNTIF($E137:AD137,"u")+COUNTIF($E137:AD137,"t"),
     INDEX(Roadmap!$D:$K,MATCH($E137,Roadmap!$D:$D,0)+COUNTIF($E137:AD137,"u")+COUNTIF($E137:AD137,"t")+COUNTIF($E137:AD137,"¶")+COUNTIF($E137:AD137,"²")+COUNTIF($E137:AD137,"µ")+COUNTIF($E137:AD137,1),ColTypeEcheance)),
  IF(LEN(AD137)=1,
  IF(LEN(INDEX(Roadmap!$D:$K,MATCH($E137,Roadmap!$D:$D,0)-1+COUNTIF($E137:AD137,"u")+COUNTIF($E137:AD137,"t")+COUNTIF($E137:AD137,"¶")+COUNTIF($E137:AD137,"²")+COUNTIF($E137:AD137,"µ")+COUNTIF($E137:AD137,1),ColDescriptionCourte))&gt;1,
HYPERLINK("#Roadmap!C"&amp; MATCH($E137,Roadmap!$D:$D,0)+COUNTIF($E137:AD137,"u")+COUNTIF($E137:AD137,"t")+COUNTIF($E137:AD137,"¶")+COUNTIF($E137:AD137,"²")+COUNTIF($E137:AD137,"µ")+COUNTIF($E137:AD137,1)-1,INDEX(Roadmap!$D:$K,MATCH($E137,Roadmap!$D:$D,0)-1+COUNTIF($E137:AD137,"u")+COUNTIF($E137:AD137,"t")+COUNTIF($E137:AD137,"¶")+COUNTIF($E137:AD137,"²")+COUNTIF($E137:AD137,"µ")+COUNTIF($E137:AD137,1),ColDescriptionCourte)),""),
  "")),"")</f>
        <v/>
      </c>
      <c r="AF137" s="40" t="str">
        <f ca="1">IFERROR(IF(AND(
  INDEX(Roadmap!$D:$K,MATCH($E137,Roadmap!$D:$D,0)+COUNTIF($E137:AE137,"u")+COUNTIF($E137:AE137,"t")+COUNTIF($E137:AE137,"¶")+COUNTIF($E137:AE137,"²")+COUNTIF($E137:AE137,"µ")+COUNTIF($E137:AE137,1),ColLivraison)=AF$6,
  VLOOKUP($E137,INDIRECT("tri!"&amp; CHAR(64+ C0Col) &amp;":"&amp; CHAR(65+C0Col)),2,FALSE)&gt;COUNTIF($E137:AE137,"u")+COUNTIF($E137:AE137,"t")+COUNTIF($E137:AE137,"¶")+COUNTIF($E137:AE137,"²")+COUNTIF($E137:AE137,"µ")+COUNTIF($E137:AE137,1)),
HYPERLINK("#Roadmap!C"&amp; MATCH($E137,Roadmap!$D:$D,0)+COUNTIF($E137:AE137,"u")+COUNTIF($E137:AE137,"t"),
     INDEX(Roadmap!$D:$K,MATCH($E137,Roadmap!$D:$D,0)+COUNTIF($E137:AE137,"u")+COUNTIF($E137:AE137,"t")+COUNTIF($E137:AE137,"¶")+COUNTIF($E137:AE137,"²")+COUNTIF($E137:AE137,"µ")+COUNTIF($E137:AE137,1),ColTypeEcheance)),
  IF(LEN(AE137)=1,
  IF(LEN(INDEX(Roadmap!$D:$K,MATCH($E137,Roadmap!$D:$D,0)-1+COUNTIF($E137:AE137,"u")+COUNTIF($E137:AE137,"t")+COUNTIF($E137:AE137,"¶")+COUNTIF($E137:AE137,"²")+COUNTIF($E137:AE137,"µ")+COUNTIF($E137:AE137,1),ColDescriptionCourte))&gt;1,
HYPERLINK("#Roadmap!C"&amp; MATCH($E137,Roadmap!$D:$D,0)+COUNTIF($E137:AE137,"u")+COUNTIF($E137:AE137,"t")+COUNTIF($E137:AE137,"¶")+COUNTIF($E137:AE137,"²")+COUNTIF($E137:AE137,"µ")+COUNTIF($E137:AE137,1)-1,INDEX(Roadmap!$D:$K,MATCH($E137,Roadmap!$D:$D,0)-1+COUNTIF($E137:AE137,"u")+COUNTIF($E137:AE137,"t")+COUNTIF($E137:AE137,"¶")+COUNTIF($E137:AE137,"²")+COUNTIF($E137:AE137,"µ")+COUNTIF($E137:AE137,1),ColDescriptionCourte)),""),
  "")),"")</f>
        <v/>
      </c>
      <c r="AG137" s="40" t="str">
        <f ca="1">IFERROR(IF(AND(
  INDEX(Roadmap!$D:$K,MATCH($E137,Roadmap!$D:$D,0)+COUNTIF($E137:AF137,"u")+COUNTIF($E137:AF137,"t")+COUNTIF($E137:AF137,"¶")+COUNTIF($E137:AF137,"²")+COUNTIF($E137:AF137,"µ")+COUNTIF($E137:AF137,1),ColLivraison)=AG$6,
  VLOOKUP($E137,INDIRECT("tri!"&amp; CHAR(64+ C0Col) &amp;":"&amp; CHAR(65+C0Col)),2,FALSE)&gt;COUNTIF($E137:AF137,"u")+COUNTIF($E137:AF137,"t")+COUNTIF($E137:AF137,"¶")+COUNTIF($E137:AF137,"²")+COUNTIF($E137:AF137,"µ")+COUNTIF($E137:AF137,1)),
HYPERLINK("#Roadmap!C"&amp; MATCH($E137,Roadmap!$D:$D,0)+COUNTIF($E137:AF137,"u")+COUNTIF($E137:AF137,"t"),
     INDEX(Roadmap!$D:$K,MATCH($E137,Roadmap!$D:$D,0)+COUNTIF($E137:AF137,"u")+COUNTIF($E137:AF137,"t")+COUNTIF($E137:AF137,"¶")+COUNTIF($E137:AF137,"²")+COUNTIF($E137:AF137,"µ")+COUNTIF($E137:AF137,1),ColTypeEcheance)),
  IF(LEN(AF137)=1,
  IF(LEN(INDEX(Roadmap!$D:$K,MATCH($E137,Roadmap!$D:$D,0)-1+COUNTIF($E137:AF137,"u")+COUNTIF($E137:AF137,"t")+COUNTIF($E137:AF137,"¶")+COUNTIF($E137:AF137,"²")+COUNTIF($E137:AF137,"µ")+COUNTIF($E137:AF137,1),ColDescriptionCourte))&gt;1,
HYPERLINK("#Roadmap!C"&amp; MATCH($E137,Roadmap!$D:$D,0)+COUNTIF($E137:AF137,"u")+COUNTIF($E137:AF137,"t")+COUNTIF($E137:AF137,"¶")+COUNTIF($E137:AF137,"²")+COUNTIF($E137:AF137,"µ")+COUNTIF($E137:AF137,1)-1,INDEX(Roadmap!$D:$K,MATCH($E137,Roadmap!$D:$D,0)-1+COUNTIF($E137:AF137,"u")+COUNTIF($E137:AF137,"t")+COUNTIF($E137:AF137,"¶")+COUNTIF($E137:AF137,"²")+COUNTIF($E137:AF137,"µ")+COUNTIF($E137:AF137,1),ColDescriptionCourte)),""),
  "")),"")</f>
        <v/>
      </c>
      <c r="AH137" s="40" t="str">
        <f ca="1">IFERROR(IF(AND(
  INDEX(Roadmap!$D:$K,MATCH($E137,Roadmap!$D:$D,0)+COUNTIF($E137:AG137,"u")+COUNTIF($E137:AG137,"t")+COUNTIF($E137:AG137,1),ColLivraison)=AH$6,
  VLOOKUP($E137,INDIRECT("tri!"&amp; CHAR(64+ C0Col) &amp;":"&amp; CHAR(65+C0Col)),2,FALSE)&gt;COUNTIF($E137:AG137,"u")+COUNTIF($E137:AG137,"t")+COUNTIF($E137:AG137,1)),
HYPERLINK("#Roadmap!C"&amp; MATCH($E137,Roadmap!$D:$D,0)+COUNTIF($E137:AG137,"u")+COUNTIF($E137:AG137,"t"),
     INDEX(Roadmap!$D:$K,MATCH($E137,Roadmap!$D:$D,0)+COUNTIF($E137:AG137,"u")+COUNTIF($E137:AG137,"t")+COUNTIF($E137:AG137,1),ColTypeEcheance)),
  IF(OR(AG137="u",AG137="t",AG137=1),
  IF(LEN(INDEX(Roadmap!$D:$K,MATCH($E137,Roadmap!$D:$D,0)-1+COUNTIF($E137:AG137,"u")+COUNTIF($E137:AG137,"t")+COUNTIF($E137:AG137,1),ColDescriptionCourte))&gt;1,
HYPERLINK("#Roadmap!C"&amp; MATCH($E137,Roadmap!$D:$D,0)+COUNTIF($E137:AG137,"u")+COUNTIF($E137:AG137,"t")+COUNTIF($E137:AG137,1)-1,INDEX(Roadmap!$D:$K,MATCH($E137,Roadmap!$D:$D,0)-1+COUNTIF($E137:AG137,"u")+COUNTIF($E137:AG137,"t")+COUNTIF($E137:AG137,1),ColDescriptionCourte)),""),
  "")),"")</f>
        <v/>
      </c>
      <c r="AI137" s="40"/>
      <c r="AJ137" s="40"/>
      <c r="AK137" s="40"/>
      <c r="AL137" s="40"/>
      <c r="AM137" s="40"/>
    </row>
    <row r="138" spans="4:39" ht="14.1" customHeight="1">
      <c r="D138" s="20" t="str">
        <f t="shared" ca="1" si="31"/>
        <v/>
      </c>
      <c r="E138" s="53" t="str">
        <f t="shared" ca="1" si="32"/>
        <v/>
      </c>
      <c r="F138" s="39" t="str">
        <f ca="1">IFERROR(IF(AND(
  INDEX(Roadmap!$D:$K,MATCH($E138,Roadmap!$D:$D,0)+COUNTIF($E138:E138,"u")+COUNTIF($E138:E138,"t")+COUNTIF($E138:E138,"¶")+COUNTIF($E138:E138,"²")+COUNTIF($E138:E138,"µ")+COUNTIF($E138:E138,1),ColLivraison)=F$6,
  VLOOKUP($E138,INDIRECT("tri!"&amp; CHAR(64+ C0Col) &amp;":"&amp; CHAR(65+C0Col)),2,FALSE)&gt;COUNTIF($E138:E138,"u")+COUNTIF($E138:E138,"t")+COUNTIF($E138:E138,"¶")+COUNTIF($E138:E138,"²")+COUNTIF($E138:E138,"µ")+COUNTIF($E138:E138,1)),
HYPERLINK("#Roadmap!C"&amp; MATCH($E138,Roadmap!$D:$D,0)+COUNTIF($E138:E138,"u")+COUNTIF($E138:E138,"t"),
     INDEX(Roadmap!$D:$K,MATCH($E138,Roadmap!$D:$D,0)+COUNTIF($E138:E138,"u")+COUNTIF($E138:E138,"t")+COUNTIF($E138:E138,"¶")+COUNTIF($E138:E138,"²")+COUNTIF($E138:E138,"µ")+COUNTIF($E138:E138,1),ColTypeEcheance)),
  IF(LEN(E138)=1,
  IF(LEN(INDEX(Roadmap!$D:$K,MATCH($E138,Roadmap!$D:$D,0)-1+COUNTIF($E138:E138,"u")+COUNTIF($E138:E138,"t")+COUNTIF($E138:E138,"¶")+COUNTIF($E138:E138,"²")+COUNTIF($E138:E138,"µ")+COUNTIF($E138:E138,1),ColDescriptionCourte))&gt;1,
HYPERLINK("#Roadmap!C"&amp; MATCH($E138,Roadmap!$D:$D,0)+COUNTIF($E138:E138,"u")+COUNTIF($E138:E138,"t")+COUNTIF($E138:E138,"¶")+COUNTIF($E138:E138,"²")+COUNTIF($E138:E138,"µ")+COUNTIF($E138:E138,1)-1,INDEX(Roadmap!$D:$K,MATCH($E138,Roadmap!$D:$D,0)-1+COUNTIF($E138:E138,"u")+COUNTIF($E138:E138,"t")+COUNTIF($E138:E138,"¶")+COUNTIF($E138:E138,"²")+COUNTIF($E138:E138,"µ")+COUNTIF($E138:E138,1),ColDescriptionCourte)),""),
  "")),"")</f>
        <v/>
      </c>
      <c r="G138" s="40" t="str">
        <f ca="1">IFERROR(IF(AND(
  INDEX(Roadmap!$D:$K,MATCH($E138,Roadmap!$D:$D,0)+COUNTIF($E138:F138,"u")+COUNTIF($E138:F138,"t")+COUNTIF($E138:F138,"¶")+COUNTIF($E138:F138,"²")+COUNTIF($E138:F138,"µ")+COUNTIF($E138:F138,1),ColLivraison)=G$6,
  VLOOKUP($E138,INDIRECT("tri!"&amp; CHAR(64+ C0Col) &amp;":"&amp; CHAR(65+C0Col)),2,FALSE)&gt;COUNTIF($E138:F138,"u")+COUNTIF($E138:F138,"t")+COUNTIF($E138:F138,"¶")+COUNTIF($E138:F138,"²")+COUNTIF($E138:F138,"µ")+COUNTIF($E138:F138,1)),
HYPERLINK("#Roadmap!C"&amp; MATCH($E138,Roadmap!$D:$D,0)+COUNTIF($E138:F138,"u")+COUNTIF($E138:F138,"t"),
     INDEX(Roadmap!$D:$K,MATCH($E138,Roadmap!$D:$D,0)+COUNTIF($E138:F138,"u")+COUNTIF($E138:F138,"t")+COUNTIF($E138:F138,"¶")+COUNTIF($E138:F138,"²")+COUNTIF($E138:F138,"µ")+COUNTIF($E138:F138,1),ColTypeEcheance)),
  IF(LEN(F138)=1,
  IF(LEN(INDEX(Roadmap!$D:$K,MATCH($E138,Roadmap!$D:$D,0)-1+COUNTIF($E138:F138,"u")+COUNTIF($E138:F138,"t")+COUNTIF($E138:F138,"¶")+COUNTIF($E138:F138,"²")+COUNTIF($E138:F138,"µ")+COUNTIF($E138:F138,1),ColDescriptionCourte))&gt;1,
HYPERLINK("#Roadmap!C"&amp; MATCH($E138,Roadmap!$D:$D,0)+COUNTIF($E138:F138,"u")+COUNTIF($E138:F138,"t")+COUNTIF($E138:F138,"¶")+COUNTIF($E138:F138,"²")+COUNTIF($E138:F138,"µ")+COUNTIF($E138:F138,1)-1,INDEX(Roadmap!$D:$K,MATCH($E138,Roadmap!$D:$D,0)-1+COUNTIF($E138:F138,"u")+COUNTIF($E138:F138,"t")+COUNTIF($E138:F138,"¶")+COUNTIF($E138:F138,"²")+COUNTIF($E138:F138,"µ")+COUNTIF($E138:F138,1),ColDescriptionCourte)),""),
  "")),"")</f>
        <v/>
      </c>
      <c r="H138" s="40" t="str">
        <f ca="1">IFERROR(IF(AND(
  INDEX(Roadmap!$D:$K,MATCH($E138,Roadmap!$D:$D,0)+COUNTIF($E138:G138,"u")+COUNTIF($E138:G138,"t")+COUNTIF($E138:G138,"¶")+COUNTIF($E138:G138,"²")+COUNTIF($E138:G138,"µ")+COUNTIF($E138:G138,1),ColLivraison)=H$6,
  VLOOKUP($E138,INDIRECT("tri!"&amp; CHAR(64+ C0Col) &amp;":"&amp; CHAR(65+C0Col)),2,FALSE)&gt;COUNTIF($E138:G138,"u")+COUNTIF($E138:G138,"t")+COUNTIF($E138:G138,"¶")+COUNTIF($E138:G138,"²")+COUNTIF($E138:G138,"µ")+COUNTIF($E138:G138,1)),
HYPERLINK("#Roadmap!C"&amp; MATCH($E138,Roadmap!$D:$D,0)+COUNTIF($E138:G138,"u")+COUNTIF($E138:G138,"t"),
     INDEX(Roadmap!$D:$K,MATCH($E138,Roadmap!$D:$D,0)+COUNTIF($E138:G138,"u")+COUNTIF($E138:G138,"t")+COUNTIF($E138:G138,"¶")+COUNTIF($E138:G138,"²")+COUNTIF($E138:G138,"µ")+COUNTIF($E138:G138,1),ColTypeEcheance)),
  IF(LEN(G138)=1,
  IF(LEN(INDEX(Roadmap!$D:$K,MATCH($E138,Roadmap!$D:$D,0)-1+COUNTIF($E138:G138,"u")+COUNTIF($E138:G138,"t")+COUNTIF($E138:G138,"¶")+COUNTIF($E138:G138,"²")+COUNTIF($E138:G138,"µ")+COUNTIF($E138:G138,1),ColDescriptionCourte))&gt;1,
HYPERLINK("#Roadmap!C"&amp; MATCH($E138,Roadmap!$D:$D,0)+COUNTIF($E138:G138,"u")+COUNTIF($E138:G138,"t")+COUNTIF($E138:G138,"¶")+COUNTIF($E138:G138,"²")+COUNTIF($E138:G138,"µ")+COUNTIF($E138:G138,1)-1,INDEX(Roadmap!$D:$K,MATCH($E138,Roadmap!$D:$D,0)-1+COUNTIF($E138:G138,"u")+COUNTIF($E138:G138,"t")+COUNTIF($E138:G138,"¶")+COUNTIF($E138:G138,"²")+COUNTIF($E138:G138,"µ")+COUNTIF($E138:G138,1),ColDescriptionCourte)),""),
  "")),"")</f>
        <v/>
      </c>
      <c r="I138" s="40" t="str">
        <f ca="1">IFERROR(IF(AND(
  INDEX(Roadmap!$D:$K,MATCH($E138,Roadmap!$D:$D,0)+COUNTIF($E138:H138,"u")+COUNTIF($E138:H138,"t")+COUNTIF($E138:H138,"¶")+COUNTIF($E138:H138,"²")+COUNTIF($E138:H138,"µ")+COUNTIF($E138:H138,1),ColLivraison)=I$6,
  VLOOKUP($E138,INDIRECT("tri!"&amp; CHAR(64+ C0Col) &amp;":"&amp; CHAR(65+C0Col)),2,FALSE)&gt;COUNTIF($E138:H138,"u")+COUNTIF($E138:H138,"t")+COUNTIF($E138:H138,"¶")+COUNTIF($E138:H138,"²")+COUNTIF($E138:H138,"µ")+COUNTIF($E138:H138,1)),
HYPERLINK("#Roadmap!C"&amp; MATCH($E138,Roadmap!$D:$D,0)+COUNTIF($E138:H138,"u")+COUNTIF($E138:H138,"t"),
     INDEX(Roadmap!$D:$K,MATCH($E138,Roadmap!$D:$D,0)+COUNTIF($E138:H138,"u")+COUNTIF($E138:H138,"t")+COUNTIF($E138:H138,"¶")+COUNTIF($E138:H138,"²")+COUNTIF($E138:H138,"µ")+COUNTIF($E138:H138,1),ColTypeEcheance)),
  IF(LEN(H138)=1,
  IF(LEN(INDEX(Roadmap!$D:$K,MATCH($E138,Roadmap!$D:$D,0)-1+COUNTIF($E138:H138,"u")+COUNTIF($E138:H138,"t")+COUNTIF($E138:H138,"¶")+COUNTIF($E138:H138,"²")+COUNTIF($E138:H138,"µ")+COUNTIF($E138:H138,1),ColDescriptionCourte))&gt;1,
HYPERLINK("#Roadmap!C"&amp; MATCH($E138,Roadmap!$D:$D,0)+COUNTIF($E138:H138,"u")+COUNTIF($E138:H138,"t")+COUNTIF($E138:H138,"¶")+COUNTIF($E138:H138,"²")+COUNTIF($E138:H138,"µ")+COUNTIF($E138:H138,1)-1,INDEX(Roadmap!$D:$K,MATCH($E138,Roadmap!$D:$D,0)-1+COUNTIF($E138:H138,"u")+COUNTIF($E138:H138,"t")+COUNTIF($E138:H138,"¶")+COUNTIF($E138:H138,"²")+COUNTIF($E138:H138,"µ")+COUNTIF($E138:H138,1),ColDescriptionCourte)),""),
  "")),"")</f>
        <v/>
      </c>
      <c r="J138" s="40" t="str">
        <f ca="1">IFERROR(IF(AND(
  INDEX(Roadmap!$D:$K,MATCH($E138,Roadmap!$D:$D,0)+COUNTIF($E138:I138,"u")+COUNTIF($E138:I138,"t")+COUNTIF($E138:I138,"¶")+COUNTIF($E138:I138,"²")+COUNTIF($E138:I138,"µ")+COUNTIF($E138:I138,1),ColLivraison)=J$6,
  VLOOKUP($E138,INDIRECT("tri!"&amp; CHAR(64+ C0Col) &amp;":"&amp; CHAR(65+C0Col)),2,FALSE)&gt;COUNTIF($E138:I138,"u")+COUNTIF($E138:I138,"t")+COUNTIF($E138:I138,"¶")+COUNTIF($E138:I138,"²")+COUNTIF($E138:I138,"µ")+COUNTIF($E138:I138,1)),
HYPERLINK("#Roadmap!C"&amp; MATCH($E138,Roadmap!$D:$D,0)+COUNTIF($E138:I138,"u")+COUNTIF($E138:I138,"t"),
     INDEX(Roadmap!$D:$K,MATCH($E138,Roadmap!$D:$D,0)+COUNTIF($E138:I138,"u")+COUNTIF($E138:I138,"t")+COUNTIF($E138:I138,"¶")+COUNTIF($E138:I138,"²")+COUNTIF($E138:I138,"µ")+COUNTIF($E138:I138,1),ColTypeEcheance)),
  IF(LEN(I138)=1,
  IF(LEN(INDEX(Roadmap!$D:$K,MATCH($E138,Roadmap!$D:$D,0)-1+COUNTIF($E138:I138,"u")+COUNTIF($E138:I138,"t")+COUNTIF($E138:I138,"¶")+COUNTIF($E138:I138,"²")+COUNTIF($E138:I138,"µ")+COUNTIF($E138:I138,1),ColDescriptionCourte))&gt;1,
HYPERLINK("#Roadmap!C"&amp; MATCH($E138,Roadmap!$D:$D,0)+COUNTIF($E138:I138,"u")+COUNTIF($E138:I138,"t")+COUNTIF($E138:I138,"¶")+COUNTIF($E138:I138,"²")+COUNTIF($E138:I138,"µ")+COUNTIF($E138:I138,1)-1,INDEX(Roadmap!$D:$K,MATCH($E138,Roadmap!$D:$D,0)-1+COUNTIF($E138:I138,"u")+COUNTIF($E138:I138,"t")+COUNTIF($E138:I138,"¶")+COUNTIF($E138:I138,"²")+COUNTIF($E138:I138,"µ")+COUNTIF($E138:I138,1),ColDescriptionCourte)),""),
  "")),"")</f>
        <v/>
      </c>
      <c r="K138" s="40" t="str">
        <f ca="1">IFERROR(IF(AND(
  INDEX(Roadmap!$D:$K,MATCH($E138,Roadmap!$D:$D,0)+COUNTIF($E138:J138,"u")+COUNTIF($E138:J138,"t")+COUNTIF($E138:J138,"¶")+COUNTIF($E138:J138,"²")+COUNTIF($E138:J138,"µ")+COUNTIF($E138:J138,1),ColLivraison)=K$6,
  VLOOKUP($E138,INDIRECT("tri!"&amp; CHAR(64+ C0Col) &amp;":"&amp; CHAR(65+C0Col)),2,FALSE)&gt;COUNTIF($E138:J138,"u")+COUNTIF($E138:J138,"t")+COUNTIF($E138:J138,"¶")+COUNTIF($E138:J138,"²")+COUNTIF($E138:J138,"µ")+COUNTIF($E138:J138,1)),
HYPERLINK("#Roadmap!C"&amp; MATCH($E138,Roadmap!$D:$D,0)+COUNTIF($E138:J138,"u")+COUNTIF($E138:J138,"t"),
     INDEX(Roadmap!$D:$K,MATCH($E138,Roadmap!$D:$D,0)+COUNTIF($E138:J138,"u")+COUNTIF($E138:J138,"t")+COUNTIF($E138:J138,"¶")+COUNTIF($E138:J138,"²")+COUNTIF($E138:J138,"µ")+COUNTIF($E138:J138,1),ColTypeEcheance)),
  IF(LEN(J138)=1,
  IF(LEN(INDEX(Roadmap!$D:$K,MATCH($E138,Roadmap!$D:$D,0)-1+COUNTIF($E138:J138,"u")+COUNTIF($E138:J138,"t")+COUNTIF($E138:J138,"¶")+COUNTIF($E138:J138,"²")+COUNTIF($E138:J138,"µ")+COUNTIF($E138:J138,1),ColDescriptionCourte))&gt;1,
HYPERLINK("#Roadmap!C"&amp; MATCH($E138,Roadmap!$D:$D,0)+COUNTIF($E138:J138,"u")+COUNTIF($E138:J138,"t")+COUNTIF($E138:J138,"¶")+COUNTIF($E138:J138,"²")+COUNTIF($E138:J138,"µ")+COUNTIF($E138:J138,1)-1,INDEX(Roadmap!$D:$K,MATCH($E138,Roadmap!$D:$D,0)-1+COUNTIF($E138:J138,"u")+COUNTIF($E138:J138,"t")+COUNTIF($E138:J138,"¶")+COUNTIF($E138:J138,"²")+COUNTIF($E138:J138,"µ")+COUNTIF($E138:J138,1),ColDescriptionCourte)),""),
  "")),"")</f>
        <v/>
      </c>
      <c r="L138" s="39" t="str">
        <f ca="1">IFERROR(IF(AND(
  INDEX(Roadmap!$D:$K,MATCH($E138,Roadmap!$D:$D,0)+COUNTIF($E138:K138,"u")+COUNTIF($E138:K138,"t")+COUNTIF($E138:K138,"¶")+COUNTIF($E138:K138,"²")+COUNTIF($E138:K138,"µ")+COUNTIF($E138:K138,1),ColLivraison)=L$6,
  VLOOKUP($E138,INDIRECT("tri!"&amp; CHAR(64+ C0Col) &amp;":"&amp; CHAR(65+C0Col)),2,FALSE)&gt;COUNTIF($E138:K138,"u")+COUNTIF($E138:K138,"t")+COUNTIF($E138:K138,"¶")+COUNTIF($E138:K138,"²")+COUNTIF($E138:K138,"µ")+COUNTIF($E138:K138,1)),
HYPERLINK("#Roadmap!C"&amp; MATCH($E138,Roadmap!$D:$D,0)+COUNTIF($E138:K138,"u")+COUNTIF($E138:K138,"t"),
     INDEX(Roadmap!$D:$K,MATCH($E138,Roadmap!$D:$D,0)+COUNTIF($E138:K138,"u")+COUNTIF($E138:K138,"t")+COUNTIF($E138:K138,"¶")+COUNTIF($E138:K138,"²")+COUNTIF($E138:K138,"µ")+COUNTIF($E138:K138,1),ColTypeEcheance)),
  IF(LEN(K138)=1,
  IF(LEN(INDEX(Roadmap!$D:$K,MATCH($E138,Roadmap!$D:$D,0)-1+COUNTIF($E138:K138,"u")+COUNTIF($E138:K138,"t")+COUNTIF($E138:K138,"¶")+COUNTIF($E138:K138,"²")+COUNTIF($E138:K138,"µ")+COUNTIF($E138:K138,1),ColDescriptionCourte))&gt;1,
HYPERLINK("#Roadmap!C"&amp; MATCH($E138,Roadmap!$D:$D,0)+COUNTIF($E138:K138,"u")+COUNTIF($E138:K138,"t")+COUNTIF($E138:K138,"¶")+COUNTIF($E138:K138,"²")+COUNTIF($E138:K138,"µ")+COUNTIF($E138:K138,1)-1,INDEX(Roadmap!$D:$K,MATCH($E138,Roadmap!$D:$D,0)-1+COUNTIF($E138:K138,"u")+COUNTIF($E138:K138,"t")+COUNTIF($E138:K138,"¶")+COUNTIF($E138:K138,"²")+COUNTIF($E138:K138,"µ")+COUNTIF($E138:K138,1),ColDescriptionCourte)),""),
  "")),"")</f>
        <v/>
      </c>
      <c r="M138" s="40" t="str">
        <f ca="1">IFERROR(IF(AND(
  INDEX(Roadmap!$D:$K,MATCH($E138,Roadmap!$D:$D,0)+COUNTIF($E138:L138,"u")+COUNTIF($E138:L138,"t")+COUNTIF($E138:L138,"¶")+COUNTIF($E138:L138,"²")+COUNTIF($E138:L138,"µ")+COUNTIF($E138:L138,1),ColLivraison)=M$6,
  VLOOKUP($E138,INDIRECT("tri!"&amp; CHAR(64+ C0Col) &amp;":"&amp; CHAR(65+C0Col)),2,FALSE)&gt;COUNTIF($E138:L138,"u")+COUNTIF($E138:L138,"t")+COUNTIF($E138:L138,"¶")+COUNTIF($E138:L138,"²")+COUNTIF($E138:L138,"µ")+COUNTIF($E138:L138,1)),
HYPERLINK("#Roadmap!C"&amp; MATCH($E138,Roadmap!$D:$D,0)+COUNTIF($E138:L138,"u")+COUNTIF($E138:L138,"t"),
     INDEX(Roadmap!$D:$K,MATCH($E138,Roadmap!$D:$D,0)+COUNTIF($E138:L138,"u")+COUNTIF($E138:L138,"t")+COUNTIF($E138:L138,"¶")+COUNTIF($E138:L138,"²")+COUNTIF($E138:L138,"µ")+COUNTIF($E138:L138,1),ColTypeEcheance)),
  IF(LEN(L138)=1,
  IF(LEN(INDEX(Roadmap!$D:$K,MATCH($E138,Roadmap!$D:$D,0)-1+COUNTIF($E138:L138,"u")+COUNTIF($E138:L138,"t")+COUNTIF($E138:L138,"¶")+COUNTIF($E138:L138,"²")+COUNTIF($E138:L138,"µ")+COUNTIF($E138:L138,1),ColDescriptionCourte))&gt;1,
HYPERLINK("#Roadmap!C"&amp; MATCH($E138,Roadmap!$D:$D,0)+COUNTIF($E138:L138,"u")+COUNTIF($E138:L138,"t")+COUNTIF($E138:L138,"¶")+COUNTIF($E138:L138,"²")+COUNTIF($E138:L138,"µ")+COUNTIF($E138:L138,1)-1,INDEX(Roadmap!$D:$K,MATCH($E138,Roadmap!$D:$D,0)-1+COUNTIF($E138:L138,"u")+COUNTIF($E138:L138,"t")+COUNTIF($E138:L138,"¶")+COUNTIF($E138:L138,"²")+COUNTIF($E138:L138,"µ")+COUNTIF($E138:L138,1),ColDescriptionCourte)),""),
  "")),"")</f>
        <v/>
      </c>
      <c r="N138" s="40" t="str">
        <f ca="1">IFERROR(IF(AND(
  INDEX(Roadmap!$D:$K,MATCH($E138,Roadmap!$D:$D,0)+COUNTIF($E138:M138,"u")+COUNTIF($E138:M138,"t")+COUNTIF($E138:M138,"¶")+COUNTIF($E138:M138,"²")+COUNTIF($E138:M138,"µ")+COUNTIF($E138:M138,1),ColLivraison)=N$6,
  VLOOKUP($E138,INDIRECT("tri!"&amp; CHAR(64+ C0Col) &amp;":"&amp; CHAR(65+C0Col)),2,FALSE)&gt;COUNTIF($E138:M138,"u")+COUNTIF($E138:M138,"t")+COUNTIF($E138:M138,"¶")+COUNTIF($E138:M138,"²")+COUNTIF($E138:M138,"µ")+COUNTIF($E138:M138,1)),
HYPERLINK("#Roadmap!C"&amp; MATCH($E138,Roadmap!$D:$D,0)+COUNTIF($E138:M138,"u")+COUNTIF($E138:M138,"t"),
     INDEX(Roadmap!$D:$K,MATCH($E138,Roadmap!$D:$D,0)+COUNTIF($E138:M138,"u")+COUNTIF($E138:M138,"t")+COUNTIF($E138:M138,"¶")+COUNTIF($E138:M138,"²")+COUNTIF($E138:M138,"µ")+COUNTIF($E138:M138,1),ColTypeEcheance)),
  IF(LEN(M138)=1,
  IF(LEN(INDEX(Roadmap!$D:$K,MATCH($E138,Roadmap!$D:$D,0)-1+COUNTIF($E138:M138,"u")+COUNTIF($E138:M138,"t")+COUNTIF($E138:M138,"¶")+COUNTIF($E138:M138,"²")+COUNTIF($E138:M138,"µ")+COUNTIF($E138:M138,1),ColDescriptionCourte))&gt;1,
HYPERLINK("#Roadmap!C"&amp; MATCH($E138,Roadmap!$D:$D,0)+COUNTIF($E138:M138,"u")+COUNTIF($E138:M138,"t")+COUNTIF($E138:M138,"¶")+COUNTIF($E138:M138,"²")+COUNTIF($E138:M138,"µ")+COUNTIF($E138:M138,1)-1,INDEX(Roadmap!$D:$K,MATCH($E138,Roadmap!$D:$D,0)-1+COUNTIF($E138:M138,"u")+COUNTIF($E138:M138,"t")+COUNTIF($E138:M138,"¶")+COUNTIF($E138:M138,"²")+COUNTIF($E138:M138,"µ")+COUNTIF($E138:M138,1),ColDescriptionCourte)),""),
  "")),"")</f>
        <v/>
      </c>
      <c r="O138" s="40" t="str">
        <f ca="1">IFERROR(IF(AND(
  INDEX(Roadmap!$D:$K,MATCH($E138,Roadmap!$D:$D,0)+COUNTIF($E138:N138,"u")+COUNTIF($E138:N138,"t")+COUNTIF($E138:N138,"¶")+COUNTIF($E138:N138,"²")+COUNTIF($E138:N138,"µ")+COUNTIF($E138:N138,1),ColLivraison)=O$6,
  VLOOKUP($E138,INDIRECT("tri!"&amp; CHAR(64+ C0Col) &amp;":"&amp; CHAR(65+C0Col)),2,FALSE)&gt;COUNTIF($E138:N138,"u")+COUNTIF($E138:N138,"t")+COUNTIF($E138:N138,"¶")+COUNTIF($E138:N138,"²")+COUNTIF($E138:N138,"µ")+COUNTIF($E138:N138,1)),
HYPERLINK("#Roadmap!C"&amp; MATCH($E138,Roadmap!$D:$D,0)+COUNTIF($E138:N138,"u")+COUNTIF($E138:N138,"t"),
     INDEX(Roadmap!$D:$K,MATCH($E138,Roadmap!$D:$D,0)+COUNTIF($E138:N138,"u")+COUNTIF($E138:N138,"t")+COUNTIF($E138:N138,"¶")+COUNTIF($E138:N138,"²")+COUNTIF($E138:N138,"µ")+COUNTIF($E138:N138,1),ColTypeEcheance)),
  IF(LEN(N138)=1,
  IF(LEN(INDEX(Roadmap!$D:$K,MATCH($E138,Roadmap!$D:$D,0)-1+COUNTIF($E138:N138,"u")+COUNTIF($E138:N138,"t")+COUNTIF($E138:N138,"¶")+COUNTIF($E138:N138,"²")+COUNTIF($E138:N138,"µ")+COUNTIF($E138:N138,1),ColDescriptionCourte))&gt;1,
HYPERLINK("#Roadmap!C"&amp; MATCH($E138,Roadmap!$D:$D,0)+COUNTIF($E138:N138,"u")+COUNTIF($E138:N138,"t")+COUNTIF($E138:N138,"¶")+COUNTIF($E138:N138,"²")+COUNTIF($E138:N138,"µ")+COUNTIF($E138:N138,1)-1,INDEX(Roadmap!$D:$K,MATCH($E138,Roadmap!$D:$D,0)-1+COUNTIF($E138:N138,"u")+COUNTIF($E138:N138,"t")+COUNTIF($E138:N138,"¶")+COUNTIF($E138:N138,"²")+COUNTIF($E138:N138,"µ")+COUNTIF($E138:N138,1),ColDescriptionCourte)),""),
  "")),"")</f>
        <v/>
      </c>
      <c r="P138" s="40" t="str">
        <f ca="1">IFERROR(IF(AND(
  INDEX(Roadmap!$D:$K,MATCH($E138,Roadmap!$D:$D,0)+COUNTIF($E138:O138,"u")+COUNTIF($E138:O138,"t")+COUNTIF($E138:O138,"¶")+COUNTIF($E138:O138,"²")+COUNTIF($E138:O138,"µ")+COUNTIF($E138:O138,1),ColLivraison)=P$6,
  VLOOKUP($E138,INDIRECT("tri!"&amp; CHAR(64+ C0Col) &amp;":"&amp; CHAR(65+C0Col)),2,FALSE)&gt;COUNTIF($E138:O138,"u")+COUNTIF($E138:O138,"t")+COUNTIF($E138:O138,"¶")+COUNTIF($E138:O138,"²")+COUNTIF($E138:O138,"µ")+COUNTIF($E138:O138,1)),
HYPERLINK("#Roadmap!C"&amp; MATCH($E138,Roadmap!$D:$D,0)+COUNTIF($E138:O138,"u")+COUNTIF($E138:O138,"t"),
     INDEX(Roadmap!$D:$K,MATCH($E138,Roadmap!$D:$D,0)+COUNTIF($E138:O138,"u")+COUNTIF($E138:O138,"t")+COUNTIF($E138:O138,"¶")+COUNTIF($E138:O138,"²")+COUNTIF($E138:O138,"µ")+COUNTIF($E138:O138,1),ColTypeEcheance)),
  IF(LEN(O138)=1,
  IF(LEN(INDEX(Roadmap!$D:$K,MATCH($E138,Roadmap!$D:$D,0)-1+COUNTIF($E138:O138,"u")+COUNTIF($E138:O138,"t")+COUNTIF($E138:O138,"¶")+COUNTIF($E138:O138,"²")+COUNTIF($E138:O138,"µ")+COUNTIF($E138:O138,1),ColDescriptionCourte))&gt;1,
HYPERLINK("#Roadmap!C"&amp; MATCH($E138,Roadmap!$D:$D,0)+COUNTIF($E138:O138,"u")+COUNTIF($E138:O138,"t")+COUNTIF($E138:O138,"¶")+COUNTIF($E138:O138,"²")+COUNTIF($E138:O138,"µ")+COUNTIF($E138:O138,1)-1,INDEX(Roadmap!$D:$K,MATCH($E138,Roadmap!$D:$D,0)-1+COUNTIF($E138:O138,"u")+COUNTIF($E138:O138,"t")+COUNTIF($E138:O138,"¶")+COUNTIF($E138:O138,"²")+COUNTIF($E138:O138,"µ")+COUNTIF($E138:O138,1),ColDescriptionCourte)),""),
  "")),"")</f>
        <v/>
      </c>
      <c r="Q138" s="40" t="str">
        <f ca="1">IFERROR(IF(AND(
  INDEX(Roadmap!$D:$K,MATCH($E138,Roadmap!$D:$D,0)+COUNTIF($E138:P138,"u")+COUNTIF($E138:P138,"t")+COUNTIF($E138:P138,"¶")+COUNTIF($E138:P138,"²")+COUNTIF($E138:P138,"µ")+COUNTIF($E138:P138,1),ColLivraison)=Q$6,
  VLOOKUP($E138,INDIRECT("tri!"&amp; CHAR(64+ C0Col) &amp;":"&amp; CHAR(65+C0Col)),2,FALSE)&gt;COUNTIF($E138:P138,"u")+COUNTIF($E138:P138,"t")+COUNTIF($E138:P138,"¶")+COUNTIF($E138:P138,"²")+COUNTIF($E138:P138,"µ")+COUNTIF($E138:P138,1)),
HYPERLINK("#Roadmap!C"&amp; MATCH($E138,Roadmap!$D:$D,0)+COUNTIF($E138:P138,"u")+COUNTIF($E138:P138,"t"),
     INDEX(Roadmap!$D:$K,MATCH($E138,Roadmap!$D:$D,0)+COUNTIF($E138:P138,"u")+COUNTIF($E138:P138,"t")+COUNTIF($E138:P138,"¶")+COUNTIF($E138:P138,"²")+COUNTIF($E138:P138,"µ")+COUNTIF($E138:P138,1),ColTypeEcheance)),
  IF(LEN(P138)=1,
  IF(LEN(INDEX(Roadmap!$D:$K,MATCH($E138,Roadmap!$D:$D,0)-1+COUNTIF($E138:P138,"u")+COUNTIF($E138:P138,"t")+COUNTIF($E138:P138,"¶")+COUNTIF($E138:P138,"²")+COUNTIF($E138:P138,"µ")+COUNTIF($E138:P138,1),ColDescriptionCourte))&gt;1,
HYPERLINK("#Roadmap!C"&amp; MATCH($E138,Roadmap!$D:$D,0)+COUNTIF($E138:P138,"u")+COUNTIF($E138:P138,"t")+COUNTIF($E138:P138,"¶")+COUNTIF($E138:P138,"²")+COUNTIF($E138:P138,"µ")+COUNTIF($E138:P138,1)-1,INDEX(Roadmap!$D:$K,MATCH($E138,Roadmap!$D:$D,0)-1+COUNTIF($E138:P138,"u")+COUNTIF($E138:P138,"t")+COUNTIF($E138:P138,"¶")+COUNTIF($E138:P138,"²")+COUNTIF($E138:P138,"µ")+COUNTIF($E138:P138,1),ColDescriptionCourte)),""),
  "")),"")</f>
        <v/>
      </c>
      <c r="R138" s="40" t="str">
        <f ca="1">IFERROR(IF(AND(
  INDEX(Roadmap!$D:$K,MATCH($E138,Roadmap!$D:$D,0)+COUNTIF($E138:Q138,"u")+COUNTIF($E138:Q138,"t")+COUNTIF($E138:Q138,"¶")+COUNTIF($E138:Q138,"²")+COUNTIF($E138:Q138,"µ")+COUNTIF($E138:Q138,1),ColLivraison)=R$6,
  VLOOKUP($E138,INDIRECT("tri!"&amp; CHAR(64+ C0Col) &amp;":"&amp; CHAR(65+C0Col)),2,FALSE)&gt;COUNTIF($E138:Q138,"u")+COUNTIF($E138:Q138,"t")+COUNTIF($E138:Q138,"¶")+COUNTIF($E138:Q138,"²")+COUNTIF($E138:Q138,"µ")+COUNTIF($E138:Q138,1)),
HYPERLINK("#Roadmap!C"&amp; MATCH($E138,Roadmap!$D:$D,0)+COUNTIF($E138:Q138,"u")+COUNTIF($E138:Q138,"t"),
     INDEX(Roadmap!$D:$K,MATCH($E138,Roadmap!$D:$D,0)+COUNTIF($E138:Q138,"u")+COUNTIF($E138:Q138,"t")+COUNTIF($E138:Q138,"¶")+COUNTIF($E138:Q138,"²")+COUNTIF($E138:Q138,"µ")+COUNTIF($E138:Q138,1),ColTypeEcheance)),
  IF(LEN(Q138)=1,
  IF(LEN(INDEX(Roadmap!$D:$K,MATCH($E138,Roadmap!$D:$D,0)-1+COUNTIF($E138:Q138,"u")+COUNTIF($E138:Q138,"t")+COUNTIF($E138:Q138,"¶")+COUNTIF($E138:Q138,"²")+COUNTIF($E138:Q138,"µ")+COUNTIF($E138:Q138,1),ColDescriptionCourte))&gt;1,
HYPERLINK("#Roadmap!C"&amp; MATCH($E138,Roadmap!$D:$D,0)+COUNTIF($E138:Q138,"u")+COUNTIF($E138:Q138,"t")+COUNTIF($E138:Q138,"¶")+COUNTIF($E138:Q138,"²")+COUNTIF($E138:Q138,"µ")+COUNTIF($E138:Q138,1)-1,INDEX(Roadmap!$D:$K,MATCH($E138,Roadmap!$D:$D,0)-1+COUNTIF($E138:Q138,"u")+COUNTIF($E138:Q138,"t")+COUNTIF($E138:Q138,"¶")+COUNTIF($E138:Q138,"²")+COUNTIF($E138:Q138,"µ")+COUNTIF($E138:Q138,1),ColDescriptionCourte)),""),
  "")),"")</f>
        <v/>
      </c>
      <c r="S138" s="40" t="str">
        <f ca="1">IFERROR(IF(AND(
  INDEX(Roadmap!$D:$K,MATCH($E138,Roadmap!$D:$D,0)+COUNTIF($E138:R138,"u")+COUNTIF($E138:R138,"t")+COUNTIF($E138:R138,"¶")+COUNTIF($E138:R138,"²")+COUNTIF($E138:R138,"µ")+COUNTIF($E138:R138,1),ColLivraison)=S$6,
  VLOOKUP($E138,INDIRECT("tri!"&amp; CHAR(64+ C0Col) &amp;":"&amp; CHAR(65+C0Col)),2,FALSE)&gt;COUNTIF($E138:R138,"u")+COUNTIF($E138:R138,"t")+COUNTIF($E138:R138,"¶")+COUNTIF($E138:R138,"²")+COUNTIF($E138:R138,"µ")+COUNTIF($E138:R138,1)),
HYPERLINK("#Roadmap!C"&amp; MATCH($E138,Roadmap!$D:$D,0)+COUNTIF($E138:R138,"u")+COUNTIF($E138:R138,"t"),
     INDEX(Roadmap!$D:$K,MATCH($E138,Roadmap!$D:$D,0)+COUNTIF($E138:R138,"u")+COUNTIF($E138:R138,"t")+COUNTIF($E138:R138,"¶")+COUNTIF($E138:R138,"²")+COUNTIF($E138:R138,"µ")+COUNTIF($E138:R138,1),ColTypeEcheance)),
  IF(LEN(R138)=1,
  IF(LEN(INDEX(Roadmap!$D:$K,MATCH($E138,Roadmap!$D:$D,0)-1+COUNTIF($E138:R138,"u")+COUNTIF($E138:R138,"t")+COUNTIF($E138:R138,"¶")+COUNTIF($E138:R138,"²")+COUNTIF($E138:R138,"µ")+COUNTIF($E138:R138,1),ColDescriptionCourte))&gt;1,
HYPERLINK("#Roadmap!C"&amp; MATCH($E138,Roadmap!$D:$D,0)+COUNTIF($E138:R138,"u")+COUNTIF($E138:R138,"t")+COUNTIF($E138:R138,"¶")+COUNTIF($E138:R138,"²")+COUNTIF($E138:R138,"µ")+COUNTIF($E138:R138,1)-1,INDEX(Roadmap!$D:$K,MATCH($E138,Roadmap!$D:$D,0)-1+COUNTIF($E138:R138,"u")+COUNTIF($E138:R138,"t")+COUNTIF($E138:R138,"¶")+COUNTIF($E138:R138,"²")+COUNTIF($E138:R138,"µ")+COUNTIF($E138:R138,1),ColDescriptionCourte)),""),
  "")),"")</f>
        <v/>
      </c>
      <c r="T138" s="40" t="str">
        <f ca="1">IFERROR(IF(AND(
  INDEX(Roadmap!$D:$K,MATCH($E138,Roadmap!$D:$D,0)+COUNTIF($E138:S138,"u")+COUNTIF($E138:S138,"t")+COUNTIF($E138:S138,"¶")+COUNTIF($E138:S138,"²")+COUNTIF($E138:S138,"µ")+COUNTIF($E138:S138,1),ColLivraison)=T$6,
  VLOOKUP($E138,INDIRECT("tri!"&amp; CHAR(64+ C0Col) &amp;":"&amp; CHAR(65+C0Col)),2,FALSE)&gt;COUNTIF($E138:S138,"u")+COUNTIF($E138:S138,"t")+COUNTIF($E138:S138,"¶")+COUNTIF($E138:S138,"²")+COUNTIF($E138:S138,"µ")+COUNTIF($E138:S138,1)),
HYPERLINK("#Roadmap!C"&amp; MATCH($E138,Roadmap!$D:$D,0)+COUNTIF($E138:S138,"u")+COUNTIF($E138:S138,"t"),
     INDEX(Roadmap!$D:$K,MATCH($E138,Roadmap!$D:$D,0)+COUNTIF($E138:S138,"u")+COUNTIF($E138:S138,"t")+COUNTIF($E138:S138,"¶")+COUNTIF($E138:S138,"²")+COUNTIF($E138:S138,"µ")+COUNTIF($E138:S138,1),ColTypeEcheance)),
  IF(LEN(S138)=1,
  IF(LEN(INDEX(Roadmap!$D:$K,MATCH($E138,Roadmap!$D:$D,0)-1+COUNTIF($E138:S138,"u")+COUNTIF($E138:S138,"t")+COUNTIF($E138:S138,"¶")+COUNTIF($E138:S138,"²")+COUNTIF($E138:S138,"µ")+COUNTIF($E138:S138,1),ColDescriptionCourte))&gt;1,
HYPERLINK("#Roadmap!C"&amp; MATCH($E138,Roadmap!$D:$D,0)+COUNTIF($E138:S138,"u")+COUNTIF($E138:S138,"t")+COUNTIF($E138:S138,"¶")+COUNTIF($E138:S138,"²")+COUNTIF($E138:S138,"µ")+COUNTIF($E138:S138,1)-1,INDEX(Roadmap!$D:$K,MATCH($E138,Roadmap!$D:$D,0)-1+COUNTIF($E138:S138,"u")+COUNTIF($E138:S138,"t")+COUNTIF($E138:S138,"¶")+COUNTIF($E138:S138,"²")+COUNTIF($E138:S138,"µ")+COUNTIF($E138:S138,1),ColDescriptionCourte)),""),
  "")),"")</f>
        <v/>
      </c>
      <c r="U138" s="40" t="str">
        <f ca="1">IFERROR(IF(AND(
  INDEX(Roadmap!$D:$K,MATCH($E138,Roadmap!$D:$D,0)+COUNTIF($E138:T138,"u")+COUNTIF($E138:T138,"t")+COUNTIF($E138:T138,"¶")+COUNTIF($E138:T138,"²")+COUNTIF($E138:T138,"µ")+COUNTIF($E138:T138,1),ColLivraison)=U$6,
  VLOOKUP($E138,INDIRECT("tri!"&amp; CHAR(64+ C0Col) &amp;":"&amp; CHAR(65+C0Col)),2,FALSE)&gt;COUNTIF($E138:T138,"u")+COUNTIF($E138:T138,"t")+COUNTIF($E138:T138,"¶")+COUNTIF($E138:T138,"²")+COUNTIF($E138:T138,"µ")+COUNTIF($E138:T138,1)),
HYPERLINK("#Roadmap!C"&amp; MATCH($E138,Roadmap!$D:$D,0)+COUNTIF($E138:T138,"u")+COUNTIF($E138:T138,"t"),
     INDEX(Roadmap!$D:$K,MATCH($E138,Roadmap!$D:$D,0)+COUNTIF($E138:T138,"u")+COUNTIF($E138:T138,"t")+COUNTIF($E138:T138,"¶")+COUNTIF($E138:T138,"²")+COUNTIF($E138:T138,"µ")+COUNTIF($E138:T138,1),ColTypeEcheance)),
  IF(LEN(T138)=1,
  IF(LEN(INDEX(Roadmap!$D:$K,MATCH($E138,Roadmap!$D:$D,0)-1+COUNTIF($E138:T138,"u")+COUNTIF($E138:T138,"t")+COUNTIF($E138:T138,"¶")+COUNTIF($E138:T138,"²")+COUNTIF($E138:T138,"µ")+COUNTIF($E138:T138,1),ColDescriptionCourte))&gt;1,
HYPERLINK("#Roadmap!C"&amp; MATCH($E138,Roadmap!$D:$D,0)+COUNTIF($E138:T138,"u")+COUNTIF($E138:T138,"t")+COUNTIF($E138:T138,"¶")+COUNTIF($E138:T138,"²")+COUNTIF($E138:T138,"µ")+COUNTIF($E138:T138,1)-1,INDEX(Roadmap!$D:$K,MATCH($E138,Roadmap!$D:$D,0)-1+COUNTIF($E138:T138,"u")+COUNTIF($E138:T138,"t")+COUNTIF($E138:T138,"¶")+COUNTIF($E138:T138,"²")+COUNTIF($E138:T138,"µ")+COUNTIF($E138:T138,1),ColDescriptionCourte)),""),
  "")),"")</f>
        <v/>
      </c>
      <c r="V138" s="40" t="str">
        <f ca="1">IFERROR(IF(AND(
  INDEX(Roadmap!$D:$K,MATCH($E138,Roadmap!$D:$D,0)+COUNTIF($E138:U138,"u")+COUNTIF($E138:U138,"t")+COUNTIF($E138:U138,"¶")+COUNTIF($E138:U138,"²")+COUNTIF($E138:U138,"µ")+COUNTIF($E138:U138,1),ColLivraison)=V$6,
  VLOOKUP($E138,INDIRECT("tri!"&amp; CHAR(64+ C0Col) &amp;":"&amp; CHAR(65+C0Col)),2,FALSE)&gt;COUNTIF($E138:U138,"u")+COUNTIF($E138:U138,"t")+COUNTIF($E138:U138,"¶")+COUNTIF($E138:U138,"²")+COUNTIF($E138:U138,"µ")+COUNTIF($E138:U138,1)),
HYPERLINK("#Roadmap!C"&amp; MATCH($E138,Roadmap!$D:$D,0)+COUNTIF($E138:U138,"u")+COUNTIF($E138:U138,"t"),
     INDEX(Roadmap!$D:$K,MATCH($E138,Roadmap!$D:$D,0)+COUNTIF($E138:U138,"u")+COUNTIF($E138:U138,"t")+COUNTIF($E138:U138,"¶")+COUNTIF($E138:U138,"²")+COUNTIF($E138:U138,"µ")+COUNTIF($E138:U138,1),ColTypeEcheance)),
  IF(LEN(U138)=1,
  IF(LEN(INDEX(Roadmap!$D:$K,MATCH($E138,Roadmap!$D:$D,0)-1+COUNTIF($E138:U138,"u")+COUNTIF($E138:U138,"t")+COUNTIF($E138:U138,"¶")+COUNTIF($E138:U138,"²")+COUNTIF($E138:U138,"µ")+COUNTIF($E138:U138,1),ColDescriptionCourte))&gt;1,
HYPERLINK("#Roadmap!C"&amp; MATCH($E138,Roadmap!$D:$D,0)+COUNTIF($E138:U138,"u")+COUNTIF($E138:U138,"t")+COUNTIF($E138:U138,"¶")+COUNTIF($E138:U138,"²")+COUNTIF($E138:U138,"µ")+COUNTIF($E138:U138,1)-1,INDEX(Roadmap!$D:$K,MATCH($E138,Roadmap!$D:$D,0)-1+COUNTIF($E138:U138,"u")+COUNTIF($E138:U138,"t")+COUNTIF($E138:U138,"¶")+COUNTIF($E138:U138,"²")+COUNTIF($E138:U138,"µ")+COUNTIF($E138:U138,1),ColDescriptionCourte)),""),
  "")),"")</f>
        <v/>
      </c>
      <c r="W138" s="40" t="str">
        <f ca="1">IFERROR(IF(AND(
  INDEX(Roadmap!$D:$K,MATCH($E138,Roadmap!$D:$D,0)+COUNTIF($E138:V138,"u")+COUNTIF($E138:V138,"t")+COUNTIF($E138:V138,"¶")+COUNTIF($E138:V138,"²")+COUNTIF($E138:V138,"µ")+COUNTIF($E138:V138,1),ColLivraison)=W$6,
  VLOOKUP($E138,INDIRECT("tri!"&amp; CHAR(64+ C0Col) &amp;":"&amp; CHAR(65+C0Col)),2,FALSE)&gt;COUNTIF($E138:V138,"u")+COUNTIF($E138:V138,"t")+COUNTIF($E138:V138,"¶")+COUNTIF($E138:V138,"²")+COUNTIF($E138:V138,"µ")+COUNTIF($E138:V138,1)),
HYPERLINK("#Roadmap!C"&amp; MATCH($E138,Roadmap!$D:$D,0)+COUNTIF($E138:V138,"u")+COUNTIF($E138:V138,"t"),
     INDEX(Roadmap!$D:$K,MATCH($E138,Roadmap!$D:$D,0)+COUNTIF($E138:V138,"u")+COUNTIF($E138:V138,"t")+COUNTIF($E138:V138,"¶")+COUNTIF($E138:V138,"²")+COUNTIF($E138:V138,"µ")+COUNTIF($E138:V138,1),ColTypeEcheance)),
  IF(LEN(V138)=1,
  IF(LEN(INDEX(Roadmap!$D:$K,MATCH($E138,Roadmap!$D:$D,0)-1+COUNTIF($E138:V138,"u")+COUNTIF($E138:V138,"t")+COUNTIF($E138:V138,"¶")+COUNTIF($E138:V138,"²")+COUNTIF($E138:V138,"µ")+COUNTIF($E138:V138,1),ColDescriptionCourte))&gt;1,
HYPERLINK("#Roadmap!C"&amp; MATCH($E138,Roadmap!$D:$D,0)+COUNTIF($E138:V138,"u")+COUNTIF($E138:V138,"t")+COUNTIF($E138:V138,"¶")+COUNTIF($E138:V138,"²")+COUNTIF($E138:V138,"µ")+COUNTIF($E138:V138,1)-1,INDEX(Roadmap!$D:$K,MATCH($E138,Roadmap!$D:$D,0)-1+COUNTIF($E138:V138,"u")+COUNTIF($E138:V138,"t")+COUNTIF($E138:V138,"¶")+COUNTIF($E138:V138,"²")+COUNTIF($E138:V138,"µ")+COUNTIF($E138:V138,1),ColDescriptionCourte)),""),
  "")),"")</f>
        <v/>
      </c>
      <c r="X138" s="40" t="str">
        <f ca="1">IFERROR(IF(AND(
  INDEX(Roadmap!$D:$K,MATCH($E138,Roadmap!$D:$D,0)+COUNTIF($E138:W138,"u")+COUNTIF($E138:W138,"t")+COUNTIF($E138:W138,"¶")+COUNTIF($E138:W138,"²")+COUNTIF($E138:W138,"µ")+COUNTIF($E138:W138,1),ColLivraison)=X$6,
  VLOOKUP($E138,INDIRECT("tri!"&amp; CHAR(64+ C0Col) &amp;":"&amp; CHAR(65+C0Col)),2,FALSE)&gt;COUNTIF($E138:W138,"u")+COUNTIF($E138:W138,"t")+COUNTIF($E138:W138,"¶")+COUNTIF($E138:W138,"²")+COUNTIF($E138:W138,"µ")+COUNTIF($E138:W138,1)),
HYPERLINK("#Roadmap!C"&amp; MATCH($E138,Roadmap!$D:$D,0)+COUNTIF($E138:W138,"u")+COUNTIF($E138:W138,"t"),
     INDEX(Roadmap!$D:$K,MATCH($E138,Roadmap!$D:$D,0)+COUNTIF($E138:W138,"u")+COUNTIF($E138:W138,"t")+COUNTIF($E138:W138,"¶")+COUNTIF($E138:W138,"²")+COUNTIF($E138:W138,"µ")+COUNTIF($E138:W138,1),ColTypeEcheance)),
  IF(LEN(W138)=1,
  IF(LEN(INDEX(Roadmap!$D:$K,MATCH($E138,Roadmap!$D:$D,0)-1+COUNTIF($E138:W138,"u")+COUNTIF($E138:W138,"t")+COUNTIF($E138:W138,"¶")+COUNTIF($E138:W138,"²")+COUNTIF($E138:W138,"µ")+COUNTIF($E138:W138,1),ColDescriptionCourte))&gt;1,
HYPERLINK("#Roadmap!C"&amp; MATCH($E138,Roadmap!$D:$D,0)+COUNTIF($E138:W138,"u")+COUNTIF($E138:W138,"t")+COUNTIF($E138:W138,"¶")+COUNTIF($E138:W138,"²")+COUNTIF($E138:W138,"µ")+COUNTIF($E138:W138,1)-1,INDEX(Roadmap!$D:$K,MATCH($E138,Roadmap!$D:$D,0)-1+COUNTIF($E138:W138,"u")+COUNTIF($E138:W138,"t")+COUNTIF($E138:W138,"¶")+COUNTIF($E138:W138,"²")+COUNTIF($E138:W138,"µ")+COUNTIF($E138:W138,1),ColDescriptionCourte)),""),
  "")),"")</f>
        <v/>
      </c>
      <c r="Y138" s="40" t="str">
        <f ca="1">IFERROR(IF(AND(
  INDEX(Roadmap!$D:$K,MATCH($E138,Roadmap!$D:$D,0)+COUNTIF($E138:X138,"u")+COUNTIF($E138:X138,"t")+COUNTIF($E138:X138,"¶")+COUNTIF($E138:X138,"²")+COUNTIF($E138:X138,"µ")+COUNTIF($E138:X138,1),ColLivraison)=Y$6,
  VLOOKUP($E138,INDIRECT("tri!"&amp; CHAR(64+ C0Col) &amp;":"&amp; CHAR(65+C0Col)),2,FALSE)&gt;COUNTIF($E138:X138,"u")+COUNTIF($E138:X138,"t")+COUNTIF($E138:X138,"¶")+COUNTIF($E138:X138,"²")+COUNTIF($E138:X138,"µ")+COUNTIF($E138:X138,1)),
HYPERLINK("#Roadmap!C"&amp; MATCH($E138,Roadmap!$D:$D,0)+COUNTIF($E138:X138,"u")+COUNTIF($E138:X138,"t"),
     INDEX(Roadmap!$D:$K,MATCH($E138,Roadmap!$D:$D,0)+COUNTIF($E138:X138,"u")+COUNTIF($E138:X138,"t")+COUNTIF($E138:X138,"¶")+COUNTIF($E138:X138,"²")+COUNTIF($E138:X138,"µ")+COUNTIF($E138:X138,1),ColTypeEcheance)),
  IF(LEN(X138)=1,
  IF(LEN(INDEX(Roadmap!$D:$K,MATCH($E138,Roadmap!$D:$D,0)-1+COUNTIF($E138:X138,"u")+COUNTIF($E138:X138,"t")+COUNTIF($E138:X138,"¶")+COUNTIF($E138:X138,"²")+COUNTIF($E138:X138,"µ")+COUNTIF($E138:X138,1),ColDescriptionCourte))&gt;1,
HYPERLINK("#Roadmap!C"&amp; MATCH($E138,Roadmap!$D:$D,0)+COUNTIF($E138:X138,"u")+COUNTIF($E138:X138,"t")+COUNTIF($E138:X138,"¶")+COUNTIF($E138:X138,"²")+COUNTIF($E138:X138,"µ")+COUNTIF($E138:X138,1)-1,INDEX(Roadmap!$D:$K,MATCH($E138,Roadmap!$D:$D,0)-1+COUNTIF($E138:X138,"u")+COUNTIF($E138:X138,"t")+COUNTIF($E138:X138,"¶")+COUNTIF($E138:X138,"²")+COUNTIF($E138:X138,"µ")+COUNTIF($E138:X138,1),ColDescriptionCourte)),""),
  "")),"")</f>
        <v/>
      </c>
      <c r="Z138" s="40" t="str">
        <f ca="1">IFERROR(IF(AND(
  INDEX(Roadmap!$D:$K,MATCH($E138,Roadmap!$D:$D,0)+COUNTIF($E138:Y138,"u")+COUNTIF($E138:Y138,"t")+COUNTIF($E138:Y138,"¶")+COUNTIF($E138:Y138,"²")+COUNTIF($E138:Y138,"µ")+COUNTIF($E138:Y138,1),ColLivraison)=Z$6,
  VLOOKUP($E138,INDIRECT("tri!"&amp; CHAR(64+ C0Col) &amp;":"&amp; CHAR(65+C0Col)),2,FALSE)&gt;COUNTIF($E138:Y138,"u")+COUNTIF($E138:Y138,"t")+COUNTIF($E138:Y138,"¶")+COUNTIF($E138:Y138,"²")+COUNTIF($E138:Y138,"µ")+COUNTIF($E138:Y138,1)),
HYPERLINK("#Roadmap!C"&amp; MATCH($E138,Roadmap!$D:$D,0)+COUNTIF($E138:Y138,"u")+COUNTIF($E138:Y138,"t"),
     INDEX(Roadmap!$D:$K,MATCH($E138,Roadmap!$D:$D,0)+COUNTIF($E138:Y138,"u")+COUNTIF($E138:Y138,"t")+COUNTIF($E138:Y138,"¶")+COUNTIF($E138:Y138,"²")+COUNTIF($E138:Y138,"µ")+COUNTIF($E138:Y138,1),ColTypeEcheance)),
  IF(LEN(Y138)=1,
  IF(LEN(INDEX(Roadmap!$D:$K,MATCH($E138,Roadmap!$D:$D,0)-1+COUNTIF($E138:Y138,"u")+COUNTIF($E138:Y138,"t")+COUNTIF($E138:Y138,"¶")+COUNTIF($E138:Y138,"²")+COUNTIF($E138:Y138,"µ")+COUNTIF($E138:Y138,1),ColDescriptionCourte))&gt;1,
HYPERLINK("#Roadmap!C"&amp; MATCH($E138,Roadmap!$D:$D,0)+COUNTIF($E138:Y138,"u")+COUNTIF($E138:Y138,"t")+COUNTIF($E138:Y138,"¶")+COUNTIF($E138:Y138,"²")+COUNTIF($E138:Y138,"µ")+COUNTIF($E138:Y138,1)-1,INDEX(Roadmap!$D:$K,MATCH($E138,Roadmap!$D:$D,0)-1+COUNTIF($E138:Y138,"u")+COUNTIF($E138:Y138,"t")+COUNTIF($E138:Y138,"¶")+COUNTIF($E138:Y138,"²")+COUNTIF($E138:Y138,"µ")+COUNTIF($E138:Y138,1),ColDescriptionCourte)),""),
  "")),"")</f>
        <v/>
      </c>
      <c r="AA138" s="40" t="str">
        <f ca="1">IFERROR(IF(AND(
  INDEX(Roadmap!$D:$K,MATCH($E138,Roadmap!$D:$D,0)+COUNTIF($E138:Z138,"u")+COUNTIF($E138:Z138,"t")+COUNTIF($E138:Z138,"¶")+COUNTIF($E138:Z138,"²")+COUNTIF($E138:Z138,"µ")+COUNTIF($E138:Z138,1),ColLivraison)=AA$6,
  VLOOKUP($E138,INDIRECT("tri!"&amp; CHAR(64+ C0Col) &amp;":"&amp; CHAR(65+C0Col)),2,FALSE)&gt;COUNTIF($E138:Z138,"u")+COUNTIF($E138:Z138,"t")+COUNTIF($E138:Z138,"¶")+COUNTIF($E138:Z138,"²")+COUNTIF($E138:Z138,"µ")+COUNTIF($E138:Z138,1)),
HYPERLINK("#Roadmap!C"&amp; MATCH($E138,Roadmap!$D:$D,0)+COUNTIF($E138:Z138,"u")+COUNTIF($E138:Z138,"t"),
     INDEX(Roadmap!$D:$K,MATCH($E138,Roadmap!$D:$D,0)+COUNTIF($E138:Z138,"u")+COUNTIF($E138:Z138,"t")+COUNTIF($E138:Z138,"¶")+COUNTIF($E138:Z138,"²")+COUNTIF($E138:Z138,"µ")+COUNTIF($E138:Z138,1),ColTypeEcheance)),
  IF(LEN(Z138)=1,
  IF(LEN(INDEX(Roadmap!$D:$K,MATCH($E138,Roadmap!$D:$D,0)-1+COUNTIF($E138:Z138,"u")+COUNTIF($E138:Z138,"t")+COUNTIF($E138:Z138,"¶")+COUNTIF($E138:Z138,"²")+COUNTIF($E138:Z138,"µ")+COUNTIF($E138:Z138,1),ColDescriptionCourte))&gt;1,
HYPERLINK("#Roadmap!C"&amp; MATCH($E138,Roadmap!$D:$D,0)+COUNTIF($E138:Z138,"u")+COUNTIF($E138:Z138,"t")+COUNTIF($E138:Z138,"¶")+COUNTIF($E138:Z138,"²")+COUNTIF($E138:Z138,"µ")+COUNTIF($E138:Z138,1)-1,INDEX(Roadmap!$D:$K,MATCH($E138,Roadmap!$D:$D,0)-1+COUNTIF($E138:Z138,"u")+COUNTIF($E138:Z138,"t")+COUNTIF($E138:Z138,"¶")+COUNTIF($E138:Z138,"²")+COUNTIF($E138:Z138,"µ")+COUNTIF($E138:Z138,1),ColDescriptionCourte)),""),
  "")),"")</f>
        <v/>
      </c>
      <c r="AB138" s="40" t="str">
        <f ca="1">IFERROR(IF(AND(
  INDEX(Roadmap!$D:$K,MATCH($E138,Roadmap!$D:$D,0)+COUNTIF($E138:AA138,"u")+COUNTIF($E138:AA138,"t")+COUNTIF($E138:AA138,"¶")+COUNTIF($E138:AA138,"²")+COUNTIF($E138:AA138,"µ")+COUNTIF($E138:AA138,1),ColLivraison)=AB$6,
  VLOOKUP($E138,INDIRECT("tri!"&amp; CHAR(64+ C0Col) &amp;":"&amp; CHAR(65+C0Col)),2,FALSE)&gt;COUNTIF($E138:AA138,"u")+COUNTIF($E138:AA138,"t")+COUNTIF($E138:AA138,"¶")+COUNTIF($E138:AA138,"²")+COUNTIF($E138:AA138,"µ")+COUNTIF($E138:AA138,1)),
HYPERLINK("#Roadmap!C"&amp; MATCH($E138,Roadmap!$D:$D,0)+COUNTIF($E138:AA138,"u")+COUNTIF($E138:AA138,"t"),
     INDEX(Roadmap!$D:$K,MATCH($E138,Roadmap!$D:$D,0)+COUNTIF($E138:AA138,"u")+COUNTIF($E138:AA138,"t")+COUNTIF($E138:AA138,"¶")+COUNTIF($E138:AA138,"²")+COUNTIF($E138:AA138,"µ")+COUNTIF($E138:AA138,1),ColTypeEcheance)),
  IF(LEN(AA138)=1,
  IF(LEN(INDEX(Roadmap!$D:$K,MATCH($E138,Roadmap!$D:$D,0)-1+COUNTIF($E138:AA138,"u")+COUNTIF($E138:AA138,"t")+COUNTIF($E138:AA138,"¶")+COUNTIF($E138:AA138,"²")+COUNTIF($E138:AA138,"µ")+COUNTIF($E138:AA138,1),ColDescriptionCourte))&gt;1,
HYPERLINK("#Roadmap!C"&amp; MATCH($E138,Roadmap!$D:$D,0)+COUNTIF($E138:AA138,"u")+COUNTIF($E138:AA138,"t")+COUNTIF($E138:AA138,"¶")+COUNTIF($E138:AA138,"²")+COUNTIF($E138:AA138,"µ")+COUNTIF($E138:AA138,1)-1,INDEX(Roadmap!$D:$K,MATCH($E138,Roadmap!$D:$D,0)-1+COUNTIF($E138:AA138,"u")+COUNTIF($E138:AA138,"t")+COUNTIF($E138:AA138,"¶")+COUNTIF($E138:AA138,"²")+COUNTIF($E138:AA138,"µ")+COUNTIF($E138:AA138,1),ColDescriptionCourte)),""),
  "")),"")</f>
        <v/>
      </c>
      <c r="AC138" s="40" t="str">
        <f ca="1">IFERROR(IF(AND(
  INDEX(Roadmap!$D:$K,MATCH($E138,Roadmap!$D:$D,0)+COUNTIF($E138:AB138,"u")+COUNTIF($E138:AB138,"t")+COUNTIF($E138:AB138,"¶")+COUNTIF($E138:AB138,"²")+COUNTIF($E138:AB138,"µ")+COUNTIF($E138:AB138,1),ColLivraison)=AC$6,
  VLOOKUP($E138,INDIRECT("tri!"&amp; CHAR(64+ C0Col) &amp;":"&amp; CHAR(65+C0Col)),2,FALSE)&gt;COUNTIF($E138:AB138,"u")+COUNTIF($E138:AB138,"t")+COUNTIF($E138:AB138,"¶")+COUNTIF($E138:AB138,"²")+COUNTIF($E138:AB138,"µ")+COUNTIF($E138:AB138,1)),
HYPERLINK("#Roadmap!C"&amp; MATCH($E138,Roadmap!$D:$D,0)+COUNTIF($E138:AB138,"u")+COUNTIF($E138:AB138,"t"),
     INDEX(Roadmap!$D:$K,MATCH($E138,Roadmap!$D:$D,0)+COUNTIF($E138:AB138,"u")+COUNTIF($E138:AB138,"t")+COUNTIF($E138:AB138,"¶")+COUNTIF($E138:AB138,"²")+COUNTIF($E138:AB138,"µ")+COUNTIF($E138:AB138,1),ColTypeEcheance)),
  IF(LEN(AB138)=1,
  IF(LEN(INDEX(Roadmap!$D:$K,MATCH($E138,Roadmap!$D:$D,0)-1+COUNTIF($E138:AB138,"u")+COUNTIF($E138:AB138,"t")+COUNTIF($E138:AB138,"¶")+COUNTIF($E138:AB138,"²")+COUNTIF($E138:AB138,"µ")+COUNTIF($E138:AB138,1),ColDescriptionCourte))&gt;1,
HYPERLINK("#Roadmap!C"&amp; MATCH($E138,Roadmap!$D:$D,0)+COUNTIF($E138:AB138,"u")+COUNTIF($E138:AB138,"t")+COUNTIF($E138:AB138,"¶")+COUNTIF($E138:AB138,"²")+COUNTIF($E138:AB138,"µ")+COUNTIF($E138:AB138,1)-1,INDEX(Roadmap!$D:$K,MATCH($E138,Roadmap!$D:$D,0)-1+COUNTIF($E138:AB138,"u")+COUNTIF($E138:AB138,"t")+COUNTIF($E138:AB138,"¶")+COUNTIF($E138:AB138,"²")+COUNTIF($E138:AB138,"µ")+COUNTIF($E138:AB138,1),ColDescriptionCourte)),""),
  "")),"")</f>
        <v/>
      </c>
      <c r="AD138" s="40" t="str">
        <f ca="1">IFERROR(IF(AND(
  INDEX(Roadmap!$D:$K,MATCH($E138,Roadmap!$D:$D,0)+COUNTIF($E138:AC138,"u")+COUNTIF($E138:AC138,"t")+COUNTIF($E138:AC138,"¶")+COUNTIF($E138:AC138,"²")+COUNTIF($E138:AC138,"µ")+COUNTIF($E138:AC138,1),ColLivraison)=AD$6,
  VLOOKUP($E138,INDIRECT("tri!"&amp; CHAR(64+ C0Col) &amp;":"&amp; CHAR(65+C0Col)),2,FALSE)&gt;COUNTIF($E138:AC138,"u")+COUNTIF($E138:AC138,"t")+COUNTIF($E138:AC138,"¶")+COUNTIF($E138:AC138,"²")+COUNTIF($E138:AC138,"µ")+COUNTIF($E138:AC138,1)),
HYPERLINK("#Roadmap!C"&amp; MATCH($E138,Roadmap!$D:$D,0)+COUNTIF($E138:AC138,"u")+COUNTIF($E138:AC138,"t"),
     INDEX(Roadmap!$D:$K,MATCH($E138,Roadmap!$D:$D,0)+COUNTIF($E138:AC138,"u")+COUNTIF($E138:AC138,"t")+COUNTIF($E138:AC138,"¶")+COUNTIF($E138:AC138,"²")+COUNTIF($E138:AC138,"µ")+COUNTIF($E138:AC138,1),ColTypeEcheance)),
  IF(LEN(AC138)=1,
  IF(LEN(INDEX(Roadmap!$D:$K,MATCH($E138,Roadmap!$D:$D,0)-1+COUNTIF($E138:AC138,"u")+COUNTIF($E138:AC138,"t")+COUNTIF($E138:AC138,"¶")+COUNTIF($E138:AC138,"²")+COUNTIF($E138:AC138,"µ")+COUNTIF($E138:AC138,1),ColDescriptionCourte))&gt;1,
HYPERLINK("#Roadmap!C"&amp; MATCH($E138,Roadmap!$D:$D,0)+COUNTIF($E138:AC138,"u")+COUNTIF($E138:AC138,"t")+COUNTIF($E138:AC138,"¶")+COUNTIF($E138:AC138,"²")+COUNTIF($E138:AC138,"µ")+COUNTIF($E138:AC138,1)-1,INDEX(Roadmap!$D:$K,MATCH($E138,Roadmap!$D:$D,0)-1+COUNTIF($E138:AC138,"u")+COUNTIF($E138:AC138,"t")+COUNTIF($E138:AC138,"¶")+COUNTIF($E138:AC138,"²")+COUNTIF($E138:AC138,"µ")+COUNTIF($E138:AC138,1),ColDescriptionCourte)),""),
  "")),"")</f>
        <v/>
      </c>
      <c r="AE138" s="40" t="str">
        <f ca="1">IFERROR(IF(AND(
  INDEX(Roadmap!$D:$K,MATCH($E138,Roadmap!$D:$D,0)+COUNTIF($E138:AD138,"u")+COUNTIF($E138:AD138,"t")+COUNTIF($E138:AD138,"¶")+COUNTIF($E138:AD138,"²")+COUNTIF($E138:AD138,"µ")+COUNTIF($E138:AD138,1),ColLivraison)=AE$6,
  VLOOKUP($E138,INDIRECT("tri!"&amp; CHAR(64+ C0Col) &amp;":"&amp; CHAR(65+C0Col)),2,FALSE)&gt;COUNTIF($E138:AD138,"u")+COUNTIF($E138:AD138,"t")+COUNTIF($E138:AD138,"¶")+COUNTIF($E138:AD138,"²")+COUNTIF($E138:AD138,"µ")+COUNTIF($E138:AD138,1)),
HYPERLINK("#Roadmap!C"&amp; MATCH($E138,Roadmap!$D:$D,0)+COUNTIF($E138:AD138,"u")+COUNTIF($E138:AD138,"t"),
     INDEX(Roadmap!$D:$K,MATCH($E138,Roadmap!$D:$D,0)+COUNTIF($E138:AD138,"u")+COUNTIF($E138:AD138,"t")+COUNTIF($E138:AD138,"¶")+COUNTIF($E138:AD138,"²")+COUNTIF($E138:AD138,"µ")+COUNTIF($E138:AD138,1),ColTypeEcheance)),
  IF(LEN(AD138)=1,
  IF(LEN(INDEX(Roadmap!$D:$K,MATCH($E138,Roadmap!$D:$D,0)-1+COUNTIF($E138:AD138,"u")+COUNTIF($E138:AD138,"t")+COUNTIF($E138:AD138,"¶")+COUNTIF($E138:AD138,"²")+COUNTIF($E138:AD138,"µ")+COUNTIF($E138:AD138,1),ColDescriptionCourte))&gt;1,
HYPERLINK("#Roadmap!C"&amp; MATCH($E138,Roadmap!$D:$D,0)+COUNTIF($E138:AD138,"u")+COUNTIF($E138:AD138,"t")+COUNTIF($E138:AD138,"¶")+COUNTIF($E138:AD138,"²")+COUNTIF($E138:AD138,"µ")+COUNTIF($E138:AD138,1)-1,INDEX(Roadmap!$D:$K,MATCH($E138,Roadmap!$D:$D,0)-1+COUNTIF($E138:AD138,"u")+COUNTIF($E138:AD138,"t")+COUNTIF($E138:AD138,"¶")+COUNTIF($E138:AD138,"²")+COUNTIF($E138:AD138,"µ")+COUNTIF($E138:AD138,1),ColDescriptionCourte)),""),
  "")),"")</f>
        <v/>
      </c>
      <c r="AF138" s="40" t="str">
        <f ca="1">IFERROR(IF(AND(
  INDEX(Roadmap!$D:$K,MATCH($E138,Roadmap!$D:$D,0)+COUNTIF($E138:AE138,"u")+COUNTIF($E138:AE138,"t")+COUNTIF($E138:AE138,"¶")+COUNTIF($E138:AE138,"²")+COUNTIF($E138:AE138,"µ")+COUNTIF($E138:AE138,1),ColLivraison)=AF$6,
  VLOOKUP($E138,INDIRECT("tri!"&amp; CHAR(64+ C0Col) &amp;":"&amp; CHAR(65+C0Col)),2,FALSE)&gt;COUNTIF($E138:AE138,"u")+COUNTIF($E138:AE138,"t")+COUNTIF($E138:AE138,"¶")+COUNTIF($E138:AE138,"²")+COUNTIF($E138:AE138,"µ")+COUNTIF($E138:AE138,1)),
HYPERLINK("#Roadmap!C"&amp; MATCH($E138,Roadmap!$D:$D,0)+COUNTIF($E138:AE138,"u")+COUNTIF($E138:AE138,"t"),
     INDEX(Roadmap!$D:$K,MATCH($E138,Roadmap!$D:$D,0)+COUNTIF($E138:AE138,"u")+COUNTIF($E138:AE138,"t")+COUNTIF($E138:AE138,"¶")+COUNTIF($E138:AE138,"²")+COUNTIF($E138:AE138,"µ")+COUNTIF($E138:AE138,1),ColTypeEcheance)),
  IF(LEN(AE138)=1,
  IF(LEN(INDEX(Roadmap!$D:$K,MATCH($E138,Roadmap!$D:$D,0)-1+COUNTIF($E138:AE138,"u")+COUNTIF($E138:AE138,"t")+COUNTIF($E138:AE138,"¶")+COUNTIF($E138:AE138,"²")+COUNTIF($E138:AE138,"µ")+COUNTIF($E138:AE138,1),ColDescriptionCourte))&gt;1,
HYPERLINK("#Roadmap!C"&amp; MATCH($E138,Roadmap!$D:$D,0)+COUNTIF($E138:AE138,"u")+COUNTIF($E138:AE138,"t")+COUNTIF($E138:AE138,"¶")+COUNTIF($E138:AE138,"²")+COUNTIF($E138:AE138,"µ")+COUNTIF($E138:AE138,1)-1,INDEX(Roadmap!$D:$K,MATCH($E138,Roadmap!$D:$D,0)-1+COUNTIF($E138:AE138,"u")+COUNTIF($E138:AE138,"t")+COUNTIF($E138:AE138,"¶")+COUNTIF($E138:AE138,"²")+COUNTIF($E138:AE138,"µ")+COUNTIF($E138:AE138,1),ColDescriptionCourte)),""),
  "")),"")</f>
        <v/>
      </c>
      <c r="AG138" s="40" t="str">
        <f ca="1">IFERROR(IF(AND(
  INDEX(Roadmap!$D:$K,MATCH($E138,Roadmap!$D:$D,0)+COUNTIF($E138:AF138,"u")+COUNTIF($E138:AF138,"t")+COUNTIF($E138:AF138,"¶")+COUNTIF($E138:AF138,"²")+COUNTIF($E138:AF138,"µ")+COUNTIF($E138:AF138,1),ColLivraison)=AG$6,
  VLOOKUP($E138,INDIRECT("tri!"&amp; CHAR(64+ C0Col) &amp;":"&amp; CHAR(65+C0Col)),2,FALSE)&gt;COUNTIF($E138:AF138,"u")+COUNTIF($E138:AF138,"t")+COUNTIF($E138:AF138,"¶")+COUNTIF($E138:AF138,"²")+COUNTIF($E138:AF138,"µ")+COUNTIF($E138:AF138,1)),
HYPERLINK("#Roadmap!C"&amp; MATCH($E138,Roadmap!$D:$D,0)+COUNTIF($E138:AF138,"u")+COUNTIF($E138:AF138,"t"),
     INDEX(Roadmap!$D:$K,MATCH($E138,Roadmap!$D:$D,0)+COUNTIF($E138:AF138,"u")+COUNTIF($E138:AF138,"t")+COUNTIF($E138:AF138,"¶")+COUNTIF($E138:AF138,"²")+COUNTIF($E138:AF138,"µ")+COUNTIF($E138:AF138,1),ColTypeEcheance)),
  IF(LEN(AF138)=1,
  IF(LEN(INDEX(Roadmap!$D:$K,MATCH($E138,Roadmap!$D:$D,0)-1+COUNTIF($E138:AF138,"u")+COUNTIF($E138:AF138,"t")+COUNTIF($E138:AF138,"¶")+COUNTIF($E138:AF138,"²")+COUNTIF($E138:AF138,"µ")+COUNTIF($E138:AF138,1),ColDescriptionCourte))&gt;1,
HYPERLINK("#Roadmap!C"&amp; MATCH($E138,Roadmap!$D:$D,0)+COUNTIF($E138:AF138,"u")+COUNTIF($E138:AF138,"t")+COUNTIF($E138:AF138,"¶")+COUNTIF($E138:AF138,"²")+COUNTIF($E138:AF138,"µ")+COUNTIF($E138:AF138,1)-1,INDEX(Roadmap!$D:$K,MATCH($E138,Roadmap!$D:$D,0)-1+COUNTIF($E138:AF138,"u")+COUNTIF($E138:AF138,"t")+COUNTIF($E138:AF138,"¶")+COUNTIF($E138:AF138,"²")+COUNTIF($E138:AF138,"µ")+COUNTIF($E138:AF138,1),ColDescriptionCourte)),""),
  "")),"")</f>
        <v/>
      </c>
      <c r="AH138" s="40" t="str">
        <f ca="1">IFERROR(IF(AND(
  INDEX(Roadmap!$D:$K,MATCH($E138,Roadmap!$D:$D,0)+COUNTIF($E138:AG138,"u")+COUNTIF($E138:AG138,"t")+COUNTIF($E138:AG138,1),ColLivraison)=AH$6,
  VLOOKUP($E138,INDIRECT("tri!"&amp; CHAR(64+ C0Col) &amp;":"&amp; CHAR(65+C0Col)),2,FALSE)&gt;COUNTIF($E138:AG138,"u")+COUNTIF($E138:AG138,"t")+COUNTIF($E138:AG138,1)),
HYPERLINK("#Roadmap!C"&amp; MATCH($E138,Roadmap!$D:$D,0)+COUNTIF($E138:AG138,"u")+COUNTIF($E138:AG138,"t"),
     INDEX(Roadmap!$D:$K,MATCH($E138,Roadmap!$D:$D,0)+COUNTIF($E138:AG138,"u")+COUNTIF($E138:AG138,"t")+COUNTIF($E138:AG138,1),ColTypeEcheance)),
  IF(OR(AG138="u",AG138="t",AG138=1),
  IF(LEN(INDEX(Roadmap!$D:$K,MATCH($E138,Roadmap!$D:$D,0)-1+COUNTIF($E138:AG138,"u")+COUNTIF($E138:AG138,"t")+COUNTIF($E138:AG138,1),ColDescriptionCourte))&gt;1,
HYPERLINK("#Roadmap!C"&amp; MATCH($E138,Roadmap!$D:$D,0)+COUNTIF($E138:AG138,"u")+COUNTIF($E138:AG138,"t")+COUNTIF($E138:AG138,1)-1,INDEX(Roadmap!$D:$K,MATCH($E138,Roadmap!$D:$D,0)-1+COUNTIF($E138:AG138,"u")+COUNTIF($E138:AG138,"t")+COUNTIF($E138:AG138,1),ColDescriptionCourte)),""),
  "")),"")</f>
        <v/>
      </c>
      <c r="AI138" s="40"/>
      <c r="AJ138" s="40"/>
      <c r="AK138" s="40"/>
      <c r="AL138" s="40"/>
      <c r="AM138" s="40"/>
    </row>
    <row r="139" spans="4:39" ht="14.1" customHeight="1">
      <c r="D139" s="20" t="str">
        <f t="shared" ca="1" si="31"/>
        <v/>
      </c>
      <c r="E139" s="53" t="str">
        <f t="shared" ca="1" si="32"/>
        <v/>
      </c>
      <c r="F139" s="39" t="str">
        <f ca="1">IFERROR(IF(AND(
  INDEX(Roadmap!$D:$K,MATCH($E139,Roadmap!$D:$D,0)+COUNTIF($E139:E139,"u")+COUNTIF($E139:E139,"t")+COUNTIF($E139:E139,"¶")+COUNTIF($E139:E139,"²")+COUNTIF($E139:E139,"µ")+COUNTIF($E139:E139,1),ColLivraison)=F$6,
  VLOOKUP($E139,INDIRECT("tri!"&amp; CHAR(64+ C0Col) &amp;":"&amp; CHAR(65+C0Col)),2,FALSE)&gt;COUNTIF($E139:E139,"u")+COUNTIF($E139:E139,"t")+COUNTIF($E139:E139,"¶")+COUNTIF($E139:E139,"²")+COUNTIF($E139:E139,"µ")+COUNTIF($E139:E139,1)),
HYPERLINK("#Roadmap!C"&amp; MATCH($E139,Roadmap!$D:$D,0)+COUNTIF($E139:E139,"u")+COUNTIF($E139:E139,"t"),
     INDEX(Roadmap!$D:$K,MATCH($E139,Roadmap!$D:$D,0)+COUNTIF($E139:E139,"u")+COUNTIF($E139:E139,"t")+COUNTIF($E139:E139,"¶")+COUNTIF($E139:E139,"²")+COUNTIF($E139:E139,"µ")+COUNTIF($E139:E139,1),ColTypeEcheance)),
  IF(LEN(E139)=1,
  IF(LEN(INDEX(Roadmap!$D:$K,MATCH($E139,Roadmap!$D:$D,0)-1+COUNTIF($E139:E139,"u")+COUNTIF($E139:E139,"t")+COUNTIF($E139:E139,"¶")+COUNTIF($E139:E139,"²")+COUNTIF($E139:E139,"µ")+COUNTIF($E139:E139,1),ColDescriptionCourte))&gt;1,
HYPERLINK("#Roadmap!C"&amp; MATCH($E139,Roadmap!$D:$D,0)+COUNTIF($E139:E139,"u")+COUNTIF($E139:E139,"t")+COUNTIF($E139:E139,"¶")+COUNTIF($E139:E139,"²")+COUNTIF($E139:E139,"µ")+COUNTIF($E139:E139,1)-1,INDEX(Roadmap!$D:$K,MATCH($E139,Roadmap!$D:$D,0)-1+COUNTIF($E139:E139,"u")+COUNTIF($E139:E139,"t")+COUNTIF($E139:E139,"¶")+COUNTIF($E139:E139,"²")+COUNTIF($E139:E139,"µ")+COUNTIF($E139:E139,1),ColDescriptionCourte)),""),
  "")),"")</f>
        <v/>
      </c>
      <c r="G139" s="40" t="str">
        <f ca="1">IFERROR(IF(AND(
  INDEX(Roadmap!$D:$K,MATCH($E139,Roadmap!$D:$D,0)+COUNTIF($E139:F139,"u")+COUNTIF($E139:F139,"t")+COUNTIF($E139:F139,"¶")+COUNTIF($E139:F139,"²")+COUNTIF($E139:F139,"µ")+COUNTIF($E139:F139,1),ColLivraison)=G$6,
  VLOOKUP($E139,INDIRECT("tri!"&amp; CHAR(64+ C0Col) &amp;":"&amp; CHAR(65+C0Col)),2,FALSE)&gt;COUNTIF($E139:F139,"u")+COUNTIF($E139:F139,"t")+COUNTIF($E139:F139,"¶")+COUNTIF($E139:F139,"²")+COUNTIF($E139:F139,"µ")+COUNTIF($E139:F139,1)),
HYPERLINK("#Roadmap!C"&amp; MATCH($E139,Roadmap!$D:$D,0)+COUNTIF($E139:F139,"u")+COUNTIF($E139:F139,"t"),
     INDEX(Roadmap!$D:$K,MATCH($E139,Roadmap!$D:$D,0)+COUNTIF($E139:F139,"u")+COUNTIF($E139:F139,"t")+COUNTIF($E139:F139,"¶")+COUNTIF($E139:F139,"²")+COUNTIF($E139:F139,"µ")+COUNTIF($E139:F139,1),ColTypeEcheance)),
  IF(LEN(F139)=1,
  IF(LEN(INDEX(Roadmap!$D:$K,MATCH($E139,Roadmap!$D:$D,0)-1+COUNTIF($E139:F139,"u")+COUNTIF($E139:F139,"t")+COUNTIF($E139:F139,"¶")+COUNTIF($E139:F139,"²")+COUNTIF($E139:F139,"µ")+COUNTIF($E139:F139,1),ColDescriptionCourte))&gt;1,
HYPERLINK("#Roadmap!C"&amp; MATCH($E139,Roadmap!$D:$D,0)+COUNTIF($E139:F139,"u")+COUNTIF($E139:F139,"t")+COUNTIF($E139:F139,"¶")+COUNTIF($E139:F139,"²")+COUNTIF($E139:F139,"µ")+COUNTIF($E139:F139,1)-1,INDEX(Roadmap!$D:$K,MATCH($E139,Roadmap!$D:$D,0)-1+COUNTIF($E139:F139,"u")+COUNTIF($E139:F139,"t")+COUNTIF($E139:F139,"¶")+COUNTIF($E139:F139,"²")+COUNTIF($E139:F139,"µ")+COUNTIF($E139:F139,1),ColDescriptionCourte)),""),
  "")),"")</f>
        <v/>
      </c>
      <c r="H139" s="40" t="str">
        <f ca="1">IFERROR(IF(AND(
  INDEX(Roadmap!$D:$K,MATCH($E139,Roadmap!$D:$D,0)+COUNTIF($E139:G139,"u")+COUNTIF($E139:G139,"t")+COUNTIF($E139:G139,"¶")+COUNTIF($E139:G139,"²")+COUNTIF($E139:G139,"µ")+COUNTIF($E139:G139,1),ColLivraison)=H$6,
  VLOOKUP($E139,INDIRECT("tri!"&amp; CHAR(64+ C0Col) &amp;":"&amp; CHAR(65+C0Col)),2,FALSE)&gt;COUNTIF($E139:G139,"u")+COUNTIF($E139:G139,"t")+COUNTIF($E139:G139,"¶")+COUNTIF($E139:G139,"²")+COUNTIF($E139:G139,"µ")+COUNTIF($E139:G139,1)),
HYPERLINK("#Roadmap!C"&amp; MATCH($E139,Roadmap!$D:$D,0)+COUNTIF($E139:G139,"u")+COUNTIF($E139:G139,"t"),
     INDEX(Roadmap!$D:$K,MATCH($E139,Roadmap!$D:$D,0)+COUNTIF($E139:G139,"u")+COUNTIF($E139:G139,"t")+COUNTIF($E139:G139,"¶")+COUNTIF($E139:G139,"²")+COUNTIF($E139:G139,"µ")+COUNTIF($E139:G139,1),ColTypeEcheance)),
  IF(LEN(G139)=1,
  IF(LEN(INDEX(Roadmap!$D:$K,MATCH($E139,Roadmap!$D:$D,0)-1+COUNTIF($E139:G139,"u")+COUNTIF($E139:G139,"t")+COUNTIF($E139:G139,"¶")+COUNTIF($E139:G139,"²")+COUNTIF($E139:G139,"µ")+COUNTIF($E139:G139,1),ColDescriptionCourte))&gt;1,
HYPERLINK("#Roadmap!C"&amp; MATCH($E139,Roadmap!$D:$D,0)+COUNTIF($E139:G139,"u")+COUNTIF($E139:G139,"t")+COUNTIF($E139:G139,"¶")+COUNTIF($E139:G139,"²")+COUNTIF($E139:G139,"µ")+COUNTIF($E139:G139,1)-1,INDEX(Roadmap!$D:$K,MATCH($E139,Roadmap!$D:$D,0)-1+COUNTIF($E139:G139,"u")+COUNTIF($E139:G139,"t")+COUNTIF($E139:G139,"¶")+COUNTIF($E139:G139,"²")+COUNTIF($E139:G139,"µ")+COUNTIF($E139:G139,1),ColDescriptionCourte)),""),
  "")),"")</f>
        <v/>
      </c>
      <c r="I139" s="40" t="str">
        <f ca="1">IFERROR(IF(AND(
  INDEX(Roadmap!$D:$K,MATCH($E139,Roadmap!$D:$D,0)+COUNTIF($E139:H139,"u")+COUNTIF($E139:H139,"t")+COUNTIF($E139:H139,"¶")+COUNTIF($E139:H139,"²")+COUNTIF($E139:H139,"µ")+COUNTIF($E139:H139,1),ColLivraison)=I$6,
  VLOOKUP($E139,INDIRECT("tri!"&amp; CHAR(64+ C0Col) &amp;":"&amp; CHAR(65+C0Col)),2,FALSE)&gt;COUNTIF($E139:H139,"u")+COUNTIF($E139:H139,"t")+COUNTIF($E139:H139,"¶")+COUNTIF($E139:H139,"²")+COUNTIF($E139:H139,"µ")+COUNTIF($E139:H139,1)),
HYPERLINK("#Roadmap!C"&amp; MATCH($E139,Roadmap!$D:$D,0)+COUNTIF($E139:H139,"u")+COUNTIF($E139:H139,"t"),
     INDEX(Roadmap!$D:$K,MATCH($E139,Roadmap!$D:$D,0)+COUNTIF($E139:H139,"u")+COUNTIF($E139:H139,"t")+COUNTIF($E139:H139,"¶")+COUNTIF($E139:H139,"²")+COUNTIF($E139:H139,"µ")+COUNTIF($E139:H139,1),ColTypeEcheance)),
  IF(LEN(H139)=1,
  IF(LEN(INDEX(Roadmap!$D:$K,MATCH($E139,Roadmap!$D:$D,0)-1+COUNTIF($E139:H139,"u")+COUNTIF($E139:H139,"t")+COUNTIF($E139:H139,"¶")+COUNTIF($E139:H139,"²")+COUNTIF($E139:H139,"µ")+COUNTIF($E139:H139,1),ColDescriptionCourte))&gt;1,
HYPERLINK("#Roadmap!C"&amp; MATCH($E139,Roadmap!$D:$D,0)+COUNTIF($E139:H139,"u")+COUNTIF($E139:H139,"t")+COUNTIF($E139:H139,"¶")+COUNTIF($E139:H139,"²")+COUNTIF($E139:H139,"µ")+COUNTIF($E139:H139,1)-1,INDEX(Roadmap!$D:$K,MATCH($E139,Roadmap!$D:$D,0)-1+COUNTIF($E139:H139,"u")+COUNTIF($E139:H139,"t")+COUNTIF($E139:H139,"¶")+COUNTIF($E139:H139,"²")+COUNTIF($E139:H139,"µ")+COUNTIF($E139:H139,1),ColDescriptionCourte)),""),
  "")),"")</f>
        <v/>
      </c>
      <c r="J139" s="40" t="str">
        <f ca="1">IFERROR(IF(AND(
  INDEX(Roadmap!$D:$K,MATCH($E139,Roadmap!$D:$D,0)+COUNTIF($E139:I139,"u")+COUNTIF($E139:I139,"t")+COUNTIF($E139:I139,"¶")+COUNTIF($E139:I139,"²")+COUNTIF($E139:I139,"µ")+COUNTIF($E139:I139,1),ColLivraison)=J$6,
  VLOOKUP($E139,INDIRECT("tri!"&amp; CHAR(64+ C0Col) &amp;":"&amp; CHAR(65+C0Col)),2,FALSE)&gt;COUNTIF($E139:I139,"u")+COUNTIF($E139:I139,"t")+COUNTIF($E139:I139,"¶")+COUNTIF($E139:I139,"²")+COUNTIF($E139:I139,"µ")+COUNTIF($E139:I139,1)),
HYPERLINK("#Roadmap!C"&amp; MATCH($E139,Roadmap!$D:$D,0)+COUNTIF($E139:I139,"u")+COUNTIF($E139:I139,"t"),
     INDEX(Roadmap!$D:$K,MATCH($E139,Roadmap!$D:$D,0)+COUNTIF($E139:I139,"u")+COUNTIF($E139:I139,"t")+COUNTIF($E139:I139,"¶")+COUNTIF($E139:I139,"²")+COUNTIF($E139:I139,"µ")+COUNTIF($E139:I139,1),ColTypeEcheance)),
  IF(LEN(I139)=1,
  IF(LEN(INDEX(Roadmap!$D:$K,MATCH($E139,Roadmap!$D:$D,0)-1+COUNTIF($E139:I139,"u")+COUNTIF($E139:I139,"t")+COUNTIF($E139:I139,"¶")+COUNTIF($E139:I139,"²")+COUNTIF($E139:I139,"µ")+COUNTIF($E139:I139,1),ColDescriptionCourte))&gt;1,
HYPERLINK("#Roadmap!C"&amp; MATCH($E139,Roadmap!$D:$D,0)+COUNTIF($E139:I139,"u")+COUNTIF($E139:I139,"t")+COUNTIF($E139:I139,"¶")+COUNTIF($E139:I139,"²")+COUNTIF($E139:I139,"µ")+COUNTIF($E139:I139,1)-1,INDEX(Roadmap!$D:$K,MATCH($E139,Roadmap!$D:$D,0)-1+COUNTIF($E139:I139,"u")+COUNTIF($E139:I139,"t")+COUNTIF($E139:I139,"¶")+COUNTIF($E139:I139,"²")+COUNTIF($E139:I139,"µ")+COUNTIF($E139:I139,1),ColDescriptionCourte)),""),
  "")),"")</f>
        <v/>
      </c>
      <c r="K139" s="40" t="str">
        <f ca="1">IFERROR(IF(AND(
  INDEX(Roadmap!$D:$K,MATCH($E139,Roadmap!$D:$D,0)+COUNTIF($E139:J139,"u")+COUNTIF($E139:J139,"t")+COUNTIF($E139:J139,"¶")+COUNTIF($E139:J139,"²")+COUNTIF($E139:J139,"µ")+COUNTIF($E139:J139,1),ColLivraison)=K$6,
  VLOOKUP($E139,INDIRECT("tri!"&amp; CHAR(64+ C0Col) &amp;":"&amp; CHAR(65+C0Col)),2,FALSE)&gt;COUNTIF($E139:J139,"u")+COUNTIF($E139:J139,"t")+COUNTIF($E139:J139,"¶")+COUNTIF($E139:J139,"²")+COUNTIF($E139:J139,"µ")+COUNTIF($E139:J139,1)),
HYPERLINK("#Roadmap!C"&amp; MATCH($E139,Roadmap!$D:$D,0)+COUNTIF($E139:J139,"u")+COUNTIF($E139:J139,"t"),
     INDEX(Roadmap!$D:$K,MATCH($E139,Roadmap!$D:$D,0)+COUNTIF($E139:J139,"u")+COUNTIF($E139:J139,"t")+COUNTIF($E139:J139,"¶")+COUNTIF($E139:J139,"²")+COUNTIF($E139:J139,"µ")+COUNTIF($E139:J139,1),ColTypeEcheance)),
  IF(LEN(J139)=1,
  IF(LEN(INDEX(Roadmap!$D:$K,MATCH($E139,Roadmap!$D:$D,0)-1+COUNTIF($E139:J139,"u")+COUNTIF($E139:J139,"t")+COUNTIF($E139:J139,"¶")+COUNTIF($E139:J139,"²")+COUNTIF($E139:J139,"µ")+COUNTIF($E139:J139,1),ColDescriptionCourte))&gt;1,
HYPERLINK("#Roadmap!C"&amp; MATCH($E139,Roadmap!$D:$D,0)+COUNTIF($E139:J139,"u")+COUNTIF($E139:J139,"t")+COUNTIF($E139:J139,"¶")+COUNTIF($E139:J139,"²")+COUNTIF($E139:J139,"µ")+COUNTIF($E139:J139,1)-1,INDEX(Roadmap!$D:$K,MATCH($E139,Roadmap!$D:$D,0)-1+COUNTIF($E139:J139,"u")+COUNTIF($E139:J139,"t")+COUNTIF($E139:J139,"¶")+COUNTIF($E139:J139,"²")+COUNTIF($E139:J139,"µ")+COUNTIF($E139:J139,1),ColDescriptionCourte)),""),
  "")),"")</f>
        <v/>
      </c>
      <c r="L139" s="39" t="str">
        <f ca="1">IFERROR(IF(AND(
  INDEX(Roadmap!$D:$K,MATCH($E139,Roadmap!$D:$D,0)+COUNTIF($E139:K139,"u")+COUNTIF($E139:K139,"t")+COUNTIF($E139:K139,"¶")+COUNTIF($E139:K139,"²")+COUNTIF($E139:K139,"µ")+COUNTIF($E139:K139,1),ColLivraison)=L$6,
  VLOOKUP($E139,INDIRECT("tri!"&amp; CHAR(64+ C0Col) &amp;":"&amp; CHAR(65+C0Col)),2,FALSE)&gt;COUNTIF($E139:K139,"u")+COUNTIF($E139:K139,"t")+COUNTIF($E139:K139,"¶")+COUNTIF($E139:K139,"²")+COUNTIF($E139:K139,"µ")+COUNTIF($E139:K139,1)),
HYPERLINK("#Roadmap!C"&amp; MATCH($E139,Roadmap!$D:$D,0)+COUNTIF($E139:K139,"u")+COUNTIF($E139:K139,"t"),
     INDEX(Roadmap!$D:$K,MATCH($E139,Roadmap!$D:$D,0)+COUNTIF($E139:K139,"u")+COUNTIF($E139:K139,"t")+COUNTIF($E139:K139,"¶")+COUNTIF($E139:K139,"²")+COUNTIF($E139:K139,"µ")+COUNTIF($E139:K139,1),ColTypeEcheance)),
  IF(LEN(K139)=1,
  IF(LEN(INDEX(Roadmap!$D:$K,MATCH($E139,Roadmap!$D:$D,0)-1+COUNTIF($E139:K139,"u")+COUNTIF($E139:K139,"t")+COUNTIF($E139:K139,"¶")+COUNTIF($E139:K139,"²")+COUNTIF($E139:K139,"µ")+COUNTIF($E139:K139,1),ColDescriptionCourte))&gt;1,
HYPERLINK("#Roadmap!C"&amp; MATCH($E139,Roadmap!$D:$D,0)+COUNTIF($E139:K139,"u")+COUNTIF($E139:K139,"t")+COUNTIF($E139:K139,"¶")+COUNTIF($E139:K139,"²")+COUNTIF($E139:K139,"µ")+COUNTIF($E139:K139,1)-1,INDEX(Roadmap!$D:$K,MATCH($E139,Roadmap!$D:$D,0)-1+COUNTIF($E139:K139,"u")+COUNTIF($E139:K139,"t")+COUNTIF($E139:K139,"¶")+COUNTIF($E139:K139,"²")+COUNTIF($E139:K139,"µ")+COUNTIF($E139:K139,1),ColDescriptionCourte)),""),
  "")),"")</f>
        <v/>
      </c>
      <c r="M139" s="40" t="str">
        <f ca="1">IFERROR(IF(AND(
  INDEX(Roadmap!$D:$K,MATCH($E139,Roadmap!$D:$D,0)+COUNTIF($E139:L139,"u")+COUNTIF($E139:L139,"t")+COUNTIF($E139:L139,"¶")+COUNTIF($E139:L139,"²")+COUNTIF($E139:L139,"µ")+COUNTIF($E139:L139,1),ColLivraison)=M$6,
  VLOOKUP($E139,INDIRECT("tri!"&amp; CHAR(64+ C0Col) &amp;":"&amp; CHAR(65+C0Col)),2,FALSE)&gt;COUNTIF($E139:L139,"u")+COUNTIF($E139:L139,"t")+COUNTIF($E139:L139,"¶")+COUNTIF($E139:L139,"²")+COUNTIF($E139:L139,"µ")+COUNTIF($E139:L139,1)),
HYPERLINK("#Roadmap!C"&amp; MATCH($E139,Roadmap!$D:$D,0)+COUNTIF($E139:L139,"u")+COUNTIF($E139:L139,"t"),
     INDEX(Roadmap!$D:$K,MATCH($E139,Roadmap!$D:$D,0)+COUNTIF($E139:L139,"u")+COUNTIF($E139:L139,"t")+COUNTIF($E139:L139,"¶")+COUNTIF($E139:L139,"²")+COUNTIF($E139:L139,"µ")+COUNTIF($E139:L139,1),ColTypeEcheance)),
  IF(LEN(L139)=1,
  IF(LEN(INDEX(Roadmap!$D:$K,MATCH($E139,Roadmap!$D:$D,0)-1+COUNTIF($E139:L139,"u")+COUNTIF($E139:L139,"t")+COUNTIF($E139:L139,"¶")+COUNTIF($E139:L139,"²")+COUNTIF($E139:L139,"µ")+COUNTIF($E139:L139,1),ColDescriptionCourte))&gt;1,
HYPERLINK("#Roadmap!C"&amp; MATCH($E139,Roadmap!$D:$D,0)+COUNTIF($E139:L139,"u")+COUNTIF($E139:L139,"t")+COUNTIF($E139:L139,"¶")+COUNTIF($E139:L139,"²")+COUNTIF($E139:L139,"µ")+COUNTIF($E139:L139,1)-1,INDEX(Roadmap!$D:$K,MATCH($E139,Roadmap!$D:$D,0)-1+COUNTIF($E139:L139,"u")+COUNTIF($E139:L139,"t")+COUNTIF($E139:L139,"¶")+COUNTIF($E139:L139,"²")+COUNTIF($E139:L139,"µ")+COUNTIF($E139:L139,1),ColDescriptionCourte)),""),
  "")),"")</f>
        <v/>
      </c>
      <c r="N139" s="40" t="str">
        <f ca="1">IFERROR(IF(AND(
  INDEX(Roadmap!$D:$K,MATCH($E139,Roadmap!$D:$D,0)+COUNTIF($E139:M139,"u")+COUNTIF($E139:M139,"t")+COUNTIF($E139:M139,"¶")+COUNTIF($E139:M139,"²")+COUNTIF($E139:M139,"µ")+COUNTIF($E139:M139,1),ColLivraison)=N$6,
  VLOOKUP($E139,INDIRECT("tri!"&amp; CHAR(64+ C0Col) &amp;":"&amp; CHAR(65+C0Col)),2,FALSE)&gt;COUNTIF($E139:M139,"u")+COUNTIF($E139:M139,"t")+COUNTIF($E139:M139,"¶")+COUNTIF($E139:M139,"²")+COUNTIF($E139:M139,"µ")+COUNTIF($E139:M139,1)),
HYPERLINK("#Roadmap!C"&amp; MATCH($E139,Roadmap!$D:$D,0)+COUNTIF($E139:M139,"u")+COUNTIF($E139:M139,"t"),
     INDEX(Roadmap!$D:$K,MATCH($E139,Roadmap!$D:$D,0)+COUNTIF($E139:M139,"u")+COUNTIF($E139:M139,"t")+COUNTIF($E139:M139,"¶")+COUNTIF($E139:M139,"²")+COUNTIF($E139:M139,"µ")+COUNTIF($E139:M139,1),ColTypeEcheance)),
  IF(LEN(M139)=1,
  IF(LEN(INDEX(Roadmap!$D:$K,MATCH($E139,Roadmap!$D:$D,0)-1+COUNTIF($E139:M139,"u")+COUNTIF($E139:M139,"t")+COUNTIF($E139:M139,"¶")+COUNTIF($E139:M139,"²")+COUNTIF($E139:M139,"µ")+COUNTIF($E139:M139,1),ColDescriptionCourte))&gt;1,
HYPERLINK("#Roadmap!C"&amp; MATCH($E139,Roadmap!$D:$D,0)+COUNTIF($E139:M139,"u")+COUNTIF($E139:M139,"t")+COUNTIF($E139:M139,"¶")+COUNTIF($E139:M139,"²")+COUNTIF($E139:M139,"µ")+COUNTIF($E139:M139,1)-1,INDEX(Roadmap!$D:$K,MATCH($E139,Roadmap!$D:$D,0)-1+COUNTIF($E139:M139,"u")+COUNTIF($E139:M139,"t")+COUNTIF($E139:M139,"¶")+COUNTIF($E139:M139,"²")+COUNTIF($E139:M139,"µ")+COUNTIF($E139:M139,1),ColDescriptionCourte)),""),
  "")),"")</f>
        <v/>
      </c>
      <c r="O139" s="40" t="str">
        <f ca="1">IFERROR(IF(AND(
  INDEX(Roadmap!$D:$K,MATCH($E139,Roadmap!$D:$D,0)+COUNTIF($E139:N139,"u")+COUNTIF($E139:N139,"t")+COUNTIF($E139:N139,"¶")+COUNTIF($E139:N139,"²")+COUNTIF($E139:N139,"µ")+COUNTIF($E139:N139,1),ColLivraison)=O$6,
  VLOOKUP($E139,INDIRECT("tri!"&amp; CHAR(64+ C0Col) &amp;":"&amp; CHAR(65+C0Col)),2,FALSE)&gt;COUNTIF($E139:N139,"u")+COUNTIF($E139:N139,"t")+COUNTIF($E139:N139,"¶")+COUNTIF($E139:N139,"²")+COUNTIF($E139:N139,"µ")+COUNTIF($E139:N139,1)),
HYPERLINK("#Roadmap!C"&amp; MATCH($E139,Roadmap!$D:$D,0)+COUNTIF($E139:N139,"u")+COUNTIF($E139:N139,"t"),
     INDEX(Roadmap!$D:$K,MATCH($E139,Roadmap!$D:$D,0)+COUNTIF($E139:N139,"u")+COUNTIF($E139:N139,"t")+COUNTIF($E139:N139,"¶")+COUNTIF($E139:N139,"²")+COUNTIF($E139:N139,"µ")+COUNTIF($E139:N139,1),ColTypeEcheance)),
  IF(LEN(N139)=1,
  IF(LEN(INDEX(Roadmap!$D:$K,MATCH($E139,Roadmap!$D:$D,0)-1+COUNTIF($E139:N139,"u")+COUNTIF($E139:N139,"t")+COUNTIF($E139:N139,"¶")+COUNTIF($E139:N139,"²")+COUNTIF($E139:N139,"µ")+COUNTIF($E139:N139,1),ColDescriptionCourte))&gt;1,
HYPERLINK("#Roadmap!C"&amp; MATCH($E139,Roadmap!$D:$D,0)+COUNTIF($E139:N139,"u")+COUNTIF($E139:N139,"t")+COUNTIF($E139:N139,"¶")+COUNTIF($E139:N139,"²")+COUNTIF($E139:N139,"µ")+COUNTIF($E139:N139,1)-1,INDEX(Roadmap!$D:$K,MATCH($E139,Roadmap!$D:$D,0)-1+COUNTIF($E139:N139,"u")+COUNTIF($E139:N139,"t")+COUNTIF($E139:N139,"¶")+COUNTIF($E139:N139,"²")+COUNTIF($E139:N139,"µ")+COUNTIF($E139:N139,1),ColDescriptionCourte)),""),
  "")),"")</f>
        <v/>
      </c>
      <c r="P139" s="40" t="str">
        <f ca="1">IFERROR(IF(AND(
  INDEX(Roadmap!$D:$K,MATCH($E139,Roadmap!$D:$D,0)+COUNTIF($E139:O139,"u")+COUNTIF($E139:O139,"t")+COUNTIF($E139:O139,"¶")+COUNTIF($E139:O139,"²")+COUNTIF($E139:O139,"µ")+COUNTIF($E139:O139,1),ColLivraison)=P$6,
  VLOOKUP($E139,INDIRECT("tri!"&amp; CHAR(64+ C0Col) &amp;":"&amp; CHAR(65+C0Col)),2,FALSE)&gt;COUNTIF($E139:O139,"u")+COUNTIF($E139:O139,"t")+COUNTIF($E139:O139,"¶")+COUNTIF($E139:O139,"²")+COUNTIF($E139:O139,"µ")+COUNTIF($E139:O139,1)),
HYPERLINK("#Roadmap!C"&amp; MATCH($E139,Roadmap!$D:$D,0)+COUNTIF($E139:O139,"u")+COUNTIF($E139:O139,"t"),
     INDEX(Roadmap!$D:$K,MATCH($E139,Roadmap!$D:$D,0)+COUNTIF($E139:O139,"u")+COUNTIF($E139:O139,"t")+COUNTIF($E139:O139,"¶")+COUNTIF($E139:O139,"²")+COUNTIF($E139:O139,"µ")+COUNTIF($E139:O139,1),ColTypeEcheance)),
  IF(LEN(O139)=1,
  IF(LEN(INDEX(Roadmap!$D:$K,MATCH($E139,Roadmap!$D:$D,0)-1+COUNTIF($E139:O139,"u")+COUNTIF($E139:O139,"t")+COUNTIF($E139:O139,"¶")+COUNTIF($E139:O139,"²")+COUNTIF($E139:O139,"µ")+COUNTIF($E139:O139,1),ColDescriptionCourte))&gt;1,
HYPERLINK("#Roadmap!C"&amp; MATCH($E139,Roadmap!$D:$D,0)+COUNTIF($E139:O139,"u")+COUNTIF($E139:O139,"t")+COUNTIF($E139:O139,"¶")+COUNTIF($E139:O139,"²")+COUNTIF($E139:O139,"µ")+COUNTIF($E139:O139,1)-1,INDEX(Roadmap!$D:$K,MATCH($E139,Roadmap!$D:$D,0)-1+COUNTIF($E139:O139,"u")+COUNTIF($E139:O139,"t")+COUNTIF($E139:O139,"¶")+COUNTIF($E139:O139,"²")+COUNTIF($E139:O139,"µ")+COUNTIF($E139:O139,1),ColDescriptionCourte)),""),
  "")),"")</f>
        <v/>
      </c>
      <c r="Q139" s="40" t="str">
        <f ca="1">IFERROR(IF(AND(
  INDEX(Roadmap!$D:$K,MATCH($E139,Roadmap!$D:$D,0)+COUNTIF($E139:P139,"u")+COUNTIF($E139:P139,"t")+COUNTIF($E139:P139,"¶")+COUNTIF($E139:P139,"²")+COUNTIF($E139:P139,"µ")+COUNTIF($E139:P139,1),ColLivraison)=Q$6,
  VLOOKUP($E139,INDIRECT("tri!"&amp; CHAR(64+ C0Col) &amp;":"&amp; CHAR(65+C0Col)),2,FALSE)&gt;COUNTIF($E139:P139,"u")+COUNTIF($E139:P139,"t")+COUNTIF($E139:P139,"¶")+COUNTIF($E139:P139,"²")+COUNTIF($E139:P139,"µ")+COUNTIF($E139:P139,1)),
HYPERLINK("#Roadmap!C"&amp; MATCH($E139,Roadmap!$D:$D,0)+COUNTIF($E139:P139,"u")+COUNTIF($E139:P139,"t"),
     INDEX(Roadmap!$D:$K,MATCH($E139,Roadmap!$D:$D,0)+COUNTIF($E139:P139,"u")+COUNTIF($E139:P139,"t")+COUNTIF($E139:P139,"¶")+COUNTIF($E139:P139,"²")+COUNTIF($E139:P139,"µ")+COUNTIF($E139:P139,1),ColTypeEcheance)),
  IF(LEN(P139)=1,
  IF(LEN(INDEX(Roadmap!$D:$K,MATCH($E139,Roadmap!$D:$D,0)-1+COUNTIF($E139:P139,"u")+COUNTIF($E139:P139,"t")+COUNTIF($E139:P139,"¶")+COUNTIF($E139:P139,"²")+COUNTIF($E139:P139,"µ")+COUNTIF($E139:P139,1),ColDescriptionCourte))&gt;1,
HYPERLINK("#Roadmap!C"&amp; MATCH($E139,Roadmap!$D:$D,0)+COUNTIF($E139:P139,"u")+COUNTIF($E139:P139,"t")+COUNTIF($E139:P139,"¶")+COUNTIF($E139:P139,"²")+COUNTIF($E139:P139,"µ")+COUNTIF($E139:P139,1)-1,INDEX(Roadmap!$D:$K,MATCH($E139,Roadmap!$D:$D,0)-1+COUNTIF($E139:P139,"u")+COUNTIF($E139:P139,"t")+COUNTIF($E139:P139,"¶")+COUNTIF($E139:P139,"²")+COUNTIF($E139:P139,"µ")+COUNTIF($E139:P139,1),ColDescriptionCourte)),""),
  "")),"")</f>
        <v/>
      </c>
      <c r="R139" s="40" t="str">
        <f ca="1">IFERROR(IF(AND(
  INDEX(Roadmap!$D:$K,MATCH($E139,Roadmap!$D:$D,0)+COUNTIF($E139:Q139,"u")+COUNTIF($E139:Q139,"t")+COUNTIF($E139:Q139,"¶")+COUNTIF($E139:Q139,"²")+COUNTIF($E139:Q139,"µ")+COUNTIF($E139:Q139,1),ColLivraison)=R$6,
  VLOOKUP($E139,INDIRECT("tri!"&amp; CHAR(64+ C0Col) &amp;":"&amp; CHAR(65+C0Col)),2,FALSE)&gt;COUNTIF($E139:Q139,"u")+COUNTIF($E139:Q139,"t")+COUNTIF($E139:Q139,"¶")+COUNTIF($E139:Q139,"²")+COUNTIF($E139:Q139,"µ")+COUNTIF($E139:Q139,1)),
HYPERLINK("#Roadmap!C"&amp; MATCH($E139,Roadmap!$D:$D,0)+COUNTIF($E139:Q139,"u")+COUNTIF($E139:Q139,"t"),
     INDEX(Roadmap!$D:$K,MATCH($E139,Roadmap!$D:$D,0)+COUNTIF($E139:Q139,"u")+COUNTIF($E139:Q139,"t")+COUNTIF($E139:Q139,"¶")+COUNTIF($E139:Q139,"²")+COUNTIF($E139:Q139,"µ")+COUNTIF($E139:Q139,1),ColTypeEcheance)),
  IF(LEN(Q139)=1,
  IF(LEN(INDEX(Roadmap!$D:$K,MATCH($E139,Roadmap!$D:$D,0)-1+COUNTIF($E139:Q139,"u")+COUNTIF($E139:Q139,"t")+COUNTIF($E139:Q139,"¶")+COUNTIF($E139:Q139,"²")+COUNTIF($E139:Q139,"µ")+COUNTIF($E139:Q139,1),ColDescriptionCourte))&gt;1,
HYPERLINK("#Roadmap!C"&amp; MATCH($E139,Roadmap!$D:$D,0)+COUNTIF($E139:Q139,"u")+COUNTIF($E139:Q139,"t")+COUNTIF($E139:Q139,"¶")+COUNTIF($E139:Q139,"²")+COUNTIF($E139:Q139,"µ")+COUNTIF($E139:Q139,1)-1,INDEX(Roadmap!$D:$K,MATCH($E139,Roadmap!$D:$D,0)-1+COUNTIF($E139:Q139,"u")+COUNTIF($E139:Q139,"t")+COUNTIF($E139:Q139,"¶")+COUNTIF($E139:Q139,"²")+COUNTIF($E139:Q139,"µ")+COUNTIF($E139:Q139,1),ColDescriptionCourte)),""),
  "")),"")</f>
        <v/>
      </c>
      <c r="S139" s="40" t="str">
        <f ca="1">IFERROR(IF(AND(
  INDEX(Roadmap!$D:$K,MATCH($E139,Roadmap!$D:$D,0)+COUNTIF($E139:R139,"u")+COUNTIF($E139:R139,"t")+COUNTIF($E139:R139,"¶")+COUNTIF($E139:R139,"²")+COUNTIF($E139:R139,"µ")+COUNTIF($E139:R139,1),ColLivraison)=S$6,
  VLOOKUP($E139,INDIRECT("tri!"&amp; CHAR(64+ C0Col) &amp;":"&amp; CHAR(65+C0Col)),2,FALSE)&gt;COUNTIF($E139:R139,"u")+COUNTIF($E139:R139,"t")+COUNTIF($E139:R139,"¶")+COUNTIF($E139:R139,"²")+COUNTIF($E139:R139,"µ")+COUNTIF($E139:R139,1)),
HYPERLINK("#Roadmap!C"&amp; MATCH($E139,Roadmap!$D:$D,0)+COUNTIF($E139:R139,"u")+COUNTIF($E139:R139,"t"),
     INDEX(Roadmap!$D:$K,MATCH($E139,Roadmap!$D:$D,0)+COUNTIF($E139:R139,"u")+COUNTIF($E139:R139,"t")+COUNTIF($E139:R139,"¶")+COUNTIF($E139:R139,"²")+COUNTIF($E139:R139,"µ")+COUNTIF($E139:R139,1),ColTypeEcheance)),
  IF(LEN(R139)=1,
  IF(LEN(INDEX(Roadmap!$D:$K,MATCH($E139,Roadmap!$D:$D,0)-1+COUNTIF($E139:R139,"u")+COUNTIF($E139:R139,"t")+COUNTIF($E139:R139,"¶")+COUNTIF($E139:R139,"²")+COUNTIF($E139:R139,"µ")+COUNTIF($E139:R139,1),ColDescriptionCourte))&gt;1,
HYPERLINK("#Roadmap!C"&amp; MATCH($E139,Roadmap!$D:$D,0)+COUNTIF($E139:R139,"u")+COUNTIF($E139:R139,"t")+COUNTIF($E139:R139,"¶")+COUNTIF($E139:R139,"²")+COUNTIF($E139:R139,"µ")+COUNTIF($E139:R139,1)-1,INDEX(Roadmap!$D:$K,MATCH($E139,Roadmap!$D:$D,0)-1+COUNTIF($E139:R139,"u")+COUNTIF($E139:R139,"t")+COUNTIF($E139:R139,"¶")+COUNTIF($E139:R139,"²")+COUNTIF($E139:R139,"µ")+COUNTIF($E139:R139,1),ColDescriptionCourte)),""),
  "")),"")</f>
        <v/>
      </c>
      <c r="T139" s="40" t="str">
        <f ca="1">IFERROR(IF(AND(
  INDEX(Roadmap!$D:$K,MATCH($E139,Roadmap!$D:$D,0)+COUNTIF($E139:S139,"u")+COUNTIF($E139:S139,"t")+COUNTIF($E139:S139,"¶")+COUNTIF($E139:S139,"²")+COUNTIF($E139:S139,"µ")+COUNTIF($E139:S139,1),ColLivraison)=T$6,
  VLOOKUP($E139,INDIRECT("tri!"&amp; CHAR(64+ C0Col) &amp;":"&amp; CHAR(65+C0Col)),2,FALSE)&gt;COUNTIF($E139:S139,"u")+COUNTIF($E139:S139,"t")+COUNTIF($E139:S139,"¶")+COUNTIF($E139:S139,"²")+COUNTIF($E139:S139,"µ")+COUNTIF($E139:S139,1)),
HYPERLINK("#Roadmap!C"&amp; MATCH($E139,Roadmap!$D:$D,0)+COUNTIF($E139:S139,"u")+COUNTIF($E139:S139,"t"),
     INDEX(Roadmap!$D:$K,MATCH($E139,Roadmap!$D:$D,0)+COUNTIF($E139:S139,"u")+COUNTIF($E139:S139,"t")+COUNTIF($E139:S139,"¶")+COUNTIF($E139:S139,"²")+COUNTIF($E139:S139,"µ")+COUNTIF($E139:S139,1),ColTypeEcheance)),
  IF(LEN(S139)=1,
  IF(LEN(INDEX(Roadmap!$D:$K,MATCH($E139,Roadmap!$D:$D,0)-1+COUNTIF($E139:S139,"u")+COUNTIF($E139:S139,"t")+COUNTIF($E139:S139,"¶")+COUNTIF($E139:S139,"²")+COUNTIF($E139:S139,"µ")+COUNTIF($E139:S139,1),ColDescriptionCourte))&gt;1,
HYPERLINK("#Roadmap!C"&amp; MATCH($E139,Roadmap!$D:$D,0)+COUNTIF($E139:S139,"u")+COUNTIF($E139:S139,"t")+COUNTIF($E139:S139,"¶")+COUNTIF($E139:S139,"²")+COUNTIF($E139:S139,"µ")+COUNTIF($E139:S139,1)-1,INDEX(Roadmap!$D:$K,MATCH($E139,Roadmap!$D:$D,0)-1+COUNTIF($E139:S139,"u")+COUNTIF($E139:S139,"t")+COUNTIF($E139:S139,"¶")+COUNTIF($E139:S139,"²")+COUNTIF($E139:S139,"µ")+COUNTIF($E139:S139,1),ColDescriptionCourte)),""),
  "")),"")</f>
        <v/>
      </c>
      <c r="U139" s="40" t="str">
        <f ca="1">IFERROR(IF(AND(
  INDEX(Roadmap!$D:$K,MATCH($E139,Roadmap!$D:$D,0)+COUNTIF($E139:T139,"u")+COUNTIF($E139:T139,"t")+COUNTIF($E139:T139,"¶")+COUNTIF($E139:T139,"²")+COUNTIF($E139:T139,"µ")+COUNTIF($E139:T139,1),ColLivraison)=U$6,
  VLOOKUP($E139,INDIRECT("tri!"&amp; CHAR(64+ C0Col) &amp;":"&amp; CHAR(65+C0Col)),2,FALSE)&gt;COUNTIF($E139:T139,"u")+COUNTIF($E139:T139,"t")+COUNTIF($E139:T139,"¶")+COUNTIF($E139:T139,"²")+COUNTIF($E139:T139,"µ")+COUNTIF($E139:T139,1)),
HYPERLINK("#Roadmap!C"&amp; MATCH($E139,Roadmap!$D:$D,0)+COUNTIF($E139:T139,"u")+COUNTIF($E139:T139,"t"),
     INDEX(Roadmap!$D:$K,MATCH($E139,Roadmap!$D:$D,0)+COUNTIF($E139:T139,"u")+COUNTIF($E139:T139,"t")+COUNTIF($E139:T139,"¶")+COUNTIF($E139:T139,"²")+COUNTIF($E139:T139,"µ")+COUNTIF($E139:T139,1),ColTypeEcheance)),
  IF(LEN(T139)=1,
  IF(LEN(INDEX(Roadmap!$D:$K,MATCH($E139,Roadmap!$D:$D,0)-1+COUNTIF($E139:T139,"u")+COUNTIF($E139:T139,"t")+COUNTIF($E139:T139,"¶")+COUNTIF($E139:T139,"²")+COUNTIF($E139:T139,"µ")+COUNTIF($E139:T139,1),ColDescriptionCourte))&gt;1,
HYPERLINK("#Roadmap!C"&amp; MATCH($E139,Roadmap!$D:$D,0)+COUNTIF($E139:T139,"u")+COUNTIF($E139:T139,"t")+COUNTIF($E139:T139,"¶")+COUNTIF($E139:T139,"²")+COUNTIF($E139:T139,"µ")+COUNTIF($E139:T139,1)-1,INDEX(Roadmap!$D:$K,MATCH($E139,Roadmap!$D:$D,0)-1+COUNTIF($E139:T139,"u")+COUNTIF($E139:T139,"t")+COUNTIF($E139:T139,"¶")+COUNTIF($E139:T139,"²")+COUNTIF($E139:T139,"µ")+COUNTIF($E139:T139,1),ColDescriptionCourte)),""),
  "")),"")</f>
        <v/>
      </c>
      <c r="V139" s="40" t="str">
        <f ca="1">IFERROR(IF(AND(
  INDEX(Roadmap!$D:$K,MATCH($E139,Roadmap!$D:$D,0)+COUNTIF($E139:U139,"u")+COUNTIF($E139:U139,"t")+COUNTIF($E139:U139,"¶")+COUNTIF($E139:U139,"²")+COUNTIF($E139:U139,"µ")+COUNTIF($E139:U139,1),ColLivraison)=V$6,
  VLOOKUP($E139,INDIRECT("tri!"&amp; CHAR(64+ C0Col) &amp;":"&amp; CHAR(65+C0Col)),2,FALSE)&gt;COUNTIF($E139:U139,"u")+COUNTIF($E139:U139,"t")+COUNTIF($E139:U139,"¶")+COUNTIF($E139:U139,"²")+COUNTIF($E139:U139,"µ")+COUNTIF($E139:U139,1)),
HYPERLINK("#Roadmap!C"&amp; MATCH($E139,Roadmap!$D:$D,0)+COUNTIF($E139:U139,"u")+COUNTIF($E139:U139,"t"),
     INDEX(Roadmap!$D:$K,MATCH($E139,Roadmap!$D:$D,0)+COUNTIF($E139:U139,"u")+COUNTIF($E139:U139,"t")+COUNTIF($E139:U139,"¶")+COUNTIF($E139:U139,"²")+COUNTIF($E139:U139,"µ")+COUNTIF($E139:U139,1),ColTypeEcheance)),
  IF(LEN(U139)=1,
  IF(LEN(INDEX(Roadmap!$D:$K,MATCH($E139,Roadmap!$D:$D,0)-1+COUNTIF($E139:U139,"u")+COUNTIF($E139:U139,"t")+COUNTIF($E139:U139,"¶")+COUNTIF($E139:U139,"²")+COUNTIF($E139:U139,"µ")+COUNTIF($E139:U139,1),ColDescriptionCourte))&gt;1,
HYPERLINK("#Roadmap!C"&amp; MATCH($E139,Roadmap!$D:$D,0)+COUNTIF($E139:U139,"u")+COUNTIF($E139:U139,"t")+COUNTIF($E139:U139,"¶")+COUNTIF($E139:U139,"²")+COUNTIF($E139:U139,"µ")+COUNTIF($E139:U139,1)-1,INDEX(Roadmap!$D:$K,MATCH($E139,Roadmap!$D:$D,0)-1+COUNTIF($E139:U139,"u")+COUNTIF($E139:U139,"t")+COUNTIF($E139:U139,"¶")+COUNTIF($E139:U139,"²")+COUNTIF($E139:U139,"µ")+COUNTIF($E139:U139,1),ColDescriptionCourte)),""),
  "")),"")</f>
        <v/>
      </c>
      <c r="W139" s="40" t="str">
        <f ca="1">IFERROR(IF(AND(
  INDEX(Roadmap!$D:$K,MATCH($E139,Roadmap!$D:$D,0)+COUNTIF($E139:V139,"u")+COUNTIF($E139:V139,"t")+COUNTIF($E139:V139,"¶")+COUNTIF($E139:V139,"²")+COUNTIF($E139:V139,"µ")+COUNTIF($E139:V139,1),ColLivraison)=W$6,
  VLOOKUP($E139,INDIRECT("tri!"&amp; CHAR(64+ C0Col) &amp;":"&amp; CHAR(65+C0Col)),2,FALSE)&gt;COUNTIF($E139:V139,"u")+COUNTIF($E139:V139,"t")+COUNTIF($E139:V139,"¶")+COUNTIF($E139:V139,"²")+COUNTIF($E139:V139,"µ")+COUNTIF($E139:V139,1)),
HYPERLINK("#Roadmap!C"&amp; MATCH($E139,Roadmap!$D:$D,0)+COUNTIF($E139:V139,"u")+COUNTIF($E139:V139,"t"),
     INDEX(Roadmap!$D:$K,MATCH($E139,Roadmap!$D:$D,0)+COUNTIF($E139:V139,"u")+COUNTIF($E139:V139,"t")+COUNTIF($E139:V139,"¶")+COUNTIF($E139:V139,"²")+COUNTIF($E139:V139,"µ")+COUNTIF($E139:V139,1),ColTypeEcheance)),
  IF(LEN(V139)=1,
  IF(LEN(INDEX(Roadmap!$D:$K,MATCH($E139,Roadmap!$D:$D,0)-1+COUNTIF($E139:V139,"u")+COUNTIF($E139:V139,"t")+COUNTIF($E139:V139,"¶")+COUNTIF($E139:V139,"²")+COUNTIF($E139:V139,"µ")+COUNTIF($E139:V139,1),ColDescriptionCourte))&gt;1,
HYPERLINK("#Roadmap!C"&amp; MATCH($E139,Roadmap!$D:$D,0)+COUNTIF($E139:V139,"u")+COUNTIF($E139:V139,"t")+COUNTIF($E139:V139,"¶")+COUNTIF($E139:V139,"²")+COUNTIF($E139:V139,"µ")+COUNTIF($E139:V139,1)-1,INDEX(Roadmap!$D:$K,MATCH($E139,Roadmap!$D:$D,0)-1+COUNTIF($E139:V139,"u")+COUNTIF($E139:V139,"t")+COUNTIF($E139:V139,"¶")+COUNTIF($E139:V139,"²")+COUNTIF($E139:V139,"µ")+COUNTIF($E139:V139,1),ColDescriptionCourte)),""),
  "")),"")</f>
        <v/>
      </c>
      <c r="X139" s="40" t="str">
        <f ca="1">IFERROR(IF(AND(
  INDEX(Roadmap!$D:$K,MATCH($E139,Roadmap!$D:$D,0)+COUNTIF($E139:W139,"u")+COUNTIF($E139:W139,"t")+COUNTIF($E139:W139,"¶")+COUNTIF($E139:W139,"²")+COUNTIF($E139:W139,"µ")+COUNTIF($E139:W139,1),ColLivraison)=X$6,
  VLOOKUP($E139,INDIRECT("tri!"&amp; CHAR(64+ C0Col) &amp;":"&amp; CHAR(65+C0Col)),2,FALSE)&gt;COUNTIF($E139:W139,"u")+COUNTIF($E139:W139,"t")+COUNTIF($E139:W139,"¶")+COUNTIF($E139:W139,"²")+COUNTIF($E139:W139,"µ")+COUNTIF($E139:W139,1)),
HYPERLINK("#Roadmap!C"&amp; MATCH($E139,Roadmap!$D:$D,0)+COUNTIF($E139:W139,"u")+COUNTIF($E139:W139,"t"),
     INDEX(Roadmap!$D:$K,MATCH($E139,Roadmap!$D:$D,0)+COUNTIF($E139:W139,"u")+COUNTIF($E139:W139,"t")+COUNTIF($E139:W139,"¶")+COUNTIF($E139:W139,"²")+COUNTIF($E139:W139,"µ")+COUNTIF($E139:W139,1),ColTypeEcheance)),
  IF(LEN(W139)=1,
  IF(LEN(INDEX(Roadmap!$D:$K,MATCH($E139,Roadmap!$D:$D,0)-1+COUNTIF($E139:W139,"u")+COUNTIF($E139:W139,"t")+COUNTIF($E139:W139,"¶")+COUNTIF($E139:W139,"²")+COUNTIF($E139:W139,"µ")+COUNTIF($E139:W139,1),ColDescriptionCourte))&gt;1,
HYPERLINK("#Roadmap!C"&amp; MATCH($E139,Roadmap!$D:$D,0)+COUNTIF($E139:W139,"u")+COUNTIF($E139:W139,"t")+COUNTIF($E139:W139,"¶")+COUNTIF($E139:W139,"²")+COUNTIF($E139:W139,"µ")+COUNTIF($E139:W139,1)-1,INDEX(Roadmap!$D:$K,MATCH($E139,Roadmap!$D:$D,0)-1+COUNTIF($E139:W139,"u")+COUNTIF($E139:W139,"t")+COUNTIF($E139:W139,"¶")+COUNTIF($E139:W139,"²")+COUNTIF($E139:W139,"µ")+COUNTIF($E139:W139,1),ColDescriptionCourte)),""),
  "")),"")</f>
        <v/>
      </c>
      <c r="Y139" s="40" t="str">
        <f ca="1">IFERROR(IF(AND(
  INDEX(Roadmap!$D:$K,MATCH($E139,Roadmap!$D:$D,0)+COUNTIF($E139:X139,"u")+COUNTIF($E139:X139,"t")+COUNTIF($E139:X139,"¶")+COUNTIF($E139:X139,"²")+COUNTIF($E139:X139,"µ")+COUNTIF($E139:X139,1),ColLivraison)=Y$6,
  VLOOKUP($E139,INDIRECT("tri!"&amp; CHAR(64+ C0Col) &amp;":"&amp; CHAR(65+C0Col)),2,FALSE)&gt;COUNTIF($E139:X139,"u")+COUNTIF($E139:X139,"t")+COUNTIF($E139:X139,"¶")+COUNTIF($E139:X139,"²")+COUNTIF($E139:X139,"µ")+COUNTIF($E139:X139,1)),
HYPERLINK("#Roadmap!C"&amp; MATCH($E139,Roadmap!$D:$D,0)+COUNTIF($E139:X139,"u")+COUNTIF($E139:X139,"t"),
     INDEX(Roadmap!$D:$K,MATCH($E139,Roadmap!$D:$D,0)+COUNTIF($E139:X139,"u")+COUNTIF($E139:X139,"t")+COUNTIF($E139:X139,"¶")+COUNTIF($E139:X139,"²")+COUNTIF($E139:X139,"µ")+COUNTIF($E139:X139,1),ColTypeEcheance)),
  IF(LEN(X139)=1,
  IF(LEN(INDEX(Roadmap!$D:$K,MATCH($E139,Roadmap!$D:$D,0)-1+COUNTIF($E139:X139,"u")+COUNTIF($E139:X139,"t")+COUNTIF($E139:X139,"¶")+COUNTIF($E139:X139,"²")+COUNTIF($E139:X139,"µ")+COUNTIF($E139:X139,1),ColDescriptionCourte))&gt;1,
HYPERLINK("#Roadmap!C"&amp; MATCH($E139,Roadmap!$D:$D,0)+COUNTIF($E139:X139,"u")+COUNTIF($E139:X139,"t")+COUNTIF($E139:X139,"¶")+COUNTIF($E139:X139,"²")+COUNTIF($E139:X139,"µ")+COUNTIF($E139:X139,1)-1,INDEX(Roadmap!$D:$K,MATCH($E139,Roadmap!$D:$D,0)-1+COUNTIF($E139:X139,"u")+COUNTIF($E139:X139,"t")+COUNTIF($E139:X139,"¶")+COUNTIF($E139:X139,"²")+COUNTIF($E139:X139,"µ")+COUNTIF($E139:X139,1),ColDescriptionCourte)),""),
  "")),"")</f>
        <v/>
      </c>
      <c r="Z139" s="40" t="str">
        <f ca="1">IFERROR(IF(AND(
  INDEX(Roadmap!$D:$K,MATCH($E139,Roadmap!$D:$D,0)+COUNTIF($E139:Y139,"u")+COUNTIF($E139:Y139,"t")+COUNTIF($E139:Y139,"¶")+COUNTIF($E139:Y139,"²")+COUNTIF($E139:Y139,"µ")+COUNTIF($E139:Y139,1),ColLivraison)=Z$6,
  VLOOKUP($E139,INDIRECT("tri!"&amp; CHAR(64+ C0Col) &amp;":"&amp; CHAR(65+C0Col)),2,FALSE)&gt;COUNTIF($E139:Y139,"u")+COUNTIF($E139:Y139,"t")+COUNTIF($E139:Y139,"¶")+COUNTIF($E139:Y139,"²")+COUNTIF($E139:Y139,"µ")+COUNTIF($E139:Y139,1)),
HYPERLINK("#Roadmap!C"&amp; MATCH($E139,Roadmap!$D:$D,0)+COUNTIF($E139:Y139,"u")+COUNTIF($E139:Y139,"t"),
     INDEX(Roadmap!$D:$K,MATCH($E139,Roadmap!$D:$D,0)+COUNTIF($E139:Y139,"u")+COUNTIF($E139:Y139,"t")+COUNTIF($E139:Y139,"¶")+COUNTIF($E139:Y139,"²")+COUNTIF($E139:Y139,"µ")+COUNTIF($E139:Y139,1),ColTypeEcheance)),
  IF(LEN(Y139)=1,
  IF(LEN(INDEX(Roadmap!$D:$K,MATCH($E139,Roadmap!$D:$D,0)-1+COUNTIF($E139:Y139,"u")+COUNTIF($E139:Y139,"t")+COUNTIF($E139:Y139,"¶")+COUNTIF($E139:Y139,"²")+COUNTIF($E139:Y139,"µ")+COUNTIF($E139:Y139,1),ColDescriptionCourte))&gt;1,
HYPERLINK("#Roadmap!C"&amp; MATCH($E139,Roadmap!$D:$D,0)+COUNTIF($E139:Y139,"u")+COUNTIF($E139:Y139,"t")+COUNTIF($E139:Y139,"¶")+COUNTIF($E139:Y139,"²")+COUNTIF($E139:Y139,"µ")+COUNTIF($E139:Y139,1)-1,INDEX(Roadmap!$D:$K,MATCH($E139,Roadmap!$D:$D,0)-1+COUNTIF($E139:Y139,"u")+COUNTIF($E139:Y139,"t")+COUNTIF($E139:Y139,"¶")+COUNTIF($E139:Y139,"²")+COUNTIF($E139:Y139,"µ")+COUNTIF($E139:Y139,1),ColDescriptionCourte)),""),
  "")),"")</f>
        <v/>
      </c>
      <c r="AA139" s="40" t="str">
        <f ca="1">IFERROR(IF(AND(
  INDEX(Roadmap!$D:$K,MATCH($E139,Roadmap!$D:$D,0)+COUNTIF($E139:Z139,"u")+COUNTIF($E139:Z139,"t")+COUNTIF($E139:Z139,"¶")+COUNTIF($E139:Z139,"²")+COUNTIF($E139:Z139,"µ")+COUNTIF($E139:Z139,1),ColLivraison)=AA$6,
  VLOOKUP($E139,INDIRECT("tri!"&amp; CHAR(64+ C0Col) &amp;":"&amp; CHAR(65+C0Col)),2,FALSE)&gt;COUNTIF($E139:Z139,"u")+COUNTIF($E139:Z139,"t")+COUNTIF($E139:Z139,"¶")+COUNTIF($E139:Z139,"²")+COUNTIF($E139:Z139,"µ")+COUNTIF($E139:Z139,1)),
HYPERLINK("#Roadmap!C"&amp; MATCH($E139,Roadmap!$D:$D,0)+COUNTIF($E139:Z139,"u")+COUNTIF($E139:Z139,"t"),
     INDEX(Roadmap!$D:$K,MATCH($E139,Roadmap!$D:$D,0)+COUNTIF($E139:Z139,"u")+COUNTIF($E139:Z139,"t")+COUNTIF($E139:Z139,"¶")+COUNTIF($E139:Z139,"²")+COUNTIF($E139:Z139,"µ")+COUNTIF($E139:Z139,1),ColTypeEcheance)),
  IF(LEN(Z139)=1,
  IF(LEN(INDEX(Roadmap!$D:$K,MATCH($E139,Roadmap!$D:$D,0)-1+COUNTIF($E139:Z139,"u")+COUNTIF($E139:Z139,"t")+COUNTIF($E139:Z139,"¶")+COUNTIF($E139:Z139,"²")+COUNTIF($E139:Z139,"µ")+COUNTIF($E139:Z139,1),ColDescriptionCourte))&gt;1,
HYPERLINK("#Roadmap!C"&amp; MATCH($E139,Roadmap!$D:$D,0)+COUNTIF($E139:Z139,"u")+COUNTIF($E139:Z139,"t")+COUNTIF($E139:Z139,"¶")+COUNTIF($E139:Z139,"²")+COUNTIF($E139:Z139,"µ")+COUNTIF($E139:Z139,1)-1,INDEX(Roadmap!$D:$K,MATCH($E139,Roadmap!$D:$D,0)-1+COUNTIF($E139:Z139,"u")+COUNTIF($E139:Z139,"t")+COUNTIF($E139:Z139,"¶")+COUNTIF($E139:Z139,"²")+COUNTIF($E139:Z139,"µ")+COUNTIF($E139:Z139,1),ColDescriptionCourte)),""),
  "")),"")</f>
        <v/>
      </c>
      <c r="AB139" s="40" t="str">
        <f ca="1">IFERROR(IF(AND(
  INDEX(Roadmap!$D:$K,MATCH($E139,Roadmap!$D:$D,0)+COUNTIF($E139:AA139,"u")+COUNTIF($E139:AA139,"t")+COUNTIF($E139:AA139,"¶")+COUNTIF($E139:AA139,"²")+COUNTIF($E139:AA139,"µ")+COUNTIF($E139:AA139,1),ColLivraison)=AB$6,
  VLOOKUP($E139,INDIRECT("tri!"&amp; CHAR(64+ C0Col) &amp;":"&amp; CHAR(65+C0Col)),2,FALSE)&gt;COUNTIF($E139:AA139,"u")+COUNTIF($E139:AA139,"t")+COUNTIF($E139:AA139,"¶")+COUNTIF($E139:AA139,"²")+COUNTIF($E139:AA139,"µ")+COUNTIF($E139:AA139,1)),
HYPERLINK("#Roadmap!C"&amp; MATCH($E139,Roadmap!$D:$D,0)+COUNTIF($E139:AA139,"u")+COUNTIF($E139:AA139,"t"),
     INDEX(Roadmap!$D:$K,MATCH($E139,Roadmap!$D:$D,0)+COUNTIF($E139:AA139,"u")+COUNTIF($E139:AA139,"t")+COUNTIF($E139:AA139,"¶")+COUNTIF($E139:AA139,"²")+COUNTIF($E139:AA139,"µ")+COUNTIF($E139:AA139,1),ColTypeEcheance)),
  IF(LEN(AA139)=1,
  IF(LEN(INDEX(Roadmap!$D:$K,MATCH($E139,Roadmap!$D:$D,0)-1+COUNTIF($E139:AA139,"u")+COUNTIF($E139:AA139,"t")+COUNTIF($E139:AA139,"¶")+COUNTIF($E139:AA139,"²")+COUNTIF($E139:AA139,"µ")+COUNTIF($E139:AA139,1),ColDescriptionCourte))&gt;1,
HYPERLINK("#Roadmap!C"&amp; MATCH($E139,Roadmap!$D:$D,0)+COUNTIF($E139:AA139,"u")+COUNTIF($E139:AA139,"t")+COUNTIF($E139:AA139,"¶")+COUNTIF($E139:AA139,"²")+COUNTIF($E139:AA139,"µ")+COUNTIF($E139:AA139,1)-1,INDEX(Roadmap!$D:$K,MATCH($E139,Roadmap!$D:$D,0)-1+COUNTIF($E139:AA139,"u")+COUNTIF($E139:AA139,"t")+COUNTIF($E139:AA139,"¶")+COUNTIF($E139:AA139,"²")+COUNTIF($E139:AA139,"µ")+COUNTIF($E139:AA139,1),ColDescriptionCourte)),""),
  "")),"")</f>
        <v/>
      </c>
      <c r="AC139" s="40" t="str">
        <f ca="1">IFERROR(IF(AND(
  INDEX(Roadmap!$D:$K,MATCH($E139,Roadmap!$D:$D,0)+COUNTIF($E139:AB139,"u")+COUNTIF($E139:AB139,"t")+COUNTIF($E139:AB139,"¶")+COUNTIF($E139:AB139,"²")+COUNTIF($E139:AB139,"µ")+COUNTIF($E139:AB139,1),ColLivraison)=AC$6,
  VLOOKUP($E139,INDIRECT("tri!"&amp; CHAR(64+ C0Col) &amp;":"&amp; CHAR(65+C0Col)),2,FALSE)&gt;COUNTIF($E139:AB139,"u")+COUNTIF($E139:AB139,"t")+COUNTIF($E139:AB139,"¶")+COUNTIF($E139:AB139,"²")+COUNTIF($E139:AB139,"µ")+COUNTIF($E139:AB139,1)),
HYPERLINK("#Roadmap!C"&amp; MATCH($E139,Roadmap!$D:$D,0)+COUNTIF($E139:AB139,"u")+COUNTIF($E139:AB139,"t"),
     INDEX(Roadmap!$D:$K,MATCH($E139,Roadmap!$D:$D,0)+COUNTIF($E139:AB139,"u")+COUNTIF($E139:AB139,"t")+COUNTIF($E139:AB139,"¶")+COUNTIF($E139:AB139,"²")+COUNTIF($E139:AB139,"µ")+COUNTIF($E139:AB139,1),ColTypeEcheance)),
  IF(LEN(AB139)=1,
  IF(LEN(INDEX(Roadmap!$D:$K,MATCH($E139,Roadmap!$D:$D,0)-1+COUNTIF($E139:AB139,"u")+COUNTIF($E139:AB139,"t")+COUNTIF($E139:AB139,"¶")+COUNTIF($E139:AB139,"²")+COUNTIF($E139:AB139,"µ")+COUNTIF($E139:AB139,1),ColDescriptionCourte))&gt;1,
HYPERLINK("#Roadmap!C"&amp; MATCH($E139,Roadmap!$D:$D,0)+COUNTIF($E139:AB139,"u")+COUNTIF($E139:AB139,"t")+COUNTIF($E139:AB139,"¶")+COUNTIF($E139:AB139,"²")+COUNTIF($E139:AB139,"µ")+COUNTIF($E139:AB139,1)-1,INDEX(Roadmap!$D:$K,MATCH($E139,Roadmap!$D:$D,0)-1+COUNTIF($E139:AB139,"u")+COUNTIF($E139:AB139,"t")+COUNTIF($E139:AB139,"¶")+COUNTIF($E139:AB139,"²")+COUNTIF($E139:AB139,"µ")+COUNTIF($E139:AB139,1),ColDescriptionCourte)),""),
  "")),"")</f>
        <v/>
      </c>
      <c r="AD139" s="40" t="str">
        <f ca="1">IFERROR(IF(AND(
  INDEX(Roadmap!$D:$K,MATCH($E139,Roadmap!$D:$D,0)+COUNTIF($E139:AC139,"u")+COUNTIF($E139:AC139,"t")+COUNTIF($E139:AC139,"¶")+COUNTIF($E139:AC139,"²")+COUNTIF($E139:AC139,"µ")+COUNTIF($E139:AC139,1),ColLivraison)=AD$6,
  VLOOKUP($E139,INDIRECT("tri!"&amp; CHAR(64+ C0Col) &amp;":"&amp; CHAR(65+C0Col)),2,FALSE)&gt;COUNTIF($E139:AC139,"u")+COUNTIF($E139:AC139,"t")+COUNTIF($E139:AC139,"¶")+COUNTIF($E139:AC139,"²")+COUNTIF($E139:AC139,"µ")+COUNTIF($E139:AC139,1)),
HYPERLINK("#Roadmap!C"&amp; MATCH($E139,Roadmap!$D:$D,0)+COUNTIF($E139:AC139,"u")+COUNTIF($E139:AC139,"t"),
     INDEX(Roadmap!$D:$K,MATCH($E139,Roadmap!$D:$D,0)+COUNTIF($E139:AC139,"u")+COUNTIF($E139:AC139,"t")+COUNTIF($E139:AC139,"¶")+COUNTIF($E139:AC139,"²")+COUNTIF($E139:AC139,"µ")+COUNTIF($E139:AC139,1),ColTypeEcheance)),
  IF(LEN(AC139)=1,
  IF(LEN(INDEX(Roadmap!$D:$K,MATCH($E139,Roadmap!$D:$D,0)-1+COUNTIF($E139:AC139,"u")+COUNTIF($E139:AC139,"t")+COUNTIF($E139:AC139,"¶")+COUNTIF($E139:AC139,"²")+COUNTIF($E139:AC139,"µ")+COUNTIF($E139:AC139,1),ColDescriptionCourte))&gt;1,
HYPERLINK("#Roadmap!C"&amp; MATCH($E139,Roadmap!$D:$D,0)+COUNTIF($E139:AC139,"u")+COUNTIF($E139:AC139,"t")+COUNTIF($E139:AC139,"¶")+COUNTIF($E139:AC139,"²")+COUNTIF($E139:AC139,"µ")+COUNTIF($E139:AC139,1)-1,INDEX(Roadmap!$D:$K,MATCH($E139,Roadmap!$D:$D,0)-1+COUNTIF($E139:AC139,"u")+COUNTIF($E139:AC139,"t")+COUNTIF($E139:AC139,"¶")+COUNTIF($E139:AC139,"²")+COUNTIF($E139:AC139,"µ")+COUNTIF($E139:AC139,1),ColDescriptionCourte)),""),
  "")),"")</f>
        <v/>
      </c>
      <c r="AE139" s="40" t="str">
        <f ca="1">IFERROR(IF(AND(
  INDEX(Roadmap!$D:$K,MATCH($E139,Roadmap!$D:$D,0)+COUNTIF($E139:AD139,"u")+COUNTIF($E139:AD139,"t")+COUNTIF($E139:AD139,"¶")+COUNTIF($E139:AD139,"²")+COUNTIF($E139:AD139,"µ")+COUNTIF($E139:AD139,1),ColLivraison)=AE$6,
  VLOOKUP($E139,INDIRECT("tri!"&amp; CHAR(64+ C0Col) &amp;":"&amp; CHAR(65+C0Col)),2,FALSE)&gt;COUNTIF($E139:AD139,"u")+COUNTIF($E139:AD139,"t")+COUNTIF($E139:AD139,"¶")+COUNTIF($E139:AD139,"²")+COUNTIF($E139:AD139,"µ")+COUNTIF($E139:AD139,1)),
HYPERLINK("#Roadmap!C"&amp; MATCH($E139,Roadmap!$D:$D,0)+COUNTIF($E139:AD139,"u")+COUNTIF($E139:AD139,"t"),
     INDEX(Roadmap!$D:$K,MATCH($E139,Roadmap!$D:$D,0)+COUNTIF($E139:AD139,"u")+COUNTIF($E139:AD139,"t")+COUNTIF($E139:AD139,"¶")+COUNTIF($E139:AD139,"²")+COUNTIF($E139:AD139,"µ")+COUNTIF($E139:AD139,1),ColTypeEcheance)),
  IF(LEN(AD139)=1,
  IF(LEN(INDEX(Roadmap!$D:$K,MATCH($E139,Roadmap!$D:$D,0)-1+COUNTIF($E139:AD139,"u")+COUNTIF($E139:AD139,"t")+COUNTIF($E139:AD139,"¶")+COUNTIF($E139:AD139,"²")+COUNTIF($E139:AD139,"µ")+COUNTIF($E139:AD139,1),ColDescriptionCourte))&gt;1,
HYPERLINK("#Roadmap!C"&amp; MATCH($E139,Roadmap!$D:$D,0)+COUNTIF($E139:AD139,"u")+COUNTIF($E139:AD139,"t")+COUNTIF($E139:AD139,"¶")+COUNTIF($E139:AD139,"²")+COUNTIF($E139:AD139,"µ")+COUNTIF($E139:AD139,1)-1,INDEX(Roadmap!$D:$K,MATCH($E139,Roadmap!$D:$D,0)-1+COUNTIF($E139:AD139,"u")+COUNTIF($E139:AD139,"t")+COUNTIF($E139:AD139,"¶")+COUNTIF($E139:AD139,"²")+COUNTIF($E139:AD139,"µ")+COUNTIF($E139:AD139,1),ColDescriptionCourte)),""),
  "")),"")</f>
        <v/>
      </c>
      <c r="AF139" s="40" t="str">
        <f ca="1">IFERROR(IF(AND(
  INDEX(Roadmap!$D:$K,MATCH($E139,Roadmap!$D:$D,0)+COUNTIF($E139:AE139,"u")+COUNTIF($E139:AE139,"t")+COUNTIF($E139:AE139,"¶")+COUNTIF($E139:AE139,"²")+COUNTIF($E139:AE139,"µ")+COUNTIF($E139:AE139,1),ColLivraison)=AF$6,
  VLOOKUP($E139,INDIRECT("tri!"&amp; CHAR(64+ C0Col) &amp;":"&amp; CHAR(65+C0Col)),2,FALSE)&gt;COUNTIF($E139:AE139,"u")+COUNTIF($E139:AE139,"t")+COUNTIF($E139:AE139,"¶")+COUNTIF($E139:AE139,"²")+COUNTIF($E139:AE139,"µ")+COUNTIF($E139:AE139,1)),
HYPERLINK("#Roadmap!C"&amp; MATCH($E139,Roadmap!$D:$D,0)+COUNTIF($E139:AE139,"u")+COUNTIF($E139:AE139,"t"),
     INDEX(Roadmap!$D:$K,MATCH($E139,Roadmap!$D:$D,0)+COUNTIF($E139:AE139,"u")+COUNTIF($E139:AE139,"t")+COUNTIF($E139:AE139,"¶")+COUNTIF($E139:AE139,"²")+COUNTIF($E139:AE139,"µ")+COUNTIF($E139:AE139,1),ColTypeEcheance)),
  IF(LEN(AE139)=1,
  IF(LEN(INDEX(Roadmap!$D:$K,MATCH($E139,Roadmap!$D:$D,0)-1+COUNTIF($E139:AE139,"u")+COUNTIF($E139:AE139,"t")+COUNTIF($E139:AE139,"¶")+COUNTIF($E139:AE139,"²")+COUNTIF($E139:AE139,"µ")+COUNTIF($E139:AE139,1),ColDescriptionCourte))&gt;1,
HYPERLINK("#Roadmap!C"&amp; MATCH($E139,Roadmap!$D:$D,0)+COUNTIF($E139:AE139,"u")+COUNTIF($E139:AE139,"t")+COUNTIF($E139:AE139,"¶")+COUNTIF($E139:AE139,"²")+COUNTIF($E139:AE139,"µ")+COUNTIF($E139:AE139,1)-1,INDEX(Roadmap!$D:$K,MATCH($E139,Roadmap!$D:$D,0)-1+COUNTIF($E139:AE139,"u")+COUNTIF($E139:AE139,"t")+COUNTIF($E139:AE139,"¶")+COUNTIF($E139:AE139,"²")+COUNTIF($E139:AE139,"µ")+COUNTIF($E139:AE139,1),ColDescriptionCourte)),""),
  "")),"")</f>
        <v/>
      </c>
      <c r="AG139" s="40" t="str">
        <f ca="1">IFERROR(IF(AND(
  INDEX(Roadmap!$D:$K,MATCH($E139,Roadmap!$D:$D,0)+COUNTIF($E139:AF139,"u")+COUNTIF($E139:AF139,"t")+COUNTIF($E139:AF139,"¶")+COUNTIF($E139:AF139,"²")+COUNTIF($E139:AF139,"µ")+COUNTIF($E139:AF139,1),ColLivraison)=AG$6,
  VLOOKUP($E139,INDIRECT("tri!"&amp; CHAR(64+ C0Col) &amp;":"&amp; CHAR(65+C0Col)),2,FALSE)&gt;COUNTIF($E139:AF139,"u")+COUNTIF($E139:AF139,"t")+COUNTIF($E139:AF139,"¶")+COUNTIF($E139:AF139,"²")+COUNTIF($E139:AF139,"µ")+COUNTIF($E139:AF139,1)),
HYPERLINK("#Roadmap!C"&amp; MATCH($E139,Roadmap!$D:$D,0)+COUNTIF($E139:AF139,"u")+COUNTIF($E139:AF139,"t"),
     INDEX(Roadmap!$D:$K,MATCH($E139,Roadmap!$D:$D,0)+COUNTIF($E139:AF139,"u")+COUNTIF($E139:AF139,"t")+COUNTIF($E139:AF139,"¶")+COUNTIF($E139:AF139,"²")+COUNTIF($E139:AF139,"µ")+COUNTIF($E139:AF139,1),ColTypeEcheance)),
  IF(LEN(AF139)=1,
  IF(LEN(INDEX(Roadmap!$D:$K,MATCH($E139,Roadmap!$D:$D,0)-1+COUNTIF($E139:AF139,"u")+COUNTIF($E139:AF139,"t")+COUNTIF($E139:AF139,"¶")+COUNTIF($E139:AF139,"²")+COUNTIF($E139:AF139,"µ")+COUNTIF($E139:AF139,1),ColDescriptionCourte))&gt;1,
HYPERLINK("#Roadmap!C"&amp; MATCH($E139,Roadmap!$D:$D,0)+COUNTIF($E139:AF139,"u")+COUNTIF($E139:AF139,"t")+COUNTIF($E139:AF139,"¶")+COUNTIF($E139:AF139,"²")+COUNTIF($E139:AF139,"µ")+COUNTIF($E139:AF139,1)-1,INDEX(Roadmap!$D:$K,MATCH($E139,Roadmap!$D:$D,0)-1+COUNTIF($E139:AF139,"u")+COUNTIF($E139:AF139,"t")+COUNTIF($E139:AF139,"¶")+COUNTIF($E139:AF139,"²")+COUNTIF($E139:AF139,"µ")+COUNTIF($E139:AF139,1),ColDescriptionCourte)),""),
  "")),"")</f>
        <v/>
      </c>
      <c r="AH139" s="40" t="str">
        <f ca="1">IFERROR(IF(AND(
  INDEX(Roadmap!$D:$K,MATCH($E139,Roadmap!$D:$D,0)+COUNTIF($E139:AG139,"u")+COUNTIF($E139:AG139,"t")+COUNTIF($E139:AG139,1),ColLivraison)=AH$6,
  VLOOKUP($E139,INDIRECT("tri!"&amp; CHAR(64+ C0Col) &amp;":"&amp; CHAR(65+C0Col)),2,FALSE)&gt;COUNTIF($E139:AG139,"u")+COUNTIF($E139:AG139,"t")+COUNTIF($E139:AG139,1)),
HYPERLINK("#Roadmap!C"&amp; MATCH($E139,Roadmap!$D:$D,0)+COUNTIF($E139:AG139,"u")+COUNTIF($E139:AG139,"t"),
     INDEX(Roadmap!$D:$K,MATCH($E139,Roadmap!$D:$D,0)+COUNTIF($E139:AG139,"u")+COUNTIF($E139:AG139,"t")+COUNTIF($E139:AG139,1),ColTypeEcheance)),
  IF(OR(AG139="u",AG139="t",AG139=1),
  IF(LEN(INDEX(Roadmap!$D:$K,MATCH($E139,Roadmap!$D:$D,0)-1+COUNTIF($E139:AG139,"u")+COUNTIF($E139:AG139,"t")+COUNTIF($E139:AG139,1),ColDescriptionCourte))&gt;1,
HYPERLINK("#Roadmap!C"&amp; MATCH($E139,Roadmap!$D:$D,0)+COUNTIF($E139:AG139,"u")+COUNTIF($E139:AG139,"t")+COUNTIF($E139:AG139,1)-1,INDEX(Roadmap!$D:$K,MATCH($E139,Roadmap!$D:$D,0)-1+COUNTIF($E139:AG139,"u")+COUNTIF($E139:AG139,"t")+COUNTIF($E139:AG139,1),ColDescriptionCourte)),""),
  "")),"")</f>
        <v/>
      </c>
      <c r="AI139" s="40"/>
      <c r="AJ139" s="40"/>
      <c r="AK139" s="40"/>
      <c r="AL139" s="40"/>
      <c r="AM139" s="40"/>
    </row>
    <row r="140" spans="4:39" ht="14.1" customHeight="1">
      <c r="D140" s="20" t="str">
        <f t="shared" ca="1" si="31"/>
        <v/>
      </c>
      <c r="E140" s="53" t="str">
        <f t="shared" ca="1" si="32"/>
        <v/>
      </c>
      <c r="F140" s="39" t="str">
        <f ca="1">IFERROR(IF(AND(
  INDEX(Roadmap!$D:$K,MATCH($E140,Roadmap!$D:$D,0)+COUNTIF($E140:E140,"u")+COUNTIF($E140:E140,"t")+COUNTIF($E140:E140,"¶")+COUNTIF($E140:E140,"²")+COUNTIF($E140:E140,"µ")+COUNTIF($E140:E140,1),ColLivraison)=F$6,
  VLOOKUP($E140,INDIRECT("tri!"&amp; CHAR(64+ C0Col) &amp;":"&amp; CHAR(65+C0Col)),2,FALSE)&gt;COUNTIF($E140:E140,"u")+COUNTIF($E140:E140,"t")+COUNTIF($E140:E140,"¶")+COUNTIF($E140:E140,"²")+COUNTIF($E140:E140,"µ")+COUNTIF($E140:E140,1)),
HYPERLINK("#Roadmap!C"&amp; MATCH($E140,Roadmap!$D:$D,0)+COUNTIF($E140:E140,"u")+COUNTIF($E140:E140,"t"),
     INDEX(Roadmap!$D:$K,MATCH($E140,Roadmap!$D:$D,0)+COUNTIF($E140:E140,"u")+COUNTIF($E140:E140,"t")+COUNTIF($E140:E140,"¶")+COUNTIF($E140:E140,"²")+COUNTIF($E140:E140,"µ")+COUNTIF($E140:E140,1),ColTypeEcheance)),
  IF(LEN(E140)=1,
  IF(LEN(INDEX(Roadmap!$D:$K,MATCH($E140,Roadmap!$D:$D,0)-1+COUNTIF($E140:E140,"u")+COUNTIF($E140:E140,"t")+COUNTIF($E140:E140,"¶")+COUNTIF($E140:E140,"²")+COUNTIF($E140:E140,"µ")+COUNTIF($E140:E140,1),ColDescriptionCourte))&gt;1,
HYPERLINK("#Roadmap!C"&amp; MATCH($E140,Roadmap!$D:$D,0)+COUNTIF($E140:E140,"u")+COUNTIF($E140:E140,"t")+COUNTIF($E140:E140,"¶")+COUNTIF($E140:E140,"²")+COUNTIF($E140:E140,"µ")+COUNTIF($E140:E140,1)-1,INDEX(Roadmap!$D:$K,MATCH($E140,Roadmap!$D:$D,0)-1+COUNTIF($E140:E140,"u")+COUNTIF($E140:E140,"t")+COUNTIF($E140:E140,"¶")+COUNTIF($E140:E140,"²")+COUNTIF($E140:E140,"µ")+COUNTIF($E140:E140,1),ColDescriptionCourte)),""),
  "")),"")</f>
        <v/>
      </c>
      <c r="G140" s="40" t="str">
        <f ca="1">IFERROR(IF(AND(
  INDEX(Roadmap!$D:$K,MATCH($E140,Roadmap!$D:$D,0)+COUNTIF($E140:F140,"u")+COUNTIF($E140:F140,"t")+COUNTIF($E140:F140,"¶")+COUNTIF($E140:F140,"²")+COUNTIF($E140:F140,"µ")+COUNTIF($E140:F140,1),ColLivraison)=G$6,
  VLOOKUP($E140,INDIRECT("tri!"&amp; CHAR(64+ C0Col) &amp;":"&amp; CHAR(65+C0Col)),2,FALSE)&gt;COUNTIF($E140:F140,"u")+COUNTIF($E140:F140,"t")+COUNTIF($E140:F140,"¶")+COUNTIF($E140:F140,"²")+COUNTIF($E140:F140,"µ")+COUNTIF($E140:F140,1)),
HYPERLINK("#Roadmap!C"&amp; MATCH($E140,Roadmap!$D:$D,0)+COUNTIF($E140:F140,"u")+COUNTIF($E140:F140,"t"),
     INDEX(Roadmap!$D:$K,MATCH($E140,Roadmap!$D:$D,0)+COUNTIF($E140:F140,"u")+COUNTIF($E140:F140,"t")+COUNTIF($E140:F140,"¶")+COUNTIF($E140:F140,"²")+COUNTIF($E140:F140,"µ")+COUNTIF($E140:F140,1),ColTypeEcheance)),
  IF(LEN(F140)=1,
  IF(LEN(INDEX(Roadmap!$D:$K,MATCH($E140,Roadmap!$D:$D,0)-1+COUNTIF($E140:F140,"u")+COUNTIF($E140:F140,"t")+COUNTIF($E140:F140,"¶")+COUNTIF($E140:F140,"²")+COUNTIF($E140:F140,"µ")+COUNTIF($E140:F140,1),ColDescriptionCourte))&gt;1,
HYPERLINK("#Roadmap!C"&amp; MATCH($E140,Roadmap!$D:$D,0)+COUNTIF($E140:F140,"u")+COUNTIF($E140:F140,"t")+COUNTIF($E140:F140,"¶")+COUNTIF($E140:F140,"²")+COUNTIF($E140:F140,"µ")+COUNTIF($E140:F140,1)-1,INDEX(Roadmap!$D:$K,MATCH($E140,Roadmap!$D:$D,0)-1+COUNTIF($E140:F140,"u")+COUNTIF($E140:F140,"t")+COUNTIF($E140:F140,"¶")+COUNTIF($E140:F140,"²")+COUNTIF($E140:F140,"µ")+COUNTIF($E140:F140,1),ColDescriptionCourte)),""),
  "")),"")</f>
        <v/>
      </c>
      <c r="H140" s="40" t="str">
        <f ca="1">IFERROR(IF(AND(
  INDEX(Roadmap!$D:$K,MATCH($E140,Roadmap!$D:$D,0)+COUNTIF($E140:G140,"u")+COUNTIF($E140:G140,"t")+COUNTIF($E140:G140,"¶")+COUNTIF($E140:G140,"²")+COUNTIF($E140:G140,"µ")+COUNTIF($E140:G140,1),ColLivraison)=H$6,
  VLOOKUP($E140,INDIRECT("tri!"&amp; CHAR(64+ C0Col) &amp;":"&amp; CHAR(65+C0Col)),2,FALSE)&gt;COUNTIF($E140:G140,"u")+COUNTIF($E140:G140,"t")+COUNTIF($E140:G140,"¶")+COUNTIF($E140:G140,"²")+COUNTIF($E140:G140,"µ")+COUNTIF($E140:G140,1)),
HYPERLINK("#Roadmap!C"&amp; MATCH($E140,Roadmap!$D:$D,0)+COUNTIF($E140:G140,"u")+COUNTIF($E140:G140,"t"),
     INDEX(Roadmap!$D:$K,MATCH($E140,Roadmap!$D:$D,0)+COUNTIF($E140:G140,"u")+COUNTIF($E140:G140,"t")+COUNTIF($E140:G140,"¶")+COUNTIF($E140:G140,"²")+COUNTIF($E140:G140,"µ")+COUNTIF($E140:G140,1),ColTypeEcheance)),
  IF(LEN(G140)=1,
  IF(LEN(INDEX(Roadmap!$D:$K,MATCH($E140,Roadmap!$D:$D,0)-1+COUNTIF($E140:G140,"u")+COUNTIF($E140:G140,"t")+COUNTIF($E140:G140,"¶")+COUNTIF($E140:G140,"²")+COUNTIF($E140:G140,"µ")+COUNTIF($E140:G140,1),ColDescriptionCourte))&gt;1,
HYPERLINK("#Roadmap!C"&amp; MATCH($E140,Roadmap!$D:$D,0)+COUNTIF($E140:G140,"u")+COUNTIF($E140:G140,"t")+COUNTIF($E140:G140,"¶")+COUNTIF($E140:G140,"²")+COUNTIF($E140:G140,"µ")+COUNTIF($E140:G140,1)-1,INDEX(Roadmap!$D:$K,MATCH($E140,Roadmap!$D:$D,0)-1+COUNTIF($E140:G140,"u")+COUNTIF($E140:G140,"t")+COUNTIF($E140:G140,"¶")+COUNTIF($E140:G140,"²")+COUNTIF($E140:G140,"µ")+COUNTIF($E140:G140,1),ColDescriptionCourte)),""),
  "")),"")</f>
        <v/>
      </c>
      <c r="I140" s="40" t="str">
        <f ca="1">IFERROR(IF(AND(
  INDEX(Roadmap!$D:$K,MATCH($E140,Roadmap!$D:$D,0)+COUNTIF($E140:H140,"u")+COUNTIF($E140:H140,"t")+COUNTIF($E140:H140,"¶")+COUNTIF($E140:H140,"²")+COUNTIF($E140:H140,"µ")+COUNTIF($E140:H140,1),ColLivraison)=I$6,
  VLOOKUP($E140,INDIRECT("tri!"&amp; CHAR(64+ C0Col) &amp;":"&amp; CHAR(65+C0Col)),2,FALSE)&gt;COUNTIF($E140:H140,"u")+COUNTIF($E140:H140,"t")+COUNTIF($E140:H140,"¶")+COUNTIF($E140:H140,"²")+COUNTIF($E140:H140,"µ")+COUNTIF($E140:H140,1)),
HYPERLINK("#Roadmap!C"&amp; MATCH($E140,Roadmap!$D:$D,0)+COUNTIF($E140:H140,"u")+COUNTIF($E140:H140,"t"),
     INDEX(Roadmap!$D:$K,MATCH($E140,Roadmap!$D:$D,0)+COUNTIF($E140:H140,"u")+COUNTIF($E140:H140,"t")+COUNTIF($E140:H140,"¶")+COUNTIF($E140:H140,"²")+COUNTIF($E140:H140,"µ")+COUNTIF($E140:H140,1),ColTypeEcheance)),
  IF(LEN(H140)=1,
  IF(LEN(INDEX(Roadmap!$D:$K,MATCH($E140,Roadmap!$D:$D,0)-1+COUNTIF($E140:H140,"u")+COUNTIF($E140:H140,"t")+COUNTIF($E140:H140,"¶")+COUNTIF($E140:H140,"²")+COUNTIF($E140:H140,"µ")+COUNTIF($E140:H140,1),ColDescriptionCourte))&gt;1,
HYPERLINK("#Roadmap!C"&amp; MATCH($E140,Roadmap!$D:$D,0)+COUNTIF($E140:H140,"u")+COUNTIF($E140:H140,"t")+COUNTIF($E140:H140,"¶")+COUNTIF($E140:H140,"²")+COUNTIF($E140:H140,"µ")+COUNTIF($E140:H140,1)-1,INDEX(Roadmap!$D:$K,MATCH($E140,Roadmap!$D:$D,0)-1+COUNTIF($E140:H140,"u")+COUNTIF($E140:H140,"t")+COUNTIF($E140:H140,"¶")+COUNTIF($E140:H140,"²")+COUNTIF($E140:H140,"µ")+COUNTIF($E140:H140,1),ColDescriptionCourte)),""),
  "")),"")</f>
        <v/>
      </c>
      <c r="J140" s="40" t="str">
        <f ca="1">IFERROR(IF(AND(
  INDEX(Roadmap!$D:$K,MATCH($E140,Roadmap!$D:$D,0)+COUNTIF($E140:I140,"u")+COUNTIF($E140:I140,"t")+COUNTIF($E140:I140,"¶")+COUNTIF($E140:I140,"²")+COUNTIF($E140:I140,"µ")+COUNTIF($E140:I140,1),ColLivraison)=J$6,
  VLOOKUP($E140,INDIRECT("tri!"&amp; CHAR(64+ C0Col) &amp;":"&amp; CHAR(65+C0Col)),2,FALSE)&gt;COUNTIF($E140:I140,"u")+COUNTIF($E140:I140,"t")+COUNTIF($E140:I140,"¶")+COUNTIF($E140:I140,"²")+COUNTIF($E140:I140,"µ")+COUNTIF($E140:I140,1)),
HYPERLINK("#Roadmap!C"&amp; MATCH($E140,Roadmap!$D:$D,0)+COUNTIF($E140:I140,"u")+COUNTIF($E140:I140,"t"),
     INDEX(Roadmap!$D:$K,MATCH($E140,Roadmap!$D:$D,0)+COUNTIF($E140:I140,"u")+COUNTIF($E140:I140,"t")+COUNTIF($E140:I140,"¶")+COUNTIF($E140:I140,"²")+COUNTIF($E140:I140,"µ")+COUNTIF($E140:I140,1),ColTypeEcheance)),
  IF(LEN(I140)=1,
  IF(LEN(INDEX(Roadmap!$D:$K,MATCH($E140,Roadmap!$D:$D,0)-1+COUNTIF($E140:I140,"u")+COUNTIF($E140:I140,"t")+COUNTIF($E140:I140,"¶")+COUNTIF($E140:I140,"²")+COUNTIF($E140:I140,"µ")+COUNTIF($E140:I140,1),ColDescriptionCourte))&gt;1,
HYPERLINK("#Roadmap!C"&amp; MATCH($E140,Roadmap!$D:$D,0)+COUNTIF($E140:I140,"u")+COUNTIF($E140:I140,"t")+COUNTIF($E140:I140,"¶")+COUNTIF($E140:I140,"²")+COUNTIF($E140:I140,"µ")+COUNTIF($E140:I140,1)-1,INDEX(Roadmap!$D:$K,MATCH($E140,Roadmap!$D:$D,0)-1+COUNTIF($E140:I140,"u")+COUNTIF($E140:I140,"t")+COUNTIF($E140:I140,"¶")+COUNTIF($E140:I140,"²")+COUNTIF($E140:I140,"µ")+COUNTIF($E140:I140,1),ColDescriptionCourte)),""),
  "")),"")</f>
        <v/>
      </c>
      <c r="K140" s="40" t="str">
        <f ca="1">IFERROR(IF(AND(
  INDEX(Roadmap!$D:$K,MATCH($E140,Roadmap!$D:$D,0)+COUNTIF($E140:J140,"u")+COUNTIF($E140:J140,"t")+COUNTIF($E140:J140,"¶")+COUNTIF($E140:J140,"²")+COUNTIF($E140:J140,"µ")+COUNTIF($E140:J140,1),ColLivraison)=K$6,
  VLOOKUP($E140,INDIRECT("tri!"&amp; CHAR(64+ C0Col) &amp;":"&amp; CHAR(65+C0Col)),2,FALSE)&gt;COUNTIF($E140:J140,"u")+COUNTIF($E140:J140,"t")+COUNTIF($E140:J140,"¶")+COUNTIF($E140:J140,"²")+COUNTIF($E140:J140,"µ")+COUNTIF($E140:J140,1)),
HYPERLINK("#Roadmap!C"&amp; MATCH($E140,Roadmap!$D:$D,0)+COUNTIF($E140:J140,"u")+COUNTIF($E140:J140,"t"),
     INDEX(Roadmap!$D:$K,MATCH($E140,Roadmap!$D:$D,0)+COUNTIF($E140:J140,"u")+COUNTIF($E140:J140,"t")+COUNTIF($E140:J140,"¶")+COUNTIF($E140:J140,"²")+COUNTIF($E140:J140,"µ")+COUNTIF($E140:J140,1),ColTypeEcheance)),
  IF(LEN(J140)=1,
  IF(LEN(INDEX(Roadmap!$D:$K,MATCH($E140,Roadmap!$D:$D,0)-1+COUNTIF($E140:J140,"u")+COUNTIF($E140:J140,"t")+COUNTIF($E140:J140,"¶")+COUNTIF($E140:J140,"²")+COUNTIF($E140:J140,"µ")+COUNTIF($E140:J140,1),ColDescriptionCourte))&gt;1,
HYPERLINK("#Roadmap!C"&amp; MATCH($E140,Roadmap!$D:$D,0)+COUNTIF($E140:J140,"u")+COUNTIF($E140:J140,"t")+COUNTIF($E140:J140,"¶")+COUNTIF($E140:J140,"²")+COUNTIF($E140:J140,"µ")+COUNTIF($E140:J140,1)-1,INDEX(Roadmap!$D:$K,MATCH($E140,Roadmap!$D:$D,0)-1+COUNTIF($E140:J140,"u")+COUNTIF($E140:J140,"t")+COUNTIF($E140:J140,"¶")+COUNTIF($E140:J140,"²")+COUNTIF($E140:J140,"µ")+COUNTIF($E140:J140,1),ColDescriptionCourte)),""),
  "")),"")</f>
        <v/>
      </c>
      <c r="L140" s="39" t="str">
        <f ca="1">IFERROR(IF(AND(
  INDEX(Roadmap!$D:$K,MATCH($E140,Roadmap!$D:$D,0)+COUNTIF($E140:K140,"u")+COUNTIF($E140:K140,"t")+COUNTIF($E140:K140,"¶")+COUNTIF($E140:K140,"²")+COUNTIF($E140:K140,"µ")+COUNTIF($E140:K140,1),ColLivraison)=L$6,
  VLOOKUP($E140,INDIRECT("tri!"&amp; CHAR(64+ C0Col) &amp;":"&amp; CHAR(65+C0Col)),2,FALSE)&gt;COUNTIF($E140:K140,"u")+COUNTIF($E140:K140,"t")+COUNTIF($E140:K140,"¶")+COUNTIF($E140:K140,"²")+COUNTIF($E140:K140,"µ")+COUNTIF($E140:K140,1)),
HYPERLINK("#Roadmap!C"&amp; MATCH($E140,Roadmap!$D:$D,0)+COUNTIF($E140:K140,"u")+COUNTIF($E140:K140,"t"),
     INDEX(Roadmap!$D:$K,MATCH($E140,Roadmap!$D:$D,0)+COUNTIF($E140:K140,"u")+COUNTIF($E140:K140,"t")+COUNTIF($E140:K140,"¶")+COUNTIF($E140:K140,"²")+COUNTIF($E140:K140,"µ")+COUNTIF($E140:K140,1),ColTypeEcheance)),
  IF(LEN(K140)=1,
  IF(LEN(INDEX(Roadmap!$D:$K,MATCH($E140,Roadmap!$D:$D,0)-1+COUNTIF($E140:K140,"u")+COUNTIF($E140:K140,"t")+COUNTIF($E140:K140,"¶")+COUNTIF($E140:K140,"²")+COUNTIF($E140:K140,"µ")+COUNTIF($E140:K140,1),ColDescriptionCourte))&gt;1,
HYPERLINK("#Roadmap!C"&amp; MATCH($E140,Roadmap!$D:$D,0)+COUNTIF($E140:K140,"u")+COUNTIF($E140:K140,"t")+COUNTIF($E140:K140,"¶")+COUNTIF($E140:K140,"²")+COUNTIF($E140:K140,"µ")+COUNTIF($E140:K140,1)-1,INDEX(Roadmap!$D:$K,MATCH($E140,Roadmap!$D:$D,0)-1+COUNTIF($E140:K140,"u")+COUNTIF($E140:K140,"t")+COUNTIF($E140:K140,"¶")+COUNTIF($E140:K140,"²")+COUNTIF($E140:K140,"µ")+COUNTIF($E140:K140,1),ColDescriptionCourte)),""),
  "")),"")</f>
        <v/>
      </c>
      <c r="M140" s="40" t="str">
        <f ca="1">IFERROR(IF(AND(
  INDEX(Roadmap!$D:$K,MATCH($E140,Roadmap!$D:$D,0)+COUNTIF($E140:L140,"u")+COUNTIF($E140:L140,"t")+COUNTIF($E140:L140,"¶")+COUNTIF($E140:L140,"²")+COUNTIF($E140:L140,"µ")+COUNTIF($E140:L140,1),ColLivraison)=M$6,
  VLOOKUP($E140,INDIRECT("tri!"&amp; CHAR(64+ C0Col) &amp;":"&amp; CHAR(65+C0Col)),2,FALSE)&gt;COUNTIF($E140:L140,"u")+COUNTIF($E140:L140,"t")+COUNTIF($E140:L140,"¶")+COUNTIF($E140:L140,"²")+COUNTIF($E140:L140,"µ")+COUNTIF($E140:L140,1)),
HYPERLINK("#Roadmap!C"&amp; MATCH($E140,Roadmap!$D:$D,0)+COUNTIF($E140:L140,"u")+COUNTIF($E140:L140,"t"),
     INDEX(Roadmap!$D:$K,MATCH($E140,Roadmap!$D:$D,0)+COUNTIF($E140:L140,"u")+COUNTIF($E140:L140,"t")+COUNTIF($E140:L140,"¶")+COUNTIF($E140:L140,"²")+COUNTIF($E140:L140,"µ")+COUNTIF($E140:L140,1),ColTypeEcheance)),
  IF(LEN(L140)=1,
  IF(LEN(INDEX(Roadmap!$D:$K,MATCH($E140,Roadmap!$D:$D,0)-1+COUNTIF($E140:L140,"u")+COUNTIF($E140:L140,"t")+COUNTIF($E140:L140,"¶")+COUNTIF($E140:L140,"²")+COUNTIF($E140:L140,"µ")+COUNTIF($E140:L140,1),ColDescriptionCourte))&gt;1,
HYPERLINK("#Roadmap!C"&amp; MATCH($E140,Roadmap!$D:$D,0)+COUNTIF($E140:L140,"u")+COUNTIF($E140:L140,"t")+COUNTIF($E140:L140,"¶")+COUNTIF($E140:L140,"²")+COUNTIF($E140:L140,"µ")+COUNTIF($E140:L140,1)-1,INDEX(Roadmap!$D:$K,MATCH($E140,Roadmap!$D:$D,0)-1+COUNTIF($E140:L140,"u")+COUNTIF($E140:L140,"t")+COUNTIF($E140:L140,"¶")+COUNTIF($E140:L140,"²")+COUNTIF($E140:L140,"µ")+COUNTIF($E140:L140,1),ColDescriptionCourte)),""),
  "")),"")</f>
        <v/>
      </c>
      <c r="N140" s="40" t="str">
        <f ca="1">IFERROR(IF(AND(
  INDEX(Roadmap!$D:$K,MATCH($E140,Roadmap!$D:$D,0)+COUNTIF($E140:M140,"u")+COUNTIF($E140:M140,"t")+COUNTIF($E140:M140,"¶")+COUNTIF($E140:M140,"²")+COUNTIF($E140:M140,"µ")+COUNTIF($E140:M140,1),ColLivraison)=N$6,
  VLOOKUP($E140,INDIRECT("tri!"&amp; CHAR(64+ C0Col) &amp;":"&amp; CHAR(65+C0Col)),2,FALSE)&gt;COUNTIF($E140:M140,"u")+COUNTIF($E140:M140,"t")+COUNTIF($E140:M140,"¶")+COUNTIF($E140:M140,"²")+COUNTIF($E140:M140,"µ")+COUNTIF($E140:M140,1)),
HYPERLINK("#Roadmap!C"&amp; MATCH($E140,Roadmap!$D:$D,0)+COUNTIF($E140:M140,"u")+COUNTIF($E140:M140,"t"),
     INDEX(Roadmap!$D:$K,MATCH($E140,Roadmap!$D:$D,0)+COUNTIF($E140:M140,"u")+COUNTIF($E140:M140,"t")+COUNTIF($E140:M140,"¶")+COUNTIF($E140:M140,"²")+COUNTIF($E140:M140,"µ")+COUNTIF($E140:M140,1),ColTypeEcheance)),
  IF(LEN(M140)=1,
  IF(LEN(INDEX(Roadmap!$D:$K,MATCH($E140,Roadmap!$D:$D,0)-1+COUNTIF($E140:M140,"u")+COUNTIF($E140:M140,"t")+COUNTIF($E140:M140,"¶")+COUNTIF($E140:M140,"²")+COUNTIF($E140:M140,"µ")+COUNTIF($E140:M140,1),ColDescriptionCourte))&gt;1,
HYPERLINK("#Roadmap!C"&amp; MATCH($E140,Roadmap!$D:$D,0)+COUNTIF($E140:M140,"u")+COUNTIF($E140:M140,"t")+COUNTIF($E140:M140,"¶")+COUNTIF($E140:M140,"²")+COUNTIF($E140:M140,"µ")+COUNTIF($E140:M140,1)-1,INDEX(Roadmap!$D:$K,MATCH($E140,Roadmap!$D:$D,0)-1+COUNTIF($E140:M140,"u")+COUNTIF($E140:M140,"t")+COUNTIF($E140:M140,"¶")+COUNTIF($E140:M140,"²")+COUNTIF($E140:M140,"µ")+COUNTIF($E140:M140,1),ColDescriptionCourte)),""),
  "")),"")</f>
        <v/>
      </c>
      <c r="O140" s="40" t="str">
        <f ca="1">IFERROR(IF(AND(
  INDEX(Roadmap!$D:$K,MATCH($E140,Roadmap!$D:$D,0)+COUNTIF($E140:N140,"u")+COUNTIF($E140:N140,"t")+COUNTIF($E140:N140,"¶")+COUNTIF($E140:N140,"²")+COUNTIF($E140:N140,"µ")+COUNTIF($E140:N140,1),ColLivraison)=O$6,
  VLOOKUP($E140,INDIRECT("tri!"&amp; CHAR(64+ C0Col) &amp;":"&amp; CHAR(65+C0Col)),2,FALSE)&gt;COUNTIF($E140:N140,"u")+COUNTIF($E140:N140,"t")+COUNTIF($E140:N140,"¶")+COUNTIF($E140:N140,"²")+COUNTIF($E140:N140,"µ")+COUNTIF($E140:N140,1)),
HYPERLINK("#Roadmap!C"&amp; MATCH($E140,Roadmap!$D:$D,0)+COUNTIF($E140:N140,"u")+COUNTIF($E140:N140,"t"),
     INDEX(Roadmap!$D:$K,MATCH($E140,Roadmap!$D:$D,0)+COUNTIF($E140:N140,"u")+COUNTIF($E140:N140,"t")+COUNTIF($E140:N140,"¶")+COUNTIF($E140:N140,"²")+COUNTIF($E140:N140,"µ")+COUNTIF($E140:N140,1),ColTypeEcheance)),
  IF(LEN(N140)=1,
  IF(LEN(INDEX(Roadmap!$D:$K,MATCH($E140,Roadmap!$D:$D,0)-1+COUNTIF($E140:N140,"u")+COUNTIF($E140:N140,"t")+COUNTIF($E140:N140,"¶")+COUNTIF($E140:N140,"²")+COUNTIF($E140:N140,"µ")+COUNTIF($E140:N140,1),ColDescriptionCourte))&gt;1,
HYPERLINK("#Roadmap!C"&amp; MATCH($E140,Roadmap!$D:$D,0)+COUNTIF($E140:N140,"u")+COUNTIF($E140:N140,"t")+COUNTIF($E140:N140,"¶")+COUNTIF($E140:N140,"²")+COUNTIF($E140:N140,"µ")+COUNTIF($E140:N140,1)-1,INDEX(Roadmap!$D:$K,MATCH($E140,Roadmap!$D:$D,0)-1+COUNTIF($E140:N140,"u")+COUNTIF($E140:N140,"t")+COUNTIF($E140:N140,"¶")+COUNTIF($E140:N140,"²")+COUNTIF($E140:N140,"µ")+COUNTIF($E140:N140,1),ColDescriptionCourte)),""),
  "")),"")</f>
        <v/>
      </c>
      <c r="P140" s="40" t="str">
        <f ca="1">IFERROR(IF(AND(
  INDEX(Roadmap!$D:$K,MATCH($E140,Roadmap!$D:$D,0)+COUNTIF($E140:O140,"u")+COUNTIF($E140:O140,"t")+COUNTIF($E140:O140,"¶")+COUNTIF($E140:O140,"²")+COUNTIF($E140:O140,"µ")+COUNTIF($E140:O140,1),ColLivraison)=P$6,
  VLOOKUP($E140,INDIRECT("tri!"&amp; CHAR(64+ C0Col) &amp;":"&amp; CHAR(65+C0Col)),2,FALSE)&gt;COUNTIF($E140:O140,"u")+COUNTIF($E140:O140,"t")+COUNTIF($E140:O140,"¶")+COUNTIF($E140:O140,"²")+COUNTIF($E140:O140,"µ")+COUNTIF($E140:O140,1)),
HYPERLINK("#Roadmap!C"&amp; MATCH($E140,Roadmap!$D:$D,0)+COUNTIF($E140:O140,"u")+COUNTIF($E140:O140,"t"),
     INDEX(Roadmap!$D:$K,MATCH($E140,Roadmap!$D:$D,0)+COUNTIF($E140:O140,"u")+COUNTIF($E140:O140,"t")+COUNTIF($E140:O140,"¶")+COUNTIF($E140:O140,"²")+COUNTIF($E140:O140,"µ")+COUNTIF($E140:O140,1),ColTypeEcheance)),
  IF(LEN(O140)=1,
  IF(LEN(INDEX(Roadmap!$D:$K,MATCH($E140,Roadmap!$D:$D,0)-1+COUNTIF($E140:O140,"u")+COUNTIF($E140:O140,"t")+COUNTIF($E140:O140,"¶")+COUNTIF($E140:O140,"²")+COUNTIF($E140:O140,"µ")+COUNTIF($E140:O140,1),ColDescriptionCourte))&gt;1,
HYPERLINK("#Roadmap!C"&amp; MATCH($E140,Roadmap!$D:$D,0)+COUNTIF($E140:O140,"u")+COUNTIF($E140:O140,"t")+COUNTIF($E140:O140,"¶")+COUNTIF($E140:O140,"²")+COUNTIF($E140:O140,"µ")+COUNTIF($E140:O140,1)-1,INDEX(Roadmap!$D:$K,MATCH($E140,Roadmap!$D:$D,0)-1+COUNTIF($E140:O140,"u")+COUNTIF($E140:O140,"t")+COUNTIF($E140:O140,"¶")+COUNTIF($E140:O140,"²")+COUNTIF($E140:O140,"µ")+COUNTIF($E140:O140,1),ColDescriptionCourte)),""),
  "")),"")</f>
        <v/>
      </c>
      <c r="Q140" s="40" t="str">
        <f ca="1">IFERROR(IF(AND(
  INDEX(Roadmap!$D:$K,MATCH($E140,Roadmap!$D:$D,0)+COUNTIF($E140:P140,"u")+COUNTIF($E140:P140,"t")+COUNTIF($E140:P140,"¶")+COUNTIF($E140:P140,"²")+COUNTIF($E140:P140,"µ")+COUNTIF($E140:P140,1),ColLivraison)=Q$6,
  VLOOKUP($E140,INDIRECT("tri!"&amp; CHAR(64+ C0Col) &amp;":"&amp; CHAR(65+C0Col)),2,FALSE)&gt;COUNTIF($E140:P140,"u")+COUNTIF($E140:P140,"t")+COUNTIF($E140:P140,"¶")+COUNTIF($E140:P140,"²")+COUNTIF($E140:P140,"µ")+COUNTIF($E140:P140,1)),
HYPERLINK("#Roadmap!C"&amp; MATCH($E140,Roadmap!$D:$D,0)+COUNTIF($E140:P140,"u")+COUNTIF($E140:P140,"t"),
     INDEX(Roadmap!$D:$K,MATCH($E140,Roadmap!$D:$D,0)+COUNTIF($E140:P140,"u")+COUNTIF($E140:P140,"t")+COUNTIF($E140:P140,"¶")+COUNTIF($E140:P140,"²")+COUNTIF($E140:P140,"µ")+COUNTIF($E140:P140,1),ColTypeEcheance)),
  IF(LEN(P140)=1,
  IF(LEN(INDEX(Roadmap!$D:$K,MATCH($E140,Roadmap!$D:$D,0)-1+COUNTIF($E140:P140,"u")+COUNTIF($E140:P140,"t")+COUNTIF($E140:P140,"¶")+COUNTIF($E140:P140,"²")+COUNTIF($E140:P140,"µ")+COUNTIF($E140:P140,1),ColDescriptionCourte))&gt;1,
HYPERLINK("#Roadmap!C"&amp; MATCH($E140,Roadmap!$D:$D,0)+COUNTIF($E140:P140,"u")+COUNTIF($E140:P140,"t")+COUNTIF($E140:P140,"¶")+COUNTIF($E140:P140,"²")+COUNTIF($E140:P140,"µ")+COUNTIF($E140:P140,1)-1,INDEX(Roadmap!$D:$K,MATCH($E140,Roadmap!$D:$D,0)-1+COUNTIF($E140:P140,"u")+COUNTIF($E140:P140,"t")+COUNTIF($E140:P140,"¶")+COUNTIF($E140:P140,"²")+COUNTIF($E140:P140,"µ")+COUNTIF($E140:P140,1),ColDescriptionCourte)),""),
  "")),"")</f>
        <v/>
      </c>
      <c r="R140" s="40" t="str">
        <f ca="1">IFERROR(IF(AND(
  INDEX(Roadmap!$D:$K,MATCH($E140,Roadmap!$D:$D,0)+COUNTIF($E140:Q140,"u")+COUNTIF($E140:Q140,"t")+COUNTIF($E140:Q140,"¶")+COUNTIF($E140:Q140,"²")+COUNTIF($E140:Q140,"µ")+COUNTIF($E140:Q140,1),ColLivraison)=R$6,
  VLOOKUP($E140,INDIRECT("tri!"&amp; CHAR(64+ C0Col) &amp;":"&amp; CHAR(65+C0Col)),2,FALSE)&gt;COUNTIF($E140:Q140,"u")+COUNTIF($E140:Q140,"t")+COUNTIF($E140:Q140,"¶")+COUNTIF($E140:Q140,"²")+COUNTIF($E140:Q140,"µ")+COUNTIF($E140:Q140,1)),
HYPERLINK("#Roadmap!C"&amp; MATCH($E140,Roadmap!$D:$D,0)+COUNTIF($E140:Q140,"u")+COUNTIF($E140:Q140,"t"),
     INDEX(Roadmap!$D:$K,MATCH($E140,Roadmap!$D:$D,0)+COUNTIF($E140:Q140,"u")+COUNTIF($E140:Q140,"t")+COUNTIF($E140:Q140,"¶")+COUNTIF($E140:Q140,"²")+COUNTIF($E140:Q140,"µ")+COUNTIF($E140:Q140,1),ColTypeEcheance)),
  IF(LEN(Q140)=1,
  IF(LEN(INDEX(Roadmap!$D:$K,MATCH($E140,Roadmap!$D:$D,0)-1+COUNTIF($E140:Q140,"u")+COUNTIF($E140:Q140,"t")+COUNTIF($E140:Q140,"¶")+COUNTIF($E140:Q140,"²")+COUNTIF($E140:Q140,"µ")+COUNTIF($E140:Q140,1),ColDescriptionCourte))&gt;1,
HYPERLINK("#Roadmap!C"&amp; MATCH($E140,Roadmap!$D:$D,0)+COUNTIF($E140:Q140,"u")+COUNTIF($E140:Q140,"t")+COUNTIF($E140:Q140,"¶")+COUNTIF($E140:Q140,"²")+COUNTIF($E140:Q140,"µ")+COUNTIF($E140:Q140,1)-1,INDEX(Roadmap!$D:$K,MATCH($E140,Roadmap!$D:$D,0)-1+COUNTIF($E140:Q140,"u")+COUNTIF($E140:Q140,"t")+COUNTIF($E140:Q140,"¶")+COUNTIF($E140:Q140,"²")+COUNTIF($E140:Q140,"µ")+COUNTIF($E140:Q140,1),ColDescriptionCourte)),""),
  "")),"")</f>
        <v/>
      </c>
      <c r="S140" s="40" t="str">
        <f ca="1">IFERROR(IF(AND(
  INDEX(Roadmap!$D:$K,MATCH($E140,Roadmap!$D:$D,0)+COUNTIF($E140:R140,"u")+COUNTIF($E140:R140,"t")+COUNTIF($E140:R140,"¶")+COUNTIF($E140:R140,"²")+COUNTIF($E140:R140,"µ")+COUNTIF($E140:R140,1),ColLivraison)=S$6,
  VLOOKUP($E140,INDIRECT("tri!"&amp; CHAR(64+ C0Col) &amp;":"&amp; CHAR(65+C0Col)),2,FALSE)&gt;COUNTIF($E140:R140,"u")+COUNTIF($E140:R140,"t")+COUNTIF($E140:R140,"¶")+COUNTIF($E140:R140,"²")+COUNTIF($E140:R140,"µ")+COUNTIF($E140:R140,1)),
HYPERLINK("#Roadmap!C"&amp; MATCH($E140,Roadmap!$D:$D,0)+COUNTIF($E140:R140,"u")+COUNTIF($E140:R140,"t"),
     INDEX(Roadmap!$D:$K,MATCH($E140,Roadmap!$D:$D,0)+COUNTIF($E140:R140,"u")+COUNTIF($E140:R140,"t")+COUNTIF($E140:R140,"¶")+COUNTIF($E140:R140,"²")+COUNTIF($E140:R140,"µ")+COUNTIF($E140:R140,1),ColTypeEcheance)),
  IF(LEN(R140)=1,
  IF(LEN(INDEX(Roadmap!$D:$K,MATCH($E140,Roadmap!$D:$D,0)-1+COUNTIF($E140:R140,"u")+COUNTIF($E140:R140,"t")+COUNTIF($E140:R140,"¶")+COUNTIF($E140:R140,"²")+COUNTIF($E140:R140,"µ")+COUNTIF($E140:R140,1),ColDescriptionCourte))&gt;1,
HYPERLINK("#Roadmap!C"&amp; MATCH($E140,Roadmap!$D:$D,0)+COUNTIF($E140:R140,"u")+COUNTIF($E140:R140,"t")+COUNTIF($E140:R140,"¶")+COUNTIF($E140:R140,"²")+COUNTIF($E140:R140,"µ")+COUNTIF($E140:R140,1)-1,INDEX(Roadmap!$D:$K,MATCH($E140,Roadmap!$D:$D,0)-1+COUNTIF($E140:R140,"u")+COUNTIF($E140:R140,"t")+COUNTIF($E140:R140,"¶")+COUNTIF($E140:R140,"²")+COUNTIF($E140:R140,"µ")+COUNTIF($E140:R140,1),ColDescriptionCourte)),""),
  "")),"")</f>
        <v/>
      </c>
      <c r="T140" s="40" t="str">
        <f ca="1">IFERROR(IF(AND(
  INDEX(Roadmap!$D:$K,MATCH($E140,Roadmap!$D:$D,0)+COUNTIF($E140:S140,"u")+COUNTIF($E140:S140,"t")+COUNTIF($E140:S140,"¶")+COUNTIF($E140:S140,"²")+COUNTIF($E140:S140,"µ")+COUNTIF($E140:S140,1),ColLivraison)=T$6,
  VLOOKUP($E140,INDIRECT("tri!"&amp; CHAR(64+ C0Col) &amp;":"&amp; CHAR(65+C0Col)),2,FALSE)&gt;COUNTIF($E140:S140,"u")+COUNTIF($E140:S140,"t")+COUNTIF($E140:S140,"¶")+COUNTIF($E140:S140,"²")+COUNTIF($E140:S140,"µ")+COUNTIF($E140:S140,1)),
HYPERLINK("#Roadmap!C"&amp; MATCH($E140,Roadmap!$D:$D,0)+COUNTIF($E140:S140,"u")+COUNTIF($E140:S140,"t"),
     INDEX(Roadmap!$D:$K,MATCH($E140,Roadmap!$D:$D,0)+COUNTIF($E140:S140,"u")+COUNTIF($E140:S140,"t")+COUNTIF($E140:S140,"¶")+COUNTIF($E140:S140,"²")+COUNTIF($E140:S140,"µ")+COUNTIF($E140:S140,1),ColTypeEcheance)),
  IF(LEN(S140)=1,
  IF(LEN(INDEX(Roadmap!$D:$K,MATCH($E140,Roadmap!$D:$D,0)-1+COUNTIF($E140:S140,"u")+COUNTIF($E140:S140,"t")+COUNTIF($E140:S140,"¶")+COUNTIF($E140:S140,"²")+COUNTIF($E140:S140,"µ")+COUNTIF($E140:S140,1),ColDescriptionCourte))&gt;1,
HYPERLINK("#Roadmap!C"&amp; MATCH($E140,Roadmap!$D:$D,0)+COUNTIF($E140:S140,"u")+COUNTIF($E140:S140,"t")+COUNTIF($E140:S140,"¶")+COUNTIF($E140:S140,"²")+COUNTIF($E140:S140,"µ")+COUNTIF($E140:S140,1)-1,INDEX(Roadmap!$D:$K,MATCH($E140,Roadmap!$D:$D,0)-1+COUNTIF($E140:S140,"u")+COUNTIF($E140:S140,"t")+COUNTIF($E140:S140,"¶")+COUNTIF($E140:S140,"²")+COUNTIF($E140:S140,"µ")+COUNTIF($E140:S140,1),ColDescriptionCourte)),""),
  "")),"")</f>
        <v/>
      </c>
      <c r="U140" s="40" t="str">
        <f ca="1">IFERROR(IF(AND(
  INDEX(Roadmap!$D:$K,MATCH($E140,Roadmap!$D:$D,0)+COUNTIF($E140:T140,"u")+COUNTIF($E140:T140,"t")+COUNTIF($E140:T140,"¶")+COUNTIF($E140:T140,"²")+COUNTIF($E140:T140,"µ")+COUNTIF($E140:T140,1),ColLivraison)=U$6,
  VLOOKUP($E140,INDIRECT("tri!"&amp; CHAR(64+ C0Col) &amp;":"&amp; CHAR(65+C0Col)),2,FALSE)&gt;COUNTIF($E140:T140,"u")+COUNTIF($E140:T140,"t")+COUNTIF($E140:T140,"¶")+COUNTIF($E140:T140,"²")+COUNTIF($E140:T140,"µ")+COUNTIF($E140:T140,1)),
HYPERLINK("#Roadmap!C"&amp; MATCH($E140,Roadmap!$D:$D,0)+COUNTIF($E140:T140,"u")+COUNTIF($E140:T140,"t"),
     INDEX(Roadmap!$D:$K,MATCH($E140,Roadmap!$D:$D,0)+COUNTIF($E140:T140,"u")+COUNTIF($E140:T140,"t")+COUNTIF($E140:T140,"¶")+COUNTIF($E140:T140,"²")+COUNTIF($E140:T140,"µ")+COUNTIF($E140:T140,1),ColTypeEcheance)),
  IF(LEN(T140)=1,
  IF(LEN(INDEX(Roadmap!$D:$K,MATCH($E140,Roadmap!$D:$D,0)-1+COUNTIF($E140:T140,"u")+COUNTIF($E140:T140,"t")+COUNTIF($E140:T140,"¶")+COUNTIF($E140:T140,"²")+COUNTIF($E140:T140,"µ")+COUNTIF($E140:T140,1),ColDescriptionCourte))&gt;1,
HYPERLINK("#Roadmap!C"&amp; MATCH($E140,Roadmap!$D:$D,0)+COUNTIF($E140:T140,"u")+COUNTIF($E140:T140,"t")+COUNTIF($E140:T140,"¶")+COUNTIF($E140:T140,"²")+COUNTIF($E140:T140,"µ")+COUNTIF($E140:T140,1)-1,INDEX(Roadmap!$D:$K,MATCH($E140,Roadmap!$D:$D,0)-1+COUNTIF($E140:T140,"u")+COUNTIF($E140:T140,"t")+COUNTIF($E140:T140,"¶")+COUNTIF($E140:T140,"²")+COUNTIF($E140:T140,"µ")+COUNTIF($E140:T140,1),ColDescriptionCourte)),""),
  "")),"")</f>
        <v/>
      </c>
      <c r="V140" s="40" t="str">
        <f ca="1">IFERROR(IF(AND(
  INDEX(Roadmap!$D:$K,MATCH($E140,Roadmap!$D:$D,0)+COUNTIF($E140:U140,"u")+COUNTIF($E140:U140,"t")+COUNTIF($E140:U140,"¶")+COUNTIF($E140:U140,"²")+COUNTIF($E140:U140,"µ")+COUNTIF($E140:U140,1),ColLivraison)=V$6,
  VLOOKUP($E140,INDIRECT("tri!"&amp; CHAR(64+ C0Col) &amp;":"&amp; CHAR(65+C0Col)),2,FALSE)&gt;COUNTIF($E140:U140,"u")+COUNTIF($E140:U140,"t")+COUNTIF($E140:U140,"¶")+COUNTIF($E140:U140,"²")+COUNTIF($E140:U140,"µ")+COUNTIF($E140:U140,1)),
HYPERLINK("#Roadmap!C"&amp; MATCH($E140,Roadmap!$D:$D,0)+COUNTIF($E140:U140,"u")+COUNTIF($E140:U140,"t"),
     INDEX(Roadmap!$D:$K,MATCH($E140,Roadmap!$D:$D,0)+COUNTIF($E140:U140,"u")+COUNTIF($E140:U140,"t")+COUNTIF($E140:U140,"¶")+COUNTIF($E140:U140,"²")+COUNTIF($E140:U140,"µ")+COUNTIF($E140:U140,1),ColTypeEcheance)),
  IF(LEN(U140)=1,
  IF(LEN(INDEX(Roadmap!$D:$K,MATCH($E140,Roadmap!$D:$D,0)-1+COUNTIF($E140:U140,"u")+COUNTIF($E140:U140,"t")+COUNTIF($E140:U140,"¶")+COUNTIF($E140:U140,"²")+COUNTIF($E140:U140,"µ")+COUNTIF($E140:U140,1),ColDescriptionCourte))&gt;1,
HYPERLINK("#Roadmap!C"&amp; MATCH($E140,Roadmap!$D:$D,0)+COUNTIF($E140:U140,"u")+COUNTIF($E140:U140,"t")+COUNTIF($E140:U140,"¶")+COUNTIF($E140:U140,"²")+COUNTIF($E140:U140,"µ")+COUNTIF($E140:U140,1)-1,INDEX(Roadmap!$D:$K,MATCH($E140,Roadmap!$D:$D,0)-1+COUNTIF($E140:U140,"u")+COUNTIF($E140:U140,"t")+COUNTIF($E140:U140,"¶")+COUNTIF($E140:U140,"²")+COUNTIF($E140:U140,"µ")+COUNTIF($E140:U140,1),ColDescriptionCourte)),""),
  "")),"")</f>
        <v/>
      </c>
      <c r="W140" s="40" t="str">
        <f ca="1">IFERROR(IF(AND(
  INDEX(Roadmap!$D:$K,MATCH($E140,Roadmap!$D:$D,0)+COUNTIF($E140:V140,"u")+COUNTIF($E140:V140,"t")+COUNTIF($E140:V140,"¶")+COUNTIF($E140:V140,"²")+COUNTIF($E140:V140,"µ")+COUNTIF($E140:V140,1),ColLivraison)=W$6,
  VLOOKUP($E140,INDIRECT("tri!"&amp; CHAR(64+ C0Col) &amp;":"&amp; CHAR(65+C0Col)),2,FALSE)&gt;COUNTIF($E140:V140,"u")+COUNTIF($E140:V140,"t")+COUNTIF($E140:V140,"¶")+COUNTIF($E140:V140,"²")+COUNTIF($E140:V140,"µ")+COUNTIF($E140:V140,1)),
HYPERLINK("#Roadmap!C"&amp; MATCH($E140,Roadmap!$D:$D,0)+COUNTIF($E140:V140,"u")+COUNTIF($E140:V140,"t"),
     INDEX(Roadmap!$D:$K,MATCH($E140,Roadmap!$D:$D,0)+COUNTIF($E140:V140,"u")+COUNTIF($E140:V140,"t")+COUNTIF($E140:V140,"¶")+COUNTIF($E140:V140,"²")+COUNTIF($E140:V140,"µ")+COUNTIF($E140:V140,1),ColTypeEcheance)),
  IF(LEN(V140)=1,
  IF(LEN(INDEX(Roadmap!$D:$K,MATCH($E140,Roadmap!$D:$D,0)-1+COUNTIF($E140:V140,"u")+COUNTIF($E140:V140,"t")+COUNTIF($E140:V140,"¶")+COUNTIF($E140:V140,"²")+COUNTIF($E140:V140,"µ")+COUNTIF($E140:V140,1),ColDescriptionCourte))&gt;1,
HYPERLINK("#Roadmap!C"&amp; MATCH($E140,Roadmap!$D:$D,0)+COUNTIF($E140:V140,"u")+COUNTIF($E140:V140,"t")+COUNTIF($E140:V140,"¶")+COUNTIF($E140:V140,"²")+COUNTIF($E140:V140,"µ")+COUNTIF($E140:V140,1)-1,INDEX(Roadmap!$D:$K,MATCH($E140,Roadmap!$D:$D,0)-1+COUNTIF($E140:V140,"u")+COUNTIF($E140:V140,"t")+COUNTIF($E140:V140,"¶")+COUNTIF($E140:V140,"²")+COUNTIF($E140:V140,"µ")+COUNTIF($E140:V140,1),ColDescriptionCourte)),""),
  "")),"")</f>
        <v/>
      </c>
      <c r="X140" s="40" t="str">
        <f ca="1">IFERROR(IF(AND(
  INDEX(Roadmap!$D:$K,MATCH($E140,Roadmap!$D:$D,0)+COUNTIF($E140:W140,"u")+COUNTIF($E140:W140,"t")+COUNTIF($E140:W140,"¶")+COUNTIF($E140:W140,"²")+COUNTIF($E140:W140,"µ")+COUNTIF($E140:W140,1),ColLivraison)=X$6,
  VLOOKUP($E140,INDIRECT("tri!"&amp; CHAR(64+ C0Col) &amp;":"&amp; CHAR(65+C0Col)),2,FALSE)&gt;COUNTIF($E140:W140,"u")+COUNTIF($E140:W140,"t")+COUNTIF($E140:W140,"¶")+COUNTIF($E140:W140,"²")+COUNTIF($E140:W140,"µ")+COUNTIF($E140:W140,1)),
HYPERLINK("#Roadmap!C"&amp; MATCH($E140,Roadmap!$D:$D,0)+COUNTIF($E140:W140,"u")+COUNTIF($E140:W140,"t"),
     INDEX(Roadmap!$D:$K,MATCH($E140,Roadmap!$D:$D,0)+COUNTIF($E140:W140,"u")+COUNTIF($E140:W140,"t")+COUNTIF($E140:W140,"¶")+COUNTIF($E140:W140,"²")+COUNTIF($E140:W140,"µ")+COUNTIF($E140:W140,1),ColTypeEcheance)),
  IF(LEN(W140)=1,
  IF(LEN(INDEX(Roadmap!$D:$K,MATCH($E140,Roadmap!$D:$D,0)-1+COUNTIF($E140:W140,"u")+COUNTIF($E140:W140,"t")+COUNTIF($E140:W140,"¶")+COUNTIF($E140:W140,"²")+COUNTIF($E140:W140,"µ")+COUNTIF($E140:W140,1),ColDescriptionCourte))&gt;1,
HYPERLINK("#Roadmap!C"&amp; MATCH($E140,Roadmap!$D:$D,0)+COUNTIF($E140:W140,"u")+COUNTIF($E140:W140,"t")+COUNTIF($E140:W140,"¶")+COUNTIF($E140:W140,"²")+COUNTIF($E140:W140,"µ")+COUNTIF($E140:W140,1)-1,INDEX(Roadmap!$D:$K,MATCH($E140,Roadmap!$D:$D,0)-1+COUNTIF($E140:W140,"u")+COUNTIF($E140:W140,"t")+COUNTIF($E140:W140,"¶")+COUNTIF($E140:W140,"²")+COUNTIF($E140:W140,"µ")+COUNTIF($E140:W140,1),ColDescriptionCourte)),""),
  "")),"")</f>
        <v/>
      </c>
      <c r="Y140" s="40" t="str">
        <f ca="1">IFERROR(IF(AND(
  INDEX(Roadmap!$D:$K,MATCH($E140,Roadmap!$D:$D,0)+COUNTIF($E140:X140,"u")+COUNTIF($E140:X140,"t")+COUNTIF($E140:X140,"¶")+COUNTIF($E140:X140,"²")+COUNTIF($E140:X140,"µ")+COUNTIF($E140:X140,1),ColLivraison)=Y$6,
  VLOOKUP($E140,INDIRECT("tri!"&amp; CHAR(64+ C0Col) &amp;":"&amp; CHAR(65+C0Col)),2,FALSE)&gt;COUNTIF($E140:X140,"u")+COUNTIF($E140:X140,"t")+COUNTIF($E140:X140,"¶")+COUNTIF($E140:X140,"²")+COUNTIF($E140:X140,"µ")+COUNTIF($E140:X140,1)),
HYPERLINK("#Roadmap!C"&amp; MATCH($E140,Roadmap!$D:$D,0)+COUNTIF($E140:X140,"u")+COUNTIF($E140:X140,"t"),
     INDEX(Roadmap!$D:$K,MATCH($E140,Roadmap!$D:$D,0)+COUNTIF($E140:X140,"u")+COUNTIF($E140:X140,"t")+COUNTIF($E140:X140,"¶")+COUNTIF($E140:X140,"²")+COUNTIF($E140:X140,"µ")+COUNTIF($E140:X140,1),ColTypeEcheance)),
  IF(LEN(X140)=1,
  IF(LEN(INDEX(Roadmap!$D:$K,MATCH($E140,Roadmap!$D:$D,0)-1+COUNTIF($E140:X140,"u")+COUNTIF($E140:X140,"t")+COUNTIF($E140:X140,"¶")+COUNTIF($E140:X140,"²")+COUNTIF($E140:X140,"µ")+COUNTIF($E140:X140,1),ColDescriptionCourte))&gt;1,
HYPERLINK("#Roadmap!C"&amp; MATCH($E140,Roadmap!$D:$D,0)+COUNTIF($E140:X140,"u")+COUNTIF($E140:X140,"t")+COUNTIF($E140:X140,"¶")+COUNTIF($E140:X140,"²")+COUNTIF($E140:X140,"µ")+COUNTIF($E140:X140,1)-1,INDEX(Roadmap!$D:$K,MATCH($E140,Roadmap!$D:$D,0)-1+COUNTIF($E140:X140,"u")+COUNTIF($E140:X140,"t")+COUNTIF($E140:X140,"¶")+COUNTIF($E140:X140,"²")+COUNTIF($E140:X140,"µ")+COUNTIF($E140:X140,1),ColDescriptionCourte)),""),
  "")),"")</f>
        <v/>
      </c>
      <c r="Z140" s="40" t="str">
        <f ca="1">IFERROR(IF(AND(
  INDEX(Roadmap!$D:$K,MATCH($E140,Roadmap!$D:$D,0)+COUNTIF($E140:Y140,"u")+COUNTIF($E140:Y140,"t")+COUNTIF($E140:Y140,"¶")+COUNTIF($E140:Y140,"²")+COUNTIF($E140:Y140,"µ")+COUNTIF($E140:Y140,1),ColLivraison)=Z$6,
  VLOOKUP($E140,INDIRECT("tri!"&amp; CHAR(64+ C0Col) &amp;":"&amp; CHAR(65+C0Col)),2,FALSE)&gt;COUNTIF($E140:Y140,"u")+COUNTIF($E140:Y140,"t")+COUNTIF($E140:Y140,"¶")+COUNTIF($E140:Y140,"²")+COUNTIF($E140:Y140,"µ")+COUNTIF($E140:Y140,1)),
HYPERLINK("#Roadmap!C"&amp; MATCH($E140,Roadmap!$D:$D,0)+COUNTIF($E140:Y140,"u")+COUNTIF($E140:Y140,"t"),
     INDEX(Roadmap!$D:$K,MATCH($E140,Roadmap!$D:$D,0)+COUNTIF($E140:Y140,"u")+COUNTIF($E140:Y140,"t")+COUNTIF($E140:Y140,"¶")+COUNTIF($E140:Y140,"²")+COUNTIF($E140:Y140,"µ")+COUNTIF($E140:Y140,1),ColTypeEcheance)),
  IF(LEN(Y140)=1,
  IF(LEN(INDEX(Roadmap!$D:$K,MATCH($E140,Roadmap!$D:$D,0)-1+COUNTIF($E140:Y140,"u")+COUNTIF($E140:Y140,"t")+COUNTIF($E140:Y140,"¶")+COUNTIF($E140:Y140,"²")+COUNTIF($E140:Y140,"µ")+COUNTIF($E140:Y140,1),ColDescriptionCourte))&gt;1,
HYPERLINK("#Roadmap!C"&amp; MATCH($E140,Roadmap!$D:$D,0)+COUNTIF($E140:Y140,"u")+COUNTIF($E140:Y140,"t")+COUNTIF($E140:Y140,"¶")+COUNTIF($E140:Y140,"²")+COUNTIF($E140:Y140,"µ")+COUNTIF($E140:Y140,1)-1,INDEX(Roadmap!$D:$K,MATCH($E140,Roadmap!$D:$D,0)-1+COUNTIF($E140:Y140,"u")+COUNTIF($E140:Y140,"t")+COUNTIF($E140:Y140,"¶")+COUNTIF($E140:Y140,"²")+COUNTIF($E140:Y140,"µ")+COUNTIF($E140:Y140,1),ColDescriptionCourte)),""),
  "")),"")</f>
        <v/>
      </c>
      <c r="AA140" s="40" t="str">
        <f ca="1">IFERROR(IF(AND(
  INDEX(Roadmap!$D:$K,MATCH($E140,Roadmap!$D:$D,0)+COUNTIF($E140:Z140,"u")+COUNTIF($E140:Z140,"t")+COUNTIF($E140:Z140,"¶")+COUNTIF($E140:Z140,"²")+COUNTIF($E140:Z140,"µ")+COUNTIF($E140:Z140,1),ColLivraison)=AA$6,
  VLOOKUP($E140,INDIRECT("tri!"&amp; CHAR(64+ C0Col) &amp;":"&amp; CHAR(65+C0Col)),2,FALSE)&gt;COUNTIF($E140:Z140,"u")+COUNTIF($E140:Z140,"t")+COUNTIF($E140:Z140,"¶")+COUNTIF($E140:Z140,"²")+COUNTIF($E140:Z140,"µ")+COUNTIF($E140:Z140,1)),
HYPERLINK("#Roadmap!C"&amp; MATCH($E140,Roadmap!$D:$D,0)+COUNTIF($E140:Z140,"u")+COUNTIF($E140:Z140,"t"),
     INDEX(Roadmap!$D:$K,MATCH($E140,Roadmap!$D:$D,0)+COUNTIF($E140:Z140,"u")+COUNTIF($E140:Z140,"t")+COUNTIF($E140:Z140,"¶")+COUNTIF($E140:Z140,"²")+COUNTIF($E140:Z140,"µ")+COUNTIF($E140:Z140,1),ColTypeEcheance)),
  IF(LEN(Z140)=1,
  IF(LEN(INDEX(Roadmap!$D:$K,MATCH($E140,Roadmap!$D:$D,0)-1+COUNTIF($E140:Z140,"u")+COUNTIF($E140:Z140,"t")+COUNTIF($E140:Z140,"¶")+COUNTIF($E140:Z140,"²")+COUNTIF($E140:Z140,"µ")+COUNTIF($E140:Z140,1),ColDescriptionCourte))&gt;1,
HYPERLINK("#Roadmap!C"&amp; MATCH($E140,Roadmap!$D:$D,0)+COUNTIF($E140:Z140,"u")+COUNTIF($E140:Z140,"t")+COUNTIF($E140:Z140,"¶")+COUNTIF($E140:Z140,"²")+COUNTIF($E140:Z140,"µ")+COUNTIF($E140:Z140,1)-1,INDEX(Roadmap!$D:$K,MATCH($E140,Roadmap!$D:$D,0)-1+COUNTIF($E140:Z140,"u")+COUNTIF($E140:Z140,"t")+COUNTIF($E140:Z140,"¶")+COUNTIF($E140:Z140,"²")+COUNTIF($E140:Z140,"µ")+COUNTIF($E140:Z140,1),ColDescriptionCourte)),""),
  "")),"")</f>
        <v/>
      </c>
      <c r="AB140" s="40" t="str">
        <f ca="1">IFERROR(IF(AND(
  INDEX(Roadmap!$D:$K,MATCH($E140,Roadmap!$D:$D,0)+COUNTIF($E140:AA140,"u")+COUNTIF($E140:AA140,"t")+COUNTIF($E140:AA140,"¶")+COUNTIF($E140:AA140,"²")+COUNTIF($E140:AA140,"µ")+COUNTIF($E140:AA140,1),ColLivraison)=AB$6,
  VLOOKUP($E140,INDIRECT("tri!"&amp; CHAR(64+ C0Col) &amp;":"&amp; CHAR(65+C0Col)),2,FALSE)&gt;COUNTIF($E140:AA140,"u")+COUNTIF($E140:AA140,"t")+COUNTIF($E140:AA140,"¶")+COUNTIF($E140:AA140,"²")+COUNTIF($E140:AA140,"µ")+COUNTIF($E140:AA140,1)),
HYPERLINK("#Roadmap!C"&amp; MATCH($E140,Roadmap!$D:$D,0)+COUNTIF($E140:AA140,"u")+COUNTIF($E140:AA140,"t"),
     INDEX(Roadmap!$D:$K,MATCH($E140,Roadmap!$D:$D,0)+COUNTIF($E140:AA140,"u")+COUNTIF($E140:AA140,"t")+COUNTIF($E140:AA140,"¶")+COUNTIF($E140:AA140,"²")+COUNTIF($E140:AA140,"µ")+COUNTIF($E140:AA140,1),ColTypeEcheance)),
  IF(LEN(AA140)=1,
  IF(LEN(INDEX(Roadmap!$D:$K,MATCH($E140,Roadmap!$D:$D,0)-1+COUNTIF($E140:AA140,"u")+COUNTIF($E140:AA140,"t")+COUNTIF($E140:AA140,"¶")+COUNTIF($E140:AA140,"²")+COUNTIF($E140:AA140,"µ")+COUNTIF($E140:AA140,1),ColDescriptionCourte))&gt;1,
HYPERLINK("#Roadmap!C"&amp; MATCH($E140,Roadmap!$D:$D,0)+COUNTIF($E140:AA140,"u")+COUNTIF($E140:AA140,"t")+COUNTIF($E140:AA140,"¶")+COUNTIF($E140:AA140,"²")+COUNTIF($E140:AA140,"µ")+COUNTIF($E140:AA140,1)-1,INDEX(Roadmap!$D:$K,MATCH($E140,Roadmap!$D:$D,0)-1+COUNTIF($E140:AA140,"u")+COUNTIF($E140:AA140,"t")+COUNTIF($E140:AA140,"¶")+COUNTIF($E140:AA140,"²")+COUNTIF($E140:AA140,"µ")+COUNTIF($E140:AA140,1),ColDescriptionCourte)),""),
  "")),"")</f>
        <v/>
      </c>
      <c r="AC140" s="40" t="str">
        <f ca="1">IFERROR(IF(AND(
  INDEX(Roadmap!$D:$K,MATCH($E140,Roadmap!$D:$D,0)+COUNTIF($E140:AB140,"u")+COUNTIF($E140:AB140,"t")+COUNTIF($E140:AB140,"¶")+COUNTIF($E140:AB140,"²")+COUNTIF($E140:AB140,"µ")+COUNTIF($E140:AB140,1),ColLivraison)=AC$6,
  VLOOKUP($E140,INDIRECT("tri!"&amp; CHAR(64+ C0Col) &amp;":"&amp; CHAR(65+C0Col)),2,FALSE)&gt;COUNTIF($E140:AB140,"u")+COUNTIF($E140:AB140,"t")+COUNTIF($E140:AB140,"¶")+COUNTIF($E140:AB140,"²")+COUNTIF($E140:AB140,"µ")+COUNTIF($E140:AB140,1)),
HYPERLINK("#Roadmap!C"&amp; MATCH($E140,Roadmap!$D:$D,0)+COUNTIF($E140:AB140,"u")+COUNTIF($E140:AB140,"t"),
     INDEX(Roadmap!$D:$K,MATCH($E140,Roadmap!$D:$D,0)+COUNTIF($E140:AB140,"u")+COUNTIF($E140:AB140,"t")+COUNTIF($E140:AB140,"¶")+COUNTIF($E140:AB140,"²")+COUNTIF($E140:AB140,"µ")+COUNTIF($E140:AB140,1),ColTypeEcheance)),
  IF(LEN(AB140)=1,
  IF(LEN(INDEX(Roadmap!$D:$K,MATCH($E140,Roadmap!$D:$D,0)-1+COUNTIF($E140:AB140,"u")+COUNTIF($E140:AB140,"t")+COUNTIF($E140:AB140,"¶")+COUNTIF($E140:AB140,"²")+COUNTIF($E140:AB140,"µ")+COUNTIF($E140:AB140,1),ColDescriptionCourte))&gt;1,
HYPERLINK("#Roadmap!C"&amp; MATCH($E140,Roadmap!$D:$D,0)+COUNTIF($E140:AB140,"u")+COUNTIF($E140:AB140,"t")+COUNTIF($E140:AB140,"¶")+COUNTIF($E140:AB140,"²")+COUNTIF($E140:AB140,"µ")+COUNTIF($E140:AB140,1)-1,INDEX(Roadmap!$D:$K,MATCH($E140,Roadmap!$D:$D,0)-1+COUNTIF($E140:AB140,"u")+COUNTIF($E140:AB140,"t")+COUNTIF($E140:AB140,"¶")+COUNTIF($E140:AB140,"²")+COUNTIF($E140:AB140,"µ")+COUNTIF($E140:AB140,1),ColDescriptionCourte)),""),
  "")),"")</f>
        <v/>
      </c>
      <c r="AD140" s="40" t="str">
        <f ca="1">IFERROR(IF(AND(
  INDEX(Roadmap!$D:$K,MATCH($E140,Roadmap!$D:$D,0)+COUNTIF($E140:AC140,"u")+COUNTIF($E140:AC140,"t")+COUNTIF($E140:AC140,"¶")+COUNTIF($E140:AC140,"²")+COUNTIF($E140:AC140,"µ")+COUNTIF($E140:AC140,1),ColLivraison)=AD$6,
  VLOOKUP($E140,INDIRECT("tri!"&amp; CHAR(64+ C0Col) &amp;":"&amp; CHAR(65+C0Col)),2,FALSE)&gt;COUNTIF($E140:AC140,"u")+COUNTIF($E140:AC140,"t")+COUNTIF($E140:AC140,"¶")+COUNTIF($E140:AC140,"²")+COUNTIF($E140:AC140,"µ")+COUNTIF($E140:AC140,1)),
HYPERLINK("#Roadmap!C"&amp; MATCH($E140,Roadmap!$D:$D,0)+COUNTIF($E140:AC140,"u")+COUNTIF($E140:AC140,"t"),
     INDEX(Roadmap!$D:$K,MATCH($E140,Roadmap!$D:$D,0)+COUNTIF($E140:AC140,"u")+COUNTIF($E140:AC140,"t")+COUNTIF($E140:AC140,"¶")+COUNTIF($E140:AC140,"²")+COUNTIF($E140:AC140,"µ")+COUNTIF($E140:AC140,1),ColTypeEcheance)),
  IF(LEN(AC140)=1,
  IF(LEN(INDEX(Roadmap!$D:$K,MATCH($E140,Roadmap!$D:$D,0)-1+COUNTIF($E140:AC140,"u")+COUNTIF($E140:AC140,"t")+COUNTIF($E140:AC140,"¶")+COUNTIF($E140:AC140,"²")+COUNTIF($E140:AC140,"µ")+COUNTIF($E140:AC140,1),ColDescriptionCourte))&gt;1,
HYPERLINK("#Roadmap!C"&amp; MATCH($E140,Roadmap!$D:$D,0)+COUNTIF($E140:AC140,"u")+COUNTIF($E140:AC140,"t")+COUNTIF($E140:AC140,"¶")+COUNTIF($E140:AC140,"²")+COUNTIF($E140:AC140,"µ")+COUNTIF($E140:AC140,1)-1,INDEX(Roadmap!$D:$K,MATCH($E140,Roadmap!$D:$D,0)-1+COUNTIF($E140:AC140,"u")+COUNTIF($E140:AC140,"t")+COUNTIF($E140:AC140,"¶")+COUNTIF($E140:AC140,"²")+COUNTIF($E140:AC140,"µ")+COUNTIF($E140:AC140,1),ColDescriptionCourte)),""),
  "")),"")</f>
        <v/>
      </c>
      <c r="AE140" s="40" t="str">
        <f ca="1">IFERROR(IF(AND(
  INDEX(Roadmap!$D:$K,MATCH($E140,Roadmap!$D:$D,0)+COUNTIF($E140:AD140,"u")+COUNTIF($E140:AD140,"t")+COUNTIF($E140:AD140,"¶")+COUNTIF($E140:AD140,"²")+COUNTIF($E140:AD140,"µ")+COUNTIF($E140:AD140,1),ColLivraison)=AE$6,
  VLOOKUP($E140,INDIRECT("tri!"&amp; CHAR(64+ C0Col) &amp;":"&amp; CHAR(65+C0Col)),2,FALSE)&gt;COUNTIF($E140:AD140,"u")+COUNTIF($E140:AD140,"t")+COUNTIF($E140:AD140,"¶")+COUNTIF($E140:AD140,"²")+COUNTIF($E140:AD140,"µ")+COUNTIF($E140:AD140,1)),
HYPERLINK("#Roadmap!C"&amp; MATCH($E140,Roadmap!$D:$D,0)+COUNTIF($E140:AD140,"u")+COUNTIF($E140:AD140,"t"),
     INDEX(Roadmap!$D:$K,MATCH($E140,Roadmap!$D:$D,0)+COUNTIF($E140:AD140,"u")+COUNTIF($E140:AD140,"t")+COUNTIF($E140:AD140,"¶")+COUNTIF($E140:AD140,"²")+COUNTIF($E140:AD140,"µ")+COUNTIF($E140:AD140,1),ColTypeEcheance)),
  IF(LEN(AD140)=1,
  IF(LEN(INDEX(Roadmap!$D:$K,MATCH($E140,Roadmap!$D:$D,0)-1+COUNTIF($E140:AD140,"u")+COUNTIF($E140:AD140,"t")+COUNTIF($E140:AD140,"¶")+COUNTIF($E140:AD140,"²")+COUNTIF($E140:AD140,"µ")+COUNTIF($E140:AD140,1),ColDescriptionCourte))&gt;1,
HYPERLINK("#Roadmap!C"&amp; MATCH($E140,Roadmap!$D:$D,0)+COUNTIF($E140:AD140,"u")+COUNTIF($E140:AD140,"t")+COUNTIF($E140:AD140,"¶")+COUNTIF($E140:AD140,"²")+COUNTIF($E140:AD140,"µ")+COUNTIF($E140:AD140,1)-1,INDEX(Roadmap!$D:$K,MATCH($E140,Roadmap!$D:$D,0)-1+COUNTIF($E140:AD140,"u")+COUNTIF($E140:AD140,"t")+COUNTIF($E140:AD140,"¶")+COUNTIF($E140:AD140,"²")+COUNTIF($E140:AD140,"µ")+COUNTIF($E140:AD140,1),ColDescriptionCourte)),""),
  "")),"")</f>
        <v/>
      </c>
      <c r="AF140" s="40" t="str">
        <f ca="1">IFERROR(IF(AND(
  INDEX(Roadmap!$D:$K,MATCH($E140,Roadmap!$D:$D,0)+COUNTIF($E140:AE140,"u")+COUNTIF($E140:AE140,"t")+COUNTIF($E140:AE140,"¶")+COUNTIF($E140:AE140,"²")+COUNTIF($E140:AE140,"µ")+COUNTIF($E140:AE140,1),ColLivraison)=AF$6,
  VLOOKUP($E140,INDIRECT("tri!"&amp; CHAR(64+ C0Col) &amp;":"&amp; CHAR(65+C0Col)),2,FALSE)&gt;COUNTIF($E140:AE140,"u")+COUNTIF($E140:AE140,"t")+COUNTIF($E140:AE140,"¶")+COUNTIF($E140:AE140,"²")+COUNTIF($E140:AE140,"µ")+COUNTIF($E140:AE140,1)),
HYPERLINK("#Roadmap!C"&amp; MATCH($E140,Roadmap!$D:$D,0)+COUNTIF($E140:AE140,"u")+COUNTIF($E140:AE140,"t"),
     INDEX(Roadmap!$D:$K,MATCH($E140,Roadmap!$D:$D,0)+COUNTIF($E140:AE140,"u")+COUNTIF($E140:AE140,"t")+COUNTIF($E140:AE140,"¶")+COUNTIF($E140:AE140,"²")+COUNTIF($E140:AE140,"µ")+COUNTIF($E140:AE140,1),ColTypeEcheance)),
  IF(LEN(AE140)=1,
  IF(LEN(INDEX(Roadmap!$D:$K,MATCH($E140,Roadmap!$D:$D,0)-1+COUNTIF($E140:AE140,"u")+COUNTIF($E140:AE140,"t")+COUNTIF($E140:AE140,"¶")+COUNTIF($E140:AE140,"²")+COUNTIF($E140:AE140,"µ")+COUNTIF($E140:AE140,1),ColDescriptionCourte))&gt;1,
HYPERLINK("#Roadmap!C"&amp; MATCH($E140,Roadmap!$D:$D,0)+COUNTIF($E140:AE140,"u")+COUNTIF($E140:AE140,"t")+COUNTIF($E140:AE140,"¶")+COUNTIF($E140:AE140,"²")+COUNTIF($E140:AE140,"µ")+COUNTIF($E140:AE140,1)-1,INDEX(Roadmap!$D:$K,MATCH($E140,Roadmap!$D:$D,0)-1+COUNTIF($E140:AE140,"u")+COUNTIF($E140:AE140,"t")+COUNTIF($E140:AE140,"¶")+COUNTIF($E140:AE140,"²")+COUNTIF($E140:AE140,"µ")+COUNTIF($E140:AE140,1),ColDescriptionCourte)),""),
  "")),"")</f>
        <v/>
      </c>
      <c r="AG140" s="40" t="str">
        <f ca="1">IFERROR(IF(AND(
  INDEX(Roadmap!$D:$K,MATCH($E140,Roadmap!$D:$D,0)+COUNTIF($E140:AF140,"u")+COUNTIF($E140:AF140,"t")+COUNTIF($E140:AF140,"¶")+COUNTIF($E140:AF140,"²")+COUNTIF($E140:AF140,"µ")+COUNTIF($E140:AF140,1),ColLivraison)=AG$6,
  VLOOKUP($E140,INDIRECT("tri!"&amp; CHAR(64+ C0Col) &amp;":"&amp; CHAR(65+C0Col)),2,FALSE)&gt;COUNTIF($E140:AF140,"u")+COUNTIF($E140:AF140,"t")+COUNTIF($E140:AF140,"¶")+COUNTIF($E140:AF140,"²")+COUNTIF($E140:AF140,"µ")+COUNTIF($E140:AF140,1)),
HYPERLINK("#Roadmap!C"&amp; MATCH($E140,Roadmap!$D:$D,0)+COUNTIF($E140:AF140,"u")+COUNTIF($E140:AF140,"t"),
     INDEX(Roadmap!$D:$K,MATCH($E140,Roadmap!$D:$D,0)+COUNTIF($E140:AF140,"u")+COUNTIF($E140:AF140,"t")+COUNTIF($E140:AF140,"¶")+COUNTIF($E140:AF140,"²")+COUNTIF($E140:AF140,"µ")+COUNTIF($E140:AF140,1),ColTypeEcheance)),
  IF(LEN(AF140)=1,
  IF(LEN(INDEX(Roadmap!$D:$K,MATCH($E140,Roadmap!$D:$D,0)-1+COUNTIF($E140:AF140,"u")+COUNTIF($E140:AF140,"t")+COUNTIF($E140:AF140,"¶")+COUNTIF($E140:AF140,"²")+COUNTIF($E140:AF140,"µ")+COUNTIF($E140:AF140,1),ColDescriptionCourte))&gt;1,
HYPERLINK("#Roadmap!C"&amp; MATCH($E140,Roadmap!$D:$D,0)+COUNTIF($E140:AF140,"u")+COUNTIF($E140:AF140,"t")+COUNTIF($E140:AF140,"¶")+COUNTIF($E140:AF140,"²")+COUNTIF($E140:AF140,"µ")+COUNTIF($E140:AF140,1)-1,INDEX(Roadmap!$D:$K,MATCH($E140,Roadmap!$D:$D,0)-1+COUNTIF($E140:AF140,"u")+COUNTIF($E140:AF140,"t")+COUNTIF($E140:AF140,"¶")+COUNTIF($E140:AF140,"²")+COUNTIF($E140:AF140,"µ")+COUNTIF($E140:AF140,1),ColDescriptionCourte)),""),
  "")),"")</f>
        <v/>
      </c>
      <c r="AH140" s="40" t="str">
        <f ca="1">IFERROR(IF(AND(
  INDEX(Roadmap!$D:$K,MATCH($E140,Roadmap!$D:$D,0)+COUNTIF($E140:AG140,"u")+COUNTIF($E140:AG140,"t")+COUNTIF($E140:AG140,1),ColLivraison)=AH$6,
  VLOOKUP($E140,INDIRECT("tri!"&amp; CHAR(64+ C0Col) &amp;":"&amp; CHAR(65+C0Col)),2,FALSE)&gt;COUNTIF($E140:AG140,"u")+COUNTIF($E140:AG140,"t")+COUNTIF($E140:AG140,1)),
HYPERLINK("#Roadmap!C"&amp; MATCH($E140,Roadmap!$D:$D,0)+COUNTIF($E140:AG140,"u")+COUNTIF($E140:AG140,"t"),
     INDEX(Roadmap!$D:$K,MATCH($E140,Roadmap!$D:$D,0)+COUNTIF($E140:AG140,"u")+COUNTIF($E140:AG140,"t")+COUNTIF($E140:AG140,1),ColTypeEcheance)),
  IF(OR(AG140="u",AG140="t",AG140=1),
  IF(LEN(INDEX(Roadmap!$D:$K,MATCH($E140,Roadmap!$D:$D,0)-1+COUNTIF($E140:AG140,"u")+COUNTIF($E140:AG140,"t")+COUNTIF($E140:AG140,1),ColDescriptionCourte))&gt;1,
HYPERLINK("#Roadmap!C"&amp; MATCH($E140,Roadmap!$D:$D,0)+COUNTIF($E140:AG140,"u")+COUNTIF($E140:AG140,"t")+COUNTIF($E140:AG140,1)-1,INDEX(Roadmap!$D:$K,MATCH($E140,Roadmap!$D:$D,0)-1+COUNTIF($E140:AG140,"u")+COUNTIF($E140:AG140,"t")+COUNTIF($E140:AG140,1),ColDescriptionCourte)),""),
  "")),"")</f>
        <v/>
      </c>
      <c r="AI140" s="40"/>
      <c r="AJ140" s="40"/>
      <c r="AK140" s="40"/>
      <c r="AL140" s="40"/>
      <c r="AM140" s="40"/>
    </row>
    <row r="141" spans="4:39" ht="14.1" customHeight="1">
      <c r="D141" s="20" t="str">
        <f t="shared" ca="1" si="31"/>
        <v/>
      </c>
      <c r="E141" s="53" t="str">
        <f t="shared" ca="1" si="32"/>
        <v/>
      </c>
      <c r="F141" s="39" t="str">
        <f ca="1">IFERROR(IF(AND(
  INDEX(Roadmap!$D:$K,MATCH($E141,Roadmap!$D:$D,0)+COUNTIF($E141:E141,"u")+COUNTIF($E141:E141,"t")+COUNTIF($E141:E141,"¶")+COUNTIF($E141:E141,"²")+COUNTIF($E141:E141,"µ")+COUNTIF($E141:E141,1),ColLivraison)=F$6,
  VLOOKUP($E141,INDIRECT("tri!"&amp; CHAR(64+ C0Col) &amp;":"&amp; CHAR(65+C0Col)),2,FALSE)&gt;COUNTIF($E141:E141,"u")+COUNTIF($E141:E141,"t")+COUNTIF($E141:E141,"¶")+COUNTIF($E141:E141,"²")+COUNTIF($E141:E141,"µ")+COUNTIF($E141:E141,1)),
HYPERLINK("#Roadmap!C"&amp; MATCH($E141,Roadmap!$D:$D,0)+COUNTIF($E141:E141,"u")+COUNTIF($E141:E141,"t"),
     INDEX(Roadmap!$D:$K,MATCH($E141,Roadmap!$D:$D,0)+COUNTIF($E141:E141,"u")+COUNTIF($E141:E141,"t")+COUNTIF($E141:E141,"¶")+COUNTIF($E141:E141,"²")+COUNTIF($E141:E141,"µ")+COUNTIF($E141:E141,1),ColTypeEcheance)),
  IF(LEN(E141)=1,
  IF(LEN(INDEX(Roadmap!$D:$K,MATCH($E141,Roadmap!$D:$D,0)-1+COUNTIF($E141:E141,"u")+COUNTIF($E141:E141,"t")+COUNTIF($E141:E141,"¶")+COUNTIF($E141:E141,"²")+COUNTIF($E141:E141,"µ")+COUNTIF($E141:E141,1),ColDescriptionCourte))&gt;1,
HYPERLINK("#Roadmap!C"&amp; MATCH($E141,Roadmap!$D:$D,0)+COUNTIF($E141:E141,"u")+COUNTIF($E141:E141,"t")+COUNTIF($E141:E141,"¶")+COUNTIF($E141:E141,"²")+COUNTIF($E141:E141,"µ")+COUNTIF($E141:E141,1)-1,INDEX(Roadmap!$D:$K,MATCH($E141,Roadmap!$D:$D,0)-1+COUNTIF($E141:E141,"u")+COUNTIF($E141:E141,"t")+COUNTIF($E141:E141,"¶")+COUNTIF($E141:E141,"²")+COUNTIF($E141:E141,"µ")+COUNTIF($E141:E141,1),ColDescriptionCourte)),""),
  "")),"")</f>
        <v/>
      </c>
      <c r="G141" s="40" t="str">
        <f ca="1">IFERROR(IF(AND(
  INDEX(Roadmap!$D:$K,MATCH($E141,Roadmap!$D:$D,0)+COUNTIF($E141:F141,"u")+COUNTIF($E141:F141,"t")+COUNTIF($E141:F141,"¶")+COUNTIF($E141:F141,"²")+COUNTIF($E141:F141,"µ")+COUNTIF($E141:F141,1),ColLivraison)=G$6,
  VLOOKUP($E141,INDIRECT("tri!"&amp; CHAR(64+ C0Col) &amp;":"&amp; CHAR(65+C0Col)),2,FALSE)&gt;COUNTIF($E141:F141,"u")+COUNTIF($E141:F141,"t")+COUNTIF($E141:F141,"¶")+COUNTIF($E141:F141,"²")+COUNTIF($E141:F141,"µ")+COUNTIF($E141:F141,1)),
HYPERLINK("#Roadmap!C"&amp; MATCH($E141,Roadmap!$D:$D,0)+COUNTIF($E141:F141,"u")+COUNTIF($E141:F141,"t"),
     INDEX(Roadmap!$D:$K,MATCH($E141,Roadmap!$D:$D,0)+COUNTIF($E141:F141,"u")+COUNTIF($E141:F141,"t")+COUNTIF($E141:F141,"¶")+COUNTIF($E141:F141,"²")+COUNTIF($E141:F141,"µ")+COUNTIF($E141:F141,1),ColTypeEcheance)),
  IF(LEN(F141)=1,
  IF(LEN(INDEX(Roadmap!$D:$K,MATCH($E141,Roadmap!$D:$D,0)-1+COUNTIF($E141:F141,"u")+COUNTIF($E141:F141,"t")+COUNTIF($E141:F141,"¶")+COUNTIF($E141:F141,"²")+COUNTIF($E141:F141,"µ")+COUNTIF($E141:F141,1),ColDescriptionCourte))&gt;1,
HYPERLINK("#Roadmap!C"&amp; MATCH($E141,Roadmap!$D:$D,0)+COUNTIF($E141:F141,"u")+COUNTIF($E141:F141,"t")+COUNTIF($E141:F141,"¶")+COUNTIF($E141:F141,"²")+COUNTIF($E141:F141,"µ")+COUNTIF($E141:F141,1)-1,INDEX(Roadmap!$D:$K,MATCH($E141,Roadmap!$D:$D,0)-1+COUNTIF($E141:F141,"u")+COUNTIF($E141:F141,"t")+COUNTIF($E141:F141,"¶")+COUNTIF($E141:F141,"²")+COUNTIF($E141:F141,"µ")+COUNTIF($E141:F141,1),ColDescriptionCourte)),""),
  "")),"")</f>
        <v/>
      </c>
      <c r="H141" s="40" t="str">
        <f ca="1">IFERROR(IF(AND(
  INDEX(Roadmap!$D:$K,MATCH($E141,Roadmap!$D:$D,0)+COUNTIF($E141:G141,"u")+COUNTIF($E141:G141,"t")+COUNTIF($E141:G141,"¶")+COUNTIF($E141:G141,"²")+COUNTIF($E141:G141,"µ")+COUNTIF($E141:G141,1),ColLivraison)=H$6,
  VLOOKUP($E141,INDIRECT("tri!"&amp; CHAR(64+ C0Col) &amp;":"&amp; CHAR(65+C0Col)),2,FALSE)&gt;COUNTIF($E141:G141,"u")+COUNTIF($E141:G141,"t")+COUNTIF($E141:G141,"¶")+COUNTIF($E141:G141,"²")+COUNTIF($E141:G141,"µ")+COUNTIF($E141:G141,1)),
HYPERLINK("#Roadmap!C"&amp; MATCH($E141,Roadmap!$D:$D,0)+COUNTIF($E141:G141,"u")+COUNTIF($E141:G141,"t"),
     INDEX(Roadmap!$D:$K,MATCH($E141,Roadmap!$D:$D,0)+COUNTIF($E141:G141,"u")+COUNTIF($E141:G141,"t")+COUNTIF($E141:G141,"¶")+COUNTIF($E141:G141,"²")+COUNTIF($E141:G141,"µ")+COUNTIF($E141:G141,1),ColTypeEcheance)),
  IF(LEN(G141)=1,
  IF(LEN(INDEX(Roadmap!$D:$K,MATCH($E141,Roadmap!$D:$D,0)-1+COUNTIF($E141:G141,"u")+COUNTIF($E141:G141,"t")+COUNTIF($E141:G141,"¶")+COUNTIF($E141:G141,"²")+COUNTIF($E141:G141,"µ")+COUNTIF($E141:G141,1),ColDescriptionCourte))&gt;1,
HYPERLINK("#Roadmap!C"&amp; MATCH($E141,Roadmap!$D:$D,0)+COUNTIF($E141:G141,"u")+COUNTIF($E141:G141,"t")+COUNTIF($E141:G141,"¶")+COUNTIF($E141:G141,"²")+COUNTIF($E141:G141,"µ")+COUNTIF($E141:G141,1)-1,INDEX(Roadmap!$D:$K,MATCH($E141,Roadmap!$D:$D,0)-1+COUNTIF($E141:G141,"u")+COUNTIF($E141:G141,"t")+COUNTIF($E141:G141,"¶")+COUNTIF($E141:G141,"²")+COUNTIF($E141:G141,"µ")+COUNTIF($E141:G141,1),ColDescriptionCourte)),""),
  "")),"")</f>
        <v/>
      </c>
      <c r="I141" s="40" t="str">
        <f ca="1">IFERROR(IF(AND(
  INDEX(Roadmap!$D:$K,MATCH($E141,Roadmap!$D:$D,0)+COUNTIF($E141:H141,"u")+COUNTIF($E141:H141,"t")+COUNTIF($E141:H141,"¶")+COUNTIF($E141:H141,"²")+COUNTIF($E141:H141,"µ")+COUNTIF($E141:H141,1),ColLivraison)=I$6,
  VLOOKUP($E141,INDIRECT("tri!"&amp; CHAR(64+ C0Col) &amp;":"&amp; CHAR(65+C0Col)),2,FALSE)&gt;COUNTIF($E141:H141,"u")+COUNTIF($E141:H141,"t")+COUNTIF($E141:H141,"¶")+COUNTIF($E141:H141,"²")+COUNTIF($E141:H141,"µ")+COUNTIF($E141:H141,1)),
HYPERLINK("#Roadmap!C"&amp; MATCH($E141,Roadmap!$D:$D,0)+COUNTIF($E141:H141,"u")+COUNTIF($E141:H141,"t"),
     INDEX(Roadmap!$D:$K,MATCH($E141,Roadmap!$D:$D,0)+COUNTIF($E141:H141,"u")+COUNTIF($E141:H141,"t")+COUNTIF($E141:H141,"¶")+COUNTIF($E141:H141,"²")+COUNTIF($E141:H141,"µ")+COUNTIF($E141:H141,1),ColTypeEcheance)),
  IF(LEN(H141)=1,
  IF(LEN(INDEX(Roadmap!$D:$K,MATCH($E141,Roadmap!$D:$D,0)-1+COUNTIF($E141:H141,"u")+COUNTIF($E141:H141,"t")+COUNTIF($E141:H141,"¶")+COUNTIF($E141:H141,"²")+COUNTIF($E141:H141,"µ")+COUNTIF($E141:H141,1),ColDescriptionCourte))&gt;1,
HYPERLINK("#Roadmap!C"&amp; MATCH($E141,Roadmap!$D:$D,0)+COUNTIF($E141:H141,"u")+COUNTIF($E141:H141,"t")+COUNTIF($E141:H141,"¶")+COUNTIF($E141:H141,"²")+COUNTIF($E141:H141,"µ")+COUNTIF($E141:H141,1)-1,INDEX(Roadmap!$D:$K,MATCH($E141,Roadmap!$D:$D,0)-1+COUNTIF($E141:H141,"u")+COUNTIF($E141:H141,"t")+COUNTIF($E141:H141,"¶")+COUNTIF($E141:H141,"²")+COUNTIF($E141:H141,"µ")+COUNTIF($E141:H141,1),ColDescriptionCourte)),""),
  "")),"")</f>
        <v/>
      </c>
      <c r="J141" s="40" t="str">
        <f ca="1">IFERROR(IF(AND(
  INDEX(Roadmap!$D:$K,MATCH($E141,Roadmap!$D:$D,0)+COUNTIF($E141:I141,"u")+COUNTIF($E141:I141,"t")+COUNTIF($E141:I141,"¶")+COUNTIF($E141:I141,"²")+COUNTIF($E141:I141,"µ")+COUNTIF($E141:I141,1),ColLivraison)=J$6,
  VLOOKUP($E141,INDIRECT("tri!"&amp; CHAR(64+ C0Col) &amp;":"&amp; CHAR(65+C0Col)),2,FALSE)&gt;COUNTIF($E141:I141,"u")+COUNTIF($E141:I141,"t")+COUNTIF($E141:I141,"¶")+COUNTIF($E141:I141,"²")+COUNTIF($E141:I141,"µ")+COUNTIF($E141:I141,1)),
HYPERLINK("#Roadmap!C"&amp; MATCH($E141,Roadmap!$D:$D,0)+COUNTIF($E141:I141,"u")+COUNTIF($E141:I141,"t"),
     INDEX(Roadmap!$D:$K,MATCH($E141,Roadmap!$D:$D,0)+COUNTIF($E141:I141,"u")+COUNTIF($E141:I141,"t")+COUNTIF($E141:I141,"¶")+COUNTIF($E141:I141,"²")+COUNTIF($E141:I141,"µ")+COUNTIF($E141:I141,1),ColTypeEcheance)),
  IF(LEN(I141)=1,
  IF(LEN(INDEX(Roadmap!$D:$K,MATCH($E141,Roadmap!$D:$D,0)-1+COUNTIF($E141:I141,"u")+COUNTIF($E141:I141,"t")+COUNTIF($E141:I141,"¶")+COUNTIF($E141:I141,"²")+COUNTIF($E141:I141,"µ")+COUNTIF($E141:I141,1),ColDescriptionCourte))&gt;1,
HYPERLINK("#Roadmap!C"&amp; MATCH($E141,Roadmap!$D:$D,0)+COUNTIF($E141:I141,"u")+COUNTIF($E141:I141,"t")+COUNTIF($E141:I141,"¶")+COUNTIF($E141:I141,"²")+COUNTIF($E141:I141,"µ")+COUNTIF($E141:I141,1)-1,INDEX(Roadmap!$D:$K,MATCH($E141,Roadmap!$D:$D,0)-1+COUNTIF($E141:I141,"u")+COUNTIF($E141:I141,"t")+COUNTIF($E141:I141,"¶")+COUNTIF($E141:I141,"²")+COUNTIF($E141:I141,"µ")+COUNTIF($E141:I141,1),ColDescriptionCourte)),""),
  "")),"")</f>
        <v/>
      </c>
      <c r="K141" s="40" t="str">
        <f ca="1">IFERROR(IF(AND(
  INDEX(Roadmap!$D:$K,MATCH($E141,Roadmap!$D:$D,0)+COUNTIF($E141:J141,"u")+COUNTIF($E141:J141,"t")+COUNTIF($E141:J141,"¶")+COUNTIF($E141:J141,"²")+COUNTIF($E141:J141,"µ")+COUNTIF($E141:J141,1),ColLivraison)=K$6,
  VLOOKUP($E141,INDIRECT("tri!"&amp; CHAR(64+ C0Col) &amp;":"&amp; CHAR(65+C0Col)),2,FALSE)&gt;COUNTIF($E141:J141,"u")+COUNTIF($E141:J141,"t")+COUNTIF($E141:J141,"¶")+COUNTIF($E141:J141,"²")+COUNTIF($E141:J141,"µ")+COUNTIF($E141:J141,1)),
HYPERLINK("#Roadmap!C"&amp; MATCH($E141,Roadmap!$D:$D,0)+COUNTIF($E141:J141,"u")+COUNTIF($E141:J141,"t"),
     INDEX(Roadmap!$D:$K,MATCH($E141,Roadmap!$D:$D,0)+COUNTIF($E141:J141,"u")+COUNTIF($E141:J141,"t")+COUNTIF($E141:J141,"¶")+COUNTIF($E141:J141,"²")+COUNTIF($E141:J141,"µ")+COUNTIF($E141:J141,1),ColTypeEcheance)),
  IF(LEN(J141)=1,
  IF(LEN(INDEX(Roadmap!$D:$K,MATCH($E141,Roadmap!$D:$D,0)-1+COUNTIF($E141:J141,"u")+COUNTIF($E141:J141,"t")+COUNTIF($E141:J141,"¶")+COUNTIF($E141:J141,"²")+COUNTIF($E141:J141,"µ")+COUNTIF($E141:J141,1),ColDescriptionCourte))&gt;1,
HYPERLINK("#Roadmap!C"&amp; MATCH($E141,Roadmap!$D:$D,0)+COUNTIF($E141:J141,"u")+COUNTIF($E141:J141,"t")+COUNTIF($E141:J141,"¶")+COUNTIF($E141:J141,"²")+COUNTIF($E141:J141,"µ")+COUNTIF($E141:J141,1)-1,INDEX(Roadmap!$D:$K,MATCH($E141,Roadmap!$D:$D,0)-1+COUNTIF($E141:J141,"u")+COUNTIF($E141:J141,"t")+COUNTIF($E141:J141,"¶")+COUNTIF($E141:J141,"²")+COUNTIF($E141:J141,"µ")+COUNTIF($E141:J141,1),ColDescriptionCourte)),""),
  "")),"")</f>
        <v/>
      </c>
      <c r="L141" s="39" t="str">
        <f ca="1">IFERROR(IF(AND(
  INDEX(Roadmap!$D:$K,MATCH($E141,Roadmap!$D:$D,0)+COUNTIF($E141:K141,"u")+COUNTIF($E141:K141,"t")+COUNTIF($E141:K141,"¶")+COUNTIF($E141:K141,"²")+COUNTIF($E141:K141,"µ")+COUNTIF($E141:K141,1),ColLivraison)=L$6,
  VLOOKUP($E141,INDIRECT("tri!"&amp; CHAR(64+ C0Col) &amp;":"&amp; CHAR(65+C0Col)),2,FALSE)&gt;COUNTIF($E141:K141,"u")+COUNTIF($E141:K141,"t")+COUNTIF($E141:K141,"¶")+COUNTIF($E141:K141,"²")+COUNTIF($E141:K141,"µ")+COUNTIF($E141:K141,1)),
HYPERLINK("#Roadmap!C"&amp; MATCH($E141,Roadmap!$D:$D,0)+COUNTIF($E141:K141,"u")+COUNTIF($E141:K141,"t"),
     INDEX(Roadmap!$D:$K,MATCH($E141,Roadmap!$D:$D,0)+COUNTIF($E141:K141,"u")+COUNTIF($E141:K141,"t")+COUNTIF($E141:K141,"¶")+COUNTIF($E141:K141,"²")+COUNTIF($E141:K141,"µ")+COUNTIF($E141:K141,1),ColTypeEcheance)),
  IF(LEN(K141)=1,
  IF(LEN(INDEX(Roadmap!$D:$K,MATCH($E141,Roadmap!$D:$D,0)-1+COUNTIF($E141:K141,"u")+COUNTIF($E141:K141,"t")+COUNTIF($E141:K141,"¶")+COUNTIF($E141:K141,"²")+COUNTIF($E141:K141,"µ")+COUNTIF($E141:K141,1),ColDescriptionCourte))&gt;1,
HYPERLINK("#Roadmap!C"&amp; MATCH($E141,Roadmap!$D:$D,0)+COUNTIF($E141:K141,"u")+COUNTIF($E141:K141,"t")+COUNTIF($E141:K141,"¶")+COUNTIF($E141:K141,"²")+COUNTIF($E141:K141,"µ")+COUNTIF($E141:K141,1)-1,INDEX(Roadmap!$D:$K,MATCH($E141,Roadmap!$D:$D,0)-1+COUNTIF($E141:K141,"u")+COUNTIF($E141:K141,"t")+COUNTIF($E141:K141,"¶")+COUNTIF($E141:K141,"²")+COUNTIF($E141:K141,"µ")+COUNTIF($E141:K141,1),ColDescriptionCourte)),""),
  "")),"")</f>
        <v/>
      </c>
      <c r="M141" s="40" t="str">
        <f ca="1">IFERROR(IF(AND(
  INDEX(Roadmap!$D:$K,MATCH($E141,Roadmap!$D:$D,0)+COUNTIF($E141:L141,"u")+COUNTIF($E141:L141,"t")+COUNTIF($E141:L141,"¶")+COUNTIF($E141:L141,"²")+COUNTIF($E141:L141,"µ")+COUNTIF($E141:L141,1),ColLivraison)=M$6,
  VLOOKUP($E141,INDIRECT("tri!"&amp; CHAR(64+ C0Col) &amp;":"&amp; CHAR(65+C0Col)),2,FALSE)&gt;COUNTIF($E141:L141,"u")+COUNTIF($E141:L141,"t")+COUNTIF($E141:L141,"¶")+COUNTIF($E141:L141,"²")+COUNTIF($E141:L141,"µ")+COUNTIF($E141:L141,1)),
HYPERLINK("#Roadmap!C"&amp; MATCH($E141,Roadmap!$D:$D,0)+COUNTIF($E141:L141,"u")+COUNTIF($E141:L141,"t"),
     INDEX(Roadmap!$D:$K,MATCH($E141,Roadmap!$D:$D,0)+COUNTIF($E141:L141,"u")+COUNTIF($E141:L141,"t")+COUNTIF($E141:L141,"¶")+COUNTIF($E141:L141,"²")+COUNTIF($E141:L141,"µ")+COUNTIF($E141:L141,1),ColTypeEcheance)),
  IF(LEN(L141)=1,
  IF(LEN(INDEX(Roadmap!$D:$K,MATCH($E141,Roadmap!$D:$D,0)-1+COUNTIF($E141:L141,"u")+COUNTIF($E141:L141,"t")+COUNTIF($E141:L141,"¶")+COUNTIF($E141:L141,"²")+COUNTIF($E141:L141,"µ")+COUNTIF($E141:L141,1),ColDescriptionCourte))&gt;1,
HYPERLINK("#Roadmap!C"&amp; MATCH($E141,Roadmap!$D:$D,0)+COUNTIF($E141:L141,"u")+COUNTIF($E141:L141,"t")+COUNTIF($E141:L141,"¶")+COUNTIF($E141:L141,"²")+COUNTIF($E141:L141,"µ")+COUNTIF($E141:L141,1)-1,INDEX(Roadmap!$D:$K,MATCH($E141,Roadmap!$D:$D,0)-1+COUNTIF($E141:L141,"u")+COUNTIF($E141:L141,"t")+COUNTIF($E141:L141,"¶")+COUNTIF($E141:L141,"²")+COUNTIF($E141:L141,"µ")+COUNTIF($E141:L141,1),ColDescriptionCourte)),""),
  "")),"")</f>
        <v/>
      </c>
      <c r="N141" s="40" t="str">
        <f ca="1">IFERROR(IF(AND(
  INDEX(Roadmap!$D:$K,MATCH($E141,Roadmap!$D:$D,0)+COUNTIF($E141:M141,"u")+COUNTIF($E141:M141,"t")+COUNTIF($E141:M141,"¶")+COUNTIF($E141:M141,"²")+COUNTIF($E141:M141,"µ")+COUNTIF($E141:M141,1),ColLivraison)=N$6,
  VLOOKUP($E141,INDIRECT("tri!"&amp; CHAR(64+ C0Col) &amp;":"&amp; CHAR(65+C0Col)),2,FALSE)&gt;COUNTIF($E141:M141,"u")+COUNTIF($E141:M141,"t")+COUNTIF($E141:M141,"¶")+COUNTIF($E141:M141,"²")+COUNTIF($E141:M141,"µ")+COUNTIF($E141:M141,1)),
HYPERLINK("#Roadmap!C"&amp; MATCH($E141,Roadmap!$D:$D,0)+COUNTIF($E141:M141,"u")+COUNTIF($E141:M141,"t"),
     INDEX(Roadmap!$D:$K,MATCH($E141,Roadmap!$D:$D,0)+COUNTIF($E141:M141,"u")+COUNTIF($E141:M141,"t")+COUNTIF($E141:M141,"¶")+COUNTIF($E141:M141,"²")+COUNTIF($E141:M141,"µ")+COUNTIF($E141:M141,1),ColTypeEcheance)),
  IF(LEN(M141)=1,
  IF(LEN(INDEX(Roadmap!$D:$K,MATCH($E141,Roadmap!$D:$D,0)-1+COUNTIF($E141:M141,"u")+COUNTIF($E141:M141,"t")+COUNTIF($E141:M141,"¶")+COUNTIF($E141:M141,"²")+COUNTIF($E141:M141,"µ")+COUNTIF($E141:M141,1),ColDescriptionCourte))&gt;1,
HYPERLINK("#Roadmap!C"&amp; MATCH($E141,Roadmap!$D:$D,0)+COUNTIF($E141:M141,"u")+COUNTIF($E141:M141,"t")+COUNTIF($E141:M141,"¶")+COUNTIF($E141:M141,"²")+COUNTIF($E141:M141,"µ")+COUNTIF($E141:M141,1)-1,INDEX(Roadmap!$D:$K,MATCH($E141,Roadmap!$D:$D,0)-1+COUNTIF($E141:M141,"u")+COUNTIF($E141:M141,"t")+COUNTIF($E141:M141,"¶")+COUNTIF($E141:M141,"²")+COUNTIF($E141:M141,"µ")+COUNTIF($E141:M141,1),ColDescriptionCourte)),""),
  "")),"")</f>
        <v/>
      </c>
      <c r="O141" s="40" t="str">
        <f ca="1">IFERROR(IF(AND(
  INDEX(Roadmap!$D:$K,MATCH($E141,Roadmap!$D:$D,0)+COUNTIF($E141:N141,"u")+COUNTIF($E141:N141,"t")+COUNTIF($E141:N141,"¶")+COUNTIF($E141:N141,"²")+COUNTIF($E141:N141,"µ")+COUNTIF($E141:N141,1),ColLivraison)=O$6,
  VLOOKUP($E141,INDIRECT("tri!"&amp; CHAR(64+ C0Col) &amp;":"&amp; CHAR(65+C0Col)),2,FALSE)&gt;COUNTIF($E141:N141,"u")+COUNTIF($E141:N141,"t")+COUNTIF($E141:N141,"¶")+COUNTIF($E141:N141,"²")+COUNTIF($E141:N141,"µ")+COUNTIF($E141:N141,1)),
HYPERLINK("#Roadmap!C"&amp; MATCH($E141,Roadmap!$D:$D,0)+COUNTIF($E141:N141,"u")+COUNTIF($E141:N141,"t"),
     INDEX(Roadmap!$D:$K,MATCH($E141,Roadmap!$D:$D,0)+COUNTIF($E141:N141,"u")+COUNTIF($E141:N141,"t")+COUNTIF($E141:N141,"¶")+COUNTIF($E141:N141,"²")+COUNTIF($E141:N141,"µ")+COUNTIF($E141:N141,1),ColTypeEcheance)),
  IF(LEN(N141)=1,
  IF(LEN(INDEX(Roadmap!$D:$K,MATCH($E141,Roadmap!$D:$D,0)-1+COUNTIF($E141:N141,"u")+COUNTIF($E141:N141,"t")+COUNTIF($E141:N141,"¶")+COUNTIF($E141:N141,"²")+COUNTIF($E141:N141,"µ")+COUNTIF($E141:N141,1),ColDescriptionCourte))&gt;1,
HYPERLINK("#Roadmap!C"&amp; MATCH($E141,Roadmap!$D:$D,0)+COUNTIF($E141:N141,"u")+COUNTIF($E141:N141,"t")+COUNTIF($E141:N141,"¶")+COUNTIF($E141:N141,"²")+COUNTIF($E141:N141,"µ")+COUNTIF($E141:N141,1)-1,INDEX(Roadmap!$D:$K,MATCH($E141,Roadmap!$D:$D,0)-1+COUNTIF($E141:N141,"u")+COUNTIF($E141:N141,"t")+COUNTIF($E141:N141,"¶")+COUNTIF($E141:N141,"²")+COUNTIF($E141:N141,"µ")+COUNTIF($E141:N141,1),ColDescriptionCourte)),""),
  "")),"")</f>
        <v/>
      </c>
      <c r="P141" s="40" t="str">
        <f ca="1">IFERROR(IF(AND(
  INDEX(Roadmap!$D:$K,MATCH($E141,Roadmap!$D:$D,0)+COUNTIF($E141:O141,"u")+COUNTIF($E141:O141,"t")+COUNTIF($E141:O141,"¶")+COUNTIF($E141:O141,"²")+COUNTIF($E141:O141,"µ")+COUNTIF($E141:O141,1),ColLivraison)=P$6,
  VLOOKUP($E141,INDIRECT("tri!"&amp; CHAR(64+ C0Col) &amp;":"&amp; CHAR(65+C0Col)),2,FALSE)&gt;COUNTIF($E141:O141,"u")+COUNTIF($E141:O141,"t")+COUNTIF($E141:O141,"¶")+COUNTIF($E141:O141,"²")+COUNTIF($E141:O141,"µ")+COUNTIF($E141:O141,1)),
HYPERLINK("#Roadmap!C"&amp; MATCH($E141,Roadmap!$D:$D,0)+COUNTIF($E141:O141,"u")+COUNTIF($E141:O141,"t"),
     INDEX(Roadmap!$D:$K,MATCH($E141,Roadmap!$D:$D,0)+COUNTIF($E141:O141,"u")+COUNTIF($E141:O141,"t")+COUNTIF($E141:O141,"¶")+COUNTIF($E141:O141,"²")+COUNTIF($E141:O141,"µ")+COUNTIF($E141:O141,1),ColTypeEcheance)),
  IF(LEN(O141)=1,
  IF(LEN(INDEX(Roadmap!$D:$K,MATCH($E141,Roadmap!$D:$D,0)-1+COUNTIF($E141:O141,"u")+COUNTIF($E141:O141,"t")+COUNTIF($E141:O141,"¶")+COUNTIF($E141:O141,"²")+COUNTIF($E141:O141,"µ")+COUNTIF($E141:O141,1),ColDescriptionCourte))&gt;1,
HYPERLINK("#Roadmap!C"&amp; MATCH($E141,Roadmap!$D:$D,0)+COUNTIF($E141:O141,"u")+COUNTIF($E141:O141,"t")+COUNTIF($E141:O141,"¶")+COUNTIF($E141:O141,"²")+COUNTIF($E141:O141,"µ")+COUNTIF($E141:O141,1)-1,INDEX(Roadmap!$D:$K,MATCH($E141,Roadmap!$D:$D,0)-1+COUNTIF($E141:O141,"u")+COUNTIF($E141:O141,"t")+COUNTIF($E141:O141,"¶")+COUNTIF($E141:O141,"²")+COUNTIF($E141:O141,"µ")+COUNTIF($E141:O141,1),ColDescriptionCourte)),""),
  "")),"")</f>
        <v/>
      </c>
      <c r="Q141" s="40" t="str">
        <f ca="1">IFERROR(IF(AND(
  INDEX(Roadmap!$D:$K,MATCH($E141,Roadmap!$D:$D,0)+COUNTIF($E141:P141,"u")+COUNTIF($E141:P141,"t")+COUNTIF($E141:P141,"¶")+COUNTIF($E141:P141,"²")+COUNTIF($E141:P141,"µ")+COUNTIF($E141:P141,1),ColLivraison)=Q$6,
  VLOOKUP($E141,INDIRECT("tri!"&amp; CHAR(64+ C0Col) &amp;":"&amp; CHAR(65+C0Col)),2,FALSE)&gt;COUNTIF($E141:P141,"u")+COUNTIF($E141:P141,"t")+COUNTIF($E141:P141,"¶")+COUNTIF($E141:P141,"²")+COUNTIF($E141:P141,"µ")+COUNTIF($E141:P141,1)),
HYPERLINK("#Roadmap!C"&amp; MATCH($E141,Roadmap!$D:$D,0)+COUNTIF($E141:P141,"u")+COUNTIF($E141:P141,"t"),
     INDEX(Roadmap!$D:$K,MATCH($E141,Roadmap!$D:$D,0)+COUNTIF($E141:P141,"u")+COUNTIF($E141:P141,"t")+COUNTIF($E141:P141,"¶")+COUNTIF($E141:P141,"²")+COUNTIF($E141:P141,"µ")+COUNTIF($E141:P141,1),ColTypeEcheance)),
  IF(LEN(P141)=1,
  IF(LEN(INDEX(Roadmap!$D:$K,MATCH($E141,Roadmap!$D:$D,0)-1+COUNTIF($E141:P141,"u")+COUNTIF($E141:P141,"t")+COUNTIF($E141:P141,"¶")+COUNTIF($E141:P141,"²")+COUNTIF($E141:P141,"µ")+COUNTIF($E141:P141,1),ColDescriptionCourte))&gt;1,
HYPERLINK("#Roadmap!C"&amp; MATCH($E141,Roadmap!$D:$D,0)+COUNTIF($E141:P141,"u")+COUNTIF($E141:P141,"t")+COUNTIF($E141:P141,"¶")+COUNTIF($E141:P141,"²")+COUNTIF($E141:P141,"µ")+COUNTIF($E141:P141,1)-1,INDEX(Roadmap!$D:$K,MATCH($E141,Roadmap!$D:$D,0)-1+COUNTIF($E141:P141,"u")+COUNTIF($E141:P141,"t")+COUNTIF($E141:P141,"¶")+COUNTIF($E141:P141,"²")+COUNTIF($E141:P141,"µ")+COUNTIF($E141:P141,1),ColDescriptionCourte)),""),
  "")),"")</f>
        <v/>
      </c>
      <c r="R141" s="40" t="str">
        <f ca="1">IFERROR(IF(AND(
  INDEX(Roadmap!$D:$K,MATCH($E141,Roadmap!$D:$D,0)+COUNTIF($E141:Q141,"u")+COUNTIF($E141:Q141,"t")+COUNTIF($E141:Q141,"¶")+COUNTIF($E141:Q141,"²")+COUNTIF($E141:Q141,"µ")+COUNTIF($E141:Q141,1),ColLivraison)=R$6,
  VLOOKUP($E141,INDIRECT("tri!"&amp; CHAR(64+ C0Col) &amp;":"&amp; CHAR(65+C0Col)),2,FALSE)&gt;COUNTIF($E141:Q141,"u")+COUNTIF($E141:Q141,"t")+COUNTIF($E141:Q141,"¶")+COUNTIF($E141:Q141,"²")+COUNTIF($E141:Q141,"µ")+COUNTIF($E141:Q141,1)),
HYPERLINK("#Roadmap!C"&amp; MATCH($E141,Roadmap!$D:$D,0)+COUNTIF($E141:Q141,"u")+COUNTIF($E141:Q141,"t"),
     INDEX(Roadmap!$D:$K,MATCH($E141,Roadmap!$D:$D,0)+COUNTIF($E141:Q141,"u")+COUNTIF($E141:Q141,"t")+COUNTIF($E141:Q141,"¶")+COUNTIF($E141:Q141,"²")+COUNTIF($E141:Q141,"µ")+COUNTIF($E141:Q141,1),ColTypeEcheance)),
  IF(LEN(Q141)=1,
  IF(LEN(INDEX(Roadmap!$D:$K,MATCH($E141,Roadmap!$D:$D,0)-1+COUNTIF($E141:Q141,"u")+COUNTIF($E141:Q141,"t")+COUNTIF($E141:Q141,"¶")+COUNTIF($E141:Q141,"²")+COUNTIF($E141:Q141,"µ")+COUNTIF($E141:Q141,1),ColDescriptionCourte))&gt;1,
HYPERLINK("#Roadmap!C"&amp; MATCH($E141,Roadmap!$D:$D,0)+COUNTIF($E141:Q141,"u")+COUNTIF($E141:Q141,"t")+COUNTIF($E141:Q141,"¶")+COUNTIF($E141:Q141,"²")+COUNTIF($E141:Q141,"µ")+COUNTIF($E141:Q141,1)-1,INDEX(Roadmap!$D:$K,MATCH($E141,Roadmap!$D:$D,0)-1+COUNTIF($E141:Q141,"u")+COUNTIF($E141:Q141,"t")+COUNTIF($E141:Q141,"¶")+COUNTIF($E141:Q141,"²")+COUNTIF($E141:Q141,"µ")+COUNTIF($E141:Q141,1),ColDescriptionCourte)),""),
  "")),"")</f>
        <v/>
      </c>
      <c r="S141" s="40" t="str">
        <f ca="1">IFERROR(IF(AND(
  INDEX(Roadmap!$D:$K,MATCH($E141,Roadmap!$D:$D,0)+COUNTIF($E141:R141,"u")+COUNTIF($E141:R141,"t")+COUNTIF($E141:R141,"¶")+COUNTIF($E141:R141,"²")+COUNTIF($E141:R141,"µ")+COUNTIF($E141:R141,1),ColLivraison)=S$6,
  VLOOKUP($E141,INDIRECT("tri!"&amp; CHAR(64+ C0Col) &amp;":"&amp; CHAR(65+C0Col)),2,FALSE)&gt;COUNTIF($E141:R141,"u")+COUNTIF($E141:R141,"t")+COUNTIF($E141:R141,"¶")+COUNTIF($E141:R141,"²")+COUNTIF($E141:R141,"µ")+COUNTIF($E141:R141,1)),
HYPERLINK("#Roadmap!C"&amp; MATCH($E141,Roadmap!$D:$D,0)+COUNTIF($E141:R141,"u")+COUNTIF($E141:R141,"t"),
     INDEX(Roadmap!$D:$K,MATCH($E141,Roadmap!$D:$D,0)+COUNTIF($E141:R141,"u")+COUNTIF($E141:R141,"t")+COUNTIF($E141:R141,"¶")+COUNTIF($E141:R141,"²")+COUNTIF($E141:R141,"µ")+COUNTIF($E141:R141,1),ColTypeEcheance)),
  IF(LEN(R141)=1,
  IF(LEN(INDEX(Roadmap!$D:$K,MATCH($E141,Roadmap!$D:$D,0)-1+COUNTIF($E141:R141,"u")+COUNTIF($E141:R141,"t")+COUNTIF($E141:R141,"¶")+COUNTIF($E141:R141,"²")+COUNTIF($E141:R141,"µ")+COUNTIF($E141:R141,1),ColDescriptionCourte))&gt;1,
HYPERLINK("#Roadmap!C"&amp; MATCH($E141,Roadmap!$D:$D,0)+COUNTIF($E141:R141,"u")+COUNTIF($E141:R141,"t")+COUNTIF($E141:R141,"¶")+COUNTIF($E141:R141,"²")+COUNTIF($E141:R141,"µ")+COUNTIF($E141:R141,1)-1,INDEX(Roadmap!$D:$K,MATCH($E141,Roadmap!$D:$D,0)-1+COUNTIF($E141:R141,"u")+COUNTIF($E141:R141,"t")+COUNTIF($E141:R141,"¶")+COUNTIF($E141:R141,"²")+COUNTIF($E141:R141,"µ")+COUNTIF($E141:R141,1),ColDescriptionCourte)),""),
  "")),"")</f>
        <v/>
      </c>
      <c r="T141" s="40" t="str">
        <f ca="1">IFERROR(IF(AND(
  INDEX(Roadmap!$D:$K,MATCH($E141,Roadmap!$D:$D,0)+COUNTIF($E141:S141,"u")+COUNTIF($E141:S141,"t")+COUNTIF($E141:S141,"¶")+COUNTIF($E141:S141,"²")+COUNTIF($E141:S141,"µ")+COUNTIF($E141:S141,1),ColLivraison)=T$6,
  VLOOKUP($E141,INDIRECT("tri!"&amp; CHAR(64+ C0Col) &amp;":"&amp; CHAR(65+C0Col)),2,FALSE)&gt;COUNTIF($E141:S141,"u")+COUNTIF($E141:S141,"t")+COUNTIF($E141:S141,"¶")+COUNTIF($E141:S141,"²")+COUNTIF($E141:S141,"µ")+COUNTIF($E141:S141,1)),
HYPERLINK("#Roadmap!C"&amp; MATCH($E141,Roadmap!$D:$D,0)+COUNTIF($E141:S141,"u")+COUNTIF($E141:S141,"t"),
     INDEX(Roadmap!$D:$K,MATCH($E141,Roadmap!$D:$D,0)+COUNTIF($E141:S141,"u")+COUNTIF($E141:S141,"t")+COUNTIF($E141:S141,"¶")+COUNTIF($E141:S141,"²")+COUNTIF($E141:S141,"µ")+COUNTIF($E141:S141,1),ColTypeEcheance)),
  IF(LEN(S141)=1,
  IF(LEN(INDEX(Roadmap!$D:$K,MATCH($E141,Roadmap!$D:$D,0)-1+COUNTIF($E141:S141,"u")+COUNTIF($E141:S141,"t")+COUNTIF($E141:S141,"¶")+COUNTIF($E141:S141,"²")+COUNTIF($E141:S141,"µ")+COUNTIF($E141:S141,1),ColDescriptionCourte))&gt;1,
HYPERLINK("#Roadmap!C"&amp; MATCH($E141,Roadmap!$D:$D,0)+COUNTIF($E141:S141,"u")+COUNTIF($E141:S141,"t")+COUNTIF($E141:S141,"¶")+COUNTIF($E141:S141,"²")+COUNTIF($E141:S141,"µ")+COUNTIF($E141:S141,1)-1,INDEX(Roadmap!$D:$K,MATCH($E141,Roadmap!$D:$D,0)-1+COUNTIF($E141:S141,"u")+COUNTIF($E141:S141,"t")+COUNTIF($E141:S141,"¶")+COUNTIF($E141:S141,"²")+COUNTIF($E141:S141,"µ")+COUNTIF($E141:S141,1),ColDescriptionCourte)),""),
  "")),"")</f>
        <v/>
      </c>
      <c r="U141" s="40" t="str">
        <f ca="1">IFERROR(IF(AND(
  INDEX(Roadmap!$D:$K,MATCH($E141,Roadmap!$D:$D,0)+COUNTIF($E141:T141,"u")+COUNTIF($E141:T141,"t")+COUNTIF($E141:T141,"¶")+COUNTIF($E141:T141,"²")+COUNTIF($E141:T141,"µ")+COUNTIF($E141:T141,1),ColLivraison)=U$6,
  VLOOKUP($E141,INDIRECT("tri!"&amp; CHAR(64+ C0Col) &amp;":"&amp; CHAR(65+C0Col)),2,FALSE)&gt;COUNTIF($E141:T141,"u")+COUNTIF($E141:T141,"t")+COUNTIF($E141:T141,"¶")+COUNTIF($E141:T141,"²")+COUNTIF($E141:T141,"µ")+COUNTIF($E141:T141,1)),
HYPERLINK("#Roadmap!C"&amp; MATCH($E141,Roadmap!$D:$D,0)+COUNTIF($E141:T141,"u")+COUNTIF($E141:T141,"t"),
     INDEX(Roadmap!$D:$K,MATCH($E141,Roadmap!$D:$D,0)+COUNTIF($E141:T141,"u")+COUNTIF($E141:T141,"t")+COUNTIF($E141:T141,"¶")+COUNTIF($E141:T141,"²")+COUNTIF($E141:T141,"µ")+COUNTIF($E141:T141,1),ColTypeEcheance)),
  IF(LEN(T141)=1,
  IF(LEN(INDEX(Roadmap!$D:$K,MATCH($E141,Roadmap!$D:$D,0)-1+COUNTIF($E141:T141,"u")+COUNTIF($E141:T141,"t")+COUNTIF($E141:T141,"¶")+COUNTIF($E141:T141,"²")+COUNTIF($E141:T141,"µ")+COUNTIF($E141:T141,1),ColDescriptionCourte))&gt;1,
HYPERLINK("#Roadmap!C"&amp; MATCH($E141,Roadmap!$D:$D,0)+COUNTIF($E141:T141,"u")+COUNTIF($E141:T141,"t")+COUNTIF($E141:T141,"¶")+COUNTIF($E141:T141,"²")+COUNTIF($E141:T141,"µ")+COUNTIF($E141:T141,1)-1,INDEX(Roadmap!$D:$K,MATCH($E141,Roadmap!$D:$D,0)-1+COUNTIF($E141:T141,"u")+COUNTIF($E141:T141,"t")+COUNTIF($E141:T141,"¶")+COUNTIF($E141:T141,"²")+COUNTIF($E141:T141,"µ")+COUNTIF($E141:T141,1),ColDescriptionCourte)),""),
  "")),"")</f>
        <v/>
      </c>
      <c r="V141" s="40" t="str">
        <f ca="1">IFERROR(IF(AND(
  INDEX(Roadmap!$D:$K,MATCH($E141,Roadmap!$D:$D,0)+COUNTIF($E141:U141,"u")+COUNTIF($E141:U141,"t")+COUNTIF($E141:U141,"¶")+COUNTIF($E141:U141,"²")+COUNTIF($E141:U141,"µ")+COUNTIF($E141:U141,1),ColLivraison)=V$6,
  VLOOKUP($E141,INDIRECT("tri!"&amp; CHAR(64+ C0Col) &amp;":"&amp; CHAR(65+C0Col)),2,FALSE)&gt;COUNTIF($E141:U141,"u")+COUNTIF($E141:U141,"t")+COUNTIF($E141:U141,"¶")+COUNTIF($E141:U141,"²")+COUNTIF($E141:U141,"µ")+COUNTIF($E141:U141,1)),
HYPERLINK("#Roadmap!C"&amp; MATCH($E141,Roadmap!$D:$D,0)+COUNTIF($E141:U141,"u")+COUNTIF($E141:U141,"t"),
     INDEX(Roadmap!$D:$K,MATCH($E141,Roadmap!$D:$D,0)+COUNTIF($E141:U141,"u")+COUNTIF($E141:U141,"t")+COUNTIF($E141:U141,"¶")+COUNTIF($E141:U141,"²")+COUNTIF($E141:U141,"µ")+COUNTIF($E141:U141,1),ColTypeEcheance)),
  IF(LEN(U141)=1,
  IF(LEN(INDEX(Roadmap!$D:$K,MATCH($E141,Roadmap!$D:$D,0)-1+COUNTIF($E141:U141,"u")+COUNTIF($E141:U141,"t")+COUNTIF($E141:U141,"¶")+COUNTIF($E141:U141,"²")+COUNTIF($E141:U141,"µ")+COUNTIF($E141:U141,1),ColDescriptionCourte))&gt;1,
HYPERLINK("#Roadmap!C"&amp; MATCH($E141,Roadmap!$D:$D,0)+COUNTIF($E141:U141,"u")+COUNTIF($E141:U141,"t")+COUNTIF($E141:U141,"¶")+COUNTIF($E141:U141,"²")+COUNTIF($E141:U141,"µ")+COUNTIF($E141:U141,1)-1,INDEX(Roadmap!$D:$K,MATCH($E141,Roadmap!$D:$D,0)-1+COUNTIF($E141:U141,"u")+COUNTIF($E141:U141,"t")+COUNTIF($E141:U141,"¶")+COUNTIF($E141:U141,"²")+COUNTIF($E141:U141,"µ")+COUNTIF($E141:U141,1),ColDescriptionCourte)),""),
  "")),"")</f>
        <v/>
      </c>
      <c r="W141" s="40" t="str">
        <f ca="1">IFERROR(IF(AND(
  INDEX(Roadmap!$D:$K,MATCH($E141,Roadmap!$D:$D,0)+COUNTIF($E141:V141,"u")+COUNTIF($E141:V141,"t")+COUNTIF($E141:V141,"¶")+COUNTIF($E141:V141,"²")+COUNTIF($E141:V141,"µ")+COUNTIF($E141:V141,1),ColLivraison)=W$6,
  VLOOKUP($E141,INDIRECT("tri!"&amp; CHAR(64+ C0Col) &amp;":"&amp; CHAR(65+C0Col)),2,FALSE)&gt;COUNTIF($E141:V141,"u")+COUNTIF($E141:V141,"t")+COUNTIF($E141:V141,"¶")+COUNTIF($E141:V141,"²")+COUNTIF($E141:V141,"µ")+COUNTIF($E141:V141,1)),
HYPERLINK("#Roadmap!C"&amp; MATCH($E141,Roadmap!$D:$D,0)+COUNTIF($E141:V141,"u")+COUNTIF($E141:V141,"t"),
     INDEX(Roadmap!$D:$K,MATCH($E141,Roadmap!$D:$D,0)+COUNTIF($E141:V141,"u")+COUNTIF($E141:V141,"t")+COUNTIF($E141:V141,"¶")+COUNTIF($E141:V141,"²")+COUNTIF($E141:V141,"µ")+COUNTIF($E141:V141,1),ColTypeEcheance)),
  IF(LEN(V141)=1,
  IF(LEN(INDEX(Roadmap!$D:$K,MATCH($E141,Roadmap!$D:$D,0)-1+COUNTIF($E141:V141,"u")+COUNTIF($E141:V141,"t")+COUNTIF($E141:V141,"¶")+COUNTIF($E141:V141,"²")+COUNTIF($E141:V141,"µ")+COUNTIF($E141:V141,1),ColDescriptionCourte))&gt;1,
HYPERLINK("#Roadmap!C"&amp; MATCH($E141,Roadmap!$D:$D,0)+COUNTIF($E141:V141,"u")+COUNTIF($E141:V141,"t")+COUNTIF($E141:V141,"¶")+COUNTIF($E141:V141,"²")+COUNTIF($E141:V141,"µ")+COUNTIF($E141:V141,1)-1,INDEX(Roadmap!$D:$K,MATCH($E141,Roadmap!$D:$D,0)-1+COUNTIF($E141:V141,"u")+COUNTIF($E141:V141,"t")+COUNTIF($E141:V141,"¶")+COUNTIF($E141:V141,"²")+COUNTIF($E141:V141,"µ")+COUNTIF($E141:V141,1),ColDescriptionCourte)),""),
  "")),"")</f>
        <v/>
      </c>
      <c r="X141" s="40" t="str">
        <f ca="1">IFERROR(IF(AND(
  INDEX(Roadmap!$D:$K,MATCH($E141,Roadmap!$D:$D,0)+COUNTIF($E141:W141,"u")+COUNTIF($E141:W141,"t")+COUNTIF($E141:W141,"¶")+COUNTIF($E141:W141,"²")+COUNTIF($E141:W141,"µ")+COUNTIF($E141:W141,1),ColLivraison)=X$6,
  VLOOKUP($E141,INDIRECT("tri!"&amp; CHAR(64+ C0Col) &amp;":"&amp; CHAR(65+C0Col)),2,FALSE)&gt;COUNTIF($E141:W141,"u")+COUNTIF($E141:W141,"t")+COUNTIF($E141:W141,"¶")+COUNTIF($E141:W141,"²")+COUNTIF($E141:W141,"µ")+COUNTIF($E141:W141,1)),
HYPERLINK("#Roadmap!C"&amp; MATCH($E141,Roadmap!$D:$D,0)+COUNTIF($E141:W141,"u")+COUNTIF($E141:W141,"t"),
     INDEX(Roadmap!$D:$K,MATCH($E141,Roadmap!$D:$D,0)+COUNTIF($E141:W141,"u")+COUNTIF($E141:W141,"t")+COUNTIF($E141:W141,"¶")+COUNTIF($E141:W141,"²")+COUNTIF($E141:W141,"µ")+COUNTIF($E141:W141,1),ColTypeEcheance)),
  IF(LEN(W141)=1,
  IF(LEN(INDEX(Roadmap!$D:$K,MATCH($E141,Roadmap!$D:$D,0)-1+COUNTIF($E141:W141,"u")+COUNTIF($E141:W141,"t")+COUNTIF($E141:W141,"¶")+COUNTIF($E141:W141,"²")+COUNTIF($E141:W141,"µ")+COUNTIF($E141:W141,1),ColDescriptionCourte))&gt;1,
HYPERLINK("#Roadmap!C"&amp; MATCH($E141,Roadmap!$D:$D,0)+COUNTIF($E141:W141,"u")+COUNTIF($E141:W141,"t")+COUNTIF($E141:W141,"¶")+COUNTIF($E141:W141,"²")+COUNTIF($E141:W141,"µ")+COUNTIF($E141:W141,1)-1,INDEX(Roadmap!$D:$K,MATCH($E141,Roadmap!$D:$D,0)-1+COUNTIF($E141:W141,"u")+COUNTIF($E141:W141,"t")+COUNTIF($E141:W141,"¶")+COUNTIF($E141:W141,"²")+COUNTIF($E141:W141,"µ")+COUNTIF($E141:W141,1),ColDescriptionCourte)),""),
  "")),"")</f>
        <v/>
      </c>
      <c r="Y141" s="40" t="str">
        <f ca="1">IFERROR(IF(AND(
  INDEX(Roadmap!$D:$K,MATCH($E141,Roadmap!$D:$D,0)+COUNTIF($E141:X141,"u")+COUNTIF($E141:X141,"t")+COUNTIF($E141:X141,"¶")+COUNTIF($E141:X141,"²")+COUNTIF($E141:X141,"µ")+COUNTIF($E141:X141,1),ColLivraison)=Y$6,
  VLOOKUP($E141,INDIRECT("tri!"&amp; CHAR(64+ C0Col) &amp;":"&amp; CHAR(65+C0Col)),2,FALSE)&gt;COUNTIF($E141:X141,"u")+COUNTIF($E141:X141,"t")+COUNTIF($E141:X141,"¶")+COUNTIF($E141:X141,"²")+COUNTIF($E141:X141,"µ")+COUNTIF($E141:X141,1)),
HYPERLINK("#Roadmap!C"&amp; MATCH($E141,Roadmap!$D:$D,0)+COUNTIF($E141:X141,"u")+COUNTIF($E141:X141,"t"),
     INDEX(Roadmap!$D:$K,MATCH($E141,Roadmap!$D:$D,0)+COUNTIF($E141:X141,"u")+COUNTIF($E141:X141,"t")+COUNTIF($E141:X141,"¶")+COUNTIF($E141:X141,"²")+COUNTIF($E141:X141,"µ")+COUNTIF($E141:X141,1),ColTypeEcheance)),
  IF(LEN(X141)=1,
  IF(LEN(INDEX(Roadmap!$D:$K,MATCH($E141,Roadmap!$D:$D,0)-1+COUNTIF($E141:X141,"u")+COUNTIF($E141:X141,"t")+COUNTIF($E141:X141,"¶")+COUNTIF($E141:X141,"²")+COUNTIF($E141:X141,"µ")+COUNTIF($E141:X141,1),ColDescriptionCourte))&gt;1,
HYPERLINK("#Roadmap!C"&amp; MATCH($E141,Roadmap!$D:$D,0)+COUNTIF($E141:X141,"u")+COUNTIF($E141:X141,"t")+COUNTIF($E141:X141,"¶")+COUNTIF($E141:X141,"²")+COUNTIF($E141:X141,"µ")+COUNTIF($E141:X141,1)-1,INDEX(Roadmap!$D:$K,MATCH($E141,Roadmap!$D:$D,0)-1+COUNTIF($E141:X141,"u")+COUNTIF($E141:X141,"t")+COUNTIF($E141:X141,"¶")+COUNTIF($E141:X141,"²")+COUNTIF($E141:X141,"µ")+COUNTIF($E141:X141,1),ColDescriptionCourte)),""),
  "")),"")</f>
        <v/>
      </c>
      <c r="Z141" s="40" t="str">
        <f ca="1">IFERROR(IF(AND(
  INDEX(Roadmap!$D:$K,MATCH($E141,Roadmap!$D:$D,0)+COUNTIF($E141:Y141,"u")+COUNTIF($E141:Y141,"t")+COUNTIF($E141:Y141,"¶")+COUNTIF($E141:Y141,"²")+COUNTIF($E141:Y141,"µ")+COUNTIF($E141:Y141,1),ColLivraison)=Z$6,
  VLOOKUP($E141,INDIRECT("tri!"&amp; CHAR(64+ C0Col) &amp;":"&amp; CHAR(65+C0Col)),2,FALSE)&gt;COUNTIF($E141:Y141,"u")+COUNTIF($E141:Y141,"t")+COUNTIF($E141:Y141,"¶")+COUNTIF($E141:Y141,"²")+COUNTIF($E141:Y141,"µ")+COUNTIF($E141:Y141,1)),
HYPERLINK("#Roadmap!C"&amp; MATCH($E141,Roadmap!$D:$D,0)+COUNTIF($E141:Y141,"u")+COUNTIF($E141:Y141,"t"),
     INDEX(Roadmap!$D:$K,MATCH($E141,Roadmap!$D:$D,0)+COUNTIF($E141:Y141,"u")+COUNTIF($E141:Y141,"t")+COUNTIF($E141:Y141,"¶")+COUNTIF($E141:Y141,"²")+COUNTIF($E141:Y141,"µ")+COUNTIF($E141:Y141,1),ColTypeEcheance)),
  IF(LEN(Y141)=1,
  IF(LEN(INDEX(Roadmap!$D:$K,MATCH($E141,Roadmap!$D:$D,0)-1+COUNTIF($E141:Y141,"u")+COUNTIF($E141:Y141,"t")+COUNTIF($E141:Y141,"¶")+COUNTIF($E141:Y141,"²")+COUNTIF($E141:Y141,"µ")+COUNTIF($E141:Y141,1),ColDescriptionCourte))&gt;1,
HYPERLINK("#Roadmap!C"&amp; MATCH($E141,Roadmap!$D:$D,0)+COUNTIF($E141:Y141,"u")+COUNTIF($E141:Y141,"t")+COUNTIF($E141:Y141,"¶")+COUNTIF($E141:Y141,"²")+COUNTIF($E141:Y141,"µ")+COUNTIF($E141:Y141,1)-1,INDEX(Roadmap!$D:$K,MATCH($E141,Roadmap!$D:$D,0)-1+COUNTIF($E141:Y141,"u")+COUNTIF($E141:Y141,"t")+COUNTIF($E141:Y141,"¶")+COUNTIF($E141:Y141,"²")+COUNTIF($E141:Y141,"µ")+COUNTIF($E141:Y141,1),ColDescriptionCourte)),""),
  "")),"")</f>
        <v/>
      </c>
      <c r="AA141" s="40" t="str">
        <f ca="1">IFERROR(IF(AND(
  INDEX(Roadmap!$D:$K,MATCH($E141,Roadmap!$D:$D,0)+COUNTIF($E141:Z141,"u")+COUNTIF($E141:Z141,"t")+COUNTIF($E141:Z141,"¶")+COUNTIF($E141:Z141,"²")+COUNTIF($E141:Z141,"µ")+COUNTIF($E141:Z141,1),ColLivraison)=AA$6,
  VLOOKUP($E141,INDIRECT("tri!"&amp; CHAR(64+ C0Col) &amp;":"&amp; CHAR(65+C0Col)),2,FALSE)&gt;COUNTIF($E141:Z141,"u")+COUNTIF($E141:Z141,"t")+COUNTIF($E141:Z141,"¶")+COUNTIF($E141:Z141,"²")+COUNTIF($E141:Z141,"µ")+COUNTIF($E141:Z141,1)),
HYPERLINK("#Roadmap!C"&amp; MATCH($E141,Roadmap!$D:$D,0)+COUNTIF($E141:Z141,"u")+COUNTIF($E141:Z141,"t"),
     INDEX(Roadmap!$D:$K,MATCH($E141,Roadmap!$D:$D,0)+COUNTIF($E141:Z141,"u")+COUNTIF($E141:Z141,"t")+COUNTIF($E141:Z141,"¶")+COUNTIF($E141:Z141,"²")+COUNTIF($E141:Z141,"µ")+COUNTIF($E141:Z141,1),ColTypeEcheance)),
  IF(LEN(Z141)=1,
  IF(LEN(INDEX(Roadmap!$D:$K,MATCH($E141,Roadmap!$D:$D,0)-1+COUNTIF($E141:Z141,"u")+COUNTIF($E141:Z141,"t")+COUNTIF($E141:Z141,"¶")+COUNTIF($E141:Z141,"²")+COUNTIF($E141:Z141,"µ")+COUNTIF($E141:Z141,1),ColDescriptionCourte))&gt;1,
HYPERLINK("#Roadmap!C"&amp; MATCH($E141,Roadmap!$D:$D,0)+COUNTIF($E141:Z141,"u")+COUNTIF($E141:Z141,"t")+COUNTIF($E141:Z141,"¶")+COUNTIF($E141:Z141,"²")+COUNTIF($E141:Z141,"µ")+COUNTIF($E141:Z141,1)-1,INDEX(Roadmap!$D:$K,MATCH($E141,Roadmap!$D:$D,0)-1+COUNTIF($E141:Z141,"u")+COUNTIF($E141:Z141,"t")+COUNTIF($E141:Z141,"¶")+COUNTIF($E141:Z141,"²")+COUNTIF($E141:Z141,"µ")+COUNTIF($E141:Z141,1),ColDescriptionCourte)),""),
  "")),"")</f>
        <v/>
      </c>
      <c r="AB141" s="40" t="str">
        <f ca="1">IFERROR(IF(AND(
  INDEX(Roadmap!$D:$K,MATCH($E141,Roadmap!$D:$D,0)+COUNTIF($E141:AA141,"u")+COUNTIF($E141:AA141,"t")+COUNTIF($E141:AA141,"¶")+COUNTIF($E141:AA141,"²")+COUNTIF($E141:AA141,"µ")+COUNTIF($E141:AA141,1),ColLivraison)=AB$6,
  VLOOKUP($E141,INDIRECT("tri!"&amp; CHAR(64+ C0Col) &amp;":"&amp; CHAR(65+C0Col)),2,FALSE)&gt;COUNTIF($E141:AA141,"u")+COUNTIF($E141:AA141,"t")+COUNTIF($E141:AA141,"¶")+COUNTIF($E141:AA141,"²")+COUNTIF($E141:AA141,"µ")+COUNTIF($E141:AA141,1)),
HYPERLINK("#Roadmap!C"&amp; MATCH($E141,Roadmap!$D:$D,0)+COUNTIF($E141:AA141,"u")+COUNTIF($E141:AA141,"t"),
     INDEX(Roadmap!$D:$K,MATCH($E141,Roadmap!$D:$D,0)+COUNTIF($E141:AA141,"u")+COUNTIF($E141:AA141,"t")+COUNTIF($E141:AA141,"¶")+COUNTIF($E141:AA141,"²")+COUNTIF($E141:AA141,"µ")+COUNTIF($E141:AA141,1),ColTypeEcheance)),
  IF(LEN(AA141)=1,
  IF(LEN(INDEX(Roadmap!$D:$K,MATCH($E141,Roadmap!$D:$D,0)-1+COUNTIF($E141:AA141,"u")+COUNTIF($E141:AA141,"t")+COUNTIF($E141:AA141,"¶")+COUNTIF($E141:AA141,"²")+COUNTIF($E141:AA141,"µ")+COUNTIF($E141:AA141,1),ColDescriptionCourte))&gt;1,
HYPERLINK("#Roadmap!C"&amp; MATCH($E141,Roadmap!$D:$D,0)+COUNTIF($E141:AA141,"u")+COUNTIF($E141:AA141,"t")+COUNTIF($E141:AA141,"¶")+COUNTIF($E141:AA141,"²")+COUNTIF($E141:AA141,"µ")+COUNTIF($E141:AA141,1)-1,INDEX(Roadmap!$D:$K,MATCH($E141,Roadmap!$D:$D,0)-1+COUNTIF($E141:AA141,"u")+COUNTIF($E141:AA141,"t")+COUNTIF($E141:AA141,"¶")+COUNTIF($E141:AA141,"²")+COUNTIF($E141:AA141,"µ")+COUNTIF($E141:AA141,1),ColDescriptionCourte)),""),
  "")),"")</f>
        <v/>
      </c>
      <c r="AC141" s="40" t="str">
        <f ca="1">IFERROR(IF(AND(
  INDEX(Roadmap!$D:$K,MATCH($E141,Roadmap!$D:$D,0)+COUNTIF($E141:AB141,"u")+COUNTIF($E141:AB141,"t")+COUNTIF($E141:AB141,"¶")+COUNTIF($E141:AB141,"²")+COUNTIF($E141:AB141,"µ")+COUNTIF($E141:AB141,1),ColLivraison)=AC$6,
  VLOOKUP($E141,INDIRECT("tri!"&amp; CHAR(64+ C0Col) &amp;":"&amp; CHAR(65+C0Col)),2,FALSE)&gt;COUNTIF($E141:AB141,"u")+COUNTIF($E141:AB141,"t")+COUNTIF($E141:AB141,"¶")+COUNTIF($E141:AB141,"²")+COUNTIF($E141:AB141,"µ")+COUNTIF($E141:AB141,1)),
HYPERLINK("#Roadmap!C"&amp; MATCH($E141,Roadmap!$D:$D,0)+COUNTIF($E141:AB141,"u")+COUNTIF($E141:AB141,"t"),
     INDEX(Roadmap!$D:$K,MATCH($E141,Roadmap!$D:$D,0)+COUNTIF($E141:AB141,"u")+COUNTIF($E141:AB141,"t")+COUNTIF($E141:AB141,"¶")+COUNTIF($E141:AB141,"²")+COUNTIF($E141:AB141,"µ")+COUNTIF($E141:AB141,1),ColTypeEcheance)),
  IF(LEN(AB141)=1,
  IF(LEN(INDEX(Roadmap!$D:$K,MATCH($E141,Roadmap!$D:$D,0)-1+COUNTIF($E141:AB141,"u")+COUNTIF($E141:AB141,"t")+COUNTIF($E141:AB141,"¶")+COUNTIF($E141:AB141,"²")+COUNTIF($E141:AB141,"µ")+COUNTIF($E141:AB141,1),ColDescriptionCourte))&gt;1,
HYPERLINK("#Roadmap!C"&amp; MATCH($E141,Roadmap!$D:$D,0)+COUNTIF($E141:AB141,"u")+COUNTIF($E141:AB141,"t")+COUNTIF($E141:AB141,"¶")+COUNTIF($E141:AB141,"²")+COUNTIF($E141:AB141,"µ")+COUNTIF($E141:AB141,1)-1,INDEX(Roadmap!$D:$K,MATCH($E141,Roadmap!$D:$D,0)-1+COUNTIF($E141:AB141,"u")+COUNTIF($E141:AB141,"t")+COUNTIF($E141:AB141,"¶")+COUNTIF($E141:AB141,"²")+COUNTIF($E141:AB141,"µ")+COUNTIF($E141:AB141,1),ColDescriptionCourte)),""),
  "")),"")</f>
        <v/>
      </c>
      <c r="AD141" s="40" t="str">
        <f ca="1">IFERROR(IF(AND(
  INDEX(Roadmap!$D:$K,MATCH($E141,Roadmap!$D:$D,0)+COUNTIF($E141:AC141,"u")+COUNTIF($E141:AC141,"t")+COUNTIF($E141:AC141,"¶")+COUNTIF($E141:AC141,"²")+COUNTIF($E141:AC141,"µ")+COUNTIF($E141:AC141,1),ColLivraison)=AD$6,
  VLOOKUP($E141,INDIRECT("tri!"&amp; CHAR(64+ C0Col) &amp;":"&amp; CHAR(65+C0Col)),2,FALSE)&gt;COUNTIF($E141:AC141,"u")+COUNTIF($E141:AC141,"t")+COUNTIF($E141:AC141,"¶")+COUNTIF($E141:AC141,"²")+COUNTIF($E141:AC141,"µ")+COUNTIF($E141:AC141,1)),
HYPERLINK("#Roadmap!C"&amp; MATCH($E141,Roadmap!$D:$D,0)+COUNTIF($E141:AC141,"u")+COUNTIF($E141:AC141,"t"),
     INDEX(Roadmap!$D:$K,MATCH($E141,Roadmap!$D:$D,0)+COUNTIF($E141:AC141,"u")+COUNTIF($E141:AC141,"t")+COUNTIF($E141:AC141,"¶")+COUNTIF($E141:AC141,"²")+COUNTIF($E141:AC141,"µ")+COUNTIF($E141:AC141,1),ColTypeEcheance)),
  IF(LEN(AC141)=1,
  IF(LEN(INDEX(Roadmap!$D:$K,MATCH($E141,Roadmap!$D:$D,0)-1+COUNTIF($E141:AC141,"u")+COUNTIF($E141:AC141,"t")+COUNTIF($E141:AC141,"¶")+COUNTIF($E141:AC141,"²")+COUNTIF($E141:AC141,"µ")+COUNTIF($E141:AC141,1),ColDescriptionCourte))&gt;1,
HYPERLINK("#Roadmap!C"&amp; MATCH($E141,Roadmap!$D:$D,0)+COUNTIF($E141:AC141,"u")+COUNTIF($E141:AC141,"t")+COUNTIF($E141:AC141,"¶")+COUNTIF($E141:AC141,"²")+COUNTIF($E141:AC141,"µ")+COUNTIF($E141:AC141,1)-1,INDEX(Roadmap!$D:$K,MATCH($E141,Roadmap!$D:$D,0)-1+COUNTIF($E141:AC141,"u")+COUNTIF($E141:AC141,"t")+COUNTIF($E141:AC141,"¶")+COUNTIF($E141:AC141,"²")+COUNTIF($E141:AC141,"µ")+COUNTIF($E141:AC141,1),ColDescriptionCourte)),""),
  "")),"")</f>
        <v/>
      </c>
      <c r="AE141" s="40" t="str">
        <f ca="1">IFERROR(IF(AND(
  INDEX(Roadmap!$D:$K,MATCH($E141,Roadmap!$D:$D,0)+COUNTIF($E141:AD141,"u")+COUNTIF($E141:AD141,"t")+COUNTIF($E141:AD141,"¶")+COUNTIF($E141:AD141,"²")+COUNTIF($E141:AD141,"µ")+COUNTIF($E141:AD141,1),ColLivraison)=AE$6,
  VLOOKUP($E141,INDIRECT("tri!"&amp; CHAR(64+ C0Col) &amp;":"&amp; CHAR(65+C0Col)),2,FALSE)&gt;COUNTIF($E141:AD141,"u")+COUNTIF($E141:AD141,"t")+COUNTIF($E141:AD141,"¶")+COUNTIF($E141:AD141,"²")+COUNTIF($E141:AD141,"µ")+COUNTIF($E141:AD141,1)),
HYPERLINK("#Roadmap!C"&amp; MATCH($E141,Roadmap!$D:$D,0)+COUNTIF($E141:AD141,"u")+COUNTIF($E141:AD141,"t"),
     INDEX(Roadmap!$D:$K,MATCH($E141,Roadmap!$D:$D,0)+COUNTIF($E141:AD141,"u")+COUNTIF($E141:AD141,"t")+COUNTIF($E141:AD141,"¶")+COUNTIF($E141:AD141,"²")+COUNTIF($E141:AD141,"µ")+COUNTIF($E141:AD141,1),ColTypeEcheance)),
  IF(LEN(AD141)=1,
  IF(LEN(INDEX(Roadmap!$D:$K,MATCH($E141,Roadmap!$D:$D,0)-1+COUNTIF($E141:AD141,"u")+COUNTIF($E141:AD141,"t")+COUNTIF($E141:AD141,"¶")+COUNTIF($E141:AD141,"²")+COUNTIF($E141:AD141,"µ")+COUNTIF($E141:AD141,1),ColDescriptionCourte))&gt;1,
HYPERLINK("#Roadmap!C"&amp; MATCH($E141,Roadmap!$D:$D,0)+COUNTIF($E141:AD141,"u")+COUNTIF($E141:AD141,"t")+COUNTIF($E141:AD141,"¶")+COUNTIF($E141:AD141,"²")+COUNTIF($E141:AD141,"µ")+COUNTIF($E141:AD141,1)-1,INDEX(Roadmap!$D:$K,MATCH($E141,Roadmap!$D:$D,0)-1+COUNTIF($E141:AD141,"u")+COUNTIF($E141:AD141,"t")+COUNTIF($E141:AD141,"¶")+COUNTIF($E141:AD141,"²")+COUNTIF($E141:AD141,"µ")+COUNTIF($E141:AD141,1),ColDescriptionCourte)),""),
  "")),"")</f>
        <v/>
      </c>
      <c r="AF141" s="40" t="str">
        <f ca="1">IFERROR(IF(AND(
  INDEX(Roadmap!$D:$K,MATCH($E141,Roadmap!$D:$D,0)+COUNTIF($E141:AE141,"u")+COUNTIF($E141:AE141,"t")+COUNTIF($E141:AE141,"¶")+COUNTIF($E141:AE141,"²")+COUNTIF($E141:AE141,"µ")+COUNTIF($E141:AE141,1),ColLivraison)=AF$6,
  VLOOKUP($E141,INDIRECT("tri!"&amp; CHAR(64+ C0Col) &amp;":"&amp; CHAR(65+C0Col)),2,FALSE)&gt;COUNTIF($E141:AE141,"u")+COUNTIF($E141:AE141,"t")+COUNTIF($E141:AE141,"¶")+COUNTIF($E141:AE141,"²")+COUNTIF($E141:AE141,"µ")+COUNTIF($E141:AE141,1)),
HYPERLINK("#Roadmap!C"&amp; MATCH($E141,Roadmap!$D:$D,0)+COUNTIF($E141:AE141,"u")+COUNTIF($E141:AE141,"t"),
     INDEX(Roadmap!$D:$K,MATCH($E141,Roadmap!$D:$D,0)+COUNTIF($E141:AE141,"u")+COUNTIF($E141:AE141,"t")+COUNTIF($E141:AE141,"¶")+COUNTIF($E141:AE141,"²")+COUNTIF($E141:AE141,"µ")+COUNTIF($E141:AE141,1),ColTypeEcheance)),
  IF(LEN(AE141)=1,
  IF(LEN(INDEX(Roadmap!$D:$K,MATCH($E141,Roadmap!$D:$D,0)-1+COUNTIF($E141:AE141,"u")+COUNTIF($E141:AE141,"t")+COUNTIF($E141:AE141,"¶")+COUNTIF($E141:AE141,"²")+COUNTIF($E141:AE141,"µ")+COUNTIF($E141:AE141,1),ColDescriptionCourte))&gt;1,
HYPERLINK("#Roadmap!C"&amp; MATCH($E141,Roadmap!$D:$D,0)+COUNTIF($E141:AE141,"u")+COUNTIF($E141:AE141,"t")+COUNTIF($E141:AE141,"¶")+COUNTIF($E141:AE141,"²")+COUNTIF($E141:AE141,"µ")+COUNTIF($E141:AE141,1)-1,INDEX(Roadmap!$D:$K,MATCH($E141,Roadmap!$D:$D,0)-1+COUNTIF($E141:AE141,"u")+COUNTIF($E141:AE141,"t")+COUNTIF($E141:AE141,"¶")+COUNTIF($E141:AE141,"²")+COUNTIF($E141:AE141,"µ")+COUNTIF($E141:AE141,1),ColDescriptionCourte)),""),
  "")),"")</f>
        <v/>
      </c>
      <c r="AG141" s="40" t="str">
        <f ca="1">IFERROR(IF(AND(
  INDEX(Roadmap!$D:$K,MATCH($E141,Roadmap!$D:$D,0)+COUNTIF($E141:AF141,"u")+COUNTIF($E141:AF141,"t")+COUNTIF($E141:AF141,"¶")+COUNTIF($E141:AF141,"²")+COUNTIF($E141:AF141,"µ")+COUNTIF($E141:AF141,1),ColLivraison)=AG$6,
  VLOOKUP($E141,INDIRECT("tri!"&amp; CHAR(64+ C0Col) &amp;":"&amp; CHAR(65+C0Col)),2,FALSE)&gt;COUNTIF($E141:AF141,"u")+COUNTIF($E141:AF141,"t")+COUNTIF($E141:AF141,"¶")+COUNTIF($E141:AF141,"²")+COUNTIF($E141:AF141,"µ")+COUNTIF($E141:AF141,1)),
HYPERLINK("#Roadmap!C"&amp; MATCH($E141,Roadmap!$D:$D,0)+COUNTIF($E141:AF141,"u")+COUNTIF($E141:AF141,"t"),
     INDEX(Roadmap!$D:$K,MATCH($E141,Roadmap!$D:$D,0)+COUNTIF($E141:AF141,"u")+COUNTIF($E141:AF141,"t")+COUNTIF($E141:AF141,"¶")+COUNTIF($E141:AF141,"²")+COUNTIF($E141:AF141,"µ")+COUNTIF($E141:AF141,1),ColTypeEcheance)),
  IF(LEN(AF141)=1,
  IF(LEN(INDEX(Roadmap!$D:$K,MATCH($E141,Roadmap!$D:$D,0)-1+COUNTIF($E141:AF141,"u")+COUNTIF($E141:AF141,"t")+COUNTIF($E141:AF141,"¶")+COUNTIF($E141:AF141,"²")+COUNTIF($E141:AF141,"µ")+COUNTIF($E141:AF141,1),ColDescriptionCourte))&gt;1,
HYPERLINK("#Roadmap!C"&amp; MATCH($E141,Roadmap!$D:$D,0)+COUNTIF($E141:AF141,"u")+COUNTIF($E141:AF141,"t")+COUNTIF($E141:AF141,"¶")+COUNTIF($E141:AF141,"²")+COUNTIF($E141:AF141,"µ")+COUNTIF($E141:AF141,1)-1,INDEX(Roadmap!$D:$K,MATCH($E141,Roadmap!$D:$D,0)-1+COUNTIF($E141:AF141,"u")+COUNTIF($E141:AF141,"t")+COUNTIF($E141:AF141,"¶")+COUNTIF($E141:AF141,"²")+COUNTIF($E141:AF141,"µ")+COUNTIF($E141:AF141,1),ColDescriptionCourte)),""),
  "")),"")</f>
        <v/>
      </c>
      <c r="AH141" s="40" t="str">
        <f ca="1">IFERROR(IF(AND(
  INDEX(Roadmap!$D:$K,MATCH($E141,Roadmap!$D:$D,0)+COUNTIF($E141:AG141,"u")+COUNTIF($E141:AG141,"t")+COUNTIF($E141:AG141,1),ColLivraison)=AH$6,
  VLOOKUP($E141,INDIRECT("tri!"&amp; CHAR(64+ C0Col) &amp;":"&amp; CHAR(65+C0Col)),2,FALSE)&gt;COUNTIF($E141:AG141,"u")+COUNTIF($E141:AG141,"t")+COUNTIF($E141:AG141,1)),
HYPERLINK("#Roadmap!C"&amp; MATCH($E141,Roadmap!$D:$D,0)+COUNTIF($E141:AG141,"u")+COUNTIF($E141:AG141,"t"),
     INDEX(Roadmap!$D:$K,MATCH($E141,Roadmap!$D:$D,0)+COUNTIF($E141:AG141,"u")+COUNTIF($E141:AG141,"t")+COUNTIF($E141:AG141,1),ColTypeEcheance)),
  IF(OR(AG141="u",AG141="t",AG141=1),
  IF(LEN(INDEX(Roadmap!$D:$K,MATCH($E141,Roadmap!$D:$D,0)-1+COUNTIF($E141:AG141,"u")+COUNTIF($E141:AG141,"t")+COUNTIF($E141:AG141,1),ColDescriptionCourte))&gt;1,
HYPERLINK("#Roadmap!C"&amp; MATCH($E141,Roadmap!$D:$D,0)+COUNTIF($E141:AG141,"u")+COUNTIF($E141:AG141,"t")+COUNTIF($E141:AG141,1)-1,INDEX(Roadmap!$D:$K,MATCH($E141,Roadmap!$D:$D,0)-1+COUNTIF($E141:AG141,"u")+COUNTIF($E141:AG141,"t")+COUNTIF($E141:AG141,1),ColDescriptionCourte)),""),
  "")),"")</f>
        <v/>
      </c>
      <c r="AI141" s="40"/>
      <c r="AJ141" s="40"/>
      <c r="AK141" s="40"/>
      <c r="AL141" s="40"/>
      <c r="AM141" s="40"/>
    </row>
    <row r="142" spans="4:39" ht="14.1" customHeight="1">
      <c r="D142" s="20" t="str">
        <f t="shared" ca="1" si="31"/>
        <v/>
      </c>
      <c r="E142" s="53" t="str">
        <f t="shared" ca="1" si="32"/>
        <v/>
      </c>
      <c r="F142" s="39" t="str">
        <f ca="1">IFERROR(IF(AND(
  INDEX(Roadmap!$D:$K,MATCH($E142,Roadmap!$D:$D,0)+COUNTIF($E142:E142,"u")+COUNTIF($E142:E142,"t")+COUNTIF($E142:E142,"¶")+COUNTIF($E142:E142,"²")+COUNTIF($E142:E142,"µ")+COUNTIF($E142:E142,1),ColLivraison)=F$6,
  VLOOKUP($E142,INDIRECT("tri!"&amp; CHAR(64+ C0Col) &amp;":"&amp; CHAR(65+C0Col)),2,FALSE)&gt;COUNTIF($E142:E142,"u")+COUNTIF($E142:E142,"t")+COUNTIF($E142:E142,"¶")+COUNTIF($E142:E142,"²")+COUNTIF($E142:E142,"µ")+COUNTIF($E142:E142,1)),
HYPERLINK("#Roadmap!C"&amp; MATCH($E142,Roadmap!$D:$D,0)+COUNTIF($E142:E142,"u")+COUNTIF($E142:E142,"t"),
     INDEX(Roadmap!$D:$K,MATCH($E142,Roadmap!$D:$D,0)+COUNTIF($E142:E142,"u")+COUNTIF($E142:E142,"t")+COUNTIF($E142:E142,"¶")+COUNTIF($E142:E142,"²")+COUNTIF($E142:E142,"µ")+COUNTIF($E142:E142,1),ColTypeEcheance)),
  IF(LEN(E142)=1,
  IF(LEN(INDEX(Roadmap!$D:$K,MATCH($E142,Roadmap!$D:$D,0)-1+COUNTIF($E142:E142,"u")+COUNTIF($E142:E142,"t")+COUNTIF($E142:E142,"¶")+COUNTIF($E142:E142,"²")+COUNTIF($E142:E142,"µ")+COUNTIF($E142:E142,1),ColDescriptionCourte))&gt;1,
HYPERLINK("#Roadmap!C"&amp; MATCH($E142,Roadmap!$D:$D,0)+COUNTIF($E142:E142,"u")+COUNTIF($E142:E142,"t")+COUNTIF($E142:E142,"¶")+COUNTIF($E142:E142,"²")+COUNTIF($E142:E142,"µ")+COUNTIF($E142:E142,1)-1,INDEX(Roadmap!$D:$K,MATCH($E142,Roadmap!$D:$D,0)-1+COUNTIF($E142:E142,"u")+COUNTIF($E142:E142,"t")+COUNTIF($E142:E142,"¶")+COUNTIF($E142:E142,"²")+COUNTIF($E142:E142,"µ")+COUNTIF($E142:E142,1),ColDescriptionCourte)),""),
  "")),"")</f>
        <v/>
      </c>
      <c r="G142" s="40" t="str">
        <f ca="1">IFERROR(IF(AND(
  INDEX(Roadmap!$D:$K,MATCH($E142,Roadmap!$D:$D,0)+COUNTIF($E142:F142,"u")+COUNTIF($E142:F142,"t")+COUNTIF($E142:F142,"¶")+COUNTIF($E142:F142,"²")+COUNTIF($E142:F142,"µ")+COUNTIF($E142:F142,1),ColLivraison)=G$6,
  VLOOKUP($E142,INDIRECT("tri!"&amp; CHAR(64+ C0Col) &amp;":"&amp; CHAR(65+C0Col)),2,FALSE)&gt;COUNTIF($E142:F142,"u")+COUNTIF($E142:F142,"t")+COUNTIF($E142:F142,"¶")+COUNTIF($E142:F142,"²")+COUNTIF($E142:F142,"µ")+COUNTIF($E142:F142,1)),
HYPERLINK("#Roadmap!C"&amp; MATCH($E142,Roadmap!$D:$D,0)+COUNTIF($E142:F142,"u")+COUNTIF($E142:F142,"t"),
     INDEX(Roadmap!$D:$K,MATCH($E142,Roadmap!$D:$D,0)+COUNTIF($E142:F142,"u")+COUNTIF($E142:F142,"t")+COUNTIF($E142:F142,"¶")+COUNTIF($E142:F142,"²")+COUNTIF($E142:F142,"µ")+COUNTIF($E142:F142,1),ColTypeEcheance)),
  IF(LEN(F142)=1,
  IF(LEN(INDEX(Roadmap!$D:$K,MATCH($E142,Roadmap!$D:$D,0)-1+COUNTIF($E142:F142,"u")+COUNTIF($E142:F142,"t")+COUNTIF($E142:F142,"¶")+COUNTIF($E142:F142,"²")+COUNTIF($E142:F142,"µ")+COUNTIF($E142:F142,1),ColDescriptionCourte))&gt;1,
HYPERLINK("#Roadmap!C"&amp; MATCH($E142,Roadmap!$D:$D,0)+COUNTIF($E142:F142,"u")+COUNTIF($E142:F142,"t")+COUNTIF($E142:F142,"¶")+COUNTIF($E142:F142,"²")+COUNTIF($E142:F142,"µ")+COUNTIF($E142:F142,1)-1,INDEX(Roadmap!$D:$K,MATCH($E142,Roadmap!$D:$D,0)-1+COUNTIF($E142:F142,"u")+COUNTIF($E142:F142,"t")+COUNTIF($E142:F142,"¶")+COUNTIF($E142:F142,"²")+COUNTIF($E142:F142,"µ")+COUNTIF($E142:F142,1),ColDescriptionCourte)),""),
  "")),"")</f>
        <v/>
      </c>
      <c r="H142" s="40" t="str">
        <f ca="1">IFERROR(IF(AND(
  INDEX(Roadmap!$D:$K,MATCH($E142,Roadmap!$D:$D,0)+COUNTIF($E142:G142,"u")+COUNTIF($E142:G142,"t")+COUNTIF($E142:G142,"¶")+COUNTIF($E142:G142,"²")+COUNTIF($E142:G142,"µ")+COUNTIF($E142:G142,1),ColLivraison)=H$6,
  VLOOKUP($E142,INDIRECT("tri!"&amp; CHAR(64+ C0Col) &amp;":"&amp; CHAR(65+C0Col)),2,FALSE)&gt;COUNTIF($E142:G142,"u")+COUNTIF($E142:G142,"t")+COUNTIF($E142:G142,"¶")+COUNTIF($E142:G142,"²")+COUNTIF($E142:G142,"µ")+COUNTIF($E142:G142,1)),
HYPERLINK("#Roadmap!C"&amp; MATCH($E142,Roadmap!$D:$D,0)+COUNTIF($E142:G142,"u")+COUNTIF($E142:G142,"t"),
     INDEX(Roadmap!$D:$K,MATCH($E142,Roadmap!$D:$D,0)+COUNTIF($E142:G142,"u")+COUNTIF($E142:G142,"t")+COUNTIF($E142:G142,"¶")+COUNTIF($E142:G142,"²")+COUNTIF($E142:G142,"µ")+COUNTIF($E142:G142,1),ColTypeEcheance)),
  IF(LEN(G142)=1,
  IF(LEN(INDEX(Roadmap!$D:$K,MATCH($E142,Roadmap!$D:$D,0)-1+COUNTIF($E142:G142,"u")+COUNTIF($E142:G142,"t")+COUNTIF($E142:G142,"¶")+COUNTIF($E142:G142,"²")+COUNTIF($E142:G142,"µ")+COUNTIF($E142:G142,1),ColDescriptionCourte))&gt;1,
HYPERLINK("#Roadmap!C"&amp; MATCH($E142,Roadmap!$D:$D,0)+COUNTIF($E142:G142,"u")+COUNTIF($E142:G142,"t")+COUNTIF($E142:G142,"¶")+COUNTIF($E142:G142,"²")+COUNTIF($E142:G142,"µ")+COUNTIF($E142:G142,1)-1,INDEX(Roadmap!$D:$K,MATCH($E142,Roadmap!$D:$D,0)-1+COUNTIF($E142:G142,"u")+COUNTIF($E142:G142,"t")+COUNTIF($E142:G142,"¶")+COUNTIF($E142:G142,"²")+COUNTIF($E142:G142,"µ")+COUNTIF($E142:G142,1),ColDescriptionCourte)),""),
  "")),"")</f>
        <v/>
      </c>
      <c r="I142" s="40" t="str">
        <f ca="1">IFERROR(IF(AND(
  INDEX(Roadmap!$D:$K,MATCH($E142,Roadmap!$D:$D,0)+COUNTIF($E142:H142,"u")+COUNTIF($E142:H142,"t")+COUNTIF($E142:H142,"¶")+COUNTIF($E142:H142,"²")+COUNTIF($E142:H142,"µ")+COUNTIF($E142:H142,1),ColLivraison)=I$6,
  VLOOKUP($E142,INDIRECT("tri!"&amp; CHAR(64+ C0Col) &amp;":"&amp; CHAR(65+C0Col)),2,FALSE)&gt;COUNTIF($E142:H142,"u")+COUNTIF($E142:H142,"t")+COUNTIF($E142:H142,"¶")+COUNTIF($E142:H142,"²")+COUNTIF($E142:H142,"µ")+COUNTIF($E142:H142,1)),
HYPERLINK("#Roadmap!C"&amp; MATCH($E142,Roadmap!$D:$D,0)+COUNTIF($E142:H142,"u")+COUNTIF($E142:H142,"t"),
     INDEX(Roadmap!$D:$K,MATCH($E142,Roadmap!$D:$D,0)+COUNTIF($E142:H142,"u")+COUNTIF($E142:H142,"t")+COUNTIF($E142:H142,"¶")+COUNTIF($E142:H142,"²")+COUNTIF($E142:H142,"µ")+COUNTIF($E142:H142,1),ColTypeEcheance)),
  IF(LEN(H142)=1,
  IF(LEN(INDEX(Roadmap!$D:$K,MATCH($E142,Roadmap!$D:$D,0)-1+COUNTIF($E142:H142,"u")+COUNTIF($E142:H142,"t")+COUNTIF($E142:H142,"¶")+COUNTIF($E142:H142,"²")+COUNTIF($E142:H142,"µ")+COUNTIF($E142:H142,1),ColDescriptionCourte))&gt;1,
HYPERLINK("#Roadmap!C"&amp; MATCH($E142,Roadmap!$D:$D,0)+COUNTIF($E142:H142,"u")+COUNTIF($E142:H142,"t")+COUNTIF($E142:H142,"¶")+COUNTIF($E142:H142,"²")+COUNTIF($E142:H142,"µ")+COUNTIF($E142:H142,1)-1,INDEX(Roadmap!$D:$K,MATCH($E142,Roadmap!$D:$D,0)-1+COUNTIF($E142:H142,"u")+COUNTIF($E142:H142,"t")+COUNTIF($E142:H142,"¶")+COUNTIF($E142:H142,"²")+COUNTIF($E142:H142,"µ")+COUNTIF($E142:H142,1),ColDescriptionCourte)),""),
  "")),"")</f>
        <v/>
      </c>
      <c r="J142" s="40" t="str">
        <f ca="1">IFERROR(IF(AND(
  INDEX(Roadmap!$D:$K,MATCH($E142,Roadmap!$D:$D,0)+COUNTIF($E142:I142,"u")+COUNTIF($E142:I142,"t")+COUNTIF($E142:I142,"¶")+COUNTIF($E142:I142,"²")+COUNTIF($E142:I142,"µ")+COUNTIF($E142:I142,1),ColLivraison)=J$6,
  VLOOKUP($E142,INDIRECT("tri!"&amp; CHAR(64+ C0Col) &amp;":"&amp; CHAR(65+C0Col)),2,FALSE)&gt;COUNTIF($E142:I142,"u")+COUNTIF($E142:I142,"t")+COUNTIF($E142:I142,"¶")+COUNTIF($E142:I142,"²")+COUNTIF($E142:I142,"µ")+COUNTIF($E142:I142,1)),
HYPERLINK("#Roadmap!C"&amp; MATCH($E142,Roadmap!$D:$D,0)+COUNTIF($E142:I142,"u")+COUNTIF($E142:I142,"t"),
     INDEX(Roadmap!$D:$K,MATCH($E142,Roadmap!$D:$D,0)+COUNTIF($E142:I142,"u")+COUNTIF($E142:I142,"t")+COUNTIF($E142:I142,"¶")+COUNTIF($E142:I142,"²")+COUNTIF($E142:I142,"µ")+COUNTIF($E142:I142,1),ColTypeEcheance)),
  IF(LEN(I142)=1,
  IF(LEN(INDEX(Roadmap!$D:$K,MATCH($E142,Roadmap!$D:$D,0)-1+COUNTIF($E142:I142,"u")+COUNTIF($E142:I142,"t")+COUNTIF($E142:I142,"¶")+COUNTIF($E142:I142,"²")+COUNTIF($E142:I142,"µ")+COUNTIF($E142:I142,1),ColDescriptionCourte))&gt;1,
HYPERLINK("#Roadmap!C"&amp; MATCH($E142,Roadmap!$D:$D,0)+COUNTIF($E142:I142,"u")+COUNTIF($E142:I142,"t")+COUNTIF($E142:I142,"¶")+COUNTIF($E142:I142,"²")+COUNTIF($E142:I142,"µ")+COUNTIF($E142:I142,1)-1,INDEX(Roadmap!$D:$K,MATCH($E142,Roadmap!$D:$D,0)-1+COUNTIF($E142:I142,"u")+COUNTIF($E142:I142,"t")+COUNTIF($E142:I142,"¶")+COUNTIF($E142:I142,"²")+COUNTIF($E142:I142,"µ")+COUNTIF($E142:I142,1),ColDescriptionCourte)),""),
  "")),"")</f>
        <v/>
      </c>
      <c r="K142" s="40" t="str">
        <f ca="1">IFERROR(IF(AND(
  INDEX(Roadmap!$D:$K,MATCH($E142,Roadmap!$D:$D,0)+COUNTIF($E142:J142,"u")+COUNTIF($E142:J142,"t")+COUNTIF($E142:J142,"¶")+COUNTIF($E142:J142,"²")+COUNTIF($E142:J142,"µ")+COUNTIF($E142:J142,1),ColLivraison)=K$6,
  VLOOKUP($E142,INDIRECT("tri!"&amp; CHAR(64+ C0Col) &amp;":"&amp; CHAR(65+C0Col)),2,FALSE)&gt;COUNTIF($E142:J142,"u")+COUNTIF($E142:J142,"t")+COUNTIF($E142:J142,"¶")+COUNTIF($E142:J142,"²")+COUNTIF($E142:J142,"µ")+COUNTIF($E142:J142,1)),
HYPERLINK("#Roadmap!C"&amp; MATCH($E142,Roadmap!$D:$D,0)+COUNTIF($E142:J142,"u")+COUNTIF($E142:J142,"t"),
     INDEX(Roadmap!$D:$K,MATCH($E142,Roadmap!$D:$D,0)+COUNTIF($E142:J142,"u")+COUNTIF($E142:J142,"t")+COUNTIF($E142:J142,"¶")+COUNTIF($E142:J142,"²")+COUNTIF($E142:J142,"µ")+COUNTIF($E142:J142,1),ColTypeEcheance)),
  IF(LEN(J142)=1,
  IF(LEN(INDEX(Roadmap!$D:$K,MATCH($E142,Roadmap!$D:$D,0)-1+COUNTIF($E142:J142,"u")+COUNTIF($E142:J142,"t")+COUNTIF($E142:J142,"¶")+COUNTIF($E142:J142,"²")+COUNTIF($E142:J142,"µ")+COUNTIF($E142:J142,1),ColDescriptionCourte))&gt;1,
HYPERLINK("#Roadmap!C"&amp; MATCH($E142,Roadmap!$D:$D,0)+COUNTIF($E142:J142,"u")+COUNTIF($E142:J142,"t")+COUNTIF($E142:J142,"¶")+COUNTIF($E142:J142,"²")+COUNTIF($E142:J142,"µ")+COUNTIF($E142:J142,1)-1,INDEX(Roadmap!$D:$K,MATCH($E142,Roadmap!$D:$D,0)-1+COUNTIF($E142:J142,"u")+COUNTIF($E142:J142,"t")+COUNTIF($E142:J142,"¶")+COUNTIF($E142:J142,"²")+COUNTIF($E142:J142,"µ")+COUNTIF($E142:J142,1),ColDescriptionCourte)),""),
  "")),"")</f>
        <v/>
      </c>
      <c r="L142" s="39" t="str">
        <f ca="1">IFERROR(IF(AND(
  INDEX(Roadmap!$D:$K,MATCH($E142,Roadmap!$D:$D,0)+COUNTIF($E142:K142,"u")+COUNTIF($E142:K142,"t")+COUNTIF($E142:K142,"¶")+COUNTIF($E142:K142,"²")+COUNTIF($E142:K142,"µ")+COUNTIF($E142:K142,1),ColLivraison)=L$6,
  VLOOKUP($E142,INDIRECT("tri!"&amp; CHAR(64+ C0Col) &amp;":"&amp; CHAR(65+C0Col)),2,FALSE)&gt;COUNTIF($E142:K142,"u")+COUNTIF($E142:K142,"t")+COUNTIF($E142:K142,"¶")+COUNTIF($E142:K142,"²")+COUNTIF($E142:K142,"µ")+COUNTIF($E142:K142,1)),
HYPERLINK("#Roadmap!C"&amp; MATCH($E142,Roadmap!$D:$D,0)+COUNTIF($E142:K142,"u")+COUNTIF($E142:K142,"t"),
     INDEX(Roadmap!$D:$K,MATCH($E142,Roadmap!$D:$D,0)+COUNTIF($E142:K142,"u")+COUNTIF($E142:K142,"t")+COUNTIF($E142:K142,"¶")+COUNTIF($E142:K142,"²")+COUNTIF($E142:K142,"µ")+COUNTIF($E142:K142,1),ColTypeEcheance)),
  IF(LEN(K142)=1,
  IF(LEN(INDEX(Roadmap!$D:$K,MATCH($E142,Roadmap!$D:$D,0)-1+COUNTIF($E142:K142,"u")+COUNTIF($E142:K142,"t")+COUNTIF($E142:K142,"¶")+COUNTIF($E142:K142,"²")+COUNTIF($E142:K142,"µ")+COUNTIF($E142:K142,1),ColDescriptionCourte))&gt;1,
HYPERLINK("#Roadmap!C"&amp; MATCH($E142,Roadmap!$D:$D,0)+COUNTIF($E142:K142,"u")+COUNTIF($E142:K142,"t")+COUNTIF($E142:K142,"¶")+COUNTIF($E142:K142,"²")+COUNTIF($E142:K142,"µ")+COUNTIF($E142:K142,1)-1,INDEX(Roadmap!$D:$K,MATCH($E142,Roadmap!$D:$D,0)-1+COUNTIF($E142:K142,"u")+COUNTIF($E142:K142,"t")+COUNTIF($E142:K142,"¶")+COUNTIF($E142:K142,"²")+COUNTIF($E142:K142,"µ")+COUNTIF($E142:K142,1),ColDescriptionCourte)),""),
  "")),"")</f>
        <v/>
      </c>
      <c r="M142" s="40" t="str">
        <f ca="1">IFERROR(IF(AND(
  INDEX(Roadmap!$D:$K,MATCH($E142,Roadmap!$D:$D,0)+COUNTIF($E142:L142,"u")+COUNTIF($E142:L142,"t")+COUNTIF($E142:L142,"¶")+COUNTIF($E142:L142,"²")+COUNTIF($E142:L142,"µ")+COUNTIF($E142:L142,1),ColLivraison)=M$6,
  VLOOKUP($E142,INDIRECT("tri!"&amp; CHAR(64+ C0Col) &amp;":"&amp; CHAR(65+C0Col)),2,FALSE)&gt;COUNTIF($E142:L142,"u")+COUNTIF($E142:L142,"t")+COUNTIF($E142:L142,"¶")+COUNTIF($E142:L142,"²")+COUNTIF($E142:L142,"µ")+COUNTIF($E142:L142,1)),
HYPERLINK("#Roadmap!C"&amp; MATCH($E142,Roadmap!$D:$D,0)+COUNTIF($E142:L142,"u")+COUNTIF($E142:L142,"t"),
     INDEX(Roadmap!$D:$K,MATCH($E142,Roadmap!$D:$D,0)+COUNTIF($E142:L142,"u")+COUNTIF($E142:L142,"t")+COUNTIF($E142:L142,"¶")+COUNTIF($E142:L142,"²")+COUNTIF($E142:L142,"µ")+COUNTIF($E142:L142,1),ColTypeEcheance)),
  IF(LEN(L142)=1,
  IF(LEN(INDEX(Roadmap!$D:$K,MATCH($E142,Roadmap!$D:$D,0)-1+COUNTIF($E142:L142,"u")+COUNTIF($E142:L142,"t")+COUNTIF($E142:L142,"¶")+COUNTIF($E142:L142,"²")+COUNTIF($E142:L142,"µ")+COUNTIF($E142:L142,1),ColDescriptionCourte))&gt;1,
HYPERLINK("#Roadmap!C"&amp; MATCH($E142,Roadmap!$D:$D,0)+COUNTIF($E142:L142,"u")+COUNTIF($E142:L142,"t")+COUNTIF($E142:L142,"¶")+COUNTIF($E142:L142,"²")+COUNTIF($E142:L142,"µ")+COUNTIF($E142:L142,1)-1,INDEX(Roadmap!$D:$K,MATCH($E142,Roadmap!$D:$D,0)-1+COUNTIF($E142:L142,"u")+COUNTIF($E142:L142,"t")+COUNTIF($E142:L142,"¶")+COUNTIF($E142:L142,"²")+COUNTIF($E142:L142,"µ")+COUNTIF($E142:L142,1),ColDescriptionCourte)),""),
  "")),"")</f>
        <v/>
      </c>
      <c r="N142" s="40" t="str">
        <f ca="1">IFERROR(IF(AND(
  INDEX(Roadmap!$D:$K,MATCH($E142,Roadmap!$D:$D,0)+COUNTIF($E142:M142,"u")+COUNTIF($E142:M142,"t")+COUNTIF($E142:M142,"¶")+COUNTIF($E142:M142,"²")+COUNTIF($E142:M142,"µ")+COUNTIF($E142:M142,1),ColLivraison)=N$6,
  VLOOKUP($E142,INDIRECT("tri!"&amp; CHAR(64+ C0Col) &amp;":"&amp; CHAR(65+C0Col)),2,FALSE)&gt;COUNTIF($E142:M142,"u")+COUNTIF($E142:M142,"t")+COUNTIF($E142:M142,"¶")+COUNTIF($E142:M142,"²")+COUNTIF($E142:M142,"µ")+COUNTIF($E142:M142,1)),
HYPERLINK("#Roadmap!C"&amp; MATCH($E142,Roadmap!$D:$D,0)+COUNTIF($E142:M142,"u")+COUNTIF($E142:M142,"t"),
     INDEX(Roadmap!$D:$K,MATCH($E142,Roadmap!$D:$D,0)+COUNTIF($E142:M142,"u")+COUNTIF($E142:M142,"t")+COUNTIF($E142:M142,"¶")+COUNTIF($E142:M142,"²")+COUNTIF($E142:M142,"µ")+COUNTIF($E142:M142,1),ColTypeEcheance)),
  IF(LEN(M142)=1,
  IF(LEN(INDEX(Roadmap!$D:$K,MATCH($E142,Roadmap!$D:$D,0)-1+COUNTIF($E142:M142,"u")+COUNTIF($E142:M142,"t")+COUNTIF($E142:M142,"¶")+COUNTIF($E142:M142,"²")+COUNTIF($E142:M142,"µ")+COUNTIF($E142:M142,1),ColDescriptionCourte))&gt;1,
HYPERLINK("#Roadmap!C"&amp; MATCH($E142,Roadmap!$D:$D,0)+COUNTIF($E142:M142,"u")+COUNTIF($E142:M142,"t")+COUNTIF($E142:M142,"¶")+COUNTIF($E142:M142,"²")+COUNTIF($E142:M142,"µ")+COUNTIF($E142:M142,1)-1,INDEX(Roadmap!$D:$K,MATCH($E142,Roadmap!$D:$D,0)-1+COUNTIF($E142:M142,"u")+COUNTIF($E142:M142,"t")+COUNTIF($E142:M142,"¶")+COUNTIF($E142:M142,"²")+COUNTIF($E142:M142,"µ")+COUNTIF($E142:M142,1),ColDescriptionCourte)),""),
  "")),"")</f>
        <v/>
      </c>
      <c r="O142" s="40" t="str">
        <f ca="1">IFERROR(IF(AND(
  INDEX(Roadmap!$D:$K,MATCH($E142,Roadmap!$D:$D,0)+COUNTIF($E142:N142,"u")+COUNTIF($E142:N142,"t")+COUNTIF($E142:N142,"¶")+COUNTIF($E142:N142,"²")+COUNTIF($E142:N142,"µ")+COUNTIF($E142:N142,1),ColLivraison)=O$6,
  VLOOKUP($E142,INDIRECT("tri!"&amp; CHAR(64+ C0Col) &amp;":"&amp; CHAR(65+C0Col)),2,FALSE)&gt;COUNTIF($E142:N142,"u")+COUNTIF($E142:N142,"t")+COUNTIF($E142:N142,"¶")+COUNTIF($E142:N142,"²")+COUNTIF($E142:N142,"µ")+COUNTIF($E142:N142,1)),
HYPERLINK("#Roadmap!C"&amp; MATCH($E142,Roadmap!$D:$D,0)+COUNTIF($E142:N142,"u")+COUNTIF($E142:N142,"t"),
     INDEX(Roadmap!$D:$K,MATCH($E142,Roadmap!$D:$D,0)+COUNTIF($E142:N142,"u")+COUNTIF($E142:N142,"t")+COUNTIF($E142:N142,"¶")+COUNTIF($E142:N142,"²")+COUNTIF($E142:N142,"µ")+COUNTIF($E142:N142,1),ColTypeEcheance)),
  IF(LEN(N142)=1,
  IF(LEN(INDEX(Roadmap!$D:$K,MATCH($E142,Roadmap!$D:$D,0)-1+COUNTIF($E142:N142,"u")+COUNTIF($E142:N142,"t")+COUNTIF($E142:N142,"¶")+COUNTIF($E142:N142,"²")+COUNTIF($E142:N142,"µ")+COUNTIF($E142:N142,1),ColDescriptionCourte))&gt;1,
HYPERLINK("#Roadmap!C"&amp; MATCH($E142,Roadmap!$D:$D,0)+COUNTIF($E142:N142,"u")+COUNTIF($E142:N142,"t")+COUNTIF($E142:N142,"¶")+COUNTIF($E142:N142,"²")+COUNTIF($E142:N142,"µ")+COUNTIF($E142:N142,1)-1,INDEX(Roadmap!$D:$K,MATCH($E142,Roadmap!$D:$D,0)-1+COUNTIF($E142:N142,"u")+COUNTIF($E142:N142,"t")+COUNTIF($E142:N142,"¶")+COUNTIF($E142:N142,"²")+COUNTIF($E142:N142,"µ")+COUNTIF($E142:N142,1),ColDescriptionCourte)),""),
  "")),"")</f>
        <v/>
      </c>
      <c r="P142" s="40" t="str">
        <f ca="1">IFERROR(IF(AND(
  INDEX(Roadmap!$D:$K,MATCH($E142,Roadmap!$D:$D,0)+COUNTIF($E142:O142,"u")+COUNTIF($E142:O142,"t")+COUNTIF($E142:O142,"¶")+COUNTIF($E142:O142,"²")+COUNTIF($E142:O142,"µ")+COUNTIF($E142:O142,1),ColLivraison)=P$6,
  VLOOKUP($E142,INDIRECT("tri!"&amp; CHAR(64+ C0Col) &amp;":"&amp; CHAR(65+C0Col)),2,FALSE)&gt;COUNTIF($E142:O142,"u")+COUNTIF($E142:O142,"t")+COUNTIF($E142:O142,"¶")+COUNTIF($E142:O142,"²")+COUNTIF($E142:O142,"µ")+COUNTIF($E142:O142,1)),
HYPERLINK("#Roadmap!C"&amp; MATCH($E142,Roadmap!$D:$D,0)+COUNTIF($E142:O142,"u")+COUNTIF($E142:O142,"t"),
     INDEX(Roadmap!$D:$K,MATCH($E142,Roadmap!$D:$D,0)+COUNTIF($E142:O142,"u")+COUNTIF($E142:O142,"t")+COUNTIF($E142:O142,"¶")+COUNTIF($E142:O142,"²")+COUNTIF($E142:O142,"µ")+COUNTIF($E142:O142,1),ColTypeEcheance)),
  IF(LEN(O142)=1,
  IF(LEN(INDEX(Roadmap!$D:$K,MATCH($E142,Roadmap!$D:$D,0)-1+COUNTIF($E142:O142,"u")+COUNTIF($E142:O142,"t")+COUNTIF($E142:O142,"¶")+COUNTIF($E142:O142,"²")+COUNTIF($E142:O142,"µ")+COUNTIF($E142:O142,1),ColDescriptionCourte))&gt;1,
HYPERLINK("#Roadmap!C"&amp; MATCH($E142,Roadmap!$D:$D,0)+COUNTIF($E142:O142,"u")+COUNTIF($E142:O142,"t")+COUNTIF($E142:O142,"¶")+COUNTIF($E142:O142,"²")+COUNTIF($E142:O142,"µ")+COUNTIF($E142:O142,1)-1,INDEX(Roadmap!$D:$K,MATCH($E142,Roadmap!$D:$D,0)-1+COUNTIF($E142:O142,"u")+COUNTIF($E142:O142,"t")+COUNTIF($E142:O142,"¶")+COUNTIF($E142:O142,"²")+COUNTIF($E142:O142,"µ")+COUNTIF($E142:O142,1),ColDescriptionCourte)),""),
  "")),"")</f>
        <v/>
      </c>
      <c r="Q142" s="40" t="str">
        <f ca="1">IFERROR(IF(AND(
  INDEX(Roadmap!$D:$K,MATCH($E142,Roadmap!$D:$D,0)+COUNTIF($E142:P142,"u")+COUNTIF($E142:P142,"t")+COUNTIF($E142:P142,"¶")+COUNTIF($E142:P142,"²")+COUNTIF($E142:P142,"µ")+COUNTIF($E142:P142,1),ColLivraison)=Q$6,
  VLOOKUP($E142,INDIRECT("tri!"&amp; CHAR(64+ C0Col) &amp;":"&amp; CHAR(65+C0Col)),2,FALSE)&gt;COUNTIF($E142:P142,"u")+COUNTIF($E142:P142,"t")+COUNTIF($E142:P142,"¶")+COUNTIF($E142:P142,"²")+COUNTIF($E142:P142,"µ")+COUNTIF($E142:P142,1)),
HYPERLINK("#Roadmap!C"&amp; MATCH($E142,Roadmap!$D:$D,0)+COUNTIF($E142:P142,"u")+COUNTIF($E142:P142,"t"),
     INDEX(Roadmap!$D:$K,MATCH($E142,Roadmap!$D:$D,0)+COUNTIF($E142:P142,"u")+COUNTIF($E142:P142,"t")+COUNTIF($E142:P142,"¶")+COUNTIF($E142:P142,"²")+COUNTIF($E142:P142,"µ")+COUNTIF($E142:P142,1),ColTypeEcheance)),
  IF(LEN(P142)=1,
  IF(LEN(INDEX(Roadmap!$D:$K,MATCH($E142,Roadmap!$D:$D,0)-1+COUNTIF($E142:P142,"u")+COUNTIF($E142:P142,"t")+COUNTIF($E142:P142,"¶")+COUNTIF($E142:P142,"²")+COUNTIF($E142:P142,"µ")+COUNTIF($E142:P142,1),ColDescriptionCourte))&gt;1,
HYPERLINK("#Roadmap!C"&amp; MATCH($E142,Roadmap!$D:$D,0)+COUNTIF($E142:P142,"u")+COUNTIF($E142:P142,"t")+COUNTIF($E142:P142,"¶")+COUNTIF($E142:P142,"²")+COUNTIF($E142:P142,"µ")+COUNTIF($E142:P142,1)-1,INDEX(Roadmap!$D:$K,MATCH($E142,Roadmap!$D:$D,0)-1+COUNTIF($E142:P142,"u")+COUNTIF($E142:P142,"t")+COUNTIF($E142:P142,"¶")+COUNTIF($E142:P142,"²")+COUNTIF($E142:P142,"µ")+COUNTIF($E142:P142,1),ColDescriptionCourte)),""),
  "")),"")</f>
        <v/>
      </c>
      <c r="R142" s="40" t="str">
        <f ca="1">IFERROR(IF(AND(
  INDEX(Roadmap!$D:$K,MATCH($E142,Roadmap!$D:$D,0)+COUNTIF($E142:Q142,"u")+COUNTIF($E142:Q142,"t")+COUNTIF($E142:Q142,"¶")+COUNTIF($E142:Q142,"²")+COUNTIF($E142:Q142,"µ")+COUNTIF($E142:Q142,1),ColLivraison)=R$6,
  VLOOKUP($E142,INDIRECT("tri!"&amp; CHAR(64+ C0Col) &amp;":"&amp; CHAR(65+C0Col)),2,FALSE)&gt;COUNTIF($E142:Q142,"u")+COUNTIF($E142:Q142,"t")+COUNTIF($E142:Q142,"¶")+COUNTIF($E142:Q142,"²")+COUNTIF($E142:Q142,"µ")+COUNTIF($E142:Q142,1)),
HYPERLINK("#Roadmap!C"&amp; MATCH($E142,Roadmap!$D:$D,0)+COUNTIF($E142:Q142,"u")+COUNTIF($E142:Q142,"t"),
     INDEX(Roadmap!$D:$K,MATCH($E142,Roadmap!$D:$D,0)+COUNTIF($E142:Q142,"u")+COUNTIF($E142:Q142,"t")+COUNTIF($E142:Q142,"¶")+COUNTIF($E142:Q142,"²")+COUNTIF($E142:Q142,"µ")+COUNTIF($E142:Q142,1),ColTypeEcheance)),
  IF(LEN(Q142)=1,
  IF(LEN(INDEX(Roadmap!$D:$K,MATCH($E142,Roadmap!$D:$D,0)-1+COUNTIF($E142:Q142,"u")+COUNTIF($E142:Q142,"t")+COUNTIF($E142:Q142,"¶")+COUNTIF($E142:Q142,"²")+COUNTIF($E142:Q142,"µ")+COUNTIF($E142:Q142,1),ColDescriptionCourte))&gt;1,
HYPERLINK("#Roadmap!C"&amp; MATCH($E142,Roadmap!$D:$D,0)+COUNTIF($E142:Q142,"u")+COUNTIF($E142:Q142,"t")+COUNTIF($E142:Q142,"¶")+COUNTIF($E142:Q142,"²")+COUNTIF($E142:Q142,"µ")+COUNTIF($E142:Q142,1)-1,INDEX(Roadmap!$D:$K,MATCH($E142,Roadmap!$D:$D,0)-1+COUNTIF($E142:Q142,"u")+COUNTIF($E142:Q142,"t")+COUNTIF($E142:Q142,"¶")+COUNTIF($E142:Q142,"²")+COUNTIF($E142:Q142,"µ")+COUNTIF($E142:Q142,1),ColDescriptionCourte)),""),
  "")),"")</f>
        <v/>
      </c>
      <c r="S142" s="40" t="str">
        <f ca="1">IFERROR(IF(AND(
  INDEX(Roadmap!$D:$K,MATCH($E142,Roadmap!$D:$D,0)+COUNTIF($E142:R142,"u")+COUNTIF($E142:R142,"t")+COUNTIF($E142:R142,"¶")+COUNTIF($E142:R142,"²")+COUNTIF($E142:R142,"µ")+COUNTIF($E142:R142,1),ColLivraison)=S$6,
  VLOOKUP($E142,INDIRECT("tri!"&amp; CHAR(64+ C0Col) &amp;":"&amp; CHAR(65+C0Col)),2,FALSE)&gt;COUNTIF($E142:R142,"u")+COUNTIF($E142:R142,"t")+COUNTIF($E142:R142,"¶")+COUNTIF($E142:R142,"²")+COUNTIF($E142:R142,"µ")+COUNTIF($E142:R142,1)),
HYPERLINK("#Roadmap!C"&amp; MATCH($E142,Roadmap!$D:$D,0)+COUNTIF($E142:R142,"u")+COUNTIF($E142:R142,"t"),
     INDEX(Roadmap!$D:$K,MATCH($E142,Roadmap!$D:$D,0)+COUNTIF($E142:R142,"u")+COUNTIF($E142:R142,"t")+COUNTIF($E142:R142,"¶")+COUNTIF($E142:R142,"²")+COUNTIF($E142:R142,"µ")+COUNTIF($E142:R142,1),ColTypeEcheance)),
  IF(LEN(R142)=1,
  IF(LEN(INDEX(Roadmap!$D:$K,MATCH($E142,Roadmap!$D:$D,0)-1+COUNTIF($E142:R142,"u")+COUNTIF($E142:R142,"t")+COUNTIF($E142:R142,"¶")+COUNTIF($E142:R142,"²")+COUNTIF($E142:R142,"µ")+COUNTIF($E142:R142,1),ColDescriptionCourte))&gt;1,
HYPERLINK("#Roadmap!C"&amp; MATCH($E142,Roadmap!$D:$D,0)+COUNTIF($E142:R142,"u")+COUNTIF($E142:R142,"t")+COUNTIF($E142:R142,"¶")+COUNTIF($E142:R142,"²")+COUNTIF($E142:R142,"µ")+COUNTIF($E142:R142,1)-1,INDEX(Roadmap!$D:$K,MATCH($E142,Roadmap!$D:$D,0)-1+COUNTIF($E142:R142,"u")+COUNTIF($E142:R142,"t")+COUNTIF($E142:R142,"¶")+COUNTIF($E142:R142,"²")+COUNTIF($E142:R142,"µ")+COUNTIF($E142:R142,1),ColDescriptionCourte)),""),
  "")),"")</f>
        <v/>
      </c>
      <c r="T142" s="40" t="str">
        <f ca="1">IFERROR(IF(AND(
  INDEX(Roadmap!$D:$K,MATCH($E142,Roadmap!$D:$D,0)+COUNTIF($E142:S142,"u")+COUNTIF($E142:S142,"t")+COUNTIF($E142:S142,"¶")+COUNTIF($E142:S142,"²")+COUNTIF($E142:S142,"µ")+COUNTIF($E142:S142,1),ColLivraison)=T$6,
  VLOOKUP($E142,INDIRECT("tri!"&amp; CHAR(64+ C0Col) &amp;":"&amp; CHAR(65+C0Col)),2,FALSE)&gt;COUNTIF($E142:S142,"u")+COUNTIF($E142:S142,"t")+COUNTIF($E142:S142,"¶")+COUNTIF($E142:S142,"²")+COUNTIF($E142:S142,"µ")+COUNTIF($E142:S142,1)),
HYPERLINK("#Roadmap!C"&amp; MATCH($E142,Roadmap!$D:$D,0)+COUNTIF($E142:S142,"u")+COUNTIF($E142:S142,"t"),
     INDEX(Roadmap!$D:$K,MATCH($E142,Roadmap!$D:$D,0)+COUNTIF($E142:S142,"u")+COUNTIF($E142:S142,"t")+COUNTIF($E142:S142,"¶")+COUNTIF($E142:S142,"²")+COUNTIF($E142:S142,"µ")+COUNTIF($E142:S142,1),ColTypeEcheance)),
  IF(LEN(S142)=1,
  IF(LEN(INDEX(Roadmap!$D:$K,MATCH($E142,Roadmap!$D:$D,0)-1+COUNTIF($E142:S142,"u")+COUNTIF($E142:S142,"t")+COUNTIF($E142:S142,"¶")+COUNTIF($E142:S142,"²")+COUNTIF($E142:S142,"µ")+COUNTIF($E142:S142,1),ColDescriptionCourte))&gt;1,
HYPERLINK("#Roadmap!C"&amp; MATCH($E142,Roadmap!$D:$D,0)+COUNTIF($E142:S142,"u")+COUNTIF($E142:S142,"t")+COUNTIF($E142:S142,"¶")+COUNTIF($E142:S142,"²")+COUNTIF($E142:S142,"µ")+COUNTIF($E142:S142,1)-1,INDEX(Roadmap!$D:$K,MATCH($E142,Roadmap!$D:$D,0)-1+COUNTIF($E142:S142,"u")+COUNTIF($E142:S142,"t")+COUNTIF($E142:S142,"¶")+COUNTIF($E142:S142,"²")+COUNTIF($E142:S142,"µ")+COUNTIF($E142:S142,1),ColDescriptionCourte)),""),
  "")),"")</f>
        <v/>
      </c>
      <c r="U142" s="40" t="str">
        <f ca="1">IFERROR(IF(AND(
  INDEX(Roadmap!$D:$K,MATCH($E142,Roadmap!$D:$D,0)+COUNTIF($E142:T142,"u")+COUNTIF($E142:T142,"t")+COUNTIF($E142:T142,"¶")+COUNTIF($E142:T142,"²")+COUNTIF($E142:T142,"µ")+COUNTIF($E142:T142,1),ColLivraison)=U$6,
  VLOOKUP($E142,INDIRECT("tri!"&amp; CHAR(64+ C0Col) &amp;":"&amp; CHAR(65+C0Col)),2,FALSE)&gt;COUNTIF($E142:T142,"u")+COUNTIF($E142:T142,"t")+COUNTIF($E142:T142,"¶")+COUNTIF($E142:T142,"²")+COUNTIF($E142:T142,"µ")+COUNTIF($E142:T142,1)),
HYPERLINK("#Roadmap!C"&amp; MATCH($E142,Roadmap!$D:$D,0)+COUNTIF($E142:T142,"u")+COUNTIF($E142:T142,"t"),
     INDEX(Roadmap!$D:$K,MATCH($E142,Roadmap!$D:$D,0)+COUNTIF($E142:T142,"u")+COUNTIF($E142:T142,"t")+COUNTIF($E142:T142,"¶")+COUNTIF($E142:T142,"²")+COUNTIF($E142:T142,"µ")+COUNTIF($E142:T142,1),ColTypeEcheance)),
  IF(LEN(T142)=1,
  IF(LEN(INDEX(Roadmap!$D:$K,MATCH($E142,Roadmap!$D:$D,0)-1+COUNTIF($E142:T142,"u")+COUNTIF($E142:T142,"t")+COUNTIF($E142:T142,"¶")+COUNTIF($E142:T142,"²")+COUNTIF($E142:T142,"µ")+COUNTIF($E142:T142,1),ColDescriptionCourte))&gt;1,
HYPERLINK("#Roadmap!C"&amp; MATCH($E142,Roadmap!$D:$D,0)+COUNTIF($E142:T142,"u")+COUNTIF($E142:T142,"t")+COUNTIF($E142:T142,"¶")+COUNTIF($E142:T142,"²")+COUNTIF($E142:T142,"µ")+COUNTIF($E142:T142,1)-1,INDEX(Roadmap!$D:$K,MATCH($E142,Roadmap!$D:$D,0)-1+COUNTIF($E142:T142,"u")+COUNTIF($E142:T142,"t")+COUNTIF($E142:T142,"¶")+COUNTIF($E142:T142,"²")+COUNTIF($E142:T142,"µ")+COUNTIF($E142:T142,1),ColDescriptionCourte)),""),
  "")),"")</f>
        <v/>
      </c>
      <c r="V142" s="40" t="str">
        <f ca="1">IFERROR(IF(AND(
  INDEX(Roadmap!$D:$K,MATCH($E142,Roadmap!$D:$D,0)+COUNTIF($E142:U142,"u")+COUNTIF($E142:U142,"t")+COUNTIF($E142:U142,"¶")+COUNTIF($E142:U142,"²")+COUNTIF($E142:U142,"µ")+COUNTIF($E142:U142,1),ColLivraison)=V$6,
  VLOOKUP($E142,INDIRECT("tri!"&amp; CHAR(64+ C0Col) &amp;":"&amp; CHAR(65+C0Col)),2,FALSE)&gt;COUNTIF($E142:U142,"u")+COUNTIF($E142:U142,"t")+COUNTIF($E142:U142,"¶")+COUNTIF($E142:U142,"²")+COUNTIF($E142:U142,"µ")+COUNTIF($E142:U142,1)),
HYPERLINK("#Roadmap!C"&amp; MATCH($E142,Roadmap!$D:$D,0)+COUNTIF($E142:U142,"u")+COUNTIF($E142:U142,"t"),
     INDEX(Roadmap!$D:$K,MATCH($E142,Roadmap!$D:$D,0)+COUNTIF($E142:U142,"u")+COUNTIF($E142:U142,"t")+COUNTIF($E142:U142,"¶")+COUNTIF($E142:U142,"²")+COUNTIF($E142:U142,"µ")+COUNTIF($E142:U142,1),ColTypeEcheance)),
  IF(LEN(U142)=1,
  IF(LEN(INDEX(Roadmap!$D:$K,MATCH($E142,Roadmap!$D:$D,0)-1+COUNTIF($E142:U142,"u")+COUNTIF($E142:U142,"t")+COUNTIF($E142:U142,"¶")+COUNTIF($E142:U142,"²")+COUNTIF($E142:U142,"µ")+COUNTIF($E142:U142,1),ColDescriptionCourte))&gt;1,
HYPERLINK("#Roadmap!C"&amp; MATCH($E142,Roadmap!$D:$D,0)+COUNTIF($E142:U142,"u")+COUNTIF($E142:U142,"t")+COUNTIF($E142:U142,"¶")+COUNTIF($E142:U142,"²")+COUNTIF($E142:U142,"µ")+COUNTIF($E142:U142,1)-1,INDEX(Roadmap!$D:$K,MATCH($E142,Roadmap!$D:$D,0)-1+COUNTIF($E142:U142,"u")+COUNTIF($E142:U142,"t")+COUNTIF($E142:U142,"¶")+COUNTIF($E142:U142,"²")+COUNTIF($E142:U142,"µ")+COUNTIF($E142:U142,1),ColDescriptionCourte)),""),
  "")),"")</f>
        <v/>
      </c>
      <c r="W142" s="40" t="str">
        <f ca="1">IFERROR(IF(AND(
  INDEX(Roadmap!$D:$K,MATCH($E142,Roadmap!$D:$D,0)+COUNTIF($E142:V142,"u")+COUNTIF($E142:V142,"t")+COUNTIF($E142:V142,"¶")+COUNTIF($E142:V142,"²")+COUNTIF($E142:V142,"µ")+COUNTIF($E142:V142,1),ColLivraison)=W$6,
  VLOOKUP($E142,INDIRECT("tri!"&amp; CHAR(64+ C0Col) &amp;":"&amp; CHAR(65+C0Col)),2,FALSE)&gt;COUNTIF($E142:V142,"u")+COUNTIF($E142:V142,"t")+COUNTIF($E142:V142,"¶")+COUNTIF($E142:V142,"²")+COUNTIF($E142:V142,"µ")+COUNTIF($E142:V142,1)),
HYPERLINK("#Roadmap!C"&amp; MATCH($E142,Roadmap!$D:$D,0)+COUNTIF($E142:V142,"u")+COUNTIF($E142:V142,"t"),
     INDEX(Roadmap!$D:$K,MATCH($E142,Roadmap!$D:$D,0)+COUNTIF($E142:V142,"u")+COUNTIF($E142:V142,"t")+COUNTIF($E142:V142,"¶")+COUNTIF($E142:V142,"²")+COUNTIF($E142:V142,"µ")+COUNTIF($E142:V142,1),ColTypeEcheance)),
  IF(LEN(V142)=1,
  IF(LEN(INDEX(Roadmap!$D:$K,MATCH($E142,Roadmap!$D:$D,0)-1+COUNTIF($E142:V142,"u")+COUNTIF($E142:V142,"t")+COUNTIF($E142:V142,"¶")+COUNTIF($E142:V142,"²")+COUNTIF($E142:V142,"µ")+COUNTIF($E142:V142,1),ColDescriptionCourte))&gt;1,
HYPERLINK("#Roadmap!C"&amp; MATCH($E142,Roadmap!$D:$D,0)+COUNTIF($E142:V142,"u")+COUNTIF($E142:V142,"t")+COUNTIF($E142:V142,"¶")+COUNTIF($E142:V142,"²")+COUNTIF($E142:V142,"µ")+COUNTIF($E142:V142,1)-1,INDEX(Roadmap!$D:$K,MATCH($E142,Roadmap!$D:$D,0)-1+COUNTIF($E142:V142,"u")+COUNTIF($E142:V142,"t")+COUNTIF($E142:V142,"¶")+COUNTIF($E142:V142,"²")+COUNTIF($E142:V142,"µ")+COUNTIF($E142:V142,1),ColDescriptionCourte)),""),
  "")),"")</f>
        <v/>
      </c>
      <c r="X142" s="40" t="str">
        <f ca="1">IFERROR(IF(AND(
  INDEX(Roadmap!$D:$K,MATCH($E142,Roadmap!$D:$D,0)+COUNTIF($E142:W142,"u")+COUNTIF($E142:W142,"t")+COUNTIF($E142:W142,"¶")+COUNTIF($E142:W142,"²")+COUNTIF($E142:W142,"µ")+COUNTIF($E142:W142,1),ColLivraison)=X$6,
  VLOOKUP($E142,INDIRECT("tri!"&amp; CHAR(64+ C0Col) &amp;":"&amp; CHAR(65+C0Col)),2,FALSE)&gt;COUNTIF($E142:W142,"u")+COUNTIF($E142:W142,"t")+COUNTIF($E142:W142,"¶")+COUNTIF($E142:W142,"²")+COUNTIF($E142:W142,"µ")+COUNTIF($E142:W142,1)),
HYPERLINK("#Roadmap!C"&amp; MATCH($E142,Roadmap!$D:$D,0)+COUNTIF($E142:W142,"u")+COUNTIF($E142:W142,"t"),
     INDEX(Roadmap!$D:$K,MATCH($E142,Roadmap!$D:$D,0)+COUNTIF($E142:W142,"u")+COUNTIF($E142:W142,"t")+COUNTIF($E142:W142,"¶")+COUNTIF($E142:W142,"²")+COUNTIF($E142:W142,"µ")+COUNTIF($E142:W142,1),ColTypeEcheance)),
  IF(LEN(W142)=1,
  IF(LEN(INDEX(Roadmap!$D:$K,MATCH($E142,Roadmap!$D:$D,0)-1+COUNTIF($E142:W142,"u")+COUNTIF($E142:W142,"t")+COUNTIF($E142:W142,"¶")+COUNTIF($E142:W142,"²")+COUNTIF($E142:W142,"µ")+COUNTIF($E142:W142,1),ColDescriptionCourte))&gt;1,
HYPERLINK("#Roadmap!C"&amp; MATCH($E142,Roadmap!$D:$D,0)+COUNTIF($E142:W142,"u")+COUNTIF($E142:W142,"t")+COUNTIF($E142:W142,"¶")+COUNTIF($E142:W142,"²")+COUNTIF($E142:W142,"µ")+COUNTIF($E142:W142,1)-1,INDEX(Roadmap!$D:$K,MATCH($E142,Roadmap!$D:$D,0)-1+COUNTIF($E142:W142,"u")+COUNTIF($E142:W142,"t")+COUNTIF($E142:W142,"¶")+COUNTIF($E142:W142,"²")+COUNTIF($E142:W142,"µ")+COUNTIF($E142:W142,1),ColDescriptionCourte)),""),
  "")),"")</f>
        <v/>
      </c>
      <c r="Y142" s="40" t="str">
        <f ca="1">IFERROR(IF(AND(
  INDEX(Roadmap!$D:$K,MATCH($E142,Roadmap!$D:$D,0)+COUNTIF($E142:X142,"u")+COUNTIF($E142:X142,"t")+COUNTIF($E142:X142,"¶")+COUNTIF($E142:X142,"²")+COUNTIF($E142:X142,"µ")+COUNTIF($E142:X142,1),ColLivraison)=Y$6,
  VLOOKUP($E142,INDIRECT("tri!"&amp; CHAR(64+ C0Col) &amp;":"&amp; CHAR(65+C0Col)),2,FALSE)&gt;COUNTIF($E142:X142,"u")+COUNTIF($E142:X142,"t")+COUNTIF($E142:X142,"¶")+COUNTIF($E142:X142,"²")+COUNTIF($E142:X142,"µ")+COUNTIF($E142:X142,1)),
HYPERLINK("#Roadmap!C"&amp; MATCH($E142,Roadmap!$D:$D,0)+COUNTIF($E142:X142,"u")+COUNTIF($E142:X142,"t"),
     INDEX(Roadmap!$D:$K,MATCH($E142,Roadmap!$D:$D,0)+COUNTIF($E142:X142,"u")+COUNTIF($E142:X142,"t")+COUNTIF($E142:X142,"¶")+COUNTIF($E142:X142,"²")+COUNTIF($E142:X142,"µ")+COUNTIF($E142:X142,1),ColTypeEcheance)),
  IF(LEN(X142)=1,
  IF(LEN(INDEX(Roadmap!$D:$K,MATCH($E142,Roadmap!$D:$D,0)-1+COUNTIF($E142:X142,"u")+COUNTIF($E142:X142,"t")+COUNTIF($E142:X142,"¶")+COUNTIF($E142:X142,"²")+COUNTIF($E142:X142,"µ")+COUNTIF($E142:X142,1),ColDescriptionCourte))&gt;1,
HYPERLINK("#Roadmap!C"&amp; MATCH($E142,Roadmap!$D:$D,0)+COUNTIF($E142:X142,"u")+COUNTIF($E142:X142,"t")+COUNTIF($E142:X142,"¶")+COUNTIF($E142:X142,"²")+COUNTIF($E142:X142,"µ")+COUNTIF($E142:X142,1)-1,INDEX(Roadmap!$D:$K,MATCH($E142,Roadmap!$D:$D,0)-1+COUNTIF($E142:X142,"u")+COUNTIF($E142:X142,"t")+COUNTIF($E142:X142,"¶")+COUNTIF($E142:X142,"²")+COUNTIF($E142:X142,"µ")+COUNTIF($E142:X142,1),ColDescriptionCourte)),""),
  "")),"")</f>
        <v/>
      </c>
      <c r="Z142" s="40" t="str">
        <f ca="1">IFERROR(IF(AND(
  INDEX(Roadmap!$D:$K,MATCH($E142,Roadmap!$D:$D,0)+COUNTIF($E142:Y142,"u")+COUNTIF($E142:Y142,"t")+COUNTIF($E142:Y142,"¶")+COUNTIF($E142:Y142,"²")+COUNTIF($E142:Y142,"µ")+COUNTIF($E142:Y142,1),ColLivraison)=Z$6,
  VLOOKUP($E142,INDIRECT("tri!"&amp; CHAR(64+ C0Col) &amp;":"&amp; CHAR(65+C0Col)),2,FALSE)&gt;COUNTIF($E142:Y142,"u")+COUNTIF($E142:Y142,"t")+COUNTIF($E142:Y142,"¶")+COUNTIF($E142:Y142,"²")+COUNTIF($E142:Y142,"µ")+COUNTIF($E142:Y142,1)),
HYPERLINK("#Roadmap!C"&amp; MATCH($E142,Roadmap!$D:$D,0)+COUNTIF($E142:Y142,"u")+COUNTIF($E142:Y142,"t"),
     INDEX(Roadmap!$D:$K,MATCH($E142,Roadmap!$D:$D,0)+COUNTIF($E142:Y142,"u")+COUNTIF($E142:Y142,"t")+COUNTIF($E142:Y142,"¶")+COUNTIF($E142:Y142,"²")+COUNTIF($E142:Y142,"µ")+COUNTIF($E142:Y142,1),ColTypeEcheance)),
  IF(LEN(Y142)=1,
  IF(LEN(INDEX(Roadmap!$D:$K,MATCH($E142,Roadmap!$D:$D,0)-1+COUNTIF($E142:Y142,"u")+COUNTIF($E142:Y142,"t")+COUNTIF($E142:Y142,"¶")+COUNTIF($E142:Y142,"²")+COUNTIF($E142:Y142,"µ")+COUNTIF($E142:Y142,1),ColDescriptionCourte))&gt;1,
HYPERLINK("#Roadmap!C"&amp; MATCH($E142,Roadmap!$D:$D,0)+COUNTIF($E142:Y142,"u")+COUNTIF($E142:Y142,"t")+COUNTIF($E142:Y142,"¶")+COUNTIF($E142:Y142,"²")+COUNTIF($E142:Y142,"µ")+COUNTIF($E142:Y142,1)-1,INDEX(Roadmap!$D:$K,MATCH($E142,Roadmap!$D:$D,0)-1+COUNTIF($E142:Y142,"u")+COUNTIF($E142:Y142,"t")+COUNTIF($E142:Y142,"¶")+COUNTIF($E142:Y142,"²")+COUNTIF($E142:Y142,"µ")+COUNTIF($E142:Y142,1),ColDescriptionCourte)),""),
  "")),"")</f>
        <v/>
      </c>
      <c r="AA142" s="40" t="str">
        <f ca="1">IFERROR(IF(AND(
  INDEX(Roadmap!$D:$K,MATCH($E142,Roadmap!$D:$D,0)+COUNTIF($E142:Z142,"u")+COUNTIF($E142:Z142,"t")+COUNTIF($E142:Z142,"¶")+COUNTIF($E142:Z142,"²")+COUNTIF($E142:Z142,"µ")+COUNTIF($E142:Z142,1),ColLivraison)=AA$6,
  VLOOKUP($E142,INDIRECT("tri!"&amp; CHAR(64+ C0Col) &amp;":"&amp; CHAR(65+C0Col)),2,FALSE)&gt;COUNTIF($E142:Z142,"u")+COUNTIF($E142:Z142,"t")+COUNTIF($E142:Z142,"¶")+COUNTIF($E142:Z142,"²")+COUNTIF($E142:Z142,"µ")+COUNTIF($E142:Z142,1)),
HYPERLINK("#Roadmap!C"&amp; MATCH($E142,Roadmap!$D:$D,0)+COUNTIF($E142:Z142,"u")+COUNTIF($E142:Z142,"t"),
     INDEX(Roadmap!$D:$K,MATCH($E142,Roadmap!$D:$D,0)+COUNTIF($E142:Z142,"u")+COUNTIF($E142:Z142,"t")+COUNTIF($E142:Z142,"¶")+COUNTIF($E142:Z142,"²")+COUNTIF($E142:Z142,"µ")+COUNTIF($E142:Z142,1),ColTypeEcheance)),
  IF(LEN(Z142)=1,
  IF(LEN(INDEX(Roadmap!$D:$K,MATCH($E142,Roadmap!$D:$D,0)-1+COUNTIF($E142:Z142,"u")+COUNTIF($E142:Z142,"t")+COUNTIF($E142:Z142,"¶")+COUNTIF($E142:Z142,"²")+COUNTIF($E142:Z142,"µ")+COUNTIF($E142:Z142,1),ColDescriptionCourte))&gt;1,
HYPERLINK("#Roadmap!C"&amp; MATCH($E142,Roadmap!$D:$D,0)+COUNTIF($E142:Z142,"u")+COUNTIF($E142:Z142,"t")+COUNTIF($E142:Z142,"¶")+COUNTIF($E142:Z142,"²")+COUNTIF($E142:Z142,"µ")+COUNTIF($E142:Z142,1)-1,INDEX(Roadmap!$D:$K,MATCH($E142,Roadmap!$D:$D,0)-1+COUNTIF($E142:Z142,"u")+COUNTIF($E142:Z142,"t")+COUNTIF($E142:Z142,"¶")+COUNTIF($E142:Z142,"²")+COUNTIF($E142:Z142,"µ")+COUNTIF($E142:Z142,1),ColDescriptionCourte)),""),
  "")),"")</f>
        <v/>
      </c>
      <c r="AB142" s="40" t="str">
        <f ca="1">IFERROR(IF(AND(
  INDEX(Roadmap!$D:$K,MATCH($E142,Roadmap!$D:$D,0)+COUNTIF($E142:AA142,"u")+COUNTIF($E142:AA142,"t")+COUNTIF($E142:AA142,"¶")+COUNTIF($E142:AA142,"²")+COUNTIF($E142:AA142,"µ")+COUNTIF($E142:AA142,1),ColLivraison)=AB$6,
  VLOOKUP($E142,INDIRECT("tri!"&amp; CHAR(64+ C0Col) &amp;":"&amp; CHAR(65+C0Col)),2,FALSE)&gt;COUNTIF($E142:AA142,"u")+COUNTIF($E142:AA142,"t")+COUNTIF($E142:AA142,"¶")+COUNTIF($E142:AA142,"²")+COUNTIF($E142:AA142,"µ")+COUNTIF($E142:AA142,1)),
HYPERLINK("#Roadmap!C"&amp; MATCH($E142,Roadmap!$D:$D,0)+COUNTIF($E142:AA142,"u")+COUNTIF($E142:AA142,"t"),
     INDEX(Roadmap!$D:$K,MATCH($E142,Roadmap!$D:$D,0)+COUNTIF($E142:AA142,"u")+COUNTIF($E142:AA142,"t")+COUNTIF($E142:AA142,"¶")+COUNTIF($E142:AA142,"²")+COUNTIF($E142:AA142,"µ")+COUNTIF($E142:AA142,1),ColTypeEcheance)),
  IF(LEN(AA142)=1,
  IF(LEN(INDEX(Roadmap!$D:$K,MATCH($E142,Roadmap!$D:$D,0)-1+COUNTIF($E142:AA142,"u")+COUNTIF($E142:AA142,"t")+COUNTIF($E142:AA142,"¶")+COUNTIF($E142:AA142,"²")+COUNTIF($E142:AA142,"µ")+COUNTIF($E142:AA142,1),ColDescriptionCourte))&gt;1,
HYPERLINK("#Roadmap!C"&amp; MATCH($E142,Roadmap!$D:$D,0)+COUNTIF($E142:AA142,"u")+COUNTIF($E142:AA142,"t")+COUNTIF($E142:AA142,"¶")+COUNTIF($E142:AA142,"²")+COUNTIF($E142:AA142,"µ")+COUNTIF($E142:AA142,1)-1,INDEX(Roadmap!$D:$K,MATCH($E142,Roadmap!$D:$D,0)-1+COUNTIF($E142:AA142,"u")+COUNTIF($E142:AA142,"t")+COUNTIF($E142:AA142,"¶")+COUNTIF($E142:AA142,"²")+COUNTIF($E142:AA142,"µ")+COUNTIF($E142:AA142,1),ColDescriptionCourte)),""),
  "")),"")</f>
        <v/>
      </c>
      <c r="AC142" s="40" t="str">
        <f ca="1">IFERROR(IF(AND(
  INDEX(Roadmap!$D:$K,MATCH($E142,Roadmap!$D:$D,0)+COUNTIF($E142:AB142,"u")+COUNTIF($E142:AB142,"t")+COUNTIF($E142:AB142,"¶")+COUNTIF($E142:AB142,"²")+COUNTIF($E142:AB142,"µ")+COUNTIF($E142:AB142,1),ColLivraison)=AC$6,
  VLOOKUP($E142,INDIRECT("tri!"&amp; CHAR(64+ C0Col) &amp;":"&amp; CHAR(65+C0Col)),2,FALSE)&gt;COUNTIF($E142:AB142,"u")+COUNTIF($E142:AB142,"t")+COUNTIF($E142:AB142,"¶")+COUNTIF($E142:AB142,"²")+COUNTIF($E142:AB142,"µ")+COUNTIF($E142:AB142,1)),
HYPERLINK("#Roadmap!C"&amp; MATCH($E142,Roadmap!$D:$D,0)+COUNTIF($E142:AB142,"u")+COUNTIF($E142:AB142,"t"),
     INDEX(Roadmap!$D:$K,MATCH($E142,Roadmap!$D:$D,0)+COUNTIF($E142:AB142,"u")+COUNTIF($E142:AB142,"t")+COUNTIF($E142:AB142,"¶")+COUNTIF($E142:AB142,"²")+COUNTIF($E142:AB142,"µ")+COUNTIF($E142:AB142,1),ColTypeEcheance)),
  IF(LEN(AB142)=1,
  IF(LEN(INDEX(Roadmap!$D:$K,MATCH($E142,Roadmap!$D:$D,0)-1+COUNTIF($E142:AB142,"u")+COUNTIF($E142:AB142,"t")+COUNTIF($E142:AB142,"¶")+COUNTIF($E142:AB142,"²")+COUNTIF($E142:AB142,"µ")+COUNTIF($E142:AB142,1),ColDescriptionCourte))&gt;1,
HYPERLINK("#Roadmap!C"&amp; MATCH($E142,Roadmap!$D:$D,0)+COUNTIF($E142:AB142,"u")+COUNTIF($E142:AB142,"t")+COUNTIF($E142:AB142,"¶")+COUNTIF($E142:AB142,"²")+COUNTIF($E142:AB142,"µ")+COUNTIF($E142:AB142,1)-1,INDEX(Roadmap!$D:$K,MATCH($E142,Roadmap!$D:$D,0)-1+COUNTIF($E142:AB142,"u")+COUNTIF($E142:AB142,"t")+COUNTIF($E142:AB142,"¶")+COUNTIF($E142:AB142,"²")+COUNTIF($E142:AB142,"µ")+COUNTIF($E142:AB142,1),ColDescriptionCourte)),""),
  "")),"")</f>
        <v/>
      </c>
      <c r="AD142" s="40" t="str">
        <f ca="1">IFERROR(IF(AND(
  INDEX(Roadmap!$D:$K,MATCH($E142,Roadmap!$D:$D,0)+COUNTIF($E142:AC142,"u")+COUNTIF($E142:AC142,"t")+COUNTIF($E142:AC142,"¶")+COUNTIF($E142:AC142,"²")+COUNTIF($E142:AC142,"µ")+COUNTIF($E142:AC142,1),ColLivraison)=AD$6,
  VLOOKUP($E142,INDIRECT("tri!"&amp; CHAR(64+ C0Col) &amp;":"&amp; CHAR(65+C0Col)),2,FALSE)&gt;COUNTIF($E142:AC142,"u")+COUNTIF($E142:AC142,"t")+COUNTIF($E142:AC142,"¶")+COUNTIF($E142:AC142,"²")+COUNTIF($E142:AC142,"µ")+COUNTIF($E142:AC142,1)),
HYPERLINK("#Roadmap!C"&amp; MATCH($E142,Roadmap!$D:$D,0)+COUNTIF($E142:AC142,"u")+COUNTIF($E142:AC142,"t"),
     INDEX(Roadmap!$D:$K,MATCH($E142,Roadmap!$D:$D,0)+COUNTIF($E142:AC142,"u")+COUNTIF($E142:AC142,"t")+COUNTIF($E142:AC142,"¶")+COUNTIF($E142:AC142,"²")+COUNTIF($E142:AC142,"µ")+COUNTIF($E142:AC142,1),ColTypeEcheance)),
  IF(LEN(AC142)=1,
  IF(LEN(INDEX(Roadmap!$D:$K,MATCH($E142,Roadmap!$D:$D,0)-1+COUNTIF($E142:AC142,"u")+COUNTIF($E142:AC142,"t")+COUNTIF($E142:AC142,"¶")+COUNTIF($E142:AC142,"²")+COUNTIF($E142:AC142,"µ")+COUNTIF($E142:AC142,1),ColDescriptionCourte))&gt;1,
HYPERLINK("#Roadmap!C"&amp; MATCH($E142,Roadmap!$D:$D,0)+COUNTIF($E142:AC142,"u")+COUNTIF($E142:AC142,"t")+COUNTIF($E142:AC142,"¶")+COUNTIF($E142:AC142,"²")+COUNTIF($E142:AC142,"µ")+COUNTIF($E142:AC142,1)-1,INDEX(Roadmap!$D:$K,MATCH($E142,Roadmap!$D:$D,0)-1+COUNTIF($E142:AC142,"u")+COUNTIF($E142:AC142,"t")+COUNTIF($E142:AC142,"¶")+COUNTIF($E142:AC142,"²")+COUNTIF($E142:AC142,"µ")+COUNTIF($E142:AC142,1),ColDescriptionCourte)),""),
  "")),"")</f>
        <v/>
      </c>
      <c r="AE142" s="40" t="str">
        <f ca="1">IFERROR(IF(AND(
  INDEX(Roadmap!$D:$K,MATCH($E142,Roadmap!$D:$D,0)+COUNTIF($E142:AD142,"u")+COUNTIF($E142:AD142,"t")+COUNTIF($E142:AD142,"¶")+COUNTIF($E142:AD142,"²")+COUNTIF($E142:AD142,"µ")+COUNTIF($E142:AD142,1),ColLivraison)=AE$6,
  VLOOKUP($E142,INDIRECT("tri!"&amp; CHAR(64+ C0Col) &amp;":"&amp; CHAR(65+C0Col)),2,FALSE)&gt;COUNTIF($E142:AD142,"u")+COUNTIF($E142:AD142,"t")+COUNTIF($E142:AD142,"¶")+COUNTIF($E142:AD142,"²")+COUNTIF($E142:AD142,"µ")+COUNTIF($E142:AD142,1)),
HYPERLINK("#Roadmap!C"&amp; MATCH($E142,Roadmap!$D:$D,0)+COUNTIF($E142:AD142,"u")+COUNTIF($E142:AD142,"t"),
     INDEX(Roadmap!$D:$K,MATCH($E142,Roadmap!$D:$D,0)+COUNTIF($E142:AD142,"u")+COUNTIF($E142:AD142,"t")+COUNTIF($E142:AD142,"¶")+COUNTIF($E142:AD142,"²")+COUNTIF($E142:AD142,"µ")+COUNTIF($E142:AD142,1),ColTypeEcheance)),
  IF(LEN(AD142)=1,
  IF(LEN(INDEX(Roadmap!$D:$K,MATCH($E142,Roadmap!$D:$D,0)-1+COUNTIF($E142:AD142,"u")+COUNTIF($E142:AD142,"t")+COUNTIF($E142:AD142,"¶")+COUNTIF($E142:AD142,"²")+COUNTIF($E142:AD142,"µ")+COUNTIF($E142:AD142,1),ColDescriptionCourte))&gt;1,
HYPERLINK("#Roadmap!C"&amp; MATCH($E142,Roadmap!$D:$D,0)+COUNTIF($E142:AD142,"u")+COUNTIF($E142:AD142,"t")+COUNTIF($E142:AD142,"¶")+COUNTIF($E142:AD142,"²")+COUNTIF($E142:AD142,"µ")+COUNTIF($E142:AD142,1)-1,INDEX(Roadmap!$D:$K,MATCH($E142,Roadmap!$D:$D,0)-1+COUNTIF($E142:AD142,"u")+COUNTIF($E142:AD142,"t")+COUNTIF($E142:AD142,"¶")+COUNTIF($E142:AD142,"²")+COUNTIF($E142:AD142,"µ")+COUNTIF($E142:AD142,1),ColDescriptionCourte)),""),
  "")),"")</f>
        <v/>
      </c>
      <c r="AF142" s="40" t="str">
        <f ca="1">IFERROR(IF(AND(
  INDEX(Roadmap!$D:$K,MATCH($E142,Roadmap!$D:$D,0)+COUNTIF($E142:AE142,"u")+COUNTIF($E142:AE142,"t")+COUNTIF($E142:AE142,"¶")+COUNTIF($E142:AE142,"²")+COUNTIF($E142:AE142,"µ")+COUNTIF($E142:AE142,1),ColLivraison)=AF$6,
  VLOOKUP($E142,INDIRECT("tri!"&amp; CHAR(64+ C0Col) &amp;":"&amp; CHAR(65+C0Col)),2,FALSE)&gt;COUNTIF($E142:AE142,"u")+COUNTIF($E142:AE142,"t")+COUNTIF($E142:AE142,"¶")+COUNTIF($E142:AE142,"²")+COUNTIF($E142:AE142,"µ")+COUNTIF($E142:AE142,1)),
HYPERLINK("#Roadmap!C"&amp; MATCH($E142,Roadmap!$D:$D,0)+COUNTIF($E142:AE142,"u")+COUNTIF($E142:AE142,"t"),
     INDEX(Roadmap!$D:$K,MATCH($E142,Roadmap!$D:$D,0)+COUNTIF($E142:AE142,"u")+COUNTIF($E142:AE142,"t")+COUNTIF($E142:AE142,"¶")+COUNTIF($E142:AE142,"²")+COUNTIF($E142:AE142,"µ")+COUNTIF($E142:AE142,1),ColTypeEcheance)),
  IF(LEN(AE142)=1,
  IF(LEN(INDEX(Roadmap!$D:$K,MATCH($E142,Roadmap!$D:$D,0)-1+COUNTIF($E142:AE142,"u")+COUNTIF($E142:AE142,"t")+COUNTIF($E142:AE142,"¶")+COUNTIF($E142:AE142,"²")+COUNTIF($E142:AE142,"µ")+COUNTIF($E142:AE142,1),ColDescriptionCourte))&gt;1,
HYPERLINK("#Roadmap!C"&amp; MATCH($E142,Roadmap!$D:$D,0)+COUNTIF($E142:AE142,"u")+COUNTIF($E142:AE142,"t")+COUNTIF($E142:AE142,"¶")+COUNTIF($E142:AE142,"²")+COUNTIF($E142:AE142,"µ")+COUNTIF($E142:AE142,1)-1,INDEX(Roadmap!$D:$K,MATCH($E142,Roadmap!$D:$D,0)-1+COUNTIF($E142:AE142,"u")+COUNTIF($E142:AE142,"t")+COUNTIF($E142:AE142,"¶")+COUNTIF($E142:AE142,"²")+COUNTIF($E142:AE142,"µ")+COUNTIF($E142:AE142,1),ColDescriptionCourte)),""),
  "")),"")</f>
        <v/>
      </c>
      <c r="AG142" s="40" t="str">
        <f ca="1">IFERROR(IF(AND(
  INDEX(Roadmap!$D:$K,MATCH($E142,Roadmap!$D:$D,0)+COUNTIF($E142:AF142,"u")+COUNTIF($E142:AF142,"t")+COUNTIF($E142:AF142,"¶")+COUNTIF($E142:AF142,"²")+COUNTIF($E142:AF142,"µ")+COUNTIF($E142:AF142,1),ColLivraison)=AG$6,
  VLOOKUP($E142,INDIRECT("tri!"&amp; CHAR(64+ C0Col) &amp;":"&amp; CHAR(65+C0Col)),2,FALSE)&gt;COUNTIF($E142:AF142,"u")+COUNTIF($E142:AF142,"t")+COUNTIF($E142:AF142,"¶")+COUNTIF($E142:AF142,"²")+COUNTIF($E142:AF142,"µ")+COUNTIF($E142:AF142,1)),
HYPERLINK("#Roadmap!C"&amp; MATCH($E142,Roadmap!$D:$D,0)+COUNTIF($E142:AF142,"u")+COUNTIF($E142:AF142,"t"),
     INDEX(Roadmap!$D:$K,MATCH($E142,Roadmap!$D:$D,0)+COUNTIF($E142:AF142,"u")+COUNTIF($E142:AF142,"t")+COUNTIF($E142:AF142,"¶")+COUNTIF($E142:AF142,"²")+COUNTIF($E142:AF142,"µ")+COUNTIF($E142:AF142,1),ColTypeEcheance)),
  IF(LEN(AF142)=1,
  IF(LEN(INDEX(Roadmap!$D:$K,MATCH($E142,Roadmap!$D:$D,0)-1+COUNTIF($E142:AF142,"u")+COUNTIF($E142:AF142,"t")+COUNTIF($E142:AF142,"¶")+COUNTIF($E142:AF142,"²")+COUNTIF($E142:AF142,"µ")+COUNTIF($E142:AF142,1),ColDescriptionCourte))&gt;1,
HYPERLINK("#Roadmap!C"&amp; MATCH($E142,Roadmap!$D:$D,0)+COUNTIF($E142:AF142,"u")+COUNTIF($E142:AF142,"t")+COUNTIF($E142:AF142,"¶")+COUNTIF($E142:AF142,"²")+COUNTIF($E142:AF142,"µ")+COUNTIF($E142:AF142,1)-1,INDEX(Roadmap!$D:$K,MATCH($E142,Roadmap!$D:$D,0)-1+COUNTIF($E142:AF142,"u")+COUNTIF($E142:AF142,"t")+COUNTIF($E142:AF142,"¶")+COUNTIF($E142:AF142,"²")+COUNTIF($E142:AF142,"µ")+COUNTIF($E142:AF142,1),ColDescriptionCourte)),""),
  "")),"")</f>
        <v/>
      </c>
      <c r="AH142" s="40" t="str">
        <f ca="1">IFERROR(IF(AND(
  INDEX(Roadmap!$D:$K,MATCH($E142,Roadmap!$D:$D,0)+COUNTIF($E142:AG142,"u")+COUNTIF($E142:AG142,"t")+COUNTIF($E142:AG142,1),ColLivraison)=AH$6,
  VLOOKUP($E142,INDIRECT("tri!"&amp; CHAR(64+ C0Col) &amp;":"&amp; CHAR(65+C0Col)),2,FALSE)&gt;COUNTIF($E142:AG142,"u")+COUNTIF($E142:AG142,"t")+COUNTIF($E142:AG142,1)),
HYPERLINK("#Roadmap!C"&amp; MATCH($E142,Roadmap!$D:$D,0)+COUNTIF($E142:AG142,"u")+COUNTIF($E142:AG142,"t"),
     INDEX(Roadmap!$D:$K,MATCH($E142,Roadmap!$D:$D,0)+COUNTIF($E142:AG142,"u")+COUNTIF($E142:AG142,"t")+COUNTIF($E142:AG142,1),ColTypeEcheance)),
  IF(OR(AG142="u",AG142="t",AG142=1),
  IF(LEN(INDEX(Roadmap!$D:$K,MATCH($E142,Roadmap!$D:$D,0)-1+COUNTIF($E142:AG142,"u")+COUNTIF($E142:AG142,"t")+COUNTIF($E142:AG142,1),ColDescriptionCourte))&gt;1,
HYPERLINK("#Roadmap!C"&amp; MATCH($E142,Roadmap!$D:$D,0)+COUNTIF($E142:AG142,"u")+COUNTIF($E142:AG142,"t")+COUNTIF($E142:AG142,1)-1,INDEX(Roadmap!$D:$K,MATCH($E142,Roadmap!$D:$D,0)-1+COUNTIF($E142:AG142,"u")+COUNTIF($E142:AG142,"t")+COUNTIF($E142:AG142,1),ColDescriptionCourte)),""),
  "")),"")</f>
        <v/>
      </c>
      <c r="AI142" s="40"/>
      <c r="AJ142" s="40"/>
      <c r="AK142" s="40"/>
      <c r="AL142" s="40"/>
      <c r="AM142" s="40"/>
    </row>
    <row r="143" spans="4:39" ht="14.1" customHeight="1">
      <c r="D143" s="20" t="str">
        <f t="shared" ca="1" si="31"/>
        <v/>
      </c>
      <c r="E143" s="53" t="str">
        <f t="shared" ca="1" si="32"/>
        <v/>
      </c>
      <c r="F143" s="39" t="str">
        <f ca="1">IFERROR(IF(AND(
  INDEX(Roadmap!$D:$K,MATCH($E143,Roadmap!$D:$D,0)+COUNTIF($E143:E143,"u")+COUNTIF($E143:E143,"t")+COUNTIF($E143:E143,"¶")+COUNTIF($E143:E143,"²")+COUNTIF($E143:E143,"µ")+COUNTIF($E143:E143,1),ColLivraison)=F$6,
  VLOOKUP($E143,INDIRECT("tri!"&amp; CHAR(64+ C0Col) &amp;":"&amp; CHAR(65+C0Col)),2,FALSE)&gt;COUNTIF($E143:E143,"u")+COUNTIF($E143:E143,"t")+COUNTIF($E143:E143,"¶")+COUNTIF($E143:E143,"²")+COUNTIF($E143:E143,"µ")+COUNTIF($E143:E143,1)),
HYPERLINK("#Roadmap!C"&amp; MATCH($E143,Roadmap!$D:$D,0)+COUNTIF($E143:E143,"u")+COUNTIF($E143:E143,"t"),
     INDEX(Roadmap!$D:$K,MATCH($E143,Roadmap!$D:$D,0)+COUNTIF($E143:E143,"u")+COUNTIF($E143:E143,"t")+COUNTIF($E143:E143,"¶")+COUNTIF($E143:E143,"²")+COUNTIF($E143:E143,"µ")+COUNTIF($E143:E143,1),ColTypeEcheance)),
  IF(LEN(E143)=1,
  IF(LEN(INDEX(Roadmap!$D:$K,MATCH($E143,Roadmap!$D:$D,0)-1+COUNTIF($E143:E143,"u")+COUNTIF($E143:E143,"t")+COUNTIF($E143:E143,"¶")+COUNTIF($E143:E143,"²")+COUNTIF($E143:E143,"µ")+COUNTIF($E143:E143,1),ColDescriptionCourte))&gt;1,
HYPERLINK("#Roadmap!C"&amp; MATCH($E143,Roadmap!$D:$D,0)+COUNTIF($E143:E143,"u")+COUNTIF($E143:E143,"t")+COUNTIF($E143:E143,"¶")+COUNTIF($E143:E143,"²")+COUNTIF($E143:E143,"µ")+COUNTIF($E143:E143,1)-1,INDEX(Roadmap!$D:$K,MATCH($E143,Roadmap!$D:$D,0)-1+COUNTIF($E143:E143,"u")+COUNTIF($E143:E143,"t")+COUNTIF($E143:E143,"¶")+COUNTIF($E143:E143,"²")+COUNTIF($E143:E143,"µ")+COUNTIF($E143:E143,1),ColDescriptionCourte)),""),
  "")),"")</f>
        <v/>
      </c>
      <c r="G143" s="40" t="str">
        <f ca="1">IFERROR(IF(AND(
  INDEX(Roadmap!$D:$K,MATCH($E143,Roadmap!$D:$D,0)+COUNTIF($E143:F143,"u")+COUNTIF($E143:F143,"t")+COUNTIF($E143:F143,"¶")+COUNTIF($E143:F143,"²")+COUNTIF($E143:F143,"µ")+COUNTIF($E143:F143,1),ColLivraison)=G$6,
  VLOOKUP($E143,INDIRECT("tri!"&amp; CHAR(64+ C0Col) &amp;":"&amp; CHAR(65+C0Col)),2,FALSE)&gt;COUNTIF($E143:F143,"u")+COUNTIF($E143:F143,"t")+COUNTIF($E143:F143,"¶")+COUNTIF($E143:F143,"²")+COUNTIF($E143:F143,"µ")+COUNTIF($E143:F143,1)),
HYPERLINK("#Roadmap!C"&amp; MATCH($E143,Roadmap!$D:$D,0)+COUNTIF($E143:F143,"u")+COUNTIF($E143:F143,"t"),
     INDEX(Roadmap!$D:$K,MATCH($E143,Roadmap!$D:$D,0)+COUNTIF($E143:F143,"u")+COUNTIF($E143:F143,"t")+COUNTIF($E143:F143,"¶")+COUNTIF($E143:F143,"²")+COUNTIF($E143:F143,"µ")+COUNTIF($E143:F143,1),ColTypeEcheance)),
  IF(LEN(F143)=1,
  IF(LEN(INDEX(Roadmap!$D:$K,MATCH($E143,Roadmap!$D:$D,0)-1+COUNTIF($E143:F143,"u")+COUNTIF($E143:F143,"t")+COUNTIF($E143:F143,"¶")+COUNTIF($E143:F143,"²")+COUNTIF($E143:F143,"µ")+COUNTIF($E143:F143,1),ColDescriptionCourte))&gt;1,
HYPERLINK("#Roadmap!C"&amp; MATCH($E143,Roadmap!$D:$D,0)+COUNTIF($E143:F143,"u")+COUNTIF($E143:F143,"t")+COUNTIF($E143:F143,"¶")+COUNTIF($E143:F143,"²")+COUNTIF($E143:F143,"µ")+COUNTIF($E143:F143,1)-1,INDEX(Roadmap!$D:$K,MATCH($E143,Roadmap!$D:$D,0)-1+COUNTIF($E143:F143,"u")+COUNTIF($E143:F143,"t")+COUNTIF($E143:F143,"¶")+COUNTIF($E143:F143,"²")+COUNTIF($E143:F143,"µ")+COUNTIF($E143:F143,1),ColDescriptionCourte)),""),
  "")),"")</f>
        <v/>
      </c>
      <c r="H143" s="40" t="str">
        <f ca="1">IFERROR(IF(AND(
  INDEX(Roadmap!$D:$K,MATCH($E143,Roadmap!$D:$D,0)+COUNTIF($E143:G143,"u")+COUNTIF($E143:G143,"t")+COUNTIF($E143:G143,"¶")+COUNTIF($E143:G143,"²")+COUNTIF($E143:G143,"µ")+COUNTIF($E143:G143,1),ColLivraison)=H$6,
  VLOOKUP($E143,INDIRECT("tri!"&amp; CHAR(64+ C0Col) &amp;":"&amp; CHAR(65+C0Col)),2,FALSE)&gt;COUNTIF($E143:G143,"u")+COUNTIF($E143:G143,"t")+COUNTIF($E143:G143,"¶")+COUNTIF($E143:G143,"²")+COUNTIF($E143:G143,"µ")+COUNTIF($E143:G143,1)),
HYPERLINK("#Roadmap!C"&amp; MATCH($E143,Roadmap!$D:$D,0)+COUNTIF($E143:G143,"u")+COUNTIF($E143:G143,"t"),
     INDEX(Roadmap!$D:$K,MATCH($E143,Roadmap!$D:$D,0)+COUNTIF($E143:G143,"u")+COUNTIF($E143:G143,"t")+COUNTIF($E143:G143,"¶")+COUNTIF($E143:G143,"²")+COUNTIF($E143:G143,"µ")+COUNTIF($E143:G143,1),ColTypeEcheance)),
  IF(LEN(G143)=1,
  IF(LEN(INDEX(Roadmap!$D:$K,MATCH($E143,Roadmap!$D:$D,0)-1+COUNTIF($E143:G143,"u")+COUNTIF($E143:G143,"t")+COUNTIF($E143:G143,"¶")+COUNTIF($E143:G143,"²")+COUNTIF($E143:G143,"µ")+COUNTIF($E143:G143,1),ColDescriptionCourte))&gt;1,
HYPERLINK("#Roadmap!C"&amp; MATCH($E143,Roadmap!$D:$D,0)+COUNTIF($E143:G143,"u")+COUNTIF($E143:G143,"t")+COUNTIF($E143:G143,"¶")+COUNTIF($E143:G143,"²")+COUNTIF($E143:G143,"µ")+COUNTIF($E143:G143,1)-1,INDEX(Roadmap!$D:$K,MATCH($E143,Roadmap!$D:$D,0)-1+COUNTIF($E143:G143,"u")+COUNTIF($E143:G143,"t")+COUNTIF($E143:G143,"¶")+COUNTIF($E143:G143,"²")+COUNTIF($E143:G143,"µ")+COUNTIF($E143:G143,1),ColDescriptionCourte)),""),
  "")),"")</f>
        <v/>
      </c>
      <c r="I143" s="40" t="str">
        <f ca="1">IFERROR(IF(AND(
  INDEX(Roadmap!$D:$K,MATCH($E143,Roadmap!$D:$D,0)+COUNTIF($E143:H143,"u")+COUNTIF($E143:H143,"t")+COUNTIF($E143:H143,"¶")+COUNTIF($E143:H143,"²")+COUNTIF($E143:H143,"µ")+COUNTIF($E143:H143,1),ColLivraison)=I$6,
  VLOOKUP($E143,INDIRECT("tri!"&amp; CHAR(64+ C0Col) &amp;":"&amp; CHAR(65+C0Col)),2,FALSE)&gt;COUNTIF($E143:H143,"u")+COUNTIF($E143:H143,"t")+COUNTIF($E143:H143,"¶")+COUNTIF($E143:H143,"²")+COUNTIF($E143:H143,"µ")+COUNTIF($E143:H143,1)),
HYPERLINK("#Roadmap!C"&amp; MATCH($E143,Roadmap!$D:$D,0)+COUNTIF($E143:H143,"u")+COUNTIF($E143:H143,"t"),
     INDEX(Roadmap!$D:$K,MATCH($E143,Roadmap!$D:$D,0)+COUNTIF($E143:H143,"u")+COUNTIF($E143:H143,"t")+COUNTIF($E143:H143,"¶")+COUNTIF($E143:H143,"²")+COUNTIF($E143:H143,"µ")+COUNTIF($E143:H143,1),ColTypeEcheance)),
  IF(LEN(H143)=1,
  IF(LEN(INDEX(Roadmap!$D:$K,MATCH($E143,Roadmap!$D:$D,0)-1+COUNTIF($E143:H143,"u")+COUNTIF($E143:H143,"t")+COUNTIF($E143:H143,"¶")+COUNTIF($E143:H143,"²")+COUNTIF($E143:H143,"µ")+COUNTIF($E143:H143,1),ColDescriptionCourte))&gt;1,
HYPERLINK("#Roadmap!C"&amp; MATCH($E143,Roadmap!$D:$D,0)+COUNTIF($E143:H143,"u")+COUNTIF($E143:H143,"t")+COUNTIF($E143:H143,"¶")+COUNTIF($E143:H143,"²")+COUNTIF($E143:H143,"µ")+COUNTIF($E143:H143,1)-1,INDEX(Roadmap!$D:$K,MATCH($E143,Roadmap!$D:$D,0)-1+COUNTIF($E143:H143,"u")+COUNTIF($E143:H143,"t")+COUNTIF($E143:H143,"¶")+COUNTIF($E143:H143,"²")+COUNTIF($E143:H143,"µ")+COUNTIF($E143:H143,1),ColDescriptionCourte)),""),
  "")),"")</f>
        <v/>
      </c>
      <c r="J143" s="40" t="str">
        <f ca="1">IFERROR(IF(AND(
  INDEX(Roadmap!$D:$K,MATCH($E143,Roadmap!$D:$D,0)+COUNTIF($E143:I143,"u")+COUNTIF($E143:I143,"t")+COUNTIF($E143:I143,"¶")+COUNTIF($E143:I143,"²")+COUNTIF($E143:I143,"µ")+COUNTIF($E143:I143,1),ColLivraison)=J$6,
  VLOOKUP($E143,INDIRECT("tri!"&amp; CHAR(64+ C0Col) &amp;":"&amp; CHAR(65+C0Col)),2,FALSE)&gt;COUNTIF($E143:I143,"u")+COUNTIF($E143:I143,"t")+COUNTIF($E143:I143,"¶")+COUNTIF($E143:I143,"²")+COUNTIF($E143:I143,"µ")+COUNTIF($E143:I143,1)),
HYPERLINK("#Roadmap!C"&amp; MATCH($E143,Roadmap!$D:$D,0)+COUNTIF($E143:I143,"u")+COUNTIF($E143:I143,"t"),
     INDEX(Roadmap!$D:$K,MATCH($E143,Roadmap!$D:$D,0)+COUNTIF($E143:I143,"u")+COUNTIF($E143:I143,"t")+COUNTIF($E143:I143,"¶")+COUNTIF($E143:I143,"²")+COUNTIF($E143:I143,"µ")+COUNTIF($E143:I143,1),ColTypeEcheance)),
  IF(LEN(I143)=1,
  IF(LEN(INDEX(Roadmap!$D:$K,MATCH($E143,Roadmap!$D:$D,0)-1+COUNTIF($E143:I143,"u")+COUNTIF($E143:I143,"t")+COUNTIF($E143:I143,"¶")+COUNTIF($E143:I143,"²")+COUNTIF($E143:I143,"µ")+COUNTIF($E143:I143,1),ColDescriptionCourte))&gt;1,
HYPERLINK("#Roadmap!C"&amp; MATCH($E143,Roadmap!$D:$D,0)+COUNTIF($E143:I143,"u")+COUNTIF($E143:I143,"t")+COUNTIF($E143:I143,"¶")+COUNTIF($E143:I143,"²")+COUNTIF($E143:I143,"µ")+COUNTIF($E143:I143,1)-1,INDEX(Roadmap!$D:$K,MATCH($E143,Roadmap!$D:$D,0)-1+COUNTIF($E143:I143,"u")+COUNTIF($E143:I143,"t")+COUNTIF($E143:I143,"¶")+COUNTIF($E143:I143,"²")+COUNTIF($E143:I143,"µ")+COUNTIF($E143:I143,1),ColDescriptionCourte)),""),
  "")),"")</f>
        <v/>
      </c>
      <c r="K143" s="40" t="str">
        <f ca="1">IFERROR(IF(AND(
  INDEX(Roadmap!$D:$K,MATCH($E143,Roadmap!$D:$D,0)+COUNTIF($E143:J143,"u")+COUNTIF($E143:J143,"t")+COUNTIF($E143:J143,"¶")+COUNTIF($E143:J143,"²")+COUNTIF($E143:J143,"µ")+COUNTIF($E143:J143,1),ColLivraison)=K$6,
  VLOOKUP($E143,INDIRECT("tri!"&amp; CHAR(64+ C0Col) &amp;":"&amp; CHAR(65+C0Col)),2,FALSE)&gt;COUNTIF($E143:J143,"u")+COUNTIF($E143:J143,"t")+COUNTIF($E143:J143,"¶")+COUNTIF($E143:J143,"²")+COUNTIF($E143:J143,"µ")+COUNTIF($E143:J143,1)),
HYPERLINK("#Roadmap!C"&amp; MATCH($E143,Roadmap!$D:$D,0)+COUNTIF($E143:J143,"u")+COUNTIF($E143:J143,"t"),
     INDEX(Roadmap!$D:$K,MATCH($E143,Roadmap!$D:$D,0)+COUNTIF($E143:J143,"u")+COUNTIF($E143:J143,"t")+COUNTIF($E143:J143,"¶")+COUNTIF($E143:J143,"²")+COUNTIF($E143:J143,"µ")+COUNTIF($E143:J143,1),ColTypeEcheance)),
  IF(LEN(J143)=1,
  IF(LEN(INDEX(Roadmap!$D:$K,MATCH($E143,Roadmap!$D:$D,0)-1+COUNTIF($E143:J143,"u")+COUNTIF($E143:J143,"t")+COUNTIF($E143:J143,"¶")+COUNTIF($E143:J143,"²")+COUNTIF($E143:J143,"µ")+COUNTIF($E143:J143,1),ColDescriptionCourte))&gt;1,
HYPERLINK("#Roadmap!C"&amp; MATCH($E143,Roadmap!$D:$D,0)+COUNTIF($E143:J143,"u")+COUNTIF($E143:J143,"t")+COUNTIF($E143:J143,"¶")+COUNTIF($E143:J143,"²")+COUNTIF($E143:J143,"µ")+COUNTIF($E143:J143,1)-1,INDEX(Roadmap!$D:$K,MATCH($E143,Roadmap!$D:$D,0)-1+COUNTIF($E143:J143,"u")+COUNTIF($E143:J143,"t")+COUNTIF($E143:J143,"¶")+COUNTIF($E143:J143,"²")+COUNTIF($E143:J143,"µ")+COUNTIF($E143:J143,1),ColDescriptionCourte)),""),
  "")),"")</f>
        <v/>
      </c>
      <c r="L143" s="39" t="str">
        <f ca="1">IFERROR(IF(AND(
  INDEX(Roadmap!$D:$K,MATCH($E143,Roadmap!$D:$D,0)+COUNTIF($E143:K143,"u")+COUNTIF($E143:K143,"t")+COUNTIF($E143:K143,"¶")+COUNTIF($E143:K143,"²")+COUNTIF($E143:K143,"µ")+COUNTIF($E143:K143,1),ColLivraison)=L$6,
  VLOOKUP($E143,INDIRECT("tri!"&amp; CHAR(64+ C0Col) &amp;":"&amp; CHAR(65+C0Col)),2,FALSE)&gt;COUNTIF($E143:K143,"u")+COUNTIF($E143:K143,"t")+COUNTIF($E143:K143,"¶")+COUNTIF($E143:K143,"²")+COUNTIF($E143:K143,"µ")+COUNTIF($E143:K143,1)),
HYPERLINK("#Roadmap!C"&amp; MATCH($E143,Roadmap!$D:$D,0)+COUNTIF($E143:K143,"u")+COUNTIF($E143:K143,"t"),
     INDEX(Roadmap!$D:$K,MATCH($E143,Roadmap!$D:$D,0)+COUNTIF($E143:K143,"u")+COUNTIF($E143:K143,"t")+COUNTIF($E143:K143,"¶")+COUNTIF($E143:K143,"²")+COUNTIF($E143:K143,"µ")+COUNTIF($E143:K143,1),ColTypeEcheance)),
  IF(LEN(K143)=1,
  IF(LEN(INDEX(Roadmap!$D:$K,MATCH($E143,Roadmap!$D:$D,0)-1+COUNTIF($E143:K143,"u")+COUNTIF($E143:K143,"t")+COUNTIF($E143:K143,"¶")+COUNTIF($E143:K143,"²")+COUNTIF($E143:K143,"µ")+COUNTIF($E143:K143,1),ColDescriptionCourte))&gt;1,
HYPERLINK("#Roadmap!C"&amp; MATCH($E143,Roadmap!$D:$D,0)+COUNTIF($E143:K143,"u")+COUNTIF($E143:K143,"t")+COUNTIF($E143:K143,"¶")+COUNTIF($E143:K143,"²")+COUNTIF($E143:K143,"µ")+COUNTIF($E143:K143,1)-1,INDEX(Roadmap!$D:$K,MATCH($E143,Roadmap!$D:$D,0)-1+COUNTIF($E143:K143,"u")+COUNTIF($E143:K143,"t")+COUNTIF($E143:K143,"¶")+COUNTIF($E143:K143,"²")+COUNTIF($E143:K143,"µ")+COUNTIF($E143:K143,1),ColDescriptionCourte)),""),
  "")),"")</f>
        <v/>
      </c>
      <c r="M143" s="40" t="str">
        <f ca="1">IFERROR(IF(AND(
  INDEX(Roadmap!$D:$K,MATCH($E143,Roadmap!$D:$D,0)+COUNTIF($E143:L143,"u")+COUNTIF($E143:L143,"t")+COUNTIF($E143:L143,"¶")+COUNTIF($E143:L143,"²")+COUNTIF($E143:L143,"µ")+COUNTIF($E143:L143,1),ColLivraison)=M$6,
  VLOOKUP($E143,INDIRECT("tri!"&amp; CHAR(64+ C0Col) &amp;":"&amp; CHAR(65+C0Col)),2,FALSE)&gt;COUNTIF($E143:L143,"u")+COUNTIF($E143:L143,"t")+COUNTIF($E143:L143,"¶")+COUNTIF($E143:L143,"²")+COUNTIF($E143:L143,"µ")+COUNTIF($E143:L143,1)),
HYPERLINK("#Roadmap!C"&amp; MATCH($E143,Roadmap!$D:$D,0)+COUNTIF($E143:L143,"u")+COUNTIF($E143:L143,"t"),
     INDEX(Roadmap!$D:$K,MATCH($E143,Roadmap!$D:$D,0)+COUNTIF($E143:L143,"u")+COUNTIF($E143:L143,"t")+COUNTIF($E143:L143,"¶")+COUNTIF($E143:L143,"²")+COUNTIF($E143:L143,"µ")+COUNTIF($E143:L143,1),ColTypeEcheance)),
  IF(LEN(L143)=1,
  IF(LEN(INDEX(Roadmap!$D:$K,MATCH($E143,Roadmap!$D:$D,0)-1+COUNTIF($E143:L143,"u")+COUNTIF($E143:L143,"t")+COUNTIF($E143:L143,"¶")+COUNTIF($E143:L143,"²")+COUNTIF($E143:L143,"µ")+COUNTIF($E143:L143,1),ColDescriptionCourte))&gt;1,
HYPERLINK("#Roadmap!C"&amp; MATCH($E143,Roadmap!$D:$D,0)+COUNTIF($E143:L143,"u")+COUNTIF($E143:L143,"t")+COUNTIF($E143:L143,"¶")+COUNTIF($E143:L143,"²")+COUNTIF($E143:L143,"µ")+COUNTIF($E143:L143,1)-1,INDEX(Roadmap!$D:$K,MATCH($E143,Roadmap!$D:$D,0)-1+COUNTIF($E143:L143,"u")+COUNTIF($E143:L143,"t")+COUNTIF($E143:L143,"¶")+COUNTIF($E143:L143,"²")+COUNTIF($E143:L143,"µ")+COUNTIF($E143:L143,1),ColDescriptionCourte)),""),
  "")),"")</f>
        <v/>
      </c>
      <c r="N143" s="40" t="str">
        <f ca="1">IFERROR(IF(AND(
  INDEX(Roadmap!$D:$K,MATCH($E143,Roadmap!$D:$D,0)+COUNTIF($E143:M143,"u")+COUNTIF($E143:M143,"t")+COUNTIF($E143:M143,"¶")+COUNTIF($E143:M143,"²")+COUNTIF($E143:M143,"µ")+COUNTIF($E143:M143,1),ColLivraison)=N$6,
  VLOOKUP($E143,INDIRECT("tri!"&amp; CHAR(64+ C0Col) &amp;":"&amp; CHAR(65+C0Col)),2,FALSE)&gt;COUNTIF($E143:M143,"u")+COUNTIF($E143:M143,"t")+COUNTIF($E143:M143,"¶")+COUNTIF($E143:M143,"²")+COUNTIF($E143:M143,"µ")+COUNTIF($E143:M143,1)),
HYPERLINK("#Roadmap!C"&amp; MATCH($E143,Roadmap!$D:$D,0)+COUNTIF($E143:M143,"u")+COUNTIF($E143:M143,"t"),
     INDEX(Roadmap!$D:$K,MATCH($E143,Roadmap!$D:$D,0)+COUNTIF($E143:M143,"u")+COUNTIF($E143:M143,"t")+COUNTIF($E143:M143,"¶")+COUNTIF($E143:M143,"²")+COUNTIF($E143:M143,"µ")+COUNTIF($E143:M143,1),ColTypeEcheance)),
  IF(LEN(M143)=1,
  IF(LEN(INDEX(Roadmap!$D:$K,MATCH($E143,Roadmap!$D:$D,0)-1+COUNTIF($E143:M143,"u")+COUNTIF($E143:M143,"t")+COUNTIF($E143:M143,"¶")+COUNTIF($E143:M143,"²")+COUNTIF($E143:M143,"µ")+COUNTIF($E143:M143,1),ColDescriptionCourte))&gt;1,
HYPERLINK("#Roadmap!C"&amp; MATCH($E143,Roadmap!$D:$D,0)+COUNTIF($E143:M143,"u")+COUNTIF($E143:M143,"t")+COUNTIF($E143:M143,"¶")+COUNTIF($E143:M143,"²")+COUNTIF($E143:M143,"µ")+COUNTIF($E143:M143,1)-1,INDEX(Roadmap!$D:$K,MATCH($E143,Roadmap!$D:$D,0)-1+COUNTIF($E143:M143,"u")+COUNTIF($E143:M143,"t")+COUNTIF($E143:M143,"¶")+COUNTIF($E143:M143,"²")+COUNTIF($E143:M143,"µ")+COUNTIF($E143:M143,1),ColDescriptionCourte)),""),
  "")),"")</f>
        <v/>
      </c>
      <c r="O143" s="40" t="str">
        <f ca="1">IFERROR(IF(AND(
  INDEX(Roadmap!$D:$K,MATCH($E143,Roadmap!$D:$D,0)+COUNTIF($E143:N143,"u")+COUNTIF($E143:N143,"t")+COUNTIF($E143:N143,"¶")+COUNTIF($E143:N143,"²")+COUNTIF($E143:N143,"µ")+COUNTIF($E143:N143,1),ColLivraison)=O$6,
  VLOOKUP($E143,INDIRECT("tri!"&amp; CHAR(64+ C0Col) &amp;":"&amp; CHAR(65+C0Col)),2,FALSE)&gt;COUNTIF($E143:N143,"u")+COUNTIF($E143:N143,"t")+COUNTIF($E143:N143,"¶")+COUNTIF($E143:N143,"²")+COUNTIF($E143:N143,"µ")+COUNTIF($E143:N143,1)),
HYPERLINK("#Roadmap!C"&amp; MATCH($E143,Roadmap!$D:$D,0)+COUNTIF($E143:N143,"u")+COUNTIF($E143:N143,"t"),
     INDEX(Roadmap!$D:$K,MATCH($E143,Roadmap!$D:$D,0)+COUNTIF($E143:N143,"u")+COUNTIF($E143:N143,"t")+COUNTIF($E143:N143,"¶")+COUNTIF($E143:N143,"²")+COUNTIF($E143:N143,"µ")+COUNTIF($E143:N143,1),ColTypeEcheance)),
  IF(LEN(N143)=1,
  IF(LEN(INDEX(Roadmap!$D:$K,MATCH($E143,Roadmap!$D:$D,0)-1+COUNTIF($E143:N143,"u")+COUNTIF($E143:N143,"t")+COUNTIF($E143:N143,"¶")+COUNTIF($E143:N143,"²")+COUNTIF($E143:N143,"µ")+COUNTIF($E143:N143,1),ColDescriptionCourte))&gt;1,
HYPERLINK("#Roadmap!C"&amp; MATCH($E143,Roadmap!$D:$D,0)+COUNTIF($E143:N143,"u")+COUNTIF($E143:N143,"t")+COUNTIF($E143:N143,"¶")+COUNTIF($E143:N143,"²")+COUNTIF($E143:N143,"µ")+COUNTIF($E143:N143,1)-1,INDEX(Roadmap!$D:$K,MATCH($E143,Roadmap!$D:$D,0)-1+COUNTIF($E143:N143,"u")+COUNTIF($E143:N143,"t")+COUNTIF($E143:N143,"¶")+COUNTIF($E143:N143,"²")+COUNTIF($E143:N143,"µ")+COUNTIF($E143:N143,1),ColDescriptionCourte)),""),
  "")),"")</f>
        <v/>
      </c>
      <c r="P143" s="40" t="str">
        <f ca="1">IFERROR(IF(AND(
  INDEX(Roadmap!$D:$K,MATCH($E143,Roadmap!$D:$D,0)+COUNTIF($E143:O143,"u")+COUNTIF($E143:O143,"t")+COUNTIF($E143:O143,"¶")+COUNTIF($E143:O143,"²")+COUNTIF($E143:O143,"µ")+COUNTIF($E143:O143,1),ColLivraison)=P$6,
  VLOOKUP($E143,INDIRECT("tri!"&amp; CHAR(64+ C0Col) &amp;":"&amp; CHAR(65+C0Col)),2,FALSE)&gt;COUNTIF($E143:O143,"u")+COUNTIF($E143:O143,"t")+COUNTIF($E143:O143,"¶")+COUNTIF($E143:O143,"²")+COUNTIF($E143:O143,"µ")+COUNTIF($E143:O143,1)),
HYPERLINK("#Roadmap!C"&amp; MATCH($E143,Roadmap!$D:$D,0)+COUNTIF($E143:O143,"u")+COUNTIF($E143:O143,"t"),
     INDEX(Roadmap!$D:$K,MATCH($E143,Roadmap!$D:$D,0)+COUNTIF($E143:O143,"u")+COUNTIF($E143:O143,"t")+COUNTIF($E143:O143,"¶")+COUNTIF($E143:O143,"²")+COUNTIF($E143:O143,"µ")+COUNTIF($E143:O143,1),ColTypeEcheance)),
  IF(LEN(O143)=1,
  IF(LEN(INDEX(Roadmap!$D:$K,MATCH($E143,Roadmap!$D:$D,0)-1+COUNTIF($E143:O143,"u")+COUNTIF($E143:O143,"t")+COUNTIF($E143:O143,"¶")+COUNTIF($E143:O143,"²")+COUNTIF($E143:O143,"µ")+COUNTIF($E143:O143,1),ColDescriptionCourte))&gt;1,
HYPERLINK("#Roadmap!C"&amp; MATCH($E143,Roadmap!$D:$D,0)+COUNTIF($E143:O143,"u")+COUNTIF($E143:O143,"t")+COUNTIF($E143:O143,"¶")+COUNTIF($E143:O143,"²")+COUNTIF($E143:O143,"µ")+COUNTIF($E143:O143,1)-1,INDEX(Roadmap!$D:$K,MATCH($E143,Roadmap!$D:$D,0)-1+COUNTIF($E143:O143,"u")+COUNTIF($E143:O143,"t")+COUNTIF($E143:O143,"¶")+COUNTIF($E143:O143,"²")+COUNTIF($E143:O143,"µ")+COUNTIF($E143:O143,1),ColDescriptionCourte)),""),
  "")),"")</f>
        <v/>
      </c>
      <c r="Q143" s="40" t="str">
        <f ca="1">IFERROR(IF(AND(
  INDEX(Roadmap!$D:$K,MATCH($E143,Roadmap!$D:$D,0)+COUNTIF($E143:P143,"u")+COUNTIF($E143:P143,"t")+COUNTIF($E143:P143,"¶")+COUNTIF($E143:P143,"²")+COUNTIF($E143:P143,"µ")+COUNTIF($E143:P143,1),ColLivraison)=Q$6,
  VLOOKUP($E143,INDIRECT("tri!"&amp; CHAR(64+ C0Col) &amp;":"&amp; CHAR(65+C0Col)),2,FALSE)&gt;COUNTIF($E143:P143,"u")+COUNTIF($E143:P143,"t")+COUNTIF($E143:P143,"¶")+COUNTIF($E143:P143,"²")+COUNTIF($E143:P143,"µ")+COUNTIF($E143:P143,1)),
HYPERLINK("#Roadmap!C"&amp; MATCH($E143,Roadmap!$D:$D,0)+COUNTIF($E143:P143,"u")+COUNTIF($E143:P143,"t"),
     INDEX(Roadmap!$D:$K,MATCH($E143,Roadmap!$D:$D,0)+COUNTIF($E143:P143,"u")+COUNTIF($E143:P143,"t")+COUNTIF($E143:P143,"¶")+COUNTIF($E143:P143,"²")+COUNTIF($E143:P143,"µ")+COUNTIF($E143:P143,1),ColTypeEcheance)),
  IF(LEN(P143)=1,
  IF(LEN(INDEX(Roadmap!$D:$K,MATCH($E143,Roadmap!$D:$D,0)-1+COUNTIF($E143:P143,"u")+COUNTIF($E143:P143,"t")+COUNTIF($E143:P143,"¶")+COUNTIF($E143:P143,"²")+COUNTIF($E143:P143,"µ")+COUNTIF($E143:P143,1),ColDescriptionCourte))&gt;1,
HYPERLINK("#Roadmap!C"&amp; MATCH($E143,Roadmap!$D:$D,0)+COUNTIF($E143:P143,"u")+COUNTIF($E143:P143,"t")+COUNTIF($E143:P143,"¶")+COUNTIF($E143:P143,"²")+COUNTIF($E143:P143,"µ")+COUNTIF($E143:P143,1)-1,INDEX(Roadmap!$D:$K,MATCH($E143,Roadmap!$D:$D,0)-1+COUNTIF($E143:P143,"u")+COUNTIF($E143:P143,"t")+COUNTIF($E143:P143,"¶")+COUNTIF($E143:P143,"²")+COUNTIF($E143:P143,"µ")+COUNTIF($E143:P143,1),ColDescriptionCourte)),""),
  "")),"")</f>
        <v/>
      </c>
      <c r="R143" s="40" t="str">
        <f ca="1">IFERROR(IF(AND(
  INDEX(Roadmap!$D:$K,MATCH($E143,Roadmap!$D:$D,0)+COUNTIF($E143:Q143,"u")+COUNTIF($E143:Q143,"t")+COUNTIF($E143:Q143,"¶")+COUNTIF($E143:Q143,"²")+COUNTIF($E143:Q143,"µ")+COUNTIF($E143:Q143,1),ColLivraison)=R$6,
  VLOOKUP($E143,INDIRECT("tri!"&amp; CHAR(64+ C0Col) &amp;":"&amp; CHAR(65+C0Col)),2,FALSE)&gt;COUNTIF($E143:Q143,"u")+COUNTIF($E143:Q143,"t")+COUNTIF($E143:Q143,"¶")+COUNTIF($E143:Q143,"²")+COUNTIF($E143:Q143,"µ")+COUNTIF($E143:Q143,1)),
HYPERLINK("#Roadmap!C"&amp; MATCH($E143,Roadmap!$D:$D,0)+COUNTIF($E143:Q143,"u")+COUNTIF($E143:Q143,"t"),
     INDEX(Roadmap!$D:$K,MATCH($E143,Roadmap!$D:$D,0)+COUNTIF($E143:Q143,"u")+COUNTIF($E143:Q143,"t")+COUNTIF($E143:Q143,"¶")+COUNTIF($E143:Q143,"²")+COUNTIF($E143:Q143,"µ")+COUNTIF($E143:Q143,1),ColTypeEcheance)),
  IF(LEN(Q143)=1,
  IF(LEN(INDEX(Roadmap!$D:$K,MATCH($E143,Roadmap!$D:$D,0)-1+COUNTIF($E143:Q143,"u")+COUNTIF($E143:Q143,"t")+COUNTIF($E143:Q143,"¶")+COUNTIF($E143:Q143,"²")+COUNTIF($E143:Q143,"µ")+COUNTIF($E143:Q143,1),ColDescriptionCourte))&gt;1,
HYPERLINK("#Roadmap!C"&amp; MATCH($E143,Roadmap!$D:$D,0)+COUNTIF($E143:Q143,"u")+COUNTIF($E143:Q143,"t")+COUNTIF($E143:Q143,"¶")+COUNTIF($E143:Q143,"²")+COUNTIF($E143:Q143,"µ")+COUNTIF($E143:Q143,1)-1,INDEX(Roadmap!$D:$K,MATCH($E143,Roadmap!$D:$D,0)-1+COUNTIF($E143:Q143,"u")+COUNTIF($E143:Q143,"t")+COUNTIF($E143:Q143,"¶")+COUNTIF($E143:Q143,"²")+COUNTIF($E143:Q143,"µ")+COUNTIF($E143:Q143,1),ColDescriptionCourte)),""),
  "")),"")</f>
        <v/>
      </c>
      <c r="S143" s="40" t="str">
        <f ca="1">IFERROR(IF(AND(
  INDEX(Roadmap!$D:$K,MATCH($E143,Roadmap!$D:$D,0)+COUNTIF($E143:R143,"u")+COUNTIF($E143:R143,"t")+COUNTIF($E143:R143,"¶")+COUNTIF($E143:R143,"²")+COUNTIF($E143:R143,"µ")+COUNTIF($E143:R143,1),ColLivraison)=S$6,
  VLOOKUP($E143,INDIRECT("tri!"&amp; CHAR(64+ C0Col) &amp;":"&amp; CHAR(65+C0Col)),2,FALSE)&gt;COUNTIF($E143:R143,"u")+COUNTIF($E143:R143,"t")+COUNTIF($E143:R143,"¶")+COUNTIF($E143:R143,"²")+COUNTIF($E143:R143,"µ")+COUNTIF($E143:R143,1)),
HYPERLINK("#Roadmap!C"&amp; MATCH($E143,Roadmap!$D:$D,0)+COUNTIF($E143:R143,"u")+COUNTIF($E143:R143,"t"),
     INDEX(Roadmap!$D:$K,MATCH($E143,Roadmap!$D:$D,0)+COUNTIF($E143:R143,"u")+COUNTIF($E143:R143,"t")+COUNTIF($E143:R143,"¶")+COUNTIF($E143:R143,"²")+COUNTIF($E143:R143,"µ")+COUNTIF($E143:R143,1),ColTypeEcheance)),
  IF(LEN(R143)=1,
  IF(LEN(INDEX(Roadmap!$D:$K,MATCH($E143,Roadmap!$D:$D,0)-1+COUNTIF($E143:R143,"u")+COUNTIF($E143:R143,"t")+COUNTIF($E143:R143,"¶")+COUNTIF($E143:R143,"²")+COUNTIF($E143:R143,"µ")+COUNTIF($E143:R143,1),ColDescriptionCourte))&gt;1,
HYPERLINK("#Roadmap!C"&amp; MATCH($E143,Roadmap!$D:$D,0)+COUNTIF($E143:R143,"u")+COUNTIF($E143:R143,"t")+COUNTIF($E143:R143,"¶")+COUNTIF($E143:R143,"²")+COUNTIF($E143:R143,"µ")+COUNTIF($E143:R143,1)-1,INDEX(Roadmap!$D:$K,MATCH($E143,Roadmap!$D:$D,0)-1+COUNTIF($E143:R143,"u")+COUNTIF($E143:R143,"t")+COUNTIF($E143:R143,"¶")+COUNTIF($E143:R143,"²")+COUNTIF($E143:R143,"µ")+COUNTIF($E143:R143,1),ColDescriptionCourte)),""),
  "")),"")</f>
        <v/>
      </c>
      <c r="T143" s="40" t="str">
        <f ca="1">IFERROR(IF(AND(
  INDEX(Roadmap!$D:$K,MATCH($E143,Roadmap!$D:$D,0)+COUNTIF($E143:S143,"u")+COUNTIF($E143:S143,"t")+COUNTIF($E143:S143,"¶")+COUNTIF($E143:S143,"²")+COUNTIF($E143:S143,"µ")+COUNTIF($E143:S143,1),ColLivraison)=T$6,
  VLOOKUP($E143,INDIRECT("tri!"&amp; CHAR(64+ C0Col) &amp;":"&amp; CHAR(65+C0Col)),2,FALSE)&gt;COUNTIF($E143:S143,"u")+COUNTIF($E143:S143,"t")+COUNTIF($E143:S143,"¶")+COUNTIF($E143:S143,"²")+COUNTIF($E143:S143,"µ")+COUNTIF($E143:S143,1)),
HYPERLINK("#Roadmap!C"&amp; MATCH($E143,Roadmap!$D:$D,0)+COUNTIF($E143:S143,"u")+COUNTIF($E143:S143,"t"),
     INDEX(Roadmap!$D:$K,MATCH($E143,Roadmap!$D:$D,0)+COUNTIF($E143:S143,"u")+COUNTIF($E143:S143,"t")+COUNTIF($E143:S143,"¶")+COUNTIF($E143:S143,"²")+COUNTIF($E143:S143,"µ")+COUNTIF($E143:S143,1),ColTypeEcheance)),
  IF(LEN(S143)=1,
  IF(LEN(INDEX(Roadmap!$D:$K,MATCH($E143,Roadmap!$D:$D,0)-1+COUNTIF($E143:S143,"u")+COUNTIF($E143:S143,"t")+COUNTIF($E143:S143,"¶")+COUNTIF($E143:S143,"²")+COUNTIF($E143:S143,"µ")+COUNTIF($E143:S143,1),ColDescriptionCourte))&gt;1,
HYPERLINK("#Roadmap!C"&amp; MATCH($E143,Roadmap!$D:$D,0)+COUNTIF($E143:S143,"u")+COUNTIF($E143:S143,"t")+COUNTIF($E143:S143,"¶")+COUNTIF($E143:S143,"²")+COUNTIF($E143:S143,"µ")+COUNTIF($E143:S143,1)-1,INDEX(Roadmap!$D:$K,MATCH($E143,Roadmap!$D:$D,0)-1+COUNTIF($E143:S143,"u")+COUNTIF($E143:S143,"t")+COUNTIF($E143:S143,"¶")+COUNTIF($E143:S143,"²")+COUNTIF($E143:S143,"µ")+COUNTIF($E143:S143,1),ColDescriptionCourte)),""),
  "")),"")</f>
        <v/>
      </c>
      <c r="U143" s="40" t="str">
        <f ca="1">IFERROR(IF(AND(
  INDEX(Roadmap!$D:$K,MATCH($E143,Roadmap!$D:$D,0)+COUNTIF($E143:T143,"u")+COUNTIF($E143:T143,"t")+COUNTIF($E143:T143,"¶")+COUNTIF($E143:T143,"²")+COUNTIF($E143:T143,"µ")+COUNTIF($E143:T143,1),ColLivraison)=U$6,
  VLOOKUP($E143,INDIRECT("tri!"&amp; CHAR(64+ C0Col) &amp;":"&amp; CHAR(65+C0Col)),2,FALSE)&gt;COUNTIF($E143:T143,"u")+COUNTIF($E143:T143,"t")+COUNTIF($E143:T143,"¶")+COUNTIF($E143:T143,"²")+COUNTIF($E143:T143,"µ")+COUNTIF($E143:T143,1)),
HYPERLINK("#Roadmap!C"&amp; MATCH($E143,Roadmap!$D:$D,0)+COUNTIF($E143:T143,"u")+COUNTIF($E143:T143,"t"),
     INDEX(Roadmap!$D:$K,MATCH($E143,Roadmap!$D:$D,0)+COUNTIF($E143:T143,"u")+COUNTIF($E143:T143,"t")+COUNTIF($E143:T143,"¶")+COUNTIF($E143:T143,"²")+COUNTIF($E143:T143,"µ")+COUNTIF($E143:T143,1),ColTypeEcheance)),
  IF(LEN(T143)=1,
  IF(LEN(INDEX(Roadmap!$D:$K,MATCH($E143,Roadmap!$D:$D,0)-1+COUNTIF($E143:T143,"u")+COUNTIF($E143:T143,"t")+COUNTIF($E143:T143,"¶")+COUNTIF($E143:T143,"²")+COUNTIF($E143:T143,"µ")+COUNTIF($E143:T143,1),ColDescriptionCourte))&gt;1,
HYPERLINK("#Roadmap!C"&amp; MATCH($E143,Roadmap!$D:$D,0)+COUNTIF($E143:T143,"u")+COUNTIF($E143:T143,"t")+COUNTIF($E143:T143,"¶")+COUNTIF($E143:T143,"²")+COUNTIF($E143:T143,"µ")+COUNTIF($E143:T143,1)-1,INDEX(Roadmap!$D:$K,MATCH($E143,Roadmap!$D:$D,0)-1+COUNTIF($E143:T143,"u")+COUNTIF($E143:T143,"t")+COUNTIF($E143:T143,"¶")+COUNTIF($E143:T143,"²")+COUNTIF($E143:T143,"µ")+COUNTIF($E143:T143,1),ColDescriptionCourte)),""),
  "")),"")</f>
        <v/>
      </c>
      <c r="V143" s="40" t="str">
        <f ca="1">IFERROR(IF(AND(
  INDEX(Roadmap!$D:$K,MATCH($E143,Roadmap!$D:$D,0)+COUNTIF($E143:U143,"u")+COUNTIF($E143:U143,"t")+COUNTIF($E143:U143,"¶")+COUNTIF($E143:U143,"²")+COUNTIF($E143:U143,"µ")+COUNTIF($E143:U143,1),ColLivraison)=V$6,
  VLOOKUP($E143,INDIRECT("tri!"&amp; CHAR(64+ C0Col) &amp;":"&amp; CHAR(65+C0Col)),2,FALSE)&gt;COUNTIF($E143:U143,"u")+COUNTIF($E143:U143,"t")+COUNTIF($E143:U143,"¶")+COUNTIF($E143:U143,"²")+COUNTIF($E143:U143,"µ")+COUNTIF($E143:U143,1)),
HYPERLINK("#Roadmap!C"&amp; MATCH($E143,Roadmap!$D:$D,0)+COUNTIF($E143:U143,"u")+COUNTIF($E143:U143,"t"),
     INDEX(Roadmap!$D:$K,MATCH($E143,Roadmap!$D:$D,0)+COUNTIF($E143:U143,"u")+COUNTIF($E143:U143,"t")+COUNTIF($E143:U143,"¶")+COUNTIF($E143:U143,"²")+COUNTIF($E143:U143,"µ")+COUNTIF($E143:U143,1),ColTypeEcheance)),
  IF(LEN(U143)=1,
  IF(LEN(INDEX(Roadmap!$D:$K,MATCH($E143,Roadmap!$D:$D,0)-1+COUNTIF($E143:U143,"u")+COUNTIF($E143:U143,"t")+COUNTIF($E143:U143,"¶")+COUNTIF($E143:U143,"²")+COUNTIF($E143:U143,"µ")+COUNTIF($E143:U143,1),ColDescriptionCourte))&gt;1,
HYPERLINK("#Roadmap!C"&amp; MATCH($E143,Roadmap!$D:$D,0)+COUNTIF($E143:U143,"u")+COUNTIF($E143:U143,"t")+COUNTIF($E143:U143,"¶")+COUNTIF($E143:U143,"²")+COUNTIF($E143:U143,"µ")+COUNTIF($E143:U143,1)-1,INDEX(Roadmap!$D:$K,MATCH($E143,Roadmap!$D:$D,0)-1+COUNTIF($E143:U143,"u")+COUNTIF($E143:U143,"t")+COUNTIF($E143:U143,"¶")+COUNTIF($E143:U143,"²")+COUNTIF($E143:U143,"µ")+COUNTIF($E143:U143,1),ColDescriptionCourte)),""),
  "")),"")</f>
        <v/>
      </c>
      <c r="W143" s="40" t="str">
        <f ca="1">IFERROR(IF(AND(
  INDEX(Roadmap!$D:$K,MATCH($E143,Roadmap!$D:$D,0)+COUNTIF($E143:V143,"u")+COUNTIF($E143:V143,"t")+COUNTIF($E143:V143,"¶")+COUNTIF($E143:V143,"²")+COUNTIF($E143:V143,"µ")+COUNTIF($E143:V143,1),ColLivraison)=W$6,
  VLOOKUP($E143,INDIRECT("tri!"&amp; CHAR(64+ C0Col) &amp;":"&amp; CHAR(65+C0Col)),2,FALSE)&gt;COUNTIF($E143:V143,"u")+COUNTIF($E143:V143,"t")+COUNTIF($E143:V143,"¶")+COUNTIF($E143:V143,"²")+COUNTIF($E143:V143,"µ")+COUNTIF($E143:V143,1)),
HYPERLINK("#Roadmap!C"&amp; MATCH($E143,Roadmap!$D:$D,0)+COUNTIF($E143:V143,"u")+COUNTIF($E143:V143,"t"),
     INDEX(Roadmap!$D:$K,MATCH($E143,Roadmap!$D:$D,0)+COUNTIF($E143:V143,"u")+COUNTIF($E143:V143,"t")+COUNTIF($E143:V143,"¶")+COUNTIF($E143:V143,"²")+COUNTIF($E143:V143,"µ")+COUNTIF($E143:V143,1),ColTypeEcheance)),
  IF(LEN(V143)=1,
  IF(LEN(INDEX(Roadmap!$D:$K,MATCH($E143,Roadmap!$D:$D,0)-1+COUNTIF($E143:V143,"u")+COUNTIF($E143:V143,"t")+COUNTIF($E143:V143,"¶")+COUNTIF($E143:V143,"²")+COUNTIF($E143:V143,"µ")+COUNTIF($E143:V143,1),ColDescriptionCourte))&gt;1,
HYPERLINK("#Roadmap!C"&amp; MATCH($E143,Roadmap!$D:$D,0)+COUNTIF($E143:V143,"u")+COUNTIF($E143:V143,"t")+COUNTIF($E143:V143,"¶")+COUNTIF($E143:V143,"²")+COUNTIF($E143:V143,"µ")+COUNTIF($E143:V143,1)-1,INDEX(Roadmap!$D:$K,MATCH($E143,Roadmap!$D:$D,0)-1+COUNTIF($E143:V143,"u")+COUNTIF($E143:V143,"t")+COUNTIF($E143:V143,"¶")+COUNTIF($E143:V143,"²")+COUNTIF($E143:V143,"µ")+COUNTIF($E143:V143,1),ColDescriptionCourte)),""),
  "")),"")</f>
        <v/>
      </c>
      <c r="X143" s="40" t="str">
        <f ca="1">IFERROR(IF(AND(
  INDEX(Roadmap!$D:$K,MATCH($E143,Roadmap!$D:$D,0)+COUNTIF($E143:W143,"u")+COUNTIF($E143:W143,"t")+COUNTIF($E143:W143,"¶")+COUNTIF($E143:W143,"²")+COUNTIF($E143:W143,"µ")+COUNTIF($E143:W143,1),ColLivraison)=X$6,
  VLOOKUP($E143,INDIRECT("tri!"&amp; CHAR(64+ C0Col) &amp;":"&amp; CHAR(65+C0Col)),2,FALSE)&gt;COUNTIF($E143:W143,"u")+COUNTIF($E143:W143,"t")+COUNTIF($E143:W143,"¶")+COUNTIF($E143:W143,"²")+COUNTIF($E143:W143,"µ")+COUNTIF($E143:W143,1)),
HYPERLINK("#Roadmap!C"&amp; MATCH($E143,Roadmap!$D:$D,0)+COUNTIF($E143:W143,"u")+COUNTIF($E143:W143,"t"),
     INDEX(Roadmap!$D:$K,MATCH($E143,Roadmap!$D:$D,0)+COUNTIF($E143:W143,"u")+COUNTIF($E143:W143,"t")+COUNTIF($E143:W143,"¶")+COUNTIF($E143:W143,"²")+COUNTIF($E143:W143,"µ")+COUNTIF($E143:W143,1),ColTypeEcheance)),
  IF(LEN(W143)=1,
  IF(LEN(INDEX(Roadmap!$D:$K,MATCH($E143,Roadmap!$D:$D,0)-1+COUNTIF($E143:W143,"u")+COUNTIF($E143:W143,"t")+COUNTIF($E143:W143,"¶")+COUNTIF($E143:W143,"²")+COUNTIF($E143:W143,"µ")+COUNTIF($E143:W143,1),ColDescriptionCourte))&gt;1,
HYPERLINK("#Roadmap!C"&amp; MATCH($E143,Roadmap!$D:$D,0)+COUNTIF($E143:W143,"u")+COUNTIF($E143:W143,"t")+COUNTIF($E143:W143,"¶")+COUNTIF($E143:W143,"²")+COUNTIF($E143:W143,"µ")+COUNTIF($E143:W143,1)-1,INDEX(Roadmap!$D:$K,MATCH($E143,Roadmap!$D:$D,0)-1+COUNTIF($E143:W143,"u")+COUNTIF($E143:W143,"t")+COUNTIF($E143:W143,"¶")+COUNTIF($E143:W143,"²")+COUNTIF($E143:W143,"µ")+COUNTIF($E143:W143,1),ColDescriptionCourte)),""),
  "")),"")</f>
        <v/>
      </c>
      <c r="Y143" s="40" t="str">
        <f ca="1">IFERROR(IF(AND(
  INDEX(Roadmap!$D:$K,MATCH($E143,Roadmap!$D:$D,0)+COUNTIF($E143:X143,"u")+COUNTIF($E143:X143,"t")+COUNTIF($E143:X143,"¶")+COUNTIF($E143:X143,"²")+COUNTIF($E143:X143,"µ")+COUNTIF($E143:X143,1),ColLivraison)=Y$6,
  VLOOKUP($E143,INDIRECT("tri!"&amp; CHAR(64+ C0Col) &amp;":"&amp; CHAR(65+C0Col)),2,FALSE)&gt;COUNTIF($E143:X143,"u")+COUNTIF($E143:X143,"t")+COUNTIF($E143:X143,"¶")+COUNTIF($E143:X143,"²")+COUNTIF($E143:X143,"µ")+COUNTIF($E143:X143,1)),
HYPERLINK("#Roadmap!C"&amp; MATCH($E143,Roadmap!$D:$D,0)+COUNTIF($E143:X143,"u")+COUNTIF($E143:X143,"t"),
     INDEX(Roadmap!$D:$K,MATCH($E143,Roadmap!$D:$D,0)+COUNTIF($E143:X143,"u")+COUNTIF($E143:X143,"t")+COUNTIF($E143:X143,"¶")+COUNTIF($E143:X143,"²")+COUNTIF($E143:X143,"µ")+COUNTIF($E143:X143,1),ColTypeEcheance)),
  IF(LEN(X143)=1,
  IF(LEN(INDEX(Roadmap!$D:$K,MATCH($E143,Roadmap!$D:$D,0)-1+COUNTIF($E143:X143,"u")+COUNTIF($E143:X143,"t")+COUNTIF($E143:X143,"¶")+COUNTIF($E143:X143,"²")+COUNTIF($E143:X143,"µ")+COUNTIF($E143:X143,1),ColDescriptionCourte))&gt;1,
HYPERLINK("#Roadmap!C"&amp; MATCH($E143,Roadmap!$D:$D,0)+COUNTIF($E143:X143,"u")+COUNTIF($E143:X143,"t")+COUNTIF($E143:X143,"¶")+COUNTIF($E143:X143,"²")+COUNTIF($E143:X143,"µ")+COUNTIF($E143:X143,1)-1,INDEX(Roadmap!$D:$K,MATCH($E143,Roadmap!$D:$D,0)-1+COUNTIF($E143:X143,"u")+COUNTIF($E143:X143,"t")+COUNTIF($E143:X143,"¶")+COUNTIF($E143:X143,"²")+COUNTIF($E143:X143,"µ")+COUNTIF($E143:X143,1),ColDescriptionCourte)),""),
  "")),"")</f>
        <v/>
      </c>
      <c r="Z143" s="40" t="str">
        <f ca="1">IFERROR(IF(AND(
  INDEX(Roadmap!$D:$K,MATCH($E143,Roadmap!$D:$D,0)+COUNTIF($E143:Y143,"u")+COUNTIF($E143:Y143,"t")+COUNTIF($E143:Y143,"¶")+COUNTIF($E143:Y143,"²")+COUNTIF($E143:Y143,"µ")+COUNTIF($E143:Y143,1),ColLivraison)=Z$6,
  VLOOKUP($E143,INDIRECT("tri!"&amp; CHAR(64+ C0Col) &amp;":"&amp; CHAR(65+C0Col)),2,FALSE)&gt;COUNTIF($E143:Y143,"u")+COUNTIF($E143:Y143,"t")+COUNTIF($E143:Y143,"¶")+COUNTIF($E143:Y143,"²")+COUNTIF($E143:Y143,"µ")+COUNTIF($E143:Y143,1)),
HYPERLINK("#Roadmap!C"&amp; MATCH($E143,Roadmap!$D:$D,0)+COUNTIF($E143:Y143,"u")+COUNTIF($E143:Y143,"t"),
     INDEX(Roadmap!$D:$K,MATCH($E143,Roadmap!$D:$D,0)+COUNTIF($E143:Y143,"u")+COUNTIF($E143:Y143,"t")+COUNTIF($E143:Y143,"¶")+COUNTIF($E143:Y143,"²")+COUNTIF($E143:Y143,"µ")+COUNTIF($E143:Y143,1),ColTypeEcheance)),
  IF(LEN(Y143)=1,
  IF(LEN(INDEX(Roadmap!$D:$K,MATCH($E143,Roadmap!$D:$D,0)-1+COUNTIF($E143:Y143,"u")+COUNTIF($E143:Y143,"t")+COUNTIF($E143:Y143,"¶")+COUNTIF($E143:Y143,"²")+COUNTIF($E143:Y143,"µ")+COUNTIF($E143:Y143,1),ColDescriptionCourte))&gt;1,
HYPERLINK("#Roadmap!C"&amp; MATCH($E143,Roadmap!$D:$D,0)+COUNTIF($E143:Y143,"u")+COUNTIF($E143:Y143,"t")+COUNTIF($E143:Y143,"¶")+COUNTIF($E143:Y143,"²")+COUNTIF($E143:Y143,"µ")+COUNTIF($E143:Y143,1)-1,INDEX(Roadmap!$D:$K,MATCH($E143,Roadmap!$D:$D,0)-1+COUNTIF($E143:Y143,"u")+COUNTIF($E143:Y143,"t")+COUNTIF($E143:Y143,"¶")+COUNTIF($E143:Y143,"²")+COUNTIF($E143:Y143,"µ")+COUNTIF($E143:Y143,1),ColDescriptionCourte)),""),
  "")),"")</f>
        <v/>
      </c>
      <c r="AA143" s="40" t="str">
        <f ca="1">IFERROR(IF(AND(
  INDEX(Roadmap!$D:$K,MATCH($E143,Roadmap!$D:$D,0)+COUNTIF($E143:Z143,"u")+COUNTIF($E143:Z143,"t")+COUNTIF($E143:Z143,"¶")+COUNTIF($E143:Z143,"²")+COUNTIF($E143:Z143,"µ")+COUNTIF($E143:Z143,1),ColLivraison)=AA$6,
  VLOOKUP($E143,INDIRECT("tri!"&amp; CHAR(64+ C0Col) &amp;":"&amp; CHAR(65+C0Col)),2,FALSE)&gt;COUNTIF($E143:Z143,"u")+COUNTIF($E143:Z143,"t")+COUNTIF($E143:Z143,"¶")+COUNTIF($E143:Z143,"²")+COUNTIF($E143:Z143,"µ")+COUNTIF($E143:Z143,1)),
HYPERLINK("#Roadmap!C"&amp; MATCH($E143,Roadmap!$D:$D,0)+COUNTIF($E143:Z143,"u")+COUNTIF($E143:Z143,"t"),
     INDEX(Roadmap!$D:$K,MATCH($E143,Roadmap!$D:$D,0)+COUNTIF($E143:Z143,"u")+COUNTIF($E143:Z143,"t")+COUNTIF($E143:Z143,"¶")+COUNTIF($E143:Z143,"²")+COUNTIF($E143:Z143,"µ")+COUNTIF($E143:Z143,1),ColTypeEcheance)),
  IF(LEN(Z143)=1,
  IF(LEN(INDEX(Roadmap!$D:$K,MATCH($E143,Roadmap!$D:$D,0)-1+COUNTIF($E143:Z143,"u")+COUNTIF($E143:Z143,"t")+COUNTIF($E143:Z143,"¶")+COUNTIF($E143:Z143,"²")+COUNTIF($E143:Z143,"µ")+COUNTIF($E143:Z143,1),ColDescriptionCourte))&gt;1,
HYPERLINK("#Roadmap!C"&amp; MATCH($E143,Roadmap!$D:$D,0)+COUNTIF($E143:Z143,"u")+COUNTIF($E143:Z143,"t")+COUNTIF($E143:Z143,"¶")+COUNTIF($E143:Z143,"²")+COUNTIF($E143:Z143,"µ")+COUNTIF($E143:Z143,1)-1,INDEX(Roadmap!$D:$K,MATCH($E143,Roadmap!$D:$D,0)-1+COUNTIF($E143:Z143,"u")+COUNTIF($E143:Z143,"t")+COUNTIF($E143:Z143,"¶")+COUNTIF($E143:Z143,"²")+COUNTIF($E143:Z143,"µ")+COUNTIF($E143:Z143,1),ColDescriptionCourte)),""),
  "")),"")</f>
        <v/>
      </c>
      <c r="AB143" s="40" t="str">
        <f ca="1">IFERROR(IF(AND(
  INDEX(Roadmap!$D:$K,MATCH($E143,Roadmap!$D:$D,0)+COUNTIF($E143:AA143,"u")+COUNTIF($E143:AA143,"t")+COUNTIF($E143:AA143,"¶")+COUNTIF($E143:AA143,"²")+COUNTIF($E143:AA143,"µ")+COUNTIF($E143:AA143,1),ColLivraison)=AB$6,
  VLOOKUP($E143,INDIRECT("tri!"&amp; CHAR(64+ C0Col) &amp;":"&amp; CHAR(65+C0Col)),2,FALSE)&gt;COUNTIF($E143:AA143,"u")+COUNTIF($E143:AA143,"t")+COUNTIF($E143:AA143,"¶")+COUNTIF($E143:AA143,"²")+COUNTIF($E143:AA143,"µ")+COUNTIF($E143:AA143,1)),
HYPERLINK("#Roadmap!C"&amp; MATCH($E143,Roadmap!$D:$D,0)+COUNTIF($E143:AA143,"u")+COUNTIF($E143:AA143,"t"),
     INDEX(Roadmap!$D:$K,MATCH($E143,Roadmap!$D:$D,0)+COUNTIF($E143:AA143,"u")+COUNTIF($E143:AA143,"t")+COUNTIF($E143:AA143,"¶")+COUNTIF($E143:AA143,"²")+COUNTIF($E143:AA143,"µ")+COUNTIF($E143:AA143,1),ColTypeEcheance)),
  IF(LEN(AA143)=1,
  IF(LEN(INDEX(Roadmap!$D:$K,MATCH($E143,Roadmap!$D:$D,0)-1+COUNTIF($E143:AA143,"u")+COUNTIF($E143:AA143,"t")+COUNTIF($E143:AA143,"¶")+COUNTIF($E143:AA143,"²")+COUNTIF($E143:AA143,"µ")+COUNTIF($E143:AA143,1),ColDescriptionCourte))&gt;1,
HYPERLINK("#Roadmap!C"&amp; MATCH($E143,Roadmap!$D:$D,0)+COUNTIF($E143:AA143,"u")+COUNTIF($E143:AA143,"t")+COUNTIF($E143:AA143,"¶")+COUNTIF($E143:AA143,"²")+COUNTIF($E143:AA143,"µ")+COUNTIF($E143:AA143,1)-1,INDEX(Roadmap!$D:$K,MATCH($E143,Roadmap!$D:$D,0)-1+COUNTIF($E143:AA143,"u")+COUNTIF($E143:AA143,"t")+COUNTIF($E143:AA143,"¶")+COUNTIF($E143:AA143,"²")+COUNTIF($E143:AA143,"µ")+COUNTIF($E143:AA143,1),ColDescriptionCourte)),""),
  "")),"")</f>
        <v/>
      </c>
      <c r="AC143" s="40" t="str">
        <f ca="1">IFERROR(IF(AND(
  INDEX(Roadmap!$D:$K,MATCH($E143,Roadmap!$D:$D,0)+COUNTIF($E143:AB143,"u")+COUNTIF($E143:AB143,"t")+COUNTIF($E143:AB143,"¶")+COUNTIF($E143:AB143,"²")+COUNTIF($E143:AB143,"µ")+COUNTIF($E143:AB143,1),ColLivraison)=AC$6,
  VLOOKUP($E143,INDIRECT("tri!"&amp; CHAR(64+ C0Col) &amp;":"&amp; CHAR(65+C0Col)),2,FALSE)&gt;COUNTIF($E143:AB143,"u")+COUNTIF($E143:AB143,"t")+COUNTIF($E143:AB143,"¶")+COUNTIF($E143:AB143,"²")+COUNTIF($E143:AB143,"µ")+COUNTIF($E143:AB143,1)),
HYPERLINK("#Roadmap!C"&amp; MATCH($E143,Roadmap!$D:$D,0)+COUNTIF($E143:AB143,"u")+COUNTIF($E143:AB143,"t"),
     INDEX(Roadmap!$D:$K,MATCH($E143,Roadmap!$D:$D,0)+COUNTIF($E143:AB143,"u")+COUNTIF($E143:AB143,"t")+COUNTIF($E143:AB143,"¶")+COUNTIF($E143:AB143,"²")+COUNTIF($E143:AB143,"µ")+COUNTIF($E143:AB143,1),ColTypeEcheance)),
  IF(LEN(AB143)=1,
  IF(LEN(INDEX(Roadmap!$D:$K,MATCH($E143,Roadmap!$D:$D,0)-1+COUNTIF($E143:AB143,"u")+COUNTIF($E143:AB143,"t")+COUNTIF($E143:AB143,"¶")+COUNTIF($E143:AB143,"²")+COUNTIF($E143:AB143,"µ")+COUNTIF($E143:AB143,1),ColDescriptionCourte))&gt;1,
HYPERLINK("#Roadmap!C"&amp; MATCH($E143,Roadmap!$D:$D,0)+COUNTIF($E143:AB143,"u")+COUNTIF($E143:AB143,"t")+COUNTIF($E143:AB143,"¶")+COUNTIF($E143:AB143,"²")+COUNTIF($E143:AB143,"µ")+COUNTIF($E143:AB143,1)-1,INDEX(Roadmap!$D:$K,MATCH($E143,Roadmap!$D:$D,0)-1+COUNTIF($E143:AB143,"u")+COUNTIF($E143:AB143,"t")+COUNTIF($E143:AB143,"¶")+COUNTIF($E143:AB143,"²")+COUNTIF($E143:AB143,"µ")+COUNTIF($E143:AB143,1),ColDescriptionCourte)),""),
  "")),"")</f>
        <v/>
      </c>
      <c r="AD143" s="40" t="str">
        <f ca="1">IFERROR(IF(AND(
  INDEX(Roadmap!$D:$K,MATCH($E143,Roadmap!$D:$D,0)+COUNTIF($E143:AC143,"u")+COUNTIF($E143:AC143,"t")+COUNTIF($E143:AC143,"¶")+COUNTIF($E143:AC143,"²")+COUNTIF($E143:AC143,"µ")+COUNTIF($E143:AC143,1),ColLivraison)=AD$6,
  VLOOKUP($E143,INDIRECT("tri!"&amp; CHAR(64+ C0Col) &amp;":"&amp; CHAR(65+C0Col)),2,FALSE)&gt;COUNTIF($E143:AC143,"u")+COUNTIF($E143:AC143,"t")+COUNTIF($E143:AC143,"¶")+COUNTIF($E143:AC143,"²")+COUNTIF($E143:AC143,"µ")+COUNTIF($E143:AC143,1)),
HYPERLINK("#Roadmap!C"&amp; MATCH($E143,Roadmap!$D:$D,0)+COUNTIF($E143:AC143,"u")+COUNTIF($E143:AC143,"t"),
     INDEX(Roadmap!$D:$K,MATCH($E143,Roadmap!$D:$D,0)+COUNTIF($E143:AC143,"u")+COUNTIF($E143:AC143,"t")+COUNTIF($E143:AC143,"¶")+COUNTIF($E143:AC143,"²")+COUNTIF($E143:AC143,"µ")+COUNTIF($E143:AC143,1),ColTypeEcheance)),
  IF(LEN(AC143)=1,
  IF(LEN(INDEX(Roadmap!$D:$K,MATCH($E143,Roadmap!$D:$D,0)-1+COUNTIF($E143:AC143,"u")+COUNTIF($E143:AC143,"t")+COUNTIF($E143:AC143,"¶")+COUNTIF($E143:AC143,"²")+COUNTIF($E143:AC143,"µ")+COUNTIF($E143:AC143,1),ColDescriptionCourte))&gt;1,
HYPERLINK("#Roadmap!C"&amp; MATCH($E143,Roadmap!$D:$D,0)+COUNTIF($E143:AC143,"u")+COUNTIF($E143:AC143,"t")+COUNTIF($E143:AC143,"¶")+COUNTIF($E143:AC143,"²")+COUNTIF($E143:AC143,"µ")+COUNTIF($E143:AC143,1)-1,INDEX(Roadmap!$D:$K,MATCH($E143,Roadmap!$D:$D,0)-1+COUNTIF($E143:AC143,"u")+COUNTIF($E143:AC143,"t")+COUNTIF($E143:AC143,"¶")+COUNTIF($E143:AC143,"²")+COUNTIF($E143:AC143,"µ")+COUNTIF($E143:AC143,1),ColDescriptionCourte)),""),
  "")),"")</f>
        <v/>
      </c>
      <c r="AE143" s="40" t="str">
        <f ca="1">IFERROR(IF(AND(
  INDEX(Roadmap!$D:$K,MATCH($E143,Roadmap!$D:$D,0)+COUNTIF($E143:AD143,"u")+COUNTIF($E143:AD143,"t")+COUNTIF($E143:AD143,"¶")+COUNTIF($E143:AD143,"²")+COUNTIF($E143:AD143,"µ")+COUNTIF($E143:AD143,1),ColLivraison)=AE$6,
  VLOOKUP($E143,INDIRECT("tri!"&amp; CHAR(64+ C0Col) &amp;":"&amp; CHAR(65+C0Col)),2,FALSE)&gt;COUNTIF($E143:AD143,"u")+COUNTIF($E143:AD143,"t")+COUNTIF($E143:AD143,"¶")+COUNTIF($E143:AD143,"²")+COUNTIF($E143:AD143,"µ")+COUNTIF($E143:AD143,1)),
HYPERLINK("#Roadmap!C"&amp; MATCH($E143,Roadmap!$D:$D,0)+COUNTIF($E143:AD143,"u")+COUNTIF($E143:AD143,"t"),
     INDEX(Roadmap!$D:$K,MATCH($E143,Roadmap!$D:$D,0)+COUNTIF($E143:AD143,"u")+COUNTIF($E143:AD143,"t")+COUNTIF($E143:AD143,"¶")+COUNTIF($E143:AD143,"²")+COUNTIF($E143:AD143,"µ")+COUNTIF($E143:AD143,1),ColTypeEcheance)),
  IF(LEN(AD143)=1,
  IF(LEN(INDEX(Roadmap!$D:$K,MATCH($E143,Roadmap!$D:$D,0)-1+COUNTIF($E143:AD143,"u")+COUNTIF($E143:AD143,"t")+COUNTIF($E143:AD143,"¶")+COUNTIF($E143:AD143,"²")+COUNTIF($E143:AD143,"µ")+COUNTIF($E143:AD143,1),ColDescriptionCourte))&gt;1,
HYPERLINK("#Roadmap!C"&amp; MATCH($E143,Roadmap!$D:$D,0)+COUNTIF($E143:AD143,"u")+COUNTIF($E143:AD143,"t")+COUNTIF($E143:AD143,"¶")+COUNTIF($E143:AD143,"²")+COUNTIF($E143:AD143,"µ")+COUNTIF($E143:AD143,1)-1,INDEX(Roadmap!$D:$K,MATCH($E143,Roadmap!$D:$D,0)-1+COUNTIF($E143:AD143,"u")+COUNTIF($E143:AD143,"t")+COUNTIF($E143:AD143,"¶")+COUNTIF($E143:AD143,"²")+COUNTIF($E143:AD143,"µ")+COUNTIF($E143:AD143,1),ColDescriptionCourte)),""),
  "")),"")</f>
        <v/>
      </c>
      <c r="AF143" s="40" t="str">
        <f ca="1">IFERROR(IF(AND(
  INDEX(Roadmap!$D:$K,MATCH($E143,Roadmap!$D:$D,0)+COUNTIF($E143:AE143,"u")+COUNTIF($E143:AE143,"t")+COUNTIF($E143:AE143,"¶")+COUNTIF($E143:AE143,"²")+COUNTIF($E143:AE143,"µ")+COUNTIF($E143:AE143,1),ColLivraison)=AF$6,
  VLOOKUP($E143,INDIRECT("tri!"&amp; CHAR(64+ C0Col) &amp;":"&amp; CHAR(65+C0Col)),2,FALSE)&gt;COUNTIF($E143:AE143,"u")+COUNTIF($E143:AE143,"t")+COUNTIF($E143:AE143,"¶")+COUNTIF($E143:AE143,"²")+COUNTIF($E143:AE143,"µ")+COUNTIF($E143:AE143,1)),
HYPERLINK("#Roadmap!C"&amp; MATCH($E143,Roadmap!$D:$D,0)+COUNTIF($E143:AE143,"u")+COUNTIF($E143:AE143,"t"),
     INDEX(Roadmap!$D:$K,MATCH($E143,Roadmap!$D:$D,0)+COUNTIF($E143:AE143,"u")+COUNTIF($E143:AE143,"t")+COUNTIF($E143:AE143,"¶")+COUNTIF($E143:AE143,"²")+COUNTIF($E143:AE143,"µ")+COUNTIF($E143:AE143,1),ColTypeEcheance)),
  IF(LEN(AE143)=1,
  IF(LEN(INDEX(Roadmap!$D:$K,MATCH($E143,Roadmap!$D:$D,0)-1+COUNTIF($E143:AE143,"u")+COUNTIF($E143:AE143,"t")+COUNTIF($E143:AE143,"¶")+COUNTIF($E143:AE143,"²")+COUNTIF($E143:AE143,"µ")+COUNTIF($E143:AE143,1),ColDescriptionCourte))&gt;1,
HYPERLINK("#Roadmap!C"&amp; MATCH($E143,Roadmap!$D:$D,0)+COUNTIF($E143:AE143,"u")+COUNTIF($E143:AE143,"t")+COUNTIF($E143:AE143,"¶")+COUNTIF($E143:AE143,"²")+COUNTIF($E143:AE143,"µ")+COUNTIF($E143:AE143,1)-1,INDEX(Roadmap!$D:$K,MATCH($E143,Roadmap!$D:$D,0)-1+COUNTIF($E143:AE143,"u")+COUNTIF($E143:AE143,"t")+COUNTIF($E143:AE143,"¶")+COUNTIF($E143:AE143,"²")+COUNTIF($E143:AE143,"µ")+COUNTIF($E143:AE143,1),ColDescriptionCourte)),""),
  "")),"")</f>
        <v/>
      </c>
      <c r="AG143" s="40" t="str">
        <f ca="1">IFERROR(IF(AND(
  INDEX(Roadmap!$D:$K,MATCH($E143,Roadmap!$D:$D,0)+COUNTIF($E143:AF143,"u")+COUNTIF($E143:AF143,"t")+COUNTIF($E143:AF143,"¶")+COUNTIF($E143:AF143,"²")+COUNTIF($E143:AF143,"µ")+COUNTIF($E143:AF143,1),ColLivraison)=AG$6,
  VLOOKUP($E143,INDIRECT("tri!"&amp; CHAR(64+ C0Col) &amp;":"&amp; CHAR(65+C0Col)),2,FALSE)&gt;COUNTIF($E143:AF143,"u")+COUNTIF($E143:AF143,"t")+COUNTIF($E143:AF143,"¶")+COUNTIF($E143:AF143,"²")+COUNTIF($E143:AF143,"µ")+COUNTIF($E143:AF143,1)),
HYPERLINK("#Roadmap!C"&amp; MATCH($E143,Roadmap!$D:$D,0)+COUNTIF($E143:AF143,"u")+COUNTIF($E143:AF143,"t"),
     INDEX(Roadmap!$D:$K,MATCH($E143,Roadmap!$D:$D,0)+COUNTIF($E143:AF143,"u")+COUNTIF($E143:AF143,"t")+COUNTIF($E143:AF143,"¶")+COUNTIF($E143:AF143,"²")+COUNTIF($E143:AF143,"µ")+COUNTIF($E143:AF143,1),ColTypeEcheance)),
  IF(LEN(AF143)=1,
  IF(LEN(INDEX(Roadmap!$D:$K,MATCH($E143,Roadmap!$D:$D,0)-1+COUNTIF($E143:AF143,"u")+COUNTIF($E143:AF143,"t")+COUNTIF($E143:AF143,"¶")+COUNTIF($E143:AF143,"²")+COUNTIF($E143:AF143,"µ")+COUNTIF($E143:AF143,1),ColDescriptionCourte))&gt;1,
HYPERLINK("#Roadmap!C"&amp; MATCH($E143,Roadmap!$D:$D,0)+COUNTIF($E143:AF143,"u")+COUNTIF($E143:AF143,"t")+COUNTIF($E143:AF143,"¶")+COUNTIF($E143:AF143,"²")+COUNTIF($E143:AF143,"µ")+COUNTIF($E143:AF143,1)-1,INDEX(Roadmap!$D:$K,MATCH($E143,Roadmap!$D:$D,0)-1+COUNTIF($E143:AF143,"u")+COUNTIF($E143:AF143,"t")+COUNTIF($E143:AF143,"¶")+COUNTIF($E143:AF143,"²")+COUNTIF($E143:AF143,"µ")+COUNTIF($E143:AF143,1),ColDescriptionCourte)),""),
  "")),"")</f>
        <v/>
      </c>
      <c r="AH143" s="40" t="str">
        <f ca="1">IFERROR(IF(AND(
  INDEX(Roadmap!$D:$K,MATCH($E143,Roadmap!$D:$D,0)+COUNTIF($E143:AG143,"u")+COUNTIF($E143:AG143,"t")+COUNTIF($E143:AG143,1),ColLivraison)=AH$6,
  VLOOKUP($E143,INDIRECT("tri!"&amp; CHAR(64+ C0Col) &amp;":"&amp; CHAR(65+C0Col)),2,FALSE)&gt;COUNTIF($E143:AG143,"u")+COUNTIF($E143:AG143,"t")+COUNTIF($E143:AG143,1)),
HYPERLINK("#Roadmap!C"&amp; MATCH($E143,Roadmap!$D:$D,0)+COUNTIF($E143:AG143,"u")+COUNTIF($E143:AG143,"t"),
     INDEX(Roadmap!$D:$K,MATCH($E143,Roadmap!$D:$D,0)+COUNTIF($E143:AG143,"u")+COUNTIF($E143:AG143,"t")+COUNTIF($E143:AG143,1),ColTypeEcheance)),
  IF(OR(AG143="u",AG143="t",AG143=1),
  IF(LEN(INDEX(Roadmap!$D:$K,MATCH($E143,Roadmap!$D:$D,0)-1+COUNTIF($E143:AG143,"u")+COUNTIF($E143:AG143,"t")+COUNTIF($E143:AG143,1),ColDescriptionCourte))&gt;1,
HYPERLINK("#Roadmap!C"&amp; MATCH($E143,Roadmap!$D:$D,0)+COUNTIF($E143:AG143,"u")+COUNTIF($E143:AG143,"t")+COUNTIF($E143:AG143,1)-1,INDEX(Roadmap!$D:$K,MATCH($E143,Roadmap!$D:$D,0)-1+COUNTIF($E143:AG143,"u")+COUNTIF($E143:AG143,"t")+COUNTIF($E143:AG143,1),ColDescriptionCourte)),""),
  "")),"")</f>
        <v/>
      </c>
      <c r="AI143" s="40"/>
      <c r="AJ143" s="40"/>
      <c r="AK143" s="40"/>
      <c r="AL143" s="40"/>
      <c r="AM143" s="40"/>
    </row>
    <row r="144" spans="4:39" ht="14.1" customHeight="1">
      <c r="D144" s="20" t="str">
        <f t="shared" ca="1" si="31"/>
        <v/>
      </c>
      <c r="E144" s="53" t="str">
        <f t="shared" ca="1" si="32"/>
        <v/>
      </c>
      <c r="F144" s="39" t="str">
        <f ca="1">IFERROR(IF(AND(
  INDEX(Roadmap!$D:$K,MATCH($E144,Roadmap!$D:$D,0)+COUNTIF($E144:E144,"u")+COUNTIF($E144:E144,"t")+COUNTIF($E144:E144,"¶")+COUNTIF($E144:E144,"²")+COUNTIF($E144:E144,"µ")+COUNTIF($E144:E144,1),ColLivraison)=F$6,
  VLOOKUP($E144,INDIRECT("tri!"&amp; CHAR(64+ C0Col) &amp;":"&amp; CHAR(65+C0Col)),2,FALSE)&gt;COUNTIF($E144:E144,"u")+COUNTIF($E144:E144,"t")+COUNTIF($E144:E144,"¶")+COUNTIF($E144:E144,"²")+COUNTIF($E144:E144,"µ")+COUNTIF($E144:E144,1)),
HYPERLINK("#Roadmap!C"&amp; MATCH($E144,Roadmap!$D:$D,0)+COUNTIF($E144:E144,"u")+COUNTIF($E144:E144,"t"),
     INDEX(Roadmap!$D:$K,MATCH($E144,Roadmap!$D:$D,0)+COUNTIF($E144:E144,"u")+COUNTIF($E144:E144,"t")+COUNTIF($E144:E144,"¶")+COUNTIF($E144:E144,"²")+COUNTIF($E144:E144,"µ")+COUNTIF($E144:E144,1),ColTypeEcheance)),
  IF(LEN(E144)=1,
  IF(LEN(INDEX(Roadmap!$D:$K,MATCH($E144,Roadmap!$D:$D,0)-1+COUNTIF($E144:E144,"u")+COUNTIF($E144:E144,"t")+COUNTIF($E144:E144,"¶")+COUNTIF($E144:E144,"²")+COUNTIF($E144:E144,"µ")+COUNTIF($E144:E144,1),ColDescriptionCourte))&gt;1,
HYPERLINK("#Roadmap!C"&amp; MATCH($E144,Roadmap!$D:$D,0)+COUNTIF($E144:E144,"u")+COUNTIF($E144:E144,"t")+COUNTIF($E144:E144,"¶")+COUNTIF($E144:E144,"²")+COUNTIF($E144:E144,"µ")+COUNTIF($E144:E144,1)-1,INDEX(Roadmap!$D:$K,MATCH($E144,Roadmap!$D:$D,0)-1+COUNTIF($E144:E144,"u")+COUNTIF($E144:E144,"t")+COUNTIF($E144:E144,"¶")+COUNTIF($E144:E144,"²")+COUNTIF($E144:E144,"µ")+COUNTIF($E144:E144,1),ColDescriptionCourte)),""),
  "")),"")</f>
        <v/>
      </c>
      <c r="G144" s="40" t="str">
        <f ca="1">IFERROR(IF(AND(
  INDEX(Roadmap!$D:$K,MATCH($E144,Roadmap!$D:$D,0)+COUNTIF($E144:F144,"u")+COUNTIF($E144:F144,"t")+COUNTIF($E144:F144,"¶")+COUNTIF($E144:F144,"²")+COUNTIF($E144:F144,"µ")+COUNTIF($E144:F144,1),ColLivraison)=G$6,
  VLOOKUP($E144,INDIRECT("tri!"&amp; CHAR(64+ C0Col) &amp;":"&amp; CHAR(65+C0Col)),2,FALSE)&gt;COUNTIF($E144:F144,"u")+COUNTIF($E144:F144,"t")+COUNTIF($E144:F144,"¶")+COUNTIF($E144:F144,"²")+COUNTIF($E144:F144,"µ")+COUNTIF($E144:F144,1)),
HYPERLINK("#Roadmap!C"&amp; MATCH($E144,Roadmap!$D:$D,0)+COUNTIF($E144:F144,"u")+COUNTIF($E144:F144,"t"),
     INDEX(Roadmap!$D:$K,MATCH($E144,Roadmap!$D:$D,0)+COUNTIF($E144:F144,"u")+COUNTIF($E144:F144,"t")+COUNTIF($E144:F144,"¶")+COUNTIF($E144:F144,"²")+COUNTIF($E144:F144,"µ")+COUNTIF($E144:F144,1),ColTypeEcheance)),
  IF(LEN(F144)=1,
  IF(LEN(INDEX(Roadmap!$D:$K,MATCH($E144,Roadmap!$D:$D,0)-1+COUNTIF($E144:F144,"u")+COUNTIF($E144:F144,"t")+COUNTIF($E144:F144,"¶")+COUNTIF($E144:F144,"²")+COUNTIF($E144:F144,"µ")+COUNTIF($E144:F144,1),ColDescriptionCourte))&gt;1,
HYPERLINK("#Roadmap!C"&amp; MATCH($E144,Roadmap!$D:$D,0)+COUNTIF($E144:F144,"u")+COUNTIF($E144:F144,"t")+COUNTIF($E144:F144,"¶")+COUNTIF($E144:F144,"²")+COUNTIF($E144:F144,"µ")+COUNTIF($E144:F144,1)-1,INDEX(Roadmap!$D:$K,MATCH($E144,Roadmap!$D:$D,0)-1+COUNTIF($E144:F144,"u")+COUNTIF($E144:F144,"t")+COUNTIF($E144:F144,"¶")+COUNTIF($E144:F144,"²")+COUNTIF($E144:F144,"µ")+COUNTIF($E144:F144,1),ColDescriptionCourte)),""),
  "")),"")</f>
        <v/>
      </c>
      <c r="H144" s="40" t="str">
        <f ca="1">IFERROR(IF(AND(
  INDEX(Roadmap!$D:$K,MATCH($E144,Roadmap!$D:$D,0)+COUNTIF($E144:G144,"u")+COUNTIF($E144:G144,"t")+COUNTIF($E144:G144,"¶")+COUNTIF($E144:G144,"²")+COUNTIF($E144:G144,"µ")+COUNTIF($E144:G144,1),ColLivraison)=H$6,
  VLOOKUP($E144,INDIRECT("tri!"&amp; CHAR(64+ C0Col) &amp;":"&amp; CHAR(65+C0Col)),2,FALSE)&gt;COUNTIF($E144:G144,"u")+COUNTIF($E144:G144,"t")+COUNTIF($E144:G144,"¶")+COUNTIF($E144:G144,"²")+COUNTIF($E144:G144,"µ")+COUNTIF($E144:G144,1)),
HYPERLINK("#Roadmap!C"&amp; MATCH($E144,Roadmap!$D:$D,0)+COUNTIF($E144:G144,"u")+COUNTIF($E144:G144,"t"),
     INDEX(Roadmap!$D:$K,MATCH($E144,Roadmap!$D:$D,0)+COUNTIF($E144:G144,"u")+COUNTIF($E144:G144,"t")+COUNTIF($E144:G144,"¶")+COUNTIF($E144:G144,"²")+COUNTIF($E144:G144,"µ")+COUNTIF($E144:G144,1),ColTypeEcheance)),
  IF(LEN(G144)=1,
  IF(LEN(INDEX(Roadmap!$D:$K,MATCH($E144,Roadmap!$D:$D,0)-1+COUNTIF($E144:G144,"u")+COUNTIF($E144:G144,"t")+COUNTIF($E144:G144,"¶")+COUNTIF($E144:G144,"²")+COUNTIF($E144:G144,"µ")+COUNTIF($E144:G144,1),ColDescriptionCourte))&gt;1,
HYPERLINK("#Roadmap!C"&amp; MATCH($E144,Roadmap!$D:$D,0)+COUNTIF($E144:G144,"u")+COUNTIF($E144:G144,"t")+COUNTIF($E144:G144,"¶")+COUNTIF($E144:G144,"²")+COUNTIF($E144:G144,"µ")+COUNTIF($E144:G144,1)-1,INDEX(Roadmap!$D:$K,MATCH($E144,Roadmap!$D:$D,0)-1+COUNTIF($E144:G144,"u")+COUNTIF($E144:G144,"t")+COUNTIF($E144:G144,"¶")+COUNTIF($E144:G144,"²")+COUNTIF($E144:G144,"µ")+COUNTIF($E144:G144,1),ColDescriptionCourte)),""),
  "")),"")</f>
        <v/>
      </c>
      <c r="I144" s="40" t="str">
        <f ca="1">IFERROR(IF(AND(
  INDEX(Roadmap!$D:$K,MATCH($E144,Roadmap!$D:$D,0)+COUNTIF($E144:H144,"u")+COUNTIF($E144:H144,"t")+COUNTIF($E144:H144,"¶")+COUNTIF($E144:H144,"²")+COUNTIF($E144:H144,"µ")+COUNTIF($E144:H144,1),ColLivraison)=I$6,
  VLOOKUP($E144,INDIRECT("tri!"&amp; CHAR(64+ C0Col) &amp;":"&amp; CHAR(65+C0Col)),2,FALSE)&gt;COUNTIF($E144:H144,"u")+COUNTIF($E144:H144,"t")+COUNTIF($E144:H144,"¶")+COUNTIF($E144:H144,"²")+COUNTIF($E144:H144,"µ")+COUNTIF($E144:H144,1)),
HYPERLINK("#Roadmap!C"&amp; MATCH($E144,Roadmap!$D:$D,0)+COUNTIF($E144:H144,"u")+COUNTIF($E144:H144,"t"),
     INDEX(Roadmap!$D:$K,MATCH($E144,Roadmap!$D:$D,0)+COUNTIF($E144:H144,"u")+COUNTIF($E144:H144,"t")+COUNTIF($E144:H144,"¶")+COUNTIF($E144:H144,"²")+COUNTIF($E144:H144,"µ")+COUNTIF($E144:H144,1),ColTypeEcheance)),
  IF(LEN(H144)=1,
  IF(LEN(INDEX(Roadmap!$D:$K,MATCH($E144,Roadmap!$D:$D,0)-1+COUNTIF($E144:H144,"u")+COUNTIF($E144:H144,"t")+COUNTIF($E144:H144,"¶")+COUNTIF($E144:H144,"²")+COUNTIF($E144:H144,"µ")+COUNTIF($E144:H144,1),ColDescriptionCourte))&gt;1,
HYPERLINK("#Roadmap!C"&amp; MATCH($E144,Roadmap!$D:$D,0)+COUNTIF($E144:H144,"u")+COUNTIF($E144:H144,"t")+COUNTIF($E144:H144,"¶")+COUNTIF($E144:H144,"²")+COUNTIF($E144:H144,"µ")+COUNTIF($E144:H144,1)-1,INDEX(Roadmap!$D:$K,MATCH($E144,Roadmap!$D:$D,0)-1+COUNTIF($E144:H144,"u")+COUNTIF($E144:H144,"t")+COUNTIF($E144:H144,"¶")+COUNTIF($E144:H144,"²")+COUNTIF($E144:H144,"µ")+COUNTIF($E144:H144,1),ColDescriptionCourte)),""),
  "")),"")</f>
        <v/>
      </c>
      <c r="J144" s="40" t="str">
        <f ca="1">IFERROR(IF(AND(
  INDEX(Roadmap!$D:$K,MATCH($E144,Roadmap!$D:$D,0)+COUNTIF($E144:I144,"u")+COUNTIF($E144:I144,"t")+COUNTIF($E144:I144,"¶")+COUNTIF($E144:I144,"²")+COUNTIF($E144:I144,"µ")+COUNTIF($E144:I144,1),ColLivraison)=J$6,
  VLOOKUP($E144,INDIRECT("tri!"&amp; CHAR(64+ C0Col) &amp;":"&amp; CHAR(65+C0Col)),2,FALSE)&gt;COUNTIF($E144:I144,"u")+COUNTIF($E144:I144,"t")+COUNTIF($E144:I144,"¶")+COUNTIF($E144:I144,"²")+COUNTIF($E144:I144,"µ")+COUNTIF($E144:I144,1)),
HYPERLINK("#Roadmap!C"&amp; MATCH($E144,Roadmap!$D:$D,0)+COUNTIF($E144:I144,"u")+COUNTIF($E144:I144,"t"),
     INDEX(Roadmap!$D:$K,MATCH($E144,Roadmap!$D:$D,0)+COUNTIF($E144:I144,"u")+COUNTIF($E144:I144,"t")+COUNTIF($E144:I144,"¶")+COUNTIF($E144:I144,"²")+COUNTIF($E144:I144,"µ")+COUNTIF($E144:I144,1),ColTypeEcheance)),
  IF(LEN(I144)=1,
  IF(LEN(INDEX(Roadmap!$D:$K,MATCH($E144,Roadmap!$D:$D,0)-1+COUNTIF($E144:I144,"u")+COUNTIF($E144:I144,"t")+COUNTIF($E144:I144,"¶")+COUNTIF($E144:I144,"²")+COUNTIF($E144:I144,"µ")+COUNTIF($E144:I144,1),ColDescriptionCourte))&gt;1,
HYPERLINK("#Roadmap!C"&amp; MATCH($E144,Roadmap!$D:$D,0)+COUNTIF($E144:I144,"u")+COUNTIF($E144:I144,"t")+COUNTIF($E144:I144,"¶")+COUNTIF($E144:I144,"²")+COUNTIF($E144:I144,"µ")+COUNTIF($E144:I144,1)-1,INDEX(Roadmap!$D:$K,MATCH($E144,Roadmap!$D:$D,0)-1+COUNTIF($E144:I144,"u")+COUNTIF($E144:I144,"t")+COUNTIF($E144:I144,"¶")+COUNTIF($E144:I144,"²")+COUNTIF($E144:I144,"µ")+COUNTIF($E144:I144,1),ColDescriptionCourte)),""),
  "")),"")</f>
        <v/>
      </c>
      <c r="K144" s="40" t="str">
        <f ca="1">IFERROR(IF(AND(
  INDEX(Roadmap!$D:$K,MATCH($E144,Roadmap!$D:$D,0)+COUNTIF($E144:J144,"u")+COUNTIF($E144:J144,"t")+COUNTIF($E144:J144,"¶")+COUNTIF($E144:J144,"²")+COUNTIF($E144:J144,"µ")+COUNTIF($E144:J144,1),ColLivraison)=K$6,
  VLOOKUP($E144,INDIRECT("tri!"&amp; CHAR(64+ C0Col) &amp;":"&amp; CHAR(65+C0Col)),2,FALSE)&gt;COUNTIF($E144:J144,"u")+COUNTIF($E144:J144,"t")+COUNTIF($E144:J144,"¶")+COUNTIF($E144:J144,"²")+COUNTIF($E144:J144,"µ")+COUNTIF($E144:J144,1)),
HYPERLINK("#Roadmap!C"&amp; MATCH($E144,Roadmap!$D:$D,0)+COUNTIF($E144:J144,"u")+COUNTIF($E144:J144,"t"),
     INDEX(Roadmap!$D:$K,MATCH($E144,Roadmap!$D:$D,0)+COUNTIF($E144:J144,"u")+COUNTIF($E144:J144,"t")+COUNTIF($E144:J144,"¶")+COUNTIF($E144:J144,"²")+COUNTIF($E144:J144,"µ")+COUNTIF($E144:J144,1),ColTypeEcheance)),
  IF(LEN(J144)=1,
  IF(LEN(INDEX(Roadmap!$D:$K,MATCH($E144,Roadmap!$D:$D,0)-1+COUNTIF($E144:J144,"u")+COUNTIF($E144:J144,"t")+COUNTIF($E144:J144,"¶")+COUNTIF($E144:J144,"²")+COUNTIF($E144:J144,"µ")+COUNTIF($E144:J144,1),ColDescriptionCourte))&gt;1,
HYPERLINK("#Roadmap!C"&amp; MATCH($E144,Roadmap!$D:$D,0)+COUNTIF($E144:J144,"u")+COUNTIF($E144:J144,"t")+COUNTIF($E144:J144,"¶")+COUNTIF($E144:J144,"²")+COUNTIF($E144:J144,"µ")+COUNTIF($E144:J144,1)-1,INDEX(Roadmap!$D:$K,MATCH($E144,Roadmap!$D:$D,0)-1+COUNTIF($E144:J144,"u")+COUNTIF($E144:J144,"t")+COUNTIF($E144:J144,"¶")+COUNTIF($E144:J144,"²")+COUNTIF($E144:J144,"µ")+COUNTIF($E144:J144,1),ColDescriptionCourte)),""),
  "")),"")</f>
        <v/>
      </c>
      <c r="L144" s="39" t="str">
        <f ca="1">IFERROR(IF(AND(
  INDEX(Roadmap!$D:$K,MATCH($E144,Roadmap!$D:$D,0)+COUNTIF($E144:K144,"u")+COUNTIF($E144:K144,"t")+COUNTIF($E144:K144,"¶")+COUNTIF($E144:K144,"²")+COUNTIF($E144:K144,"µ")+COUNTIF($E144:K144,1),ColLivraison)=L$6,
  VLOOKUP($E144,INDIRECT("tri!"&amp; CHAR(64+ C0Col) &amp;":"&amp; CHAR(65+C0Col)),2,FALSE)&gt;COUNTIF($E144:K144,"u")+COUNTIF($E144:K144,"t")+COUNTIF($E144:K144,"¶")+COUNTIF($E144:K144,"²")+COUNTIF($E144:K144,"µ")+COUNTIF($E144:K144,1)),
HYPERLINK("#Roadmap!C"&amp; MATCH($E144,Roadmap!$D:$D,0)+COUNTIF($E144:K144,"u")+COUNTIF($E144:K144,"t"),
     INDEX(Roadmap!$D:$K,MATCH($E144,Roadmap!$D:$D,0)+COUNTIF($E144:K144,"u")+COUNTIF($E144:K144,"t")+COUNTIF($E144:K144,"¶")+COUNTIF($E144:K144,"²")+COUNTIF($E144:K144,"µ")+COUNTIF($E144:K144,1),ColTypeEcheance)),
  IF(LEN(K144)=1,
  IF(LEN(INDEX(Roadmap!$D:$K,MATCH($E144,Roadmap!$D:$D,0)-1+COUNTIF($E144:K144,"u")+COUNTIF($E144:K144,"t")+COUNTIF($E144:K144,"¶")+COUNTIF($E144:K144,"²")+COUNTIF($E144:K144,"µ")+COUNTIF($E144:K144,1),ColDescriptionCourte))&gt;1,
HYPERLINK("#Roadmap!C"&amp; MATCH($E144,Roadmap!$D:$D,0)+COUNTIF($E144:K144,"u")+COUNTIF($E144:K144,"t")+COUNTIF($E144:K144,"¶")+COUNTIF($E144:K144,"²")+COUNTIF($E144:K144,"µ")+COUNTIF($E144:K144,1)-1,INDEX(Roadmap!$D:$K,MATCH($E144,Roadmap!$D:$D,0)-1+COUNTIF($E144:K144,"u")+COUNTIF($E144:K144,"t")+COUNTIF($E144:K144,"¶")+COUNTIF($E144:K144,"²")+COUNTIF($E144:K144,"µ")+COUNTIF($E144:K144,1),ColDescriptionCourte)),""),
  "")),"")</f>
        <v/>
      </c>
      <c r="M144" s="40" t="str">
        <f ca="1">IFERROR(IF(AND(
  INDEX(Roadmap!$D:$K,MATCH($E144,Roadmap!$D:$D,0)+COUNTIF($E144:L144,"u")+COUNTIF($E144:L144,"t")+COUNTIF($E144:L144,"¶")+COUNTIF($E144:L144,"²")+COUNTIF($E144:L144,"µ")+COUNTIF($E144:L144,1),ColLivraison)=M$6,
  VLOOKUP($E144,INDIRECT("tri!"&amp; CHAR(64+ C0Col) &amp;":"&amp; CHAR(65+C0Col)),2,FALSE)&gt;COUNTIF($E144:L144,"u")+COUNTIF($E144:L144,"t")+COUNTIF($E144:L144,"¶")+COUNTIF($E144:L144,"²")+COUNTIF($E144:L144,"µ")+COUNTIF($E144:L144,1)),
HYPERLINK("#Roadmap!C"&amp; MATCH($E144,Roadmap!$D:$D,0)+COUNTIF($E144:L144,"u")+COUNTIF($E144:L144,"t"),
     INDEX(Roadmap!$D:$K,MATCH($E144,Roadmap!$D:$D,0)+COUNTIF($E144:L144,"u")+COUNTIF($E144:L144,"t")+COUNTIF($E144:L144,"¶")+COUNTIF($E144:L144,"²")+COUNTIF($E144:L144,"µ")+COUNTIF($E144:L144,1),ColTypeEcheance)),
  IF(LEN(L144)=1,
  IF(LEN(INDEX(Roadmap!$D:$K,MATCH($E144,Roadmap!$D:$D,0)-1+COUNTIF($E144:L144,"u")+COUNTIF($E144:L144,"t")+COUNTIF($E144:L144,"¶")+COUNTIF($E144:L144,"²")+COUNTIF($E144:L144,"µ")+COUNTIF($E144:L144,1),ColDescriptionCourte))&gt;1,
HYPERLINK("#Roadmap!C"&amp; MATCH($E144,Roadmap!$D:$D,0)+COUNTIF($E144:L144,"u")+COUNTIF($E144:L144,"t")+COUNTIF($E144:L144,"¶")+COUNTIF($E144:L144,"²")+COUNTIF($E144:L144,"µ")+COUNTIF($E144:L144,1)-1,INDEX(Roadmap!$D:$K,MATCH($E144,Roadmap!$D:$D,0)-1+COUNTIF($E144:L144,"u")+COUNTIF($E144:L144,"t")+COUNTIF($E144:L144,"¶")+COUNTIF($E144:L144,"²")+COUNTIF($E144:L144,"µ")+COUNTIF($E144:L144,1),ColDescriptionCourte)),""),
  "")),"")</f>
        <v/>
      </c>
      <c r="N144" s="40" t="str">
        <f ca="1">IFERROR(IF(AND(
  INDEX(Roadmap!$D:$K,MATCH($E144,Roadmap!$D:$D,0)+COUNTIF($E144:M144,"u")+COUNTIF($E144:M144,"t")+COUNTIF($E144:M144,"¶")+COUNTIF($E144:M144,"²")+COUNTIF($E144:M144,"µ")+COUNTIF($E144:M144,1),ColLivraison)=N$6,
  VLOOKUP($E144,INDIRECT("tri!"&amp; CHAR(64+ C0Col) &amp;":"&amp; CHAR(65+C0Col)),2,FALSE)&gt;COUNTIF($E144:M144,"u")+COUNTIF($E144:M144,"t")+COUNTIF($E144:M144,"¶")+COUNTIF($E144:M144,"²")+COUNTIF($E144:M144,"µ")+COUNTIF($E144:M144,1)),
HYPERLINK("#Roadmap!C"&amp; MATCH($E144,Roadmap!$D:$D,0)+COUNTIF($E144:M144,"u")+COUNTIF($E144:M144,"t"),
     INDEX(Roadmap!$D:$K,MATCH($E144,Roadmap!$D:$D,0)+COUNTIF($E144:M144,"u")+COUNTIF($E144:M144,"t")+COUNTIF($E144:M144,"¶")+COUNTIF($E144:M144,"²")+COUNTIF($E144:M144,"µ")+COUNTIF($E144:M144,1),ColTypeEcheance)),
  IF(LEN(M144)=1,
  IF(LEN(INDEX(Roadmap!$D:$K,MATCH($E144,Roadmap!$D:$D,0)-1+COUNTIF($E144:M144,"u")+COUNTIF($E144:M144,"t")+COUNTIF($E144:M144,"¶")+COUNTIF($E144:M144,"²")+COUNTIF($E144:M144,"µ")+COUNTIF($E144:M144,1),ColDescriptionCourte))&gt;1,
HYPERLINK("#Roadmap!C"&amp; MATCH($E144,Roadmap!$D:$D,0)+COUNTIF($E144:M144,"u")+COUNTIF($E144:M144,"t")+COUNTIF($E144:M144,"¶")+COUNTIF($E144:M144,"²")+COUNTIF($E144:M144,"µ")+COUNTIF($E144:M144,1)-1,INDEX(Roadmap!$D:$K,MATCH($E144,Roadmap!$D:$D,0)-1+COUNTIF($E144:M144,"u")+COUNTIF($E144:M144,"t")+COUNTIF($E144:M144,"¶")+COUNTIF($E144:M144,"²")+COUNTIF($E144:M144,"µ")+COUNTIF($E144:M144,1),ColDescriptionCourte)),""),
  "")),"")</f>
        <v/>
      </c>
      <c r="O144" s="40" t="str">
        <f ca="1">IFERROR(IF(AND(
  INDEX(Roadmap!$D:$K,MATCH($E144,Roadmap!$D:$D,0)+COUNTIF($E144:N144,"u")+COUNTIF($E144:N144,"t")+COUNTIF($E144:N144,"¶")+COUNTIF($E144:N144,"²")+COUNTIF($E144:N144,"µ")+COUNTIF($E144:N144,1),ColLivraison)=O$6,
  VLOOKUP($E144,INDIRECT("tri!"&amp; CHAR(64+ C0Col) &amp;":"&amp; CHAR(65+C0Col)),2,FALSE)&gt;COUNTIF($E144:N144,"u")+COUNTIF($E144:N144,"t")+COUNTIF($E144:N144,"¶")+COUNTIF($E144:N144,"²")+COUNTIF($E144:N144,"µ")+COUNTIF($E144:N144,1)),
HYPERLINK("#Roadmap!C"&amp; MATCH($E144,Roadmap!$D:$D,0)+COUNTIF($E144:N144,"u")+COUNTIF($E144:N144,"t"),
     INDEX(Roadmap!$D:$K,MATCH($E144,Roadmap!$D:$D,0)+COUNTIF($E144:N144,"u")+COUNTIF($E144:N144,"t")+COUNTIF($E144:N144,"¶")+COUNTIF($E144:N144,"²")+COUNTIF($E144:N144,"µ")+COUNTIF($E144:N144,1),ColTypeEcheance)),
  IF(LEN(N144)=1,
  IF(LEN(INDEX(Roadmap!$D:$K,MATCH($E144,Roadmap!$D:$D,0)-1+COUNTIF($E144:N144,"u")+COUNTIF($E144:N144,"t")+COUNTIF($E144:N144,"¶")+COUNTIF($E144:N144,"²")+COUNTIF($E144:N144,"µ")+COUNTIF($E144:N144,1),ColDescriptionCourte))&gt;1,
HYPERLINK("#Roadmap!C"&amp; MATCH($E144,Roadmap!$D:$D,0)+COUNTIF($E144:N144,"u")+COUNTIF($E144:N144,"t")+COUNTIF($E144:N144,"¶")+COUNTIF($E144:N144,"²")+COUNTIF($E144:N144,"µ")+COUNTIF($E144:N144,1)-1,INDEX(Roadmap!$D:$K,MATCH($E144,Roadmap!$D:$D,0)-1+COUNTIF($E144:N144,"u")+COUNTIF($E144:N144,"t")+COUNTIF($E144:N144,"¶")+COUNTIF($E144:N144,"²")+COUNTIF($E144:N144,"µ")+COUNTIF($E144:N144,1),ColDescriptionCourte)),""),
  "")),"")</f>
        <v/>
      </c>
      <c r="P144" s="40" t="str">
        <f ca="1">IFERROR(IF(AND(
  INDEX(Roadmap!$D:$K,MATCH($E144,Roadmap!$D:$D,0)+COUNTIF($E144:O144,"u")+COUNTIF($E144:O144,"t")+COUNTIF($E144:O144,"¶")+COUNTIF($E144:O144,"²")+COUNTIF($E144:O144,"µ")+COUNTIF($E144:O144,1),ColLivraison)=P$6,
  VLOOKUP($E144,INDIRECT("tri!"&amp; CHAR(64+ C0Col) &amp;":"&amp; CHAR(65+C0Col)),2,FALSE)&gt;COUNTIF($E144:O144,"u")+COUNTIF($E144:O144,"t")+COUNTIF($E144:O144,"¶")+COUNTIF($E144:O144,"²")+COUNTIF($E144:O144,"µ")+COUNTIF($E144:O144,1)),
HYPERLINK("#Roadmap!C"&amp; MATCH($E144,Roadmap!$D:$D,0)+COUNTIF($E144:O144,"u")+COUNTIF($E144:O144,"t"),
     INDEX(Roadmap!$D:$K,MATCH($E144,Roadmap!$D:$D,0)+COUNTIF($E144:O144,"u")+COUNTIF($E144:O144,"t")+COUNTIF($E144:O144,"¶")+COUNTIF($E144:O144,"²")+COUNTIF($E144:O144,"µ")+COUNTIF($E144:O144,1),ColTypeEcheance)),
  IF(LEN(O144)=1,
  IF(LEN(INDEX(Roadmap!$D:$K,MATCH($E144,Roadmap!$D:$D,0)-1+COUNTIF($E144:O144,"u")+COUNTIF($E144:O144,"t")+COUNTIF($E144:O144,"¶")+COUNTIF($E144:O144,"²")+COUNTIF($E144:O144,"µ")+COUNTIF($E144:O144,1),ColDescriptionCourte))&gt;1,
HYPERLINK("#Roadmap!C"&amp; MATCH($E144,Roadmap!$D:$D,0)+COUNTIF($E144:O144,"u")+COUNTIF($E144:O144,"t")+COUNTIF($E144:O144,"¶")+COUNTIF($E144:O144,"²")+COUNTIF($E144:O144,"µ")+COUNTIF($E144:O144,1)-1,INDEX(Roadmap!$D:$K,MATCH($E144,Roadmap!$D:$D,0)-1+COUNTIF($E144:O144,"u")+COUNTIF($E144:O144,"t")+COUNTIF($E144:O144,"¶")+COUNTIF($E144:O144,"²")+COUNTIF($E144:O144,"µ")+COUNTIF($E144:O144,1),ColDescriptionCourte)),""),
  "")),"")</f>
        <v/>
      </c>
      <c r="Q144" s="40" t="str">
        <f ca="1">IFERROR(IF(AND(
  INDEX(Roadmap!$D:$K,MATCH($E144,Roadmap!$D:$D,0)+COUNTIF($E144:P144,"u")+COUNTIF($E144:P144,"t")+COUNTIF($E144:P144,"¶")+COUNTIF($E144:P144,"²")+COUNTIF($E144:P144,"µ")+COUNTIF($E144:P144,1),ColLivraison)=Q$6,
  VLOOKUP($E144,INDIRECT("tri!"&amp; CHAR(64+ C0Col) &amp;":"&amp; CHAR(65+C0Col)),2,FALSE)&gt;COUNTIF($E144:P144,"u")+COUNTIF($E144:P144,"t")+COUNTIF($E144:P144,"¶")+COUNTIF($E144:P144,"²")+COUNTIF($E144:P144,"µ")+COUNTIF($E144:P144,1)),
HYPERLINK("#Roadmap!C"&amp; MATCH($E144,Roadmap!$D:$D,0)+COUNTIF($E144:P144,"u")+COUNTIF($E144:P144,"t"),
     INDEX(Roadmap!$D:$K,MATCH($E144,Roadmap!$D:$D,0)+COUNTIF($E144:P144,"u")+COUNTIF($E144:P144,"t")+COUNTIF($E144:P144,"¶")+COUNTIF($E144:P144,"²")+COUNTIF($E144:P144,"µ")+COUNTIF($E144:P144,1),ColTypeEcheance)),
  IF(LEN(P144)=1,
  IF(LEN(INDEX(Roadmap!$D:$K,MATCH($E144,Roadmap!$D:$D,0)-1+COUNTIF($E144:P144,"u")+COUNTIF($E144:P144,"t")+COUNTIF($E144:P144,"¶")+COUNTIF($E144:P144,"²")+COUNTIF($E144:P144,"µ")+COUNTIF($E144:P144,1),ColDescriptionCourte))&gt;1,
HYPERLINK("#Roadmap!C"&amp; MATCH($E144,Roadmap!$D:$D,0)+COUNTIF($E144:P144,"u")+COUNTIF($E144:P144,"t")+COUNTIF($E144:P144,"¶")+COUNTIF($E144:P144,"²")+COUNTIF($E144:P144,"µ")+COUNTIF($E144:P144,1)-1,INDEX(Roadmap!$D:$K,MATCH($E144,Roadmap!$D:$D,0)-1+COUNTIF($E144:P144,"u")+COUNTIF($E144:P144,"t")+COUNTIF($E144:P144,"¶")+COUNTIF($E144:P144,"²")+COUNTIF($E144:P144,"µ")+COUNTIF($E144:P144,1),ColDescriptionCourte)),""),
  "")),"")</f>
        <v/>
      </c>
      <c r="R144" s="40" t="str">
        <f ca="1">IFERROR(IF(AND(
  INDEX(Roadmap!$D:$K,MATCH($E144,Roadmap!$D:$D,0)+COUNTIF($E144:Q144,"u")+COUNTIF($E144:Q144,"t")+COUNTIF($E144:Q144,"¶")+COUNTIF($E144:Q144,"²")+COUNTIF($E144:Q144,"µ")+COUNTIF($E144:Q144,1),ColLivraison)=R$6,
  VLOOKUP($E144,INDIRECT("tri!"&amp; CHAR(64+ C0Col) &amp;":"&amp; CHAR(65+C0Col)),2,FALSE)&gt;COUNTIF($E144:Q144,"u")+COUNTIF($E144:Q144,"t")+COUNTIF($E144:Q144,"¶")+COUNTIF($E144:Q144,"²")+COUNTIF($E144:Q144,"µ")+COUNTIF($E144:Q144,1)),
HYPERLINK("#Roadmap!C"&amp; MATCH($E144,Roadmap!$D:$D,0)+COUNTIF($E144:Q144,"u")+COUNTIF($E144:Q144,"t"),
     INDEX(Roadmap!$D:$K,MATCH($E144,Roadmap!$D:$D,0)+COUNTIF($E144:Q144,"u")+COUNTIF($E144:Q144,"t")+COUNTIF($E144:Q144,"¶")+COUNTIF($E144:Q144,"²")+COUNTIF($E144:Q144,"µ")+COUNTIF($E144:Q144,1),ColTypeEcheance)),
  IF(LEN(Q144)=1,
  IF(LEN(INDEX(Roadmap!$D:$K,MATCH($E144,Roadmap!$D:$D,0)-1+COUNTIF($E144:Q144,"u")+COUNTIF($E144:Q144,"t")+COUNTIF($E144:Q144,"¶")+COUNTIF($E144:Q144,"²")+COUNTIF($E144:Q144,"µ")+COUNTIF($E144:Q144,1),ColDescriptionCourte))&gt;1,
HYPERLINK("#Roadmap!C"&amp; MATCH($E144,Roadmap!$D:$D,0)+COUNTIF($E144:Q144,"u")+COUNTIF($E144:Q144,"t")+COUNTIF($E144:Q144,"¶")+COUNTIF($E144:Q144,"²")+COUNTIF($E144:Q144,"µ")+COUNTIF($E144:Q144,1)-1,INDEX(Roadmap!$D:$K,MATCH($E144,Roadmap!$D:$D,0)-1+COUNTIF($E144:Q144,"u")+COUNTIF($E144:Q144,"t")+COUNTIF($E144:Q144,"¶")+COUNTIF($E144:Q144,"²")+COUNTIF($E144:Q144,"µ")+COUNTIF($E144:Q144,1),ColDescriptionCourte)),""),
  "")),"")</f>
        <v/>
      </c>
      <c r="S144" s="40" t="str">
        <f ca="1">IFERROR(IF(AND(
  INDEX(Roadmap!$D:$K,MATCH($E144,Roadmap!$D:$D,0)+COUNTIF($E144:R144,"u")+COUNTIF($E144:R144,"t")+COUNTIF($E144:R144,"¶")+COUNTIF($E144:R144,"²")+COUNTIF($E144:R144,"µ")+COUNTIF($E144:R144,1),ColLivraison)=S$6,
  VLOOKUP($E144,INDIRECT("tri!"&amp; CHAR(64+ C0Col) &amp;":"&amp; CHAR(65+C0Col)),2,FALSE)&gt;COUNTIF($E144:R144,"u")+COUNTIF($E144:R144,"t")+COUNTIF($E144:R144,"¶")+COUNTIF($E144:R144,"²")+COUNTIF($E144:R144,"µ")+COUNTIF($E144:R144,1)),
HYPERLINK("#Roadmap!C"&amp; MATCH($E144,Roadmap!$D:$D,0)+COUNTIF($E144:R144,"u")+COUNTIF($E144:R144,"t"),
     INDEX(Roadmap!$D:$K,MATCH($E144,Roadmap!$D:$D,0)+COUNTIF($E144:R144,"u")+COUNTIF($E144:R144,"t")+COUNTIF($E144:R144,"¶")+COUNTIF($E144:R144,"²")+COUNTIF($E144:R144,"µ")+COUNTIF($E144:R144,1),ColTypeEcheance)),
  IF(LEN(R144)=1,
  IF(LEN(INDEX(Roadmap!$D:$K,MATCH($E144,Roadmap!$D:$D,0)-1+COUNTIF($E144:R144,"u")+COUNTIF($E144:R144,"t")+COUNTIF($E144:R144,"¶")+COUNTIF($E144:R144,"²")+COUNTIF($E144:R144,"µ")+COUNTIF($E144:R144,1),ColDescriptionCourte))&gt;1,
HYPERLINK("#Roadmap!C"&amp; MATCH($E144,Roadmap!$D:$D,0)+COUNTIF($E144:R144,"u")+COUNTIF($E144:R144,"t")+COUNTIF($E144:R144,"¶")+COUNTIF($E144:R144,"²")+COUNTIF($E144:R144,"µ")+COUNTIF($E144:R144,1)-1,INDEX(Roadmap!$D:$K,MATCH($E144,Roadmap!$D:$D,0)-1+COUNTIF($E144:R144,"u")+COUNTIF($E144:R144,"t")+COUNTIF($E144:R144,"¶")+COUNTIF($E144:R144,"²")+COUNTIF($E144:R144,"µ")+COUNTIF($E144:R144,1),ColDescriptionCourte)),""),
  "")),"")</f>
        <v/>
      </c>
      <c r="T144" s="40" t="str">
        <f ca="1">IFERROR(IF(AND(
  INDEX(Roadmap!$D:$K,MATCH($E144,Roadmap!$D:$D,0)+COUNTIF($E144:S144,"u")+COUNTIF($E144:S144,"t")+COUNTIF($E144:S144,"¶")+COUNTIF($E144:S144,"²")+COUNTIF($E144:S144,"µ")+COUNTIF($E144:S144,1),ColLivraison)=T$6,
  VLOOKUP($E144,INDIRECT("tri!"&amp; CHAR(64+ C0Col) &amp;":"&amp; CHAR(65+C0Col)),2,FALSE)&gt;COUNTIF($E144:S144,"u")+COUNTIF($E144:S144,"t")+COUNTIF($E144:S144,"¶")+COUNTIF($E144:S144,"²")+COUNTIF($E144:S144,"µ")+COUNTIF($E144:S144,1)),
HYPERLINK("#Roadmap!C"&amp; MATCH($E144,Roadmap!$D:$D,0)+COUNTIF($E144:S144,"u")+COUNTIF($E144:S144,"t"),
     INDEX(Roadmap!$D:$K,MATCH($E144,Roadmap!$D:$D,0)+COUNTIF($E144:S144,"u")+COUNTIF($E144:S144,"t")+COUNTIF($E144:S144,"¶")+COUNTIF($E144:S144,"²")+COUNTIF($E144:S144,"µ")+COUNTIF($E144:S144,1),ColTypeEcheance)),
  IF(LEN(S144)=1,
  IF(LEN(INDEX(Roadmap!$D:$K,MATCH($E144,Roadmap!$D:$D,0)-1+COUNTIF($E144:S144,"u")+COUNTIF($E144:S144,"t")+COUNTIF($E144:S144,"¶")+COUNTIF($E144:S144,"²")+COUNTIF($E144:S144,"µ")+COUNTIF($E144:S144,1),ColDescriptionCourte))&gt;1,
HYPERLINK("#Roadmap!C"&amp; MATCH($E144,Roadmap!$D:$D,0)+COUNTIF($E144:S144,"u")+COUNTIF($E144:S144,"t")+COUNTIF($E144:S144,"¶")+COUNTIF($E144:S144,"²")+COUNTIF($E144:S144,"µ")+COUNTIF($E144:S144,1)-1,INDEX(Roadmap!$D:$K,MATCH($E144,Roadmap!$D:$D,0)-1+COUNTIF($E144:S144,"u")+COUNTIF($E144:S144,"t")+COUNTIF($E144:S144,"¶")+COUNTIF($E144:S144,"²")+COUNTIF($E144:S144,"µ")+COUNTIF($E144:S144,1),ColDescriptionCourte)),""),
  "")),"")</f>
        <v/>
      </c>
      <c r="U144" s="40" t="str">
        <f ca="1">IFERROR(IF(AND(
  INDEX(Roadmap!$D:$K,MATCH($E144,Roadmap!$D:$D,0)+COUNTIF($E144:T144,"u")+COUNTIF($E144:T144,"t")+COUNTIF($E144:T144,"¶")+COUNTIF($E144:T144,"²")+COUNTIF($E144:T144,"µ")+COUNTIF($E144:T144,1),ColLivraison)=U$6,
  VLOOKUP($E144,INDIRECT("tri!"&amp; CHAR(64+ C0Col) &amp;":"&amp; CHAR(65+C0Col)),2,FALSE)&gt;COUNTIF($E144:T144,"u")+COUNTIF($E144:T144,"t")+COUNTIF($E144:T144,"¶")+COUNTIF($E144:T144,"²")+COUNTIF($E144:T144,"µ")+COUNTIF($E144:T144,1)),
HYPERLINK("#Roadmap!C"&amp; MATCH($E144,Roadmap!$D:$D,0)+COUNTIF($E144:T144,"u")+COUNTIF($E144:T144,"t"),
     INDEX(Roadmap!$D:$K,MATCH($E144,Roadmap!$D:$D,0)+COUNTIF($E144:T144,"u")+COUNTIF($E144:T144,"t")+COUNTIF($E144:T144,"¶")+COUNTIF($E144:T144,"²")+COUNTIF($E144:T144,"µ")+COUNTIF($E144:T144,1),ColTypeEcheance)),
  IF(LEN(T144)=1,
  IF(LEN(INDEX(Roadmap!$D:$K,MATCH($E144,Roadmap!$D:$D,0)-1+COUNTIF($E144:T144,"u")+COUNTIF($E144:T144,"t")+COUNTIF($E144:T144,"¶")+COUNTIF($E144:T144,"²")+COUNTIF($E144:T144,"µ")+COUNTIF($E144:T144,1),ColDescriptionCourte))&gt;1,
HYPERLINK("#Roadmap!C"&amp; MATCH($E144,Roadmap!$D:$D,0)+COUNTIF($E144:T144,"u")+COUNTIF($E144:T144,"t")+COUNTIF($E144:T144,"¶")+COUNTIF($E144:T144,"²")+COUNTIF($E144:T144,"µ")+COUNTIF($E144:T144,1)-1,INDEX(Roadmap!$D:$K,MATCH($E144,Roadmap!$D:$D,0)-1+COUNTIF($E144:T144,"u")+COUNTIF($E144:T144,"t")+COUNTIF($E144:T144,"¶")+COUNTIF($E144:T144,"²")+COUNTIF($E144:T144,"µ")+COUNTIF($E144:T144,1),ColDescriptionCourte)),""),
  "")),"")</f>
        <v/>
      </c>
      <c r="V144" s="40" t="str">
        <f ca="1">IFERROR(IF(AND(
  INDEX(Roadmap!$D:$K,MATCH($E144,Roadmap!$D:$D,0)+COUNTIF($E144:U144,"u")+COUNTIF($E144:U144,"t")+COUNTIF($E144:U144,"¶")+COUNTIF($E144:U144,"²")+COUNTIF($E144:U144,"µ")+COUNTIF($E144:U144,1),ColLivraison)=V$6,
  VLOOKUP($E144,INDIRECT("tri!"&amp; CHAR(64+ C0Col) &amp;":"&amp; CHAR(65+C0Col)),2,FALSE)&gt;COUNTIF($E144:U144,"u")+COUNTIF($E144:U144,"t")+COUNTIF($E144:U144,"¶")+COUNTIF($E144:U144,"²")+COUNTIF($E144:U144,"µ")+COUNTIF($E144:U144,1)),
HYPERLINK("#Roadmap!C"&amp; MATCH($E144,Roadmap!$D:$D,0)+COUNTIF($E144:U144,"u")+COUNTIF($E144:U144,"t"),
     INDEX(Roadmap!$D:$K,MATCH($E144,Roadmap!$D:$D,0)+COUNTIF($E144:U144,"u")+COUNTIF($E144:U144,"t")+COUNTIF($E144:U144,"¶")+COUNTIF($E144:U144,"²")+COUNTIF($E144:U144,"µ")+COUNTIF($E144:U144,1),ColTypeEcheance)),
  IF(LEN(U144)=1,
  IF(LEN(INDEX(Roadmap!$D:$K,MATCH($E144,Roadmap!$D:$D,0)-1+COUNTIF($E144:U144,"u")+COUNTIF($E144:U144,"t")+COUNTIF($E144:U144,"¶")+COUNTIF($E144:U144,"²")+COUNTIF($E144:U144,"µ")+COUNTIF($E144:U144,1),ColDescriptionCourte))&gt;1,
HYPERLINK("#Roadmap!C"&amp; MATCH($E144,Roadmap!$D:$D,0)+COUNTIF($E144:U144,"u")+COUNTIF($E144:U144,"t")+COUNTIF($E144:U144,"¶")+COUNTIF($E144:U144,"²")+COUNTIF($E144:U144,"µ")+COUNTIF($E144:U144,1)-1,INDEX(Roadmap!$D:$K,MATCH($E144,Roadmap!$D:$D,0)-1+COUNTIF($E144:U144,"u")+COUNTIF($E144:U144,"t")+COUNTIF($E144:U144,"¶")+COUNTIF($E144:U144,"²")+COUNTIF($E144:U144,"µ")+COUNTIF($E144:U144,1),ColDescriptionCourte)),""),
  "")),"")</f>
        <v/>
      </c>
      <c r="W144" s="40" t="str">
        <f ca="1">IFERROR(IF(AND(
  INDEX(Roadmap!$D:$K,MATCH($E144,Roadmap!$D:$D,0)+COUNTIF($E144:V144,"u")+COUNTIF($E144:V144,"t")+COUNTIF($E144:V144,"¶")+COUNTIF($E144:V144,"²")+COUNTIF($E144:V144,"µ")+COUNTIF($E144:V144,1),ColLivraison)=W$6,
  VLOOKUP($E144,INDIRECT("tri!"&amp; CHAR(64+ C0Col) &amp;":"&amp; CHAR(65+C0Col)),2,FALSE)&gt;COUNTIF($E144:V144,"u")+COUNTIF($E144:V144,"t")+COUNTIF($E144:V144,"¶")+COUNTIF($E144:V144,"²")+COUNTIF($E144:V144,"µ")+COUNTIF($E144:V144,1)),
HYPERLINK("#Roadmap!C"&amp; MATCH($E144,Roadmap!$D:$D,0)+COUNTIF($E144:V144,"u")+COUNTIF($E144:V144,"t"),
     INDEX(Roadmap!$D:$K,MATCH($E144,Roadmap!$D:$D,0)+COUNTIF($E144:V144,"u")+COUNTIF($E144:V144,"t")+COUNTIF($E144:V144,"¶")+COUNTIF($E144:V144,"²")+COUNTIF($E144:V144,"µ")+COUNTIF($E144:V144,1),ColTypeEcheance)),
  IF(LEN(V144)=1,
  IF(LEN(INDEX(Roadmap!$D:$K,MATCH($E144,Roadmap!$D:$D,0)-1+COUNTIF($E144:V144,"u")+COUNTIF($E144:V144,"t")+COUNTIF($E144:V144,"¶")+COUNTIF($E144:V144,"²")+COUNTIF($E144:V144,"µ")+COUNTIF($E144:V144,1),ColDescriptionCourte))&gt;1,
HYPERLINK("#Roadmap!C"&amp; MATCH($E144,Roadmap!$D:$D,0)+COUNTIF($E144:V144,"u")+COUNTIF($E144:V144,"t")+COUNTIF($E144:V144,"¶")+COUNTIF($E144:V144,"²")+COUNTIF($E144:V144,"µ")+COUNTIF($E144:V144,1)-1,INDEX(Roadmap!$D:$K,MATCH($E144,Roadmap!$D:$D,0)-1+COUNTIF($E144:V144,"u")+COUNTIF($E144:V144,"t")+COUNTIF($E144:V144,"¶")+COUNTIF($E144:V144,"²")+COUNTIF($E144:V144,"µ")+COUNTIF($E144:V144,1),ColDescriptionCourte)),""),
  "")),"")</f>
        <v/>
      </c>
      <c r="X144" s="40" t="str">
        <f ca="1">IFERROR(IF(AND(
  INDEX(Roadmap!$D:$K,MATCH($E144,Roadmap!$D:$D,0)+COUNTIF($E144:W144,"u")+COUNTIF($E144:W144,"t")+COUNTIF($E144:W144,"¶")+COUNTIF($E144:W144,"²")+COUNTIF($E144:W144,"µ")+COUNTIF($E144:W144,1),ColLivraison)=X$6,
  VLOOKUP($E144,INDIRECT("tri!"&amp; CHAR(64+ C0Col) &amp;":"&amp; CHAR(65+C0Col)),2,FALSE)&gt;COUNTIF($E144:W144,"u")+COUNTIF($E144:W144,"t")+COUNTIF($E144:W144,"¶")+COUNTIF($E144:W144,"²")+COUNTIF($E144:W144,"µ")+COUNTIF($E144:W144,1)),
HYPERLINK("#Roadmap!C"&amp; MATCH($E144,Roadmap!$D:$D,0)+COUNTIF($E144:W144,"u")+COUNTIF($E144:W144,"t"),
     INDEX(Roadmap!$D:$K,MATCH($E144,Roadmap!$D:$D,0)+COUNTIF($E144:W144,"u")+COUNTIF($E144:W144,"t")+COUNTIF($E144:W144,"¶")+COUNTIF($E144:W144,"²")+COUNTIF($E144:W144,"µ")+COUNTIF($E144:W144,1),ColTypeEcheance)),
  IF(LEN(W144)=1,
  IF(LEN(INDEX(Roadmap!$D:$K,MATCH($E144,Roadmap!$D:$D,0)-1+COUNTIF($E144:W144,"u")+COUNTIF($E144:W144,"t")+COUNTIF($E144:W144,"¶")+COUNTIF($E144:W144,"²")+COUNTIF($E144:W144,"µ")+COUNTIF($E144:W144,1),ColDescriptionCourte))&gt;1,
HYPERLINK("#Roadmap!C"&amp; MATCH($E144,Roadmap!$D:$D,0)+COUNTIF($E144:W144,"u")+COUNTIF($E144:W144,"t")+COUNTIF($E144:W144,"¶")+COUNTIF($E144:W144,"²")+COUNTIF($E144:W144,"µ")+COUNTIF($E144:W144,1)-1,INDEX(Roadmap!$D:$K,MATCH($E144,Roadmap!$D:$D,0)-1+COUNTIF($E144:W144,"u")+COUNTIF($E144:W144,"t")+COUNTIF($E144:W144,"¶")+COUNTIF($E144:W144,"²")+COUNTIF($E144:W144,"µ")+COUNTIF($E144:W144,1),ColDescriptionCourte)),""),
  "")),"")</f>
        <v/>
      </c>
      <c r="Y144" s="40" t="str">
        <f ca="1">IFERROR(IF(AND(
  INDEX(Roadmap!$D:$K,MATCH($E144,Roadmap!$D:$D,0)+COUNTIF($E144:X144,"u")+COUNTIF($E144:X144,"t")+COUNTIF($E144:X144,"¶")+COUNTIF($E144:X144,"²")+COUNTIF($E144:X144,"µ")+COUNTIF($E144:X144,1),ColLivraison)=Y$6,
  VLOOKUP($E144,INDIRECT("tri!"&amp; CHAR(64+ C0Col) &amp;":"&amp; CHAR(65+C0Col)),2,FALSE)&gt;COUNTIF($E144:X144,"u")+COUNTIF($E144:X144,"t")+COUNTIF($E144:X144,"¶")+COUNTIF($E144:X144,"²")+COUNTIF($E144:X144,"µ")+COUNTIF($E144:X144,1)),
HYPERLINK("#Roadmap!C"&amp; MATCH($E144,Roadmap!$D:$D,0)+COUNTIF($E144:X144,"u")+COUNTIF($E144:X144,"t"),
     INDEX(Roadmap!$D:$K,MATCH($E144,Roadmap!$D:$D,0)+COUNTIF($E144:X144,"u")+COUNTIF($E144:X144,"t")+COUNTIF($E144:X144,"¶")+COUNTIF($E144:X144,"²")+COUNTIF($E144:X144,"µ")+COUNTIF($E144:X144,1),ColTypeEcheance)),
  IF(LEN(X144)=1,
  IF(LEN(INDEX(Roadmap!$D:$K,MATCH($E144,Roadmap!$D:$D,0)-1+COUNTIF($E144:X144,"u")+COUNTIF($E144:X144,"t")+COUNTIF($E144:X144,"¶")+COUNTIF($E144:X144,"²")+COUNTIF($E144:X144,"µ")+COUNTIF($E144:X144,1),ColDescriptionCourte))&gt;1,
HYPERLINK("#Roadmap!C"&amp; MATCH($E144,Roadmap!$D:$D,0)+COUNTIF($E144:X144,"u")+COUNTIF($E144:X144,"t")+COUNTIF($E144:X144,"¶")+COUNTIF($E144:X144,"²")+COUNTIF($E144:X144,"µ")+COUNTIF($E144:X144,1)-1,INDEX(Roadmap!$D:$K,MATCH($E144,Roadmap!$D:$D,0)-1+COUNTIF($E144:X144,"u")+COUNTIF($E144:X144,"t")+COUNTIF($E144:X144,"¶")+COUNTIF($E144:X144,"²")+COUNTIF($E144:X144,"µ")+COUNTIF($E144:X144,1),ColDescriptionCourte)),""),
  "")),"")</f>
        <v/>
      </c>
      <c r="Z144" s="40" t="str">
        <f ca="1">IFERROR(IF(AND(
  INDEX(Roadmap!$D:$K,MATCH($E144,Roadmap!$D:$D,0)+COUNTIF($E144:Y144,"u")+COUNTIF($E144:Y144,"t")+COUNTIF($E144:Y144,"¶")+COUNTIF($E144:Y144,"²")+COUNTIF($E144:Y144,"µ")+COUNTIF($E144:Y144,1),ColLivraison)=Z$6,
  VLOOKUP($E144,INDIRECT("tri!"&amp; CHAR(64+ C0Col) &amp;":"&amp; CHAR(65+C0Col)),2,FALSE)&gt;COUNTIF($E144:Y144,"u")+COUNTIF($E144:Y144,"t")+COUNTIF($E144:Y144,"¶")+COUNTIF($E144:Y144,"²")+COUNTIF($E144:Y144,"µ")+COUNTIF($E144:Y144,1)),
HYPERLINK("#Roadmap!C"&amp; MATCH($E144,Roadmap!$D:$D,0)+COUNTIF($E144:Y144,"u")+COUNTIF($E144:Y144,"t"),
     INDEX(Roadmap!$D:$K,MATCH($E144,Roadmap!$D:$D,0)+COUNTIF($E144:Y144,"u")+COUNTIF($E144:Y144,"t")+COUNTIF($E144:Y144,"¶")+COUNTIF($E144:Y144,"²")+COUNTIF($E144:Y144,"µ")+COUNTIF($E144:Y144,1),ColTypeEcheance)),
  IF(LEN(Y144)=1,
  IF(LEN(INDEX(Roadmap!$D:$K,MATCH($E144,Roadmap!$D:$D,0)-1+COUNTIF($E144:Y144,"u")+COUNTIF($E144:Y144,"t")+COUNTIF($E144:Y144,"¶")+COUNTIF($E144:Y144,"²")+COUNTIF($E144:Y144,"µ")+COUNTIF($E144:Y144,1),ColDescriptionCourte))&gt;1,
HYPERLINK("#Roadmap!C"&amp; MATCH($E144,Roadmap!$D:$D,0)+COUNTIF($E144:Y144,"u")+COUNTIF($E144:Y144,"t")+COUNTIF($E144:Y144,"¶")+COUNTIF($E144:Y144,"²")+COUNTIF($E144:Y144,"µ")+COUNTIF($E144:Y144,1)-1,INDEX(Roadmap!$D:$K,MATCH($E144,Roadmap!$D:$D,0)-1+COUNTIF($E144:Y144,"u")+COUNTIF($E144:Y144,"t")+COUNTIF($E144:Y144,"¶")+COUNTIF($E144:Y144,"²")+COUNTIF($E144:Y144,"µ")+COUNTIF($E144:Y144,1),ColDescriptionCourte)),""),
  "")),"")</f>
        <v/>
      </c>
      <c r="AA144" s="40" t="str">
        <f ca="1">IFERROR(IF(AND(
  INDEX(Roadmap!$D:$K,MATCH($E144,Roadmap!$D:$D,0)+COUNTIF($E144:Z144,"u")+COUNTIF($E144:Z144,"t")+COUNTIF($E144:Z144,"¶")+COUNTIF($E144:Z144,"²")+COUNTIF($E144:Z144,"µ")+COUNTIF($E144:Z144,1),ColLivraison)=AA$6,
  VLOOKUP($E144,INDIRECT("tri!"&amp; CHAR(64+ C0Col) &amp;":"&amp; CHAR(65+C0Col)),2,FALSE)&gt;COUNTIF($E144:Z144,"u")+COUNTIF($E144:Z144,"t")+COUNTIF($E144:Z144,"¶")+COUNTIF($E144:Z144,"²")+COUNTIF($E144:Z144,"µ")+COUNTIF($E144:Z144,1)),
HYPERLINK("#Roadmap!C"&amp; MATCH($E144,Roadmap!$D:$D,0)+COUNTIF($E144:Z144,"u")+COUNTIF($E144:Z144,"t"),
     INDEX(Roadmap!$D:$K,MATCH($E144,Roadmap!$D:$D,0)+COUNTIF($E144:Z144,"u")+COUNTIF($E144:Z144,"t")+COUNTIF($E144:Z144,"¶")+COUNTIF($E144:Z144,"²")+COUNTIF($E144:Z144,"µ")+COUNTIF($E144:Z144,1),ColTypeEcheance)),
  IF(LEN(Z144)=1,
  IF(LEN(INDEX(Roadmap!$D:$K,MATCH($E144,Roadmap!$D:$D,0)-1+COUNTIF($E144:Z144,"u")+COUNTIF($E144:Z144,"t")+COUNTIF($E144:Z144,"¶")+COUNTIF($E144:Z144,"²")+COUNTIF($E144:Z144,"µ")+COUNTIF($E144:Z144,1),ColDescriptionCourte))&gt;1,
HYPERLINK("#Roadmap!C"&amp; MATCH($E144,Roadmap!$D:$D,0)+COUNTIF($E144:Z144,"u")+COUNTIF($E144:Z144,"t")+COUNTIF($E144:Z144,"¶")+COUNTIF($E144:Z144,"²")+COUNTIF($E144:Z144,"µ")+COUNTIF($E144:Z144,1)-1,INDEX(Roadmap!$D:$K,MATCH($E144,Roadmap!$D:$D,0)-1+COUNTIF($E144:Z144,"u")+COUNTIF($E144:Z144,"t")+COUNTIF($E144:Z144,"¶")+COUNTIF($E144:Z144,"²")+COUNTIF($E144:Z144,"µ")+COUNTIF($E144:Z144,1),ColDescriptionCourte)),""),
  "")),"")</f>
        <v/>
      </c>
      <c r="AB144" s="40" t="str">
        <f ca="1">IFERROR(IF(AND(
  INDEX(Roadmap!$D:$K,MATCH($E144,Roadmap!$D:$D,0)+COUNTIF($E144:AA144,"u")+COUNTIF($E144:AA144,"t")+COUNTIF($E144:AA144,"¶")+COUNTIF($E144:AA144,"²")+COUNTIF($E144:AA144,"µ")+COUNTIF($E144:AA144,1),ColLivraison)=AB$6,
  VLOOKUP($E144,INDIRECT("tri!"&amp; CHAR(64+ C0Col) &amp;":"&amp; CHAR(65+C0Col)),2,FALSE)&gt;COUNTIF($E144:AA144,"u")+COUNTIF($E144:AA144,"t")+COUNTIF($E144:AA144,"¶")+COUNTIF($E144:AA144,"²")+COUNTIF($E144:AA144,"µ")+COUNTIF($E144:AA144,1)),
HYPERLINK("#Roadmap!C"&amp; MATCH($E144,Roadmap!$D:$D,0)+COUNTIF($E144:AA144,"u")+COUNTIF($E144:AA144,"t"),
     INDEX(Roadmap!$D:$K,MATCH($E144,Roadmap!$D:$D,0)+COUNTIF($E144:AA144,"u")+COUNTIF($E144:AA144,"t")+COUNTIF($E144:AA144,"¶")+COUNTIF($E144:AA144,"²")+COUNTIF($E144:AA144,"µ")+COUNTIF($E144:AA144,1),ColTypeEcheance)),
  IF(LEN(AA144)=1,
  IF(LEN(INDEX(Roadmap!$D:$K,MATCH($E144,Roadmap!$D:$D,0)-1+COUNTIF($E144:AA144,"u")+COUNTIF($E144:AA144,"t")+COUNTIF($E144:AA144,"¶")+COUNTIF($E144:AA144,"²")+COUNTIF($E144:AA144,"µ")+COUNTIF($E144:AA144,1),ColDescriptionCourte))&gt;1,
HYPERLINK("#Roadmap!C"&amp; MATCH($E144,Roadmap!$D:$D,0)+COUNTIF($E144:AA144,"u")+COUNTIF($E144:AA144,"t")+COUNTIF($E144:AA144,"¶")+COUNTIF($E144:AA144,"²")+COUNTIF($E144:AA144,"µ")+COUNTIF($E144:AA144,1)-1,INDEX(Roadmap!$D:$K,MATCH($E144,Roadmap!$D:$D,0)-1+COUNTIF($E144:AA144,"u")+COUNTIF($E144:AA144,"t")+COUNTIF($E144:AA144,"¶")+COUNTIF($E144:AA144,"²")+COUNTIF($E144:AA144,"µ")+COUNTIF($E144:AA144,1),ColDescriptionCourte)),""),
  "")),"")</f>
        <v/>
      </c>
      <c r="AC144" s="40" t="str">
        <f ca="1">IFERROR(IF(AND(
  INDEX(Roadmap!$D:$K,MATCH($E144,Roadmap!$D:$D,0)+COUNTIF($E144:AB144,"u")+COUNTIF($E144:AB144,"t")+COUNTIF($E144:AB144,"¶")+COUNTIF($E144:AB144,"²")+COUNTIF($E144:AB144,"µ")+COUNTIF($E144:AB144,1),ColLivraison)=AC$6,
  VLOOKUP($E144,INDIRECT("tri!"&amp; CHAR(64+ C0Col) &amp;":"&amp; CHAR(65+C0Col)),2,FALSE)&gt;COUNTIF($E144:AB144,"u")+COUNTIF($E144:AB144,"t")+COUNTIF($E144:AB144,"¶")+COUNTIF($E144:AB144,"²")+COUNTIF($E144:AB144,"µ")+COUNTIF($E144:AB144,1)),
HYPERLINK("#Roadmap!C"&amp; MATCH($E144,Roadmap!$D:$D,0)+COUNTIF($E144:AB144,"u")+COUNTIF($E144:AB144,"t"),
     INDEX(Roadmap!$D:$K,MATCH($E144,Roadmap!$D:$D,0)+COUNTIF($E144:AB144,"u")+COUNTIF($E144:AB144,"t")+COUNTIF($E144:AB144,"¶")+COUNTIF($E144:AB144,"²")+COUNTIF($E144:AB144,"µ")+COUNTIF($E144:AB144,1),ColTypeEcheance)),
  IF(LEN(AB144)=1,
  IF(LEN(INDEX(Roadmap!$D:$K,MATCH($E144,Roadmap!$D:$D,0)-1+COUNTIF($E144:AB144,"u")+COUNTIF($E144:AB144,"t")+COUNTIF($E144:AB144,"¶")+COUNTIF($E144:AB144,"²")+COUNTIF($E144:AB144,"µ")+COUNTIF($E144:AB144,1),ColDescriptionCourte))&gt;1,
HYPERLINK("#Roadmap!C"&amp; MATCH($E144,Roadmap!$D:$D,0)+COUNTIF($E144:AB144,"u")+COUNTIF($E144:AB144,"t")+COUNTIF($E144:AB144,"¶")+COUNTIF($E144:AB144,"²")+COUNTIF($E144:AB144,"µ")+COUNTIF($E144:AB144,1)-1,INDEX(Roadmap!$D:$K,MATCH($E144,Roadmap!$D:$D,0)-1+COUNTIF($E144:AB144,"u")+COUNTIF($E144:AB144,"t")+COUNTIF($E144:AB144,"¶")+COUNTIF($E144:AB144,"²")+COUNTIF($E144:AB144,"µ")+COUNTIF($E144:AB144,1),ColDescriptionCourte)),""),
  "")),"")</f>
        <v/>
      </c>
      <c r="AD144" s="40" t="str">
        <f ca="1">IFERROR(IF(AND(
  INDEX(Roadmap!$D:$K,MATCH($E144,Roadmap!$D:$D,0)+COUNTIF($E144:AC144,"u")+COUNTIF($E144:AC144,"t")+COUNTIF($E144:AC144,"¶")+COUNTIF($E144:AC144,"²")+COUNTIF($E144:AC144,"µ")+COUNTIF($E144:AC144,1),ColLivraison)=AD$6,
  VLOOKUP($E144,INDIRECT("tri!"&amp; CHAR(64+ C0Col) &amp;":"&amp; CHAR(65+C0Col)),2,FALSE)&gt;COUNTIF($E144:AC144,"u")+COUNTIF($E144:AC144,"t")+COUNTIF($E144:AC144,"¶")+COUNTIF($E144:AC144,"²")+COUNTIF($E144:AC144,"µ")+COUNTIF($E144:AC144,1)),
HYPERLINK("#Roadmap!C"&amp; MATCH($E144,Roadmap!$D:$D,0)+COUNTIF($E144:AC144,"u")+COUNTIF($E144:AC144,"t"),
     INDEX(Roadmap!$D:$K,MATCH($E144,Roadmap!$D:$D,0)+COUNTIF($E144:AC144,"u")+COUNTIF($E144:AC144,"t")+COUNTIF($E144:AC144,"¶")+COUNTIF($E144:AC144,"²")+COUNTIF($E144:AC144,"µ")+COUNTIF($E144:AC144,1),ColTypeEcheance)),
  IF(LEN(AC144)=1,
  IF(LEN(INDEX(Roadmap!$D:$K,MATCH($E144,Roadmap!$D:$D,0)-1+COUNTIF($E144:AC144,"u")+COUNTIF($E144:AC144,"t")+COUNTIF($E144:AC144,"¶")+COUNTIF($E144:AC144,"²")+COUNTIF($E144:AC144,"µ")+COUNTIF($E144:AC144,1),ColDescriptionCourte))&gt;1,
HYPERLINK("#Roadmap!C"&amp; MATCH($E144,Roadmap!$D:$D,0)+COUNTIF($E144:AC144,"u")+COUNTIF($E144:AC144,"t")+COUNTIF($E144:AC144,"¶")+COUNTIF($E144:AC144,"²")+COUNTIF($E144:AC144,"µ")+COUNTIF($E144:AC144,1)-1,INDEX(Roadmap!$D:$K,MATCH($E144,Roadmap!$D:$D,0)-1+COUNTIF($E144:AC144,"u")+COUNTIF($E144:AC144,"t")+COUNTIF($E144:AC144,"¶")+COUNTIF($E144:AC144,"²")+COUNTIF($E144:AC144,"µ")+COUNTIF($E144:AC144,1),ColDescriptionCourte)),""),
  "")),"")</f>
        <v/>
      </c>
      <c r="AE144" s="40" t="str">
        <f ca="1">IFERROR(IF(AND(
  INDEX(Roadmap!$D:$K,MATCH($E144,Roadmap!$D:$D,0)+COUNTIF($E144:AD144,"u")+COUNTIF($E144:AD144,"t")+COUNTIF($E144:AD144,"¶")+COUNTIF($E144:AD144,"²")+COUNTIF($E144:AD144,"µ")+COUNTIF($E144:AD144,1),ColLivraison)=AE$6,
  VLOOKUP($E144,INDIRECT("tri!"&amp; CHAR(64+ C0Col) &amp;":"&amp; CHAR(65+C0Col)),2,FALSE)&gt;COUNTIF($E144:AD144,"u")+COUNTIF($E144:AD144,"t")+COUNTIF($E144:AD144,"¶")+COUNTIF($E144:AD144,"²")+COUNTIF($E144:AD144,"µ")+COUNTIF($E144:AD144,1)),
HYPERLINK("#Roadmap!C"&amp; MATCH($E144,Roadmap!$D:$D,0)+COUNTIF($E144:AD144,"u")+COUNTIF($E144:AD144,"t"),
     INDEX(Roadmap!$D:$K,MATCH($E144,Roadmap!$D:$D,0)+COUNTIF($E144:AD144,"u")+COUNTIF($E144:AD144,"t")+COUNTIF($E144:AD144,"¶")+COUNTIF($E144:AD144,"²")+COUNTIF($E144:AD144,"µ")+COUNTIF($E144:AD144,1),ColTypeEcheance)),
  IF(LEN(AD144)=1,
  IF(LEN(INDEX(Roadmap!$D:$K,MATCH($E144,Roadmap!$D:$D,0)-1+COUNTIF($E144:AD144,"u")+COUNTIF($E144:AD144,"t")+COUNTIF($E144:AD144,"¶")+COUNTIF($E144:AD144,"²")+COUNTIF($E144:AD144,"µ")+COUNTIF($E144:AD144,1),ColDescriptionCourte))&gt;1,
HYPERLINK("#Roadmap!C"&amp; MATCH($E144,Roadmap!$D:$D,0)+COUNTIF($E144:AD144,"u")+COUNTIF($E144:AD144,"t")+COUNTIF($E144:AD144,"¶")+COUNTIF($E144:AD144,"²")+COUNTIF($E144:AD144,"µ")+COUNTIF($E144:AD144,1)-1,INDEX(Roadmap!$D:$K,MATCH($E144,Roadmap!$D:$D,0)-1+COUNTIF($E144:AD144,"u")+COUNTIF($E144:AD144,"t")+COUNTIF($E144:AD144,"¶")+COUNTIF($E144:AD144,"²")+COUNTIF($E144:AD144,"µ")+COUNTIF($E144:AD144,1),ColDescriptionCourte)),""),
  "")),"")</f>
        <v/>
      </c>
      <c r="AF144" s="40" t="str">
        <f ca="1">IFERROR(IF(AND(
  INDEX(Roadmap!$D:$K,MATCH($E144,Roadmap!$D:$D,0)+COUNTIF($E144:AE144,"u")+COUNTIF($E144:AE144,"t")+COUNTIF($E144:AE144,"¶")+COUNTIF($E144:AE144,"²")+COUNTIF($E144:AE144,"µ")+COUNTIF($E144:AE144,1),ColLivraison)=AF$6,
  VLOOKUP($E144,INDIRECT("tri!"&amp; CHAR(64+ C0Col) &amp;":"&amp; CHAR(65+C0Col)),2,FALSE)&gt;COUNTIF($E144:AE144,"u")+COUNTIF($E144:AE144,"t")+COUNTIF($E144:AE144,"¶")+COUNTIF($E144:AE144,"²")+COUNTIF($E144:AE144,"µ")+COUNTIF($E144:AE144,1)),
HYPERLINK("#Roadmap!C"&amp; MATCH($E144,Roadmap!$D:$D,0)+COUNTIF($E144:AE144,"u")+COUNTIF($E144:AE144,"t"),
     INDEX(Roadmap!$D:$K,MATCH($E144,Roadmap!$D:$D,0)+COUNTIF($E144:AE144,"u")+COUNTIF($E144:AE144,"t")+COUNTIF($E144:AE144,"¶")+COUNTIF($E144:AE144,"²")+COUNTIF($E144:AE144,"µ")+COUNTIF($E144:AE144,1),ColTypeEcheance)),
  IF(LEN(AE144)=1,
  IF(LEN(INDEX(Roadmap!$D:$K,MATCH($E144,Roadmap!$D:$D,0)-1+COUNTIF($E144:AE144,"u")+COUNTIF($E144:AE144,"t")+COUNTIF($E144:AE144,"¶")+COUNTIF($E144:AE144,"²")+COUNTIF($E144:AE144,"µ")+COUNTIF($E144:AE144,1),ColDescriptionCourte))&gt;1,
HYPERLINK("#Roadmap!C"&amp; MATCH($E144,Roadmap!$D:$D,0)+COUNTIF($E144:AE144,"u")+COUNTIF($E144:AE144,"t")+COUNTIF($E144:AE144,"¶")+COUNTIF($E144:AE144,"²")+COUNTIF($E144:AE144,"µ")+COUNTIF($E144:AE144,1)-1,INDEX(Roadmap!$D:$K,MATCH($E144,Roadmap!$D:$D,0)-1+COUNTIF($E144:AE144,"u")+COUNTIF($E144:AE144,"t")+COUNTIF($E144:AE144,"¶")+COUNTIF($E144:AE144,"²")+COUNTIF($E144:AE144,"µ")+COUNTIF($E144:AE144,1),ColDescriptionCourte)),""),
  "")),"")</f>
        <v/>
      </c>
      <c r="AG144" s="40" t="str">
        <f ca="1">IFERROR(IF(AND(
  INDEX(Roadmap!$D:$K,MATCH($E144,Roadmap!$D:$D,0)+COUNTIF($E144:AF144,"u")+COUNTIF($E144:AF144,"t")+COUNTIF($E144:AF144,"¶")+COUNTIF($E144:AF144,"²")+COUNTIF($E144:AF144,"µ")+COUNTIF($E144:AF144,1),ColLivraison)=AG$6,
  VLOOKUP($E144,INDIRECT("tri!"&amp; CHAR(64+ C0Col) &amp;":"&amp; CHAR(65+C0Col)),2,FALSE)&gt;COUNTIF($E144:AF144,"u")+COUNTIF($E144:AF144,"t")+COUNTIF($E144:AF144,"¶")+COUNTIF($E144:AF144,"²")+COUNTIF($E144:AF144,"µ")+COUNTIF($E144:AF144,1)),
HYPERLINK("#Roadmap!C"&amp; MATCH($E144,Roadmap!$D:$D,0)+COUNTIF($E144:AF144,"u")+COUNTIF($E144:AF144,"t"),
     INDEX(Roadmap!$D:$K,MATCH($E144,Roadmap!$D:$D,0)+COUNTIF($E144:AF144,"u")+COUNTIF($E144:AF144,"t")+COUNTIF($E144:AF144,"¶")+COUNTIF($E144:AF144,"²")+COUNTIF($E144:AF144,"µ")+COUNTIF($E144:AF144,1),ColTypeEcheance)),
  IF(LEN(AF144)=1,
  IF(LEN(INDEX(Roadmap!$D:$K,MATCH($E144,Roadmap!$D:$D,0)-1+COUNTIF($E144:AF144,"u")+COUNTIF($E144:AF144,"t")+COUNTIF($E144:AF144,"¶")+COUNTIF($E144:AF144,"²")+COUNTIF($E144:AF144,"µ")+COUNTIF($E144:AF144,1),ColDescriptionCourte))&gt;1,
HYPERLINK("#Roadmap!C"&amp; MATCH($E144,Roadmap!$D:$D,0)+COUNTIF($E144:AF144,"u")+COUNTIF($E144:AF144,"t")+COUNTIF($E144:AF144,"¶")+COUNTIF($E144:AF144,"²")+COUNTIF($E144:AF144,"µ")+COUNTIF($E144:AF144,1)-1,INDEX(Roadmap!$D:$K,MATCH($E144,Roadmap!$D:$D,0)-1+COUNTIF($E144:AF144,"u")+COUNTIF($E144:AF144,"t")+COUNTIF($E144:AF144,"¶")+COUNTIF($E144:AF144,"²")+COUNTIF($E144:AF144,"µ")+COUNTIF($E144:AF144,1),ColDescriptionCourte)),""),
  "")),"")</f>
        <v/>
      </c>
      <c r="AH144" s="40" t="str">
        <f ca="1">IFERROR(IF(AND(
  INDEX(Roadmap!$D:$K,MATCH($E144,Roadmap!$D:$D,0)+COUNTIF($E144:AG144,"u")+COUNTIF($E144:AG144,"t")+COUNTIF($E144:AG144,1),ColLivraison)=AH$6,
  VLOOKUP($E144,INDIRECT("tri!"&amp; CHAR(64+ C0Col) &amp;":"&amp; CHAR(65+C0Col)),2,FALSE)&gt;COUNTIF($E144:AG144,"u")+COUNTIF($E144:AG144,"t")+COUNTIF($E144:AG144,1)),
HYPERLINK("#Roadmap!C"&amp; MATCH($E144,Roadmap!$D:$D,0)+COUNTIF($E144:AG144,"u")+COUNTIF($E144:AG144,"t"),
     INDEX(Roadmap!$D:$K,MATCH($E144,Roadmap!$D:$D,0)+COUNTIF($E144:AG144,"u")+COUNTIF($E144:AG144,"t")+COUNTIF($E144:AG144,1),ColTypeEcheance)),
  IF(OR(AG144="u",AG144="t",AG144=1),
  IF(LEN(INDEX(Roadmap!$D:$K,MATCH($E144,Roadmap!$D:$D,0)-1+COUNTIF($E144:AG144,"u")+COUNTIF($E144:AG144,"t")+COUNTIF($E144:AG144,1),ColDescriptionCourte))&gt;1,
HYPERLINK("#Roadmap!C"&amp; MATCH($E144,Roadmap!$D:$D,0)+COUNTIF($E144:AG144,"u")+COUNTIF($E144:AG144,"t")+COUNTIF($E144:AG144,1)-1,INDEX(Roadmap!$D:$K,MATCH($E144,Roadmap!$D:$D,0)-1+COUNTIF($E144:AG144,"u")+COUNTIF($E144:AG144,"t")+COUNTIF($E144:AG144,1),ColDescriptionCourte)),""),
  "")),"")</f>
        <v/>
      </c>
      <c r="AI144" s="40"/>
      <c r="AJ144" s="40"/>
      <c r="AK144" s="40"/>
      <c r="AL144" s="40"/>
      <c r="AM144" s="40"/>
    </row>
    <row r="145" spans="4:39" ht="14.1" customHeight="1">
      <c r="D145" s="20" t="str">
        <f t="shared" ca="1" si="31"/>
        <v/>
      </c>
      <c r="E145" s="53" t="str">
        <f t="shared" ca="1" si="32"/>
        <v/>
      </c>
      <c r="F145" s="39" t="str">
        <f ca="1">IFERROR(IF(AND(
  INDEX(Roadmap!$D:$K,MATCH($E145,Roadmap!$D:$D,0)+COUNTIF($E145:E145,"u")+COUNTIF($E145:E145,"t")+COUNTIF($E145:E145,"¶")+COUNTIF($E145:E145,"²")+COUNTIF($E145:E145,"µ")+COUNTIF($E145:E145,1),ColLivraison)=F$6,
  VLOOKUP($E145,INDIRECT("tri!"&amp; CHAR(64+ C0Col) &amp;":"&amp; CHAR(65+C0Col)),2,FALSE)&gt;COUNTIF($E145:E145,"u")+COUNTIF($E145:E145,"t")+COUNTIF($E145:E145,"¶")+COUNTIF($E145:E145,"²")+COUNTIF($E145:E145,"µ")+COUNTIF($E145:E145,1)),
HYPERLINK("#Roadmap!C"&amp; MATCH($E145,Roadmap!$D:$D,0)+COUNTIF($E145:E145,"u")+COUNTIF($E145:E145,"t"),
     INDEX(Roadmap!$D:$K,MATCH($E145,Roadmap!$D:$D,0)+COUNTIF($E145:E145,"u")+COUNTIF($E145:E145,"t")+COUNTIF($E145:E145,"¶")+COUNTIF($E145:E145,"²")+COUNTIF($E145:E145,"µ")+COUNTIF($E145:E145,1),ColTypeEcheance)),
  IF(LEN(E145)=1,
  IF(LEN(INDEX(Roadmap!$D:$K,MATCH($E145,Roadmap!$D:$D,0)-1+COUNTIF($E145:E145,"u")+COUNTIF($E145:E145,"t")+COUNTIF($E145:E145,"¶")+COUNTIF($E145:E145,"²")+COUNTIF($E145:E145,"µ")+COUNTIF($E145:E145,1),ColDescriptionCourte))&gt;1,
HYPERLINK("#Roadmap!C"&amp; MATCH($E145,Roadmap!$D:$D,0)+COUNTIF($E145:E145,"u")+COUNTIF($E145:E145,"t")+COUNTIF($E145:E145,"¶")+COUNTIF($E145:E145,"²")+COUNTIF($E145:E145,"µ")+COUNTIF($E145:E145,1)-1,INDEX(Roadmap!$D:$K,MATCH($E145,Roadmap!$D:$D,0)-1+COUNTIF($E145:E145,"u")+COUNTIF($E145:E145,"t")+COUNTIF($E145:E145,"¶")+COUNTIF($E145:E145,"²")+COUNTIF($E145:E145,"µ")+COUNTIF($E145:E145,1),ColDescriptionCourte)),""),
  "")),"")</f>
        <v/>
      </c>
      <c r="G145" s="40" t="str">
        <f ca="1">IFERROR(IF(AND(
  INDEX(Roadmap!$D:$K,MATCH($E145,Roadmap!$D:$D,0)+COUNTIF($E145:F145,"u")+COUNTIF($E145:F145,"t")+COUNTIF($E145:F145,"¶")+COUNTIF($E145:F145,"²")+COUNTIF($E145:F145,"µ")+COUNTIF($E145:F145,1),ColLivraison)=G$6,
  VLOOKUP($E145,INDIRECT("tri!"&amp; CHAR(64+ C0Col) &amp;":"&amp; CHAR(65+C0Col)),2,FALSE)&gt;COUNTIF($E145:F145,"u")+COUNTIF($E145:F145,"t")+COUNTIF($E145:F145,"¶")+COUNTIF($E145:F145,"²")+COUNTIF($E145:F145,"µ")+COUNTIF($E145:F145,1)),
HYPERLINK("#Roadmap!C"&amp; MATCH($E145,Roadmap!$D:$D,0)+COUNTIF($E145:F145,"u")+COUNTIF($E145:F145,"t"),
     INDEX(Roadmap!$D:$K,MATCH($E145,Roadmap!$D:$D,0)+COUNTIF($E145:F145,"u")+COUNTIF($E145:F145,"t")+COUNTIF($E145:F145,"¶")+COUNTIF($E145:F145,"²")+COUNTIF($E145:F145,"µ")+COUNTIF($E145:F145,1),ColTypeEcheance)),
  IF(LEN(F145)=1,
  IF(LEN(INDEX(Roadmap!$D:$K,MATCH($E145,Roadmap!$D:$D,0)-1+COUNTIF($E145:F145,"u")+COUNTIF($E145:F145,"t")+COUNTIF($E145:F145,"¶")+COUNTIF($E145:F145,"²")+COUNTIF($E145:F145,"µ")+COUNTIF($E145:F145,1),ColDescriptionCourte))&gt;1,
HYPERLINK("#Roadmap!C"&amp; MATCH($E145,Roadmap!$D:$D,0)+COUNTIF($E145:F145,"u")+COUNTIF($E145:F145,"t")+COUNTIF($E145:F145,"¶")+COUNTIF($E145:F145,"²")+COUNTIF($E145:F145,"µ")+COUNTIF($E145:F145,1)-1,INDEX(Roadmap!$D:$K,MATCH($E145,Roadmap!$D:$D,0)-1+COUNTIF($E145:F145,"u")+COUNTIF($E145:F145,"t")+COUNTIF($E145:F145,"¶")+COUNTIF($E145:F145,"²")+COUNTIF($E145:F145,"µ")+COUNTIF($E145:F145,1),ColDescriptionCourte)),""),
  "")),"")</f>
        <v/>
      </c>
      <c r="H145" s="40" t="str">
        <f ca="1">IFERROR(IF(AND(
  INDEX(Roadmap!$D:$K,MATCH($E145,Roadmap!$D:$D,0)+COUNTIF($E145:G145,"u")+COUNTIF($E145:G145,"t")+COUNTIF($E145:G145,"¶")+COUNTIF($E145:G145,"²")+COUNTIF($E145:G145,"µ")+COUNTIF($E145:G145,1),ColLivraison)=H$6,
  VLOOKUP($E145,INDIRECT("tri!"&amp; CHAR(64+ C0Col) &amp;":"&amp; CHAR(65+C0Col)),2,FALSE)&gt;COUNTIF($E145:G145,"u")+COUNTIF($E145:G145,"t")+COUNTIF($E145:G145,"¶")+COUNTIF($E145:G145,"²")+COUNTIF($E145:G145,"µ")+COUNTIF($E145:G145,1)),
HYPERLINK("#Roadmap!C"&amp; MATCH($E145,Roadmap!$D:$D,0)+COUNTIF($E145:G145,"u")+COUNTIF($E145:G145,"t"),
     INDEX(Roadmap!$D:$K,MATCH($E145,Roadmap!$D:$D,0)+COUNTIF($E145:G145,"u")+COUNTIF($E145:G145,"t")+COUNTIF($E145:G145,"¶")+COUNTIF($E145:G145,"²")+COUNTIF($E145:G145,"µ")+COUNTIF($E145:G145,1),ColTypeEcheance)),
  IF(LEN(G145)=1,
  IF(LEN(INDEX(Roadmap!$D:$K,MATCH($E145,Roadmap!$D:$D,0)-1+COUNTIF($E145:G145,"u")+COUNTIF($E145:G145,"t")+COUNTIF($E145:G145,"¶")+COUNTIF($E145:G145,"²")+COUNTIF($E145:G145,"µ")+COUNTIF($E145:G145,1),ColDescriptionCourte))&gt;1,
HYPERLINK("#Roadmap!C"&amp; MATCH($E145,Roadmap!$D:$D,0)+COUNTIF($E145:G145,"u")+COUNTIF($E145:G145,"t")+COUNTIF($E145:G145,"¶")+COUNTIF($E145:G145,"²")+COUNTIF($E145:G145,"µ")+COUNTIF($E145:G145,1)-1,INDEX(Roadmap!$D:$K,MATCH($E145,Roadmap!$D:$D,0)-1+COUNTIF($E145:G145,"u")+COUNTIF($E145:G145,"t")+COUNTIF($E145:G145,"¶")+COUNTIF($E145:G145,"²")+COUNTIF($E145:G145,"µ")+COUNTIF($E145:G145,1),ColDescriptionCourte)),""),
  "")),"")</f>
        <v/>
      </c>
      <c r="I145" s="40" t="str">
        <f ca="1">IFERROR(IF(AND(
  INDEX(Roadmap!$D:$K,MATCH($E145,Roadmap!$D:$D,0)+COUNTIF($E145:H145,"u")+COUNTIF($E145:H145,"t")+COUNTIF($E145:H145,"¶")+COUNTIF($E145:H145,"²")+COUNTIF($E145:H145,"µ")+COUNTIF($E145:H145,1),ColLivraison)=I$6,
  VLOOKUP($E145,INDIRECT("tri!"&amp; CHAR(64+ C0Col) &amp;":"&amp; CHAR(65+C0Col)),2,FALSE)&gt;COUNTIF($E145:H145,"u")+COUNTIF($E145:H145,"t")+COUNTIF($E145:H145,"¶")+COUNTIF($E145:H145,"²")+COUNTIF($E145:H145,"µ")+COUNTIF($E145:H145,1)),
HYPERLINK("#Roadmap!C"&amp; MATCH($E145,Roadmap!$D:$D,0)+COUNTIF($E145:H145,"u")+COUNTIF($E145:H145,"t"),
     INDEX(Roadmap!$D:$K,MATCH($E145,Roadmap!$D:$D,0)+COUNTIF($E145:H145,"u")+COUNTIF($E145:H145,"t")+COUNTIF($E145:H145,"¶")+COUNTIF($E145:H145,"²")+COUNTIF($E145:H145,"µ")+COUNTIF($E145:H145,1),ColTypeEcheance)),
  IF(LEN(H145)=1,
  IF(LEN(INDEX(Roadmap!$D:$K,MATCH($E145,Roadmap!$D:$D,0)-1+COUNTIF($E145:H145,"u")+COUNTIF($E145:H145,"t")+COUNTIF($E145:H145,"¶")+COUNTIF($E145:H145,"²")+COUNTIF($E145:H145,"µ")+COUNTIF($E145:H145,1),ColDescriptionCourte))&gt;1,
HYPERLINK("#Roadmap!C"&amp; MATCH($E145,Roadmap!$D:$D,0)+COUNTIF($E145:H145,"u")+COUNTIF($E145:H145,"t")+COUNTIF($E145:H145,"¶")+COUNTIF($E145:H145,"²")+COUNTIF($E145:H145,"µ")+COUNTIF($E145:H145,1)-1,INDEX(Roadmap!$D:$K,MATCH($E145,Roadmap!$D:$D,0)-1+COUNTIF($E145:H145,"u")+COUNTIF($E145:H145,"t")+COUNTIF($E145:H145,"¶")+COUNTIF($E145:H145,"²")+COUNTIF($E145:H145,"µ")+COUNTIF($E145:H145,1),ColDescriptionCourte)),""),
  "")),"")</f>
        <v/>
      </c>
      <c r="J145" s="40" t="str">
        <f ca="1">IFERROR(IF(AND(
  INDEX(Roadmap!$D:$K,MATCH($E145,Roadmap!$D:$D,0)+COUNTIF($E145:I145,"u")+COUNTIF($E145:I145,"t")+COUNTIF($E145:I145,"¶")+COUNTIF($E145:I145,"²")+COUNTIF($E145:I145,"µ")+COUNTIF($E145:I145,1),ColLivraison)=J$6,
  VLOOKUP($E145,INDIRECT("tri!"&amp; CHAR(64+ C0Col) &amp;":"&amp; CHAR(65+C0Col)),2,FALSE)&gt;COUNTIF($E145:I145,"u")+COUNTIF($E145:I145,"t")+COUNTIF($E145:I145,"¶")+COUNTIF($E145:I145,"²")+COUNTIF($E145:I145,"µ")+COUNTIF($E145:I145,1)),
HYPERLINK("#Roadmap!C"&amp; MATCH($E145,Roadmap!$D:$D,0)+COUNTIF($E145:I145,"u")+COUNTIF($E145:I145,"t"),
     INDEX(Roadmap!$D:$K,MATCH($E145,Roadmap!$D:$D,0)+COUNTIF($E145:I145,"u")+COUNTIF($E145:I145,"t")+COUNTIF($E145:I145,"¶")+COUNTIF($E145:I145,"²")+COUNTIF($E145:I145,"µ")+COUNTIF($E145:I145,1),ColTypeEcheance)),
  IF(LEN(I145)=1,
  IF(LEN(INDEX(Roadmap!$D:$K,MATCH($E145,Roadmap!$D:$D,0)-1+COUNTIF($E145:I145,"u")+COUNTIF($E145:I145,"t")+COUNTIF($E145:I145,"¶")+COUNTIF($E145:I145,"²")+COUNTIF($E145:I145,"µ")+COUNTIF($E145:I145,1),ColDescriptionCourte))&gt;1,
HYPERLINK("#Roadmap!C"&amp; MATCH($E145,Roadmap!$D:$D,0)+COUNTIF($E145:I145,"u")+COUNTIF($E145:I145,"t")+COUNTIF($E145:I145,"¶")+COUNTIF($E145:I145,"²")+COUNTIF($E145:I145,"µ")+COUNTIF($E145:I145,1)-1,INDEX(Roadmap!$D:$K,MATCH($E145,Roadmap!$D:$D,0)-1+COUNTIF($E145:I145,"u")+COUNTIF($E145:I145,"t")+COUNTIF($E145:I145,"¶")+COUNTIF($E145:I145,"²")+COUNTIF($E145:I145,"µ")+COUNTIF($E145:I145,1),ColDescriptionCourte)),""),
  "")),"")</f>
        <v/>
      </c>
      <c r="K145" s="40" t="str">
        <f ca="1">IFERROR(IF(AND(
  INDEX(Roadmap!$D:$K,MATCH($E145,Roadmap!$D:$D,0)+COUNTIF($E145:J145,"u")+COUNTIF($E145:J145,"t")+COUNTIF($E145:J145,"¶")+COUNTIF($E145:J145,"²")+COUNTIF($E145:J145,"µ")+COUNTIF($E145:J145,1),ColLivraison)=K$6,
  VLOOKUP($E145,INDIRECT("tri!"&amp; CHAR(64+ C0Col) &amp;":"&amp; CHAR(65+C0Col)),2,FALSE)&gt;COUNTIF($E145:J145,"u")+COUNTIF($E145:J145,"t")+COUNTIF($E145:J145,"¶")+COUNTIF($E145:J145,"²")+COUNTIF($E145:J145,"µ")+COUNTIF($E145:J145,1)),
HYPERLINK("#Roadmap!C"&amp; MATCH($E145,Roadmap!$D:$D,0)+COUNTIF($E145:J145,"u")+COUNTIF($E145:J145,"t"),
     INDEX(Roadmap!$D:$K,MATCH($E145,Roadmap!$D:$D,0)+COUNTIF($E145:J145,"u")+COUNTIF($E145:J145,"t")+COUNTIF($E145:J145,"¶")+COUNTIF($E145:J145,"²")+COUNTIF($E145:J145,"µ")+COUNTIF($E145:J145,1),ColTypeEcheance)),
  IF(LEN(J145)=1,
  IF(LEN(INDEX(Roadmap!$D:$K,MATCH($E145,Roadmap!$D:$D,0)-1+COUNTIF($E145:J145,"u")+COUNTIF($E145:J145,"t")+COUNTIF($E145:J145,"¶")+COUNTIF($E145:J145,"²")+COUNTIF($E145:J145,"µ")+COUNTIF($E145:J145,1),ColDescriptionCourte))&gt;1,
HYPERLINK("#Roadmap!C"&amp; MATCH($E145,Roadmap!$D:$D,0)+COUNTIF($E145:J145,"u")+COUNTIF($E145:J145,"t")+COUNTIF($E145:J145,"¶")+COUNTIF($E145:J145,"²")+COUNTIF($E145:J145,"µ")+COUNTIF($E145:J145,1)-1,INDEX(Roadmap!$D:$K,MATCH($E145,Roadmap!$D:$D,0)-1+COUNTIF($E145:J145,"u")+COUNTIF($E145:J145,"t")+COUNTIF($E145:J145,"¶")+COUNTIF($E145:J145,"²")+COUNTIF($E145:J145,"µ")+COUNTIF($E145:J145,1),ColDescriptionCourte)),""),
  "")),"")</f>
        <v/>
      </c>
      <c r="L145" s="39" t="str">
        <f ca="1">IFERROR(IF(AND(
  INDEX(Roadmap!$D:$K,MATCH($E145,Roadmap!$D:$D,0)+COUNTIF($E145:K145,"u")+COUNTIF($E145:K145,"t")+COUNTIF($E145:K145,"¶")+COUNTIF($E145:K145,"²")+COUNTIF($E145:K145,"µ")+COUNTIF($E145:K145,1),ColLivraison)=L$6,
  VLOOKUP($E145,INDIRECT("tri!"&amp; CHAR(64+ C0Col) &amp;":"&amp; CHAR(65+C0Col)),2,FALSE)&gt;COUNTIF($E145:K145,"u")+COUNTIF($E145:K145,"t")+COUNTIF($E145:K145,"¶")+COUNTIF($E145:K145,"²")+COUNTIF($E145:K145,"µ")+COUNTIF($E145:K145,1)),
HYPERLINK("#Roadmap!C"&amp; MATCH($E145,Roadmap!$D:$D,0)+COUNTIF($E145:K145,"u")+COUNTIF($E145:K145,"t"),
     INDEX(Roadmap!$D:$K,MATCH($E145,Roadmap!$D:$D,0)+COUNTIF($E145:K145,"u")+COUNTIF($E145:K145,"t")+COUNTIF($E145:K145,"¶")+COUNTIF($E145:K145,"²")+COUNTIF($E145:K145,"µ")+COUNTIF($E145:K145,1),ColTypeEcheance)),
  IF(LEN(K145)=1,
  IF(LEN(INDEX(Roadmap!$D:$K,MATCH($E145,Roadmap!$D:$D,0)-1+COUNTIF($E145:K145,"u")+COUNTIF($E145:K145,"t")+COUNTIF($E145:K145,"¶")+COUNTIF($E145:K145,"²")+COUNTIF($E145:K145,"µ")+COUNTIF($E145:K145,1),ColDescriptionCourte))&gt;1,
HYPERLINK("#Roadmap!C"&amp; MATCH($E145,Roadmap!$D:$D,0)+COUNTIF($E145:K145,"u")+COUNTIF($E145:K145,"t")+COUNTIF($E145:K145,"¶")+COUNTIF($E145:K145,"²")+COUNTIF($E145:K145,"µ")+COUNTIF($E145:K145,1)-1,INDEX(Roadmap!$D:$K,MATCH($E145,Roadmap!$D:$D,0)-1+COUNTIF($E145:K145,"u")+COUNTIF($E145:K145,"t")+COUNTIF($E145:K145,"¶")+COUNTIF($E145:K145,"²")+COUNTIF($E145:K145,"µ")+COUNTIF($E145:K145,1),ColDescriptionCourte)),""),
  "")),"")</f>
        <v/>
      </c>
      <c r="M145" s="40" t="str">
        <f ca="1">IFERROR(IF(AND(
  INDEX(Roadmap!$D:$K,MATCH($E145,Roadmap!$D:$D,0)+COUNTIF($E145:L145,"u")+COUNTIF($E145:L145,"t")+COUNTIF($E145:L145,"¶")+COUNTIF($E145:L145,"²")+COUNTIF($E145:L145,"µ")+COUNTIF($E145:L145,1),ColLivraison)=M$6,
  VLOOKUP($E145,INDIRECT("tri!"&amp; CHAR(64+ C0Col) &amp;":"&amp; CHAR(65+C0Col)),2,FALSE)&gt;COUNTIF($E145:L145,"u")+COUNTIF($E145:L145,"t")+COUNTIF($E145:L145,"¶")+COUNTIF($E145:L145,"²")+COUNTIF($E145:L145,"µ")+COUNTIF($E145:L145,1)),
HYPERLINK("#Roadmap!C"&amp; MATCH($E145,Roadmap!$D:$D,0)+COUNTIF($E145:L145,"u")+COUNTIF($E145:L145,"t"),
     INDEX(Roadmap!$D:$K,MATCH($E145,Roadmap!$D:$D,0)+COUNTIF($E145:L145,"u")+COUNTIF($E145:L145,"t")+COUNTIF($E145:L145,"¶")+COUNTIF($E145:L145,"²")+COUNTIF($E145:L145,"µ")+COUNTIF($E145:L145,1),ColTypeEcheance)),
  IF(LEN(L145)=1,
  IF(LEN(INDEX(Roadmap!$D:$K,MATCH($E145,Roadmap!$D:$D,0)-1+COUNTIF($E145:L145,"u")+COUNTIF($E145:L145,"t")+COUNTIF($E145:L145,"¶")+COUNTIF($E145:L145,"²")+COUNTIF($E145:L145,"µ")+COUNTIF($E145:L145,1),ColDescriptionCourte))&gt;1,
HYPERLINK("#Roadmap!C"&amp; MATCH($E145,Roadmap!$D:$D,0)+COUNTIF($E145:L145,"u")+COUNTIF($E145:L145,"t")+COUNTIF($E145:L145,"¶")+COUNTIF($E145:L145,"²")+COUNTIF($E145:L145,"µ")+COUNTIF($E145:L145,1)-1,INDEX(Roadmap!$D:$K,MATCH($E145,Roadmap!$D:$D,0)-1+COUNTIF($E145:L145,"u")+COUNTIF($E145:L145,"t")+COUNTIF($E145:L145,"¶")+COUNTIF($E145:L145,"²")+COUNTIF($E145:L145,"µ")+COUNTIF($E145:L145,1),ColDescriptionCourte)),""),
  "")),"")</f>
        <v/>
      </c>
      <c r="N145" s="40" t="str">
        <f ca="1">IFERROR(IF(AND(
  INDEX(Roadmap!$D:$K,MATCH($E145,Roadmap!$D:$D,0)+COUNTIF($E145:M145,"u")+COUNTIF($E145:M145,"t")+COUNTIF($E145:M145,"¶")+COUNTIF($E145:M145,"²")+COUNTIF($E145:M145,"µ")+COUNTIF($E145:M145,1),ColLivraison)=N$6,
  VLOOKUP($E145,INDIRECT("tri!"&amp; CHAR(64+ C0Col) &amp;":"&amp; CHAR(65+C0Col)),2,FALSE)&gt;COUNTIF($E145:M145,"u")+COUNTIF($E145:M145,"t")+COUNTIF($E145:M145,"¶")+COUNTIF($E145:M145,"²")+COUNTIF($E145:M145,"µ")+COUNTIF($E145:M145,1)),
HYPERLINK("#Roadmap!C"&amp; MATCH($E145,Roadmap!$D:$D,0)+COUNTIF($E145:M145,"u")+COUNTIF($E145:M145,"t"),
     INDEX(Roadmap!$D:$K,MATCH($E145,Roadmap!$D:$D,0)+COUNTIF($E145:M145,"u")+COUNTIF($E145:M145,"t")+COUNTIF($E145:M145,"¶")+COUNTIF($E145:M145,"²")+COUNTIF($E145:M145,"µ")+COUNTIF($E145:M145,1),ColTypeEcheance)),
  IF(LEN(M145)=1,
  IF(LEN(INDEX(Roadmap!$D:$K,MATCH($E145,Roadmap!$D:$D,0)-1+COUNTIF($E145:M145,"u")+COUNTIF($E145:M145,"t")+COUNTIF($E145:M145,"¶")+COUNTIF($E145:M145,"²")+COUNTIF($E145:M145,"µ")+COUNTIF($E145:M145,1),ColDescriptionCourte))&gt;1,
HYPERLINK("#Roadmap!C"&amp; MATCH($E145,Roadmap!$D:$D,0)+COUNTIF($E145:M145,"u")+COUNTIF($E145:M145,"t")+COUNTIF($E145:M145,"¶")+COUNTIF($E145:M145,"²")+COUNTIF($E145:M145,"µ")+COUNTIF($E145:M145,1)-1,INDEX(Roadmap!$D:$K,MATCH($E145,Roadmap!$D:$D,0)-1+COUNTIF($E145:M145,"u")+COUNTIF($E145:M145,"t")+COUNTIF($E145:M145,"¶")+COUNTIF($E145:M145,"²")+COUNTIF($E145:M145,"µ")+COUNTIF($E145:M145,1),ColDescriptionCourte)),""),
  "")),"")</f>
        <v/>
      </c>
      <c r="O145" s="40" t="str">
        <f ca="1">IFERROR(IF(AND(
  INDEX(Roadmap!$D:$K,MATCH($E145,Roadmap!$D:$D,0)+COUNTIF($E145:N145,"u")+COUNTIF($E145:N145,"t")+COUNTIF($E145:N145,"¶")+COUNTIF($E145:N145,"²")+COUNTIF($E145:N145,"µ")+COUNTIF($E145:N145,1),ColLivraison)=O$6,
  VLOOKUP($E145,INDIRECT("tri!"&amp; CHAR(64+ C0Col) &amp;":"&amp; CHAR(65+C0Col)),2,FALSE)&gt;COUNTIF($E145:N145,"u")+COUNTIF($E145:N145,"t")+COUNTIF($E145:N145,"¶")+COUNTIF($E145:N145,"²")+COUNTIF($E145:N145,"µ")+COUNTIF($E145:N145,1)),
HYPERLINK("#Roadmap!C"&amp; MATCH($E145,Roadmap!$D:$D,0)+COUNTIF($E145:N145,"u")+COUNTIF($E145:N145,"t"),
     INDEX(Roadmap!$D:$K,MATCH($E145,Roadmap!$D:$D,0)+COUNTIF($E145:N145,"u")+COUNTIF($E145:N145,"t")+COUNTIF($E145:N145,"¶")+COUNTIF($E145:N145,"²")+COUNTIF($E145:N145,"µ")+COUNTIF($E145:N145,1),ColTypeEcheance)),
  IF(LEN(N145)=1,
  IF(LEN(INDEX(Roadmap!$D:$K,MATCH($E145,Roadmap!$D:$D,0)-1+COUNTIF($E145:N145,"u")+COUNTIF($E145:N145,"t")+COUNTIF($E145:N145,"¶")+COUNTIF($E145:N145,"²")+COUNTIF($E145:N145,"µ")+COUNTIF($E145:N145,1),ColDescriptionCourte))&gt;1,
HYPERLINK("#Roadmap!C"&amp; MATCH($E145,Roadmap!$D:$D,0)+COUNTIF($E145:N145,"u")+COUNTIF($E145:N145,"t")+COUNTIF($E145:N145,"¶")+COUNTIF($E145:N145,"²")+COUNTIF($E145:N145,"µ")+COUNTIF($E145:N145,1)-1,INDEX(Roadmap!$D:$K,MATCH($E145,Roadmap!$D:$D,0)-1+COUNTIF($E145:N145,"u")+COUNTIF($E145:N145,"t")+COUNTIF($E145:N145,"¶")+COUNTIF($E145:N145,"²")+COUNTIF($E145:N145,"µ")+COUNTIF($E145:N145,1),ColDescriptionCourte)),""),
  "")),"")</f>
        <v/>
      </c>
      <c r="P145" s="40" t="str">
        <f ca="1">IFERROR(IF(AND(
  INDEX(Roadmap!$D:$K,MATCH($E145,Roadmap!$D:$D,0)+COUNTIF($E145:O145,"u")+COUNTIF($E145:O145,"t")+COUNTIF($E145:O145,"¶")+COUNTIF($E145:O145,"²")+COUNTIF($E145:O145,"µ")+COUNTIF($E145:O145,1),ColLivraison)=P$6,
  VLOOKUP($E145,INDIRECT("tri!"&amp; CHAR(64+ C0Col) &amp;":"&amp; CHAR(65+C0Col)),2,FALSE)&gt;COUNTIF($E145:O145,"u")+COUNTIF($E145:O145,"t")+COUNTIF($E145:O145,"¶")+COUNTIF($E145:O145,"²")+COUNTIF($E145:O145,"µ")+COUNTIF($E145:O145,1)),
HYPERLINK("#Roadmap!C"&amp; MATCH($E145,Roadmap!$D:$D,0)+COUNTIF($E145:O145,"u")+COUNTIF($E145:O145,"t"),
     INDEX(Roadmap!$D:$K,MATCH($E145,Roadmap!$D:$D,0)+COUNTIF($E145:O145,"u")+COUNTIF($E145:O145,"t")+COUNTIF($E145:O145,"¶")+COUNTIF($E145:O145,"²")+COUNTIF($E145:O145,"µ")+COUNTIF($E145:O145,1),ColTypeEcheance)),
  IF(LEN(O145)=1,
  IF(LEN(INDEX(Roadmap!$D:$K,MATCH($E145,Roadmap!$D:$D,0)-1+COUNTIF($E145:O145,"u")+COUNTIF($E145:O145,"t")+COUNTIF($E145:O145,"¶")+COUNTIF($E145:O145,"²")+COUNTIF($E145:O145,"µ")+COUNTIF($E145:O145,1),ColDescriptionCourte))&gt;1,
HYPERLINK("#Roadmap!C"&amp; MATCH($E145,Roadmap!$D:$D,0)+COUNTIF($E145:O145,"u")+COUNTIF($E145:O145,"t")+COUNTIF($E145:O145,"¶")+COUNTIF($E145:O145,"²")+COUNTIF($E145:O145,"µ")+COUNTIF($E145:O145,1)-1,INDEX(Roadmap!$D:$K,MATCH($E145,Roadmap!$D:$D,0)-1+COUNTIF($E145:O145,"u")+COUNTIF($E145:O145,"t")+COUNTIF($E145:O145,"¶")+COUNTIF($E145:O145,"²")+COUNTIF($E145:O145,"µ")+COUNTIF($E145:O145,1),ColDescriptionCourte)),""),
  "")),"")</f>
        <v/>
      </c>
      <c r="Q145" s="40" t="str">
        <f ca="1">IFERROR(IF(AND(
  INDEX(Roadmap!$D:$K,MATCH($E145,Roadmap!$D:$D,0)+COUNTIF($E145:P145,"u")+COUNTIF($E145:P145,"t")+COUNTIF($E145:P145,"¶")+COUNTIF($E145:P145,"²")+COUNTIF($E145:P145,"µ")+COUNTIF($E145:P145,1),ColLivraison)=Q$6,
  VLOOKUP($E145,INDIRECT("tri!"&amp; CHAR(64+ C0Col) &amp;":"&amp; CHAR(65+C0Col)),2,FALSE)&gt;COUNTIF($E145:P145,"u")+COUNTIF($E145:P145,"t")+COUNTIF($E145:P145,"¶")+COUNTIF($E145:P145,"²")+COUNTIF($E145:P145,"µ")+COUNTIF($E145:P145,1)),
HYPERLINK("#Roadmap!C"&amp; MATCH($E145,Roadmap!$D:$D,0)+COUNTIF($E145:P145,"u")+COUNTIF($E145:P145,"t"),
     INDEX(Roadmap!$D:$K,MATCH($E145,Roadmap!$D:$D,0)+COUNTIF($E145:P145,"u")+COUNTIF($E145:P145,"t")+COUNTIF($E145:P145,"¶")+COUNTIF($E145:P145,"²")+COUNTIF($E145:P145,"µ")+COUNTIF($E145:P145,1),ColTypeEcheance)),
  IF(LEN(P145)=1,
  IF(LEN(INDEX(Roadmap!$D:$K,MATCH($E145,Roadmap!$D:$D,0)-1+COUNTIF($E145:P145,"u")+COUNTIF($E145:P145,"t")+COUNTIF($E145:P145,"¶")+COUNTIF($E145:P145,"²")+COUNTIF($E145:P145,"µ")+COUNTIF($E145:P145,1),ColDescriptionCourte))&gt;1,
HYPERLINK("#Roadmap!C"&amp; MATCH($E145,Roadmap!$D:$D,0)+COUNTIF($E145:P145,"u")+COUNTIF($E145:P145,"t")+COUNTIF($E145:P145,"¶")+COUNTIF($E145:P145,"²")+COUNTIF($E145:P145,"µ")+COUNTIF($E145:P145,1)-1,INDEX(Roadmap!$D:$K,MATCH($E145,Roadmap!$D:$D,0)-1+COUNTIF($E145:P145,"u")+COUNTIF($E145:P145,"t")+COUNTIF($E145:P145,"¶")+COUNTIF($E145:P145,"²")+COUNTIF($E145:P145,"µ")+COUNTIF($E145:P145,1),ColDescriptionCourte)),""),
  "")),"")</f>
        <v/>
      </c>
      <c r="R145" s="40" t="str">
        <f ca="1">IFERROR(IF(AND(
  INDEX(Roadmap!$D:$K,MATCH($E145,Roadmap!$D:$D,0)+COUNTIF($E145:Q145,"u")+COUNTIF($E145:Q145,"t")+COUNTIF($E145:Q145,"¶")+COUNTIF($E145:Q145,"²")+COUNTIF($E145:Q145,"µ")+COUNTIF($E145:Q145,1),ColLivraison)=R$6,
  VLOOKUP($E145,INDIRECT("tri!"&amp; CHAR(64+ C0Col) &amp;":"&amp; CHAR(65+C0Col)),2,FALSE)&gt;COUNTIF($E145:Q145,"u")+COUNTIF($E145:Q145,"t")+COUNTIF($E145:Q145,"¶")+COUNTIF($E145:Q145,"²")+COUNTIF($E145:Q145,"µ")+COUNTIF($E145:Q145,1)),
HYPERLINK("#Roadmap!C"&amp; MATCH($E145,Roadmap!$D:$D,0)+COUNTIF($E145:Q145,"u")+COUNTIF($E145:Q145,"t"),
     INDEX(Roadmap!$D:$K,MATCH($E145,Roadmap!$D:$D,0)+COUNTIF($E145:Q145,"u")+COUNTIF($E145:Q145,"t")+COUNTIF($E145:Q145,"¶")+COUNTIF($E145:Q145,"²")+COUNTIF($E145:Q145,"µ")+COUNTIF($E145:Q145,1),ColTypeEcheance)),
  IF(LEN(Q145)=1,
  IF(LEN(INDEX(Roadmap!$D:$K,MATCH($E145,Roadmap!$D:$D,0)-1+COUNTIF($E145:Q145,"u")+COUNTIF($E145:Q145,"t")+COUNTIF($E145:Q145,"¶")+COUNTIF($E145:Q145,"²")+COUNTIF($E145:Q145,"µ")+COUNTIF($E145:Q145,1),ColDescriptionCourte))&gt;1,
HYPERLINK("#Roadmap!C"&amp; MATCH($E145,Roadmap!$D:$D,0)+COUNTIF($E145:Q145,"u")+COUNTIF($E145:Q145,"t")+COUNTIF($E145:Q145,"¶")+COUNTIF($E145:Q145,"²")+COUNTIF($E145:Q145,"µ")+COUNTIF($E145:Q145,1)-1,INDEX(Roadmap!$D:$K,MATCH($E145,Roadmap!$D:$D,0)-1+COUNTIF($E145:Q145,"u")+COUNTIF($E145:Q145,"t")+COUNTIF($E145:Q145,"¶")+COUNTIF($E145:Q145,"²")+COUNTIF($E145:Q145,"µ")+COUNTIF($E145:Q145,1),ColDescriptionCourte)),""),
  "")),"")</f>
        <v/>
      </c>
      <c r="S145" s="40" t="str">
        <f ca="1">IFERROR(IF(AND(
  INDEX(Roadmap!$D:$K,MATCH($E145,Roadmap!$D:$D,0)+COUNTIF($E145:R145,"u")+COUNTIF($E145:R145,"t")+COUNTIF($E145:R145,"¶")+COUNTIF($E145:R145,"²")+COUNTIF($E145:R145,"µ")+COUNTIF($E145:R145,1),ColLivraison)=S$6,
  VLOOKUP($E145,INDIRECT("tri!"&amp; CHAR(64+ C0Col) &amp;":"&amp; CHAR(65+C0Col)),2,FALSE)&gt;COUNTIF($E145:R145,"u")+COUNTIF($E145:R145,"t")+COUNTIF($E145:R145,"¶")+COUNTIF($E145:R145,"²")+COUNTIF($E145:R145,"µ")+COUNTIF($E145:R145,1)),
HYPERLINK("#Roadmap!C"&amp; MATCH($E145,Roadmap!$D:$D,0)+COUNTIF($E145:R145,"u")+COUNTIF($E145:R145,"t"),
     INDEX(Roadmap!$D:$K,MATCH($E145,Roadmap!$D:$D,0)+COUNTIF($E145:R145,"u")+COUNTIF($E145:R145,"t")+COUNTIF($E145:R145,"¶")+COUNTIF($E145:R145,"²")+COUNTIF($E145:R145,"µ")+COUNTIF($E145:R145,1),ColTypeEcheance)),
  IF(LEN(R145)=1,
  IF(LEN(INDEX(Roadmap!$D:$K,MATCH($E145,Roadmap!$D:$D,0)-1+COUNTIF($E145:R145,"u")+COUNTIF($E145:R145,"t")+COUNTIF($E145:R145,"¶")+COUNTIF($E145:R145,"²")+COUNTIF($E145:R145,"µ")+COUNTIF($E145:R145,1),ColDescriptionCourte))&gt;1,
HYPERLINK("#Roadmap!C"&amp; MATCH($E145,Roadmap!$D:$D,0)+COUNTIF($E145:R145,"u")+COUNTIF($E145:R145,"t")+COUNTIF($E145:R145,"¶")+COUNTIF($E145:R145,"²")+COUNTIF($E145:R145,"µ")+COUNTIF($E145:R145,1)-1,INDEX(Roadmap!$D:$K,MATCH($E145,Roadmap!$D:$D,0)-1+COUNTIF($E145:R145,"u")+COUNTIF($E145:R145,"t")+COUNTIF($E145:R145,"¶")+COUNTIF($E145:R145,"²")+COUNTIF($E145:R145,"µ")+COUNTIF($E145:R145,1),ColDescriptionCourte)),""),
  "")),"")</f>
        <v/>
      </c>
      <c r="T145" s="40" t="str">
        <f ca="1">IFERROR(IF(AND(
  INDEX(Roadmap!$D:$K,MATCH($E145,Roadmap!$D:$D,0)+COUNTIF($E145:S145,"u")+COUNTIF($E145:S145,"t")+COUNTIF($E145:S145,"¶")+COUNTIF($E145:S145,"²")+COUNTIF($E145:S145,"µ")+COUNTIF($E145:S145,1),ColLivraison)=T$6,
  VLOOKUP($E145,INDIRECT("tri!"&amp; CHAR(64+ C0Col) &amp;":"&amp; CHAR(65+C0Col)),2,FALSE)&gt;COUNTIF($E145:S145,"u")+COUNTIF($E145:S145,"t")+COUNTIF($E145:S145,"¶")+COUNTIF($E145:S145,"²")+COUNTIF($E145:S145,"µ")+COUNTIF($E145:S145,1)),
HYPERLINK("#Roadmap!C"&amp; MATCH($E145,Roadmap!$D:$D,0)+COUNTIF($E145:S145,"u")+COUNTIF($E145:S145,"t"),
     INDEX(Roadmap!$D:$K,MATCH($E145,Roadmap!$D:$D,0)+COUNTIF($E145:S145,"u")+COUNTIF($E145:S145,"t")+COUNTIF($E145:S145,"¶")+COUNTIF($E145:S145,"²")+COUNTIF($E145:S145,"µ")+COUNTIF($E145:S145,1),ColTypeEcheance)),
  IF(LEN(S145)=1,
  IF(LEN(INDEX(Roadmap!$D:$K,MATCH($E145,Roadmap!$D:$D,0)-1+COUNTIF($E145:S145,"u")+COUNTIF($E145:S145,"t")+COUNTIF($E145:S145,"¶")+COUNTIF($E145:S145,"²")+COUNTIF($E145:S145,"µ")+COUNTIF($E145:S145,1),ColDescriptionCourte))&gt;1,
HYPERLINK("#Roadmap!C"&amp; MATCH($E145,Roadmap!$D:$D,0)+COUNTIF($E145:S145,"u")+COUNTIF($E145:S145,"t")+COUNTIF($E145:S145,"¶")+COUNTIF($E145:S145,"²")+COUNTIF($E145:S145,"µ")+COUNTIF($E145:S145,1)-1,INDEX(Roadmap!$D:$K,MATCH($E145,Roadmap!$D:$D,0)-1+COUNTIF($E145:S145,"u")+COUNTIF($E145:S145,"t")+COUNTIF($E145:S145,"¶")+COUNTIF($E145:S145,"²")+COUNTIF($E145:S145,"µ")+COUNTIF($E145:S145,1),ColDescriptionCourte)),""),
  "")),"")</f>
        <v/>
      </c>
      <c r="U145" s="40" t="str">
        <f ca="1">IFERROR(IF(AND(
  INDEX(Roadmap!$D:$K,MATCH($E145,Roadmap!$D:$D,0)+COUNTIF($E145:T145,"u")+COUNTIF($E145:T145,"t")+COUNTIF($E145:T145,"¶")+COUNTIF($E145:T145,"²")+COUNTIF($E145:T145,"µ")+COUNTIF($E145:T145,1),ColLivraison)=U$6,
  VLOOKUP($E145,INDIRECT("tri!"&amp; CHAR(64+ C0Col) &amp;":"&amp; CHAR(65+C0Col)),2,FALSE)&gt;COUNTIF($E145:T145,"u")+COUNTIF($E145:T145,"t")+COUNTIF($E145:T145,"¶")+COUNTIF($E145:T145,"²")+COUNTIF($E145:T145,"µ")+COUNTIF($E145:T145,1)),
HYPERLINK("#Roadmap!C"&amp; MATCH($E145,Roadmap!$D:$D,0)+COUNTIF($E145:T145,"u")+COUNTIF($E145:T145,"t"),
     INDEX(Roadmap!$D:$K,MATCH($E145,Roadmap!$D:$D,0)+COUNTIF($E145:T145,"u")+COUNTIF($E145:T145,"t")+COUNTIF($E145:T145,"¶")+COUNTIF($E145:T145,"²")+COUNTIF($E145:T145,"µ")+COUNTIF($E145:T145,1),ColTypeEcheance)),
  IF(LEN(T145)=1,
  IF(LEN(INDEX(Roadmap!$D:$K,MATCH($E145,Roadmap!$D:$D,0)-1+COUNTIF($E145:T145,"u")+COUNTIF($E145:T145,"t")+COUNTIF($E145:T145,"¶")+COUNTIF($E145:T145,"²")+COUNTIF($E145:T145,"µ")+COUNTIF($E145:T145,1),ColDescriptionCourte))&gt;1,
HYPERLINK("#Roadmap!C"&amp; MATCH($E145,Roadmap!$D:$D,0)+COUNTIF($E145:T145,"u")+COUNTIF($E145:T145,"t")+COUNTIF($E145:T145,"¶")+COUNTIF($E145:T145,"²")+COUNTIF($E145:T145,"µ")+COUNTIF($E145:T145,1)-1,INDEX(Roadmap!$D:$K,MATCH($E145,Roadmap!$D:$D,0)-1+COUNTIF($E145:T145,"u")+COUNTIF($E145:T145,"t")+COUNTIF($E145:T145,"¶")+COUNTIF($E145:T145,"²")+COUNTIF($E145:T145,"µ")+COUNTIF($E145:T145,1),ColDescriptionCourte)),""),
  "")),"")</f>
        <v/>
      </c>
      <c r="V145" s="40" t="str">
        <f ca="1">IFERROR(IF(AND(
  INDEX(Roadmap!$D:$K,MATCH($E145,Roadmap!$D:$D,0)+COUNTIF($E145:U145,"u")+COUNTIF($E145:U145,"t")+COUNTIF($E145:U145,"¶")+COUNTIF($E145:U145,"²")+COUNTIF($E145:U145,"µ")+COUNTIF($E145:U145,1),ColLivraison)=V$6,
  VLOOKUP($E145,INDIRECT("tri!"&amp; CHAR(64+ C0Col) &amp;":"&amp; CHAR(65+C0Col)),2,FALSE)&gt;COUNTIF($E145:U145,"u")+COUNTIF($E145:U145,"t")+COUNTIF($E145:U145,"¶")+COUNTIF($E145:U145,"²")+COUNTIF($E145:U145,"µ")+COUNTIF($E145:U145,1)),
HYPERLINK("#Roadmap!C"&amp; MATCH($E145,Roadmap!$D:$D,0)+COUNTIF($E145:U145,"u")+COUNTIF($E145:U145,"t"),
     INDEX(Roadmap!$D:$K,MATCH($E145,Roadmap!$D:$D,0)+COUNTIF($E145:U145,"u")+COUNTIF($E145:U145,"t")+COUNTIF($E145:U145,"¶")+COUNTIF($E145:U145,"²")+COUNTIF($E145:U145,"µ")+COUNTIF($E145:U145,1),ColTypeEcheance)),
  IF(LEN(U145)=1,
  IF(LEN(INDEX(Roadmap!$D:$K,MATCH($E145,Roadmap!$D:$D,0)-1+COUNTIF($E145:U145,"u")+COUNTIF($E145:U145,"t")+COUNTIF($E145:U145,"¶")+COUNTIF($E145:U145,"²")+COUNTIF($E145:U145,"µ")+COUNTIF($E145:U145,1),ColDescriptionCourte))&gt;1,
HYPERLINK("#Roadmap!C"&amp; MATCH($E145,Roadmap!$D:$D,0)+COUNTIF($E145:U145,"u")+COUNTIF($E145:U145,"t")+COUNTIF($E145:U145,"¶")+COUNTIF($E145:U145,"²")+COUNTIF($E145:U145,"µ")+COUNTIF($E145:U145,1)-1,INDEX(Roadmap!$D:$K,MATCH($E145,Roadmap!$D:$D,0)-1+COUNTIF($E145:U145,"u")+COUNTIF($E145:U145,"t")+COUNTIF($E145:U145,"¶")+COUNTIF($E145:U145,"²")+COUNTIF($E145:U145,"µ")+COUNTIF($E145:U145,1),ColDescriptionCourte)),""),
  "")),"")</f>
        <v/>
      </c>
      <c r="W145" s="40" t="str">
        <f ca="1">IFERROR(IF(AND(
  INDEX(Roadmap!$D:$K,MATCH($E145,Roadmap!$D:$D,0)+COUNTIF($E145:V145,"u")+COUNTIF($E145:V145,"t")+COUNTIF($E145:V145,"¶")+COUNTIF($E145:V145,"²")+COUNTIF($E145:V145,"µ")+COUNTIF($E145:V145,1),ColLivraison)=W$6,
  VLOOKUP($E145,INDIRECT("tri!"&amp; CHAR(64+ C0Col) &amp;":"&amp; CHAR(65+C0Col)),2,FALSE)&gt;COUNTIF($E145:V145,"u")+COUNTIF($E145:V145,"t")+COUNTIF($E145:V145,"¶")+COUNTIF($E145:V145,"²")+COUNTIF($E145:V145,"µ")+COUNTIF($E145:V145,1)),
HYPERLINK("#Roadmap!C"&amp; MATCH($E145,Roadmap!$D:$D,0)+COUNTIF($E145:V145,"u")+COUNTIF($E145:V145,"t"),
     INDEX(Roadmap!$D:$K,MATCH($E145,Roadmap!$D:$D,0)+COUNTIF($E145:V145,"u")+COUNTIF($E145:V145,"t")+COUNTIF($E145:V145,"¶")+COUNTIF($E145:V145,"²")+COUNTIF($E145:V145,"µ")+COUNTIF($E145:V145,1),ColTypeEcheance)),
  IF(LEN(V145)=1,
  IF(LEN(INDEX(Roadmap!$D:$K,MATCH($E145,Roadmap!$D:$D,0)-1+COUNTIF($E145:V145,"u")+COUNTIF($E145:V145,"t")+COUNTIF($E145:V145,"¶")+COUNTIF($E145:V145,"²")+COUNTIF($E145:V145,"µ")+COUNTIF($E145:V145,1),ColDescriptionCourte))&gt;1,
HYPERLINK("#Roadmap!C"&amp; MATCH($E145,Roadmap!$D:$D,0)+COUNTIF($E145:V145,"u")+COUNTIF($E145:V145,"t")+COUNTIF($E145:V145,"¶")+COUNTIF($E145:V145,"²")+COUNTIF($E145:V145,"µ")+COUNTIF($E145:V145,1)-1,INDEX(Roadmap!$D:$K,MATCH($E145,Roadmap!$D:$D,0)-1+COUNTIF($E145:V145,"u")+COUNTIF($E145:V145,"t")+COUNTIF($E145:V145,"¶")+COUNTIF($E145:V145,"²")+COUNTIF($E145:V145,"µ")+COUNTIF($E145:V145,1),ColDescriptionCourte)),""),
  "")),"")</f>
        <v/>
      </c>
      <c r="X145" s="40" t="str">
        <f ca="1">IFERROR(IF(AND(
  INDEX(Roadmap!$D:$K,MATCH($E145,Roadmap!$D:$D,0)+COUNTIF($E145:W145,"u")+COUNTIF($E145:W145,"t")+COUNTIF($E145:W145,"¶")+COUNTIF($E145:W145,"²")+COUNTIF($E145:W145,"µ")+COUNTIF($E145:W145,1),ColLivraison)=X$6,
  VLOOKUP($E145,INDIRECT("tri!"&amp; CHAR(64+ C0Col) &amp;":"&amp; CHAR(65+C0Col)),2,FALSE)&gt;COUNTIF($E145:W145,"u")+COUNTIF($E145:W145,"t")+COUNTIF($E145:W145,"¶")+COUNTIF($E145:W145,"²")+COUNTIF($E145:W145,"µ")+COUNTIF($E145:W145,1)),
HYPERLINK("#Roadmap!C"&amp; MATCH($E145,Roadmap!$D:$D,0)+COUNTIF($E145:W145,"u")+COUNTIF($E145:W145,"t"),
     INDEX(Roadmap!$D:$K,MATCH($E145,Roadmap!$D:$D,0)+COUNTIF($E145:W145,"u")+COUNTIF($E145:W145,"t")+COUNTIF($E145:W145,"¶")+COUNTIF($E145:W145,"²")+COUNTIF($E145:W145,"µ")+COUNTIF($E145:W145,1),ColTypeEcheance)),
  IF(LEN(W145)=1,
  IF(LEN(INDEX(Roadmap!$D:$K,MATCH($E145,Roadmap!$D:$D,0)-1+COUNTIF($E145:W145,"u")+COUNTIF($E145:W145,"t")+COUNTIF($E145:W145,"¶")+COUNTIF($E145:W145,"²")+COUNTIF($E145:W145,"µ")+COUNTIF($E145:W145,1),ColDescriptionCourte))&gt;1,
HYPERLINK("#Roadmap!C"&amp; MATCH($E145,Roadmap!$D:$D,0)+COUNTIF($E145:W145,"u")+COUNTIF($E145:W145,"t")+COUNTIF($E145:W145,"¶")+COUNTIF($E145:W145,"²")+COUNTIF($E145:W145,"µ")+COUNTIF($E145:W145,1)-1,INDEX(Roadmap!$D:$K,MATCH($E145,Roadmap!$D:$D,0)-1+COUNTIF($E145:W145,"u")+COUNTIF($E145:W145,"t")+COUNTIF($E145:W145,"¶")+COUNTIF($E145:W145,"²")+COUNTIF($E145:W145,"µ")+COUNTIF($E145:W145,1),ColDescriptionCourte)),""),
  "")),"")</f>
        <v/>
      </c>
      <c r="Y145" s="40" t="str">
        <f ca="1">IFERROR(IF(AND(
  INDEX(Roadmap!$D:$K,MATCH($E145,Roadmap!$D:$D,0)+COUNTIF($E145:X145,"u")+COUNTIF($E145:X145,"t")+COUNTIF($E145:X145,"¶")+COUNTIF($E145:X145,"²")+COUNTIF($E145:X145,"µ")+COUNTIF($E145:X145,1),ColLivraison)=Y$6,
  VLOOKUP($E145,INDIRECT("tri!"&amp; CHAR(64+ C0Col) &amp;":"&amp; CHAR(65+C0Col)),2,FALSE)&gt;COUNTIF($E145:X145,"u")+COUNTIF($E145:X145,"t")+COUNTIF($E145:X145,"¶")+COUNTIF($E145:X145,"²")+COUNTIF($E145:X145,"µ")+COUNTIF($E145:X145,1)),
HYPERLINK("#Roadmap!C"&amp; MATCH($E145,Roadmap!$D:$D,0)+COUNTIF($E145:X145,"u")+COUNTIF($E145:X145,"t"),
     INDEX(Roadmap!$D:$K,MATCH($E145,Roadmap!$D:$D,0)+COUNTIF($E145:X145,"u")+COUNTIF($E145:X145,"t")+COUNTIF($E145:X145,"¶")+COUNTIF($E145:X145,"²")+COUNTIF($E145:X145,"µ")+COUNTIF($E145:X145,1),ColTypeEcheance)),
  IF(LEN(X145)=1,
  IF(LEN(INDEX(Roadmap!$D:$K,MATCH($E145,Roadmap!$D:$D,0)-1+COUNTIF($E145:X145,"u")+COUNTIF($E145:X145,"t")+COUNTIF($E145:X145,"¶")+COUNTIF($E145:X145,"²")+COUNTIF($E145:X145,"µ")+COUNTIF($E145:X145,1),ColDescriptionCourte))&gt;1,
HYPERLINK("#Roadmap!C"&amp; MATCH($E145,Roadmap!$D:$D,0)+COUNTIF($E145:X145,"u")+COUNTIF($E145:X145,"t")+COUNTIF($E145:X145,"¶")+COUNTIF($E145:X145,"²")+COUNTIF($E145:X145,"µ")+COUNTIF($E145:X145,1)-1,INDEX(Roadmap!$D:$K,MATCH($E145,Roadmap!$D:$D,0)-1+COUNTIF($E145:X145,"u")+COUNTIF($E145:X145,"t")+COUNTIF($E145:X145,"¶")+COUNTIF($E145:X145,"²")+COUNTIF($E145:X145,"µ")+COUNTIF($E145:X145,1),ColDescriptionCourte)),""),
  "")),"")</f>
        <v/>
      </c>
      <c r="Z145" s="40" t="str">
        <f ca="1">IFERROR(IF(AND(
  INDEX(Roadmap!$D:$K,MATCH($E145,Roadmap!$D:$D,0)+COUNTIF($E145:Y145,"u")+COUNTIF($E145:Y145,"t")+COUNTIF($E145:Y145,"¶")+COUNTIF($E145:Y145,"²")+COUNTIF($E145:Y145,"µ")+COUNTIF($E145:Y145,1),ColLivraison)=Z$6,
  VLOOKUP($E145,INDIRECT("tri!"&amp; CHAR(64+ C0Col) &amp;":"&amp; CHAR(65+C0Col)),2,FALSE)&gt;COUNTIF($E145:Y145,"u")+COUNTIF($E145:Y145,"t")+COUNTIF($E145:Y145,"¶")+COUNTIF($E145:Y145,"²")+COUNTIF($E145:Y145,"µ")+COUNTIF($E145:Y145,1)),
HYPERLINK("#Roadmap!C"&amp; MATCH($E145,Roadmap!$D:$D,0)+COUNTIF($E145:Y145,"u")+COUNTIF($E145:Y145,"t"),
     INDEX(Roadmap!$D:$K,MATCH($E145,Roadmap!$D:$D,0)+COUNTIF($E145:Y145,"u")+COUNTIF($E145:Y145,"t")+COUNTIF($E145:Y145,"¶")+COUNTIF($E145:Y145,"²")+COUNTIF($E145:Y145,"µ")+COUNTIF($E145:Y145,1),ColTypeEcheance)),
  IF(LEN(Y145)=1,
  IF(LEN(INDEX(Roadmap!$D:$K,MATCH($E145,Roadmap!$D:$D,0)-1+COUNTIF($E145:Y145,"u")+COUNTIF($E145:Y145,"t")+COUNTIF($E145:Y145,"¶")+COUNTIF($E145:Y145,"²")+COUNTIF($E145:Y145,"µ")+COUNTIF($E145:Y145,1),ColDescriptionCourte))&gt;1,
HYPERLINK("#Roadmap!C"&amp; MATCH($E145,Roadmap!$D:$D,0)+COUNTIF($E145:Y145,"u")+COUNTIF($E145:Y145,"t")+COUNTIF($E145:Y145,"¶")+COUNTIF($E145:Y145,"²")+COUNTIF($E145:Y145,"µ")+COUNTIF($E145:Y145,1)-1,INDEX(Roadmap!$D:$K,MATCH($E145,Roadmap!$D:$D,0)-1+COUNTIF($E145:Y145,"u")+COUNTIF($E145:Y145,"t")+COUNTIF($E145:Y145,"¶")+COUNTIF($E145:Y145,"²")+COUNTIF($E145:Y145,"µ")+COUNTIF($E145:Y145,1),ColDescriptionCourte)),""),
  "")),"")</f>
        <v/>
      </c>
      <c r="AA145" s="40" t="str">
        <f ca="1">IFERROR(IF(AND(
  INDEX(Roadmap!$D:$K,MATCH($E145,Roadmap!$D:$D,0)+COUNTIF($E145:Z145,"u")+COUNTIF($E145:Z145,"t")+COUNTIF($E145:Z145,"¶")+COUNTIF($E145:Z145,"²")+COUNTIF($E145:Z145,"µ")+COUNTIF($E145:Z145,1),ColLivraison)=AA$6,
  VLOOKUP($E145,INDIRECT("tri!"&amp; CHAR(64+ C0Col) &amp;":"&amp; CHAR(65+C0Col)),2,FALSE)&gt;COUNTIF($E145:Z145,"u")+COUNTIF($E145:Z145,"t")+COUNTIF($E145:Z145,"¶")+COUNTIF($E145:Z145,"²")+COUNTIF($E145:Z145,"µ")+COUNTIF($E145:Z145,1)),
HYPERLINK("#Roadmap!C"&amp; MATCH($E145,Roadmap!$D:$D,0)+COUNTIF($E145:Z145,"u")+COUNTIF($E145:Z145,"t"),
     INDEX(Roadmap!$D:$K,MATCH($E145,Roadmap!$D:$D,0)+COUNTIF($E145:Z145,"u")+COUNTIF($E145:Z145,"t")+COUNTIF($E145:Z145,"¶")+COUNTIF($E145:Z145,"²")+COUNTIF($E145:Z145,"µ")+COUNTIF($E145:Z145,1),ColTypeEcheance)),
  IF(LEN(Z145)=1,
  IF(LEN(INDEX(Roadmap!$D:$K,MATCH($E145,Roadmap!$D:$D,0)-1+COUNTIF($E145:Z145,"u")+COUNTIF($E145:Z145,"t")+COUNTIF($E145:Z145,"¶")+COUNTIF($E145:Z145,"²")+COUNTIF($E145:Z145,"µ")+COUNTIF($E145:Z145,1),ColDescriptionCourte))&gt;1,
HYPERLINK("#Roadmap!C"&amp; MATCH($E145,Roadmap!$D:$D,0)+COUNTIF($E145:Z145,"u")+COUNTIF($E145:Z145,"t")+COUNTIF($E145:Z145,"¶")+COUNTIF($E145:Z145,"²")+COUNTIF($E145:Z145,"µ")+COUNTIF($E145:Z145,1)-1,INDEX(Roadmap!$D:$K,MATCH($E145,Roadmap!$D:$D,0)-1+COUNTIF($E145:Z145,"u")+COUNTIF($E145:Z145,"t")+COUNTIF($E145:Z145,"¶")+COUNTIF($E145:Z145,"²")+COUNTIF($E145:Z145,"µ")+COUNTIF($E145:Z145,1),ColDescriptionCourte)),""),
  "")),"")</f>
        <v/>
      </c>
      <c r="AB145" s="40" t="str">
        <f ca="1">IFERROR(IF(AND(
  INDEX(Roadmap!$D:$K,MATCH($E145,Roadmap!$D:$D,0)+COUNTIF($E145:AA145,"u")+COUNTIF($E145:AA145,"t")+COUNTIF($E145:AA145,"¶")+COUNTIF($E145:AA145,"²")+COUNTIF($E145:AA145,"µ")+COUNTIF($E145:AA145,1),ColLivraison)=AB$6,
  VLOOKUP($E145,INDIRECT("tri!"&amp; CHAR(64+ C0Col) &amp;":"&amp; CHAR(65+C0Col)),2,FALSE)&gt;COUNTIF($E145:AA145,"u")+COUNTIF($E145:AA145,"t")+COUNTIF($E145:AA145,"¶")+COUNTIF($E145:AA145,"²")+COUNTIF($E145:AA145,"µ")+COUNTIF($E145:AA145,1)),
HYPERLINK("#Roadmap!C"&amp; MATCH($E145,Roadmap!$D:$D,0)+COUNTIF($E145:AA145,"u")+COUNTIF($E145:AA145,"t"),
     INDEX(Roadmap!$D:$K,MATCH($E145,Roadmap!$D:$D,0)+COUNTIF($E145:AA145,"u")+COUNTIF($E145:AA145,"t")+COUNTIF($E145:AA145,"¶")+COUNTIF($E145:AA145,"²")+COUNTIF($E145:AA145,"µ")+COUNTIF($E145:AA145,1),ColTypeEcheance)),
  IF(LEN(AA145)=1,
  IF(LEN(INDEX(Roadmap!$D:$K,MATCH($E145,Roadmap!$D:$D,0)-1+COUNTIF($E145:AA145,"u")+COUNTIF($E145:AA145,"t")+COUNTIF($E145:AA145,"¶")+COUNTIF($E145:AA145,"²")+COUNTIF($E145:AA145,"µ")+COUNTIF($E145:AA145,1),ColDescriptionCourte))&gt;1,
HYPERLINK("#Roadmap!C"&amp; MATCH($E145,Roadmap!$D:$D,0)+COUNTIF($E145:AA145,"u")+COUNTIF($E145:AA145,"t")+COUNTIF($E145:AA145,"¶")+COUNTIF($E145:AA145,"²")+COUNTIF($E145:AA145,"µ")+COUNTIF($E145:AA145,1)-1,INDEX(Roadmap!$D:$K,MATCH($E145,Roadmap!$D:$D,0)-1+COUNTIF($E145:AA145,"u")+COUNTIF($E145:AA145,"t")+COUNTIF($E145:AA145,"¶")+COUNTIF($E145:AA145,"²")+COUNTIF($E145:AA145,"µ")+COUNTIF($E145:AA145,1),ColDescriptionCourte)),""),
  "")),"")</f>
        <v/>
      </c>
      <c r="AC145" s="40" t="str">
        <f ca="1">IFERROR(IF(AND(
  INDEX(Roadmap!$D:$K,MATCH($E145,Roadmap!$D:$D,0)+COUNTIF($E145:AB145,"u")+COUNTIF($E145:AB145,"t")+COUNTIF($E145:AB145,"¶")+COUNTIF($E145:AB145,"²")+COUNTIF($E145:AB145,"µ")+COUNTIF($E145:AB145,1),ColLivraison)=AC$6,
  VLOOKUP($E145,INDIRECT("tri!"&amp; CHAR(64+ C0Col) &amp;":"&amp; CHAR(65+C0Col)),2,FALSE)&gt;COUNTIF($E145:AB145,"u")+COUNTIF($E145:AB145,"t")+COUNTIF($E145:AB145,"¶")+COUNTIF($E145:AB145,"²")+COUNTIF($E145:AB145,"µ")+COUNTIF($E145:AB145,1)),
HYPERLINK("#Roadmap!C"&amp; MATCH($E145,Roadmap!$D:$D,0)+COUNTIF($E145:AB145,"u")+COUNTIF($E145:AB145,"t"),
     INDEX(Roadmap!$D:$K,MATCH($E145,Roadmap!$D:$D,0)+COUNTIF($E145:AB145,"u")+COUNTIF($E145:AB145,"t")+COUNTIF($E145:AB145,"¶")+COUNTIF($E145:AB145,"²")+COUNTIF($E145:AB145,"µ")+COUNTIF($E145:AB145,1),ColTypeEcheance)),
  IF(LEN(AB145)=1,
  IF(LEN(INDEX(Roadmap!$D:$K,MATCH($E145,Roadmap!$D:$D,0)-1+COUNTIF($E145:AB145,"u")+COUNTIF($E145:AB145,"t")+COUNTIF($E145:AB145,"¶")+COUNTIF($E145:AB145,"²")+COUNTIF($E145:AB145,"µ")+COUNTIF($E145:AB145,1),ColDescriptionCourte))&gt;1,
HYPERLINK("#Roadmap!C"&amp; MATCH($E145,Roadmap!$D:$D,0)+COUNTIF($E145:AB145,"u")+COUNTIF($E145:AB145,"t")+COUNTIF($E145:AB145,"¶")+COUNTIF($E145:AB145,"²")+COUNTIF($E145:AB145,"µ")+COUNTIF($E145:AB145,1)-1,INDEX(Roadmap!$D:$K,MATCH($E145,Roadmap!$D:$D,0)-1+COUNTIF($E145:AB145,"u")+COUNTIF($E145:AB145,"t")+COUNTIF($E145:AB145,"¶")+COUNTIF($E145:AB145,"²")+COUNTIF($E145:AB145,"µ")+COUNTIF($E145:AB145,1),ColDescriptionCourte)),""),
  "")),"")</f>
        <v/>
      </c>
      <c r="AD145" s="40" t="str">
        <f ca="1">IFERROR(IF(AND(
  INDEX(Roadmap!$D:$K,MATCH($E145,Roadmap!$D:$D,0)+COUNTIF($E145:AC145,"u")+COUNTIF($E145:AC145,"t")+COUNTIF($E145:AC145,"¶")+COUNTIF($E145:AC145,"²")+COUNTIF($E145:AC145,"µ")+COUNTIF($E145:AC145,1),ColLivraison)=AD$6,
  VLOOKUP($E145,INDIRECT("tri!"&amp; CHAR(64+ C0Col) &amp;":"&amp; CHAR(65+C0Col)),2,FALSE)&gt;COUNTIF($E145:AC145,"u")+COUNTIF($E145:AC145,"t")+COUNTIF($E145:AC145,"¶")+COUNTIF($E145:AC145,"²")+COUNTIF($E145:AC145,"µ")+COUNTIF($E145:AC145,1)),
HYPERLINK("#Roadmap!C"&amp; MATCH($E145,Roadmap!$D:$D,0)+COUNTIF($E145:AC145,"u")+COUNTIF($E145:AC145,"t"),
     INDEX(Roadmap!$D:$K,MATCH($E145,Roadmap!$D:$D,0)+COUNTIF($E145:AC145,"u")+COUNTIF($E145:AC145,"t")+COUNTIF($E145:AC145,"¶")+COUNTIF($E145:AC145,"²")+COUNTIF($E145:AC145,"µ")+COUNTIF($E145:AC145,1),ColTypeEcheance)),
  IF(LEN(AC145)=1,
  IF(LEN(INDEX(Roadmap!$D:$K,MATCH($E145,Roadmap!$D:$D,0)-1+COUNTIF($E145:AC145,"u")+COUNTIF($E145:AC145,"t")+COUNTIF($E145:AC145,"¶")+COUNTIF($E145:AC145,"²")+COUNTIF($E145:AC145,"µ")+COUNTIF($E145:AC145,1),ColDescriptionCourte))&gt;1,
HYPERLINK("#Roadmap!C"&amp; MATCH($E145,Roadmap!$D:$D,0)+COUNTIF($E145:AC145,"u")+COUNTIF($E145:AC145,"t")+COUNTIF($E145:AC145,"¶")+COUNTIF($E145:AC145,"²")+COUNTIF($E145:AC145,"µ")+COUNTIF($E145:AC145,1)-1,INDEX(Roadmap!$D:$K,MATCH($E145,Roadmap!$D:$D,0)-1+COUNTIF($E145:AC145,"u")+COUNTIF($E145:AC145,"t")+COUNTIF($E145:AC145,"¶")+COUNTIF($E145:AC145,"²")+COUNTIF($E145:AC145,"µ")+COUNTIF($E145:AC145,1),ColDescriptionCourte)),""),
  "")),"")</f>
        <v/>
      </c>
      <c r="AE145" s="40" t="str">
        <f ca="1">IFERROR(IF(AND(
  INDEX(Roadmap!$D:$K,MATCH($E145,Roadmap!$D:$D,0)+COUNTIF($E145:AD145,"u")+COUNTIF($E145:AD145,"t")+COUNTIF($E145:AD145,"¶")+COUNTIF($E145:AD145,"²")+COUNTIF($E145:AD145,"µ")+COUNTIF($E145:AD145,1),ColLivraison)=AE$6,
  VLOOKUP($E145,INDIRECT("tri!"&amp; CHAR(64+ C0Col) &amp;":"&amp; CHAR(65+C0Col)),2,FALSE)&gt;COUNTIF($E145:AD145,"u")+COUNTIF($E145:AD145,"t")+COUNTIF($E145:AD145,"¶")+COUNTIF($E145:AD145,"²")+COUNTIF($E145:AD145,"µ")+COUNTIF($E145:AD145,1)),
HYPERLINK("#Roadmap!C"&amp; MATCH($E145,Roadmap!$D:$D,0)+COUNTIF($E145:AD145,"u")+COUNTIF($E145:AD145,"t"),
     INDEX(Roadmap!$D:$K,MATCH($E145,Roadmap!$D:$D,0)+COUNTIF($E145:AD145,"u")+COUNTIF($E145:AD145,"t")+COUNTIF($E145:AD145,"¶")+COUNTIF($E145:AD145,"²")+COUNTIF($E145:AD145,"µ")+COUNTIF($E145:AD145,1),ColTypeEcheance)),
  IF(LEN(AD145)=1,
  IF(LEN(INDEX(Roadmap!$D:$K,MATCH($E145,Roadmap!$D:$D,0)-1+COUNTIF($E145:AD145,"u")+COUNTIF($E145:AD145,"t")+COUNTIF($E145:AD145,"¶")+COUNTIF($E145:AD145,"²")+COUNTIF($E145:AD145,"µ")+COUNTIF($E145:AD145,1),ColDescriptionCourte))&gt;1,
HYPERLINK("#Roadmap!C"&amp; MATCH($E145,Roadmap!$D:$D,0)+COUNTIF($E145:AD145,"u")+COUNTIF($E145:AD145,"t")+COUNTIF($E145:AD145,"¶")+COUNTIF($E145:AD145,"²")+COUNTIF($E145:AD145,"µ")+COUNTIF($E145:AD145,1)-1,INDEX(Roadmap!$D:$K,MATCH($E145,Roadmap!$D:$D,0)-1+COUNTIF($E145:AD145,"u")+COUNTIF($E145:AD145,"t")+COUNTIF($E145:AD145,"¶")+COUNTIF($E145:AD145,"²")+COUNTIF($E145:AD145,"µ")+COUNTIF($E145:AD145,1),ColDescriptionCourte)),""),
  "")),"")</f>
        <v/>
      </c>
      <c r="AF145" s="40" t="str">
        <f ca="1">IFERROR(IF(AND(
  INDEX(Roadmap!$D:$K,MATCH($E145,Roadmap!$D:$D,0)+COUNTIF($E145:AE145,"u")+COUNTIF($E145:AE145,"t")+COUNTIF($E145:AE145,"¶")+COUNTIF($E145:AE145,"²")+COUNTIF($E145:AE145,"µ")+COUNTIF($E145:AE145,1),ColLivraison)=AF$6,
  VLOOKUP($E145,INDIRECT("tri!"&amp; CHAR(64+ C0Col) &amp;":"&amp; CHAR(65+C0Col)),2,FALSE)&gt;COUNTIF($E145:AE145,"u")+COUNTIF($E145:AE145,"t")+COUNTIF($E145:AE145,"¶")+COUNTIF($E145:AE145,"²")+COUNTIF($E145:AE145,"µ")+COUNTIF($E145:AE145,1)),
HYPERLINK("#Roadmap!C"&amp; MATCH($E145,Roadmap!$D:$D,0)+COUNTIF($E145:AE145,"u")+COUNTIF($E145:AE145,"t"),
     INDEX(Roadmap!$D:$K,MATCH($E145,Roadmap!$D:$D,0)+COUNTIF($E145:AE145,"u")+COUNTIF($E145:AE145,"t")+COUNTIF($E145:AE145,"¶")+COUNTIF($E145:AE145,"²")+COUNTIF($E145:AE145,"µ")+COUNTIF($E145:AE145,1),ColTypeEcheance)),
  IF(LEN(AE145)=1,
  IF(LEN(INDEX(Roadmap!$D:$K,MATCH($E145,Roadmap!$D:$D,0)-1+COUNTIF($E145:AE145,"u")+COUNTIF($E145:AE145,"t")+COUNTIF($E145:AE145,"¶")+COUNTIF($E145:AE145,"²")+COUNTIF($E145:AE145,"µ")+COUNTIF($E145:AE145,1),ColDescriptionCourte))&gt;1,
HYPERLINK("#Roadmap!C"&amp; MATCH($E145,Roadmap!$D:$D,0)+COUNTIF($E145:AE145,"u")+COUNTIF($E145:AE145,"t")+COUNTIF($E145:AE145,"¶")+COUNTIF($E145:AE145,"²")+COUNTIF($E145:AE145,"µ")+COUNTIF($E145:AE145,1)-1,INDEX(Roadmap!$D:$K,MATCH($E145,Roadmap!$D:$D,0)-1+COUNTIF($E145:AE145,"u")+COUNTIF($E145:AE145,"t")+COUNTIF($E145:AE145,"¶")+COUNTIF($E145:AE145,"²")+COUNTIF($E145:AE145,"µ")+COUNTIF($E145:AE145,1),ColDescriptionCourte)),""),
  "")),"")</f>
        <v/>
      </c>
      <c r="AG145" s="40" t="str">
        <f ca="1">IFERROR(IF(AND(
  INDEX(Roadmap!$D:$K,MATCH($E145,Roadmap!$D:$D,0)+COUNTIF($E145:AF145,"u")+COUNTIF($E145:AF145,"t")+COUNTIF($E145:AF145,"¶")+COUNTIF($E145:AF145,"²")+COUNTIF($E145:AF145,"µ")+COUNTIF($E145:AF145,1),ColLivraison)=AG$6,
  VLOOKUP($E145,INDIRECT("tri!"&amp; CHAR(64+ C0Col) &amp;":"&amp; CHAR(65+C0Col)),2,FALSE)&gt;COUNTIF($E145:AF145,"u")+COUNTIF($E145:AF145,"t")+COUNTIF($E145:AF145,"¶")+COUNTIF($E145:AF145,"²")+COUNTIF($E145:AF145,"µ")+COUNTIF($E145:AF145,1)),
HYPERLINK("#Roadmap!C"&amp; MATCH($E145,Roadmap!$D:$D,0)+COUNTIF($E145:AF145,"u")+COUNTIF($E145:AF145,"t"),
     INDEX(Roadmap!$D:$K,MATCH($E145,Roadmap!$D:$D,0)+COUNTIF($E145:AF145,"u")+COUNTIF($E145:AF145,"t")+COUNTIF($E145:AF145,"¶")+COUNTIF($E145:AF145,"²")+COUNTIF($E145:AF145,"µ")+COUNTIF($E145:AF145,1),ColTypeEcheance)),
  IF(LEN(AF145)=1,
  IF(LEN(INDEX(Roadmap!$D:$K,MATCH($E145,Roadmap!$D:$D,0)-1+COUNTIF($E145:AF145,"u")+COUNTIF($E145:AF145,"t")+COUNTIF($E145:AF145,"¶")+COUNTIF($E145:AF145,"²")+COUNTIF($E145:AF145,"µ")+COUNTIF($E145:AF145,1),ColDescriptionCourte))&gt;1,
HYPERLINK("#Roadmap!C"&amp; MATCH($E145,Roadmap!$D:$D,0)+COUNTIF($E145:AF145,"u")+COUNTIF($E145:AF145,"t")+COUNTIF($E145:AF145,"¶")+COUNTIF($E145:AF145,"²")+COUNTIF($E145:AF145,"µ")+COUNTIF($E145:AF145,1)-1,INDEX(Roadmap!$D:$K,MATCH($E145,Roadmap!$D:$D,0)-1+COUNTIF($E145:AF145,"u")+COUNTIF($E145:AF145,"t")+COUNTIF($E145:AF145,"¶")+COUNTIF($E145:AF145,"²")+COUNTIF($E145:AF145,"µ")+COUNTIF($E145:AF145,1),ColDescriptionCourte)),""),
  "")),"")</f>
        <v/>
      </c>
      <c r="AH145" s="40" t="str">
        <f ca="1">IFERROR(IF(AND(
  INDEX(Roadmap!$D:$K,MATCH($E145,Roadmap!$D:$D,0)+COUNTIF($E145:AG145,"u")+COUNTIF($E145:AG145,"t")+COUNTIF($E145:AG145,1),ColLivraison)=AH$6,
  VLOOKUP($E145,INDIRECT("tri!"&amp; CHAR(64+ C0Col) &amp;":"&amp; CHAR(65+C0Col)),2,FALSE)&gt;COUNTIF($E145:AG145,"u")+COUNTIF($E145:AG145,"t")+COUNTIF($E145:AG145,1)),
HYPERLINK("#Roadmap!C"&amp; MATCH($E145,Roadmap!$D:$D,0)+COUNTIF($E145:AG145,"u")+COUNTIF($E145:AG145,"t"),
     INDEX(Roadmap!$D:$K,MATCH($E145,Roadmap!$D:$D,0)+COUNTIF($E145:AG145,"u")+COUNTIF($E145:AG145,"t")+COUNTIF($E145:AG145,1),ColTypeEcheance)),
  IF(OR(AG145="u",AG145="t",AG145=1),
  IF(LEN(INDEX(Roadmap!$D:$K,MATCH($E145,Roadmap!$D:$D,0)-1+COUNTIF($E145:AG145,"u")+COUNTIF($E145:AG145,"t")+COUNTIF($E145:AG145,1),ColDescriptionCourte))&gt;1,
HYPERLINK("#Roadmap!C"&amp; MATCH($E145,Roadmap!$D:$D,0)+COUNTIF($E145:AG145,"u")+COUNTIF($E145:AG145,"t")+COUNTIF($E145:AG145,1)-1,INDEX(Roadmap!$D:$K,MATCH($E145,Roadmap!$D:$D,0)-1+COUNTIF($E145:AG145,"u")+COUNTIF($E145:AG145,"t")+COUNTIF($E145:AG145,1),ColDescriptionCourte)),""),
  "")),"")</f>
        <v/>
      </c>
      <c r="AI145" s="40"/>
      <c r="AJ145" s="40"/>
      <c r="AK145" s="40"/>
      <c r="AL145" s="40"/>
      <c r="AM145" s="40"/>
    </row>
    <row r="146" spans="4:39" ht="14.1" customHeight="1">
      <c r="D146" s="20" t="str">
        <f t="shared" ca="1" si="31"/>
        <v/>
      </c>
      <c r="E146" s="53" t="str">
        <f t="shared" ca="1" si="32"/>
        <v/>
      </c>
      <c r="F146" s="39" t="str">
        <f ca="1">IFERROR(IF(AND(
  INDEX(Roadmap!$D:$K,MATCH($E146,Roadmap!$D:$D,0)+COUNTIF($E146:E146,"u")+COUNTIF($E146:E146,"t")+COUNTIF($E146:E146,"¶")+COUNTIF($E146:E146,"²")+COUNTIF($E146:E146,"µ")+COUNTIF($E146:E146,1),ColLivraison)=F$6,
  VLOOKUP($E146,INDIRECT("tri!"&amp; CHAR(64+ C0Col) &amp;":"&amp; CHAR(65+C0Col)),2,FALSE)&gt;COUNTIF($E146:E146,"u")+COUNTIF($E146:E146,"t")+COUNTIF($E146:E146,"¶")+COUNTIF($E146:E146,"²")+COUNTIF($E146:E146,"µ")+COUNTIF($E146:E146,1)),
HYPERLINK("#Roadmap!C"&amp; MATCH($E146,Roadmap!$D:$D,0)+COUNTIF($E146:E146,"u")+COUNTIF($E146:E146,"t"),
     INDEX(Roadmap!$D:$K,MATCH($E146,Roadmap!$D:$D,0)+COUNTIF($E146:E146,"u")+COUNTIF($E146:E146,"t")+COUNTIF($E146:E146,"¶")+COUNTIF($E146:E146,"²")+COUNTIF($E146:E146,"µ")+COUNTIF($E146:E146,1),ColTypeEcheance)),
  IF(LEN(E146)=1,
  IF(LEN(INDEX(Roadmap!$D:$K,MATCH($E146,Roadmap!$D:$D,0)-1+COUNTIF($E146:E146,"u")+COUNTIF($E146:E146,"t")+COUNTIF($E146:E146,"¶")+COUNTIF($E146:E146,"²")+COUNTIF($E146:E146,"µ")+COUNTIF($E146:E146,1),ColDescriptionCourte))&gt;1,
HYPERLINK("#Roadmap!C"&amp; MATCH($E146,Roadmap!$D:$D,0)+COUNTIF($E146:E146,"u")+COUNTIF($E146:E146,"t")+COUNTIF($E146:E146,"¶")+COUNTIF($E146:E146,"²")+COUNTIF($E146:E146,"µ")+COUNTIF($E146:E146,1)-1,INDEX(Roadmap!$D:$K,MATCH($E146,Roadmap!$D:$D,0)-1+COUNTIF($E146:E146,"u")+COUNTIF($E146:E146,"t")+COUNTIF($E146:E146,"¶")+COUNTIF($E146:E146,"²")+COUNTIF($E146:E146,"µ")+COUNTIF($E146:E146,1),ColDescriptionCourte)),""),
  "")),"")</f>
        <v/>
      </c>
      <c r="G146" s="40" t="str">
        <f ca="1">IFERROR(IF(AND(
  INDEX(Roadmap!$D:$K,MATCH($E146,Roadmap!$D:$D,0)+COUNTIF($E146:F146,"u")+COUNTIF($E146:F146,"t")+COUNTIF($E146:F146,"¶")+COUNTIF($E146:F146,"²")+COUNTIF($E146:F146,"µ")+COUNTIF($E146:F146,1),ColLivraison)=G$6,
  VLOOKUP($E146,INDIRECT("tri!"&amp; CHAR(64+ C0Col) &amp;":"&amp; CHAR(65+C0Col)),2,FALSE)&gt;COUNTIF($E146:F146,"u")+COUNTIF($E146:F146,"t")+COUNTIF($E146:F146,"¶")+COUNTIF($E146:F146,"²")+COUNTIF($E146:F146,"µ")+COUNTIF($E146:F146,1)),
HYPERLINK("#Roadmap!C"&amp; MATCH($E146,Roadmap!$D:$D,0)+COUNTIF($E146:F146,"u")+COUNTIF($E146:F146,"t"),
     INDEX(Roadmap!$D:$K,MATCH($E146,Roadmap!$D:$D,0)+COUNTIF($E146:F146,"u")+COUNTIF($E146:F146,"t")+COUNTIF($E146:F146,"¶")+COUNTIF($E146:F146,"²")+COUNTIF($E146:F146,"µ")+COUNTIF($E146:F146,1),ColTypeEcheance)),
  IF(LEN(F146)=1,
  IF(LEN(INDEX(Roadmap!$D:$K,MATCH($E146,Roadmap!$D:$D,0)-1+COUNTIF($E146:F146,"u")+COUNTIF($E146:F146,"t")+COUNTIF($E146:F146,"¶")+COUNTIF($E146:F146,"²")+COUNTIF($E146:F146,"µ")+COUNTIF($E146:F146,1),ColDescriptionCourte))&gt;1,
HYPERLINK("#Roadmap!C"&amp; MATCH($E146,Roadmap!$D:$D,0)+COUNTIF($E146:F146,"u")+COUNTIF($E146:F146,"t")+COUNTIF($E146:F146,"¶")+COUNTIF($E146:F146,"²")+COUNTIF($E146:F146,"µ")+COUNTIF($E146:F146,1)-1,INDEX(Roadmap!$D:$K,MATCH($E146,Roadmap!$D:$D,0)-1+COUNTIF($E146:F146,"u")+COUNTIF($E146:F146,"t")+COUNTIF($E146:F146,"¶")+COUNTIF($E146:F146,"²")+COUNTIF($E146:F146,"µ")+COUNTIF($E146:F146,1),ColDescriptionCourte)),""),
  "")),"")</f>
        <v/>
      </c>
      <c r="H146" s="40" t="str">
        <f ca="1">IFERROR(IF(AND(
  INDEX(Roadmap!$D:$K,MATCH($E146,Roadmap!$D:$D,0)+COUNTIF($E146:G146,"u")+COUNTIF($E146:G146,"t")+COUNTIF($E146:G146,"¶")+COUNTIF($E146:G146,"²")+COUNTIF($E146:G146,"µ")+COUNTIF($E146:G146,1),ColLivraison)=H$6,
  VLOOKUP($E146,INDIRECT("tri!"&amp; CHAR(64+ C0Col) &amp;":"&amp; CHAR(65+C0Col)),2,FALSE)&gt;COUNTIF($E146:G146,"u")+COUNTIF($E146:G146,"t")+COUNTIF($E146:G146,"¶")+COUNTIF($E146:G146,"²")+COUNTIF($E146:G146,"µ")+COUNTIF($E146:G146,1)),
HYPERLINK("#Roadmap!C"&amp; MATCH($E146,Roadmap!$D:$D,0)+COUNTIF($E146:G146,"u")+COUNTIF($E146:G146,"t"),
     INDEX(Roadmap!$D:$K,MATCH($E146,Roadmap!$D:$D,0)+COUNTIF($E146:G146,"u")+COUNTIF($E146:G146,"t")+COUNTIF($E146:G146,"¶")+COUNTIF($E146:G146,"²")+COUNTIF($E146:G146,"µ")+COUNTIF($E146:G146,1),ColTypeEcheance)),
  IF(LEN(G146)=1,
  IF(LEN(INDEX(Roadmap!$D:$K,MATCH($E146,Roadmap!$D:$D,0)-1+COUNTIF($E146:G146,"u")+COUNTIF($E146:G146,"t")+COUNTIF($E146:G146,"¶")+COUNTIF($E146:G146,"²")+COUNTIF($E146:G146,"µ")+COUNTIF($E146:G146,1),ColDescriptionCourte))&gt;1,
HYPERLINK("#Roadmap!C"&amp; MATCH($E146,Roadmap!$D:$D,0)+COUNTIF($E146:G146,"u")+COUNTIF($E146:G146,"t")+COUNTIF($E146:G146,"¶")+COUNTIF($E146:G146,"²")+COUNTIF($E146:G146,"µ")+COUNTIF($E146:G146,1)-1,INDEX(Roadmap!$D:$K,MATCH($E146,Roadmap!$D:$D,0)-1+COUNTIF($E146:G146,"u")+COUNTIF($E146:G146,"t")+COUNTIF($E146:G146,"¶")+COUNTIF($E146:G146,"²")+COUNTIF($E146:G146,"µ")+COUNTIF($E146:G146,1),ColDescriptionCourte)),""),
  "")),"")</f>
        <v/>
      </c>
      <c r="I146" s="40" t="str">
        <f ca="1">IFERROR(IF(AND(
  INDEX(Roadmap!$D:$K,MATCH($E146,Roadmap!$D:$D,0)+COUNTIF($E146:H146,"u")+COUNTIF($E146:H146,"t")+COUNTIF($E146:H146,"¶")+COUNTIF($E146:H146,"²")+COUNTIF($E146:H146,"µ")+COUNTIF($E146:H146,1),ColLivraison)=I$6,
  VLOOKUP($E146,INDIRECT("tri!"&amp; CHAR(64+ C0Col) &amp;":"&amp; CHAR(65+C0Col)),2,FALSE)&gt;COUNTIF($E146:H146,"u")+COUNTIF($E146:H146,"t")+COUNTIF($E146:H146,"¶")+COUNTIF($E146:H146,"²")+COUNTIF($E146:H146,"µ")+COUNTIF($E146:H146,1)),
HYPERLINK("#Roadmap!C"&amp; MATCH($E146,Roadmap!$D:$D,0)+COUNTIF($E146:H146,"u")+COUNTIF($E146:H146,"t"),
     INDEX(Roadmap!$D:$K,MATCH($E146,Roadmap!$D:$D,0)+COUNTIF($E146:H146,"u")+COUNTIF($E146:H146,"t")+COUNTIF($E146:H146,"¶")+COUNTIF($E146:H146,"²")+COUNTIF($E146:H146,"µ")+COUNTIF($E146:H146,1),ColTypeEcheance)),
  IF(LEN(H146)=1,
  IF(LEN(INDEX(Roadmap!$D:$K,MATCH($E146,Roadmap!$D:$D,0)-1+COUNTIF($E146:H146,"u")+COUNTIF($E146:H146,"t")+COUNTIF($E146:H146,"¶")+COUNTIF($E146:H146,"²")+COUNTIF($E146:H146,"µ")+COUNTIF($E146:H146,1),ColDescriptionCourte))&gt;1,
HYPERLINK("#Roadmap!C"&amp; MATCH($E146,Roadmap!$D:$D,0)+COUNTIF($E146:H146,"u")+COUNTIF($E146:H146,"t")+COUNTIF($E146:H146,"¶")+COUNTIF($E146:H146,"²")+COUNTIF($E146:H146,"µ")+COUNTIF($E146:H146,1)-1,INDEX(Roadmap!$D:$K,MATCH($E146,Roadmap!$D:$D,0)-1+COUNTIF($E146:H146,"u")+COUNTIF($E146:H146,"t")+COUNTIF($E146:H146,"¶")+COUNTIF($E146:H146,"²")+COUNTIF($E146:H146,"µ")+COUNTIF($E146:H146,1),ColDescriptionCourte)),""),
  "")),"")</f>
        <v/>
      </c>
      <c r="J146" s="40" t="str">
        <f ca="1">IFERROR(IF(AND(
  INDEX(Roadmap!$D:$K,MATCH($E146,Roadmap!$D:$D,0)+COUNTIF($E146:I146,"u")+COUNTIF($E146:I146,"t")+COUNTIF($E146:I146,"¶")+COUNTIF($E146:I146,"²")+COUNTIF($E146:I146,"µ")+COUNTIF($E146:I146,1),ColLivraison)=J$6,
  VLOOKUP($E146,INDIRECT("tri!"&amp; CHAR(64+ C0Col) &amp;":"&amp; CHAR(65+C0Col)),2,FALSE)&gt;COUNTIF($E146:I146,"u")+COUNTIF($E146:I146,"t")+COUNTIF($E146:I146,"¶")+COUNTIF($E146:I146,"²")+COUNTIF($E146:I146,"µ")+COUNTIF($E146:I146,1)),
HYPERLINK("#Roadmap!C"&amp; MATCH($E146,Roadmap!$D:$D,0)+COUNTIF($E146:I146,"u")+COUNTIF($E146:I146,"t"),
     INDEX(Roadmap!$D:$K,MATCH($E146,Roadmap!$D:$D,0)+COUNTIF($E146:I146,"u")+COUNTIF($E146:I146,"t")+COUNTIF($E146:I146,"¶")+COUNTIF($E146:I146,"²")+COUNTIF($E146:I146,"µ")+COUNTIF($E146:I146,1),ColTypeEcheance)),
  IF(LEN(I146)=1,
  IF(LEN(INDEX(Roadmap!$D:$K,MATCH($E146,Roadmap!$D:$D,0)-1+COUNTIF($E146:I146,"u")+COUNTIF($E146:I146,"t")+COUNTIF($E146:I146,"¶")+COUNTIF($E146:I146,"²")+COUNTIF($E146:I146,"µ")+COUNTIF($E146:I146,1),ColDescriptionCourte))&gt;1,
HYPERLINK("#Roadmap!C"&amp; MATCH($E146,Roadmap!$D:$D,0)+COUNTIF($E146:I146,"u")+COUNTIF($E146:I146,"t")+COUNTIF($E146:I146,"¶")+COUNTIF($E146:I146,"²")+COUNTIF($E146:I146,"µ")+COUNTIF($E146:I146,1)-1,INDEX(Roadmap!$D:$K,MATCH($E146,Roadmap!$D:$D,0)-1+COUNTIF($E146:I146,"u")+COUNTIF($E146:I146,"t")+COUNTIF($E146:I146,"¶")+COUNTIF($E146:I146,"²")+COUNTIF($E146:I146,"µ")+COUNTIF($E146:I146,1),ColDescriptionCourte)),""),
  "")),"")</f>
        <v/>
      </c>
      <c r="K146" s="40" t="str">
        <f ca="1">IFERROR(IF(AND(
  INDEX(Roadmap!$D:$K,MATCH($E146,Roadmap!$D:$D,0)+COUNTIF($E146:J146,"u")+COUNTIF($E146:J146,"t")+COUNTIF($E146:J146,"¶")+COUNTIF($E146:J146,"²")+COUNTIF($E146:J146,"µ")+COUNTIF($E146:J146,1),ColLivraison)=K$6,
  VLOOKUP($E146,INDIRECT("tri!"&amp; CHAR(64+ C0Col) &amp;":"&amp; CHAR(65+C0Col)),2,FALSE)&gt;COUNTIF($E146:J146,"u")+COUNTIF($E146:J146,"t")+COUNTIF($E146:J146,"¶")+COUNTIF($E146:J146,"²")+COUNTIF($E146:J146,"µ")+COUNTIF($E146:J146,1)),
HYPERLINK("#Roadmap!C"&amp; MATCH($E146,Roadmap!$D:$D,0)+COUNTIF($E146:J146,"u")+COUNTIF($E146:J146,"t"),
     INDEX(Roadmap!$D:$K,MATCH($E146,Roadmap!$D:$D,0)+COUNTIF($E146:J146,"u")+COUNTIF($E146:J146,"t")+COUNTIF($E146:J146,"¶")+COUNTIF($E146:J146,"²")+COUNTIF($E146:J146,"µ")+COUNTIF($E146:J146,1),ColTypeEcheance)),
  IF(LEN(J146)=1,
  IF(LEN(INDEX(Roadmap!$D:$K,MATCH($E146,Roadmap!$D:$D,0)-1+COUNTIF($E146:J146,"u")+COUNTIF($E146:J146,"t")+COUNTIF($E146:J146,"¶")+COUNTIF($E146:J146,"²")+COUNTIF($E146:J146,"µ")+COUNTIF($E146:J146,1),ColDescriptionCourte))&gt;1,
HYPERLINK("#Roadmap!C"&amp; MATCH($E146,Roadmap!$D:$D,0)+COUNTIF($E146:J146,"u")+COUNTIF($E146:J146,"t")+COUNTIF($E146:J146,"¶")+COUNTIF($E146:J146,"²")+COUNTIF($E146:J146,"µ")+COUNTIF($E146:J146,1)-1,INDEX(Roadmap!$D:$K,MATCH($E146,Roadmap!$D:$D,0)-1+COUNTIF($E146:J146,"u")+COUNTIF($E146:J146,"t")+COUNTIF($E146:J146,"¶")+COUNTIF($E146:J146,"²")+COUNTIF($E146:J146,"µ")+COUNTIF($E146:J146,1),ColDescriptionCourte)),""),
  "")),"")</f>
        <v/>
      </c>
      <c r="L146" s="39" t="str">
        <f ca="1">IFERROR(IF(AND(
  INDEX(Roadmap!$D:$K,MATCH($E146,Roadmap!$D:$D,0)+COUNTIF($E146:K146,"u")+COUNTIF($E146:K146,"t")+COUNTIF($E146:K146,"¶")+COUNTIF($E146:K146,"²")+COUNTIF($E146:K146,"µ")+COUNTIF($E146:K146,1),ColLivraison)=L$6,
  VLOOKUP($E146,INDIRECT("tri!"&amp; CHAR(64+ C0Col) &amp;":"&amp; CHAR(65+C0Col)),2,FALSE)&gt;COUNTIF($E146:K146,"u")+COUNTIF($E146:K146,"t")+COUNTIF($E146:K146,"¶")+COUNTIF($E146:K146,"²")+COUNTIF($E146:K146,"µ")+COUNTIF($E146:K146,1)),
HYPERLINK("#Roadmap!C"&amp; MATCH($E146,Roadmap!$D:$D,0)+COUNTIF($E146:K146,"u")+COUNTIF($E146:K146,"t"),
     INDEX(Roadmap!$D:$K,MATCH($E146,Roadmap!$D:$D,0)+COUNTIF($E146:K146,"u")+COUNTIF($E146:K146,"t")+COUNTIF($E146:K146,"¶")+COUNTIF($E146:K146,"²")+COUNTIF($E146:K146,"µ")+COUNTIF($E146:K146,1),ColTypeEcheance)),
  IF(LEN(K146)=1,
  IF(LEN(INDEX(Roadmap!$D:$K,MATCH($E146,Roadmap!$D:$D,0)-1+COUNTIF($E146:K146,"u")+COUNTIF($E146:K146,"t")+COUNTIF($E146:K146,"¶")+COUNTIF($E146:K146,"²")+COUNTIF($E146:K146,"µ")+COUNTIF($E146:K146,1),ColDescriptionCourte))&gt;1,
HYPERLINK("#Roadmap!C"&amp; MATCH($E146,Roadmap!$D:$D,0)+COUNTIF($E146:K146,"u")+COUNTIF($E146:K146,"t")+COUNTIF($E146:K146,"¶")+COUNTIF($E146:K146,"²")+COUNTIF($E146:K146,"µ")+COUNTIF($E146:K146,1)-1,INDEX(Roadmap!$D:$K,MATCH($E146,Roadmap!$D:$D,0)-1+COUNTIF($E146:K146,"u")+COUNTIF($E146:K146,"t")+COUNTIF($E146:K146,"¶")+COUNTIF($E146:K146,"²")+COUNTIF($E146:K146,"µ")+COUNTIF($E146:K146,1),ColDescriptionCourte)),""),
  "")),"")</f>
        <v/>
      </c>
      <c r="M146" s="40" t="str">
        <f ca="1">IFERROR(IF(AND(
  INDEX(Roadmap!$D:$K,MATCH($E146,Roadmap!$D:$D,0)+COUNTIF($E146:L146,"u")+COUNTIF($E146:L146,"t")+COUNTIF($E146:L146,"¶")+COUNTIF($E146:L146,"²")+COUNTIF($E146:L146,"µ")+COUNTIF($E146:L146,1),ColLivraison)=M$6,
  VLOOKUP($E146,INDIRECT("tri!"&amp; CHAR(64+ C0Col) &amp;":"&amp; CHAR(65+C0Col)),2,FALSE)&gt;COUNTIF($E146:L146,"u")+COUNTIF($E146:L146,"t")+COUNTIF($E146:L146,"¶")+COUNTIF($E146:L146,"²")+COUNTIF($E146:L146,"µ")+COUNTIF($E146:L146,1)),
HYPERLINK("#Roadmap!C"&amp; MATCH($E146,Roadmap!$D:$D,0)+COUNTIF($E146:L146,"u")+COUNTIF($E146:L146,"t"),
     INDEX(Roadmap!$D:$K,MATCH($E146,Roadmap!$D:$D,0)+COUNTIF($E146:L146,"u")+COUNTIF($E146:L146,"t")+COUNTIF($E146:L146,"¶")+COUNTIF($E146:L146,"²")+COUNTIF($E146:L146,"µ")+COUNTIF($E146:L146,1),ColTypeEcheance)),
  IF(LEN(L146)=1,
  IF(LEN(INDEX(Roadmap!$D:$K,MATCH($E146,Roadmap!$D:$D,0)-1+COUNTIF($E146:L146,"u")+COUNTIF($E146:L146,"t")+COUNTIF($E146:L146,"¶")+COUNTIF($E146:L146,"²")+COUNTIF($E146:L146,"µ")+COUNTIF($E146:L146,1),ColDescriptionCourte))&gt;1,
HYPERLINK("#Roadmap!C"&amp; MATCH($E146,Roadmap!$D:$D,0)+COUNTIF($E146:L146,"u")+COUNTIF($E146:L146,"t")+COUNTIF($E146:L146,"¶")+COUNTIF($E146:L146,"²")+COUNTIF($E146:L146,"µ")+COUNTIF($E146:L146,1)-1,INDEX(Roadmap!$D:$K,MATCH($E146,Roadmap!$D:$D,0)-1+COUNTIF($E146:L146,"u")+COUNTIF($E146:L146,"t")+COUNTIF($E146:L146,"¶")+COUNTIF($E146:L146,"²")+COUNTIF($E146:L146,"µ")+COUNTIF($E146:L146,1),ColDescriptionCourte)),""),
  "")),"")</f>
        <v/>
      </c>
      <c r="N146" s="40" t="str">
        <f ca="1">IFERROR(IF(AND(
  INDEX(Roadmap!$D:$K,MATCH($E146,Roadmap!$D:$D,0)+COUNTIF($E146:M146,"u")+COUNTIF($E146:M146,"t")+COUNTIF($E146:M146,"¶")+COUNTIF($E146:M146,"²")+COUNTIF($E146:M146,"µ")+COUNTIF($E146:M146,1),ColLivraison)=N$6,
  VLOOKUP($E146,INDIRECT("tri!"&amp; CHAR(64+ C0Col) &amp;":"&amp; CHAR(65+C0Col)),2,FALSE)&gt;COUNTIF($E146:M146,"u")+COUNTIF($E146:M146,"t")+COUNTIF($E146:M146,"¶")+COUNTIF($E146:M146,"²")+COUNTIF($E146:M146,"µ")+COUNTIF($E146:M146,1)),
HYPERLINK("#Roadmap!C"&amp; MATCH($E146,Roadmap!$D:$D,0)+COUNTIF($E146:M146,"u")+COUNTIF($E146:M146,"t"),
     INDEX(Roadmap!$D:$K,MATCH($E146,Roadmap!$D:$D,0)+COUNTIF($E146:M146,"u")+COUNTIF($E146:M146,"t")+COUNTIF($E146:M146,"¶")+COUNTIF($E146:M146,"²")+COUNTIF($E146:M146,"µ")+COUNTIF($E146:M146,1),ColTypeEcheance)),
  IF(LEN(M146)=1,
  IF(LEN(INDEX(Roadmap!$D:$K,MATCH($E146,Roadmap!$D:$D,0)-1+COUNTIF($E146:M146,"u")+COUNTIF($E146:M146,"t")+COUNTIF($E146:M146,"¶")+COUNTIF($E146:M146,"²")+COUNTIF($E146:M146,"µ")+COUNTIF($E146:M146,1),ColDescriptionCourte))&gt;1,
HYPERLINK("#Roadmap!C"&amp; MATCH($E146,Roadmap!$D:$D,0)+COUNTIF($E146:M146,"u")+COUNTIF($E146:M146,"t")+COUNTIF($E146:M146,"¶")+COUNTIF($E146:M146,"²")+COUNTIF($E146:M146,"µ")+COUNTIF($E146:M146,1)-1,INDEX(Roadmap!$D:$K,MATCH($E146,Roadmap!$D:$D,0)-1+COUNTIF($E146:M146,"u")+COUNTIF($E146:M146,"t")+COUNTIF($E146:M146,"¶")+COUNTIF($E146:M146,"²")+COUNTIF($E146:M146,"µ")+COUNTIF($E146:M146,1),ColDescriptionCourte)),""),
  "")),"")</f>
        <v/>
      </c>
      <c r="O146" s="40" t="str">
        <f ca="1">IFERROR(IF(AND(
  INDEX(Roadmap!$D:$K,MATCH($E146,Roadmap!$D:$D,0)+COUNTIF($E146:N146,"u")+COUNTIF($E146:N146,"t")+COUNTIF($E146:N146,"¶")+COUNTIF($E146:N146,"²")+COUNTIF($E146:N146,"µ")+COUNTIF($E146:N146,1),ColLivraison)=O$6,
  VLOOKUP($E146,INDIRECT("tri!"&amp; CHAR(64+ C0Col) &amp;":"&amp; CHAR(65+C0Col)),2,FALSE)&gt;COUNTIF($E146:N146,"u")+COUNTIF($E146:N146,"t")+COUNTIF($E146:N146,"¶")+COUNTIF($E146:N146,"²")+COUNTIF($E146:N146,"µ")+COUNTIF($E146:N146,1)),
HYPERLINK("#Roadmap!C"&amp; MATCH($E146,Roadmap!$D:$D,0)+COUNTIF($E146:N146,"u")+COUNTIF($E146:N146,"t"),
     INDEX(Roadmap!$D:$K,MATCH($E146,Roadmap!$D:$D,0)+COUNTIF($E146:N146,"u")+COUNTIF($E146:N146,"t")+COUNTIF($E146:N146,"¶")+COUNTIF($E146:N146,"²")+COUNTIF($E146:N146,"µ")+COUNTIF($E146:N146,1),ColTypeEcheance)),
  IF(LEN(N146)=1,
  IF(LEN(INDEX(Roadmap!$D:$K,MATCH($E146,Roadmap!$D:$D,0)-1+COUNTIF($E146:N146,"u")+COUNTIF($E146:N146,"t")+COUNTIF($E146:N146,"¶")+COUNTIF($E146:N146,"²")+COUNTIF($E146:N146,"µ")+COUNTIF($E146:N146,1),ColDescriptionCourte))&gt;1,
HYPERLINK("#Roadmap!C"&amp; MATCH($E146,Roadmap!$D:$D,0)+COUNTIF($E146:N146,"u")+COUNTIF($E146:N146,"t")+COUNTIF($E146:N146,"¶")+COUNTIF($E146:N146,"²")+COUNTIF($E146:N146,"µ")+COUNTIF($E146:N146,1)-1,INDEX(Roadmap!$D:$K,MATCH($E146,Roadmap!$D:$D,0)-1+COUNTIF($E146:N146,"u")+COUNTIF($E146:N146,"t")+COUNTIF($E146:N146,"¶")+COUNTIF($E146:N146,"²")+COUNTIF($E146:N146,"µ")+COUNTIF($E146:N146,1),ColDescriptionCourte)),""),
  "")),"")</f>
        <v/>
      </c>
      <c r="P146" s="40" t="str">
        <f ca="1">IFERROR(IF(AND(
  INDEX(Roadmap!$D:$K,MATCH($E146,Roadmap!$D:$D,0)+COUNTIF($E146:O146,"u")+COUNTIF($E146:O146,"t")+COUNTIF($E146:O146,"¶")+COUNTIF($E146:O146,"²")+COUNTIF($E146:O146,"µ")+COUNTIF($E146:O146,1),ColLivraison)=P$6,
  VLOOKUP($E146,INDIRECT("tri!"&amp; CHAR(64+ C0Col) &amp;":"&amp; CHAR(65+C0Col)),2,FALSE)&gt;COUNTIF($E146:O146,"u")+COUNTIF($E146:O146,"t")+COUNTIF($E146:O146,"¶")+COUNTIF($E146:O146,"²")+COUNTIF($E146:O146,"µ")+COUNTIF($E146:O146,1)),
HYPERLINK("#Roadmap!C"&amp; MATCH($E146,Roadmap!$D:$D,0)+COUNTIF($E146:O146,"u")+COUNTIF($E146:O146,"t"),
     INDEX(Roadmap!$D:$K,MATCH($E146,Roadmap!$D:$D,0)+COUNTIF($E146:O146,"u")+COUNTIF($E146:O146,"t")+COUNTIF($E146:O146,"¶")+COUNTIF($E146:O146,"²")+COUNTIF($E146:O146,"µ")+COUNTIF($E146:O146,1),ColTypeEcheance)),
  IF(LEN(O146)=1,
  IF(LEN(INDEX(Roadmap!$D:$K,MATCH($E146,Roadmap!$D:$D,0)-1+COUNTIF($E146:O146,"u")+COUNTIF($E146:O146,"t")+COUNTIF($E146:O146,"¶")+COUNTIF($E146:O146,"²")+COUNTIF($E146:O146,"µ")+COUNTIF($E146:O146,1),ColDescriptionCourte))&gt;1,
HYPERLINK("#Roadmap!C"&amp; MATCH($E146,Roadmap!$D:$D,0)+COUNTIF($E146:O146,"u")+COUNTIF($E146:O146,"t")+COUNTIF($E146:O146,"¶")+COUNTIF($E146:O146,"²")+COUNTIF($E146:O146,"µ")+COUNTIF($E146:O146,1)-1,INDEX(Roadmap!$D:$K,MATCH($E146,Roadmap!$D:$D,0)-1+COUNTIF($E146:O146,"u")+COUNTIF($E146:O146,"t")+COUNTIF($E146:O146,"¶")+COUNTIF($E146:O146,"²")+COUNTIF($E146:O146,"µ")+COUNTIF($E146:O146,1),ColDescriptionCourte)),""),
  "")),"")</f>
        <v/>
      </c>
      <c r="Q146" s="40" t="str">
        <f ca="1">IFERROR(IF(AND(
  INDEX(Roadmap!$D:$K,MATCH($E146,Roadmap!$D:$D,0)+COUNTIF($E146:P146,"u")+COUNTIF($E146:P146,"t")+COUNTIF($E146:P146,"¶")+COUNTIF($E146:P146,"²")+COUNTIF($E146:P146,"µ")+COUNTIF($E146:P146,1),ColLivraison)=Q$6,
  VLOOKUP($E146,INDIRECT("tri!"&amp; CHAR(64+ C0Col) &amp;":"&amp; CHAR(65+C0Col)),2,FALSE)&gt;COUNTIF($E146:P146,"u")+COUNTIF($E146:P146,"t")+COUNTIF($E146:P146,"¶")+COUNTIF($E146:P146,"²")+COUNTIF($E146:P146,"µ")+COUNTIF($E146:P146,1)),
HYPERLINK("#Roadmap!C"&amp; MATCH($E146,Roadmap!$D:$D,0)+COUNTIF($E146:P146,"u")+COUNTIF($E146:P146,"t"),
     INDEX(Roadmap!$D:$K,MATCH($E146,Roadmap!$D:$D,0)+COUNTIF($E146:P146,"u")+COUNTIF($E146:P146,"t")+COUNTIF($E146:P146,"¶")+COUNTIF($E146:P146,"²")+COUNTIF($E146:P146,"µ")+COUNTIF($E146:P146,1),ColTypeEcheance)),
  IF(LEN(P146)=1,
  IF(LEN(INDEX(Roadmap!$D:$K,MATCH($E146,Roadmap!$D:$D,0)-1+COUNTIF($E146:P146,"u")+COUNTIF($E146:P146,"t")+COUNTIF($E146:P146,"¶")+COUNTIF($E146:P146,"²")+COUNTIF($E146:P146,"µ")+COUNTIF($E146:P146,1),ColDescriptionCourte))&gt;1,
HYPERLINK("#Roadmap!C"&amp; MATCH($E146,Roadmap!$D:$D,0)+COUNTIF($E146:P146,"u")+COUNTIF($E146:P146,"t")+COUNTIF($E146:P146,"¶")+COUNTIF($E146:P146,"²")+COUNTIF($E146:P146,"µ")+COUNTIF($E146:P146,1)-1,INDEX(Roadmap!$D:$K,MATCH($E146,Roadmap!$D:$D,0)-1+COUNTIF($E146:P146,"u")+COUNTIF($E146:P146,"t")+COUNTIF($E146:P146,"¶")+COUNTIF($E146:P146,"²")+COUNTIF($E146:P146,"µ")+COUNTIF($E146:P146,1),ColDescriptionCourte)),""),
  "")),"")</f>
        <v/>
      </c>
      <c r="R146" s="40" t="str">
        <f ca="1">IFERROR(IF(AND(
  INDEX(Roadmap!$D:$K,MATCH($E146,Roadmap!$D:$D,0)+COUNTIF($E146:Q146,"u")+COUNTIF($E146:Q146,"t")+COUNTIF($E146:Q146,"¶")+COUNTIF($E146:Q146,"²")+COUNTIF($E146:Q146,"µ")+COUNTIF($E146:Q146,1),ColLivraison)=R$6,
  VLOOKUP($E146,INDIRECT("tri!"&amp; CHAR(64+ C0Col) &amp;":"&amp; CHAR(65+C0Col)),2,FALSE)&gt;COUNTIF($E146:Q146,"u")+COUNTIF($E146:Q146,"t")+COUNTIF($E146:Q146,"¶")+COUNTIF($E146:Q146,"²")+COUNTIF($E146:Q146,"µ")+COUNTIF($E146:Q146,1)),
HYPERLINK("#Roadmap!C"&amp; MATCH($E146,Roadmap!$D:$D,0)+COUNTIF($E146:Q146,"u")+COUNTIF($E146:Q146,"t"),
     INDEX(Roadmap!$D:$K,MATCH($E146,Roadmap!$D:$D,0)+COUNTIF($E146:Q146,"u")+COUNTIF($E146:Q146,"t")+COUNTIF($E146:Q146,"¶")+COUNTIF($E146:Q146,"²")+COUNTIF($E146:Q146,"µ")+COUNTIF($E146:Q146,1),ColTypeEcheance)),
  IF(LEN(Q146)=1,
  IF(LEN(INDEX(Roadmap!$D:$K,MATCH($E146,Roadmap!$D:$D,0)-1+COUNTIF($E146:Q146,"u")+COUNTIF($E146:Q146,"t")+COUNTIF($E146:Q146,"¶")+COUNTIF($E146:Q146,"²")+COUNTIF($E146:Q146,"µ")+COUNTIF($E146:Q146,1),ColDescriptionCourte))&gt;1,
HYPERLINK("#Roadmap!C"&amp; MATCH($E146,Roadmap!$D:$D,0)+COUNTIF($E146:Q146,"u")+COUNTIF($E146:Q146,"t")+COUNTIF($E146:Q146,"¶")+COUNTIF($E146:Q146,"²")+COUNTIF($E146:Q146,"µ")+COUNTIF($E146:Q146,1)-1,INDEX(Roadmap!$D:$K,MATCH($E146,Roadmap!$D:$D,0)-1+COUNTIF($E146:Q146,"u")+COUNTIF($E146:Q146,"t")+COUNTIF($E146:Q146,"¶")+COUNTIF($E146:Q146,"²")+COUNTIF($E146:Q146,"µ")+COUNTIF($E146:Q146,1),ColDescriptionCourte)),""),
  "")),"")</f>
        <v/>
      </c>
      <c r="S146" s="40" t="str">
        <f ca="1">IFERROR(IF(AND(
  INDEX(Roadmap!$D:$K,MATCH($E146,Roadmap!$D:$D,0)+COUNTIF($E146:R146,"u")+COUNTIF($E146:R146,"t")+COUNTIF($E146:R146,"¶")+COUNTIF($E146:R146,"²")+COUNTIF($E146:R146,"µ")+COUNTIF($E146:R146,1),ColLivraison)=S$6,
  VLOOKUP($E146,INDIRECT("tri!"&amp; CHAR(64+ C0Col) &amp;":"&amp; CHAR(65+C0Col)),2,FALSE)&gt;COUNTIF($E146:R146,"u")+COUNTIF($E146:R146,"t")+COUNTIF($E146:R146,"¶")+COUNTIF($E146:R146,"²")+COUNTIF($E146:R146,"µ")+COUNTIF($E146:R146,1)),
HYPERLINK("#Roadmap!C"&amp; MATCH($E146,Roadmap!$D:$D,0)+COUNTIF($E146:R146,"u")+COUNTIF($E146:R146,"t"),
     INDEX(Roadmap!$D:$K,MATCH($E146,Roadmap!$D:$D,0)+COUNTIF($E146:R146,"u")+COUNTIF($E146:R146,"t")+COUNTIF($E146:R146,"¶")+COUNTIF($E146:R146,"²")+COUNTIF($E146:R146,"µ")+COUNTIF($E146:R146,1),ColTypeEcheance)),
  IF(LEN(R146)=1,
  IF(LEN(INDEX(Roadmap!$D:$K,MATCH($E146,Roadmap!$D:$D,0)-1+COUNTIF($E146:R146,"u")+COUNTIF($E146:R146,"t")+COUNTIF($E146:R146,"¶")+COUNTIF($E146:R146,"²")+COUNTIF($E146:R146,"µ")+COUNTIF($E146:R146,1),ColDescriptionCourte))&gt;1,
HYPERLINK("#Roadmap!C"&amp; MATCH($E146,Roadmap!$D:$D,0)+COUNTIF($E146:R146,"u")+COUNTIF($E146:R146,"t")+COUNTIF($E146:R146,"¶")+COUNTIF($E146:R146,"²")+COUNTIF($E146:R146,"µ")+COUNTIF($E146:R146,1)-1,INDEX(Roadmap!$D:$K,MATCH($E146,Roadmap!$D:$D,0)-1+COUNTIF($E146:R146,"u")+COUNTIF($E146:R146,"t")+COUNTIF($E146:R146,"¶")+COUNTIF($E146:R146,"²")+COUNTIF($E146:R146,"µ")+COUNTIF($E146:R146,1),ColDescriptionCourte)),""),
  "")),"")</f>
        <v/>
      </c>
      <c r="T146" s="40" t="str">
        <f ca="1">IFERROR(IF(AND(
  INDEX(Roadmap!$D:$K,MATCH($E146,Roadmap!$D:$D,0)+COUNTIF($E146:S146,"u")+COUNTIF($E146:S146,"t")+COUNTIF($E146:S146,"¶")+COUNTIF($E146:S146,"²")+COUNTIF($E146:S146,"µ")+COUNTIF($E146:S146,1),ColLivraison)=T$6,
  VLOOKUP($E146,INDIRECT("tri!"&amp; CHAR(64+ C0Col) &amp;":"&amp; CHAR(65+C0Col)),2,FALSE)&gt;COUNTIF($E146:S146,"u")+COUNTIF($E146:S146,"t")+COUNTIF($E146:S146,"¶")+COUNTIF($E146:S146,"²")+COUNTIF($E146:S146,"µ")+COUNTIF($E146:S146,1)),
HYPERLINK("#Roadmap!C"&amp; MATCH($E146,Roadmap!$D:$D,0)+COUNTIF($E146:S146,"u")+COUNTIF($E146:S146,"t"),
     INDEX(Roadmap!$D:$K,MATCH($E146,Roadmap!$D:$D,0)+COUNTIF($E146:S146,"u")+COUNTIF($E146:S146,"t")+COUNTIF($E146:S146,"¶")+COUNTIF($E146:S146,"²")+COUNTIF($E146:S146,"µ")+COUNTIF($E146:S146,1),ColTypeEcheance)),
  IF(LEN(S146)=1,
  IF(LEN(INDEX(Roadmap!$D:$K,MATCH($E146,Roadmap!$D:$D,0)-1+COUNTIF($E146:S146,"u")+COUNTIF($E146:S146,"t")+COUNTIF($E146:S146,"¶")+COUNTIF($E146:S146,"²")+COUNTIF($E146:S146,"µ")+COUNTIF($E146:S146,1),ColDescriptionCourte))&gt;1,
HYPERLINK("#Roadmap!C"&amp; MATCH($E146,Roadmap!$D:$D,0)+COUNTIF($E146:S146,"u")+COUNTIF($E146:S146,"t")+COUNTIF($E146:S146,"¶")+COUNTIF($E146:S146,"²")+COUNTIF($E146:S146,"µ")+COUNTIF($E146:S146,1)-1,INDEX(Roadmap!$D:$K,MATCH($E146,Roadmap!$D:$D,0)-1+COUNTIF($E146:S146,"u")+COUNTIF($E146:S146,"t")+COUNTIF($E146:S146,"¶")+COUNTIF($E146:S146,"²")+COUNTIF($E146:S146,"µ")+COUNTIF($E146:S146,1),ColDescriptionCourte)),""),
  "")),"")</f>
        <v/>
      </c>
      <c r="U146" s="40" t="str">
        <f ca="1">IFERROR(IF(AND(
  INDEX(Roadmap!$D:$K,MATCH($E146,Roadmap!$D:$D,0)+COUNTIF($E146:T146,"u")+COUNTIF($E146:T146,"t")+COUNTIF($E146:T146,"¶")+COUNTIF($E146:T146,"²")+COUNTIF($E146:T146,"µ")+COUNTIF($E146:T146,1),ColLivraison)=U$6,
  VLOOKUP($E146,INDIRECT("tri!"&amp; CHAR(64+ C0Col) &amp;":"&amp; CHAR(65+C0Col)),2,FALSE)&gt;COUNTIF($E146:T146,"u")+COUNTIF($E146:T146,"t")+COUNTIF($E146:T146,"¶")+COUNTIF($E146:T146,"²")+COUNTIF($E146:T146,"µ")+COUNTIF($E146:T146,1)),
HYPERLINK("#Roadmap!C"&amp; MATCH($E146,Roadmap!$D:$D,0)+COUNTIF($E146:T146,"u")+COUNTIF($E146:T146,"t"),
     INDEX(Roadmap!$D:$K,MATCH($E146,Roadmap!$D:$D,0)+COUNTIF($E146:T146,"u")+COUNTIF($E146:T146,"t")+COUNTIF($E146:T146,"¶")+COUNTIF($E146:T146,"²")+COUNTIF($E146:T146,"µ")+COUNTIF($E146:T146,1),ColTypeEcheance)),
  IF(LEN(T146)=1,
  IF(LEN(INDEX(Roadmap!$D:$K,MATCH($E146,Roadmap!$D:$D,0)-1+COUNTIF($E146:T146,"u")+COUNTIF($E146:T146,"t")+COUNTIF($E146:T146,"¶")+COUNTIF($E146:T146,"²")+COUNTIF($E146:T146,"µ")+COUNTIF($E146:T146,1),ColDescriptionCourte))&gt;1,
HYPERLINK("#Roadmap!C"&amp; MATCH($E146,Roadmap!$D:$D,0)+COUNTIF($E146:T146,"u")+COUNTIF($E146:T146,"t")+COUNTIF($E146:T146,"¶")+COUNTIF($E146:T146,"²")+COUNTIF($E146:T146,"µ")+COUNTIF($E146:T146,1)-1,INDEX(Roadmap!$D:$K,MATCH($E146,Roadmap!$D:$D,0)-1+COUNTIF($E146:T146,"u")+COUNTIF($E146:T146,"t")+COUNTIF($E146:T146,"¶")+COUNTIF($E146:T146,"²")+COUNTIF($E146:T146,"µ")+COUNTIF($E146:T146,1),ColDescriptionCourte)),""),
  "")),"")</f>
        <v/>
      </c>
      <c r="V146" s="40" t="str">
        <f ca="1">IFERROR(IF(AND(
  INDEX(Roadmap!$D:$K,MATCH($E146,Roadmap!$D:$D,0)+COUNTIF($E146:U146,"u")+COUNTIF($E146:U146,"t")+COUNTIF($E146:U146,"¶")+COUNTIF($E146:U146,"²")+COUNTIF($E146:U146,"µ")+COUNTIF($E146:U146,1),ColLivraison)=V$6,
  VLOOKUP($E146,INDIRECT("tri!"&amp; CHAR(64+ C0Col) &amp;":"&amp; CHAR(65+C0Col)),2,FALSE)&gt;COUNTIF($E146:U146,"u")+COUNTIF($E146:U146,"t")+COUNTIF($E146:U146,"¶")+COUNTIF($E146:U146,"²")+COUNTIF($E146:U146,"µ")+COUNTIF($E146:U146,1)),
HYPERLINK("#Roadmap!C"&amp; MATCH($E146,Roadmap!$D:$D,0)+COUNTIF($E146:U146,"u")+COUNTIF($E146:U146,"t"),
     INDEX(Roadmap!$D:$K,MATCH($E146,Roadmap!$D:$D,0)+COUNTIF($E146:U146,"u")+COUNTIF($E146:U146,"t")+COUNTIF($E146:U146,"¶")+COUNTIF($E146:U146,"²")+COUNTIF($E146:U146,"µ")+COUNTIF($E146:U146,1),ColTypeEcheance)),
  IF(LEN(U146)=1,
  IF(LEN(INDEX(Roadmap!$D:$K,MATCH($E146,Roadmap!$D:$D,0)-1+COUNTIF($E146:U146,"u")+COUNTIF($E146:U146,"t")+COUNTIF($E146:U146,"¶")+COUNTIF($E146:U146,"²")+COUNTIF($E146:U146,"µ")+COUNTIF($E146:U146,1),ColDescriptionCourte))&gt;1,
HYPERLINK("#Roadmap!C"&amp; MATCH($E146,Roadmap!$D:$D,0)+COUNTIF($E146:U146,"u")+COUNTIF($E146:U146,"t")+COUNTIF($E146:U146,"¶")+COUNTIF($E146:U146,"²")+COUNTIF($E146:U146,"µ")+COUNTIF($E146:U146,1)-1,INDEX(Roadmap!$D:$K,MATCH($E146,Roadmap!$D:$D,0)-1+COUNTIF($E146:U146,"u")+COUNTIF($E146:U146,"t")+COUNTIF($E146:U146,"¶")+COUNTIF($E146:U146,"²")+COUNTIF($E146:U146,"µ")+COUNTIF($E146:U146,1),ColDescriptionCourte)),""),
  "")),"")</f>
        <v/>
      </c>
      <c r="W146" s="40" t="str">
        <f ca="1">IFERROR(IF(AND(
  INDEX(Roadmap!$D:$K,MATCH($E146,Roadmap!$D:$D,0)+COUNTIF($E146:V146,"u")+COUNTIF($E146:V146,"t")+COUNTIF($E146:V146,"¶")+COUNTIF($E146:V146,"²")+COUNTIF($E146:V146,"µ")+COUNTIF($E146:V146,1),ColLivraison)=W$6,
  VLOOKUP($E146,INDIRECT("tri!"&amp; CHAR(64+ C0Col) &amp;":"&amp; CHAR(65+C0Col)),2,FALSE)&gt;COUNTIF($E146:V146,"u")+COUNTIF($E146:V146,"t")+COUNTIF($E146:V146,"¶")+COUNTIF($E146:V146,"²")+COUNTIF($E146:V146,"µ")+COUNTIF($E146:V146,1)),
HYPERLINK("#Roadmap!C"&amp; MATCH($E146,Roadmap!$D:$D,0)+COUNTIF($E146:V146,"u")+COUNTIF($E146:V146,"t"),
     INDEX(Roadmap!$D:$K,MATCH($E146,Roadmap!$D:$D,0)+COUNTIF($E146:V146,"u")+COUNTIF($E146:V146,"t")+COUNTIF($E146:V146,"¶")+COUNTIF($E146:V146,"²")+COUNTIF($E146:V146,"µ")+COUNTIF($E146:V146,1),ColTypeEcheance)),
  IF(LEN(V146)=1,
  IF(LEN(INDEX(Roadmap!$D:$K,MATCH($E146,Roadmap!$D:$D,0)-1+COUNTIF($E146:V146,"u")+COUNTIF($E146:V146,"t")+COUNTIF($E146:V146,"¶")+COUNTIF($E146:V146,"²")+COUNTIF($E146:V146,"µ")+COUNTIF($E146:V146,1),ColDescriptionCourte))&gt;1,
HYPERLINK("#Roadmap!C"&amp; MATCH($E146,Roadmap!$D:$D,0)+COUNTIF($E146:V146,"u")+COUNTIF($E146:V146,"t")+COUNTIF($E146:V146,"¶")+COUNTIF($E146:V146,"²")+COUNTIF($E146:V146,"µ")+COUNTIF($E146:V146,1)-1,INDEX(Roadmap!$D:$K,MATCH($E146,Roadmap!$D:$D,0)-1+COUNTIF($E146:V146,"u")+COUNTIF($E146:V146,"t")+COUNTIF($E146:V146,"¶")+COUNTIF($E146:V146,"²")+COUNTIF($E146:V146,"µ")+COUNTIF($E146:V146,1),ColDescriptionCourte)),""),
  "")),"")</f>
        <v/>
      </c>
      <c r="X146" s="40" t="str">
        <f ca="1">IFERROR(IF(AND(
  INDEX(Roadmap!$D:$K,MATCH($E146,Roadmap!$D:$D,0)+COUNTIF($E146:W146,"u")+COUNTIF($E146:W146,"t")+COUNTIF($E146:W146,"¶")+COUNTIF($E146:W146,"²")+COUNTIF($E146:W146,"µ")+COUNTIF($E146:W146,1),ColLivraison)=X$6,
  VLOOKUP($E146,INDIRECT("tri!"&amp; CHAR(64+ C0Col) &amp;":"&amp; CHAR(65+C0Col)),2,FALSE)&gt;COUNTIF($E146:W146,"u")+COUNTIF($E146:W146,"t")+COUNTIF($E146:W146,"¶")+COUNTIF($E146:W146,"²")+COUNTIF($E146:W146,"µ")+COUNTIF($E146:W146,1)),
HYPERLINK("#Roadmap!C"&amp; MATCH($E146,Roadmap!$D:$D,0)+COUNTIF($E146:W146,"u")+COUNTIF($E146:W146,"t"),
     INDEX(Roadmap!$D:$K,MATCH($E146,Roadmap!$D:$D,0)+COUNTIF($E146:W146,"u")+COUNTIF($E146:W146,"t")+COUNTIF($E146:W146,"¶")+COUNTIF($E146:W146,"²")+COUNTIF($E146:W146,"µ")+COUNTIF($E146:W146,1),ColTypeEcheance)),
  IF(LEN(W146)=1,
  IF(LEN(INDEX(Roadmap!$D:$K,MATCH($E146,Roadmap!$D:$D,0)-1+COUNTIF($E146:W146,"u")+COUNTIF($E146:W146,"t")+COUNTIF($E146:W146,"¶")+COUNTIF($E146:W146,"²")+COUNTIF($E146:W146,"µ")+COUNTIF($E146:W146,1),ColDescriptionCourte))&gt;1,
HYPERLINK("#Roadmap!C"&amp; MATCH($E146,Roadmap!$D:$D,0)+COUNTIF($E146:W146,"u")+COUNTIF($E146:W146,"t")+COUNTIF($E146:W146,"¶")+COUNTIF($E146:W146,"²")+COUNTIF($E146:W146,"µ")+COUNTIF($E146:W146,1)-1,INDEX(Roadmap!$D:$K,MATCH($E146,Roadmap!$D:$D,0)-1+COUNTIF($E146:W146,"u")+COUNTIF($E146:W146,"t")+COUNTIF($E146:W146,"¶")+COUNTIF($E146:W146,"²")+COUNTIF($E146:W146,"µ")+COUNTIF($E146:W146,1),ColDescriptionCourte)),""),
  "")),"")</f>
        <v/>
      </c>
      <c r="Y146" s="40" t="str">
        <f ca="1">IFERROR(IF(AND(
  INDEX(Roadmap!$D:$K,MATCH($E146,Roadmap!$D:$D,0)+COUNTIF($E146:X146,"u")+COUNTIF($E146:X146,"t")+COUNTIF($E146:X146,"¶")+COUNTIF($E146:X146,"²")+COUNTIF($E146:X146,"µ")+COUNTIF($E146:X146,1),ColLivraison)=Y$6,
  VLOOKUP($E146,INDIRECT("tri!"&amp; CHAR(64+ C0Col) &amp;":"&amp; CHAR(65+C0Col)),2,FALSE)&gt;COUNTIF($E146:X146,"u")+COUNTIF($E146:X146,"t")+COUNTIF($E146:X146,"¶")+COUNTIF($E146:X146,"²")+COUNTIF($E146:X146,"µ")+COUNTIF($E146:X146,1)),
HYPERLINK("#Roadmap!C"&amp; MATCH($E146,Roadmap!$D:$D,0)+COUNTIF($E146:X146,"u")+COUNTIF($E146:X146,"t"),
     INDEX(Roadmap!$D:$K,MATCH($E146,Roadmap!$D:$D,0)+COUNTIF($E146:X146,"u")+COUNTIF($E146:X146,"t")+COUNTIF($E146:X146,"¶")+COUNTIF($E146:X146,"²")+COUNTIF($E146:X146,"µ")+COUNTIF($E146:X146,1),ColTypeEcheance)),
  IF(LEN(X146)=1,
  IF(LEN(INDEX(Roadmap!$D:$K,MATCH($E146,Roadmap!$D:$D,0)-1+COUNTIF($E146:X146,"u")+COUNTIF($E146:X146,"t")+COUNTIF($E146:X146,"¶")+COUNTIF($E146:X146,"²")+COUNTIF($E146:X146,"µ")+COUNTIF($E146:X146,1),ColDescriptionCourte))&gt;1,
HYPERLINK("#Roadmap!C"&amp; MATCH($E146,Roadmap!$D:$D,0)+COUNTIF($E146:X146,"u")+COUNTIF($E146:X146,"t")+COUNTIF($E146:X146,"¶")+COUNTIF($E146:X146,"²")+COUNTIF($E146:X146,"µ")+COUNTIF($E146:X146,1)-1,INDEX(Roadmap!$D:$K,MATCH($E146,Roadmap!$D:$D,0)-1+COUNTIF($E146:X146,"u")+COUNTIF($E146:X146,"t")+COUNTIF($E146:X146,"¶")+COUNTIF($E146:X146,"²")+COUNTIF($E146:X146,"µ")+COUNTIF($E146:X146,1),ColDescriptionCourte)),""),
  "")),"")</f>
        <v/>
      </c>
      <c r="Z146" s="40" t="str">
        <f ca="1">IFERROR(IF(AND(
  INDEX(Roadmap!$D:$K,MATCH($E146,Roadmap!$D:$D,0)+COUNTIF($E146:Y146,"u")+COUNTIF($E146:Y146,"t")+COUNTIF($E146:Y146,"¶")+COUNTIF($E146:Y146,"²")+COUNTIF($E146:Y146,"µ")+COUNTIF($E146:Y146,1),ColLivraison)=Z$6,
  VLOOKUP($E146,INDIRECT("tri!"&amp; CHAR(64+ C0Col) &amp;":"&amp; CHAR(65+C0Col)),2,FALSE)&gt;COUNTIF($E146:Y146,"u")+COUNTIF($E146:Y146,"t")+COUNTIF($E146:Y146,"¶")+COUNTIF($E146:Y146,"²")+COUNTIF($E146:Y146,"µ")+COUNTIF($E146:Y146,1)),
HYPERLINK("#Roadmap!C"&amp; MATCH($E146,Roadmap!$D:$D,0)+COUNTIF($E146:Y146,"u")+COUNTIF($E146:Y146,"t"),
     INDEX(Roadmap!$D:$K,MATCH($E146,Roadmap!$D:$D,0)+COUNTIF($E146:Y146,"u")+COUNTIF($E146:Y146,"t")+COUNTIF($E146:Y146,"¶")+COUNTIF($E146:Y146,"²")+COUNTIF($E146:Y146,"µ")+COUNTIF($E146:Y146,1),ColTypeEcheance)),
  IF(LEN(Y146)=1,
  IF(LEN(INDEX(Roadmap!$D:$K,MATCH($E146,Roadmap!$D:$D,0)-1+COUNTIF($E146:Y146,"u")+COUNTIF($E146:Y146,"t")+COUNTIF($E146:Y146,"¶")+COUNTIF($E146:Y146,"²")+COUNTIF($E146:Y146,"µ")+COUNTIF($E146:Y146,1),ColDescriptionCourte))&gt;1,
HYPERLINK("#Roadmap!C"&amp; MATCH($E146,Roadmap!$D:$D,0)+COUNTIF($E146:Y146,"u")+COUNTIF($E146:Y146,"t")+COUNTIF($E146:Y146,"¶")+COUNTIF($E146:Y146,"²")+COUNTIF($E146:Y146,"µ")+COUNTIF($E146:Y146,1)-1,INDEX(Roadmap!$D:$K,MATCH($E146,Roadmap!$D:$D,0)-1+COUNTIF($E146:Y146,"u")+COUNTIF($E146:Y146,"t")+COUNTIF($E146:Y146,"¶")+COUNTIF($E146:Y146,"²")+COUNTIF($E146:Y146,"µ")+COUNTIF($E146:Y146,1),ColDescriptionCourte)),""),
  "")),"")</f>
        <v/>
      </c>
      <c r="AA146" s="40" t="str">
        <f ca="1">IFERROR(IF(AND(
  INDEX(Roadmap!$D:$K,MATCH($E146,Roadmap!$D:$D,0)+COUNTIF($E146:Z146,"u")+COUNTIF($E146:Z146,"t")+COUNTIF($E146:Z146,"¶")+COUNTIF($E146:Z146,"²")+COUNTIF($E146:Z146,"µ")+COUNTIF($E146:Z146,1),ColLivraison)=AA$6,
  VLOOKUP($E146,INDIRECT("tri!"&amp; CHAR(64+ C0Col) &amp;":"&amp; CHAR(65+C0Col)),2,FALSE)&gt;COUNTIF($E146:Z146,"u")+COUNTIF($E146:Z146,"t")+COUNTIF($E146:Z146,"¶")+COUNTIF($E146:Z146,"²")+COUNTIF($E146:Z146,"µ")+COUNTIF($E146:Z146,1)),
HYPERLINK("#Roadmap!C"&amp; MATCH($E146,Roadmap!$D:$D,0)+COUNTIF($E146:Z146,"u")+COUNTIF($E146:Z146,"t"),
     INDEX(Roadmap!$D:$K,MATCH($E146,Roadmap!$D:$D,0)+COUNTIF($E146:Z146,"u")+COUNTIF($E146:Z146,"t")+COUNTIF($E146:Z146,"¶")+COUNTIF($E146:Z146,"²")+COUNTIF($E146:Z146,"µ")+COUNTIF($E146:Z146,1),ColTypeEcheance)),
  IF(LEN(Z146)=1,
  IF(LEN(INDEX(Roadmap!$D:$K,MATCH($E146,Roadmap!$D:$D,0)-1+COUNTIF($E146:Z146,"u")+COUNTIF($E146:Z146,"t")+COUNTIF($E146:Z146,"¶")+COUNTIF($E146:Z146,"²")+COUNTIF($E146:Z146,"µ")+COUNTIF($E146:Z146,1),ColDescriptionCourte))&gt;1,
HYPERLINK("#Roadmap!C"&amp; MATCH($E146,Roadmap!$D:$D,0)+COUNTIF($E146:Z146,"u")+COUNTIF($E146:Z146,"t")+COUNTIF($E146:Z146,"¶")+COUNTIF($E146:Z146,"²")+COUNTIF($E146:Z146,"µ")+COUNTIF($E146:Z146,1)-1,INDEX(Roadmap!$D:$K,MATCH($E146,Roadmap!$D:$D,0)-1+COUNTIF($E146:Z146,"u")+COUNTIF($E146:Z146,"t")+COUNTIF($E146:Z146,"¶")+COUNTIF($E146:Z146,"²")+COUNTIF($E146:Z146,"µ")+COUNTIF($E146:Z146,1),ColDescriptionCourte)),""),
  "")),"")</f>
        <v/>
      </c>
      <c r="AB146" s="40" t="str">
        <f ca="1">IFERROR(IF(AND(
  INDEX(Roadmap!$D:$K,MATCH($E146,Roadmap!$D:$D,0)+COUNTIF($E146:AA146,"u")+COUNTIF($E146:AA146,"t")+COUNTIF($E146:AA146,"¶")+COUNTIF($E146:AA146,"²")+COUNTIF($E146:AA146,"µ")+COUNTIF($E146:AA146,1),ColLivraison)=AB$6,
  VLOOKUP($E146,INDIRECT("tri!"&amp; CHAR(64+ C0Col) &amp;":"&amp; CHAR(65+C0Col)),2,FALSE)&gt;COUNTIF($E146:AA146,"u")+COUNTIF($E146:AA146,"t")+COUNTIF($E146:AA146,"¶")+COUNTIF($E146:AA146,"²")+COUNTIF($E146:AA146,"µ")+COUNTIF($E146:AA146,1)),
HYPERLINK("#Roadmap!C"&amp; MATCH($E146,Roadmap!$D:$D,0)+COUNTIF($E146:AA146,"u")+COUNTIF($E146:AA146,"t"),
     INDEX(Roadmap!$D:$K,MATCH($E146,Roadmap!$D:$D,0)+COUNTIF($E146:AA146,"u")+COUNTIF($E146:AA146,"t")+COUNTIF($E146:AA146,"¶")+COUNTIF($E146:AA146,"²")+COUNTIF($E146:AA146,"µ")+COUNTIF($E146:AA146,1),ColTypeEcheance)),
  IF(LEN(AA146)=1,
  IF(LEN(INDEX(Roadmap!$D:$K,MATCH($E146,Roadmap!$D:$D,0)-1+COUNTIF($E146:AA146,"u")+COUNTIF($E146:AA146,"t")+COUNTIF($E146:AA146,"¶")+COUNTIF($E146:AA146,"²")+COUNTIF($E146:AA146,"µ")+COUNTIF($E146:AA146,1),ColDescriptionCourte))&gt;1,
HYPERLINK("#Roadmap!C"&amp; MATCH($E146,Roadmap!$D:$D,0)+COUNTIF($E146:AA146,"u")+COUNTIF($E146:AA146,"t")+COUNTIF($E146:AA146,"¶")+COUNTIF($E146:AA146,"²")+COUNTIF($E146:AA146,"µ")+COUNTIF($E146:AA146,1)-1,INDEX(Roadmap!$D:$K,MATCH($E146,Roadmap!$D:$D,0)-1+COUNTIF($E146:AA146,"u")+COUNTIF($E146:AA146,"t")+COUNTIF($E146:AA146,"¶")+COUNTIF($E146:AA146,"²")+COUNTIF($E146:AA146,"µ")+COUNTIF($E146:AA146,1),ColDescriptionCourte)),""),
  "")),"")</f>
        <v/>
      </c>
      <c r="AC146" s="40" t="str">
        <f ca="1">IFERROR(IF(AND(
  INDEX(Roadmap!$D:$K,MATCH($E146,Roadmap!$D:$D,0)+COUNTIF($E146:AB146,"u")+COUNTIF($E146:AB146,"t")+COUNTIF($E146:AB146,"¶")+COUNTIF($E146:AB146,"²")+COUNTIF($E146:AB146,"µ")+COUNTIF($E146:AB146,1),ColLivraison)=AC$6,
  VLOOKUP($E146,INDIRECT("tri!"&amp; CHAR(64+ C0Col) &amp;":"&amp; CHAR(65+C0Col)),2,FALSE)&gt;COUNTIF($E146:AB146,"u")+COUNTIF($E146:AB146,"t")+COUNTIF($E146:AB146,"¶")+COUNTIF($E146:AB146,"²")+COUNTIF($E146:AB146,"µ")+COUNTIF($E146:AB146,1)),
HYPERLINK("#Roadmap!C"&amp; MATCH($E146,Roadmap!$D:$D,0)+COUNTIF($E146:AB146,"u")+COUNTIF($E146:AB146,"t"),
     INDEX(Roadmap!$D:$K,MATCH($E146,Roadmap!$D:$D,0)+COUNTIF($E146:AB146,"u")+COUNTIF($E146:AB146,"t")+COUNTIF($E146:AB146,"¶")+COUNTIF($E146:AB146,"²")+COUNTIF($E146:AB146,"µ")+COUNTIF($E146:AB146,1),ColTypeEcheance)),
  IF(LEN(AB146)=1,
  IF(LEN(INDEX(Roadmap!$D:$K,MATCH($E146,Roadmap!$D:$D,0)-1+COUNTIF($E146:AB146,"u")+COUNTIF($E146:AB146,"t")+COUNTIF($E146:AB146,"¶")+COUNTIF($E146:AB146,"²")+COUNTIF($E146:AB146,"µ")+COUNTIF($E146:AB146,1),ColDescriptionCourte))&gt;1,
HYPERLINK("#Roadmap!C"&amp; MATCH($E146,Roadmap!$D:$D,0)+COUNTIF($E146:AB146,"u")+COUNTIF($E146:AB146,"t")+COUNTIF($E146:AB146,"¶")+COUNTIF($E146:AB146,"²")+COUNTIF($E146:AB146,"µ")+COUNTIF($E146:AB146,1)-1,INDEX(Roadmap!$D:$K,MATCH($E146,Roadmap!$D:$D,0)-1+COUNTIF($E146:AB146,"u")+COUNTIF($E146:AB146,"t")+COUNTIF($E146:AB146,"¶")+COUNTIF($E146:AB146,"²")+COUNTIF($E146:AB146,"µ")+COUNTIF($E146:AB146,1),ColDescriptionCourte)),""),
  "")),"")</f>
        <v/>
      </c>
      <c r="AD146" s="40" t="str">
        <f ca="1">IFERROR(IF(AND(
  INDEX(Roadmap!$D:$K,MATCH($E146,Roadmap!$D:$D,0)+COUNTIF($E146:AC146,"u")+COUNTIF($E146:AC146,"t")+COUNTIF($E146:AC146,"¶")+COUNTIF($E146:AC146,"²")+COUNTIF($E146:AC146,"µ")+COUNTIF($E146:AC146,1),ColLivraison)=AD$6,
  VLOOKUP($E146,INDIRECT("tri!"&amp; CHAR(64+ C0Col) &amp;":"&amp; CHAR(65+C0Col)),2,FALSE)&gt;COUNTIF($E146:AC146,"u")+COUNTIF($E146:AC146,"t")+COUNTIF($E146:AC146,"¶")+COUNTIF($E146:AC146,"²")+COUNTIF($E146:AC146,"µ")+COUNTIF($E146:AC146,1)),
HYPERLINK("#Roadmap!C"&amp; MATCH($E146,Roadmap!$D:$D,0)+COUNTIF($E146:AC146,"u")+COUNTIF($E146:AC146,"t"),
     INDEX(Roadmap!$D:$K,MATCH($E146,Roadmap!$D:$D,0)+COUNTIF($E146:AC146,"u")+COUNTIF($E146:AC146,"t")+COUNTIF($E146:AC146,"¶")+COUNTIF($E146:AC146,"²")+COUNTIF($E146:AC146,"µ")+COUNTIF($E146:AC146,1),ColTypeEcheance)),
  IF(LEN(AC146)=1,
  IF(LEN(INDEX(Roadmap!$D:$K,MATCH($E146,Roadmap!$D:$D,0)-1+COUNTIF($E146:AC146,"u")+COUNTIF($E146:AC146,"t")+COUNTIF($E146:AC146,"¶")+COUNTIF($E146:AC146,"²")+COUNTIF($E146:AC146,"µ")+COUNTIF($E146:AC146,1),ColDescriptionCourte))&gt;1,
HYPERLINK("#Roadmap!C"&amp; MATCH($E146,Roadmap!$D:$D,0)+COUNTIF($E146:AC146,"u")+COUNTIF($E146:AC146,"t")+COUNTIF($E146:AC146,"¶")+COUNTIF($E146:AC146,"²")+COUNTIF($E146:AC146,"µ")+COUNTIF($E146:AC146,1)-1,INDEX(Roadmap!$D:$K,MATCH($E146,Roadmap!$D:$D,0)-1+COUNTIF($E146:AC146,"u")+COUNTIF($E146:AC146,"t")+COUNTIF($E146:AC146,"¶")+COUNTIF($E146:AC146,"²")+COUNTIF($E146:AC146,"µ")+COUNTIF($E146:AC146,1),ColDescriptionCourte)),""),
  "")),"")</f>
        <v/>
      </c>
      <c r="AE146" s="40" t="str">
        <f ca="1">IFERROR(IF(AND(
  INDEX(Roadmap!$D:$K,MATCH($E146,Roadmap!$D:$D,0)+COUNTIF($E146:AD146,"u")+COUNTIF($E146:AD146,"t")+COUNTIF($E146:AD146,"¶")+COUNTIF($E146:AD146,"²")+COUNTIF($E146:AD146,"µ")+COUNTIF($E146:AD146,1),ColLivraison)=AE$6,
  VLOOKUP($E146,INDIRECT("tri!"&amp; CHAR(64+ C0Col) &amp;":"&amp; CHAR(65+C0Col)),2,FALSE)&gt;COUNTIF($E146:AD146,"u")+COUNTIF($E146:AD146,"t")+COUNTIF($E146:AD146,"¶")+COUNTIF($E146:AD146,"²")+COUNTIF($E146:AD146,"µ")+COUNTIF($E146:AD146,1)),
HYPERLINK("#Roadmap!C"&amp; MATCH($E146,Roadmap!$D:$D,0)+COUNTIF($E146:AD146,"u")+COUNTIF($E146:AD146,"t"),
     INDEX(Roadmap!$D:$K,MATCH($E146,Roadmap!$D:$D,0)+COUNTIF($E146:AD146,"u")+COUNTIF($E146:AD146,"t")+COUNTIF($E146:AD146,"¶")+COUNTIF($E146:AD146,"²")+COUNTIF($E146:AD146,"µ")+COUNTIF($E146:AD146,1),ColTypeEcheance)),
  IF(LEN(AD146)=1,
  IF(LEN(INDEX(Roadmap!$D:$K,MATCH($E146,Roadmap!$D:$D,0)-1+COUNTIF($E146:AD146,"u")+COUNTIF($E146:AD146,"t")+COUNTIF($E146:AD146,"¶")+COUNTIF($E146:AD146,"²")+COUNTIF($E146:AD146,"µ")+COUNTIF($E146:AD146,1),ColDescriptionCourte))&gt;1,
HYPERLINK("#Roadmap!C"&amp; MATCH($E146,Roadmap!$D:$D,0)+COUNTIF($E146:AD146,"u")+COUNTIF($E146:AD146,"t")+COUNTIF($E146:AD146,"¶")+COUNTIF($E146:AD146,"²")+COUNTIF($E146:AD146,"µ")+COUNTIF($E146:AD146,1)-1,INDEX(Roadmap!$D:$K,MATCH($E146,Roadmap!$D:$D,0)-1+COUNTIF($E146:AD146,"u")+COUNTIF($E146:AD146,"t")+COUNTIF($E146:AD146,"¶")+COUNTIF($E146:AD146,"²")+COUNTIF($E146:AD146,"µ")+COUNTIF($E146:AD146,1),ColDescriptionCourte)),""),
  "")),"")</f>
        <v/>
      </c>
      <c r="AF146" s="40" t="str">
        <f ca="1">IFERROR(IF(AND(
  INDEX(Roadmap!$D:$K,MATCH($E146,Roadmap!$D:$D,0)+COUNTIF($E146:AE146,"u")+COUNTIF($E146:AE146,"t")+COUNTIF($E146:AE146,"¶")+COUNTIF($E146:AE146,"²")+COUNTIF($E146:AE146,"µ")+COUNTIF($E146:AE146,1),ColLivraison)=AF$6,
  VLOOKUP($E146,INDIRECT("tri!"&amp; CHAR(64+ C0Col) &amp;":"&amp; CHAR(65+C0Col)),2,FALSE)&gt;COUNTIF($E146:AE146,"u")+COUNTIF($E146:AE146,"t")+COUNTIF($E146:AE146,"¶")+COUNTIF($E146:AE146,"²")+COUNTIF($E146:AE146,"µ")+COUNTIF($E146:AE146,1)),
HYPERLINK("#Roadmap!C"&amp; MATCH($E146,Roadmap!$D:$D,0)+COUNTIF($E146:AE146,"u")+COUNTIF($E146:AE146,"t"),
     INDEX(Roadmap!$D:$K,MATCH($E146,Roadmap!$D:$D,0)+COUNTIF($E146:AE146,"u")+COUNTIF($E146:AE146,"t")+COUNTIF($E146:AE146,"¶")+COUNTIF($E146:AE146,"²")+COUNTIF($E146:AE146,"µ")+COUNTIF($E146:AE146,1),ColTypeEcheance)),
  IF(LEN(AE146)=1,
  IF(LEN(INDEX(Roadmap!$D:$K,MATCH($E146,Roadmap!$D:$D,0)-1+COUNTIF($E146:AE146,"u")+COUNTIF($E146:AE146,"t")+COUNTIF($E146:AE146,"¶")+COUNTIF($E146:AE146,"²")+COUNTIF($E146:AE146,"µ")+COUNTIF($E146:AE146,1),ColDescriptionCourte))&gt;1,
HYPERLINK("#Roadmap!C"&amp; MATCH($E146,Roadmap!$D:$D,0)+COUNTIF($E146:AE146,"u")+COUNTIF($E146:AE146,"t")+COUNTIF($E146:AE146,"¶")+COUNTIF($E146:AE146,"²")+COUNTIF($E146:AE146,"µ")+COUNTIF($E146:AE146,1)-1,INDEX(Roadmap!$D:$K,MATCH($E146,Roadmap!$D:$D,0)-1+COUNTIF($E146:AE146,"u")+COUNTIF($E146:AE146,"t")+COUNTIF($E146:AE146,"¶")+COUNTIF($E146:AE146,"²")+COUNTIF($E146:AE146,"µ")+COUNTIF($E146:AE146,1),ColDescriptionCourte)),""),
  "")),"")</f>
        <v/>
      </c>
      <c r="AG146" s="40" t="str">
        <f ca="1">IFERROR(IF(AND(
  INDEX(Roadmap!$D:$K,MATCH($E146,Roadmap!$D:$D,0)+COUNTIF($E146:AF146,"u")+COUNTIF($E146:AF146,"t")+COUNTIF($E146:AF146,"¶")+COUNTIF($E146:AF146,"²")+COUNTIF($E146:AF146,"µ")+COUNTIF($E146:AF146,1),ColLivraison)=AG$6,
  VLOOKUP($E146,INDIRECT("tri!"&amp; CHAR(64+ C0Col) &amp;":"&amp; CHAR(65+C0Col)),2,FALSE)&gt;COUNTIF($E146:AF146,"u")+COUNTIF($E146:AF146,"t")+COUNTIF($E146:AF146,"¶")+COUNTIF($E146:AF146,"²")+COUNTIF($E146:AF146,"µ")+COUNTIF($E146:AF146,1)),
HYPERLINK("#Roadmap!C"&amp; MATCH($E146,Roadmap!$D:$D,0)+COUNTIF($E146:AF146,"u")+COUNTIF($E146:AF146,"t"),
     INDEX(Roadmap!$D:$K,MATCH($E146,Roadmap!$D:$D,0)+COUNTIF($E146:AF146,"u")+COUNTIF($E146:AF146,"t")+COUNTIF($E146:AF146,"¶")+COUNTIF($E146:AF146,"²")+COUNTIF($E146:AF146,"µ")+COUNTIF($E146:AF146,1),ColTypeEcheance)),
  IF(LEN(AF146)=1,
  IF(LEN(INDEX(Roadmap!$D:$K,MATCH($E146,Roadmap!$D:$D,0)-1+COUNTIF($E146:AF146,"u")+COUNTIF($E146:AF146,"t")+COUNTIF($E146:AF146,"¶")+COUNTIF($E146:AF146,"²")+COUNTIF($E146:AF146,"µ")+COUNTIF($E146:AF146,1),ColDescriptionCourte))&gt;1,
HYPERLINK("#Roadmap!C"&amp; MATCH($E146,Roadmap!$D:$D,0)+COUNTIF($E146:AF146,"u")+COUNTIF($E146:AF146,"t")+COUNTIF($E146:AF146,"¶")+COUNTIF($E146:AF146,"²")+COUNTIF($E146:AF146,"µ")+COUNTIF($E146:AF146,1)-1,INDEX(Roadmap!$D:$K,MATCH($E146,Roadmap!$D:$D,0)-1+COUNTIF($E146:AF146,"u")+COUNTIF($E146:AF146,"t")+COUNTIF($E146:AF146,"¶")+COUNTIF($E146:AF146,"²")+COUNTIF($E146:AF146,"µ")+COUNTIF($E146:AF146,1),ColDescriptionCourte)),""),
  "")),"")</f>
        <v/>
      </c>
      <c r="AH146" s="40" t="str">
        <f ca="1">IFERROR(IF(AND(
  INDEX(Roadmap!$D:$K,MATCH($E146,Roadmap!$D:$D,0)+COUNTIF($E146:AG146,"u")+COUNTIF($E146:AG146,"t")+COUNTIF($E146:AG146,1),ColLivraison)=AH$6,
  VLOOKUP($E146,INDIRECT("tri!"&amp; CHAR(64+ C0Col) &amp;":"&amp; CHAR(65+C0Col)),2,FALSE)&gt;COUNTIF($E146:AG146,"u")+COUNTIF($E146:AG146,"t")+COUNTIF($E146:AG146,1)),
HYPERLINK("#Roadmap!C"&amp; MATCH($E146,Roadmap!$D:$D,0)+COUNTIF($E146:AG146,"u")+COUNTIF($E146:AG146,"t"),
     INDEX(Roadmap!$D:$K,MATCH($E146,Roadmap!$D:$D,0)+COUNTIF($E146:AG146,"u")+COUNTIF($E146:AG146,"t")+COUNTIF($E146:AG146,1),ColTypeEcheance)),
  IF(OR(AG146="u",AG146="t",AG146=1),
  IF(LEN(INDEX(Roadmap!$D:$K,MATCH($E146,Roadmap!$D:$D,0)-1+COUNTIF($E146:AG146,"u")+COUNTIF($E146:AG146,"t")+COUNTIF($E146:AG146,1),ColDescriptionCourte))&gt;1,
HYPERLINK("#Roadmap!C"&amp; MATCH($E146,Roadmap!$D:$D,0)+COUNTIF($E146:AG146,"u")+COUNTIF($E146:AG146,"t")+COUNTIF($E146:AG146,1)-1,INDEX(Roadmap!$D:$K,MATCH($E146,Roadmap!$D:$D,0)-1+COUNTIF($E146:AG146,"u")+COUNTIF($E146:AG146,"t")+COUNTIF($E146:AG146,1),ColDescriptionCourte)),""),
  "")),"")</f>
        <v/>
      </c>
      <c r="AI146" s="40"/>
      <c r="AJ146" s="40"/>
      <c r="AK146" s="40"/>
      <c r="AL146" s="40"/>
      <c r="AM146" s="40"/>
    </row>
    <row r="147" spans="4:39" ht="14.1" customHeight="1">
      <c r="D147" s="20" t="str">
        <f t="shared" ca="1" si="31"/>
        <v/>
      </c>
      <c r="E147" s="53" t="str">
        <f t="shared" ca="1" si="32"/>
        <v/>
      </c>
      <c r="F147" s="39" t="str">
        <f ca="1">IFERROR(IF(AND(
  INDEX(Roadmap!$D:$K,MATCH($E147,Roadmap!$D:$D,0)+COUNTIF($E147:E147,"u")+COUNTIF($E147:E147,"t")+COUNTIF($E147:E147,"¶")+COUNTIF($E147:E147,"²")+COUNTIF($E147:E147,"µ")+COUNTIF($E147:E147,1),ColLivraison)=F$6,
  VLOOKUP($E147,INDIRECT("tri!"&amp; CHAR(64+ C0Col) &amp;":"&amp; CHAR(65+C0Col)),2,FALSE)&gt;COUNTIF($E147:E147,"u")+COUNTIF($E147:E147,"t")+COUNTIF($E147:E147,"¶")+COUNTIF($E147:E147,"²")+COUNTIF($E147:E147,"µ")+COUNTIF($E147:E147,1)),
HYPERLINK("#Roadmap!C"&amp; MATCH($E147,Roadmap!$D:$D,0)+COUNTIF($E147:E147,"u")+COUNTIF($E147:E147,"t"),
     INDEX(Roadmap!$D:$K,MATCH($E147,Roadmap!$D:$D,0)+COUNTIF($E147:E147,"u")+COUNTIF($E147:E147,"t")+COUNTIF($E147:E147,"¶")+COUNTIF($E147:E147,"²")+COUNTIF($E147:E147,"µ")+COUNTIF($E147:E147,1),ColTypeEcheance)),
  IF(LEN(E147)=1,
  IF(LEN(INDEX(Roadmap!$D:$K,MATCH($E147,Roadmap!$D:$D,0)-1+COUNTIF($E147:E147,"u")+COUNTIF($E147:E147,"t")+COUNTIF($E147:E147,"¶")+COUNTIF($E147:E147,"²")+COUNTIF($E147:E147,"µ")+COUNTIF($E147:E147,1),ColDescriptionCourte))&gt;1,
HYPERLINK("#Roadmap!C"&amp; MATCH($E147,Roadmap!$D:$D,0)+COUNTIF($E147:E147,"u")+COUNTIF($E147:E147,"t")+COUNTIF($E147:E147,"¶")+COUNTIF($E147:E147,"²")+COUNTIF($E147:E147,"µ")+COUNTIF($E147:E147,1)-1,INDEX(Roadmap!$D:$K,MATCH($E147,Roadmap!$D:$D,0)-1+COUNTIF($E147:E147,"u")+COUNTIF($E147:E147,"t")+COUNTIF($E147:E147,"¶")+COUNTIF($E147:E147,"²")+COUNTIF($E147:E147,"µ")+COUNTIF($E147:E147,1),ColDescriptionCourte)),""),
  "")),"")</f>
        <v/>
      </c>
      <c r="G147" s="40" t="str">
        <f ca="1">IFERROR(IF(AND(
  INDEX(Roadmap!$D:$K,MATCH($E147,Roadmap!$D:$D,0)+COUNTIF($E147:F147,"u")+COUNTIF($E147:F147,"t")+COUNTIF($E147:F147,"¶")+COUNTIF($E147:F147,"²")+COUNTIF($E147:F147,"µ")+COUNTIF($E147:F147,1),ColLivraison)=G$6,
  VLOOKUP($E147,INDIRECT("tri!"&amp; CHAR(64+ C0Col) &amp;":"&amp; CHAR(65+C0Col)),2,FALSE)&gt;COUNTIF($E147:F147,"u")+COUNTIF($E147:F147,"t")+COUNTIF($E147:F147,"¶")+COUNTIF($E147:F147,"²")+COUNTIF($E147:F147,"µ")+COUNTIF($E147:F147,1)),
HYPERLINK("#Roadmap!C"&amp; MATCH($E147,Roadmap!$D:$D,0)+COUNTIF($E147:F147,"u")+COUNTIF($E147:F147,"t"),
     INDEX(Roadmap!$D:$K,MATCH($E147,Roadmap!$D:$D,0)+COUNTIF($E147:F147,"u")+COUNTIF($E147:F147,"t")+COUNTIF($E147:F147,"¶")+COUNTIF($E147:F147,"²")+COUNTIF($E147:F147,"µ")+COUNTIF($E147:F147,1),ColTypeEcheance)),
  IF(LEN(F147)=1,
  IF(LEN(INDEX(Roadmap!$D:$K,MATCH($E147,Roadmap!$D:$D,0)-1+COUNTIF($E147:F147,"u")+COUNTIF($E147:F147,"t")+COUNTIF($E147:F147,"¶")+COUNTIF($E147:F147,"²")+COUNTIF($E147:F147,"µ")+COUNTIF($E147:F147,1),ColDescriptionCourte))&gt;1,
HYPERLINK("#Roadmap!C"&amp; MATCH($E147,Roadmap!$D:$D,0)+COUNTIF($E147:F147,"u")+COUNTIF($E147:F147,"t")+COUNTIF($E147:F147,"¶")+COUNTIF($E147:F147,"²")+COUNTIF($E147:F147,"µ")+COUNTIF($E147:F147,1)-1,INDEX(Roadmap!$D:$K,MATCH($E147,Roadmap!$D:$D,0)-1+COUNTIF($E147:F147,"u")+COUNTIF($E147:F147,"t")+COUNTIF($E147:F147,"¶")+COUNTIF($E147:F147,"²")+COUNTIF($E147:F147,"µ")+COUNTIF($E147:F147,1),ColDescriptionCourte)),""),
  "")),"")</f>
        <v/>
      </c>
      <c r="H147" s="40" t="str">
        <f ca="1">IFERROR(IF(AND(
  INDEX(Roadmap!$D:$K,MATCH($E147,Roadmap!$D:$D,0)+COUNTIF($E147:G147,"u")+COUNTIF($E147:G147,"t")+COUNTIF($E147:G147,"¶")+COUNTIF($E147:G147,"²")+COUNTIF($E147:G147,"µ")+COUNTIF($E147:G147,1),ColLivraison)=H$6,
  VLOOKUP($E147,INDIRECT("tri!"&amp; CHAR(64+ C0Col) &amp;":"&amp; CHAR(65+C0Col)),2,FALSE)&gt;COUNTIF($E147:G147,"u")+COUNTIF($E147:G147,"t")+COUNTIF($E147:G147,"¶")+COUNTIF($E147:G147,"²")+COUNTIF($E147:G147,"µ")+COUNTIF($E147:G147,1)),
HYPERLINK("#Roadmap!C"&amp; MATCH($E147,Roadmap!$D:$D,0)+COUNTIF($E147:G147,"u")+COUNTIF($E147:G147,"t"),
     INDEX(Roadmap!$D:$K,MATCH($E147,Roadmap!$D:$D,0)+COUNTIF($E147:G147,"u")+COUNTIF($E147:G147,"t")+COUNTIF($E147:G147,"¶")+COUNTIF($E147:G147,"²")+COUNTIF($E147:G147,"µ")+COUNTIF($E147:G147,1),ColTypeEcheance)),
  IF(LEN(G147)=1,
  IF(LEN(INDEX(Roadmap!$D:$K,MATCH($E147,Roadmap!$D:$D,0)-1+COUNTIF($E147:G147,"u")+COUNTIF($E147:G147,"t")+COUNTIF($E147:G147,"¶")+COUNTIF($E147:G147,"²")+COUNTIF($E147:G147,"µ")+COUNTIF($E147:G147,1),ColDescriptionCourte))&gt;1,
HYPERLINK("#Roadmap!C"&amp; MATCH($E147,Roadmap!$D:$D,0)+COUNTIF($E147:G147,"u")+COUNTIF($E147:G147,"t")+COUNTIF($E147:G147,"¶")+COUNTIF($E147:G147,"²")+COUNTIF($E147:G147,"µ")+COUNTIF($E147:G147,1)-1,INDEX(Roadmap!$D:$K,MATCH($E147,Roadmap!$D:$D,0)-1+COUNTIF($E147:G147,"u")+COUNTIF($E147:G147,"t")+COUNTIF($E147:G147,"¶")+COUNTIF($E147:G147,"²")+COUNTIF($E147:G147,"µ")+COUNTIF($E147:G147,1),ColDescriptionCourte)),""),
  "")),"")</f>
        <v/>
      </c>
      <c r="I147" s="40" t="str">
        <f ca="1">IFERROR(IF(AND(
  INDEX(Roadmap!$D:$K,MATCH($E147,Roadmap!$D:$D,0)+COUNTIF($E147:H147,"u")+COUNTIF($E147:H147,"t")+COUNTIF($E147:H147,"¶")+COUNTIF($E147:H147,"²")+COUNTIF($E147:H147,"µ")+COUNTIF($E147:H147,1),ColLivraison)=I$6,
  VLOOKUP($E147,INDIRECT("tri!"&amp; CHAR(64+ C0Col) &amp;":"&amp; CHAR(65+C0Col)),2,FALSE)&gt;COUNTIF($E147:H147,"u")+COUNTIF($E147:H147,"t")+COUNTIF($E147:H147,"¶")+COUNTIF($E147:H147,"²")+COUNTIF($E147:H147,"µ")+COUNTIF($E147:H147,1)),
HYPERLINK("#Roadmap!C"&amp; MATCH($E147,Roadmap!$D:$D,0)+COUNTIF($E147:H147,"u")+COUNTIF($E147:H147,"t"),
     INDEX(Roadmap!$D:$K,MATCH($E147,Roadmap!$D:$D,0)+COUNTIF($E147:H147,"u")+COUNTIF($E147:H147,"t")+COUNTIF($E147:H147,"¶")+COUNTIF($E147:H147,"²")+COUNTIF($E147:H147,"µ")+COUNTIF($E147:H147,1),ColTypeEcheance)),
  IF(LEN(H147)=1,
  IF(LEN(INDEX(Roadmap!$D:$K,MATCH($E147,Roadmap!$D:$D,0)-1+COUNTIF($E147:H147,"u")+COUNTIF($E147:H147,"t")+COUNTIF($E147:H147,"¶")+COUNTIF($E147:H147,"²")+COUNTIF($E147:H147,"µ")+COUNTIF($E147:H147,1),ColDescriptionCourte))&gt;1,
HYPERLINK("#Roadmap!C"&amp; MATCH($E147,Roadmap!$D:$D,0)+COUNTIF($E147:H147,"u")+COUNTIF($E147:H147,"t")+COUNTIF($E147:H147,"¶")+COUNTIF($E147:H147,"²")+COUNTIF($E147:H147,"µ")+COUNTIF($E147:H147,1)-1,INDEX(Roadmap!$D:$K,MATCH($E147,Roadmap!$D:$D,0)-1+COUNTIF($E147:H147,"u")+COUNTIF($E147:H147,"t")+COUNTIF($E147:H147,"¶")+COUNTIF($E147:H147,"²")+COUNTIF($E147:H147,"µ")+COUNTIF($E147:H147,1),ColDescriptionCourte)),""),
  "")),"")</f>
        <v/>
      </c>
      <c r="J147" s="40" t="str">
        <f ca="1">IFERROR(IF(AND(
  INDEX(Roadmap!$D:$K,MATCH($E147,Roadmap!$D:$D,0)+COUNTIF($E147:I147,"u")+COUNTIF($E147:I147,"t")+COUNTIF($E147:I147,"¶")+COUNTIF($E147:I147,"²")+COUNTIF($E147:I147,"µ")+COUNTIF($E147:I147,1),ColLivraison)=J$6,
  VLOOKUP($E147,INDIRECT("tri!"&amp; CHAR(64+ C0Col) &amp;":"&amp; CHAR(65+C0Col)),2,FALSE)&gt;COUNTIF($E147:I147,"u")+COUNTIF($E147:I147,"t")+COUNTIF($E147:I147,"¶")+COUNTIF($E147:I147,"²")+COUNTIF($E147:I147,"µ")+COUNTIF($E147:I147,1)),
HYPERLINK("#Roadmap!C"&amp; MATCH($E147,Roadmap!$D:$D,0)+COUNTIF($E147:I147,"u")+COUNTIF($E147:I147,"t"),
     INDEX(Roadmap!$D:$K,MATCH($E147,Roadmap!$D:$D,0)+COUNTIF($E147:I147,"u")+COUNTIF($E147:I147,"t")+COUNTIF($E147:I147,"¶")+COUNTIF($E147:I147,"²")+COUNTIF($E147:I147,"µ")+COUNTIF($E147:I147,1),ColTypeEcheance)),
  IF(LEN(I147)=1,
  IF(LEN(INDEX(Roadmap!$D:$K,MATCH($E147,Roadmap!$D:$D,0)-1+COUNTIF($E147:I147,"u")+COUNTIF($E147:I147,"t")+COUNTIF($E147:I147,"¶")+COUNTIF($E147:I147,"²")+COUNTIF($E147:I147,"µ")+COUNTIF($E147:I147,1),ColDescriptionCourte))&gt;1,
HYPERLINK("#Roadmap!C"&amp; MATCH($E147,Roadmap!$D:$D,0)+COUNTIF($E147:I147,"u")+COUNTIF($E147:I147,"t")+COUNTIF($E147:I147,"¶")+COUNTIF($E147:I147,"²")+COUNTIF($E147:I147,"µ")+COUNTIF($E147:I147,1)-1,INDEX(Roadmap!$D:$K,MATCH($E147,Roadmap!$D:$D,0)-1+COUNTIF($E147:I147,"u")+COUNTIF($E147:I147,"t")+COUNTIF($E147:I147,"¶")+COUNTIF($E147:I147,"²")+COUNTIF($E147:I147,"µ")+COUNTIF($E147:I147,1),ColDescriptionCourte)),""),
  "")),"")</f>
        <v/>
      </c>
      <c r="K147" s="40" t="str">
        <f ca="1">IFERROR(IF(AND(
  INDEX(Roadmap!$D:$K,MATCH($E147,Roadmap!$D:$D,0)+COUNTIF($E147:J147,"u")+COUNTIF($E147:J147,"t")+COUNTIF($E147:J147,"¶")+COUNTIF($E147:J147,"²")+COUNTIF($E147:J147,"µ")+COUNTIF($E147:J147,1),ColLivraison)=K$6,
  VLOOKUP($E147,INDIRECT("tri!"&amp; CHAR(64+ C0Col) &amp;":"&amp; CHAR(65+C0Col)),2,FALSE)&gt;COUNTIF($E147:J147,"u")+COUNTIF($E147:J147,"t")+COUNTIF($E147:J147,"¶")+COUNTIF($E147:J147,"²")+COUNTIF($E147:J147,"µ")+COUNTIF($E147:J147,1)),
HYPERLINK("#Roadmap!C"&amp; MATCH($E147,Roadmap!$D:$D,0)+COUNTIF($E147:J147,"u")+COUNTIF($E147:J147,"t"),
     INDEX(Roadmap!$D:$K,MATCH($E147,Roadmap!$D:$D,0)+COUNTIF($E147:J147,"u")+COUNTIF($E147:J147,"t")+COUNTIF($E147:J147,"¶")+COUNTIF($E147:J147,"²")+COUNTIF($E147:J147,"µ")+COUNTIF($E147:J147,1),ColTypeEcheance)),
  IF(LEN(J147)=1,
  IF(LEN(INDEX(Roadmap!$D:$K,MATCH($E147,Roadmap!$D:$D,0)-1+COUNTIF($E147:J147,"u")+COUNTIF($E147:J147,"t")+COUNTIF($E147:J147,"¶")+COUNTIF($E147:J147,"²")+COUNTIF($E147:J147,"µ")+COUNTIF($E147:J147,1),ColDescriptionCourte))&gt;1,
HYPERLINK("#Roadmap!C"&amp; MATCH($E147,Roadmap!$D:$D,0)+COUNTIF($E147:J147,"u")+COUNTIF($E147:J147,"t")+COUNTIF($E147:J147,"¶")+COUNTIF($E147:J147,"²")+COUNTIF($E147:J147,"µ")+COUNTIF($E147:J147,1)-1,INDEX(Roadmap!$D:$K,MATCH($E147,Roadmap!$D:$D,0)-1+COUNTIF($E147:J147,"u")+COUNTIF($E147:J147,"t")+COUNTIF($E147:J147,"¶")+COUNTIF($E147:J147,"²")+COUNTIF($E147:J147,"µ")+COUNTIF($E147:J147,1),ColDescriptionCourte)),""),
  "")),"")</f>
        <v/>
      </c>
      <c r="L147" s="39" t="str">
        <f ca="1">IFERROR(IF(AND(
  INDEX(Roadmap!$D:$K,MATCH($E147,Roadmap!$D:$D,0)+COUNTIF($E147:K147,"u")+COUNTIF($E147:K147,"t")+COUNTIF($E147:K147,"¶")+COUNTIF($E147:K147,"²")+COUNTIF($E147:K147,"µ")+COUNTIF($E147:K147,1),ColLivraison)=L$6,
  VLOOKUP($E147,INDIRECT("tri!"&amp; CHAR(64+ C0Col) &amp;":"&amp; CHAR(65+C0Col)),2,FALSE)&gt;COUNTIF($E147:K147,"u")+COUNTIF($E147:K147,"t")+COUNTIF($E147:K147,"¶")+COUNTIF($E147:K147,"²")+COUNTIF($E147:K147,"µ")+COUNTIF($E147:K147,1)),
HYPERLINK("#Roadmap!C"&amp; MATCH($E147,Roadmap!$D:$D,0)+COUNTIF($E147:K147,"u")+COUNTIF($E147:K147,"t"),
     INDEX(Roadmap!$D:$K,MATCH($E147,Roadmap!$D:$D,0)+COUNTIF($E147:K147,"u")+COUNTIF($E147:K147,"t")+COUNTIF($E147:K147,"¶")+COUNTIF($E147:K147,"²")+COUNTIF($E147:K147,"µ")+COUNTIF($E147:K147,1),ColTypeEcheance)),
  IF(LEN(K147)=1,
  IF(LEN(INDEX(Roadmap!$D:$K,MATCH($E147,Roadmap!$D:$D,0)-1+COUNTIF($E147:K147,"u")+COUNTIF($E147:K147,"t")+COUNTIF($E147:K147,"¶")+COUNTIF($E147:K147,"²")+COUNTIF($E147:K147,"µ")+COUNTIF($E147:K147,1),ColDescriptionCourte))&gt;1,
HYPERLINK("#Roadmap!C"&amp; MATCH($E147,Roadmap!$D:$D,0)+COUNTIF($E147:K147,"u")+COUNTIF($E147:K147,"t")+COUNTIF($E147:K147,"¶")+COUNTIF($E147:K147,"²")+COUNTIF($E147:K147,"µ")+COUNTIF($E147:K147,1)-1,INDEX(Roadmap!$D:$K,MATCH($E147,Roadmap!$D:$D,0)-1+COUNTIF($E147:K147,"u")+COUNTIF($E147:K147,"t")+COUNTIF($E147:K147,"¶")+COUNTIF($E147:K147,"²")+COUNTIF($E147:K147,"µ")+COUNTIF($E147:K147,1),ColDescriptionCourte)),""),
  "")),"")</f>
        <v/>
      </c>
      <c r="M147" s="40" t="str">
        <f ca="1">IFERROR(IF(AND(
  INDEX(Roadmap!$D:$K,MATCH($E147,Roadmap!$D:$D,0)+COUNTIF($E147:L147,"u")+COUNTIF($E147:L147,"t")+COUNTIF($E147:L147,"¶")+COUNTIF($E147:L147,"²")+COUNTIF($E147:L147,"µ")+COUNTIF($E147:L147,1),ColLivraison)=M$6,
  VLOOKUP($E147,INDIRECT("tri!"&amp; CHAR(64+ C0Col) &amp;":"&amp; CHAR(65+C0Col)),2,FALSE)&gt;COUNTIF($E147:L147,"u")+COUNTIF($E147:L147,"t")+COUNTIF($E147:L147,"¶")+COUNTIF($E147:L147,"²")+COUNTIF($E147:L147,"µ")+COUNTIF($E147:L147,1)),
HYPERLINK("#Roadmap!C"&amp; MATCH($E147,Roadmap!$D:$D,0)+COUNTIF($E147:L147,"u")+COUNTIF($E147:L147,"t"),
     INDEX(Roadmap!$D:$K,MATCH($E147,Roadmap!$D:$D,0)+COUNTIF($E147:L147,"u")+COUNTIF($E147:L147,"t")+COUNTIF($E147:L147,"¶")+COUNTIF($E147:L147,"²")+COUNTIF($E147:L147,"µ")+COUNTIF($E147:L147,1),ColTypeEcheance)),
  IF(LEN(L147)=1,
  IF(LEN(INDEX(Roadmap!$D:$K,MATCH($E147,Roadmap!$D:$D,0)-1+COUNTIF($E147:L147,"u")+COUNTIF($E147:L147,"t")+COUNTIF($E147:L147,"¶")+COUNTIF($E147:L147,"²")+COUNTIF($E147:L147,"µ")+COUNTIF($E147:L147,1),ColDescriptionCourte))&gt;1,
HYPERLINK("#Roadmap!C"&amp; MATCH($E147,Roadmap!$D:$D,0)+COUNTIF($E147:L147,"u")+COUNTIF($E147:L147,"t")+COUNTIF($E147:L147,"¶")+COUNTIF($E147:L147,"²")+COUNTIF($E147:L147,"µ")+COUNTIF($E147:L147,1)-1,INDEX(Roadmap!$D:$K,MATCH($E147,Roadmap!$D:$D,0)-1+COUNTIF($E147:L147,"u")+COUNTIF($E147:L147,"t")+COUNTIF($E147:L147,"¶")+COUNTIF($E147:L147,"²")+COUNTIF($E147:L147,"µ")+COUNTIF($E147:L147,1),ColDescriptionCourte)),""),
  "")),"")</f>
        <v/>
      </c>
      <c r="N147" s="40" t="str">
        <f ca="1">IFERROR(IF(AND(
  INDEX(Roadmap!$D:$K,MATCH($E147,Roadmap!$D:$D,0)+COUNTIF($E147:M147,"u")+COUNTIF($E147:M147,"t")+COUNTIF($E147:M147,"¶")+COUNTIF($E147:M147,"²")+COUNTIF($E147:M147,"µ")+COUNTIF($E147:M147,1),ColLivraison)=N$6,
  VLOOKUP($E147,INDIRECT("tri!"&amp; CHAR(64+ C0Col) &amp;":"&amp; CHAR(65+C0Col)),2,FALSE)&gt;COUNTIF($E147:M147,"u")+COUNTIF($E147:M147,"t")+COUNTIF($E147:M147,"¶")+COUNTIF($E147:M147,"²")+COUNTIF($E147:M147,"µ")+COUNTIF($E147:M147,1)),
HYPERLINK("#Roadmap!C"&amp; MATCH($E147,Roadmap!$D:$D,0)+COUNTIF($E147:M147,"u")+COUNTIF($E147:M147,"t"),
     INDEX(Roadmap!$D:$K,MATCH($E147,Roadmap!$D:$D,0)+COUNTIF($E147:M147,"u")+COUNTIF($E147:M147,"t")+COUNTIF($E147:M147,"¶")+COUNTIF($E147:M147,"²")+COUNTIF($E147:M147,"µ")+COUNTIF($E147:M147,1),ColTypeEcheance)),
  IF(LEN(M147)=1,
  IF(LEN(INDEX(Roadmap!$D:$K,MATCH($E147,Roadmap!$D:$D,0)-1+COUNTIF($E147:M147,"u")+COUNTIF($E147:M147,"t")+COUNTIF($E147:M147,"¶")+COUNTIF($E147:M147,"²")+COUNTIF($E147:M147,"µ")+COUNTIF($E147:M147,1),ColDescriptionCourte))&gt;1,
HYPERLINK("#Roadmap!C"&amp; MATCH($E147,Roadmap!$D:$D,0)+COUNTIF($E147:M147,"u")+COUNTIF($E147:M147,"t")+COUNTIF($E147:M147,"¶")+COUNTIF($E147:M147,"²")+COUNTIF($E147:M147,"µ")+COUNTIF($E147:M147,1)-1,INDEX(Roadmap!$D:$K,MATCH($E147,Roadmap!$D:$D,0)-1+COUNTIF($E147:M147,"u")+COUNTIF($E147:M147,"t")+COUNTIF($E147:M147,"¶")+COUNTIF($E147:M147,"²")+COUNTIF($E147:M147,"µ")+COUNTIF($E147:M147,1),ColDescriptionCourte)),""),
  "")),"")</f>
        <v/>
      </c>
      <c r="O147" s="40" t="str">
        <f ca="1">IFERROR(IF(AND(
  INDEX(Roadmap!$D:$K,MATCH($E147,Roadmap!$D:$D,0)+COUNTIF($E147:N147,"u")+COUNTIF($E147:N147,"t")+COUNTIF($E147:N147,"¶")+COUNTIF($E147:N147,"²")+COUNTIF($E147:N147,"µ")+COUNTIF($E147:N147,1),ColLivraison)=O$6,
  VLOOKUP($E147,INDIRECT("tri!"&amp; CHAR(64+ C0Col) &amp;":"&amp; CHAR(65+C0Col)),2,FALSE)&gt;COUNTIF($E147:N147,"u")+COUNTIF($E147:N147,"t")+COUNTIF($E147:N147,"¶")+COUNTIF($E147:N147,"²")+COUNTIF($E147:N147,"µ")+COUNTIF($E147:N147,1)),
HYPERLINK("#Roadmap!C"&amp; MATCH($E147,Roadmap!$D:$D,0)+COUNTIF($E147:N147,"u")+COUNTIF($E147:N147,"t"),
     INDEX(Roadmap!$D:$K,MATCH($E147,Roadmap!$D:$D,0)+COUNTIF($E147:N147,"u")+COUNTIF($E147:N147,"t")+COUNTIF($E147:N147,"¶")+COUNTIF($E147:N147,"²")+COUNTIF($E147:N147,"µ")+COUNTIF($E147:N147,1),ColTypeEcheance)),
  IF(LEN(N147)=1,
  IF(LEN(INDEX(Roadmap!$D:$K,MATCH($E147,Roadmap!$D:$D,0)-1+COUNTIF($E147:N147,"u")+COUNTIF($E147:N147,"t")+COUNTIF($E147:N147,"¶")+COUNTIF($E147:N147,"²")+COUNTIF($E147:N147,"µ")+COUNTIF($E147:N147,1),ColDescriptionCourte))&gt;1,
HYPERLINK("#Roadmap!C"&amp; MATCH($E147,Roadmap!$D:$D,0)+COUNTIF($E147:N147,"u")+COUNTIF($E147:N147,"t")+COUNTIF($E147:N147,"¶")+COUNTIF($E147:N147,"²")+COUNTIF($E147:N147,"µ")+COUNTIF($E147:N147,1)-1,INDEX(Roadmap!$D:$K,MATCH($E147,Roadmap!$D:$D,0)-1+COUNTIF($E147:N147,"u")+COUNTIF($E147:N147,"t")+COUNTIF($E147:N147,"¶")+COUNTIF($E147:N147,"²")+COUNTIF($E147:N147,"µ")+COUNTIF($E147:N147,1),ColDescriptionCourte)),""),
  "")),"")</f>
        <v/>
      </c>
      <c r="P147" s="40" t="str">
        <f ca="1">IFERROR(IF(AND(
  INDEX(Roadmap!$D:$K,MATCH($E147,Roadmap!$D:$D,0)+COUNTIF($E147:O147,"u")+COUNTIF($E147:O147,"t")+COUNTIF($E147:O147,"¶")+COUNTIF($E147:O147,"²")+COUNTIF($E147:O147,"µ")+COUNTIF($E147:O147,1),ColLivraison)=P$6,
  VLOOKUP($E147,INDIRECT("tri!"&amp; CHAR(64+ C0Col) &amp;":"&amp; CHAR(65+C0Col)),2,FALSE)&gt;COUNTIF($E147:O147,"u")+COUNTIF($E147:O147,"t")+COUNTIF($E147:O147,"¶")+COUNTIF($E147:O147,"²")+COUNTIF($E147:O147,"µ")+COUNTIF($E147:O147,1)),
HYPERLINK("#Roadmap!C"&amp; MATCH($E147,Roadmap!$D:$D,0)+COUNTIF($E147:O147,"u")+COUNTIF($E147:O147,"t"),
     INDEX(Roadmap!$D:$K,MATCH($E147,Roadmap!$D:$D,0)+COUNTIF($E147:O147,"u")+COUNTIF($E147:O147,"t")+COUNTIF($E147:O147,"¶")+COUNTIF($E147:O147,"²")+COUNTIF($E147:O147,"µ")+COUNTIF($E147:O147,1),ColTypeEcheance)),
  IF(LEN(O147)=1,
  IF(LEN(INDEX(Roadmap!$D:$K,MATCH($E147,Roadmap!$D:$D,0)-1+COUNTIF($E147:O147,"u")+COUNTIF($E147:O147,"t")+COUNTIF($E147:O147,"¶")+COUNTIF($E147:O147,"²")+COUNTIF($E147:O147,"µ")+COUNTIF($E147:O147,1),ColDescriptionCourte))&gt;1,
HYPERLINK("#Roadmap!C"&amp; MATCH($E147,Roadmap!$D:$D,0)+COUNTIF($E147:O147,"u")+COUNTIF($E147:O147,"t")+COUNTIF($E147:O147,"¶")+COUNTIF($E147:O147,"²")+COUNTIF($E147:O147,"µ")+COUNTIF($E147:O147,1)-1,INDEX(Roadmap!$D:$K,MATCH($E147,Roadmap!$D:$D,0)-1+COUNTIF($E147:O147,"u")+COUNTIF($E147:O147,"t")+COUNTIF($E147:O147,"¶")+COUNTIF($E147:O147,"²")+COUNTIF($E147:O147,"µ")+COUNTIF($E147:O147,1),ColDescriptionCourte)),""),
  "")),"")</f>
        <v/>
      </c>
      <c r="Q147" s="40" t="str">
        <f ca="1">IFERROR(IF(AND(
  INDEX(Roadmap!$D:$K,MATCH($E147,Roadmap!$D:$D,0)+COUNTIF($E147:P147,"u")+COUNTIF($E147:P147,"t")+COUNTIF($E147:P147,"¶")+COUNTIF($E147:P147,"²")+COUNTIF($E147:P147,"µ")+COUNTIF($E147:P147,1),ColLivraison)=Q$6,
  VLOOKUP($E147,INDIRECT("tri!"&amp; CHAR(64+ C0Col) &amp;":"&amp; CHAR(65+C0Col)),2,FALSE)&gt;COUNTIF($E147:P147,"u")+COUNTIF($E147:P147,"t")+COUNTIF($E147:P147,"¶")+COUNTIF($E147:P147,"²")+COUNTIF($E147:P147,"µ")+COUNTIF($E147:P147,1)),
HYPERLINK("#Roadmap!C"&amp; MATCH($E147,Roadmap!$D:$D,0)+COUNTIF($E147:P147,"u")+COUNTIF($E147:P147,"t"),
     INDEX(Roadmap!$D:$K,MATCH($E147,Roadmap!$D:$D,0)+COUNTIF($E147:P147,"u")+COUNTIF($E147:P147,"t")+COUNTIF($E147:P147,"¶")+COUNTIF($E147:P147,"²")+COUNTIF($E147:P147,"µ")+COUNTIF($E147:P147,1),ColTypeEcheance)),
  IF(LEN(P147)=1,
  IF(LEN(INDEX(Roadmap!$D:$K,MATCH($E147,Roadmap!$D:$D,0)-1+COUNTIF($E147:P147,"u")+COUNTIF($E147:P147,"t")+COUNTIF($E147:P147,"¶")+COUNTIF($E147:P147,"²")+COUNTIF($E147:P147,"µ")+COUNTIF($E147:P147,1),ColDescriptionCourte))&gt;1,
HYPERLINK("#Roadmap!C"&amp; MATCH($E147,Roadmap!$D:$D,0)+COUNTIF($E147:P147,"u")+COUNTIF($E147:P147,"t")+COUNTIF($E147:P147,"¶")+COUNTIF($E147:P147,"²")+COUNTIF($E147:P147,"µ")+COUNTIF($E147:P147,1)-1,INDEX(Roadmap!$D:$K,MATCH($E147,Roadmap!$D:$D,0)-1+COUNTIF($E147:P147,"u")+COUNTIF($E147:P147,"t")+COUNTIF($E147:P147,"¶")+COUNTIF($E147:P147,"²")+COUNTIF($E147:P147,"µ")+COUNTIF($E147:P147,1),ColDescriptionCourte)),""),
  "")),"")</f>
        <v/>
      </c>
      <c r="R147" s="40" t="str">
        <f ca="1">IFERROR(IF(AND(
  INDEX(Roadmap!$D:$K,MATCH($E147,Roadmap!$D:$D,0)+COUNTIF($E147:Q147,"u")+COUNTIF($E147:Q147,"t")+COUNTIF($E147:Q147,"¶")+COUNTIF($E147:Q147,"²")+COUNTIF($E147:Q147,"µ")+COUNTIF($E147:Q147,1),ColLivraison)=R$6,
  VLOOKUP($E147,INDIRECT("tri!"&amp; CHAR(64+ C0Col) &amp;":"&amp; CHAR(65+C0Col)),2,FALSE)&gt;COUNTIF($E147:Q147,"u")+COUNTIF($E147:Q147,"t")+COUNTIF($E147:Q147,"¶")+COUNTIF($E147:Q147,"²")+COUNTIF($E147:Q147,"µ")+COUNTIF($E147:Q147,1)),
HYPERLINK("#Roadmap!C"&amp; MATCH($E147,Roadmap!$D:$D,0)+COUNTIF($E147:Q147,"u")+COUNTIF($E147:Q147,"t"),
     INDEX(Roadmap!$D:$K,MATCH($E147,Roadmap!$D:$D,0)+COUNTIF($E147:Q147,"u")+COUNTIF($E147:Q147,"t")+COUNTIF($E147:Q147,"¶")+COUNTIF($E147:Q147,"²")+COUNTIF($E147:Q147,"µ")+COUNTIF($E147:Q147,1),ColTypeEcheance)),
  IF(LEN(Q147)=1,
  IF(LEN(INDEX(Roadmap!$D:$K,MATCH($E147,Roadmap!$D:$D,0)-1+COUNTIF($E147:Q147,"u")+COUNTIF($E147:Q147,"t")+COUNTIF($E147:Q147,"¶")+COUNTIF($E147:Q147,"²")+COUNTIF($E147:Q147,"µ")+COUNTIF($E147:Q147,1),ColDescriptionCourte))&gt;1,
HYPERLINK("#Roadmap!C"&amp; MATCH($E147,Roadmap!$D:$D,0)+COUNTIF($E147:Q147,"u")+COUNTIF($E147:Q147,"t")+COUNTIF($E147:Q147,"¶")+COUNTIF($E147:Q147,"²")+COUNTIF($E147:Q147,"µ")+COUNTIF($E147:Q147,1)-1,INDEX(Roadmap!$D:$K,MATCH($E147,Roadmap!$D:$D,0)-1+COUNTIF($E147:Q147,"u")+COUNTIF($E147:Q147,"t")+COUNTIF($E147:Q147,"¶")+COUNTIF($E147:Q147,"²")+COUNTIF($E147:Q147,"µ")+COUNTIF($E147:Q147,1),ColDescriptionCourte)),""),
  "")),"")</f>
        <v/>
      </c>
      <c r="S147" s="40" t="str">
        <f ca="1">IFERROR(IF(AND(
  INDEX(Roadmap!$D:$K,MATCH($E147,Roadmap!$D:$D,0)+COUNTIF($E147:R147,"u")+COUNTIF($E147:R147,"t")+COUNTIF($E147:R147,"¶")+COUNTIF($E147:R147,"²")+COUNTIF($E147:R147,"µ")+COUNTIF($E147:R147,1),ColLivraison)=S$6,
  VLOOKUP($E147,INDIRECT("tri!"&amp; CHAR(64+ C0Col) &amp;":"&amp; CHAR(65+C0Col)),2,FALSE)&gt;COUNTIF($E147:R147,"u")+COUNTIF($E147:R147,"t")+COUNTIF($E147:R147,"¶")+COUNTIF($E147:R147,"²")+COUNTIF($E147:R147,"µ")+COUNTIF($E147:R147,1)),
HYPERLINK("#Roadmap!C"&amp; MATCH($E147,Roadmap!$D:$D,0)+COUNTIF($E147:R147,"u")+COUNTIF($E147:R147,"t"),
     INDEX(Roadmap!$D:$K,MATCH($E147,Roadmap!$D:$D,0)+COUNTIF($E147:R147,"u")+COUNTIF($E147:R147,"t")+COUNTIF($E147:R147,"¶")+COUNTIF($E147:R147,"²")+COUNTIF($E147:R147,"µ")+COUNTIF($E147:R147,1),ColTypeEcheance)),
  IF(LEN(R147)=1,
  IF(LEN(INDEX(Roadmap!$D:$K,MATCH($E147,Roadmap!$D:$D,0)-1+COUNTIF($E147:R147,"u")+COUNTIF($E147:R147,"t")+COUNTIF($E147:R147,"¶")+COUNTIF($E147:R147,"²")+COUNTIF($E147:R147,"µ")+COUNTIF($E147:R147,1),ColDescriptionCourte))&gt;1,
HYPERLINK("#Roadmap!C"&amp; MATCH($E147,Roadmap!$D:$D,0)+COUNTIF($E147:R147,"u")+COUNTIF($E147:R147,"t")+COUNTIF($E147:R147,"¶")+COUNTIF($E147:R147,"²")+COUNTIF($E147:R147,"µ")+COUNTIF($E147:R147,1)-1,INDEX(Roadmap!$D:$K,MATCH($E147,Roadmap!$D:$D,0)-1+COUNTIF($E147:R147,"u")+COUNTIF($E147:R147,"t")+COUNTIF($E147:R147,"¶")+COUNTIF($E147:R147,"²")+COUNTIF($E147:R147,"µ")+COUNTIF($E147:R147,1),ColDescriptionCourte)),""),
  "")),"")</f>
        <v/>
      </c>
      <c r="T147" s="40" t="str">
        <f ca="1">IFERROR(IF(AND(
  INDEX(Roadmap!$D:$K,MATCH($E147,Roadmap!$D:$D,0)+COUNTIF($E147:S147,"u")+COUNTIF($E147:S147,"t")+COUNTIF($E147:S147,"¶")+COUNTIF($E147:S147,"²")+COUNTIF($E147:S147,"µ")+COUNTIF($E147:S147,1),ColLivraison)=T$6,
  VLOOKUP($E147,INDIRECT("tri!"&amp; CHAR(64+ C0Col) &amp;":"&amp; CHAR(65+C0Col)),2,FALSE)&gt;COUNTIF($E147:S147,"u")+COUNTIF($E147:S147,"t")+COUNTIF($E147:S147,"¶")+COUNTIF($E147:S147,"²")+COUNTIF($E147:S147,"µ")+COUNTIF($E147:S147,1)),
HYPERLINK("#Roadmap!C"&amp; MATCH($E147,Roadmap!$D:$D,0)+COUNTIF($E147:S147,"u")+COUNTIF($E147:S147,"t"),
     INDEX(Roadmap!$D:$K,MATCH($E147,Roadmap!$D:$D,0)+COUNTIF($E147:S147,"u")+COUNTIF($E147:S147,"t")+COUNTIF($E147:S147,"¶")+COUNTIF($E147:S147,"²")+COUNTIF($E147:S147,"µ")+COUNTIF($E147:S147,1),ColTypeEcheance)),
  IF(LEN(S147)=1,
  IF(LEN(INDEX(Roadmap!$D:$K,MATCH($E147,Roadmap!$D:$D,0)-1+COUNTIF($E147:S147,"u")+COUNTIF($E147:S147,"t")+COUNTIF($E147:S147,"¶")+COUNTIF($E147:S147,"²")+COUNTIF($E147:S147,"µ")+COUNTIF($E147:S147,1),ColDescriptionCourte))&gt;1,
HYPERLINK("#Roadmap!C"&amp; MATCH($E147,Roadmap!$D:$D,0)+COUNTIF($E147:S147,"u")+COUNTIF($E147:S147,"t")+COUNTIF($E147:S147,"¶")+COUNTIF($E147:S147,"²")+COUNTIF($E147:S147,"µ")+COUNTIF($E147:S147,1)-1,INDEX(Roadmap!$D:$K,MATCH($E147,Roadmap!$D:$D,0)-1+COUNTIF($E147:S147,"u")+COUNTIF($E147:S147,"t")+COUNTIF($E147:S147,"¶")+COUNTIF($E147:S147,"²")+COUNTIF($E147:S147,"µ")+COUNTIF($E147:S147,1),ColDescriptionCourte)),""),
  "")),"")</f>
        <v/>
      </c>
      <c r="U147" s="40" t="str">
        <f ca="1">IFERROR(IF(AND(
  INDEX(Roadmap!$D:$K,MATCH($E147,Roadmap!$D:$D,0)+COUNTIF($E147:T147,"u")+COUNTIF($E147:T147,"t")+COUNTIF($E147:T147,"¶")+COUNTIF($E147:T147,"²")+COUNTIF($E147:T147,"µ")+COUNTIF($E147:T147,1),ColLivraison)=U$6,
  VLOOKUP($E147,INDIRECT("tri!"&amp; CHAR(64+ C0Col) &amp;":"&amp; CHAR(65+C0Col)),2,FALSE)&gt;COUNTIF($E147:T147,"u")+COUNTIF($E147:T147,"t")+COUNTIF($E147:T147,"¶")+COUNTIF($E147:T147,"²")+COUNTIF($E147:T147,"µ")+COUNTIF($E147:T147,1)),
HYPERLINK("#Roadmap!C"&amp; MATCH($E147,Roadmap!$D:$D,0)+COUNTIF($E147:T147,"u")+COUNTIF($E147:T147,"t"),
     INDEX(Roadmap!$D:$K,MATCH($E147,Roadmap!$D:$D,0)+COUNTIF($E147:T147,"u")+COUNTIF($E147:T147,"t")+COUNTIF($E147:T147,"¶")+COUNTIF($E147:T147,"²")+COUNTIF($E147:T147,"µ")+COUNTIF($E147:T147,1),ColTypeEcheance)),
  IF(LEN(T147)=1,
  IF(LEN(INDEX(Roadmap!$D:$K,MATCH($E147,Roadmap!$D:$D,0)-1+COUNTIF($E147:T147,"u")+COUNTIF($E147:T147,"t")+COUNTIF($E147:T147,"¶")+COUNTIF($E147:T147,"²")+COUNTIF($E147:T147,"µ")+COUNTIF($E147:T147,1),ColDescriptionCourte))&gt;1,
HYPERLINK("#Roadmap!C"&amp; MATCH($E147,Roadmap!$D:$D,0)+COUNTIF($E147:T147,"u")+COUNTIF($E147:T147,"t")+COUNTIF($E147:T147,"¶")+COUNTIF($E147:T147,"²")+COUNTIF($E147:T147,"µ")+COUNTIF($E147:T147,1)-1,INDEX(Roadmap!$D:$K,MATCH($E147,Roadmap!$D:$D,0)-1+COUNTIF($E147:T147,"u")+COUNTIF($E147:T147,"t")+COUNTIF($E147:T147,"¶")+COUNTIF($E147:T147,"²")+COUNTIF($E147:T147,"µ")+COUNTIF($E147:T147,1),ColDescriptionCourte)),""),
  "")),"")</f>
        <v/>
      </c>
      <c r="V147" s="40" t="str">
        <f ca="1">IFERROR(IF(AND(
  INDEX(Roadmap!$D:$K,MATCH($E147,Roadmap!$D:$D,0)+COUNTIF($E147:U147,"u")+COUNTIF($E147:U147,"t")+COUNTIF($E147:U147,"¶")+COUNTIF($E147:U147,"²")+COUNTIF($E147:U147,"µ")+COUNTIF($E147:U147,1),ColLivraison)=V$6,
  VLOOKUP($E147,INDIRECT("tri!"&amp; CHAR(64+ C0Col) &amp;":"&amp; CHAR(65+C0Col)),2,FALSE)&gt;COUNTIF($E147:U147,"u")+COUNTIF($E147:U147,"t")+COUNTIF($E147:U147,"¶")+COUNTIF($E147:U147,"²")+COUNTIF($E147:U147,"µ")+COUNTIF($E147:U147,1)),
HYPERLINK("#Roadmap!C"&amp; MATCH($E147,Roadmap!$D:$D,0)+COUNTIF($E147:U147,"u")+COUNTIF($E147:U147,"t"),
     INDEX(Roadmap!$D:$K,MATCH($E147,Roadmap!$D:$D,0)+COUNTIF($E147:U147,"u")+COUNTIF($E147:U147,"t")+COUNTIF($E147:U147,"¶")+COUNTIF($E147:U147,"²")+COUNTIF($E147:U147,"µ")+COUNTIF($E147:U147,1),ColTypeEcheance)),
  IF(LEN(U147)=1,
  IF(LEN(INDEX(Roadmap!$D:$K,MATCH($E147,Roadmap!$D:$D,0)-1+COUNTIF($E147:U147,"u")+COUNTIF($E147:U147,"t")+COUNTIF($E147:U147,"¶")+COUNTIF($E147:U147,"²")+COUNTIF($E147:U147,"µ")+COUNTIF($E147:U147,1),ColDescriptionCourte))&gt;1,
HYPERLINK("#Roadmap!C"&amp; MATCH($E147,Roadmap!$D:$D,0)+COUNTIF($E147:U147,"u")+COUNTIF($E147:U147,"t")+COUNTIF($E147:U147,"¶")+COUNTIF($E147:U147,"²")+COUNTIF($E147:U147,"µ")+COUNTIF($E147:U147,1)-1,INDEX(Roadmap!$D:$K,MATCH($E147,Roadmap!$D:$D,0)-1+COUNTIF($E147:U147,"u")+COUNTIF($E147:U147,"t")+COUNTIF($E147:U147,"¶")+COUNTIF($E147:U147,"²")+COUNTIF($E147:U147,"µ")+COUNTIF($E147:U147,1),ColDescriptionCourte)),""),
  "")),"")</f>
        <v/>
      </c>
      <c r="W147" s="40" t="str">
        <f ca="1">IFERROR(IF(AND(
  INDEX(Roadmap!$D:$K,MATCH($E147,Roadmap!$D:$D,0)+COUNTIF($E147:V147,"u")+COUNTIF($E147:V147,"t")+COUNTIF($E147:V147,"¶")+COUNTIF($E147:V147,"²")+COUNTIF($E147:V147,"µ")+COUNTIF($E147:V147,1),ColLivraison)=W$6,
  VLOOKUP($E147,INDIRECT("tri!"&amp; CHAR(64+ C0Col) &amp;":"&amp; CHAR(65+C0Col)),2,FALSE)&gt;COUNTIF($E147:V147,"u")+COUNTIF($E147:V147,"t")+COUNTIF($E147:V147,"¶")+COUNTIF($E147:V147,"²")+COUNTIF($E147:V147,"µ")+COUNTIF($E147:V147,1)),
HYPERLINK("#Roadmap!C"&amp; MATCH($E147,Roadmap!$D:$D,0)+COUNTIF($E147:V147,"u")+COUNTIF($E147:V147,"t"),
     INDEX(Roadmap!$D:$K,MATCH($E147,Roadmap!$D:$D,0)+COUNTIF($E147:V147,"u")+COUNTIF($E147:V147,"t")+COUNTIF($E147:V147,"¶")+COUNTIF($E147:V147,"²")+COUNTIF($E147:V147,"µ")+COUNTIF($E147:V147,1),ColTypeEcheance)),
  IF(LEN(V147)=1,
  IF(LEN(INDEX(Roadmap!$D:$K,MATCH($E147,Roadmap!$D:$D,0)-1+COUNTIF($E147:V147,"u")+COUNTIF($E147:V147,"t")+COUNTIF($E147:V147,"¶")+COUNTIF($E147:V147,"²")+COUNTIF($E147:V147,"µ")+COUNTIF($E147:V147,1),ColDescriptionCourte))&gt;1,
HYPERLINK("#Roadmap!C"&amp; MATCH($E147,Roadmap!$D:$D,0)+COUNTIF($E147:V147,"u")+COUNTIF($E147:V147,"t")+COUNTIF($E147:V147,"¶")+COUNTIF($E147:V147,"²")+COUNTIF($E147:V147,"µ")+COUNTIF($E147:V147,1)-1,INDEX(Roadmap!$D:$K,MATCH($E147,Roadmap!$D:$D,0)-1+COUNTIF($E147:V147,"u")+COUNTIF($E147:V147,"t")+COUNTIF($E147:V147,"¶")+COUNTIF($E147:V147,"²")+COUNTIF($E147:V147,"µ")+COUNTIF($E147:V147,1),ColDescriptionCourte)),""),
  "")),"")</f>
        <v/>
      </c>
      <c r="X147" s="40" t="str">
        <f ca="1">IFERROR(IF(AND(
  INDEX(Roadmap!$D:$K,MATCH($E147,Roadmap!$D:$D,0)+COUNTIF($E147:W147,"u")+COUNTIF($E147:W147,"t")+COUNTIF($E147:W147,"¶")+COUNTIF($E147:W147,"²")+COUNTIF($E147:W147,"µ")+COUNTIF($E147:W147,1),ColLivraison)=X$6,
  VLOOKUP($E147,INDIRECT("tri!"&amp; CHAR(64+ C0Col) &amp;":"&amp; CHAR(65+C0Col)),2,FALSE)&gt;COUNTIF($E147:W147,"u")+COUNTIF($E147:W147,"t")+COUNTIF($E147:W147,"¶")+COUNTIF($E147:W147,"²")+COUNTIF($E147:W147,"µ")+COUNTIF($E147:W147,1)),
HYPERLINK("#Roadmap!C"&amp; MATCH($E147,Roadmap!$D:$D,0)+COUNTIF($E147:W147,"u")+COUNTIF($E147:W147,"t"),
     INDEX(Roadmap!$D:$K,MATCH($E147,Roadmap!$D:$D,0)+COUNTIF($E147:W147,"u")+COUNTIF($E147:W147,"t")+COUNTIF($E147:W147,"¶")+COUNTIF($E147:W147,"²")+COUNTIF($E147:W147,"µ")+COUNTIF($E147:W147,1),ColTypeEcheance)),
  IF(LEN(W147)=1,
  IF(LEN(INDEX(Roadmap!$D:$K,MATCH($E147,Roadmap!$D:$D,0)-1+COUNTIF($E147:W147,"u")+COUNTIF($E147:W147,"t")+COUNTIF($E147:W147,"¶")+COUNTIF($E147:W147,"²")+COUNTIF($E147:W147,"µ")+COUNTIF($E147:W147,1),ColDescriptionCourte))&gt;1,
HYPERLINK("#Roadmap!C"&amp; MATCH($E147,Roadmap!$D:$D,0)+COUNTIF($E147:W147,"u")+COUNTIF($E147:W147,"t")+COUNTIF($E147:W147,"¶")+COUNTIF($E147:W147,"²")+COUNTIF($E147:W147,"µ")+COUNTIF($E147:W147,1)-1,INDEX(Roadmap!$D:$K,MATCH($E147,Roadmap!$D:$D,0)-1+COUNTIF($E147:W147,"u")+COUNTIF($E147:W147,"t")+COUNTIF($E147:W147,"¶")+COUNTIF($E147:W147,"²")+COUNTIF($E147:W147,"µ")+COUNTIF($E147:W147,1),ColDescriptionCourte)),""),
  "")),"")</f>
        <v/>
      </c>
      <c r="Y147" s="40" t="str">
        <f ca="1">IFERROR(IF(AND(
  INDEX(Roadmap!$D:$K,MATCH($E147,Roadmap!$D:$D,0)+COUNTIF($E147:X147,"u")+COUNTIF($E147:X147,"t")+COUNTIF($E147:X147,"¶")+COUNTIF($E147:X147,"²")+COUNTIF($E147:X147,"µ")+COUNTIF($E147:X147,1),ColLivraison)=Y$6,
  VLOOKUP($E147,INDIRECT("tri!"&amp; CHAR(64+ C0Col) &amp;":"&amp; CHAR(65+C0Col)),2,FALSE)&gt;COUNTIF($E147:X147,"u")+COUNTIF($E147:X147,"t")+COUNTIF($E147:X147,"¶")+COUNTIF($E147:X147,"²")+COUNTIF($E147:X147,"µ")+COUNTIF($E147:X147,1)),
HYPERLINK("#Roadmap!C"&amp; MATCH($E147,Roadmap!$D:$D,0)+COUNTIF($E147:X147,"u")+COUNTIF($E147:X147,"t"),
     INDEX(Roadmap!$D:$K,MATCH($E147,Roadmap!$D:$D,0)+COUNTIF($E147:X147,"u")+COUNTIF($E147:X147,"t")+COUNTIF($E147:X147,"¶")+COUNTIF($E147:X147,"²")+COUNTIF($E147:X147,"µ")+COUNTIF($E147:X147,1),ColTypeEcheance)),
  IF(LEN(X147)=1,
  IF(LEN(INDEX(Roadmap!$D:$K,MATCH($E147,Roadmap!$D:$D,0)-1+COUNTIF($E147:X147,"u")+COUNTIF($E147:X147,"t")+COUNTIF($E147:X147,"¶")+COUNTIF($E147:X147,"²")+COUNTIF($E147:X147,"µ")+COUNTIF($E147:X147,1),ColDescriptionCourte))&gt;1,
HYPERLINK("#Roadmap!C"&amp; MATCH($E147,Roadmap!$D:$D,0)+COUNTIF($E147:X147,"u")+COUNTIF($E147:X147,"t")+COUNTIF($E147:X147,"¶")+COUNTIF($E147:X147,"²")+COUNTIF($E147:X147,"µ")+COUNTIF($E147:X147,1)-1,INDEX(Roadmap!$D:$K,MATCH($E147,Roadmap!$D:$D,0)-1+COUNTIF($E147:X147,"u")+COUNTIF($E147:X147,"t")+COUNTIF($E147:X147,"¶")+COUNTIF($E147:X147,"²")+COUNTIF($E147:X147,"µ")+COUNTIF($E147:X147,1),ColDescriptionCourte)),""),
  "")),"")</f>
        <v/>
      </c>
      <c r="Z147" s="40" t="str">
        <f ca="1">IFERROR(IF(AND(
  INDEX(Roadmap!$D:$K,MATCH($E147,Roadmap!$D:$D,0)+COUNTIF($E147:Y147,"u")+COUNTIF($E147:Y147,"t")+COUNTIF($E147:Y147,"¶")+COUNTIF($E147:Y147,"²")+COUNTIF($E147:Y147,"µ")+COUNTIF($E147:Y147,1),ColLivraison)=Z$6,
  VLOOKUP($E147,INDIRECT("tri!"&amp; CHAR(64+ C0Col) &amp;":"&amp; CHAR(65+C0Col)),2,FALSE)&gt;COUNTIF($E147:Y147,"u")+COUNTIF($E147:Y147,"t")+COUNTIF($E147:Y147,"¶")+COUNTIF($E147:Y147,"²")+COUNTIF($E147:Y147,"µ")+COUNTIF($E147:Y147,1)),
HYPERLINK("#Roadmap!C"&amp; MATCH($E147,Roadmap!$D:$D,0)+COUNTIF($E147:Y147,"u")+COUNTIF($E147:Y147,"t"),
     INDEX(Roadmap!$D:$K,MATCH($E147,Roadmap!$D:$D,0)+COUNTIF($E147:Y147,"u")+COUNTIF($E147:Y147,"t")+COUNTIF($E147:Y147,"¶")+COUNTIF($E147:Y147,"²")+COUNTIF($E147:Y147,"µ")+COUNTIF($E147:Y147,1),ColTypeEcheance)),
  IF(LEN(Y147)=1,
  IF(LEN(INDEX(Roadmap!$D:$K,MATCH($E147,Roadmap!$D:$D,0)-1+COUNTIF($E147:Y147,"u")+COUNTIF($E147:Y147,"t")+COUNTIF($E147:Y147,"¶")+COUNTIF($E147:Y147,"²")+COUNTIF($E147:Y147,"µ")+COUNTIF($E147:Y147,1),ColDescriptionCourte))&gt;1,
HYPERLINK("#Roadmap!C"&amp; MATCH($E147,Roadmap!$D:$D,0)+COUNTIF($E147:Y147,"u")+COUNTIF($E147:Y147,"t")+COUNTIF($E147:Y147,"¶")+COUNTIF($E147:Y147,"²")+COUNTIF($E147:Y147,"µ")+COUNTIF($E147:Y147,1)-1,INDEX(Roadmap!$D:$K,MATCH($E147,Roadmap!$D:$D,0)-1+COUNTIF($E147:Y147,"u")+COUNTIF($E147:Y147,"t")+COUNTIF($E147:Y147,"¶")+COUNTIF($E147:Y147,"²")+COUNTIF($E147:Y147,"µ")+COUNTIF($E147:Y147,1),ColDescriptionCourte)),""),
  "")),"")</f>
        <v/>
      </c>
      <c r="AA147" s="40" t="str">
        <f ca="1">IFERROR(IF(AND(
  INDEX(Roadmap!$D:$K,MATCH($E147,Roadmap!$D:$D,0)+COUNTIF($E147:Z147,"u")+COUNTIF($E147:Z147,"t")+COUNTIF($E147:Z147,"¶")+COUNTIF($E147:Z147,"²")+COUNTIF($E147:Z147,"µ")+COUNTIF($E147:Z147,1),ColLivraison)=AA$6,
  VLOOKUP($E147,INDIRECT("tri!"&amp; CHAR(64+ C0Col) &amp;":"&amp; CHAR(65+C0Col)),2,FALSE)&gt;COUNTIF($E147:Z147,"u")+COUNTIF($E147:Z147,"t")+COUNTIF($E147:Z147,"¶")+COUNTIF($E147:Z147,"²")+COUNTIF($E147:Z147,"µ")+COUNTIF($E147:Z147,1)),
HYPERLINK("#Roadmap!C"&amp; MATCH($E147,Roadmap!$D:$D,0)+COUNTIF($E147:Z147,"u")+COUNTIF($E147:Z147,"t"),
     INDEX(Roadmap!$D:$K,MATCH($E147,Roadmap!$D:$D,0)+COUNTIF($E147:Z147,"u")+COUNTIF($E147:Z147,"t")+COUNTIF($E147:Z147,"¶")+COUNTIF($E147:Z147,"²")+COUNTIF($E147:Z147,"µ")+COUNTIF($E147:Z147,1),ColTypeEcheance)),
  IF(LEN(Z147)=1,
  IF(LEN(INDEX(Roadmap!$D:$K,MATCH($E147,Roadmap!$D:$D,0)-1+COUNTIF($E147:Z147,"u")+COUNTIF($E147:Z147,"t")+COUNTIF($E147:Z147,"¶")+COUNTIF($E147:Z147,"²")+COUNTIF($E147:Z147,"µ")+COUNTIF($E147:Z147,1),ColDescriptionCourte))&gt;1,
HYPERLINK("#Roadmap!C"&amp; MATCH($E147,Roadmap!$D:$D,0)+COUNTIF($E147:Z147,"u")+COUNTIF($E147:Z147,"t")+COUNTIF($E147:Z147,"¶")+COUNTIF($E147:Z147,"²")+COUNTIF($E147:Z147,"µ")+COUNTIF($E147:Z147,1)-1,INDEX(Roadmap!$D:$K,MATCH($E147,Roadmap!$D:$D,0)-1+COUNTIF($E147:Z147,"u")+COUNTIF($E147:Z147,"t")+COUNTIF($E147:Z147,"¶")+COUNTIF($E147:Z147,"²")+COUNTIF($E147:Z147,"µ")+COUNTIF($E147:Z147,1),ColDescriptionCourte)),""),
  "")),"")</f>
        <v/>
      </c>
      <c r="AB147" s="40" t="str">
        <f ca="1">IFERROR(IF(AND(
  INDEX(Roadmap!$D:$K,MATCH($E147,Roadmap!$D:$D,0)+COUNTIF($E147:AA147,"u")+COUNTIF($E147:AA147,"t")+COUNTIF($E147:AA147,"¶")+COUNTIF($E147:AA147,"²")+COUNTIF($E147:AA147,"µ")+COUNTIF($E147:AA147,1),ColLivraison)=AB$6,
  VLOOKUP($E147,INDIRECT("tri!"&amp; CHAR(64+ C0Col) &amp;":"&amp; CHAR(65+C0Col)),2,FALSE)&gt;COUNTIF($E147:AA147,"u")+COUNTIF($E147:AA147,"t")+COUNTIF($E147:AA147,"¶")+COUNTIF($E147:AA147,"²")+COUNTIF($E147:AA147,"µ")+COUNTIF($E147:AA147,1)),
HYPERLINK("#Roadmap!C"&amp; MATCH($E147,Roadmap!$D:$D,0)+COUNTIF($E147:AA147,"u")+COUNTIF($E147:AA147,"t"),
     INDEX(Roadmap!$D:$K,MATCH($E147,Roadmap!$D:$D,0)+COUNTIF($E147:AA147,"u")+COUNTIF($E147:AA147,"t")+COUNTIF($E147:AA147,"¶")+COUNTIF($E147:AA147,"²")+COUNTIF($E147:AA147,"µ")+COUNTIF($E147:AA147,1),ColTypeEcheance)),
  IF(LEN(AA147)=1,
  IF(LEN(INDEX(Roadmap!$D:$K,MATCH($E147,Roadmap!$D:$D,0)-1+COUNTIF($E147:AA147,"u")+COUNTIF($E147:AA147,"t")+COUNTIF($E147:AA147,"¶")+COUNTIF($E147:AA147,"²")+COUNTIF($E147:AA147,"µ")+COUNTIF($E147:AA147,1),ColDescriptionCourte))&gt;1,
HYPERLINK("#Roadmap!C"&amp; MATCH($E147,Roadmap!$D:$D,0)+COUNTIF($E147:AA147,"u")+COUNTIF($E147:AA147,"t")+COUNTIF($E147:AA147,"¶")+COUNTIF($E147:AA147,"²")+COUNTIF($E147:AA147,"µ")+COUNTIF($E147:AA147,1)-1,INDEX(Roadmap!$D:$K,MATCH($E147,Roadmap!$D:$D,0)-1+COUNTIF($E147:AA147,"u")+COUNTIF($E147:AA147,"t")+COUNTIF($E147:AA147,"¶")+COUNTIF($E147:AA147,"²")+COUNTIF($E147:AA147,"µ")+COUNTIF($E147:AA147,1),ColDescriptionCourte)),""),
  "")),"")</f>
        <v/>
      </c>
      <c r="AC147" s="40" t="str">
        <f ca="1">IFERROR(IF(AND(
  INDEX(Roadmap!$D:$K,MATCH($E147,Roadmap!$D:$D,0)+COUNTIF($E147:AB147,"u")+COUNTIF($E147:AB147,"t")+COUNTIF($E147:AB147,"¶")+COUNTIF($E147:AB147,"²")+COUNTIF($E147:AB147,"µ")+COUNTIF($E147:AB147,1),ColLivraison)=AC$6,
  VLOOKUP($E147,INDIRECT("tri!"&amp; CHAR(64+ C0Col) &amp;":"&amp; CHAR(65+C0Col)),2,FALSE)&gt;COUNTIF($E147:AB147,"u")+COUNTIF($E147:AB147,"t")+COUNTIF($E147:AB147,"¶")+COUNTIF($E147:AB147,"²")+COUNTIF($E147:AB147,"µ")+COUNTIF($E147:AB147,1)),
HYPERLINK("#Roadmap!C"&amp; MATCH($E147,Roadmap!$D:$D,0)+COUNTIF($E147:AB147,"u")+COUNTIF($E147:AB147,"t"),
     INDEX(Roadmap!$D:$K,MATCH($E147,Roadmap!$D:$D,0)+COUNTIF($E147:AB147,"u")+COUNTIF($E147:AB147,"t")+COUNTIF($E147:AB147,"¶")+COUNTIF($E147:AB147,"²")+COUNTIF($E147:AB147,"µ")+COUNTIF($E147:AB147,1),ColTypeEcheance)),
  IF(LEN(AB147)=1,
  IF(LEN(INDEX(Roadmap!$D:$K,MATCH($E147,Roadmap!$D:$D,0)-1+COUNTIF($E147:AB147,"u")+COUNTIF($E147:AB147,"t")+COUNTIF($E147:AB147,"¶")+COUNTIF($E147:AB147,"²")+COUNTIF($E147:AB147,"µ")+COUNTIF($E147:AB147,1),ColDescriptionCourte))&gt;1,
HYPERLINK("#Roadmap!C"&amp; MATCH($E147,Roadmap!$D:$D,0)+COUNTIF($E147:AB147,"u")+COUNTIF($E147:AB147,"t")+COUNTIF($E147:AB147,"¶")+COUNTIF($E147:AB147,"²")+COUNTIF($E147:AB147,"µ")+COUNTIF($E147:AB147,1)-1,INDEX(Roadmap!$D:$K,MATCH($E147,Roadmap!$D:$D,0)-1+COUNTIF($E147:AB147,"u")+COUNTIF($E147:AB147,"t")+COUNTIF($E147:AB147,"¶")+COUNTIF($E147:AB147,"²")+COUNTIF($E147:AB147,"µ")+COUNTIF($E147:AB147,1),ColDescriptionCourte)),""),
  "")),"")</f>
        <v/>
      </c>
      <c r="AD147" s="40" t="str">
        <f ca="1">IFERROR(IF(AND(
  INDEX(Roadmap!$D:$K,MATCH($E147,Roadmap!$D:$D,0)+COUNTIF($E147:AC147,"u")+COUNTIF($E147:AC147,"t")+COUNTIF($E147:AC147,"¶")+COUNTIF($E147:AC147,"²")+COUNTIF($E147:AC147,"µ")+COUNTIF($E147:AC147,1),ColLivraison)=AD$6,
  VLOOKUP($E147,INDIRECT("tri!"&amp; CHAR(64+ C0Col) &amp;":"&amp; CHAR(65+C0Col)),2,FALSE)&gt;COUNTIF($E147:AC147,"u")+COUNTIF($E147:AC147,"t")+COUNTIF($E147:AC147,"¶")+COUNTIF($E147:AC147,"²")+COUNTIF($E147:AC147,"µ")+COUNTIF($E147:AC147,1)),
HYPERLINK("#Roadmap!C"&amp; MATCH($E147,Roadmap!$D:$D,0)+COUNTIF($E147:AC147,"u")+COUNTIF($E147:AC147,"t"),
     INDEX(Roadmap!$D:$K,MATCH($E147,Roadmap!$D:$D,0)+COUNTIF($E147:AC147,"u")+COUNTIF($E147:AC147,"t")+COUNTIF($E147:AC147,"¶")+COUNTIF($E147:AC147,"²")+COUNTIF($E147:AC147,"µ")+COUNTIF($E147:AC147,1),ColTypeEcheance)),
  IF(LEN(AC147)=1,
  IF(LEN(INDEX(Roadmap!$D:$K,MATCH($E147,Roadmap!$D:$D,0)-1+COUNTIF($E147:AC147,"u")+COUNTIF($E147:AC147,"t")+COUNTIF($E147:AC147,"¶")+COUNTIF($E147:AC147,"²")+COUNTIF($E147:AC147,"µ")+COUNTIF($E147:AC147,1),ColDescriptionCourte))&gt;1,
HYPERLINK("#Roadmap!C"&amp; MATCH($E147,Roadmap!$D:$D,0)+COUNTIF($E147:AC147,"u")+COUNTIF($E147:AC147,"t")+COUNTIF($E147:AC147,"¶")+COUNTIF($E147:AC147,"²")+COUNTIF($E147:AC147,"µ")+COUNTIF($E147:AC147,1)-1,INDEX(Roadmap!$D:$K,MATCH($E147,Roadmap!$D:$D,0)-1+COUNTIF($E147:AC147,"u")+COUNTIF($E147:AC147,"t")+COUNTIF($E147:AC147,"¶")+COUNTIF($E147:AC147,"²")+COUNTIF($E147:AC147,"µ")+COUNTIF($E147:AC147,1),ColDescriptionCourte)),""),
  "")),"")</f>
        <v/>
      </c>
      <c r="AE147" s="40" t="str">
        <f ca="1">IFERROR(IF(AND(
  INDEX(Roadmap!$D:$K,MATCH($E147,Roadmap!$D:$D,0)+COUNTIF($E147:AD147,"u")+COUNTIF($E147:AD147,"t")+COUNTIF($E147:AD147,"¶")+COUNTIF($E147:AD147,"²")+COUNTIF($E147:AD147,"µ")+COUNTIF($E147:AD147,1),ColLivraison)=AE$6,
  VLOOKUP($E147,INDIRECT("tri!"&amp; CHAR(64+ C0Col) &amp;":"&amp; CHAR(65+C0Col)),2,FALSE)&gt;COUNTIF($E147:AD147,"u")+COUNTIF($E147:AD147,"t")+COUNTIF($E147:AD147,"¶")+COUNTIF($E147:AD147,"²")+COUNTIF($E147:AD147,"µ")+COUNTIF($E147:AD147,1)),
HYPERLINK("#Roadmap!C"&amp; MATCH($E147,Roadmap!$D:$D,0)+COUNTIF($E147:AD147,"u")+COUNTIF($E147:AD147,"t"),
     INDEX(Roadmap!$D:$K,MATCH($E147,Roadmap!$D:$D,0)+COUNTIF($E147:AD147,"u")+COUNTIF($E147:AD147,"t")+COUNTIF($E147:AD147,"¶")+COUNTIF($E147:AD147,"²")+COUNTIF($E147:AD147,"µ")+COUNTIF($E147:AD147,1),ColTypeEcheance)),
  IF(LEN(AD147)=1,
  IF(LEN(INDEX(Roadmap!$D:$K,MATCH($E147,Roadmap!$D:$D,0)-1+COUNTIF($E147:AD147,"u")+COUNTIF($E147:AD147,"t")+COUNTIF($E147:AD147,"¶")+COUNTIF($E147:AD147,"²")+COUNTIF($E147:AD147,"µ")+COUNTIF($E147:AD147,1),ColDescriptionCourte))&gt;1,
HYPERLINK("#Roadmap!C"&amp; MATCH($E147,Roadmap!$D:$D,0)+COUNTIF($E147:AD147,"u")+COUNTIF($E147:AD147,"t")+COUNTIF($E147:AD147,"¶")+COUNTIF($E147:AD147,"²")+COUNTIF($E147:AD147,"µ")+COUNTIF($E147:AD147,1)-1,INDEX(Roadmap!$D:$K,MATCH($E147,Roadmap!$D:$D,0)-1+COUNTIF($E147:AD147,"u")+COUNTIF($E147:AD147,"t")+COUNTIF($E147:AD147,"¶")+COUNTIF($E147:AD147,"²")+COUNTIF($E147:AD147,"µ")+COUNTIF($E147:AD147,1),ColDescriptionCourte)),""),
  "")),"")</f>
        <v/>
      </c>
      <c r="AF147" s="40" t="str">
        <f ca="1">IFERROR(IF(AND(
  INDEX(Roadmap!$D:$K,MATCH($E147,Roadmap!$D:$D,0)+COUNTIF($E147:AE147,"u")+COUNTIF($E147:AE147,"t")+COUNTIF($E147:AE147,"¶")+COUNTIF($E147:AE147,"²")+COUNTIF($E147:AE147,"µ")+COUNTIF($E147:AE147,1),ColLivraison)=AF$6,
  VLOOKUP($E147,INDIRECT("tri!"&amp; CHAR(64+ C0Col) &amp;":"&amp; CHAR(65+C0Col)),2,FALSE)&gt;COUNTIF($E147:AE147,"u")+COUNTIF($E147:AE147,"t")+COUNTIF($E147:AE147,"¶")+COUNTIF($E147:AE147,"²")+COUNTIF($E147:AE147,"µ")+COUNTIF($E147:AE147,1)),
HYPERLINK("#Roadmap!C"&amp; MATCH($E147,Roadmap!$D:$D,0)+COUNTIF($E147:AE147,"u")+COUNTIF($E147:AE147,"t"),
     INDEX(Roadmap!$D:$K,MATCH($E147,Roadmap!$D:$D,0)+COUNTIF($E147:AE147,"u")+COUNTIF($E147:AE147,"t")+COUNTIF($E147:AE147,"¶")+COUNTIF($E147:AE147,"²")+COUNTIF($E147:AE147,"µ")+COUNTIF($E147:AE147,1),ColTypeEcheance)),
  IF(LEN(AE147)=1,
  IF(LEN(INDEX(Roadmap!$D:$K,MATCH($E147,Roadmap!$D:$D,0)-1+COUNTIF($E147:AE147,"u")+COUNTIF($E147:AE147,"t")+COUNTIF($E147:AE147,"¶")+COUNTIF($E147:AE147,"²")+COUNTIF($E147:AE147,"µ")+COUNTIF($E147:AE147,1),ColDescriptionCourte))&gt;1,
HYPERLINK("#Roadmap!C"&amp; MATCH($E147,Roadmap!$D:$D,0)+COUNTIF($E147:AE147,"u")+COUNTIF($E147:AE147,"t")+COUNTIF($E147:AE147,"¶")+COUNTIF($E147:AE147,"²")+COUNTIF($E147:AE147,"µ")+COUNTIF($E147:AE147,1)-1,INDEX(Roadmap!$D:$K,MATCH($E147,Roadmap!$D:$D,0)-1+COUNTIF($E147:AE147,"u")+COUNTIF($E147:AE147,"t")+COUNTIF($E147:AE147,"¶")+COUNTIF($E147:AE147,"²")+COUNTIF($E147:AE147,"µ")+COUNTIF($E147:AE147,1),ColDescriptionCourte)),""),
  "")),"")</f>
        <v/>
      </c>
      <c r="AG147" s="40" t="str">
        <f ca="1">IFERROR(IF(AND(
  INDEX(Roadmap!$D:$K,MATCH($E147,Roadmap!$D:$D,0)+COUNTIF($E147:AF147,"u")+COUNTIF($E147:AF147,"t")+COUNTIF($E147:AF147,"¶")+COUNTIF($E147:AF147,"²")+COUNTIF($E147:AF147,"µ")+COUNTIF($E147:AF147,1),ColLivraison)=AG$6,
  VLOOKUP($E147,INDIRECT("tri!"&amp; CHAR(64+ C0Col) &amp;":"&amp; CHAR(65+C0Col)),2,FALSE)&gt;COUNTIF($E147:AF147,"u")+COUNTIF($E147:AF147,"t")+COUNTIF($E147:AF147,"¶")+COUNTIF($E147:AF147,"²")+COUNTIF($E147:AF147,"µ")+COUNTIF($E147:AF147,1)),
HYPERLINK("#Roadmap!C"&amp; MATCH($E147,Roadmap!$D:$D,0)+COUNTIF($E147:AF147,"u")+COUNTIF($E147:AF147,"t"),
     INDEX(Roadmap!$D:$K,MATCH($E147,Roadmap!$D:$D,0)+COUNTIF($E147:AF147,"u")+COUNTIF($E147:AF147,"t")+COUNTIF($E147:AF147,"¶")+COUNTIF($E147:AF147,"²")+COUNTIF($E147:AF147,"µ")+COUNTIF($E147:AF147,1),ColTypeEcheance)),
  IF(LEN(AF147)=1,
  IF(LEN(INDEX(Roadmap!$D:$K,MATCH($E147,Roadmap!$D:$D,0)-1+COUNTIF($E147:AF147,"u")+COUNTIF($E147:AF147,"t")+COUNTIF($E147:AF147,"¶")+COUNTIF($E147:AF147,"²")+COUNTIF($E147:AF147,"µ")+COUNTIF($E147:AF147,1),ColDescriptionCourte))&gt;1,
HYPERLINK("#Roadmap!C"&amp; MATCH($E147,Roadmap!$D:$D,0)+COUNTIF($E147:AF147,"u")+COUNTIF($E147:AF147,"t")+COUNTIF($E147:AF147,"¶")+COUNTIF($E147:AF147,"²")+COUNTIF($E147:AF147,"µ")+COUNTIF($E147:AF147,1)-1,INDEX(Roadmap!$D:$K,MATCH($E147,Roadmap!$D:$D,0)-1+COUNTIF($E147:AF147,"u")+COUNTIF($E147:AF147,"t")+COUNTIF($E147:AF147,"¶")+COUNTIF($E147:AF147,"²")+COUNTIF($E147:AF147,"µ")+COUNTIF($E147:AF147,1),ColDescriptionCourte)),""),
  "")),"")</f>
        <v/>
      </c>
      <c r="AH147" s="40" t="str">
        <f ca="1">IFERROR(IF(AND(
  INDEX(Roadmap!$D:$K,MATCH($E147,Roadmap!$D:$D,0)+COUNTIF($E147:AG147,"u")+COUNTIF($E147:AG147,"t")+COUNTIF($E147:AG147,1),ColLivraison)=AH$6,
  VLOOKUP($E147,INDIRECT("tri!"&amp; CHAR(64+ C0Col) &amp;":"&amp; CHAR(65+C0Col)),2,FALSE)&gt;COUNTIF($E147:AG147,"u")+COUNTIF($E147:AG147,"t")+COUNTIF($E147:AG147,1)),
HYPERLINK("#Roadmap!C"&amp; MATCH($E147,Roadmap!$D:$D,0)+COUNTIF($E147:AG147,"u")+COUNTIF($E147:AG147,"t"),
     INDEX(Roadmap!$D:$K,MATCH($E147,Roadmap!$D:$D,0)+COUNTIF($E147:AG147,"u")+COUNTIF($E147:AG147,"t")+COUNTIF($E147:AG147,1),ColTypeEcheance)),
  IF(OR(AG147="u",AG147="t",AG147=1),
  IF(LEN(INDEX(Roadmap!$D:$K,MATCH($E147,Roadmap!$D:$D,0)-1+COUNTIF($E147:AG147,"u")+COUNTIF($E147:AG147,"t")+COUNTIF($E147:AG147,1),ColDescriptionCourte))&gt;1,
HYPERLINK("#Roadmap!C"&amp; MATCH($E147,Roadmap!$D:$D,0)+COUNTIF($E147:AG147,"u")+COUNTIF($E147:AG147,"t")+COUNTIF($E147:AG147,1)-1,INDEX(Roadmap!$D:$K,MATCH($E147,Roadmap!$D:$D,0)-1+COUNTIF($E147:AG147,"u")+COUNTIF($E147:AG147,"t")+COUNTIF($E147:AG147,1),ColDescriptionCourte)),""),
  "")),"")</f>
        <v/>
      </c>
      <c r="AI147" s="40"/>
      <c r="AJ147" s="40"/>
      <c r="AK147" s="40"/>
      <c r="AL147" s="40"/>
      <c r="AM147" s="40"/>
    </row>
    <row r="148" spans="4:39" ht="14.1" customHeight="1">
      <c r="D148" s="20" t="str">
        <f t="shared" ca="1" si="31"/>
        <v/>
      </c>
      <c r="E148" s="53" t="str">
        <f t="shared" ca="1" si="32"/>
        <v/>
      </c>
      <c r="F148" s="39" t="str">
        <f ca="1">IFERROR(IF(AND(
  INDEX(Roadmap!$D:$K,MATCH($E148,Roadmap!$D:$D,0)+COUNTIF($E148:E148,"u")+COUNTIF($E148:E148,"t")+COUNTIF($E148:E148,"¶")+COUNTIF($E148:E148,"²")+COUNTIF($E148:E148,"µ")+COUNTIF($E148:E148,1),ColLivraison)=F$6,
  VLOOKUP($E148,INDIRECT("tri!"&amp; CHAR(64+ C0Col) &amp;":"&amp; CHAR(65+C0Col)),2,FALSE)&gt;COUNTIF($E148:E148,"u")+COUNTIF($E148:E148,"t")+COUNTIF($E148:E148,"¶")+COUNTIF($E148:E148,"²")+COUNTIF($E148:E148,"µ")+COUNTIF($E148:E148,1)),
HYPERLINK("#Roadmap!C"&amp; MATCH($E148,Roadmap!$D:$D,0)+COUNTIF($E148:E148,"u")+COUNTIF($E148:E148,"t"),
     INDEX(Roadmap!$D:$K,MATCH($E148,Roadmap!$D:$D,0)+COUNTIF($E148:E148,"u")+COUNTIF($E148:E148,"t")+COUNTIF($E148:E148,"¶")+COUNTIF($E148:E148,"²")+COUNTIF($E148:E148,"µ")+COUNTIF($E148:E148,1),ColTypeEcheance)),
  IF(LEN(E148)=1,
  IF(LEN(INDEX(Roadmap!$D:$K,MATCH($E148,Roadmap!$D:$D,0)-1+COUNTIF($E148:E148,"u")+COUNTIF($E148:E148,"t")+COUNTIF($E148:E148,"¶")+COUNTIF($E148:E148,"²")+COUNTIF($E148:E148,"µ")+COUNTIF($E148:E148,1),ColDescriptionCourte))&gt;1,
HYPERLINK("#Roadmap!C"&amp; MATCH($E148,Roadmap!$D:$D,0)+COUNTIF($E148:E148,"u")+COUNTIF($E148:E148,"t")+COUNTIF($E148:E148,"¶")+COUNTIF($E148:E148,"²")+COUNTIF($E148:E148,"µ")+COUNTIF($E148:E148,1)-1,INDEX(Roadmap!$D:$K,MATCH($E148,Roadmap!$D:$D,0)-1+COUNTIF($E148:E148,"u")+COUNTIF($E148:E148,"t")+COUNTIF($E148:E148,"¶")+COUNTIF($E148:E148,"²")+COUNTIF($E148:E148,"µ")+COUNTIF($E148:E148,1),ColDescriptionCourte)),""),
  "")),"")</f>
        <v/>
      </c>
      <c r="G148" s="40" t="str">
        <f ca="1">IFERROR(IF(AND(
  INDEX(Roadmap!$D:$K,MATCH($E148,Roadmap!$D:$D,0)+COUNTIF($E148:F148,"u")+COUNTIF($E148:F148,"t")+COUNTIF($E148:F148,"¶")+COUNTIF($E148:F148,"²")+COUNTIF($E148:F148,"µ")+COUNTIF($E148:F148,1),ColLivraison)=G$6,
  VLOOKUP($E148,INDIRECT("tri!"&amp; CHAR(64+ C0Col) &amp;":"&amp; CHAR(65+C0Col)),2,FALSE)&gt;COUNTIF($E148:F148,"u")+COUNTIF($E148:F148,"t")+COUNTIF($E148:F148,"¶")+COUNTIF($E148:F148,"²")+COUNTIF($E148:F148,"µ")+COUNTIF($E148:F148,1)),
HYPERLINK("#Roadmap!C"&amp; MATCH($E148,Roadmap!$D:$D,0)+COUNTIF($E148:F148,"u")+COUNTIF($E148:F148,"t"),
     INDEX(Roadmap!$D:$K,MATCH($E148,Roadmap!$D:$D,0)+COUNTIF($E148:F148,"u")+COUNTIF($E148:F148,"t")+COUNTIF($E148:F148,"¶")+COUNTIF($E148:F148,"²")+COUNTIF($E148:F148,"µ")+COUNTIF($E148:F148,1),ColTypeEcheance)),
  IF(LEN(F148)=1,
  IF(LEN(INDEX(Roadmap!$D:$K,MATCH($E148,Roadmap!$D:$D,0)-1+COUNTIF($E148:F148,"u")+COUNTIF($E148:F148,"t")+COUNTIF($E148:F148,"¶")+COUNTIF($E148:F148,"²")+COUNTIF($E148:F148,"µ")+COUNTIF($E148:F148,1),ColDescriptionCourte))&gt;1,
HYPERLINK("#Roadmap!C"&amp; MATCH($E148,Roadmap!$D:$D,0)+COUNTIF($E148:F148,"u")+COUNTIF($E148:F148,"t")+COUNTIF($E148:F148,"¶")+COUNTIF($E148:F148,"²")+COUNTIF($E148:F148,"µ")+COUNTIF($E148:F148,1)-1,INDEX(Roadmap!$D:$K,MATCH($E148,Roadmap!$D:$D,0)-1+COUNTIF($E148:F148,"u")+COUNTIF($E148:F148,"t")+COUNTIF($E148:F148,"¶")+COUNTIF($E148:F148,"²")+COUNTIF($E148:F148,"µ")+COUNTIF($E148:F148,1),ColDescriptionCourte)),""),
  "")),"")</f>
        <v/>
      </c>
      <c r="H148" s="40" t="str">
        <f ca="1">IFERROR(IF(AND(
  INDEX(Roadmap!$D:$K,MATCH($E148,Roadmap!$D:$D,0)+COUNTIF($E148:G148,"u")+COUNTIF($E148:G148,"t")+COUNTIF($E148:G148,"¶")+COUNTIF($E148:G148,"²")+COUNTIF($E148:G148,"µ")+COUNTIF($E148:G148,1),ColLivraison)=H$6,
  VLOOKUP($E148,INDIRECT("tri!"&amp; CHAR(64+ C0Col) &amp;":"&amp; CHAR(65+C0Col)),2,FALSE)&gt;COUNTIF($E148:G148,"u")+COUNTIF($E148:G148,"t")+COUNTIF($E148:G148,"¶")+COUNTIF($E148:G148,"²")+COUNTIF($E148:G148,"µ")+COUNTIF($E148:G148,1)),
HYPERLINK("#Roadmap!C"&amp; MATCH($E148,Roadmap!$D:$D,0)+COUNTIF($E148:G148,"u")+COUNTIF($E148:G148,"t"),
     INDEX(Roadmap!$D:$K,MATCH($E148,Roadmap!$D:$D,0)+COUNTIF($E148:G148,"u")+COUNTIF($E148:G148,"t")+COUNTIF($E148:G148,"¶")+COUNTIF($E148:G148,"²")+COUNTIF($E148:G148,"µ")+COUNTIF($E148:G148,1),ColTypeEcheance)),
  IF(LEN(G148)=1,
  IF(LEN(INDEX(Roadmap!$D:$K,MATCH($E148,Roadmap!$D:$D,0)-1+COUNTIF($E148:G148,"u")+COUNTIF($E148:G148,"t")+COUNTIF($E148:G148,"¶")+COUNTIF($E148:G148,"²")+COUNTIF($E148:G148,"µ")+COUNTIF($E148:G148,1),ColDescriptionCourte))&gt;1,
HYPERLINK("#Roadmap!C"&amp; MATCH($E148,Roadmap!$D:$D,0)+COUNTIF($E148:G148,"u")+COUNTIF($E148:G148,"t")+COUNTIF($E148:G148,"¶")+COUNTIF($E148:G148,"²")+COUNTIF($E148:G148,"µ")+COUNTIF($E148:G148,1)-1,INDEX(Roadmap!$D:$K,MATCH($E148,Roadmap!$D:$D,0)-1+COUNTIF($E148:G148,"u")+COUNTIF($E148:G148,"t")+COUNTIF($E148:G148,"¶")+COUNTIF($E148:G148,"²")+COUNTIF($E148:G148,"µ")+COUNTIF($E148:G148,1),ColDescriptionCourte)),""),
  "")),"")</f>
        <v/>
      </c>
      <c r="I148" s="40" t="str">
        <f ca="1">IFERROR(IF(AND(
  INDEX(Roadmap!$D:$K,MATCH($E148,Roadmap!$D:$D,0)+COUNTIF($E148:H148,"u")+COUNTIF($E148:H148,"t")+COUNTIF($E148:H148,"¶")+COUNTIF($E148:H148,"²")+COUNTIF($E148:H148,"µ")+COUNTIF($E148:H148,1),ColLivraison)=I$6,
  VLOOKUP($E148,INDIRECT("tri!"&amp; CHAR(64+ C0Col) &amp;":"&amp; CHAR(65+C0Col)),2,FALSE)&gt;COUNTIF($E148:H148,"u")+COUNTIF($E148:H148,"t")+COUNTIF($E148:H148,"¶")+COUNTIF($E148:H148,"²")+COUNTIF($E148:H148,"µ")+COUNTIF($E148:H148,1)),
HYPERLINK("#Roadmap!C"&amp; MATCH($E148,Roadmap!$D:$D,0)+COUNTIF($E148:H148,"u")+COUNTIF($E148:H148,"t"),
     INDEX(Roadmap!$D:$K,MATCH($E148,Roadmap!$D:$D,0)+COUNTIF($E148:H148,"u")+COUNTIF($E148:H148,"t")+COUNTIF($E148:H148,"¶")+COUNTIF($E148:H148,"²")+COUNTIF($E148:H148,"µ")+COUNTIF($E148:H148,1),ColTypeEcheance)),
  IF(LEN(H148)=1,
  IF(LEN(INDEX(Roadmap!$D:$K,MATCH($E148,Roadmap!$D:$D,0)-1+COUNTIF($E148:H148,"u")+COUNTIF($E148:H148,"t")+COUNTIF($E148:H148,"¶")+COUNTIF($E148:H148,"²")+COUNTIF($E148:H148,"µ")+COUNTIF($E148:H148,1),ColDescriptionCourte))&gt;1,
HYPERLINK("#Roadmap!C"&amp; MATCH($E148,Roadmap!$D:$D,0)+COUNTIF($E148:H148,"u")+COUNTIF($E148:H148,"t")+COUNTIF($E148:H148,"¶")+COUNTIF($E148:H148,"²")+COUNTIF($E148:H148,"µ")+COUNTIF($E148:H148,1)-1,INDEX(Roadmap!$D:$K,MATCH($E148,Roadmap!$D:$D,0)-1+COUNTIF($E148:H148,"u")+COUNTIF($E148:H148,"t")+COUNTIF($E148:H148,"¶")+COUNTIF($E148:H148,"²")+COUNTIF($E148:H148,"µ")+COUNTIF($E148:H148,1),ColDescriptionCourte)),""),
  "")),"")</f>
        <v/>
      </c>
      <c r="J148" s="40" t="str">
        <f ca="1">IFERROR(IF(AND(
  INDEX(Roadmap!$D:$K,MATCH($E148,Roadmap!$D:$D,0)+COUNTIF($E148:I148,"u")+COUNTIF($E148:I148,"t")+COUNTIF($E148:I148,"¶")+COUNTIF($E148:I148,"²")+COUNTIF($E148:I148,"µ")+COUNTIF($E148:I148,1),ColLivraison)=J$6,
  VLOOKUP($E148,INDIRECT("tri!"&amp; CHAR(64+ C0Col) &amp;":"&amp; CHAR(65+C0Col)),2,FALSE)&gt;COUNTIF($E148:I148,"u")+COUNTIF($E148:I148,"t")+COUNTIF($E148:I148,"¶")+COUNTIF($E148:I148,"²")+COUNTIF($E148:I148,"µ")+COUNTIF($E148:I148,1)),
HYPERLINK("#Roadmap!C"&amp; MATCH($E148,Roadmap!$D:$D,0)+COUNTIF($E148:I148,"u")+COUNTIF($E148:I148,"t"),
     INDEX(Roadmap!$D:$K,MATCH($E148,Roadmap!$D:$D,0)+COUNTIF($E148:I148,"u")+COUNTIF($E148:I148,"t")+COUNTIF($E148:I148,"¶")+COUNTIF($E148:I148,"²")+COUNTIF($E148:I148,"µ")+COUNTIF($E148:I148,1),ColTypeEcheance)),
  IF(LEN(I148)=1,
  IF(LEN(INDEX(Roadmap!$D:$K,MATCH($E148,Roadmap!$D:$D,0)-1+COUNTIF($E148:I148,"u")+COUNTIF($E148:I148,"t")+COUNTIF($E148:I148,"¶")+COUNTIF($E148:I148,"²")+COUNTIF($E148:I148,"µ")+COUNTIF($E148:I148,1),ColDescriptionCourte))&gt;1,
HYPERLINK("#Roadmap!C"&amp; MATCH($E148,Roadmap!$D:$D,0)+COUNTIF($E148:I148,"u")+COUNTIF($E148:I148,"t")+COUNTIF($E148:I148,"¶")+COUNTIF($E148:I148,"²")+COUNTIF($E148:I148,"µ")+COUNTIF($E148:I148,1)-1,INDEX(Roadmap!$D:$K,MATCH($E148,Roadmap!$D:$D,0)-1+COUNTIF($E148:I148,"u")+COUNTIF($E148:I148,"t")+COUNTIF($E148:I148,"¶")+COUNTIF($E148:I148,"²")+COUNTIF($E148:I148,"µ")+COUNTIF($E148:I148,1),ColDescriptionCourte)),""),
  "")),"")</f>
        <v/>
      </c>
      <c r="K148" s="40" t="str">
        <f ca="1">IFERROR(IF(AND(
  INDEX(Roadmap!$D:$K,MATCH($E148,Roadmap!$D:$D,0)+COUNTIF($E148:J148,"u")+COUNTIF($E148:J148,"t")+COUNTIF($E148:J148,"¶")+COUNTIF($E148:J148,"²")+COUNTIF($E148:J148,"µ")+COUNTIF($E148:J148,1),ColLivraison)=K$6,
  VLOOKUP($E148,INDIRECT("tri!"&amp; CHAR(64+ C0Col) &amp;":"&amp; CHAR(65+C0Col)),2,FALSE)&gt;COUNTIF($E148:J148,"u")+COUNTIF($E148:J148,"t")+COUNTIF($E148:J148,"¶")+COUNTIF($E148:J148,"²")+COUNTIF($E148:J148,"µ")+COUNTIF($E148:J148,1)),
HYPERLINK("#Roadmap!C"&amp; MATCH($E148,Roadmap!$D:$D,0)+COUNTIF($E148:J148,"u")+COUNTIF($E148:J148,"t"),
     INDEX(Roadmap!$D:$K,MATCH($E148,Roadmap!$D:$D,0)+COUNTIF($E148:J148,"u")+COUNTIF($E148:J148,"t")+COUNTIF($E148:J148,"¶")+COUNTIF($E148:J148,"²")+COUNTIF($E148:J148,"µ")+COUNTIF($E148:J148,1),ColTypeEcheance)),
  IF(LEN(J148)=1,
  IF(LEN(INDEX(Roadmap!$D:$K,MATCH($E148,Roadmap!$D:$D,0)-1+COUNTIF($E148:J148,"u")+COUNTIF($E148:J148,"t")+COUNTIF($E148:J148,"¶")+COUNTIF($E148:J148,"²")+COUNTIF($E148:J148,"µ")+COUNTIF($E148:J148,1),ColDescriptionCourte))&gt;1,
HYPERLINK("#Roadmap!C"&amp; MATCH($E148,Roadmap!$D:$D,0)+COUNTIF($E148:J148,"u")+COUNTIF($E148:J148,"t")+COUNTIF($E148:J148,"¶")+COUNTIF($E148:J148,"²")+COUNTIF($E148:J148,"µ")+COUNTIF($E148:J148,1)-1,INDEX(Roadmap!$D:$K,MATCH($E148,Roadmap!$D:$D,0)-1+COUNTIF($E148:J148,"u")+COUNTIF($E148:J148,"t")+COUNTIF($E148:J148,"¶")+COUNTIF($E148:J148,"²")+COUNTIF($E148:J148,"µ")+COUNTIF($E148:J148,1),ColDescriptionCourte)),""),
  "")),"")</f>
        <v/>
      </c>
      <c r="L148" s="39" t="str">
        <f ca="1">IFERROR(IF(AND(
  INDEX(Roadmap!$D:$K,MATCH($E148,Roadmap!$D:$D,0)+COUNTIF($E148:K148,"u")+COUNTIF($E148:K148,"t")+COUNTIF($E148:K148,"¶")+COUNTIF($E148:K148,"²")+COUNTIF($E148:K148,"µ")+COUNTIF($E148:K148,1),ColLivraison)=L$6,
  VLOOKUP($E148,INDIRECT("tri!"&amp; CHAR(64+ C0Col) &amp;":"&amp; CHAR(65+C0Col)),2,FALSE)&gt;COUNTIF($E148:K148,"u")+COUNTIF($E148:K148,"t")+COUNTIF($E148:K148,"¶")+COUNTIF($E148:K148,"²")+COUNTIF($E148:K148,"µ")+COUNTIF($E148:K148,1)),
HYPERLINK("#Roadmap!C"&amp; MATCH($E148,Roadmap!$D:$D,0)+COUNTIF($E148:K148,"u")+COUNTIF($E148:K148,"t"),
     INDEX(Roadmap!$D:$K,MATCH($E148,Roadmap!$D:$D,0)+COUNTIF($E148:K148,"u")+COUNTIF($E148:K148,"t")+COUNTIF($E148:K148,"¶")+COUNTIF($E148:K148,"²")+COUNTIF($E148:K148,"µ")+COUNTIF($E148:K148,1),ColTypeEcheance)),
  IF(LEN(K148)=1,
  IF(LEN(INDEX(Roadmap!$D:$K,MATCH($E148,Roadmap!$D:$D,0)-1+COUNTIF($E148:K148,"u")+COUNTIF($E148:K148,"t")+COUNTIF($E148:K148,"¶")+COUNTIF($E148:K148,"²")+COUNTIF($E148:K148,"µ")+COUNTIF($E148:K148,1),ColDescriptionCourte))&gt;1,
HYPERLINK("#Roadmap!C"&amp; MATCH($E148,Roadmap!$D:$D,0)+COUNTIF($E148:K148,"u")+COUNTIF($E148:K148,"t")+COUNTIF($E148:K148,"¶")+COUNTIF($E148:K148,"²")+COUNTIF($E148:K148,"µ")+COUNTIF($E148:K148,1)-1,INDEX(Roadmap!$D:$K,MATCH($E148,Roadmap!$D:$D,0)-1+COUNTIF($E148:K148,"u")+COUNTIF($E148:K148,"t")+COUNTIF($E148:K148,"¶")+COUNTIF($E148:K148,"²")+COUNTIF($E148:K148,"µ")+COUNTIF($E148:K148,1),ColDescriptionCourte)),""),
  "")),"")</f>
        <v/>
      </c>
      <c r="M148" s="40" t="str">
        <f ca="1">IFERROR(IF(AND(
  INDEX(Roadmap!$D:$K,MATCH($E148,Roadmap!$D:$D,0)+COUNTIF($E148:L148,"u")+COUNTIF($E148:L148,"t")+COUNTIF($E148:L148,"¶")+COUNTIF($E148:L148,"²")+COUNTIF($E148:L148,"µ")+COUNTIF($E148:L148,1),ColLivraison)=M$6,
  VLOOKUP($E148,INDIRECT("tri!"&amp; CHAR(64+ C0Col) &amp;":"&amp; CHAR(65+C0Col)),2,FALSE)&gt;COUNTIF($E148:L148,"u")+COUNTIF($E148:L148,"t")+COUNTIF($E148:L148,"¶")+COUNTIF($E148:L148,"²")+COUNTIF($E148:L148,"µ")+COUNTIF($E148:L148,1)),
HYPERLINK("#Roadmap!C"&amp; MATCH($E148,Roadmap!$D:$D,0)+COUNTIF($E148:L148,"u")+COUNTIF($E148:L148,"t"),
     INDEX(Roadmap!$D:$K,MATCH($E148,Roadmap!$D:$D,0)+COUNTIF($E148:L148,"u")+COUNTIF($E148:L148,"t")+COUNTIF($E148:L148,"¶")+COUNTIF($E148:L148,"²")+COUNTIF($E148:L148,"µ")+COUNTIF($E148:L148,1),ColTypeEcheance)),
  IF(LEN(L148)=1,
  IF(LEN(INDEX(Roadmap!$D:$K,MATCH($E148,Roadmap!$D:$D,0)-1+COUNTIF($E148:L148,"u")+COUNTIF($E148:L148,"t")+COUNTIF($E148:L148,"¶")+COUNTIF($E148:L148,"²")+COUNTIF($E148:L148,"µ")+COUNTIF($E148:L148,1),ColDescriptionCourte))&gt;1,
HYPERLINK("#Roadmap!C"&amp; MATCH($E148,Roadmap!$D:$D,0)+COUNTIF($E148:L148,"u")+COUNTIF($E148:L148,"t")+COUNTIF($E148:L148,"¶")+COUNTIF($E148:L148,"²")+COUNTIF($E148:L148,"µ")+COUNTIF($E148:L148,1)-1,INDEX(Roadmap!$D:$K,MATCH($E148,Roadmap!$D:$D,0)-1+COUNTIF($E148:L148,"u")+COUNTIF($E148:L148,"t")+COUNTIF($E148:L148,"¶")+COUNTIF($E148:L148,"²")+COUNTIF($E148:L148,"µ")+COUNTIF($E148:L148,1),ColDescriptionCourte)),""),
  "")),"")</f>
        <v/>
      </c>
      <c r="N148" s="40" t="str">
        <f ca="1">IFERROR(IF(AND(
  INDEX(Roadmap!$D:$K,MATCH($E148,Roadmap!$D:$D,0)+COUNTIF($E148:M148,"u")+COUNTIF($E148:M148,"t")+COUNTIF($E148:M148,"¶")+COUNTIF($E148:M148,"²")+COUNTIF($E148:M148,"µ")+COUNTIF($E148:M148,1),ColLivraison)=N$6,
  VLOOKUP($E148,INDIRECT("tri!"&amp; CHAR(64+ C0Col) &amp;":"&amp; CHAR(65+C0Col)),2,FALSE)&gt;COUNTIF($E148:M148,"u")+COUNTIF($E148:M148,"t")+COUNTIF($E148:M148,"¶")+COUNTIF($E148:M148,"²")+COUNTIF($E148:M148,"µ")+COUNTIF($E148:M148,1)),
HYPERLINK("#Roadmap!C"&amp; MATCH($E148,Roadmap!$D:$D,0)+COUNTIF($E148:M148,"u")+COUNTIF($E148:M148,"t"),
     INDEX(Roadmap!$D:$K,MATCH($E148,Roadmap!$D:$D,0)+COUNTIF($E148:M148,"u")+COUNTIF($E148:M148,"t")+COUNTIF($E148:M148,"¶")+COUNTIF($E148:M148,"²")+COUNTIF($E148:M148,"µ")+COUNTIF($E148:M148,1),ColTypeEcheance)),
  IF(LEN(M148)=1,
  IF(LEN(INDEX(Roadmap!$D:$K,MATCH($E148,Roadmap!$D:$D,0)-1+COUNTIF($E148:M148,"u")+COUNTIF($E148:M148,"t")+COUNTIF($E148:M148,"¶")+COUNTIF($E148:M148,"²")+COUNTIF($E148:M148,"µ")+COUNTIF($E148:M148,1),ColDescriptionCourte))&gt;1,
HYPERLINK("#Roadmap!C"&amp; MATCH($E148,Roadmap!$D:$D,0)+COUNTIF($E148:M148,"u")+COUNTIF($E148:M148,"t")+COUNTIF($E148:M148,"¶")+COUNTIF($E148:M148,"²")+COUNTIF($E148:M148,"µ")+COUNTIF($E148:M148,1)-1,INDEX(Roadmap!$D:$K,MATCH($E148,Roadmap!$D:$D,0)-1+COUNTIF($E148:M148,"u")+COUNTIF($E148:M148,"t")+COUNTIF($E148:M148,"¶")+COUNTIF($E148:M148,"²")+COUNTIF($E148:M148,"µ")+COUNTIF($E148:M148,1),ColDescriptionCourte)),""),
  "")),"")</f>
        <v/>
      </c>
      <c r="O148" s="40" t="str">
        <f ca="1">IFERROR(IF(AND(
  INDEX(Roadmap!$D:$K,MATCH($E148,Roadmap!$D:$D,0)+COUNTIF($E148:N148,"u")+COUNTIF($E148:N148,"t")+COUNTIF($E148:N148,"¶")+COUNTIF($E148:N148,"²")+COUNTIF($E148:N148,"µ")+COUNTIF($E148:N148,1),ColLivraison)=O$6,
  VLOOKUP($E148,INDIRECT("tri!"&amp; CHAR(64+ C0Col) &amp;":"&amp; CHAR(65+C0Col)),2,FALSE)&gt;COUNTIF($E148:N148,"u")+COUNTIF($E148:N148,"t")+COUNTIF($E148:N148,"¶")+COUNTIF($E148:N148,"²")+COUNTIF($E148:N148,"µ")+COUNTIF($E148:N148,1)),
HYPERLINK("#Roadmap!C"&amp; MATCH($E148,Roadmap!$D:$D,0)+COUNTIF($E148:N148,"u")+COUNTIF($E148:N148,"t"),
     INDEX(Roadmap!$D:$K,MATCH($E148,Roadmap!$D:$D,0)+COUNTIF($E148:N148,"u")+COUNTIF($E148:N148,"t")+COUNTIF($E148:N148,"¶")+COUNTIF($E148:N148,"²")+COUNTIF($E148:N148,"µ")+COUNTIF($E148:N148,1),ColTypeEcheance)),
  IF(LEN(N148)=1,
  IF(LEN(INDEX(Roadmap!$D:$K,MATCH($E148,Roadmap!$D:$D,0)-1+COUNTIF($E148:N148,"u")+COUNTIF($E148:N148,"t")+COUNTIF($E148:N148,"¶")+COUNTIF($E148:N148,"²")+COUNTIF($E148:N148,"µ")+COUNTIF($E148:N148,1),ColDescriptionCourte))&gt;1,
HYPERLINK("#Roadmap!C"&amp; MATCH($E148,Roadmap!$D:$D,0)+COUNTIF($E148:N148,"u")+COUNTIF($E148:N148,"t")+COUNTIF($E148:N148,"¶")+COUNTIF($E148:N148,"²")+COUNTIF($E148:N148,"µ")+COUNTIF($E148:N148,1)-1,INDEX(Roadmap!$D:$K,MATCH($E148,Roadmap!$D:$D,0)-1+COUNTIF($E148:N148,"u")+COUNTIF($E148:N148,"t")+COUNTIF($E148:N148,"¶")+COUNTIF($E148:N148,"²")+COUNTIF($E148:N148,"µ")+COUNTIF($E148:N148,1),ColDescriptionCourte)),""),
  "")),"")</f>
        <v/>
      </c>
      <c r="P148" s="40" t="str">
        <f ca="1">IFERROR(IF(AND(
  INDEX(Roadmap!$D:$K,MATCH($E148,Roadmap!$D:$D,0)+COUNTIF($E148:O148,"u")+COUNTIF($E148:O148,"t")+COUNTIF($E148:O148,"¶")+COUNTIF($E148:O148,"²")+COUNTIF($E148:O148,"µ")+COUNTIF($E148:O148,1),ColLivraison)=P$6,
  VLOOKUP($E148,INDIRECT("tri!"&amp; CHAR(64+ C0Col) &amp;":"&amp; CHAR(65+C0Col)),2,FALSE)&gt;COUNTIF($E148:O148,"u")+COUNTIF($E148:O148,"t")+COUNTIF($E148:O148,"¶")+COUNTIF($E148:O148,"²")+COUNTIF($E148:O148,"µ")+COUNTIF($E148:O148,1)),
HYPERLINK("#Roadmap!C"&amp; MATCH($E148,Roadmap!$D:$D,0)+COUNTIF($E148:O148,"u")+COUNTIF($E148:O148,"t"),
     INDEX(Roadmap!$D:$K,MATCH($E148,Roadmap!$D:$D,0)+COUNTIF($E148:O148,"u")+COUNTIF($E148:O148,"t")+COUNTIF($E148:O148,"¶")+COUNTIF($E148:O148,"²")+COUNTIF($E148:O148,"µ")+COUNTIF($E148:O148,1),ColTypeEcheance)),
  IF(LEN(O148)=1,
  IF(LEN(INDEX(Roadmap!$D:$K,MATCH($E148,Roadmap!$D:$D,0)-1+COUNTIF($E148:O148,"u")+COUNTIF($E148:O148,"t")+COUNTIF($E148:O148,"¶")+COUNTIF($E148:O148,"²")+COUNTIF($E148:O148,"µ")+COUNTIF($E148:O148,1),ColDescriptionCourte))&gt;1,
HYPERLINK("#Roadmap!C"&amp; MATCH($E148,Roadmap!$D:$D,0)+COUNTIF($E148:O148,"u")+COUNTIF($E148:O148,"t")+COUNTIF($E148:O148,"¶")+COUNTIF($E148:O148,"²")+COUNTIF($E148:O148,"µ")+COUNTIF($E148:O148,1)-1,INDEX(Roadmap!$D:$K,MATCH($E148,Roadmap!$D:$D,0)-1+COUNTIF($E148:O148,"u")+COUNTIF($E148:O148,"t")+COUNTIF($E148:O148,"¶")+COUNTIF($E148:O148,"²")+COUNTIF($E148:O148,"µ")+COUNTIF($E148:O148,1),ColDescriptionCourte)),""),
  "")),"")</f>
        <v/>
      </c>
      <c r="Q148" s="40" t="str">
        <f ca="1">IFERROR(IF(AND(
  INDEX(Roadmap!$D:$K,MATCH($E148,Roadmap!$D:$D,0)+COUNTIF($E148:P148,"u")+COUNTIF($E148:P148,"t")+COUNTIF($E148:P148,"¶")+COUNTIF($E148:P148,"²")+COUNTIF($E148:P148,"µ")+COUNTIF($E148:P148,1),ColLivraison)=Q$6,
  VLOOKUP($E148,INDIRECT("tri!"&amp; CHAR(64+ C0Col) &amp;":"&amp; CHAR(65+C0Col)),2,FALSE)&gt;COUNTIF($E148:P148,"u")+COUNTIF($E148:P148,"t")+COUNTIF($E148:P148,"¶")+COUNTIF($E148:P148,"²")+COUNTIF($E148:P148,"µ")+COUNTIF($E148:P148,1)),
HYPERLINK("#Roadmap!C"&amp; MATCH($E148,Roadmap!$D:$D,0)+COUNTIF($E148:P148,"u")+COUNTIF($E148:P148,"t"),
     INDEX(Roadmap!$D:$K,MATCH($E148,Roadmap!$D:$D,0)+COUNTIF($E148:P148,"u")+COUNTIF($E148:P148,"t")+COUNTIF($E148:P148,"¶")+COUNTIF($E148:P148,"²")+COUNTIF($E148:P148,"µ")+COUNTIF($E148:P148,1),ColTypeEcheance)),
  IF(LEN(P148)=1,
  IF(LEN(INDEX(Roadmap!$D:$K,MATCH($E148,Roadmap!$D:$D,0)-1+COUNTIF($E148:P148,"u")+COUNTIF($E148:P148,"t")+COUNTIF($E148:P148,"¶")+COUNTIF($E148:P148,"²")+COUNTIF($E148:P148,"µ")+COUNTIF($E148:P148,1),ColDescriptionCourte))&gt;1,
HYPERLINK("#Roadmap!C"&amp; MATCH($E148,Roadmap!$D:$D,0)+COUNTIF($E148:P148,"u")+COUNTIF($E148:P148,"t")+COUNTIF($E148:P148,"¶")+COUNTIF($E148:P148,"²")+COUNTIF($E148:P148,"µ")+COUNTIF($E148:P148,1)-1,INDEX(Roadmap!$D:$K,MATCH($E148,Roadmap!$D:$D,0)-1+COUNTIF($E148:P148,"u")+COUNTIF($E148:P148,"t")+COUNTIF($E148:P148,"¶")+COUNTIF($E148:P148,"²")+COUNTIF($E148:P148,"µ")+COUNTIF($E148:P148,1),ColDescriptionCourte)),""),
  "")),"")</f>
        <v/>
      </c>
      <c r="R148" s="40" t="str">
        <f ca="1">IFERROR(IF(AND(
  INDEX(Roadmap!$D:$K,MATCH($E148,Roadmap!$D:$D,0)+COUNTIF($E148:Q148,"u")+COUNTIF($E148:Q148,"t")+COUNTIF($E148:Q148,"¶")+COUNTIF($E148:Q148,"²")+COUNTIF($E148:Q148,"µ")+COUNTIF($E148:Q148,1),ColLivraison)=R$6,
  VLOOKUP($E148,INDIRECT("tri!"&amp; CHAR(64+ C0Col) &amp;":"&amp; CHAR(65+C0Col)),2,FALSE)&gt;COUNTIF($E148:Q148,"u")+COUNTIF($E148:Q148,"t")+COUNTIF($E148:Q148,"¶")+COUNTIF($E148:Q148,"²")+COUNTIF($E148:Q148,"µ")+COUNTIF($E148:Q148,1)),
HYPERLINK("#Roadmap!C"&amp; MATCH($E148,Roadmap!$D:$D,0)+COUNTIF($E148:Q148,"u")+COUNTIF($E148:Q148,"t"),
     INDEX(Roadmap!$D:$K,MATCH($E148,Roadmap!$D:$D,0)+COUNTIF($E148:Q148,"u")+COUNTIF($E148:Q148,"t")+COUNTIF($E148:Q148,"¶")+COUNTIF($E148:Q148,"²")+COUNTIF($E148:Q148,"µ")+COUNTIF($E148:Q148,1),ColTypeEcheance)),
  IF(LEN(Q148)=1,
  IF(LEN(INDEX(Roadmap!$D:$K,MATCH($E148,Roadmap!$D:$D,0)-1+COUNTIF($E148:Q148,"u")+COUNTIF($E148:Q148,"t")+COUNTIF($E148:Q148,"¶")+COUNTIF($E148:Q148,"²")+COUNTIF($E148:Q148,"µ")+COUNTIF($E148:Q148,1),ColDescriptionCourte))&gt;1,
HYPERLINK("#Roadmap!C"&amp; MATCH($E148,Roadmap!$D:$D,0)+COUNTIF($E148:Q148,"u")+COUNTIF($E148:Q148,"t")+COUNTIF($E148:Q148,"¶")+COUNTIF($E148:Q148,"²")+COUNTIF($E148:Q148,"µ")+COUNTIF($E148:Q148,1)-1,INDEX(Roadmap!$D:$K,MATCH($E148,Roadmap!$D:$D,0)-1+COUNTIF($E148:Q148,"u")+COUNTIF($E148:Q148,"t")+COUNTIF($E148:Q148,"¶")+COUNTIF($E148:Q148,"²")+COUNTIF($E148:Q148,"µ")+COUNTIF($E148:Q148,1),ColDescriptionCourte)),""),
  "")),"")</f>
        <v/>
      </c>
      <c r="S148" s="40" t="str">
        <f ca="1">IFERROR(IF(AND(
  INDEX(Roadmap!$D:$K,MATCH($E148,Roadmap!$D:$D,0)+COUNTIF($E148:R148,"u")+COUNTIF($E148:R148,"t")+COUNTIF($E148:R148,"¶")+COUNTIF($E148:R148,"²")+COUNTIF($E148:R148,"µ")+COUNTIF($E148:R148,1),ColLivraison)=S$6,
  VLOOKUP($E148,INDIRECT("tri!"&amp; CHAR(64+ C0Col) &amp;":"&amp; CHAR(65+C0Col)),2,FALSE)&gt;COUNTIF($E148:R148,"u")+COUNTIF($E148:R148,"t")+COUNTIF($E148:R148,"¶")+COUNTIF($E148:R148,"²")+COUNTIF($E148:R148,"µ")+COUNTIF($E148:R148,1)),
HYPERLINK("#Roadmap!C"&amp; MATCH($E148,Roadmap!$D:$D,0)+COUNTIF($E148:R148,"u")+COUNTIF($E148:R148,"t"),
     INDEX(Roadmap!$D:$K,MATCH($E148,Roadmap!$D:$D,0)+COUNTIF($E148:R148,"u")+COUNTIF($E148:R148,"t")+COUNTIF($E148:R148,"¶")+COUNTIF($E148:R148,"²")+COUNTIF($E148:R148,"µ")+COUNTIF($E148:R148,1),ColTypeEcheance)),
  IF(LEN(R148)=1,
  IF(LEN(INDEX(Roadmap!$D:$K,MATCH($E148,Roadmap!$D:$D,0)-1+COUNTIF($E148:R148,"u")+COUNTIF($E148:R148,"t")+COUNTIF($E148:R148,"¶")+COUNTIF($E148:R148,"²")+COUNTIF($E148:R148,"µ")+COUNTIF($E148:R148,1),ColDescriptionCourte))&gt;1,
HYPERLINK("#Roadmap!C"&amp; MATCH($E148,Roadmap!$D:$D,0)+COUNTIF($E148:R148,"u")+COUNTIF($E148:R148,"t")+COUNTIF($E148:R148,"¶")+COUNTIF($E148:R148,"²")+COUNTIF($E148:R148,"µ")+COUNTIF($E148:R148,1)-1,INDEX(Roadmap!$D:$K,MATCH($E148,Roadmap!$D:$D,0)-1+COUNTIF($E148:R148,"u")+COUNTIF($E148:R148,"t")+COUNTIF($E148:R148,"¶")+COUNTIF($E148:R148,"²")+COUNTIF($E148:R148,"µ")+COUNTIF($E148:R148,1),ColDescriptionCourte)),""),
  "")),"")</f>
        <v/>
      </c>
      <c r="T148" s="40" t="str">
        <f ca="1">IFERROR(IF(AND(
  INDEX(Roadmap!$D:$K,MATCH($E148,Roadmap!$D:$D,0)+COUNTIF($E148:S148,"u")+COUNTIF($E148:S148,"t")+COUNTIF($E148:S148,"¶")+COUNTIF($E148:S148,"²")+COUNTIF($E148:S148,"µ")+COUNTIF($E148:S148,1),ColLivraison)=T$6,
  VLOOKUP($E148,INDIRECT("tri!"&amp; CHAR(64+ C0Col) &amp;":"&amp; CHAR(65+C0Col)),2,FALSE)&gt;COUNTIF($E148:S148,"u")+COUNTIF($E148:S148,"t")+COUNTIF($E148:S148,"¶")+COUNTIF($E148:S148,"²")+COUNTIF($E148:S148,"µ")+COUNTIF($E148:S148,1)),
HYPERLINK("#Roadmap!C"&amp; MATCH($E148,Roadmap!$D:$D,0)+COUNTIF($E148:S148,"u")+COUNTIF($E148:S148,"t"),
     INDEX(Roadmap!$D:$K,MATCH($E148,Roadmap!$D:$D,0)+COUNTIF($E148:S148,"u")+COUNTIF($E148:S148,"t")+COUNTIF($E148:S148,"¶")+COUNTIF($E148:S148,"²")+COUNTIF($E148:S148,"µ")+COUNTIF($E148:S148,1),ColTypeEcheance)),
  IF(LEN(S148)=1,
  IF(LEN(INDEX(Roadmap!$D:$K,MATCH($E148,Roadmap!$D:$D,0)-1+COUNTIF($E148:S148,"u")+COUNTIF($E148:S148,"t")+COUNTIF($E148:S148,"¶")+COUNTIF($E148:S148,"²")+COUNTIF($E148:S148,"µ")+COUNTIF($E148:S148,1),ColDescriptionCourte))&gt;1,
HYPERLINK("#Roadmap!C"&amp; MATCH($E148,Roadmap!$D:$D,0)+COUNTIF($E148:S148,"u")+COUNTIF($E148:S148,"t")+COUNTIF($E148:S148,"¶")+COUNTIF($E148:S148,"²")+COUNTIF($E148:S148,"µ")+COUNTIF($E148:S148,1)-1,INDEX(Roadmap!$D:$K,MATCH($E148,Roadmap!$D:$D,0)-1+COUNTIF($E148:S148,"u")+COUNTIF($E148:S148,"t")+COUNTIF($E148:S148,"¶")+COUNTIF($E148:S148,"²")+COUNTIF($E148:S148,"µ")+COUNTIF($E148:S148,1),ColDescriptionCourte)),""),
  "")),"")</f>
        <v/>
      </c>
      <c r="U148" s="40" t="str">
        <f ca="1">IFERROR(IF(AND(
  INDEX(Roadmap!$D:$K,MATCH($E148,Roadmap!$D:$D,0)+COUNTIF($E148:T148,"u")+COUNTIF($E148:T148,"t")+COUNTIF($E148:T148,"¶")+COUNTIF($E148:T148,"²")+COUNTIF($E148:T148,"µ")+COUNTIF($E148:T148,1),ColLivraison)=U$6,
  VLOOKUP($E148,INDIRECT("tri!"&amp; CHAR(64+ C0Col) &amp;":"&amp; CHAR(65+C0Col)),2,FALSE)&gt;COUNTIF($E148:T148,"u")+COUNTIF($E148:T148,"t")+COUNTIF($E148:T148,"¶")+COUNTIF($E148:T148,"²")+COUNTIF($E148:T148,"µ")+COUNTIF($E148:T148,1)),
HYPERLINK("#Roadmap!C"&amp; MATCH($E148,Roadmap!$D:$D,0)+COUNTIF($E148:T148,"u")+COUNTIF($E148:T148,"t"),
     INDEX(Roadmap!$D:$K,MATCH($E148,Roadmap!$D:$D,0)+COUNTIF($E148:T148,"u")+COUNTIF($E148:T148,"t")+COUNTIF($E148:T148,"¶")+COUNTIF($E148:T148,"²")+COUNTIF($E148:T148,"µ")+COUNTIF($E148:T148,1),ColTypeEcheance)),
  IF(LEN(T148)=1,
  IF(LEN(INDEX(Roadmap!$D:$K,MATCH($E148,Roadmap!$D:$D,0)-1+COUNTIF($E148:T148,"u")+COUNTIF($E148:T148,"t")+COUNTIF($E148:T148,"¶")+COUNTIF($E148:T148,"²")+COUNTIF($E148:T148,"µ")+COUNTIF($E148:T148,1),ColDescriptionCourte))&gt;1,
HYPERLINK("#Roadmap!C"&amp; MATCH($E148,Roadmap!$D:$D,0)+COUNTIF($E148:T148,"u")+COUNTIF($E148:T148,"t")+COUNTIF($E148:T148,"¶")+COUNTIF($E148:T148,"²")+COUNTIF($E148:T148,"µ")+COUNTIF($E148:T148,1)-1,INDEX(Roadmap!$D:$K,MATCH($E148,Roadmap!$D:$D,0)-1+COUNTIF($E148:T148,"u")+COUNTIF($E148:T148,"t")+COUNTIF($E148:T148,"¶")+COUNTIF($E148:T148,"²")+COUNTIF($E148:T148,"µ")+COUNTIF($E148:T148,1),ColDescriptionCourte)),""),
  "")),"")</f>
        <v/>
      </c>
      <c r="V148" s="40" t="str">
        <f ca="1">IFERROR(IF(AND(
  INDEX(Roadmap!$D:$K,MATCH($E148,Roadmap!$D:$D,0)+COUNTIF($E148:U148,"u")+COUNTIF($E148:U148,"t")+COUNTIF($E148:U148,"¶")+COUNTIF($E148:U148,"²")+COUNTIF($E148:U148,"µ")+COUNTIF($E148:U148,1),ColLivraison)=V$6,
  VLOOKUP($E148,INDIRECT("tri!"&amp; CHAR(64+ C0Col) &amp;":"&amp; CHAR(65+C0Col)),2,FALSE)&gt;COUNTIF($E148:U148,"u")+COUNTIF($E148:U148,"t")+COUNTIF($E148:U148,"¶")+COUNTIF($E148:U148,"²")+COUNTIF($E148:U148,"µ")+COUNTIF($E148:U148,1)),
HYPERLINK("#Roadmap!C"&amp; MATCH($E148,Roadmap!$D:$D,0)+COUNTIF($E148:U148,"u")+COUNTIF($E148:U148,"t"),
     INDEX(Roadmap!$D:$K,MATCH($E148,Roadmap!$D:$D,0)+COUNTIF($E148:U148,"u")+COUNTIF($E148:U148,"t")+COUNTIF($E148:U148,"¶")+COUNTIF($E148:U148,"²")+COUNTIF($E148:U148,"µ")+COUNTIF($E148:U148,1),ColTypeEcheance)),
  IF(LEN(U148)=1,
  IF(LEN(INDEX(Roadmap!$D:$K,MATCH($E148,Roadmap!$D:$D,0)-1+COUNTIF($E148:U148,"u")+COUNTIF($E148:U148,"t")+COUNTIF($E148:U148,"¶")+COUNTIF($E148:U148,"²")+COUNTIF($E148:U148,"µ")+COUNTIF($E148:U148,1),ColDescriptionCourte))&gt;1,
HYPERLINK("#Roadmap!C"&amp; MATCH($E148,Roadmap!$D:$D,0)+COUNTIF($E148:U148,"u")+COUNTIF($E148:U148,"t")+COUNTIF($E148:U148,"¶")+COUNTIF($E148:U148,"²")+COUNTIF($E148:U148,"µ")+COUNTIF($E148:U148,1)-1,INDEX(Roadmap!$D:$K,MATCH($E148,Roadmap!$D:$D,0)-1+COUNTIF($E148:U148,"u")+COUNTIF($E148:U148,"t")+COUNTIF($E148:U148,"¶")+COUNTIF($E148:U148,"²")+COUNTIF($E148:U148,"µ")+COUNTIF($E148:U148,1),ColDescriptionCourte)),""),
  "")),"")</f>
        <v/>
      </c>
      <c r="W148" s="40" t="str">
        <f ca="1">IFERROR(IF(AND(
  INDEX(Roadmap!$D:$K,MATCH($E148,Roadmap!$D:$D,0)+COUNTIF($E148:V148,"u")+COUNTIF($E148:V148,"t")+COUNTIF($E148:V148,"¶")+COUNTIF($E148:V148,"²")+COUNTIF($E148:V148,"µ")+COUNTIF($E148:V148,1),ColLivraison)=W$6,
  VLOOKUP($E148,INDIRECT("tri!"&amp; CHAR(64+ C0Col) &amp;":"&amp; CHAR(65+C0Col)),2,FALSE)&gt;COUNTIF($E148:V148,"u")+COUNTIF($E148:V148,"t")+COUNTIF($E148:V148,"¶")+COUNTIF($E148:V148,"²")+COUNTIF($E148:V148,"µ")+COUNTIF($E148:V148,1)),
HYPERLINK("#Roadmap!C"&amp; MATCH($E148,Roadmap!$D:$D,0)+COUNTIF($E148:V148,"u")+COUNTIF($E148:V148,"t"),
     INDEX(Roadmap!$D:$K,MATCH($E148,Roadmap!$D:$D,0)+COUNTIF($E148:V148,"u")+COUNTIF($E148:V148,"t")+COUNTIF($E148:V148,"¶")+COUNTIF($E148:V148,"²")+COUNTIF($E148:V148,"µ")+COUNTIF($E148:V148,1),ColTypeEcheance)),
  IF(LEN(V148)=1,
  IF(LEN(INDEX(Roadmap!$D:$K,MATCH($E148,Roadmap!$D:$D,0)-1+COUNTIF($E148:V148,"u")+COUNTIF($E148:V148,"t")+COUNTIF($E148:V148,"¶")+COUNTIF($E148:V148,"²")+COUNTIF($E148:V148,"µ")+COUNTIF($E148:V148,1),ColDescriptionCourte))&gt;1,
HYPERLINK("#Roadmap!C"&amp; MATCH($E148,Roadmap!$D:$D,0)+COUNTIF($E148:V148,"u")+COUNTIF($E148:V148,"t")+COUNTIF($E148:V148,"¶")+COUNTIF($E148:V148,"²")+COUNTIF($E148:V148,"µ")+COUNTIF($E148:V148,1)-1,INDEX(Roadmap!$D:$K,MATCH($E148,Roadmap!$D:$D,0)-1+COUNTIF($E148:V148,"u")+COUNTIF($E148:V148,"t")+COUNTIF($E148:V148,"¶")+COUNTIF($E148:V148,"²")+COUNTIF($E148:V148,"µ")+COUNTIF($E148:V148,1),ColDescriptionCourte)),""),
  "")),"")</f>
        <v/>
      </c>
      <c r="X148" s="40" t="str">
        <f ca="1">IFERROR(IF(AND(
  INDEX(Roadmap!$D:$K,MATCH($E148,Roadmap!$D:$D,0)+COUNTIF($E148:W148,"u")+COUNTIF($E148:W148,"t")+COUNTIF($E148:W148,"¶")+COUNTIF($E148:W148,"²")+COUNTIF($E148:W148,"µ")+COUNTIF($E148:W148,1),ColLivraison)=X$6,
  VLOOKUP($E148,INDIRECT("tri!"&amp; CHAR(64+ C0Col) &amp;":"&amp; CHAR(65+C0Col)),2,FALSE)&gt;COUNTIF($E148:W148,"u")+COUNTIF($E148:W148,"t")+COUNTIF($E148:W148,"¶")+COUNTIF($E148:W148,"²")+COUNTIF($E148:W148,"µ")+COUNTIF($E148:W148,1)),
HYPERLINK("#Roadmap!C"&amp; MATCH($E148,Roadmap!$D:$D,0)+COUNTIF($E148:W148,"u")+COUNTIF($E148:W148,"t"),
     INDEX(Roadmap!$D:$K,MATCH($E148,Roadmap!$D:$D,0)+COUNTIF($E148:W148,"u")+COUNTIF($E148:W148,"t")+COUNTIF($E148:W148,"¶")+COUNTIF($E148:W148,"²")+COUNTIF($E148:W148,"µ")+COUNTIF($E148:W148,1),ColTypeEcheance)),
  IF(LEN(W148)=1,
  IF(LEN(INDEX(Roadmap!$D:$K,MATCH($E148,Roadmap!$D:$D,0)-1+COUNTIF($E148:W148,"u")+COUNTIF($E148:W148,"t")+COUNTIF($E148:W148,"¶")+COUNTIF($E148:W148,"²")+COUNTIF($E148:W148,"µ")+COUNTIF($E148:W148,1),ColDescriptionCourte))&gt;1,
HYPERLINK("#Roadmap!C"&amp; MATCH($E148,Roadmap!$D:$D,0)+COUNTIF($E148:W148,"u")+COUNTIF($E148:W148,"t")+COUNTIF($E148:W148,"¶")+COUNTIF($E148:W148,"²")+COUNTIF($E148:W148,"µ")+COUNTIF($E148:W148,1)-1,INDEX(Roadmap!$D:$K,MATCH($E148,Roadmap!$D:$D,0)-1+COUNTIF($E148:W148,"u")+COUNTIF($E148:W148,"t")+COUNTIF($E148:W148,"¶")+COUNTIF($E148:W148,"²")+COUNTIF($E148:W148,"µ")+COUNTIF($E148:W148,1),ColDescriptionCourte)),""),
  "")),"")</f>
        <v/>
      </c>
      <c r="Y148" s="40" t="str">
        <f ca="1">IFERROR(IF(AND(
  INDEX(Roadmap!$D:$K,MATCH($E148,Roadmap!$D:$D,0)+COUNTIF($E148:X148,"u")+COUNTIF($E148:X148,"t")+COUNTIF($E148:X148,"¶")+COUNTIF($E148:X148,"²")+COUNTIF($E148:X148,"µ")+COUNTIF($E148:X148,1),ColLivraison)=Y$6,
  VLOOKUP($E148,INDIRECT("tri!"&amp; CHAR(64+ C0Col) &amp;":"&amp; CHAR(65+C0Col)),2,FALSE)&gt;COUNTIF($E148:X148,"u")+COUNTIF($E148:X148,"t")+COUNTIF($E148:X148,"¶")+COUNTIF($E148:X148,"²")+COUNTIF($E148:X148,"µ")+COUNTIF($E148:X148,1)),
HYPERLINK("#Roadmap!C"&amp; MATCH($E148,Roadmap!$D:$D,0)+COUNTIF($E148:X148,"u")+COUNTIF($E148:X148,"t"),
     INDEX(Roadmap!$D:$K,MATCH($E148,Roadmap!$D:$D,0)+COUNTIF($E148:X148,"u")+COUNTIF($E148:X148,"t")+COUNTIF($E148:X148,"¶")+COUNTIF($E148:X148,"²")+COUNTIF($E148:X148,"µ")+COUNTIF($E148:X148,1),ColTypeEcheance)),
  IF(LEN(X148)=1,
  IF(LEN(INDEX(Roadmap!$D:$K,MATCH($E148,Roadmap!$D:$D,0)-1+COUNTIF($E148:X148,"u")+COUNTIF($E148:X148,"t")+COUNTIF($E148:X148,"¶")+COUNTIF($E148:X148,"²")+COUNTIF($E148:X148,"µ")+COUNTIF($E148:X148,1),ColDescriptionCourte))&gt;1,
HYPERLINK("#Roadmap!C"&amp; MATCH($E148,Roadmap!$D:$D,0)+COUNTIF($E148:X148,"u")+COUNTIF($E148:X148,"t")+COUNTIF($E148:X148,"¶")+COUNTIF($E148:X148,"²")+COUNTIF($E148:X148,"µ")+COUNTIF($E148:X148,1)-1,INDEX(Roadmap!$D:$K,MATCH($E148,Roadmap!$D:$D,0)-1+COUNTIF($E148:X148,"u")+COUNTIF($E148:X148,"t")+COUNTIF($E148:X148,"¶")+COUNTIF($E148:X148,"²")+COUNTIF($E148:X148,"µ")+COUNTIF($E148:X148,1),ColDescriptionCourte)),""),
  "")),"")</f>
        <v/>
      </c>
      <c r="Z148" s="40" t="str">
        <f ca="1">IFERROR(IF(AND(
  INDEX(Roadmap!$D:$K,MATCH($E148,Roadmap!$D:$D,0)+COUNTIF($E148:Y148,"u")+COUNTIF($E148:Y148,"t")+COUNTIF($E148:Y148,"¶")+COUNTIF($E148:Y148,"²")+COUNTIF($E148:Y148,"µ")+COUNTIF($E148:Y148,1),ColLivraison)=Z$6,
  VLOOKUP($E148,INDIRECT("tri!"&amp; CHAR(64+ C0Col) &amp;":"&amp; CHAR(65+C0Col)),2,FALSE)&gt;COUNTIF($E148:Y148,"u")+COUNTIF($E148:Y148,"t")+COUNTIF($E148:Y148,"¶")+COUNTIF($E148:Y148,"²")+COUNTIF($E148:Y148,"µ")+COUNTIF($E148:Y148,1)),
HYPERLINK("#Roadmap!C"&amp; MATCH($E148,Roadmap!$D:$D,0)+COUNTIF($E148:Y148,"u")+COUNTIF($E148:Y148,"t"),
     INDEX(Roadmap!$D:$K,MATCH($E148,Roadmap!$D:$D,0)+COUNTIF($E148:Y148,"u")+COUNTIF($E148:Y148,"t")+COUNTIF($E148:Y148,"¶")+COUNTIF($E148:Y148,"²")+COUNTIF($E148:Y148,"µ")+COUNTIF($E148:Y148,1),ColTypeEcheance)),
  IF(LEN(Y148)=1,
  IF(LEN(INDEX(Roadmap!$D:$K,MATCH($E148,Roadmap!$D:$D,0)-1+COUNTIF($E148:Y148,"u")+COUNTIF($E148:Y148,"t")+COUNTIF($E148:Y148,"¶")+COUNTIF($E148:Y148,"²")+COUNTIF($E148:Y148,"µ")+COUNTIF($E148:Y148,1),ColDescriptionCourte))&gt;1,
HYPERLINK("#Roadmap!C"&amp; MATCH($E148,Roadmap!$D:$D,0)+COUNTIF($E148:Y148,"u")+COUNTIF($E148:Y148,"t")+COUNTIF($E148:Y148,"¶")+COUNTIF($E148:Y148,"²")+COUNTIF($E148:Y148,"µ")+COUNTIF($E148:Y148,1)-1,INDEX(Roadmap!$D:$K,MATCH($E148,Roadmap!$D:$D,0)-1+COUNTIF($E148:Y148,"u")+COUNTIF($E148:Y148,"t")+COUNTIF($E148:Y148,"¶")+COUNTIF($E148:Y148,"²")+COUNTIF($E148:Y148,"µ")+COUNTIF($E148:Y148,1),ColDescriptionCourte)),""),
  "")),"")</f>
        <v/>
      </c>
      <c r="AA148" s="40" t="str">
        <f ca="1">IFERROR(IF(AND(
  INDEX(Roadmap!$D:$K,MATCH($E148,Roadmap!$D:$D,0)+COUNTIF($E148:Z148,"u")+COUNTIF($E148:Z148,"t")+COUNTIF($E148:Z148,"¶")+COUNTIF($E148:Z148,"²")+COUNTIF($E148:Z148,"µ")+COUNTIF($E148:Z148,1),ColLivraison)=AA$6,
  VLOOKUP($E148,INDIRECT("tri!"&amp; CHAR(64+ C0Col) &amp;":"&amp; CHAR(65+C0Col)),2,FALSE)&gt;COUNTIF($E148:Z148,"u")+COUNTIF($E148:Z148,"t")+COUNTIF($E148:Z148,"¶")+COUNTIF($E148:Z148,"²")+COUNTIF($E148:Z148,"µ")+COUNTIF($E148:Z148,1)),
HYPERLINK("#Roadmap!C"&amp; MATCH($E148,Roadmap!$D:$D,0)+COUNTIF($E148:Z148,"u")+COUNTIF($E148:Z148,"t"),
     INDEX(Roadmap!$D:$K,MATCH($E148,Roadmap!$D:$D,0)+COUNTIF($E148:Z148,"u")+COUNTIF($E148:Z148,"t")+COUNTIF($E148:Z148,"¶")+COUNTIF($E148:Z148,"²")+COUNTIF($E148:Z148,"µ")+COUNTIF($E148:Z148,1),ColTypeEcheance)),
  IF(LEN(Z148)=1,
  IF(LEN(INDEX(Roadmap!$D:$K,MATCH($E148,Roadmap!$D:$D,0)-1+COUNTIF($E148:Z148,"u")+COUNTIF($E148:Z148,"t")+COUNTIF($E148:Z148,"¶")+COUNTIF($E148:Z148,"²")+COUNTIF($E148:Z148,"µ")+COUNTIF($E148:Z148,1),ColDescriptionCourte))&gt;1,
HYPERLINK("#Roadmap!C"&amp; MATCH($E148,Roadmap!$D:$D,0)+COUNTIF($E148:Z148,"u")+COUNTIF($E148:Z148,"t")+COUNTIF($E148:Z148,"¶")+COUNTIF($E148:Z148,"²")+COUNTIF($E148:Z148,"µ")+COUNTIF($E148:Z148,1)-1,INDEX(Roadmap!$D:$K,MATCH($E148,Roadmap!$D:$D,0)-1+COUNTIF($E148:Z148,"u")+COUNTIF($E148:Z148,"t")+COUNTIF($E148:Z148,"¶")+COUNTIF($E148:Z148,"²")+COUNTIF($E148:Z148,"µ")+COUNTIF($E148:Z148,1),ColDescriptionCourte)),""),
  "")),"")</f>
        <v/>
      </c>
      <c r="AB148" s="40" t="str">
        <f ca="1">IFERROR(IF(AND(
  INDEX(Roadmap!$D:$K,MATCH($E148,Roadmap!$D:$D,0)+COUNTIF($E148:AA148,"u")+COUNTIF($E148:AA148,"t")+COUNTIF($E148:AA148,"¶")+COUNTIF($E148:AA148,"²")+COUNTIF($E148:AA148,"µ")+COUNTIF($E148:AA148,1),ColLivraison)=AB$6,
  VLOOKUP($E148,INDIRECT("tri!"&amp; CHAR(64+ C0Col) &amp;":"&amp; CHAR(65+C0Col)),2,FALSE)&gt;COUNTIF($E148:AA148,"u")+COUNTIF($E148:AA148,"t")+COUNTIF($E148:AA148,"¶")+COUNTIF($E148:AA148,"²")+COUNTIF($E148:AA148,"µ")+COUNTIF($E148:AA148,1)),
HYPERLINK("#Roadmap!C"&amp; MATCH($E148,Roadmap!$D:$D,0)+COUNTIF($E148:AA148,"u")+COUNTIF($E148:AA148,"t"),
     INDEX(Roadmap!$D:$K,MATCH($E148,Roadmap!$D:$D,0)+COUNTIF($E148:AA148,"u")+COUNTIF($E148:AA148,"t")+COUNTIF($E148:AA148,"¶")+COUNTIF($E148:AA148,"²")+COUNTIF($E148:AA148,"µ")+COUNTIF($E148:AA148,1),ColTypeEcheance)),
  IF(LEN(AA148)=1,
  IF(LEN(INDEX(Roadmap!$D:$K,MATCH($E148,Roadmap!$D:$D,0)-1+COUNTIF($E148:AA148,"u")+COUNTIF($E148:AA148,"t")+COUNTIF($E148:AA148,"¶")+COUNTIF($E148:AA148,"²")+COUNTIF($E148:AA148,"µ")+COUNTIF($E148:AA148,1),ColDescriptionCourte))&gt;1,
HYPERLINK("#Roadmap!C"&amp; MATCH($E148,Roadmap!$D:$D,0)+COUNTIF($E148:AA148,"u")+COUNTIF($E148:AA148,"t")+COUNTIF($E148:AA148,"¶")+COUNTIF($E148:AA148,"²")+COUNTIF($E148:AA148,"µ")+COUNTIF($E148:AA148,1)-1,INDEX(Roadmap!$D:$K,MATCH($E148,Roadmap!$D:$D,0)-1+COUNTIF($E148:AA148,"u")+COUNTIF($E148:AA148,"t")+COUNTIF($E148:AA148,"¶")+COUNTIF($E148:AA148,"²")+COUNTIF($E148:AA148,"µ")+COUNTIF($E148:AA148,1),ColDescriptionCourte)),""),
  "")),"")</f>
        <v/>
      </c>
      <c r="AC148" s="40" t="str">
        <f ca="1">IFERROR(IF(AND(
  INDEX(Roadmap!$D:$K,MATCH($E148,Roadmap!$D:$D,0)+COUNTIF($E148:AB148,"u")+COUNTIF($E148:AB148,"t")+COUNTIF($E148:AB148,"¶")+COUNTIF($E148:AB148,"²")+COUNTIF($E148:AB148,"µ")+COUNTIF($E148:AB148,1),ColLivraison)=AC$6,
  VLOOKUP($E148,INDIRECT("tri!"&amp; CHAR(64+ C0Col) &amp;":"&amp; CHAR(65+C0Col)),2,FALSE)&gt;COUNTIF($E148:AB148,"u")+COUNTIF($E148:AB148,"t")+COUNTIF($E148:AB148,"¶")+COUNTIF($E148:AB148,"²")+COUNTIF($E148:AB148,"µ")+COUNTIF($E148:AB148,1)),
HYPERLINK("#Roadmap!C"&amp; MATCH($E148,Roadmap!$D:$D,0)+COUNTIF($E148:AB148,"u")+COUNTIF($E148:AB148,"t"),
     INDEX(Roadmap!$D:$K,MATCH($E148,Roadmap!$D:$D,0)+COUNTIF($E148:AB148,"u")+COUNTIF($E148:AB148,"t")+COUNTIF($E148:AB148,"¶")+COUNTIF($E148:AB148,"²")+COUNTIF($E148:AB148,"µ")+COUNTIF($E148:AB148,1),ColTypeEcheance)),
  IF(LEN(AB148)=1,
  IF(LEN(INDEX(Roadmap!$D:$K,MATCH($E148,Roadmap!$D:$D,0)-1+COUNTIF($E148:AB148,"u")+COUNTIF($E148:AB148,"t")+COUNTIF($E148:AB148,"¶")+COUNTIF($E148:AB148,"²")+COUNTIF($E148:AB148,"µ")+COUNTIF($E148:AB148,1),ColDescriptionCourte))&gt;1,
HYPERLINK("#Roadmap!C"&amp; MATCH($E148,Roadmap!$D:$D,0)+COUNTIF($E148:AB148,"u")+COUNTIF($E148:AB148,"t")+COUNTIF($E148:AB148,"¶")+COUNTIF($E148:AB148,"²")+COUNTIF($E148:AB148,"µ")+COUNTIF($E148:AB148,1)-1,INDEX(Roadmap!$D:$K,MATCH($E148,Roadmap!$D:$D,0)-1+COUNTIF($E148:AB148,"u")+COUNTIF($E148:AB148,"t")+COUNTIF($E148:AB148,"¶")+COUNTIF($E148:AB148,"²")+COUNTIF($E148:AB148,"µ")+COUNTIF($E148:AB148,1),ColDescriptionCourte)),""),
  "")),"")</f>
        <v/>
      </c>
      <c r="AD148" s="40" t="str">
        <f ca="1">IFERROR(IF(AND(
  INDEX(Roadmap!$D:$K,MATCH($E148,Roadmap!$D:$D,0)+COUNTIF($E148:AC148,"u")+COUNTIF($E148:AC148,"t")+COUNTIF($E148:AC148,"¶")+COUNTIF($E148:AC148,"²")+COUNTIF($E148:AC148,"µ")+COUNTIF($E148:AC148,1),ColLivraison)=AD$6,
  VLOOKUP($E148,INDIRECT("tri!"&amp; CHAR(64+ C0Col) &amp;":"&amp; CHAR(65+C0Col)),2,FALSE)&gt;COUNTIF($E148:AC148,"u")+COUNTIF($E148:AC148,"t")+COUNTIF($E148:AC148,"¶")+COUNTIF($E148:AC148,"²")+COUNTIF($E148:AC148,"µ")+COUNTIF($E148:AC148,1)),
HYPERLINK("#Roadmap!C"&amp; MATCH($E148,Roadmap!$D:$D,0)+COUNTIF($E148:AC148,"u")+COUNTIF($E148:AC148,"t"),
     INDEX(Roadmap!$D:$K,MATCH($E148,Roadmap!$D:$D,0)+COUNTIF($E148:AC148,"u")+COUNTIF($E148:AC148,"t")+COUNTIF($E148:AC148,"¶")+COUNTIF($E148:AC148,"²")+COUNTIF($E148:AC148,"µ")+COUNTIF($E148:AC148,1),ColTypeEcheance)),
  IF(LEN(AC148)=1,
  IF(LEN(INDEX(Roadmap!$D:$K,MATCH($E148,Roadmap!$D:$D,0)-1+COUNTIF($E148:AC148,"u")+COUNTIF($E148:AC148,"t")+COUNTIF($E148:AC148,"¶")+COUNTIF($E148:AC148,"²")+COUNTIF($E148:AC148,"µ")+COUNTIF($E148:AC148,1),ColDescriptionCourte))&gt;1,
HYPERLINK("#Roadmap!C"&amp; MATCH($E148,Roadmap!$D:$D,0)+COUNTIF($E148:AC148,"u")+COUNTIF($E148:AC148,"t")+COUNTIF($E148:AC148,"¶")+COUNTIF($E148:AC148,"²")+COUNTIF($E148:AC148,"µ")+COUNTIF($E148:AC148,1)-1,INDEX(Roadmap!$D:$K,MATCH($E148,Roadmap!$D:$D,0)-1+COUNTIF($E148:AC148,"u")+COUNTIF($E148:AC148,"t")+COUNTIF($E148:AC148,"¶")+COUNTIF($E148:AC148,"²")+COUNTIF($E148:AC148,"µ")+COUNTIF($E148:AC148,1),ColDescriptionCourte)),""),
  "")),"")</f>
        <v/>
      </c>
      <c r="AE148" s="40" t="str">
        <f ca="1">IFERROR(IF(AND(
  INDEX(Roadmap!$D:$K,MATCH($E148,Roadmap!$D:$D,0)+COUNTIF($E148:AD148,"u")+COUNTIF($E148:AD148,"t")+COUNTIF($E148:AD148,"¶")+COUNTIF($E148:AD148,"²")+COUNTIF($E148:AD148,"µ")+COUNTIF($E148:AD148,1),ColLivraison)=AE$6,
  VLOOKUP($E148,INDIRECT("tri!"&amp; CHAR(64+ C0Col) &amp;":"&amp; CHAR(65+C0Col)),2,FALSE)&gt;COUNTIF($E148:AD148,"u")+COUNTIF($E148:AD148,"t")+COUNTIF($E148:AD148,"¶")+COUNTIF($E148:AD148,"²")+COUNTIF($E148:AD148,"µ")+COUNTIF($E148:AD148,1)),
HYPERLINK("#Roadmap!C"&amp; MATCH($E148,Roadmap!$D:$D,0)+COUNTIF($E148:AD148,"u")+COUNTIF($E148:AD148,"t"),
     INDEX(Roadmap!$D:$K,MATCH($E148,Roadmap!$D:$D,0)+COUNTIF($E148:AD148,"u")+COUNTIF($E148:AD148,"t")+COUNTIF($E148:AD148,"¶")+COUNTIF($E148:AD148,"²")+COUNTIF($E148:AD148,"µ")+COUNTIF($E148:AD148,1),ColTypeEcheance)),
  IF(LEN(AD148)=1,
  IF(LEN(INDEX(Roadmap!$D:$K,MATCH($E148,Roadmap!$D:$D,0)-1+COUNTIF($E148:AD148,"u")+COUNTIF($E148:AD148,"t")+COUNTIF($E148:AD148,"¶")+COUNTIF($E148:AD148,"²")+COUNTIF($E148:AD148,"µ")+COUNTIF($E148:AD148,1),ColDescriptionCourte))&gt;1,
HYPERLINK("#Roadmap!C"&amp; MATCH($E148,Roadmap!$D:$D,0)+COUNTIF($E148:AD148,"u")+COUNTIF($E148:AD148,"t")+COUNTIF($E148:AD148,"¶")+COUNTIF($E148:AD148,"²")+COUNTIF($E148:AD148,"µ")+COUNTIF($E148:AD148,1)-1,INDEX(Roadmap!$D:$K,MATCH($E148,Roadmap!$D:$D,0)-1+COUNTIF($E148:AD148,"u")+COUNTIF($E148:AD148,"t")+COUNTIF($E148:AD148,"¶")+COUNTIF($E148:AD148,"²")+COUNTIF($E148:AD148,"µ")+COUNTIF($E148:AD148,1),ColDescriptionCourte)),""),
  "")),"")</f>
        <v/>
      </c>
      <c r="AF148" s="40" t="str">
        <f ca="1">IFERROR(IF(AND(
  INDEX(Roadmap!$D:$K,MATCH($E148,Roadmap!$D:$D,0)+COUNTIF($E148:AE148,"u")+COUNTIF($E148:AE148,"t")+COUNTIF($E148:AE148,"¶")+COUNTIF($E148:AE148,"²")+COUNTIF($E148:AE148,"µ")+COUNTIF($E148:AE148,1),ColLivraison)=AF$6,
  VLOOKUP($E148,INDIRECT("tri!"&amp; CHAR(64+ C0Col) &amp;":"&amp; CHAR(65+C0Col)),2,FALSE)&gt;COUNTIF($E148:AE148,"u")+COUNTIF($E148:AE148,"t")+COUNTIF($E148:AE148,"¶")+COUNTIF($E148:AE148,"²")+COUNTIF($E148:AE148,"µ")+COUNTIF($E148:AE148,1)),
HYPERLINK("#Roadmap!C"&amp; MATCH($E148,Roadmap!$D:$D,0)+COUNTIF($E148:AE148,"u")+COUNTIF($E148:AE148,"t"),
     INDEX(Roadmap!$D:$K,MATCH($E148,Roadmap!$D:$D,0)+COUNTIF($E148:AE148,"u")+COUNTIF($E148:AE148,"t")+COUNTIF($E148:AE148,"¶")+COUNTIF($E148:AE148,"²")+COUNTIF($E148:AE148,"µ")+COUNTIF($E148:AE148,1),ColTypeEcheance)),
  IF(LEN(AE148)=1,
  IF(LEN(INDEX(Roadmap!$D:$K,MATCH($E148,Roadmap!$D:$D,0)-1+COUNTIF($E148:AE148,"u")+COUNTIF($E148:AE148,"t")+COUNTIF($E148:AE148,"¶")+COUNTIF($E148:AE148,"²")+COUNTIF($E148:AE148,"µ")+COUNTIF($E148:AE148,1),ColDescriptionCourte))&gt;1,
HYPERLINK("#Roadmap!C"&amp; MATCH($E148,Roadmap!$D:$D,0)+COUNTIF($E148:AE148,"u")+COUNTIF($E148:AE148,"t")+COUNTIF($E148:AE148,"¶")+COUNTIF($E148:AE148,"²")+COUNTIF($E148:AE148,"µ")+COUNTIF($E148:AE148,1)-1,INDEX(Roadmap!$D:$K,MATCH($E148,Roadmap!$D:$D,0)-1+COUNTIF($E148:AE148,"u")+COUNTIF($E148:AE148,"t")+COUNTIF($E148:AE148,"¶")+COUNTIF($E148:AE148,"²")+COUNTIF($E148:AE148,"µ")+COUNTIF($E148:AE148,1),ColDescriptionCourte)),""),
  "")),"")</f>
        <v/>
      </c>
      <c r="AG148" s="40" t="str">
        <f ca="1">IFERROR(IF(AND(
  INDEX(Roadmap!$D:$K,MATCH($E148,Roadmap!$D:$D,0)+COUNTIF($E148:AF148,"u")+COUNTIF($E148:AF148,"t")+COUNTIF($E148:AF148,"¶")+COUNTIF($E148:AF148,"²")+COUNTIF($E148:AF148,"µ")+COUNTIF($E148:AF148,1),ColLivraison)=AG$6,
  VLOOKUP($E148,INDIRECT("tri!"&amp; CHAR(64+ C0Col) &amp;":"&amp; CHAR(65+C0Col)),2,FALSE)&gt;COUNTIF($E148:AF148,"u")+COUNTIF($E148:AF148,"t")+COUNTIF($E148:AF148,"¶")+COUNTIF($E148:AF148,"²")+COUNTIF($E148:AF148,"µ")+COUNTIF($E148:AF148,1)),
HYPERLINK("#Roadmap!C"&amp; MATCH($E148,Roadmap!$D:$D,0)+COUNTIF($E148:AF148,"u")+COUNTIF($E148:AF148,"t"),
     INDEX(Roadmap!$D:$K,MATCH($E148,Roadmap!$D:$D,0)+COUNTIF($E148:AF148,"u")+COUNTIF($E148:AF148,"t")+COUNTIF($E148:AF148,"¶")+COUNTIF($E148:AF148,"²")+COUNTIF($E148:AF148,"µ")+COUNTIF($E148:AF148,1),ColTypeEcheance)),
  IF(LEN(AF148)=1,
  IF(LEN(INDEX(Roadmap!$D:$K,MATCH($E148,Roadmap!$D:$D,0)-1+COUNTIF($E148:AF148,"u")+COUNTIF($E148:AF148,"t")+COUNTIF($E148:AF148,"¶")+COUNTIF($E148:AF148,"²")+COUNTIF($E148:AF148,"µ")+COUNTIF($E148:AF148,1),ColDescriptionCourte))&gt;1,
HYPERLINK("#Roadmap!C"&amp; MATCH($E148,Roadmap!$D:$D,0)+COUNTIF($E148:AF148,"u")+COUNTIF($E148:AF148,"t")+COUNTIF($E148:AF148,"¶")+COUNTIF($E148:AF148,"²")+COUNTIF($E148:AF148,"µ")+COUNTIF($E148:AF148,1)-1,INDEX(Roadmap!$D:$K,MATCH($E148,Roadmap!$D:$D,0)-1+COUNTIF($E148:AF148,"u")+COUNTIF($E148:AF148,"t")+COUNTIF($E148:AF148,"¶")+COUNTIF($E148:AF148,"²")+COUNTIF($E148:AF148,"µ")+COUNTIF($E148:AF148,1),ColDescriptionCourte)),""),
  "")),"")</f>
        <v/>
      </c>
      <c r="AH148" s="40" t="str">
        <f ca="1">IFERROR(IF(AND(
  INDEX(Roadmap!$D:$K,MATCH($E148,Roadmap!$D:$D,0)+COUNTIF($E148:AG148,"u")+COUNTIF($E148:AG148,"t")+COUNTIF($E148:AG148,1),ColLivraison)=AH$6,
  VLOOKUP($E148,INDIRECT("tri!"&amp; CHAR(64+ C0Col) &amp;":"&amp; CHAR(65+C0Col)),2,FALSE)&gt;COUNTIF($E148:AG148,"u")+COUNTIF($E148:AG148,"t")+COUNTIF($E148:AG148,1)),
HYPERLINK("#Roadmap!C"&amp; MATCH($E148,Roadmap!$D:$D,0)+COUNTIF($E148:AG148,"u")+COUNTIF($E148:AG148,"t"),
     INDEX(Roadmap!$D:$K,MATCH($E148,Roadmap!$D:$D,0)+COUNTIF($E148:AG148,"u")+COUNTIF($E148:AG148,"t")+COUNTIF($E148:AG148,1),ColTypeEcheance)),
  IF(OR(AG148="u",AG148="t",AG148=1),
  IF(LEN(INDEX(Roadmap!$D:$K,MATCH($E148,Roadmap!$D:$D,0)-1+COUNTIF($E148:AG148,"u")+COUNTIF($E148:AG148,"t")+COUNTIF($E148:AG148,1),ColDescriptionCourte))&gt;1,
HYPERLINK("#Roadmap!C"&amp; MATCH($E148,Roadmap!$D:$D,0)+COUNTIF($E148:AG148,"u")+COUNTIF($E148:AG148,"t")+COUNTIF($E148:AG148,1)-1,INDEX(Roadmap!$D:$K,MATCH($E148,Roadmap!$D:$D,0)-1+COUNTIF($E148:AG148,"u")+COUNTIF($E148:AG148,"t")+COUNTIF($E148:AG148,1),ColDescriptionCourte)),""),
  "")),"")</f>
        <v/>
      </c>
      <c r="AI148" s="40"/>
      <c r="AJ148" s="40"/>
      <c r="AK148" s="40"/>
      <c r="AL148" s="40"/>
      <c r="AM148" s="40"/>
    </row>
    <row r="149" spans="4:39" ht="14.1" customHeight="1">
      <c r="D149" s="20" t="str">
        <f t="shared" ca="1" si="31"/>
        <v/>
      </c>
      <c r="E149" s="53" t="str">
        <f t="shared" ca="1" si="32"/>
        <v/>
      </c>
      <c r="F149" s="39" t="str">
        <f ca="1">IFERROR(IF(AND(
  INDEX(Roadmap!$D:$K,MATCH($E149,Roadmap!$D:$D,0)+COUNTIF($E149:E149,"u")+COUNTIF($E149:E149,"t")+COUNTIF($E149:E149,"¶")+COUNTIF($E149:E149,"²")+COUNTIF($E149:E149,"µ")+COUNTIF($E149:E149,1),ColLivraison)=F$6,
  VLOOKUP($E149,INDIRECT("tri!"&amp; CHAR(64+ C0Col) &amp;":"&amp; CHAR(65+C0Col)),2,FALSE)&gt;COUNTIF($E149:E149,"u")+COUNTIF($E149:E149,"t")+COUNTIF($E149:E149,"¶")+COUNTIF($E149:E149,"²")+COUNTIF($E149:E149,"µ")+COUNTIF($E149:E149,1)),
HYPERLINK("#Roadmap!C"&amp; MATCH($E149,Roadmap!$D:$D,0)+COUNTIF($E149:E149,"u")+COUNTIF($E149:E149,"t"),
     INDEX(Roadmap!$D:$K,MATCH($E149,Roadmap!$D:$D,0)+COUNTIF($E149:E149,"u")+COUNTIF($E149:E149,"t")+COUNTIF($E149:E149,"¶")+COUNTIF($E149:E149,"²")+COUNTIF($E149:E149,"µ")+COUNTIF($E149:E149,1),ColTypeEcheance)),
  IF(LEN(E149)=1,
  IF(LEN(INDEX(Roadmap!$D:$K,MATCH($E149,Roadmap!$D:$D,0)-1+COUNTIF($E149:E149,"u")+COUNTIF($E149:E149,"t")+COUNTIF($E149:E149,"¶")+COUNTIF($E149:E149,"²")+COUNTIF($E149:E149,"µ")+COUNTIF($E149:E149,1),ColDescriptionCourte))&gt;1,
HYPERLINK("#Roadmap!C"&amp; MATCH($E149,Roadmap!$D:$D,0)+COUNTIF($E149:E149,"u")+COUNTIF($E149:E149,"t")+COUNTIF($E149:E149,"¶")+COUNTIF($E149:E149,"²")+COUNTIF($E149:E149,"µ")+COUNTIF($E149:E149,1)-1,INDEX(Roadmap!$D:$K,MATCH($E149,Roadmap!$D:$D,0)-1+COUNTIF($E149:E149,"u")+COUNTIF($E149:E149,"t")+COUNTIF($E149:E149,"¶")+COUNTIF($E149:E149,"²")+COUNTIF($E149:E149,"µ")+COUNTIF($E149:E149,1),ColDescriptionCourte)),""),
  "")),"")</f>
        <v/>
      </c>
      <c r="G149" s="40" t="str">
        <f ca="1">IFERROR(IF(AND(
  INDEX(Roadmap!$D:$K,MATCH($E149,Roadmap!$D:$D,0)+COUNTIF($E149:F149,"u")+COUNTIF($E149:F149,"t")+COUNTIF($E149:F149,"¶")+COUNTIF($E149:F149,"²")+COUNTIF($E149:F149,"µ")+COUNTIF($E149:F149,1),ColLivraison)=G$6,
  VLOOKUP($E149,INDIRECT("tri!"&amp; CHAR(64+ C0Col) &amp;":"&amp; CHAR(65+C0Col)),2,FALSE)&gt;COUNTIF($E149:F149,"u")+COUNTIF($E149:F149,"t")+COUNTIF($E149:F149,"¶")+COUNTIF($E149:F149,"²")+COUNTIF($E149:F149,"µ")+COUNTIF($E149:F149,1)),
HYPERLINK("#Roadmap!C"&amp; MATCH($E149,Roadmap!$D:$D,0)+COUNTIF($E149:F149,"u")+COUNTIF($E149:F149,"t"),
     INDEX(Roadmap!$D:$K,MATCH($E149,Roadmap!$D:$D,0)+COUNTIF($E149:F149,"u")+COUNTIF($E149:F149,"t")+COUNTIF($E149:F149,"¶")+COUNTIF($E149:F149,"²")+COUNTIF($E149:F149,"µ")+COUNTIF($E149:F149,1),ColTypeEcheance)),
  IF(LEN(F149)=1,
  IF(LEN(INDEX(Roadmap!$D:$K,MATCH($E149,Roadmap!$D:$D,0)-1+COUNTIF($E149:F149,"u")+COUNTIF($E149:F149,"t")+COUNTIF($E149:F149,"¶")+COUNTIF($E149:F149,"²")+COUNTIF($E149:F149,"µ")+COUNTIF($E149:F149,1),ColDescriptionCourte))&gt;1,
HYPERLINK("#Roadmap!C"&amp; MATCH($E149,Roadmap!$D:$D,0)+COUNTIF($E149:F149,"u")+COUNTIF($E149:F149,"t")+COUNTIF($E149:F149,"¶")+COUNTIF($E149:F149,"²")+COUNTIF($E149:F149,"µ")+COUNTIF($E149:F149,1)-1,INDEX(Roadmap!$D:$K,MATCH($E149,Roadmap!$D:$D,0)-1+COUNTIF($E149:F149,"u")+COUNTIF($E149:F149,"t")+COUNTIF($E149:F149,"¶")+COUNTIF($E149:F149,"²")+COUNTIF($E149:F149,"µ")+COUNTIF($E149:F149,1),ColDescriptionCourte)),""),
  "")),"")</f>
        <v/>
      </c>
      <c r="H149" s="40" t="str">
        <f ca="1">IFERROR(IF(AND(
  INDEX(Roadmap!$D:$K,MATCH($E149,Roadmap!$D:$D,0)+COUNTIF($E149:G149,"u")+COUNTIF($E149:G149,"t")+COUNTIF($E149:G149,"¶")+COUNTIF($E149:G149,"²")+COUNTIF($E149:G149,"µ")+COUNTIF($E149:G149,1),ColLivraison)=H$6,
  VLOOKUP($E149,INDIRECT("tri!"&amp; CHAR(64+ C0Col) &amp;":"&amp; CHAR(65+C0Col)),2,FALSE)&gt;COUNTIF($E149:G149,"u")+COUNTIF($E149:G149,"t")+COUNTIF($E149:G149,"¶")+COUNTIF($E149:G149,"²")+COUNTIF($E149:G149,"µ")+COUNTIF($E149:G149,1)),
HYPERLINK("#Roadmap!C"&amp; MATCH($E149,Roadmap!$D:$D,0)+COUNTIF($E149:G149,"u")+COUNTIF($E149:G149,"t"),
     INDEX(Roadmap!$D:$K,MATCH($E149,Roadmap!$D:$D,0)+COUNTIF($E149:G149,"u")+COUNTIF($E149:G149,"t")+COUNTIF($E149:G149,"¶")+COUNTIF($E149:G149,"²")+COUNTIF($E149:G149,"µ")+COUNTIF($E149:G149,1),ColTypeEcheance)),
  IF(LEN(G149)=1,
  IF(LEN(INDEX(Roadmap!$D:$K,MATCH($E149,Roadmap!$D:$D,0)-1+COUNTIF($E149:G149,"u")+COUNTIF($E149:G149,"t")+COUNTIF($E149:G149,"¶")+COUNTIF($E149:G149,"²")+COUNTIF($E149:G149,"µ")+COUNTIF($E149:G149,1),ColDescriptionCourte))&gt;1,
HYPERLINK("#Roadmap!C"&amp; MATCH($E149,Roadmap!$D:$D,0)+COUNTIF($E149:G149,"u")+COUNTIF($E149:G149,"t")+COUNTIF($E149:G149,"¶")+COUNTIF($E149:G149,"²")+COUNTIF($E149:G149,"µ")+COUNTIF($E149:G149,1)-1,INDEX(Roadmap!$D:$K,MATCH($E149,Roadmap!$D:$D,0)-1+COUNTIF($E149:G149,"u")+COUNTIF($E149:G149,"t")+COUNTIF($E149:G149,"¶")+COUNTIF($E149:G149,"²")+COUNTIF($E149:G149,"µ")+COUNTIF($E149:G149,1),ColDescriptionCourte)),""),
  "")),"")</f>
        <v/>
      </c>
      <c r="I149" s="40" t="str">
        <f ca="1">IFERROR(IF(AND(
  INDEX(Roadmap!$D:$K,MATCH($E149,Roadmap!$D:$D,0)+COUNTIF($E149:H149,"u")+COUNTIF($E149:H149,"t")+COUNTIF($E149:H149,"¶")+COUNTIF($E149:H149,"²")+COUNTIF($E149:H149,"µ")+COUNTIF($E149:H149,1),ColLivraison)=I$6,
  VLOOKUP($E149,INDIRECT("tri!"&amp; CHAR(64+ C0Col) &amp;":"&amp; CHAR(65+C0Col)),2,FALSE)&gt;COUNTIF($E149:H149,"u")+COUNTIF($E149:H149,"t")+COUNTIF($E149:H149,"¶")+COUNTIF($E149:H149,"²")+COUNTIF($E149:H149,"µ")+COUNTIF($E149:H149,1)),
HYPERLINK("#Roadmap!C"&amp; MATCH($E149,Roadmap!$D:$D,0)+COUNTIF($E149:H149,"u")+COUNTIF($E149:H149,"t"),
     INDEX(Roadmap!$D:$K,MATCH($E149,Roadmap!$D:$D,0)+COUNTIF($E149:H149,"u")+COUNTIF($E149:H149,"t")+COUNTIF($E149:H149,"¶")+COUNTIF($E149:H149,"²")+COUNTIF($E149:H149,"µ")+COUNTIF($E149:H149,1),ColTypeEcheance)),
  IF(LEN(H149)=1,
  IF(LEN(INDEX(Roadmap!$D:$K,MATCH($E149,Roadmap!$D:$D,0)-1+COUNTIF($E149:H149,"u")+COUNTIF($E149:H149,"t")+COUNTIF($E149:H149,"¶")+COUNTIF($E149:H149,"²")+COUNTIF($E149:H149,"µ")+COUNTIF($E149:H149,1),ColDescriptionCourte))&gt;1,
HYPERLINK("#Roadmap!C"&amp; MATCH($E149,Roadmap!$D:$D,0)+COUNTIF($E149:H149,"u")+COUNTIF($E149:H149,"t")+COUNTIF($E149:H149,"¶")+COUNTIF($E149:H149,"²")+COUNTIF($E149:H149,"µ")+COUNTIF($E149:H149,1)-1,INDEX(Roadmap!$D:$K,MATCH($E149,Roadmap!$D:$D,0)-1+COUNTIF($E149:H149,"u")+COUNTIF($E149:H149,"t")+COUNTIF($E149:H149,"¶")+COUNTIF($E149:H149,"²")+COUNTIF($E149:H149,"µ")+COUNTIF($E149:H149,1),ColDescriptionCourte)),""),
  "")),"")</f>
        <v/>
      </c>
      <c r="J149" s="40" t="str">
        <f ca="1">IFERROR(IF(AND(
  INDEX(Roadmap!$D:$K,MATCH($E149,Roadmap!$D:$D,0)+COUNTIF($E149:I149,"u")+COUNTIF($E149:I149,"t")+COUNTIF($E149:I149,"¶")+COUNTIF($E149:I149,"²")+COUNTIF($E149:I149,"µ")+COUNTIF($E149:I149,1),ColLivraison)=J$6,
  VLOOKUP($E149,INDIRECT("tri!"&amp; CHAR(64+ C0Col) &amp;":"&amp; CHAR(65+C0Col)),2,FALSE)&gt;COUNTIF($E149:I149,"u")+COUNTIF($E149:I149,"t")+COUNTIF($E149:I149,"¶")+COUNTIF($E149:I149,"²")+COUNTIF($E149:I149,"µ")+COUNTIF($E149:I149,1)),
HYPERLINK("#Roadmap!C"&amp; MATCH($E149,Roadmap!$D:$D,0)+COUNTIF($E149:I149,"u")+COUNTIF($E149:I149,"t"),
     INDEX(Roadmap!$D:$K,MATCH($E149,Roadmap!$D:$D,0)+COUNTIF($E149:I149,"u")+COUNTIF($E149:I149,"t")+COUNTIF($E149:I149,"¶")+COUNTIF($E149:I149,"²")+COUNTIF($E149:I149,"µ")+COUNTIF($E149:I149,1),ColTypeEcheance)),
  IF(LEN(I149)=1,
  IF(LEN(INDEX(Roadmap!$D:$K,MATCH($E149,Roadmap!$D:$D,0)-1+COUNTIF($E149:I149,"u")+COUNTIF($E149:I149,"t")+COUNTIF($E149:I149,"¶")+COUNTIF($E149:I149,"²")+COUNTIF($E149:I149,"µ")+COUNTIF($E149:I149,1),ColDescriptionCourte))&gt;1,
HYPERLINK("#Roadmap!C"&amp; MATCH($E149,Roadmap!$D:$D,0)+COUNTIF($E149:I149,"u")+COUNTIF($E149:I149,"t")+COUNTIF($E149:I149,"¶")+COUNTIF($E149:I149,"²")+COUNTIF($E149:I149,"µ")+COUNTIF($E149:I149,1)-1,INDEX(Roadmap!$D:$K,MATCH($E149,Roadmap!$D:$D,0)-1+COUNTIF($E149:I149,"u")+COUNTIF($E149:I149,"t")+COUNTIF($E149:I149,"¶")+COUNTIF($E149:I149,"²")+COUNTIF($E149:I149,"µ")+COUNTIF($E149:I149,1),ColDescriptionCourte)),""),
  "")),"")</f>
        <v/>
      </c>
      <c r="K149" s="40" t="str">
        <f ca="1">IFERROR(IF(AND(
  INDEX(Roadmap!$D:$K,MATCH($E149,Roadmap!$D:$D,0)+COUNTIF($E149:J149,"u")+COUNTIF($E149:J149,"t")+COUNTIF($E149:J149,"¶")+COUNTIF($E149:J149,"²")+COUNTIF($E149:J149,"µ")+COUNTIF($E149:J149,1),ColLivraison)=K$6,
  VLOOKUP($E149,INDIRECT("tri!"&amp; CHAR(64+ C0Col) &amp;":"&amp; CHAR(65+C0Col)),2,FALSE)&gt;COUNTIF($E149:J149,"u")+COUNTIF($E149:J149,"t")+COUNTIF($E149:J149,"¶")+COUNTIF($E149:J149,"²")+COUNTIF($E149:J149,"µ")+COUNTIF($E149:J149,1)),
HYPERLINK("#Roadmap!C"&amp; MATCH($E149,Roadmap!$D:$D,0)+COUNTIF($E149:J149,"u")+COUNTIF($E149:J149,"t"),
     INDEX(Roadmap!$D:$K,MATCH($E149,Roadmap!$D:$D,0)+COUNTIF($E149:J149,"u")+COUNTIF($E149:J149,"t")+COUNTIF($E149:J149,"¶")+COUNTIF($E149:J149,"²")+COUNTIF($E149:J149,"µ")+COUNTIF($E149:J149,1),ColTypeEcheance)),
  IF(LEN(J149)=1,
  IF(LEN(INDEX(Roadmap!$D:$K,MATCH($E149,Roadmap!$D:$D,0)-1+COUNTIF($E149:J149,"u")+COUNTIF($E149:J149,"t")+COUNTIF($E149:J149,"¶")+COUNTIF($E149:J149,"²")+COUNTIF($E149:J149,"µ")+COUNTIF($E149:J149,1),ColDescriptionCourte))&gt;1,
HYPERLINK("#Roadmap!C"&amp; MATCH($E149,Roadmap!$D:$D,0)+COUNTIF($E149:J149,"u")+COUNTIF($E149:J149,"t")+COUNTIF($E149:J149,"¶")+COUNTIF($E149:J149,"²")+COUNTIF($E149:J149,"µ")+COUNTIF($E149:J149,1)-1,INDEX(Roadmap!$D:$K,MATCH($E149,Roadmap!$D:$D,0)-1+COUNTIF($E149:J149,"u")+COUNTIF($E149:J149,"t")+COUNTIF($E149:J149,"¶")+COUNTIF($E149:J149,"²")+COUNTIF($E149:J149,"µ")+COUNTIF($E149:J149,1),ColDescriptionCourte)),""),
  "")),"")</f>
        <v/>
      </c>
      <c r="L149" s="39" t="str">
        <f ca="1">IFERROR(IF(AND(
  INDEX(Roadmap!$D:$K,MATCH($E149,Roadmap!$D:$D,0)+COUNTIF($E149:K149,"u")+COUNTIF($E149:K149,"t")+COUNTIF($E149:K149,"¶")+COUNTIF($E149:K149,"²")+COUNTIF($E149:K149,"µ")+COUNTIF($E149:K149,1),ColLivraison)=L$6,
  VLOOKUP($E149,INDIRECT("tri!"&amp; CHAR(64+ C0Col) &amp;":"&amp; CHAR(65+C0Col)),2,FALSE)&gt;COUNTIF($E149:K149,"u")+COUNTIF($E149:K149,"t")+COUNTIF($E149:K149,"¶")+COUNTIF($E149:K149,"²")+COUNTIF($E149:K149,"µ")+COUNTIF($E149:K149,1)),
HYPERLINK("#Roadmap!C"&amp; MATCH($E149,Roadmap!$D:$D,0)+COUNTIF($E149:K149,"u")+COUNTIF($E149:K149,"t"),
     INDEX(Roadmap!$D:$K,MATCH($E149,Roadmap!$D:$D,0)+COUNTIF($E149:K149,"u")+COUNTIF($E149:K149,"t")+COUNTIF($E149:K149,"¶")+COUNTIF($E149:K149,"²")+COUNTIF($E149:K149,"µ")+COUNTIF($E149:K149,1),ColTypeEcheance)),
  IF(LEN(K149)=1,
  IF(LEN(INDEX(Roadmap!$D:$K,MATCH($E149,Roadmap!$D:$D,0)-1+COUNTIF($E149:K149,"u")+COUNTIF($E149:K149,"t")+COUNTIF($E149:K149,"¶")+COUNTIF($E149:K149,"²")+COUNTIF($E149:K149,"µ")+COUNTIF($E149:K149,1),ColDescriptionCourte))&gt;1,
HYPERLINK("#Roadmap!C"&amp; MATCH($E149,Roadmap!$D:$D,0)+COUNTIF($E149:K149,"u")+COUNTIF($E149:K149,"t")+COUNTIF($E149:K149,"¶")+COUNTIF($E149:K149,"²")+COUNTIF($E149:K149,"µ")+COUNTIF($E149:K149,1)-1,INDEX(Roadmap!$D:$K,MATCH($E149,Roadmap!$D:$D,0)-1+COUNTIF($E149:K149,"u")+COUNTIF($E149:K149,"t")+COUNTIF($E149:K149,"¶")+COUNTIF($E149:K149,"²")+COUNTIF($E149:K149,"µ")+COUNTIF($E149:K149,1),ColDescriptionCourte)),""),
  "")),"")</f>
        <v/>
      </c>
      <c r="M149" s="40" t="str">
        <f ca="1">IFERROR(IF(AND(
  INDEX(Roadmap!$D:$K,MATCH($E149,Roadmap!$D:$D,0)+COUNTIF($E149:L149,"u")+COUNTIF($E149:L149,"t")+COUNTIF($E149:L149,"¶")+COUNTIF($E149:L149,"²")+COUNTIF($E149:L149,"µ")+COUNTIF($E149:L149,1),ColLivraison)=M$6,
  VLOOKUP($E149,INDIRECT("tri!"&amp; CHAR(64+ C0Col) &amp;":"&amp; CHAR(65+C0Col)),2,FALSE)&gt;COUNTIF($E149:L149,"u")+COUNTIF($E149:L149,"t")+COUNTIF($E149:L149,"¶")+COUNTIF($E149:L149,"²")+COUNTIF($E149:L149,"µ")+COUNTIF($E149:L149,1)),
HYPERLINK("#Roadmap!C"&amp; MATCH($E149,Roadmap!$D:$D,0)+COUNTIF($E149:L149,"u")+COUNTIF($E149:L149,"t"),
     INDEX(Roadmap!$D:$K,MATCH($E149,Roadmap!$D:$D,0)+COUNTIF($E149:L149,"u")+COUNTIF($E149:L149,"t")+COUNTIF($E149:L149,"¶")+COUNTIF($E149:L149,"²")+COUNTIF($E149:L149,"µ")+COUNTIF($E149:L149,1),ColTypeEcheance)),
  IF(LEN(L149)=1,
  IF(LEN(INDEX(Roadmap!$D:$K,MATCH($E149,Roadmap!$D:$D,0)-1+COUNTIF($E149:L149,"u")+COUNTIF($E149:L149,"t")+COUNTIF($E149:L149,"¶")+COUNTIF($E149:L149,"²")+COUNTIF($E149:L149,"µ")+COUNTIF($E149:L149,1),ColDescriptionCourte))&gt;1,
HYPERLINK("#Roadmap!C"&amp; MATCH($E149,Roadmap!$D:$D,0)+COUNTIF($E149:L149,"u")+COUNTIF($E149:L149,"t")+COUNTIF($E149:L149,"¶")+COUNTIF($E149:L149,"²")+COUNTIF($E149:L149,"µ")+COUNTIF($E149:L149,1)-1,INDEX(Roadmap!$D:$K,MATCH($E149,Roadmap!$D:$D,0)-1+COUNTIF($E149:L149,"u")+COUNTIF($E149:L149,"t")+COUNTIF($E149:L149,"¶")+COUNTIF($E149:L149,"²")+COUNTIF($E149:L149,"µ")+COUNTIF($E149:L149,1),ColDescriptionCourte)),""),
  "")),"")</f>
        <v/>
      </c>
      <c r="N149" s="40" t="str">
        <f ca="1">IFERROR(IF(AND(
  INDEX(Roadmap!$D:$K,MATCH($E149,Roadmap!$D:$D,0)+COUNTIF($E149:M149,"u")+COUNTIF($E149:M149,"t")+COUNTIF($E149:M149,"¶")+COUNTIF($E149:M149,"²")+COUNTIF($E149:M149,"µ")+COUNTIF($E149:M149,1),ColLivraison)=N$6,
  VLOOKUP($E149,INDIRECT("tri!"&amp; CHAR(64+ C0Col) &amp;":"&amp; CHAR(65+C0Col)),2,FALSE)&gt;COUNTIF($E149:M149,"u")+COUNTIF($E149:M149,"t")+COUNTIF($E149:M149,"¶")+COUNTIF($E149:M149,"²")+COUNTIF($E149:M149,"µ")+COUNTIF($E149:M149,1)),
HYPERLINK("#Roadmap!C"&amp; MATCH($E149,Roadmap!$D:$D,0)+COUNTIF($E149:M149,"u")+COUNTIF($E149:M149,"t"),
     INDEX(Roadmap!$D:$K,MATCH($E149,Roadmap!$D:$D,0)+COUNTIF($E149:M149,"u")+COUNTIF($E149:M149,"t")+COUNTIF($E149:M149,"¶")+COUNTIF($E149:M149,"²")+COUNTIF($E149:M149,"µ")+COUNTIF($E149:M149,1),ColTypeEcheance)),
  IF(LEN(M149)=1,
  IF(LEN(INDEX(Roadmap!$D:$K,MATCH($E149,Roadmap!$D:$D,0)-1+COUNTIF($E149:M149,"u")+COUNTIF($E149:M149,"t")+COUNTIF($E149:M149,"¶")+COUNTIF($E149:M149,"²")+COUNTIF($E149:M149,"µ")+COUNTIF($E149:M149,1),ColDescriptionCourte))&gt;1,
HYPERLINK("#Roadmap!C"&amp; MATCH($E149,Roadmap!$D:$D,0)+COUNTIF($E149:M149,"u")+COUNTIF($E149:M149,"t")+COUNTIF($E149:M149,"¶")+COUNTIF($E149:M149,"²")+COUNTIF($E149:M149,"µ")+COUNTIF($E149:M149,1)-1,INDEX(Roadmap!$D:$K,MATCH($E149,Roadmap!$D:$D,0)-1+COUNTIF($E149:M149,"u")+COUNTIF($E149:M149,"t")+COUNTIF($E149:M149,"¶")+COUNTIF($E149:M149,"²")+COUNTIF($E149:M149,"µ")+COUNTIF($E149:M149,1),ColDescriptionCourte)),""),
  "")),"")</f>
        <v/>
      </c>
      <c r="O149" s="40" t="str">
        <f ca="1">IFERROR(IF(AND(
  INDEX(Roadmap!$D:$K,MATCH($E149,Roadmap!$D:$D,0)+COUNTIF($E149:N149,"u")+COUNTIF($E149:N149,"t")+COUNTIF($E149:N149,"¶")+COUNTIF($E149:N149,"²")+COUNTIF($E149:N149,"µ")+COUNTIF($E149:N149,1),ColLivraison)=O$6,
  VLOOKUP($E149,INDIRECT("tri!"&amp; CHAR(64+ C0Col) &amp;":"&amp; CHAR(65+C0Col)),2,FALSE)&gt;COUNTIF($E149:N149,"u")+COUNTIF($E149:N149,"t")+COUNTIF($E149:N149,"¶")+COUNTIF($E149:N149,"²")+COUNTIF($E149:N149,"µ")+COUNTIF($E149:N149,1)),
HYPERLINK("#Roadmap!C"&amp; MATCH($E149,Roadmap!$D:$D,0)+COUNTIF($E149:N149,"u")+COUNTIF($E149:N149,"t"),
     INDEX(Roadmap!$D:$K,MATCH($E149,Roadmap!$D:$D,0)+COUNTIF($E149:N149,"u")+COUNTIF($E149:N149,"t")+COUNTIF($E149:N149,"¶")+COUNTIF($E149:N149,"²")+COUNTIF($E149:N149,"µ")+COUNTIF($E149:N149,1),ColTypeEcheance)),
  IF(LEN(N149)=1,
  IF(LEN(INDEX(Roadmap!$D:$K,MATCH($E149,Roadmap!$D:$D,0)-1+COUNTIF($E149:N149,"u")+COUNTIF($E149:N149,"t")+COUNTIF($E149:N149,"¶")+COUNTIF($E149:N149,"²")+COUNTIF($E149:N149,"µ")+COUNTIF($E149:N149,1),ColDescriptionCourte))&gt;1,
HYPERLINK("#Roadmap!C"&amp; MATCH($E149,Roadmap!$D:$D,0)+COUNTIF($E149:N149,"u")+COUNTIF($E149:N149,"t")+COUNTIF($E149:N149,"¶")+COUNTIF($E149:N149,"²")+COUNTIF($E149:N149,"µ")+COUNTIF($E149:N149,1)-1,INDEX(Roadmap!$D:$K,MATCH($E149,Roadmap!$D:$D,0)-1+COUNTIF($E149:N149,"u")+COUNTIF($E149:N149,"t")+COUNTIF($E149:N149,"¶")+COUNTIF($E149:N149,"²")+COUNTIF($E149:N149,"µ")+COUNTIF($E149:N149,1),ColDescriptionCourte)),""),
  "")),"")</f>
        <v/>
      </c>
      <c r="P149" s="40" t="str">
        <f ca="1">IFERROR(IF(AND(
  INDEX(Roadmap!$D:$K,MATCH($E149,Roadmap!$D:$D,0)+COUNTIF($E149:O149,"u")+COUNTIF($E149:O149,"t")+COUNTIF($E149:O149,"¶")+COUNTIF($E149:O149,"²")+COUNTIF($E149:O149,"µ")+COUNTIF($E149:O149,1),ColLivraison)=P$6,
  VLOOKUP($E149,INDIRECT("tri!"&amp; CHAR(64+ C0Col) &amp;":"&amp; CHAR(65+C0Col)),2,FALSE)&gt;COUNTIF($E149:O149,"u")+COUNTIF($E149:O149,"t")+COUNTIF($E149:O149,"¶")+COUNTIF($E149:O149,"²")+COUNTIF($E149:O149,"µ")+COUNTIF($E149:O149,1)),
HYPERLINK("#Roadmap!C"&amp; MATCH($E149,Roadmap!$D:$D,0)+COUNTIF($E149:O149,"u")+COUNTIF($E149:O149,"t"),
     INDEX(Roadmap!$D:$K,MATCH($E149,Roadmap!$D:$D,0)+COUNTIF($E149:O149,"u")+COUNTIF($E149:O149,"t")+COUNTIF($E149:O149,"¶")+COUNTIF($E149:O149,"²")+COUNTIF($E149:O149,"µ")+COUNTIF($E149:O149,1),ColTypeEcheance)),
  IF(LEN(O149)=1,
  IF(LEN(INDEX(Roadmap!$D:$K,MATCH($E149,Roadmap!$D:$D,0)-1+COUNTIF($E149:O149,"u")+COUNTIF($E149:O149,"t")+COUNTIF($E149:O149,"¶")+COUNTIF($E149:O149,"²")+COUNTIF($E149:O149,"µ")+COUNTIF($E149:O149,1),ColDescriptionCourte))&gt;1,
HYPERLINK("#Roadmap!C"&amp; MATCH($E149,Roadmap!$D:$D,0)+COUNTIF($E149:O149,"u")+COUNTIF($E149:O149,"t")+COUNTIF($E149:O149,"¶")+COUNTIF($E149:O149,"²")+COUNTIF($E149:O149,"µ")+COUNTIF($E149:O149,1)-1,INDEX(Roadmap!$D:$K,MATCH($E149,Roadmap!$D:$D,0)-1+COUNTIF($E149:O149,"u")+COUNTIF($E149:O149,"t")+COUNTIF($E149:O149,"¶")+COUNTIF($E149:O149,"²")+COUNTIF($E149:O149,"µ")+COUNTIF($E149:O149,1),ColDescriptionCourte)),""),
  "")),"")</f>
        <v/>
      </c>
      <c r="Q149" s="40" t="str">
        <f ca="1">IFERROR(IF(AND(
  INDEX(Roadmap!$D:$K,MATCH($E149,Roadmap!$D:$D,0)+COUNTIF($E149:P149,"u")+COUNTIF($E149:P149,"t")+COUNTIF($E149:P149,"¶")+COUNTIF($E149:P149,"²")+COUNTIF($E149:P149,"µ")+COUNTIF($E149:P149,1),ColLivraison)=Q$6,
  VLOOKUP($E149,INDIRECT("tri!"&amp; CHAR(64+ C0Col) &amp;":"&amp; CHAR(65+C0Col)),2,FALSE)&gt;COUNTIF($E149:P149,"u")+COUNTIF($E149:P149,"t")+COUNTIF($E149:P149,"¶")+COUNTIF($E149:P149,"²")+COUNTIF($E149:P149,"µ")+COUNTIF($E149:P149,1)),
HYPERLINK("#Roadmap!C"&amp; MATCH($E149,Roadmap!$D:$D,0)+COUNTIF($E149:P149,"u")+COUNTIF($E149:P149,"t"),
     INDEX(Roadmap!$D:$K,MATCH($E149,Roadmap!$D:$D,0)+COUNTIF($E149:P149,"u")+COUNTIF($E149:P149,"t")+COUNTIF($E149:P149,"¶")+COUNTIF($E149:P149,"²")+COUNTIF($E149:P149,"µ")+COUNTIF($E149:P149,1),ColTypeEcheance)),
  IF(LEN(P149)=1,
  IF(LEN(INDEX(Roadmap!$D:$K,MATCH($E149,Roadmap!$D:$D,0)-1+COUNTIF($E149:P149,"u")+COUNTIF($E149:P149,"t")+COUNTIF($E149:P149,"¶")+COUNTIF($E149:P149,"²")+COUNTIF($E149:P149,"µ")+COUNTIF($E149:P149,1),ColDescriptionCourte))&gt;1,
HYPERLINK("#Roadmap!C"&amp; MATCH($E149,Roadmap!$D:$D,0)+COUNTIF($E149:P149,"u")+COUNTIF($E149:P149,"t")+COUNTIF($E149:P149,"¶")+COUNTIF($E149:P149,"²")+COUNTIF($E149:P149,"µ")+COUNTIF($E149:P149,1)-1,INDEX(Roadmap!$D:$K,MATCH($E149,Roadmap!$D:$D,0)-1+COUNTIF($E149:P149,"u")+COUNTIF($E149:P149,"t")+COUNTIF($E149:P149,"¶")+COUNTIF($E149:P149,"²")+COUNTIF($E149:P149,"µ")+COUNTIF($E149:P149,1),ColDescriptionCourte)),""),
  "")),"")</f>
        <v/>
      </c>
      <c r="R149" s="40" t="str">
        <f ca="1">IFERROR(IF(AND(
  INDEX(Roadmap!$D:$K,MATCH($E149,Roadmap!$D:$D,0)+COUNTIF($E149:Q149,"u")+COUNTIF($E149:Q149,"t")+COUNTIF($E149:Q149,"¶")+COUNTIF($E149:Q149,"²")+COUNTIF($E149:Q149,"µ")+COUNTIF($E149:Q149,1),ColLivraison)=R$6,
  VLOOKUP($E149,INDIRECT("tri!"&amp; CHAR(64+ C0Col) &amp;":"&amp; CHAR(65+C0Col)),2,FALSE)&gt;COUNTIF($E149:Q149,"u")+COUNTIF($E149:Q149,"t")+COUNTIF($E149:Q149,"¶")+COUNTIF($E149:Q149,"²")+COUNTIF($E149:Q149,"µ")+COUNTIF($E149:Q149,1)),
HYPERLINK("#Roadmap!C"&amp; MATCH($E149,Roadmap!$D:$D,0)+COUNTIF($E149:Q149,"u")+COUNTIF($E149:Q149,"t"),
     INDEX(Roadmap!$D:$K,MATCH($E149,Roadmap!$D:$D,0)+COUNTIF($E149:Q149,"u")+COUNTIF($E149:Q149,"t")+COUNTIF($E149:Q149,"¶")+COUNTIF($E149:Q149,"²")+COUNTIF($E149:Q149,"µ")+COUNTIF($E149:Q149,1),ColTypeEcheance)),
  IF(LEN(Q149)=1,
  IF(LEN(INDEX(Roadmap!$D:$K,MATCH($E149,Roadmap!$D:$D,0)-1+COUNTIF($E149:Q149,"u")+COUNTIF($E149:Q149,"t")+COUNTIF($E149:Q149,"¶")+COUNTIF($E149:Q149,"²")+COUNTIF($E149:Q149,"µ")+COUNTIF($E149:Q149,1),ColDescriptionCourte))&gt;1,
HYPERLINK("#Roadmap!C"&amp; MATCH($E149,Roadmap!$D:$D,0)+COUNTIF($E149:Q149,"u")+COUNTIF($E149:Q149,"t")+COUNTIF($E149:Q149,"¶")+COUNTIF($E149:Q149,"²")+COUNTIF($E149:Q149,"µ")+COUNTIF($E149:Q149,1)-1,INDEX(Roadmap!$D:$K,MATCH($E149,Roadmap!$D:$D,0)-1+COUNTIF($E149:Q149,"u")+COUNTIF($E149:Q149,"t")+COUNTIF($E149:Q149,"¶")+COUNTIF($E149:Q149,"²")+COUNTIF($E149:Q149,"µ")+COUNTIF($E149:Q149,1),ColDescriptionCourte)),""),
  "")),"")</f>
        <v/>
      </c>
      <c r="S149" s="40" t="str">
        <f ca="1">IFERROR(IF(AND(
  INDEX(Roadmap!$D:$K,MATCH($E149,Roadmap!$D:$D,0)+COUNTIF($E149:R149,"u")+COUNTIF($E149:R149,"t")+COUNTIF($E149:R149,"¶")+COUNTIF($E149:R149,"²")+COUNTIF($E149:R149,"µ")+COUNTIF($E149:R149,1),ColLivraison)=S$6,
  VLOOKUP($E149,INDIRECT("tri!"&amp; CHAR(64+ C0Col) &amp;":"&amp; CHAR(65+C0Col)),2,FALSE)&gt;COUNTIF($E149:R149,"u")+COUNTIF($E149:R149,"t")+COUNTIF($E149:R149,"¶")+COUNTIF($E149:R149,"²")+COUNTIF($E149:R149,"µ")+COUNTIF($E149:R149,1)),
HYPERLINK("#Roadmap!C"&amp; MATCH($E149,Roadmap!$D:$D,0)+COUNTIF($E149:R149,"u")+COUNTIF($E149:R149,"t"),
     INDEX(Roadmap!$D:$K,MATCH($E149,Roadmap!$D:$D,0)+COUNTIF($E149:R149,"u")+COUNTIF($E149:R149,"t")+COUNTIF($E149:R149,"¶")+COUNTIF($E149:R149,"²")+COUNTIF($E149:R149,"µ")+COUNTIF($E149:R149,1),ColTypeEcheance)),
  IF(LEN(R149)=1,
  IF(LEN(INDEX(Roadmap!$D:$K,MATCH($E149,Roadmap!$D:$D,0)-1+COUNTIF($E149:R149,"u")+COUNTIF($E149:R149,"t")+COUNTIF($E149:R149,"¶")+COUNTIF($E149:R149,"²")+COUNTIF($E149:R149,"µ")+COUNTIF($E149:R149,1),ColDescriptionCourte))&gt;1,
HYPERLINK("#Roadmap!C"&amp; MATCH($E149,Roadmap!$D:$D,0)+COUNTIF($E149:R149,"u")+COUNTIF($E149:R149,"t")+COUNTIF($E149:R149,"¶")+COUNTIF($E149:R149,"²")+COUNTIF($E149:R149,"µ")+COUNTIF($E149:R149,1)-1,INDEX(Roadmap!$D:$K,MATCH($E149,Roadmap!$D:$D,0)-1+COUNTIF($E149:R149,"u")+COUNTIF($E149:R149,"t")+COUNTIF($E149:R149,"¶")+COUNTIF($E149:R149,"²")+COUNTIF($E149:R149,"µ")+COUNTIF($E149:R149,1),ColDescriptionCourte)),""),
  "")),"")</f>
        <v/>
      </c>
      <c r="T149" s="40" t="str">
        <f ca="1">IFERROR(IF(AND(
  INDEX(Roadmap!$D:$K,MATCH($E149,Roadmap!$D:$D,0)+COUNTIF($E149:S149,"u")+COUNTIF($E149:S149,"t")+COUNTIF($E149:S149,"¶")+COUNTIF($E149:S149,"²")+COUNTIF($E149:S149,"µ")+COUNTIF($E149:S149,1),ColLivraison)=T$6,
  VLOOKUP($E149,INDIRECT("tri!"&amp; CHAR(64+ C0Col) &amp;":"&amp; CHAR(65+C0Col)),2,FALSE)&gt;COUNTIF($E149:S149,"u")+COUNTIF($E149:S149,"t")+COUNTIF($E149:S149,"¶")+COUNTIF($E149:S149,"²")+COUNTIF($E149:S149,"µ")+COUNTIF($E149:S149,1)),
HYPERLINK("#Roadmap!C"&amp; MATCH($E149,Roadmap!$D:$D,0)+COUNTIF($E149:S149,"u")+COUNTIF($E149:S149,"t"),
     INDEX(Roadmap!$D:$K,MATCH($E149,Roadmap!$D:$D,0)+COUNTIF($E149:S149,"u")+COUNTIF($E149:S149,"t")+COUNTIF($E149:S149,"¶")+COUNTIF($E149:S149,"²")+COUNTIF($E149:S149,"µ")+COUNTIF($E149:S149,1),ColTypeEcheance)),
  IF(LEN(S149)=1,
  IF(LEN(INDEX(Roadmap!$D:$K,MATCH($E149,Roadmap!$D:$D,0)-1+COUNTIF($E149:S149,"u")+COUNTIF($E149:S149,"t")+COUNTIF($E149:S149,"¶")+COUNTIF($E149:S149,"²")+COUNTIF($E149:S149,"µ")+COUNTIF($E149:S149,1),ColDescriptionCourte))&gt;1,
HYPERLINK("#Roadmap!C"&amp; MATCH($E149,Roadmap!$D:$D,0)+COUNTIF($E149:S149,"u")+COUNTIF($E149:S149,"t")+COUNTIF($E149:S149,"¶")+COUNTIF($E149:S149,"²")+COUNTIF($E149:S149,"µ")+COUNTIF($E149:S149,1)-1,INDEX(Roadmap!$D:$K,MATCH($E149,Roadmap!$D:$D,0)-1+COUNTIF($E149:S149,"u")+COUNTIF($E149:S149,"t")+COUNTIF($E149:S149,"¶")+COUNTIF($E149:S149,"²")+COUNTIF($E149:S149,"µ")+COUNTIF($E149:S149,1),ColDescriptionCourte)),""),
  "")),"")</f>
        <v/>
      </c>
      <c r="U149" s="40" t="str">
        <f ca="1">IFERROR(IF(AND(
  INDEX(Roadmap!$D:$K,MATCH($E149,Roadmap!$D:$D,0)+COUNTIF($E149:T149,"u")+COUNTIF($E149:T149,"t")+COUNTIF($E149:T149,"¶")+COUNTIF($E149:T149,"²")+COUNTIF($E149:T149,"µ")+COUNTIF($E149:T149,1),ColLivraison)=U$6,
  VLOOKUP($E149,INDIRECT("tri!"&amp; CHAR(64+ C0Col) &amp;":"&amp; CHAR(65+C0Col)),2,FALSE)&gt;COUNTIF($E149:T149,"u")+COUNTIF($E149:T149,"t")+COUNTIF($E149:T149,"¶")+COUNTIF($E149:T149,"²")+COUNTIF($E149:T149,"µ")+COUNTIF($E149:T149,1)),
HYPERLINK("#Roadmap!C"&amp; MATCH($E149,Roadmap!$D:$D,0)+COUNTIF($E149:T149,"u")+COUNTIF($E149:T149,"t"),
     INDEX(Roadmap!$D:$K,MATCH($E149,Roadmap!$D:$D,0)+COUNTIF($E149:T149,"u")+COUNTIF($E149:T149,"t")+COUNTIF($E149:T149,"¶")+COUNTIF($E149:T149,"²")+COUNTIF($E149:T149,"µ")+COUNTIF($E149:T149,1),ColTypeEcheance)),
  IF(LEN(T149)=1,
  IF(LEN(INDEX(Roadmap!$D:$K,MATCH($E149,Roadmap!$D:$D,0)-1+COUNTIF($E149:T149,"u")+COUNTIF($E149:T149,"t")+COUNTIF($E149:T149,"¶")+COUNTIF($E149:T149,"²")+COUNTIF($E149:T149,"µ")+COUNTIF($E149:T149,1),ColDescriptionCourte))&gt;1,
HYPERLINK("#Roadmap!C"&amp; MATCH($E149,Roadmap!$D:$D,0)+COUNTIF($E149:T149,"u")+COUNTIF($E149:T149,"t")+COUNTIF($E149:T149,"¶")+COUNTIF($E149:T149,"²")+COUNTIF($E149:T149,"µ")+COUNTIF($E149:T149,1)-1,INDEX(Roadmap!$D:$K,MATCH($E149,Roadmap!$D:$D,0)-1+COUNTIF($E149:T149,"u")+COUNTIF($E149:T149,"t")+COUNTIF($E149:T149,"¶")+COUNTIF($E149:T149,"²")+COUNTIF($E149:T149,"µ")+COUNTIF($E149:T149,1),ColDescriptionCourte)),""),
  "")),"")</f>
        <v/>
      </c>
      <c r="V149" s="40" t="str">
        <f ca="1">IFERROR(IF(AND(
  INDEX(Roadmap!$D:$K,MATCH($E149,Roadmap!$D:$D,0)+COUNTIF($E149:U149,"u")+COUNTIF($E149:U149,"t")+COUNTIF($E149:U149,"¶")+COUNTIF($E149:U149,"²")+COUNTIF($E149:U149,"µ")+COUNTIF($E149:U149,1),ColLivraison)=V$6,
  VLOOKUP($E149,INDIRECT("tri!"&amp; CHAR(64+ C0Col) &amp;":"&amp; CHAR(65+C0Col)),2,FALSE)&gt;COUNTIF($E149:U149,"u")+COUNTIF($E149:U149,"t")+COUNTIF($E149:U149,"¶")+COUNTIF($E149:U149,"²")+COUNTIF($E149:U149,"µ")+COUNTIF($E149:U149,1)),
HYPERLINK("#Roadmap!C"&amp; MATCH($E149,Roadmap!$D:$D,0)+COUNTIF($E149:U149,"u")+COUNTIF($E149:U149,"t"),
     INDEX(Roadmap!$D:$K,MATCH($E149,Roadmap!$D:$D,0)+COUNTIF($E149:U149,"u")+COUNTIF($E149:U149,"t")+COUNTIF($E149:U149,"¶")+COUNTIF($E149:U149,"²")+COUNTIF($E149:U149,"µ")+COUNTIF($E149:U149,1),ColTypeEcheance)),
  IF(LEN(U149)=1,
  IF(LEN(INDEX(Roadmap!$D:$K,MATCH($E149,Roadmap!$D:$D,0)-1+COUNTIF($E149:U149,"u")+COUNTIF($E149:U149,"t")+COUNTIF($E149:U149,"¶")+COUNTIF($E149:U149,"²")+COUNTIF($E149:U149,"µ")+COUNTIF($E149:U149,1),ColDescriptionCourte))&gt;1,
HYPERLINK("#Roadmap!C"&amp; MATCH($E149,Roadmap!$D:$D,0)+COUNTIF($E149:U149,"u")+COUNTIF($E149:U149,"t")+COUNTIF($E149:U149,"¶")+COUNTIF($E149:U149,"²")+COUNTIF($E149:U149,"µ")+COUNTIF($E149:U149,1)-1,INDEX(Roadmap!$D:$K,MATCH($E149,Roadmap!$D:$D,0)-1+COUNTIF($E149:U149,"u")+COUNTIF($E149:U149,"t")+COUNTIF($E149:U149,"¶")+COUNTIF($E149:U149,"²")+COUNTIF($E149:U149,"µ")+COUNTIF($E149:U149,1),ColDescriptionCourte)),""),
  "")),"")</f>
        <v/>
      </c>
      <c r="W149" s="40" t="str">
        <f ca="1">IFERROR(IF(AND(
  INDEX(Roadmap!$D:$K,MATCH($E149,Roadmap!$D:$D,0)+COUNTIF($E149:V149,"u")+COUNTIF($E149:V149,"t")+COUNTIF($E149:V149,"¶")+COUNTIF($E149:V149,"²")+COUNTIF($E149:V149,"µ")+COUNTIF($E149:V149,1),ColLivraison)=W$6,
  VLOOKUP($E149,INDIRECT("tri!"&amp; CHAR(64+ C0Col) &amp;":"&amp; CHAR(65+C0Col)),2,FALSE)&gt;COUNTIF($E149:V149,"u")+COUNTIF($E149:V149,"t")+COUNTIF($E149:V149,"¶")+COUNTIF($E149:V149,"²")+COUNTIF($E149:V149,"µ")+COUNTIF($E149:V149,1)),
HYPERLINK("#Roadmap!C"&amp; MATCH($E149,Roadmap!$D:$D,0)+COUNTIF($E149:V149,"u")+COUNTIF($E149:V149,"t"),
     INDEX(Roadmap!$D:$K,MATCH($E149,Roadmap!$D:$D,0)+COUNTIF($E149:V149,"u")+COUNTIF($E149:V149,"t")+COUNTIF($E149:V149,"¶")+COUNTIF($E149:V149,"²")+COUNTIF($E149:V149,"µ")+COUNTIF($E149:V149,1),ColTypeEcheance)),
  IF(LEN(V149)=1,
  IF(LEN(INDEX(Roadmap!$D:$K,MATCH($E149,Roadmap!$D:$D,0)-1+COUNTIF($E149:V149,"u")+COUNTIF($E149:V149,"t")+COUNTIF($E149:V149,"¶")+COUNTIF($E149:V149,"²")+COUNTIF($E149:V149,"µ")+COUNTIF($E149:V149,1),ColDescriptionCourte))&gt;1,
HYPERLINK("#Roadmap!C"&amp; MATCH($E149,Roadmap!$D:$D,0)+COUNTIF($E149:V149,"u")+COUNTIF($E149:V149,"t")+COUNTIF($E149:V149,"¶")+COUNTIF($E149:V149,"²")+COUNTIF($E149:V149,"µ")+COUNTIF($E149:V149,1)-1,INDEX(Roadmap!$D:$K,MATCH($E149,Roadmap!$D:$D,0)-1+COUNTIF($E149:V149,"u")+COUNTIF($E149:V149,"t")+COUNTIF($E149:V149,"¶")+COUNTIF($E149:V149,"²")+COUNTIF($E149:V149,"µ")+COUNTIF($E149:V149,1),ColDescriptionCourte)),""),
  "")),"")</f>
        <v/>
      </c>
      <c r="X149" s="40" t="str">
        <f ca="1">IFERROR(IF(AND(
  INDEX(Roadmap!$D:$K,MATCH($E149,Roadmap!$D:$D,0)+COUNTIF($E149:W149,"u")+COUNTIF($E149:W149,"t")+COUNTIF($E149:W149,"¶")+COUNTIF($E149:W149,"²")+COUNTIF($E149:W149,"µ")+COUNTIF($E149:W149,1),ColLivraison)=X$6,
  VLOOKUP($E149,INDIRECT("tri!"&amp; CHAR(64+ C0Col) &amp;":"&amp; CHAR(65+C0Col)),2,FALSE)&gt;COUNTIF($E149:W149,"u")+COUNTIF($E149:W149,"t")+COUNTIF($E149:W149,"¶")+COUNTIF($E149:W149,"²")+COUNTIF($E149:W149,"µ")+COUNTIF($E149:W149,1)),
HYPERLINK("#Roadmap!C"&amp; MATCH($E149,Roadmap!$D:$D,0)+COUNTIF($E149:W149,"u")+COUNTIF($E149:W149,"t"),
     INDEX(Roadmap!$D:$K,MATCH($E149,Roadmap!$D:$D,0)+COUNTIF($E149:W149,"u")+COUNTIF($E149:W149,"t")+COUNTIF($E149:W149,"¶")+COUNTIF($E149:W149,"²")+COUNTIF($E149:W149,"µ")+COUNTIF($E149:W149,1),ColTypeEcheance)),
  IF(LEN(W149)=1,
  IF(LEN(INDEX(Roadmap!$D:$K,MATCH($E149,Roadmap!$D:$D,0)-1+COUNTIF($E149:W149,"u")+COUNTIF($E149:W149,"t")+COUNTIF($E149:W149,"¶")+COUNTIF($E149:W149,"²")+COUNTIF($E149:W149,"µ")+COUNTIF($E149:W149,1),ColDescriptionCourte))&gt;1,
HYPERLINK("#Roadmap!C"&amp; MATCH($E149,Roadmap!$D:$D,0)+COUNTIF($E149:W149,"u")+COUNTIF($E149:W149,"t")+COUNTIF($E149:W149,"¶")+COUNTIF($E149:W149,"²")+COUNTIF($E149:W149,"µ")+COUNTIF($E149:W149,1)-1,INDEX(Roadmap!$D:$K,MATCH($E149,Roadmap!$D:$D,0)-1+COUNTIF($E149:W149,"u")+COUNTIF($E149:W149,"t")+COUNTIF($E149:W149,"¶")+COUNTIF($E149:W149,"²")+COUNTIF($E149:W149,"µ")+COUNTIF($E149:W149,1),ColDescriptionCourte)),""),
  "")),"")</f>
        <v/>
      </c>
      <c r="Y149" s="40" t="str">
        <f ca="1">IFERROR(IF(AND(
  INDEX(Roadmap!$D:$K,MATCH($E149,Roadmap!$D:$D,0)+COUNTIF($E149:X149,"u")+COUNTIF($E149:X149,"t")+COUNTIF($E149:X149,"¶")+COUNTIF($E149:X149,"²")+COUNTIF($E149:X149,"µ")+COUNTIF($E149:X149,1),ColLivraison)=Y$6,
  VLOOKUP($E149,INDIRECT("tri!"&amp; CHAR(64+ C0Col) &amp;":"&amp; CHAR(65+C0Col)),2,FALSE)&gt;COUNTIF($E149:X149,"u")+COUNTIF($E149:X149,"t")+COUNTIF($E149:X149,"¶")+COUNTIF($E149:X149,"²")+COUNTIF($E149:X149,"µ")+COUNTIF($E149:X149,1)),
HYPERLINK("#Roadmap!C"&amp; MATCH($E149,Roadmap!$D:$D,0)+COUNTIF($E149:X149,"u")+COUNTIF($E149:X149,"t"),
     INDEX(Roadmap!$D:$K,MATCH($E149,Roadmap!$D:$D,0)+COUNTIF($E149:X149,"u")+COUNTIF($E149:X149,"t")+COUNTIF($E149:X149,"¶")+COUNTIF($E149:X149,"²")+COUNTIF($E149:X149,"µ")+COUNTIF($E149:X149,1),ColTypeEcheance)),
  IF(LEN(X149)=1,
  IF(LEN(INDEX(Roadmap!$D:$K,MATCH($E149,Roadmap!$D:$D,0)-1+COUNTIF($E149:X149,"u")+COUNTIF($E149:X149,"t")+COUNTIF($E149:X149,"¶")+COUNTIF($E149:X149,"²")+COUNTIF($E149:X149,"µ")+COUNTIF($E149:X149,1),ColDescriptionCourte))&gt;1,
HYPERLINK("#Roadmap!C"&amp; MATCH($E149,Roadmap!$D:$D,0)+COUNTIF($E149:X149,"u")+COUNTIF($E149:X149,"t")+COUNTIF($E149:X149,"¶")+COUNTIF($E149:X149,"²")+COUNTIF($E149:X149,"µ")+COUNTIF($E149:X149,1)-1,INDEX(Roadmap!$D:$K,MATCH($E149,Roadmap!$D:$D,0)-1+COUNTIF($E149:X149,"u")+COUNTIF($E149:X149,"t")+COUNTIF($E149:X149,"¶")+COUNTIF($E149:X149,"²")+COUNTIF($E149:X149,"µ")+COUNTIF($E149:X149,1),ColDescriptionCourte)),""),
  "")),"")</f>
        <v/>
      </c>
      <c r="Z149" s="40" t="str">
        <f ca="1">IFERROR(IF(AND(
  INDEX(Roadmap!$D:$K,MATCH($E149,Roadmap!$D:$D,0)+COUNTIF($E149:Y149,"u")+COUNTIF($E149:Y149,"t")+COUNTIF($E149:Y149,"¶")+COUNTIF($E149:Y149,"²")+COUNTIF($E149:Y149,"µ")+COUNTIF($E149:Y149,1),ColLivraison)=Z$6,
  VLOOKUP($E149,INDIRECT("tri!"&amp; CHAR(64+ C0Col) &amp;":"&amp; CHAR(65+C0Col)),2,FALSE)&gt;COUNTIF($E149:Y149,"u")+COUNTIF($E149:Y149,"t")+COUNTIF($E149:Y149,"¶")+COUNTIF($E149:Y149,"²")+COUNTIF($E149:Y149,"µ")+COUNTIF($E149:Y149,1)),
HYPERLINK("#Roadmap!C"&amp; MATCH($E149,Roadmap!$D:$D,0)+COUNTIF($E149:Y149,"u")+COUNTIF($E149:Y149,"t"),
     INDEX(Roadmap!$D:$K,MATCH($E149,Roadmap!$D:$D,0)+COUNTIF($E149:Y149,"u")+COUNTIF($E149:Y149,"t")+COUNTIF($E149:Y149,"¶")+COUNTIF($E149:Y149,"²")+COUNTIF($E149:Y149,"µ")+COUNTIF($E149:Y149,1),ColTypeEcheance)),
  IF(LEN(Y149)=1,
  IF(LEN(INDEX(Roadmap!$D:$K,MATCH($E149,Roadmap!$D:$D,0)-1+COUNTIF($E149:Y149,"u")+COUNTIF($E149:Y149,"t")+COUNTIF($E149:Y149,"¶")+COUNTIF($E149:Y149,"²")+COUNTIF($E149:Y149,"µ")+COUNTIF($E149:Y149,1),ColDescriptionCourte))&gt;1,
HYPERLINK("#Roadmap!C"&amp; MATCH($E149,Roadmap!$D:$D,0)+COUNTIF($E149:Y149,"u")+COUNTIF($E149:Y149,"t")+COUNTIF($E149:Y149,"¶")+COUNTIF($E149:Y149,"²")+COUNTIF($E149:Y149,"µ")+COUNTIF($E149:Y149,1)-1,INDEX(Roadmap!$D:$K,MATCH($E149,Roadmap!$D:$D,0)-1+COUNTIF($E149:Y149,"u")+COUNTIF($E149:Y149,"t")+COUNTIF($E149:Y149,"¶")+COUNTIF($E149:Y149,"²")+COUNTIF($E149:Y149,"µ")+COUNTIF($E149:Y149,1),ColDescriptionCourte)),""),
  "")),"")</f>
        <v/>
      </c>
      <c r="AA149" s="40" t="str">
        <f ca="1">IFERROR(IF(AND(
  INDEX(Roadmap!$D:$K,MATCH($E149,Roadmap!$D:$D,0)+COUNTIF($E149:Z149,"u")+COUNTIF($E149:Z149,"t")+COUNTIF($E149:Z149,"¶")+COUNTIF($E149:Z149,"²")+COUNTIF($E149:Z149,"µ")+COUNTIF($E149:Z149,1),ColLivraison)=AA$6,
  VLOOKUP($E149,INDIRECT("tri!"&amp; CHAR(64+ C0Col) &amp;":"&amp; CHAR(65+C0Col)),2,FALSE)&gt;COUNTIF($E149:Z149,"u")+COUNTIF($E149:Z149,"t")+COUNTIF($E149:Z149,"¶")+COUNTIF($E149:Z149,"²")+COUNTIF($E149:Z149,"µ")+COUNTIF($E149:Z149,1)),
HYPERLINK("#Roadmap!C"&amp; MATCH($E149,Roadmap!$D:$D,0)+COUNTIF($E149:Z149,"u")+COUNTIF($E149:Z149,"t"),
     INDEX(Roadmap!$D:$K,MATCH($E149,Roadmap!$D:$D,0)+COUNTIF($E149:Z149,"u")+COUNTIF($E149:Z149,"t")+COUNTIF($E149:Z149,"¶")+COUNTIF($E149:Z149,"²")+COUNTIF($E149:Z149,"µ")+COUNTIF($E149:Z149,1),ColTypeEcheance)),
  IF(LEN(Z149)=1,
  IF(LEN(INDEX(Roadmap!$D:$K,MATCH($E149,Roadmap!$D:$D,0)-1+COUNTIF($E149:Z149,"u")+COUNTIF($E149:Z149,"t")+COUNTIF($E149:Z149,"¶")+COUNTIF($E149:Z149,"²")+COUNTIF($E149:Z149,"µ")+COUNTIF($E149:Z149,1),ColDescriptionCourte))&gt;1,
HYPERLINK("#Roadmap!C"&amp; MATCH($E149,Roadmap!$D:$D,0)+COUNTIF($E149:Z149,"u")+COUNTIF($E149:Z149,"t")+COUNTIF($E149:Z149,"¶")+COUNTIF($E149:Z149,"²")+COUNTIF($E149:Z149,"µ")+COUNTIF($E149:Z149,1)-1,INDEX(Roadmap!$D:$K,MATCH($E149,Roadmap!$D:$D,0)-1+COUNTIF($E149:Z149,"u")+COUNTIF($E149:Z149,"t")+COUNTIF($E149:Z149,"¶")+COUNTIF($E149:Z149,"²")+COUNTIF($E149:Z149,"µ")+COUNTIF($E149:Z149,1),ColDescriptionCourte)),""),
  "")),"")</f>
        <v/>
      </c>
      <c r="AB149" s="40" t="str">
        <f ca="1">IFERROR(IF(AND(
  INDEX(Roadmap!$D:$K,MATCH($E149,Roadmap!$D:$D,0)+COUNTIF($E149:AA149,"u")+COUNTIF($E149:AA149,"t")+COUNTIF($E149:AA149,"¶")+COUNTIF($E149:AA149,"²")+COUNTIF($E149:AA149,"µ")+COUNTIF($E149:AA149,1),ColLivraison)=AB$6,
  VLOOKUP($E149,INDIRECT("tri!"&amp; CHAR(64+ C0Col) &amp;":"&amp; CHAR(65+C0Col)),2,FALSE)&gt;COUNTIF($E149:AA149,"u")+COUNTIF($E149:AA149,"t")+COUNTIF($E149:AA149,"¶")+COUNTIF($E149:AA149,"²")+COUNTIF($E149:AA149,"µ")+COUNTIF($E149:AA149,1)),
HYPERLINK("#Roadmap!C"&amp; MATCH($E149,Roadmap!$D:$D,0)+COUNTIF($E149:AA149,"u")+COUNTIF($E149:AA149,"t"),
     INDEX(Roadmap!$D:$K,MATCH($E149,Roadmap!$D:$D,0)+COUNTIF($E149:AA149,"u")+COUNTIF($E149:AA149,"t")+COUNTIF($E149:AA149,"¶")+COUNTIF($E149:AA149,"²")+COUNTIF($E149:AA149,"µ")+COUNTIF($E149:AA149,1),ColTypeEcheance)),
  IF(LEN(AA149)=1,
  IF(LEN(INDEX(Roadmap!$D:$K,MATCH($E149,Roadmap!$D:$D,0)-1+COUNTIF($E149:AA149,"u")+COUNTIF($E149:AA149,"t")+COUNTIF($E149:AA149,"¶")+COUNTIF($E149:AA149,"²")+COUNTIF($E149:AA149,"µ")+COUNTIF($E149:AA149,1),ColDescriptionCourte))&gt;1,
HYPERLINK("#Roadmap!C"&amp; MATCH($E149,Roadmap!$D:$D,0)+COUNTIF($E149:AA149,"u")+COUNTIF($E149:AA149,"t")+COUNTIF($E149:AA149,"¶")+COUNTIF($E149:AA149,"²")+COUNTIF($E149:AA149,"µ")+COUNTIF($E149:AA149,1)-1,INDEX(Roadmap!$D:$K,MATCH($E149,Roadmap!$D:$D,0)-1+COUNTIF($E149:AA149,"u")+COUNTIF($E149:AA149,"t")+COUNTIF($E149:AA149,"¶")+COUNTIF($E149:AA149,"²")+COUNTIF($E149:AA149,"µ")+COUNTIF($E149:AA149,1),ColDescriptionCourte)),""),
  "")),"")</f>
        <v/>
      </c>
      <c r="AC149" s="40" t="str">
        <f ca="1">IFERROR(IF(AND(
  INDEX(Roadmap!$D:$K,MATCH($E149,Roadmap!$D:$D,0)+COUNTIF($E149:AB149,"u")+COUNTIF($E149:AB149,"t")+COUNTIF($E149:AB149,"¶")+COUNTIF($E149:AB149,"²")+COUNTIF($E149:AB149,"µ")+COUNTIF($E149:AB149,1),ColLivraison)=AC$6,
  VLOOKUP($E149,INDIRECT("tri!"&amp; CHAR(64+ C0Col) &amp;":"&amp; CHAR(65+C0Col)),2,FALSE)&gt;COUNTIF($E149:AB149,"u")+COUNTIF($E149:AB149,"t")+COUNTIF($E149:AB149,"¶")+COUNTIF($E149:AB149,"²")+COUNTIF($E149:AB149,"µ")+COUNTIF($E149:AB149,1)),
HYPERLINK("#Roadmap!C"&amp; MATCH($E149,Roadmap!$D:$D,0)+COUNTIF($E149:AB149,"u")+COUNTIF($E149:AB149,"t"),
     INDEX(Roadmap!$D:$K,MATCH($E149,Roadmap!$D:$D,0)+COUNTIF($E149:AB149,"u")+COUNTIF($E149:AB149,"t")+COUNTIF($E149:AB149,"¶")+COUNTIF($E149:AB149,"²")+COUNTIF($E149:AB149,"µ")+COUNTIF($E149:AB149,1),ColTypeEcheance)),
  IF(LEN(AB149)=1,
  IF(LEN(INDEX(Roadmap!$D:$K,MATCH($E149,Roadmap!$D:$D,0)-1+COUNTIF($E149:AB149,"u")+COUNTIF($E149:AB149,"t")+COUNTIF($E149:AB149,"¶")+COUNTIF($E149:AB149,"²")+COUNTIF($E149:AB149,"µ")+COUNTIF($E149:AB149,1),ColDescriptionCourte))&gt;1,
HYPERLINK("#Roadmap!C"&amp; MATCH($E149,Roadmap!$D:$D,0)+COUNTIF($E149:AB149,"u")+COUNTIF($E149:AB149,"t")+COUNTIF($E149:AB149,"¶")+COUNTIF($E149:AB149,"²")+COUNTIF($E149:AB149,"µ")+COUNTIF($E149:AB149,1)-1,INDEX(Roadmap!$D:$K,MATCH($E149,Roadmap!$D:$D,0)-1+COUNTIF($E149:AB149,"u")+COUNTIF($E149:AB149,"t")+COUNTIF($E149:AB149,"¶")+COUNTIF($E149:AB149,"²")+COUNTIF($E149:AB149,"µ")+COUNTIF($E149:AB149,1),ColDescriptionCourte)),""),
  "")),"")</f>
        <v/>
      </c>
      <c r="AD149" s="40" t="str">
        <f ca="1">IFERROR(IF(AND(
  INDEX(Roadmap!$D:$K,MATCH($E149,Roadmap!$D:$D,0)+COUNTIF($E149:AC149,"u")+COUNTIF($E149:AC149,"t")+COUNTIF($E149:AC149,"¶")+COUNTIF($E149:AC149,"²")+COUNTIF($E149:AC149,"µ")+COUNTIF($E149:AC149,1),ColLivraison)=AD$6,
  VLOOKUP($E149,INDIRECT("tri!"&amp; CHAR(64+ C0Col) &amp;":"&amp; CHAR(65+C0Col)),2,FALSE)&gt;COUNTIF($E149:AC149,"u")+COUNTIF($E149:AC149,"t")+COUNTIF($E149:AC149,"¶")+COUNTIF($E149:AC149,"²")+COUNTIF($E149:AC149,"µ")+COUNTIF($E149:AC149,1)),
HYPERLINK("#Roadmap!C"&amp; MATCH($E149,Roadmap!$D:$D,0)+COUNTIF($E149:AC149,"u")+COUNTIF($E149:AC149,"t"),
     INDEX(Roadmap!$D:$K,MATCH($E149,Roadmap!$D:$D,0)+COUNTIF($E149:AC149,"u")+COUNTIF($E149:AC149,"t")+COUNTIF($E149:AC149,"¶")+COUNTIF($E149:AC149,"²")+COUNTIF($E149:AC149,"µ")+COUNTIF($E149:AC149,1),ColTypeEcheance)),
  IF(LEN(AC149)=1,
  IF(LEN(INDEX(Roadmap!$D:$K,MATCH($E149,Roadmap!$D:$D,0)-1+COUNTIF($E149:AC149,"u")+COUNTIF($E149:AC149,"t")+COUNTIF($E149:AC149,"¶")+COUNTIF($E149:AC149,"²")+COUNTIF($E149:AC149,"µ")+COUNTIF($E149:AC149,1),ColDescriptionCourte))&gt;1,
HYPERLINK("#Roadmap!C"&amp; MATCH($E149,Roadmap!$D:$D,0)+COUNTIF($E149:AC149,"u")+COUNTIF($E149:AC149,"t")+COUNTIF($E149:AC149,"¶")+COUNTIF($E149:AC149,"²")+COUNTIF($E149:AC149,"µ")+COUNTIF($E149:AC149,1)-1,INDEX(Roadmap!$D:$K,MATCH($E149,Roadmap!$D:$D,0)-1+COUNTIF($E149:AC149,"u")+COUNTIF($E149:AC149,"t")+COUNTIF($E149:AC149,"¶")+COUNTIF($E149:AC149,"²")+COUNTIF($E149:AC149,"µ")+COUNTIF($E149:AC149,1),ColDescriptionCourte)),""),
  "")),"")</f>
        <v/>
      </c>
      <c r="AE149" s="40" t="str">
        <f ca="1">IFERROR(IF(AND(
  INDEX(Roadmap!$D:$K,MATCH($E149,Roadmap!$D:$D,0)+COUNTIF($E149:AD149,"u")+COUNTIF($E149:AD149,"t")+COUNTIF($E149:AD149,"¶")+COUNTIF($E149:AD149,"²")+COUNTIF($E149:AD149,"µ")+COUNTIF($E149:AD149,1),ColLivraison)=AE$6,
  VLOOKUP($E149,INDIRECT("tri!"&amp; CHAR(64+ C0Col) &amp;":"&amp; CHAR(65+C0Col)),2,FALSE)&gt;COUNTIF($E149:AD149,"u")+COUNTIF($E149:AD149,"t")+COUNTIF($E149:AD149,"¶")+COUNTIF($E149:AD149,"²")+COUNTIF($E149:AD149,"µ")+COUNTIF($E149:AD149,1)),
HYPERLINK("#Roadmap!C"&amp; MATCH($E149,Roadmap!$D:$D,0)+COUNTIF($E149:AD149,"u")+COUNTIF($E149:AD149,"t"),
     INDEX(Roadmap!$D:$K,MATCH($E149,Roadmap!$D:$D,0)+COUNTIF($E149:AD149,"u")+COUNTIF($E149:AD149,"t")+COUNTIF($E149:AD149,"¶")+COUNTIF($E149:AD149,"²")+COUNTIF($E149:AD149,"µ")+COUNTIF($E149:AD149,1),ColTypeEcheance)),
  IF(LEN(AD149)=1,
  IF(LEN(INDEX(Roadmap!$D:$K,MATCH($E149,Roadmap!$D:$D,0)-1+COUNTIF($E149:AD149,"u")+COUNTIF($E149:AD149,"t")+COUNTIF($E149:AD149,"¶")+COUNTIF($E149:AD149,"²")+COUNTIF($E149:AD149,"µ")+COUNTIF($E149:AD149,1),ColDescriptionCourte))&gt;1,
HYPERLINK("#Roadmap!C"&amp; MATCH($E149,Roadmap!$D:$D,0)+COUNTIF($E149:AD149,"u")+COUNTIF($E149:AD149,"t")+COUNTIF($E149:AD149,"¶")+COUNTIF($E149:AD149,"²")+COUNTIF($E149:AD149,"µ")+COUNTIF($E149:AD149,1)-1,INDEX(Roadmap!$D:$K,MATCH($E149,Roadmap!$D:$D,0)-1+COUNTIF($E149:AD149,"u")+COUNTIF($E149:AD149,"t")+COUNTIF($E149:AD149,"¶")+COUNTIF($E149:AD149,"²")+COUNTIF($E149:AD149,"µ")+COUNTIF($E149:AD149,1),ColDescriptionCourte)),""),
  "")),"")</f>
        <v/>
      </c>
      <c r="AF149" s="40" t="str">
        <f ca="1">IFERROR(IF(AND(
  INDEX(Roadmap!$D:$K,MATCH($E149,Roadmap!$D:$D,0)+COUNTIF($E149:AE149,"u")+COUNTIF($E149:AE149,"t")+COUNTIF($E149:AE149,"¶")+COUNTIF($E149:AE149,"²")+COUNTIF($E149:AE149,"µ")+COUNTIF($E149:AE149,1),ColLivraison)=AF$6,
  VLOOKUP($E149,INDIRECT("tri!"&amp; CHAR(64+ C0Col) &amp;":"&amp; CHAR(65+C0Col)),2,FALSE)&gt;COUNTIF($E149:AE149,"u")+COUNTIF($E149:AE149,"t")+COUNTIF($E149:AE149,"¶")+COUNTIF($E149:AE149,"²")+COUNTIF($E149:AE149,"µ")+COUNTIF($E149:AE149,1)),
HYPERLINK("#Roadmap!C"&amp; MATCH($E149,Roadmap!$D:$D,0)+COUNTIF($E149:AE149,"u")+COUNTIF($E149:AE149,"t"),
     INDEX(Roadmap!$D:$K,MATCH($E149,Roadmap!$D:$D,0)+COUNTIF($E149:AE149,"u")+COUNTIF($E149:AE149,"t")+COUNTIF($E149:AE149,"¶")+COUNTIF($E149:AE149,"²")+COUNTIF($E149:AE149,"µ")+COUNTIF($E149:AE149,1),ColTypeEcheance)),
  IF(LEN(AE149)=1,
  IF(LEN(INDEX(Roadmap!$D:$K,MATCH($E149,Roadmap!$D:$D,0)-1+COUNTIF($E149:AE149,"u")+COUNTIF($E149:AE149,"t")+COUNTIF($E149:AE149,"¶")+COUNTIF($E149:AE149,"²")+COUNTIF($E149:AE149,"µ")+COUNTIF($E149:AE149,1),ColDescriptionCourte))&gt;1,
HYPERLINK("#Roadmap!C"&amp; MATCH($E149,Roadmap!$D:$D,0)+COUNTIF($E149:AE149,"u")+COUNTIF($E149:AE149,"t")+COUNTIF($E149:AE149,"¶")+COUNTIF($E149:AE149,"²")+COUNTIF($E149:AE149,"µ")+COUNTIF($E149:AE149,1)-1,INDEX(Roadmap!$D:$K,MATCH($E149,Roadmap!$D:$D,0)-1+COUNTIF($E149:AE149,"u")+COUNTIF($E149:AE149,"t")+COUNTIF($E149:AE149,"¶")+COUNTIF($E149:AE149,"²")+COUNTIF($E149:AE149,"µ")+COUNTIF($E149:AE149,1),ColDescriptionCourte)),""),
  "")),"")</f>
        <v/>
      </c>
      <c r="AG149" s="40" t="str">
        <f ca="1">IFERROR(IF(AND(
  INDEX(Roadmap!$D:$K,MATCH($E149,Roadmap!$D:$D,0)+COUNTIF($E149:AF149,"u")+COUNTIF($E149:AF149,"t")+COUNTIF($E149:AF149,"¶")+COUNTIF($E149:AF149,"²")+COUNTIF($E149:AF149,"µ")+COUNTIF($E149:AF149,1),ColLivraison)=AG$6,
  VLOOKUP($E149,INDIRECT("tri!"&amp; CHAR(64+ C0Col) &amp;":"&amp; CHAR(65+C0Col)),2,FALSE)&gt;COUNTIF($E149:AF149,"u")+COUNTIF($E149:AF149,"t")+COUNTIF($E149:AF149,"¶")+COUNTIF($E149:AF149,"²")+COUNTIF($E149:AF149,"µ")+COUNTIF($E149:AF149,1)),
HYPERLINK("#Roadmap!C"&amp; MATCH($E149,Roadmap!$D:$D,0)+COUNTIF($E149:AF149,"u")+COUNTIF($E149:AF149,"t"),
     INDEX(Roadmap!$D:$K,MATCH($E149,Roadmap!$D:$D,0)+COUNTIF($E149:AF149,"u")+COUNTIF($E149:AF149,"t")+COUNTIF($E149:AF149,"¶")+COUNTIF($E149:AF149,"²")+COUNTIF($E149:AF149,"µ")+COUNTIF($E149:AF149,1),ColTypeEcheance)),
  IF(LEN(AF149)=1,
  IF(LEN(INDEX(Roadmap!$D:$K,MATCH($E149,Roadmap!$D:$D,0)-1+COUNTIF($E149:AF149,"u")+COUNTIF($E149:AF149,"t")+COUNTIF($E149:AF149,"¶")+COUNTIF($E149:AF149,"²")+COUNTIF($E149:AF149,"µ")+COUNTIF($E149:AF149,1),ColDescriptionCourte))&gt;1,
HYPERLINK("#Roadmap!C"&amp; MATCH($E149,Roadmap!$D:$D,0)+COUNTIF($E149:AF149,"u")+COUNTIF($E149:AF149,"t")+COUNTIF($E149:AF149,"¶")+COUNTIF($E149:AF149,"²")+COUNTIF($E149:AF149,"µ")+COUNTIF($E149:AF149,1)-1,INDEX(Roadmap!$D:$K,MATCH($E149,Roadmap!$D:$D,0)-1+COUNTIF($E149:AF149,"u")+COUNTIF($E149:AF149,"t")+COUNTIF($E149:AF149,"¶")+COUNTIF($E149:AF149,"²")+COUNTIF($E149:AF149,"µ")+COUNTIF($E149:AF149,1),ColDescriptionCourte)),""),
  "")),"")</f>
        <v/>
      </c>
      <c r="AH149" s="40" t="str">
        <f ca="1">IFERROR(IF(AND(
  INDEX(Roadmap!$D:$K,MATCH($E149,Roadmap!$D:$D,0)+COUNTIF($E149:AG149,"u")+COUNTIF($E149:AG149,"t")+COUNTIF($E149:AG149,1),ColLivraison)=AH$6,
  VLOOKUP($E149,INDIRECT("tri!"&amp; CHAR(64+ C0Col) &amp;":"&amp; CHAR(65+C0Col)),2,FALSE)&gt;COUNTIF($E149:AG149,"u")+COUNTIF($E149:AG149,"t")+COUNTIF($E149:AG149,1)),
HYPERLINK("#Roadmap!C"&amp; MATCH($E149,Roadmap!$D:$D,0)+COUNTIF($E149:AG149,"u")+COUNTIF($E149:AG149,"t"),
     INDEX(Roadmap!$D:$K,MATCH($E149,Roadmap!$D:$D,0)+COUNTIF($E149:AG149,"u")+COUNTIF($E149:AG149,"t")+COUNTIF($E149:AG149,1),ColTypeEcheance)),
  IF(OR(AG149="u",AG149="t",AG149=1),
  IF(LEN(INDEX(Roadmap!$D:$K,MATCH($E149,Roadmap!$D:$D,0)-1+COUNTIF($E149:AG149,"u")+COUNTIF($E149:AG149,"t")+COUNTIF($E149:AG149,1),ColDescriptionCourte))&gt;1,
HYPERLINK("#Roadmap!C"&amp; MATCH($E149,Roadmap!$D:$D,0)+COUNTIF($E149:AG149,"u")+COUNTIF($E149:AG149,"t")+COUNTIF($E149:AG149,1)-1,INDEX(Roadmap!$D:$K,MATCH($E149,Roadmap!$D:$D,0)-1+COUNTIF($E149:AG149,"u")+COUNTIF($E149:AG149,"t")+COUNTIF($E149:AG149,1),ColDescriptionCourte)),""),
  "")),"")</f>
        <v/>
      </c>
      <c r="AI149" s="40"/>
      <c r="AJ149" s="40"/>
      <c r="AK149" s="40"/>
      <c r="AL149" s="40"/>
      <c r="AM149" s="40"/>
    </row>
    <row r="150" spans="4:39" ht="14.1" customHeight="1">
      <c r="D150" s="20" t="str">
        <f t="shared" ca="1" si="31"/>
        <v/>
      </c>
      <c r="E150" s="53" t="str">
        <f t="shared" ca="1" si="32"/>
        <v/>
      </c>
      <c r="F150" s="39" t="str">
        <f ca="1">IFERROR(IF(AND(
  INDEX(Roadmap!$D:$K,MATCH($E150,Roadmap!$D:$D,0)+COUNTIF($E150:E150,"u")+COUNTIF($E150:E150,"t")+COUNTIF($E150:E150,"¶")+COUNTIF($E150:E150,"²")+COUNTIF($E150:E150,"µ")+COUNTIF($E150:E150,1),ColLivraison)=F$6,
  VLOOKUP($E150,INDIRECT("tri!"&amp; CHAR(64+ C0Col) &amp;":"&amp; CHAR(65+C0Col)),2,FALSE)&gt;COUNTIF($E150:E150,"u")+COUNTIF($E150:E150,"t")+COUNTIF($E150:E150,"¶")+COUNTIF($E150:E150,"²")+COUNTIF($E150:E150,"µ")+COUNTIF($E150:E150,1)),
HYPERLINK("#Roadmap!C"&amp; MATCH($E150,Roadmap!$D:$D,0)+COUNTIF($E150:E150,"u")+COUNTIF($E150:E150,"t"),
     INDEX(Roadmap!$D:$K,MATCH($E150,Roadmap!$D:$D,0)+COUNTIF($E150:E150,"u")+COUNTIF($E150:E150,"t")+COUNTIF($E150:E150,"¶")+COUNTIF($E150:E150,"²")+COUNTIF($E150:E150,"µ")+COUNTIF($E150:E150,1),ColTypeEcheance)),
  IF(LEN(E150)=1,
  IF(LEN(INDEX(Roadmap!$D:$K,MATCH($E150,Roadmap!$D:$D,0)-1+COUNTIF($E150:E150,"u")+COUNTIF($E150:E150,"t")+COUNTIF($E150:E150,"¶")+COUNTIF($E150:E150,"²")+COUNTIF($E150:E150,"µ")+COUNTIF($E150:E150,1),ColDescriptionCourte))&gt;1,
HYPERLINK("#Roadmap!C"&amp; MATCH($E150,Roadmap!$D:$D,0)+COUNTIF($E150:E150,"u")+COUNTIF($E150:E150,"t")+COUNTIF($E150:E150,"¶")+COUNTIF($E150:E150,"²")+COUNTIF($E150:E150,"µ")+COUNTIF($E150:E150,1)-1,INDEX(Roadmap!$D:$K,MATCH($E150,Roadmap!$D:$D,0)-1+COUNTIF($E150:E150,"u")+COUNTIF($E150:E150,"t")+COUNTIF($E150:E150,"¶")+COUNTIF($E150:E150,"²")+COUNTIF($E150:E150,"µ")+COUNTIF($E150:E150,1),ColDescriptionCourte)),""),
  "")),"")</f>
        <v/>
      </c>
      <c r="G150" s="40" t="str">
        <f ca="1">IFERROR(IF(AND(
  INDEX(Roadmap!$D:$K,MATCH($E150,Roadmap!$D:$D,0)+COUNTIF($E150:F150,"u")+COUNTIF($E150:F150,"t")+COUNTIF($E150:F150,"¶")+COUNTIF($E150:F150,"²")+COUNTIF($E150:F150,"µ")+COUNTIF($E150:F150,1),ColLivraison)=G$6,
  VLOOKUP($E150,INDIRECT("tri!"&amp; CHAR(64+ C0Col) &amp;":"&amp; CHAR(65+C0Col)),2,FALSE)&gt;COUNTIF($E150:F150,"u")+COUNTIF($E150:F150,"t")+COUNTIF($E150:F150,"¶")+COUNTIF($E150:F150,"²")+COUNTIF($E150:F150,"µ")+COUNTIF($E150:F150,1)),
HYPERLINK("#Roadmap!C"&amp; MATCH($E150,Roadmap!$D:$D,0)+COUNTIF($E150:F150,"u")+COUNTIF($E150:F150,"t"),
     INDEX(Roadmap!$D:$K,MATCH($E150,Roadmap!$D:$D,0)+COUNTIF($E150:F150,"u")+COUNTIF($E150:F150,"t")+COUNTIF($E150:F150,"¶")+COUNTIF($E150:F150,"²")+COUNTIF($E150:F150,"µ")+COUNTIF($E150:F150,1),ColTypeEcheance)),
  IF(LEN(F150)=1,
  IF(LEN(INDEX(Roadmap!$D:$K,MATCH($E150,Roadmap!$D:$D,0)-1+COUNTIF($E150:F150,"u")+COUNTIF($E150:F150,"t")+COUNTIF($E150:F150,"¶")+COUNTIF($E150:F150,"²")+COUNTIF($E150:F150,"µ")+COUNTIF($E150:F150,1),ColDescriptionCourte))&gt;1,
HYPERLINK("#Roadmap!C"&amp; MATCH($E150,Roadmap!$D:$D,0)+COUNTIF($E150:F150,"u")+COUNTIF($E150:F150,"t")+COUNTIF($E150:F150,"¶")+COUNTIF($E150:F150,"²")+COUNTIF($E150:F150,"µ")+COUNTIF($E150:F150,1)-1,INDEX(Roadmap!$D:$K,MATCH($E150,Roadmap!$D:$D,0)-1+COUNTIF($E150:F150,"u")+COUNTIF($E150:F150,"t")+COUNTIF($E150:F150,"¶")+COUNTIF($E150:F150,"²")+COUNTIF($E150:F150,"µ")+COUNTIF($E150:F150,1),ColDescriptionCourte)),""),
  "")),"")</f>
        <v/>
      </c>
      <c r="H150" s="40" t="str">
        <f ca="1">IFERROR(IF(AND(
  INDEX(Roadmap!$D:$K,MATCH($E150,Roadmap!$D:$D,0)+COUNTIF($E150:G150,"u")+COUNTIF($E150:G150,"t")+COUNTIF($E150:G150,"¶")+COUNTIF($E150:G150,"²")+COUNTIF($E150:G150,"µ")+COUNTIF($E150:G150,1),ColLivraison)=H$6,
  VLOOKUP($E150,INDIRECT("tri!"&amp; CHAR(64+ C0Col) &amp;":"&amp; CHAR(65+C0Col)),2,FALSE)&gt;COUNTIF($E150:G150,"u")+COUNTIF($E150:G150,"t")+COUNTIF($E150:G150,"¶")+COUNTIF($E150:G150,"²")+COUNTIF($E150:G150,"µ")+COUNTIF($E150:G150,1)),
HYPERLINK("#Roadmap!C"&amp; MATCH($E150,Roadmap!$D:$D,0)+COUNTIF($E150:G150,"u")+COUNTIF($E150:G150,"t"),
     INDEX(Roadmap!$D:$K,MATCH($E150,Roadmap!$D:$D,0)+COUNTIF($E150:G150,"u")+COUNTIF($E150:G150,"t")+COUNTIF($E150:G150,"¶")+COUNTIF($E150:G150,"²")+COUNTIF($E150:G150,"µ")+COUNTIF($E150:G150,1),ColTypeEcheance)),
  IF(LEN(G150)=1,
  IF(LEN(INDEX(Roadmap!$D:$K,MATCH($E150,Roadmap!$D:$D,0)-1+COUNTIF($E150:G150,"u")+COUNTIF($E150:G150,"t")+COUNTIF($E150:G150,"¶")+COUNTIF($E150:G150,"²")+COUNTIF($E150:G150,"µ")+COUNTIF($E150:G150,1),ColDescriptionCourte))&gt;1,
HYPERLINK("#Roadmap!C"&amp; MATCH($E150,Roadmap!$D:$D,0)+COUNTIF($E150:G150,"u")+COUNTIF($E150:G150,"t")+COUNTIF($E150:G150,"¶")+COUNTIF($E150:G150,"²")+COUNTIF($E150:G150,"µ")+COUNTIF($E150:G150,1)-1,INDEX(Roadmap!$D:$K,MATCH($E150,Roadmap!$D:$D,0)-1+COUNTIF($E150:G150,"u")+COUNTIF($E150:G150,"t")+COUNTIF($E150:G150,"¶")+COUNTIF($E150:G150,"²")+COUNTIF($E150:G150,"µ")+COUNTIF($E150:G150,1),ColDescriptionCourte)),""),
  "")),"")</f>
        <v/>
      </c>
      <c r="I150" s="40" t="str">
        <f ca="1">IFERROR(IF(AND(
  INDEX(Roadmap!$D:$K,MATCH($E150,Roadmap!$D:$D,0)+COUNTIF($E150:H150,"u")+COUNTIF($E150:H150,"t")+COUNTIF($E150:H150,"¶")+COUNTIF($E150:H150,"²")+COUNTIF($E150:H150,"µ")+COUNTIF($E150:H150,1),ColLivraison)=I$6,
  VLOOKUP($E150,INDIRECT("tri!"&amp; CHAR(64+ C0Col) &amp;":"&amp; CHAR(65+C0Col)),2,FALSE)&gt;COUNTIF($E150:H150,"u")+COUNTIF($E150:H150,"t")+COUNTIF($E150:H150,"¶")+COUNTIF($E150:H150,"²")+COUNTIF($E150:H150,"µ")+COUNTIF($E150:H150,1)),
HYPERLINK("#Roadmap!C"&amp; MATCH($E150,Roadmap!$D:$D,0)+COUNTIF($E150:H150,"u")+COUNTIF($E150:H150,"t"),
     INDEX(Roadmap!$D:$K,MATCH($E150,Roadmap!$D:$D,0)+COUNTIF($E150:H150,"u")+COUNTIF($E150:H150,"t")+COUNTIF($E150:H150,"¶")+COUNTIF($E150:H150,"²")+COUNTIF($E150:H150,"µ")+COUNTIF($E150:H150,1),ColTypeEcheance)),
  IF(LEN(H150)=1,
  IF(LEN(INDEX(Roadmap!$D:$K,MATCH($E150,Roadmap!$D:$D,0)-1+COUNTIF($E150:H150,"u")+COUNTIF($E150:H150,"t")+COUNTIF($E150:H150,"¶")+COUNTIF($E150:H150,"²")+COUNTIF($E150:H150,"µ")+COUNTIF($E150:H150,1),ColDescriptionCourte))&gt;1,
HYPERLINK("#Roadmap!C"&amp; MATCH($E150,Roadmap!$D:$D,0)+COUNTIF($E150:H150,"u")+COUNTIF($E150:H150,"t")+COUNTIF($E150:H150,"¶")+COUNTIF($E150:H150,"²")+COUNTIF($E150:H150,"µ")+COUNTIF($E150:H150,1)-1,INDEX(Roadmap!$D:$K,MATCH($E150,Roadmap!$D:$D,0)-1+COUNTIF($E150:H150,"u")+COUNTIF($E150:H150,"t")+COUNTIF($E150:H150,"¶")+COUNTIF($E150:H150,"²")+COUNTIF($E150:H150,"µ")+COUNTIF($E150:H150,1),ColDescriptionCourte)),""),
  "")),"")</f>
        <v/>
      </c>
      <c r="J150" s="40" t="str">
        <f ca="1">IFERROR(IF(AND(
  INDEX(Roadmap!$D:$K,MATCH($E150,Roadmap!$D:$D,0)+COUNTIF($E150:I150,"u")+COUNTIF($E150:I150,"t")+COUNTIF($E150:I150,"¶")+COUNTIF($E150:I150,"²")+COUNTIF($E150:I150,"µ")+COUNTIF($E150:I150,1),ColLivraison)=J$6,
  VLOOKUP($E150,INDIRECT("tri!"&amp; CHAR(64+ C0Col) &amp;":"&amp; CHAR(65+C0Col)),2,FALSE)&gt;COUNTIF($E150:I150,"u")+COUNTIF($E150:I150,"t")+COUNTIF($E150:I150,"¶")+COUNTIF($E150:I150,"²")+COUNTIF($E150:I150,"µ")+COUNTIF($E150:I150,1)),
HYPERLINK("#Roadmap!C"&amp; MATCH($E150,Roadmap!$D:$D,0)+COUNTIF($E150:I150,"u")+COUNTIF($E150:I150,"t"),
     INDEX(Roadmap!$D:$K,MATCH($E150,Roadmap!$D:$D,0)+COUNTIF($E150:I150,"u")+COUNTIF($E150:I150,"t")+COUNTIF($E150:I150,"¶")+COUNTIF($E150:I150,"²")+COUNTIF($E150:I150,"µ")+COUNTIF($E150:I150,1),ColTypeEcheance)),
  IF(LEN(I150)=1,
  IF(LEN(INDEX(Roadmap!$D:$K,MATCH($E150,Roadmap!$D:$D,0)-1+COUNTIF($E150:I150,"u")+COUNTIF($E150:I150,"t")+COUNTIF($E150:I150,"¶")+COUNTIF($E150:I150,"²")+COUNTIF($E150:I150,"µ")+COUNTIF($E150:I150,1),ColDescriptionCourte))&gt;1,
HYPERLINK("#Roadmap!C"&amp; MATCH($E150,Roadmap!$D:$D,0)+COUNTIF($E150:I150,"u")+COUNTIF($E150:I150,"t")+COUNTIF($E150:I150,"¶")+COUNTIF($E150:I150,"²")+COUNTIF($E150:I150,"µ")+COUNTIF($E150:I150,1)-1,INDEX(Roadmap!$D:$K,MATCH($E150,Roadmap!$D:$D,0)-1+COUNTIF($E150:I150,"u")+COUNTIF($E150:I150,"t")+COUNTIF($E150:I150,"¶")+COUNTIF($E150:I150,"²")+COUNTIF($E150:I150,"µ")+COUNTIF($E150:I150,1),ColDescriptionCourte)),""),
  "")),"")</f>
        <v/>
      </c>
      <c r="K150" s="40" t="str">
        <f ca="1">IFERROR(IF(AND(
  INDEX(Roadmap!$D:$K,MATCH($E150,Roadmap!$D:$D,0)+COUNTIF($E150:J150,"u")+COUNTIF($E150:J150,"t")+COUNTIF($E150:J150,"¶")+COUNTIF($E150:J150,"²")+COUNTIF($E150:J150,"µ")+COUNTIF($E150:J150,1),ColLivraison)=K$6,
  VLOOKUP($E150,INDIRECT("tri!"&amp; CHAR(64+ C0Col) &amp;":"&amp; CHAR(65+C0Col)),2,FALSE)&gt;COUNTIF($E150:J150,"u")+COUNTIF($E150:J150,"t")+COUNTIF($E150:J150,"¶")+COUNTIF($E150:J150,"²")+COUNTIF($E150:J150,"µ")+COUNTIF($E150:J150,1)),
HYPERLINK("#Roadmap!C"&amp; MATCH($E150,Roadmap!$D:$D,0)+COUNTIF($E150:J150,"u")+COUNTIF($E150:J150,"t"),
     INDEX(Roadmap!$D:$K,MATCH($E150,Roadmap!$D:$D,0)+COUNTIF($E150:J150,"u")+COUNTIF($E150:J150,"t")+COUNTIF($E150:J150,"¶")+COUNTIF($E150:J150,"²")+COUNTIF($E150:J150,"µ")+COUNTIF($E150:J150,1),ColTypeEcheance)),
  IF(LEN(J150)=1,
  IF(LEN(INDEX(Roadmap!$D:$K,MATCH($E150,Roadmap!$D:$D,0)-1+COUNTIF($E150:J150,"u")+COUNTIF($E150:J150,"t")+COUNTIF($E150:J150,"¶")+COUNTIF($E150:J150,"²")+COUNTIF($E150:J150,"µ")+COUNTIF($E150:J150,1),ColDescriptionCourte))&gt;1,
HYPERLINK("#Roadmap!C"&amp; MATCH($E150,Roadmap!$D:$D,0)+COUNTIF($E150:J150,"u")+COUNTIF($E150:J150,"t")+COUNTIF($E150:J150,"¶")+COUNTIF($E150:J150,"²")+COUNTIF($E150:J150,"µ")+COUNTIF($E150:J150,1)-1,INDEX(Roadmap!$D:$K,MATCH($E150,Roadmap!$D:$D,0)-1+COUNTIF($E150:J150,"u")+COUNTIF($E150:J150,"t")+COUNTIF($E150:J150,"¶")+COUNTIF($E150:J150,"²")+COUNTIF($E150:J150,"µ")+COUNTIF($E150:J150,1),ColDescriptionCourte)),""),
  "")),"")</f>
        <v/>
      </c>
      <c r="L150" s="39" t="str">
        <f ca="1">IFERROR(IF(AND(
  INDEX(Roadmap!$D:$K,MATCH($E150,Roadmap!$D:$D,0)+COUNTIF($E150:K150,"u")+COUNTIF($E150:K150,"t")+COUNTIF($E150:K150,"¶")+COUNTIF($E150:K150,"²")+COUNTIF($E150:K150,"µ")+COUNTIF($E150:K150,1),ColLivraison)=L$6,
  VLOOKUP($E150,INDIRECT("tri!"&amp; CHAR(64+ C0Col) &amp;":"&amp; CHAR(65+C0Col)),2,FALSE)&gt;COUNTIF($E150:K150,"u")+COUNTIF($E150:K150,"t")+COUNTIF($E150:K150,"¶")+COUNTIF($E150:K150,"²")+COUNTIF($E150:K150,"µ")+COUNTIF($E150:K150,1)),
HYPERLINK("#Roadmap!C"&amp; MATCH($E150,Roadmap!$D:$D,0)+COUNTIF($E150:K150,"u")+COUNTIF($E150:K150,"t"),
     INDEX(Roadmap!$D:$K,MATCH($E150,Roadmap!$D:$D,0)+COUNTIF($E150:K150,"u")+COUNTIF($E150:K150,"t")+COUNTIF($E150:K150,"¶")+COUNTIF($E150:K150,"²")+COUNTIF($E150:K150,"µ")+COUNTIF($E150:K150,1),ColTypeEcheance)),
  IF(LEN(K150)=1,
  IF(LEN(INDEX(Roadmap!$D:$K,MATCH($E150,Roadmap!$D:$D,0)-1+COUNTIF($E150:K150,"u")+COUNTIF($E150:K150,"t")+COUNTIF($E150:K150,"¶")+COUNTIF($E150:K150,"²")+COUNTIF($E150:K150,"µ")+COUNTIF($E150:K150,1),ColDescriptionCourte))&gt;1,
HYPERLINK("#Roadmap!C"&amp; MATCH($E150,Roadmap!$D:$D,0)+COUNTIF($E150:K150,"u")+COUNTIF($E150:K150,"t")+COUNTIF($E150:K150,"¶")+COUNTIF($E150:K150,"²")+COUNTIF($E150:K150,"µ")+COUNTIF($E150:K150,1)-1,INDEX(Roadmap!$D:$K,MATCH($E150,Roadmap!$D:$D,0)-1+COUNTIF($E150:K150,"u")+COUNTIF($E150:K150,"t")+COUNTIF($E150:K150,"¶")+COUNTIF($E150:K150,"²")+COUNTIF($E150:K150,"µ")+COUNTIF($E150:K150,1),ColDescriptionCourte)),""),
  "")),"")</f>
        <v/>
      </c>
      <c r="M150" s="40" t="str">
        <f ca="1">IFERROR(IF(AND(
  INDEX(Roadmap!$D:$K,MATCH($E150,Roadmap!$D:$D,0)+COUNTIF($E150:L150,"u")+COUNTIF($E150:L150,"t")+COUNTIF($E150:L150,"¶")+COUNTIF($E150:L150,"²")+COUNTIF($E150:L150,"µ")+COUNTIF($E150:L150,1),ColLivraison)=M$6,
  VLOOKUP($E150,INDIRECT("tri!"&amp; CHAR(64+ C0Col) &amp;":"&amp; CHAR(65+C0Col)),2,FALSE)&gt;COUNTIF($E150:L150,"u")+COUNTIF($E150:L150,"t")+COUNTIF($E150:L150,"¶")+COUNTIF($E150:L150,"²")+COUNTIF($E150:L150,"µ")+COUNTIF($E150:L150,1)),
HYPERLINK("#Roadmap!C"&amp; MATCH($E150,Roadmap!$D:$D,0)+COUNTIF($E150:L150,"u")+COUNTIF($E150:L150,"t"),
     INDEX(Roadmap!$D:$K,MATCH($E150,Roadmap!$D:$D,0)+COUNTIF($E150:L150,"u")+COUNTIF($E150:L150,"t")+COUNTIF($E150:L150,"¶")+COUNTIF($E150:L150,"²")+COUNTIF($E150:L150,"µ")+COUNTIF($E150:L150,1),ColTypeEcheance)),
  IF(LEN(L150)=1,
  IF(LEN(INDEX(Roadmap!$D:$K,MATCH($E150,Roadmap!$D:$D,0)-1+COUNTIF($E150:L150,"u")+COUNTIF($E150:L150,"t")+COUNTIF($E150:L150,"¶")+COUNTIF($E150:L150,"²")+COUNTIF($E150:L150,"µ")+COUNTIF($E150:L150,1),ColDescriptionCourte))&gt;1,
HYPERLINK("#Roadmap!C"&amp; MATCH($E150,Roadmap!$D:$D,0)+COUNTIF($E150:L150,"u")+COUNTIF($E150:L150,"t")+COUNTIF($E150:L150,"¶")+COUNTIF($E150:L150,"²")+COUNTIF($E150:L150,"µ")+COUNTIF($E150:L150,1)-1,INDEX(Roadmap!$D:$K,MATCH($E150,Roadmap!$D:$D,0)-1+COUNTIF($E150:L150,"u")+COUNTIF($E150:L150,"t")+COUNTIF($E150:L150,"¶")+COUNTIF($E150:L150,"²")+COUNTIF($E150:L150,"µ")+COUNTIF($E150:L150,1),ColDescriptionCourte)),""),
  "")),"")</f>
        <v/>
      </c>
      <c r="N150" s="40" t="str">
        <f ca="1">IFERROR(IF(AND(
  INDEX(Roadmap!$D:$K,MATCH($E150,Roadmap!$D:$D,0)+COUNTIF($E150:M150,"u")+COUNTIF($E150:M150,"t")+COUNTIF($E150:M150,"¶")+COUNTIF($E150:M150,"²")+COUNTIF($E150:M150,"µ")+COUNTIF($E150:M150,1),ColLivraison)=N$6,
  VLOOKUP($E150,INDIRECT("tri!"&amp; CHAR(64+ C0Col) &amp;":"&amp; CHAR(65+C0Col)),2,FALSE)&gt;COUNTIF($E150:M150,"u")+COUNTIF($E150:M150,"t")+COUNTIF($E150:M150,"¶")+COUNTIF($E150:M150,"²")+COUNTIF($E150:M150,"µ")+COUNTIF($E150:M150,1)),
HYPERLINK("#Roadmap!C"&amp; MATCH($E150,Roadmap!$D:$D,0)+COUNTIF($E150:M150,"u")+COUNTIF($E150:M150,"t"),
     INDEX(Roadmap!$D:$K,MATCH($E150,Roadmap!$D:$D,0)+COUNTIF($E150:M150,"u")+COUNTIF($E150:M150,"t")+COUNTIF($E150:M150,"¶")+COUNTIF($E150:M150,"²")+COUNTIF($E150:M150,"µ")+COUNTIF($E150:M150,1),ColTypeEcheance)),
  IF(LEN(M150)=1,
  IF(LEN(INDEX(Roadmap!$D:$K,MATCH($E150,Roadmap!$D:$D,0)-1+COUNTIF($E150:M150,"u")+COUNTIF($E150:M150,"t")+COUNTIF($E150:M150,"¶")+COUNTIF($E150:M150,"²")+COUNTIF($E150:M150,"µ")+COUNTIF($E150:M150,1),ColDescriptionCourte))&gt;1,
HYPERLINK("#Roadmap!C"&amp; MATCH($E150,Roadmap!$D:$D,0)+COUNTIF($E150:M150,"u")+COUNTIF($E150:M150,"t")+COUNTIF($E150:M150,"¶")+COUNTIF($E150:M150,"²")+COUNTIF($E150:M150,"µ")+COUNTIF($E150:M150,1)-1,INDEX(Roadmap!$D:$K,MATCH($E150,Roadmap!$D:$D,0)-1+COUNTIF($E150:M150,"u")+COUNTIF($E150:M150,"t")+COUNTIF($E150:M150,"¶")+COUNTIF($E150:M150,"²")+COUNTIF($E150:M150,"µ")+COUNTIF($E150:M150,1),ColDescriptionCourte)),""),
  "")),"")</f>
        <v/>
      </c>
      <c r="O150" s="40" t="str">
        <f ca="1">IFERROR(IF(AND(
  INDEX(Roadmap!$D:$K,MATCH($E150,Roadmap!$D:$D,0)+COUNTIF($E150:N150,"u")+COUNTIF($E150:N150,"t")+COUNTIF($E150:N150,"¶")+COUNTIF($E150:N150,"²")+COUNTIF($E150:N150,"µ")+COUNTIF($E150:N150,1),ColLivraison)=O$6,
  VLOOKUP($E150,INDIRECT("tri!"&amp; CHAR(64+ C0Col) &amp;":"&amp; CHAR(65+C0Col)),2,FALSE)&gt;COUNTIF($E150:N150,"u")+COUNTIF($E150:N150,"t")+COUNTIF($E150:N150,"¶")+COUNTIF($E150:N150,"²")+COUNTIF($E150:N150,"µ")+COUNTIF($E150:N150,1)),
HYPERLINK("#Roadmap!C"&amp; MATCH($E150,Roadmap!$D:$D,0)+COUNTIF($E150:N150,"u")+COUNTIF($E150:N150,"t"),
     INDEX(Roadmap!$D:$K,MATCH($E150,Roadmap!$D:$D,0)+COUNTIF($E150:N150,"u")+COUNTIF($E150:N150,"t")+COUNTIF($E150:N150,"¶")+COUNTIF($E150:N150,"²")+COUNTIF($E150:N150,"µ")+COUNTIF($E150:N150,1),ColTypeEcheance)),
  IF(LEN(N150)=1,
  IF(LEN(INDEX(Roadmap!$D:$K,MATCH($E150,Roadmap!$D:$D,0)-1+COUNTIF($E150:N150,"u")+COUNTIF($E150:N150,"t")+COUNTIF($E150:N150,"¶")+COUNTIF($E150:N150,"²")+COUNTIF($E150:N150,"µ")+COUNTIF($E150:N150,1),ColDescriptionCourte))&gt;1,
HYPERLINK("#Roadmap!C"&amp; MATCH($E150,Roadmap!$D:$D,0)+COUNTIF($E150:N150,"u")+COUNTIF($E150:N150,"t")+COUNTIF($E150:N150,"¶")+COUNTIF($E150:N150,"²")+COUNTIF($E150:N150,"µ")+COUNTIF($E150:N150,1)-1,INDEX(Roadmap!$D:$K,MATCH($E150,Roadmap!$D:$D,0)-1+COUNTIF($E150:N150,"u")+COUNTIF($E150:N150,"t")+COUNTIF($E150:N150,"¶")+COUNTIF($E150:N150,"²")+COUNTIF($E150:N150,"µ")+COUNTIF($E150:N150,1),ColDescriptionCourte)),""),
  "")),"")</f>
        <v/>
      </c>
      <c r="P150" s="40" t="str">
        <f ca="1">IFERROR(IF(AND(
  INDEX(Roadmap!$D:$K,MATCH($E150,Roadmap!$D:$D,0)+COUNTIF($E150:O150,"u")+COUNTIF($E150:O150,"t")+COUNTIF($E150:O150,"¶")+COUNTIF($E150:O150,"²")+COUNTIF($E150:O150,"µ")+COUNTIF($E150:O150,1),ColLivraison)=P$6,
  VLOOKUP($E150,INDIRECT("tri!"&amp; CHAR(64+ C0Col) &amp;":"&amp; CHAR(65+C0Col)),2,FALSE)&gt;COUNTIF($E150:O150,"u")+COUNTIF($E150:O150,"t")+COUNTIF($E150:O150,"¶")+COUNTIF($E150:O150,"²")+COUNTIF($E150:O150,"µ")+COUNTIF($E150:O150,1)),
HYPERLINK("#Roadmap!C"&amp; MATCH($E150,Roadmap!$D:$D,0)+COUNTIF($E150:O150,"u")+COUNTIF($E150:O150,"t"),
     INDEX(Roadmap!$D:$K,MATCH($E150,Roadmap!$D:$D,0)+COUNTIF($E150:O150,"u")+COUNTIF($E150:O150,"t")+COUNTIF($E150:O150,"¶")+COUNTIF($E150:O150,"²")+COUNTIF($E150:O150,"µ")+COUNTIF($E150:O150,1),ColTypeEcheance)),
  IF(LEN(O150)=1,
  IF(LEN(INDEX(Roadmap!$D:$K,MATCH($E150,Roadmap!$D:$D,0)-1+COUNTIF($E150:O150,"u")+COUNTIF($E150:O150,"t")+COUNTIF($E150:O150,"¶")+COUNTIF($E150:O150,"²")+COUNTIF($E150:O150,"µ")+COUNTIF($E150:O150,1),ColDescriptionCourte))&gt;1,
HYPERLINK("#Roadmap!C"&amp; MATCH($E150,Roadmap!$D:$D,0)+COUNTIF($E150:O150,"u")+COUNTIF($E150:O150,"t")+COUNTIF($E150:O150,"¶")+COUNTIF($E150:O150,"²")+COUNTIF($E150:O150,"µ")+COUNTIF($E150:O150,1)-1,INDEX(Roadmap!$D:$K,MATCH($E150,Roadmap!$D:$D,0)-1+COUNTIF($E150:O150,"u")+COUNTIF($E150:O150,"t")+COUNTIF($E150:O150,"¶")+COUNTIF($E150:O150,"²")+COUNTIF($E150:O150,"µ")+COUNTIF($E150:O150,1),ColDescriptionCourte)),""),
  "")),"")</f>
        <v/>
      </c>
      <c r="Q150" s="40" t="str">
        <f ca="1">IFERROR(IF(AND(
  INDEX(Roadmap!$D:$K,MATCH($E150,Roadmap!$D:$D,0)+COUNTIF($E150:P150,"u")+COUNTIF($E150:P150,"t")+COUNTIF($E150:P150,"¶")+COUNTIF($E150:P150,"²")+COUNTIF($E150:P150,"µ")+COUNTIF($E150:P150,1),ColLivraison)=Q$6,
  VLOOKUP($E150,INDIRECT("tri!"&amp; CHAR(64+ C0Col) &amp;":"&amp; CHAR(65+C0Col)),2,FALSE)&gt;COUNTIF($E150:P150,"u")+COUNTIF($E150:P150,"t")+COUNTIF($E150:P150,"¶")+COUNTIF($E150:P150,"²")+COUNTIF($E150:P150,"µ")+COUNTIF($E150:P150,1)),
HYPERLINK("#Roadmap!C"&amp; MATCH($E150,Roadmap!$D:$D,0)+COUNTIF($E150:P150,"u")+COUNTIF($E150:P150,"t"),
     INDEX(Roadmap!$D:$K,MATCH($E150,Roadmap!$D:$D,0)+COUNTIF($E150:P150,"u")+COUNTIF($E150:P150,"t")+COUNTIF($E150:P150,"¶")+COUNTIF($E150:P150,"²")+COUNTIF($E150:P150,"µ")+COUNTIF($E150:P150,1),ColTypeEcheance)),
  IF(LEN(P150)=1,
  IF(LEN(INDEX(Roadmap!$D:$K,MATCH($E150,Roadmap!$D:$D,0)-1+COUNTIF($E150:P150,"u")+COUNTIF($E150:P150,"t")+COUNTIF($E150:P150,"¶")+COUNTIF($E150:P150,"²")+COUNTIF($E150:P150,"µ")+COUNTIF($E150:P150,1),ColDescriptionCourte))&gt;1,
HYPERLINK("#Roadmap!C"&amp; MATCH($E150,Roadmap!$D:$D,0)+COUNTIF($E150:P150,"u")+COUNTIF($E150:P150,"t")+COUNTIF($E150:P150,"¶")+COUNTIF($E150:P150,"²")+COUNTIF($E150:P150,"µ")+COUNTIF($E150:P150,1)-1,INDEX(Roadmap!$D:$K,MATCH($E150,Roadmap!$D:$D,0)-1+COUNTIF($E150:P150,"u")+COUNTIF($E150:P150,"t")+COUNTIF($E150:P150,"¶")+COUNTIF($E150:P150,"²")+COUNTIF($E150:P150,"µ")+COUNTIF($E150:P150,1),ColDescriptionCourte)),""),
  "")),"")</f>
        <v/>
      </c>
      <c r="R150" s="40" t="str">
        <f ca="1">IFERROR(IF(AND(
  INDEX(Roadmap!$D:$K,MATCH($E150,Roadmap!$D:$D,0)+COUNTIF($E150:Q150,"u")+COUNTIF($E150:Q150,"t")+COUNTIF($E150:Q150,"¶")+COUNTIF($E150:Q150,"²")+COUNTIF($E150:Q150,"µ")+COUNTIF($E150:Q150,1),ColLivraison)=R$6,
  VLOOKUP($E150,INDIRECT("tri!"&amp; CHAR(64+ C0Col) &amp;":"&amp; CHAR(65+C0Col)),2,FALSE)&gt;COUNTIF($E150:Q150,"u")+COUNTIF($E150:Q150,"t")+COUNTIF($E150:Q150,"¶")+COUNTIF($E150:Q150,"²")+COUNTIF($E150:Q150,"µ")+COUNTIF($E150:Q150,1)),
HYPERLINK("#Roadmap!C"&amp; MATCH($E150,Roadmap!$D:$D,0)+COUNTIF($E150:Q150,"u")+COUNTIF($E150:Q150,"t"),
     INDEX(Roadmap!$D:$K,MATCH($E150,Roadmap!$D:$D,0)+COUNTIF($E150:Q150,"u")+COUNTIF($E150:Q150,"t")+COUNTIF($E150:Q150,"¶")+COUNTIF($E150:Q150,"²")+COUNTIF($E150:Q150,"µ")+COUNTIF($E150:Q150,1),ColTypeEcheance)),
  IF(LEN(Q150)=1,
  IF(LEN(INDEX(Roadmap!$D:$K,MATCH($E150,Roadmap!$D:$D,0)-1+COUNTIF($E150:Q150,"u")+COUNTIF($E150:Q150,"t")+COUNTIF($E150:Q150,"¶")+COUNTIF($E150:Q150,"²")+COUNTIF($E150:Q150,"µ")+COUNTIF($E150:Q150,1),ColDescriptionCourte))&gt;1,
HYPERLINK("#Roadmap!C"&amp; MATCH($E150,Roadmap!$D:$D,0)+COUNTIF($E150:Q150,"u")+COUNTIF($E150:Q150,"t")+COUNTIF($E150:Q150,"¶")+COUNTIF($E150:Q150,"²")+COUNTIF($E150:Q150,"µ")+COUNTIF($E150:Q150,1)-1,INDEX(Roadmap!$D:$K,MATCH($E150,Roadmap!$D:$D,0)-1+COUNTIF($E150:Q150,"u")+COUNTIF($E150:Q150,"t")+COUNTIF($E150:Q150,"¶")+COUNTIF($E150:Q150,"²")+COUNTIF($E150:Q150,"µ")+COUNTIF($E150:Q150,1),ColDescriptionCourte)),""),
  "")),"")</f>
        <v/>
      </c>
      <c r="S150" s="40" t="str">
        <f ca="1">IFERROR(IF(AND(
  INDEX(Roadmap!$D:$K,MATCH($E150,Roadmap!$D:$D,0)+COUNTIF($E150:R150,"u")+COUNTIF($E150:R150,"t")+COUNTIF($E150:R150,"¶")+COUNTIF($E150:R150,"²")+COUNTIF($E150:R150,"µ")+COUNTIF($E150:R150,1),ColLivraison)=S$6,
  VLOOKUP($E150,INDIRECT("tri!"&amp; CHAR(64+ C0Col) &amp;":"&amp; CHAR(65+C0Col)),2,FALSE)&gt;COUNTIF($E150:R150,"u")+COUNTIF($E150:R150,"t")+COUNTIF($E150:R150,"¶")+COUNTIF($E150:R150,"²")+COUNTIF($E150:R150,"µ")+COUNTIF($E150:R150,1)),
HYPERLINK("#Roadmap!C"&amp; MATCH($E150,Roadmap!$D:$D,0)+COUNTIF($E150:R150,"u")+COUNTIF($E150:R150,"t"),
     INDEX(Roadmap!$D:$K,MATCH($E150,Roadmap!$D:$D,0)+COUNTIF($E150:R150,"u")+COUNTIF($E150:R150,"t")+COUNTIF($E150:R150,"¶")+COUNTIF($E150:R150,"²")+COUNTIF($E150:R150,"µ")+COUNTIF($E150:R150,1),ColTypeEcheance)),
  IF(LEN(R150)=1,
  IF(LEN(INDEX(Roadmap!$D:$K,MATCH($E150,Roadmap!$D:$D,0)-1+COUNTIF($E150:R150,"u")+COUNTIF($E150:R150,"t")+COUNTIF($E150:R150,"¶")+COUNTIF($E150:R150,"²")+COUNTIF($E150:R150,"µ")+COUNTIF($E150:R150,1),ColDescriptionCourte))&gt;1,
HYPERLINK("#Roadmap!C"&amp; MATCH($E150,Roadmap!$D:$D,0)+COUNTIF($E150:R150,"u")+COUNTIF($E150:R150,"t")+COUNTIF($E150:R150,"¶")+COUNTIF($E150:R150,"²")+COUNTIF($E150:R150,"µ")+COUNTIF($E150:R150,1)-1,INDEX(Roadmap!$D:$K,MATCH($E150,Roadmap!$D:$D,0)-1+COUNTIF($E150:R150,"u")+COUNTIF($E150:R150,"t")+COUNTIF($E150:R150,"¶")+COUNTIF($E150:R150,"²")+COUNTIF($E150:R150,"µ")+COUNTIF($E150:R150,1),ColDescriptionCourte)),""),
  "")),"")</f>
        <v/>
      </c>
      <c r="T150" s="40" t="str">
        <f ca="1">IFERROR(IF(AND(
  INDEX(Roadmap!$D:$K,MATCH($E150,Roadmap!$D:$D,0)+COUNTIF($E150:S150,"u")+COUNTIF($E150:S150,"t")+COUNTIF($E150:S150,"¶")+COUNTIF($E150:S150,"²")+COUNTIF($E150:S150,"µ")+COUNTIF($E150:S150,1),ColLivraison)=T$6,
  VLOOKUP($E150,INDIRECT("tri!"&amp; CHAR(64+ C0Col) &amp;":"&amp; CHAR(65+C0Col)),2,FALSE)&gt;COUNTIF($E150:S150,"u")+COUNTIF($E150:S150,"t")+COUNTIF($E150:S150,"¶")+COUNTIF($E150:S150,"²")+COUNTIF($E150:S150,"µ")+COUNTIF($E150:S150,1)),
HYPERLINK("#Roadmap!C"&amp; MATCH($E150,Roadmap!$D:$D,0)+COUNTIF($E150:S150,"u")+COUNTIF($E150:S150,"t"),
     INDEX(Roadmap!$D:$K,MATCH($E150,Roadmap!$D:$D,0)+COUNTIF($E150:S150,"u")+COUNTIF($E150:S150,"t")+COUNTIF($E150:S150,"¶")+COUNTIF($E150:S150,"²")+COUNTIF($E150:S150,"µ")+COUNTIF($E150:S150,1),ColTypeEcheance)),
  IF(LEN(S150)=1,
  IF(LEN(INDEX(Roadmap!$D:$K,MATCH($E150,Roadmap!$D:$D,0)-1+COUNTIF($E150:S150,"u")+COUNTIF($E150:S150,"t")+COUNTIF($E150:S150,"¶")+COUNTIF($E150:S150,"²")+COUNTIF($E150:S150,"µ")+COUNTIF($E150:S150,1),ColDescriptionCourte))&gt;1,
HYPERLINK("#Roadmap!C"&amp; MATCH($E150,Roadmap!$D:$D,0)+COUNTIF($E150:S150,"u")+COUNTIF($E150:S150,"t")+COUNTIF($E150:S150,"¶")+COUNTIF($E150:S150,"²")+COUNTIF($E150:S150,"µ")+COUNTIF($E150:S150,1)-1,INDEX(Roadmap!$D:$K,MATCH($E150,Roadmap!$D:$D,0)-1+COUNTIF($E150:S150,"u")+COUNTIF($E150:S150,"t")+COUNTIF($E150:S150,"¶")+COUNTIF($E150:S150,"²")+COUNTIF($E150:S150,"µ")+COUNTIF($E150:S150,1),ColDescriptionCourte)),""),
  "")),"")</f>
        <v/>
      </c>
      <c r="U150" s="40" t="str">
        <f ca="1">IFERROR(IF(AND(
  INDEX(Roadmap!$D:$K,MATCH($E150,Roadmap!$D:$D,0)+COUNTIF($E150:T150,"u")+COUNTIF($E150:T150,"t")+COUNTIF($E150:T150,"¶")+COUNTIF($E150:T150,"²")+COUNTIF($E150:T150,"µ")+COUNTIF($E150:T150,1),ColLivraison)=U$6,
  VLOOKUP($E150,INDIRECT("tri!"&amp; CHAR(64+ C0Col) &amp;":"&amp; CHAR(65+C0Col)),2,FALSE)&gt;COUNTIF($E150:T150,"u")+COUNTIF($E150:T150,"t")+COUNTIF($E150:T150,"¶")+COUNTIF($E150:T150,"²")+COUNTIF($E150:T150,"µ")+COUNTIF($E150:T150,1)),
HYPERLINK("#Roadmap!C"&amp; MATCH($E150,Roadmap!$D:$D,0)+COUNTIF($E150:T150,"u")+COUNTIF($E150:T150,"t"),
     INDEX(Roadmap!$D:$K,MATCH($E150,Roadmap!$D:$D,0)+COUNTIF($E150:T150,"u")+COUNTIF($E150:T150,"t")+COUNTIF($E150:T150,"¶")+COUNTIF($E150:T150,"²")+COUNTIF($E150:T150,"µ")+COUNTIF($E150:T150,1),ColTypeEcheance)),
  IF(LEN(T150)=1,
  IF(LEN(INDEX(Roadmap!$D:$K,MATCH($E150,Roadmap!$D:$D,0)-1+COUNTIF($E150:T150,"u")+COUNTIF($E150:T150,"t")+COUNTIF($E150:T150,"¶")+COUNTIF($E150:T150,"²")+COUNTIF($E150:T150,"µ")+COUNTIF($E150:T150,1),ColDescriptionCourte))&gt;1,
HYPERLINK("#Roadmap!C"&amp; MATCH($E150,Roadmap!$D:$D,0)+COUNTIF($E150:T150,"u")+COUNTIF($E150:T150,"t")+COUNTIF($E150:T150,"¶")+COUNTIF($E150:T150,"²")+COUNTIF($E150:T150,"µ")+COUNTIF($E150:T150,1)-1,INDEX(Roadmap!$D:$K,MATCH($E150,Roadmap!$D:$D,0)-1+COUNTIF($E150:T150,"u")+COUNTIF($E150:T150,"t")+COUNTIF($E150:T150,"¶")+COUNTIF($E150:T150,"²")+COUNTIF($E150:T150,"µ")+COUNTIF($E150:T150,1),ColDescriptionCourte)),""),
  "")),"")</f>
        <v/>
      </c>
      <c r="V150" s="40" t="str">
        <f ca="1">IFERROR(IF(AND(
  INDEX(Roadmap!$D:$K,MATCH($E150,Roadmap!$D:$D,0)+COUNTIF($E150:U150,"u")+COUNTIF($E150:U150,"t")+COUNTIF($E150:U150,"¶")+COUNTIF($E150:U150,"²")+COUNTIF($E150:U150,"µ")+COUNTIF($E150:U150,1),ColLivraison)=V$6,
  VLOOKUP($E150,INDIRECT("tri!"&amp; CHAR(64+ C0Col) &amp;":"&amp; CHAR(65+C0Col)),2,FALSE)&gt;COUNTIF($E150:U150,"u")+COUNTIF($E150:U150,"t")+COUNTIF($E150:U150,"¶")+COUNTIF($E150:U150,"²")+COUNTIF($E150:U150,"µ")+COUNTIF($E150:U150,1)),
HYPERLINK("#Roadmap!C"&amp; MATCH($E150,Roadmap!$D:$D,0)+COUNTIF($E150:U150,"u")+COUNTIF($E150:U150,"t"),
     INDEX(Roadmap!$D:$K,MATCH($E150,Roadmap!$D:$D,0)+COUNTIF($E150:U150,"u")+COUNTIF($E150:U150,"t")+COUNTIF($E150:U150,"¶")+COUNTIF($E150:U150,"²")+COUNTIF($E150:U150,"µ")+COUNTIF($E150:U150,1),ColTypeEcheance)),
  IF(LEN(U150)=1,
  IF(LEN(INDEX(Roadmap!$D:$K,MATCH($E150,Roadmap!$D:$D,0)-1+COUNTIF($E150:U150,"u")+COUNTIF($E150:U150,"t")+COUNTIF($E150:U150,"¶")+COUNTIF($E150:U150,"²")+COUNTIF($E150:U150,"µ")+COUNTIF($E150:U150,1),ColDescriptionCourte))&gt;1,
HYPERLINK("#Roadmap!C"&amp; MATCH($E150,Roadmap!$D:$D,0)+COUNTIF($E150:U150,"u")+COUNTIF($E150:U150,"t")+COUNTIF($E150:U150,"¶")+COUNTIF($E150:U150,"²")+COUNTIF($E150:U150,"µ")+COUNTIF($E150:U150,1)-1,INDEX(Roadmap!$D:$K,MATCH($E150,Roadmap!$D:$D,0)-1+COUNTIF($E150:U150,"u")+COUNTIF($E150:U150,"t")+COUNTIF($E150:U150,"¶")+COUNTIF($E150:U150,"²")+COUNTIF($E150:U150,"µ")+COUNTIF($E150:U150,1),ColDescriptionCourte)),""),
  "")),"")</f>
        <v/>
      </c>
      <c r="W150" s="40" t="str">
        <f ca="1">IFERROR(IF(AND(
  INDEX(Roadmap!$D:$K,MATCH($E150,Roadmap!$D:$D,0)+COUNTIF($E150:V150,"u")+COUNTIF($E150:V150,"t")+COUNTIF($E150:V150,"¶")+COUNTIF($E150:V150,"²")+COUNTIF($E150:V150,"µ")+COUNTIF($E150:V150,1),ColLivraison)=W$6,
  VLOOKUP($E150,INDIRECT("tri!"&amp; CHAR(64+ C0Col) &amp;":"&amp; CHAR(65+C0Col)),2,FALSE)&gt;COUNTIF($E150:V150,"u")+COUNTIF($E150:V150,"t")+COUNTIF($E150:V150,"¶")+COUNTIF($E150:V150,"²")+COUNTIF($E150:V150,"µ")+COUNTIF($E150:V150,1)),
HYPERLINK("#Roadmap!C"&amp; MATCH($E150,Roadmap!$D:$D,0)+COUNTIF($E150:V150,"u")+COUNTIF($E150:V150,"t"),
     INDEX(Roadmap!$D:$K,MATCH($E150,Roadmap!$D:$D,0)+COUNTIF($E150:V150,"u")+COUNTIF($E150:V150,"t")+COUNTIF($E150:V150,"¶")+COUNTIF($E150:V150,"²")+COUNTIF($E150:V150,"µ")+COUNTIF($E150:V150,1),ColTypeEcheance)),
  IF(LEN(V150)=1,
  IF(LEN(INDEX(Roadmap!$D:$K,MATCH($E150,Roadmap!$D:$D,0)-1+COUNTIF($E150:V150,"u")+COUNTIF($E150:V150,"t")+COUNTIF($E150:V150,"¶")+COUNTIF($E150:V150,"²")+COUNTIF($E150:V150,"µ")+COUNTIF($E150:V150,1),ColDescriptionCourte))&gt;1,
HYPERLINK("#Roadmap!C"&amp; MATCH($E150,Roadmap!$D:$D,0)+COUNTIF($E150:V150,"u")+COUNTIF($E150:V150,"t")+COUNTIF($E150:V150,"¶")+COUNTIF($E150:V150,"²")+COUNTIF($E150:V150,"µ")+COUNTIF($E150:V150,1)-1,INDEX(Roadmap!$D:$K,MATCH($E150,Roadmap!$D:$D,0)-1+COUNTIF($E150:V150,"u")+COUNTIF($E150:V150,"t")+COUNTIF($E150:V150,"¶")+COUNTIF($E150:V150,"²")+COUNTIF($E150:V150,"µ")+COUNTIF($E150:V150,1),ColDescriptionCourte)),""),
  "")),"")</f>
        <v/>
      </c>
      <c r="X150" s="40" t="str">
        <f ca="1">IFERROR(IF(AND(
  INDEX(Roadmap!$D:$K,MATCH($E150,Roadmap!$D:$D,0)+COUNTIF($E150:W150,"u")+COUNTIF($E150:W150,"t")+COUNTIF($E150:W150,"¶")+COUNTIF($E150:W150,"²")+COUNTIF($E150:W150,"µ")+COUNTIF($E150:W150,1),ColLivraison)=X$6,
  VLOOKUP($E150,INDIRECT("tri!"&amp; CHAR(64+ C0Col) &amp;":"&amp; CHAR(65+C0Col)),2,FALSE)&gt;COUNTIF($E150:W150,"u")+COUNTIF($E150:W150,"t")+COUNTIF($E150:W150,"¶")+COUNTIF($E150:W150,"²")+COUNTIF($E150:W150,"µ")+COUNTIF($E150:W150,1)),
HYPERLINK("#Roadmap!C"&amp; MATCH($E150,Roadmap!$D:$D,0)+COUNTIF($E150:W150,"u")+COUNTIF($E150:W150,"t"),
     INDEX(Roadmap!$D:$K,MATCH($E150,Roadmap!$D:$D,0)+COUNTIF($E150:W150,"u")+COUNTIF($E150:W150,"t")+COUNTIF($E150:W150,"¶")+COUNTIF($E150:W150,"²")+COUNTIF($E150:W150,"µ")+COUNTIF($E150:W150,1),ColTypeEcheance)),
  IF(LEN(W150)=1,
  IF(LEN(INDEX(Roadmap!$D:$K,MATCH($E150,Roadmap!$D:$D,0)-1+COUNTIF($E150:W150,"u")+COUNTIF($E150:W150,"t")+COUNTIF($E150:W150,"¶")+COUNTIF($E150:W150,"²")+COUNTIF($E150:W150,"µ")+COUNTIF($E150:W150,1),ColDescriptionCourte))&gt;1,
HYPERLINK("#Roadmap!C"&amp; MATCH($E150,Roadmap!$D:$D,0)+COUNTIF($E150:W150,"u")+COUNTIF($E150:W150,"t")+COUNTIF($E150:W150,"¶")+COUNTIF($E150:W150,"²")+COUNTIF($E150:W150,"µ")+COUNTIF($E150:W150,1)-1,INDEX(Roadmap!$D:$K,MATCH($E150,Roadmap!$D:$D,0)-1+COUNTIF($E150:W150,"u")+COUNTIF($E150:W150,"t")+COUNTIF($E150:W150,"¶")+COUNTIF($E150:W150,"²")+COUNTIF($E150:W150,"µ")+COUNTIF($E150:W150,1),ColDescriptionCourte)),""),
  "")),"")</f>
        <v/>
      </c>
      <c r="Y150" s="40" t="str">
        <f ca="1">IFERROR(IF(AND(
  INDEX(Roadmap!$D:$K,MATCH($E150,Roadmap!$D:$D,0)+COUNTIF($E150:X150,"u")+COUNTIF($E150:X150,"t")+COUNTIF($E150:X150,"¶")+COUNTIF($E150:X150,"²")+COUNTIF($E150:X150,"µ")+COUNTIF($E150:X150,1),ColLivraison)=Y$6,
  VLOOKUP($E150,INDIRECT("tri!"&amp; CHAR(64+ C0Col) &amp;":"&amp; CHAR(65+C0Col)),2,FALSE)&gt;COUNTIF($E150:X150,"u")+COUNTIF($E150:X150,"t")+COUNTIF($E150:X150,"¶")+COUNTIF($E150:X150,"²")+COUNTIF($E150:X150,"µ")+COUNTIF($E150:X150,1)),
HYPERLINK("#Roadmap!C"&amp; MATCH($E150,Roadmap!$D:$D,0)+COUNTIF($E150:X150,"u")+COUNTIF($E150:X150,"t"),
     INDEX(Roadmap!$D:$K,MATCH($E150,Roadmap!$D:$D,0)+COUNTIF($E150:X150,"u")+COUNTIF($E150:X150,"t")+COUNTIF($E150:X150,"¶")+COUNTIF($E150:X150,"²")+COUNTIF($E150:X150,"µ")+COUNTIF($E150:X150,1),ColTypeEcheance)),
  IF(LEN(X150)=1,
  IF(LEN(INDEX(Roadmap!$D:$K,MATCH($E150,Roadmap!$D:$D,0)-1+COUNTIF($E150:X150,"u")+COUNTIF($E150:X150,"t")+COUNTIF($E150:X150,"¶")+COUNTIF($E150:X150,"²")+COUNTIF($E150:X150,"µ")+COUNTIF($E150:X150,1),ColDescriptionCourte))&gt;1,
HYPERLINK("#Roadmap!C"&amp; MATCH($E150,Roadmap!$D:$D,0)+COUNTIF($E150:X150,"u")+COUNTIF($E150:X150,"t")+COUNTIF($E150:X150,"¶")+COUNTIF($E150:X150,"²")+COUNTIF($E150:X150,"µ")+COUNTIF($E150:X150,1)-1,INDEX(Roadmap!$D:$K,MATCH($E150,Roadmap!$D:$D,0)-1+COUNTIF($E150:X150,"u")+COUNTIF($E150:X150,"t")+COUNTIF($E150:X150,"¶")+COUNTIF($E150:X150,"²")+COUNTIF($E150:X150,"µ")+COUNTIF($E150:X150,1),ColDescriptionCourte)),""),
  "")),"")</f>
        <v/>
      </c>
      <c r="Z150" s="40" t="str">
        <f ca="1">IFERROR(IF(AND(
  INDEX(Roadmap!$D:$K,MATCH($E150,Roadmap!$D:$D,0)+COUNTIF($E150:Y150,"u")+COUNTIF($E150:Y150,"t")+COUNTIF($E150:Y150,"¶")+COUNTIF($E150:Y150,"²")+COUNTIF($E150:Y150,"µ")+COUNTIF($E150:Y150,1),ColLivraison)=Z$6,
  VLOOKUP($E150,INDIRECT("tri!"&amp; CHAR(64+ C0Col) &amp;":"&amp; CHAR(65+C0Col)),2,FALSE)&gt;COUNTIF($E150:Y150,"u")+COUNTIF($E150:Y150,"t")+COUNTIF($E150:Y150,"¶")+COUNTIF($E150:Y150,"²")+COUNTIF($E150:Y150,"µ")+COUNTIF($E150:Y150,1)),
HYPERLINK("#Roadmap!C"&amp; MATCH($E150,Roadmap!$D:$D,0)+COUNTIF($E150:Y150,"u")+COUNTIF($E150:Y150,"t"),
     INDEX(Roadmap!$D:$K,MATCH($E150,Roadmap!$D:$D,0)+COUNTIF($E150:Y150,"u")+COUNTIF($E150:Y150,"t")+COUNTIF($E150:Y150,"¶")+COUNTIF($E150:Y150,"²")+COUNTIF($E150:Y150,"µ")+COUNTIF($E150:Y150,1),ColTypeEcheance)),
  IF(LEN(Y150)=1,
  IF(LEN(INDEX(Roadmap!$D:$K,MATCH($E150,Roadmap!$D:$D,0)-1+COUNTIF($E150:Y150,"u")+COUNTIF($E150:Y150,"t")+COUNTIF($E150:Y150,"¶")+COUNTIF($E150:Y150,"²")+COUNTIF($E150:Y150,"µ")+COUNTIF($E150:Y150,1),ColDescriptionCourte))&gt;1,
HYPERLINK("#Roadmap!C"&amp; MATCH($E150,Roadmap!$D:$D,0)+COUNTIF($E150:Y150,"u")+COUNTIF($E150:Y150,"t")+COUNTIF($E150:Y150,"¶")+COUNTIF($E150:Y150,"²")+COUNTIF($E150:Y150,"µ")+COUNTIF($E150:Y150,1)-1,INDEX(Roadmap!$D:$K,MATCH($E150,Roadmap!$D:$D,0)-1+COUNTIF($E150:Y150,"u")+COUNTIF($E150:Y150,"t")+COUNTIF($E150:Y150,"¶")+COUNTIF($E150:Y150,"²")+COUNTIF($E150:Y150,"µ")+COUNTIF($E150:Y150,1),ColDescriptionCourte)),""),
  "")),"")</f>
        <v/>
      </c>
      <c r="AA150" s="40" t="str">
        <f ca="1">IFERROR(IF(AND(
  INDEX(Roadmap!$D:$K,MATCH($E150,Roadmap!$D:$D,0)+COUNTIF($E150:Z150,"u")+COUNTIF($E150:Z150,"t")+COUNTIF($E150:Z150,"¶")+COUNTIF($E150:Z150,"²")+COUNTIF($E150:Z150,"µ")+COUNTIF($E150:Z150,1),ColLivraison)=AA$6,
  VLOOKUP($E150,INDIRECT("tri!"&amp; CHAR(64+ C0Col) &amp;":"&amp; CHAR(65+C0Col)),2,FALSE)&gt;COUNTIF($E150:Z150,"u")+COUNTIF($E150:Z150,"t")+COUNTIF($E150:Z150,"¶")+COUNTIF($E150:Z150,"²")+COUNTIF($E150:Z150,"µ")+COUNTIF($E150:Z150,1)),
HYPERLINK("#Roadmap!C"&amp; MATCH($E150,Roadmap!$D:$D,0)+COUNTIF($E150:Z150,"u")+COUNTIF($E150:Z150,"t"),
     INDEX(Roadmap!$D:$K,MATCH($E150,Roadmap!$D:$D,0)+COUNTIF($E150:Z150,"u")+COUNTIF($E150:Z150,"t")+COUNTIF($E150:Z150,"¶")+COUNTIF($E150:Z150,"²")+COUNTIF($E150:Z150,"µ")+COUNTIF($E150:Z150,1),ColTypeEcheance)),
  IF(LEN(Z150)=1,
  IF(LEN(INDEX(Roadmap!$D:$K,MATCH($E150,Roadmap!$D:$D,0)-1+COUNTIF($E150:Z150,"u")+COUNTIF($E150:Z150,"t")+COUNTIF($E150:Z150,"¶")+COUNTIF($E150:Z150,"²")+COUNTIF($E150:Z150,"µ")+COUNTIF($E150:Z150,1),ColDescriptionCourte))&gt;1,
HYPERLINK("#Roadmap!C"&amp; MATCH($E150,Roadmap!$D:$D,0)+COUNTIF($E150:Z150,"u")+COUNTIF($E150:Z150,"t")+COUNTIF($E150:Z150,"¶")+COUNTIF($E150:Z150,"²")+COUNTIF($E150:Z150,"µ")+COUNTIF($E150:Z150,1)-1,INDEX(Roadmap!$D:$K,MATCH($E150,Roadmap!$D:$D,0)-1+COUNTIF($E150:Z150,"u")+COUNTIF($E150:Z150,"t")+COUNTIF($E150:Z150,"¶")+COUNTIF($E150:Z150,"²")+COUNTIF($E150:Z150,"µ")+COUNTIF($E150:Z150,1),ColDescriptionCourte)),""),
  "")),"")</f>
        <v/>
      </c>
      <c r="AB150" s="40" t="str">
        <f ca="1">IFERROR(IF(AND(
  INDEX(Roadmap!$D:$K,MATCH($E150,Roadmap!$D:$D,0)+COUNTIF($E150:AA150,"u")+COUNTIF($E150:AA150,"t")+COUNTIF($E150:AA150,"¶")+COUNTIF($E150:AA150,"²")+COUNTIF($E150:AA150,"µ")+COUNTIF($E150:AA150,1),ColLivraison)=AB$6,
  VLOOKUP($E150,INDIRECT("tri!"&amp; CHAR(64+ C0Col) &amp;":"&amp; CHAR(65+C0Col)),2,FALSE)&gt;COUNTIF($E150:AA150,"u")+COUNTIF($E150:AA150,"t")+COUNTIF($E150:AA150,"¶")+COUNTIF($E150:AA150,"²")+COUNTIF($E150:AA150,"µ")+COUNTIF($E150:AA150,1)),
HYPERLINK("#Roadmap!C"&amp; MATCH($E150,Roadmap!$D:$D,0)+COUNTIF($E150:AA150,"u")+COUNTIF($E150:AA150,"t"),
     INDEX(Roadmap!$D:$K,MATCH($E150,Roadmap!$D:$D,0)+COUNTIF($E150:AA150,"u")+COUNTIF($E150:AA150,"t")+COUNTIF($E150:AA150,"¶")+COUNTIF($E150:AA150,"²")+COUNTIF($E150:AA150,"µ")+COUNTIF($E150:AA150,1),ColTypeEcheance)),
  IF(LEN(AA150)=1,
  IF(LEN(INDEX(Roadmap!$D:$K,MATCH($E150,Roadmap!$D:$D,0)-1+COUNTIF($E150:AA150,"u")+COUNTIF($E150:AA150,"t")+COUNTIF($E150:AA150,"¶")+COUNTIF($E150:AA150,"²")+COUNTIF($E150:AA150,"µ")+COUNTIF($E150:AA150,1),ColDescriptionCourte))&gt;1,
HYPERLINK("#Roadmap!C"&amp; MATCH($E150,Roadmap!$D:$D,0)+COUNTIF($E150:AA150,"u")+COUNTIF($E150:AA150,"t")+COUNTIF($E150:AA150,"¶")+COUNTIF($E150:AA150,"²")+COUNTIF($E150:AA150,"µ")+COUNTIF($E150:AA150,1)-1,INDEX(Roadmap!$D:$K,MATCH($E150,Roadmap!$D:$D,0)-1+COUNTIF($E150:AA150,"u")+COUNTIF($E150:AA150,"t")+COUNTIF($E150:AA150,"¶")+COUNTIF($E150:AA150,"²")+COUNTIF($E150:AA150,"µ")+COUNTIF($E150:AA150,1),ColDescriptionCourte)),""),
  "")),"")</f>
        <v/>
      </c>
      <c r="AC150" s="40" t="str">
        <f ca="1">IFERROR(IF(AND(
  INDEX(Roadmap!$D:$K,MATCH($E150,Roadmap!$D:$D,0)+COUNTIF($E150:AB150,"u")+COUNTIF($E150:AB150,"t")+COUNTIF($E150:AB150,"¶")+COUNTIF($E150:AB150,"²")+COUNTIF($E150:AB150,"µ")+COUNTIF($E150:AB150,1),ColLivraison)=AC$6,
  VLOOKUP($E150,INDIRECT("tri!"&amp; CHAR(64+ C0Col) &amp;":"&amp; CHAR(65+C0Col)),2,FALSE)&gt;COUNTIF($E150:AB150,"u")+COUNTIF($E150:AB150,"t")+COUNTIF($E150:AB150,"¶")+COUNTIF($E150:AB150,"²")+COUNTIF($E150:AB150,"µ")+COUNTIF($E150:AB150,1)),
HYPERLINK("#Roadmap!C"&amp; MATCH($E150,Roadmap!$D:$D,0)+COUNTIF($E150:AB150,"u")+COUNTIF($E150:AB150,"t"),
     INDEX(Roadmap!$D:$K,MATCH($E150,Roadmap!$D:$D,0)+COUNTIF($E150:AB150,"u")+COUNTIF($E150:AB150,"t")+COUNTIF($E150:AB150,"¶")+COUNTIF($E150:AB150,"²")+COUNTIF($E150:AB150,"µ")+COUNTIF($E150:AB150,1),ColTypeEcheance)),
  IF(LEN(AB150)=1,
  IF(LEN(INDEX(Roadmap!$D:$K,MATCH($E150,Roadmap!$D:$D,0)-1+COUNTIF($E150:AB150,"u")+COUNTIF($E150:AB150,"t")+COUNTIF($E150:AB150,"¶")+COUNTIF($E150:AB150,"²")+COUNTIF($E150:AB150,"µ")+COUNTIF($E150:AB150,1),ColDescriptionCourte))&gt;1,
HYPERLINK("#Roadmap!C"&amp; MATCH($E150,Roadmap!$D:$D,0)+COUNTIF($E150:AB150,"u")+COUNTIF($E150:AB150,"t")+COUNTIF($E150:AB150,"¶")+COUNTIF($E150:AB150,"²")+COUNTIF($E150:AB150,"µ")+COUNTIF($E150:AB150,1)-1,INDEX(Roadmap!$D:$K,MATCH($E150,Roadmap!$D:$D,0)-1+COUNTIF($E150:AB150,"u")+COUNTIF($E150:AB150,"t")+COUNTIF($E150:AB150,"¶")+COUNTIF($E150:AB150,"²")+COUNTIF($E150:AB150,"µ")+COUNTIF($E150:AB150,1),ColDescriptionCourte)),""),
  "")),"")</f>
        <v/>
      </c>
      <c r="AD150" s="40" t="str">
        <f ca="1">IFERROR(IF(AND(
  INDEX(Roadmap!$D:$K,MATCH($E150,Roadmap!$D:$D,0)+COUNTIF($E150:AC150,"u")+COUNTIF($E150:AC150,"t")+COUNTIF($E150:AC150,"¶")+COUNTIF($E150:AC150,"²")+COUNTIF($E150:AC150,"µ")+COUNTIF($E150:AC150,1),ColLivraison)=AD$6,
  VLOOKUP($E150,INDIRECT("tri!"&amp; CHAR(64+ C0Col) &amp;":"&amp; CHAR(65+C0Col)),2,FALSE)&gt;COUNTIF($E150:AC150,"u")+COUNTIF($E150:AC150,"t")+COUNTIF($E150:AC150,"¶")+COUNTIF($E150:AC150,"²")+COUNTIF($E150:AC150,"µ")+COUNTIF($E150:AC150,1)),
HYPERLINK("#Roadmap!C"&amp; MATCH($E150,Roadmap!$D:$D,0)+COUNTIF($E150:AC150,"u")+COUNTIF($E150:AC150,"t"),
     INDEX(Roadmap!$D:$K,MATCH($E150,Roadmap!$D:$D,0)+COUNTIF($E150:AC150,"u")+COUNTIF($E150:AC150,"t")+COUNTIF($E150:AC150,"¶")+COUNTIF($E150:AC150,"²")+COUNTIF($E150:AC150,"µ")+COUNTIF($E150:AC150,1),ColTypeEcheance)),
  IF(LEN(AC150)=1,
  IF(LEN(INDEX(Roadmap!$D:$K,MATCH($E150,Roadmap!$D:$D,0)-1+COUNTIF($E150:AC150,"u")+COUNTIF($E150:AC150,"t")+COUNTIF($E150:AC150,"¶")+COUNTIF($E150:AC150,"²")+COUNTIF($E150:AC150,"µ")+COUNTIF($E150:AC150,1),ColDescriptionCourte))&gt;1,
HYPERLINK("#Roadmap!C"&amp; MATCH($E150,Roadmap!$D:$D,0)+COUNTIF($E150:AC150,"u")+COUNTIF($E150:AC150,"t")+COUNTIF($E150:AC150,"¶")+COUNTIF($E150:AC150,"²")+COUNTIF($E150:AC150,"µ")+COUNTIF($E150:AC150,1)-1,INDEX(Roadmap!$D:$K,MATCH($E150,Roadmap!$D:$D,0)-1+COUNTIF($E150:AC150,"u")+COUNTIF($E150:AC150,"t")+COUNTIF($E150:AC150,"¶")+COUNTIF($E150:AC150,"²")+COUNTIF($E150:AC150,"µ")+COUNTIF($E150:AC150,1),ColDescriptionCourte)),""),
  "")),"")</f>
        <v/>
      </c>
      <c r="AE150" s="40" t="str">
        <f ca="1">IFERROR(IF(AND(
  INDEX(Roadmap!$D:$K,MATCH($E150,Roadmap!$D:$D,0)+COUNTIF($E150:AD150,"u")+COUNTIF($E150:AD150,"t")+COUNTIF($E150:AD150,"¶")+COUNTIF($E150:AD150,"²")+COUNTIF($E150:AD150,"µ")+COUNTIF($E150:AD150,1),ColLivraison)=AE$6,
  VLOOKUP($E150,INDIRECT("tri!"&amp; CHAR(64+ C0Col) &amp;":"&amp; CHAR(65+C0Col)),2,FALSE)&gt;COUNTIF($E150:AD150,"u")+COUNTIF($E150:AD150,"t")+COUNTIF($E150:AD150,"¶")+COUNTIF($E150:AD150,"²")+COUNTIF($E150:AD150,"µ")+COUNTIF($E150:AD150,1)),
HYPERLINK("#Roadmap!C"&amp; MATCH($E150,Roadmap!$D:$D,0)+COUNTIF($E150:AD150,"u")+COUNTIF($E150:AD150,"t"),
     INDEX(Roadmap!$D:$K,MATCH($E150,Roadmap!$D:$D,0)+COUNTIF($E150:AD150,"u")+COUNTIF($E150:AD150,"t")+COUNTIF($E150:AD150,"¶")+COUNTIF($E150:AD150,"²")+COUNTIF($E150:AD150,"µ")+COUNTIF($E150:AD150,1),ColTypeEcheance)),
  IF(LEN(AD150)=1,
  IF(LEN(INDEX(Roadmap!$D:$K,MATCH($E150,Roadmap!$D:$D,0)-1+COUNTIF($E150:AD150,"u")+COUNTIF($E150:AD150,"t")+COUNTIF($E150:AD150,"¶")+COUNTIF($E150:AD150,"²")+COUNTIF($E150:AD150,"µ")+COUNTIF($E150:AD150,1),ColDescriptionCourte))&gt;1,
HYPERLINK("#Roadmap!C"&amp; MATCH($E150,Roadmap!$D:$D,0)+COUNTIF($E150:AD150,"u")+COUNTIF($E150:AD150,"t")+COUNTIF($E150:AD150,"¶")+COUNTIF($E150:AD150,"²")+COUNTIF($E150:AD150,"µ")+COUNTIF($E150:AD150,1)-1,INDEX(Roadmap!$D:$K,MATCH($E150,Roadmap!$D:$D,0)-1+COUNTIF($E150:AD150,"u")+COUNTIF($E150:AD150,"t")+COUNTIF($E150:AD150,"¶")+COUNTIF($E150:AD150,"²")+COUNTIF($E150:AD150,"µ")+COUNTIF($E150:AD150,1),ColDescriptionCourte)),""),
  "")),"")</f>
        <v/>
      </c>
      <c r="AF150" s="40" t="str">
        <f ca="1">IFERROR(IF(AND(
  INDEX(Roadmap!$D:$K,MATCH($E150,Roadmap!$D:$D,0)+COUNTIF($E150:AE150,"u")+COUNTIF($E150:AE150,"t")+COUNTIF($E150:AE150,"¶")+COUNTIF($E150:AE150,"²")+COUNTIF($E150:AE150,"µ")+COUNTIF($E150:AE150,1),ColLivraison)=AF$6,
  VLOOKUP($E150,INDIRECT("tri!"&amp; CHAR(64+ C0Col) &amp;":"&amp; CHAR(65+C0Col)),2,FALSE)&gt;COUNTIF($E150:AE150,"u")+COUNTIF($E150:AE150,"t")+COUNTIF($E150:AE150,"¶")+COUNTIF($E150:AE150,"²")+COUNTIF($E150:AE150,"µ")+COUNTIF($E150:AE150,1)),
HYPERLINK("#Roadmap!C"&amp; MATCH($E150,Roadmap!$D:$D,0)+COUNTIF($E150:AE150,"u")+COUNTIF($E150:AE150,"t"),
     INDEX(Roadmap!$D:$K,MATCH($E150,Roadmap!$D:$D,0)+COUNTIF($E150:AE150,"u")+COUNTIF($E150:AE150,"t")+COUNTIF($E150:AE150,"¶")+COUNTIF($E150:AE150,"²")+COUNTIF($E150:AE150,"µ")+COUNTIF($E150:AE150,1),ColTypeEcheance)),
  IF(LEN(AE150)=1,
  IF(LEN(INDEX(Roadmap!$D:$K,MATCH($E150,Roadmap!$D:$D,0)-1+COUNTIF($E150:AE150,"u")+COUNTIF($E150:AE150,"t")+COUNTIF($E150:AE150,"¶")+COUNTIF($E150:AE150,"²")+COUNTIF($E150:AE150,"µ")+COUNTIF($E150:AE150,1),ColDescriptionCourte))&gt;1,
HYPERLINK("#Roadmap!C"&amp; MATCH($E150,Roadmap!$D:$D,0)+COUNTIF($E150:AE150,"u")+COUNTIF($E150:AE150,"t")+COUNTIF($E150:AE150,"¶")+COUNTIF($E150:AE150,"²")+COUNTIF($E150:AE150,"µ")+COUNTIF($E150:AE150,1)-1,INDEX(Roadmap!$D:$K,MATCH($E150,Roadmap!$D:$D,0)-1+COUNTIF($E150:AE150,"u")+COUNTIF($E150:AE150,"t")+COUNTIF($E150:AE150,"¶")+COUNTIF($E150:AE150,"²")+COUNTIF($E150:AE150,"µ")+COUNTIF($E150:AE150,1),ColDescriptionCourte)),""),
  "")),"")</f>
        <v/>
      </c>
      <c r="AG150" s="40" t="str">
        <f ca="1">IFERROR(IF(AND(
  INDEX(Roadmap!$D:$K,MATCH($E150,Roadmap!$D:$D,0)+COUNTIF($E150:AF150,"u")+COUNTIF($E150:AF150,"t")+COUNTIF($E150:AF150,"¶")+COUNTIF($E150:AF150,"²")+COUNTIF($E150:AF150,"µ")+COUNTIF($E150:AF150,1),ColLivraison)=AG$6,
  VLOOKUP($E150,INDIRECT("tri!"&amp; CHAR(64+ C0Col) &amp;":"&amp; CHAR(65+C0Col)),2,FALSE)&gt;COUNTIF($E150:AF150,"u")+COUNTIF($E150:AF150,"t")+COUNTIF($E150:AF150,"¶")+COUNTIF($E150:AF150,"²")+COUNTIF($E150:AF150,"µ")+COUNTIF($E150:AF150,1)),
HYPERLINK("#Roadmap!C"&amp; MATCH($E150,Roadmap!$D:$D,0)+COUNTIF($E150:AF150,"u")+COUNTIF($E150:AF150,"t"),
     INDEX(Roadmap!$D:$K,MATCH($E150,Roadmap!$D:$D,0)+COUNTIF($E150:AF150,"u")+COUNTIF($E150:AF150,"t")+COUNTIF($E150:AF150,"¶")+COUNTIF($E150:AF150,"²")+COUNTIF($E150:AF150,"µ")+COUNTIF($E150:AF150,1),ColTypeEcheance)),
  IF(LEN(AF150)=1,
  IF(LEN(INDEX(Roadmap!$D:$K,MATCH($E150,Roadmap!$D:$D,0)-1+COUNTIF($E150:AF150,"u")+COUNTIF($E150:AF150,"t")+COUNTIF($E150:AF150,"¶")+COUNTIF($E150:AF150,"²")+COUNTIF($E150:AF150,"µ")+COUNTIF($E150:AF150,1),ColDescriptionCourte))&gt;1,
HYPERLINK("#Roadmap!C"&amp; MATCH($E150,Roadmap!$D:$D,0)+COUNTIF($E150:AF150,"u")+COUNTIF($E150:AF150,"t")+COUNTIF($E150:AF150,"¶")+COUNTIF($E150:AF150,"²")+COUNTIF($E150:AF150,"µ")+COUNTIF($E150:AF150,1)-1,INDEX(Roadmap!$D:$K,MATCH($E150,Roadmap!$D:$D,0)-1+COUNTIF($E150:AF150,"u")+COUNTIF($E150:AF150,"t")+COUNTIF($E150:AF150,"¶")+COUNTIF($E150:AF150,"²")+COUNTIF($E150:AF150,"µ")+COUNTIF($E150:AF150,1),ColDescriptionCourte)),""),
  "")),"")</f>
        <v/>
      </c>
      <c r="AH150" s="40" t="str">
        <f ca="1">IFERROR(IF(AND(
  INDEX(Roadmap!$D:$K,MATCH($E150,Roadmap!$D:$D,0)+COUNTIF($E150:AG150,"u")+COUNTIF($E150:AG150,"t")+COUNTIF($E150:AG150,1),ColLivraison)=AH$6,
  VLOOKUP($E150,INDIRECT("tri!"&amp; CHAR(64+ C0Col) &amp;":"&amp; CHAR(65+C0Col)),2,FALSE)&gt;COUNTIF($E150:AG150,"u")+COUNTIF($E150:AG150,"t")+COUNTIF($E150:AG150,1)),
HYPERLINK("#Roadmap!C"&amp; MATCH($E150,Roadmap!$D:$D,0)+COUNTIF($E150:AG150,"u")+COUNTIF($E150:AG150,"t"),
     INDEX(Roadmap!$D:$K,MATCH($E150,Roadmap!$D:$D,0)+COUNTIF($E150:AG150,"u")+COUNTIF($E150:AG150,"t")+COUNTIF($E150:AG150,1),ColTypeEcheance)),
  IF(OR(AG150="u",AG150="t",AG150=1),
  IF(LEN(INDEX(Roadmap!$D:$K,MATCH($E150,Roadmap!$D:$D,0)-1+COUNTIF($E150:AG150,"u")+COUNTIF($E150:AG150,"t")+COUNTIF($E150:AG150,1),ColDescriptionCourte))&gt;1,
HYPERLINK("#Roadmap!C"&amp; MATCH($E150,Roadmap!$D:$D,0)+COUNTIF($E150:AG150,"u")+COUNTIF($E150:AG150,"t")+COUNTIF($E150:AG150,1)-1,INDEX(Roadmap!$D:$K,MATCH($E150,Roadmap!$D:$D,0)-1+COUNTIF($E150:AG150,"u")+COUNTIF($E150:AG150,"t")+COUNTIF($E150:AG150,1),ColDescriptionCourte)),""),
  "")),"")</f>
        <v/>
      </c>
      <c r="AI150" s="40"/>
      <c r="AJ150" s="40"/>
      <c r="AK150" s="40"/>
      <c r="AL150" s="40"/>
      <c r="AM150" s="40"/>
    </row>
    <row r="151" spans="4:39" ht="14.1" customHeight="1">
      <c r="D151" s="20" t="str">
        <f t="shared" ca="1" si="31"/>
        <v/>
      </c>
      <c r="E151" s="53" t="str">
        <f t="shared" ca="1" si="32"/>
        <v/>
      </c>
      <c r="F151" s="39" t="str">
        <f ca="1">IFERROR(IF(AND(
  INDEX(Roadmap!$D:$K,MATCH($E151,Roadmap!$D:$D,0)+COUNTIF($E151:E151,"u")+COUNTIF($E151:E151,"t")+COUNTIF($E151:E151,"¶")+COUNTIF($E151:E151,"²")+COUNTIF($E151:E151,"µ")+COUNTIF($E151:E151,1),ColLivraison)=F$6,
  VLOOKUP($E151,INDIRECT("tri!"&amp; CHAR(64+ C0Col) &amp;":"&amp; CHAR(65+C0Col)),2,FALSE)&gt;COUNTIF($E151:E151,"u")+COUNTIF($E151:E151,"t")+COUNTIF($E151:E151,"¶")+COUNTIF($E151:E151,"²")+COUNTIF($E151:E151,"µ")+COUNTIF($E151:E151,1)),
HYPERLINK("#Roadmap!C"&amp; MATCH($E151,Roadmap!$D:$D,0)+COUNTIF($E151:E151,"u")+COUNTIF($E151:E151,"t"),
     INDEX(Roadmap!$D:$K,MATCH($E151,Roadmap!$D:$D,0)+COUNTIF($E151:E151,"u")+COUNTIF($E151:E151,"t")+COUNTIF($E151:E151,"¶")+COUNTIF($E151:E151,"²")+COUNTIF($E151:E151,"µ")+COUNTIF($E151:E151,1),ColTypeEcheance)),
  IF(LEN(E151)=1,
  IF(LEN(INDEX(Roadmap!$D:$K,MATCH($E151,Roadmap!$D:$D,0)-1+COUNTIF($E151:E151,"u")+COUNTIF($E151:E151,"t")+COUNTIF($E151:E151,"¶")+COUNTIF($E151:E151,"²")+COUNTIF($E151:E151,"µ")+COUNTIF($E151:E151,1),ColDescriptionCourte))&gt;1,
HYPERLINK("#Roadmap!C"&amp; MATCH($E151,Roadmap!$D:$D,0)+COUNTIF($E151:E151,"u")+COUNTIF($E151:E151,"t")+COUNTIF($E151:E151,"¶")+COUNTIF($E151:E151,"²")+COUNTIF($E151:E151,"µ")+COUNTIF($E151:E151,1)-1,INDEX(Roadmap!$D:$K,MATCH($E151,Roadmap!$D:$D,0)-1+COUNTIF($E151:E151,"u")+COUNTIF($E151:E151,"t")+COUNTIF($E151:E151,"¶")+COUNTIF($E151:E151,"²")+COUNTIF($E151:E151,"µ")+COUNTIF($E151:E151,1),ColDescriptionCourte)),""),
  "")),"")</f>
        <v/>
      </c>
      <c r="G151" s="40" t="str">
        <f ca="1">IFERROR(IF(AND(
  INDEX(Roadmap!$D:$K,MATCH($E151,Roadmap!$D:$D,0)+COUNTIF($E151:F151,"u")+COUNTIF($E151:F151,"t")+COUNTIF($E151:F151,"¶")+COUNTIF($E151:F151,"²")+COUNTIF($E151:F151,"µ")+COUNTIF($E151:F151,1),ColLivraison)=G$6,
  VLOOKUP($E151,INDIRECT("tri!"&amp; CHAR(64+ C0Col) &amp;":"&amp; CHAR(65+C0Col)),2,FALSE)&gt;COUNTIF($E151:F151,"u")+COUNTIF($E151:F151,"t")+COUNTIF($E151:F151,"¶")+COUNTIF($E151:F151,"²")+COUNTIF($E151:F151,"µ")+COUNTIF($E151:F151,1)),
HYPERLINK("#Roadmap!C"&amp; MATCH($E151,Roadmap!$D:$D,0)+COUNTIF($E151:F151,"u")+COUNTIF($E151:F151,"t"),
     INDEX(Roadmap!$D:$K,MATCH($E151,Roadmap!$D:$D,0)+COUNTIF($E151:F151,"u")+COUNTIF($E151:F151,"t")+COUNTIF($E151:F151,"¶")+COUNTIF($E151:F151,"²")+COUNTIF($E151:F151,"µ")+COUNTIF($E151:F151,1),ColTypeEcheance)),
  IF(LEN(F151)=1,
  IF(LEN(INDEX(Roadmap!$D:$K,MATCH($E151,Roadmap!$D:$D,0)-1+COUNTIF($E151:F151,"u")+COUNTIF($E151:F151,"t")+COUNTIF($E151:F151,"¶")+COUNTIF($E151:F151,"²")+COUNTIF($E151:F151,"µ")+COUNTIF($E151:F151,1),ColDescriptionCourte))&gt;1,
HYPERLINK("#Roadmap!C"&amp; MATCH($E151,Roadmap!$D:$D,0)+COUNTIF($E151:F151,"u")+COUNTIF($E151:F151,"t")+COUNTIF($E151:F151,"¶")+COUNTIF($E151:F151,"²")+COUNTIF($E151:F151,"µ")+COUNTIF($E151:F151,1)-1,INDEX(Roadmap!$D:$K,MATCH($E151,Roadmap!$D:$D,0)-1+COUNTIF($E151:F151,"u")+COUNTIF($E151:F151,"t")+COUNTIF($E151:F151,"¶")+COUNTIF($E151:F151,"²")+COUNTIF($E151:F151,"µ")+COUNTIF($E151:F151,1),ColDescriptionCourte)),""),
  "")),"")</f>
        <v/>
      </c>
      <c r="H151" s="40" t="str">
        <f ca="1">IFERROR(IF(AND(
  INDEX(Roadmap!$D:$K,MATCH($E151,Roadmap!$D:$D,0)+COUNTIF($E151:G151,"u")+COUNTIF($E151:G151,"t")+COUNTIF($E151:G151,"¶")+COUNTIF($E151:G151,"²")+COUNTIF($E151:G151,"µ")+COUNTIF($E151:G151,1),ColLivraison)=H$6,
  VLOOKUP($E151,INDIRECT("tri!"&amp; CHAR(64+ C0Col) &amp;":"&amp; CHAR(65+C0Col)),2,FALSE)&gt;COUNTIF($E151:G151,"u")+COUNTIF($E151:G151,"t")+COUNTIF($E151:G151,"¶")+COUNTIF($E151:G151,"²")+COUNTIF($E151:G151,"µ")+COUNTIF($E151:G151,1)),
HYPERLINK("#Roadmap!C"&amp; MATCH($E151,Roadmap!$D:$D,0)+COUNTIF($E151:G151,"u")+COUNTIF($E151:G151,"t"),
     INDEX(Roadmap!$D:$K,MATCH($E151,Roadmap!$D:$D,0)+COUNTIF($E151:G151,"u")+COUNTIF($E151:G151,"t")+COUNTIF($E151:G151,"¶")+COUNTIF($E151:G151,"²")+COUNTIF($E151:G151,"µ")+COUNTIF($E151:G151,1),ColTypeEcheance)),
  IF(LEN(G151)=1,
  IF(LEN(INDEX(Roadmap!$D:$K,MATCH($E151,Roadmap!$D:$D,0)-1+COUNTIF($E151:G151,"u")+COUNTIF($E151:G151,"t")+COUNTIF($E151:G151,"¶")+COUNTIF($E151:G151,"²")+COUNTIF($E151:G151,"µ")+COUNTIF($E151:G151,1),ColDescriptionCourte))&gt;1,
HYPERLINK("#Roadmap!C"&amp; MATCH($E151,Roadmap!$D:$D,0)+COUNTIF($E151:G151,"u")+COUNTIF($E151:G151,"t")+COUNTIF($E151:G151,"¶")+COUNTIF($E151:G151,"²")+COUNTIF($E151:G151,"µ")+COUNTIF($E151:G151,1)-1,INDEX(Roadmap!$D:$K,MATCH($E151,Roadmap!$D:$D,0)-1+COUNTIF($E151:G151,"u")+COUNTIF($E151:G151,"t")+COUNTIF($E151:G151,"¶")+COUNTIF($E151:G151,"²")+COUNTIF($E151:G151,"µ")+COUNTIF($E151:G151,1),ColDescriptionCourte)),""),
  "")),"")</f>
        <v/>
      </c>
      <c r="I151" s="40" t="str">
        <f ca="1">IFERROR(IF(AND(
  INDEX(Roadmap!$D:$K,MATCH($E151,Roadmap!$D:$D,0)+COUNTIF($E151:H151,"u")+COUNTIF($E151:H151,"t")+COUNTIF($E151:H151,"¶")+COUNTIF($E151:H151,"²")+COUNTIF($E151:H151,"µ")+COUNTIF($E151:H151,1),ColLivraison)=I$6,
  VLOOKUP($E151,INDIRECT("tri!"&amp; CHAR(64+ C0Col) &amp;":"&amp; CHAR(65+C0Col)),2,FALSE)&gt;COUNTIF($E151:H151,"u")+COUNTIF($E151:H151,"t")+COUNTIF($E151:H151,"¶")+COUNTIF($E151:H151,"²")+COUNTIF($E151:H151,"µ")+COUNTIF($E151:H151,1)),
HYPERLINK("#Roadmap!C"&amp; MATCH($E151,Roadmap!$D:$D,0)+COUNTIF($E151:H151,"u")+COUNTIF($E151:H151,"t"),
     INDEX(Roadmap!$D:$K,MATCH($E151,Roadmap!$D:$D,0)+COUNTIF($E151:H151,"u")+COUNTIF($E151:H151,"t")+COUNTIF($E151:H151,"¶")+COUNTIF($E151:H151,"²")+COUNTIF($E151:H151,"µ")+COUNTIF($E151:H151,1),ColTypeEcheance)),
  IF(LEN(H151)=1,
  IF(LEN(INDEX(Roadmap!$D:$K,MATCH($E151,Roadmap!$D:$D,0)-1+COUNTIF($E151:H151,"u")+COUNTIF($E151:H151,"t")+COUNTIF($E151:H151,"¶")+COUNTIF($E151:H151,"²")+COUNTIF($E151:H151,"µ")+COUNTIF($E151:H151,1),ColDescriptionCourte))&gt;1,
HYPERLINK("#Roadmap!C"&amp; MATCH($E151,Roadmap!$D:$D,0)+COUNTIF($E151:H151,"u")+COUNTIF($E151:H151,"t")+COUNTIF($E151:H151,"¶")+COUNTIF($E151:H151,"²")+COUNTIF($E151:H151,"µ")+COUNTIF($E151:H151,1)-1,INDEX(Roadmap!$D:$K,MATCH($E151,Roadmap!$D:$D,0)-1+COUNTIF($E151:H151,"u")+COUNTIF($E151:H151,"t")+COUNTIF($E151:H151,"¶")+COUNTIF($E151:H151,"²")+COUNTIF($E151:H151,"µ")+COUNTIF($E151:H151,1),ColDescriptionCourte)),""),
  "")),"")</f>
        <v/>
      </c>
      <c r="J151" s="40" t="str">
        <f ca="1">IFERROR(IF(AND(
  INDEX(Roadmap!$D:$K,MATCH($E151,Roadmap!$D:$D,0)+COUNTIF($E151:I151,"u")+COUNTIF($E151:I151,"t")+COUNTIF($E151:I151,"¶")+COUNTIF($E151:I151,"²")+COUNTIF($E151:I151,"µ")+COUNTIF($E151:I151,1),ColLivraison)=J$6,
  VLOOKUP($E151,INDIRECT("tri!"&amp; CHAR(64+ C0Col) &amp;":"&amp; CHAR(65+C0Col)),2,FALSE)&gt;COUNTIF($E151:I151,"u")+COUNTIF($E151:I151,"t")+COUNTIF($E151:I151,"¶")+COUNTIF($E151:I151,"²")+COUNTIF($E151:I151,"µ")+COUNTIF($E151:I151,1)),
HYPERLINK("#Roadmap!C"&amp; MATCH($E151,Roadmap!$D:$D,0)+COUNTIF($E151:I151,"u")+COUNTIF($E151:I151,"t"),
     INDEX(Roadmap!$D:$K,MATCH($E151,Roadmap!$D:$D,0)+COUNTIF($E151:I151,"u")+COUNTIF($E151:I151,"t")+COUNTIF($E151:I151,"¶")+COUNTIF($E151:I151,"²")+COUNTIF($E151:I151,"µ")+COUNTIF($E151:I151,1),ColTypeEcheance)),
  IF(LEN(I151)=1,
  IF(LEN(INDEX(Roadmap!$D:$K,MATCH($E151,Roadmap!$D:$D,0)-1+COUNTIF($E151:I151,"u")+COUNTIF($E151:I151,"t")+COUNTIF($E151:I151,"¶")+COUNTIF($E151:I151,"²")+COUNTIF($E151:I151,"µ")+COUNTIF($E151:I151,1),ColDescriptionCourte))&gt;1,
HYPERLINK("#Roadmap!C"&amp; MATCH($E151,Roadmap!$D:$D,0)+COUNTIF($E151:I151,"u")+COUNTIF($E151:I151,"t")+COUNTIF($E151:I151,"¶")+COUNTIF($E151:I151,"²")+COUNTIF($E151:I151,"µ")+COUNTIF($E151:I151,1)-1,INDEX(Roadmap!$D:$K,MATCH($E151,Roadmap!$D:$D,0)-1+COUNTIF($E151:I151,"u")+COUNTIF($E151:I151,"t")+COUNTIF($E151:I151,"¶")+COUNTIF($E151:I151,"²")+COUNTIF($E151:I151,"µ")+COUNTIF($E151:I151,1),ColDescriptionCourte)),""),
  "")),"")</f>
        <v/>
      </c>
      <c r="K151" s="40" t="str">
        <f ca="1">IFERROR(IF(AND(
  INDEX(Roadmap!$D:$K,MATCH($E151,Roadmap!$D:$D,0)+COUNTIF($E151:J151,"u")+COUNTIF($E151:J151,"t")+COUNTIF($E151:J151,"¶")+COUNTIF($E151:J151,"²")+COUNTIF($E151:J151,"µ")+COUNTIF($E151:J151,1),ColLivraison)=K$6,
  VLOOKUP($E151,INDIRECT("tri!"&amp; CHAR(64+ C0Col) &amp;":"&amp; CHAR(65+C0Col)),2,FALSE)&gt;COUNTIF($E151:J151,"u")+COUNTIF($E151:J151,"t")+COUNTIF($E151:J151,"¶")+COUNTIF($E151:J151,"²")+COUNTIF($E151:J151,"µ")+COUNTIF($E151:J151,1)),
HYPERLINK("#Roadmap!C"&amp; MATCH($E151,Roadmap!$D:$D,0)+COUNTIF($E151:J151,"u")+COUNTIF($E151:J151,"t"),
     INDEX(Roadmap!$D:$K,MATCH($E151,Roadmap!$D:$D,0)+COUNTIF($E151:J151,"u")+COUNTIF($E151:J151,"t")+COUNTIF($E151:J151,"¶")+COUNTIF($E151:J151,"²")+COUNTIF($E151:J151,"µ")+COUNTIF($E151:J151,1),ColTypeEcheance)),
  IF(LEN(J151)=1,
  IF(LEN(INDEX(Roadmap!$D:$K,MATCH($E151,Roadmap!$D:$D,0)-1+COUNTIF($E151:J151,"u")+COUNTIF($E151:J151,"t")+COUNTIF($E151:J151,"¶")+COUNTIF($E151:J151,"²")+COUNTIF($E151:J151,"µ")+COUNTIF($E151:J151,1),ColDescriptionCourte))&gt;1,
HYPERLINK("#Roadmap!C"&amp; MATCH($E151,Roadmap!$D:$D,0)+COUNTIF($E151:J151,"u")+COUNTIF($E151:J151,"t")+COUNTIF($E151:J151,"¶")+COUNTIF($E151:J151,"²")+COUNTIF($E151:J151,"µ")+COUNTIF($E151:J151,1)-1,INDEX(Roadmap!$D:$K,MATCH($E151,Roadmap!$D:$D,0)-1+COUNTIF($E151:J151,"u")+COUNTIF($E151:J151,"t")+COUNTIF($E151:J151,"¶")+COUNTIF($E151:J151,"²")+COUNTIF($E151:J151,"µ")+COUNTIF($E151:J151,1),ColDescriptionCourte)),""),
  "")),"")</f>
        <v/>
      </c>
      <c r="L151" s="39" t="str">
        <f ca="1">IFERROR(IF(AND(
  INDEX(Roadmap!$D:$K,MATCH($E151,Roadmap!$D:$D,0)+COUNTIF($E151:K151,"u")+COUNTIF($E151:K151,"t")+COUNTIF($E151:K151,"¶")+COUNTIF($E151:K151,"²")+COUNTIF($E151:K151,"µ")+COUNTIF($E151:K151,1),ColLivraison)=L$6,
  VLOOKUP($E151,INDIRECT("tri!"&amp; CHAR(64+ C0Col) &amp;":"&amp; CHAR(65+C0Col)),2,FALSE)&gt;COUNTIF($E151:K151,"u")+COUNTIF($E151:K151,"t")+COUNTIF($E151:K151,"¶")+COUNTIF($E151:K151,"²")+COUNTIF($E151:K151,"µ")+COUNTIF($E151:K151,1)),
HYPERLINK("#Roadmap!C"&amp; MATCH($E151,Roadmap!$D:$D,0)+COUNTIF($E151:K151,"u")+COUNTIF($E151:K151,"t"),
     INDEX(Roadmap!$D:$K,MATCH($E151,Roadmap!$D:$D,0)+COUNTIF($E151:K151,"u")+COUNTIF($E151:K151,"t")+COUNTIF($E151:K151,"¶")+COUNTIF($E151:K151,"²")+COUNTIF($E151:K151,"µ")+COUNTIF($E151:K151,1),ColTypeEcheance)),
  IF(LEN(K151)=1,
  IF(LEN(INDEX(Roadmap!$D:$K,MATCH($E151,Roadmap!$D:$D,0)-1+COUNTIF($E151:K151,"u")+COUNTIF($E151:K151,"t")+COUNTIF($E151:K151,"¶")+COUNTIF($E151:K151,"²")+COUNTIF($E151:K151,"µ")+COUNTIF($E151:K151,1),ColDescriptionCourte))&gt;1,
HYPERLINK("#Roadmap!C"&amp; MATCH($E151,Roadmap!$D:$D,0)+COUNTIF($E151:K151,"u")+COUNTIF($E151:K151,"t")+COUNTIF($E151:K151,"¶")+COUNTIF($E151:K151,"²")+COUNTIF($E151:K151,"µ")+COUNTIF($E151:K151,1)-1,INDEX(Roadmap!$D:$K,MATCH($E151,Roadmap!$D:$D,0)-1+COUNTIF($E151:K151,"u")+COUNTIF($E151:K151,"t")+COUNTIF($E151:K151,"¶")+COUNTIF($E151:K151,"²")+COUNTIF($E151:K151,"µ")+COUNTIF($E151:K151,1),ColDescriptionCourte)),""),
  "")),"")</f>
        <v/>
      </c>
      <c r="M151" s="40" t="str">
        <f ca="1">IFERROR(IF(AND(
  INDEX(Roadmap!$D:$K,MATCH($E151,Roadmap!$D:$D,0)+COUNTIF($E151:L151,"u")+COUNTIF($E151:L151,"t")+COUNTIF($E151:L151,"¶")+COUNTIF($E151:L151,"²")+COUNTIF($E151:L151,"µ")+COUNTIF($E151:L151,1),ColLivraison)=M$6,
  VLOOKUP($E151,INDIRECT("tri!"&amp; CHAR(64+ C0Col) &amp;":"&amp; CHAR(65+C0Col)),2,FALSE)&gt;COUNTIF($E151:L151,"u")+COUNTIF($E151:L151,"t")+COUNTIF($E151:L151,"¶")+COUNTIF($E151:L151,"²")+COUNTIF($E151:L151,"µ")+COUNTIF($E151:L151,1)),
HYPERLINK("#Roadmap!C"&amp; MATCH($E151,Roadmap!$D:$D,0)+COUNTIF($E151:L151,"u")+COUNTIF($E151:L151,"t"),
     INDEX(Roadmap!$D:$K,MATCH($E151,Roadmap!$D:$D,0)+COUNTIF($E151:L151,"u")+COUNTIF($E151:L151,"t")+COUNTIF($E151:L151,"¶")+COUNTIF($E151:L151,"²")+COUNTIF($E151:L151,"µ")+COUNTIF($E151:L151,1),ColTypeEcheance)),
  IF(LEN(L151)=1,
  IF(LEN(INDEX(Roadmap!$D:$K,MATCH($E151,Roadmap!$D:$D,0)-1+COUNTIF($E151:L151,"u")+COUNTIF($E151:L151,"t")+COUNTIF($E151:L151,"¶")+COUNTIF($E151:L151,"²")+COUNTIF($E151:L151,"µ")+COUNTIF($E151:L151,1),ColDescriptionCourte))&gt;1,
HYPERLINK("#Roadmap!C"&amp; MATCH($E151,Roadmap!$D:$D,0)+COUNTIF($E151:L151,"u")+COUNTIF($E151:L151,"t")+COUNTIF($E151:L151,"¶")+COUNTIF($E151:L151,"²")+COUNTIF($E151:L151,"µ")+COUNTIF($E151:L151,1)-1,INDEX(Roadmap!$D:$K,MATCH($E151,Roadmap!$D:$D,0)-1+COUNTIF($E151:L151,"u")+COUNTIF($E151:L151,"t")+COUNTIF($E151:L151,"¶")+COUNTIF($E151:L151,"²")+COUNTIF($E151:L151,"µ")+COUNTIF($E151:L151,1),ColDescriptionCourte)),""),
  "")),"")</f>
        <v/>
      </c>
      <c r="N151" s="40" t="str">
        <f ca="1">IFERROR(IF(AND(
  INDEX(Roadmap!$D:$K,MATCH($E151,Roadmap!$D:$D,0)+COUNTIF($E151:M151,"u")+COUNTIF($E151:M151,"t")+COUNTIF($E151:M151,"¶")+COUNTIF($E151:M151,"²")+COUNTIF($E151:M151,"µ")+COUNTIF($E151:M151,1),ColLivraison)=N$6,
  VLOOKUP($E151,INDIRECT("tri!"&amp; CHAR(64+ C0Col) &amp;":"&amp; CHAR(65+C0Col)),2,FALSE)&gt;COUNTIF($E151:M151,"u")+COUNTIF($E151:M151,"t")+COUNTIF($E151:M151,"¶")+COUNTIF($E151:M151,"²")+COUNTIF($E151:M151,"µ")+COUNTIF($E151:M151,1)),
HYPERLINK("#Roadmap!C"&amp; MATCH($E151,Roadmap!$D:$D,0)+COUNTIF($E151:M151,"u")+COUNTIF($E151:M151,"t"),
     INDEX(Roadmap!$D:$K,MATCH($E151,Roadmap!$D:$D,0)+COUNTIF($E151:M151,"u")+COUNTIF($E151:M151,"t")+COUNTIF($E151:M151,"¶")+COUNTIF($E151:M151,"²")+COUNTIF($E151:M151,"µ")+COUNTIF($E151:M151,1),ColTypeEcheance)),
  IF(LEN(M151)=1,
  IF(LEN(INDEX(Roadmap!$D:$K,MATCH($E151,Roadmap!$D:$D,0)-1+COUNTIF($E151:M151,"u")+COUNTIF($E151:M151,"t")+COUNTIF($E151:M151,"¶")+COUNTIF($E151:M151,"²")+COUNTIF($E151:M151,"µ")+COUNTIF($E151:M151,1),ColDescriptionCourte))&gt;1,
HYPERLINK("#Roadmap!C"&amp; MATCH($E151,Roadmap!$D:$D,0)+COUNTIF($E151:M151,"u")+COUNTIF($E151:M151,"t")+COUNTIF($E151:M151,"¶")+COUNTIF($E151:M151,"²")+COUNTIF($E151:M151,"µ")+COUNTIF($E151:M151,1)-1,INDEX(Roadmap!$D:$K,MATCH($E151,Roadmap!$D:$D,0)-1+COUNTIF($E151:M151,"u")+COUNTIF($E151:M151,"t")+COUNTIF($E151:M151,"¶")+COUNTIF($E151:M151,"²")+COUNTIF($E151:M151,"µ")+COUNTIF($E151:M151,1),ColDescriptionCourte)),""),
  "")),"")</f>
        <v/>
      </c>
      <c r="O151" s="40" t="str">
        <f ca="1">IFERROR(IF(AND(
  INDEX(Roadmap!$D:$K,MATCH($E151,Roadmap!$D:$D,0)+COUNTIF($E151:N151,"u")+COUNTIF($E151:N151,"t")+COUNTIF($E151:N151,"¶")+COUNTIF($E151:N151,"²")+COUNTIF($E151:N151,"µ")+COUNTIF($E151:N151,1),ColLivraison)=O$6,
  VLOOKUP($E151,INDIRECT("tri!"&amp; CHAR(64+ C0Col) &amp;":"&amp; CHAR(65+C0Col)),2,FALSE)&gt;COUNTIF($E151:N151,"u")+COUNTIF($E151:N151,"t")+COUNTIF($E151:N151,"¶")+COUNTIF($E151:N151,"²")+COUNTIF($E151:N151,"µ")+COUNTIF($E151:N151,1)),
HYPERLINK("#Roadmap!C"&amp; MATCH($E151,Roadmap!$D:$D,0)+COUNTIF($E151:N151,"u")+COUNTIF($E151:N151,"t"),
     INDEX(Roadmap!$D:$K,MATCH($E151,Roadmap!$D:$D,0)+COUNTIF($E151:N151,"u")+COUNTIF($E151:N151,"t")+COUNTIF($E151:N151,"¶")+COUNTIF($E151:N151,"²")+COUNTIF($E151:N151,"µ")+COUNTIF($E151:N151,1),ColTypeEcheance)),
  IF(LEN(N151)=1,
  IF(LEN(INDEX(Roadmap!$D:$K,MATCH($E151,Roadmap!$D:$D,0)-1+COUNTIF($E151:N151,"u")+COUNTIF($E151:N151,"t")+COUNTIF($E151:N151,"¶")+COUNTIF($E151:N151,"²")+COUNTIF($E151:N151,"µ")+COUNTIF($E151:N151,1),ColDescriptionCourte))&gt;1,
HYPERLINK("#Roadmap!C"&amp; MATCH($E151,Roadmap!$D:$D,0)+COUNTIF($E151:N151,"u")+COUNTIF($E151:N151,"t")+COUNTIF($E151:N151,"¶")+COUNTIF($E151:N151,"²")+COUNTIF($E151:N151,"µ")+COUNTIF($E151:N151,1)-1,INDEX(Roadmap!$D:$K,MATCH($E151,Roadmap!$D:$D,0)-1+COUNTIF($E151:N151,"u")+COUNTIF($E151:N151,"t")+COUNTIF($E151:N151,"¶")+COUNTIF($E151:N151,"²")+COUNTIF($E151:N151,"µ")+COUNTIF($E151:N151,1),ColDescriptionCourte)),""),
  "")),"")</f>
        <v/>
      </c>
      <c r="P151" s="40" t="str">
        <f ca="1">IFERROR(IF(AND(
  INDEX(Roadmap!$D:$K,MATCH($E151,Roadmap!$D:$D,0)+COUNTIF($E151:O151,"u")+COUNTIF($E151:O151,"t")+COUNTIF($E151:O151,"¶")+COUNTIF($E151:O151,"²")+COUNTIF($E151:O151,"µ")+COUNTIF($E151:O151,1),ColLivraison)=P$6,
  VLOOKUP($E151,INDIRECT("tri!"&amp; CHAR(64+ C0Col) &amp;":"&amp; CHAR(65+C0Col)),2,FALSE)&gt;COUNTIF($E151:O151,"u")+COUNTIF($E151:O151,"t")+COUNTIF($E151:O151,"¶")+COUNTIF($E151:O151,"²")+COUNTIF($E151:O151,"µ")+COUNTIF($E151:O151,1)),
HYPERLINK("#Roadmap!C"&amp; MATCH($E151,Roadmap!$D:$D,0)+COUNTIF($E151:O151,"u")+COUNTIF($E151:O151,"t"),
     INDEX(Roadmap!$D:$K,MATCH($E151,Roadmap!$D:$D,0)+COUNTIF($E151:O151,"u")+COUNTIF($E151:O151,"t")+COUNTIF($E151:O151,"¶")+COUNTIF($E151:O151,"²")+COUNTIF($E151:O151,"µ")+COUNTIF($E151:O151,1),ColTypeEcheance)),
  IF(LEN(O151)=1,
  IF(LEN(INDEX(Roadmap!$D:$K,MATCH($E151,Roadmap!$D:$D,0)-1+COUNTIF($E151:O151,"u")+COUNTIF($E151:O151,"t")+COUNTIF($E151:O151,"¶")+COUNTIF($E151:O151,"²")+COUNTIF($E151:O151,"µ")+COUNTIF($E151:O151,1),ColDescriptionCourte))&gt;1,
HYPERLINK("#Roadmap!C"&amp; MATCH($E151,Roadmap!$D:$D,0)+COUNTIF($E151:O151,"u")+COUNTIF($E151:O151,"t")+COUNTIF($E151:O151,"¶")+COUNTIF($E151:O151,"²")+COUNTIF($E151:O151,"µ")+COUNTIF($E151:O151,1)-1,INDEX(Roadmap!$D:$K,MATCH($E151,Roadmap!$D:$D,0)-1+COUNTIF($E151:O151,"u")+COUNTIF($E151:O151,"t")+COUNTIF($E151:O151,"¶")+COUNTIF($E151:O151,"²")+COUNTIF($E151:O151,"µ")+COUNTIF($E151:O151,1),ColDescriptionCourte)),""),
  "")),"")</f>
        <v/>
      </c>
      <c r="Q151" s="40" t="str">
        <f ca="1">IFERROR(IF(AND(
  INDEX(Roadmap!$D:$K,MATCH($E151,Roadmap!$D:$D,0)+COUNTIF($E151:P151,"u")+COUNTIF($E151:P151,"t")+COUNTIF($E151:P151,"¶")+COUNTIF($E151:P151,"²")+COUNTIF($E151:P151,"µ")+COUNTIF($E151:P151,1),ColLivraison)=Q$6,
  VLOOKUP($E151,INDIRECT("tri!"&amp; CHAR(64+ C0Col) &amp;":"&amp; CHAR(65+C0Col)),2,FALSE)&gt;COUNTIF($E151:P151,"u")+COUNTIF($E151:P151,"t")+COUNTIF($E151:P151,"¶")+COUNTIF($E151:P151,"²")+COUNTIF($E151:P151,"µ")+COUNTIF($E151:P151,1)),
HYPERLINK("#Roadmap!C"&amp; MATCH($E151,Roadmap!$D:$D,0)+COUNTIF($E151:P151,"u")+COUNTIF($E151:P151,"t"),
     INDEX(Roadmap!$D:$K,MATCH($E151,Roadmap!$D:$D,0)+COUNTIF($E151:P151,"u")+COUNTIF($E151:P151,"t")+COUNTIF($E151:P151,"¶")+COUNTIF($E151:P151,"²")+COUNTIF($E151:P151,"µ")+COUNTIF($E151:P151,1),ColTypeEcheance)),
  IF(LEN(P151)=1,
  IF(LEN(INDEX(Roadmap!$D:$K,MATCH($E151,Roadmap!$D:$D,0)-1+COUNTIF($E151:P151,"u")+COUNTIF($E151:P151,"t")+COUNTIF($E151:P151,"¶")+COUNTIF($E151:P151,"²")+COUNTIF($E151:P151,"µ")+COUNTIF($E151:P151,1),ColDescriptionCourte))&gt;1,
HYPERLINK("#Roadmap!C"&amp; MATCH($E151,Roadmap!$D:$D,0)+COUNTIF($E151:P151,"u")+COUNTIF($E151:P151,"t")+COUNTIF($E151:P151,"¶")+COUNTIF($E151:P151,"²")+COUNTIF($E151:P151,"µ")+COUNTIF($E151:P151,1)-1,INDEX(Roadmap!$D:$K,MATCH($E151,Roadmap!$D:$D,0)-1+COUNTIF($E151:P151,"u")+COUNTIF($E151:P151,"t")+COUNTIF($E151:P151,"¶")+COUNTIF($E151:P151,"²")+COUNTIF($E151:P151,"µ")+COUNTIF($E151:P151,1),ColDescriptionCourte)),""),
  "")),"")</f>
        <v/>
      </c>
      <c r="R151" s="40" t="str">
        <f ca="1">IFERROR(IF(AND(
  INDEX(Roadmap!$D:$K,MATCH($E151,Roadmap!$D:$D,0)+COUNTIF($E151:Q151,"u")+COUNTIF($E151:Q151,"t")+COUNTIF($E151:Q151,"¶")+COUNTIF($E151:Q151,"²")+COUNTIF($E151:Q151,"µ")+COUNTIF($E151:Q151,1),ColLivraison)=R$6,
  VLOOKUP($E151,INDIRECT("tri!"&amp; CHAR(64+ C0Col) &amp;":"&amp; CHAR(65+C0Col)),2,FALSE)&gt;COUNTIF($E151:Q151,"u")+COUNTIF($E151:Q151,"t")+COUNTIF($E151:Q151,"¶")+COUNTIF($E151:Q151,"²")+COUNTIF($E151:Q151,"µ")+COUNTIF($E151:Q151,1)),
HYPERLINK("#Roadmap!C"&amp; MATCH($E151,Roadmap!$D:$D,0)+COUNTIF($E151:Q151,"u")+COUNTIF($E151:Q151,"t"),
     INDEX(Roadmap!$D:$K,MATCH($E151,Roadmap!$D:$D,0)+COUNTIF($E151:Q151,"u")+COUNTIF($E151:Q151,"t")+COUNTIF($E151:Q151,"¶")+COUNTIF($E151:Q151,"²")+COUNTIF($E151:Q151,"µ")+COUNTIF($E151:Q151,1),ColTypeEcheance)),
  IF(LEN(Q151)=1,
  IF(LEN(INDEX(Roadmap!$D:$K,MATCH($E151,Roadmap!$D:$D,0)-1+COUNTIF($E151:Q151,"u")+COUNTIF($E151:Q151,"t")+COUNTIF($E151:Q151,"¶")+COUNTIF($E151:Q151,"²")+COUNTIF($E151:Q151,"µ")+COUNTIF($E151:Q151,1),ColDescriptionCourte))&gt;1,
HYPERLINK("#Roadmap!C"&amp; MATCH($E151,Roadmap!$D:$D,0)+COUNTIF($E151:Q151,"u")+COUNTIF($E151:Q151,"t")+COUNTIF($E151:Q151,"¶")+COUNTIF($E151:Q151,"²")+COUNTIF($E151:Q151,"µ")+COUNTIF($E151:Q151,1)-1,INDEX(Roadmap!$D:$K,MATCH($E151,Roadmap!$D:$D,0)-1+COUNTIF($E151:Q151,"u")+COUNTIF($E151:Q151,"t")+COUNTIF($E151:Q151,"¶")+COUNTIF($E151:Q151,"²")+COUNTIF($E151:Q151,"µ")+COUNTIF($E151:Q151,1),ColDescriptionCourte)),""),
  "")),"")</f>
        <v/>
      </c>
      <c r="S151" s="40" t="str">
        <f ca="1">IFERROR(IF(AND(
  INDEX(Roadmap!$D:$K,MATCH($E151,Roadmap!$D:$D,0)+COUNTIF($E151:R151,"u")+COUNTIF($E151:R151,"t")+COUNTIF($E151:R151,"¶")+COUNTIF($E151:R151,"²")+COUNTIF($E151:R151,"µ")+COUNTIF($E151:R151,1),ColLivraison)=S$6,
  VLOOKUP($E151,INDIRECT("tri!"&amp; CHAR(64+ C0Col) &amp;":"&amp; CHAR(65+C0Col)),2,FALSE)&gt;COUNTIF($E151:R151,"u")+COUNTIF($E151:R151,"t")+COUNTIF($E151:R151,"¶")+COUNTIF($E151:R151,"²")+COUNTIF($E151:R151,"µ")+COUNTIF($E151:R151,1)),
HYPERLINK("#Roadmap!C"&amp; MATCH($E151,Roadmap!$D:$D,0)+COUNTIF($E151:R151,"u")+COUNTIF($E151:R151,"t"),
     INDEX(Roadmap!$D:$K,MATCH($E151,Roadmap!$D:$D,0)+COUNTIF($E151:R151,"u")+COUNTIF($E151:R151,"t")+COUNTIF($E151:R151,"¶")+COUNTIF($E151:R151,"²")+COUNTIF($E151:R151,"µ")+COUNTIF($E151:R151,1),ColTypeEcheance)),
  IF(LEN(R151)=1,
  IF(LEN(INDEX(Roadmap!$D:$K,MATCH($E151,Roadmap!$D:$D,0)-1+COUNTIF($E151:R151,"u")+COUNTIF($E151:R151,"t")+COUNTIF($E151:R151,"¶")+COUNTIF($E151:R151,"²")+COUNTIF($E151:R151,"µ")+COUNTIF($E151:R151,1),ColDescriptionCourte))&gt;1,
HYPERLINK("#Roadmap!C"&amp; MATCH($E151,Roadmap!$D:$D,0)+COUNTIF($E151:R151,"u")+COUNTIF($E151:R151,"t")+COUNTIF($E151:R151,"¶")+COUNTIF($E151:R151,"²")+COUNTIF($E151:R151,"µ")+COUNTIF($E151:R151,1)-1,INDEX(Roadmap!$D:$K,MATCH($E151,Roadmap!$D:$D,0)-1+COUNTIF($E151:R151,"u")+COUNTIF($E151:R151,"t")+COUNTIF($E151:R151,"¶")+COUNTIF($E151:R151,"²")+COUNTIF($E151:R151,"µ")+COUNTIF($E151:R151,1),ColDescriptionCourte)),""),
  "")),"")</f>
        <v/>
      </c>
      <c r="T151" s="40" t="str">
        <f ca="1">IFERROR(IF(AND(
  INDEX(Roadmap!$D:$K,MATCH($E151,Roadmap!$D:$D,0)+COUNTIF($E151:S151,"u")+COUNTIF($E151:S151,"t")+COUNTIF($E151:S151,"¶")+COUNTIF($E151:S151,"²")+COUNTIF($E151:S151,"µ")+COUNTIF($E151:S151,1),ColLivraison)=T$6,
  VLOOKUP($E151,INDIRECT("tri!"&amp; CHAR(64+ C0Col) &amp;":"&amp; CHAR(65+C0Col)),2,FALSE)&gt;COUNTIF($E151:S151,"u")+COUNTIF($E151:S151,"t")+COUNTIF($E151:S151,"¶")+COUNTIF($E151:S151,"²")+COUNTIF($E151:S151,"µ")+COUNTIF($E151:S151,1)),
HYPERLINK("#Roadmap!C"&amp; MATCH($E151,Roadmap!$D:$D,0)+COUNTIF($E151:S151,"u")+COUNTIF($E151:S151,"t"),
     INDEX(Roadmap!$D:$K,MATCH($E151,Roadmap!$D:$D,0)+COUNTIF($E151:S151,"u")+COUNTIF($E151:S151,"t")+COUNTIF($E151:S151,"¶")+COUNTIF($E151:S151,"²")+COUNTIF($E151:S151,"µ")+COUNTIF($E151:S151,1),ColTypeEcheance)),
  IF(LEN(S151)=1,
  IF(LEN(INDEX(Roadmap!$D:$K,MATCH($E151,Roadmap!$D:$D,0)-1+COUNTIF($E151:S151,"u")+COUNTIF($E151:S151,"t")+COUNTIF($E151:S151,"¶")+COUNTIF($E151:S151,"²")+COUNTIF($E151:S151,"µ")+COUNTIF($E151:S151,1),ColDescriptionCourte))&gt;1,
HYPERLINK("#Roadmap!C"&amp; MATCH($E151,Roadmap!$D:$D,0)+COUNTIF($E151:S151,"u")+COUNTIF($E151:S151,"t")+COUNTIF($E151:S151,"¶")+COUNTIF($E151:S151,"²")+COUNTIF($E151:S151,"µ")+COUNTIF($E151:S151,1)-1,INDEX(Roadmap!$D:$K,MATCH($E151,Roadmap!$D:$D,0)-1+COUNTIF($E151:S151,"u")+COUNTIF($E151:S151,"t")+COUNTIF($E151:S151,"¶")+COUNTIF($E151:S151,"²")+COUNTIF($E151:S151,"µ")+COUNTIF($E151:S151,1),ColDescriptionCourte)),""),
  "")),"")</f>
        <v/>
      </c>
      <c r="U151" s="40" t="str">
        <f ca="1">IFERROR(IF(AND(
  INDEX(Roadmap!$D:$K,MATCH($E151,Roadmap!$D:$D,0)+COUNTIF($E151:T151,"u")+COUNTIF($E151:T151,"t")+COUNTIF($E151:T151,"¶")+COUNTIF($E151:T151,"²")+COUNTIF($E151:T151,"µ")+COUNTIF($E151:T151,1),ColLivraison)=U$6,
  VLOOKUP($E151,INDIRECT("tri!"&amp; CHAR(64+ C0Col) &amp;":"&amp; CHAR(65+C0Col)),2,FALSE)&gt;COUNTIF($E151:T151,"u")+COUNTIF($E151:T151,"t")+COUNTIF($E151:T151,"¶")+COUNTIF($E151:T151,"²")+COUNTIF($E151:T151,"µ")+COUNTIF($E151:T151,1)),
HYPERLINK("#Roadmap!C"&amp; MATCH($E151,Roadmap!$D:$D,0)+COUNTIF($E151:T151,"u")+COUNTIF($E151:T151,"t"),
     INDEX(Roadmap!$D:$K,MATCH($E151,Roadmap!$D:$D,0)+COUNTIF($E151:T151,"u")+COUNTIF($E151:T151,"t")+COUNTIF($E151:T151,"¶")+COUNTIF($E151:T151,"²")+COUNTIF($E151:T151,"µ")+COUNTIF($E151:T151,1),ColTypeEcheance)),
  IF(LEN(T151)=1,
  IF(LEN(INDEX(Roadmap!$D:$K,MATCH($E151,Roadmap!$D:$D,0)-1+COUNTIF($E151:T151,"u")+COUNTIF($E151:T151,"t")+COUNTIF($E151:T151,"¶")+COUNTIF($E151:T151,"²")+COUNTIF($E151:T151,"µ")+COUNTIF($E151:T151,1),ColDescriptionCourte))&gt;1,
HYPERLINK("#Roadmap!C"&amp; MATCH($E151,Roadmap!$D:$D,0)+COUNTIF($E151:T151,"u")+COUNTIF($E151:T151,"t")+COUNTIF($E151:T151,"¶")+COUNTIF($E151:T151,"²")+COUNTIF($E151:T151,"µ")+COUNTIF($E151:T151,1)-1,INDEX(Roadmap!$D:$K,MATCH($E151,Roadmap!$D:$D,0)-1+COUNTIF($E151:T151,"u")+COUNTIF($E151:T151,"t")+COUNTIF($E151:T151,"¶")+COUNTIF($E151:T151,"²")+COUNTIF($E151:T151,"µ")+COUNTIF($E151:T151,1),ColDescriptionCourte)),""),
  "")),"")</f>
        <v/>
      </c>
      <c r="V151" s="40" t="str">
        <f ca="1">IFERROR(IF(AND(
  INDEX(Roadmap!$D:$K,MATCH($E151,Roadmap!$D:$D,0)+COUNTIF($E151:U151,"u")+COUNTIF($E151:U151,"t")+COUNTIF($E151:U151,"¶")+COUNTIF($E151:U151,"²")+COUNTIF($E151:U151,"µ")+COUNTIF($E151:U151,1),ColLivraison)=V$6,
  VLOOKUP($E151,INDIRECT("tri!"&amp; CHAR(64+ C0Col) &amp;":"&amp; CHAR(65+C0Col)),2,FALSE)&gt;COUNTIF($E151:U151,"u")+COUNTIF($E151:U151,"t")+COUNTIF($E151:U151,"¶")+COUNTIF($E151:U151,"²")+COUNTIF($E151:U151,"µ")+COUNTIF($E151:U151,1)),
HYPERLINK("#Roadmap!C"&amp; MATCH($E151,Roadmap!$D:$D,0)+COUNTIF($E151:U151,"u")+COUNTIF($E151:U151,"t"),
     INDEX(Roadmap!$D:$K,MATCH($E151,Roadmap!$D:$D,0)+COUNTIF($E151:U151,"u")+COUNTIF($E151:U151,"t")+COUNTIF($E151:U151,"¶")+COUNTIF($E151:U151,"²")+COUNTIF($E151:U151,"µ")+COUNTIF($E151:U151,1),ColTypeEcheance)),
  IF(LEN(U151)=1,
  IF(LEN(INDEX(Roadmap!$D:$K,MATCH($E151,Roadmap!$D:$D,0)-1+COUNTIF($E151:U151,"u")+COUNTIF($E151:U151,"t")+COUNTIF($E151:U151,"¶")+COUNTIF($E151:U151,"²")+COUNTIF($E151:U151,"µ")+COUNTIF($E151:U151,1),ColDescriptionCourte))&gt;1,
HYPERLINK("#Roadmap!C"&amp; MATCH($E151,Roadmap!$D:$D,0)+COUNTIF($E151:U151,"u")+COUNTIF($E151:U151,"t")+COUNTIF($E151:U151,"¶")+COUNTIF($E151:U151,"²")+COUNTIF($E151:U151,"µ")+COUNTIF($E151:U151,1)-1,INDEX(Roadmap!$D:$K,MATCH($E151,Roadmap!$D:$D,0)-1+COUNTIF($E151:U151,"u")+COUNTIF($E151:U151,"t")+COUNTIF($E151:U151,"¶")+COUNTIF($E151:U151,"²")+COUNTIF($E151:U151,"µ")+COUNTIF($E151:U151,1),ColDescriptionCourte)),""),
  "")),"")</f>
        <v/>
      </c>
      <c r="W151" s="40" t="str">
        <f ca="1">IFERROR(IF(AND(
  INDEX(Roadmap!$D:$K,MATCH($E151,Roadmap!$D:$D,0)+COUNTIF($E151:V151,"u")+COUNTIF($E151:V151,"t")+COUNTIF($E151:V151,"¶")+COUNTIF($E151:V151,"²")+COUNTIF($E151:V151,"µ")+COUNTIF($E151:V151,1),ColLivraison)=W$6,
  VLOOKUP($E151,INDIRECT("tri!"&amp; CHAR(64+ C0Col) &amp;":"&amp; CHAR(65+C0Col)),2,FALSE)&gt;COUNTIF($E151:V151,"u")+COUNTIF($E151:V151,"t")+COUNTIF($E151:V151,"¶")+COUNTIF($E151:V151,"²")+COUNTIF($E151:V151,"µ")+COUNTIF($E151:V151,1)),
HYPERLINK("#Roadmap!C"&amp; MATCH($E151,Roadmap!$D:$D,0)+COUNTIF($E151:V151,"u")+COUNTIF($E151:V151,"t"),
     INDEX(Roadmap!$D:$K,MATCH($E151,Roadmap!$D:$D,0)+COUNTIF($E151:V151,"u")+COUNTIF($E151:V151,"t")+COUNTIF($E151:V151,"¶")+COUNTIF($E151:V151,"²")+COUNTIF($E151:V151,"µ")+COUNTIF($E151:V151,1),ColTypeEcheance)),
  IF(LEN(V151)=1,
  IF(LEN(INDEX(Roadmap!$D:$K,MATCH($E151,Roadmap!$D:$D,0)-1+COUNTIF($E151:V151,"u")+COUNTIF($E151:V151,"t")+COUNTIF($E151:V151,"¶")+COUNTIF($E151:V151,"²")+COUNTIF($E151:V151,"µ")+COUNTIF($E151:V151,1),ColDescriptionCourte))&gt;1,
HYPERLINK("#Roadmap!C"&amp; MATCH($E151,Roadmap!$D:$D,0)+COUNTIF($E151:V151,"u")+COUNTIF($E151:V151,"t")+COUNTIF($E151:V151,"¶")+COUNTIF($E151:V151,"²")+COUNTIF($E151:V151,"µ")+COUNTIF($E151:V151,1)-1,INDEX(Roadmap!$D:$K,MATCH($E151,Roadmap!$D:$D,0)-1+COUNTIF($E151:V151,"u")+COUNTIF($E151:V151,"t")+COUNTIF($E151:V151,"¶")+COUNTIF($E151:V151,"²")+COUNTIF($E151:V151,"µ")+COUNTIF($E151:V151,1),ColDescriptionCourte)),""),
  "")),"")</f>
        <v/>
      </c>
      <c r="X151" s="40" t="str">
        <f ca="1">IFERROR(IF(AND(
  INDEX(Roadmap!$D:$K,MATCH($E151,Roadmap!$D:$D,0)+COUNTIF($E151:W151,"u")+COUNTIF($E151:W151,"t")+COUNTIF($E151:W151,"¶")+COUNTIF($E151:W151,"²")+COUNTIF($E151:W151,"µ")+COUNTIF($E151:W151,1),ColLivraison)=X$6,
  VLOOKUP($E151,INDIRECT("tri!"&amp; CHAR(64+ C0Col) &amp;":"&amp; CHAR(65+C0Col)),2,FALSE)&gt;COUNTIF($E151:W151,"u")+COUNTIF($E151:W151,"t")+COUNTIF($E151:W151,"¶")+COUNTIF($E151:W151,"²")+COUNTIF($E151:W151,"µ")+COUNTIF($E151:W151,1)),
HYPERLINK("#Roadmap!C"&amp; MATCH($E151,Roadmap!$D:$D,0)+COUNTIF($E151:W151,"u")+COUNTIF($E151:W151,"t"),
     INDEX(Roadmap!$D:$K,MATCH($E151,Roadmap!$D:$D,0)+COUNTIF($E151:W151,"u")+COUNTIF($E151:W151,"t")+COUNTIF($E151:W151,"¶")+COUNTIF($E151:W151,"²")+COUNTIF($E151:W151,"µ")+COUNTIF($E151:W151,1),ColTypeEcheance)),
  IF(LEN(W151)=1,
  IF(LEN(INDEX(Roadmap!$D:$K,MATCH($E151,Roadmap!$D:$D,0)-1+COUNTIF($E151:W151,"u")+COUNTIF($E151:W151,"t")+COUNTIF($E151:W151,"¶")+COUNTIF($E151:W151,"²")+COUNTIF($E151:W151,"µ")+COUNTIF($E151:W151,1),ColDescriptionCourte))&gt;1,
HYPERLINK("#Roadmap!C"&amp; MATCH($E151,Roadmap!$D:$D,0)+COUNTIF($E151:W151,"u")+COUNTIF($E151:W151,"t")+COUNTIF($E151:W151,"¶")+COUNTIF($E151:W151,"²")+COUNTIF($E151:W151,"µ")+COUNTIF($E151:W151,1)-1,INDEX(Roadmap!$D:$K,MATCH($E151,Roadmap!$D:$D,0)-1+COUNTIF($E151:W151,"u")+COUNTIF($E151:W151,"t")+COUNTIF($E151:W151,"¶")+COUNTIF($E151:W151,"²")+COUNTIF($E151:W151,"µ")+COUNTIF($E151:W151,1),ColDescriptionCourte)),""),
  "")),"")</f>
        <v/>
      </c>
      <c r="Y151" s="40" t="str">
        <f ca="1">IFERROR(IF(AND(
  INDEX(Roadmap!$D:$K,MATCH($E151,Roadmap!$D:$D,0)+COUNTIF($E151:X151,"u")+COUNTIF($E151:X151,"t")+COUNTIF($E151:X151,"¶")+COUNTIF($E151:X151,"²")+COUNTIF($E151:X151,"µ")+COUNTIF($E151:X151,1),ColLivraison)=Y$6,
  VLOOKUP($E151,INDIRECT("tri!"&amp; CHAR(64+ C0Col) &amp;":"&amp; CHAR(65+C0Col)),2,FALSE)&gt;COUNTIF($E151:X151,"u")+COUNTIF($E151:X151,"t")+COUNTIF($E151:X151,"¶")+COUNTIF($E151:X151,"²")+COUNTIF($E151:X151,"µ")+COUNTIF($E151:X151,1)),
HYPERLINK("#Roadmap!C"&amp; MATCH($E151,Roadmap!$D:$D,0)+COUNTIF($E151:X151,"u")+COUNTIF($E151:X151,"t"),
     INDEX(Roadmap!$D:$K,MATCH($E151,Roadmap!$D:$D,0)+COUNTIF($E151:X151,"u")+COUNTIF($E151:X151,"t")+COUNTIF($E151:X151,"¶")+COUNTIF($E151:X151,"²")+COUNTIF($E151:X151,"µ")+COUNTIF($E151:X151,1),ColTypeEcheance)),
  IF(LEN(X151)=1,
  IF(LEN(INDEX(Roadmap!$D:$K,MATCH($E151,Roadmap!$D:$D,0)-1+COUNTIF($E151:X151,"u")+COUNTIF($E151:X151,"t")+COUNTIF($E151:X151,"¶")+COUNTIF($E151:X151,"²")+COUNTIF($E151:X151,"µ")+COUNTIF($E151:X151,1),ColDescriptionCourte))&gt;1,
HYPERLINK("#Roadmap!C"&amp; MATCH($E151,Roadmap!$D:$D,0)+COUNTIF($E151:X151,"u")+COUNTIF($E151:X151,"t")+COUNTIF($E151:X151,"¶")+COUNTIF($E151:X151,"²")+COUNTIF($E151:X151,"µ")+COUNTIF($E151:X151,1)-1,INDEX(Roadmap!$D:$K,MATCH($E151,Roadmap!$D:$D,0)-1+COUNTIF($E151:X151,"u")+COUNTIF($E151:X151,"t")+COUNTIF($E151:X151,"¶")+COUNTIF($E151:X151,"²")+COUNTIF($E151:X151,"µ")+COUNTIF($E151:X151,1),ColDescriptionCourte)),""),
  "")),"")</f>
        <v/>
      </c>
      <c r="Z151" s="40" t="str">
        <f ca="1">IFERROR(IF(AND(
  INDEX(Roadmap!$D:$K,MATCH($E151,Roadmap!$D:$D,0)+COUNTIF($E151:Y151,"u")+COUNTIF($E151:Y151,"t")+COUNTIF($E151:Y151,"¶")+COUNTIF($E151:Y151,"²")+COUNTIF($E151:Y151,"µ")+COUNTIF($E151:Y151,1),ColLivraison)=Z$6,
  VLOOKUP($E151,INDIRECT("tri!"&amp; CHAR(64+ C0Col) &amp;":"&amp; CHAR(65+C0Col)),2,FALSE)&gt;COUNTIF($E151:Y151,"u")+COUNTIF($E151:Y151,"t")+COUNTIF($E151:Y151,"¶")+COUNTIF($E151:Y151,"²")+COUNTIF($E151:Y151,"µ")+COUNTIF($E151:Y151,1)),
HYPERLINK("#Roadmap!C"&amp; MATCH($E151,Roadmap!$D:$D,0)+COUNTIF($E151:Y151,"u")+COUNTIF($E151:Y151,"t"),
     INDEX(Roadmap!$D:$K,MATCH($E151,Roadmap!$D:$D,0)+COUNTIF($E151:Y151,"u")+COUNTIF($E151:Y151,"t")+COUNTIF($E151:Y151,"¶")+COUNTIF($E151:Y151,"²")+COUNTIF($E151:Y151,"µ")+COUNTIF($E151:Y151,1),ColTypeEcheance)),
  IF(LEN(Y151)=1,
  IF(LEN(INDEX(Roadmap!$D:$K,MATCH($E151,Roadmap!$D:$D,0)-1+COUNTIF($E151:Y151,"u")+COUNTIF($E151:Y151,"t")+COUNTIF($E151:Y151,"¶")+COUNTIF($E151:Y151,"²")+COUNTIF($E151:Y151,"µ")+COUNTIF($E151:Y151,1),ColDescriptionCourte))&gt;1,
HYPERLINK("#Roadmap!C"&amp; MATCH($E151,Roadmap!$D:$D,0)+COUNTIF($E151:Y151,"u")+COUNTIF($E151:Y151,"t")+COUNTIF($E151:Y151,"¶")+COUNTIF($E151:Y151,"²")+COUNTIF($E151:Y151,"µ")+COUNTIF($E151:Y151,1)-1,INDEX(Roadmap!$D:$K,MATCH($E151,Roadmap!$D:$D,0)-1+COUNTIF($E151:Y151,"u")+COUNTIF($E151:Y151,"t")+COUNTIF($E151:Y151,"¶")+COUNTIF($E151:Y151,"²")+COUNTIF($E151:Y151,"µ")+COUNTIF($E151:Y151,1),ColDescriptionCourte)),""),
  "")),"")</f>
        <v/>
      </c>
      <c r="AA151" s="40" t="str">
        <f ca="1">IFERROR(IF(AND(
  INDEX(Roadmap!$D:$K,MATCH($E151,Roadmap!$D:$D,0)+COUNTIF($E151:Z151,"u")+COUNTIF($E151:Z151,"t")+COUNTIF($E151:Z151,"¶")+COUNTIF($E151:Z151,"²")+COUNTIF($E151:Z151,"µ")+COUNTIF($E151:Z151,1),ColLivraison)=AA$6,
  VLOOKUP($E151,INDIRECT("tri!"&amp; CHAR(64+ C0Col) &amp;":"&amp; CHAR(65+C0Col)),2,FALSE)&gt;COUNTIF($E151:Z151,"u")+COUNTIF($E151:Z151,"t")+COUNTIF($E151:Z151,"¶")+COUNTIF($E151:Z151,"²")+COUNTIF($E151:Z151,"µ")+COUNTIF($E151:Z151,1)),
HYPERLINK("#Roadmap!C"&amp; MATCH($E151,Roadmap!$D:$D,0)+COUNTIF($E151:Z151,"u")+COUNTIF($E151:Z151,"t"),
     INDEX(Roadmap!$D:$K,MATCH($E151,Roadmap!$D:$D,0)+COUNTIF($E151:Z151,"u")+COUNTIF($E151:Z151,"t")+COUNTIF($E151:Z151,"¶")+COUNTIF($E151:Z151,"²")+COUNTIF($E151:Z151,"µ")+COUNTIF($E151:Z151,1),ColTypeEcheance)),
  IF(LEN(Z151)=1,
  IF(LEN(INDEX(Roadmap!$D:$K,MATCH($E151,Roadmap!$D:$D,0)-1+COUNTIF($E151:Z151,"u")+COUNTIF($E151:Z151,"t")+COUNTIF($E151:Z151,"¶")+COUNTIF($E151:Z151,"²")+COUNTIF($E151:Z151,"µ")+COUNTIF($E151:Z151,1),ColDescriptionCourte))&gt;1,
HYPERLINK("#Roadmap!C"&amp; MATCH($E151,Roadmap!$D:$D,0)+COUNTIF($E151:Z151,"u")+COUNTIF($E151:Z151,"t")+COUNTIF($E151:Z151,"¶")+COUNTIF($E151:Z151,"²")+COUNTIF($E151:Z151,"µ")+COUNTIF($E151:Z151,1)-1,INDEX(Roadmap!$D:$K,MATCH($E151,Roadmap!$D:$D,0)-1+COUNTIF($E151:Z151,"u")+COUNTIF($E151:Z151,"t")+COUNTIF($E151:Z151,"¶")+COUNTIF($E151:Z151,"²")+COUNTIF($E151:Z151,"µ")+COUNTIF($E151:Z151,1),ColDescriptionCourte)),""),
  "")),"")</f>
        <v/>
      </c>
      <c r="AB151" s="40" t="str">
        <f ca="1">IFERROR(IF(AND(
  INDEX(Roadmap!$D:$K,MATCH($E151,Roadmap!$D:$D,0)+COUNTIF($E151:AA151,"u")+COUNTIF($E151:AA151,"t")+COUNTIF($E151:AA151,"¶")+COUNTIF($E151:AA151,"²")+COUNTIF($E151:AA151,"µ")+COUNTIF($E151:AA151,1),ColLivraison)=AB$6,
  VLOOKUP($E151,INDIRECT("tri!"&amp; CHAR(64+ C0Col) &amp;":"&amp; CHAR(65+C0Col)),2,FALSE)&gt;COUNTIF($E151:AA151,"u")+COUNTIF($E151:AA151,"t")+COUNTIF($E151:AA151,"¶")+COUNTIF($E151:AA151,"²")+COUNTIF($E151:AA151,"µ")+COUNTIF($E151:AA151,1)),
HYPERLINK("#Roadmap!C"&amp; MATCH($E151,Roadmap!$D:$D,0)+COUNTIF($E151:AA151,"u")+COUNTIF($E151:AA151,"t"),
     INDEX(Roadmap!$D:$K,MATCH($E151,Roadmap!$D:$D,0)+COUNTIF($E151:AA151,"u")+COUNTIF($E151:AA151,"t")+COUNTIF($E151:AA151,"¶")+COUNTIF($E151:AA151,"²")+COUNTIF($E151:AA151,"µ")+COUNTIF($E151:AA151,1),ColTypeEcheance)),
  IF(LEN(AA151)=1,
  IF(LEN(INDEX(Roadmap!$D:$K,MATCH($E151,Roadmap!$D:$D,0)-1+COUNTIF($E151:AA151,"u")+COUNTIF($E151:AA151,"t")+COUNTIF($E151:AA151,"¶")+COUNTIF($E151:AA151,"²")+COUNTIF($E151:AA151,"µ")+COUNTIF($E151:AA151,1),ColDescriptionCourte))&gt;1,
HYPERLINK("#Roadmap!C"&amp; MATCH($E151,Roadmap!$D:$D,0)+COUNTIF($E151:AA151,"u")+COUNTIF($E151:AA151,"t")+COUNTIF($E151:AA151,"¶")+COUNTIF($E151:AA151,"²")+COUNTIF($E151:AA151,"µ")+COUNTIF($E151:AA151,1)-1,INDEX(Roadmap!$D:$K,MATCH($E151,Roadmap!$D:$D,0)-1+COUNTIF($E151:AA151,"u")+COUNTIF($E151:AA151,"t")+COUNTIF($E151:AA151,"¶")+COUNTIF($E151:AA151,"²")+COUNTIF($E151:AA151,"µ")+COUNTIF($E151:AA151,1),ColDescriptionCourte)),""),
  "")),"")</f>
        <v/>
      </c>
      <c r="AC151" s="40" t="str">
        <f ca="1">IFERROR(IF(AND(
  INDEX(Roadmap!$D:$K,MATCH($E151,Roadmap!$D:$D,0)+COUNTIF($E151:AB151,"u")+COUNTIF($E151:AB151,"t")+COUNTIF($E151:AB151,"¶")+COUNTIF($E151:AB151,"²")+COUNTIF($E151:AB151,"µ")+COUNTIF($E151:AB151,1),ColLivraison)=AC$6,
  VLOOKUP($E151,INDIRECT("tri!"&amp; CHAR(64+ C0Col) &amp;":"&amp; CHAR(65+C0Col)),2,FALSE)&gt;COUNTIF($E151:AB151,"u")+COUNTIF($E151:AB151,"t")+COUNTIF($E151:AB151,"¶")+COUNTIF($E151:AB151,"²")+COUNTIF($E151:AB151,"µ")+COUNTIF($E151:AB151,1)),
HYPERLINK("#Roadmap!C"&amp; MATCH($E151,Roadmap!$D:$D,0)+COUNTIF($E151:AB151,"u")+COUNTIF($E151:AB151,"t"),
     INDEX(Roadmap!$D:$K,MATCH($E151,Roadmap!$D:$D,0)+COUNTIF($E151:AB151,"u")+COUNTIF($E151:AB151,"t")+COUNTIF($E151:AB151,"¶")+COUNTIF($E151:AB151,"²")+COUNTIF($E151:AB151,"µ")+COUNTIF($E151:AB151,1),ColTypeEcheance)),
  IF(LEN(AB151)=1,
  IF(LEN(INDEX(Roadmap!$D:$K,MATCH($E151,Roadmap!$D:$D,0)-1+COUNTIF($E151:AB151,"u")+COUNTIF($E151:AB151,"t")+COUNTIF($E151:AB151,"¶")+COUNTIF($E151:AB151,"²")+COUNTIF($E151:AB151,"µ")+COUNTIF($E151:AB151,1),ColDescriptionCourte))&gt;1,
HYPERLINK("#Roadmap!C"&amp; MATCH($E151,Roadmap!$D:$D,0)+COUNTIF($E151:AB151,"u")+COUNTIF($E151:AB151,"t")+COUNTIF($E151:AB151,"¶")+COUNTIF($E151:AB151,"²")+COUNTIF($E151:AB151,"µ")+COUNTIF($E151:AB151,1)-1,INDEX(Roadmap!$D:$K,MATCH($E151,Roadmap!$D:$D,0)-1+COUNTIF($E151:AB151,"u")+COUNTIF($E151:AB151,"t")+COUNTIF($E151:AB151,"¶")+COUNTIF($E151:AB151,"²")+COUNTIF($E151:AB151,"µ")+COUNTIF($E151:AB151,1),ColDescriptionCourte)),""),
  "")),"")</f>
        <v/>
      </c>
      <c r="AD151" s="40" t="str">
        <f ca="1">IFERROR(IF(AND(
  INDEX(Roadmap!$D:$K,MATCH($E151,Roadmap!$D:$D,0)+COUNTIF($E151:AC151,"u")+COUNTIF($E151:AC151,"t")+COUNTIF($E151:AC151,"¶")+COUNTIF($E151:AC151,"²")+COUNTIF($E151:AC151,"µ")+COUNTIF($E151:AC151,1),ColLivraison)=AD$6,
  VLOOKUP($E151,INDIRECT("tri!"&amp; CHAR(64+ C0Col) &amp;":"&amp; CHAR(65+C0Col)),2,FALSE)&gt;COUNTIF($E151:AC151,"u")+COUNTIF($E151:AC151,"t")+COUNTIF($E151:AC151,"¶")+COUNTIF($E151:AC151,"²")+COUNTIF($E151:AC151,"µ")+COUNTIF($E151:AC151,1)),
HYPERLINK("#Roadmap!C"&amp; MATCH($E151,Roadmap!$D:$D,0)+COUNTIF($E151:AC151,"u")+COUNTIF($E151:AC151,"t"),
     INDEX(Roadmap!$D:$K,MATCH($E151,Roadmap!$D:$D,0)+COUNTIF($E151:AC151,"u")+COUNTIF($E151:AC151,"t")+COUNTIF($E151:AC151,"¶")+COUNTIF($E151:AC151,"²")+COUNTIF($E151:AC151,"µ")+COUNTIF($E151:AC151,1),ColTypeEcheance)),
  IF(LEN(AC151)=1,
  IF(LEN(INDEX(Roadmap!$D:$K,MATCH($E151,Roadmap!$D:$D,0)-1+COUNTIF($E151:AC151,"u")+COUNTIF($E151:AC151,"t")+COUNTIF($E151:AC151,"¶")+COUNTIF($E151:AC151,"²")+COUNTIF($E151:AC151,"µ")+COUNTIF($E151:AC151,1),ColDescriptionCourte))&gt;1,
HYPERLINK("#Roadmap!C"&amp; MATCH($E151,Roadmap!$D:$D,0)+COUNTIF($E151:AC151,"u")+COUNTIF($E151:AC151,"t")+COUNTIF($E151:AC151,"¶")+COUNTIF($E151:AC151,"²")+COUNTIF($E151:AC151,"µ")+COUNTIF($E151:AC151,1)-1,INDEX(Roadmap!$D:$K,MATCH($E151,Roadmap!$D:$D,0)-1+COUNTIF($E151:AC151,"u")+COUNTIF($E151:AC151,"t")+COUNTIF($E151:AC151,"¶")+COUNTIF($E151:AC151,"²")+COUNTIF($E151:AC151,"µ")+COUNTIF($E151:AC151,1),ColDescriptionCourte)),""),
  "")),"")</f>
        <v/>
      </c>
      <c r="AE151" s="40" t="str">
        <f ca="1">IFERROR(IF(AND(
  INDEX(Roadmap!$D:$K,MATCH($E151,Roadmap!$D:$D,0)+COUNTIF($E151:AD151,"u")+COUNTIF($E151:AD151,"t")+COUNTIF($E151:AD151,"¶")+COUNTIF($E151:AD151,"²")+COUNTIF($E151:AD151,"µ")+COUNTIF($E151:AD151,1),ColLivraison)=AE$6,
  VLOOKUP($E151,INDIRECT("tri!"&amp; CHAR(64+ C0Col) &amp;":"&amp; CHAR(65+C0Col)),2,FALSE)&gt;COUNTIF($E151:AD151,"u")+COUNTIF($E151:AD151,"t")+COUNTIF($E151:AD151,"¶")+COUNTIF($E151:AD151,"²")+COUNTIF($E151:AD151,"µ")+COUNTIF($E151:AD151,1)),
HYPERLINK("#Roadmap!C"&amp; MATCH($E151,Roadmap!$D:$D,0)+COUNTIF($E151:AD151,"u")+COUNTIF($E151:AD151,"t"),
     INDEX(Roadmap!$D:$K,MATCH($E151,Roadmap!$D:$D,0)+COUNTIF($E151:AD151,"u")+COUNTIF($E151:AD151,"t")+COUNTIF($E151:AD151,"¶")+COUNTIF($E151:AD151,"²")+COUNTIF($E151:AD151,"µ")+COUNTIF($E151:AD151,1),ColTypeEcheance)),
  IF(LEN(AD151)=1,
  IF(LEN(INDEX(Roadmap!$D:$K,MATCH($E151,Roadmap!$D:$D,0)-1+COUNTIF($E151:AD151,"u")+COUNTIF($E151:AD151,"t")+COUNTIF($E151:AD151,"¶")+COUNTIF($E151:AD151,"²")+COUNTIF($E151:AD151,"µ")+COUNTIF($E151:AD151,1),ColDescriptionCourte))&gt;1,
HYPERLINK("#Roadmap!C"&amp; MATCH($E151,Roadmap!$D:$D,0)+COUNTIF($E151:AD151,"u")+COUNTIF($E151:AD151,"t")+COUNTIF($E151:AD151,"¶")+COUNTIF($E151:AD151,"²")+COUNTIF($E151:AD151,"µ")+COUNTIF($E151:AD151,1)-1,INDEX(Roadmap!$D:$K,MATCH($E151,Roadmap!$D:$D,0)-1+COUNTIF($E151:AD151,"u")+COUNTIF($E151:AD151,"t")+COUNTIF($E151:AD151,"¶")+COUNTIF($E151:AD151,"²")+COUNTIF($E151:AD151,"µ")+COUNTIF($E151:AD151,1),ColDescriptionCourte)),""),
  "")),"")</f>
        <v/>
      </c>
      <c r="AF151" s="40" t="str">
        <f ca="1">IFERROR(IF(AND(
  INDEX(Roadmap!$D:$K,MATCH($E151,Roadmap!$D:$D,0)+COUNTIF($E151:AE151,"u")+COUNTIF($E151:AE151,"t")+COUNTIF($E151:AE151,"¶")+COUNTIF($E151:AE151,"²")+COUNTIF($E151:AE151,"µ")+COUNTIF($E151:AE151,1),ColLivraison)=AF$6,
  VLOOKUP($E151,INDIRECT("tri!"&amp; CHAR(64+ C0Col) &amp;":"&amp; CHAR(65+C0Col)),2,FALSE)&gt;COUNTIF($E151:AE151,"u")+COUNTIF($E151:AE151,"t")+COUNTIF($E151:AE151,"¶")+COUNTIF($E151:AE151,"²")+COUNTIF($E151:AE151,"µ")+COUNTIF($E151:AE151,1)),
HYPERLINK("#Roadmap!C"&amp; MATCH($E151,Roadmap!$D:$D,0)+COUNTIF($E151:AE151,"u")+COUNTIF($E151:AE151,"t"),
     INDEX(Roadmap!$D:$K,MATCH($E151,Roadmap!$D:$D,0)+COUNTIF($E151:AE151,"u")+COUNTIF($E151:AE151,"t")+COUNTIF($E151:AE151,"¶")+COUNTIF($E151:AE151,"²")+COUNTIF($E151:AE151,"µ")+COUNTIF($E151:AE151,1),ColTypeEcheance)),
  IF(LEN(AE151)=1,
  IF(LEN(INDEX(Roadmap!$D:$K,MATCH($E151,Roadmap!$D:$D,0)-1+COUNTIF($E151:AE151,"u")+COUNTIF($E151:AE151,"t")+COUNTIF($E151:AE151,"¶")+COUNTIF($E151:AE151,"²")+COUNTIF($E151:AE151,"µ")+COUNTIF($E151:AE151,1),ColDescriptionCourte))&gt;1,
HYPERLINK("#Roadmap!C"&amp; MATCH($E151,Roadmap!$D:$D,0)+COUNTIF($E151:AE151,"u")+COUNTIF($E151:AE151,"t")+COUNTIF($E151:AE151,"¶")+COUNTIF($E151:AE151,"²")+COUNTIF($E151:AE151,"µ")+COUNTIF($E151:AE151,1)-1,INDEX(Roadmap!$D:$K,MATCH($E151,Roadmap!$D:$D,0)-1+COUNTIF($E151:AE151,"u")+COUNTIF($E151:AE151,"t")+COUNTIF($E151:AE151,"¶")+COUNTIF($E151:AE151,"²")+COUNTIF($E151:AE151,"µ")+COUNTIF($E151:AE151,1),ColDescriptionCourte)),""),
  "")),"")</f>
        <v/>
      </c>
      <c r="AG151" s="40" t="str">
        <f ca="1">IFERROR(IF(AND(
  INDEX(Roadmap!$D:$K,MATCH($E151,Roadmap!$D:$D,0)+COUNTIF($E151:AF151,"u")+COUNTIF($E151:AF151,"t")+COUNTIF($E151:AF151,"¶")+COUNTIF($E151:AF151,"²")+COUNTIF($E151:AF151,"µ")+COUNTIF($E151:AF151,1),ColLivraison)=AG$6,
  VLOOKUP($E151,INDIRECT("tri!"&amp; CHAR(64+ C0Col) &amp;":"&amp; CHAR(65+C0Col)),2,FALSE)&gt;COUNTIF($E151:AF151,"u")+COUNTIF($E151:AF151,"t")+COUNTIF($E151:AF151,"¶")+COUNTIF($E151:AF151,"²")+COUNTIF($E151:AF151,"µ")+COUNTIF($E151:AF151,1)),
HYPERLINK("#Roadmap!C"&amp; MATCH($E151,Roadmap!$D:$D,0)+COUNTIF($E151:AF151,"u")+COUNTIF($E151:AF151,"t"),
     INDEX(Roadmap!$D:$K,MATCH($E151,Roadmap!$D:$D,0)+COUNTIF($E151:AF151,"u")+COUNTIF($E151:AF151,"t")+COUNTIF($E151:AF151,"¶")+COUNTIF($E151:AF151,"²")+COUNTIF($E151:AF151,"µ")+COUNTIF($E151:AF151,1),ColTypeEcheance)),
  IF(LEN(AF151)=1,
  IF(LEN(INDEX(Roadmap!$D:$K,MATCH($E151,Roadmap!$D:$D,0)-1+COUNTIF($E151:AF151,"u")+COUNTIF($E151:AF151,"t")+COUNTIF($E151:AF151,"¶")+COUNTIF($E151:AF151,"²")+COUNTIF($E151:AF151,"µ")+COUNTIF($E151:AF151,1),ColDescriptionCourte))&gt;1,
HYPERLINK("#Roadmap!C"&amp; MATCH($E151,Roadmap!$D:$D,0)+COUNTIF($E151:AF151,"u")+COUNTIF($E151:AF151,"t")+COUNTIF($E151:AF151,"¶")+COUNTIF($E151:AF151,"²")+COUNTIF($E151:AF151,"µ")+COUNTIF($E151:AF151,1)-1,INDEX(Roadmap!$D:$K,MATCH($E151,Roadmap!$D:$D,0)-1+COUNTIF($E151:AF151,"u")+COUNTIF($E151:AF151,"t")+COUNTIF($E151:AF151,"¶")+COUNTIF($E151:AF151,"²")+COUNTIF($E151:AF151,"µ")+COUNTIF($E151:AF151,1),ColDescriptionCourte)),""),
  "")),"")</f>
        <v/>
      </c>
      <c r="AH151" s="40" t="str">
        <f ca="1">IFERROR(IF(AND(
  INDEX(Roadmap!$D:$K,MATCH($E151,Roadmap!$D:$D,0)+COUNTIF($E151:AG151,"u")+COUNTIF($E151:AG151,"t")+COUNTIF($E151:AG151,1),ColLivraison)=AH$6,
  VLOOKUP($E151,INDIRECT("tri!"&amp; CHAR(64+ C0Col) &amp;":"&amp; CHAR(65+C0Col)),2,FALSE)&gt;COUNTIF($E151:AG151,"u")+COUNTIF($E151:AG151,"t")+COUNTIF($E151:AG151,1)),
HYPERLINK("#Roadmap!C"&amp; MATCH($E151,Roadmap!$D:$D,0)+COUNTIF($E151:AG151,"u")+COUNTIF($E151:AG151,"t"),
     INDEX(Roadmap!$D:$K,MATCH($E151,Roadmap!$D:$D,0)+COUNTIF($E151:AG151,"u")+COUNTIF($E151:AG151,"t")+COUNTIF($E151:AG151,1),ColTypeEcheance)),
  IF(OR(AG151="u",AG151="t",AG151=1),
  IF(LEN(INDEX(Roadmap!$D:$K,MATCH($E151,Roadmap!$D:$D,0)-1+COUNTIF($E151:AG151,"u")+COUNTIF($E151:AG151,"t")+COUNTIF($E151:AG151,1),ColDescriptionCourte))&gt;1,
HYPERLINK("#Roadmap!C"&amp; MATCH($E151,Roadmap!$D:$D,0)+COUNTIF($E151:AG151,"u")+COUNTIF($E151:AG151,"t")+COUNTIF($E151:AG151,1)-1,INDEX(Roadmap!$D:$K,MATCH($E151,Roadmap!$D:$D,0)-1+COUNTIF($E151:AG151,"u")+COUNTIF($E151:AG151,"t")+COUNTIF($E151:AG151,1),ColDescriptionCourte)),""),
  "")),"")</f>
        <v/>
      </c>
      <c r="AI151" s="40"/>
      <c r="AJ151" s="40"/>
      <c r="AK151" s="40"/>
      <c r="AL151" s="40"/>
      <c r="AM151" s="40"/>
    </row>
    <row r="152" spans="4:39" ht="14.1" customHeight="1">
      <c r="D152" s="20" t="str">
        <f t="shared" ca="1" si="31"/>
        <v/>
      </c>
      <c r="E152" s="53" t="str">
        <f t="shared" ca="1" si="32"/>
        <v/>
      </c>
      <c r="F152" s="39" t="str">
        <f ca="1">IFERROR(IF(AND(
  INDEX(Roadmap!$D:$K,MATCH($E152,Roadmap!$D:$D,0)+COUNTIF($E152:E152,"u")+COUNTIF($E152:E152,"t")+COUNTIF($E152:E152,"¶")+COUNTIF($E152:E152,"²")+COUNTIF($E152:E152,"µ")+COUNTIF($E152:E152,1),ColLivraison)=F$6,
  VLOOKUP($E152,INDIRECT("tri!"&amp; CHAR(64+ C0Col) &amp;":"&amp; CHAR(65+C0Col)),2,FALSE)&gt;COUNTIF($E152:E152,"u")+COUNTIF($E152:E152,"t")+COUNTIF($E152:E152,"¶")+COUNTIF($E152:E152,"²")+COUNTIF($E152:E152,"µ")+COUNTIF($E152:E152,1)),
HYPERLINK("#Roadmap!C"&amp; MATCH($E152,Roadmap!$D:$D,0)+COUNTIF($E152:E152,"u")+COUNTIF($E152:E152,"t"),
     INDEX(Roadmap!$D:$K,MATCH($E152,Roadmap!$D:$D,0)+COUNTIF($E152:E152,"u")+COUNTIF($E152:E152,"t")+COUNTIF($E152:E152,"¶")+COUNTIF($E152:E152,"²")+COUNTIF($E152:E152,"µ")+COUNTIF($E152:E152,1),ColTypeEcheance)),
  IF(LEN(E152)=1,
  IF(LEN(INDEX(Roadmap!$D:$K,MATCH($E152,Roadmap!$D:$D,0)-1+COUNTIF($E152:E152,"u")+COUNTIF($E152:E152,"t")+COUNTIF($E152:E152,"¶")+COUNTIF($E152:E152,"²")+COUNTIF($E152:E152,"µ")+COUNTIF($E152:E152,1),ColDescriptionCourte))&gt;1,
HYPERLINK("#Roadmap!C"&amp; MATCH($E152,Roadmap!$D:$D,0)+COUNTIF($E152:E152,"u")+COUNTIF($E152:E152,"t")+COUNTIF($E152:E152,"¶")+COUNTIF($E152:E152,"²")+COUNTIF($E152:E152,"µ")+COUNTIF($E152:E152,1)-1,INDEX(Roadmap!$D:$K,MATCH($E152,Roadmap!$D:$D,0)-1+COUNTIF($E152:E152,"u")+COUNTIF($E152:E152,"t")+COUNTIF($E152:E152,"¶")+COUNTIF($E152:E152,"²")+COUNTIF($E152:E152,"µ")+COUNTIF($E152:E152,1),ColDescriptionCourte)),""),
  "")),"")</f>
        <v/>
      </c>
      <c r="G152" s="40" t="str">
        <f ca="1">IFERROR(IF(AND(
  INDEX(Roadmap!$D:$K,MATCH($E152,Roadmap!$D:$D,0)+COUNTIF($E152:F152,"u")+COUNTIF($E152:F152,"t")+COUNTIF($E152:F152,"¶")+COUNTIF($E152:F152,"²")+COUNTIF($E152:F152,"µ")+COUNTIF($E152:F152,1),ColLivraison)=G$6,
  VLOOKUP($E152,INDIRECT("tri!"&amp; CHAR(64+ C0Col) &amp;":"&amp; CHAR(65+C0Col)),2,FALSE)&gt;COUNTIF($E152:F152,"u")+COUNTIF($E152:F152,"t")+COUNTIF($E152:F152,"¶")+COUNTIF($E152:F152,"²")+COUNTIF($E152:F152,"µ")+COUNTIF($E152:F152,1)),
HYPERLINK("#Roadmap!C"&amp; MATCH($E152,Roadmap!$D:$D,0)+COUNTIF($E152:F152,"u")+COUNTIF($E152:F152,"t"),
     INDEX(Roadmap!$D:$K,MATCH($E152,Roadmap!$D:$D,0)+COUNTIF($E152:F152,"u")+COUNTIF($E152:F152,"t")+COUNTIF($E152:F152,"¶")+COUNTIF($E152:F152,"²")+COUNTIF($E152:F152,"µ")+COUNTIF($E152:F152,1),ColTypeEcheance)),
  IF(LEN(F152)=1,
  IF(LEN(INDEX(Roadmap!$D:$K,MATCH($E152,Roadmap!$D:$D,0)-1+COUNTIF($E152:F152,"u")+COUNTIF($E152:F152,"t")+COUNTIF($E152:F152,"¶")+COUNTIF($E152:F152,"²")+COUNTIF($E152:F152,"µ")+COUNTIF($E152:F152,1),ColDescriptionCourte))&gt;1,
HYPERLINK("#Roadmap!C"&amp; MATCH($E152,Roadmap!$D:$D,0)+COUNTIF($E152:F152,"u")+COUNTIF($E152:F152,"t")+COUNTIF($E152:F152,"¶")+COUNTIF($E152:F152,"²")+COUNTIF($E152:F152,"µ")+COUNTIF($E152:F152,1)-1,INDEX(Roadmap!$D:$K,MATCH($E152,Roadmap!$D:$D,0)-1+COUNTIF($E152:F152,"u")+COUNTIF($E152:F152,"t")+COUNTIF($E152:F152,"¶")+COUNTIF($E152:F152,"²")+COUNTIF($E152:F152,"µ")+COUNTIF($E152:F152,1),ColDescriptionCourte)),""),
  "")),"")</f>
        <v/>
      </c>
      <c r="H152" s="40" t="str">
        <f ca="1">IFERROR(IF(AND(
  INDEX(Roadmap!$D:$K,MATCH($E152,Roadmap!$D:$D,0)+COUNTIF($E152:G152,"u")+COUNTIF($E152:G152,"t")+COUNTIF($E152:G152,"¶")+COUNTIF($E152:G152,"²")+COUNTIF($E152:G152,"µ")+COUNTIF($E152:G152,1),ColLivraison)=H$6,
  VLOOKUP($E152,INDIRECT("tri!"&amp; CHAR(64+ C0Col) &amp;":"&amp; CHAR(65+C0Col)),2,FALSE)&gt;COUNTIF($E152:G152,"u")+COUNTIF($E152:G152,"t")+COUNTIF($E152:G152,"¶")+COUNTIF($E152:G152,"²")+COUNTIF($E152:G152,"µ")+COUNTIF($E152:G152,1)),
HYPERLINK("#Roadmap!C"&amp; MATCH($E152,Roadmap!$D:$D,0)+COUNTIF($E152:G152,"u")+COUNTIF($E152:G152,"t"),
     INDEX(Roadmap!$D:$K,MATCH($E152,Roadmap!$D:$D,0)+COUNTIF($E152:G152,"u")+COUNTIF($E152:G152,"t")+COUNTIF($E152:G152,"¶")+COUNTIF($E152:G152,"²")+COUNTIF($E152:G152,"µ")+COUNTIF($E152:G152,1),ColTypeEcheance)),
  IF(LEN(G152)=1,
  IF(LEN(INDEX(Roadmap!$D:$K,MATCH($E152,Roadmap!$D:$D,0)-1+COUNTIF($E152:G152,"u")+COUNTIF($E152:G152,"t")+COUNTIF($E152:G152,"¶")+COUNTIF($E152:G152,"²")+COUNTIF($E152:G152,"µ")+COUNTIF($E152:G152,1),ColDescriptionCourte))&gt;1,
HYPERLINK("#Roadmap!C"&amp; MATCH($E152,Roadmap!$D:$D,0)+COUNTIF($E152:G152,"u")+COUNTIF($E152:G152,"t")+COUNTIF($E152:G152,"¶")+COUNTIF($E152:G152,"²")+COUNTIF($E152:G152,"µ")+COUNTIF($E152:G152,1)-1,INDEX(Roadmap!$D:$K,MATCH($E152,Roadmap!$D:$D,0)-1+COUNTIF($E152:G152,"u")+COUNTIF($E152:G152,"t")+COUNTIF($E152:G152,"¶")+COUNTIF($E152:G152,"²")+COUNTIF($E152:G152,"µ")+COUNTIF($E152:G152,1),ColDescriptionCourte)),""),
  "")),"")</f>
        <v/>
      </c>
      <c r="I152" s="40" t="str">
        <f ca="1">IFERROR(IF(AND(
  INDEX(Roadmap!$D:$K,MATCH($E152,Roadmap!$D:$D,0)+COUNTIF($E152:H152,"u")+COUNTIF($E152:H152,"t")+COUNTIF($E152:H152,"¶")+COUNTIF($E152:H152,"²")+COUNTIF($E152:H152,"µ")+COUNTIF($E152:H152,1),ColLivraison)=I$6,
  VLOOKUP($E152,INDIRECT("tri!"&amp; CHAR(64+ C0Col) &amp;":"&amp; CHAR(65+C0Col)),2,FALSE)&gt;COUNTIF($E152:H152,"u")+COUNTIF($E152:H152,"t")+COUNTIF($E152:H152,"¶")+COUNTIF($E152:H152,"²")+COUNTIF($E152:H152,"µ")+COUNTIF($E152:H152,1)),
HYPERLINK("#Roadmap!C"&amp; MATCH($E152,Roadmap!$D:$D,0)+COUNTIF($E152:H152,"u")+COUNTIF($E152:H152,"t"),
     INDEX(Roadmap!$D:$K,MATCH($E152,Roadmap!$D:$D,0)+COUNTIF($E152:H152,"u")+COUNTIF($E152:H152,"t")+COUNTIF($E152:H152,"¶")+COUNTIF($E152:H152,"²")+COUNTIF($E152:H152,"µ")+COUNTIF($E152:H152,1),ColTypeEcheance)),
  IF(LEN(H152)=1,
  IF(LEN(INDEX(Roadmap!$D:$K,MATCH($E152,Roadmap!$D:$D,0)-1+COUNTIF($E152:H152,"u")+COUNTIF($E152:H152,"t")+COUNTIF($E152:H152,"¶")+COUNTIF($E152:H152,"²")+COUNTIF($E152:H152,"µ")+COUNTIF($E152:H152,1),ColDescriptionCourte))&gt;1,
HYPERLINK("#Roadmap!C"&amp; MATCH($E152,Roadmap!$D:$D,0)+COUNTIF($E152:H152,"u")+COUNTIF($E152:H152,"t")+COUNTIF($E152:H152,"¶")+COUNTIF($E152:H152,"²")+COUNTIF($E152:H152,"µ")+COUNTIF($E152:H152,1)-1,INDEX(Roadmap!$D:$K,MATCH($E152,Roadmap!$D:$D,0)-1+COUNTIF($E152:H152,"u")+COUNTIF($E152:H152,"t")+COUNTIF($E152:H152,"¶")+COUNTIF($E152:H152,"²")+COUNTIF($E152:H152,"µ")+COUNTIF($E152:H152,1),ColDescriptionCourte)),""),
  "")),"")</f>
        <v/>
      </c>
      <c r="J152" s="40" t="str">
        <f ca="1">IFERROR(IF(AND(
  INDEX(Roadmap!$D:$K,MATCH($E152,Roadmap!$D:$D,0)+COUNTIF($E152:I152,"u")+COUNTIF($E152:I152,"t")+COUNTIF($E152:I152,"¶")+COUNTIF($E152:I152,"²")+COUNTIF($E152:I152,"µ")+COUNTIF($E152:I152,1),ColLivraison)=J$6,
  VLOOKUP($E152,INDIRECT("tri!"&amp; CHAR(64+ C0Col) &amp;":"&amp; CHAR(65+C0Col)),2,FALSE)&gt;COUNTIF($E152:I152,"u")+COUNTIF($E152:I152,"t")+COUNTIF($E152:I152,"¶")+COUNTIF($E152:I152,"²")+COUNTIF($E152:I152,"µ")+COUNTIF($E152:I152,1)),
HYPERLINK("#Roadmap!C"&amp; MATCH($E152,Roadmap!$D:$D,0)+COUNTIF($E152:I152,"u")+COUNTIF($E152:I152,"t"),
     INDEX(Roadmap!$D:$K,MATCH($E152,Roadmap!$D:$D,0)+COUNTIF($E152:I152,"u")+COUNTIF($E152:I152,"t")+COUNTIF($E152:I152,"¶")+COUNTIF($E152:I152,"²")+COUNTIF($E152:I152,"µ")+COUNTIF($E152:I152,1),ColTypeEcheance)),
  IF(LEN(I152)=1,
  IF(LEN(INDEX(Roadmap!$D:$K,MATCH($E152,Roadmap!$D:$D,0)-1+COUNTIF($E152:I152,"u")+COUNTIF($E152:I152,"t")+COUNTIF($E152:I152,"¶")+COUNTIF($E152:I152,"²")+COUNTIF($E152:I152,"µ")+COUNTIF($E152:I152,1),ColDescriptionCourte))&gt;1,
HYPERLINK("#Roadmap!C"&amp; MATCH($E152,Roadmap!$D:$D,0)+COUNTIF($E152:I152,"u")+COUNTIF($E152:I152,"t")+COUNTIF($E152:I152,"¶")+COUNTIF($E152:I152,"²")+COUNTIF($E152:I152,"µ")+COUNTIF($E152:I152,1)-1,INDEX(Roadmap!$D:$K,MATCH($E152,Roadmap!$D:$D,0)-1+COUNTIF($E152:I152,"u")+COUNTIF($E152:I152,"t")+COUNTIF($E152:I152,"¶")+COUNTIF($E152:I152,"²")+COUNTIF($E152:I152,"µ")+COUNTIF($E152:I152,1),ColDescriptionCourte)),""),
  "")),"")</f>
        <v/>
      </c>
      <c r="K152" s="40" t="str">
        <f ca="1">IFERROR(IF(AND(
  INDEX(Roadmap!$D:$K,MATCH($E152,Roadmap!$D:$D,0)+COUNTIF($E152:J152,"u")+COUNTIF($E152:J152,"t")+COUNTIF($E152:J152,"¶")+COUNTIF($E152:J152,"²")+COUNTIF($E152:J152,"µ")+COUNTIF($E152:J152,1),ColLivraison)=K$6,
  VLOOKUP($E152,INDIRECT("tri!"&amp; CHAR(64+ C0Col) &amp;":"&amp; CHAR(65+C0Col)),2,FALSE)&gt;COUNTIF($E152:J152,"u")+COUNTIF($E152:J152,"t")+COUNTIF($E152:J152,"¶")+COUNTIF($E152:J152,"²")+COUNTIF($E152:J152,"µ")+COUNTIF($E152:J152,1)),
HYPERLINK("#Roadmap!C"&amp; MATCH($E152,Roadmap!$D:$D,0)+COUNTIF($E152:J152,"u")+COUNTIF($E152:J152,"t"),
     INDEX(Roadmap!$D:$K,MATCH($E152,Roadmap!$D:$D,0)+COUNTIF($E152:J152,"u")+COUNTIF($E152:J152,"t")+COUNTIF($E152:J152,"¶")+COUNTIF($E152:J152,"²")+COUNTIF($E152:J152,"µ")+COUNTIF($E152:J152,1),ColTypeEcheance)),
  IF(LEN(J152)=1,
  IF(LEN(INDEX(Roadmap!$D:$K,MATCH($E152,Roadmap!$D:$D,0)-1+COUNTIF($E152:J152,"u")+COUNTIF($E152:J152,"t")+COUNTIF($E152:J152,"¶")+COUNTIF($E152:J152,"²")+COUNTIF($E152:J152,"µ")+COUNTIF($E152:J152,1),ColDescriptionCourte))&gt;1,
HYPERLINK("#Roadmap!C"&amp; MATCH($E152,Roadmap!$D:$D,0)+COUNTIF($E152:J152,"u")+COUNTIF($E152:J152,"t")+COUNTIF($E152:J152,"¶")+COUNTIF($E152:J152,"²")+COUNTIF($E152:J152,"µ")+COUNTIF($E152:J152,1)-1,INDEX(Roadmap!$D:$K,MATCH($E152,Roadmap!$D:$D,0)-1+COUNTIF($E152:J152,"u")+COUNTIF($E152:J152,"t")+COUNTIF($E152:J152,"¶")+COUNTIF($E152:J152,"²")+COUNTIF($E152:J152,"µ")+COUNTIF($E152:J152,1),ColDescriptionCourte)),""),
  "")),"")</f>
        <v/>
      </c>
      <c r="L152" s="39" t="str">
        <f ca="1">IFERROR(IF(AND(
  INDEX(Roadmap!$D:$K,MATCH($E152,Roadmap!$D:$D,0)+COUNTIF($E152:K152,"u")+COUNTIF($E152:K152,"t")+COUNTIF($E152:K152,"¶")+COUNTIF($E152:K152,"²")+COUNTIF($E152:K152,"µ")+COUNTIF($E152:K152,1),ColLivraison)=L$6,
  VLOOKUP($E152,INDIRECT("tri!"&amp; CHAR(64+ C0Col) &amp;":"&amp; CHAR(65+C0Col)),2,FALSE)&gt;COUNTIF($E152:K152,"u")+COUNTIF($E152:K152,"t")+COUNTIF($E152:K152,"¶")+COUNTIF($E152:K152,"²")+COUNTIF($E152:K152,"µ")+COUNTIF($E152:K152,1)),
HYPERLINK("#Roadmap!C"&amp; MATCH($E152,Roadmap!$D:$D,0)+COUNTIF($E152:K152,"u")+COUNTIF($E152:K152,"t"),
     INDEX(Roadmap!$D:$K,MATCH($E152,Roadmap!$D:$D,0)+COUNTIF($E152:K152,"u")+COUNTIF($E152:K152,"t")+COUNTIF($E152:K152,"¶")+COUNTIF($E152:K152,"²")+COUNTIF($E152:K152,"µ")+COUNTIF($E152:K152,1),ColTypeEcheance)),
  IF(LEN(K152)=1,
  IF(LEN(INDEX(Roadmap!$D:$K,MATCH($E152,Roadmap!$D:$D,0)-1+COUNTIF($E152:K152,"u")+COUNTIF($E152:K152,"t")+COUNTIF($E152:K152,"¶")+COUNTIF($E152:K152,"²")+COUNTIF($E152:K152,"µ")+COUNTIF($E152:K152,1),ColDescriptionCourte))&gt;1,
HYPERLINK("#Roadmap!C"&amp; MATCH($E152,Roadmap!$D:$D,0)+COUNTIF($E152:K152,"u")+COUNTIF($E152:K152,"t")+COUNTIF($E152:K152,"¶")+COUNTIF($E152:K152,"²")+COUNTIF($E152:K152,"µ")+COUNTIF($E152:K152,1)-1,INDEX(Roadmap!$D:$K,MATCH($E152,Roadmap!$D:$D,0)-1+COUNTIF($E152:K152,"u")+COUNTIF($E152:K152,"t")+COUNTIF($E152:K152,"¶")+COUNTIF($E152:K152,"²")+COUNTIF($E152:K152,"µ")+COUNTIF($E152:K152,1),ColDescriptionCourte)),""),
  "")),"")</f>
        <v/>
      </c>
      <c r="M152" s="40" t="str">
        <f ca="1">IFERROR(IF(AND(
  INDEX(Roadmap!$D:$K,MATCH($E152,Roadmap!$D:$D,0)+COUNTIF($E152:L152,"u")+COUNTIF($E152:L152,"t")+COUNTIF($E152:L152,"¶")+COUNTIF($E152:L152,"²")+COUNTIF($E152:L152,"µ")+COUNTIF($E152:L152,1),ColLivraison)=M$6,
  VLOOKUP($E152,INDIRECT("tri!"&amp; CHAR(64+ C0Col) &amp;":"&amp; CHAR(65+C0Col)),2,FALSE)&gt;COUNTIF($E152:L152,"u")+COUNTIF($E152:L152,"t")+COUNTIF($E152:L152,"¶")+COUNTIF($E152:L152,"²")+COUNTIF($E152:L152,"µ")+COUNTIF($E152:L152,1)),
HYPERLINK("#Roadmap!C"&amp; MATCH($E152,Roadmap!$D:$D,0)+COUNTIF($E152:L152,"u")+COUNTIF($E152:L152,"t"),
     INDEX(Roadmap!$D:$K,MATCH($E152,Roadmap!$D:$D,0)+COUNTIF($E152:L152,"u")+COUNTIF($E152:L152,"t")+COUNTIF($E152:L152,"¶")+COUNTIF($E152:L152,"²")+COUNTIF($E152:L152,"µ")+COUNTIF($E152:L152,1),ColTypeEcheance)),
  IF(LEN(L152)=1,
  IF(LEN(INDEX(Roadmap!$D:$K,MATCH($E152,Roadmap!$D:$D,0)-1+COUNTIF($E152:L152,"u")+COUNTIF($E152:L152,"t")+COUNTIF($E152:L152,"¶")+COUNTIF($E152:L152,"²")+COUNTIF($E152:L152,"µ")+COUNTIF($E152:L152,1),ColDescriptionCourte))&gt;1,
HYPERLINK("#Roadmap!C"&amp; MATCH($E152,Roadmap!$D:$D,0)+COUNTIF($E152:L152,"u")+COUNTIF($E152:L152,"t")+COUNTIF($E152:L152,"¶")+COUNTIF($E152:L152,"²")+COUNTIF($E152:L152,"µ")+COUNTIF($E152:L152,1)-1,INDEX(Roadmap!$D:$K,MATCH($E152,Roadmap!$D:$D,0)-1+COUNTIF($E152:L152,"u")+COUNTIF($E152:L152,"t")+COUNTIF($E152:L152,"¶")+COUNTIF($E152:L152,"²")+COUNTIF($E152:L152,"µ")+COUNTIF($E152:L152,1),ColDescriptionCourte)),""),
  "")),"")</f>
        <v/>
      </c>
      <c r="N152" s="40" t="str">
        <f ca="1">IFERROR(IF(AND(
  INDEX(Roadmap!$D:$K,MATCH($E152,Roadmap!$D:$D,0)+COUNTIF($E152:M152,"u")+COUNTIF($E152:M152,"t")+COUNTIF($E152:M152,"¶")+COUNTIF($E152:M152,"²")+COUNTIF($E152:M152,"µ")+COUNTIF($E152:M152,1),ColLivraison)=N$6,
  VLOOKUP($E152,INDIRECT("tri!"&amp; CHAR(64+ C0Col) &amp;":"&amp; CHAR(65+C0Col)),2,FALSE)&gt;COUNTIF($E152:M152,"u")+COUNTIF($E152:M152,"t")+COUNTIF($E152:M152,"¶")+COUNTIF($E152:M152,"²")+COUNTIF($E152:M152,"µ")+COUNTIF($E152:M152,1)),
HYPERLINK("#Roadmap!C"&amp; MATCH($E152,Roadmap!$D:$D,0)+COUNTIF($E152:M152,"u")+COUNTIF($E152:M152,"t"),
     INDEX(Roadmap!$D:$K,MATCH($E152,Roadmap!$D:$D,0)+COUNTIF($E152:M152,"u")+COUNTIF($E152:M152,"t")+COUNTIF($E152:M152,"¶")+COUNTIF($E152:M152,"²")+COUNTIF($E152:M152,"µ")+COUNTIF($E152:M152,1),ColTypeEcheance)),
  IF(LEN(M152)=1,
  IF(LEN(INDEX(Roadmap!$D:$K,MATCH($E152,Roadmap!$D:$D,0)-1+COUNTIF($E152:M152,"u")+COUNTIF($E152:M152,"t")+COUNTIF($E152:M152,"¶")+COUNTIF($E152:M152,"²")+COUNTIF($E152:M152,"µ")+COUNTIF($E152:M152,1),ColDescriptionCourte))&gt;1,
HYPERLINK("#Roadmap!C"&amp; MATCH($E152,Roadmap!$D:$D,0)+COUNTIF($E152:M152,"u")+COUNTIF($E152:M152,"t")+COUNTIF($E152:M152,"¶")+COUNTIF($E152:M152,"²")+COUNTIF($E152:M152,"µ")+COUNTIF($E152:M152,1)-1,INDEX(Roadmap!$D:$K,MATCH($E152,Roadmap!$D:$D,0)-1+COUNTIF($E152:M152,"u")+COUNTIF($E152:M152,"t")+COUNTIF($E152:M152,"¶")+COUNTIF($E152:M152,"²")+COUNTIF($E152:M152,"µ")+COUNTIF($E152:M152,1),ColDescriptionCourte)),""),
  "")),"")</f>
        <v/>
      </c>
      <c r="O152" s="40" t="str">
        <f ca="1">IFERROR(IF(AND(
  INDEX(Roadmap!$D:$K,MATCH($E152,Roadmap!$D:$D,0)+COUNTIF($E152:N152,"u")+COUNTIF($E152:N152,"t")+COUNTIF($E152:N152,"¶")+COUNTIF($E152:N152,"²")+COUNTIF($E152:N152,"µ")+COUNTIF($E152:N152,1),ColLivraison)=O$6,
  VLOOKUP($E152,INDIRECT("tri!"&amp; CHAR(64+ C0Col) &amp;":"&amp; CHAR(65+C0Col)),2,FALSE)&gt;COUNTIF($E152:N152,"u")+COUNTIF($E152:N152,"t")+COUNTIF($E152:N152,"¶")+COUNTIF($E152:N152,"²")+COUNTIF($E152:N152,"µ")+COUNTIF($E152:N152,1)),
HYPERLINK("#Roadmap!C"&amp; MATCH($E152,Roadmap!$D:$D,0)+COUNTIF($E152:N152,"u")+COUNTIF($E152:N152,"t"),
     INDEX(Roadmap!$D:$K,MATCH($E152,Roadmap!$D:$D,0)+COUNTIF($E152:N152,"u")+COUNTIF($E152:N152,"t")+COUNTIF($E152:N152,"¶")+COUNTIF($E152:N152,"²")+COUNTIF($E152:N152,"µ")+COUNTIF($E152:N152,1),ColTypeEcheance)),
  IF(LEN(N152)=1,
  IF(LEN(INDEX(Roadmap!$D:$K,MATCH($E152,Roadmap!$D:$D,0)-1+COUNTIF($E152:N152,"u")+COUNTIF($E152:N152,"t")+COUNTIF($E152:N152,"¶")+COUNTIF($E152:N152,"²")+COUNTIF($E152:N152,"µ")+COUNTIF($E152:N152,1),ColDescriptionCourte))&gt;1,
HYPERLINK("#Roadmap!C"&amp; MATCH($E152,Roadmap!$D:$D,0)+COUNTIF($E152:N152,"u")+COUNTIF($E152:N152,"t")+COUNTIF($E152:N152,"¶")+COUNTIF($E152:N152,"²")+COUNTIF($E152:N152,"µ")+COUNTIF($E152:N152,1)-1,INDEX(Roadmap!$D:$K,MATCH($E152,Roadmap!$D:$D,0)-1+COUNTIF($E152:N152,"u")+COUNTIF($E152:N152,"t")+COUNTIF($E152:N152,"¶")+COUNTIF($E152:N152,"²")+COUNTIF($E152:N152,"µ")+COUNTIF($E152:N152,1),ColDescriptionCourte)),""),
  "")),"")</f>
        <v/>
      </c>
      <c r="P152" s="40" t="str">
        <f ca="1">IFERROR(IF(AND(
  INDEX(Roadmap!$D:$K,MATCH($E152,Roadmap!$D:$D,0)+COUNTIF($E152:O152,"u")+COUNTIF($E152:O152,"t")+COUNTIF($E152:O152,"¶")+COUNTIF($E152:O152,"²")+COUNTIF($E152:O152,"µ")+COUNTIF($E152:O152,1),ColLivraison)=P$6,
  VLOOKUP($E152,INDIRECT("tri!"&amp; CHAR(64+ C0Col) &amp;":"&amp; CHAR(65+C0Col)),2,FALSE)&gt;COUNTIF($E152:O152,"u")+COUNTIF($E152:O152,"t")+COUNTIF($E152:O152,"¶")+COUNTIF($E152:O152,"²")+COUNTIF($E152:O152,"µ")+COUNTIF($E152:O152,1)),
HYPERLINK("#Roadmap!C"&amp; MATCH($E152,Roadmap!$D:$D,0)+COUNTIF($E152:O152,"u")+COUNTIF($E152:O152,"t"),
     INDEX(Roadmap!$D:$K,MATCH($E152,Roadmap!$D:$D,0)+COUNTIF($E152:O152,"u")+COUNTIF($E152:O152,"t")+COUNTIF($E152:O152,"¶")+COUNTIF($E152:O152,"²")+COUNTIF($E152:O152,"µ")+COUNTIF($E152:O152,1),ColTypeEcheance)),
  IF(LEN(O152)=1,
  IF(LEN(INDEX(Roadmap!$D:$K,MATCH($E152,Roadmap!$D:$D,0)-1+COUNTIF($E152:O152,"u")+COUNTIF($E152:O152,"t")+COUNTIF($E152:O152,"¶")+COUNTIF($E152:O152,"²")+COUNTIF($E152:O152,"µ")+COUNTIF($E152:O152,1),ColDescriptionCourte))&gt;1,
HYPERLINK("#Roadmap!C"&amp; MATCH($E152,Roadmap!$D:$D,0)+COUNTIF($E152:O152,"u")+COUNTIF($E152:O152,"t")+COUNTIF($E152:O152,"¶")+COUNTIF($E152:O152,"²")+COUNTIF($E152:O152,"µ")+COUNTIF($E152:O152,1)-1,INDEX(Roadmap!$D:$K,MATCH($E152,Roadmap!$D:$D,0)-1+COUNTIF($E152:O152,"u")+COUNTIF($E152:O152,"t")+COUNTIF($E152:O152,"¶")+COUNTIF($E152:O152,"²")+COUNTIF($E152:O152,"µ")+COUNTIF($E152:O152,1),ColDescriptionCourte)),""),
  "")),"")</f>
        <v/>
      </c>
      <c r="Q152" s="40" t="str">
        <f ca="1">IFERROR(IF(AND(
  INDEX(Roadmap!$D:$K,MATCH($E152,Roadmap!$D:$D,0)+COUNTIF($E152:P152,"u")+COUNTIF($E152:P152,"t")+COUNTIF($E152:P152,"¶")+COUNTIF($E152:P152,"²")+COUNTIF($E152:P152,"µ")+COUNTIF($E152:P152,1),ColLivraison)=Q$6,
  VLOOKUP($E152,INDIRECT("tri!"&amp; CHAR(64+ C0Col) &amp;":"&amp; CHAR(65+C0Col)),2,FALSE)&gt;COUNTIF($E152:P152,"u")+COUNTIF($E152:P152,"t")+COUNTIF($E152:P152,"¶")+COUNTIF($E152:P152,"²")+COUNTIF($E152:P152,"µ")+COUNTIF($E152:P152,1)),
HYPERLINK("#Roadmap!C"&amp; MATCH($E152,Roadmap!$D:$D,0)+COUNTIF($E152:P152,"u")+COUNTIF($E152:P152,"t"),
     INDEX(Roadmap!$D:$K,MATCH($E152,Roadmap!$D:$D,0)+COUNTIF($E152:P152,"u")+COUNTIF($E152:P152,"t")+COUNTIF($E152:P152,"¶")+COUNTIF($E152:P152,"²")+COUNTIF($E152:P152,"µ")+COUNTIF($E152:P152,1),ColTypeEcheance)),
  IF(LEN(P152)=1,
  IF(LEN(INDEX(Roadmap!$D:$K,MATCH($E152,Roadmap!$D:$D,0)-1+COUNTIF($E152:P152,"u")+COUNTIF($E152:P152,"t")+COUNTIF($E152:P152,"¶")+COUNTIF($E152:P152,"²")+COUNTIF($E152:P152,"µ")+COUNTIF($E152:P152,1),ColDescriptionCourte))&gt;1,
HYPERLINK("#Roadmap!C"&amp; MATCH($E152,Roadmap!$D:$D,0)+COUNTIF($E152:P152,"u")+COUNTIF($E152:P152,"t")+COUNTIF($E152:P152,"¶")+COUNTIF($E152:P152,"²")+COUNTIF($E152:P152,"µ")+COUNTIF($E152:P152,1)-1,INDEX(Roadmap!$D:$K,MATCH($E152,Roadmap!$D:$D,0)-1+COUNTIF($E152:P152,"u")+COUNTIF($E152:P152,"t")+COUNTIF($E152:P152,"¶")+COUNTIF($E152:P152,"²")+COUNTIF($E152:P152,"µ")+COUNTIF($E152:P152,1),ColDescriptionCourte)),""),
  "")),"")</f>
        <v/>
      </c>
      <c r="R152" s="40" t="str">
        <f ca="1">IFERROR(IF(AND(
  INDEX(Roadmap!$D:$K,MATCH($E152,Roadmap!$D:$D,0)+COUNTIF($E152:Q152,"u")+COUNTIF($E152:Q152,"t")+COUNTIF($E152:Q152,"¶")+COUNTIF($E152:Q152,"²")+COUNTIF($E152:Q152,"µ")+COUNTIF($E152:Q152,1),ColLivraison)=R$6,
  VLOOKUP($E152,INDIRECT("tri!"&amp; CHAR(64+ C0Col) &amp;":"&amp; CHAR(65+C0Col)),2,FALSE)&gt;COUNTIF($E152:Q152,"u")+COUNTIF($E152:Q152,"t")+COUNTIF($E152:Q152,"¶")+COUNTIF($E152:Q152,"²")+COUNTIF($E152:Q152,"µ")+COUNTIF($E152:Q152,1)),
HYPERLINK("#Roadmap!C"&amp; MATCH($E152,Roadmap!$D:$D,0)+COUNTIF($E152:Q152,"u")+COUNTIF($E152:Q152,"t"),
     INDEX(Roadmap!$D:$K,MATCH($E152,Roadmap!$D:$D,0)+COUNTIF($E152:Q152,"u")+COUNTIF($E152:Q152,"t")+COUNTIF($E152:Q152,"¶")+COUNTIF($E152:Q152,"²")+COUNTIF($E152:Q152,"µ")+COUNTIF($E152:Q152,1),ColTypeEcheance)),
  IF(LEN(Q152)=1,
  IF(LEN(INDEX(Roadmap!$D:$K,MATCH($E152,Roadmap!$D:$D,0)-1+COUNTIF($E152:Q152,"u")+COUNTIF($E152:Q152,"t")+COUNTIF($E152:Q152,"¶")+COUNTIF($E152:Q152,"²")+COUNTIF($E152:Q152,"µ")+COUNTIF($E152:Q152,1),ColDescriptionCourte))&gt;1,
HYPERLINK("#Roadmap!C"&amp; MATCH($E152,Roadmap!$D:$D,0)+COUNTIF($E152:Q152,"u")+COUNTIF($E152:Q152,"t")+COUNTIF($E152:Q152,"¶")+COUNTIF($E152:Q152,"²")+COUNTIF($E152:Q152,"µ")+COUNTIF($E152:Q152,1)-1,INDEX(Roadmap!$D:$K,MATCH($E152,Roadmap!$D:$D,0)-1+COUNTIF($E152:Q152,"u")+COUNTIF($E152:Q152,"t")+COUNTIF($E152:Q152,"¶")+COUNTIF($E152:Q152,"²")+COUNTIF($E152:Q152,"µ")+COUNTIF($E152:Q152,1),ColDescriptionCourte)),""),
  "")),"")</f>
        <v/>
      </c>
      <c r="S152" s="40" t="str">
        <f ca="1">IFERROR(IF(AND(
  INDEX(Roadmap!$D:$K,MATCH($E152,Roadmap!$D:$D,0)+COUNTIF($E152:R152,"u")+COUNTIF($E152:R152,"t")+COUNTIF($E152:R152,"¶")+COUNTIF($E152:R152,"²")+COUNTIF($E152:R152,"µ")+COUNTIF($E152:R152,1),ColLivraison)=S$6,
  VLOOKUP($E152,INDIRECT("tri!"&amp; CHAR(64+ C0Col) &amp;":"&amp; CHAR(65+C0Col)),2,FALSE)&gt;COUNTIF($E152:R152,"u")+COUNTIF($E152:R152,"t")+COUNTIF($E152:R152,"¶")+COUNTIF($E152:R152,"²")+COUNTIF($E152:R152,"µ")+COUNTIF($E152:R152,1)),
HYPERLINK("#Roadmap!C"&amp; MATCH($E152,Roadmap!$D:$D,0)+COUNTIF($E152:R152,"u")+COUNTIF($E152:R152,"t"),
     INDEX(Roadmap!$D:$K,MATCH($E152,Roadmap!$D:$D,0)+COUNTIF($E152:R152,"u")+COUNTIF($E152:R152,"t")+COUNTIF($E152:R152,"¶")+COUNTIF($E152:R152,"²")+COUNTIF($E152:R152,"µ")+COUNTIF($E152:R152,1),ColTypeEcheance)),
  IF(LEN(R152)=1,
  IF(LEN(INDEX(Roadmap!$D:$K,MATCH($E152,Roadmap!$D:$D,0)-1+COUNTIF($E152:R152,"u")+COUNTIF($E152:R152,"t")+COUNTIF($E152:R152,"¶")+COUNTIF($E152:R152,"²")+COUNTIF($E152:R152,"µ")+COUNTIF($E152:R152,1),ColDescriptionCourte))&gt;1,
HYPERLINK("#Roadmap!C"&amp; MATCH($E152,Roadmap!$D:$D,0)+COUNTIF($E152:R152,"u")+COUNTIF($E152:R152,"t")+COUNTIF($E152:R152,"¶")+COUNTIF($E152:R152,"²")+COUNTIF($E152:R152,"µ")+COUNTIF($E152:R152,1)-1,INDEX(Roadmap!$D:$K,MATCH($E152,Roadmap!$D:$D,0)-1+COUNTIF($E152:R152,"u")+COUNTIF($E152:R152,"t")+COUNTIF($E152:R152,"¶")+COUNTIF($E152:R152,"²")+COUNTIF($E152:R152,"µ")+COUNTIF($E152:R152,1),ColDescriptionCourte)),""),
  "")),"")</f>
        <v/>
      </c>
      <c r="T152" s="40" t="str">
        <f ca="1">IFERROR(IF(AND(
  INDEX(Roadmap!$D:$K,MATCH($E152,Roadmap!$D:$D,0)+COUNTIF($E152:S152,"u")+COUNTIF($E152:S152,"t")+COUNTIF($E152:S152,"¶")+COUNTIF($E152:S152,"²")+COUNTIF($E152:S152,"µ")+COUNTIF($E152:S152,1),ColLivraison)=T$6,
  VLOOKUP($E152,INDIRECT("tri!"&amp; CHAR(64+ C0Col) &amp;":"&amp; CHAR(65+C0Col)),2,FALSE)&gt;COUNTIF($E152:S152,"u")+COUNTIF($E152:S152,"t")+COUNTIF($E152:S152,"¶")+COUNTIF($E152:S152,"²")+COUNTIF($E152:S152,"µ")+COUNTIF($E152:S152,1)),
HYPERLINK("#Roadmap!C"&amp; MATCH($E152,Roadmap!$D:$D,0)+COUNTIF($E152:S152,"u")+COUNTIF($E152:S152,"t"),
     INDEX(Roadmap!$D:$K,MATCH($E152,Roadmap!$D:$D,0)+COUNTIF($E152:S152,"u")+COUNTIF($E152:S152,"t")+COUNTIF($E152:S152,"¶")+COUNTIF($E152:S152,"²")+COUNTIF($E152:S152,"µ")+COUNTIF($E152:S152,1),ColTypeEcheance)),
  IF(LEN(S152)=1,
  IF(LEN(INDEX(Roadmap!$D:$K,MATCH($E152,Roadmap!$D:$D,0)-1+COUNTIF($E152:S152,"u")+COUNTIF($E152:S152,"t")+COUNTIF($E152:S152,"¶")+COUNTIF($E152:S152,"²")+COUNTIF($E152:S152,"µ")+COUNTIF($E152:S152,1),ColDescriptionCourte))&gt;1,
HYPERLINK("#Roadmap!C"&amp; MATCH($E152,Roadmap!$D:$D,0)+COUNTIF($E152:S152,"u")+COUNTIF($E152:S152,"t")+COUNTIF($E152:S152,"¶")+COUNTIF($E152:S152,"²")+COUNTIF($E152:S152,"µ")+COUNTIF($E152:S152,1)-1,INDEX(Roadmap!$D:$K,MATCH($E152,Roadmap!$D:$D,0)-1+COUNTIF($E152:S152,"u")+COUNTIF($E152:S152,"t")+COUNTIF($E152:S152,"¶")+COUNTIF($E152:S152,"²")+COUNTIF($E152:S152,"µ")+COUNTIF($E152:S152,1),ColDescriptionCourte)),""),
  "")),"")</f>
        <v/>
      </c>
      <c r="U152" s="40" t="str">
        <f ca="1">IFERROR(IF(AND(
  INDEX(Roadmap!$D:$K,MATCH($E152,Roadmap!$D:$D,0)+COUNTIF($E152:T152,"u")+COUNTIF($E152:T152,"t")+COUNTIF($E152:T152,"¶")+COUNTIF($E152:T152,"²")+COUNTIF($E152:T152,"µ")+COUNTIF($E152:T152,1),ColLivraison)=U$6,
  VLOOKUP($E152,INDIRECT("tri!"&amp; CHAR(64+ C0Col) &amp;":"&amp; CHAR(65+C0Col)),2,FALSE)&gt;COUNTIF($E152:T152,"u")+COUNTIF($E152:T152,"t")+COUNTIF($E152:T152,"¶")+COUNTIF($E152:T152,"²")+COUNTIF($E152:T152,"µ")+COUNTIF($E152:T152,1)),
HYPERLINK("#Roadmap!C"&amp; MATCH($E152,Roadmap!$D:$D,0)+COUNTIF($E152:T152,"u")+COUNTIF($E152:T152,"t"),
     INDEX(Roadmap!$D:$K,MATCH($E152,Roadmap!$D:$D,0)+COUNTIF($E152:T152,"u")+COUNTIF($E152:T152,"t")+COUNTIF($E152:T152,"¶")+COUNTIF($E152:T152,"²")+COUNTIF($E152:T152,"µ")+COUNTIF($E152:T152,1),ColTypeEcheance)),
  IF(LEN(T152)=1,
  IF(LEN(INDEX(Roadmap!$D:$K,MATCH($E152,Roadmap!$D:$D,0)-1+COUNTIF($E152:T152,"u")+COUNTIF($E152:T152,"t")+COUNTIF($E152:T152,"¶")+COUNTIF($E152:T152,"²")+COUNTIF($E152:T152,"µ")+COUNTIF($E152:T152,1),ColDescriptionCourte))&gt;1,
HYPERLINK("#Roadmap!C"&amp; MATCH($E152,Roadmap!$D:$D,0)+COUNTIF($E152:T152,"u")+COUNTIF($E152:T152,"t")+COUNTIF($E152:T152,"¶")+COUNTIF($E152:T152,"²")+COUNTIF($E152:T152,"µ")+COUNTIF($E152:T152,1)-1,INDEX(Roadmap!$D:$K,MATCH($E152,Roadmap!$D:$D,0)-1+COUNTIF($E152:T152,"u")+COUNTIF($E152:T152,"t")+COUNTIF($E152:T152,"¶")+COUNTIF($E152:T152,"²")+COUNTIF($E152:T152,"µ")+COUNTIF($E152:T152,1),ColDescriptionCourte)),""),
  "")),"")</f>
        <v/>
      </c>
      <c r="V152" s="40" t="str">
        <f ca="1">IFERROR(IF(AND(
  INDEX(Roadmap!$D:$K,MATCH($E152,Roadmap!$D:$D,0)+COUNTIF($E152:U152,"u")+COUNTIF($E152:U152,"t")+COUNTIF($E152:U152,"¶")+COUNTIF($E152:U152,"²")+COUNTIF($E152:U152,"µ")+COUNTIF($E152:U152,1),ColLivraison)=V$6,
  VLOOKUP($E152,INDIRECT("tri!"&amp; CHAR(64+ C0Col) &amp;":"&amp; CHAR(65+C0Col)),2,FALSE)&gt;COUNTIF($E152:U152,"u")+COUNTIF($E152:U152,"t")+COUNTIF($E152:U152,"¶")+COUNTIF($E152:U152,"²")+COUNTIF($E152:U152,"µ")+COUNTIF($E152:U152,1)),
HYPERLINK("#Roadmap!C"&amp; MATCH($E152,Roadmap!$D:$D,0)+COUNTIF($E152:U152,"u")+COUNTIF($E152:U152,"t"),
     INDEX(Roadmap!$D:$K,MATCH($E152,Roadmap!$D:$D,0)+COUNTIF($E152:U152,"u")+COUNTIF($E152:U152,"t")+COUNTIF($E152:U152,"¶")+COUNTIF($E152:U152,"²")+COUNTIF($E152:U152,"µ")+COUNTIF($E152:U152,1),ColTypeEcheance)),
  IF(LEN(U152)=1,
  IF(LEN(INDEX(Roadmap!$D:$K,MATCH($E152,Roadmap!$D:$D,0)-1+COUNTIF($E152:U152,"u")+COUNTIF($E152:U152,"t")+COUNTIF($E152:U152,"¶")+COUNTIF($E152:U152,"²")+COUNTIF($E152:U152,"µ")+COUNTIF($E152:U152,1),ColDescriptionCourte))&gt;1,
HYPERLINK("#Roadmap!C"&amp; MATCH($E152,Roadmap!$D:$D,0)+COUNTIF($E152:U152,"u")+COUNTIF($E152:U152,"t")+COUNTIF($E152:U152,"¶")+COUNTIF($E152:U152,"²")+COUNTIF($E152:U152,"µ")+COUNTIF($E152:U152,1)-1,INDEX(Roadmap!$D:$K,MATCH($E152,Roadmap!$D:$D,0)-1+COUNTIF($E152:U152,"u")+COUNTIF($E152:U152,"t")+COUNTIF($E152:U152,"¶")+COUNTIF($E152:U152,"²")+COUNTIF($E152:U152,"µ")+COUNTIF($E152:U152,1),ColDescriptionCourte)),""),
  "")),"")</f>
        <v/>
      </c>
      <c r="W152" s="40" t="str">
        <f ca="1">IFERROR(IF(AND(
  INDEX(Roadmap!$D:$K,MATCH($E152,Roadmap!$D:$D,0)+COUNTIF($E152:V152,"u")+COUNTIF($E152:V152,"t")+COUNTIF($E152:V152,"¶")+COUNTIF($E152:V152,"²")+COUNTIF($E152:V152,"µ")+COUNTIF($E152:V152,1),ColLivraison)=W$6,
  VLOOKUP($E152,INDIRECT("tri!"&amp; CHAR(64+ C0Col) &amp;":"&amp; CHAR(65+C0Col)),2,FALSE)&gt;COUNTIF($E152:V152,"u")+COUNTIF($E152:V152,"t")+COUNTIF($E152:V152,"¶")+COUNTIF($E152:V152,"²")+COUNTIF($E152:V152,"µ")+COUNTIF($E152:V152,1)),
HYPERLINK("#Roadmap!C"&amp; MATCH($E152,Roadmap!$D:$D,0)+COUNTIF($E152:V152,"u")+COUNTIF($E152:V152,"t"),
     INDEX(Roadmap!$D:$K,MATCH($E152,Roadmap!$D:$D,0)+COUNTIF($E152:V152,"u")+COUNTIF($E152:V152,"t")+COUNTIF($E152:V152,"¶")+COUNTIF($E152:V152,"²")+COUNTIF($E152:V152,"µ")+COUNTIF($E152:V152,1),ColTypeEcheance)),
  IF(LEN(V152)=1,
  IF(LEN(INDEX(Roadmap!$D:$K,MATCH($E152,Roadmap!$D:$D,0)-1+COUNTIF($E152:V152,"u")+COUNTIF($E152:V152,"t")+COUNTIF($E152:V152,"¶")+COUNTIF($E152:V152,"²")+COUNTIF($E152:V152,"µ")+COUNTIF($E152:V152,1),ColDescriptionCourte))&gt;1,
HYPERLINK("#Roadmap!C"&amp; MATCH($E152,Roadmap!$D:$D,0)+COUNTIF($E152:V152,"u")+COUNTIF($E152:V152,"t")+COUNTIF($E152:V152,"¶")+COUNTIF($E152:V152,"²")+COUNTIF($E152:V152,"µ")+COUNTIF($E152:V152,1)-1,INDEX(Roadmap!$D:$K,MATCH($E152,Roadmap!$D:$D,0)-1+COUNTIF($E152:V152,"u")+COUNTIF($E152:V152,"t")+COUNTIF($E152:V152,"¶")+COUNTIF($E152:V152,"²")+COUNTIF($E152:V152,"µ")+COUNTIF($E152:V152,1),ColDescriptionCourte)),""),
  "")),"")</f>
        <v/>
      </c>
      <c r="X152" s="40" t="str">
        <f ca="1">IFERROR(IF(AND(
  INDEX(Roadmap!$D:$K,MATCH($E152,Roadmap!$D:$D,0)+COUNTIF($E152:W152,"u")+COUNTIF($E152:W152,"t")+COUNTIF($E152:W152,"¶")+COUNTIF($E152:W152,"²")+COUNTIF($E152:W152,"µ")+COUNTIF($E152:W152,1),ColLivraison)=X$6,
  VLOOKUP($E152,INDIRECT("tri!"&amp; CHAR(64+ C0Col) &amp;":"&amp; CHAR(65+C0Col)),2,FALSE)&gt;COUNTIF($E152:W152,"u")+COUNTIF($E152:W152,"t")+COUNTIF($E152:W152,"¶")+COUNTIF($E152:W152,"²")+COUNTIF($E152:W152,"µ")+COUNTIF($E152:W152,1)),
HYPERLINK("#Roadmap!C"&amp; MATCH($E152,Roadmap!$D:$D,0)+COUNTIF($E152:W152,"u")+COUNTIF($E152:W152,"t"),
     INDEX(Roadmap!$D:$K,MATCH($E152,Roadmap!$D:$D,0)+COUNTIF($E152:W152,"u")+COUNTIF($E152:W152,"t")+COUNTIF($E152:W152,"¶")+COUNTIF($E152:W152,"²")+COUNTIF($E152:W152,"µ")+COUNTIF($E152:W152,1),ColTypeEcheance)),
  IF(LEN(W152)=1,
  IF(LEN(INDEX(Roadmap!$D:$K,MATCH($E152,Roadmap!$D:$D,0)-1+COUNTIF($E152:W152,"u")+COUNTIF($E152:W152,"t")+COUNTIF($E152:W152,"¶")+COUNTIF($E152:W152,"²")+COUNTIF($E152:W152,"µ")+COUNTIF($E152:W152,1),ColDescriptionCourte))&gt;1,
HYPERLINK("#Roadmap!C"&amp; MATCH($E152,Roadmap!$D:$D,0)+COUNTIF($E152:W152,"u")+COUNTIF($E152:W152,"t")+COUNTIF($E152:W152,"¶")+COUNTIF($E152:W152,"²")+COUNTIF($E152:W152,"µ")+COUNTIF($E152:W152,1)-1,INDEX(Roadmap!$D:$K,MATCH($E152,Roadmap!$D:$D,0)-1+COUNTIF($E152:W152,"u")+COUNTIF($E152:W152,"t")+COUNTIF($E152:W152,"¶")+COUNTIF($E152:W152,"²")+COUNTIF($E152:W152,"µ")+COUNTIF($E152:W152,1),ColDescriptionCourte)),""),
  "")),"")</f>
        <v/>
      </c>
      <c r="Y152" s="40" t="str">
        <f ca="1">IFERROR(IF(AND(
  INDEX(Roadmap!$D:$K,MATCH($E152,Roadmap!$D:$D,0)+COUNTIF($E152:X152,"u")+COUNTIF($E152:X152,"t")+COUNTIF($E152:X152,"¶")+COUNTIF($E152:X152,"²")+COUNTIF($E152:X152,"µ")+COUNTIF($E152:X152,1),ColLivraison)=Y$6,
  VLOOKUP($E152,INDIRECT("tri!"&amp; CHAR(64+ C0Col) &amp;":"&amp; CHAR(65+C0Col)),2,FALSE)&gt;COUNTIF($E152:X152,"u")+COUNTIF($E152:X152,"t")+COUNTIF($E152:X152,"¶")+COUNTIF($E152:X152,"²")+COUNTIF($E152:X152,"µ")+COUNTIF($E152:X152,1)),
HYPERLINK("#Roadmap!C"&amp; MATCH($E152,Roadmap!$D:$D,0)+COUNTIF($E152:X152,"u")+COUNTIF($E152:X152,"t"),
     INDEX(Roadmap!$D:$K,MATCH($E152,Roadmap!$D:$D,0)+COUNTIF($E152:X152,"u")+COUNTIF($E152:X152,"t")+COUNTIF($E152:X152,"¶")+COUNTIF($E152:X152,"²")+COUNTIF($E152:X152,"µ")+COUNTIF($E152:X152,1),ColTypeEcheance)),
  IF(LEN(X152)=1,
  IF(LEN(INDEX(Roadmap!$D:$K,MATCH($E152,Roadmap!$D:$D,0)-1+COUNTIF($E152:X152,"u")+COUNTIF($E152:X152,"t")+COUNTIF($E152:X152,"¶")+COUNTIF($E152:X152,"²")+COUNTIF($E152:X152,"µ")+COUNTIF($E152:X152,1),ColDescriptionCourte))&gt;1,
HYPERLINK("#Roadmap!C"&amp; MATCH($E152,Roadmap!$D:$D,0)+COUNTIF($E152:X152,"u")+COUNTIF($E152:X152,"t")+COUNTIF($E152:X152,"¶")+COUNTIF($E152:X152,"²")+COUNTIF($E152:X152,"µ")+COUNTIF($E152:X152,1)-1,INDEX(Roadmap!$D:$K,MATCH($E152,Roadmap!$D:$D,0)-1+COUNTIF($E152:X152,"u")+COUNTIF($E152:X152,"t")+COUNTIF($E152:X152,"¶")+COUNTIF($E152:X152,"²")+COUNTIF($E152:X152,"µ")+COUNTIF($E152:X152,1),ColDescriptionCourte)),""),
  "")),"")</f>
        <v/>
      </c>
      <c r="Z152" s="40" t="str">
        <f ca="1">IFERROR(IF(AND(
  INDEX(Roadmap!$D:$K,MATCH($E152,Roadmap!$D:$D,0)+COUNTIF($E152:Y152,"u")+COUNTIF($E152:Y152,"t")+COUNTIF($E152:Y152,"¶")+COUNTIF($E152:Y152,"²")+COUNTIF($E152:Y152,"µ")+COUNTIF($E152:Y152,1),ColLivraison)=Z$6,
  VLOOKUP($E152,INDIRECT("tri!"&amp; CHAR(64+ C0Col) &amp;":"&amp; CHAR(65+C0Col)),2,FALSE)&gt;COUNTIF($E152:Y152,"u")+COUNTIF($E152:Y152,"t")+COUNTIF($E152:Y152,"¶")+COUNTIF($E152:Y152,"²")+COUNTIF($E152:Y152,"µ")+COUNTIF($E152:Y152,1)),
HYPERLINK("#Roadmap!C"&amp; MATCH($E152,Roadmap!$D:$D,0)+COUNTIF($E152:Y152,"u")+COUNTIF($E152:Y152,"t"),
     INDEX(Roadmap!$D:$K,MATCH($E152,Roadmap!$D:$D,0)+COUNTIF($E152:Y152,"u")+COUNTIF($E152:Y152,"t")+COUNTIF($E152:Y152,"¶")+COUNTIF($E152:Y152,"²")+COUNTIF($E152:Y152,"µ")+COUNTIF($E152:Y152,1),ColTypeEcheance)),
  IF(LEN(Y152)=1,
  IF(LEN(INDEX(Roadmap!$D:$K,MATCH($E152,Roadmap!$D:$D,0)-1+COUNTIF($E152:Y152,"u")+COUNTIF($E152:Y152,"t")+COUNTIF($E152:Y152,"¶")+COUNTIF($E152:Y152,"²")+COUNTIF($E152:Y152,"µ")+COUNTIF($E152:Y152,1),ColDescriptionCourte))&gt;1,
HYPERLINK("#Roadmap!C"&amp; MATCH($E152,Roadmap!$D:$D,0)+COUNTIF($E152:Y152,"u")+COUNTIF($E152:Y152,"t")+COUNTIF($E152:Y152,"¶")+COUNTIF($E152:Y152,"²")+COUNTIF($E152:Y152,"µ")+COUNTIF($E152:Y152,1)-1,INDEX(Roadmap!$D:$K,MATCH($E152,Roadmap!$D:$D,0)-1+COUNTIF($E152:Y152,"u")+COUNTIF($E152:Y152,"t")+COUNTIF($E152:Y152,"¶")+COUNTIF($E152:Y152,"²")+COUNTIF($E152:Y152,"µ")+COUNTIF($E152:Y152,1),ColDescriptionCourte)),""),
  "")),"")</f>
        <v/>
      </c>
      <c r="AA152" s="40" t="str">
        <f ca="1">IFERROR(IF(AND(
  INDEX(Roadmap!$D:$K,MATCH($E152,Roadmap!$D:$D,0)+COUNTIF($E152:Z152,"u")+COUNTIF($E152:Z152,"t")+COUNTIF($E152:Z152,"¶")+COUNTIF($E152:Z152,"²")+COUNTIF($E152:Z152,"µ")+COUNTIF($E152:Z152,1),ColLivraison)=AA$6,
  VLOOKUP($E152,INDIRECT("tri!"&amp; CHAR(64+ C0Col) &amp;":"&amp; CHAR(65+C0Col)),2,FALSE)&gt;COUNTIF($E152:Z152,"u")+COUNTIF($E152:Z152,"t")+COUNTIF($E152:Z152,"¶")+COUNTIF($E152:Z152,"²")+COUNTIF($E152:Z152,"µ")+COUNTIF($E152:Z152,1)),
HYPERLINK("#Roadmap!C"&amp; MATCH($E152,Roadmap!$D:$D,0)+COUNTIF($E152:Z152,"u")+COUNTIF($E152:Z152,"t"),
     INDEX(Roadmap!$D:$K,MATCH($E152,Roadmap!$D:$D,0)+COUNTIF($E152:Z152,"u")+COUNTIF($E152:Z152,"t")+COUNTIF($E152:Z152,"¶")+COUNTIF($E152:Z152,"²")+COUNTIF($E152:Z152,"µ")+COUNTIF($E152:Z152,1),ColTypeEcheance)),
  IF(LEN(Z152)=1,
  IF(LEN(INDEX(Roadmap!$D:$K,MATCH($E152,Roadmap!$D:$D,0)-1+COUNTIF($E152:Z152,"u")+COUNTIF($E152:Z152,"t")+COUNTIF($E152:Z152,"¶")+COUNTIF($E152:Z152,"²")+COUNTIF($E152:Z152,"µ")+COUNTIF($E152:Z152,1),ColDescriptionCourte))&gt;1,
HYPERLINK("#Roadmap!C"&amp; MATCH($E152,Roadmap!$D:$D,0)+COUNTIF($E152:Z152,"u")+COUNTIF($E152:Z152,"t")+COUNTIF($E152:Z152,"¶")+COUNTIF($E152:Z152,"²")+COUNTIF($E152:Z152,"µ")+COUNTIF($E152:Z152,1)-1,INDEX(Roadmap!$D:$K,MATCH($E152,Roadmap!$D:$D,0)-1+COUNTIF($E152:Z152,"u")+COUNTIF($E152:Z152,"t")+COUNTIF($E152:Z152,"¶")+COUNTIF($E152:Z152,"²")+COUNTIF($E152:Z152,"µ")+COUNTIF($E152:Z152,1),ColDescriptionCourte)),""),
  "")),"")</f>
        <v/>
      </c>
      <c r="AB152" s="40" t="str">
        <f ca="1">IFERROR(IF(AND(
  INDEX(Roadmap!$D:$K,MATCH($E152,Roadmap!$D:$D,0)+COUNTIF($E152:AA152,"u")+COUNTIF($E152:AA152,"t")+COUNTIF($E152:AA152,"¶")+COUNTIF($E152:AA152,"²")+COUNTIF($E152:AA152,"µ")+COUNTIF($E152:AA152,1),ColLivraison)=AB$6,
  VLOOKUP($E152,INDIRECT("tri!"&amp; CHAR(64+ C0Col) &amp;":"&amp; CHAR(65+C0Col)),2,FALSE)&gt;COUNTIF($E152:AA152,"u")+COUNTIF($E152:AA152,"t")+COUNTIF($E152:AA152,"¶")+COUNTIF($E152:AA152,"²")+COUNTIF($E152:AA152,"µ")+COUNTIF($E152:AA152,1)),
HYPERLINK("#Roadmap!C"&amp; MATCH($E152,Roadmap!$D:$D,0)+COUNTIF($E152:AA152,"u")+COUNTIF($E152:AA152,"t"),
     INDEX(Roadmap!$D:$K,MATCH($E152,Roadmap!$D:$D,0)+COUNTIF($E152:AA152,"u")+COUNTIF($E152:AA152,"t")+COUNTIF($E152:AA152,"¶")+COUNTIF($E152:AA152,"²")+COUNTIF($E152:AA152,"µ")+COUNTIF($E152:AA152,1),ColTypeEcheance)),
  IF(LEN(AA152)=1,
  IF(LEN(INDEX(Roadmap!$D:$K,MATCH($E152,Roadmap!$D:$D,0)-1+COUNTIF($E152:AA152,"u")+COUNTIF($E152:AA152,"t")+COUNTIF($E152:AA152,"¶")+COUNTIF($E152:AA152,"²")+COUNTIF($E152:AA152,"µ")+COUNTIF($E152:AA152,1),ColDescriptionCourte))&gt;1,
HYPERLINK("#Roadmap!C"&amp; MATCH($E152,Roadmap!$D:$D,0)+COUNTIF($E152:AA152,"u")+COUNTIF($E152:AA152,"t")+COUNTIF($E152:AA152,"¶")+COUNTIF($E152:AA152,"²")+COUNTIF($E152:AA152,"µ")+COUNTIF($E152:AA152,1)-1,INDEX(Roadmap!$D:$K,MATCH($E152,Roadmap!$D:$D,0)-1+COUNTIF($E152:AA152,"u")+COUNTIF($E152:AA152,"t")+COUNTIF($E152:AA152,"¶")+COUNTIF($E152:AA152,"²")+COUNTIF($E152:AA152,"µ")+COUNTIF($E152:AA152,1),ColDescriptionCourte)),""),
  "")),"")</f>
        <v/>
      </c>
      <c r="AC152" s="40" t="str">
        <f ca="1">IFERROR(IF(AND(
  INDEX(Roadmap!$D:$K,MATCH($E152,Roadmap!$D:$D,0)+COUNTIF($E152:AB152,"u")+COUNTIF($E152:AB152,"t")+COUNTIF($E152:AB152,"¶")+COUNTIF($E152:AB152,"²")+COUNTIF($E152:AB152,"µ")+COUNTIF($E152:AB152,1),ColLivraison)=AC$6,
  VLOOKUP($E152,INDIRECT("tri!"&amp; CHAR(64+ C0Col) &amp;":"&amp; CHAR(65+C0Col)),2,FALSE)&gt;COUNTIF($E152:AB152,"u")+COUNTIF($E152:AB152,"t")+COUNTIF($E152:AB152,"¶")+COUNTIF($E152:AB152,"²")+COUNTIF($E152:AB152,"µ")+COUNTIF($E152:AB152,1)),
HYPERLINK("#Roadmap!C"&amp; MATCH($E152,Roadmap!$D:$D,0)+COUNTIF($E152:AB152,"u")+COUNTIF($E152:AB152,"t"),
     INDEX(Roadmap!$D:$K,MATCH($E152,Roadmap!$D:$D,0)+COUNTIF($E152:AB152,"u")+COUNTIF($E152:AB152,"t")+COUNTIF($E152:AB152,"¶")+COUNTIF($E152:AB152,"²")+COUNTIF($E152:AB152,"µ")+COUNTIF($E152:AB152,1),ColTypeEcheance)),
  IF(LEN(AB152)=1,
  IF(LEN(INDEX(Roadmap!$D:$K,MATCH($E152,Roadmap!$D:$D,0)-1+COUNTIF($E152:AB152,"u")+COUNTIF($E152:AB152,"t")+COUNTIF($E152:AB152,"¶")+COUNTIF($E152:AB152,"²")+COUNTIF($E152:AB152,"µ")+COUNTIF($E152:AB152,1),ColDescriptionCourte))&gt;1,
HYPERLINK("#Roadmap!C"&amp; MATCH($E152,Roadmap!$D:$D,0)+COUNTIF($E152:AB152,"u")+COUNTIF($E152:AB152,"t")+COUNTIF($E152:AB152,"¶")+COUNTIF($E152:AB152,"²")+COUNTIF($E152:AB152,"µ")+COUNTIF($E152:AB152,1)-1,INDEX(Roadmap!$D:$K,MATCH($E152,Roadmap!$D:$D,0)-1+COUNTIF($E152:AB152,"u")+COUNTIF($E152:AB152,"t")+COUNTIF($E152:AB152,"¶")+COUNTIF($E152:AB152,"²")+COUNTIF($E152:AB152,"µ")+COUNTIF($E152:AB152,1),ColDescriptionCourte)),""),
  "")),"")</f>
        <v/>
      </c>
      <c r="AD152" s="40" t="str">
        <f ca="1">IFERROR(IF(AND(
  INDEX(Roadmap!$D:$K,MATCH($E152,Roadmap!$D:$D,0)+COUNTIF($E152:AC152,"u")+COUNTIF($E152:AC152,"t")+COUNTIF($E152:AC152,"¶")+COUNTIF($E152:AC152,"²")+COUNTIF($E152:AC152,"µ")+COUNTIF($E152:AC152,1),ColLivraison)=AD$6,
  VLOOKUP($E152,INDIRECT("tri!"&amp; CHAR(64+ C0Col) &amp;":"&amp; CHAR(65+C0Col)),2,FALSE)&gt;COUNTIF($E152:AC152,"u")+COUNTIF($E152:AC152,"t")+COUNTIF($E152:AC152,"¶")+COUNTIF($E152:AC152,"²")+COUNTIF($E152:AC152,"µ")+COUNTIF($E152:AC152,1)),
HYPERLINK("#Roadmap!C"&amp; MATCH($E152,Roadmap!$D:$D,0)+COUNTIF($E152:AC152,"u")+COUNTIF($E152:AC152,"t"),
     INDEX(Roadmap!$D:$K,MATCH($E152,Roadmap!$D:$D,0)+COUNTIF($E152:AC152,"u")+COUNTIF($E152:AC152,"t")+COUNTIF($E152:AC152,"¶")+COUNTIF($E152:AC152,"²")+COUNTIF($E152:AC152,"µ")+COUNTIF($E152:AC152,1),ColTypeEcheance)),
  IF(LEN(AC152)=1,
  IF(LEN(INDEX(Roadmap!$D:$K,MATCH($E152,Roadmap!$D:$D,0)-1+COUNTIF($E152:AC152,"u")+COUNTIF($E152:AC152,"t")+COUNTIF($E152:AC152,"¶")+COUNTIF($E152:AC152,"²")+COUNTIF($E152:AC152,"µ")+COUNTIF($E152:AC152,1),ColDescriptionCourte))&gt;1,
HYPERLINK("#Roadmap!C"&amp; MATCH($E152,Roadmap!$D:$D,0)+COUNTIF($E152:AC152,"u")+COUNTIF($E152:AC152,"t")+COUNTIF($E152:AC152,"¶")+COUNTIF($E152:AC152,"²")+COUNTIF($E152:AC152,"µ")+COUNTIF($E152:AC152,1)-1,INDEX(Roadmap!$D:$K,MATCH($E152,Roadmap!$D:$D,0)-1+COUNTIF($E152:AC152,"u")+COUNTIF($E152:AC152,"t")+COUNTIF($E152:AC152,"¶")+COUNTIF($E152:AC152,"²")+COUNTIF($E152:AC152,"µ")+COUNTIF($E152:AC152,1),ColDescriptionCourte)),""),
  "")),"")</f>
        <v/>
      </c>
      <c r="AE152" s="40" t="str">
        <f ca="1">IFERROR(IF(AND(
  INDEX(Roadmap!$D:$K,MATCH($E152,Roadmap!$D:$D,0)+COUNTIF($E152:AD152,"u")+COUNTIF($E152:AD152,"t")+COUNTIF($E152:AD152,"¶")+COUNTIF($E152:AD152,"²")+COUNTIF($E152:AD152,"µ")+COUNTIF($E152:AD152,1),ColLivraison)=AE$6,
  VLOOKUP($E152,INDIRECT("tri!"&amp; CHAR(64+ C0Col) &amp;":"&amp; CHAR(65+C0Col)),2,FALSE)&gt;COUNTIF($E152:AD152,"u")+COUNTIF($E152:AD152,"t")+COUNTIF($E152:AD152,"¶")+COUNTIF($E152:AD152,"²")+COUNTIF($E152:AD152,"µ")+COUNTIF($E152:AD152,1)),
HYPERLINK("#Roadmap!C"&amp; MATCH($E152,Roadmap!$D:$D,0)+COUNTIF($E152:AD152,"u")+COUNTIF($E152:AD152,"t"),
     INDEX(Roadmap!$D:$K,MATCH($E152,Roadmap!$D:$D,0)+COUNTIF($E152:AD152,"u")+COUNTIF($E152:AD152,"t")+COUNTIF($E152:AD152,"¶")+COUNTIF($E152:AD152,"²")+COUNTIF($E152:AD152,"µ")+COUNTIF($E152:AD152,1),ColTypeEcheance)),
  IF(LEN(AD152)=1,
  IF(LEN(INDEX(Roadmap!$D:$K,MATCH($E152,Roadmap!$D:$D,0)-1+COUNTIF($E152:AD152,"u")+COUNTIF($E152:AD152,"t")+COUNTIF($E152:AD152,"¶")+COUNTIF($E152:AD152,"²")+COUNTIF($E152:AD152,"µ")+COUNTIF($E152:AD152,1),ColDescriptionCourte))&gt;1,
HYPERLINK("#Roadmap!C"&amp; MATCH($E152,Roadmap!$D:$D,0)+COUNTIF($E152:AD152,"u")+COUNTIF($E152:AD152,"t")+COUNTIF($E152:AD152,"¶")+COUNTIF($E152:AD152,"²")+COUNTIF($E152:AD152,"µ")+COUNTIF($E152:AD152,1)-1,INDEX(Roadmap!$D:$K,MATCH($E152,Roadmap!$D:$D,0)-1+COUNTIF($E152:AD152,"u")+COUNTIF($E152:AD152,"t")+COUNTIF($E152:AD152,"¶")+COUNTIF($E152:AD152,"²")+COUNTIF($E152:AD152,"µ")+COUNTIF($E152:AD152,1),ColDescriptionCourte)),""),
  "")),"")</f>
        <v/>
      </c>
      <c r="AF152" s="40" t="str">
        <f ca="1">IFERROR(IF(AND(
  INDEX(Roadmap!$D:$K,MATCH($E152,Roadmap!$D:$D,0)+COUNTIF($E152:AE152,"u")+COUNTIF($E152:AE152,"t")+COUNTIF($E152:AE152,"¶")+COUNTIF($E152:AE152,"²")+COUNTIF($E152:AE152,"µ")+COUNTIF($E152:AE152,1),ColLivraison)=AF$6,
  VLOOKUP($E152,INDIRECT("tri!"&amp; CHAR(64+ C0Col) &amp;":"&amp; CHAR(65+C0Col)),2,FALSE)&gt;COUNTIF($E152:AE152,"u")+COUNTIF($E152:AE152,"t")+COUNTIF($E152:AE152,"¶")+COUNTIF($E152:AE152,"²")+COUNTIF($E152:AE152,"µ")+COUNTIF($E152:AE152,1)),
HYPERLINK("#Roadmap!C"&amp; MATCH($E152,Roadmap!$D:$D,0)+COUNTIF($E152:AE152,"u")+COUNTIF($E152:AE152,"t"),
     INDEX(Roadmap!$D:$K,MATCH($E152,Roadmap!$D:$D,0)+COUNTIF($E152:AE152,"u")+COUNTIF($E152:AE152,"t")+COUNTIF($E152:AE152,"¶")+COUNTIF($E152:AE152,"²")+COUNTIF($E152:AE152,"µ")+COUNTIF($E152:AE152,1),ColTypeEcheance)),
  IF(LEN(AE152)=1,
  IF(LEN(INDEX(Roadmap!$D:$K,MATCH($E152,Roadmap!$D:$D,0)-1+COUNTIF($E152:AE152,"u")+COUNTIF($E152:AE152,"t")+COUNTIF($E152:AE152,"¶")+COUNTIF($E152:AE152,"²")+COUNTIF($E152:AE152,"µ")+COUNTIF($E152:AE152,1),ColDescriptionCourte))&gt;1,
HYPERLINK("#Roadmap!C"&amp; MATCH($E152,Roadmap!$D:$D,0)+COUNTIF($E152:AE152,"u")+COUNTIF($E152:AE152,"t")+COUNTIF($E152:AE152,"¶")+COUNTIF($E152:AE152,"²")+COUNTIF($E152:AE152,"µ")+COUNTIF($E152:AE152,1)-1,INDEX(Roadmap!$D:$K,MATCH($E152,Roadmap!$D:$D,0)-1+COUNTIF($E152:AE152,"u")+COUNTIF($E152:AE152,"t")+COUNTIF($E152:AE152,"¶")+COUNTIF($E152:AE152,"²")+COUNTIF($E152:AE152,"µ")+COUNTIF($E152:AE152,1),ColDescriptionCourte)),""),
  "")),"")</f>
        <v/>
      </c>
      <c r="AG152" s="40" t="str">
        <f ca="1">IFERROR(IF(AND(
  INDEX(Roadmap!$D:$K,MATCH($E152,Roadmap!$D:$D,0)+COUNTIF($E152:AF152,"u")+COUNTIF($E152:AF152,"t")+COUNTIF($E152:AF152,"¶")+COUNTIF($E152:AF152,"²")+COUNTIF($E152:AF152,"µ")+COUNTIF($E152:AF152,1),ColLivraison)=AG$6,
  VLOOKUP($E152,INDIRECT("tri!"&amp; CHAR(64+ C0Col) &amp;":"&amp; CHAR(65+C0Col)),2,FALSE)&gt;COUNTIF($E152:AF152,"u")+COUNTIF($E152:AF152,"t")+COUNTIF($E152:AF152,"¶")+COUNTIF($E152:AF152,"²")+COUNTIF($E152:AF152,"µ")+COUNTIF($E152:AF152,1)),
HYPERLINK("#Roadmap!C"&amp; MATCH($E152,Roadmap!$D:$D,0)+COUNTIF($E152:AF152,"u")+COUNTIF($E152:AF152,"t"),
     INDEX(Roadmap!$D:$K,MATCH($E152,Roadmap!$D:$D,0)+COUNTIF($E152:AF152,"u")+COUNTIF($E152:AF152,"t")+COUNTIF($E152:AF152,"¶")+COUNTIF($E152:AF152,"²")+COUNTIF($E152:AF152,"µ")+COUNTIF($E152:AF152,1),ColTypeEcheance)),
  IF(LEN(AF152)=1,
  IF(LEN(INDEX(Roadmap!$D:$K,MATCH($E152,Roadmap!$D:$D,0)-1+COUNTIF($E152:AF152,"u")+COUNTIF($E152:AF152,"t")+COUNTIF($E152:AF152,"¶")+COUNTIF($E152:AF152,"²")+COUNTIF($E152:AF152,"µ")+COUNTIF($E152:AF152,1),ColDescriptionCourte))&gt;1,
HYPERLINK("#Roadmap!C"&amp; MATCH($E152,Roadmap!$D:$D,0)+COUNTIF($E152:AF152,"u")+COUNTIF($E152:AF152,"t")+COUNTIF($E152:AF152,"¶")+COUNTIF($E152:AF152,"²")+COUNTIF($E152:AF152,"µ")+COUNTIF($E152:AF152,1)-1,INDEX(Roadmap!$D:$K,MATCH($E152,Roadmap!$D:$D,0)-1+COUNTIF($E152:AF152,"u")+COUNTIF($E152:AF152,"t")+COUNTIF($E152:AF152,"¶")+COUNTIF($E152:AF152,"²")+COUNTIF($E152:AF152,"µ")+COUNTIF($E152:AF152,1),ColDescriptionCourte)),""),
  "")),"")</f>
        <v/>
      </c>
      <c r="AH152" s="40" t="str">
        <f ca="1">IFERROR(IF(AND(
  INDEX(Roadmap!$D:$K,MATCH($E152,Roadmap!$D:$D,0)+COUNTIF($E152:AG152,"u")+COUNTIF($E152:AG152,"t")+COUNTIF($E152:AG152,1),ColLivraison)=AH$6,
  VLOOKUP($E152,INDIRECT("tri!"&amp; CHAR(64+ C0Col) &amp;":"&amp; CHAR(65+C0Col)),2,FALSE)&gt;COUNTIF($E152:AG152,"u")+COUNTIF($E152:AG152,"t")+COUNTIF($E152:AG152,1)),
HYPERLINK("#Roadmap!C"&amp; MATCH($E152,Roadmap!$D:$D,0)+COUNTIF($E152:AG152,"u")+COUNTIF($E152:AG152,"t"),
     INDEX(Roadmap!$D:$K,MATCH($E152,Roadmap!$D:$D,0)+COUNTIF($E152:AG152,"u")+COUNTIF($E152:AG152,"t")+COUNTIF($E152:AG152,1),ColTypeEcheance)),
  IF(OR(AG152="u",AG152="t",AG152=1),
  IF(LEN(INDEX(Roadmap!$D:$K,MATCH($E152,Roadmap!$D:$D,0)-1+COUNTIF($E152:AG152,"u")+COUNTIF($E152:AG152,"t")+COUNTIF($E152:AG152,1),ColDescriptionCourte))&gt;1,
HYPERLINK("#Roadmap!C"&amp; MATCH($E152,Roadmap!$D:$D,0)+COUNTIF($E152:AG152,"u")+COUNTIF($E152:AG152,"t")+COUNTIF($E152:AG152,1)-1,INDEX(Roadmap!$D:$K,MATCH($E152,Roadmap!$D:$D,0)-1+COUNTIF($E152:AG152,"u")+COUNTIF($E152:AG152,"t")+COUNTIF($E152:AG152,1),ColDescriptionCourte)),""),
  "")),"")</f>
        <v/>
      </c>
      <c r="AI152" s="40"/>
      <c r="AJ152" s="40"/>
      <c r="AK152" s="40"/>
      <c r="AL152" s="40"/>
      <c r="AM152" s="40"/>
    </row>
    <row r="153" spans="4:39" ht="14.1" customHeight="1">
      <c r="D153" s="20" t="str">
        <f t="shared" ca="1" si="31"/>
        <v/>
      </c>
      <c r="E153" s="53" t="str">
        <f t="shared" ca="1" si="32"/>
        <v/>
      </c>
      <c r="F153" s="39" t="str">
        <f ca="1">IFERROR(IF(AND(
  INDEX(Roadmap!$D:$K,MATCH($E153,Roadmap!$D:$D,0)+COUNTIF($E153:E153,"u")+COUNTIF($E153:E153,"t")+COUNTIF($E153:E153,"¶")+COUNTIF($E153:E153,"²")+COUNTIF($E153:E153,"µ")+COUNTIF($E153:E153,1),ColLivraison)=F$6,
  VLOOKUP($E153,INDIRECT("tri!"&amp; CHAR(64+ C0Col) &amp;":"&amp; CHAR(65+C0Col)),2,FALSE)&gt;COUNTIF($E153:E153,"u")+COUNTIF($E153:E153,"t")+COUNTIF($E153:E153,"¶")+COUNTIF($E153:E153,"²")+COUNTIF($E153:E153,"µ")+COUNTIF($E153:E153,1)),
HYPERLINK("#Roadmap!C"&amp; MATCH($E153,Roadmap!$D:$D,0)+COUNTIF($E153:E153,"u")+COUNTIF($E153:E153,"t"),
     INDEX(Roadmap!$D:$K,MATCH($E153,Roadmap!$D:$D,0)+COUNTIF($E153:E153,"u")+COUNTIF($E153:E153,"t")+COUNTIF($E153:E153,"¶")+COUNTIF($E153:E153,"²")+COUNTIF($E153:E153,"µ")+COUNTIF($E153:E153,1),ColTypeEcheance)),
  IF(LEN(E153)=1,
  IF(LEN(INDEX(Roadmap!$D:$K,MATCH($E153,Roadmap!$D:$D,0)-1+COUNTIF($E153:E153,"u")+COUNTIF($E153:E153,"t")+COUNTIF($E153:E153,"¶")+COUNTIF($E153:E153,"²")+COUNTIF($E153:E153,"µ")+COUNTIF($E153:E153,1),ColDescriptionCourte))&gt;1,
HYPERLINK("#Roadmap!C"&amp; MATCH($E153,Roadmap!$D:$D,0)+COUNTIF($E153:E153,"u")+COUNTIF($E153:E153,"t")+COUNTIF($E153:E153,"¶")+COUNTIF($E153:E153,"²")+COUNTIF($E153:E153,"µ")+COUNTIF($E153:E153,1)-1,INDEX(Roadmap!$D:$K,MATCH($E153,Roadmap!$D:$D,0)-1+COUNTIF($E153:E153,"u")+COUNTIF($E153:E153,"t")+COUNTIF($E153:E153,"¶")+COUNTIF($E153:E153,"²")+COUNTIF($E153:E153,"µ")+COUNTIF($E153:E153,1),ColDescriptionCourte)),""),
  "")),"")</f>
        <v/>
      </c>
      <c r="G153" s="40" t="str">
        <f ca="1">IFERROR(IF(AND(
  INDEX(Roadmap!$D:$K,MATCH($E153,Roadmap!$D:$D,0)+COUNTIF($E153:F153,"u")+COUNTIF($E153:F153,"t")+COUNTIF($E153:F153,"¶")+COUNTIF($E153:F153,"²")+COUNTIF($E153:F153,"µ")+COUNTIF($E153:F153,1),ColLivraison)=G$6,
  VLOOKUP($E153,INDIRECT("tri!"&amp; CHAR(64+ C0Col) &amp;":"&amp; CHAR(65+C0Col)),2,FALSE)&gt;COUNTIF($E153:F153,"u")+COUNTIF($E153:F153,"t")+COUNTIF($E153:F153,"¶")+COUNTIF($E153:F153,"²")+COUNTIF($E153:F153,"µ")+COUNTIF($E153:F153,1)),
HYPERLINK("#Roadmap!C"&amp; MATCH($E153,Roadmap!$D:$D,0)+COUNTIF($E153:F153,"u")+COUNTIF($E153:F153,"t"),
     INDEX(Roadmap!$D:$K,MATCH($E153,Roadmap!$D:$D,0)+COUNTIF($E153:F153,"u")+COUNTIF($E153:F153,"t")+COUNTIF($E153:F153,"¶")+COUNTIF($E153:F153,"²")+COUNTIF($E153:F153,"µ")+COUNTIF($E153:F153,1),ColTypeEcheance)),
  IF(LEN(F153)=1,
  IF(LEN(INDEX(Roadmap!$D:$K,MATCH($E153,Roadmap!$D:$D,0)-1+COUNTIF($E153:F153,"u")+COUNTIF($E153:F153,"t")+COUNTIF($E153:F153,"¶")+COUNTIF($E153:F153,"²")+COUNTIF($E153:F153,"µ")+COUNTIF($E153:F153,1),ColDescriptionCourte))&gt;1,
HYPERLINK("#Roadmap!C"&amp; MATCH($E153,Roadmap!$D:$D,0)+COUNTIF($E153:F153,"u")+COUNTIF($E153:F153,"t")+COUNTIF($E153:F153,"¶")+COUNTIF($E153:F153,"²")+COUNTIF($E153:F153,"µ")+COUNTIF($E153:F153,1)-1,INDEX(Roadmap!$D:$K,MATCH($E153,Roadmap!$D:$D,0)-1+COUNTIF($E153:F153,"u")+COUNTIF($E153:F153,"t")+COUNTIF($E153:F153,"¶")+COUNTIF($E153:F153,"²")+COUNTIF($E153:F153,"µ")+COUNTIF($E153:F153,1),ColDescriptionCourte)),""),
  "")),"")</f>
        <v/>
      </c>
      <c r="H153" s="40" t="str">
        <f ca="1">IFERROR(IF(AND(
  INDEX(Roadmap!$D:$K,MATCH($E153,Roadmap!$D:$D,0)+COUNTIF($E153:G153,"u")+COUNTIF($E153:G153,"t")+COUNTIF($E153:G153,"¶")+COUNTIF($E153:G153,"²")+COUNTIF($E153:G153,"µ")+COUNTIF($E153:G153,1),ColLivraison)=H$6,
  VLOOKUP($E153,INDIRECT("tri!"&amp; CHAR(64+ C0Col) &amp;":"&amp; CHAR(65+C0Col)),2,FALSE)&gt;COUNTIF($E153:G153,"u")+COUNTIF($E153:G153,"t")+COUNTIF($E153:G153,"¶")+COUNTIF($E153:G153,"²")+COUNTIF($E153:G153,"µ")+COUNTIF($E153:G153,1)),
HYPERLINK("#Roadmap!C"&amp; MATCH($E153,Roadmap!$D:$D,0)+COUNTIF($E153:G153,"u")+COUNTIF($E153:G153,"t"),
     INDEX(Roadmap!$D:$K,MATCH($E153,Roadmap!$D:$D,0)+COUNTIF($E153:G153,"u")+COUNTIF($E153:G153,"t")+COUNTIF($E153:G153,"¶")+COUNTIF($E153:G153,"²")+COUNTIF($E153:G153,"µ")+COUNTIF($E153:G153,1),ColTypeEcheance)),
  IF(LEN(G153)=1,
  IF(LEN(INDEX(Roadmap!$D:$K,MATCH($E153,Roadmap!$D:$D,0)-1+COUNTIF($E153:G153,"u")+COUNTIF($E153:G153,"t")+COUNTIF($E153:G153,"¶")+COUNTIF($E153:G153,"²")+COUNTIF($E153:G153,"µ")+COUNTIF($E153:G153,1),ColDescriptionCourte))&gt;1,
HYPERLINK("#Roadmap!C"&amp; MATCH($E153,Roadmap!$D:$D,0)+COUNTIF($E153:G153,"u")+COUNTIF($E153:G153,"t")+COUNTIF($E153:G153,"¶")+COUNTIF($E153:G153,"²")+COUNTIF($E153:G153,"µ")+COUNTIF($E153:G153,1)-1,INDEX(Roadmap!$D:$K,MATCH($E153,Roadmap!$D:$D,0)-1+COUNTIF($E153:G153,"u")+COUNTIF($E153:G153,"t")+COUNTIF($E153:G153,"¶")+COUNTIF($E153:G153,"²")+COUNTIF($E153:G153,"µ")+COUNTIF($E153:G153,1),ColDescriptionCourte)),""),
  "")),"")</f>
        <v/>
      </c>
      <c r="I153" s="40" t="str">
        <f ca="1">IFERROR(IF(AND(
  INDEX(Roadmap!$D:$K,MATCH($E153,Roadmap!$D:$D,0)+COUNTIF($E153:H153,"u")+COUNTIF($E153:H153,"t")+COUNTIF($E153:H153,"¶")+COUNTIF($E153:H153,"²")+COUNTIF($E153:H153,"µ")+COUNTIF($E153:H153,1),ColLivraison)=I$6,
  VLOOKUP($E153,INDIRECT("tri!"&amp; CHAR(64+ C0Col) &amp;":"&amp; CHAR(65+C0Col)),2,FALSE)&gt;COUNTIF($E153:H153,"u")+COUNTIF($E153:H153,"t")+COUNTIF($E153:H153,"¶")+COUNTIF($E153:H153,"²")+COUNTIF($E153:H153,"µ")+COUNTIF($E153:H153,1)),
HYPERLINK("#Roadmap!C"&amp; MATCH($E153,Roadmap!$D:$D,0)+COUNTIF($E153:H153,"u")+COUNTIF($E153:H153,"t"),
     INDEX(Roadmap!$D:$K,MATCH($E153,Roadmap!$D:$D,0)+COUNTIF($E153:H153,"u")+COUNTIF($E153:H153,"t")+COUNTIF($E153:H153,"¶")+COUNTIF($E153:H153,"²")+COUNTIF($E153:H153,"µ")+COUNTIF($E153:H153,1),ColTypeEcheance)),
  IF(LEN(H153)=1,
  IF(LEN(INDEX(Roadmap!$D:$K,MATCH($E153,Roadmap!$D:$D,0)-1+COUNTIF($E153:H153,"u")+COUNTIF($E153:H153,"t")+COUNTIF($E153:H153,"¶")+COUNTIF($E153:H153,"²")+COUNTIF($E153:H153,"µ")+COUNTIF($E153:H153,1),ColDescriptionCourte))&gt;1,
HYPERLINK("#Roadmap!C"&amp; MATCH($E153,Roadmap!$D:$D,0)+COUNTIF($E153:H153,"u")+COUNTIF($E153:H153,"t")+COUNTIF($E153:H153,"¶")+COUNTIF($E153:H153,"²")+COUNTIF($E153:H153,"µ")+COUNTIF($E153:H153,1)-1,INDEX(Roadmap!$D:$K,MATCH($E153,Roadmap!$D:$D,0)-1+COUNTIF($E153:H153,"u")+COUNTIF($E153:H153,"t")+COUNTIF($E153:H153,"¶")+COUNTIF($E153:H153,"²")+COUNTIF($E153:H153,"µ")+COUNTIF($E153:H153,1),ColDescriptionCourte)),""),
  "")),"")</f>
        <v/>
      </c>
      <c r="J153" s="40" t="str">
        <f ca="1">IFERROR(IF(AND(
  INDEX(Roadmap!$D:$K,MATCH($E153,Roadmap!$D:$D,0)+COUNTIF($E153:I153,"u")+COUNTIF($E153:I153,"t")+COUNTIF($E153:I153,"¶")+COUNTIF($E153:I153,"²")+COUNTIF($E153:I153,"µ")+COUNTIF($E153:I153,1),ColLivraison)=J$6,
  VLOOKUP($E153,INDIRECT("tri!"&amp; CHAR(64+ C0Col) &amp;":"&amp; CHAR(65+C0Col)),2,FALSE)&gt;COUNTIF($E153:I153,"u")+COUNTIF($E153:I153,"t")+COUNTIF($E153:I153,"¶")+COUNTIF($E153:I153,"²")+COUNTIF($E153:I153,"µ")+COUNTIF($E153:I153,1)),
HYPERLINK("#Roadmap!C"&amp; MATCH($E153,Roadmap!$D:$D,0)+COUNTIF($E153:I153,"u")+COUNTIF($E153:I153,"t"),
     INDEX(Roadmap!$D:$K,MATCH($E153,Roadmap!$D:$D,0)+COUNTIF($E153:I153,"u")+COUNTIF($E153:I153,"t")+COUNTIF($E153:I153,"¶")+COUNTIF($E153:I153,"²")+COUNTIF($E153:I153,"µ")+COUNTIF($E153:I153,1),ColTypeEcheance)),
  IF(LEN(I153)=1,
  IF(LEN(INDEX(Roadmap!$D:$K,MATCH($E153,Roadmap!$D:$D,0)-1+COUNTIF($E153:I153,"u")+COUNTIF($E153:I153,"t")+COUNTIF($E153:I153,"¶")+COUNTIF($E153:I153,"²")+COUNTIF($E153:I153,"µ")+COUNTIF($E153:I153,1),ColDescriptionCourte))&gt;1,
HYPERLINK("#Roadmap!C"&amp; MATCH($E153,Roadmap!$D:$D,0)+COUNTIF($E153:I153,"u")+COUNTIF($E153:I153,"t")+COUNTIF($E153:I153,"¶")+COUNTIF($E153:I153,"²")+COUNTIF($E153:I153,"µ")+COUNTIF($E153:I153,1)-1,INDEX(Roadmap!$D:$K,MATCH($E153,Roadmap!$D:$D,0)-1+COUNTIF($E153:I153,"u")+COUNTIF($E153:I153,"t")+COUNTIF($E153:I153,"¶")+COUNTIF($E153:I153,"²")+COUNTIF($E153:I153,"µ")+COUNTIF($E153:I153,1),ColDescriptionCourte)),""),
  "")),"")</f>
        <v/>
      </c>
      <c r="K153" s="40" t="str">
        <f ca="1">IFERROR(IF(AND(
  INDEX(Roadmap!$D:$K,MATCH($E153,Roadmap!$D:$D,0)+COUNTIF($E153:J153,"u")+COUNTIF($E153:J153,"t")+COUNTIF($E153:J153,"¶")+COUNTIF($E153:J153,"²")+COUNTIF($E153:J153,"µ")+COUNTIF($E153:J153,1),ColLivraison)=K$6,
  VLOOKUP($E153,INDIRECT("tri!"&amp; CHAR(64+ C0Col) &amp;":"&amp; CHAR(65+C0Col)),2,FALSE)&gt;COUNTIF($E153:J153,"u")+COUNTIF($E153:J153,"t")+COUNTIF($E153:J153,"¶")+COUNTIF($E153:J153,"²")+COUNTIF($E153:J153,"µ")+COUNTIF($E153:J153,1)),
HYPERLINK("#Roadmap!C"&amp; MATCH($E153,Roadmap!$D:$D,0)+COUNTIF($E153:J153,"u")+COUNTIF($E153:J153,"t"),
     INDEX(Roadmap!$D:$K,MATCH($E153,Roadmap!$D:$D,0)+COUNTIF($E153:J153,"u")+COUNTIF($E153:J153,"t")+COUNTIF($E153:J153,"¶")+COUNTIF($E153:J153,"²")+COUNTIF($E153:J153,"µ")+COUNTIF($E153:J153,1),ColTypeEcheance)),
  IF(LEN(J153)=1,
  IF(LEN(INDEX(Roadmap!$D:$K,MATCH($E153,Roadmap!$D:$D,0)-1+COUNTIF($E153:J153,"u")+COUNTIF($E153:J153,"t")+COUNTIF($E153:J153,"¶")+COUNTIF($E153:J153,"²")+COUNTIF($E153:J153,"µ")+COUNTIF($E153:J153,1),ColDescriptionCourte))&gt;1,
HYPERLINK("#Roadmap!C"&amp; MATCH($E153,Roadmap!$D:$D,0)+COUNTIF($E153:J153,"u")+COUNTIF($E153:J153,"t")+COUNTIF($E153:J153,"¶")+COUNTIF($E153:J153,"²")+COUNTIF($E153:J153,"µ")+COUNTIF($E153:J153,1)-1,INDEX(Roadmap!$D:$K,MATCH($E153,Roadmap!$D:$D,0)-1+COUNTIF($E153:J153,"u")+COUNTIF($E153:J153,"t")+COUNTIF($E153:J153,"¶")+COUNTIF($E153:J153,"²")+COUNTIF($E153:J153,"µ")+COUNTIF($E153:J153,1),ColDescriptionCourte)),""),
  "")),"")</f>
        <v/>
      </c>
      <c r="L153" s="39" t="str">
        <f ca="1">IFERROR(IF(AND(
  INDEX(Roadmap!$D:$K,MATCH($E153,Roadmap!$D:$D,0)+COUNTIF($E153:K153,"u")+COUNTIF($E153:K153,"t")+COUNTIF($E153:K153,"¶")+COUNTIF($E153:K153,"²")+COUNTIF($E153:K153,"µ")+COUNTIF($E153:K153,1),ColLivraison)=L$6,
  VLOOKUP($E153,INDIRECT("tri!"&amp; CHAR(64+ C0Col) &amp;":"&amp; CHAR(65+C0Col)),2,FALSE)&gt;COUNTIF($E153:K153,"u")+COUNTIF($E153:K153,"t")+COUNTIF($E153:K153,"¶")+COUNTIF($E153:K153,"²")+COUNTIF($E153:K153,"µ")+COUNTIF($E153:K153,1)),
HYPERLINK("#Roadmap!C"&amp; MATCH($E153,Roadmap!$D:$D,0)+COUNTIF($E153:K153,"u")+COUNTIF($E153:K153,"t"),
     INDEX(Roadmap!$D:$K,MATCH($E153,Roadmap!$D:$D,0)+COUNTIF($E153:K153,"u")+COUNTIF($E153:K153,"t")+COUNTIF($E153:K153,"¶")+COUNTIF($E153:K153,"²")+COUNTIF($E153:K153,"µ")+COUNTIF($E153:K153,1),ColTypeEcheance)),
  IF(LEN(K153)=1,
  IF(LEN(INDEX(Roadmap!$D:$K,MATCH($E153,Roadmap!$D:$D,0)-1+COUNTIF($E153:K153,"u")+COUNTIF($E153:K153,"t")+COUNTIF($E153:K153,"¶")+COUNTIF($E153:K153,"²")+COUNTIF($E153:K153,"µ")+COUNTIF($E153:K153,1),ColDescriptionCourte))&gt;1,
HYPERLINK("#Roadmap!C"&amp; MATCH($E153,Roadmap!$D:$D,0)+COUNTIF($E153:K153,"u")+COUNTIF($E153:K153,"t")+COUNTIF($E153:K153,"¶")+COUNTIF($E153:K153,"²")+COUNTIF($E153:K153,"µ")+COUNTIF($E153:K153,1)-1,INDEX(Roadmap!$D:$K,MATCH($E153,Roadmap!$D:$D,0)-1+COUNTIF($E153:K153,"u")+COUNTIF($E153:K153,"t")+COUNTIF($E153:K153,"¶")+COUNTIF($E153:K153,"²")+COUNTIF($E153:K153,"µ")+COUNTIF($E153:K153,1),ColDescriptionCourte)),""),
  "")),"")</f>
        <v/>
      </c>
      <c r="M153" s="40" t="str">
        <f ca="1">IFERROR(IF(AND(
  INDEX(Roadmap!$D:$K,MATCH($E153,Roadmap!$D:$D,0)+COUNTIF($E153:L153,"u")+COUNTIF($E153:L153,"t")+COUNTIF($E153:L153,"¶")+COUNTIF($E153:L153,"²")+COUNTIF($E153:L153,"µ")+COUNTIF($E153:L153,1),ColLivraison)=M$6,
  VLOOKUP($E153,INDIRECT("tri!"&amp; CHAR(64+ C0Col) &amp;":"&amp; CHAR(65+C0Col)),2,FALSE)&gt;COUNTIF($E153:L153,"u")+COUNTIF($E153:L153,"t")+COUNTIF($E153:L153,"¶")+COUNTIF($E153:L153,"²")+COUNTIF($E153:L153,"µ")+COUNTIF($E153:L153,1)),
HYPERLINK("#Roadmap!C"&amp; MATCH($E153,Roadmap!$D:$D,0)+COUNTIF($E153:L153,"u")+COUNTIF($E153:L153,"t"),
     INDEX(Roadmap!$D:$K,MATCH($E153,Roadmap!$D:$D,0)+COUNTIF($E153:L153,"u")+COUNTIF($E153:L153,"t")+COUNTIF($E153:L153,"¶")+COUNTIF($E153:L153,"²")+COUNTIF($E153:L153,"µ")+COUNTIF($E153:L153,1),ColTypeEcheance)),
  IF(LEN(L153)=1,
  IF(LEN(INDEX(Roadmap!$D:$K,MATCH($E153,Roadmap!$D:$D,0)-1+COUNTIF($E153:L153,"u")+COUNTIF($E153:L153,"t")+COUNTIF($E153:L153,"¶")+COUNTIF($E153:L153,"²")+COUNTIF($E153:L153,"µ")+COUNTIF($E153:L153,1),ColDescriptionCourte))&gt;1,
HYPERLINK("#Roadmap!C"&amp; MATCH($E153,Roadmap!$D:$D,0)+COUNTIF($E153:L153,"u")+COUNTIF($E153:L153,"t")+COUNTIF($E153:L153,"¶")+COUNTIF($E153:L153,"²")+COUNTIF($E153:L153,"µ")+COUNTIF($E153:L153,1)-1,INDEX(Roadmap!$D:$K,MATCH($E153,Roadmap!$D:$D,0)-1+COUNTIF($E153:L153,"u")+COUNTIF($E153:L153,"t")+COUNTIF($E153:L153,"¶")+COUNTIF($E153:L153,"²")+COUNTIF($E153:L153,"µ")+COUNTIF($E153:L153,1),ColDescriptionCourte)),""),
  "")),"")</f>
        <v/>
      </c>
      <c r="N153" s="40" t="str">
        <f ca="1">IFERROR(IF(AND(
  INDEX(Roadmap!$D:$K,MATCH($E153,Roadmap!$D:$D,0)+COUNTIF($E153:M153,"u")+COUNTIF($E153:M153,"t")+COUNTIF($E153:M153,"¶")+COUNTIF($E153:M153,"²")+COUNTIF($E153:M153,"µ")+COUNTIF($E153:M153,1),ColLivraison)=N$6,
  VLOOKUP($E153,INDIRECT("tri!"&amp; CHAR(64+ C0Col) &amp;":"&amp; CHAR(65+C0Col)),2,FALSE)&gt;COUNTIF($E153:M153,"u")+COUNTIF($E153:M153,"t")+COUNTIF($E153:M153,"¶")+COUNTIF($E153:M153,"²")+COUNTIF($E153:M153,"µ")+COUNTIF($E153:M153,1)),
HYPERLINK("#Roadmap!C"&amp; MATCH($E153,Roadmap!$D:$D,0)+COUNTIF($E153:M153,"u")+COUNTIF($E153:M153,"t"),
     INDEX(Roadmap!$D:$K,MATCH($E153,Roadmap!$D:$D,0)+COUNTIF($E153:M153,"u")+COUNTIF($E153:M153,"t")+COUNTIF($E153:M153,"¶")+COUNTIF($E153:M153,"²")+COUNTIF($E153:M153,"µ")+COUNTIF($E153:M153,1),ColTypeEcheance)),
  IF(LEN(M153)=1,
  IF(LEN(INDEX(Roadmap!$D:$K,MATCH($E153,Roadmap!$D:$D,0)-1+COUNTIF($E153:M153,"u")+COUNTIF($E153:M153,"t")+COUNTIF($E153:M153,"¶")+COUNTIF($E153:M153,"²")+COUNTIF($E153:M153,"µ")+COUNTIF($E153:M153,1),ColDescriptionCourte))&gt;1,
HYPERLINK("#Roadmap!C"&amp; MATCH($E153,Roadmap!$D:$D,0)+COUNTIF($E153:M153,"u")+COUNTIF($E153:M153,"t")+COUNTIF($E153:M153,"¶")+COUNTIF($E153:M153,"²")+COUNTIF($E153:M153,"µ")+COUNTIF($E153:M153,1)-1,INDEX(Roadmap!$D:$K,MATCH($E153,Roadmap!$D:$D,0)-1+COUNTIF($E153:M153,"u")+COUNTIF($E153:M153,"t")+COUNTIF($E153:M153,"¶")+COUNTIF($E153:M153,"²")+COUNTIF($E153:M153,"µ")+COUNTIF($E153:M153,1),ColDescriptionCourte)),""),
  "")),"")</f>
        <v/>
      </c>
      <c r="O153" s="40" t="str">
        <f ca="1">IFERROR(IF(AND(
  INDEX(Roadmap!$D:$K,MATCH($E153,Roadmap!$D:$D,0)+COUNTIF($E153:N153,"u")+COUNTIF($E153:N153,"t")+COUNTIF($E153:N153,"¶")+COUNTIF($E153:N153,"²")+COUNTIF($E153:N153,"µ")+COUNTIF($E153:N153,1),ColLivraison)=O$6,
  VLOOKUP($E153,INDIRECT("tri!"&amp; CHAR(64+ C0Col) &amp;":"&amp; CHAR(65+C0Col)),2,FALSE)&gt;COUNTIF($E153:N153,"u")+COUNTIF($E153:N153,"t")+COUNTIF($E153:N153,"¶")+COUNTIF($E153:N153,"²")+COUNTIF($E153:N153,"µ")+COUNTIF($E153:N153,1)),
HYPERLINK("#Roadmap!C"&amp; MATCH($E153,Roadmap!$D:$D,0)+COUNTIF($E153:N153,"u")+COUNTIF($E153:N153,"t"),
     INDEX(Roadmap!$D:$K,MATCH($E153,Roadmap!$D:$D,0)+COUNTIF($E153:N153,"u")+COUNTIF($E153:N153,"t")+COUNTIF($E153:N153,"¶")+COUNTIF($E153:N153,"²")+COUNTIF($E153:N153,"µ")+COUNTIF($E153:N153,1),ColTypeEcheance)),
  IF(LEN(N153)=1,
  IF(LEN(INDEX(Roadmap!$D:$K,MATCH($E153,Roadmap!$D:$D,0)-1+COUNTIF($E153:N153,"u")+COUNTIF($E153:N153,"t")+COUNTIF($E153:N153,"¶")+COUNTIF($E153:N153,"²")+COUNTIF($E153:N153,"µ")+COUNTIF($E153:N153,1),ColDescriptionCourte))&gt;1,
HYPERLINK("#Roadmap!C"&amp; MATCH($E153,Roadmap!$D:$D,0)+COUNTIF($E153:N153,"u")+COUNTIF($E153:N153,"t")+COUNTIF($E153:N153,"¶")+COUNTIF($E153:N153,"²")+COUNTIF($E153:N153,"µ")+COUNTIF($E153:N153,1)-1,INDEX(Roadmap!$D:$K,MATCH($E153,Roadmap!$D:$D,0)-1+COUNTIF($E153:N153,"u")+COUNTIF($E153:N153,"t")+COUNTIF($E153:N153,"¶")+COUNTIF($E153:N153,"²")+COUNTIF($E153:N153,"µ")+COUNTIF($E153:N153,1),ColDescriptionCourte)),""),
  "")),"")</f>
        <v/>
      </c>
      <c r="P153" s="40" t="str">
        <f ca="1">IFERROR(IF(AND(
  INDEX(Roadmap!$D:$K,MATCH($E153,Roadmap!$D:$D,0)+COUNTIF($E153:O153,"u")+COUNTIF($E153:O153,"t")+COUNTIF($E153:O153,"¶")+COUNTIF($E153:O153,"²")+COUNTIF($E153:O153,"µ")+COUNTIF($E153:O153,1),ColLivraison)=P$6,
  VLOOKUP($E153,INDIRECT("tri!"&amp; CHAR(64+ C0Col) &amp;":"&amp; CHAR(65+C0Col)),2,FALSE)&gt;COUNTIF($E153:O153,"u")+COUNTIF($E153:O153,"t")+COUNTIF($E153:O153,"¶")+COUNTIF($E153:O153,"²")+COUNTIF($E153:O153,"µ")+COUNTIF($E153:O153,1)),
HYPERLINK("#Roadmap!C"&amp; MATCH($E153,Roadmap!$D:$D,0)+COUNTIF($E153:O153,"u")+COUNTIF($E153:O153,"t"),
     INDEX(Roadmap!$D:$K,MATCH($E153,Roadmap!$D:$D,0)+COUNTIF($E153:O153,"u")+COUNTIF($E153:O153,"t")+COUNTIF($E153:O153,"¶")+COUNTIF($E153:O153,"²")+COUNTIF($E153:O153,"µ")+COUNTIF($E153:O153,1),ColTypeEcheance)),
  IF(LEN(O153)=1,
  IF(LEN(INDEX(Roadmap!$D:$K,MATCH($E153,Roadmap!$D:$D,0)-1+COUNTIF($E153:O153,"u")+COUNTIF($E153:O153,"t")+COUNTIF($E153:O153,"¶")+COUNTIF($E153:O153,"²")+COUNTIF($E153:O153,"µ")+COUNTIF($E153:O153,1),ColDescriptionCourte))&gt;1,
HYPERLINK("#Roadmap!C"&amp; MATCH($E153,Roadmap!$D:$D,0)+COUNTIF($E153:O153,"u")+COUNTIF($E153:O153,"t")+COUNTIF($E153:O153,"¶")+COUNTIF($E153:O153,"²")+COUNTIF($E153:O153,"µ")+COUNTIF($E153:O153,1)-1,INDEX(Roadmap!$D:$K,MATCH($E153,Roadmap!$D:$D,0)-1+COUNTIF($E153:O153,"u")+COUNTIF($E153:O153,"t")+COUNTIF($E153:O153,"¶")+COUNTIF($E153:O153,"²")+COUNTIF($E153:O153,"µ")+COUNTIF($E153:O153,1),ColDescriptionCourte)),""),
  "")),"")</f>
        <v/>
      </c>
      <c r="Q153" s="40" t="str">
        <f ca="1">IFERROR(IF(AND(
  INDEX(Roadmap!$D:$K,MATCH($E153,Roadmap!$D:$D,0)+COUNTIF($E153:P153,"u")+COUNTIF($E153:P153,"t")+COUNTIF($E153:P153,"¶")+COUNTIF($E153:P153,"²")+COUNTIF($E153:P153,"µ")+COUNTIF($E153:P153,1),ColLivraison)=Q$6,
  VLOOKUP($E153,INDIRECT("tri!"&amp; CHAR(64+ C0Col) &amp;":"&amp; CHAR(65+C0Col)),2,FALSE)&gt;COUNTIF($E153:P153,"u")+COUNTIF($E153:P153,"t")+COUNTIF($E153:P153,"¶")+COUNTIF($E153:P153,"²")+COUNTIF($E153:P153,"µ")+COUNTIF($E153:P153,1)),
HYPERLINK("#Roadmap!C"&amp; MATCH($E153,Roadmap!$D:$D,0)+COUNTIF($E153:P153,"u")+COUNTIF($E153:P153,"t"),
     INDEX(Roadmap!$D:$K,MATCH($E153,Roadmap!$D:$D,0)+COUNTIF($E153:P153,"u")+COUNTIF($E153:P153,"t")+COUNTIF($E153:P153,"¶")+COUNTIF($E153:P153,"²")+COUNTIF($E153:P153,"µ")+COUNTIF($E153:P153,1),ColTypeEcheance)),
  IF(LEN(P153)=1,
  IF(LEN(INDEX(Roadmap!$D:$K,MATCH($E153,Roadmap!$D:$D,0)-1+COUNTIF($E153:P153,"u")+COUNTIF($E153:P153,"t")+COUNTIF($E153:P153,"¶")+COUNTIF($E153:P153,"²")+COUNTIF($E153:P153,"µ")+COUNTIF($E153:P153,1),ColDescriptionCourte))&gt;1,
HYPERLINK("#Roadmap!C"&amp; MATCH($E153,Roadmap!$D:$D,0)+COUNTIF($E153:P153,"u")+COUNTIF($E153:P153,"t")+COUNTIF($E153:P153,"¶")+COUNTIF($E153:P153,"²")+COUNTIF($E153:P153,"µ")+COUNTIF($E153:P153,1)-1,INDEX(Roadmap!$D:$K,MATCH($E153,Roadmap!$D:$D,0)-1+COUNTIF($E153:P153,"u")+COUNTIF($E153:P153,"t")+COUNTIF($E153:P153,"¶")+COUNTIF($E153:P153,"²")+COUNTIF($E153:P153,"µ")+COUNTIF($E153:P153,1),ColDescriptionCourte)),""),
  "")),"")</f>
        <v/>
      </c>
      <c r="R153" s="40" t="str">
        <f ca="1">IFERROR(IF(AND(
  INDEX(Roadmap!$D:$K,MATCH($E153,Roadmap!$D:$D,0)+COUNTIF($E153:Q153,"u")+COUNTIF($E153:Q153,"t")+COUNTIF($E153:Q153,"¶")+COUNTIF($E153:Q153,"²")+COUNTIF($E153:Q153,"µ")+COUNTIF($E153:Q153,1),ColLivraison)=R$6,
  VLOOKUP($E153,INDIRECT("tri!"&amp; CHAR(64+ C0Col) &amp;":"&amp; CHAR(65+C0Col)),2,FALSE)&gt;COUNTIF($E153:Q153,"u")+COUNTIF($E153:Q153,"t")+COUNTIF($E153:Q153,"¶")+COUNTIF($E153:Q153,"²")+COUNTIF($E153:Q153,"µ")+COUNTIF($E153:Q153,1)),
HYPERLINK("#Roadmap!C"&amp; MATCH($E153,Roadmap!$D:$D,0)+COUNTIF($E153:Q153,"u")+COUNTIF($E153:Q153,"t"),
     INDEX(Roadmap!$D:$K,MATCH($E153,Roadmap!$D:$D,0)+COUNTIF($E153:Q153,"u")+COUNTIF($E153:Q153,"t")+COUNTIF($E153:Q153,"¶")+COUNTIF($E153:Q153,"²")+COUNTIF($E153:Q153,"µ")+COUNTIF($E153:Q153,1),ColTypeEcheance)),
  IF(LEN(Q153)=1,
  IF(LEN(INDEX(Roadmap!$D:$K,MATCH($E153,Roadmap!$D:$D,0)-1+COUNTIF($E153:Q153,"u")+COUNTIF($E153:Q153,"t")+COUNTIF($E153:Q153,"¶")+COUNTIF($E153:Q153,"²")+COUNTIF($E153:Q153,"µ")+COUNTIF($E153:Q153,1),ColDescriptionCourte))&gt;1,
HYPERLINK("#Roadmap!C"&amp; MATCH($E153,Roadmap!$D:$D,0)+COUNTIF($E153:Q153,"u")+COUNTIF($E153:Q153,"t")+COUNTIF($E153:Q153,"¶")+COUNTIF($E153:Q153,"²")+COUNTIF($E153:Q153,"µ")+COUNTIF($E153:Q153,1)-1,INDEX(Roadmap!$D:$K,MATCH($E153,Roadmap!$D:$D,0)-1+COUNTIF($E153:Q153,"u")+COUNTIF($E153:Q153,"t")+COUNTIF($E153:Q153,"¶")+COUNTIF($E153:Q153,"²")+COUNTIF($E153:Q153,"µ")+COUNTIF($E153:Q153,1),ColDescriptionCourte)),""),
  "")),"")</f>
        <v/>
      </c>
      <c r="S153" s="40" t="str">
        <f ca="1">IFERROR(IF(AND(
  INDEX(Roadmap!$D:$K,MATCH($E153,Roadmap!$D:$D,0)+COUNTIF($E153:R153,"u")+COUNTIF($E153:R153,"t")+COUNTIF($E153:R153,"¶")+COUNTIF($E153:R153,"²")+COUNTIF($E153:R153,"µ")+COUNTIF($E153:R153,1),ColLivraison)=S$6,
  VLOOKUP($E153,INDIRECT("tri!"&amp; CHAR(64+ C0Col) &amp;":"&amp; CHAR(65+C0Col)),2,FALSE)&gt;COUNTIF($E153:R153,"u")+COUNTIF($E153:R153,"t")+COUNTIF($E153:R153,"¶")+COUNTIF($E153:R153,"²")+COUNTIF($E153:R153,"µ")+COUNTIF($E153:R153,1)),
HYPERLINK("#Roadmap!C"&amp; MATCH($E153,Roadmap!$D:$D,0)+COUNTIF($E153:R153,"u")+COUNTIF($E153:R153,"t"),
     INDEX(Roadmap!$D:$K,MATCH($E153,Roadmap!$D:$D,0)+COUNTIF($E153:R153,"u")+COUNTIF($E153:R153,"t")+COUNTIF($E153:R153,"¶")+COUNTIF($E153:R153,"²")+COUNTIF($E153:R153,"µ")+COUNTIF($E153:R153,1),ColTypeEcheance)),
  IF(LEN(R153)=1,
  IF(LEN(INDEX(Roadmap!$D:$K,MATCH($E153,Roadmap!$D:$D,0)-1+COUNTIF($E153:R153,"u")+COUNTIF($E153:R153,"t")+COUNTIF($E153:R153,"¶")+COUNTIF($E153:R153,"²")+COUNTIF($E153:R153,"µ")+COUNTIF($E153:R153,1),ColDescriptionCourte))&gt;1,
HYPERLINK("#Roadmap!C"&amp; MATCH($E153,Roadmap!$D:$D,0)+COUNTIF($E153:R153,"u")+COUNTIF($E153:R153,"t")+COUNTIF($E153:R153,"¶")+COUNTIF($E153:R153,"²")+COUNTIF($E153:R153,"µ")+COUNTIF($E153:R153,1)-1,INDEX(Roadmap!$D:$K,MATCH($E153,Roadmap!$D:$D,0)-1+COUNTIF($E153:R153,"u")+COUNTIF($E153:R153,"t")+COUNTIF($E153:R153,"¶")+COUNTIF($E153:R153,"²")+COUNTIF($E153:R153,"µ")+COUNTIF($E153:R153,1),ColDescriptionCourte)),""),
  "")),"")</f>
        <v/>
      </c>
      <c r="T153" s="40" t="str">
        <f ca="1">IFERROR(IF(AND(
  INDEX(Roadmap!$D:$K,MATCH($E153,Roadmap!$D:$D,0)+COUNTIF($E153:S153,"u")+COUNTIF($E153:S153,"t")+COUNTIF($E153:S153,"¶")+COUNTIF($E153:S153,"²")+COUNTIF($E153:S153,"µ")+COUNTIF($E153:S153,1),ColLivraison)=T$6,
  VLOOKUP($E153,INDIRECT("tri!"&amp; CHAR(64+ C0Col) &amp;":"&amp; CHAR(65+C0Col)),2,FALSE)&gt;COUNTIF($E153:S153,"u")+COUNTIF($E153:S153,"t")+COUNTIF($E153:S153,"¶")+COUNTIF($E153:S153,"²")+COUNTIF($E153:S153,"µ")+COUNTIF($E153:S153,1)),
HYPERLINK("#Roadmap!C"&amp; MATCH($E153,Roadmap!$D:$D,0)+COUNTIF($E153:S153,"u")+COUNTIF($E153:S153,"t"),
     INDEX(Roadmap!$D:$K,MATCH($E153,Roadmap!$D:$D,0)+COUNTIF($E153:S153,"u")+COUNTIF($E153:S153,"t")+COUNTIF($E153:S153,"¶")+COUNTIF($E153:S153,"²")+COUNTIF($E153:S153,"µ")+COUNTIF($E153:S153,1),ColTypeEcheance)),
  IF(LEN(S153)=1,
  IF(LEN(INDEX(Roadmap!$D:$K,MATCH($E153,Roadmap!$D:$D,0)-1+COUNTIF($E153:S153,"u")+COUNTIF($E153:S153,"t")+COUNTIF($E153:S153,"¶")+COUNTIF($E153:S153,"²")+COUNTIF($E153:S153,"µ")+COUNTIF($E153:S153,1),ColDescriptionCourte))&gt;1,
HYPERLINK("#Roadmap!C"&amp; MATCH($E153,Roadmap!$D:$D,0)+COUNTIF($E153:S153,"u")+COUNTIF($E153:S153,"t")+COUNTIF($E153:S153,"¶")+COUNTIF($E153:S153,"²")+COUNTIF($E153:S153,"µ")+COUNTIF($E153:S153,1)-1,INDEX(Roadmap!$D:$K,MATCH($E153,Roadmap!$D:$D,0)-1+COUNTIF($E153:S153,"u")+COUNTIF($E153:S153,"t")+COUNTIF($E153:S153,"¶")+COUNTIF($E153:S153,"²")+COUNTIF($E153:S153,"µ")+COUNTIF($E153:S153,1),ColDescriptionCourte)),""),
  "")),"")</f>
        <v/>
      </c>
      <c r="U153" s="40" t="str">
        <f ca="1">IFERROR(IF(AND(
  INDEX(Roadmap!$D:$K,MATCH($E153,Roadmap!$D:$D,0)+COUNTIF($E153:T153,"u")+COUNTIF($E153:T153,"t")+COUNTIF($E153:T153,"¶")+COUNTIF($E153:T153,"²")+COUNTIF($E153:T153,"µ")+COUNTIF($E153:T153,1),ColLivraison)=U$6,
  VLOOKUP($E153,INDIRECT("tri!"&amp; CHAR(64+ C0Col) &amp;":"&amp; CHAR(65+C0Col)),2,FALSE)&gt;COUNTIF($E153:T153,"u")+COUNTIF($E153:T153,"t")+COUNTIF($E153:T153,"¶")+COUNTIF($E153:T153,"²")+COUNTIF($E153:T153,"µ")+COUNTIF($E153:T153,1)),
HYPERLINK("#Roadmap!C"&amp; MATCH($E153,Roadmap!$D:$D,0)+COUNTIF($E153:T153,"u")+COUNTIF($E153:T153,"t"),
     INDEX(Roadmap!$D:$K,MATCH($E153,Roadmap!$D:$D,0)+COUNTIF($E153:T153,"u")+COUNTIF($E153:T153,"t")+COUNTIF($E153:T153,"¶")+COUNTIF($E153:T153,"²")+COUNTIF($E153:T153,"µ")+COUNTIF($E153:T153,1),ColTypeEcheance)),
  IF(LEN(T153)=1,
  IF(LEN(INDEX(Roadmap!$D:$K,MATCH($E153,Roadmap!$D:$D,0)-1+COUNTIF($E153:T153,"u")+COUNTIF($E153:T153,"t")+COUNTIF($E153:T153,"¶")+COUNTIF($E153:T153,"²")+COUNTIF($E153:T153,"µ")+COUNTIF($E153:T153,1),ColDescriptionCourte))&gt;1,
HYPERLINK("#Roadmap!C"&amp; MATCH($E153,Roadmap!$D:$D,0)+COUNTIF($E153:T153,"u")+COUNTIF($E153:T153,"t")+COUNTIF($E153:T153,"¶")+COUNTIF($E153:T153,"²")+COUNTIF($E153:T153,"µ")+COUNTIF($E153:T153,1)-1,INDEX(Roadmap!$D:$K,MATCH($E153,Roadmap!$D:$D,0)-1+COUNTIF($E153:T153,"u")+COUNTIF($E153:T153,"t")+COUNTIF($E153:T153,"¶")+COUNTIF($E153:T153,"²")+COUNTIF($E153:T153,"µ")+COUNTIF($E153:T153,1),ColDescriptionCourte)),""),
  "")),"")</f>
        <v/>
      </c>
      <c r="V153" s="40" t="str">
        <f ca="1">IFERROR(IF(AND(
  INDEX(Roadmap!$D:$K,MATCH($E153,Roadmap!$D:$D,0)+COUNTIF($E153:U153,"u")+COUNTIF($E153:U153,"t")+COUNTIF($E153:U153,"¶")+COUNTIF($E153:U153,"²")+COUNTIF($E153:U153,"µ")+COUNTIF($E153:U153,1),ColLivraison)=V$6,
  VLOOKUP($E153,INDIRECT("tri!"&amp; CHAR(64+ C0Col) &amp;":"&amp; CHAR(65+C0Col)),2,FALSE)&gt;COUNTIF($E153:U153,"u")+COUNTIF($E153:U153,"t")+COUNTIF($E153:U153,"¶")+COUNTIF($E153:U153,"²")+COUNTIF($E153:U153,"µ")+COUNTIF($E153:U153,1)),
HYPERLINK("#Roadmap!C"&amp; MATCH($E153,Roadmap!$D:$D,0)+COUNTIF($E153:U153,"u")+COUNTIF($E153:U153,"t"),
     INDEX(Roadmap!$D:$K,MATCH($E153,Roadmap!$D:$D,0)+COUNTIF($E153:U153,"u")+COUNTIF($E153:U153,"t")+COUNTIF($E153:U153,"¶")+COUNTIF($E153:U153,"²")+COUNTIF($E153:U153,"µ")+COUNTIF($E153:U153,1),ColTypeEcheance)),
  IF(LEN(U153)=1,
  IF(LEN(INDEX(Roadmap!$D:$K,MATCH($E153,Roadmap!$D:$D,0)-1+COUNTIF($E153:U153,"u")+COUNTIF($E153:U153,"t")+COUNTIF($E153:U153,"¶")+COUNTIF($E153:U153,"²")+COUNTIF($E153:U153,"µ")+COUNTIF($E153:U153,1),ColDescriptionCourte))&gt;1,
HYPERLINK("#Roadmap!C"&amp; MATCH($E153,Roadmap!$D:$D,0)+COUNTIF($E153:U153,"u")+COUNTIF($E153:U153,"t")+COUNTIF($E153:U153,"¶")+COUNTIF($E153:U153,"²")+COUNTIF($E153:U153,"µ")+COUNTIF($E153:U153,1)-1,INDEX(Roadmap!$D:$K,MATCH($E153,Roadmap!$D:$D,0)-1+COUNTIF($E153:U153,"u")+COUNTIF($E153:U153,"t")+COUNTIF($E153:U153,"¶")+COUNTIF($E153:U153,"²")+COUNTIF($E153:U153,"µ")+COUNTIF($E153:U153,1),ColDescriptionCourte)),""),
  "")),"")</f>
        <v/>
      </c>
      <c r="W153" s="40" t="str">
        <f ca="1">IFERROR(IF(AND(
  INDEX(Roadmap!$D:$K,MATCH($E153,Roadmap!$D:$D,0)+COUNTIF($E153:V153,"u")+COUNTIF($E153:V153,"t")+COUNTIF($E153:V153,"¶")+COUNTIF($E153:V153,"²")+COUNTIF($E153:V153,"µ")+COUNTIF($E153:V153,1),ColLivraison)=W$6,
  VLOOKUP($E153,INDIRECT("tri!"&amp; CHAR(64+ C0Col) &amp;":"&amp; CHAR(65+C0Col)),2,FALSE)&gt;COUNTIF($E153:V153,"u")+COUNTIF($E153:V153,"t")+COUNTIF($E153:V153,"¶")+COUNTIF($E153:V153,"²")+COUNTIF($E153:V153,"µ")+COUNTIF($E153:V153,1)),
HYPERLINK("#Roadmap!C"&amp; MATCH($E153,Roadmap!$D:$D,0)+COUNTIF($E153:V153,"u")+COUNTIF($E153:V153,"t"),
     INDEX(Roadmap!$D:$K,MATCH($E153,Roadmap!$D:$D,0)+COUNTIF($E153:V153,"u")+COUNTIF($E153:V153,"t")+COUNTIF($E153:V153,"¶")+COUNTIF($E153:V153,"²")+COUNTIF($E153:V153,"µ")+COUNTIF($E153:V153,1),ColTypeEcheance)),
  IF(LEN(V153)=1,
  IF(LEN(INDEX(Roadmap!$D:$K,MATCH($E153,Roadmap!$D:$D,0)-1+COUNTIF($E153:V153,"u")+COUNTIF($E153:V153,"t")+COUNTIF($E153:V153,"¶")+COUNTIF($E153:V153,"²")+COUNTIF($E153:V153,"µ")+COUNTIF($E153:V153,1),ColDescriptionCourte))&gt;1,
HYPERLINK("#Roadmap!C"&amp; MATCH($E153,Roadmap!$D:$D,0)+COUNTIF($E153:V153,"u")+COUNTIF($E153:V153,"t")+COUNTIF($E153:V153,"¶")+COUNTIF($E153:V153,"²")+COUNTIF($E153:V153,"µ")+COUNTIF($E153:V153,1)-1,INDEX(Roadmap!$D:$K,MATCH($E153,Roadmap!$D:$D,0)-1+COUNTIF($E153:V153,"u")+COUNTIF($E153:V153,"t")+COUNTIF($E153:V153,"¶")+COUNTIF($E153:V153,"²")+COUNTIF($E153:V153,"µ")+COUNTIF($E153:V153,1),ColDescriptionCourte)),""),
  "")),"")</f>
        <v/>
      </c>
      <c r="X153" s="40" t="str">
        <f ca="1">IFERROR(IF(AND(
  INDEX(Roadmap!$D:$K,MATCH($E153,Roadmap!$D:$D,0)+COUNTIF($E153:W153,"u")+COUNTIF($E153:W153,"t")+COUNTIF($E153:W153,"¶")+COUNTIF($E153:W153,"²")+COUNTIF($E153:W153,"µ")+COUNTIF($E153:W153,1),ColLivraison)=X$6,
  VLOOKUP($E153,INDIRECT("tri!"&amp; CHAR(64+ C0Col) &amp;":"&amp; CHAR(65+C0Col)),2,FALSE)&gt;COUNTIF($E153:W153,"u")+COUNTIF($E153:W153,"t")+COUNTIF($E153:W153,"¶")+COUNTIF($E153:W153,"²")+COUNTIF($E153:W153,"µ")+COUNTIF($E153:W153,1)),
HYPERLINK("#Roadmap!C"&amp; MATCH($E153,Roadmap!$D:$D,0)+COUNTIF($E153:W153,"u")+COUNTIF($E153:W153,"t"),
     INDEX(Roadmap!$D:$K,MATCH($E153,Roadmap!$D:$D,0)+COUNTIF($E153:W153,"u")+COUNTIF($E153:W153,"t")+COUNTIF($E153:W153,"¶")+COUNTIF($E153:W153,"²")+COUNTIF($E153:W153,"µ")+COUNTIF($E153:W153,1),ColTypeEcheance)),
  IF(LEN(W153)=1,
  IF(LEN(INDEX(Roadmap!$D:$K,MATCH($E153,Roadmap!$D:$D,0)-1+COUNTIF($E153:W153,"u")+COUNTIF($E153:W153,"t")+COUNTIF($E153:W153,"¶")+COUNTIF($E153:W153,"²")+COUNTIF($E153:W153,"µ")+COUNTIF($E153:W153,1),ColDescriptionCourte))&gt;1,
HYPERLINK("#Roadmap!C"&amp; MATCH($E153,Roadmap!$D:$D,0)+COUNTIF($E153:W153,"u")+COUNTIF($E153:W153,"t")+COUNTIF($E153:W153,"¶")+COUNTIF($E153:W153,"²")+COUNTIF($E153:W153,"µ")+COUNTIF($E153:W153,1)-1,INDEX(Roadmap!$D:$K,MATCH($E153,Roadmap!$D:$D,0)-1+COUNTIF($E153:W153,"u")+COUNTIF($E153:W153,"t")+COUNTIF($E153:W153,"¶")+COUNTIF($E153:W153,"²")+COUNTIF($E153:W153,"µ")+COUNTIF($E153:W153,1),ColDescriptionCourte)),""),
  "")),"")</f>
        <v/>
      </c>
      <c r="Y153" s="40" t="str">
        <f ca="1">IFERROR(IF(AND(
  INDEX(Roadmap!$D:$K,MATCH($E153,Roadmap!$D:$D,0)+COUNTIF($E153:X153,"u")+COUNTIF($E153:X153,"t")+COUNTIF($E153:X153,"¶")+COUNTIF($E153:X153,"²")+COUNTIF($E153:X153,"µ")+COUNTIF($E153:X153,1),ColLivraison)=Y$6,
  VLOOKUP($E153,INDIRECT("tri!"&amp; CHAR(64+ C0Col) &amp;":"&amp; CHAR(65+C0Col)),2,FALSE)&gt;COUNTIF($E153:X153,"u")+COUNTIF($E153:X153,"t")+COUNTIF($E153:X153,"¶")+COUNTIF($E153:X153,"²")+COUNTIF($E153:X153,"µ")+COUNTIF($E153:X153,1)),
HYPERLINK("#Roadmap!C"&amp; MATCH($E153,Roadmap!$D:$D,0)+COUNTIF($E153:X153,"u")+COUNTIF($E153:X153,"t"),
     INDEX(Roadmap!$D:$K,MATCH($E153,Roadmap!$D:$D,0)+COUNTIF($E153:X153,"u")+COUNTIF($E153:X153,"t")+COUNTIF($E153:X153,"¶")+COUNTIF($E153:X153,"²")+COUNTIF($E153:X153,"µ")+COUNTIF($E153:X153,1),ColTypeEcheance)),
  IF(LEN(X153)=1,
  IF(LEN(INDEX(Roadmap!$D:$K,MATCH($E153,Roadmap!$D:$D,0)-1+COUNTIF($E153:X153,"u")+COUNTIF($E153:X153,"t")+COUNTIF($E153:X153,"¶")+COUNTIF($E153:X153,"²")+COUNTIF($E153:X153,"µ")+COUNTIF($E153:X153,1),ColDescriptionCourte))&gt;1,
HYPERLINK("#Roadmap!C"&amp; MATCH($E153,Roadmap!$D:$D,0)+COUNTIF($E153:X153,"u")+COUNTIF($E153:X153,"t")+COUNTIF($E153:X153,"¶")+COUNTIF($E153:X153,"²")+COUNTIF($E153:X153,"µ")+COUNTIF($E153:X153,1)-1,INDEX(Roadmap!$D:$K,MATCH($E153,Roadmap!$D:$D,0)-1+COUNTIF($E153:X153,"u")+COUNTIF($E153:X153,"t")+COUNTIF($E153:X153,"¶")+COUNTIF($E153:X153,"²")+COUNTIF($E153:X153,"µ")+COUNTIF($E153:X153,1),ColDescriptionCourte)),""),
  "")),"")</f>
        <v/>
      </c>
      <c r="Z153" s="40" t="str">
        <f ca="1">IFERROR(IF(AND(
  INDEX(Roadmap!$D:$K,MATCH($E153,Roadmap!$D:$D,0)+COUNTIF($E153:Y153,"u")+COUNTIF($E153:Y153,"t")+COUNTIF($E153:Y153,"¶")+COUNTIF($E153:Y153,"²")+COUNTIF($E153:Y153,"µ")+COUNTIF($E153:Y153,1),ColLivraison)=Z$6,
  VLOOKUP($E153,INDIRECT("tri!"&amp; CHAR(64+ C0Col) &amp;":"&amp; CHAR(65+C0Col)),2,FALSE)&gt;COUNTIF($E153:Y153,"u")+COUNTIF($E153:Y153,"t")+COUNTIF($E153:Y153,"¶")+COUNTIF($E153:Y153,"²")+COUNTIF($E153:Y153,"µ")+COUNTIF($E153:Y153,1)),
HYPERLINK("#Roadmap!C"&amp; MATCH($E153,Roadmap!$D:$D,0)+COUNTIF($E153:Y153,"u")+COUNTIF($E153:Y153,"t"),
     INDEX(Roadmap!$D:$K,MATCH($E153,Roadmap!$D:$D,0)+COUNTIF($E153:Y153,"u")+COUNTIF($E153:Y153,"t")+COUNTIF($E153:Y153,"¶")+COUNTIF($E153:Y153,"²")+COUNTIF($E153:Y153,"µ")+COUNTIF($E153:Y153,1),ColTypeEcheance)),
  IF(LEN(Y153)=1,
  IF(LEN(INDEX(Roadmap!$D:$K,MATCH($E153,Roadmap!$D:$D,0)-1+COUNTIF($E153:Y153,"u")+COUNTIF($E153:Y153,"t")+COUNTIF($E153:Y153,"¶")+COUNTIF($E153:Y153,"²")+COUNTIF($E153:Y153,"µ")+COUNTIF($E153:Y153,1),ColDescriptionCourte))&gt;1,
HYPERLINK("#Roadmap!C"&amp; MATCH($E153,Roadmap!$D:$D,0)+COUNTIF($E153:Y153,"u")+COUNTIF($E153:Y153,"t")+COUNTIF($E153:Y153,"¶")+COUNTIF($E153:Y153,"²")+COUNTIF($E153:Y153,"µ")+COUNTIF($E153:Y153,1)-1,INDEX(Roadmap!$D:$K,MATCH($E153,Roadmap!$D:$D,0)-1+COUNTIF($E153:Y153,"u")+COUNTIF($E153:Y153,"t")+COUNTIF($E153:Y153,"¶")+COUNTIF($E153:Y153,"²")+COUNTIF($E153:Y153,"µ")+COUNTIF($E153:Y153,1),ColDescriptionCourte)),""),
  "")),"")</f>
        <v/>
      </c>
      <c r="AA153" s="40" t="str">
        <f ca="1">IFERROR(IF(AND(
  INDEX(Roadmap!$D:$K,MATCH($E153,Roadmap!$D:$D,0)+COUNTIF($E153:Z153,"u")+COUNTIF($E153:Z153,"t")+COUNTIF($E153:Z153,"¶")+COUNTIF($E153:Z153,"²")+COUNTIF($E153:Z153,"µ")+COUNTIF($E153:Z153,1),ColLivraison)=AA$6,
  VLOOKUP($E153,INDIRECT("tri!"&amp; CHAR(64+ C0Col) &amp;":"&amp; CHAR(65+C0Col)),2,FALSE)&gt;COUNTIF($E153:Z153,"u")+COUNTIF($E153:Z153,"t")+COUNTIF($E153:Z153,"¶")+COUNTIF($E153:Z153,"²")+COUNTIF($E153:Z153,"µ")+COUNTIF($E153:Z153,1)),
HYPERLINK("#Roadmap!C"&amp; MATCH($E153,Roadmap!$D:$D,0)+COUNTIF($E153:Z153,"u")+COUNTIF($E153:Z153,"t"),
     INDEX(Roadmap!$D:$K,MATCH($E153,Roadmap!$D:$D,0)+COUNTIF($E153:Z153,"u")+COUNTIF($E153:Z153,"t")+COUNTIF($E153:Z153,"¶")+COUNTIF($E153:Z153,"²")+COUNTIF($E153:Z153,"µ")+COUNTIF($E153:Z153,1),ColTypeEcheance)),
  IF(LEN(Z153)=1,
  IF(LEN(INDEX(Roadmap!$D:$K,MATCH($E153,Roadmap!$D:$D,0)-1+COUNTIF($E153:Z153,"u")+COUNTIF($E153:Z153,"t")+COUNTIF($E153:Z153,"¶")+COUNTIF($E153:Z153,"²")+COUNTIF($E153:Z153,"µ")+COUNTIF($E153:Z153,1),ColDescriptionCourte))&gt;1,
HYPERLINK("#Roadmap!C"&amp; MATCH($E153,Roadmap!$D:$D,0)+COUNTIF($E153:Z153,"u")+COUNTIF($E153:Z153,"t")+COUNTIF($E153:Z153,"¶")+COUNTIF($E153:Z153,"²")+COUNTIF($E153:Z153,"µ")+COUNTIF($E153:Z153,1)-1,INDEX(Roadmap!$D:$K,MATCH($E153,Roadmap!$D:$D,0)-1+COUNTIF($E153:Z153,"u")+COUNTIF($E153:Z153,"t")+COUNTIF($E153:Z153,"¶")+COUNTIF($E153:Z153,"²")+COUNTIF($E153:Z153,"µ")+COUNTIF($E153:Z153,1),ColDescriptionCourte)),""),
  "")),"")</f>
        <v/>
      </c>
      <c r="AB153" s="40" t="str">
        <f ca="1">IFERROR(IF(AND(
  INDEX(Roadmap!$D:$K,MATCH($E153,Roadmap!$D:$D,0)+COUNTIF($E153:AA153,"u")+COUNTIF($E153:AA153,"t")+COUNTIF($E153:AA153,"¶")+COUNTIF($E153:AA153,"²")+COUNTIF($E153:AA153,"µ")+COUNTIF($E153:AA153,1),ColLivraison)=AB$6,
  VLOOKUP($E153,INDIRECT("tri!"&amp; CHAR(64+ C0Col) &amp;":"&amp; CHAR(65+C0Col)),2,FALSE)&gt;COUNTIF($E153:AA153,"u")+COUNTIF($E153:AA153,"t")+COUNTIF($E153:AA153,"¶")+COUNTIF($E153:AA153,"²")+COUNTIF($E153:AA153,"µ")+COUNTIF($E153:AA153,1)),
HYPERLINK("#Roadmap!C"&amp; MATCH($E153,Roadmap!$D:$D,0)+COUNTIF($E153:AA153,"u")+COUNTIF($E153:AA153,"t"),
     INDEX(Roadmap!$D:$K,MATCH($E153,Roadmap!$D:$D,0)+COUNTIF($E153:AA153,"u")+COUNTIF($E153:AA153,"t")+COUNTIF($E153:AA153,"¶")+COUNTIF($E153:AA153,"²")+COUNTIF($E153:AA153,"µ")+COUNTIF($E153:AA153,1),ColTypeEcheance)),
  IF(LEN(AA153)=1,
  IF(LEN(INDEX(Roadmap!$D:$K,MATCH($E153,Roadmap!$D:$D,0)-1+COUNTIF($E153:AA153,"u")+COUNTIF($E153:AA153,"t")+COUNTIF($E153:AA153,"¶")+COUNTIF($E153:AA153,"²")+COUNTIF($E153:AA153,"µ")+COUNTIF($E153:AA153,1),ColDescriptionCourte))&gt;1,
HYPERLINK("#Roadmap!C"&amp; MATCH($E153,Roadmap!$D:$D,0)+COUNTIF($E153:AA153,"u")+COUNTIF($E153:AA153,"t")+COUNTIF($E153:AA153,"¶")+COUNTIF($E153:AA153,"²")+COUNTIF($E153:AA153,"µ")+COUNTIF($E153:AA153,1)-1,INDEX(Roadmap!$D:$K,MATCH($E153,Roadmap!$D:$D,0)-1+COUNTIF($E153:AA153,"u")+COUNTIF($E153:AA153,"t")+COUNTIF($E153:AA153,"¶")+COUNTIF($E153:AA153,"²")+COUNTIF($E153:AA153,"µ")+COUNTIF($E153:AA153,1),ColDescriptionCourte)),""),
  "")),"")</f>
        <v/>
      </c>
      <c r="AC153" s="40" t="str">
        <f ca="1">IFERROR(IF(AND(
  INDEX(Roadmap!$D:$K,MATCH($E153,Roadmap!$D:$D,0)+COUNTIF($E153:AB153,"u")+COUNTIF($E153:AB153,"t")+COUNTIF($E153:AB153,"¶")+COUNTIF($E153:AB153,"²")+COUNTIF($E153:AB153,"µ")+COUNTIF($E153:AB153,1),ColLivraison)=AC$6,
  VLOOKUP($E153,INDIRECT("tri!"&amp; CHAR(64+ C0Col) &amp;":"&amp; CHAR(65+C0Col)),2,FALSE)&gt;COUNTIF($E153:AB153,"u")+COUNTIF($E153:AB153,"t")+COUNTIF($E153:AB153,"¶")+COUNTIF($E153:AB153,"²")+COUNTIF($E153:AB153,"µ")+COUNTIF($E153:AB153,1)),
HYPERLINK("#Roadmap!C"&amp; MATCH($E153,Roadmap!$D:$D,0)+COUNTIF($E153:AB153,"u")+COUNTIF($E153:AB153,"t"),
     INDEX(Roadmap!$D:$K,MATCH($E153,Roadmap!$D:$D,0)+COUNTIF($E153:AB153,"u")+COUNTIF($E153:AB153,"t")+COUNTIF($E153:AB153,"¶")+COUNTIF($E153:AB153,"²")+COUNTIF($E153:AB153,"µ")+COUNTIF($E153:AB153,1),ColTypeEcheance)),
  IF(LEN(AB153)=1,
  IF(LEN(INDEX(Roadmap!$D:$K,MATCH($E153,Roadmap!$D:$D,0)-1+COUNTIF($E153:AB153,"u")+COUNTIF($E153:AB153,"t")+COUNTIF($E153:AB153,"¶")+COUNTIF($E153:AB153,"²")+COUNTIF($E153:AB153,"µ")+COUNTIF($E153:AB153,1),ColDescriptionCourte))&gt;1,
HYPERLINK("#Roadmap!C"&amp; MATCH($E153,Roadmap!$D:$D,0)+COUNTIF($E153:AB153,"u")+COUNTIF($E153:AB153,"t")+COUNTIF($E153:AB153,"¶")+COUNTIF($E153:AB153,"²")+COUNTIF($E153:AB153,"µ")+COUNTIF($E153:AB153,1)-1,INDEX(Roadmap!$D:$K,MATCH($E153,Roadmap!$D:$D,0)-1+COUNTIF($E153:AB153,"u")+COUNTIF($E153:AB153,"t")+COUNTIF($E153:AB153,"¶")+COUNTIF($E153:AB153,"²")+COUNTIF($E153:AB153,"µ")+COUNTIF($E153:AB153,1),ColDescriptionCourte)),""),
  "")),"")</f>
        <v/>
      </c>
      <c r="AD153" s="40" t="str">
        <f ca="1">IFERROR(IF(AND(
  INDEX(Roadmap!$D:$K,MATCH($E153,Roadmap!$D:$D,0)+COUNTIF($E153:AC153,"u")+COUNTIF($E153:AC153,"t")+COUNTIF($E153:AC153,"¶")+COUNTIF($E153:AC153,"²")+COUNTIF($E153:AC153,"µ")+COUNTIF($E153:AC153,1),ColLivraison)=AD$6,
  VLOOKUP($E153,INDIRECT("tri!"&amp; CHAR(64+ C0Col) &amp;":"&amp; CHAR(65+C0Col)),2,FALSE)&gt;COUNTIF($E153:AC153,"u")+COUNTIF($E153:AC153,"t")+COUNTIF($E153:AC153,"¶")+COUNTIF($E153:AC153,"²")+COUNTIF($E153:AC153,"µ")+COUNTIF($E153:AC153,1)),
HYPERLINK("#Roadmap!C"&amp; MATCH($E153,Roadmap!$D:$D,0)+COUNTIF($E153:AC153,"u")+COUNTIF($E153:AC153,"t"),
     INDEX(Roadmap!$D:$K,MATCH($E153,Roadmap!$D:$D,0)+COUNTIF($E153:AC153,"u")+COUNTIF($E153:AC153,"t")+COUNTIF($E153:AC153,"¶")+COUNTIF($E153:AC153,"²")+COUNTIF($E153:AC153,"µ")+COUNTIF($E153:AC153,1),ColTypeEcheance)),
  IF(LEN(AC153)=1,
  IF(LEN(INDEX(Roadmap!$D:$K,MATCH($E153,Roadmap!$D:$D,0)-1+COUNTIF($E153:AC153,"u")+COUNTIF($E153:AC153,"t")+COUNTIF($E153:AC153,"¶")+COUNTIF($E153:AC153,"²")+COUNTIF($E153:AC153,"µ")+COUNTIF($E153:AC153,1),ColDescriptionCourte))&gt;1,
HYPERLINK("#Roadmap!C"&amp; MATCH($E153,Roadmap!$D:$D,0)+COUNTIF($E153:AC153,"u")+COUNTIF($E153:AC153,"t")+COUNTIF($E153:AC153,"¶")+COUNTIF($E153:AC153,"²")+COUNTIF($E153:AC153,"µ")+COUNTIF($E153:AC153,1)-1,INDEX(Roadmap!$D:$K,MATCH($E153,Roadmap!$D:$D,0)-1+COUNTIF($E153:AC153,"u")+COUNTIF($E153:AC153,"t")+COUNTIF($E153:AC153,"¶")+COUNTIF($E153:AC153,"²")+COUNTIF($E153:AC153,"µ")+COUNTIF($E153:AC153,1),ColDescriptionCourte)),""),
  "")),"")</f>
        <v/>
      </c>
      <c r="AE153" s="40" t="str">
        <f ca="1">IFERROR(IF(AND(
  INDEX(Roadmap!$D:$K,MATCH($E153,Roadmap!$D:$D,0)+COUNTIF($E153:AD153,"u")+COUNTIF($E153:AD153,"t")+COUNTIF($E153:AD153,"¶")+COUNTIF($E153:AD153,"²")+COUNTIF($E153:AD153,"µ")+COUNTIF($E153:AD153,1),ColLivraison)=AE$6,
  VLOOKUP($E153,INDIRECT("tri!"&amp; CHAR(64+ C0Col) &amp;":"&amp; CHAR(65+C0Col)),2,FALSE)&gt;COUNTIF($E153:AD153,"u")+COUNTIF($E153:AD153,"t")+COUNTIF($E153:AD153,"¶")+COUNTIF($E153:AD153,"²")+COUNTIF($E153:AD153,"µ")+COUNTIF($E153:AD153,1)),
HYPERLINK("#Roadmap!C"&amp; MATCH($E153,Roadmap!$D:$D,0)+COUNTIF($E153:AD153,"u")+COUNTIF($E153:AD153,"t"),
     INDEX(Roadmap!$D:$K,MATCH($E153,Roadmap!$D:$D,0)+COUNTIF($E153:AD153,"u")+COUNTIF($E153:AD153,"t")+COUNTIF($E153:AD153,"¶")+COUNTIF($E153:AD153,"²")+COUNTIF($E153:AD153,"µ")+COUNTIF($E153:AD153,1),ColTypeEcheance)),
  IF(LEN(AD153)=1,
  IF(LEN(INDEX(Roadmap!$D:$K,MATCH($E153,Roadmap!$D:$D,0)-1+COUNTIF($E153:AD153,"u")+COUNTIF($E153:AD153,"t")+COUNTIF($E153:AD153,"¶")+COUNTIF($E153:AD153,"²")+COUNTIF($E153:AD153,"µ")+COUNTIF($E153:AD153,1),ColDescriptionCourte))&gt;1,
HYPERLINK("#Roadmap!C"&amp; MATCH($E153,Roadmap!$D:$D,0)+COUNTIF($E153:AD153,"u")+COUNTIF($E153:AD153,"t")+COUNTIF($E153:AD153,"¶")+COUNTIF($E153:AD153,"²")+COUNTIF($E153:AD153,"µ")+COUNTIF($E153:AD153,1)-1,INDEX(Roadmap!$D:$K,MATCH($E153,Roadmap!$D:$D,0)-1+COUNTIF($E153:AD153,"u")+COUNTIF($E153:AD153,"t")+COUNTIF($E153:AD153,"¶")+COUNTIF($E153:AD153,"²")+COUNTIF($E153:AD153,"µ")+COUNTIF($E153:AD153,1),ColDescriptionCourte)),""),
  "")),"")</f>
        <v/>
      </c>
      <c r="AF153" s="40" t="str">
        <f ca="1">IFERROR(IF(AND(
  INDEX(Roadmap!$D:$K,MATCH($E153,Roadmap!$D:$D,0)+COUNTIF($E153:AE153,"u")+COUNTIF($E153:AE153,"t")+COUNTIF($E153:AE153,"¶")+COUNTIF($E153:AE153,"²")+COUNTIF($E153:AE153,"µ")+COUNTIF($E153:AE153,1),ColLivraison)=AF$6,
  VLOOKUP($E153,INDIRECT("tri!"&amp; CHAR(64+ C0Col) &amp;":"&amp; CHAR(65+C0Col)),2,FALSE)&gt;COUNTIF($E153:AE153,"u")+COUNTIF($E153:AE153,"t")+COUNTIF($E153:AE153,"¶")+COUNTIF($E153:AE153,"²")+COUNTIF($E153:AE153,"µ")+COUNTIF($E153:AE153,1)),
HYPERLINK("#Roadmap!C"&amp; MATCH($E153,Roadmap!$D:$D,0)+COUNTIF($E153:AE153,"u")+COUNTIF($E153:AE153,"t"),
     INDEX(Roadmap!$D:$K,MATCH($E153,Roadmap!$D:$D,0)+COUNTIF($E153:AE153,"u")+COUNTIF($E153:AE153,"t")+COUNTIF($E153:AE153,"¶")+COUNTIF($E153:AE153,"²")+COUNTIF($E153:AE153,"µ")+COUNTIF($E153:AE153,1),ColTypeEcheance)),
  IF(LEN(AE153)=1,
  IF(LEN(INDEX(Roadmap!$D:$K,MATCH($E153,Roadmap!$D:$D,0)-1+COUNTIF($E153:AE153,"u")+COUNTIF($E153:AE153,"t")+COUNTIF($E153:AE153,"¶")+COUNTIF($E153:AE153,"²")+COUNTIF($E153:AE153,"µ")+COUNTIF($E153:AE153,1),ColDescriptionCourte))&gt;1,
HYPERLINK("#Roadmap!C"&amp; MATCH($E153,Roadmap!$D:$D,0)+COUNTIF($E153:AE153,"u")+COUNTIF($E153:AE153,"t")+COUNTIF($E153:AE153,"¶")+COUNTIF($E153:AE153,"²")+COUNTIF($E153:AE153,"µ")+COUNTIF($E153:AE153,1)-1,INDEX(Roadmap!$D:$K,MATCH($E153,Roadmap!$D:$D,0)-1+COUNTIF($E153:AE153,"u")+COUNTIF($E153:AE153,"t")+COUNTIF($E153:AE153,"¶")+COUNTIF($E153:AE153,"²")+COUNTIF($E153:AE153,"µ")+COUNTIF($E153:AE153,1),ColDescriptionCourte)),""),
  "")),"")</f>
        <v/>
      </c>
      <c r="AG153" s="40" t="str">
        <f ca="1">IFERROR(IF(AND(
  INDEX(Roadmap!$D:$K,MATCH($E153,Roadmap!$D:$D,0)+COUNTIF($E153:AF153,"u")+COUNTIF($E153:AF153,"t")+COUNTIF($E153:AF153,"¶")+COUNTIF($E153:AF153,"²")+COUNTIF($E153:AF153,"µ")+COUNTIF($E153:AF153,1),ColLivraison)=AG$6,
  VLOOKUP($E153,INDIRECT("tri!"&amp; CHAR(64+ C0Col) &amp;":"&amp; CHAR(65+C0Col)),2,FALSE)&gt;COUNTIF($E153:AF153,"u")+COUNTIF($E153:AF153,"t")+COUNTIF($E153:AF153,"¶")+COUNTIF($E153:AF153,"²")+COUNTIF($E153:AF153,"µ")+COUNTIF($E153:AF153,1)),
HYPERLINK("#Roadmap!C"&amp; MATCH($E153,Roadmap!$D:$D,0)+COUNTIF($E153:AF153,"u")+COUNTIF($E153:AF153,"t"),
     INDEX(Roadmap!$D:$K,MATCH($E153,Roadmap!$D:$D,0)+COUNTIF($E153:AF153,"u")+COUNTIF($E153:AF153,"t")+COUNTIF($E153:AF153,"¶")+COUNTIF($E153:AF153,"²")+COUNTIF($E153:AF153,"µ")+COUNTIF($E153:AF153,1),ColTypeEcheance)),
  IF(LEN(AF153)=1,
  IF(LEN(INDEX(Roadmap!$D:$K,MATCH($E153,Roadmap!$D:$D,0)-1+COUNTIF($E153:AF153,"u")+COUNTIF($E153:AF153,"t")+COUNTIF($E153:AF153,"¶")+COUNTIF($E153:AF153,"²")+COUNTIF($E153:AF153,"µ")+COUNTIF($E153:AF153,1),ColDescriptionCourte))&gt;1,
HYPERLINK("#Roadmap!C"&amp; MATCH($E153,Roadmap!$D:$D,0)+COUNTIF($E153:AF153,"u")+COUNTIF($E153:AF153,"t")+COUNTIF($E153:AF153,"¶")+COUNTIF($E153:AF153,"²")+COUNTIF($E153:AF153,"µ")+COUNTIF($E153:AF153,1)-1,INDEX(Roadmap!$D:$K,MATCH($E153,Roadmap!$D:$D,0)-1+COUNTIF($E153:AF153,"u")+COUNTIF($E153:AF153,"t")+COUNTIF($E153:AF153,"¶")+COUNTIF($E153:AF153,"²")+COUNTIF($E153:AF153,"µ")+COUNTIF($E153:AF153,1),ColDescriptionCourte)),""),
  "")),"")</f>
        <v/>
      </c>
      <c r="AH153" s="40" t="str">
        <f ca="1">IFERROR(IF(AND(
  INDEX(Roadmap!$D:$K,MATCH($E153,Roadmap!$D:$D,0)+COUNTIF($E153:AG153,"u")+COUNTIF($E153:AG153,"t")+COUNTIF($E153:AG153,1),ColLivraison)=AH$6,
  VLOOKUP($E153,INDIRECT("tri!"&amp; CHAR(64+ C0Col) &amp;":"&amp; CHAR(65+C0Col)),2,FALSE)&gt;COUNTIF($E153:AG153,"u")+COUNTIF($E153:AG153,"t")+COUNTIF($E153:AG153,1)),
HYPERLINK("#Roadmap!C"&amp; MATCH($E153,Roadmap!$D:$D,0)+COUNTIF($E153:AG153,"u")+COUNTIF($E153:AG153,"t"),
     INDEX(Roadmap!$D:$K,MATCH($E153,Roadmap!$D:$D,0)+COUNTIF($E153:AG153,"u")+COUNTIF($E153:AG153,"t")+COUNTIF($E153:AG153,1),ColTypeEcheance)),
  IF(OR(AG153="u",AG153="t",AG153=1),
  IF(LEN(INDEX(Roadmap!$D:$K,MATCH($E153,Roadmap!$D:$D,0)-1+COUNTIF($E153:AG153,"u")+COUNTIF($E153:AG153,"t")+COUNTIF($E153:AG153,1),ColDescriptionCourte))&gt;1,
HYPERLINK("#Roadmap!C"&amp; MATCH($E153,Roadmap!$D:$D,0)+COUNTIF($E153:AG153,"u")+COUNTIF($E153:AG153,"t")+COUNTIF($E153:AG153,1)-1,INDEX(Roadmap!$D:$K,MATCH($E153,Roadmap!$D:$D,0)-1+COUNTIF($E153:AG153,"u")+COUNTIF($E153:AG153,"t")+COUNTIF($E153:AG153,1),ColDescriptionCourte)),""),
  "")),"")</f>
        <v/>
      </c>
      <c r="AI153" s="40"/>
      <c r="AJ153" s="40"/>
      <c r="AK153" s="40"/>
      <c r="AL153" s="40"/>
      <c r="AM153" s="40"/>
    </row>
    <row r="154" spans="4:39" ht="14.1" customHeight="1">
      <c r="D154" s="20" t="str">
        <f t="shared" ca="1" si="31"/>
        <v/>
      </c>
      <c r="E154" s="53" t="str">
        <f t="shared" ca="1" si="32"/>
        <v/>
      </c>
      <c r="F154" s="39" t="str">
        <f ca="1">IFERROR(IF(AND(
  INDEX(Roadmap!$D:$K,MATCH($E154,Roadmap!$D:$D,0)+COUNTIF($E154:E154,"u")+COUNTIF($E154:E154,"t")+COUNTIF($E154:E154,"¶")+COUNTIF($E154:E154,"²")+COUNTIF($E154:E154,"µ")+COUNTIF($E154:E154,1),ColLivraison)=F$6,
  VLOOKUP($E154,INDIRECT("tri!"&amp; CHAR(64+ C0Col) &amp;":"&amp; CHAR(65+C0Col)),2,FALSE)&gt;COUNTIF($E154:E154,"u")+COUNTIF($E154:E154,"t")+COUNTIF($E154:E154,"¶")+COUNTIF($E154:E154,"²")+COUNTIF($E154:E154,"µ")+COUNTIF($E154:E154,1)),
HYPERLINK("#Roadmap!C"&amp; MATCH($E154,Roadmap!$D:$D,0)+COUNTIF($E154:E154,"u")+COUNTIF($E154:E154,"t"),
     INDEX(Roadmap!$D:$K,MATCH($E154,Roadmap!$D:$D,0)+COUNTIF($E154:E154,"u")+COUNTIF($E154:E154,"t")+COUNTIF($E154:E154,"¶")+COUNTIF($E154:E154,"²")+COUNTIF($E154:E154,"µ")+COUNTIF($E154:E154,1),ColTypeEcheance)),
  IF(LEN(E154)=1,
  IF(LEN(INDEX(Roadmap!$D:$K,MATCH($E154,Roadmap!$D:$D,0)-1+COUNTIF($E154:E154,"u")+COUNTIF($E154:E154,"t")+COUNTIF($E154:E154,"¶")+COUNTIF($E154:E154,"²")+COUNTIF($E154:E154,"µ")+COUNTIF($E154:E154,1),ColDescriptionCourte))&gt;1,
HYPERLINK("#Roadmap!C"&amp; MATCH($E154,Roadmap!$D:$D,0)+COUNTIF($E154:E154,"u")+COUNTIF($E154:E154,"t")+COUNTIF($E154:E154,"¶")+COUNTIF($E154:E154,"²")+COUNTIF($E154:E154,"µ")+COUNTIF($E154:E154,1)-1,INDEX(Roadmap!$D:$K,MATCH($E154,Roadmap!$D:$D,0)-1+COUNTIF($E154:E154,"u")+COUNTIF($E154:E154,"t")+COUNTIF($E154:E154,"¶")+COUNTIF($E154:E154,"²")+COUNTIF($E154:E154,"µ")+COUNTIF($E154:E154,1),ColDescriptionCourte)),""),
  "")),"")</f>
        <v/>
      </c>
      <c r="G154" s="40" t="str">
        <f ca="1">IFERROR(IF(AND(
  INDEX(Roadmap!$D:$K,MATCH($E154,Roadmap!$D:$D,0)+COUNTIF($E154:F154,"u")+COUNTIF($E154:F154,"t")+COUNTIF($E154:F154,"¶")+COUNTIF($E154:F154,"²")+COUNTIF($E154:F154,"µ")+COUNTIF($E154:F154,1),ColLivraison)=G$6,
  VLOOKUP($E154,INDIRECT("tri!"&amp; CHAR(64+ C0Col) &amp;":"&amp; CHAR(65+C0Col)),2,FALSE)&gt;COUNTIF($E154:F154,"u")+COUNTIF($E154:F154,"t")+COUNTIF($E154:F154,"¶")+COUNTIF($E154:F154,"²")+COUNTIF($E154:F154,"µ")+COUNTIF($E154:F154,1)),
HYPERLINK("#Roadmap!C"&amp; MATCH($E154,Roadmap!$D:$D,0)+COUNTIF($E154:F154,"u")+COUNTIF($E154:F154,"t"),
     INDEX(Roadmap!$D:$K,MATCH($E154,Roadmap!$D:$D,0)+COUNTIF($E154:F154,"u")+COUNTIF($E154:F154,"t")+COUNTIF($E154:F154,"¶")+COUNTIF($E154:F154,"²")+COUNTIF($E154:F154,"µ")+COUNTIF($E154:F154,1),ColTypeEcheance)),
  IF(LEN(F154)=1,
  IF(LEN(INDEX(Roadmap!$D:$K,MATCH($E154,Roadmap!$D:$D,0)-1+COUNTIF($E154:F154,"u")+COUNTIF($E154:F154,"t")+COUNTIF($E154:F154,"¶")+COUNTIF($E154:F154,"²")+COUNTIF($E154:F154,"µ")+COUNTIF($E154:F154,1),ColDescriptionCourte))&gt;1,
HYPERLINK("#Roadmap!C"&amp; MATCH($E154,Roadmap!$D:$D,0)+COUNTIF($E154:F154,"u")+COUNTIF($E154:F154,"t")+COUNTIF($E154:F154,"¶")+COUNTIF($E154:F154,"²")+COUNTIF($E154:F154,"µ")+COUNTIF($E154:F154,1)-1,INDEX(Roadmap!$D:$K,MATCH($E154,Roadmap!$D:$D,0)-1+COUNTIF($E154:F154,"u")+COUNTIF($E154:F154,"t")+COUNTIF($E154:F154,"¶")+COUNTIF($E154:F154,"²")+COUNTIF($E154:F154,"µ")+COUNTIF($E154:F154,1),ColDescriptionCourte)),""),
  "")),"")</f>
        <v/>
      </c>
      <c r="H154" s="40" t="str">
        <f ca="1">IFERROR(IF(AND(
  INDEX(Roadmap!$D:$K,MATCH($E154,Roadmap!$D:$D,0)+COUNTIF($E154:G154,"u")+COUNTIF($E154:G154,"t")+COUNTIF($E154:G154,"¶")+COUNTIF($E154:G154,"²")+COUNTIF($E154:G154,"µ")+COUNTIF($E154:G154,1),ColLivraison)=H$6,
  VLOOKUP($E154,INDIRECT("tri!"&amp; CHAR(64+ C0Col) &amp;":"&amp; CHAR(65+C0Col)),2,FALSE)&gt;COUNTIF($E154:G154,"u")+COUNTIF($E154:G154,"t")+COUNTIF($E154:G154,"¶")+COUNTIF($E154:G154,"²")+COUNTIF($E154:G154,"µ")+COUNTIF($E154:G154,1)),
HYPERLINK("#Roadmap!C"&amp; MATCH($E154,Roadmap!$D:$D,0)+COUNTIF($E154:G154,"u")+COUNTIF($E154:G154,"t"),
     INDEX(Roadmap!$D:$K,MATCH($E154,Roadmap!$D:$D,0)+COUNTIF($E154:G154,"u")+COUNTIF($E154:G154,"t")+COUNTIF($E154:G154,"¶")+COUNTIF($E154:G154,"²")+COUNTIF($E154:G154,"µ")+COUNTIF($E154:G154,1),ColTypeEcheance)),
  IF(LEN(G154)=1,
  IF(LEN(INDEX(Roadmap!$D:$K,MATCH($E154,Roadmap!$D:$D,0)-1+COUNTIF($E154:G154,"u")+COUNTIF($E154:G154,"t")+COUNTIF($E154:G154,"¶")+COUNTIF($E154:G154,"²")+COUNTIF($E154:G154,"µ")+COUNTIF($E154:G154,1),ColDescriptionCourte))&gt;1,
HYPERLINK("#Roadmap!C"&amp; MATCH($E154,Roadmap!$D:$D,0)+COUNTIF($E154:G154,"u")+COUNTIF($E154:G154,"t")+COUNTIF($E154:G154,"¶")+COUNTIF($E154:G154,"²")+COUNTIF($E154:G154,"µ")+COUNTIF($E154:G154,1)-1,INDEX(Roadmap!$D:$K,MATCH($E154,Roadmap!$D:$D,0)-1+COUNTIF($E154:G154,"u")+COUNTIF($E154:G154,"t")+COUNTIF($E154:G154,"¶")+COUNTIF($E154:G154,"²")+COUNTIF($E154:G154,"µ")+COUNTIF($E154:G154,1),ColDescriptionCourte)),""),
  "")),"")</f>
        <v/>
      </c>
      <c r="I154" s="40" t="str">
        <f ca="1">IFERROR(IF(AND(
  INDEX(Roadmap!$D:$K,MATCH($E154,Roadmap!$D:$D,0)+COUNTIF($E154:H154,"u")+COUNTIF($E154:H154,"t")+COUNTIF($E154:H154,"¶")+COUNTIF($E154:H154,"²")+COUNTIF($E154:H154,"µ")+COUNTIF($E154:H154,1),ColLivraison)=I$6,
  VLOOKUP($E154,INDIRECT("tri!"&amp; CHAR(64+ C0Col) &amp;":"&amp; CHAR(65+C0Col)),2,FALSE)&gt;COUNTIF($E154:H154,"u")+COUNTIF($E154:H154,"t")+COUNTIF($E154:H154,"¶")+COUNTIF($E154:H154,"²")+COUNTIF($E154:H154,"µ")+COUNTIF($E154:H154,1)),
HYPERLINK("#Roadmap!C"&amp; MATCH($E154,Roadmap!$D:$D,0)+COUNTIF($E154:H154,"u")+COUNTIF($E154:H154,"t"),
     INDEX(Roadmap!$D:$K,MATCH($E154,Roadmap!$D:$D,0)+COUNTIF($E154:H154,"u")+COUNTIF($E154:H154,"t")+COUNTIF($E154:H154,"¶")+COUNTIF($E154:H154,"²")+COUNTIF($E154:H154,"µ")+COUNTIF($E154:H154,1),ColTypeEcheance)),
  IF(LEN(H154)=1,
  IF(LEN(INDEX(Roadmap!$D:$K,MATCH($E154,Roadmap!$D:$D,0)-1+COUNTIF($E154:H154,"u")+COUNTIF($E154:H154,"t")+COUNTIF($E154:H154,"¶")+COUNTIF($E154:H154,"²")+COUNTIF($E154:H154,"µ")+COUNTIF($E154:H154,1),ColDescriptionCourte))&gt;1,
HYPERLINK("#Roadmap!C"&amp; MATCH($E154,Roadmap!$D:$D,0)+COUNTIF($E154:H154,"u")+COUNTIF($E154:H154,"t")+COUNTIF($E154:H154,"¶")+COUNTIF($E154:H154,"²")+COUNTIF($E154:H154,"µ")+COUNTIF($E154:H154,1)-1,INDEX(Roadmap!$D:$K,MATCH($E154,Roadmap!$D:$D,0)-1+COUNTIF($E154:H154,"u")+COUNTIF($E154:H154,"t")+COUNTIF($E154:H154,"¶")+COUNTIF($E154:H154,"²")+COUNTIF($E154:H154,"µ")+COUNTIF($E154:H154,1),ColDescriptionCourte)),""),
  "")),"")</f>
        <v/>
      </c>
      <c r="J154" s="40" t="str">
        <f ca="1">IFERROR(IF(AND(
  INDEX(Roadmap!$D:$K,MATCH($E154,Roadmap!$D:$D,0)+COUNTIF($E154:I154,"u")+COUNTIF($E154:I154,"t")+COUNTIF($E154:I154,"¶")+COUNTIF($E154:I154,"²")+COUNTIF($E154:I154,"µ")+COUNTIF($E154:I154,1),ColLivraison)=J$6,
  VLOOKUP($E154,INDIRECT("tri!"&amp; CHAR(64+ C0Col) &amp;":"&amp; CHAR(65+C0Col)),2,FALSE)&gt;COUNTIF($E154:I154,"u")+COUNTIF($E154:I154,"t")+COUNTIF($E154:I154,"¶")+COUNTIF($E154:I154,"²")+COUNTIF($E154:I154,"µ")+COUNTIF($E154:I154,1)),
HYPERLINK("#Roadmap!C"&amp; MATCH($E154,Roadmap!$D:$D,0)+COUNTIF($E154:I154,"u")+COUNTIF($E154:I154,"t"),
     INDEX(Roadmap!$D:$K,MATCH($E154,Roadmap!$D:$D,0)+COUNTIF($E154:I154,"u")+COUNTIF($E154:I154,"t")+COUNTIF($E154:I154,"¶")+COUNTIF($E154:I154,"²")+COUNTIF($E154:I154,"µ")+COUNTIF($E154:I154,1),ColTypeEcheance)),
  IF(LEN(I154)=1,
  IF(LEN(INDEX(Roadmap!$D:$K,MATCH($E154,Roadmap!$D:$D,0)-1+COUNTIF($E154:I154,"u")+COUNTIF($E154:I154,"t")+COUNTIF($E154:I154,"¶")+COUNTIF($E154:I154,"²")+COUNTIF($E154:I154,"µ")+COUNTIF($E154:I154,1),ColDescriptionCourte))&gt;1,
HYPERLINK("#Roadmap!C"&amp; MATCH($E154,Roadmap!$D:$D,0)+COUNTIF($E154:I154,"u")+COUNTIF($E154:I154,"t")+COUNTIF($E154:I154,"¶")+COUNTIF($E154:I154,"²")+COUNTIF($E154:I154,"µ")+COUNTIF($E154:I154,1)-1,INDEX(Roadmap!$D:$K,MATCH($E154,Roadmap!$D:$D,0)-1+COUNTIF($E154:I154,"u")+COUNTIF($E154:I154,"t")+COUNTIF($E154:I154,"¶")+COUNTIF($E154:I154,"²")+COUNTIF($E154:I154,"µ")+COUNTIF($E154:I154,1),ColDescriptionCourte)),""),
  "")),"")</f>
        <v/>
      </c>
      <c r="K154" s="40" t="str">
        <f ca="1">IFERROR(IF(AND(
  INDEX(Roadmap!$D:$K,MATCH($E154,Roadmap!$D:$D,0)+COUNTIF($E154:J154,"u")+COUNTIF($E154:J154,"t")+COUNTIF($E154:J154,"¶")+COUNTIF($E154:J154,"²")+COUNTIF($E154:J154,"µ")+COUNTIF($E154:J154,1),ColLivraison)=K$6,
  VLOOKUP($E154,INDIRECT("tri!"&amp; CHAR(64+ C0Col) &amp;":"&amp; CHAR(65+C0Col)),2,FALSE)&gt;COUNTIF($E154:J154,"u")+COUNTIF($E154:J154,"t")+COUNTIF($E154:J154,"¶")+COUNTIF($E154:J154,"²")+COUNTIF($E154:J154,"µ")+COUNTIF($E154:J154,1)),
HYPERLINK("#Roadmap!C"&amp; MATCH($E154,Roadmap!$D:$D,0)+COUNTIF($E154:J154,"u")+COUNTIF($E154:J154,"t"),
     INDEX(Roadmap!$D:$K,MATCH($E154,Roadmap!$D:$D,0)+COUNTIF($E154:J154,"u")+COUNTIF($E154:J154,"t")+COUNTIF($E154:J154,"¶")+COUNTIF($E154:J154,"²")+COUNTIF($E154:J154,"µ")+COUNTIF($E154:J154,1),ColTypeEcheance)),
  IF(LEN(J154)=1,
  IF(LEN(INDEX(Roadmap!$D:$K,MATCH($E154,Roadmap!$D:$D,0)-1+COUNTIF($E154:J154,"u")+COUNTIF($E154:J154,"t")+COUNTIF($E154:J154,"¶")+COUNTIF($E154:J154,"²")+COUNTIF($E154:J154,"µ")+COUNTIF($E154:J154,1),ColDescriptionCourte))&gt;1,
HYPERLINK("#Roadmap!C"&amp; MATCH($E154,Roadmap!$D:$D,0)+COUNTIF($E154:J154,"u")+COUNTIF($E154:J154,"t")+COUNTIF($E154:J154,"¶")+COUNTIF($E154:J154,"²")+COUNTIF($E154:J154,"µ")+COUNTIF($E154:J154,1)-1,INDEX(Roadmap!$D:$K,MATCH($E154,Roadmap!$D:$D,0)-1+COUNTIF($E154:J154,"u")+COUNTIF($E154:J154,"t")+COUNTIF($E154:J154,"¶")+COUNTIF($E154:J154,"²")+COUNTIF($E154:J154,"µ")+COUNTIF($E154:J154,1),ColDescriptionCourte)),""),
  "")),"")</f>
        <v/>
      </c>
      <c r="L154" s="39" t="str">
        <f ca="1">IFERROR(IF(AND(
  INDEX(Roadmap!$D:$K,MATCH($E154,Roadmap!$D:$D,0)+COUNTIF($E154:K154,"u")+COUNTIF($E154:K154,"t")+COUNTIF($E154:K154,"¶")+COUNTIF($E154:K154,"²")+COUNTIF($E154:K154,"µ")+COUNTIF($E154:K154,1),ColLivraison)=L$6,
  VLOOKUP($E154,INDIRECT("tri!"&amp; CHAR(64+ C0Col) &amp;":"&amp; CHAR(65+C0Col)),2,FALSE)&gt;COUNTIF($E154:K154,"u")+COUNTIF($E154:K154,"t")+COUNTIF($E154:K154,"¶")+COUNTIF($E154:K154,"²")+COUNTIF($E154:K154,"µ")+COUNTIF($E154:K154,1)),
HYPERLINK("#Roadmap!C"&amp; MATCH($E154,Roadmap!$D:$D,0)+COUNTIF($E154:K154,"u")+COUNTIF($E154:K154,"t"),
     INDEX(Roadmap!$D:$K,MATCH($E154,Roadmap!$D:$D,0)+COUNTIF($E154:K154,"u")+COUNTIF($E154:K154,"t")+COUNTIF($E154:K154,"¶")+COUNTIF($E154:K154,"²")+COUNTIF($E154:K154,"µ")+COUNTIF($E154:K154,1),ColTypeEcheance)),
  IF(LEN(K154)=1,
  IF(LEN(INDEX(Roadmap!$D:$K,MATCH($E154,Roadmap!$D:$D,0)-1+COUNTIF($E154:K154,"u")+COUNTIF($E154:K154,"t")+COUNTIF($E154:K154,"¶")+COUNTIF($E154:K154,"²")+COUNTIF($E154:K154,"µ")+COUNTIF($E154:K154,1),ColDescriptionCourte))&gt;1,
HYPERLINK("#Roadmap!C"&amp; MATCH($E154,Roadmap!$D:$D,0)+COUNTIF($E154:K154,"u")+COUNTIF($E154:K154,"t")+COUNTIF($E154:K154,"¶")+COUNTIF($E154:K154,"²")+COUNTIF($E154:K154,"µ")+COUNTIF($E154:K154,1)-1,INDEX(Roadmap!$D:$K,MATCH($E154,Roadmap!$D:$D,0)-1+COUNTIF($E154:K154,"u")+COUNTIF($E154:K154,"t")+COUNTIF($E154:K154,"¶")+COUNTIF($E154:K154,"²")+COUNTIF($E154:K154,"µ")+COUNTIF($E154:K154,1),ColDescriptionCourte)),""),
  "")),"")</f>
        <v/>
      </c>
      <c r="M154" s="40" t="str">
        <f ca="1">IFERROR(IF(AND(
  INDEX(Roadmap!$D:$K,MATCH($E154,Roadmap!$D:$D,0)+COUNTIF($E154:L154,"u")+COUNTIF($E154:L154,"t")+COUNTIF($E154:L154,"¶")+COUNTIF($E154:L154,"²")+COUNTIF($E154:L154,"µ")+COUNTIF($E154:L154,1),ColLivraison)=M$6,
  VLOOKUP($E154,INDIRECT("tri!"&amp; CHAR(64+ C0Col) &amp;":"&amp; CHAR(65+C0Col)),2,FALSE)&gt;COUNTIF($E154:L154,"u")+COUNTIF($E154:L154,"t")+COUNTIF($E154:L154,"¶")+COUNTIF($E154:L154,"²")+COUNTIF($E154:L154,"µ")+COUNTIF($E154:L154,1)),
HYPERLINK("#Roadmap!C"&amp; MATCH($E154,Roadmap!$D:$D,0)+COUNTIF($E154:L154,"u")+COUNTIF($E154:L154,"t"),
     INDEX(Roadmap!$D:$K,MATCH($E154,Roadmap!$D:$D,0)+COUNTIF($E154:L154,"u")+COUNTIF($E154:L154,"t")+COUNTIF($E154:L154,"¶")+COUNTIF($E154:L154,"²")+COUNTIF($E154:L154,"µ")+COUNTIF($E154:L154,1),ColTypeEcheance)),
  IF(LEN(L154)=1,
  IF(LEN(INDEX(Roadmap!$D:$K,MATCH($E154,Roadmap!$D:$D,0)-1+COUNTIF($E154:L154,"u")+COUNTIF($E154:L154,"t")+COUNTIF($E154:L154,"¶")+COUNTIF($E154:L154,"²")+COUNTIF($E154:L154,"µ")+COUNTIF($E154:L154,1),ColDescriptionCourte))&gt;1,
HYPERLINK("#Roadmap!C"&amp; MATCH($E154,Roadmap!$D:$D,0)+COUNTIF($E154:L154,"u")+COUNTIF($E154:L154,"t")+COUNTIF($E154:L154,"¶")+COUNTIF($E154:L154,"²")+COUNTIF($E154:L154,"µ")+COUNTIF($E154:L154,1)-1,INDEX(Roadmap!$D:$K,MATCH($E154,Roadmap!$D:$D,0)-1+COUNTIF($E154:L154,"u")+COUNTIF($E154:L154,"t")+COUNTIF($E154:L154,"¶")+COUNTIF($E154:L154,"²")+COUNTIF($E154:L154,"µ")+COUNTIF($E154:L154,1),ColDescriptionCourte)),""),
  "")),"")</f>
        <v/>
      </c>
      <c r="N154" s="40" t="str">
        <f ca="1">IFERROR(IF(AND(
  INDEX(Roadmap!$D:$K,MATCH($E154,Roadmap!$D:$D,0)+COUNTIF($E154:M154,"u")+COUNTIF($E154:M154,"t")+COUNTIF($E154:M154,"¶")+COUNTIF($E154:M154,"²")+COUNTIF($E154:M154,"µ")+COUNTIF($E154:M154,1),ColLivraison)=N$6,
  VLOOKUP($E154,INDIRECT("tri!"&amp; CHAR(64+ C0Col) &amp;":"&amp; CHAR(65+C0Col)),2,FALSE)&gt;COUNTIF($E154:M154,"u")+COUNTIF($E154:M154,"t")+COUNTIF($E154:M154,"¶")+COUNTIF($E154:M154,"²")+COUNTIF($E154:M154,"µ")+COUNTIF($E154:M154,1)),
HYPERLINK("#Roadmap!C"&amp; MATCH($E154,Roadmap!$D:$D,0)+COUNTIF($E154:M154,"u")+COUNTIF($E154:M154,"t"),
     INDEX(Roadmap!$D:$K,MATCH($E154,Roadmap!$D:$D,0)+COUNTIF($E154:M154,"u")+COUNTIF($E154:M154,"t")+COUNTIF($E154:M154,"¶")+COUNTIF($E154:M154,"²")+COUNTIF($E154:M154,"µ")+COUNTIF($E154:M154,1),ColTypeEcheance)),
  IF(LEN(M154)=1,
  IF(LEN(INDEX(Roadmap!$D:$K,MATCH($E154,Roadmap!$D:$D,0)-1+COUNTIF($E154:M154,"u")+COUNTIF($E154:M154,"t")+COUNTIF($E154:M154,"¶")+COUNTIF($E154:M154,"²")+COUNTIF($E154:M154,"µ")+COUNTIF($E154:M154,1),ColDescriptionCourte))&gt;1,
HYPERLINK("#Roadmap!C"&amp; MATCH($E154,Roadmap!$D:$D,0)+COUNTIF($E154:M154,"u")+COUNTIF($E154:M154,"t")+COUNTIF($E154:M154,"¶")+COUNTIF($E154:M154,"²")+COUNTIF($E154:M154,"µ")+COUNTIF($E154:M154,1)-1,INDEX(Roadmap!$D:$K,MATCH($E154,Roadmap!$D:$D,0)-1+COUNTIF($E154:M154,"u")+COUNTIF($E154:M154,"t")+COUNTIF($E154:M154,"¶")+COUNTIF($E154:M154,"²")+COUNTIF($E154:M154,"µ")+COUNTIF($E154:M154,1),ColDescriptionCourte)),""),
  "")),"")</f>
        <v/>
      </c>
      <c r="O154" s="40" t="str">
        <f ca="1">IFERROR(IF(AND(
  INDEX(Roadmap!$D:$K,MATCH($E154,Roadmap!$D:$D,0)+COUNTIF($E154:N154,"u")+COUNTIF($E154:N154,"t")+COUNTIF($E154:N154,"¶")+COUNTIF($E154:N154,"²")+COUNTIF($E154:N154,"µ")+COUNTIF($E154:N154,1),ColLivraison)=O$6,
  VLOOKUP($E154,INDIRECT("tri!"&amp; CHAR(64+ C0Col) &amp;":"&amp; CHAR(65+C0Col)),2,FALSE)&gt;COUNTIF($E154:N154,"u")+COUNTIF($E154:N154,"t")+COUNTIF($E154:N154,"¶")+COUNTIF($E154:N154,"²")+COUNTIF($E154:N154,"µ")+COUNTIF($E154:N154,1)),
HYPERLINK("#Roadmap!C"&amp; MATCH($E154,Roadmap!$D:$D,0)+COUNTIF($E154:N154,"u")+COUNTIF($E154:N154,"t"),
     INDEX(Roadmap!$D:$K,MATCH($E154,Roadmap!$D:$D,0)+COUNTIF($E154:N154,"u")+COUNTIF($E154:N154,"t")+COUNTIF($E154:N154,"¶")+COUNTIF($E154:N154,"²")+COUNTIF($E154:N154,"µ")+COUNTIF($E154:N154,1),ColTypeEcheance)),
  IF(LEN(N154)=1,
  IF(LEN(INDEX(Roadmap!$D:$K,MATCH($E154,Roadmap!$D:$D,0)-1+COUNTIF($E154:N154,"u")+COUNTIF($E154:N154,"t")+COUNTIF($E154:N154,"¶")+COUNTIF($E154:N154,"²")+COUNTIF($E154:N154,"µ")+COUNTIF($E154:N154,1),ColDescriptionCourte))&gt;1,
HYPERLINK("#Roadmap!C"&amp; MATCH($E154,Roadmap!$D:$D,0)+COUNTIF($E154:N154,"u")+COUNTIF($E154:N154,"t")+COUNTIF($E154:N154,"¶")+COUNTIF($E154:N154,"²")+COUNTIF($E154:N154,"µ")+COUNTIF($E154:N154,1)-1,INDEX(Roadmap!$D:$K,MATCH($E154,Roadmap!$D:$D,0)-1+COUNTIF($E154:N154,"u")+COUNTIF($E154:N154,"t")+COUNTIF($E154:N154,"¶")+COUNTIF($E154:N154,"²")+COUNTIF($E154:N154,"µ")+COUNTIF($E154:N154,1),ColDescriptionCourte)),""),
  "")),"")</f>
        <v/>
      </c>
      <c r="P154" s="40" t="str">
        <f ca="1">IFERROR(IF(AND(
  INDEX(Roadmap!$D:$K,MATCH($E154,Roadmap!$D:$D,0)+COUNTIF($E154:O154,"u")+COUNTIF($E154:O154,"t")+COUNTIF($E154:O154,"¶")+COUNTIF($E154:O154,"²")+COUNTIF($E154:O154,"µ")+COUNTIF($E154:O154,1),ColLivraison)=P$6,
  VLOOKUP($E154,INDIRECT("tri!"&amp; CHAR(64+ C0Col) &amp;":"&amp; CHAR(65+C0Col)),2,FALSE)&gt;COUNTIF($E154:O154,"u")+COUNTIF($E154:O154,"t")+COUNTIF($E154:O154,"¶")+COUNTIF($E154:O154,"²")+COUNTIF($E154:O154,"µ")+COUNTIF($E154:O154,1)),
HYPERLINK("#Roadmap!C"&amp; MATCH($E154,Roadmap!$D:$D,0)+COUNTIF($E154:O154,"u")+COUNTIF($E154:O154,"t"),
     INDEX(Roadmap!$D:$K,MATCH($E154,Roadmap!$D:$D,0)+COUNTIF($E154:O154,"u")+COUNTIF($E154:O154,"t")+COUNTIF($E154:O154,"¶")+COUNTIF($E154:O154,"²")+COUNTIF($E154:O154,"µ")+COUNTIF($E154:O154,1),ColTypeEcheance)),
  IF(LEN(O154)=1,
  IF(LEN(INDEX(Roadmap!$D:$K,MATCH($E154,Roadmap!$D:$D,0)-1+COUNTIF($E154:O154,"u")+COUNTIF($E154:O154,"t")+COUNTIF($E154:O154,"¶")+COUNTIF($E154:O154,"²")+COUNTIF($E154:O154,"µ")+COUNTIF($E154:O154,1),ColDescriptionCourte))&gt;1,
HYPERLINK("#Roadmap!C"&amp; MATCH($E154,Roadmap!$D:$D,0)+COUNTIF($E154:O154,"u")+COUNTIF($E154:O154,"t")+COUNTIF($E154:O154,"¶")+COUNTIF($E154:O154,"²")+COUNTIF($E154:O154,"µ")+COUNTIF($E154:O154,1)-1,INDEX(Roadmap!$D:$K,MATCH($E154,Roadmap!$D:$D,0)-1+COUNTIF($E154:O154,"u")+COUNTIF($E154:O154,"t")+COUNTIF($E154:O154,"¶")+COUNTIF($E154:O154,"²")+COUNTIF($E154:O154,"µ")+COUNTIF($E154:O154,1),ColDescriptionCourte)),""),
  "")),"")</f>
        <v/>
      </c>
      <c r="Q154" s="40" t="str">
        <f ca="1">IFERROR(IF(AND(
  INDEX(Roadmap!$D:$K,MATCH($E154,Roadmap!$D:$D,0)+COUNTIF($E154:P154,"u")+COUNTIF($E154:P154,"t")+COUNTIF($E154:P154,"¶")+COUNTIF($E154:P154,"²")+COUNTIF($E154:P154,"µ")+COUNTIF($E154:P154,1),ColLivraison)=Q$6,
  VLOOKUP($E154,INDIRECT("tri!"&amp; CHAR(64+ C0Col) &amp;":"&amp; CHAR(65+C0Col)),2,FALSE)&gt;COUNTIF($E154:P154,"u")+COUNTIF($E154:P154,"t")+COUNTIF($E154:P154,"¶")+COUNTIF($E154:P154,"²")+COUNTIF($E154:P154,"µ")+COUNTIF($E154:P154,1)),
HYPERLINK("#Roadmap!C"&amp; MATCH($E154,Roadmap!$D:$D,0)+COUNTIF($E154:P154,"u")+COUNTIF($E154:P154,"t"),
     INDEX(Roadmap!$D:$K,MATCH($E154,Roadmap!$D:$D,0)+COUNTIF($E154:P154,"u")+COUNTIF($E154:P154,"t")+COUNTIF($E154:P154,"¶")+COUNTIF($E154:P154,"²")+COUNTIF($E154:P154,"µ")+COUNTIF($E154:P154,1),ColTypeEcheance)),
  IF(LEN(P154)=1,
  IF(LEN(INDEX(Roadmap!$D:$K,MATCH($E154,Roadmap!$D:$D,0)-1+COUNTIF($E154:P154,"u")+COUNTIF($E154:P154,"t")+COUNTIF($E154:P154,"¶")+COUNTIF($E154:P154,"²")+COUNTIF($E154:P154,"µ")+COUNTIF($E154:P154,1),ColDescriptionCourte))&gt;1,
HYPERLINK("#Roadmap!C"&amp; MATCH($E154,Roadmap!$D:$D,0)+COUNTIF($E154:P154,"u")+COUNTIF($E154:P154,"t")+COUNTIF($E154:P154,"¶")+COUNTIF($E154:P154,"²")+COUNTIF($E154:P154,"µ")+COUNTIF($E154:P154,1)-1,INDEX(Roadmap!$D:$K,MATCH($E154,Roadmap!$D:$D,0)-1+COUNTIF($E154:P154,"u")+COUNTIF($E154:P154,"t")+COUNTIF($E154:P154,"¶")+COUNTIF($E154:P154,"²")+COUNTIF($E154:P154,"µ")+COUNTIF($E154:P154,1),ColDescriptionCourte)),""),
  "")),"")</f>
        <v/>
      </c>
      <c r="R154" s="40" t="str">
        <f ca="1">IFERROR(IF(AND(
  INDEX(Roadmap!$D:$K,MATCH($E154,Roadmap!$D:$D,0)+COUNTIF($E154:Q154,"u")+COUNTIF($E154:Q154,"t")+COUNTIF($E154:Q154,"¶")+COUNTIF($E154:Q154,"²")+COUNTIF($E154:Q154,"µ")+COUNTIF($E154:Q154,1),ColLivraison)=R$6,
  VLOOKUP($E154,INDIRECT("tri!"&amp; CHAR(64+ C0Col) &amp;":"&amp; CHAR(65+C0Col)),2,FALSE)&gt;COUNTIF($E154:Q154,"u")+COUNTIF($E154:Q154,"t")+COUNTIF($E154:Q154,"¶")+COUNTIF($E154:Q154,"²")+COUNTIF($E154:Q154,"µ")+COUNTIF($E154:Q154,1)),
HYPERLINK("#Roadmap!C"&amp; MATCH($E154,Roadmap!$D:$D,0)+COUNTIF($E154:Q154,"u")+COUNTIF($E154:Q154,"t"),
     INDEX(Roadmap!$D:$K,MATCH($E154,Roadmap!$D:$D,0)+COUNTIF($E154:Q154,"u")+COUNTIF($E154:Q154,"t")+COUNTIF($E154:Q154,"¶")+COUNTIF($E154:Q154,"²")+COUNTIF($E154:Q154,"µ")+COUNTIF($E154:Q154,1),ColTypeEcheance)),
  IF(LEN(Q154)=1,
  IF(LEN(INDEX(Roadmap!$D:$K,MATCH($E154,Roadmap!$D:$D,0)-1+COUNTIF($E154:Q154,"u")+COUNTIF($E154:Q154,"t")+COUNTIF($E154:Q154,"¶")+COUNTIF($E154:Q154,"²")+COUNTIF($E154:Q154,"µ")+COUNTIF($E154:Q154,1),ColDescriptionCourte))&gt;1,
HYPERLINK("#Roadmap!C"&amp; MATCH($E154,Roadmap!$D:$D,0)+COUNTIF($E154:Q154,"u")+COUNTIF($E154:Q154,"t")+COUNTIF($E154:Q154,"¶")+COUNTIF($E154:Q154,"²")+COUNTIF($E154:Q154,"µ")+COUNTIF($E154:Q154,1)-1,INDEX(Roadmap!$D:$K,MATCH($E154,Roadmap!$D:$D,0)-1+COUNTIF($E154:Q154,"u")+COUNTIF($E154:Q154,"t")+COUNTIF($E154:Q154,"¶")+COUNTIF($E154:Q154,"²")+COUNTIF($E154:Q154,"µ")+COUNTIF($E154:Q154,1),ColDescriptionCourte)),""),
  "")),"")</f>
        <v/>
      </c>
      <c r="S154" s="40" t="str">
        <f ca="1">IFERROR(IF(AND(
  INDEX(Roadmap!$D:$K,MATCH($E154,Roadmap!$D:$D,0)+COUNTIF($E154:R154,"u")+COUNTIF($E154:R154,"t")+COUNTIF($E154:R154,"¶")+COUNTIF($E154:R154,"²")+COUNTIF($E154:R154,"µ")+COUNTIF($E154:R154,1),ColLivraison)=S$6,
  VLOOKUP($E154,INDIRECT("tri!"&amp; CHAR(64+ C0Col) &amp;":"&amp; CHAR(65+C0Col)),2,FALSE)&gt;COUNTIF($E154:R154,"u")+COUNTIF($E154:R154,"t")+COUNTIF($E154:R154,"¶")+COUNTIF($E154:R154,"²")+COUNTIF($E154:R154,"µ")+COUNTIF($E154:R154,1)),
HYPERLINK("#Roadmap!C"&amp; MATCH($E154,Roadmap!$D:$D,0)+COUNTIF($E154:R154,"u")+COUNTIF($E154:R154,"t"),
     INDEX(Roadmap!$D:$K,MATCH($E154,Roadmap!$D:$D,0)+COUNTIF($E154:R154,"u")+COUNTIF($E154:R154,"t")+COUNTIF($E154:R154,"¶")+COUNTIF($E154:R154,"²")+COUNTIF($E154:R154,"µ")+COUNTIF($E154:R154,1),ColTypeEcheance)),
  IF(LEN(R154)=1,
  IF(LEN(INDEX(Roadmap!$D:$K,MATCH($E154,Roadmap!$D:$D,0)-1+COUNTIF($E154:R154,"u")+COUNTIF($E154:R154,"t")+COUNTIF($E154:R154,"¶")+COUNTIF($E154:R154,"²")+COUNTIF($E154:R154,"µ")+COUNTIF($E154:R154,1),ColDescriptionCourte))&gt;1,
HYPERLINK("#Roadmap!C"&amp; MATCH($E154,Roadmap!$D:$D,0)+COUNTIF($E154:R154,"u")+COUNTIF($E154:R154,"t")+COUNTIF($E154:R154,"¶")+COUNTIF($E154:R154,"²")+COUNTIF($E154:R154,"µ")+COUNTIF($E154:R154,1)-1,INDEX(Roadmap!$D:$K,MATCH($E154,Roadmap!$D:$D,0)-1+COUNTIF($E154:R154,"u")+COUNTIF($E154:R154,"t")+COUNTIF($E154:R154,"¶")+COUNTIF($E154:R154,"²")+COUNTIF($E154:R154,"µ")+COUNTIF($E154:R154,1),ColDescriptionCourte)),""),
  "")),"")</f>
        <v/>
      </c>
      <c r="T154" s="40" t="str">
        <f ca="1">IFERROR(IF(AND(
  INDEX(Roadmap!$D:$K,MATCH($E154,Roadmap!$D:$D,0)+COUNTIF($E154:S154,"u")+COUNTIF($E154:S154,"t")+COUNTIF($E154:S154,"¶")+COUNTIF($E154:S154,"²")+COUNTIF($E154:S154,"µ")+COUNTIF($E154:S154,1),ColLivraison)=T$6,
  VLOOKUP($E154,INDIRECT("tri!"&amp; CHAR(64+ C0Col) &amp;":"&amp; CHAR(65+C0Col)),2,FALSE)&gt;COUNTIF($E154:S154,"u")+COUNTIF($E154:S154,"t")+COUNTIF($E154:S154,"¶")+COUNTIF($E154:S154,"²")+COUNTIF($E154:S154,"µ")+COUNTIF($E154:S154,1)),
HYPERLINK("#Roadmap!C"&amp; MATCH($E154,Roadmap!$D:$D,0)+COUNTIF($E154:S154,"u")+COUNTIF($E154:S154,"t"),
     INDEX(Roadmap!$D:$K,MATCH($E154,Roadmap!$D:$D,0)+COUNTIF($E154:S154,"u")+COUNTIF($E154:S154,"t")+COUNTIF($E154:S154,"¶")+COUNTIF($E154:S154,"²")+COUNTIF($E154:S154,"µ")+COUNTIF($E154:S154,1),ColTypeEcheance)),
  IF(LEN(S154)=1,
  IF(LEN(INDEX(Roadmap!$D:$K,MATCH($E154,Roadmap!$D:$D,0)-1+COUNTIF($E154:S154,"u")+COUNTIF($E154:S154,"t")+COUNTIF($E154:S154,"¶")+COUNTIF($E154:S154,"²")+COUNTIF($E154:S154,"µ")+COUNTIF($E154:S154,1),ColDescriptionCourte))&gt;1,
HYPERLINK("#Roadmap!C"&amp; MATCH($E154,Roadmap!$D:$D,0)+COUNTIF($E154:S154,"u")+COUNTIF($E154:S154,"t")+COUNTIF($E154:S154,"¶")+COUNTIF($E154:S154,"²")+COUNTIF($E154:S154,"µ")+COUNTIF($E154:S154,1)-1,INDEX(Roadmap!$D:$K,MATCH($E154,Roadmap!$D:$D,0)-1+COUNTIF($E154:S154,"u")+COUNTIF($E154:S154,"t")+COUNTIF($E154:S154,"¶")+COUNTIF($E154:S154,"²")+COUNTIF($E154:S154,"µ")+COUNTIF($E154:S154,1),ColDescriptionCourte)),""),
  "")),"")</f>
        <v/>
      </c>
      <c r="U154" s="40" t="str">
        <f ca="1">IFERROR(IF(AND(
  INDEX(Roadmap!$D:$K,MATCH($E154,Roadmap!$D:$D,0)+COUNTIF($E154:T154,"u")+COUNTIF($E154:T154,"t")+COUNTIF($E154:T154,"¶")+COUNTIF($E154:T154,"²")+COUNTIF($E154:T154,"µ")+COUNTIF($E154:T154,1),ColLivraison)=U$6,
  VLOOKUP($E154,INDIRECT("tri!"&amp; CHAR(64+ C0Col) &amp;":"&amp; CHAR(65+C0Col)),2,FALSE)&gt;COUNTIF($E154:T154,"u")+COUNTIF($E154:T154,"t")+COUNTIF($E154:T154,"¶")+COUNTIF($E154:T154,"²")+COUNTIF($E154:T154,"µ")+COUNTIF($E154:T154,1)),
HYPERLINK("#Roadmap!C"&amp; MATCH($E154,Roadmap!$D:$D,0)+COUNTIF($E154:T154,"u")+COUNTIF($E154:T154,"t"),
     INDEX(Roadmap!$D:$K,MATCH($E154,Roadmap!$D:$D,0)+COUNTIF($E154:T154,"u")+COUNTIF($E154:T154,"t")+COUNTIF($E154:T154,"¶")+COUNTIF($E154:T154,"²")+COUNTIF($E154:T154,"µ")+COUNTIF($E154:T154,1),ColTypeEcheance)),
  IF(LEN(T154)=1,
  IF(LEN(INDEX(Roadmap!$D:$K,MATCH($E154,Roadmap!$D:$D,0)-1+COUNTIF($E154:T154,"u")+COUNTIF($E154:T154,"t")+COUNTIF($E154:T154,"¶")+COUNTIF($E154:T154,"²")+COUNTIF($E154:T154,"µ")+COUNTIF($E154:T154,1),ColDescriptionCourte))&gt;1,
HYPERLINK("#Roadmap!C"&amp; MATCH($E154,Roadmap!$D:$D,0)+COUNTIF($E154:T154,"u")+COUNTIF($E154:T154,"t")+COUNTIF($E154:T154,"¶")+COUNTIF($E154:T154,"²")+COUNTIF($E154:T154,"µ")+COUNTIF($E154:T154,1)-1,INDEX(Roadmap!$D:$K,MATCH($E154,Roadmap!$D:$D,0)-1+COUNTIF($E154:T154,"u")+COUNTIF($E154:T154,"t")+COUNTIF($E154:T154,"¶")+COUNTIF($E154:T154,"²")+COUNTIF($E154:T154,"µ")+COUNTIF($E154:T154,1),ColDescriptionCourte)),""),
  "")),"")</f>
        <v/>
      </c>
      <c r="V154" s="40" t="str">
        <f ca="1">IFERROR(IF(AND(
  INDEX(Roadmap!$D:$K,MATCH($E154,Roadmap!$D:$D,0)+COUNTIF($E154:U154,"u")+COUNTIF($E154:U154,"t")+COUNTIF($E154:U154,"¶")+COUNTIF($E154:U154,"²")+COUNTIF($E154:U154,"µ")+COUNTIF($E154:U154,1),ColLivraison)=V$6,
  VLOOKUP($E154,INDIRECT("tri!"&amp; CHAR(64+ C0Col) &amp;":"&amp; CHAR(65+C0Col)),2,FALSE)&gt;COUNTIF($E154:U154,"u")+COUNTIF($E154:U154,"t")+COUNTIF($E154:U154,"¶")+COUNTIF($E154:U154,"²")+COUNTIF($E154:U154,"µ")+COUNTIF($E154:U154,1)),
HYPERLINK("#Roadmap!C"&amp; MATCH($E154,Roadmap!$D:$D,0)+COUNTIF($E154:U154,"u")+COUNTIF($E154:U154,"t"),
     INDEX(Roadmap!$D:$K,MATCH($E154,Roadmap!$D:$D,0)+COUNTIF($E154:U154,"u")+COUNTIF($E154:U154,"t")+COUNTIF($E154:U154,"¶")+COUNTIF($E154:U154,"²")+COUNTIF($E154:U154,"µ")+COUNTIF($E154:U154,1),ColTypeEcheance)),
  IF(LEN(U154)=1,
  IF(LEN(INDEX(Roadmap!$D:$K,MATCH($E154,Roadmap!$D:$D,0)-1+COUNTIF($E154:U154,"u")+COUNTIF($E154:U154,"t")+COUNTIF($E154:U154,"¶")+COUNTIF($E154:U154,"²")+COUNTIF($E154:U154,"µ")+COUNTIF($E154:U154,1),ColDescriptionCourte))&gt;1,
HYPERLINK("#Roadmap!C"&amp; MATCH($E154,Roadmap!$D:$D,0)+COUNTIF($E154:U154,"u")+COUNTIF($E154:U154,"t")+COUNTIF($E154:U154,"¶")+COUNTIF($E154:U154,"²")+COUNTIF($E154:U154,"µ")+COUNTIF($E154:U154,1)-1,INDEX(Roadmap!$D:$K,MATCH($E154,Roadmap!$D:$D,0)-1+COUNTIF($E154:U154,"u")+COUNTIF($E154:U154,"t")+COUNTIF($E154:U154,"¶")+COUNTIF($E154:U154,"²")+COUNTIF($E154:U154,"µ")+COUNTIF($E154:U154,1),ColDescriptionCourte)),""),
  "")),"")</f>
        <v/>
      </c>
      <c r="W154" s="40" t="str">
        <f ca="1">IFERROR(IF(AND(
  INDEX(Roadmap!$D:$K,MATCH($E154,Roadmap!$D:$D,0)+COUNTIF($E154:V154,"u")+COUNTIF($E154:V154,"t")+COUNTIF($E154:V154,"¶")+COUNTIF($E154:V154,"²")+COUNTIF($E154:V154,"µ")+COUNTIF($E154:V154,1),ColLivraison)=W$6,
  VLOOKUP($E154,INDIRECT("tri!"&amp; CHAR(64+ C0Col) &amp;":"&amp; CHAR(65+C0Col)),2,FALSE)&gt;COUNTIF($E154:V154,"u")+COUNTIF($E154:V154,"t")+COUNTIF($E154:V154,"¶")+COUNTIF($E154:V154,"²")+COUNTIF($E154:V154,"µ")+COUNTIF($E154:V154,1)),
HYPERLINK("#Roadmap!C"&amp; MATCH($E154,Roadmap!$D:$D,0)+COUNTIF($E154:V154,"u")+COUNTIF($E154:V154,"t"),
     INDEX(Roadmap!$D:$K,MATCH($E154,Roadmap!$D:$D,0)+COUNTIF($E154:V154,"u")+COUNTIF($E154:V154,"t")+COUNTIF($E154:V154,"¶")+COUNTIF($E154:V154,"²")+COUNTIF($E154:V154,"µ")+COUNTIF($E154:V154,1),ColTypeEcheance)),
  IF(LEN(V154)=1,
  IF(LEN(INDEX(Roadmap!$D:$K,MATCH($E154,Roadmap!$D:$D,0)-1+COUNTIF($E154:V154,"u")+COUNTIF($E154:V154,"t")+COUNTIF($E154:V154,"¶")+COUNTIF($E154:V154,"²")+COUNTIF($E154:V154,"µ")+COUNTIF($E154:V154,1),ColDescriptionCourte))&gt;1,
HYPERLINK("#Roadmap!C"&amp; MATCH($E154,Roadmap!$D:$D,0)+COUNTIF($E154:V154,"u")+COUNTIF($E154:V154,"t")+COUNTIF($E154:V154,"¶")+COUNTIF($E154:V154,"²")+COUNTIF($E154:V154,"µ")+COUNTIF($E154:V154,1)-1,INDEX(Roadmap!$D:$K,MATCH($E154,Roadmap!$D:$D,0)-1+COUNTIF($E154:V154,"u")+COUNTIF($E154:V154,"t")+COUNTIF($E154:V154,"¶")+COUNTIF($E154:V154,"²")+COUNTIF($E154:V154,"µ")+COUNTIF($E154:V154,1),ColDescriptionCourte)),""),
  "")),"")</f>
        <v/>
      </c>
      <c r="X154" s="40" t="str">
        <f ca="1">IFERROR(IF(AND(
  INDEX(Roadmap!$D:$K,MATCH($E154,Roadmap!$D:$D,0)+COUNTIF($E154:W154,"u")+COUNTIF($E154:W154,"t")+COUNTIF($E154:W154,"¶")+COUNTIF($E154:W154,"²")+COUNTIF($E154:W154,"µ")+COUNTIF($E154:W154,1),ColLivraison)=X$6,
  VLOOKUP($E154,INDIRECT("tri!"&amp; CHAR(64+ C0Col) &amp;":"&amp; CHAR(65+C0Col)),2,FALSE)&gt;COUNTIF($E154:W154,"u")+COUNTIF($E154:W154,"t")+COUNTIF($E154:W154,"¶")+COUNTIF($E154:W154,"²")+COUNTIF($E154:W154,"µ")+COUNTIF($E154:W154,1)),
HYPERLINK("#Roadmap!C"&amp; MATCH($E154,Roadmap!$D:$D,0)+COUNTIF($E154:W154,"u")+COUNTIF($E154:W154,"t"),
     INDEX(Roadmap!$D:$K,MATCH($E154,Roadmap!$D:$D,0)+COUNTIF($E154:W154,"u")+COUNTIF($E154:W154,"t")+COUNTIF($E154:W154,"¶")+COUNTIF($E154:W154,"²")+COUNTIF($E154:W154,"µ")+COUNTIF($E154:W154,1),ColTypeEcheance)),
  IF(LEN(W154)=1,
  IF(LEN(INDEX(Roadmap!$D:$K,MATCH($E154,Roadmap!$D:$D,0)-1+COUNTIF($E154:W154,"u")+COUNTIF($E154:W154,"t")+COUNTIF($E154:W154,"¶")+COUNTIF($E154:W154,"²")+COUNTIF($E154:W154,"µ")+COUNTIF($E154:W154,1),ColDescriptionCourte))&gt;1,
HYPERLINK("#Roadmap!C"&amp; MATCH($E154,Roadmap!$D:$D,0)+COUNTIF($E154:W154,"u")+COUNTIF($E154:W154,"t")+COUNTIF($E154:W154,"¶")+COUNTIF($E154:W154,"²")+COUNTIF($E154:W154,"µ")+COUNTIF($E154:W154,1)-1,INDEX(Roadmap!$D:$K,MATCH($E154,Roadmap!$D:$D,0)-1+COUNTIF($E154:W154,"u")+COUNTIF($E154:W154,"t")+COUNTIF($E154:W154,"¶")+COUNTIF($E154:W154,"²")+COUNTIF($E154:W154,"µ")+COUNTIF($E154:W154,1),ColDescriptionCourte)),""),
  "")),"")</f>
        <v/>
      </c>
      <c r="Y154" s="40" t="str">
        <f ca="1">IFERROR(IF(AND(
  INDEX(Roadmap!$D:$K,MATCH($E154,Roadmap!$D:$D,0)+COUNTIF($E154:X154,"u")+COUNTIF($E154:X154,"t")+COUNTIF($E154:X154,"¶")+COUNTIF($E154:X154,"²")+COUNTIF($E154:X154,"µ")+COUNTIF($E154:X154,1),ColLivraison)=Y$6,
  VLOOKUP($E154,INDIRECT("tri!"&amp; CHAR(64+ C0Col) &amp;":"&amp; CHAR(65+C0Col)),2,FALSE)&gt;COUNTIF($E154:X154,"u")+COUNTIF($E154:X154,"t")+COUNTIF($E154:X154,"¶")+COUNTIF($E154:X154,"²")+COUNTIF($E154:X154,"µ")+COUNTIF($E154:X154,1)),
HYPERLINK("#Roadmap!C"&amp; MATCH($E154,Roadmap!$D:$D,0)+COUNTIF($E154:X154,"u")+COUNTIF($E154:X154,"t"),
     INDEX(Roadmap!$D:$K,MATCH($E154,Roadmap!$D:$D,0)+COUNTIF($E154:X154,"u")+COUNTIF($E154:X154,"t")+COUNTIF($E154:X154,"¶")+COUNTIF($E154:X154,"²")+COUNTIF($E154:X154,"µ")+COUNTIF($E154:X154,1),ColTypeEcheance)),
  IF(LEN(X154)=1,
  IF(LEN(INDEX(Roadmap!$D:$K,MATCH($E154,Roadmap!$D:$D,0)-1+COUNTIF($E154:X154,"u")+COUNTIF($E154:X154,"t")+COUNTIF($E154:X154,"¶")+COUNTIF($E154:X154,"²")+COUNTIF($E154:X154,"µ")+COUNTIF($E154:X154,1),ColDescriptionCourte))&gt;1,
HYPERLINK("#Roadmap!C"&amp; MATCH($E154,Roadmap!$D:$D,0)+COUNTIF($E154:X154,"u")+COUNTIF($E154:X154,"t")+COUNTIF($E154:X154,"¶")+COUNTIF($E154:X154,"²")+COUNTIF($E154:X154,"µ")+COUNTIF($E154:X154,1)-1,INDEX(Roadmap!$D:$K,MATCH($E154,Roadmap!$D:$D,0)-1+COUNTIF($E154:X154,"u")+COUNTIF($E154:X154,"t")+COUNTIF($E154:X154,"¶")+COUNTIF($E154:X154,"²")+COUNTIF($E154:X154,"µ")+COUNTIF($E154:X154,1),ColDescriptionCourte)),""),
  "")),"")</f>
        <v/>
      </c>
      <c r="Z154" s="40" t="str">
        <f ca="1">IFERROR(IF(AND(
  INDEX(Roadmap!$D:$K,MATCH($E154,Roadmap!$D:$D,0)+COUNTIF($E154:Y154,"u")+COUNTIF($E154:Y154,"t")+COUNTIF($E154:Y154,"¶")+COUNTIF($E154:Y154,"²")+COUNTIF($E154:Y154,"µ")+COUNTIF($E154:Y154,1),ColLivraison)=Z$6,
  VLOOKUP($E154,INDIRECT("tri!"&amp; CHAR(64+ C0Col) &amp;":"&amp; CHAR(65+C0Col)),2,FALSE)&gt;COUNTIF($E154:Y154,"u")+COUNTIF($E154:Y154,"t")+COUNTIF($E154:Y154,"¶")+COUNTIF($E154:Y154,"²")+COUNTIF($E154:Y154,"µ")+COUNTIF($E154:Y154,1)),
HYPERLINK("#Roadmap!C"&amp; MATCH($E154,Roadmap!$D:$D,0)+COUNTIF($E154:Y154,"u")+COUNTIF($E154:Y154,"t"),
     INDEX(Roadmap!$D:$K,MATCH($E154,Roadmap!$D:$D,0)+COUNTIF($E154:Y154,"u")+COUNTIF($E154:Y154,"t")+COUNTIF($E154:Y154,"¶")+COUNTIF($E154:Y154,"²")+COUNTIF($E154:Y154,"µ")+COUNTIF($E154:Y154,1),ColTypeEcheance)),
  IF(LEN(Y154)=1,
  IF(LEN(INDEX(Roadmap!$D:$K,MATCH($E154,Roadmap!$D:$D,0)-1+COUNTIF($E154:Y154,"u")+COUNTIF($E154:Y154,"t")+COUNTIF($E154:Y154,"¶")+COUNTIF($E154:Y154,"²")+COUNTIF($E154:Y154,"µ")+COUNTIF($E154:Y154,1),ColDescriptionCourte))&gt;1,
HYPERLINK("#Roadmap!C"&amp; MATCH($E154,Roadmap!$D:$D,0)+COUNTIF($E154:Y154,"u")+COUNTIF($E154:Y154,"t")+COUNTIF($E154:Y154,"¶")+COUNTIF($E154:Y154,"²")+COUNTIF($E154:Y154,"µ")+COUNTIF($E154:Y154,1)-1,INDEX(Roadmap!$D:$K,MATCH($E154,Roadmap!$D:$D,0)-1+COUNTIF($E154:Y154,"u")+COUNTIF($E154:Y154,"t")+COUNTIF($E154:Y154,"¶")+COUNTIF($E154:Y154,"²")+COUNTIF($E154:Y154,"µ")+COUNTIF($E154:Y154,1),ColDescriptionCourte)),""),
  "")),"")</f>
        <v/>
      </c>
      <c r="AA154" s="40" t="str">
        <f ca="1">IFERROR(IF(AND(
  INDEX(Roadmap!$D:$K,MATCH($E154,Roadmap!$D:$D,0)+COUNTIF($E154:Z154,"u")+COUNTIF($E154:Z154,"t")+COUNTIF($E154:Z154,"¶")+COUNTIF($E154:Z154,"²")+COUNTIF($E154:Z154,"µ")+COUNTIF($E154:Z154,1),ColLivraison)=AA$6,
  VLOOKUP($E154,INDIRECT("tri!"&amp; CHAR(64+ C0Col) &amp;":"&amp; CHAR(65+C0Col)),2,FALSE)&gt;COUNTIF($E154:Z154,"u")+COUNTIF($E154:Z154,"t")+COUNTIF($E154:Z154,"¶")+COUNTIF($E154:Z154,"²")+COUNTIF($E154:Z154,"µ")+COUNTIF($E154:Z154,1)),
HYPERLINK("#Roadmap!C"&amp; MATCH($E154,Roadmap!$D:$D,0)+COUNTIF($E154:Z154,"u")+COUNTIF($E154:Z154,"t"),
     INDEX(Roadmap!$D:$K,MATCH($E154,Roadmap!$D:$D,0)+COUNTIF($E154:Z154,"u")+COUNTIF($E154:Z154,"t")+COUNTIF($E154:Z154,"¶")+COUNTIF($E154:Z154,"²")+COUNTIF($E154:Z154,"µ")+COUNTIF($E154:Z154,1),ColTypeEcheance)),
  IF(LEN(Z154)=1,
  IF(LEN(INDEX(Roadmap!$D:$K,MATCH($E154,Roadmap!$D:$D,0)-1+COUNTIF($E154:Z154,"u")+COUNTIF($E154:Z154,"t")+COUNTIF($E154:Z154,"¶")+COUNTIF($E154:Z154,"²")+COUNTIF($E154:Z154,"µ")+COUNTIF($E154:Z154,1),ColDescriptionCourte))&gt;1,
HYPERLINK("#Roadmap!C"&amp; MATCH($E154,Roadmap!$D:$D,0)+COUNTIF($E154:Z154,"u")+COUNTIF($E154:Z154,"t")+COUNTIF($E154:Z154,"¶")+COUNTIF($E154:Z154,"²")+COUNTIF($E154:Z154,"µ")+COUNTIF($E154:Z154,1)-1,INDEX(Roadmap!$D:$K,MATCH($E154,Roadmap!$D:$D,0)-1+COUNTIF($E154:Z154,"u")+COUNTIF($E154:Z154,"t")+COUNTIF($E154:Z154,"¶")+COUNTIF($E154:Z154,"²")+COUNTIF($E154:Z154,"µ")+COUNTIF($E154:Z154,1),ColDescriptionCourte)),""),
  "")),"")</f>
        <v/>
      </c>
      <c r="AB154" s="40" t="str">
        <f ca="1">IFERROR(IF(AND(
  INDEX(Roadmap!$D:$K,MATCH($E154,Roadmap!$D:$D,0)+COUNTIF($E154:AA154,"u")+COUNTIF($E154:AA154,"t")+COUNTIF($E154:AA154,"¶")+COUNTIF($E154:AA154,"²")+COUNTIF($E154:AA154,"µ")+COUNTIF($E154:AA154,1),ColLivraison)=AB$6,
  VLOOKUP($E154,INDIRECT("tri!"&amp; CHAR(64+ C0Col) &amp;":"&amp; CHAR(65+C0Col)),2,FALSE)&gt;COUNTIF($E154:AA154,"u")+COUNTIF($E154:AA154,"t")+COUNTIF($E154:AA154,"¶")+COUNTIF($E154:AA154,"²")+COUNTIF($E154:AA154,"µ")+COUNTIF($E154:AA154,1)),
HYPERLINK("#Roadmap!C"&amp; MATCH($E154,Roadmap!$D:$D,0)+COUNTIF($E154:AA154,"u")+COUNTIF($E154:AA154,"t"),
     INDEX(Roadmap!$D:$K,MATCH($E154,Roadmap!$D:$D,0)+COUNTIF($E154:AA154,"u")+COUNTIF($E154:AA154,"t")+COUNTIF($E154:AA154,"¶")+COUNTIF($E154:AA154,"²")+COUNTIF($E154:AA154,"µ")+COUNTIF($E154:AA154,1),ColTypeEcheance)),
  IF(LEN(AA154)=1,
  IF(LEN(INDEX(Roadmap!$D:$K,MATCH($E154,Roadmap!$D:$D,0)-1+COUNTIF($E154:AA154,"u")+COUNTIF($E154:AA154,"t")+COUNTIF($E154:AA154,"¶")+COUNTIF($E154:AA154,"²")+COUNTIF($E154:AA154,"µ")+COUNTIF($E154:AA154,1),ColDescriptionCourte))&gt;1,
HYPERLINK("#Roadmap!C"&amp; MATCH($E154,Roadmap!$D:$D,0)+COUNTIF($E154:AA154,"u")+COUNTIF($E154:AA154,"t")+COUNTIF($E154:AA154,"¶")+COUNTIF($E154:AA154,"²")+COUNTIF($E154:AA154,"µ")+COUNTIF($E154:AA154,1)-1,INDEX(Roadmap!$D:$K,MATCH($E154,Roadmap!$D:$D,0)-1+COUNTIF($E154:AA154,"u")+COUNTIF($E154:AA154,"t")+COUNTIF($E154:AA154,"¶")+COUNTIF($E154:AA154,"²")+COUNTIF($E154:AA154,"µ")+COUNTIF($E154:AA154,1),ColDescriptionCourte)),""),
  "")),"")</f>
        <v/>
      </c>
      <c r="AC154" s="40" t="str">
        <f ca="1">IFERROR(IF(AND(
  INDEX(Roadmap!$D:$K,MATCH($E154,Roadmap!$D:$D,0)+COUNTIF($E154:AB154,"u")+COUNTIF($E154:AB154,"t")+COUNTIF($E154:AB154,"¶")+COUNTIF($E154:AB154,"²")+COUNTIF($E154:AB154,"µ")+COUNTIF($E154:AB154,1),ColLivraison)=AC$6,
  VLOOKUP($E154,INDIRECT("tri!"&amp; CHAR(64+ C0Col) &amp;":"&amp; CHAR(65+C0Col)),2,FALSE)&gt;COUNTIF($E154:AB154,"u")+COUNTIF($E154:AB154,"t")+COUNTIF($E154:AB154,"¶")+COUNTIF($E154:AB154,"²")+COUNTIF($E154:AB154,"µ")+COUNTIF($E154:AB154,1)),
HYPERLINK("#Roadmap!C"&amp; MATCH($E154,Roadmap!$D:$D,0)+COUNTIF($E154:AB154,"u")+COUNTIF($E154:AB154,"t"),
     INDEX(Roadmap!$D:$K,MATCH($E154,Roadmap!$D:$D,0)+COUNTIF($E154:AB154,"u")+COUNTIF($E154:AB154,"t")+COUNTIF($E154:AB154,"¶")+COUNTIF($E154:AB154,"²")+COUNTIF($E154:AB154,"µ")+COUNTIF($E154:AB154,1),ColTypeEcheance)),
  IF(LEN(AB154)=1,
  IF(LEN(INDEX(Roadmap!$D:$K,MATCH($E154,Roadmap!$D:$D,0)-1+COUNTIF($E154:AB154,"u")+COUNTIF($E154:AB154,"t")+COUNTIF($E154:AB154,"¶")+COUNTIF($E154:AB154,"²")+COUNTIF($E154:AB154,"µ")+COUNTIF($E154:AB154,1),ColDescriptionCourte))&gt;1,
HYPERLINK("#Roadmap!C"&amp; MATCH($E154,Roadmap!$D:$D,0)+COUNTIF($E154:AB154,"u")+COUNTIF($E154:AB154,"t")+COUNTIF($E154:AB154,"¶")+COUNTIF($E154:AB154,"²")+COUNTIF($E154:AB154,"µ")+COUNTIF($E154:AB154,1)-1,INDEX(Roadmap!$D:$K,MATCH($E154,Roadmap!$D:$D,0)-1+COUNTIF($E154:AB154,"u")+COUNTIF($E154:AB154,"t")+COUNTIF($E154:AB154,"¶")+COUNTIF($E154:AB154,"²")+COUNTIF($E154:AB154,"µ")+COUNTIF($E154:AB154,1),ColDescriptionCourte)),""),
  "")),"")</f>
        <v/>
      </c>
      <c r="AD154" s="40" t="str">
        <f ca="1">IFERROR(IF(AND(
  INDEX(Roadmap!$D:$K,MATCH($E154,Roadmap!$D:$D,0)+COUNTIF($E154:AC154,"u")+COUNTIF($E154:AC154,"t")+COUNTIF($E154:AC154,"¶")+COUNTIF($E154:AC154,"²")+COUNTIF($E154:AC154,"µ")+COUNTIF($E154:AC154,1),ColLivraison)=AD$6,
  VLOOKUP($E154,INDIRECT("tri!"&amp; CHAR(64+ C0Col) &amp;":"&amp; CHAR(65+C0Col)),2,FALSE)&gt;COUNTIF($E154:AC154,"u")+COUNTIF($E154:AC154,"t")+COUNTIF($E154:AC154,"¶")+COUNTIF($E154:AC154,"²")+COUNTIF($E154:AC154,"µ")+COUNTIF($E154:AC154,1)),
HYPERLINK("#Roadmap!C"&amp; MATCH($E154,Roadmap!$D:$D,0)+COUNTIF($E154:AC154,"u")+COUNTIF($E154:AC154,"t"),
     INDEX(Roadmap!$D:$K,MATCH($E154,Roadmap!$D:$D,0)+COUNTIF($E154:AC154,"u")+COUNTIF($E154:AC154,"t")+COUNTIF($E154:AC154,"¶")+COUNTIF($E154:AC154,"²")+COUNTIF($E154:AC154,"µ")+COUNTIF($E154:AC154,1),ColTypeEcheance)),
  IF(LEN(AC154)=1,
  IF(LEN(INDEX(Roadmap!$D:$K,MATCH($E154,Roadmap!$D:$D,0)-1+COUNTIF($E154:AC154,"u")+COUNTIF($E154:AC154,"t")+COUNTIF($E154:AC154,"¶")+COUNTIF($E154:AC154,"²")+COUNTIF($E154:AC154,"µ")+COUNTIF($E154:AC154,1),ColDescriptionCourte))&gt;1,
HYPERLINK("#Roadmap!C"&amp; MATCH($E154,Roadmap!$D:$D,0)+COUNTIF($E154:AC154,"u")+COUNTIF($E154:AC154,"t")+COUNTIF($E154:AC154,"¶")+COUNTIF($E154:AC154,"²")+COUNTIF($E154:AC154,"µ")+COUNTIF($E154:AC154,1)-1,INDEX(Roadmap!$D:$K,MATCH($E154,Roadmap!$D:$D,0)-1+COUNTIF($E154:AC154,"u")+COUNTIF($E154:AC154,"t")+COUNTIF($E154:AC154,"¶")+COUNTIF($E154:AC154,"²")+COUNTIF($E154:AC154,"µ")+COUNTIF($E154:AC154,1),ColDescriptionCourte)),""),
  "")),"")</f>
        <v/>
      </c>
      <c r="AE154" s="40" t="str">
        <f ca="1">IFERROR(IF(AND(
  INDEX(Roadmap!$D:$K,MATCH($E154,Roadmap!$D:$D,0)+COUNTIF($E154:AD154,"u")+COUNTIF($E154:AD154,"t")+COUNTIF($E154:AD154,"¶")+COUNTIF($E154:AD154,"²")+COUNTIF($E154:AD154,"µ")+COUNTIF($E154:AD154,1),ColLivraison)=AE$6,
  VLOOKUP($E154,INDIRECT("tri!"&amp; CHAR(64+ C0Col) &amp;":"&amp; CHAR(65+C0Col)),2,FALSE)&gt;COUNTIF($E154:AD154,"u")+COUNTIF($E154:AD154,"t")+COUNTIF($E154:AD154,"¶")+COUNTIF($E154:AD154,"²")+COUNTIF($E154:AD154,"µ")+COUNTIF($E154:AD154,1)),
HYPERLINK("#Roadmap!C"&amp; MATCH($E154,Roadmap!$D:$D,0)+COUNTIF($E154:AD154,"u")+COUNTIF($E154:AD154,"t"),
     INDEX(Roadmap!$D:$K,MATCH($E154,Roadmap!$D:$D,0)+COUNTIF($E154:AD154,"u")+COUNTIF($E154:AD154,"t")+COUNTIF($E154:AD154,"¶")+COUNTIF($E154:AD154,"²")+COUNTIF($E154:AD154,"µ")+COUNTIF($E154:AD154,1),ColTypeEcheance)),
  IF(LEN(AD154)=1,
  IF(LEN(INDEX(Roadmap!$D:$K,MATCH($E154,Roadmap!$D:$D,0)-1+COUNTIF($E154:AD154,"u")+COUNTIF($E154:AD154,"t")+COUNTIF($E154:AD154,"¶")+COUNTIF($E154:AD154,"²")+COUNTIF($E154:AD154,"µ")+COUNTIF($E154:AD154,1),ColDescriptionCourte))&gt;1,
HYPERLINK("#Roadmap!C"&amp; MATCH($E154,Roadmap!$D:$D,0)+COUNTIF($E154:AD154,"u")+COUNTIF($E154:AD154,"t")+COUNTIF($E154:AD154,"¶")+COUNTIF($E154:AD154,"²")+COUNTIF($E154:AD154,"µ")+COUNTIF($E154:AD154,1)-1,INDEX(Roadmap!$D:$K,MATCH($E154,Roadmap!$D:$D,0)-1+COUNTIF($E154:AD154,"u")+COUNTIF($E154:AD154,"t")+COUNTIF($E154:AD154,"¶")+COUNTIF($E154:AD154,"²")+COUNTIF($E154:AD154,"µ")+COUNTIF($E154:AD154,1),ColDescriptionCourte)),""),
  "")),"")</f>
        <v/>
      </c>
      <c r="AF154" s="40" t="str">
        <f ca="1">IFERROR(IF(AND(
  INDEX(Roadmap!$D:$K,MATCH($E154,Roadmap!$D:$D,0)+COUNTIF($E154:AE154,"u")+COUNTIF($E154:AE154,"t")+COUNTIF($E154:AE154,"¶")+COUNTIF($E154:AE154,"²")+COUNTIF($E154:AE154,"µ")+COUNTIF($E154:AE154,1),ColLivraison)=AF$6,
  VLOOKUP($E154,INDIRECT("tri!"&amp; CHAR(64+ C0Col) &amp;":"&amp; CHAR(65+C0Col)),2,FALSE)&gt;COUNTIF($E154:AE154,"u")+COUNTIF($E154:AE154,"t")+COUNTIF($E154:AE154,"¶")+COUNTIF($E154:AE154,"²")+COUNTIF($E154:AE154,"µ")+COUNTIF($E154:AE154,1)),
HYPERLINK("#Roadmap!C"&amp; MATCH($E154,Roadmap!$D:$D,0)+COUNTIF($E154:AE154,"u")+COUNTIF($E154:AE154,"t"),
     INDEX(Roadmap!$D:$K,MATCH($E154,Roadmap!$D:$D,0)+COUNTIF($E154:AE154,"u")+COUNTIF($E154:AE154,"t")+COUNTIF($E154:AE154,"¶")+COUNTIF($E154:AE154,"²")+COUNTIF($E154:AE154,"µ")+COUNTIF($E154:AE154,1),ColTypeEcheance)),
  IF(LEN(AE154)=1,
  IF(LEN(INDEX(Roadmap!$D:$K,MATCH($E154,Roadmap!$D:$D,0)-1+COUNTIF($E154:AE154,"u")+COUNTIF($E154:AE154,"t")+COUNTIF($E154:AE154,"¶")+COUNTIF($E154:AE154,"²")+COUNTIF($E154:AE154,"µ")+COUNTIF($E154:AE154,1),ColDescriptionCourte))&gt;1,
HYPERLINK("#Roadmap!C"&amp; MATCH($E154,Roadmap!$D:$D,0)+COUNTIF($E154:AE154,"u")+COUNTIF($E154:AE154,"t")+COUNTIF($E154:AE154,"¶")+COUNTIF($E154:AE154,"²")+COUNTIF($E154:AE154,"µ")+COUNTIF($E154:AE154,1)-1,INDEX(Roadmap!$D:$K,MATCH($E154,Roadmap!$D:$D,0)-1+COUNTIF($E154:AE154,"u")+COUNTIF($E154:AE154,"t")+COUNTIF($E154:AE154,"¶")+COUNTIF($E154:AE154,"²")+COUNTIF($E154:AE154,"µ")+COUNTIF($E154:AE154,1),ColDescriptionCourte)),""),
  "")),"")</f>
        <v/>
      </c>
      <c r="AG154" s="40" t="str">
        <f ca="1">IFERROR(IF(AND(
  INDEX(Roadmap!$D:$K,MATCH($E154,Roadmap!$D:$D,0)+COUNTIF($E154:AF154,"u")+COUNTIF($E154:AF154,"t")+COUNTIF($E154:AF154,"¶")+COUNTIF($E154:AF154,"²")+COUNTIF($E154:AF154,"µ")+COUNTIF($E154:AF154,1),ColLivraison)=AG$6,
  VLOOKUP($E154,INDIRECT("tri!"&amp; CHAR(64+ C0Col) &amp;":"&amp; CHAR(65+C0Col)),2,FALSE)&gt;COUNTIF($E154:AF154,"u")+COUNTIF($E154:AF154,"t")+COUNTIF($E154:AF154,"¶")+COUNTIF($E154:AF154,"²")+COUNTIF($E154:AF154,"µ")+COUNTIF($E154:AF154,1)),
HYPERLINK("#Roadmap!C"&amp; MATCH($E154,Roadmap!$D:$D,0)+COUNTIF($E154:AF154,"u")+COUNTIF($E154:AF154,"t"),
     INDEX(Roadmap!$D:$K,MATCH($E154,Roadmap!$D:$D,0)+COUNTIF($E154:AF154,"u")+COUNTIF($E154:AF154,"t")+COUNTIF($E154:AF154,"¶")+COUNTIF($E154:AF154,"²")+COUNTIF($E154:AF154,"µ")+COUNTIF($E154:AF154,1),ColTypeEcheance)),
  IF(LEN(AF154)=1,
  IF(LEN(INDEX(Roadmap!$D:$K,MATCH($E154,Roadmap!$D:$D,0)-1+COUNTIF($E154:AF154,"u")+COUNTIF($E154:AF154,"t")+COUNTIF($E154:AF154,"¶")+COUNTIF($E154:AF154,"²")+COUNTIF($E154:AF154,"µ")+COUNTIF($E154:AF154,1),ColDescriptionCourte))&gt;1,
HYPERLINK("#Roadmap!C"&amp; MATCH($E154,Roadmap!$D:$D,0)+COUNTIF($E154:AF154,"u")+COUNTIF($E154:AF154,"t")+COUNTIF($E154:AF154,"¶")+COUNTIF($E154:AF154,"²")+COUNTIF($E154:AF154,"µ")+COUNTIF($E154:AF154,1)-1,INDEX(Roadmap!$D:$K,MATCH($E154,Roadmap!$D:$D,0)-1+COUNTIF($E154:AF154,"u")+COUNTIF($E154:AF154,"t")+COUNTIF($E154:AF154,"¶")+COUNTIF($E154:AF154,"²")+COUNTIF($E154:AF154,"µ")+COUNTIF($E154:AF154,1),ColDescriptionCourte)),""),
  "")),"")</f>
        <v/>
      </c>
      <c r="AH154" s="40" t="str">
        <f ca="1">IFERROR(IF(AND(
  INDEX(Roadmap!$D:$K,MATCH($E154,Roadmap!$D:$D,0)+COUNTIF($E154:AG154,"u")+COUNTIF($E154:AG154,"t")+COUNTIF($E154:AG154,1),ColLivraison)=AH$6,
  VLOOKUP($E154,INDIRECT("tri!"&amp; CHAR(64+ C0Col) &amp;":"&amp; CHAR(65+C0Col)),2,FALSE)&gt;COUNTIF($E154:AG154,"u")+COUNTIF($E154:AG154,"t")+COUNTIF($E154:AG154,1)),
HYPERLINK("#Roadmap!C"&amp; MATCH($E154,Roadmap!$D:$D,0)+COUNTIF($E154:AG154,"u")+COUNTIF($E154:AG154,"t"),
     INDEX(Roadmap!$D:$K,MATCH($E154,Roadmap!$D:$D,0)+COUNTIF($E154:AG154,"u")+COUNTIF($E154:AG154,"t")+COUNTIF($E154:AG154,1),ColTypeEcheance)),
  IF(OR(AG154="u",AG154="t",AG154=1),
  IF(LEN(INDEX(Roadmap!$D:$K,MATCH($E154,Roadmap!$D:$D,0)-1+COUNTIF($E154:AG154,"u")+COUNTIF($E154:AG154,"t")+COUNTIF($E154:AG154,1),ColDescriptionCourte))&gt;1,
HYPERLINK("#Roadmap!C"&amp; MATCH($E154,Roadmap!$D:$D,0)+COUNTIF($E154:AG154,"u")+COUNTIF($E154:AG154,"t")+COUNTIF($E154:AG154,1)-1,INDEX(Roadmap!$D:$K,MATCH($E154,Roadmap!$D:$D,0)-1+COUNTIF($E154:AG154,"u")+COUNTIF($E154:AG154,"t")+COUNTIF($E154:AG154,1),ColDescriptionCourte)),""),
  "")),"")</f>
        <v/>
      </c>
      <c r="AI154" s="40"/>
      <c r="AJ154" s="40"/>
      <c r="AK154" s="40"/>
      <c r="AL154" s="40"/>
      <c r="AM154" s="40"/>
    </row>
    <row r="155" spans="4:39" ht="14.1" customHeight="1">
      <c r="D155" s="20" t="str">
        <f t="shared" ca="1" si="31"/>
        <v/>
      </c>
      <c r="E155" s="53" t="str">
        <f t="shared" ca="1" si="32"/>
        <v/>
      </c>
      <c r="F155" s="39" t="str">
        <f ca="1">IFERROR(IF(AND(
  INDEX(Roadmap!$D:$K,MATCH($E155,Roadmap!$D:$D,0)+COUNTIF($E155:E155,"u")+COUNTIF($E155:E155,"t")+COUNTIF($E155:E155,"¶")+COUNTIF($E155:E155,"²")+COUNTIF($E155:E155,"µ")+COUNTIF($E155:E155,1),ColLivraison)=F$6,
  VLOOKUP($E155,INDIRECT("tri!"&amp; CHAR(64+ C0Col) &amp;":"&amp; CHAR(65+C0Col)),2,FALSE)&gt;COUNTIF($E155:E155,"u")+COUNTIF($E155:E155,"t")+COUNTIF($E155:E155,"¶")+COUNTIF($E155:E155,"²")+COUNTIF($E155:E155,"µ")+COUNTIF($E155:E155,1)),
HYPERLINK("#Roadmap!C"&amp; MATCH($E155,Roadmap!$D:$D,0)+COUNTIF($E155:E155,"u")+COUNTIF($E155:E155,"t"),
     INDEX(Roadmap!$D:$K,MATCH($E155,Roadmap!$D:$D,0)+COUNTIF($E155:E155,"u")+COUNTIF($E155:E155,"t")+COUNTIF($E155:E155,"¶")+COUNTIF($E155:E155,"²")+COUNTIF($E155:E155,"µ")+COUNTIF($E155:E155,1),ColTypeEcheance)),
  IF(LEN(E155)=1,
  IF(LEN(INDEX(Roadmap!$D:$K,MATCH($E155,Roadmap!$D:$D,0)-1+COUNTIF($E155:E155,"u")+COUNTIF($E155:E155,"t")+COUNTIF($E155:E155,"¶")+COUNTIF($E155:E155,"²")+COUNTIF($E155:E155,"µ")+COUNTIF($E155:E155,1),ColDescriptionCourte))&gt;1,
HYPERLINK("#Roadmap!C"&amp; MATCH($E155,Roadmap!$D:$D,0)+COUNTIF($E155:E155,"u")+COUNTIF($E155:E155,"t")+COUNTIF($E155:E155,"¶")+COUNTIF($E155:E155,"²")+COUNTIF($E155:E155,"µ")+COUNTIF($E155:E155,1)-1,INDEX(Roadmap!$D:$K,MATCH($E155,Roadmap!$D:$D,0)-1+COUNTIF($E155:E155,"u")+COUNTIF($E155:E155,"t")+COUNTIF($E155:E155,"¶")+COUNTIF($E155:E155,"²")+COUNTIF($E155:E155,"µ")+COUNTIF($E155:E155,1),ColDescriptionCourte)),""),
  "")),"")</f>
        <v/>
      </c>
      <c r="G155" s="40" t="str">
        <f ca="1">IFERROR(IF(AND(
  INDEX(Roadmap!$D:$K,MATCH($E155,Roadmap!$D:$D,0)+COUNTIF($E155:F155,"u")+COUNTIF($E155:F155,"t")+COUNTIF($E155:F155,"¶")+COUNTIF($E155:F155,"²")+COUNTIF($E155:F155,"µ")+COUNTIF($E155:F155,1),ColLivraison)=G$6,
  VLOOKUP($E155,INDIRECT("tri!"&amp; CHAR(64+ C0Col) &amp;":"&amp; CHAR(65+C0Col)),2,FALSE)&gt;COUNTIF($E155:F155,"u")+COUNTIF($E155:F155,"t")+COUNTIF($E155:F155,"¶")+COUNTIF($E155:F155,"²")+COUNTIF($E155:F155,"µ")+COUNTIF($E155:F155,1)),
HYPERLINK("#Roadmap!C"&amp; MATCH($E155,Roadmap!$D:$D,0)+COUNTIF($E155:F155,"u")+COUNTIF($E155:F155,"t"),
     INDEX(Roadmap!$D:$K,MATCH($E155,Roadmap!$D:$D,0)+COUNTIF($E155:F155,"u")+COUNTIF($E155:F155,"t")+COUNTIF($E155:F155,"¶")+COUNTIF($E155:F155,"²")+COUNTIF($E155:F155,"µ")+COUNTIF($E155:F155,1),ColTypeEcheance)),
  IF(LEN(F155)=1,
  IF(LEN(INDEX(Roadmap!$D:$K,MATCH($E155,Roadmap!$D:$D,0)-1+COUNTIF($E155:F155,"u")+COUNTIF($E155:F155,"t")+COUNTIF($E155:F155,"¶")+COUNTIF($E155:F155,"²")+COUNTIF($E155:F155,"µ")+COUNTIF($E155:F155,1),ColDescriptionCourte))&gt;1,
HYPERLINK("#Roadmap!C"&amp; MATCH($E155,Roadmap!$D:$D,0)+COUNTIF($E155:F155,"u")+COUNTIF($E155:F155,"t")+COUNTIF($E155:F155,"¶")+COUNTIF($E155:F155,"²")+COUNTIF($E155:F155,"µ")+COUNTIF($E155:F155,1)-1,INDEX(Roadmap!$D:$K,MATCH($E155,Roadmap!$D:$D,0)-1+COUNTIF($E155:F155,"u")+COUNTIF($E155:F155,"t")+COUNTIF($E155:F155,"¶")+COUNTIF($E155:F155,"²")+COUNTIF($E155:F155,"µ")+COUNTIF($E155:F155,1),ColDescriptionCourte)),""),
  "")),"")</f>
        <v/>
      </c>
      <c r="H155" s="40" t="str">
        <f ca="1">IFERROR(IF(AND(
  INDEX(Roadmap!$D:$K,MATCH($E155,Roadmap!$D:$D,0)+COUNTIF($E155:G155,"u")+COUNTIF($E155:G155,"t")+COUNTIF($E155:G155,"¶")+COUNTIF($E155:G155,"²")+COUNTIF($E155:G155,"µ")+COUNTIF($E155:G155,1),ColLivraison)=H$6,
  VLOOKUP($E155,INDIRECT("tri!"&amp; CHAR(64+ C0Col) &amp;":"&amp; CHAR(65+C0Col)),2,FALSE)&gt;COUNTIF($E155:G155,"u")+COUNTIF($E155:G155,"t")+COUNTIF($E155:G155,"¶")+COUNTIF($E155:G155,"²")+COUNTIF($E155:G155,"µ")+COUNTIF($E155:G155,1)),
HYPERLINK("#Roadmap!C"&amp; MATCH($E155,Roadmap!$D:$D,0)+COUNTIF($E155:G155,"u")+COUNTIF($E155:G155,"t"),
     INDEX(Roadmap!$D:$K,MATCH($E155,Roadmap!$D:$D,0)+COUNTIF($E155:G155,"u")+COUNTIF($E155:G155,"t")+COUNTIF($E155:G155,"¶")+COUNTIF($E155:G155,"²")+COUNTIF($E155:G155,"µ")+COUNTIF($E155:G155,1),ColTypeEcheance)),
  IF(LEN(G155)=1,
  IF(LEN(INDEX(Roadmap!$D:$K,MATCH($E155,Roadmap!$D:$D,0)-1+COUNTIF($E155:G155,"u")+COUNTIF($E155:G155,"t")+COUNTIF($E155:G155,"¶")+COUNTIF($E155:G155,"²")+COUNTIF($E155:G155,"µ")+COUNTIF($E155:G155,1),ColDescriptionCourte))&gt;1,
HYPERLINK("#Roadmap!C"&amp; MATCH($E155,Roadmap!$D:$D,0)+COUNTIF($E155:G155,"u")+COUNTIF($E155:G155,"t")+COUNTIF($E155:G155,"¶")+COUNTIF($E155:G155,"²")+COUNTIF($E155:G155,"µ")+COUNTIF($E155:G155,1)-1,INDEX(Roadmap!$D:$K,MATCH($E155,Roadmap!$D:$D,0)-1+COUNTIF($E155:G155,"u")+COUNTIF($E155:G155,"t")+COUNTIF($E155:G155,"¶")+COUNTIF($E155:G155,"²")+COUNTIF($E155:G155,"µ")+COUNTIF($E155:G155,1),ColDescriptionCourte)),""),
  "")),"")</f>
        <v/>
      </c>
      <c r="I155" s="40" t="str">
        <f ca="1">IFERROR(IF(AND(
  INDEX(Roadmap!$D:$K,MATCH($E155,Roadmap!$D:$D,0)+COUNTIF($E155:H155,"u")+COUNTIF($E155:H155,"t")+COUNTIF($E155:H155,"¶")+COUNTIF($E155:H155,"²")+COUNTIF($E155:H155,"µ")+COUNTIF($E155:H155,1),ColLivraison)=I$6,
  VLOOKUP($E155,INDIRECT("tri!"&amp; CHAR(64+ C0Col) &amp;":"&amp; CHAR(65+C0Col)),2,FALSE)&gt;COUNTIF($E155:H155,"u")+COUNTIF($E155:H155,"t")+COUNTIF($E155:H155,"¶")+COUNTIF($E155:H155,"²")+COUNTIF($E155:H155,"µ")+COUNTIF($E155:H155,1)),
HYPERLINK("#Roadmap!C"&amp; MATCH($E155,Roadmap!$D:$D,0)+COUNTIF($E155:H155,"u")+COUNTIF($E155:H155,"t"),
     INDEX(Roadmap!$D:$K,MATCH($E155,Roadmap!$D:$D,0)+COUNTIF($E155:H155,"u")+COUNTIF($E155:H155,"t")+COUNTIF($E155:H155,"¶")+COUNTIF($E155:H155,"²")+COUNTIF($E155:H155,"µ")+COUNTIF($E155:H155,1),ColTypeEcheance)),
  IF(LEN(H155)=1,
  IF(LEN(INDEX(Roadmap!$D:$K,MATCH($E155,Roadmap!$D:$D,0)-1+COUNTIF($E155:H155,"u")+COUNTIF($E155:H155,"t")+COUNTIF($E155:H155,"¶")+COUNTIF($E155:H155,"²")+COUNTIF($E155:H155,"µ")+COUNTIF($E155:H155,1),ColDescriptionCourte))&gt;1,
HYPERLINK("#Roadmap!C"&amp; MATCH($E155,Roadmap!$D:$D,0)+COUNTIF($E155:H155,"u")+COUNTIF($E155:H155,"t")+COUNTIF($E155:H155,"¶")+COUNTIF($E155:H155,"²")+COUNTIF($E155:H155,"µ")+COUNTIF($E155:H155,1)-1,INDEX(Roadmap!$D:$K,MATCH($E155,Roadmap!$D:$D,0)-1+COUNTIF($E155:H155,"u")+COUNTIF($E155:H155,"t")+COUNTIF($E155:H155,"¶")+COUNTIF($E155:H155,"²")+COUNTIF($E155:H155,"µ")+COUNTIF($E155:H155,1),ColDescriptionCourte)),""),
  "")),"")</f>
        <v/>
      </c>
      <c r="J155" s="40" t="str">
        <f ca="1">IFERROR(IF(AND(
  INDEX(Roadmap!$D:$K,MATCH($E155,Roadmap!$D:$D,0)+COUNTIF($E155:I155,"u")+COUNTIF($E155:I155,"t")+COUNTIF($E155:I155,"¶")+COUNTIF($E155:I155,"²")+COUNTIF($E155:I155,"µ")+COUNTIF($E155:I155,1),ColLivraison)=J$6,
  VLOOKUP($E155,INDIRECT("tri!"&amp; CHAR(64+ C0Col) &amp;":"&amp; CHAR(65+C0Col)),2,FALSE)&gt;COUNTIF($E155:I155,"u")+COUNTIF($E155:I155,"t")+COUNTIF($E155:I155,"¶")+COUNTIF($E155:I155,"²")+COUNTIF($E155:I155,"µ")+COUNTIF($E155:I155,1)),
HYPERLINK("#Roadmap!C"&amp; MATCH($E155,Roadmap!$D:$D,0)+COUNTIF($E155:I155,"u")+COUNTIF($E155:I155,"t"),
     INDEX(Roadmap!$D:$K,MATCH($E155,Roadmap!$D:$D,0)+COUNTIF($E155:I155,"u")+COUNTIF($E155:I155,"t")+COUNTIF($E155:I155,"¶")+COUNTIF($E155:I155,"²")+COUNTIF($E155:I155,"µ")+COUNTIF($E155:I155,1),ColTypeEcheance)),
  IF(LEN(I155)=1,
  IF(LEN(INDEX(Roadmap!$D:$K,MATCH($E155,Roadmap!$D:$D,0)-1+COUNTIF($E155:I155,"u")+COUNTIF($E155:I155,"t")+COUNTIF($E155:I155,"¶")+COUNTIF($E155:I155,"²")+COUNTIF($E155:I155,"µ")+COUNTIF($E155:I155,1),ColDescriptionCourte))&gt;1,
HYPERLINK("#Roadmap!C"&amp; MATCH($E155,Roadmap!$D:$D,0)+COUNTIF($E155:I155,"u")+COUNTIF($E155:I155,"t")+COUNTIF($E155:I155,"¶")+COUNTIF($E155:I155,"²")+COUNTIF($E155:I155,"µ")+COUNTIF($E155:I155,1)-1,INDEX(Roadmap!$D:$K,MATCH($E155,Roadmap!$D:$D,0)-1+COUNTIF($E155:I155,"u")+COUNTIF($E155:I155,"t")+COUNTIF($E155:I155,"¶")+COUNTIF($E155:I155,"²")+COUNTIF($E155:I155,"µ")+COUNTIF($E155:I155,1),ColDescriptionCourte)),""),
  "")),"")</f>
        <v/>
      </c>
      <c r="K155" s="40" t="str">
        <f ca="1">IFERROR(IF(AND(
  INDEX(Roadmap!$D:$K,MATCH($E155,Roadmap!$D:$D,0)+COUNTIF($E155:J155,"u")+COUNTIF($E155:J155,"t")+COUNTIF($E155:J155,"¶")+COUNTIF($E155:J155,"²")+COUNTIF($E155:J155,"µ")+COUNTIF($E155:J155,1),ColLivraison)=K$6,
  VLOOKUP($E155,INDIRECT("tri!"&amp; CHAR(64+ C0Col) &amp;":"&amp; CHAR(65+C0Col)),2,FALSE)&gt;COUNTIF($E155:J155,"u")+COUNTIF($E155:J155,"t")+COUNTIF($E155:J155,"¶")+COUNTIF($E155:J155,"²")+COUNTIF($E155:J155,"µ")+COUNTIF($E155:J155,1)),
HYPERLINK("#Roadmap!C"&amp; MATCH($E155,Roadmap!$D:$D,0)+COUNTIF($E155:J155,"u")+COUNTIF($E155:J155,"t"),
     INDEX(Roadmap!$D:$K,MATCH($E155,Roadmap!$D:$D,0)+COUNTIF($E155:J155,"u")+COUNTIF($E155:J155,"t")+COUNTIF($E155:J155,"¶")+COUNTIF($E155:J155,"²")+COUNTIF($E155:J155,"µ")+COUNTIF($E155:J155,1),ColTypeEcheance)),
  IF(LEN(J155)=1,
  IF(LEN(INDEX(Roadmap!$D:$K,MATCH($E155,Roadmap!$D:$D,0)-1+COUNTIF($E155:J155,"u")+COUNTIF($E155:J155,"t")+COUNTIF($E155:J155,"¶")+COUNTIF($E155:J155,"²")+COUNTIF($E155:J155,"µ")+COUNTIF($E155:J155,1),ColDescriptionCourte))&gt;1,
HYPERLINK("#Roadmap!C"&amp; MATCH($E155,Roadmap!$D:$D,0)+COUNTIF($E155:J155,"u")+COUNTIF($E155:J155,"t")+COUNTIF($E155:J155,"¶")+COUNTIF($E155:J155,"²")+COUNTIF($E155:J155,"µ")+COUNTIF($E155:J155,1)-1,INDEX(Roadmap!$D:$K,MATCH($E155,Roadmap!$D:$D,0)-1+COUNTIF($E155:J155,"u")+COUNTIF($E155:J155,"t")+COUNTIF($E155:J155,"¶")+COUNTIF($E155:J155,"²")+COUNTIF($E155:J155,"µ")+COUNTIF($E155:J155,1),ColDescriptionCourte)),""),
  "")),"")</f>
        <v/>
      </c>
      <c r="L155" s="39" t="str">
        <f ca="1">IFERROR(IF(AND(
  INDEX(Roadmap!$D:$K,MATCH($E155,Roadmap!$D:$D,0)+COUNTIF($E155:K155,"u")+COUNTIF($E155:K155,"t")+COUNTIF($E155:K155,"¶")+COUNTIF($E155:K155,"²")+COUNTIF($E155:K155,"µ")+COUNTIF($E155:K155,1),ColLivraison)=L$6,
  VLOOKUP($E155,INDIRECT("tri!"&amp; CHAR(64+ C0Col) &amp;":"&amp; CHAR(65+C0Col)),2,FALSE)&gt;COUNTIF($E155:K155,"u")+COUNTIF($E155:K155,"t")+COUNTIF($E155:K155,"¶")+COUNTIF($E155:K155,"²")+COUNTIF($E155:K155,"µ")+COUNTIF($E155:K155,1)),
HYPERLINK("#Roadmap!C"&amp; MATCH($E155,Roadmap!$D:$D,0)+COUNTIF($E155:K155,"u")+COUNTIF($E155:K155,"t"),
     INDEX(Roadmap!$D:$K,MATCH($E155,Roadmap!$D:$D,0)+COUNTIF($E155:K155,"u")+COUNTIF($E155:K155,"t")+COUNTIF($E155:K155,"¶")+COUNTIF($E155:K155,"²")+COUNTIF($E155:K155,"µ")+COUNTIF($E155:K155,1),ColTypeEcheance)),
  IF(LEN(K155)=1,
  IF(LEN(INDEX(Roadmap!$D:$K,MATCH($E155,Roadmap!$D:$D,0)-1+COUNTIF($E155:K155,"u")+COUNTIF($E155:K155,"t")+COUNTIF($E155:K155,"¶")+COUNTIF($E155:K155,"²")+COUNTIF($E155:K155,"µ")+COUNTIF($E155:K155,1),ColDescriptionCourte))&gt;1,
HYPERLINK("#Roadmap!C"&amp; MATCH($E155,Roadmap!$D:$D,0)+COUNTIF($E155:K155,"u")+COUNTIF($E155:K155,"t")+COUNTIF($E155:K155,"¶")+COUNTIF($E155:K155,"²")+COUNTIF($E155:K155,"µ")+COUNTIF($E155:K155,1)-1,INDEX(Roadmap!$D:$K,MATCH($E155,Roadmap!$D:$D,0)-1+COUNTIF($E155:K155,"u")+COUNTIF($E155:K155,"t")+COUNTIF($E155:K155,"¶")+COUNTIF($E155:K155,"²")+COUNTIF($E155:K155,"µ")+COUNTIF($E155:K155,1),ColDescriptionCourte)),""),
  "")),"")</f>
        <v/>
      </c>
      <c r="M155" s="40" t="str">
        <f ca="1">IFERROR(IF(AND(
  INDEX(Roadmap!$D:$K,MATCH($E155,Roadmap!$D:$D,0)+COUNTIF($E155:L155,"u")+COUNTIF($E155:L155,"t")+COUNTIF($E155:L155,"¶")+COUNTIF($E155:L155,"²")+COUNTIF($E155:L155,"µ")+COUNTIF($E155:L155,1),ColLivraison)=M$6,
  VLOOKUP($E155,INDIRECT("tri!"&amp; CHAR(64+ C0Col) &amp;":"&amp; CHAR(65+C0Col)),2,FALSE)&gt;COUNTIF($E155:L155,"u")+COUNTIF($E155:L155,"t")+COUNTIF($E155:L155,"¶")+COUNTIF($E155:L155,"²")+COUNTIF($E155:L155,"µ")+COUNTIF($E155:L155,1)),
HYPERLINK("#Roadmap!C"&amp; MATCH($E155,Roadmap!$D:$D,0)+COUNTIF($E155:L155,"u")+COUNTIF($E155:L155,"t"),
     INDEX(Roadmap!$D:$K,MATCH($E155,Roadmap!$D:$D,0)+COUNTIF($E155:L155,"u")+COUNTIF($E155:L155,"t")+COUNTIF($E155:L155,"¶")+COUNTIF($E155:L155,"²")+COUNTIF($E155:L155,"µ")+COUNTIF($E155:L155,1),ColTypeEcheance)),
  IF(LEN(L155)=1,
  IF(LEN(INDEX(Roadmap!$D:$K,MATCH($E155,Roadmap!$D:$D,0)-1+COUNTIF($E155:L155,"u")+COUNTIF($E155:L155,"t")+COUNTIF($E155:L155,"¶")+COUNTIF($E155:L155,"²")+COUNTIF($E155:L155,"µ")+COUNTIF($E155:L155,1),ColDescriptionCourte))&gt;1,
HYPERLINK("#Roadmap!C"&amp; MATCH($E155,Roadmap!$D:$D,0)+COUNTIF($E155:L155,"u")+COUNTIF($E155:L155,"t")+COUNTIF($E155:L155,"¶")+COUNTIF($E155:L155,"²")+COUNTIF($E155:L155,"µ")+COUNTIF($E155:L155,1)-1,INDEX(Roadmap!$D:$K,MATCH($E155,Roadmap!$D:$D,0)-1+COUNTIF($E155:L155,"u")+COUNTIF($E155:L155,"t")+COUNTIF($E155:L155,"¶")+COUNTIF($E155:L155,"²")+COUNTIF($E155:L155,"µ")+COUNTIF($E155:L155,1),ColDescriptionCourte)),""),
  "")),"")</f>
        <v/>
      </c>
      <c r="N155" s="40" t="str">
        <f ca="1">IFERROR(IF(AND(
  INDEX(Roadmap!$D:$K,MATCH($E155,Roadmap!$D:$D,0)+COUNTIF($E155:M155,"u")+COUNTIF($E155:M155,"t")+COUNTIF($E155:M155,"¶")+COUNTIF($E155:M155,"²")+COUNTIF($E155:M155,"µ")+COUNTIF($E155:M155,1),ColLivraison)=N$6,
  VLOOKUP($E155,INDIRECT("tri!"&amp; CHAR(64+ C0Col) &amp;":"&amp; CHAR(65+C0Col)),2,FALSE)&gt;COUNTIF($E155:M155,"u")+COUNTIF($E155:M155,"t")+COUNTIF($E155:M155,"¶")+COUNTIF($E155:M155,"²")+COUNTIF($E155:M155,"µ")+COUNTIF($E155:M155,1)),
HYPERLINK("#Roadmap!C"&amp; MATCH($E155,Roadmap!$D:$D,0)+COUNTIF($E155:M155,"u")+COUNTIF($E155:M155,"t"),
     INDEX(Roadmap!$D:$K,MATCH($E155,Roadmap!$D:$D,0)+COUNTIF($E155:M155,"u")+COUNTIF($E155:M155,"t")+COUNTIF($E155:M155,"¶")+COUNTIF($E155:M155,"²")+COUNTIF($E155:M155,"µ")+COUNTIF($E155:M155,1),ColTypeEcheance)),
  IF(LEN(M155)=1,
  IF(LEN(INDEX(Roadmap!$D:$K,MATCH($E155,Roadmap!$D:$D,0)-1+COUNTIF($E155:M155,"u")+COUNTIF($E155:M155,"t")+COUNTIF($E155:M155,"¶")+COUNTIF($E155:M155,"²")+COUNTIF($E155:M155,"µ")+COUNTIF($E155:M155,1),ColDescriptionCourte))&gt;1,
HYPERLINK("#Roadmap!C"&amp; MATCH($E155,Roadmap!$D:$D,0)+COUNTIF($E155:M155,"u")+COUNTIF($E155:M155,"t")+COUNTIF($E155:M155,"¶")+COUNTIF($E155:M155,"²")+COUNTIF($E155:M155,"µ")+COUNTIF($E155:M155,1)-1,INDEX(Roadmap!$D:$K,MATCH($E155,Roadmap!$D:$D,0)-1+COUNTIF($E155:M155,"u")+COUNTIF($E155:M155,"t")+COUNTIF($E155:M155,"¶")+COUNTIF($E155:M155,"²")+COUNTIF($E155:M155,"µ")+COUNTIF($E155:M155,1),ColDescriptionCourte)),""),
  "")),"")</f>
        <v/>
      </c>
      <c r="O155" s="40" t="str">
        <f ca="1">IFERROR(IF(AND(
  INDEX(Roadmap!$D:$K,MATCH($E155,Roadmap!$D:$D,0)+COUNTIF($E155:N155,"u")+COUNTIF($E155:N155,"t")+COUNTIF($E155:N155,"¶")+COUNTIF($E155:N155,"²")+COUNTIF($E155:N155,"µ")+COUNTIF($E155:N155,1),ColLivraison)=O$6,
  VLOOKUP($E155,INDIRECT("tri!"&amp; CHAR(64+ C0Col) &amp;":"&amp; CHAR(65+C0Col)),2,FALSE)&gt;COUNTIF($E155:N155,"u")+COUNTIF($E155:N155,"t")+COUNTIF($E155:N155,"¶")+COUNTIF($E155:N155,"²")+COUNTIF($E155:N155,"µ")+COUNTIF($E155:N155,1)),
HYPERLINK("#Roadmap!C"&amp; MATCH($E155,Roadmap!$D:$D,0)+COUNTIF($E155:N155,"u")+COUNTIF($E155:N155,"t"),
     INDEX(Roadmap!$D:$K,MATCH($E155,Roadmap!$D:$D,0)+COUNTIF($E155:N155,"u")+COUNTIF($E155:N155,"t")+COUNTIF($E155:N155,"¶")+COUNTIF($E155:N155,"²")+COUNTIF($E155:N155,"µ")+COUNTIF($E155:N155,1),ColTypeEcheance)),
  IF(LEN(N155)=1,
  IF(LEN(INDEX(Roadmap!$D:$K,MATCH($E155,Roadmap!$D:$D,0)-1+COUNTIF($E155:N155,"u")+COUNTIF($E155:N155,"t")+COUNTIF($E155:N155,"¶")+COUNTIF($E155:N155,"²")+COUNTIF($E155:N155,"µ")+COUNTIF($E155:N155,1),ColDescriptionCourte))&gt;1,
HYPERLINK("#Roadmap!C"&amp; MATCH($E155,Roadmap!$D:$D,0)+COUNTIF($E155:N155,"u")+COUNTIF($E155:N155,"t")+COUNTIF($E155:N155,"¶")+COUNTIF($E155:N155,"²")+COUNTIF($E155:N155,"µ")+COUNTIF($E155:N155,1)-1,INDEX(Roadmap!$D:$K,MATCH($E155,Roadmap!$D:$D,0)-1+COUNTIF($E155:N155,"u")+COUNTIF($E155:N155,"t")+COUNTIF($E155:N155,"¶")+COUNTIF($E155:N155,"²")+COUNTIF($E155:N155,"µ")+COUNTIF($E155:N155,1),ColDescriptionCourte)),""),
  "")),"")</f>
        <v/>
      </c>
      <c r="P155" s="40" t="str">
        <f ca="1">IFERROR(IF(AND(
  INDEX(Roadmap!$D:$K,MATCH($E155,Roadmap!$D:$D,0)+COUNTIF($E155:O155,"u")+COUNTIF($E155:O155,"t")+COUNTIF($E155:O155,"¶")+COUNTIF($E155:O155,"²")+COUNTIF($E155:O155,"µ")+COUNTIF($E155:O155,1),ColLivraison)=P$6,
  VLOOKUP($E155,INDIRECT("tri!"&amp; CHAR(64+ C0Col) &amp;":"&amp; CHAR(65+C0Col)),2,FALSE)&gt;COUNTIF($E155:O155,"u")+COUNTIF($E155:O155,"t")+COUNTIF($E155:O155,"¶")+COUNTIF($E155:O155,"²")+COUNTIF($E155:O155,"µ")+COUNTIF($E155:O155,1)),
HYPERLINK("#Roadmap!C"&amp; MATCH($E155,Roadmap!$D:$D,0)+COUNTIF($E155:O155,"u")+COUNTIF($E155:O155,"t"),
     INDEX(Roadmap!$D:$K,MATCH($E155,Roadmap!$D:$D,0)+COUNTIF($E155:O155,"u")+COUNTIF($E155:O155,"t")+COUNTIF($E155:O155,"¶")+COUNTIF($E155:O155,"²")+COUNTIF($E155:O155,"µ")+COUNTIF($E155:O155,1),ColTypeEcheance)),
  IF(LEN(O155)=1,
  IF(LEN(INDEX(Roadmap!$D:$K,MATCH($E155,Roadmap!$D:$D,0)-1+COUNTIF($E155:O155,"u")+COUNTIF($E155:O155,"t")+COUNTIF($E155:O155,"¶")+COUNTIF($E155:O155,"²")+COUNTIF($E155:O155,"µ")+COUNTIF($E155:O155,1),ColDescriptionCourte))&gt;1,
HYPERLINK("#Roadmap!C"&amp; MATCH($E155,Roadmap!$D:$D,0)+COUNTIF($E155:O155,"u")+COUNTIF($E155:O155,"t")+COUNTIF($E155:O155,"¶")+COUNTIF($E155:O155,"²")+COUNTIF($E155:O155,"µ")+COUNTIF($E155:O155,1)-1,INDEX(Roadmap!$D:$K,MATCH($E155,Roadmap!$D:$D,0)-1+COUNTIF($E155:O155,"u")+COUNTIF($E155:O155,"t")+COUNTIF($E155:O155,"¶")+COUNTIF($E155:O155,"²")+COUNTIF($E155:O155,"µ")+COUNTIF($E155:O155,1),ColDescriptionCourte)),""),
  "")),"")</f>
        <v/>
      </c>
      <c r="Q155" s="40" t="str">
        <f ca="1">IFERROR(IF(AND(
  INDEX(Roadmap!$D:$K,MATCH($E155,Roadmap!$D:$D,0)+COUNTIF($E155:P155,"u")+COUNTIF($E155:P155,"t")+COUNTIF($E155:P155,"¶")+COUNTIF($E155:P155,"²")+COUNTIF($E155:P155,"µ")+COUNTIF($E155:P155,1),ColLivraison)=Q$6,
  VLOOKUP($E155,INDIRECT("tri!"&amp; CHAR(64+ C0Col) &amp;":"&amp; CHAR(65+C0Col)),2,FALSE)&gt;COUNTIF($E155:P155,"u")+COUNTIF($E155:P155,"t")+COUNTIF($E155:P155,"¶")+COUNTIF($E155:P155,"²")+COUNTIF($E155:P155,"µ")+COUNTIF($E155:P155,1)),
HYPERLINK("#Roadmap!C"&amp; MATCH($E155,Roadmap!$D:$D,0)+COUNTIF($E155:P155,"u")+COUNTIF($E155:P155,"t"),
     INDEX(Roadmap!$D:$K,MATCH($E155,Roadmap!$D:$D,0)+COUNTIF($E155:P155,"u")+COUNTIF($E155:P155,"t")+COUNTIF($E155:P155,"¶")+COUNTIF($E155:P155,"²")+COUNTIF($E155:P155,"µ")+COUNTIF($E155:P155,1),ColTypeEcheance)),
  IF(LEN(P155)=1,
  IF(LEN(INDEX(Roadmap!$D:$K,MATCH($E155,Roadmap!$D:$D,0)-1+COUNTIF($E155:P155,"u")+COUNTIF($E155:P155,"t")+COUNTIF($E155:P155,"¶")+COUNTIF($E155:P155,"²")+COUNTIF($E155:P155,"µ")+COUNTIF($E155:P155,1),ColDescriptionCourte))&gt;1,
HYPERLINK("#Roadmap!C"&amp; MATCH($E155,Roadmap!$D:$D,0)+COUNTIF($E155:P155,"u")+COUNTIF($E155:P155,"t")+COUNTIF($E155:P155,"¶")+COUNTIF($E155:P155,"²")+COUNTIF($E155:P155,"µ")+COUNTIF($E155:P155,1)-1,INDEX(Roadmap!$D:$K,MATCH($E155,Roadmap!$D:$D,0)-1+COUNTIF($E155:P155,"u")+COUNTIF($E155:P155,"t")+COUNTIF($E155:P155,"¶")+COUNTIF($E155:P155,"²")+COUNTIF($E155:P155,"µ")+COUNTIF($E155:P155,1),ColDescriptionCourte)),""),
  "")),"")</f>
        <v/>
      </c>
      <c r="R155" s="40" t="str">
        <f ca="1">IFERROR(IF(AND(
  INDEX(Roadmap!$D:$K,MATCH($E155,Roadmap!$D:$D,0)+COUNTIF($E155:Q155,"u")+COUNTIF($E155:Q155,"t")+COUNTIF($E155:Q155,"¶")+COUNTIF($E155:Q155,"²")+COUNTIF($E155:Q155,"µ")+COUNTIF($E155:Q155,1),ColLivraison)=R$6,
  VLOOKUP($E155,INDIRECT("tri!"&amp; CHAR(64+ C0Col) &amp;":"&amp; CHAR(65+C0Col)),2,FALSE)&gt;COUNTIF($E155:Q155,"u")+COUNTIF($E155:Q155,"t")+COUNTIF($E155:Q155,"¶")+COUNTIF($E155:Q155,"²")+COUNTIF($E155:Q155,"µ")+COUNTIF($E155:Q155,1)),
HYPERLINK("#Roadmap!C"&amp; MATCH($E155,Roadmap!$D:$D,0)+COUNTIF($E155:Q155,"u")+COUNTIF($E155:Q155,"t"),
     INDEX(Roadmap!$D:$K,MATCH($E155,Roadmap!$D:$D,0)+COUNTIF($E155:Q155,"u")+COUNTIF($E155:Q155,"t")+COUNTIF($E155:Q155,"¶")+COUNTIF($E155:Q155,"²")+COUNTIF($E155:Q155,"µ")+COUNTIF($E155:Q155,1),ColTypeEcheance)),
  IF(LEN(Q155)=1,
  IF(LEN(INDEX(Roadmap!$D:$K,MATCH($E155,Roadmap!$D:$D,0)-1+COUNTIF($E155:Q155,"u")+COUNTIF($E155:Q155,"t")+COUNTIF($E155:Q155,"¶")+COUNTIF($E155:Q155,"²")+COUNTIF($E155:Q155,"µ")+COUNTIF($E155:Q155,1),ColDescriptionCourte))&gt;1,
HYPERLINK("#Roadmap!C"&amp; MATCH($E155,Roadmap!$D:$D,0)+COUNTIF($E155:Q155,"u")+COUNTIF($E155:Q155,"t")+COUNTIF($E155:Q155,"¶")+COUNTIF($E155:Q155,"²")+COUNTIF($E155:Q155,"µ")+COUNTIF($E155:Q155,1)-1,INDEX(Roadmap!$D:$K,MATCH($E155,Roadmap!$D:$D,0)-1+COUNTIF($E155:Q155,"u")+COUNTIF($E155:Q155,"t")+COUNTIF($E155:Q155,"¶")+COUNTIF($E155:Q155,"²")+COUNTIF($E155:Q155,"µ")+COUNTIF($E155:Q155,1),ColDescriptionCourte)),""),
  "")),"")</f>
        <v/>
      </c>
      <c r="S155" s="40" t="str">
        <f ca="1">IFERROR(IF(AND(
  INDEX(Roadmap!$D:$K,MATCH($E155,Roadmap!$D:$D,0)+COUNTIF($E155:R155,"u")+COUNTIF($E155:R155,"t")+COUNTIF($E155:R155,"¶")+COUNTIF($E155:R155,"²")+COUNTIF($E155:R155,"µ")+COUNTIF($E155:R155,1),ColLivraison)=S$6,
  VLOOKUP($E155,INDIRECT("tri!"&amp; CHAR(64+ C0Col) &amp;":"&amp; CHAR(65+C0Col)),2,FALSE)&gt;COUNTIF($E155:R155,"u")+COUNTIF($E155:R155,"t")+COUNTIF($E155:R155,"¶")+COUNTIF($E155:R155,"²")+COUNTIF($E155:R155,"µ")+COUNTIF($E155:R155,1)),
HYPERLINK("#Roadmap!C"&amp; MATCH($E155,Roadmap!$D:$D,0)+COUNTIF($E155:R155,"u")+COUNTIF($E155:R155,"t"),
     INDEX(Roadmap!$D:$K,MATCH($E155,Roadmap!$D:$D,0)+COUNTIF($E155:R155,"u")+COUNTIF($E155:R155,"t")+COUNTIF($E155:R155,"¶")+COUNTIF($E155:R155,"²")+COUNTIF($E155:R155,"µ")+COUNTIF($E155:R155,1),ColTypeEcheance)),
  IF(LEN(R155)=1,
  IF(LEN(INDEX(Roadmap!$D:$K,MATCH($E155,Roadmap!$D:$D,0)-1+COUNTIF($E155:R155,"u")+COUNTIF($E155:R155,"t")+COUNTIF($E155:R155,"¶")+COUNTIF($E155:R155,"²")+COUNTIF($E155:R155,"µ")+COUNTIF($E155:R155,1),ColDescriptionCourte))&gt;1,
HYPERLINK("#Roadmap!C"&amp; MATCH($E155,Roadmap!$D:$D,0)+COUNTIF($E155:R155,"u")+COUNTIF($E155:R155,"t")+COUNTIF($E155:R155,"¶")+COUNTIF($E155:R155,"²")+COUNTIF($E155:R155,"µ")+COUNTIF($E155:R155,1)-1,INDEX(Roadmap!$D:$K,MATCH($E155,Roadmap!$D:$D,0)-1+COUNTIF($E155:R155,"u")+COUNTIF($E155:R155,"t")+COUNTIF($E155:R155,"¶")+COUNTIF($E155:R155,"²")+COUNTIF($E155:R155,"µ")+COUNTIF($E155:R155,1),ColDescriptionCourte)),""),
  "")),"")</f>
        <v/>
      </c>
      <c r="T155" s="40" t="str">
        <f ca="1">IFERROR(IF(AND(
  INDEX(Roadmap!$D:$K,MATCH($E155,Roadmap!$D:$D,0)+COUNTIF($E155:S155,"u")+COUNTIF($E155:S155,"t")+COUNTIF($E155:S155,"¶")+COUNTIF($E155:S155,"²")+COUNTIF($E155:S155,"µ")+COUNTIF($E155:S155,1),ColLivraison)=T$6,
  VLOOKUP($E155,INDIRECT("tri!"&amp; CHAR(64+ C0Col) &amp;":"&amp; CHAR(65+C0Col)),2,FALSE)&gt;COUNTIF($E155:S155,"u")+COUNTIF($E155:S155,"t")+COUNTIF($E155:S155,"¶")+COUNTIF($E155:S155,"²")+COUNTIF($E155:S155,"µ")+COUNTIF($E155:S155,1)),
HYPERLINK("#Roadmap!C"&amp; MATCH($E155,Roadmap!$D:$D,0)+COUNTIF($E155:S155,"u")+COUNTIF($E155:S155,"t"),
     INDEX(Roadmap!$D:$K,MATCH($E155,Roadmap!$D:$D,0)+COUNTIF($E155:S155,"u")+COUNTIF($E155:S155,"t")+COUNTIF($E155:S155,"¶")+COUNTIF($E155:S155,"²")+COUNTIF($E155:S155,"µ")+COUNTIF($E155:S155,1),ColTypeEcheance)),
  IF(LEN(S155)=1,
  IF(LEN(INDEX(Roadmap!$D:$K,MATCH($E155,Roadmap!$D:$D,0)-1+COUNTIF($E155:S155,"u")+COUNTIF($E155:S155,"t")+COUNTIF($E155:S155,"¶")+COUNTIF($E155:S155,"²")+COUNTIF($E155:S155,"µ")+COUNTIF($E155:S155,1),ColDescriptionCourte))&gt;1,
HYPERLINK("#Roadmap!C"&amp; MATCH($E155,Roadmap!$D:$D,0)+COUNTIF($E155:S155,"u")+COUNTIF($E155:S155,"t")+COUNTIF($E155:S155,"¶")+COUNTIF($E155:S155,"²")+COUNTIF($E155:S155,"µ")+COUNTIF($E155:S155,1)-1,INDEX(Roadmap!$D:$K,MATCH($E155,Roadmap!$D:$D,0)-1+COUNTIF($E155:S155,"u")+COUNTIF($E155:S155,"t")+COUNTIF($E155:S155,"¶")+COUNTIF($E155:S155,"²")+COUNTIF($E155:S155,"µ")+COUNTIF($E155:S155,1),ColDescriptionCourte)),""),
  "")),"")</f>
        <v/>
      </c>
      <c r="U155" s="40" t="str">
        <f ca="1">IFERROR(IF(AND(
  INDEX(Roadmap!$D:$K,MATCH($E155,Roadmap!$D:$D,0)+COUNTIF($E155:T155,"u")+COUNTIF($E155:T155,"t")+COUNTIF($E155:T155,"¶")+COUNTIF($E155:T155,"²")+COUNTIF($E155:T155,"µ")+COUNTIF($E155:T155,1),ColLivraison)=U$6,
  VLOOKUP($E155,INDIRECT("tri!"&amp; CHAR(64+ C0Col) &amp;":"&amp; CHAR(65+C0Col)),2,FALSE)&gt;COUNTIF($E155:T155,"u")+COUNTIF($E155:T155,"t")+COUNTIF($E155:T155,"¶")+COUNTIF($E155:T155,"²")+COUNTIF($E155:T155,"µ")+COUNTIF($E155:T155,1)),
HYPERLINK("#Roadmap!C"&amp; MATCH($E155,Roadmap!$D:$D,0)+COUNTIF($E155:T155,"u")+COUNTIF($E155:T155,"t"),
     INDEX(Roadmap!$D:$K,MATCH($E155,Roadmap!$D:$D,0)+COUNTIF($E155:T155,"u")+COUNTIF($E155:T155,"t")+COUNTIF($E155:T155,"¶")+COUNTIF($E155:T155,"²")+COUNTIF($E155:T155,"µ")+COUNTIF($E155:T155,1),ColTypeEcheance)),
  IF(LEN(T155)=1,
  IF(LEN(INDEX(Roadmap!$D:$K,MATCH($E155,Roadmap!$D:$D,0)-1+COUNTIF($E155:T155,"u")+COUNTIF($E155:T155,"t")+COUNTIF($E155:T155,"¶")+COUNTIF($E155:T155,"²")+COUNTIF($E155:T155,"µ")+COUNTIF($E155:T155,1),ColDescriptionCourte))&gt;1,
HYPERLINK("#Roadmap!C"&amp; MATCH($E155,Roadmap!$D:$D,0)+COUNTIF($E155:T155,"u")+COUNTIF($E155:T155,"t")+COUNTIF($E155:T155,"¶")+COUNTIF($E155:T155,"²")+COUNTIF($E155:T155,"µ")+COUNTIF($E155:T155,1)-1,INDEX(Roadmap!$D:$K,MATCH($E155,Roadmap!$D:$D,0)-1+COUNTIF($E155:T155,"u")+COUNTIF($E155:T155,"t")+COUNTIF($E155:T155,"¶")+COUNTIF($E155:T155,"²")+COUNTIF($E155:T155,"µ")+COUNTIF($E155:T155,1),ColDescriptionCourte)),""),
  "")),"")</f>
        <v/>
      </c>
      <c r="V155" s="40" t="str">
        <f ca="1">IFERROR(IF(AND(
  INDEX(Roadmap!$D:$K,MATCH($E155,Roadmap!$D:$D,0)+COUNTIF($E155:U155,"u")+COUNTIF($E155:U155,"t")+COUNTIF($E155:U155,"¶")+COUNTIF($E155:U155,"²")+COUNTIF($E155:U155,"µ")+COUNTIF($E155:U155,1),ColLivraison)=V$6,
  VLOOKUP($E155,INDIRECT("tri!"&amp; CHAR(64+ C0Col) &amp;":"&amp; CHAR(65+C0Col)),2,FALSE)&gt;COUNTIF($E155:U155,"u")+COUNTIF($E155:U155,"t")+COUNTIF($E155:U155,"¶")+COUNTIF($E155:U155,"²")+COUNTIF($E155:U155,"µ")+COUNTIF($E155:U155,1)),
HYPERLINK("#Roadmap!C"&amp; MATCH($E155,Roadmap!$D:$D,0)+COUNTIF($E155:U155,"u")+COUNTIF($E155:U155,"t"),
     INDEX(Roadmap!$D:$K,MATCH($E155,Roadmap!$D:$D,0)+COUNTIF($E155:U155,"u")+COUNTIF($E155:U155,"t")+COUNTIF($E155:U155,"¶")+COUNTIF($E155:U155,"²")+COUNTIF($E155:U155,"µ")+COUNTIF($E155:U155,1),ColTypeEcheance)),
  IF(LEN(U155)=1,
  IF(LEN(INDEX(Roadmap!$D:$K,MATCH($E155,Roadmap!$D:$D,0)-1+COUNTIF($E155:U155,"u")+COUNTIF($E155:U155,"t")+COUNTIF($E155:U155,"¶")+COUNTIF($E155:U155,"²")+COUNTIF($E155:U155,"µ")+COUNTIF($E155:U155,1),ColDescriptionCourte))&gt;1,
HYPERLINK("#Roadmap!C"&amp; MATCH($E155,Roadmap!$D:$D,0)+COUNTIF($E155:U155,"u")+COUNTIF($E155:U155,"t")+COUNTIF($E155:U155,"¶")+COUNTIF($E155:U155,"²")+COUNTIF($E155:U155,"µ")+COUNTIF($E155:U155,1)-1,INDEX(Roadmap!$D:$K,MATCH($E155,Roadmap!$D:$D,0)-1+COUNTIF($E155:U155,"u")+COUNTIF($E155:U155,"t")+COUNTIF($E155:U155,"¶")+COUNTIF($E155:U155,"²")+COUNTIF($E155:U155,"µ")+COUNTIF($E155:U155,1),ColDescriptionCourte)),""),
  "")),"")</f>
        <v/>
      </c>
      <c r="W155" s="40" t="str">
        <f ca="1">IFERROR(IF(AND(
  INDEX(Roadmap!$D:$K,MATCH($E155,Roadmap!$D:$D,0)+COUNTIF($E155:V155,"u")+COUNTIF($E155:V155,"t")+COUNTIF($E155:V155,"¶")+COUNTIF($E155:V155,"²")+COUNTIF($E155:V155,"µ")+COUNTIF($E155:V155,1),ColLivraison)=W$6,
  VLOOKUP($E155,INDIRECT("tri!"&amp; CHAR(64+ C0Col) &amp;":"&amp; CHAR(65+C0Col)),2,FALSE)&gt;COUNTIF($E155:V155,"u")+COUNTIF($E155:V155,"t")+COUNTIF($E155:V155,"¶")+COUNTIF($E155:V155,"²")+COUNTIF($E155:V155,"µ")+COUNTIF($E155:V155,1)),
HYPERLINK("#Roadmap!C"&amp; MATCH($E155,Roadmap!$D:$D,0)+COUNTIF($E155:V155,"u")+COUNTIF($E155:V155,"t"),
     INDEX(Roadmap!$D:$K,MATCH($E155,Roadmap!$D:$D,0)+COUNTIF($E155:V155,"u")+COUNTIF($E155:V155,"t")+COUNTIF($E155:V155,"¶")+COUNTIF($E155:V155,"²")+COUNTIF($E155:V155,"µ")+COUNTIF($E155:V155,1),ColTypeEcheance)),
  IF(LEN(V155)=1,
  IF(LEN(INDEX(Roadmap!$D:$K,MATCH($E155,Roadmap!$D:$D,0)-1+COUNTIF($E155:V155,"u")+COUNTIF($E155:V155,"t")+COUNTIF($E155:V155,"¶")+COUNTIF($E155:V155,"²")+COUNTIF($E155:V155,"µ")+COUNTIF($E155:V155,1),ColDescriptionCourte))&gt;1,
HYPERLINK("#Roadmap!C"&amp; MATCH($E155,Roadmap!$D:$D,0)+COUNTIF($E155:V155,"u")+COUNTIF($E155:V155,"t")+COUNTIF($E155:V155,"¶")+COUNTIF($E155:V155,"²")+COUNTIF($E155:V155,"µ")+COUNTIF($E155:V155,1)-1,INDEX(Roadmap!$D:$K,MATCH($E155,Roadmap!$D:$D,0)-1+COUNTIF($E155:V155,"u")+COUNTIF($E155:V155,"t")+COUNTIF($E155:V155,"¶")+COUNTIF($E155:V155,"²")+COUNTIF($E155:V155,"µ")+COUNTIF($E155:V155,1),ColDescriptionCourte)),""),
  "")),"")</f>
        <v/>
      </c>
      <c r="X155" s="40" t="str">
        <f ca="1">IFERROR(IF(AND(
  INDEX(Roadmap!$D:$K,MATCH($E155,Roadmap!$D:$D,0)+COUNTIF($E155:W155,"u")+COUNTIF($E155:W155,"t")+COUNTIF($E155:W155,"¶")+COUNTIF($E155:W155,"²")+COUNTIF($E155:W155,"µ")+COUNTIF($E155:W155,1),ColLivraison)=X$6,
  VLOOKUP($E155,INDIRECT("tri!"&amp; CHAR(64+ C0Col) &amp;":"&amp; CHAR(65+C0Col)),2,FALSE)&gt;COUNTIF($E155:W155,"u")+COUNTIF($E155:W155,"t")+COUNTIF($E155:W155,"¶")+COUNTIF($E155:W155,"²")+COUNTIF($E155:W155,"µ")+COUNTIF($E155:W155,1)),
HYPERLINK("#Roadmap!C"&amp; MATCH($E155,Roadmap!$D:$D,0)+COUNTIF($E155:W155,"u")+COUNTIF($E155:W155,"t"),
     INDEX(Roadmap!$D:$K,MATCH($E155,Roadmap!$D:$D,0)+COUNTIF($E155:W155,"u")+COUNTIF($E155:W155,"t")+COUNTIF($E155:W155,"¶")+COUNTIF($E155:W155,"²")+COUNTIF($E155:W155,"µ")+COUNTIF($E155:W155,1),ColTypeEcheance)),
  IF(LEN(W155)=1,
  IF(LEN(INDEX(Roadmap!$D:$K,MATCH($E155,Roadmap!$D:$D,0)-1+COUNTIF($E155:W155,"u")+COUNTIF($E155:W155,"t")+COUNTIF($E155:W155,"¶")+COUNTIF($E155:W155,"²")+COUNTIF($E155:W155,"µ")+COUNTIF($E155:W155,1),ColDescriptionCourte))&gt;1,
HYPERLINK("#Roadmap!C"&amp; MATCH($E155,Roadmap!$D:$D,0)+COUNTIF($E155:W155,"u")+COUNTIF($E155:W155,"t")+COUNTIF($E155:W155,"¶")+COUNTIF($E155:W155,"²")+COUNTIF($E155:W155,"µ")+COUNTIF($E155:W155,1)-1,INDEX(Roadmap!$D:$K,MATCH($E155,Roadmap!$D:$D,0)-1+COUNTIF($E155:W155,"u")+COUNTIF($E155:W155,"t")+COUNTIF($E155:W155,"¶")+COUNTIF($E155:W155,"²")+COUNTIF($E155:W155,"µ")+COUNTIF($E155:W155,1),ColDescriptionCourte)),""),
  "")),"")</f>
        <v/>
      </c>
      <c r="Y155" s="40" t="str">
        <f ca="1">IFERROR(IF(AND(
  INDEX(Roadmap!$D:$K,MATCH($E155,Roadmap!$D:$D,0)+COUNTIF($E155:X155,"u")+COUNTIF($E155:X155,"t")+COUNTIF($E155:X155,"¶")+COUNTIF($E155:X155,"²")+COUNTIF($E155:X155,"µ")+COUNTIF($E155:X155,1),ColLivraison)=Y$6,
  VLOOKUP($E155,INDIRECT("tri!"&amp; CHAR(64+ C0Col) &amp;":"&amp; CHAR(65+C0Col)),2,FALSE)&gt;COUNTIF($E155:X155,"u")+COUNTIF($E155:X155,"t")+COUNTIF($E155:X155,"¶")+COUNTIF($E155:X155,"²")+COUNTIF($E155:X155,"µ")+COUNTIF($E155:X155,1)),
HYPERLINK("#Roadmap!C"&amp; MATCH($E155,Roadmap!$D:$D,0)+COUNTIF($E155:X155,"u")+COUNTIF($E155:X155,"t"),
     INDEX(Roadmap!$D:$K,MATCH($E155,Roadmap!$D:$D,0)+COUNTIF($E155:X155,"u")+COUNTIF($E155:X155,"t")+COUNTIF($E155:X155,"¶")+COUNTIF($E155:X155,"²")+COUNTIF($E155:X155,"µ")+COUNTIF($E155:X155,1),ColTypeEcheance)),
  IF(LEN(X155)=1,
  IF(LEN(INDEX(Roadmap!$D:$K,MATCH($E155,Roadmap!$D:$D,0)-1+COUNTIF($E155:X155,"u")+COUNTIF($E155:X155,"t")+COUNTIF($E155:X155,"¶")+COUNTIF($E155:X155,"²")+COUNTIF($E155:X155,"µ")+COUNTIF($E155:X155,1),ColDescriptionCourte))&gt;1,
HYPERLINK("#Roadmap!C"&amp; MATCH($E155,Roadmap!$D:$D,0)+COUNTIF($E155:X155,"u")+COUNTIF($E155:X155,"t")+COUNTIF($E155:X155,"¶")+COUNTIF($E155:X155,"²")+COUNTIF($E155:X155,"µ")+COUNTIF($E155:X155,1)-1,INDEX(Roadmap!$D:$K,MATCH($E155,Roadmap!$D:$D,0)-1+COUNTIF($E155:X155,"u")+COUNTIF($E155:X155,"t")+COUNTIF($E155:X155,"¶")+COUNTIF($E155:X155,"²")+COUNTIF($E155:X155,"µ")+COUNTIF($E155:X155,1),ColDescriptionCourte)),""),
  "")),"")</f>
        <v/>
      </c>
      <c r="Z155" s="40" t="str">
        <f ca="1">IFERROR(IF(AND(
  INDEX(Roadmap!$D:$K,MATCH($E155,Roadmap!$D:$D,0)+COUNTIF($E155:Y155,"u")+COUNTIF($E155:Y155,"t")+COUNTIF($E155:Y155,"¶")+COUNTIF($E155:Y155,"²")+COUNTIF($E155:Y155,"µ")+COUNTIF($E155:Y155,1),ColLivraison)=Z$6,
  VLOOKUP($E155,INDIRECT("tri!"&amp; CHAR(64+ C0Col) &amp;":"&amp; CHAR(65+C0Col)),2,FALSE)&gt;COUNTIF($E155:Y155,"u")+COUNTIF($E155:Y155,"t")+COUNTIF($E155:Y155,"¶")+COUNTIF($E155:Y155,"²")+COUNTIF($E155:Y155,"µ")+COUNTIF($E155:Y155,1)),
HYPERLINK("#Roadmap!C"&amp; MATCH($E155,Roadmap!$D:$D,0)+COUNTIF($E155:Y155,"u")+COUNTIF($E155:Y155,"t"),
     INDEX(Roadmap!$D:$K,MATCH($E155,Roadmap!$D:$D,0)+COUNTIF($E155:Y155,"u")+COUNTIF($E155:Y155,"t")+COUNTIF($E155:Y155,"¶")+COUNTIF($E155:Y155,"²")+COUNTIF($E155:Y155,"µ")+COUNTIF($E155:Y155,1),ColTypeEcheance)),
  IF(LEN(Y155)=1,
  IF(LEN(INDEX(Roadmap!$D:$K,MATCH($E155,Roadmap!$D:$D,0)-1+COUNTIF($E155:Y155,"u")+COUNTIF($E155:Y155,"t")+COUNTIF($E155:Y155,"¶")+COUNTIF($E155:Y155,"²")+COUNTIF($E155:Y155,"µ")+COUNTIF($E155:Y155,1),ColDescriptionCourte))&gt;1,
HYPERLINK("#Roadmap!C"&amp; MATCH($E155,Roadmap!$D:$D,0)+COUNTIF($E155:Y155,"u")+COUNTIF($E155:Y155,"t")+COUNTIF($E155:Y155,"¶")+COUNTIF($E155:Y155,"²")+COUNTIF($E155:Y155,"µ")+COUNTIF($E155:Y155,1)-1,INDEX(Roadmap!$D:$K,MATCH($E155,Roadmap!$D:$D,0)-1+COUNTIF($E155:Y155,"u")+COUNTIF($E155:Y155,"t")+COUNTIF($E155:Y155,"¶")+COUNTIF($E155:Y155,"²")+COUNTIF($E155:Y155,"µ")+COUNTIF($E155:Y155,1),ColDescriptionCourte)),""),
  "")),"")</f>
        <v/>
      </c>
      <c r="AA155" s="40" t="str">
        <f ca="1">IFERROR(IF(AND(
  INDEX(Roadmap!$D:$K,MATCH($E155,Roadmap!$D:$D,0)+COUNTIF($E155:Z155,"u")+COUNTIF($E155:Z155,"t")+COUNTIF($E155:Z155,"¶")+COUNTIF($E155:Z155,"²")+COUNTIF($E155:Z155,"µ")+COUNTIF($E155:Z155,1),ColLivraison)=AA$6,
  VLOOKUP($E155,INDIRECT("tri!"&amp; CHAR(64+ C0Col) &amp;":"&amp; CHAR(65+C0Col)),2,FALSE)&gt;COUNTIF($E155:Z155,"u")+COUNTIF($E155:Z155,"t")+COUNTIF($E155:Z155,"¶")+COUNTIF($E155:Z155,"²")+COUNTIF($E155:Z155,"µ")+COUNTIF($E155:Z155,1)),
HYPERLINK("#Roadmap!C"&amp; MATCH($E155,Roadmap!$D:$D,0)+COUNTIF($E155:Z155,"u")+COUNTIF($E155:Z155,"t"),
     INDEX(Roadmap!$D:$K,MATCH($E155,Roadmap!$D:$D,0)+COUNTIF($E155:Z155,"u")+COUNTIF($E155:Z155,"t")+COUNTIF($E155:Z155,"¶")+COUNTIF($E155:Z155,"²")+COUNTIF($E155:Z155,"µ")+COUNTIF($E155:Z155,1),ColTypeEcheance)),
  IF(LEN(Z155)=1,
  IF(LEN(INDEX(Roadmap!$D:$K,MATCH($E155,Roadmap!$D:$D,0)-1+COUNTIF($E155:Z155,"u")+COUNTIF($E155:Z155,"t")+COUNTIF($E155:Z155,"¶")+COUNTIF($E155:Z155,"²")+COUNTIF($E155:Z155,"µ")+COUNTIF($E155:Z155,1),ColDescriptionCourte))&gt;1,
HYPERLINK("#Roadmap!C"&amp; MATCH($E155,Roadmap!$D:$D,0)+COUNTIF($E155:Z155,"u")+COUNTIF($E155:Z155,"t")+COUNTIF($E155:Z155,"¶")+COUNTIF($E155:Z155,"²")+COUNTIF($E155:Z155,"µ")+COUNTIF($E155:Z155,1)-1,INDEX(Roadmap!$D:$K,MATCH($E155,Roadmap!$D:$D,0)-1+COUNTIF($E155:Z155,"u")+COUNTIF($E155:Z155,"t")+COUNTIF($E155:Z155,"¶")+COUNTIF($E155:Z155,"²")+COUNTIF($E155:Z155,"µ")+COUNTIF($E155:Z155,1),ColDescriptionCourte)),""),
  "")),"")</f>
        <v/>
      </c>
      <c r="AB155" s="40" t="str">
        <f ca="1">IFERROR(IF(AND(
  INDEX(Roadmap!$D:$K,MATCH($E155,Roadmap!$D:$D,0)+COUNTIF($E155:AA155,"u")+COUNTIF($E155:AA155,"t")+COUNTIF($E155:AA155,"¶")+COUNTIF($E155:AA155,"²")+COUNTIF($E155:AA155,"µ")+COUNTIF($E155:AA155,1),ColLivraison)=AB$6,
  VLOOKUP($E155,INDIRECT("tri!"&amp; CHAR(64+ C0Col) &amp;":"&amp; CHAR(65+C0Col)),2,FALSE)&gt;COUNTIF($E155:AA155,"u")+COUNTIF($E155:AA155,"t")+COUNTIF($E155:AA155,"¶")+COUNTIF($E155:AA155,"²")+COUNTIF($E155:AA155,"µ")+COUNTIF($E155:AA155,1)),
HYPERLINK("#Roadmap!C"&amp; MATCH($E155,Roadmap!$D:$D,0)+COUNTIF($E155:AA155,"u")+COUNTIF($E155:AA155,"t"),
     INDEX(Roadmap!$D:$K,MATCH($E155,Roadmap!$D:$D,0)+COUNTIF($E155:AA155,"u")+COUNTIF($E155:AA155,"t")+COUNTIF($E155:AA155,"¶")+COUNTIF($E155:AA155,"²")+COUNTIF($E155:AA155,"µ")+COUNTIF($E155:AA155,1),ColTypeEcheance)),
  IF(LEN(AA155)=1,
  IF(LEN(INDEX(Roadmap!$D:$K,MATCH($E155,Roadmap!$D:$D,0)-1+COUNTIF($E155:AA155,"u")+COUNTIF($E155:AA155,"t")+COUNTIF($E155:AA155,"¶")+COUNTIF($E155:AA155,"²")+COUNTIF($E155:AA155,"µ")+COUNTIF($E155:AA155,1),ColDescriptionCourte))&gt;1,
HYPERLINK("#Roadmap!C"&amp; MATCH($E155,Roadmap!$D:$D,0)+COUNTIF($E155:AA155,"u")+COUNTIF($E155:AA155,"t")+COUNTIF($E155:AA155,"¶")+COUNTIF($E155:AA155,"²")+COUNTIF($E155:AA155,"µ")+COUNTIF($E155:AA155,1)-1,INDEX(Roadmap!$D:$K,MATCH($E155,Roadmap!$D:$D,0)-1+COUNTIF($E155:AA155,"u")+COUNTIF($E155:AA155,"t")+COUNTIF($E155:AA155,"¶")+COUNTIF($E155:AA155,"²")+COUNTIF($E155:AA155,"µ")+COUNTIF($E155:AA155,1),ColDescriptionCourte)),""),
  "")),"")</f>
        <v/>
      </c>
      <c r="AC155" s="40" t="str">
        <f ca="1">IFERROR(IF(AND(
  INDEX(Roadmap!$D:$K,MATCH($E155,Roadmap!$D:$D,0)+COUNTIF($E155:AB155,"u")+COUNTIF($E155:AB155,"t")+COUNTIF($E155:AB155,"¶")+COUNTIF($E155:AB155,"²")+COUNTIF($E155:AB155,"µ")+COUNTIF($E155:AB155,1),ColLivraison)=AC$6,
  VLOOKUP($E155,INDIRECT("tri!"&amp; CHAR(64+ C0Col) &amp;":"&amp; CHAR(65+C0Col)),2,FALSE)&gt;COUNTIF($E155:AB155,"u")+COUNTIF($E155:AB155,"t")+COUNTIF($E155:AB155,"¶")+COUNTIF($E155:AB155,"²")+COUNTIF($E155:AB155,"µ")+COUNTIF($E155:AB155,1)),
HYPERLINK("#Roadmap!C"&amp; MATCH($E155,Roadmap!$D:$D,0)+COUNTIF($E155:AB155,"u")+COUNTIF($E155:AB155,"t"),
     INDEX(Roadmap!$D:$K,MATCH($E155,Roadmap!$D:$D,0)+COUNTIF($E155:AB155,"u")+COUNTIF($E155:AB155,"t")+COUNTIF($E155:AB155,"¶")+COUNTIF($E155:AB155,"²")+COUNTIF($E155:AB155,"µ")+COUNTIF($E155:AB155,1),ColTypeEcheance)),
  IF(LEN(AB155)=1,
  IF(LEN(INDEX(Roadmap!$D:$K,MATCH($E155,Roadmap!$D:$D,0)-1+COUNTIF($E155:AB155,"u")+COUNTIF($E155:AB155,"t")+COUNTIF($E155:AB155,"¶")+COUNTIF($E155:AB155,"²")+COUNTIF($E155:AB155,"µ")+COUNTIF($E155:AB155,1),ColDescriptionCourte))&gt;1,
HYPERLINK("#Roadmap!C"&amp; MATCH($E155,Roadmap!$D:$D,0)+COUNTIF($E155:AB155,"u")+COUNTIF($E155:AB155,"t")+COUNTIF($E155:AB155,"¶")+COUNTIF($E155:AB155,"²")+COUNTIF($E155:AB155,"µ")+COUNTIF($E155:AB155,1)-1,INDEX(Roadmap!$D:$K,MATCH($E155,Roadmap!$D:$D,0)-1+COUNTIF($E155:AB155,"u")+COUNTIF($E155:AB155,"t")+COUNTIF($E155:AB155,"¶")+COUNTIF($E155:AB155,"²")+COUNTIF($E155:AB155,"µ")+COUNTIF($E155:AB155,1),ColDescriptionCourte)),""),
  "")),"")</f>
        <v/>
      </c>
      <c r="AD155" s="40" t="str">
        <f ca="1">IFERROR(IF(AND(
  INDEX(Roadmap!$D:$K,MATCH($E155,Roadmap!$D:$D,0)+COUNTIF($E155:AC155,"u")+COUNTIF($E155:AC155,"t")+COUNTIF($E155:AC155,"¶")+COUNTIF($E155:AC155,"²")+COUNTIF($E155:AC155,"µ")+COUNTIF($E155:AC155,1),ColLivraison)=AD$6,
  VLOOKUP($E155,INDIRECT("tri!"&amp; CHAR(64+ C0Col) &amp;":"&amp; CHAR(65+C0Col)),2,FALSE)&gt;COUNTIF($E155:AC155,"u")+COUNTIF($E155:AC155,"t")+COUNTIF($E155:AC155,"¶")+COUNTIF($E155:AC155,"²")+COUNTIF($E155:AC155,"µ")+COUNTIF($E155:AC155,1)),
HYPERLINK("#Roadmap!C"&amp; MATCH($E155,Roadmap!$D:$D,0)+COUNTIF($E155:AC155,"u")+COUNTIF($E155:AC155,"t"),
     INDEX(Roadmap!$D:$K,MATCH($E155,Roadmap!$D:$D,0)+COUNTIF($E155:AC155,"u")+COUNTIF($E155:AC155,"t")+COUNTIF($E155:AC155,"¶")+COUNTIF($E155:AC155,"²")+COUNTIF($E155:AC155,"µ")+COUNTIF($E155:AC155,1),ColTypeEcheance)),
  IF(LEN(AC155)=1,
  IF(LEN(INDEX(Roadmap!$D:$K,MATCH($E155,Roadmap!$D:$D,0)-1+COUNTIF($E155:AC155,"u")+COUNTIF($E155:AC155,"t")+COUNTIF($E155:AC155,"¶")+COUNTIF($E155:AC155,"²")+COUNTIF($E155:AC155,"µ")+COUNTIF($E155:AC155,1),ColDescriptionCourte))&gt;1,
HYPERLINK("#Roadmap!C"&amp; MATCH($E155,Roadmap!$D:$D,0)+COUNTIF($E155:AC155,"u")+COUNTIF($E155:AC155,"t")+COUNTIF($E155:AC155,"¶")+COUNTIF($E155:AC155,"²")+COUNTIF($E155:AC155,"µ")+COUNTIF($E155:AC155,1)-1,INDEX(Roadmap!$D:$K,MATCH($E155,Roadmap!$D:$D,0)-1+COUNTIF($E155:AC155,"u")+COUNTIF($E155:AC155,"t")+COUNTIF($E155:AC155,"¶")+COUNTIF($E155:AC155,"²")+COUNTIF($E155:AC155,"µ")+COUNTIF($E155:AC155,1),ColDescriptionCourte)),""),
  "")),"")</f>
        <v/>
      </c>
      <c r="AE155" s="40" t="str">
        <f ca="1">IFERROR(IF(AND(
  INDEX(Roadmap!$D:$K,MATCH($E155,Roadmap!$D:$D,0)+COUNTIF($E155:AD155,"u")+COUNTIF($E155:AD155,"t")+COUNTIF($E155:AD155,"¶")+COUNTIF($E155:AD155,"²")+COUNTIF($E155:AD155,"µ")+COUNTIF($E155:AD155,1),ColLivraison)=AE$6,
  VLOOKUP($E155,INDIRECT("tri!"&amp; CHAR(64+ C0Col) &amp;":"&amp; CHAR(65+C0Col)),2,FALSE)&gt;COUNTIF($E155:AD155,"u")+COUNTIF($E155:AD155,"t")+COUNTIF($E155:AD155,"¶")+COUNTIF($E155:AD155,"²")+COUNTIF($E155:AD155,"µ")+COUNTIF($E155:AD155,1)),
HYPERLINK("#Roadmap!C"&amp; MATCH($E155,Roadmap!$D:$D,0)+COUNTIF($E155:AD155,"u")+COUNTIF($E155:AD155,"t"),
     INDEX(Roadmap!$D:$K,MATCH($E155,Roadmap!$D:$D,0)+COUNTIF($E155:AD155,"u")+COUNTIF($E155:AD155,"t")+COUNTIF($E155:AD155,"¶")+COUNTIF($E155:AD155,"²")+COUNTIF($E155:AD155,"µ")+COUNTIF($E155:AD155,1),ColTypeEcheance)),
  IF(LEN(AD155)=1,
  IF(LEN(INDEX(Roadmap!$D:$K,MATCH($E155,Roadmap!$D:$D,0)-1+COUNTIF($E155:AD155,"u")+COUNTIF($E155:AD155,"t")+COUNTIF($E155:AD155,"¶")+COUNTIF($E155:AD155,"²")+COUNTIF($E155:AD155,"µ")+COUNTIF($E155:AD155,1),ColDescriptionCourte))&gt;1,
HYPERLINK("#Roadmap!C"&amp; MATCH($E155,Roadmap!$D:$D,0)+COUNTIF($E155:AD155,"u")+COUNTIF($E155:AD155,"t")+COUNTIF($E155:AD155,"¶")+COUNTIF($E155:AD155,"²")+COUNTIF($E155:AD155,"µ")+COUNTIF($E155:AD155,1)-1,INDEX(Roadmap!$D:$K,MATCH($E155,Roadmap!$D:$D,0)-1+COUNTIF($E155:AD155,"u")+COUNTIF($E155:AD155,"t")+COUNTIF($E155:AD155,"¶")+COUNTIF($E155:AD155,"²")+COUNTIF($E155:AD155,"µ")+COUNTIF($E155:AD155,1),ColDescriptionCourte)),""),
  "")),"")</f>
        <v/>
      </c>
      <c r="AF155" s="40" t="str">
        <f ca="1">IFERROR(IF(AND(
  INDEX(Roadmap!$D:$K,MATCH($E155,Roadmap!$D:$D,0)+COUNTIF($E155:AE155,"u")+COUNTIF($E155:AE155,"t")+COUNTIF($E155:AE155,"¶")+COUNTIF($E155:AE155,"²")+COUNTIF($E155:AE155,"µ")+COUNTIF($E155:AE155,1),ColLivraison)=AF$6,
  VLOOKUP($E155,INDIRECT("tri!"&amp; CHAR(64+ C0Col) &amp;":"&amp; CHAR(65+C0Col)),2,FALSE)&gt;COUNTIF($E155:AE155,"u")+COUNTIF($E155:AE155,"t")+COUNTIF($E155:AE155,"¶")+COUNTIF($E155:AE155,"²")+COUNTIF($E155:AE155,"µ")+COUNTIF($E155:AE155,1)),
HYPERLINK("#Roadmap!C"&amp; MATCH($E155,Roadmap!$D:$D,0)+COUNTIF($E155:AE155,"u")+COUNTIF($E155:AE155,"t"),
     INDEX(Roadmap!$D:$K,MATCH($E155,Roadmap!$D:$D,0)+COUNTIF($E155:AE155,"u")+COUNTIF($E155:AE155,"t")+COUNTIF($E155:AE155,"¶")+COUNTIF($E155:AE155,"²")+COUNTIF($E155:AE155,"µ")+COUNTIF($E155:AE155,1),ColTypeEcheance)),
  IF(LEN(AE155)=1,
  IF(LEN(INDEX(Roadmap!$D:$K,MATCH($E155,Roadmap!$D:$D,0)-1+COUNTIF($E155:AE155,"u")+COUNTIF($E155:AE155,"t")+COUNTIF($E155:AE155,"¶")+COUNTIF($E155:AE155,"²")+COUNTIF($E155:AE155,"µ")+COUNTIF($E155:AE155,1),ColDescriptionCourte))&gt;1,
HYPERLINK("#Roadmap!C"&amp; MATCH($E155,Roadmap!$D:$D,0)+COUNTIF($E155:AE155,"u")+COUNTIF($E155:AE155,"t")+COUNTIF($E155:AE155,"¶")+COUNTIF($E155:AE155,"²")+COUNTIF($E155:AE155,"µ")+COUNTIF($E155:AE155,1)-1,INDEX(Roadmap!$D:$K,MATCH($E155,Roadmap!$D:$D,0)-1+COUNTIF($E155:AE155,"u")+COUNTIF($E155:AE155,"t")+COUNTIF($E155:AE155,"¶")+COUNTIF($E155:AE155,"²")+COUNTIF($E155:AE155,"µ")+COUNTIF($E155:AE155,1),ColDescriptionCourte)),""),
  "")),"")</f>
        <v/>
      </c>
      <c r="AG155" s="40" t="str">
        <f ca="1">IFERROR(IF(AND(
  INDEX(Roadmap!$D:$K,MATCH($E155,Roadmap!$D:$D,0)+COUNTIF($E155:AF155,"u")+COUNTIF($E155:AF155,"t")+COUNTIF($E155:AF155,"¶")+COUNTIF($E155:AF155,"²")+COUNTIF($E155:AF155,"µ")+COUNTIF($E155:AF155,1),ColLivraison)=AG$6,
  VLOOKUP($E155,INDIRECT("tri!"&amp; CHAR(64+ C0Col) &amp;":"&amp; CHAR(65+C0Col)),2,FALSE)&gt;COUNTIF($E155:AF155,"u")+COUNTIF($E155:AF155,"t")+COUNTIF($E155:AF155,"¶")+COUNTIF($E155:AF155,"²")+COUNTIF($E155:AF155,"µ")+COUNTIF($E155:AF155,1)),
HYPERLINK("#Roadmap!C"&amp; MATCH($E155,Roadmap!$D:$D,0)+COUNTIF($E155:AF155,"u")+COUNTIF($E155:AF155,"t"),
     INDEX(Roadmap!$D:$K,MATCH($E155,Roadmap!$D:$D,0)+COUNTIF($E155:AF155,"u")+COUNTIF($E155:AF155,"t")+COUNTIF($E155:AF155,"¶")+COUNTIF($E155:AF155,"²")+COUNTIF($E155:AF155,"µ")+COUNTIF($E155:AF155,1),ColTypeEcheance)),
  IF(LEN(AF155)=1,
  IF(LEN(INDEX(Roadmap!$D:$K,MATCH($E155,Roadmap!$D:$D,0)-1+COUNTIF($E155:AF155,"u")+COUNTIF($E155:AF155,"t")+COUNTIF($E155:AF155,"¶")+COUNTIF($E155:AF155,"²")+COUNTIF($E155:AF155,"µ")+COUNTIF($E155:AF155,1),ColDescriptionCourte))&gt;1,
HYPERLINK("#Roadmap!C"&amp; MATCH($E155,Roadmap!$D:$D,0)+COUNTIF($E155:AF155,"u")+COUNTIF($E155:AF155,"t")+COUNTIF($E155:AF155,"¶")+COUNTIF($E155:AF155,"²")+COUNTIF($E155:AF155,"µ")+COUNTIF($E155:AF155,1)-1,INDEX(Roadmap!$D:$K,MATCH($E155,Roadmap!$D:$D,0)-1+COUNTIF($E155:AF155,"u")+COUNTIF($E155:AF155,"t")+COUNTIF($E155:AF155,"¶")+COUNTIF($E155:AF155,"²")+COUNTIF($E155:AF155,"µ")+COUNTIF($E155:AF155,1),ColDescriptionCourte)),""),
  "")),"")</f>
        <v/>
      </c>
      <c r="AH155" s="40" t="str">
        <f ca="1">IFERROR(IF(AND(
  INDEX(Roadmap!$D:$K,MATCH($E155,Roadmap!$D:$D,0)+COUNTIF($E155:AG155,"u")+COUNTIF($E155:AG155,"t")+COUNTIF($E155:AG155,1),ColLivraison)=AH$6,
  VLOOKUP($E155,INDIRECT("tri!"&amp; CHAR(64+ C0Col) &amp;":"&amp; CHAR(65+C0Col)),2,FALSE)&gt;COUNTIF($E155:AG155,"u")+COUNTIF($E155:AG155,"t")+COUNTIF($E155:AG155,1)),
HYPERLINK("#Roadmap!C"&amp; MATCH($E155,Roadmap!$D:$D,0)+COUNTIF($E155:AG155,"u")+COUNTIF($E155:AG155,"t"),
     INDEX(Roadmap!$D:$K,MATCH($E155,Roadmap!$D:$D,0)+COUNTIF($E155:AG155,"u")+COUNTIF($E155:AG155,"t")+COUNTIF($E155:AG155,1),ColTypeEcheance)),
  IF(OR(AG155="u",AG155="t",AG155=1),
  IF(LEN(INDEX(Roadmap!$D:$K,MATCH($E155,Roadmap!$D:$D,0)-1+COUNTIF($E155:AG155,"u")+COUNTIF($E155:AG155,"t")+COUNTIF($E155:AG155,1),ColDescriptionCourte))&gt;1,
HYPERLINK("#Roadmap!C"&amp; MATCH($E155,Roadmap!$D:$D,0)+COUNTIF($E155:AG155,"u")+COUNTIF($E155:AG155,"t")+COUNTIF($E155:AG155,1)-1,INDEX(Roadmap!$D:$K,MATCH($E155,Roadmap!$D:$D,0)-1+COUNTIF($E155:AG155,"u")+COUNTIF($E155:AG155,"t")+COUNTIF($E155:AG155,1),ColDescriptionCourte)),""),
  "")),"")</f>
        <v/>
      </c>
      <c r="AI155" s="40"/>
      <c r="AJ155" s="40"/>
      <c r="AK155" s="40"/>
      <c r="AL155" s="40"/>
      <c r="AM155" s="40"/>
    </row>
    <row r="156" spans="4:39" ht="14.1" customHeight="1">
      <c r="D156" s="20" t="str">
        <f t="shared" ca="1" si="31"/>
        <v/>
      </c>
      <c r="E156" s="53" t="str">
        <f t="shared" ca="1" si="32"/>
        <v/>
      </c>
      <c r="F156" s="39" t="str">
        <f ca="1">IFERROR(IF(AND(
  INDEX(Roadmap!$D:$K,MATCH($E156,Roadmap!$D:$D,0)+COUNTIF($E156:E156,"u")+COUNTIF($E156:E156,"t")+COUNTIF($E156:E156,"¶")+COUNTIF($E156:E156,"²")+COUNTIF($E156:E156,"µ")+COUNTIF($E156:E156,1),ColLivraison)=F$6,
  VLOOKUP($E156,INDIRECT("tri!"&amp; CHAR(64+ C0Col) &amp;":"&amp; CHAR(65+C0Col)),2,FALSE)&gt;COUNTIF($E156:E156,"u")+COUNTIF($E156:E156,"t")+COUNTIF($E156:E156,"¶")+COUNTIF($E156:E156,"²")+COUNTIF($E156:E156,"µ")+COUNTIF($E156:E156,1)),
HYPERLINK("#Roadmap!C"&amp; MATCH($E156,Roadmap!$D:$D,0)+COUNTIF($E156:E156,"u")+COUNTIF($E156:E156,"t"),
     INDEX(Roadmap!$D:$K,MATCH($E156,Roadmap!$D:$D,0)+COUNTIF($E156:E156,"u")+COUNTIF($E156:E156,"t")+COUNTIF($E156:E156,"¶")+COUNTIF($E156:E156,"²")+COUNTIF($E156:E156,"µ")+COUNTIF($E156:E156,1),ColTypeEcheance)),
  IF(LEN(E156)=1,
  IF(LEN(INDEX(Roadmap!$D:$K,MATCH($E156,Roadmap!$D:$D,0)-1+COUNTIF($E156:E156,"u")+COUNTIF($E156:E156,"t")+COUNTIF($E156:E156,"¶")+COUNTIF($E156:E156,"²")+COUNTIF($E156:E156,"µ")+COUNTIF($E156:E156,1),ColDescriptionCourte))&gt;1,
HYPERLINK("#Roadmap!C"&amp; MATCH($E156,Roadmap!$D:$D,0)+COUNTIF($E156:E156,"u")+COUNTIF($E156:E156,"t")+COUNTIF($E156:E156,"¶")+COUNTIF($E156:E156,"²")+COUNTIF($E156:E156,"µ")+COUNTIF($E156:E156,1)-1,INDEX(Roadmap!$D:$K,MATCH($E156,Roadmap!$D:$D,0)-1+COUNTIF($E156:E156,"u")+COUNTIF($E156:E156,"t")+COUNTIF($E156:E156,"¶")+COUNTIF($E156:E156,"²")+COUNTIF($E156:E156,"µ")+COUNTIF($E156:E156,1),ColDescriptionCourte)),""),
  "")),"")</f>
        <v/>
      </c>
      <c r="G156" s="40" t="str">
        <f ca="1">IFERROR(IF(AND(
  INDEX(Roadmap!$D:$K,MATCH($E156,Roadmap!$D:$D,0)+COUNTIF($E156:F156,"u")+COUNTIF($E156:F156,"t")+COUNTIF($E156:F156,"¶")+COUNTIF($E156:F156,"²")+COUNTIF($E156:F156,"µ")+COUNTIF($E156:F156,1),ColLivraison)=G$6,
  VLOOKUP($E156,INDIRECT("tri!"&amp; CHAR(64+ C0Col) &amp;":"&amp; CHAR(65+C0Col)),2,FALSE)&gt;COUNTIF($E156:F156,"u")+COUNTIF($E156:F156,"t")+COUNTIF($E156:F156,"¶")+COUNTIF($E156:F156,"²")+COUNTIF($E156:F156,"µ")+COUNTIF($E156:F156,1)),
HYPERLINK("#Roadmap!C"&amp; MATCH($E156,Roadmap!$D:$D,0)+COUNTIF($E156:F156,"u")+COUNTIF($E156:F156,"t"),
     INDEX(Roadmap!$D:$K,MATCH($E156,Roadmap!$D:$D,0)+COUNTIF($E156:F156,"u")+COUNTIF($E156:F156,"t")+COUNTIF($E156:F156,"¶")+COUNTIF($E156:F156,"²")+COUNTIF($E156:F156,"µ")+COUNTIF($E156:F156,1),ColTypeEcheance)),
  IF(LEN(F156)=1,
  IF(LEN(INDEX(Roadmap!$D:$K,MATCH($E156,Roadmap!$D:$D,0)-1+COUNTIF($E156:F156,"u")+COUNTIF($E156:F156,"t")+COUNTIF($E156:F156,"¶")+COUNTIF($E156:F156,"²")+COUNTIF($E156:F156,"µ")+COUNTIF($E156:F156,1),ColDescriptionCourte))&gt;1,
HYPERLINK("#Roadmap!C"&amp; MATCH($E156,Roadmap!$D:$D,0)+COUNTIF($E156:F156,"u")+COUNTIF($E156:F156,"t")+COUNTIF($E156:F156,"¶")+COUNTIF($E156:F156,"²")+COUNTIF($E156:F156,"µ")+COUNTIF($E156:F156,1)-1,INDEX(Roadmap!$D:$K,MATCH($E156,Roadmap!$D:$D,0)-1+COUNTIF($E156:F156,"u")+COUNTIF($E156:F156,"t")+COUNTIF($E156:F156,"¶")+COUNTIF($E156:F156,"²")+COUNTIF($E156:F156,"µ")+COUNTIF($E156:F156,1),ColDescriptionCourte)),""),
  "")),"")</f>
        <v/>
      </c>
      <c r="H156" s="40" t="str">
        <f ca="1">IFERROR(IF(AND(
  INDEX(Roadmap!$D:$K,MATCH($E156,Roadmap!$D:$D,0)+COUNTIF($E156:G156,"u")+COUNTIF($E156:G156,"t")+COUNTIF($E156:G156,"¶")+COUNTIF($E156:G156,"²")+COUNTIF($E156:G156,"µ")+COUNTIF($E156:G156,1),ColLivraison)=H$6,
  VLOOKUP($E156,INDIRECT("tri!"&amp; CHAR(64+ C0Col) &amp;":"&amp; CHAR(65+C0Col)),2,FALSE)&gt;COUNTIF($E156:G156,"u")+COUNTIF($E156:G156,"t")+COUNTIF($E156:G156,"¶")+COUNTIF($E156:G156,"²")+COUNTIF($E156:G156,"µ")+COUNTIF($E156:G156,1)),
HYPERLINK("#Roadmap!C"&amp; MATCH($E156,Roadmap!$D:$D,0)+COUNTIF($E156:G156,"u")+COUNTIF($E156:G156,"t"),
     INDEX(Roadmap!$D:$K,MATCH($E156,Roadmap!$D:$D,0)+COUNTIF($E156:G156,"u")+COUNTIF($E156:G156,"t")+COUNTIF($E156:G156,"¶")+COUNTIF($E156:G156,"²")+COUNTIF($E156:G156,"µ")+COUNTIF($E156:G156,1),ColTypeEcheance)),
  IF(LEN(G156)=1,
  IF(LEN(INDEX(Roadmap!$D:$K,MATCH($E156,Roadmap!$D:$D,0)-1+COUNTIF($E156:G156,"u")+COUNTIF($E156:G156,"t")+COUNTIF($E156:G156,"¶")+COUNTIF($E156:G156,"²")+COUNTIF($E156:G156,"µ")+COUNTIF($E156:G156,1),ColDescriptionCourte))&gt;1,
HYPERLINK("#Roadmap!C"&amp; MATCH($E156,Roadmap!$D:$D,0)+COUNTIF($E156:G156,"u")+COUNTIF($E156:G156,"t")+COUNTIF($E156:G156,"¶")+COUNTIF($E156:G156,"²")+COUNTIF($E156:G156,"µ")+COUNTIF($E156:G156,1)-1,INDEX(Roadmap!$D:$K,MATCH($E156,Roadmap!$D:$D,0)-1+COUNTIF($E156:G156,"u")+COUNTIF($E156:G156,"t")+COUNTIF($E156:G156,"¶")+COUNTIF($E156:G156,"²")+COUNTIF($E156:G156,"µ")+COUNTIF($E156:G156,1),ColDescriptionCourte)),""),
  "")),"")</f>
        <v/>
      </c>
      <c r="I156" s="40" t="str">
        <f ca="1">IFERROR(IF(AND(
  INDEX(Roadmap!$D:$K,MATCH($E156,Roadmap!$D:$D,0)+COUNTIF($E156:H156,"u")+COUNTIF($E156:H156,"t")+COUNTIF($E156:H156,"¶")+COUNTIF($E156:H156,"²")+COUNTIF($E156:H156,"µ")+COUNTIF($E156:H156,1),ColLivraison)=I$6,
  VLOOKUP($E156,INDIRECT("tri!"&amp; CHAR(64+ C0Col) &amp;":"&amp; CHAR(65+C0Col)),2,FALSE)&gt;COUNTIF($E156:H156,"u")+COUNTIF($E156:H156,"t")+COUNTIF($E156:H156,"¶")+COUNTIF($E156:H156,"²")+COUNTIF($E156:H156,"µ")+COUNTIF($E156:H156,1)),
HYPERLINK("#Roadmap!C"&amp; MATCH($E156,Roadmap!$D:$D,0)+COUNTIF($E156:H156,"u")+COUNTIF($E156:H156,"t"),
     INDEX(Roadmap!$D:$K,MATCH($E156,Roadmap!$D:$D,0)+COUNTIF($E156:H156,"u")+COUNTIF($E156:H156,"t")+COUNTIF($E156:H156,"¶")+COUNTIF($E156:H156,"²")+COUNTIF($E156:H156,"µ")+COUNTIF($E156:H156,1),ColTypeEcheance)),
  IF(LEN(H156)=1,
  IF(LEN(INDEX(Roadmap!$D:$K,MATCH($E156,Roadmap!$D:$D,0)-1+COUNTIF($E156:H156,"u")+COUNTIF($E156:H156,"t")+COUNTIF($E156:H156,"¶")+COUNTIF($E156:H156,"²")+COUNTIF($E156:H156,"µ")+COUNTIF($E156:H156,1),ColDescriptionCourte))&gt;1,
HYPERLINK("#Roadmap!C"&amp; MATCH($E156,Roadmap!$D:$D,0)+COUNTIF($E156:H156,"u")+COUNTIF($E156:H156,"t")+COUNTIF($E156:H156,"¶")+COUNTIF($E156:H156,"²")+COUNTIF($E156:H156,"µ")+COUNTIF($E156:H156,1)-1,INDEX(Roadmap!$D:$K,MATCH($E156,Roadmap!$D:$D,0)-1+COUNTIF($E156:H156,"u")+COUNTIF($E156:H156,"t")+COUNTIF($E156:H156,"¶")+COUNTIF($E156:H156,"²")+COUNTIF($E156:H156,"µ")+COUNTIF($E156:H156,1),ColDescriptionCourte)),""),
  "")),"")</f>
        <v/>
      </c>
      <c r="J156" s="40" t="str">
        <f ca="1">IFERROR(IF(AND(
  INDEX(Roadmap!$D:$K,MATCH($E156,Roadmap!$D:$D,0)+COUNTIF($E156:I156,"u")+COUNTIF($E156:I156,"t")+COUNTIF($E156:I156,"¶")+COUNTIF($E156:I156,"²")+COUNTIF($E156:I156,"µ")+COUNTIF($E156:I156,1),ColLivraison)=J$6,
  VLOOKUP($E156,INDIRECT("tri!"&amp; CHAR(64+ C0Col) &amp;":"&amp; CHAR(65+C0Col)),2,FALSE)&gt;COUNTIF($E156:I156,"u")+COUNTIF($E156:I156,"t")+COUNTIF($E156:I156,"¶")+COUNTIF($E156:I156,"²")+COUNTIF($E156:I156,"µ")+COUNTIF($E156:I156,1)),
HYPERLINK("#Roadmap!C"&amp; MATCH($E156,Roadmap!$D:$D,0)+COUNTIF($E156:I156,"u")+COUNTIF($E156:I156,"t"),
     INDEX(Roadmap!$D:$K,MATCH($E156,Roadmap!$D:$D,0)+COUNTIF($E156:I156,"u")+COUNTIF($E156:I156,"t")+COUNTIF($E156:I156,"¶")+COUNTIF($E156:I156,"²")+COUNTIF($E156:I156,"µ")+COUNTIF($E156:I156,1),ColTypeEcheance)),
  IF(LEN(I156)=1,
  IF(LEN(INDEX(Roadmap!$D:$K,MATCH($E156,Roadmap!$D:$D,0)-1+COUNTIF($E156:I156,"u")+COUNTIF($E156:I156,"t")+COUNTIF($E156:I156,"¶")+COUNTIF($E156:I156,"²")+COUNTIF($E156:I156,"µ")+COUNTIF($E156:I156,1),ColDescriptionCourte))&gt;1,
HYPERLINK("#Roadmap!C"&amp; MATCH($E156,Roadmap!$D:$D,0)+COUNTIF($E156:I156,"u")+COUNTIF($E156:I156,"t")+COUNTIF($E156:I156,"¶")+COUNTIF($E156:I156,"²")+COUNTIF($E156:I156,"µ")+COUNTIF($E156:I156,1)-1,INDEX(Roadmap!$D:$K,MATCH($E156,Roadmap!$D:$D,0)-1+COUNTIF($E156:I156,"u")+COUNTIF($E156:I156,"t")+COUNTIF($E156:I156,"¶")+COUNTIF($E156:I156,"²")+COUNTIF($E156:I156,"µ")+COUNTIF($E156:I156,1),ColDescriptionCourte)),""),
  "")),"")</f>
        <v/>
      </c>
      <c r="K156" s="40" t="str">
        <f ca="1">IFERROR(IF(AND(
  INDEX(Roadmap!$D:$K,MATCH($E156,Roadmap!$D:$D,0)+COUNTIF($E156:J156,"u")+COUNTIF($E156:J156,"t")+COUNTIF($E156:J156,"¶")+COUNTIF($E156:J156,"²")+COUNTIF($E156:J156,"µ")+COUNTIF($E156:J156,1),ColLivraison)=K$6,
  VLOOKUP($E156,INDIRECT("tri!"&amp; CHAR(64+ C0Col) &amp;":"&amp; CHAR(65+C0Col)),2,FALSE)&gt;COUNTIF($E156:J156,"u")+COUNTIF($E156:J156,"t")+COUNTIF($E156:J156,"¶")+COUNTIF($E156:J156,"²")+COUNTIF($E156:J156,"µ")+COUNTIF($E156:J156,1)),
HYPERLINK("#Roadmap!C"&amp; MATCH($E156,Roadmap!$D:$D,0)+COUNTIF($E156:J156,"u")+COUNTIF($E156:J156,"t"),
     INDEX(Roadmap!$D:$K,MATCH($E156,Roadmap!$D:$D,0)+COUNTIF($E156:J156,"u")+COUNTIF($E156:J156,"t")+COUNTIF($E156:J156,"¶")+COUNTIF($E156:J156,"²")+COUNTIF($E156:J156,"µ")+COUNTIF($E156:J156,1),ColTypeEcheance)),
  IF(LEN(J156)=1,
  IF(LEN(INDEX(Roadmap!$D:$K,MATCH($E156,Roadmap!$D:$D,0)-1+COUNTIF($E156:J156,"u")+COUNTIF($E156:J156,"t")+COUNTIF($E156:J156,"¶")+COUNTIF($E156:J156,"²")+COUNTIF($E156:J156,"µ")+COUNTIF($E156:J156,1),ColDescriptionCourte))&gt;1,
HYPERLINK("#Roadmap!C"&amp; MATCH($E156,Roadmap!$D:$D,0)+COUNTIF($E156:J156,"u")+COUNTIF($E156:J156,"t")+COUNTIF($E156:J156,"¶")+COUNTIF($E156:J156,"²")+COUNTIF($E156:J156,"µ")+COUNTIF($E156:J156,1)-1,INDEX(Roadmap!$D:$K,MATCH($E156,Roadmap!$D:$D,0)-1+COUNTIF($E156:J156,"u")+COUNTIF($E156:J156,"t")+COUNTIF($E156:J156,"¶")+COUNTIF($E156:J156,"²")+COUNTIF($E156:J156,"µ")+COUNTIF($E156:J156,1),ColDescriptionCourte)),""),
  "")),"")</f>
        <v/>
      </c>
      <c r="L156" s="39" t="str">
        <f ca="1">IFERROR(IF(AND(
  INDEX(Roadmap!$D:$K,MATCH($E156,Roadmap!$D:$D,0)+COUNTIF($E156:K156,"u")+COUNTIF($E156:K156,"t")+COUNTIF($E156:K156,"¶")+COUNTIF($E156:K156,"²")+COUNTIF($E156:K156,"µ")+COUNTIF($E156:K156,1),ColLivraison)=L$6,
  VLOOKUP($E156,INDIRECT("tri!"&amp; CHAR(64+ C0Col) &amp;":"&amp; CHAR(65+C0Col)),2,FALSE)&gt;COUNTIF($E156:K156,"u")+COUNTIF($E156:K156,"t")+COUNTIF($E156:K156,"¶")+COUNTIF($E156:K156,"²")+COUNTIF($E156:K156,"µ")+COUNTIF($E156:K156,1)),
HYPERLINK("#Roadmap!C"&amp; MATCH($E156,Roadmap!$D:$D,0)+COUNTIF($E156:K156,"u")+COUNTIF($E156:K156,"t"),
     INDEX(Roadmap!$D:$K,MATCH($E156,Roadmap!$D:$D,0)+COUNTIF($E156:K156,"u")+COUNTIF($E156:K156,"t")+COUNTIF($E156:K156,"¶")+COUNTIF($E156:K156,"²")+COUNTIF($E156:K156,"µ")+COUNTIF($E156:K156,1),ColTypeEcheance)),
  IF(LEN(K156)=1,
  IF(LEN(INDEX(Roadmap!$D:$K,MATCH($E156,Roadmap!$D:$D,0)-1+COUNTIF($E156:K156,"u")+COUNTIF($E156:K156,"t")+COUNTIF($E156:K156,"¶")+COUNTIF($E156:K156,"²")+COUNTIF($E156:K156,"µ")+COUNTIF($E156:K156,1),ColDescriptionCourte))&gt;1,
HYPERLINK("#Roadmap!C"&amp; MATCH($E156,Roadmap!$D:$D,0)+COUNTIF($E156:K156,"u")+COUNTIF($E156:K156,"t")+COUNTIF($E156:K156,"¶")+COUNTIF($E156:K156,"²")+COUNTIF($E156:K156,"µ")+COUNTIF($E156:K156,1)-1,INDEX(Roadmap!$D:$K,MATCH($E156,Roadmap!$D:$D,0)-1+COUNTIF($E156:K156,"u")+COUNTIF($E156:K156,"t")+COUNTIF($E156:K156,"¶")+COUNTIF($E156:K156,"²")+COUNTIF($E156:K156,"µ")+COUNTIF($E156:K156,1),ColDescriptionCourte)),""),
  "")),"")</f>
        <v/>
      </c>
      <c r="M156" s="40" t="str">
        <f ca="1">IFERROR(IF(AND(
  INDEX(Roadmap!$D:$K,MATCH($E156,Roadmap!$D:$D,0)+COUNTIF($E156:L156,"u")+COUNTIF($E156:L156,"t")+COUNTIF($E156:L156,"¶")+COUNTIF($E156:L156,"²")+COUNTIF($E156:L156,"µ")+COUNTIF($E156:L156,1),ColLivraison)=M$6,
  VLOOKUP($E156,INDIRECT("tri!"&amp; CHAR(64+ C0Col) &amp;":"&amp; CHAR(65+C0Col)),2,FALSE)&gt;COUNTIF($E156:L156,"u")+COUNTIF($E156:L156,"t")+COUNTIF($E156:L156,"¶")+COUNTIF($E156:L156,"²")+COUNTIF($E156:L156,"µ")+COUNTIF($E156:L156,1)),
HYPERLINK("#Roadmap!C"&amp; MATCH($E156,Roadmap!$D:$D,0)+COUNTIF($E156:L156,"u")+COUNTIF($E156:L156,"t"),
     INDEX(Roadmap!$D:$K,MATCH($E156,Roadmap!$D:$D,0)+COUNTIF($E156:L156,"u")+COUNTIF($E156:L156,"t")+COUNTIF($E156:L156,"¶")+COUNTIF($E156:L156,"²")+COUNTIF($E156:L156,"µ")+COUNTIF($E156:L156,1),ColTypeEcheance)),
  IF(LEN(L156)=1,
  IF(LEN(INDEX(Roadmap!$D:$K,MATCH($E156,Roadmap!$D:$D,0)-1+COUNTIF($E156:L156,"u")+COUNTIF($E156:L156,"t")+COUNTIF($E156:L156,"¶")+COUNTIF($E156:L156,"²")+COUNTIF($E156:L156,"µ")+COUNTIF($E156:L156,1),ColDescriptionCourte))&gt;1,
HYPERLINK("#Roadmap!C"&amp; MATCH($E156,Roadmap!$D:$D,0)+COUNTIF($E156:L156,"u")+COUNTIF($E156:L156,"t")+COUNTIF($E156:L156,"¶")+COUNTIF($E156:L156,"²")+COUNTIF($E156:L156,"µ")+COUNTIF($E156:L156,1)-1,INDEX(Roadmap!$D:$K,MATCH($E156,Roadmap!$D:$D,0)-1+COUNTIF($E156:L156,"u")+COUNTIF($E156:L156,"t")+COUNTIF($E156:L156,"¶")+COUNTIF($E156:L156,"²")+COUNTIF($E156:L156,"µ")+COUNTIF($E156:L156,1),ColDescriptionCourte)),""),
  "")),"")</f>
        <v/>
      </c>
      <c r="N156" s="40" t="str">
        <f ca="1">IFERROR(IF(AND(
  INDEX(Roadmap!$D:$K,MATCH($E156,Roadmap!$D:$D,0)+COUNTIF($E156:M156,"u")+COUNTIF($E156:M156,"t")+COUNTIF($E156:M156,"¶")+COUNTIF($E156:M156,"²")+COUNTIF($E156:M156,"µ")+COUNTIF($E156:M156,1),ColLivraison)=N$6,
  VLOOKUP($E156,INDIRECT("tri!"&amp; CHAR(64+ C0Col) &amp;":"&amp; CHAR(65+C0Col)),2,FALSE)&gt;COUNTIF($E156:M156,"u")+COUNTIF($E156:M156,"t")+COUNTIF($E156:M156,"¶")+COUNTIF($E156:M156,"²")+COUNTIF($E156:M156,"µ")+COUNTIF($E156:M156,1)),
HYPERLINK("#Roadmap!C"&amp; MATCH($E156,Roadmap!$D:$D,0)+COUNTIF($E156:M156,"u")+COUNTIF($E156:M156,"t"),
     INDEX(Roadmap!$D:$K,MATCH($E156,Roadmap!$D:$D,0)+COUNTIF($E156:M156,"u")+COUNTIF($E156:M156,"t")+COUNTIF($E156:M156,"¶")+COUNTIF($E156:M156,"²")+COUNTIF($E156:M156,"µ")+COUNTIF($E156:M156,1),ColTypeEcheance)),
  IF(LEN(M156)=1,
  IF(LEN(INDEX(Roadmap!$D:$K,MATCH($E156,Roadmap!$D:$D,0)-1+COUNTIF($E156:M156,"u")+COUNTIF($E156:M156,"t")+COUNTIF($E156:M156,"¶")+COUNTIF($E156:M156,"²")+COUNTIF($E156:M156,"µ")+COUNTIF($E156:M156,1),ColDescriptionCourte))&gt;1,
HYPERLINK("#Roadmap!C"&amp; MATCH($E156,Roadmap!$D:$D,0)+COUNTIF($E156:M156,"u")+COUNTIF($E156:M156,"t")+COUNTIF($E156:M156,"¶")+COUNTIF($E156:M156,"²")+COUNTIF($E156:M156,"µ")+COUNTIF($E156:M156,1)-1,INDEX(Roadmap!$D:$K,MATCH($E156,Roadmap!$D:$D,0)-1+COUNTIF($E156:M156,"u")+COUNTIF($E156:M156,"t")+COUNTIF($E156:M156,"¶")+COUNTIF($E156:M156,"²")+COUNTIF($E156:M156,"µ")+COUNTIF($E156:M156,1),ColDescriptionCourte)),""),
  "")),"")</f>
        <v/>
      </c>
      <c r="O156" s="40" t="str">
        <f ca="1">IFERROR(IF(AND(
  INDEX(Roadmap!$D:$K,MATCH($E156,Roadmap!$D:$D,0)+COUNTIF($E156:N156,"u")+COUNTIF($E156:N156,"t")+COUNTIF($E156:N156,"¶")+COUNTIF($E156:N156,"²")+COUNTIF($E156:N156,"µ")+COUNTIF($E156:N156,1),ColLivraison)=O$6,
  VLOOKUP($E156,INDIRECT("tri!"&amp; CHAR(64+ C0Col) &amp;":"&amp; CHAR(65+C0Col)),2,FALSE)&gt;COUNTIF($E156:N156,"u")+COUNTIF($E156:N156,"t")+COUNTIF($E156:N156,"¶")+COUNTIF($E156:N156,"²")+COUNTIF($E156:N156,"µ")+COUNTIF($E156:N156,1)),
HYPERLINK("#Roadmap!C"&amp; MATCH($E156,Roadmap!$D:$D,0)+COUNTIF($E156:N156,"u")+COUNTIF($E156:N156,"t"),
     INDEX(Roadmap!$D:$K,MATCH($E156,Roadmap!$D:$D,0)+COUNTIF($E156:N156,"u")+COUNTIF($E156:N156,"t")+COUNTIF($E156:N156,"¶")+COUNTIF($E156:N156,"²")+COUNTIF($E156:N156,"µ")+COUNTIF($E156:N156,1),ColTypeEcheance)),
  IF(LEN(N156)=1,
  IF(LEN(INDEX(Roadmap!$D:$K,MATCH($E156,Roadmap!$D:$D,0)-1+COUNTIF($E156:N156,"u")+COUNTIF($E156:N156,"t")+COUNTIF($E156:N156,"¶")+COUNTIF($E156:N156,"²")+COUNTIF($E156:N156,"µ")+COUNTIF($E156:N156,1),ColDescriptionCourte))&gt;1,
HYPERLINK("#Roadmap!C"&amp; MATCH($E156,Roadmap!$D:$D,0)+COUNTIF($E156:N156,"u")+COUNTIF($E156:N156,"t")+COUNTIF($E156:N156,"¶")+COUNTIF($E156:N156,"²")+COUNTIF($E156:N156,"µ")+COUNTIF($E156:N156,1)-1,INDEX(Roadmap!$D:$K,MATCH($E156,Roadmap!$D:$D,0)-1+COUNTIF($E156:N156,"u")+COUNTIF($E156:N156,"t")+COUNTIF($E156:N156,"¶")+COUNTIF($E156:N156,"²")+COUNTIF($E156:N156,"µ")+COUNTIF($E156:N156,1),ColDescriptionCourte)),""),
  "")),"")</f>
        <v/>
      </c>
      <c r="P156" s="40" t="str">
        <f ca="1">IFERROR(IF(AND(
  INDEX(Roadmap!$D:$K,MATCH($E156,Roadmap!$D:$D,0)+COUNTIF($E156:O156,"u")+COUNTIF($E156:O156,"t")+COUNTIF($E156:O156,"¶")+COUNTIF($E156:O156,"²")+COUNTIF($E156:O156,"µ")+COUNTIF($E156:O156,1),ColLivraison)=P$6,
  VLOOKUP($E156,INDIRECT("tri!"&amp; CHAR(64+ C0Col) &amp;":"&amp; CHAR(65+C0Col)),2,FALSE)&gt;COUNTIF($E156:O156,"u")+COUNTIF($E156:O156,"t")+COUNTIF($E156:O156,"¶")+COUNTIF($E156:O156,"²")+COUNTIF($E156:O156,"µ")+COUNTIF($E156:O156,1)),
HYPERLINK("#Roadmap!C"&amp; MATCH($E156,Roadmap!$D:$D,0)+COUNTIF($E156:O156,"u")+COUNTIF($E156:O156,"t"),
     INDEX(Roadmap!$D:$K,MATCH($E156,Roadmap!$D:$D,0)+COUNTIF($E156:O156,"u")+COUNTIF($E156:O156,"t")+COUNTIF($E156:O156,"¶")+COUNTIF($E156:O156,"²")+COUNTIF($E156:O156,"µ")+COUNTIF($E156:O156,1),ColTypeEcheance)),
  IF(LEN(O156)=1,
  IF(LEN(INDEX(Roadmap!$D:$K,MATCH($E156,Roadmap!$D:$D,0)-1+COUNTIF($E156:O156,"u")+COUNTIF($E156:O156,"t")+COUNTIF($E156:O156,"¶")+COUNTIF($E156:O156,"²")+COUNTIF($E156:O156,"µ")+COUNTIF($E156:O156,1),ColDescriptionCourte))&gt;1,
HYPERLINK("#Roadmap!C"&amp; MATCH($E156,Roadmap!$D:$D,0)+COUNTIF($E156:O156,"u")+COUNTIF($E156:O156,"t")+COUNTIF($E156:O156,"¶")+COUNTIF($E156:O156,"²")+COUNTIF($E156:O156,"µ")+COUNTIF($E156:O156,1)-1,INDEX(Roadmap!$D:$K,MATCH($E156,Roadmap!$D:$D,0)-1+COUNTIF($E156:O156,"u")+COUNTIF($E156:O156,"t")+COUNTIF($E156:O156,"¶")+COUNTIF($E156:O156,"²")+COUNTIF($E156:O156,"µ")+COUNTIF($E156:O156,1),ColDescriptionCourte)),""),
  "")),"")</f>
        <v/>
      </c>
      <c r="Q156" s="40" t="str">
        <f ca="1">IFERROR(IF(AND(
  INDEX(Roadmap!$D:$K,MATCH($E156,Roadmap!$D:$D,0)+COUNTIF($E156:P156,"u")+COUNTIF($E156:P156,"t")+COUNTIF($E156:P156,"¶")+COUNTIF($E156:P156,"²")+COUNTIF($E156:P156,"µ")+COUNTIF($E156:P156,1),ColLivraison)=Q$6,
  VLOOKUP($E156,INDIRECT("tri!"&amp; CHAR(64+ C0Col) &amp;":"&amp; CHAR(65+C0Col)),2,FALSE)&gt;COUNTIF($E156:P156,"u")+COUNTIF($E156:P156,"t")+COUNTIF($E156:P156,"¶")+COUNTIF($E156:P156,"²")+COUNTIF($E156:P156,"µ")+COUNTIF($E156:P156,1)),
HYPERLINK("#Roadmap!C"&amp; MATCH($E156,Roadmap!$D:$D,0)+COUNTIF($E156:P156,"u")+COUNTIF($E156:P156,"t"),
     INDEX(Roadmap!$D:$K,MATCH($E156,Roadmap!$D:$D,0)+COUNTIF($E156:P156,"u")+COUNTIF($E156:P156,"t")+COUNTIF($E156:P156,"¶")+COUNTIF($E156:P156,"²")+COUNTIF($E156:P156,"µ")+COUNTIF($E156:P156,1),ColTypeEcheance)),
  IF(LEN(P156)=1,
  IF(LEN(INDEX(Roadmap!$D:$K,MATCH($E156,Roadmap!$D:$D,0)-1+COUNTIF($E156:P156,"u")+COUNTIF($E156:P156,"t")+COUNTIF($E156:P156,"¶")+COUNTIF($E156:P156,"²")+COUNTIF($E156:P156,"µ")+COUNTIF($E156:P156,1),ColDescriptionCourte))&gt;1,
HYPERLINK("#Roadmap!C"&amp; MATCH($E156,Roadmap!$D:$D,0)+COUNTIF($E156:P156,"u")+COUNTIF($E156:P156,"t")+COUNTIF($E156:P156,"¶")+COUNTIF($E156:P156,"²")+COUNTIF($E156:P156,"µ")+COUNTIF($E156:P156,1)-1,INDEX(Roadmap!$D:$K,MATCH($E156,Roadmap!$D:$D,0)-1+COUNTIF($E156:P156,"u")+COUNTIF($E156:P156,"t")+COUNTIF($E156:P156,"¶")+COUNTIF($E156:P156,"²")+COUNTIF($E156:P156,"µ")+COUNTIF($E156:P156,1),ColDescriptionCourte)),""),
  "")),"")</f>
        <v/>
      </c>
      <c r="R156" s="40" t="str">
        <f ca="1">IFERROR(IF(AND(
  INDEX(Roadmap!$D:$K,MATCH($E156,Roadmap!$D:$D,0)+COUNTIF($E156:Q156,"u")+COUNTIF($E156:Q156,"t")+COUNTIF($E156:Q156,"¶")+COUNTIF($E156:Q156,"²")+COUNTIF($E156:Q156,"µ")+COUNTIF($E156:Q156,1),ColLivraison)=R$6,
  VLOOKUP($E156,INDIRECT("tri!"&amp; CHAR(64+ C0Col) &amp;":"&amp; CHAR(65+C0Col)),2,FALSE)&gt;COUNTIF($E156:Q156,"u")+COUNTIF($E156:Q156,"t")+COUNTIF($E156:Q156,"¶")+COUNTIF($E156:Q156,"²")+COUNTIF($E156:Q156,"µ")+COUNTIF($E156:Q156,1)),
HYPERLINK("#Roadmap!C"&amp; MATCH($E156,Roadmap!$D:$D,0)+COUNTIF($E156:Q156,"u")+COUNTIF($E156:Q156,"t"),
     INDEX(Roadmap!$D:$K,MATCH($E156,Roadmap!$D:$D,0)+COUNTIF($E156:Q156,"u")+COUNTIF($E156:Q156,"t")+COUNTIF($E156:Q156,"¶")+COUNTIF($E156:Q156,"²")+COUNTIF($E156:Q156,"µ")+COUNTIF($E156:Q156,1),ColTypeEcheance)),
  IF(LEN(Q156)=1,
  IF(LEN(INDEX(Roadmap!$D:$K,MATCH($E156,Roadmap!$D:$D,0)-1+COUNTIF($E156:Q156,"u")+COUNTIF($E156:Q156,"t")+COUNTIF($E156:Q156,"¶")+COUNTIF($E156:Q156,"²")+COUNTIF($E156:Q156,"µ")+COUNTIF($E156:Q156,1),ColDescriptionCourte))&gt;1,
HYPERLINK("#Roadmap!C"&amp; MATCH($E156,Roadmap!$D:$D,0)+COUNTIF($E156:Q156,"u")+COUNTIF($E156:Q156,"t")+COUNTIF($E156:Q156,"¶")+COUNTIF($E156:Q156,"²")+COUNTIF($E156:Q156,"µ")+COUNTIF($E156:Q156,1)-1,INDEX(Roadmap!$D:$K,MATCH($E156,Roadmap!$D:$D,0)-1+COUNTIF($E156:Q156,"u")+COUNTIF($E156:Q156,"t")+COUNTIF($E156:Q156,"¶")+COUNTIF($E156:Q156,"²")+COUNTIF($E156:Q156,"µ")+COUNTIF($E156:Q156,1),ColDescriptionCourte)),""),
  "")),"")</f>
        <v/>
      </c>
      <c r="S156" s="40" t="str">
        <f ca="1">IFERROR(IF(AND(
  INDEX(Roadmap!$D:$K,MATCH($E156,Roadmap!$D:$D,0)+COUNTIF($E156:R156,"u")+COUNTIF($E156:R156,"t")+COUNTIF($E156:R156,"¶")+COUNTIF($E156:R156,"²")+COUNTIF($E156:R156,"µ")+COUNTIF($E156:R156,1),ColLivraison)=S$6,
  VLOOKUP($E156,INDIRECT("tri!"&amp; CHAR(64+ C0Col) &amp;":"&amp; CHAR(65+C0Col)),2,FALSE)&gt;COUNTIF($E156:R156,"u")+COUNTIF($E156:R156,"t")+COUNTIF($E156:R156,"¶")+COUNTIF($E156:R156,"²")+COUNTIF($E156:R156,"µ")+COUNTIF($E156:R156,1)),
HYPERLINK("#Roadmap!C"&amp; MATCH($E156,Roadmap!$D:$D,0)+COUNTIF($E156:R156,"u")+COUNTIF($E156:R156,"t"),
     INDEX(Roadmap!$D:$K,MATCH($E156,Roadmap!$D:$D,0)+COUNTIF($E156:R156,"u")+COUNTIF($E156:R156,"t")+COUNTIF($E156:R156,"¶")+COUNTIF($E156:R156,"²")+COUNTIF($E156:R156,"µ")+COUNTIF($E156:R156,1),ColTypeEcheance)),
  IF(LEN(R156)=1,
  IF(LEN(INDEX(Roadmap!$D:$K,MATCH($E156,Roadmap!$D:$D,0)-1+COUNTIF($E156:R156,"u")+COUNTIF($E156:R156,"t")+COUNTIF($E156:R156,"¶")+COUNTIF($E156:R156,"²")+COUNTIF($E156:R156,"µ")+COUNTIF($E156:R156,1),ColDescriptionCourte))&gt;1,
HYPERLINK("#Roadmap!C"&amp; MATCH($E156,Roadmap!$D:$D,0)+COUNTIF($E156:R156,"u")+COUNTIF($E156:R156,"t")+COUNTIF($E156:R156,"¶")+COUNTIF($E156:R156,"²")+COUNTIF($E156:R156,"µ")+COUNTIF($E156:R156,1)-1,INDEX(Roadmap!$D:$K,MATCH($E156,Roadmap!$D:$D,0)-1+COUNTIF($E156:R156,"u")+COUNTIF($E156:R156,"t")+COUNTIF($E156:R156,"¶")+COUNTIF($E156:R156,"²")+COUNTIF($E156:R156,"µ")+COUNTIF($E156:R156,1),ColDescriptionCourte)),""),
  "")),"")</f>
        <v/>
      </c>
      <c r="T156" s="40" t="str">
        <f ca="1">IFERROR(IF(AND(
  INDEX(Roadmap!$D:$K,MATCH($E156,Roadmap!$D:$D,0)+COUNTIF($E156:S156,"u")+COUNTIF($E156:S156,"t")+COUNTIF($E156:S156,"¶")+COUNTIF($E156:S156,"²")+COUNTIF($E156:S156,"µ")+COUNTIF($E156:S156,1),ColLivraison)=T$6,
  VLOOKUP($E156,INDIRECT("tri!"&amp; CHAR(64+ C0Col) &amp;":"&amp; CHAR(65+C0Col)),2,FALSE)&gt;COUNTIF($E156:S156,"u")+COUNTIF($E156:S156,"t")+COUNTIF($E156:S156,"¶")+COUNTIF($E156:S156,"²")+COUNTIF($E156:S156,"µ")+COUNTIF($E156:S156,1)),
HYPERLINK("#Roadmap!C"&amp; MATCH($E156,Roadmap!$D:$D,0)+COUNTIF($E156:S156,"u")+COUNTIF($E156:S156,"t"),
     INDEX(Roadmap!$D:$K,MATCH($E156,Roadmap!$D:$D,0)+COUNTIF($E156:S156,"u")+COUNTIF($E156:S156,"t")+COUNTIF($E156:S156,"¶")+COUNTIF($E156:S156,"²")+COUNTIF($E156:S156,"µ")+COUNTIF($E156:S156,1),ColTypeEcheance)),
  IF(LEN(S156)=1,
  IF(LEN(INDEX(Roadmap!$D:$K,MATCH($E156,Roadmap!$D:$D,0)-1+COUNTIF($E156:S156,"u")+COUNTIF($E156:S156,"t")+COUNTIF($E156:S156,"¶")+COUNTIF($E156:S156,"²")+COUNTIF($E156:S156,"µ")+COUNTIF($E156:S156,1),ColDescriptionCourte))&gt;1,
HYPERLINK("#Roadmap!C"&amp; MATCH($E156,Roadmap!$D:$D,0)+COUNTIF($E156:S156,"u")+COUNTIF($E156:S156,"t")+COUNTIF($E156:S156,"¶")+COUNTIF($E156:S156,"²")+COUNTIF($E156:S156,"µ")+COUNTIF($E156:S156,1)-1,INDEX(Roadmap!$D:$K,MATCH($E156,Roadmap!$D:$D,0)-1+COUNTIF($E156:S156,"u")+COUNTIF($E156:S156,"t")+COUNTIF($E156:S156,"¶")+COUNTIF($E156:S156,"²")+COUNTIF($E156:S156,"µ")+COUNTIF($E156:S156,1),ColDescriptionCourte)),""),
  "")),"")</f>
        <v/>
      </c>
      <c r="U156" s="40" t="str">
        <f ca="1">IFERROR(IF(AND(
  INDEX(Roadmap!$D:$K,MATCH($E156,Roadmap!$D:$D,0)+COUNTIF($E156:T156,"u")+COUNTIF($E156:T156,"t")+COUNTIF($E156:T156,"¶")+COUNTIF($E156:T156,"²")+COUNTIF($E156:T156,"µ")+COUNTIF($E156:T156,1),ColLivraison)=U$6,
  VLOOKUP($E156,INDIRECT("tri!"&amp; CHAR(64+ C0Col) &amp;":"&amp; CHAR(65+C0Col)),2,FALSE)&gt;COUNTIF($E156:T156,"u")+COUNTIF($E156:T156,"t")+COUNTIF($E156:T156,"¶")+COUNTIF($E156:T156,"²")+COUNTIF($E156:T156,"µ")+COUNTIF($E156:T156,1)),
HYPERLINK("#Roadmap!C"&amp; MATCH($E156,Roadmap!$D:$D,0)+COUNTIF($E156:T156,"u")+COUNTIF($E156:T156,"t"),
     INDEX(Roadmap!$D:$K,MATCH($E156,Roadmap!$D:$D,0)+COUNTIF($E156:T156,"u")+COUNTIF($E156:T156,"t")+COUNTIF($E156:T156,"¶")+COUNTIF($E156:T156,"²")+COUNTIF($E156:T156,"µ")+COUNTIF($E156:T156,1),ColTypeEcheance)),
  IF(LEN(T156)=1,
  IF(LEN(INDEX(Roadmap!$D:$K,MATCH($E156,Roadmap!$D:$D,0)-1+COUNTIF($E156:T156,"u")+COUNTIF($E156:T156,"t")+COUNTIF($E156:T156,"¶")+COUNTIF($E156:T156,"²")+COUNTIF($E156:T156,"µ")+COUNTIF($E156:T156,1),ColDescriptionCourte))&gt;1,
HYPERLINK("#Roadmap!C"&amp; MATCH($E156,Roadmap!$D:$D,0)+COUNTIF($E156:T156,"u")+COUNTIF($E156:T156,"t")+COUNTIF($E156:T156,"¶")+COUNTIF($E156:T156,"²")+COUNTIF($E156:T156,"µ")+COUNTIF($E156:T156,1)-1,INDEX(Roadmap!$D:$K,MATCH($E156,Roadmap!$D:$D,0)-1+COUNTIF($E156:T156,"u")+COUNTIF($E156:T156,"t")+COUNTIF($E156:T156,"¶")+COUNTIF($E156:T156,"²")+COUNTIF($E156:T156,"µ")+COUNTIF($E156:T156,1),ColDescriptionCourte)),""),
  "")),"")</f>
        <v/>
      </c>
      <c r="V156" s="40" t="str">
        <f ca="1">IFERROR(IF(AND(
  INDEX(Roadmap!$D:$K,MATCH($E156,Roadmap!$D:$D,0)+COUNTIF($E156:U156,"u")+COUNTIF($E156:U156,"t")+COUNTIF($E156:U156,"¶")+COUNTIF($E156:U156,"²")+COUNTIF($E156:U156,"µ")+COUNTIF($E156:U156,1),ColLivraison)=V$6,
  VLOOKUP($E156,INDIRECT("tri!"&amp; CHAR(64+ C0Col) &amp;":"&amp; CHAR(65+C0Col)),2,FALSE)&gt;COUNTIF($E156:U156,"u")+COUNTIF($E156:U156,"t")+COUNTIF($E156:U156,"¶")+COUNTIF($E156:U156,"²")+COUNTIF($E156:U156,"µ")+COUNTIF($E156:U156,1)),
HYPERLINK("#Roadmap!C"&amp; MATCH($E156,Roadmap!$D:$D,0)+COUNTIF($E156:U156,"u")+COUNTIF($E156:U156,"t"),
     INDEX(Roadmap!$D:$K,MATCH($E156,Roadmap!$D:$D,0)+COUNTIF($E156:U156,"u")+COUNTIF($E156:U156,"t")+COUNTIF($E156:U156,"¶")+COUNTIF($E156:U156,"²")+COUNTIF($E156:U156,"µ")+COUNTIF($E156:U156,1),ColTypeEcheance)),
  IF(LEN(U156)=1,
  IF(LEN(INDEX(Roadmap!$D:$K,MATCH($E156,Roadmap!$D:$D,0)-1+COUNTIF($E156:U156,"u")+COUNTIF($E156:U156,"t")+COUNTIF($E156:U156,"¶")+COUNTIF($E156:U156,"²")+COUNTIF($E156:U156,"µ")+COUNTIF($E156:U156,1),ColDescriptionCourte))&gt;1,
HYPERLINK("#Roadmap!C"&amp; MATCH($E156,Roadmap!$D:$D,0)+COUNTIF($E156:U156,"u")+COUNTIF($E156:U156,"t")+COUNTIF($E156:U156,"¶")+COUNTIF($E156:U156,"²")+COUNTIF($E156:U156,"µ")+COUNTIF($E156:U156,1)-1,INDEX(Roadmap!$D:$K,MATCH($E156,Roadmap!$D:$D,0)-1+COUNTIF($E156:U156,"u")+COUNTIF($E156:U156,"t")+COUNTIF($E156:U156,"¶")+COUNTIF($E156:U156,"²")+COUNTIF($E156:U156,"µ")+COUNTIF($E156:U156,1),ColDescriptionCourte)),""),
  "")),"")</f>
        <v/>
      </c>
      <c r="W156" s="40" t="str">
        <f ca="1">IFERROR(IF(AND(
  INDEX(Roadmap!$D:$K,MATCH($E156,Roadmap!$D:$D,0)+COUNTIF($E156:V156,"u")+COUNTIF($E156:V156,"t")+COUNTIF($E156:V156,"¶")+COUNTIF($E156:V156,"²")+COUNTIF($E156:V156,"µ")+COUNTIF($E156:V156,1),ColLivraison)=W$6,
  VLOOKUP($E156,INDIRECT("tri!"&amp; CHAR(64+ C0Col) &amp;":"&amp; CHAR(65+C0Col)),2,FALSE)&gt;COUNTIF($E156:V156,"u")+COUNTIF($E156:V156,"t")+COUNTIF($E156:V156,"¶")+COUNTIF($E156:V156,"²")+COUNTIF($E156:V156,"µ")+COUNTIF($E156:V156,1)),
HYPERLINK("#Roadmap!C"&amp; MATCH($E156,Roadmap!$D:$D,0)+COUNTIF($E156:V156,"u")+COUNTIF($E156:V156,"t"),
     INDEX(Roadmap!$D:$K,MATCH($E156,Roadmap!$D:$D,0)+COUNTIF($E156:V156,"u")+COUNTIF($E156:V156,"t")+COUNTIF($E156:V156,"¶")+COUNTIF($E156:V156,"²")+COUNTIF($E156:V156,"µ")+COUNTIF($E156:V156,1),ColTypeEcheance)),
  IF(LEN(V156)=1,
  IF(LEN(INDEX(Roadmap!$D:$K,MATCH($E156,Roadmap!$D:$D,0)-1+COUNTIF($E156:V156,"u")+COUNTIF($E156:V156,"t")+COUNTIF($E156:V156,"¶")+COUNTIF($E156:V156,"²")+COUNTIF($E156:V156,"µ")+COUNTIF($E156:V156,1),ColDescriptionCourte))&gt;1,
HYPERLINK("#Roadmap!C"&amp; MATCH($E156,Roadmap!$D:$D,0)+COUNTIF($E156:V156,"u")+COUNTIF($E156:V156,"t")+COUNTIF($E156:V156,"¶")+COUNTIF($E156:V156,"²")+COUNTIF($E156:V156,"µ")+COUNTIF($E156:V156,1)-1,INDEX(Roadmap!$D:$K,MATCH($E156,Roadmap!$D:$D,0)-1+COUNTIF($E156:V156,"u")+COUNTIF($E156:V156,"t")+COUNTIF($E156:V156,"¶")+COUNTIF($E156:V156,"²")+COUNTIF($E156:V156,"µ")+COUNTIF($E156:V156,1),ColDescriptionCourte)),""),
  "")),"")</f>
        <v/>
      </c>
      <c r="X156" s="40" t="str">
        <f ca="1">IFERROR(IF(AND(
  INDEX(Roadmap!$D:$K,MATCH($E156,Roadmap!$D:$D,0)+COUNTIF($E156:W156,"u")+COUNTIF($E156:W156,"t")+COUNTIF($E156:W156,"¶")+COUNTIF($E156:W156,"²")+COUNTIF($E156:W156,"µ")+COUNTIF($E156:W156,1),ColLivraison)=X$6,
  VLOOKUP($E156,INDIRECT("tri!"&amp; CHAR(64+ C0Col) &amp;":"&amp; CHAR(65+C0Col)),2,FALSE)&gt;COUNTIF($E156:W156,"u")+COUNTIF($E156:W156,"t")+COUNTIF($E156:W156,"¶")+COUNTIF($E156:W156,"²")+COUNTIF($E156:W156,"µ")+COUNTIF($E156:W156,1)),
HYPERLINK("#Roadmap!C"&amp; MATCH($E156,Roadmap!$D:$D,0)+COUNTIF($E156:W156,"u")+COUNTIF($E156:W156,"t"),
     INDEX(Roadmap!$D:$K,MATCH($E156,Roadmap!$D:$D,0)+COUNTIF($E156:W156,"u")+COUNTIF($E156:W156,"t")+COUNTIF($E156:W156,"¶")+COUNTIF($E156:W156,"²")+COUNTIF($E156:W156,"µ")+COUNTIF($E156:W156,1),ColTypeEcheance)),
  IF(LEN(W156)=1,
  IF(LEN(INDEX(Roadmap!$D:$K,MATCH($E156,Roadmap!$D:$D,0)-1+COUNTIF($E156:W156,"u")+COUNTIF($E156:W156,"t")+COUNTIF($E156:W156,"¶")+COUNTIF($E156:W156,"²")+COUNTIF($E156:W156,"µ")+COUNTIF($E156:W156,1),ColDescriptionCourte))&gt;1,
HYPERLINK("#Roadmap!C"&amp; MATCH($E156,Roadmap!$D:$D,0)+COUNTIF($E156:W156,"u")+COUNTIF($E156:W156,"t")+COUNTIF($E156:W156,"¶")+COUNTIF($E156:W156,"²")+COUNTIF($E156:W156,"µ")+COUNTIF($E156:W156,1)-1,INDEX(Roadmap!$D:$K,MATCH($E156,Roadmap!$D:$D,0)-1+COUNTIF($E156:W156,"u")+COUNTIF($E156:W156,"t")+COUNTIF($E156:W156,"¶")+COUNTIF($E156:W156,"²")+COUNTIF($E156:W156,"µ")+COUNTIF($E156:W156,1),ColDescriptionCourte)),""),
  "")),"")</f>
        <v/>
      </c>
      <c r="Y156" s="40" t="str">
        <f ca="1">IFERROR(IF(AND(
  INDEX(Roadmap!$D:$K,MATCH($E156,Roadmap!$D:$D,0)+COUNTIF($E156:X156,"u")+COUNTIF($E156:X156,"t")+COUNTIF($E156:X156,"¶")+COUNTIF($E156:X156,"²")+COUNTIF($E156:X156,"µ")+COUNTIF($E156:X156,1),ColLivraison)=Y$6,
  VLOOKUP($E156,INDIRECT("tri!"&amp; CHAR(64+ C0Col) &amp;":"&amp; CHAR(65+C0Col)),2,FALSE)&gt;COUNTIF($E156:X156,"u")+COUNTIF($E156:X156,"t")+COUNTIF($E156:X156,"¶")+COUNTIF($E156:X156,"²")+COUNTIF($E156:X156,"µ")+COUNTIF($E156:X156,1)),
HYPERLINK("#Roadmap!C"&amp; MATCH($E156,Roadmap!$D:$D,0)+COUNTIF($E156:X156,"u")+COUNTIF($E156:X156,"t"),
     INDEX(Roadmap!$D:$K,MATCH($E156,Roadmap!$D:$D,0)+COUNTIF($E156:X156,"u")+COUNTIF($E156:X156,"t")+COUNTIF($E156:X156,"¶")+COUNTIF($E156:X156,"²")+COUNTIF($E156:X156,"µ")+COUNTIF($E156:X156,1),ColTypeEcheance)),
  IF(LEN(X156)=1,
  IF(LEN(INDEX(Roadmap!$D:$K,MATCH($E156,Roadmap!$D:$D,0)-1+COUNTIF($E156:X156,"u")+COUNTIF($E156:X156,"t")+COUNTIF($E156:X156,"¶")+COUNTIF($E156:X156,"²")+COUNTIF($E156:X156,"µ")+COUNTIF($E156:X156,1),ColDescriptionCourte))&gt;1,
HYPERLINK("#Roadmap!C"&amp; MATCH($E156,Roadmap!$D:$D,0)+COUNTIF($E156:X156,"u")+COUNTIF($E156:X156,"t")+COUNTIF($E156:X156,"¶")+COUNTIF($E156:X156,"²")+COUNTIF($E156:X156,"µ")+COUNTIF($E156:X156,1)-1,INDEX(Roadmap!$D:$K,MATCH($E156,Roadmap!$D:$D,0)-1+COUNTIF($E156:X156,"u")+COUNTIF($E156:X156,"t")+COUNTIF($E156:X156,"¶")+COUNTIF($E156:X156,"²")+COUNTIF($E156:X156,"µ")+COUNTIF($E156:X156,1),ColDescriptionCourte)),""),
  "")),"")</f>
        <v/>
      </c>
      <c r="Z156" s="40" t="str">
        <f ca="1">IFERROR(IF(AND(
  INDEX(Roadmap!$D:$K,MATCH($E156,Roadmap!$D:$D,0)+COUNTIF($E156:Y156,"u")+COUNTIF($E156:Y156,"t")+COUNTIF($E156:Y156,"¶")+COUNTIF($E156:Y156,"²")+COUNTIF($E156:Y156,"µ")+COUNTIF($E156:Y156,1),ColLivraison)=Z$6,
  VLOOKUP($E156,INDIRECT("tri!"&amp; CHAR(64+ C0Col) &amp;":"&amp; CHAR(65+C0Col)),2,FALSE)&gt;COUNTIF($E156:Y156,"u")+COUNTIF($E156:Y156,"t")+COUNTIF($E156:Y156,"¶")+COUNTIF($E156:Y156,"²")+COUNTIF($E156:Y156,"µ")+COUNTIF($E156:Y156,1)),
HYPERLINK("#Roadmap!C"&amp; MATCH($E156,Roadmap!$D:$D,0)+COUNTIF($E156:Y156,"u")+COUNTIF($E156:Y156,"t"),
     INDEX(Roadmap!$D:$K,MATCH($E156,Roadmap!$D:$D,0)+COUNTIF($E156:Y156,"u")+COUNTIF($E156:Y156,"t")+COUNTIF($E156:Y156,"¶")+COUNTIF($E156:Y156,"²")+COUNTIF($E156:Y156,"µ")+COUNTIF($E156:Y156,1),ColTypeEcheance)),
  IF(LEN(Y156)=1,
  IF(LEN(INDEX(Roadmap!$D:$K,MATCH($E156,Roadmap!$D:$D,0)-1+COUNTIF($E156:Y156,"u")+COUNTIF($E156:Y156,"t")+COUNTIF($E156:Y156,"¶")+COUNTIF($E156:Y156,"²")+COUNTIF($E156:Y156,"µ")+COUNTIF($E156:Y156,1),ColDescriptionCourte))&gt;1,
HYPERLINK("#Roadmap!C"&amp; MATCH($E156,Roadmap!$D:$D,0)+COUNTIF($E156:Y156,"u")+COUNTIF($E156:Y156,"t")+COUNTIF($E156:Y156,"¶")+COUNTIF($E156:Y156,"²")+COUNTIF($E156:Y156,"µ")+COUNTIF($E156:Y156,1)-1,INDEX(Roadmap!$D:$K,MATCH($E156,Roadmap!$D:$D,0)-1+COUNTIF($E156:Y156,"u")+COUNTIF($E156:Y156,"t")+COUNTIF($E156:Y156,"¶")+COUNTIF($E156:Y156,"²")+COUNTIF($E156:Y156,"µ")+COUNTIF($E156:Y156,1),ColDescriptionCourte)),""),
  "")),"")</f>
        <v/>
      </c>
      <c r="AA156" s="40" t="str">
        <f ca="1">IFERROR(IF(AND(
  INDEX(Roadmap!$D:$K,MATCH($E156,Roadmap!$D:$D,0)+COUNTIF($E156:Z156,"u")+COUNTIF($E156:Z156,"t")+COUNTIF($E156:Z156,"¶")+COUNTIF($E156:Z156,"²")+COUNTIF($E156:Z156,"µ")+COUNTIF($E156:Z156,1),ColLivraison)=AA$6,
  VLOOKUP($E156,INDIRECT("tri!"&amp; CHAR(64+ C0Col) &amp;":"&amp; CHAR(65+C0Col)),2,FALSE)&gt;COUNTIF($E156:Z156,"u")+COUNTIF($E156:Z156,"t")+COUNTIF($E156:Z156,"¶")+COUNTIF($E156:Z156,"²")+COUNTIF($E156:Z156,"µ")+COUNTIF($E156:Z156,1)),
HYPERLINK("#Roadmap!C"&amp; MATCH($E156,Roadmap!$D:$D,0)+COUNTIF($E156:Z156,"u")+COUNTIF($E156:Z156,"t"),
     INDEX(Roadmap!$D:$K,MATCH($E156,Roadmap!$D:$D,0)+COUNTIF($E156:Z156,"u")+COUNTIF($E156:Z156,"t")+COUNTIF($E156:Z156,"¶")+COUNTIF($E156:Z156,"²")+COUNTIF($E156:Z156,"µ")+COUNTIF($E156:Z156,1),ColTypeEcheance)),
  IF(LEN(Z156)=1,
  IF(LEN(INDEX(Roadmap!$D:$K,MATCH($E156,Roadmap!$D:$D,0)-1+COUNTIF($E156:Z156,"u")+COUNTIF($E156:Z156,"t")+COUNTIF($E156:Z156,"¶")+COUNTIF($E156:Z156,"²")+COUNTIF($E156:Z156,"µ")+COUNTIF($E156:Z156,1),ColDescriptionCourte))&gt;1,
HYPERLINK("#Roadmap!C"&amp; MATCH($E156,Roadmap!$D:$D,0)+COUNTIF($E156:Z156,"u")+COUNTIF($E156:Z156,"t")+COUNTIF($E156:Z156,"¶")+COUNTIF($E156:Z156,"²")+COUNTIF($E156:Z156,"µ")+COUNTIF($E156:Z156,1)-1,INDEX(Roadmap!$D:$K,MATCH($E156,Roadmap!$D:$D,0)-1+COUNTIF($E156:Z156,"u")+COUNTIF($E156:Z156,"t")+COUNTIF($E156:Z156,"¶")+COUNTIF($E156:Z156,"²")+COUNTIF($E156:Z156,"µ")+COUNTIF($E156:Z156,1),ColDescriptionCourte)),""),
  "")),"")</f>
        <v/>
      </c>
      <c r="AB156" s="40" t="str">
        <f ca="1">IFERROR(IF(AND(
  INDEX(Roadmap!$D:$K,MATCH($E156,Roadmap!$D:$D,0)+COUNTIF($E156:AA156,"u")+COUNTIF($E156:AA156,"t")+COUNTIF($E156:AA156,"¶")+COUNTIF($E156:AA156,"²")+COUNTIF($E156:AA156,"µ")+COUNTIF($E156:AA156,1),ColLivraison)=AB$6,
  VLOOKUP($E156,INDIRECT("tri!"&amp; CHAR(64+ C0Col) &amp;":"&amp; CHAR(65+C0Col)),2,FALSE)&gt;COUNTIF($E156:AA156,"u")+COUNTIF($E156:AA156,"t")+COUNTIF($E156:AA156,"¶")+COUNTIF($E156:AA156,"²")+COUNTIF($E156:AA156,"µ")+COUNTIF($E156:AA156,1)),
HYPERLINK("#Roadmap!C"&amp; MATCH($E156,Roadmap!$D:$D,0)+COUNTIF($E156:AA156,"u")+COUNTIF($E156:AA156,"t"),
     INDEX(Roadmap!$D:$K,MATCH($E156,Roadmap!$D:$D,0)+COUNTIF($E156:AA156,"u")+COUNTIF($E156:AA156,"t")+COUNTIF($E156:AA156,"¶")+COUNTIF($E156:AA156,"²")+COUNTIF($E156:AA156,"µ")+COUNTIF($E156:AA156,1),ColTypeEcheance)),
  IF(LEN(AA156)=1,
  IF(LEN(INDEX(Roadmap!$D:$K,MATCH($E156,Roadmap!$D:$D,0)-1+COUNTIF($E156:AA156,"u")+COUNTIF($E156:AA156,"t")+COUNTIF($E156:AA156,"¶")+COUNTIF($E156:AA156,"²")+COUNTIF($E156:AA156,"µ")+COUNTIF($E156:AA156,1),ColDescriptionCourte))&gt;1,
HYPERLINK("#Roadmap!C"&amp; MATCH($E156,Roadmap!$D:$D,0)+COUNTIF($E156:AA156,"u")+COUNTIF($E156:AA156,"t")+COUNTIF($E156:AA156,"¶")+COUNTIF($E156:AA156,"²")+COUNTIF($E156:AA156,"µ")+COUNTIF($E156:AA156,1)-1,INDEX(Roadmap!$D:$K,MATCH($E156,Roadmap!$D:$D,0)-1+COUNTIF($E156:AA156,"u")+COUNTIF($E156:AA156,"t")+COUNTIF($E156:AA156,"¶")+COUNTIF($E156:AA156,"²")+COUNTIF($E156:AA156,"µ")+COUNTIF($E156:AA156,1),ColDescriptionCourte)),""),
  "")),"")</f>
        <v/>
      </c>
      <c r="AC156" s="40" t="str">
        <f ca="1">IFERROR(IF(AND(
  INDEX(Roadmap!$D:$K,MATCH($E156,Roadmap!$D:$D,0)+COUNTIF($E156:AB156,"u")+COUNTIF($E156:AB156,"t")+COUNTIF($E156:AB156,"¶")+COUNTIF($E156:AB156,"²")+COUNTIF($E156:AB156,"µ")+COUNTIF($E156:AB156,1),ColLivraison)=AC$6,
  VLOOKUP($E156,INDIRECT("tri!"&amp; CHAR(64+ C0Col) &amp;":"&amp; CHAR(65+C0Col)),2,FALSE)&gt;COUNTIF($E156:AB156,"u")+COUNTIF($E156:AB156,"t")+COUNTIF($E156:AB156,"¶")+COUNTIF($E156:AB156,"²")+COUNTIF($E156:AB156,"µ")+COUNTIF($E156:AB156,1)),
HYPERLINK("#Roadmap!C"&amp; MATCH($E156,Roadmap!$D:$D,0)+COUNTIF($E156:AB156,"u")+COUNTIF($E156:AB156,"t"),
     INDEX(Roadmap!$D:$K,MATCH($E156,Roadmap!$D:$D,0)+COUNTIF($E156:AB156,"u")+COUNTIF($E156:AB156,"t")+COUNTIF($E156:AB156,"¶")+COUNTIF($E156:AB156,"²")+COUNTIF($E156:AB156,"µ")+COUNTIF($E156:AB156,1),ColTypeEcheance)),
  IF(LEN(AB156)=1,
  IF(LEN(INDEX(Roadmap!$D:$K,MATCH($E156,Roadmap!$D:$D,0)-1+COUNTIF($E156:AB156,"u")+COUNTIF($E156:AB156,"t")+COUNTIF($E156:AB156,"¶")+COUNTIF($E156:AB156,"²")+COUNTIF($E156:AB156,"µ")+COUNTIF($E156:AB156,1),ColDescriptionCourte))&gt;1,
HYPERLINK("#Roadmap!C"&amp; MATCH($E156,Roadmap!$D:$D,0)+COUNTIF($E156:AB156,"u")+COUNTIF($E156:AB156,"t")+COUNTIF($E156:AB156,"¶")+COUNTIF($E156:AB156,"²")+COUNTIF($E156:AB156,"µ")+COUNTIF($E156:AB156,1)-1,INDEX(Roadmap!$D:$K,MATCH($E156,Roadmap!$D:$D,0)-1+COUNTIF($E156:AB156,"u")+COUNTIF($E156:AB156,"t")+COUNTIF($E156:AB156,"¶")+COUNTIF($E156:AB156,"²")+COUNTIF($E156:AB156,"µ")+COUNTIF($E156:AB156,1),ColDescriptionCourte)),""),
  "")),"")</f>
        <v/>
      </c>
      <c r="AD156" s="40" t="str">
        <f ca="1">IFERROR(IF(AND(
  INDEX(Roadmap!$D:$K,MATCH($E156,Roadmap!$D:$D,0)+COUNTIF($E156:AC156,"u")+COUNTIF($E156:AC156,"t")+COUNTIF($E156:AC156,"¶")+COUNTIF($E156:AC156,"²")+COUNTIF($E156:AC156,"µ")+COUNTIF($E156:AC156,1),ColLivraison)=AD$6,
  VLOOKUP($E156,INDIRECT("tri!"&amp; CHAR(64+ C0Col) &amp;":"&amp; CHAR(65+C0Col)),2,FALSE)&gt;COUNTIF($E156:AC156,"u")+COUNTIF($E156:AC156,"t")+COUNTIF($E156:AC156,"¶")+COUNTIF($E156:AC156,"²")+COUNTIF($E156:AC156,"µ")+COUNTIF($E156:AC156,1)),
HYPERLINK("#Roadmap!C"&amp; MATCH($E156,Roadmap!$D:$D,0)+COUNTIF($E156:AC156,"u")+COUNTIF($E156:AC156,"t"),
     INDEX(Roadmap!$D:$K,MATCH($E156,Roadmap!$D:$D,0)+COUNTIF($E156:AC156,"u")+COUNTIF($E156:AC156,"t")+COUNTIF($E156:AC156,"¶")+COUNTIF($E156:AC156,"²")+COUNTIF($E156:AC156,"µ")+COUNTIF($E156:AC156,1),ColTypeEcheance)),
  IF(LEN(AC156)=1,
  IF(LEN(INDEX(Roadmap!$D:$K,MATCH($E156,Roadmap!$D:$D,0)-1+COUNTIF($E156:AC156,"u")+COUNTIF($E156:AC156,"t")+COUNTIF($E156:AC156,"¶")+COUNTIF($E156:AC156,"²")+COUNTIF($E156:AC156,"µ")+COUNTIF($E156:AC156,1),ColDescriptionCourte))&gt;1,
HYPERLINK("#Roadmap!C"&amp; MATCH($E156,Roadmap!$D:$D,0)+COUNTIF($E156:AC156,"u")+COUNTIF($E156:AC156,"t")+COUNTIF($E156:AC156,"¶")+COUNTIF($E156:AC156,"²")+COUNTIF($E156:AC156,"µ")+COUNTIF($E156:AC156,1)-1,INDEX(Roadmap!$D:$K,MATCH($E156,Roadmap!$D:$D,0)-1+COUNTIF($E156:AC156,"u")+COUNTIF($E156:AC156,"t")+COUNTIF($E156:AC156,"¶")+COUNTIF($E156:AC156,"²")+COUNTIF($E156:AC156,"µ")+COUNTIF($E156:AC156,1),ColDescriptionCourte)),""),
  "")),"")</f>
        <v/>
      </c>
      <c r="AE156" s="40" t="str">
        <f ca="1">IFERROR(IF(AND(
  INDEX(Roadmap!$D:$K,MATCH($E156,Roadmap!$D:$D,0)+COUNTIF($E156:AD156,"u")+COUNTIF($E156:AD156,"t")+COUNTIF($E156:AD156,"¶")+COUNTIF($E156:AD156,"²")+COUNTIF($E156:AD156,"µ")+COUNTIF($E156:AD156,1),ColLivraison)=AE$6,
  VLOOKUP($E156,INDIRECT("tri!"&amp; CHAR(64+ C0Col) &amp;":"&amp; CHAR(65+C0Col)),2,FALSE)&gt;COUNTIF($E156:AD156,"u")+COUNTIF($E156:AD156,"t")+COUNTIF($E156:AD156,"¶")+COUNTIF($E156:AD156,"²")+COUNTIF($E156:AD156,"µ")+COUNTIF($E156:AD156,1)),
HYPERLINK("#Roadmap!C"&amp; MATCH($E156,Roadmap!$D:$D,0)+COUNTIF($E156:AD156,"u")+COUNTIF($E156:AD156,"t"),
     INDEX(Roadmap!$D:$K,MATCH($E156,Roadmap!$D:$D,0)+COUNTIF($E156:AD156,"u")+COUNTIF($E156:AD156,"t")+COUNTIF($E156:AD156,"¶")+COUNTIF($E156:AD156,"²")+COUNTIF($E156:AD156,"µ")+COUNTIF($E156:AD156,1),ColTypeEcheance)),
  IF(LEN(AD156)=1,
  IF(LEN(INDEX(Roadmap!$D:$K,MATCH($E156,Roadmap!$D:$D,0)-1+COUNTIF($E156:AD156,"u")+COUNTIF($E156:AD156,"t")+COUNTIF($E156:AD156,"¶")+COUNTIF($E156:AD156,"²")+COUNTIF($E156:AD156,"µ")+COUNTIF($E156:AD156,1),ColDescriptionCourte))&gt;1,
HYPERLINK("#Roadmap!C"&amp; MATCH($E156,Roadmap!$D:$D,0)+COUNTIF($E156:AD156,"u")+COUNTIF($E156:AD156,"t")+COUNTIF($E156:AD156,"¶")+COUNTIF($E156:AD156,"²")+COUNTIF($E156:AD156,"µ")+COUNTIF($E156:AD156,1)-1,INDEX(Roadmap!$D:$K,MATCH($E156,Roadmap!$D:$D,0)-1+COUNTIF($E156:AD156,"u")+COUNTIF($E156:AD156,"t")+COUNTIF($E156:AD156,"¶")+COUNTIF($E156:AD156,"²")+COUNTIF($E156:AD156,"µ")+COUNTIF($E156:AD156,1),ColDescriptionCourte)),""),
  "")),"")</f>
        <v/>
      </c>
      <c r="AF156" s="40" t="str">
        <f ca="1">IFERROR(IF(AND(
  INDEX(Roadmap!$D:$K,MATCH($E156,Roadmap!$D:$D,0)+COUNTIF($E156:AE156,"u")+COUNTIF($E156:AE156,"t")+COUNTIF($E156:AE156,"¶")+COUNTIF($E156:AE156,"²")+COUNTIF($E156:AE156,"µ")+COUNTIF($E156:AE156,1),ColLivraison)=AF$6,
  VLOOKUP($E156,INDIRECT("tri!"&amp; CHAR(64+ C0Col) &amp;":"&amp; CHAR(65+C0Col)),2,FALSE)&gt;COUNTIF($E156:AE156,"u")+COUNTIF($E156:AE156,"t")+COUNTIF($E156:AE156,"¶")+COUNTIF($E156:AE156,"²")+COUNTIF($E156:AE156,"µ")+COUNTIF($E156:AE156,1)),
HYPERLINK("#Roadmap!C"&amp; MATCH($E156,Roadmap!$D:$D,0)+COUNTIF($E156:AE156,"u")+COUNTIF($E156:AE156,"t"),
     INDEX(Roadmap!$D:$K,MATCH($E156,Roadmap!$D:$D,0)+COUNTIF($E156:AE156,"u")+COUNTIF($E156:AE156,"t")+COUNTIF($E156:AE156,"¶")+COUNTIF($E156:AE156,"²")+COUNTIF($E156:AE156,"µ")+COUNTIF($E156:AE156,1),ColTypeEcheance)),
  IF(LEN(AE156)=1,
  IF(LEN(INDEX(Roadmap!$D:$K,MATCH($E156,Roadmap!$D:$D,0)-1+COUNTIF($E156:AE156,"u")+COUNTIF($E156:AE156,"t")+COUNTIF($E156:AE156,"¶")+COUNTIF($E156:AE156,"²")+COUNTIF($E156:AE156,"µ")+COUNTIF($E156:AE156,1),ColDescriptionCourte))&gt;1,
HYPERLINK("#Roadmap!C"&amp; MATCH($E156,Roadmap!$D:$D,0)+COUNTIF($E156:AE156,"u")+COUNTIF($E156:AE156,"t")+COUNTIF($E156:AE156,"¶")+COUNTIF($E156:AE156,"²")+COUNTIF($E156:AE156,"µ")+COUNTIF($E156:AE156,1)-1,INDEX(Roadmap!$D:$K,MATCH($E156,Roadmap!$D:$D,0)-1+COUNTIF($E156:AE156,"u")+COUNTIF($E156:AE156,"t")+COUNTIF($E156:AE156,"¶")+COUNTIF($E156:AE156,"²")+COUNTIF($E156:AE156,"µ")+COUNTIF($E156:AE156,1),ColDescriptionCourte)),""),
  "")),"")</f>
        <v/>
      </c>
      <c r="AG156" s="40" t="str">
        <f ca="1">IFERROR(IF(AND(
  INDEX(Roadmap!$D:$K,MATCH($E156,Roadmap!$D:$D,0)+COUNTIF($E156:AF156,"u")+COUNTIF($E156:AF156,"t")+COUNTIF($E156:AF156,"¶")+COUNTIF($E156:AF156,"²")+COUNTIF($E156:AF156,"µ")+COUNTIF($E156:AF156,1),ColLivraison)=AG$6,
  VLOOKUP($E156,INDIRECT("tri!"&amp; CHAR(64+ C0Col) &amp;":"&amp; CHAR(65+C0Col)),2,FALSE)&gt;COUNTIF($E156:AF156,"u")+COUNTIF($E156:AF156,"t")+COUNTIF($E156:AF156,"¶")+COUNTIF($E156:AF156,"²")+COUNTIF($E156:AF156,"µ")+COUNTIF($E156:AF156,1)),
HYPERLINK("#Roadmap!C"&amp; MATCH($E156,Roadmap!$D:$D,0)+COUNTIF($E156:AF156,"u")+COUNTIF($E156:AF156,"t"),
     INDEX(Roadmap!$D:$K,MATCH($E156,Roadmap!$D:$D,0)+COUNTIF($E156:AF156,"u")+COUNTIF($E156:AF156,"t")+COUNTIF($E156:AF156,"¶")+COUNTIF($E156:AF156,"²")+COUNTIF($E156:AF156,"µ")+COUNTIF($E156:AF156,1),ColTypeEcheance)),
  IF(LEN(AF156)=1,
  IF(LEN(INDEX(Roadmap!$D:$K,MATCH($E156,Roadmap!$D:$D,0)-1+COUNTIF($E156:AF156,"u")+COUNTIF($E156:AF156,"t")+COUNTIF($E156:AF156,"¶")+COUNTIF($E156:AF156,"²")+COUNTIF($E156:AF156,"µ")+COUNTIF($E156:AF156,1),ColDescriptionCourte))&gt;1,
HYPERLINK("#Roadmap!C"&amp; MATCH($E156,Roadmap!$D:$D,0)+COUNTIF($E156:AF156,"u")+COUNTIF($E156:AF156,"t")+COUNTIF($E156:AF156,"¶")+COUNTIF($E156:AF156,"²")+COUNTIF($E156:AF156,"µ")+COUNTIF($E156:AF156,1)-1,INDEX(Roadmap!$D:$K,MATCH($E156,Roadmap!$D:$D,0)-1+COUNTIF($E156:AF156,"u")+COUNTIF($E156:AF156,"t")+COUNTIF($E156:AF156,"¶")+COUNTIF($E156:AF156,"²")+COUNTIF($E156:AF156,"µ")+COUNTIF($E156:AF156,1),ColDescriptionCourte)),""),
  "")),"")</f>
        <v/>
      </c>
      <c r="AH156" s="40" t="str">
        <f ca="1">IFERROR(IF(AND(
  INDEX(Roadmap!$D:$K,MATCH($E156,Roadmap!$D:$D,0)+COUNTIF($E156:AG156,"u")+COUNTIF($E156:AG156,"t")+COUNTIF($E156:AG156,1),ColLivraison)=AH$6,
  VLOOKUP($E156,INDIRECT("tri!"&amp; CHAR(64+ C0Col) &amp;":"&amp; CHAR(65+C0Col)),2,FALSE)&gt;COUNTIF($E156:AG156,"u")+COUNTIF($E156:AG156,"t")+COUNTIF($E156:AG156,1)),
HYPERLINK("#Roadmap!C"&amp; MATCH($E156,Roadmap!$D:$D,0)+COUNTIF($E156:AG156,"u")+COUNTIF($E156:AG156,"t"),
     INDEX(Roadmap!$D:$K,MATCH($E156,Roadmap!$D:$D,0)+COUNTIF($E156:AG156,"u")+COUNTIF($E156:AG156,"t")+COUNTIF($E156:AG156,1),ColTypeEcheance)),
  IF(OR(AG156="u",AG156="t",AG156=1),
  IF(LEN(INDEX(Roadmap!$D:$K,MATCH($E156,Roadmap!$D:$D,0)-1+COUNTIF($E156:AG156,"u")+COUNTIF($E156:AG156,"t")+COUNTIF($E156:AG156,1),ColDescriptionCourte))&gt;1,
HYPERLINK("#Roadmap!C"&amp; MATCH($E156,Roadmap!$D:$D,0)+COUNTIF($E156:AG156,"u")+COUNTIF($E156:AG156,"t")+COUNTIF($E156:AG156,1)-1,INDEX(Roadmap!$D:$K,MATCH($E156,Roadmap!$D:$D,0)-1+COUNTIF($E156:AG156,"u")+COUNTIF($E156:AG156,"t")+COUNTIF($E156:AG156,1),ColDescriptionCourte)),""),
  "")),"")</f>
        <v/>
      </c>
      <c r="AI156" s="40"/>
      <c r="AJ156" s="40"/>
      <c r="AK156" s="40"/>
      <c r="AL156" s="40"/>
      <c r="AM156" s="40"/>
    </row>
    <row r="157" spans="4:39" ht="14.1" customHeight="1">
      <c r="D157" s="20" t="str">
        <f t="shared" ca="1" si="31"/>
        <v/>
      </c>
      <c r="E157" s="53" t="str">
        <f t="shared" ca="1" si="32"/>
        <v/>
      </c>
      <c r="F157" s="39" t="str">
        <f ca="1">IFERROR(IF(AND(
  INDEX(Roadmap!$D:$K,MATCH($E157,Roadmap!$D:$D,0)+COUNTIF($E157:E157,"u")+COUNTIF($E157:E157,"t")+COUNTIF($E157:E157,"¶")+COUNTIF($E157:E157,"²")+COUNTIF($E157:E157,"µ")+COUNTIF($E157:E157,1),ColLivraison)=F$6,
  VLOOKUP($E157,INDIRECT("tri!"&amp; CHAR(64+ C0Col) &amp;":"&amp; CHAR(65+C0Col)),2,FALSE)&gt;COUNTIF($E157:E157,"u")+COUNTIF($E157:E157,"t")+COUNTIF($E157:E157,"¶")+COUNTIF($E157:E157,"²")+COUNTIF($E157:E157,"µ")+COUNTIF($E157:E157,1)),
HYPERLINK("#Roadmap!C"&amp; MATCH($E157,Roadmap!$D:$D,0)+COUNTIF($E157:E157,"u")+COUNTIF($E157:E157,"t"),
     INDEX(Roadmap!$D:$K,MATCH($E157,Roadmap!$D:$D,0)+COUNTIF($E157:E157,"u")+COUNTIF($E157:E157,"t")+COUNTIF($E157:E157,"¶")+COUNTIF($E157:E157,"²")+COUNTIF($E157:E157,"µ")+COUNTIF($E157:E157,1),ColTypeEcheance)),
  IF(LEN(E157)=1,
  IF(LEN(INDEX(Roadmap!$D:$K,MATCH($E157,Roadmap!$D:$D,0)-1+COUNTIF($E157:E157,"u")+COUNTIF($E157:E157,"t")+COUNTIF($E157:E157,"¶")+COUNTIF($E157:E157,"²")+COUNTIF($E157:E157,"µ")+COUNTIF($E157:E157,1),ColDescriptionCourte))&gt;1,
HYPERLINK("#Roadmap!C"&amp; MATCH($E157,Roadmap!$D:$D,0)+COUNTIF($E157:E157,"u")+COUNTIF($E157:E157,"t")+COUNTIF($E157:E157,"¶")+COUNTIF($E157:E157,"²")+COUNTIF($E157:E157,"µ")+COUNTIF($E157:E157,1)-1,INDEX(Roadmap!$D:$K,MATCH($E157,Roadmap!$D:$D,0)-1+COUNTIF($E157:E157,"u")+COUNTIF($E157:E157,"t")+COUNTIF($E157:E157,"¶")+COUNTIF($E157:E157,"²")+COUNTIF($E157:E157,"µ")+COUNTIF($E157:E157,1),ColDescriptionCourte)),""),
  "")),"")</f>
        <v/>
      </c>
      <c r="G157" s="40" t="str">
        <f ca="1">IFERROR(IF(AND(
  INDEX(Roadmap!$D:$K,MATCH($E157,Roadmap!$D:$D,0)+COUNTIF($E157:F157,"u")+COUNTIF($E157:F157,"t")+COUNTIF($E157:F157,"¶")+COUNTIF($E157:F157,"²")+COUNTIF($E157:F157,"µ")+COUNTIF($E157:F157,1),ColLivraison)=G$6,
  VLOOKUP($E157,INDIRECT("tri!"&amp; CHAR(64+ C0Col) &amp;":"&amp; CHAR(65+C0Col)),2,FALSE)&gt;COUNTIF($E157:F157,"u")+COUNTIF($E157:F157,"t")+COUNTIF($E157:F157,"¶")+COUNTIF($E157:F157,"²")+COUNTIF($E157:F157,"µ")+COUNTIF($E157:F157,1)),
HYPERLINK("#Roadmap!C"&amp; MATCH($E157,Roadmap!$D:$D,0)+COUNTIF($E157:F157,"u")+COUNTIF($E157:F157,"t"),
     INDEX(Roadmap!$D:$K,MATCH($E157,Roadmap!$D:$D,0)+COUNTIF($E157:F157,"u")+COUNTIF($E157:F157,"t")+COUNTIF($E157:F157,"¶")+COUNTIF($E157:F157,"²")+COUNTIF($E157:F157,"µ")+COUNTIF($E157:F157,1),ColTypeEcheance)),
  IF(LEN(F157)=1,
  IF(LEN(INDEX(Roadmap!$D:$K,MATCH($E157,Roadmap!$D:$D,0)-1+COUNTIF($E157:F157,"u")+COUNTIF($E157:F157,"t")+COUNTIF($E157:F157,"¶")+COUNTIF($E157:F157,"²")+COUNTIF($E157:F157,"µ")+COUNTIF($E157:F157,1),ColDescriptionCourte))&gt;1,
HYPERLINK("#Roadmap!C"&amp; MATCH($E157,Roadmap!$D:$D,0)+COUNTIF($E157:F157,"u")+COUNTIF($E157:F157,"t")+COUNTIF($E157:F157,"¶")+COUNTIF($E157:F157,"²")+COUNTIF($E157:F157,"µ")+COUNTIF($E157:F157,1)-1,INDEX(Roadmap!$D:$K,MATCH($E157,Roadmap!$D:$D,0)-1+COUNTIF($E157:F157,"u")+COUNTIF($E157:F157,"t")+COUNTIF($E157:F157,"¶")+COUNTIF($E157:F157,"²")+COUNTIF($E157:F157,"µ")+COUNTIF($E157:F157,1),ColDescriptionCourte)),""),
  "")),"")</f>
        <v/>
      </c>
      <c r="H157" s="40" t="str">
        <f ca="1">IFERROR(IF(AND(
  INDEX(Roadmap!$D:$K,MATCH($E157,Roadmap!$D:$D,0)+COUNTIF($E157:G157,"u")+COUNTIF($E157:G157,"t")+COUNTIF($E157:G157,"¶")+COUNTIF($E157:G157,"²")+COUNTIF($E157:G157,"µ")+COUNTIF($E157:G157,1),ColLivraison)=H$6,
  VLOOKUP($E157,INDIRECT("tri!"&amp; CHAR(64+ C0Col) &amp;":"&amp; CHAR(65+C0Col)),2,FALSE)&gt;COUNTIF($E157:G157,"u")+COUNTIF($E157:G157,"t")+COUNTIF($E157:G157,"¶")+COUNTIF($E157:G157,"²")+COUNTIF($E157:G157,"µ")+COUNTIF($E157:G157,1)),
HYPERLINK("#Roadmap!C"&amp; MATCH($E157,Roadmap!$D:$D,0)+COUNTIF($E157:G157,"u")+COUNTIF($E157:G157,"t"),
     INDEX(Roadmap!$D:$K,MATCH($E157,Roadmap!$D:$D,0)+COUNTIF($E157:G157,"u")+COUNTIF($E157:G157,"t")+COUNTIF($E157:G157,"¶")+COUNTIF($E157:G157,"²")+COUNTIF($E157:G157,"µ")+COUNTIF($E157:G157,1),ColTypeEcheance)),
  IF(LEN(G157)=1,
  IF(LEN(INDEX(Roadmap!$D:$K,MATCH($E157,Roadmap!$D:$D,0)-1+COUNTIF($E157:G157,"u")+COUNTIF($E157:G157,"t")+COUNTIF($E157:G157,"¶")+COUNTIF($E157:G157,"²")+COUNTIF($E157:G157,"µ")+COUNTIF($E157:G157,1),ColDescriptionCourte))&gt;1,
HYPERLINK("#Roadmap!C"&amp; MATCH($E157,Roadmap!$D:$D,0)+COUNTIF($E157:G157,"u")+COUNTIF($E157:G157,"t")+COUNTIF($E157:G157,"¶")+COUNTIF($E157:G157,"²")+COUNTIF($E157:G157,"µ")+COUNTIF($E157:G157,1)-1,INDEX(Roadmap!$D:$K,MATCH($E157,Roadmap!$D:$D,0)-1+COUNTIF($E157:G157,"u")+COUNTIF($E157:G157,"t")+COUNTIF($E157:G157,"¶")+COUNTIF($E157:G157,"²")+COUNTIF($E157:G157,"µ")+COUNTIF($E157:G157,1),ColDescriptionCourte)),""),
  "")),"")</f>
        <v/>
      </c>
      <c r="I157" s="40" t="str">
        <f ca="1">IFERROR(IF(AND(
  INDEX(Roadmap!$D:$K,MATCH($E157,Roadmap!$D:$D,0)+COUNTIF($E157:H157,"u")+COUNTIF($E157:H157,"t")+COUNTIF($E157:H157,"¶")+COUNTIF($E157:H157,"²")+COUNTIF($E157:H157,"µ")+COUNTIF($E157:H157,1),ColLivraison)=I$6,
  VLOOKUP($E157,INDIRECT("tri!"&amp; CHAR(64+ C0Col) &amp;":"&amp; CHAR(65+C0Col)),2,FALSE)&gt;COUNTIF($E157:H157,"u")+COUNTIF($E157:H157,"t")+COUNTIF($E157:H157,"¶")+COUNTIF($E157:H157,"²")+COUNTIF($E157:H157,"µ")+COUNTIF($E157:H157,1)),
HYPERLINK("#Roadmap!C"&amp; MATCH($E157,Roadmap!$D:$D,0)+COUNTIF($E157:H157,"u")+COUNTIF($E157:H157,"t"),
     INDEX(Roadmap!$D:$K,MATCH($E157,Roadmap!$D:$D,0)+COUNTIF($E157:H157,"u")+COUNTIF($E157:H157,"t")+COUNTIF($E157:H157,"¶")+COUNTIF($E157:H157,"²")+COUNTIF($E157:H157,"µ")+COUNTIF($E157:H157,1),ColTypeEcheance)),
  IF(LEN(H157)=1,
  IF(LEN(INDEX(Roadmap!$D:$K,MATCH($E157,Roadmap!$D:$D,0)-1+COUNTIF($E157:H157,"u")+COUNTIF($E157:H157,"t")+COUNTIF($E157:H157,"¶")+COUNTIF($E157:H157,"²")+COUNTIF($E157:H157,"µ")+COUNTIF($E157:H157,1),ColDescriptionCourte))&gt;1,
HYPERLINK("#Roadmap!C"&amp; MATCH($E157,Roadmap!$D:$D,0)+COUNTIF($E157:H157,"u")+COUNTIF($E157:H157,"t")+COUNTIF($E157:H157,"¶")+COUNTIF($E157:H157,"²")+COUNTIF($E157:H157,"µ")+COUNTIF($E157:H157,1)-1,INDEX(Roadmap!$D:$K,MATCH($E157,Roadmap!$D:$D,0)-1+COUNTIF($E157:H157,"u")+COUNTIF($E157:H157,"t")+COUNTIF($E157:H157,"¶")+COUNTIF($E157:H157,"²")+COUNTIF($E157:H157,"µ")+COUNTIF($E157:H157,1),ColDescriptionCourte)),""),
  "")),"")</f>
        <v/>
      </c>
      <c r="J157" s="40" t="str">
        <f ca="1">IFERROR(IF(AND(
  INDEX(Roadmap!$D:$K,MATCH($E157,Roadmap!$D:$D,0)+COUNTIF($E157:I157,"u")+COUNTIF($E157:I157,"t")+COUNTIF($E157:I157,"¶")+COUNTIF($E157:I157,"²")+COUNTIF($E157:I157,"µ")+COUNTIF($E157:I157,1),ColLivraison)=J$6,
  VLOOKUP($E157,INDIRECT("tri!"&amp; CHAR(64+ C0Col) &amp;":"&amp; CHAR(65+C0Col)),2,FALSE)&gt;COUNTIF($E157:I157,"u")+COUNTIF($E157:I157,"t")+COUNTIF($E157:I157,"¶")+COUNTIF($E157:I157,"²")+COUNTIF($E157:I157,"µ")+COUNTIF($E157:I157,1)),
HYPERLINK("#Roadmap!C"&amp; MATCH($E157,Roadmap!$D:$D,0)+COUNTIF($E157:I157,"u")+COUNTIF($E157:I157,"t"),
     INDEX(Roadmap!$D:$K,MATCH($E157,Roadmap!$D:$D,0)+COUNTIF($E157:I157,"u")+COUNTIF($E157:I157,"t")+COUNTIF($E157:I157,"¶")+COUNTIF($E157:I157,"²")+COUNTIF($E157:I157,"µ")+COUNTIF($E157:I157,1),ColTypeEcheance)),
  IF(LEN(I157)=1,
  IF(LEN(INDEX(Roadmap!$D:$K,MATCH($E157,Roadmap!$D:$D,0)-1+COUNTIF($E157:I157,"u")+COUNTIF($E157:I157,"t")+COUNTIF($E157:I157,"¶")+COUNTIF($E157:I157,"²")+COUNTIF($E157:I157,"µ")+COUNTIF($E157:I157,1),ColDescriptionCourte))&gt;1,
HYPERLINK("#Roadmap!C"&amp; MATCH($E157,Roadmap!$D:$D,0)+COUNTIF($E157:I157,"u")+COUNTIF($E157:I157,"t")+COUNTIF($E157:I157,"¶")+COUNTIF($E157:I157,"²")+COUNTIF($E157:I157,"µ")+COUNTIF($E157:I157,1)-1,INDEX(Roadmap!$D:$K,MATCH($E157,Roadmap!$D:$D,0)-1+COUNTIF($E157:I157,"u")+COUNTIF($E157:I157,"t")+COUNTIF($E157:I157,"¶")+COUNTIF($E157:I157,"²")+COUNTIF($E157:I157,"µ")+COUNTIF($E157:I157,1),ColDescriptionCourte)),""),
  "")),"")</f>
        <v/>
      </c>
      <c r="K157" s="40" t="str">
        <f ca="1">IFERROR(IF(AND(
  INDEX(Roadmap!$D:$K,MATCH($E157,Roadmap!$D:$D,0)+COUNTIF($E157:J157,"u")+COUNTIF($E157:J157,"t")+COUNTIF($E157:J157,"¶")+COUNTIF($E157:J157,"²")+COUNTIF($E157:J157,"µ")+COUNTIF($E157:J157,1),ColLivraison)=K$6,
  VLOOKUP($E157,INDIRECT("tri!"&amp; CHAR(64+ C0Col) &amp;":"&amp; CHAR(65+C0Col)),2,FALSE)&gt;COUNTIF($E157:J157,"u")+COUNTIF($E157:J157,"t")+COUNTIF($E157:J157,"¶")+COUNTIF($E157:J157,"²")+COUNTIF($E157:J157,"µ")+COUNTIF($E157:J157,1)),
HYPERLINK("#Roadmap!C"&amp; MATCH($E157,Roadmap!$D:$D,0)+COUNTIF($E157:J157,"u")+COUNTIF($E157:J157,"t"),
     INDEX(Roadmap!$D:$K,MATCH($E157,Roadmap!$D:$D,0)+COUNTIF($E157:J157,"u")+COUNTIF($E157:J157,"t")+COUNTIF($E157:J157,"¶")+COUNTIF($E157:J157,"²")+COUNTIF($E157:J157,"µ")+COUNTIF($E157:J157,1),ColTypeEcheance)),
  IF(LEN(J157)=1,
  IF(LEN(INDEX(Roadmap!$D:$K,MATCH($E157,Roadmap!$D:$D,0)-1+COUNTIF($E157:J157,"u")+COUNTIF($E157:J157,"t")+COUNTIF($E157:J157,"¶")+COUNTIF($E157:J157,"²")+COUNTIF($E157:J157,"µ")+COUNTIF($E157:J157,1),ColDescriptionCourte))&gt;1,
HYPERLINK("#Roadmap!C"&amp; MATCH($E157,Roadmap!$D:$D,0)+COUNTIF($E157:J157,"u")+COUNTIF($E157:J157,"t")+COUNTIF($E157:J157,"¶")+COUNTIF($E157:J157,"²")+COUNTIF($E157:J157,"µ")+COUNTIF($E157:J157,1)-1,INDEX(Roadmap!$D:$K,MATCH($E157,Roadmap!$D:$D,0)-1+COUNTIF($E157:J157,"u")+COUNTIF($E157:J157,"t")+COUNTIF($E157:J157,"¶")+COUNTIF($E157:J157,"²")+COUNTIF($E157:J157,"µ")+COUNTIF($E157:J157,1),ColDescriptionCourte)),""),
  "")),"")</f>
        <v/>
      </c>
      <c r="L157" s="39" t="str">
        <f ca="1">IFERROR(IF(AND(
  INDEX(Roadmap!$D:$K,MATCH($E157,Roadmap!$D:$D,0)+COUNTIF($E157:K157,"u")+COUNTIF($E157:K157,"t")+COUNTIF($E157:K157,"¶")+COUNTIF($E157:K157,"²")+COUNTIF($E157:K157,"µ")+COUNTIF($E157:K157,1),ColLivraison)=L$6,
  VLOOKUP($E157,INDIRECT("tri!"&amp; CHAR(64+ C0Col) &amp;":"&amp; CHAR(65+C0Col)),2,FALSE)&gt;COUNTIF($E157:K157,"u")+COUNTIF($E157:K157,"t")+COUNTIF($E157:K157,"¶")+COUNTIF($E157:K157,"²")+COUNTIF($E157:K157,"µ")+COUNTIF($E157:K157,1)),
HYPERLINK("#Roadmap!C"&amp; MATCH($E157,Roadmap!$D:$D,0)+COUNTIF($E157:K157,"u")+COUNTIF($E157:K157,"t"),
     INDEX(Roadmap!$D:$K,MATCH($E157,Roadmap!$D:$D,0)+COUNTIF($E157:K157,"u")+COUNTIF($E157:K157,"t")+COUNTIF($E157:K157,"¶")+COUNTIF($E157:K157,"²")+COUNTIF($E157:K157,"µ")+COUNTIF($E157:K157,1),ColTypeEcheance)),
  IF(LEN(K157)=1,
  IF(LEN(INDEX(Roadmap!$D:$K,MATCH($E157,Roadmap!$D:$D,0)-1+COUNTIF($E157:K157,"u")+COUNTIF($E157:K157,"t")+COUNTIF($E157:K157,"¶")+COUNTIF($E157:K157,"²")+COUNTIF($E157:K157,"µ")+COUNTIF($E157:K157,1),ColDescriptionCourte))&gt;1,
HYPERLINK("#Roadmap!C"&amp; MATCH($E157,Roadmap!$D:$D,0)+COUNTIF($E157:K157,"u")+COUNTIF($E157:K157,"t")+COUNTIF($E157:K157,"¶")+COUNTIF($E157:K157,"²")+COUNTIF($E157:K157,"µ")+COUNTIF($E157:K157,1)-1,INDEX(Roadmap!$D:$K,MATCH($E157,Roadmap!$D:$D,0)-1+COUNTIF($E157:K157,"u")+COUNTIF($E157:K157,"t")+COUNTIF($E157:K157,"¶")+COUNTIF($E157:K157,"²")+COUNTIF($E157:K157,"µ")+COUNTIF($E157:K157,1),ColDescriptionCourte)),""),
  "")),"")</f>
        <v/>
      </c>
      <c r="M157" s="40" t="str">
        <f ca="1">IFERROR(IF(AND(
  INDEX(Roadmap!$D:$K,MATCH($E157,Roadmap!$D:$D,0)+COUNTIF($E157:L157,"u")+COUNTIF($E157:L157,"t")+COUNTIF($E157:L157,"¶")+COUNTIF($E157:L157,"²")+COUNTIF($E157:L157,"µ")+COUNTIF($E157:L157,1),ColLivraison)=M$6,
  VLOOKUP($E157,INDIRECT("tri!"&amp; CHAR(64+ C0Col) &amp;":"&amp; CHAR(65+C0Col)),2,FALSE)&gt;COUNTIF($E157:L157,"u")+COUNTIF($E157:L157,"t")+COUNTIF($E157:L157,"¶")+COUNTIF($E157:L157,"²")+COUNTIF($E157:L157,"µ")+COUNTIF($E157:L157,1)),
HYPERLINK("#Roadmap!C"&amp; MATCH($E157,Roadmap!$D:$D,0)+COUNTIF($E157:L157,"u")+COUNTIF($E157:L157,"t"),
     INDEX(Roadmap!$D:$K,MATCH($E157,Roadmap!$D:$D,0)+COUNTIF($E157:L157,"u")+COUNTIF($E157:L157,"t")+COUNTIF($E157:L157,"¶")+COUNTIF($E157:L157,"²")+COUNTIF($E157:L157,"µ")+COUNTIF($E157:L157,1),ColTypeEcheance)),
  IF(LEN(L157)=1,
  IF(LEN(INDEX(Roadmap!$D:$K,MATCH($E157,Roadmap!$D:$D,0)-1+COUNTIF($E157:L157,"u")+COUNTIF($E157:L157,"t")+COUNTIF($E157:L157,"¶")+COUNTIF($E157:L157,"²")+COUNTIF($E157:L157,"µ")+COUNTIF($E157:L157,1),ColDescriptionCourte))&gt;1,
HYPERLINK("#Roadmap!C"&amp; MATCH($E157,Roadmap!$D:$D,0)+COUNTIF($E157:L157,"u")+COUNTIF($E157:L157,"t")+COUNTIF($E157:L157,"¶")+COUNTIF($E157:L157,"²")+COUNTIF($E157:L157,"µ")+COUNTIF($E157:L157,1)-1,INDEX(Roadmap!$D:$K,MATCH($E157,Roadmap!$D:$D,0)-1+COUNTIF($E157:L157,"u")+COUNTIF($E157:L157,"t")+COUNTIF($E157:L157,"¶")+COUNTIF($E157:L157,"²")+COUNTIF($E157:L157,"µ")+COUNTIF($E157:L157,1),ColDescriptionCourte)),""),
  "")),"")</f>
        <v/>
      </c>
      <c r="N157" s="40" t="str">
        <f ca="1">IFERROR(IF(AND(
  INDEX(Roadmap!$D:$K,MATCH($E157,Roadmap!$D:$D,0)+COUNTIF($E157:M157,"u")+COUNTIF($E157:M157,"t")+COUNTIF($E157:M157,"¶")+COUNTIF($E157:M157,"²")+COUNTIF($E157:M157,"µ")+COUNTIF($E157:M157,1),ColLivraison)=N$6,
  VLOOKUP($E157,INDIRECT("tri!"&amp; CHAR(64+ C0Col) &amp;":"&amp; CHAR(65+C0Col)),2,FALSE)&gt;COUNTIF($E157:M157,"u")+COUNTIF($E157:M157,"t")+COUNTIF($E157:M157,"¶")+COUNTIF($E157:M157,"²")+COUNTIF($E157:M157,"µ")+COUNTIF($E157:M157,1)),
HYPERLINK("#Roadmap!C"&amp; MATCH($E157,Roadmap!$D:$D,0)+COUNTIF($E157:M157,"u")+COUNTIF($E157:M157,"t"),
     INDEX(Roadmap!$D:$K,MATCH($E157,Roadmap!$D:$D,0)+COUNTIF($E157:M157,"u")+COUNTIF($E157:M157,"t")+COUNTIF($E157:M157,"¶")+COUNTIF($E157:M157,"²")+COUNTIF($E157:M157,"µ")+COUNTIF($E157:M157,1),ColTypeEcheance)),
  IF(LEN(M157)=1,
  IF(LEN(INDEX(Roadmap!$D:$K,MATCH($E157,Roadmap!$D:$D,0)-1+COUNTIF($E157:M157,"u")+COUNTIF($E157:M157,"t")+COUNTIF($E157:M157,"¶")+COUNTIF($E157:M157,"²")+COUNTIF($E157:M157,"µ")+COUNTIF($E157:M157,1),ColDescriptionCourte))&gt;1,
HYPERLINK("#Roadmap!C"&amp; MATCH($E157,Roadmap!$D:$D,0)+COUNTIF($E157:M157,"u")+COUNTIF($E157:M157,"t")+COUNTIF($E157:M157,"¶")+COUNTIF($E157:M157,"²")+COUNTIF($E157:M157,"µ")+COUNTIF($E157:M157,1)-1,INDEX(Roadmap!$D:$K,MATCH($E157,Roadmap!$D:$D,0)-1+COUNTIF($E157:M157,"u")+COUNTIF($E157:M157,"t")+COUNTIF($E157:M157,"¶")+COUNTIF($E157:M157,"²")+COUNTIF($E157:M157,"µ")+COUNTIF($E157:M157,1),ColDescriptionCourte)),""),
  "")),"")</f>
        <v/>
      </c>
      <c r="O157" s="40" t="str">
        <f ca="1">IFERROR(IF(AND(
  INDEX(Roadmap!$D:$K,MATCH($E157,Roadmap!$D:$D,0)+COUNTIF($E157:N157,"u")+COUNTIF($E157:N157,"t")+COUNTIF($E157:N157,"¶")+COUNTIF($E157:N157,"²")+COUNTIF($E157:N157,"µ")+COUNTIF($E157:N157,1),ColLivraison)=O$6,
  VLOOKUP($E157,INDIRECT("tri!"&amp; CHAR(64+ C0Col) &amp;":"&amp; CHAR(65+C0Col)),2,FALSE)&gt;COUNTIF($E157:N157,"u")+COUNTIF($E157:N157,"t")+COUNTIF($E157:N157,"¶")+COUNTIF($E157:N157,"²")+COUNTIF($E157:N157,"µ")+COUNTIF($E157:N157,1)),
HYPERLINK("#Roadmap!C"&amp; MATCH($E157,Roadmap!$D:$D,0)+COUNTIF($E157:N157,"u")+COUNTIF($E157:N157,"t"),
     INDEX(Roadmap!$D:$K,MATCH($E157,Roadmap!$D:$D,0)+COUNTIF($E157:N157,"u")+COUNTIF($E157:N157,"t")+COUNTIF($E157:N157,"¶")+COUNTIF($E157:N157,"²")+COUNTIF($E157:N157,"µ")+COUNTIF($E157:N157,1),ColTypeEcheance)),
  IF(LEN(N157)=1,
  IF(LEN(INDEX(Roadmap!$D:$K,MATCH($E157,Roadmap!$D:$D,0)-1+COUNTIF($E157:N157,"u")+COUNTIF($E157:N157,"t")+COUNTIF($E157:N157,"¶")+COUNTIF($E157:N157,"²")+COUNTIF($E157:N157,"µ")+COUNTIF($E157:N157,1),ColDescriptionCourte))&gt;1,
HYPERLINK("#Roadmap!C"&amp; MATCH($E157,Roadmap!$D:$D,0)+COUNTIF($E157:N157,"u")+COUNTIF($E157:N157,"t")+COUNTIF($E157:N157,"¶")+COUNTIF($E157:N157,"²")+COUNTIF($E157:N157,"µ")+COUNTIF($E157:N157,1)-1,INDEX(Roadmap!$D:$K,MATCH($E157,Roadmap!$D:$D,0)-1+COUNTIF($E157:N157,"u")+COUNTIF($E157:N157,"t")+COUNTIF($E157:N157,"¶")+COUNTIF($E157:N157,"²")+COUNTIF($E157:N157,"µ")+COUNTIF($E157:N157,1),ColDescriptionCourte)),""),
  "")),"")</f>
        <v/>
      </c>
      <c r="P157" s="40" t="str">
        <f ca="1">IFERROR(IF(AND(
  INDEX(Roadmap!$D:$K,MATCH($E157,Roadmap!$D:$D,0)+COUNTIF($E157:O157,"u")+COUNTIF($E157:O157,"t")+COUNTIF($E157:O157,"¶")+COUNTIF($E157:O157,"²")+COUNTIF($E157:O157,"µ")+COUNTIF($E157:O157,1),ColLivraison)=P$6,
  VLOOKUP($E157,INDIRECT("tri!"&amp; CHAR(64+ C0Col) &amp;":"&amp; CHAR(65+C0Col)),2,FALSE)&gt;COUNTIF($E157:O157,"u")+COUNTIF($E157:O157,"t")+COUNTIF($E157:O157,"¶")+COUNTIF($E157:O157,"²")+COUNTIF($E157:O157,"µ")+COUNTIF($E157:O157,1)),
HYPERLINK("#Roadmap!C"&amp; MATCH($E157,Roadmap!$D:$D,0)+COUNTIF($E157:O157,"u")+COUNTIF($E157:O157,"t"),
     INDEX(Roadmap!$D:$K,MATCH($E157,Roadmap!$D:$D,0)+COUNTIF($E157:O157,"u")+COUNTIF($E157:O157,"t")+COUNTIF($E157:O157,"¶")+COUNTIF($E157:O157,"²")+COUNTIF($E157:O157,"µ")+COUNTIF($E157:O157,1),ColTypeEcheance)),
  IF(LEN(O157)=1,
  IF(LEN(INDEX(Roadmap!$D:$K,MATCH($E157,Roadmap!$D:$D,0)-1+COUNTIF($E157:O157,"u")+COUNTIF($E157:O157,"t")+COUNTIF($E157:O157,"¶")+COUNTIF($E157:O157,"²")+COUNTIF($E157:O157,"µ")+COUNTIF($E157:O157,1),ColDescriptionCourte))&gt;1,
HYPERLINK("#Roadmap!C"&amp; MATCH($E157,Roadmap!$D:$D,0)+COUNTIF($E157:O157,"u")+COUNTIF($E157:O157,"t")+COUNTIF($E157:O157,"¶")+COUNTIF($E157:O157,"²")+COUNTIF($E157:O157,"µ")+COUNTIF($E157:O157,1)-1,INDEX(Roadmap!$D:$K,MATCH($E157,Roadmap!$D:$D,0)-1+COUNTIF($E157:O157,"u")+COUNTIF($E157:O157,"t")+COUNTIF($E157:O157,"¶")+COUNTIF($E157:O157,"²")+COUNTIF($E157:O157,"µ")+COUNTIF($E157:O157,1),ColDescriptionCourte)),""),
  "")),"")</f>
        <v/>
      </c>
      <c r="Q157" s="40" t="str">
        <f ca="1">IFERROR(IF(AND(
  INDEX(Roadmap!$D:$K,MATCH($E157,Roadmap!$D:$D,0)+COUNTIF($E157:P157,"u")+COUNTIF($E157:P157,"t")+COUNTIF($E157:P157,"¶")+COUNTIF($E157:P157,"²")+COUNTIF($E157:P157,"µ")+COUNTIF($E157:P157,1),ColLivraison)=Q$6,
  VLOOKUP($E157,INDIRECT("tri!"&amp; CHAR(64+ C0Col) &amp;":"&amp; CHAR(65+C0Col)),2,FALSE)&gt;COUNTIF($E157:P157,"u")+COUNTIF($E157:P157,"t")+COUNTIF($E157:P157,"¶")+COUNTIF($E157:P157,"²")+COUNTIF($E157:P157,"µ")+COUNTIF($E157:P157,1)),
HYPERLINK("#Roadmap!C"&amp; MATCH($E157,Roadmap!$D:$D,0)+COUNTIF($E157:P157,"u")+COUNTIF($E157:P157,"t"),
     INDEX(Roadmap!$D:$K,MATCH($E157,Roadmap!$D:$D,0)+COUNTIF($E157:P157,"u")+COUNTIF($E157:P157,"t")+COUNTIF($E157:P157,"¶")+COUNTIF($E157:P157,"²")+COUNTIF($E157:P157,"µ")+COUNTIF($E157:P157,1),ColTypeEcheance)),
  IF(LEN(P157)=1,
  IF(LEN(INDEX(Roadmap!$D:$K,MATCH($E157,Roadmap!$D:$D,0)-1+COUNTIF($E157:P157,"u")+COUNTIF($E157:P157,"t")+COUNTIF($E157:P157,"¶")+COUNTIF($E157:P157,"²")+COUNTIF($E157:P157,"µ")+COUNTIF($E157:P157,1),ColDescriptionCourte))&gt;1,
HYPERLINK("#Roadmap!C"&amp; MATCH($E157,Roadmap!$D:$D,0)+COUNTIF($E157:P157,"u")+COUNTIF($E157:P157,"t")+COUNTIF($E157:P157,"¶")+COUNTIF($E157:P157,"²")+COUNTIF($E157:P157,"µ")+COUNTIF($E157:P157,1)-1,INDEX(Roadmap!$D:$K,MATCH($E157,Roadmap!$D:$D,0)-1+COUNTIF($E157:P157,"u")+COUNTIF($E157:P157,"t")+COUNTIF($E157:P157,"¶")+COUNTIF($E157:P157,"²")+COUNTIF($E157:P157,"µ")+COUNTIF($E157:P157,1),ColDescriptionCourte)),""),
  "")),"")</f>
        <v/>
      </c>
      <c r="R157" s="40" t="str">
        <f ca="1">IFERROR(IF(AND(
  INDEX(Roadmap!$D:$K,MATCH($E157,Roadmap!$D:$D,0)+COUNTIF($E157:Q157,"u")+COUNTIF($E157:Q157,"t")+COUNTIF($E157:Q157,"¶")+COUNTIF($E157:Q157,"²")+COUNTIF($E157:Q157,"µ")+COUNTIF($E157:Q157,1),ColLivraison)=R$6,
  VLOOKUP($E157,INDIRECT("tri!"&amp; CHAR(64+ C0Col) &amp;":"&amp; CHAR(65+C0Col)),2,FALSE)&gt;COUNTIF($E157:Q157,"u")+COUNTIF($E157:Q157,"t")+COUNTIF($E157:Q157,"¶")+COUNTIF($E157:Q157,"²")+COUNTIF($E157:Q157,"µ")+COUNTIF($E157:Q157,1)),
HYPERLINK("#Roadmap!C"&amp; MATCH($E157,Roadmap!$D:$D,0)+COUNTIF($E157:Q157,"u")+COUNTIF($E157:Q157,"t"),
     INDEX(Roadmap!$D:$K,MATCH($E157,Roadmap!$D:$D,0)+COUNTIF($E157:Q157,"u")+COUNTIF($E157:Q157,"t")+COUNTIF($E157:Q157,"¶")+COUNTIF($E157:Q157,"²")+COUNTIF($E157:Q157,"µ")+COUNTIF($E157:Q157,1),ColTypeEcheance)),
  IF(LEN(Q157)=1,
  IF(LEN(INDEX(Roadmap!$D:$K,MATCH($E157,Roadmap!$D:$D,0)-1+COUNTIF($E157:Q157,"u")+COUNTIF($E157:Q157,"t")+COUNTIF($E157:Q157,"¶")+COUNTIF($E157:Q157,"²")+COUNTIF($E157:Q157,"µ")+COUNTIF($E157:Q157,1),ColDescriptionCourte))&gt;1,
HYPERLINK("#Roadmap!C"&amp; MATCH($E157,Roadmap!$D:$D,0)+COUNTIF($E157:Q157,"u")+COUNTIF($E157:Q157,"t")+COUNTIF($E157:Q157,"¶")+COUNTIF($E157:Q157,"²")+COUNTIF($E157:Q157,"µ")+COUNTIF($E157:Q157,1)-1,INDEX(Roadmap!$D:$K,MATCH($E157,Roadmap!$D:$D,0)-1+COUNTIF($E157:Q157,"u")+COUNTIF($E157:Q157,"t")+COUNTIF($E157:Q157,"¶")+COUNTIF($E157:Q157,"²")+COUNTIF($E157:Q157,"µ")+COUNTIF($E157:Q157,1),ColDescriptionCourte)),""),
  "")),"")</f>
        <v/>
      </c>
      <c r="S157" s="40" t="str">
        <f ca="1">IFERROR(IF(AND(
  INDEX(Roadmap!$D:$K,MATCH($E157,Roadmap!$D:$D,0)+COUNTIF($E157:R157,"u")+COUNTIF($E157:R157,"t")+COUNTIF($E157:R157,"¶")+COUNTIF($E157:R157,"²")+COUNTIF($E157:R157,"µ")+COUNTIF($E157:R157,1),ColLivraison)=S$6,
  VLOOKUP($E157,INDIRECT("tri!"&amp; CHAR(64+ C0Col) &amp;":"&amp; CHAR(65+C0Col)),2,FALSE)&gt;COUNTIF($E157:R157,"u")+COUNTIF($E157:R157,"t")+COUNTIF($E157:R157,"¶")+COUNTIF($E157:R157,"²")+COUNTIF($E157:R157,"µ")+COUNTIF($E157:R157,1)),
HYPERLINK("#Roadmap!C"&amp; MATCH($E157,Roadmap!$D:$D,0)+COUNTIF($E157:R157,"u")+COUNTIF($E157:R157,"t"),
     INDEX(Roadmap!$D:$K,MATCH($E157,Roadmap!$D:$D,0)+COUNTIF($E157:R157,"u")+COUNTIF($E157:R157,"t")+COUNTIF($E157:R157,"¶")+COUNTIF($E157:R157,"²")+COUNTIF($E157:R157,"µ")+COUNTIF($E157:R157,1),ColTypeEcheance)),
  IF(LEN(R157)=1,
  IF(LEN(INDEX(Roadmap!$D:$K,MATCH($E157,Roadmap!$D:$D,0)-1+COUNTIF($E157:R157,"u")+COUNTIF($E157:R157,"t")+COUNTIF($E157:R157,"¶")+COUNTIF($E157:R157,"²")+COUNTIF($E157:R157,"µ")+COUNTIF($E157:R157,1),ColDescriptionCourte))&gt;1,
HYPERLINK("#Roadmap!C"&amp; MATCH($E157,Roadmap!$D:$D,0)+COUNTIF($E157:R157,"u")+COUNTIF($E157:R157,"t")+COUNTIF($E157:R157,"¶")+COUNTIF($E157:R157,"²")+COUNTIF($E157:R157,"µ")+COUNTIF($E157:R157,1)-1,INDEX(Roadmap!$D:$K,MATCH($E157,Roadmap!$D:$D,0)-1+COUNTIF($E157:R157,"u")+COUNTIF($E157:R157,"t")+COUNTIF($E157:R157,"¶")+COUNTIF($E157:R157,"²")+COUNTIF($E157:R157,"µ")+COUNTIF($E157:R157,1),ColDescriptionCourte)),""),
  "")),"")</f>
        <v/>
      </c>
      <c r="T157" s="40" t="str">
        <f ca="1">IFERROR(IF(AND(
  INDEX(Roadmap!$D:$K,MATCH($E157,Roadmap!$D:$D,0)+COUNTIF($E157:S157,"u")+COUNTIF($E157:S157,"t")+COUNTIF($E157:S157,"¶")+COUNTIF($E157:S157,"²")+COUNTIF($E157:S157,"µ")+COUNTIF($E157:S157,1),ColLivraison)=T$6,
  VLOOKUP($E157,INDIRECT("tri!"&amp; CHAR(64+ C0Col) &amp;":"&amp; CHAR(65+C0Col)),2,FALSE)&gt;COUNTIF($E157:S157,"u")+COUNTIF($E157:S157,"t")+COUNTIF($E157:S157,"¶")+COUNTIF($E157:S157,"²")+COUNTIF($E157:S157,"µ")+COUNTIF($E157:S157,1)),
HYPERLINK("#Roadmap!C"&amp; MATCH($E157,Roadmap!$D:$D,0)+COUNTIF($E157:S157,"u")+COUNTIF($E157:S157,"t"),
     INDEX(Roadmap!$D:$K,MATCH($E157,Roadmap!$D:$D,0)+COUNTIF($E157:S157,"u")+COUNTIF($E157:S157,"t")+COUNTIF($E157:S157,"¶")+COUNTIF($E157:S157,"²")+COUNTIF($E157:S157,"µ")+COUNTIF($E157:S157,1),ColTypeEcheance)),
  IF(LEN(S157)=1,
  IF(LEN(INDEX(Roadmap!$D:$K,MATCH($E157,Roadmap!$D:$D,0)-1+COUNTIF($E157:S157,"u")+COUNTIF($E157:S157,"t")+COUNTIF($E157:S157,"¶")+COUNTIF($E157:S157,"²")+COUNTIF($E157:S157,"µ")+COUNTIF($E157:S157,1),ColDescriptionCourte))&gt;1,
HYPERLINK("#Roadmap!C"&amp; MATCH($E157,Roadmap!$D:$D,0)+COUNTIF($E157:S157,"u")+COUNTIF($E157:S157,"t")+COUNTIF($E157:S157,"¶")+COUNTIF($E157:S157,"²")+COUNTIF($E157:S157,"µ")+COUNTIF($E157:S157,1)-1,INDEX(Roadmap!$D:$K,MATCH($E157,Roadmap!$D:$D,0)-1+COUNTIF($E157:S157,"u")+COUNTIF($E157:S157,"t")+COUNTIF($E157:S157,"¶")+COUNTIF($E157:S157,"²")+COUNTIF($E157:S157,"µ")+COUNTIF($E157:S157,1),ColDescriptionCourte)),""),
  "")),"")</f>
        <v/>
      </c>
      <c r="U157" s="40" t="str">
        <f ca="1">IFERROR(IF(AND(
  INDEX(Roadmap!$D:$K,MATCH($E157,Roadmap!$D:$D,0)+COUNTIF($E157:T157,"u")+COUNTIF($E157:T157,"t")+COUNTIF($E157:T157,"¶")+COUNTIF($E157:T157,"²")+COUNTIF($E157:T157,"µ")+COUNTIF($E157:T157,1),ColLivraison)=U$6,
  VLOOKUP($E157,INDIRECT("tri!"&amp; CHAR(64+ C0Col) &amp;":"&amp; CHAR(65+C0Col)),2,FALSE)&gt;COUNTIF($E157:T157,"u")+COUNTIF($E157:T157,"t")+COUNTIF($E157:T157,"¶")+COUNTIF($E157:T157,"²")+COUNTIF($E157:T157,"µ")+COUNTIF($E157:T157,1)),
HYPERLINK("#Roadmap!C"&amp; MATCH($E157,Roadmap!$D:$D,0)+COUNTIF($E157:T157,"u")+COUNTIF($E157:T157,"t"),
     INDEX(Roadmap!$D:$K,MATCH($E157,Roadmap!$D:$D,0)+COUNTIF($E157:T157,"u")+COUNTIF($E157:T157,"t")+COUNTIF($E157:T157,"¶")+COUNTIF($E157:T157,"²")+COUNTIF($E157:T157,"µ")+COUNTIF($E157:T157,1),ColTypeEcheance)),
  IF(LEN(T157)=1,
  IF(LEN(INDEX(Roadmap!$D:$K,MATCH($E157,Roadmap!$D:$D,0)-1+COUNTIF($E157:T157,"u")+COUNTIF($E157:T157,"t")+COUNTIF($E157:T157,"¶")+COUNTIF($E157:T157,"²")+COUNTIF($E157:T157,"µ")+COUNTIF($E157:T157,1),ColDescriptionCourte))&gt;1,
HYPERLINK("#Roadmap!C"&amp; MATCH($E157,Roadmap!$D:$D,0)+COUNTIF($E157:T157,"u")+COUNTIF($E157:T157,"t")+COUNTIF($E157:T157,"¶")+COUNTIF($E157:T157,"²")+COUNTIF($E157:T157,"µ")+COUNTIF($E157:T157,1)-1,INDEX(Roadmap!$D:$K,MATCH($E157,Roadmap!$D:$D,0)-1+COUNTIF($E157:T157,"u")+COUNTIF($E157:T157,"t")+COUNTIF($E157:T157,"¶")+COUNTIF($E157:T157,"²")+COUNTIF($E157:T157,"µ")+COUNTIF($E157:T157,1),ColDescriptionCourte)),""),
  "")),"")</f>
        <v/>
      </c>
      <c r="V157" s="40" t="str">
        <f ca="1">IFERROR(IF(AND(
  INDEX(Roadmap!$D:$K,MATCH($E157,Roadmap!$D:$D,0)+COUNTIF($E157:U157,"u")+COUNTIF($E157:U157,"t")+COUNTIF($E157:U157,"¶")+COUNTIF($E157:U157,"²")+COUNTIF($E157:U157,"µ")+COUNTIF($E157:U157,1),ColLivraison)=V$6,
  VLOOKUP($E157,INDIRECT("tri!"&amp; CHAR(64+ C0Col) &amp;":"&amp; CHAR(65+C0Col)),2,FALSE)&gt;COUNTIF($E157:U157,"u")+COUNTIF($E157:U157,"t")+COUNTIF($E157:U157,"¶")+COUNTIF($E157:U157,"²")+COUNTIF($E157:U157,"µ")+COUNTIF($E157:U157,1)),
HYPERLINK("#Roadmap!C"&amp; MATCH($E157,Roadmap!$D:$D,0)+COUNTIF($E157:U157,"u")+COUNTIF($E157:U157,"t"),
     INDEX(Roadmap!$D:$K,MATCH($E157,Roadmap!$D:$D,0)+COUNTIF($E157:U157,"u")+COUNTIF($E157:U157,"t")+COUNTIF($E157:U157,"¶")+COUNTIF($E157:U157,"²")+COUNTIF($E157:U157,"µ")+COUNTIF($E157:U157,1),ColTypeEcheance)),
  IF(LEN(U157)=1,
  IF(LEN(INDEX(Roadmap!$D:$K,MATCH($E157,Roadmap!$D:$D,0)-1+COUNTIF($E157:U157,"u")+COUNTIF($E157:U157,"t")+COUNTIF($E157:U157,"¶")+COUNTIF($E157:U157,"²")+COUNTIF($E157:U157,"µ")+COUNTIF($E157:U157,1),ColDescriptionCourte))&gt;1,
HYPERLINK("#Roadmap!C"&amp; MATCH($E157,Roadmap!$D:$D,0)+COUNTIF($E157:U157,"u")+COUNTIF($E157:U157,"t")+COUNTIF($E157:U157,"¶")+COUNTIF($E157:U157,"²")+COUNTIF($E157:U157,"µ")+COUNTIF($E157:U157,1)-1,INDEX(Roadmap!$D:$K,MATCH($E157,Roadmap!$D:$D,0)-1+COUNTIF($E157:U157,"u")+COUNTIF($E157:U157,"t")+COUNTIF($E157:U157,"¶")+COUNTIF($E157:U157,"²")+COUNTIF($E157:U157,"µ")+COUNTIF($E157:U157,1),ColDescriptionCourte)),""),
  "")),"")</f>
        <v/>
      </c>
      <c r="W157" s="40" t="str">
        <f ca="1">IFERROR(IF(AND(
  INDEX(Roadmap!$D:$K,MATCH($E157,Roadmap!$D:$D,0)+COUNTIF($E157:V157,"u")+COUNTIF($E157:V157,"t")+COUNTIF($E157:V157,"¶")+COUNTIF($E157:V157,"²")+COUNTIF($E157:V157,"µ")+COUNTIF($E157:V157,1),ColLivraison)=W$6,
  VLOOKUP($E157,INDIRECT("tri!"&amp; CHAR(64+ C0Col) &amp;":"&amp; CHAR(65+C0Col)),2,FALSE)&gt;COUNTIF($E157:V157,"u")+COUNTIF($E157:V157,"t")+COUNTIF($E157:V157,"¶")+COUNTIF($E157:V157,"²")+COUNTIF($E157:V157,"µ")+COUNTIF($E157:V157,1)),
HYPERLINK("#Roadmap!C"&amp; MATCH($E157,Roadmap!$D:$D,0)+COUNTIF($E157:V157,"u")+COUNTIF($E157:V157,"t"),
     INDEX(Roadmap!$D:$K,MATCH($E157,Roadmap!$D:$D,0)+COUNTIF($E157:V157,"u")+COUNTIF($E157:V157,"t")+COUNTIF($E157:V157,"¶")+COUNTIF($E157:V157,"²")+COUNTIF($E157:V157,"µ")+COUNTIF($E157:V157,1),ColTypeEcheance)),
  IF(LEN(V157)=1,
  IF(LEN(INDEX(Roadmap!$D:$K,MATCH($E157,Roadmap!$D:$D,0)-1+COUNTIF($E157:V157,"u")+COUNTIF($E157:V157,"t")+COUNTIF($E157:V157,"¶")+COUNTIF($E157:V157,"²")+COUNTIF($E157:V157,"µ")+COUNTIF($E157:V157,1),ColDescriptionCourte))&gt;1,
HYPERLINK("#Roadmap!C"&amp; MATCH($E157,Roadmap!$D:$D,0)+COUNTIF($E157:V157,"u")+COUNTIF($E157:V157,"t")+COUNTIF($E157:V157,"¶")+COUNTIF($E157:V157,"²")+COUNTIF($E157:V157,"µ")+COUNTIF($E157:V157,1)-1,INDEX(Roadmap!$D:$K,MATCH($E157,Roadmap!$D:$D,0)-1+COUNTIF($E157:V157,"u")+COUNTIF($E157:V157,"t")+COUNTIF($E157:V157,"¶")+COUNTIF($E157:V157,"²")+COUNTIF($E157:V157,"µ")+COUNTIF($E157:V157,1),ColDescriptionCourte)),""),
  "")),"")</f>
        <v/>
      </c>
      <c r="X157" s="40" t="str">
        <f ca="1">IFERROR(IF(AND(
  INDEX(Roadmap!$D:$K,MATCH($E157,Roadmap!$D:$D,0)+COUNTIF($E157:W157,"u")+COUNTIF($E157:W157,"t")+COUNTIF($E157:W157,"¶")+COUNTIF($E157:W157,"²")+COUNTIF($E157:W157,"µ")+COUNTIF($E157:W157,1),ColLivraison)=X$6,
  VLOOKUP($E157,INDIRECT("tri!"&amp; CHAR(64+ C0Col) &amp;":"&amp; CHAR(65+C0Col)),2,FALSE)&gt;COUNTIF($E157:W157,"u")+COUNTIF($E157:W157,"t")+COUNTIF($E157:W157,"¶")+COUNTIF($E157:W157,"²")+COUNTIF($E157:W157,"µ")+COUNTIF($E157:W157,1)),
HYPERLINK("#Roadmap!C"&amp; MATCH($E157,Roadmap!$D:$D,0)+COUNTIF($E157:W157,"u")+COUNTIF($E157:W157,"t"),
     INDEX(Roadmap!$D:$K,MATCH($E157,Roadmap!$D:$D,0)+COUNTIF($E157:W157,"u")+COUNTIF($E157:W157,"t")+COUNTIF($E157:W157,"¶")+COUNTIF($E157:W157,"²")+COUNTIF($E157:W157,"µ")+COUNTIF($E157:W157,1),ColTypeEcheance)),
  IF(LEN(W157)=1,
  IF(LEN(INDEX(Roadmap!$D:$K,MATCH($E157,Roadmap!$D:$D,0)-1+COUNTIF($E157:W157,"u")+COUNTIF($E157:W157,"t")+COUNTIF($E157:W157,"¶")+COUNTIF($E157:W157,"²")+COUNTIF($E157:W157,"µ")+COUNTIF($E157:W157,1),ColDescriptionCourte))&gt;1,
HYPERLINK("#Roadmap!C"&amp; MATCH($E157,Roadmap!$D:$D,0)+COUNTIF($E157:W157,"u")+COUNTIF($E157:W157,"t")+COUNTIF($E157:W157,"¶")+COUNTIF($E157:W157,"²")+COUNTIF($E157:W157,"µ")+COUNTIF($E157:W157,1)-1,INDEX(Roadmap!$D:$K,MATCH($E157,Roadmap!$D:$D,0)-1+COUNTIF($E157:W157,"u")+COUNTIF($E157:W157,"t")+COUNTIF($E157:W157,"¶")+COUNTIF($E157:W157,"²")+COUNTIF($E157:W157,"µ")+COUNTIF($E157:W157,1),ColDescriptionCourte)),""),
  "")),"")</f>
        <v/>
      </c>
      <c r="Y157" s="40" t="str">
        <f ca="1">IFERROR(IF(AND(
  INDEX(Roadmap!$D:$K,MATCH($E157,Roadmap!$D:$D,0)+COUNTIF($E157:X157,"u")+COUNTIF($E157:X157,"t")+COUNTIF($E157:X157,"¶")+COUNTIF($E157:X157,"²")+COUNTIF($E157:X157,"µ")+COUNTIF($E157:X157,1),ColLivraison)=Y$6,
  VLOOKUP($E157,INDIRECT("tri!"&amp; CHAR(64+ C0Col) &amp;":"&amp; CHAR(65+C0Col)),2,FALSE)&gt;COUNTIF($E157:X157,"u")+COUNTIF($E157:X157,"t")+COUNTIF($E157:X157,"¶")+COUNTIF($E157:X157,"²")+COUNTIF($E157:X157,"µ")+COUNTIF($E157:X157,1)),
HYPERLINK("#Roadmap!C"&amp; MATCH($E157,Roadmap!$D:$D,0)+COUNTIF($E157:X157,"u")+COUNTIF($E157:X157,"t"),
     INDEX(Roadmap!$D:$K,MATCH($E157,Roadmap!$D:$D,0)+COUNTIF($E157:X157,"u")+COUNTIF($E157:X157,"t")+COUNTIF($E157:X157,"¶")+COUNTIF($E157:X157,"²")+COUNTIF($E157:X157,"µ")+COUNTIF($E157:X157,1),ColTypeEcheance)),
  IF(LEN(X157)=1,
  IF(LEN(INDEX(Roadmap!$D:$K,MATCH($E157,Roadmap!$D:$D,0)-1+COUNTIF($E157:X157,"u")+COUNTIF($E157:X157,"t")+COUNTIF($E157:X157,"¶")+COUNTIF($E157:X157,"²")+COUNTIF($E157:X157,"µ")+COUNTIF($E157:X157,1),ColDescriptionCourte))&gt;1,
HYPERLINK("#Roadmap!C"&amp; MATCH($E157,Roadmap!$D:$D,0)+COUNTIF($E157:X157,"u")+COUNTIF($E157:X157,"t")+COUNTIF($E157:X157,"¶")+COUNTIF($E157:X157,"²")+COUNTIF($E157:X157,"µ")+COUNTIF($E157:X157,1)-1,INDEX(Roadmap!$D:$K,MATCH($E157,Roadmap!$D:$D,0)-1+COUNTIF($E157:X157,"u")+COUNTIF($E157:X157,"t")+COUNTIF($E157:X157,"¶")+COUNTIF($E157:X157,"²")+COUNTIF($E157:X157,"µ")+COUNTIF($E157:X157,1),ColDescriptionCourte)),""),
  "")),"")</f>
        <v/>
      </c>
      <c r="Z157" s="40" t="str">
        <f ca="1">IFERROR(IF(AND(
  INDEX(Roadmap!$D:$K,MATCH($E157,Roadmap!$D:$D,0)+COUNTIF($E157:Y157,"u")+COUNTIF($E157:Y157,"t")+COUNTIF($E157:Y157,"¶")+COUNTIF($E157:Y157,"²")+COUNTIF($E157:Y157,"µ")+COUNTIF($E157:Y157,1),ColLivraison)=Z$6,
  VLOOKUP($E157,INDIRECT("tri!"&amp; CHAR(64+ C0Col) &amp;":"&amp; CHAR(65+C0Col)),2,FALSE)&gt;COUNTIF($E157:Y157,"u")+COUNTIF($E157:Y157,"t")+COUNTIF($E157:Y157,"¶")+COUNTIF($E157:Y157,"²")+COUNTIF($E157:Y157,"µ")+COUNTIF($E157:Y157,1)),
HYPERLINK("#Roadmap!C"&amp; MATCH($E157,Roadmap!$D:$D,0)+COUNTIF($E157:Y157,"u")+COUNTIF($E157:Y157,"t"),
     INDEX(Roadmap!$D:$K,MATCH($E157,Roadmap!$D:$D,0)+COUNTIF($E157:Y157,"u")+COUNTIF($E157:Y157,"t")+COUNTIF($E157:Y157,"¶")+COUNTIF($E157:Y157,"²")+COUNTIF($E157:Y157,"µ")+COUNTIF($E157:Y157,1),ColTypeEcheance)),
  IF(LEN(Y157)=1,
  IF(LEN(INDEX(Roadmap!$D:$K,MATCH($E157,Roadmap!$D:$D,0)-1+COUNTIF($E157:Y157,"u")+COUNTIF($E157:Y157,"t")+COUNTIF($E157:Y157,"¶")+COUNTIF($E157:Y157,"²")+COUNTIF($E157:Y157,"µ")+COUNTIF($E157:Y157,1),ColDescriptionCourte))&gt;1,
HYPERLINK("#Roadmap!C"&amp; MATCH($E157,Roadmap!$D:$D,0)+COUNTIF($E157:Y157,"u")+COUNTIF($E157:Y157,"t")+COUNTIF($E157:Y157,"¶")+COUNTIF($E157:Y157,"²")+COUNTIF($E157:Y157,"µ")+COUNTIF($E157:Y157,1)-1,INDEX(Roadmap!$D:$K,MATCH($E157,Roadmap!$D:$D,0)-1+COUNTIF($E157:Y157,"u")+COUNTIF($E157:Y157,"t")+COUNTIF($E157:Y157,"¶")+COUNTIF($E157:Y157,"²")+COUNTIF($E157:Y157,"µ")+COUNTIF($E157:Y157,1),ColDescriptionCourte)),""),
  "")),"")</f>
        <v/>
      </c>
      <c r="AA157" s="40" t="str">
        <f ca="1">IFERROR(IF(AND(
  INDEX(Roadmap!$D:$K,MATCH($E157,Roadmap!$D:$D,0)+COUNTIF($E157:Z157,"u")+COUNTIF($E157:Z157,"t")+COUNTIF($E157:Z157,"¶")+COUNTIF($E157:Z157,"²")+COUNTIF($E157:Z157,"µ")+COUNTIF($E157:Z157,1),ColLivraison)=AA$6,
  VLOOKUP($E157,INDIRECT("tri!"&amp; CHAR(64+ C0Col) &amp;":"&amp; CHAR(65+C0Col)),2,FALSE)&gt;COUNTIF($E157:Z157,"u")+COUNTIF($E157:Z157,"t")+COUNTIF($E157:Z157,"¶")+COUNTIF($E157:Z157,"²")+COUNTIF($E157:Z157,"µ")+COUNTIF($E157:Z157,1)),
HYPERLINK("#Roadmap!C"&amp; MATCH($E157,Roadmap!$D:$D,0)+COUNTIF($E157:Z157,"u")+COUNTIF($E157:Z157,"t"),
     INDEX(Roadmap!$D:$K,MATCH($E157,Roadmap!$D:$D,0)+COUNTIF($E157:Z157,"u")+COUNTIF($E157:Z157,"t")+COUNTIF($E157:Z157,"¶")+COUNTIF($E157:Z157,"²")+COUNTIF($E157:Z157,"µ")+COUNTIF($E157:Z157,1),ColTypeEcheance)),
  IF(LEN(Z157)=1,
  IF(LEN(INDEX(Roadmap!$D:$K,MATCH($E157,Roadmap!$D:$D,0)-1+COUNTIF($E157:Z157,"u")+COUNTIF($E157:Z157,"t")+COUNTIF($E157:Z157,"¶")+COUNTIF($E157:Z157,"²")+COUNTIF($E157:Z157,"µ")+COUNTIF($E157:Z157,1),ColDescriptionCourte))&gt;1,
HYPERLINK("#Roadmap!C"&amp; MATCH($E157,Roadmap!$D:$D,0)+COUNTIF($E157:Z157,"u")+COUNTIF($E157:Z157,"t")+COUNTIF($E157:Z157,"¶")+COUNTIF($E157:Z157,"²")+COUNTIF($E157:Z157,"µ")+COUNTIF($E157:Z157,1)-1,INDEX(Roadmap!$D:$K,MATCH($E157,Roadmap!$D:$D,0)-1+COUNTIF($E157:Z157,"u")+COUNTIF($E157:Z157,"t")+COUNTIF($E157:Z157,"¶")+COUNTIF($E157:Z157,"²")+COUNTIF($E157:Z157,"µ")+COUNTIF($E157:Z157,1),ColDescriptionCourte)),""),
  "")),"")</f>
        <v/>
      </c>
      <c r="AB157" s="40" t="str">
        <f ca="1">IFERROR(IF(AND(
  INDEX(Roadmap!$D:$K,MATCH($E157,Roadmap!$D:$D,0)+COUNTIF($E157:AA157,"u")+COUNTIF($E157:AA157,"t")+COUNTIF($E157:AA157,"¶")+COUNTIF($E157:AA157,"²")+COUNTIF($E157:AA157,"µ")+COUNTIF($E157:AA157,1),ColLivraison)=AB$6,
  VLOOKUP($E157,INDIRECT("tri!"&amp; CHAR(64+ C0Col) &amp;":"&amp; CHAR(65+C0Col)),2,FALSE)&gt;COUNTIF($E157:AA157,"u")+COUNTIF($E157:AA157,"t")+COUNTIF($E157:AA157,"¶")+COUNTIF($E157:AA157,"²")+COUNTIF($E157:AA157,"µ")+COUNTIF($E157:AA157,1)),
HYPERLINK("#Roadmap!C"&amp; MATCH($E157,Roadmap!$D:$D,0)+COUNTIF($E157:AA157,"u")+COUNTIF($E157:AA157,"t"),
     INDEX(Roadmap!$D:$K,MATCH($E157,Roadmap!$D:$D,0)+COUNTIF($E157:AA157,"u")+COUNTIF($E157:AA157,"t")+COUNTIF($E157:AA157,"¶")+COUNTIF($E157:AA157,"²")+COUNTIF($E157:AA157,"µ")+COUNTIF($E157:AA157,1),ColTypeEcheance)),
  IF(LEN(AA157)=1,
  IF(LEN(INDEX(Roadmap!$D:$K,MATCH($E157,Roadmap!$D:$D,0)-1+COUNTIF($E157:AA157,"u")+COUNTIF($E157:AA157,"t")+COUNTIF($E157:AA157,"¶")+COUNTIF($E157:AA157,"²")+COUNTIF($E157:AA157,"µ")+COUNTIF($E157:AA157,1),ColDescriptionCourte))&gt;1,
HYPERLINK("#Roadmap!C"&amp; MATCH($E157,Roadmap!$D:$D,0)+COUNTIF($E157:AA157,"u")+COUNTIF($E157:AA157,"t")+COUNTIF($E157:AA157,"¶")+COUNTIF($E157:AA157,"²")+COUNTIF($E157:AA157,"µ")+COUNTIF($E157:AA157,1)-1,INDEX(Roadmap!$D:$K,MATCH($E157,Roadmap!$D:$D,0)-1+COUNTIF($E157:AA157,"u")+COUNTIF($E157:AA157,"t")+COUNTIF($E157:AA157,"¶")+COUNTIF($E157:AA157,"²")+COUNTIF($E157:AA157,"µ")+COUNTIF($E157:AA157,1),ColDescriptionCourte)),""),
  "")),"")</f>
        <v/>
      </c>
      <c r="AC157" s="40" t="str">
        <f ca="1">IFERROR(IF(AND(
  INDEX(Roadmap!$D:$K,MATCH($E157,Roadmap!$D:$D,0)+COUNTIF($E157:AB157,"u")+COUNTIF($E157:AB157,"t")+COUNTIF($E157:AB157,"¶")+COUNTIF($E157:AB157,"²")+COUNTIF($E157:AB157,"µ")+COUNTIF($E157:AB157,1),ColLivraison)=AC$6,
  VLOOKUP($E157,INDIRECT("tri!"&amp; CHAR(64+ C0Col) &amp;":"&amp; CHAR(65+C0Col)),2,FALSE)&gt;COUNTIF($E157:AB157,"u")+COUNTIF($E157:AB157,"t")+COUNTIF($E157:AB157,"¶")+COUNTIF($E157:AB157,"²")+COUNTIF($E157:AB157,"µ")+COUNTIF($E157:AB157,1)),
HYPERLINK("#Roadmap!C"&amp; MATCH($E157,Roadmap!$D:$D,0)+COUNTIF($E157:AB157,"u")+COUNTIF($E157:AB157,"t"),
     INDEX(Roadmap!$D:$K,MATCH($E157,Roadmap!$D:$D,0)+COUNTIF($E157:AB157,"u")+COUNTIF($E157:AB157,"t")+COUNTIF($E157:AB157,"¶")+COUNTIF($E157:AB157,"²")+COUNTIF($E157:AB157,"µ")+COUNTIF($E157:AB157,1),ColTypeEcheance)),
  IF(LEN(AB157)=1,
  IF(LEN(INDEX(Roadmap!$D:$K,MATCH($E157,Roadmap!$D:$D,0)-1+COUNTIF($E157:AB157,"u")+COUNTIF($E157:AB157,"t")+COUNTIF($E157:AB157,"¶")+COUNTIF($E157:AB157,"²")+COUNTIF($E157:AB157,"µ")+COUNTIF($E157:AB157,1),ColDescriptionCourte))&gt;1,
HYPERLINK("#Roadmap!C"&amp; MATCH($E157,Roadmap!$D:$D,0)+COUNTIF($E157:AB157,"u")+COUNTIF($E157:AB157,"t")+COUNTIF($E157:AB157,"¶")+COUNTIF($E157:AB157,"²")+COUNTIF($E157:AB157,"µ")+COUNTIF($E157:AB157,1)-1,INDEX(Roadmap!$D:$K,MATCH($E157,Roadmap!$D:$D,0)-1+COUNTIF($E157:AB157,"u")+COUNTIF($E157:AB157,"t")+COUNTIF($E157:AB157,"¶")+COUNTIF($E157:AB157,"²")+COUNTIF($E157:AB157,"µ")+COUNTIF($E157:AB157,1),ColDescriptionCourte)),""),
  "")),"")</f>
        <v/>
      </c>
      <c r="AD157" s="40" t="str">
        <f ca="1">IFERROR(IF(AND(
  INDEX(Roadmap!$D:$K,MATCH($E157,Roadmap!$D:$D,0)+COUNTIF($E157:AC157,"u")+COUNTIF($E157:AC157,"t")+COUNTIF($E157:AC157,"¶")+COUNTIF($E157:AC157,"²")+COUNTIF($E157:AC157,"µ")+COUNTIF($E157:AC157,1),ColLivraison)=AD$6,
  VLOOKUP($E157,INDIRECT("tri!"&amp; CHAR(64+ C0Col) &amp;":"&amp; CHAR(65+C0Col)),2,FALSE)&gt;COUNTIF($E157:AC157,"u")+COUNTIF($E157:AC157,"t")+COUNTIF($E157:AC157,"¶")+COUNTIF($E157:AC157,"²")+COUNTIF($E157:AC157,"µ")+COUNTIF($E157:AC157,1)),
HYPERLINK("#Roadmap!C"&amp; MATCH($E157,Roadmap!$D:$D,0)+COUNTIF($E157:AC157,"u")+COUNTIF($E157:AC157,"t"),
     INDEX(Roadmap!$D:$K,MATCH($E157,Roadmap!$D:$D,0)+COUNTIF($E157:AC157,"u")+COUNTIF($E157:AC157,"t")+COUNTIF($E157:AC157,"¶")+COUNTIF($E157:AC157,"²")+COUNTIF($E157:AC157,"µ")+COUNTIF($E157:AC157,1),ColTypeEcheance)),
  IF(LEN(AC157)=1,
  IF(LEN(INDEX(Roadmap!$D:$K,MATCH($E157,Roadmap!$D:$D,0)-1+COUNTIF($E157:AC157,"u")+COUNTIF($E157:AC157,"t")+COUNTIF($E157:AC157,"¶")+COUNTIF($E157:AC157,"²")+COUNTIF($E157:AC157,"µ")+COUNTIF($E157:AC157,1),ColDescriptionCourte))&gt;1,
HYPERLINK("#Roadmap!C"&amp; MATCH($E157,Roadmap!$D:$D,0)+COUNTIF($E157:AC157,"u")+COUNTIF($E157:AC157,"t")+COUNTIF($E157:AC157,"¶")+COUNTIF($E157:AC157,"²")+COUNTIF($E157:AC157,"µ")+COUNTIF($E157:AC157,1)-1,INDEX(Roadmap!$D:$K,MATCH($E157,Roadmap!$D:$D,0)-1+COUNTIF($E157:AC157,"u")+COUNTIF($E157:AC157,"t")+COUNTIF($E157:AC157,"¶")+COUNTIF($E157:AC157,"²")+COUNTIF($E157:AC157,"µ")+COUNTIF($E157:AC157,1),ColDescriptionCourte)),""),
  "")),"")</f>
        <v/>
      </c>
      <c r="AE157" s="40" t="str">
        <f ca="1">IFERROR(IF(AND(
  INDEX(Roadmap!$D:$K,MATCH($E157,Roadmap!$D:$D,0)+COUNTIF($E157:AD157,"u")+COUNTIF($E157:AD157,"t")+COUNTIF($E157:AD157,"¶")+COUNTIF($E157:AD157,"²")+COUNTIF($E157:AD157,"µ")+COUNTIF($E157:AD157,1),ColLivraison)=AE$6,
  VLOOKUP($E157,INDIRECT("tri!"&amp; CHAR(64+ C0Col) &amp;":"&amp; CHAR(65+C0Col)),2,FALSE)&gt;COUNTIF($E157:AD157,"u")+COUNTIF($E157:AD157,"t")+COUNTIF($E157:AD157,"¶")+COUNTIF($E157:AD157,"²")+COUNTIF($E157:AD157,"µ")+COUNTIF($E157:AD157,1)),
HYPERLINK("#Roadmap!C"&amp; MATCH($E157,Roadmap!$D:$D,0)+COUNTIF($E157:AD157,"u")+COUNTIF($E157:AD157,"t"),
     INDEX(Roadmap!$D:$K,MATCH($E157,Roadmap!$D:$D,0)+COUNTIF($E157:AD157,"u")+COUNTIF($E157:AD157,"t")+COUNTIF($E157:AD157,"¶")+COUNTIF($E157:AD157,"²")+COUNTIF($E157:AD157,"µ")+COUNTIF($E157:AD157,1),ColTypeEcheance)),
  IF(LEN(AD157)=1,
  IF(LEN(INDEX(Roadmap!$D:$K,MATCH($E157,Roadmap!$D:$D,0)-1+COUNTIF($E157:AD157,"u")+COUNTIF($E157:AD157,"t")+COUNTIF($E157:AD157,"¶")+COUNTIF($E157:AD157,"²")+COUNTIF($E157:AD157,"µ")+COUNTIF($E157:AD157,1),ColDescriptionCourte))&gt;1,
HYPERLINK("#Roadmap!C"&amp; MATCH($E157,Roadmap!$D:$D,0)+COUNTIF($E157:AD157,"u")+COUNTIF($E157:AD157,"t")+COUNTIF($E157:AD157,"¶")+COUNTIF($E157:AD157,"²")+COUNTIF($E157:AD157,"µ")+COUNTIF($E157:AD157,1)-1,INDEX(Roadmap!$D:$K,MATCH($E157,Roadmap!$D:$D,0)-1+COUNTIF($E157:AD157,"u")+COUNTIF($E157:AD157,"t")+COUNTIF($E157:AD157,"¶")+COUNTIF($E157:AD157,"²")+COUNTIF($E157:AD157,"µ")+COUNTIF($E157:AD157,1),ColDescriptionCourte)),""),
  "")),"")</f>
        <v/>
      </c>
      <c r="AF157" s="40" t="str">
        <f ca="1">IFERROR(IF(AND(
  INDEX(Roadmap!$D:$K,MATCH($E157,Roadmap!$D:$D,0)+COUNTIF($E157:AE157,"u")+COUNTIF($E157:AE157,"t")+COUNTIF($E157:AE157,"¶")+COUNTIF($E157:AE157,"²")+COUNTIF($E157:AE157,"µ")+COUNTIF($E157:AE157,1),ColLivraison)=AF$6,
  VLOOKUP($E157,INDIRECT("tri!"&amp; CHAR(64+ C0Col) &amp;":"&amp; CHAR(65+C0Col)),2,FALSE)&gt;COUNTIF($E157:AE157,"u")+COUNTIF($E157:AE157,"t")+COUNTIF($E157:AE157,"¶")+COUNTIF($E157:AE157,"²")+COUNTIF($E157:AE157,"µ")+COUNTIF($E157:AE157,1)),
HYPERLINK("#Roadmap!C"&amp; MATCH($E157,Roadmap!$D:$D,0)+COUNTIF($E157:AE157,"u")+COUNTIF($E157:AE157,"t"),
     INDEX(Roadmap!$D:$K,MATCH($E157,Roadmap!$D:$D,0)+COUNTIF($E157:AE157,"u")+COUNTIF($E157:AE157,"t")+COUNTIF($E157:AE157,"¶")+COUNTIF($E157:AE157,"²")+COUNTIF($E157:AE157,"µ")+COUNTIF($E157:AE157,1),ColTypeEcheance)),
  IF(LEN(AE157)=1,
  IF(LEN(INDEX(Roadmap!$D:$K,MATCH($E157,Roadmap!$D:$D,0)-1+COUNTIF($E157:AE157,"u")+COUNTIF($E157:AE157,"t")+COUNTIF($E157:AE157,"¶")+COUNTIF($E157:AE157,"²")+COUNTIF($E157:AE157,"µ")+COUNTIF($E157:AE157,1),ColDescriptionCourte))&gt;1,
HYPERLINK("#Roadmap!C"&amp; MATCH($E157,Roadmap!$D:$D,0)+COUNTIF($E157:AE157,"u")+COUNTIF($E157:AE157,"t")+COUNTIF($E157:AE157,"¶")+COUNTIF($E157:AE157,"²")+COUNTIF($E157:AE157,"µ")+COUNTIF($E157:AE157,1)-1,INDEX(Roadmap!$D:$K,MATCH($E157,Roadmap!$D:$D,0)-1+COUNTIF($E157:AE157,"u")+COUNTIF($E157:AE157,"t")+COUNTIF($E157:AE157,"¶")+COUNTIF($E157:AE157,"²")+COUNTIF($E157:AE157,"µ")+COUNTIF($E157:AE157,1),ColDescriptionCourte)),""),
  "")),"")</f>
        <v/>
      </c>
      <c r="AG157" s="40" t="str">
        <f ca="1">IFERROR(IF(AND(
  INDEX(Roadmap!$D:$K,MATCH($E157,Roadmap!$D:$D,0)+COUNTIF($E157:AF157,"u")+COUNTIF($E157:AF157,"t")+COUNTIF($E157:AF157,"¶")+COUNTIF($E157:AF157,"²")+COUNTIF($E157:AF157,"µ")+COUNTIF($E157:AF157,1),ColLivraison)=AG$6,
  VLOOKUP($E157,INDIRECT("tri!"&amp; CHAR(64+ C0Col) &amp;":"&amp; CHAR(65+C0Col)),2,FALSE)&gt;COUNTIF($E157:AF157,"u")+COUNTIF($E157:AF157,"t")+COUNTIF($E157:AF157,"¶")+COUNTIF($E157:AF157,"²")+COUNTIF($E157:AF157,"µ")+COUNTIF($E157:AF157,1)),
HYPERLINK("#Roadmap!C"&amp; MATCH($E157,Roadmap!$D:$D,0)+COUNTIF($E157:AF157,"u")+COUNTIF($E157:AF157,"t"),
     INDEX(Roadmap!$D:$K,MATCH($E157,Roadmap!$D:$D,0)+COUNTIF($E157:AF157,"u")+COUNTIF($E157:AF157,"t")+COUNTIF($E157:AF157,"¶")+COUNTIF($E157:AF157,"²")+COUNTIF($E157:AF157,"µ")+COUNTIF($E157:AF157,1),ColTypeEcheance)),
  IF(LEN(AF157)=1,
  IF(LEN(INDEX(Roadmap!$D:$K,MATCH($E157,Roadmap!$D:$D,0)-1+COUNTIF($E157:AF157,"u")+COUNTIF($E157:AF157,"t")+COUNTIF($E157:AF157,"¶")+COUNTIF($E157:AF157,"²")+COUNTIF($E157:AF157,"µ")+COUNTIF($E157:AF157,1),ColDescriptionCourte))&gt;1,
HYPERLINK("#Roadmap!C"&amp; MATCH($E157,Roadmap!$D:$D,0)+COUNTIF($E157:AF157,"u")+COUNTIF($E157:AF157,"t")+COUNTIF($E157:AF157,"¶")+COUNTIF($E157:AF157,"²")+COUNTIF($E157:AF157,"µ")+COUNTIF($E157:AF157,1)-1,INDEX(Roadmap!$D:$K,MATCH($E157,Roadmap!$D:$D,0)-1+COUNTIF($E157:AF157,"u")+COUNTIF($E157:AF157,"t")+COUNTIF($E157:AF157,"¶")+COUNTIF($E157:AF157,"²")+COUNTIF($E157:AF157,"µ")+COUNTIF($E157:AF157,1),ColDescriptionCourte)),""),
  "")),"")</f>
        <v/>
      </c>
      <c r="AH157" s="40" t="str">
        <f ca="1">IFERROR(IF(AND(
  INDEX(Roadmap!$D:$K,MATCH($E157,Roadmap!$D:$D,0)+COUNTIF($E157:AG157,"u")+COUNTIF($E157:AG157,"t")+COUNTIF($E157:AG157,1),ColLivraison)=AH$6,
  VLOOKUP($E157,INDIRECT("tri!"&amp; CHAR(64+ C0Col) &amp;":"&amp; CHAR(65+C0Col)),2,FALSE)&gt;COUNTIF($E157:AG157,"u")+COUNTIF($E157:AG157,"t")+COUNTIF($E157:AG157,1)),
HYPERLINK("#Roadmap!C"&amp; MATCH($E157,Roadmap!$D:$D,0)+COUNTIF($E157:AG157,"u")+COUNTIF($E157:AG157,"t"),
     INDEX(Roadmap!$D:$K,MATCH($E157,Roadmap!$D:$D,0)+COUNTIF($E157:AG157,"u")+COUNTIF($E157:AG157,"t")+COUNTIF($E157:AG157,1),ColTypeEcheance)),
  IF(OR(AG157="u",AG157="t",AG157=1),
  IF(LEN(INDEX(Roadmap!$D:$K,MATCH($E157,Roadmap!$D:$D,0)-1+COUNTIF($E157:AG157,"u")+COUNTIF($E157:AG157,"t")+COUNTIF($E157:AG157,1),ColDescriptionCourte))&gt;1,
HYPERLINK("#Roadmap!C"&amp; MATCH($E157,Roadmap!$D:$D,0)+COUNTIF($E157:AG157,"u")+COUNTIF($E157:AG157,"t")+COUNTIF($E157:AG157,1)-1,INDEX(Roadmap!$D:$K,MATCH($E157,Roadmap!$D:$D,0)-1+COUNTIF($E157:AG157,"u")+COUNTIF($E157:AG157,"t")+COUNTIF($E157:AG157,1),ColDescriptionCourte)),""),
  "")),"")</f>
        <v/>
      </c>
      <c r="AI157" s="40"/>
      <c r="AJ157" s="40"/>
      <c r="AK157" s="40"/>
      <c r="AL157" s="40"/>
      <c r="AM157" s="40"/>
    </row>
    <row r="158" spans="4:39" ht="14.1" customHeight="1">
      <c r="D158" s="20" t="str">
        <f t="shared" ca="1" si="31"/>
        <v/>
      </c>
      <c r="E158" s="53" t="str">
        <f t="shared" ca="1" si="32"/>
        <v/>
      </c>
      <c r="F158" s="39" t="str">
        <f ca="1">IFERROR(IF(AND(
  INDEX(Roadmap!$D:$K,MATCH($E158,Roadmap!$D:$D,0)+COUNTIF($E158:E158,"u")+COUNTIF($E158:E158,"t")+COUNTIF($E158:E158,"¶")+COUNTIF($E158:E158,"²")+COUNTIF($E158:E158,"µ")+COUNTIF($E158:E158,1),ColLivraison)=F$6,
  VLOOKUP($E158,INDIRECT("tri!"&amp; CHAR(64+ C0Col) &amp;":"&amp; CHAR(65+C0Col)),2,FALSE)&gt;COUNTIF($E158:E158,"u")+COUNTIF($E158:E158,"t")+COUNTIF($E158:E158,"¶")+COUNTIF($E158:E158,"²")+COUNTIF($E158:E158,"µ")+COUNTIF($E158:E158,1)),
HYPERLINK("#Roadmap!C"&amp; MATCH($E158,Roadmap!$D:$D,0)+COUNTIF($E158:E158,"u")+COUNTIF($E158:E158,"t"),
     INDEX(Roadmap!$D:$K,MATCH($E158,Roadmap!$D:$D,0)+COUNTIF($E158:E158,"u")+COUNTIF($E158:E158,"t")+COUNTIF($E158:E158,"¶")+COUNTIF($E158:E158,"²")+COUNTIF($E158:E158,"µ")+COUNTIF($E158:E158,1),ColTypeEcheance)),
  IF(LEN(E158)=1,
  IF(LEN(INDEX(Roadmap!$D:$K,MATCH($E158,Roadmap!$D:$D,0)-1+COUNTIF($E158:E158,"u")+COUNTIF($E158:E158,"t")+COUNTIF($E158:E158,"¶")+COUNTIF($E158:E158,"²")+COUNTIF($E158:E158,"µ")+COUNTIF($E158:E158,1),ColDescriptionCourte))&gt;1,
HYPERLINK("#Roadmap!C"&amp; MATCH($E158,Roadmap!$D:$D,0)+COUNTIF($E158:E158,"u")+COUNTIF($E158:E158,"t")+COUNTIF($E158:E158,"¶")+COUNTIF($E158:E158,"²")+COUNTIF($E158:E158,"µ")+COUNTIF($E158:E158,1)-1,INDEX(Roadmap!$D:$K,MATCH($E158,Roadmap!$D:$D,0)-1+COUNTIF($E158:E158,"u")+COUNTIF($E158:E158,"t")+COUNTIF($E158:E158,"¶")+COUNTIF($E158:E158,"²")+COUNTIF($E158:E158,"µ")+COUNTIF($E158:E158,1),ColDescriptionCourte)),""),
  "")),"")</f>
        <v/>
      </c>
      <c r="G158" s="40" t="str">
        <f ca="1">IFERROR(IF(AND(
  INDEX(Roadmap!$D:$K,MATCH($E158,Roadmap!$D:$D,0)+COUNTIF($E158:F158,"u")+COUNTIF($E158:F158,"t")+COUNTIF($E158:F158,"¶")+COUNTIF($E158:F158,"²")+COUNTIF($E158:F158,"µ")+COUNTIF($E158:F158,1),ColLivraison)=G$6,
  VLOOKUP($E158,INDIRECT("tri!"&amp; CHAR(64+ C0Col) &amp;":"&amp; CHAR(65+C0Col)),2,FALSE)&gt;COUNTIF($E158:F158,"u")+COUNTIF($E158:F158,"t")+COUNTIF($E158:F158,"¶")+COUNTIF($E158:F158,"²")+COUNTIF($E158:F158,"µ")+COUNTIF($E158:F158,1)),
HYPERLINK("#Roadmap!C"&amp; MATCH($E158,Roadmap!$D:$D,0)+COUNTIF($E158:F158,"u")+COUNTIF($E158:F158,"t"),
     INDEX(Roadmap!$D:$K,MATCH($E158,Roadmap!$D:$D,0)+COUNTIF($E158:F158,"u")+COUNTIF($E158:F158,"t")+COUNTIF($E158:F158,"¶")+COUNTIF($E158:F158,"²")+COUNTIF($E158:F158,"µ")+COUNTIF($E158:F158,1),ColTypeEcheance)),
  IF(LEN(F158)=1,
  IF(LEN(INDEX(Roadmap!$D:$K,MATCH($E158,Roadmap!$D:$D,0)-1+COUNTIF($E158:F158,"u")+COUNTIF($E158:F158,"t")+COUNTIF($E158:F158,"¶")+COUNTIF($E158:F158,"²")+COUNTIF($E158:F158,"µ")+COUNTIF($E158:F158,1),ColDescriptionCourte))&gt;1,
HYPERLINK("#Roadmap!C"&amp; MATCH($E158,Roadmap!$D:$D,0)+COUNTIF($E158:F158,"u")+COUNTIF($E158:F158,"t")+COUNTIF($E158:F158,"¶")+COUNTIF($E158:F158,"²")+COUNTIF($E158:F158,"µ")+COUNTIF($E158:F158,1)-1,INDEX(Roadmap!$D:$K,MATCH($E158,Roadmap!$D:$D,0)-1+COUNTIF($E158:F158,"u")+COUNTIF($E158:F158,"t")+COUNTIF($E158:F158,"¶")+COUNTIF($E158:F158,"²")+COUNTIF($E158:F158,"µ")+COUNTIF($E158:F158,1),ColDescriptionCourte)),""),
  "")),"")</f>
        <v/>
      </c>
      <c r="H158" s="40" t="str">
        <f ca="1">IFERROR(IF(AND(
  INDEX(Roadmap!$D:$K,MATCH($E158,Roadmap!$D:$D,0)+COUNTIF($E158:G158,"u")+COUNTIF($E158:G158,"t")+COUNTIF($E158:G158,"¶")+COUNTIF($E158:G158,"²")+COUNTIF($E158:G158,"µ")+COUNTIF($E158:G158,1),ColLivraison)=H$6,
  VLOOKUP($E158,INDIRECT("tri!"&amp; CHAR(64+ C0Col) &amp;":"&amp; CHAR(65+C0Col)),2,FALSE)&gt;COUNTIF($E158:G158,"u")+COUNTIF($E158:G158,"t")+COUNTIF($E158:G158,"¶")+COUNTIF($E158:G158,"²")+COUNTIF($E158:G158,"µ")+COUNTIF($E158:G158,1)),
HYPERLINK("#Roadmap!C"&amp; MATCH($E158,Roadmap!$D:$D,0)+COUNTIF($E158:G158,"u")+COUNTIF($E158:G158,"t"),
     INDEX(Roadmap!$D:$K,MATCH($E158,Roadmap!$D:$D,0)+COUNTIF($E158:G158,"u")+COUNTIF($E158:G158,"t")+COUNTIF($E158:G158,"¶")+COUNTIF($E158:G158,"²")+COUNTIF($E158:G158,"µ")+COUNTIF($E158:G158,1),ColTypeEcheance)),
  IF(LEN(G158)=1,
  IF(LEN(INDEX(Roadmap!$D:$K,MATCH($E158,Roadmap!$D:$D,0)-1+COUNTIF($E158:G158,"u")+COUNTIF($E158:G158,"t")+COUNTIF($E158:G158,"¶")+COUNTIF($E158:G158,"²")+COUNTIF($E158:G158,"µ")+COUNTIF($E158:G158,1),ColDescriptionCourte))&gt;1,
HYPERLINK("#Roadmap!C"&amp; MATCH($E158,Roadmap!$D:$D,0)+COUNTIF($E158:G158,"u")+COUNTIF($E158:G158,"t")+COUNTIF($E158:G158,"¶")+COUNTIF($E158:G158,"²")+COUNTIF($E158:G158,"µ")+COUNTIF($E158:G158,1)-1,INDEX(Roadmap!$D:$K,MATCH($E158,Roadmap!$D:$D,0)-1+COUNTIF($E158:G158,"u")+COUNTIF($E158:G158,"t")+COUNTIF($E158:G158,"¶")+COUNTIF($E158:G158,"²")+COUNTIF($E158:G158,"µ")+COUNTIF($E158:G158,1),ColDescriptionCourte)),""),
  "")),"")</f>
        <v/>
      </c>
      <c r="I158" s="40" t="str">
        <f ca="1">IFERROR(IF(AND(
  INDEX(Roadmap!$D:$K,MATCH($E158,Roadmap!$D:$D,0)+COUNTIF($E158:H158,"u")+COUNTIF($E158:H158,"t")+COUNTIF($E158:H158,"¶")+COUNTIF($E158:H158,"²")+COUNTIF($E158:H158,"µ")+COUNTIF($E158:H158,1),ColLivraison)=I$6,
  VLOOKUP($E158,INDIRECT("tri!"&amp; CHAR(64+ C0Col) &amp;":"&amp; CHAR(65+C0Col)),2,FALSE)&gt;COUNTIF($E158:H158,"u")+COUNTIF($E158:H158,"t")+COUNTIF($E158:H158,"¶")+COUNTIF($E158:H158,"²")+COUNTIF($E158:H158,"µ")+COUNTIF($E158:H158,1)),
HYPERLINK("#Roadmap!C"&amp; MATCH($E158,Roadmap!$D:$D,0)+COUNTIF($E158:H158,"u")+COUNTIF($E158:H158,"t"),
     INDEX(Roadmap!$D:$K,MATCH($E158,Roadmap!$D:$D,0)+COUNTIF($E158:H158,"u")+COUNTIF($E158:H158,"t")+COUNTIF($E158:H158,"¶")+COUNTIF($E158:H158,"²")+COUNTIF($E158:H158,"µ")+COUNTIF($E158:H158,1),ColTypeEcheance)),
  IF(LEN(H158)=1,
  IF(LEN(INDEX(Roadmap!$D:$K,MATCH($E158,Roadmap!$D:$D,0)-1+COUNTIF($E158:H158,"u")+COUNTIF($E158:H158,"t")+COUNTIF($E158:H158,"¶")+COUNTIF($E158:H158,"²")+COUNTIF($E158:H158,"µ")+COUNTIF($E158:H158,1),ColDescriptionCourte))&gt;1,
HYPERLINK("#Roadmap!C"&amp; MATCH($E158,Roadmap!$D:$D,0)+COUNTIF($E158:H158,"u")+COUNTIF($E158:H158,"t")+COUNTIF($E158:H158,"¶")+COUNTIF($E158:H158,"²")+COUNTIF($E158:H158,"µ")+COUNTIF($E158:H158,1)-1,INDEX(Roadmap!$D:$K,MATCH($E158,Roadmap!$D:$D,0)-1+COUNTIF($E158:H158,"u")+COUNTIF($E158:H158,"t")+COUNTIF($E158:H158,"¶")+COUNTIF($E158:H158,"²")+COUNTIF($E158:H158,"µ")+COUNTIF($E158:H158,1),ColDescriptionCourte)),""),
  "")),"")</f>
        <v/>
      </c>
      <c r="J158" s="40" t="str">
        <f ca="1">IFERROR(IF(AND(
  INDEX(Roadmap!$D:$K,MATCH($E158,Roadmap!$D:$D,0)+COUNTIF($E158:I158,"u")+COUNTIF($E158:I158,"t")+COUNTIF($E158:I158,"¶")+COUNTIF($E158:I158,"²")+COUNTIF($E158:I158,"µ")+COUNTIF($E158:I158,1),ColLivraison)=J$6,
  VLOOKUP($E158,INDIRECT("tri!"&amp; CHAR(64+ C0Col) &amp;":"&amp; CHAR(65+C0Col)),2,FALSE)&gt;COUNTIF($E158:I158,"u")+COUNTIF($E158:I158,"t")+COUNTIF($E158:I158,"¶")+COUNTIF($E158:I158,"²")+COUNTIF($E158:I158,"µ")+COUNTIF($E158:I158,1)),
HYPERLINK("#Roadmap!C"&amp; MATCH($E158,Roadmap!$D:$D,0)+COUNTIF($E158:I158,"u")+COUNTIF($E158:I158,"t"),
     INDEX(Roadmap!$D:$K,MATCH($E158,Roadmap!$D:$D,0)+COUNTIF($E158:I158,"u")+COUNTIF($E158:I158,"t")+COUNTIF($E158:I158,"¶")+COUNTIF($E158:I158,"²")+COUNTIF($E158:I158,"µ")+COUNTIF($E158:I158,1),ColTypeEcheance)),
  IF(LEN(I158)=1,
  IF(LEN(INDEX(Roadmap!$D:$K,MATCH($E158,Roadmap!$D:$D,0)-1+COUNTIF($E158:I158,"u")+COUNTIF($E158:I158,"t")+COUNTIF($E158:I158,"¶")+COUNTIF($E158:I158,"²")+COUNTIF($E158:I158,"µ")+COUNTIF($E158:I158,1),ColDescriptionCourte))&gt;1,
HYPERLINK("#Roadmap!C"&amp; MATCH($E158,Roadmap!$D:$D,0)+COUNTIF($E158:I158,"u")+COUNTIF($E158:I158,"t")+COUNTIF($E158:I158,"¶")+COUNTIF($E158:I158,"²")+COUNTIF($E158:I158,"µ")+COUNTIF($E158:I158,1)-1,INDEX(Roadmap!$D:$K,MATCH($E158,Roadmap!$D:$D,0)-1+COUNTIF($E158:I158,"u")+COUNTIF($E158:I158,"t")+COUNTIF($E158:I158,"¶")+COUNTIF($E158:I158,"²")+COUNTIF($E158:I158,"µ")+COUNTIF($E158:I158,1),ColDescriptionCourte)),""),
  "")),"")</f>
        <v/>
      </c>
      <c r="K158" s="40" t="str">
        <f ca="1">IFERROR(IF(AND(
  INDEX(Roadmap!$D:$K,MATCH($E158,Roadmap!$D:$D,0)+COUNTIF($E158:J158,"u")+COUNTIF($E158:J158,"t")+COUNTIF($E158:J158,"¶")+COUNTIF($E158:J158,"²")+COUNTIF($E158:J158,"µ")+COUNTIF($E158:J158,1),ColLivraison)=K$6,
  VLOOKUP($E158,INDIRECT("tri!"&amp; CHAR(64+ C0Col) &amp;":"&amp; CHAR(65+C0Col)),2,FALSE)&gt;COUNTIF($E158:J158,"u")+COUNTIF($E158:J158,"t")+COUNTIF($E158:J158,"¶")+COUNTIF($E158:J158,"²")+COUNTIF($E158:J158,"µ")+COUNTIF($E158:J158,1)),
HYPERLINK("#Roadmap!C"&amp; MATCH($E158,Roadmap!$D:$D,0)+COUNTIF($E158:J158,"u")+COUNTIF($E158:J158,"t"),
     INDEX(Roadmap!$D:$K,MATCH($E158,Roadmap!$D:$D,0)+COUNTIF($E158:J158,"u")+COUNTIF($E158:J158,"t")+COUNTIF($E158:J158,"¶")+COUNTIF($E158:J158,"²")+COUNTIF($E158:J158,"µ")+COUNTIF($E158:J158,1),ColTypeEcheance)),
  IF(LEN(J158)=1,
  IF(LEN(INDEX(Roadmap!$D:$K,MATCH($E158,Roadmap!$D:$D,0)-1+COUNTIF($E158:J158,"u")+COUNTIF($E158:J158,"t")+COUNTIF($E158:J158,"¶")+COUNTIF($E158:J158,"²")+COUNTIF($E158:J158,"µ")+COUNTIF($E158:J158,1),ColDescriptionCourte))&gt;1,
HYPERLINK("#Roadmap!C"&amp; MATCH($E158,Roadmap!$D:$D,0)+COUNTIF($E158:J158,"u")+COUNTIF($E158:J158,"t")+COUNTIF($E158:J158,"¶")+COUNTIF($E158:J158,"²")+COUNTIF($E158:J158,"µ")+COUNTIF($E158:J158,1)-1,INDEX(Roadmap!$D:$K,MATCH($E158,Roadmap!$D:$D,0)-1+COUNTIF($E158:J158,"u")+COUNTIF($E158:J158,"t")+COUNTIF($E158:J158,"¶")+COUNTIF($E158:J158,"²")+COUNTIF($E158:J158,"µ")+COUNTIF($E158:J158,1),ColDescriptionCourte)),""),
  "")),"")</f>
        <v/>
      </c>
      <c r="L158" s="39" t="str">
        <f ca="1">IFERROR(IF(AND(
  INDEX(Roadmap!$D:$K,MATCH($E158,Roadmap!$D:$D,0)+COUNTIF($E158:K158,"u")+COUNTIF($E158:K158,"t")+COUNTIF($E158:K158,"¶")+COUNTIF($E158:K158,"²")+COUNTIF($E158:K158,"µ")+COUNTIF($E158:K158,1),ColLivraison)=L$6,
  VLOOKUP($E158,INDIRECT("tri!"&amp; CHAR(64+ C0Col) &amp;":"&amp; CHAR(65+C0Col)),2,FALSE)&gt;COUNTIF($E158:K158,"u")+COUNTIF($E158:K158,"t")+COUNTIF($E158:K158,"¶")+COUNTIF($E158:K158,"²")+COUNTIF($E158:K158,"µ")+COUNTIF($E158:K158,1)),
HYPERLINK("#Roadmap!C"&amp; MATCH($E158,Roadmap!$D:$D,0)+COUNTIF($E158:K158,"u")+COUNTIF($E158:K158,"t"),
     INDEX(Roadmap!$D:$K,MATCH($E158,Roadmap!$D:$D,0)+COUNTIF($E158:K158,"u")+COUNTIF($E158:K158,"t")+COUNTIF($E158:K158,"¶")+COUNTIF($E158:K158,"²")+COUNTIF($E158:K158,"µ")+COUNTIF($E158:K158,1),ColTypeEcheance)),
  IF(LEN(K158)=1,
  IF(LEN(INDEX(Roadmap!$D:$K,MATCH($E158,Roadmap!$D:$D,0)-1+COUNTIF($E158:K158,"u")+COUNTIF($E158:K158,"t")+COUNTIF($E158:K158,"¶")+COUNTIF($E158:K158,"²")+COUNTIF($E158:K158,"µ")+COUNTIF($E158:K158,1),ColDescriptionCourte))&gt;1,
HYPERLINK("#Roadmap!C"&amp; MATCH($E158,Roadmap!$D:$D,0)+COUNTIF($E158:K158,"u")+COUNTIF($E158:K158,"t")+COUNTIF($E158:K158,"¶")+COUNTIF($E158:K158,"²")+COUNTIF($E158:K158,"µ")+COUNTIF($E158:K158,1)-1,INDEX(Roadmap!$D:$K,MATCH($E158,Roadmap!$D:$D,0)-1+COUNTIF($E158:K158,"u")+COUNTIF($E158:K158,"t")+COUNTIF($E158:K158,"¶")+COUNTIF($E158:K158,"²")+COUNTIF($E158:K158,"µ")+COUNTIF($E158:K158,1),ColDescriptionCourte)),""),
  "")),"")</f>
        <v/>
      </c>
      <c r="M158" s="40" t="str">
        <f ca="1">IFERROR(IF(AND(
  INDEX(Roadmap!$D:$K,MATCH($E158,Roadmap!$D:$D,0)+COUNTIF($E158:L158,"u")+COUNTIF($E158:L158,"t")+COUNTIF($E158:L158,"¶")+COUNTIF($E158:L158,"²")+COUNTIF($E158:L158,"µ")+COUNTIF($E158:L158,1),ColLivraison)=M$6,
  VLOOKUP($E158,INDIRECT("tri!"&amp; CHAR(64+ C0Col) &amp;":"&amp; CHAR(65+C0Col)),2,FALSE)&gt;COUNTIF($E158:L158,"u")+COUNTIF($E158:L158,"t")+COUNTIF($E158:L158,"¶")+COUNTIF($E158:L158,"²")+COUNTIF($E158:L158,"µ")+COUNTIF($E158:L158,1)),
HYPERLINK("#Roadmap!C"&amp; MATCH($E158,Roadmap!$D:$D,0)+COUNTIF($E158:L158,"u")+COUNTIF($E158:L158,"t"),
     INDEX(Roadmap!$D:$K,MATCH($E158,Roadmap!$D:$D,0)+COUNTIF($E158:L158,"u")+COUNTIF($E158:L158,"t")+COUNTIF($E158:L158,"¶")+COUNTIF($E158:L158,"²")+COUNTIF($E158:L158,"µ")+COUNTIF($E158:L158,1),ColTypeEcheance)),
  IF(LEN(L158)=1,
  IF(LEN(INDEX(Roadmap!$D:$K,MATCH($E158,Roadmap!$D:$D,0)-1+COUNTIF($E158:L158,"u")+COUNTIF($E158:L158,"t")+COUNTIF($E158:L158,"¶")+COUNTIF($E158:L158,"²")+COUNTIF($E158:L158,"µ")+COUNTIF($E158:L158,1),ColDescriptionCourte))&gt;1,
HYPERLINK("#Roadmap!C"&amp; MATCH($E158,Roadmap!$D:$D,0)+COUNTIF($E158:L158,"u")+COUNTIF($E158:L158,"t")+COUNTIF($E158:L158,"¶")+COUNTIF($E158:L158,"²")+COUNTIF($E158:L158,"µ")+COUNTIF($E158:L158,1)-1,INDEX(Roadmap!$D:$K,MATCH($E158,Roadmap!$D:$D,0)-1+COUNTIF($E158:L158,"u")+COUNTIF($E158:L158,"t")+COUNTIF($E158:L158,"¶")+COUNTIF($E158:L158,"²")+COUNTIF($E158:L158,"µ")+COUNTIF($E158:L158,1),ColDescriptionCourte)),""),
  "")),"")</f>
        <v/>
      </c>
      <c r="N158" s="40" t="str">
        <f ca="1">IFERROR(IF(AND(
  INDEX(Roadmap!$D:$K,MATCH($E158,Roadmap!$D:$D,0)+COUNTIF($E158:M158,"u")+COUNTIF($E158:M158,"t")+COUNTIF($E158:M158,"¶")+COUNTIF($E158:M158,"²")+COUNTIF($E158:M158,"µ")+COUNTIF($E158:M158,1),ColLivraison)=N$6,
  VLOOKUP($E158,INDIRECT("tri!"&amp; CHAR(64+ C0Col) &amp;":"&amp; CHAR(65+C0Col)),2,FALSE)&gt;COUNTIF($E158:M158,"u")+COUNTIF($E158:M158,"t")+COUNTIF($E158:M158,"¶")+COUNTIF($E158:M158,"²")+COUNTIF($E158:M158,"µ")+COUNTIF($E158:M158,1)),
HYPERLINK("#Roadmap!C"&amp; MATCH($E158,Roadmap!$D:$D,0)+COUNTIF($E158:M158,"u")+COUNTIF($E158:M158,"t"),
     INDEX(Roadmap!$D:$K,MATCH($E158,Roadmap!$D:$D,0)+COUNTIF($E158:M158,"u")+COUNTIF($E158:M158,"t")+COUNTIF($E158:M158,"¶")+COUNTIF($E158:M158,"²")+COUNTIF($E158:M158,"µ")+COUNTIF($E158:M158,1),ColTypeEcheance)),
  IF(LEN(M158)=1,
  IF(LEN(INDEX(Roadmap!$D:$K,MATCH($E158,Roadmap!$D:$D,0)-1+COUNTIF($E158:M158,"u")+COUNTIF($E158:M158,"t")+COUNTIF($E158:M158,"¶")+COUNTIF($E158:M158,"²")+COUNTIF($E158:M158,"µ")+COUNTIF($E158:M158,1),ColDescriptionCourte))&gt;1,
HYPERLINK("#Roadmap!C"&amp; MATCH($E158,Roadmap!$D:$D,0)+COUNTIF($E158:M158,"u")+COUNTIF($E158:M158,"t")+COUNTIF($E158:M158,"¶")+COUNTIF($E158:M158,"²")+COUNTIF($E158:M158,"µ")+COUNTIF($E158:M158,1)-1,INDEX(Roadmap!$D:$K,MATCH($E158,Roadmap!$D:$D,0)-1+COUNTIF($E158:M158,"u")+COUNTIF($E158:M158,"t")+COUNTIF($E158:M158,"¶")+COUNTIF($E158:M158,"²")+COUNTIF($E158:M158,"µ")+COUNTIF($E158:M158,1),ColDescriptionCourte)),""),
  "")),"")</f>
        <v/>
      </c>
      <c r="O158" s="40" t="str">
        <f ca="1">IFERROR(IF(AND(
  INDEX(Roadmap!$D:$K,MATCH($E158,Roadmap!$D:$D,0)+COUNTIF($E158:N158,"u")+COUNTIF($E158:N158,"t")+COUNTIF($E158:N158,"¶")+COUNTIF($E158:N158,"²")+COUNTIF($E158:N158,"µ")+COUNTIF($E158:N158,1),ColLivraison)=O$6,
  VLOOKUP($E158,INDIRECT("tri!"&amp; CHAR(64+ C0Col) &amp;":"&amp; CHAR(65+C0Col)),2,FALSE)&gt;COUNTIF($E158:N158,"u")+COUNTIF($E158:N158,"t")+COUNTIF($E158:N158,"¶")+COUNTIF($E158:N158,"²")+COUNTIF($E158:N158,"µ")+COUNTIF($E158:N158,1)),
HYPERLINK("#Roadmap!C"&amp; MATCH($E158,Roadmap!$D:$D,0)+COUNTIF($E158:N158,"u")+COUNTIF($E158:N158,"t"),
     INDEX(Roadmap!$D:$K,MATCH($E158,Roadmap!$D:$D,0)+COUNTIF($E158:N158,"u")+COUNTIF($E158:N158,"t")+COUNTIF($E158:N158,"¶")+COUNTIF($E158:N158,"²")+COUNTIF($E158:N158,"µ")+COUNTIF($E158:N158,1),ColTypeEcheance)),
  IF(LEN(N158)=1,
  IF(LEN(INDEX(Roadmap!$D:$K,MATCH($E158,Roadmap!$D:$D,0)-1+COUNTIF($E158:N158,"u")+COUNTIF($E158:N158,"t")+COUNTIF($E158:N158,"¶")+COUNTIF($E158:N158,"²")+COUNTIF($E158:N158,"µ")+COUNTIF($E158:N158,1),ColDescriptionCourte))&gt;1,
HYPERLINK("#Roadmap!C"&amp; MATCH($E158,Roadmap!$D:$D,0)+COUNTIF($E158:N158,"u")+COUNTIF($E158:N158,"t")+COUNTIF($E158:N158,"¶")+COUNTIF($E158:N158,"²")+COUNTIF($E158:N158,"µ")+COUNTIF($E158:N158,1)-1,INDEX(Roadmap!$D:$K,MATCH($E158,Roadmap!$D:$D,0)-1+COUNTIF($E158:N158,"u")+COUNTIF($E158:N158,"t")+COUNTIF($E158:N158,"¶")+COUNTIF($E158:N158,"²")+COUNTIF($E158:N158,"µ")+COUNTIF($E158:N158,1),ColDescriptionCourte)),""),
  "")),"")</f>
        <v/>
      </c>
      <c r="P158" s="40" t="str">
        <f ca="1">IFERROR(IF(AND(
  INDEX(Roadmap!$D:$K,MATCH($E158,Roadmap!$D:$D,0)+COUNTIF($E158:O158,"u")+COUNTIF($E158:O158,"t")+COUNTIF($E158:O158,"¶")+COUNTIF($E158:O158,"²")+COUNTIF($E158:O158,"µ")+COUNTIF($E158:O158,1),ColLivraison)=P$6,
  VLOOKUP($E158,INDIRECT("tri!"&amp; CHAR(64+ C0Col) &amp;":"&amp; CHAR(65+C0Col)),2,FALSE)&gt;COUNTIF($E158:O158,"u")+COUNTIF($E158:O158,"t")+COUNTIF($E158:O158,"¶")+COUNTIF($E158:O158,"²")+COUNTIF($E158:O158,"µ")+COUNTIF($E158:O158,1)),
HYPERLINK("#Roadmap!C"&amp; MATCH($E158,Roadmap!$D:$D,0)+COUNTIF($E158:O158,"u")+COUNTIF($E158:O158,"t"),
     INDEX(Roadmap!$D:$K,MATCH($E158,Roadmap!$D:$D,0)+COUNTIF($E158:O158,"u")+COUNTIF($E158:O158,"t")+COUNTIF($E158:O158,"¶")+COUNTIF($E158:O158,"²")+COUNTIF($E158:O158,"µ")+COUNTIF($E158:O158,1),ColTypeEcheance)),
  IF(LEN(O158)=1,
  IF(LEN(INDEX(Roadmap!$D:$K,MATCH($E158,Roadmap!$D:$D,0)-1+COUNTIF($E158:O158,"u")+COUNTIF($E158:O158,"t")+COUNTIF($E158:O158,"¶")+COUNTIF($E158:O158,"²")+COUNTIF($E158:O158,"µ")+COUNTIF($E158:O158,1),ColDescriptionCourte))&gt;1,
HYPERLINK("#Roadmap!C"&amp; MATCH($E158,Roadmap!$D:$D,0)+COUNTIF($E158:O158,"u")+COUNTIF($E158:O158,"t")+COUNTIF($E158:O158,"¶")+COUNTIF($E158:O158,"²")+COUNTIF($E158:O158,"µ")+COUNTIF($E158:O158,1)-1,INDEX(Roadmap!$D:$K,MATCH($E158,Roadmap!$D:$D,0)-1+COUNTIF($E158:O158,"u")+COUNTIF($E158:O158,"t")+COUNTIF($E158:O158,"¶")+COUNTIF($E158:O158,"²")+COUNTIF($E158:O158,"µ")+COUNTIF($E158:O158,1),ColDescriptionCourte)),""),
  "")),"")</f>
        <v/>
      </c>
      <c r="Q158" s="40" t="str">
        <f ca="1">IFERROR(IF(AND(
  INDEX(Roadmap!$D:$K,MATCH($E158,Roadmap!$D:$D,0)+COUNTIF($E158:P158,"u")+COUNTIF($E158:P158,"t")+COUNTIF($E158:P158,"¶")+COUNTIF($E158:P158,"²")+COUNTIF($E158:P158,"µ")+COUNTIF($E158:P158,1),ColLivraison)=Q$6,
  VLOOKUP($E158,INDIRECT("tri!"&amp; CHAR(64+ C0Col) &amp;":"&amp; CHAR(65+C0Col)),2,FALSE)&gt;COUNTIF($E158:P158,"u")+COUNTIF($E158:P158,"t")+COUNTIF($E158:P158,"¶")+COUNTIF($E158:P158,"²")+COUNTIF($E158:P158,"µ")+COUNTIF($E158:P158,1)),
HYPERLINK("#Roadmap!C"&amp; MATCH($E158,Roadmap!$D:$D,0)+COUNTIF($E158:P158,"u")+COUNTIF($E158:P158,"t"),
     INDEX(Roadmap!$D:$K,MATCH($E158,Roadmap!$D:$D,0)+COUNTIF($E158:P158,"u")+COUNTIF($E158:P158,"t")+COUNTIF($E158:P158,"¶")+COUNTIF($E158:P158,"²")+COUNTIF($E158:P158,"µ")+COUNTIF($E158:P158,1),ColTypeEcheance)),
  IF(LEN(P158)=1,
  IF(LEN(INDEX(Roadmap!$D:$K,MATCH($E158,Roadmap!$D:$D,0)-1+COUNTIF($E158:P158,"u")+COUNTIF($E158:P158,"t")+COUNTIF($E158:P158,"¶")+COUNTIF($E158:P158,"²")+COUNTIF($E158:P158,"µ")+COUNTIF($E158:P158,1),ColDescriptionCourte))&gt;1,
HYPERLINK("#Roadmap!C"&amp; MATCH($E158,Roadmap!$D:$D,0)+COUNTIF($E158:P158,"u")+COUNTIF($E158:P158,"t")+COUNTIF($E158:P158,"¶")+COUNTIF($E158:P158,"²")+COUNTIF($E158:P158,"µ")+COUNTIF($E158:P158,1)-1,INDEX(Roadmap!$D:$K,MATCH($E158,Roadmap!$D:$D,0)-1+COUNTIF($E158:P158,"u")+COUNTIF($E158:P158,"t")+COUNTIF($E158:P158,"¶")+COUNTIF($E158:P158,"²")+COUNTIF($E158:P158,"µ")+COUNTIF($E158:P158,1),ColDescriptionCourte)),""),
  "")),"")</f>
        <v/>
      </c>
      <c r="R158" s="40" t="str">
        <f ca="1">IFERROR(IF(AND(
  INDEX(Roadmap!$D:$K,MATCH($E158,Roadmap!$D:$D,0)+COUNTIF($E158:Q158,"u")+COUNTIF($E158:Q158,"t")+COUNTIF($E158:Q158,"¶")+COUNTIF($E158:Q158,"²")+COUNTIF($E158:Q158,"µ")+COUNTIF($E158:Q158,1),ColLivraison)=R$6,
  VLOOKUP($E158,INDIRECT("tri!"&amp; CHAR(64+ C0Col) &amp;":"&amp; CHAR(65+C0Col)),2,FALSE)&gt;COUNTIF($E158:Q158,"u")+COUNTIF($E158:Q158,"t")+COUNTIF($E158:Q158,"¶")+COUNTIF($E158:Q158,"²")+COUNTIF($E158:Q158,"µ")+COUNTIF($E158:Q158,1)),
HYPERLINK("#Roadmap!C"&amp; MATCH($E158,Roadmap!$D:$D,0)+COUNTIF($E158:Q158,"u")+COUNTIF($E158:Q158,"t"),
     INDEX(Roadmap!$D:$K,MATCH($E158,Roadmap!$D:$D,0)+COUNTIF($E158:Q158,"u")+COUNTIF($E158:Q158,"t")+COUNTIF($E158:Q158,"¶")+COUNTIF($E158:Q158,"²")+COUNTIF($E158:Q158,"µ")+COUNTIF($E158:Q158,1),ColTypeEcheance)),
  IF(LEN(Q158)=1,
  IF(LEN(INDEX(Roadmap!$D:$K,MATCH($E158,Roadmap!$D:$D,0)-1+COUNTIF($E158:Q158,"u")+COUNTIF($E158:Q158,"t")+COUNTIF($E158:Q158,"¶")+COUNTIF($E158:Q158,"²")+COUNTIF($E158:Q158,"µ")+COUNTIF($E158:Q158,1),ColDescriptionCourte))&gt;1,
HYPERLINK("#Roadmap!C"&amp; MATCH($E158,Roadmap!$D:$D,0)+COUNTIF($E158:Q158,"u")+COUNTIF($E158:Q158,"t")+COUNTIF($E158:Q158,"¶")+COUNTIF($E158:Q158,"²")+COUNTIF($E158:Q158,"µ")+COUNTIF($E158:Q158,1)-1,INDEX(Roadmap!$D:$K,MATCH($E158,Roadmap!$D:$D,0)-1+COUNTIF($E158:Q158,"u")+COUNTIF($E158:Q158,"t")+COUNTIF($E158:Q158,"¶")+COUNTIF($E158:Q158,"²")+COUNTIF($E158:Q158,"µ")+COUNTIF($E158:Q158,1),ColDescriptionCourte)),""),
  "")),"")</f>
        <v/>
      </c>
      <c r="S158" s="40" t="str">
        <f ca="1">IFERROR(IF(AND(
  INDEX(Roadmap!$D:$K,MATCH($E158,Roadmap!$D:$D,0)+COUNTIF($E158:R158,"u")+COUNTIF($E158:R158,"t")+COUNTIF($E158:R158,"¶")+COUNTIF($E158:R158,"²")+COUNTIF($E158:R158,"µ")+COUNTIF($E158:R158,1),ColLivraison)=S$6,
  VLOOKUP($E158,INDIRECT("tri!"&amp; CHAR(64+ C0Col) &amp;":"&amp; CHAR(65+C0Col)),2,FALSE)&gt;COUNTIF($E158:R158,"u")+COUNTIF($E158:R158,"t")+COUNTIF($E158:R158,"¶")+COUNTIF($E158:R158,"²")+COUNTIF($E158:R158,"µ")+COUNTIF($E158:R158,1)),
HYPERLINK("#Roadmap!C"&amp; MATCH($E158,Roadmap!$D:$D,0)+COUNTIF($E158:R158,"u")+COUNTIF($E158:R158,"t"),
     INDEX(Roadmap!$D:$K,MATCH($E158,Roadmap!$D:$D,0)+COUNTIF($E158:R158,"u")+COUNTIF($E158:R158,"t")+COUNTIF($E158:R158,"¶")+COUNTIF($E158:R158,"²")+COUNTIF($E158:R158,"µ")+COUNTIF($E158:R158,1),ColTypeEcheance)),
  IF(LEN(R158)=1,
  IF(LEN(INDEX(Roadmap!$D:$K,MATCH($E158,Roadmap!$D:$D,0)-1+COUNTIF($E158:R158,"u")+COUNTIF($E158:R158,"t")+COUNTIF($E158:R158,"¶")+COUNTIF($E158:R158,"²")+COUNTIF($E158:R158,"µ")+COUNTIF($E158:R158,1),ColDescriptionCourte))&gt;1,
HYPERLINK("#Roadmap!C"&amp; MATCH($E158,Roadmap!$D:$D,0)+COUNTIF($E158:R158,"u")+COUNTIF($E158:R158,"t")+COUNTIF($E158:R158,"¶")+COUNTIF($E158:R158,"²")+COUNTIF($E158:R158,"µ")+COUNTIF($E158:R158,1)-1,INDEX(Roadmap!$D:$K,MATCH($E158,Roadmap!$D:$D,0)-1+COUNTIF($E158:R158,"u")+COUNTIF($E158:R158,"t")+COUNTIF($E158:R158,"¶")+COUNTIF($E158:R158,"²")+COUNTIF($E158:R158,"µ")+COUNTIF($E158:R158,1),ColDescriptionCourte)),""),
  "")),"")</f>
        <v/>
      </c>
      <c r="T158" s="40" t="str">
        <f ca="1">IFERROR(IF(AND(
  INDEX(Roadmap!$D:$K,MATCH($E158,Roadmap!$D:$D,0)+COUNTIF($E158:S158,"u")+COUNTIF($E158:S158,"t")+COUNTIF($E158:S158,"¶")+COUNTIF($E158:S158,"²")+COUNTIF($E158:S158,"µ")+COUNTIF($E158:S158,1),ColLivraison)=T$6,
  VLOOKUP($E158,INDIRECT("tri!"&amp; CHAR(64+ C0Col) &amp;":"&amp; CHAR(65+C0Col)),2,FALSE)&gt;COUNTIF($E158:S158,"u")+COUNTIF($E158:S158,"t")+COUNTIF($E158:S158,"¶")+COUNTIF($E158:S158,"²")+COUNTIF($E158:S158,"µ")+COUNTIF($E158:S158,1)),
HYPERLINK("#Roadmap!C"&amp; MATCH($E158,Roadmap!$D:$D,0)+COUNTIF($E158:S158,"u")+COUNTIF($E158:S158,"t"),
     INDEX(Roadmap!$D:$K,MATCH($E158,Roadmap!$D:$D,0)+COUNTIF($E158:S158,"u")+COUNTIF($E158:S158,"t")+COUNTIF($E158:S158,"¶")+COUNTIF($E158:S158,"²")+COUNTIF($E158:S158,"µ")+COUNTIF($E158:S158,1),ColTypeEcheance)),
  IF(LEN(S158)=1,
  IF(LEN(INDEX(Roadmap!$D:$K,MATCH($E158,Roadmap!$D:$D,0)-1+COUNTIF($E158:S158,"u")+COUNTIF($E158:S158,"t")+COUNTIF($E158:S158,"¶")+COUNTIF($E158:S158,"²")+COUNTIF($E158:S158,"µ")+COUNTIF($E158:S158,1),ColDescriptionCourte))&gt;1,
HYPERLINK("#Roadmap!C"&amp; MATCH($E158,Roadmap!$D:$D,0)+COUNTIF($E158:S158,"u")+COUNTIF($E158:S158,"t")+COUNTIF($E158:S158,"¶")+COUNTIF($E158:S158,"²")+COUNTIF($E158:S158,"µ")+COUNTIF($E158:S158,1)-1,INDEX(Roadmap!$D:$K,MATCH($E158,Roadmap!$D:$D,0)-1+COUNTIF($E158:S158,"u")+COUNTIF($E158:S158,"t")+COUNTIF($E158:S158,"¶")+COUNTIF($E158:S158,"²")+COUNTIF($E158:S158,"µ")+COUNTIF($E158:S158,1),ColDescriptionCourte)),""),
  "")),"")</f>
        <v/>
      </c>
      <c r="U158" s="40" t="str">
        <f ca="1">IFERROR(IF(AND(
  INDEX(Roadmap!$D:$K,MATCH($E158,Roadmap!$D:$D,0)+COUNTIF($E158:T158,"u")+COUNTIF($E158:T158,"t")+COUNTIF($E158:T158,"¶")+COUNTIF($E158:T158,"²")+COUNTIF($E158:T158,"µ")+COUNTIF($E158:T158,1),ColLivraison)=U$6,
  VLOOKUP($E158,INDIRECT("tri!"&amp; CHAR(64+ C0Col) &amp;":"&amp; CHAR(65+C0Col)),2,FALSE)&gt;COUNTIF($E158:T158,"u")+COUNTIF($E158:T158,"t")+COUNTIF($E158:T158,"¶")+COUNTIF($E158:T158,"²")+COUNTIF($E158:T158,"µ")+COUNTIF($E158:T158,1)),
HYPERLINK("#Roadmap!C"&amp; MATCH($E158,Roadmap!$D:$D,0)+COUNTIF($E158:T158,"u")+COUNTIF($E158:T158,"t"),
     INDEX(Roadmap!$D:$K,MATCH($E158,Roadmap!$D:$D,0)+COUNTIF($E158:T158,"u")+COUNTIF($E158:T158,"t")+COUNTIF($E158:T158,"¶")+COUNTIF($E158:T158,"²")+COUNTIF($E158:T158,"µ")+COUNTIF($E158:T158,1),ColTypeEcheance)),
  IF(LEN(T158)=1,
  IF(LEN(INDEX(Roadmap!$D:$K,MATCH($E158,Roadmap!$D:$D,0)-1+COUNTIF($E158:T158,"u")+COUNTIF($E158:T158,"t")+COUNTIF($E158:T158,"¶")+COUNTIF($E158:T158,"²")+COUNTIF($E158:T158,"µ")+COUNTIF($E158:T158,1),ColDescriptionCourte))&gt;1,
HYPERLINK("#Roadmap!C"&amp; MATCH($E158,Roadmap!$D:$D,0)+COUNTIF($E158:T158,"u")+COUNTIF($E158:T158,"t")+COUNTIF($E158:T158,"¶")+COUNTIF($E158:T158,"²")+COUNTIF($E158:T158,"µ")+COUNTIF($E158:T158,1)-1,INDEX(Roadmap!$D:$K,MATCH($E158,Roadmap!$D:$D,0)-1+COUNTIF($E158:T158,"u")+COUNTIF($E158:T158,"t")+COUNTIF($E158:T158,"¶")+COUNTIF($E158:T158,"²")+COUNTIF($E158:T158,"µ")+COUNTIF($E158:T158,1),ColDescriptionCourte)),""),
  "")),"")</f>
        <v/>
      </c>
      <c r="V158" s="40" t="str">
        <f ca="1">IFERROR(IF(AND(
  INDEX(Roadmap!$D:$K,MATCH($E158,Roadmap!$D:$D,0)+COUNTIF($E158:U158,"u")+COUNTIF($E158:U158,"t")+COUNTIF($E158:U158,"¶")+COUNTIF($E158:U158,"²")+COUNTIF($E158:U158,"µ")+COUNTIF($E158:U158,1),ColLivraison)=V$6,
  VLOOKUP($E158,INDIRECT("tri!"&amp; CHAR(64+ C0Col) &amp;":"&amp; CHAR(65+C0Col)),2,FALSE)&gt;COUNTIF($E158:U158,"u")+COUNTIF($E158:U158,"t")+COUNTIF($E158:U158,"¶")+COUNTIF($E158:U158,"²")+COUNTIF($E158:U158,"µ")+COUNTIF($E158:U158,1)),
HYPERLINK("#Roadmap!C"&amp; MATCH($E158,Roadmap!$D:$D,0)+COUNTIF($E158:U158,"u")+COUNTIF($E158:U158,"t"),
     INDEX(Roadmap!$D:$K,MATCH($E158,Roadmap!$D:$D,0)+COUNTIF($E158:U158,"u")+COUNTIF($E158:U158,"t")+COUNTIF($E158:U158,"¶")+COUNTIF($E158:U158,"²")+COUNTIF($E158:U158,"µ")+COUNTIF($E158:U158,1),ColTypeEcheance)),
  IF(LEN(U158)=1,
  IF(LEN(INDEX(Roadmap!$D:$K,MATCH($E158,Roadmap!$D:$D,0)-1+COUNTIF($E158:U158,"u")+COUNTIF($E158:U158,"t")+COUNTIF($E158:U158,"¶")+COUNTIF($E158:U158,"²")+COUNTIF($E158:U158,"µ")+COUNTIF($E158:U158,1),ColDescriptionCourte))&gt;1,
HYPERLINK("#Roadmap!C"&amp; MATCH($E158,Roadmap!$D:$D,0)+COUNTIF($E158:U158,"u")+COUNTIF($E158:U158,"t")+COUNTIF($E158:U158,"¶")+COUNTIF($E158:U158,"²")+COUNTIF($E158:U158,"µ")+COUNTIF($E158:U158,1)-1,INDEX(Roadmap!$D:$K,MATCH($E158,Roadmap!$D:$D,0)-1+COUNTIF($E158:U158,"u")+COUNTIF($E158:U158,"t")+COUNTIF($E158:U158,"¶")+COUNTIF($E158:U158,"²")+COUNTIF($E158:U158,"µ")+COUNTIF($E158:U158,1),ColDescriptionCourte)),""),
  "")),"")</f>
        <v/>
      </c>
      <c r="W158" s="40" t="str">
        <f ca="1">IFERROR(IF(AND(
  INDEX(Roadmap!$D:$K,MATCH($E158,Roadmap!$D:$D,0)+COUNTIF($E158:V158,"u")+COUNTIF($E158:V158,"t")+COUNTIF($E158:V158,"¶")+COUNTIF($E158:V158,"²")+COUNTIF($E158:V158,"µ")+COUNTIF($E158:V158,1),ColLivraison)=W$6,
  VLOOKUP($E158,INDIRECT("tri!"&amp; CHAR(64+ C0Col) &amp;":"&amp; CHAR(65+C0Col)),2,FALSE)&gt;COUNTIF($E158:V158,"u")+COUNTIF($E158:V158,"t")+COUNTIF($E158:V158,"¶")+COUNTIF($E158:V158,"²")+COUNTIF($E158:V158,"µ")+COUNTIF($E158:V158,1)),
HYPERLINK("#Roadmap!C"&amp; MATCH($E158,Roadmap!$D:$D,0)+COUNTIF($E158:V158,"u")+COUNTIF($E158:V158,"t"),
     INDEX(Roadmap!$D:$K,MATCH($E158,Roadmap!$D:$D,0)+COUNTIF($E158:V158,"u")+COUNTIF($E158:V158,"t")+COUNTIF($E158:V158,"¶")+COUNTIF($E158:V158,"²")+COUNTIF($E158:V158,"µ")+COUNTIF($E158:V158,1),ColTypeEcheance)),
  IF(LEN(V158)=1,
  IF(LEN(INDEX(Roadmap!$D:$K,MATCH($E158,Roadmap!$D:$D,0)-1+COUNTIF($E158:V158,"u")+COUNTIF($E158:V158,"t")+COUNTIF($E158:V158,"¶")+COUNTIF($E158:V158,"²")+COUNTIF($E158:V158,"µ")+COUNTIF($E158:V158,1),ColDescriptionCourte))&gt;1,
HYPERLINK("#Roadmap!C"&amp; MATCH($E158,Roadmap!$D:$D,0)+COUNTIF($E158:V158,"u")+COUNTIF($E158:V158,"t")+COUNTIF($E158:V158,"¶")+COUNTIF($E158:V158,"²")+COUNTIF($E158:V158,"µ")+COUNTIF($E158:V158,1)-1,INDEX(Roadmap!$D:$K,MATCH($E158,Roadmap!$D:$D,0)-1+COUNTIF($E158:V158,"u")+COUNTIF($E158:V158,"t")+COUNTIF($E158:V158,"¶")+COUNTIF($E158:V158,"²")+COUNTIF($E158:V158,"µ")+COUNTIF($E158:V158,1),ColDescriptionCourte)),""),
  "")),"")</f>
        <v/>
      </c>
      <c r="X158" s="40" t="str">
        <f ca="1">IFERROR(IF(AND(
  INDEX(Roadmap!$D:$K,MATCH($E158,Roadmap!$D:$D,0)+COUNTIF($E158:W158,"u")+COUNTIF($E158:W158,"t")+COUNTIF($E158:W158,"¶")+COUNTIF($E158:W158,"²")+COUNTIF($E158:W158,"µ")+COUNTIF($E158:W158,1),ColLivraison)=X$6,
  VLOOKUP($E158,INDIRECT("tri!"&amp; CHAR(64+ C0Col) &amp;":"&amp; CHAR(65+C0Col)),2,FALSE)&gt;COUNTIF($E158:W158,"u")+COUNTIF($E158:W158,"t")+COUNTIF($E158:W158,"¶")+COUNTIF($E158:W158,"²")+COUNTIF($E158:W158,"µ")+COUNTIF($E158:W158,1)),
HYPERLINK("#Roadmap!C"&amp; MATCH($E158,Roadmap!$D:$D,0)+COUNTIF($E158:W158,"u")+COUNTIF($E158:W158,"t"),
     INDEX(Roadmap!$D:$K,MATCH($E158,Roadmap!$D:$D,0)+COUNTIF($E158:W158,"u")+COUNTIF($E158:W158,"t")+COUNTIF($E158:W158,"¶")+COUNTIF($E158:W158,"²")+COUNTIF($E158:W158,"µ")+COUNTIF($E158:W158,1),ColTypeEcheance)),
  IF(LEN(W158)=1,
  IF(LEN(INDEX(Roadmap!$D:$K,MATCH($E158,Roadmap!$D:$D,0)-1+COUNTIF($E158:W158,"u")+COUNTIF($E158:W158,"t")+COUNTIF($E158:W158,"¶")+COUNTIF($E158:W158,"²")+COUNTIF($E158:W158,"µ")+COUNTIF($E158:W158,1),ColDescriptionCourte))&gt;1,
HYPERLINK("#Roadmap!C"&amp; MATCH($E158,Roadmap!$D:$D,0)+COUNTIF($E158:W158,"u")+COUNTIF($E158:W158,"t")+COUNTIF($E158:W158,"¶")+COUNTIF($E158:W158,"²")+COUNTIF($E158:W158,"µ")+COUNTIF($E158:W158,1)-1,INDEX(Roadmap!$D:$K,MATCH($E158,Roadmap!$D:$D,0)-1+COUNTIF($E158:W158,"u")+COUNTIF($E158:W158,"t")+COUNTIF($E158:W158,"¶")+COUNTIF($E158:W158,"²")+COUNTIF($E158:W158,"µ")+COUNTIF($E158:W158,1),ColDescriptionCourte)),""),
  "")),"")</f>
        <v/>
      </c>
      <c r="Y158" s="40" t="str">
        <f ca="1">IFERROR(IF(AND(
  INDEX(Roadmap!$D:$K,MATCH($E158,Roadmap!$D:$D,0)+COUNTIF($E158:X158,"u")+COUNTIF($E158:X158,"t")+COUNTIF($E158:X158,"¶")+COUNTIF($E158:X158,"²")+COUNTIF($E158:X158,"µ")+COUNTIF($E158:X158,1),ColLivraison)=Y$6,
  VLOOKUP($E158,INDIRECT("tri!"&amp; CHAR(64+ C0Col) &amp;":"&amp; CHAR(65+C0Col)),2,FALSE)&gt;COUNTIF($E158:X158,"u")+COUNTIF($E158:X158,"t")+COUNTIF($E158:X158,"¶")+COUNTIF($E158:X158,"²")+COUNTIF($E158:X158,"µ")+COUNTIF($E158:X158,1)),
HYPERLINK("#Roadmap!C"&amp; MATCH($E158,Roadmap!$D:$D,0)+COUNTIF($E158:X158,"u")+COUNTIF($E158:X158,"t"),
     INDEX(Roadmap!$D:$K,MATCH($E158,Roadmap!$D:$D,0)+COUNTIF($E158:X158,"u")+COUNTIF($E158:X158,"t")+COUNTIF($E158:X158,"¶")+COUNTIF($E158:X158,"²")+COUNTIF($E158:X158,"µ")+COUNTIF($E158:X158,1),ColTypeEcheance)),
  IF(LEN(X158)=1,
  IF(LEN(INDEX(Roadmap!$D:$K,MATCH($E158,Roadmap!$D:$D,0)-1+COUNTIF($E158:X158,"u")+COUNTIF($E158:X158,"t")+COUNTIF($E158:X158,"¶")+COUNTIF($E158:X158,"²")+COUNTIF($E158:X158,"µ")+COUNTIF($E158:X158,1),ColDescriptionCourte))&gt;1,
HYPERLINK("#Roadmap!C"&amp; MATCH($E158,Roadmap!$D:$D,0)+COUNTIF($E158:X158,"u")+COUNTIF($E158:X158,"t")+COUNTIF($E158:X158,"¶")+COUNTIF($E158:X158,"²")+COUNTIF($E158:X158,"µ")+COUNTIF($E158:X158,1)-1,INDEX(Roadmap!$D:$K,MATCH($E158,Roadmap!$D:$D,0)-1+COUNTIF($E158:X158,"u")+COUNTIF($E158:X158,"t")+COUNTIF($E158:X158,"¶")+COUNTIF($E158:X158,"²")+COUNTIF($E158:X158,"µ")+COUNTIF($E158:X158,1),ColDescriptionCourte)),""),
  "")),"")</f>
        <v/>
      </c>
      <c r="Z158" s="40" t="str">
        <f ca="1">IFERROR(IF(AND(
  INDEX(Roadmap!$D:$K,MATCH($E158,Roadmap!$D:$D,0)+COUNTIF($E158:Y158,"u")+COUNTIF($E158:Y158,"t")+COUNTIF($E158:Y158,"¶")+COUNTIF($E158:Y158,"²")+COUNTIF($E158:Y158,"µ")+COUNTIF($E158:Y158,1),ColLivraison)=Z$6,
  VLOOKUP($E158,INDIRECT("tri!"&amp; CHAR(64+ C0Col) &amp;":"&amp; CHAR(65+C0Col)),2,FALSE)&gt;COUNTIF($E158:Y158,"u")+COUNTIF($E158:Y158,"t")+COUNTIF($E158:Y158,"¶")+COUNTIF($E158:Y158,"²")+COUNTIF($E158:Y158,"µ")+COUNTIF($E158:Y158,1)),
HYPERLINK("#Roadmap!C"&amp; MATCH($E158,Roadmap!$D:$D,0)+COUNTIF($E158:Y158,"u")+COUNTIF($E158:Y158,"t"),
     INDEX(Roadmap!$D:$K,MATCH($E158,Roadmap!$D:$D,0)+COUNTIF($E158:Y158,"u")+COUNTIF($E158:Y158,"t")+COUNTIF($E158:Y158,"¶")+COUNTIF($E158:Y158,"²")+COUNTIF($E158:Y158,"µ")+COUNTIF($E158:Y158,1),ColTypeEcheance)),
  IF(LEN(Y158)=1,
  IF(LEN(INDEX(Roadmap!$D:$K,MATCH($E158,Roadmap!$D:$D,0)-1+COUNTIF($E158:Y158,"u")+COUNTIF($E158:Y158,"t")+COUNTIF($E158:Y158,"¶")+COUNTIF($E158:Y158,"²")+COUNTIF($E158:Y158,"µ")+COUNTIF($E158:Y158,1),ColDescriptionCourte))&gt;1,
HYPERLINK("#Roadmap!C"&amp; MATCH($E158,Roadmap!$D:$D,0)+COUNTIF($E158:Y158,"u")+COUNTIF($E158:Y158,"t")+COUNTIF($E158:Y158,"¶")+COUNTIF($E158:Y158,"²")+COUNTIF($E158:Y158,"µ")+COUNTIF($E158:Y158,1)-1,INDEX(Roadmap!$D:$K,MATCH($E158,Roadmap!$D:$D,0)-1+COUNTIF($E158:Y158,"u")+COUNTIF($E158:Y158,"t")+COUNTIF($E158:Y158,"¶")+COUNTIF($E158:Y158,"²")+COUNTIF($E158:Y158,"µ")+COUNTIF($E158:Y158,1),ColDescriptionCourte)),""),
  "")),"")</f>
        <v/>
      </c>
      <c r="AA158" s="40" t="str">
        <f ca="1">IFERROR(IF(AND(
  INDEX(Roadmap!$D:$K,MATCH($E158,Roadmap!$D:$D,0)+COUNTIF($E158:Z158,"u")+COUNTIF($E158:Z158,"t")+COUNTIF($E158:Z158,"¶")+COUNTIF($E158:Z158,"²")+COUNTIF($E158:Z158,"µ")+COUNTIF($E158:Z158,1),ColLivraison)=AA$6,
  VLOOKUP($E158,INDIRECT("tri!"&amp; CHAR(64+ C0Col) &amp;":"&amp; CHAR(65+C0Col)),2,FALSE)&gt;COUNTIF($E158:Z158,"u")+COUNTIF($E158:Z158,"t")+COUNTIF($E158:Z158,"¶")+COUNTIF($E158:Z158,"²")+COUNTIF($E158:Z158,"µ")+COUNTIF($E158:Z158,1)),
HYPERLINK("#Roadmap!C"&amp; MATCH($E158,Roadmap!$D:$D,0)+COUNTIF($E158:Z158,"u")+COUNTIF($E158:Z158,"t"),
     INDEX(Roadmap!$D:$K,MATCH($E158,Roadmap!$D:$D,0)+COUNTIF($E158:Z158,"u")+COUNTIF($E158:Z158,"t")+COUNTIF($E158:Z158,"¶")+COUNTIF($E158:Z158,"²")+COUNTIF($E158:Z158,"µ")+COUNTIF($E158:Z158,1),ColTypeEcheance)),
  IF(LEN(Z158)=1,
  IF(LEN(INDEX(Roadmap!$D:$K,MATCH($E158,Roadmap!$D:$D,0)-1+COUNTIF($E158:Z158,"u")+COUNTIF($E158:Z158,"t")+COUNTIF($E158:Z158,"¶")+COUNTIF($E158:Z158,"²")+COUNTIF($E158:Z158,"µ")+COUNTIF($E158:Z158,1),ColDescriptionCourte))&gt;1,
HYPERLINK("#Roadmap!C"&amp; MATCH($E158,Roadmap!$D:$D,0)+COUNTIF($E158:Z158,"u")+COUNTIF($E158:Z158,"t")+COUNTIF($E158:Z158,"¶")+COUNTIF($E158:Z158,"²")+COUNTIF($E158:Z158,"µ")+COUNTIF($E158:Z158,1)-1,INDEX(Roadmap!$D:$K,MATCH($E158,Roadmap!$D:$D,0)-1+COUNTIF($E158:Z158,"u")+COUNTIF($E158:Z158,"t")+COUNTIF($E158:Z158,"¶")+COUNTIF($E158:Z158,"²")+COUNTIF($E158:Z158,"µ")+COUNTIF($E158:Z158,1),ColDescriptionCourte)),""),
  "")),"")</f>
        <v/>
      </c>
      <c r="AB158" s="40" t="str">
        <f ca="1">IFERROR(IF(AND(
  INDEX(Roadmap!$D:$K,MATCH($E158,Roadmap!$D:$D,0)+COUNTIF($E158:AA158,"u")+COUNTIF($E158:AA158,"t")+COUNTIF($E158:AA158,"¶")+COUNTIF($E158:AA158,"²")+COUNTIF($E158:AA158,"µ")+COUNTIF($E158:AA158,1),ColLivraison)=AB$6,
  VLOOKUP($E158,INDIRECT("tri!"&amp; CHAR(64+ C0Col) &amp;":"&amp; CHAR(65+C0Col)),2,FALSE)&gt;COUNTIF($E158:AA158,"u")+COUNTIF($E158:AA158,"t")+COUNTIF($E158:AA158,"¶")+COUNTIF($E158:AA158,"²")+COUNTIF($E158:AA158,"µ")+COUNTIF($E158:AA158,1)),
HYPERLINK("#Roadmap!C"&amp; MATCH($E158,Roadmap!$D:$D,0)+COUNTIF($E158:AA158,"u")+COUNTIF($E158:AA158,"t"),
     INDEX(Roadmap!$D:$K,MATCH($E158,Roadmap!$D:$D,0)+COUNTIF($E158:AA158,"u")+COUNTIF($E158:AA158,"t")+COUNTIF($E158:AA158,"¶")+COUNTIF($E158:AA158,"²")+COUNTIF($E158:AA158,"µ")+COUNTIF($E158:AA158,1),ColTypeEcheance)),
  IF(LEN(AA158)=1,
  IF(LEN(INDEX(Roadmap!$D:$K,MATCH($E158,Roadmap!$D:$D,0)-1+COUNTIF($E158:AA158,"u")+COUNTIF($E158:AA158,"t")+COUNTIF($E158:AA158,"¶")+COUNTIF($E158:AA158,"²")+COUNTIF($E158:AA158,"µ")+COUNTIF($E158:AA158,1),ColDescriptionCourte))&gt;1,
HYPERLINK("#Roadmap!C"&amp; MATCH($E158,Roadmap!$D:$D,0)+COUNTIF($E158:AA158,"u")+COUNTIF($E158:AA158,"t")+COUNTIF($E158:AA158,"¶")+COUNTIF($E158:AA158,"²")+COUNTIF($E158:AA158,"µ")+COUNTIF($E158:AA158,1)-1,INDEX(Roadmap!$D:$K,MATCH($E158,Roadmap!$D:$D,0)-1+COUNTIF($E158:AA158,"u")+COUNTIF($E158:AA158,"t")+COUNTIF($E158:AA158,"¶")+COUNTIF($E158:AA158,"²")+COUNTIF($E158:AA158,"µ")+COUNTIF($E158:AA158,1),ColDescriptionCourte)),""),
  "")),"")</f>
        <v/>
      </c>
      <c r="AC158" s="40" t="str">
        <f ca="1">IFERROR(IF(AND(
  INDEX(Roadmap!$D:$K,MATCH($E158,Roadmap!$D:$D,0)+COUNTIF($E158:AB158,"u")+COUNTIF($E158:AB158,"t")+COUNTIF($E158:AB158,"¶")+COUNTIF($E158:AB158,"²")+COUNTIF($E158:AB158,"µ")+COUNTIF($E158:AB158,1),ColLivraison)=AC$6,
  VLOOKUP($E158,INDIRECT("tri!"&amp; CHAR(64+ C0Col) &amp;":"&amp; CHAR(65+C0Col)),2,FALSE)&gt;COUNTIF($E158:AB158,"u")+COUNTIF($E158:AB158,"t")+COUNTIF($E158:AB158,"¶")+COUNTIF($E158:AB158,"²")+COUNTIF($E158:AB158,"µ")+COUNTIF($E158:AB158,1)),
HYPERLINK("#Roadmap!C"&amp; MATCH($E158,Roadmap!$D:$D,0)+COUNTIF($E158:AB158,"u")+COUNTIF($E158:AB158,"t"),
     INDEX(Roadmap!$D:$K,MATCH($E158,Roadmap!$D:$D,0)+COUNTIF($E158:AB158,"u")+COUNTIF($E158:AB158,"t")+COUNTIF($E158:AB158,"¶")+COUNTIF($E158:AB158,"²")+COUNTIF($E158:AB158,"µ")+COUNTIF($E158:AB158,1),ColTypeEcheance)),
  IF(LEN(AB158)=1,
  IF(LEN(INDEX(Roadmap!$D:$K,MATCH($E158,Roadmap!$D:$D,0)-1+COUNTIF($E158:AB158,"u")+COUNTIF($E158:AB158,"t")+COUNTIF($E158:AB158,"¶")+COUNTIF($E158:AB158,"²")+COUNTIF($E158:AB158,"µ")+COUNTIF($E158:AB158,1),ColDescriptionCourte))&gt;1,
HYPERLINK("#Roadmap!C"&amp; MATCH($E158,Roadmap!$D:$D,0)+COUNTIF($E158:AB158,"u")+COUNTIF($E158:AB158,"t")+COUNTIF($E158:AB158,"¶")+COUNTIF($E158:AB158,"²")+COUNTIF($E158:AB158,"µ")+COUNTIF($E158:AB158,1)-1,INDEX(Roadmap!$D:$K,MATCH($E158,Roadmap!$D:$D,0)-1+COUNTIF($E158:AB158,"u")+COUNTIF($E158:AB158,"t")+COUNTIF($E158:AB158,"¶")+COUNTIF($E158:AB158,"²")+COUNTIF($E158:AB158,"µ")+COUNTIF($E158:AB158,1),ColDescriptionCourte)),""),
  "")),"")</f>
        <v/>
      </c>
      <c r="AD158" s="40" t="str">
        <f ca="1">IFERROR(IF(AND(
  INDEX(Roadmap!$D:$K,MATCH($E158,Roadmap!$D:$D,0)+COUNTIF($E158:AC158,"u")+COUNTIF($E158:AC158,"t")+COUNTIF($E158:AC158,"¶")+COUNTIF($E158:AC158,"²")+COUNTIF($E158:AC158,"µ")+COUNTIF($E158:AC158,1),ColLivraison)=AD$6,
  VLOOKUP($E158,INDIRECT("tri!"&amp; CHAR(64+ C0Col) &amp;":"&amp; CHAR(65+C0Col)),2,FALSE)&gt;COUNTIF($E158:AC158,"u")+COUNTIF($E158:AC158,"t")+COUNTIF($E158:AC158,"¶")+COUNTIF($E158:AC158,"²")+COUNTIF($E158:AC158,"µ")+COUNTIF($E158:AC158,1)),
HYPERLINK("#Roadmap!C"&amp; MATCH($E158,Roadmap!$D:$D,0)+COUNTIF($E158:AC158,"u")+COUNTIF($E158:AC158,"t"),
     INDEX(Roadmap!$D:$K,MATCH($E158,Roadmap!$D:$D,0)+COUNTIF($E158:AC158,"u")+COUNTIF($E158:AC158,"t")+COUNTIF($E158:AC158,"¶")+COUNTIF($E158:AC158,"²")+COUNTIF($E158:AC158,"µ")+COUNTIF($E158:AC158,1),ColTypeEcheance)),
  IF(LEN(AC158)=1,
  IF(LEN(INDEX(Roadmap!$D:$K,MATCH($E158,Roadmap!$D:$D,0)-1+COUNTIF($E158:AC158,"u")+COUNTIF($E158:AC158,"t")+COUNTIF($E158:AC158,"¶")+COUNTIF($E158:AC158,"²")+COUNTIF($E158:AC158,"µ")+COUNTIF($E158:AC158,1),ColDescriptionCourte))&gt;1,
HYPERLINK("#Roadmap!C"&amp; MATCH($E158,Roadmap!$D:$D,0)+COUNTIF($E158:AC158,"u")+COUNTIF($E158:AC158,"t")+COUNTIF($E158:AC158,"¶")+COUNTIF($E158:AC158,"²")+COUNTIF($E158:AC158,"µ")+COUNTIF($E158:AC158,1)-1,INDEX(Roadmap!$D:$K,MATCH($E158,Roadmap!$D:$D,0)-1+COUNTIF($E158:AC158,"u")+COUNTIF($E158:AC158,"t")+COUNTIF($E158:AC158,"¶")+COUNTIF($E158:AC158,"²")+COUNTIF($E158:AC158,"µ")+COUNTIF($E158:AC158,1),ColDescriptionCourte)),""),
  "")),"")</f>
        <v/>
      </c>
      <c r="AE158" s="40" t="str">
        <f ca="1">IFERROR(IF(AND(
  INDEX(Roadmap!$D:$K,MATCH($E158,Roadmap!$D:$D,0)+COUNTIF($E158:AD158,"u")+COUNTIF($E158:AD158,"t")+COUNTIF($E158:AD158,"¶")+COUNTIF($E158:AD158,"²")+COUNTIF($E158:AD158,"µ")+COUNTIF($E158:AD158,1),ColLivraison)=AE$6,
  VLOOKUP($E158,INDIRECT("tri!"&amp; CHAR(64+ C0Col) &amp;":"&amp; CHAR(65+C0Col)),2,FALSE)&gt;COUNTIF($E158:AD158,"u")+COUNTIF($E158:AD158,"t")+COUNTIF($E158:AD158,"¶")+COUNTIF($E158:AD158,"²")+COUNTIF($E158:AD158,"µ")+COUNTIF($E158:AD158,1)),
HYPERLINK("#Roadmap!C"&amp; MATCH($E158,Roadmap!$D:$D,0)+COUNTIF($E158:AD158,"u")+COUNTIF($E158:AD158,"t"),
     INDEX(Roadmap!$D:$K,MATCH($E158,Roadmap!$D:$D,0)+COUNTIF($E158:AD158,"u")+COUNTIF($E158:AD158,"t")+COUNTIF($E158:AD158,"¶")+COUNTIF($E158:AD158,"²")+COUNTIF($E158:AD158,"µ")+COUNTIF($E158:AD158,1),ColTypeEcheance)),
  IF(LEN(AD158)=1,
  IF(LEN(INDEX(Roadmap!$D:$K,MATCH($E158,Roadmap!$D:$D,0)-1+COUNTIF($E158:AD158,"u")+COUNTIF($E158:AD158,"t")+COUNTIF($E158:AD158,"¶")+COUNTIF($E158:AD158,"²")+COUNTIF($E158:AD158,"µ")+COUNTIF($E158:AD158,1),ColDescriptionCourte))&gt;1,
HYPERLINK("#Roadmap!C"&amp; MATCH($E158,Roadmap!$D:$D,0)+COUNTIF($E158:AD158,"u")+COUNTIF($E158:AD158,"t")+COUNTIF($E158:AD158,"¶")+COUNTIF($E158:AD158,"²")+COUNTIF($E158:AD158,"µ")+COUNTIF($E158:AD158,1)-1,INDEX(Roadmap!$D:$K,MATCH($E158,Roadmap!$D:$D,0)-1+COUNTIF($E158:AD158,"u")+COUNTIF($E158:AD158,"t")+COUNTIF($E158:AD158,"¶")+COUNTIF($E158:AD158,"²")+COUNTIF($E158:AD158,"µ")+COUNTIF($E158:AD158,1),ColDescriptionCourte)),""),
  "")),"")</f>
        <v/>
      </c>
      <c r="AF158" s="40" t="str">
        <f ca="1">IFERROR(IF(AND(
  INDEX(Roadmap!$D:$K,MATCH($E158,Roadmap!$D:$D,0)+COUNTIF($E158:AE158,"u")+COUNTIF($E158:AE158,"t")+COUNTIF($E158:AE158,"¶")+COUNTIF($E158:AE158,"²")+COUNTIF($E158:AE158,"µ")+COUNTIF($E158:AE158,1),ColLivraison)=AF$6,
  VLOOKUP($E158,INDIRECT("tri!"&amp; CHAR(64+ C0Col) &amp;":"&amp; CHAR(65+C0Col)),2,FALSE)&gt;COUNTIF($E158:AE158,"u")+COUNTIF($E158:AE158,"t")+COUNTIF($E158:AE158,"¶")+COUNTIF($E158:AE158,"²")+COUNTIF($E158:AE158,"µ")+COUNTIF($E158:AE158,1)),
HYPERLINK("#Roadmap!C"&amp; MATCH($E158,Roadmap!$D:$D,0)+COUNTIF($E158:AE158,"u")+COUNTIF($E158:AE158,"t"),
     INDEX(Roadmap!$D:$K,MATCH($E158,Roadmap!$D:$D,0)+COUNTIF($E158:AE158,"u")+COUNTIF($E158:AE158,"t")+COUNTIF($E158:AE158,"¶")+COUNTIF($E158:AE158,"²")+COUNTIF($E158:AE158,"µ")+COUNTIF($E158:AE158,1),ColTypeEcheance)),
  IF(LEN(AE158)=1,
  IF(LEN(INDEX(Roadmap!$D:$K,MATCH($E158,Roadmap!$D:$D,0)-1+COUNTIF($E158:AE158,"u")+COUNTIF($E158:AE158,"t")+COUNTIF($E158:AE158,"¶")+COUNTIF($E158:AE158,"²")+COUNTIF($E158:AE158,"µ")+COUNTIF($E158:AE158,1),ColDescriptionCourte))&gt;1,
HYPERLINK("#Roadmap!C"&amp; MATCH($E158,Roadmap!$D:$D,0)+COUNTIF($E158:AE158,"u")+COUNTIF($E158:AE158,"t")+COUNTIF($E158:AE158,"¶")+COUNTIF($E158:AE158,"²")+COUNTIF($E158:AE158,"µ")+COUNTIF($E158:AE158,1)-1,INDEX(Roadmap!$D:$K,MATCH($E158,Roadmap!$D:$D,0)-1+COUNTIF($E158:AE158,"u")+COUNTIF($E158:AE158,"t")+COUNTIF($E158:AE158,"¶")+COUNTIF($E158:AE158,"²")+COUNTIF($E158:AE158,"µ")+COUNTIF($E158:AE158,1),ColDescriptionCourte)),""),
  "")),"")</f>
        <v/>
      </c>
      <c r="AG158" s="40" t="str">
        <f ca="1">IFERROR(IF(AND(
  INDEX(Roadmap!$D:$K,MATCH($E158,Roadmap!$D:$D,0)+COUNTIF($E158:AF158,"u")+COUNTIF($E158:AF158,"t")+COUNTIF($E158:AF158,"¶")+COUNTIF($E158:AF158,"²")+COUNTIF($E158:AF158,"µ")+COUNTIF($E158:AF158,1),ColLivraison)=AG$6,
  VLOOKUP($E158,INDIRECT("tri!"&amp; CHAR(64+ C0Col) &amp;":"&amp; CHAR(65+C0Col)),2,FALSE)&gt;COUNTIF($E158:AF158,"u")+COUNTIF($E158:AF158,"t")+COUNTIF($E158:AF158,"¶")+COUNTIF($E158:AF158,"²")+COUNTIF($E158:AF158,"µ")+COUNTIF($E158:AF158,1)),
HYPERLINK("#Roadmap!C"&amp; MATCH($E158,Roadmap!$D:$D,0)+COUNTIF($E158:AF158,"u")+COUNTIF($E158:AF158,"t"),
     INDEX(Roadmap!$D:$K,MATCH($E158,Roadmap!$D:$D,0)+COUNTIF($E158:AF158,"u")+COUNTIF($E158:AF158,"t")+COUNTIF($E158:AF158,"¶")+COUNTIF($E158:AF158,"²")+COUNTIF($E158:AF158,"µ")+COUNTIF($E158:AF158,1),ColTypeEcheance)),
  IF(LEN(AF158)=1,
  IF(LEN(INDEX(Roadmap!$D:$K,MATCH($E158,Roadmap!$D:$D,0)-1+COUNTIF($E158:AF158,"u")+COUNTIF($E158:AF158,"t")+COUNTIF($E158:AF158,"¶")+COUNTIF($E158:AF158,"²")+COUNTIF($E158:AF158,"µ")+COUNTIF($E158:AF158,1),ColDescriptionCourte))&gt;1,
HYPERLINK("#Roadmap!C"&amp; MATCH($E158,Roadmap!$D:$D,0)+COUNTIF($E158:AF158,"u")+COUNTIF($E158:AF158,"t")+COUNTIF($E158:AF158,"¶")+COUNTIF($E158:AF158,"²")+COUNTIF($E158:AF158,"µ")+COUNTIF($E158:AF158,1)-1,INDEX(Roadmap!$D:$K,MATCH($E158,Roadmap!$D:$D,0)-1+COUNTIF($E158:AF158,"u")+COUNTIF($E158:AF158,"t")+COUNTIF($E158:AF158,"¶")+COUNTIF($E158:AF158,"²")+COUNTIF($E158:AF158,"µ")+COUNTIF($E158:AF158,1),ColDescriptionCourte)),""),
  "")),"")</f>
        <v/>
      </c>
      <c r="AH158" s="40" t="str">
        <f ca="1">IFERROR(IF(AND(
  INDEX(Roadmap!$D:$K,MATCH($E158,Roadmap!$D:$D,0)+COUNTIF($E158:AG158,"u")+COUNTIF($E158:AG158,"t")+COUNTIF($E158:AG158,1),ColLivraison)=AH$6,
  VLOOKUP($E158,INDIRECT("tri!"&amp; CHAR(64+ C0Col) &amp;":"&amp; CHAR(65+C0Col)),2,FALSE)&gt;COUNTIF($E158:AG158,"u")+COUNTIF($E158:AG158,"t")+COUNTIF($E158:AG158,1)),
HYPERLINK("#Roadmap!C"&amp; MATCH($E158,Roadmap!$D:$D,0)+COUNTIF($E158:AG158,"u")+COUNTIF($E158:AG158,"t"),
     INDEX(Roadmap!$D:$K,MATCH($E158,Roadmap!$D:$D,0)+COUNTIF($E158:AG158,"u")+COUNTIF($E158:AG158,"t")+COUNTIF($E158:AG158,1),ColTypeEcheance)),
  IF(OR(AG158="u",AG158="t",AG158=1),
  IF(LEN(INDEX(Roadmap!$D:$K,MATCH($E158,Roadmap!$D:$D,0)-1+COUNTIF($E158:AG158,"u")+COUNTIF($E158:AG158,"t")+COUNTIF($E158:AG158,1),ColDescriptionCourte))&gt;1,
HYPERLINK("#Roadmap!C"&amp; MATCH($E158,Roadmap!$D:$D,0)+COUNTIF($E158:AG158,"u")+COUNTIF($E158:AG158,"t")+COUNTIF($E158:AG158,1)-1,INDEX(Roadmap!$D:$K,MATCH($E158,Roadmap!$D:$D,0)-1+COUNTIF($E158:AG158,"u")+COUNTIF($E158:AG158,"t")+COUNTIF($E158:AG158,1),ColDescriptionCourte)),""),
  "")),"")</f>
        <v/>
      </c>
      <c r="AI158" s="40"/>
      <c r="AJ158" s="40"/>
      <c r="AK158" s="40"/>
      <c r="AL158" s="40"/>
      <c r="AM158" s="40"/>
    </row>
    <row r="159" spans="4:39" ht="14.1" customHeight="1">
      <c r="D159" s="20" t="str">
        <f t="shared" ca="1" si="31"/>
        <v/>
      </c>
      <c r="E159" s="53" t="str">
        <f t="shared" ca="1" si="32"/>
        <v/>
      </c>
      <c r="F159" s="39" t="str">
        <f ca="1">IFERROR(IF(AND(
  INDEX(Roadmap!$D:$K,MATCH($E159,Roadmap!$D:$D,0)+COUNTIF($E159:E159,"u")+COUNTIF($E159:E159,"t")+COUNTIF($E159:E159,"¶")+COUNTIF($E159:E159,"²")+COUNTIF($E159:E159,"µ")+COUNTIF($E159:E159,1),ColLivraison)=F$6,
  VLOOKUP($E159,INDIRECT("tri!"&amp; CHAR(64+ C0Col) &amp;":"&amp; CHAR(65+C0Col)),2,FALSE)&gt;COUNTIF($E159:E159,"u")+COUNTIF($E159:E159,"t")+COUNTIF($E159:E159,"¶")+COUNTIF($E159:E159,"²")+COUNTIF($E159:E159,"µ")+COUNTIF($E159:E159,1)),
HYPERLINK("#Roadmap!C"&amp; MATCH($E159,Roadmap!$D:$D,0)+COUNTIF($E159:E159,"u")+COUNTIF($E159:E159,"t"),
     INDEX(Roadmap!$D:$K,MATCH($E159,Roadmap!$D:$D,0)+COUNTIF($E159:E159,"u")+COUNTIF($E159:E159,"t")+COUNTIF($E159:E159,"¶")+COUNTIF($E159:E159,"²")+COUNTIF($E159:E159,"µ")+COUNTIF($E159:E159,1),ColTypeEcheance)),
  IF(LEN(E159)=1,
  IF(LEN(INDEX(Roadmap!$D:$K,MATCH($E159,Roadmap!$D:$D,0)-1+COUNTIF($E159:E159,"u")+COUNTIF($E159:E159,"t")+COUNTIF($E159:E159,"¶")+COUNTIF($E159:E159,"²")+COUNTIF($E159:E159,"µ")+COUNTIF($E159:E159,1),ColDescriptionCourte))&gt;1,
HYPERLINK("#Roadmap!C"&amp; MATCH($E159,Roadmap!$D:$D,0)+COUNTIF($E159:E159,"u")+COUNTIF($E159:E159,"t")+COUNTIF($E159:E159,"¶")+COUNTIF($E159:E159,"²")+COUNTIF($E159:E159,"µ")+COUNTIF($E159:E159,1)-1,INDEX(Roadmap!$D:$K,MATCH($E159,Roadmap!$D:$D,0)-1+COUNTIF($E159:E159,"u")+COUNTIF($E159:E159,"t")+COUNTIF($E159:E159,"¶")+COUNTIF($E159:E159,"²")+COUNTIF($E159:E159,"µ")+COUNTIF($E159:E159,1),ColDescriptionCourte)),""),
  "")),"")</f>
        <v/>
      </c>
      <c r="G159" s="40" t="str">
        <f ca="1">IFERROR(IF(AND(
  INDEX(Roadmap!$D:$K,MATCH($E159,Roadmap!$D:$D,0)+COUNTIF($E159:F159,"u")+COUNTIF($E159:F159,"t")+COUNTIF($E159:F159,"¶")+COUNTIF($E159:F159,"²")+COUNTIF($E159:F159,"µ")+COUNTIF($E159:F159,1),ColLivraison)=G$6,
  VLOOKUP($E159,INDIRECT("tri!"&amp; CHAR(64+ C0Col) &amp;":"&amp; CHAR(65+C0Col)),2,FALSE)&gt;COUNTIF($E159:F159,"u")+COUNTIF($E159:F159,"t")+COUNTIF($E159:F159,"¶")+COUNTIF($E159:F159,"²")+COUNTIF($E159:F159,"µ")+COUNTIF($E159:F159,1)),
HYPERLINK("#Roadmap!C"&amp; MATCH($E159,Roadmap!$D:$D,0)+COUNTIF($E159:F159,"u")+COUNTIF($E159:F159,"t"),
     INDEX(Roadmap!$D:$K,MATCH($E159,Roadmap!$D:$D,0)+COUNTIF($E159:F159,"u")+COUNTIF($E159:F159,"t")+COUNTIF($E159:F159,"¶")+COUNTIF($E159:F159,"²")+COUNTIF($E159:F159,"µ")+COUNTIF($E159:F159,1),ColTypeEcheance)),
  IF(LEN(F159)=1,
  IF(LEN(INDEX(Roadmap!$D:$K,MATCH($E159,Roadmap!$D:$D,0)-1+COUNTIF($E159:F159,"u")+COUNTIF($E159:F159,"t")+COUNTIF($E159:F159,"¶")+COUNTIF($E159:F159,"²")+COUNTIF($E159:F159,"µ")+COUNTIF($E159:F159,1),ColDescriptionCourte))&gt;1,
HYPERLINK("#Roadmap!C"&amp; MATCH($E159,Roadmap!$D:$D,0)+COUNTIF($E159:F159,"u")+COUNTIF($E159:F159,"t")+COUNTIF($E159:F159,"¶")+COUNTIF($E159:F159,"²")+COUNTIF($E159:F159,"µ")+COUNTIF($E159:F159,1)-1,INDEX(Roadmap!$D:$K,MATCH($E159,Roadmap!$D:$D,0)-1+COUNTIF($E159:F159,"u")+COUNTIF($E159:F159,"t")+COUNTIF($E159:F159,"¶")+COUNTIF($E159:F159,"²")+COUNTIF($E159:F159,"µ")+COUNTIF($E159:F159,1),ColDescriptionCourte)),""),
  "")),"")</f>
        <v/>
      </c>
      <c r="H159" s="40" t="str">
        <f ca="1">IFERROR(IF(AND(
  INDEX(Roadmap!$D:$K,MATCH($E159,Roadmap!$D:$D,0)+COUNTIF($E159:G159,"u")+COUNTIF($E159:G159,"t")+COUNTIF($E159:G159,"¶")+COUNTIF($E159:G159,"²")+COUNTIF($E159:G159,"µ")+COUNTIF($E159:G159,1),ColLivraison)=H$6,
  VLOOKUP($E159,INDIRECT("tri!"&amp; CHAR(64+ C0Col) &amp;":"&amp; CHAR(65+C0Col)),2,FALSE)&gt;COUNTIF($E159:G159,"u")+COUNTIF($E159:G159,"t")+COUNTIF($E159:G159,"¶")+COUNTIF($E159:G159,"²")+COUNTIF($E159:G159,"µ")+COUNTIF($E159:G159,1)),
HYPERLINK("#Roadmap!C"&amp; MATCH($E159,Roadmap!$D:$D,0)+COUNTIF($E159:G159,"u")+COUNTIF($E159:G159,"t"),
     INDEX(Roadmap!$D:$K,MATCH($E159,Roadmap!$D:$D,0)+COUNTIF($E159:G159,"u")+COUNTIF($E159:G159,"t")+COUNTIF($E159:G159,"¶")+COUNTIF($E159:G159,"²")+COUNTIF($E159:G159,"µ")+COUNTIF($E159:G159,1),ColTypeEcheance)),
  IF(LEN(G159)=1,
  IF(LEN(INDEX(Roadmap!$D:$K,MATCH($E159,Roadmap!$D:$D,0)-1+COUNTIF($E159:G159,"u")+COUNTIF($E159:G159,"t")+COUNTIF($E159:G159,"¶")+COUNTIF($E159:G159,"²")+COUNTIF($E159:G159,"µ")+COUNTIF($E159:G159,1),ColDescriptionCourte))&gt;1,
HYPERLINK("#Roadmap!C"&amp; MATCH($E159,Roadmap!$D:$D,0)+COUNTIF($E159:G159,"u")+COUNTIF($E159:G159,"t")+COUNTIF($E159:G159,"¶")+COUNTIF($E159:G159,"²")+COUNTIF($E159:G159,"µ")+COUNTIF($E159:G159,1)-1,INDEX(Roadmap!$D:$K,MATCH($E159,Roadmap!$D:$D,0)-1+COUNTIF($E159:G159,"u")+COUNTIF($E159:G159,"t")+COUNTIF($E159:G159,"¶")+COUNTIF($E159:G159,"²")+COUNTIF($E159:G159,"µ")+COUNTIF($E159:G159,1),ColDescriptionCourte)),""),
  "")),"")</f>
        <v/>
      </c>
      <c r="I159" s="40" t="str">
        <f ca="1">IFERROR(IF(AND(
  INDEX(Roadmap!$D:$K,MATCH($E159,Roadmap!$D:$D,0)+COUNTIF($E159:H159,"u")+COUNTIF($E159:H159,"t")+COUNTIF($E159:H159,"¶")+COUNTIF($E159:H159,"²")+COUNTIF($E159:H159,"µ")+COUNTIF($E159:H159,1),ColLivraison)=I$6,
  VLOOKUP($E159,INDIRECT("tri!"&amp; CHAR(64+ C0Col) &amp;":"&amp; CHAR(65+C0Col)),2,FALSE)&gt;COUNTIF($E159:H159,"u")+COUNTIF($E159:H159,"t")+COUNTIF($E159:H159,"¶")+COUNTIF($E159:H159,"²")+COUNTIF($E159:H159,"µ")+COUNTIF($E159:H159,1)),
HYPERLINK("#Roadmap!C"&amp; MATCH($E159,Roadmap!$D:$D,0)+COUNTIF($E159:H159,"u")+COUNTIF($E159:H159,"t"),
     INDEX(Roadmap!$D:$K,MATCH($E159,Roadmap!$D:$D,0)+COUNTIF($E159:H159,"u")+COUNTIF($E159:H159,"t")+COUNTIF($E159:H159,"¶")+COUNTIF($E159:H159,"²")+COUNTIF($E159:H159,"µ")+COUNTIF($E159:H159,1),ColTypeEcheance)),
  IF(LEN(H159)=1,
  IF(LEN(INDEX(Roadmap!$D:$K,MATCH($E159,Roadmap!$D:$D,0)-1+COUNTIF($E159:H159,"u")+COUNTIF($E159:H159,"t")+COUNTIF($E159:H159,"¶")+COUNTIF($E159:H159,"²")+COUNTIF($E159:H159,"µ")+COUNTIF($E159:H159,1),ColDescriptionCourte))&gt;1,
HYPERLINK("#Roadmap!C"&amp; MATCH($E159,Roadmap!$D:$D,0)+COUNTIF($E159:H159,"u")+COUNTIF($E159:H159,"t")+COUNTIF($E159:H159,"¶")+COUNTIF($E159:H159,"²")+COUNTIF($E159:H159,"µ")+COUNTIF($E159:H159,1)-1,INDEX(Roadmap!$D:$K,MATCH($E159,Roadmap!$D:$D,0)-1+COUNTIF($E159:H159,"u")+COUNTIF($E159:H159,"t")+COUNTIF($E159:H159,"¶")+COUNTIF($E159:H159,"²")+COUNTIF($E159:H159,"µ")+COUNTIF($E159:H159,1),ColDescriptionCourte)),""),
  "")),"")</f>
        <v/>
      </c>
      <c r="J159" s="40" t="str">
        <f ca="1">IFERROR(IF(AND(
  INDEX(Roadmap!$D:$K,MATCH($E159,Roadmap!$D:$D,0)+COUNTIF($E159:I159,"u")+COUNTIF($E159:I159,"t")+COUNTIF($E159:I159,"¶")+COUNTIF($E159:I159,"²")+COUNTIF($E159:I159,"µ")+COUNTIF($E159:I159,1),ColLivraison)=J$6,
  VLOOKUP($E159,INDIRECT("tri!"&amp; CHAR(64+ C0Col) &amp;":"&amp; CHAR(65+C0Col)),2,FALSE)&gt;COUNTIF($E159:I159,"u")+COUNTIF($E159:I159,"t")+COUNTIF($E159:I159,"¶")+COUNTIF($E159:I159,"²")+COUNTIF($E159:I159,"µ")+COUNTIF($E159:I159,1)),
HYPERLINK("#Roadmap!C"&amp; MATCH($E159,Roadmap!$D:$D,0)+COUNTIF($E159:I159,"u")+COUNTIF($E159:I159,"t"),
     INDEX(Roadmap!$D:$K,MATCH($E159,Roadmap!$D:$D,0)+COUNTIF($E159:I159,"u")+COUNTIF($E159:I159,"t")+COUNTIF($E159:I159,"¶")+COUNTIF($E159:I159,"²")+COUNTIF($E159:I159,"µ")+COUNTIF($E159:I159,1),ColTypeEcheance)),
  IF(LEN(I159)=1,
  IF(LEN(INDEX(Roadmap!$D:$K,MATCH($E159,Roadmap!$D:$D,0)-1+COUNTIF($E159:I159,"u")+COUNTIF($E159:I159,"t")+COUNTIF($E159:I159,"¶")+COUNTIF($E159:I159,"²")+COUNTIF($E159:I159,"µ")+COUNTIF($E159:I159,1),ColDescriptionCourte))&gt;1,
HYPERLINK("#Roadmap!C"&amp; MATCH($E159,Roadmap!$D:$D,0)+COUNTIF($E159:I159,"u")+COUNTIF($E159:I159,"t")+COUNTIF($E159:I159,"¶")+COUNTIF($E159:I159,"²")+COUNTIF($E159:I159,"µ")+COUNTIF($E159:I159,1)-1,INDEX(Roadmap!$D:$K,MATCH($E159,Roadmap!$D:$D,0)-1+COUNTIF($E159:I159,"u")+COUNTIF($E159:I159,"t")+COUNTIF($E159:I159,"¶")+COUNTIF($E159:I159,"²")+COUNTIF($E159:I159,"µ")+COUNTIF($E159:I159,1),ColDescriptionCourte)),""),
  "")),"")</f>
        <v/>
      </c>
      <c r="K159" s="40" t="str">
        <f ca="1">IFERROR(IF(AND(
  INDEX(Roadmap!$D:$K,MATCH($E159,Roadmap!$D:$D,0)+COUNTIF($E159:J159,"u")+COUNTIF($E159:J159,"t")+COUNTIF($E159:J159,"¶")+COUNTIF($E159:J159,"²")+COUNTIF($E159:J159,"µ")+COUNTIF($E159:J159,1),ColLivraison)=K$6,
  VLOOKUP($E159,INDIRECT("tri!"&amp; CHAR(64+ C0Col) &amp;":"&amp; CHAR(65+C0Col)),2,FALSE)&gt;COUNTIF($E159:J159,"u")+COUNTIF($E159:J159,"t")+COUNTIF($E159:J159,"¶")+COUNTIF($E159:J159,"²")+COUNTIF($E159:J159,"µ")+COUNTIF($E159:J159,1)),
HYPERLINK("#Roadmap!C"&amp; MATCH($E159,Roadmap!$D:$D,0)+COUNTIF($E159:J159,"u")+COUNTIF($E159:J159,"t"),
     INDEX(Roadmap!$D:$K,MATCH($E159,Roadmap!$D:$D,0)+COUNTIF($E159:J159,"u")+COUNTIF($E159:J159,"t")+COUNTIF($E159:J159,"¶")+COUNTIF($E159:J159,"²")+COUNTIF($E159:J159,"µ")+COUNTIF($E159:J159,1),ColTypeEcheance)),
  IF(LEN(J159)=1,
  IF(LEN(INDEX(Roadmap!$D:$K,MATCH($E159,Roadmap!$D:$D,0)-1+COUNTIF($E159:J159,"u")+COUNTIF($E159:J159,"t")+COUNTIF($E159:J159,"¶")+COUNTIF($E159:J159,"²")+COUNTIF($E159:J159,"µ")+COUNTIF($E159:J159,1),ColDescriptionCourte))&gt;1,
HYPERLINK("#Roadmap!C"&amp; MATCH($E159,Roadmap!$D:$D,0)+COUNTIF($E159:J159,"u")+COUNTIF($E159:J159,"t")+COUNTIF($E159:J159,"¶")+COUNTIF($E159:J159,"²")+COUNTIF($E159:J159,"µ")+COUNTIF($E159:J159,1)-1,INDEX(Roadmap!$D:$K,MATCH($E159,Roadmap!$D:$D,0)-1+COUNTIF($E159:J159,"u")+COUNTIF($E159:J159,"t")+COUNTIF($E159:J159,"¶")+COUNTIF($E159:J159,"²")+COUNTIF($E159:J159,"µ")+COUNTIF($E159:J159,1),ColDescriptionCourte)),""),
  "")),"")</f>
        <v/>
      </c>
      <c r="L159" s="39" t="str">
        <f ca="1">IFERROR(IF(AND(
  INDEX(Roadmap!$D:$K,MATCH($E159,Roadmap!$D:$D,0)+COUNTIF($E159:K159,"u")+COUNTIF($E159:K159,"t")+COUNTIF($E159:K159,"¶")+COUNTIF($E159:K159,"²")+COUNTIF($E159:K159,"µ")+COUNTIF($E159:K159,1),ColLivraison)=L$6,
  VLOOKUP($E159,INDIRECT("tri!"&amp; CHAR(64+ C0Col) &amp;":"&amp; CHAR(65+C0Col)),2,FALSE)&gt;COUNTIF($E159:K159,"u")+COUNTIF($E159:K159,"t")+COUNTIF($E159:K159,"¶")+COUNTIF($E159:K159,"²")+COUNTIF($E159:K159,"µ")+COUNTIF($E159:K159,1)),
HYPERLINK("#Roadmap!C"&amp; MATCH($E159,Roadmap!$D:$D,0)+COUNTIF($E159:K159,"u")+COUNTIF($E159:K159,"t"),
     INDEX(Roadmap!$D:$K,MATCH($E159,Roadmap!$D:$D,0)+COUNTIF($E159:K159,"u")+COUNTIF($E159:K159,"t")+COUNTIF($E159:K159,"¶")+COUNTIF($E159:K159,"²")+COUNTIF($E159:K159,"µ")+COUNTIF($E159:K159,1),ColTypeEcheance)),
  IF(LEN(K159)=1,
  IF(LEN(INDEX(Roadmap!$D:$K,MATCH($E159,Roadmap!$D:$D,0)-1+COUNTIF($E159:K159,"u")+COUNTIF($E159:K159,"t")+COUNTIF($E159:K159,"¶")+COUNTIF($E159:K159,"²")+COUNTIF($E159:K159,"µ")+COUNTIF($E159:K159,1),ColDescriptionCourte))&gt;1,
HYPERLINK("#Roadmap!C"&amp; MATCH($E159,Roadmap!$D:$D,0)+COUNTIF($E159:K159,"u")+COUNTIF($E159:K159,"t")+COUNTIF($E159:K159,"¶")+COUNTIF($E159:K159,"²")+COUNTIF($E159:K159,"µ")+COUNTIF($E159:K159,1)-1,INDEX(Roadmap!$D:$K,MATCH($E159,Roadmap!$D:$D,0)-1+COUNTIF($E159:K159,"u")+COUNTIF($E159:K159,"t")+COUNTIF($E159:K159,"¶")+COUNTIF($E159:K159,"²")+COUNTIF($E159:K159,"µ")+COUNTIF($E159:K159,1),ColDescriptionCourte)),""),
  "")),"")</f>
        <v/>
      </c>
      <c r="M159" s="40" t="str">
        <f ca="1">IFERROR(IF(AND(
  INDEX(Roadmap!$D:$K,MATCH($E159,Roadmap!$D:$D,0)+COUNTIF($E159:L159,"u")+COUNTIF($E159:L159,"t")+COUNTIF($E159:L159,"¶")+COUNTIF($E159:L159,"²")+COUNTIF($E159:L159,"µ")+COUNTIF($E159:L159,1),ColLivraison)=M$6,
  VLOOKUP($E159,INDIRECT("tri!"&amp; CHAR(64+ C0Col) &amp;":"&amp; CHAR(65+C0Col)),2,FALSE)&gt;COUNTIF($E159:L159,"u")+COUNTIF($E159:L159,"t")+COUNTIF($E159:L159,"¶")+COUNTIF($E159:L159,"²")+COUNTIF($E159:L159,"µ")+COUNTIF($E159:L159,1)),
HYPERLINK("#Roadmap!C"&amp; MATCH($E159,Roadmap!$D:$D,0)+COUNTIF($E159:L159,"u")+COUNTIF($E159:L159,"t"),
     INDEX(Roadmap!$D:$K,MATCH($E159,Roadmap!$D:$D,0)+COUNTIF($E159:L159,"u")+COUNTIF($E159:L159,"t")+COUNTIF($E159:L159,"¶")+COUNTIF($E159:L159,"²")+COUNTIF($E159:L159,"µ")+COUNTIF($E159:L159,1),ColTypeEcheance)),
  IF(LEN(L159)=1,
  IF(LEN(INDEX(Roadmap!$D:$K,MATCH($E159,Roadmap!$D:$D,0)-1+COUNTIF($E159:L159,"u")+COUNTIF($E159:L159,"t")+COUNTIF($E159:L159,"¶")+COUNTIF($E159:L159,"²")+COUNTIF($E159:L159,"µ")+COUNTIF($E159:L159,1),ColDescriptionCourte))&gt;1,
HYPERLINK("#Roadmap!C"&amp; MATCH($E159,Roadmap!$D:$D,0)+COUNTIF($E159:L159,"u")+COUNTIF($E159:L159,"t")+COUNTIF($E159:L159,"¶")+COUNTIF($E159:L159,"²")+COUNTIF($E159:L159,"µ")+COUNTIF($E159:L159,1)-1,INDEX(Roadmap!$D:$K,MATCH($E159,Roadmap!$D:$D,0)-1+COUNTIF($E159:L159,"u")+COUNTIF($E159:L159,"t")+COUNTIF($E159:L159,"¶")+COUNTIF($E159:L159,"²")+COUNTIF($E159:L159,"µ")+COUNTIF($E159:L159,1),ColDescriptionCourte)),""),
  "")),"")</f>
        <v/>
      </c>
      <c r="N159" s="40" t="str">
        <f ca="1">IFERROR(IF(AND(
  INDEX(Roadmap!$D:$K,MATCH($E159,Roadmap!$D:$D,0)+COUNTIF($E159:M159,"u")+COUNTIF($E159:M159,"t")+COUNTIF($E159:M159,"¶")+COUNTIF($E159:M159,"²")+COUNTIF($E159:M159,"µ")+COUNTIF($E159:M159,1),ColLivraison)=N$6,
  VLOOKUP($E159,INDIRECT("tri!"&amp; CHAR(64+ C0Col) &amp;":"&amp; CHAR(65+C0Col)),2,FALSE)&gt;COUNTIF($E159:M159,"u")+COUNTIF($E159:M159,"t")+COUNTIF($E159:M159,"¶")+COUNTIF($E159:M159,"²")+COUNTIF($E159:M159,"µ")+COUNTIF($E159:M159,1)),
HYPERLINK("#Roadmap!C"&amp; MATCH($E159,Roadmap!$D:$D,0)+COUNTIF($E159:M159,"u")+COUNTIF($E159:M159,"t"),
     INDEX(Roadmap!$D:$K,MATCH($E159,Roadmap!$D:$D,0)+COUNTIF($E159:M159,"u")+COUNTIF($E159:M159,"t")+COUNTIF($E159:M159,"¶")+COUNTIF($E159:M159,"²")+COUNTIF($E159:M159,"µ")+COUNTIF($E159:M159,1),ColTypeEcheance)),
  IF(LEN(M159)=1,
  IF(LEN(INDEX(Roadmap!$D:$K,MATCH($E159,Roadmap!$D:$D,0)-1+COUNTIF($E159:M159,"u")+COUNTIF($E159:M159,"t")+COUNTIF($E159:M159,"¶")+COUNTIF($E159:M159,"²")+COUNTIF($E159:M159,"µ")+COUNTIF($E159:M159,1),ColDescriptionCourte))&gt;1,
HYPERLINK("#Roadmap!C"&amp; MATCH($E159,Roadmap!$D:$D,0)+COUNTIF($E159:M159,"u")+COUNTIF($E159:M159,"t")+COUNTIF($E159:M159,"¶")+COUNTIF($E159:M159,"²")+COUNTIF($E159:M159,"µ")+COUNTIF($E159:M159,1)-1,INDEX(Roadmap!$D:$K,MATCH($E159,Roadmap!$D:$D,0)-1+COUNTIF($E159:M159,"u")+COUNTIF($E159:M159,"t")+COUNTIF($E159:M159,"¶")+COUNTIF($E159:M159,"²")+COUNTIF($E159:M159,"µ")+COUNTIF($E159:M159,1),ColDescriptionCourte)),""),
  "")),"")</f>
        <v/>
      </c>
      <c r="O159" s="40" t="str">
        <f ca="1">IFERROR(IF(AND(
  INDEX(Roadmap!$D:$K,MATCH($E159,Roadmap!$D:$D,0)+COUNTIF($E159:N159,"u")+COUNTIF($E159:N159,"t")+COUNTIF($E159:N159,"¶")+COUNTIF($E159:N159,"²")+COUNTIF($E159:N159,"µ")+COUNTIF($E159:N159,1),ColLivraison)=O$6,
  VLOOKUP($E159,INDIRECT("tri!"&amp; CHAR(64+ C0Col) &amp;":"&amp; CHAR(65+C0Col)),2,FALSE)&gt;COUNTIF($E159:N159,"u")+COUNTIF($E159:N159,"t")+COUNTIF($E159:N159,"¶")+COUNTIF($E159:N159,"²")+COUNTIF($E159:N159,"µ")+COUNTIF($E159:N159,1)),
HYPERLINK("#Roadmap!C"&amp; MATCH($E159,Roadmap!$D:$D,0)+COUNTIF($E159:N159,"u")+COUNTIF($E159:N159,"t"),
     INDEX(Roadmap!$D:$K,MATCH($E159,Roadmap!$D:$D,0)+COUNTIF($E159:N159,"u")+COUNTIF($E159:N159,"t")+COUNTIF($E159:N159,"¶")+COUNTIF($E159:N159,"²")+COUNTIF($E159:N159,"µ")+COUNTIF($E159:N159,1),ColTypeEcheance)),
  IF(LEN(N159)=1,
  IF(LEN(INDEX(Roadmap!$D:$K,MATCH($E159,Roadmap!$D:$D,0)-1+COUNTIF($E159:N159,"u")+COUNTIF($E159:N159,"t")+COUNTIF($E159:N159,"¶")+COUNTIF($E159:N159,"²")+COUNTIF($E159:N159,"µ")+COUNTIF($E159:N159,1),ColDescriptionCourte))&gt;1,
HYPERLINK("#Roadmap!C"&amp; MATCH($E159,Roadmap!$D:$D,0)+COUNTIF($E159:N159,"u")+COUNTIF($E159:N159,"t")+COUNTIF($E159:N159,"¶")+COUNTIF($E159:N159,"²")+COUNTIF($E159:N159,"µ")+COUNTIF($E159:N159,1)-1,INDEX(Roadmap!$D:$K,MATCH($E159,Roadmap!$D:$D,0)-1+COUNTIF($E159:N159,"u")+COUNTIF($E159:N159,"t")+COUNTIF($E159:N159,"¶")+COUNTIF($E159:N159,"²")+COUNTIF($E159:N159,"µ")+COUNTIF($E159:N159,1),ColDescriptionCourte)),""),
  "")),"")</f>
        <v/>
      </c>
      <c r="P159" s="40" t="str">
        <f ca="1">IFERROR(IF(AND(
  INDEX(Roadmap!$D:$K,MATCH($E159,Roadmap!$D:$D,0)+COUNTIF($E159:O159,"u")+COUNTIF($E159:O159,"t")+COUNTIF($E159:O159,"¶")+COUNTIF($E159:O159,"²")+COUNTIF($E159:O159,"µ")+COUNTIF($E159:O159,1),ColLivraison)=P$6,
  VLOOKUP($E159,INDIRECT("tri!"&amp; CHAR(64+ C0Col) &amp;":"&amp; CHAR(65+C0Col)),2,FALSE)&gt;COUNTIF($E159:O159,"u")+COUNTIF($E159:O159,"t")+COUNTIF($E159:O159,"¶")+COUNTIF($E159:O159,"²")+COUNTIF($E159:O159,"µ")+COUNTIF($E159:O159,1)),
HYPERLINK("#Roadmap!C"&amp; MATCH($E159,Roadmap!$D:$D,0)+COUNTIF($E159:O159,"u")+COUNTIF($E159:O159,"t"),
     INDEX(Roadmap!$D:$K,MATCH($E159,Roadmap!$D:$D,0)+COUNTIF($E159:O159,"u")+COUNTIF($E159:O159,"t")+COUNTIF($E159:O159,"¶")+COUNTIF($E159:O159,"²")+COUNTIF($E159:O159,"µ")+COUNTIF($E159:O159,1),ColTypeEcheance)),
  IF(LEN(O159)=1,
  IF(LEN(INDEX(Roadmap!$D:$K,MATCH($E159,Roadmap!$D:$D,0)-1+COUNTIF($E159:O159,"u")+COUNTIF($E159:O159,"t")+COUNTIF($E159:O159,"¶")+COUNTIF($E159:O159,"²")+COUNTIF($E159:O159,"µ")+COUNTIF($E159:O159,1),ColDescriptionCourte))&gt;1,
HYPERLINK("#Roadmap!C"&amp; MATCH($E159,Roadmap!$D:$D,0)+COUNTIF($E159:O159,"u")+COUNTIF($E159:O159,"t")+COUNTIF($E159:O159,"¶")+COUNTIF($E159:O159,"²")+COUNTIF($E159:O159,"µ")+COUNTIF($E159:O159,1)-1,INDEX(Roadmap!$D:$K,MATCH($E159,Roadmap!$D:$D,0)-1+COUNTIF($E159:O159,"u")+COUNTIF($E159:O159,"t")+COUNTIF($E159:O159,"¶")+COUNTIF($E159:O159,"²")+COUNTIF($E159:O159,"µ")+COUNTIF($E159:O159,1),ColDescriptionCourte)),""),
  "")),"")</f>
        <v/>
      </c>
      <c r="Q159" s="40" t="str">
        <f ca="1">IFERROR(IF(AND(
  INDEX(Roadmap!$D:$K,MATCH($E159,Roadmap!$D:$D,0)+COUNTIF($E159:P159,"u")+COUNTIF($E159:P159,"t")+COUNTIF($E159:P159,"¶")+COUNTIF($E159:P159,"²")+COUNTIF($E159:P159,"µ")+COUNTIF($E159:P159,1),ColLivraison)=Q$6,
  VLOOKUP($E159,INDIRECT("tri!"&amp; CHAR(64+ C0Col) &amp;":"&amp; CHAR(65+C0Col)),2,FALSE)&gt;COUNTIF($E159:P159,"u")+COUNTIF($E159:P159,"t")+COUNTIF($E159:P159,"¶")+COUNTIF($E159:P159,"²")+COUNTIF($E159:P159,"µ")+COUNTIF($E159:P159,1)),
HYPERLINK("#Roadmap!C"&amp; MATCH($E159,Roadmap!$D:$D,0)+COUNTIF($E159:P159,"u")+COUNTIF($E159:P159,"t"),
     INDEX(Roadmap!$D:$K,MATCH($E159,Roadmap!$D:$D,0)+COUNTIF($E159:P159,"u")+COUNTIF($E159:P159,"t")+COUNTIF($E159:P159,"¶")+COUNTIF($E159:P159,"²")+COUNTIF($E159:P159,"µ")+COUNTIF($E159:P159,1),ColTypeEcheance)),
  IF(LEN(P159)=1,
  IF(LEN(INDEX(Roadmap!$D:$K,MATCH($E159,Roadmap!$D:$D,0)-1+COUNTIF($E159:P159,"u")+COUNTIF($E159:P159,"t")+COUNTIF($E159:P159,"¶")+COUNTIF($E159:P159,"²")+COUNTIF($E159:P159,"µ")+COUNTIF($E159:P159,1),ColDescriptionCourte))&gt;1,
HYPERLINK("#Roadmap!C"&amp; MATCH($E159,Roadmap!$D:$D,0)+COUNTIF($E159:P159,"u")+COUNTIF($E159:P159,"t")+COUNTIF($E159:P159,"¶")+COUNTIF($E159:P159,"²")+COUNTIF($E159:P159,"µ")+COUNTIF($E159:P159,1)-1,INDEX(Roadmap!$D:$K,MATCH($E159,Roadmap!$D:$D,0)-1+COUNTIF($E159:P159,"u")+COUNTIF($E159:P159,"t")+COUNTIF($E159:P159,"¶")+COUNTIF($E159:P159,"²")+COUNTIF($E159:P159,"µ")+COUNTIF($E159:P159,1),ColDescriptionCourte)),""),
  "")),"")</f>
        <v/>
      </c>
      <c r="R159" s="40" t="str">
        <f ca="1">IFERROR(IF(AND(
  INDEX(Roadmap!$D:$K,MATCH($E159,Roadmap!$D:$D,0)+COUNTIF($E159:Q159,"u")+COUNTIF($E159:Q159,"t")+COUNTIF($E159:Q159,"¶")+COUNTIF($E159:Q159,"²")+COUNTIF($E159:Q159,"µ")+COUNTIF($E159:Q159,1),ColLivraison)=R$6,
  VLOOKUP($E159,INDIRECT("tri!"&amp; CHAR(64+ C0Col) &amp;":"&amp; CHAR(65+C0Col)),2,FALSE)&gt;COUNTIF($E159:Q159,"u")+COUNTIF($E159:Q159,"t")+COUNTIF($E159:Q159,"¶")+COUNTIF($E159:Q159,"²")+COUNTIF($E159:Q159,"µ")+COUNTIF($E159:Q159,1)),
HYPERLINK("#Roadmap!C"&amp; MATCH($E159,Roadmap!$D:$D,0)+COUNTIF($E159:Q159,"u")+COUNTIF($E159:Q159,"t"),
     INDEX(Roadmap!$D:$K,MATCH($E159,Roadmap!$D:$D,0)+COUNTIF($E159:Q159,"u")+COUNTIF($E159:Q159,"t")+COUNTIF($E159:Q159,"¶")+COUNTIF($E159:Q159,"²")+COUNTIF($E159:Q159,"µ")+COUNTIF($E159:Q159,1),ColTypeEcheance)),
  IF(LEN(Q159)=1,
  IF(LEN(INDEX(Roadmap!$D:$K,MATCH($E159,Roadmap!$D:$D,0)-1+COUNTIF($E159:Q159,"u")+COUNTIF($E159:Q159,"t")+COUNTIF($E159:Q159,"¶")+COUNTIF($E159:Q159,"²")+COUNTIF($E159:Q159,"µ")+COUNTIF($E159:Q159,1),ColDescriptionCourte))&gt;1,
HYPERLINK("#Roadmap!C"&amp; MATCH($E159,Roadmap!$D:$D,0)+COUNTIF($E159:Q159,"u")+COUNTIF($E159:Q159,"t")+COUNTIF($E159:Q159,"¶")+COUNTIF($E159:Q159,"²")+COUNTIF($E159:Q159,"µ")+COUNTIF($E159:Q159,1)-1,INDEX(Roadmap!$D:$K,MATCH($E159,Roadmap!$D:$D,0)-1+COUNTIF($E159:Q159,"u")+COUNTIF($E159:Q159,"t")+COUNTIF($E159:Q159,"¶")+COUNTIF($E159:Q159,"²")+COUNTIF($E159:Q159,"µ")+COUNTIF($E159:Q159,1),ColDescriptionCourte)),""),
  "")),"")</f>
        <v/>
      </c>
      <c r="S159" s="40" t="str">
        <f ca="1">IFERROR(IF(AND(
  INDEX(Roadmap!$D:$K,MATCH($E159,Roadmap!$D:$D,0)+COUNTIF($E159:R159,"u")+COUNTIF($E159:R159,"t")+COUNTIF($E159:R159,"¶")+COUNTIF($E159:R159,"²")+COUNTIF($E159:R159,"µ")+COUNTIF($E159:R159,1),ColLivraison)=S$6,
  VLOOKUP($E159,INDIRECT("tri!"&amp; CHAR(64+ C0Col) &amp;":"&amp; CHAR(65+C0Col)),2,FALSE)&gt;COUNTIF($E159:R159,"u")+COUNTIF($E159:R159,"t")+COUNTIF($E159:R159,"¶")+COUNTIF($E159:R159,"²")+COUNTIF($E159:R159,"µ")+COUNTIF($E159:R159,1)),
HYPERLINK("#Roadmap!C"&amp; MATCH($E159,Roadmap!$D:$D,0)+COUNTIF($E159:R159,"u")+COUNTIF($E159:R159,"t"),
     INDEX(Roadmap!$D:$K,MATCH($E159,Roadmap!$D:$D,0)+COUNTIF($E159:R159,"u")+COUNTIF($E159:R159,"t")+COUNTIF($E159:R159,"¶")+COUNTIF($E159:R159,"²")+COUNTIF($E159:R159,"µ")+COUNTIF($E159:R159,1),ColTypeEcheance)),
  IF(LEN(R159)=1,
  IF(LEN(INDEX(Roadmap!$D:$K,MATCH($E159,Roadmap!$D:$D,0)-1+COUNTIF($E159:R159,"u")+COUNTIF($E159:R159,"t")+COUNTIF($E159:R159,"¶")+COUNTIF($E159:R159,"²")+COUNTIF($E159:R159,"µ")+COUNTIF($E159:R159,1),ColDescriptionCourte))&gt;1,
HYPERLINK("#Roadmap!C"&amp; MATCH($E159,Roadmap!$D:$D,0)+COUNTIF($E159:R159,"u")+COUNTIF($E159:R159,"t")+COUNTIF($E159:R159,"¶")+COUNTIF($E159:R159,"²")+COUNTIF($E159:R159,"µ")+COUNTIF($E159:R159,1)-1,INDEX(Roadmap!$D:$K,MATCH($E159,Roadmap!$D:$D,0)-1+COUNTIF($E159:R159,"u")+COUNTIF($E159:R159,"t")+COUNTIF($E159:R159,"¶")+COUNTIF($E159:R159,"²")+COUNTIF($E159:R159,"µ")+COUNTIF($E159:R159,1),ColDescriptionCourte)),""),
  "")),"")</f>
        <v/>
      </c>
      <c r="T159" s="40" t="str">
        <f ca="1">IFERROR(IF(AND(
  INDEX(Roadmap!$D:$K,MATCH($E159,Roadmap!$D:$D,0)+COUNTIF($E159:S159,"u")+COUNTIF($E159:S159,"t")+COUNTIF($E159:S159,"¶")+COUNTIF($E159:S159,"²")+COUNTIF($E159:S159,"µ")+COUNTIF($E159:S159,1),ColLivraison)=T$6,
  VLOOKUP($E159,INDIRECT("tri!"&amp; CHAR(64+ C0Col) &amp;":"&amp; CHAR(65+C0Col)),2,FALSE)&gt;COUNTIF($E159:S159,"u")+COUNTIF($E159:S159,"t")+COUNTIF($E159:S159,"¶")+COUNTIF($E159:S159,"²")+COUNTIF($E159:S159,"µ")+COUNTIF($E159:S159,1)),
HYPERLINK("#Roadmap!C"&amp; MATCH($E159,Roadmap!$D:$D,0)+COUNTIF($E159:S159,"u")+COUNTIF($E159:S159,"t"),
     INDEX(Roadmap!$D:$K,MATCH($E159,Roadmap!$D:$D,0)+COUNTIF($E159:S159,"u")+COUNTIF($E159:S159,"t")+COUNTIF($E159:S159,"¶")+COUNTIF($E159:S159,"²")+COUNTIF($E159:S159,"µ")+COUNTIF($E159:S159,1),ColTypeEcheance)),
  IF(LEN(S159)=1,
  IF(LEN(INDEX(Roadmap!$D:$K,MATCH($E159,Roadmap!$D:$D,0)-1+COUNTIF($E159:S159,"u")+COUNTIF($E159:S159,"t")+COUNTIF($E159:S159,"¶")+COUNTIF($E159:S159,"²")+COUNTIF($E159:S159,"µ")+COUNTIF($E159:S159,1),ColDescriptionCourte))&gt;1,
HYPERLINK("#Roadmap!C"&amp; MATCH($E159,Roadmap!$D:$D,0)+COUNTIF($E159:S159,"u")+COUNTIF($E159:S159,"t")+COUNTIF($E159:S159,"¶")+COUNTIF($E159:S159,"²")+COUNTIF($E159:S159,"µ")+COUNTIF($E159:S159,1)-1,INDEX(Roadmap!$D:$K,MATCH($E159,Roadmap!$D:$D,0)-1+COUNTIF($E159:S159,"u")+COUNTIF($E159:S159,"t")+COUNTIF($E159:S159,"¶")+COUNTIF($E159:S159,"²")+COUNTIF($E159:S159,"µ")+COUNTIF($E159:S159,1),ColDescriptionCourte)),""),
  "")),"")</f>
        <v/>
      </c>
      <c r="U159" s="40" t="str">
        <f ca="1">IFERROR(IF(AND(
  INDEX(Roadmap!$D:$K,MATCH($E159,Roadmap!$D:$D,0)+COUNTIF($E159:T159,"u")+COUNTIF($E159:T159,"t")+COUNTIF($E159:T159,"¶")+COUNTIF($E159:T159,"²")+COUNTIF($E159:T159,"µ")+COUNTIF($E159:T159,1),ColLivraison)=U$6,
  VLOOKUP($E159,INDIRECT("tri!"&amp; CHAR(64+ C0Col) &amp;":"&amp; CHAR(65+C0Col)),2,FALSE)&gt;COUNTIF($E159:T159,"u")+COUNTIF($E159:T159,"t")+COUNTIF($E159:T159,"¶")+COUNTIF($E159:T159,"²")+COUNTIF($E159:T159,"µ")+COUNTIF($E159:T159,1)),
HYPERLINK("#Roadmap!C"&amp; MATCH($E159,Roadmap!$D:$D,0)+COUNTIF($E159:T159,"u")+COUNTIF($E159:T159,"t"),
     INDEX(Roadmap!$D:$K,MATCH($E159,Roadmap!$D:$D,0)+COUNTIF($E159:T159,"u")+COUNTIF($E159:T159,"t")+COUNTIF($E159:T159,"¶")+COUNTIF($E159:T159,"²")+COUNTIF($E159:T159,"µ")+COUNTIF($E159:T159,1),ColTypeEcheance)),
  IF(LEN(T159)=1,
  IF(LEN(INDEX(Roadmap!$D:$K,MATCH($E159,Roadmap!$D:$D,0)-1+COUNTIF($E159:T159,"u")+COUNTIF($E159:T159,"t")+COUNTIF($E159:T159,"¶")+COUNTIF($E159:T159,"²")+COUNTIF($E159:T159,"µ")+COUNTIF($E159:T159,1),ColDescriptionCourte))&gt;1,
HYPERLINK("#Roadmap!C"&amp; MATCH($E159,Roadmap!$D:$D,0)+COUNTIF($E159:T159,"u")+COUNTIF($E159:T159,"t")+COUNTIF($E159:T159,"¶")+COUNTIF($E159:T159,"²")+COUNTIF($E159:T159,"µ")+COUNTIF($E159:T159,1)-1,INDEX(Roadmap!$D:$K,MATCH($E159,Roadmap!$D:$D,0)-1+COUNTIF($E159:T159,"u")+COUNTIF($E159:T159,"t")+COUNTIF($E159:T159,"¶")+COUNTIF($E159:T159,"²")+COUNTIF($E159:T159,"µ")+COUNTIF($E159:T159,1),ColDescriptionCourte)),""),
  "")),"")</f>
        <v/>
      </c>
      <c r="V159" s="40" t="str">
        <f ca="1">IFERROR(IF(AND(
  INDEX(Roadmap!$D:$K,MATCH($E159,Roadmap!$D:$D,0)+COUNTIF($E159:U159,"u")+COUNTIF($E159:U159,"t")+COUNTIF($E159:U159,"¶")+COUNTIF($E159:U159,"²")+COUNTIF($E159:U159,"µ")+COUNTIF($E159:U159,1),ColLivraison)=V$6,
  VLOOKUP($E159,INDIRECT("tri!"&amp; CHAR(64+ C0Col) &amp;":"&amp; CHAR(65+C0Col)),2,FALSE)&gt;COUNTIF($E159:U159,"u")+COUNTIF($E159:U159,"t")+COUNTIF($E159:U159,"¶")+COUNTIF($E159:U159,"²")+COUNTIF($E159:U159,"µ")+COUNTIF($E159:U159,1)),
HYPERLINK("#Roadmap!C"&amp; MATCH($E159,Roadmap!$D:$D,0)+COUNTIF($E159:U159,"u")+COUNTIF($E159:U159,"t"),
     INDEX(Roadmap!$D:$K,MATCH($E159,Roadmap!$D:$D,0)+COUNTIF($E159:U159,"u")+COUNTIF($E159:U159,"t")+COUNTIF($E159:U159,"¶")+COUNTIF($E159:U159,"²")+COUNTIF($E159:U159,"µ")+COUNTIF($E159:U159,1),ColTypeEcheance)),
  IF(LEN(U159)=1,
  IF(LEN(INDEX(Roadmap!$D:$K,MATCH($E159,Roadmap!$D:$D,0)-1+COUNTIF($E159:U159,"u")+COUNTIF($E159:U159,"t")+COUNTIF($E159:U159,"¶")+COUNTIF($E159:U159,"²")+COUNTIF($E159:U159,"µ")+COUNTIF($E159:U159,1),ColDescriptionCourte))&gt;1,
HYPERLINK("#Roadmap!C"&amp; MATCH($E159,Roadmap!$D:$D,0)+COUNTIF($E159:U159,"u")+COUNTIF($E159:U159,"t")+COUNTIF($E159:U159,"¶")+COUNTIF($E159:U159,"²")+COUNTIF($E159:U159,"µ")+COUNTIF($E159:U159,1)-1,INDEX(Roadmap!$D:$K,MATCH($E159,Roadmap!$D:$D,0)-1+COUNTIF($E159:U159,"u")+COUNTIF($E159:U159,"t")+COUNTIF($E159:U159,"¶")+COUNTIF($E159:U159,"²")+COUNTIF($E159:U159,"µ")+COUNTIF($E159:U159,1),ColDescriptionCourte)),""),
  "")),"")</f>
        <v/>
      </c>
      <c r="W159" s="40" t="str">
        <f ca="1">IFERROR(IF(AND(
  INDEX(Roadmap!$D:$K,MATCH($E159,Roadmap!$D:$D,0)+COUNTIF($E159:V159,"u")+COUNTIF($E159:V159,"t")+COUNTIF($E159:V159,"¶")+COUNTIF($E159:V159,"²")+COUNTIF($E159:V159,"µ")+COUNTIF($E159:V159,1),ColLivraison)=W$6,
  VLOOKUP($E159,INDIRECT("tri!"&amp; CHAR(64+ C0Col) &amp;":"&amp; CHAR(65+C0Col)),2,FALSE)&gt;COUNTIF($E159:V159,"u")+COUNTIF($E159:V159,"t")+COUNTIF($E159:V159,"¶")+COUNTIF($E159:V159,"²")+COUNTIF($E159:V159,"µ")+COUNTIF($E159:V159,1)),
HYPERLINK("#Roadmap!C"&amp; MATCH($E159,Roadmap!$D:$D,0)+COUNTIF($E159:V159,"u")+COUNTIF($E159:V159,"t"),
     INDEX(Roadmap!$D:$K,MATCH($E159,Roadmap!$D:$D,0)+COUNTIF($E159:V159,"u")+COUNTIF($E159:V159,"t")+COUNTIF($E159:V159,"¶")+COUNTIF($E159:V159,"²")+COUNTIF($E159:V159,"µ")+COUNTIF($E159:V159,1),ColTypeEcheance)),
  IF(LEN(V159)=1,
  IF(LEN(INDEX(Roadmap!$D:$K,MATCH($E159,Roadmap!$D:$D,0)-1+COUNTIF($E159:V159,"u")+COUNTIF($E159:V159,"t")+COUNTIF($E159:V159,"¶")+COUNTIF($E159:V159,"²")+COUNTIF($E159:V159,"µ")+COUNTIF($E159:V159,1),ColDescriptionCourte))&gt;1,
HYPERLINK("#Roadmap!C"&amp; MATCH($E159,Roadmap!$D:$D,0)+COUNTIF($E159:V159,"u")+COUNTIF($E159:V159,"t")+COUNTIF($E159:V159,"¶")+COUNTIF($E159:V159,"²")+COUNTIF($E159:V159,"µ")+COUNTIF($E159:V159,1)-1,INDEX(Roadmap!$D:$K,MATCH($E159,Roadmap!$D:$D,0)-1+COUNTIF($E159:V159,"u")+COUNTIF($E159:V159,"t")+COUNTIF($E159:V159,"¶")+COUNTIF($E159:V159,"²")+COUNTIF($E159:V159,"µ")+COUNTIF($E159:V159,1),ColDescriptionCourte)),""),
  "")),"")</f>
        <v/>
      </c>
      <c r="X159" s="40" t="str">
        <f ca="1">IFERROR(IF(AND(
  INDEX(Roadmap!$D:$K,MATCH($E159,Roadmap!$D:$D,0)+COUNTIF($E159:W159,"u")+COUNTIF($E159:W159,"t")+COUNTIF($E159:W159,"¶")+COUNTIF($E159:W159,"²")+COUNTIF($E159:W159,"µ")+COUNTIF($E159:W159,1),ColLivraison)=X$6,
  VLOOKUP($E159,INDIRECT("tri!"&amp; CHAR(64+ C0Col) &amp;":"&amp; CHAR(65+C0Col)),2,FALSE)&gt;COUNTIF($E159:W159,"u")+COUNTIF($E159:W159,"t")+COUNTIF($E159:W159,"¶")+COUNTIF($E159:W159,"²")+COUNTIF($E159:W159,"µ")+COUNTIF($E159:W159,1)),
HYPERLINK("#Roadmap!C"&amp; MATCH($E159,Roadmap!$D:$D,0)+COUNTIF($E159:W159,"u")+COUNTIF($E159:W159,"t"),
     INDEX(Roadmap!$D:$K,MATCH($E159,Roadmap!$D:$D,0)+COUNTIF($E159:W159,"u")+COUNTIF($E159:W159,"t")+COUNTIF($E159:W159,"¶")+COUNTIF($E159:W159,"²")+COUNTIF($E159:W159,"µ")+COUNTIF($E159:W159,1),ColTypeEcheance)),
  IF(LEN(W159)=1,
  IF(LEN(INDEX(Roadmap!$D:$K,MATCH($E159,Roadmap!$D:$D,0)-1+COUNTIF($E159:W159,"u")+COUNTIF($E159:W159,"t")+COUNTIF($E159:W159,"¶")+COUNTIF($E159:W159,"²")+COUNTIF($E159:W159,"µ")+COUNTIF($E159:W159,1),ColDescriptionCourte))&gt;1,
HYPERLINK("#Roadmap!C"&amp; MATCH($E159,Roadmap!$D:$D,0)+COUNTIF($E159:W159,"u")+COUNTIF($E159:W159,"t")+COUNTIF($E159:W159,"¶")+COUNTIF($E159:W159,"²")+COUNTIF($E159:W159,"µ")+COUNTIF($E159:W159,1)-1,INDEX(Roadmap!$D:$K,MATCH($E159,Roadmap!$D:$D,0)-1+COUNTIF($E159:W159,"u")+COUNTIF($E159:W159,"t")+COUNTIF($E159:W159,"¶")+COUNTIF($E159:W159,"²")+COUNTIF($E159:W159,"µ")+COUNTIF($E159:W159,1),ColDescriptionCourte)),""),
  "")),"")</f>
        <v/>
      </c>
      <c r="Y159" s="40" t="str">
        <f ca="1">IFERROR(IF(AND(
  INDEX(Roadmap!$D:$K,MATCH($E159,Roadmap!$D:$D,0)+COUNTIF($E159:X159,"u")+COUNTIF($E159:X159,"t")+COUNTIF($E159:X159,"¶")+COUNTIF($E159:X159,"²")+COUNTIF($E159:X159,"µ")+COUNTIF($E159:X159,1),ColLivraison)=Y$6,
  VLOOKUP($E159,INDIRECT("tri!"&amp; CHAR(64+ C0Col) &amp;":"&amp; CHAR(65+C0Col)),2,FALSE)&gt;COUNTIF($E159:X159,"u")+COUNTIF($E159:X159,"t")+COUNTIF($E159:X159,"¶")+COUNTIF($E159:X159,"²")+COUNTIF($E159:X159,"µ")+COUNTIF($E159:X159,1)),
HYPERLINK("#Roadmap!C"&amp; MATCH($E159,Roadmap!$D:$D,0)+COUNTIF($E159:X159,"u")+COUNTIF($E159:X159,"t"),
     INDEX(Roadmap!$D:$K,MATCH($E159,Roadmap!$D:$D,0)+COUNTIF($E159:X159,"u")+COUNTIF($E159:X159,"t")+COUNTIF($E159:X159,"¶")+COUNTIF($E159:X159,"²")+COUNTIF($E159:X159,"µ")+COUNTIF($E159:X159,1),ColTypeEcheance)),
  IF(LEN(X159)=1,
  IF(LEN(INDEX(Roadmap!$D:$K,MATCH($E159,Roadmap!$D:$D,0)-1+COUNTIF($E159:X159,"u")+COUNTIF($E159:X159,"t")+COUNTIF($E159:X159,"¶")+COUNTIF($E159:X159,"²")+COUNTIF($E159:X159,"µ")+COUNTIF($E159:X159,1),ColDescriptionCourte))&gt;1,
HYPERLINK("#Roadmap!C"&amp; MATCH($E159,Roadmap!$D:$D,0)+COUNTIF($E159:X159,"u")+COUNTIF($E159:X159,"t")+COUNTIF($E159:X159,"¶")+COUNTIF($E159:X159,"²")+COUNTIF($E159:X159,"µ")+COUNTIF($E159:X159,1)-1,INDEX(Roadmap!$D:$K,MATCH($E159,Roadmap!$D:$D,0)-1+COUNTIF($E159:X159,"u")+COUNTIF($E159:X159,"t")+COUNTIF($E159:X159,"¶")+COUNTIF($E159:X159,"²")+COUNTIF($E159:X159,"µ")+COUNTIF($E159:X159,1),ColDescriptionCourte)),""),
  "")),"")</f>
        <v/>
      </c>
      <c r="Z159" s="40" t="str">
        <f ca="1">IFERROR(IF(AND(
  INDEX(Roadmap!$D:$K,MATCH($E159,Roadmap!$D:$D,0)+COUNTIF($E159:Y159,"u")+COUNTIF($E159:Y159,"t")+COUNTIF($E159:Y159,"¶")+COUNTIF($E159:Y159,"²")+COUNTIF($E159:Y159,"µ")+COUNTIF($E159:Y159,1),ColLivraison)=Z$6,
  VLOOKUP($E159,INDIRECT("tri!"&amp; CHAR(64+ C0Col) &amp;":"&amp; CHAR(65+C0Col)),2,FALSE)&gt;COUNTIF($E159:Y159,"u")+COUNTIF($E159:Y159,"t")+COUNTIF($E159:Y159,"¶")+COUNTIF($E159:Y159,"²")+COUNTIF($E159:Y159,"µ")+COUNTIF($E159:Y159,1)),
HYPERLINK("#Roadmap!C"&amp; MATCH($E159,Roadmap!$D:$D,0)+COUNTIF($E159:Y159,"u")+COUNTIF($E159:Y159,"t"),
     INDEX(Roadmap!$D:$K,MATCH($E159,Roadmap!$D:$D,0)+COUNTIF($E159:Y159,"u")+COUNTIF($E159:Y159,"t")+COUNTIF($E159:Y159,"¶")+COUNTIF($E159:Y159,"²")+COUNTIF($E159:Y159,"µ")+COUNTIF($E159:Y159,1),ColTypeEcheance)),
  IF(LEN(Y159)=1,
  IF(LEN(INDEX(Roadmap!$D:$K,MATCH($E159,Roadmap!$D:$D,0)-1+COUNTIF($E159:Y159,"u")+COUNTIF($E159:Y159,"t")+COUNTIF($E159:Y159,"¶")+COUNTIF($E159:Y159,"²")+COUNTIF($E159:Y159,"µ")+COUNTIF($E159:Y159,1),ColDescriptionCourte))&gt;1,
HYPERLINK("#Roadmap!C"&amp; MATCH($E159,Roadmap!$D:$D,0)+COUNTIF($E159:Y159,"u")+COUNTIF($E159:Y159,"t")+COUNTIF($E159:Y159,"¶")+COUNTIF($E159:Y159,"²")+COUNTIF($E159:Y159,"µ")+COUNTIF($E159:Y159,1)-1,INDEX(Roadmap!$D:$K,MATCH($E159,Roadmap!$D:$D,0)-1+COUNTIF($E159:Y159,"u")+COUNTIF($E159:Y159,"t")+COUNTIF($E159:Y159,"¶")+COUNTIF($E159:Y159,"²")+COUNTIF($E159:Y159,"µ")+COUNTIF($E159:Y159,1),ColDescriptionCourte)),""),
  "")),"")</f>
        <v/>
      </c>
      <c r="AA159" s="40" t="str">
        <f ca="1">IFERROR(IF(AND(
  INDEX(Roadmap!$D:$K,MATCH($E159,Roadmap!$D:$D,0)+COUNTIF($E159:Z159,"u")+COUNTIF($E159:Z159,"t")+COUNTIF($E159:Z159,"¶")+COUNTIF($E159:Z159,"²")+COUNTIF($E159:Z159,"µ")+COUNTIF($E159:Z159,1),ColLivraison)=AA$6,
  VLOOKUP($E159,INDIRECT("tri!"&amp; CHAR(64+ C0Col) &amp;":"&amp; CHAR(65+C0Col)),2,FALSE)&gt;COUNTIF($E159:Z159,"u")+COUNTIF($E159:Z159,"t")+COUNTIF($E159:Z159,"¶")+COUNTIF($E159:Z159,"²")+COUNTIF($E159:Z159,"µ")+COUNTIF($E159:Z159,1)),
HYPERLINK("#Roadmap!C"&amp; MATCH($E159,Roadmap!$D:$D,0)+COUNTIF($E159:Z159,"u")+COUNTIF($E159:Z159,"t"),
     INDEX(Roadmap!$D:$K,MATCH($E159,Roadmap!$D:$D,0)+COUNTIF($E159:Z159,"u")+COUNTIF($E159:Z159,"t")+COUNTIF($E159:Z159,"¶")+COUNTIF($E159:Z159,"²")+COUNTIF($E159:Z159,"µ")+COUNTIF($E159:Z159,1),ColTypeEcheance)),
  IF(LEN(Z159)=1,
  IF(LEN(INDEX(Roadmap!$D:$K,MATCH($E159,Roadmap!$D:$D,0)-1+COUNTIF($E159:Z159,"u")+COUNTIF($E159:Z159,"t")+COUNTIF($E159:Z159,"¶")+COUNTIF($E159:Z159,"²")+COUNTIF($E159:Z159,"µ")+COUNTIF($E159:Z159,1),ColDescriptionCourte))&gt;1,
HYPERLINK("#Roadmap!C"&amp; MATCH($E159,Roadmap!$D:$D,0)+COUNTIF($E159:Z159,"u")+COUNTIF($E159:Z159,"t")+COUNTIF($E159:Z159,"¶")+COUNTIF($E159:Z159,"²")+COUNTIF($E159:Z159,"µ")+COUNTIF($E159:Z159,1)-1,INDEX(Roadmap!$D:$K,MATCH($E159,Roadmap!$D:$D,0)-1+COUNTIF($E159:Z159,"u")+COUNTIF($E159:Z159,"t")+COUNTIF($E159:Z159,"¶")+COUNTIF($E159:Z159,"²")+COUNTIF($E159:Z159,"µ")+COUNTIF($E159:Z159,1),ColDescriptionCourte)),""),
  "")),"")</f>
        <v/>
      </c>
      <c r="AB159" s="40" t="str">
        <f ca="1">IFERROR(IF(AND(
  INDEX(Roadmap!$D:$K,MATCH($E159,Roadmap!$D:$D,0)+COUNTIF($E159:AA159,"u")+COUNTIF($E159:AA159,"t")+COUNTIF($E159:AA159,"¶")+COUNTIF($E159:AA159,"²")+COUNTIF($E159:AA159,"µ")+COUNTIF($E159:AA159,1),ColLivraison)=AB$6,
  VLOOKUP($E159,INDIRECT("tri!"&amp; CHAR(64+ C0Col) &amp;":"&amp; CHAR(65+C0Col)),2,FALSE)&gt;COUNTIF($E159:AA159,"u")+COUNTIF($E159:AA159,"t")+COUNTIF($E159:AA159,"¶")+COUNTIF($E159:AA159,"²")+COUNTIF($E159:AA159,"µ")+COUNTIF($E159:AA159,1)),
HYPERLINK("#Roadmap!C"&amp; MATCH($E159,Roadmap!$D:$D,0)+COUNTIF($E159:AA159,"u")+COUNTIF($E159:AA159,"t"),
     INDEX(Roadmap!$D:$K,MATCH($E159,Roadmap!$D:$D,0)+COUNTIF($E159:AA159,"u")+COUNTIF($E159:AA159,"t")+COUNTIF($E159:AA159,"¶")+COUNTIF($E159:AA159,"²")+COUNTIF($E159:AA159,"µ")+COUNTIF($E159:AA159,1),ColTypeEcheance)),
  IF(LEN(AA159)=1,
  IF(LEN(INDEX(Roadmap!$D:$K,MATCH($E159,Roadmap!$D:$D,0)-1+COUNTIF($E159:AA159,"u")+COUNTIF($E159:AA159,"t")+COUNTIF($E159:AA159,"¶")+COUNTIF($E159:AA159,"²")+COUNTIF($E159:AA159,"µ")+COUNTIF($E159:AA159,1),ColDescriptionCourte))&gt;1,
HYPERLINK("#Roadmap!C"&amp; MATCH($E159,Roadmap!$D:$D,0)+COUNTIF($E159:AA159,"u")+COUNTIF($E159:AA159,"t")+COUNTIF($E159:AA159,"¶")+COUNTIF($E159:AA159,"²")+COUNTIF($E159:AA159,"µ")+COUNTIF($E159:AA159,1)-1,INDEX(Roadmap!$D:$K,MATCH($E159,Roadmap!$D:$D,0)-1+COUNTIF($E159:AA159,"u")+COUNTIF($E159:AA159,"t")+COUNTIF($E159:AA159,"¶")+COUNTIF($E159:AA159,"²")+COUNTIF($E159:AA159,"µ")+COUNTIF($E159:AA159,1),ColDescriptionCourte)),""),
  "")),"")</f>
        <v/>
      </c>
      <c r="AC159" s="40" t="str">
        <f ca="1">IFERROR(IF(AND(
  INDEX(Roadmap!$D:$K,MATCH($E159,Roadmap!$D:$D,0)+COUNTIF($E159:AB159,"u")+COUNTIF($E159:AB159,"t")+COUNTIF($E159:AB159,"¶")+COUNTIF($E159:AB159,"²")+COUNTIF($E159:AB159,"µ")+COUNTIF($E159:AB159,1),ColLivraison)=AC$6,
  VLOOKUP($E159,INDIRECT("tri!"&amp; CHAR(64+ C0Col) &amp;":"&amp; CHAR(65+C0Col)),2,FALSE)&gt;COUNTIF($E159:AB159,"u")+COUNTIF($E159:AB159,"t")+COUNTIF($E159:AB159,"¶")+COUNTIF($E159:AB159,"²")+COUNTIF($E159:AB159,"µ")+COUNTIF($E159:AB159,1)),
HYPERLINK("#Roadmap!C"&amp; MATCH($E159,Roadmap!$D:$D,0)+COUNTIF($E159:AB159,"u")+COUNTIF($E159:AB159,"t"),
     INDEX(Roadmap!$D:$K,MATCH($E159,Roadmap!$D:$D,0)+COUNTIF($E159:AB159,"u")+COUNTIF($E159:AB159,"t")+COUNTIF($E159:AB159,"¶")+COUNTIF($E159:AB159,"²")+COUNTIF($E159:AB159,"µ")+COUNTIF($E159:AB159,1),ColTypeEcheance)),
  IF(LEN(AB159)=1,
  IF(LEN(INDEX(Roadmap!$D:$K,MATCH($E159,Roadmap!$D:$D,0)-1+COUNTIF($E159:AB159,"u")+COUNTIF($E159:AB159,"t")+COUNTIF($E159:AB159,"¶")+COUNTIF($E159:AB159,"²")+COUNTIF($E159:AB159,"µ")+COUNTIF($E159:AB159,1),ColDescriptionCourte))&gt;1,
HYPERLINK("#Roadmap!C"&amp; MATCH($E159,Roadmap!$D:$D,0)+COUNTIF($E159:AB159,"u")+COUNTIF($E159:AB159,"t")+COUNTIF($E159:AB159,"¶")+COUNTIF($E159:AB159,"²")+COUNTIF($E159:AB159,"µ")+COUNTIF($E159:AB159,1)-1,INDEX(Roadmap!$D:$K,MATCH($E159,Roadmap!$D:$D,0)-1+COUNTIF($E159:AB159,"u")+COUNTIF($E159:AB159,"t")+COUNTIF($E159:AB159,"¶")+COUNTIF($E159:AB159,"²")+COUNTIF($E159:AB159,"µ")+COUNTIF($E159:AB159,1),ColDescriptionCourte)),""),
  "")),"")</f>
        <v/>
      </c>
      <c r="AD159" s="40" t="str">
        <f ca="1">IFERROR(IF(AND(
  INDEX(Roadmap!$D:$K,MATCH($E159,Roadmap!$D:$D,0)+COUNTIF($E159:AC159,"u")+COUNTIF($E159:AC159,"t")+COUNTIF($E159:AC159,"¶")+COUNTIF($E159:AC159,"²")+COUNTIF($E159:AC159,"µ")+COUNTIF($E159:AC159,1),ColLivraison)=AD$6,
  VLOOKUP($E159,INDIRECT("tri!"&amp; CHAR(64+ C0Col) &amp;":"&amp; CHAR(65+C0Col)),2,FALSE)&gt;COUNTIF($E159:AC159,"u")+COUNTIF($E159:AC159,"t")+COUNTIF($E159:AC159,"¶")+COUNTIF($E159:AC159,"²")+COUNTIF($E159:AC159,"µ")+COUNTIF($E159:AC159,1)),
HYPERLINK("#Roadmap!C"&amp; MATCH($E159,Roadmap!$D:$D,0)+COUNTIF($E159:AC159,"u")+COUNTIF($E159:AC159,"t"),
     INDEX(Roadmap!$D:$K,MATCH($E159,Roadmap!$D:$D,0)+COUNTIF($E159:AC159,"u")+COUNTIF($E159:AC159,"t")+COUNTIF($E159:AC159,"¶")+COUNTIF($E159:AC159,"²")+COUNTIF($E159:AC159,"µ")+COUNTIF($E159:AC159,1),ColTypeEcheance)),
  IF(LEN(AC159)=1,
  IF(LEN(INDEX(Roadmap!$D:$K,MATCH($E159,Roadmap!$D:$D,0)-1+COUNTIF($E159:AC159,"u")+COUNTIF($E159:AC159,"t")+COUNTIF($E159:AC159,"¶")+COUNTIF($E159:AC159,"²")+COUNTIF($E159:AC159,"µ")+COUNTIF($E159:AC159,1),ColDescriptionCourte))&gt;1,
HYPERLINK("#Roadmap!C"&amp; MATCH($E159,Roadmap!$D:$D,0)+COUNTIF($E159:AC159,"u")+COUNTIF($E159:AC159,"t")+COUNTIF($E159:AC159,"¶")+COUNTIF($E159:AC159,"²")+COUNTIF($E159:AC159,"µ")+COUNTIF($E159:AC159,1)-1,INDEX(Roadmap!$D:$K,MATCH($E159,Roadmap!$D:$D,0)-1+COUNTIF($E159:AC159,"u")+COUNTIF($E159:AC159,"t")+COUNTIF($E159:AC159,"¶")+COUNTIF($E159:AC159,"²")+COUNTIF($E159:AC159,"µ")+COUNTIF($E159:AC159,1),ColDescriptionCourte)),""),
  "")),"")</f>
        <v/>
      </c>
      <c r="AE159" s="40" t="str">
        <f ca="1">IFERROR(IF(AND(
  INDEX(Roadmap!$D:$K,MATCH($E159,Roadmap!$D:$D,0)+COUNTIF($E159:AD159,"u")+COUNTIF($E159:AD159,"t")+COUNTIF($E159:AD159,"¶")+COUNTIF($E159:AD159,"²")+COUNTIF($E159:AD159,"µ")+COUNTIF($E159:AD159,1),ColLivraison)=AE$6,
  VLOOKUP($E159,INDIRECT("tri!"&amp; CHAR(64+ C0Col) &amp;":"&amp; CHAR(65+C0Col)),2,FALSE)&gt;COUNTIF($E159:AD159,"u")+COUNTIF($E159:AD159,"t")+COUNTIF($E159:AD159,"¶")+COUNTIF($E159:AD159,"²")+COUNTIF($E159:AD159,"µ")+COUNTIF($E159:AD159,1)),
HYPERLINK("#Roadmap!C"&amp; MATCH($E159,Roadmap!$D:$D,0)+COUNTIF($E159:AD159,"u")+COUNTIF($E159:AD159,"t"),
     INDEX(Roadmap!$D:$K,MATCH($E159,Roadmap!$D:$D,0)+COUNTIF($E159:AD159,"u")+COUNTIF($E159:AD159,"t")+COUNTIF($E159:AD159,"¶")+COUNTIF($E159:AD159,"²")+COUNTIF($E159:AD159,"µ")+COUNTIF($E159:AD159,1),ColTypeEcheance)),
  IF(LEN(AD159)=1,
  IF(LEN(INDEX(Roadmap!$D:$K,MATCH($E159,Roadmap!$D:$D,0)-1+COUNTIF($E159:AD159,"u")+COUNTIF($E159:AD159,"t")+COUNTIF($E159:AD159,"¶")+COUNTIF($E159:AD159,"²")+COUNTIF($E159:AD159,"µ")+COUNTIF($E159:AD159,1),ColDescriptionCourte))&gt;1,
HYPERLINK("#Roadmap!C"&amp; MATCH($E159,Roadmap!$D:$D,0)+COUNTIF($E159:AD159,"u")+COUNTIF($E159:AD159,"t")+COUNTIF($E159:AD159,"¶")+COUNTIF($E159:AD159,"²")+COUNTIF($E159:AD159,"µ")+COUNTIF($E159:AD159,1)-1,INDEX(Roadmap!$D:$K,MATCH($E159,Roadmap!$D:$D,0)-1+COUNTIF($E159:AD159,"u")+COUNTIF($E159:AD159,"t")+COUNTIF($E159:AD159,"¶")+COUNTIF($E159:AD159,"²")+COUNTIF($E159:AD159,"µ")+COUNTIF($E159:AD159,1),ColDescriptionCourte)),""),
  "")),"")</f>
        <v/>
      </c>
      <c r="AF159" s="40" t="str">
        <f ca="1">IFERROR(IF(AND(
  INDEX(Roadmap!$D:$K,MATCH($E159,Roadmap!$D:$D,0)+COUNTIF($E159:AE159,"u")+COUNTIF($E159:AE159,"t")+COUNTIF($E159:AE159,"¶")+COUNTIF($E159:AE159,"²")+COUNTIF($E159:AE159,"µ")+COUNTIF($E159:AE159,1),ColLivraison)=AF$6,
  VLOOKUP($E159,INDIRECT("tri!"&amp; CHAR(64+ C0Col) &amp;":"&amp; CHAR(65+C0Col)),2,FALSE)&gt;COUNTIF($E159:AE159,"u")+COUNTIF($E159:AE159,"t")+COUNTIF($E159:AE159,"¶")+COUNTIF($E159:AE159,"²")+COUNTIF($E159:AE159,"µ")+COUNTIF($E159:AE159,1)),
HYPERLINK("#Roadmap!C"&amp; MATCH($E159,Roadmap!$D:$D,0)+COUNTIF($E159:AE159,"u")+COUNTIF($E159:AE159,"t"),
     INDEX(Roadmap!$D:$K,MATCH($E159,Roadmap!$D:$D,0)+COUNTIF($E159:AE159,"u")+COUNTIF($E159:AE159,"t")+COUNTIF($E159:AE159,"¶")+COUNTIF($E159:AE159,"²")+COUNTIF($E159:AE159,"µ")+COUNTIF($E159:AE159,1),ColTypeEcheance)),
  IF(LEN(AE159)=1,
  IF(LEN(INDEX(Roadmap!$D:$K,MATCH($E159,Roadmap!$D:$D,0)-1+COUNTIF($E159:AE159,"u")+COUNTIF($E159:AE159,"t")+COUNTIF($E159:AE159,"¶")+COUNTIF($E159:AE159,"²")+COUNTIF($E159:AE159,"µ")+COUNTIF($E159:AE159,1),ColDescriptionCourte))&gt;1,
HYPERLINK("#Roadmap!C"&amp; MATCH($E159,Roadmap!$D:$D,0)+COUNTIF($E159:AE159,"u")+COUNTIF($E159:AE159,"t")+COUNTIF($E159:AE159,"¶")+COUNTIF($E159:AE159,"²")+COUNTIF($E159:AE159,"µ")+COUNTIF($E159:AE159,1)-1,INDEX(Roadmap!$D:$K,MATCH($E159,Roadmap!$D:$D,0)-1+COUNTIF($E159:AE159,"u")+COUNTIF($E159:AE159,"t")+COUNTIF($E159:AE159,"¶")+COUNTIF($E159:AE159,"²")+COUNTIF($E159:AE159,"µ")+COUNTIF($E159:AE159,1),ColDescriptionCourte)),""),
  "")),"")</f>
        <v/>
      </c>
      <c r="AG159" s="40" t="str">
        <f ca="1">IFERROR(IF(AND(
  INDEX(Roadmap!$D:$K,MATCH($E159,Roadmap!$D:$D,0)+COUNTIF($E159:AF159,"u")+COUNTIF($E159:AF159,"t")+COUNTIF($E159:AF159,"¶")+COUNTIF($E159:AF159,"²")+COUNTIF($E159:AF159,"µ")+COUNTIF($E159:AF159,1),ColLivraison)=AG$6,
  VLOOKUP($E159,INDIRECT("tri!"&amp; CHAR(64+ C0Col) &amp;":"&amp; CHAR(65+C0Col)),2,FALSE)&gt;COUNTIF($E159:AF159,"u")+COUNTIF($E159:AF159,"t")+COUNTIF($E159:AF159,"¶")+COUNTIF($E159:AF159,"²")+COUNTIF($E159:AF159,"µ")+COUNTIF($E159:AF159,1)),
HYPERLINK("#Roadmap!C"&amp; MATCH($E159,Roadmap!$D:$D,0)+COUNTIF($E159:AF159,"u")+COUNTIF($E159:AF159,"t"),
     INDEX(Roadmap!$D:$K,MATCH($E159,Roadmap!$D:$D,0)+COUNTIF($E159:AF159,"u")+COUNTIF($E159:AF159,"t")+COUNTIF($E159:AF159,"¶")+COUNTIF($E159:AF159,"²")+COUNTIF($E159:AF159,"µ")+COUNTIF($E159:AF159,1),ColTypeEcheance)),
  IF(LEN(AF159)=1,
  IF(LEN(INDEX(Roadmap!$D:$K,MATCH($E159,Roadmap!$D:$D,0)-1+COUNTIF($E159:AF159,"u")+COUNTIF($E159:AF159,"t")+COUNTIF($E159:AF159,"¶")+COUNTIF($E159:AF159,"²")+COUNTIF($E159:AF159,"µ")+COUNTIF($E159:AF159,1),ColDescriptionCourte))&gt;1,
HYPERLINK("#Roadmap!C"&amp; MATCH($E159,Roadmap!$D:$D,0)+COUNTIF($E159:AF159,"u")+COUNTIF($E159:AF159,"t")+COUNTIF($E159:AF159,"¶")+COUNTIF($E159:AF159,"²")+COUNTIF($E159:AF159,"µ")+COUNTIF($E159:AF159,1)-1,INDEX(Roadmap!$D:$K,MATCH($E159,Roadmap!$D:$D,0)-1+COUNTIF($E159:AF159,"u")+COUNTIF($E159:AF159,"t")+COUNTIF($E159:AF159,"¶")+COUNTIF($E159:AF159,"²")+COUNTIF($E159:AF159,"µ")+COUNTIF($E159:AF159,1),ColDescriptionCourte)),""),
  "")),"")</f>
        <v/>
      </c>
      <c r="AH159" s="40" t="str">
        <f ca="1">IFERROR(IF(AND(
  INDEX(Roadmap!$D:$K,MATCH($E159,Roadmap!$D:$D,0)+COUNTIF($E159:AG159,"u")+COUNTIF($E159:AG159,"t")+COUNTIF($E159:AG159,1),ColLivraison)=AH$6,
  VLOOKUP($E159,INDIRECT("tri!"&amp; CHAR(64+ C0Col) &amp;":"&amp; CHAR(65+C0Col)),2,FALSE)&gt;COUNTIF($E159:AG159,"u")+COUNTIF($E159:AG159,"t")+COUNTIF($E159:AG159,1)),
HYPERLINK("#Roadmap!C"&amp; MATCH($E159,Roadmap!$D:$D,0)+COUNTIF($E159:AG159,"u")+COUNTIF($E159:AG159,"t"),
     INDEX(Roadmap!$D:$K,MATCH($E159,Roadmap!$D:$D,0)+COUNTIF($E159:AG159,"u")+COUNTIF($E159:AG159,"t")+COUNTIF($E159:AG159,1),ColTypeEcheance)),
  IF(OR(AG159="u",AG159="t",AG159=1),
  IF(LEN(INDEX(Roadmap!$D:$K,MATCH($E159,Roadmap!$D:$D,0)-1+COUNTIF($E159:AG159,"u")+COUNTIF($E159:AG159,"t")+COUNTIF($E159:AG159,1),ColDescriptionCourte))&gt;1,
HYPERLINK("#Roadmap!C"&amp; MATCH($E159,Roadmap!$D:$D,0)+COUNTIF($E159:AG159,"u")+COUNTIF($E159:AG159,"t")+COUNTIF($E159:AG159,1)-1,INDEX(Roadmap!$D:$K,MATCH($E159,Roadmap!$D:$D,0)-1+COUNTIF($E159:AG159,"u")+COUNTIF($E159:AG159,"t")+COUNTIF($E159:AG159,1),ColDescriptionCourte)),""),
  "")),"")</f>
        <v/>
      </c>
      <c r="AI159" s="40"/>
      <c r="AJ159" s="40"/>
      <c r="AK159" s="40"/>
      <c r="AL159" s="40"/>
      <c r="AM159" s="40"/>
    </row>
    <row r="160" spans="4:39" ht="14.1" customHeight="1">
      <c r="D160" s="20" t="str">
        <f t="shared" ca="1" si="31"/>
        <v/>
      </c>
      <c r="E160" s="53" t="str">
        <f t="shared" ca="1" si="32"/>
        <v/>
      </c>
      <c r="F160" s="39" t="str">
        <f ca="1">IFERROR(IF(AND(
  INDEX(Roadmap!$D:$K,MATCH($E160,Roadmap!$D:$D,0)+COUNTIF($E160:E160,"u")+COUNTIF($E160:E160,"t")+COUNTIF($E160:E160,"¶")+COUNTIF($E160:E160,"²")+COUNTIF($E160:E160,"µ")+COUNTIF($E160:E160,1),ColLivraison)=F$6,
  VLOOKUP($E160,INDIRECT("tri!"&amp; CHAR(64+ C0Col) &amp;":"&amp; CHAR(65+C0Col)),2,FALSE)&gt;COUNTIF($E160:E160,"u")+COUNTIF($E160:E160,"t")+COUNTIF($E160:E160,"¶")+COUNTIF($E160:E160,"²")+COUNTIF($E160:E160,"µ")+COUNTIF($E160:E160,1)),
HYPERLINK("#Roadmap!C"&amp; MATCH($E160,Roadmap!$D:$D,0)+COUNTIF($E160:E160,"u")+COUNTIF($E160:E160,"t"),
     INDEX(Roadmap!$D:$K,MATCH($E160,Roadmap!$D:$D,0)+COUNTIF($E160:E160,"u")+COUNTIF($E160:E160,"t")+COUNTIF($E160:E160,"¶")+COUNTIF($E160:E160,"²")+COUNTIF($E160:E160,"µ")+COUNTIF($E160:E160,1),ColTypeEcheance)),
  IF(LEN(E160)=1,
  IF(LEN(INDEX(Roadmap!$D:$K,MATCH($E160,Roadmap!$D:$D,0)-1+COUNTIF($E160:E160,"u")+COUNTIF($E160:E160,"t")+COUNTIF($E160:E160,"¶")+COUNTIF($E160:E160,"²")+COUNTIF($E160:E160,"µ")+COUNTIF($E160:E160,1),ColDescriptionCourte))&gt;1,
HYPERLINK("#Roadmap!C"&amp; MATCH($E160,Roadmap!$D:$D,0)+COUNTIF($E160:E160,"u")+COUNTIF($E160:E160,"t")+COUNTIF($E160:E160,"¶")+COUNTIF($E160:E160,"²")+COUNTIF($E160:E160,"µ")+COUNTIF($E160:E160,1)-1,INDEX(Roadmap!$D:$K,MATCH($E160,Roadmap!$D:$D,0)-1+COUNTIF($E160:E160,"u")+COUNTIF($E160:E160,"t")+COUNTIF($E160:E160,"¶")+COUNTIF($E160:E160,"²")+COUNTIF($E160:E160,"µ")+COUNTIF($E160:E160,1),ColDescriptionCourte)),""),
  "")),"")</f>
        <v/>
      </c>
      <c r="G160" s="40" t="str">
        <f ca="1">IFERROR(IF(AND(
  INDEX(Roadmap!$D:$K,MATCH($E160,Roadmap!$D:$D,0)+COUNTIF($E160:F160,"u")+COUNTIF($E160:F160,"t")+COUNTIF($E160:F160,"¶")+COUNTIF($E160:F160,"²")+COUNTIF($E160:F160,"µ")+COUNTIF($E160:F160,1),ColLivraison)=G$6,
  VLOOKUP($E160,INDIRECT("tri!"&amp; CHAR(64+ C0Col) &amp;":"&amp; CHAR(65+C0Col)),2,FALSE)&gt;COUNTIF($E160:F160,"u")+COUNTIF($E160:F160,"t")+COUNTIF($E160:F160,"¶")+COUNTIF($E160:F160,"²")+COUNTIF($E160:F160,"µ")+COUNTIF($E160:F160,1)),
HYPERLINK("#Roadmap!C"&amp; MATCH($E160,Roadmap!$D:$D,0)+COUNTIF($E160:F160,"u")+COUNTIF($E160:F160,"t"),
     INDEX(Roadmap!$D:$K,MATCH($E160,Roadmap!$D:$D,0)+COUNTIF($E160:F160,"u")+COUNTIF($E160:F160,"t")+COUNTIF($E160:F160,"¶")+COUNTIF($E160:F160,"²")+COUNTIF($E160:F160,"µ")+COUNTIF($E160:F160,1),ColTypeEcheance)),
  IF(LEN(F160)=1,
  IF(LEN(INDEX(Roadmap!$D:$K,MATCH($E160,Roadmap!$D:$D,0)-1+COUNTIF($E160:F160,"u")+COUNTIF($E160:F160,"t")+COUNTIF($E160:F160,"¶")+COUNTIF($E160:F160,"²")+COUNTIF($E160:F160,"µ")+COUNTIF($E160:F160,1),ColDescriptionCourte))&gt;1,
HYPERLINK("#Roadmap!C"&amp; MATCH($E160,Roadmap!$D:$D,0)+COUNTIF($E160:F160,"u")+COUNTIF($E160:F160,"t")+COUNTIF($E160:F160,"¶")+COUNTIF($E160:F160,"²")+COUNTIF($E160:F160,"µ")+COUNTIF($E160:F160,1)-1,INDEX(Roadmap!$D:$K,MATCH($E160,Roadmap!$D:$D,0)-1+COUNTIF($E160:F160,"u")+COUNTIF($E160:F160,"t")+COUNTIF($E160:F160,"¶")+COUNTIF($E160:F160,"²")+COUNTIF($E160:F160,"µ")+COUNTIF($E160:F160,1),ColDescriptionCourte)),""),
  "")),"")</f>
        <v/>
      </c>
      <c r="H160" s="40" t="str">
        <f ca="1">IFERROR(IF(AND(
  INDEX(Roadmap!$D:$K,MATCH($E160,Roadmap!$D:$D,0)+COUNTIF($E160:G160,"u")+COUNTIF($E160:G160,"t")+COUNTIF($E160:G160,"¶")+COUNTIF($E160:G160,"²")+COUNTIF($E160:G160,"µ")+COUNTIF($E160:G160,1),ColLivraison)=H$6,
  VLOOKUP($E160,INDIRECT("tri!"&amp; CHAR(64+ C0Col) &amp;":"&amp; CHAR(65+C0Col)),2,FALSE)&gt;COUNTIF($E160:G160,"u")+COUNTIF($E160:G160,"t")+COUNTIF($E160:G160,"¶")+COUNTIF($E160:G160,"²")+COUNTIF($E160:G160,"µ")+COUNTIF($E160:G160,1)),
HYPERLINK("#Roadmap!C"&amp; MATCH($E160,Roadmap!$D:$D,0)+COUNTIF($E160:G160,"u")+COUNTIF($E160:G160,"t"),
     INDEX(Roadmap!$D:$K,MATCH($E160,Roadmap!$D:$D,0)+COUNTIF($E160:G160,"u")+COUNTIF($E160:G160,"t")+COUNTIF($E160:G160,"¶")+COUNTIF($E160:G160,"²")+COUNTIF($E160:G160,"µ")+COUNTIF($E160:G160,1),ColTypeEcheance)),
  IF(LEN(G160)=1,
  IF(LEN(INDEX(Roadmap!$D:$K,MATCH($E160,Roadmap!$D:$D,0)-1+COUNTIF($E160:G160,"u")+COUNTIF($E160:G160,"t")+COUNTIF($E160:G160,"¶")+COUNTIF($E160:G160,"²")+COUNTIF($E160:G160,"µ")+COUNTIF($E160:G160,1),ColDescriptionCourte))&gt;1,
HYPERLINK("#Roadmap!C"&amp; MATCH($E160,Roadmap!$D:$D,0)+COUNTIF($E160:G160,"u")+COUNTIF($E160:G160,"t")+COUNTIF($E160:G160,"¶")+COUNTIF($E160:G160,"²")+COUNTIF($E160:G160,"µ")+COUNTIF($E160:G160,1)-1,INDEX(Roadmap!$D:$K,MATCH($E160,Roadmap!$D:$D,0)-1+COUNTIF($E160:G160,"u")+COUNTIF($E160:G160,"t")+COUNTIF($E160:G160,"¶")+COUNTIF($E160:G160,"²")+COUNTIF($E160:G160,"µ")+COUNTIF($E160:G160,1),ColDescriptionCourte)),""),
  "")),"")</f>
        <v/>
      </c>
      <c r="I160" s="40" t="str">
        <f ca="1">IFERROR(IF(AND(
  INDEX(Roadmap!$D:$K,MATCH($E160,Roadmap!$D:$D,0)+COUNTIF($E160:H160,"u")+COUNTIF($E160:H160,"t")+COUNTIF($E160:H160,"¶")+COUNTIF($E160:H160,"²")+COUNTIF($E160:H160,"µ")+COUNTIF($E160:H160,1),ColLivraison)=I$6,
  VLOOKUP($E160,INDIRECT("tri!"&amp; CHAR(64+ C0Col) &amp;":"&amp; CHAR(65+C0Col)),2,FALSE)&gt;COUNTIF($E160:H160,"u")+COUNTIF($E160:H160,"t")+COUNTIF($E160:H160,"¶")+COUNTIF($E160:H160,"²")+COUNTIF($E160:H160,"µ")+COUNTIF($E160:H160,1)),
HYPERLINK("#Roadmap!C"&amp; MATCH($E160,Roadmap!$D:$D,0)+COUNTIF($E160:H160,"u")+COUNTIF($E160:H160,"t"),
     INDEX(Roadmap!$D:$K,MATCH($E160,Roadmap!$D:$D,0)+COUNTIF($E160:H160,"u")+COUNTIF($E160:H160,"t")+COUNTIF($E160:H160,"¶")+COUNTIF($E160:H160,"²")+COUNTIF($E160:H160,"µ")+COUNTIF($E160:H160,1),ColTypeEcheance)),
  IF(LEN(H160)=1,
  IF(LEN(INDEX(Roadmap!$D:$K,MATCH($E160,Roadmap!$D:$D,0)-1+COUNTIF($E160:H160,"u")+COUNTIF($E160:H160,"t")+COUNTIF($E160:H160,"¶")+COUNTIF($E160:H160,"²")+COUNTIF($E160:H160,"µ")+COUNTIF($E160:H160,1),ColDescriptionCourte))&gt;1,
HYPERLINK("#Roadmap!C"&amp; MATCH($E160,Roadmap!$D:$D,0)+COUNTIF($E160:H160,"u")+COUNTIF($E160:H160,"t")+COUNTIF($E160:H160,"¶")+COUNTIF($E160:H160,"²")+COUNTIF($E160:H160,"µ")+COUNTIF($E160:H160,1)-1,INDEX(Roadmap!$D:$K,MATCH($E160,Roadmap!$D:$D,0)-1+COUNTIF($E160:H160,"u")+COUNTIF($E160:H160,"t")+COUNTIF($E160:H160,"¶")+COUNTIF($E160:H160,"²")+COUNTIF($E160:H160,"µ")+COUNTIF($E160:H160,1),ColDescriptionCourte)),""),
  "")),"")</f>
        <v/>
      </c>
      <c r="J160" s="40" t="str">
        <f ca="1">IFERROR(IF(AND(
  INDEX(Roadmap!$D:$K,MATCH($E160,Roadmap!$D:$D,0)+COUNTIF($E160:I160,"u")+COUNTIF($E160:I160,"t")+COUNTIF($E160:I160,"¶")+COUNTIF($E160:I160,"²")+COUNTIF($E160:I160,"µ")+COUNTIF($E160:I160,1),ColLivraison)=J$6,
  VLOOKUP($E160,INDIRECT("tri!"&amp; CHAR(64+ C0Col) &amp;":"&amp; CHAR(65+C0Col)),2,FALSE)&gt;COUNTIF($E160:I160,"u")+COUNTIF($E160:I160,"t")+COUNTIF($E160:I160,"¶")+COUNTIF($E160:I160,"²")+COUNTIF($E160:I160,"µ")+COUNTIF($E160:I160,1)),
HYPERLINK("#Roadmap!C"&amp; MATCH($E160,Roadmap!$D:$D,0)+COUNTIF($E160:I160,"u")+COUNTIF($E160:I160,"t"),
     INDEX(Roadmap!$D:$K,MATCH($E160,Roadmap!$D:$D,0)+COUNTIF($E160:I160,"u")+COUNTIF($E160:I160,"t")+COUNTIF($E160:I160,"¶")+COUNTIF($E160:I160,"²")+COUNTIF($E160:I160,"µ")+COUNTIF($E160:I160,1),ColTypeEcheance)),
  IF(LEN(I160)=1,
  IF(LEN(INDEX(Roadmap!$D:$K,MATCH($E160,Roadmap!$D:$D,0)-1+COUNTIF($E160:I160,"u")+COUNTIF($E160:I160,"t")+COUNTIF($E160:I160,"¶")+COUNTIF($E160:I160,"²")+COUNTIF($E160:I160,"µ")+COUNTIF($E160:I160,1),ColDescriptionCourte))&gt;1,
HYPERLINK("#Roadmap!C"&amp; MATCH($E160,Roadmap!$D:$D,0)+COUNTIF($E160:I160,"u")+COUNTIF($E160:I160,"t")+COUNTIF($E160:I160,"¶")+COUNTIF($E160:I160,"²")+COUNTIF($E160:I160,"µ")+COUNTIF($E160:I160,1)-1,INDEX(Roadmap!$D:$K,MATCH($E160,Roadmap!$D:$D,0)-1+COUNTIF($E160:I160,"u")+COUNTIF($E160:I160,"t")+COUNTIF($E160:I160,"¶")+COUNTIF($E160:I160,"²")+COUNTIF($E160:I160,"µ")+COUNTIF($E160:I160,1),ColDescriptionCourte)),""),
  "")),"")</f>
        <v/>
      </c>
      <c r="K160" s="40" t="str">
        <f ca="1">IFERROR(IF(AND(
  INDEX(Roadmap!$D:$K,MATCH($E160,Roadmap!$D:$D,0)+COUNTIF($E160:J160,"u")+COUNTIF($E160:J160,"t")+COUNTIF($E160:J160,"¶")+COUNTIF($E160:J160,"²")+COUNTIF($E160:J160,"µ")+COUNTIF($E160:J160,1),ColLivraison)=K$6,
  VLOOKUP($E160,INDIRECT("tri!"&amp; CHAR(64+ C0Col) &amp;":"&amp; CHAR(65+C0Col)),2,FALSE)&gt;COUNTIF($E160:J160,"u")+COUNTIF($E160:J160,"t")+COUNTIF($E160:J160,"¶")+COUNTIF($E160:J160,"²")+COUNTIF($E160:J160,"µ")+COUNTIF($E160:J160,1)),
HYPERLINK("#Roadmap!C"&amp; MATCH($E160,Roadmap!$D:$D,0)+COUNTIF($E160:J160,"u")+COUNTIF($E160:J160,"t"),
     INDEX(Roadmap!$D:$K,MATCH($E160,Roadmap!$D:$D,0)+COUNTIF($E160:J160,"u")+COUNTIF($E160:J160,"t")+COUNTIF($E160:J160,"¶")+COUNTIF($E160:J160,"²")+COUNTIF($E160:J160,"µ")+COUNTIF($E160:J160,1),ColTypeEcheance)),
  IF(LEN(J160)=1,
  IF(LEN(INDEX(Roadmap!$D:$K,MATCH($E160,Roadmap!$D:$D,0)-1+COUNTIF($E160:J160,"u")+COUNTIF($E160:J160,"t")+COUNTIF($E160:J160,"¶")+COUNTIF($E160:J160,"²")+COUNTIF($E160:J160,"µ")+COUNTIF($E160:J160,1),ColDescriptionCourte))&gt;1,
HYPERLINK("#Roadmap!C"&amp; MATCH($E160,Roadmap!$D:$D,0)+COUNTIF($E160:J160,"u")+COUNTIF($E160:J160,"t")+COUNTIF($E160:J160,"¶")+COUNTIF($E160:J160,"²")+COUNTIF($E160:J160,"µ")+COUNTIF($E160:J160,1)-1,INDEX(Roadmap!$D:$K,MATCH($E160,Roadmap!$D:$D,0)-1+COUNTIF($E160:J160,"u")+COUNTIF($E160:J160,"t")+COUNTIF($E160:J160,"¶")+COUNTIF($E160:J160,"²")+COUNTIF($E160:J160,"µ")+COUNTIF($E160:J160,1),ColDescriptionCourte)),""),
  "")),"")</f>
        <v/>
      </c>
      <c r="L160" s="39" t="str">
        <f ca="1">IFERROR(IF(AND(
  INDEX(Roadmap!$D:$K,MATCH($E160,Roadmap!$D:$D,0)+COUNTIF($E160:K160,"u")+COUNTIF($E160:K160,"t")+COUNTIF($E160:K160,"¶")+COUNTIF($E160:K160,"²")+COUNTIF($E160:K160,"µ")+COUNTIF($E160:K160,1),ColLivraison)=L$6,
  VLOOKUP($E160,INDIRECT("tri!"&amp; CHAR(64+ C0Col) &amp;":"&amp; CHAR(65+C0Col)),2,FALSE)&gt;COUNTIF($E160:K160,"u")+COUNTIF($E160:K160,"t")+COUNTIF($E160:K160,"¶")+COUNTIF($E160:K160,"²")+COUNTIF($E160:K160,"µ")+COUNTIF($E160:K160,1)),
HYPERLINK("#Roadmap!C"&amp; MATCH($E160,Roadmap!$D:$D,0)+COUNTIF($E160:K160,"u")+COUNTIF($E160:K160,"t"),
     INDEX(Roadmap!$D:$K,MATCH($E160,Roadmap!$D:$D,0)+COUNTIF($E160:K160,"u")+COUNTIF($E160:K160,"t")+COUNTIF($E160:K160,"¶")+COUNTIF($E160:K160,"²")+COUNTIF($E160:K160,"µ")+COUNTIF($E160:K160,1),ColTypeEcheance)),
  IF(LEN(K160)=1,
  IF(LEN(INDEX(Roadmap!$D:$K,MATCH($E160,Roadmap!$D:$D,0)-1+COUNTIF($E160:K160,"u")+COUNTIF($E160:K160,"t")+COUNTIF($E160:K160,"¶")+COUNTIF($E160:K160,"²")+COUNTIF($E160:K160,"µ")+COUNTIF($E160:K160,1),ColDescriptionCourte))&gt;1,
HYPERLINK("#Roadmap!C"&amp; MATCH($E160,Roadmap!$D:$D,0)+COUNTIF($E160:K160,"u")+COUNTIF($E160:K160,"t")+COUNTIF($E160:K160,"¶")+COUNTIF($E160:K160,"²")+COUNTIF($E160:K160,"µ")+COUNTIF($E160:K160,1)-1,INDEX(Roadmap!$D:$K,MATCH($E160,Roadmap!$D:$D,0)-1+COUNTIF($E160:K160,"u")+COUNTIF($E160:K160,"t")+COUNTIF($E160:K160,"¶")+COUNTIF($E160:K160,"²")+COUNTIF($E160:K160,"µ")+COUNTIF($E160:K160,1),ColDescriptionCourte)),""),
  "")),"")</f>
        <v/>
      </c>
      <c r="M160" s="40" t="str">
        <f ca="1">IFERROR(IF(AND(
  INDEX(Roadmap!$D:$K,MATCH($E160,Roadmap!$D:$D,0)+COUNTIF($E160:L160,"u")+COUNTIF($E160:L160,"t")+COUNTIF($E160:L160,"¶")+COUNTIF($E160:L160,"²")+COUNTIF($E160:L160,"µ")+COUNTIF($E160:L160,1),ColLivraison)=M$6,
  VLOOKUP($E160,INDIRECT("tri!"&amp; CHAR(64+ C0Col) &amp;":"&amp; CHAR(65+C0Col)),2,FALSE)&gt;COUNTIF($E160:L160,"u")+COUNTIF($E160:L160,"t")+COUNTIF($E160:L160,"¶")+COUNTIF($E160:L160,"²")+COUNTIF($E160:L160,"µ")+COUNTIF($E160:L160,1)),
HYPERLINK("#Roadmap!C"&amp; MATCH($E160,Roadmap!$D:$D,0)+COUNTIF($E160:L160,"u")+COUNTIF($E160:L160,"t"),
     INDEX(Roadmap!$D:$K,MATCH($E160,Roadmap!$D:$D,0)+COUNTIF($E160:L160,"u")+COUNTIF($E160:L160,"t")+COUNTIF($E160:L160,"¶")+COUNTIF($E160:L160,"²")+COUNTIF($E160:L160,"µ")+COUNTIF($E160:L160,1),ColTypeEcheance)),
  IF(LEN(L160)=1,
  IF(LEN(INDEX(Roadmap!$D:$K,MATCH($E160,Roadmap!$D:$D,0)-1+COUNTIF($E160:L160,"u")+COUNTIF($E160:L160,"t")+COUNTIF($E160:L160,"¶")+COUNTIF($E160:L160,"²")+COUNTIF($E160:L160,"µ")+COUNTIF($E160:L160,1),ColDescriptionCourte))&gt;1,
HYPERLINK("#Roadmap!C"&amp; MATCH($E160,Roadmap!$D:$D,0)+COUNTIF($E160:L160,"u")+COUNTIF($E160:L160,"t")+COUNTIF($E160:L160,"¶")+COUNTIF($E160:L160,"²")+COUNTIF($E160:L160,"µ")+COUNTIF($E160:L160,1)-1,INDEX(Roadmap!$D:$K,MATCH($E160,Roadmap!$D:$D,0)-1+COUNTIF($E160:L160,"u")+COUNTIF($E160:L160,"t")+COUNTIF($E160:L160,"¶")+COUNTIF($E160:L160,"²")+COUNTIF($E160:L160,"µ")+COUNTIF($E160:L160,1),ColDescriptionCourte)),""),
  "")),"")</f>
        <v/>
      </c>
      <c r="N160" s="40" t="str">
        <f ca="1">IFERROR(IF(AND(
  INDEX(Roadmap!$D:$K,MATCH($E160,Roadmap!$D:$D,0)+COUNTIF($E160:M160,"u")+COUNTIF($E160:M160,"t")+COUNTIF($E160:M160,"¶")+COUNTIF($E160:M160,"²")+COUNTIF($E160:M160,"µ")+COUNTIF($E160:M160,1),ColLivraison)=N$6,
  VLOOKUP($E160,INDIRECT("tri!"&amp; CHAR(64+ C0Col) &amp;":"&amp; CHAR(65+C0Col)),2,FALSE)&gt;COUNTIF($E160:M160,"u")+COUNTIF($E160:M160,"t")+COUNTIF($E160:M160,"¶")+COUNTIF($E160:M160,"²")+COUNTIF($E160:M160,"µ")+COUNTIF($E160:M160,1)),
HYPERLINK("#Roadmap!C"&amp; MATCH($E160,Roadmap!$D:$D,0)+COUNTIF($E160:M160,"u")+COUNTIF($E160:M160,"t"),
     INDEX(Roadmap!$D:$K,MATCH($E160,Roadmap!$D:$D,0)+COUNTIF($E160:M160,"u")+COUNTIF($E160:M160,"t")+COUNTIF($E160:M160,"¶")+COUNTIF($E160:M160,"²")+COUNTIF($E160:M160,"µ")+COUNTIF($E160:M160,1),ColTypeEcheance)),
  IF(LEN(M160)=1,
  IF(LEN(INDEX(Roadmap!$D:$K,MATCH($E160,Roadmap!$D:$D,0)-1+COUNTIF($E160:M160,"u")+COUNTIF($E160:M160,"t")+COUNTIF($E160:M160,"¶")+COUNTIF($E160:M160,"²")+COUNTIF($E160:M160,"µ")+COUNTIF($E160:M160,1),ColDescriptionCourte))&gt;1,
HYPERLINK("#Roadmap!C"&amp; MATCH($E160,Roadmap!$D:$D,0)+COUNTIF($E160:M160,"u")+COUNTIF($E160:M160,"t")+COUNTIF($E160:M160,"¶")+COUNTIF($E160:M160,"²")+COUNTIF($E160:M160,"µ")+COUNTIF($E160:M160,1)-1,INDEX(Roadmap!$D:$K,MATCH($E160,Roadmap!$D:$D,0)-1+COUNTIF($E160:M160,"u")+COUNTIF($E160:M160,"t")+COUNTIF($E160:M160,"¶")+COUNTIF($E160:M160,"²")+COUNTIF($E160:M160,"µ")+COUNTIF($E160:M160,1),ColDescriptionCourte)),""),
  "")),"")</f>
        <v/>
      </c>
      <c r="O160" s="40" t="str">
        <f ca="1">IFERROR(IF(AND(
  INDEX(Roadmap!$D:$K,MATCH($E160,Roadmap!$D:$D,0)+COUNTIF($E160:N160,"u")+COUNTIF($E160:N160,"t")+COUNTIF($E160:N160,"¶")+COUNTIF($E160:N160,"²")+COUNTIF($E160:N160,"µ")+COUNTIF($E160:N160,1),ColLivraison)=O$6,
  VLOOKUP($E160,INDIRECT("tri!"&amp; CHAR(64+ C0Col) &amp;":"&amp; CHAR(65+C0Col)),2,FALSE)&gt;COUNTIF($E160:N160,"u")+COUNTIF($E160:N160,"t")+COUNTIF($E160:N160,"¶")+COUNTIF($E160:N160,"²")+COUNTIF($E160:N160,"µ")+COUNTIF($E160:N160,1)),
HYPERLINK("#Roadmap!C"&amp; MATCH($E160,Roadmap!$D:$D,0)+COUNTIF($E160:N160,"u")+COUNTIF($E160:N160,"t"),
     INDEX(Roadmap!$D:$K,MATCH($E160,Roadmap!$D:$D,0)+COUNTIF($E160:N160,"u")+COUNTIF($E160:N160,"t")+COUNTIF($E160:N160,"¶")+COUNTIF($E160:N160,"²")+COUNTIF($E160:N160,"µ")+COUNTIF($E160:N160,1),ColTypeEcheance)),
  IF(LEN(N160)=1,
  IF(LEN(INDEX(Roadmap!$D:$K,MATCH($E160,Roadmap!$D:$D,0)-1+COUNTIF($E160:N160,"u")+COUNTIF($E160:N160,"t")+COUNTIF($E160:N160,"¶")+COUNTIF($E160:N160,"²")+COUNTIF($E160:N160,"µ")+COUNTIF($E160:N160,1),ColDescriptionCourte))&gt;1,
HYPERLINK("#Roadmap!C"&amp; MATCH($E160,Roadmap!$D:$D,0)+COUNTIF($E160:N160,"u")+COUNTIF($E160:N160,"t")+COUNTIF($E160:N160,"¶")+COUNTIF($E160:N160,"²")+COUNTIF($E160:N160,"µ")+COUNTIF($E160:N160,1)-1,INDEX(Roadmap!$D:$K,MATCH($E160,Roadmap!$D:$D,0)-1+COUNTIF($E160:N160,"u")+COUNTIF($E160:N160,"t")+COUNTIF($E160:N160,"¶")+COUNTIF($E160:N160,"²")+COUNTIF($E160:N160,"µ")+COUNTIF($E160:N160,1),ColDescriptionCourte)),""),
  "")),"")</f>
        <v/>
      </c>
      <c r="P160" s="40" t="str">
        <f ca="1">IFERROR(IF(AND(
  INDEX(Roadmap!$D:$K,MATCH($E160,Roadmap!$D:$D,0)+COUNTIF($E160:O160,"u")+COUNTIF($E160:O160,"t")+COUNTIF($E160:O160,"¶")+COUNTIF($E160:O160,"²")+COUNTIF($E160:O160,"µ")+COUNTIF($E160:O160,1),ColLivraison)=P$6,
  VLOOKUP($E160,INDIRECT("tri!"&amp; CHAR(64+ C0Col) &amp;":"&amp; CHAR(65+C0Col)),2,FALSE)&gt;COUNTIF($E160:O160,"u")+COUNTIF($E160:O160,"t")+COUNTIF($E160:O160,"¶")+COUNTIF($E160:O160,"²")+COUNTIF($E160:O160,"µ")+COUNTIF($E160:O160,1)),
HYPERLINK("#Roadmap!C"&amp; MATCH($E160,Roadmap!$D:$D,0)+COUNTIF($E160:O160,"u")+COUNTIF($E160:O160,"t"),
     INDEX(Roadmap!$D:$K,MATCH($E160,Roadmap!$D:$D,0)+COUNTIF($E160:O160,"u")+COUNTIF($E160:O160,"t")+COUNTIF($E160:O160,"¶")+COUNTIF($E160:O160,"²")+COUNTIF($E160:O160,"µ")+COUNTIF($E160:O160,1),ColTypeEcheance)),
  IF(LEN(O160)=1,
  IF(LEN(INDEX(Roadmap!$D:$K,MATCH($E160,Roadmap!$D:$D,0)-1+COUNTIF($E160:O160,"u")+COUNTIF($E160:O160,"t")+COUNTIF($E160:O160,"¶")+COUNTIF($E160:O160,"²")+COUNTIF($E160:O160,"µ")+COUNTIF($E160:O160,1),ColDescriptionCourte))&gt;1,
HYPERLINK("#Roadmap!C"&amp; MATCH($E160,Roadmap!$D:$D,0)+COUNTIF($E160:O160,"u")+COUNTIF($E160:O160,"t")+COUNTIF($E160:O160,"¶")+COUNTIF($E160:O160,"²")+COUNTIF($E160:O160,"µ")+COUNTIF($E160:O160,1)-1,INDEX(Roadmap!$D:$K,MATCH($E160,Roadmap!$D:$D,0)-1+COUNTIF($E160:O160,"u")+COUNTIF($E160:O160,"t")+COUNTIF($E160:O160,"¶")+COUNTIF($E160:O160,"²")+COUNTIF($E160:O160,"µ")+COUNTIF($E160:O160,1),ColDescriptionCourte)),""),
  "")),"")</f>
        <v/>
      </c>
      <c r="Q160" s="40" t="str">
        <f ca="1">IFERROR(IF(AND(
  INDEX(Roadmap!$D:$K,MATCH($E160,Roadmap!$D:$D,0)+COUNTIF($E160:P160,"u")+COUNTIF($E160:P160,"t")+COUNTIF($E160:P160,"¶")+COUNTIF($E160:P160,"²")+COUNTIF($E160:P160,"µ")+COUNTIF($E160:P160,1),ColLivraison)=Q$6,
  VLOOKUP($E160,INDIRECT("tri!"&amp; CHAR(64+ C0Col) &amp;":"&amp; CHAR(65+C0Col)),2,FALSE)&gt;COUNTIF($E160:P160,"u")+COUNTIF($E160:P160,"t")+COUNTIF($E160:P160,"¶")+COUNTIF($E160:P160,"²")+COUNTIF($E160:P160,"µ")+COUNTIF($E160:P160,1)),
HYPERLINK("#Roadmap!C"&amp; MATCH($E160,Roadmap!$D:$D,0)+COUNTIF($E160:P160,"u")+COUNTIF($E160:P160,"t"),
     INDEX(Roadmap!$D:$K,MATCH($E160,Roadmap!$D:$D,0)+COUNTIF($E160:P160,"u")+COUNTIF($E160:P160,"t")+COUNTIF($E160:P160,"¶")+COUNTIF($E160:P160,"²")+COUNTIF($E160:P160,"µ")+COUNTIF($E160:P160,1),ColTypeEcheance)),
  IF(LEN(P160)=1,
  IF(LEN(INDEX(Roadmap!$D:$K,MATCH($E160,Roadmap!$D:$D,0)-1+COUNTIF($E160:P160,"u")+COUNTIF($E160:P160,"t")+COUNTIF($E160:P160,"¶")+COUNTIF($E160:P160,"²")+COUNTIF($E160:P160,"µ")+COUNTIF($E160:P160,1),ColDescriptionCourte))&gt;1,
HYPERLINK("#Roadmap!C"&amp; MATCH($E160,Roadmap!$D:$D,0)+COUNTIF($E160:P160,"u")+COUNTIF($E160:P160,"t")+COUNTIF($E160:P160,"¶")+COUNTIF($E160:P160,"²")+COUNTIF($E160:P160,"µ")+COUNTIF($E160:P160,1)-1,INDEX(Roadmap!$D:$K,MATCH($E160,Roadmap!$D:$D,0)-1+COUNTIF($E160:P160,"u")+COUNTIF($E160:P160,"t")+COUNTIF($E160:P160,"¶")+COUNTIF($E160:P160,"²")+COUNTIF($E160:P160,"µ")+COUNTIF($E160:P160,1),ColDescriptionCourte)),""),
  "")),"")</f>
        <v/>
      </c>
      <c r="R160" s="40" t="str">
        <f ca="1">IFERROR(IF(AND(
  INDEX(Roadmap!$D:$K,MATCH($E160,Roadmap!$D:$D,0)+COUNTIF($E160:Q160,"u")+COUNTIF($E160:Q160,"t")+COUNTIF($E160:Q160,"¶")+COUNTIF($E160:Q160,"²")+COUNTIF($E160:Q160,"µ")+COUNTIF($E160:Q160,1),ColLivraison)=R$6,
  VLOOKUP($E160,INDIRECT("tri!"&amp; CHAR(64+ C0Col) &amp;":"&amp; CHAR(65+C0Col)),2,FALSE)&gt;COUNTIF($E160:Q160,"u")+COUNTIF($E160:Q160,"t")+COUNTIF($E160:Q160,"¶")+COUNTIF($E160:Q160,"²")+COUNTIF($E160:Q160,"µ")+COUNTIF($E160:Q160,1)),
HYPERLINK("#Roadmap!C"&amp; MATCH($E160,Roadmap!$D:$D,0)+COUNTIF($E160:Q160,"u")+COUNTIF($E160:Q160,"t"),
     INDEX(Roadmap!$D:$K,MATCH($E160,Roadmap!$D:$D,0)+COUNTIF($E160:Q160,"u")+COUNTIF($E160:Q160,"t")+COUNTIF($E160:Q160,"¶")+COUNTIF($E160:Q160,"²")+COUNTIF($E160:Q160,"µ")+COUNTIF($E160:Q160,1),ColTypeEcheance)),
  IF(LEN(Q160)=1,
  IF(LEN(INDEX(Roadmap!$D:$K,MATCH($E160,Roadmap!$D:$D,0)-1+COUNTIF($E160:Q160,"u")+COUNTIF($E160:Q160,"t")+COUNTIF($E160:Q160,"¶")+COUNTIF($E160:Q160,"²")+COUNTIF($E160:Q160,"µ")+COUNTIF($E160:Q160,1),ColDescriptionCourte))&gt;1,
HYPERLINK("#Roadmap!C"&amp; MATCH($E160,Roadmap!$D:$D,0)+COUNTIF($E160:Q160,"u")+COUNTIF($E160:Q160,"t")+COUNTIF($E160:Q160,"¶")+COUNTIF($E160:Q160,"²")+COUNTIF($E160:Q160,"µ")+COUNTIF($E160:Q160,1)-1,INDEX(Roadmap!$D:$K,MATCH($E160,Roadmap!$D:$D,0)-1+COUNTIF($E160:Q160,"u")+COUNTIF($E160:Q160,"t")+COUNTIF($E160:Q160,"¶")+COUNTIF($E160:Q160,"²")+COUNTIF($E160:Q160,"µ")+COUNTIF($E160:Q160,1),ColDescriptionCourte)),""),
  "")),"")</f>
        <v/>
      </c>
      <c r="S160" s="40" t="str">
        <f ca="1">IFERROR(IF(AND(
  INDEX(Roadmap!$D:$K,MATCH($E160,Roadmap!$D:$D,0)+COUNTIF($E160:R160,"u")+COUNTIF($E160:R160,"t")+COUNTIF($E160:R160,"¶")+COUNTIF($E160:R160,"²")+COUNTIF($E160:R160,"µ")+COUNTIF($E160:R160,1),ColLivraison)=S$6,
  VLOOKUP($E160,INDIRECT("tri!"&amp; CHAR(64+ C0Col) &amp;":"&amp; CHAR(65+C0Col)),2,FALSE)&gt;COUNTIF($E160:R160,"u")+COUNTIF($E160:R160,"t")+COUNTIF($E160:R160,"¶")+COUNTIF($E160:R160,"²")+COUNTIF($E160:R160,"µ")+COUNTIF($E160:R160,1)),
HYPERLINK("#Roadmap!C"&amp; MATCH($E160,Roadmap!$D:$D,0)+COUNTIF($E160:R160,"u")+COUNTIF($E160:R160,"t"),
     INDEX(Roadmap!$D:$K,MATCH($E160,Roadmap!$D:$D,0)+COUNTIF($E160:R160,"u")+COUNTIF($E160:R160,"t")+COUNTIF($E160:R160,"¶")+COUNTIF($E160:R160,"²")+COUNTIF($E160:R160,"µ")+COUNTIF($E160:R160,1),ColTypeEcheance)),
  IF(LEN(R160)=1,
  IF(LEN(INDEX(Roadmap!$D:$K,MATCH($E160,Roadmap!$D:$D,0)-1+COUNTIF($E160:R160,"u")+COUNTIF($E160:R160,"t")+COUNTIF($E160:R160,"¶")+COUNTIF($E160:R160,"²")+COUNTIF($E160:R160,"µ")+COUNTIF($E160:R160,1),ColDescriptionCourte))&gt;1,
HYPERLINK("#Roadmap!C"&amp; MATCH($E160,Roadmap!$D:$D,0)+COUNTIF($E160:R160,"u")+COUNTIF($E160:R160,"t")+COUNTIF($E160:R160,"¶")+COUNTIF($E160:R160,"²")+COUNTIF($E160:R160,"µ")+COUNTIF($E160:R160,1)-1,INDEX(Roadmap!$D:$K,MATCH($E160,Roadmap!$D:$D,0)-1+COUNTIF($E160:R160,"u")+COUNTIF($E160:R160,"t")+COUNTIF($E160:R160,"¶")+COUNTIF($E160:R160,"²")+COUNTIF($E160:R160,"µ")+COUNTIF($E160:R160,1),ColDescriptionCourte)),""),
  "")),"")</f>
        <v/>
      </c>
      <c r="T160" s="40" t="str">
        <f ca="1">IFERROR(IF(AND(
  INDEX(Roadmap!$D:$K,MATCH($E160,Roadmap!$D:$D,0)+COUNTIF($E160:S160,"u")+COUNTIF($E160:S160,"t")+COUNTIF($E160:S160,"¶")+COUNTIF($E160:S160,"²")+COUNTIF($E160:S160,"µ")+COUNTIF($E160:S160,1),ColLivraison)=T$6,
  VLOOKUP($E160,INDIRECT("tri!"&amp; CHAR(64+ C0Col) &amp;":"&amp; CHAR(65+C0Col)),2,FALSE)&gt;COUNTIF($E160:S160,"u")+COUNTIF($E160:S160,"t")+COUNTIF($E160:S160,"¶")+COUNTIF($E160:S160,"²")+COUNTIF($E160:S160,"µ")+COUNTIF($E160:S160,1)),
HYPERLINK("#Roadmap!C"&amp; MATCH($E160,Roadmap!$D:$D,0)+COUNTIF($E160:S160,"u")+COUNTIF($E160:S160,"t"),
     INDEX(Roadmap!$D:$K,MATCH($E160,Roadmap!$D:$D,0)+COUNTIF($E160:S160,"u")+COUNTIF($E160:S160,"t")+COUNTIF($E160:S160,"¶")+COUNTIF($E160:S160,"²")+COUNTIF($E160:S160,"µ")+COUNTIF($E160:S160,1),ColTypeEcheance)),
  IF(LEN(S160)=1,
  IF(LEN(INDEX(Roadmap!$D:$K,MATCH($E160,Roadmap!$D:$D,0)-1+COUNTIF($E160:S160,"u")+COUNTIF($E160:S160,"t")+COUNTIF($E160:S160,"¶")+COUNTIF($E160:S160,"²")+COUNTIF($E160:S160,"µ")+COUNTIF($E160:S160,1),ColDescriptionCourte))&gt;1,
HYPERLINK("#Roadmap!C"&amp; MATCH($E160,Roadmap!$D:$D,0)+COUNTIF($E160:S160,"u")+COUNTIF($E160:S160,"t")+COUNTIF($E160:S160,"¶")+COUNTIF($E160:S160,"²")+COUNTIF($E160:S160,"µ")+COUNTIF($E160:S160,1)-1,INDEX(Roadmap!$D:$K,MATCH($E160,Roadmap!$D:$D,0)-1+COUNTIF($E160:S160,"u")+COUNTIF($E160:S160,"t")+COUNTIF($E160:S160,"¶")+COUNTIF($E160:S160,"²")+COUNTIF($E160:S160,"µ")+COUNTIF($E160:S160,1),ColDescriptionCourte)),""),
  "")),"")</f>
        <v/>
      </c>
      <c r="U160" s="40" t="str">
        <f ca="1">IFERROR(IF(AND(
  INDEX(Roadmap!$D:$K,MATCH($E160,Roadmap!$D:$D,0)+COUNTIF($E160:T160,"u")+COUNTIF($E160:T160,"t")+COUNTIF($E160:T160,"¶")+COUNTIF($E160:T160,"²")+COUNTIF($E160:T160,"µ")+COUNTIF($E160:T160,1),ColLivraison)=U$6,
  VLOOKUP($E160,INDIRECT("tri!"&amp; CHAR(64+ C0Col) &amp;":"&amp; CHAR(65+C0Col)),2,FALSE)&gt;COUNTIF($E160:T160,"u")+COUNTIF($E160:T160,"t")+COUNTIF($E160:T160,"¶")+COUNTIF($E160:T160,"²")+COUNTIF($E160:T160,"µ")+COUNTIF($E160:T160,1)),
HYPERLINK("#Roadmap!C"&amp; MATCH($E160,Roadmap!$D:$D,0)+COUNTIF($E160:T160,"u")+COUNTIF($E160:T160,"t"),
     INDEX(Roadmap!$D:$K,MATCH($E160,Roadmap!$D:$D,0)+COUNTIF($E160:T160,"u")+COUNTIF($E160:T160,"t")+COUNTIF($E160:T160,"¶")+COUNTIF($E160:T160,"²")+COUNTIF($E160:T160,"µ")+COUNTIF($E160:T160,1),ColTypeEcheance)),
  IF(LEN(T160)=1,
  IF(LEN(INDEX(Roadmap!$D:$K,MATCH($E160,Roadmap!$D:$D,0)-1+COUNTIF($E160:T160,"u")+COUNTIF($E160:T160,"t")+COUNTIF($E160:T160,"¶")+COUNTIF($E160:T160,"²")+COUNTIF($E160:T160,"µ")+COUNTIF($E160:T160,1),ColDescriptionCourte))&gt;1,
HYPERLINK("#Roadmap!C"&amp; MATCH($E160,Roadmap!$D:$D,0)+COUNTIF($E160:T160,"u")+COUNTIF($E160:T160,"t")+COUNTIF($E160:T160,"¶")+COUNTIF($E160:T160,"²")+COUNTIF($E160:T160,"µ")+COUNTIF($E160:T160,1)-1,INDEX(Roadmap!$D:$K,MATCH($E160,Roadmap!$D:$D,0)-1+COUNTIF($E160:T160,"u")+COUNTIF($E160:T160,"t")+COUNTIF($E160:T160,"¶")+COUNTIF($E160:T160,"²")+COUNTIF($E160:T160,"µ")+COUNTIF($E160:T160,1),ColDescriptionCourte)),""),
  "")),"")</f>
        <v/>
      </c>
      <c r="V160" s="40" t="str">
        <f ca="1">IFERROR(IF(AND(
  INDEX(Roadmap!$D:$K,MATCH($E160,Roadmap!$D:$D,0)+COUNTIF($E160:U160,"u")+COUNTIF($E160:U160,"t")+COUNTIF($E160:U160,"¶")+COUNTIF($E160:U160,"²")+COUNTIF($E160:U160,"µ")+COUNTIF($E160:U160,1),ColLivraison)=V$6,
  VLOOKUP($E160,INDIRECT("tri!"&amp; CHAR(64+ C0Col) &amp;":"&amp; CHAR(65+C0Col)),2,FALSE)&gt;COUNTIF($E160:U160,"u")+COUNTIF($E160:U160,"t")+COUNTIF($E160:U160,"¶")+COUNTIF($E160:U160,"²")+COUNTIF($E160:U160,"µ")+COUNTIF($E160:U160,1)),
HYPERLINK("#Roadmap!C"&amp; MATCH($E160,Roadmap!$D:$D,0)+COUNTIF($E160:U160,"u")+COUNTIF($E160:U160,"t"),
     INDEX(Roadmap!$D:$K,MATCH($E160,Roadmap!$D:$D,0)+COUNTIF($E160:U160,"u")+COUNTIF($E160:U160,"t")+COUNTIF($E160:U160,"¶")+COUNTIF($E160:U160,"²")+COUNTIF($E160:U160,"µ")+COUNTIF($E160:U160,1),ColTypeEcheance)),
  IF(LEN(U160)=1,
  IF(LEN(INDEX(Roadmap!$D:$K,MATCH($E160,Roadmap!$D:$D,0)-1+COUNTIF($E160:U160,"u")+COUNTIF($E160:U160,"t")+COUNTIF($E160:U160,"¶")+COUNTIF($E160:U160,"²")+COUNTIF($E160:U160,"µ")+COUNTIF($E160:U160,1),ColDescriptionCourte))&gt;1,
HYPERLINK("#Roadmap!C"&amp; MATCH($E160,Roadmap!$D:$D,0)+COUNTIF($E160:U160,"u")+COUNTIF($E160:U160,"t")+COUNTIF($E160:U160,"¶")+COUNTIF($E160:U160,"²")+COUNTIF($E160:U160,"µ")+COUNTIF($E160:U160,1)-1,INDEX(Roadmap!$D:$K,MATCH($E160,Roadmap!$D:$D,0)-1+COUNTIF($E160:U160,"u")+COUNTIF($E160:U160,"t")+COUNTIF($E160:U160,"¶")+COUNTIF($E160:U160,"²")+COUNTIF($E160:U160,"µ")+COUNTIF($E160:U160,1),ColDescriptionCourte)),""),
  "")),"")</f>
        <v/>
      </c>
      <c r="W160" s="40" t="str">
        <f ca="1">IFERROR(IF(AND(
  INDEX(Roadmap!$D:$K,MATCH($E160,Roadmap!$D:$D,0)+COUNTIF($E160:V160,"u")+COUNTIF($E160:V160,"t")+COUNTIF($E160:V160,"¶")+COUNTIF($E160:V160,"²")+COUNTIF($E160:V160,"µ")+COUNTIF($E160:V160,1),ColLivraison)=W$6,
  VLOOKUP($E160,INDIRECT("tri!"&amp; CHAR(64+ C0Col) &amp;":"&amp; CHAR(65+C0Col)),2,FALSE)&gt;COUNTIF($E160:V160,"u")+COUNTIF($E160:V160,"t")+COUNTIF($E160:V160,"¶")+COUNTIF($E160:V160,"²")+COUNTIF($E160:V160,"µ")+COUNTIF($E160:V160,1)),
HYPERLINK("#Roadmap!C"&amp; MATCH($E160,Roadmap!$D:$D,0)+COUNTIF($E160:V160,"u")+COUNTIF($E160:V160,"t"),
     INDEX(Roadmap!$D:$K,MATCH($E160,Roadmap!$D:$D,0)+COUNTIF($E160:V160,"u")+COUNTIF($E160:V160,"t")+COUNTIF($E160:V160,"¶")+COUNTIF($E160:V160,"²")+COUNTIF($E160:V160,"µ")+COUNTIF($E160:V160,1),ColTypeEcheance)),
  IF(LEN(V160)=1,
  IF(LEN(INDEX(Roadmap!$D:$K,MATCH($E160,Roadmap!$D:$D,0)-1+COUNTIF($E160:V160,"u")+COUNTIF($E160:V160,"t")+COUNTIF($E160:V160,"¶")+COUNTIF($E160:V160,"²")+COUNTIF($E160:V160,"µ")+COUNTIF($E160:V160,1),ColDescriptionCourte))&gt;1,
HYPERLINK("#Roadmap!C"&amp; MATCH($E160,Roadmap!$D:$D,0)+COUNTIF($E160:V160,"u")+COUNTIF($E160:V160,"t")+COUNTIF($E160:V160,"¶")+COUNTIF($E160:V160,"²")+COUNTIF($E160:V160,"µ")+COUNTIF($E160:V160,1)-1,INDEX(Roadmap!$D:$K,MATCH($E160,Roadmap!$D:$D,0)-1+COUNTIF($E160:V160,"u")+COUNTIF($E160:V160,"t")+COUNTIF($E160:V160,"¶")+COUNTIF($E160:V160,"²")+COUNTIF($E160:V160,"µ")+COUNTIF($E160:V160,1),ColDescriptionCourte)),""),
  "")),"")</f>
        <v/>
      </c>
      <c r="X160" s="40" t="str">
        <f ca="1">IFERROR(IF(AND(
  INDEX(Roadmap!$D:$K,MATCH($E160,Roadmap!$D:$D,0)+COUNTIF($E160:W160,"u")+COUNTIF($E160:W160,"t")+COUNTIF($E160:W160,"¶")+COUNTIF($E160:W160,"²")+COUNTIF($E160:W160,"µ")+COUNTIF($E160:W160,1),ColLivraison)=X$6,
  VLOOKUP($E160,INDIRECT("tri!"&amp; CHAR(64+ C0Col) &amp;":"&amp; CHAR(65+C0Col)),2,FALSE)&gt;COUNTIF($E160:W160,"u")+COUNTIF($E160:W160,"t")+COUNTIF($E160:W160,"¶")+COUNTIF($E160:W160,"²")+COUNTIF($E160:W160,"µ")+COUNTIF($E160:W160,1)),
HYPERLINK("#Roadmap!C"&amp; MATCH($E160,Roadmap!$D:$D,0)+COUNTIF($E160:W160,"u")+COUNTIF($E160:W160,"t"),
     INDEX(Roadmap!$D:$K,MATCH($E160,Roadmap!$D:$D,0)+COUNTIF($E160:W160,"u")+COUNTIF($E160:W160,"t")+COUNTIF($E160:W160,"¶")+COUNTIF($E160:W160,"²")+COUNTIF($E160:W160,"µ")+COUNTIF($E160:W160,1),ColTypeEcheance)),
  IF(LEN(W160)=1,
  IF(LEN(INDEX(Roadmap!$D:$K,MATCH($E160,Roadmap!$D:$D,0)-1+COUNTIF($E160:W160,"u")+COUNTIF($E160:W160,"t")+COUNTIF($E160:W160,"¶")+COUNTIF($E160:W160,"²")+COUNTIF($E160:W160,"µ")+COUNTIF($E160:W160,1),ColDescriptionCourte))&gt;1,
HYPERLINK("#Roadmap!C"&amp; MATCH($E160,Roadmap!$D:$D,0)+COUNTIF($E160:W160,"u")+COUNTIF($E160:W160,"t")+COUNTIF($E160:W160,"¶")+COUNTIF($E160:W160,"²")+COUNTIF($E160:W160,"µ")+COUNTIF($E160:W160,1)-1,INDEX(Roadmap!$D:$K,MATCH($E160,Roadmap!$D:$D,0)-1+COUNTIF($E160:W160,"u")+COUNTIF($E160:W160,"t")+COUNTIF($E160:W160,"¶")+COUNTIF($E160:W160,"²")+COUNTIF($E160:W160,"µ")+COUNTIF($E160:W160,1),ColDescriptionCourte)),""),
  "")),"")</f>
        <v/>
      </c>
      <c r="Y160" s="40" t="str">
        <f ca="1">IFERROR(IF(AND(
  INDEX(Roadmap!$D:$K,MATCH($E160,Roadmap!$D:$D,0)+COUNTIF($E160:X160,"u")+COUNTIF($E160:X160,"t")+COUNTIF($E160:X160,"¶")+COUNTIF($E160:X160,"²")+COUNTIF($E160:X160,"µ")+COUNTIF($E160:X160,1),ColLivraison)=Y$6,
  VLOOKUP($E160,INDIRECT("tri!"&amp; CHAR(64+ C0Col) &amp;":"&amp; CHAR(65+C0Col)),2,FALSE)&gt;COUNTIF($E160:X160,"u")+COUNTIF($E160:X160,"t")+COUNTIF($E160:X160,"¶")+COUNTIF($E160:X160,"²")+COUNTIF($E160:X160,"µ")+COUNTIF($E160:X160,1)),
HYPERLINK("#Roadmap!C"&amp; MATCH($E160,Roadmap!$D:$D,0)+COUNTIF($E160:X160,"u")+COUNTIF($E160:X160,"t"),
     INDEX(Roadmap!$D:$K,MATCH($E160,Roadmap!$D:$D,0)+COUNTIF($E160:X160,"u")+COUNTIF($E160:X160,"t")+COUNTIF($E160:X160,"¶")+COUNTIF($E160:X160,"²")+COUNTIF($E160:X160,"µ")+COUNTIF($E160:X160,1),ColTypeEcheance)),
  IF(LEN(X160)=1,
  IF(LEN(INDEX(Roadmap!$D:$K,MATCH($E160,Roadmap!$D:$D,0)-1+COUNTIF($E160:X160,"u")+COUNTIF($E160:X160,"t")+COUNTIF($E160:X160,"¶")+COUNTIF($E160:X160,"²")+COUNTIF($E160:X160,"µ")+COUNTIF($E160:X160,1),ColDescriptionCourte))&gt;1,
HYPERLINK("#Roadmap!C"&amp; MATCH($E160,Roadmap!$D:$D,0)+COUNTIF($E160:X160,"u")+COUNTIF($E160:X160,"t")+COUNTIF($E160:X160,"¶")+COUNTIF($E160:X160,"²")+COUNTIF($E160:X160,"µ")+COUNTIF($E160:X160,1)-1,INDEX(Roadmap!$D:$K,MATCH($E160,Roadmap!$D:$D,0)-1+COUNTIF($E160:X160,"u")+COUNTIF($E160:X160,"t")+COUNTIF($E160:X160,"¶")+COUNTIF($E160:X160,"²")+COUNTIF($E160:X160,"µ")+COUNTIF($E160:X160,1),ColDescriptionCourte)),""),
  "")),"")</f>
        <v/>
      </c>
      <c r="Z160" s="40" t="str">
        <f ca="1">IFERROR(IF(AND(
  INDEX(Roadmap!$D:$K,MATCH($E160,Roadmap!$D:$D,0)+COUNTIF($E160:Y160,"u")+COUNTIF($E160:Y160,"t")+COUNTIF($E160:Y160,"¶")+COUNTIF($E160:Y160,"²")+COUNTIF($E160:Y160,"µ")+COUNTIF($E160:Y160,1),ColLivraison)=Z$6,
  VLOOKUP($E160,INDIRECT("tri!"&amp; CHAR(64+ C0Col) &amp;":"&amp; CHAR(65+C0Col)),2,FALSE)&gt;COUNTIF($E160:Y160,"u")+COUNTIF($E160:Y160,"t")+COUNTIF($E160:Y160,"¶")+COUNTIF($E160:Y160,"²")+COUNTIF($E160:Y160,"µ")+COUNTIF($E160:Y160,1)),
HYPERLINK("#Roadmap!C"&amp; MATCH($E160,Roadmap!$D:$D,0)+COUNTIF($E160:Y160,"u")+COUNTIF($E160:Y160,"t"),
     INDEX(Roadmap!$D:$K,MATCH($E160,Roadmap!$D:$D,0)+COUNTIF($E160:Y160,"u")+COUNTIF($E160:Y160,"t")+COUNTIF($E160:Y160,"¶")+COUNTIF($E160:Y160,"²")+COUNTIF($E160:Y160,"µ")+COUNTIF($E160:Y160,1),ColTypeEcheance)),
  IF(LEN(Y160)=1,
  IF(LEN(INDEX(Roadmap!$D:$K,MATCH($E160,Roadmap!$D:$D,0)-1+COUNTIF($E160:Y160,"u")+COUNTIF($E160:Y160,"t")+COUNTIF($E160:Y160,"¶")+COUNTIF($E160:Y160,"²")+COUNTIF($E160:Y160,"µ")+COUNTIF($E160:Y160,1),ColDescriptionCourte))&gt;1,
HYPERLINK("#Roadmap!C"&amp; MATCH($E160,Roadmap!$D:$D,0)+COUNTIF($E160:Y160,"u")+COUNTIF($E160:Y160,"t")+COUNTIF($E160:Y160,"¶")+COUNTIF($E160:Y160,"²")+COUNTIF($E160:Y160,"µ")+COUNTIF($E160:Y160,1)-1,INDEX(Roadmap!$D:$K,MATCH($E160,Roadmap!$D:$D,0)-1+COUNTIF($E160:Y160,"u")+COUNTIF($E160:Y160,"t")+COUNTIF($E160:Y160,"¶")+COUNTIF($E160:Y160,"²")+COUNTIF($E160:Y160,"µ")+COUNTIF($E160:Y160,1),ColDescriptionCourte)),""),
  "")),"")</f>
        <v/>
      </c>
      <c r="AA160" s="40" t="str">
        <f ca="1">IFERROR(IF(AND(
  INDEX(Roadmap!$D:$K,MATCH($E160,Roadmap!$D:$D,0)+COUNTIF($E160:Z160,"u")+COUNTIF($E160:Z160,"t")+COUNTIF($E160:Z160,"¶")+COUNTIF($E160:Z160,"²")+COUNTIF($E160:Z160,"µ")+COUNTIF($E160:Z160,1),ColLivraison)=AA$6,
  VLOOKUP($E160,INDIRECT("tri!"&amp; CHAR(64+ C0Col) &amp;":"&amp; CHAR(65+C0Col)),2,FALSE)&gt;COUNTIF($E160:Z160,"u")+COUNTIF($E160:Z160,"t")+COUNTIF($E160:Z160,"¶")+COUNTIF($E160:Z160,"²")+COUNTIF($E160:Z160,"µ")+COUNTIF($E160:Z160,1)),
HYPERLINK("#Roadmap!C"&amp; MATCH($E160,Roadmap!$D:$D,0)+COUNTIF($E160:Z160,"u")+COUNTIF($E160:Z160,"t"),
     INDEX(Roadmap!$D:$K,MATCH($E160,Roadmap!$D:$D,0)+COUNTIF($E160:Z160,"u")+COUNTIF($E160:Z160,"t")+COUNTIF($E160:Z160,"¶")+COUNTIF($E160:Z160,"²")+COUNTIF($E160:Z160,"µ")+COUNTIF($E160:Z160,1),ColTypeEcheance)),
  IF(LEN(Z160)=1,
  IF(LEN(INDEX(Roadmap!$D:$K,MATCH($E160,Roadmap!$D:$D,0)-1+COUNTIF($E160:Z160,"u")+COUNTIF($E160:Z160,"t")+COUNTIF($E160:Z160,"¶")+COUNTIF($E160:Z160,"²")+COUNTIF($E160:Z160,"µ")+COUNTIF($E160:Z160,1),ColDescriptionCourte))&gt;1,
HYPERLINK("#Roadmap!C"&amp; MATCH($E160,Roadmap!$D:$D,0)+COUNTIF($E160:Z160,"u")+COUNTIF($E160:Z160,"t")+COUNTIF($E160:Z160,"¶")+COUNTIF($E160:Z160,"²")+COUNTIF($E160:Z160,"µ")+COUNTIF($E160:Z160,1)-1,INDEX(Roadmap!$D:$K,MATCH($E160,Roadmap!$D:$D,0)-1+COUNTIF($E160:Z160,"u")+COUNTIF($E160:Z160,"t")+COUNTIF($E160:Z160,"¶")+COUNTIF($E160:Z160,"²")+COUNTIF($E160:Z160,"µ")+COUNTIF($E160:Z160,1),ColDescriptionCourte)),""),
  "")),"")</f>
        <v/>
      </c>
      <c r="AB160" s="40" t="str">
        <f ca="1">IFERROR(IF(AND(
  INDEX(Roadmap!$D:$K,MATCH($E160,Roadmap!$D:$D,0)+COUNTIF($E160:AA160,"u")+COUNTIF($E160:AA160,"t")+COUNTIF($E160:AA160,"¶")+COUNTIF($E160:AA160,"²")+COUNTIF($E160:AA160,"µ")+COUNTIF($E160:AA160,1),ColLivraison)=AB$6,
  VLOOKUP($E160,INDIRECT("tri!"&amp; CHAR(64+ C0Col) &amp;":"&amp; CHAR(65+C0Col)),2,FALSE)&gt;COUNTIF($E160:AA160,"u")+COUNTIF($E160:AA160,"t")+COUNTIF($E160:AA160,"¶")+COUNTIF($E160:AA160,"²")+COUNTIF($E160:AA160,"µ")+COUNTIF($E160:AA160,1)),
HYPERLINK("#Roadmap!C"&amp; MATCH($E160,Roadmap!$D:$D,0)+COUNTIF($E160:AA160,"u")+COUNTIF($E160:AA160,"t"),
     INDEX(Roadmap!$D:$K,MATCH($E160,Roadmap!$D:$D,0)+COUNTIF($E160:AA160,"u")+COUNTIF($E160:AA160,"t")+COUNTIF($E160:AA160,"¶")+COUNTIF($E160:AA160,"²")+COUNTIF($E160:AA160,"µ")+COUNTIF($E160:AA160,1),ColTypeEcheance)),
  IF(LEN(AA160)=1,
  IF(LEN(INDEX(Roadmap!$D:$K,MATCH($E160,Roadmap!$D:$D,0)-1+COUNTIF($E160:AA160,"u")+COUNTIF($E160:AA160,"t")+COUNTIF($E160:AA160,"¶")+COUNTIF($E160:AA160,"²")+COUNTIF($E160:AA160,"µ")+COUNTIF($E160:AA160,1),ColDescriptionCourte))&gt;1,
HYPERLINK("#Roadmap!C"&amp; MATCH($E160,Roadmap!$D:$D,0)+COUNTIF($E160:AA160,"u")+COUNTIF($E160:AA160,"t")+COUNTIF($E160:AA160,"¶")+COUNTIF($E160:AA160,"²")+COUNTIF($E160:AA160,"µ")+COUNTIF($E160:AA160,1)-1,INDEX(Roadmap!$D:$K,MATCH($E160,Roadmap!$D:$D,0)-1+COUNTIF($E160:AA160,"u")+COUNTIF($E160:AA160,"t")+COUNTIF($E160:AA160,"¶")+COUNTIF($E160:AA160,"²")+COUNTIF($E160:AA160,"µ")+COUNTIF($E160:AA160,1),ColDescriptionCourte)),""),
  "")),"")</f>
        <v/>
      </c>
      <c r="AC160" s="40" t="str">
        <f ca="1">IFERROR(IF(AND(
  INDEX(Roadmap!$D:$K,MATCH($E160,Roadmap!$D:$D,0)+COUNTIF($E160:AB160,"u")+COUNTIF($E160:AB160,"t")+COUNTIF($E160:AB160,"¶")+COUNTIF($E160:AB160,"²")+COUNTIF($E160:AB160,"µ")+COUNTIF($E160:AB160,1),ColLivraison)=AC$6,
  VLOOKUP($E160,INDIRECT("tri!"&amp; CHAR(64+ C0Col) &amp;":"&amp; CHAR(65+C0Col)),2,FALSE)&gt;COUNTIF($E160:AB160,"u")+COUNTIF($E160:AB160,"t")+COUNTIF($E160:AB160,"¶")+COUNTIF($E160:AB160,"²")+COUNTIF($E160:AB160,"µ")+COUNTIF($E160:AB160,1)),
HYPERLINK("#Roadmap!C"&amp; MATCH($E160,Roadmap!$D:$D,0)+COUNTIF($E160:AB160,"u")+COUNTIF($E160:AB160,"t"),
     INDEX(Roadmap!$D:$K,MATCH($E160,Roadmap!$D:$D,0)+COUNTIF($E160:AB160,"u")+COUNTIF($E160:AB160,"t")+COUNTIF($E160:AB160,"¶")+COUNTIF($E160:AB160,"²")+COUNTIF($E160:AB160,"µ")+COUNTIF($E160:AB160,1),ColTypeEcheance)),
  IF(LEN(AB160)=1,
  IF(LEN(INDEX(Roadmap!$D:$K,MATCH($E160,Roadmap!$D:$D,0)-1+COUNTIF($E160:AB160,"u")+COUNTIF($E160:AB160,"t")+COUNTIF($E160:AB160,"¶")+COUNTIF($E160:AB160,"²")+COUNTIF($E160:AB160,"µ")+COUNTIF($E160:AB160,1),ColDescriptionCourte))&gt;1,
HYPERLINK("#Roadmap!C"&amp; MATCH($E160,Roadmap!$D:$D,0)+COUNTIF($E160:AB160,"u")+COUNTIF($E160:AB160,"t")+COUNTIF($E160:AB160,"¶")+COUNTIF($E160:AB160,"²")+COUNTIF($E160:AB160,"µ")+COUNTIF($E160:AB160,1)-1,INDEX(Roadmap!$D:$K,MATCH($E160,Roadmap!$D:$D,0)-1+COUNTIF($E160:AB160,"u")+COUNTIF($E160:AB160,"t")+COUNTIF($E160:AB160,"¶")+COUNTIF($E160:AB160,"²")+COUNTIF($E160:AB160,"µ")+COUNTIF($E160:AB160,1),ColDescriptionCourte)),""),
  "")),"")</f>
        <v/>
      </c>
      <c r="AD160" s="40" t="str">
        <f ca="1">IFERROR(IF(AND(
  INDEX(Roadmap!$D:$K,MATCH($E160,Roadmap!$D:$D,0)+COUNTIF($E160:AC160,"u")+COUNTIF($E160:AC160,"t")+COUNTIF($E160:AC160,"¶")+COUNTIF($E160:AC160,"²")+COUNTIF($E160:AC160,"µ")+COUNTIF($E160:AC160,1),ColLivraison)=AD$6,
  VLOOKUP($E160,INDIRECT("tri!"&amp; CHAR(64+ C0Col) &amp;":"&amp; CHAR(65+C0Col)),2,FALSE)&gt;COUNTIF($E160:AC160,"u")+COUNTIF($E160:AC160,"t")+COUNTIF($E160:AC160,"¶")+COUNTIF($E160:AC160,"²")+COUNTIF($E160:AC160,"µ")+COUNTIF($E160:AC160,1)),
HYPERLINK("#Roadmap!C"&amp; MATCH($E160,Roadmap!$D:$D,0)+COUNTIF($E160:AC160,"u")+COUNTIF($E160:AC160,"t"),
     INDEX(Roadmap!$D:$K,MATCH($E160,Roadmap!$D:$D,0)+COUNTIF($E160:AC160,"u")+COUNTIF($E160:AC160,"t")+COUNTIF($E160:AC160,"¶")+COUNTIF($E160:AC160,"²")+COUNTIF($E160:AC160,"µ")+COUNTIF($E160:AC160,1),ColTypeEcheance)),
  IF(LEN(AC160)=1,
  IF(LEN(INDEX(Roadmap!$D:$K,MATCH($E160,Roadmap!$D:$D,0)-1+COUNTIF($E160:AC160,"u")+COUNTIF($E160:AC160,"t")+COUNTIF($E160:AC160,"¶")+COUNTIF($E160:AC160,"²")+COUNTIF($E160:AC160,"µ")+COUNTIF($E160:AC160,1),ColDescriptionCourte))&gt;1,
HYPERLINK("#Roadmap!C"&amp; MATCH($E160,Roadmap!$D:$D,0)+COUNTIF($E160:AC160,"u")+COUNTIF($E160:AC160,"t")+COUNTIF($E160:AC160,"¶")+COUNTIF($E160:AC160,"²")+COUNTIF($E160:AC160,"µ")+COUNTIF($E160:AC160,1)-1,INDEX(Roadmap!$D:$K,MATCH($E160,Roadmap!$D:$D,0)-1+COUNTIF($E160:AC160,"u")+COUNTIF($E160:AC160,"t")+COUNTIF($E160:AC160,"¶")+COUNTIF($E160:AC160,"²")+COUNTIF($E160:AC160,"µ")+COUNTIF($E160:AC160,1),ColDescriptionCourte)),""),
  "")),"")</f>
        <v/>
      </c>
      <c r="AE160" s="40" t="str">
        <f ca="1">IFERROR(IF(AND(
  INDEX(Roadmap!$D:$K,MATCH($E160,Roadmap!$D:$D,0)+COUNTIF($E160:AD160,"u")+COUNTIF($E160:AD160,"t")+COUNTIF($E160:AD160,"¶")+COUNTIF($E160:AD160,"²")+COUNTIF($E160:AD160,"µ")+COUNTIF($E160:AD160,1),ColLivraison)=AE$6,
  VLOOKUP($E160,INDIRECT("tri!"&amp; CHAR(64+ C0Col) &amp;":"&amp; CHAR(65+C0Col)),2,FALSE)&gt;COUNTIF($E160:AD160,"u")+COUNTIF($E160:AD160,"t")+COUNTIF($E160:AD160,"¶")+COUNTIF($E160:AD160,"²")+COUNTIF($E160:AD160,"µ")+COUNTIF($E160:AD160,1)),
HYPERLINK("#Roadmap!C"&amp; MATCH($E160,Roadmap!$D:$D,0)+COUNTIF($E160:AD160,"u")+COUNTIF($E160:AD160,"t"),
     INDEX(Roadmap!$D:$K,MATCH($E160,Roadmap!$D:$D,0)+COUNTIF($E160:AD160,"u")+COUNTIF($E160:AD160,"t")+COUNTIF($E160:AD160,"¶")+COUNTIF($E160:AD160,"²")+COUNTIF($E160:AD160,"µ")+COUNTIF($E160:AD160,1),ColTypeEcheance)),
  IF(LEN(AD160)=1,
  IF(LEN(INDEX(Roadmap!$D:$K,MATCH($E160,Roadmap!$D:$D,0)-1+COUNTIF($E160:AD160,"u")+COUNTIF($E160:AD160,"t")+COUNTIF($E160:AD160,"¶")+COUNTIF($E160:AD160,"²")+COUNTIF($E160:AD160,"µ")+COUNTIF($E160:AD160,1),ColDescriptionCourte))&gt;1,
HYPERLINK("#Roadmap!C"&amp; MATCH($E160,Roadmap!$D:$D,0)+COUNTIF($E160:AD160,"u")+COUNTIF($E160:AD160,"t")+COUNTIF($E160:AD160,"¶")+COUNTIF($E160:AD160,"²")+COUNTIF($E160:AD160,"µ")+COUNTIF($E160:AD160,1)-1,INDEX(Roadmap!$D:$K,MATCH($E160,Roadmap!$D:$D,0)-1+COUNTIF($E160:AD160,"u")+COUNTIF($E160:AD160,"t")+COUNTIF($E160:AD160,"¶")+COUNTIF($E160:AD160,"²")+COUNTIF($E160:AD160,"µ")+COUNTIF($E160:AD160,1),ColDescriptionCourte)),""),
  "")),"")</f>
        <v/>
      </c>
      <c r="AF160" s="40" t="str">
        <f ca="1">IFERROR(IF(AND(
  INDEX(Roadmap!$D:$K,MATCH($E160,Roadmap!$D:$D,0)+COUNTIF($E160:AE160,"u")+COUNTIF($E160:AE160,"t")+COUNTIF($E160:AE160,"¶")+COUNTIF($E160:AE160,"²")+COUNTIF($E160:AE160,"µ")+COUNTIF($E160:AE160,1),ColLivraison)=AF$6,
  VLOOKUP($E160,INDIRECT("tri!"&amp; CHAR(64+ C0Col) &amp;":"&amp; CHAR(65+C0Col)),2,FALSE)&gt;COUNTIF($E160:AE160,"u")+COUNTIF($E160:AE160,"t")+COUNTIF($E160:AE160,"¶")+COUNTIF($E160:AE160,"²")+COUNTIF($E160:AE160,"µ")+COUNTIF($E160:AE160,1)),
HYPERLINK("#Roadmap!C"&amp; MATCH($E160,Roadmap!$D:$D,0)+COUNTIF($E160:AE160,"u")+COUNTIF($E160:AE160,"t"),
     INDEX(Roadmap!$D:$K,MATCH($E160,Roadmap!$D:$D,0)+COUNTIF($E160:AE160,"u")+COUNTIF($E160:AE160,"t")+COUNTIF($E160:AE160,"¶")+COUNTIF($E160:AE160,"²")+COUNTIF($E160:AE160,"µ")+COUNTIF($E160:AE160,1),ColTypeEcheance)),
  IF(LEN(AE160)=1,
  IF(LEN(INDEX(Roadmap!$D:$K,MATCH($E160,Roadmap!$D:$D,0)-1+COUNTIF($E160:AE160,"u")+COUNTIF($E160:AE160,"t")+COUNTIF($E160:AE160,"¶")+COUNTIF($E160:AE160,"²")+COUNTIF($E160:AE160,"µ")+COUNTIF($E160:AE160,1),ColDescriptionCourte))&gt;1,
HYPERLINK("#Roadmap!C"&amp; MATCH($E160,Roadmap!$D:$D,0)+COUNTIF($E160:AE160,"u")+COUNTIF($E160:AE160,"t")+COUNTIF($E160:AE160,"¶")+COUNTIF($E160:AE160,"²")+COUNTIF($E160:AE160,"µ")+COUNTIF($E160:AE160,1)-1,INDEX(Roadmap!$D:$K,MATCH($E160,Roadmap!$D:$D,0)-1+COUNTIF($E160:AE160,"u")+COUNTIF($E160:AE160,"t")+COUNTIF($E160:AE160,"¶")+COUNTIF($E160:AE160,"²")+COUNTIF($E160:AE160,"µ")+COUNTIF($E160:AE160,1),ColDescriptionCourte)),""),
  "")),"")</f>
        <v/>
      </c>
      <c r="AG160" s="40" t="str">
        <f ca="1">IFERROR(IF(AND(
  INDEX(Roadmap!$D:$K,MATCH($E160,Roadmap!$D:$D,0)+COUNTIF($E160:AF160,"u")+COUNTIF($E160:AF160,"t")+COUNTIF($E160:AF160,"¶")+COUNTIF($E160:AF160,"²")+COUNTIF($E160:AF160,"µ")+COUNTIF($E160:AF160,1),ColLivraison)=AG$6,
  VLOOKUP($E160,INDIRECT("tri!"&amp; CHAR(64+ C0Col) &amp;":"&amp; CHAR(65+C0Col)),2,FALSE)&gt;COUNTIF($E160:AF160,"u")+COUNTIF($E160:AF160,"t")+COUNTIF($E160:AF160,"¶")+COUNTIF($E160:AF160,"²")+COUNTIF($E160:AF160,"µ")+COUNTIF($E160:AF160,1)),
HYPERLINK("#Roadmap!C"&amp; MATCH($E160,Roadmap!$D:$D,0)+COUNTIF($E160:AF160,"u")+COUNTIF($E160:AF160,"t"),
     INDEX(Roadmap!$D:$K,MATCH($E160,Roadmap!$D:$D,0)+COUNTIF($E160:AF160,"u")+COUNTIF($E160:AF160,"t")+COUNTIF($E160:AF160,"¶")+COUNTIF($E160:AF160,"²")+COUNTIF($E160:AF160,"µ")+COUNTIF($E160:AF160,1),ColTypeEcheance)),
  IF(LEN(AF160)=1,
  IF(LEN(INDEX(Roadmap!$D:$K,MATCH($E160,Roadmap!$D:$D,0)-1+COUNTIF($E160:AF160,"u")+COUNTIF($E160:AF160,"t")+COUNTIF($E160:AF160,"¶")+COUNTIF($E160:AF160,"²")+COUNTIF($E160:AF160,"µ")+COUNTIF($E160:AF160,1),ColDescriptionCourte))&gt;1,
HYPERLINK("#Roadmap!C"&amp; MATCH($E160,Roadmap!$D:$D,0)+COUNTIF($E160:AF160,"u")+COUNTIF($E160:AF160,"t")+COUNTIF($E160:AF160,"¶")+COUNTIF($E160:AF160,"²")+COUNTIF($E160:AF160,"µ")+COUNTIF($E160:AF160,1)-1,INDEX(Roadmap!$D:$K,MATCH($E160,Roadmap!$D:$D,0)-1+COUNTIF($E160:AF160,"u")+COUNTIF($E160:AF160,"t")+COUNTIF($E160:AF160,"¶")+COUNTIF($E160:AF160,"²")+COUNTIF($E160:AF160,"µ")+COUNTIF($E160:AF160,1),ColDescriptionCourte)),""),
  "")),"")</f>
        <v/>
      </c>
      <c r="AH160" s="40" t="str">
        <f ca="1">IFERROR(IF(AND(
  INDEX(Roadmap!$D:$K,MATCH($E160,Roadmap!$D:$D,0)+COUNTIF($E160:AG160,"u")+COUNTIF($E160:AG160,"t")+COUNTIF($E160:AG160,1),ColLivraison)=AH$6,
  VLOOKUP($E160,INDIRECT("tri!"&amp; CHAR(64+ C0Col) &amp;":"&amp; CHAR(65+C0Col)),2,FALSE)&gt;COUNTIF($E160:AG160,"u")+COUNTIF($E160:AG160,"t")+COUNTIF($E160:AG160,1)),
HYPERLINK("#Roadmap!C"&amp; MATCH($E160,Roadmap!$D:$D,0)+COUNTIF($E160:AG160,"u")+COUNTIF($E160:AG160,"t"),
     INDEX(Roadmap!$D:$K,MATCH($E160,Roadmap!$D:$D,0)+COUNTIF($E160:AG160,"u")+COUNTIF($E160:AG160,"t")+COUNTIF($E160:AG160,1),ColTypeEcheance)),
  IF(OR(AG160="u",AG160="t",AG160=1),
  IF(LEN(INDEX(Roadmap!$D:$K,MATCH($E160,Roadmap!$D:$D,0)-1+COUNTIF($E160:AG160,"u")+COUNTIF($E160:AG160,"t")+COUNTIF($E160:AG160,1),ColDescriptionCourte))&gt;1,
HYPERLINK("#Roadmap!C"&amp; MATCH($E160,Roadmap!$D:$D,0)+COUNTIF($E160:AG160,"u")+COUNTIF($E160:AG160,"t")+COUNTIF($E160:AG160,1)-1,INDEX(Roadmap!$D:$K,MATCH($E160,Roadmap!$D:$D,0)-1+COUNTIF($E160:AG160,"u")+COUNTIF($E160:AG160,"t")+COUNTIF($E160:AG160,1),ColDescriptionCourte)),""),
  "")),"")</f>
        <v/>
      </c>
      <c r="AI160" s="40"/>
      <c r="AJ160" s="40"/>
      <c r="AK160" s="40"/>
      <c r="AL160" s="40"/>
      <c r="AM160" s="40"/>
    </row>
    <row r="161" spans="4:39" ht="14.1" customHeight="1">
      <c r="D161" s="20" t="str">
        <f t="shared" ca="1" si="31"/>
        <v/>
      </c>
      <c r="E161" s="53" t="str">
        <f t="shared" ca="1" si="32"/>
        <v/>
      </c>
      <c r="F161" s="39" t="str">
        <f ca="1">IFERROR(IF(AND(
  INDEX(Roadmap!$D:$K,MATCH($E161,Roadmap!$D:$D,0)+COUNTIF($E161:E161,"u")+COUNTIF($E161:E161,"t")+COUNTIF($E161:E161,"¶")+COUNTIF($E161:E161,"²")+COUNTIF($E161:E161,"µ")+COUNTIF($E161:E161,1),ColLivraison)=F$6,
  VLOOKUP($E161,INDIRECT("tri!"&amp; CHAR(64+ C0Col) &amp;":"&amp; CHAR(65+C0Col)),2,FALSE)&gt;COUNTIF($E161:E161,"u")+COUNTIF($E161:E161,"t")+COUNTIF($E161:E161,"¶")+COUNTIF($E161:E161,"²")+COUNTIF($E161:E161,"µ")+COUNTIF($E161:E161,1)),
HYPERLINK("#Roadmap!C"&amp; MATCH($E161,Roadmap!$D:$D,0)+COUNTIF($E161:E161,"u")+COUNTIF($E161:E161,"t"),
     INDEX(Roadmap!$D:$K,MATCH($E161,Roadmap!$D:$D,0)+COUNTIF($E161:E161,"u")+COUNTIF($E161:E161,"t")+COUNTIF($E161:E161,"¶")+COUNTIF($E161:E161,"²")+COUNTIF($E161:E161,"µ")+COUNTIF($E161:E161,1),ColTypeEcheance)),
  IF(LEN(E161)=1,
  IF(LEN(INDEX(Roadmap!$D:$K,MATCH($E161,Roadmap!$D:$D,0)-1+COUNTIF($E161:E161,"u")+COUNTIF($E161:E161,"t")+COUNTIF($E161:E161,"¶")+COUNTIF($E161:E161,"²")+COUNTIF($E161:E161,"µ")+COUNTIF($E161:E161,1),ColDescriptionCourte))&gt;1,
HYPERLINK("#Roadmap!C"&amp; MATCH($E161,Roadmap!$D:$D,0)+COUNTIF($E161:E161,"u")+COUNTIF($E161:E161,"t")+COUNTIF($E161:E161,"¶")+COUNTIF($E161:E161,"²")+COUNTIF($E161:E161,"µ")+COUNTIF($E161:E161,1)-1,INDEX(Roadmap!$D:$K,MATCH($E161,Roadmap!$D:$D,0)-1+COUNTIF($E161:E161,"u")+COUNTIF($E161:E161,"t")+COUNTIF($E161:E161,"¶")+COUNTIF($E161:E161,"²")+COUNTIF($E161:E161,"µ")+COUNTIF($E161:E161,1),ColDescriptionCourte)),""),
  "")),"")</f>
        <v/>
      </c>
      <c r="G161" s="40" t="str">
        <f ca="1">IFERROR(IF(AND(
  INDEX(Roadmap!$D:$K,MATCH($E161,Roadmap!$D:$D,0)+COUNTIF($E161:F161,"u")+COUNTIF($E161:F161,"t")+COUNTIF($E161:F161,"¶")+COUNTIF($E161:F161,"²")+COUNTIF($E161:F161,"µ")+COUNTIF($E161:F161,1),ColLivraison)=G$6,
  VLOOKUP($E161,INDIRECT("tri!"&amp; CHAR(64+ C0Col) &amp;":"&amp; CHAR(65+C0Col)),2,FALSE)&gt;COUNTIF($E161:F161,"u")+COUNTIF($E161:F161,"t")+COUNTIF($E161:F161,"¶")+COUNTIF($E161:F161,"²")+COUNTIF($E161:F161,"µ")+COUNTIF($E161:F161,1)),
HYPERLINK("#Roadmap!C"&amp; MATCH($E161,Roadmap!$D:$D,0)+COUNTIF($E161:F161,"u")+COUNTIF($E161:F161,"t"),
     INDEX(Roadmap!$D:$K,MATCH($E161,Roadmap!$D:$D,0)+COUNTIF($E161:F161,"u")+COUNTIF($E161:F161,"t")+COUNTIF($E161:F161,"¶")+COUNTIF($E161:F161,"²")+COUNTIF($E161:F161,"µ")+COUNTIF($E161:F161,1),ColTypeEcheance)),
  IF(LEN(F161)=1,
  IF(LEN(INDEX(Roadmap!$D:$K,MATCH($E161,Roadmap!$D:$D,0)-1+COUNTIF($E161:F161,"u")+COUNTIF($E161:F161,"t")+COUNTIF($E161:F161,"¶")+COUNTIF($E161:F161,"²")+COUNTIF($E161:F161,"µ")+COUNTIF($E161:F161,1),ColDescriptionCourte))&gt;1,
HYPERLINK("#Roadmap!C"&amp; MATCH($E161,Roadmap!$D:$D,0)+COUNTIF($E161:F161,"u")+COUNTIF($E161:F161,"t")+COUNTIF($E161:F161,"¶")+COUNTIF($E161:F161,"²")+COUNTIF($E161:F161,"µ")+COUNTIF($E161:F161,1)-1,INDEX(Roadmap!$D:$K,MATCH($E161,Roadmap!$D:$D,0)-1+COUNTIF($E161:F161,"u")+COUNTIF($E161:F161,"t")+COUNTIF($E161:F161,"¶")+COUNTIF($E161:F161,"²")+COUNTIF($E161:F161,"µ")+COUNTIF($E161:F161,1),ColDescriptionCourte)),""),
  "")),"")</f>
        <v/>
      </c>
      <c r="H161" s="40" t="str">
        <f ca="1">IFERROR(IF(AND(
  INDEX(Roadmap!$D:$K,MATCH($E161,Roadmap!$D:$D,0)+COUNTIF($E161:G161,"u")+COUNTIF($E161:G161,"t")+COUNTIF($E161:G161,"¶")+COUNTIF($E161:G161,"²")+COUNTIF($E161:G161,"µ")+COUNTIF($E161:G161,1),ColLivraison)=H$6,
  VLOOKUP($E161,INDIRECT("tri!"&amp; CHAR(64+ C0Col) &amp;":"&amp; CHAR(65+C0Col)),2,FALSE)&gt;COUNTIF($E161:G161,"u")+COUNTIF($E161:G161,"t")+COUNTIF($E161:G161,"¶")+COUNTIF($E161:G161,"²")+COUNTIF($E161:G161,"µ")+COUNTIF($E161:G161,1)),
HYPERLINK("#Roadmap!C"&amp; MATCH($E161,Roadmap!$D:$D,0)+COUNTIF($E161:G161,"u")+COUNTIF($E161:G161,"t"),
     INDEX(Roadmap!$D:$K,MATCH($E161,Roadmap!$D:$D,0)+COUNTIF($E161:G161,"u")+COUNTIF($E161:G161,"t")+COUNTIF($E161:G161,"¶")+COUNTIF($E161:G161,"²")+COUNTIF($E161:G161,"µ")+COUNTIF($E161:G161,1),ColTypeEcheance)),
  IF(LEN(G161)=1,
  IF(LEN(INDEX(Roadmap!$D:$K,MATCH($E161,Roadmap!$D:$D,0)-1+COUNTIF($E161:G161,"u")+COUNTIF($E161:G161,"t")+COUNTIF($E161:G161,"¶")+COUNTIF($E161:G161,"²")+COUNTIF($E161:G161,"µ")+COUNTIF($E161:G161,1),ColDescriptionCourte))&gt;1,
HYPERLINK("#Roadmap!C"&amp; MATCH($E161,Roadmap!$D:$D,0)+COUNTIF($E161:G161,"u")+COUNTIF($E161:G161,"t")+COUNTIF($E161:G161,"¶")+COUNTIF($E161:G161,"²")+COUNTIF($E161:G161,"µ")+COUNTIF($E161:G161,1)-1,INDEX(Roadmap!$D:$K,MATCH($E161,Roadmap!$D:$D,0)-1+COUNTIF($E161:G161,"u")+COUNTIF($E161:G161,"t")+COUNTIF($E161:G161,"¶")+COUNTIF($E161:G161,"²")+COUNTIF($E161:G161,"µ")+COUNTIF($E161:G161,1),ColDescriptionCourte)),""),
  "")),"")</f>
        <v/>
      </c>
      <c r="I161" s="40" t="str">
        <f ca="1">IFERROR(IF(AND(
  INDEX(Roadmap!$D:$K,MATCH($E161,Roadmap!$D:$D,0)+COUNTIF($E161:H161,"u")+COUNTIF($E161:H161,"t")+COUNTIF($E161:H161,"¶")+COUNTIF($E161:H161,"²")+COUNTIF($E161:H161,"µ")+COUNTIF($E161:H161,1),ColLivraison)=I$6,
  VLOOKUP($E161,INDIRECT("tri!"&amp; CHAR(64+ C0Col) &amp;":"&amp; CHAR(65+C0Col)),2,FALSE)&gt;COUNTIF($E161:H161,"u")+COUNTIF($E161:H161,"t")+COUNTIF($E161:H161,"¶")+COUNTIF($E161:H161,"²")+COUNTIF($E161:H161,"µ")+COUNTIF($E161:H161,1)),
HYPERLINK("#Roadmap!C"&amp; MATCH($E161,Roadmap!$D:$D,0)+COUNTIF($E161:H161,"u")+COUNTIF($E161:H161,"t"),
     INDEX(Roadmap!$D:$K,MATCH($E161,Roadmap!$D:$D,0)+COUNTIF($E161:H161,"u")+COUNTIF($E161:H161,"t")+COUNTIF($E161:H161,"¶")+COUNTIF($E161:H161,"²")+COUNTIF($E161:H161,"µ")+COUNTIF($E161:H161,1),ColTypeEcheance)),
  IF(LEN(H161)=1,
  IF(LEN(INDEX(Roadmap!$D:$K,MATCH($E161,Roadmap!$D:$D,0)-1+COUNTIF($E161:H161,"u")+COUNTIF($E161:H161,"t")+COUNTIF($E161:H161,"¶")+COUNTIF($E161:H161,"²")+COUNTIF($E161:H161,"µ")+COUNTIF($E161:H161,1),ColDescriptionCourte))&gt;1,
HYPERLINK("#Roadmap!C"&amp; MATCH($E161,Roadmap!$D:$D,0)+COUNTIF($E161:H161,"u")+COUNTIF($E161:H161,"t")+COUNTIF($E161:H161,"¶")+COUNTIF($E161:H161,"²")+COUNTIF($E161:H161,"µ")+COUNTIF($E161:H161,1)-1,INDEX(Roadmap!$D:$K,MATCH($E161,Roadmap!$D:$D,0)-1+COUNTIF($E161:H161,"u")+COUNTIF($E161:H161,"t")+COUNTIF($E161:H161,"¶")+COUNTIF($E161:H161,"²")+COUNTIF($E161:H161,"µ")+COUNTIF($E161:H161,1),ColDescriptionCourte)),""),
  "")),"")</f>
        <v/>
      </c>
      <c r="J161" s="40" t="str">
        <f ca="1">IFERROR(IF(AND(
  INDEX(Roadmap!$D:$K,MATCH($E161,Roadmap!$D:$D,0)+COUNTIF($E161:I161,"u")+COUNTIF($E161:I161,"t")+COUNTIF($E161:I161,"¶")+COUNTIF($E161:I161,"²")+COUNTIF($E161:I161,"µ")+COUNTIF($E161:I161,1),ColLivraison)=J$6,
  VLOOKUP($E161,INDIRECT("tri!"&amp; CHAR(64+ C0Col) &amp;":"&amp; CHAR(65+C0Col)),2,FALSE)&gt;COUNTIF($E161:I161,"u")+COUNTIF($E161:I161,"t")+COUNTIF($E161:I161,"¶")+COUNTIF($E161:I161,"²")+COUNTIF($E161:I161,"µ")+COUNTIF($E161:I161,1)),
HYPERLINK("#Roadmap!C"&amp; MATCH($E161,Roadmap!$D:$D,0)+COUNTIF($E161:I161,"u")+COUNTIF($E161:I161,"t"),
     INDEX(Roadmap!$D:$K,MATCH($E161,Roadmap!$D:$D,0)+COUNTIF($E161:I161,"u")+COUNTIF($E161:I161,"t")+COUNTIF($E161:I161,"¶")+COUNTIF($E161:I161,"²")+COUNTIF($E161:I161,"µ")+COUNTIF($E161:I161,1),ColTypeEcheance)),
  IF(LEN(I161)=1,
  IF(LEN(INDEX(Roadmap!$D:$K,MATCH($E161,Roadmap!$D:$D,0)-1+COUNTIF($E161:I161,"u")+COUNTIF($E161:I161,"t")+COUNTIF($E161:I161,"¶")+COUNTIF($E161:I161,"²")+COUNTIF($E161:I161,"µ")+COUNTIF($E161:I161,1),ColDescriptionCourte))&gt;1,
HYPERLINK("#Roadmap!C"&amp; MATCH($E161,Roadmap!$D:$D,0)+COUNTIF($E161:I161,"u")+COUNTIF($E161:I161,"t")+COUNTIF($E161:I161,"¶")+COUNTIF($E161:I161,"²")+COUNTIF($E161:I161,"µ")+COUNTIF($E161:I161,1)-1,INDEX(Roadmap!$D:$K,MATCH($E161,Roadmap!$D:$D,0)-1+COUNTIF($E161:I161,"u")+COUNTIF($E161:I161,"t")+COUNTIF($E161:I161,"¶")+COUNTIF($E161:I161,"²")+COUNTIF($E161:I161,"µ")+COUNTIF($E161:I161,1),ColDescriptionCourte)),""),
  "")),"")</f>
        <v/>
      </c>
      <c r="K161" s="40" t="str">
        <f ca="1">IFERROR(IF(AND(
  INDEX(Roadmap!$D:$K,MATCH($E161,Roadmap!$D:$D,0)+COUNTIF($E161:J161,"u")+COUNTIF($E161:J161,"t")+COUNTIF($E161:J161,"¶")+COUNTIF($E161:J161,"²")+COUNTIF($E161:J161,"µ")+COUNTIF($E161:J161,1),ColLivraison)=K$6,
  VLOOKUP($E161,INDIRECT("tri!"&amp; CHAR(64+ C0Col) &amp;":"&amp; CHAR(65+C0Col)),2,FALSE)&gt;COUNTIF($E161:J161,"u")+COUNTIF($E161:J161,"t")+COUNTIF($E161:J161,"¶")+COUNTIF($E161:J161,"²")+COUNTIF($E161:J161,"µ")+COUNTIF($E161:J161,1)),
HYPERLINK("#Roadmap!C"&amp; MATCH($E161,Roadmap!$D:$D,0)+COUNTIF($E161:J161,"u")+COUNTIF($E161:J161,"t"),
     INDEX(Roadmap!$D:$K,MATCH($E161,Roadmap!$D:$D,0)+COUNTIF($E161:J161,"u")+COUNTIF($E161:J161,"t")+COUNTIF($E161:J161,"¶")+COUNTIF($E161:J161,"²")+COUNTIF($E161:J161,"µ")+COUNTIF($E161:J161,1),ColTypeEcheance)),
  IF(LEN(J161)=1,
  IF(LEN(INDEX(Roadmap!$D:$K,MATCH($E161,Roadmap!$D:$D,0)-1+COUNTIF($E161:J161,"u")+COUNTIF($E161:J161,"t")+COUNTIF($E161:J161,"¶")+COUNTIF($E161:J161,"²")+COUNTIF($E161:J161,"µ")+COUNTIF($E161:J161,1),ColDescriptionCourte))&gt;1,
HYPERLINK("#Roadmap!C"&amp; MATCH($E161,Roadmap!$D:$D,0)+COUNTIF($E161:J161,"u")+COUNTIF($E161:J161,"t")+COUNTIF($E161:J161,"¶")+COUNTIF($E161:J161,"²")+COUNTIF($E161:J161,"µ")+COUNTIF($E161:J161,1)-1,INDEX(Roadmap!$D:$K,MATCH($E161,Roadmap!$D:$D,0)-1+COUNTIF($E161:J161,"u")+COUNTIF($E161:J161,"t")+COUNTIF($E161:J161,"¶")+COUNTIF($E161:J161,"²")+COUNTIF($E161:J161,"µ")+COUNTIF($E161:J161,1),ColDescriptionCourte)),""),
  "")),"")</f>
        <v/>
      </c>
      <c r="L161" s="39" t="str">
        <f ca="1">IFERROR(IF(AND(
  INDEX(Roadmap!$D:$K,MATCH($E161,Roadmap!$D:$D,0)+COUNTIF($E161:K161,"u")+COUNTIF($E161:K161,"t")+COUNTIF($E161:K161,"¶")+COUNTIF($E161:K161,"²")+COUNTIF($E161:K161,"µ")+COUNTIF($E161:K161,1),ColLivraison)=L$6,
  VLOOKUP($E161,INDIRECT("tri!"&amp; CHAR(64+ C0Col) &amp;":"&amp; CHAR(65+C0Col)),2,FALSE)&gt;COUNTIF($E161:K161,"u")+COUNTIF($E161:K161,"t")+COUNTIF($E161:K161,"¶")+COUNTIF($E161:K161,"²")+COUNTIF($E161:K161,"µ")+COUNTIF($E161:K161,1)),
HYPERLINK("#Roadmap!C"&amp; MATCH($E161,Roadmap!$D:$D,0)+COUNTIF($E161:K161,"u")+COUNTIF($E161:K161,"t"),
     INDEX(Roadmap!$D:$K,MATCH($E161,Roadmap!$D:$D,0)+COUNTIF($E161:K161,"u")+COUNTIF($E161:K161,"t")+COUNTIF($E161:K161,"¶")+COUNTIF($E161:K161,"²")+COUNTIF($E161:K161,"µ")+COUNTIF($E161:K161,1),ColTypeEcheance)),
  IF(LEN(K161)=1,
  IF(LEN(INDEX(Roadmap!$D:$K,MATCH($E161,Roadmap!$D:$D,0)-1+COUNTIF($E161:K161,"u")+COUNTIF($E161:K161,"t")+COUNTIF($E161:K161,"¶")+COUNTIF($E161:K161,"²")+COUNTIF($E161:K161,"µ")+COUNTIF($E161:K161,1),ColDescriptionCourte))&gt;1,
HYPERLINK("#Roadmap!C"&amp; MATCH($E161,Roadmap!$D:$D,0)+COUNTIF($E161:K161,"u")+COUNTIF($E161:K161,"t")+COUNTIF($E161:K161,"¶")+COUNTIF($E161:K161,"²")+COUNTIF($E161:K161,"µ")+COUNTIF($E161:K161,1)-1,INDEX(Roadmap!$D:$K,MATCH($E161,Roadmap!$D:$D,0)-1+COUNTIF($E161:K161,"u")+COUNTIF($E161:K161,"t")+COUNTIF($E161:K161,"¶")+COUNTIF($E161:K161,"²")+COUNTIF($E161:K161,"µ")+COUNTIF($E161:K161,1),ColDescriptionCourte)),""),
  "")),"")</f>
        <v/>
      </c>
      <c r="M161" s="40" t="str">
        <f ca="1">IFERROR(IF(AND(
  INDEX(Roadmap!$D:$K,MATCH($E161,Roadmap!$D:$D,0)+COUNTIF($E161:L161,"u")+COUNTIF($E161:L161,"t")+COUNTIF($E161:L161,"¶")+COUNTIF($E161:L161,"²")+COUNTIF($E161:L161,"µ")+COUNTIF($E161:L161,1),ColLivraison)=M$6,
  VLOOKUP($E161,INDIRECT("tri!"&amp; CHAR(64+ C0Col) &amp;":"&amp; CHAR(65+C0Col)),2,FALSE)&gt;COUNTIF($E161:L161,"u")+COUNTIF($E161:L161,"t")+COUNTIF($E161:L161,"¶")+COUNTIF($E161:L161,"²")+COUNTIF($E161:L161,"µ")+COUNTIF($E161:L161,1)),
HYPERLINK("#Roadmap!C"&amp; MATCH($E161,Roadmap!$D:$D,0)+COUNTIF($E161:L161,"u")+COUNTIF($E161:L161,"t"),
     INDEX(Roadmap!$D:$K,MATCH($E161,Roadmap!$D:$D,0)+COUNTIF($E161:L161,"u")+COUNTIF($E161:L161,"t")+COUNTIF($E161:L161,"¶")+COUNTIF($E161:L161,"²")+COUNTIF($E161:L161,"µ")+COUNTIF($E161:L161,1),ColTypeEcheance)),
  IF(LEN(L161)=1,
  IF(LEN(INDEX(Roadmap!$D:$K,MATCH($E161,Roadmap!$D:$D,0)-1+COUNTIF($E161:L161,"u")+COUNTIF($E161:L161,"t")+COUNTIF($E161:L161,"¶")+COUNTIF($E161:L161,"²")+COUNTIF($E161:L161,"µ")+COUNTIF($E161:L161,1),ColDescriptionCourte))&gt;1,
HYPERLINK("#Roadmap!C"&amp; MATCH($E161,Roadmap!$D:$D,0)+COUNTIF($E161:L161,"u")+COUNTIF($E161:L161,"t")+COUNTIF($E161:L161,"¶")+COUNTIF($E161:L161,"²")+COUNTIF($E161:L161,"µ")+COUNTIF($E161:L161,1)-1,INDEX(Roadmap!$D:$K,MATCH($E161,Roadmap!$D:$D,0)-1+COUNTIF($E161:L161,"u")+COUNTIF($E161:L161,"t")+COUNTIF($E161:L161,"¶")+COUNTIF($E161:L161,"²")+COUNTIF($E161:L161,"µ")+COUNTIF($E161:L161,1),ColDescriptionCourte)),""),
  "")),"")</f>
        <v/>
      </c>
      <c r="N161" s="40" t="str">
        <f ca="1">IFERROR(IF(AND(
  INDEX(Roadmap!$D:$K,MATCH($E161,Roadmap!$D:$D,0)+COUNTIF($E161:M161,"u")+COUNTIF($E161:M161,"t")+COUNTIF($E161:M161,"¶")+COUNTIF($E161:M161,"²")+COUNTIF($E161:M161,"µ")+COUNTIF($E161:M161,1),ColLivraison)=N$6,
  VLOOKUP($E161,INDIRECT("tri!"&amp; CHAR(64+ C0Col) &amp;":"&amp; CHAR(65+C0Col)),2,FALSE)&gt;COUNTIF($E161:M161,"u")+COUNTIF($E161:M161,"t")+COUNTIF($E161:M161,"¶")+COUNTIF($E161:M161,"²")+COUNTIF($E161:M161,"µ")+COUNTIF($E161:M161,1)),
HYPERLINK("#Roadmap!C"&amp; MATCH($E161,Roadmap!$D:$D,0)+COUNTIF($E161:M161,"u")+COUNTIF($E161:M161,"t"),
     INDEX(Roadmap!$D:$K,MATCH($E161,Roadmap!$D:$D,0)+COUNTIF($E161:M161,"u")+COUNTIF($E161:M161,"t")+COUNTIF($E161:M161,"¶")+COUNTIF($E161:M161,"²")+COUNTIF($E161:M161,"µ")+COUNTIF($E161:M161,1),ColTypeEcheance)),
  IF(LEN(M161)=1,
  IF(LEN(INDEX(Roadmap!$D:$K,MATCH($E161,Roadmap!$D:$D,0)-1+COUNTIF($E161:M161,"u")+COUNTIF($E161:M161,"t")+COUNTIF($E161:M161,"¶")+COUNTIF($E161:M161,"²")+COUNTIF($E161:M161,"µ")+COUNTIF($E161:M161,1),ColDescriptionCourte))&gt;1,
HYPERLINK("#Roadmap!C"&amp; MATCH($E161,Roadmap!$D:$D,0)+COUNTIF($E161:M161,"u")+COUNTIF($E161:M161,"t")+COUNTIF($E161:M161,"¶")+COUNTIF($E161:M161,"²")+COUNTIF($E161:M161,"µ")+COUNTIF($E161:M161,1)-1,INDEX(Roadmap!$D:$K,MATCH($E161,Roadmap!$D:$D,0)-1+COUNTIF($E161:M161,"u")+COUNTIF($E161:M161,"t")+COUNTIF($E161:M161,"¶")+COUNTIF($E161:M161,"²")+COUNTIF($E161:M161,"µ")+COUNTIF($E161:M161,1),ColDescriptionCourte)),""),
  "")),"")</f>
        <v/>
      </c>
      <c r="O161" s="40" t="str">
        <f ca="1">IFERROR(IF(AND(
  INDEX(Roadmap!$D:$K,MATCH($E161,Roadmap!$D:$D,0)+COUNTIF($E161:N161,"u")+COUNTIF($E161:N161,"t")+COUNTIF($E161:N161,"¶")+COUNTIF($E161:N161,"²")+COUNTIF($E161:N161,"µ")+COUNTIF($E161:N161,1),ColLivraison)=O$6,
  VLOOKUP($E161,INDIRECT("tri!"&amp; CHAR(64+ C0Col) &amp;":"&amp; CHAR(65+C0Col)),2,FALSE)&gt;COUNTIF($E161:N161,"u")+COUNTIF($E161:N161,"t")+COUNTIF($E161:N161,"¶")+COUNTIF($E161:N161,"²")+COUNTIF($E161:N161,"µ")+COUNTIF($E161:N161,1)),
HYPERLINK("#Roadmap!C"&amp; MATCH($E161,Roadmap!$D:$D,0)+COUNTIF($E161:N161,"u")+COUNTIF($E161:N161,"t"),
     INDEX(Roadmap!$D:$K,MATCH($E161,Roadmap!$D:$D,0)+COUNTIF($E161:N161,"u")+COUNTIF($E161:N161,"t")+COUNTIF($E161:N161,"¶")+COUNTIF($E161:N161,"²")+COUNTIF($E161:N161,"µ")+COUNTIF($E161:N161,1),ColTypeEcheance)),
  IF(LEN(N161)=1,
  IF(LEN(INDEX(Roadmap!$D:$K,MATCH($E161,Roadmap!$D:$D,0)-1+COUNTIF($E161:N161,"u")+COUNTIF($E161:N161,"t")+COUNTIF($E161:N161,"¶")+COUNTIF($E161:N161,"²")+COUNTIF($E161:N161,"µ")+COUNTIF($E161:N161,1),ColDescriptionCourte))&gt;1,
HYPERLINK("#Roadmap!C"&amp; MATCH($E161,Roadmap!$D:$D,0)+COUNTIF($E161:N161,"u")+COUNTIF($E161:N161,"t")+COUNTIF($E161:N161,"¶")+COUNTIF($E161:N161,"²")+COUNTIF($E161:N161,"µ")+COUNTIF($E161:N161,1)-1,INDEX(Roadmap!$D:$K,MATCH($E161,Roadmap!$D:$D,0)-1+COUNTIF($E161:N161,"u")+COUNTIF($E161:N161,"t")+COUNTIF($E161:N161,"¶")+COUNTIF($E161:N161,"²")+COUNTIF($E161:N161,"µ")+COUNTIF($E161:N161,1),ColDescriptionCourte)),""),
  "")),"")</f>
        <v/>
      </c>
      <c r="P161" s="40" t="str">
        <f ca="1">IFERROR(IF(AND(
  INDEX(Roadmap!$D:$K,MATCH($E161,Roadmap!$D:$D,0)+COUNTIF($E161:O161,"u")+COUNTIF($E161:O161,"t")+COUNTIF($E161:O161,"¶")+COUNTIF($E161:O161,"²")+COUNTIF($E161:O161,"µ")+COUNTIF($E161:O161,1),ColLivraison)=P$6,
  VLOOKUP($E161,INDIRECT("tri!"&amp; CHAR(64+ C0Col) &amp;":"&amp; CHAR(65+C0Col)),2,FALSE)&gt;COUNTIF($E161:O161,"u")+COUNTIF($E161:O161,"t")+COUNTIF($E161:O161,"¶")+COUNTIF($E161:O161,"²")+COUNTIF($E161:O161,"µ")+COUNTIF($E161:O161,1)),
HYPERLINK("#Roadmap!C"&amp; MATCH($E161,Roadmap!$D:$D,0)+COUNTIF($E161:O161,"u")+COUNTIF($E161:O161,"t"),
     INDEX(Roadmap!$D:$K,MATCH($E161,Roadmap!$D:$D,0)+COUNTIF($E161:O161,"u")+COUNTIF($E161:O161,"t")+COUNTIF($E161:O161,"¶")+COUNTIF($E161:O161,"²")+COUNTIF($E161:O161,"µ")+COUNTIF($E161:O161,1),ColTypeEcheance)),
  IF(LEN(O161)=1,
  IF(LEN(INDEX(Roadmap!$D:$K,MATCH($E161,Roadmap!$D:$D,0)-1+COUNTIF($E161:O161,"u")+COUNTIF($E161:O161,"t")+COUNTIF($E161:O161,"¶")+COUNTIF($E161:O161,"²")+COUNTIF($E161:O161,"µ")+COUNTIF($E161:O161,1),ColDescriptionCourte))&gt;1,
HYPERLINK("#Roadmap!C"&amp; MATCH($E161,Roadmap!$D:$D,0)+COUNTIF($E161:O161,"u")+COUNTIF($E161:O161,"t")+COUNTIF($E161:O161,"¶")+COUNTIF($E161:O161,"²")+COUNTIF($E161:O161,"µ")+COUNTIF($E161:O161,1)-1,INDEX(Roadmap!$D:$K,MATCH($E161,Roadmap!$D:$D,0)-1+COUNTIF($E161:O161,"u")+COUNTIF($E161:O161,"t")+COUNTIF($E161:O161,"¶")+COUNTIF($E161:O161,"²")+COUNTIF($E161:O161,"µ")+COUNTIF($E161:O161,1),ColDescriptionCourte)),""),
  "")),"")</f>
        <v/>
      </c>
      <c r="Q161" s="40" t="str">
        <f ca="1">IFERROR(IF(AND(
  INDEX(Roadmap!$D:$K,MATCH($E161,Roadmap!$D:$D,0)+COUNTIF($E161:P161,"u")+COUNTIF($E161:P161,"t")+COUNTIF($E161:P161,"¶")+COUNTIF($E161:P161,"²")+COUNTIF($E161:P161,"µ")+COUNTIF($E161:P161,1),ColLivraison)=Q$6,
  VLOOKUP($E161,INDIRECT("tri!"&amp; CHAR(64+ C0Col) &amp;":"&amp; CHAR(65+C0Col)),2,FALSE)&gt;COUNTIF($E161:P161,"u")+COUNTIF($E161:P161,"t")+COUNTIF($E161:P161,"¶")+COUNTIF($E161:P161,"²")+COUNTIF($E161:P161,"µ")+COUNTIF($E161:P161,1)),
HYPERLINK("#Roadmap!C"&amp; MATCH($E161,Roadmap!$D:$D,0)+COUNTIF($E161:P161,"u")+COUNTIF($E161:P161,"t"),
     INDEX(Roadmap!$D:$K,MATCH($E161,Roadmap!$D:$D,0)+COUNTIF($E161:P161,"u")+COUNTIF($E161:P161,"t")+COUNTIF($E161:P161,"¶")+COUNTIF($E161:P161,"²")+COUNTIF($E161:P161,"µ")+COUNTIF($E161:P161,1),ColTypeEcheance)),
  IF(LEN(P161)=1,
  IF(LEN(INDEX(Roadmap!$D:$K,MATCH($E161,Roadmap!$D:$D,0)-1+COUNTIF($E161:P161,"u")+COUNTIF($E161:P161,"t")+COUNTIF($E161:P161,"¶")+COUNTIF($E161:P161,"²")+COUNTIF($E161:P161,"µ")+COUNTIF($E161:P161,1),ColDescriptionCourte))&gt;1,
HYPERLINK("#Roadmap!C"&amp; MATCH($E161,Roadmap!$D:$D,0)+COUNTIF($E161:P161,"u")+COUNTIF($E161:P161,"t")+COUNTIF($E161:P161,"¶")+COUNTIF($E161:P161,"²")+COUNTIF($E161:P161,"µ")+COUNTIF($E161:P161,1)-1,INDEX(Roadmap!$D:$K,MATCH($E161,Roadmap!$D:$D,0)-1+COUNTIF($E161:P161,"u")+COUNTIF($E161:P161,"t")+COUNTIF($E161:P161,"¶")+COUNTIF($E161:P161,"²")+COUNTIF($E161:P161,"µ")+COUNTIF($E161:P161,1),ColDescriptionCourte)),""),
  "")),"")</f>
        <v/>
      </c>
      <c r="R161" s="40" t="str">
        <f ca="1">IFERROR(IF(AND(
  INDEX(Roadmap!$D:$K,MATCH($E161,Roadmap!$D:$D,0)+COUNTIF($E161:Q161,"u")+COUNTIF($E161:Q161,"t")+COUNTIF($E161:Q161,"¶")+COUNTIF($E161:Q161,"²")+COUNTIF($E161:Q161,"µ")+COUNTIF($E161:Q161,1),ColLivraison)=R$6,
  VLOOKUP($E161,INDIRECT("tri!"&amp; CHAR(64+ C0Col) &amp;":"&amp; CHAR(65+C0Col)),2,FALSE)&gt;COUNTIF($E161:Q161,"u")+COUNTIF($E161:Q161,"t")+COUNTIF($E161:Q161,"¶")+COUNTIF($E161:Q161,"²")+COUNTIF($E161:Q161,"µ")+COUNTIF($E161:Q161,1)),
HYPERLINK("#Roadmap!C"&amp; MATCH($E161,Roadmap!$D:$D,0)+COUNTIF($E161:Q161,"u")+COUNTIF($E161:Q161,"t"),
     INDEX(Roadmap!$D:$K,MATCH($E161,Roadmap!$D:$D,0)+COUNTIF($E161:Q161,"u")+COUNTIF($E161:Q161,"t")+COUNTIF($E161:Q161,"¶")+COUNTIF($E161:Q161,"²")+COUNTIF($E161:Q161,"µ")+COUNTIF($E161:Q161,1),ColTypeEcheance)),
  IF(LEN(Q161)=1,
  IF(LEN(INDEX(Roadmap!$D:$K,MATCH($E161,Roadmap!$D:$D,0)-1+COUNTIF($E161:Q161,"u")+COUNTIF($E161:Q161,"t")+COUNTIF($E161:Q161,"¶")+COUNTIF($E161:Q161,"²")+COUNTIF($E161:Q161,"µ")+COUNTIF($E161:Q161,1),ColDescriptionCourte))&gt;1,
HYPERLINK("#Roadmap!C"&amp; MATCH($E161,Roadmap!$D:$D,0)+COUNTIF($E161:Q161,"u")+COUNTIF($E161:Q161,"t")+COUNTIF($E161:Q161,"¶")+COUNTIF($E161:Q161,"²")+COUNTIF($E161:Q161,"µ")+COUNTIF($E161:Q161,1)-1,INDEX(Roadmap!$D:$K,MATCH($E161,Roadmap!$D:$D,0)-1+COUNTIF($E161:Q161,"u")+COUNTIF($E161:Q161,"t")+COUNTIF($E161:Q161,"¶")+COUNTIF($E161:Q161,"²")+COUNTIF($E161:Q161,"µ")+COUNTIF($E161:Q161,1),ColDescriptionCourte)),""),
  "")),"")</f>
        <v/>
      </c>
      <c r="S161" s="40" t="str">
        <f ca="1">IFERROR(IF(AND(
  INDEX(Roadmap!$D:$K,MATCH($E161,Roadmap!$D:$D,0)+COUNTIF($E161:R161,"u")+COUNTIF($E161:R161,"t")+COUNTIF($E161:R161,"¶")+COUNTIF($E161:R161,"²")+COUNTIF($E161:R161,"µ")+COUNTIF($E161:R161,1),ColLivraison)=S$6,
  VLOOKUP($E161,INDIRECT("tri!"&amp; CHAR(64+ C0Col) &amp;":"&amp; CHAR(65+C0Col)),2,FALSE)&gt;COUNTIF($E161:R161,"u")+COUNTIF($E161:R161,"t")+COUNTIF($E161:R161,"¶")+COUNTIF($E161:R161,"²")+COUNTIF($E161:R161,"µ")+COUNTIF($E161:R161,1)),
HYPERLINK("#Roadmap!C"&amp; MATCH($E161,Roadmap!$D:$D,0)+COUNTIF($E161:R161,"u")+COUNTIF($E161:R161,"t"),
     INDEX(Roadmap!$D:$K,MATCH($E161,Roadmap!$D:$D,0)+COUNTIF($E161:R161,"u")+COUNTIF($E161:R161,"t")+COUNTIF($E161:R161,"¶")+COUNTIF($E161:R161,"²")+COUNTIF($E161:R161,"µ")+COUNTIF($E161:R161,1),ColTypeEcheance)),
  IF(LEN(R161)=1,
  IF(LEN(INDEX(Roadmap!$D:$K,MATCH($E161,Roadmap!$D:$D,0)-1+COUNTIF($E161:R161,"u")+COUNTIF($E161:R161,"t")+COUNTIF($E161:R161,"¶")+COUNTIF($E161:R161,"²")+COUNTIF($E161:R161,"µ")+COUNTIF($E161:R161,1),ColDescriptionCourte))&gt;1,
HYPERLINK("#Roadmap!C"&amp; MATCH($E161,Roadmap!$D:$D,0)+COUNTIF($E161:R161,"u")+COUNTIF($E161:R161,"t")+COUNTIF($E161:R161,"¶")+COUNTIF($E161:R161,"²")+COUNTIF($E161:R161,"µ")+COUNTIF($E161:R161,1)-1,INDEX(Roadmap!$D:$K,MATCH($E161,Roadmap!$D:$D,0)-1+COUNTIF($E161:R161,"u")+COUNTIF($E161:R161,"t")+COUNTIF($E161:R161,"¶")+COUNTIF($E161:R161,"²")+COUNTIF($E161:R161,"µ")+COUNTIF($E161:R161,1),ColDescriptionCourte)),""),
  "")),"")</f>
        <v/>
      </c>
      <c r="T161" s="40" t="str">
        <f ca="1">IFERROR(IF(AND(
  INDEX(Roadmap!$D:$K,MATCH($E161,Roadmap!$D:$D,0)+COUNTIF($E161:S161,"u")+COUNTIF($E161:S161,"t")+COUNTIF($E161:S161,"¶")+COUNTIF($E161:S161,"²")+COUNTIF($E161:S161,"µ")+COUNTIF($E161:S161,1),ColLivraison)=T$6,
  VLOOKUP($E161,INDIRECT("tri!"&amp; CHAR(64+ C0Col) &amp;":"&amp; CHAR(65+C0Col)),2,FALSE)&gt;COUNTIF($E161:S161,"u")+COUNTIF($E161:S161,"t")+COUNTIF($E161:S161,"¶")+COUNTIF($E161:S161,"²")+COUNTIF($E161:S161,"µ")+COUNTIF($E161:S161,1)),
HYPERLINK("#Roadmap!C"&amp; MATCH($E161,Roadmap!$D:$D,0)+COUNTIF($E161:S161,"u")+COUNTIF($E161:S161,"t"),
     INDEX(Roadmap!$D:$K,MATCH($E161,Roadmap!$D:$D,0)+COUNTIF($E161:S161,"u")+COUNTIF($E161:S161,"t")+COUNTIF($E161:S161,"¶")+COUNTIF($E161:S161,"²")+COUNTIF($E161:S161,"µ")+COUNTIF($E161:S161,1),ColTypeEcheance)),
  IF(LEN(S161)=1,
  IF(LEN(INDEX(Roadmap!$D:$K,MATCH($E161,Roadmap!$D:$D,0)-1+COUNTIF($E161:S161,"u")+COUNTIF($E161:S161,"t")+COUNTIF($E161:S161,"¶")+COUNTIF($E161:S161,"²")+COUNTIF($E161:S161,"µ")+COUNTIF($E161:S161,1),ColDescriptionCourte))&gt;1,
HYPERLINK("#Roadmap!C"&amp; MATCH($E161,Roadmap!$D:$D,0)+COUNTIF($E161:S161,"u")+COUNTIF($E161:S161,"t")+COUNTIF($E161:S161,"¶")+COUNTIF($E161:S161,"²")+COUNTIF($E161:S161,"µ")+COUNTIF($E161:S161,1)-1,INDEX(Roadmap!$D:$K,MATCH($E161,Roadmap!$D:$D,0)-1+COUNTIF($E161:S161,"u")+COUNTIF($E161:S161,"t")+COUNTIF($E161:S161,"¶")+COUNTIF($E161:S161,"²")+COUNTIF($E161:S161,"µ")+COUNTIF($E161:S161,1),ColDescriptionCourte)),""),
  "")),"")</f>
        <v/>
      </c>
      <c r="U161" s="40" t="str">
        <f ca="1">IFERROR(IF(AND(
  INDEX(Roadmap!$D:$K,MATCH($E161,Roadmap!$D:$D,0)+COUNTIF($E161:T161,"u")+COUNTIF($E161:T161,"t")+COUNTIF($E161:T161,"¶")+COUNTIF($E161:T161,"²")+COUNTIF($E161:T161,"µ")+COUNTIF($E161:T161,1),ColLivraison)=U$6,
  VLOOKUP($E161,INDIRECT("tri!"&amp; CHAR(64+ C0Col) &amp;":"&amp; CHAR(65+C0Col)),2,FALSE)&gt;COUNTIF($E161:T161,"u")+COUNTIF($E161:T161,"t")+COUNTIF($E161:T161,"¶")+COUNTIF($E161:T161,"²")+COUNTIF($E161:T161,"µ")+COUNTIF($E161:T161,1)),
HYPERLINK("#Roadmap!C"&amp; MATCH($E161,Roadmap!$D:$D,0)+COUNTIF($E161:T161,"u")+COUNTIF($E161:T161,"t"),
     INDEX(Roadmap!$D:$K,MATCH($E161,Roadmap!$D:$D,0)+COUNTIF($E161:T161,"u")+COUNTIF($E161:T161,"t")+COUNTIF($E161:T161,"¶")+COUNTIF($E161:T161,"²")+COUNTIF($E161:T161,"µ")+COUNTIF($E161:T161,1),ColTypeEcheance)),
  IF(LEN(T161)=1,
  IF(LEN(INDEX(Roadmap!$D:$K,MATCH($E161,Roadmap!$D:$D,0)-1+COUNTIF($E161:T161,"u")+COUNTIF($E161:T161,"t")+COUNTIF($E161:T161,"¶")+COUNTIF($E161:T161,"²")+COUNTIF($E161:T161,"µ")+COUNTIF($E161:T161,1),ColDescriptionCourte))&gt;1,
HYPERLINK("#Roadmap!C"&amp; MATCH($E161,Roadmap!$D:$D,0)+COUNTIF($E161:T161,"u")+COUNTIF($E161:T161,"t")+COUNTIF($E161:T161,"¶")+COUNTIF($E161:T161,"²")+COUNTIF($E161:T161,"µ")+COUNTIF($E161:T161,1)-1,INDEX(Roadmap!$D:$K,MATCH($E161,Roadmap!$D:$D,0)-1+COUNTIF($E161:T161,"u")+COUNTIF($E161:T161,"t")+COUNTIF($E161:T161,"¶")+COUNTIF($E161:T161,"²")+COUNTIF($E161:T161,"µ")+COUNTIF($E161:T161,1),ColDescriptionCourte)),""),
  "")),"")</f>
        <v/>
      </c>
      <c r="V161" s="40" t="str">
        <f ca="1">IFERROR(IF(AND(
  INDEX(Roadmap!$D:$K,MATCH($E161,Roadmap!$D:$D,0)+COUNTIF($E161:U161,"u")+COUNTIF($E161:U161,"t")+COUNTIF($E161:U161,"¶")+COUNTIF($E161:U161,"²")+COUNTIF($E161:U161,"µ")+COUNTIF($E161:U161,1),ColLivraison)=V$6,
  VLOOKUP($E161,INDIRECT("tri!"&amp; CHAR(64+ C0Col) &amp;":"&amp; CHAR(65+C0Col)),2,FALSE)&gt;COUNTIF($E161:U161,"u")+COUNTIF($E161:U161,"t")+COUNTIF($E161:U161,"¶")+COUNTIF($E161:U161,"²")+COUNTIF($E161:U161,"µ")+COUNTIF($E161:U161,1)),
HYPERLINK("#Roadmap!C"&amp; MATCH($E161,Roadmap!$D:$D,0)+COUNTIF($E161:U161,"u")+COUNTIF($E161:U161,"t"),
     INDEX(Roadmap!$D:$K,MATCH($E161,Roadmap!$D:$D,0)+COUNTIF($E161:U161,"u")+COUNTIF($E161:U161,"t")+COUNTIF($E161:U161,"¶")+COUNTIF($E161:U161,"²")+COUNTIF($E161:U161,"µ")+COUNTIF($E161:U161,1),ColTypeEcheance)),
  IF(LEN(U161)=1,
  IF(LEN(INDEX(Roadmap!$D:$K,MATCH($E161,Roadmap!$D:$D,0)-1+COUNTIF($E161:U161,"u")+COUNTIF($E161:U161,"t")+COUNTIF($E161:U161,"¶")+COUNTIF($E161:U161,"²")+COUNTIF($E161:U161,"µ")+COUNTIF($E161:U161,1),ColDescriptionCourte))&gt;1,
HYPERLINK("#Roadmap!C"&amp; MATCH($E161,Roadmap!$D:$D,0)+COUNTIF($E161:U161,"u")+COUNTIF($E161:U161,"t")+COUNTIF($E161:U161,"¶")+COUNTIF($E161:U161,"²")+COUNTIF($E161:U161,"µ")+COUNTIF($E161:U161,1)-1,INDEX(Roadmap!$D:$K,MATCH($E161,Roadmap!$D:$D,0)-1+COUNTIF($E161:U161,"u")+COUNTIF($E161:U161,"t")+COUNTIF($E161:U161,"¶")+COUNTIF($E161:U161,"²")+COUNTIF($E161:U161,"µ")+COUNTIF($E161:U161,1),ColDescriptionCourte)),""),
  "")),"")</f>
        <v/>
      </c>
      <c r="W161" s="40" t="str">
        <f ca="1">IFERROR(IF(AND(
  INDEX(Roadmap!$D:$K,MATCH($E161,Roadmap!$D:$D,0)+COUNTIF($E161:V161,"u")+COUNTIF($E161:V161,"t")+COUNTIF($E161:V161,"¶")+COUNTIF($E161:V161,"²")+COUNTIF($E161:V161,"µ")+COUNTIF($E161:V161,1),ColLivraison)=W$6,
  VLOOKUP($E161,INDIRECT("tri!"&amp; CHAR(64+ C0Col) &amp;":"&amp; CHAR(65+C0Col)),2,FALSE)&gt;COUNTIF($E161:V161,"u")+COUNTIF($E161:V161,"t")+COUNTIF($E161:V161,"¶")+COUNTIF($E161:V161,"²")+COUNTIF($E161:V161,"µ")+COUNTIF($E161:V161,1)),
HYPERLINK("#Roadmap!C"&amp; MATCH($E161,Roadmap!$D:$D,0)+COUNTIF($E161:V161,"u")+COUNTIF($E161:V161,"t"),
     INDEX(Roadmap!$D:$K,MATCH($E161,Roadmap!$D:$D,0)+COUNTIF($E161:V161,"u")+COUNTIF($E161:V161,"t")+COUNTIF($E161:V161,"¶")+COUNTIF($E161:V161,"²")+COUNTIF($E161:V161,"µ")+COUNTIF($E161:V161,1),ColTypeEcheance)),
  IF(LEN(V161)=1,
  IF(LEN(INDEX(Roadmap!$D:$K,MATCH($E161,Roadmap!$D:$D,0)-1+COUNTIF($E161:V161,"u")+COUNTIF($E161:V161,"t")+COUNTIF($E161:V161,"¶")+COUNTIF($E161:V161,"²")+COUNTIF($E161:V161,"µ")+COUNTIF($E161:V161,1),ColDescriptionCourte))&gt;1,
HYPERLINK("#Roadmap!C"&amp; MATCH($E161,Roadmap!$D:$D,0)+COUNTIF($E161:V161,"u")+COUNTIF($E161:V161,"t")+COUNTIF($E161:V161,"¶")+COUNTIF($E161:V161,"²")+COUNTIF($E161:V161,"µ")+COUNTIF($E161:V161,1)-1,INDEX(Roadmap!$D:$K,MATCH($E161,Roadmap!$D:$D,0)-1+COUNTIF($E161:V161,"u")+COUNTIF($E161:V161,"t")+COUNTIF($E161:V161,"¶")+COUNTIF($E161:V161,"²")+COUNTIF($E161:V161,"µ")+COUNTIF($E161:V161,1),ColDescriptionCourte)),""),
  "")),"")</f>
        <v/>
      </c>
      <c r="X161" s="40" t="str">
        <f ca="1">IFERROR(IF(AND(
  INDEX(Roadmap!$D:$K,MATCH($E161,Roadmap!$D:$D,0)+COUNTIF($E161:W161,"u")+COUNTIF($E161:W161,"t")+COUNTIF($E161:W161,"¶")+COUNTIF($E161:W161,"²")+COUNTIF($E161:W161,"µ")+COUNTIF($E161:W161,1),ColLivraison)=X$6,
  VLOOKUP($E161,INDIRECT("tri!"&amp; CHAR(64+ C0Col) &amp;":"&amp; CHAR(65+C0Col)),2,FALSE)&gt;COUNTIF($E161:W161,"u")+COUNTIF($E161:W161,"t")+COUNTIF($E161:W161,"¶")+COUNTIF($E161:W161,"²")+COUNTIF($E161:W161,"µ")+COUNTIF($E161:W161,1)),
HYPERLINK("#Roadmap!C"&amp; MATCH($E161,Roadmap!$D:$D,0)+COUNTIF($E161:W161,"u")+COUNTIF($E161:W161,"t"),
     INDEX(Roadmap!$D:$K,MATCH($E161,Roadmap!$D:$D,0)+COUNTIF($E161:W161,"u")+COUNTIF($E161:W161,"t")+COUNTIF($E161:W161,"¶")+COUNTIF($E161:W161,"²")+COUNTIF($E161:W161,"µ")+COUNTIF($E161:W161,1),ColTypeEcheance)),
  IF(LEN(W161)=1,
  IF(LEN(INDEX(Roadmap!$D:$K,MATCH($E161,Roadmap!$D:$D,0)-1+COUNTIF($E161:W161,"u")+COUNTIF($E161:W161,"t")+COUNTIF($E161:W161,"¶")+COUNTIF($E161:W161,"²")+COUNTIF($E161:W161,"µ")+COUNTIF($E161:W161,1),ColDescriptionCourte))&gt;1,
HYPERLINK("#Roadmap!C"&amp; MATCH($E161,Roadmap!$D:$D,0)+COUNTIF($E161:W161,"u")+COUNTIF($E161:W161,"t")+COUNTIF($E161:W161,"¶")+COUNTIF($E161:W161,"²")+COUNTIF($E161:W161,"µ")+COUNTIF($E161:W161,1)-1,INDEX(Roadmap!$D:$K,MATCH($E161,Roadmap!$D:$D,0)-1+COUNTIF($E161:W161,"u")+COUNTIF($E161:W161,"t")+COUNTIF($E161:W161,"¶")+COUNTIF($E161:W161,"²")+COUNTIF($E161:W161,"µ")+COUNTIF($E161:W161,1),ColDescriptionCourte)),""),
  "")),"")</f>
        <v/>
      </c>
      <c r="Y161" s="40" t="str">
        <f ca="1">IFERROR(IF(AND(
  INDEX(Roadmap!$D:$K,MATCH($E161,Roadmap!$D:$D,0)+COUNTIF($E161:X161,"u")+COUNTIF($E161:X161,"t")+COUNTIF($E161:X161,"¶")+COUNTIF($E161:X161,"²")+COUNTIF($E161:X161,"µ")+COUNTIF($E161:X161,1),ColLivraison)=Y$6,
  VLOOKUP($E161,INDIRECT("tri!"&amp; CHAR(64+ C0Col) &amp;":"&amp; CHAR(65+C0Col)),2,FALSE)&gt;COUNTIF($E161:X161,"u")+COUNTIF($E161:X161,"t")+COUNTIF($E161:X161,"¶")+COUNTIF($E161:X161,"²")+COUNTIF($E161:X161,"µ")+COUNTIF($E161:X161,1)),
HYPERLINK("#Roadmap!C"&amp; MATCH($E161,Roadmap!$D:$D,0)+COUNTIF($E161:X161,"u")+COUNTIF($E161:X161,"t"),
     INDEX(Roadmap!$D:$K,MATCH($E161,Roadmap!$D:$D,0)+COUNTIF($E161:X161,"u")+COUNTIF($E161:X161,"t")+COUNTIF($E161:X161,"¶")+COUNTIF($E161:X161,"²")+COUNTIF($E161:X161,"µ")+COUNTIF($E161:X161,1),ColTypeEcheance)),
  IF(LEN(X161)=1,
  IF(LEN(INDEX(Roadmap!$D:$K,MATCH($E161,Roadmap!$D:$D,0)-1+COUNTIF($E161:X161,"u")+COUNTIF($E161:X161,"t")+COUNTIF($E161:X161,"¶")+COUNTIF($E161:X161,"²")+COUNTIF($E161:X161,"µ")+COUNTIF($E161:X161,1),ColDescriptionCourte))&gt;1,
HYPERLINK("#Roadmap!C"&amp; MATCH($E161,Roadmap!$D:$D,0)+COUNTIF($E161:X161,"u")+COUNTIF($E161:X161,"t")+COUNTIF($E161:X161,"¶")+COUNTIF($E161:X161,"²")+COUNTIF($E161:X161,"µ")+COUNTIF($E161:X161,1)-1,INDEX(Roadmap!$D:$K,MATCH($E161,Roadmap!$D:$D,0)-1+COUNTIF($E161:X161,"u")+COUNTIF($E161:X161,"t")+COUNTIF($E161:X161,"¶")+COUNTIF($E161:X161,"²")+COUNTIF($E161:X161,"µ")+COUNTIF($E161:X161,1),ColDescriptionCourte)),""),
  "")),"")</f>
        <v/>
      </c>
      <c r="Z161" s="40" t="str">
        <f ca="1">IFERROR(IF(AND(
  INDEX(Roadmap!$D:$K,MATCH($E161,Roadmap!$D:$D,0)+COUNTIF($E161:Y161,"u")+COUNTIF($E161:Y161,"t")+COUNTIF($E161:Y161,"¶")+COUNTIF($E161:Y161,"²")+COUNTIF($E161:Y161,"µ")+COUNTIF($E161:Y161,1),ColLivraison)=Z$6,
  VLOOKUP($E161,INDIRECT("tri!"&amp; CHAR(64+ C0Col) &amp;":"&amp; CHAR(65+C0Col)),2,FALSE)&gt;COUNTIF($E161:Y161,"u")+COUNTIF($E161:Y161,"t")+COUNTIF($E161:Y161,"¶")+COUNTIF($E161:Y161,"²")+COUNTIF($E161:Y161,"µ")+COUNTIF($E161:Y161,1)),
HYPERLINK("#Roadmap!C"&amp; MATCH($E161,Roadmap!$D:$D,0)+COUNTIF($E161:Y161,"u")+COUNTIF($E161:Y161,"t"),
     INDEX(Roadmap!$D:$K,MATCH($E161,Roadmap!$D:$D,0)+COUNTIF($E161:Y161,"u")+COUNTIF($E161:Y161,"t")+COUNTIF($E161:Y161,"¶")+COUNTIF($E161:Y161,"²")+COUNTIF($E161:Y161,"µ")+COUNTIF($E161:Y161,1),ColTypeEcheance)),
  IF(LEN(Y161)=1,
  IF(LEN(INDEX(Roadmap!$D:$K,MATCH($E161,Roadmap!$D:$D,0)-1+COUNTIF($E161:Y161,"u")+COUNTIF($E161:Y161,"t")+COUNTIF($E161:Y161,"¶")+COUNTIF($E161:Y161,"²")+COUNTIF($E161:Y161,"µ")+COUNTIF($E161:Y161,1),ColDescriptionCourte))&gt;1,
HYPERLINK("#Roadmap!C"&amp; MATCH($E161,Roadmap!$D:$D,0)+COUNTIF($E161:Y161,"u")+COUNTIF($E161:Y161,"t")+COUNTIF($E161:Y161,"¶")+COUNTIF($E161:Y161,"²")+COUNTIF($E161:Y161,"µ")+COUNTIF($E161:Y161,1)-1,INDEX(Roadmap!$D:$K,MATCH($E161,Roadmap!$D:$D,0)-1+COUNTIF($E161:Y161,"u")+COUNTIF($E161:Y161,"t")+COUNTIF($E161:Y161,"¶")+COUNTIF($E161:Y161,"²")+COUNTIF($E161:Y161,"µ")+COUNTIF($E161:Y161,1),ColDescriptionCourte)),""),
  "")),"")</f>
        <v/>
      </c>
      <c r="AA161" s="40" t="str">
        <f ca="1">IFERROR(IF(AND(
  INDEX(Roadmap!$D:$K,MATCH($E161,Roadmap!$D:$D,0)+COUNTIF($E161:Z161,"u")+COUNTIF($E161:Z161,"t")+COUNTIF($E161:Z161,"¶")+COUNTIF($E161:Z161,"²")+COUNTIF($E161:Z161,"µ")+COUNTIF($E161:Z161,1),ColLivraison)=AA$6,
  VLOOKUP($E161,INDIRECT("tri!"&amp; CHAR(64+ C0Col) &amp;":"&amp; CHAR(65+C0Col)),2,FALSE)&gt;COUNTIF($E161:Z161,"u")+COUNTIF($E161:Z161,"t")+COUNTIF($E161:Z161,"¶")+COUNTIF($E161:Z161,"²")+COUNTIF($E161:Z161,"µ")+COUNTIF($E161:Z161,1)),
HYPERLINK("#Roadmap!C"&amp; MATCH($E161,Roadmap!$D:$D,0)+COUNTIF($E161:Z161,"u")+COUNTIF($E161:Z161,"t"),
     INDEX(Roadmap!$D:$K,MATCH($E161,Roadmap!$D:$D,0)+COUNTIF($E161:Z161,"u")+COUNTIF($E161:Z161,"t")+COUNTIF($E161:Z161,"¶")+COUNTIF($E161:Z161,"²")+COUNTIF($E161:Z161,"µ")+COUNTIF($E161:Z161,1),ColTypeEcheance)),
  IF(LEN(Z161)=1,
  IF(LEN(INDEX(Roadmap!$D:$K,MATCH($E161,Roadmap!$D:$D,0)-1+COUNTIF($E161:Z161,"u")+COUNTIF($E161:Z161,"t")+COUNTIF($E161:Z161,"¶")+COUNTIF($E161:Z161,"²")+COUNTIF($E161:Z161,"µ")+COUNTIF($E161:Z161,1),ColDescriptionCourte))&gt;1,
HYPERLINK("#Roadmap!C"&amp; MATCH($E161,Roadmap!$D:$D,0)+COUNTIF($E161:Z161,"u")+COUNTIF($E161:Z161,"t")+COUNTIF($E161:Z161,"¶")+COUNTIF($E161:Z161,"²")+COUNTIF($E161:Z161,"µ")+COUNTIF($E161:Z161,1)-1,INDEX(Roadmap!$D:$K,MATCH($E161,Roadmap!$D:$D,0)-1+COUNTIF($E161:Z161,"u")+COUNTIF($E161:Z161,"t")+COUNTIF($E161:Z161,"¶")+COUNTIF($E161:Z161,"²")+COUNTIF($E161:Z161,"µ")+COUNTIF($E161:Z161,1),ColDescriptionCourte)),""),
  "")),"")</f>
        <v/>
      </c>
      <c r="AB161" s="40" t="str">
        <f ca="1">IFERROR(IF(AND(
  INDEX(Roadmap!$D:$K,MATCH($E161,Roadmap!$D:$D,0)+COUNTIF($E161:AA161,"u")+COUNTIF($E161:AA161,"t")+COUNTIF($E161:AA161,"¶")+COUNTIF($E161:AA161,"²")+COUNTIF($E161:AA161,"µ")+COUNTIF($E161:AA161,1),ColLivraison)=AB$6,
  VLOOKUP($E161,INDIRECT("tri!"&amp; CHAR(64+ C0Col) &amp;":"&amp; CHAR(65+C0Col)),2,FALSE)&gt;COUNTIF($E161:AA161,"u")+COUNTIF($E161:AA161,"t")+COUNTIF($E161:AA161,"¶")+COUNTIF($E161:AA161,"²")+COUNTIF($E161:AA161,"µ")+COUNTIF($E161:AA161,1)),
HYPERLINK("#Roadmap!C"&amp; MATCH($E161,Roadmap!$D:$D,0)+COUNTIF($E161:AA161,"u")+COUNTIF($E161:AA161,"t"),
     INDEX(Roadmap!$D:$K,MATCH($E161,Roadmap!$D:$D,0)+COUNTIF($E161:AA161,"u")+COUNTIF($E161:AA161,"t")+COUNTIF($E161:AA161,"¶")+COUNTIF($E161:AA161,"²")+COUNTIF($E161:AA161,"µ")+COUNTIF($E161:AA161,1),ColTypeEcheance)),
  IF(LEN(AA161)=1,
  IF(LEN(INDEX(Roadmap!$D:$K,MATCH($E161,Roadmap!$D:$D,0)-1+COUNTIF($E161:AA161,"u")+COUNTIF($E161:AA161,"t")+COUNTIF($E161:AA161,"¶")+COUNTIF($E161:AA161,"²")+COUNTIF($E161:AA161,"µ")+COUNTIF($E161:AA161,1),ColDescriptionCourte))&gt;1,
HYPERLINK("#Roadmap!C"&amp; MATCH($E161,Roadmap!$D:$D,0)+COUNTIF($E161:AA161,"u")+COUNTIF($E161:AA161,"t")+COUNTIF($E161:AA161,"¶")+COUNTIF($E161:AA161,"²")+COUNTIF($E161:AA161,"µ")+COUNTIF($E161:AA161,1)-1,INDEX(Roadmap!$D:$K,MATCH($E161,Roadmap!$D:$D,0)-1+COUNTIF($E161:AA161,"u")+COUNTIF($E161:AA161,"t")+COUNTIF($E161:AA161,"¶")+COUNTIF($E161:AA161,"²")+COUNTIF($E161:AA161,"µ")+COUNTIF($E161:AA161,1),ColDescriptionCourte)),""),
  "")),"")</f>
        <v/>
      </c>
      <c r="AC161" s="40" t="str">
        <f ca="1">IFERROR(IF(AND(
  INDEX(Roadmap!$D:$K,MATCH($E161,Roadmap!$D:$D,0)+COUNTIF($E161:AB161,"u")+COUNTIF($E161:AB161,"t")+COUNTIF($E161:AB161,"¶")+COUNTIF($E161:AB161,"²")+COUNTIF($E161:AB161,"µ")+COUNTIF($E161:AB161,1),ColLivraison)=AC$6,
  VLOOKUP($E161,INDIRECT("tri!"&amp; CHAR(64+ C0Col) &amp;":"&amp; CHAR(65+C0Col)),2,FALSE)&gt;COUNTIF($E161:AB161,"u")+COUNTIF($E161:AB161,"t")+COUNTIF($E161:AB161,"¶")+COUNTIF($E161:AB161,"²")+COUNTIF($E161:AB161,"µ")+COUNTIF($E161:AB161,1)),
HYPERLINK("#Roadmap!C"&amp; MATCH($E161,Roadmap!$D:$D,0)+COUNTIF($E161:AB161,"u")+COUNTIF($E161:AB161,"t"),
     INDEX(Roadmap!$D:$K,MATCH($E161,Roadmap!$D:$D,0)+COUNTIF($E161:AB161,"u")+COUNTIF($E161:AB161,"t")+COUNTIF($E161:AB161,"¶")+COUNTIF($E161:AB161,"²")+COUNTIF($E161:AB161,"µ")+COUNTIF($E161:AB161,1),ColTypeEcheance)),
  IF(LEN(AB161)=1,
  IF(LEN(INDEX(Roadmap!$D:$K,MATCH($E161,Roadmap!$D:$D,0)-1+COUNTIF($E161:AB161,"u")+COUNTIF($E161:AB161,"t")+COUNTIF($E161:AB161,"¶")+COUNTIF($E161:AB161,"²")+COUNTIF($E161:AB161,"µ")+COUNTIF($E161:AB161,1),ColDescriptionCourte))&gt;1,
HYPERLINK("#Roadmap!C"&amp; MATCH($E161,Roadmap!$D:$D,0)+COUNTIF($E161:AB161,"u")+COUNTIF($E161:AB161,"t")+COUNTIF($E161:AB161,"¶")+COUNTIF($E161:AB161,"²")+COUNTIF($E161:AB161,"µ")+COUNTIF($E161:AB161,1)-1,INDEX(Roadmap!$D:$K,MATCH($E161,Roadmap!$D:$D,0)-1+COUNTIF($E161:AB161,"u")+COUNTIF($E161:AB161,"t")+COUNTIF($E161:AB161,"¶")+COUNTIF($E161:AB161,"²")+COUNTIF($E161:AB161,"µ")+COUNTIF($E161:AB161,1),ColDescriptionCourte)),""),
  "")),"")</f>
        <v/>
      </c>
      <c r="AD161" s="40" t="str">
        <f ca="1">IFERROR(IF(AND(
  INDEX(Roadmap!$D:$K,MATCH($E161,Roadmap!$D:$D,0)+COUNTIF($E161:AC161,"u")+COUNTIF($E161:AC161,"t")+COUNTIF($E161:AC161,"¶")+COUNTIF($E161:AC161,"²")+COUNTIF($E161:AC161,"µ")+COUNTIF($E161:AC161,1),ColLivraison)=AD$6,
  VLOOKUP($E161,INDIRECT("tri!"&amp; CHAR(64+ C0Col) &amp;":"&amp; CHAR(65+C0Col)),2,FALSE)&gt;COUNTIF($E161:AC161,"u")+COUNTIF($E161:AC161,"t")+COUNTIF($E161:AC161,"¶")+COUNTIF($E161:AC161,"²")+COUNTIF($E161:AC161,"µ")+COUNTIF($E161:AC161,1)),
HYPERLINK("#Roadmap!C"&amp; MATCH($E161,Roadmap!$D:$D,0)+COUNTIF($E161:AC161,"u")+COUNTIF($E161:AC161,"t"),
     INDEX(Roadmap!$D:$K,MATCH($E161,Roadmap!$D:$D,0)+COUNTIF($E161:AC161,"u")+COUNTIF($E161:AC161,"t")+COUNTIF($E161:AC161,"¶")+COUNTIF($E161:AC161,"²")+COUNTIF($E161:AC161,"µ")+COUNTIF($E161:AC161,1),ColTypeEcheance)),
  IF(LEN(AC161)=1,
  IF(LEN(INDEX(Roadmap!$D:$K,MATCH($E161,Roadmap!$D:$D,0)-1+COUNTIF($E161:AC161,"u")+COUNTIF($E161:AC161,"t")+COUNTIF($E161:AC161,"¶")+COUNTIF($E161:AC161,"²")+COUNTIF($E161:AC161,"µ")+COUNTIF($E161:AC161,1),ColDescriptionCourte))&gt;1,
HYPERLINK("#Roadmap!C"&amp; MATCH($E161,Roadmap!$D:$D,0)+COUNTIF($E161:AC161,"u")+COUNTIF($E161:AC161,"t")+COUNTIF($E161:AC161,"¶")+COUNTIF($E161:AC161,"²")+COUNTIF($E161:AC161,"µ")+COUNTIF($E161:AC161,1)-1,INDEX(Roadmap!$D:$K,MATCH($E161,Roadmap!$D:$D,0)-1+COUNTIF($E161:AC161,"u")+COUNTIF($E161:AC161,"t")+COUNTIF($E161:AC161,"¶")+COUNTIF($E161:AC161,"²")+COUNTIF($E161:AC161,"µ")+COUNTIF($E161:AC161,1),ColDescriptionCourte)),""),
  "")),"")</f>
        <v/>
      </c>
      <c r="AE161" s="40" t="str">
        <f ca="1">IFERROR(IF(AND(
  INDEX(Roadmap!$D:$K,MATCH($E161,Roadmap!$D:$D,0)+COUNTIF($E161:AD161,"u")+COUNTIF($E161:AD161,"t")+COUNTIF($E161:AD161,"¶")+COUNTIF($E161:AD161,"²")+COUNTIF($E161:AD161,"µ")+COUNTIF($E161:AD161,1),ColLivraison)=AE$6,
  VLOOKUP($E161,INDIRECT("tri!"&amp; CHAR(64+ C0Col) &amp;":"&amp; CHAR(65+C0Col)),2,FALSE)&gt;COUNTIF($E161:AD161,"u")+COUNTIF($E161:AD161,"t")+COUNTIF($E161:AD161,"¶")+COUNTIF($E161:AD161,"²")+COUNTIF($E161:AD161,"µ")+COUNTIF($E161:AD161,1)),
HYPERLINK("#Roadmap!C"&amp; MATCH($E161,Roadmap!$D:$D,0)+COUNTIF($E161:AD161,"u")+COUNTIF($E161:AD161,"t"),
     INDEX(Roadmap!$D:$K,MATCH($E161,Roadmap!$D:$D,0)+COUNTIF($E161:AD161,"u")+COUNTIF($E161:AD161,"t")+COUNTIF($E161:AD161,"¶")+COUNTIF($E161:AD161,"²")+COUNTIF($E161:AD161,"µ")+COUNTIF($E161:AD161,1),ColTypeEcheance)),
  IF(LEN(AD161)=1,
  IF(LEN(INDEX(Roadmap!$D:$K,MATCH($E161,Roadmap!$D:$D,0)-1+COUNTIF($E161:AD161,"u")+COUNTIF($E161:AD161,"t")+COUNTIF($E161:AD161,"¶")+COUNTIF($E161:AD161,"²")+COUNTIF($E161:AD161,"µ")+COUNTIF($E161:AD161,1),ColDescriptionCourte))&gt;1,
HYPERLINK("#Roadmap!C"&amp; MATCH($E161,Roadmap!$D:$D,0)+COUNTIF($E161:AD161,"u")+COUNTIF($E161:AD161,"t")+COUNTIF($E161:AD161,"¶")+COUNTIF($E161:AD161,"²")+COUNTIF($E161:AD161,"µ")+COUNTIF($E161:AD161,1)-1,INDEX(Roadmap!$D:$K,MATCH($E161,Roadmap!$D:$D,0)-1+COUNTIF($E161:AD161,"u")+COUNTIF($E161:AD161,"t")+COUNTIF($E161:AD161,"¶")+COUNTIF($E161:AD161,"²")+COUNTIF($E161:AD161,"µ")+COUNTIF($E161:AD161,1),ColDescriptionCourte)),""),
  "")),"")</f>
        <v/>
      </c>
      <c r="AF161" s="40" t="str">
        <f ca="1">IFERROR(IF(AND(
  INDEX(Roadmap!$D:$K,MATCH($E161,Roadmap!$D:$D,0)+COUNTIF($E161:AE161,"u")+COUNTIF($E161:AE161,"t")+COUNTIF($E161:AE161,"¶")+COUNTIF($E161:AE161,"²")+COUNTIF($E161:AE161,"µ")+COUNTIF($E161:AE161,1),ColLivraison)=AF$6,
  VLOOKUP($E161,INDIRECT("tri!"&amp; CHAR(64+ C0Col) &amp;":"&amp; CHAR(65+C0Col)),2,FALSE)&gt;COUNTIF($E161:AE161,"u")+COUNTIF($E161:AE161,"t")+COUNTIF($E161:AE161,"¶")+COUNTIF($E161:AE161,"²")+COUNTIF($E161:AE161,"µ")+COUNTIF($E161:AE161,1)),
HYPERLINK("#Roadmap!C"&amp; MATCH($E161,Roadmap!$D:$D,0)+COUNTIF($E161:AE161,"u")+COUNTIF($E161:AE161,"t"),
     INDEX(Roadmap!$D:$K,MATCH($E161,Roadmap!$D:$D,0)+COUNTIF($E161:AE161,"u")+COUNTIF($E161:AE161,"t")+COUNTIF($E161:AE161,"¶")+COUNTIF($E161:AE161,"²")+COUNTIF($E161:AE161,"µ")+COUNTIF($E161:AE161,1),ColTypeEcheance)),
  IF(LEN(AE161)=1,
  IF(LEN(INDEX(Roadmap!$D:$K,MATCH($E161,Roadmap!$D:$D,0)-1+COUNTIF($E161:AE161,"u")+COUNTIF($E161:AE161,"t")+COUNTIF($E161:AE161,"¶")+COUNTIF($E161:AE161,"²")+COUNTIF($E161:AE161,"µ")+COUNTIF($E161:AE161,1),ColDescriptionCourte))&gt;1,
HYPERLINK("#Roadmap!C"&amp; MATCH($E161,Roadmap!$D:$D,0)+COUNTIF($E161:AE161,"u")+COUNTIF($E161:AE161,"t")+COUNTIF($E161:AE161,"¶")+COUNTIF($E161:AE161,"²")+COUNTIF($E161:AE161,"µ")+COUNTIF($E161:AE161,1)-1,INDEX(Roadmap!$D:$K,MATCH($E161,Roadmap!$D:$D,0)-1+COUNTIF($E161:AE161,"u")+COUNTIF($E161:AE161,"t")+COUNTIF($E161:AE161,"¶")+COUNTIF($E161:AE161,"²")+COUNTIF($E161:AE161,"µ")+COUNTIF($E161:AE161,1),ColDescriptionCourte)),""),
  "")),"")</f>
        <v/>
      </c>
      <c r="AG161" s="40" t="str">
        <f ca="1">IFERROR(IF(AND(
  INDEX(Roadmap!$D:$K,MATCH($E161,Roadmap!$D:$D,0)+COUNTIF($E161:AF161,"u")+COUNTIF($E161:AF161,"t")+COUNTIF($E161:AF161,"¶")+COUNTIF($E161:AF161,"²")+COUNTIF($E161:AF161,"µ")+COUNTIF($E161:AF161,1),ColLivraison)=AG$6,
  VLOOKUP($E161,INDIRECT("tri!"&amp; CHAR(64+ C0Col) &amp;":"&amp; CHAR(65+C0Col)),2,FALSE)&gt;COUNTIF($E161:AF161,"u")+COUNTIF($E161:AF161,"t")+COUNTIF($E161:AF161,"¶")+COUNTIF($E161:AF161,"²")+COUNTIF($E161:AF161,"µ")+COUNTIF($E161:AF161,1)),
HYPERLINK("#Roadmap!C"&amp; MATCH($E161,Roadmap!$D:$D,0)+COUNTIF($E161:AF161,"u")+COUNTIF($E161:AF161,"t"),
     INDEX(Roadmap!$D:$K,MATCH($E161,Roadmap!$D:$D,0)+COUNTIF($E161:AF161,"u")+COUNTIF($E161:AF161,"t")+COUNTIF($E161:AF161,"¶")+COUNTIF($E161:AF161,"²")+COUNTIF($E161:AF161,"µ")+COUNTIF($E161:AF161,1),ColTypeEcheance)),
  IF(LEN(AF161)=1,
  IF(LEN(INDEX(Roadmap!$D:$K,MATCH($E161,Roadmap!$D:$D,0)-1+COUNTIF($E161:AF161,"u")+COUNTIF($E161:AF161,"t")+COUNTIF($E161:AF161,"¶")+COUNTIF($E161:AF161,"²")+COUNTIF($E161:AF161,"µ")+COUNTIF($E161:AF161,1),ColDescriptionCourte))&gt;1,
HYPERLINK("#Roadmap!C"&amp; MATCH($E161,Roadmap!$D:$D,0)+COUNTIF($E161:AF161,"u")+COUNTIF($E161:AF161,"t")+COUNTIF($E161:AF161,"¶")+COUNTIF($E161:AF161,"²")+COUNTIF($E161:AF161,"µ")+COUNTIF($E161:AF161,1)-1,INDEX(Roadmap!$D:$K,MATCH($E161,Roadmap!$D:$D,0)-1+COUNTIF($E161:AF161,"u")+COUNTIF($E161:AF161,"t")+COUNTIF($E161:AF161,"¶")+COUNTIF($E161:AF161,"²")+COUNTIF($E161:AF161,"µ")+COUNTIF($E161:AF161,1),ColDescriptionCourte)),""),
  "")),"")</f>
        <v/>
      </c>
      <c r="AH161" s="40" t="str">
        <f ca="1">IFERROR(IF(AND(
  INDEX(Roadmap!$D:$K,MATCH($E161,Roadmap!$D:$D,0)+COUNTIF($E161:AG161,"u")+COUNTIF($E161:AG161,"t")+COUNTIF($E161:AG161,1),ColLivraison)=AH$6,
  VLOOKUP($E161,INDIRECT("tri!"&amp; CHAR(64+ C0Col) &amp;":"&amp; CHAR(65+C0Col)),2,FALSE)&gt;COUNTIF($E161:AG161,"u")+COUNTIF($E161:AG161,"t")+COUNTIF($E161:AG161,1)),
HYPERLINK("#Roadmap!C"&amp; MATCH($E161,Roadmap!$D:$D,0)+COUNTIF($E161:AG161,"u")+COUNTIF($E161:AG161,"t"),
     INDEX(Roadmap!$D:$K,MATCH($E161,Roadmap!$D:$D,0)+COUNTIF($E161:AG161,"u")+COUNTIF($E161:AG161,"t")+COUNTIF($E161:AG161,1),ColTypeEcheance)),
  IF(OR(AG161="u",AG161="t",AG161=1),
  IF(LEN(INDEX(Roadmap!$D:$K,MATCH($E161,Roadmap!$D:$D,0)-1+COUNTIF($E161:AG161,"u")+COUNTIF($E161:AG161,"t")+COUNTIF($E161:AG161,1),ColDescriptionCourte))&gt;1,
HYPERLINK("#Roadmap!C"&amp; MATCH($E161,Roadmap!$D:$D,0)+COUNTIF($E161:AG161,"u")+COUNTIF($E161:AG161,"t")+COUNTIF($E161:AG161,1)-1,INDEX(Roadmap!$D:$K,MATCH($E161,Roadmap!$D:$D,0)-1+COUNTIF($E161:AG161,"u")+COUNTIF($E161:AG161,"t")+COUNTIF($E161:AG161,1),ColDescriptionCourte)),""),
  "")),"")</f>
        <v/>
      </c>
      <c r="AI161" s="40"/>
      <c r="AJ161" s="40"/>
      <c r="AK161" s="40"/>
      <c r="AL161" s="40"/>
      <c r="AM161" s="40"/>
    </row>
    <row r="162" spans="4:39" ht="14.1" customHeight="1">
      <c r="D162" s="20" t="str">
        <f t="shared" ca="1" si="31"/>
        <v/>
      </c>
      <c r="E162" s="53" t="str">
        <f t="shared" ca="1" si="32"/>
        <v/>
      </c>
      <c r="F162" s="39" t="str">
        <f ca="1">IFERROR(IF(AND(
  INDEX(Roadmap!$D:$K,MATCH($E162,Roadmap!$D:$D,0)+COUNTIF($E162:E162,"u")+COUNTIF($E162:E162,"t")+COUNTIF($E162:E162,"¶")+COUNTIF($E162:E162,"²")+COUNTIF($E162:E162,"µ")+COUNTIF($E162:E162,1),ColLivraison)=F$6,
  VLOOKUP($E162,INDIRECT("tri!"&amp; CHAR(64+ C0Col) &amp;":"&amp; CHAR(65+C0Col)),2,FALSE)&gt;COUNTIF($E162:E162,"u")+COUNTIF($E162:E162,"t")+COUNTIF($E162:E162,"¶")+COUNTIF($E162:E162,"²")+COUNTIF($E162:E162,"µ")+COUNTIF($E162:E162,1)),
HYPERLINK("#Roadmap!C"&amp; MATCH($E162,Roadmap!$D:$D,0)+COUNTIF($E162:E162,"u")+COUNTIF($E162:E162,"t"),
     INDEX(Roadmap!$D:$K,MATCH($E162,Roadmap!$D:$D,0)+COUNTIF($E162:E162,"u")+COUNTIF($E162:E162,"t")+COUNTIF($E162:E162,"¶")+COUNTIF($E162:E162,"²")+COUNTIF($E162:E162,"µ")+COUNTIF($E162:E162,1),ColTypeEcheance)),
  IF(LEN(E162)=1,
  IF(LEN(INDEX(Roadmap!$D:$K,MATCH($E162,Roadmap!$D:$D,0)-1+COUNTIF($E162:E162,"u")+COUNTIF($E162:E162,"t")+COUNTIF($E162:E162,"¶")+COUNTIF($E162:E162,"²")+COUNTIF($E162:E162,"µ")+COUNTIF($E162:E162,1),ColDescriptionCourte))&gt;1,
HYPERLINK("#Roadmap!C"&amp; MATCH($E162,Roadmap!$D:$D,0)+COUNTIF($E162:E162,"u")+COUNTIF($E162:E162,"t")+COUNTIF($E162:E162,"¶")+COUNTIF($E162:E162,"²")+COUNTIF($E162:E162,"µ")+COUNTIF($E162:E162,1)-1,INDEX(Roadmap!$D:$K,MATCH($E162,Roadmap!$D:$D,0)-1+COUNTIF($E162:E162,"u")+COUNTIF($E162:E162,"t")+COUNTIF($E162:E162,"¶")+COUNTIF($E162:E162,"²")+COUNTIF($E162:E162,"µ")+COUNTIF($E162:E162,1),ColDescriptionCourte)),""),
  "")),"")</f>
        <v/>
      </c>
      <c r="G162" s="40" t="str">
        <f ca="1">IFERROR(IF(AND(
  INDEX(Roadmap!$D:$K,MATCH($E162,Roadmap!$D:$D,0)+COUNTIF($E162:F162,"u")+COUNTIF($E162:F162,"t")+COUNTIF($E162:F162,"¶")+COUNTIF($E162:F162,"²")+COUNTIF($E162:F162,"µ")+COUNTIF($E162:F162,1),ColLivraison)=G$6,
  VLOOKUP($E162,INDIRECT("tri!"&amp; CHAR(64+ C0Col) &amp;":"&amp; CHAR(65+C0Col)),2,FALSE)&gt;COUNTIF($E162:F162,"u")+COUNTIF($E162:F162,"t")+COUNTIF($E162:F162,"¶")+COUNTIF($E162:F162,"²")+COUNTIF($E162:F162,"µ")+COUNTIF($E162:F162,1)),
HYPERLINK("#Roadmap!C"&amp; MATCH($E162,Roadmap!$D:$D,0)+COUNTIF($E162:F162,"u")+COUNTIF($E162:F162,"t"),
     INDEX(Roadmap!$D:$K,MATCH($E162,Roadmap!$D:$D,0)+COUNTIF($E162:F162,"u")+COUNTIF($E162:F162,"t")+COUNTIF($E162:F162,"¶")+COUNTIF($E162:F162,"²")+COUNTIF($E162:F162,"µ")+COUNTIF($E162:F162,1),ColTypeEcheance)),
  IF(LEN(F162)=1,
  IF(LEN(INDEX(Roadmap!$D:$K,MATCH($E162,Roadmap!$D:$D,0)-1+COUNTIF($E162:F162,"u")+COUNTIF($E162:F162,"t")+COUNTIF($E162:F162,"¶")+COUNTIF($E162:F162,"²")+COUNTIF($E162:F162,"µ")+COUNTIF($E162:F162,1),ColDescriptionCourte))&gt;1,
HYPERLINK("#Roadmap!C"&amp; MATCH($E162,Roadmap!$D:$D,0)+COUNTIF($E162:F162,"u")+COUNTIF($E162:F162,"t")+COUNTIF($E162:F162,"¶")+COUNTIF($E162:F162,"²")+COUNTIF($E162:F162,"µ")+COUNTIF($E162:F162,1)-1,INDEX(Roadmap!$D:$K,MATCH($E162,Roadmap!$D:$D,0)-1+COUNTIF($E162:F162,"u")+COUNTIF($E162:F162,"t")+COUNTIF($E162:F162,"¶")+COUNTIF($E162:F162,"²")+COUNTIF($E162:F162,"µ")+COUNTIF($E162:F162,1),ColDescriptionCourte)),""),
  "")),"")</f>
        <v/>
      </c>
      <c r="H162" s="40" t="str">
        <f ca="1">IFERROR(IF(AND(
  INDEX(Roadmap!$D:$K,MATCH($E162,Roadmap!$D:$D,0)+COUNTIF($E162:G162,"u")+COUNTIF($E162:G162,"t")+COUNTIF($E162:G162,"¶")+COUNTIF($E162:G162,"²")+COUNTIF($E162:G162,"µ")+COUNTIF($E162:G162,1),ColLivraison)=H$6,
  VLOOKUP($E162,INDIRECT("tri!"&amp; CHAR(64+ C0Col) &amp;":"&amp; CHAR(65+C0Col)),2,FALSE)&gt;COUNTIF($E162:G162,"u")+COUNTIF($E162:G162,"t")+COUNTIF($E162:G162,"¶")+COUNTIF($E162:G162,"²")+COUNTIF($E162:G162,"µ")+COUNTIF($E162:G162,1)),
HYPERLINK("#Roadmap!C"&amp; MATCH($E162,Roadmap!$D:$D,0)+COUNTIF($E162:G162,"u")+COUNTIF($E162:G162,"t"),
     INDEX(Roadmap!$D:$K,MATCH($E162,Roadmap!$D:$D,0)+COUNTIF($E162:G162,"u")+COUNTIF($E162:G162,"t")+COUNTIF($E162:G162,"¶")+COUNTIF($E162:G162,"²")+COUNTIF($E162:G162,"µ")+COUNTIF($E162:G162,1),ColTypeEcheance)),
  IF(LEN(G162)=1,
  IF(LEN(INDEX(Roadmap!$D:$K,MATCH($E162,Roadmap!$D:$D,0)-1+COUNTIF($E162:G162,"u")+COUNTIF($E162:G162,"t")+COUNTIF($E162:G162,"¶")+COUNTIF($E162:G162,"²")+COUNTIF($E162:G162,"µ")+COUNTIF($E162:G162,1),ColDescriptionCourte))&gt;1,
HYPERLINK("#Roadmap!C"&amp; MATCH($E162,Roadmap!$D:$D,0)+COUNTIF($E162:G162,"u")+COUNTIF($E162:G162,"t")+COUNTIF($E162:G162,"¶")+COUNTIF($E162:G162,"²")+COUNTIF($E162:G162,"µ")+COUNTIF($E162:G162,1)-1,INDEX(Roadmap!$D:$K,MATCH($E162,Roadmap!$D:$D,0)-1+COUNTIF($E162:G162,"u")+COUNTIF($E162:G162,"t")+COUNTIF($E162:G162,"¶")+COUNTIF($E162:G162,"²")+COUNTIF($E162:G162,"µ")+COUNTIF($E162:G162,1),ColDescriptionCourte)),""),
  "")),"")</f>
        <v/>
      </c>
      <c r="I162" s="40" t="str">
        <f ca="1">IFERROR(IF(AND(
  INDEX(Roadmap!$D:$K,MATCH($E162,Roadmap!$D:$D,0)+COUNTIF($E162:H162,"u")+COUNTIF($E162:H162,"t")+COUNTIF($E162:H162,"¶")+COUNTIF($E162:H162,"²")+COUNTIF($E162:H162,"µ")+COUNTIF($E162:H162,1),ColLivraison)=I$6,
  VLOOKUP($E162,INDIRECT("tri!"&amp; CHAR(64+ C0Col) &amp;":"&amp; CHAR(65+C0Col)),2,FALSE)&gt;COUNTIF($E162:H162,"u")+COUNTIF($E162:H162,"t")+COUNTIF($E162:H162,"¶")+COUNTIF($E162:H162,"²")+COUNTIF($E162:H162,"µ")+COUNTIF($E162:H162,1)),
HYPERLINK("#Roadmap!C"&amp; MATCH($E162,Roadmap!$D:$D,0)+COUNTIF($E162:H162,"u")+COUNTIF($E162:H162,"t"),
     INDEX(Roadmap!$D:$K,MATCH($E162,Roadmap!$D:$D,0)+COUNTIF($E162:H162,"u")+COUNTIF($E162:H162,"t")+COUNTIF($E162:H162,"¶")+COUNTIF($E162:H162,"²")+COUNTIF($E162:H162,"µ")+COUNTIF($E162:H162,1),ColTypeEcheance)),
  IF(LEN(H162)=1,
  IF(LEN(INDEX(Roadmap!$D:$K,MATCH($E162,Roadmap!$D:$D,0)-1+COUNTIF($E162:H162,"u")+COUNTIF($E162:H162,"t")+COUNTIF($E162:H162,"¶")+COUNTIF($E162:H162,"²")+COUNTIF($E162:H162,"µ")+COUNTIF($E162:H162,1),ColDescriptionCourte))&gt;1,
HYPERLINK("#Roadmap!C"&amp; MATCH($E162,Roadmap!$D:$D,0)+COUNTIF($E162:H162,"u")+COUNTIF($E162:H162,"t")+COUNTIF($E162:H162,"¶")+COUNTIF($E162:H162,"²")+COUNTIF($E162:H162,"µ")+COUNTIF($E162:H162,1)-1,INDEX(Roadmap!$D:$K,MATCH($E162,Roadmap!$D:$D,0)-1+COUNTIF($E162:H162,"u")+COUNTIF($E162:H162,"t")+COUNTIF($E162:H162,"¶")+COUNTIF($E162:H162,"²")+COUNTIF($E162:H162,"µ")+COUNTIF($E162:H162,1),ColDescriptionCourte)),""),
  "")),"")</f>
        <v/>
      </c>
      <c r="J162" s="40" t="str">
        <f ca="1">IFERROR(IF(AND(
  INDEX(Roadmap!$D:$K,MATCH($E162,Roadmap!$D:$D,0)+COUNTIF($E162:I162,"u")+COUNTIF($E162:I162,"t")+COUNTIF($E162:I162,"¶")+COUNTIF($E162:I162,"²")+COUNTIF($E162:I162,"µ")+COUNTIF($E162:I162,1),ColLivraison)=J$6,
  VLOOKUP($E162,INDIRECT("tri!"&amp; CHAR(64+ C0Col) &amp;":"&amp; CHAR(65+C0Col)),2,FALSE)&gt;COUNTIF($E162:I162,"u")+COUNTIF($E162:I162,"t")+COUNTIF($E162:I162,"¶")+COUNTIF($E162:I162,"²")+COUNTIF($E162:I162,"µ")+COUNTIF($E162:I162,1)),
HYPERLINK("#Roadmap!C"&amp; MATCH($E162,Roadmap!$D:$D,0)+COUNTIF($E162:I162,"u")+COUNTIF($E162:I162,"t"),
     INDEX(Roadmap!$D:$K,MATCH($E162,Roadmap!$D:$D,0)+COUNTIF($E162:I162,"u")+COUNTIF($E162:I162,"t")+COUNTIF($E162:I162,"¶")+COUNTIF($E162:I162,"²")+COUNTIF($E162:I162,"µ")+COUNTIF($E162:I162,1),ColTypeEcheance)),
  IF(LEN(I162)=1,
  IF(LEN(INDEX(Roadmap!$D:$K,MATCH($E162,Roadmap!$D:$D,0)-1+COUNTIF($E162:I162,"u")+COUNTIF($E162:I162,"t")+COUNTIF($E162:I162,"¶")+COUNTIF($E162:I162,"²")+COUNTIF($E162:I162,"µ")+COUNTIF($E162:I162,1),ColDescriptionCourte))&gt;1,
HYPERLINK("#Roadmap!C"&amp; MATCH($E162,Roadmap!$D:$D,0)+COUNTIF($E162:I162,"u")+COUNTIF($E162:I162,"t")+COUNTIF($E162:I162,"¶")+COUNTIF($E162:I162,"²")+COUNTIF($E162:I162,"µ")+COUNTIF($E162:I162,1)-1,INDEX(Roadmap!$D:$K,MATCH($E162,Roadmap!$D:$D,0)-1+COUNTIF($E162:I162,"u")+COUNTIF($E162:I162,"t")+COUNTIF($E162:I162,"¶")+COUNTIF($E162:I162,"²")+COUNTIF($E162:I162,"µ")+COUNTIF($E162:I162,1),ColDescriptionCourte)),""),
  "")),"")</f>
        <v/>
      </c>
      <c r="K162" s="40" t="str">
        <f ca="1">IFERROR(IF(AND(
  INDEX(Roadmap!$D:$K,MATCH($E162,Roadmap!$D:$D,0)+COUNTIF($E162:J162,"u")+COUNTIF($E162:J162,"t")+COUNTIF($E162:J162,"¶")+COUNTIF($E162:J162,"²")+COUNTIF($E162:J162,"µ")+COUNTIF($E162:J162,1),ColLivraison)=K$6,
  VLOOKUP($E162,INDIRECT("tri!"&amp; CHAR(64+ C0Col) &amp;":"&amp; CHAR(65+C0Col)),2,FALSE)&gt;COUNTIF($E162:J162,"u")+COUNTIF($E162:J162,"t")+COUNTIF($E162:J162,"¶")+COUNTIF($E162:J162,"²")+COUNTIF($E162:J162,"µ")+COUNTIF($E162:J162,1)),
HYPERLINK("#Roadmap!C"&amp; MATCH($E162,Roadmap!$D:$D,0)+COUNTIF($E162:J162,"u")+COUNTIF($E162:J162,"t"),
     INDEX(Roadmap!$D:$K,MATCH($E162,Roadmap!$D:$D,0)+COUNTIF($E162:J162,"u")+COUNTIF($E162:J162,"t")+COUNTIF($E162:J162,"¶")+COUNTIF($E162:J162,"²")+COUNTIF($E162:J162,"µ")+COUNTIF($E162:J162,1),ColTypeEcheance)),
  IF(LEN(J162)=1,
  IF(LEN(INDEX(Roadmap!$D:$K,MATCH($E162,Roadmap!$D:$D,0)-1+COUNTIF($E162:J162,"u")+COUNTIF($E162:J162,"t")+COUNTIF($E162:J162,"¶")+COUNTIF($E162:J162,"²")+COUNTIF($E162:J162,"µ")+COUNTIF($E162:J162,1),ColDescriptionCourte))&gt;1,
HYPERLINK("#Roadmap!C"&amp; MATCH($E162,Roadmap!$D:$D,0)+COUNTIF($E162:J162,"u")+COUNTIF($E162:J162,"t")+COUNTIF($E162:J162,"¶")+COUNTIF($E162:J162,"²")+COUNTIF($E162:J162,"µ")+COUNTIF($E162:J162,1)-1,INDEX(Roadmap!$D:$K,MATCH($E162,Roadmap!$D:$D,0)-1+COUNTIF($E162:J162,"u")+COUNTIF($E162:J162,"t")+COUNTIF($E162:J162,"¶")+COUNTIF($E162:J162,"²")+COUNTIF($E162:J162,"µ")+COUNTIF($E162:J162,1),ColDescriptionCourte)),""),
  "")),"")</f>
        <v/>
      </c>
      <c r="L162" s="39" t="str">
        <f ca="1">IFERROR(IF(AND(
  INDEX(Roadmap!$D:$K,MATCH($E162,Roadmap!$D:$D,0)+COUNTIF($E162:K162,"u")+COUNTIF($E162:K162,"t")+COUNTIF($E162:K162,"¶")+COUNTIF($E162:K162,"²")+COUNTIF($E162:K162,"µ")+COUNTIF($E162:K162,1),ColLivraison)=L$6,
  VLOOKUP($E162,INDIRECT("tri!"&amp; CHAR(64+ C0Col) &amp;":"&amp; CHAR(65+C0Col)),2,FALSE)&gt;COUNTIF($E162:K162,"u")+COUNTIF($E162:K162,"t")+COUNTIF($E162:K162,"¶")+COUNTIF($E162:K162,"²")+COUNTIF($E162:K162,"µ")+COUNTIF($E162:K162,1)),
HYPERLINK("#Roadmap!C"&amp; MATCH($E162,Roadmap!$D:$D,0)+COUNTIF($E162:K162,"u")+COUNTIF($E162:K162,"t"),
     INDEX(Roadmap!$D:$K,MATCH($E162,Roadmap!$D:$D,0)+COUNTIF($E162:K162,"u")+COUNTIF($E162:K162,"t")+COUNTIF($E162:K162,"¶")+COUNTIF($E162:K162,"²")+COUNTIF($E162:K162,"µ")+COUNTIF($E162:K162,1),ColTypeEcheance)),
  IF(LEN(K162)=1,
  IF(LEN(INDEX(Roadmap!$D:$K,MATCH($E162,Roadmap!$D:$D,0)-1+COUNTIF($E162:K162,"u")+COUNTIF($E162:K162,"t")+COUNTIF($E162:K162,"¶")+COUNTIF($E162:K162,"²")+COUNTIF($E162:K162,"µ")+COUNTIF($E162:K162,1),ColDescriptionCourte))&gt;1,
HYPERLINK("#Roadmap!C"&amp; MATCH($E162,Roadmap!$D:$D,0)+COUNTIF($E162:K162,"u")+COUNTIF($E162:K162,"t")+COUNTIF($E162:K162,"¶")+COUNTIF($E162:K162,"²")+COUNTIF($E162:K162,"µ")+COUNTIF($E162:K162,1)-1,INDEX(Roadmap!$D:$K,MATCH($E162,Roadmap!$D:$D,0)-1+COUNTIF($E162:K162,"u")+COUNTIF($E162:K162,"t")+COUNTIF($E162:K162,"¶")+COUNTIF($E162:K162,"²")+COUNTIF($E162:K162,"µ")+COUNTIF($E162:K162,1),ColDescriptionCourte)),""),
  "")),"")</f>
        <v/>
      </c>
      <c r="M162" s="40" t="str">
        <f ca="1">IFERROR(IF(AND(
  INDEX(Roadmap!$D:$K,MATCH($E162,Roadmap!$D:$D,0)+COUNTIF($E162:L162,"u")+COUNTIF($E162:L162,"t")+COUNTIF($E162:L162,"¶")+COUNTIF($E162:L162,"²")+COUNTIF($E162:L162,"µ")+COUNTIF($E162:L162,1),ColLivraison)=M$6,
  VLOOKUP($E162,INDIRECT("tri!"&amp; CHAR(64+ C0Col) &amp;":"&amp; CHAR(65+C0Col)),2,FALSE)&gt;COUNTIF($E162:L162,"u")+COUNTIF($E162:L162,"t")+COUNTIF($E162:L162,"¶")+COUNTIF($E162:L162,"²")+COUNTIF($E162:L162,"µ")+COUNTIF($E162:L162,1)),
HYPERLINK("#Roadmap!C"&amp; MATCH($E162,Roadmap!$D:$D,0)+COUNTIF($E162:L162,"u")+COUNTIF($E162:L162,"t"),
     INDEX(Roadmap!$D:$K,MATCH($E162,Roadmap!$D:$D,0)+COUNTIF($E162:L162,"u")+COUNTIF($E162:L162,"t")+COUNTIF($E162:L162,"¶")+COUNTIF($E162:L162,"²")+COUNTIF($E162:L162,"µ")+COUNTIF($E162:L162,1),ColTypeEcheance)),
  IF(LEN(L162)=1,
  IF(LEN(INDEX(Roadmap!$D:$K,MATCH($E162,Roadmap!$D:$D,0)-1+COUNTIF($E162:L162,"u")+COUNTIF($E162:L162,"t")+COUNTIF($E162:L162,"¶")+COUNTIF($E162:L162,"²")+COUNTIF($E162:L162,"µ")+COUNTIF($E162:L162,1),ColDescriptionCourte))&gt;1,
HYPERLINK("#Roadmap!C"&amp; MATCH($E162,Roadmap!$D:$D,0)+COUNTIF($E162:L162,"u")+COUNTIF($E162:L162,"t")+COUNTIF($E162:L162,"¶")+COUNTIF($E162:L162,"²")+COUNTIF($E162:L162,"µ")+COUNTIF($E162:L162,1)-1,INDEX(Roadmap!$D:$K,MATCH($E162,Roadmap!$D:$D,0)-1+COUNTIF($E162:L162,"u")+COUNTIF($E162:L162,"t")+COUNTIF($E162:L162,"¶")+COUNTIF($E162:L162,"²")+COUNTIF($E162:L162,"µ")+COUNTIF($E162:L162,1),ColDescriptionCourte)),""),
  "")),"")</f>
        <v/>
      </c>
      <c r="N162" s="40" t="str">
        <f ca="1">IFERROR(IF(AND(
  INDEX(Roadmap!$D:$K,MATCH($E162,Roadmap!$D:$D,0)+COUNTIF($E162:M162,"u")+COUNTIF($E162:M162,"t")+COUNTIF($E162:M162,"¶")+COUNTIF($E162:M162,"²")+COUNTIF($E162:M162,"µ")+COUNTIF($E162:M162,1),ColLivraison)=N$6,
  VLOOKUP($E162,INDIRECT("tri!"&amp; CHAR(64+ C0Col) &amp;":"&amp; CHAR(65+C0Col)),2,FALSE)&gt;COUNTIF($E162:M162,"u")+COUNTIF($E162:M162,"t")+COUNTIF($E162:M162,"¶")+COUNTIF($E162:M162,"²")+COUNTIF($E162:M162,"µ")+COUNTIF($E162:M162,1)),
HYPERLINK("#Roadmap!C"&amp; MATCH($E162,Roadmap!$D:$D,0)+COUNTIF($E162:M162,"u")+COUNTIF($E162:M162,"t"),
     INDEX(Roadmap!$D:$K,MATCH($E162,Roadmap!$D:$D,0)+COUNTIF($E162:M162,"u")+COUNTIF($E162:M162,"t")+COUNTIF($E162:M162,"¶")+COUNTIF($E162:M162,"²")+COUNTIF($E162:M162,"µ")+COUNTIF($E162:M162,1),ColTypeEcheance)),
  IF(LEN(M162)=1,
  IF(LEN(INDEX(Roadmap!$D:$K,MATCH($E162,Roadmap!$D:$D,0)-1+COUNTIF($E162:M162,"u")+COUNTIF($E162:M162,"t")+COUNTIF($E162:M162,"¶")+COUNTIF($E162:M162,"²")+COUNTIF($E162:M162,"µ")+COUNTIF($E162:M162,1),ColDescriptionCourte))&gt;1,
HYPERLINK("#Roadmap!C"&amp; MATCH($E162,Roadmap!$D:$D,0)+COUNTIF($E162:M162,"u")+COUNTIF($E162:M162,"t")+COUNTIF($E162:M162,"¶")+COUNTIF($E162:M162,"²")+COUNTIF($E162:M162,"µ")+COUNTIF($E162:M162,1)-1,INDEX(Roadmap!$D:$K,MATCH($E162,Roadmap!$D:$D,0)-1+COUNTIF($E162:M162,"u")+COUNTIF($E162:M162,"t")+COUNTIF($E162:M162,"¶")+COUNTIF($E162:M162,"²")+COUNTIF($E162:M162,"µ")+COUNTIF($E162:M162,1),ColDescriptionCourte)),""),
  "")),"")</f>
        <v/>
      </c>
      <c r="O162" s="40" t="str">
        <f ca="1">IFERROR(IF(AND(
  INDEX(Roadmap!$D:$K,MATCH($E162,Roadmap!$D:$D,0)+COUNTIF($E162:N162,"u")+COUNTIF($E162:N162,"t")+COUNTIF($E162:N162,"¶")+COUNTIF($E162:N162,"²")+COUNTIF($E162:N162,"µ")+COUNTIF($E162:N162,1),ColLivraison)=O$6,
  VLOOKUP($E162,INDIRECT("tri!"&amp; CHAR(64+ C0Col) &amp;":"&amp; CHAR(65+C0Col)),2,FALSE)&gt;COUNTIF($E162:N162,"u")+COUNTIF($E162:N162,"t")+COUNTIF($E162:N162,"¶")+COUNTIF($E162:N162,"²")+COUNTIF($E162:N162,"µ")+COUNTIF($E162:N162,1)),
HYPERLINK("#Roadmap!C"&amp; MATCH($E162,Roadmap!$D:$D,0)+COUNTIF($E162:N162,"u")+COUNTIF($E162:N162,"t"),
     INDEX(Roadmap!$D:$K,MATCH($E162,Roadmap!$D:$D,0)+COUNTIF($E162:N162,"u")+COUNTIF($E162:N162,"t")+COUNTIF($E162:N162,"¶")+COUNTIF($E162:N162,"²")+COUNTIF($E162:N162,"µ")+COUNTIF($E162:N162,1),ColTypeEcheance)),
  IF(LEN(N162)=1,
  IF(LEN(INDEX(Roadmap!$D:$K,MATCH($E162,Roadmap!$D:$D,0)-1+COUNTIF($E162:N162,"u")+COUNTIF($E162:N162,"t")+COUNTIF($E162:N162,"¶")+COUNTIF($E162:N162,"²")+COUNTIF($E162:N162,"µ")+COUNTIF($E162:N162,1),ColDescriptionCourte))&gt;1,
HYPERLINK("#Roadmap!C"&amp; MATCH($E162,Roadmap!$D:$D,0)+COUNTIF($E162:N162,"u")+COUNTIF($E162:N162,"t")+COUNTIF($E162:N162,"¶")+COUNTIF($E162:N162,"²")+COUNTIF($E162:N162,"µ")+COUNTIF($E162:N162,1)-1,INDEX(Roadmap!$D:$K,MATCH($E162,Roadmap!$D:$D,0)-1+COUNTIF($E162:N162,"u")+COUNTIF($E162:N162,"t")+COUNTIF($E162:N162,"¶")+COUNTIF($E162:N162,"²")+COUNTIF($E162:N162,"µ")+COUNTIF($E162:N162,1),ColDescriptionCourte)),""),
  "")),"")</f>
        <v/>
      </c>
      <c r="P162" s="40" t="str">
        <f ca="1">IFERROR(IF(AND(
  INDEX(Roadmap!$D:$K,MATCH($E162,Roadmap!$D:$D,0)+COUNTIF($E162:O162,"u")+COUNTIF($E162:O162,"t")+COUNTIF($E162:O162,"¶")+COUNTIF($E162:O162,"²")+COUNTIF($E162:O162,"µ")+COUNTIF($E162:O162,1),ColLivraison)=P$6,
  VLOOKUP($E162,INDIRECT("tri!"&amp; CHAR(64+ C0Col) &amp;":"&amp; CHAR(65+C0Col)),2,FALSE)&gt;COUNTIF($E162:O162,"u")+COUNTIF($E162:O162,"t")+COUNTIF($E162:O162,"¶")+COUNTIF($E162:O162,"²")+COUNTIF($E162:O162,"µ")+COUNTIF($E162:O162,1)),
HYPERLINK("#Roadmap!C"&amp; MATCH($E162,Roadmap!$D:$D,0)+COUNTIF($E162:O162,"u")+COUNTIF($E162:O162,"t"),
     INDEX(Roadmap!$D:$K,MATCH($E162,Roadmap!$D:$D,0)+COUNTIF($E162:O162,"u")+COUNTIF($E162:O162,"t")+COUNTIF($E162:O162,"¶")+COUNTIF($E162:O162,"²")+COUNTIF($E162:O162,"µ")+COUNTIF($E162:O162,1),ColTypeEcheance)),
  IF(LEN(O162)=1,
  IF(LEN(INDEX(Roadmap!$D:$K,MATCH($E162,Roadmap!$D:$D,0)-1+COUNTIF($E162:O162,"u")+COUNTIF($E162:O162,"t")+COUNTIF($E162:O162,"¶")+COUNTIF($E162:O162,"²")+COUNTIF($E162:O162,"µ")+COUNTIF($E162:O162,1),ColDescriptionCourte))&gt;1,
HYPERLINK("#Roadmap!C"&amp; MATCH($E162,Roadmap!$D:$D,0)+COUNTIF($E162:O162,"u")+COUNTIF($E162:O162,"t")+COUNTIF($E162:O162,"¶")+COUNTIF($E162:O162,"²")+COUNTIF($E162:O162,"µ")+COUNTIF($E162:O162,1)-1,INDEX(Roadmap!$D:$K,MATCH($E162,Roadmap!$D:$D,0)-1+COUNTIF($E162:O162,"u")+COUNTIF($E162:O162,"t")+COUNTIF($E162:O162,"¶")+COUNTIF($E162:O162,"²")+COUNTIF($E162:O162,"µ")+COUNTIF($E162:O162,1),ColDescriptionCourte)),""),
  "")),"")</f>
        <v/>
      </c>
      <c r="Q162" s="40" t="str">
        <f ca="1">IFERROR(IF(AND(
  INDEX(Roadmap!$D:$K,MATCH($E162,Roadmap!$D:$D,0)+COUNTIF($E162:P162,"u")+COUNTIF($E162:P162,"t")+COUNTIF($E162:P162,"¶")+COUNTIF($E162:P162,"²")+COUNTIF($E162:P162,"µ")+COUNTIF($E162:P162,1),ColLivraison)=Q$6,
  VLOOKUP($E162,INDIRECT("tri!"&amp; CHAR(64+ C0Col) &amp;":"&amp; CHAR(65+C0Col)),2,FALSE)&gt;COUNTIF($E162:P162,"u")+COUNTIF($E162:P162,"t")+COUNTIF($E162:P162,"¶")+COUNTIF($E162:P162,"²")+COUNTIF($E162:P162,"µ")+COUNTIF($E162:P162,1)),
HYPERLINK("#Roadmap!C"&amp; MATCH($E162,Roadmap!$D:$D,0)+COUNTIF($E162:P162,"u")+COUNTIF($E162:P162,"t"),
     INDEX(Roadmap!$D:$K,MATCH($E162,Roadmap!$D:$D,0)+COUNTIF($E162:P162,"u")+COUNTIF($E162:P162,"t")+COUNTIF($E162:P162,"¶")+COUNTIF($E162:P162,"²")+COUNTIF($E162:P162,"µ")+COUNTIF($E162:P162,1),ColTypeEcheance)),
  IF(LEN(P162)=1,
  IF(LEN(INDEX(Roadmap!$D:$K,MATCH($E162,Roadmap!$D:$D,0)-1+COUNTIF($E162:P162,"u")+COUNTIF($E162:P162,"t")+COUNTIF($E162:P162,"¶")+COUNTIF($E162:P162,"²")+COUNTIF($E162:P162,"µ")+COUNTIF($E162:P162,1),ColDescriptionCourte))&gt;1,
HYPERLINK("#Roadmap!C"&amp; MATCH($E162,Roadmap!$D:$D,0)+COUNTIF($E162:P162,"u")+COUNTIF($E162:P162,"t")+COUNTIF($E162:P162,"¶")+COUNTIF($E162:P162,"²")+COUNTIF($E162:P162,"µ")+COUNTIF($E162:P162,1)-1,INDEX(Roadmap!$D:$K,MATCH($E162,Roadmap!$D:$D,0)-1+COUNTIF($E162:P162,"u")+COUNTIF($E162:P162,"t")+COUNTIF($E162:P162,"¶")+COUNTIF($E162:P162,"²")+COUNTIF($E162:P162,"µ")+COUNTIF($E162:P162,1),ColDescriptionCourte)),""),
  "")),"")</f>
        <v/>
      </c>
      <c r="R162" s="40" t="str">
        <f ca="1">IFERROR(IF(AND(
  INDEX(Roadmap!$D:$K,MATCH($E162,Roadmap!$D:$D,0)+COUNTIF($E162:Q162,"u")+COUNTIF($E162:Q162,"t")+COUNTIF($E162:Q162,"¶")+COUNTIF($E162:Q162,"²")+COUNTIF($E162:Q162,"µ")+COUNTIF($E162:Q162,1),ColLivraison)=R$6,
  VLOOKUP($E162,INDIRECT("tri!"&amp; CHAR(64+ C0Col) &amp;":"&amp; CHAR(65+C0Col)),2,FALSE)&gt;COUNTIF($E162:Q162,"u")+COUNTIF($E162:Q162,"t")+COUNTIF($E162:Q162,"¶")+COUNTIF($E162:Q162,"²")+COUNTIF($E162:Q162,"µ")+COUNTIF($E162:Q162,1)),
HYPERLINK("#Roadmap!C"&amp; MATCH($E162,Roadmap!$D:$D,0)+COUNTIF($E162:Q162,"u")+COUNTIF($E162:Q162,"t"),
     INDEX(Roadmap!$D:$K,MATCH($E162,Roadmap!$D:$D,0)+COUNTIF($E162:Q162,"u")+COUNTIF($E162:Q162,"t")+COUNTIF($E162:Q162,"¶")+COUNTIF($E162:Q162,"²")+COUNTIF($E162:Q162,"µ")+COUNTIF($E162:Q162,1),ColTypeEcheance)),
  IF(LEN(Q162)=1,
  IF(LEN(INDEX(Roadmap!$D:$K,MATCH($E162,Roadmap!$D:$D,0)-1+COUNTIF($E162:Q162,"u")+COUNTIF($E162:Q162,"t")+COUNTIF($E162:Q162,"¶")+COUNTIF($E162:Q162,"²")+COUNTIF($E162:Q162,"µ")+COUNTIF($E162:Q162,1),ColDescriptionCourte))&gt;1,
HYPERLINK("#Roadmap!C"&amp; MATCH($E162,Roadmap!$D:$D,0)+COUNTIF($E162:Q162,"u")+COUNTIF($E162:Q162,"t")+COUNTIF($E162:Q162,"¶")+COUNTIF($E162:Q162,"²")+COUNTIF($E162:Q162,"µ")+COUNTIF($E162:Q162,1)-1,INDEX(Roadmap!$D:$K,MATCH($E162,Roadmap!$D:$D,0)-1+COUNTIF($E162:Q162,"u")+COUNTIF($E162:Q162,"t")+COUNTIF($E162:Q162,"¶")+COUNTIF($E162:Q162,"²")+COUNTIF($E162:Q162,"µ")+COUNTIF($E162:Q162,1),ColDescriptionCourte)),""),
  "")),"")</f>
        <v/>
      </c>
      <c r="S162" s="40" t="str">
        <f ca="1">IFERROR(IF(AND(
  INDEX(Roadmap!$D:$K,MATCH($E162,Roadmap!$D:$D,0)+COUNTIF($E162:R162,"u")+COUNTIF($E162:R162,"t")+COUNTIF($E162:R162,"¶")+COUNTIF($E162:R162,"²")+COUNTIF($E162:R162,"µ")+COUNTIF($E162:R162,1),ColLivraison)=S$6,
  VLOOKUP($E162,INDIRECT("tri!"&amp; CHAR(64+ C0Col) &amp;":"&amp; CHAR(65+C0Col)),2,FALSE)&gt;COUNTIF($E162:R162,"u")+COUNTIF($E162:R162,"t")+COUNTIF($E162:R162,"¶")+COUNTIF($E162:R162,"²")+COUNTIF($E162:R162,"µ")+COUNTIF($E162:R162,1)),
HYPERLINK("#Roadmap!C"&amp; MATCH($E162,Roadmap!$D:$D,0)+COUNTIF($E162:R162,"u")+COUNTIF($E162:R162,"t"),
     INDEX(Roadmap!$D:$K,MATCH($E162,Roadmap!$D:$D,0)+COUNTIF($E162:R162,"u")+COUNTIF($E162:R162,"t")+COUNTIF($E162:R162,"¶")+COUNTIF($E162:R162,"²")+COUNTIF($E162:R162,"µ")+COUNTIF($E162:R162,1),ColTypeEcheance)),
  IF(LEN(R162)=1,
  IF(LEN(INDEX(Roadmap!$D:$K,MATCH($E162,Roadmap!$D:$D,0)-1+COUNTIF($E162:R162,"u")+COUNTIF($E162:R162,"t")+COUNTIF($E162:R162,"¶")+COUNTIF($E162:R162,"²")+COUNTIF($E162:R162,"µ")+COUNTIF($E162:R162,1),ColDescriptionCourte))&gt;1,
HYPERLINK("#Roadmap!C"&amp; MATCH($E162,Roadmap!$D:$D,0)+COUNTIF($E162:R162,"u")+COUNTIF($E162:R162,"t")+COUNTIF($E162:R162,"¶")+COUNTIF($E162:R162,"²")+COUNTIF($E162:R162,"µ")+COUNTIF($E162:R162,1)-1,INDEX(Roadmap!$D:$K,MATCH($E162,Roadmap!$D:$D,0)-1+COUNTIF($E162:R162,"u")+COUNTIF($E162:R162,"t")+COUNTIF($E162:R162,"¶")+COUNTIF($E162:R162,"²")+COUNTIF($E162:R162,"µ")+COUNTIF($E162:R162,1),ColDescriptionCourte)),""),
  "")),"")</f>
        <v/>
      </c>
      <c r="T162" s="40" t="str">
        <f ca="1">IFERROR(IF(AND(
  INDEX(Roadmap!$D:$K,MATCH($E162,Roadmap!$D:$D,0)+COUNTIF($E162:S162,"u")+COUNTIF($E162:S162,"t")+COUNTIF($E162:S162,"¶")+COUNTIF($E162:S162,"²")+COUNTIF($E162:S162,"µ")+COUNTIF($E162:S162,1),ColLivraison)=T$6,
  VLOOKUP($E162,INDIRECT("tri!"&amp; CHAR(64+ C0Col) &amp;":"&amp; CHAR(65+C0Col)),2,FALSE)&gt;COUNTIF($E162:S162,"u")+COUNTIF($E162:S162,"t")+COUNTIF($E162:S162,"¶")+COUNTIF($E162:S162,"²")+COUNTIF($E162:S162,"µ")+COUNTIF($E162:S162,1)),
HYPERLINK("#Roadmap!C"&amp; MATCH($E162,Roadmap!$D:$D,0)+COUNTIF($E162:S162,"u")+COUNTIF($E162:S162,"t"),
     INDEX(Roadmap!$D:$K,MATCH($E162,Roadmap!$D:$D,0)+COUNTIF($E162:S162,"u")+COUNTIF($E162:S162,"t")+COUNTIF($E162:S162,"¶")+COUNTIF($E162:S162,"²")+COUNTIF($E162:S162,"µ")+COUNTIF($E162:S162,1),ColTypeEcheance)),
  IF(LEN(S162)=1,
  IF(LEN(INDEX(Roadmap!$D:$K,MATCH($E162,Roadmap!$D:$D,0)-1+COUNTIF($E162:S162,"u")+COUNTIF($E162:S162,"t")+COUNTIF($E162:S162,"¶")+COUNTIF($E162:S162,"²")+COUNTIF($E162:S162,"µ")+COUNTIF($E162:S162,1),ColDescriptionCourte))&gt;1,
HYPERLINK("#Roadmap!C"&amp; MATCH($E162,Roadmap!$D:$D,0)+COUNTIF($E162:S162,"u")+COUNTIF($E162:S162,"t")+COUNTIF($E162:S162,"¶")+COUNTIF($E162:S162,"²")+COUNTIF($E162:S162,"µ")+COUNTIF($E162:S162,1)-1,INDEX(Roadmap!$D:$K,MATCH($E162,Roadmap!$D:$D,0)-1+COUNTIF($E162:S162,"u")+COUNTIF($E162:S162,"t")+COUNTIF($E162:S162,"¶")+COUNTIF($E162:S162,"²")+COUNTIF($E162:S162,"µ")+COUNTIF($E162:S162,1),ColDescriptionCourte)),""),
  "")),"")</f>
        <v/>
      </c>
      <c r="U162" s="40" t="str">
        <f ca="1">IFERROR(IF(AND(
  INDEX(Roadmap!$D:$K,MATCH($E162,Roadmap!$D:$D,0)+COUNTIF($E162:T162,"u")+COUNTIF($E162:T162,"t")+COUNTIF($E162:T162,"¶")+COUNTIF($E162:T162,"²")+COUNTIF($E162:T162,"µ")+COUNTIF($E162:T162,1),ColLivraison)=U$6,
  VLOOKUP($E162,INDIRECT("tri!"&amp; CHAR(64+ C0Col) &amp;":"&amp; CHAR(65+C0Col)),2,FALSE)&gt;COUNTIF($E162:T162,"u")+COUNTIF($E162:T162,"t")+COUNTIF($E162:T162,"¶")+COUNTIF($E162:T162,"²")+COUNTIF($E162:T162,"µ")+COUNTIF($E162:T162,1)),
HYPERLINK("#Roadmap!C"&amp; MATCH($E162,Roadmap!$D:$D,0)+COUNTIF($E162:T162,"u")+COUNTIF($E162:T162,"t"),
     INDEX(Roadmap!$D:$K,MATCH($E162,Roadmap!$D:$D,0)+COUNTIF($E162:T162,"u")+COUNTIF($E162:T162,"t")+COUNTIF($E162:T162,"¶")+COUNTIF($E162:T162,"²")+COUNTIF($E162:T162,"µ")+COUNTIF($E162:T162,1),ColTypeEcheance)),
  IF(LEN(T162)=1,
  IF(LEN(INDEX(Roadmap!$D:$K,MATCH($E162,Roadmap!$D:$D,0)-1+COUNTIF($E162:T162,"u")+COUNTIF($E162:T162,"t")+COUNTIF($E162:T162,"¶")+COUNTIF($E162:T162,"²")+COUNTIF($E162:T162,"µ")+COUNTIF($E162:T162,1),ColDescriptionCourte))&gt;1,
HYPERLINK("#Roadmap!C"&amp; MATCH($E162,Roadmap!$D:$D,0)+COUNTIF($E162:T162,"u")+COUNTIF($E162:T162,"t")+COUNTIF($E162:T162,"¶")+COUNTIF($E162:T162,"²")+COUNTIF($E162:T162,"µ")+COUNTIF($E162:T162,1)-1,INDEX(Roadmap!$D:$K,MATCH($E162,Roadmap!$D:$D,0)-1+COUNTIF($E162:T162,"u")+COUNTIF($E162:T162,"t")+COUNTIF($E162:T162,"¶")+COUNTIF($E162:T162,"²")+COUNTIF($E162:T162,"µ")+COUNTIF($E162:T162,1),ColDescriptionCourte)),""),
  "")),"")</f>
        <v/>
      </c>
      <c r="V162" s="40" t="str">
        <f ca="1">IFERROR(IF(AND(
  INDEX(Roadmap!$D:$K,MATCH($E162,Roadmap!$D:$D,0)+COUNTIF($E162:U162,"u")+COUNTIF($E162:U162,"t")+COUNTIF($E162:U162,"¶")+COUNTIF($E162:U162,"²")+COUNTIF($E162:U162,"µ")+COUNTIF($E162:U162,1),ColLivraison)=V$6,
  VLOOKUP($E162,INDIRECT("tri!"&amp; CHAR(64+ C0Col) &amp;":"&amp; CHAR(65+C0Col)),2,FALSE)&gt;COUNTIF($E162:U162,"u")+COUNTIF($E162:U162,"t")+COUNTIF($E162:U162,"¶")+COUNTIF($E162:U162,"²")+COUNTIF($E162:U162,"µ")+COUNTIF($E162:U162,1)),
HYPERLINK("#Roadmap!C"&amp; MATCH($E162,Roadmap!$D:$D,0)+COUNTIF($E162:U162,"u")+COUNTIF($E162:U162,"t"),
     INDEX(Roadmap!$D:$K,MATCH($E162,Roadmap!$D:$D,0)+COUNTIF($E162:U162,"u")+COUNTIF($E162:U162,"t")+COUNTIF($E162:U162,"¶")+COUNTIF($E162:U162,"²")+COUNTIF($E162:U162,"µ")+COUNTIF($E162:U162,1),ColTypeEcheance)),
  IF(LEN(U162)=1,
  IF(LEN(INDEX(Roadmap!$D:$K,MATCH($E162,Roadmap!$D:$D,0)-1+COUNTIF($E162:U162,"u")+COUNTIF($E162:U162,"t")+COUNTIF($E162:U162,"¶")+COUNTIF($E162:U162,"²")+COUNTIF($E162:U162,"µ")+COUNTIF($E162:U162,1),ColDescriptionCourte))&gt;1,
HYPERLINK("#Roadmap!C"&amp; MATCH($E162,Roadmap!$D:$D,0)+COUNTIF($E162:U162,"u")+COUNTIF($E162:U162,"t")+COUNTIF($E162:U162,"¶")+COUNTIF($E162:U162,"²")+COUNTIF($E162:U162,"µ")+COUNTIF($E162:U162,1)-1,INDEX(Roadmap!$D:$K,MATCH($E162,Roadmap!$D:$D,0)-1+COUNTIF($E162:U162,"u")+COUNTIF($E162:U162,"t")+COUNTIF($E162:U162,"¶")+COUNTIF($E162:U162,"²")+COUNTIF($E162:U162,"µ")+COUNTIF($E162:U162,1),ColDescriptionCourte)),""),
  "")),"")</f>
        <v/>
      </c>
      <c r="W162" s="40" t="str">
        <f ca="1">IFERROR(IF(AND(
  INDEX(Roadmap!$D:$K,MATCH($E162,Roadmap!$D:$D,0)+COUNTIF($E162:V162,"u")+COUNTIF($E162:V162,"t")+COUNTIF($E162:V162,"¶")+COUNTIF($E162:V162,"²")+COUNTIF($E162:V162,"µ")+COUNTIF($E162:V162,1),ColLivraison)=W$6,
  VLOOKUP($E162,INDIRECT("tri!"&amp; CHAR(64+ C0Col) &amp;":"&amp; CHAR(65+C0Col)),2,FALSE)&gt;COUNTIF($E162:V162,"u")+COUNTIF($E162:V162,"t")+COUNTIF($E162:V162,"¶")+COUNTIF($E162:V162,"²")+COUNTIF($E162:V162,"µ")+COUNTIF($E162:V162,1)),
HYPERLINK("#Roadmap!C"&amp; MATCH($E162,Roadmap!$D:$D,0)+COUNTIF($E162:V162,"u")+COUNTIF($E162:V162,"t"),
     INDEX(Roadmap!$D:$K,MATCH($E162,Roadmap!$D:$D,0)+COUNTIF($E162:V162,"u")+COUNTIF($E162:V162,"t")+COUNTIF($E162:V162,"¶")+COUNTIF($E162:V162,"²")+COUNTIF($E162:V162,"µ")+COUNTIF($E162:V162,1),ColTypeEcheance)),
  IF(LEN(V162)=1,
  IF(LEN(INDEX(Roadmap!$D:$K,MATCH($E162,Roadmap!$D:$D,0)-1+COUNTIF($E162:V162,"u")+COUNTIF($E162:V162,"t")+COUNTIF($E162:V162,"¶")+COUNTIF($E162:V162,"²")+COUNTIF($E162:V162,"µ")+COUNTIF($E162:V162,1),ColDescriptionCourte))&gt;1,
HYPERLINK("#Roadmap!C"&amp; MATCH($E162,Roadmap!$D:$D,0)+COUNTIF($E162:V162,"u")+COUNTIF($E162:V162,"t")+COUNTIF($E162:V162,"¶")+COUNTIF($E162:V162,"²")+COUNTIF($E162:V162,"µ")+COUNTIF($E162:V162,1)-1,INDEX(Roadmap!$D:$K,MATCH($E162,Roadmap!$D:$D,0)-1+COUNTIF($E162:V162,"u")+COUNTIF($E162:V162,"t")+COUNTIF($E162:V162,"¶")+COUNTIF($E162:V162,"²")+COUNTIF($E162:V162,"µ")+COUNTIF($E162:V162,1),ColDescriptionCourte)),""),
  "")),"")</f>
        <v/>
      </c>
      <c r="X162" s="40" t="str">
        <f ca="1">IFERROR(IF(AND(
  INDEX(Roadmap!$D:$K,MATCH($E162,Roadmap!$D:$D,0)+COUNTIF($E162:W162,"u")+COUNTIF($E162:W162,"t")+COUNTIF($E162:W162,"¶")+COUNTIF($E162:W162,"²")+COUNTIF($E162:W162,"µ")+COUNTIF($E162:W162,1),ColLivraison)=X$6,
  VLOOKUP($E162,INDIRECT("tri!"&amp; CHAR(64+ C0Col) &amp;":"&amp; CHAR(65+C0Col)),2,FALSE)&gt;COUNTIF($E162:W162,"u")+COUNTIF($E162:W162,"t")+COUNTIF($E162:W162,"¶")+COUNTIF($E162:W162,"²")+COUNTIF($E162:W162,"µ")+COUNTIF($E162:W162,1)),
HYPERLINK("#Roadmap!C"&amp; MATCH($E162,Roadmap!$D:$D,0)+COUNTIF($E162:W162,"u")+COUNTIF($E162:W162,"t"),
     INDEX(Roadmap!$D:$K,MATCH($E162,Roadmap!$D:$D,0)+COUNTIF($E162:W162,"u")+COUNTIF($E162:W162,"t")+COUNTIF($E162:W162,"¶")+COUNTIF($E162:W162,"²")+COUNTIF($E162:W162,"µ")+COUNTIF($E162:W162,1),ColTypeEcheance)),
  IF(LEN(W162)=1,
  IF(LEN(INDEX(Roadmap!$D:$K,MATCH($E162,Roadmap!$D:$D,0)-1+COUNTIF($E162:W162,"u")+COUNTIF($E162:W162,"t")+COUNTIF($E162:W162,"¶")+COUNTIF($E162:W162,"²")+COUNTIF($E162:W162,"µ")+COUNTIF($E162:W162,1),ColDescriptionCourte))&gt;1,
HYPERLINK("#Roadmap!C"&amp; MATCH($E162,Roadmap!$D:$D,0)+COUNTIF($E162:W162,"u")+COUNTIF($E162:W162,"t")+COUNTIF($E162:W162,"¶")+COUNTIF($E162:W162,"²")+COUNTIF($E162:W162,"µ")+COUNTIF($E162:W162,1)-1,INDEX(Roadmap!$D:$K,MATCH($E162,Roadmap!$D:$D,0)-1+COUNTIF($E162:W162,"u")+COUNTIF($E162:W162,"t")+COUNTIF($E162:W162,"¶")+COUNTIF($E162:W162,"²")+COUNTIF($E162:W162,"µ")+COUNTIF($E162:W162,1),ColDescriptionCourte)),""),
  "")),"")</f>
        <v/>
      </c>
      <c r="Y162" s="40" t="str">
        <f ca="1">IFERROR(IF(AND(
  INDEX(Roadmap!$D:$K,MATCH($E162,Roadmap!$D:$D,0)+COUNTIF($E162:X162,"u")+COUNTIF($E162:X162,"t")+COUNTIF($E162:X162,"¶")+COUNTIF($E162:X162,"²")+COUNTIF($E162:X162,"µ")+COUNTIF($E162:X162,1),ColLivraison)=Y$6,
  VLOOKUP($E162,INDIRECT("tri!"&amp; CHAR(64+ C0Col) &amp;":"&amp; CHAR(65+C0Col)),2,FALSE)&gt;COUNTIF($E162:X162,"u")+COUNTIF($E162:X162,"t")+COUNTIF($E162:X162,"¶")+COUNTIF($E162:X162,"²")+COUNTIF($E162:X162,"µ")+COUNTIF($E162:X162,1)),
HYPERLINK("#Roadmap!C"&amp; MATCH($E162,Roadmap!$D:$D,0)+COUNTIF($E162:X162,"u")+COUNTIF($E162:X162,"t"),
     INDEX(Roadmap!$D:$K,MATCH($E162,Roadmap!$D:$D,0)+COUNTIF($E162:X162,"u")+COUNTIF($E162:X162,"t")+COUNTIF($E162:X162,"¶")+COUNTIF($E162:X162,"²")+COUNTIF($E162:X162,"µ")+COUNTIF($E162:X162,1),ColTypeEcheance)),
  IF(LEN(X162)=1,
  IF(LEN(INDEX(Roadmap!$D:$K,MATCH($E162,Roadmap!$D:$D,0)-1+COUNTIF($E162:X162,"u")+COUNTIF($E162:X162,"t")+COUNTIF($E162:X162,"¶")+COUNTIF($E162:X162,"²")+COUNTIF($E162:X162,"µ")+COUNTIF($E162:X162,1),ColDescriptionCourte))&gt;1,
HYPERLINK("#Roadmap!C"&amp; MATCH($E162,Roadmap!$D:$D,0)+COUNTIF($E162:X162,"u")+COUNTIF($E162:X162,"t")+COUNTIF($E162:X162,"¶")+COUNTIF($E162:X162,"²")+COUNTIF($E162:X162,"µ")+COUNTIF($E162:X162,1)-1,INDEX(Roadmap!$D:$K,MATCH($E162,Roadmap!$D:$D,0)-1+COUNTIF($E162:X162,"u")+COUNTIF($E162:X162,"t")+COUNTIF($E162:X162,"¶")+COUNTIF($E162:X162,"²")+COUNTIF($E162:X162,"µ")+COUNTIF($E162:X162,1),ColDescriptionCourte)),""),
  "")),"")</f>
        <v/>
      </c>
      <c r="Z162" s="40" t="str">
        <f ca="1">IFERROR(IF(AND(
  INDEX(Roadmap!$D:$K,MATCH($E162,Roadmap!$D:$D,0)+COUNTIF($E162:Y162,"u")+COUNTIF($E162:Y162,"t")+COUNTIF($E162:Y162,"¶")+COUNTIF($E162:Y162,"²")+COUNTIF($E162:Y162,"µ")+COUNTIF($E162:Y162,1),ColLivraison)=Z$6,
  VLOOKUP($E162,INDIRECT("tri!"&amp; CHAR(64+ C0Col) &amp;":"&amp; CHAR(65+C0Col)),2,FALSE)&gt;COUNTIF($E162:Y162,"u")+COUNTIF($E162:Y162,"t")+COUNTIF($E162:Y162,"¶")+COUNTIF($E162:Y162,"²")+COUNTIF($E162:Y162,"µ")+COUNTIF($E162:Y162,1)),
HYPERLINK("#Roadmap!C"&amp; MATCH($E162,Roadmap!$D:$D,0)+COUNTIF($E162:Y162,"u")+COUNTIF($E162:Y162,"t"),
     INDEX(Roadmap!$D:$K,MATCH($E162,Roadmap!$D:$D,0)+COUNTIF($E162:Y162,"u")+COUNTIF($E162:Y162,"t")+COUNTIF($E162:Y162,"¶")+COUNTIF($E162:Y162,"²")+COUNTIF($E162:Y162,"µ")+COUNTIF($E162:Y162,1),ColTypeEcheance)),
  IF(LEN(Y162)=1,
  IF(LEN(INDEX(Roadmap!$D:$K,MATCH($E162,Roadmap!$D:$D,0)-1+COUNTIF($E162:Y162,"u")+COUNTIF($E162:Y162,"t")+COUNTIF($E162:Y162,"¶")+COUNTIF($E162:Y162,"²")+COUNTIF($E162:Y162,"µ")+COUNTIF($E162:Y162,1),ColDescriptionCourte))&gt;1,
HYPERLINK("#Roadmap!C"&amp; MATCH($E162,Roadmap!$D:$D,0)+COUNTIF($E162:Y162,"u")+COUNTIF($E162:Y162,"t")+COUNTIF($E162:Y162,"¶")+COUNTIF($E162:Y162,"²")+COUNTIF($E162:Y162,"µ")+COUNTIF($E162:Y162,1)-1,INDEX(Roadmap!$D:$K,MATCH($E162,Roadmap!$D:$D,0)-1+COUNTIF($E162:Y162,"u")+COUNTIF($E162:Y162,"t")+COUNTIF($E162:Y162,"¶")+COUNTIF($E162:Y162,"²")+COUNTIF($E162:Y162,"µ")+COUNTIF($E162:Y162,1),ColDescriptionCourte)),""),
  "")),"")</f>
        <v/>
      </c>
      <c r="AA162" s="40" t="str">
        <f ca="1">IFERROR(IF(AND(
  INDEX(Roadmap!$D:$K,MATCH($E162,Roadmap!$D:$D,0)+COUNTIF($E162:Z162,"u")+COUNTIF($E162:Z162,"t")+COUNTIF($E162:Z162,"¶")+COUNTIF($E162:Z162,"²")+COUNTIF($E162:Z162,"µ")+COUNTIF($E162:Z162,1),ColLivraison)=AA$6,
  VLOOKUP($E162,INDIRECT("tri!"&amp; CHAR(64+ C0Col) &amp;":"&amp; CHAR(65+C0Col)),2,FALSE)&gt;COUNTIF($E162:Z162,"u")+COUNTIF($E162:Z162,"t")+COUNTIF($E162:Z162,"¶")+COUNTIF($E162:Z162,"²")+COUNTIF($E162:Z162,"µ")+COUNTIF($E162:Z162,1)),
HYPERLINK("#Roadmap!C"&amp; MATCH($E162,Roadmap!$D:$D,0)+COUNTIF($E162:Z162,"u")+COUNTIF($E162:Z162,"t"),
     INDEX(Roadmap!$D:$K,MATCH($E162,Roadmap!$D:$D,0)+COUNTIF($E162:Z162,"u")+COUNTIF($E162:Z162,"t")+COUNTIF($E162:Z162,"¶")+COUNTIF($E162:Z162,"²")+COUNTIF($E162:Z162,"µ")+COUNTIF($E162:Z162,1),ColTypeEcheance)),
  IF(LEN(Z162)=1,
  IF(LEN(INDEX(Roadmap!$D:$K,MATCH($E162,Roadmap!$D:$D,0)-1+COUNTIF($E162:Z162,"u")+COUNTIF($E162:Z162,"t")+COUNTIF($E162:Z162,"¶")+COUNTIF($E162:Z162,"²")+COUNTIF($E162:Z162,"µ")+COUNTIF($E162:Z162,1),ColDescriptionCourte))&gt;1,
HYPERLINK("#Roadmap!C"&amp; MATCH($E162,Roadmap!$D:$D,0)+COUNTIF($E162:Z162,"u")+COUNTIF($E162:Z162,"t")+COUNTIF($E162:Z162,"¶")+COUNTIF($E162:Z162,"²")+COUNTIF($E162:Z162,"µ")+COUNTIF($E162:Z162,1)-1,INDEX(Roadmap!$D:$K,MATCH($E162,Roadmap!$D:$D,0)-1+COUNTIF($E162:Z162,"u")+COUNTIF($E162:Z162,"t")+COUNTIF($E162:Z162,"¶")+COUNTIF($E162:Z162,"²")+COUNTIF($E162:Z162,"µ")+COUNTIF($E162:Z162,1),ColDescriptionCourte)),""),
  "")),"")</f>
        <v/>
      </c>
      <c r="AB162" s="40" t="str">
        <f ca="1">IFERROR(IF(AND(
  INDEX(Roadmap!$D:$K,MATCH($E162,Roadmap!$D:$D,0)+COUNTIF($E162:AA162,"u")+COUNTIF($E162:AA162,"t")+COUNTIF($E162:AA162,"¶")+COUNTIF($E162:AA162,"²")+COUNTIF($E162:AA162,"µ")+COUNTIF($E162:AA162,1),ColLivraison)=AB$6,
  VLOOKUP($E162,INDIRECT("tri!"&amp; CHAR(64+ C0Col) &amp;":"&amp; CHAR(65+C0Col)),2,FALSE)&gt;COUNTIF($E162:AA162,"u")+COUNTIF($E162:AA162,"t")+COUNTIF($E162:AA162,"¶")+COUNTIF($E162:AA162,"²")+COUNTIF($E162:AA162,"µ")+COUNTIF($E162:AA162,1)),
HYPERLINK("#Roadmap!C"&amp; MATCH($E162,Roadmap!$D:$D,0)+COUNTIF($E162:AA162,"u")+COUNTIF($E162:AA162,"t"),
     INDEX(Roadmap!$D:$K,MATCH($E162,Roadmap!$D:$D,0)+COUNTIF($E162:AA162,"u")+COUNTIF($E162:AA162,"t")+COUNTIF($E162:AA162,"¶")+COUNTIF($E162:AA162,"²")+COUNTIF($E162:AA162,"µ")+COUNTIF($E162:AA162,1),ColTypeEcheance)),
  IF(LEN(AA162)=1,
  IF(LEN(INDEX(Roadmap!$D:$K,MATCH($E162,Roadmap!$D:$D,0)-1+COUNTIF($E162:AA162,"u")+COUNTIF($E162:AA162,"t")+COUNTIF($E162:AA162,"¶")+COUNTIF($E162:AA162,"²")+COUNTIF($E162:AA162,"µ")+COUNTIF($E162:AA162,1),ColDescriptionCourte))&gt;1,
HYPERLINK("#Roadmap!C"&amp; MATCH($E162,Roadmap!$D:$D,0)+COUNTIF($E162:AA162,"u")+COUNTIF($E162:AA162,"t")+COUNTIF($E162:AA162,"¶")+COUNTIF($E162:AA162,"²")+COUNTIF($E162:AA162,"µ")+COUNTIF($E162:AA162,1)-1,INDEX(Roadmap!$D:$K,MATCH($E162,Roadmap!$D:$D,0)-1+COUNTIF($E162:AA162,"u")+COUNTIF($E162:AA162,"t")+COUNTIF($E162:AA162,"¶")+COUNTIF($E162:AA162,"²")+COUNTIF($E162:AA162,"µ")+COUNTIF($E162:AA162,1),ColDescriptionCourte)),""),
  "")),"")</f>
        <v/>
      </c>
      <c r="AC162" s="40" t="str">
        <f ca="1">IFERROR(IF(AND(
  INDEX(Roadmap!$D:$K,MATCH($E162,Roadmap!$D:$D,0)+COUNTIF($E162:AB162,"u")+COUNTIF($E162:AB162,"t")+COUNTIF($E162:AB162,"¶")+COUNTIF($E162:AB162,"²")+COUNTIF($E162:AB162,"µ")+COUNTIF($E162:AB162,1),ColLivraison)=AC$6,
  VLOOKUP($E162,INDIRECT("tri!"&amp; CHAR(64+ C0Col) &amp;":"&amp; CHAR(65+C0Col)),2,FALSE)&gt;COUNTIF($E162:AB162,"u")+COUNTIF($E162:AB162,"t")+COUNTIF($E162:AB162,"¶")+COUNTIF($E162:AB162,"²")+COUNTIF($E162:AB162,"µ")+COUNTIF($E162:AB162,1)),
HYPERLINK("#Roadmap!C"&amp; MATCH($E162,Roadmap!$D:$D,0)+COUNTIF($E162:AB162,"u")+COUNTIF($E162:AB162,"t"),
     INDEX(Roadmap!$D:$K,MATCH($E162,Roadmap!$D:$D,0)+COUNTIF($E162:AB162,"u")+COUNTIF($E162:AB162,"t")+COUNTIF($E162:AB162,"¶")+COUNTIF($E162:AB162,"²")+COUNTIF($E162:AB162,"µ")+COUNTIF($E162:AB162,1),ColTypeEcheance)),
  IF(LEN(AB162)=1,
  IF(LEN(INDEX(Roadmap!$D:$K,MATCH($E162,Roadmap!$D:$D,0)-1+COUNTIF($E162:AB162,"u")+COUNTIF($E162:AB162,"t")+COUNTIF($E162:AB162,"¶")+COUNTIF($E162:AB162,"²")+COUNTIF($E162:AB162,"µ")+COUNTIF($E162:AB162,1),ColDescriptionCourte))&gt;1,
HYPERLINK("#Roadmap!C"&amp; MATCH($E162,Roadmap!$D:$D,0)+COUNTIF($E162:AB162,"u")+COUNTIF($E162:AB162,"t")+COUNTIF($E162:AB162,"¶")+COUNTIF($E162:AB162,"²")+COUNTIF($E162:AB162,"µ")+COUNTIF($E162:AB162,1)-1,INDEX(Roadmap!$D:$K,MATCH($E162,Roadmap!$D:$D,0)-1+COUNTIF($E162:AB162,"u")+COUNTIF($E162:AB162,"t")+COUNTIF($E162:AB162,"¶")+COUNTIF($E162:AB162,"²")+COUNTIF($E162:AB162,"µ")+COUNTIF($E162:AB162,1),ColDescriptionCourte)),""),
  "")),"")</f>
        <v/>
      </c>
      <c r="AD162" s="40" t="str">
        <f ca="1">IFERROR(IF(AND(
  INDEX(Roadmap!$D:$K,MATCH($E162,Roadmap!$D:$D,0)+COUNTIF($E162:AC162,"u")+COUNTIF($E162:AC162,"t")+COUNTIF($E162:AC162,"¶")+COUNTIF($E162:AC162,"²")+COUNTIF($E162:AC162,"µ")+COUNTIF($E162:AC162,1),ColLivraison)=AD$6,
  VLOOKUP($E162,INDIRECT("tri!"&amp; CHAR(64+ C0Col) &amp;":"&amp; CHAR(65+C0Col)),2,FALSE)&gt;COUNTIF($E162:AC162,"u")+COUNTIF($E162:AC162,"t")+COUNTIF($E162:AC162,"¶")+COUNTIF($E162:AC162,"²")+COUNTIF($E162:AC162,"µ")+COUNTIF($E162:AC162,1)),
HYPERLINK("#Roadmap!C"&amp; MATCH($E162,Roadmap!$D:$D,0)+COUNTIF($E162:AC162,"u")+COUNTIF($E162:AC162,"t"),
     INDEX(Roadmap!$D:$K,MATCH($E162,Roadmap!$D:$D,0)+COUNTIF($E162:AC162,"u")+COUNTIF($E162:AC162,"t")+COUNTIF($E162:AC162,"¶")+COUNTIF($E162:AC162,"²")+COUNTIF($E162:AC162,"µ")+COUNTIF($E162:AC162,1),ColTypeEcheance)),
  IF(LEN(AC162)=1,
  IF(LEN(INDEX(Roadmap!$D:$K,MATCH($E162,Roadmap!$D:$D,0)-1+COUNTIF($E162:AC162,"u")+COUNTIF($E162:AC162,"t")+COUNTIF($E162:AC162,"¶")+COUNTIF($E162:AC162,"²")+COUNTIF($E162:AC162,"µ")+COUNTIF($E162:AC162,1),ColDescriptionCourte))&gt;1,
HYPERLINK("#Roadmap!C"&amp; MATCH($E162,Roadmap!$D:$D,0)+COUNTIF($E162:AC162,"u")+COUNTIF($E162:AC162,"t")+COUNTIF($E162:AC162,"¶")+COUNTIF($E162:AC162,"²")+COUNTIF($E162:AC162,"µ")+COUNTIF($E162:AC162,1)-1,INDEX(Roadmap!$D:$K,MATCH($E162,Roadmap!$D:$D,0)-1+COUNTIF($E162:AC162,"u")+COUNTIF($E162:AC162,"t")+COUNTIF($E162:AC162,"¶")+COUNTIF($E162:AC162,"²")+COUNTIF($E162:AC162,"µ")+COUNTIF($E162:AC162,1),ColDescriptionCourte)),""),
  "")),"")</f>
        <v/>
      </c>
      <c r="AE162" s="40" t="str">
        <f ca="1">IFERROR(IF(AND(
  INDEX(Roadmap!$D:$K,MATCH($E162,Roadmap!$D:$D,0)+COUNTIF($E162:AD162,"u")+COUNTIF($E162:AD162,"t")+COUNTIF($E162:AD162,"¶")+COUNTIF($E162:AD162,"²")+COUNTIF($E162:AD162,"µ")+COUNTIF($E162:AD162,1),ColLivraison)=AE$6,
  VLOOKUP($E162,INDIRECT("tri!"&amp; CHAR(64+ C0Col) &amp;":"&amp; CHAR(65+C0Col)),2,FALSE)&gt;COUNTIF($E162:AD162,"u")+COUNTIF($E162:AD162,"t")+COUNTIF($E162:AD162,"¶")+COUNTIF($E162:AD162,"²")+COUNTIF($E162:AD162,"µ")+COUNTIF($E162:AD162,1)),
HYPERLINK("#Roadmap!C"&amp; MATCH($E162,Roadmap!$D:$D,0)+COUNTIF($E162:AD162,"u")+COUNTIF($E162:AD162,"t"),
     INDEX(Roadmap!$D:$K,MATCH($E162,Roadmap!$D:$D,0)+COUNTIF($E162:AD162,"u")+COUNTIF($E162:AD162,"t")+COUNTIF($E162:AD162,"¶")+COUNTIF($E162:AD162,"²")+COUNTIF($E162:AD162,"µ")+COUNTIF($E162:AD162,1),ColTypeEcheance)),
  IF(LEN(AD162)=1,
  IF(LEN(INDEX(Roadmap!$D:$K,MATCH($E162,Roadmap!$D:$D,0)-1+COUNTIF($E162:AD162,"u")+COUNTIF($E162:AD162,"t")+COUNTIF($E162:AD162,"¶")+COUNTIF($E162:AD162,"²")+COUNTIF($E162:AD162,"µ")+COUNTIF($E162:AD162,1),ColDescriptionCourte))&gt;1,
HYPERLINK("#Roadmap!C"&amp; MATCH($E162,Roadmap!$D:$D,0)+COUNTIF($E162:AD162,"u")+COUNTIF($E162:AD162,"t")+COUNTIF($E162:AD162,"¶")+COUNTIF($E162:AD162,"²")+COUNTIF($E162:AD162,"µ")+COUNTIF($E162:AD162,1)-1,INDEX(Roadmap!$D:$K,MATCH($E162,Roadmap!$D:$D,0)-1+COUNTIF($E162:AD162,"u")+COUNTIF($E162:AD162,"t")+COUNTIF($E162:AD162,"¶")+COUNTIF($E162:AD162,"²")+COUNTIF($E162:AD162,"µ")+COUNTIF($E162:AD162,1),ColDescriptionCourte)),""),
  "")),"")</f>
        <v/>
      </c>
      <c r="AF162" s="40" t="str">
        <f ca="1">IFERROR(IF(AND(
  INDEX(Roadmap!$D:$K,MATCH($E162,Roadmap!$D:$D,0)+COUNTIF($E162:AE162,"u")+COUNTIF($E162:AE162,"t")+COUNTIF($E162:AE162,"¶")+COUNTIF($E162:AE162,"²")+COUNTIF($E162:AE162,"µ")+COUNTIF($E162:AE162,1),ColLivraison)=AF$6,
  VLOOKUP($E162,INDIRECT("tri!"&amp; CHAR(64+ C0Col) &amp;":"&amp; CHAR(65+C0Col)),2,FALSE)&gt;COUNTIF($E162:AE162,"u")+COUNTIF($E162:AE162,"t")+COUNTIF($E162:AE162,"¶")+COUNTIF($E162:AE162,"²")+COUNTIF($E162:AE162,"µ")+COUNTIF($E162:AE162,1)),
HYPERLINK("#Roadmap!C"&amp; MATCH($E162,Roadmap!$D:$D,0)+COUNTIF($E162:AE162,"u")+COUNTIF($E162:AE162,"t"),
     INDEX(Roadmap!$D:$K,MATCH($E162,Roadmap!$D:$D,0)+COUNTIF($E162:AE162,"u")+COUNTIF($E162:AE162,"t")+COUNTIF($E162:AE162,"¶")+COUNTIF($E162:AE162,"²")+COUNTIF($E162:AE162,"µ")+COUNTIF($E162:AE162,1),ColTypeEcheance)),
  IF(LEN(AE162)=1,
  IF(LEN(INDEX(Roadmap!$D:$K,MATCH($E162,Roadmap!$D:$D,0)-1+COUNTIF($E162:AE162,"u")+COUNTIF($E162:AE162,"t")+COUNTIF($E162:AE162,"¶")+COUNTIF($E162:AE162,"²")+COUNTIF($E162:AE162,"µ")+COUNTIF($E162:AE162,1),ColDescriptionCourte))&gt;1,
HYPERLINK("#Roadmap!C"&amp; MATCH($E162,Roadmap!$D:$D,0)+COUNTIF($E162:AE162,"u")+COUNTIF($E162:AE162,"t")+COUNTIF($E162:AE162,"¶")+COUNTIF($E162:AE162,"²")+COUNTIF($E162:AE162,"µ")+COUNTIF($E162:AE162,1)-1,INDEX(Roadmap!$D:$K,MATCH($E162,Roadmap!$D:$D,0)-1+COUNTIF($E162:AE162,"u")+COUNTIF($E162:AE162,"t")+COUNTIF($E162:AE162,"¶")+COUNTIF($E162:AE162,"²")+COUNTIF($E162:AE162,"µ")+COUNTIF($E162:AE162,1),ColDescriptionCourte)),""),
  "")),"")</f>
        <v/>
      </c>
      <c r="AG162" s="40" t="str">
        <f ca="1">IFERROR(IF(AND(
  INDEX(Roadmap!$D:$K,MATCH($E162,Roadmap!$D:$D,0)+COUNTIF($E162:AF162,"u")+COUNTIF($E162:AF162,"t")+COUNTIF($E162:AF162,"¶")+COUNTIF($E162:AF162,"²")+COUNTIF($E162:AF162,"µ")+COUNTIF($E162:AF162,1),ColLivraison)=AG$6,
  VLOOKUP($E162,INDIRECT("tri!"&amp; CHAR(64+ C0Col) &amp;":"&amp; CHAR(65+C0Col)),2,FALSE)&gt;COUNTIF($E162:AF162,"u")+COUNTIF($E162:AF162,"t")+COUNTIF($E162:AF162,"¶")+COUNTIF($E162:AF162,"²")+COUNTIF($E162:AF162,"µ")+COUNTIF($E162:AF162,1)),
HYPERLINK("#Roadmap!C"&amp; MATCH($E162,Roadmap!$D:$D,0)+COUNTIF($E162:AF162,"u")+COUNTIF($E162:AF162,"t"),
     INDEX(Roadmap!$D:$K,MATCH($E162,Roadmap!$D:$D,0)+COUNTIF($E162:AF162,"u")+COUNTIF($E162:AF162,"t")+COUNTIF($E162:AF162,"¶")+COUNTIF($E162:AF162,"²")+COUNTIF($E162:AF162,"µ")+COUNTIF($E162:AF162,1),ColTypeEcheance)),
  IF(LEN(AF162)=1,
  IF(LEN(INDEX(Roadmap!$D:$K,MATCH($E162,Roadmap!$D:$D,0)-1+COUNTIF($E162:AF162,"u")+COUNTIF($E162:AF162,"t")+COUNTIF($E162:AF162,"¶")+COUNTIF($E162:AF162,"²")+COUNTIF($E162:AF162,"µ")+COUNTIF($E162:AF162,1),ColDescriptionCourte))&gt;1,
HYPERLINK("#Roadmap!C"&amp; MATCH($E162,Roadmap!$D:$D,0)+COUNTIF($E162:AF162,"u")+COUNTIF($E162:AF162,"t")+COUNTIF($E162:AF162,"¶")+COUNTIF($E162:AF162,"²")+COUNTIF($E162:AF162,"µ")+COUNTIF($E162:AF162,1)-1,INDEX(Roadmap!$D:$K,MATCH($E162,Roadmap!$D:$D,0)-1+COUNTIF($E162:AF162,"u")+COUNTIF($E162:AF162,"t")+COUNTIF($E162:AF162,"¶")+COUNTIF($E162:AF162,"²")+COUNTIF($E162:AF162,"µ")+COUNTIF($E162:AF162,1),ColDescriptionCourte)),""),
  "")),"")</f>
        <v/>
      </c>
      <c r="AH162" s="40" t="str">
        <f ca="1">IFERROR(IF(AND(
  INDEX(Roadmap!$D:$K,MATCH($E162,Roadmap!$D:$D,0)+COUNTIF($E162:AG162,"u")+COUNTIF($E162:AG162,"t")+COUNTIF($E162:AG162,1),ColLivraison)=AH$6,
  VLOOKUP($E162,INDIRECT("tri!"&amp; CHAR(64+ C0Col) &amp;":"&amp; CHAR(65+C0Col)),2,FALSE)&gt;COUNTIF($E162:AG162,"u")+COUNTIF($E162:AG162,"t")+COUNTIF($E162:AG162,1)),
HYPERLINK("#Roadmap!C"&amp; MATCH($E162,Roadmap!$D:$D,0)+COUNTIF($E162:AG162,"u")+COUNTIF($E162:AG162,"t"),
     INDEX(Roadmap!$D:$K,MATCH($E162,Roadmap!$D:$D,0)+COUNTIF($E162:AG162,"u")+COUNTIF($E162:AG162,"t")+COUNTIF($E162:AG162,1),ColTypeEcheance)),
  IF(OR(AG162="u",AG162="t",AG162=1),
  IF(LEN(INDEX(Roadmap!$D:$K,MATCH($E162,Roadmap!$D:$D,0)-1+COUNTIF($E162:AG162,"u")+COUNTIF($E162:AG162,"t")+COUNTIF($E162:AG162,1),ColDescriptionCourte))&gt;1,
HYPERLINK("#Roadmap!C"&amp; MATCH($E162,Roadmap!$D:$D,0)+COUNTIF($E162:AG162,"u")+COUNTIF($E162:AG162,"t")+COUNTIF($E162:AG162,1)-1,INDEX(Roadmap!$D:$K,MATCH($E162,Roadmap!$D:$D,0)-1+COUNTIF($E162:AG162,"u")+COUNTIF($E162:AG162,"t")+COUNTIF($E162:AG162,1),ColDescriptionCourte)),""),
  "")),"")</f>
        <v/>
      </c>
      <c r="AI162" s="40"/>
      <c r="AJ162" s="40"/>
      <c r="AK162" s="40"/>
      <c r="AL162" s="40"/>
      <c r="AM162" s="40"/>
    </row>
    <row r="163" spans="4:39" ht="14.1" customHeight="1">
      <c r="D163" s="20" t="str">
        <f t="shared" ca="1" si="31"/>
        <v/>
      </c>
      <c r="E163" s="53" t="str">
        <f t="shared" ca="1" si="32"/>
        <v/>
      </c>
      <c r="F163" s="39" t="str">
        <f ca="1">IFERROR(IF(AND(
  INDEX(Roadmap!$D:$K,MATCH($E163,Roadmap!$D:$D,0)+COUNTIF($E163:E163,"u")+COUNTIF($E163:E163,"t")+COUNTIF($E163:E163,"¶")+COUNTIF($E163:E163,"²")+COUNTIF($E163:E163,"µ")+COUNTIF($E163:E163,1),ColLivraison)=F$6,
  VLOOKUP($E163,INDIRECT("tri!"&amp; CHAR(64+ C0Col) &amp;":"&amp; CHAR(65+C0Col)),2,FALSE)&gt;COUNTIF($E163:E163,"u")+COUNTIF($E163:E163,"t")+COUNTIF($E163:E163,"¶")+COUNTIF($E163:E163,"²")+COUNTIF($E163:E163,"µ")+COUNTIF($E163:E163,1)),
HYPERLINK("#Roadmap!C"&amp; MATCH($E163,Roadmap!$D:$D,0)+COUNTIF($E163:E163,"u")+COUNTIF($E163:E163,"t"),
     INDEX(Roadmap!$D:$K,MATCH($E163,Roadmap!$D:$D,0)+COUNTIF($E163:E163,"u")+COUNTIF($E163:E163,"t")+COUNTIF($E163:E163,"¶")+COUNTIF($E163:E163,"²")+COUNTIF($E163:E163,"µ")+COUNTIF($E163:E163,1),ColTypeEcheance)),
  IF(LEN(E163)=1,
  IF(LEN(INDEX(Roadmap!$D:$K,MATCH($E163,Roadmap!$D:$D,0)-1+COUNTIF($E163:E163,"u")+COUNTIF($E163:E163,"t")+COUNTIF($E163:E163,"¶")+COUNTIF($E163:E163,"²")+COUNTIF($E163:E163,"µ")+COUNTIF($E163:E163,1),ColDescriptionCourte))&gt;1,
HYPERLINK("#Roadmap!C"&amp; MATCH($E163,Roadmap!$D:$D,0)+COUNTIF($E163:E163,"u")+COUNTIF($E163:E163,"t")+COUNTIF($E163:E163,"¶")+COUNTIF($E163:E163,"²")+COUNTIF($E163:E163,"µ")+COUNTIF($E163:E163,1)-1,INDEX(Roadmap!$D:$K,MATCH($E163,Roadmap!$D:$D,0)-1+COUNTIF($E163:E163,"u")+COUNTIF($E163:E163,"t")+COUNTIF($E163:E163,"¶")+COUNTIF($E163:E163,"²")+COUNTIF($E163:E163,"µ")+COUNTIF($E163:E163,1),ColDescriptionCourte)),""),
  "")),"")</f>
        <v/>
      </c>
      <c r="G163" s="40" t="str">
        <f ca="1">IFERROR(IF(AND(
  INDEX(Roadmap!$D:$K,MATCH($E163,Roadmap!$D:$D,0)+COUNTIF($E163:F163,"u")+COUNTIF($E163:F163,"t")+COUNTIF($E163:F163,"¶")+COUNTIF($E163:F163,"²")+COUNTIF($E163:F163,"µ")+COUNTIF($E163:F163,1),ColLivraison)=G$6,
  VLOOKUP($E163,INDIRECT("tri!"&amp; CHAR(64+ C0Col) &amp;":"&amp; CHAR(65+C0Col)),2,FALSE)&gt;COUNTIF($E163:F163,"u")+COUNTIF($E163:F163,"t")+COUNTIF($E163:F163,"¶")+COUNTIF($E163:F163,"²")+COUNTIF($E163:F163,"µ")+COUNTIF($E163:F163,1)),
HYPERLINK("#Roadmap!C"&amp; MATCH($E163,Roadmap!$D:$D,0)+COUNTIF($E163:F163,"u")+COUNTIF($E163:F163,"t"),
     INDEX(Roadmap!$D:$K,MATCH($E163,Roadmap!$D:$D,0)+COUNTIF($E163:F163,"u")+COUNTIF($E163:F163,"t")+COUNTIF($E163:F163,"¶")+COUNTIF($E163:F163,"²")+COUNTIF($E163:F163,"µ")+COUNTIF($E163:F163,1),ColTypeEcheance)),
  IF(LEN(F163)=1,
  IF(LEN(INDEX(Roadmap!$D:$K,MATCH($E163,Roadmap!$D:$D,0)-1+COUNTIF($E163:F163,"u")+COUNTIF($E163:F163,"t")+COUNTIF($E163:F163,"¶")+COUNTIF($E163:F163,"²")+COUNTIF($E163:F163,"µ")+COUNTIF($E163:F163,1),ColDescriptionCourte))&gt;1,
HYPERLINK("#Roadmap!C"&amp; MATCH($E163,Roadmap!$D:$D,0)+COUNTIF($E163:F163,"u")+COUNTIF($E163:F163,"t")+COUNTIF($E163:F163,"¶")+COUNTIF($E163:F163,"²")+COUNTIF($E163:F163,"µ")+COUNTIF($E163:F163,1)-1,INDEX(Roadmap!$D:$K,MATCH($E163,Roadmap!$D:$D,0)-1+COUNTIF($E163:F163,"u")+COUNTIF($E163:F163,"t")+COUNTIF($E163:F163,"¶")+COUNTIF($E163:F163,"²")+COUNTIF($E163:F163,"µ")+COUNTIF($E163:F163,1),ColDescriptionCourte)),""),
  "")),"")</f>
        <v/>
      </c>
      <c r="H163" s="40" t="str">
        <f ca="1">IFERROR(IF(AND(
  INDEX(Roadmap!$D:$K,MATCH($E163,Roadmap!$D:$D,0)+COUNTIF($E163:G163,"u")+COUNTIF($E163:G163,"t")+COUNTIF($E163:G163,"¶")+COUNTIF($E163:G163,"²")+COUNTIF($E163:G163,"µ")+COUNTIF($E163:G163,1),ColLivraison)=H$6,
  VLOOKUP($E163,INDIRECT("tri!"&amp; CHAR(64+ C0Col) &amp;":"&amp; CHAR(65+C0Col)),2,FALSE)&gt;COUNTIF($E163:G163,"u")+COUNTIF($E163:G163,"t")+COUNTIF($E163:G163,"¶")+COUNTIF($E163:G163,"²")+COUNTIF($E163:G163,"µ")+COUNTIF($E163:G163,1)),
HYPERLINK("#Roadmap!C"&amp; MATCH($E163,Roadmap!$D:$D,0)+COUNTIF($E163:G163,"u")+COUNTIF($E163:G163,"t"),
     INDEX(Roadmap!$D:$K,MATCH($E163,Roadmap!$D:$D,0)+COUNTIF($E163:G163,"u")+COUNTIF($E163:G163,"t")+COUNTIF($E163:G163,"¶")+COUNTIF($E163:G163,"²")+COUNTIF($E163:G163,"µ")+COUNTIF($E163:G163,1),ColTypeEcheance)),
  IF(LEN(G163)=1,
  IF(LEN(INDEX(Roadmap!$D:$K,MATCH($E163,Roadmap!$D:$D,0)-1+COUNTIF($E163:G163,"u")+COUNTIF($E163:G163,"t")+COUNTIF($E163:G163,"¶")+COUNTIF($E163:G163,"²")+COUNTIF($E163:G163,"µ")+COUNTIF($E163:G163,1),ColDescriptionCourte))&gt;1,
HYPERLINK("#Roadmap!C"&amp; MATCH($E163,Roadmap!$D:$D,0)+COUNTIF($E163:G163,"u")+COUNTIF($E163:G163,"t")+COUNTIF($E163:G163,"¶")+COUNTIF($E163:G163,"²")+COUNTIF($E163:G163,"µ")+COUNTIF($E163:G163,1)-1,INDEX(Roadmap!$D:$K,MATCH($E163,Roadmap!$D:$D,0)-1+COUNTIF($E163:G163,"u")+COUNTIF($E163:G163,"t")+COUNTIF($E163:G163,"¶")+COUNTIF($E163:G163,"²")+COUNTIF($E163:G163,"µ")+COUNTIF($E163:G163,1),ColDescriptionCourte)),""),
  "")),"")</f>
        <v/>
      </c>
      <c r="I163" s="40" t="str">
        <f ca="1">IFERROR(IF(AND(
  INDEX(Roadmap!$D:$K,MATCH($E163,Roadmap!$D:$D,0)+COUNTIF($E163:H163,"u")+COUNTIF($E163:H163,"t")+COUNTIF($E163:H163,"¶")+COUNTIF($E163:H163,"²")+COUNTIF($E163:H163,"µ")+COUNTIF($E163:H163,1),ColLivraison)=I$6,
  VLOOKUP($E163,INDIRECT("tri!"&amp; CHAR(64+ C0Col) &amp;":"&amp; CHAR(65+C0Col)),2,FALSE)&gt;COUNTIF($E163:H163,"u")+COUNTIF($E163:H163,"t")+COUNTIF($E163:H163,"¶")+COUNTIF($E163:H163,"²")+COUNTIF($E163:H163,"µ")+COUNTIF($E163:H163,1)),
HYPERLINK("#Roadmap!C"&amp; MATCH($E163,Roadmap!$D:$D,0)+COUNTIF($E163:H163,"u")+COUNTIF($E163:H163,"t"),
     INDEX(Roadmap!$D:$K,MATCH($E163,Roadmap!$D:$D,0)+COUNTIF($E163:H163,"u")+COUNTIF($E163:H163,"t")+COUNTIF($E163:H163,"¶")+COUNTIF($E163:H163,"²")+COUNTIF($E163:H163,"µ")+COUNTIF($E163:H163,1),ColTypeEcheance)),
  IF(LEN(H163)=1,
  IF(LEN(INDEX(Roadmap!$D:$K,MATCH($E163,Roadmap!$D:$D,0)-1+COUNTIF($E163:H163,"u")+COUNTIF($E163:H163,"t")+COUNTIF($E163:H163,"¶")+COUNTIF($E163:H163,"²")+COUNTIF($E163:H163,"µ")+COUNTIF($E163:H163,1),ColDescriptionCourte))&gt;1,
HYPERLINK("#Roadmap!C"&amp; MATCH($E163,Roadmap!$D:$D,0)+COUNTIF($E163:H163,"u")+COUNTIF($E163:H163,"t")+COUNTIF($E163:H163,"¶")+COUNTIF($E163:H163,"²")+COUNTIF($E163:H163,"µ")+COUNTIF($E163:H163,1)-1,INDEX(Roadmap!$D:$K,MATCH($E163,Roadmap!$D:$D,0)-1+COUNTIF($E163:H163,"u")+COUNTIF($E163:H163,"t")+COUNTIF($E163:H163,"¶")+COUNTIF($E163:H163,"²")+COUNTIF($E163:H163,"µ")+COUNTIF($E163:H163,1),ColDescriptionCourte)),""),
  "")),"")</f>
        <v/>
      </c>
      <c r="J163" s="40" t="str">
        <f ca="1">IFERROR(IF(AND(
  INDEX(Roadmap!$D:$K,MATCH($E163,Roadmap!$D:$D,0)+COUNTIF($E163:I163,"u")+COUNTIF($E163:I163,"t")+COUNTIF($E163:I163,"¶")+COUNTIF($E163:I163,"²")+COUNTIF($E163:I163,"µ")+COUNTIF($E163:I163,1),ColLivraison)=J$6,
  VLOOKUP($E163,INDIRECT("tri!"&amp; CHAR(64+ C0Col) &amp;":"&amp; CHAR(65+C0Col)),2,FALSE)&gt;COUNTIF($E163:I163,"u")+COUNTIF($E163:I163,"t")+COUNTIF($E163:I163,"¶")+COUNTIF($E163:I163,"²")+COUNTIF($E163:I163,"µ")+COUNTIF($E163:I163,1)),
HYPERLINK("#Roadmap!C"&amp; MATCH($E163,Roadmap!$D:$D,0)+COUNTIF($E163:I163,"u")+COUNTIF($E163:I163,"t"),
     INDEX(Roadmap!$D:$K,MATCH($E163,Roadmap!$D:$D,0)+COUNTIF($E163:I163,"u")+COUNTIF($E163:I163,"t")+COUNTIF($E163:I163,"¶")+COUNTIF($E163:I163,"²")+COUNTIF($E163:I163,"µ")+COUNTIF($E163:I163,1),ColTypeEcheance)),
  IF(LEN(I163)=1,
  IF(LEN(INDEX(Roadmap!$D:$K,MATCH($E163,Roadmap!$D:$D,0)-1+COUNTIF($E163:I163,"u")+COUNTIF($E163:I163,"t")+COUNTIF($E163:I163,"¶")+COUNTIF($E163:I163,"²")+COUNTIF($E163:I163,"µ")+COUNTIF($E163:I163,1),ColDescriptionCourte))&gt;1,
HYPERLINK("#Roadmap!C"&amp; MATCH($E163,Roadmap!$D:$D,0)+COUNTIF($E163:I163,"u")+COUNTIF($E163:I163,"t")+COUNTIF($E163:I163,"¶")+COUNTIF($E163:I163,"²")+COUNTIF($E163:I163,"µ")+COUNTIF($E163:I163,1)-1,INDEX(Roadmap!$D:$K,MATCH($E163,Roadmap!$D:$D,0)-1+COUNTIF($E163:I163,"u")+COUNTIF($E163:I163,"t")+COUNTIF($E163:I163,"¶")+COUNTIF($E163:I163,"²")+COUNTIF($E163:I163,"µ")+COUNTIF($E163:I163,1),ColDescriptionCourte)),""),
  "")),"")</f>
        <v/>
      </c>
      <c r="K163" s="40" t="str">
        <f ca="1">IFERROR(IF(AND(
  INDEX(Roadmap!$D:$K,MATCH($E163,Roadmap!$D:$D,0)+COUNTIF($E163:J163,"u")+COUNTIF($E163:J163,"t")+COUNTIF($E163:J163,"¶")+COUNTIF($E163:J163,"²")+COUNTIF($E163:J163,"µ")+COUNTIF($E163:J163,1),ColLivraison)=K$6,
  VLOOKUP($E163,INDIRECT("tri!"&amp; CHAR(64+ C0Col) &amp;":"&amp; CHAR(65+C0Col)),2,FALSE)&gt;COUNTIF($E163:J163,"u")+COUNTIF($E163:J163,"t")+COUNTIF($E163:J163,"¶")+COUNTIF($E163:J163,"²")+COUNTIF($E163:J163,"µ")+COUNTIF($E163:J163,1)),
HYPERLINK("#Roadmap!C"&amp; MATCH($E163,Roadmap!$D:$D,0)+COUNTIF($E163:J163,"u")+COUNTIF($E163:J163,"t"),
     INDEX(Roadmap!$D:$K,MATCH($E163,Roadmap!$D:$D,0)+COUNTIF($E163:J163,"u")+COUNTIF($E163:J163,"t")+COUNTIF($E163:J163,"¶")+COUNTIF($E163:J163,"²")+COUNTIF($E163:J163,"µ")+COUNTIF($E163:J163,1),ColTypeEcheance)),
  IF(LEN(J163)=1,
  IF(LEN(INDEX(Roadmap!$D:$K,MATCH($E163,Roadmap!$D:$D,0)-1+COUNTIF($E163:J163,"u")+COUNTIF($E163:J163,"t")+COUNTIF($E163:J163,"¶")+COUNTIF($E163:J163,"²")+COUNTIF($E163:J163,"µ")+COUNTIF($E163:J163,1),ColDescriptionCourte))&gt;1,
HYPERLINK("#Roadmap!C"&amp; MATCH($E163,Roadmap!$D:$D,0)+COUNTIF($E163:J163,"u")+COUNTIF($E163:J163,"t")+COUNTIF($E163:J163,"¶")+COUNTIF($E163:J163,"²")+COUNTIF($E163:J163,"µ")+COUNTIF($E163:J163,1)-1,INDEX(Roadmap!$D:$K,MATCH($E163,Roadmap!$D:$D,0)-1+COUNTIF($E163:J163,"u")+COUNTIF($E163:J163,"t")+COUNTIF($E163:J163,"¶")+COUNTIF($E163:J163,"²")+COUNTIF($E163:J163,"µ")+COUNTIF($E163:J163,1),ColDescriptionCourte)),""),
  "")),"")</f>
        <v/>
      </c>
      <c r="L163" s="39" t="str">
        <f ca="1">IFERROR(IF(AND(
  INDEX(Roadmap!$D:$K,MATCH($E163,Roadmap!$D:$D,0)+COUNTIF($E163:K163,"u")+COUNTIF($E163:K163,"t")+COUNTIF($E163:K163,"¶")+COUNTIF($E163:K163,"²")+COUNTIF($E163:K163,"µ")+COUNTIF($E163:K163,1),ColLivraison)=L$6,
  VLOOKUP($E163,INDIRECT("tri!"&amp; CHAR(64+ C0Col) &amp;":"&amp; CHAR(65+C0Col)),2,FALSE)&gt;COUNTIF($E163:K163,"u")+COUNTIF($E163:K163,"t")+COUNTIF($E163:K163,"¶")+COUNTIF($E163:K163,"²")+COUNTIF($E163:K163,"µ")+COUNTIF($E163:K163,1)),
HYPERLINK("#Roadmap!C"&amp; MATCH($E163,Roadmap!$D:$D,0)+COUNTIF($E163:K163,"u")+COUNTIF($E163:K163,"t"),
     INDEX(Roadmap!$D:$K,MATCH($E163,Roadmap!$D:$D,0)+COUNTIF($E163:K163,"u")+COUNTIF($E163:K163,"t")+COUNTIF($E163:K163,"¶")+COUNTIF($E163:K163,"²")+COUNTIF($E163:K163,"µ")+COUNTIF($E163:K163,1),ColTypeEcheance)),
  IF(LEN(K163)=1,
  IF(LEN(INDEX(Roadmap!$D:$K,MATCH($E163,Roadmap!$D:$D,0)-1+COUNTIF($E163:K163,"u")+COUNTIF($E163:K163,"t")+COUNTIF($E163:K163,"¶")+COUNTIF($E163:K163,"²")+COUNTIF($E163:K163,"µ")+COUNTIF($E163:K163,1),ColDescriptionCourte))&gt;1,
HYPERLINK("#Roadmap!C"&amp; MATCH($E163,Roadmap!$D:$D,0)+COUNTIF($E163:K163,"u")+COUNTIF($E163:K163,"t")+COUNTIF($E163:K163,"¶")+COUNTIF($E163:K163,"²")+COUNTIF($E163:K163,"µ")+COUNTIF($E163:K163,1)-1,INDEX(Roadmap!$D:$K,MATCH($E163,Roadmap!$D:$D,0)-1+COUNTIF($E163:K163,"u")+COUNTIF($E163:K163,"t")+COUNTIF($E163:K163,"¶")+COUNTIF($E163:K163,"²")+COUNTIF($E163:K163,"µ")+COUNTIF($E163:K163,1),ColDescriptionCourte)),""),
  "")),"")</f>
        <v/>
      </c>
      <c r="M163" s="40" t="str">
        <f ca="1">IFERROR(IF(AND(
  INDEX(Roadmap!$D:$K,MATCH($E163,Roadmap!$D:$D,0)+COUNTIF($E163:L163,"u")+COUNTIF($E163:L163,"t")+COUNTIF($E163:L163,"¶")+COUNTIF($E163:L163,"²")+COUNTIF($E163:L163,"µ")+COUNTIF($E163:L163,1),ColLivraison)=M$6,
  VLOOKUP($E163,INDIRECT("tri!"&amp; CHAR(64+ C0Col) &amp;":"&amp; CHAR(65+C0Col)),2,FALSE)&gt;COUNTIF($E163:L163,"u")+COUNTIF($E163:L163,"t")+COUNTIF($E163:L163,"¶")+COUNTIF($E163:L163,"²")+COUNTIF($E163:L163,"µ")+COUNTIF($E163:L163,1)),
HYPERLINK("#Roadmap!C"&amp; MATCH($E163,Roadmap!$D:$D,0)+COUNTIF($E163:L163,"u")+COUNTIF($E163:L163,"t"),
     INDEX(Roadmap!$D:$K,MATCH($E163,Roadmap!$D:$D,0)+COUNTIF($E163:L163,"u")+COUNTIF($E163:L163,"t")+COUNTIF($E163:L163,"¶")+COUNTIF($E163:L163,"²")+COUNTIF($E163:L163,"µ")+COUNTIF($E163:L163,1),ColTypeEcheance)),
  IF(LEN(L163)=1,
  IF(LEN(INDEX(Roadmap!$D:$K,MATCH($E163,Roadmap!$D:$D,0)-1+COUNTIF($E163:L163,"u")+COUNTIF($E163:L163,"t")+COUNTIF($E163:L163,"¶")+COUNTIF($E163:L163,"²")+COUNTIF($E163:L163,"µ")+COUNTIF($E163:L163,1),ColDescriptionCourte))&gt;1,
HYPERLINK("#Roadmap!C"&amp; MATCH($E163,Roadmap!$D:$D,0)+COUNTIF($E163:L163,"u")+COUNTIF($E163:L163,"t")+COUNTIF($E163:L163,"¶")+COUNTIF($E163:L163,"²")+COUNTIF($E163:L163,"µ")+COUNTIF($E163:L163,1)-1,INDEX(Roadmap!$D:$K,MATCH($E163,Roadmap!$D:$D,0)-1+COUNTIF($E163:L163,"u")+COUNTIF($E163:L163,"t")+COUNTIF($E163:L163,"¶")+COUNTIF($E163:L163,"²")+COUNTIF($E163:L163,"µ")+COUNTIF($E163:L163,1),ColDescriptionCourte)),""),
  "")),"")</f>
        <v/>
      </c>
      <c r="N163" s="40" t="str">
        <f ca="1">IFERROR(IF(AND(
  INDEX(Roadmap!$D:$K,MATCH($E163,Roadmap!$D:$D,0)+COUNTIF($E163:M163,"u")+COUNTIF($E163:M163,"t")+COUNTIF($E163:M163,"¶")+COUNTIF($E163:M163,"²")+COUNTIF($E163:M163,"µ")+COUNTIF($E163:M163,1),ColLivraison)=N$6,
  VLOOKUP($E163,INDIRECT("tri!"&amp; CHAR(64+ C0Col) &amp;":"&amp; CHAR(65+C0Col)),2,FALSE)&gt;COUNTIF($E163:M163,"u")+COUNTIF($E163:M163,"t")+COUNTIF($E163:M163,"¶")+COUNTIF($E163:M163,"²")+COUNTIF($E163:M163,"µ")+COUNTIF($E163:M163,1)),
HYPERLINK("#Roadmap!C"&amp; MATCH($E163,Roadmap!$D:$D,0)+COUNTIF($E163:M163,"u")+COUNTIF($E163:M163,"t"),
     INDEX(Roadmap!$D:$K,MATCH($E163,Roadmap!$D:$D,0)+COUNTIF($E163:M163,"u")+COUNTIF($E163:M163,"t")+COUNTIF($E163:M163,"¶")+COUNTIF($E163:M163,"²")+COUNTIF($E163:M163,"µ")+COUNTIF($E163:M163,1),ColTypeEcheance)),
  IF(LEN(M163)=1,
  IF(LEN(INDEX(Roadmap!$D:$K,MATCH($E163,Roadmap!$D:$D,0)-1+COUNTIF($E163:M163,"u")+COUNTIF($E163:M163,"t")+COUNTIF($E163:M163,"¶")+COUNTIF($E163:M163,"²")+COUNTIF($E163:M163,"µ")+COUNTIF($E163:M163,1),ColDescriptionCourte))&gt;1,
HYPERLINK("#Roadmap!C"&amp; MATCH($E163,Roadmap!$D:$D,0)+COUNTIF($E163:M163,"u")+COUNTIF($E163:M163,"t")+COUNTIF($E163:M163,"¶")+COUNTIF($E163:M163,"²")+COUNTIF($E163:M163,"µ")+COUNTIF($E163:M163,1)-1,INDEX(Roadmap!$D:$K,MATCH($E163,Roadmap!$D:$D,0)-1+COUNTIF($E163:M163,"u")+COUNTIF($E163:M163,"t")+COUNTIF($E163:M163,"¶")+COUNTIF($E163:M163,"²")+COUNTIF($E163:M163,"µ")+COUNTIF($E163:M163,1),ColDescriptionCourte)),""),
  "")),"")</f>
        <v/>
      </c>
      <c r="O163" s="40" t="str">
        <f ca="1">IFERROR(IF(AND(
  INDEX(Roadmap!$D:$K,MATCH($E163,Roadmap!$D:$D,0)+COUNTIF($E163:N163,"u")+COUNTIF($E163:N163,"t")+COUNTIF($E163:N163,"¶")+COUNTIF($E163:N163,"²")+COUNTIF($E163:N163,"µ")+COUNTIF($E163:N163,1),ColLivraison)=O$6,
  VLOOKUP($E163,INDIRECT("tri!"&amp; CHAR(64+ C0Col) &amp;":"&amp; CHAR(65+C0Col)),2,FALSE)&gt;COUNTIF($E163:N163,"u")+COUNTIF($E163:N163,"t")+COUNTIF($E163:N163,"¶")+COUNTIF($E163:N163,"²")+COUNTIF($E163:N163,"µ")+COUNTIF($E163:N163,1)),
HYPERLINK("#Roadmap!C"&amp; MATCH($E163,Roadmap!$D:$D,0)+COUNTIF($E163:N163,"u")+COUNTIF($E163:N163,"t"),
     INDEX(Roadmap!$D:$K,MATCH($E163,Roadmap!$D:$D,0)+COUNTIF($E163:N163,"u")+COUNTIF($E163:N163,"t")+COUNTIF($E163:N163,"¶")+COUNTIF($E163:N163,"²")+COUNTIF($E163:N163,"µ")+COUNTIF($E163:N163,1),ColTypeEcheance)),
  IF(LEN(N163)=1,
  IF(LEN(INDEX(Roadmap!$D:$K,MATCH($E163,Roadmap!$D:$D,0)-1+COUNTIF($E163:N163,"u")+COUNTIF($E163:N163,"t")+COUNTIF($E163:N163,"¶")+COUNTIF($E163:N163,"²")+COUNTIF($E163:N163,"µ")+COUNTIF($E163:N163,1),ColDescriptionCourte))&gt;1,
HYPERLINK("#Roadmap!C"&amp; MATCH($E163,Roadmap!$D:$D,0)+COUNTIF($E163:N163,"u")+COUNTIF($E163:N163,"t")+COUNTIF($E163:N163,"¶")+COUNTIF($E163:N163,"²")+COUNTIF($E163:N163,"µ")+COUNTIF($E163:N163,1)-1,INDEX(Roadmap!$D:$K,MATCH($E163,Roadmap!$D:$D,0)-1+COUNTIF($E163:N163,"u")+COUNTIF($E163:N163,"t")+COUNTIF($E163:N163,"¶")+COUNTIF($E163:N163,"²")+COUNTIF($E163:N163,"µ")+COUNTIF($E163:N163,1),ColDescriptionCourte)),""),
  "")),"")</f>
        <v/>
      </c>
      <c r="P163" s="40" t="str">
        <f ca="1">IFERROR(IF(AND(
  INDEX(Roadmap!$D:$K,MATCH($E163,Roadmap!$D:$D,0)+COUNTIF($E163:O163,"u")+COUNTIF($E163:O163,"t")+COUNTIF($E163:O163,"¶")+COUNTIF($E163:O163,"²")+COUNTIF($E163:O163,"µ")+COUNTIF($E163:O163,1),ColLivraison)=P$6,
  VLOOKUP($E163,INDIRECT("tri!"&amp; CHAR(64+ C0Col) &amp;":"&amp; CHAR(65+C0Col)),2,FALSE)&gt;COUNTIF($E163:O163,"u")+COUNTIF($E163:O163,"t")+COUNTIF($E163:O163,"¶")+COUNTIF($E163:O163,"²")+COUNTIF($E163:O163,"µ")+COUNTIF($E163:O163,1)),
HYPERLINK("#Roadmap!C"&amp; MATCH($E163,Roadmap!$D:$D,0)+COUNTIF($E163:O163,"u")+COUNTIF($E163:O163,"t"),
     INDEX(Roadmap!$D:$K,MATCH($E163,Roadmap!$D:$D,0)+COUNTIF($E163:O163,"u")+COUNTIF($E163:O163,"t")+COUNTIF($E163:O163,"¶")+COUNTIF($E163:O163,"²")+COUNTIF($E163:O163,"µ")+COUNTIF($E163:O163,1),ColTypeEcheance)),
  IF(LEN(O163)=1,
  IF(LEN(INDEX(Roadmap!$D:$K,MATCH($E163,Roadmap!$D:$D,0)-1+COUNTIF($E163:O163,"u")+COUNTIF($E163:O163,"t")+COUNTIF($E163:O163,"¶")+COUNTIF($E163:O163,"²")+COUNTIF($E163:O163,"µ")+COUNTIF($E163:O163,1),ColDescriptionCourte))&gt;1,
HYPERLINK("#Roadmap!C"&amp; MATCH($E163,Roadmap!$D:$D,0)+COUNTIF($E163:O163,"u")+COUNTIF($E163:O163,"t")+COUNTIF($E163:O163,"¶")+COUNTIF($E163:O163,"²")+COUNTIF($E163:O163,"µ")+COUNTIF($E163:O163,1)-1,INDEX(Roadmap!$D:$K,MATCH($E163,Roadmap!$D:$D,0)-1+COUNTIF($E163:O163,"u")+COUNTIF($E163:O163,"t")+COUNTIF($E163:O163,"¶")+COUNTIF($E163:O163,"²")+COUNTIF($E163:O163,"µ")+COUNTIF($E163:O163,1),ColDescriptionCourte)),""),
  "")),"")</f>
        <v/>
      </c>
      <c r="Q163" s="40" t="str">
        <f ca="1">IFERROR(IF(AND(
  INDEX(Roadmap!$D:$K,MATCH($E163,Roadmap!$D:$D,0)+COUNTIF($E163:P163,"u")+COUNTIF($E163:P163,"t")+COUNTIF($E163:P163,"¶")+COUNTIF($E163:P163,"²")+COUNTIF($E163:P163,"µ")+COUNTIF($E163:P163,1),ColLivraison)=Q$6,
  VLOOKUP($E163,INDIRECT("tri!"&amp; CHAR(64+ C0Col) &amp;":"&amp; CHAR(65+C0Col)),2,FALSE)&gt;COUNTIF($E163:P163,"u")+COUNTIF($E163:P163,"t")+COUNTIF($E163:P163,"¶")+COUNTIF($E163:P163,"²")+COUNTIF($E163:P163,"µ")+COUNTIF($E163:P163,1)),
HYPERLINK("#Roadmap!C"&amp; MATCH($E163,Roadmap!$D:$D,0)+COUNTIF($E163:P163,"u")+COUNTIF($E163:P163,"t"),
     INDEX(Roadmap!$D:$K,MATCH($E163,Roadmap!$D:$D,0)+COUNTIF($E163:P163,"u")+COUNTIF($E163:P163,"t")+COUNTIF($E163:P163,"¶")+COUNTIF($E163:P163,"²")+COUNTIF($E163:P163,"µ")+COUNTIF($E163:P163,1),ColTypeEcheance)),
  IF(LEN(P163)=1,
  IF(LEN(INDEX(Roadmap!$D:$K,MATCH($E163,Roadmap!$D:$D,0)-1+COUNTIF($E163:P163,"u")+COUNTIF($E163:P163,"t")+COUNTIF($E163:P163,"¶")+COUNTIF($E163:P163,"²")+COUNTIF($E163:P163,"µ")+COUNTIF($E163:P163,1),ColDescriptionCourte))&gt;1,
HYPERLINK("#Roadmap!C"&amp; MATCH($E163,Roadmap!$D:$D,0)+COUNTIF($E163:P163,"u")+COUNTIF($E163:P163,"t")+COUNTIF($E163:P163,"¶")+COUNTIF($E163:P163,"²")+COUNTIF($E163:P163,"µ")+COUNTIF($E163:P163,1)-1,INDEX(Roadmap!$D:$K,MATCH($E163,Roadmap!$D:$D,0)-1+COUNTIF($E163:P163,"u")+COUNTIF($E163:P163,"t")+COUNTIF($E163:P163,"¶")+COUNTIF($E163:P163,"²")+COUNTIF($E163:P163,"µ")+COUNTIF($E163:P163,1),ColDescriptionCourte)),""),
  "")),"")</f>
        <v/>
      </c>
      <c r="R163" s="40" t="str">
        <f ca="1">IFERROR(IF(AND(
  INDEX(Roadmap!$D:$K,MATCH($E163,Roadmap!$D:$D,0)+COUNTIF($E163:Q163,"u")+COUNTIF($E163:Q163,"t")+COUNTIF($E163:Q163,"¶")+COUNTIF($E163:Q163,"²")+COUNTIF($E163:Q163,"µ")+COUNTIF($E163:Q163,1),ColLivraison)=R$6,
  VLOOKUP($E163,INDIRECT("tri!"&amp; CHAR(64+ C0Col) &amp;":"&amp; CHAR(65+C0Col)),2,FALSE)&gt;COUNTIF($E163:Q163,"u")+COUNTIF($E163:Q163,"t")+COUNTIF($E163:Q163,"¶")+COUNTIF($E163:Q163,"²")+COUNTIF($E163:Q163,"µ")+COUNTIF($E163:Q163,1)),
HYPERLINK("#Roadmap!C"&amp; MATCH($E163,Roadmap!$D:$D,0)+COUNTIF($E163:Q163,"u")+COUNTIF($E163:Q163,"t"),
     INDEX(Roadmap!$D:$K,MATCH($E163,Roadmap!$D:$D,0)+COUNTIF($E163:Q163,"u")+COUNTIF($E163:Q163,"t")+COUNTIF($E163:Q163,"¶")+COUNTIF($E163:Q163,"²")+COUNTIF($E163:Q163,"µ")+COUNTIF($E163:Q163,1),ColTypeEcheance)),
  IF(LEN(Q163)=1,
  IF(LEN(INDEX(Roadmap!$D:$K,MATCH($E163,Roadmap!$D:$D,0)-1+COUNTIF($E163:Q163,"u")+COUNTIF($E163:Q163,"t")+COUNTIF($E163:Q163,"¶")+COUNTIF($E163:Q163,"²")+COUNTIF($E163:Q163,"µ")+COUNTIF($E163:Q163,1),ColDescriptionCourte))&gt;1,
HYPERLINK("#Roadmap!C"&amp; MATCH($E163,Roadmap!$D:$D,0)+COUNTIF($E163:Q163,"u")+COUNTIF($E163:Q163,"t")+COUNTIF($E163:Q163,"¶")+COUNTIF($E163:Q163,"²")+COUNTIF($E163:Q163,"µ")+COUNTIF($E163:Q163,1)-1,INDEX(Roadmap!$D:$K,MATCH($E163,Roadmap!$D:$D,0)-1+COUNTIF($E163:Q163,"u")+COUNTIF($E163:Q163,"t")+COUNTIF($E163:Q163,"¶")+COUNTIF($E163:Q163,"²")+COUNTIF($E163:Q163,"µ")+COUNTIF($E163:Q163,1),ColDescriptionCourte)),""),
  "")),"")</f>
        <v/>
      </c>
      <c r="S163" s="40" t="str">
        <f ca="1">IFERROR(IF(AND(
  INDEX(Roadmap!$D:$K,MATCH($E163,Roadmap!$D:$D,0)+COUNTIF($E163:R163,"u")+COUNTIF($E163:R163,"t")+COUNTIF($E163:R163,"¶")+COUNTIF($E163:R163,"²")+COUNTIF($E163:R163,"µ")+COUNTIF($E163:R163,1),ColLivraison)=S$6,
  VLOOKUP($E163,INDIRECT("tri!"&amp; CHAR(64+ C0Col) &amp;":"&amp; CHAR(65+C0Col)),2,FALSE)&gt;COUNTIF($E163:R163,"u")+COUNTIF($E163:R163,"t")+COUNTIF($E163:R163,"¶")+COUNTIF($E163:R163,"²")+COUNTIF($E163:R163,"µ")+COUNTIF($E163:R163,1)),
HYPERLINK("#Roadmap!C"&amp; MATCH($E163,Roadmap!$D:$D,0)+COUNTIF($E163:R163,"u")+COUNTIF($E163:R163,"t"),
     INDEX(Roadmap!$D:$K,MATCH($E163,Roadmap!$D:$D,0)+COUNTIF($E163:R163,"u")+COUNTIF($E163:R163,"t")+COUNTIF($E163:R163,"¶")+COUNTIF($E163:R163,"²")+COUNTIF($E163:R163,"µ")+COUNTIF($E163:R163,1),ColTypeEcheance)),
  IF(LEN(R163)=1,
  IF(LEN(INDEX(Roadmap!$D:$K,MATCH($E163,Roadmap!$D:$D,0)-1+COUNTIF($E163:R163,"u")+COUNTIF($E163:R163,"t")+COUNTIF($E163:R163,"¶")+COUNTIF($E163:R163,"²")+COUNTIF($E163:R163,"µ")+COUNTIF($E163:R163,1),ColDescriptionCourte))&gt;1,
HYPERLINK("#Roadmap!C"&amp; MATCH($E163,Roadmap!$D:$D,0)+COUNTIF($E163:R163,"u")+COUNTIF($E163:R163,"t")+COUNTIF($E163:R163,"¶")+COUNTIF($E163:R163,"²")+COUNTIF($E163:R163,"µ")+COUNTIF($E163:R163,1)-1,INDEX(Roadmap!$D:$K,MATCH($E163,Roadmap!$D:$D,0)-1+COUNTIF($E163:R163,"u")+COUNTIF($E163:R163,"t")+COUNTIF($E163:R163,"¶")+COUNTIF($E163:R163,"²")+COUNTIF($E163:R163,"µ")+COUNTIF($E163:R163,1),ColDescriptionCourte)),""),
  "")),"")</f>
        <v/>
      </c>
      <c r="T163" s="40" t="str">
        <f ca="1">IFERROR(IF(AND(
  INDEX(Roadmap!$D:$K,MATCH($E163,Roadmap!$D:$D,0)+COUNTIF($E163:S163,"u")+COUNTIF($E163:S163,"t")+COUNTIF($E163:S163,"¶")+COUNTIF($E163:S163,"²")+COUNTIF($E163:S163,"µ")+COUNTIF($E163:S163,1),ColLivraison)=T$6,
  VLOOKUP($E163,INDIRECT("tri!"&amp; CHAR(64+ C0Col) &amp;":"&amp; CHAR(65+C0Col)),2,FALSE)&gt;COUNTIF($E163:S163,"u")+COUNTIF($E163:S163,"t")+COUNTIF($E163:S163,"¶")+COUNTIF($E163:S163,"²")+COUNTIF($E163:S163,"µ")+COUNTIF($E163:S163,1)),
HYPERLINK("#Roadmap!C"&amp; MATCH($E163,Roadmap!$D:$D,0)+COUNTIF($E163:S163,"u")+COUNTIF($E163:S163,"t"),
     INDEX(Roadmap!$D:$K,MATCH($E163,Roadmap!$D:$D,0)+COUNTIF($E163:S163,"u")+COUNTIF($E163:S163,"t")+COUNTIF($E163:S163,"¶")+COUNTIF($E163:S163,"²")+COUNTIF($E163:S163,"µ")+COUNTIF($E163:S163,1),ColTypeEcheance)),
  IF(LEN(S163)=1,
  IF(LEN(INDEX(Roadmap!$D:$K,MATCH($E163,Roadmap!$D:$D,0)-1+COUNTIF($E163:S163,"u")+COUNTIF($E163:S163,"t")+COUNTIF($E163:S163,"¶")+COUNTIF($E163:S163,"²")+COUNTIF($E163:S163,"µ")+COUNTIF($E163:S163,1),ColDescriptionCourte))&gt;1,
HYPERLINK("#Roadmap!C"&amp; MATCH($E163,Roadmap!$D:$D,0)+COUNTIF($E163:S163,"u")+COUNTIF($E163:S163,"t")+COUNTIF($E163:S163,"¶")+COUNTIF($E163:S163,"²")+COUNTIF($E163:S163,"µ")+COUNTIF($E163:S163,1)-1,INDEX(Roadmap!$D:$K,MATCH($E163,Roadmap!$D:$D,0)-1+COUNTIF($E163:S163,"u")+COUNTIF($E163:S163,"t")+COUNTIF($E163:S163,"¶")+COUNTIF($E163:S163,"²")+COUNTIF($E163:S163,"µ")+COUNTIF($E163:S163,1),ColDescriptionCourte)),""),
  "")),"")</f>
        <v/>
      </c>
      <c r="U163" s="40" t="str">
        <f ca="1">IFERROR(IF(AND(
  INDEX(Roadmap!$D:$K,MATCH($E163,Roadmap!$D:$D,0)+COUNTIF($E163:T163,"u")+COUNTIF($E163:T163,"t")+COUNTIF($E163:T163,"¶")+COUNTIF($E163:T163,"²")+COUNTIF($E163:T163,"µ")+COUNTIF($E163:T163,1),ColLivraison)=U$6,
  VLOOKUP($E163,INDIRECT("tri!"&amp; CHAR(64+ C0Col) &amp;":"&amp; CHAR(65+C0Col)),2,FALSE)&gt;COUNTIF($E163:T163,"u")+COUNTIF($E163:T163,"t")+COUNTIF($E163:T163,"¶")+COUNTIF($E163:T163,"²")+COUNTIF($E163:T163,"µ")+COUNTIF($E163:T163,1)),
HYPERLINK("#Roadmap!C"&amp; MATCH($E163,Roadmap!$D:$D,0)+COUNTIF($E163:T163,"u")+COUNTIF($E163:T163,"t"),
     INDEX(Roadmap!$D:$K,MATCH($E163,Roadmap!$D:$D,0)+COUNTIF($E163:T163,"u")+COUNTIF($E163:T163,"t")+COUNTIF($E163:T163,"¶")+COUNTIF($E163:T163,"²")+COUNTIF($E163:T163,"µ")+COUNTIF($E163:T163,1),ColTypeEcheance)),
  IF(LEN(T163)=1,
  IF(LEN(INDEX(Roadmap!$D:$K,MATCH($E163,Roadmap!$D:$D,0)-1+COUNTIF($E163:T163,"u")+COUNTIF($E163:T163,"t")+COUNTIF($E163:T163,"¶")+COUNTIF($E163:T163,"²")+COUNTIF($E163:T163,"µ")+COUNTIF($E163:T163,1),ColDescriptionCourte))&gt;1,
HYPERLINK("#Roadmap!C"&amp; MATCH($E163,Roadmap!$D:$D,0)+COUNTIF($E163:T163,"u")+COUNTIF($E163:T163,"t")+COUNTIF($E163:T163,"¶")+COUNTIF($E163:T163,"²")+COUNTIF($E163:T163,"µ")+COUNTIF($E163:T163,1)-1,INDEX(Roadmap!$D:$K,MATCH($E163,Roadmap!$D:$D,0)-1+COUNTIF($E163:T163,"u")+COUNTIF($E163:T163,"t")+COUNTIF($E163:T163,"¶")+COUNTIF($E163:T163,"²")+COUNTIF($E163:T163,"µ")+COUNTIF($E163:T163,1),ColDescriptionCourte)),""),
  "")),"")</f>
        <v/>
      </c>
      <c r="V163" s="40" t="str">
        <f ca="1">IFERROR(IF(AND(
  INDEX(Roadmap!$D:$K,MATCH($E163,Roadmap!$D:$D,0)+COUNTIF($E163:U163,"u")+COUNTIF($E163:U163,"t")+COUNTIF($E163:U163,"¶")+COUNTIF($E163:U163,"²")+COUNTIF($E163:U163,"µ")+COUNTIF($E163:U163,1),ColLivraison)=V$6,
  VLOOKUP($E163,INDIRECT("tri!"&amp; CHAR(64+ C0Col) &amp;":"&amp; CHAR(65+C0Col)),2,FALSE)&gt;COUNTIF($E163:U163,"u")+COUNTIF($E163:U163,"t")+COUNTIF($E163:U163,"¶")+COUNTIF($E163:U163,"²")+COUNTIF($E163:U163,"µ")+COUNTIF($E163:U163,1)),
HYPERLINK("#Roadmap!C"&amp; MATCH($E163,Roadmap!$D:$D,0)+COUNTIF($E163:U163,"u")+COUNTIF($E163:U163,"t"),
     INDEX(Roadmap!$D:$K,MATCH($E163,Roadmap!$D:$D,0)+COUNTIF($E163:U163,"u")+COUNTIF($E163:U163,"t")+COUNTIF($E163:U163,"¶")+COUNTIF($E163:U163,"²")+COUNTIF($E163:U163,"µ")+COUNTIF($E163:U163,1),ColTypeEcheance)),
  IF(LEN(U163)=1,
  IF(LEN(INDEX(Roadmap!$D:$K,MATCH($E163,Roadmap!$D:$D,0)-1+COUNTIF($E163:U163,"u")+COUNTIF($E163:U163,"t")+COUNTIF($E163:U163,"¶")+COUNTIF($E163:U163,"²")+COUNTIF($E163:U163,"µ")+COUNTIF($E163:U163,1),ColDescriptionCourte))&gt;1,
HYPERLINK("#Roadmap!C"&amp; MATCH($E163,Roadmap!$D:$D,0)+COUNTIF($E163:U163,"u")+COUNTIF($E163:U163,"t")+COUNTIF($E163:U163,"¶")+COUNTIF($E163:U163,"²")+COUNTIF($E163:U163,"µ")+COUNTIF($E163:U163,1)-1,INDEX(Roadmap!$D:$K,MATCH($E163,Roadmap!$D:$D,0)-1+COUNTIF($E163:U163,"u")+COUNTIF($E163:U163,"t")+COUNTIF($E163:U163,"¶")+COUNTIF($E163:U163,"²")+COUNTIF($E163:U163,"µ")+COUNTIF($E163:U163,1),ColDescriptionCourte)),""),
  "")),"")</f>
        <v/>
      </c>
      <c r="W163" s="40" t="str">
        <f ca="1">IFERROR(IF(AND(
  INDEX(Roadmap!$D:$K,MATCH($E163,Roadmap!$D:$D,0)+COUNTIF($E163:V163,"u")+COUNTIF($E163:V163,"t")+COUNTIF($E163:V163,"¶")+COUNTIF($E163:V163,"²")+COUNTIF($E163:V163,"µ")+COUNTIF($E163:V163,1),ColLivraison)=W$6,
  VLOOKUP($E163,INDIRECT("tri!"&amp; CHAR(64+ C0Col) &amp;":"&amp; CHAR(65+C0Col)),2,FALSE)&gt;COUNTIF($E163:V163,"u")+COUNTIF($E163:V163,"t")+COUNTIF($E163:V163,"¶")+COUNTIF($E163:V163,"²")+COUNTIF($E163:V163,"µ")+COUNTIF($E163:V163,1)),
HYPERLINK("#Roadmap!C"&amp; MATCH($E163,Roadmap!$D:$D,0)+COUNTIF($E163:V163,"u")+COUNTIF($E163:V163,"t"),
     INDEX(Roadmap!$D:$K,MATCH($E163,Roadmap!$D:$D,0)+COUNTIF($E163:V163,"u")+COUNTIF($E163:V163,"t")+COUNTIF($E163:V163,"¶")+COUNTIF($E163:V163,"²")+COUNTIF($E163:V163,"µ")+COUNTIF($E163:V163,1),ColTypeEcheance)),
  IF(LEN(V163)=1,
  IF(LEN(INDEX(Roadmap!$D:$K,MATCH($E163,Roadmap!$D:$D,0)-1+COUNTIF($E163:V163,"u")+COUNTIF($E163:V163,"t")+COUNTIF($E163:V163,"¶")+COUNTIF($E163:V163,"²")+COUNTIF($E163:V163,"µ")+COUNTIF($E163:V163,1),ColDescriptionCourte))&gt;1,
HYPERLINK("#Roadmap!C"&amp; MATCH($E163,Roadmap!$D:$D,0)+COUNTIF($E163:V163,"u")+COUNTIF($E163:V163,"t")+COUNTIF($E163:V163,"¶")+COUNTIF($E163:V163,"²")+COUNTIF($E163:V163,"µ")+COUNTIF($E163:V163,1)-1,INDEX(Roadmap!$D:$K,MATCH($E163,Roadmap!$D:$D,0)-1+COUNTIF($E163:V163,"u")+COUNTIF($E163:V163,"t")+COUNTIF($E163:V163,"¶")+COUNTIF($E163:V163,"²")+COUNTIF($E163:V163,"µ")+COUNTIF($E163:V163,1),ColDescriptionCourte)),""),
  "")),"")</f>
        <v/>
      </c>
      <c r="X163" s="40" t="str">
        <f ca="1">IFERROR(IF(AND(
  INDEX(Roadmap!$D:$K,MATCH($E163,Roadmap!$D:$D,0)+COUNTIF($E163:W163,"u")+COUNTIF($E163:W163,"t")+COUNTIF($E163:W163,"¶")+COUNTIF($E163:W163,"²")+COUNTIF($E163:W163,"µ")+COUNTIF($E163:W163,1),ColLivraison)=X$6,
  VLOOKUP($E163,INDIRECT("tri!"&amp; CHAR(64+ C0Col) &amp;":"&amp; CHAR(65+C0Col)),2,FALSE)&gt;COUNTIF($E163:W163,"u")+COUNTIF($E163:W163,"t")+COUNTIF($E163:W163,"¶")+COUNTIF($E163:W163,"²")+COUNTIF($E163:W163,"µ")+COUNTIF($E163:W163,1)),
HYPERLINK("#Roadmap!C"&amp; MATCH($E163,Roadmap!$D:$D,0)+COUNTIF($E163:W163,"u")+COUNTIF($E163:W163,"t"),
     INDEX(Roadmap!$D:$K,MATCH($E163,Roadmap!$D:$D,0)+COUNTIF($E163:W163,"u")+COUNTIF($E163:W163,"t")+COUNTIF($E163:W163,"¶")+COUNTIF($E163:W163,"²")+COUNTIF($E163:W163,"µ")+COUNTIF($E163:W163,1),ColTypeEcheance)),
  IF(LEN(W163)=1,
  IF(LEN(INDEX(Roadmap!$D:$K,MATCH($E163,Roadmap!$D:$D,0)-1+COUNTIF($E163:W163,"u")+COUNTIF($E163:W163,"t")+COUNTIF($E163:W163,"¶")+COUNTIF($E163:W163,"²")+COUNTIF($E163:W163,"µ")+COUNTIF($E163:W163,1),ColDescriptionCourte))&gt;1,
HYPERLINK("#Roadmap!C"&amp; MATCH($E163,Roadmap!$D:$D,0)+COUNTIF($E163:W163,"u")+COUNTIF($E163:W163,"t")+COUNTIF($E163:W163,"¶")+COUNTIF($E163:W163,"²")+COUNTIF($E163:W163,"µ")+COUNTIF($E163:W163,1)-1,INDEX(Roadmap!$D:$K,MATCH($E163,Roadmap!$D:$D,0)-1+COUNTIF($E163:W163,"u")+COUNTIF($E163:W163,"t")+COUNTIF($E163:W163,"¶")+COUNTIF($E163:W163,"²")+COUNTIF($E163:W163,"µ")+COUNTIF($E163:W163,1),ColDescriptionCourte)),""),
  "")),"")</f>
        <v/>
      </c>
      <c r="Y163" s="40" t="str">
        <f ca="1">IFERROR(IF(AND(
  INDEX(Roadmap!$D:$K,MATCH($E163,Roadmap!$D:$D,0)+COUNTIF($E163:X163,"u")+COUNTIF($E163:X163,"t")+COUNTIF($E163:X163,"¶")+COUNTIF($E163:X163,"²")+COUNTIF($E163:X163,"µ")+COUNTIF($E163:X163,1),ColLivraison)=Y$6,
  VLOOKUP($E163,INDIRECT("tri!"&amp; CHAR(64+ C0Col) &amp;":"&amp; CHAR(65+C0Col)),2,FALSE)&gt;COUNTIF($E163:X163,"u")+COUNTIF($E163:X163,"t")+COUNTIF($E163:X163,"¶")+COUNTIF($E163:X163,"²")+COUNTIF($E163:X163,"µ")+COUNTIF($E163:X163,1)),
HYPERLINK("#Roadmap!C"&amp; MATCH($E163,Roadmap!$D:$D,0)+COUNTIF($E163:X163,"u")+COUNTIF($E163:X163,"t"),
     INDEX(Roadmap!$D:$K,MATCH($E163,Roadmap!$D:$D,0)+COUNTIF($E163:X163,"u")+COUNTIF($E163:X163,"t")+COUNTIF($E163:X163,"¶")+COUNTIF($E163:X163,"²")+COUNTIF($E163:X163,"µ")+COUNTIF($E163:X163,1),ColTypeEcheance)),
  IF(LEN(X163)=1,
  IF(LEN(INDEX(Roadmap!$D:$K,MATCH($E163,Roadmap!$D:$D,0)-1+COUNTIF($E163:X163,"u")+COUNTIF($E163:X163,"t")+COUNTIF($E163:X163,"¶")+COUNTIF($E163:X163,"²")+COUNTIF($E163:X163,"µ")+COUNTIF($E163:X163,1),ColDescriptionCourte))&gt;1,
HYPERLINK("#Roadmap!C"&amp; MATCH($E163,Roadmap!$D:$D,0)+COUNTIF($E163:X163,"u")+COUNTIF($E163:X163,"t")+COUNTIF($E163:X163,"¶")+COUNTIF($E163:X163,"²")+COUNTIF($E163:X163,"µ")+COUNTIF($E163:X163,1)-1,INDEX(Roadmap!$D:$K,MATCH($E163,Roadmap!$D:$D,0)-1+COUNTIF($E163:X163,"u")+COUNTIF($E163:X163,"t")+COUNTIF($E163:X163,"¶")+COUNTIF($E163:X163,"²")+COUNTIF($E163:X163,"µ")+COUNTIF($E163:X163,1),ColDescriptionCourte)),""),
  "")),"")</f>
        <v/>
      </c>
      <c r="Z163" s="40" t="str">
        <f ca="1">IFERROR(IF(AND(
  INDEX(Roadmap!$D:$K,MATCH($E163,Roadmap!$D:$D,0)+COUNTIF($E163:Y163,"u")+COUNTIF($E163:Y163,"t")+COUNTIF($E163:Y163,"¶")+COUNTIF($E163:Y163,"²")+COUNTIF($E163:Y163,"µ")+COUNTIF($E163:Y163,1),ColLivraison)=Z$6,
  VLOOKUP($E163,INDIRECT("tri!"&amp; CHAR(64+ C0Col) &amp;":"&amp; CHAR(65+C0Col)),2,FALSE)&gt;COUNTIF($E163:Y163,"u")+COUNTIF($E163:Y163,"t")+COUNTIF($E163:Y163,"¶")+COUNTIF($E163:Y163,"²")+COUNTIF($E163:Y163,"µ")+COUNTIF($E163:Y163,1)),
HYPERLINK("#Roadmap!C"&amp; MATCH($E163,Roadmap!$D:$D,0)+COUNTIF($E163:Y163,"u")+COUNTIF($E163:Y163,"t"),
     INDEX(Roadmap!$D:$K,MATCH($E163,Roadmap!$D:$D,0)+COUNTIF($E163:Y163,"u")+COUNTIF($E163:Y163,"t")+COUNTIF($E163:Y163,"¶")+COUNTIF($E163:Y163,"²")+COUNTIF($E163:Y163,"µ")+COUNTIF($E163:Y163,1),ColTypeEcheance)),
  IF(LEN(Y163)=1,
  IF(LEN(INDEX(Roadmap!$D:$K,MATCH($E163,Roadmap!$D:$D,0)-1+COUNTIF($E163:Y163,"u")+COUNTIF($E163:Y163,"t")+COUNTIF($E163:Y163,"¶")+COUNTIF($E163:Y163,"²")+COUNTIF($E163:Y163,"µ")+COUNTIF($E163:Y163,1),ColDescriptionCourte))&gt;1,
HYPERLINK("#Roadmap!C"&amp; MATCH($E163,Roadmap!$D:$D,0)+COUNTIF($E163:Y163,"u")+COUNTIF($E163:Y163,"t")+COUNTIF($E163:Y163,"¶")+COUNTIF($E163:Y163,"²")+COUNTIF($E163:Y163,"µ")+COUNTIF($E163:Y163,1)-1,INDEX(Roadmap!$D:$K,MATCH($E163,Roadmap!$D:$D,0)-1+COUNTIF($E163:Y163,"u")+COUNTIF($E163:Y163,"t")+COUNTIF($E163:Y163,"¶")+COUNTIF($E163:Y163,"²")+COUNTIF($E163:Y163,"µ")+COUNTIF($E163:Y163,1),ColDescriptionCourte)),""),
  "")),"")</f>
        <v/>
      </c>
      <c r="AA163" s="40" t="str">
        <f ca="1">IFERROR(IF(AND(
  INDEX(Roadmap!$D:$K,MATCH($E163,Roadmap!$D:$D,0)+COUNTIF($E163:Z163,"u")+COUNTIF($E163:Z163,"t")+COUNTIF($E163:Z163,"¶")+COUNTIF($E163:Z163,"²")+COUNTIF($E163:Z163,"µ")+COUNTIF($E163:Z163,1),ColLivraison)=AA$6,
  VLOOKUP($E163,INDIRECT("tri!"&amp; CHAR(64+ C0Col) &amp;":"&amp; CHAR(65+C0Col)),2,FALSE)&gt;COUNTIF($E163:Z163,"u")+COUNTIF($E163:Z163,"t")+COUNTIF($E163:Z163,"¶")+COUNTIF($E163:Z163,"²")+COUNTIF($E163:Z163,"µ")+COUNTIF($E163:Z163,1)),
HYPERLINK("#Roadmap!C"&amp; MATCH($E163,Roadmap!$D:$D,0)+COUNTIF($E163:Z163,"u")+COUNTIF($E163:Z163,"t"),
     INDEX(Roadmap!$D:$K,MATCH($E163,Roadmap!$D:$D,0)+COUNTIF($E163:Z163,"u")+COUNTIF($E163:Z163,"t")+COUNTIF($E163:Z163,"¶")+COUNTIF($E163:Z163,"²")+COUNTIF($E163:Z163,"µ")+COUNTIF($E163:Z163,1),ColTypeEcheance)),
  IF(LEN(Z163)=1,
  IF(LEN(INDEX(Roadmap!$D:$K,MATCH($E163,Roadmap!$D:$D,0)-1+COUNTIF($E163:Z163,"u")+COUNTIF($E163:Z163,"t")+COUNTIF($E163:Z163,"¶")+COUNTIF($E163:Z163,"²")+COUNTIF($E163:Z163,"µ")+COUNTIF($E163:Z163,1),ColDescriptionCourte))&gt;1,
HYPERLINK("#Roadmap!C"&amp; MATCH($E163,Roadmap!$D:$D,0)+COUNTIF($E163:Z163,"u")+COUNTIF($E163:Z163,"t")+COUNTIF($E163:Z163,"¶")+COUNTIF($E163:Z163,"²")+COUNTIF($E163:Z163,"µ")+COUNTIF($E163:Z163,1)-1,INDEX(Roadmap!$D:$K,MATCH($E163,Roadmap!$D:$D,0)-1+COUNTIF($E163:Z163,"u")+COUNTIF($E163:Z163,"t")+COUNTIF($E163:Z163,"¶")+COUNTIF($E163:Z163,"²")+COUNTIF($E163:Z163,"µ")+COUNTIF($E163:Z163,1),ColDescriptionCourte)),""),
  "")),"")</f>
        <v/>
      </c>
      <c r="AB163" s="40" t="str">
        <f ca="1">IFERROR(IF(AND(
  INDEX(Roadmap!$D:$K,MATCH($E163,Roadmap!$D:$D,0)+COUNTIF($E163:AA163,"u")+COUNTIF($E163:AA163,"t")+COUNTIF($E163:AA163,"¶")+COUNTIF($E163:AA163,"²")+COUNTIF($E163:AA163,"µ")+COUNTIF($E163:AA163,1),ColLivraison)=AB$6,
  VLOOKUP($E163,INDIRECT("tri!"&amp; CHAR(64+ C0Col) &amp;":"&amp; CHAR(65+C0Col)),2,FALSE)&gt;COUNTIF($E163:AA163,"u")+COUNTIF($E163:AA163,"t")+COUNTIF($E163:AA163,"¶")+COUNTIF($E163:AA163,"²")+COUNTIF($E163:AA163,"µ")+COUNTIF($E163:AA163,1)),
HYPERLINK("#Roadmap!C"&amp; MATCH($E163,Roadmap!$D:$D,0)+COUNTIF($E163:AA163,"u")+COUNTIF($E163:AA163,"t"),
     INDEX(Roadmap!$D:$K,MATCH($E163,Roadmap!$D:$D,0)+COUNTIF($E163:AA163,"u")+COUNTIF($E163:AA163,"t")+COUNTIF($E163:AA163,"¶")+COUNTIF($E163:AA163,"²")+COUNTIF($E163:AA163,"µ")+COUNTIF($E163:AA163,1),ColTypeEcheance)),
  IF(LEN(AA163)=1,
  IF(LEN(INDEX(Roadmap!$D:$K,MATCH($E163,Roadmap!$D:$D,0)-1+COUNTIF($E163:AA163,"u")+COUNTIF($E163:AA163,"t")+COUNTIF($E163:AA163,"¶")+COUNTIF($E163:AA163,"²")+COUNTIF($E163:AA163,"µ")+COUNTIF($E163:AA163,1),ColDescriptionCourte))&gt;1,
HYPERLINK("#Roadmap!C"&amp; MATCH($E163,Roadmap!$D:$D,0)+COUNTIF($E163:AA163,"u")+COUNTIF($E163:AA163,"t")+COUNTIF($E163:AA163,"¶")+COUNTIF($E163:AA163,"²")+COUNTIF($E163:AA163,"µ")+COUNTIF($E163:AA163,1)-1,INDEX(Roadmap!$D:$K,MATCH($E163,Roadmap!$D:$D,0)-1+COUNTIF($E163:AA163,"u")+COUNTIF($E163:AA163,"t")+COUNTIF($E163:AA163,"¶")+COUNTIF($E163:AA163,"²")+COUNTIF($E163:AA163,"µ")+COUNTIF($E163:AA163,1),ColDescriptionCourte)),""),
  "")),"")</f>
        <v/>
      </c>
      <c r="AC163" s="40" t="str">
        <f ca="1">IFERROR(IF(AND(
  INDEX(Roadmap!$D:$K,MATCH($E163,Roadmap!$D:$D,0)+COUNTIF($E163:AB163,"u")+COUNTIF($E163:AB163,"t")+COUNTIF($E163:AB163,"¶")+COUNTIF($E163:AB163,"²")+COUNTIF($E163:AB163,"µ")+COUNTIF($E163:AB163,1),ColLivraison)=AC$6,
  VLOOKUP($E163,INDIRECT("tri!"&amp; CHAR(64+ C0Col) &amp;":"&amp; CHAR(65+C0Col)),2,FALSE)&gt;COUNTIF($E163:AB163,"u")+COUNTIF($E163:AB163,"t")+COUNTIF($E163:AB163,"¶")+COUNTIF($E163:AB163,"²")+COUNTIF($E163:AB163,"µ")+COUNTIF($E163:AB163,1)),
HYPERLINK("#Roadmap!C"&amp; MATCH($E163,Roadmap!$D:$D,0)+COUNTIF($E163:AB163,"u")+COUNTIF($E163:AB163,"t"),
     INDEX(Roadmap!$D:$K,MATCH($E163,Roadmap!$D:$D,0)+COUNTIF($E163:AB163,"u")+COUNTIF($E163:AB163,"t")+COUNTIF($E163:AB163,"¶")+COUNTIF($E163:AB163,"²")+COUNTIF($E163:AB163,"µ")+COUNTIF($E163:AB163,1),ColTypeEcheance)),
  IF(LEN(AB163)=1,
  IF(LEN(INDEX(Roadmap!$D:$K,MATCH($E163,Roadmap!$D:$D,0)-1+COUNTIF($E163:AB163,"u")+COUNTIF($E163:AB163,"t")+COUNTIF($E163:AB163,"¶")+COUNTIF($E163:AB163,"²")+COUNTIF($E163:AB163,"µ")+COUNTIF($E163:AB163,1),ColDescriptionCourte))&gt;1,
HYPERLINK("#Roadmap!C"&amp; MATCH($E163,Roadmap!$D:$D,0)+COUNTIF($E163:AB163,"u")+COUNTIF($E163:AB163,"t")+COUNTIF($E163:AB163,"¶")+COUNTIF($E163:AB163,"²")+COUNTIF($E163:AB163,"µ")+COUNTIF($E163:AB163,1)-1,INDEX(Roadmap!$D:$K,MATCH($E163,Roadmap!$D:$D,0)-1+COUNTIF($E163:AB163,"u")+COUNTIF($E163:AB163,"t")+COUNTIF($E163:AB163,"¶")+COUNTIF($E163:AB163,"²")+COUNTIF($E163:AB163,"µ")+COUNTIF($E163:AB163,1),ColDescriptionCourte)),""),
  "")),"")</f>
        <v/>
      </c>
      <c r="AD163" s="40" t="str">
        <f ca="1">IFERROR(IF(AND(
  INDEX(Roadmap!$D:$K,MATCH($E163,Roadmap!$D:$D,0)+COUNTIF($E163:AC163,"u")+COUNTIF($E163:AC163,"t")+COUNTIF($E163:AC163,"¶")+COUNTIF($E163:AC163,"²")+COUNTIF($E163:AC163,"µ")+COUNTIF($E163:AC163,1),ColLivraison)=AD$6,
  VLOOKUP($E163,INDIRECT("tri!"&amp; CHAR(64+ C0Col) &amp;":"&amp; CHAR(65+C0Col)),2,FALSE)&gt;COUNTIF($E163:AC163,"u")+COUNTIF($E163:AC163,"t")+COUNTIF($E163:AC163,"¶")+COUNTIF($E163:AC163,"²")+COUNTIF($E163:AC163,"µ")+COUNTIF($E163:AC163,1)),
HYPERLINK("#Roadmap!C"&amp; MATCH($E163,Roadmap!$D:$D,0)+COUNTIF($E163:AC163,"u")+COUNTIF($E163:AC163,"t"),
     INDEX(Roadmap!$D:$K,MATCH($E163,Roadmap!$D:$D,0)+COUNTIF($E163:AC163,"u")+COUNTIF($E163:AC163,"t")+COUNTIF($E163:AC163,"¶")+COUNTIF($E163:AC163,"²")+COUNTIF($E163:AC163,"µ")+COUNTIF($E163:AC163,1),ColTypeEcheance)),
  IF(LEN(AC163)=1,
  IF(LEN(INDEX(Roadmap!$D:$K,MATCH($E163,Roadmap!$D:$D,0)-1+COUNTIF($E163:AC163,"u")+COUNTIF($E163:AC163,"t")+COUNTIF($E163:AC163,"¶")+COUNTIF($E163:AC163,"²")+COUNTIF($E163:AC163,"µ")+COUNTIF($E163:AC163,1),ColDescriptionCourte))&gt;1,
HYPERLINK("#Roadmap!C"&amp; MATCH($E163,Roadmap!$D:$D,0)+COUNTIF($E163:AC163,"u")+COUNTIF($E163:AC163,"t")+COUNTIF($E163:AC163,"¶")+COUNTIF($E163:AC163,"²")+COUNTIF($E163:AC163,"µ")+COUNTIF($E163:AC163,1)-1,INDEX(Roadmap!$D:$K,MATCH($E163,Roadmap!$D:$D,0)-1+COUNTIF($E163:AC163,"u")+COUNTIF($E163:AC163,"t")+COUNTIF($E163:AC163,"¶")+COUNTIF($E163:AC163,"²")+COUNTIF($E163:AC163,"µ")+COUNTIF($E163:AC163,1),ColDescriptionCourte)),""),
  "")),"")</f>
        <v/>
      </c>
      <c r="AE163" s="40" t="str">
        <f ca="1">IFERROR(IF(AND(
  INDEX(Roadmap!$D:$K,MATCH($E163,Roadmap!$D:$D,0)+COUNTIF($E163:AD163,"u")+COUNTIF($E163:AD163,"t")+COUNTIF($E163:AD163,"¶")+COUNTIF($E163:AD163,"²")+COUNTIF($E163:AD163,"µ")+COUNTIF($E163:AD163,1),ColLivraison)=AE$6,
  VLOOKUP($E163,INDIRECT("tri!"&amp; CHAR(64+ C0Col) &amp;":"&amp; CHAR(65+C0Col)),2,FALSE)&gt;COUNTIF($E163:AD163,"u")+COUNTIF($E163:AD163,"t")+COUNTIF($E163:AD163,"¶")+COUNTIF($E163:AD163,"²")+COUNTIF($E163:AD163,"µ")+COUNTIF($E163:AD163,1)),
HYPERLINK("#Roadmap!C"&amp; MATCH($E163,Roadmap!$D:$D,0)+COUNTIF($E163:AD163,"u")+COUNTIF($E163:AD163,"t"),
     INDEX(Roadmap!$D:$K,MATCH($E163,Roadmap!$D:$D,0)+COUNTIF($E163:AD163,"u")+COUNTIF($E163:AD163,"t")+COUNTIF($E163:AD163,"¶")+COUNTIF($E163:AD163,"²")+COUNTIF($E163:AD163,"µ")+COUNTIF($E163:AD163,1),ColTypeEcheance)),
  IF(LEN(AD163)=1,
  IF(LEN(INDEX(Roadmap!$D:$K,MATCH($E163,Roadmap!$D:$D,0)-1+COUNTIF($E163:AD163,"u")+COUNTIF($E163:AD163,"t")+COUNTIF($E163:AD163,"¶")+COUNTIF($E163:AD163,"²")+COUNTIF($E163:AD163,"µ")+COUNTIF($E163:AD163,1),ColDescriptionCourte))&gt;1,
HYPERLINK("#Roadmap!C"&amp; MATCH($E163,Roadmap!$D:$D,0)+COUNTIF($E163:AD163,"u")+COUNTIF($E163:AD163,"t")+COUNTIF($E163:AD163,"¶")+COUNTIF($E163:AD163,"²")+COUNTIF($E163:AD163,"µ")+COUNTIF($E163:AD163,1)-1,INDEX(Roadmap!$D:$K,MATCH($E163,Roadmap!$D:$D,0)-1+COUNTIF($E163:AD163,"u")+COUNTIF($E163:AD163,"t")+COUNTIF($E163:AD163,"¶")+COUNTIF($E163:AD163,"²")+COUNTIF($E163:AD163,"µ")+COUNTIF($E163:AD163,1),ColDescriptionCourte)),""),
  "")),"")</f>
        <v/>
      </c>
      <c r="AF163" s="40" t="str">
        <f ca="1">IFERROR(IF(AND(
  INDEX(Roadmap!$D:$K,MATCH($E163,Roadmap!$D:$D,0)+COUNTIF($E163:AE163,"u")+COUNTIF($E163:AE163,"t")+COUNTIF($E163:AE163,"¶")+COUNTIF($E163:AE163,"²")+COUNTIF($E163:AE163,"µ")+COUNTIF($E163:AE163,1),ColLivraison)=AF$6,
  VLOOKUP($E163,INDIRECT("tri!"&amp; CHAR(64+ C0Col) &amp;":"&amp; CHAR(65+C0Col)),2,FALSE)&gt;COUNTIF($E163:AE163,"u")+COUNTIF($E163:AE163,"t")+COUNTIF($E163:AE163,"¶")+COUNTIF($E163:AE163,"²")+COUNTIF($E163:AE163,"µ")+COUNTIF($E163:AE163,1)),
HYPERLINK("#Roadmap!C"&amp; MATCH($E163,Roadmap!$D:$D,0)+COUNTIF($E163:AE163,"u")+COUNTIF($E163:AE163,"t"),
     INDEX(Roadmap!$D:$K,MATCH($E163,Roadmap!$D:$D,0)+COUNTIF($E163:AE163,"u")+COUNTIF($E163:AE163,"t")+COUNTIF($E163:AE163,"¶")+COUNTIF($E163:AE163,"²")+COUNTIF($E163:AE163,"µ")+COUNTIF($E163:AE163,1),ColTypeEcheance)),
  IF(LEN(AE163)=1,
  IF(LEN(INDEX(Roadmap!$D:$K,MATCH($E163,Roadmap!$D:$D,0)-1+COUNTIF($E163:AE163,"u")+COUNTIF($E163:AE163,"t")+COUNTIF($E163:AE163,"¶")+COUNTIF($E163:AE163,"²")+COUNTIF($E163:AE163,"µ")+COUNTIF($E163:AE163,1),ColDescriptionCourte))&gt;1,
HYPERLINK("#Roadmap!C"&amp; MATCH($E163,Roadmap!$D:$D,0)+COUNTIF($E163:AE163,"u")+COUNTIF($E163:AE163,"t")+COUNTIF($E163:AE163,"¶")+COUNTIF($E163:AE163,"²")+COUNTIF($E163:AE163,"µ")+COUNTIF($E163:AE163,1)-1,INDEX(Roadmap!$D:$K,MATCH($E163,Roadmap!$D:$D,0)-1+COUNTIF($E163:AE163,"u")+COUNTIF($E163:AE163,"t")+COUNTIF($E163:AE163,"¶")+COUNTIF($E163:AE163,"²")+COUNTIF($E163:AE163,"µ")+COUNTIF($E163:AE163,1),ColDescriptionCourte)),""),
  "")),"")</f>
        <v/>
      </c>
      <c r="AG163" s="40" t="str">
        <f ca="1">IFERROR(IF(AND(
  INDEX(Roadmap!$D:$K,MATCH($E163,Roadmap!$D:$D,0)+COUNTIF($E163:AF163,"u")+COUNTIF($E163:AF163,"t")+COUNTIF($E163:AF163,"¶")+COUNTIF($E163:AF163,"²")+COUNTIF($E163:AF163,"µ")+COUNTIF($E163:AF163,1),ColLivraison)=AG$6,
  VLOOKUP($E163,INDIRECT("tri!"&amp; CHAR(64+ C0Col) &amp;":"&amp; CHAR(65+C0Col)),2,FALSE)&gt;COUNTIF($E163:AF163,"u")+COUNTIF($E163:AF163,"t")+COUNTIF($E163:AF163,"¶")+COUNTIF($E163:AF163,"²")+COUNTIF($E163:AF163,"µ")+COUNTIF($E163:AF163,1)),
HYPERLINK("#Roadmap!C"&amp; MATCH($E163,Roadmap!$D:$D,0)+COUNTIF($E163:AF163,"u")+COUNTIF($E163:AF163,"t"),
     INDEX(Roadmap!$D:$K,MATCH($E163,Roadmap!$D:$D,0)+COUNTIF($E163:AF163,"u")+COUNTIF($E163:AF163,"t")+COUNTIF($E163:AF163,"¶")+COUNTIF($E163:AF163,"²")+COUNTIF($E163:AF163,"µ")+COUNTIF($E163:AF163,1),ColTypeEcheance)),
  IF(LEN(AF163)=1,
  IF(LEN(INDEX(Roadmap!$D:$K,MATCH($E163,Roadmap!$D:$D,0)-1+COUNTIF($E163:AF163,"u")+COUNTIF($E163:AF163,"t")+COUNTIF($E163:AF163,"¶")+COUNTIF($E163:AF163,"²")+COUNTIF($E163:AF163,"µ")+COUNTIF($E163:AF163,1),ColDescriptionCourte))&gt;1,
HYPERLINK("#Roadmap!C"&amp; MATCH($E163,Roadmap!$D:$D,0)+COUNTIF($E163:AF163,"u")+COUNTIF($E163:AF163,"t")+COUNTIF($E163:AF163,"¶")+COUNTIF($E163:AF163,"²")+COUNTIF($E163:AF163,"µ")+COUNTIF($E163:AF163,1)-1,INDEX(Roadmap!$D:$K,MATCH($E163,Roadmap!$D:$D,0)-1+COUNTIF($E163:AF163,"u")+COUNTIF($E163:AF163,"t")+COUNTIF($E163:AF163,"¶")+COUNTIF($E163:AF163,"²")+COUNTIF($E163:AF163,"µ")+COUNTIF($E163:AF163,1),ColDescriptionCourte)),""),
  "")),"")</f>
        <v/>
      </c>
      <c r="AH163" s="40" t="str">
        <f ca="1">IFERROR(IF(AND(
  INDEX(Roadmap!$D:$K,MATCH($E163,Roadmap!$D:$D,0)+COUNTIF($E163:AG163,"u")+COUNTIF($E163:AG163,"t")+COUNTIF($E163:AG163,1),ColLivraison)=AH$6,
  VLOOKUP($E163,INDIRECT("tri!"&amp; CHAR(64+ C0Col) &amp;":"&amp; CHAR(65+C0Col)),2,FALSE)&gt;COUNTIF($E163:AG163,"u")+COUNTIF($E163:AG163,"t")+COUNTIF($E163:AG163,1)),
HYPERLINK("#Roadmap!C"&amp; MATCH($E163,Roadmap!$D:$D,0)+COUNTIF($E163:AG163,"u")+COUNTIF($E163:AG163,"t"),
     INDEX(Roadmap!$D:$K,MATCH($E163,Roadmap!$D:$D,0)+COUNTIF($E163:AG163,"u")+COUNTIF($E163:AG163,"t")+COUNTIF($E163:AG163,1),ColTypeEcheance)),
  IF(OR(AG163="u",AG163="t",AG163=1),
  IF(LEN(INDEX(Roadmap!$D:$K,MATCH($E163,Roadmap!$D:$D,0)-1+COUNTIF($E163:AG163,"u")+COUNTIF($E163:AG163,"t")+COUNTIF($E163:AG163,1),ColDescriptionCourte))&gt;1,
HYPERLINK("#Roadmap!C"&amp; MATCH($E163,Roadmap!$D:$D,0)+COUNTIF($E163:AG163,"u")+COUNTIF($E163:AG163,"t")+COUNTIF($E163:AG163,1)-1,INDEX(Roadmap!$D:$K,MATCH($E163,Roadmap!$D:$D,0)-1+COUNTIF($E163:AG163,"u")+COUNTIF($E163:AG163,"t")+COUNTIF($E163:AG163,1),ColDescriptionCourte)),""),
  "")),"")</f>
        <v/>
      </c>
      <c r="AI163" s="40"/>
      <c r="AJ163" s="40"/>
      <c r="AK163" s="40"/>
      <c r="AL163" s="40"/>
      <c r="AM163" s="40"/>
    </row>
    <row r="164" spans="4:39" ht="14.1" customHeight="1">
      <c r="D164" s="20" t="str">
        <f t="shared" ca="1" si="31"/>
        <v/>
      </c>
      <c r="E164" s="53" t="str">
        <f t="shared" ca="1" si="32"/>
        <v/>
      </c>
      <c r="F164" s="39" t="str">
        <f ca="1">IFERROR(IF(AND(
  INDEX(Roadmap!$D:$K,MATCH($E164,Roadmap!$D:$D,0)+COUNTIF($E164:E164,"u")+COUNTIF($E164:E164,"t")+COUNTIF($E164:E164,"¶")+COUNTIF($E164:E164,"²")+COUNTIF($E164:E164,"µ")+COUNTIF($E164:E164,1),ColLivraison)=F$6,
  VLOOKUP($E164,INDIRECT("tri!"&amp; CHAR(64+ C0Col) &amp;":"&amp; CHAR(65+C0Col)),2,FALSE)&gt;COUNTIF($E164:E164,"u")+COUNTIF($E164:E164,"t")+COUNTIF($E164:E164,"¶")+COUNTIF($E164:E164,"²")+COUNTIF($E164:E164,"µ")+COUNTIF($E164:E164,1)),
HYPERLINK("#Roadmap!C"&amp; MATCH($E164,Roadmap!$D:$D,0)+COUNTIF($E164:E164,"u")+COUNTIF($E164:E164,"t"),
     INDEX(Roadmap!$D:$K,MATCH($E164,Roadmap!$D:$D,0)+COUNTIF($E164:E164,"u")+COUNTIF($E164:E164,"t")+COUNTIF($E164:E164,"¶")+COUNTIF($E164:E164,"²")+COUNTIF($E164:E164,"µ")+COUNTIF($E164:E164,1),ColTypeEcheance)),
  IF(LEN(E164)=1,
  IF(LEN(INDEX(Roadmap!$D:$K,MATCH($E164,Roadmap!$D:$D,0)-1+COUNTIF($E164:E164,"u")+COUNTIF($E164:E164,"t")+COUNTIF($E164:E164,"¶")+COUNTIF($E164:E164,"²")+COUNTIF($E164:E164,"µ")+COUNTIF($E164:E164,1),ColDescriptionCourte))&gt;1,
HYPERLINK("#Roadmap!C"&amp; MATCH($E164,Roadmap!$D:$D,0)+COUNTIF($E164:E164,"u")+COUNTIF($E164:E164,"t")+COUNTIF($E164:E164,"¶")+COUNTIF($E164:E164,"²")+COUNTIF($E164:E164,"µ")+COUNTIF($E164:E164,1)-1,INDEX(Roadmap!$D:$K,MATCH($E164,Roadmap!$D:$D,0)-1+COUNTIF($E164:E164,"u")+COUNTIF($E164:E164,"t")+COUNTIF($E164:E164,"¶")+COUNTIF($E164:E164,"²")+COUNTIF($E164:E164,"µ")+COUNTIF($E164:E164,1),ColDescriptionCourte)),""),
  "")),"")</f>
        <v/>
      </c>
      <c r="G164" s="40" t="str">
        <f ca="1">IFERROR(IF(AND(
  INDEX(Roadmap!$D:$K,MATCH($E164,Roadmap!$D:$D,0)+COUNTIF($E164:F164,"u")+COUNTIF($E164:F164,"t")+COUNTIF($E164:F164,"¶")+COUNTIF($E164:F164,"²")+COUNTIF($E164:F164,"µ")+COUNTIF($E164:F164,1),ColLivraison)=G$6,
  VLOOKUP($E164,INDIRECT("tri!"&amp; CHAR(64+ C0Col) &amp;":"&amp; CHAR(65+C0Col)),2,FALSE)&gt;COUNTIF($E164:F164,"u")+COUNTIF($E164:F164,"t")+COUNTIF($E164:F164,"¶")+COUNTIF($E164:F164,"²")+COUNTIF($E164:F164,"µ")+COUNTIF($E164:F164,1)),
HYPERLINK("#Roadmap!C"&amp; MATCH($E164,Roadmap!$D:$D,0)+COUNTIF($E164:F164,"u")+COUNTIF($E164:F164,"t"),
     INDEX(Roadmap!$D:$K,MATCH($E164,Roadmap!$D:$D,0)+COUNTIF($E164:F164,"u")+COUNTIF($E164:F164,"t")+COUNTIF($E164:F164,"¶")+COUNTIF($E164:F164,"²")+COUNTIF($E164:F164,"µ")+COUNTIF($E164:F164,1),ColTypeEcheance)),
  IF(LEN(F164)=1,
  IF(LEN(INDEX(Roadmap!$D:$K,MATCH($E164,Roadmap!$D:$D,0)-1+COUNTIF($E164:F164,"u")+COUNTIF($E164:F164,"t")+COUNTIF($E164:F164,"¶")+COUNTIF($E164:F164,"²")+COUNTIF($E164:F164,"µ")+COUNTIF($E164:F164,1),ColDescriptionCourte))&gt;1,
HYPERLINK("#Roadmap!C"&amp; MATCH($E164,Roadmap!$D:$D,0)+COUNTIF($E164:F164,"u")+COUNTIF($E164:F164,"t")+COUNTIF($E164:F164,"¶")+COUNTIF($E164:F164,"²")+COUNTIF($E164:F164,"µ")+COUNTIF($E164:F164,1)-1,INDEX(Roadmap!$D:$K,MATCH($E164,Roadmap!$D:$D,0)-1+COUNTIF($E164:F164,"u")+COUNTIF($E164:F164,"t")+COUNTIF($E164:F164,"¶")+COUNTIF($E164:F164,"²")+COUNTIF($E164:F164,"µ")+COUNTIF($E164:F164,1),ColDescriptionCourte)),""),
  "")),"")</f>
        <v/>
      </c>
      <c r="H164" s="40" t="str">
        <f ca="1">IFERROR(IF(AND(
  INDEX(Roadmap!$D:$K,MATCH($E164,Roadmap!$D:$D,0)+COUNTIF($E164:G164,"u")+COUNTIF($E164:G164,"t")+COUNTIF($E164:G164,"¶")+COUNTIF($E164:G164,"²")+COUNTIF($E164:G164,"µ")+COUNTIF($E164:G164,1),ColLivraison)=H$6,
  VLOOKUP($E164,INDIRECT("tri!"&amp; CHAR(64+ C0Col) &amp;":"&amp; CHAR(65+C0Col)),2,FALSE)&gt;COUNTIF($E164:G164,"u")+COUNTIF($E164:G164,"t")+COUNTIF($E164:G164,"¶")+COUNTIF($E164:G164,"²")+COUNTIF($E164:G164,"µ")+COUNTIF($E164:G164,1)),
HYPERLINK("#Roadmap!C"&amp; MATCH($E164,Roadmap!$D:$D,0)+COUNTIF($E164:G164,"u")+COUNTIF($E164:G164,"t"),
     INDEX(Roadmap!$D:$K,MATCH($E164,Roadmap!$D:$D,0)+COUNTIF($E164:G164,"u")+COUNTIF($E164:G164,"t")+COUNTIF($E164:G164,"¶")+COUNTIF($E164:G164,"²")+COUNTIF($E164:G164,"µ")+COUNTIF($E164:G164,1),ColTypeEcheance)),
  IF(LEN(G164)=1,
  IF(LEN(INDEX(Roadmap!$D:$K,MATCH($E164,Roadmap!$D:$D,0)-1+COUNTIF($E164:G164,"u")+COUNTIF($E164:G164,"t")+COUNTIF($E164:G164,"¶")+COUNTIF($E164:G164,"²")+COUNTIF($E164:G164,"µ")+COUNTIF($E164:G164,1),ColDescriptionCourte))&gt;1,
HYPERLINK("#Roadmap!C"&amp; MATCH($E164,Roadmap!$D:$D,0)+COUNTIF($E164:G164,"u")+COUNTIF($E164:G164,"t")+COUNTIF($E164:G164,"¶")+COUNTIF($E164:G164,"²")+COUNTIF($E164:G164,"µ")+COUNTIF($E164:G164,1)-1,INDEX(Roadmap!$D:$K,MATCH($E164,Roadmap!$D:$D,0)-1+COUNTIF($E164:G164,"u")+COUNTIF($E164:G164,"t")+COUNTIF($E164:G164,"¶")+COUNTIF($E164:G164,"²")+COUNTIF($E164:G164,"µ")+COUNTIF($E164:G164,1),ColDescriptionCourte)),""),
  "")),"")</f>
        <v/>
      </c>
      <c r="I164" s="40" t="str">
        <f ca="1">IFERROR(IF(AND(
  INDEX(Roadmap!$D:$K,MATCH($E164,Roadmap!$D:$D,0)+COUNTIF($E164:H164,"u")+COUNTIF($E164:H164,"t")+COUNTIF($E164:H164,"¶")+COUNTIF($E164:H164,"²")+COUNTIF($E164:H164,"µ")+COUNTIF($E164:H164,1),ColLivraison)=I$6,
  VLOOKUP($E164,INDIRECT("tri!"&amp; CHAR(64+ C0Col) &amp;":"&amp; CHAR(65+C0Col)),2,FALSE)&gt;COUNTIF($E164:H164,"u")+COUNTIF($E164:H164,"t")+COUNTIF($E164:H164,"¶")+COUNTIF($E164:H164,"²")+COUNTIF($E164:H164,"µ")+COUNTIF($E164:H164,1)),
HYPERLINK("#Roadmap!C"&amp; MATCH($E164,Roadmap!$D:$D,0)+COUNTIF($E164:H164,"u")+COUNTIF($E164:H164,"t"),
     INDEX(Roadmap!$D:$K,MATCH($E164,Roadmap!$D:$D,0)+COUNTIF($E164:H164,"u")+COUNTIF($E164:H164,"t")+COUNTIF($E164:H164,"¶")+COUNTIF($E164:H164,"²")+COUNTIF($E164:H164,"µ")+COUNTIF($E164:H164,1),ColTypeEcheance)),
  IF(LEN(H164)=1,
  IF(LEN(INDEX(Roadmap!$D:$K,MATCH($E164,Roadmap!$D:$D,0)-1+COUNTIF($E164:H164,"u")+COUNTIF($E164:H164,"t")+COUNTIF($E164:H164,"¶")+COUNTIF($E164:H164,"²")+COUNTIF($E164:H164,"µ")+COUNTIF($E164:H164,1),ColDescriptionCourte))&gt;1,
HYPERLINK("#Roadmap!C"&amp; MATCH($E164,Roadmap!$D:$D,0)+COUNTIF($E164:H164,"u")+COUNTIF($E164:H164,"t")+COUNTIF($E164:H164,"¶")+COUNTIF($E164:H164,"²")+COUNTIF($E164:H164,"µ")+COUNTIF($E164:H164,1)-1,INDEX(Roadmap!$D:$K,MATCH($E164,Roadmap!$D:$D,0)-1+COUNTIF($E164:H164,"u")+COUNTIF($E164:H164,"t")+COUNTIF($E164:H164,"¶")+COUNTIF($E164:H164,"²")+COUNTIF($E164:H164,"µ")+COUNTIF($E164:H164,1),ColDescriptionCourte)),""),
  "")),"")</f>
        <v/>
      </c>
      <c r="J164" s="40" t="str">
        <f ca="1">IFERROR(IF(AND(
  INDEX(Roadmap!$D:$K,MATCH($E164,Roadmap!$D:$D,0)+COUNTIF($E164:I164,"u")+COUNTIF($E164:I164,"t")+COUNTIF($E164:I164,"¶")+COUNTIF($E164:I164,"²")+COUNTIF($E164:I164,"µ")+COUNTIF($E164:I164,1),ColLivraison)=J$6,
  VLOOKUP($E164,INDIRECT("tri!"&amp; CHAR(64+ C0Col) &amp;":"&amp; CHAR(65+C0Col)),2,FALSE)&gt;COUNTIF($E164:I164,"u")+COUNTIF($E164:I164,"t")+COUNTIF($E164:I164,"¶")+COUNTIF($E164:I164,"²")+COUNTIF($E164:I164,"µ")+COUNTIF($E164:I164,1)),
HYPERLINK("#Roadmap!C"&amp; MATCH($E164,Roadmap!$D:$D,0)+COUNTIF($E164:I164,"u")+COUNTIF($E164:I164,"t"),
     INDEX(Roadmap!$D:$K,MATCH($E164,Roadmap!$D:$D,0)+COUNTIF($E164:I164,"u")+COUNTIF($E164:I164,"t")+COUNTIF($E164:I164,"¶")+COUNTIF($E164:I164,"²")+COUNTIF($E164:I164,"µ")+COUNTIF($E164:I164,1),ColTypeEcheance)),
  IF(LEN(I164)=1,
  IF(LEN(INDEX(Roadmap!$D:$K,MATCH($E164,Roadmap!$D:$D,0)-1+COUNTIF($E164:I164,"u")+COUNTIF($E164:I164,"t")+COUNTIF($E164:I164,"¶")+COUNTIF($E164:I164,"²")+COUNTIF($E164:I164,"µ")+COUNTIF($E164:I164,1),ColDescriptionCourte))&gt;1,
HYPERLINK("#Roadmap!C"&amp; MATCH($E164,Roadmap!$D:$D,0)+COUNTIF($E164:I164,"u")+COUNTIF($E164:I164,"t")+COUNTIF($E164:I164,"¶")+COUNTIF($E164:I164,"²")+COUNTIF($E164:I164,"µ")+COUNTIF($E164:I164,1)-1,INDEX(Roadmap!$D:$K,MATCH($E164,Roadmap!$D:$D,0)-1+COUNTIF($E164:I164,"u")+COUNTIF($E164:I164,"t")+COUNTIF($E164:I164,"¶")+COUNTIF($E164:I164,"²")+COUNTIF($E164:I164,"µ")+COUNTIF($E164:I164,1),ColDescriptionCourte)),""),
  "")),"")</f>
        <v/>
      </c>
      <c r="K164" s="40" t="str">
        <f ca="1">IFERROR(IF(AND(
  INDEX(Roadmap!$D:$K,MATCH($E164,Roadmap!$D:$D,0)+COUNTIF($E164:J164,"u")+COUNTIF($E164:J164,"t")+COUNTIF($E164:J164,"¶")+COUNTIF($E164:J164,"²")+COUNTIF($E164:J164,"µ")+COUNTIF($E164:J164,1),ColLivraison)=K$6,
  VLOOKUP($E164,INDIRECT("tri!"&amp; CHAR(64+ C0Col) &amp;":"&amp; CHAR(65+C0Col)),2,FALSE)&gt;COUNTIF($E164:J164,"u")+COUNTIF($E164:J164,"t")+COUNTIF($E164:J164,"¶")+COUNTIF($E164:J164,"²")+COUNTIF($E164:J164,"µ")+COUNTIF($E164:J164,1)),
HYPERLINK("#Roadmap!C"&amp; MATCH($E164,Roadmap!$D:$D,0)+COUNTIF($E164:J164,"u")+COUNTIF($E164:J164,"t"),
     INDEX(Roadmap!$D:$K,MATCH($E164,Roadmap!$D:$D,0)+COUNTIF($E164:J164,"u")+COUNTIF($E164:J164,"t")+COUNTIF($E164:J164,"¶")+COUNTIF($E164:J164,"²")+COUNTIF($E164:J164,"µ")+COUNTIF($E164:J164,1),ColTypeEcheance)),
  IF(LEN(J164)=1,
  IF(LEN(INDEX(Roadmap!$D:$K,MATCH($E164,Roadmap!$D:$D,0)-1+COUNTIF($E164:J164,"u")+COUNTIF($E164:J164,"t")+COUNTIF($E164:J164,"¶")+COUNTIF($E164:J164,"²")+COUNTIF($E164:J164,"µ")+COUNTIF($E164:J164,1),ColDescriptionCourte))&gt;1,
HYPERLINK("#Roadmap!C"&amp; MATCH($E164,Roadmap!$D:$D,0)+COUNTIF($E164:J164,"u")+COUNTIF($E164:J164,"t")+COUNTIF($E164:J164,"¶")+COUNTIF($E164:J164,"²")+COUNTIF($E164:J164,"µ")+COUNTIF($E164:J164,1)-1,INDEX(Roadmap!$D:$K,MATCH($E164,Roadmap!$D:$D,0)-1+COUNTIF($E164:J164,"u")+COUNTIF($E164:J164,"t")+COUNTIF($E164:J164,"¶")+COUNTIF($E164:J164,"²")+COUNTIF($E164:J164,"µ")+COUNTIF($E164:J164,1),ColDescriptionCourte)),""),
  "")),"")</f>
        <v/>
      </c>
      <c r="L164" s="39" t="str">
        <f ca="1">IFERROR(IF(AND(
  INDEX(Roadmap!$D:$K,MATCH($E164,Roadmap!$D:$D,0)+COUNTIF($E164:K164,"u")+COUNTIF($E164:K164,"t")+COUNTIF($E164:K164,"¶")+COUNTIF($E164:K164,"²")+COUNTIF($E164:K164,"µ")+COUNTIF($E164:K164,1),ColLivraison)=L$6,
  VLOOKUP($E164,INDIRECT("tri!"&amp; CHAR(64+ C0Col) &amp;":"&amp; CHAR(65+C0Col)),2,FALSE)&gt;COUNTIF($E164:K164,"u")+COUNTIF($E164:K164,"t")+COUNTIF($E164:K164,"¶")+COUNTIF($E164:K164,"²")+COUNTIF($E164:K164,"µ")+COUNTIF($E164:K164,1)),
HYPERLINK("#Roadmap!C"&amp; MATCH($E164,Roadmap!$D:$D,0)+COUNTIF($E164:K164,"u")+COUNTIF($E164:K164,"t"),
     INDEX(Roadmap!$D:$K,MATCH($E164,Roadmap!$D:$D,0)+COUNTIF($E164:K164,"u")+COUNTIF($E164:K164,"t")+COUNTIF($E164:K164,"¶")+COUNTIF($E164:K164,"²")+COUNTIF($E164:K164,"µ")+COUNTIF($E164:K164,1),ColTypeEcheance)),
  IF(LEN(K164)=1,
  IF(LEN(INDEX(Roadmap!$D:$K,MATCH($E164,Roadmap!$D:$D,0)-1+COUNTIF($E164:K164,"u")+COUNTIF($E164:K164,"t")+COUNTIF($E164:K164,"¶")+COUNTIF($E164:K164,"²")+COUNTIF($E164:K164,"µ")+COUNTIF($E164:K164,1),ColDescriptionCourte))&gt;1,
HYPERLINK("#Roadmap!C"&amp; MATCH($E164,Roadmap!$D:$D,0)+COUNTIF($E164:K164,"u")+COUNTIF($E164:K164,"t")+COUNTIF($E164:K164,"¶")+COUNTIF($E164:K164,"²")+COUNTIF($E164:K164,"µ")+COUNTIF($E164:K164,1)-1,INDEX(Roadmap!$D:$K,MATCH($E164,Roadmap!$D:$D,0)-1+COUNTIF($E164:K164,"u")+COUNTIF($E164:K164,"t")+COUNTIF($E164:K164,"¶")+COUNTIF($E164:K164,"²")+COUNTIF($E164:K164,"µ")+COUNTIF($E164:K164,1),ColDescriptionCourte)),""),
  "")),"")</f>
        <v/>
      </c>
      <c r="M164" s="40" t="str">
        <f ca="1">IFERROR(IF(AND(
  INDEX(Roadmap!$D:$K,MATCH($E164,Roadmap!$D:$D,0)+COUNTIF($E164:L164,"u")+COUNTIF($E164:L164,"t")+COUNTIF($E164:L164,"¶")+COUNTIF($E164:L164,"²")+COUNTIF($E164:L164,"µ")+COUNTIF($E164:L164,1),ColLivraison)=M$6,
  VLOOKUP($E164,INDIRECT("tri!"&amp; CHAR(64+ C0Col) &amp;":"&amp; CHAR(65+C0Col)),2,FALSE)&gt;COUNTIF($E164:L164,"u")+COUNTIF($E164:L164,"t")+COUNTIF($E164:L164,"¶")+COUNTIF($E164:L164,"²")+COUNTIF($E164:L164,"µ")+COUNTIF($E164:L164,1)),
HYPERLINK("#Roadmap!C"&amp; MATCH($E164,Roadmap!$D:$D,0)+COUNTIF($E164:L164,"u")+COUNTIF($E164:L164,"t"),
     INDEX(Roadmap!$D:$K,MATCH($E164,Roadmap!$D:$D,0)+COUNTIF($E164:L164,"u")+COUNTIF($E164:L164,"t")+COUNTIF($E164:L164,"¶")+COUNTIF($E164:L164,"²")+COUNTIF($E164:L164,"µ")+COUNTIF($E164:L164,1),ColTypeEcheance)),
  IF(LEN(L164)=1,
  IF(LEN(INDEX(Roadmap!$D:$K,MATCH($E164,Roadmap!$D:$D,0)-1+COUNTIF($E164:L164,"u")+COUNTIF($E164:L164,"t")+COUNTIF($E164:L164,"¶")+COUNTIF($E164:L164,"²")+COUNTIF($E164:L164,"µ")+COUNTIF($E164:L164,1),ColDescriptionCourte))&gt;1,
HYPERLINK("#Roadmap!C"&amp; MATCH($E164,Roadmap!$D:$D,0)+COUNTIF($E164:L164,"u")+COUNTIF($E164:L164,"t")+COUNTIF($E164:L164,"¶")+COUNTIF($E164:L164,"²")+COUNTIF($E164:L164,"µ")+COUNTIF($E164:L164,1)-1,INDEX(Roadmap!$D:$K,MATCH($E164,Roadmap!$D:$D,0)-1+COUNTIF($E164:L164,"u")+COUNTIF($E164:L164,"t")+COUNTIF($E164:L164,"¶")+COUNTIF($E164:L164,"²")+COUNTIF($E164:L164,"µ")+COUNTIF($E164:L164,1),ColDescriptionCourte)),""),
  "")),"")</f>
        <v/>
      </c>
      <c r="N164" s="40" t="str">
        <f ca="1">IFERROR(IF(AND(
  INDEX(Roadmap!$D:$K,MATCH($E164,Roadmap!$D:$D,0)+COUNTIF($E164:M164,"u")+COUNTIF($E164:M164,"t")+COUNTIF($E164:M164,"¶")+COUNTIF($E164:M164,"²")+COUNTIF($E164:M164,"µ")+COUNTIF($E164:M164,1),ColLivraison)=N$6,
  VLOOKUP($E164,INDIRECT("tri!"&amp; CHAR(64+ C0Col) &amp;":"&amp; CHAR(65+C0Col)),2,FALSE)&gt;COUNTIF($E164:M164,"u")+COUNTIF($E164:M164,"t")+COUNTIF($E164:M164,"¶")+COUNTIF($E164:M164,"²")+COUNTIF($E164:M164,"µ")+COUNTIF($E164:M164,1)),
HYPERLINK("#Roadmap!C"&amp; MATCH($E164,Roadmap!$D:$D,0)+COUNTIF($E164:M164,"u")+COUNTIF($E164:M164,"t"),
     INDEX(Roadmap!$D:$K,MATCH($E164,Roadmap!$D:$D,0)+COUNTIF($E164:M164,"u")+COUNTIF($E164:M164,"t")+COUNTIF($E164:M164,"¶")+COUNTIF($E164:M164,"²")+COUNTIF($E164:M164,"µ")+COUNTIF($E164:M164,1),ColTypeEcheance)),
  IF(LEN(M164)=1,
  IF(LEN(INDEX(Roadmap!$D:$K,MATCH($E164,Roadmap!$D:$D,0)-1+COUNTIF($E164:M164,"u")+COUNTIF($E164:M164,"t")+COUNTIF($E164:M164,"¶")+COUNTIF($E164:M164,"²")+COUNTIF($E164:M164,"µ")+COUNTIF($E164:M164,1),ColDescriptionCourte))&gt;1,
HYPERLINK("#Roadmap!C"&amp; MATCH($E164,Roadmap!$D:$D,0)+COUNTIF($E164:M164,"u")+COUNTIF($E164:M164,"t")+COUNTIF($E164:M164,"¶")+COUNTIF($E164:M164,"²")+COUNTIF($E164:M164,"µ")+COUNTIF($E164:M164,1)-1,INDEX(Roadmap!$D:$K,MATCH($E164,Roadmap!$D:$D,0)-1+COUNTIF($E164:M164,"u")+COUNTIF($E164:M164,"t")+COUNTIF($E164:M164,"¶")+COUNTIF($E164:M164,"²")+COUNTIF($E164:M164,"µ")+COUNTIF($E164:M164,1),ColDescriptionCourte)),""),
  "")),"")</f>
        <v/>
      </c>
      <c r="O164" s="40" t="str">
        <f ca="1">IFERROR(IF(AND(
  INDEX(Roadmap!$D:$K,MATCH($E164,Roadmap!$D:$D,0)+COUNTIF($E164:N164,"u")+COUNTIF($E164:N164,"t")+COUNTIF($E164:N164,"¶")+COUNTIF($E164:N164,"²")+COUNTIF($E164:N164,"µ")+COUNTIF($E164:N164,1),ColLivraison)=O$6,
  VLOOKUP($E164,INDIRECT("tri!"&amp; CHAR(64+ C0Col) &amp;":"&amp; CHAR(65+C0Col)),2,FALSE)&gt;COUNTIF($E164:N164,"u")+COUNTIF($E164:N164,"t")+COUNTIF($E164:N164,"¶")+COUNTIF($E164:N164,"²")+COUNTIF($E164:N164,"µ")+COUNTIF($E164:N164,1)),
HYPERLINK("#Roadmap!C"&amp; MATCH($E164,Roadmap!$D:$D,0)+COUNTIF($E164:N164,"u")+COUNTIF($E164:N164,"t"),
     INDEX(Roadmap!$D:$K,MATCH($E164,Roadmap!$D:$D,0)+COUNTIF($E164:N164,"u")+COUNTIF($E164:N164,"t")+COUNTIF($E164:N164,"¶")+COUNTIF($E164:N164,"²")+COUNTIF($E164:N164,"µ")+COUNTIF($E164:N164,1),ColTypeEcheance)),
  IF(LEN(N164)=1,
  IF(LEN(INDEX(Roadmap!$D:$K,MATCH($E164,Roadmap!$D:$D,0)-1+COUNTIF($E164:N164,"u")+COUNTIF($E164:N164,"t")+COUNTIF($E164:N164,"¶")+COUNTIF($E164:N164,"²")+COUNTIF($E164:N164,"µ")+COUNTIF($E164:N164,1),ColDescriptionCourte))&gt;1,
HYPERLINK("#Roadmap!C"&amp; MATCH($E164,Roadmap!$D:$D,0)+COUNTIF($E164:N164,"u")+COUNTIF($E164:N164,"t")+COUNTIF($E164:N164,"¶")+COUNTIF($E164:N164,"²")+COUNTIF($E164:N164,"µ")+COUNTIF($E164:N164,1)-1,INDEX(Roadmap!$D:$K,MATCH($E164,Roadmap!$D:$D,0)-1+COUNTIF($E164:N164,"u")+COUNTIF($E164:N164,"t")+COUNTIF($E164:N164,"¶")+COUNTIF($E164:N164,"²")+COUNTIF($E164:N164,"µ")+COUNTIF($E164:N164,1),ColDescriptionCourte)),""),
  "")),"")</f>
        <v/>
      </c>
      <c r="P164" s="40" t="str">
        <f ca="1">IFERROR(IF(AND(
  INDEX(Roadmap!$D:$K,MATCH($E164,Roadmap!$D:$D,0)+COUNTIF($E164:O164,"u")+COUNTIF($E164:O164,"t")+COUNTIF($E164:O164,"¶")+COUNTIF($E164:O164,"²")+COUNTIF($E164:O164,"µ")+COUNTIF($E164:O164,1),ColLivraison)=P$6,
  VLOOKUP($E164,INDIRECT("tri!"&amp; CHAR(64+ C0Col) &amp;":"&amp; CHAR(65+C0Col)),2,FALSE)&gt;COUNTIF($E164:O164,"u")+COUNTIF($E164:O164,"t")+COUNTIF($E164:O164,"¶")+COUNTIF($E164:O164,"²")+COUNTIF($E164:O164,"µ")+COUNTIF($E164:O164,1)),
HYPERLINK("#Roadmap!C"&amp; MATCH($E164,Roadmap!$D:$D,0)+COUNTIF($E164:O164,"u")+COUNTIF($E164:O164,"t"),
     INDEX(Roadmap!$D:$K,MATCH($E164,Roadmap!$D:$D,0)+COUNTIF($E164:O164,"u")+COUNTIF($E164:O164,"t")+COUNTIF($E164:O164,"¶")+COUNTIF($E164:O164,"²")+COUNTIF($E164:O164,"µ")+COUNTIF($E164:O164,1),ColTypeEcheance)),
  IF(LEN(O164)=1,
  IF(LEN(INDEX(Roadmap!$D:$K,MATCH($E164,Roadmap!$D:$D,0)-1+COUNTIF($E164:O164,"u")+COUNTIF($E164:O164,"t")+COUNTIF($E164:O164,"¶")+COUNTIF($E164:O164,"²")+COUNTIF($E164:O164,"µ")+COUNTIF($E164:O164,1),ColDescriptionCourte))&gt;1,
HYPERLINK("#Roadmap!C"&amp; MATCH($E164,Roadmap!$D:$D,0)+COUNTIF($E164:O164,"u")+COUNTIF($E164:O164,"t")+COUNTIF($E164:O164,"¶")+COUNTIF($E164:O164,"²")+COUNTIF($E164:O164,"µ")+COUNTIF($E164:O164,1)-1,INDEX(Roadmap!$D:$K,MATCH($E164,Roadmap!$D:$D,0)-1+COUNTIF($E164:O164,"u")+COUNTIF($E164:O164,"t")+COUNTIF($E164:O164,"¶")+COUNTIF($E164:O164,"²")+COUNTIF($E164:O164,"µ")+COUNTIF($E164:O164,1),ColDescriptionCourte)),""),
  "")),"")</f>
        <v/>
      </c>
      <c r="Q164" s="40" t="str">
        <f ca="1">IFERROR(IF(AND(
  INDEX(Roadmap!$D:$K,MATCH($E164,Roadmap!$D:$D,0)+COUNTIF($E164:P164,"u")+COUNTIF($E164:P164,"t")+COUNTIF($E164:P164,"¶")+COUNTIF($E164:P164,"²")+COUNTIF($E164:P164,"µ")+COUNTIF($E164:P164,1),ColLivraison)=Q$6,
  VLOOKUP($E164,INDIRECT("tri!"&amp; CHAR(64+ C0Col) &amp;":"&amp; CHAR(65+C0Col)),2,FALSE)&gt;COUNTIF($E164:P164,"u")+COUNTIF($E164:P164,"t")+COUNTIF($E164:P164,"¶")+COUNTIF($E164:P164,"²")+COUNTIF($E164:P164,"µ")+COUNTIF($E164:P164,1)),
HYPERLINK("#Roadmap!C"&amp; MATCH($E164,Roadmap!$D:$D,0)+COUNTIF($E164:P164,"u")+COUNTIF($E164:P164,"t"),
     INDEX(Roadmap!$D:$K,MATCH($E164,Roadmap!$D:$D,0)+COUNTIF($E164:P164,"u")+COUNTIF($E164:P164,"t")+COUNTIF($E164:P164,"¶")+COUNTIF($E164:P164,"²")+COUNTIF($E164:P164,"µ")+COUNTIF($E164:P164,1),ColTypeEcheance)),
  IF(LEN(P164)=1,
  IF(LEN(INDEX(Roadmap!$D:$K,MATCH($E164,Roadmap!$D:$D,0)-1+COUNTIF($E164:P164,"u")+COUNTIF($E164:P164,"t")+COUNTIF($E164:P164,"¶")+COUNTIF($E164:P164,"²")+COUNTIF($E164:P164,"µ")+COUNTIF($E164:P164,1),ColDescriptionCourte))&gt;1,
HYPERLINK("#Roadmap!C"&amp; MATCH($E164,Roadmap!$D:$D,0)+COUNTIF($E164:P164,"u")+COUNTIF($E164:P164,"t")+COUNTIF($E164:P164,"¶")+COUNTIF($E164:P164,"²")+COUNTIF($E164:P164,"µ")+COUNTIF($E164:P164,1)-1,INDEX(Roadmap!$D:$K,MATCH($E164,Roadmap!$D:$D,0)-1+COUNTIF($E164:P164,"u")+COUNTIF($E164:P164,"t")+COUNTIF($E164:P164,"¶")+COUNTIF($E164:P164,"²")+COUNTIF($E164:P164,"µ")+COUNTIF($E164:P164,1),ColDescriptionCourte)),""),
  "")),"")</f>
        <v/>
      </c>
      <c r="R164" s="40" t="str">
        <f ca="1">IFERROR(IF(AND(
  INDEX(Roadmap!$D:$K,MATCH($E164,Roadmap!$D:$D,0)+COUNTIF($E164:Q164,"u")+COUNTIF($E164:Q164,"t")+COUNTIF($E164:Q164,"¶")+COUNTIF($E164:Q164,"²")+COUNTIF($E164:Q164,"µ")+COUNTIF($E164:Q164,1),ColLivraison)=R$6,
  VLOOKUP($E164,INDIRECT("tri!"&amp; CHAR(64+ C0Col) &amp;":"&amp; CHAR(65+C0Col)),2,FALSE)&gt;COUNTIF($E164:Q164,"u")+COUNTIF($E164:Q164,"t")+COUNTIF($E164:Q164,"¶")+COUNTIF($E164:Q164,"²")+COUNTIF($E164:Q164,"µ")+COUNTIF($E164:Q164,1)),
HYPERLINK("#Roadmap!C"&amp; MATCH($E164,Roadmap!$D:$D,0)+COUNTIF($E164:Q164,"u")+COUNTIF($E164:Q164,"t"),
     INDEX(Roadmap!$D:$K,MATCH($E164,Roadmap!$D:$D,0)+COUNTIF($E164:Q164,"u")+COUNTIF($E164:Q164,"t")+COUNTIF($E164:Q164,"¶")+COUNTIF($E164:Q164,"²")+COUNTIF($E164:Q164,"µ")+COUNTIF($E164:Q164,1),ColTypeEcheance)),
  IF(LEN(Q164)=1,
  IF(LEN(INDEX(Roadmap!$D:$K,MATCH($E164,Roadmap!$D:$D,0)-1+COUNTIF($E164:Q164,"u")+COUNTIF($E164:Q164,"t")+COUNTIF($E164:Q164,"¶")+COUNTIF($E164:Q164,"²")+COUNTIF($E164:Q164,"µ")+COUNTIF($E164:Q164,1),ColDescriptionCourte))&gt;1,
HYPERLINK("#Roadmap!C"&amp; MATCH($E164,Roadmap!$D:$D,0)+COUNTIF($E164:Q164,"u")+COUNTIF($E164:Q164,"t")+COUNTIF($E164:Q164,"¶")+COUNTIF($E164:Q164,"²")+COUNTIF($E164:Q164,"µ")+COUNTIF($E164:Q164,1)-1,INDEX(Roadmap!$D:$K,MATCH($E164,Roadmap!$D:$D,0)-1+COUNTIF($E164:Q164,"u")+COUNTIF($E164:Q164,"t")+COUNTIF($E164:Q164,"¶")+COUNTIF($E164:Q164,"²")+COUNTIF($E164:Q164,"µ")+COUNTIF($E164:Q164,1),ColDescriptionCourte)),""),
  "")),"")</f>
        <v/>
      </c>
      <c r="S164" s="40" t="str">
        <f ca="1">IFERROR(IF(AND(
  INDEX(Roadmap!$D:$K,MATCH($E164,Roadmap!$D:$D,0)+COUNTIF($E164:R164,"u")+COUNTIF($E164:R164,"t")+COUNTIF($E164:R164,"¶")+COUNTIF($E164:R164,"²")+COUNTIF($E164:R164,"µ")+COUNTIF($E164:R164,1),ColLivraison)=S$6,
  VLOOKUP($E164,INDIRECT("tri!"&amp; CHAR(64+ C0Col) &amp;":"&amp; CHAR(65+C0Col)),2,FALSE)&gt;COUNTIF($E164:R164,"u")+COUNTIF($E164:R164,"t")+COUNTIF($E164:R164,"¶")+COUNTIF($E164:R164,"²")+COUNTIF($E164:R164,"µ")+COUNTIF($E164:R164,1)),
HYPERLINK("#Roadmap!C"&amp; MATCH($E164,Roadmap!$D:$D,0)+COUNTIF($E164:R164,"u")+COUNTIF($E164:R164,"t"),
     INDEX(Roadmap!$D:$K,MATCH($E164,Roadmap!$D:$D,0)+COUNTIF($E164:R164,"u")+COUNTIF($E164:R164,"t")+COUNTIF($E164:R164,"¶")+COUNTIF($E164:R164,"²")+COUNTIF($E164:R164,"µ")+COUNTIF($E164:R164,1),ColTypeEcheance)),
  IF(LEN(R164)=1,
  IF(LEN(INDEX(Roadmap!$D:$K,MATCH($E164,Roadmap!$D:$D,0)-1+COUNTIF($E164:R164,"u")+COUNTIF($E164:R164,"t")+COUNTIF($E164:R164,"¶")+COUNTIF($E164:R164,"²")+COUNTIF($E164:R164,"µ")+COUNTIF($E164:R164,1),ColDescriptionCourte))&gt;1,
HYPERLINK("#Roadmap!C"&amp; MATCH($E164,Roadmap!$D:$D,0)+COUNTIF($E164:R164,"u")+COUNTIF($E164:R164,"t")+COUNTIF($E164:R164,"¶")+COUNTIF($E164:R164,"²")+COUNTIF($E164:R164,"µ")+COUNTIF($E164:R164,1)-1,INDEX(Roadmap!$D:$K,MATCH($E164,Roadmap!$D:$D,0)-1+COUNTIF($E164:R164,"u")+COUNTIF($E164:R164,"t")+COUNTIF($E164:R164,"¶")+COUNTIF($E164:R164,"²")+COUNTIF($E164:R164,"µ")+COUNTIF($E164:R164,1),ColDescriptionCourte)),""),
  "")),"")</f>
        <v/>
      </c>
      <c r="T164" s="40" t="str">
        <f ca="1">IFERROR(IF(AND(
  INDEX(Roadmap!$D:$K,MATCH($E164,Roadmap!$D:$D,0)+COUNTIF($E164:S164,"u")+COUNTIF($E164:S164,"t")+COUNTIF($E164:S164,"¶")+COUNTIF($E164:S164,"²")+COUNTIF($E164:S164,"µ")+COUNTIF($E164:S164,1),ColLivraison)=T$6,
  VLOOKUP($E164,INDIRECT("tri!"&amp; CHAR(64+ C0Col) &amp;":"&amp; CHAR(65+C0Col)),2,FALSE)&gt;COUNTIF($E164:S164,"u")+COUNTIF($E164:S164,"t")+COUNTIF($E164:S164,"¶")+COUNTIF($E164:S164,"²")+COUNTIF($E164:S164,"µ")+COUNTIF($E164:S164,1)),
HYPERLINK("#Roadmap!C"&amp; MATCH($E164,Roadmap!$D:$D,0)+COUNTIF($E164:S164,"u")+COUNTIF($E164:S164,"t"),
     INDEX(Roadmap!$D:$K,MATCH($E164,Roadmap!$D:$D,0)+COUNTIF($E164:S164,"u")+COUNTIF($E164:S164,"t")+COUNTIF($E164:S164,"¶")+COUNTIF($E164:S164,"²")+COUNTIF($E164:S164,"µ")+COUNTIF($E164:S164,1),ColTypeEcheance)),
  IF(LEN(S164)=1,
  IF(LEN(INDEX(Roadmap!$D:$K,MATCH($E164,Roadmap!$D:$D,0)-1+COUNTIF($E164:S164,"u")+COUNTIF($E164:S164,"t")+COUNTIF($E164:S164,"¶")+COUNTIF($E164:S164,"²")+COUNTIF($E164:S164,"µ")+COUNTIF($E164:S164,1),ColDescriptionCourte))&gt;1,
HYPERLINK("#Roadmap!C"&amp; MATCH($E164,Roadmap!$D:$D,0)+COUNTIF($E164:S164,"u")+COUNTIF($E164:S164,"t")+COUNTIF($E164:S164,"¶")+COUNTIF($E164:S164,"²")+COUNTIF($E164:S164,"µ")+COUNTIF($E164:S164,1)-1,INDEX(Roadmap!$D:$K,MATCH($E164,Roadmap!$D:$D,0)-1+COUNTIF($E164:S164,"u")+COUNTIF($E164:S164,"t")+COUNTIF($E164:S164,"¶")+COUNTIF($E164:S164,"²")+COUNTIF($E164:S164,"µ")+COUNTIF($E164:S164,1),ColDescriptionCourte)),""),
  "")),"")</f>
        <v/>
      </c>
      <c r="U164" s="40" t="str">
        <f ca="1">IFERROR(IF(AND(
  INDEX(Roadmap!$D:$K,MATCH($E164,Roadmap!$D:$D,0)+COUNTIF($E164:T164,"u")+COUNTIF($E164:T164,"t")+COUNTIF($E164:T164,"¶")+COUNTIF($E164:T164,"²")+COUNTIF($E164:T164,"µ")+COUNTIF($E164:T164,1),ColLivraison)=U$6,
  VLOOKUP($E164,INDIRECT("tri!"&amp; CHAR(64+ C0Col) &amp;":"&amp; CHAR(65+C0Col)),2,FALSE)&gt;COUNTIF($E164:T164,"u")+COUNTIF($E164:T164,"t")+COUNTIF($E164:T164,"¶")+COUNTIF($E164:T164,"²")+COUNTIF($E164:T164,"µ")+COUNTIF($E164:T164,1)),
HYPERLINK("#Roadmap!C"&amp; MATCH($E164,Roadmap!$D:$D,0)+COUNTIF($E164:T164,"u")+COUNTIF($E164:T164,"t"),
     INDEX(Roadmap!$D:$K,MATCH($E164,Roadmap!$D:$D,0)+COUNTIF($E164:T164,"u")+COUNTIF($E164:T164,"t")+COUNTIF($E164:T164,"¶")+COUNTIF($E164:T164,"²")+COUNTIF($E164:T164,"µ")+COUNTIF($E164:T164,1),ColTypeEcheance)),
  IF(LEN(T164)=1,
  IF(LEN(INDEX(Roadmap!$D:$K,MATCH($E164,Roadmap!$D:$D,0)-1+COUNTIF($E164:T164,"u")+COUNTIF($E164:T164,"t")+COUNTIF($E164:T164,"¶")+COUNTIF($E164:T164,"²")+COUNTIF($E164:T164,"µ")+COUNTIF($E164:T164,1),ColDescriptionCourte))&gt;1,
HYPERLINK("#Roadmap!C"&amp; MATCH($E164,Roadmap!$D:$D,0)+COUNTIF($E164:T164,"u")+COUNTIF($E164:T164,"t")+COUNTIF($E164:T164,"¶")+COUNTIF($E164:T164,"²")+COUNTIF($E164:T164,"µ")+COUNTIF($E164:T164,1)-1,INDEX(Roadmap!$D:$K,MATCH($E164,Roadmap!$D:$D,0)-1+COUNTIF($E164:T164,"u")+COUNTIF($E164:T164,"t")+COUNTIF($E164:T164,"¶")+COUNTIF($E164:T164,"²")+COUNTIF($E164:T164,"µ")+COUNTIF($E164:T164,1),ColDescriptionCourte)),""),
  "")),"")</f>
        <v/>
      </c>
      <c r="V164" s="40" t="str">
        <f ca="1">IFERROR(IF(AND(
  INDEX(Roadmap!$D:$K,MATCH($E164,Roadmap!$D:$D,0)+COUNTIF($E164:U164,"u")+COUNTIF($E164:U164,"t")+COUNTIF($E164:U164,"¶")+COUNTIF($E164:U164,"²")+COUNTIF($E164:U164,"µ")+COUNTIF($E164:U164,1),ColLivraison)=V$6,
  VLOOKUP($E164,INDIRECT("tri!"&amp; CHAR(64+ C0Col) &amp;":"&amp; CHAR(65+C0Col)),2,FALSE)&gt;COUNTIF($E164:U164,"u")+COUNTIF($E164:U164,"t")+COUNTIF($E164:U164,"¶")+COUNTIF($E164:U164,"²")+COUNTIF($E164:U164,"µ")+COUNTIF($E164:U164,1)),
HYPERLINK("#Roadmap!C"&amp; MATCH($E164,Roadmap!$D:$D,0)+COUNTIF($E164:U164,"u")+COUNTIF($E164:U164,"t"),
     INDEX(Roadmap!$D:$K,MATCH($E164,Roadmap!$D:$D,0)+COUNTIF($E164:U164,"u")+COUNTIF($E164:U164,"t")+COUNTIF($E164:U164,"¶")+COUNTIF($E164:U164,"²")+COUNTIF($E164:U164,"µ")+COUNTIF($E164:U164,1),ColTypeEcheance)),
  IF(LEN(U164)=1,
  IF(LEN(INDEX(Roadmap!$D:$K,MATCH($E164,Roadmap!$D:$D,0)-1+COUNTIF($E164:U164,"u")+COUNTIF($E164:U164,"t")+COUNTIF($E164:U164,"¶")+COUNTIF($E164:U164,"²")+COUNTIF($E164:U164,"µ")+COUNTIF($E164:U164,1),ColDescriptionCourte))&gt;1,
HYPERLINK("#Roadmap!C"&amp; MATCH($E164,Roadmap!$D:$D,0)+COUNTIF($E164:U164,"u")+COUNTIF($E164:U164,"t")+COUNTIF($E164:U164,"¶")+COUNTIF($E164:U164,"²")+COUNTIF($E164:U164,"µ")+COUNTIF($E164:U164,1)-1,INDEX(Roadmap!$D:$K,MATCH($E164,Roadmap!$D:$D,0)-1+COUNTIF($E164:U164,"u")+COUNTIF($E164:U164,"t")+COUNTIF($E164:U164,"¶")+COUNTIF($E164:U164,"²")+COUNTIF($E164:U164,"µ")+COUNTIF($E164:U164,1),ColDescriptionCourte)),""),
  "")),"")</f>
        <v/>
      </c>
      <c r="W164" s="40" t="str">
        <f ca="1">IFERROR(IF(AND(
  INDEX(Roadmap!$D:$K,MATCH($E164,Roadmap!$D:$D,0)+COUNTIF($E164:V164,"u")+COUNTIF($E164:V164,"t")+COUNTIF($E164:V164,"¶")+COUNTIF($E164:V164,"²")+COUNTIF($E164:V164,"µ")+COUNTIF($E164:V164,1),ColLivraison)=W$6,
  VLOOKUP($E164,INDIRECT("tri!"&amp; CHAR(64+ C0Col) &amp;":"&amp; CHAR(65+C0Col)),2,FALSE)&gt;COUNTIF($E164:V164,"u")+COUNTIF($E164:V164,"t")+COUNTIF($E164:V164,"¶")+COUNTIF($E164:V164,"²")+COUNTIF($E164:V164,"µ")+COUNTIF($E164:V164,1)),
HYPERLINK("#Roadmap!C"&amp; MATCH($E164,Roadmap!$D:$D,0)+COUNTIF($E164:V164,"u")+COUNTIF($E164:V164,"t"),
     INDEX(Roadmap!$D:$K,MATCH($E164,Roadmap!$D:$D,0)+COUNTIF($E164:V164,"u")+COUNTIF($E164:V164,"t")+COUNTIF($E164:V164,"¶")+COUNTIF($E164:V164,"²")+COUNTIF($E164:V164,"µ")+COUNTIF($E164:V164,1),ColTypeEcheance)),
  IF(LEN(V164)=1,
  IF(LEN(INDEX(Roadmap!$D:$K,MATCH($E164,Roadmap!$D:$D,0)-1+COUNTIF($E164:V164,"u")+COUNTIF($E164:V164,"t")+COUNTIF($E164:V164,"¶")+COUNTIF($E164:V164,"²")+COUNTIF($E164:V164,"µ")+COUNTIF($E164:V164,1),ColDescriptionCourte))&gt;1,
HYPERLINK("#Roadmap!C"&amp; MATCH($E164,Roadmap!$D:$D,0)+COUNTIF($E164:V164,"u")+COUNTIF($E164:V164,"t")+COUNTIF($E164:V164,"¶")+COUNTIF($E164:V164,"²")+COUNTIF($E164:V164,"µ")+COUNTIF($E164:V164,1)-1,INDEX(Roadmap!$D:$K,MATCH($E164,Roadmap!$D:$D,0)-1+COUNTIF($E164:V164,"u")+COUNTIF($E164:V164,"t")+COUNTIF($E164:V164,"¶")+COUNTIF($E164:V164,"²")+COUNTIF($E164:V164,"µ")+COUNTIF($E164:V164,1),ColDescriptionCourte)),""),
  "")),"")</f>
        <v/>
      </c>
      <c r="X164" s="40" t="str">
        <f ca="1">IFERROR(IF(AND(
  INDEX(Roadmap!$D:$K,MATCH($E164,Roadmap!$D:$D,0)+COUNTIF($E164:W164,"u")+COUNTIF($E164:W164,"t")+COUNTIF($E164:W164,"¶")+COUNTIF($E164:W164,"²")+COUNTIF($E164:W164,"µ")+COUNTIF($E164:W164,1),ColLivraison)=X$6,
  VLOOKUP($E164,INDIRECT("tri!"&amp; CHAR(64+ C0Col) &amp;":"&amp; CHAR(65+C0Col)),2,FALSE)&gt;COUNTIF($E164:W164,"u")+COUNTIF($E164:W164,"t")+COUNTIF($E164:W164,"¶")+COUNTIF($E164:W164,"²")+COUNTIF($E164:W164,"µ")+COUNTIF($E164:W164,1)),
HYPERLINK("#Roadmap!C"&amp; MATCH($E164,Roadmap!$D:$D,0)+COUNTIF($E164:W164,"u")+COUNTIF($E164:W164,"t"),
     INDEX(Roadmap!$D:$K,MATCH($E164,Roadmap!$D:$D,0)+COUNTIF($E164:W164,"u")+COUNTIF($E164:W164,"t")+COUNTIF($E164:W164,"¶")+COUNTIF($E164:W164,"²")+COUNTIF($E164:W164,"µ")+COUNTIF($E164:W164,1),ColTypeEcheance)),
  IF(LEN(W164)=1,
  IF(LEN(INDEX(Roadmap!$D:$K,MATCH($E164,Roadmap!$D:$D,0)-1+COUNTIF($E164:W164,"u")+COUNTIF($E164:W164,"t")+COUNTIF($E164:W164,"¶")+COUNTIF($E164:W164,"²")+COUNTIF($E164:W164,"µ")+COUNTIF($E164:W164,1),ColDescriptionCourte))&gt;1,
HYPERLINK("#Roadmap!C"&amp; MATCH($E164,Roadmap!$D:$D,0)+COUNTIF($E164:W164,"u")+COUNTIF($E164:W164,"t")+COUNTIF($E164:W164,"¶")+COUNTIF($E164:W164,"²")+COUNTIF($E164:W164,"µ")+COUNTIF($E164:W164,1)-1,INDEX(Roadmap!$D:$K,MATCH($E164,Roadmap!$D:$D,0)-1+COUNTIF($E164:W164,"u")+COUNTIF($E164:W164,"t")+COUNTIF($E164:W164,"¶")+COUNTIF($E164:W164,"²")+COUNTIF($E164:W164,"µ")+COUNTIF($E164:W164,1),ColDescriptionCourte)),""),
  "")),"")</f>
        <v/>
      </c>
      <c r="Y164" s="40" t="str">
        <f ca="1">IFERROR(IF(AND(
  INDEX(Roadmap!$D:$K,MATCH($E164,Roadmap!$D:$D,0)+COUNTIF($E164:X164,"u")+COUNTIF($E164:X164,"t")+COUNTIF($E164:X164,"¶")+COUNTIF($E164:X164,"²")+COUNTIF($E164:X164,"µ")+COUNTIF($E164:X164,1),ColLivraison)=Y$6,
  VLOOKUP($E164,INDIRECT("tri!"&amp; CHAR(64+ C0Col) &amp;":"&amp; CHAR(65+C0Col)),2,FALSE)&gt;COUNTIF($E164:X164,"u")+COUNTIF($E164:X164,"t")+COUNTIF($E164:X164,"¶")+COUNTIF($E164:X164,"²")+COUNTIF($E164:X164,"µ")+COUNTIF($E164:X164,1)),
HYPERLINK("#Roadmap!C"&amp; MATCH($E164,Roadmap!$D:$D,0)+COUNTIF($E164:X164,"u")+COUNTIF($E164:X164,"t"),
     INDEX(Roadmap!$D:$K,MATCH($E164,Roadmap!$D:$D,0)+COUNTIF($E164:X164,"u")+COUNTIF($E164:X164,"t")+COUNTIF($E164:X164,"¶")+COUNTIF($E164:X164,"²")+COUNTIF($E164:X164,"µ")+COUNTIF($E164:X164,1),ColTypeEcheance)),
  IF(LEN(X164)=1,
  IF(LEN(INDEX(Roadmap!$D:$K,MATCH($E164,Roadmap!$D:$D,0)-1+COUNTIF($E164:X164,"u")+COUNTIF($E164:X164,"t")+COUNTIF($E164:X164,"¶")+COUNTIF($E164:X164,"²")+COUNTIF($E164:X164,"µ")+COUNTIF($E164:X164,1),ColDescriptionCourte))&gt;1,
HYPERLINK("#Roadmap!C"&amp; MATCH($E164,Roadmap!$D:$D,0)+COUNTIF($E164:X164,"u")+COUNTIF($E164:X164,"t")+COUNTIF($E164:X164,"¶")+COUNTIF($E164:X164,"²")+COUNTIF($E164:X164,"µ")+COUNTIF($E164:X164,1)-1,INDEX(Roadmap!$D:$K,MATCH($E164,Roadmap!$D:$D,0)-1+COUNTIF($E164:X164,"u")+COUNTIF($E164:X164,"t")+COUNTIF($E164:X164,"¶")+COUNTIF($E164:X164,"²")+COUNTIF($E164:X164,"µ")+COUNTIF($E164:X164,1),ColDescriptionCourte)),""),
  "")),"")</f>
        <v/>
      </c>
      <c r="Z164" s="40" t="str">
        <f ca="1">IFERROR(IF(AND(
  INDEX(Roadmap!$D:$K,MATCH($E164,Roadmap!$D:$D,0)+COUNTIF($E164:Y164,"u")+COUNTIF($E164:Y164,"t")+COUNTIF($E164:Y164,"¶")+COUNTIF($E164:Y164,"²")+COUNTIF($E164:Y164,"µ")+COUNTIF($E164:Y164,1),ColLivraison)=Z$6,
  VLOOKUP($E164,INDIRECT("tri!"&amp; CHAR(64+ C0Col) &amp;":"&amp; CHAR(65+C0Col)),2,FALSE)&gt;COUNTIF($E164:Y164,"u")+COUNTIF($E164:Y164,"t")+COUNTIF($E164:Y164,"¶")+COUNTIF($E164:Y164,"²")+COUNTIF($E164:Y164,"µ")+COUNTIF($E164:Y164,1)),
HYPERLINK("#Roadmap!C"&amp; MATCH($E164,Roadmap!$D:$D,0)+COUNTIF($E164:Y164,"u")+COUNTIF($E164:Y164,"t"),
     INDEX(Roadmap!$D:$K,MATCH($E164,Roadmap!$D:$D,0)+COUNTIF($E164:Y164,"u")+COUNTIF($E164:Y164,"t")+COUNTIF($E164:Y164,"¶")+COUNTIF($E164:Y164,"²")+COUNTIF($E164:Y164,"µ")+COUNTIF($E164:Y164,1),ColTypeEcheance)),
  IF(LEN(Y164)=1,
  IF(LEN(INDEX(Roadmap!$D:$K,MATCH($E164,Roadmap!$D:$D,0)-1+COUNTIF($E164:Y164,"u")+COUNTIF($E164:Y164,"t")+COUNTIF($E164:Y164,"¶")+COUNTIF($E164:Y164,"²")+COUNTIF($E164:Y164,"µ")+COUNTIF($E164:Y164,1),ColDescriptionCourte))&gt;1,
HYPERLINK("#Roadmap!C"&amp; MATCH($E164,Roadmap!$D:$D,0)+COUNTIF($E164:Y164,"u")+COUNTIF($E164:Y164,"t")+COUNTIF($E164:Y164,"¶")+COUNTIF($E164:Y164,"²")+COUNTIF($E164:Y164,"µ")+COUNTIF($E164:Y164,1)-1,INDEX(Roadmap!$D:$K,MATCH($E164,Roadmap!$D:$D,0)-1+COUNTIF($E164:Y164,"u")+COUNTIF($E164:Y164,"t")+COUNTIF($E164:Y164,"¶")+COUNTIF($E164:Y164,"²")+COUNTIF($E164:Y164,"µ")+COUNTIF($E164:Y164,1),ColDescriptionCourte)),""),
  "")),"")</f>
        <v/>
      </c>
      <c r="AA164" s="40" t="str">
        <f ca="1">IFERROR(IF(AND(
  INDEX(Roadmap!$D:$K,MATCH($E164,Roadmap!$D:$D,0)+COUNTIF($E164:Z164,"u")+COUNTIF($E164:Z164,"t")+COUNTIF($E164:Z164,"¶")+COUNTIF($E164:Z164,"²")+COUNTIF($E164:Z164,"µ")+COUNTIF($E164:Z164,1),ColLivraison)=AA$6,
  VLOOKUP($E164,INDIRECT("tri!"&amp; CHAR(64+ C0Col) &amp;":"&amp; CHAR(65+C0Col)),2,FALSE)&gt;COUNTIF($E164:Z164,"u")+COUNTIF($E164:Z164,"t")+COUNTIF($E164:Z164,"¶")+COUNTIF($E164:Z164,"²")+COUNTIF($E164:Z164,"µ")+COUNTIF($E164:Z164,1)),
HYPERLINK("#Roadmap!C"&amp; MATCH($E164,Roadmap!$D:$D,0)+COUNTIF($E164:Z164,"u")+COUNTIF($E164:Z164,"t"),
     INDEX(Roadmap!$D:$K,MATCH($E164,Roadmap!$D:$D,0)+COUNTIF($E164:Z164,"u")+COUNTIF($E164:Z164,"t")+COUNTIF($E164:Z164,"¶")+COUNTIF($E164:Z164,"²")+COUNTIF($E164:Z164,"µ")+COUNTIF($E164:Z164,1),ColTypeEcheance)),
  IF(LEN(Z164)=1,
  IF(LEN(INDEX(Roadmap!$D:$K,MATCH($E164,Roadmap!$D:$D,0)-1+COUNTIF($E164:Z164,"u")+COUNTIF($E164:Z164,"t")+COUNTIF($E164:Z164,"¶")+COUNTIF($E164:Z164,"²")+COUNTIF($E164:Z164,"µ")+COUNTIF($E164:Z164,1),ColDescriptionCourte))&gt;1,
HYPERLINK("#Roadmap!C"&amp; MATCH($E164,Roadmap!$D:$D,0)+COUNTIF($E164:Z164,"u")+COUNTIF($E164:Z164,"t")+COUNTIF($E164:Z164,"¶")+COUNTIF($E164:Z164,"²")+COUNTIF($E164:Z164,"µ")+COUNTIF($E164:Z164,1)-1,INDEX(Roadmap!$D:$K,MATCH($E164,Roadmap!$D:$D,0)-1+COUNTIF($E164:Z164,"u")+COUNTIF($E164:Z164,"t")+COUNTIF($E164:Z164,"¶")+COUNTIF($E164:Z164,"²")+COUNTIF($E164:Z164,"µ")+COUNTIF($E164:Z164,1),ColDescriptionCourte)),""),
  "")),"")</f>
        <v/>
      </c>
      <c r="AB164" s="40" t="str">
        <f ca="1">IFERROR(IF(AND(
  INDEX(Roadmap!$D:$K,MATCH($E164,Roadmap!$D:$D,0)+COUNTIF($E164:AA164,"u")+COUNTIF($E164:AA164,"t")+COUNTIF($E164:AA164,"¶")+COUNTIF($E164:AA164,"²")+COUNTIF($E164:AA164,"µ")+COUNTIF($E164:AA164,1),ColLivraison)=AB$6,
  VLOOKUP($E164,INDIRECT("tri!"&amp; CHAR(64+ C0Col) &amp;":"&amp; CHAR(65+C0Col)),2,FALSE)&gt;COUNTIF($E164:AA164,"u")+COUNTIF($E164:AA164,"t")+COUNTIF($E164:AA164,"¶")+COUNTIF($E164:AA164,"²")+COUNTIF($E164:AA164,"µ")+COUNTIF($E164:AA164,1)),
HYPERLINK("#Roadmap!C"&amp; MATCH($E164,Roadmap!$D:$D,0)+COUNTIF($E164:AA164,"u")+COUNTIF($E164:AA164,"t"),
     INDEX(Roadmap!$D:$K,MATCH($E164,Roadmap!$D:$D,0)+COUNTIF($E164:AA164,"u")+COUNTIF($E164:AA164,"t")+COUNTIF($E164:AA164,"¶")+COUNTIF($E164:AA164,"²")+COUNTIF($E164:AA164,"µ")+COUNTIF($E164:AA164,1),ColTypeEcheance)),
  IF(LEN(AA164)=1,
  IF(LEN(INDEX(Roadmap!$D:$K,MATCH($E164,Roadmap!$D:$D,0)-1+COUNTIF($E164:AA164,"u")+COUNTIF($E164:AA164,"t")+COUNTIF($E164:AA164,"¶")+COUNTIF($E164:AA164,"²")+COUNTIF($E164:AA164,"µ")+COUNTIF($E164:AA164,1),ColDescriptionCourte))&gt;1,
HYPERLINK("#Roadmap!C"&amp; MATCH($E164,Roadmap!$D:$D,0)+COUNTIF($E164:AA164,"u")+COUNTIF($E164:AA164,"t")+COUNTIF($E164:AA164,"¶")+COUNTIF($E164:AA164,"²")+COUNTIF($E164:AA164,"µ")+COUNTIF($E164:AA164,1)-1,INDEX(Roadmap!$D:$K,MATCH($E164,Roadmap!$D:$D,0)-1+COUNTIF($E164:AA164,"u")+COUNTIF($E164:AA164,"t")+COUNTIF($E164:AA164,"¶")+COUNTIF($E164:AA164,"²")+COUNTIF($E164:AA164,"µ")+COUNTIF($E164:AA164,1),ColDescriptionCourte)),""),
  "")),"")</f>
        <v/>
      </c>
      <c r="AC164" s="40" t="str">
        <f ca="1">IFERROR(IF(AND(
  INDEX(Roadmap!$D:$K,MATCH($E164,Roadmap!$D:$D,0)+COUNTIF($E164:AB164,"u")+COUNTIF($E164:AB164,"t")+COUNTIF($E164:AB164,"¶")+COUNTIF($E164:AB164,"²")+COUNTIF($E164:AB164,"µ")+COUNTIF($E164:AB164,1),ColLivraison)=AC$6,
  VLOOKUP($E164,INDIRECT("tri!"&amp; CHAR(64+ C0Col) &amp;":"&amp; CHAR(65+C0Col)),2,FALSE)&gt;COUNTIF($E164:AB164,"u")+COUNTIF($E164:AB164,"t")+COUNTIF($E164:AB164,"¶")+COUNTIF($E164:AB164,"²")+COUNTIF($E164:AB164,"µ")+COUNTIF($E164:AB164,1)),
HYPERLINK("#Roadmap!C"&amp; MATCH($E164,Roadmap!$D:$D,0)+COUNTIF($E164:AB164,"u")+COUNTIF($E164:AB164,"t"),
     INDEX(Roadmap!$D:$K,MATCH($E164,Roadmap!$D:$D,0)+COUNTIF($E164:AB164,"u")+COUNTIF($E164:AB164,"t")+COUNTIF($E164:AB164,"¶")+COUNTIF($E164:AB164,"²")+COUNTIF($E164:AB164,"µ")+COUNTIF($E164:AB164,1),ColTypeEcheance)),
  IF(LEN(AB164)=1,
  IF(LEN(INDEX(Roadmap!$D:$K,MATCH($E164,Roadmap!$D:$D,0)-1+COUNTIF($E164:AB164,"u")+COUNTIF($E164:AB164,"t")+COUNTIF($E164:AB164,"¶")+COUNTIF($E164:AB164,"²")+COUNTIF($E164:AB164,"µ")+COUNTIF($E164:AB164,1),ColDescriptionCourte))&gt;1,
HYPERLINK("#Roadmap!C"&amp; MATCH($E164,Roadmap!$D:$D,0)+COUNTIF($E164:AB164,"u")+COUNTIF($E164:AB164,"t")+COUNTIF($E164:AB164,"¶")+COUNTIF($E164:AB164,"²")+COUNTIF($E164:AB164,"µ")+COUNTIF($E164:AB164,1)-1,INDEX(Roadmap!$D:$K,MATCH($E164,Roadmap!$D:$D,0)-1+COUNTIF($E164:AB164,"u")+COUNTIF($E164:AB164,"t")+COUNTIF($E164:AB164,"¶")+COUNTIF($E164:AB164,"²")+COUNTIF($E164:AB164,"µ")+COUNTIF($E164:AB164,1),ColDescriptionCourte)),""),
  "")),"")</f>
        <v/>
      </c>
      <c r="AD164" s="40" t="str">
        <f ca="1">IFERROR(IF(AND(
  INDEX(Roadmap!$D:$K,MATCH($E164,Roadmap!$D:$D,0)+COUNTIF($E164:AC164,"u")+COUNTIF($E164:AC164,"t")+COUNTIF($E164:AC164,"¶")+COUNTIF($E164:AC164,"²")+COUNTIF($E164:AC164,"µ")+COUNTIF($E164:AC164,1),ColLivraison)=AD$6,
  VLOOKUP($E164,INDIRECT("tri!"&amp; CHAR(64+ C0Col) &amp;":"&amp; CHAR(65+C0Col)),2,FALSE)&gt;COUNTIF($E164:AC164,"u")+COUNTIF($E164:AC164,"t")+COUNTIF($E164:AC164,"¶")+COUNTIF($E164:AC164,"²")+COUNTIF($E164:AC164,"µ")+COUNTIF($E164:AC164,1)),
HYPERLINK("#Roadmap!C"&amp; MATCH($E164,Roadmap!$D:$D,0)+COUNTIF($E164:AC164,"u")+COUNTIF($E164:AC164,"t"),
     INDEX(Roadmap!$D:$K,MATCH($E164,Roadmap!$D:$D,0)+COUNTIF($E164:AC164,"u")+COUNTIF($E164:AC164,"t")+COUNTIF($E164:AC164,"¶")+COUNTIF($E164:AC164,"²")+COUNTIF($E164:AC164,"µ")+COUNTIF($E164:AC164,1),ColTypeEcheance)),
  IF(LEN(AC164)=1,
  IF(LEN(INDEX(Roadmap!$D:$K,MATCH($E164,Roadmap!$D:$D,0)-1+COUNTIF($E164:AC164,"u")+COUNTIF($E164:AC164,"t")+COUNTIF($E164:AC164,"¶")+COUNTIF($E164:AC164,"²")+COUNTIF($E164:AC164,"µ")+COUNTIF($E164:AC164,1),ColDescriptionCourte))&gt;1,
HYPERLINK("#Roadmap!C"&amp; MATCH($E164,Roadmap!$D:$D,0)+COUNTIF($E164:AC164,"u")+COUNTIF($E164:AC164,"t")+COUNTIF($E164:AC164,"¶")+COUNTIF($E164:AC164,"²")+COUNTIF($E164:AC164,"µ")+COUNTIF($E164:AC164,1)-1,INDEX(Roadmap!$D:$K,MATCH($E164,Roadmap!$D:$D,0)-1+COUNTIF($E164:AC164,"u")+COUNTIF($E164:AC164,"t")+COUNTIF($E164:AC164,"¶")+COUNTIF($E164:AC164,"²")+COUNTIF($E164:AC164,"µ")+COUNTIF($E164:AC164,1),ColDescriptionCourte)),""),
  "")),"")</f>
        <v/>
      </c>
      <c r="AE164" s="40" t="str">
        <f ca="1">IFERROR(IF(AND(
  INDEX(Roadmap!$D:$K,MATCH($E164,Roadmap!$D:$D,0)+COUNTIF($E164:AD164,"u")+COUNTIF($E164:AD164,"t")+COUNTIF($E164:AD164,"¶")+COUNTIF($E164:AD164,"²")+COUNTIF($E164:AD164,"µ")+COUNTIF($E164:AD164,1),ColLivraison)=AE$6,
  VLOOKUP($E164,INDIRECT("tri!"&amp; CHAR(64+ C0Col) &amp;":"&amp; CHAR(65+C0Col)),2,FALSE)&gt;COUNTIF($E164:AD164,"u")+COUNTIF($E164:AD164,"t")+COUNTIF($E164:AD164,"¶")+COUNTIF($E164:AD164,"²")+COUNTIF($E164:AD164,"µ")+COUNTIF($E164:AD164,1)),
HYPERLINK("#Roadmap!C"&amp; MATCH($E164,Roadmap!$D:$D,0)+COUNTIF($E164:AD164,"u")+COUNTIF($E164:AD164,"t"),
     INDEX(Roadmap!$D:$K,MATCH($E164,Roadmap!$D:$D,0)+COUNTIF($E164:AD164,"u")+COUNTIF($E164:AD164,"t")+COUNTIF($E164:AD164,"¶")+COUNTIF($E164:AD164,"²")+COUNTIF($E164:AD164,"µ")+COUNTIF($E164:AD164,1),ColTypeEcheance)),
  IF(LEN(AD164)=1,
  IF(LEN(INDEX(Roadmap!$D:$K,MATCH($E164,Roadmap!$D:$D,0)-1+COUNTIF($E164:AD164,"u")+COUNTIF($E164:AD164,"t")+COUNTIF($E164:AD164,"¶")+COUNTIF($E164:AD164,"²")+COUNTIF($E164:AD164,"µ")+COUNTIF($E164:AD164,1),ColDescriptionCourte))&gt;1,
HYPERLINK("#Roadmap!C"&amp; MATCH($E164,Roadmap!$D:$D,0)+COUNTIF($E164:AD164,"u")+COUNTIF($E164:AD164,"t")+COUNTIF($E164:AD164,"¶")+COUNTIF($E164:AD164,"²")+COUNTIF($E164:AD164,"µ")+COUNTIF($E164:AD164,1)-1,INDEX(Roadmap!$D:$K,MATCH($E164,Roadmap!$D:$D,0)-1+COUNTIF($E164:AD164,"u")+COUNTIF($E164:AD164,"t")+COUNTIF($E164:AD164,"¶")+COUNTIF($E164:AD164,"²")+COUNTIF($E164:AD164,"µ")+COUNTIF($E164:AD164,1),ColDescriptionCourte)),""),
  "")),"")</f>
        <v/>
      </c>
      <c r="AF164" s="40" t="str">
        <f ca="1">IFERROR(IF(AND(
  INDEX(Roadmap!$D:$K,MATCH($E164,Roadmap!$D:$D,0)+COUNTIF($E164:AE164,"u")+COUNTIF($E164:AE164,"t")+COUNTIF($E164:AE164,"¶")+COUNTIF($E164:AE164,"²")+COUNTIF($E164:AE164,"µ")+COUNTIF($E164:AE164,1),ColLivraison)=AF$6,
  VLOOKUP($E164,INDIRECT("tri!"&amp; CHAR(64+ C0Col) &amp;":"&amp; CHAR(65+C0Col)),2,FALSE)&gt;COUNTIF($E164:AE164,"u")+COUNTIF($E164:AE164,"t")+COUNTIF($E164:AE164,"¶")+COUNTIF($E164:AE164,"²")+COUNTIF($E164:AE164,"µ")+COUNTIF($E164:AE164,1)),
HYPERLINK("#Roadmap!C"&amp; MATCH($E164,Roadmap!$D:$D,0)+COUNTIF($E164:AE164,"u")+COUNTIF($E164:AE164,"t"),
     INDEX(Roadmap!$D:$K,MATCH($E164,Roadmap!$D:$D,0)+COUNTIF($E164:AE164,"u")+COUNTIF($E164:AE164,"t")+COUNTIF($E164:AE164,"¶")+COUNTIF($E164:AE164,"²")+COUNTIF($E164:AE164,"µ")+COUNTIF($E164:AE164,1),ColTypeEcheance)),
  IF(LEN(AE164)=1,
  IF(LEN(INDEX(Roadmap!$D:$K,MATCH($E164,Roadmap!$D:$D,0)-1+COUNTIF($E164:AE164,"u")+COUNTIF($E164:AE164,"t")+COUNTIF($E164:AE164,"¶")+COUNTIF($E164:AE164,"²")+COUNTIF($E164:AE164,"µ")+COUNTIF($E164:AE164,1),ColDescriptionCourte))&gt;1,
HYPERLINK("#Roadmap!C"&amp; MATCH($E164,Roadmap!$D:$D,0)+COUNTIF($E164:AE164,"u")+COUNTIF($E164:AE164,"t")+COUNTIF($E164:AE164,"¶")+COUNTIF($E164:AE164,"²")+COUNTIF($E164:AE164,"µ")+COUNTIF($E164:AE164,1)-1,INDEX(Roadmap!$D:$K,MATCH($E164,Roadmap!$D:$D,0)-1+COUNTIF($E164:AE164,"u")+COUNTIF($E164:AE164,"t")+COUNTIF($E164:AE164,"¶")+COUNTIF($E164:AE164,"²")+COUNTIF($E164:AE164,"µ")+COUNTIF($E164:AE164,1),ColDescriptionCourte)),""),
  "")),"")</f>
        <v/>
      </c>
      <c r="AG164" s="40" t="str">
        <f ca="1">IFERROR(IF(AND(
  INDEX(Roadmap!$D:$K,MATCH($E164,Roadmap!$D:$D,0)+COUNTIF($E164:AF164,"u")+COUNTIF($E164:AF164,"t")+COUNTIF($E164:AF164,"¶")+COUNTIF($E164:AF164,"²")+COUNTIF($E164:AF164,"µ")+COUNTIF($E164:AF164,1),ColLivraison)=AG$6,
  VLOOKUP($E164,INDIRECT("tri!"&amp; CHAR(64+ C0Col) &amp;":"&amp; CHAR(65+C0Col)),2,FALSE)&gt;COUNTIF($E164:AF164,"u")+COUNTIF($E164:AF164,"t")+COUNTIF($E164:AF164,"¶")+COUNTIF($E164:AF164,"²")+COUNTIF($E164:AF164,"µ")+COUNTIF($E164:AF164,1)),
HYPERLINK("#Roadmap!C"&amp; MATCH($E164,Roadmap!$D:$D,0)+COUNTIF($E164:AF164,"u")+COUNTIF($E164:AF164,"t"),
     INDEX(Roadmap!$D:$K,MATCH($E164,Roadmap!$D:$D,0)+COUNTIF($E164:AF164,"u")+COUNTIF($E164:AF164,"t")+COUNTIF($E164:AF164,"¶")+COUNTIF($E164:AF164,"²")+COUNTIF($E164:AF164,"µ")+COUNTIF($E164:AF164,1),ColTypeEcheance)),
  IF(LEN(AF164)=1,
  IF(LEN(INDEX(Roadmap!$D:$K,MATCH($E164,Roadmap!$D:$D,0)-1+COUNTIF($E164:AF164,"u")+COUNTIF($E164:AF164,"t")+COUNTIF($E164:AF164,"¶")+COUNTIF($E164:AF164,"²")+COUNTIF($E164:AF164,"µ")+COUNTIF($E164:AF164,1),ColDescriptionCourte))&gt;1,
HYPERLINK("#Roadmap!C"&amp; MATCH($E164,Roadmap!$D:$D,0)+COUNTIF($E164:AF164,"u")+COUNTIF($E164:AF164,"t")+COUNTIF($E164:AF164,"¶")+COUNTIF($E164:AF164,"²")+COUNTIF($E164:AF164,"µ")+COUNTIF($E164:AF164,1)-1,INDEX(Roadmap!$D:$K,MATCH($E164,Roadmap!$D:$D,0)-1+COUNTIF($E164:AF164,"u")+COUNTIF($E164:AF164,"t")+COUNTIF($E164:AF164,"¶")+COUNTIF($E164:AF164,"²")+COUNTIF($E164:AF164,"µ")+COUNTIF($E164:AF164,1),ColDescriptionCourte)),""),
  "")),"")</f>
        <v/>
      </c>
      <c r="AH164" s="40" t="str">
        <f ca="1">IFERROR(IF(AND(
  INDEX(Roadmap!$D:$K,MATCH($E164,Roadmap!$D:$D,0)+COUNTIF($E164:AG164,"u")+COUNTIF($E164:AG164,"t")+COUNTIF($E164:AG164,1),ColLivraison)=AH$6,
  VLOOKUP($E164,INDIRECT("tri!"&amp; CHAR(64+ C0Col) &amp;":"&amp; CHAR(65+C0Col)),2,FALSE)&gt;COUNTIF($E164:AG164,"u")+COUNTIF($E164:AG164,"t")+COUNTIF($E164:AG164,1)),
HYPERLINK("#Roadmap!C"&amp; MATCH($E164,Roadmap!$D:$D,0)+COUNTIF($E164:AG164,"u")+COUNTIF($E164:AG164,"t"),
     INDEX(Roadmap!$D:$K,MATCH($E164,Roadmap!$D:$D,0)+COUNTIF($E164:AG164,"u")+COUNTIF($E164:AG164,"t")+COUNTIF($E164:AG164,1),ColTypeEcheance)),
  IF(OR(AG164="u",AG164="t",AG164=1),
  IF(LEN(INDEX(Roadmap!$D:$K,MATCH($E164,Roadmap!$D:$D,0)-1+COUNTIF($E164:AG164,"u")+COUNTIF($E164:AG164,"t")+COUNTIF($E164:AG164,1),ColDescriptionCourte))&gt;1,
HYPERLINK("#Roadmap!C"&amp; MATCH($E164,Roadmap!$D:$D,0)+COUNTIF($E164:AG164,"u")+COUNTIF($E164:AG164,"t")+COUNTIF($E164:AG164,1)-1,INDEX(Roadmap!$D:$K,MATCH($E164,Roadmap!$D:$D,0)-1+COUNTIF($E164:AG164,"u")+COUNTIF($E164:AG164,"t")+COUNTIF($E164:AG164,1),ColDescriptionCourte)),""),
  "")),"")</f>
        <v/>
      </c>
      <c r="AI164" s="40"/>
      <c r="AJ164" s="40"/>
      <c r="AK164" s="40"/>
      <c r="AL164" s="40"/>
      <c r="AM164" s="40"/>
    </row>
    <row r="165" spans="4:39" ht="14.1" customHeight="1">
      <c r="D165" s="20" t="str">
        <f t="shared" ca="1" si="31"/>
        <v/>
      </c>
      <c r="E165" s="53" t="str">
        <f t="shared" ca="1" si="32"/>
        <v/>
      </c>
      <c r="F165" s="39" t="str">
        <f ca="1">IFERROR(IF(AND(
  INDEX(Roadmap!$D:$K,MATCH($E165,Roadmap!$D:$D,0)+COUNTIF($E165:E165,"u")+COUNTIF($E165:E165,"t")+COUNTIF($E165:E165,"¶")+COUNTIF($E165:E165,"²")+COUNTIF($E165:E165,"µ")+COUNTIF($E165:E165,1),ColLivraison)=F$6,
  VLOOKUP($E165,INDIRECT("tri!"&amp; CHAR(64+ C0Col) &amp;":"&amp; CHAR(65+C0Col)),2,FALSE)&gt;COUNTIF($E165:E165,"u")+COUNTIF($E165:E165,"t")+COUNTIF($E165:E165,"¶")+COUNTIF($E165:E165,"²")+COUNTIF($E165:E165,"µ")+COUNTIF($E165:E165,1)),
HYPERLINK("#Roadmap!C"&amp; MATCH($E165,Roadmap!$D:$D,0)+COUNTIF($E165:E165,"u")+COUNTIF($E165:E165,"t"),
     INDEX(Roadmap!$D:$K,MATCH($E165,Roadmap!$D:$D,0)+COUNTIF($E165:E165,"u")+COUNTIF($E165:E165,"t")+COUNTIF($E165:E165,"¶")+COUNTIF($E165:E165,"²")+COUNTIF($E165:E165,"µ")+COUNTIF($E165:E165,1),ColTypeEcheance)),
  IF(LEN(E165)=1,
  IF(LEN(INDEX(Roadmap!$D:$K,MATCH($E165,Roadmap!$D:$D,0)-1+COUNTIF($E165:E165,"u")+COUNTIF($E165:E165,"t")+COUNTIF($E165:E165,"¶")+COUNTIF($E165:E165,"²")+COUNTIF($E165:E165,"µ")+COUNTIF($E165:E165,1),ColDescriptionCourte))&gt;1,
HYPERLINK("#Roadmap!C"&amp; MATCH($E165,Roadmap!$D:$D,0)+COUNTIF($E165:E165,"u")+COUNTIF($E165:E165,"t")+COUNTIF($E165:E165,"¶")+COUNTIF($E165:E165,"²")+COUNTIF($E165:E165,"µ")+COUNTIF($E165:E165,1)-1,INDEX(Roadmap!$D:$K,MATCH($E165,Roadmap!$D:$D,0)-1+COUNTIF($E165:E165,"u")+COUNTIF($E165:E165,"t")+COUNTIF($E165:E165,"¶")+COUNTIF($E165:E165,"²")+COUNTIF($E165:E165,"µ")+COUNTIF($E165:E165,1),ColDescriptionCourte)),""),
  "")),"")</f>
        <v/>
      </c>
      <c r="G165" s="40" t="str">
        <f ca="1">IFERROR(IF(AND(
  INDEX(Roadmap!$D:$K,MATCH($E165,Roadmap!$D:$D,0)+COUNTIF($E165:F165,"u")+COUNTIF($E165:F165,"t")+COUNTIF($E165:F165,"¶")+COUNTIF($E165:F165,"²")+COUNTIF($E165:F165,"µ")+COUNTIF($E165:F165,1),ColLivraison)=G$6,
  VLOOKUP($E165,INDIRECT("tri!"&amp; CHAR(64+ C0Col) &amp;":"&amp; CHAR(65+C0Col)),2,FALSE)&gt;COUNTIF($E165:F165,"u")+COUNTIF($E165:F165,"t")+COUNTIF($E165:F165,"¶")+COUNTIF($E165:F165,"²")+COUNTIF($E165:F165,"µ")+COUNTIF($E165:F165,1)),
HYPERLINK("#Roadmap!C"&amp; MATCH($E165,Roadmap!$D:$D,0)+COUNTIF($E165:F165,"u")+COUNTIF($E165:F165,"t"),
     INDEX(Roadmap!$D:$K,MATCH($E165,Roadmap!$D:$D,0)+COUNTIF($E165:F165,"u")+COUNTIF($E165:F165,"t")+COUNTIF($E165:F165,"¶")+COUNTIF($E165:F165,"²")+COUNTIF($E165:F165,"µ")+COUNTIF($E165:F165,1),ColTypeEcheance)),
  IF(LEN(F165)=1,
  IF(LEN(INDEX(Roadmap!$D:$K,MATCH($E165,Roadmap!$D:$D,0)-1+COUNTIF($E165:F165,"u")+COUNTIF($E165:F165,"t")+COUNTIF($E165:F165,"¶")+COUNTIF($E165:F165,"²")+COUNTIF($E165:F165,"µ")+COUNTIF($E165:F165,1),ColDescriptionCourte))&gt;1,
HYPERLINK("#Roadmap!C"&amp; MATCH($E165,Roadmap!$D:$D,0)+COUNTIF($E165:F165,"u")+COUNTIF($E165:F165,"t")+COUNTIF($E165:F165,"¶")+COUNTIF($E165:F165,"²")+COUNTIF($E165:F165,"µ")+COUNTIF($E165:F165,1)-1,INDEX(Roadmap!$D:$K,MATCH($E165,Roadmap!$D:$D,0)-1+COUNTIF($E165:F165,"u")+COUNTIF($E165:F165,"t")+COUNTIF($E165:F165,"¶")+COUNTIF($E165:F165,"²")+COUNTIF($E165:F165,"µ")+COUNTIF($E165:F165,1),ColDescriptionCourte)),""),
  "")),"")</f>
        <v/>
      </c>
      <c r="H165" s="40" t="str">
        <f ca="1">IFERROR(IF(AND(
  INDEX(Roadmap!$D:$K,MATCH($E165,Roadmap!$D:$D,0)+COUNTIF($E165:G165,"u")+COUNTIF($E165:G165,"t")+COUNTIF($E165:G165,"¶")+COUNTIF($E165:G165,"²")+COUNTIF($E165:G165,"µ")+COUNTIF($E165:G165,1),ColLivraison)=H$6,
  VLOOKUP($E165,INDIRECT("tri!"&amp; CHAR(64+ C0Col) &amp;":"&amp; CHAR(65+C0Col)),2,FALSE)&gt;COUNTIF($E165:G165,"u")+COUNTIF($E165:G165,"t")+COUNTIF($E165:G165,"¶")+COUNTIF($E165:G165,"²")+COUNTIF($E165:G165,"µ")+COUNTIF($E165:G165,1)),
HYPERLINK("#Roadmap!C"&amp; MATCH($E165,Roadmap!$D:$D,0)+COUNTIF($E165:G165,"u")+COUNTIF($E165:G165,"t"),
     INDEX(Roadmap!$D:$K,MATCH($E165,Roadmap!$D:$D,0)+COUNTIF($E165:G165,"u")+COUNTIF($E165:G165,"t")+COUNTIF($E165:G165,"¶")+COUNTIF($E165:G165,"²")+COUNTIF($E165:G165,"µ")+COUNTIF($E165:G165,1),ColTypeEcheance)),
  IF(LEN(G165)=1,
  IF(LEN(INDEX(Roadmap!$D:$K,MATCH($E165,Roadmap!$D:$D,0)-1+COUNTIF($E165:G165,"u")+COUNTIF($E165:G165,"t")+COUNTIF($E165:G165,"¶")+COUNTIF($E165:G165,"²")+COUNTIF($E165:G165,"µ")+COUNTIF($E165:G165,1),ColDescriptionCourte))&gt;1,
HYPERLINK("#Roadmap!C"&amp; MATCH($E165,Roadmap!$D:$D,0)+COUNTIF($E165:G165,"u")+COUNTIF($E165:G165,"t")+COUNTIF($E165:G165,"¶")+COUNTIF($E165:G165,"²")+COUNTIF($E165:G165,"µ")+COUNTIF($E165:G165,1)-1,INDEX(Roadmap!$D:$K,MATCH($E165,Roadmap!$D:$D,0)-1+COUNTIF($E165:G165,"u")+COUNTIF($E165:G165,"t")+COUNTIF($E165:G165,"¶")+COUNTIF($E165:G165,"²")+COUNTIF($E165:G165,"µ")+COUNTIF($E165:G165,1),ColDescriptionCourte)),""),
  "")),"")</f>
        <v/>
      </c>
      <c r="I165" s="40" t="str">
        <f ca="1">IFERROR(IF(AND(
  INDEX(Roadmap!$D:$K,MATCH($E165,Roadmap!$D:$D,0)+COUNTIF($E165:H165,"u")+COUNTIF($E165:H165,"t")+COUNTIF($E165:H165,"¶")+COUNTIF($E165:H165,"²")+COUNTIF($E165:H165,"µ")+COUNTIF($E165:H165,1),ColLivraison)=I$6,
  VLOOKUP($E165,INDIRECT("tri!"&amp; CHAR(64+ C0Col) &amp;":"&amp; CHAR(65+C0Col)),2,FALSE)&gt;COUNTIF($E165:H165,"u")+COUNTIF($E165:H165,"t")+COUNTIF($E165:H165,"¶")+COUNTIF($E165:H165,"²")+COUNTIF($E165:H165,"µ")+COUNTIF($E165:H165,1)),
HYPERLINK("#Roadmap!C"&amp; MATCH($E165,Roadmap!$D:$D,0)+COUNTIF($E165:H165,"u")+COUNTIF($E165:H165,"t"),
     INDEX(Roadmap!$D:$K,MATCH($E165,Roadmap!$D:$D,0)+COUNTIF($E165:H165,"u")+COUNTIF($E165:H165,"t")+COUNTIF($E165:H165,"¶")+COUNTIF($E165:H165,"²")+COUNTIF($E165:H165,"µ")+COUNTIF($E165:H165,1),ColTypeEcheance)),
  IF(LEN(H165)=1,
  IF(LEN(INDEX(Roadmap!$D:$K,MATCH($E165,Roadmap!$D:$D,0)-1+COUNTIF($E165:H165,"u")+COUNTIF($E165:H165,"t")+COUNTIF($E165:H165,"¶")+COUNTIF($E165:H165,"²")+COUNTIF($E165:H165,"µ")+COUNTIF($E165:H165,1),ColDescriptionCourte))&gt;1,
HYPERLINK("#Roadmap!C"&amp; MATCH($E165,Roadmap!$D:$D,0)+COUNTIF($E165:H165,"u")+COUNTIF($E165:H165,"t")+COUNTIF($E165:H165,"¶")+COUNTIF($E165:H165,"²")+COUNTIF($E165:H165,"µ")+COUNTIF($E165:H165,1)-1,INDEX(Roadmap!$D:$K,MATCH($E165,Roadmap!$D:$D,0)-1+COUNTIF($E165:H165,"u")+COUNTIF($E165:H165,"t")+COUNTIF($E165:H165,"¶")+COUNTIF($E165:H165,"²")+COUNTIF($E165:H165,"µ")+COUNTIF($E165:H165,1),ColDescriptionCourte)),""),
  "")),"")</f>
        <v/>
      </c>
      <c r="J165" s="40" t="str">
        <f ca="1">IFERROR(IF(AND(
  INDEX(Roadmap!$D:$K,MATCH($E165,Roadmap!$D:$D,0)+COUNTIF($E165:I165,"u")+COUNTIF($E165:I165,"t")+COUNTIF($E165:I165,"¶")+COUNTIF($E165:I165,"²")+COUNTIF($E165:I165,"µ")+COUNTIF($E165:I165,1),ColLivraison)=J$6,
  VLOOKUP($E165,INDIRECT("tri!"&amp; CHAR(64+ C0Col) &amp;":"&amp; CHAR(65+C0Col)),2,FALSE)&gt;COUNTIF($E165:I165,"u")+COUNTIF($E165:I165,"t")+COUNTIF($E165:I165,"¶")+COUNTIF($E165:I165,"²")+COUNTIF($E165:I165,"µ")+COUNTIF($E165:I165,1)),
HYPERLINK("#Roadmap!C"&amp; MATCH($E165,Roadmap!$D:$D,0)+COUNTIF($E165:I165,"u")+COUNTIF($E165:I165,"t"),
     INDEX(Roadmap!$D:$K,MATCH($E165,Roadmap!$D:$D,0)+COUNTIF($E165:I165,"u")+COUNTIF($E165:I165,"t")+COUNTIF($E165:I165,"¶")+COUNTIF($E165:I165,"²")+COUNTIF($E165:I165,"µ")+COUNTIF($E165:I165,1),ColTypeEcheance)),
  IF(LEN(I165)=1,
  IF(LEN(INDEX(Roadmap!$D:$K,MATCH($E165,Roadmap!$D:$D,0)-1+COUNTIF($E165:I165,"u")+COUNTIF($E165:I165,"t")+COUNTIF($E165:I165,"¶")+COUNTIF($E165:I165,"²")+COUNTIF($E165:I165,"µ")+COUNTIF($E165:I165,1),ColDescriptionCourte))&gt;1,
HYPERLINK("#Roadmap!C"&amp; MATCH($E165,Roadmap!$D:$D,0)+COUNTIF($E165:I165,"u")+COUNTIF($E165:I165,"t")+COUNTIF($E165:I165,"¶")+COUNTIF($E165:I165,"²")+COUNTIF($E165:I165,"µ")+COUNTIF($E165:I165,1)-1,INDEX(Roadmap!$D:$K,MATCH($E165,Roadmap!$D:$D,0)-1+COUNTIF($E165:I165,"u")+COUNTIF($E165:I165,"t")+COUNTIF($E165:I165,"¶")+COUNTIF($E165:I165,"²")+COUNTIF($E165:I165,"µ")+COUNTIF($E165:I165,1),ColDescriptionCourte)),""),
  "")),"")</f>
        <v/>
      </c>
      <c r="K165" s="40" t="str">
        <f ca="1">IFERROR(IF(AND(
  INDEX(Roadmap!$D:$K,MATCH($E165,Roadmap!$D:$D,0)+COUNTIF($E165:J165,"u")+COUNTIF($E165:J165,"t")+COUNTIF($E165:J165,"¶")+COUNTIF($E165:J165,"²")+COUNTIF($E165:J165,"µ")+COUNTIF($E165:J165,1),ColLivraison)=K$6,
  VLOOKUP($E165,INDIRECT("tri!"&amp; CHAR(64+ C0Col) &amp;":"&amp; CHAR(65+C0Col)),2,FALSE)&gt;COUNTIF($E165:J165,"u")+COUNTIF($E165:J165,"t")+COUNTIF($E165:J165,"¶")+COUNTIF($E165:J165,"²")+COUNTIF($E165:J165,"µ")+COUNTIF($E165:J165,1)),
HYPERLINK("#Roadmap!C"&amp; MATCH($E165,Roadmap!$D:$D,0)+COUNTIF($E165:J165,"u")+COUNTIF($E165:J165,"t"),
     INDEX(Roadmap!$D:$K,MATCH($E165,Roadmap!$D:$D,0)+COUNTIF($E165:J165,"u")+COUNTIF($E165:J165,"t")+COUNTIF($E165:J165,"¶")+COUNTIF($E165:J165,"²")+COUNTIF($E165:J165,"µ")+COUNTIF($E165:J165,1),ColTypeEcheance)),
  IF(LEN(J165)=1,
  IF(LEN(INDEX(Roadmap!$D:$K,MATCH($E165,Roadmap!$D:$D,0)-1+COUNTIF($E165:J165,"u")+COUNTIF($E165:J165,"t")+COUNTIF($E165:J165,"¶")+COUNTIF($E165:J165,"²")+COUNTIF($E165:J165,"µ")+COUNTIF($E165:J165,1),ColDescriptionCourte))&gt;1,
HYPERLINK("#Roadmap!C"&amp; MATCH($E165,Roadmap!$D:$D,0)+COUNTIF($E165:J165,"u")+COUNTIF($E165:J165,"t")+COUNTIF($E165:J165,"¶")+COUNTIF($E165:J165,"²")+COUNTIF($E165:J165,"µ")+COUNTIF($E165:J165,1)-1,INDEX(Roadmap!$D:$K,MATCH($E165,Roadmap!$D:$D,0)-1+COUNTIF($E165:J165,"u")+COUNTIF($E165:J165,"t")+COUNTIF($E165:J165,"¶")+COUNTIF($E165:J165,"²")+COUNTIF($E165:J165,"µ")+COUNTIF($E165:J165,1),ColDescriptionCourte)),""),
  "")),"")</f>
        <v/>
      </c>
      <c r="L165" s="39" t="str">
        <f ca="1">IFERROR(IF(AND(
  INDEX(Roadmap!$D:$K,MATCH($E165,Roadmap!$D:$D,0)+COUNTIF($E165:K165,"u")+COUNTIF($E165:K165,"t")+COUNTIF($E165:K165,"¶")+COUNTIF($E165:K165,"²")+COUNTIF($E165:K165,"µ")+COUNTIF($E165:K165,1),ColLivraison)=L$6,
  VLOOKUP($E165,INDIRECT("tri!"&amp; CHAR(64+ C0Col) &amp;":"&amp; CHAR(65+C0Col)),2,FALSE)&gt;COUNTIF($E165:K165,"u")+COUNTIF($E165:K165,"t")+COUNTIF($E165:K165,"¶")+COUNTIF($E165:K165,"²")+COUNTIF($E165:K165,"µ")+COUNTIF($E165:K165,1)),
HYPERLINK("#Roadmap!C"&amp; MATCH($E165,Roadmap!$D:$D,0)+COUNTIF($E165:K165,"u")+COUNTIF($E165:K165,"t"),
     INDEX(Roadmap!$D:$K,MATCH($E165,Roadmap!$D:$D,0)+COUNTIF($E165:K165,"u")+COUNTIF($E165:K165,"t")+COUNTIF($E165:K165,"¶")+COUNTIF($E165:K165,"²")+COUNTIF($E165:K165,"µ")+COUNTIF($E165:K165,1),ColTypeEcheance)),
  IF(LEN(K165)=1,
  IF(LEN(INDEX(Roadmap!$D:$K,MATCH($E165,Roadmap!$D:$D,0)-1+COUNTIF($E165:K165,"u")+COUNTIF($E165:K165,"t")+COUNTIF($E165:K165,"¶")+COUNTIF($E165:K165,"²")+COUNTIF($E165:K165,"µ")+COUNTIF($E165:K165,1),ColDescriptionCourte))&gt;1,
HYPERLINK("#Roadmap!C"&amp; MATCH($E165,Roadmap!$D:$D,0)+COUNTIF($E165:K165,"u")+COUNTIF($E165:K165,"t")+COUNTIF($E165:K165,"¶")+COUNTIF($E165:K165,"²")+COUNTIF($E165:K165,"µ")+COUNTIF($E165:K165,1)-1,INDEX(Roadmap!$D:$K,MATCH($E165,Roadmap!$D:$D,0)-1+COUNTIF($E165:K165,"u")+COUNTIF($E165:K165,"t")+COUNTIF($E165:K165,"¶")+COUNTIF($E165:K165,"²")+COUNTIF($E165:K165,"µ")+COUNTIF($E165:K165,1),ColDescriptionCourte)),""),
  "")),"")</f>
        <v/>
      </c>
      <c r="M165" s="40" t="str">
        <f ca="1">IFERROR(IF(AND(
  INDEX(Roadmap!$D:$K,MATCH($E165,Roadmap!$D:$D,0)+COUNTIF($E165:L165,"u")+COUNTIF($E165:L165,"t")+COUNTIF($E165:L165,"¶")+COUNTIF($E165:L165,"²")+COUNTIF($E165:L165,"µ")+COUNTIF($E165:L165,1),ColLivraison)=M$6,
  VLOOKUP($E165,INDIRECT("tri!"&amp; CHAR(64+ C0Col) &amp;":"&amp; CHAR(65+C0Col)),2,FALSE)&gt;COUNTIF($E165:L165,"u")+COUNTIF($E165:L165,"t")+COUNTIF($E165:L165,"¶")+COUNTIF($E165:L165,"²")+COUNTIF($E165:L165,"µ")+COUNTIF($E165:L165,1)),
HYPERLINK("#Roadmap!C"&amp; MATCH($E165,Roadmap!$D:$D,0)+COUNTIF($E165:L165,"u")+COUNTIF($E165:L165,"t"),
     INDEX(Roadmap!$D:$K,MATCH($E165,Roadmap!$D:$D,0)+COUNTIF($E165:L165,"u")+COUNTIF($E165:L165,"t")+COUNTIF($E165:L165,"¶")+COUNTIF($E165:L165,"²")+COUNTIF($E165:L165,"µ")+COUNTIF($E165:L165,1),ColTypeEcheance)),
  IF(LEN(L165)=1,
  IF(LEN(INDEX(Roadmap!$D:$K,MATCH($E165,Roadmap!$D:$D,0)-1+COUNTIF($E165:L165,"u")+COUNTIF($E165:L165,"t")+COUNTIF($E165:L165,"¶")+COUNTIF($E165:L165,"²")+COUNTIF($E165:L165,"µ")+COUNTIF($E165:L165,1),ColDescriptionCourte))&gt;1,
HYPERLINK("#Roadmap!C"&amp; MATCH($E165,Roadmap!$D:$D,0)+COUNTIF($E165:L165,"u")+COUNTIF($E165:L165,"t")+COUNTIF($E165:L165,"¶")+COUNTIF($E165:L165,"²")+COUNTIF($E165:L165,"µ")+COUNTIF($E165:L165,1)-1,INDEX(Roadmap!$D:$K,MATCH($E165,Roadmap!$D:$D,0)-1+COUNTIF($E165:L165,"u")+COUNTIF($E165:L165,"t")+COUNTIF($E165:L165,"¶")+COUNTIF($E165:L165,"²")+COUNTIF($E165:L165,"µ")+COUNTIF($E165:L165,1),ColDescriptionCourte)),""),
  "")),"")</f>
        <v/>
      </c>
      <c r="N165" s="40" t="str">
        <f ca="1">IFERROR(IF(AND(
  INDEX(Roadmap!$D:$K,MATCH($E165,Roadmap!$D:$D,0)+COUNTIF($E165:M165,"u")+COUNTIF($E165:M165,"t")+COUNTIF($E165:M165,"¶")+COUNTIF($E165:M165,"²")+COUNTIF($E165:M165,"µ")+COUNTIF($E165:M165,1),ColLivraison)=N$6,
  VLOOKUP($E165,INDIRECT("tri!"&amp; CHAR(64+ C0Col) &amp;":"&amp; CHAR(65+C0Col)),2,FALSE)&gt;COUNTIF($E165:M165,"u")+COUNTIF($E165:M165,"t")+COUNTIF($E165:M165,"¶")+COUNTIF($E165:M165,"²")+COUNTIF($E165:M165,"µ")+COUNTIF($E165:M165,1)),
HYPERLINK("#Roadmap!C"&amp; MATCH($E165,Roadmap!$D:$D,0)+COUNTIF($E165:M165,"u")+COUNTIF($E165:M165,"t"),
     INDEX(Roadmap!$D:$K,MATCH($E165,Roadmap!$D:$D,0)+COUNTIF($E165:M165,"u")+COUNTIF($E165:M165,"t")+COUNTIF($E165:M165,"¶")+COUNTIF($E165:M165,"²")+COUNTIF($E165:M165,"µ")+COUNTIF($E165:M165,1),ColTypeEcheance)),
  IF(LEN(M165)=1,
  IF(LEN(INDEX(Roadmap!$D:$K,MATCH($E165,Roadmap!$D:$D,0)-1+COUNTIF($E165:M165,"u")+COUNTIF($E165:M165,"t")+COUNTIF($E165:M165,"¶")+COUNTIF($E165:M165,"²")+COUNTIF($E165:M165,"µ")+COUNTIF($E165:M165,1),ColDescriptionCourte))&gt;1,
HYPERLINK("#Roadmap!C"&amp; MATCH($E165,Roadmap!$D:$D,0)+COUNTIF($E165:M165,"u")+COUNTIF($E165:M165,"t")+COUNTIF($E165:M165,"¶")+COUNTIF($E165:M165,"²")+COUNTIF($E165:M165,"µ")+COUNTIF($E165:M165,1)-1,INDEX(Roadmap!$D:$K,MATCH($E165,Roadmap!$D:$D,0)-1+COUNTIF($E165:M165,"u")+COUNTIF($E165:M165,"t")+COUNTIF($E165:M165,"¶")+COUNTIF($E165:M165,"²")+COUNTIF($E165:M165,"µ")+COUNTIF($E165:M165,1),ColDescriptionCourte)),""),
  "")),"")</f>
        <v/>
      </c>
      <c r="O165" s="40" t="str">
        <f ca="1">IFERROR(IF(AND(
  INDEX(Roadmap!$D:$K,MATCH($E165,Roadmap!$D:$D,0)+COUNTIF($E165:N165,"u")+COUNTIF($E165:N165,"t")+COUNTIF($E165:N165,"¶")+COUNTIF($E165:N165,"²")+COUNTIF($E165:N165,"µ")+COUNTIF($E165:N165,1),ColLivraison)=O$6,
  VLOOKUP($E165,INDIRECT("tri!"&amp; CHAR(64+ C0Col) &amp;":"&amp; CHAR(65+C0Col)),2,FALSE)&gt;COUNTIF($E165:N165,"u")+COUNTIF($E165:N165,"t")+COUNTIF($E165:N165,"¶")+COUNTIF($E165:N165,"²")+COUNTIF($E165:N165,"µ")+COUNTIF($E165:N165,1)),
HYPERLINK("#Roadmap!C"&amp; MATCH($E165,Roadmap!$D:$D,0)+COUNTIF($E165:N165,"u")+COUNTIF($E165:N165,"t"),
     INDEX(Roadmap!$D:$K,MATCH($E165,Roadmap!$D:$D,0)+COUNTIF($E165:N165,"u")+COUNTIF($E165:N165,"t")+COUNTIF($E165:N165,"¶")+COUNTIF($E165:N165,"²")+COUNTIF($E165:N165,"µ")+COUNTIF($E165:N165,1),ColTypeEcheance)),
  IF(LEN(N165)=1,
  IF(LEN(INDEX(Roadmap!$D:$K,MATCH($E165,Roadmap!$D:$D,0)-1+COUNTIF($E165:N165,"u")+COUNTIF($E165:N165,"t")+COUNTIF($E165:N165,"¶")+COUNTIF($E165:N165,"²")+COUNTIF($E165:N165,"µ")+COUNTIF($E165:N165,1),ColDescriptionCourte))&gt;1,
HYPERLINK("#Roadmap!C"&amp; MATCH($E165,Roadmap!$D:$D,0)+COUNTIF($E165:N165,"u")+COUNTIF($E165:N165,"t")+COUNTIF($E165:N165,"¶")+COUNTIF($E165:N165,"²")+COUNTIF($E165:N165,"µ")+COUNTIF($E165:N165,1)-1,INDEX(Roadmap!$D:$K,MATCH($E165,Roadmap!$D:$D,0)-1+COUNTIF($E165:N165,"u")+COUNTIF($E165:N165,"t")+COUNTIF($E165:N165,"¶")+COUNTIF($E165:N165,"²")+COUNTIF($E165:N165,"µ")+COUNTIF($E165:N165,1),ColDescriptionCourte)),""),
  "")),"")</f>
        <v/>
      </c>
      <c r="P165" s="40" t="str">
        <f ca="1">IFERROR(IF(AND(
  INDEX(Roadmap!$D:$K,MATCH($E165,Roadmap!$D:$D,0)+COUNTIF($E165:O165,"u")+COUNTIF($E165:O165,"t")+COUNTIF($E165:O165,"¶")+COUNTIF($E165:O165,"²")+COUNTIF($E165:O165,"µ")+COUNTIF($E165:O165,1),ColLivraison)=P$6,
  VLOOKUP($E165,INDIRECT("tri!"&amp; CHAR(64+ C0Col) &amp;":"&amp; CHAR(65+C0Col)),2,FALSE)&gt;COUNTIF($E165:O165,"u")+COUNTIF($E165:O165,"t")+COUNTIF($E165:O165,"¶")+COUNTIF($E165:O165,"²")+COUNTIF($E165:O165,"µ")+COUNTIF($E165:O165,1)),
HYPERLINK("#Roadmap!C"&amp; MATCH($E165,Roadmap!$D:$D,0)+COUNTIF($E165:O165,"u")+COUNTIF($E165:O165,"t"),
     INDEX(Roadmap!$D:$K,MATCH($E165,Roadmap!$D:$D,0)+COUNTIF($E165:O165,"u")+COUNTIF($E165:O165,"t")+COUNTIF($E165:O165,"¶")+COUNTIF($E165:O165,"²")+COUNTIF($E165:O165,"µ")+COUNTIF($E165:O165,1),ColTypeEcheance)),
  IF(LEN(O165)=1,
  IF(LEN(INDEX(Roadmap!$D:$K,MATCH($E165,Roadmap!$D:$D,0)-1+COUNTIF($E165:O165,"u")+COUNTIF($E165:O165,"t")+COUNTIF($E165:O165,"¶")+COUNTIF($E165:O165,"²")+COUNTIF($E165:O165,"µ")+COUNTIF($E165:O165,1),ColDescriptionCourte))&gt;1,
HYPERLINK("#Roadmap!C"&amp; MATCH($E165,Roadmap!$D:$D,0)+COUNTIF($E165:O165,"u")+COUNTIF($E165:O165,"t")+COUNTIF($E165:O165,"¶")+COUNTIF($E165:O165,"²")+COUNTIF($E165:O165,"µ")+COUNTIF($E165:O165,1)-1,INDEX(Roadmap!$D:$K,MATCH($E165,Roadmap!$D:$D,0)-1+COUNTIF($E165:O165,"u")+COUNTIF($E165:O165,"t")+COUNTIF($E165:O165,"¶")+COUNTIF($E165:O165,"²")+COUNTIF($E165:O165,"µ")+COUNTIF($E165:O165,1),ColDescriptionCourte)),""),
  "")),"")</f>
        <v/>
      </c>
      <c r="Q165" s="40" t="str">
        <f ca="1">IFERROR(IF(AND(
  INDEX(Roadmap!$D:$K,MATCH($E165,Roadmap!$D:$D,0)+COUNTIF($E165:P165,"u")+COUNTIF($E165:P165,"t")+COUNTIF($E165:P165,"¶")+COUNTIF($E165:P165,"²")+COUNTIF($E165:P165,"µ")+COUNTIF($E165:P165,1),ColLivraison)=Q$6,
  VLOOKUP($E165,INDIRECT("tri!"&amp; CHAR(64+ C0Col) &amp;":"&amp; CHAR(65+C0Col)),2,FALSE)&gt;COUNTIF($E165:P165,"u")+COUNTIF($E165:P165,"t")+COUNTIF($E165:P165,"¶")+COUNTIF($E165:P165,"²")+COUNTIF($E165:P165,"µ")+COUNTIF($E165:P165,1)),
HYPERLINK("#Roadmap!C"&amp; MATCH($E165,Roadmap!$D:$D,0)+COUNTIF($E165:P165,"u")+COUNTIF($E165:P165,"t"),
     INDEX(Roadmap!$D:$K,MATCH($E165,Roadmap!$D:$D,0)+COUNTIF($E165:P165,"u")+COUNTIF($E165:P165,"t")+COUNTIF($E165:P165,"¶")+COUNTIF($E165:P165,"²")+COUNTIF($E165:P165,"µ")+COUNTIF($E165:P165,1),ColTypeEcheance)),
  IF(LEN(P165)=1,
  IF(LEN(INDEX(Roadmap!$D:$K,MATCH($E165,Roadmap!$D:$D,0)-1+COUNTIF($E165:P165,"u")+COUNTIF($E165:P165,"t")+COUNTIF($E165:P165,"¶")+COUNTIF($E165:P165,"²")+COUNTIF($E165:P165,"µ")+COUNTIF($E165:P165,1),ColDescriptionCourte))&gt;1,
HYPERLINK("#Roadmap!C"&amp; MATCH($E165,Roadmap!$D:$D,0)+COUNTIF($E165:P165,"u")+COUNTIF($E165:P165,"t")+COUNTIF($E165:P165,"¶")+COUNTIF($E165:P165,"²")+COUNTIF($E165:P165,"µ")+COUNTIF($E165:P165,1)-1,INDEX(Roadmap!$D:$K,MATCH($E165,Roadmap!$D:$D,0)-1+COUNTIF($E165:P165,"u")+COUNTIF($E165:P165,"t")+COUNTIF($E165:P165,"¶")+COUNTIF($E165:P165,"²")+COUNTIF($E165:P165,"µ")+COUNTIF($E165:P165,1),ColDescriptionCourte)),""),
  "")),"")</f>
        <v/>
      </c>
      <c r="R165" s="40" t="str">
        <f ca="1">IFERROR(IF(AND(
  INDEX(Roadmap!$D:$K,MATCH($E165,Roadmap!$D:$D,0)+COUNTIF($E165:Q165,"u")+COUNTIF($E165:Q165,"t")+COUNTIF($E165:Q165,"¶")+COUNTIF($E165:Q165,"²")+COUNTIF($E165:Q165,"µ")+COUNTIF($E165:Q165,1),ColLivraison)=R$6,
  VLOOKUP($E165,INDIRECT("tri!"&amp; CHAR(64+ C0Col) &amp;":"&amp; CHAR(65+C0Col)),2,FALSE)&gt;COUNTIF($E165:Q165,"u")+COUNTIF($E165:Q165,"t")+COUNTIF($E165:Q165,"¶")+COUNTIF($E165:Q165,"²")+COUNTIF($E165:Q165,"µ")+COUNTIF($E165:Q165,1)),
HYPERLINK("#Roadmap!C"&amp; MATCH($E165,Roadmap!$D:$D,0)+COUNTIF($E165:Q165,"u")+COUNTIF($E165:Q165,"t"),
     INDEX(Roadmap!$D:$K,MATCH($E165,Roadmap!$D:$D,0)+COUNTIF($E165:Q165,"u")+COUNTIF($E165:Q165,"t")+COUNTIF($E165:Q165,"¶")+COUNTIF($E165:Q165,"²")+COUNTIF($E165:Q165,"µ")+COUNTIF($E165:Q165,1),ColTypeEcheance)),
  IF(LEN(Q165)=1,
  IF(LEN(INDEX(Roadmap!$D:$K,MATCH($E165,Roadmap!$D:$D,0)-1+COUNTIF($E165:Q165,"u")+COUNTIF($E165:Q165,"t")+COUNTIF($E165:Q165,"¶")+COUNTIF($E165:Q165,"²")+COUNTIF($E165:Q165,"µ")+COUNTIF($E165:Q165,1),ColDescriptionCourte))&gt;1,
HYPERLINK("#Roadmap!C"&amp; MATCH($E165,Roadmap!$D:$D,0)+COUNTIF($E165:Q165,"u")+COUNTIF($E165:Q165,"t")+COUNTIF($E165:Q165,"¶")+COUNTIF($E165:Q165,"²")+COUNTIF($E165:Q165,"µ")+COUNTIF($E165:Q165,1)-1,INDEX(Roadmap!$D:$K,MATCH($E165,Roadmap!$D:$D,0)-1+COUNTIF($E165:Q165,"u")+COUNTIF($E165:Q165,"t")+COUNTIF($E165:Q165,"¶")+COUNTIF($E165:Q165,"²")+COUNTIF($E165:Q165,"µ")+COUNTIF($E165:Q165,1),ColDescriptionCourte)),""),
  "")),"")</f>
        <v/>
      </c>
      <c r="S165" s="40" t="str">
        <f ca="1">IFERROR(IF(AND(
  INDEX(Roadmap!$D:$K,MATCH($E165,Roadmap!$D:$D,0)+COUNTIF($E165:R165,"u")+COUNTIF($E165:R165,"t")+COUNTIF($E165:R165,"¶")+COUNTIF($E165:R165,"²")+COUNTIF($E165:R165,"µ")+COUNTIF($E165:R165,1),ColLivraison)=S$6,
  VLOOKUP($E165,INDIRECT("tri!"&amp; CHAR(64+ C0Col) &amp;":"&amp; CHAR(65+C0Col)),2,FALSE)&gt;COUNTIF($E165:R165,"u")+COUNTIF($E165:R165,"t")+COUNTIF($E165:R165,"¶")+COUNTIF($E165:R165,"²")+COUNTIF($E165:R165,"µ")+COUNTIF($E165:R165,1)),
HYPERLINK("#Roadmap!C"&amp; MATCH($E165,Roadmap!$D:$D,0)+COUNTIF($E165:R165,"u")+COUNTIF($E165:R165,"t"),
     INDEX(Roadmap!$D:$K,MATCH($E165,Roadmap!$D:$D,0)+COUNTIF($E165:R165,"u")+COUNTIF($E165:R165,"t")+COUNTIF($E165:R165,"¶")+COUNTIF($E165:R165,"²")+COUNTIF($E165:R165,"µ")+COUNTIF($E165:R165,1),ColTypeEcheance)),
  IF(LEN(R165)=1,
  IF(LEN(INDEX(Roadmap!$D:$K,MATCH($E165,Roadmap!$D:$D,0)-1+COUNTIF($E165:R165,"u")+COUNTIF($E165:R165,"t")+COUNTIF($E165:R165,"¶")+COUNTIF($E165:R165,"²")+COUNTIF($E165:R165,"µ")+COUNTIF($E165:R165,1),ColDescriptionCourte))&gt;1,
HYPERLINK("#Roadmap!C"&amp; MATCH($E165,Roadmap!$D:$D,0)+COUNTIF($E165:R165,"u")+COUNTIF($E165:R165,"t")+COUNTIF($E165:R165,"¶")+COUNTIF($E165:R165,"²")+COUNTIF($E165:R165,"µ")+COUNTIF($E165:R165,1)-1,INDEX(Roadmap!$D:$K,MATCH($E165,Roadmap!$D:$D,0)-1+COUNTIF($E165:R165,"u")+COUNTIF($E165:R165,"t")+COUNTIF($E165:R165,"¶")+COUNTIF($E165:R165,"²")+COUNTIF($E165:R165,"µ")+COUNTIF($E165:R165,1),ColDescriptionCourte)),""),
  "")),"")</f>
        <v/>
      </c>
      <c r="T165" s="40" t="str">
        <f ca="1">IFERROR(IF(AND(
  INDEX(Roadmap!$D:$K,MATCH($E165,Roadmap!$D:$D,0)+COUNTIF($E165:S165,"u")+COUNTIF($E165:S165,"t")+COUNTIF($E165:S165,"¶")+COUNTIF($E165:S165,"²")+COUNTIF($E165:S165,"µ")+COUNTIF($E165:S165,1),ColLivraison)=T$6,
  VLOOKUP($E165,INDIRECT("tri!"&amp; CHAR(64+ C0Col) &amp;":"&amp; CHAR(65+C0Col)),2,FALSE)&gt;COUNTIF($E165:S165,"u")+COUNTIF($E165:S165,"t")+COUNTIF($E165:S165,"¶")+COUNTIF($E165:S165,"²")+COUNTIF($E165:S165,"µ")+COUNTIF($E165:S165,1)),
HYPERLINK("#Roadmap!C"&amp; MATCH($E165,Roadmap!$D:$D,0)+COUNTIF($E165:S165,"u")+COUNTIF($E165:S165,"t"),
     INDEX(Roadmap!$D:$K,MATCH($E165,Roadmap!$D:$D,0)+COUNTIF($E165:S165,"u")+COUNTIF($E165:S165,"t")+COUNTIF($E165:S165,"¶")+COUNTIF($E165:S165,"²")+COUNTIF($E165:S165,"µ")+COUNTIF($E165:S165,1),ColTypeEcheance)),
  IF(LEN(S165)=1,
  IF(LEN(INDEX(Roadmap!$D:$K,MATCH($E165,Roadmap!$D:$D,0)-1+COUNTIF($E165:S165,"u")+COUNTIF($E165:S165,"t")+COUNTIF($E165:S165,"¶")+COUNTIF($E165:S165,"²")+COUNTIF($E165:S165,"µ")+COUNTIF($E165:S165,1),ColDescriptionCourte))&gt;1,
HYPERLINK("#Roadmap!C"&amp; MATCH($E165,Roadmap!$D:$D,0)+COUNTIF($E165:S165,"u")+COUNTIF($E165:S165,"t")+COUNTIF($E165:S165,"¶")+COUNTIF($E165:S165,"²")+COUNTIF($E165:S165,"µ")+COUNTIF($E165:S165,1)-1,INDEX(Roadmap!$D:$K,MATCH($E165,Roadmap!$D:$D,0)-1+COUNTIF($E165:S165,"u")+COUNTIF($E165:S165,"t")+COUNTIF($E165:S165,"¶")+COUNTIF($E165:S165,"²")+COUNTIF($E165:S165,"µ")+COUNTIF($E165:S165,1),ColDescriptionCourte)),""),
  "")),"")</f>
        <v/>
      </c>
      <c r="U165" s="40" t="str">
        <f ca="1">IFERROR(IF(AND(
  INDEX(Roadmap!$D:$K,MATCH($E165,Roadmap!$D:$D,0)+COUNTIF($E165:T165,"u")+COUNTIF($E165:T165,"t")+COUNTIF($E165:T165,"¶")+COUNTIF($E165:T165,"²")+COUNTIF($E165:T165,"µ")+COUNTIF($E165:T165,1),ColLivraison)=U$6,
  VLOOKUP($E165,INDIRECT("tri!"&amp; CHAR(64+ C0Col) &amp;":"&amp; CHAR(65+C0Col)),2,FALSE)&gt;COUNTIF($E165:T165,"u")+COUNTIF($E165:T165,"t")+COUNTIF($E165:T165,"¶")+COUNTIF($E165:T165,"²")+COUNTIF($E165:T165,"µ")+COUNTIF($E165:T165,1)),
HYPERLINK("#Roadmap!C"&amp; MATCH($E165,Roadmap!$D:$D,0)+COUNTIF($E165:T165,"u")+COUNTIF($E165:T165,"t"),
     INDEX(Roadmap!$D:$K,MATCH($E165,Roadmap!$D:$D,0)+COUNTIF($E165:T165,"u")+COUNTIF($E165:T165,"t")+COUNTIF($E165:T165,"¶")+COUNTIF($E165:T165,"²")+COUNTIF($E165:T165,"µ")+COUNTIF($E165:T165,1),ColTypeEcheance)),
  IF(LEN(T165)=1,
  IF(LEN(INDEX(Roadmap!$D:$K,MATCH($E165,Roadmap!$D:$D,0)-1+COUNTIF($E165:T165,"u")+COUNTIF($E165:T165,"t")+COUNTIF($E165:T165,"¶")+COUNTIF($E165:T165,"²")+COUNTIF($E165:T165,"µ")+COUNTIF($E165:T165,1),ColDescriptionCourte))&gt;1,
HYPERLINK("#Roadmap!C"&amp; MATCH($E165,Roadmap!$D:$D,0)+COUNTIF($E165:T165,"u")+COUNTIF($E165:T165,"t")+COUNTIF($E165:T165,"¶")+COUNTIF($E165:T165,"²")+COUNTIF($E165:T165,"µ")+COUNTIF($E165:T165,1)-1,INDEX(Roadmap!$D:$K,MATCH($E165,Roadmap!$D:$D,0)-1+COUNTIF($E165:T165,"u")+COUNTIF($E165:T165,"t")+COUNTIF($E165:T165,"¶")+COUNTIF($E165:T165,"²")+COUNTIF($E165:T165,"µ")+COUNTIF($E165:T165,1),ColDescriptionCourte)),""),
  "")),"")</f>
        <v/>
      </c>
      <c r="V165" s="40" t="str">
        <f ca="1">IFERROR(IF(AND(
  INDEX(Roadmap!$D:$K,MATCH($E165,Roadmap!$D:$D,0)+COUNTIF($E165:U165,"u")+COUNTIF($E165:U165,"t")+COUNTIF($E165:U165,"¶")+COUNTIF($E165:U165,"²")+COUNTIF($E165:U165,"µ")+COUNTIF($E165:U165,1),ColLivraison)=V$6,
  VLOOKUP($E165,INDIRECT("tri!"&amp; CHAR(64+ C0Col) &amp;":"&amp; CHAR(65+C0Col)),2,FALSE)&gt;COUNTIF($E165:U165,"u")+COUNTIF($E165:U165,"t")+COUNTIF($E165:U165,"¶")+COUNTIF($E165:U165,"²")+COUNTIF($E165:U165,"µ")+COUNTIF($E165:U165,1)),
HYPERLINK("#Roadmap!C"&amp; MATCH($E165,Roadmap!$D:$D,0)+COUNTIF($E165:U165,"u")+COUNTIF($E165:U165,"t"),
     INDEX(Roadmap!$D:$K,MATCH($E165,Roadmap!$D:$D,0)+COUNTIF($E165:U165,"u")+COUNTIF($E165:U165,"t")+COUNTIF($E165:U165,"¶")+COUNTIF($E165:U165,"²")+COUNTIF($E165:U165,"µ")+COUNTIF($E165:U165,1),ColTypeEcheance)),
  IF(LEN(U165)=1,
  IF(LEN(INDEX(Roadmap!$D:$K,MATCH($E165,Roadmap!$D:$D,0)-1+COUNTIF($E165:U165,"u")+COUNTIF($E165:U165,"t")+COUNTIF($E165:U165,"¶")+COUNTIF($E165:U165,"²")+COUNTIF($E165:U165,"µ")+COUNTIF($E165:U165,1),ColDescriptionCourte))&gt;1,
HYPERLINK("#Roadmap!C"&amp; MATCH($E165,Roadmap!$D:$D,0)+COUNTIF($E165:U165,"u")+COUNTIF($E165:U165,"t")+COUNTIF($E165:U165,"¶")+COUNTIF($E165:U165,"²")+COUNTIF($E165:U165,"µ")+COUNTIF($E165:U165,1)-1,INDEX(Roadmap!$D:$K,MATCH($E165,Roadmap!$D:$D,0)-1+COUNTIF($E165:U165,"u")+COUNTIF($E165:U165,"t")+COUNTIF($E165:U165,"¶")+COUNTIF($E165:U165,"²")+COUNTIF($E165:U165,"µ")+COUNTIF($E165:U165,1),ColDescriptionCourte)),""),
  "")),"")</f>
        <v/>
      </c>
      <c r="W165" s="40" t="str">
        <f ca="1">IFERROR(IF(AND(
  INDEX(Roadmap!$D:$K,MATCH($E165,Roadmap!$D:$D,0)+COUNTIF($E165:V165,"u")+COUNTIF($E165:V165,"t")+COUNTIF($E165:V165,"¶")+COUNTIF($E165:V165,"²")+COUNTIF($E165:V165,"µ")+COUNTIF($E165:V165,1),ColLivraison)=W$6,
  VLOOKUP($E165,INDIRECT("tri!"&amp; CHAR(64+ C0Col) &amp;":"&amp; CHAR(65+C0Col)),2,FALSE)&gt;COUNTIF($E165:V165,"u")+COUNTIF($E165:V165,"t")+COUNTIF($E165:V165,"¶")+COUNTIF($E165:V165,"²")+COUNTIF($E165:V165,"µ")+COUNTIF($E165:V165,1)),
HYPERLINK("#Roadmap!C"&amp; MATCH($E165,Roadmap!$D:$D,0)+COUNTIF($E165:V165,"u")+COUNTIF($E165:V165,"t"),
     INDEX(Roadmap!$D:$K,MATCH($E165,Roadmap!$D:$D,0)+COUNTIF($E165:V165,"u")+COUNTIF($E165:V165,"t")+COUNTIF($E165:V165,"¶")+COUNTIF($E165:V165,"²")+COUNTIF($E165:V165,"µ")+COUNTIF($E165:V165,1),ColTypeEcheance)),
  IF(LEN(V165)=1,
  IF(LEN(INDEX(Roadmap!$D:$K,MATCH($E165,Roadmap!$D:$D,0)-1+COUNTIF($E165:V165,"u")+COUNTIF($E165:V165,"t")+COUNTIF($E165:V165,"¶")+COUNTIF($E165:V165,"²")+COUNTIF($E165:V165,"µ")+COUNTIF($E165:V165,1),ColDescriptionCourte))&gt;1,
HYPERLINK("#Roadmap!C"&amp; MATCH($E165,Roadmap!$D:$D,0)+COUNTIF($E165:V165,"u")+COUNTIF($E165:V165,"t")+COUNTIF($E165:V165,"¶")+COUNTIF($E165:V165,"²")+COUNTIF($E165:V165,"µ")+COUNTIF($E165:V165,1)-1,INDEX(Roadmap!$D:$K,MATCH($E165,Roadmap!$D:$D,0)-1+COUNTIF($E165:V165,"u")+COUNTIF($E165:V165,"t")+COUNTIF($E165:V165,"¶")+COUNTIF($E165:V165,"²")+COUNTIF($E165:V165,"µ")+COUNTIF($E165:V165,1),ColDescriptionCourte)),""),
  "")),"")</f>
        <v/>
      </c>
      <c r="X165" s="40" t="str">
        <f ca="1">IFERROR(IF(AND(
  INDEX(Roadmap!$D:$K,MATCH($E165,Roadmap!$D:$D,0)+COUNTIF($E165:W165,"u")+COUNTIF($E165:W165,"t")+COUNTIF($E165:W165,"¶")+COUNTIF($E165:W165,"²")+COUNTIF($E165:W165,"µ")+COUNTIF($E165:W165,1),ColLivraison)=X$6,
  VLOOKUP($E165,INDIRECT("tri!"&amp; CHAR(64+ C0Col) &amp;":"&amp; CHAR(65+C0Col)),2,FALSE)&gt;COUNTIF($E165:W165,"u")+COUNTIF($E165:W165,"t")+COUNTIF($E165:W165,"¶")+COUNTIF($E165:W165,"²")+COUNTIF($E165:W165,"µ")+COUNTIF($E165:W165,1)),
HYPERLINK("#Roadmap!C"&amp; MATCH($E165,Roadmap!$D:$D,0)+COUNTIF($E165:W165,"u")+COUNTIF($E165:W165,"t"),
     INDEX(Roadmap!$D:$K,MATCH($E165,Roadmap!$D:$D,0)+COUNTIF($E165:W165,"u")+COUNTIF($E165:W165,"t")+COUNTIF($E165:W165,"¶")+COUNTIF($E165:W165,"²")+COUNTIF($E165:W165,"µ")+COUNTIF($E165:W165,1),ColTypeEcheance)),
  IF(LEN(W165)=1,
  IF(LEN(INDEX(Roadmap!$D:$K,MATCH($E165,Roadmap!$D:$D,0)-1+COUNTIF($E165:W165,"u")+COUNTIF($E165:W165,"t")+COUNTIF($E165:W165,"¶")+COUNTIF($E165:W165,"²")+COUNTIF($E165:W165,"µ")+COUNTIF($E165:W165,1),ColDescriptionCourte))&gt;1,
HYPERLINK("#Roadmap!C"&amp; MATCH($E165,Roadmap!$D:$D,0)+COUNTIF($E165:W165,"u")+COUNTIF($E165:W165,"t")+COUNTIF($E165:W165,"¶")+COUNTIF($E165:W165,"²")+COUNTIF($E165:W165,"µ")+COUNTIF($E165:W165,1)-1,INDEX(Roadmap!$D:$K,MATCH($E165,Roadmap!$D:$D,0)-1+COUNTIF($E165:W165,"u")+COUNTIF($E165:W165,"t")+COUNTIF($E165:W165,"¶")+COUNTIF($E165:W165,"²")+COUNTIF($E165:W165,"µ")+COUNTIF($E165:W165,1),ColDescriptionCourte)),""),
  "")),"")</f>
        <v/>
      </c>
      <c r="Y165" s="40" t="str">
        <f ca="1">IFERROR(IF(AND(
  INDEX(Roadmap!$D:$K,MATCH($E165,Roadmap!$D:$D,0)+COUNTIF($E165:X165,"u")+COUNTIF($E165:X165,"t")+COUNTIF($E165:X165,"¶")+COUNTIF($E165:X165,"²")+COUNTIF($E165:X165,"µ")+COUNTIF($E165:X165,1),ColLivraison)=Y$6,
  VLOOKUP($E165,INDIRECT("tri!"&amp; CHAR(64+ C0Col) &amp;":"&amp; CHAR(65+C0Col)),2,FALSE)&gt;COUNTIF($E165:X165,"u")+COUNTIF($E165:X165,"t")+COUNTIF($E165:X165,"¶")+COUNTIF($E165:X165,"²")+COUNTIF($E165:X165,"µ")+COUNTIF($E165:X165,1)),
HYPERLINK("#Roadmap!C"&amp; MATCH($E165,Roadmap!$D:$D,0)+COUNTIF($E165:X165,"u")+COUNTIF($E165:X165,"t"),
     INDEX(Roadmap!$D:$K,MATCH($E165,Roadmap!$D:$D,0)+COUNTIF($E165:X165,"u")+COUNTIF($E165:X165,"t")+COUNTIF($E165:X165,"¶")+COUNTIF($E165:X165,"²")+COUNTIF($E165:X165,"µ")+COUNTIF($E165:X165,1),ColTypeEcheance)),
  IF(LEN(X165)=1,
  IF(LEN(INDEX(Roadmap!$D:$K,MATCH($E165,Roadmap!$D:$D,0)-1+COUNTIF($E165:X165,"u")+COUNTIF($E165:X165,"t")+COUNTIF($E165:X165,"¶")+COUNTIF($E165:X165,"²")+COUNTIF($E165:X165,"µ")+COUNTIF($E165:X165,1),ColDescriptionCourte))&gt;1,
HYPERLINK("#Roadmap!C"&amp; MATCH($E165,Roadmap!$D:$D,0)+COUNTIF($E165:X165,"u")+COUNTIF($E165:X165,"t")+COUNTIF($E165:X165,"¶")+COUNTIF($E165:X165,"²")+COUNTIF($E165:X165,"µ")+COUNTIF($E165:X165,1)-1,INDEX(Roadmap!$D:$K,MATCH($E165,Roadmap!$D:$D,0)-1+COUNTIF($E165:X165,"u")+COUNTIF($E165:X165,"t")+COUNTIF($E165:X165,"¶")+COUNTIF($E165:X165,"²")+COUNTIF($E165:X165,"µ")+COUNTIF($E165:X165,1),ColDescriptionCourte)),""),
  "")),"")</f>
        <v/>
      </c>
      <c r="Z165" s="40" t="str">
        <f ca="1">IFERROR(IF(AND(
  INDEX(Roadmap!$D:$K,MATCH($E165,Roadmap!$D:$D,0)+COUNTIF($E165:Y165,"u")+COUNTIF($E165:Y165,"t")+COUNTIF($E165:Y165,"¶")+COUNTIF($E165:Y165,"²")+COUNTIF($E165:Y165,"µ")+COUNTIF($E165:Y165,1),ColLivraison)=Z$6,
  VLOOKUP($E165,INDIRECT("tri!"&amp; CHAR(64+ C0Col) &amp;":"&amp; CHAR(65+C0Col)),2,FALSE)&gt;COUNTIF($E165:Y165,"u")+COUNTIF($E165:Y165,"t")+COUNTIF($E165:Y165,"¶")+COUNTIF($E165:Y165,"²")+COUNTIF($E165:Y165,"µ")+COUNTIF($E165:Y165,1)),
HYPERLINK("#Roadmap!C"&amp; MATCH($E165,Roadmap!$D:$D,0)+COUNTIF($E165:Y165,"u")+COUNTIF($E165:Y165,"t"),
     INDEX(Roadmap!$D:$K,MATCH($E165,Roadmap!$D:$D,0)+COUNTIF($E165:Y165,"u")+COUNTIF($E165:Y165,"t")+COUNTIF($E165:Y165,"¶")+COUNTIF($E165:Y165,"²")+COUNTIF($E165:Y165,"µ")+COUNTIF($E165:Y165,1),ColTypeEcheance)),
  IF(LEN(Y165)=1,
  IF(LEN(INDEX(Roadmap!$D:$K,MATCH($E165,Roadmap!$D:$D,0)-1+COUNTIF($E165:Y165,"u")+COUNTIF($E165:Y165,"t")+COUNTIF($E165:Y165,"¶")+COUNTIF($E165:Y165,"²")+COUNTIF($E165:Y165,"µ")+COUNTIF($E165:Y165,1),ColDescriptionCourte))&gt;1,
HYPERLINK("#Roadmap!C"&amp; MATCH($E165,Roadmap!$D:$D,0)+COUNTIF($E165:Y165,"u")+COUNTIF($E165:Y165,"t")+COUNTIF($E165:Y165,"¶")+COUNTIF($E165:Y165,"²")+COUNTIF($E165:Y165,"µ")+COUNTIF($E165:Y165,1)-1,INDEX(Roadmap!$D:$K,MATCH($E165,Roadmap!$D:$D,0)-1+COUNTIF($E165:Y165,"u")+COUNTIF($E165:Y165,"t")+COUNTIF($E165:Y165,"¶")+COUNTIF($E165:Y165,"²")+COUNTIF($E165:Y165,"µ")+COUNTIF($E165:Y165,1),ColDescriptionCourte)),""),
  "")),"")</f>
        <v/>
      </c>
      <c r="AA165" s="40" t="str">
        <f ca="1">IFERROR(IF(AND(
  INDEX(Roadmap!$D:$K,MATCH($E165,Roadmap!$D:$D,0)+COUNTIF($E165:Z165,"u")+COUNTIF($E165:Z165,"t")+COUNTIF($E165:Z165,"¶")+COUNTIF($E165:Z165,"²")+COUNTIF($E165:Z165,"µ")+COUNTIF($E165:Z165,1),ColLivraison)=AA$6,
  VLOOKUP($E165,INDIRECT("tri!"&amp; CHAR(64+ C0Col) &amp;":"&amp; CHAR(65+C0Col)),2,FALSE)&gt;COUNTIF($E165:Z165,"u")+COUNTIF($E165:Z165,"t")+COUNTIF($E165:Z165,"¶")+COUNTIF($E165:Z165,"²")+COUNTIF($E165:Z165,"µ")+COUNTIF($E165:Z165,1)),
HYPERLINK("#Roadmap!C"&amp; MATCH($E165,Roadmap!$D:$D,0)+COUNTIF($E165:Z165,"u")+COUNTIF($E165:Z165,"t"),
     INDEX(Roadmap!$D:$K,MATCH($E165,Roadmap!$D:$D,0)+COUNTIF($E165:Z165,"u")+COUNTIF($E165:Z165,"t")+COUNTIF($E165:Z165,"¶")+COUNTIF($E165:Z165,"²")+COUNTIF($E165:Z165,"µ")+COUNTIF($E165:Z165,1),ColTypeEcheance)),
  IF(LEN(Z165)=1,
  IF(LEN(INDEX(Roadmap!$D:$K,MATCH($E165,Roadmap!$D:$D,0)-1+COUNTIF($E165:Z165,"u")+COUNTIF($E165:Z165,"t")+COUNTIF($E165:Z165,"¶")+COUNTIF($E165:Z165,"²")+COUNTIF($E165:Z165,"µ")+COUNTIF($E165:Z165,1),ColDescriptionCourte))&gt;1,
HYPERLINK("#Roadmap!C"&amp; MATCH($E165,Roadmap!$D:$D,0)+COUNTIF($E165:Z165,"u")+COUNTIF($E165:Z165,"t")+COUNTIF($E165:Z165,"¶")+COUNTIF($E165:Z165,"²")+COUNTIF($E165:Z165,"µ")+COUNTIF($E165:Z165,1)-1,INDEX(Roadmap!$D:$K,MATCH($E165,Roadmap!$D:$D,0)-1+COUNTIF($E165:Z165,"u")+COUNTIF($E165:Z165,"t")+COUNTIF($E165:Z165,"¶")+COUNTIF($E165:Z165,"²")+COUNTIF($E165:Z165,"µ")+COUNTIF($E165:Z165,1),ColDescriptionCourte)),""),
  "")),"")</f>
        <v/>
      </c>
      <c r="AB165" s="40" t="str">
        <f ca="1">IFERROR(IF(AND(
  INDEX(Roadmap!$D:$K,MATCH($E165,Roadmap!$D:$D,0)+COUNTIF($E165:AA165,"u")+COUNTIF($E165:AA165,"t")+COUNTIF($E165:AA165,"¶")+COUNTIF($E165:AA165,"²")+COUNTIF($E165:AA165,"µ")+COUNTIF($E165:AA165,1),ColLivraison)=AB$6,
  VLOOKUP($E165,INDIRECT("tri!"&amp; CHAR(64+ C0Col) &amp;":"&amp; CHAR(65+C0Col)),2,FALSE)&gt;COUNTIF($E165:AA165,"u")+COUNTIF($E165:AA165,"t")+COUNTIF($E165:AA165,"¶")+COUNTIF($E165:AA165,"²")+COUNTIF($E165:AA165,"µ")+COUNTIF($E165:AA165,1)),
HYPERLINK("#Roadmap!C"&amp; MATCH($E165,Roadmap!$D:$D,0)+COUNTIF($E165:AA165,"u")+COUNTIF($E165:AA165,"t"),
     INDEX(Roadmap!$D:$K,MATCH($E165,Roadmap!$D:$D,0)+COUNTIF($E165:AA165,"u")+COUNTIF($E165:AA165,"t")+COUNTIF($E165:AA165,"¶")+COUNTIF($E165:AA165,"²")+COUNTIF($E165:AA165,"µ")+COUNTIF($E165:AA165,1),ColTypeEcheance)),
  IF(LEN(AA165)=1,
  IF(LEN(INDEX(Roadmap!$D:$K,MATCH($E165,Roadmap!$D:$D,0)-1+COUNTIF($E165:AA165,"u")+COUNTIF($E165:AA165,"t")+COUNTIF($E165:AA165,"¶")+COUNTIF($E165:AA165,"²")+COUNTIF($E165:AA165,"µ")+COUNTIF($E165:AA165,1),ColDescriptionCourte))&gt;1,
HYPERLINK("#Roadmap!C"&amp; MATCH($E165,Roadmap!$D:$D,0)+COUNTIF($E165:AA165,"u")+COUNTIF($E165:AA165,"t")+COUNTIF($E165:AA165,"¶")+COUNTIF($E165:AA165,"²")+COUNTIF($E165:AA165,"µ")+COUNTIF($E165:AA165,1)-1,INDEX(Roadmap!$D:$K,MATCH($E165,Roadmap!$D:$D,0)-1+COUNTIF($E165:AA165,"u")+COUNTIF($E165:AA165,"t")+COUNTIF($E165:AA165,"¶")+COUNTIF($E165:AA165,"²")+COUNTIF($E165:AA165,"µ")+COUNTIF($E165:AA165,1),ColDescriptionCourte)),""),
  "")),"")</f>
        <v/>
      </c>
      <c r="AC165" s="40" t="str">
        <f ca="1">IFERROR(IF(AND(
  INDEX(Roadmap!$D:$K,MATCH($E165,Roadmap!$D:$D,0)+COUNTIF($E165:AB165,"u")+COUNTIF($E165:AB165,"t")+COUNTIF($E165:AB165,"¶")+COUNTIF($E165:AB165,"²")+COUNTIF($E165:AB165,"µ")+COUNTIF($E165:AB165,1),ColLivraison)=AC$6,
  VLOOKUP($E165,INDIRECT("tri!"&amp; CHAR(64+ C0Col) &amp;":"&amp; CHAR(65+C0Col)),2,FALSE)&gt;COUNTIF($E165:AB165,"u")+COUNTIF($E165:AB165,"t")+COUNTIF($E165:AB165,"¶")+COUNTIF($E165:AB165,"²")+COUNTIF($E165:AB165,"µ")+COUNTIF($E165:AB165,1)),
HYPERLINK("#Roadmap!C"&amp; MATCH($E165,Roadmap!$D:$D,0)+COUNTIF($E165:AB165,"u")+COUNTIF($E165:AB165,"t"),
     INDEX(Roadmap!$D:$K,MATCH($E165,Roadmap!$D:$D,0)+COUNTIF($E165:AB165,"u")+COUNTIF($E165:AB165,"t")+COUNTIF($E165:AB165,"¶")+COUNTIF($E165:AB165,"²")+COUNTIF($E165:AB165,"µ")+COUNTIF($E165:AB165,1),ColTypeEcheance)),
  IF(LEN(AB165)=1,
  IF(LEN(INDEX(Roadmap!$D:$K,MATCH($E165,Roadmap!$D:$D,0)-1+COUNTIF($E165:AB165,"u")+COUNTIF($E165:AB165,"t")+COUNTIF($E165:AB165,"¶")+COUNTIF($E165:AB165,"²")+COUNTIF($E165:AB165,"µ")+COUNTIF($E165:AB165,1),ColDescriptionCourte))&gt;1,
HYPERLINK("#Roadmap!C"&amp; MATCH($E165,Roadmap!$D:$D,0)+COUNTIF($E165:AB165,"u")+COUNTIF($E165:AB165,"t")+COUNTIF($E165:AB165,"¶")+COUNTIF($E165:AB165,"²")+COUNTIF($E165:AB165,"µ")+COUNTIF($E165:AB165,1)-1,INDEX(Roadmap!$D:$K,MATCH($E165,Roadmap!$D:$D,0)-1+COUNTIF($E165:AB165,"u")+COUNTIF($E165:AB165,"t")+COUNTIF($E165:AB165,"¶")+COUNTIF($E165:AB165,"²")+COUNTIF($E165:AB165,"µ")+COUNTIF($E165:AB165,1),ColDescriptionCourte)),""),
  "")),"")</f>
        <v/>
      </c>
      <c r="AD165" s="40" t="str">
        <f ca="1">IFERROR(IF(AND(
  INDEX(Roadmap!$D:$K,MATCH($E165,Roadmap!$D:$D,0)+COUNTIF($E165:AC165,"u")+COUNTIF($E165:AC165,"t")+COUNTIF($E165:AC165,"¶")+COUNTIF($E165:AC165,"²")+COUNTIF($E165:AC165,"µ")+COUNTIF($E165:AC165,1),ColLivraison)=AD$6,
  VLOOKUP($E165,INDIRECT("tri!"&amp; CHAR(64+ C0Col) &amp;":"&amp; CHAR(65+C0Col)),2,FALSE)&gt;COUNTIF($E165:AC165,"u")+COUNTIF($E165:AC165,"t")+COUNTIF($E165:AC165,"¶")+COUNTIF($E165:AC165,"²")+COUNTIF($E165:AC165,"µ")+COUNTIF($E165:AC165,1)),
HYPERLINK("#Roadmap!C"&amp; MATCH($E165,Roadmap!$D:$D,0)+COUNTIF($E165:AC165,"u")+COUNTIF($E165:AC165,"t"),
     INDEX(Roadmap!$D:$K,MATCH($E165,Roadmap!$D:$D,0)+COUNTIF($E165:AC165,"u")+COUNTIF($E165:AC165,"t")+COUNTIF($E165:AC165,"¶")+COUNTIF($E165:AC165,"²")+COUNTIF($E165:AC165,"µ")+COUNTIF($E165:AC165,1),ColTypeEcheance)),
  IF(LEN(AC165)=1,
  IF(LEN(INDEX(Roadmap!$D:$K,MATCH($E165,Roadmap!$D:$D,0)-1+COUNTIF($E165:AC165,"u")+COUNTIF($E165:AC165,"t")+COUNTIF($E165:AC165,"¶")+COUNTIF($E165:AC165,"²")+COUNTIF($E165:AC165,"µ")+COUNTIF($E165:AC165,1),ColDescriptionCourte))&gt;1,
HYPERLINK("#Roadmap!C"&amp; MATCH($E165,Roadmap!$D:$D,0)+COUNTIF($E165:AC165,"u")+COUNTIF($E165:AC165,"t")+COUNTIF($E165:AC165,"¶")+COUNTIF($E165:AC165,"²")+COUNTIF($E165:AC165,"µ")+COUNTIF($E165:AC165,1)-1,INDEX(Roadmap!$D:$K,MATCH($E165,Roadmap!$D:$D,0)-1+COUNTIF($E165:AC165,"u")+COUNTIF($E165:AC165,"t")+COUNTIF($E165:AC165,"¶")+COUNTIF($E165:AC165,"²")+COUNTIF($E165:AC165,"µ")+COUNTIF($E165:AC165,1),ColDescriptionCourte)),""),
  "")),"")</f>
        <v/>
      </c>
      <c r="AE165" s="40" t="str">
        <f ca="1">IFERROR(IF(AND(
  INDEX(Roadmap!$D:$K,MATCH($E165,Roadmap!$D:$D,0)+COUNTIF($E165:AD165,"u")+COUNTIF($E165:AD165,"t")+COUNTIF($E165:AD165,"¶")+COUNTIF($E165:AD165,"²")+COUNTIF($E165:AD165,"µ")+COUNTIF($E165:AD165,1),ColLivraison)=AE$6,
  VLOOKUP($E165,INDIRECT("tri!"&amp; CHAR(64+ C0Col) &amp;":"&amp; CHAR(65+C0Col)),2,FALSE)&gt;COUNTIF($E165:AD165,"u")+COUNTIF($E165:AD165,"t")+COUNTIF($E165:AD165,"¶")+COUNTIF($E165:AD165,"²")+COUNTIF($E165:AD165,"µ")+COUNTIF($E165:AD165,1)),
HYPERLINK("#Roadmap!C"&amp; MATCH($E165,Roadmap!$D:$D,0)+COUNTIF($E165:AD165,"u")+COUNTIF($E165:AD165,"t"),
     INDEX(Roadmap!$D:$K,MATCH($E165,Roadmap!$D:$D,0)+COUNTIF($E165:AD165,"u")+COUNTIF($E165:AD165,"t")+COUNTIF($E165:AD165,"¶")+COUNTIF($E165:AD165,"²")+COUNTIF($E165:AD165,"µ")+COUNTIF($E165:AD165,1),ColTypeEcheance)),
  IF(LEN(AD165)=1,
  IF(LEN(INDEX(Roadmap!$D:$K,MATCH($E165,Roadmap!$D:$D,0)-1+COUNTIF($E165:AD165,"u")+COUNTIF($E165:AD165,"t")+COUNTIF($E165:AD165,"¶")+COUNTIF($E165:AD165,"²")+COUNTIF($E165:AD165,"µ")+COUNTIF($E165:AD165,1),ColDescriptionCourte))&gt;1,
HYPERLINK("#Roadmap!C"&amp; MATCH($E165,Roadmap!$D:$D,0)+COUNTIF($E165:AD165,"u")+COUNTIF($E165:AD165,"t")+COUNTIF($E165:AD165,"¶")+COUNTIF($E165:AD165,"²")+COUNTIF($E165:AD165,"µ")+COUNTIF($E165:AD165,1)-1,INDEX(Roadmap!$D:$K,MATCH($E165,Roadmap!$D:$D,0)-1+COUNTIF($E165:AD165,"u")+COUNTIF($E165:AD165,"t")+COUNTIF($E165:AD165,"¶")+COUNTIF($E165:AD165,"²")+COUNTIF($E165:AD165,"µ")+COUNTIF($E165:AD165,1),ColDescriptionCourte)),""),
  "")),"")</f>
        <v/>
      </c>
      <c r="AF165" s="40" t="str">
        <f ca="1">IFERROR(IF(AND(
  INDEX(Roadmap!$D:$K,MATCH($E165,Roadmap!$D:$D,0)+COUNTIF($E165:AE165,"u")+COUNTIF($E165:AE165,"t")+COUNTIF($E165:AE165,"¶")+COUNTIF($E165:AE165,"²")+COUNTIF($E165:AE165,"µ")+COUNTIF($E165:AE165,1),ColLivraison)=AF$6,
  VLOOKUP($E165,INDIRECT("tri!"&amp; CHAR(64+ C0Col) &amp;":"&amp; CHAR(65+C0Col)),2,FALSE)&gt;COUNTIF($E165:AE165,"u")+COUNTIF($E165:AE165,"t")+COUNTIF($E165:AE165,"¶")+COUNTIF($E165:AE165,"²")+COUNTIF($E165:AE165,"µ")+COUNTIF($E165:AE165,1)),
HYPERLINK("#Roadmap!C"&amp; MATCH($E165,Roadmap!$D:$D,0)+COUNTIF($E165:AE165,"u")+COUNTIF($E165:AE165,"t"),
     INDEX(Roadmap!$D:$K,MATCH($E165,Roadmap!$D:$D,0)+COUNTIF($E165:AE165,"u")+COUNTIF($E165:AE165,"t")+COUNTIF($E165:AE165,"¶")+COUNTIF($E165:AE165,"²")+COUNTIF($E165:AE165,"µ")+COUNTIF($E165:AE165,1),ColTypeEcheance)),
  IF(LEN(AE165)=1,
  IF(LEN(INDEX(Roadmap!$D:$K,MATCH($E165,Roadmap!$D:$D,0)-1+COUNTIF($E165:AE165,"u")+COUNTIF($E165:AE165,"t")+COUNTIF($E165:AE165,"¶")+COUNTIF($E165:AE165,"²")+COUNTIF($E165:AE165,"µ")+COUNTIF($E165:AE165,1),ColDescriptionCourte))&gt;1,
HYPERLINK("#Roadmap!C"&amp; MATCH($E165,Roadmap!$D:$D,0)+COUNTIF($E165:AE165,"u")+COUNTIF($E165:AE165,"t")+COUNTIF($E165:AE165,"¶")+COUNTIF($E165:AE165,"²")+COUNTIF($E165:AE165,"µ")+COUNTIF($E165:AE165,1)-1,INDEX(Roadmap!$D:$K,MATCH($E165,Roadmap!$D:$D,0)-1+COUNTIF($E165:AE165,"u")+COUNTIF($E165:AE165,"t")+COUNTIF($E165:AE165,"¶")+COUNTIF($E165:AE165,"²")+COUNTIF($E165:AE165,"µ")+COUNTIF($E165:AE165,1),ColDescriptionCourte)),""),
  "")),"")</f>
        <v/>
      </c>
      <c r="AG165" s="40" t="str">
        <f ca="1">IFERROR(IF(AND(
  INDEX(Roadmap!$D:$K,MATCH($E165,Roadmap!$D:$D,0)+COUNTIF($E165:AF165,"u")+COUNTIF($E165:AF165,"t")+COUNTIF($E165:AF165,"¶")+COUNTIF($E165:AF165,"²")+COUNTIF($E165:AF165,"µ")+COUNTIF($E165:AF165,1),ColLivraison)=AG$6,
  VLOOKUP($E165,INDIRECT("tri!"&amp; CHAR(64+ C0Col) &amp;":"&amp; CHAR(65+C0Col)),2,FALSE)&gt;COUNTIF($E165:AF165,"u")+COUNTIF($E165:AF165,"t")+COUNTIF($E165:AF165,"¶")+COUNTIF($E165:AF165,"²")+COUNTIF($E165:AF165,"µ")+COUNTIF($E165:AF165,1)),
HYPERLINK("#Roadmap!C"&amp; MATCH($E165,Roadmap!$D:$D,0)+COUNTIF($E165:AF165,"u")+COUNTIF($E165:AF165,"t"),
     INDEX(Roadmap!$D:$K,MATCH($E165,Roadmap!$D:$D,0)+COUNTIF($E165:AF165,"u")+COUNTIF($E165:AF165,"t")+COUNTIF($E165:AF165,"¶")+COUNTIF($E165:AF165,"²")+COUNTIF($E165:AF165,"µ")+COUNTIF($E165:AF165,1),ColTypeEcheance)),
  IF(LEN(AF165)=1,
  IF(LEN(INDEX(Roadmap!$D:$K,MATCH($E165,Roadmap!$D:$D,0)-1+COUNTIF($E165:AF165,"u")+COUNTIF($E165:AF165,"t")+COUNTIF($E165:AF165,"¶")+COUNTIF($E165:AF165,"²")+COUNTIF($E165:AF165,"µ")+COUNTIF($E165:AF165,1),ColDescriptionCourte))&gt;1,
HYPERLINK("#Roadmap!C"&amp; MATCH($E165,Roadmap!$D:$D,0)+COUNTIF($E165:AF165,"u")+COUNTIF($E165:AF165,"t")+COUNTIF($E165:AF165,"¶")+COUNTIF($E165:AF165,"²")+COUNTIF($E165:AF165,"µ")+COUNTIF($E165:AF165,1)-1,INDEX(Roadmap!$D:$K,MATCH($E165,Roadmap!$D:$D,0)-1+COUNTIF($E165:AF165,"u")+COUNTIF($E165:AF165,"t")+COUNTIF($E165:AF165,"¶")+COUNTIF($E165:AF165,"²")+COUNTIF($E165:AF165,"µ")+COUNTIF($E165:AF165,1),ColDescriptionCourte)),""),
  "")),"")</f>
        <v/>
      </c>
      <c r="AH165" s="40" t="str">
        <f ca="1">IFERROR(IF(AND(
  INDEX(Roadmap!$D:$K,MATCH($E165,Roadmap!$D:$D,0)+COUNTIF($E165:AG165,"u")+COUNTIF($E165:AG165,"t")+COUNTIF($E165:AG165,1),ColLivraison)=AH$6,
  VLOOKUP($E165,INDIRECT("tri!"&amp; CHAR(64+ C0Col) &amp;":"&amp; CHAR(65+C0Col)),2,FALSE)&gt;COUNTIF($E165:AG165,"u")+COUNTIF($E165:AG165,"t")+COUNTIF($E165:AG165,1)),
HYPERLINK("#Roadmap!C"&amp; MATCH($E165,Roadmap!$D:$D,0)+COUNTIF($E165:AG165,"u")+COUNTIF($E165:AG165,"t"),
     INDEX(Roadmap!$D:$K,MATCH($E165,Roadmap!$D:$D,0)+COUNTIF($E165:AG165,"u")+COUNTIF($E165:AG165,"t")+COUNTIF($E165:AG165,1),ColTypeEcheance)),
  IF(OR(AG165="u",AG165="t",AG165=1),
  IF(LEN(INDEX(Roadmap!$D:$K,MATCH($E165,Roadmap!$D:$D,0)-1+COUNTIF($E165:AG165,"u")+COUNTIF($E165:AG165,"t")+COUNTIF($E165:AG165,1),ColDescriptionCourte))&gt;1,
HYPERLINK("#Roadmap!C"&amp; MATCH($E165,Roadmap!$D:$D,0)+COUNTIF($E165:AG165,"u")+COUNTIF($E165:AG165,"t")+COUNTIF($E165:AG165,1)-1,INDEX(Roadmap!$D:$K,MATCH($E165,Roadmap!$D:$D,0)-1+COUNTIF($E165:AG165,"u")+COUNTIF($E165:AG165,"t")+COUNTIF($E165:AG165,1),ColDescriptionCourte)),""),
  "")),"")</f>
        <v/>
      </c>
      <c r="AI165" s="40"/>
      <c r="AJ165" s="40"/>
      <c r="AK165" s="40"/>
      <c r="AL165" s="40"/>
      <c r="AM165" s="40"/>
    </row>
    <row r="166" spans="4:39" ht="14.1" customHeight="1">
      <c r="D166" s="20" t="str">
        <f t="shared" ca="1" si="31"/>
        <v/>
      </c>
      <c r="E166" s="53" t="str">
        <f t="shared" ca="1" si="32"/>
        <v/>
      </c>
      <c r="F166" s="39" t="str">
        <f ca="1">IFERROR(IF(AND(
  INDEX(Roadmap!$D:$K,MATCH($E166,Roadmap!$D:$D,0)+COUNTIF($E166:E166,"u")+COUNTIF($E166:E166,"t")+COUNTIF($E166:E166,"¶")+COUNTIF($E166:E166,"²")+COUNTIF($E166:E166,"µ")+COUNTIF($E166:E166,1),ColLivraison)=F$6,
  VLOOKUP($E166,INDIRECT("tri!"&amp; CHAR(64+ C0Col) &amp;":"&amp; CHAR(65+C0Col)),2,FALSE)&gt;COUNTIF($E166:E166,"u")+COUNTIF($E166:E166,"t")+COUNTIF($E166:E166,"¶")+COUNTIF($E166:E166,"²")+COUNTIF($E166:E166,"µ")+COUNTIF($E166:E166,1)),
HYPERLINK("#Roadmap!C"&amp; MATCH($E166,Roadmap!$D:$D,0)+COUNTIF($E166:E166,"u")+COUNTIF($E166:E166,"t"),
     INDEX(Roadmap!$D:$K,MATCH($E166,Roadmap!$D:$D,0)+COUNTIF($E166:E166,"u")+COUNTIF($E166:E166,"t")+COUNTIF($E166:E166,"¶")+COUNTIF($E166:E166,"²")+COUNTIF($E166:E166,"µ")+COUNTIF($E166:E166,1),ColTypeEcheance)),
  IF(LEN(E166)=1,
  IF(LEN(INDEX(Roadmap!$D:$K,MATCH($E166,Roadmap!$D:$D,0)-1+COUNTIF($E166:E166,"u")+COUNTIF($E166:E166,"t")+COUNTIF($E166:E166,"¶")+COUNTIF($E166:E166,"²")+COUNTIF($E166:E166,"µ")+COUNTIF($E166:E166,1),ColDescriptionCourte))&gt;1,
HYPERLINK("#Roadmap!C"&amp; MATCH($E166,Roadmap!$D:$D,0)+COUNTIF($E166:E166,"u")+COUNTIF($E166:E166,"t")+COUNTIF($E166:E166,"¶")+COUNTIF($E166:E166,"²")+COUNTIF($E166:E166,"µ")+COUNTIF($E166:E166,1)-1,INDEX(Roadmap!$D:$K,MATCH($E166,Roadmap!$D:$D,0)-1+COUNTIF($E166:E166,"u")+COUNTIF($E166:E166,"t")+COUNTIF($E166:E166,"¶")+COUNTIF($E166:E166,"²")+COUNTIF($E166:E166,"µ")+COUNTIF($E166:E166,1),ColDescriptionCourte)),""),
  "")),"")</f>
        <v/>
      </c>
      <c r="G166" s="40" t="str">
        <f ca="1">IFERROR(IF(AND(
  INDEX(Roadmap!$D:$K,MATCH($E166,Roadmap!$D:$D,0)+COUNTIF($E166:F166,"u")+COUNTIF($E166:F166,"t")+COUNTIF($E166:F166,"¶")+COUNTIF($E166:F166,"²")+COUNTIF($E166:F166,"µ")+COUNTIF($E166:F166,1),ColLivraison)=G$6,
  VLOOKUP($E166,INDIRECT("tri!"&amp; CHAR(64+ C0Col) &amp;":"&amp; CHAR(65+C0Col)),2,FALSE)&gt;COUNTIF($E166:F166,"u")+COUNTIF($E166:F166,"t")+COUNTIF($E166:F166,"¶")+COUNTIF($E166:F166,"²")+COUNTIF($E166:F166,"µ")+COUNTIF($E166:F166,1)),
HYPERLINK("#Roadmap!C"&amp; MATCH($E166,Roadmap!$D:$D,0)+COUNTIF($E166:F166,"u")+COUNTIF($E166:F166,"t"),
     INDEX(Roadmap!$D:$K,MATCH($E166,Roadmap!$D:$D,0)+COUNTIF($E166:F166,"u")+COUNTIF($E166:F166,"t")+COUNTIF($E166:F166,"¶")+COUNTIF($E166:F166,"²")+COUNTIF($E166:F166,"µ")+COUNTIF($E166:F166,1),ColTypeEcheance)),
  IF(LEN(F166)=1,
  IF(LEN(INDEX(Roadmap!$D:$K,MATCH($E166,Roadmap!$D:$D,0)-1+COUNTIF($E166:F166,"u")+COUNTIF($E166:F166,"t")+COUNTIF($E166:F166,"¶")+COUNTIF($E166:F166,"²")+COUNTIF($E166:F166,"µ")+COUNTIF($E166:F166,1),ColDescriptionCourte))&gt;1,
HYPERLINK("#Roadmap!C"&amp; MATCH($E166,Roadmap!$D:$D,0)+COUNTIF($E166:F166,"u")+COUNTIF($E166:F166,"t")+COUNTIF($E166:F166,"¶")+COUNTIF($E166:F166,"²")+COUNTIF($E166:F166,"µ")+COUNTIF($E166:F166,1)-1,INDEX(Roadmap!$D:$K,MATCH($E166,Roadmap!$D:$D,0)-1+COUNTIF($E166:F166,"u")+COUNTIF($E166:F166,"t")+COUNTIF($E166:F166,"¶")+COUNTIF($E166:F166,"²")+COUNTIF($E166:F166,"µ")+COUNTIF($E166:F166,1),ColDescriptionCourte)),""),
  "")),"")</f>
        <v/>
      </c>
      <c r="H166" s="40" t="str">
        <f ca="1">IFERROR(IF(AND(
  INDEX(Roadmap!$D:$K,MATCH($E166,Roadmap!$D:$D,0)+COUNTIF($E166:G166,"u")+COUNTIF($E166:G166,"t")+COUNTIF($E166:G166,"¶")+COUNTIF($E166:G166,"²")+COUNTIF($E166:G166,"µ")+COUNTIF($E166:G166,1),ColLivraison)=H$6,
  VLOOKUP($E166,INDIRECT("tri!"&amp; CHAR(64+ C0Col) &amp;":"&amp; CHAR(65+C0Col)),2,FALSE)&gt;COUNTIF($E166:G166,"u")+COUNTIF($E166:G166,"t")+COUNTIF($E166:G166,"¶")+COUNTIF($E166:G166,"²")+COUNTIF($E166:G166,"µ")+COUNTIF($E166:G166,1)),
HYPERLINK("#Roadmap!C"&amp; MATCH($E166,Roadmap!$D:$D,0)+COUNTIF($E166:G166,"u")+COUNTIF($E166:G166,"t"),
     INDEX(Roadmap!$D:$K,MATCH($E166,Roadmap!$D:$D,0)+COUNTIF($E166:G166,"u")+COUNTIF($E166:G166,"t")+COUNTIF($E166:G166,"¶")+COUNTIF($E166:G166,"²")+COUNTIF($E166:G166,"µ")+COUNTIF($E166:G166,1),ColTypeEcheance)),
  IF(LEN(G166)=1,
  IF(LEN(INDEX(Roadmap!$D:$K,MATCH($E166,Roadmap!$D:$D,0)-1+COUNTIF($E166:G166,"u")+COUNTIF($E166:G166,"t")+COUNTIF($E166:G166,"¶")+COUNTIF($E166:G166,"²")+COUNTIF($E166:G166,"µ")+COUNTIF($E166:G166,1),ColDescriptionCourte))&gt;1,
HYPERLINK("#Roadmap!C"&amp; MATCH($E166,Roadmap!$D:$D,0)+COUNTIF($E166:G166,"u")+COUNTIF($E166:G166,"t")+COUNTIF($E166:G166,"¶")+COUNTIF($E166:G166,"²")+COUNTIF($E166:G166,"µ")+COUNTIF($E166:G166,1)-1,INDEX(Roadmap!$D:$K,MATCH($E166,Roadmap!$D:$D,0)-1+COUNTIF($E166:G166,"u")+COUNTIF($E166:G166,"t")+COUNTIF($E166:G166,"¶")+COUNTIF($E166:G166,"²")+COUNTIF($E166:G166,"µ")+COUNTIF($E166:G166,1),ColDescriptionCourte)),""),
  "")),"")</f>
        <v/>
      </c>
      <c r="I166" s="40" t="str">
        <f ca="1">IFERROR(IF(AND(
  INDEX(Roadmap!$D:$K,MATCH($E166,Roadmap!$D:$D,0)+COUNTIF($E166:H166,"u")+COUNTIF($E166:H166,"t")+COUNTIF($E166:H166,"¶")+COUNTIF($E166:H166,"²")+COUNTIF($E166:H166,"µ")+COUNTIF($E166:H166,1),ColLivraison)=I$6,
  VLOOKUP($E166,INDIRECT("tri!"&amp; CHAR(64+ C0Col) &amp;":"&amp; CHAR(65+C0Col)),2,FALSE)&gt;COUNTIF($E166:H166,"u")+COUNTIF($E166:H166,"t")+COUNTIF($E166:H166,"¶")+COUNTIF($E166:H166,"²")+COUNTIF($E166:H166,"µ")+COUNTIF($E166:H166,1)),
HYPERLINK("#Roadmap!C"&amp; MATCH($E166,Roadmap!$D:$D,0)+COUNTIF($E166:H166,"u")+COUNTIF($E166:H166,"t"),
     INDEX(Roadmap!$D:$K,MATCH($E166,Roadmap!$D:$D,0)+COUNTIF($E166:H166,"u")+COUNTIF($E166:H166,"t")+COUNTIF($E166:H166,"¶")+COUNTIF($E166:H166,"²")+COUNTIF($E166:H166,"µ")+COUNTIF($E166:H166,1),ColTypeEcheance)),
  IF(LEN(H166)=1,
  IF(LEN(INDEX(Roadmap!$D:$K,MATCH($E166,Roadmap!$D:$D,0)-1+COUNTIF($E166:H166,"u")+COUNTIF($E166:H166,"t")+COUNTIF($E166:H166,"¶")+COUNTIF($E166:H166,"²")+COUNTIF($E166:H166,"µ")+COUNTIF($E166:H166,1),ColDescriptionCourte))&gt;1,
HYPERLINK("#Roadmap!C"&amp; MATCH($E166,Roadmap!$D:$D,0)+COUNTIF($E166:H166,"u")+COUNTIF($E166:H166,"t")+COUNTIF($E166:H166,"¶")+COUNTIF($E166:H166,"²")+COUNTIF($E166:H166,"µ")+COUNTIF($E166:H166,1)-1,INDEX(Roadmap!$D:$K,MATCH($E166,Roadmap!$D:$D,0)-1+COUNTIF($E166:H166,"u")+COUNTIF($E166:H166,"t")+COUNTIF($E166:H166,"¶")+COUNTIF($E166:H166,"²")+COUNTIF($E166:H166,"µ")+COUNTIF($E166:H166,1),ColDescriptionCourte)),""),
  "")),"")</f>
        <v/>
      </c>
      <c r="J166" s="40" t="str">
        <f ca="1">IFERROR(IF(AND(
  INDEX(Roadmap!$D:$K,MATCH($E166,Roadmap!$D:$D,0)+COUNTIF($E166:I166,"u")+COUNTIF($E166:I166,"t")+COUNTIF($E166:I166,"¶")+COUNTIF($E166:I166,"²")+COUNTIF($E166:I166,"µ")+COUNTIF($E166:I166,1),ColLivraison)=J$6,
  VLOOKUP($E166,INDIRECT("tri!"&amp; CHAR(64+ C0Col) &amp;":"&amp; CHAR(65+C0Col)),2,FALSE)&gt;COUNTIF($E166:I166,"u")+COUNTIF($E166:I166,"t")+COUNTIF($E166:I166,"¶")+COUNTIF($E166:I166,"²")+COUNTIF($E166:I166,"µ")+COUNTIF($E166:I166,1)),
HYPERLINK("#Roadmap!C"&amp; MATCH($E166,Roadmap!$D:$D,0)+COUNTIF($E166:I166,"u")+COUNTIF($E166:I166,"t"),
     INDEX(Roadmap!$D:$K,MATCH($E166,Roadmap!$D:$D,0)+COUNTIF($E166:I166,"u")+COUNTIF($E166:I166,"t")+COUNTIF($E166:I166,"¶")+COUNTIF($E166:I166,"²")+COUNTIF($E166:I166,"µ")+COUNTIF($E166:I166,1),ColTypeEcheance)),
  IF(LEN(I166)=1,
  IF(LEN(INDEX(Roadmap!$D:$K,MATCH($E166,Roadmap!$D:$D,0)-1+COUNTIF($E166:I166,"u")+COUNTIF($E166:I166,"t")+COUNTIF($E166:I166,"¶")+COUNTIF($E166:I166,"²")+COUNTIF($E166:I166,"µ")+COUNTIF($E166:I166,1),ColDescriptionCourte))&gt;1,
HYPERLINK("#Roadmap!C"&amp; MATCH($E166,Roadmap!$D:$D,0)+COUNTIF($E166:I166,"u")+COUNTIF($E166:I166,"t")+COUNTIF($E166:I166,"¶")+COUNTIF($E166:I166,"²")+COUNTIF($E166:I166,"µ")+COUNTIF($E166:I166,1)-1,INDEX(Roadmap!$D:$K,MATCH($E166,Roadmap!$D:$D,0)-1+COUNTIF($E166:I166,"u")+COUNTIF($E166:I166,"t")+COUNTIF($E166:I166,"¶")+COUNTIF($E166:I166,"²")+COUNTIF($E166:I166,"µ")+COUNTIF($E166:I166,1),ColDescriptionCourte)),""),
  "")),"")</f>
        <v/>
      </c>
      <c r="K166" s="40" t="str">
        <f ca="1">IFERROR(IF(AND(
  INDEX(Roadmap!$D:$K,MATCH($E166,Roadmap!$D:$D,0)+COUNTIF($E166:J166,"u")+COUNTIF($E166:J166,"t")+COUNTIF($E166:J166,"¶")+COUNTIF($E166:J166,"²")+COUNTIF($E166:J166,"µ")+COUNTIF($E166:J166,1),ColLivraison)=K$6,
  VLOOKUP($E166,INDIRECT("tri!"&amp; CHAR(64+ C0Col) &amp;":"&amp; CHAR(65+C0Col)),2,FALSE)&gt;COUNTIF($E166:J166,"u")+COUNTIF($E166:J166,"t")+COUNTIF($E166:J166,"¶")+COUNTIF($E166:J166,"²")+COUNTIF($E166:J166,"µ")+COUNTIF($E166:J166,1)),
HYPERLINK("#Roadmap!C"&amp; MATCH($E166,Roadmap!$D:$D,0)+COUNTIF($E166:J166,"u")+COUNTIF($E166:J166,"t"),
     INDEX(Roadmap!$D:$K,MATCH($E166,Roadmap!$D:$D,0)+COUNTIF($E166:J166,"u")+COUNTIF($E166:J166,"t")+COUNTIF($E166:J166,"¶")+COUNTIF($E166:J166,"²")+COUNTIF($E166:J166,"µ")+COUNTIF($E166:J166,1),ColTypeEcheance)),
  IF(LEN(J166)=1,
  IF(LEN(INDEX(Roadmap!$D:$K,MATCH($E166,Roadmap!$D:$D,0)-1+COUNTIF($E166:J166,"u")+COUNTIF($E166:J166,"t")+COUNTIF($E166:J166,"¶")+COUNTIF($E166:J166,"²")+COUNTIF($E166:J166,"µ")+COUNTIF($E166:J166,1),ColDescriptionCourte))&gt;1,
HYPERLINK("#Roadmap!C"&amp; MATCH($E166,Roadmap!$D:$D,0)+COUNTIF($E166:J166,"u")+COUNTIF($E166:J166,"t")+COUNTIF($E166:J166,"¶")+COUNTIF($E166:J166,"²")+COUNTIF($E166:J166,"µ")+COUNTIF($E166:J166,1)-1,INDEX(Roadmap!$D:$K,MATCH($E166,Roadmap!$D:$D,0)-1+COUNTIF($E166:J166,"u")+COUNTIF($E166:J166,"t")+COUNTIF($E166:J166,"¶")+COUNTIF($E166:J166,"²")+COUNTIF($E166:J166,"µ")+COUNTIF($E166:J166,1),ColDescriptionCourte)),""),
  "")),"")</f>
        <v/>
      </c>
      <c r="L166" s="39" t="str">
        <f ca="1">IFERROR(IF(AND(
  INDEX(Roadmap!$D:$K,MATCH($E166,Roadmap!$D:$D,0)+COUNTIF($E166:K166,"u")+COUNTIF($E166:K166,"t")+COUNTIF($E166:K166,"¶")+COUNTIF($E166:K166,"²")+COUNTIF($E166:K166,"µ")+COUNTIF($E166:K166,1),ColLivraison)=L$6,
  VLOOKUP($E166,INDIRECT("tri!"&amp; CHAR(64+ C0Col) &amp;":"&amp; CHAR(65+C0Col)),2,FALSE)&gt;COUNTIF($E166:K166,"u")+COUNTIF($E166:K166,"t")+COUNTIF($E166:K166,"¶")+COUNTIF($E166:K166,"²")+COUNTIF($E166:K166,"µ")+COUNTIF($E166:K166,1)),
HYPERLINK("#Roadmap!C"&amp; MATCH($E166,Roadmap!$D:$D,0)+COUNTIF($E166:K166,"u")+COUNTIF($E166:K166,"t"),
     INDEX(Roadmap!$D:$K,MATCH($E166,Roadmap!$D:$D,0)+COUNTIF($E166:K166,"u")+COUNTIF($E166:K166,"t")+COUNTIF($E166:K166,"¶")+COUNTIF($E166:K166,"²")+COUNTIF($E166:K166,"µ")+COUNTIF($E166:K166,1),ColTypeEcheance)),
  IF(LEN(K166)=1,
  IF(LEN(INDEX(Roadmap!$D:$K,MATCH($E166,Roadmap!$D:$D,0)-1+COUNTIF($E166:K166,"u")+COUNTIF($E166:K166,"t")+COUNTIF($E166:K166,"¶")+COUNTIF($E166:K166,"²")+COUNTIF($E166:K166,"µ")+COUNTIF($E166:K166,1),ColDescriptionCourte))&gt;1,
HYPERLINK("#Roadmap!C"&amp; MATCH($E166,Roadmap!$D:$D,0)+COUNTIF($E166:K166,"u")+COUNTIF($E166:K166,"t")+COUNTIF($E166:K166,"¶")+COUNTIF($E166:K166,"²")+COUNTIF($E166:K166,"µ")+COUNTIF($E166:K166,1)-1,INDEX(Roadmap!$D:$K,MATCH($E166,Roadmap!$D:$D,0)-1+COUNTIF($E166:K166,"u")+COUNTIF($E166:K166,"t")+COUNTIF($E166:K166,"¶")+COUNTIF($E166:K166,"²")+COUNTIF($E166:K166,"µ")+COUNTIF($E166:K166,1),ColDescriptionCourte)),""),
  "")),"")</f>
        <v/>
      </c>
      <c r="M166" s="40" t="str">
        <f ca="1">IFERROR(IF(AND(
  INDEX(Roadmap!$D:$K,MATCH($E166,Roadmap!$D:$D,0)+COUNTIF($E166:L166,"u")+COUNTIF($E166:L166,"t")+COUNTIF($E166:L166,"¶")+COUNTIF($E166:L166,"²")+COUNTIF($E166:L166,"µ")+COUNTIF($E166:L166,1),ColLivraison)=M$6,
  VLOOKUP($E166,INDIRECT("tri!"&amp; CHAR(64+ C0Col) &amp;":"&amp; CHAR(65+C0Col)),2,FALSE)&gt;COUNTIF($E166:L166,"u")+COUNTIF($E166:L166,"t")+COUNTIF($E166:L166,"¶")+COUNTIF($E166:L166,"²")+COUNTIF($E166:L166,"µ")+COUNTIF($E166:L166,1)),
HYPERLINK("#Roadmap!C"&amp; MATCH($E166,Roadmap!$D:$D,0)+COUNTIF($E166:L166,"u")+COUNTIF($E166:L166,"t"),
     INDEX(Roadmap!$D:$K,MATCH($E166,Roadmap!$D:$D,0)+COUNTIF($E166:L166,"u")+COUNTIF($E166:L166,"t")+COUNTIF($E166:L166,"¶")+COUNTIF($E166:L166,"²")+COUNTIF($E166:L166,"µ")+COUNTIF($E166:L166,1),ColTypeEcheance)),
  IF(LEN(L166)=1,
  IF(LEN(INDEX(Roadmap!$D:$K,MATCH($E166,Roadmap!$D:$D,0)-1+COUNTIF($E166:L166,"u")+COUNTIF($E166:L166,"t")+COUNTIF($E166:L166,"¶")+COUNTIF($E166:L166,"²")+COUNTIF($E166:L166,"µ")+COUNTIF($E166:L166,1),ColDescriptionCourte))&gt;1,
HYPERLINK("#Roadmap!C"&amp; MATCH($E166,Roadmap!$D:$D,0)+COUNTIF($E166:L166,"u")+COUNTIF($E166:L166,"t")+COUNTIF($E166:L166,"¶")+COUNTIF($E166:L166,"²")+COUNTIF($E166:L166,"µ")+COUNTIF($E166:L166,1)-1,INDEX(Roadmap!$D:$K,MATCH($E166,Roadmap!$D:$D,0)-1+COUNTIF($E166:L166,"u")+COUNTIF($E166:L166,"t")+COUNTIF($E166:L166,"¶")+COUNTIF($E166:L166,"²")+COUNTIF($E166:L166,"µ")+COUNTIF($E166:L166,1),ColDescriptionCourte)),""),
  "")),"")</f>
        <v/>
      </c>
      <c r="N166" s="40" t="str">
        <f ca="1">IFERROR(IF(AND(
  INDEX(Roadmap!$D:$K,MATCH($E166,Roadmap!$D:$D,0)+COUNTIF($E166:M166,"u")+COUNTIF($E166:M166,"t")+COUNTIF($E166:M166,"¶")+COUNTIF($E166:M166,"²")+COUNTIF($E166:M166,"µ")+COUNTIF($E166:M166,1),ColLivraison)=N$6,
  VLOOKUP($E166,INDIRECT("tri!"&amp; CHAR(64+ C0Col) &amp;":"&amp; CHAR(65+C0Col)),2,FALSE)&gt;COUNTIF($E166:M166,"u")+COUNTIF($E166:M166,"t")+COUNTIF($E166:M166,"¶")+COUNTIF($E166:M166,"²")+COUNTIF($E166:M166,"µ")+COUNTIF($E166:M166,1)),
HYPERLINK("#Roadmap!C"&amp; MATCH($E166,Roadmap!$D:$D,0)+COUNTIF($E166:M166,"u")+COUNTIF($E166:M166,"t"),
     INDEX(Roadmap!$D:$K,MATCH($E166,Roadmap!$D:$D,0)+COUNTIF($E166:M166,"u")+COUNTIF($E166:M166,"t")+COUNTIF($E166:M166,"¶")+COUNTIF($E166:M166,"²")+COUNTIF($E166:M166,"µ")+COUNTIF($E166:M166,1),ColTypeEcheance)),
  IF(LEN(M166)=1,
  IF(LEN(INDEX(Roadmap!$D:$K,MATCH($E166,Roadmap!$D:$D,0)-1+COUNTIF($E166:M166,"u")+COUNTIF($E166:M166,"t")+COUNTIF($E166:M166,"¶")+COUNTIF($E166:M166,"²")+COUNTIF($E166:M166,"µ")+COUNTIF($E166:M166,1),ColDescriptionCourte))&gt;1,
HYPERLINK("#Roadmap!C"&amp; MATCH($E166,Roadmap!$D:$D,0)+COUNTIF($E166:M166,"u")+COUNTIF($E166:M166,"t")+COUNTIF($E166:M166,"¶")+COUNTIF($E166:M166,"²")+COUNTIF($E166:M166,"µ")+COUNTIF($E166:M166,1)-1,INDEX(Roadmap!$D:$K,MATCH($E166,Roadmap!$D:$D,0)-1+COUNTIF($E166:M166,"u")+COUNTIF($E166:M166,"t")+COUNTIF($E166:M166,"¶")+COUNTIF($E166:M166,"²")+COUNTIF($E166:M166,"µ")+COUNTIF($E166:M166,1),ColDescriptionCourte)),""),
  "")),"")</f>
        <v/>
      </c>
      <c r="O166" s="40" t="str">
        <f ca="1">IFERROR(IF(AND(
  INDEX(Roadmap!$D:$K,MATCH($E166,Roadmap!$D:$D,0)+COUNTIF($E166:N166,"u")+COUNTIF($E166:N166,"t")+COUNTIF($E166:N166,"¶")+COUNTIF($E166:N166,"²")+COUNTIF($E166:N166,"µ")+COUNTIF($E166:N166,1),ColLivraison)=O$6,
  VLOOKUP($E166,INDIRECT("tri!"&amp; CHAR(64+ C0Col) &amp;":"&amp; CHAR(65+C0Col)),2,FALSE)&gt;COUNTIF($E166:N166,"u")+COUNTIF($E166:N166,"t")+COUNTIF($E166:N166,"¶")+COUNTIF($E166:N166,"²")+COUNTIF($E166:N166,"µ")+COUNTIF($E166:N166,1)),
HYPERLINK("#Roadmap!C"&amp; MATCH($E166,Roadmap!$D:$D,0)+COUNTIF($E166:N166,"u")+COUNTIF($E166:N166,"t"),
     INDEX(Roadmap!$D:$K,MATCH($E166,Roadmap!$D:$D,0)+COUNTIF($E166:N166,"u")+COUNTIF($E166:N166,"t")+COUNTIF($E166:N166,"¶")+COUNTIF($E166:N166,"²")+COUNTIF($E166:N166,"µ")+COUNTIF($E166:N166,1),ColTypeEcheance)),
  IF(LEN(N166)=1,
  IF(LEN(INDEX(Roadmap!$D:$K,MATCH($E166,Roadmap!$D:$D,0)-1+COUNTIF($E166:N166,"u")+COUNTIF($E166:N166,"t")+COUNTIF($E166:N166,"¶")+COUNTIF($E166:N166,"²")+COUNTIF($E166:N166,"µ")+COUNTIF($E166:N166,1),ColDescriptionCourte))&gt;1,
HYPERLINK("#Roadmap!C"&amp; MATCH($E166,Roadmap!$D:$D,0)+COUNTIF($E166:N166,"u")+COUNTIF($E166:N166,"t")+COUNTIF($E166:N166,"¶")+COUNTIF($E166:N166,"²")+COUNTIF($E166:N166,"µ")+COUNTIF($E166:N166,1)-1,INDEX(Roadmap!$D:$K,MATCH($E166,Roadmap!$D:$D,0)-1+COUNTIF($E166:N166,"u")+COUNTIF($E166:N166,"t")+COUNTIF($E166:N166,"¶")+COUNTIF($E166:N166,"²")+COUNTIF($E166:N166,"µ")+COUNTIF($E166:N166,1),ColDescriptionCourte)),""),
  "")),"")</f>
        <v/>
      </c>
      <c r="P166" s="40" t="str">
        <f ca="1">IFERROR(IF(AND(
  INDEX(Roadmap!$D:$K,MATCH($E166,Roadmap!$D:$D,0)+COUNTIF($E166:O166,"u")+COUNTIF($E166:O166,"t")+COUNTIF($E166:O166,"¶")+COUNTIF($E166:O166,"²")+COUNTIF($E166:O166,"µ")+COUNTIF($E166:O166,1),ColLivraison)=P$6,
  VLOOKUP($E166,INDIRECT("tri!"&amp; CHAR(64+ C0Col) &amp;":"&amp; CHAR(65+C0Col)),2,FALSE)&gt;COUNTIF($E166:O166,"u")+COUNTIF($E166:O166,"t")+COUNTIF($E166:O166,"¶")+COUNTIF($E166:O166,"²")+COUNTIF($E166:O166,"µ")+COUNTIF($E166:O166,1)),
HYPERLINK("#Roadmap!C"&amp; MATCH($E166,Roadmap!$D:$D,0)+COUNTIF($E166:O166,"u")+COUNTIF($E166:O166,"t"),
     INDEX(Roadmap!$D:$K,MATCH($E166,Roadmap!$D:$D,0)+COUNTIF($E166:O166,"u")+COUNTIF($E166:O166,"t")+COUNTIF($E166:O166,"¶")+COUNTIF($E166:O166,"²")+COUNTIF($E166:O166,"µ")+COUNTIF($E166:O166,1),ColTypeEcheance)),
  IF(LEN(O166)=1,
  IF(LEN(INDEX(Roadmap!$D:$K,MATCH($E166,Roadmap!$D:$D,0)-1+COUNTIF($E166:O166,"u")+COUNTIF($E166:O166,"t")+COUNTIF($E166:O166,"¶")+COUNTIF($E166:O166,"²")+COUNTIF($E166:O166,"µ")+COUNTIF($E166:O166,1),ColDescriptionCourte))&gt;1,
HYPERLINK("#Roadmap!C"&amp; MATCH($E166,Roadmap!$D:$D,0)+COUNTIF($E166:O166,"u")+COUNTIF($E166:O166,"t")+COUNTIF($E166:O166,"¶")+COUNTIF($E166:O166,"²")+COUNTIF($E166:O166,"µ")+COUNTIF($E166:O166,1)-1,INDEX(Roadmap!$D:$K,MATCH($E166,Roadmap!$D:$D,0)-1+COUNTIF($E166:O166,"u")+COUNTIF($E166:O166,"t")+COUNTIF($E166:O166,"¶")+COUNTIF($E166:O166,"²")+COUNTIF($E166:O166,"µ")+COUNTIF($E166:O166,1),ColDescriptionCourte)),""),
  "")),"")</f>
        <v/>
      </c>
      <c r="Q166" s="40" t="str">
        <f ca="1">IFERROR(IF(AND(
  INDEX(Roadmap!$D:$K,MATCH($E166,Roadmap!$D:$D,0)+COUNTIF($E166:P166,"u")+COUNTIF($E166:P166,"t")+COUNTIF($E166:P166,"¶")+COUNTIF($E166:P166,"²")+COUNTIF($E166:P166,"µ")+COUNTIF($E166:P166,1),ColLivraison)=Q$6,
  VLOOKUP($E166,INDIRECT("tri!"&amp; CHAR(64+ C0Col) &amp;":"&amp; CHAR(65+C0Col)),2,FALSE)&gt;COUNTIF($E166:P166,"u")+COUNTIF($E166:P166,"t")+COUNTIF($E166:P166,"¶")+COUNTIF($E166:P166,"²")+COUNTIF($E166:P166,"µ")+COUNTIF($E166:P166,1)),
HYPERLINK("#Roadmap!C"&amp; MATCH($E166,Roadmap!$D:$D,0)+COUNTIF($E166:P166,"u")+COUNTIF($E166:P166,"t"),
     INDEX(Roadmap!$D:$K,MATCH($E166,Roadmap!$D:$D,0)+COUNTIF($E166:P166,"u")+COUNTIF($E166:P166,"t")+COUNTIF($E166:P166,"¶")+COUNTIF($E166:P166,"²")+COUNTIF($E166:P166,"µ")+COUNTIF($E166:P166,1),ColTypeEcheance)),
  IF(LEN(P166)=1,
  IF(LEN(INDEX(Roadmap!$D:$K,MATCH($E166,Roadmap!$D:$D,0)-1+COUNTIF($E166:P166,"u")+COUNTIF($E166:P166,"t")+COUNTIF($E166:P166,"¶")+COUNTIF($E166:P166,"²")+COUNTIF($E166:P166,"µ")+COUNTIF($E166:P166,1),ColDescriptionCourte))&gt;1,
HYPERLINK("#Roadmap!C"&amp; MATCH($E166,Roadmap!$D:$D,0)+COUNTIF($E166:P166,"u")+COUNTIF($E166:P166,"t")+COUNTIF($E166:P166,"¶")+COUNTIF($E166:P166,"²")+COUNTIF($E166:P166,"µ")+COUNTIF($E166:P166,1)-1,INDEX(Roadmap!$D:$K,MATCH($E166,Roadmap!$D:$D,0)-1+COUNTIF($E166:P166,"u")+COUNTIF($E166:P166,"t")+COUNTIF($E166:P166,"¶")+COUNTIF($E166:P166,"²")+COUNTIF($E166:P166,"µ")+COUNTIF($E166:P166,1),ColDescriptionCourte)),""),
  "")),"")</f>
        <v/>
      </c>
      <c r="R166" s="40" t="str">
        <f ca="1">IFERROR(IF(AND(
  INDEX(Roadmap!$D:$K,MATCH($E166,Roadmap!$D:$D,0)+COUNTIF($E166:Q166,"u")+COUNTIF($E166:Q166,"t")+COUNTIF($E166:Q166,"¶")+COUNTIF($E166:Q166,"²")+COUNTIF($E166:Q166,"µ")+COUNTIF($E166:Q166,1),ColLivraison)=R$6,
  VLOOKUP($E166,INDIRECT("tri!"&amp; CHAR(64+ C0Col) &amp;":"&amp; CHAR(65+C0Col)),2,FALSE)&gt;COUNTIF($E166:Q166,"u")+COUNTIF($E166:Q166,"t")+COUNTIF($E166:Q166,"¶")+COUNTIF($E166:Q166,"²")+COUNTIF($E166:Q166,"µ")+COUNTIF($E166:Q166,1)),
HYPERLINK("#Roadmap!C"&amp; MATCH($E166,Roadmap!$D:$D,0)+COUNTIF($E166:Q166,"u")+COUNTIF($E166:Q166,"t"),
     INDEX(Roadmap!$D:$K,MATCH($E166,Roadmap!$D:$D,0)+COUNTIF($E166:Q166,"u")+COUNTIF($E166:Q166,"t")+COUNTIF($E166:Q166,"¶")+COUNTIF($E166:Q166,"²")+COUNTIF($E166:Q166,"µ")+COUNTIF($E166:Q166,1),ColTypeEcheance)),
  IF(LEN(Q166)=1,
  IF(LEN(INDEX(Roadmap!$D:$K,MATCH($E166,Roadmap!$D:$D,0)-1+COUNTIF($E166:Q166,"u")+COUNTIF($E166:Q166,"t")+COUNTIF($E166:Q166,"¶")+COUNTIF($E166:Q166,"²")+COUNTIF($E166:Q166,"µ")+COUNTIF($E166:Q166,1),ColDescriptionCourte))&gt;1,
HYPERLINK("#Roadmap!C"&amp; MATCH($E166,Roadmap!$D:$D,0)+COUNTIF($E166:Q166,"u")+COUNTIF($E166:Q166,"t")+COUNTIF($E166:Q166,"¶")+COUNTIF($E166:Q166,"²")+COUNTIF($E166:Q166,"µ")+COUNTIF($E166:Q166,1)-1,INDEX(Roadmap!$D:$K,MATCH($E166,Roadmap!$D:$D,0)-1+COUNTIF($E166:Q166,"u")+COUNTIF($E166:Q166,"t")+COUNTIF($E166:Q166,"¶")+COUNTIF($E166:Q166,"²")+COUNTIF($E166:Q166,"µ")+COUNTIF($E166:Q166,1),ColDescriptionCourte)),""),
  "")),"")</f>
        <v/>
      </c>
      <c r="S166" s="40" t="str">
        <f ca="1">IFERROR(IF(AND(
  INDEX(Roadmap!$D:$K,MATCH($E166,Roadmap!$D:$D,0)+COUNTIF($E166:R166,"u")+COUNTIF($E166:R166,"t")+COUNTIF($E166:R166,"¶")+COUNTIF($E166:R166,"²")+COUNTIF($E166:R166,"µ")+COUNTIF($E166:R166,1),ColLivraison)=S$6,
  VLOOKUP($E166,INDIRECT("tri!"&amp; CHAR(64+ C0Col) &amp;":"&amp; CHAR(65+C0Col)),2,FALSE)&gt;COUNTIF($E166:R166,"u")+COUNTIF($E166:R166,"t")+COUNTIF($E166:R166,"¶")+COUNTIF($E166:R166,"²")+COUNTIF($E166:R166,"µ")+COUNTIF($E166:R166,1)),
HYPERLINK("#Roadmap!C"&amp; MATCH($E166,Roadmap!$D:$D,0)+COUNTIF($E166:R166,"u")+COUNTIF($E166:R166,"t"),
     INDEX(Roadmap!$D:$K,MATCH($E166,Roadmap!$D:$D,0)+COUNTIF($E166:R166,"u")+COUNTIF($E166:R166,"t")+COUNTIF($E166:R166,"¶")+COUNTIF($E166:R166,"²")+COUNTIF($E166:R166,"µ")+COUNTIF($E166:R166,1),ColTypeEcheance)),
  IF(LEN(R166)=1,
  IF(LEN(INDEX(Roadmap!$D:$K,MATCH($E166,Roadmap!$D:$D,0)-1+COUNTIF($E166:R166,"u")+COUNTIF($E166:R166,"t")+COUNTIF($E166:R166,"¶")+COUNTIF($E166:R166,"²")+COUNTIF($E166:R166,"µ")+COUNTIF($E166:R166,1),ColDescriptionCourte))&gt;1,
HYPERLINK("#Roadmap!C"&amp; MATCH($E166,Roadmap!$D:$D,0)+COUNTIF($E166:R166,"u")+COUNTIF($E166:R166,"t")+COUNTIF($E166:R166,"¶")+COUNTIF($E166:R166,"²")+COUNTIF($E166:R166,"µ")+COUNTIF($E166:R166,1)-1,INDEX(Roadmap!$D:$K,MATCH($E166,Roadmap!$D:$D,0)-1+COUNTIF($E166:R166,"u")+COUNTIF($E166:R166,"t")+COUNTIF($E166:R166,"¶")+COUNTIF($E166:R166,"²")+COUNTIF($E166:R166,"µ")+COUNTIF($E166:R166,1),ColDescriptionCourte)),""),
  "")),"")</f>
        <v/>
      </c>
      <c r="T166" s="40" t="str">
        <f ca="1">IFERROR(IF(AND(
  INDEX(Roadmap!$D:$K,MATCH($E166,Roadmap!$D:$D,0)+COUNTIF($E166:S166,"u")+COUNTIF($E166:S166,"t")+COUNTIF($E166:S166,"¶")+COUNTIF($E166:S166,"²")+COUNTIF($E166:S166,"µ")+COUNTIF($E166:S166,1),ColLivraison)=T$6,
  VLOOKUP($E166,INDIRECT("tri!"&amp; CHAR(64+ C0Col) &amp;":"&amp; CHAR(65+C0Col)),2,FALSE)&gt;COUNTIF($E166:S166,"u")+COUNTIF($E166:S166,"t")+COUNTIF($E166:S166,"¶")+COUNTIF($E166:S166,"²")+COUNTIF($E166:S166,"µ")+COUNTIF($E166:S166,1)),
HYPERLINK("#Roadmap!C"&amp; MATCH($E166,Roadmap!$D:$D,0)+COUNTIF($E166:S166,"u")+COUNTIF($E166:S166,"t"),
     INDEX(Roadmap!$D:$K,MATCH($E166,Roadmap!$D:$D,0)+COUNTIF($E166:S166,"u")+COUNTIF($E166:S166,"t")+COUNTIF($E166:S166,"¶")+COUNTIF($E166:S166,"²")+COUNTIF($E166:S166,"µ")+COUNTIF($E166:S166,1),ColTypeEcheance)),
  IF(LEN(S166)=1,
  IF(LEN(INDEX(Roadmap!$D:$K,MATCH($E166,Roadmap!$D:$D,0)-1+COUNTIF($E166:S166,"u")+COUNTIF($E166:S166,"t")+COUNTIF($E166:S166,"¶")+COUNTIF($E166:S166,"²")+COUNTIF($E166:S166,"µ")+COUNTIF($E166:S166,1),ColDescriptionCourte))&gt;1,
HYPERLINK("#Roadmap!C"&amp; MATCH($E166,Roadmap!$D:$D,0)+COUNTIF($E166:S166,"u")+COUNTIF($E166:S166,"t")+COUNTIF($E166:S166,"¶")+COUNTIF($E166:S166,"²")+COUNTIF($E166:S166,"µ")+COUNTIF($E166:S166,1)-1,INDEX(Roadmap!$D:$K,MATCH($E166,Roadmap!$D:$D,0)-1+COUNTIF($E166:S166,"u")+COUNTIF($E166:S166,"t")+COUNTIF($E166:S166,"¶")+COUNTIF($E166:S166,"²")+COUNTIF($E166:S166,"µ")+COUNTIF($E166:S166,1),ColDescriptionCourte)),""),
  "")),"")</f>
        <v/>
      </c>
      <c r="U166" s="40" t="str">
        <f ca="1">IFERROR(IF(AND(
  INDEX(Roadmap!$D:$K,MATCH($E166,Roadmap!$D:$D,0)+COUNTIF($E166:T166,"u")+COUNTIF($E166:T166,"t")+COUNTIF($E166:T166,"¶")+COUNTIF($E166:T166,"²")+COUNTIF($E166:T166,"µ")+COUNTIF($E166:T166,1),ColLivraison)=U$6,
  VLOOKUP($E166,INDIRECT("tri!"&amp; CHAR(64+ C0Col) &amp;":"&amp; CHAR(65+C0Col)),2,FALSE)&gt;COUNTIF($E166:T166,"u")+COUNTIF($E166:T166,"t")+COUNTIF($E166:T166,"¶")+COUNTIF($E166:T166,"²")+COUNTIF($E166:T166,"µ")+COUNTIF($E166:T166,1)),
HYPERLINK("#Roadmap!C"&amp; MATCH($E166,Roadmap!$D:$D,0)+COUNTIF($E166:T166,"u")+COUNTIF($E166:T166,"t"),
     INDEX(Roadmap!$D:$K,MATCH($E166,Roadmap!$D:$D,0)+COUNTIF($E166:T166,"u")+COUNTIF($E166:T166,"t")+COUNTIF($E166:T166,"¶")+COUNTIF($E166:T166,"²")+COUNTIF($E166:T166,"µ")+COUNTIF($E166:T166,1),ColTypeEcheance)),
  IF(LEN(T166)=1,
  IF(LEN(INDEX(Roadmap!$D:$K,MATCH($E166,Roadmap!$D:$D,0)-1+COUNTIF($E166:T166,"u")+COUNTIF($E166:T166,"t")+COUNTIF($E166:T166,"¶")+COUNTIF($E166:T166,"²")+COUNTIF($E166:T166,"µ")+COUNTIF($E166:T166,1),ColDescriptionCourte))&gt;1,
HYPERLINK("#Roadmap!C"&amp; MATCH($E166,Roadmap!$D:$D,0)+COUNTIF($E166:T166,"u")+COUNTIF($E166:T166,"t")+COUNTIF($E166:T166,"¶")+COUNTIF($E166:T166,"²")+COUNTIF($E166:T166,"µ")+COUNTIF($E166:T166,1)-1,INDEX(Roadmap!$D:$K,MATCH($E166,Roadmap!$D:$D,0)-1+COUNTIF($E166:T166,"u")+COUNTIF($E166:T166,"t")+COUNTIF($E166:T166,"¶")+COUNTIF($E166:T166,"²")+COUNTIF($E166:T166,"µ")+COUNTIF($E166:T166,1),ColDescriptionCourte)),""),
  "")),"")</f>
        <v/>
      </c>
      <c r="V166" s="40" t="str">
        <f ca="1">IFERROR(IF(AND(
  INDEX(Roadmap!$D:$K,MATCH($E166,Roadmap!$D:$D,0)+COUNTIF($E166:U166,"u")+COUNTIF($E166:U166,"t")+COUNTIF($E166:U166,"¶")+COUNTIF($E166:U166,"²")+COUNTIF($E166:U166,"µ")+COUNTIF($E166:U166,1),ColLivraison)=V$6,
  VLOOKUP($E166,INDIRECT("tri!"&amp; CHAR(64+ C0Col) &amp;":"&amp; CHAR(65+C0Col)),2,FALSE)&gt;COUNTIF($E166:U166,"u")+COUNTIF($E166:U166,"t")+COUNTIF($E166:U166,"¶")+COUNTIF($E166:U166,"²")+COUNTIF($E166:U166,"µ")+COUNTIF($E166:U166,1)),
HYPERLINK("#Roadmap!C"&amp; MATCH($E166,Roadmap!$D:$D,0)+COUNTIF($E166:U166,"u")+COUNTIF($E166:U166,"t"),
     INDEX(Roadmap!$D:$K,MATCH($E166,Roadmap!$D:$D,0)+COUNTIF($E166:U166,"u")+COUNTIF($E166:U166,"t")+COUNTIF($E166:U166,"¶")+COUNTIF($E166:U166,"²")+COUNTIF($E166:U166,"µ")+COUNTIF($E166:U166,1),ColTypeEcheance)),
  IF(LEN(U166)=1,
  IF(LEN(INDEX(Roadmap!$D:$K,MATCH($E166,Roadmap!$D:$D,0)-1+COUNTIF($E166:U166,"u")+COUNTIF($E166:U166,"t")+COUNTIF($E166:U166,"¶")+COUNTIF($E166:U166,"²")+COUNTIF($E166:U166,"µ")+COUNTIF($E166:U166,1),ColDescriptionCourte))&gt;1,
HYPERLINK("#Roadmap!C"&amp; MATCH($E166,Roadmap!$D:$D,0)+COUNTIF($E166:U166,"u")+COUNTIF($E166:U166,"t")+COUNTIF($E166:U166,"¶")+COUNTIF($E166:U166,"²")+COUNTIF($E166:U166,"µ")+COUNTIF($E166:U166,1)-1,INDEX(Roadmap!$D:$K,MATCH($E166,Roadmap!$D:$D,0)-1+COUNTIF($E166:U166,"u")+COUNTIF($E166:U166,"t")+COUNTIF($E166:U166,"¶")+COUNTIF($E166:U166,"²")+COUNTIF($E166:U166,"µ")+COUNTIF($E166:U166,1),ColDescriptionCourte)),""),
  "")),"")</f>
        <v/>
      </c>
      <c r="W166" s="40" t="str">
        <f ca="1">IFERROR(IF(AND(
  INDEX(Roadmap!$D:$K,MATCH($E166,Roadmap!$D:$D,0)+COUNTIF($E166:V166,"u")+COUNTIF($E166:V166,"t")+COUNTIF($E166:V166,"¶")+COUNTIF($E166:V166,"²")+COUNTIF($E166:V166,"µ")+COUNTIF($E166:V166,1),ColLivraison)=W$6,
  VLOOKUP($E166,INDIRECT("tri!"&amp; CHAR(64+ C0Col) &amp;":"&amp; CHAR(65+C0Col)),2,FALSE)&gt;COUNTIF($E166:V166,"u")+COUNTIF($E166:V166,"t")+COUNTIF($E166:V166,"¶")+COUNTIF($E166:V166,"²")+COUNTIF($E166:V166,"µ")+COUNTIF($E166:V166,1)),
HYPERLINK("#Roadmap!C"&amp; MATCH($E166,Roadmap!$D:$D,0)+COUNTIF($E166:V166,"u")+COUNTIF($E166:V166,"t"),
     INDEX(Roadmap!$D:$K,MATCH($E166,Roadmap!$D:$D,0)+COUNTIF($E166:V166,"u")+COUNTIF($E166:V166,"t")+COUNTIF($E166:V166,"¶")+COUNTIF($E166:V166,"²")+COUNTIF($E166:V166,"µ")+COUNTIF($E166:V166,1),ColTypeEcheance)),
  IF(LEN(V166)=1,
  IF(LEN(INDEX(Roadmap!$D:$K,MATCH($E166,Roadmap!$D:$D,0)-1+COUNTIF($E166:V166,"u")+COUNTIF($E166:V166,"t")+COUNTIF($E166:V166,"¶")+COUNTIF($E166:V166,"²")+COUNTIF($E166:V166,"µ")+COUNTIF($E166:V166,1),ColDescriptionCourte))&gt;1,
HYPERLINK("#Roadmap!C"&amp; MATCH($E166,Roadmap!$D:$D,0)+COUNTIF($E166:V166,"u")+COUNTIF($E166:V166,"t")+COUNTIF($E166:V166,"¶")+COUNTIF($E166:V166,"²")+COUNTIF($E166:V166,"µ")+COUNTIF($E166:V166,1)-1,INDEX(Roadmap!$D:$K,MATCH($E166,Roadmap!$D:$D,0)-1+COUNTIF($E166:V166,"u")+COUNTIF($E166:V166,"t")+COUNTIF($E166:V166,"¶")+COUNTIF($E166:V166,"²")+COUNTIF($E166:V166,"µ")+COUNTIF($E166:V166,1),ColDescriptionCourte)),""),
  "")),"")</f>
        <v/>
      </c>
      <c r="X166" s="40" t="str">
        <f ca="1">IFERROR(IF(AND(
  INDEX(Roadmap!$D:$K,MATCH($E166,Roadmap!$D:$D,0)+COUNTIF($E166:W166,"u")+COUNTIF($E166:W166,"t")+COUNTIF($E166:W166,"¶")+COUNTIF($E166:W166,"²")+COUNTIF($E166:W166,"µ")+COUNTIF($E166:W166,1),ColLivraison)=X$6,
  VLOOKUP($E166,INDIRECT("tri!"&amp; CHAR(64+ C0Col) &amp;":"&amp; CHAR(65+C0Col)),2,FALSE)&gt;COUNTIF($E166:W166,"u")+COUNTIF($E166:W166,"t")+COUNTIF($E166:W166,"¶")+COUNTIF($E166:W166,"²")+COUNTIF($E166:W166,"µ")+COUNTIF($E166:W166,1)),
HYPERLINK("#Roadmap!C"&amp; MATCH($E166,Roadmap!$D:$D,0)+COUNTIF($E166:W166,"u")+COUNTIF($E166:W166,"t"),
     INDEX(Roadmap!$D:$K,MATCH($E166,Roadmap!$D:$D,0)+COUNTIF($E166:W166,"u")+COUNTIF($E166:W166,"t")+COUNTIF($E166:W166,"¶")+COUNTIF($E166:W166,"²")+COUNTIF($E166:W166,"µ")+COUNTIF($E166:W166,1),ColTypeEcheance)),
  IF(LEN(W166)=1,
  IF(LEN(INDEX(Roadmap!$D:$K,MATCH($E166,Roadmap!$D:$D,0)-1+COUNTIF($E166:W166,"u")+COUNTIF($E166:W166,"t")+COUNTIF($E166:W166,"¶")+COUNTIF($E166:W166,"²")+COUNTIF($E166:W166,"µ")+COUNTIF($E166:W166,1),ColDescriptionCourte))&gt;1,
HYPERLINK("#Roadmap!C"&amp; MATCH($E166,Roadmap!$D:$D,0)+COUNTIF($E166:W166,"u")+COUNTIF($E166:W166,"t")+COUNTIF($E166:W166,"¶")+COUNTIF($E166:W166,"²")+COUNTIF($E166:W166,"µ")+COUNTIF($E166:W166,1)-1,INDEX(Roadmap!$D:$K,MATCH($E166,Roadmap!$D:$D,0)-1+COUNTIF($E166:W166,"u")+COUNTIF($E166:W166,"t")+COUNTIF($E166:W166,"¶")+COUNTIF($E166:W166,"²")+COUNTIF($E166:W166,"µ")+COUNTIF($E166:W166,1),ColDescriptionCourte)),""),
  "")),"")</f>
        <v/>
      </c>
      <c r="Y166" s="40" t="str">
        <f ca="1">IFERROR(IF(AND(
  INDEX(Roadmap!$D:$K,MATCH($E166,Roadmap!$D:$D,0)+COUNTIF($E166:X166,"u")+COUNTIF($E166:X166,"t")+COUNTIF($E166:X166,"¶")+COUNTIF($E166:X166,"²")+COUNTIF($E166:X166,"µ")+COUNTIF($E166:X166,1),ColLivraison)=Y$6,
  VLOOKUP($E166,INDIRECT("tri!"&amp; CHAR(64+ C0Col) &amp;":"&amp; CHAR(65+C0Col)),2,FALSE)&gt;COUNTIF($E166:X166,"u")+COUNTIF($E166:X166,"t")+COUNTIF($E166:X166,"¶")+COUNTIF($E166:X166,"²")+COUNTIF($E166:X166,"µ")+COUNTIF($E166:X166,1)),
HYPERLINK("#Roadmap!C"&amp; MATCH($E166,Roadmap!$D:$D,0)+COUNTIF($E166:X166,"u")+COUNTIF($E166:X166,"t"),
     INDEX(Roadmap!$D:$K,MATCH($E166,Roadmap!$D:$D,0)+COUNTIF($E166:X166,"u")+COUNTIF($E166:X166,"t")+COUNTIF($E166:X166,"¶")+COUNTIF($E166:X166,"²")+COUNTIF($E166:X166,"µ")+COUNTIF($E166:X166,1),ColTypeEcheance)),
  IF(LEN(X166)=1,
  IF(LEN(INDEX(Roadmap!$D:$K,MATCH($E166,Roadmap!$D:$D,0)-1+COUNTIF($E166:X166,"u")+COUNTIF($E166:X166,"t")+COUNTIF($E166:X166,"¶")+COUNTIF($E166:X166,"²")+COUNTIF($E166:X166,"µ")+COUNTIF($E166:X166,1),ColDescriptionCourte))&gt;1,
HYPERLINK("#Roadmap!C"&amp; MATCH($E166,Roadmap!$D:$D,0)+COUNTIF($E166:X166,"u")+COUNTIF($E166:X166,"t")+COUNTIF($E166:X166,"¶")+COUNTIF($E166:X166,"²")+COUNTIF($E166:X166,"µ")+COUNTIF($E166:X166,1)-1,INDEX(Roadmap!$D:$K,MATCH($E166,Roadmap!$D:$D,0)-1+COUNTIF($E166:X166,"u")+COUNTIF($E166:X166,"t")+COUNTIF($E166:X166,"¶")+COUNTIF($E166:X166,"²")+COUNTIF($E166:X166,"µ")+COUNTIF($E166:X166,1),ColDescriptionCourte)),""),
  "")),"")</f>
        <v/>
      </c>
      <c r="Z166" s="40" t="str">
        <f ca="1">IFERROR(IF(AND(
  INDEX(Roadmap!$D:$K,MATCH($E166,Roadmap!$D:$D,0)+COUNTIF($E166:Y166,"u")+COUNTIF($E166:Y166,"t")+COUNTIF($E166:Y166,"¶")+COUNTIF($E166:Y166,"²")+COUNTIF($E166:Y166,"µ")+COUNTIF($E166:Y166,1),ColLivraison)=Z$6,
  VLOOKUP($E166,INDIRECT("tri!"&amp; CHAR(64+ C0Col) &amp;":"&amp; CHAR(65+C0Col)),2,FALSE)&gt;COUNTIF($E166:Y166,"u")+COUNTIF($E166:Y166,"t")+COUNTIF($E166:Y166,"¶")+COUNTIF($E166:Y166,"²")+COUNTIF($E166:Y166,"µ")+COUNTIF($E166:Y166,1)),
HYPERLINK("#Roadmap!C"&amp; MATCH($E166,Roadmap!$D:$D,0)+COUNTIF($E166:Y166,"u")+COUNTIF($E166:Y166,"t"),
     INDEX(Roadmap!$D:$K,MATCH($E166,Roadmap!$D:$D,0)+COUNTIF($E166:Y166,"u")+COUNTIF($E166:Y166,"t")+COUNTIF($E166:Y166,"¶")+COUNTIF($E166:Y166,"²")+COUNTIF($E166:Y166,"µ")+COUNTIF($E166:Y166,1),ColTypeEcheance)),
  IF(LEN(Y166)=1,
  IF(LEN(INDEX(Roadmap!$D:$K,MATCH($E166,Roadmap!$D:$D,0)-1+COUNTIF($E166:Y166,"u")+COUNTIF($E166:Y166,"t")+COUNTIF($E166:Y166,"¶")+COUNTIF($E166:Y166,"²")+COUNTIF($E166:Y166,"µ")+COUNTIF($E166:Y166,1),ColDescriptionCourte))&gt;1,
HYPERLINK("#Roadmap!C"&amp; MATCH($E166,Roadmap!$D:$D,0)+COUNTIF($E166:Y166,"u")+COUNTIF($E166:Y166,"t")+COUNTIF($E166:Y166,"¶")+COUNTIF($E166:Y166,"²")+COUNTIF($E166:Y166,"µ")+COUNTIF($E166:Y166,1)-1,INDEX(Roadmap!$D:$K,MATCH($E166,Roadmap!$D:$D,0)-1+COUNTIF($E166:Y166,"u")+COUNTIF($E166:Y166,"t")+COUNTIF($E166:Y166,"¶")+COUNTIF($E166:Y166,"²")+COUNTIF($E166:Y166,"µ")+COUNTIF($E166:Y166,1),ColDescriptionCourte)),""),
  "")),"")</f>
        <v/>
      </c>
      <c r="AA166" s="40" t="str">
        <f ca="1">IFERROR(IF(AND(
  INDEX(Roadmap!$D:$K,MATCH($E166,Roadmap!$D:$D,0)+COUNTIF($E166:Z166,"u")+COUNTIF($E166:Z166,"t")+COUNTIF($E166:Z166,"¶")+COUNTIF($E166:Z166,"²")+COUNTIF($E166:Z166,"µ")+COUNTIF($E166:Z166,1),ColLivraison)=AA$6,
  VLOOKUP($E166,INDIRECT("tri!"&amp; CHAR(64+ C0Col) &amp;":"&amp; CHAR(65+C0Col)),2,FALSE)&gt;COUNTIF($E166:Z166,"u")+COUNTIF($E166:Z166,"t")+COUNTIF($E166:Z166,"¶")+COUNTIF($E166:Z166,"²")+COUNTIF($E166:Z166,"µ")+COUNTIF($E166:Z166,1)),
HYPERLINK("#Roadmap!C"&amp; MATCH($E166,Roadmap!$D:$D,0)+COUNTIF($E166:Z166,"u")+COUNTIF($E166:Z166,"t"),
     INDEX(Roadmap!$D:$K,MATCH($E166,Roadmap!$D:$D,0)+COUNTIF($E166:Z166,"u")+COUNTIF($E166:Z166,"t")+COUNTIF($E166:Z166,"¶")+COUNTIF($E166:Z166,"²")+COUNTIF($E166:Z166,"µ")+COUNTIF($E166:Z166,1),ColTypeEcheance)),
  IF(LEN(Z166)=1,
  IF(LEN(INDEX(Roadmap!$D:$K,MATCH($E166,Roadmap!$D:$D,0)-1+COUNTIF($E166:Z166,"u")+COUNTIF($E166:Z166,"t")+COUNTIF($E166:Z166,"¶")+COUNTIF($E166:Z166,"²")+COUNTIF($E166:Z166,"µ")+COUNTIF($E166:Z166,1),ColDescriptionCourte))&gt;1,
HYPERLINK("#Roadmap!C"&amp; MATCH($E166,Roadmap!$D:$D,0)+COUNTIF($E166:Z166,"u")+COUNTIF($E166:Z166,"t")+COUNTIF($E166:Z166,"¶")+COUNTIF($E166:Z166,"²")+COUNTIF($E166:Z166,"µ")+COUNTIF($E166:Z166,1)-1,INDEX(Roadmap!$D:$K,MATCH($E166,Roadmap!$D:$D,0)-1+COUNTIF($E166:Z166,"u")+COUNTIF($E166:Z166,"t")+COUNTIF($E166:Z166,"¶")+COUNTIF($E166:Z166,"²")+COUNTIF($E166:Z166,"µ")+COUNTIF($E166:Z166,1),ColDescriptionCourte)),""),
  "")),"")</f>
        <v/>
      </c>
      <c r="AB166" s="40" t="str">
        <f ca="1">IFERROR(IF(AND(
  INDEX(Roadmap!$D:$K,MATCH($E166,Roadmap!$D:$D,0)+COUNTIF($E166:AA166,"u")+COUNTIF($E166:AA166,"t")+COUNTIF($E166:AA166,"¶")+COUNTIF($E166:AA166,"²")+COUNTIF($E166:AA166,"µ")+COUNTIF($E166:AA166,1),ColLivraison)=AB$6,
  VLOOKUP($E166,INDIRECT("tri!"&amp; CHAR(64+ C0Col) &amp;":"&amp; CHAR(65+C0Col)),2,FALSE)&gt;COUNTIF($E166:AA166,"u")+COUNTIF($E166:AA166,"t")+COUNTIF($E166:AA166,"¶")+COUNTIF($E166:AA166,"²")+COUNTIF($E166:AA166,"µ")+COUNTIF($E166:AA166,1)),
HYPERLINK("#Roadmap!C"&amp; MATCH($E166,Roadmap!$D:$D,0)+COUNTIF($E166:AA166,"u")+COUNTIF($E166:AA166,"t"),
     INDEX(Roadmap!$D:$K,MATCH($E166,Roadmap!$D:$D,0)+COUNTIF($E166:AA166,"u")+COUNTIF($E166:AA166,"t")+COUNTIF($E166:AA166,"¶")+COUNTIF($E166:AA166,"²")+COUNTIF($E166:AA166,"µ")+COUNTIF($E166:AA166,1),ColTypeEcheance)),
  IF(LEN(AA166)=1,
  IF(LEN(INDEX(Roadmap!$D:$K,MATCH($E166,Roadmap!$D:$D,0)-1+COUNTIF($E166:AA166,"u")+COUNTIF($E166:AA166,"t")+COUNTIF($E166:AA166,"¶")+COUNTIF($E166:AA166,"²")+COUNTIF($E166:AA166,"µ")+COUNTIF($E166:AA166,1),ColDescriptionCourte))&gt;1,
HYPERLINK("#Roadmap!C"&amp; MATCH($E166,Roadmap!$D:$D,0)+COUNTIF($E166:AA166,"u")+COUNTIF($E166:AA166,"t")+COUNTIF($E166:AA166,"¶")+COUNTIF($E166:AA166,"²")+COUNTIF($E166:AA166,"µ")+COUNTIF($E166:AA166,1)-1,INDEX(Roadmap!$D:$K,MATCH($E166,Roadmap!$D:$D,0)-1+COUNTIF($E166:AA166,"u")+COUNTIF($E166:AA166,"t")+COUNTIF($E166:AA166,"¶")+COUNTIF($E166:AA166,"²")+COUNTIF($E166:AA166,"µ")+COUNTIF($E166:AA166,1),ColDescriptionCourte)),""),
  "")),"")</f>
        <v/>
      </c>
      <c r="AC166" s="40" t="str">
        <f ca="1">IFERROR(IF(AND(
  INDEX(Roadmap!$D:$K,MATCH($E166,Roadmap!$D:$D,0)+COUNTIF($E166:AB166,"u")+COUNTIF($E166:AB166,"t")+COUNTIF($E166:AB166,"¶")+COUNTIF($E166:AB166,"²")+COUNTIF($E166:AB166,"µ")+COUNTIF($E166:AB166,1),ColLivraison)=AC$6,
  VLOOKUP($E166,INDIRECT("tri!"&amp; CHAR(64+ C0Col) &amp;":"&amp; CHAR(65+C0Col)),2,FALSE)&gt;COUNTIF($E166:AB166,"u")+COUNTIF($E166:AB166,"t")+COUNTIF($E166:AB166,"¶")+COUNTIF($E166:AB166,"²")+COUNTIF($E166:AB166,"µ")+COUNTIF($E166:AB166,1)),
HYPERLINK("#Roadmap!C"&amp; MATCH($E166,Roadmap!$D:$D,0)+COUNTIF($E166:AB166,"u")+COUNTIF($E166:AB166,"t"),
     INDEX(Roadmap!$D:$K,MATCH($E166,Roadmap!$D:$D,0)+COUNTIF($E166:AB166,"u")+COUNTIF($E166:AB166,"t")+COUNTIF($E166:AB166,"¶")+COUNTIF($E166:AB166,"²")+COUNTIF($E166:AB166,"µ")+COUNTIF($E166:AB166,1),ColTypeEcheance)),
  IF(LEN(AB166)=1,
  IF(LEN(INDEX(Roadmap!$D:$K,MATCH($E166,Roadmap!$D:$D,0)-1+COUNTIF($E166:AB166,"u")+COUNTIF($E166:AB166,"t")+COUNTIF($E166:AB166,"¶")+COUNTIF($E166:AB166,"²")+COUNTIF($E166:AB166,"µ")+COUNTIF($E166:AB166,1),ColDescriptionCourte))&gt;1,
HYPERLINK("#Roadmap!C"&amp; MATCH($E166,Roadmap!$D:$D,0)+COUNTIF($E166:AB166,"u")+COUNTIF($E166:AB166,"t")+COUNTIF($E166:AB166,"¶")+COUNTIF($E166:AB166,"²")+COUNTIF($E166:AB166,"µ")+COUNTIF($E166:AB166,1)-1,INDEX(Roadmap!$D:$K,MATCH($E166,Roadmap!$D:$D,0)-1+COUNTIF($E166:AB166,"u")+COUNTIF($E166:AB166,"t")+COUNTIF($E166:AB166,"¶")+COUNTIF($E166:AB166,"²")+COUNTIF($E166:AB166,"µ")+COUNTIF($E166:AB166,1),ColDescriptionCourte)),""),
  "")),"")</f>
        <v/>
      </c>
      <c r="AD166" s="40" t="str">
        <f ca="1">IFERROR(IF(AND(
  INDEX(Roadmap!$D:$K,MATCH($E166,Roadmap!$D:$D,0)+COUNTIF($E166:AC166,"u")+COUNTIF($E166:AC166,"t")+COUNTIF($E166:AC166,"¶")+COUNTIF($E166:AC166,"²")+COUNTIF($E166:AC166,"µ")+COUNTIF($E166:AC166,1),ColLivraison)=AD$6,
  VLOOKUP($E166,INDIRECT("tri!"&amp; CHAR(64+ C0Col) &amp;":"&amp; CHAR(65+C0Col)),2,FALSE)&gt;COUNTIF($E166:AC166,"u")+COUNTIF($E166:AC166,"t")+COUNTIF($E166:AC166,"¶")+COUNTIF($E166:AC166,"²")+COUNTIF($E166:AC166,"µ")+COUNTIF($E166:AC166,1)),
HYPERLINK("#Roadmap!C"&amp; MATCH($E166,Roadmap!$D:$D,0)+COUNTIF($E166:AC166,"u")+COUNTIF($E166:AC166,"t"),
     INDEX(Roadmap!$D:$K,MATCH($E166,Roadmap!$D:$D,0)+COUNTIF($E166:AC166,"u")+COUNTIF($E166:AC166,"t")+COUNTIF($E166:AC166,"¶")+COUNTIF($E166:AC166,"²")+COUNTIF($E166:AC166,"µ")+COUNTIF($E166:AC166,1),ColTypeEcheance)),
  IF(LEN(AC166)=1,
  IF(LEN(INDEX(Roadmap!$D:$K,MATCH($E166,Roadmap!$D:$D,0)-1+COUNTIF($E166:AC166,"u")+COUNTIF($E166:AC166,"t")+COUNTIF($E166:AC166,"¶")+COUNTIF($E166:AC166,"²")+COUNTIF($E166:AC166,"µ")+COUNTIF($E166:AC166,1),ColDescriptionCourte))&gt;1,
HYPERLINK("#Roadmap!C"&amp; MATCH($E166,Roadmap!$D:$D,0)+COUNTIF($E166:AC166,"u")+COUNTIF($E166:AC166,"t")+COUNTIF($E166:AC166,"¶")+COUNTIF($E166:AC166,"²")+COUNTIF($E166:AC166,"µ")+COUNTIF($E166:AC166,1)-1,INDEX(Roadmap!$D:$K,MATCH($E166,Roadmap!$D:$D,0)-1+COUNTIF($E166:AC166,"u")+COUNTIF($E166:AC166,"t")+COUNTIF($E166:AC166,"¶")+COUNTIF($E166:AC166,"²")+COUNTIF($E166:AC166,"µ")+COUNTIF($E166:AC166,1),ColDescriptionCourte)),""),
  "")),"")</f>
        <v/>
      </c>
      <c r="AE166" s="40" t="str">
        <f ca="1">IFERROR(IF(AND(
  INDEX(Roadmap!$D:$K,MATCH($E166,Roadmap!$D:$D,0)+COUNTIF($E166:AD166,"u")+COUNTIF($E166:AD166,"t")+COUNTIF($E166:AD166,"¶")+COUNTIF($E166:AD166,"²")+COUNTIF($E166:AD166,"µ")+COUNTIF($E166:AD166,1),ColLivraison)=AE$6,
  VLOOKUP($E166,INDIRECT("tri!"&amp; CHAR(64+ C0Col) &amp;":"&amp; CHAR(65+C0Col)),2,FALSE)&gt;COUNTIF($E166:AD166,"u")+COUNTIF($E166:AD166,"t")+COUNTIF($E166:AD166,"¶")+COUNTIF($E166:AD166,"²")+COUNTIF($E166:AD166,"µ")+COUNTIF($E166:AD166,1)),
HYPERLINK("#Roadmap!C"&amp; MATCH($E166,Roadmap!$D:$D,0)+COUNTIF($E166:AD166,"u")+COUNTIF($E166:AD166,"t"),
     INDEX(Roadmap!$D:$K,MATCH($E166,Roadmap!$D:$D,0)+COUNTIF($E166:AD166,"u")+COUNTIF($E166:AD166,"t")+COUNTIF($E166:AD166,"¶")+COUNTIF($E166:AD166,"²")+COUNTIF($E166:AD166,"µ")+COUNTIF($E166:AD166,1),ColTypeEcheance)),
  IF(LEN(AD166)=1,
  IF(LEN(INDEX(Roadmap!$D:$K,MATCH($E166,Roadmap!$D:$D,0)-1+COUNTIF($E166:AD166,"u")+COUNTIF($E166:AD166,"t")+COUNTIF($E166:AD166,"¶")+COUNTIF($E166:AD166,"²")+COUNTIF($E166:AD166,"µ")+COUNTIF($E166:AD166,1),ColDescriptionCourte))&gt;1,
HYPERLINK("#Roadmap!C"&amp; MATCH($E166,Roadmap!$D:$D,0)+COUNTIF($E166:AD166,"u")+COUNTIF($E166:AD166,"t")+COUNTIF($E166:AD166,"¶")+COUNTIF($E166:AD166,"²")+COUNTIF($E166:AD166,"µ")+COUNTIF($E166:AD166,1)-1,INDEX(Roadmap!$D:$K,MATCH($E166,Roadmap!$D:$D,0)-1+COUNTIF($E166:AD166,"u")+COUNTIF($E166:AD166,"t")+COUNTIF($E166:AD166,"¶")+COUNTIF($E166:AD166,"²")+COUNTIF($E166:AD166,"µ")+COUNTIF($E166:AD166,1),ColDescriptionCourte)),""),
  "")),"")</f>
        <v/>
      </c>
      <c r="AF166" s="40" t="str">
        <f ca="1">IFERROR(IF(AND(
  INDEX(Roadmap!$D:$K,MATCH($E166,Roadmap!$D:$D,0)+COUNTIF($E166:AE166,"u")+COUNTIF($E166:AE166,"t")+COUNTIF($E166:AE166,"¶")+COUNTIF($E166:AE166,"²")+COUNTIF($E166:AE166,"µ")+COUNTIF($E166:AE166,1),ColLivraison)=AF$6,
  VLOOKUP($E166,INDIRECT("tri!"&amp; CHAR(64+ C0Col) &amp;":"&amp; CHAR(65+C0Col)),2,FALSE)&gt;COUNTIF($E166:AE166,"u")+COUNTIF($E166:AE166,"t")+COUNTIF($E166:AE166,"¶")+COUNTIF($E166:AE166,"²")+COUNTIF($E166:AE166,"µ")+COUNTIF($E166:AE166,1)),
HYPERLINK("#Roadmap!C"&amp; MATCH($E166,Roadmap!$D:$D,0)+COUNTIF($E166:AE166,"u")+COUNTIF($E166:AE166,"t"),
     INDEX(Roadmap!$D:$K,MATCH($E166,Roadmap!$D:$D,0)+COUNTIF($E166:AE166,"u")+COUNTIF($E166:AE166,"t")+COUNTIF($E166:AE166,"¶")+COUNTIF($E166:AE166,"²")+COUNTIF($E166:AE166,"µ")+COUNTIF($E166:AE166,1),ColTypeEcheance)),
  IF(LEN(AE166)=1,
  IF(LEN(INDEX(Roadmap!$D:$K,MATCH($E166,Roadmap!$D:$D,0)-1+COUNTIF($E166:AE166,"u")+COUNTIF($E166:AE166,"t")+COUNTIF($E166:AE166,"¶")+COUNTIF($E166:AE166,"²")+COUNTIF($E166:AE166,"µ")+COUNTIF($E166:AE166,1),ColDescriptionCourte))&gt;1,
HYPERLINK("#Roadmap!C"&amp; MATCH($E166,Roadmap!$D:$D,0)+COUNTIF($E166:AE166,"u")+COUNTIF($E166:AE166,"t")+COUNTIF($E166:AE166,"¶")+COUNTIF($E166:AE166,"²")+COUNTIF($E166:AE166,"µ")+COUNTIF($E166:AE166,1)-1,INDEX(Roadmap!$D:$K,MATCH($E166,Roadmap!$D:$D,0)-1+COUNTIF($E166:AE166,"u")+COUNTIF($E166:AE166,"t")+COUNTIF($E166:AE166,"¶")+COUNTIF($E166:AE166,"²")+COUNTIF($E166:AE166,"µ")+COUNTIF($E166:AE166,1),ColDescriptionCourte)),""),
  "")),"")</f>
        <v/>
      </c>
      <c r="AG166" s="40" t="str">
        <f ca="1">IFERROR(IF(AND(
  INDEX(Roadmap!$D:$K,MATCH($E166,Roadmap!$D:$D,0)+COUNTIF($E166:AF166,"u")+COUNTIF($E166:AF166,"t")+COUNTIF($E166:AF166,"¶")+COUNTIF($E166:AF166,"²")+COUNTIF($E166:AF166,"µ")+COUNTIF($E166:AF166,1),ColLivraison)=AG$6,
  VLOOKUP($E166,INDIRECT("tri!"&amp; CHAR(64+ C0Col) &amp;":"&amp; CHAR(65+C0Col)),2,FALSE)&gt;COUNTIF($E166:AF166,"u")+COUNTIF($E166:AF166,"t")+COUNTIF($E166:AF166,"¶")+COUNTIF($E166:AF166,"²")+COUNTIF($E166:AF166,"µ")+COUNTIF($E166:AF166,1)),
HYPERLINK("#Roadmap!C"&amp; MATCH($E166,Roadmap!$D:$D,0)+COUNTIF($E166:AF166,"u")+COUNTIF($E166:AF166,"t"),
     INDEX(Roadmap!$D:$K,MATCH($E166,Roadmap!$D:$D,0)+COUNTIF($E166:AF166,"u")+COUNTIF($E166:AF166,"t")+COUNTIF($E166:AF166,"¶")+COUNTIF($E166:AF166,"²")+COUNTIF($E166:AF166,"µ")+COUNTIF($E166:AF166,1),ColTypeEcheance)),
  IF(LEN(AF166)=1,
  IF(LEN(INDEX(Roadmap!$D:$K,MATCH($E166,Roadmap!$D:$D,0)-1+COUNTIF($E166:AF166,"u")+COUNTIF($E166:AF166,"t")+COUNTIF($E166:AF166,"¶")+COUNTIF($E166:AF166,"²")+COUNTIF($E166:AF166,"µ")+COUNTIF($E166:AF166,1),ColDescriptionCourte))&gt;1,
HYPERLINK("#Roadmap!C"&amp; MATCH($E166,Roadmap!$D:$D,0)+COUNTIF($E166:AF166,"u")+COUNTIF($E166:AF166,"t")+COUNTIF($E166:AF166,"¶")+COUNTIF($E166:AF166,"²")+COUNTIF($E166:AF166,"µ")+COUNTIF($E166:AF166,1)-1,INDEX(Roadmap!$D:$K,MATCH($E166,Roadmap!$D:$D,0)-1+COUNTIF($E166:AF166,"u")+COUNTIF($E166:AF166,"t")+COUNTIF($E166:AF166,"¶")+COUNTIF($E166:AF166,"²")+COUNTIF($E166:AF166,"µ")+COUNTIF($E166:AF166,1),ColDescriptionCourte)),""),
  "")),"")</f>
        <v/>
      </c>
      <c r="AH166" s="40" t="str">
        <f ca="1">IFERROR(IF(AND(
  INDEX(Roadmap!$D:$K,MATCH($E166,Roadmap!$D:$D,0)+COUNTIF($E166:AG166,"u")+COUNTIF($E166:AG166,"t")+COUNTIF($E166:AG166,1),ColLivraison)=AH$6,
  VLOOKUP($E166,INDIRECT("tri!"&amp; CHAR(64+ C0Col) &amp;":"&amp; CHAR(65+C0Col)),2,FALSE)&gt;COUNTIF($E166:AG166,"u")+COUNTIF($E166:AG166,"t")+COUNTIF($E166:AG166,1)),
HYPERLINK("#Roadmap!C"&amp; MATCH($E166,Roadmap!$D:$D,0)+COUNTIF($E166:AG166,"u")+COUNTIF($E166:AG166,"t"),
     INDEX(Roadmap!$D:$K,MATCH($E166,Roadmap!$D:$D,0)+COUNTIF($E166:AG166,"u")+COUNTIF($E166:AG166,"t")+COUNTIF($E166:AG166,1),ColTypeEcheance)),
  IF(OR(AG166="u",AG166="t",AG166=1),
  IF(LEN(INDEX(Roadmap!$D:$K,MATCH($E166,Roadmap!$D:$D,0)-1+COUNTIF($E166:AG166,"u")+COUNTIF($E166:AG166,"t")+COUNTIF($E166:AG166,1),ColDescriptionCourte))&gt;1,
HYPERLINK("#Roadmap!C"&amp; MATCH($E166,Roadmap!$D:$D,0)+COUNTIF($E166:AG166,"u")+COUNTIF($E166:AG166,"t")+COUNTIF($E166:AG166,1)-1,INDEX(Roadmap!$D:$K,MATCH($E166,Roadmap!$D:$D,0)-1+COUNTIF($E166:AG166,"u")+COUNTIF($E166:AG166,"t")+COUNTIF($E166:AG166,1),ColDescriptionCourte)),""),
  "")),"")</f>
        <v/>
      </c>
      <c r="AI166" s="40"/>
      <c r="AJ166" s="40"/>
      <c r="AK166" s="40"/>
      <c r="AL166" s="40"/>
      <c r="AM166" s="40"/>
    </row>
    <row r="167" spans="4:39" ht="14.1" customHeight="1">
      <c r="D167" s="20" t="str">
        <f t="shared" ca="1" si="31"/>
        <v/>
      </c>
      <c r="E167" s="53" t="str">
        <f t="shared" ca="1" si="32"/>
        <v/>
      </c>
      <c r="F167" s="39" t="str">
        <f ca="1">IFERROR(IF(AND(
  INDEX(Roadmap!$D:$K,MATCH($E167,Roadmap!$D:$D,0)+COUNTIF($E167:E167,"u")+COUNTIF($E167:E167,"t")+COUNTIF($E167:E167,"¶")+COUNTIF($E167:E167,"²")+COUNTIF($E167:E167,"µ")+COUNTIF($E167:E167,1),ColLivraison)=F$6,
  VLOOKUP($E167,INDIRECT("tri!"&amp; CHAR(64+ C0Col) &amp;":"&amp; CHAR(65+C0Col)),2,FALSE)&gt;COUNTIF($E167:E167,"u")+COUNTIF($E167:E167,"t")+COUNTIF($E167:E167,"¶")+COUNTIF($E167:E167,"²")+COUNTIF($E167:E167,"µ")+COUNTIF($E167:E167,1)),
HYPERLINK("#Roadmap!C"&amp; MATCH($E167,Roadmap!$D:$D,0)+COUNTIF($E167:E167,"u")+COUNTIF($E167:E167,"t"),
     INDEX(Roadmap!$D:$K,MATCH($E167,Roadmap!$D:$D,0)+COUNTIF($E167:E167,"u")+COUNTIF($E167:E167,"t")+COUNTIF($E167:E167,"¶")+COUNTIF($E167:E167,"²")+COUNTIF($E167:E167,"µ")+COUNTIF($E167:E167,1),ColTypeEcheance)),
  IF(LEN(E167)=1,
  IF(LEN(INDEX(Roadmap!$D:$K,MATCH($E167,Roadmap!$D:$D,0)-1+COUNTIF($E167:E167,"u")+COUNTIF($E167:E167,"t")+COUNTIF($E167:E167,"¶")+COUNTIF($E167:E167,"²")+COUNTIF($E167:E167,"µ")+COUNTIF($E167:E167,1),ColDescriptionCourte))&gt;1,
HYPERLINK("#Roadmap!C"&amp; MATCH($E167,Roadmap!$D:$D,0)+COUNTIF($E167:E167,"u")+COUNTIF($E167:E167,"t")+COUNTIF($E167:E167,"¶")+COUNTIF($E167:E167,"²")+COUNTIF($E167:E167,"µ")+COUNTIF($E167:E167,1)-1,INDEX(Roadmap!$D:$K,MATCH($E167,Roadmap!$D:$D,0)-1+COUNTIF($E167:E167,"u")+COUNTIF($E167:E167,"t")+COUNTIF($E167:E167,"¶")+COUNTIF($E167:E167,"²")+COUNTIF($E167:E167,"µ")+COUNTIF($E167:E167,1),ColDescriptionCourte)),""),
  "")),"")</f>
        <v/>
      </c>
      <c r="G167" s="40" t="str">
        <f ca="1">IFERROR(IF(AND(
  INDEX(Roadmap!$D:$K,MATCH($E167,Roadmap!$D:$D,0)+COUNTIF($E167:F167,"u")+COUNTIF($E167:F167,"t")+COUNTIF($E167:F167,"¶")+COUNTIF($E167:F167,"²")+COUNTIF($E167:F167,"µ")+COUNTIF($E167:F167,1),ColLivraison)=G$6,
  VLOOKUP($E167,INDIRECT("tri!"&amp; CHAR(64+ C0Col) &amp;":"&amp; CHAR(65+C0Col)),2,FALSE)&gt;COUNTIF($E167:F167,"u")+COUNTIF($E167:F167,"t")+COUNTIF($E167:F167,"¶")+COUNTIF($E167:F167,"²")+COUNTIF($E167:F167,"µ")+COUNTIF($E167:F167,1)),
HYPERLINK("#Roadmap!C"&amp; MATCH($E167,Roadmap!$D:$D,0)+COUNTIF($E167:F167,"u")+COUNTIF($E167:F167,"t"),
     INDEX(Roadmap!$D:$K,MATCH($E167,Roadmap!$D:$D,0)+COUNTIF($E167:F167,"u")+COUNTIF($E167:F167,"t")+COUNTIF($E167:F167,"¶")+COUNTIF($E167:F167,"²")+COUNTIF($E167:F167,"µ")+COUNTIF($E167:F167,1),ColTypeEcheance)),
  IF(LEN(F167)=1,
  IF(LEN(INDEX(Roadmap!$D:$K,MATCH($E167,Roadmap!$D:$D,0)-1+COUNTIF($E167:F167,"u")+COUNTIF($E167:F167,"t")+COUNTIF($E167:F167,"¶")+COUNTIF($E167:F167,"²")+COUNTIF($E167:F167,"µ")+COUNTIF($E167:F167,1),ColDescriptionCourte))&gt;1,
HYPERLINK("#Roadmap!C"&amp; MATCH($E167,Roadmap!$D:$D,0)+COUNTIF($E167:F167,"u")+COUNTIF($E167:F167,"t")+COUNTIF($E167:F167,"¶")+COUNTIF($E167:F167,"²")+COUNTIF($E167:F167,"µ")+COUNTIF($E167:F167,1)-1,INDEX(Roadmap!$D:$K,MATCH($E167,Roadmap!$D:$D,0)-1+COUNTIF($E167:F167,"u")+COUNTIF($E167:F167,"t")+COUNTIF($E167:F167,"¶")+COUNTIF($E167:F167,"²")+COUNTIF($E167:F167,"µ")+COUNTIF($E167:F167,1),ColDescriptionCourte)),""),
  "")),"")</f>
        <v/>
      </c>
      <c r="H167" s="40" t="str">
        <f ca="1">IFERROR(IF(AND(
  INDEX(Roadmap!$D:$K,MATCH($E167,Roadmap!$D:$D,0)+COUNTIF($E167:G167,"u")+COUNTIF($E167:G167,"t")+COUNTIF($E167:G167,"¶")+COUNTIF($E167:G167,"²")+COUNTIF($E167:G167,"µ")+COUNTIF($E167:G167,1),ColLivraison)=H$6,
  VLOOKUP($E167,INDIRECT("tri!"&amp; CHAR(64+ C0Col) &amp;":"&amp; CHAR(65+C0Col)),2,FALSE)&gt;COUNTIF($E167:G167,"u")+COUNTIF($E167:G167,"t")+COUNTIF($E167:G167,"¶")+COUNTIF($E167:G167,"²")+COUNTIF($E167:G167,"µ")+COUNTIF($E167:G167,1)),
HYPERLINK("#Roadmap!C"&amp; MATCH($E167,Roadmap!$D:$D,0)+COUNTIF($E167:G167,"u")+COUNTIF($E167:G167,"t"),
     INDEX(Roadmap!$D:$K,MATCH($E167,Roadmap!$D:$D,0)+COUNTIF($E167:G167,"u")+COUNTIF($E167:G167,"t")+COUNTIF($E167:G167,"¶")+COUNTIF($E167:G167,"²")+COUNTIF($E167:G167,"µ")+COUNTIF($E167:G167,1),ColTypeEcheance)),
  IF(LEN(G167)=1,
  IF(LEN(INDEX(Roadmap!$D:$K,MATCH($E167,Roadmap!$D:$D,0)-1+COUNTIF($E167:G167,"u")+COUNTIF($E167:G167,"t")+COUNTIF($E167:G167,"¶")+COUNTIF($E167:G167,"²")+COUNTIF($E167:G167,"µ")+COUNTIF($E167:G167,1),ColDescriptionCourte))&gt;1,
HYPERLINK("#Roadmap!C"&amp; MATCH($E167,Roadmap!$D:$D,0)+COUNTIF($E167:G167,"u")+COUNTIF($E167:G167,"t")+COUNTIF($E167:G167,"¶")+COUNTIF($E167:G167,"²")+COUNTIF($E167:G167,"µ")+COUNTIF($E167:G167,1)-1,INDEX(Roadmap!$D:$K,MATCH($E167,Roadmap!$D:$D,0)-1+COUNTIF($E167:G167,"u")+COUNTIF($E167:G167,"t")+COUNTIF($E167:G167,"¶")+COUNTIF($E167:G167,"²")+COUNTIF($E167:G167,"µ")+COUNTIF($E167:G167,1),ColDescriptionCourte)),""),
  "")),"")</f>
        <v/>
      </c>
      <c r="I167" s="40" t="str">
        <f ca="1">IFERROR(IF(AND(
  INDEX(Roadmap!$D:$K,MATCH($E167,Roadmap!$D:$D,0)+COUNTIF($E167:H167,"u")+COUNTIF($E167:H167,"t")+COUNTIF($E167:H167,"¶")+COUNTIF($E167:H167,"²")+COUNTIF($E167:H167,"µ")+COUNTIF($E167:H167,1),ColLivraison)=I$6,
  VLOOKUP($E167,INDIRECT("tri!"&amp; CHAR(64+ C0Col) &amp;":"&amp; CHAR(65+C0Col)),2,FALSE)&gt;COUNTIF($E167:H167,"u")+COUNTIF($E167:H167,"t")+COUNTIF($E167:H167,"¶")+COUNTIF($E167:H167,"²")+COUNTIF($E167:H167,"µ")+COUNTIF($E167:H167,1)),
HYPERLINK("#Roadmap!C"&amp; MATCH($E167,Roadmap!$D:$D,0)+COUNTIF($E167:H167,"u")+COUNTIF($E167:H167,"t"),
     INDEX(Roadmap!$D:$K,MATCH($E167,Roadmap!$D:$D,0)+COUNTIF($E167:H167,"u")+COUNTIF($E167:H167,"t")+COUNTIF($E167:H167,"¶")+COUNTIF($E167:H167,"²")+COUNTIF($E167:H167,"µ")+COUNTIF($E167:H167,1),ColTypeEcheance)),
  IF(LEN(H167)=1,
  IF(LEN(INDEX(Roadmap!$D:$K,MATCH($E167,Roadmap!$D:$D,0)-1+COUNTIF($E167:H167,"u")+COUNTIF($E167:H167,"t")+COUNTIF($E167:H167,"¶")+COUNTIF($E167:H167,"²")+COUNTIF($E167:H167,"µ")+COUNTIF($E167:H167,1),ColDescriptionCourte))&gt;1,
HYPERLINK("#Roadmap!C"&amp; MATCH($E167,Roadmap!$D:$D,0)+COUNTIF($E167:H167,"u")+COUNTIF($E167:H167,"t")+COUNTIF($E167:H167,"¶")+COUNTIF($E167:H167,"²")+COUNTIF($E167:H167,"µ")+COUNTIF($E167:H167,1)-1,INDEX(Roadmap!$D:$K,MATCH($E167,Roadmap!$D:$D,0)-1+COUNTIF($E167:H167,"u")+COUNTIF($E167:H167,"t")+COUNTIF($E167:H167,"¶")+COUNTIF($E167:H167,"²")+COUNTIF($E167:H167,"µ")+COUNTIF($E167:H167,1),ColDescriptionCourte)),""),
  "")),"")</f>
        <v/>
      </c>
      <c r="J167" s="40" t="str">
        <f ca="1">IFERROR(IF(AND(
  INDEX(Roadmap!$D:$K,MATCH($E167,Roadmap!$D:$D,0)+COUNTIF($E167:I167,"u")+COUNTIF($E167:I167,"t")+COUNTIF($E167:I167,"¶")+COUNTIF($E167:I167,"²")+COUNTIF($E167:I167,"µ")+COUNTIF($E167:I167,1),ColLivraison)=J$6,
  VLOOKUP($E167,INDIRECT("tri!"&amp; CHAR(64+ C0Col) &amp;":"&amp; CHAR(65+C0Col)),2,FALSE)&gt;COUNTIF($E167:I167,"u")+COUNTIF($E167:I167,"t")+COUNTIF($E167:I167,"¶")+COUNTIF($E167:I167,"²")+COUNTIF($E167:I167,"µ")+COUNTIF($E167:I167,1)),
HYPERLINK("#Roadmap!C"&amp; MATCH($E167,Roadmap!$D:$D,0)+COUNTIF($E167:I167,"u")+COUNTIF($E167:I167,"t"),
     INDEX(Roadmap!$D:$K,MATCH($E167,Roadmap!$D:$D,0)+COUNTIF($E167:I167,"u")+COUNTIF($E167:I167,"t")+COUNTIF($E167:I167,"¶")+COUNTIF($E167:I167,"²")+COUNTIF($E167:I167,"µ")+COUNTIF($E167:I167,1),ColTypeEcheance)),
  IF(LEN(I167)=1,
  IF(LEN(INDEX(Roadmap!$D:$K,MATCH($E167,Roadmap!$D:$D,0)-1+COUNTIF($E167:I167,"u")+COUNTIF($E167:I167,"t")+COUNTIF($E167:I167,"¶")+COUNTIF($E167:I167,"²")+COUNTIF($E167:I167,"µ")+COUNTIF($E167:I167,1),ColDescriptionCourte))&gt;1,
HYPERLINK("#Roadmap!C"&amp; MATCH($E167,Roadmap!$D:$D,0)+COUNTIF($E167:I167,"u")+COUNTIF($E167:I167,"t")+COUNTIF($E167:I167,"¶")+COUNTIF($E167:I167,"²")+COUNTIF($E167:I167,"µ")+COUNTIF($E167:I167,1)-1,INDEX(Roadmap!$D:$K,MATCH($E167,Roadmap!$D:$D,0)-1+COUNTIF($E167:I167,"u")+COUNTIF($E167:I167,"t")+COUNTIF($E167:I167,"¶")+COUNTIF($E167:I167,"²")+COUNTIF($E167:I167,"µ")+COUNTIF($E167:I167,1),ColDescriptionCourte)),""),
  "")),"")</f>
        <v/>
      </c>
      <c r="K167" s="40" t="str">
        <f ca="1">IFERROR(IF(AND(
  INDEX(Roadmap!$D:$K,MATCH($E167,Roadmap!$D:$D,0)+COUNTIF($E167:J167,"u")+COUNTIF($E167:J167,"t")+COUNTIF($E167:J167,"¶")+COUNTIF($E167:J167,"²")+COUNTIF($E167:J167,"µ")+COUNTIF($E167:J167,1),ColLivraison)=K$6,
  VLOOKUP($E167,INDIRECT("tri!"&amp; CHAR(64+ C0Col) &amp;":"&amp; CHAR(65+C0Col)),2,FALSE)&gt;COUNTIF($E167:J167,"u")+COUNTIF($E167:J167,"t")+COUNTIF($E167:J167,"¶")+COUNTIF($E167:J167,"²")+COUNTIF($E167:J167,"µ")+COUNTIF($E167:J167,1)),
HYPERLINK("#Roadmap!C"&amp; MATCH($E167,Roadmap!$D:$D,0)+COUNTIF($E167:J167,"u")+COUNTIF($E167:J167,"t"),
     INDEX(Roadmap!$D:$K,MATCH($E167,Roadmap!$D:$D,0)+COUNTIF($E167:J167,"u")+COUNTIF($E167:J167,"t")+COUNTIF($E167:J167,"¶")+COUNTIF($E167:J167,"²")+COUNTIF($E167:J167,"µ")+COUNTIF($E167:J167,1),ColTypeEcheance)),
  IF(LEN(J167)=1,
  IF(LEN(INDEX(Roadmap!$D:$K,MATCH($E167,Roadmap!$D:$D,0)-1+COUNTIF($E167:J167,"u")+COUNTIF($E167:J167,"t")+COUNTIF($E167:J167,"¶")+COUNTIF($E167:J167,"²")+COUNTIF($E167:J167,"µ")+COUNTIF($E167:J167,1),ColDescriptionCourte))&gt;1,
HYPERLINK("#Roadmap!C"&amp; MATCH($E167,Roadmap!$D:$D,0)+COUNTIF($E167:J167,"u")+COUNTIF($E167:J167,"t")+COUNTIF($E167:J167,"¶")+COUNTIF($E167:J167,"²")+COUNTIF($E167:J167,"µ")+COUNTIF($E167:J167,1)-1,INDEX(Roadmap!$D:$K,MATCH($E167,Roadmap!$D:$D,0)-1+COUNTIF($E167:J167,"u")+COUNTIF($E167:J167,"t")+COUNTIF($E167:J167,"¶")+COUNTIF($E167:J167,"²")+COUNTIF($E167:J167,"µ")+COUNTIF($E167:J167,1),ColDescriptionCourte)),""),
  "")),"")</f>
        <v/>
      </c>
      <c r="L167" s="39" t="str">
        <f ca="1">IFERROR(IF(AND(
  INDEX(Roadmap!$D:$K,MATCH($E167,Roadmap!$D:$D,0)+COUNTIF($E167:K167,"u")+COUNTIF($E167:K167,"t")+COUNTIF($E167:K167,"¶")+COUNTIF($E167:K167,"²")+COUNTIF($E167:K167,"µ")+COUNTIF($E167:K167,1),ColLivraison)=L$6,
  VLOOKUP($E167,INDIRECT("tri!"&amp; CHAR(64+ C0Col) &amp;":"&amp; CHAR(65+C0Col)),2,FALSE)&gt;COUNTIF($E167:K167,"u")+COUNTIF($E167:K167,"t")+COUNTIF($E167:K167,"¶")+COUNTIF($E167:K167,"²")+COUNTIF($E167:K167,"µ")+COUNTIF($E167:K167,1)),
HYPERLINK("#Roadmap!C"&amp; MATCH($E167,Roadmap!$D:$D,0)+COUNTIF($E167:K167,"u")+COUNTIF($E167:K167,"t"),
     INDEX(Roadmap!$D:$K,MATCH($E167,Roadmap!$D:$D,0)+COUNTIF($E167:K167,"u")+COUNTIF($E167:K167,"t")+COUNTIF($E167:K167,"¶")+COUNTIF($E167:K167,"²")+COUNTIF($E167:K167,"µ")+COUNTIF($E167:K167,1),ColTypeEcheance)),
  IF(LEN(K167)=1,
  IF(LEN(INDEX(Roadmap!$D:$K,MATCH($E167,Roadmap!$D:$D,0)-1+COUNTIF($E167:K167,"u")+COUNTIF($E167:K167,"t")+COUNTIF($E167:K167,"¶")+COUNTIF($E167:K167,"²")+COUNTIF($E167:K167,"µ")+COUNTIF($E167:K167,1),ColDescriptionCourte))&gt;1,
HYPERLINK("#Roadmap!C"&amp; MATCH($E167,Roadmap!$D:$D,0)+COUNTIF($E167:K167,"u")+COUNTIF($E167:K167,"t")+COUNTIF($E167:K167,"¶")+COUNTIF($E167:K167,"²")+COUNTIF($E167:K167,"µ")+COUNTIF($E167:K167,1)-1,INDEX(Roadmap!$D:$K,MATCH($E167,Roadmap!$D:$D,0)-1+COUNTIF($E167:K167,"u")+COUNTIF($E167:K167,"t")+COUNTIF($E167:K167,"¶")+COUNTIF($E167:K167,"²")+COUNTIF($E167:K167,"µ")+COUNTIF($E167:K167,1),ColDescriptionCourte)),""),
  "")),"")</f>
        <v/>
      </c>
      <c r="M167" s="40" t="str">
        <f ca="1">IFERROR(IF(AND(
  INDEX(Roadmap!$D:$K,MATCH($E167,Roadmap!$D:$D,0)+COUNTIF($E167:L167,"u")+COUNTIF($E167:L167,"t")+COUNTIF($E167:L167,"¶")+COUNTIF($E167:L167,"²")+COUNTIF($E167:L167,"µ")+COUNTIF($E167:L167,1),ColLivraison)=M$6,
  VLOOKUP($E167,INDIRECT("tri!"&amp; CHAR(64+ C0Col) &amp;":"&amp; CHAR(65+C0Col)),2,FALSE)&gt;COUNTIF($E167:L167,"u")+COUNTIF($E167:L167,"t")+COUNTIF($E167:L167,"¶")+COUNTIF($E167:L167,"²")+COUNTIF($E167:L167,"µ")+COUNTIF($E167:L167,1)),
HYPERLINK("#Roadmap!C"&amp; MATCH($E167,Roadmap!$D:$D,0)+COUNTIF($E167:L167,"u")+COUNTIF($E167:L167,"t"),
     INDEX(Roadmap!$D:$K,MATCH($E167,Roadmap!$D:$D,0)+COUNTIF($E167:L167,"u")+COUNTIF($E167:L167,"t")+COUNTIF($E167:L167,"¶")+COUNTIF($E167:L167,"²")+COUNTIF($E167:L167,"µ")+COUNTIF($E167:L167,1),ColTypeEcheance)),
  IF(LEN(L167)=1,
  IF(LEN(INDEX(Roadmap!$D:$K,MATCH($E167,Roadmap!$D:$D,0)-1+COUNTIF($E167:L167,"u")+COUNTIF($E167:L167,"t")+COUNTIF($E167:L167,"¶")+COUNTIF($E167:L167,"²")+COUNTIF($E167:L167,"µ")+COUNTIF($E167:L167,1),ColDescriptionCourte))&gt;1,
HYPERLINK("#Roadmap!C"&amp; MATCH($E167,Roadmap!$D:$D,0)+COUNTIF($E167:L167,"u")+COUNTIF($E167:L167,"t")+COUNTIF($E167:L167,"¶")+COUNTIF($E167:L167,"²")+COUNTIF($E167:L167,"µ")+COUNTIF($E167:L167,1)-1,INDEX(Roadmap!$D:$K,MATCH($E167,Roadmap!$D:$D,0)-1+COUNTIF($E167:L167,"u")+COUNTIF($E167:L167,"t")+COUNTIF($E167:L167,"¶")+COUNTIF($E167:L167,"²")+COUNTIF($E167:L167,"µ")+COUNTIF($E167:L167,1),ColDescriptionCourte)),""),
  "")),"")</f>
        <v/>
      </c>
      <c r="N167" s="40" t="str">
        <f ca="1">IFERROR(IF(AND(
  INDEX(Roadmap!$D:$K,MATCH($E167,Roadmap!$D:$D,0)+COUNTIF($E167:M167,"u")+COUNTIF($E167:M167,"t")+COUNTIF($E167:M167,"¶")+COUNTIF($E167:M167,"²")+COUNTIF($E167:M167,"µ")+COUNTIF($E167:M167,1),ColLivraison)=N$6,
  VLOOKUP($E167,INDIRECT("tri!"&amp; CHAR(64+ C0Col) &amp;":"&amp; CHAR(65+C0Col)),2,FALSE)&gt;COUNTIF($E167:M167,"u")+COUNTIF($E167:M167,"t")+COUNTIF($E167:M167,"¶")+COUNTIF($E167:M167,"²")+COUNTIF($E167:M167,"µ")+COUNTIF($E167:M167,1)),
HYPERLINK("#Roadmap!C"&amp; MATCH($E167,Roadmap!$D:$D,0)+COUNTIF($E167:M167,"u")+COUNTIF($E167:M167,"t"),
     INDEX(Roadmap!$D:$K,MATCH($E167,Roadmap!$D:$D,0)+COUNTIF($E167:M167,"u")+COUNTIF($E167:M167,"t")+COUNTIF($E167:M167,"¶")+COUNTIF($E167:M167,"²")+COUNTIF($E167:M167,"µ")+COUNTIF($E167:M167,1),ColTypeEcheance)),
  IF(LEN(M167)=1,
  IF(LEN(INDEX(Roadmap!$D:$K,MATCH($E167,Roadmap!$D:$D,0)-1+COUNTIF($E167:M167,"u")+COUNTIF($E167:M167,"t")+COUNTIF($E167:M167,"¶")+COUNTIF($E167:M167,"²")+COUNTIF($E167:M167,"µ")+COUNTIF($E167:M167,1),ColDescriptionCourte))&gt;1,
HYPERLINK("#Roadmap!C"&amp; MATCH($E167,Roadmap!$D:$D,0)+COUNTIF($E167:M167,"u")+COUNTIF($E167:M167,"t")+COUNTIF($E167:M167,"¶")+COUNTIF($E167:M167,"²")+COUNTIF($E167:M167,"µ")+COUNTIF($E167:M167,1)-1,INDEX(Roadmap!$D:$K,MATCH($E167,Roadmap!$D:$D,0)-1+COUNTIF($E167:M167,"u")+COUNTIF($E167:M167,"t")+COUNTIF($E167:M167,"¶")+COUNTIF($E167:M167,"²")+COUNTIF($E167:M167,"µ")+COUNTIF($E167:M167,1),ColDescriptionCourte)),""),
  "")),"")</f>
        <v/>
      </c>
      <c r="O167" s="40" t="str">
        <f ca="1">IFERROR(IF(AND(
  INDEX(Roadmap!$D:$K,MATCH($E167,Roadmap!$D:$D,0)+COUNTIF($E167:N167,"u")+COUNTIF($E167:N167,"t")+COUNTIF($E167:N167,"¶")+COUNTIF($E167:N167,"²")+COUNTIF($E167:N167,"µ")+COUNTIF($E167:N167,1),ColLivraison)=O$6,
  VLOOKUP($E167,INDIRECT("tri!"&amp; CHAR(64+ C0Col) &amp;":"&amp; CHAR(65+C0Col)),2,FALSE)&gt;COUNTIF($E167:N167,"u")+COUNTIF($E167:N167,"t")+COUNTIF($E167:N167,"¶")+COUNTIF($E167:N167,"²")+COUNTIF($E167:N167,"µ")+COUNTIF($E167:N167,1)),
HYPERLINK("#Roadmap!C"&amp; MATCH($E167,Roadmap!$D:$D,0)+COUNTIF($E167:N167,"u")+COUNTIF($E167:N167,"t"),
     INDEX(Roadmap!$D:$K,MATCH($E167,Roadmap!$D:$D,0)+COUNTIF($E167:N167,"u")+COUNTIF($E167:N167,"t")+COUNTIF($E167:N167,"¶")+COUNTIF($E167:N167,"²")+COUNTIF($E167:N167,"µ")+COUNTIF($E167:N167,1),ColTypeEcheance)),
  IF(LEN(N167)=1,
  IF(LEN(INDEX(Roadmap!$D:$K,MATCH($E167,Roadmap!$D:$D,0)-1+COUNTIF($E167:N167,"u")+COUNTIF($E167:N167,"t")+COUNTIF($E167:N167,"¶")+COUNTIF($E167:N167,"²")+COUNTIF($E167:N167,"µ")+COUNTIF($E167:N167,1),ColDescriptionCourte))&gt;1,
HYPERLINK("#Roadmap!C"&amp; MATCH($E167,Roadmap!$D:$D,0)+COUNTIF($E167:N167,"u")+COUNTIF($E167:N167,"t")+COUNTIF($E167:N167,"¶")+COUNTIF($E167:N167,"²")+COUNTIF($E167:N167,"µ")+COUNTIF($E167:N167,1)-1,INDEX(Roadmap!$D:$K,MATCH($E167,Roadmap!$D:$D,0)-1+COUNTIF($E167:N167,"u")+COUNTIF($E167:N167,"t")+COUNTIF($E167:N167,"¶")+COUNTIF($E167:N167,"²")+COUNTIF($E167:N167,"µ")+COUNTIF($E167:N167,1),ColDescriptionCourte)),""),
  "")),"")</f>
        <v/>
      </c>
      <c r="P167" s="40" t="str">
        <f ca="1">IFERROR(IF(AND(
  INDEX(Roadmap!$D:$K,MATCH($E167,Roadmap!$D:$D,0)+COUNTIF($E167:O167,"u")+COUNTIF($E167:O167,"t")+COUNTIF($E167:O167,"¶")+COUNTIF($E167:O167,"²")+COUNTIF($E167:O167,"µ")+COUNTIF($E167:O167,1),ColLivraison)=P$6,
  VLOOKUP($E167,INDIRECT("tri!"&amp; CHAR(64+ C0Col) &amp;":"&amp; CHAR(65+C0Col)),2,FALSE)&gt;COUNTIF($E167:O167,"u")+COUNTIF($E167:O167,"t")+COUNTIF($E167:O167,"¶")+COUNTIF($E167:O167,"²")+COUNTIF($E167:O167,"µ")+COUNTIF($E167:O167,1)),
HYPERLINK("#Roadmap!C"&amp; MATCH($E167,Roadmap!$D:$D,0)+COUNTIF($E167:O167,"u")+COUNTIF($E167:O167,"t"),
     INDEX(Roadmap!$D:$K,MATCH($E167,Roadmap!$D:$D,0)+COUNTIF($E167:O167,"u")+COUNTIF($E167:O167,"t")+COUNTIF($E167:O167,"¶")+COUNTIF($E167:O167,"²")+COUNTIF($E167:O167,"µ")+COUNTIF($E167:O167,1),ColTypeEcheance)),
  IF(LEN(O167)=1,
  IF(LEN(INDEX(Roadmap!$D:$K,MATCH($E167,Roadmap!$D:$D,0)-1+COUNTIF($E167:O167,"u")+COUNTIF($E167:O167,"t")+COUNTIF($E167:O167,"¶")+COUNTIF($E167:O167,"²")+COUNTIF($E167:O167,"µ")+COUNTIF($E167:O167,1),ColDescriptionCourte))&gt;1,
HYPERLINK("#Roadmap!C"&amp; MATCH($E167,Roadmap!$D:$D,0)+COUNTIF($E167:O167,"u")+COUNTIF($E167:O167,"t")+COUNTIF($E167:O167,"¶")+COUNTIF($E167:O167,"²")+COUNTIF($E167:O167,"µ")+COUNTIF($E167:O167,1)-1,INDEX(Roadmap!$D:$K,MATCH($E167,Roadmap!$D:$D,0)-1+COUNTIF($E167:O167,"u")+COUNTIF($E167:O167,"t")+COUNTIF($E167:O167,"¶")+COUNTIF($E167:O167,"²")+COUNTIF($E167:O167,"µ")+COUNTIF($E167:O167,1),ColDescriptionCourte)),""),
  "")),"")</f>
        <v/>
      </c>
      <c r="Q167" s="40" t="str">
        <f ca="1">IFERROR(IF(AND(
  INDEX(Roadmap!$D:$K,MATCH($E167,Roadmap!$D:$D,0)+COUNTIF($E167:P167,"u")+COUNTIF($E167:P167,"t")+COUNTIF($E167:P167,"¶")+COUNTIF($E167:P167,"²")+COUNTIF($E167:P167,"µ")+COUNTIF($E167:P167,1),ColLivraison)=Q$6,
  VLOOKUP($E167,INDIRECT("tri!"&amp; CHAR(64+ C0Col) &amp;":"&amp; CHAR(65+C0Col)),2,FALSE)&gt;COUNTIF($E167:P167,"u")+COUNTIF($E167:P167,"t")+COUNTIF($E167:P167,"¶")+COUNTIF($E167:P167,"²")+COUNTIF($E167:P167,"µ")+COUNTIF($E167:P167,1)),
HYPERLINK("#Roadmap!C"&amp; MATCH($E167,Roadmap!$D:$D,0)+COUNTIF($E167:P167,"u")+COUNTIF($E167:P167,"t"),
     INDEX(Roadmap!$D:$K,MATCH($E167,Roadmap!$D:$D,0)+COUNTIF($E167:P167,"u")+COUNTIF($E167:P167,"t")+COUNTIF($E167:P167,"¶")+COUNTIF($E167:P167,"²")+COUNTIF($E167:P167,"µ")+COUNTIF($E167:P167,1),ColTypeEcheance)),
  IF(LEN(P167)=1,
  IF(LEN(INDEX(Roadmap!$D:$K,MATCH($E167,Roadmap!$D:$D,0)-1+COUNTIF($E167:P167,"u")+COUNTIF($E167:P167,"t")+COUNTIF($E167:P167,"¶")+COUNTIF($E167:P167,"²")+COUNTIF($E167:P167,"µ")+COUNTIF($E167:P167,1),ColDescriptionCourte))&gt;1,
HYPERLINK("#Roadmap!C"&amp; MATCH($E167,Roadmap!$D:$D,0)+COUNTIF($E167:P167,"u")+COUNTIF($E167:P167,"t")+COUNTIF($E167:P167,"¶")+COUNTIF($E167:P167,"²")+COUNTIF($E167:P167,"µ")+COUNTIF($E167:P167,1)-1,INDEX(Roadmap!$D:$K,MATCH($E167,Roadmap!$D:$D,0)-1+COUNTIF($E167:P167,"u")+COUNTIF($E167:P167,"t")+COUNTIF($E167:P167,"¶")+COUNTIF($E167:P167,"²")+COUNTIF($E167:P167,"µ")+COUNTIF($E167:P167,1),ColDescriptionCourte)),""),
  "")),"")</f>
        <v/>
      </c>
      <c r="R167" s="40" t="str">
        <f ca="1">IFERROR(IF(AND(
  INDEX(Roadmap!$D:$K,MATCH($E167,Roadmap!$D:$D,0)+COUNTIF($E167:Q167,"u")+COUNTIF($E167:Q167,"t")+COUNTIF($E167:Q167,"¶")+COUNTIF($E167:Q167,"²")+COUNTIF($E167:Q167,"µ")+COUNTIF($E167:Q167,1),ColLivraison)=R$6,
  VLOOKUP($E167,INDIRECT("tri!"&amp; CHAR(64+ C0Col) &amp;":"&amp; CHAR(65+C0Col)),2,FALSE)&gt;COUNTIF($E167:Q167,"u")+COUNTIF($E167:Q167,"t")+COUNTIF($E167:Q167,"¶")+COUNTIF($E167:Q167,"²")+COUNTIF($E167:Q167,"µ")+COUNTIF($E167:Q167,1)),
HYPERLINK("#Roadmap!C"&amp; MATCH($E167,Roadmap!$D:$D,0)+COUNTIF($E167:Q167,"u")+COUNTIF($E167:Q167,"t"),
     INDEX(Roadmap!$D:$K,MATCH($E167,Roadmap!$D:$D,0)+COUNTIF($E167:Q167,"u")+COUNTIF($E167:Q167,"t")+COUNTIF($E167:Q167,"¶")+COUNTIF($E167:Q167,"²")+COUNTIF($E167:Q167,"µ")+COUNTIF($E167:Q167,1),ColTypeEcheance)),
  IF(LEN(Q167)=1,
  IF(LEN(INDEX(Roadmap!$D:$K,MATCH($E167,Roadmap!$D:$D,0)-1+COUNTIF($E167:Q167,"u")+COUNTIF($E167:Q167,"t")+COUNTIF($E167:Q167,"¶")+COUNTIF($E167:Q167,"²")+COUNTIF($E167:Q167,"µ")+COUNTIF($E167:Q167,1),ColDescriptionCourte))&gt;1,
HYPERLINK("#Roadmap!C"&amp; MATCH($E167,Roadmap!$D:$D,0)+COUNTIF($E167:Q167,"u")+COUNTIF($E167:Q167,"t")+COUNTIF($E167:Q167,"¶")+COUNTIF($E167:Q167,"²")+COUNTIF($E167:Q167,"µ")+COUNTIF($E167:Q167,1)-1,INDEX(Roadmap!$D:$K,MATCH($E167,Roadmap!$D:$D,0)-1+COUNTIF($E167:Q167,"u")+COUNTIF($E167:Q167,"t")+COUNTIF($E167:Q167,"¶")+COUNTIF($E167:Q167,"²")+COUNTIF($E167:Q167,"µ")+COUNTIF($E167:Q167,1),ColDescriptionCourte)),""),
  "")),"")</f>
        <v/>
      </c>
      <c r="S167" s="40" t="str">
        <f ca="1">IFERROR(IF(AND(
  INDEX(Roadmap!$D:$K,MATCH($E167,Roadmap!$D:$D,0)+COUNTIF($E167:R167,"u")+COUNTIF($E167:R167,"t")+COUNTIF($E167:R167,"¶")+COUNTIF($E167:R167,"²")+COUNTIF($E167:R167,"µ")+COUNTIF($E167:R167,1),ColLivraison)=S$6,
  VLOOKUP($E167,INDIRECT("tri!"&amp; CHAR(64+ C0Col) &amp;":"&amp; CHAR(65+C0Col)),2,FALSE)&gt;COUNTIF($E167:R167,"u")+COUNTIF($E167:R167,"t")+COUNTIF($E167:R167,"¶")+COUNTIF($E167:R167,"²")+COUNTIF($E167:R167,"µ")+COUNTIF($E167:R167,1)),
HYPERLINK("#Roadmap!C"&amp; MATCH($E167,Roadmap!$D:$D,0)+COUNTIF($E167:R167,"u")+COUNTIF($E167:R167,"t"),
     INDEX(Roadmap!$D:$K,MATCH($E167,Roadmap!$D:$D,0)+COUNTIF($E167:R167,"u")+COUNTIF($E167:R167,"t")+COUNTIF($E167:R167,"¶")+COUNTIF($E167:R167,"²")+COUNTIF($E167:R167,"µ")+COUNTIF($E167:R167,1),ColTypeEcheance)),
  IF(LEN(R167)=1,
  IF(LEN(INDEX(Roadmap!$D:$K,MATCH($E167,Roadmap!$D:$D,0)-1+COUNTIF($E167:R167,"u")+COUNTIF($E167:R167,"t")+COUNTIF($E167:R167,"¶")+COUNTIF($E167:R167,"²")+COUNTIF($E167:R167,"µ")+COUNTIF($E167:R167,1),ColDescriptionCourte))&gt;1,
HYPERLINK("#Roadmap!C"&amp; MATCH($E167,Roadmap!$D:$D,0)+COUNTIF($E167:R167,"u")+COUNTIF($E167:R167,"t")+COUNTIF($E167:R167,"¶")+COUNTIF($E167:R167,"²")+COUNTIF($E167:R167,"µ")+COUNTIF($E167:R167,1)-1,INDEX(Roadmap!$D:$K,MATCH($E167,Roadmap!$D:$D,0)-1+COUNTIF($E167:R167,"u")+COUNTIF($E167:R167,"t")+COUNTIF($E167:R167,"¶")+COUNTIF($E167:R167,"²")+COUNTIF($E167:R167,"µ")+COUNTIF($E167:R167,1),ColDescriptionCourte)),""),
  "")),"")</f>
        <v/>
      </c>
      <c r="T167" s="40" t="str">
        <f ca="1">IFERROR(IF(AND(
  INDEX(Roadmap!$D:$K,MATCH($E167,Roadmap!$D:$D,0)+COUNTIF($E167:S167,"u")+COUNTIF($E167:S167,"t")+COUNTIF($E167:S167,"¶")+COUNTIF($E167:S167,"²")+COUNTIF($E167:S167,"µ")+COUNTIF($E167:S167,1),ColLivraison)=T$6,
  VLOOKUP($E167,INDIRECT("tri!"&amp; CHAR(64+ C0Col) &amp;":"&amp; CHAR(65+C0Col)),2,FALSE)&gt;COUNTIF($E167:S167,"u")+COUNTIF($E167:S167,"t")+COUNTIF($E167:S167,"¶")+COUNTIF($E167:S167,"²")+COUNTIF($E167:S167,"µ")+COUNTIF($E167:S167,1)),
HYPERLINK("#Roadmap!C"&amp; MATCH($E167,Roadmap!$D:$D,0)+COUNTIF($E167:S167,"u")+COUNTIF($E167:S167,"t"),
     INDEX(Roadmap!$D:$K,MATCH($E167,Roadmap!$D:$D,0)+COUNTIF($E167:S167,"u")+COUNTIF($E167:S167,"t")+COUNTIF($E167:S167,"¶")+COUNTIF($E167:S167,"²")+COUNTIF($E167:S167,"µ")+COUNTIF($E167:S167,1),ColTypeEcheance)),
  IF(LEN(S167)=1,
  IF(LEN(INDEX(Roadmap!$D:$K,MATCH($E167,Roadmap!$D:$D,0)-1+COUNTIF($E167:S167,"u")+COUNTIF($E167:S167,"t")+COUNTIF($E167:S167,"¶")+COUNTIF($E167:S167,"²")+COUNTIF($E167:S167,"µ")+COUNTIF($E167:S167,1),ColDescriptionCourte))&gt;1,
HYPERLINK("#Roadmap!C"&amp; MATCH($E167,Roadmap!$D:$D,0)+COUNTIF($E167:S167,"u")+COUNTIF($E167:S167,"t")+COUNTIF($E167:S167,"¶")+COUNTIF($E167:S167,"²")+COUNTIF($E167:S167,"µ")+COUNTIF($E167:S167,1)-1,INDEX(Roadmap!$D:$K,MATCH($E167,Roadmap!$D:$D,0)-1+COUNTIF($E167:S167,"u")+COUNTIF($E167:S167,"t")+COUNTIF($E167:S167,"¶")+COUNTIF($E167:S167,"²")+COUNTIF($E167:S167,"µ")+COUNTIF($E167:S167,1),ColDescriptionCourte)),""),
  "")),"")</f>
        <v/>
      </c>
      <c r="U167" s="40" t="str">
        <f ca="1">IFERROR(IF(AND(
  INDEX(Roadmap!$D:$K,MATCH($E167,Roadmap!$D:$D,0)+COUNTIF($E167:T167,"u")+COUNTIF($E167:T167,"t")+COUNTIF($E167:T167,"¶")+COUNTIF($E167:T167,"²")+COUNTIF($E167:T167,"µ")+COUNTIF($E167:T167,1),ColLivraison)=U$6,
  VLOOKUP($E167,INDIRECT("tri!"&amp; CHAR(64+ C0Col) &amp;":"&amp; CHAR(65+C0Col)),2,FALSE)&gt;COUNTIF($E167:T167,"u")+COUNTIF($E167:T167,"t")+COUNTIF($E167:T167,"¶")+COUNTIF($E167:T167,"²")+COUNTIF($E167:T167,"µ")+COUNTIF($E167:T167,1)),
HYPERLINK("#Roadmap!C"&amp; MATCH($E167,Roadmap!$D:$D,0)+COUNTIF($E167:T167,"u")+COUNTIF($E167:T167,"t"),
     INDEX(Roadmap!$D:$K,MATCH($E167,Roadmap!$D:$D,0)+COUNTIF($E167:T167,"u")+COUNTIF($E167:T167,"t")+COUNTIF($E167:T167,"¶")+COUNTIF($E167:T167,"²")+COUNTIF($E167:T167,"µ")+COUNTIF($E167:T167,1),ColTypeEcheance)),
  IF(LEN(T167)=1,
  IF(LEN(INDEX(Roadmap!$D:$K,MATCH($E167,Roadmap!$D:$D,0)-1+COUNTIF($E167:T167,"u")+COUNTIF($E167:T167,"t")+COUNTIF($E167:T167,"¶")+COUNTIF($E167:T167,"²")+COUNTIF($E167:T167,"µ")+COUNTIF($E167:T167,1),ColDescriptionCourte))&gt;1,
HYPERLINK("#Roadmap!C"&amp; MATCH($E167,Roadmap!$D:$D,0)+COUNTIF($E167:T167,"u")+COUNTIF($E167:T167,"t")+COUNTIF($E167:T167,"¶")+COUNTIF($E167:T167,"²")+COUNTIF($E167:T167,"µ")+COUNTIF($E167:T167,1)-1,INDEX(Roadmap!$D:$K,MATCH($E167,Roadmap!$D:$D,0)-1+COUNTIF($E167:T167,"u")+COUNTIF($E167:T167,"t")+COUNTIF($E167:T167,"¶")+COUNTIF($E167:T167,"²")+COUNTIF($E167:T167,"µ")+COUNTIF($E167:T167,1),ColDescriptionCourte)),""),
  "")),"")</f>
        <v/>
      </c>
      <c r="V167" s="40" t="str">
        <f ca="1">IFERROR(IF(AND(
  INDEX(Roadmap!$D:$K,MATCH($E167,Roadmap!$D:$D,0)+COUNTIF($E167:U167,"u")+COUNTIF($E167:U167,"t")+COUNTIF($E167:U167,"¶")+COUNTIF($E167:U167,"²")+COUNTIF($E167:U167,"µ")+COUNTIF($E167:U167,1),ColLivraison)=V$6,
  VLOOKUP($E167,INDIRECT("tri!"&amp; CHAR(64+ C0Col) &amp;":"&amp; CHAR(65+C0Col)),2,FALSE)&gt;COUNTIF($E167:U167,"u")+COUNTIF($E167:U167,"t")+COUNTIF($E167:U167,"¶")+COUNTIF($E167:U167,"²")+COUNTIF($E167:U167,"µ")+COUNTIF($E167:U167,1)),
HYPERLINK("#Roadmap!C"&amp; MATCH($E167,Roadmap!$D:$D,0)+COUNTIF($E167:U167,"u")+COUNTIF($E167:U167,"t"),
     INDEX(Roadmap!$D:$K,MATCH($E167,Roadmap!$D:$D,0)+COUNTIF($E167:U167,"u")+COUNTIF($E167:U167,"t")+COUNTIF($E167:U167,"¶")+COUNTIF($E167:U167,"²")+COUNTIF($E167:U167,"µ")+COUNTIF($E167:U167,1),ColTypeEcheance)),
  IF(LEN(U167)=1,
  IF(LEN(INDEX(Roadmap!$D:$K,MATCH($E167,Roadmap!$D:$D,0)-1+COUNTIF($E167:U167,"u")+COUNTIF($E167:U167,"t")+COUNTIF($E167:U167,"¶")+COUNTIF($E167:U167,"²")+COUNTIF($E167:U167,"µ")+COUNTIF($E167:U167,1),ColDescriptionCourte))&gt;1,
HYPERLINK("#Roadmap!C"&amp; MATCH($E167,Roadmap!$D:$D,0)+COUNTIF($E167:U167,"u")+COUNTIF($E167:U167,"t")+COUNTIF($E167:U167,"¶")+COUNTIF($E167:U167,"²")+COUNTIF($E167:U167,"µ")+COUNTIF($E167:U167,1)-1,INDEX(Roadmap!$D:$K,MATCH($E167,Roadmap!$D:$D,0)-1+COUNTIF($E167:U167,"u")+COUNTIF($E167:U167,"t")+COUNTIF($E167:U167,"¶")+COUNTIF($E167:U167,"²")+COUNTIF($E167:U167,"µ")+COUNTIF($E167:U167,1),ColDescriptionCourte)),""),
  "")),"")</f>
        <v/>
      </c>
      <c r="W167" s="40" t="str">
        <f ca="1">IFERROR(IF(AND(
  INDEX(Roadmap!$D:$K,MATCH($E167,Roadmap!$D:$D,0)+COUNTIF($E167:V167,"u")+COUNTIF($E167:V167,"t")+COUNTIF($E167:V167,"¶")+COUNTIF($E167:V167,"²")+COUNTIF($E167:V167,"µ")+COUNTIF($E167:V167,1),ColLivraison)=W$6,
  VLOOKUP($E167,INDIRECT("tri!"&amp; CHAR(64+ C0Col) &amp;":"&amp; CHAR(65+C0Col)),2,FALSE)&gt;COUNTIF($E167:V167,"u")+COUNTIF($E167:V167,"t")+COUNTIF($E167:V167,"¶")+COUNTIF($E167:V167,"²")+COUNTIF($E167:V167,"µ")+COUNTIF($E167:V167,1)),
HYPERLINK("#Roadmap!C"&amp; MATCH($E167,Roadmap!$D:$D,0)+COUNTIF($E167:V167,"u")+COUNTIF($E167:V167,"t"),
     INDEX(Roadmap!$D:$K,MATCH($E167,Roadmap!$D:$D,0)+COUNTIF($E167:V167,"u")+COUNTIF($E167:V167,"t")+COUNTIF($E167:V167,"¶")+COUNTIF($E167:V167,"²")+COUNTIF($E167:V167,"µ")+COUNTIF($E167:V167,1),ColTypeEcheance)),
  IF(LEN(V167)=1,
  IF(LEN(INDEX(Roadmap!$D:$K,MATCH($E167,Roadmap!$D:$D,0)-1+COUNTIF($E167:V167,"u")+COUNTIF($E167:V167,"t")+COUNTIF($E167:V167,"¶")+COUNTIF($E167:V167,"²")+COUNTIF($E167:V167,"µ")+COUNTIF($E167:V167,1),ColDescriptionCourte))&gt;1,
HYPERLINK("#Roadmap!C"&amp; MATCH($E167,Roadmap!$D:$D,0)+COUNTIF($E167:V167,"u")+COUNTIF($E167:V167,"t")+COUNTIF($E167:V167,"¶")+COUNTIF($E167:V167,"²")+COUNTIF($E167:V167,"µ")+COUNTIF($E167:V167,1)-1,INDEX(Roadmap!$D:$K,MATCH($E167,Roadmap!$D:$D,0)-1+COUNTIF($E167:V167,"u")+COUNTIF($E167:V167,"t")+COUNTIF($E167:V167,"¶")+COUNTIF($E167:V167,"²")+COUNTIF($E167:V167,"µ")+COUNTIF($E167:V167,1),ColDescriptionCourte)),""),
  "")),"")</f>
        <v/>
      </c>
      <c r="X167" s="40" t="str">
        <f ca="1">IFERROR(IF(AND(
  INDEX(Roadmap!$D:$K,MATCH($E167,Roadmap!$D:$D,0)+COUNTIF($E167:W167,"u")+COUNTIF($E167:W167,"t")+COUNTIF($E167:W167,"¶")+COUNTIF($E167:W167,"²")+COUNTIF($E167:W167,"µ")+COUNTIF($E167:W167,1),ColLivraison)=X$6,
  VLOOKUP($E167,INDIRECT("tri!"&amp; CHAR(64+ C0Col) &amp;":"&amp; CHAR(65+C0Col)),2,FALSE)&gt;COUNTIF($E167:W167,"u")+COUNTIF($E167:W167,"t")+COUNTIF($E167:W167,"¶")+COUNTIF($E167:W167,"²")+COUNTIF($E167:W167,"µ")+COUNTIF($E167:W167,1)),
HYPERLINK("#Roadmap!C"&amp; MATCH($E167,Roadmap!$D:$D,0)+COUNTIF($E167:W167,"u")+COUNTIF($E167:W167,"t"),
     INDEX(Roadmap!$D:$K,MATCH($E167,Roadmap!$D:$D,0)+COUNTIF($E167:W167,"u")+COUNTIF($E167:W167,"t")+COUNTIF($E167:W167,"¶")+COUNTIF($E167:W167,"²")+COUNTIF($E167:W167,"µ")+COUNTIF($E167:W167,1),ColTypeEcheance)),
  IF(LEN(W167)=1,
  IF(LEN(INDEX(Roadmap!$D:$K,MATCH($E167,Roadmap!$D:$D,0)-1+COUNTIF($E167:W167,"u")+COUNTIF($E167:W167,"t")+COUNTIF($E167:W167,"¶")+COUNTIF($E167:W167,"²")+COUNTIF($E167:W167,"µ")+COUNTIF($E167:W167,1),ColDescriptionCourte))&gt;1,
HYPERLINK("#Roadmap!C"&amp; MATCH($E167,Roadmap!$D:$D,0)+COUNTIF($E167:W167,"u")+COUNTIF($E167:W167,"t")+COUNTIF($E167:W167,"¶")+COUNTIF($E167:W167,"²")+COUNTIF($E167:W167,"µ")+COUNTIF($E167:W167,1)-1,INDEX(Roadmap!$D:$K,MATCH($E167,Roadmap!$D:$D,0)-1+COUNTIF($E167:W167,"u")+COUNTIF($E167:W167,"t")+COUNTIF($E167:W167,"¶")+COUNTIF($E167:W167,"²")+COUNTIF($E167:W167,"µ")+COUNTIF($E167:W167,1),ColDescriptionCourte)),""),
  "")),"")</f>
        <v/>
      </c>
      <c r="Y167" s="40" t="str">
        <f ca="1">IFERROR(IF(AND(
  INDEX(Roadmap!$D:$K,MATCH($E167,Roadmap!$D:$D,0)+COUNTIF($E167:X167,"u")+COUNTIF($E167:X167,"t")+COUNTIF($E167:X167,"¶")+COUNTIF($E167:X167,"²")+COUNTIF($E167:X167,"µ")+COUNTIF($E167:X167,1),ColLivraison)=Y$6,
  VLOOKUP($E167,INDIRECT("tri!"&amp; CHAR(64+ C0Col) &amp;":"&amp; CHAR(65+C0Col)),2,FALSE)&gt;COUNTIF($E167:X167,"u")+COUNTIF($E167:X167,"t")+COUNTIF($E167:X167,"¶")+COUNTIF($E167:X167,"²")+COUNTIF($E167:X167,"µ")+COUNTIF($E167:X167,1)),
HYPERLINK("#Roadmap!C"&amp; MATCH($E167,Roadmap!$D:$D,0)+COUNTIF($E167:X167,"u")+COUNTIF($E167:X167,"t"),
     INDEX(Roadmap!$D:$K,MATCH($E167,Roadmap!$D:$D,0)+COUNTIF($E167:X167,"u")+COUNTIF($E167:X167,"t")+COUNTIF($E167:X167,"¶")+COUNTIF($E167:X167,"²")+COUNTIF($E167:X167,"µ")+COUNTIF($E167:X167,1),ColTypeEcheance)),
  IF(LEN(X167)=1,
  IF(LEN(INDEX(Roadmap!$D:$K,MATCH($E167,Roadmap!$D:$D,0)-1+COUNTIF($E167:X167,"u")+COUNTIF($E167:X167,"t")+COUNTIF($E167:X167,"¶")+COUNTIF($E167:X167,"²")+COUNTIF($E167:X167,"µ")+COUNTIF($E167:X167,1),ColDescriptionCourte))&gt;1,
HYPERLINK("#Roadmap!C"&amp; MATCH($E167,Roadmap!$D:$D,0)+COUNTIF($E167:X167,"u")+COUNTIF($E167:X167,"t")+COUNTIF($E167:X167,"¶")+COUNTIF($E167:X167,"²")+COUNTIF($E167:X167,"µ")+COUNTIF($E167:X167,1)-1,INDEX(Roadmap!$D:$K,MATCH($E167,Roadmap!$D:$D,0)-1+COUNTIF($E167:X167,"u")+COUNTIF($E167:X167,"t")+COUNTIF($E167:X167,"¶")+COUNTIF($E167:X167,"²")+COUNTIF($E167:X167,"µ")+COUNTIF($E167:X167,1),ColDescriptionCourte)),""),
  "")),"")</f>
        <v/>
      </c>
      <c r="Z167" s="40" t="str">
        <f ca="1">IFERROR(IF(AND(
  INDEX(Roadmap!$D:$K,MATCH($E167,Roadmap!$D:$D,0)+COUNTIF($E167:Y167,"u")+COUNTIF($E167:Y167,"t")+COUNTIF($E167:Y167,"¶")+COUNTIF($E167:Y167,"²")+COUNTIF($E167:Y167,"µ")+COUNTIF($E167:Y167,1),ColLivraison)=Z$6,
  VLOOKUP($E167,INDIRECT("tri!"&amp; CHAR(64+ C0Col) &amp;":"&amp; CHAR(65+C0Col)),2,FALSE)&gt;COUNTIF($E167:Y167,"u")+COUNTIF($E167:Y167,"t")+COUNTIF($E167:Y167,"¶")+COUNTIF($E167:Y167,"²")+COUNTIF($E167:Y167,"µ")+COUNTIF($E167:Y167,1)),
HYPERLINK("#Roadmap!C"&amp; MATCH($E167,Roadmap!$D:$D,0)+COUNTIF($E167:Y167,"u")+COUNTIF($E167:Y167,"t"),
     INDEX(Roadmap!$D:$K,MATCH($E167,Roadmap!$D:$D,0)+COUNTIF($E167:Y167,"u")+COUNTIF($E167:Y167,"t")+COUNTIF($E167:Y167,"¶")+COUNTIF($E167:Y167,"²")+COUNTIF($E167:Y167,"µ")+COUNTIF($E167:Y167,1),ColTypeEcheance)),
  IF(LEN(Y167)=1,
  IF(LEN(INDEX(Roadmap!$D:$K,MATCH($E167,Roadmap!$D:$D,0)-1+COUNTIF($E167:Y167,"u")+COUNTIF($E167:Y167,"t")+COUNTIF($E167:Y167,"¶")+COUNTIF($E167:Y167,"²")+COUNTIF($E167:Y167,"µ")+COUNTIF($E167:Y167,1),ColDescriptionCourte))&gt;1,
HYPERLINK("#Roadmap!C"&amp; MATCH($E167,Roadmap!$D:$D,0)+COUNTIF($E167:Y167,"u")+COUNTIF($E167:Y167,"t")+COUNTIF($E167:Y167,"¶")+COUNTIF($E167:Y167,"²")+COUNTIF($E167:Y167,"µ")+COUNTIF($E167:Y167,1)-1,INDEX(Roadmap!$D:$K,MATCH($E167,Roadmap!$D:$D,0)-1+COUNTIF($E167:Y167,"u")+COUNTIF($E167:Y167,"t")+COUNTIF($E167:Y167,"¶")+COUNTIF($E167:Y167,"²")+COUNTIF($E167:Y167,"µ")+COUNTIF($E167:Y167,1),ColDescriptionCourte)),""),
  "")),"")</f>
        <v/>
      </c>
      <c r="AA167" s="40" t="str">
        <f ca="1">IFERROR(IF(AND(
  INDEX(Roadmap!$D:$K,MATCH($E167,Roadmap!$D:$D,0)+COUNTIF($E167:Z167,"u")+COUNTIF($E167:Z167,"t")+COUNTIF($E167:Z167,"¶")+COUNTIF($E167:Z167,"²")+COUNTIF($E167:Z167,"µ")+COUNTIF($E167:Z167,1),ColLivraison)=AA$6,
  VLOOKUP($E167,INDIRECT("tri!"&amp; CHAR(64+ C0Col) &amp;":"&amp; CHAR(65+C0Col)),2,FALSE)&gt;COUNTIF($E167:Z167,"u")+COUNTIF($E167:Z167,"t")+COUNTIF($E167:Z167,"¶")+COUNTIF($E167:Z167,"²")+COUNTIF($E167:Z167,"µ")+COUNTIF($E167:Z167,1)),
HYPERLINK("#Roadmap!C"&amp; MATCH($E167,Roadmap!$D:$D,0)+COUNTIF($E167:Z167,"u")+COUNTIF($E167:Z167,"t"),
     INDEX(Roadmap!$D:$K,MATCH($E167,Roadmap!$D:$D,0)+COUNTIF($E167:Z167,"u")+COUNTIF($E167:Z167,"t")+COUNTIF($E167:Z167,"¶")+COUNTIF($E167:Z167,"²")+COUNTIF($E167:Z167,"µ")+COUNTIF($E167:Z167,1),ColTypeEcheance)),
  IF(LEN(Z167)=1,
  IF(LEN(INDEX(Roadmap!$D:$K,MATCH($E167,Roadmap!$D:$D,0)-1+COUNTIF($E167:Z167,"u")+COUNTIF($E167:Z167,"t")+COUNTIF($E167:Z167,"¶")+COUNTIF($E167:Z167,"²")+COUNTIF($E167:Z167,"µ")+COUNTIF($E167:Z167,1),ColDescriptionCourte))&gt;1,
HYPERLINK("#Roadmap!C"&amp; MATCH($E167,Roadmap!$D:$D,0)+COUNTIF($E167:Z167,"u")+COUNTIF($E167:Z167,"t")+COUNTIF($E167:Z167,"¶")+COUNTIF($E167:Z167,"²")+COUNTIF($E167:Z167,"µ")+COUNTIF($E167:Z167,1)-1,INDEX(Roadmap!$D:$K,MATCH($E167,Roadmap!$D:$D,0)-1+COUNTIF($E167:Z167,"u")+COUNTIF($E167:Z167,"t")+COUNTIF($E167:Z167,"¶")+COUNTIF($E167:Z167,"²")+COUNTIF($E167:Z167,"µ")+COUNTIF($E167:Z167,1),ColDescriptionCourte)),""),
  "")),"")</f>
        <v/>
      </c>
      <c r="AB167" s="40" t="str">
        <f ca="1">IFERROR(IF(AND(
  INDEX(Roadmap!$D:$K,MATCH($E167,Roadmap!$D:$D,0)+COUNTIF($E167:AA167,"u")+COUNTIF($E167:AA167,"t")+COUNTIF($E167:AA167,"¶")+COUNTIF($E167:AA167,"²")+COUNTIF($E167:AA167,"µ")+COUNTIF($E167:AA167,1),ColLivraison)=AB$6,
  VLOOKUP($E167,INDIRECT("tri!"&amp; CHAR(64+ C0Col) &amp;":"&amp; CHAR(65+C0Col)),2,FALSE)&gt;COUNTIF($E167:AA167,"u")+COUNTIF($E167:AA167,"t")+COUNTIF($E167:AA167,"¶")+COUNTIF($E167:AA167,"²")+COUNTIF($E167:AA167,"µ")+COUNTIF($E167:AA167,1)),
HYPERLINK("#Roadmap!C"&amp; MATCH($E167,Roadmap!$D:$D,0)+COUNTIF($E167:AA167,"u")+COUNTIF($E167:AA167,"t"),
     INDEX(Roadmap!$D:$K,MATCH($E167,Roadmap!$D:$D,0)+COUNTIF($E167:AA167,"u")+COUNTIF($E167:AA167,"t")+COUNTIF($E167:AA167,"¶")+COUNTIF($E167:AA167,"²")+COUNTIF($E167:AA167,"µ")+COUNTIF($E167:AA167,1),ColTypeEcheance)),
  IF(LEN(AA167)=1,
  IF(LEN(INDEX(Roadmap!$D:$K,MATCH($E167,Roadmap!$D:$D,0)-1+COUNTIF($E167:AA167,"u")+COUNTIF($E167:AA167,"t")+COUNTIF($E167:AA167,"¶")+COUNTIF($E167:AA167,"²")+COUNTIF($E167:AA167,"µ")+COUNTIF($E167:AA167,1),ColDescriptionCourte))&gt;1,
HYPERLINK("#Roadmap!C"&amp; MATCH($E167,Roadmap!$D:$D,0)+COUNTIF($E167:AA167,"u")+COUNTIF($E167:AA167,"t")+COUNTIF($E167:AA167,"¶")+COUNTIF($E167:AA167,"²")+COUNTIF($E167:AA167,"µ")+COUNTIF($E167:AA167,1)-1,INDEX(Roadmap!$D:$K,MATCH($E167,Roadmap!$D:$D,0)-1+COUNTIF($E167:AA167,"u")+COUNTIF($E167:AA167,"t")+COUNTIF($E167:AA167,"¶")+COUNTIF($E167:AA167,"²")+COUNTIF($E167:AA167,"µ")+COUNTIF($E167:AA167,1),ColDescriptionCourte)),""),
  "")),"")</f>
        <v/>
      </c>
      <c r="AC167" s="40" t="str">
        <f ca="1">IFERROR(IF(AND(
  INDEX(Roadmap!$D:$K,MATCH($E167,Roadmap!$D:$D,0)+COUNTIF($E167:AB167,"u")+COUNTIF($E167:AB167,"t")+COUNTIF($E167:AB167,"¶")+COUNTIF($E167:AB167,"²")+COUNTIF($E167:AB167,"µ")+COUNTIF($E167:AB167,1),ColLivraison)=AC$6,
  VLOOKUP($E167,INDIRECT("tri!"&amp; CHAR(64+ C0Col) &amp;":"&amp; CHAR(65+C0Col)),2,FALSE)&gt;COUNTIF($E167:AB167,"u")+COUNTIF($E167:AB167,"t")+COUNTIF($E167:AB167,"¶")+COUNTIF($E167:AB167,"²")+COUNTIF($E167:AB167,"µ")+COUNTIF($E167:AB167,1)),
HYPERLINK("#Roadmap!C"&amp; MATCH($E167,Roadmap!$D:$D,0)+COUNTIF($E167:AB167,"u")+COUNTIF($E167:AB167,"t"),
     INDEX(Roadmap!$D:$K,MATCH($E167,Roadmap!$D:$D,0)+COUNTIF($E167:AB167,"u")+COUNTIF($E167:AB167,"t")+COUNTIF($E167:AB167,"¶")+COUNTIF($E167:AB167,"²")+COUNTIF($E167:AB167,"µ")+COUNTIF($E167:AB167,1),ColTypeEcheance)),
  IF(LEN(AB167)=1,
  IF(LEN(INDEX(Roadmap!$D:$K,MATCH($E167,Roadmap!$D:$D,0)-1+COUNTIF($E167:AB167,"u")+COUNTIF($E167:AB167,"t")+COUNTIF($E167:AB167,"¶")+COUNTIF($E167:AB167,"²")+COUNTIF($E167:AB167,"µ")+COUNTIF($E167:AB167,1),ColDescriptionCourte))&gt;1,
HYPERLINK("#Roadmap!C"&amp; MATCH($E167,Roadmap!$D:$D,0)+COUNTIF($E167:AB167,"u")+COUNTIF($E167:AB167,"t")+COUNTIF($E167:AB167,"¶")+COUNTIF($E167:AB167,"²")+COUNTIF($E167:AB167,"µ")+COUNTIF($E167:AB167,1)-1,INDEX(Roadmap!$D:$K,MATCH($E167,Roadmap!$D:$D,0)-1+COUNTIF($E167:AB167,"u")+COUNTIF($E167:AB167,"t")+COUNTIF($E167:AB167,"¶")+COUNTIF($E167:AB167,"²")+COUNTIF($E167:AB167,"µ")+COUNTIF($E167:AB167,1),ColDescriptionCourte)),""),
  "")),"")</f>
        <v/>
      </c>
      <c r="AD167" s="40" t="str">
        <f ca="1">IFERROR(IF(AND(
  INDEX(Roadmap!$D:$K,MATCH($E167,Roadmap!$D:$D,0)+COUNTIF($E167:AC167,"u")+COUNTIF($E167:AC167,"t")+COUNTIF($E167:AC167,"¶")+COUNTIF($E167:AC167,"²")+COUNTIF($E167:AC167,"µ")+COUNTIF($E167:AC167,1),ColLivraison)=AD$6,
  VLOOKUP($E167,INDIRECT("tri!"&amp; CHAR(64+ C0Col) &amp;":"&amp; CHAR(65+C0Col)),2,FALSE)&gt;COUNTIF($E167:AC167,"u")+COUNTIF($E167:AC167,"t")+COUNTIF($E167:AC167,"¶")+COUNTIF($E167:AC167,"²")+COUNTIF($E167:AC167,"µ")+COUNTIF($E167:AC167,1)),
HYPERLINK("#Roadmap!C"&amp; MATCH($E167,Roadmap!$D:$D,0)+COUNTIF($E167:AC167,"u")+COUNTIF($E167:AC167,"t"),
     INDEX(Roadmap!$D:$K,MATCH($E167,Roadmap!$D:$D,0)+COUNTIF($E167:AC167,"u")+COUNTIF($E167:AC167,"t")+COUNTIF($E167:AC167,"¶")+COUNTIF($E167:AC167,"²")+COUNTIF($E167:AC167,"µ")+COUNTIF($E167:AC167,1),ColTypeEcheance)),
  IF(LEN(AC167)=1,
  IF(LEN(INDEX(Roadmap!$D:$K,MATCH($E167,Roadmap!$D:$D,0)-1+COUNTIF($E167:AC167,"u")+COUNTIF($E167:AC167,"t")+COUNTIF($E167:AC167,"¶")+COUNTIF($E167:AC167,"²")+COUNTIF($E167:AC167,"µ")+COUNTIF($E167:AC167,1),ColDescriptionCourte))&gt;1,
HYPERLINK("#Roadmap!C"&amp; MATCH($E167,Roadmap!$D:$D,0)+COUNTIF($E167:AC167,"u")+COUNTIF($E167:AC167,"t")+COUNTIF($E167:AC167,"¶")+COUNTIF($E167:AC167,"²")+COUNTIF($E167:AC167,"µ")+COUNTIF($E167:AC167,1)-1,INDEX(Roadmap!$D:$K,MATCH($E167,Roadmap!$D:$D,0)-1+COUNTIF($E167:AC167,"u")+COUNTIF($E167:AC167,"t")+COUNTIF($E167:AC167,"¶")+COUNTIF($E167:AC167,"²")+COUNTIF($E167:AC167,"µ")+COUNTIF($E167:AC167,1),ColDescriptionCourte)),""),
  "")),"")</f>
        <v/>
      </c>
      <c r="AE167" s="40" t="str">
        <f ca="1">IFERROR(IF(AND(
  INDEX(Roadmap!$D:$K,MATCH($E167,Roadmap!$D:$D,0)+COUNTIF($E167:AD167,"u")+COUNTIF($E167:AD167,"t")+COUNTIF($E167:AD167,"¶")+COUNTIF($E167:AD167,"²")+COUNTIF($E167:AD167,"µ")+COUNTIF($E167:AD167,1),ColLivraison)=AE$6,
  VLOOKUP($E167,INDIRECT("tri!"&amp; CHAR(64+ C0Col) &amp;":"&amp; CHAR(65+C0Col)),2,FALSE)&gt;COUNTIF($E167:AD167,"u")+COUNTIF($E167:AD167,"t")+COUNTIF($E167:AD167,"¶")+COUNTIF($E167:AD167,"²")+COUNTIF($E167:AD167,"µ")+COUNTIF($E167:AD167,1)),
HYPERLINK("#Roadmap!C"&amp; MATCH($E167,Roadmap!$D:$D,0)+COUNTIF($E167:AD167,"u")+COUNTIF($E167:AD167,"t"),
     INDEX(Roadmap!$D:$K,MATCH($E167,Roadmap!$D:$D,0)+COUNTIF($E167:AD167,"u")+COUNTIF($E167:AD167,"t")+COUNTIF($E167:AD167,"¶")+COUNTIF($E167:AD167,"²")+COUNTIF($E167:AD167,"µ")+COUNTIF($E167:AD167,1),ColTypeEcheance)),
  IF(LEN(AD167)=1,
  IF(LEN(INDEX(Roadmap!$D:$K,MATCH($E167,Roadmap!$D:$D,0)-1+COUNTIF($E167:AD167,"u")+COUNTIF($E167:AD167,"t")+COUNTIF($E167:AD167,"¶")+COUNTIF($E167:AD167,"²")+COUNTIF($E167:AD167,"µ")+COUNTIF($E167:AD167,1),ColDescriptionCourte))&gt;1,
HYPERLINK("#Roadmap!C"&amp; MATCH($E167,Roadmap!$D:$D,0)+COUNTIF($E167:AD167,"u")+COUNTIF($E167:AD167,"t")+COUNTIF($E167:AD167,"¶")+COUNTIF($E167:AD167,"²")+COUNTIF($E167:AD167,"µ")+COUNTIF($E167:AD167,1)-1,INDEX(Roadmap!$D:$K,MATCH($E167,Roadmap!$D:$D,0)-1+COUNTIF($E167:AD167,"u")+COUNTIF($E167:AD167,"t")+COUNTIF($E167:AD167,"¶")+COUNTIF($E167:AD167,"²")+COUNTIF($E167:AD167,"µ")+COUNTIF($E167:AD167,1),ColDescriptionCourte)),""),
  "")),"")</f>
        <v/>
      </c>
      <c r="AF167" s="40" t="str">
        <f ca="1">IFERROR(IF(AND(
  INDEX(Roadmap!$D:$K,MATCH($E167,Roadmap!$D:$D,0)+COUNTIF($E167:AE167,"u")+COUNTIF($E167:AE167,"t")+COUNTIF($E167:AE167,"¶")+COUNTIF($E167:AE167,"²")+COUNTIF($E167:AE167,"µ")+COUNTIF($E167:AE167,1),ColLivraison)=AF$6,
  VLOOKUP($E167,INDIRECT("tri!"&amp; CHAR(64+ C0Col) &amp;":"&amp; CHAR(65+C0Col)),2,FALSE)&gt;COUNTIF($E167:AE167,"u")+COUNTIF($E167:AE167,"t")+COUNTIF($E167:AE167,"¶")+COUNTIF($E167:AE167,"²")+COUNTIF($E167:AE167,"µ")+COUNTIF($E167:AE167,1)),
HYPERLINK("#Roadmap!C"&amp; MATCH($E167,Roadmap!$D:$D,0)+COUNTIF($E167:AE167,"u")+COUNTIF($E167:AE167,"t"),
     INDEX(Roadmap!$D:$K,MATCH($E167,Roadmap!$D:$D,0)+COUNTIF($E167:AE167,"u")+COUNTIF($E167:AE167,"t")+COUNTIF($E167:AE167,"¶")+COUNTIF($E167:AE167,"²")+COUNTIF($E167:AE167,"µ")+COUNTIF($E167:AE167,1),ColTypeEcheance)),
  IF(LEN(AE167)=1,
  IF(LEN(INDEX(Roadmap!$D:$K,MATCH($E167,Roadmap!$D:$D,0)-1+COUNTIF($E167:AE167,"u")+COUNTIF($E167:AE167,"t")+COUNTIF($E167:AE167,"¶")+COUNTIF($E167:AE167,"²")+COUNTIF($E167:AE167,"µ")+COUNTIF($E167:AE167,1),ColDescriptionCourte))&gt;1,
HYPERLINK("#Roadmap!C"&amp; MATCH($E167,Roadmap!$D:$D,0)+COUNTIF($E167:AE167,"u")+COUNTIF($E167:AE167,"t")+COUNTIF($E167:AE167,"¶")+COUNTIF($E167:AE167,"²")+COUNTIF($E167:AE167,"µ")+COUNTIF($E167:AE167,1)-1,INDEX(Roadmap!$D:$K,MATCH($E167,Roadmap!$D:$D,0)-1+COUNTIF($E167:AE167,"u")+COUNTIF($E167:AE167,"t")+COUNTIF($E167:AE167,"¶")+COUNTIF($E167:AE167,"²")+COUNTIF($E167:AE167,"µ")+COUNTIF($E167:AE167,1),ColDescriptionCourte)),""),
  "")),"")</f>
        <v/>
      </c>
      <c r="AG167" s="40" t="str">
        <f ca="1">IFERROR(IF(AND(
  INDEX(Roadmap!$D:$K,MATCH($E167,Roadmap!$D:$D,0)+COUNTIF($E167:AF167,"u")+COUNTIF($E167:AF167,"t")+COUNTIF($E167:AF167,"¶")+COUNTIF($E167:AF167,"²")+COUNTIF($E167:AF167,"µ")+COUNTIF($E167:AF167,1),ColLivraison)=AG$6,
  VLOOKUP($E167,INDIRECT("tri!"&amp; CHAR(64+ C0Col) &amp;":"&amp; CHAR(65+C0Col)),2,FALSE)&gt;COUNTIF($E167:AF167,"u")+COUNTIF($E167:AF167,"t")+COUNTIF($E167:AF167,"¶")+COUNTIF($E167:AF167,"²")+COUNTIF($E167:AF167,"µ")+COUNTIF($E167:AF167,1)),
HYPERLINK("#Roadmap!C"&amp; MATCH($E167,Roadmap!$D:$D,0)+COUNTIF($E167:AF167,"u")+COUNTIF($E167:AF167,"t"),
     INDEX(Roadmap!$D:$K,MATCH($E167,Roadmap!$D:$D,0)+COUNTIF($E167:AF167,"u")+COUNTIF($E167:AF167,"t")+COUNTIF($E167:AF167,"¶")+COUNTIF($E167:AF167,"²")+COUNTIF($E167:AF167,"µ")+COUNTIF($E167:AF167,1),ColTypeEcheance)),
  IF(LEN(AF167)=1,
  IF(LEN(INDEX(Roadmap!$D:$K,MATCH($E167,Roadmap!$D:$D,0)-1+COUNTIF($E167:AF167,"u")+COUNTIF($E167:AF167,"t")+COUNTIF($E167:AF167,"¶")+COUNTIF($E167:AF167,"²")+COUNTIF($E167:AF167,"µ")+COUNTIF($E167:AF167,1),ColDescriptionCourte))&gt;1,
HYPERLINK("#Roadmap!C"&amp; MATCH($E167,Roadmap!$D:$D,0)+COUNTIF($E167:AF167,"u")+COUNTIF($E167:AF167,"t")+COUNTIF($E167:AF167,"¶")+COUNTIF($E167:AF167,"²")+COUNTIF($E167:AF167,"µ")+COUNTIF($E167:AF167,1)-1,INDEX(Roadmap!$D:$K,MATCH($E167,Roadmap!$D:$D,0)-1+COUNTIF($E167:AF167,"u")+COUNTIF($E167:AF167,"t")+COUNTIF($E167:AF167,"¶")+COUNTIF($E167:AF167,"²")+COUNTIF($E167:AF167,"µ")+COUNTIF($E167:AF167,1),ColDescriptionCourte)),""),
  "")),"")</f>
        <v/>
      </c>
      <c r="AH167" s="40" t="str">
        <f ca="1">IFERROR(IF(AND(
  INDEX(Roadmap!$D:$K,MATCH($E167,Roadmap!$D:$D,0)+COUNTIF($E167:AG167,"u")+COUNTIF($E167:AG167,"t")+COUNTIF($E167:AG167,1),ColLivraison)=AH$6,
  VLOOKUP($E167,INDIRECT("tri!"&amp; CHAR(64+ C0Col) &amp;":"&amp; CHAR(65+C0Col)),2,FALSE)&gt;COUNTIF($E167:AG167,"u")+COUNTIF($E167:AG167,"t")+COUNTIF($E167:AG167,1)),
HYPERLINK("#Roadmap!C"&amp; MATCH($E167,Roadmap!$D:$D,0)+COUNTIF($E167:AG167,"u")+COUNTIF($E167:AG167,"t"),
     INDEX(Roadmap!$D:$K,MATCH($E167,Roadmap!$D:$D,0)+COUNTIF($E167:AG167,"u")+COUNTIF($E167:AG167,"t")+COUNTIF($E167:AG167,1),ColTypeEcheance)),
  IF(OR(AG167="u",AG167="t",AG167=1),
  IF(LEN(INDEX(Roadmap!$D:$K,MATCH($E167,Roadmap!$D:$D,0)-1+COUNTIF($E167:AG167,"u")+COUNTIF($E167:AG167,"t")+COUNTIF($E167:AG167,1),ColDescriptionCourte))&gt;1,
HYPERLINK("#Roadmap!C"&amp; MATCH($E167,Roadmap!$D:$D,0)+COUNTIF($E167:AG167,"u")+COUNTIF($E167:AG167,"t")+COUNTIF($E167:AG167,1)-1,INDEX(Roadmap!$D:$K,MATCH($E167,Roadmap!$D:$D,0)-1+COUNTIF($E167:AG167,"u")+COUNTIF($E167:AG167,"t")+COUNTIF($E167:AG167,1),ColDescriptionCourte)),""),
  "")),"")</f>
        <v/>
      </c>
      <c r="AI167" s="40"/>
      <c r="AJ167" s="40"/>
      <c r="AK167" s="40"/>
      <c r="AL167" s="40"/>
      <c r="AM167" s="40"/>
    </row>
    <row r="168" spans="4:39" ht="14.1" customHeight="1">
      <c r="D168" s="20" t="str">
        <f t="shared" ca="1" si="31"/>
        <v/>
      </c>
      <c r="E168" s="53" t="str">
        <f t="shared" ca="1" si="32"/>
        <v/>
      </c>
      <c r="F168" s="39" t="str">
        <f ca="1">IFERROR(IF(AND(
  INDEX(Roadmap!$D:$K,MATCH($E168,Roadmap!$D:$D,0)+COUNTIF($E168:E168,"u")+COUNTIF($E168:E168,"t")+COUNTIF($E168:E168,"¶")+COUNTIF($E168:E168,"²")+COUNTIF($E168:E168,"µ")+COUNTIF($E168:E168,1),ColLivraison)=F$6,
  VLOOKUP($E168,INDIRECT("tri!"&amp; CHAR(64+ C0Col) &amp;":"&amp; CHAR(65+C0Col)),2,FALSE)&gt;COUNTIF($E168:E168,"u")+COUNTIF($E168:E168,"t")+COUNTIF($E168:E168,"¶")+COUNTIF($E168:E168,"²")+COUNTIF($E168:E168,"µ")+COUNTIF($E168:E168,1)),
HYPERLINK("#Roadmap!C"&amp; MATCH($E168,Roadmap!$D:$D,0)+COUNTIF($E168:E168,"u")+COUNTIF($E168:E168,"t"),
     INDEX(Roadmap!$D:$K,MATCH($E168,Roadmap!$D:$D,0)+COUNTIF($E168:E168,"u")+COUNTIF($E168:E168,"t")+COUNTIF($E168:E168,"¶")+COUNTIF($E168:E168,"²")+COUNTIF($E168:E168,"µ")+COUNTIF($E168:E168,1),ColTypeEcheance)),
  IF(LEN(E168)=1,
  IF(LEN(INDEX(Roadmap!$D:$K,MATCH($E168,Roadmap!$D:$D,0)-1+COUNTIF($E168:E168,"u")+COUNTIF($E168:E168,"t")+COUNTIF($E168:E168,"¶")+COUNTIF($E168:E168,"²")+COUNTIF($E168:E168,"µ")+COUNTIF($E168:E168,1),ColDescriptionCourte))&gt;1,
HYPERLINK("#Roadmap!C"&amp; MATCH($E168,Roadmap!$D:$D,0)+COUNTIF($E168:E168,"u")+COUNTIF($E168:E168,"t")+COUNTIF($E168:E168,"¶")+COUNTIF($E168:E168,"²")+COUNTIF($E168:E168,"µ")+COUNTIF($E168:E168,1)-1,INDEX(Roadmap!$D:$K,MATCH($E168,Roadmap!$D:$D,0)-1+COUNTIF($E168:E168,"u")+COUNTIF($E168:E168,"t")+COUNTIF($E168:E168,"¶")+COUNTIF($E168:E168,"²")+COUNTIF($E168:E168,"µ")+COUNTIF($E168:E168,1),ColDescriptionCourte)),""),
  "")),"")</f>
        <v/>
      </c>
      <c r="G168" s="40" t="str">
        <f ca="1">IFERROR(IF(AND(
  INDEX(Roadmap!$D:$K,MATCH($E168,Roadmap!$D:$D,0)+COUNTIF($E168:F168,"u")+COUNTIF($E168:F168,"t")+COUNTIF($E168:F168,"¶")+COUNTIF($E168:F168,"²")+COUNTIF($E168:F168,"µ")+COUNTIF($E168:F168,1),ColLivraison)=G$6,
  VLOOKUP($E168,INDIRECT("tri!"&amp; CHAR(64+ C0Col) &amp;":"&amp; CHAR(65+C0Col)),2,FALSE)&gt;COUNTIF($E168:F168,"u")+COUNTIF($E168:F168,"t")+COUNTIF($E168:F168,"¶")+COUNTIF($E168:F168,"²")+COUNTIF($E168:F168,"µ")+COUNTIF($E168:F168,1)),
HYPERLINK("#Roadmap!C"&amp; MATCH($E168,Roadmap!$D:$D,0)+COUNTIF($E168:F168,"u")+COUNTIF($E168:F168,"t"),
     INDEX(Roadmap!$D:$K,MATCH($E168,Roadmap!$D:$D,0)+COUNTIF($E168:F168,"u")+COUNTIF($E168:F168,"t")+COUNTIF($E168:F168,"¶")+COUNTIF($E168:F168,"²")+COUNTIF($E168:F168,"µ")+COUNTIF($E168:F168,1),ColTypeEcheance)),
  IF(LEN(F168)=1,
  IF(LEN(INDEX(Roadmap!$D:$K,MATCH($E168,Roadmap!$D:$D,0)-1+COUNTIF($E168:F168,"u")+COUNTIF($E168:F168,"t")+COUNTIF($E168:F168,"¶")+COUNTIF($E168:F168,"²")+COUNTIF($E168:F168,"µ")+COUNTIF($E168:F168,1),ColDescriptionCourte))&gt;1,
HYPERLINK("#Roadmap!C"&amp; MATCH($E168,Roadmap!$D:$D,0)+COUNTIF($E168:F168,"u")+COUNTIF($E168:F168,"t")+COUNTIF($E168:F168,"¶")+COUNTIF($E168:F168,"²")+COUNTIF($E168:F168,"µ")+COUNTIF($E168:F168,1)-1,INDEX(Roadmap!$D:$K,MATCH($E168,Roadmap!$D:$D,0)-1+COUNTIF($E168:F168,"u")+COUNTIF($E168:F168,"t")+COUNTIF($E168:F168,"¶")+COUNTIF($E168:F168,"²")+COUNTIF($E168:F168,"µ")+COUNTIF($E168:F168,1),ColDescriptionCourte)),""),
  "")),"")</f>
        <v/>
      </c>
      <c r="H168" s="40" t="str">
        <f ca="1">IFERROR(IF(AND(
  INDEX(Roadmap!$D:$K,MATCH($E168,Roadmap!$D:$D,0)+COUNTIF($E168:G168,"u")+COUNTIF($E168:G168,"t")+COUNTIF($E168:G168,"¶")+COUNTIF($E168:G168,"²")+COUNTIF($E168:G168,"µ")+COUNTIF($E168:G168,1),ColLivraison)=H$6,
  VLOOKUP($E168,INDIRECT("tri!"&amp; CHAR(64+ C0Col) &amp;":"&amp; CHAR(65+C0Col)),2,FALSE)&gt;COUNTIF($E168:G168,"u")+COUNTIF($E168:G168,"t")+COUNTIF($E168:G168,"¶")+COUNTIF($E168:G168,"²")+COUNTIF($E168:G168,"µ")+COUNTIF($E168:G168,1)),
HYPERLINK("#Roadmap!C"&amp; MATCH($E168,Roadmap!$D:$D,0)+COUNTIF($E168:G168,"u")+COUNTIF($E168:G168,"t"),
     INDEX(Roadmap!$D:$K,MATCH($E168,Roadmap!$D:$D,0)+COUNTIF($E168:G168,"u")+COUNTIF($E168:G168,"t")+COUNTIF($E168:G168,"¶")+COUNTIF($E168:G168,"²")+COUNTIF($E168:G168,"µ")+COUNTIF($E168:G168,1),ColTypeEcheance)),
  IF(LEN(G168)=1,
  IF(LEN(INDEX(Roadmap!$D:$K,MATCH($E168,Roadmap!$D:$D,0)-1+COUNTIF($E168:G168,"u")+COUNTIF($E168:G168,"t")+COUNTIF($E168:G168,"¶")+COUNTIF($E168:G168,"²")+COUNTIF($E168:G168,"µ")+COUNTIF($E168:G168,1),ColDescriptionCourte))&gt;1,
HYPERLINK("#Roadmap!C"&amp; MATCH($E168,Roadmap!$D:$D,0)+COUNTIF($E168:G168,"u")+COUNTIF($E168:G168,"t")+COUNTIF($E168:G168,"¶")+COUNTIF($E168:G168,"²")+COUNTIF($E168:G168,"µ")+COUNTIF($E168:G168,1)-1,INDEX(Roadmap!$D:$K,MATCH($E168,Roadmap!$D:$D,0)-1+COUNTIF($E168:G168,"u")+COUNTIF($E168:G168,"t")+COUNTIF($E168:G168,"¶")+COUNTIF($E168:G168,"²")+COUNTIF($E168:G168,"µ")+COUNTIF($E168:G168,1),ColDescriptionCourte)),""),
  "")),"")</f>
        <v/>
      </c>
      <c r="I168" s="40" t="str">
        <f ca="1">IFERROR(IF(AND(
  INDEX(Roadmap!$D:$K,MATCH($E168,Roadmap!$D:$D,0)+COUNTIF($E168:H168,"u")+COUNTIF($E168:H168,"t")+COUNTIF($E168:H168,"¶")+COUNTIF($E168:H168,"²")+COUNTIF($E168:H168,"µ")+COUNTIF($E168:H168,1),ColLivraison)=I$6,
  VLOOKUP($E168,INDIRECT("tri!"&amp; CHAR(64+ C0Col) &amp;":"&amp; CHAR(65+C0Col)),2,FALSE)&gt;COUNTIF($E168:H168,"u")+COUNTIF($E168:H168,"t")+COUNTIF($E168:H168,"¶")+COUNTIF($E168:H168,"²")+COUNTIF($E168:H168,"µ")+COUNTIF($E168:H168,1)),
HYPERLINK("#Roadmap!C"&amp; MATCH($E168,Roadmap!$D:$D,0)+COUNTIF($E168:H168,"u")+COUNTIF($E168:H168,"t"),
     INDEX(Roadmap!$D:$K,MATCH($E168,Roadmap!$D:$D,0)+COUNTIF($E168:H168,"u")+COUNTIF($E168:H168,"t")+COUNTIF($E168:H168,"¶")+COUNTIF($E168:H168,"²")+COUNTIF($E168:H168,"µ")+COUNTIF($E168:H168,1),ColTypeEcheance)),
  IF(LEN(H168)=1,
  IF(LEN(INDEX(Roadmap!$D:$K,MATCH($E168,Roadmap!$D:$D,0)-1+COUNTIF($E168:H168,"u")+COUNTIF($E168:H168,"t")+COUNTIF($E168:H168,"¶")+COUNTIF($E168:H168,"²")+COUNTIF($E168:H168,"µ")+COUNTIF($E168:H168,1),ColDescriptionCourte))&gt;1,
HYPERLINK("#Roadmap!C"&amp; MATCH($E168,Roadmap!$D:$D,0)+COUNTIF($E168:H168,"u")+COUNTIF($E168:H168,"t")+COUNTIF($E168:H168,"¶")+COUNTIF($E168:H168,"²")+COUNTIF($E168:H168,"µ")+COUNTIF($E168:H168,1)-1,INDEX(Roadmap!$D:$K,MATCH($E168,Roadmap!$D:$D,0)-1+COUNTIF($E168:H168,"u")+COUNTIF($E168:H168,"t")+COUNTIF($E168:H168,"¶")+COUNTIF($E168:H168,"²")+COUNTIF($E168:H168,"µ")+COUNTIF($E168:H168,1),ColDescriptionCourte)),""),
  "")),"")</f>
        <v/>
      </c>
      <c r="J168" s="40" t="str">
        <f ca="1">IFERROR(IF(AND(
  INDEX(Roadmap!$D:$K,MATCH($E168,Roadmap!$D:$D,0)+COUNTIF($E168:I168,"u")+COUNTIF($E168:I168,"t")+COUNTIF($E168:I168,"¶")+COUNTIF($E168:I168,"²")+COUNTIF($E168:I168,"µ")+COUNTIF($E168:I168,1),ColLivraison)=J$6,
  VLOOKUP($E168,INDIRECT("tri!"&amp; CHAR(64+ C0Col) &amp;":"&amp; CHAR(65+C0Col)),2,FALSE)&gt;COUNTIF($E168:I168,"u")+COUNTIF($E168:I168,"t")+COUNTIF($E168:I168,"¶")+COUNTIF($E168:I168,"²")+COUNTIF($E168:I168,"µ")+COUNTIF($E168:I168,1)),
HYPERLINK("#Roadmap!C"&amp; MATCH($E168,Roadmap!$D:$D,0)+COUNTIF($E168:I168,"u")+COUNTIF($E168:I168,"t"),
     INDEX(Roadmap!$D:$K,MATCH($E168,Roadmap!$D:$D,0)+COUNTIF($E168:I168,"u")+COUNTIF($E168:I168,"t")+COUNTIF($E168:I168,"¶")+COUNTIF($E168:I168,"²")+COUNTIF($E168:I168,"µ")+COUNTIF($E168:I168,1),ColTypeEcheance)),
  IF(LEN(I168)=1,
  IF(LEN(INDEX(Roadmap!$D:$K,MATCH($E168,Roadmap!$D:$D,0)-1+COUNTIF($E168:I168,"u")+COUNTIF($E168:I168,"t")+COUNTIF($E168:I168,"¶")+COUNTIF($E168:I168,"²")+COUNTIF($E168:I168,"µ")+COUNTIF($E168:I168,1),ColDescriptionCourte))&gt;1,
HYPERLINK("#Roadmap!C"&amp; MATCH($E168,Roadmap!$D:$D,0)+COUNTIF($E168:I168,"u")+COUNTIF($E168:I168,"t")+COUNTIF($E168:I168,"¶")+COUNTIF($E168:I168,"²")+COUNTIF($E168:I168,"µ")+COUNTIF($E168:I168,1)-1,INDEX(Roadmap!$D:$K,MATCH($E168,Roadmap!$D:$D,0)-1+COUNTIF($E168:I168,"u")+COUNTIF($E168:I168,"t")+COUNTIF($E168:I168,"¶")+COUNTIF($E168:I168,"²")+COUNTIF($E168:I168,"µ")+COUNTIF($E168:I168,1),ColDescriptionCourte)),""),
  "")),"")</f>
        <v/>
      </c>
      <c r="K168" s="40" t="str">
        <f ca="1">IFERROR(IF(AND(
  INDEX(Roadmap!$D:$K,MATCH($E168,Roadmap!$D:$D,0)+COUNTIF($E168:J168,"u")+COUNTIF($E168:J168,"t")+COUNTIF($E168:J168,"¶")+COUNTIF($E168:J168,"²")+COUNTIF($E168:J168,"µ")+COUNTIF($E168:J168,1),ColLivraison)=K$6,
  VLOOKUP($E168,INDIRECT("tri!"&amp; CHAR(64+ C0Col) &amp;":"&amp; CHAR(65+C0Col)),2,FALSE)&gt;COUNTIF($E168:J168,"u")+COUNTIF($E168:J168,"t")+COUNTIF($E168:J168,"¶")+COUNTIF($E168:J168,"²")+COUNTIF($E168:J168,"µ")+COUNTIF($E168:J168,1)),
HYPERLINK("#Roadmap!C"&amp; MATCH($E168,Roadmap!$D:$D,0)+COUNTIF($E168:J168,"u")+COUNTIF($E168:J168,"t"),
     INDEX(Roadmap!$D:$K,MATCH($E168,Roadmap!$D:$D,0)+COUNTIF($E168:J168,"u")+COUNTIF($E168:J168,"t")+COUNTIF($E168:J168,"¶")+COUNTIF($E168:J168,"²")+COUNTIF($E168:J168,"µ")+COUNTIF($E168:J168,1),ColTypeEcheance)),
  IF(LEN(J168)=1,
  IF(LEN(INDEX(Roadmap!$D:$K,MATCH($E168,Roadmap!$D:$D,0)-1+COUNTIF($E168:J168,"u")+COUNTIF($E168:J168,"t")+COUNTIF($E168:J168,"¶")+COUNTIF($E168:J168,"²")+COUNTIF($E168:J168,"µ")+COUNTIF($E168:J168,1),ColDescriptionCourte))&gt;1,
HYPERLINK("#Roadmap!C"&amp; MATCH($E168,Roadmap!$D:$D,0)+COUNTIF($E168:J168,"u")+COUNTIF($E168:J168,"t")+COUNTIF($E168:J168,"¶")+COUNTIF($E168:J168,"²")+COUNTIF($E168:J168,"µ")+COUNTIF($E168:J168,1)-1,INDEX(Roadmap!$D:$K,MATCH($E168,Roadmap!$D:$D,0)-1+COUNTIF($E168:J168,"u")+COUNTIF($E168:J168,"t")+COUNTIF($E168:J168,"¶")+COUNTIF($E168:J168,"²")+COUNTIF($E168:J168,"µ")+COUNTIF($E168:J168,1),ColDescriptionCourte)),""),
  "")),"")</f>
        <v/>
      </c>
      <c r="L168" s="39" t="str">
        <f ca="1">IFERROR(IF(AND(
  INDEX(Roadmap!$D:$K,MATCH($E168,Roadmap!$D:$D,0)+COUNTIF($E168:K168,"u")+COUNTIF($E168:K168,"t")+COUNTIF($E168:K168,"¶")+COUNTIF($E168:K168,"²")+COUNTIF($E168:K168,"µ")+COUNTIF($E168:K168,1),ColLivraison)=L$6,
  VLOOKUP($E168,INDIRECT("tri!"&amp; CHAR(64+ C0Col) &amp;":"&amp; CHAR(65+C0Col)),2,FALSE)&gt;COUNTIF($E168:K168,"u")+COUNTIF($E168:K168,"t")+COUNTIF($E168:K168,"¶")+COUNTIF($E168:K168,"²")+COUNTIF($E168:K168,"µ")+COUNTIF($E168:K168,1)),
HYPERLINK("#Roadmap!C"&amp; MATCH($E168,Roadmap!$D:$D,0)+COUNTIF($E168:K168,"u")+COUNTIF($E168:K168,"t"),
     INDEX(Roadmap!$D:$K,MATCH($E168,Roadmap!$D:$D,0)+COUNTIF($E168:K168,"u")+COUNTIF($E168:K168,"t")+COUNTIF($E168:K168,"¶")+COUNTIF($E168:K168,"²")+COUNTIF($E168:K168,"µ")+COUNTIF($E168:K168,1),ColTypeEcheance)),
  IF(LEN(K168)=1,
  IF(LEN(INDEX(Roadmap!$D:$K,MATCH($E168,Roadmap!$D:$D,0)-1+COUNTIF($E168:K168,"u")+COUNTIF($E168:K168,"t")+COUNTIF($E168:K168,"¶")+COUNTIF($E168:K168,"²")+COUNTIF($E168:K168,"µ")+COUNTIF($E168:K168,1),ColDescriptionCourte))&gt;1,
HYPERLINK("#Roadmap!C"&amp; MATCH($E168,Roadmap!$D:$D,0)+COUNTIF($E168:K168,"u")+COUNTIF($E168:K168,"t")+COUNTIF($E168:K168,"¶")+COUNTIF($E168:K168,"²")+COUNTIF($E168:K168,"µ")+COUNTIF($E168:K168,1)-1,INDEX(Roadmap!$D:$K,MATCH($E168,Roadmap!$D:$D,0)-1+COUNTIF($E168:K168,"u")+COUNTIF($E168:K168,"t")+COUNTIF($E168:K168,"¶")+COUNTIF($E168:K168,"²")+COUNTIF($E168:K168,"µ")+COUNTIF($E168:K168,1),ColDescriptionCourte)),""),
  "")),"")</f>
        <v/>
      </c>
      <c r="M168" s="40" t="str">
        <f ca="1">IFERROR(IF(AND(
  INDEX(Roadmap!$D:$K,MATCH($E168,Roadmap!$D:$D,0)+COUNTIF($E168:L168,"u")+COUNTIF($E168:L168,"t")+COUNTIF($E168:L168,"¶")+COUNTIF($E168:L168,"²")+COUNTIF($E168:L168,"µ")+COUNTIF($E168:L168,1),ColLivraison)=M$6,
  VLOOKUP($E168,INDIRECT("tri!"&amp; CHAR(64+ C0Col) &amp;":"&amp; CHAR(65+C0Col)),2,FALSE)&gt;COUNTIF($E168:L168,"u")+COUNTIF($E168:L168,"t")+COUNTIF($E168:L168,"¶")+COUNTIF($E168:L168,"²")+COUNTIF($E168:L168,"µ")+COUNTIF($E168:L168,1)),
HYPERLINK("#Roadmap!C"&amp; MATCH($E168,Roadmap!$D:$D,0)+COUNTIF($E168:L168,"u")+COUNTIF($E168:L168,"t"),
     INDEX(Roadmap!$D:$K,MATCH($E168,Roadmap!$D:$D,0)+COUNTIF($E168:L168,"u")+COUNTIF($E168:L168,"t")+COUNTIF($E168:L168,"¶")+COUNTIF($E168:L168,"²")+COUNTIF($E168:L168,"µ")+COUNTIF($E168:L168,1),ColTypeEcheance)),
  IF(LEN(L168)=1,
  IF(LEN(INDEX(Roadmap!$D:$K,MATCH($E168,Roadmap!$D:$D,0)-1+COUNTIF($E168:L168,"u")+COUNTIF($E168:L168,"t")+COUNTIF($E168:L168,"¶")+COUNTIF($E168:L168,"²")+COUNTIF($E168:L168,"µ")+COUNTIF($E168:L168,1),ColDescriptionCourte))&gt;1,
HYPERLINK("#Roadmap!C"&amp; MATCH($E168,Roadmap!$D:$D,0)+COUNTIF($E168:L168,"u")+COUNTIF($E168:L168,"t")+COUNTIF($E168:L168,"¶")+COUNTIF($E168:L168,"²")+COUNTIF($E168:L168,"µ")+COUNTIF($E168:L168,1)-1,INDEX(Roadmap!$D:$K,MATCH($E168,Roadmap!$D:$D,0)-1+COUNTIF($E168:L168,"u")+COUNTIF($E168:L168,"t")+COUNTIF($E168:L168,"¶")+COUNTIF($E168:L168,"²")+COUNTIF($E168:L168,"µ")+COUNTIF($E168:L168,1),ColDescriptionCourte)),""),
  "")),"")</f>
        <v/>
      </c>
      <c r="N168" s="40" t="str">
        <f ca="1">IFERROR(IF(AND(
  INDEX(Roadmap!$D:$K,MATCH($E168,Roadmap!$D:$D,0)+COUNTIF($E168:M168,"u")+COUNTIF($E168:M168,"t")+COUNTIF($E168:M168,"¶")+COUNTIF($E168:M168,"²")+COUNTIF($E168:M168,"µ")+COUNTIF($E168:M168,1),ColLivraison)=N$6,
  VLOOKUP($E168,INDIRECT("tri!"&amp; CHAR(64+ C0Col) &amp;":"&amp; CHAR(65+C0Col)),2,FALSE)&gt;COUNTIF($E168:M168,"u")+COUNTIF($E168:M168,"t")+COUNTIF($E168:M168,"¶")+COUNTIF($E168:M168,"²")+COUNTIF($E168:M168,"µ")+COUNTIF($E168:M168,1)),
HYPERLINK("#Roadmap!C"&amp; MATCH($E168,Roadmap!$D:$D,0)+COUNTIF($E168:M168,"u")+COUNTIF($E168:M168,"t"),
     INDEX(Roadmap!$D:$K,MATCH($E168,Roadmap!$D:$D,0)+COUNTIF($E168:M168,"u")+COUNTIF($E168:M168,"t")+COUNTIF($E168:M168,"¶")+COUNTIF($E168:M168,"²")+COUNTIF($E168:M168,"µ")+COUNTIF($E168:M168,1),ColTypeEcheance)),
  IF(LEN(M168)=1,
  IF(LEN(INDEX(Roadmap!$D:$K,MATCH($E168,Roadmap!$D:$D,0)-1+COUNTIF($E168:M168,"u")+COUNTIF($E168:M168,"t")+COUNTIF($E168:M168,"¶")+COUNTIF($E168:M168,"²")+COUNTIF($E168:M168,"µ")+COUNTIF($E168:M168,1),ColDescriptionCourte))&gt;1,
HYPERLINK("#Roadmap!C"&amp; MATCH($E168,Roadmap!$D:$D,0)+COUNTIF($E168:M168,"u")+COUNTIF($E168:M168,"t")+COUNTIF($E168:M168,"¶")+COUNTIF($E168:M168,"²")+COUNTIF($E168:M168,"µ")+COUNTIF($E168:M168,1)-1,INDEX(Roadmap!$D:$K,MATCH($E168,Roadmap!$D:$D,0)-1+COUNTIF($E168:M168,"u")+COUNTIF($E168:M168,"t")+COUNTIF($E168:M168,"¶")+COUNTIF($E168:M168,"²")+COUNTIF($E168:M168,"µ")+COUNTIF($E168:M168,1),ColDescriptionCourte)),""),
  "")),"")</f>
        <v/>
      </c>
      <c r="O168" s="40" t="str">
        <f ca="1">IFERROR(IF(AND(
  INDEX(Roadmap!$D:$K,MATCH($E168,Roadmap!$D:$D,0)+COUNTIF($E168:N168,"u")+COUNTIF($E168:N168,"t")+COUNTIF($E168:N168,"¶")+COUNTIF($E168:N168,"²")+COUNTIF($E168:N168,"µ")+COUNTIF($E168:N168,1),ColLivraison)=O$6,
  VLOOKUP($E168,INDIRECT("tri!"&amp; CHAR(64+ C0Col) &amp;":"&amp; CHAR(65+C0Col)),2,FALSE)&gt;COUNTIF($E168:N168,"u")+COUNTIF($E168:N168,"t")+COUNTIF($E168:N168,"¶")+COUNTIF($E168:N168,"²")+COUNTIF($E168:N168,"µ")+COUNTIF($E168:N168,1)),
HYPERLINK("#Roadmap!C"&amp; MATCH($E168,Roadmap!$D:$D,0)+COUNTIF($E168:N168,"u")+COUNTIF($E168:N168,"t"),
     INDEX(Roadmap!$D:$K,MATCH($E168,Roadmap!$D:$D,0)+COUNTIF($E168:N168,"u")+COUNTIF($E168:N168,"t")+COUNTIF($E168:N168,"¶")+COUNTIF($E168:N168,"²")+COUNTIF($E168:N168,"µ")+COUNTIF($E168:N168,1),ColTypeEcheance)),
  IF(LEN(N168)=1,
  IF(LEN(INDEX(Roadmap!$D:$K,MATCH($E168,Roadmap!$D:$D,0)-1+COUNTIF($E168:N168,"u")+COUNTIF($E168:N168,"t")+COUNTIF($E168:N168,"¶")+COUNTIF($E168:N168,"²")+COUNTIF($E168:N168,"µ")+COUNTIF($E168:N168,1),ColDescriptionCourte))&gt;1,
HYPERLINK("#Roadmap!C"&amp; MATCH($E168,Roadmap!$D:$D,0)+COUNTIF($E168:N168,"u")+COUNTIF($E168:N168,"t")+COUNTIF($E168:N168,"¶")+COUNTIF($E168:N168,"²")+COUNTIF($E168:N168,"µ")+COUNTIF($E168:N168,1)-1,INDEX(Roadmap!$D:$K,MATCH($E168,Roadmap!$D:$D,0)-1+COUNTIF($E168:N168,"u")+COUNTIF($E168:N168,"t")+COUNTIF($E168:N168,"¶")+COUNTIF($E168:N168,"²")+COUNTIF($E168:N168,"µ")+COUNTIF($E168:N168,1),ColDescriptionCourte)),""),
  "")),"")</f>
        <v/>
      </c>
      <c r="P168" s="40" t="str">
        <f ca="1">IFERROR(IF(AND(
  INDEX(Roadmap!$D:$K,MATCH($E168,Roadmap!$D:$D,0)+COUNTIF($E168:O168,"u")+COUNTIF($E168:O168,"t")+COUNTIF($E168:O168,"¶")+COUNTIF($E168:O168,"²")+COUNTIF($E168:O168,"µ")+COUNTIF($E168:O168,1),ColLivraison)=P$6,
  VLOOKUP($E168,INDIRECT("tri!"&amp; CHAR(64+ C0Col) &amp;":"&amp; CHAR(65+C0Col)),2,FALSE)&gt;COUNTIF($E168:O168,"u")+COUNTIF($E168:O168,"t")+COUNTIF($E168:O168,"¶")+COUNTIF($E168:O168,"²")+COUNTIF($E168:O168,"µ")+COUNTIF($E168:O168,1)),
HYPERLINK("#Roadmap!C"&amp; MATCH($E168,Roadmap!$D:$D,0)+COUNTIF($E168:O168,"u")+COUNTIF($E168:O168,"t"),
     INDEX(Roadmap!$D:$K,MATCH($E168,Roadmap!$D:$D,0)+COUNTIF($E168:O168,"u")+COUNTIF($E168:O168,"t")+COUNTIF($E168:O168,"¶")+COUNTIF($E168:O168,"²")+COUNTIF($E168:O168,"µ")+COUNTIF($E168:O168,1),ColTypeEcheance)),
  IF(LEN(O168)=1,
  IF(LEN(INDEX(Roadmap!$D:$K,MATCH($E168,Roadmap!$D:$D,0)-1+COUNTIF($E168:O168,"u")+COUNTIF($E168:O168,"t")+COUNTIF($E168:O168,"¶")+COUNTIF($E168:O168,"²")+COUNTIF($E168:O168,"µ")+COUNTIF($E168:O168,1),ColDescriptionCourte))&gt;1,
HYPERLINK("#Roadmap!C"&amp; MATCH($E168,Roadmap!$D:$D,0)+COUNTIF($E168:O168,"u")+COUNTIF($E168:O168,"t")+COUNTIF($E168:O168,"¶")+COUNTIF($E168:O168,"²")+COUNTIF($E168:O168,"µ")+COUNTIF($E168:O168,1)-1,INDEX(Roadmap!$D:$K,MATCH($E168,Roadmap!$D:$D,0)-1+COUNTIF($E168:O168,"u")+COUNTIF($E168:O168,"t")+COUNTIF($E168:O168,"¶")+COUNTIF($E168:O168,"²")+COUNTIF($E168:O168,"µ")+COUNTIF($E168:O168,1),ColDescriptionCourte)),""),
  "")),"")</f>
        <v/>
      </c>
      <c r="Q168" s="40" t="str">
        <f ca="1">IFERROR(IF(AND(
  INDEX(Roadmap!$D:$K,MATCH($E168,Roadmap!$D:$D,0)+COUNTIF($E168:P168,"u")+COUNTIF($E168:P168,"t")+COUNTIF($E168:P168,"¶")+COUNTIF($E168:P168,"²")+COUNTIF($E168:P168,"µ")+COUNTIF($E168:P168,1),ColLivraison)=Q$6,
  VLOOKUP($E168,INDIRECT("tri!"&amp; CHAR(64+ C0Col) &amp;":"&amp; CHAR(65+C0Col)),2,FALSE)&gt;COUNTIF($E168:P168,"u")+COUNTIF($E168:P168,"t")+COUNTIF($E168:P168,"¶")+COUNTIF($E168:P168,"²")+COUNTIF($E168:P168,"µ")+COUNTIF($E168:P168,1)),
HYPERLINK("#Roadmap!C"&amp; MATCH($E168,Roadmap!$D:$D,0)+COUNTIF($E168:P168,"u")+COUNTIF($E168:P168,"t"),
     INDEX(Roadmap!$D:$K,MATCH($E168,Roadmap!$D:$D,0)+COUNTIF($E168:P168,"u")+COUNTIF($E168:P168,"t")+COUNTIF($E168:P168,"¶")+COUNTIF($E168:P168,"²")+COUNTIF($E168:P168,"µ")+COUNTIF($E168:P168,1),ColTypeEcheance)),
  IF(LEN(P168)=1,
  IF(LEN(INDEX(Roadmap!$D:$K,MATCH($E168,Roadmap!$D:$D,0)-1+COUNTIF($E168:P168,"u")+COUNTIF($E168:P168,"t")+COUNTIF($E168:P168,"¶")+COUNTIF($E168:P168,"²")+COUNTIF($E168:P168,"µ")+COUNTIF($E168:P168,1),ColDescriptionCourte))&gt;1,
HYPERLINK("#Roadmap!C"&amp; MATCH($E168,Roadmap!$D:$D,0)+COUNTIF($E168:P168,"u")+COUNTIF($E168:P168,"t")+COUNTIF($E168:P168,"¶")+COUNTIF($E168:P168,"²")+COUNTIF($E168:P168,"µ")+COUNTIF($E168:P168,1)-1,INDEX(Roadmap!$D:$K,MATCH($E168,Roadmap!$D:$D,0)-1+COUNTIF($E168:P168,"u")+COUNTIF($E168:P168,"t")+COUNTIF($E168:P168,"¶")+COUNTIF($E168:P168,"²")+COUNTIF($E168:P168,"µ")+COUNTIF($E168:P168,1),ColDescriptionCourte)),""),
  "")),"")</f>
        <v/>
      </c>
      <c r="R168" s="40" t="str">
        <f ca="1">IFERROR(IF(AND(
  INDEX(Roadmap!$D:$K,MATCH($E168,Roadmap!$D:$D,0)+COUNTIF($E168:Q168,"u")+COUNTIF($E168:Q168,"t")+COUNTIF($E168:Q168,"¶")+COUNTIF($E168:Q168,"²")+COUNTIF($E168:Q168,"µ")+COUNTIF($E168:Q168,1),ColLivraison)=R$6,
  VLOOKUP($E168,INDIRECT("tri!"&amp; CHAR(64+ C0Col) &amp;":"&amp; CHAR(65+C0Col)),2,FALSE)&gt;COUNTIF($E168:Q168,"u")+COUNTIF($E168:Q168,"t")+COUNTIF($E168:Q168,"¶")+COUNTIF($E168:Q168,"²")+COUNTIF($E168:Q168,"µ")+COUNTIF($E168:Q168,1)),
HYPERLINK("#Roadmap!C"&amp; MATCH($E168,Roadmap!$D:$D,0)+COUNTIF($E168:Q168,"u")+COUNTIF($E168:Q168,"t"),
     INDEX(Roadmap!$D:$K,MATCH($E168,Roadmap!$D:$D,0)+COUNTIF($E168:Q168,"u")+COUNTIF($E168:Q168,"t")+COUNTIF($E168:Q168,"¶")+COUNTIF($E168:Q168,"²")+COUNTIF($E168:Q168,"µ")+COUNTIF($E168:Q168,1),ColTypeEcheance)),
  IF(LEN(Q168)=1,
  IF(LEN(INDEX(Roadmap!$D:$K,MATCH($E168,Roadmap!$D:$D,0)-1+COUNTIF($E168:Q168,"u")+COUNTIF($E168:Q168,"t")+COUNTIF($E168:Q168,"¶")+COUNTIF($E168:Q168,"²")+COUNTIF($E168:Q168,"µ")+COUNTIF($E168:Q168,1),ColDescriptionCourte))&gt;1,
HYPERLINK("#Roadmap!C"&amp; MATCH($E168,Roadmap!$D:$D,0)+COUNTIF($E168:Q168,"u")+COUNTIF($E168:Q168,"t")+COUNTIF($E168:Q168,"¶")+COUNTIF($E168:Q168,"²")+COUNTIF($E168:Q168,"µ")+COUNTIF($E168:Q168,1)-1,INDEX(Roadmap!$D:$K,MATCH($E168,Roadmap!$D:$D,0)-1+COUNTIF($E168:Q168,"u")+COUNTIF($E168:Q168,"t")+COUNTIF($E168:Q168,"¶")+COUNTIF($E168:Q168,"²")+COUNTIF($E168:Q168,"µ")+COUNTIF($E168:Q168,1),ColDescriptionCourte)),""),
  "")),"")</f>
        <v/>
      </c>
      <c r="S168" s="40" t="str">
        <f ca="1">IFERROR(IF(AND(
  INDEX(Roadmap!$D:$K,MATCH($E168,Roadmap!$D:$D,0)+COUNTIF($E168:R168,"u")+COUNTIF($E168:R168,"t")+COUNTIF($E168:R168,"¶")+COUNTIF($E168:R168,"²")+COUNTIF($E168:R168,"µ")+COUNTIF($E168:R168,1),ColLivraison)=S$6,
  VLOOKUP($E168,INDIRECT("tri!"&amp; CHAR(64+ C0Col) &amp;":"&amp; CHAR(65+C0Col)),2,FALSE)&gt;COUNTIF($E168:R168,"u")+COUNTIF($E168:R168,"t")+COUNTIF($E168:R168,"¶")+COUNTIF($E168:R168,"²")+COUNTIF($E168:R168,"µ")+COUNTIF($E168:R168,1)),
HYPERLINK("#Roadmap!C"&amp; MATCH($E168,Roadmap!$D:$D,0)+COUNTIF($E168:R168,"u")+COUNTIF($E168:R168,"t"),
     INDEX(Roadmap!$D:$K,MATCH($E168,Roadmap!$D:$D,0)+COUNTIF($E168:R168,"u")+COUNTIF($E168:R168,"t")+COUNTIF($E168:R168,"¶")+COUNTIF($E168:R168,"²")+COUNTIF($E168:R168,"µ")+COUNTIF($E168:R168,1),ColTypeEcheance)),
  IF(LEN(R168)=1,
  IF(LEN(INDEX(Roadmap!$D:$K,MATCH($E168,Roadmap!$D:$D,0)-1+COUNTIF($E168:R168,"u")+COUNTIF($E168:R168,"t")+COUNTIF($E168:R168,"¶")+COUNTIF($E168:R168,"²")+COUNTIF($E168:R168,"µ")+COUNTIF($E168:R168,1),ColDescriptionCourte))&gt;1,
HYPERLINK("#Roadmap!C"&amp; MATCH($E168,Roadmap!$D:$D,0)+COUNTIF($E168:R168,"u")+COUNTIF($E168:R168,"t")+COUNTIF($E168:R168,"¶")+COUNTIF($E168:R168,"²")+COUNTIF($E168:R168,"µ")+COUNTIF($E168:R168,1)-1,INDEX(Roadmap!$D:$K,MATCH($E168,Roadmap!$D:$D,0)-1+COUNTIF($E168:R168,"u")+COUNTIF($E168:R168,"t")+COUNTIF($E168:R168,"¶")+COUNTIF($E168:R168,"²")+COUNTIF($E168:R168,"µ")+COUNTIF($E168:R168,1),ColDescriptionCourte)),""),
  "")),"")</f>
        <v/>
      </c>
      <c r="T168" s="40" t="str">
        <f ca="1">IFERROR(IF(AND(
  INDEX(Roadmap!$D:$K,MATCH($E168,Roadmap!$D:$D,0)+COUNTIF($E168:S168,"u")+COUNTIF($E168:S168,"t")+COUNTIF($E168:S168,"¶")+COUNTIF($E168:S168,"²")+COUNTIF($E168:S168,"µ")+COUNTIF($E168:S168,1),ColLivraison)=T$6,
  VLOOKUP($E168,INDIRECT("tri!"&amp; CHAR(64+ C0Col) &amp;":"&amp; CHAR(65+C0Col)),2,FALSE)&gt;COUNTIF($E168:S168,"u")+COUNTIF($E168:S168,"t")+COUNTIF($E168:S168,"¶")+COUNTIF($E168:S168,"²")+COUNTIF($E168:S168,"µ")+COUNTIF($E168:S168,1)),
HYPERLINK("#Roadmap!C"&amp; MATCH($E168,Roadmap!$D:$D,0)+COUNTIF($E168:S168,"u")+COUNTIF($E168:S168,"t"),
     INDEX(Roadmap!$D:$K,MATCH($E168,Roadmap!$D:$D,0)+COUNTIF($E168:S168,"u")+COUNTIF($E168:S168,"t")+COUNTIF($E168:S168,"¶")+COUNTIF($E168:S168,"²")+COUNTIF($E168:S168,"µ")+COUNTIF($E168:S168,1),ColTypeEcheance)),
  IF(LEN(S168)=1,
  IF(LEN(INDEX(Roadmap!$D:$K,MATCH($E168,Roadmap!$D:$D,0)-1+COUNTIF($E168:S168,"u")+COUNTIF($E168:S168,"t")+COUNTIF($E168:S168,"¶")+COUNTIF($E168:S168,"²")+COUNTIF($E168:S168,"µ")+COUNTIF($E168:S168,1),ColDescriptionCourte))&gt;1,
HYPERLINK("#Roadmap!C"&amp; MATCH($E168,Roadmap!$D:$D,0)+COUNTIF($E168:S168,"u")+COUNTIF($E168:S168,"t")+COUNTIF($E168:S168,"¶")+COUNTIF($E168:S168,"²")+COUNTIF($E168:S168,"µ")+COUNTIF($E168:S168,1)-1,INDEX(Roadmap!$D:$K,MATCH($E168,Roadmap!$D:$D,0)-1+COUNTIF($E168:S168,"u")+COUNTIF($E168:S168,"t")+COUNTIF($E168:S168,"¶")+COUNTIF($E168:S168,"²")+COUNTIF($E168:S168,"µ")+COUNTIF($E168:S168,1),ColDescriptionCourte)),""),
  "")),"")</f>
        <v/>
      </c>
      <c r="U168" s="40" t="str">
        <f ca="1">IFERROR(IF(AND(
  INDEX(Roadmap!$D:$K,MATCH($E168,Roadmap!$D:$D,0)+COUNTIF($E168:T168,"u")+COUNTIF($E168:T168,"t")+COUNTIF($E168:T168,"¶")+COUNTIF($E168:T168,"²")+COUNTIF($E168:T168,"µ")+COUNTIF($E168:T168,1),ColLivraison)=U$6,
  VLOOKUP($E168,INDIRECT("tri!"&amp; CHAR(64+ C0Col) &amp;":"&amp; CHAR(65+C0Col)),2,FALSE)&gt;COUNTIF($E168:T168,"u")+COUNTIF($E168:T168,"t")+COUNTIF($E168:T168,"¶")+COUNTIF($E168:T168,"²")+COUNTIF($E168:T168,"µ")+COUNTIF($E168:T168,1)),
HYPERLINK("#Roadmap!C"&amp; MATCH($E168,Roadmap!$D:$D,0)+COUNTIF($E168:T168,"u")+COUNTIF($E168:T168,"t"),
     INDEX(Roadmap!$D:$K,MATCH($E168,Roadmap!$D:$D,0)+COUNTIF($E168:T168,"u")+COUNTIF($E168:T168,"t")+COUNTIF($E168:T168,"¶")+COUNTIF($E168:T168,"²")+COUNTIF($E168:T168,"µ")+COUNTIF($E168:T168,1),ColTypeEcheance)),
  IF(LEN(T168)=1,
  IF(LEN(INDEX(Roadmap!$D:$K,MATCH($E168,Roadmap!$D:$D,0)-1+COUNTIF($E168:T168,"u")+COUNTIF($E168:T168,"t")+COUNTIF($E168:T168,"¶")+COUNTIF($E168:T168,"²")+COUNTIF($E168:T168,"µ")+COUNTIF($E168:T168,1),ColDescriptionCourte))&gt;1,
HYPERLINK("#Roadmap!C"&amp; MATCH($E168,Roadmap!$D:$D,0)+COUNTIF($E168:T168,"u")+COUNTIF($E168:T168,"t")+COUNTIF($E168:T168,"¶")+COUNTIF($E168:T168,"²")+COUNTIF($E168:T168,"µ")+COUNTIF($E168:T168,1)-1,INDEX(Roadmap!$D:$K,MATCH($E168,Roadmap!$D:$D,0)-1+COUNTIF($E168:T168,"u")+COUNTIF($E168:T168,"t")+COUNTIF($E168:T168,"¶")+COUNTIF($E168:T168,"²")+COUNTIF($E168:T168,"µ")+COUNTIF($E168:T168,1),ColDescriptionCourte)),""),
  "")),"")</f>
        <v/>
      </c>
      <c r="V168" s="40" t="str">
        <f ca="1">IFERROR(IF(AND(
  INDEX(Roadmap!$D:$K,MATCH($E168,Roadmap!$D:$D,0)+COUNTIF($E168:U168,"u")+COUNTIF($E168:U168,"t")+COUNTIF($E168:U168,"¶")+COUNTIF($E168:U168,"²")+COUNTIF($E168:U168,"µ")+COUNTIF($E168:U168,1),ColLivraison)=V$6,
  VLOOKUP($E168,INDIRECT("tri!"&amp; CHAR(64+ C0Col) &amp;":"&amp; CHAR(65+C0Col)),2,FALSE)&gt;COUNTIF($E168:U168,"u")+COUNTIF($E168:U168,"t")+COUNTIF($E168:U168,"¶")+COUNTIF($E168:U168,"²")+COUNTIF($E168:U168,"µ")+COUNTIF($E168:U168,1)),
HYPERLINK("#Roadmap!C"&amp; MATCH($E168,Roadmap!$D:$D,0)+COUNTIF($E168:U168,"u")+COUNTIF($E168:U168,"t"),
     INDEX(Roadmap!$D:$K,MATCH($E168,Roadmap!$D:$D,0)+COUNTIF($E168:U168,"u")+COUNTIF($E168:U168,"t")+COUNTIF($E168:U168,"¶")+COUNTIF($E168:U168,"²")+COUNTIF($E168:U168,"µ")+COUNTIF($E168:U168,1),ColTypeEcheance)),
  IF(LEN(U168)=1,
  IF(LEN(INDEX(Roadmap!$D:$K,MATCH($E168,Roadmap!$D:$D,0)-1+COUNTIF($E168:U168,"u")+COUNTIF($E168:U168,"t")+COUNTIF($E168:U168,"¶")+COUNTIF($E168:U168,"²")+COUNTIF($E168:U168,"µ")+COUNTIF($E168:U168,1),ColDescriptionCourte))&gt;1,
HYPERLINK("#Roadmap!C"&amp; MATCH($E168,Roadmap!$D:$D,0)+COUNTIF($E168:U168,"u")+COUNTIF($E168:U168,"t")+COUNTIF($E168:U168,"¶")+COUNTIF($E168:U168,"²")+COUNTIF($E168:U168,"µ")+COUNTIF($E168:U168,1)-1,INDEX(Roadmap!$D:$K,MATCH($E168,Roadmap!$D:$D,0)-1+COUNTIF($E168:U168,"u")+COUNTIF($E168:U168,"t")+COUNTIF($E168:U168,"¶")+COUNTIF($E168:U168,"²")+COUNTIF($E168:U168,"µ")+COUNTIF($E168:U168,1),ColDescriptionCourte)),""),
  "")),"")</f>
        <v/>
      </c>
      <c r="W168" s="40" t="str">
        <f ca="1">IFERROR(IF(AND(
  INDEX(Roadmap!$D:$K,MATCH($E168,Roadmap!$D:$D,0)+COUNTIF($E168:V168,"u")+COUNTIF($E168:V168,"t")+COUNTIF($E168:V168,"¶")+COUNTIF($E168:V168,"²")+COUNTIF($E168:V168,"µ")+COUNTIF($E168:V168,1),ColLivraison)=W$6,
  VLOOKUP($E168,INDIRECT("tri!"&amp; CHAR(64+ C0Col) &amp;":"&amp; CHAR(65+C0Col)),2,FALSE)&gt;COUNTIF($E168:V168,"u")+COUNTIF($E168:V168,"t")+COUNTIF($E168:V168,"¶")+COUNTIF($E168:V168,"²")+COUNTIF($E168:V168,"µ")+COUNTIF($E168:V168,1)),
HYPERLINK("#Roadmap!C"&amp; MATCH($E168,Roadmap!$D:$D,0)+COUNTIF($E168:V168,"u")+COUNTIF($E168:V168,"t"),
     INDEX(Roadmap!$D:$K,MATCH($E168,Roadmap!$D:$D,0)+COUNTIF($E168:V168,"u")+COUNTIF($E168:V168,"t")+COUNTIF($E168:V168,"¶")+COUNTIF($E168:V168,"²")+COUNTIF($E168:V168,"µ")+COUNTIF($E168:V168,1),ColTypeEcheance)),
  IF(LEN(V168)=1,
  IF(LEN(INDEX(Roadmap!$D:$K,MATCH($E168,Roadmap!$D:$D,0)-1+COUNTIF($E168:V168,"u")+COUNTIF($E168:V168,"t")+COUNTIF($E168:V168,"¶")+COUNTIF($E168:V168,"²")+COUNTIF($E168:V168,"µ")+COUNTIF($E168:V168,1),ColDescriptionCourte))&gt;1,
HYPERLINK("#Roadmap!C"&amp; MATCH($E168,Roadmap!$D:$D,0)+COUNTIF($E168:V168,"u")+COUNTIF($E168:V168,"t")+COUNTIF($E168:V168,"¶")+COUNTIF($E168:V168,"²")+COUNTIF($E168:V168,"µ")+COUNTIF($E168:V168,1)-1,INDEX(Roadmap!$D:$K,MATCH($E168,Roadmap!$D:$D,0)-1+COUNTIF($E168:V168,"u")+COUNTIF($E168:V168,"t")+COUNTIF($E168:V168,"¶")+COUNTIF($E168:V168,"²")+COUNTIF($E168:V168,"µ")+COUNTIF($E168:V168,1),ColDescriptionCourte)),""),
  "")),"")</f>
        <v/>
      </c>
      <c r="X168" s="40" t="str">
        <f ca="1">IFERROR(IF(AND(
  INDEX(Roadmap!$D:$K,MATCH($E168,Roadmap!$D:$D,0)+COUNTIF($E168:W168,"u")+COUNTIF($E168:W168,"t")+COUNTIF($E168:W168,"¶")+COUNTIF($E168:W168,"²")+COUNTIF($E168:W168,"µ")+COUNTIF($E168:W168,1),ColLivraison)=X$6,
  VLOOKUP($E168,INDIRECT("tri!"&amp; CHAR(64+ C0Col) &amp;":"&amp; CHAR(65+C0Col)),2,FALSE)&gt;COUNTIF($E168:W168,"u")+COUNTIF($E168:W168,"t")+COUNTIF($E168:W168,"¶")+COUNTIF($E168:W168,"²")+COUNTIF($E168:W168,"µ")+COUNTIF($E168:W168,1)),
HYPERLINK("#Roadmap!C"&amp; MATCH($E168,Roadmap!$D:$D,0)+COUNTIF($E168:W168,"u")+COUNTIF($E168:W168,"t"),
     INDEX(Roadmap!$D:$K,MATCH($E168,Roadmap!$D:$D,0)+COUNTIF($E168:W168,"u")+COUNTIF($E168:W168,"t")+COUNTIF($E168:W168,"¶")+COUNTIF($E168:W168,"²")+COUNTIF($E168:W168,"µ")+COUNTIF($E168:W168,1),ColTypeEcheance)),
  IF(LEN(W168)=1,
  IF(LEN(INDEX(Roadmap!$D:$K,MATCH($E168,Roadmap!$D:$D,0)-1+COUNTIF($E168:W168,"u")+COUNTIF($E168:W168,"t")+COUNTIF($E168:W168,"¶")+COUNTIF($E168:W168,"²")+COUNTIF($E168:W168,"µ")+COUNTIF($E168:W168,1),ColDescriptionCourte))&gt;1,
HYPERLINK("#Roadmap!C"&amp; MATCH($E168,Roadmap!$D:$D,0)+COUNTIF($E168:W168,"u")+COUNTIF($E168:W168,"t")+COUNTIF($E168:W168,"¶")+COUNTIF($E168:W168,"²")+COUNTIF($E168:W168,"µ")+COUNTIF($E168:W168,1)-1,INDEX(Roadmap!$D:$K,MATCH($E168,Roadmap!$D:$D,0)-1+COUNTIF($E168:W168,"u")+COUNTIF($E168:W168,"t")+COUNTIF($E168:W168,"¶")+COUNTIF($E168:W168,"²")+COUNTIF($E168:W168,"µ")+COUNTIF($E168:W168,1),ColDescriptionCourte)),""),
  "")),"")</f>
        <v/>
      </c>
      <c r="Y168" s="40" t="str">
        <f ca="1">IFERROR(IF(AND(
  INDEX(Roadmap!$D:$K,MATCH($E168,Roadmap!$D:$D,0)+COUNTIF($E168:X168,"u")+COUNTIF($E168:X168,"t")+COUNTIF($E168:X168,"¶")+COUNTIF($E168:X168,"²")+COUNTIF($E168:X168,"µ")+COUNTIF($E168:X168,1),ColLivraison)=Y$6,
  VLOOKUP($E168,INDIRECT("tri!"&amp; CHAR(64+ C0Col) &amp;":"&amp; CHAR(65+C0Col)),2,FALSE)&gt;COUNTIF($E168:X168,"u")+COUNTIF($E168:X168,"t")+COUNTIF($E168:X168,"¶")+COUNTIF($E168:X168,"²")+COUNTIF($E168:X168,"µ")+COUNTIF($E168:X168,1)),
HYPERLINK("#Roadmap!C"&amp; MATCH($E168,Roadmap!$D:$D,0)+COUNTIF($E168:X168,"u")+COUNTIF($E168:X168,"t"),
     INDEX(Roadmap!$D:$K,MATCH($E168,Roadmap!$D:$D,0)+COUNTIF($E168:X168,"u")+COUNTIF($E168:X168,"t")+COUNTIF($E168:X168,"¶")+COUNTIF($E168:X168,"²")+COUNTIF($E168:X168,"µ")+COUNTIF($E168:X168,1),ColTypeEcheance)),
  IF(LEN(X168)=1,
  IF(LEN(INDEX(Roadmap!$D:$K,MATCH($E168,Roadmap!$D:$D,0)-1+COUNTIF($E168:X168,"u")+COUNTIF($E168:X168,"t")+COUNTIF($E168:X168,"¶")+COUNTIF($E168:X168,"²")+COUNTIF($E168:X168,"µ")+COUNTIF($E168:X168,1),ColDescriptionCourte))&gt;1,
HYPERLINK("#Roadmap!C"&amp; MATCH($E168,Roadmap!$D:$D,0)+COUNTIF($E168:X168,"u")+COUNTIF($E168:X168,"t")+COUNTIF($E168:X168,"¶")+COUNTIF($E168:X168,"²")+COUNTIF($E168:X168,"µ")+COUNTIF($E168:X168,1)-1,INDEX(Roadmap!$D:$K,MATCH($E168,Roadmap!$D:$D,0)-1+COUNTIF($E168:X168,"u")+COUNTIF($E168:X168,"t")+COUNTIF($E168:X168,"¶")+COUNTIF($E168:X168,"²")+COUNTIF($E168:X168,"µ")+COUNTIF($E168:X168,1),ColDescriptionCourte)),""),
  "")),"")</f>
        <v/>
      </c>
      <c r="Z168" s="40" t="str">
        <f ca="1">IFERROR(IF(AND(
  INDEX(Roadmap!$D:$K,MATCH($E168,Roadmap!$D:$D,0)+COUNTIF($E168:Y168,"u")+COUNTIF($E168:Y168,"t")+COUNTIF($E168:Y168,"¶")+COUNTIF($E168:Y168,"²")+COUNTIF($E168:Y168,"µ")+COUNTIF($E168:Y168,1),ColLivraison)=Z$6,
  VLOOKUP($E168,INDIRECT("tri!"&amp; CHAR(64+ C0Col) &amp;":"&amp; CHAR(65+C0Col)),2,FALSE)&gt;COUNTIF($E168:Y168,"u")+COUNTIF($E168:Y168,"t")+COUNTIF($E168:Y168,"¶")+COUNTIF($E168:Y168,"²")+COUNTIF($E168:Y168,"µ")+COUNTIF($E168:Y168,1)),
HYPERLINK("#Roadmap!C"&amp; MATCH($E168,Roadmap!$D:$D,0)+COUNTIF($E168:Y168,"u")+COUNTIF($E168:Y168,"t"),
     INDEX(Roadmap!$D:$K,MATCH($E168,Roadmap!$D:$D,0)+COUNTIF($E168:Y168,"u")+COUNTIF($E168:Y168,"t")+COUNTIF($E168:Y168,"¶")+COUNTIF($E168:Y168,"²")+COUNTIF($E168:Y168,"µ")+COUNTIF($E168:Y168,1),ColTypeEcheance)),
  IF(LEN(Y168)=1,
  IF(LEN(INDEX(Roadmap!$D:$K,MATCH($E168,Roadmap!$D:$D,0)-1+COUNTIF($E168:Y168,"u")+COUNTIF($E168:Y168,"t")+COUNTIF($E168:Y168,"¶")+COUNTIF($E168:Y168,"²")+COUNTIF($E168:Y168,"µ")+COUNTIF($E168:Y168,1),ColDescriptionCourte))&gt;1,
HYPERLINK("#Roadmap!C"&amp; MATCH($E168,Roadmap!$D:$D,0)+COUNTIF($E168:Y168,"u")+COUNTIF($E168:Y168,"t")+COUNTIF($E168:Y168,"¶")+COUNTIF($E168:Y168,"²")+COUNTIF($E168:Y168,"µ")+COUNTIF($E168:Y168,1)-1,INDEX(Roadmap!$D:$K,MATCH($E168,Roadmap!$D:$D,0)-1+COUNTIF($E168:Y168,"u")+COUNTIF($E168:Y168,"t")+COUNTIF($E168:Y168,"¶")+COUNTIF($E168:Y168,"²")+COUNTIF($E168:Y168,"µ")+COUNTIF($E168:Y168,1),ColDescriptionCourte)),""),
  "")),"")</f>
        <v/>
      </c>
      <c r="AA168" s="40" t="str">
        <f ca="1">IFERROR(IF(AND(
  INDEX(Roadmap!$D:$K,MATCH($E168,Roadmap!$D:$D,0)+COUNTIF($E168:Z168,"u")+COUNTIF($E168:Z168,"t")+COUNTIF($E168:Z168,"¶")+COUNTIF($E168:Z168,"²")+COUNTIF($E168:Z168,"µ")+COUNTIF($E168:Z168,1),ColLivraison)=AA$6,
  VLOOKUP($E168,INDIRECT("tri!"&amp; CHAR(64+ C0Col) &amp;":"&amp; CHAR(65+C0Col)),2,FALSE)&gt;COUNTIF($E168:Z168,"u")+COUNTIF($E168:Z168,"t")+COUNTIF($E168:Z168,"¶")+COUNTIF($E168:Z168,"²")+COUNTIF($E168:Z168,"µ")+COUNTIF($E168:Z168,1)),
HYPERLINK("#Roadmap!C"&amp; MATCH($E168,Roadmap!$D:$D,0)+COUNTIF($E168:Z168,"u")+COUNTIF($E168:Z168,"t"),
     INDEX(Roadmap!$D:$K,MATCH($E168,Roadmap!$D:$D,0)+COUNTIF($E168:Z168,"u")+COUNTIF($E168:Z168,"t")+COUNTIF($E168:Z168,"¶")+COUNTIF($E168:Z168,"²")+COUNTIF($E168:Z168,"µ")+COUNTIF($E168:Z168,1),ColTypeEcheance)),
  IF(LEN(Z168)=1,
  IF(LEN(INDEX(Roadmap!$D:$K,MATCH($E168,Roadmap!$D:$D,0)-1+COUNTIF($E168:Z168,"u")+COUNTIF($E168:Z168,"t")+COUNTIF($E168:Z168,"¶")+COUNTIF($E168:Z168,"²")+COUNTIF($E168:Z168,"µ")+COUNTIF($E168:Z168,1),ColDescriptionCourte))&gt;1,
HYPERLINK("#Roadmap!C"&amp; MATCH($E168,Roadmap!$D:$D,0)+COUNTIF($E168:Z168,"u")+COUNTIF($E168:Z168,"t")+COUNTIF($E168:Z168,"¶")+COUNTIF($E168:Z168,"²")+COUNTIF($E168:Z168,"µ")+COUNTIF($E168:Z168,1)-1,INDEX(Roadmap!$D:$K,MATCH($E168,Roadmap!$D:$D,0)-1+COUNTIF($E168:Z168,"u")+COUNTIF($E168:Z168,"t")+COUNTIF($E168:Z168,"¶")+COUNTIF($E168:Z168,"²")+COUNTIF($E168:Z168,"µ")+COUNTIF($E168:Z168,1),ColDescriptionCourte)),""),
  "")),"")</f>
        <v/>
      </c>
      <c r="AB168" s="40" t="str">
        <f ca="1">IFERROR(IF(AND(
  INDEX(Roadmap!$D:$K,MATCH($E168,Roadmap!$D:$D,0)+COUNTIF($E168:AA168,"u")+COUNTIF($E168:AA168,"t")+COUNTIF($E168:AA168,"¶")+COUNTIF($E168:AA168,"²")+COUNTIF($E168:AA168,"µ")+COUNTIF($E168:AA168,1),ColLivraison)=AB$6,
  VLOOKUP($E168,INDIRECT("tri!"&amp; CHAR(64+ C0Col) &amp;":"&amp; CHAR(65+C0Col)),2,FALSE)&gt;COUNTIF($E168:AA168,"u")+COUNTIF($E168:AA168,"t")+COUNTIF($E168:AA168,"¶")+COUNTIF($E168:AA168,"²")+COUNTIF($E168:AA168,"µ")+COUNTIF($E168:AA168,1)),
HYPERLINK("#Roadmap!C"&amp; MATCH($E168,Roadmap!$D:$D,0)+COUNTIF($E168:AA168,"u")+COUNTIF($E168:AA168,"t"),
     INDEX(Roadmap!$D:$K,MATCH($E168,Roadmap!$D:$D,0)+COUNTIF($E168:AA168,"u")+COUNTIF($E168:AA168,"t")+COUNTIF($E168:AA168,"¶")+COUNTIF($E168:AA168,"²")+COUNTIF($E168:AA168,"µ")+COUNTIF($E168:AA168,1),ColTypeEcheance)),
  IF(LEN(AA168)=1,
  IF(LEN(INDEX(Roadmap!$D:$K,MATCH($E168,Roadmap!$D:$D,0)-1+COUNTIF($E168:AA168,"u")+COUNTIF($E168:AA168,"t")+COUNTIF($E168:AA168,"¶")+COUNTIF($E168:AA168,"²")+COUNTIF($E168:AA168,"µ")+COUNTIF($E168:AA168,1),ColDescriptionCourte))&gt;1,
HYPERLINK("#Roadmap!C"&amp; MATCH($E168,Roadmap!$D:$D,0)+COUNTIF($E168:AA168,"u")+COUNTIF($E168:AA168,"t")+COUNTIF($E168:AA168,"¶")+COUNTIF($E168:AA168,"²")+COUNTIF($E168:AA168,"µ")+COUNTIF($E168:AA168,1)-1,INDEX(Roadmap!$D:$K,MATCH($E168,Roadmap!$D:$D,0)-1+COUNTIF($E168:AA168,"u")+COUNTIF($E168:AA168,"t")+COUNTIF($E168:AA168,"¶")+COUNTIF($E168:AA168,"²")+COUNTIF($E168:AA168,"µ")+COUNTIF($E168:AA168,1),ColDescriptionCourte)),""),
  "")),"")</f>
        <v/>
      </c>
      <c r="AC168" s="40" t="str">
        <f ca="1">IFERROR(IF(AND(
  INDEX(Roadmap!$D:$K,MATCH($E168,Roadmap!$D:$D,0)+COUNTIF($E168:AB168,"u")+COUNTIF($E168:AB168,"t")+COUNTIF($E168:AB168,"¶")+COUNTIF($E168:AB168,"²")+COUNTIF($E168:AB168,"µ")+COUNTIF($E168:AB168,1),ColLivraison)=AC$6,
  VLOOKUP($E168,INDIRECT("tri!"&amp; CHAR(64+ C0Col) &amp;":"&amp; CHAR(65+C0Col)),2,FALSE)&gt;COUNTIF($E168:AB168,"u")+COUNTIF($E168:AB168,"t")+COUNTIF($E168:AB168,"¶")+COUNTIF($E168:AB168,"²")+COUNTIF($E168:AB168,"µ")+COUNTIF($E168:AB168,1)),
HYPERLINK("#Roadmap!C"&amp; MATCH($E168,Roadmap!$D:$D,0)+COUNTIF($E168:AB168,"u")+COUNTIF($E168:AB168,"t"),
     INDEX(Roadmap!$D:$K,MATCH($E168,Roadmap!$D:$D,0)+COUNTIF($E168:AB168,"u")+COUNTIF($E168:AB168,"t")+COUNTIF($E168:AB168,"¶")+COUNTIF($E168:AB168,"²")+COUNTIF($E168:AB168,"µ")+COUNTIF($E168:AB168,1),ColTypeEcheance)),
  IF(LEN(AB168)=1,
  IF(LEN(INDEX(Roadmap!$D:$K,MATCH($E168,Roadmap!$D:$D,0)-1+COUNTIF($E168:AB168,"u")+COUNTIF($E168:AB168,"t")+COUNTIF($E168:AB168,"¶")+COUNTIF($E168:AB168,"²")+COUNTIF($E168:AB168,"µ")+COUNTIF($E168:AB168,1),ColDescriptionCourte))&gt;1,
HYPERLINK("#Roadmap!C"&amp; MATCH($E168,Roadmap!$D:$D,0)+COUNTIF($E168:AB168,"u")+COUNTIF($E168:AB168,"t")+COUNTIF($E168:AB168,"¶")+COUNTIF($E168:AB168,"²")+COUNTIF($E168:AB168,"µ")+COUNTIF($E168:AB168,1)-1,INDEX(Roadmap!$D:$K,MATCH($E168,Roadmap!$D:$D,0)-1+COUNTIF($E168:AB168,"u")+COUNTIF($E168:AB168,"t")+COUNTIF($E168:AB168,"¶")+COUNTIF($E168:AB168,"²")+COUNTIF($E168:AB168,"µ")+COUNTIF($E168:AB168,1),ColDescriptionCourte)),""),
  "")),"")</f>
        <v/>
      </c>
      <c r="AD168" s="40" t="str">
        <f ca="1">IFERROR(IF(AND(
  INDEX(Roadmap!$D:$K,MATCH($E168,Roadmap!$D:$D,0)+COUNTIF($E168:AC168,"u")+COUNTIF($E168:AC168,"t")+COUNTIF($E168:AC168,"¶")+COUNTIF($E168:AC168,"²")+COUNTIF($E168:AC168,"µ")+COUNTIF($E168:AC168,1),ColLivraison)=AD$6,
  VLOOKUP($E168,INDIRECT("tri!"&amp; CHAR(64+ C0Col) &amp;":"&amp; CHAR(65+C0Col)),2,FALSE)&gt;COUNTIF($E168:AC168,"u")+COUNTIF($E168:AC168,"t")+COUNTIF($E168:AC168,"¶")+COUNTIF($E168:AC168,"²")+COUNTIF($E168:AC168,"µ")+COUNTIF($E168:AC168,1)),
HYPERLINK("#Roadmap!C"&amp; MATCH($E168,Roadmap!$D:$D,0)+COUNTIF($E168:AC168,"u")+COUNTIF($E168:AC168,"t"),
     INDEX(Roadmap!$D:$K,MATCH($E168,Roadmap!$D:$D,0)+COUNTIF($E168:AC168,"u")+COUNTIF($E168:AC168,"t")+COUNTIF($E168:AC168,"¶")+COUNTIF($E168:AC168,"²")+COUNTIF($E168:AC168,"µ")+COUNTIF($E168:AC168,1),ColTypeEcheance)),
  IF(LEN(AC168)=1,
  IF(LEN(INDEX(Roadmap!$D:$K,MATCH($E168,Roadmap!$D:$D,0)-1+COUNTIF($E168:AC168,"u")+COUNTIF($E168:AC168,"t")+COUNTIF($E168:AC168,"¶")+COUNTIF($E168:AC168,"²")+COUNTIF($E168:AC168,"µ")+COUNTIF($E168:AC168,1),ColDescriptionCourte))&gt;1,
HYPERLINK("#Roadmap!C"&amp; MATCH($E168,Roadmap!$D:$D,0)+COUNTIF($E168:AC168,"u")+COUNTIF($E168:AC168,"t")+COUNTIF($E168:AC168,"¶")+COUNTIF($E168:AC168,"²")+COUNTIF($E168:AC168,"µ")+COUNTIF($E168:AC168,1)-1,INDEX(Roadmap!$D:$K,MATCH($E168,Roadmap!$D:$D,0)-1+COUNTIF($E168:AC168,"u")+COUNTIF($E168:AC168,"t")+COUNTIF($E168:AC168,"¶")+COUNTIF($E168:AC168,"²")+COUNTIF($E168:AC168,"µ")+COUNTIF($E168:AC168,1),ColDescriptionCourte)),""),
  "")),"")</f>
        <v/>
      </c>
      <c r="AE168" s="40" t="str">
        <f ca="1">IFERROR(IF(AND(
  INDEX(Roadmap!$D:$K,MATCH($E168,Roadmap!$D:$D,0)+COUNTIF($E168:AD168,"u")+COUNTIF($E168:AD168,"t")+COUNTIF($E168:AD168,"¶")+COUNTIF($E168:AD168,"²")+COUNTIF($E168:AD168,"µ")+COUNTIF($E168:AD168,1),ColLivraison)=AE$6,
  VLOOKUP($E168,INDIRECT("tri!"&amp; CHAR(64+ C0Col) &amp;":"&amp; CHAR(65+C0Col)),2,FALSE)&gt;COUNTIF($E168:AD168,"u")+COUNTIF($E168:AD168,"t")+COUNTIF($E168:AD168,"¶")+COUNTIF($E168:AD168,"²")+COUNTIF($E168:AD168,"µ")+COUNTIF($E168:AD168,1)),
HYPERLINK("#Roadmap!C"&amp; MATCH($E168,Roadmap!$D:$D,0)+COUNTIF($E168:AD168,"u")+COUNTIF($E168:AD168,"t"),
     INDEX(Roadmap!$D:$K,MATCH($E168,Roadmap!$D:$D,0)+COUNTIF($E168:AD168,"u")+COUNTIF($E168:AD168,"t")+COUNTIF($E168:AD168,"¶")+COUNTIF($E168:AD168,"²")+COUNTIF($E168:AD168,"µ")+COUNTIF($E168:AD168,1),ColTypeEcheance)),
  IF(LEN(AD168)=1,
  IF(LEN(INDEX(Roadmap!$D:$K,MATCH($E168,Roadmap!$D:$D,0)-1+COUNTIF($E168:AD168,"u")+COUNTIF($E168:AD168,"t")+COUNTIF($E168:AD168,"¶")+COUNTIF($E168:AD168,"²")+COUNTIF($E168:AD168,"µ")+COUNTIF($E168:AD168,1),ColDescriptionCourte))&gt;1,
HYPERLINK("#Roadmap!C"&amp; MATCH($E168,Roadmap!$D:$D,0)+COUNTIF($E168:AD168,"u")+COUNTIF($E168:AD168,"t")+COUNTIF($E168:AD168,"¶")+COUNTIF($E168:AD168,"²")+COUNTIF($E168:AD168,"µ")+COUNTIF($E168:AD168,1)-1,INDEX(Roadmap!$D:$K,MATCH($E168,Roadmap!$D:$D,0)-1+COUNTIF($E168:AD168,"u")+COUNTIF($E168:AD168,"t")+COUNTIF($E168:AD168,"¶")+COUNTIF($E168:AD168,"²")+COUNTIF($E168:AD168,"µ")+COUNTIF($E168:AD168,1),ColDescriptionCourte)),""),
  "")),"")</f>
        <v/>
      </c>
      <c r="AF168" s="40" t="str">
        <f ca="1">IFERROR(IF(AND(
  INDEX(Roadmap!$D:$K,MATCH($E168,Roadmap!$D:$D,0)+COUNTIF($E168:AE168,"u")+COUNTIF($E168:AE168,"t")+COUNTIF($E168:AE168,"¶")+COUNTIF($E168:AE168,"²")+COUNTIF($E168:AE168,"µ")+COUNTIF($E168:AE168,1),ColLivraison)=AF$6,
  VLOOKUP($E168,INDIRECT("tri!"&amp; CHAR(64+ C0Col) &amp;":"&amp; CHAR(65+C0Col)),2,FALSE)&gt;COUNTIF($E168:AE168,"u")+COUNTIF($E168:AE168,"t")+COUNTIF($E168:AE168,"¶")+COUNTIF($E168:AE168,"²")+COUNTIF($E168:AE168,"µ")+COUNTIF($E168:AE168,1)),
HYPERLINK("#Roadmap!C"&amp; MATCH($E168,Roadmap!$D:$D,0)+COUNTIF($E168:AE168,"u")+COUNTIF($E168:AE168,"t"),
     INDEX(Roadmap!$D:$K,MATCH($E168,Roadmap!$D:$D,0)+COUNTIF($E168:AE168,"u")+COUNTIF($E168:AE168,"t")+COUNTIF($E168:AE168,"¶")+COUNTIF($E168:AE168,"²")+COUNTIF($E168:AE168,"µ")+COUNTIF($E168:AE168,1),ColTypeEcheance)),
  IF(LEN(AE168)=1,
  IF(LEN(INDEX(Roadmap!$D:$K,MATCH($E168,Roadmap!$D:$D,0)-1+COUNTIF($E168:AE168,"u")+COUNTIF($E168:AE168,"t")+COUNTIF($E168:AE168,"¶")+COUNTIF($E168:AE168,"²")+COUNTIF($E168:AE168,"µ")+COUNTIF($E168:AE168,1),ColDescriptionCourte))&gt;1,
HYPERLINK("#Roadmap!C"&amp; MATCH($E168,Roadmap!$D:$D,0)+COUNTIF($E168:AE168,"u")+COUNTIF($E168:AE168,"t")+COUNTIF($E168:AE168,"¶")+COUNTIF($E168:AE168,"²")+COUNTIF($E168:AE168,"µ")+COUNTIF($E168:AE168,1)-1,INDEX(Roadmap!$D:$K,MATCH($E168,Roadmap!$D:$D,0)-1+COUNTIF($E168:AE168,"u")+COUNTIF($E168:AE168,"t")+COUNTIF($E168:AE168,"¶")+COUNTIF($E168:AE168,"²")+COUNTIF($E168:AE168,"µ")+COUNTIF($E168:AE168,1),ColDescriptionCourte)),""),
  "")),"")</f>
        <v/>
      </c>
      <c r="AG168" s="40" t="str">
        <f ca="1">IFERROR(IF(AND(
  INDEX(Roadmap!$D:$K,MATCH($E168,Roadmap!$D:$D,0)+COUNTIF($E168:AF168,"u")+COUNTIF($E168:AF168,"t")+COUNTIF($E168:AF168,"¶")+COUNTIF($E168:AF168,"²")+COUNTIF($E168:AF168,"µ")+COUNTIF($E168:AF168,1),ColLivraison)=AG$6,
  VLOOKUP($E168,INDIRECT("tri!"&amp; CHAR(64+ C0Col) &amp;":"&amp; CHAR(65+C0Col)),2,FALSE)&gt;COUNTIF($E168:AF168,"u")+COUNTIF($E168:AF168,"t")+COUNTIF($E168:AF168,"¶")+COUNTIF($E168:AF168,"²")+COUNTIF($E168:AF168,"µ")+COUNTIF($E168:AF168,1)),
HYPERLINK("#Roadmap!C"&amp; MATCH($E168,Roadmap!$D:$D,0)+COUNTIF($E168:AF168,"u")+COUNTIF($E168:AF168,"t"),
     INDEX(Roadmap!$D:$K,MATCH($E168,Roadmap!$D:$D,0)+COUNTIF($E168:AF168,"u")+COUNTIF($E168:AF168,"t")+COUNTIF($E168:AF168,"¶")+COUNTIF($E168:AF168,"²")+COUNTIF($E168:AF168,"µ")+COUNTIF($E168:AF168,1),ColTypeEcheance)),
  IF(LEN(AF168)=1,
  IF(LEN(INDEX(Roadmap!$D:$K,MATCH($E168,Roadmap!$D:$D,0)-1+COUNTIF($E168:AF168,"u")+COUNTIF($E168:AF168,"t")+COUNTIF($E168:AF168,"¶")+COUNTIF($E168:AF168,"²")+COUNTIF($E168:AF168,"µ")+COUNTIF($E168:AF168,1),ColDescriptionCourte))&gt;1,
HYPERLINK("#Roadmap!C"&amp; MATCH($E168,Roadmap!$D:$D,0)+COUNTIF($E168:AF168,"u")+COUNTIF($E168:AF168,"t")+COUNTIF($E168:AF168,"¶")+COUNTIF($E168:AF168,"²")+COUNTIF($E168:AF168,"µ")+COUNTIF($E168:AF168,1)-1,INDEX(Roadmap!$D:$K,MATCH($E168,Roadmap!$D:$D,0)-1+COUNTIF($E168:AF168,"u")+COUNTIF($E168:AF168,"t")+COUNTIF($E168:AF168,"¶")+COUNTIF($E168:AF168,"²")+COUNTIF($E168:AF168,"µ")+COUNTIF($E168:AF168,1),ColDescriptionCourte)),""),
  "")),"")</f>
        <v/>
      </c>
      <c r="AH168" s="40" t="str">
        <f ca="1">IFERROR(IF(AND(
  INDEX(Roadmap!$D:$K,MATCH($E168,Roadmap!$D:$D,0)+COUNTIF($E168:AG168,"u")+COUNTIF($E168:AG168,"t")+COUNTIF($E168:AG168,1),ColLivraison)=AH$6,
  VLOOKUP($E168,INDIRECT("tri!"&amp; CHAR(64+ C0Col) &amp;":"&amp; CHAR(65+C0Col)),2,FALSE)&gt;COUNTIF($E168:AG168,"u")+COUNTIF($E168:AG168,"t")+COUNTIF($E168:AG168,1)),
HYPERLINK("#Roadmap!C"&amp; MATCH($E168,Roadmap!$D:$D,0)+COUNTIF($E168:AG168,"u")+COUNTIF($E168:AG168,"t"),
     INDEX(Roadmap!$D:$K,MATCH($E168,Roadmap!$D:$D,0)+COUNTIF($E168:AG168,"u")+COUNTIF($E168:AG168,"t")+COUNTIF($E168:AG168,1),ColTypeEcheance)),
  IF(OR(AG168="u",AG168="t",AG168=1),
  IF(LEN(INDEX(Roadmap!$D:$K,MATCH($E168,Roadmap!$D:$D,0)-1+COUNTIF($E168:AG168,"u")+COUNTIF($E168:AG168,"t")+COUNTIF($E168:AG168,1),ColDescriptionCourte))&gt;1,
HYPERLINK("#Roadmap!C"&amp; MATCH($E168,Roadmap!$D:$D,0)+COUNTIF($E168:AG168,"u")+COUNTIF($E168:AG168,"t")+COUNTIF($E168:AG168,1)-1,INDEX(Roadmap!$D:$K,MATCH($E168,Roadmap!$D:$D,0)-1+COUNTIF($E168:AG168,"u")+COUNTIF($E168:AG168,"t")+COUNTIF($E168:AG168,1),ColDescriptionCourte)),""),
  "")),"")</f>
        <v/>
      </c>
      <c r="AI168" s="40"/>
      <c r="AJ168" s="40"/>
      <c r="AK168" s="40"/>
      <c r="AL168" s="40"/>
      <c r="AM168" s="40"/>
    </row>
    <row r="169" spans="4:39" ht="14.1" customHeight="1">
      <c r="D169" s="20" t="str">
        <f t="shared" ca="1" si="31"/>
        <v/>
      </c>
      <c r="E169" s="53" t="str">
        <f t="shared" ca="1" si="32"/>
        <v/>
      </c>
      <c r="F169" s="39" t="str">
        <f ca="1">IFERROR(IF(AND(
  INDEX(Roadmap!$D:$K,MATCH($E169,Roadmap!$D:$D,0)+COUNTIF($E169:E169,"u")+COUNTIF($E169:E169,"t")+COUNTIF($E169:E169,"¶")+COUNTIF($E169:E169,"²")+COUNTIF($E169:E169,"µ")+COUNTIF($E169:E169,1),ColLivraison)=F$6,
  VLOOKUP($E169,INDIRECT("tri!"&amp; CHAR(64+ C0Col) &amp;":"&amp; CHAR(65+C0Col)),2,FALSE)&gt;COUNTIF($E169:E169,"u")+COUNTIF($E169:E169,"t")+COUNTIF($E169:E169,"¶")+COUNTIF($E169:E169,"²")+COUNTIF($E169:E169,"µ")+COUNTIF($E169:E169,1)),
HYPERLINK("#Roadmap!C"&amp; MATCH($E169,Roadmap!$D:$D,0)+COUNTIF($E169:E169,"u")+COUNTIF($E169:E169,"t"),
     INDEX(Roadmap!$D:$K,MATCH($E169,Roadmap!$D:$D,0)+COUNTIF($E169:E169,"u")+COUNTIF($E169:E169,"t")+COUNTIF($E169:E169,"¶")+COUNTIF($E169:E169,"²")+COUNTIF($E169:E169,"µ")+COUNTIF($E169:E169,1),ColTypeEcheance)),
  IF(LEN(E169)=1,
  IF(LEN(INDEX(Roadmap!$D:$K,MATCH($E169,Roadmap!$D:$D,0)-1+COUNTIF($E169:E169,"u")+COUNTIF($E169:E169,"t")+COUNTIF($E169:E169,"¶")+COUNTIF($E169:E169,"²")+COUNTIF($E169:E169,"µ")+COUNTIF($E169:E169,1),ColDescriptionCourte))&gt;1,
HYPERLINK("#Roadmap!C"&amp; MATCH($E169,Roadmap!$D:$D,0)+COUNTIF($E169:E169,"u")+COUNTIF($E169:E169,"t")+COUNTIF($E169:E169,"¶")+COUNTIF($E169:E169,"²")+COUNTIF($E169:E169,"µ")+COUNTIF($E169:E169,1)-1,INDEX(Roadmap!$D:$K,MATCH($E169,Roadmap!$D:$D,0)-1+COUNTIF($E169:E169,"u")+COUNTIF($E169:E169,"t")+COUNTIF($E169:E169,"¶")+COUNTIF($E169:E169,"²")+COUNTIF($E169:E169,"µ")+COUNTIF($E169:E169,1),ColDescriptionCourte)),""),
  "")),"")</f>
        <v/>
      </c>
      <c r="G169" s="40" t="str">
        <f ca="1">IFERROR(IF(AND(
  INDEX(Roadmap!$D:$K,MATCH($E169,Roadmap!$D:$D,0)+COUNTIF($E169:F169,"u")+COUNTIF($E169:F169,"t")+COUNTIF($E169:F169,"¶")+COUNTIF($E169:F169,"²")+COUNTIF($E169:F169,"µ")+COUNTIF($E169:F169,1),ColLivraison)=G$6,
  VLOOKUP($E169,INDIRECT("tri!"&amp; CHAR(64+ C0Col) &amp;":"&amp; CHAR(65+C0Col)),2,FALSE)&gt;COUNTIF($E169:F169,"u")+COUNTIF($E169:F169,"t")+COUNTIF($E169:F169,"¶")+COUNTIF($E169:F169,"²")+COUNTIF($E169:F169,"µ")+COUNTIF($E169:F169,1)),
HYPERLINK("#Roadmap!C"&amp; MATCH($E169,Roadmap!$D:$D,0)+COUNTIF($E169:F169,"u")+COUNTIF($E169:F169,"t"),
     INDEX(Roadmap!$D:$K,MATCH($E169,Roadmap!$D:$D,0)+COUNTIF($E169:F169,"u")+COUNTIF($E169:F169,"t")+COUNTIF($E169:F169,"¶")+COUNTIF($E169:F169,"²")+COUNTIF($E169:F169,"µ")+COUNTIF($E169:F169,1),ColTypeEcheance)),
  IF(LEN(F169)=1,
  IF(LEN(INDEX(Roadmap!$D:$K,MATCH($E169,Roadmap!$D:$D,0)-1+COUNTIF($E169:F169,"u")+COUNTIF($E169:F169,"t")+COUNTIF($E169:F169,"¶")+COUNTIF($E169:F169,"²")+COUNTIF($E169:F169,"µ")+COUNTIF($E169:F169,1),ColDescriptionCourte))&gt;1,
HYPERLINK("#Roadmap!C"&amp; MATCH($E169,Roadmap!$D:$D,0)+COUNTIF($E169:F169,"u")+COUNTIF($E169:F169,"t")+COUNTIF($E169:F169,"¶")+COUNTIF($E169:F169,"²")+COUNTIF($E169:F169,"µ")+COUNTIF($E169:F169,1)-1,INDEX(Roadmap!$D:$K,MATCH($E169,Roadmap!$D:$D,0)-1+COUNTIF($E169:F169,"u")+COUNTIF($E169:F169,"t")+COUNTIF($E169:F169,"¶")+COUNTIF($E169:F169,"²")+COUNTIF($E169:F169,"µ")+COUNTIF($E169:F169,1),ColDescriptionCourte)),""),
  "")),"")</f>
        <v/>
      </c>
      <c r="H169" s="40" t="str">
        <f ca="1">IFERROR(IF(AND(
  INDEX(Roadmap!$D:$K,MATCH($E169,Roadmap!$D:$D,0)+COUNTIF($E169:G169,"u")+COUNTIF($E169:G169,"t")+COUNTIF($E169:G169,"¶")+COUNTIF($E169:G169,"²")+COUNTIF($E169:G169,"µ")+COUNTIF($E169:G169,1),ColLivraison)=H$6,
  VLOOKUP($E169,INDIRECT("tri!"&amp; CHAR(64+ C0Col) &amp;":"&amp; CHAR(65+C0Col)),2,FALSE)&gt;COUNTIF($E169:G169,"u")+COUNTIF($E169:G169,"t")+COUNTIF($E169:G169,"¶")+COUNTIF($E169:G169,"²")+COUNTIF($E169:G169,"µ")+COUNTIF($E169:G169,1)),
HYPERLINK("#Roadmap!C"&amp; MATCH($E169,Roadmap!$D:$D,0)+COUNTIF($E169:G169,"u")+COUNTIF($E169:G169,"t"),
     INDEX(Roadmap!$D:$K,MATCH($E169,Roadmap!$D:$D,0)+COUNTIF($E169:G169,"u")+COUNTIF($E169:G169,"t")+COUNTIF($E169:G169,"¶")+COUNTIF($E169:G169,"²")+COUNTIF($E169:G169,"µ")+COUNTIF($E169:G169,1),ColTypeEcheance)),
  IF(LEN(G169)=1,
  IF(LEN(INDEX(Roadmap!$D:$K,MATCH($E169,Roadmap!$D:$D,0)-1+COUNTIF($E169:G169,"u")+COUNTIF($E169:G169,"t")+COUNTIF($E169:G169,"¶")+COUNTIF($E169:G169,"²")+COUNTIF($E169:G169,"µ")+COUNTIF($E169:G169,1),ColDescriptionCourte))&gt;1,
HYPERLINK("#Roadmap!C"&amp; MATCH($E169,Roadmap!$D:$D,0)+COUNTIF($E169:G169,"u")+COUNTIF($E169:G169,"t")+COUNTIF($E169:G169,"¶")+COUNTIF($E169:G169,"²")+COUNTIF($E169:G169,"µ")+COUNTIF($E169:G169,1)-1,INDEX(Roadmap!$D:$K,MATCH($E169,Roadmap!$D:$D,0)-1+COUNTIF($E169:G169,"u")+COUNTIF($E169:G169,"t")+COUNTIF($E169:G169,"¶")+COUNTIF($E169:G169,"²")+COUNTIF($E169:G169,"µ")+COUNTIF($E169:G169,1),ColDescriptionCourte)),""),
  "")),"")</f>
        <v/>
      </c>
      <c r="I169" s="40" t="str">
        <f ca="1">IFERROR(IF(AND(
  INDEX(Roadmap!$D:$K,MATCH($E169,Roadmap!$D:$D,0)+COUNTIF($E169:H169,"u")+COUNTIF($E169:H169,"t")+COUNTIF($E169:H169,"¶")+COUNTIF($E169:H169,"²")+COUNTIF($E169:H169,"µ")+COUNTIF($E169:H169,1),ColLivraison)=I$6,
  VLOOKUP($E169,INDIRECT("tri!"&amp; CHAR(64+ C0Col) &amp;":"&amp; CHAR(65+C0Col)),2,FALSE)&gt;COUNTIF($E169:H169,"u")+COUNTIF($E169:H169,"t")+COUNTIF($E169:H169,"¶")+COUNTIF($E169:H169,"²")+COUNTIF($E169:H169,"µ")+COUNTIF($E169:H169,1)),
HYPERLINK("#Roadmap!C"&amp; MATCH($E169,Roadmap!$D:$D,0)+COUNTIF($E169:H169,"u")+COUNTIF($E169:H169,"t"),
     INDEX(Roadmap!$D:$K,MATCH($E169,Roadmap!$D:$D,0)+COUNTIF($E169:H169,"u")+COUNTIF($E169:H169,"t")+COUNTIF($E169:H169,"¶")+COUNTIF($E169:H169,"²")+COUNTIF($E169:H169,"µ")+COUNTIF($E169:H169,1),ColTypeEcheance)),
  IF(LEN(H169)=1,
  IF(LEN(INDEX(Roadmap!$D:$K,MATCH($E169,Roadmap!$D:$D,0)-1+COUNTIF($E169:H169,"u")+COUNTIF($E169:H169,"t")+COUNTIF($E169:H169,"¶")+COUNTIF($E169:H169,"²")+COUNTIF($E169:H169,"µ")+COUNTIF($E169:H169,1),ColDescriptionCourte))&gt;1,
HYPERLINK("#Roadmap!C"&amp; MATCH($E169,Roadmap!$D:$D,0)+COUNTIF($E169:H169,"u")+COUNTIF($E169:H169,"t")+COUNTIF($E169:H169,"¶")+COUNTIF($E169:H169,"²")+COUNTIF($E169:H169,"µ")+COUNTIF($E169:H169,1)-1,INDEX(Roadmap!$D:$K,MATCH($E169,Roadmap!$D:$D,0)-1+COUNTIF($E169:H169,"u")+COUNTIF($E169:H169,"t")+COUNTIF($E169:H169,"¶")+COUNTIF($E169:H169,"²")+COUNTIF($E169:H169,"µ")+COUNTIF($E169:H169,1),ColDescriptionCourte)),""),
  "")),"")</f>
        <v/>
      </c>
      <c r="J169" s="40" t="str">
        <f ca="1">IFERROR(IF(AND(
  INDEX(Roadmap!$D:$K,MATCH($E169,Roadmap!$D:$D,0)+COUNTIF($E169:I169,"u")+COUNTIF($E169:I169,"t")+COUNTIF($E169:I169,"¶")+COUNTIF($E169:I169,"²")+COUNTIF($E169:I169,"µ")+COUNTIF($E169:I169,1),ColLivraison)=J$6,
  VLOOKUP($E169,INDIRECT("tri!"&amp; CHAR(64+ C0Col) &amp;":"&amp; CHAR(65+C0Col)),2,FALSE)&gt;COUNTIF($E169:I169,"u")+COUNTIF($E169:I169,"t")+COUNTIF($E169:I169,"¶")+COUNTIF($E169:I169,"²")+COUNTIF($E169:I169,"µ")+COUNTIF($E169:I169,1)),
HYPERLINK("#Roadmap!C"&amp; MATCH($E169,Roadmap!$D:$D,0)+COUNTIF($E169:I169,"u")+COUNTIF($E169:I169,"t"),
     INDEX(Roadmap!$D:$K,MATCH($E169,Roadmap!$D:$D,0)+COUNTIF($E169:I169,"u")+COUNTIF($E169:I169,"t")+COUNTIF($E169:I169,"¶")+COUNTIF($E169:I169,"²")+COUNTIF($E169:I169,"µ")+COUNTIF($E169:I169,1),ColTypeEcheance)),
  IF(LEN(I169)=1,
  IF(LEN(INDEX(Roadmap!$D:$K,MATCH($E169,Roadmap!$D:$D,0)-1+COUNTIF($E169:I169,"u")+COUNTIF($E169:I169,"t")+COUNTIF($E169:I169,"¶")+COUNTIF($E169:I169,"²")+COUNTIF($E169:I169,"µ")+COUNTIF($E169:I169,1),ColDescriptionCourte))&gt;1,
HYPERLINK("#Roadmap!C"&amp; MATCH($E169,Roadmap!$D:$D,0)+COUNTIF($E169:I169,"u")+COUNTIF($E169:I169,"t")+COUNTIF($E169:I169,"¶")+COUNTIF($E169:I169,"²")+COUNTIF($E169:I169,"µ")+COUNTIF($E169:I169,1)-1,INDEX(Roadmap!$D:$K,MATCH($E169,Roadmap!$D:$D,0)-1+COUNTIF($E169:I169,"u")+COUNTIF($E169:I169,"t")+COUNTIF($E169:I169,"¶")+COUNTIF($E169:I169,"²")+COUNTIF($E169:I169,"µ")+COUNTIF($E169:I169,1),ColDescriptionCourte)),""),
  "")),"")</f>
        <v/>
      </c>
      <c r="K169" s="40" t="str">
        <f ca="1">IFERROR(IF(AND(
  INDEX(Roadmap!$D:$K,MATCH($E169,Roadmap!$D:$D,0)+COUNTIF($E169:J169,"u")+COUNTIF($E169:J169,"t")+COUNTIF($E169:J169,"¶")+COUNTIF($E169:J169,"²")+COUNTIF($E169:J169,"µ")+COUNTIF($E169:J169,1),ColLivraison)=K$6,
  VLOOKUP($E169,INDIRECT("tri!"&amp; CHAR(64+ C0Col) &amp;":"&amp; CHAR(65+C0Col)),2,FALSE)&gt;COUNTIF($E169:J169,"u")+COUNTIF($E169:J169,"t")+COUNTIF($E169:J169,"¶")+COUNTIF($E169:J169,"²")+COUNTIF($E169:J169,"µ")+COUNTIF($E169:J169,1)),
HYPERLINK("#Roadmap!C"&amp; MATCH($E169,Roadmap!$D:$D,0)+COUNTIF($E169:J169,"u")+COUNTIF($E169:J169,"t"),
     INDEX(Roadmap!$D:$K,MATCH($E169,Roadmap!$D:$D,0)+COUNTIF($E169:J169,"u")+COUNTIF($E169:J169,"t")+COUNTIF($E169:J169,"¶")+COUNTIF($E169:J169,"²")+COUNTIF($E169:J169,"µ")+COUNTIF($E169:J169,1),ColTypeEcheance)),
  IF(LEN(J169)=1,
  IF(LEN(INDEX(Roadmap!$D:$K,MATCH($E169,Roadmap!$D:$D,0)-1+COUNTIF($E169:J169,"u")+COUNTIF($E169:J169,"t")+COUNTIF($E169:J169,"¶")+COUNTIF($E169:J169,"²")+COUNTIF($E169:J169,"µ")+COUNTIF($E169:J169,1),ColDescriptionCourte))&gt;1,
HYPERLINK("#Roadmap!C"&amp; MATCH($E169,Roadmap!$D:$D,0)+COUNTIF($E169:J169,"u")+COUNTIF($E169:J169,"t")+COUNTIF($E169:J169,"¶")+COUNTIF($E169:J169,"²")+COUNTIF($E169:J169,"µ")+COUNTIF($E169:J169,1)-1,INDEX(Roadmap!$D:$K,MATCH($E169,Roadmap!$D:$D,0)-1+COUNTIF($E169:J169,"u")+COUNTIF($E169:J169,"t")+COUNTIF($E169:J169,"¶")+COUNTIF($E169:J169,"²")+COUNTIF($E169:J169,"µ")+COUNTIF($E169:J169,1),ColDescriptionCourte)),""),
  "")),"")</f>
        <v/>
      </c>
      <c r="L169" s="39" t="str">
        <f ca="1">IFERROR(IF(AND(
  INDEX(Roadmap!$D:$K,MATCH($E169,Roadmap!$D:$D,0)+COUNTIF($E169:K169,"u")+COUNTIF($E169:K169,"t")+COUNTIF($E169:K169,"¶")+COUNTIF($E169:K169,"²")+COUNTIF($E169:K169,"µ")+COUNTIF($E169:K169,1),ColLivraison)=L$6,
  VLOOKUP($E169,INDIRECT("tri!"&amp; CHAR(64+ C0Col) &amp;":"&amp; CHAR(65+C0Col)),2,FALSE)&gt;COUNTIF($E169:K169,"u")+COUNTIF($E169:K169,"t")+COUNTIF($E169:K169,"¶")+COUNTIF($E169:K169,"²")+COUNTIF($E169:K169,"µ")+COUNTIF($E169:K169,1)),
HYPERLINK("#Roadmap!C"&amp; MATCH($E169,Roadmap!$D:$D,0)+COUNTIF($E169:K169,"u")+COUNTIF($E169:K169,"t"),
     INDEX(Roadmap!$D:$K,MATCH($E169,Roadmap!$D:$D,0)+COUNTIF($E169:K169,"u")+COUNTIF($E169:K169,"t")+COUNTIF($E169:K169,"¶")+COUNTIF($E169:K169,"²")+COUNTIF($E169:K169,"µ")+COUNTIF($E169:K169,1),ColTypeEcheance)),
  IF(LEN(K169)=1,
  IF(LEN(INDEX(Roadmap!$D:$K,MATCH($E169,Roadmap!$D:$D,0)-1+COUNTIF($E169:K169,"u")+COUNTIF($E169:K169,"t")+COUNTIF($E169:K169,"¶")+COUNTIF($E169:K169,"²")+COUNTIF($E169:K169,"µ")+COUNTIF($E169:K169,1),ColDescriptionCourte))&gt;1,
HYPERLINK("#Roadmap!C"&amp; MATCH($E169,Roadmap!$D:$D,0)+COUNTIF($E169:K169,"u")+COUNTIF($E169:K169,"t")+COUNTIF($E169:K169,"¶")+COUNTIF($E169:K169,"²")+COUNTIF($E169:K169,"µ")+COUNTIF($E169:K169,1)-1,INDEX(Roadmap!$D:$K,MATCH($E169,Roadmap!$D:$D,0)-1+COUNTIF($E169:K169,"u")+COUNTIF($E169:K169,"t")+COUNTIF($E169:K169,"¶")+COUNTIF($E169:K169,"²")+COUNTIF($E169:K169,"µ")+COUNTIF($E169:K169,1),ColDescriptionCourte)),""),
  "")),"")</f>
        <v/>
      </c>
      <c r="M169" s="40" t="str">
        <f ca="1">IFERROR(IF(AND(
  INDEX(Roadmap!$D:$K,MATCH($E169,Roadmap!$D:$D,0)+COUNTIF($E169:L169,"u")+COUNTIF($E169:L169,"t")+COUNTIF($E169:L169,"¶")+COUNTIF($E169:L169,"²")+COUNTIF($E169:L169,"µ")+COUNTIF($E169:L169,1),ColLivraison)=M$6,
  VLOOKUP($E169,INDIRECT("tri!"&amp; CHAR(64+ C0Col) &amp;":"&amp; CHAR(65+C0Col)),2,FALSE)&gt;COUNTIF($E169:L169,"u")+COUNTIF($E169:L169,"t")+COUNTIF($E169:L169,"¶")+COUNTIF($E169:L169,"²")+COUNTIF($E169:L169,"µ")+COUNTIF($E169:L169,1)),
HYPERLINK("#Roadmap!C"&amp; MATCH($E169,Roadmap!$D:$D,0)+COUNTIF($E169:L169,"u")+COUNTIF($E169:L169,"t"),
     INDEX(Roadmap!$D:$K,MATCH($E169,Roadmap!$D:$D,0)+COUNTIF($E169:L169,"u")+COUNTIF($E169:L169,"t")+COUNTIF($E169:L169,"¶")+COUNTIF($E169:L169,"²")+COUNTIF($E169:L169,"µ")+COUNTIF($E169:L169,1),ColTypeEcheance)),
  IF(LEN(L169)=1,
  IF(LEN(INDEX(Roadmap!$D:$K,MATCH($E169,Roadmap!$D:$D,0)-1+COUNTIF($E169:L169,"u")+COUNTIF($E169:L169,"t")+COUNTIF($E169:L169,"¶")+COUNTIF($E169:L169,"²")+COUNTIF($E169:L169,"µ")+COUNTIF($E169:L169,1),ColDescriptionCourte))&gt;1,
HYPERLINK("#Roadmap!C"&amp; MATCH($E169,Roadmap!$D:$D,0)+COUNTIF($E169:L169,"u")+COUNTIF($E169:L169,"t")+COUNTIF($E169:L169,"¶")+COUNTIF($E169:L169,"²")+COUNTIF($E169:L169,"µ")+COUNTIF($E169:L169,1)-1,INDEX(Roadmap!$D:$K,MATCH($E169,Roadmap!$D:$D,0)-1+COUNTIF($E169:L169,"u")+COUNTIF($E169:L169,"t")+COUNTIF($E169:L169,"¶")+COUNTIF($E169:L169,"²")+COUNTIF($E169:L169,"µ")+COUNTIF($E169:L169,1),ColDescriptionCourte)),""),
  "")),"")</f>
        <v/>
      </c>
      <c r="N169" s="40" t="str">
        <f ca="1">IFERROR(IF(AND(
  INDEX(Roadmap!$D:$K,MATCH($E169,Roadmap!$D:$D,0)+COUNTIF($E169:M169,"u")+COUNTIF($E169:M169,"t")+COUNTIF($E169:M169,"¶")+COUNTIF($E169:M169,"²")+COUNTIF($E169:M169,"µ")+COUNTIF($E169:M169,1),ColLivraison)=N$6,
  VLOOKUP($E169,INDIRECT("tri!"&amp; CHAR(64+ C0Col) &amp;":"&amp; CHAR(65+C0Col)),2,FALSE)&gt;COUNTIF($E169:M169,"u")+COUNTIF($E169:M169,"t")+COUNTIF($E169:M169,"¶")+COUNTIF($E169:M169,"²")+COUNTIF($E169:M169,"µ")+COUNTIF($E169:M169,1)),
HYPERLINK("#Roadmap!C"&amp; MATCH($E169,Roadmap!$D:$D,0)+COUNTIF($E169:M169,"u")+COUNTIF($E169:M169,"t"),
     INDEX(Roadmap!$D:$K,MATCH($E169,Roadmap!$D:$D,0)+COUNTIF($E169:M169,"u")+COUNTIF($E169:M169,"t")+COUNTIF($E169:M169,"¶")+COUNTIF($E169:M169,"²")+COUNTIF($E169:M169,"µ")+COUNTIF($E169:M169,1),ColTypeEcheance)),
  IF(LEN(M169)=1,
  IF(LEN(INDEX(Roadmap!$D:$K,MATCH($E169,Roadmap!$D:$D,0)-1+COUNTIF($E169:M169,"u")+COUNTIF($E169:M169,"t")+COUNTIF($E169:M169,"¶")+COUNTIF($E169:M169,"²")+COUNTIF($E169:M169,"µ")+COUNTIF($E169:M169,1),ColDescriptionCourte))&gt;1,
HYPERLINK("#Roadmap!C"&amp; MATCH($E169,Roadmap!$D:$D,0)+COUNTIF($E169:M169,"u")+COUNTIF($E169:M169,"t")+COUNTIF($E169:M169,"¶")+COUNTIF($E169:M169,"²")+COUNTIF($E169:M169,"µ")+COUNTIF($E169:M169,1)-1,INDEX(Roadmap!$D:$K,MATCH($E169,Roadmap!$D:$D,0)-1+COUNTIF($E169:M169,"u")+COUNTIF($E169:M169,"t")+COUNTIF($E169:M169,"¶")+COUNTIF($E169:M169,"²")+COUNTIF($E169:M169,"µ")+COUNTIF($E169:M169,1),ColDescriptionCourte)),""),
  "")),"")</f>
        <v/>
      </c>
      <c r="O169" s="40" t="str">
        <f ca="1">IFERROR(IF(AND(
  INDEX(Roadmap!$D:$K,MATCH($E169,Roadmap!$D:$D,0)+COUNTIF($E169:N169,"u")+COUNTIF($E169:N169,"t")+COUNTIF($E169:N169,"¶")+COUNTIF($E169:N169,"²")+COUNTIF($E169:N169,"µ")+COUNTIF($E169:N169,1),ColLivraison)=O$6,
  VLOOKUP($E169,INDIRECT("tri!"&amp; CHAR(64+ C0Col) &amp;":"&amp; CHAR(65+C0Col)),2,FALSE)&gt;COUNTIF($E169:N169,"u")+COUNTIF($E169:N169,"t")+COUNTIF($E169:N169,"¶")+COUNTIF($E169:N169,"²")+COUNTIF($E169:N169,"µ")+COUNTIF($E169:N169,1)),
HYPERLINK("#Roadmap!C"&amp; MATCH($E169,Roadmap!$D:$D,0)+COUNTIF($E169:N169,"u")+COUNTIF($E169:N169,"t"),
     INDEX(Roadmap!$D:$K,MATCH($E169,Roadmap!$D:$D,0)+COUNTIF($E169:N169,"u")+COUNTIF($E169:N169,"t")+COUNTIF($E169:N169,"¶")+COUNTIF($E169:N169,"²")+COUNTIF($E169:N169,"µ")+COUNTIF($E169:N169,1),ColTypeEcheance)),
  IF(LEN(N169)=1,
  IF(LEN(INDEX(Roadmap!$D:$K,MATCH($E169,Roadmap!$D:$D,0)-1+COUNTIF($E169:N169,"u")+COUNTIF($E169:N169,"t")+COUNTIF($E169:N169,"¶")+COUNTIF($E169:N169,"²")+COUNTIF($E169:N169,"µ")+COUNTIF($E169:N169,1),ColDescriptionCourte))&gt;1,
HYPERLINK("#Roadmap!C"&amp; MATCH($E169,Roadmap!$D:$D,0)+COUNTIF($E169:N169,"u")+COUNTIF($E169:N169,"t")+COUNTIF($E169:N169,"¶")+COUNTIF($E169:N169,"²")+COUNTIF($E169:N169,"µ")+COUNTIF($E169:N169,1)-1,INDEX(Roadmap!$D:$K,MATCH($E169,Roadmap!$D:$D,0)-1+COUNTIF($E169:N169,"u")+COUNTIF($E169:N169,"t")+COUNTIF($E169:N169,"¶")+COUNTIF($E169:N169,"²")+COUNTIF($E169:N169,"µ")+COUNTIF($E169:N169,1),ColDescriptionCourte)),""),
  "")),"")</f>
        <v/>
      </c>
      <c r="P169" s="40" t="str">
        <f ca="1">IFERROR(IF(AND(
  INDEX(Roadmap!$D:$K,MATCH($E169,Roadmap!$D:$D,0)+COUNTIF($E169:O169,"u")+COUNTIF($E169:O169,"t")+COUNTIF($E169:O169,"¶")+COUNTIF($E169:O169,"²")+COUNTIF($E169:O169,"µ")+COUNTIF($E169:O169,1),ColLivraison)=P$6,
  VLOOKUP($E169,INDIRECT("tri!"&amp; CHAR(64+ C0Col) &amp;":"&amp; CHAR(65+C0Col)),2,FALSE)&gt;COUNTIF($E169:O169,"u")+COUNTIF($E169:O169,"t")+COUNTIF($E169:O169,"¶")+COUNTIF($E169:O169,"²")+COUNTIF($E169:O169,"µ")+COUNTIF($E169:O169,1)),
HYPERLINK("#Roadmap!C"&amp; MATCH($E169,Roadmap!$D:$D,0)+COUNTIF($E169:O169,"u")+COUNTIF($E169:O169,"t"),
     INDEX(Roadmap!$D:$K,MATCH($E169,Roadmap!$D:$D,0)+COUNTIF($E169:O169,"u")+COUNTIF($E169:O169,"t")+COUNTIF($E169:O169,"¶")+COUNTIF($E169:O169,"²")+COUNTIF($E169:O169,"µ")+COUNTIF($E169:O169,1),ColTypeEcheance)),
  IF(LEN(O169)=1,
  IF(LEN(INDEX(Roadmap!$D:$K,MATCH($E169,Roadmap!$D:$D,0)-1+COUNTIF($E169:O169,"u")+COUNTIF($E169:O169,"t")+COUNTIF($E169:O169,"¶")+COUNTIF($E169:O169,"²")+COUNTIF($E169:O169,"µ")+COUNTIF($E169:O169,1),ColDescriptionCourte))&gt;1,
HYPERLINK("#Roadmap!C"&amp; MATCH($E169,Roadmap!$D:$D,0)+COUNTIF($E169:O169,"u")+COUNTIF($E169:O169,"t")+COUNTIF($E169:O169,"¶")+COUNTIF($E169:O169,"²")+COUNTIF($E169:O169,"µ")+COUNTIF($E169:O169,1)-1,INDEX(Roadmap!$D:$K,MATCH($E169,Roadmap!$D:$D,0)-1+COUNTIF($E169:O169,"u")+COUNTIF($E169:O169,"t")+COUNTIF($E169:O169,"¶")+COUNTIF($E169:O169,"²")+COUNTIF($E169:O169,"µ")+COUNTIF($E169:O169,1),ColDescriptionCourte)),""),
  "")),"")</f>
        <v/>
      </c>
      <c r="Q169" s="40" t="str">
        <f ca="1">IFERROR(IF(AND(
  INDEX(Roadmap!$D:$K,MATCH($E169,Roadmap!$D:$D,0)+COUNTIF($E169:P169,"u")+COUNTIF($E169:P169,"t")+COUNTIF($E169:P169,"¶")+COUNTIF($E169:P169,"²")+COUNTIF($E169:P169,"µ")+COUNTIF($E169:P169,1),ColLivraison)=Q$6,
  VLOOKUP($E169,INDIRECT("tri!"&amp; CHAR(64+ C0Col) &amp;":"&amp; CHAR(65+C0Col)),2,FALSE)&gt;COUNTIF($E169:P169,"u")+COUNTIF($E169:P169,"t")+COUNTIF($E169:P169,"¶")+COUNTIF($E169:P169,"²")+COUNTIF($E169:P169,"µ")+COUNTIF($E169:P169,1)),
HYPERLINK("#Roadmap!C"&amp; MATCH($E169,Roadmap!$D:$D,0)+COUNTIF($E169:P169,"u")+COUNTIF($E169:P169,"t"),
     INDEX(Roadmap!$D:$K,MATCH($E169,Roadmap!$D:$D,0)+COUNTIF($E169:P169,"u")+COUNTIF($E169:P169,"t")+COUNTIF($E169:P169,"¶")+COUNTIF($E169:P169,"²")+COUNTIF($E169:P169,"µ")+COUNTIF($E169:P169,1),ColTypeEcheance)),
  IF(LEN(P169)=1,
  IF(LEN(INDEX(Roadmap!$D:$K,MATCH($E169,Roadmap!$D:$D,0)-1+COUNTIF($E169:P169,"u")+COUNTIF($E169:P169,"t")+COUNTIF($E169:P169,"¶")+COUNTIF($E169:P169,"²")+COUNTIF($E169:P169,"µ")+COUNTIF($E169:P169,1),ColDescriptionCourte))&gt;1,
HYPERLINK("#Roadmap!C"&amp; MATCH($E169,Roadmap!$D:$D,0)+COUNTIF($E169:P169,"u")+COUNTIF($E169:P169,"t")+COUNTIF($E169:P169,"¶")+COUNTIF($E169:P169,"²")+COUNTIF($E169:P169,"µ")+COUNTIF($E169:P169,1)-1,INDEX(Roadmap!$D:$K,MATCH($E169,Roadmap!$D:$D,0)-1+COUNTIF($E169:P169,"u")+COUNTIF($E169:P169,"t")+COUNTIF($E169:P169,"¶")+COUNTIF($E169:P169,"²")+COUNTIF($E169:P169,"µ")+COUNTIF($E169:P169,1),ColDescriptionCourte)),""),
  "")),"")</f>
        <v/>
      </c>
      <c r="R169" s="40" t="str">
        <f ca="1">IFERROR(IF(AND(
  INDEX(Roadmap!$D:$K,MATCH($E169,Roadmap!$D:$D,0)+COUNTIF($E169:Q169,"u")+COUNTIF($E169:Q169,"t")+COUNTIF($E169:Q169,"¶")+COUNTIF($E169:Q169,"²")+COUNTIF($E169:Q169,"µ")+COUNTIF($E169:Q169,1),ColLivraison)=R$6,
  VLOOKUP($E169,INDIRECT("tri!"&amp; CHAR(64+ C0Col) &amp;":"&amp; CHAR(65+C0Col)),2,FALSE)&gt;COUNTIF($E169:Q169,"u")+COUNTIF($E169:Q169,"t")+COUNTIF($E169:Q169,"¶")+COUNTIF($E169:Q169,"²")+COUNTIF($E169:Q169,"µ")+COUNTIF($E169:Q169,1)),
HYPERLINK("#Roadmap!C"&amp; MATCH($E169,Roadmap!$D:$D,0)+COUNTIF($E169:Q169,"u")+COUNTIF($E169:Q169,"t"),
     INDEX(Roadmap!$D:$K,MATCH($E169,Roadmap!$D:$D,0)+COUNTIF($E169:Q169,"u")+COUNTIF($E169:Q169,"t")+COUNTIF($E169:Q169,"¶")+COUNTIF($E169:Q169,"²")+COUNTIF($E169:Q169,"µ")+COUNTIF($E169:Q169,1),ColTypeEcheance)),
  IF(LEN(Q169)=1,
  IF(LEN(INDEX(Roadmap!$D:$K,MATCH($E169,Roadmap!$D:$D,0)-1+COUNTIF($E169:Q169,"u")+COUNTIF($E169:Q169,"t")+COUNTIF($E169:Q169,"¶")+COUNTIF($E169:Q169,"²")+COUNTIF($E169:Q169,"µ")+COUNTIF($E169:Q169,1),ColDescriptionCourte))&gt;1,
HYPERLINK("#Roadmap!C"&amp; MATCH($E169,Roadmap!$D:$D,0)+COUNTIF($E169:Q169,"u")+COUNTIF($E169:Q169,"t")+COUNTIF($E169:Q169,"¶")+COUNTIF($E169:Q169,"²")+COUNTIF($E169:Q169,"µ")+COUNTIF($E169:Q169,1)-1,INDEX(Roadmap!$D:$K,MATCH($E169,Roadmap!$D:$D,0)-1+COUNTIF($E169:Q169,"u")+COUNTIF($E169:Q169,"t")+COUNTIF($E169:Q169,"¶")+COUNTIF($E169:Q169,"²")+COUNTIF($E169:Q169,"µ")+COUNTIF($E169:Q169,1),ColDescriptionCourte)),""),
  "")),"")</f>
        <v/>
      </c>
      <c r="S169" s="40" t="str">
        <f ca="1">IFERROR(IF(AND(
  INDEX(Roadmap!$D:$K,MATCH($E169,Roadmap!$D:$D,0)+COUNTIF($E169:R169,"u")+COUNTIF($E169:R169,"t")+COUNTIF($E169:R169,"¶")+COUNTIF($E169:R169,"²")+COUNTIF($E169:R169,"µ")+COUNTIF($E169:R169,1),ColLivraison)=S$6,
  VLOOKUP($E169,INDIRECT("tri!"&amp; CHAR(64+ C0Col) &amp;":"&amp; CHAR(65+C0Col)),2,FALSE)&gt;COUNTIF($E169:R169,"u")+COUNTIF($E169:R169,"t")+COUNTIF($E169:R169,"¶")+COUNTIF($E169:R169,"²")+COUNTIF($E169:R169,"µ")+COUNTIF($E169:R169,1)),
HYPERLINK("#Roadmap!C"&amp; MATCH($E169,Roadmap!$D:$D,0)+COUNTIF($E169:R169,"u")+COUNTIF($E169:R169,"t"),
     INDEX(Roadmap!$D:$K,MATCH($E169,Roadmap!$D:$D,0)+COUNTIF($E169:R169,"u")+COUNTIF($E169:R169,"t")+COUNTIF($E169:R169,"¶")+COUNTIF($E169:R169,"²")+COUNTIF($E169:R169,"µ")+COUNTIF($E169:R169,1),ColTypeEcheance)),
  IF(LEN(R169)=1,
  IF(LEN(INDEX(Roadmap!$D:$K,MATCH($E169,Roadmap!$D:$D,0)-1+COUNTIF($E169:R169,"u")+COUNTIF($E169:R169,"t")+COUNTIF($E169:R169,"¶")+COUNTIF($E169:R169,"²")+COUNTIF($E169:R169,"µ")+COUNTIF($E169:R169,1),ColDescriptionCourte))&gt;1,
HYPERLINK("#Roadmap!C"&amp; MATCH($E169,Roadmap!$D:$D,0)+COUNTIF($E169:R169,"u")+COUNTIF($E169:R169,"t")+COUNTIF($E169:R169,"¶")+COUNTIF($E169:R169,"²")+COUNTIF($E169:R169,"µ")+COUNTIF($E169:R169,1)-1,INDEX(Roadmap!$D:$K,MATCH($E169,Roadmap!$D:$D,0)-1+COUNTIF($E169:R169,"u")+COUNTIF($E169:R169,"t")+COUNTIF($E169:R169,"¶")+COUNTIF($E169:R169,"²")+COUNTIF($E169:R169,"µ")+COUNTIF($E169:R169,1),ColDescriptionCourte)),""),
  "")),"")</f>
        <v/>
      </c>
      <c r="T169" s="40" t="str">
        <f ca="1">IFERROR(IF(AND(
  INDEX(Roadmap!$D:$K,MATCH($E169,Roadmap!$D:$D,0)+COUNTIF($E169:S169,"u")+COUNTIF($E169:S169,"t")+COUNTIF($E169:S169,"¶")+COUNTIF($E169:S169,"²")+COUNTIF($E169:S169,"µ")+COUNTIF($E169:S169,1),ColLivraison)=T$6,
  VLOOKUP($E169,INDIRECT("tri!"&amp; CHAR(64+ C0Col) &amp;":"&amp; CHAR(65+C0Col)),2,FALSE)&gt;COUNTIF($E169:S169,"u")+COUNTIF($E169:S169,"t")+COUNTIF($E169:S169,"¶")+COUNTIF($E169:S169,"²")+COUNTIF($E169:S169,"µ")+COUNTIF($E169:S169,1)),
HYPERLINK("#Roadmap!C"&amp; MATCH($E169,Roadmap!$D:$D,0)+COUNTIF($E169:S169,"u")+COUNTIF($E169:S169,"t"),
     INDEX(Roadmap!$D:$K,MATCH($E169,Roadmap!$D:$D,0)+COUNTIF($E169:S169,"u")+COUNTIF($E169:S169,"t")+COUNTIF($E169:S169,"¶")+COUNTIF($E169:S169,"²")+COUNTIF($E169:S169,"µ")+COUNTIF($E169:S169,1),ColTypeEcheance)),
  IF(LEN(S169)=1,
  IF(LEN(INDEX(Roadmap!$D:$K,MATCH($E169,Roadmap!$D:$D,0)-1+COUNTIF($E169:S169,"u")+COUNTIF($E169:S169,"t")+COUNTIF($E169:S169,"¶")+COUNTIF($E169:S169,"²")+COUNTIF($E169:S169,"µ")+COUNTIF($E169:S169,1),ColDescriptionCourte))&gt;1,
HYPERLINK("#Roadmap!C"&amp; MATCH($E169,Roadmap!$D:$D,0)+COUNTIF($E169:S169,"u")+COUNTIF($E169:S169,"t")+COUNTIF($E169:S169,"¶")+COUNTIF($E169:S169,"²")+COUNTIF($E169:S169,"µ")+COUNTIF($E169:S169,1)-1,INDEX(Roadmap!$D:$K,MATCH($E169,Roadmap!$D:$D,0)-1+COUNTIF($E169:S169,"u")+COUNTIF($E169:S169,"t")+COUNTIF($E169:S169,"¶")+COUNTIF($E169:S169,"²")+COUNTIF($E169:S169,"µ")+COUNTIF($E169:S169,1),ColDescriptionCourte)),""),
  "")),"")</f>
        <v/>
      </c>
      <c r="U169" s="40" t="str">
        <f ca="1">IFERROR(IF(AND(
  INDEX(Roadmap!$D:$K,MATCH($E169,Roadmap!$D:$D,0)+COUNTIF($E169:T169,"u")+COUNTIF($E169:T169,"t")+COUNTIF($E169:T169,"¶")+COUNTIF($E169:T169,"²")+COUNTIF($E169:T169,"µ")+COUNTIF($E169:T169,1),ColLivraison)=U$6,
  VLOOKUP($E169,INDIRECT("tri!"&amp; CHAR(64+ C0Col) &amp;":"&amp; CHAR(65+C0Col)),2,FALSE)&gt;COUNTIF($E169:T169,"u")+COUNTIF($E169:T169,"t")+COUNTIF($E169:T169,"¶")+COUNTIF($E169:T169,"²")+COUNTIF($E169:T169,"µ")+COUNTIF($E169:T169,1)),
HYPERLINK("#Roadmap!C"&amp; MATCH($E169,Roadmap!$D:$D,0)+COUNTIF($E169:T169,"u")+COUNTIF($E169:T169,"t"),
     INDEX(Roadmap!$D:$K,MATCH($E169,Roadmap!$D:$D,0)+COUNTIF($E169:T169,"u")+COUNTIF($E169:T169,"t")+COUNTIF($E169:T169,"¶")+COUNTIF($E169:T169,"²")+COUNTIF($E169:T169,"µ")+COUNTIF($E169:T169,1),ColTypeEcheance)),
  IF(LEN(T169)=1,
  IF(LEN(INDEX(Roadmap!$D:$K,MATCH($E169,Roadmap!$D:$D,0)-1+COUNTIF($E169:T169,"u")+COUNTIF($E169:T169,"t")+COUNTIF($E169:T169,"¶")+COUNTIF($E169:T169,"²")+COUNTIF($E169:T169,"µ")+COUNTIF($E169:T169,1),ColDescriptionCourte))&gt;1,
HYPERLINK("#Roadmap!C"&amp; MATCH($E169,Roadmap!$D:$D,0)+COUNTIF($E169:T169,"u")+COUNTIF($E169:T169,"t")+COUNTIF($E169:T169,"¶")+COUNTIF($E169:T169,"²")+COUNTIF($E169:T169,"µ")+COUNTIF($E169:T169,1)-1,INDEX(Roadmap!$D:$K,MATCH($E169,Roadmap!$D:$D,0)-1+COUNTIF($E169:T169,"u")+COUNTIF($E169:T169,"t")+COUNTIF($E169:T169,"¶")+COUNTIF($E169:T169,"²")+COUNTIF($E169:T169,"µ")+COUNTIF($E169:T169,1),ColDescriptionCourte)),""),
  "")),"")</f>
        <v/>
      </c>
      <c r="V169" s="40" t="str">
        <f ca="1">IFERROR(IF(AND(
  INDEX(Roadmap!$D:$K,MATCH($E169,Roadmap!$D:$D,0)+COUNTIF($E169:U169,"u")+COUNTIF($E169:U169,"t")+COUNTIF($E169:U169,"¶")+COUNTIF($E169:U169,"²")+COUNTIF($E169:U169,"µ")+COUNTIF($E169:U169,1),ColLivraison)=V$6,
  VLOOKUP($E169,INDIRECT("tri!"&amp; CHAR(64+ C0Col) &amp;":"&amp; CHAR(65+C0Col)),2,FALSE)&gt;COUNTIF($E169:U169,"u")+COUNTIF($E169:U169,"t")+COUNTIF($E169:U169,"¶")+COUNTIF($E169:U169,"²")+COUNTIF($E169:U169,"µ")+COUNTIF($E169:U169,1)),
HYPERLINK("#Roadmap!C"&amp; MATCH($E169,Roadmap!$D:$D,0)+COUNTIF($E169:U169,"u")+COUNTIF($E169:U169,"t"),
     INDEX(Roadmap!$D:$K,MATCH($E169,Roadmap!$D:$D,0)+COUNTIF($E169:U169,"u")+COUNTIF($E169:U169,"t")+COUNTIF($E169:U169,"¶")+COUNTIF($E169:U169,"²")+COUNTIF($E169:U169,"µ")+COUNTIF($E169:U169,1),ColTypeEcheance)),
  IF(LEN(U169)=1,
  IF(LEN(INDEX(Roadmap!$D:$K,MATCH($E169,Roadmap!$D:$D,0)-1+COUNTIF($E169:U169,"u")+COUNTIF($E169:U169,"t")+COUNTIF($E169:U169,"¶")+COUNTIF($E169:U169,"²")+COUNTIF($E169:U169,"µ")+COUNTIF($E169:U169,1),ColDescriptionCourte))&gt;1,
HYPERLINK("#Roadmap!C"&amp; MATCH($E169,Roadmap!$D:$D,0)+COUNTIF($E169:U169,"u")+COUNTIF($E169:U169,"t")+COUNTIF($E169:U169,"¶")+COUNTIF($E169:U169,"²")+COUNTIF($E169:U169,"µ")+COUNTIF($E169:U169,1)-1,INDEX(Roadmap!$D:$K,MATCH($E169,Roadmap!$D:$D,0)-1+COUNTIF($E169:U169,"u")+COUNTIF($E169:U169,"t")+COUNTIF($E169:U169,"¶")+COUNTIF($E169:U169,"²")+COUNTIF($E169:U169,"µ")+COUNTIF($E169:U169,1),ColDescriptionCourte)),""),
  "")),"")</f>
        <v/>
      </c>
      <c r="W169" s="40" t="str">
        <f ca="1">IFERROR(IF(AND(
  INDEX(Roadmap!$D:$K,MATCH($E169,Roadmap!$D:$D,0)+COUNTIF($E169:V169,"u")+COUNTIF($E169:V169,"t")+COUNTIF($E169:V169,"¶")+COUNTIF($E169:V169,"²")+COUNTIF($E169:V169,"µ")+COUNTIF($E169:V169,1),ColLivraison)=W$6,
  VLOOKUP($E169,INDIRECT("tri!"&amp; CHAR(64+ C0Col) &amp;":"&amp; CHAR(65+C0Col)),2,FALSE)&gt;COUNTIF($E169:V169,"u")+COUNTIF($E169:V169,"t")+COUNTIF($E169:V169,"¶")+COUNTIF($E169:V169,"²")+COUNTIF($E169:V169,"µ")+COUNTIF($E169:V169,1)),
HYPERLINK("#Roadmap!C"&amp; MATCH($E169,Roadmap!$D:$D,0)+COUNTIF($E169:V169,"u")+COUNTIF($E169:V169,"t"),
     INDEX(Roadmap!$D:$K,MATCH($E169,Roadmap!$D:$D,0)+COUNTIF($E169:V169,"u")+COUNTIF($E169:V169,"t")+COUNTIF($E169:V169,"¶")+COUNTIF($E169:V169,"²")+COUNTIF($E169:V169,"µ")+COUNTIF($E169:V169,1),ColTypeEcheance)),
  IF(LEN(V169)=1,
  IF(LEN(INDEX(Roadmap!$D:$K,MATCH($E169,Roadmap!$D:$D,0)-1+COUNTIF($E169:V169,"u")+COUNTIF($E169:V169,"t")+COUNTIF($E169:V169,"¶")+COUNTIF($E169:V169,"²")+COUNTIF($E169:V169,"µ")+COUNTIF($E169:V169,1),ColDescriptionCourte))&gt;1,
HYPERLINK("#Roadmap!C"&amp; MATCH($E169,Roadmap!$D:$D,0)+COUNTIF($E169:V169,"u")+COUNTIF($E169:V169,"t")+COUNTIF($E169:V169,"¶")+COUNTIF($E169:V169,"²")+COUNTIF($E169:V169,"µ")+COUNTIF($E169:V169,1)-1,INDEX(Roadmap!$D:$K,MATCH($E169,Roadmap!$D:$D,0)-1+COUNTIF($E169:V169,"u")+COUNTIF($E169:V169,"t")+COUNTIF($E169:V169,"¶")+COUNTIF($E169:V169,"²")+COUNTIF($E169:V169,"µ")+COUNTIF($E169:V169,1),ColDescriptionCourte)),""),
  "")),"")</f>
        <v/>
      </c>
      <c r="X169" s="40" t="str">
        <f ca="1">IFERROR(IF(AND(
  INDEX(Roadmap!$D:$K,MATCH($E169,Roadmap!$D:$D,0)+COUNTIF($E169:W169,"u")+COUNTIF($E169:W169,"t")+COUNTIF($E169:W169,"¶")+COUNTIF($E169:W169,"²")+COUNTIF($E169:W169,"µ")+COUNTIF($E169:W169,1),ColLivraison)=X$6,
  VLOOKUP($E169,INDIRECT("tri!"&amp; CHAR(64+ C0Col) &amp;":"&amp; CHAR(65+C0Col)),2,FALSE)&gt;COUNTIF($E169:W169,"u")+COUNTIF($E169:W169,"t")+COUNTIF($E169:W169,"¶")+COUNTIF($E169:W169,"²")+COUNTIF($E169:W169,"µ")+COUNTIF($E169:W169,1)),
HYPERLINK("#Roadmap!C"&amp; MATCH($E169,Roadmap!$D:$D,0)+COUNTIF($E169:W169,"u")+COUNTIF($E169:W169,"t"),
     INDEX(Roadmap!$D:$K,MATCH($E169,Roadmap!$D:$D,0)+COUNTIF($E169:W169,"u")+COUNTIF($E169:W169,"t")+COUNTIF($E169:W169,"¶")+COUNTIF($E169:W169,"²")+COUNTIF($E169:W169,"µ")+COUNTIF($E169:W169,1),ColTypeEcheance)),
  IF(LEN(W169)=1,
  IF(LEN(INDEX(Roadmap!$D:$K,MATCH($E169,Roadmap!$D:$D,0)-1+COUNTIF($E169:W169,"u")+COUNTIF($E169:W169,"t")+COUNTIF($E169:W169,"¶")+COUNTIF($E169:W169,"²")+COUNTIF($E169:W169,"µ")+COUNTIF($E169:W169,1),ColDescriptionCourte))&gt;1,
HYPERLINK("#Roadmap!C"&amp; MATCH($E169,Roadmap!$D:$D,0)+COUNTIF($E169:W169,"u")+COUNTIF($E169:W169,"t")+COUNTIF($E169:W169,"¶")+COUNTIF($E169:W169,"²")+COUNTIF($E169:W169,"µ")+COUNTIF($E169:W169,1)-1,INDEX(Roadmap!$D:$K,MATCH($E169,Roadmap!$D:$D,0)-1+COUNTIF($E169:W169,"u")+COUNTIF($E169:W169,"t")+COUNTIF($E169:W169,"¶")+COUNTIF($E169:W169,"²")+COUNTIF($E169:W169,"µ")+COUNTIF($E169:W169,1),ColDescriptionCourte)),""),
  "")),"")</f>
        <v/>
      </c>
      <c r="Y169" s="40" t="str">
        <f ca="1">IFERROR(IF(AND(
  INDEX(Roadmap!$D:$K,MATCH($E169,Roadmap!$D:$D,0)+COUNTIF($E169:X169,"u")+COUNTIF($E169:X169,"t")+COUNTIF($E169:X169,"¶")+COUNTIF($E169:X169,"²")+COUNTIF($E169:X169,"µ")+COUNTIF($E169:X169,1),ColLivraison)=Y$6,
  VLOOKUP($E169,INDIRECT("tri!"&amp; CHAR(64+ C0Col) &amp;":"&amp; CHAR(65+C0Col)),2,FALSE)&gt;COUNTIF($E169:X169,"u")+COUNTIF($E169:X169,"t")+COUNTIF($E169:X169,"¶")+COUNTIF($E169:X169,"²")+COUNTIF($E169:X169,"µ")+COUNTIF($E169:X169,1)),
HYPERLINK("#Roadmap!C"&amp; MATCH($E169,Roadmap!$D:$D,0)+COUNTIF($E169:X169,"u")+COUNTIF($E169:X169,"t"),
     INDEX(Roadmap!$D:$K,MATCH($E169,Roadmap!$D:$D,0)+COUNTIF($E169:X169,"u")+COUNTIF($E169:X169,"t")+COUNTIF($E169:X169,"¶")+COUNTIF($E169:X169,"²")+COUNTIF($E169:X169,"µ")+COUNTIF($E169:X169,1),ColTypeEcheance)),
  IF(LEN(X169)=1,
  IF(LEN(INDEX(Roadmap!$D:$K,MATCH($E169,Roadmap!$D:$D,0)-1+COUNTIF($E169:X169,"u")+COUNTIF($E169:X169,"t")+COUNTIF($E169:X169,"¶")+COUNTIF($E169:X169,"²")+COUNTIF($E169:X169,"µ")+COUNTIF($E169:X169,1),ColDescriptionCourte))&gt;1,
HYPERLINK("#Roadmap!C"&amp; MATCH($E169,Roadmap!$D:$D,0)+COUNTIF($E169:X169,"u")+COUNTIF($E169:X169,"t")+COUNTIF($E169:X169,"¶")+COUNTIF($E169:X169,"²")+COUNTIF($E169:X169,"µ")+COUNTIF($E169:X169,1)-1,INDEX(Roadmap!$D:$K,MATCH($E169,Roadmap!$D:$D,0)-1+COUNTIF($E169:X169,"u")+COUNTIF($E169:X169,"t")+COUNTIF($E169:X169,"¶")+COUNTIF($E169:X169,"²")+COUNTIF($E169:X169,"µ")+COUNTIF($E169:X169,1),ColDescriptionCourte)),""),
  "")),"")</f>
        <v/>
      </c>
      <c r="Z169" s="40" t="str">
        <f ca="1">IFERROR(IF(AND(
  INDEX(Roadmap!$D:$K,MATCH($E169,Roadmap!$D:$D,0)+COUNTIF($E169:Y169,"u")+COUNTIF($E169:Y169,"t")+COUNTIF($E169:Y169,"¶")+COUNTIF($E169:Y169,"²")+COUNTIF($E169:Y169,"µ")+COUNTIF($E169:Y169,1),ColLivraison)=Z$6,
  VLOOKUP($E169,INDIRECT("tri!"&amp; CHAR(64+ C0Col) &amp;":"&amp; CHAR(65+C0Col)),2,FALSE)&gt;COUNTIF($E169:Y169,"u")+COUNTIF($E169:Y169,"t")+COUNTIF($E169:Y169,"¶")+COUNTIF($E169:Y169,"²")+COUNTIF($E169:Y169,"µ")+COUNTIF($E169:Y169,1)),
HYPERLINK("#Roadmap!C"&amp; MATCH($E169,Roadmap!$D:$D,0)+COUNTIF($E169:Y169,"u")+COUNTIF($E169:Y169,"t"),
     INDEX(Roadmap!$D:$K,MATCH($E169,Roadmap!$D:$D,0)+COUNTIF($E169:Y169,"u")+COUNTIF($E169:Y169,"t")+COUNTIF($E169:Y169,"¶")+COUNTIF($E169:Y169,"²")+COUNTIF($E169:Y169,"µ")+COUNTIF($E169:Y169,1),ColTypeEcheance)),
  IF(LEN(Y169)=1,
  IF(LEN(INDEX(Roadmap!$D:$K,MATCH($E169,Roadmap!$D:$D,0)-1+COUNTIF($E169:Y169,"u")+COUNTIF($E169:Y169,"t")+COUNTIF($E169:Y169,"¶")+COUNTIF($E169:Y169,"²")+COUNTIF($E169:Y169,"µ")+COUNTIF($E169:Y169,1),ColDescriptionCourte))&gt;1,
HYPERLINK("#Roadmap!C"&amp; MATCH($E169,Roadmap!$D:$D,0)+COUNTIF($E169:Y169,"u")+COUNTIF($E169:Y169,"t")+COUNTIF($E169:Y169,"¶")+COUNTIF($E169:Y169,"²")+COUNTIF($E169:Y169,"µ")+COUNTIF($E169:Y169,1)-1,INDEX(Roadmap!$D:$K,MATCH($E169,Roadmap!$D:$D,0)-1+COUNTIF($E169:Y169,"u")+COUNTIF($E169:Y169,"t")+COUNTIF($E169:Y169,"¶")+COUNTIF($E169:Y169,"²")+COUNTIF($E169:Y169,"µ")+COUNTIF($E169:Y169,1),ColDescriptionCourte)),""),
  "")),"")</f>
        <v/>
      </c>
      <c r="AA169" s="40" t="str">
        <f ca="1">IFERROR(IF(AND(
  INDEX(Roadmap!$D:$K,MATCH($E169,Roadmap!$D:$D,0)+COUNTIF($E169:Z169,"u")+COUNTIF($E169:Z169,"t")+COUNTIF($E169:Z169,"¶")+COUNTIF($E169:Z169,"²")+COUNTIF($E169:Z169,"µ")+COUNTIF($E169:Z169,1),ColLivraison)=AA$6,
  VLOOKUP($E169,INDIRECT("tri!"&amp; CHAR(64+ C0Col) &amp;":"&amp; CHAR(65+C0Col)),2,FALSE)&gt;COUNTIF($E169:Z169,"u")+COUNTIF($E169:Z169,"t")+COUNTIF($E169:Z169,"¶")+COUNTIF($E169:Z169,"²")+COUNTIF($E169:Z169,"µ")+COUNTIF($E169:Z169,1)),
HYPERLINK("#Roadmap!C"&amp; MATCH($E169,Roadmap!$D:$D,0)+COUNTIF($E169:Z169,"u")+COUNTIF($E169:Z169,"t"),
     INDEX(Roadmap!$D:$K,MATCH($E169,Roadmap!$D:$D,0)+COUNTIF($E169:Z169,"u")+COUNTIF($E169:Z169,"t")+COUNTIF($E169:Z169,"¶")+COUNTIF($E169:Z169,"²")+COUNTIF($E169:Z169,"µ")+COUNTIF($E169:Z169,1),ColTypeEcheance)),
  IF(LEN(Z169)=1,
  IF(LEN(INDEX(Roadmap!$D:$K,MATCH($E169,Roadmap!$D:$D,0)-1+COUNTIF($E169:Z169,"u")+COUNTIF($E169:Z169,"t")+COUNTIF($E169:Z169,"¶")+COUNTIF($E169:Z169,"²")+COUNTIF($E169:Z169,"µ")+COUNTIF($E169:Z169,1),ColDescriptionCourte))&gt;1,
HYPERLINK("#Roadmap!C"&amp; MATCH($E169,Roadmap!$D:$D,0)+COUNTIF($E169:Z169,"u")+COUNTIF($E169:Z169,"t")+COUNTIF($E169:Z169,"¶")+COUNTIF($E169:Z169,"²")+COUNTIF($E169:Z169,"µ")+COUNTIF($E169:Z169,1)-1,INDEX(Roadmap!$D:$K,MATCH($E169,Roadmap!$D:$D,0)-1+COUNTIF($E169:Z169,"u")+COUNTIF($E169:Z169,"t")+COUNTIF($E169:Z169,"¶")+COUNTIF($E169:Z169,"²")+COUNTIF($E169:Z169,"µ")+COUNTIF($E169:Z169,1),ColDescriptionCourte)),""),
  "")),"")</f>
        <v/>
      </c>
      <c r="AB169" s="40" t="str">
        <f ca="1">IFERROR(IF(AND(
  INDEX(Roadmap!$D:$K,MATCH($E169,Roadmap!$D:$D,0)+COUNTIF($E169:AA169,"u")+COUNTIF($E169:AA169,"t")+COUNTIF($E169:AA169,"¶")+COUNTIF($E169:AA169,"²")+COUNTIF($E169:AA169,"µ")+COUNTIF($E169:AA169,1),ColLivraison)=AB$6,
  VLOOKUP($E169,INDIRECT("tri!"&amp; CHAR(64+ C0Col) &amp;":"&amp; CHAR(65+C0Col)),2,FALSE)&gt;COUNTIF($E169:AA169,"u")+COUNTIF($E169:AA169,"t")+COUNTIF($E169:AA169,"¶")+COUNTIF($E169:AA169,"²")+COUNTIF($E169:AA169,"µ")+COUNTIF($E169:AA169,1)),
HYPERLINK("#Roadmap!C"&amp; MATCH($E169,Roadmap!$D:$D,0)+COUNTIF($E169:AA169,"u")+COUNTIF($E169:AA169,"t"),
     INDEX(Roadmap!$D:$K,MATCH($E169,Roadmap!$D:$D,0)+COUNTIF($E169:AA169,"u")+COUNTIF($E169:AA169,"t")+COUNTIF($E169:AA169,"¶")+COUNTIF($E169:AA169,"²")+COUNTIF($E169:AA169,"µ")+COUNTIF($E169:AA169,1),ColTypeEcheance)),
  IF(LEN(AA169)=1,
  IF(LEN(INDEX(Roadmap!$D:$K,MATCH($E169,Roadmap!$D:$D,0)-1+COUNTIF($E169:AA169,"u")+COUNTIF($E169:AA169,"t")+COUNTIF($E169:AA169,"¶")+COUNTIF($E169:AA169,"²")+COUNTIF($E169:AA169,"µ")+COUNTIF($E169:AA169,1),ColDescriptionCourte))&gt;1,
HYPERLINK("#Roadmap!C"&amp; MATCH($E169,Roadmap!$D:$D,0)+COUNTIF($E169:AA169,"u")+COUNTIF($E169:AA169,"t")+COUNTIF($E169:AA169,"¶")+COUNTIF($E169:AA169,"²")+COUNTIF($E169:AA169,"µ")+COUNTIF($E169:AA169,1)-1,INDEX(Roadmap!$D:$K,MATCH($E169,Roadmap!$D:$D,0)-1+COUNTIF($E169:AA169,"u")+COUNTIF($E169:AA169,"t")+COUNTIF($E169:AA169,"¶")+COUNTIF($E169:AA169,"²")+COUNTIF($E169:AA169,"µ")+COUNTIF($E169:AA169,1),ColDescriptionCourte)),""),
  "")),"")</f>
        <v/>
      </c>
      <c r="AC169" s="40" t="str">
        <f ca="1">IFERROR(IF(AND(
  INDEX(Roadmap!$D:$K,MATCH($E169,Roadmap!$D:$D,0)+COUNTIF($E169:AB169,"u")+COUNTIF($E169:AB169,"t")+COUNTIF($E169:AB169,"¶")+COUNTIF($E169:AB169,"²")+COUNTIF($E169:AB169,"µ")+COUNTIF($E169:AB169,1),ColLivraison)=AC$6,
  VLOOKUP($E169,INDIRECT("tri!"&amp; CHAR(64+ C0Col) &amp;":"&amp; CHAR(65+C0Col)),2,FALSE)&gt;COUNTIF($E169:AB169,"u")+COUNTIF($E169:AB169,"t")+COUNTIF($E169:AB169,"¶")+COUNTIF($E169:AB169,"²")+COUNTIF($E169:AB169,"µ")+COUNTIF($E169:AB169,1)),
HYPERLINK("#Roadmap!C"&amp; MATCH($E169,Roadmap!$D:$D,0)+COUNTIF($E169:AB169,"u")+COUNTIF($E169:AB169,"t"),
     INDEX(Roadmap!$D:$K,MATCH($E169,Roadmap!$D:$D,0)+COUNTIF($E169:AB169,"u")+COUNTIF($E169:AB169,"t")+COUNTIF($E169:AB169,"¶")+COUNTIF($E169:AB169,"²")+COUNTIF($E169:AB169,"µ")+COUNTIF($E169:AB169,1),ColTypeEcheance)),
  IF(LEN(AB169)=1,
  IF(LEN(INDEX(Roadmap!$D:$K,MATCH($E169,Roadmap!$D:$D,0)-1+COUNTIF($E169:AB169,"u")+COUNTIF($E169:AB169,"t")+COUNTIF($E169:AB169,"¶")+COUNTIF($E169:AB169,"²")+COUNTIF($E169:AB169,"µ")+COUNTIF($E169:AB169,1),ColDescriptionCourte))&gt;1,
HYPERLINK("#Roadmap!C"&amp; MATCH($E169,Roadmap!$D:$D,0)+COUNTIF($E169:AB169,"u")+COUNTIF($E169:AB169,"t")+COUNTIF($E169:AB169,"¶")+COUNTIF($E169:AB169,"²")+COUNTIF($E169:AB169,"µ")+COUNTIF($E169:AB169,1)-1,INDEX(Roadmap!$D:$K,MATCH($E169,Roadmap!$D:$D,0)-1+COUNTIF($E169:AB169,"u")+COUNTIF($E169:AB169,"t")+COUNTIF($E169:AB169,"¶")+COUNTIF($E169:AB169,"²")+COUNTIF($E169:AB169,"µ")+COUNTIF($E169:AB169,1),ColDescriptionCourte)),""),
  "")),"")</f>
        <v/>
      </c>
      <c r="AD169" s="40" t="str">
        <f ca="1">IFERROR(IF(AND(
  INDEX(Roadmap!$D:$K,MATCH($E169,Roadmap!$D:$D,0)+COUNTIF($E169:AC169,"u")+COUNTIF($E169:AC169,"t")+COUNTIF($E169:AC169,"¶")+COUNTIF($E169:AC169,"²")+COUNTIF($E169:AC169,"µ")+COUNTIF($E169:AC169,1),ColLivraison)=AD$6,
  VLOOKUP($E169,INDIRECT("tri!"&amp; CHAR(64+ C0Col) &amp;":"&amp; CHAR(65+C0Col)),2,FALSE)&gt;COUNTIF($E169:AC169,"u")+COUNTIF($E169:AC169,"t")+COUNTIF($E169:AC169,"¶")+COUNTIF($E169:AC169,"²")+COUNTIF($E169:AC169,"µ")+COUNTIF($E169:AC169,1)),
HYPERLINK("#Roadmap!C"&amp; MATCH($E169,Roadmap!$D:$D,0)+COUNTIF($E169:AC169,"u")+COUNTIF($E169:AC169,"t"),
     INDEX(Roadmap!$D:$K,MATCH($E169,Roadmap!$D:$D,0)+COUNTIF($E169:AC169,"u")+COUNTIF($E169:AC169,"t")+COUNTIF($E169:AC169,"¶")+COUNTIF($E169:AC169,"²")+COUNTIF($E169:AC169,"µ")+COUNTIF($E169:AC169,1),ColTypeEcheance)),
  IF(LEN(AC169)=1,
  IF(LEN(INDEX(Roadmap!$D:$K,MATCH($E169,Roadmap!$D:$D,0)-1+COUNTIF($E169:AC169,"u")+COUNTIF($E169:AC169,"t")+COUNTIF($E169:AC169,"¶")+COUNTIF($E169:AC169,"²")+COUNTIF($E169:AC169,"µ")+COUNTIF($E169:AC169,1),ColDescriptionCourte))&gt;1,
HYPERLINK("#Roadmap!C"&amp; MATCH($E169,Roadmap!$D:$D,0)+COUNTIF($E169:AC169,"u")+COUNTIF($E169:AC169,"t")+COUNTIF($E169:AC169,"¶")+COUNTIF($E169:AC169,"²")+COUNTIF($E169:AC169,"µ")+COUNTIF($E169:AC169,1)-1,INDEX(Roadmap!$D:$K,MATCH($E169,Roadmap!$D:$D,0)-1+COUNTIF($E169:AC169,"u")+COUNTIF($E169:AC169,"t")+COUNTIF($E169:AC169,"¶")+COUNTIF($E169:AC169,"²")+COUNTIF($E169:AC169,"µ")+COUNTIF($E169:AC169,1),ColDescriptionCourte)),""),
  "")),"")</f>
        <v/>
      </c>
      <c r="AE169" s="40" t="str">
        <f ca="1">IFERROR(IF(AND(
  INDEX(Roadmap!$D:$K,MATCH($E169,Roadmap!$D:$D,0)+COUNTIF($E169:AD169,"u")+COUNTIF($E169:AD169,"t")+COUNTIF($E169:AD169,"¶")+COUNTIF($E169:AD169,"²")+COUNTIF($E169:AD169,"µ")+COUNTIF($E169:AD169,1),ColLivraison)=AE$6,
  VLOOKUP($E169,INDIRECT("tri!"&amp; CHAR(64+ C0Col) &amp;":"&amp; CHAR(65+C0Col)),2,FALSE)&gt;COUNTIF($E169:AD169,"u")+COUNTIF($E169:AD169,"t")+COUNTIF($E169:AD169,"¶")+COUNTIF($E169:AD169,"²")+COUNTIF($E169:AD169,"µ")+COUNTIF($E169:AD169,1)),
HYPERLINK("#Roadmap!C"&amp; MATCH($E169,Roadmap!$D:$D,0)+COUNTIF($E169:AD169,"u")+COUNTIF($E169:AD169,"t"),
     INDEX(Roadmap!$D:$K,MATCH($E169,Roadmap!$D:$D,0)+COUNTIF($E169:AD169,"u")+COUNTIF($E169:AD169,"t")+COUNTIF($E169:AD169,"¶")+COUNTIF($E169:AD169,"²")+COUNTIF($E169:AD169,"µ")+COUNTIF($E169:AD169,1),ColTypeEcheance)),
  IF(LEN(AD169)=1,
  IF(LEN(INDEX(Roadmap!$D:$K,MATCH($E169,Roadmap!$D:$D,0)-1+COUNTIF($E169:AD169,"u")+COUNTIF($E169:AD169,"t")+COUNTIF($E169:AD169,"¶")+COUNTIF($E169:AD169,"²")+COUNTIF($E169:AD169,"µ")+COUNTIF($E169:AD169,1),ColDescriptionCourte))&gt;1,
HYPERLINK("#Roadmap!C"&amp; MATCH($E169,Roadmap!$D:$D,0)+COUNTIF($E169:AD169,"u")+COUNTIF($E169:AD169,"t")+COUNTIF($E169:AD169,"¶")+COUNTIF($E169:AD169,"²")+COUNTIF($E169:AD169,"µ")+COUNTIF($E169:AD169,1)-1,INDEX(Roadmap!$D:$K,MATCH($E169,Roadmap!$D:$D,0)-1+COUNTIF($E169:AD169,"u")+COUNTIF($E169:AD169,"t")+COUNTIF($E169:AD169,"¶")+COUNTIF($E169:AD169,"²")+COUNTIF($E169:AD169,"µ")+COUNTIF($E169:AD169,1),ColDescriptionCourte)),""),
  "")),"")</f>
        <v/>
      </c>
      <c r="AF169" s="40" t="str">
        <f ca="1">IFERROR(IF(AND(
  INDEX(Roadmap!$D:$K,MATCH($E169,Roadmap!$D:$D,0)+COUNTIF($E169:AE169,"u")+COUNTIF($E169:AE169,"t")+COUNTIF($E169:AE169,"¶")+COUNTIF($E169:AE169,"²")+COUNTIF($E169:AE169,"µ")+COUNTIF($E169:AE169,1),ColLivraison)=AF$6,
  VLOOKUP($E169,INDIRECT("tri!"&amp; CHAR(64+ C0Col) &amp;":"&amp; CHAR(65+C0Col)),2,FALSE)&gt;COUNTIF($E169:AE169,"u")+COUNTIF($E169:AE169,"t")+COUNTIF($E169:AE169,"¶")+COUNTIF($E169:AE169,"²")+COUNTIF($E169:AE169,"µ")+COUNTIF($E169:AE169,1)),
HYPERLINK("#Roadmap!C"&amp; MATCH($E169,Roadmap!$D:$D,0)+COUNTIF($E169:AE169,"u")+COUNTIF($E169:AE169,"t"),
     INDEX(Roadmap!$D:$K,MATCH($E169,Roadmap!$D:$D,0)+COUNTIF($E169:AE169,"u")+COUNTIF($E169:AE169,"t")+COUNTIF($E169:AE169,"¶")+COUNTIF($E169:AE169,"²")+COUNTIF($E169:AE169,"µ")+COUNTIF($E169:AE169,1),ColTypeEcheance)),
  IF(LEN(AE169)=1,
  IF(LEN(INDEX(Roadmap!$D:$K,MATCH($E169,Roadmap!$D:$D,0)-1+COUNTIF($E169:AE169,"u")+COUNTIF($E169:AE169,"t")+COUNTIF($E169:AE169,"¶")+COUNTIF($E169:AE169,"²")+COUNTIF($E169:AE169,"µ")+COUNTIF($E169:AE169,1),ColDescriptionCourte))&gt;1,
HYPERLINK("#Roadmap!C"&amp; MATCH($E169,Roadmap!$D:$D,0)+COUNTIF($E169:AE169,"u")+COUNTIF($E169:AE169,"t")+COUNTIF($E169:AE169,"¶")+COUNTIF($E169:AE169,"²")+COUNTIF($E169:AE169,"µ")+COUNTIF($E169:AE169,1)-1,INDEX(Roadmap!$D:$K,MATCH($E169,Roadmap!$D:$D,0)-1+COUNTIF($E169:AE169,"u")+COUNTIF($E169:AE169,"t")+COUNTIF($E169:AE169,"¶")+COUNTIF($E169:AE169,"²")+COUNTIF($E169:AE169,"µ")+COUNTIF($E169:AE169,1),ColDescriptionCourte)),""),
  "")),"")</f>
        <v/>
      </c>
      <c r="AG169" s="40" t="str">
        <f ca="1">IFERROR(IF(AND(
  INDEX(Roadmap!$D:$K,MATCH($E169,Roadmap!$D:$D,0)+COUNTIF($E169:AF169,"u")+COUNTIF($E169:AF169,"t")+COUNTIF($E169:AF169,"¶")+COUNTIF($E169:AF169,"²")+COUNTIF($E169:AF169,"µ")+COUNTIF($E169:AF169,1),ColLivraison)=AG$6,
  VLOOKUP($E169,INDIRECT("tri!"&amp; CHAR(64+ C0Col) &amp;":"&amp; CHAR(65+C0Col)),2,FALSE)&gt;COUNTIF($E169:AF169,"u")+COUNTIF($E169:AF169,"t")+COUNTIF($E169:AF169,"¶")+COUNTIF($E169:AF169,"²")+COUNTIF($E169:AF169,"µ")+COUNTIF($E169:AF169,1)),
HYPERLINK("#Roadmap!C"&amp; MATCH($E169,Roadmap!$D:$D,0)+COUNTIF($E169:AF169,"u")+COUNTIF($E169:AF169,"t"),
     INDEX(Roadmap!$D:$K,MATCH($E169,Roadmap!$D:$D,0)+COUNTIF($E169:AF169,"u")+COUNTIF($E169:AF169,"t")+COUNTIF($E169:AF169,"¶")+COUNTIF($E169:AF169,"²")+COUNTIF($E169:AF169,"µ")+COUNTIF($E169:AF169,1),ColTypeEcheance)),
  IF(LEN(AF169)=1,
  IF(LEN(INDEX(Roadmap!$D:$K,MATCH($E169,Roadmap!$D:$D,0)-1+COUNTIF($E169:AF169,"u")+COUNTIF($E169:AF169,"t")+COUNTIF($E169:AF169,"¶")+COUNTIF($E169:AF169,"²")+COUNTIF($E169:AF169,"µ")+COUNTIF($E169:AF169,1),ColDescriptionCourte))&gt;1,
HYPERLINK("#Roadmap!C"&amp; MATCH($E169,Roadmap!$D:$D,0)+COUNTIF($E169:AF169,"u")+COUNTIF($E169:AF169,"t")+COUNTIF($E169:AF169,"¶")+COUNTIF($E169:AF169,"²")+COUNTIF($E169:AF169,"µ")+COUNTIF($E169:AF169,1)-1,INDEX(Roadmap!$D:$K,MATCH($E169,Roadmap!$D:$D,0)-1+COUNTIF($E169:AF169,"u")+COUNTIF($E169:AF169,"t")+COUNTIF($E169:AF169,"¶")+COUNTIF($E169:AF169,"²")+COUNTIF($E169:AF169,"µ")+COUNTIF($E169:AF169,1),ColDescriptionCourte)),""),
  "")),"")</f>
        <v/>
      </c>
      <c r="AH169" s="40" t="str">
        <f ca="1">IFERROR(IF(AND(
  INDEX(Roadmap!$D:$K,MATCH($E169,Roadmap!$D:$D,0)+COUNTIF($E169:AG169,"u")+COUNTIF($E169:AG169,"t")+COUNTIF($E169:AG169,1),ColLivraison)=AH$6,
  VLOOKUP($E169,INDIRECT("tri!"&amp; CHAR(64+ C0Col) &amp;":"&amp; CHAR(65+C0Col)),2,FALSE)&gt;COUNTIF($E169:AG169,"u")+COUNTIF($E169:AG169,"t")+COUNTIF($E169:AG169,1)),
HYPERLINK("#Roadmap!C"&amp; MATCH($E169,Roadmap!$D:$D,0)+COUNTIF($E169:AG169,"u")+COUNTIF($E169:AG169,"t"),
     INDEX(Roadmap!$D:$K,MATCH($E169,Roadmap!$D:$D,0)+COUNTIF($E169:AG169,"u")+COUNTIF($E169:AG169,"t")+COUNTIF($E169:AG169,1),ColTypeEcheance)),
  IF(OR(AG169="u",AG169="t",AG169=1),
  IF(LEN(INDEX(Roadmap!$D:$K,MATCH($E169,Roadmap!$D:$D,0)-1+COUNTIF($E169:AG169,"u")+COUNTIF($E169:AG169,"t")+COUNTIF($E169:AG169,1),ColDescriptionCourte))&gt;1,
HYPERLINK("#Roadmap!C"&amp; MATCH($E169,Roadmap!$D:$D,0)+COUNTIF($E169:AG169,"u")+COUNTIF($E169:AG169,"t")+COUNTIF($E169:AG169,1)-1,INDEX(Roadmap!$D:$K,MATCH($E169,Roadmap!$D:$D,0)-1+COUNTIF($E169:AG169,"u")+COUNTIF($E169:AG169,"t")+COUNTIF($E169:AG169,1),ColDescriptionCourte)),""),
  "")),"")</f>
        <v/>
      </c>
      <c r="AI169" s="40"/>
      <c r="AJ169" s="40"/>
      <c r="AK169" s="40"/>
      <c r="AL169" s="40"/>
      <c r="AM169" s="40"/>
    </row>
    <row r="170" spans="4:39" ht="14.1" customHeight="1">
      <c r="D170" s="20" t="str">
        <f t="shared" ca="1" si="31"/>
        <v/>
      </c>
      <c r="E170" s="53" t="str">
        <f t="shared" ca="1" si="32"/>
        <v/>
      </c>
      <c r="F170" s="39" t="str">
        <f ca="1">IFERROR(IF(AND(
  INDEX(Roadmap!$D:$K,MATCH($E170,Roadmap!$D:$D,0)+COUNTIF($E170:E170,"u")+COUNTIF($E170:E170,"t")+COUNTIF($E170:E170,"¶")+COUNTIF($E170:E170,"²")+COUNTIF($E170:E170,"µ")+COUNTIF($E170:E170,1),ColLivraison)=F$6,
  VLOOKUP($E170,INDIRECT("tri!"&amp; CHAR(64+ C0Col) &amp;":"&amp; CHAR(65+C0Col)),2,FALSE)&gt;COUNTIF($E170:E170,"u")+COUNTIF($E170:E170,"t")+COUNTIF($E170:E170,"¶")+COUNTIF($E170:E170,"²")+COUNTIF($E170:E170,"µ")+COUNTIF($E170:E170,1)),
HYPERLINK("#Roadmap!C"&amp; MATCH($E170,Roadmap!$D:$D,0)+COUNTIF($E170:E170,"u")+COUNTIF($E170:E170,"t"),
     INDEX(Roadmap!$D:$K,MATCH($E170,Roadmap!$D:$D,0)+COUNTIF($E170:E170,"u")+COUNTIF($E170:E170,"t")+COUNTIF($E170:E170,"¶")+COUNTIF($E170:E170,"²")+COUNTIF($E170:E170,"µ")+COUNTIF($E170:E170,1),ColTypeEcheance)),
  IF(LEN(E170)=1,
  IF(LEN(INDEX(Roadmap!$D:$K,MATCH($E170,Roadmap!$D:$D,0)-1+COUNTIF($E170:E170,"u")+COUNTIF($E170:E170,"t")+COUNTIF($E170:E170,"¶")+COUNTIF($E170:E170,"²")+COUNTIF($E170:E170,"µ")+COUNTIF($E170:E170,1),ColDescriptionCourte))&gt;1,
HYPERLINK("#Roadmap!C"&amp; MATCH($E170,Roadmap!$D:$D,0)+COUNTIF($E170:E170,"u")+COUNTIF($E170:E170,"t")+COUNTIF($E170:E170,"¶")+COUNTIF($E170:E170,"²")+COUNTIF($E170:E170,"µ")+COUNTIF($E170:E170,1)-1,INDEX(Roadmap!$D:$K,MATCH($E170,Roadmap!$D:$D,0)-1+COUNTIF($E170:E170,"u")+COUNTIF($E170:E170,"t")+COUNTIF($E170:E170,"¶")+COUNTIF($E170:E170,"²")+COUNTIF($E170:E170,"µ")+COUNTIF($E170:E170,1),ColDescriptionCourte)),""),
  "")),"")</f>
        <v/>
      </c>
      <c r="G170" s="40" t="str">
        <f ca="1">IFERROR(IF(AND(
  INDEX(Roadmap!$D:$K,MATCH($E170,Roadmap!$D:$D,0)+COUNTIF($E170:F170,"u")+COUNTIF($E170:F170,"t")+COUNTIF($E170:F170,"¶")+COUNTIF($E170:F170,"²")+COUNTIF($E170:F170,"µ")+COUNTIF($E170:F170,1),ColLivraison)=G$6,
  VLOOKUP($E170,INDIRECT("tri!"&amp; CHAR(64+ C0Col) &amp;":"&amp; CHAR(65+C0Col)),2,FALSE)&gt;COUNTIF($E170:F170,"u")+COUNTIF($E170:F170,"t")+COUNTIF($E170:F170,"¶")+COUNTIF($E170:F170,"²")+COUNTIF($E170:F170,"µ")+COUNTIF($E170:F170,1)),
HYPERLINK("#Roadmap!C"&amp; MATCH($E170,Roadmap!$D:$D,0)+COUNTIF($E170:F170,"u")+COUNTIF($E170:F170,"t"),
     INDEX(Roadmap!$D:$K,MATCH($E170,Roadmap!$D:$D,0)+COUNTIF($E170:F170,"u")+COUNTIF($E170:F170,"t")+COUNTIF($E170:F170,"¶")+COUNTIF($E170:F170,"²")+COUNTIF($E170:F170,"µ")+COUNTIF($E170:F170,1),ColTypeEcheance)),
  IF(LEN(F170)=1,
  IF(LEN(INDEX(Roadmap!$D:$K,MATCH($E170,Roadmap!$D:$D,0)-1+COUNTIF($E170:F170,"u")+COUNTIF($E170:F170,"t")+COUNTIF($E170:F170,"¶")+COUNTIF($E170:F170,"²")+COUNTIF($E170:F170,"µ")+COUNTIF($E170:F170,1),ColDescriptionCourte))&gt;1,
HYPERLINK("#Roadmap!C"&amp; MATCH($E170,Roadmap!$D:$D,0)+COUNTIF($E170:F170,"u")+COUNTIF($E170:F170,"t")+COUNTIF($E170:F170,"¶")+COUNTIF($E170:F170,"²")+COUNTIF($E170:F170,"µ")+COUNTIF($E170:F170,1)-1,INDEX(Roadmap!$D:$K,MATCH($E170,Roadmap!$D:$D,0)-1+COUNTIF($E170:F170,"u")+COUNTIF($E170:F170,"t")+COUNTIF($E170:F170,"¶")+COUNTIF($E170:F170,"²")+COUNTIF($E170:F170,"µ")+COUNTIF($E170:F170,1),ColDescriptionCourte)),""),
  "")),"")</f>
        <v/>
      </c>
      <c r="H170" s="40" t="str">
        <f ca="1">IFERROR(IF(AND(
  INDEX(Roadmap!$D:$K,MATCH($E170,Roadmap!$D:$D,0)+COUNTIF($E170:G170,"u")+COUNTIF($E170:G170,"t")+COUNTIF($E170:G170,"¶")+COUNTIF($E170:G170,"²")+COUNTIF($E170:G170,"µ")+COUNTIF($E170:G170,1),ColLivraison)=H$6,
  VLOOKUP($E170,INDIRECT("tri!"&amp; CHAR(64+ C0Col) &amp;":"&amp; CHAR(65+C0Col)),2,FALSE)&gt;COUNTIF($E170:G170,"u")+COUNTIF($E170:G170,"t")+COUNTIF($E170:G170,"¶")+COUNTIF($E170:G170,"²")+COUNTIF($E170:G170,"µ")+COUNTIF($E170:G170,1)),
HYPERLINK("#Roadmap!C"&amp; MATCH($E170,Roadmap!$D:$D,0)+COUNTIF($E170:G170,"u")+COUNTIF($E170:G170,"t"),
     INDEX(Roadmap!$D:$K,MATCH($E170,Roadmap!$D:$D,0)+COUNTIF($E170:G170,"u")+COUNTIF($E170:G170,"t")+COUNTIF($E170:G170,"¶")+COUNTIF($E170:G170,"²")+COUNTIF($E170:G170,"µ")+COUNTIF($E170:G170,1),ColTypeEcheance)),
  IF(LEN(G170)=1,
  IF(LEN(INDEX(Roadmap!$D:$K,MATCH($E170,Roadmap!$D:$D,0)-1+COUNTIF($E170:G170,"u")+COUNTIF($E170:G170,"t")+COUNTIF($E170:G170,"¶")+COUNTIF($E170:G170,"²")+COUNTIF($E170:G170,"µ")+COUNTIF($E170:G170,1),ColDescriptionCourte))&gt;1,
HYPERLINK("#Roadmap!C"&amp; MATCH($E170,Roadmap!$D:$D,0)+COUNTIF($E170:G170,"u")+COUNTIF($E170:G170,"t")+COUNTIF($E170:G170,"¶")+COUNTIF($E170:G170,"²")+COUNTIF($E170:G170,"µ")+COUNTIF($E170:G170,1)-1,INDEX(Roadmap!$D:$K,MATCH($E170,Roadmap!$D:$D,0)-1+COUNTIF($E170:G170,"u")+COUNTIF($E170:G170,"t")+COUNTIF($E170:G170,"¶")+COUNTIF($E170:G170,"²")+COUNTIF($E170:G170,"µ")+COUNTIF($E170:G170,1),ColDescriptionCourte)),""),
  "")),"")</f>
        <v/>
      </c>
      <c r="I170" s="40" t="str">
        <f ca="1">IFERROR(IF(AND(
  INDEX(Roadmap!$D:$K,MATCH($E170,Roadmap!$D:$D,0)+COUNTIF($E170:H170,"u")+COUNTIF($E170:H170,"t")+COUNTIF($E170:H170,"¶")+COUNTIF($E170:H170,"²")+COUNTIF($E170:H170,"µ")+COUNTIF($E170:H170,1),ColLivraison)=I$6,
  VLOOKUP($E170,INDIRECT("tri!"&amp; CHAR(64+ C0Col) &amp;":"&amp; CHAR(65+C0Col)),2,FALSE)&gt;COUNTIF($E170:H170,"u")+COUNTIF($E170:H170,"t")+COUNTIF($E170:H170,"¶")+COUNTIF($E170:H170,"²")+COUNTIF($E170:H170,"µ")+COUNTIF($E170:H170,1)),
HYPERLINK("#Roadmap!C"&amp; MATCH($E170,Roadmap!$D:$D,0)+COUNTIF($E170:H170,"u")+COUNTIF($E170:H170,"t"),
     INDEX(Roadmap!$D:$K,MATCH($E170,Roadmap!$D:$D,0)+COUNTIF($E170:H170,"u")+COUNTIF($E170:H170,"t")+COUNTIF($E170:H170,"¶")+COUNTIF($E170:H170,"²")+COUNTIF($E170:H170,"µ")+COUNTIF($E170:H170,1),ColTypeEcheance)),
  IF(LEN(H170)=1,
  IF(LEN(INDEX(Roadmap!$D:$K,MATCH($E170,Roadmap!$D:$D,0)-1+COUNTIF($E170:H170,"u")+COUNTIF($E170:H170,"t")+COUNTIF($E170:H170,"¶")+COUNTIF($E170:H170,"²")+COUNTIF($E170:H170,"µ")+COUNTIF($E170:H170,1),ColDescriptionCourte))&gt;1,
HYPERLINK("#Roadmap!C"&amp; MATCH($E170,Roadmap!$D:$D,0)+COUNTIF($E170:H170,"u")+COUNTIF($E170:H170,"t")+COUNTIF($E170:H170,"¶")+COUNTIF($E170:H170,"²")+COUNTIF($E170:H170,"µ")+COUNTIF($E170:H170,1)-1,INDEX(Roadmap!$D:$K,MATCH($E170,Roadmap!$D:$D,0)-1+COUNTIF($E170:H170,"u")+COUNTIF($E170:H170,"t")+COUNTIF($E170:H170,"¶")+COUNTIF($E170:H170,"²")+COUNTIF($E170:H170,"µ")+COUNTIF($E170:H170,1),ColDescriptionCourte)),""),
  "")),"")</f>
        <v/>
      </c>
      <c r="J170" s="40" t="str">
        <f ca="1">IFERROR(IF(AND(
  INDEX(Roadmap!$D:$K,MATCH($E170,Roadmap!$D:$D,0)+COUNTIF($E170:I170,"u")+COUNTIF($E170:I170,"t")+COUNTIF($E170:I170,"¶")+COUNTIF($E170:I170,"²")+COUNTIF($E170:I170,"µ")+COUNTIF($E170:I170,1),ColLivraison)=J$6,
  VLOOKUP($E170,INDIRECT("tri!"&amp; CHAR(64+ C0Col) &amp;":"&amp; CHAR(65+C0Col)),2,FALSE)&gt;COUNTIF($E170:I170,"u")+COUNTIF($E170:I170,"t")+COUNTIF($E170:I170,"¶")+COUNTIF($E170:I170,"²")+COUNTIF($E170:I170,"µ")+COUNTIF($E170:I170,1)),
HYPERLINK("#Roadmap!C"&amp; MATCH($E170,Roadmap!$D:$D,0)+COUNTIF($E170:I170,"u")+COUNTIF($E170:I170,"t"),
     INDEX(Roadmap!$D:$K,MATCH($E170,Roadmap!$D:$D,0)+COUNTIF($E170:I170,"u")+COUNTIF($E170:I170,"t")+COUNTIF($E170:I170,"¶")+COUNTIF($E170:I170,"²")+COUNTIF($E170:I170,"µ")+COUNTIF($E170:I170,1),ColTypeEcheance)),
  IF(LEN(I170)=1,
  IF(LEN(INDEX(Roadmap!$D:$K,MATCH($E170,Roadmap!$D:$D,0)-1+COUNTIF($E170:I170,"u")+COUNTIF($E170:I170,"t")+COUNTIF($E170:I170,"¶")+COUNTIF($E170:I170,"²")+COUNTIF($E170:I170,"µ")+COUNTIF($E170:I170,1),ColDescriptionCourte))&gt;1,
HYPERLINK("#Roadmap!C"&amp; MATCH($E170,Roadmap!$D:$D,0)+COUNTIF($E170:I170,"u")+COUNTIF($E170:I170,"t")+COUNTIF($E170:I170,"¶")+COUNTIF($E170:I170,"²")+COUNTIF($E170:I170,"µ")+COUNTIF($E170:I170,1)-1,INDEX(Roadmap!$D:$K,MATCH($E170,Roadmap!$D:$D,0)-1+COUNTIF($E170:I170,"u")+COUNTIF($E170:I170,"t")+COUNTIF($E170:I170,"¶")+COUNTIF($E170:I170,"²")+COUNTIF($E170:I170,"µ")+COUNTIF($E170:I170,1),ColDescriptionCourte)),""),
  "")),"")</f>
        <v/>
      </c>
      <c r="K170" s="40" t="str">
        <f ca="1">IFERROR(IF(AND(
  INDEX(Roadmap!$D:$K,MATCH($E170,Roadmap!$D:$D,0)+COUNTIF($E170:J170,"u")+COUNTIF($E170:J170,"t")+COUNTIF($E170:J170,"¶")+COUNTIF($E170:J170,"²")+COUNTIF($E170:J170,"µ")+COUNTIF($E170:J170,1),ColLivraison)=K$6,
  VLOOKUP($E170,INDIRECT("tri!"&amp; CHAR(64+ C0Col) &amp;":"&amp; CHAR(65+C0Col)),2,FALSE)&gt;COUNTIF($E170:J170,"u")+COUNTIF($E170:J170,"t")+COUNTIF($E170:J170,"¶")+COUNTIF($E170:J170,"²")+COUNTIF($E170:J170,"µ")+COUNTIF($E170:J170,1)),
HYPERLINK("#Roadmap!C"&amp; MATCH($E170,Roadmap!$D:$D,0)+COUNTIF($E170:J170,"u")+COUNTIF($E170:J170,"t"),
     INDEX(Roadmap!$D:$K,MATCH($E170,Roadmap!$D:$D,0)+COUNTIF($E170:J170,"u")+COUNTIF($E170:J170,"t")+COUNTIF($E170:J170,"¶")+COUNTIF($E170:J170,"²")+COUNTIF($E170:J170,"µ")+COUNTIF($E170:J170,1),ColTypeEcheance)),
  IF(LEN(J170)=1,
  IF(LEN(INDEX(Roadmap!$D:$K,MATCH($E170,Roadmap!$D:$D,0)-1+COUNTIF($E170:J170,"u")+COUNTIF($E170:J170,"t")+COUNTIF($E170:J170,"¶")+COUNTIF($E170:J170,"²")+COUNTIF($E170:J170,"µ")+COUNTIF($E170:J170,1),ColDescriptionCourte))&gt;1,
HYPERLINK("#Roadmap!C"&amp; MATCH($E170,Roadmap!$D:$D,0)+COUNTIF($E170:J170,"u")+COUNTIF($E170:J170,"t")+COUNTIF($E170:J170,"¶")+COUNTIF($E170:J170,"²")+COUNTIF($E170:J170,"µ")+COUNTIF($E170:J170,1)-1,INDEX(Roadmap!$D:$K,MATCH($E170,Roadmap!$D:$D,0)-1+COUNTIF($E170:J170,"u")+COUNTIF($E170:J170,"t")+COUNTIF($E170:J170,"¶")+COUNTIF($E170:J170,"²")+COUNTIF($E170:J170,"µ")+COUNTIF($E170:J170,1),ColDescriptionCourte)),""),
  "")),"")</f>
        <v/>
      </c>
      <c r="L170" s="39" t="str">
        <f ca="1">IFERROR(IF(AND(
  INDEX(Roadmap!$D:$K,MATCH($E170,Roadmap!$D:$D,0)+COUNTIF($E170:K170,"u")+COUNTIF($E170:K170,"t")+COUNTIF($E170:K170,"¶")+COUNTIF($E170:K170,"²")+COUNTIF($E170:K170,"µ")+COUNTIF($E170:K170,1),ColLivraison)=L$6,
  VLOOKUP($E170,INDIRECT("tri!"&amp; CHAR(64+ C0Col) &amp;":"&amp; CHAR(65+C0Col)),2,FALSE)&gt;COUNTIF($E170:K170,"u")+COUNTIF($E170:K170,"t")+COUNTIF($E170:K170,"¶")+COUNTIF($E170:K170,"²")+COUNTIF($E170:K170,"µ")+COUNTIF($E170:K170,1)),
HYPERLINK("#Roadmap!C"&amp; MATCH($E170,Roadmap!$D:$D,0)+COUNTIF($E170:K170,"u")+COUNTIF($E170:K170,"t"),
     INDEX(Roadmap!$D:$K,MATCH($E170,Roadmap!$D:$D,0)+COUNTIF($E170:K170,"u")+COUNTIF($E170:K170,"t")+COUNTIF($E170:K170,"¶")+COUNTIF($E170:K170,"²")+COUNTIF($E170:K170,"µ")+COUNTIF($E170:K170,1),ColTypeEcheance)),
  IF(LEN(K170)=1,
  IF(LEN(INDEX(Roadmap!$D:$K,MATCH($E170,Roadmap!$D:$D,0)-1+COUNTIF($E170:K170,"u")+COUNTIF($E170:K170,"t")+COUNTIF($E170:K170,"¶")+COUNTIF($E170:K170,"²")+COUNTIF($E170:K170,"µ")+COUNTIF($E170:K170,1),ColDescriptionCourte))&gt;1,
HYPERLINK("#Roadmap!C"&amp; MATCH($E170,Roadmap!$D:$D,0)+COUNTIF($E170:K170,"u")+COUNTIF($E170:K170,"t")+COUNTIF($E170:K170,"¶")+COUNTIF($E170:K170,"²")+COUNTIF($E170:K170,"µ")+COUNTIF($E170:K170,1)-1,INDEX(Roadmap!$D:$K,MATCH($E170,Roadmap!$D:$D,0)-1+COUNTIF($E170:K170,"u")+COUNTIF($E170:K170,"t")+COUNTIF($E170:K170,"¶")+COUNTIF($E170:K170,"²")+COUNTIF($E170:K170,"µ")+COUNTIF($E170:K170,1),ColDescriptionCourte)),""),
  "")),"")</f>
        <v/>
      </c>
      <c r="M170" s="40" t="str">
        <f ca="1">IFERROR(IF(AND(
  INDEX(Roadmap!$D:$K,MATCH($E170,Roadmap!$D:$D,0)+COUNTIF($E170:L170,"u")+COUNTIF($E170:L170,"t")+COUNTIF($E170:L170,"¶")+COUNTIF($E170:L170,"²")+COUNTIF($E170:L170,"µ")+COUNTIF($E170:L170,1),ColLivraison)=M$6,
  VLOOKUP($E170,INDIRECT("tri!"&amp; CHAR(64+ C0Col) &amp;":"&amp; CHAR(65+C0Col)),2,FALSE)&gt;COUNTIF($E170:L170,"u")+COUNTIF($E170:L170,"t")+COUNTIF($E170:L170,"¶")+COUNTIF($E170:L170,"²")+COUNTIF($E170:L170,"µ")+COUNTIF($E170:L170,1)),
HYPERLINK("#Roadmap!C"&amp; MATCH($E170,Roadmap!$D:$D,0)+COUNTIF($E170:L170,"u")+COUNTIF($E170:L170,"t"),
     INDEX(Roadmap!$D:$K,MATCH($E170,Roadmap!$D:$D,0)+COUNTIF($E170:L170,"u")+COUNTIF($E170:L170,"t")+COUNTIF($E170:L170,"¶")+COUNTIF($E170:L170,"²")+COUNTIF($E170:L170,"µ")+COUNTIF($E170:L170,1),ColTypeEcheance)),
  IF(LEN(L170)=1,
  IF(LEN(INDEX(Roadmap!$D:$K,MATCH($E170,Roadmap!$D:$D,0)-1+COUNTIF($E170:L170,"u")+COUNTIF($E170:L170,"t")+COUNTIF($E170:L170,"¶")+COUNTIF($E170:L170,"²")+COUNTIF($E170:L170,"µ")+COUNTIF($E170:L170,1),ColDescriptionCourte))&gt;1,
HYPERLINK("#Roadmap!C"&amp; MATCH($E170,Roadmap!$D:$D,0)+COUNTIF($E170:L170,"u")+COUNTIF($E170:L170,"t")+COUNTIF($E170:L170,"¶")+COUNTIF($E170:L170,"²")+COUNTIF($E170:L170,"µ")+COUNTIF($E170:L170,1)-1,INDEX(Roadmap!$D:$K,MATCH($E170,Roadmap!$D:$D,0)-1+COUNTIF($E170:L170,"u")+COUNTIF($E170:L170,"t")+COUNTIF($E170:L170,"¶")+COUNTIF($E170:L170,"²")+COUNTIF($E170:L170,"µ")+COUNTIF($E170:L170,1),ColDescriptionCourte)),""),
  "")),"")</f>
        <v/>
      </c>
      <c r="N170" s="40" t="str">
        <f ca="1">IFERROR(IF(AND(
  INDEX(Roadmap!$D:$K,MATCH($E170,Roadmap!$D:$D,0)+COUNTIF($E170:M170,"u")+COUNTIF($E170:M170,"t")+COUNTIF($E170:M170,"¶")+COUNTIF($E170:M170,"²")+COUNTIF($E170:M170,"µ")+COUNTIF($E170:M170,1),ColLivraison)=N$6,
  VLOOKUP($E170,INDIRECT("tri!"&amp; CHAR(64+ C0Col) &amp;":"&amp; CHAR(65+C0Col)),2,FALSE)&gt;COUNTIF($E170:M170,"u")+COUNTIF($E170:M170,"t")+COUNTIF($E170:M170,"¶")+COUNTIF($E170:M170,"²")+COUNTIF($E170:M170,"µ")+COUNTIF($E170:M170,1)),
HYPERLINK("#Roadmap!C"&amp; MATCH($E170,Roadmap!$D:$D,0)+COUNTIF($E170:M170,"u")+COUNTIF($E170:M170,"t"),
     INDEX(Roadmap!$D:$K,MATCH($E170,Roadmap!$D:$D,0)+COUNTIF($E170:M170,"u")+COUNTIF($E170:M170,"t")+COUNTIF($E170:M170,"¶")+COUNTIF($E170:M170,"²")+COUNTIF($E170:M170,"µ")+COUNTIF($E170:M170,1),ColTypeEcheance)),
  IF(LEN(M170)=1,
  IF(LEN(INDEX(Roadmap!$D:$K,MATCH($E170,Roadmap!$D:$D,0)-1+COUNTIF($E170:M170,"u")+COUNTIF($E170:M170,"t")+COUNTIF($E170:M170,"¶")+COUNTIF($E170:M170,"²")+COUNTIF($E170:M170,"µ")+COUNTIF($E170:M170,1),ColDescriptionCourte))&gt;1,
HYPERLINK("#Roadmap!C"&amp; MATCH($E170,Roadmap!$D:$D,0)+COUNTIF($E170:M170,"u")+COUNTIF($E170:M170,"t")+COUNTIF($E170:M170,"¶")+COUNTIF($E170:M170,"²")+COUNTIF($E170:M170,"µ")+COUNTIF($E170:M170,1)-1,INDEX(Roadmap!$D:$K,MATCH($E170,Roadmap!$D:$D,0)-1+COUNTIF($E170:M170,"u")+COUNTIF($E170:M170,"t")+COUNTIF($E170:M170,"¶")+COUNTIF($E170:M170,"²")+COUNTIF($E170:M170,"µ")+COUNTIF($E170:M170,1),ColDescriptionCourte)),""),
  "")),"")</f>
        <v/>
      </c>
      <c r="O170" s="40" t="str">
        <f ca="1">IFERROR(IF(AND(
  INDEX(Roadmap!$D:$K,MATCH($E170,Roadmap!$D:$D,0)+COUNTIF($E170:N170,"u")+COUNTIF($E170:N170,"t")+COUNTIF($E170:N170,"¶")+COUNTIF($E170:N170,"²")+COUNTIF($E170:N170,"µ")+COUNTIF($E170:N170,1),ColLivraison)=O$6,
  VLOOKUP($E170,INDIRECT("tri!"&amp; CHAR(64+ C0Col) &amp;":"&amp; CHAR(65+C0Col)),2,FALSE)&gt;COUNTIF($E170:N170,"u")+COUNTIF($E170:N170,"t")+COUNTIF($E170:N170,"¶")+COUNTIF($E170:N170,"²")+COUNTIF($E170:N170,"µ")+COUNTIF($E170:N170,1)),
HYPERLINK("#Roadmap!C"&amp; MATCH($E170,Roadmap!$D:$D,0)+COUNTIF($E170:N170,"u")+COUNTIF($E170:N170,"t"),
     INDEX(Roadmap!$D:$K,MATCH($E170,Roadmap!$D:$D,0)+COUNTIF($E170:N170,"u")+COUNTIF($E170:N170,"t")+COUNTIF($E170:N170,"¶")+COUNTIF($E170:N170,"²")+COUNTIF($E170:N170,"µ")+COUNTIF($E170:N170,1),ColTypeEcheance)),
  IF(LEN(N170)=1,
  IF(LEN(INDEX(Roadmap!$D:$K,MATCH($E170,Roadmap!$D:$D,0)-1+COUNTIF($E170:N170,"u")+COUNTIF($E170:N170,"t")+COUNTIF($E170:N170,"¶")+COUNTIF($E170:N170,"²")+COUNTIF($E170:N170,"µ")+COUNTIF($E170:N170,1),ColDescriptionCourte))&gt;1,
HYPERLINK("#Roadmap!C"&amp; MATCH($E170,Roadmap!$D:$D,0)+COUNTIF($E170:N170,"u")+COUNTIF($E170:N170,"t")+COUNTIF($E170:N170,"¶")+COUNTIF($E170:N170,"²")+COUNTIF($E170:N170,"µ")+COUNTIF($E170:N170,1)-1,INDEX(Roadmap!$D:$K,MATCH($E170,Roadmap!$D:$D,0)-1+COUNTIF($E170:N170,"u")+COUNTIF($E170:N170,"t")+COUNTIF($E170:N170,"¶")+COUNTIF($E170:N170,"²")+COUNTIF($E170:N170,"µ")+COUNTIF($E170:N170,1),ColDescriptionCourte)),""),
  "")),"")</f>
        <v/>
      </c>
      <c r="P170" s="40" t="str">
        <f ca="1">IFERROR(IF(AND(
  INDEX(Roadmap!$D:$K,MATCH($E170,Roadmap!$D:$D,0)+COUNTIF($E170:O170,"u")+COUNTIF($E170:O170,"t")+COUNTIF($E170:O170,"¶")+COUNTIF($E170:O170,"²")+COUNTIF($E170:O170,"µ")+COUNTIF($E170:O170,1),ColLivraison)=P$6,
  VLOOKUP($E170,INDIRECT("tri!"&amp; CHAR(64+ C0Col) &amp;":"&amp; CHAR(65+C0Col)),2,FALSE)&gt;COUNTIF($E170:O170,"u")+COUNTIF($E170:O170,"t")+COUNTIF($E170:O170,"¶")+COUNTIF($E170:O170,"²")+COUNTIF($E170:O170,"µ")+COUNTIF($E170:O170,1)),
HYPERLINK("#Roadmap!C"&amp; MATCH($E170,Roadmap!$D:$D,0)+COUNTIF($E170:O170,"u")+COUNTIF($E170:O170,"t"),
     INDEX(Roadmap!$D:$K,MATCH($E170,Roadmap!$D:$D,0)+COUNTIF($E170:O170,"u")+COUNTIF($E170:O170,"t")+COUNTIF($E170:O170,"¶")+COUNTIF($E170:O170,"²")+COUNTIF($E170:O170,"µ")+COUNTIF($E170:O170,1),ColTypeEcheance)),
  IF(LEN(O170)=1,
  IF(LEN(INDEX(Roadmap!$D:$K,MATCH($E170,Roadmap!$D:$D,0)-1+COUNTIF($E170:O170,"u")+COUNTIF($E170:O170,"t")+COUNTIF($E170:O170,"¶")+COUNTIF($E170:O170,"²")+COUNTIF($E170:O170,"µ")+COUNTIF($E170:O170,1),ColDescriptionCourte))&gt;1,
HYPERLINK("#Roadmap!C"&amp; MATCH($E170,Roadmap!$D:$D,0)+COUNTIF($E170:O170,"u")+COUNTIF($E170:O170,"t")+COUNTIF($E170:O170,"¶")+COUNTIF($E170:O170,"²")+COUNTIF($E170:O170,"µ")+COUNTIF($E170:O170,1)-1,INDEX(Roadmap!$D:$K,MATCH($E170,Roadmap!$D:$D,0)-1+COUNTIF($E170:O170,"u")+COUNTIF($E170:O170,"t")+COUNTIF($E170:O170,"¶")+COUNTIF($E170:O170,"²")+COUNTIF($E170:O170,"µ")+COUNTIF($E170:O170,1),ColDescriptionCourte)),""),
  "")),"")</f>
        <v/>
      </c>
      <c r="Q170" s="40" t="str">
        <f ca="1">IFERROR(IF(AND(
  INDEX(Roadmap!$D:$K,MATCH($E170,Roadmap!$D:$D,0)+COUNTIF($E170:P170,"u")+COUNTIF($E170:P170,"t")+COUNTIF($E170:P170,"¶")+COUNTIF($E170:P170,"²")+COUNTIF($E170:P170,"µ")+COUNTIF($E170:P170,1),ColLivraison)=Q$6,
  VLOOKUP($E170,INDIRECT("tri!"&amp; CHAR(64+ C0Col) &amp;":"&amp; CHAR(65+C0Col)),2,FALSE)&gt;COUNTIF($E170:P170,"u")+COUNTIF($E170:P170,"t")+COUNTIF($E170:P170,"¶")+COUNTIF($E170:P170,"²")+COUNTIF($E170:P170,"µ")+COUNTIF($E170:P170,1)),
HYPERLINK("#Roadmap!C"&amp; MATCH($E170,Roadmap!$D:$D,0)+COUNTIF($E170:P170,"u")+COUNTIF($E170:P170,"t"),
     INDEX(Roadmap!$D:$K,MATCH($E170,Roadmap!$D:$D,0)+COUNTIF($E170:P170,"u")+COUNTIF($E170:P170,"t")+COUNTIF($E170:P170,"¶")+COUNTIF($E170:P170,"²")+COUNTIF($E170:P170,"µ")+COUNTIF($E170:P170,1),ColTypeEcheance)),
  IF(LEN(P170)=1,
  IF(LEN(INDEX(Roadmap!$D:$K,MATCH($E170,Roadmap!$D:$D,0)-1+COUNTIF($E170:P170,"u")+COUNTIF($E170:P170,"t")+COUNTIF($E170:P170,"¶")+COUNTIF($E170:P170,"²")+COUNTIF($E170:P170,"µ")+COUNTIF($E170:P170,1),ColDescriptionCourte))&gt;1,
HYPERLINK("#Roadmap!C"&amp; MATCH($E170,Roadmap!$D:$D,0)+COUNTIF($E170:P170,"u")+COUNTIF($E170:P170,"t")+COUNTIF($E170:P170,"¶")+COUNTIF($E170:P170,"²")+COUNTIF($E170:P170,"µ")+COUNTIF($E170:P170,1)-1,INDEX(Roadmap!$D:$K,MATCH($E170,Roadmap!$D:$D,0)-1+COUNTIF($E170:P170,"u")+COUNTIF($E170:P170,"t")+COUNTIF($E170:P170,"¶")+COUNTIF($E170:P170,"²")+COUNTIF($E170:P170,"µ")+COUNTIF($E170:P170,1),ColDescriptionCourte)),""),
  "")),"")</f>
        <v/>
      </c>
      <c r="R170" s="40" t="str">
        <f ca="1">IFERROR(IF(AND(
  INDEX(Roadmap!$D:$K,MATCH($E170,Roadmap!$D:$D,0)+COUNTIF($E170:Q170,"u")+COUNTIF($E170:Q170,"t")+COUNTIF($E170:Q170,"¶")+COUNTIF($E170:Q170,"²")+COUNTIF($E170:Q170,"µ")+COUNTIF($E170:Q170,1),ColLivraison)=R$6,
  VLOOKUP($E170,INDIRECT("tri!"&amp; CHAR(64+ C0Col) &amp;":"&amp; CHAR(65+C0Col)),2,FALSE)&gt;COUNTIF($E170:Q170,"u")+COUNTIF($E170:Q170,"t")+COUNTIF($E170:Q170,"¶")+COUNTIF($E170:Q170,"²")+COUNTIF($E170:Q170,"µ")+COUNTIF($E170:Q170,1)),
HYPERLINK("#Roadmap!C"&amp; MATCH($E170,Roadmap!$D:$D,0)+COUNTIF($E170:Q170,"u")+COUNTIF($E170:Q170,"t"),
     INDEX(Roadmap!$D:$K,MATCH($E170,Roadmap!$D:$D,0)+COUNTIF($E170:Q170,"u")+COUNTIF($E170:Q170,"t")+COUNTIF($E170:Q170,"¶")+COUNTIF($E170:Q170,"²")+COUNTIF($E170:Q170,"µ")+COUNTIF($E170:Q170,1),ColTypeEcheance)),
  IF(LEN(Q170)=1,
  IF(LEN(INDEX(Roadmap!$D:$K,MATCH($E170,Roadmap!$D:$D,0)-1+COUNTIF($E170:Q170,"u")+COUNTIF($E170:Q170,"t")+COUNTIF($E170:Q170,"¶")+COUNTIF($E170:Q170,"²")+COUNTIF($E170:Q170,"µ")+COUNTIF($E170:Q170,1),ColDescriptionCourte))&gt;1,
HYPERLINK("#Roadmap!C"&amp; MATCH($E170,Roadmap!$D:$D,0)+COUNTIF($E170:Q170,"u")+COUNTIF($E170:Q170,"t")+COUNTIF($E170:Q170,"¶")+COUNTIF($E170:Q170,"²")+COUNTIF($E170:Q170,"µ")+COUNTIF($E170:Q170,1)-1,INDEX(Roadmap!$D:$K,MATCH($E170,Roadmap!$D:$D,0)-1+COUNTIF($E170:Q170,"u")+COUNTIF($E170:Q170,"t")+COUNTIF($E170:Q170,"¶")+COUNTIF($E170:Q170,"²")+COUNTIF($E170:Q170,"µ")+COUNTIF($E170:Q170,1),ColDescriptionCourte)),""),
  "")),"")</f>
        <v/>
      </c>
      <c r="S170" s="40" t="str">
        <f ca="1">IFERROR(IF(AND(
  INDEX(Roadmap!$D:$K,MATCH($E170,Roadmap!$D:$D,0)+COUNTIF($E170:R170,"u")+COUNTIF($E170:R170,"t")+COUNTIF($E170:R170,"¶")+COUNTIF($E170:R170,"²")+COUNTIF($E170:R170,"µ")+COUNTIF($E170:R170,1),ColLivraison)=S$6,
  VLOOKUP($E170,INDIRECT("tri!"&amp; CHAR(64+ C0Col) &amp;":"&amp; CHAR(65+C0Col)),2,FALSE)&gt;COUNTIF($E170:R170,"u")+COUNTIF($E170:R170,"t")+COUNTIF($E170:R170,"¶")+COUNTIF($E170:R170,"²")+COUNTIF($E170:R170,"µ")+COUNTIF($E170:R170,1)),
HYPERLINK("#Roadmap!C"&amp; MATCH($E170,Roadmap!$D:$D,0)+COUNTIF($E170:R170,"u")+COUNTIF($E170:R170,"t"),
     INDEX(Roadmap!$D:$K,MATCH($E170,Roadmap!$D:$D,0)+COUNTIF($E170:R170,"u")+COUNTIF($E170:R170,"t")+COUNTIF($E170:R170,"¶")+COUNTIF($E170:R170,"²")+COUNTIF($E170:R170,"µ")+COUNTIF($E170:R170,1),ColTypeEcheance)),
  IF(LEN(R170)=1,
  IF(LEN(INDEX(Roadmap!$D:$K,MATCH($E170,Roadmap!$D:$D,0)-1+COUNTIF($E170:R170,"u")+COUNTIF($E170:R170,"t")+COUNTIF($E170:R170,"¶")+COUNTIF($E170:R170,"²")+COUNTIF($E170:R170,"µ")+COUNTIF($E170:R170,1),ColDescriptionCourte))&gt;1,
HYPERLINK("#Roadmap!C"&amp; MATCH($E170,Roadmap!$D:$D,0)+COUNTIF($E170:R170,"u")+COUNTIF($E170:R170,"t")+COUNTIF($E170:R170,"¶")+COUNTIF($E170:R170,"²")+COUNTIF($E170:R170,"µ")+COUNTIF($E170:R170,1)-1,INDEX(Roadmap!$D:$K,MATCH($E170,Roadmap!$D:$D,0)-1+COUNTIF($E170:R170,"u")+COUNTIF($E170:R170,"t")+COUNTIF($E170:R170,"¶")+COUNTIF($E170:R170,"²")+COUNTIF($E170:R170,"µ")+COUNTIF($E170:R170,1),ColDescriptionCourte)),""),
  "")),"")</f>
        <v/>
      </c>
      <c r="T170" s="40" t="str">
        <f ca="1">IFERROR(IF(AND(
  INDEX(Roadmap!$D:$K,MATCH($E170,Roadmap!$D:$D,0)+COUNTIF($E170:S170,"u")+COUNTIF($E170:S170,"t")+COUNTIF($E170:S170,"¶")+COUNTIF($E170:S170,"²")+COUNTIF($E170:S170,"µ")+COUNTIF($E170:S170,1),ColLivraison)=T$6,
  VLOOKUP($E170,INDIRECT("tri!"&amp; CHAR(64+ C0Col) &amp;":"&amp; CHAR(65+C0Col)),2,FALSE)&gt;COUNTIF($E170:S170,"u")+COUNTIF($E170:S170,"t")+COUNTIF($E170:S170,"¶")+COUNTIF($E170:S170,"²")+COUNTIF($E170:S170,"µ")+COUNTIF($E170:S170,1)),
HYPERLINK("#Roadmap!C"&amp; MATCH($E170,Roadmap!$D:$D,0)+COUNTIF($E170:S170,"u")+COUNTIF($E170:S170,"t"),
     INDEX(Roadmap!$D:$K,MATCH($E170,Roadmap!$D:$D,0)+COUNTIF($E170:S170,"u")+COUNTIF($E170:S170,"t")+COUNTIF($E170:S170,"¶")+COUNTIF($E170:S170,"²")+COUNTIF($E170:S170,"µ")+COUNTIF($E170:S170,1),ColTypeEcheance)),
  IF(LEN(S170)=1,
  IF(LEN(INDEX(Roadmap!$D:$K,MATCH($E170,Roadmap!$D:$D,0)-1+COUNTIF($E170:S170,"u")+COUNTIF($E170:S170,"t")+COUNTIF($E170:S170,"¶")+COUNTIF($E170:S170,"²")+COUNTIF($E170:S170,"µ")+COUNTIF($E170:S170,1),ColDescriptionCourte))&gt;1,
HYPERLINK("#Roadmap!C"&amp; MATCH($E170,Roadmap!$D:$D,0)+COUNTIF($E170:S170,"u")+COUNTIF($E170:S170,"t")+COUNTIF($E170:S170,"¶")+COUNTIF($E170:S170,"²")+COUNTIF($E170:S170,"µ")+COUNTIF($E170:S170,1)-1,INDEX(Roadmap!$D:$K,MATCH($E170,Roadmap!$D:$D,0)-1+COUNTIF($E170:S170,"u")+COUNTIF($E170:S170,"t")+COUNTIF($E170:S170,"¶")+COUNTIF($E170:S170,"²")+COUNTIF($E170:S170,"µ")+COUNTIF($E170:S170,1),ColDescriptionCourte)),""),
  "")),"")</f>
        <v/>
      </c>
      <c r="U170" s="40" t="str">
        <f ca="1">IFERROR(IF(AND(
  INDEX(Roadmap!$D:$K,MATCH($E170,Roadmap!$D:$D,0)+COUNTIF($E170:T170,"u")+COUNTIF($E170:T170,"t")+COUNTIF($E170:T170,"¶")+COUNTIF($E170:T170,"²")+COUNTIF($E170:T170,"µ")+COUNTIF($E170:T170,1),ColLivraison)=U$6,
  VLOOKUP($E170,INDIRECT("tri!"&amp; CHAR(64+ C0Col) &amp;":"&amp; CHAR(65+C0Col)),2,FALSE)&gt;COUNTIF($E170:T170,"u")+COUNTIF($E170:T170,"t")+COUNTIF($E170:T170,"¶")+COUNTIF($E170:T170,"²")+COUNTIF($E170:T170,"µ")+COUNTIF($E170:T170,1)),
HYPERLINK("#Roadmap!C"&amp; MATCH($E170,Roadmap!$D:$D,0)+COUNTIF($E170:T170,"u")+COUNTIF($E170:T170,"t"),
     INDEX(Roadmap!$D:$K,MATCH($E170,Roadmap!$D:$D,0)+COUNTIF($E170:T170,"u")+COUNTIF($E170:T170,"t")+COUNTIF($E170:T170,"¶")+COUNTIF($E170:T170,"²")+COUNTIF($E170:T170,"µ")+COUNTIF($E170:T170,1),ColTypeEcheance)),
  IF(LEN(T170)=1,
  IF(LEN(INDEX(Roadmap!$D:$K,MATCH($E170,Roadmap!$D:$D,0)-1+COUNTIF($E170:T170,"u")+COUNTIF($E170:T170,"t")+COUNTIF($E170:T170,"¶")+COUNTIF($E170:T170,"²")+COUNTIF($E170:T170,"µ")+COUNTIF($E170:T170,1),ColDescriptionCourte))&gt;1,
HYPERLINK("#Roadmap!C"&amp; MATCH($E170,Roadmap!$D:$D,0)+COUNTIF($E170:T170,"u")+COUNTIF($E170:T170,"t")+COUNTIF($E170:T170,"¶")+COUNTIF($E170:T170,"²")+COUNTIF($E170:T170,"µ")+COUNTIF($E170:T170,1)-1,INDEX(Roadmap!$D:$K,MATCH($E170,Roadmap!$D:$D,0)-1+COUNTIF($E170:T170,"u")+COUNTIF($E170:T170,"t")+COUNTIF($E170:T170,"¶")+COUNTIF($E170:T170,"²")+COUNTIF($E170:T170,"µ")+COUNTIF($E170:T170,1),ColDescriptionCourte)),""),
  "")),"")</f>
        <v/>
      </c>
      <c r="V170" s="40" t="str">
        <f ca="1">IFERROR(IF(AND(
  INDEX(Roadmap!$D:$K,MATCH($E170,Roadmap!$D:$D,0)+COUNTIF($E170:U170,"u")+COUNTIF($E170:U170,"t")+COUNTIF($E170:U170,"¶")+COUNTIF($E170:U170,"²")+COUNTIF($E170:U170,"µ")+COUNTIF($E170:U170,1),ColLivraison)=V$6,
  VLOOKUP($E170,INDIRECT("tri!"&amp; CHAR(64+ C0Col) &amp;":"&amp; CHAR(65+C0Col)),2,FALSE)&gt;COUNTIF($E170:U170,"u")+COUNTIF($E170:U170,"t")+COUNTIF($E170:U170,"¶")+COUNTIF($E170:U170,"²")+COUNTIF($E170:U170,"µ")+COUNTIF($E170:U170,1)),
HYPERLINK("#Roadmap!C"&amp; MATCH($E170,Roadmap!$D:$D,0)+COUNTIF($E170:U170,"u")+COUNTIF($E170:U170,"t"),
     INDEX(Roadmap!$D:$K,MATCH($E170,Roadmap!$D:$D,0)+COUNTIF($E170:U170,"u")+COUNTIF($E170:U170,"t")+COUNTIF($E170:U170,"¶")+COUNTIF($E170:U170,"²")+COUNTIF($E170:U170,"µ")+COUNTIF($E170:U170,1),ColTypeEcheance)),
  IF(LEN(U170)=1,
  IF(LEN(INDEX(Roadmap!$D:$K,MATCH($E170,Roadmap!$D:$D,0)-1+COUNTIF($E170:U170,"u")+COUNTIF($E170:U170,"t")+COUNTIF($E170:U170,"¶")+COUNTIF($E170:U170,"²")+COUNTIF($E170:U170,"µ")+COUNTIF($E170:U170,1),ColDescriptionCourte))&gt;1,
HYPERLINK("#Roadmap!C"&amp; MATCH($E170,Roadmap!$D:$D,0)+COUNTIF($E170:U170,"u")+COUNTIF($E170:U170,"t")+COUNTIF($E170:U170,"¶")+COUNTIF($E170:U170,"²")+COUNTIF($E170:U170,"µ")+COUNTIF($E170:U170,1)-1,INDEX(Roadmap!$D:$K,MATCH($E170,Roadmap!$D:$D,0)-1+COUNTIF($E170:U170,"u")+COUNTIF($E170:U170,"t")+COUNTIF($E170:U170,"¶")+COUNTIF($E170:U170,"²")+COUNTIF($E170:U170,"µ")+COUNTIF($E170:U170,1),ColDescriptionCourte)),""),
  "")),"")</f>
        <v/>
      </c>
      <c r="W170" s="40" t="str">
        <f ca="1">IFERROR(IF(AND(
  INDEX(Roadmap!$D:$K,MATCH($E170,Roadmap!$D:$D,0)+COUNTIF($E170:V170,"u")+COUNTIF($E170:V170,"t")+COUNTIF($E170:V170,"¶")+COUNTIF($E170:V170,"²")+COUNTIF($E170:V170,"µ")+COUNTIF($E170:V170,1),ColLivraison)=W$6,
  VLOOKUP($E170,INDIRECT("tri!"&amp; CHAR(64+ C0Col) &amp;":"&amp; CHAR(65+C0Col)),2,FALSE)&gt;COUNTIF($E170:V170,"u")+COUNTIF($E170:V170,"t")+COUNTIF($E170:V170,"¶")+COUNTIF($E170:V170,"²")+COUNTIF($E170:V170,"µ")+COUNTIF($E170:V170,1)),
HYPERLINK("#Roadmap!C"&amp; MATCH($E170,Roadmap!$D:$D,0)+COUNTIF($E170:V170,"u")+COUNTIF($E170:V170,"t"),
     INDEX(Roadmap!$D:$K,MATCH($E170,Roadmap!$D:$D,0)+COUNTIF($E170:V170,"u")+COUNTIF($E170:V170,"t")+COUNTIF($E170:V170,"¶")+COUNTIF($E170:V170,"²")+COUNTIF($E170:V170,"µ")+COUNTIF($E170:V170,1),ColTypeEcheance)),
  IF(LEN(V170)=1,
  IF(LEN(INDEX(Roadmap!$D:$K,MATCH($E170,Roadmap!$D:$D,0)-1+COUNTIF($E170:V170,"u")+COUNTIF($E170:V170,"t")+COUNTIF($E170:V170,"¶")+COUNTIF($E170:V170,"²")+COUNTIF($E170:V170,"µ")+COUNTIF($E170:V170,1),ColDescriptionCourte))&gt;1,
HYPERLINK("#Roadmap!C"&amp; MATCH($E170,Roadmap!$D:$D,0)+COUNTIF($E170:V170,"u")+COUNTIF($E170:V170,"t")+COUNTIF($E170:V170,"¶")+COUNTIF($E170:V170,"²")+COUNTIF($E170:V170,"µ")+COUNTIF($E170:V170,1)-1,INDEX(Roadmap!$D:$K,MATCH($E170,Roadmap!$D:$D,0)-1+COUNTIF($E170:V170,"u")+COUNTIF($E170:V170,"t")+COUNTIF($E170:V170,"¶")+COUNTIF($E170:V170,"²")+COUNTIF($E170:V170,"µ")+COUNTIF($E170:V170,1),ColDescriptionCourte)),""),
  "")),"")</f>
        <v/>
      </c>
      <c r="X170" s="40" t="str">
        <f ca="1">IFERROR(IF(AND(
  INDEX(Roadmap!$D:$K,MATCH($E170,Roadmap!$D:$D,0)+COUNTIF($E170:W170,"u")+COUNTIF($E170:W170,"t")+COUNTIF($E170:W170,"¶")+COUNTIF($E170:W170,"²")+COUNTIF($E170:W170,"µ")+COUNTIF($E170:W170,1),ColLivraison)=X$6,
  VLOOKUP($E170,INDIRECT("tri!"&amp; CHAR(64+ C0Col) &amp;":"&amp; CHAR(65+C0Col)),2,FALSE)&gt;COUNTIF($E170:W170,"u")+COUNTIF($E170:W170,"t")+COUNTIF($E170:W170,"¶")+COUNTIF($E170:W170,"²")+COUNTIF($E170:W170,"µ")+COUNTIF($E170:W170,1)),
HYPERLINK("#Roadmap!C"&amp; MATCH($E170,Roadmap!$D:$D,0)+COUNTIF($E170:W170,"u")+COUNTIF($E170:W170,"t"),
     INDEX(Roadmap!$D:$K,MATCH($E170,Roadmap!$D:$D,0)+COUNTIF($E170:W170,"u")+COUNTIF($E170:W170,"t")+COUNTIF($E170:W170,"¶")+COUNTIF($E170:W170,"²")+COUNTIF($E170:W170,"µ")+COUNTIF($E170:W170,1),ColTypeEcheance)),
  IF(LEN(W170)=1,
  IF(LEN(INDEX(Roadmap!$D:$K,MATCH($E170,Roadmap!$D:$D,0)-1+COUNTIF($E170:W170,"u")+COUNTIF($E170:W170,"t")+COUNTIF($E170:W170,"¶")+COUNTIF($E170:W170,"²")+COUNTIF($E170:W170,"µ")+COUNTIF($E170:W170,1),ColDescriptionCourte))&gt;1,
HYPERLINK("#Roadmap!C"&amp; MATCH($E170,Roadmap!$D:$D,0)+COUNTIF($E170:W170,"u")+COUNTIF($E170:W170,"t")+COUNTIF($E170:W170,"¶")+COUNTIF($E170:W170,"²")+COUNTIF($E170:W170,"µ")+COUNTIF($E170:W170,1)-1,INDEX(Roadmap!$D:$K,MATCH($E170,Roadmap!$D:$D,0)-1+COUNTIF($E170:W170,"u")+COUNTIF($E170:W170,"t")+COUNTIF($E170:W170,"¶")+COUNTIF($E170:W170,"²")+COUNTIF($E170:W170,"µ")+COUNTIF($E170:W170,1),ColDescriptionCourte)),""),
  "")),"")</f>
        <v/>
      </c>
      <c r="Y170" s="40" t="str">
        <f ca="1">IFERROR(IF(AND(
  INDEX(Roadmap!$D:$K,MATCH($E170,Roadmap!$D:$D,0)+COUNTIF($E170:X170,"u")+COUNTIF($E170:X170,"t")+COUNTIF($E170:X170,"¶")+COUNTIF($E170:X170,"²")+COUNTIF($E170:X170,"µ")+COUNTIF($E170:X170,1),ColLivraison)=Y$6,
  VLOOKUP($E170,INDIRECT("tri!"&amp; CHAR(64+ C0Col) &amp;":"&amp; CHAR(65+C0Col)),2,FALSE)&gt;COUNTIF($E170:X170,"u")+COUNTIF($E170:X170,"t")+COUNTIF($E170:X170,"¶")+COUNTIF($E170:X170,"²")+COUNTIF($E170:X170,"µ")+COUNTIF($E170:X170,1)),
HYPERLINK("#Roadmap!C"&amp; MATCH($E170,Roadmap!$D:$D,0)+COUNTIF($E170:X170,"u")+COUNTIF($E170:X170,"t"),
     INDEX(Roadmap!$D:$K,MATCH($E170,Roadmap!$D:$D,0)+COUNTIF($E170:X170,"u")+COUNTIF($E170:X170,"t")+COUNTIF($E170:X170,"¶")+COUNTIF($E170:X170,"²")+COUNTIF($E170:X170,"µ")+COUNTIF($E170:X170,1),ColTypeEcheance)),
  IF(LEN(X170)=1,
  IF(LEN(INDEX(Roadmap!$D:$K,MATCH($E170,Roadmap!$D:$D,0)-1+COUNTIF($E170:X170,"u")+COUNTIF($E170:X170,"t")+COUNTIF($E170:X170,"¶")+COUNTIF($E170:X170,"²")+COUNTIF($E170:X170,"µ")+COUNTIF($E170:X170,1),ColDescriptionCourte))&gt;1,
HYPERLINK("#Roadmap!C"&amp; MATCH($E170,Roadmap!$D:$D,0)+COUNTIF($E170:X170,"u")+COUNTIF($E170:X170,"t")+COUNTIF($E170:X170,"¶")+COUNTIF($E170:X170,"²")+COUNTIF($E170:X170,"µ")+COUNTIF($E170:X170,1)-1,INDEX(Roadmap!$D:$K,MATCH($E170,Roadmap!$D:$D,0)-1+COUNTIF($E170:X170,"u")+COUNTIF($E170:X170,"t")+COUNTIF($E170:X170,"¶")+COUNTIF($E170:X170,"²")+COUNTIF($E170:X170,"µ")+COUNTIF($E170:X170,1),ColDescriptionCourte)),""),
  "")),"")</f>
        <v/>
      </c>
      <c r="Z170" s="40" t="str">
        <f ca="1">IFERROR(IF(AND(
  INDEX(Roadmap!$D:$K,MATCH($E170,Roadmap!$D:$D,0)+COUNTIF($E170:Y170,"u")+COUNTIF($E170:Y170,"t")+COUNTIF($E170:Y170,"¶")+COUNTIF($E170:Y170,"²")+COUNTIF($E170:Y170,"µ")+COUNTIF($E170:Y170,1),ColLivraison)=Z$6,
  VLOOKUP($E170,INDIRECT("tri!"&amp; CHAR(64+ C0Col) &amp;":"&amp; CHAR(65+C0Col)),2,FALSE)&gt;COUNTIF($E170:Y170,"u")+COUNTIF($E170:Y170,"t")+COUNTIF($E170:Y170,"¶")+COUNTIF($E170:Y170,"²")+COUNTIF($E170:Y170,"µ")+COUNTIF($E170:Y170,1)),
HYPERLINK("#Roadmap!C"&amp; MATCH($E170,Roadmap!$D:$D,0)+COUNTIF($E170:Y170,"u")+COUNTIF($E170:Y170,"t"),
     INDEX(Roadmap!$D:$K,MATCH($E170,Roadmap!$D:$D,0)+COUNTIF($E170:Y170,"u")+COUNTIF($E170:Y170,"t")+COUNTIF($E170:Y170,"¶")+COUNTIF($E170:Y170,"²")+COUNTIF($E170:Y170,"µ")+COUNTIF($E170:Y170,1),ColTypeEcheance)),
  IF(LEN(Y170)=1,
  IF(LEN(INDEX(Roadmap!$D:$K,MATCH($E170,Roadmap!$D:$D,0)-1+COUNTIF($E170:Y170,"u")+COUNTIF($E170:Y170,"t")+COUNTIF($E170:Y170,"¶")+COUNTIF($E170:Y170,"²")+COUNTIF($E170:Y170,"µ")+COUNTIF($E170:Y170,1),ColDescriptionCourte))&gt;1,
HYPERLINK("#Roadmap!C"&amp; MATCH($E170,Roadmap!$D:$D,0)+COUNTIF($E170:Y170,"u")+COUNTIF($E170:Y170,"t")+COUNTIF($E170:Y170,"¶")+COUNTIF($E170:Y170,"²")+COUNTIF($E170:Y170,"µ")+COUNTIF($E170:Y170,1)-1,INDEX(Roadmap!$D:$K,MATCH($E170,Roadmap!$D:$D,0)-1+COUNTIF($E170:Y170,"u")+COUNTIF($E170:Y170,"t")+COUNTIF($E170:Y170,"¶")+COUNTIF($E170:Y170,"²")+COUNTIF($E170:Y170,"µ")+COUNTIF($E170:Y170,1),ColDescriptionCourte)),""),
  "")),"")</f>
        <v/>
      </c>
      <c r="AA170" s="40" t="str">
        <f ca="1">IFERROR(IF(AND(
  INDEX(Roadmap!$D:$K,MATCH($E170,Roadmap!$D:$D,0)+COUNTIF($E170:Z170,"u")+COUNTIF($E170:Z170,"t")+COUNTIF($E170:Z170,"¶")+COUNTIF($E170:Z170,"²")+COUNTIF($E170:Z170,"µ")+COUNTIF($E170:Z170,1),ColLivraison)=AA$6,
  VLOOKUP($E170,INDIRECT("tri!"&amp; CHAR(64+ C0Col) &amp;":"&amp; CHAR(65+C0Col)),2,FALSE)&gt;COUNTIF($E170:Z170,"u")+COUNTIF($E170:Z170,"t")+COUNTIF($E170:Z170,"¶")+COUNTIF($E170:Z170,"²")+COUNTIF($E170:Z170,"µ")+COUNTIF($E170:Z170,1)),
HYPERLINK("#Roadmap!C"&amp; MATCH($E170,Roadmap!$D:$D,0)+COUNTIF($E170:Z170,"u")+COUNTIF($E170:Z170,"t"),
     INDEX(Roadmap!$D:$K,MATCH($E170,Roadmap!$D:$D,0)+COUNTIF($E170:Z170,"u")+COUNTIF($E170:Z170,"t")+COUNTIF($E170:Z170,"¶")+COUNTIF($E170:Z170,"²")+COUNTIF($E170:Z170,"µ")+COUNTIF($E170:Z170,1),ColTypeEcheance)),
  IF(LEN(Z170)=1,
  IF(LEN(INDEX(Roadmap!$D:$K,MATCH($E170,Roadmap!$D:$D,0)-1+COUNTIF($E170:Z170,"u")+COUNTIF($E170:Z170,"t")+COUNTIF($E170:Z170,"¶")+COUNTIF($E170:Z170,"²")+COUNTIF($E170:Z170,"µ")+COUNTIF($E170:Z170,1),ColDescriptionCourte))&gt;1,
HYPERLINK("#Roadmap!C"&amp; MATCH($E170,Roadmap!$D:$D,0)+COUNTIF($E170:Z170,"u")+COUNTIF($E170:Z170,"t")+COUNTIF($E170:Z170,"¶")+COUNTIF($E170:Z170,"²")+COUNTIF($E170:Z170,"µ")+COUNTIF($E170:Z170,1)-1,INDEX(Roadmap!$D:$K,MATCH($E170,Roadmap!$D:$D,0)-1+COUNTIF($E170:Z170,"u")+COUNTIF($E170:Z170,"t")+COUNTIF($E170:Z170,"¶")+COUNTIF($E170:Z170,"²")+COUNTIF($E170:Z170,"µ")+COUNTIF($E170:Z170,1),ColDescriptionCourte)),""),
  "")),"")</f>
        <v/>
      </c>
      <c r="AB170" s="40" t="str">
        <f ca="1">IFERROR(IF(AND(
  INDEX(Roadmap!$D:$K,MATCH($E170,Roadmap!$D:$D,0)+COUNTIF($E170:AA170,"u")+COUNTIF($E170:AA170,"t")+COUNTIF($E170:AA170,"¶")+COUNTIF($E170:AA170,"²")+COUNTIF($E170:AA170,"µ")+COUNTIF($E170:AA170,1),ColLivraison)=AB$6,
  VLOOKUP($E170,INDIRECT("tri!"&amp; CHAR(64+ C0Col) &amp;":"&amp; CHAR(65+C0Col)),2,FALSE)&gt;COUNTIF($E170:AA170,"u")+COUNTIF($E170:AA170,"t")+COUNTIF($E170:AA170,"¶")+COUNTIF($E170:AA170,"²")+COUNTIF($E170:AA170,"µ")+COUNTIF($E170:AA170,1)),
HYPERLINK("#Roadmap!C"&amp; MATCH($E170,Roadmap!$D:$D,0)+COUNTIF($E170:AA170,"u")+COUNTIF($E170:AA170,"t"),
     INDEX(Roadmap!$D:$K,MATCH($E170,Roadmap!$D:$D,0)+COUNTIF($E170:AA170,"u")+COUNTIF($E170:AA170,"t")+COUNTIF($E170:AA170,"¶")+COUNTIF($E170:AA170,"²")+COUNTIF($E170:AA170,"µ")+COUNTIF($E170:AA170,1),ColTypeEcheance)),
  IF(LEN(AA170)=1,
  IF(LEN(INDEX(Roadmap!$D:$K,MATCH($E170,Roadmap!$D:$D,0)-1+COUNTIF($E170:AA170,"u")+COUNTIF($E170:AA170,"t")+COUNTIF($E170:AA170,"¶")+COUNTIF($E170:AA170,"²")+COUNTIF($E170:AA170,"µ")+COUNTIF($E170:AA170,1),ColDescriptionCourte))&gt;1,
HYPERLINK("#Roadmap!C"&amp; MATCH($E170,Roadmap!$D:$D,0)+COUNTIF($E170:AA170,"u")+COUNTIF($E170:AA170,"t")+COUNTIF($E170:AA170,"¶")+COUNTIF($E170:AA170,"²")+COUNTIF($E170:AA170,"µ")+COUNTIF($E170:AA170,1)-1,INDEX(Roadmap!$D:$K,MATCH($E170,Roadmap!$D:$D,0)-1+COUNTIF($E170:AA170,"u")+COUNTIF($E170:AA170,"t")+COUNTIF($E170:AA170,"¶")+COUNTIF($E170:AA170,"²")+COUNTIF($E170:AA170,"µ")+COUNTIF($E170:AA170,1),ColDescriptionCourte)),""),
  "")),"")</f>
        <v/>
      </c>
      <c r="AC170" s="40" t="str">
        <f ca="1">IFERROR(IF(AND(
  INDEX(Roadmap!$D:$K,MATCH($E170,Roadmap!$D:$D,0)+COUNTIF($E170:AB170,"u")+COUNTIF($E170:AB170,"t")+COUNTIF($E170:AB170,"¶")+COUNTIF($E170:AB170,"²")+COUNTIF($E170:AB170,"µ")+COUNTIF($E170:AB170,1),ColLivraison)=AC$6,
  VLOOKUP($E170,INDIRECT("tri!"&amp; CHAR(64+ C0Col) &amp;":"&amp; CHAR(65+C0Col)),2,FALSE)&gt;COUNTIF($E170:AB170,"u")+COUNTIF($E170:AB170,"t")+COUNTIF($E170:AB170,"¶")+COUNTIF($E170:AB170,"²")+COUNTIF($E170:AB170,"µ")+COUNTIF($E170:AB170,1)),
HYPERLINK("#Roadmap!C"&amp; MATCH($E170,Roadmap!$D:$D,0)+COUNTIF($E170:AB170,"u")+COUNTIF($E170:AB170,"t"),
     INDEX(Roadmap!$D:$K,MATCH($E170,Roadmap!$D:$D,0)+COUNTIF($E170:AB170,"u")+COUNTIF($E170:AB170,"t")+COUNTIF($E170:AB170,"¶")+COUNTIF($E170:AB170,"²")+COUNTIF($E170:AB170,"µ")+COUNTIF($E170:AB170,1),ColTypeEcheance)),
  IF(LEN(AB170)=1,
  IF(LEN(INDEX(Roadmap!$D:$K,MATCH($E170,Roadmap!$D:$D,0)-1+COUNTIF($E170:AB170,"u")+COUNTIF($E170:AB170,"t")+COUNTIF($E170:AB170,"¶")+COUNTIF($E170:AB170,"²")+COUNTIF($E170:AB170,"µ")+COUNTIF($E170:AB170,1),ColDescriptionCourte))&gt;1,
HYPERLINK("#Roadmap!C"&amp; MATCH($E170,Roadmap!$D:$D,0)+COUNTIF($E170:AB170,"u")+COUNTIF($E170:AB170,"t")+COUNTIF($E170:AB170,"¶")+COUNTIF($E170:AB170,"²")+COUNTIF($E170:AB170,"µ")+COUNTIF($E170:AB170,1)-1,INDEX(Roadmap!$D:$K,MATCH($E170,Roadmap!$D:$D,0)-1+COUNTIF($E170:AB170,"u")+COUNTIF($E170:AB170,"t")+COUNTIF($E170:AB170,"¶")+COUNTIF($E170:AB170,"²")+COUNTIF($E170:AB170,"µ")+COUNTIF($E170:AB170,1),ColDescriptionCourte)),""),
  "")),"")</f>
        <v/>
      </c>
      <c r="AD170" s="40" t="str">
        <f ca="1">IFERROR(IF(AND(
  INDEX(Roadmap!$D:$K,MATCH($E170,Roadmap!$D:$D,0)+COUNTIF($E170:AC170,"u")+COUNTIF($E170:AC170,"t")+COUNTIF($E170:AC170,"¶")+COUNTIF($E170:AC170,"²")+COUNTIF($E170:AC170,"µ")+COUNTIF($E170:AC170,1),ColLivraison)=AD$6,
  VLOOKUP($E170,INDIRECT("tri!"&amp; CHAR(64+ C0Col) &amp;":"&amp; CHAR(65+C0Col)),2,FALSE)&gt;COUNTIF($E170:AC170,"u")+COUNTIF($E170:AC170,"t")+COUNTIF($E170:AC170,"¶")+COUNTIF($E170:AC170,"²")+COUNTIF($E170:AC170,"µ")+COUNTIF($E170:AC170,1)),
HYPERLINK("#Roadmap!C"&amp; MATCH($E170,Roadmap!$D:$D,0)+COUNTIF($E170:AC170,"u")+COUNTIF($E170:AC170,"t"),
     INDEX(Roadmap!$D:$K,MATCH($E170,Roadmap!$D:$D,0)+COUNTIF($E170:AC170,"u")+COUNTIF($E170:AC170,"t")+COUNTIF($E170:AC170,"¶")+COUNTIF($E170:AC170,"²")+COUNTIF($E170:AC170,"µ")+COUNTIF($E170:AC170,1),ColTypeEcheance)),
  IF(LEN(AC170)=1,
  IF(LEN(INDEX(Roadmap!$D:$K,MATCH($E170,Roadmap!$D:$D,0)-1+COUNTIF($E170:AC170,"u")+COUNTIF($E170:AC170,"t")+COUNTIF($E170:AC170,"¶")+COUNTIF($E170:AC170,"²")+COUNTIF($E170:AC170,"µ")+COUNTIF($E170:AC170,1),ColDescriptionCourte))&gt;1,
HYPERLINK("#Roadmap!C"&amp; MATCH($E170,Roadmap!$D:$D,0)+COUNTIF($E170:AC170,"u")+COUNTIF($E170:AC170,"t")+COUNTIF($E170:AC170,"¶")+COUNTIF($E170:AC170,"²")+COUNTIF($E170:AC170,"µ")+COUNTIF($E170:AC170,1)-1,INDEX(Roadmap!$D:$K,MATCH($E170,Roadmap!$D:$D,0)-1+COUNTIF($E170:AC170,"u")+COUNTIF($E170:AC170,"t")+COUNTIF($E170:AC170,"¶")+COUNTIF($E170:AC170,"²")+COUNTIF($E170:AC170,"µ")+COUNTIF($E170:AC170,1),ColDescriptionCourte)),""),
  "")),"")</f>
        <v/>
      </c>
      <c r="AE170" s="40" t="str">
        <f ca="1">IFERROR(IF(AND(
  INDEX(Roadmap!$D:$K,MATCH($E170,Roadmap!$D:$D,0)+COUNTIF($E170:AD170,"u")+COUNTIF($E170:AD170,"t")+COUNTIF($E170:AD170,"¶")+COUNTIF($E170:AD170,"²")+COUNTIF($E170:AD170,"µ")+COUNTIF($E170:AD170,1),ColLivraison)=AE$6,
  VLOOKUP($E170,INDIRECT("tri!"&amp; CHAR(64+ C0Col) &amp;":"&amp; CHAR(65+C0Col)),2,FALSE)&gt;COUNTIF($E170:AD170,"u")+COUNTIF($E170:AD170,"t")+COUNTIF($E170:AD170,"¶")+COUNTIF($E170:AD170,"²")+COUNTIF($E170:AD170,"µ")+COUNTIF($E170:AD170,1)),
HYPERLINK("#Roadmap!C"&amp; MATCH($E170,Roadmap!$D:$D,0)+COUNTIF($E170:AD170,"u")+COUNTIF($E170:AD170,"t"),
     INDEX(Roadmap!$D:$K,MATCH($E170,Roadmap!$D:$D,0)+COUNTIF($E170:AD170,"u")+COUNTIF($E170:AD170,"t")+COUNTIF($E170:AD170,"¶")+COUNTIF($E170:AD170,"²")+COUNTIF($E170:AD170,"µ")+COUNTIF($E170:AD170,1),ColTypeEcheance)),
  IF(LEN(AD170)=1,
  IF(LEN(INDEX(Roadmap!$D:$K,MATCH($E170,Roadmap!$D:$D,0)-1+COUNTIF($E170:AD170,"u")+COUNTIF($E170:AD170,"t")+COUNTIF($E170:AD170,"¶")+COUNTIF($E170:AD170,"²")+COUNTIF($E170:AD170,"µ")+COUNTIF($E170:AD170,1),ColDescriptionCourte))&gt;1,
HYPERLINK("#Roadmap!C"&amp; MATCH($E170,Roadmap!$D:$D,0)+COUNTIF($E170:AD170,"u")+COUNTIF($E170:AD170,"t")+COUNTIF($E170:AD170,"¶")+COUNTIF($E170:AD170,"²")+COUNTIF($E170:AD170,"µ")+COUNTIF($E170:AD170,1)-1,INDEX(Roadmap!$D:$K,MATCH($E170,Roadmap!$D:$D,0)-1+COUNTIF($E170:AD170,"u")+COUNTIF($E170:AD170,"t")+COUNTIF($E170:AD170,"¶")+COUNTIF($E170:AD170,"²")+COUNTIF($E170:AD170,"µ")+COUNTIF($E170:AD170,1),ColDescriptionCourte)),""),
  "")),"")</f>
        <v/>
      </c>
      <c r="AF170" s="40" t="str">
        <f ca="1">IFERROR(IF(AND(
  INDEX(Roadmap!$D:$K,MATCH($E170,Roadmap!$D:$D,0)+COUNTIF($E170:AE170,"u")+COUNTIF($E170:AE170,"t")+COUNTIF($E170:AE170,"¶")+COUNTIF($E170:AE170,"²")+COUNTIF($E170:AE170,"µ")+COUNTIF($E170:AE170,1),ColLivraison)=AF$6,
  VLOOKUP($E170,INDIRECT("tri!"&amp; CHAR(64+ C0Col) &amp;":"&amp; CHAR(65+C0Col)),2,FALSE)&gt;COUNTIF($E170:AE170,"u")+COUNTIF($E170:AE170,"t")+COUNTIF($E170:AE170,"¶")+COUNTIF($E170:AE170,"²")+COUNTIF($E170:AE170,"µ")+COUNTIF($E170:AE170,1)),
HYPERLINK("#Roadmap!C"&amp; MATCH($E170,Roadmap!$D:$D,0)+COUNTIF($E170:AE170,"u")+COUNTIF($E170:AE170,"t"),
     INDEX(Roadmap!$D:$K,MATCH($E170,Roadmap!$D:$D,0)+COUNTIF($E170:AE170,"u")+COUNTIF($E170:AE170,"t")+COUNTIF($E170:AE170,"¶")+COUNTIF($E170:AE170,"²")+COUNTIF($E170:AE170,"µ")+COUNTIF($E170:AE170,1),ColTypeEcheance)),
  IF(LEN(AE170)=1,
  IF(LEN(INDEX(Roadmap!$D:$K,MATCH($E170,Roadmap!$D:$D,0)-1+COUNTIF($E170:AE170,"u")+COUNTIF($E170:AE170,"t")+COUNTIF($E170:AE170,"¶")+COUNTIF($E170:AE170,"²")+COUNTIF($E170:AE170,"µ")+COUNTIF($E170:AE170,1),ColDescriptionCourte))&gt;1,
HYPERLINK("#Roadmap!C"&amp; MATCH($E170,Roadmap!$D:$D,0)+COUNTIF($E170:AE170,"u")+COUNTIF($E170:AE170,"t")+COUNTIF($E170:AE170,"¶")+COUNTIF($E170:AE170,"²")+COUNTIF($E170:AE170,"µ")+COUNTIF($E170:AE170,1)-1,INDEX(Roadmap!$D:$K,MATCH($E170,Roadmap!$D:$D,0)-1+COUNTIF($E170:AE170,"u")+COUNTIF($E170:AE170,"t")+COUNTIF($E170:AE170,"¶")+COUNTIF($E170:AE170,"²")+COUNTIF($E170:AE170,"µ")+COUNTIF($E170:AE170,1),ColDescriptionCourte)),""),
  "")),"")</f>
        <v/>
      </c>
      <c r="AG170" s="40" t="str">
        <f ca="1">IFERROR(IF(AND(
  INDEX(Roadmap!$D:$K,MATCH($E170,Roadmap!$D:$D,0)+COUNTIF($E170:AF170,"u")+COUNTIF($E170:AF170,"t")+COUNTIF($E170:AF170,"¶")+COUNTIF($E170:AF170,"²")+COUNTIF($E170:AF170,"µ")+COUNTIF($E170:AF170,1),ColLivraison)=AG$6,
  VLOOKUP($E170,INDIRECT("tri!"&amp; CHAR(64+ C0Col) &amp;":"&amp; CHAR(65+C0Col)),2,FALSE)&gt;COUNTIF($E170:AF170,"u")+COUNTIF($E170:AF170,"t")+COUNTIF($E170:AF170,"¶")+COUNTIF($E170:AF170,"²")+COUNTIF($E170:AF170,"µ")+COUNTIF($E170:AF170,1)),
HYPERLINK("#Roadmap!C"&amp; MATCH($E170,Roadmap!$D:$D,0)+COUNTIF($E170:AF170,"u")+COUNTIF($E170:AF170,"t"),
     INDEX(Roadmap!$D:$K,MATCH($E170,Roadmap!$D:$D,0)+COUNTIF($E170:AF170,"u")+COUNTIF($E170:AF170,"t")+COUNTIF($E170:AF170,"¶")+COUNTIF($E170:AF170,"²")+COUNTIF($E170:AF170,"µ")+COUNTIF($E170:AF170,1),ColTypeEcheance)),
  IF(LEN(AF170)=1,
  IF(LEN(INDEX(Roadmap!$D:$K,MATCH($E170,Roadmap!$D:$D,0)-1+COUNTIF($E170:AF170,"u")+COUNTIF($E170:AF170,"t")+COUNTIF($E170:AF170,"¶")+COUNTIF($E170:AF170,"²")+COUNTIF($E170:AF170,"µ")+COUNTIF($E170:AF170,1),ColDescriptionCourte))&gt;1,
HYPERLINK("#Roadmap!C"&amp; MATCH($E170,Roadmap!$D:$D,0)+COUNTIF($E170:AF170,"u")+COUNTIF($E170:AF170,"t")+COUNTIF($E170:AF170,"¶")+COUNTIF($E170:AF170,"²")+COUNTIF($E170:AF170,"µ")+COUNTIF($E170:AF170,1)-1,INDEX(Roadmap!$D:$K,MATCH($E170,Roadmap!$D:$D,0)-1+COUNTIF($E170:AF170,"u")+COUNTIF($E170:AF170,"t")+COUNTIF($E170:AF170,"¶")+COUNTIF($E170:AF170,"²")+COUNTIF($E170:AF170,"µ")+COUNTIF($E170:AF170,1),ColDescriptionCourte)),""),
  "")),"")</f>
        <v/>
      </c>
      <c r="AH170" s="40" t="str">
        <f ca="1">IFERROR(IF(AND(
  INDEX(Roadmap!$D:$K,MATCH($E170,Roadmap!$D:$D,0)+COUNTIF($E170:AG170,"u")+COUNTIF($E170:AG170,"t")+COUNTIF($E170:AG170,1),ColLivraison)=AH$6,
  VLOOKUP($E170,INDIRECT("tri!"&amp; CHAR(64+ C0Col) &amp;":"&amp; CHAR(65+C0Col)),2,FALSE)&gt;COUNTIF($E170:AG170,"u")+COUNTIF($E170:AG170,"t")+COUNTIF($E170:AG170,1)),
HYPERLINK("#Roadmap!C"&amp; MATCH($E170,Roadmap!$D:$D,0)+COUNTIF($E170:AG170,"u")+COUNTIF($E170:AG170,"t"),
     INDEX(Roadmap!$D:$K,MATCH($E170,Roadmap!$D:$D,0)+COUNTIF($E170:AG170,"u")+COUNTIF($E170:AG170,"t")+COUNTIF($E170:AG170,1),ColTypeEcheance)),
  IF(OR(AG170="u",AG170="t",AG170=1),
  IF(LEN(INDEX(Roadmap!$D:$K,MATCH($E170,Roadmap!$D:$D,0)-1+COUNTIF($E170:AG170,"u")+COUNTIF($E170:AG170,"t")+COUNTIF($E170:AG170,1),ColDescriptionCourte))&gt;1,
HYPERLINK("#Roadmap!C"&amp; MATCH($E170,Roadmap!$D:$D,0)+COUNTIF($E170:AG170,"u")+COUNTIF($E170:AG170,"t")+COUNTIF($E170:AG170,1)-1,INDEX(Roadmap!$D:$K,MATCH($E170,Roadmap!$D:$D,0)-1+COUNTIF($E170:AG170,"u")+COUNTIF($E170:AG170,"t")+COUNTIF($E170:AG170,1),ColDescriptionCourte)),""),
  "")),"")</f>
        <v/>
      </c>
      <c r="AI170" s="40"/>
      <c r="AJ170" s="40"/>
      <c r="AK170" s="40"/>
      <c r="AL170" s="40"/>
      <c r="AM170" s="40"/>
    </row>
    <row r="171" spans="4:39" ht="14.1" customHeight="1">
      <c r="D171" s="20" t="str">
        <f t="shared" ca="1" si="31"/>
        <v/>
      </c>
      <c r="E171" s="53" t="str">
        <f t="shared" ca="1" si="32"/>
        <v/>
      </c>
      <c r="F171" s="39" t="str">
        <f ca="1">IFERROR(IF(AND(
  INDEX(Roadmap!$D:$K,MATCH($E171,Roadmap!$D:$D,0)+COUNTIF($E171:E171,"u")+COUNTIF($E171:E171,"t")+COUNTIF($E171:E171,"¶")+COUNTIF($E171:E171,"²")+COUNTIF($E171:E171,"µ")+COUNTIF($E171:E171,1),ColLivraison)=F$6,
  VLOOKUP($E171,INDIRECT("tri!"&amp; CHAR(64+ C0Col) &amp;":"&amp; CHAR(65+C0Col)),2,FALSE)&gt;COUNTIF($E171:E171,"u")+COUNTIF($E171:E171,"t")+COUNTIF($E171:E171,"¶")+COUNTIF($E171:E171,"²")+COUNTIF($E171:E171,"µ")+COUNTIF($E171:E171,1)),
HYPERLINK("#Roadmap!C"&amp; MATCH($E171,Roadmap!$D:$D,0)+COUNTIF($E171:E171,"u")+COUNTIF($E171:E171,"t"),
     INDEX(Roadmap!$D:$K,MATCH($E171,Roadmap!$D:$D,0)+COUNTIF($E171:E171,"u")+COUNTIF($E171:E171,"t")+COUNTIF($E171:E171,"¶")+COUNTIF($E171:E171,"²")+COUNTIF($E171:E171,"µ")+COUNTIF($E171:E171,1),ColTypeEcheance)),
  IF(LEN(E171)=1,
  IF(LEN(INDEX(Roadmap!$D:$K,MATCH($E171,Roadmap!$D:$D,0)-1+COUNTIF($E171:E171,"u")+COUNTIF($E171:E171,"t")+COUNTIF($E171:E171,"¶")+COUNTIF($E171:E171,"²")+COUNTIF($E171:E171,"µ")+COUNTIF($E171:E171,1),ColDescriptionCourte))&gt;1,
HYPERLINK("#Roadmap!C"&amp; MATCH($E171,Roadmap!$D:$D,0)+COUNTIF($E171:E171,"u")+COUNTIF($E171:E171,"t")+COUNTIF($E171:E171,"¶")+COUNTIF($E171:E171,"²")+COUNTIF($E171:E171,"µ")+COUNTIF($E171:E171,1)-1,INDEX(Roadmap!$D:$K,MATCH($E171,Roadmap!$D:$D,0)-1+COUNTIF($E171:E171,"u")+COUNTIF($E171:E171,"t")+COUNTIF($E171:E171,"¶")+COUNTIF($E171:E171,"²")+COUNTIF($E171:E171,"µ")+COUNTIF($E171:E171,1),ColDescriptionCourte)),""),
  "")),"")</f>
        <v/>
      </c>
      <c r="G171" s="40" t="str">
        <f ca="1">IFERROR(IF(AND(
  INDEX(Roadmap!$D:$K,MATCH($E171,Roadmap!$D:$D,0)+COUNTIF($E171:F171,"u")+COUNTIF($E171:F171,"t")+COUNTIF($E171:F171,"¶")+COUNTIF($E171:F171,"²")+COUNTIF($E171:F171,"µ")+COUNTIF($E171:F171,1),ColLivraison)=G$6,
  VLOOKUP($E171,INDIRECT("tri!"&amp; CHAR(64+ C0Col) &amp;":"&amp; CHAR(65+C0Col)),2,FALSE)&gt;COUNTIF($E171:F171,"u")+COUNTIF($E171:F171,"t")+COUNTIF($E171:F171,"¶")+COUNTIF($E171:F171,"²")+COUNTIF($E171:F171,"µ")+COUNTIF($E171:F171,1)),
HYPERLINK("#Roadmap!C"&amp; MATCH($E171,Roadmap!$D:$D,0)+COUNTIF($E171:F171,"u")+COUNTIF($E171:F171,"t"),
     INDEX(Roadmap!$D:$K,MATCH($E171,Roadmap!$D:$D,0)+COUNTIF($E171:F171,"u")+COUNTIF($E171:F171,"t")+COUNTIF($E171:F171,"¶")+COUNTIF($E171:F171,"²")+COUNTIF($E171:F171,"µ")+COUNTIF($E171:F171,1),ColTypeEcheance)),
  IF(LEN(F171)=1,
  IF(LEN(INDEX(Roadmap!$D:$K,MATCH($E171,Roadmap!$D:$D,0)-1+COUNTIF($E171:F171,"u")+COUNTIF($E171:F171,"t")+COUNTIF($E171:F171,"¶")+COUNTIF($E171:F171,"²")+COUNTIF($E171:F171,"µ")+COUNTIF($E171:F171,1),ColDescriptionCourte))&gt;1,
HYPERLINK("#Roadmap!C"&amp; MATCH($E171,Roadmap!$D:$D,0)+COUNTIF($E171:F171,"u")+COUNTIF($E171:F171,"t")+COUNTIF($E171:F171,"¶")+COUNTIF($E171:F171,"²")+COUNTIF($E171:F171,"µ")+COUNTIF($E171:F171,1)-1,INDEX(Roadmap!$D:$K,MATCH($E171,Roadmap!$D:$D,0)-1+COUNTIF($E171:F171,"u")+COUNTIF($E171:F171,"t")+COUNTIF($E171:F171,"¶")+COUNTIF($E171:F171,"²")+COUNTIF($E171:F171,"µ")+COUNTIF($E171:F171,1),ColDescriptionCourte)),""),
  "")),"")</f>
        <v/>
      </c>
      <c r="H171" s="40" t="str">
        <f ca="1">IFERROR(IF(AND(
  INDEX(Roadmap!$D:$K,MATCH($E171,Roadmap!$D:$D,0)+COUNTIF($E171:G171,"u")+COUNTIF($E171:G171,"t")+COUNTIF($E171:G171,"¶")+COUNTIF($E171:G171,"²")+COUNTIF($E171:G171,"µ")+COUNTIF($E171:G171,1),ColLivraison)=H$6,
  VLOOKUP($E171,INDIRECT("tri!"&amp; CHAR(64+ C0Col) &amp;":"&amp; CHAR(65+C0Col)),2,FALSE)&gt;COUNTIF($E171:G171,"u")+COUNTIF($E171:G171,"t")+COUNTIF($E171:G171,"¶")+COUNTIF($E171:G171,"²")+COUNTIF($E171:G171,"µ")+COUNTIF($E171:G171,1)),
HYPERLINK("#Roadmap!C"&amp; MATCH($E171,Roadmap!$D:$D,0)+COUNTIF($E171:G171,"u")+COUNTIF($E171:G171,"t"),
     INDEX(Roadmap!$D:$K,MATCH($E171,Roadmap!$D:$D,0)+COUNTIF($E171:G171,"u")+COUNTIF($E171:G171,"t")+COUNTIF($E171:G171,"¶")+COUNTIF($E171:G171,"²")+COUNTIF($E171:G171,"µ")+COUNTIF($E171:G171,1),ColTypeEcheance)),
  IF(LEN(G171)=1,
  IF(LEN(INDEX(Roadmap!$D:$K,MATCH($E171,Roadmap!$D:$D,0)-1+COUNTIF($E171:G171,"u")+COUNTIF($E171:G171,"t")+COUNTIF($E171:G171,"¶")+COUNTIF($E171:G171,"²")+COUNTIF($E171:G171,"µ")+COUNTIF($E171:G171,1),ColDescriptionCourte))&gt;1,
HYPERLINK("#Roadmap!C"&amp; MATCH($E171,Roadmap!$D:$D,0)+COUNTIF($E171:G171,"u")+COUNTIF($E171:G171,"t")+COUNTIF($E171:G171,"¶")+COUNTIF($E171:G171,"²")+COUNTIF($E171:G171,"µ")+COUNTIF($E171:G171,1)-1,INDEX(Roadmap!$D:$K,MATCH($E171,Roadmap!$D:$D,0)-1+COUNTIF($E171:G171,"u")+COUNTIF($E171:G171,"t")+COUNTIF($E171:G171,"¶")+COUNTIF($E171:G171,"²")+COUNTIF($E171:G171,"µ")+COUNTIF($E171:G171,1),ColDescriptionCourte)),""),
  "")),"")</f>
        <v/>
      </c>
      <c r="I171" s="40" t="str">
        <f ca="1">IFERROR(IF(AND(
  INDEX(Roadmap!$D:$K,MATCH($E171,Roadmap!$D:$D,0)+COUNTIF($E171:H171,"u")+COUNTIF($E171:H171,"t")+COUNTIF($E171:H171,"¶")+COUNTIF($E171:H171,"²")+COUNTIF($E171:H171,"µ")+COUNTIF($E171:H171,1),ColLivraison)=I$6,
  VLOOKUP($E171,INDIRECT("tri!"&amp; CHAR(64+ C0Col) &amp;":"&amp; CHAR(65+C0Col)),2,FALSE)&gt;COUNTIF($E171:H171,"u")+COUNTIF($E171:H171,"t")+COUNTIF($E171:H171,"¶")+COUNTIF($E171:H171,"²")+COUNTIF($E171:H171,"µ")+COUNTIF($E171:H171,1)),
HYPERLINK("#Roadmap!C"&amp; MATCH($E171,Roadmap!$D:$D,0)+COUNTIF($E171:H171,"u")+COUNTIF($E171:H171,"t"),
     INDEX(Roadmap!$D:$K,MATCH($E171,Roadmap!$D:$D,0)+COUNTIF($E171:H171,"u")+COUNTIF($E171:H171,"t")+COUNTIF($E171:H171,"¶")+COUNTIF($E171:H171,"²")+COUNTIF($E171:H171,"µ")+COUNTIF($E171:H171,1),ColTypeEcheance)),
  IF(LEN(H171)=1,
  IF(LEN(INDEX(Roadmap!$D:$K,MATCH($E171,Roadmap!$D:$D,0)-1+COUNTIF($E171:H171,"u")+COUNTIF($E171:H171,"t")+COUNTIF($E171:H171,"¶")+COUNTIF($E171:H171,"²")+COUNTIF($E171:H171,"µ")+COUNTIF($E171:H171,1),ColDescriptionCourte))&gt;1,
HYPERLINK("#Roadmap!C"&amp; MATCH($E171,Roadmap!$D:$D,0)+COUNTIF($E171:H171,"u")+COUNTIF($E171:H171,"t")+COUNTIF($E171:H171,"¶")+COUNTIF($E171:H171,"²")+COUNTIF($E171:H171,"µ")+COUNTIF($E171:H171,1)-1,INDEX(Roadmap!$D:$K,MATCH($E171,Roadmap!$D:$D,0)-1+COUNTIF($E171:H171,"u")+COUNTIF($E171:H171,"t")+COUNTIF($E171:H171,"¶")+COUNTIF($E171:H171,"²")+COUNTIF($E171:H171,"µ")+COUNTIF($E171:H171,1),ColDescriptionCourte)),""),
  "")),"")</f>
        <v/>
      </c>
      <c r="J171" s="40" t="str">
        <f ca="1">IFERROR(IF(AND(
  INDEX(Roadmap!$D:$K,MATCH($E171,Roadmap!$D:$D,0)+COUNTIF($E171:I171,"u")+COUNTIF($E171:I171,"t")+COUNTIF($E171:I171,"¶")+COUNTIF($E171:I171,"²")+COUNTIF($E171:I171,"µ")+COUNTIF($E171:I171,1),ColLivraison)=J$6,
  VLOOKUP($E171,INDIRECT("tri!"&amp; CHAR(64+ C0Col) &amp;":"&amp; CHAR(65+C0Col)),2,FALSE)&gt;COUNTIF($E171:I171,"u")+COUNTIF($E171:I171,"t")+COUNTIF($E171:I171,"¶")+COUNTIF($E171:I171,"²")+COUNTIF($E171:I171,"µ")+COUNTIF($E171:I171,1)),
HYPERLINK("#Roadmap!C"&amp; MATCH($E171,Roadmap!$D:$D,0)+COUNTIF($E171:I171,"u")+COUNTIF($E171:I171,"t"),
     INDEX(Roadmap!$D:$K,MATCH($E171,Roadmap!$D:$D,0)+COUNTIF($E171:I171,"u")+COUNTIF($E171:I171,"t")+COUNTIF($E171:I171,"¶")+COUNTIF($E171:I171,"²")+COUNTIF($E171:I171,"µ")+COUNTIF($E171:I171,1),ColTypeEcheance)),
  IF(LEN(I171)=1,
  IF(LEN(INDEX(Roadmap!$D:$K,MATCH($E171,Roadmap!$D:$D,0)-1+COUNTIF($E171:I171,"u")+COUNTIF($E171:I171,"t")+COUNTIF($E171:I171,"¶")+COUNTIF($E171:I171,"²")+COUNTIF($E171:I171,"µ")+COUNTIF($E171:I171,1),ColDescriptionCourte))&gt;1,
HYPERLINK("#Roadmap!C"&amp; MATCH($E171,Roadmap!$D:$D,0)+COUNTIF($E171:I171,"u")+COUNTIF($E171:I171,"t")+COUNTIF($E171:I171,"¶")+COUNTIF($E171:I171,"²")+COUNTIF($E171:I171,"µ")+COUNTIF($E171:I171,1)-1,INDEX(Roadmap!$D:$K,MATCH($E171,Roadmap!$D:$D,0)-1+COUNTIF($E171:I171,"u")+COUNTIF($E171:I171,"t")+COUNTIF($E171:I171,"¶")+COUNTIF($E171:I171,"²")+COUNTIF($E171:I171,"µ")+COUNTIF($E171:I171,1),ColDescriptionCourte)),""),
  "")),"")</f>
        <v/>
      </c>
      <c r="K171" s="40" t="str">
        <f ca="1">IFERROR(IF(AND(
  INDEX(Roadmap!$D:$K,MATCH($E171,Roadmap!$D:$D,0)+COUNTIF($E171:J171,"u")+COUNTIF($E171:J171,"t")+COUNTIF($E171:J171,"¶")+COUNTIF($E171:J171,"²")+COUNTIF($E171:J171,"µ")+COUNTIF($E171:J171,1),ColLivraison)=K$6,
  VLOOKUP($E171,INDIRECT("tri!"&amp; CHAR(64+ C0Col) &amp;":"&amp; CHAR(65+C0Col)),2,FALSE)&gt;COUNTIF($E171:J171,"u")+COUNTIF($E171:J171,"t")+COUNTIF($E171:J171,"¶")+COUNTIF($E171:J171,"²")+COUNTIF($E171:J171,"µ")+COUNTIF($E171:J171,1)),
HYPERLINK("#Roadmap!C"&amp; MATCH($E171,Roadmap!$D:$D,0)+COUNTIF($E171:J171,"u")+COUNTIF($E171:J171,"t"),
     INDEX(Roadmap!$D:$K,MATCH($E171,Roadmap!$D:$D,0)+COUNTIF($E171:J171,"u")+COUNTIF($E171:J171,"t")+COUNTIF($E171:J171,"¶")+COUNTIF($E171:J171,"²")+COUNTIF($E171:J171,"µ")+COUNTIF($E171:J171,1),ColTypeEcheance)),
  IF(LEN(J171)=1,
  IF(LEN(INDEX(Roadmap!$D:$K,MATCH($E171,Roadmap!$D:$D,0)-1+COUNTIF($E171:J171,"u")+COUNTIF($E171:J171,"t")+COUNTIF($E171:J171,"¶")+COUNTIF($E171:J171,"²")+COUNTIF($E171:J171,"µ")+COUNTIF($E171:J171,1),ColDescriptionCourte))&gt;1,
HYPERLINK("#Roadmap!C"&amp; MATCH($E171,Roadmap!$D:$D,0)+COUNTIF($E171:J171,"u")+COUNTIF($E171:J171,"t")+COUNTIF($E171:J171,"¶")+COUNTIF($E171:J171,"²")+COUNTIF($E171:J171,"µ")+COUNTIF($E171:J171,1)-1,INDEX(Roadmap!$D:$K,MATCH($E171,Roadmap!$D:$D,0)-1+COUNTIF($E171:J171,"u")+COUNTIF($E171:J171,"t")+COUNTIF($E171:J171,"¶")+COUNTIF($E171:J171,"²")+COUNTIF($E171:J171,"µ")+COUNTIF($E171:J171,1),ColDescriptionCourte)),""),
  "")),"")</f>
        <v/>
      </c>
      <c r="L171" s="39" t="str">
        <f ca="1">IFERROR(IF(AND(
  INDEX(Roadmap!$D:$K,MATCH($E171,Roadmap!$D:$D,0)+COUNTIF($E171:K171,"u")+COUNTIF($E171:K171,"t")+COUNTIF($E171:K171,"¶")+COUNTIF($E171:K171,"²")+COUNTIF($E171:K171,"µ")+COUNTIF($E171:K171,1),ColLivraison)=L$6,
  VLOOKUP($E171,INDIRECT("tri!"&amp; CHAR(64+ C0Col) &amp;":"&amp; CHAR(65+C0Col)),2,FALSE)&gt;COUNTIF($E171:K171,"u")+COUNTIF($E171:K171,"t")+COUNTIF($E171:K171,"¶")+COUNTIF($E171:K171,"²")+COUNTIF($E171:K171,"µ")+COUNTIF($E171:K171,1)),
HYPERLINK("#Roadmap!C"&amp; MATCH($E171,Roadmap!$D:$D,0)+COUNTIF($E171:K171,"u")+COUNTIF($E171:K171,"t"),
     INDEX(Roadmap!$D:$K,MATCH($E171,Roadmap!$D:$D,0)+COUNTIF($E171:K171,"u")+COUNTIF($E171:K171,"t")+COUNTIF($E171:K171,"¶")+COUNTIF($E171:K171,"²")+COUNTIF($E171:K171,"µ")+COUNTIF($E171:K171,1),ColTypeEcheance)),
  IF(LEN(K171)=1,
  IF(LEN(INDEX(Roadmap!$D:$K,MATCH($E171,Roadmap!$D:$D,0)-1+COUNTIF($E171:K171,"u")+COUNTIF($E171:K171,"t")+COUNTIF($E171:K171,"¶")+COUNTIF($E171:K171,"²")+COUNTIF($E171:K171,"µ")+COUNTIF($E171:K171,1),ColDescriptionCourte))&gt;1,
HYPERLINK("#Roadmap!C"&amp; MATCH($E171,Roadmap!$D:$D,0)+COUNTIF($E171:K171,"u")+COUNTIF($E171:K171,"t")+COUNTIF($E171:K171,"¶")+COUNTIF($E171:K171,"²")+COUNTIF($E171:K171,"µ")+COUNTIF($E171:K171,1)-1,INDEX(Roadmap!$D:$K,MATCH($E171,Roadmap!$D:$D,0)-1+COUNTIF($E171:K171,"u")+COUNTIF($E171:K171,"t")+COUNTIF($E171:K171,"¶")+COUNTIF($E171:K171,"²")+COUNTIF($E171:K171,"µ")+COUNTIF($E171:K171,1),ColDescriptionCourte)),""),
  "")),"")</f>
        <v/>
      </c>
      <c r="M171" s="40" t="str">
        <f ca="1">IFERROR(IF(AND(
  INDEX(Roadmap!$D:$K,MATCH($E171,Roadmap!$D:$D,0)+COUNTIF($E171:L171,"u")+COUNTIF($E171:L171,"t")+COUNTIF($E171:L171,"¶")+COUNTIF($E171:L171,"²")+COUNTIF($E171:L171,"µ")+COUNTIF($E171:L171,1),ColLivraison)=M$6,
  VLOOKUP($E171,INDIRECT("tri!"&amp; CHAR(64+ C0Col) &amp;":"&amp; CHAR(65+C0Col)),2,FALSE)&gt;COUNTIF($E171:L171,"u")+COUNTIF($E171:L171,"t")+COUNTIF($E171:L171,"¶")+COUNTIF($E171:L171,"²")+COUNTIF($E171:L171,"µ")+COUNTIF($E171:L171,1)),
HYPERLINK("#Roadmap!C"&amp; MATCH($E171,Roadmap!$D:$D,0)+COUNTIF($E171:L171,"u")+COUNTIF($E171:L171,"t"),
     INDEX(Roadmap!$D:$K,MATCH($E171,Roadmap!$D:$D,0)+COUNTIF($E171:L171,"u")+COUNTIF($E171:L171,"t")+COUNTIF($E171:L171,"¶")+COUNTIF($E171:L171,"²")+COUNTIF($E171:L171,"µ")+COUNTIF($E171:L171,1),ColTypeEcheance)),
  IF(LEN(L171)=1,
  IF(LEN(INDEX(Roadmap!$D:$K,MATCH($E171,Roadmap!$D:$D,0)-1+COUNTIF($E171:L171,"u")+COUNTIF($E171:L171,"t")+COUNTIF($E171:L171,"¶")+COUNTIF($E171:L171,"²")+COUNTIF($E171:L171,"µ")+COUNTIF($E171:L171,1),ColDescriptionCourte))&gt;1,
HYPERLINK("#Roadmap!C"&amp; MATCH($E171,Roadmap!$D:$D,0)+COUNTIF($E171:L171,"u")+COUNTIF($E171:L171,"t")+COUNTIF($E171:L171,"¶")+COUNTIF($E171:L171,"²")+COUNTIF($E171:L171,"µ")+COUNTIF($E171:L171,1)-1,INDEX(Roadmap!$D:$K,MATCH($E171,Roadmap!$D:$D,0)-1+COUNTIF($E171:L171,"u")+COUNTIF($E171:L171,"t")+COUNTIF($E171:L171,"¶")+COUNTIF($E171:L171,"²")+COUNTIF($E171:L171,"µ")+COUNTIF($E171:L171,1),ColDescriptionCourte)),""),
  "")),"")</f>
        <v/>
      </c>
      <c r="N171" s="40" t="str">
        <f ca="1">IFERROR(IF(AND(
  INDEX(Roadmap!$D:$K,MATCH($E171,Roadmap!$D:$D,0)+COUNTIF($E171:M171,"u")+COUNTIF($E171:M171,"t")+COUNTIF($E171:M171,"¶")+COUNTIF($E171:M171,"²")+COUNTIF($E171:M171,"µ")+COUNTIF($E171:M171,1),ColLivraison)=N$6,
  VLOOKUP($E171,INDIRECT("tri!"&amp; CHAR(64+ C0Col) &amp;":"&amp; CHAR(65+C0Col)),2,FALSE)&gt;COUNTIF($E171:M171,"u")+COUNTIF($E171:M171,"t")+COUNTIF($E171:M171,"¶")+COUNTIF($E171:M171,"²")+COUNTIF($E171:M171,"µ")+COUNTIF($E171:M171,1)),
HYPERLINK("#Roadmap!C"&amp; MATCH($E171,Roadmap!$D:$D,0)+COUNTIF($E171:M171,"u")+COUNTIF($E171:M171,"t"),
     INDEX(Roadmap!$D:$K,MATCH($E171,Roadmap!$D:$D,0)+COUNTIF($E171:M171,"u")+COUNTIF($E171:M171,"t")+COUNTIF($E171:M171,"¶")+COUNTIF($E171:M171,"²")+COUNTIF($E171:M171,"µ")+COUNTIF($E171:M171,1),ColTypeEcheance)),
  IF(LEN(M171)=1,
  IF(LEN(INDEX(Roadmap!$D:$K,MATCH($E171,Roadmap!$D:$D,0)-1+COUNTIF($E171:M171,"u")+COUNTIF($E171:M171,"t")+COUNTIF($E171:M171,"¶")+COUNTIF($E171:M171,"²")+COUNTIF($E171:M171,"µ")+COUNTIF($E171:M171,1),ColDescriptionCourte))&gt;1,
HYPERLINK("#Roadmap!C"&amp; MATCH($E171,Roadmap!$D:$D,0)+COUNTIF($E171:M171,"u")+COUNTIF($E171:M171,"t")+COUNTIF($E171:M171,"¶")+COUNTIF($E171:M171,"²")+COUNTIF($E171:M171,"µ")+COUNTIF($E171:M171,1)-1,INDEX(Roadmap!$D:$K,MATCH($E171,Roadmap!$D:$D,0)-1+COUNTIF($E171:M171,"u")+COUNTIF($E171:M171,"t")+COUNTIF($E171:M171,"¶")+COUNTIF($E171:M171,"²")+COUNTIF($E171:M171,"µ")+COUNTIF($E171:M171,1),ColDescriptionCourte)),""),
  "")),"")</f>
        <v/>
      </c>
      <c r="O171" s="40" t="str">
        <f ca="1">IFERROR(IF(AND(
  INDEX(Roadmap!$D:$K,MATCH($E171,Roadmap!$D:$D,0)+COUNTIF($E171:N171,"u")+COUNTIF($E171:N171,"t")+COUNTIF($E171:N171,"¶")+COUNTIF($E171:N171,"²")+COUNTIF($E171:N171,"µ")+COUNTIF($E171:N171,1),ColLivraison)=O$6,
  VLOOKUP($E171,INDIRECT("tri!"&amp; CHAR(64+ C0Col) &amp;":"&amp; CHAR(65+C0Col)),2,FALSE)&gt;COUNTIF($E171:N171,"u")+COUNTIF($E171:N171,"t")+COUNTIF($E171:N171,"¶")+COUNTIF($E171:N171,"²")+COUNTIF($E171:N171,"µ")+COUNTIF($E171:N171,1)),
HYPERLINK("#Roadmap!C"&amp; MATCH($E171,Roadmap!$D:$D,0)+COUNTIF($E171:N171,"u")+COUNTIF($E171:N171,"t"),
     INDEX(Roadmap!$D:$K,MATCH($E171,Roadmap!$D:$D,0)+COUNTIF($E171:N171,"u")+COUNTIF($E171:N171,"t")+COUNTIF($E171:N171,"¶")+COUNTIF($E171:N171,"²")+COUNTIF($E171:N171,"µ")+COUNTIF($E171:N171,1),ColTypeEcheance)),
  IF(LEN(N171)=1,
  IF(LEN(INDEX(Roadmap!$D:$K,MATCH($E171,Roadmap!$D:$D,0)-1+COUNTIF($E171:N171,"u")+COUNTIF($E171:N171,"t")+COUNTIF($E171:N171,"¶")+COUNTIF($E171:N171,"²")+COUNTIF($E171:N171,"µ")+COUNTIF($E171:N171,1),ColDescriptionCourte))&gt;1,
HYPERLINK("#Roadmap!C"&amp; MATCH($E171,Roadmap!$D:$D,0)+COUNTIF($E171:N171,"u")+COUNTIF($E171:N171,"t")+COUNTIF($E171:N171,"¶")+COUNTIF($E171:N171,"²")+COUNTIF($E171:N171,"µ")+COUNTIF($E171:N171,1)-1,INDEX(Roadmap!$D:$K,MATCH($E171,Roadmap!$D:$D,0)-1+COUNTIF($E171:N171,"u")+COUNTIF($E171:N171,"t")+COUNTIF($E171:N171,"¶")+COUNTIF($E171:N171,"²")+COUNTIF($E171:N171,"µ")+COUNTIF($E171:N171,1),ColDescriptionCourte)),""),
  "")),"")</f>
        <v/>
      </c>
      <c r="P171" s="40" t="str">
        <f ca="1">IFERROR(IF(AND(
  INDEX(Roadmap!$D:$K,MATCH($E171,Roadmap!$D:$D,0)+COUNTIF($E171:O171,"u")+COUNTIF($E171:O171,"t")+COUNTIF($E171:O171,"¶")+COUNTIF($E171:O171,"²")+COUNTIF($E171:O171,"µ")+COUNTIF($E171:O171,1),ColLivraison)=P$6,
  VLOOKUP($E171,INDIRECT("tri!"&amp; CHAR(64+ C0Col) &amp;":"&amp; CHAR(65+C0Col)),2,FALSE)&gt;COUNTIF($E171:O171,"u")+COUNTIF($E171:O171,"t")+COUNTIF($E171:O171,"¶")+COUNTIF($E171:O171,"²")+COUNTIF($E171:O171,"µ")+COUNTIF($E171:O171,1)),
HYPERLINK("#Roadmap!C"&amp; MATCH($E171,Roadmap!$D:$D,0)+COUNTIF($E171:O171,"u")+COUNTIF($E171:O171,"t"),
     INDEX(Roadmap!$D:$K,MATCH($E171,Roadmap!$D:$D,0)+COUNTIF($E171:O171,"u")+COUNTIF($E171:O171,"t")+COUNTIF($E171:O171,"¶")+COUNTIF($E171:O171,"²")+COUNTIF($E171:O171,"µ")+COUNTIF($E171:O171,1),ColTypeEcheance)),
  IF(LEN(O171)=1,
  IF(LEN(INDEX(Roadmap!$D:$K,MATCH($E171,Roadmap!$D:$D,0)-1+COUNTIF($E171:O171,"u")+COUNTIF($E171:O171,"t")+COUNTIF($E171:O171,"¶")+COUNTIF($E171:O171,"²")+COUNTIF($E171:O171,"µ")+COUNTIF($E171:O171,1),ColDescriptionCourte))&gt;1,
HYPERLINK("#Roadmap!C"&amp; MATCH($E171,Roadmap!$D:$D,0)+COUNTIF($E171:O171,"u")+COUNTIF($E171:O171,"t")+COUNTIF($E171:O171,"¶")+COUNTIF($E171:O171,"²")+COUNTIF($E171:O171,"µ")+COUNTIF($E171:O171,1)-1,INDEX(Roadmap!$D:$K,MATCH($E171,Roadmap!$D:$D,0)-1+COUNTIF($E171:O171,"u")+COUNTIF($E171:O171,"t")+COUNTIF($E171:O171,"¶")+COUNTIF($E171:O171,"²")+COUNTIF($E171:O171,"µ")+COUNTIF($E171:O171,1),ColDescriptionCourte)),""),
  "")),"")</f>
        <v/>
      </c>
      <c r="Q171" s="40" t="str">
        <f ca="1">IFERROR(IF(AND(
  INDEX(Roadmap!$D:$K,MATCH($E171,Roadmap!$D:$D,0)+COUNTIF($E171:P171,"u")+COUNTIF($E171:P171,"t")+COUNTIF($E171:P171,"¶")+COUNTIF($E171:P171,"²")+COUNTIF($E171:P171,"µ")+COUNTIF($E171:P171,1),ColLivraison)=Q$6,
  VLOOKUP($E171,INDIRECT("tri!"&amp; CHAR(64+ C0Col) &amp;":"&amp; CHAR(65+C0Col)),2,FALSE)&gt;COUNTIF($E171:P171,"u")+COUNTIF($E171:P171,"t")+COUNTIF($E171:P171,"¶")+COUNTIF($E171:P171,"²")+COUNTIF($E171:P171,"µ")+COUNTIF($E171:P171,1)),
HYPERLINK("#Roadmap!C"&amp; MATCH($E171,Roadmap!$D:$D,0)+COUNTIF($E171:P171,"u")+COUNTIF($E171:P171,"t"),
     INDEX(Roadmap!$D:$K,MATCH($E171,Roadmap!$D:$D,0)+COUNTIF($E171:P171,"u")+COUNTIF($E171:P171,"t")+COUNTIF($E171:P171,"¶")+COUNTIF($E171:P171,"²")+COUNTIF($E171:P171,"µ")+COUNTIF($E171:P171,1),ColTypeEcheance)),
  IF(LEN(P171)=1,
  IF(LEN(INDEX(Roadmap!$D:$K,MATCH($E171,Roadmap!$D:$D,0)-1+COUNTIF($E171:P171,"u")+COUNTIF($E171:P171,"t")+COUNTIF($E171:P171,"¶")+COUNTIF($E171:P171,"²")+COUNTIF($E171:P171,"µ")+COUNTIF($E171:P171,1),ColDescriptionCourte))&gt;1,
HYPERLINK("#Roadmap!C"&amp; MATCH($E171,Roadmap!$D:$D,0)+COUNTIF($E171:P171,"u")+COUNTIF($E171:P171,"t")+COUNTIF($E171:P171,"¶")+COUNTIF($E171:P171,"²")+COUNTIF($E171:P171,"µ")+COUNTIF($E171:P171,1)-1,INDEX(Roadmap!$D:$K,MATCH($E171,Roadmap!$D:$D,0)-1+COUNTIF($E171:P171,"u")+COUNTIF($E171:P171,"t")+COUNTIF($E171:P171,"¶")+COUNTIF($E171:P171,"²")+COUNTIF($E171:P171,"µ")+COUNTIF($E171:P171,1),ColDescriptionCourte)),""),
  "")),"")</f>
        <v/>
      </c>
      <c r="R171" s="40" t="str">
        <f ca="1">IFERROR(IF(AND(
  INDEX(Roadmap!$D:$K,MATCH($E171,Roadmap!$D:$D,0)+COUNTIF($E171:Q171,"u")+COUNTIF($E171:Q171,"t")+COUNTIF($E171:Q171,"¶")+COUNTIF($E171:Q171,"²")+COUNTIF($E171:Q171,"µ")+COUNTIF($E171:Q171,1),ColLivraison)=R$6,
  VLOOKUP($E171,INDIRECT("tri!"&amp; CHAR(64+ C0Col) &amp;":"&amp; CHAR(65+C0Col)),2,FALSE)&gt;COUNTIF($E171:Q171,"u")+COUNTIF($E171:Q171,"t")+COUNTIF($E171:Q171,"¶")+COUNTIF($E171:Q171,"²")+COUNTIF($E171:Q171,"µ")+COUNTIF($E171:Q171,1)),
HYPERLINK("#Roadmap!C"&amp; MATCH($E171,Roadmap!$D:$D,0)+COUNTIF($E171:Q171,"u")+COUNTIF($E171:Q171,"t"),
     INDEX(Roadmap!$D:$K,MATCH($E171,Roadmap!$D:$D,0)+COUNTIF($E171:Q171,"u")+COUNTIF($E171:Q171,"t")+COUNTIF($E171:Q171,"¶")+COUNTIF($E171:Q171,"²")+COUNTIF($E171:Q171,"µ")+COUNTIF($E171:Q171,1),ColTypeEcheance)),
  IF(LEN(Q171)=1,
  IF(LEN(INDEX(Roadmap!$D:$K,MATCH($E171,Roadmap!$D:$D,0)-1+COUNTIF($E171:Q171,"u")+COUNTIF($E171:Q171,"t")+COUNTIF($E171:Q171,"¶")+COUNTIF($E171:Q171,"²")+COUNTIF($E171:Q171,"µ")+COUNTIF($E171:Q171,1),ColDescriptionCourte))&gt;1,
HYPERLINK("#Roadmap!C"&amp; MATCH($E171,Roadmap!$D:$D,0)+COUNTIF($E171:Q171,"u")+COUNTIF($E171:Q171,"t")+COUNTIF($E171:Q171,"¶")+COUNTIF($E171:Q171,"²")+COUNTIF($E171:Q171,"µ")+COUNTIF($E171:Q171,1)-1,INDEX(Roadmap!$D:$K,MATCH($E171,Roadmap!$D:$D,0)-1+COUNTIF($E171:Q171,"u")+COUNTIF($E171:Q171,"t")+COUNTIF($E171:Q171,"¶")+COUNTIF($E171:Q171,"²")+COUNTIF($E171:Q171,"µ")+COUNTIF($E171:Q171,1),ColDescriptionCourte)),""),
  "")),"")</f>
        <v/>
      </c>
      <c r="S171" s="40" t="str">
        <f ca="1">IFERROR(IF(AND(
  INDEX(Roadmap!$D:$K,MATCH($E171,Roadmap!$D:$D,0)+COUNTIF($E171:R171,"u")+COUNTIF($E171:R171,"t")+COUNTIF($E171:R171,"¶")+COUNTIF($E171:R171,"²")+COUNTIF($E171:R171,"µ")+COUNTIF($E171:R171,1),ColLivraison)=S$6,
  VLOOKUP($E171,INDIRECT("tri!"&amp; CHAR(64+ C0Col) &amp;":"&amp; CHAR(65+C0Col)),2,FALSE)&gt;COUNTIF($E171:R171,"u")+COUNTIF($E171:R171,"t")+COUNTIF($E171:R171,"¶")+COUNTIF($E171:R171,"²")+COUNTIF($E171:R171,"µ")+COUNTIF($E171:R171,1)),
HYPERLINK("#Roadmap!C"&amp; MATCH($E171,Roadmap!$D:$D,0)+COUNTIF($E171:R171,"u")+COUNTIF($E171:R171,"t"),
     INDEX(Roadmap!$D:$K,MATCH($E171,Roadmap!$D:$D,0)+COUNTIF($E171:R171,"u")+COUNTIF($E171:R171,"t")+COUNTIF($E171:R171,"¶")+COUNTIF($E171:R171,"²")+COUNTIF($E171:R171,"µ")+COUNTIF($E171:R171,1),ColTypeEcheance)),
  IF(LEN(R171)=1,
  IF(LEN(INDEX(Roadmap!$D:$K,MATCH($E171,Roadmap!$D:$D,0)-1+COUNTIF($E171:R171,"u")+COUNTIF($E171:R171,"t")+COUNTIF($E171:R171,"¶")+COUNTIF($E171:R171,"²")+COUNTIF($E171:R171,"µ")+COUNTIF($E171:R171,1),ColDescriptionCourte))&gt;1,
HYPERLINK("#Roadmap!C"&amp; MATCH($E171,Roadmap!$D:$D,0)+COUNTIF($E171:R171,"u")+COUNTIF($E171:R171,"t")+COUNTIF($E171:R171,"¶")+COUNTIF($E171:R171,"²")+COUNTIF($E171:R171,"µ")+COUNTIF($E171:R171,1)-1,INDEX(Roadmap!$D:$K,MATCH($E171,Roadmap!$D:$D,0)-1+COUNTIF($E171:R171,"u")+COUNTIF($E171:R171,"t")+COUNTIF($E171:R171,"¶")+COUNTIF($E171:R171,"²")+COUNTIF($E171:R171,"µ")+COUNTIF($E171:R171,1),ColDescriptionCourte)),""),
  "")),"")</f>
        <v/>
      </c>
      <c r="T171" s="40" t="str">
        <f ca="1">IFERROR(IF(AND(
  INDEX(Roadmap!$D:$K,MATCH($E171,Roadmap!$D:$D,0)+COUNTIF($E171:S171,"u")+COUNTIF($E171:S171,"t")+COUNTIF($E171:S171,"¶")+COUNTIF($E171:S171,"²")+COUNTIF($E171:S171,"µ")+COUNTIF($E171:S171,1),ColLivraison)=T$6,
  VLOOKUP($E171,INDIRECT("tri!"&amp; CHAR(64+ C0Col) &amp;":"&amp; CHAR(65+C0Col)),2,FALSE)&gt;COUNTIF($E171:S171,"u")+COUNTIF($E171:S171,"t")+COUNTIF($E171:S171,"¶")+COUNTIF($E171:S171,"²")+COUNTIF($E171:S171,"µ")+COUNTIF($E171:S171,1)),
HYPERLINK("#Roadmap!C"&amp; MATCH($E171,Roadmap!$D:$D,0)+COUNTIF($E171:S171,"u")+COUNTIF($E171:S171,"t"),
     INDEX(Roadmap!$D:$K,MATCH($E171,Roadmap!$D:$D,0)+COUNTIF($E171:S171,"u")+COUNTIF($E171:S171,"t")+COUNTIF($E171:S171,"¶")+COUNTIF($E171:S171,"²")+COUNTIF($E171:S171,"µ")+COUNTIF($E171:S171,1),ColTypeEcheance)),
  IF(LEN(S171)=1,
  IF(LEN(INDEX(Roadmap!$D:$K,MATCH($E171,Roadmap!$D:$D,0)-1+COUNTIF($E171:S171,"u")+COUNTIF($E171:S171,"t")+COUNTIF($E171:S171,"¶")+COUNTIF($E171:S171,"²")+COUNTIF($E171:S171,"µ")+COUNTIF($E171:S171,1),ColDescriptionCourte))&gt;1,
HYPERLINK("#Roadmap!C"&amp; MATCH($E171,Roadmap!$D:$D,0)+COUNTIF($E171:S171,"u")+COUNTIF($E171:S171,"t")+COUNTIF($E171:S171,"¶")+COUNTIF($E171:S171,"²")+COUNTIF($E171:S171,"µ")+COUNTIF($E171:S171,1)-1,INDEX(Roadmap!$D:$K,MATCH($E171,Roadmap!$D:$D,0)-1+COUNTIF($E171:S171,"u")+COUNTIF($E171:S171,"t")+COUNTIF($E171:S171,"¶")+COUNTIF($E171:S171,"²")+COUNTIF($E171:S171,"µ")+COUNTIF($E171:S171,1),ColDescriptionCourte)),""),
  "")),"")</f>
        <v/>
      </c>
      <c r="U171" s="40" t="str">
        <f ca="1">IFERROR(IF(AND(
  INDEX(Roadmap!$D:$K,MATCH($E171,Roadmap!$D:$D,0)+COUNTIF($E171:T171,"u")+COUNTIF($E171:T171,"t")+COUNTIF($E171:T171,"¶")+COUNTIF($E171:T171,"²")+COUNTIF($E171:T171,"µ")+COUNTIF($E171:T171,1),ColLivraison)=U$6,
  VLOOKUP($E171,INDIRECT("tri!"&amp; CHAR(64+ C0Col) &amp;":"&amp; CHAR(65+C0Col)),2,FALSE)&gt;COUNTIF($E171:T171,"u")+COUNTIF($E171:T171,"t")+COUNTIF($E171:T171,"¶")+COUNTIF($E171:T171,"²")+COUNTIF($E171:T171,"µ")+COUNTIF($E171:T171,1)),
HYPERLINK("#Roadmap!C"&amp; MATCH($E171,Roadmap!$D:$D,0)+COUNTIF($E171:T171,"u")+COUNTIF($E171:T171,"t"),
     INDEX(Roadmap!$D:$K,MATCH($E171,Roadmap!$D:$D,0)+COUNTIF($E171:T171,"u")+COUNTIF($E171:T171,"t")+COUNTIF($E171:T171,"¶")+COUNTIF($E171:T171,"²")+COUNTIF($E171:T171,"µ")+COUNTIF($E171:T171,1),ColTypeEcheance)),
  IF(LEN(T171)=1,
  IF(LEN(INDEX(Roadmap!$D:$K,MATCH($E171,Roadmap!$D:$D,0)-1+COUNTIF($E171:T171,"u")+COUNTIF($E171:T171,"t")+COUNTIF($E171:T171,"¶")+COUNTIF($E171:T171,"²")+COUNTIF($E171:T171,"µ")+COUNTIF($E171:T171,1),ColDescriptionCourte))&gt;1,
HYPERLINK("#Roadmap!C"&amp; MATCH($E171,Roadmap!$D:$D,0)+COUNTIF($E171:T171,"u")+COUNTIF($E171:T171,"t")+COUNTIF($E171:T171,"¶")+COUNTIF($E171:T171,"²")+COUNTIF($E171:T171,"µ")+COUNTIF($E171:T171,1)-1,INDEX(Roadmap!$D:$K,MATCH($E171,Roadmap!$D:$D,0)-1+COUNTIF($E171:T171,"u")+COUNTIF($E171:T171,"t")+COUNTIF($E171:T171,"¶")+COUNTIF($E171:T171,"²")+COUNTIF($E171:T171,"µ")+COUNTIF($E171:T171,1),ColDescriptionCourte)),""),
  "")),"")</f>
        <v/>
      </c>
      <c r="V171" s="40" t="str">
        <f ca="1">IFERROR(IF(AND(
  INDEX(Roadmap!$D:$K,MATCH($E171,Roadmap!$D:$D,0)+COUNTIF($E171:U171,"u")+COUNTIF($E171:U171,"t")+COUNTIF($E171:U171,"¶")+COUNTIF($E171:U171,"²")+COUNTIF($E171:U171,"µ")+COUNTIF($E171:U171,1),ColLivraison)=V$6,
  VLOOKUP($E171,INDIRECT("tri!"&amp; CHAR(64+ C0Col) &amp;":"&amp; CHAR(65+C0Col)),2,FALSE)&gt;COUNTIF($E171:U171,"u")+COUNTIF($E171:U171,"t")+COUNTIF($E171:U171,"¶")+COUNTIF($E171:U171,"²")+COUNTIF($E171:U171,"µ")+COUNTIF($E171:U171,1)),
HYPERLINK("#Roadmap!C"&amp; MATCH($E171,Roadmap!$D:$D,0)+COUNTIF($E171:U171,"u")+COUNTIF($E171:U171,"t"),
     INDEX(Roadmap!$D:$K,MATCH($E171,Roadmap!$D:$D,0)+COUNTIF($E171:U171,"u")+COUNTIF($E171:U171,"t")+COUNTIF($E171:U171,"¶")+COUNTIF($E171:U171,"²")+COUNTIF($E171:U171,"µ")+COUNTIF($E171:U171,1),ColTypeEcheance)),
  IF(LEN(U171)=1,
  IF(LEN(INDEX(Roadmap!$D:$K,MATCH($E171,Roadmap!$D:$D,0)-1+COUNTIF($E171:U171,"u")+COUNTIF($E171:U171,"t")+COUNTIF($E171:U171,"¶")+COUNTIF($E171:U171,"²")+COUNTIF($E171:U171,"µ")+COUNTIF($E171:U171,1),ColDescriptionCourte))&gt;1,
HYPERLINK("#Roadmap!C"&amp; MATCH($E171,Roadmap!$D:$D,0)+COUNTIF($E171:U171,"u")+COUNTIF($E171:U171,"t")+COUNTIF($E171:U171,"¶")+COUNTIF($E171:U171,"²")+COUNTIF($E171:U171,"µ")+COUNTIF($E171:U171,1)-1,INDEX(Roadmap!$D:$K,MATCH($E171,Roadmap!$D:$D,0)-1+COUNTIF($E171:U171,"u")+COUNTIF($E171:U171,"t")+COUNTIF($E171:U171,"¶")+COUNTIF($E171:U171,"²")+COUNTIF($E171:U171,"µ")+COUNTIF($E171:U171,1),ColDescriptionCourte)),""),
  "")),"")</f>
        <v/>
      </c>
      <c r="W171" s="40" t="str">
        <f ca="1">IFERROR(IF(AND(
  INDEX(Roadmap!$D:$K,MATCH($E171,Roadmap!$D:$D,0)+COUNTIF($E171:V171,"u")+COUNTIF($E171:V171,"t")+COUNTIF($E171:V171,"¶")+COUNTIF($E171:V171,"²")+COUNTIF($E171:V171,"µ")+COUNTIF($E171:V171,1),ColLivraison)=W$6,
  VLOOKUP($E171,INDIRECT("tri!"&amp; CHAR(64+ C0Col) &amp;":"&amp; CHAR(65+C0Col)),2,FALSE)&gt;COUNTIF($E171:V171,"u")+COUNTIF($E171:V171,"t")+COUNTIF($E171:V171,"¶")+COUNTIF($E171:V171,"²")+COUNTIF($E171:V171,"µ")+COUNTIF($E171:V171,1)),
HYPERLINK("#Roadmap!C"&amp; MATCH($E171,Roadmap!$D:$D,0)+COUNTIF($E171:V171,"u")+COUNTIF($E171:V171,"t"),
     INDEX(Roadmap!$D:$K,MATCH($E171,Roadmap!$D:$D,0)+COUNTIF($E171:V171,"u")+COUNTIF($E171:V171,"t")+COUNTIF($E171:V171,"¶")+COUNTIF($E171:V171,"²")+COUNTIF($E171:V171,"µ")+COUNTIF($E171:V171,1),ColTypeEcheance)),
  IF(LEN(V171)=1,
  IF(LEN(INDEX(Roadmap!$D:$K,MATCH($E171,Roadmap!$D:$D,0)-1+COUNTIF($E171:V171,"u")+COUNTIF($E171:V171,"t")+COUNTIF($E171:V171,"¶")+COUNTIF($E171:V171,"²")+COUNTIF($E171:V171,"µ")+COUNTIF($E171:V171,1),ColDescriptionCourte))&gt;1,
HYPERLINK("#Roadmap!C"&amp; MATCH($E171,Roadmap!$D:$D,0)+COUNTIF($E171:V171,"u")+COUNTIF($E171:V171,"t")+COUNTIF($E171:V171,"¶")+COUNTIF($E171:V171,"²")+COUNTIF($E171:V171,"µ")+COUNTIF($E171:V171,1)-1,INDEX(Roadmap!$D:$K,MATCH($E171,Roadmap!$D:$D,0)-1+COUNTIF($E171:V171,"u")+COUNTIF($E171:V171,"t")+COUNTIF($E171:V171,"¶")+COUNTIF($E171:V171,"²")+COUNTIF($E171:V171,"µ")+COUNTIF($E171:V171,1),ColDescriptionCourte)),""),
  "")),"")</f>
        <v/>
      </c>
      <c r="X171" s="40" t="str">
        <f ca="1">IFERROR(IF(AND(
  INDEX(Roadmap!$D:$K,MATCH($E171,Roadmap!$D:$D,0)+COUNTIF($E171:W171,"u")+COUNTIF($E171:W171,"t")+COUNTIF($E171:W171,"¶")+COUNTIF($E171:W171,"²")+COUNTIF($E171:W171,"µ")+COUNTIF($E171:W171,1),ColLivraison)=X$6,
  VLOOKUP($E171,INDIRECT("tri!"&amp; CHAR(64+ C0Col) &amp;":"&amp; CHAR(65+C0Col)),2,FALSE)&gt;COUNTIF($E171:W171,"u")+COUNTIF($E171:W171,"t")+COUNTIF($E171:W171,"¶")+COUNTIF($E171:W171,"²")+COUNTIF($E171:W171,"µ")+COUNTIF($E171:W171,1)),
HYPERLINK("#Roadmap!C"&amp; MATCH($E171,Roadmap!$D:$D,0)+COUNTIF($E171:W171,"u")+COUNTIF($E171:W171,"t"),
     INDEX(Roadmap!$D:$K,MATCH($E171,Roadmap!$D:$D,0)+COUNTIF($E171:W171,"u")+COUNTIF($E171:W171,"t")+COUNTIF($E171:W171,"¶")+COUNTIF($E171:W171,"²")+COUNTIF($E171:W171,"µ")+COUNTIF($E171:W171,1),ColTypeEcheance)),
  IF(LEN(W171)=1,
  IF(LEN(INDEX(Roadmap!$D:$K,MATCH($E171,Roadmap!$D:$D,0)-1+COUNTIF($E171:W171,"u")+COUNTIF($E171:W171,"t")+COUNTIF($E171:W171,"¶")+COUNTIF($E171:W171,"²")+COUNTIF($E171:W171,"µ")+COUNTIF($E171:W171,1),ColDescriptionCourte))&gt;1,
HYPERLINK("#Roadmap!C"&amp; MATCH($E171,Roadmap!$D:$D,0)+COUNTIF($E171:W171,"u")+COUNTIF($E171:W171,"t")+COUNTIF($E171:W171,"¶")+COUNTIF($E171:W171,"²")+COUNTIF($E171:W171,"µ")+COUNTIF($E171:W171,1)-1,INDEX(Roadmap!$D:$K,MATCH($E171,Roadmap!$D:$D,0)-1+COUNTIF($E171:W171,"u")+COUNTIF($E171:W171,"t")+COUNTIF($E171:W171,"¶")+COUNTIF($E171:W171,"²")+COUNTIF($E171:W171,"µ")+COUNTIF($E171:W171,1),ColDescriptionCourte)),""),
  "")),"")</f>
        <v/>
      </c>
      <c r="Y171" s="40" t="str">
        <f ca="1">IFERROR(IF(AND(
  INDEX(Roadmap!$D:$K,MATCH($E171,Roadmap!$D:$D,0)+COUNTIF($E171:X171,"u")+COUNTIF($E171:X171,"t")+COUNTIF($E171:X171,"¶")+COUNTIF($E171:X171,"²")+COUNTIF($E171:X171,"µ")+COUNTIF($E171:X171,1),ColLivraison)=Y$6,
  VLOOKUP($E171,INDIRECT("tri!"&amp; CHAR(64+ C0Col) &amp;":"&amp; CHAR(65+C0Col)),2,FALSE)&gt;COUNTIF($E171:X171,"u")+COUNTIF($E171:X171,"t")+COUNTIF($E171:X171,"¶")+COUNTIF($E171:X171,"²")+COUNTIF($E171:X171,"µ")+COUNTIF($E171:X171,1)),
HYPERLINK("#Roadmap!C"&amp; MATCH($E171,Roadmap!$D:$D,0)+COUNTIF($E171:X171,"u")+COUNTIF($E171:X171,"t"),
     INDEX(Roadmap!$D:$K,MATCH($E171,Roadmap!$D:$D,0)+COUNTIF($E171:X171,"u")+COUNTIF($E171:X171,"t")+COUNTIF($E171:X171,"¶")+COUNTIF($E171:X171,"²")+COUNTIF($E171:X171,"µ")+COUNTIF($E171:X171,1),ColTypeEcheance)),
  IF(LEN(X171)=1,
  IF(LEN(INDEX(Roadmap!$D:$K,MATCH($E171,Roadmap!$D:$D,0)-1+COUNTIF($E171:X171,"u")+COUNTIF($E171:X171,"t")+COUNTIF($E171:X171,"¶")+COUNTIF($E171:X171,"²")+COUNTIF($E171:X171,"µ")+COUNTIF($E171:X171,1),ColDescriptionCourte))&gt;1,
HYPERLINK("#Roadmap!C"&amp; MATCH($E171,Roadmap!$D:$D,0)+COUNTIF($E171:X171,"u")+COUNTIF($E171:X171,"t")+COUNTIF($E171:X171,"¶")+COUNTIF($E171:X171,"²")+COUNTIF($E171:X171,"µ")+COUNTIF($E171:X171,1)-1,INDEX(Roadmap!$D:$K,MATCH($E171,Roadmap!$D:$D,0)-1+COUNTIF($E171:X171,"u")+COUNTIF($E171:X171,"t")+COUNTIF($E171:X171,"¶")+COUNTIF($E171:X171,"²")+COUNTIF($E171:X171,"µ")+COUNTIF($E171:X171,1),ColDescriptionCourte)),""),
  "")),"")</f>
        <v/>
      </c>
      <c r="Z171" s="40" t="str">
        <f ca="1">IFERROR(IF(AND(
  INDEX(Roadmap!$D:$K,MATCH($E171,Roadmap!$D:$D,0)+COUNTIF($E171:Y171,"u")+COUNTIF($E171:Y171,"t")+COUNTIF($E171:Y171,"¶")+COUNTIF($E171:Y171,"²")+COUNTIF($E171:Y171,"µ")+COUNTIF($E171:Y171,1),ColLivraison)=Z$6,
  VLOOKUP($E171,INDIRECT("tri!"&amp; CHAR(64+ C0Col) &amp;":"&amp; CHAR(65+C0Col)),2,FALSE)&gt;COUNTIF($E171:Y171,"u")+COUNTIF($E171:Y171,"t")+COUNTIF($E171:Y171,"¶")+COUNTIF($E171:Y171,"²")+COUNTIF($E171:Y171,"µ")+COUNTIF($E171:Y171,1)),
HYPERLINK("#Roadmap!C"&amp; MATCH($E171,Roadmap!$D:$D,0)+COUNTIF($E171:Y171,"u")+COUNTIF($E171:Y171,"t"),
     INDEX(Roadmap!$D:$K,MATCH($E171,Roadmap!$D:$D,0)+COUNTIF($E171:Y171,"u")+COUNTIF($E171:Y171,"t")+COUNTIF($E171:Y171,"¶")+COUNTIF($E171:Y171,"²")+COUNTIF($E171:Y171,"µ")+COUNTIF($E171:Y171,1),ColTypeEcheance)),
  IF(LEN(Y171)=1,
  IF(LEN(INDEX(Roadmap!$D:$K,MATCH($E171,Roadmap!$D:$D,0)-1+COUNTIF($E171:Y171,"u")+COUNTIF($E171:Y171,"t")+COUNTIF($E171:Y171,"¶")+COUNTIF($E171:Y171,"²")+COUNTIF($E171:Y171,"µ")+COUNTIF($E171:Y171,1),ColDescriptionCourte))&gt;1,
HYPERLINK("#Roadmap!C"&amp; MATCH($E171,Roadmap!$D:$D,0)+COUNTIF($E171:Y171,"u")+COUNTIF($E171:Y171,"t")+COUNTIF($E171:Y171,"¶")+COUNTIF($E171:Y171,"²")+COUNTIF($E171:Y171,"µ")+COUNTIF($E171:Y171,1)-1,INDEX(Roadmap!$D:$K,MATCH($E171,Roadmap!$D:$D,0)-1+COUNTIF($E171:Y171,"u")+COUNTIF($E171:Y171,"t")+COUNTIF($E171:Y171,"¶")+COUNTIF($E171:Y171,"²")+COUNTIF($E171:Y171,"µ")+COUNTIF($E171:Y171,1),ColDescriptionCourte)),""),
  "")),"")</f>
        <v/>
      </c>
      <c r="AA171" s="40" t="str">
        <f ca="1">IFERROR(IF(AND(
  INDEX(Roadmap!$D:$K,MATCH($E171,Roadmap!$D:$D,0)+COUNTIF($E171:Z171,"u")+COUNTIF($E171:Z171,"t")+COUNTIF($E171:Z171,"¶")+COUNTIF($E171:Z171,"²")+COUNTIF($E171:Z171,"µ")+COUNTIF($E171:Z171,1),ColLivraison)=AA$6,
  VLOOKUP($E171,INDIRECT("tri!"&amp; CHAR(64+ C0Col) &amp;":"&amp; CHAR(65+C0Col)),2,FALSE)&gt;COUNTIF($E171:Z171,"u")+COUNTIF($E171:Z171,"t")+COUNTIF($E171:Z171,"¶")+COUNTIF($E171:Z171,"²")+COUNTIF($E171:Z171,"µ")+COUNTIF($E171:Z171,1)),
HYPERLINK("#Roadmap!C"&amp; MATCH($E171,Roadmap!$D:$D,0)+COUNTIF($E171:Z171,"u")+COUNTIF($E171:Z171,"t"),
     INDEX(Roadmap!$D:$K,MATCH($E171,Roadmap!$D:$D,0)+COUNTIF($E171:Z171,"u")+COUNTIF($E171:Z171,"t")+COUNTIF($E171:Z171,"¶")+COUNTIF($E171:Z171,"²")+COUNTIF($E171:Z171,"µ")+COUNTIF($E171:Z171,1),ColTypeEcheance)),
  IF(LEN(Z171)=1,
  IF(LEN(INDEX(Roadmap!$D:$K,MATCH($E171,Roadmap!$D:$D,0)-1+COUNTIF($E171:Z171,"u")+COUNTIF($E171:Z171,"t")+COUNTIF($E171:Z171,"¶")+COUNTIF($E171:Z171,"²")+COUNTIF($E171:Z171,"µ")+COUNTIF($E171:Z171,1),ColDescriptionCourte))&gt;1,
HYPERLINK("#Roadmap!C"&amp; MATCH($E171,Roadmap!$D:$D,0)+COUNTIF($E171:Z171,"u")+COUNTIF($E171:Z171,"t")+COUNTIF($E171:Z171,"¶")+COUNTIF($E171:Z171,"²")+COUNTIF($E171:Z171,"µ")+COUNTIF($E171:Z171,1)-1,INDEX(Roadmap!$D:$K,MATCH($E171,Roadmap!$D:$D,0)-1+COUNTIF($E171:Z171,"u")+COUNTIF($E171:Z171,"t")+COUNTIF($E171:Z171,"¶")+COUNTIF($E171:Z171,"²")+COUNTIF($E171:Z171,"µ")+COUNTIF($E171:Z171,1),ColDescriptionCourte)),""),
  "")),"")</f>
        <v/>
      </c>
      <c r="AB171" s="40" t="str">
        <f ca="1">IFERROR(IF(AND(
  INDEX(Roadmap!$D:$K,MATCH($E171,Roadmap!$D:$D,0)+COUNTIF($E171:AA171,"u")+COUNTIF($E171:AA171,"t")+COUNTIF($E171:AA171,"¶")+COUNTIF($E171:AA171,"²")+COUNTIF($E171:AA171,"µ")+COUNTIF($E171:AA171,1),ColLivraison)=AB$6,
  VLOOKUP($E171,INDIRECT("tri!"&amp; CHAR(64+ C0Col) &amp;":"&amp; CHAR(65+C0Col)),2,FALSE)&gt;COUNTIF($E171:AA171,"u")+COUNTIF($E171:AA171,"t")+COUNTIF($E171:AA171,"¶")+COUNTIF($E171:AA171,"²")+COUNTIF($E171:AA171,"µ")+COUNTIF($E171:AA171,1)),
HYPERLINK("#Roadmap!C"&amp; MATCH($E171,Roadmap!$D:$D,0)+COUNTIF($E171:AA171,"u")+COUNTIF($E171:AA171,"t"),
     INDEX(Roadmap!$D:$K,MATCH($E171,Roadmap!$D:$D,0)+COUNTIF($E171:AA171,"u")+COUNTIF($E171:AA171,"t")+COUNTIF($E171:AA171,"¶")+COUNTIF($E171:AA171,"²")+COUNTIF($E171:AA171,"µ")+COUNTIF($E171:AA171,1),ColTypeEcheance)),
  IF(LEN(AA171)=1,
  IF(LEN(INDEX(Roadmap!$D:$K,MATCH($E171,Roadmap!$D:$D,0)-1+COUNTIF($E171:AA171,"u")+COUNTIF($E171:AA171,"t")+COUNTIF($E171:AA171,"¶")+COUNTIF($E171:AA171,"²")+COUNTIF($E171:AA171,"µ")+COUNTIF($E171:AA171,1),ColDescriptionCourte))&gt;1,
HYPERLINK("#Roadmap!C"&amp; MATCH($E171,Roadmap!$D:$D,0)+COUNTIF($E171:AA171,"u")+COUNTIF($E171:AA171,"t")+COUNTIF($E171:AA171,"¶")+COUNTIF($E171:AA171,"²")+COUNTIF($E171:AA171,"µ")+COUNTIF($E171:AA171,1)-1,INDEX(Roadmap!$D:$K,MATCH($E171,Roadmap!$D:$D,0)-1+COUNTIF($E171:AA171,"u")+COUNTIF($E171:AA171,"t")+COUNTIF($E171:AA171,"¶")+COUNTIF($E171:AA171,"²")+COUNTIF($E171:AA171,"µ")+COUNTIF($E171:AA171,1),ColDescriptionCourte)),""),
  "")),"")</f>
        <v/>
      </c>
      <c r="AC171" s="40" t="str">
        <f ca="1">IFERROR(IF(AND(
  INDEX(Roadmap!$D:$K,MATCH($E171,Roadmap!$D:$D,0)+COUNTIF($E171:AB171,"u")+COUNTIF($E171:AB171,"t")+COUNTIF($E171:AB171,"¶")+COUNTIF($E171:AB171,"²")+COUNTIF($E171:AB171,"µ")+COUNTIF($E171:AB171,1),ColLivraison)=AC$6,
  VLOOKUP($E171,INDIRECT("tri!"&amp; CHAR(64+ C0Col) &amp;":"&amp; CHAR(65+C0Col)),2,FALSE)&gt;COUNTIF($E171:AB171,"u")+COUNTIF($E171:AB171,"t")+COUNTIF($E171:AB171,"¶")+COUNTIF($E171:AB171,"²")+COUNTIF($E171:AB171,"µ")+COUNTIF($E171:AB171,1)),
HYPERLINK("#Roadmap!C"&amp; MATCH($E171,Roadmap!$D:$D,0)+COUNTIF($E171:AB171,"u")+COUNTIF($E171:AB171,"t"),
     INDEX(Roadmap!$D:$K,MATCH($E171,Roadmap!$D:$D,0)+COUNTIF($E171:AB171,"u")+COUNTIF($E171:AB171,"t")+COUNTIF($E171:AB171,"¶")+COUNTIF($E171:AB171,"²")+COUNTIF($E171:AB171,"µ")+COUNTIF($E171:AB171,1),ColTypeEcheance)),
  IF(LEN(AB171)=1,
  IF(LEN(INDEX(Roadmap!$D:$K,MATCH($E171,Roadmap!$D:$D,0)-1+COUNTIF($E171:AB171,"u")+COUNTIF($E171:AB171,"t")+COUNTIF($E171:AB171,"¶")+COUNTIF($E171:AB171,"²")+COUNTIF($E171:AB171,"µ")+COUNTIF($E171:AB171,1),ColDescriptionCourte))&gt;1,
HYPERLINK("#Roadmap!C"&amp; MATCH($E171,Roadmap!$D:$D,0)+COUNTIF($E171:AB171,"u")+COUNTIF($E171:AB171,"t")+COUNTIF($E171:AB171,"¶")+COUNTIF($E171:AB171,"²")+COUNTIF($E171:AB171,"µ")+COUNTIF($E171:AB171,1)-1,INDEX(Roadmap!$D:$K,MATCH($E171,Roadmap!$D:$D,0)-1+COUNTIF($E171:AB171,"u")+COUNTIF($E171:AB171,"t")+COUNTIF($E171:AB171,"¶")+COUNTIF($E171:AB171,"²")+COUNTIF($E171:AB171,"µ")+COUNTIF($E171:AB171,1),ColDescriptionCourte)),""),
  "")),"")</f>
        <v/>
      </c>
      <c r="AD171" s="40" t="str">
        <f ca="1">IFERROR(IF(AND(
  INDEX(Roadmap!$D:$K,MATCH($E171,Roadmap!$D:$D,0)+COUNTIF($E171:AC171,"u")+COUNTIF($E171:AC171,"t")+COUNTIF($E171:AC171,"¶")+COUNTIF($E171:AC171,"²")+COUNTIF($E171:AC171,"µ")+COUNTIF($E171:AC171,1),ColLivraison)=AD$6,
  VLOOKUP($E171,INDIRECT("tri!"&amp; CHAR(64+ C0Col) &amp;":"&amp; CHAR(65+C0Col)),2,FALSE)&gt;COUNTIF($E171:AC171,"u")+COUNTIF($E171:AC171,"t")+COUNTIF($E171:AC171,"¶")+COUNTIF($E171:AC171,"²")+COUNTIF($E171:AC171,"µ")+COUNTIF($E171:AC171,1)),
HYPERLINK("#Roadmap!C"&amp; MATCH($E171,Roadmap!$D:$D,0)+COUNTIF($E171:AC171,"u")+COUNTIF($E171:AC171,"t"),
     INDEX(Roadmap!$D:$K,MATCH($E171,Roadmap!$D:$D,0)+COUNTIF($E171:AC171,"u")+COUNTIF($E171:AC171,"t")+COUNTIF($E171:AC171,"¶")+COUNTIF($E171:AC171,"²")+COUNTIF($E171:AC171,"µ")+COUNTIF($E171:AC171,1),ColTypeEcheance)),
  IF(LEN(AC171)=1,
  IF(LEN(INDEX(Roadmap!$D:$K,MATCH($E171,Roadmap!$D:$D,0)-1+COUNTIF($E171:AC171,"u")+COUNTIF($E171:AC171,"t")+COUNTIF($E171:AC171,"¶")+COUNTIF($E171:AC171,"²")+COUNTIF($E171:AC171,"µ")+COUNTIF($E171:AC171,1),ColDescriptionCourte))&gt;1,
HYPERLINK("#Roadmap!C"&amp; MATCH($E171,Roadmap!$D:$D,0)+COUNTIF($E171:AC171,"u")+COUNTIF($E171:AC171,"t")+COUNTIF($E171:AC171,"¶")+COUNTIF($E171:AC171,"²")+COUNTIF($E171:AC171,"µ")+COUNTIF($E171:AC171,1)-1,INDEX(Roadmap!$D:$K,MATCH($E171,Roadmap!$D:$D,0)-1+COUNTIF($E171:AC171,"u")+COUNTIF($E171:AC171,"t")+COUNTIF($E171:AC171,"¶")+COUNTIF($E171:AC171,"²")+COUNTIF($E171:AC171,"µ")+COUNTIF($E171:AC171,1),ColDescriptionCourte)),""),
  "")),"")</f>
        <v/>
      </c>
      <c r="AE171" s="40" t="str">
        <f ca="1">IFERROR(IF(AND(
  INDEX(Roadmap!$D:$K,MATCH($E171,Roadmap!$D:$D,0)+COUNTIF($E171:AD171,"u")+COUNTIF($E171:AD171,"t")+COUNTIF($E171:AD171,"¶")+COUNTIF($E171:AD171,"²")+COUNTIF($E171:AD171,"µ")+COUNTIF($E171:AD171,1),ColLivraison)=AE$6,
  VLOOKUP($E171,INDIRECT("tri!"&amp; CHAR(64+ C0Col) &amp;":"&amp; CHAR(65+C0Col)),2,FALSE)&gt;COUNTIF($E171:AD171,"u")+COUNTIF($E171:AD171,"t")+COUNTIF($E171:AD171,"¶")+COUNTIF($E171:AD171,"²")+COUNTIF($E171:AD171,"µ")+COUNTIF($E171:AD171,1)),
HYPERLINK("#Roadmap!C"&amp; MATCH($E171,Roadmap!$D:$D,0)+COUNTIF($E171:AD171,"u")+COUNTIF($E171:AD171,"t"),
     INDEX(Roadmap!$D:$K,MATCH($E171,Roadmap!$D:$D,0)+COUNTIF($E171:AD171,"u")+COUNTIF($E171:AD171,"t")+COUNTIF($E171:AD171,"¶")+COUNTIF($E171:AD171,"²")+COUNTIF($E171:AD171,"µ")+COUNTIF($E171:AD171,1),ColTypeEcheance)),
  IF(LEN(AD171)=1,
  IF(LEN(INDEX(Roadmap!$D:$K,MATCH($E171,Roadmap!$D:$D,0)-1+COUNTIF($E171:AD171,"u")+COUNTIF($E171:AD171,"t")+COUNTIF($E171:AD171,"¶")+COUNTIF($E171:AD171,"²")+COUNTIF($E171:AD171,"µ")+COUNTIF($E171:AD171,1),ColDescriptionCourte))&gt;1,
HYPERLINK("#Roadmap!C"&amp; MATCH($E171,Roadmap!$D:$D,0)+COUNTIF($E171:AD171,"u")+COUNTIF($E171:AD171,"t")+COUNTIF($E171:AD171,"¶")+COUNTIF($E171:AD171,"²")+COUNTIF($E171:AD171,"µ")+COUNTIF($E171:AD171,1)-1,INDEX(Roadmap!$D:$K,MATCH($E171,Roadmap!$D:$D,0)-1+COUNTIF($E171:AD171,"u")+COUNTIF($E171:AD171,"t")+COUNTIF($E171:AD171,"¶")+COUNTIF($E171:AD171,"²")+COUNTIF($E171:AD171,"µ")+COUNTIF($E171:AD171,1),ColDescriptionCourte)),""),
  "")),"")</f>
        <v/>
      </c>
      <c r="AF171" s="40" t="str">
        <f ca="1">IFERROR(IF(AND(
  INDEX(Roadmap!$D:$K,MATCH($E171,Roadmap!$D:$D,0)+COUNTIF($E171:AE171,"u")+COUNTIF($E171:AE171,"t")+COUNTIF($E171:AE171,"¶")+COUNTIF($E171:AE171,"²")+COUNTIF($E171:AE171,"µ")+COUNTIF($E171:AE171,1),ColLivraison)=AF$6,
  VLOOKUP($E171,INDIRECT("tri!"&amp; CHAR(64+ C0Col) &amp;":"&amp; CHAR(65+C0Col)),2,FALSE)&gt;COUNTIF($E171:AE171,"u")+COUNTIF($E171:AE171,"t")+COUNTIF($E171:AE171,"¶")+COUNTIF($E171:AE171,"²")+COUNTIF($E171:AE171,"µ")+COUNTIF($E171:AE171,1)),
HYPERLINK("#Roadmap!C"&amp; MATCH($E171,Roadmap!$D:$D,0)+COUNTIF($E171:AE171,"u")+COUNTIF($E171:AE171,"t"),
     INDEX(Roadmap!$D:$K,MATCH($E171,Roadmap!$D:$D,0)+COUNTIF($E171:AE171,"u")+COUNTIF($E171:AE171,"t")+COUNTIF($E171:AE171,"¶")+COUNTIF($E171:AE171,"²")+COUNTIF($E171:AE171,"µ")+COUNTIF($E171:AE171,1),ColTypeEcheance)),
  IF(LEN(AE171)=1,
  IF(LEN(INDEX(Roadmap!$D:$K,MATCH($E171,Roadmap!$D:$D,0)-1+COUNTIF($E171:AE171,"u")+COUNTIF($E171:AE171,"t")+COUNTIF($E171:AE171,"¶")+COUNTIF($E171:AE171,"²")+COUNTIF($E171:AE171,"µ")+COUNTIF($E171:AE171,1),ColDescriptionCourte))&gt;1,
HYPERLINK("#Roadmap!C"&amp; MATCH($E171,Roadmap!$D:$D,0)+COUNTIF($E171:AE171,"u")+COUNTIF($E171:AE171,"t")+COUNTIF($E171:AE171,"¶")+COUNTIF($E171:AE171,"²")+COUNTIF($E171:AE171,"µ")+COUNTIF($E171:AE171,1)-1,INDEX(Roadmap!$D:$K,MATCH($E171,Roadmap!$D:$D,0)-1+COUNTIF($E171:AE171,"u")+COUNTIF($E171:AE171,"t")+COUNTIF($E171:AE171,"¶")+COUNTIF($E171:AE171,"²")+COUNTIF($E171:AE171,"µ")+COUNTIF($E171:AE171,1),ColDescriptionCourte)),""),
  "")),"")</f>
        <v/>
      </c>
      <c r="AG171" s="40" t="str">
        <f ca="1">IFERROR(IF(AND(
  INDEX(Roadmap!$D:$K,MATCH($E171,Roadmap!$D:$D,0)+COUNTIF($E171:AF171,"u")+COUNTIF($E171:AF171,"t")+COUNTIF($E171:AF171,"¶")+COUNTIF($E171:AF171,"²")+COUNTIF($E171:AF171,"µ")+COUNTIF($E171:AF171,1),ColLivraison)=AG$6,
  VLOOKUP($E171,INDIRECT("tri!"&amp; CHAR(64+ C0Col) &amp;":"&amp; CHAR(65+C0Col)),2,FALSE)&gt;COUNTIF($E171:AF171,"u")+COUNTIF($E171:AF171,"t")+COUNTIF($E171:AF171,"¶")+COUNTIF($E171:AF171,"²")+COUNTIF($E171:AF171,"µ")+COUNTIF($E171:AF171,1)),
HYPERLINK("#Roadmap!C"&amp; MATCH($E171,Roadmap!$D:$D,0)+COUNTIF($E171:AF171,"u")+COUNTIF($E171:AF171,"t"),
     INDEX(Roadmap!$D:$K,MATCH($E171,Roadmap!$D:$D,0)+COUNTIF($E171:AF171,"u")+COUNTIF($E171:AF171,"t")+COUNTIF($E171:AF171,"¶")+COUNTIF($E171:AF171,"²")+COUNTIF($E171:AF171,"µ")+COUNTIF($E171:AF171,1),ColTypeEcheance)),
  IF(LEN(AF171)=1,
  IF(LEN(INDEX(Roadmap!$D:$K,MATCH($E171,Roadmap!$D:$D,0)-1+COUNTIF($E171:AF171,"u")+COUNTIF($E171:AF171,"t")+COUNTIF($E171:AF171,"¶")+COUNTIF($E171:AF171,"²")+COUNTIF($E171:AF171,"µ")+COUNTIF($E171:AF171,1),ColDescriptionCourte))&gt;1,
HYPERLINK("#Roadmap!C"&amp; MATCH($E171,Roadmap!$D:$D,0)+COUNTIF($E171:AF171,"u")+COUNTIF($E171:AF171,"t")+COUNTIF($E171:AF171,"¶")+COUNTIF($E171:AF171,"²")+COUNTIF($E171:AF171,"µ")+COUNTIF($E171:AF171,1)-1,INDEX(Roadmap!$D:$K,MATCH($E171,Roadmap!$D:$D,0)-1+COUNTIF($E171:AF171,"u")+COUNTIF($E171:AF171,"t")+COUNTIF($E171:AF171,"¶")+COUNTIF($E171:AF171,"²")+COUNTIF($E171:AF171,"µ")+COUNTIF($E171:AF171,1),ColDescriptionCourte)),""),
  "")),"")</f>
        <v/>
      </c>
      <c r="AH171" s="40" t="str">
        <f ca="1">IFERROR(IF(AND(
  INDEX(Roadmap!$D:$K,MATCH($E171,Roadmap!$D:$D,0)+COUNTIF($E171:AG171,"u")+COUNTIF($E171:AG171,"t")+COUNTIF($E171:AG171,1),ColLivraison)=AH$6,
  VLOOKUP($E171,INDIRECT("tri!"&amp; CHAR(64+ C0Col) &amp;":"&amp; CHAR(65+C0Col)),2,FALSE)&gt;COUNTIF($E171:AG171,"u")+COUNTIF($E171:AG171,"t")+COUNTIF($E171:AG171,1)),
HYPERLINK("#Roadmap!C"&amp; MATCH($E171,Roadmap!$D:$D,0)+COUNTIF($E171:AG171,"u")+COUNTIF($E171:AG171,"t"),
     INDEX(Roadmap!$D:$K,MATCH($E171,Roadmap!$D:$D,0)+COUNTIF($E171:AG171,"u")+COUNTIF($E171:AG171,"t")+COUNTIF($E171:AG171,1),ColTypeEcheance)),
  IF(OR(AG171="u",AG171="t",AG171=1),
  IF(LEN(INDEX(Roadmap!$D:$K,MATCH($E171,Roadmap!$D:$D,0)-1+COUNTIF($E171:AG171,"u")+COUNTIF($E171:AG171,"t")+COUNTIF($E171:AG171,1),ColDescriptionCourte))&gt;1,
HYPERLINK("#Roadmap!C"&amp; MATCH($E171,Roadmap!$D:$D,0)+COUNTIF($E171:AG171,"u")+COUNTIF($E171:AG171,"t")+COUNTIF($E171:AG171,1)-1,INDEX(Roadmap!$D:$K,MATCH($E171,Roadmap!$D:$D,0)-1+COUNTIF($E171:AG171,"u")+COUNTIF($E171:AG171,"t")+COUNTIF($E171:AG171,1),ColDescriptionCourte)),""),
  "")),"")</f>
        <v/>
      </c>
      <c r="AI171" s="40"/>
      <c r="AJ171" s="40"/>
      <c r="AK171" s="40"/>
      <c r="AL171" s="40"/>
      <c r="AM171" s="40"/>
    </row>
    <row r="172" spans="4:39" ht="14.1" customHeight="1">
      <c r="D172" s="20" t="str">
        <f t="shared" ca="1" si="31"/>
        <v/>
      </c>
      <c r="E172" s="53" t="str">
        <f t="shared" ca="1" si="32"/>
        <v/>
      </c>
      <c r="F172" s="39" t="str">
        <f ca="1">IFERROR(IF(AND(
  INDEX(Roadmap!$D:$K,MATCH($E172,Roadmap!$D:$D,0)+COUNTIF($E172:E172,"u")+COUNTIF($E172:E172,"t")+COUNTIF($E172:E172,"¶")+COUNTIF($E172:E172,"²")+COUNTIF($E172:E172,"µ")+COUNTIF($E172:E172,1),ColLivraison)=F$6,
  VLOOKUP($E172,INDIRECT("tri!"&amp; CHAR(64+ C0Col) &amp;":"&amp; CHAR(65+C0Col)),2,FALSE)&gt;COUNTIF($E172:E172,"u")+COUNTIF($E172:E172,"t")+COUNTIF($E172:E172,"¶")+COUNTIF($E172:E172,"²")+COUNTIF($E172:E172,"µ")+COUNTIF($E172:E172,1)),
HYPERLINK("#Roadmap!C"&amp; MATCH($E172,Roadmap!$D:$D,0)+COUNTIF($E172:E172,"u")+COUNTIF($E172:E172,"t"),
     INDEX(Roadmap!$D:$K,MATCH($E172,Roadmap!$D:$D,0)+COUNTIF($E172:E172,"u")+COUNTIF($E172:E172,"t")+COUNTIF($E172:E172,"¶")+COUNTIF($E172:E172,"²")+COUNTIF($E172:E172,"µ")+COUNTIF($E172:E172,1),ColTypeEcheance)),
  IF(LEN(E172)=1,
  IF(LEN(INDEX(Roadmap!$D:$K,MATCH($E172,Roadmap!$D:$D,0)-1+COUNTIF($E172:E172,"u")+COUNTIF($E172:E172,"t")+COUNTIF($E172:E172,"¶")+COUNTIF($E172:E172,"²")+COUNTIF($E172:E172,"µ")+COUNTIF($E172:E172,1),ColDescriptionCourte))&gt;1,
HYPERLINK("#Roadmap!C"&amp; MATCH($E172,Roadmap!$D:$D,0)+COUNTIF($E172:E172,"u")+COUNTIF($E172:E172,"t")+COUNTIF($E172:E172,"¶")+COUNTIF($E172:E172,"²")+COUNTIF($E172:E172,"µ")+COUNTIF($E172:E172,1)-1,INDEX(Roadmap!$D:$K,MATCH($E172,Roadmap!$D:$D,0)-1+COUNTIF($E172:E172,"u")+COUNTIF($E172:E172,"t")+COUNTIF($E172:E172,"¶")+COUNTIF($E172:E172,"²")+COUNTIF($E172:E172,"µ")+COUNTIF($E172:E172,1),ColDescriptionCourte)),""),
  "")),"")</f>
        <v/>
      </c>
      <c r="G172" s="40" t="str">
        <f ca="1">IFERROR(IF(AND(
  INDEX(Roadmap!$D:$K,MATCH($E172,Roadmap!$D:$D,0)+COUNTIF($E172:F172,"u")+COUNTIF($E172:F172,"t")+COUNTIF($E172:F172,"¶")+COUNTIF($E172:F172,"²")+COUNTIF($E172:F172,"µ")+COUNTIF($E172:F172,1),ColLivraison)=G$6,
  VLOOKUP($E172,INDIRECT("tri!"&amp; CHAR(64+ C0Col) &amp;":"&amp; CHAR(65+C0Col)),2,FALSE)&gt;COUNTIF($E172:F172,"u")+COUNTIF($E172:F172,"t")+COUNTIF($E172:F172,"¶")+COUNTIF($E172:F172,"²")+COUNTIF($E172:F172,"µ")+COUNTIF($E172:F172,1)),
HYPERLINK("#Roadmap!C"&amp; MATCH($E172,Roadmap!$D:$D,0)+COUNTIF($E172:F172,"u")+COUNTIF($E172:F172,"t"),
     INDEX(Roadmap!$D:$K,MATCH($E172,Roadmap!$D:$D,0)+COUNTIF($E172:F172,"u")+COUNTIF($E172:F172,"t")+COUNTIF($E172:F172,"¶")+COUNTIF($E172:F172,"²")+COUNTIF($E172:F172,"µ")+COUNTIF($E172:F172,1),ColTypeEcheance)),
  IF(LEN(F172)=1,
  IF(LEN(INDEX(Roadmap!$D:$K,MATCH($E172,Roadmap!$D:$D,0)-1+COUNTIF($E172:F172,"u")+COUNTIF($E172:F172,"t")+COUNTIF($E172:F172,"¶")+COUNTIF($E172:F172,"²")+COUNTIF($E172:F172,"µ")+COUNTIF($E172:F172,1),ColDescriptionCourte))&gt;1,
HYPERLINK("#Roadmap!C"&amp; MATCH($E172,Roadmap!$D:$D,0)+COUNTIF($E172:F172,"u")+COUNTIF($E172:F172,"t")+COUNTIF($E172:F172,"¶")+COUNTIF($E172:F172,"²")+COUNTIF($E172:F172,"µ")+COUNTIF($E172:F172,1)-1,INDEX(Roadmap!$D:$K,MATCH($E172,Roadmap!$D:$D,0)-1+COUNTIF($E172:F172,"u")+COUNTIF($E172:F172,"t")+COUNTIF($E172:F172,"¶")+COUNTIF($E172:F172,"²")+COUNTIF($E172:F172,"µ")+COUNTIF($E172:F172,1),ColDescriptionCourte)),""),
  "")),"")</f>
        <v/>
      </c>
      <c r="H172" s="40" t="str">
        <f ca="1">IFERROR(IF(AND(
  INDEX(Roadmap!$D:$K,MATCH($E172,Roadmap!$D:$D,0)+COUNTIF($E172:G172,"u")+COUNTIF($E172:G172,"t")+COUNTIF($E172:G172,"¶")+COUNTIF($E172:G172,"²")+COUNTIF($E172:G172,"µ")+COUNTIF($E172:G172,1),ColLivraison)=H$6,
  VLOOKUP($E172,INDIRECT("tri!"&amp; CHAR(64+ C0Col) &amp;":"&amp; CHAR(65+C0Col)),2,FALSE)&gt;COUNTIF($E172:G172,"u")+COUNTIF($E172:G172,"t")+COUNTIF($E172:G172,"¶")+COUNTIF($E172:G172,"²")+COUNTIF($E172:G172,"µ")+COUNTIF($E172:G172,1)),
HYPERLINK("#Roadmap!C"&amp; MATCH($E172,Roadmap!$D:$D,0)+COUNTIF($E172:G172,"u")+COUNTIF($E172:G172,"t"),
     INDEX(Roadmap!$D:$K,MATCH($E172,Roadmap!$D:$D,0)+COUNTIF($E172:G172,"u")+COUNTIF($E172:G172,"t")+COUNTIF($E172:G172,"¶")+COUNTIF($E172:G172,"²")+COUNTIF($E172:G172,"µ")+COUNTIF($E172:G172,1),ColTypeEcheance)),
  IF(LEN(G172)=1,
  IF(LEN(INDEX(Roadmap!$D:$K,MATCH($E172,Roadmap!$D:$D,0)-1+COUNTIF($E172:G172,"u")+COUNTIF($E172:G172,"t")+COUNTIF($E172:G172,"¶")+COUNTIF($E172:G172,"²")+COUNTIF($E172:G172,"µ")+COUNTIF($E172:G172,1),ColDescriptionCourte))&gt;1,
HYPERLINK("#Roadmap!C"&amp; MATCH($E172,Roadmap!$D:$D,0)+COUNTIF($E172:G172,"u")+COUNTIF($E172:G172,"t")+COUNTIF($E172:G172,"¶")+COUNTIF($E172:G172,"²")+COUNTIF($E172:G172,"µ")+COUNTIF($E172:G172,1)-1,INDEX(Roadmap!$D:$K,MATCH($E172,Roadmap!$D:$D,0)-1+COUNTIF($E172:G172,"u")+COUNTIF($E172:G172,"t")+COUNTIF($E172:G172,"¶")+COUNTIF($E172:G172,"²")+COUNTIF($E172:G172,"µ")+COUNTIF($E172:G172,1),ColDescriptionCourte)),""),
  "")),"")</f>
        <v/>
      </c>
      <c r="I172" s="40" t="str">
        <f ca="1">IFERROR(IF(AND(
  INDEX(Roadmap!$D:$K,MATCH($E172,Roadmap!$D:$D,0)+COUNTIF($E172:H172,"u")+COUNTIF($E172:H172,"t")+COUNTIF($E172:H172,"¶")+COUNTIF($E172:H172,"²")+COUNTIF($E172:H172,"µ")+COUNTIF($E172:H172,1),ColLivraison)=I$6,
  VLOOKUP($E172,INDIRECT("tri!"&amp; CHAR(64+ C0Col) &amp;":"&amp; CHAR(65+C0Col)),2,FALSE)&gt;COUNTIF($E172:H172,"u")+COUNTIF($E172:H172,"t")+COUNTIF($E172:H172,"¶")+COUNTIF($E172:H172,"²")+COUNTIF($E172:H172,"µ")+COUNTIF($E172:H172,1)),
HYPERLINK("#Roadmap!C"&amp; MATCH($E172,Roadmap!$D:$D,0)+COUNTIF($E172:H172,"u")+COUNTIF($E172:H172,"t"),
     INDEX(Roadmap!$D:$K,MATCH($E172,Roadmap!$D:$D,0)+COUNTIF($E172:H172,"u")+COUNTIF($E172:H172,"t")+COUNTIF($E172:H172,"¶")+COUNTIF($E172:H172,"²")+COUNTIF($E172:H172,"µ")+COUNTIF($E172:H172,1),ColTypeEcheance)),
  IF(LEN(H172)=1,
  IF(LEN(INDEX(Roadmap!$D:$K,MATCH($E172,Roadmap!$D:$D,0)-1+COUNTIF($E172:H172,"u")+COUNTIF($E172:H172,"t")+COUNTIF($E172:H172,"¶")+COUNTIF($E172:H172,"²")+COUNTIF($E172:H172,"µ")+COUNTIF($E172:H172,1),ColDescriptionCourte))&gt;1,
HYPERLINK("#Roadmap!C"&amp; MATCH($E172,Roadmap!$D:$D,0)+COUNTIF($E172:H172,"u")+COUNTIF($E172:H172,"t")+COUNTIF($E172:H172,"¶")+COUNTIF($E172:H172,"²")+COUNTIF($E172:H172,"µ")+COUNTIF($E172:H172,1)-1,INDEX(Roadmap!$D:$K,MATCH($E172,Roadmap!$D:$D,0)-1+COUNTIF($E172:H172,"u")+COUNTIF($E172:H172,"t")+COUNTIF($E172:H172,"¶")+COUNTIF($E172:H172,"²")+COUNTIF($E172:H172,"µ")+COUNTIF($E172:H172,1),ColDescriptionCourte)),""),
  "")),"")</f>
        <v/>
      </c>
      <c r="J172" s="40" t="str">
        <f ca="1">IFERROR(IF(AND(
  INDEX(Roadmap!$D:$K,MATCH($E172,Roadmap!$D:$D,0)+COUNTIF($E172:I172,"u")+COUNTIF($E172:I172,"t")+COUNTIF($E172:I172,"¶")+COUNTIF($E172:I172,"²")+COUNTIF($E172:I172,"µ")+COUNTIF($E172:I172,1),ColLivraison)=J$6,
  VLOOKUP($E172,INDIRECT("tri!"&amp; CHAR(64+ C0Col) &amp;":"&amp; CHAR(65+C0Col)),2,FALSE)&gt;COUNTIF($E172:I172,"u")+COUNTIF($E172:I172,"t")+COUNTIF($E172:I172,"¶")+COUNTIF($E172:I172,"²")+COUNTIF($E172:I172,"µ")+COUNTIF($E172:I172,1)),
HYPERLINK("#Roadmap!C"&amp; MATCH($E172,Roadmap!$D:$D,0)+COUNTIF($E172:I172,"u")+COUNTIF($E172:I172,"t"),
     INDEX(Roadmap!$D:$K,MATCH($E172,Roadmap!$D:$D,0)+COUNTIF($E172:I172,"u")+COUNTIF($E172:I172,"t")+COUNTIF($E172:I172,"¶")+COUNTIF($E172:I172,"²")+COUNTIF($E172:I172,"µ")+COUNTIF($E172:I172,1),ColTypeEcheance)),
  IF(LEN(I172)=1,
  IF(LEN(INDEX(Roadmap!$D:$K,MATCH($E172,Roadmap!$D:$D,0)-1+COUNTIF($E172:I172,"u")+COUNTIF($E172:I172,"t")+COUNTIF($E172:I172,"¶")+COUNTIF($E172:I172,"²")+COUNTIF($E172:I172,"µ")+COUNTIF($E172:I172,1),ColDescriptionCourte))&gt;1,
HYPERLINK("#Roadmap!C"&amp; MATCH($E172,Roadmap!$D:$D,0)+COUNTIF($E172:I172,"u")+COUNTIF($E172:I172,"t")+COUNTIF($E172:I172,"¶")+COUNTIF($E172:I172,"²")+COUNTIF($E172:I172,"µ")+COUNTIF($E172:I172,1)-1,INDEX(Roadmap!$D:$K,MATCH($E172,Roadmap!$D:$D,0)-1+COUNTIF($E172:I172,"u")+COUNTIF($E172:I172,"t")+COUNTIF($E172:I172,"¶")+COUNTIF($E172:I172,"²")+COUNTIF($E172:I172,"µ")+COUNTIF($E172:I172,1),ColDescriptionCourte)),""),
  "")),"")</f>
        <v/>
      </c>
      <c r="K172" s="40" t="str">
        <f ca="1">IFERROR(IF(AND(
  INDEX(Roadmap!$D:$K,MATCH($E172,Roadmap!$D:$D,0)+COUNTIF($E172:J172,"u")+COUNTIF($E172:J172,"t")+COUNTIF($E172:J172,"¶")+COUNTIF($E172:J172,"²")+COUNTIF($E172:J172,"µ")+COUNTIF($E172:J172,1),ColLivraison)=K$6,
  VLOOKUP($E172,INDIRECT("tri!"&amp; CHAR(64+ C0Col) &amp;":"&amp; CHAR(65+C0Col)),2,FALSE)&gt;COUNTIF($E172:J172,"u")+COUNTIF($E172:J172,"t")+COUNTIF($E172:J172,"¶")+COUNTIF($E172:J172,"²")+COUNTIF($E172:J172,"µ")+COUNTIF($E172:J172,1)),
HYPERLINK("#Roadmap!C"&amp; MATCH($E172,Roadmap!$D:$D,0)+COUNTIF($E172:J172,"u")+COUNTIF($E172:J172,"t"),
     INDEX(Roadmap!$D:$K,MATCH($E172,Roadmap!$D:$D,0)+COUNTIF($E172:J172,"u")+COUNTIF($E172:J172,"t")+COUNTIF($E172:J172,"¶")+COUNTIF($E172:J172,"²")+COUNTIF($E172:J172,"µ")+COUNTIF($E172:J172,1),ColTypeEcheance)),
  IF(LEN(J172)=1,
  IF(LEN(INDEX(Roadmap!$D:$K,MATCH($E172,Roadmap!$D:$D,0)-1+COUNTIF($E172:J172,"u")+COUNTIF($E172:J172,"t")+COUNTIF($E172:J172,"¶")+COUNTIF($E172:J172,"²")+COUNTIF($E172:J172,"µ")+COUNTIF($E172:J172,1),ColDescriptionCourte))&gt;1,
HYPERLINK("#Roadmap!C"&amp; MATCH($E172,Roadmap!$D:$D,0)+COUNTIF($E172:J172,"u")+COUNTIF($E172:J172,"t")+COUNTIF($E172:J172,"¶")+COUNTIF($E172:J172,"²")+COUNTIF($E172:J172,"µ")+COUNTIF($E172:J172,1)-1,INDEX(Roadmap!$D:$K,MATCH($E172,Roadmap!$D:$D,0)-1+COUNTIF($E172:J172,"u")+COUNTIF($E172:J172,"t")+COUNTIF($E172:J172,"¶")+COUNTIF($E172:J172,"²")+COUNTIF($E172:J172,"µ")+COUNTIF($E172:J172,1),ColDescriptionCourte)),""),
  "")),"")</f>
        <v/>
      </c>
      <c r="L172" s="39" t="str">
        <f ca="1">IFERROR(IF(AND(
  INDEX(Roadmap!$D:$K,MATCH($E172,Roadmap!$D:$D,0)+COUNTIF($E172:K172,"u")+COUNTIF($E172:K172,"t")+COUNTIF($E172:K172,"¶")+COUNTIF($E172:K172,"²")+COUNTIF($E172:K172,"µ")+COUNTIF($E172:K172,1),ColLivraison)=L$6,
  VLOOKUP($E172,INDIRECT("tri!"&amp; CHAR(64+ C0Col) &amp;":"&amp; CHAR(65+C0Col)),2,FALSE)&gt;COUNTIF($E172:K172,"u")+COUNTIF($E172:K172,"t")+COUNTIF($E172:K172,"¶")+COUNTIF($E172:K172,"²")+COUNTIF($E172:K172,"µ")+COUNTIF($E172:K172,1)),
HYPERLINK("#Roadmap!C"&amp; MATCH($E172,Roadmap!$D:$D,0)+COUNTIF($E172:K172,"u")+COUNTIF($E172:K172,"t"),
     INDEX(Roadmap!$D:$K,MATCH($E172,Roadmap!$D:$D,0)+COUNTIF($E172:K172,"u")+COUNTIF($E172:K172,"t")+COUNTIF($E172:K172,"¶")+COUNTIF($E172:K172,"²")+COUNTIF($E172:K172,"µ")+COUNTIF($E172:K172,1),ColTypeEcheance)),
  IF(LEN(K172)=1,
  IF(LEN(INDEX(Roadmap!$D:$K,MATCH($E172,Roadmap!$D:$D,0)-1+COUNTIF($E172:K172,"u")+COUNTIF($E172:K172,"t")+COUNTIF($E172:K172,"¶")+COUNTIF($E172:K172,"²")+COUNTIF($E172:K172,"µ")+COUNTIF($E172:K172,1),ColDescriptionCourte))&gt;1,
HYPERLINK("#Roadmap!C"&amp; MATCH($E172,Roadmap!$D:$D,0)+COUNTIF($E172:K172,"u")+COUNTIF($E172:K172,"t")+COUNTIF($E172:K172,"¶")+COUNTIF($E172:K172,"²")+COUNTIF($E172:K172,"µ")+COUNTIF($E172:K172,1)-1,INDEX(Roadmap!$D:$K,MATCH($E172,Roadmap!$D:$D,0)-1+COUNTIF($E172:K172,"u")+COUNTIF($E172:K172,"t")+COUNTIF($E172:K172,"¶")+COUNTIF($E172:K172,"²")+COUNTIF($E172:K172,"µ")+COUNTIF($E172:K172,1),ColDescriptionCourte)),""),
  "")),"")</f>
        <v/>
      </c>
      <c r="M172" s="40" t="str">
        <f ca="1">IFERROR(IF(AND(
  INDEX(Roadmap!$D:$K,MATCH($E172,Roadmap!$D:$D,0)+COUNTIF($E172:L172,"u")+COUNTIF($E172:L172,"t")+COUNTIF($E172:L172,"¶")+COUNTIF($E172:L172,"²")+COUNTIF($E172:L172,"µ")+COUNTIF($E172:L172,1),ColLivraison)=M$6,
  VLOOKUP($E172,INDIRECT("tri!"&amp; CHAR(64+ C0Col) &amp;":"&amp; CHAR(65+C0Col)),2,FALSE)&gt;COUNTIF($E172:L172,"u")+COUNTIF($E172:L172,"t")+COUNTIF($E172:L172,"¶")+COUNTIF($E172:L172,"²")+COUNTIF($E172:L172,"µ")+COUNTIF($E172:L172,1)),
HYPERLINK("#Roadmap!C"&amp; MATCH($E172,Roadmap!$D:$D,0)+COUNTIF($E172:L172,"u")+COUNTIF($E172:L172,"t"),
     INDEX(Roadmap!$D:$K,MATCH($E172,Roadmap!$D:$D,0)+COUNTIF($E172:L172,"u")+COUNTIF($E172:L172,"t")+COUNTIF($E172:L172,"¶")+COUNTIF($E172:L172,"²")+COUNTIF($E172:L172,"µ")+COUNTIF($E172:L172,1),ColTypeEcheance)),
  IF(LEN(L172)=1,
  IF(LEN(INDEX(Roadmap!$D:$K,MATCH($E172,Roadmap!$D:$D,0)-1+COUNTIF($E172:L172,"u")+COUNTIF($E172:L172,"t")+COUNTIF($E172:L172,"¶")+COUNTIF($E172:L172,"²")+COUNTIF($E172:L172,"µ")+COUNTIF($E172:L172,1),ColDescriptionCourte))&gt;1,
HYPERLINK("#Roadmap!C"&amp; MATCH($E172,Roadmap!$D:$D,0)+COUNTIF($E172:L172,"u")+COUNTIF($E172:L172,"t")+COUNTIF($E172:L172,"¶")+COUNTIF($E172:L172,"²")+COUNTIF($E172:L172,"µ")+COUNTIF($E172:L172,1)-1,INDEX(Roadmap!$D:$K,MATCH($E172,Roadmap!$D:$D,0)-1+COUNTIF($E172:L172,"u")+COUNTIF($E172:L172,"t")+COUNTIF($E172:L172,"¶")+COUNTIF($E172:L172,"²")+COUNTIF($E172:L172,"µ")+COUNTIF($E172:L172,1),ColDescriptionCourte)),""),
  "")),"")</f>
        <v/>
      </c>
      <c r="N172" s="40" t="str">
        <f ca="1">IFERROR(IF(AND(
  INDEX(Roadmap!$D:$K,MATCH($E172,Roadmap!$D:$D,0)+COUNTIF($E172:M172,"u")+COUNTIF($E172:M172,"t")+COUNTIF($E172:M172,"¶")+COUNTIF($E172:M172,"²")+COUNTIF($E172:M172,"µ")+COUNTIF($E172:M172,1),ColLivraison)=N$6,
  VLOOKUP($E172,INDIRECT("tri!"&amp; CHAR(64+ C0Col) &amp;":"&amp; CHAR(65+C0Col)),2,FALSE)&gt;COUNTIF($E172:M172,"u")+COUNTIF($E172:M172,"t")+COUNTIF($E172:M172,"¶")+COUNTIF($E172:M172,"²")+COUNTIF($E172:M172,"µ")+COUNTIF($E172:M172,1)),
HYPERLINK("#Roadmap!C"&amp; MATCH($E172,Roadmap!$D:$D,0)+COUNTIF($E172:M172,"u")+COUNTIF($E172:M172,"t"),
     INDEX(Roadmap!$D:$K,MATCH($E172,Roadmap!$D:$D,0)+COUNTIF($E172:M172,"u")+COUNTIF($E172:M172,"t")+COUNTIF($E172:M172,"¶")+COUNTIF($E172:M172,"²")+COUNTIF($E172:M172,"µ")+COUNTIF($E172:M172,1),ColTypeEcheance)),
  IF(LEN(M172)=1,
  IF(LEN(INDEX(Roadmap!$D:$K,MATCH($E172,Roadmap!$D:$D,0)-1+COUNTIF($E172:M172,"u")+COUNTIF($E172:M172,"t")+COUNTIF($E172:M172,"¶")+COUNTIF($E172:M172,"²")+COUNTIF($E172:M172,"µ")+COUNTIF($E172:M172,1),ColDescriptionCourte))&gt;1,
HYPERLINK("#Roadmap!C"&amp; MATCH($E172,Roadmap!$D:$D,0)+COUNTIF($E172:M172,"u")+COUNTIF($E172:M172,"t")+COUNTIF($E172:M172,"¶")+COUNTIF($E172:M172,"²")+COUNTIF($E172:M172,"µ")+COUNTIF($E172:M172,1)-1,INDEX(Roadmap!$D:$K,MATCH($E172,Roadmap!$D:$D,0)-1+COUNTIF($E172:M172,"u")+COUNTIF($E172:M172,"t")+COUNTIF($E172:M172,"¶")+COUNTIF($E172:M172,"²")+COUNTIF($E172:M172,"µ")+COUNTIF($E172:M172,1),ColDescriptionCourte)),""),
  "")),"")</f>
        <v/>
      </c>
      <c r="O172" s="40" t="str">
        <f ca="1">IFERROR(IF(AND(
  INDEX(Roadmap!$D:$K,MATCH($E172,Roadmap!$D:$D,0)+COUNTIF($E172:N172,"u")+COUNTIF($E172:N172,"t")+COUNTIF($E172:N172,"¶")+COUNTIF($E172:N172,"²")+COUNTIF($E172:N172,"µ")+COUNTIF($E172:N172,1),ColLivraison)=O$6,
  VLOOKUP($E172,INDIRECT("tri!"&amp; CHAR(64+ C0Col) &amp;":"&amp; CHAR(65+C0Col)),2,FALSE)&gt;COUNTIF($E172:N172,"u")+COUNTIF($E172:N172,"t")+COUNTIF($E172:N172,"¶")+COUNTIF($E172:N172,"²")+COUNTIF($E172:N172,"µ")+COUNTIF($E172:N172,1)),
HYPERLINK("#Roadmap!C"&amp; MATCH($E172,Roadmap!$D:$D,0)+COUNTIF($E172:N172,"u")+COUNTIF($E172:N172,"t"),
     INDEX(Roadmap!$D:$K,MATCH($E172,Roadmap!$D:$D,0)+COUNTIF($E172:N172,"u")+COUNTIF($E172:N172,"t")+COUNTIF($E172:N172,"¶")+COUNTIF($E172:N172,"²")+COUNTIF($E172:N172,"µ")+COUNTIF($E172:N172,1),ColTypeEcheance)),
  IF(LEN(N172)=1,
  IF(LEN(INDEX(Roadmap!$D:$K,MATCH($E172,Roadmap!$D:$D,0)-1+COUNTIF($E172:N172,"u")+COUNTIF($E172:N172,"t")+COUNTIF($E172:N172,"¶")+COUNTIF($E172:N172,"²")+COUNTIF($E172:N172,"µ")+COUNTIF($E172:N172,1),ColDescriptionCourte))&gt;1,
HYPERLINK("#Roadmap!C"&amp; MATCH($E172,Roadmap!$D:$D,0)+COUNTIF($E172:N172,"u")+COUNTIF($E172:N172,"t")+COUNTIF($E172:N172,"¶")+COUNTIF($E172:N172,"²")+COUNTIF($E172:N172,"µ")+COUNTIF($E172:N172,1)-1,INDEX(Roadmap!$D:$K,MATCH($E172,Roadmap!$D:$D,0)-1+COUNTIF($E172:N172,"u")+COUNTIF($E172:N172,"t")+COUNTIF($E172:N172,"¶")+COUNTIF($E172:N172,"²")+COUNTIF($E172:N172,"µ")+COUNTIF($E172:N172,1),ColDescriptionCourte)),""),
  "")),"")</f>
        <v/>
      </c>
      <c r="P172" s="40" t="str">
        <f ca="1">IFERROR(IF(AND(
  INDEX(Roadmap!$D:$K,MATCH($E172,Roadmap!$D:$D,0)+COUNTIF($E172:O172,"u")+COUNTIF($E172:O172,"t")+COUNTIF($E172:O172,"¶")+COUNTIF($E172:O172,"²")+COUNTIF($E172:O172,"µ")+COUNTIF($E172:O172,1),ColLivraison)=P$6,
  VLOOKUP($E172,INDIRECT("tri!"&amp; CHAR(64+ C0Col) &amp;":"&amp; CHAR(65+C0Col)),2,FALSE)&gt;COUNTIF($E172:O172,"u")+COUNTIF($E172:O172,"t")+COUNTIF($E172:O172,"¶")+COUNTIF($E172:O172,"²")+COUNTIF($E172:O172,"µ")+COUNTIF($E172:O172,1)),
HYPERLINK("#Roadmap!C"&amp; MATCH($E172,Roadmap!$D:$D,0)+COUNTIF($E172:O172,"u")+COUNTIF($E172:O172,"t"),
     INDEX(Roadmap!$D:$K,MATCH($E172,Roadmap!$D:$D,0)+COUNTIF($E172:O172,"u")+COUNTIF($E172:O172,"t")+COUNTIF($E172:O172,"¶")+COUNTIF($E172:O172,"²")+COUNTIF($E172:O172,"µ")+COUNTIF($E172:O172,1),ColTypeEcheance)),
  IF(LEN(O172)=1,
  IF(LEN(INDEX(Roadmap!$D:$K,MATCH($E172,Roadmap!$D:$D,0)-1+COUNTIF($E172:O172,"u")+COUNTIF($E172:O172,"t")+COUNTIF($E172:O172,"¶")+COUNTIF($E172:O172,"²")+COUNTIF($E172:O172,"µ")+COUNTIF($E172:O172,1),ColDescriptionCourte))&gt;1,
HYPERLINK("#Roadmap!C"&amp; MATCH($E172,Roadmap!$D:$D,0)+COUNTIF($E172:O172,"u")+COUNTIF($E172:O172,"t")+COUNTIF($E172:O172,"¶")+COUNTIF($E172:O172,"²")+COUNTIF($E172:O172,"µ")+COUNTIF($E172:O172,1)-1,INDEX(Roadmap!$D:$K,MATCH($E172,Roadmap!$D:$D,0)-1+COUNTIF($E172:O172,"u")+COUNTIF($E172:O172,"t")+COUNTIF($E172:O172,"¶")+COUNTIF($E172:O172,"²")+COUNTIF($E172:O172,"µ")+COUNTIF($E172:O172,1),ColDescriptionCourte)),""),
  "")),"")</f>
        <v/>
      </c>
      <c r="Q172" s="40" t="str">
        <f ca="1">IFERROR(IF(AND(
  INDEX(Roadmap!$D:$K,MATCH($E172,Roadmap!$D:$D,0)+COUNTIF($E172:P172,"u")+COUNTIF($E172:P172,"t")+COUNTIF($E172:P172,"¶")+COUNTIF($E172:P172,"²")+COUNTIF($E172:P172,"µ")+COUNTIF($E172:P172,1),ColLivraison)=Q$6,
  VLOOKUP($E172,INDIRECT("tri!"&amp; CHAR(64+ C0Col) &amp;":"&amp; CHAR(65+C0Col)),2,FALSE)&gt;COUNTIF($E172:P172,"u")+COUNTIF($E172:P172,"t")+COUNTIF($E172:P172,"¶")+COUNTIF($E172:P172,"²")+COUNTIF($E172:P172,"µ")+COUNTIF($E172:P172,1)),
HYPERLINK("#Roadmap!C"&amp; MATCH($E172,Roadmap!$D:$D,0)+COUNTIF($E172:P172,"u")+COUNTIF($E172:P172,"t"),
     INDEX(Roadmap!$D:$K,MATCH($E172,Roadmap!$D:$D,0)+COUNTIF($E172:P172,"u")+COUNTIF($E172:P172,"t")+COUNTIF($E172:P172,"¶")+COUNTIF($E172:P172,"²")+COUNTIF($E172:P172,"µ")+COUNTIF($E172:P172,1),ColTypeEcheance)),
  IF(LEN(P172)=1,
  IF(LEN(INDEX(Roadmap!$D:$K,MATCH($E172,Roadmap!$D:$D,0)-1+COUNTIF($E172:P172,"u")+COUNTIF($E172:P172,"t")+COUNTIF($E172:P172,"¶")+COUNTIF($E172:P172,"²")+COUNTIF($E172:P172,"µ")+COUNTIF($E172:P172,1),ColDescriptionCourte))&gt;1,
HYPERLINK("#Roadmap!C"&amp; MATCH($E172,Roadmap!$D:$D,0)+COUNTIF($E172:P172,"u")+COUNTIF($E172:P172,"t")+COUNTIF($E172:P172,"¶")+COUNTIF($E172:P172,"²")+COUNTIF($E172:P172,"µ")+COUNTIF($E172:P172,1)-1,INDEX(Roadmap!$D:$K,MATCH($E172,Roadmap!$D:$D,0)-1+COUNTIF($E172:P172,"u")+COUNTIF($E172:P172,"t")+COUNTIF($E172:P172,"¶")+COUNTIF($E172:P172,"²")+COUNTIF($E172:P172,"µ")+COUNTIF($E172:P172,1),ColDescriptionCourte)),""),
  "")),"")</f>
        <v/>
      </c>
      <c r="R172" s="40" t="str">
        <f ca="1">IFERROR(IF(AND(
  INDEX(Roadmap!$D:$K,MATCH($E172,Roadmap!$D:$D,0)+COUNTIF($E172:Q172,"u")+COUNTIF($E172:Q172,"t")+COUNTIF($E172:Q172,"¶")+COUNTIF($E172:Q172,"²")+COUNTIF($E172:Q172,"µ")+COUNTIF($E172:Q172,1),ColLivraison)=R$6,
  VLOOKUP($E172,INDIRECT("tri!"&amp; CHAR(64+ C0Col) &amp;":"&amp; CHAR(65+C0Col)),2,FALSE)&gt;COUNTIF($E172:Q172,"u")+COUNTIF($E172:Q172,"t")+COUNTIF($E172:Q172,"¶")+COUNTIF($E172:Q172,"²")+COUNTIF($E172:Q172,"µ")+COUNTIF($E172:Q172,1)),
HYPERLINK("#Roadmap!C"&amp; MATCH($E172,Roadmap!$D:$D,0)+COUNTIF($E172:Q172,"u")+COUNTIF($E172:Q172,"t"),
     INDEX(Roadmap!$D:$K,MATCH($E172,Roadmap!$D:$D,0)+COUNTIF($E172:Q172,"u")+COUNTIF($E172:Q172,"t")+COUNTIF($E172:Q172,"¶")+COUNTIF($E172:Q172,"²")+COUNTIF($E172:Q172,"µ")+COUNTIF($E172:Q172,1),ColTypeEcheance)),
  IF(LEN(Q172)=1,
  IF(LEN(INDEX(Roadmap!$D:$K,MATCH($E172,Roadmap!$D:$D,0)-1+COUNTIF($E172:Q172,"u")+COUNTIF($E172:Q172,"t")+COUNTIF($E172:Q172,"¶")+COUNTIF($E172:Q172,"²")+COUNTIF($E172:Q172,"µ")+COUNTIF($E172:Q172,1),ColDescriptionCourte))&gt;1,
HYPERLINK("#Roadmap!C"&amp; MATCH($E172,Roadmap!$D:$D,0)+COUNTIF($E172:Q172,"u")+COUNTIF($E172:Q172,"t")+COUNTIF($E172:Q172,"¶")+COUNTIF($E172:Q172,"²")+COUNTIF($E172:Q172,"µ")+COUNTIF($E172:Q172,1)-1,INDEX(Roadmap!$D:$K,MATCH($E172,Roadmap!$D:$D,0)-1+COUNTIF($E172:Q172,"u")+COUNTIF($E172:Q172,"t")+COUNTIF($E172:Q172,"¶")+COUNTIF($E172:Q172,"²")+COUNTIF($E172:Q172,"µ")+COUNTIF($E172:Q172,1),ColDescriptionCourte)),""),
  "")),"")</f>
        <v/>
      </c>
      <c r="S172" s="40" t="str">
        <f ca="1">IFERROR(IF(AND(
  INDEX(Roadmap!$D:$K,MATCH($E172,Roadmap!$D:$D,0)+COUNTIF($E172:R172,"u")+COUNTIF($E172:R172,"t")+COUNTIF($E172:R172,"¶")+COUNTIF($E172:R172,"²")+COUNTIF($E172:R172,"µ")+COUNTIF($E172:R172,1),ColLivraison)=S$6,
  VLOOKUP($E172,INDIRECT("tri!"&amp; CHAR(64+ C0Col) &amp;":"&amp; CHAR(65+C0Col)),2,FALSE)&gt;COUNTIF($E172:R172,"u")+COUNTIF($E172:R172,"t")+COUNTIF($E172:R172,"¶")+COUNTIF($E172:R172,"²")+COUNTIF($E172:R172,"µ")+COUNTIF($E172:R172,1)),
HYPERLINK("#Roadmap!C"&amp; MATCH($E172,Roadmap!$D:$D,0)+COUNTIF($E172:R172,"u")+COUNTIF($E172:R172,"t"),
     INDEX(Roadmap!$D:$K,MATCH($E172,Roadmap!$D:$D,0)+COUNTIF($E172:R172,"u")+COUNTIF($E172:R172,"t")+COUNTIF($E172:R172,"¶")+COUNTIF($E172:R172,"²")+COUNTIF($E172:R172,"µ")+COUNTIF($E172:R172,1),ColTypeEcheance)),
  IF(LEN(R172)=1,
  IF(LEN(INDEX(Roadmap!$D:$K,MATCH($E172,Roadmap!$D:$D,0)-1+COUNTIF($E172:R172,"u")+COUNTIF($E172:R172,"t")+COUNTIF($E172:R172,"¶")+COUNTIF($E172:R172,"²")+COUNTIF($E172:R172,"µ")+COUNTIF($E172:R172,1),ColDescriptionCourte))&gt;1,
HYPERLINK("#Roadmap!C"&amp; MATCH($E172,Roadmap!$D:$D,0)+COUNTIF($E172:R172,"u")+COUNTIF($E172:R172,"t")+COUNTIF($E172:R172,"¶")+COUNTIF($E172:R172,"²")+COUNTIF($E172:R172,"µ")+COUNTIF($E172:R172,1)-1,INDEX(Roadmap!$D:$K,MATCH($E172,Roadmap!$D:$D,0)-1+COUNTIF($E172:R172,"u")+COUNTIF($E172:R172,"t")+COUNTIF($E172:R172,"¶")+COUNTIF($E172:R172,"²")+COUNTIF($E172:R172,"µ")+COUNTIF($E172:R172,1),ColDescriptionCourte)),""),
  "")),"")</f>
        <v/>
      </c>
      <c r="T172" s="40" t="str">
        <f ca="1">IFERROR(IF(AND(
  INDEX(Roadmap!$D:$K,MATCH($E172,Roadmap!$D:$D,0)+COUNTIF($E172:S172,"u")+COUNTIF($E172:S172,"t")+COUNTIF($E172:S172,"¶")+COUNTIF($E172:S172,"²")+COUNTIF($E172:S172,"µ")+COUNTIF($E172:S172,1),ColLivraison)=T$6,
  VLOOKUP($E172,INDIRECT("tri!"&amp; CHAR(64+ C0Col) &amp;":"&amp; CHAR(65+C0Col)),2,FALSE)&gt;COUNTIF($E172:S172,"u")+COUNTIF($E172:S172,"t")+COUNTIF($E172:S172,"¶")+COUNTIF($E172:S172,"²")+COUNTIF($E172:S172,"µ")+COUNTIF($E172:S172,1)),
HYPERLINK("#Roadmap!C"&amp; MATCH($E172,Roadmap!$D:$D,0)+COUNTIF($E172:S172,"u")+COUNTIF($E172:S172,"t"),
     INDEX(Roadmap!$D:$K,MATCH($E172,Roadmap!$D:$D,0)+COUNTIF($E172:S172,"u")+COUNTIF($E172:S172,"t")+COUNTIF($E172:S172,"¶")+COUNTIF($E172:S172,"²")+COUNTIF($E172:S172,"µ")+COUNTIF($E172:S172,1),ColTypeEcheance)),
  IF(LEN(S172)=1,
  IF(LEN(INDEX(Roadmap!$D:$K,MATCH($E172,Roadmap!$D:$D,0)-1+COUNTIF($E172:S172,"u")+COUNTIF($E172:S172,"t")+COUNTIF($E172:S172,"¶")+COUNTIF($E172:S172,"²")+COUNTIF($E172:S172,"µ")+COUNTIF($E172:S172,1),ColDescriptionCourte))&gt;1,
HYPERLINK("#Roadmap!C"&amp; MATCH($E172,Roadmap!$D:$D,0)+COUNTIF($E172:S172,"u")+COUNTIF($E172:S172,"t")+COUNTIF($E172:S172,"¶")+COUNTIF($E172:S172,"²")+COUNTIF($E172:S172,"µ")+COUNTIF($E172:S172,1)-1,INDEX(Roadmap!$D:$K,MATCH($E172,Roadmap!$D:$D,0)-1+COUNTIF($E172:S172,"u")+COUNTIF($E172:S172,"t")+COUNTIF($E172:S172,"¶")+COUNTIF($E172:S172,"²")+COUNTIF($E172:S172,"µ")+COUNTIF($E172:S172,1),ColDescriptionCourte)),""),
  "")),"")</f>
        <v/>
      </c>
      <c r="U172" s="40" t="str">
        <f ca="1">IFERROR(IF(AND(
  INDEX(Roadmap!$D:$K,MATCH($E172,Roadmap!$D:$D,0)+COUNTIF($E172:T172,"u")+COUNTIF($E172:T172,"t")+COUNTIF($E172:T172,"¶")+COUNTIF($E172:T172,"²")+COUNTIF($E172:T172,"µ")+COUNTIF($E172:T172,1),ColLivraison)=U$6,
  VLOOKUP($E172,INDIRECT("tri!"&amp; CHAR(64+ C0Col) &amp;":"&amp; CHAR(65+C0Col)),2,FALSE)&gt;COUNTIF($E172:T172,"u")+COUNTIF($E172:T172,"t")+COUNTIF($E172:T172,"¶")+COUNTIF($E172:T172,"²")+COUNTIF($E172:T172,"µ")+COUNTIF($E172:T172,1)),
HYPERLINK("#Roadmap!C"&amp; MATCH($E172,Roadmap!$D:$D,0)+COUNTIF($E172:T172,"u")+COUNTIF($E172:T172,"t"),
     INDEX(Roadmap!$D:$K,MATCH($E172,Roadmap!$D:$D,0)+COUNTIF($E172:T172,"u")+COUNTIF($E172:T172,"t")+COUNTIF($E172:T172,"¶")+COUNTIF($E172:T172,"²")+COUNTIF($E172:T172,"µ")+COUNTIF($E172:T172,1),ColTypeEcheance)),
  IF(LEN(T172)=1,
  IF(LEN(INDEX(Roadmap!$D:$K,MATCH($E172,Roadmap!$D:$D,0)-1+COUNTIF($E172:T172,"u")+COUNTIF($E172:T172,"t")+COUNTIF($E172:T172,"¶")+COUNTIF($E172:T172,"²")+COUNTIF($E172:T172,"µ")+COUNTIF($E172:T172,1),ColDescriptionCourte))&gt;1,
HYPERLINK("#Roadmap!C"&amp; MATCH($E172,Roadmap!$D:$D,0)+COUNTIF($E172:T172,"u")+COUNTIF($E172:T172,"t")+COUNTIF($E172:T172,"¶")+COUNTIF($E172:T172,"²")+COUNTIF($E172:T172,"µ")+COUNTIF($E172:T172,1)-1,INDEX(Roadmap!$D:$K,MATCH($E172,Roadmap!$D:$D,0)-1+COUNTIF($E172:T172,"u")+COUNTIF($E172:T172,"t")+COUNTIF($E172:T172,"¶")+COUNTIF($E172:T172,"²")+COUNTIF($E172:T172,"µ")+COUNTIF($E172:T172,1),ColDescriptionCourte)),""),
  "")),"")</f>
        <v/>
      </c>
      <c r="V172" s="40" t="str">
        <f ca="1">IFERROR(IF(AND(
  INDEX(Roadmap!$D:$K,MATCH($E172,Roadmap!$D:$D,0)+COUNTIF($E172:U172,"u")+COUNTIF($E172:U172,"t")+COUNTIF($E172:U172,"¶")+COUNTIF($E172:U172,"²")+COUNTIF($E172:U172,"µ")+COUNTIF($E172:U172,1),ColLivraison)=V$6,
  VLOOKUP($E172,INDIRECT("tri!"&amp; CHAR(64+ C0Col) &amp;":"&amp; CHAR(65+C0Col)),2,FALSE)&gt;COUNTIF($E172:U172,"u")+COUNTIF($E172:U172,"t")+COUNTIF($E172:U172,"¶")+COUNTIF($E172:U172,"²")+COUNTIF($E172:U172,"µ")+COUNTIF($E172:U172,1)),
HYPERLINK("#Roadmap!C"&amp; MATCH($E172,Roadmap!$D:$D,0)+COUNTIF($E172:U172,"u")+COUNTIF($E172:U172,"t"),
     INDEX(Roadmap!$D:$K,MATCH($E172,Roadmap!$D:$D,0)+COUNTIF($E172:U172,"u")+COUNTIF($E172:U172,"t")+COUNTIF($E172:U172,"¶")+COUNTIF($E172:U172,"²")+COUNTIF($E172:U172,"µ")+COUNTIF($E172:U172,1),ColTypeEcheance)),
  IF(LEN(U172)=1,
  IF(LEN(INDEX(Roadmap!$D:$K,MATCH($E172,Roadmap!$D:$D,0)-1+COUNTIF($E172:U172,"u")+COUNTIF($E172:U172,"t")+COUNTIF($E172:U172,"¶")+COUNTIF($E172:U172,"²")+COUNTIF($E172:U172,"µ")+COUNTIF($E172:U172,1),ColDescriptionCourte))&gt;1,
HYPERLINK("#Roadmap!C"&amp; MATCH($E172,Roadmap!$D:$D,0)+COUNTIF($E172:U172,"u")+COUNTIF($E172:U172,"t")+COUNTIF($E172:U172,"¶")+COUNTIF($E172:U172,"²")+COUNTIF($E172:U172,"µ")+COUNTIF($E172:U172,1)-1,INDEX(Roadmap!$D:$K,MATCH($E172,Roadmap!$D:$D,0)-1+COUNTIF($E172:U172,"u")+COUNTIF($E172:U172,"t")+COUNTIF($E172:U172,"¶")+COUNTIF($E172:U172,"²")+COUNTIF($E172:U172,"µ")+COUNTIF($E172:U172,1),ColDescriptionCourte)),""),
  "")),"")</f>
        <v/>
      </c>
      <c r="W172" s="40" t="str">
        <f ca="1">IFERROR(IF(AND(
  INDEX(Roadmap!$D:$K,MATCH($E172,Roadmap!$D:$D,0)+COUNTIF($E172:V172,"u")+COUNTIF($E172:V172,"t")+COUNTIF($E172:V172,"¶")+COUNTIF($E172:V172,"²")+COUNTIF($E172:V172,"µ")+COUNTIF($E172:V172,1),ColLivraison)=W$6,
  VLOOKUP($E172,INDIRECT("tri!"&amp; CHAR(64+ C0Col) &amp;":"&amp; CHAR(65+C0Col)),2,FALSE)&gt;COUNTIF($E172:V172,"u")+COUNTIF($E172:V172,"t")+COUNTIF($E172:V172,"¶")+COUNTIF($E172:V172,"²")+COUNTIF($E172:V172,"µ")+COUNTIF($E172:V172,1)),
HYPERLINK("#Roadmap!C"&amp; MATCH($E172,Roadmap!$D:$D,0)+COUNTIF($E172:V172,"u")+COUNTIF($E172:V172,"t"),
     INDEX(Roadmap!$D:$K,MATCH($E172,Roadmap!$D:$D,0)+COUNTIF($E172:V172,"u")+COUNTIF($E172:V172,"t")+COUNTIF($E172:V172,"¶")+COUNTIF($E172:V172,"²")+COUNTIF($E172:V172,"µ")+COUNTIF($E172:V172,1),ColTypeEcheance)),
  IF(LEN(V172)=1,
  IF(LEN(INDEX(Roadmap!$D:$K,MATCH($E172,Roadmap!$D:$D,0)-1+COUNTIF($E172:V172,"u")+COUNTIF($E172:V172,"t")+COUNTIF($E172:V172,"¶")+COUNTIF($E172:V172,"²")+COUNTIF($E172:V172,"µ")+COUNTIF($E172:V172,1),ColDescriptionCourte))&gt;1,
HYPERLINK("#Roadmap!C"&amp; MATCH($E172,Roadmap!$D:$D,0)+COUNTIF($E172:V172,"u")+COUNTIF($E172:V172,"t")+COUNTIF($E172:V172,"¶")+COUNTIF($E172:V172,"²")+COUNTIF($E172:V172,"µ")+COUNTIF($E172:V172,1)-1,INDEX(Roadmap!$D:$K,MATCH($E172,Roadmap!$D:$D,0)-1+COUNTIF($E172:V172,"u")+COUNTIF($E172:V172,"t")+COUNTIF($E172:V172,"¶")+COUNTIF($E172:V172,"²")+COUNTIF($E172:V172,"µ")+COUNTIF($E172:V172,1),ColDescriptionCourte)),""),
  "")),"")</f>
        <v/>
      </c>
      <c r="X172" s="40" t="str">
        <f ca="1">IFERROR(IF(AND(
  INDEX(Roadmap!$D:$K,MATCH($E172,Roadmap!$D:$D,0)+COUNTIF($E172:W172,"u")+COUNTIF($E172:W172,"t")+COUNTIF($E172:W172,"¶")+COUNTIF($E172:W172,"²")+COUNTIF($E172:W172,"µ")+COUNTIF($E172:W172,1),ColLivraison)=X$6,
  VLOOKUP($E172,INDIRECT("tri!"&amp; CHAR(64+ C0Col) &amp;":"&amp; CHAR(65+C0Col)),2,FALSE)&gt;COUNTIF($E172:W172,"u")+COUNTIF($E172:W172,"t")+COUNTIF($E172:W172,"¶")+COUNTIF($E172:W172,"²")+COUNTIF($E172:W172,"µ")+COUNTIF($E172:W172,1)),
HYPERLINK("#Roadmap!C"&amp; MATCH($E172,Roadmap!$D:$D,0)+COUNTIF($E172:W172,"u")+COUNTIF($E172:W172,"t"),
     INDEX(Roadmap!$D:$K,MATCH($E172,Roadmap!$D:$D,0)+COUNTIF($E172:W172,"u")+COUNTIF($E172:W172,"t")+COUNTIF($E172:W172,"¶")+COUNTIF($E172:W172,"²")+COUNTIF($E172:W172,"µ")+COUNTIF($E172:W172,1),ColTypeEcheance)),
  IF(LEN(W172)=1,
  IF(LEN(INDEX(Roadmap!$D:$K,MATCH($E172,Roadmap!$D:$D,0)-1+COUNTIF($E172:W172,"u")+COUNTIF($E172:W172,"t")+COUNTIF($E172:W172,"¶")+COUNTIF($E172:W172,"²")+COUNTIF($E172:W172,"µ")+COUNTIF($E172:W172,1),ColDescriptionCourte))&gt;1,
HYPERLINK("#Roadmap!C"&amp; MATCH($E172,Roadmap!$D:$D,0)+COUNTIF($E172:W172,"u")+COUNTIF($E172:W172,"t")+COUNTIF($E172:W172,"¶")+COUNTIF($E172:W172,"²")+COUNTIF($E172:W172,"µ")+COUNTIF($E172:W172,1)-1,INDEX(Roadmap!$D:$K,MATCH($E172,Roadmap!$D:$D,0)-1+COUNTIF($E172:W172,"u")+COUNTIF($E172:W172,"t")+COUNTIF($E172:W172,"¶")+COUNTIF($E172:W172,"²")+COUNTIF($E172:W172,"µ")+COUNTIF($E172:W172,1),ColDescriptionCourte)),""),
  "")),"")</f>
        <v/>
      </c>
      <c r="Y172" s="40" t="str">
        <f ca="1">IFERROR(IF(AND(
  INDEX(Roadmap!$D:$K,MATCH($E172,Roadmap!$D:$D,0)+COUNTIF($E172:X172,"u")+COUNTIF($E172:X172,"t")+COUNTIF($E172:X172,"¶")+COUNTIF($E172:X172,"²")+COUNTIF($E172:X172,"µ")+COUNTIF($E172:X172,1),ColLivraison)=Y$6,
  VLOOKUP($E172,INDIRECT("tri!"&amp; CHAR(64+ C0Col) &amp;":"&amp; CHAR(65+C0Col)),2,FALSE)&gt;COUNTIF($E172:X172,"u")+COUNTIF($E172:X172,"t")+COUNTIF($E172:X172,"¶")+COUNTIF($E172:X172,"²")+COUNTIF($E172:X172,"µ")+COUNTIF($E172:X172,1)),
HYPERLINK("#Roadmap!C"&amp; MATCH($E172,Roadmap!$D:$D,0)+COUNTIF($E172:X172,"u")+COUNTIF($E172:X172,"t"),
     INDEX(Roadmap!$D:$K,MATCH($E172,Roadmap!$D:$D,0)+COUNTIF($E172:X172,"u")+COUNTIF($E172:X172,"t")+COUNTIF($E172:X172,"¶")+COUNTIF($E172:X172,"²")+COUNTIF($E172:X172,"µ")+COUNTIF($E172:X172,1),ColTypeEcheance)),
  IF(LEN(X172)=1,
  IF(LEN(INDEX(Roadmap!$D:$K,MATCH($E172,Roadmap!$D:$D,0)-1+COUNTIF($E172:X172,"u")+COUNTIF($E172:X172,"t")+COUNTIF($E172:X172,"¶")+COUNTIF($E172:X172,"²")+COUNTIF($E172:X172,"µ")+COUNTIF($E172:X172,1),ColDescriptionCourte))&gt;1,
HYPERLINK("#Roadmap!C"&amp; MATCH($E172,Roadmap!$D:$D,0)+COUNTIF($E172:X172,"u")+COUNTIF($E172:X172,"t")+COUNTIF($E172:X172,"¶")+COUNTIF($E172:X172,"²")+COUNTIF($E172:X172,"µ")+COUNTIF($E172:X172,1)-1,INDEX(Roadmap!$D:$K,MATCH($E172,Roadmap!$D:$D,0)-1+COUNTIF($E172:X172,"u")+COUNTIF($E172:X172,"t")+COUNTIF($E172:X172,"¶")+COUNTIF($E172:X172,"²")+COUNTIF($E172:X172,"µ")+COUNTIF($E172:X172,1),ColDescriptionCourte)),""),
  "")),"")</f>
        <v/>
      </c>
      <c r="Z172" s="40" t="str">
        <f ca="1">IFERROR(IF(AND(
  INDEX(Roadmap!$D:$K,MATCH($E172,Roadmap!$D:$D,0)+COUNTIF($E172:Y172,"u")+COUNTIF($E172:Y172,"t")+COUNTIF($E172:Y172,"¶")+COUNTIF($E172:Y172,"²")+COUNTIF($E172:Y172,"µ")+COUNTIF($E172:Y172,1),ColLivraison)=Z$6,
  VLOOKUP($E172,INDIRECT("tri!"&amp; CHAR(64+ C0Col) &amp;":"&amp; CHAR(65+C0Col)),2,FALSE)&gt;COUNTIF($E172:Y172,"u")+COUNTIF($E172:Y172,"t")+COUNTIF($E172:Y172,"¶")+COUNTIF($E172:Y172,"²")+COUNTIF($E172:Y172,"µ")+COUNTIF($E172:Y172,1)),
HYPERLINK("#Roadmap!C"&amp; MATCH($E172,Roadmap!$D:$D,0)+COUNTIF($E172:Y172,"u")+COUNTIF($E172:Y172,"t"),
     INDEX(Roadmap!$D:$K,MATCH($E172,Roadmap!$D:$D,0)+COUNTIF($E172:Y172,"u")+COUNTIF($E172:Y172,"t")+COUNTIF($E172:Y172,"¶")+COUNTIF($E172:Y172,"²")+COUNTIF($E172:Y172,"µ")+COUNTIF($E172:Y172,1),ColTypeEcheance)),
  IF(LEN(Y172)=1,
  IF(LEN(INDEX(Roadmap!$D:$K,MATCH($E172,Roadmap!$D:$D,0)-1+COUNTIF($E172:Y172,"u")+COUNTIF($E172:Y172,"t")+COUNTIF($E172:Y172,"¶")+COUNTIF($E172:Y172,"²")+COUNTIF($E172:Y172,"µ")+COUNTIF($E172:Y172,1),ColDescriptionCourte))&gt;1,
HYPERLINK("#Roadmap!C"&amp; MATCH($E172,Roadmap!$D:$D,0)+COUNTIF($E172:Y172,"u")+COUNTIF($E172:Y172,"t")+COUNTIF($E172:Y172,"¶")+COUNTIF($E172:Y172,"²")+COUNTIF($E172:Y172,"µ")+COUNTIF($E172:Y172,1)-1,INDEX(Roadmap!$D:$K,MATCH($E172,Roadmap!$D:$D,0)-1+COUNTIF($E172:Y172,"u")+COUNTIF($E172:Y172,"t")+COUNTIF($E172:Y172,"¶")+COUNTIF($E172:Y172,"²")+COUNTIF($E172:Y172,"µ")+COUNTIF($E172:Y172,1),ColDescriptionCourte)),""),
  "")),"")</f>
        <v/>
      </c>
      <c r="AA172" s="40" t="str">
        <f ca="1">IFERROR(IF(AND(
  INDEX(Roadmap!$D:$K,MATCH($E172,Roadmap!$D:$D,0)+COUNTIF($E172:Z172,"u")+COUNTIF($E172:Z172,"t")+COUNTIF($E172:Z172,"¶")+COUNTIF($E172:Z172,"²")+COUNTIF($E172:Z172,"µ")+COUNTIF($E172:Z172,1),ColLivraison)=AA$6,
  VLOOKUP($E172,INDIRECT("tri!"&amp; CHAR(64+ C0Col) &amp;":"&amp; CHAR(65+C0Col)),2,FALSE)&gt;COUNTIF($E172:Z172,"u")+COUNTIF($E172:Z172,"t")+COUNTIF($E172:Z172,"¶")+COUNTIF($E172:Z172,"²")+COUNTIF($E172:Z172,"µ")+COUNTIF($E172:Z172,1)),
HYPERLINK("#Roadmap!C"&amp; MATCH($E172,Roadmap!$D:$D,0)+COUNTIF($E172:Z172,"u")+COUNTIF($E172:Z172,"t"),
     INDEX(Roadmap!$D:$K,MATCH($E172,Roadmap!$D:$D,0)+COUNTIF($E172:Z172,"u")+COUNTIF($E172:Z172,"t")+COUNTIF($E172:Z172,"¶")+COUNTIF($E172:Z172,"²")+COUNTIF($E172:Z172,"µ")+COUNTIF($E172:Z172,1),ColTypeEcheance)),
  IF(LEN(Z172)=1,
  IF(LEN(INDEX(Roadmap!$D:$K,MATCH($E172,Roadmap!$D:$D,0)-1+COUNTIF($E172:Z172,"u")+COUNTIF($E172:Z172,"t")+COUNTIF($E172:Z172,"¶")+COUNTIF($E172:Z172,"²")+COUNTIF($E172:Z172,"µ")+COUNTIF($E172:Z172,1),ColDescriptionCourte))&gt;1,
HYPERLINK("#Roadmap!C"&amp; MATCH($E172,Roadmap!$D:$D,0)+COUNTIF($E172:Z172,"u")+COUNTIF($E172:Z172,"t")+COUNTIF($E172:Z172,"¶")+COUNTIF($E172:Z172,"²")+COUNTIF($E172:Z172,"µ")+COUNTIF($E172:Z172,1)-1,INDEX(Roadmap!$D:$K,MATCH($E172,Roadmap!$D:$D,0)-1+COUNTIF($E172:Z172,"u")+COUNTIF($E172:Z172,"t")+COUNTIF($E172:Z172,"¶")+COUNTIF($E172:Z172,"²")+COUNTIF($E172:Z172,"µ")+COUNTIF($E172:Z172,1),ColDescriptionCourte)),""),
  "")),"")</f>
        <v/>
      </c>
      <c r="AB172" s="40" t="str">
        <f ca="1">IFERROR(IF(AND(
  INDEX(Roadmap!$D:$K,MATCH($E172,Roadmap!$D:$D,0)+COUNTIF($E172:AA172,"u")+COUNTIF($E172:AA172,"t")+COUNTIF($E172:AA172,"¶")+COUNTIF($E172:AA172,"²")+COUNTIF($E172:AA172,"µ")+COUNTIF($E172:AA172,1),ColLivraison)=AB$6,
  VLOOKUP($E172,INDIRECT("tri!"&amp; CHAR(64+ C0Col) &amp;":"&amp; CHAR(65+C0Col)),2,FALSE)&gt;COUNTIF($E172:AA172,"u")+COUNTIF($E172:AA172,"t")+COUNTIF($E172:AA172,"¶")+COUNTIF($E172:AA172,"²")+COUNTIF($E172:AA172,"µ")+COUNTIF($E172:AA172,1)),
HYPERLINK("#Roadmap!C"&amp; MATCH($E172,Roadmap!$D:$D,0)+COUNTIF($E172:AA172,"u")+COUNTIF($E172:AA172,"t"),
     INDEX(Roadmap!$D:$K,MATCH($E172,Roadmap!$D:$D,0)+COUNTIF($E172:AA172,"u")+COUNTIF($E172:AA172,"t")+COUNTIF($E172:AA172,"¶")+COUNTIF($E172:AA172,"²")+COUNTIF($E172:AA172,"µ")+COUNTIF($E172:AA172,1),ColTypeEcheance)),
  IF(LEN(AA172)=1,
  IF(LEN(INDEX(Roadmap!$D:$K,MATCH($E172,Roadmap!$D:$D,0)-1+COUNTIF($E172:AA172,"u")+COUNTIF($E172:AA172,"t")+COUNTIF($E172:AA172,"¶")+COUNTIF($E172:AA172,"²")+COUNTIF($E172:AA172,"µ")+COUNTIF($E172:AA172,1),ColDescriptionCourte))&gt;1,
HYPERLINK("#Roadmap!C"&amp; MATCH($E172,Roadmap!$D:$D,0)+COUNTIF($E172:AA172,"u")+COUNTIF($E172:AA172,"t")+COUNTIF($E172:AA172,"¶")+COUNTIF($E172:AA172,"²")+COUNTIF($E172:AA172,"µ")+COUNTIF($E172:AA172,1)-1,INDEX(Roadmap!$D:$K,MATCH($E172,Roadmap!$D:$D,0)-1+COUNTIF($E172:AA172,"u")+COUNTIF($E172:AA172,"t")+COUNTIF($E172:AA172,"¶")+COUNTIF($E172:AA172,"²")+COUNTIF($E172:AA172,"µ")+COUNTIF($E172:AA172,1),ColDescriptionCourte)),""),
  "")),"")</f>
        <v/>
      </c>
      <c r="AC172" s="40" t="str">
        <f ca="1">IFERROR(IF(AND(
  INDEX(Roadmap!$D:$K,MATCH($E172,Roadmap!$D:$D,0)+COUNTIF($E172:AB172,"u")+COUNTIF($E172:AB172,"t")+COUNTIF($E172:AB172,"¶")+COUNTIF($E172:AB172,"²")+COUNTIF($E172:AB172,"µ")+COUNTIF($E172:AB172,1),ColLivraison)=AC$6,
  VLOOKUP($E172,INDIRECT("tri!"&amp; CHAR(64+ C0Col) &amp;":"&amp; CHAR(65+C0Col)),2,FALSE)&gt;COUNTIF($E172:AB172,"u")+COUNTIF($E172:AB172,"t")+COUNTIF($E172:AB172,"¶")+COUNTIF($E172:AB172,"²")+COUNTIF($E172:AB172,"µ")+COUNTIF($E172:AB172,1)),
HYPERLINK("#Roadmap!C"&amp; MATCH($E172,Roadmap!$D:$D,0)+COUNTIF($E172:AB172,"u")+COUNTIF($E172:AB172,"t"),
     INDEX(Roadmap!$D:$K,MATCH($E172,Roadmap!$D:$D,0)+COUNTIF($E172:AB172,"u")+COUNTIF($E172:AB172,"t")+COUNTIF($E172:AB172,"¶")+COUNTIF($E172:AB172,"²")+COUNTIF($E172:AB172,"µ")+COUNTIF($E172:AB172,1),ColTypeEcheance)),
  IF(LEN(AB172)=1,
  IF(LEN(INDEX(Roadmap!$D:$K,MATCH($E172,Roadmap!$D:$D,0)-1+COUNTIF($E172:AB172,"u")+COUNTIF($E172:AB172,"t")+COUNTIF($E172:AB172,"¶")+COUNTIF($E172:AB172,"²")+COUNTIF($E172:AB172,"µ")+COUNTIF($E172:AB172,1),ColDescriptionCourte))&gt;1,
HYPERLINK("#Roadmap!C"&amp; MATCH($E172,Roadmap!$D:$D,0)+COUNTIF($E172:AB172,"u")+COUNTIF($E172:AB172,"t")+COUNTIF($E172:AB172,"¶")+COUNTIF($E172:AB172,"²")+COUNTIF($E172:AB172,"µ")+COUNTIF($E172:AB172,1)-1,INDEX(Roadmap!$D:$K,MATCH($E172,Roadmap!$D:$D,0)-1+COUNTIF($E172:AB172,"u")+COUNTIF($E172:AB172,"t")+COUNTIF($E172:AB172,"¶")+COUNTIF($E172:AB172,"²")+COUNTIF($E172:AB172,"µ")+COUNTIF($E172:AB172,1),ColDescriptionCourte)),""),
  "")),"")</f>
        <v/>
      </c>
      <c r="AD172" s="40" t="str">
        <f ca="1">IFERROR(IF(AND(
  INDEX(Roadmap!$D:$K,MATCH($E172,Roadmap!$D:$D,0)+COUNTIF($E172:AC172,"u")+COUNTIF($E172:AC172,"t")+COUNTIF($E172:AC172,"¶")+COUNTIF($E172:AC172,"²")+COUNTIF($E172:AC172,"µ")+COUNTIF($E172:AC172,1),ColLivraison)=AD$6,
  VLOOKUP($E172,INDIRECT("tri!"&amp; CHAR(64+ C0Col) &amp;":"&amp; CHAR(65+C0Col)),2,FALSE)&gt;COUNTIF($E172:AC172,"u")+COUNTIF($E172:AC172,"t")+COUNTIF($E172:AC172,"¶")+COUNTIF($E172:AC172,"²")+COUNTIF($E172:AC172,"µ")+COUNTIF($E172:AC172,1)),
HYPERLINK("#Roadmap!C"&amp; MATCH($E172,Roadmap!$D:$D,0)+COUNTIF($E172:AC172,"u")+COUNTIF($E172:AC172,"t"),
     INDEX(Roadmap!$D:$K,MATCH($E172,Roadmap!$D:$D,0)+COUNTIF($E172:AC172,"u")+COUNTIF($E172:AC172,"t")+COUNTIF($E172:AC172,"¶")+COUNTIF($E172:AC172,"²")+COUNTIF($E172:AC172,"µ")+COUNTIF($E172:AC172,1),ColTypeEcheance)),
  IF(LEN(AC172)=1,
  IF(LEN(INDEX(Roadmap!$D:$K,MATCH($E172,Roadmap!$D:$D,0)-1+COUNTIF($E172:AC172,"u")+COUNTIF($E172:AC172,"t")+COUNTIF($E172:AC172,"¶")+COUNTIF($E172:AC172,"²")+COUNTIF($E172:AC172,"µ")+COUNTIF($E172:AC172,1),ColDescriptionCourte))&gt;1,
HYPERLINK("#Roadmap!C"&amp; MATCH($E172,Roadmap!$D:$D,0)+COUNTIF($E172:AC172,"u")+COUNTIF($E172:AC172,"t")+COUNTIF($E172:AC172,"¶")+COUNTIF($E172:AC172,"²")+COUNTIF($E172:AC172,"µ")+COUNTIF($E172:AC172,1)-1,INDEX(Roadmap!$D:$K,MATCH($E172,Roadmap!$D:$D,0)-1+COUNTIF($E172:AC172,"u")+COUNTIF($E172:AC172,"t")+COUNTIF($E172:AC172,"¶")+COUNTIF($E172:AC172,"²")+COUNTIF($E172:AC172,"µ")+COUNTIF($E172:AC172,1),ColDescriptionCourte)),""),
  "")),"")</f>
        <v/>
      </c>
      <c r="AE172" s="40" t="str">
        <f ca="1">IFERROR(IF(AND(
  INDEX(Roadmap!$D:$K,MATCH($E172,Roadmap!$D:$D,0)+COUNTIF($E172:AD172,"u")+COUNTIF($E172:AD172,"t")+COUNTIF($E172:AD172,"¶")+COUNTIF($E172:AD172,"²")+COUNTIF($E172:AD172,"µ")+COUNTIF($E172:AD172,1),ColLivraison)=AE$6,
  VLOOKUP($E172,INDIRECT("tri!"&amp; CHAR(64+ C0Col) &amp;":"&amp; CHAR(65+C0Col)),2,FALSE)&gt;COUNTIF($E172:AD172,"u")+COUNTIF($E172:AD172,"t")+COUNTIF($E172:AD172,"¶")+COUNTIF($E172:AD172,"²")+COUNTIF($E172:AD172,"µ")+COUNTIF($E172:AD172,1)),
HYPERLINK("#Roadmap!C"&amp; MATCH($E172,Roadmap!$D:$D,0)+COUNTIF($E172:AD172,"u")+COUNTIF($E172:AD172,"t"),
     INDEX(Roadmap!$D:$K,MATCH($E172,Roadmap!$D:$D,0)+COUNTIF($E172:AD172,"u")+COUNTIF($E172:AD172,"t")+COUNTIF($E172:AD172,"¶")+COUNTIF($E172:AD172,"²")+COUNTIF($E172:AD172,"µ")+COUNTIF($E172:AD172,1),ColTypeEcheance)),
  IF(LEN(AD172)=1,
  IF(LEN(INDEX(Roadmap!$D:$K,MATCH($E172,Roadmap!$D:$D,0)-1+COUNTIF($E172:AD172,"u")+COUNTIF($E172:AD172,"t")+COUNTIF($E172:AD172,"¶")+COUNTIF($E172:AD172,"²")+COUNTIF($E172:AD172,"µ")+COUNTIF($E172:AD172,1),ColDescriptionCourte))&gt;1,
HYPERLINK("#Roadmap!C"&amp; MATCH($E172,Roadmap!$D:$D,0)+COUNTIF($E172:AD172,"u")+COUNTIF($E172:AD172,"t")+COUNTIF($E172:AD172,"¶")+COUNTIF($E172:AD172,"²")+COUNTIF($E172:AD172,"µ")+COUNTIF($E172:AD172,1)-1,INDEX(Roadmap!$D:$K,MATCH($E172,Roadmap!$D:$D,0)-1+COUNTIF($E172:AD172,"u")+COUNTIF($E172:AD172,"t")+COUNTIF($E172:AD172,"¶")+COUNTIF($E172:AD172,"²")+COUNTIF($E172:AD172,"µ")+COUNTIF($E172:AD172,1),ColDescriptionCourte)),""),
  "")),"")</f>
        <v/>
      </c>
      <c r="AF172" s="40" t="str">
        <f ca="1">IFERROR(IF(AND(
  INDEX(Roadmap!$D:$K,MATCH($E172,Roadmap!$D:$D,0)+COUNTIF($E172:AE172,"u")+COUNTIF($E172:AE172,"t")+COUNTIF($E172:AE172,"¶")+COUNTIF($E172:AE172,"²")+COUNTIF($E172:AE172,"µ")+COUNTIF($E172:AE172,1),ColLivraison)=AF$6,
  VLOOKUP($E172,INDIRECT("tri!"&amp; CHAR(64+ C0Col) &amp;":"&amp; CHAR(65+C0Col)),2,FALSE)&gt;COUNTIF($E172:AE172,"u")+COUNTIF($E172:AE172,"t")+COUNTIF($E172:AE172,"¶")+COUNTIF($E172:AE172,"²")+COUNTIF($E172:AE172,"µ")+COUNTIF($E172:AE172,1)),
HYPERLINK("#Roadmap!C"&amp; MATCH($E172,Roadmap!$D:$D,0)+COUNTIF($E172:AE172,"u")+COUNTIF($E172:AE172,"t"),
     INDEX(Roadmap!$D:$K,MATCH($E172,Roadmap!$D:$D,0)+COUNTIF($E172:AE172,"u")+COUNTIF($E172:AE172,"t")+COUNTIF($E172:AE172,"¶")+COUNTIF($E172:AE172,"²")+COUNTIF($E172:AE172,"µ")+COUNTIF($E172:AE172,1),ColTypeEcheance)),
  IF(LEN(AE172)=1,
  IF(LEN(INDEX(Roadmap!$D:$K,MATCH($E172,Roadmap!$D:$D,0)-1+COUNTIF($E172:AE172,"u")+COUNTIF($E172:AE172,"t")+COUNTIF($E172:AE172,"¶")+COUNTIF($E172:AE172,"²")+COUNTIF($E172:AE172,"µ")+COUNTIF($E172:AE172,1),ColDescriptionCourte))&gt;1,
HYPERLINK("#Roadmap!C"&amp; MATCH($E172,Roadmap!$D:$D,0)+COUNTIF($E172:AE172,"u")+COUNTIF($E172:AE172,"t")+COUNTIF($E172:AE172,"¶")+COUNTIF($E172:AE172,"²")+COUNTIF($E172:AE172,"µ")+COUNTIF($E172:AE172,1)-1,INDEX(Roadmap!$D:$K,MATCH($E172,Roadmap!$D:$D,0)-1+COUNTIF($E172:AE172,"u")+COUNTIF($E172:AE172,"t")+COUNTIF($E172:AE172,"¶")+COUNTIF($E172:AE172,"²")+COUNTIF($E172:AE172,"µ")+COUNTIF($E172:AE172,1),ColDescriptionCourte)),""),
  "")),"")</f>
        <v/>
      </c>
      <c r="AG172" s="40" t="str">
        <f ca="1">IFERROR(IF(AND(
  INDEX(Roadmap!$D:$K,MATCH($E172,Roadmap!$D:$D,0)+COUNTIF($E172:AF172,"u")+COUNTIF($E172:AF172,"t")+COUNTIF($E172:AF172,"¶")+COUNTIF($E172:AF172,"²")+COUNTIF($E172:AF172,"µ")+COUNTIF($E172:AF172,1),ColLivraison)=AG$6,
  VLOOKUP($E172,INDIRECT("tri!"&amp; CHAR(64+ C0Col) &amp;":"&amp; CHAR(65+C0Col)),2,FALSE)&gt;COUNTIF($E172:AF172,"u")+COUNTIF($E172:AF172,"t")+COUNTIF($E172:AF172,"¶")+COUNTIF($E172:AF172,"²")+COUNTIF($E172:AF172,"µ")+COUNTIF($E172:AF172,1)),
HYPERLINK("#Roadmap!C"&amp; MATCH($E172,Roadmap!$D:$D,0)+COUNTIF($E172:AF172,"u")+COUNTIF($E172:AF172,"t"),
     INDEX(Roadmap!$D:$K,MATCH($E172,Roadmap!$D:$D,0)+COUNTIF($E172:AF172,"u")+COUNTIF($E172:AF172,"t")+COUNTIF($E172:AF172,"¶")+COUNTIF($E172:AF172,"²")+COUNTIF($E172:AF172,"µ")+COUNTIF($E172:AF172,1),ColTypeEcheance)),
  IF(LEN(AF172)=1,
  IF(LEN(INDEX(Roadmap!$D:$K,MATCH($E172,Roadmap!$D:$D,0)-1+COUNTIF($E172:AF172,"u")+COUNTIF($E172:AF172,"t")+COUNTIF($E172:AF172,"¶")+COUNTIF($E172:AF172,"²")+COUNTIF($E172:AF172,"µ")+COUNTIF($E172:AF172,1),ColDescriptionCourte))&gt;1,
HYPERLINK("#Roadmap!C"&amp; MATCH($E172,Roadmap!$D:$D,0)+COUNTIF($E172:AF172,"u")+COUNTIF($E172:AF172,"t")+COUNTIF($E172:AF172,"¶")+COUNTIF($E172:AF172,"²")+COUNTIF($E172:AF172,"µ")+COUNTIF($E172:AF172,1)-1,INDEX(Roadmap!$D:$K,MATCH($E172,Roadmap!$D:$D,0)-1+COUNTIF($E172:AF172,"u")+COUNTIF($E172:AF172,"t")+COUNTIF($E172:AF172,"¶")+COUNTIF($E172:AF172,"²")+COUNTIF($E172:AF172,"µ")+COUNTIF($E172:AF172,1),ColDescriptionCourte)),""),
  "")),"")</f>
        <v/>
      </c>
      <c r="AH172" s="40" t="str">
        <f ca="1">IFERROR(IF(AND(
  INDEX(Roadmap!$D:$K,MATCH($E172,Roadmap!$D:$D,0)+COUNTIF($E172:AG172,"u")+COUNTIF($E172:AG172,"t")+COUNTIF($E172:AG172,1),ColLivraison)=AH$6,
  VLOOKUP($E172,INDIRECT("tri!"&amp; CHAR(64+ C0Col) &amp;":"&amp; CHAR(65+C0Col)),2,FALSE)&gt;COUNTIF($E172:AG172,"u")+COUNTIF($E172:AG172,"t")+COUNTIF($E172:AG172,1)),
HYPERLINK("#Roadmap!C"&amp; MATCH($E172,Roadmap!$D:$D,0)+COUNTIF($E172:AG172,"u")+COUNTIF($E172:AG172,"t"),
     INDEX(Roadmap!$D:$K,MATCH($E172,Roadmap!$D:$D,0)+COUNTIF($E172:AG172,"u")+COUNTIF($E172:AG172,"t")+COUNTIF($E172:AG172,1),ColTypeEcheance)),
  IF(OR(AG172="u",AG172="t",AG172=1),
  IF(LEN(INDEX(Roadmap!$D:$K,MATCH($E172,Roadmap!$D:$D,0)-1+COUNTIF($E172:AG172,"u")+COUNTIF($E172:AG172,"t")+COUNTIF($E172:AG172,1),ColDescriptionCourte))&gt;1,
HYPERLINK("#Roadmap!C"&amp; MATCH($E172,Roadmap!$D:$D,0)+COUNTIF($E172:AG172,"u")+COUNTIF($E172:AG172,"t")+COUNTIF($E172:AG172,1)-1,INDEX(Roadmap!$D:$K,MATCH($E172,Roadmap!$D:$D,0)-1+COUNTIF($E172:AG172,"u")+COUNTIF($E172:AG172,"t")+COUNTIF($E172:AG172,1),ColDescriptionCourte)),""),
  "")),"")</f>
        <v/>
      </c>
      <c r="AI172" s="40"/>
      <c r="AJ172" s="40"/>
      <c r="AK172" s="40"/>
      <c r="AL172" s="40"/>
      <c r="AM172" s="40"/>
    </row>
    <row r="173" spans="4:39" ht="14.1" customHeight="1">
      <c r="D173" s="20" t="str">
        <f t="shared" ca="1" si="31"/>
        <v/>
      </c>
      <c r="E173" s="53" t="str">
        <f t="shared" ca="1" si="32"/>
        <v/>
      </c>
      <c r="F173" s="39" t="str">
        <f ca="1">IFERROR(IF(AND(
  INDEX(Roadmap!$D:$K,MATCH($E173,Roadmap!$D:$D,0)+COUNTIF($E173:E173,"u")+COUNTIF($E173:E173,"t")+COUNTIF($E173:E173,"¶")+COUNTIF($E173:E173,"²")+COUNTIF($E173:E173,"µ")+COUNTIF($E173:E173,1),ColLivraison)=F$6,
  VLOOKUP($E173,INDIRECT("tri!"&amp; CHAR(64+ C0Col) &amp;":"&amp; CHAR(65+C0Col)),2,FALSE)&gt;COUNTIF($E173:E173,"u")+COUNTIF($E173:E173,"t")+COUNTIF($E173:E173,"¶")+COUNTIF($E173:E173,"²")+COUNTIF($E173:E173,"µ")+COUNTIF($E173:E173,1)),
HYPERLINK("#Roadmap!C"&amp; MATCH($E173,Roadmap!$D:$D,0)+COUNTIF($E173:E173,"u")+COUNTIF($E173:E173,"t"),
     INDEX(Roadmap!$D:$K,MATCH($E173,Roadmap!$D:$D,0)+COUNTIF($E173:E173,"u")+COUNTIF($E173:E173,"t")+COUNTIF($E173:E173,"¶")+COUNTIF($E173:E173,"²")+COUNTIF($E173:E173,"µ")+COUNTIF($E173:E173,1),ColTypeEcheance)),
  IF(LEN(E173)=1,
  IF(LEN(INDEX(Roadmap!$D:$K,MATCH($E173,Roadmap!$D:$D,0)-1+COUNTIF($E173:E173,"u")+COUNTIF($E173:E173,"t")+COUNTIF($E173:E173,"¶")+COUNTIF($E173:E173,"²")+COUNTIF($E173:E173,"µ")+COUNTIF($E173:E173,1),ColDescriptionCourte))&gt;1,
HYPERLINK("#Roadmap!C"&amp; MATCH($E173,Roadmap!$D:$D,0)+COUNTIF($E173:E173,"u")+COUNTIF($E173:E173,"t")+COUNTIF($E173:E173,"¶")+COUNTIF($E173:E173,"²")+COUNTIF($E173:E173,"µ")+COUNTIF($E173:E173,1)-1,INDEX(Roadmap!$D:$K,MATCH($E173,Roadmap!$D:$D,0)-1+COUNTIF($E173:E173,"u")+COUNTIF($E173:E173,"t")+COUNTIF($E173:E173,"¶")+COUNTIF($E173:E173,"²")+COUNTIF($E173:E173,"µ")+COUNTIF($E173:E173,1),ColDescriptionCourte)),""),
  "")),"")</f>
        <v/>
      </c>
      <c r="G173" s="40" t="str">
        <f ca="1">IFERROR(IF(AND(
  INDEX(Roadmap!$D:$K,MATCH($E173,Roadmap!$D:$D,0)+COUNTIF($E173:F173,"u")+COUNTIF($E173:F173,"t")+COUNTIF($E173:F173,"¶")+COUNTIF($E173:F173,"²")+COUNTIF($E173:F173,"µ")+COUNTIF($E173:F173,1),ColLivraison)=G$6,
  VLOOKUP($E173,INDIRECT("tri!"&amp; CHAR(64+ C0Col) &amp;":"&amp; CHAR(65+C0Col)),2,FALSE)&gt;COUNTIF($E173:F173,"u")+COUNTIF($E173:F173,"t")+COUNTIF($E173:F173,"¶")+COUNTIF($E173:F173,"²")+COUNTIF($E173:F173,"µ")+COUNTIF($E173:F173,1)),
HYPERLINK("#Roadmap!C"&amp; MATCH($E173,Roadmap!$D:$D,0)+COUNTIF($E173:F173,"u")+COUNTIF($E173:F173,"t"),
     INDEX(Roadmap!$D:$K,MATCH($E173,Roadmap!$D:$D,0)+COUNTIF($E173:F173,"u")+COUNTIF($E173:F173,"t")+COUNTIF($E173:F173,"¶")+COUNTIF($E173:F173,"²")+COUNTIF($E173:F173,"µ")+COUNTIF($E173:F173,1),ColTypeEcheance)),
  IF(LEN(F173)=1,
  IF(LEN(INDEX(Roadmap!$D:$K,MATCH($E173,Roadmap!$D:$D,0)-1+COUNTIF($E173:F173,"u")+COUNTIF($E173:F173,"t")+COUNTIF($E173:F173,"¶")+COUNTIF($E173:F173,"²")+COUNTIF($E173:F173,"µ")+COUNTIF($E173:F173,1),ColDescriptionCourte))&gt;1,
HYPERLINK("#Roadmap!C"&amp; MATCH($E173,Roadmap!$D:$D,0)+COUNTIF($E173:F173,"u")+COUNTIF($E173:F173,"t")+COUNTIF($E173:F173,"¶")+COUNTIF($E173:F173,"²")+COUNTIF($E173:F173,"µ")+COUNTIF($E173:F173,1)-1,INDEX(Roadmap!$D:$K,MATCH($E173,Roadmap!$D:$D,0)-1+COUNTIF($E173:F173,"u")+COUNTIF($E173:F173,"t")+COUNTIF($E173:F173,"¶")+COUNTIF($E173:F173,"²")+COUNTIF($E173:F173,"µ")+COUNTIF($E173:F173,1),ColDescriptionCourte)),""),
  "")),"")</f>
        <v/>
      </c>
      <c r="H173" s="40" t="str">
        <f ca="1">IFERROR(IF(AND(
  INDEX(Roadmap!$D:$K,MATCH($E173,Roadmap!$D:$D,0)+COUNTIF($E173:G173,"u")+COUNTIF($E173:G173,"t")+COUNTIF($E173:G173,"¶")+COUNTIF($E173:G173,"²")+COUNTIF($E173:G173,"µ")+COUNTIF($E173:G173,1),ColLivraison)=H$6,
  VLOOKUP($E173,INDIRECT("tri!"&amp; CHAR(64+ C0Col) &amp;":"&amp; CHAR(65+C0Col)),2,FALSE)&gt;COUNTIF($E173:G173,"u")+COUNTIF($E173:G173,"t")+COUNTIF($E173:G173,"¶")+COUNTIF($E173:G173,"²")+COUNTIF($E173:G173,"µ")+COUNTIF($E173:G173,1)),
HYPERLINK("#Roadmap!C"&amp; MATCH($E173,Roadmap!$D:$D,0)+COUNTIF($E173:G173,"u")+COUNTIF($E173:G173,"t"),
     INDEX(Roadmap!$D:$K,MATCH($E173,Roadmap!$D:$D,0)+COUNTIF($E173:G173,"u")+COUNTIF($E173:G173,"t")+COUNTIF($E173:G173,"¶")+COUNTIF($E173:G173,"²")+COUNTIF($E173:G173,"µ")+COUNTIF($E173:G173,1),ColTypeEcheance)),
  IF(LEN(G173)=1,
  IF(LEN(INDEX(Roadmap!$D:$K,MATCH($E173,Roadmap!$D:$D,0)-1+COUNTIF($E173:G173,"u")+COUNTIF($E173:G173,"t")+COUNTIF($E173:G173,"¶")+COUNTIF($E173:G173,"²")+COUNTIF($E173:G173,"µ")+COUNTIF($E173:G173,1),ColDescriptionCourte))&gt;1,
HYPERLINK("#Roadmap!C"&amp; MATCH($E173,Roadmap!$D:$D,0)+COUNTIF($E173:G173,"u")+COUNTIF($E173:G173,"t")+COUNTIF($E173:G173,"¶")+COUNTIF($E173:G173,"²")+COUNTIF($E173:G173,"µ")+COUNTIF($E173:G173,1)-1,INDEX(Roadmap!$D:$K,MATCH($E173,Roadmap!$D:$D,0)-1+COUNTIF($E173:G173,"u")+COUNTIF($E173:G173,"t")+COUNTIF($E173:G173,"¶")+COUNTIF($E173:G173,"²")+COUNTIF($E173:G173,"µ")+COUNTIF($E173:G173,1),ColDescriptionCourte)),""),
  "")),"")</f>
        <v/>
      </c>
      <c r="I173" s="40" t="str">
        <f ca="1">IFERROR(IF(AND(
  INDEX(Roadmap!$D:$K,MATCH($E173,Roadmap!$D:$D,0)+COUNTIF($E173:H173,"u")+COUNTIF($E173:H173,"t")+COUNTIF($E173:H173,"¶")+COUNTIF($E173:H173,"²")+COUNTIF($E173:H173,"µ")+COUNTIF($E173:H173,1),ColLivraison)=I$6,
  VLOOKUP($E173,INDIRECT("tri!"&amp; CHAR(64+ C0Col) &amp;":"&amp; CHAR(65+C0Col)),2,FALSE)&gt;COUNTIF($E173:H173,"u")+COUNTIF($E173:H173,"t")+COUNTIF($E173:H173,"¶")+COUNTIF($E173:H173,"²")+COUNTIF($E173:H173,"µ")+COUNTIF($E173:H173,1)),
HYPERLINK("#Roadmap!C"&amp; MATCH($E173,Roadmap!$D:$D,0)+COUNTIF($E173:H173,"u")+COUNTIF($E173:H173,"t"),
     INDEX(Roadmap!$D:$K,MATCH($E173,Roadmap!$D:$D,0)+COUNTIF($E173:H173,"u")+COUNTIF($E173:H173,"t")+COUNTIF($E173:H173,"¶")+COUNTIF($E173:H173,"²")+COUNTIF($E173:H173,"µ")+COUNTIF($E173:H173,1),ColTypeEcheance)),
  IF(LEN(H173)=1,
  IF(LEN(INDEX(Roadmap!$D:$K,MATCH($E173,Roadmap!$D:$D,0)-1+COUNTIF($E173:H173,"u")+COUNTIF($E173:H173,"t")+COUNTIF($E173:H173,"¶")+COUNTIF($E173:H173,"²")+COUNTIF($E173:H173,"µ")+COUNTIF($E173:H173,1),ColDescriptionCourte))&gt;1,
HYPERLINK("#Roadmap!C"&amp; MATCH($E173,Roadmap!$D:$D,0)+COUNTIF($E173:H173,"u")+COUNTIF($E173:H173,"t")+COUNTIF($E173:H173,"¶")+COUNTIF($E173:H173,"²")+COUNTIF($E173:H173,"µ")+COUNTIF($E173:H173,1)-1,INDEX(Roadmap!$D:$K,MATCH($E173,Roadmap!$D:$D,0)-1+COUNTIF($E173:H173,"u")+COUNTIF($E173:H173,"t")+COUNTIF($E173:H173,"¶")+COUNTIF($E173:H173,"²")+COUNTIF($E173:H173,"µ")+COUNTIF($E173:H173,1),ColDescriptionCourte)),""),
  "")),"")</f>
        <v/>
      </c>
      <c r="J173" s="40" t="str">
        <f ca="1">IFERROR(IF(AND(
  INDEX(Roadmap!$D:$K,MATCH($E173,Roadmap!$D:$D,0)+COUNTIF($E173:I173,"u")+COUNTIF($E173:I173,"t")+COUNTIF($E173:I173,"¶")+COUNTIF($E173:I173,"²")+COUNTIF($E173:I173,"µ")+COUNTIF($E173:I173,1),ColLivraison)=J$6,
  VLOOKUP($E173,INDIRECT("tri!"&amp; CHAR(64+ C0Col) &amp;":"&amp; CHAR(65+C0Col)),2,FALSE)&gt;COUNTIF($E173:I173,"u")+COUNTIF($E173:I173,"t")+COUNTIF($E173:I173,"¶")+COUNTIF($E173:I173,"²")+COUNTIF($E173:I173,"µ")+COUNTIF($E173:I173,1)),
HYPERLINK("#Roadmap!C"&amp; MATCH($E173,Roadmap!$D:$D,0)+COUNTIF($E173:I173,"u")+COUNTIF($E173:I173,"t"),
     INDEX(Roadmap!$D:$K,MATCH($E173,Roadmap!$D:$D,0)+COUNTIF($E173:I173,"u")+COUNTIF($E173:I173,"t")+COUNTIF($E173:I173,"¶")+COUNTIF($E173:I173,"²")+COUNTIF($E173:I173,"µ")+COUNTIF($E173:I173,1),ColTypeEcheance)),
  IF(LEN(I173)=1,
  IF(LEN(INDEX(Roadmap!$D:$K,MATCH($E173,Roadmap!$D:$D,0)-1+COUNTIF($E173:I173,"u")+COUNTIF($E173:I173,"t")+COUNTIF($E173:I173,"¶")+COUNTIF($E173:I173,"²")+COUNTIF($E173:I173,"µ")+COUNTIF($E173:I173,1),ColDescriptionCourte))&gt;1,
HYPERLINK("#Roadmap!C"&amp; MATCH($E173,Roadmap!$D:$D,0)+COUNTIF($E173:I173,"u")+COUNTIF($E173:I173,"t")+COUNTIF($E173:I173,"¶")+COUNTIF($E173:I173,"²")+COUNTIF($E173:I173,"µ")+COUNTIF($E173:I173,1)-1,INDEX(Roadmap!$D:$K,MATCH($E173,Roadmap!$D:$D,0)-1+COUNTIF($E173:I173,"u")+COUNTIF($E173:I173,"t")+COUNTIF($E173:I173,"¶")+COUNTIF($E173:I173,"²")+COUNTIF($E173:I173,"µ")+COUNTIF($E173:I173,1),ColDescriptionCourte)),""),
  "")),"")</f>
        <v/>
      </c>
      <c r="K173" s="40" t="str">
        <f ca="1">IFERROR(IF(AND(
  INDEX(Roadmap!$D:$K,MATCH($E173,Roadmap!$D:$D,0)+COUNTIF($E173:J173,"u")+COUNTIF($E173:J173,"t")+COUNTIF($E173:J173,"¶")+COUNTIF($E173:J173,"²")+COUNTIF($E173:J173,"µ")+COUNTIF($E173:J173,1),ColLivraison)=K$6,
  VLOOKUP($E173,INDIRECT("tri!"&amp; CHAR(64+ C0Col) &amp;":"&amp; CHAR(65+C0Col)),2,FALSE)&gt;COUNTIF($E173:J173,"u")+COUNTIF($E173:J173,"t")+COUNTIF($E173:J173,"¶")+COUNTIF($E173:J173,"²")+COUNTIF($E173:J173,"µ")+COUNTIF($E173:J173,1)),
HYPERLINK("#Roadmap!C"&amp; MATCH($E173,Roadmap!$D:$D,0)+COUNTIF($E173:J173,"u")+COUNTIF($E173:J173,"t"),
     INDEX(Roadmap!$D:$K,MATCH($E173,Roadmap!$D:$D,0)+COUNTIF($E173:J173,"u")+COUNTIF($E173:J173,"t")+COUNTIF($E173:J173,"¶")+COUNTIF($E173:J173,"²")+COUNTIF($E173:J173,"µ")+COUNTIF($E173:J173,1),ColTypeEcheance)),
  IF(LEN(J173)=1,
  IF(LEN(INDEX(Roadmap!$D:$K,MATCH($E173,Roadmap!$D:$D,0)-1+COUNTIF($E173:J173,"u")+COUNTIF($E173:J173,"t")+COUNTIF($E173:J173,"¶")+COUNTIF($E173:J173,"²")+COUNTIF($E173:J173,"µ")+COUNTIF($E173:J173,1),ColDescriptionCourte))&gt;1,
HYPERLINK("#Roadmap!C"&amp; MATCH($E173,Roadmap!$D:$D,0)+COUNTIF($E173:J173,"u")+COUNTIF($E173:J173,"t")+COUNTIF($E173:J173,"¶")+COUNTIF($E173:J173,"²")+COUNTIF($E173:J173,"µ")+COUNTIF($E173:J173,1)-1,INDEX(Roadmap!$D:$K,MATCH($E173,Roadmap!$D:$D,0)-1+COUNTIF($E173:J173,"u")+COUNTIF($E173:J173,"t")+COUNTIF($E173:J173,"¶")+COUNTIF($E173:J173,"²")+COUNTIF($E173:J173,"µ")+COUNTIF($E173:J173,1),ColDescriptionCourte)),""),
  "")),"")</f>
        <v/>
      </c>
      <c r="L173" s="39" t="str">
        <f ca="1">IFERROR(IF(AND(
  INDEX(Roadmap!$D:$K,MATCH($E173,Roadmap!$D:$D,0)+COUNTIF($E173:K173,"u")+COUNTIF($E173:K173,"t")+COUNTIF($E173:K173,"¶")+COUNTIF($E173:K173,"²")+COUNTIF($E173:K173,"µ")+COUNTIF($E173:K173,1),ColLivraison)=L$6,
  VLOOKUP($E173,INDIRECT("tri!"&amp; CHAR(64+ C0Col) &amp;":"&amp; CHAR(65+C0Col)),2,FALSE)&gt;COUNTIF($E173:K173,"u")+COUNTIF($E173:K173,"t")+COUNTIF($E173:K173,"¶")+COUNTIF($E173:K173,"²")+COUNTIF($E173:K173,"µ")+COUNTIF($E173:K173,1)),
HYPERLINK("#Roadmap!C"&amp; MATCH($E173,Roadmap!$D:$D,0)+COUNTIF($E173:K173,"u")+COUNTIF($E173:K173,"t"),
     INDEX(Roadmap!$D:$K,MATCH($E173,Roadmap!$D:$D,0)+COUNTIF($E173:K173,"u")+COUNTIF($E173:K173,"t")+COUNTIF($E173:K173,"¶")+COUNTIF($E173:K173,"²")+COUNTIF($E173:K173,"µ")+COUNTIF($E173:K173,1),ColTypeEcheance)),
  IF(LEN(K173)=1,
  IF(LEN(INDEX(Roadmap!$D:$K,MATCH($E173,Roadmap!$D:$D,0)-1+COUNTIF($E173:K173,"u")+COUNTIF($E173:K173,"t")+COUNTIF($E173:K173,"¶")+COUNTIF($E173:K173,"²")+COUNTIF($E173:K173,"µ")+COUNTIF($E173:K173,1),ColDescriptionCourte))&gt;1,
HYPERLINK("#Roadmap!C"&amp; MATCH($E173,Roadmap!$D:$D,0)+COUNTIF($E173:K173,"u")+COUNTIF($E173:K173,"t")+COUNTIF($E173:K173,"¶")+COUNTIF($E173:K173,"²")+COUNTIF($E173:K173,"µ")+COUNTIF($E173:K173,1)-1,INDEX(Roadmap!$D:$K,MATCH($E173,Roadmap!$D:$D,0)-1+COUNTIF($E173:K173,"u")+COUNTIF($E173:K173,"t")+COUNTIF($E173:K173,"¶")+COUNTIF($E173:K173,"²")+COUNTIF($E173:K173,"µ")+COUNTIF($E173:K173,1),ColDescriptionCourte)),""),
  "")),"")</f>
        <v/>
      </c>
      <c r="M173" s="40" t="str">
        <f ca="1">IFERROR(IF(AND(
  INDEX(Roadmap!$D:$K,MATCH($E173,Roadmap!$D:$D,0)+COUNTIF($E173:L173,"u")+COUNTIF($E173:L173,"t")+COUNTIF($E173:L173,"¶")+COUNTIF($E173:L173,"²")+COUNTIF($E173:L173,"µ")+COUNTIF($E173:L173,1),ColLivraison)=M$6,
  VLOOKUP($E173,INDIRECT("tri!"&amp; CHAR(64+ C0Col) &amp;":"&amp; CHAR(65+C0Col)),2,FALSE)&gt;COUNTIF($E173:L173,"u")+COUNTIF($E173:L173,"t")+COUNTIF($E173:L173,"¶")+COUNTIF($E173:L173,"²")+COUNTIF($E173:L173,"µ")+COUNTIF($E173:L173,1)),
HYPERLINK("#Roadmap!C"&amp; MATCH($E173,Roadmap!$D:$D,0)+COUNTIF($E173:L173,"u")+COUNTIF($E173:L173,"t"),
     INDEX(Roadmap!$D:$K,MATCH($E173,Roadmap!$D:$D,0)+COUNTIF($E173:L173,"u")+COUNTIF($E173:L173,"t")+COUNTIF($E173:L173,"¶")+COUNTIF($E173:L173,"²")+COUNTIF($E173:L173,"µ")+COUNTIF($E173:L173,1),ColTypeEcheance)),
  IF(LEN(L173)=1,
  IF(LEN(INDEX(Roadmap!$D:$K,MATCH($E173,Roadmap!$D:$D,0)-1+COUNTIF($E173:L173,"u")+COUNTIF($E173:L173,"t")+COUNTIF($E173:L173,"¶")+COUNTIF($E173:L173,"²")+COUNTIF($E173:L173,"µ")+COUNTIF($E173:L173,1),ColDescriptionCourte))&gt;1,
HYPERLINK("#Roadmap!C"&amp; MATCH($E173,Roadmap!$D:$D,0)+COUNTIF($E173:L173,"u")+COUNTIF($E173:L173,"t")+COUNTIF($E173:L173,"¶")+COUNTIF($E173:L173,"²")+COUNTIF($E173:L173,"µ")+COUNTIF($E173:L173,1)-1,INDEX(Roadmap!$D:$K,MATCH($E173,Roadmap!$D:$D,0)-1+COUNTIF($E173:L173,"u")+COUNTIF($E173:L173,"t")+COUNTIF($E173:L173,"¶")+COUNTIF($E173:L173,"²")+COUNTIF($E173:L173,"µ")+COUNTIF($E173:L173,1),ColDescriptionCourte)),""),
  "")),"")</f>
        <v/>
      </c>
      <c r="N173" s="40" t="str">
        <f ca="1">IFERROR(IF(AND(
  INDEX(Roadmap!$D:$K,MATCH($E173,Roadmap!$D:$D,0)+COUNTIF($E173:M173,"u")+COUNTIF($E173:M173,"t")+COUNTIF($E173:M173,"¶")+COUNTIF($E173:M173,"²")+COUNTIF($E173:M173,"µ")+COUNTIF($E173:M173,1),ColLivraison)=N$6,
  VLOOKUP($E173,INDIRECT("tri!"&amp; CHAR(64+ C0Col) &amp;":"&amp; CHAR(65+C0Col)),2,FALSE)&gt;COUNTIF($E173:M173,"u")+COUNTIF($E173:M173,"t")+COUNTIF($E173:M173,"¶")+COUNTIF($E173:M173,"²")+COUNTIF($E173:M173,"µ")+COUNTIF($E173:M173,1)),
HYPERLINK("#Roadmap!C"&amp; MATCH($E173,Roadmap!$D:$D,0)+COUNTIF($E173:M173,"u")+COUNTIF($E173:M173,"t"),
     INDEX(Roadmap!$D:$K,MATCH($E173,Roadmap!$D:$D,0)+COUNTIF($E173:M173,"u")+COUNTIF($E173:M173,"t")+COUNTIF($E173:M173,"¶")+COUNTIF($E173:M173,"²")+COUNTIF($E173:M173,"µ")+COUNTIF($E173:M173,1),ColTypeEcheance)),
  IF(LEN(M173)=1,
  IF(LEN(INDEX(Roadmap!$D:$K,MATCH($E173,Roadmap!$D:$D,0)-1+COUNTIF($E173:M173,"u")+COUNTIF($E173:M173,"t")+COUNTIF($E173:M173,"¶")+COUNTIF($E173:M173,"²")+COUNTIF($E173:M173,"µ")+COUNTIF($E173:M173,1),ColDescriptionCourte))&gt;1,
HYPERLINK("#Roadmap!C"&amp; MATCH($E173,Roadmap!$D:$D,0)+COUNTIF($E173:M173,"u")+COUNTIF($E173:M173,"t")+COUNTIF($E173:M173,"¶")+COUNTIF($E173:M173,"²")+COUNTIF($E173:M173,"µ")+COUNTIF($E173:M173,1)-1,INDEX(Roadmap!$D:$K,MATCH($E173,Roadmap!$D:$D,0)-1+COUNTIF($E173:M173,"u")+COUNTIF($E173:M173,"t")+COUNTIF($E173:M173,"¶")+COUNTIF($E173:M173,"²")+COUNTIF($E173:M173,"µ")+COUNTIF($E173:M173,1),ColDescriptionCourte)),""),
  "")),"")</f>
        <v/>
      </c>
      <c r="O173" s="40" t="str">
        <f ca="1">IFERROR(IF(AND(
  INDEX(Roadmap!$D:$K,MATCH($E173,Roadmap!$D:$D,0)+COUNTIF($E173:N173,"u")+COUNTIF($E173:N173,"t")+COUNTIF($E173:N173,"¶")+COUNTIF($E173:N173,"²")+COUNTIF($E173:N173,"µ")+COUNTIF($E173:N173,1),ColLivraison)=O$6,
  VLOOKUP($E173,INDIRECT("tri!"&amp; CHAR(64+ C0Col) &amp;":"&amp; CHAR(65+C0Col)),2,FALSE)&gt;COUNTIF($E173:N173,"u")+COUNTIF($E173:N173,"t")+COUNTIF($E173:N173,"¶")+COUNTIF($E173:N173,"²")+COUNTIF($E173:N173,"µ")+COUNTIF($E173:N173,1)),
HYPERLINK("#Roadmap!C"&amp; MATCH($E173,Roadmap!$D:$D,0)+COUNTIF($E173:N173,"u")+COUNTIF($E173:N173,"t"),
     INDEX(Roadmap!$D:$K,MATCH($E173,Roadmap!$D:$D,0)+COUNTIF($E173:N173,"u")+COUNTIF($E173:N173,"t")+COUNTIF($E173:N173,"¶")+COUNTIF($E173:N173,"²")+COUNTIF($E173:N173,"µ")+COUNTIF($E173:N173,1),ColTypeEcheance)),
  IF(LEN(N173)=1,
  IF(LEN(INDEX(Roadmap!$D:$K,MATCH($E173,Roadmap!$D:$D,0)-1+COUNTIF($E173:N173,"u")+COUNTIF($E173:N173,"t")+COUNTIF($E173:N173,"¶")+COUNTIF($E173:N173,"²")+COUNTIF($E173:N173,"µ")+COUNTIF($E173:N173,1),ColDescriptionCourte))&gt;1,
HYPERLINK("#Roadmap!C"&amp; MATCH($E173,Roadmap!$D:$D,0)+COUNTIF($E173:N173,"u")+COUNTIF($E173:N173,"t")+COUNTIF($E173:N173,"¶")+COUNTIF($E173:N173,"²")+COUNTIF($E173:N173,"µ")+COUNTIF($E173:N173,1)-1,INDEX(Roadmap!$D:$K,MATCH($E173,Roadmap!$D:$D,0)-1+COUNTIF($E173:N173,"u")+COUNTIF($E173:N173,"t")+COUNTIF($E173:N173,"¶")+COUNTIF($E173:N173,"²")+COUNTIF($E173:N173,"µ")+COUNTIF($E173:N173,1),ColDescriptionCourte)),""),
  "")),"")</f>
        <v/>
      </c>
      <c r="P173" s="40" t="str">
        <f ca="1">IFERROR(IF(AND(
  INDEX(Roadmap!$D:$K,MATCH($E173,Roadmap!$D:$D,0)+COUNTIF($E173:O173,"u")+COUNTIF($E173:O173,"t")+COUNTIF($E173:O173,"¶")+COUNTIF($E173:O173,"²")+COUNTIF($E173:O173,"µ")+COUNTIF($E173:O173,1),ColLivraison)=P$6,
  VLOOKUP($E173,INDIRECT("tri!"&amp; CHAR(64+ C0Col) &amp;":"&amp; CHAR(65+C0Col)),2,FALSE)&gt;COUNTIF($E173:O173,"u")+COUNTIF($E173:O173,"t")+COUNTIF($E173:O173,"¶")+COUNTIF($E173:O173,"²")+COUNTIF($E173:O173,"µ")+COUNTIF($E173:O173,1)),
HYPERLINK("#Roadmap!C"&amp; MATCH($E173,Roadmap!$D:$D,0)+COUNTIF($E173:O173,"u")+COUNTIF($E173:O173,"t"),
     INDEX(Roadmap!$D:$K,MATCH($E173,Roadmap!$D:$D,0)+COUNTIF($E173:O173,"u")+COUNTIF($E173:O173,"t")+COUNTIF($E173:O173,"¶")+COUNTIF($E173:O173,"²")+COUNTIF($E173:O173,"µ")+COUNTIF($E173:O173,1),ColTypeEcheance)),
  IF(LEN(O173)=1,
  IF(LEN(INDEX(Roadmap!$D:$K,MATCH($E173,Roadmap!$D:$D,0)-1+COUNTIF($E173:O173,"u")+COUNTIF($E173:O173,"t")+COUNTIF($E173:O173,"¶")+COUNTIF($E173:O173,"²")+COUNTIF($E173:O173,"µ")+COUNTIF($E173:O173,1),ColDescriptionCourte))&gt;1,
HYPERLINK("#Roadmap!C"&amp; MATCH($E173,Roadmap!$D:$D,0)+COUNTIF($E173:O173,"u")+COUNTIF($E173:O173,"t")+COUNTIF($E173:O173,"¶")+COUNTIF($E173:O173,"²")+COUNTIF($E173:O173,"µ")+COUNTIF($E173:O173,1)-1,INDEX(Roadmap!$D:$K,MATCH($E173,Roadmap!$D:$D,0)-1+COUNTIF($E173:O173,"u")+COUNTIF($E173:O173,"t")+COUNTIF($E173:O173,"¶")+COUNTIF($E173:O173,"²")+COUNTIF($E173:O173,"µ")+COUNTIF($E173:O173,1),ColDescriptionCourte)),""),
  "")),"")</f>
        <v/>
      </c>
      <c r="Q173" s="40" t="str">
        <f ca="1">IFERROR(IF(AND(
  INDEX(Roadmap!$D:$K,MATCH($E173,Roadmap!$D:$D,0)+COUNTIF($E173:P173,"u")+COUNTIF($E173:P173,"t")+COUNTIF($E173:P173,"¶")+COUNTIF($E173:P173,"²")+COUNTIF($E173:P173,"µ")+COUNTIF($E173:P173,1),ColLivraison)=Q$6,
  VLOOKUP($E173,INDIRECT("tri!"&amp; CHAR(64+ C0Col) &amp;":"&amp; CHAR(65+C0Col)),2,FALSE)&gt;COUNTIF($E173:P173,"u")+COUNTIF($E173:P173,"t")+COUNTIF($E173:P173,"¶")+COUNTIF($E173:P173,"²")+COUNTIF($E173:P173,"µ")+COUNTIF($E173:P173,1)),
HYPERLINK("#Roadmap!C"&amp; MATCH($E173,Roadmap!$D:$D,0)+COUNTIF($E173:P173,"u")+COUNTIF($E173:P173,"t"),
     INDEX(Roadmap!$D:$K,MATCH($E173,Roadmap!$D:$D,0)+COUNTIF($E173:P173,"u")+COUNTIF($E173:P173,"t")+COUNTIF($E173:P173,"¶")+COUNTIF($E173:P173,"²")+COUNTIF($E173:P173,"µ")+COUNTIF($E173:P173,1),ColTypeEcheance)),
  IF(LEN(P173)=1,
  IF(LEN(INDEX(Roadmap!$D:$K,MATCH($E173,Roadmap!$D:$D,0)-1+COUNTIF($E173:P173,"u")+COUNTIF($E173:P173,"t")+COUNTIF($E173:P173,"¶")+COUNTIF($E173:P173,"²")+COUNTIF($E173:P173,"µ")+COUNTIF($E173:P173,1),ColDescriptionCourte))&gt;1,
HYPERLINK("#Roadmap!C"&amp; MATCH($E173,Roadmap!$D:$D,0)+COUNTIF($E173:P173,"u")+COUNTIF($E173:P173,"t")+COUNTIF($E173:P173,"¶")+COUNTIF($E173:P173,"²")+COUNTIF($E173:P173,"µ")+COUNTIF($E173:P173,1)-1,INDEX(Roadmap!$D:$K,MATCH($E173,Roadmap!$D:$D,0)-1+COUNTIF($E173:P173,"u")+COUNTIF($E173:P173,"t")+COUNTIF($E173:P173,"¶")+COUNTIF($E173:P173,"²")+COUNTIF($E173:P173,"µ")+COUNTIF($E173:P173,1),ColDescriptionCourte)),""),
  "")),"")</f>
        <v/>
      </c>
      <c r="R173" s="40" t="str">
        <f ca="1">IFERROR(IF(AND(
  INDEX(Roadmap!$D:$K,MATCH($E173,Roadmap!$D:$D,0)+COUNTIF($E173:Q173,"u")+COUNTIF($E173:Q173,"t")+COUNTIF($E173:Q173,"¶")+COUNTIF($E173:Q173,"²")+COUNTIF($E173:Q173,"µ")+COUNTIF($E173:Q173,1),ColLivraison)=R$6,
  VLOOKUP($E173,INDIRECT("tri!"&amp; CHAR(64+ C0Col) &amp;":"&amp; CHAR(65+C0Col)),2,FALSE)&gt;COUNTIF($E173:Q173,"u")+COUNTIF($E173:Q173,"t")+COUNTIF($E173:Q173,"¶")+COUNTIF($E173:Q173,"²")+COUNTIF($E173:Q173,"µ")+COUNTIF($E173:Q173,1)),
HYPERLINK("#Roadmap!C"&amp; MATCH($E173,Roadmap!$D:$D,0)+COUNTIF($E173:Q173,"u")+COUNTIF($E173:Q173,"t"),
     INDEX(Roadmap!$D:$K,MATCH($E173,Roadmap!$D:$D,0)+COUNTIF($E173:Q173,"u")+COUNTIF($E173:Q173,"t")+COUNTIF($E173:Q173,"¶")+COUNTIF($E173:Q173,"²")+COUNTIF($E173:Q173,"µ")+COUNTIF($E173:Q173,1),ColTypeEcheance)),
  IF(LEN(Q173)=1,
  IF(LEN(INDEX(Roadmap!$D:$K,MATCH($E173,Roadmap!$D:$D,0)-1+COUNTIF($E173:Q173,"u")+COUNTIF($E173:Q173,"t")+COUNTIF($E173:Q173,"¶")+COUNTIF($E173:Q173,"²")+COUNTIF($E173:Q173,"µ")+COUNTIF($E173:Q173,1),ColDescriptionCourte))&gt;1,
HYPERLINK("#Roadmap!C"&amp; MATCH($E173,Roadmap!$D:$D,0)+COUNTIF($E173:Q173,"u")+COUNTIF($E173:Q173,"t")+COUNTIF($E173:Q173,"¶")+COUNTIF($E173:Q173,"²")+COUNTIF($E173:Q173,"µ")+COUNTIF($E173:Q173,1)-1,INDEX(Roadmap!$D:$K,MATCH($E173,Roadmap!$D:$D,0)-1+COUNTIF($E173:Q173,"u")+COUNTIF($E173:Q173,"t")+COUNTIF($E173:Q173,"¶")+COUNTIF($E173:Q173,"²")+COUNTIF($E173:Q173,"µ")+COUNTIF($E173:Q173,1),ColDescriptionCourte)),""),
  "")),"")</f>
        <v/>
      </c>
      <c r="S173" s="40" t="str">
        <f ca="1">IFERROR(IF(AND(
  INDEX(Roadmap!$D:$K,MATCH($E173,Roadmap!$D:$D,0)+COUNTIF($E173:R173,"u")+COUNTIF($E173:R173,"t")+COUNTIF($E173:R173,"¶")+COUNTIF($E173:R173,"²")+COUNTIF($E173:R173,"µ")+COUNTIF($E173:R173,1),ColLivraison)=S$6,
  VLOOKUP($E173,INDIRECT("tri!"&amp; CHAR(64+ C0Col) &amp;":"&amp; CHAR(65+C0Col)),2,FALSE)&gt;COUNTIF($E173:R173,"u")+COUNTIF($E173:R173,"t")+COUNTIF($E173:R173,"¶")+COUNTIF($E173:R173,"²")+COUNTIF($E173:R173,"µ")+COUNTIF($E173:R173,1)),
HYPERLINK("#Roadmap!C"&amp; MATCH($E173,Roadmap!$D:$D,0)+COUNTIF($E173:R173,"u")+COUNTIF($E173:R173,"t"),
     INDEX(Roadmap!$D:$K,MATCH($E173,Roadmap!$D:$D,0)+COUNTIF($E173:R173,"u")+COUNTIF($E173:R173,"t")+COUNTIF($E173:R173,"¶")+COUNTIF($E173:R173,"²")+COUNTIF($E173:R173,"µ")+COUNTIF($E173:R173,1),ColTypeEcheance)),
  IF(LEN(R173)=1,
  IF(LEN(INDEX(Roadmap!$D:$K,MATCH($E173,Roadmap!$D:$D,0)-1+COUNTIF($E173:R173,"u")+COUNTIF($E173:R173,"t")+COUNTIF($E173:R173,"¶")+COUNTIF($E173:R173,"²")+COUNTIF($E173:R173,"µ")+COUNTIF($E173:R173,1),ColDescriptionCourte))&gt;1,
HYPERLINK("#Roadmap!C"&amp; MATCH($E173,Roadmap!$D:$D,0)+COUNTIF($E173:R173,"u")+COUNTIF($E173:R173,"t")+COUNTIF($E173:R173,"¶")+COUNTIF($E173:R173,"²")+COUNTIF($E173:R173,"µ")+COUNTIF($E173:R173,1)-1,INDEX(Roadmap!$D:$K,MATCH($E173,Roadmap!$D:$D,0)-1+COUNTIF($E173:R173,"u")+COUNTIF($E173:R173,"t")+COUNTIF($E173:R173,"¶")+COUNTIF($E173:R173,"²")+COUNTIF($E173:R173,"µ")+COUNTIF($E173:R173,1),ColDescriptionCourte)),""),
  "")),"")</f>
        <v/>
      </c>
      <c r="T173" s="40" t="str">
        <f ca="1">IFERROR(IF(AND(
  INDEX(Roadmap!$D:$K,MATCH($E173,Roadmap!$D:$D,0)+COUNTIF($E173:S173,"u")+COUNTIF($E173:S173,"t")+COUNTIF($E173:S173,"¶")+COUNTIF($E173:S173,"²")+COUNTIF($E173:S173,"µ")+COUNTIF($E173:S173,1),ColLivraison)=T$6,
  VLOOKUP($E173,INDIRECT("tri!"&amp; CHAR(64+ C0Col) &amp;":"&amp; CHAR(65+C0Col)),2,FALSE)&gt;COUNTIF($E173:S173,"u")+COUNTIF($E173:S173,"t")+COUNTIF($E173:S173,"¶")+COUNTIF($E173:S173,"²")+COUNTIF($E173:S173,"µ")+COUNTIF($E173:S173,1)),
HYPERLINK("#Roadmap!C"&amp; MATCH($E173,Roadmap!$D:$D,0)+COUNTIF($E173:S173,"u")+COUNTIF($E173:S173,"t"),
     INDEX(Roadmap!$D:$K,MATCH($E173,Roadmap!$D:$D,0)+COUNTIF($E173:S173,"u")+COUNTIF($E173:S173,"t")+COUNTIF($E173:S173,"¶")+COUNTIF($E173:S173,"²")+COUNTIF($E173:S173,"µ")+COUNTIF($E173:S173,1),ColTypeEcheance)),
  IF(LEN(S173)=1,
  IF(LEN(INDEX(Roadmap!$D:$K,MATCH($E173,Roadmap!$D:$D,0)-1+COUNTIF($E173:S173,"u")+COUNTIF($E173:S173,"t")+COUNTIF($E173:S173,"¶")+COUNTIF($E173:S173,"²")+COUNTIF($E173:S173,"µ")+COUNTIF($E173:S173,1),ColDescriptionCourte))&gt;1,
HYPERLINK("#Roadmap!C"&amp; MATCH($E173,Roadmap!$D:$D,0)+COUNTIF($E173:S173,"u")+COUNTIF($E173:S173,"t")+COUNTIF($E173:S173,"¶")+COUNTIF($E173:S173,"²")+COUNTIF($E173:S173,"µ")+COUNTIF($E173:S173,1)-1,INDEX(Roadmap!$D:$K,MATCH($E173,Roadmap!$D:$D,0)-1+COUNTIF($E173:S173,"u")+COUNTIF($E173:S173,"t")+COUNTIF($E173:S173,"¶")+COUNTIF($E173:S173,"²")+COUNTIF($E173:S173,"µ")+COUNTIF($E173:S173,1),ColDescriptionCourte)),""),
  "")),"")</f>
        <v/>
      </c>
      <c r="U173" s="40" t="str">
        <f ca="1">IFERROR(IF(AND(
  INDEX(Roadmap!$D:$K,MATCH($E173,Roadmap!$D:$D,0)+COUNTIF($E173:T173,"u")+COUNTIF($E173:T173,"t")+COUNTIF($E173:T173,"¶")+COUNTIF($E173:T173,"²")+COUNTIF($E173:T173,"µ")+COUNTIF($E173:T173,1),ColLivraison)=U$6,
  VLOOKUP($E173,INDIRECT("tri!"&amp; CHAR(64+ C0Col) &amp;":"&amp; CHAR(65+C0Col)),2,FALSE)&gt;COUNTIF($E173:T173,"u")+COUNTIF($E173:T173,"t")+COUNTIF($E173:T173,"¶")+COUNTIF($E173:T173,"²")+COUNTIF($E173:T173,"µ")+COUNTIF($E173:T173,1)),
HYPERLINK("#Roadmap!C"&amp; MATCH($E173,Roadmap!$D:$D,0)+COUNTIF($E173:T173,"u")+COUNTIF($E173:T173,"t"),
     INDEX(Roadmap!$D:$K,MATCH($E173,Roadmap!$D:$D,0)+COUNTIF($E173:T173,"u")+COUNTIF($E173:T173,"t")+COUNTIF($E173:T173,"¶")+COUNTIF($E173:T173,"²")+COUNTIF($E173:T173,"µ")+COUNTIF($E173:T173,1),ColTypeEcheance)),
  IF(LEN(T173)=1,
  IF(LEN(INDEX(Roadmap!$D:$K,MATCH($E173,Roadmap!$D:$D,0)-1+COUNTIF($E173:T173,"u")+COUNTIF($E173:T173,"t")+COUNTIF($E173:T173,"¶")+COUNTIF($E173:T173,"²")+COUNTIF($E173:T173,"µ")+COUNTIF($E173:T173,1),ColDescriptionCourte))&gt;1,
HYPERLINK("#Roadmap!C"&amp; MATCH($E173,Roadmap!$D:$D,0)+COUNTIF($E173:T173,"u")+COUNTIF($E173:T173,"t")+COUNTIF($E173:T173,"¶")+COUNTIF($E173:T173,"²")+COUNTIF($E173:T173,"µ")+COUNTIF($E173:T173,1)-1,INDEX(Roadmap!$D:$K,MATCH($E173,Roadmap!$D:$D,0)-1+COUNTIF($E173:T173,"u")+COUNTIF($E173:T173,"t")+COUNTIF($E173:T173,"¶")+COUNTIF($E173:T173,"²")+COUNTIF($E173:T173,"µ")+COUNTIF($E173:T173,1),ColDescriptionCourte)),""),
  "")),"")</f>
        <v/>
      </c>
      <c r="V173" s="40" t="str">
        <f ca="1">IFERROR(IF(AND(
  INDEX(Roadmap!$D:$K,MATCH($E173,Roadmap!$D:$D,0)+COUNTIF($E173:U173,"u")+COUNTIF($E173:U173,"t")+COUNTIF($E173:U173,"¶")+COUNTIF($E173:U173,"²")+COUNTIF($E173:U173,"µ")+COUNTIF($E173:U173,1),ColLivraison)=V$6,
  VLOOKUP($E173,INDIRECT("tri!"&amp; CHAR(64+ C0Col) &amp;":"&amp; CHAR(65+C0Col)),2,FALSE)&gt;COUNTIF($E173:U173,"u")+COUNTIF($E173:U173,"t")+COUNTIF($E173:U173,"¶")+COUNTIF($E173:U173,"²")+COUNTIF($E173:U173,"µ")+COUNTIF($E173:U173,1)),
HYPERLINK("#Roadmap!C"&amp; MATCH($E173,Roadmap!$D:$D,0)+COUNTIF($E173:U173,"u")+COUNTIF($E173:U173,"t"),
     INDEX(Roadmap!$D:$K,MATCH($E173,Roadmap!$D:$D,0)+COUNTIF($E173:U173,"u")+COUNTIF($E173:U173,"t")+COUNTIF($E173:U173,"¶")+COUNTIF($E173:U173,"²")+COUNTIF($E173:U173,"µ")+COUNTIF($E173:U173,1),ColTypeEcheance)),
  IF(LEN(U173)=1,
  IF(LEN(INDEX(Roadmap!$D:$K,MATCH($E173,Roadmap!$D:$D,0)-1+COUNTIF($E173:U173,"u")+COUNTIF($E173:U173,"t")+COUNTIF($E173:U173,"¶")+COUNTIF($E173:U173,"²")+COUNTIF($E173:U173,"µ")+COUNTIF($E173:U173,1),ColDescriptionCourte))&gt;1,
HYPERLINK("#Roadmap!C"&amp; MATCH($E173,Roadmap!$D:$D,0)+COUNTIF($E173:U173,"u")+COUNTIF($E173:U173,"t")+COUNTIF($E173:U173,"¶")+COUNTIF($E173:U173,"²")+COUNTIF($E173:U173,"µ")+COUNTIF($E173:U173,1)-1,INDEX(Roadmap!$D:$K,MATCH($E173,Roadmap!$D:$D,0)-1+COUNTIF($E173:U173,"u")+COUNTIF($E173:U173,"t")+COUNTIF($E173:U173,"¶")+COUNTIF($E173:U173,"²")+COUNTIF($E173:U173,"µ")+COUNTIF($E173:U173,1),ColDescriptionCourte)),""),
  "")),"")</f>
        <v/>
      </c>
      <c r="W173" s="40" t="str">
        <f ca="1">IFERROR(IF(AND(
  INDEX(Roadmap!$D:$K,MATCH($E173,Roadmap!$D:$D,0)+COUNTIF($E173:V173,"u")+COUNTIF($E173:V173,"t")+COUNTIF($E173:V173,"¶")+COUNTIF($E173:V173,"²")+COUNTIF($E173:V173,"µ")+COUNTIF($E173:V173,1),ColLivraison)=W$6,
  VLOOKUP($E173,INDIRECT("tri!"&amp; CHAR(64+ C0Col) &amp;":"&amp; CHAR(65+C0Col)),2,FALSE)&gt;COUNTIF($E173:V173,"u")+COUNTIF($E173:V173,"t")+COUNTIF($E173:V173,"¶")+COUNTIF($E173:V173,"²")+COUNTIF($E173:V173,"µ")+COUNTIF($E173:V173,1)),
HYPERLINK("#Roadmap!C"&amp; MATCH($E173,Roadmap!$D:$D,0)+COUNTIF($E173:V173,"u")+COUNTIF($E173:V173,"t"),
     INDEX(Roadmap!$D:$K,MATCH($E173,Roadmap!$D:$D,0)+COUNTIF($E173:V173,"u")+COUNTIF($E173:V173,"t")+COUNTIF($E173:V173,"¶")+COUNTIF($E173:V173,"²")+COUNTIF($E173:V173,"µ")+COUNTIF($E173:V173,1),ColTypeEcheance)),
  IF(LEN(V173)=1,
  IF(LEN(INDEX(Roadmap!$D:$K,MATCH($E173,Roadmap!$D:$D,0)-1+COUNTIF($E173:V173,"u")+COUNTIF($E173:V173,"t")+COUNTIF($E173:V173,"¶")+COUNTIF($E173:V173,"²")+COUNTIF($E173:V173,"µ")+COUNTIF($E173:V173,1),ColDescriptionCourte))&gt;1,
HYPERLINK("#Roadmap!C"&amp; MATCH($E173,Roadmap!$D:$D,0)+COUNTIF($E173:V173,"u")+COUNTIF($E173:V173,"t")+COUNTIF($E173:V173,"¶")+COUNTIF($E173:V173,"²")+COUNTIF($E173:V173,"µ")+COUNTIF($E173:V173,1)-1,INDEX(Roadmap!$D:$K,MATCH($E173,Roadmap!$D:$D,0)-1+COUNTIF($E173:V173,"u")+COUNTIF($E173:V173,"t")+COUNTIF($E173:V173,"¶")+COUNTIF($E173:V173,"²")+COUNTIF($E173:V173,"µ")+COUNTIF($E173:V173,1),ColDescriptionCourte)),""),
  "")),"")</f>
        <v/>
      </c>
      <c r="X173" s="40" t="str">
        <f ca="1">IFERROR(IF(AND(
  INDEX(Roadmap!$D:$K,MATCH($E173,Roadmap!$D:$D,0)+COUNTIF($E173:W173,"u")+COUNTIF($E173:W173,"t")+COUNTIF($E173:W173,"¶")+COUNTIF($E173:W173,"²")+COUNTIF($E173:W173,"µ")+COUNTIF($E173:W173,1),ColLivraison)=X$6,
  VLOOKUP($E173,INDIRECT("tri!"&amp; CHAR(64+ C0Col) &amp;":"&amp; CHAR(65+C0Col)),2,FALSE)&gt;COUNTIF($E173:W173,"u")+COUNTIF($E173:W173,"t")+COUNTIF($E173:W173,"¶")+COUNTIF($E173:W173,"²")+COUNTIF($E173:W173,"µ")+COUNTIF($E173:W173,1)),
HYPERLINK("#Roadmap!C"&amp; MATCH($E173,Roadmap!$D:$D,0)+COUNTIF($E173:W173,"u")+COUNTIF($E173:W173,"t"),
     INDEX(Roadmap!$D:$K,MATCH($E173,Roadmap!$D:$D,0)+COUNTIF($E173:W173,"u")+COUNTIF($E173:W173,"t")+COUNTIF($E173:W173,"¶")+COUNTIF($E173:W173,"²")+COUNTIF($E173:W173,"µ")+COUNTIF($E173:W173,1),ColTypeEcheance)),
  IF(LEN(W173)=1,
  IF(LEN(INDEX(Roadmap!$D:$K,MATCH($E173,Roadmap!$D:$D,0)-1+COUNTIF($E173:W173,"u")+COUNTIF($E173:W173,"t")+COUNTIF($E173:W173,"¶")+COUNTIF($E173:W173,"²")+COUNTIF($E173:W173,"µ")+COUNTIF($E173:W173,1),ColDescriptionCourte))&gt;1,
HYPERLINK("#Roadmap!C"&amp; MATCH($E173,Roadmap!$D:$D,0)+COUNTIF($E173:W173,"u")+COUNTIF($E173:W173,"t")+COUNTIF($E173:W173,"¶")+COUNTIF($E173:W173,"²")+COUNTIF($E173:W173,"µ")+COUNTIF($E173:W173,1)-1,INDEX(Roadmap!$D:$K,MATCH($E173,Roadmap!$D:$D,0)-1+COUNTIF($E173:W173,"u")+COUNTIF($E173:W173,"t")+COUNTIF($E173:W173,"¶")+COUNTIF($E173:W173,"²")+COUNTIF($E173:W173,"µ")+COUNTIF($E173:W173,1),ColDescriptionCourte)),""),
  "")),"")</f>
        <v/>
      </c>
      <c r="Y173" s="40" t="str">
        <f ca="1">IFERROR(IF(AND(
  INDEX(Roadmap!$D:$K,MATCH($E173,Roadmap!$D:$D,0)+COUNTIF($E173:X173,"u")+COUNTIF($E173:X173,"t")+COUNTIF($E173:X173,"¶")+COUNTIF($E173:X173,"²")+COUNTIF($E173:X173,"µ")+COUNTIF($E173:X173,1),ColLivraison)=Y$6,
  VLOOKUP($E173,INDIRECT("tri!"&amp; CHAR(64+ C0Col) &amp;":"&amp; CHAR(65+C0Col)),2,FALSE)&gt;COUNTIF($E173:X173,"u")+COUNTIF($E173:X173,"t")+COUNTIF($E173:X173,"¶")+COUNTIF($E173:X173,"²")+COUNTIF($E173:X173,"µ")+COUNTIF($E173:X173,1)),
HYPERLINK("#Roadmap!C"&amp; MATCH($E173,Roadmap!$D:$D,0)+COUNTIF($E173:X173,"u")+COUNTIF($E173:X173,"t"),
     INDEX(Roadmap!$D:$K,MATCH($E173,Roadmap!$D:$D,0)+COUNTIF($E173:X173,"u")+COUNTIF($E173:X173,"t")+COUNTIF($E173:X173,"¶")+COUNTIF($E173:X173,"²")+COUNTIF($E173:X173,"µ")+COUNTIF($E173:X173,1),ColTypeEcheance)),
  IF(LEN(X173)=1,
  IF(LEN(INDEX(Roadmap!$D:$K,MATCH($E173,Roadmap!$D:$D,0)-1+COUNTIF($E173:X173,"u")+COUNTIF($E173:X173,"t")+COUNTIF($E173:X173,"¶")+COUNTIF($E173:X173,"²")+COUNTIF($E173:X173,"µ")+COUNTIF($E173:X173,1),ColDescriptionCourte))&gt;1,
HYPERLINK("#Roadmap!C"&amp; MATCH($E173,Roadmap!$D:$D,0)+COUNTIF($E173:X173,"u")+COUNTIF($E173:X173,"t")+COUNTIF($E173:X173,"¶")+COUNTIF($E173:X173,"²")+COUNTIF($E173:X173,"µ")+COUNTIF($E173:X173,1)-1,INDEX(Roadmap!$D:$K,MATCH($E173,Roadmap!$D:$D,0)-1+COUNTIF($E173:X173,"u")+COUNTIF($E173:X173,"t")+COUNTIF($E173:X173,"¶")+COUNTIF($E173:X173,"²")+COUNTIF($E173:X173,"µ")+COUNTIF($E173:X173,1),ColDescriptionCourte)),""),
  "")),"")</f>
        <v/>
      </c>
      <c r="Z173" s="40" t="str">
        <f ca="1">IFERROR(IF(AND(
  INDEX(Roadmap!$D:$K,MATCH($E173,Roadmap!$D:$D,0)+COUNTIF($E173:Y173,"u")+COUNTIF($E173:Y173,"t")+COUNTIF($E173:Y173,"¶")+COUNTIF($E173:Y173,"²")+COUNTIF($E173:Y173,"µ")+COUNTIF($E173:Y173,1),ColLivraison)=Z$6,
  VLOOKUP($E173,INDIRECT("tri!"&amp; CHAR(64+ C0Col) &amp;":"&amp; CHAR(65+C0Col)),2,FALSE)&gt;COUNTIF($E173:Y173,"u")+COUNTIF($E173:Y173,"t")+COUNTIF($E173:Y173,"¶")+COUNTIF($E173:Y173,"²")+COUNTIF($E173:Y173,"µ")+COUNTIF($E173:Y173,1)),
HYPERLINK("#Roadmap!C"&amp; MATCH($E173,Roadmap!$D:$D,0)+COUNTIF($E173:Y173,"u")+COUNTIF($E173:Y173,"t"),
     INDEX(Roadmap!$D:$K,MATCH($E173,Roadmap!$D:$D,0)+COUNTIF($E173:Y173,"u")+COUNTIF($E173:Y173,"t")+COUNTIF($E173:Y173,"¶")+COUNTIF($E173:Y173,"²")+COUNTIF($E173:Y173,"µ")+COUNTIF($E173:Y173,1),ColTypeEcheance)),
  IF(LEN(Y173)=1,
  IF(LEN(INDEX(Roadmap!$D:$K,MATCH($E173,Roadmap!$D:$D,0)-1+COUNTIF($E173:Y173,"u")+COUNTIF($E173:Y173,"t")+COUNTIF($E173:Y173,"¶")+COUNTIF($E173:Y173,"²")+COUNTIF($E173:Y173,"µ")+COUNTIF($E173:Y173,1),ColDescriptionCourte))&gt;1,
HYPERLINK("#Roadmap!C"&amp; MATCH($E173,Roadmap!$D:$D,0)+COUNTIF($E173:Y173,"u")+COUNTIF($E173:Y173,"t")+COUNTIF($E173:Y173,"¶")+COUNTIF($E173:Y173,"²")+COUNTIF($E173:Y173,"µ")+COUNTIF($E173:Y173,1)-1,INDEX(Roadmap!$D:$K,MATCH($E173,Roadmap!$D:$D,0)-1+COUNTIF($E173:Y173,"u")+COUNTIF($E173:Y173,"t")+COUNTIF($E173:Y173,"¶")+COUNTIF($E173:Y173,"²")+COUNTIF($E173:Y173,"µ")+COUNTIF($E173:Y173,1),ColDescriptionCourte)),""),
  "")),"")</f>
        <v/>
      </c>
      <c r="AA173" s="40" t="str">
        <f ca="1">IFERROR(IF(AND(
  INDEX(Roadmap!$D:$K,MATCH($E173,Roadmap!$D:$D,0)+COUNTIF($E173:Z173,"u")+COUNTIF($E173:Z173,"t")+COUNTIF($E173:Z173,"¶")+COUNTIF($E173:Z173,"²")+COUNTIF($E173:Z173,"µ")+COUNTIF($E173:Z173,1),ColLivraison)=AA$6,
  VLOOKUP($E173,INDIRECT("tri!"&amp; CHAR(64+ C0Col) &amp;":"&amp; CHAR(65+C0Col)),2,FALSE)&gt;COUNTIF($E173:Z173,"u")+COUNTIF($E173:Z173,"t")+COUNTIF($E173:Z173,"¶")+COUNTIF($E173:Z173,"²")+COUNTIF($E173:Z173,"µ")+COUNTIF($E173:Z173,1)),
HYPERLINK("#Roadmap!C"&amp; MATCH($E173,Roadmap!$D:$D,0)+COUNTIF($E173:Z173,"u")+COUNTIF($E173:Z173,"t"),
     INDEX(Roadmap!$D:$K,MATCH($E173,Roadmap!$D:$D,0)+COUNTIF($E173:Z173,"u")+COUNTIF($E173:Z173,"t")+COUNTIF($E173:Z173,"¶")+COUNTIF($E173:Z173,"²")+COUNTIF($E173:Z173,"µ")+COUNTIF($E173:Z173,1),ColTypeEcheance)),
  IF(LEN(Z173)=1,
  IF(LEN(INDEX(Roadmap!$D:$K,MATCH($E173,Roadmap!$D:$D,0)-1+COUNTIF($E173:Z173,"u")+COUNTIF($E173:Z173,"t")+COUNTIF($E173:Z173,"¶")+COUNTIF($E173:Z173,"²")+COUNTIF($E173:Z173,"µ")+COUNTIF($E173:Z173,1),ColDescriptionCourte))&gt;1,
HYPERLINK("#Roadmap!C"&amp; MATCH($E173,Roadmap!$D:$D,0)+COUNTIF($E173:Z173,"u")+COUNTIF($E173:Z173,"t")+COUNTIF($E173:Z173,"¶")+COUNTIF($E173:Z173,"²")+COUNTIF($E173:Z173,"µ")+COUNTIF($E173:Z173,1)-1,INDEX(Roadmap!$D:$K,MATCH($E173,Roadmap!$D:$D,0)-1+COUNTIF($E173:Z173,"u")+COUNTIF($E173:Z173,"t")+COUNTIF($E173:Z173,"¶")+COUNTIF($E173:Z173,"²")+COUNTIF($E173:Z173,"µ")+COUNTIF($E173:Z173,1),ColDescriptionCourte)),""),
  "")),"")</f>
        <v/>
      </c>
      <c r="AB173" s="40" t="str">
        <f ca="1">IFERROR(IF(AND(
  INDEX(Roadmap!$D:$K,MATCH($E173,Roadmap!$D:$D,0)+COUNTIF($E173:AA173,"u")+COUNTIF($E173:AA173,"t")+COUNTIF($E173:AA173,"¶")+COUNTIF($E173:AA173,"²")+COUNTIF($E173:AA173,"µ")+COUNTIF($E173:AA173,1),ColLivraison)=AB$6,
  VLOOKUP($E173,INDIRECT("tri!"&amp; CHAR(64+ C0Col) &amp;":"&amp; CHAR(65+C0Col)),2,FALSE)&gt;COUNTIF($E173:AA173,"u")+COUNTIF($E173:AA173,"t")+COUNTIF($E173:AA173,"¶")+COUNTIF($E173:AA173,"²")+COUNTIF($E173:AA173,"µ")+COUNTIF($E173:AA173,1)),
HYPERLINK("#Roadmap!C"&amp; MATCH($E173,Roadmap!$D:$D,0)+COUNTIF($E173:AA173,"u")+COUNTIF($E173:AA173,"t"),
     INDEX(Roadmap!$D:$K,MATCH($E173,Roadmap!$D:$D,0)+COUNTIF($E173:AA173,"u")+COUNTIF($E173:AA173,"t")+COUNTIF($E173:AA173,"¶")+COUNTIF($E173:AA173,"²")+COUNTIF($E173:AA173,"µ")+COUNTIF($E173:AA173,1),ColTypeEcheance)),
  IF(LEN(AA173)=1,
  IF(LEN(INDEX(Roadmap!$D:$K,MATCH($E173,Roadmap!$D:$D,0)-1+COUNTIF($E173:AA173,"u")+COUNTIF($E173:AA173,"t")+COUNTIF($E173:AA173,"¶")+COUNTIF($E173:AA173,"²")+COUNTIF($E173:AA173,"µ")+COUNTIF($E173:AA173,1),ColDescriptionCourte))&gt;1,
HYPERLINK("#Roadmap!C"&amp; MATCH($E173,Roadmap!$D:$D,0)+COUNTIF($E173:AA173,"u")+COUNTIF($E173:AA173,"t")+COUNTIF($E173:AA173,"¶")+COUNTIF($E173:AA173,"²")+COUNTIF($E173:AA173,"µ")+COUNTIF($E173:AA173,1)-1,INDEX(Roadmap!$D:$K,MATCH($E173,Roadmap!$D:$D,0)-1+COUNTIF($E173:AA173,"u")+COUNTIF($E173:AA173,"t")+COUNTIF($E173:AA173,"¶")+COUNTIF($E173:AA173,"²")+COUNTIF($E173:AA173,"µ")+COUNTIF($E173:AA173,1),ColDescriptionCourte)),""),
  "")),"")</f>
        <v/>
      </c>
      <c r="AC173" s="40" t="str">
        <f ca="1">IFERROR(IF(AND(
  INDEX(Roadmap!$D:$K,MATCH($E173,Roadmap!$D:$D,0)+COUNTIF($E173:AB173,"u")+COUNTIF($E173:AB173,"t")+COUNTIF($E173:AB173,"¶")+COUNTIF($E173:AB173,"²")+COUNTIF($E173:AB173,"µ")+COUNTIF($E173:AB173,1),ColLivraison)=AC$6,
  VLOOKUP($E173,INDIRECT("tri!"&amp; CHAR(64+ C0Col) &amp;":"&amp; CHAR(65+C0Col)),2,FALSE)&gt;COUNTIF($E173:AB173,"u")+COUNTIF($E173:AB173,"t")+COUNTIF($E173:AB173,"¶")+COUNTIF($E173:AB173,"²")+COUNTIF($E173:AB173,"µ")+COUNTIF($E173:AB173,1)),
HYPERLINK("#Roadmap!C"&amp; MATCH($E173,Roadmap!$D:$D,0)+COUNTIF($E173:AB173,"u")+COUNTIF($E173:AB173,"t"),
     INDEX(Roadmap!$D:$K,MATCH($E173,Roadmap!$D:$D,0)+COUNTIF($E173:AB173,"u")+COUNTIF($E173:AB173,"t")+COUNTIF($E173:AB173,"¶")+COUNTIF($E173:AB173,"²")+COUNTIF($E173:AB173,"µ")+COUNTIF($E173:AB173,1),ColTypeEcheance)),
  IF(LEN(AB173)=1,
  IF(LEN(INDEX(Roadmap!$D:$K,MATCH($E173,Roadmap!$D:$D,0)-1+COUNTIF($E173:AB173,"u")+COUNTIF($E173:AB173,"t")+COUNTIF($E173:AB173,"¶")+COUNTIF($E173:AB173,"²")+COUNTIF($E173:AB173,"µ")+COUNTIF($E173:AB173,1),ColDescriptionCourte))&gt;1,
HYPERLINK("#Roadmap!C"&amp; MATCH($E173,Roadmap!$D:$D,0)+COUNTIF($E173:AB173,"u")+COUNTIF($E173:AB173,"t")+COUNTIF($E173:AB173,"¶")+COUNTIF($E173:AB173,"²")+COUNTIF($E173:AB173,"µ")+COUNTIF($E173:AB173,1)-1,INDEX(Roadmap!$D:$K,MATCH($E173,Roadmap!$D:$D,0)-1+COUNTIF($E173:AB173,"u")+COUNTIF($E173:AB173,"t")+COUNTIF($E173:AB173,"¶")+COUNTIF($E173:AB173,"²")+COUNTIF($E173:AB173,"µ")+COUNTIF($E173:AB173,1),ColDescriptionCourte)),""),
  "")),"")</f>
        <v/>
      </c>
      <c r="AD173" s="40" t="str">
        <f ca="1">IFERROR(IF(AND(
  INDEX(Roadmap!$D:$K,MATCH($E173,Roadmap!$D:$D,0)+COUNTIF($E173:AC173,"u")+COUNTIF($E173:AC173,"t")+COUNTIF($E173:AC173,"¶")+COUNTIF($E173:AC173,"²")+COUNTIF($E173:AC173,"µ")+COUNTIF($E173:AC173,1),ColLivraison)=AD$6,
  VLOOKUP($E173,INDIRECT("tri!"&amp; CHAR(64+ C0Col) &amp;":"&amp; CHAR(65+C0Col)),2,FALSE)&gt;COUNTIF($E173:AC173,"u")+COUNTIF($E173:AC173,"t")+COUNTIF($E173:AC173,"¶")+COUNTIF($E173:AC173,"²")+COUNTIF($E173:AC173,"µ")+COUNTIF($E173:AC173,1)),
HYPERLINK("#Roadmap!C"&amp; MATCH($E173,Roadmap!$D:$D,0)+COUNTIF($E173:AC173,"u")+COUNTIF($E173:AC173,"t"),
     INDEX(Roadmap!$D:$K,MATCH($E173,Roadmap!$D:$D,0)+COUNTIF($E173:AC173,"u")+COUNTIF($E173:AC173,"t")+COUNTIF($E173:AC173,"¶")+COUNTIF($E173:AC173,"²")+COUNTIF($E173:AC173,"µ")+COUNTIF($E173:AC173,1),ColTypeEcheance)),
  IF(LEN(AC173)=1,
  IF(LEN(INDEX(Roadmap!$D:$K,MATCH($E173,Roadmap!$D:$D,0)-1+COUNTIF($E173:AC173,"u")+COUNTIF($E173:AC173,"t")+COUNTIF($E173:AC173,"¶")+COUNTIF($E173:AC173,"²")+COUNTIF($E173:AC173,"µ")+COUNTIF($E173:AC173,1),ColDescriptionCourte))&gt;1,
HYPERLINK("#Roadmap!C"&amp; MATCH($E173,Roadmap!$D:$D,0)+COUNTIF($E173:AC173,"u")+COUNTIF($E173:AC173,"t")+COUNTIF($E173:AC173,"¶")+COUNTIF($E173:AC173,"²")+COUNTIF($E173:AC173,"µ")+COUNTIF($E173:AC173,1)-1,INDEX(Roadmap!$D:$K,MATCH($E173,Roadmap!$D:$D,0)-1+COUNTIF($E173:AC173,"u")+COUNTIF($E173:AC173,"t")+COUNTIF($E173:AC173,"¶")+COUNTIF($E173:AC173,"²")+COUNTIF($E173:AC173,"µ")+COUNTIF($E173:AC173,1),ColDescriptionCourte)),""),
  "")),"")</f>
        <v/>
      </c>
      <c r="AE173" s="40" t="str">
        <f ca="1">IFERROR(IF(AND(
  INDEX(Roadmap!$D:$K,MATCH($E173,Roadmap!$D:$D,0)+COUNTIF($E173:AD173,"u")+COUNTIF($E173:AD173,"t")+COUNTIF($E173:AD173,"¶")+COUNTIF($E173:AD173,"²")+COUNTIF($E173:AD173,"µ")+COUNTIF($E173:AD173,1),ColLivraison)=AE$6,
  VLOOKUP($E173,INDIRECT("tri!"&amp; CHAR(64+ C0Col) &amp;":"&amp; CHAR(65+C0Col)),2,FALSE)&gt;COUNTIF($E173:AD173,"u")+COUNTIF($E173:AD173,"t")+COUNTIF($E173:AD173,"¶")+COUNTIF($E173:AD173,"²")+COUNTIF($E173:AD173,"µ")+COUNTIF($E173:AD173,1)),
HYPERLINK("#Roadmap!C"&amp; MATCH($E173,Roadmap!$D:$D,0)+COUNTIF($E173:AD173,"u")+COUNTIF($E173:AD173,"t"),
     INDEX(Roadmap!$D:$K,MATCH($E173,Roadmap!$D:$D,0)+COUNTIF($E173:AD173,"u")+COUNTIF($E173:AD173,"t")+COUNTIF($E173:AD173,"¶")+COUNTIF($E173:AD173,"²")+COUNTIF($E173:AD173,"µ")+COUNTIF($E173:AD173,1),ColTypeEcheance)),
  IF(LEN(AD173)=1,
  IF(LEN(INDEX(Roadmap!$D:$K,MATCH($E173,Roadmap!$D:$D,0)-1+COUNTIF($E173:AD173,"u")+COUNTIF($E173:AD173,"t")+COUNTIF($E173:AD173,"¶")+COUNTIF($E173:AD173,"²")+COUNTIF($E173:AD173,"µ")+COUNTIF($E173:AD173,1),ColDescriptionCourte))&gt;1,
HYPERLINK("#Roadmap!C"&amp; MATCH($E173,Roadmap!$D:$D,0)+COUNTIF($E173:AD173,"u")+COUNTIF($E173:AD173,"t")+COUNTIF($E173:AD173,"¶")+COUNTIF($E173:AD173,"²")+COUNTIF($E173:AD173,"µ")+COUNTIF($E173:AD173,1)-1,INDEX(Roadmap!$D:$K,MATCH($E173,Roadmap!$D:$D,0)-1+COUNTIF($E173:AD173,"u")+COUNTIF($E173:AD173,"t")+COUNTIF($E173:AD173,"¶")+COUNTIF($E173:AD173,"²")+COUNTIF($E173:AD173,"µ")+COUNTIF($E173:AD173,1),ColDescriptionCourte)),""),
  "")),"")</f>
        <v/>
      </c>
      <c r="AF173" s="40" t="str">
        <f ca="1">IFERROR(IF(AND(
  INDEX(Roadmap!$D:$K,MATCH($E173,Roadmap!$D:$D,0)+COUNTIF($E173:AE173,"u")+COUNTIF($E173:AE173,"t")+COUNTIF($E173:AE173,"¶")+COUNTIF($E173:AE173,"²")+COUNTIF($E173:AE173,"µ")+COUNTIF($E173:AE173,1),ColLivraison)=AF$6,
  VLOOKUP($E173,INDIRECT("tri!"&amp; CHAR(64+ C0Col) &amp;":"&amp; CHAR(65+C0Col)),2,FALSE)&gt;COUNTIF($E173:AE173,"u")+COUNTIF($E173:AE173,"t")+COUNTIF($E173:AE173,"¶")+COUNTIF($E173:AE173,"²")+COUNTIF($E173:AE173,"µ")+COUNTIF($E173:AE173,1)),
HYPERLINK("#Roadmap!C"&amp; MATCH($E173,Roadmap!$D:$D,0)+COUNTIF($E173:AE173,"u")+COUNTIF($E173:AE173,"t"),
     INDEX(Roadmap!$D:$K,MATCH($E173,Roadmap!$D:$D,0)+COUNTIF($E173:AE173,"u")+COUNTIF($E173:AE173,"t")+COUNTIF($E173:AE173,"¶")+COUNTIF($E173:AE173,"²")+COUNTIF($E173:AE173,"µ")+COUNTIF($E173:AE173,1),ColTypeEcheance)),
  IF(LEN(AE173)=1,
  IF(LEN(INDEX(Roadmap!$D:$K,MATCH($E173,Roadmap!$D:$D,0)-1+COUNTIF($E173:AE173,"u")+COUNTIF($E173:AE173,"t")+COUNTIF($E173:AE173,"¶")+COUNTIF($E173:AE173,"²")+COUNTIF($E173:AE173,"µ")+COUNTIF($E173:AE173,1),ColDescriptionCourte))&gt;1,
HYPERLINK("#Roadmap!C"&amp; MATCH($E173,Roadmap!$D:$D,0)+COUNTIF($E173:AE173,"u")+COUNTIF($E173:AE173,"t")+COUNTIF($E173:AE173,"¶")+COUNTIF($E173:AE173,"²")+COUNTIF($E173:AE173,"µ")+COUNTIF($E173:AE173,1)-1,INDEX(Roadmap!$D:$K,MATCH($E173,Roadmap!$D:$D,0)-1+COUNTIF($E173:AE173,"u")+COUNTIF($E173:AE173,"t")+COUNTIF($E173:AE173,"¶")+COUNTIF($E173:AE173,"²")+COUNTIF($E173:AE173,"µ")+COUNTIF($E173:AE173,1),ColDescriptionCourte)),""),
  "")),"")</f>
        <v/>
      </c>
      <c r="AG173" s="40" t="str">
        <f ca="1">IFERROR(IF(AND(
  INDEX(Roadmap!$D:$K,MATCH($E173,Roadmap!$D:$D,0)+COUNTIF($E173:AF173,"u")+COUNTIF($E173:AF173,"t")+COUNTIF($E173:AF173,"¶")+COUNTIF($E173:AF173,"²")+COUNTIF($E173:AF173,"µ")+COUNTIF($E173:AF173,1),ColLivraison)=AG$6,
  VLOOKUP($E173,INDIRECT("tri!"&amp; CHAR(64+ C0Col) &amp;":"&amp; CHAR(65+C0Col)),2,FALSE)&gt;COUNTIF($E173:AF173,"u")+COUNTIF($E173:AF173,"t")+COUNTIF($E173:AF173,"¶")+COUNTIF($E173:AF173,"²")+COUNTIF($E173:AF173,"µ")+COUNTIF($E173:AF173,1)),
HYPERLINK("#Roadmap!C"&amp; MATCH($E173,Roadmap!$D:$D,0)+COUNTIF($E173:AF173,"u")+COUNTIF($E173:AF173,"t"),
     INDEX(Roadmap!$D:$K,MATCH($E173,Roadmap!$D:$D,0)+COUNTIF($E173:AF173,"u")+COUNTIF($E173:AF173,"t")+COUNTIF($E173:AF173,"¶")+COUNTIF($E173:AF173,"²")+COUNTIF($E173:AF173,"µ")+COUNTIF($E173:AF173,1),ColTypeEcheance)),
  IF(LEN(AF173)=1,
  IF(LEN(INDEX(Roadmap!$D:$K,MATCH($E173,Roadmap!$D:$D,0)-1+COUNTIF($E173:AF173,"u")+COUNTIF($E173:AF173,"t")+COUNTIF($E173:AF173,"¶")+COUNTIF($E173:AF173,"²")+COUNTIF($E173:AF173,"µ")+COUNTIF($E173:AF173,1),ColDescriptionCourte))&gt;1,
HYPERLINK("#Roadmap!C"&amp; MATCH($E173,Roadmap!$D:$D,0)+COUNTIF($E173:AF173,"u")+COUNTIF($E173:AF173,"t")+COUNTIF($E173:AF173,"¶")+COUNTIF($E173:AF173,"²")+COUNTIF($E173:AF173,"µ")+COUNTIF($E173:AF173,1)-1,INDEX(Roadmap!$D:$K,MATCH($E173,Roadmap!$D:$D,0)-1+COUNTIF($E173:AF173,"u")+COUNTIF($E173:AF173,"t")+COUNTIF($E173:AF173,"¶")+COUNTIF($E173:AF173,"²")+COUNTIF($E173:AF173,"µ")+COUNTIF($E173:AF173,1),ColDescriptionCourte)),""),
  "")),"")</f>
        <v/>
      </c>
      <c r="AH173" s="40" t="str">
        <f ca="1">IFERROR(IF(AND(
  INDEX(Roadmap!$D:$K,MATCH($E173,Roadmap!$D:$D,0)+COUNTIF($E173:AG173,"u")+COUNTIF($E173:AG173,"t")+COUNTIF($E173:AG173,1),ColLivraison)=AH$6,
  VLOOKUP($E173,INDIRECT("tri!"&amp; CHAR(64+ C0Col) &amp;":"&amp; CHAR(65+C0Col)),2,FALSE)&gt;COUNTIF($E173:AG173,"u")+COUNTIF($E173:AG173,"t")+COUNTIF($E173:AG173,1)),
HYPERLINK("#Roadmap!C"&amp; MATCH($E173,Roadmap!$D:$D,0)+COUNTIF($E173:AG173,"u")+COUNTIF($E173:AG173,"t"),
     INDEX(Roadmap!$D:$K,MATCH($E173,Roadmap!$D:$D,0)+COUNTIF($E173:AG173,"u")+COUNTIF($E173:AG173,"t")+COUNTIF($E173:AG173,1),ColTypeEcheance)),
  IF(OR(AG173="u",AG173="t",AG173=1),
  IF(LEN(INDEX(Roadmap!$D:$K,MATCH($E173,Roadmap!$D:$D,0)-1+COUNTIF($E173:AG173,"u")+COUNTIF($E173:AG173,"t")+COUNTIF($E173:AG173,1),ColDescriptionCourte))&gt;1,
HYPERLINK("#Roadmap!C"&amp; MATCH($E173,Roadmap!$D:$D,0)+COUNTIF($E173:AG173,"u")+COUNTIF($E173:AG173,"t")+COUNTIF($E173:AG173,1)-1,INDEX(Roadmap!$D:$K,MATCH($E173,Roadmap!$D:$D,0)-1+COUNTIF($E173:AG173,"u")+COUNTIF($E173:AG173,"t")+COUNTIF($E173:AG173,1),ColDescriptionCourte)),""),
  "")),"")</f>
        <v/>
      </c>
      <c r="AI173" s="40"/>
      <c r="AJ173" s="40"/>
      <c r="AK173" s="40"/>
      <c r="AL173" s="40"/>
      <c r="AM173" s="40"/>
    </row>
    <row r="174" spans="4:39" ht="14.1" customHeight="1">
      <c r="D174" s="20" t="str">
        <f t="shared" ca="1" si="31"/>
        <v/>
      </c>
      <c r="E174" s="53" t="str">
        <f t="shared" ca="1" si="32"/>
        <v/>
      </c>
      <c r="F174" s="39" t="str">
        <f ca="1">IFERROR(IF(AND(
  INDEX(Roadmap!$D:$K,MATCH($E174,Roadmap!$D:$D,0)+COUNTIF($E174:E174,"u")+COUNTIF($E174:E174,"t")+COUNTIF($E174:E174,"¶")+COUNTIF($E174:E174,"²")+COUNTIF($E174:E174,"µ")+COUNTIF($E174:E174,1),ColLivraison)=F$6,
  VLOOKUP($E174,INDIRECT("tri!"&amp; CHAR(64+ C0Col) &amp;":"&amp; CHAR(65+C0Col)),2,FALSE)&gt;COUNTIF($E174:E174,"u")+COUNTIF($E174:E174,"t")+COUNTIF($E174:E174,"¶")+COUNTIF($E174:E174,"²")+COUNTIF($E174:E174,"µ")+COUNTIF($E174:E174,1)),
HYPERLINK("#Roadmap!C"&amp; MATCH($E174,Roadmap!$D:$D,0)+COUNTIF($E174:E174,"u")+COUNTIF($E174:E174,"t"),
     INDEX(Roadmap!$D:$K,MATCH($E174,Roadmap!$D:$D,0)+COUNTIF($E174:E174,"u")+COUNTIF($E174:E174,"t")+COUNTIF($E174:E174,"¶")+COUNTIF($E174:E174,"²")+COUNTIF($E174:E174,"µ")+COUNTIF($E174:E174,1),ColTypeEcheance)),
  IF(LEN(E174)=1,
  IF(LEN(INDEX(Roadmap!$D:$K,MATCH($E174,Roadmap!$D:$D,0)-1+COUNTIF($E174:E174,"u")+COUNTIF($E174:E174,"t")+COUNTIF($E174:E174,"¶")+COUNTIF($E174:E174,"²")+COUNTIF($E174:E174,"µ")+COUNTIF($E174:E174,1),ColDescriptionCourte))&gt;1,
HYPERLINK("#Roadmap!C"&amp; MATCH($E174,Roadmap!$D:$D,0)+COUNTIF($E174:E174,"u")+COUNTIF($E174:E174,"t")+COUNTIF($E174:E174,"¶")+COUNTIF($E174:E174,"²")+COUNTIF($E174:E174,"µ")+COUNTIF($E174:E174,1)-1,INDEX(Roadmap!$D:$K,MATCH($E174,Roadmap!$D:$D,0)-1+COUNTIF($E174:E174,"u")+COUNTIF($E174:E174,"t")+COUNTIF($E174:E174,"¶")+COUNTIF($E174:E174,"²")+COUNTIF($E174:E174,"µ")+COUNTIF($E174:E174,1),ColDescriptionCourte)),""),
  "")),"")</f>
        <v/>
      </c>
      <c r="G174" s="40" t="str">
        <f ca="1">IFERROR(IF(AND(
  INDEX(Roadmap!$D:$K,MATCH($E174,Roadmap!$D:$D,0)+COUNTIF($E174:F174,"u")+COUNTIF($E174:F174,"t")+COUNTIF($E174:F174,"¶")+COUNTIF($E174:F174,"²")+COUNTIF($E174:F174,"µ")+COUNTIF($E174:F174,1),ColLivraison)=G$6,
  VLOOKUP($E174,INDIRECT("tri!"&amp; CHAR(64+ C0Col) &amp;":"&amp; CHAR(65+C0Col)),2,FALSE)&gt;COUNTIF($E174:F174,"u")+COUNTIF($E174:F174,"t")+COUNTIF($E174:F174,"¶")+COUNTIF($E174:F174,"²")+COUNTIF($E174:F174,"µ")+COUNTIF($E174:F174,1)),
HYPERLINK("#Roadmap!C"&amp; MATCH($E174,Roadmap!$D:$D,0)+COUNTIF($E174:F174,"u")+COUNTIF($E174:F174,"t"),
     INDEX(Roadmap!$D:$K,MATCH($E174,Roadmap!$D:$D,0)+COUNTIF($E174:F174,"u")+COUNTIF($E174:F174,"t")+COUNTIF($E174:F174,"¶")+COUNTIF($E174:F174,"²")+COUNTIF($E174:F174,"µ")+COUNTIF($E174:F174,1),ColTypeEcheance)),
  IF(LEN(F174)=1,
  IF(LEN(INDEX(Roadmap!$D:$K,MATCH($E174,Roadmap!$D:$D,0)-1+COUNTIF($E174:F174,"u")+COUNTIF($E174:F174,"t")+COUNTIF($E174:F174,"¶")+COUNTIF($E174:F174,"²")+COUNTIF($E174:F174,"µ")+COUNTIF($E174:F174,1),ColDescriptionCourte))&gt;1,
HYPERLINK("#Roadmap!C"&amp; MATCH($E174,Roadmap!$D:$D,0)+COUNTIF($E174:F174,"u")+COUNTIF($E174:F174,"t")+COUNTIF($E174:F174,"¶")+COUNTIF($E174:F174,"²")+COUNTIF($E174:F174,"µ")+COUNTIF($E174:F174,1)-1,INDEX(Roadmap!$D:$K,MATCH($E174,Roadmap!$D:$D,0)-1+COUNTIF($E174:F174,"u")+COUNTIF($E174:F174,"t")+COUNTIF($E174:F174,"¶")+COUNTIF($E174:F174,"²")+COUNTIF($E174:F174,"µ")+COUNTIF($E174:F174,1),ColDescriptionCourte)),""),
  "")),"")</f>
        <v/>
      </c>
      <c r="H174" s="40" t="str">
        <f ca="1">IFERROR(IF(AND(
  INDEX(Roadmap!$D:$K,MATCH($E174,Roadmap!$D:$D,0)+COUNTIF($E174:G174,"u")+COUNTIF($E174:G174,"t")+COUNTIF($E174:G174,"¶")+COUNTIF($E174:G174,"²")+COUNTIF($E174:G174,"µ")+COUNTIF($E174:G174,1),ColLivraison)=H$6,
  VLOOKUP($E174,INDIRECT("tri!"&amp; CHAR(64+ C0Col) &amp;":"&amp; CHAR(65+C0Col)),2,FALSE)&gt;COUNTIF($E174:G174,"u")+COUNTIF($E174:G174,"t")+COUNTIF($E174:G174,"¶")+COUNTIF($E174:G174,"²")+COUNTIF($E174:G174,"µ")+COUNTIF($E174:G174,1)),
HYPERLINK("#Roadmap!C"&amp; MATCH($E174,Roadmap!$D:$D,0)+COUNTIF($E174:G174,"u")+COUNTIF($E174:G174,"t"),
     INDEX(Roadmap!$D:$K,MATCH($E174,Roadmap!$D:$D,0)+COUNTIF($E174:G174,"u")+COUNTIF($E174:G174,"t")+COUNTIF($E174:G174,"¶")+COUNTIF($E174:G174,"²")+COUNTIF($E174:G174,"µ")+COUNTIF($E174:G174,1),ColTypeEcheance)),
  IF(LEN(G174)=1,
  IF(LEN(INDEX(Roadmap!$D:$K,MATCH($E174,Roadmap!$D:$D,0)-1+COUNTIF($E174:G174,"u")+COUNTIF($E174:G174,"t")+COUNTIF($E174:G174,"¶")+COUNTIF($E174:G174,"²")+COUNTIF($E174:G174,"µ")+COUNTIF($E174:G174,1),ColDescriptionCourte))&gt;1,
HYPERLINK("#Roadmap!C"&amp; MATCH($E174,Roadmap!$D:$D,0)+COUNTIF($E174:G174,"u")+COUNTIF($E174:G174,"t")+COUNTIF($E174:G174,"¶")+COUNTIF($E174:G174,"²")+COUNTIF($E174:G174,"µ")+COUNTIF($E174:G174,1)-1,INDEX(Roadmap!$D:$K,MATCH($E174,Roadmap!$D:$D,0)-1+COUNTIF($E174:G174,"u")+COUNTIF($E174:G174,"t")+COUNTIF($E174:G174,"¶")+COUNTIF($E174:G174,"²")+COUNTIF($E174:G174,"µ")+COUNTIF($E174:G174,1),ColDescriptionCourte)),""),
  "")),"")</f>
        <v/>
      </c>
      <c r="I174" s="40" t="str">
        <f ca="1">IFERROR(IF(AND(
  INDEX(Roadmap!$D:$K,MATCH($E174,Roadmap!$D:$D,0)+COUNTIF($E174:H174,"u")+COUNTIF($E174:H174,"t")+COUNTIF($E174:H174,"¶")+COUNTIF($E174:H174,"²")+COUNTIF($E174:H174,"µ")+COUNTIF($E174:H174,1),ColLivraison)=I$6,
  VLOOKUP($E174,INDIRECT("tri!"&amp; CHAR(64+ C0Col) &amp;":"&amp; CHAR(65+C0Col)),2,FALSE)&gt;COUNTIF($E174:H174,"u")+COUNTIF($E174:H174,"t")+COUNTIF($E174:H174,"¶")+COUNTIF($E174:H174,"²")+COUNTIF($E174:H174,"µ")+COUNTIF($E174:H174,1)),
HYPERLINK("#Roadmap!C"&amp; MATCH($E174,Roadmap!$D:$D,0)+COUNTIF($E174:H174,"u")+COUNTIF($E174:H174,"t"),
     INDEX(Roadmap!$D:$K,MATCH($E174,Roadmap!$D:$D,0)+COUNTIF($E174:H174,"u")+COUNTIF($E174:H174,"t")+COUNTIF($E174:H174,"¶")+COUNTIF($E174:H174,"²")+COUNTIF($E174:H174,"µ")+COUNTIF($E174:H174,1),ColTypeEcheance)),
  IF(LEN(H174)=1,
  IF(LEN(INDEX(Roadmap!$D:$K,MATCH($E174,Roadmap!$D:$D,0)-1+COUNTIF($E174:H174,"u")+COUNTIF($E174:H174,"t")+COUNTIF($E174:H174,"¶")+COUNTIF($E174:H174,"²")+COUNTIF($E174:H174,"µ")+COUNTIF($E174:H174,1),ColDescriptionCourte))&gt;1,
HYPERLINK("#Roadmap!C"&amp; MATCH($E174,Roadmap!$D:$D,0)+COUNTIF($E174:H174,"u")+COUNTIF($E174:H174,"t")+COUNTIF($E174:H174,"¶")+COUNTIF($E174:H174,"²")+COUNTIF($E174:H174,"µ")+COUNTIF($E174:H174,1)-1,INDEX(Roadmap!$D:$K,MATCH($E174,Roadmap!$D:$D,0)-1+COUNTIF($E174:H174,"u")+COUNTIF($E174:H174,"t")+COUNTIF($E174:H174,"¶")+COUNTIF($E174:H174,"²")+COUNTIF($E174:H174,"µ")+COUNTIF($E174:H174,1),ColDescriptionCourte)),""),
  "")),"")</f>
        <v/>
      </c>
      <c r="J174" s="40" t="str">
        <f ca="1">IFERROR(IF(AND(
  INDEX(Roadmap!$D:$K,MATCH($E174,Roadmap!$D:$D,0)+COUNTIF($E174:I174,"u")+COUNTIF($E174:I174,"t")+COUNTIF($E174:I174,"¶")+COUNTIF($E174:I174,"²")+COUNTIF($E174:I174,"µ")+COUNTIF($E174:I174,1),ColLivraison)=J$6,
  VLOOKUP($E174,INDIRECT("tri!"&amp; CHAR(64+ C0Col) &amp;":"&amp; CHAR(65+C0Col)),2,FALSE)&gt;COUNTIF($E174:I174,"u")+COUNTIF($E174:I174,"t")+COUNTIF($E174:I174,"¶")+COUNTIF($E174:I174,"²")+COUNTIF($E174:I174,"µ")+COUNTIF($E174:I174,1)),
HYPERLINK("#Roadmap!C"&amp; MATCH($E174,Roadmap!$D:$D,0)+COUNTIF($E174:I174,"u")+COUNTIF($E174:I174,"t"),
     INDEX(Roadmap!$D:$K,MATCH($E174,Roadmap!$D:$D,0)+COUNTIF($E174:I174,"u")+COUNTIF($E174:I174,"t")+COUNTIF($E174:I174,"¶")+COUNTIF($E174:I174,"²")+COUNTIF($E174:I174,"µ")+COUNTIF($E174:I174,1),ColTypeEcheance)),
  IF(LEN(I174)=1,
  IF(LEN(INDEX(Roadmap!$D:$K,MATCH($E174,Roadmap!$D:$D,0)-1+COUNTIF($E174:I174,"u")+COUNTIF($E174:I174,"t")+COUNTIF($E174:I174,"¶")+COUNTIF($E174:I174,"²")+COUNTIF($E174:I174,"µ")+COUNTIF($E174:I174,1),ColDescriptionCourte))&gt;1,
HYPERLINK("#Roadmap!C"&amp; MATCH($E174,Roadmap!$D:$D,0)+COUNTIF($E174:I174,"u")+COUNTIF($E174:I174,"t")+COUNTIF($E174:I174,"¶")+COUNTIF($E174:I174,"²")+COUNTIF($E174:I174,"µ")+COUNTIF($E174:I174,1)-1,INDEX(Roadmap!$D:$K,MATCH($E174,Roadmap!$D:$D,0)-1+COUNTIF($E174:I174,"u")+COUNTIF($E174:I174,"t")+COUNTIF($E174:I174,"¶")+COUNTIF($E174:I174,"²")+COUNTIF($E174:I174,"µ")+COUNTIF($E174:I174,1),ColDescriptionCourte)),""),
  "")),"")</f>
        <v/>
      </c>
      <c r="K174" s="40" t="str">
        <f ca="1">IFERROR(IF(AND(
  INDEX(Roadmap!$D:$K,MATCH($E174,Roadmap!$D:$D,0)+COUNTIF($E174:J174,"u")+COUNTIF($E174:J174,"t")+COUNTIF($E174:J174,"¶")+COUNTIF($E174:J174,"²")+COUNTIF($E174:J174,"µ")+COUNTIF($E174:J174,1),ColLivraison)=K$6,
  VLOOKUP($E174,INDIRECT("tri!"&amp; CHAR(64+ C0Col) &amp;":"&amp; CHAR(65+C0Col)),2,FALSE)&gt;COUNTIF($E174:J174,"u")+COUNTIF($E174:J174,"t")+COUNTIF($E174:J174,"¶")+COUNTIF($E174:J174,"²")+COUNTIF($E174:J174,"µ")+COUNTIF($E174:J174,1)),
HYPERLINK("#Roadmap!C"&amp; MATCH($E174,Roadmap!$D:$D,0)+COUNTIF($E174:J174,"u")+COUNTIF($E174:J174,"t"),
     INDEX(Roadmap!$D:$K,MATCH($E174,Roadmap!$D:$D,0)+COUNTIF($E174:J174,"u")+COUNTIF($E174:J174,"t")+COUNTIF($E174:J174,"¶")+COUNTIF($E174:J174,"²")+COUNTIF($E174:J174,"µ")+COUNTIF($E174:J174,1),ColTypeEcheance)),
  IF(LEN(J174)=1,
  IF(LEN(INDEX(Roadmap!$D:$K,MATCH($E174,Roadmap!$D:$D,0)-1+COUNTIF($E174:J174,"u")+COUNTIF($E174:J174,"t")+COUNTIF($E174:J174,"¶")+COUNTIF($E174:J174,"²")+COUNTIF($E174:J174,"µ")+COUNTIF($E174:J174,1),ColDescriptionCourte))&gt;1,
HYPERLINK("#Roadmap!C"&amp; MATCH($E174,Roadmap!$D:$D,0)+COUNTIF($E174:J174,"u")+COUNTIF($E174:J174,"t")+COUNTIF($E174:J174,"¶")+COUNTIF($E174:J174,"²")+COUNTIF($E174:J174,"µ")+COUNTIF($E174:J174,1)-1,INDEX(Roadmap!$D:$K,MATCH($E174,Roadmap!$D:$D,0)-1+COUNTIF($E174:J174,"u")+COUNTIF($E174:J174,"t")+COUNTIF($E174:J174,"¶")+COUNTIF($E174:J174,"²")+COUNTIF($E174:J174,"µ")+COUNTIF($E174:J174,1),ColDescriptionCourte)),""),
  "")),"")</f>
        <v/>
      </c>
      <c r="L174" s="39" t="str">
        <f ca="1">IFERROR(IF(AND(
  INDEX(Roadmap!$D:$K,MATCH($E174,Roadmap!$D:$D,0)+COUNTIF($E174:K174,"u")+COUNTIF($E174:K174,"t")+COUNTIF($E174:K174,"¶")+COUNTIF($E174:K174,"²")+COUNTIF($E174:K174,"µ")+COUNTIF($E174:K174,1),ColLivraison)=L$6,
  VLOOKUP($E174,INDIRECT("tri!"&amp; CHAR(64+ C0Col) &amp;":"&amp; CHAR(65+C0Col)),2,FALSE)&gt;COUNTIF($E174:K174,"u")+COUNTIF($E174:K174,"t")+COUNTIF($E174:K174,"¶")+COUNTIF($E174:K174,"²")+COUNTIF($E174:K174,"µ")+COUNTIF($E174:K174,1)),
HYPERLINK("#Roadmap!C"&amp; MATCH($E174,Roadmap!$D:$D,0)+COUNTIF($E174:K174,"u")+COUNTIF($E174:K174,"t"),
     INDEX(Roadmap!$D:$K,MATCH($E174,Roadmap!$D:$D,0)+COUNTIF($E174:K174,"u")+COUNTIF($E174:K174,"t")+COUNTIF($E174:K174,"¶")+COUNTIF($E174:K174,"²")+COUNTIF($E174:K174,"µ")+COUNTIF($E174:K174,1),ColTypeEcheance)),
  IF(LEN(K174)=1,
  IF(LEN(INDEX(Roadmap!$D:$K,MATCH($E174,Roadmap!$D:$D,0)-1+COUNTIF($E174:K174,"u")+COUNTIF($E174:K174,"t")+COUNTIF($E174:K174,"¶")+COUNTIF($E174:K174,"²")+COUNTIF($E174:K174,"µ")+COUNTIF($E174:K174,1),ColDescriptionCourte))&gt;1,
HYPERLINK("#Roadmap!C"&amp; MATCH($E174,Roadmap!$D:$D,0)+COUNTIF($E174:K174,"u")+COUNTIF($E174:K174,"t")+COUNTIF($E174:K174,"¶")+COUNTIF($E174:K174,"²")+COUNTIF($E174:K174,"µ")+COUNTIF($E174:K174,1)-1,INDEX(Roadmap!$D:$K,MATCH($E174,Roadmap!$D:$D,0)-1+COUNTIF($E174:K174,"u")+COUNTIF($E174:K174,"t")+COUNTIF($E174:K174,"¶")+COUNTIF($E174:K174,"²")+COUNTIF($E174:K174,"µ")+COUNTIF($E174:K174,1),ColDescriptionCourte)),""),
  "")),"")</f>
        <v/>
      </c>
      <c r="M174" s="40" t="str">
        <f ca="1">IFERROR(IF(AND(
  INDEX(Roadmap!$D:$K,MATCH($E174,Roadmap!$D:$D,0)+COUNTIF($E174:L174,"u")+COUNTIF($E174:L174,"t")+COUNTIF($E174:L174,"¶")+COUNTIF($E174:L174,"²")+COUNTIF($E174:L174,"µ")+COUNTIF($E174:L174,1),ColLivraison)=M$6,
  VLOOKUP($E174,INDIRECT("tri!"&amp; CHAR(64+ C0Col) &amp;":"&amp; CHAR(65+C0Col)),2,FALSE)&gt;COUNTIF($E174:L174,"u")+COUNTIF($E174:L174,"t")+COUNTIF($E174:L174,"¶")+COUNTIF($E174:L174,"²")+COUNTIF($E174:L174,"µ")+COUNTIF($E174:L174,1)),
HYPERLINK("#Roadmap!C"&amp; MATCH($E174,Roadmap!$D:$D,0)+COUNTIF($E174:L174,"u")+COUNTIF($E174:L174,"t"),
     INDEX(Roadmap!$D:$K,MATCH($E174,Roadmap!$D:$D,0)+COUNTIF($E174:L174,"u")+COUNTIF($E174:L174,"t")+COUNTIF($E174:L174,"¶")+COUNTIF($E174:L174,"²")+COUNTIF($E174:L174,"µ")+COUNTIF($E174:L174,1),ColTypeEcheance)),
  IF(LEN(L174)=1,
  IF(LEN(INDEX(Roadmap!$D:$K,MATCH($E174,Roadmap!$D:$D,0)-1+COUNTIF($E174:L174,"u")+COUNTIF($E174:L174,"t")+COUNTIF($E174:L174,"¶")+COUNTIF($E174:L174,"²")+COUNTIF($E174:L174,"µ")+COUNTIF($E174:L174,1),ColDescriptionCourte))&gt;1,
HYPERLINK("#Roadmap!C"&amp; MATCH($E174,Roadmap!$D:$D,0)+COUNTIF($E174:L174,"u")+COUNTIF($E174:L174,"t")+COUNTIF($E174:L174,"¶")+COUNTIF($E174:L174,"²")+COUNTIF($E174:L174,"µ")+COUNTIF($E174:L174,1)-1,INDEX(Roadmap!$D:$K,MATCH($E174,Roadmap!$D:$D,0)-1+COUNTIF($E174:L174,"u")+COUNTIF($E174:L174,"t")+COUNTIF($E174:L174,"¶")+COUNTIF($E174:L174,"²")+COUNTIF($E174:L174,"µ")+COUNTIF($E174:L174,1),ColDescriptionCourte)),""),
  "")),"")</f>
        <v/>
      </c>
      <c r="N174" s="40" t="str">
        <f ca="1">IFERROR(IF(AND(
  INDEX(Roadmap!$D:$K,MATCH($E174,Roadmap!$D:$D,0)+COUNTIF($E174:M174,"u")+COUNTIF($E174:M174,"t")+COUNTIF($E174:M174,"¶")+COUNTIF($E174:M174,"²")+COUNTIF($E174:M174,"µ")+COUNTIF($E174:M174,1),ColLivraison)=N$6,
  VLOOKUP($E174,INDIRECT("tri!"&amp; CHAR(64+ C0Col) &amp;":"&amp; CHAR(65+C0Col)),2,FALSE)&gt;COUNTIF($E174:M174,"u")+COUNTIF($E174:M174,"t")+COUNTIF($E174:M174,"¶")+COUNTIF($E174:M174,"²")+COUNTIF($E174:M174,"µ")+COUNTIF($E174:M174,1)),
HYPERLINK("#Roadmap!C"&amp; MATCH($E174,Roadmap!$D:$D,0)+COUNTIF($E174:M174,"u")+COUNTIF($E174:M174,"t"),
     INDEX(Roadmap!$D:$K,MATCH($E174,Roadmap!$D:$D,0)+COUNTIF($E174:M174,"u")+COUNTIF($E174:M174,"t")+COUNTIF($E174:M174,"¶")+COUNTIF($E174:M174,"²")+COUNTIF($E174:M174,"µ")+COUNTIF($E174:M174,1),ColTypeEcheance)),
  IF(LEN(M174)=1,
  IF(LEN(INDEX(Roadmap!$D:$K,MATCH($E174,Roadmap!$D:$D,0)-1+COUNTIF($E174:M174,"u")+COUNTIF($E174:M174,"t")+COUNTIF($E174:M174,"¶")+COUNTIF($E174:M174,"²")+COUNTIF($E174:M174,"µ")+COUNTIF($E174:M174,1),ColDescriptionCourte))&gt;1,
HYPERLINK("#Roadmap!C"&amp; MATCH($E174,Roadmap!$D:$D,0)+COUNTIF($E174:M174,"u")+COUNTIF($E174:M174,"t")+COUNTIF($E174:M174,"¶")+COUNTIF($E174:M174,"²")+COUNTIF($E174:M174,"µ")+COUNTIF($E174:M174,1)-1,INDEX(Roadmap!$D:$K,MATCH($E174,Roadmap!$D:$D,0)-1+COUNTIF($E174:M174,"u")+COUNTIF($E174:M174,"t")+COUNTIF($E174:M174,"¶")+COUNTIF($E174:M174,"²")+COUNTIF($E174:M174,"µ")+COUNTIF($E174:M174,1),ColDescriptionCourte)),""),
  "")),"")</f>
        <v/>
      </c>
      <c r="O174" s="40" t="str">
        <f ca="1">IFERROR(IF(AND(
  INDEX(Roadmap!$D:$K,MATCH($E174,Roadmap!$D:$D,0)+COUNTIF($E174:N174,"u")+COUNTIF($E174:N174,"t")+COUNTIF($E174:N174,"¶")+COUNTIF($E174:N174,"²")+COUNTIF($E174:N174,"µ")+COUNTIF($E174:N174,1),ColLivraison)=O$6,
  VLOOKUP($E174,INDIRECT("tri!"&amp; CHAR(64+ C0Col) &amp;":"&amp; CHAR(65+C0Col)),2,FALSE)&gt;COUNTIF($E174:N174,"u")+COUNTIF($E174:N174,"t")+COUNTIF($E174:N174,"¶")+COUNTIF($E174:N174,"²")+COUNTIF($E174:N174,"µ")+COUNTIF($E174:N174,1)),
HYPERLINK("#Roadmap!C"&amp; MATCH($E174,Roadmap!$D:$D,0)+COUNTIF($E174:N174,"u")+COUNTIF($E174:N174,"t"),
     INDEX(Roadmap!$D:$K,MATCH($E174,Roadmap!$D:$D,0)+COUNTIF($E174:N174,"u")+COUNTIF($E174:N174,"t")+COUNTIF($E174:N174,"¶")+COUNTIF($E174:N174,"²")+COUNTIF($E174:N174,"µ")+COUNTIF($E174:N174,1),ColTypeEcheance)),
  IF(LEN(N174)=1,
  IF(LEN(INDEX(Roadmap!$D:$K,MATCH($E174,Roadmap!$D:$D,0)-1+COUNTIF($E174:N174,"u")+COUNTIF($E174:N174,"t")+COUNTIF($E174:N174,"¶")+COUNTIF($E174:N174,"²")+COUNTIF($E174:N174,"µ")+COUNTIF($E174:N174,1),ColDescriptionCourte))&gt;1,
HYPERLINK("#Roadmap!C"&amp; MATCH($E174,Roadmap!$D:$D,0)+COUNTIF($E174:N174,"u")+COUNTIF($E174:N174,"t")+COUNTIF($E174:N174,"¶")+COUNTIF($E174:N174,"²")+COUNTIF($E174:N174,"µ")+COUNTIF($E174:N174,1)-1,INDEX(Roadmap!$D:$K,MATCH($E174,Roadmap!$D:$D,0)-1+COUNTIF($E174:N174,"u")+COUNTIF($E174:N174,"t")+COUNTIF($E174:N174,"¶")+COUNTIF($E174:N174,"²")+COUNTIF($E174:N174,"µ")+COUNTIF($E174:N174,1),ColDescriptionCourte)),""),
  "")),"")</f>
        <v/>
      </c>
      <c r="P174" s="40" t="str">
        <f ca="1">IFERROR(IF(AND(
  INDEX(Roadmap!$D:$K,MATCH($E174,Roadmap!$D:$D,0)+COUNTIF($E174:O174,"u")+COUNTIF($E174:O174,"t")+COUNTIF($E174:O174,"¶")+COUNTIF($E174:O174,"²")+COUNTIF($E174:O174,"µ")+COUNTIF($E174:O174,1),ColLivraison)=P$6,
  VLOOKUP($E174,INDIRECT("tri!"&amp; CHAR(64+ C0Col) &amp;":"&amp; CHAR(65+C0Col)),2,FALSE)&gt;COUNTIF($E174:O174,"u")+COUNTIF($E174:O174,"t")+COUNTIF($E174:O174,"¶")+COUNTIF($E174:O174,"²")+COUNTIF($E174:O174,"µ")+COUNTIF($E174:O174,1)),
HYPERLINK("#Roadmap!C"&amp; MATCH($E174,Roadmap!$D:$D,0)+COUNTIF($E174:O174,"u")+COUNTIF($E174:O174,"t"),
     INDEX(Roadmap!$D:$K,MATCH($E174,Roadmap!$D:$D,0)+COUNTIF($E174:O174,"u")+COUNTIF($E174:O174,"t")+COUNTIF($E174:O174,"¶")+COUNTIF($E174:O174,"²")+COUNTIF($E174:O174,"µ")+COUNTIF($E174:O174,1),ColTypeEcheance)),
  IF(LEN(O174)=1,
  IF(LEN(INDEX(Roadmap!$D:$K,MATCH($E174,Roadmap!$D:$D,0)-1+COUNTIF($E174:O174,"u")+COUNTIF($E174:O174,"t")+COUNTIF($E174:O174,"¶")+COUNTIF($E174:O174,"²")+COUNTIF($E174:O174,"µ")+COUNTIF($E174:O174,1),ColDescriptionCourte))&gt;1,
HYPERLINK("#Roadmap!C"&amp; MATCH($E174,Roadmap!$D:$D,0)+COUNTIF($E174:O174,"u")+COUNTIF($E174:O174,"t")+COUNTIF($E174:O174,"¶")+COUNTIF($E174:O174,"²")+COUNTIF($E174:O174,"µ")+COUNTIF($E174:O174,1)-1,INDEX(Roadmap!$D:$K,MATCH($E174,Roadmap!$D:$D,0)-1+COUNTIF($E174:O174,"u")+COUNTIF($E174:O174,"t")+COUNTIF($E174:O174,"¶")+COUNTIF($E174:O174,"²")+COUNTIF($E174:O174,"µ")+COUNTIF($E174:O174,1),ColDescriptionCourte)),""),
  "")),"")</f>
        <v/>
      </c>
      <c r="Q174" s="40" t="str">
        <f ca="1">IFERROR(IF(AND(
  INDEX(Roadmap!$D:$K,MATCH($E174,Roadmap!$D:$D,0)+COUNTIF($E174:P174,"u")+COUNTIF($E174:P174,"t")+COUNTIF($E174:P174,"¶")+COUNTIF($E174:P174,"²")+COUNTIF($E174:P174,"µ")+COUNTIF($E174:P174,1),ColLivraison)=Q$6,
  VLOOKUP($E174,INDIRECT("tri!"&amp; CHAR(64+ C0Col) &amp;":"&amp; CHAR(65+C0Col)),2,FALSE)&gt;COUNTIF($E174:P174,"u")+COUNTIF($E174:P174,"t")+COUNTIF($E174:P174,"¶")+COUNTIF($E174:P174,"²")+COUNTIF($E174:P174,"µ")+COUNTIF($E174:P174,1)),
HYPERLINK("#Roadmap!C"&amp; MATCH($E174,Roadmap!$D:$D,0)+COUNTIF($E174:P174,"u")+COUNTIF($E174:P174,"t"),
     INDEX(Roadmap!$D:$K,MATCH($E174,Roadmap!$D:$D,0)+COUNTIF($E174:P174,"u")+COUNTIF($E174:P174,"t")+COUNTIF($E174:P174,"¶")+COUNTIF($E174:P174,"²")+COUNTIF($E174:P174,"µ")+COUNTIF($E174:P174,1),ColTypeEcheance)),
  IF(LEN(P174)=1,
  IF(LEN(INDEX(Roadmap!$D:$K,MATCH($E174,Roadmap!$D:$D,0)-1+COUNTIF($E174:P174,"u")+COUNTIF($E174:P174,"t")+COUNTIF($E174:P174,"¶")+COUNTIF($E174:P174,"²")+COUNTIF($E174:P174,"µ")+COUNTIF($E174:P174,1),ColDescriptionCourte))&gt;1,
HYPERLINK("#Roadmap!C"&amp; MATCH($E174,Roadmap!$D:$D,0)+COUNTIF($E174:P174,"u")+COUNTIF($E174:P174,"t")+COUNTIF($E174:P174,"¶")+COUNTIF($E174:P174,"²")+COUNTIF($E174:P174,"µ")+COUNTIF($E174:P174,1)-1,INDEX(Roadmap!$D:$K,MATCH($E174,Roadmap!$D:$D,0)-1+COUNTIF($E174:P174,"u")+COUNTIF($E174:P174,"t")+COUNTIF($E174:P174,"¶")+COUNTIF($E174:P174,"²")+COUNTIF($E174:P174,"µ")+COUNTIF($E174:P174,1),ColDescriptionCourte)),""),
  "")),"")</f>
        <v/>
      </c>
      <c r="R174" s="40" t="str">
        <f ca="1">IFERROR(IF(AND(
  INDEX(Roadmap!$D:$K,MATCH($E174,Roadmap!$D:$D,0)+COUNTIF($E174:Q174,"u")+COUNTIF($E174:Q174,"t")+COUNTIF($E174:Q174,"¶")+COUNTIF($E174:Q174,"²")+COUNTIF($E174:Q174,"µ")+COUNTIF($E174:Q174,1),ColLivraison)=R$6,
  VLOOKUP($E174,INDIRECT("tri!"&amp; CHAR(64+ C0Col) &amp;":"&amp; CHAR(65+C0Col)),2,FALSE)&gt;COUNTIF($E174:Q174,"u")+COUNTIF($E174:Q174,"t")+COUNTIF($E174:Q174,"¶")+COUNTIF($E174:Q174,"²")+COUNTIF($E174:Q174,"µ")+COUNTIF($E174:Q174,1)),
HYPERLINK("#Roadmap!C"&amp; MATCH($E174,Roadmap!$D:$D,0)+COUNTIF($E174:Q174,"u")+COUNTIF($E174:Q174,"t"),
     INDEX(Roadmap!$D:$K,MATCH($E174,Roadmap!$D:$D,0)+COUNTIF($E174:Q174,"u")+COUNTIF($E174:Q174,"t")+COUNTIF($E174:Q174,"¶")+COUNTIF($E174:Q174,"²")+COUNTIF($E174:Q174,"µ")+COUNTIF($E174:Q174,1),ColTypeEcheance)),
  IF(LEN(Q174)=1,
  IF(LEN(INDEX(Roadmap!$D:$K,MATCH($E174,Roadmap!$D:$D,0)-1+COUNTIF($E174:Q174,"u")+COUNTIF($E174:Q174,"t")+COUNTIF($E174:Q174,"¶")+COUNTIF($E174:Q174,"²")+COUNTIF($E174:Q174,"µ")+COUNTIF($E174:Q174,1),ColDescriptionCourte))&gt;1,
HYPERLINK("#Roadmap!C"&amp; MATCH($E174,Roadmap!$D:$D,0)+COUNTIF($E174:Q174,"u")+COUNTIF($E174:Q174,"t")+COUNTIF($E174:Q174,"¶")+COUNTIF($E174:Q174,"²")+COUNTIF($E174:Q174,"µ")+COUNTIF($E174:Q174,1)-1,INDEX(Roadmap!$D:$K,MATCH($E174,Roadmap!$D:$D,0)-1+COUNTIF($E174:Q174,"u")+COUNTIF($E174:Q174,"t")+COUNTIF($E174:Q174,"¶")+COUNTIF($E174:Q174,"²")+COUNTIF($E174:Q174,"µ")+COUNTIF($E174:Q174,1),ColDescriptionCourte)),""),
  "")),"")</f>
        <v/>
      </c>
      <c r="S174" s="40" t="str">
        <f ca="1">IFERROR(IF(AND(
  INDEX(Roadmap!$D:$K,MATCH($E174,Roadmap!$D:$D,0)+COUNTIF($E174:R174,"u")+COUNTIF($E174:R174,"t")+COUNTIF($E174:R174,"¶")+COUNTIF($E174:R174,"²")+COUNTIF($E174:R174,"µ")+COUNTIF($E174:R174,1),ColLivraison)=S$6,
  VLOOKUP($E174,INDIRECT("tri!"&amp; CHAR(64+ C0Col) &amp;":"&amp; CHAR(65+C0Col)),2,FALSE)&gt;COUNTIF($E174:R174,"u")+COUNTIF($E174:R174,"t")+COUNTIF($E174:R174,"¶")+COUNTIF($E174:R174,"²")+COUNTIF($E174:R174,"µ")+COUNTIF($E174:R174,1)),
HYPERLINK("#Roadmap!C"&amp; MATCH($E174,Roadmap!$D:$D,0)+COUNTIF($E174:R174,"u")+COUNTIF($E174:R174,"t"),
     INDEX(Roadmap!$D:$K,MATCH($E174,Roadmap!$D:$D,0)+COUNTIF($E174:R174,"u")+COUNTIF($E174:R174,"t")+COUNTIF($E174:R174,"¶")+COUNTIF($E174:R174,"²")+COUNTIF($E174:R174,"µ")+COUNTIF($E174:R174,1),ColTypeEcheance)),
  IF(LEN(R174)=1,
  IF(LEN(INDEX(Roadmap!$D:$K,MATCH($E174,Roadmap!$D:$D,0)-1+COUNTIF($E174:R174,"u")+COUNTIF($E174:R174,"t")+COUNTIF($E174:R174,"¶")+COUNTIF($E174:R174,"²")+COUNTIF($E174:R174,"µ")+COUNTIF($E174:R174,1),ColDescriptionCourte))&gt;1,
HYPERLINK("#Roadmap!C"&amp; MATCH($E174,Roadmap!$D:$D,0)+COUNTIF($E174:R174,"u")+COUNTIF($E174:R174,"t")+COUNTIF($E174:R174,"¶")+COUNTIF($E174:R174,"²")+COUNTIF($E174:R174,"µ")+COUNTIF($E174:R174,1)-1,INDEX(Roadmap!$D:$K,MATCH($E174,Roadmap!$D:$D,0)-1+COUNTIF($E174:R174,"u")+COUNTIF($E174:R174,"t")+COUNTIF($E174:R174,"¶")+COUNTIF($E174:R174,"²")+COUNTIF($E174:R174,"µ")+COUNTIF($E174:R174,1),ColDescriptionCourte)),""),
  "")),"")</f>
        <v/>
      </c>
      <c r="T174" s="40" t="str">
        <f ca="1">IFERROR(IF(AND(
  INDEX(Roadmap!$D:$K,MATCH($E174,Roadmap!$D:$D,0)+COUNTIF($E174:S174,"u")+COUNTIF($E174:S174,"t")+COUNTIF($E174:S174,"¶")+COUNTIF($E174:S174,"²")+COUNTIF($E174:S174,"µ")+COUNTIF($E174:S174,1),ColLivraison)=T$6,
  VLOOKUP($E174,INDIRECT("tri!"&amp; CHAR(64+ C0Col) &amp;":"&amp; CHAR(65+C0Col)),2,FALSE)&gt;COUNTIF($E174:S174,"u")+COUNTIF($E174:S174,"t")+COUNTIF($E174:S174,"¶")+COUNTIF($E174:S174,"²")+COUNTIF($E174:S174,"µ")+COUNTIF($E174:S174,1)),
HYPERLINK("#Roadmap!C"&amp; MATCH($E174,Roadmap!$D:$D,0)+COUNTIF($E174:S174,"u")+COUNTIF($E174:S174,"t"),
     INDEX(Roadmap!$D:$K,MATCH($E174,Roadmap!$D:$D,0)+COUNTIF($E174:S174,"u")+COUNTIF($E174:S174,"t")+COUNTIF($E174:S174,"¶")+COUNTIF($E174:S174,"²")+COUNTIF($E174:S174,"µ")+COUNTIF($E174:S174,1),ColTypeEcheance)),
  IF(LEN(S174)=1,
  IF(LEN(INDEX(Roadmap!$D:$K,MATCH($E174,Roadmap!$D:$D,0)-1+COUNTIF($E174:S174,"u")+COUNTIF($E174:S174,"t")+COUNTIF($E174:S174,"¶")+COUNTIF($E174:S174,"²")+COUNTIF($E174:S174,"µ")+COUNTIF($E174:S174,1),ColDescriptionCourte))&gt;1,
HYPERLINK("#Roadmap!C"&amp; MATCH($E174,Roadmap!$D:$D,0)+COUNTIF($E174:S174,"u")+COUNTIF($E174:S174,"t")+COUNTIF($E174:S174,"¶")+COUNTIF($E174:S174,"²")+COUNTIF($E174:S174,"µ")+COUNTIF($E174:S174,1)-1,INDEX(Roadmap!$D:$K,MATCH($E174,Roadmap!$D:$D,0)-1+COUNTIF($E174:S174,"u")+COUNTIF($E174:S174,"t")+COUNTIF($E174:S174,"¶")+COUNTIF($E174:S174,"²")+COUNTIF($E174:S174,"µ")+COUNTIF($E174:S174,1),ColDescriptionCourte)),""),
  "")),"")</f>
        <v/>
      </c>
      <c r="U174" s="40" t="str">
        <f ca="1">IFERROR(IF(AND(
  INDEX(Roadmap!$D:$K,MATCH($E174,Roadmap!$D:$D,0)+COUNTIF($E174:T174,"u")+COUNTIF($E174:T174,"t")+COUNTIF($E174:T174,"¶")+COUNTIF($E174:T174,"²")+COUNTIF($E174:T174,"µ")+COUNTIF($E174:T174,1),ColLivraison)=U$6,
  VLOOKUP($E174,INDIRECT("tri!"&amp; CHAR(64+ C0Col) &amp;":"&amp; CHAR(65+C0Col)),2,FALSE)&gt;COUNTIF($E174:T174,"u")+COUNTIF($E174:T174,"t")+COUNTIF($E174:T174,"¶")+COUNTIF($E174:T174,"²")+COUNTIF($E174:T174,"µ")+COUNTIF($E174:T174,1)),
HYPERLINK("#Roadmap!C"&amp; MATCH($E174,Roadmap!$D:$D,0)+COUNTIF($E174:T174,"u")+COUNTIF($E174:T174,"t"),
     INDEX(Roadmap!$D:$K,MATCH($E174,Roadmap!$D:$D,0)+COUNTIF($E174:T174,"u")+COUNTIF($E174:T174,"t")+COUNTIF($E174:T174,"¶")+COUNTIF($E174:T174,"²")+COUNTIF($E174:T174,"µ")+COUNTIF($E174:T174,1),ColTypeEcheance)),
  IF(LEN(T174)=1,
  IF(LEN(INDEX(Roadmap!$D:$K,MATCH($E174,Roadmap!$D:$D,0)-1+COUNTIF($E174:T174,"u")+COUNTIF($E174:T174,"t")+COUNTIF($E174:T174,"¶")+COUNTIF($E174:T174,"²")+COUNTIF($E174:T174,"µ")+COUNTIF($E174:T174,1),ColDescriptionCourte))&gt;1,
HYPERLINK("#Roadmap!C"&amp; MATCH($E174,Roadmap!$D:$D,0)+COUNTIF($E174:T174,"u")+COUNTIF($E174:T174,"t")+COUNTIF($E174:T174,"¶")+COUNTIF($E174:T174,"²")+COUNTIF($E174:T174,"µ")+COUNTIF($E174:T174,1)-1,INDEX(Roadmap!$D:$K,MATCH($E174,Roadmap!$D:$D,0)-1+COUNTIF($E174:T174,"u")+COUNTIF($E174:T174,"t")+COUNTIF($E174:T174,"¶")+COUNTIF($E174:T174,"²")+COUNTIF($E174:T174,"µ")+COUNTIF($E174:T174,1),ColDescriptionCourte)),""),
  "")),"")</f>
        <v/>
      </c>
      <c r="V174" s="40" t="str">
        <f ca="1">IFERROR(IF(AND(
  INDEX(Roadmap!$D:$K,MATCH($E174,Roadmap!$D:$D,0)+COUNTIF($E174:U174,"u")+COUNTIF($E174:U174,"t")+COUNTIF($E174:U174,"¶")+COUNTIF($E174:U174,"²")+COUNTIF($E174:U174,"µ")+COUNTIF($E174:U174,1),ColLivraison)=V$6,
  VLOOKUP($E174,INDIRECT("tri!"&amp; CHAR(64+ C0Col) &amp;":"&amp; CHAR(65+C0Col)),2,FALSE)&gt;COUNTIF($E174:U174,"u")+COUNTIF($E174:U174,"t")+COUNTIF($E174:U174,"¶")+COUNTIF($E174:U174,"²")+COUNTIF($E174:U174,"µ")+COUNTIF($E174:U174,1)),
HYPERLINK("#Roadmap!C"&amp; MATCH($E174,Roadmap!$D:$D,0)+COUNTIF($E174:U174,"u")+COUNTIF($E174:U174,"t"),
     INDEX(Roadmap!$D:$K,MATCH($E174,Roadmap!$D:$D,0)+COUNTIF($E174:U174,"u")+COUNTIF($E174:U174,"t")+COUNTIF($E174:U174,"¶")+COUNTIF($E174:U174,"²")+COUNTIF($E174:U174,"µ")+COUNTIF($E174:U174,1),ColTypeEcheance)),
  IF(LEN(U174)=1,
  IF(LEN(INDEX(Roadmap!$D:$K,MATCH($E174,Roadmap!$D:$D,0)-1+COUNTIF($E174:U174,"u")+COUNTIF($E174:U174,"t")+COUNTIF($E174:U174,"¶")+COUNTIF($E174:U174,"²")+COUNTIF($E174:U174,"µ")+COUNTIF($E174:U174,1),ColDescriptionCourte))&gt;1,
HYPERLINK("#Roadmap!C"&amp; MATCH($E174,Roadmap!$D:$D,0)+COUNTIF($E174:U174,"u")+COUNTIF($E174:U174,"t")+COUNTIF($E174:U174,"¶")+COUNTIF($E174:U174,"²")+COUNTIF($E174:U174,"µ")+COUNTIF($E174:U174,1)-1,INDEX(Roadmap!$D:$K,MATCH($E174,Roadmap!$D:$D,0)-1+COUNTIF($E174:U174,"u")+COUNTIF($E174:U174,"t")+COUNTIF($E174:U174,"¶")+COUNTIF($E174:U174,"²")+COUNTIF($E174:U174,"µ")+COUNTIF($E174:U174,1),ColDescriptionCourte)),""),
  "")),"")</f>
        <v/>
      </c>
      <c r="W174" s="40" t="str">
        <f ca="1">IFERROR(IF(AND(
  INDEX(Roadmap!$D:$K,MATCH($E174,Roadmap!$D:$D,0)+COUNTIF($E174:V174,"u")+COUNTIF($E174:V174,"t")+COUNTIF($E174:V174,"¶")+COUNTIF($E174:V174,"²")+COUNTIF($E174:V174,"µ")+COUNTIF($E174:V174,1),ColLivraison)=W$6,
  VLOOKUP($E174,INDIRECT("tri!"&amp; CHAR(64+ C0Col) &amp;":"&amp; CHAR(65+C0Col)),2,FALSE)&gt;COUNTIF($E174:V174,"u")+COUNTIF($E174:V174,"t")+COUNTIF($E174:V174,"¶")+COUNTIF($E174:V174,"²")+COUNTIF($E174:V174,"µ")+COUNTIF($E174:V174,1)),
HYPERLINK("#Roadmap!C"&amp; MATCH($E174,Roadmap!$D:$D,0)+COUNTIF($E174:V174,"u")+COUNTIF($E174:V174,"t"),
     INDEX(Roadmap!$D:$K,MATCH($E174,Roadmap!$D:$D,0)+COUNTIF($E174:V174,"u")+COUNTIF($E174:V174,"t")+COUNTIF($E174:V174,"¶")+COUNTIF($E174:V174,"²")+COUNTIF($E174:V174,"µ")+COUNTIF($E174:V174,1),ColTypeEcheance)),
  IF(LEN(V174)=1,
  IF(LEN(INDEX(Roadmap!$D:$K,MATCH($E174,Roadmap!$D:$D,0)-1+COUNTIF($E174:V174,"u")+COUNTIF($E174:V174,"t")+COUNTIF($E174:V174,"¶")+COUNTIF($E174:V174,"²")+COUNTIF($E174:V174,"µ")+COUNTIF($E174:V174,1),ColDescriptionCourte))&gt;1,
HYPERLINK("#Roadmap!C"&amp; MATCH($E174,Roadmap!$D:$D,0)+COUNTIF($E174:V174,"u")+COUNTIF($E174:V174,"t")+COUNTIF($E174:V174,"¶")+COUNTIF($E174:V174,"²")+COUNTIF($E174:V174,"µ")+COUNTIF($E174:V174,1)-1,INDEX(Roadmap!$D:$K,MATCH($E174,Roadmap!$D:$D,0)-1+COUNTIF($E174:V174,"u")+COUNTIF($E174:V174,"t")+COUNTIF($E174:V174,"¶")+COUNTIF($E174:V174,"²")+COUNTIF($E174:V174,"µ")+COUNTIF($E174:V174,1),ColDescriptionCourte)),""),
  "")),"")</f>
        <v/>
      </c>
      <c r="X174" s="40" t="str">
        <f ca="1">IFERROR(IF(AND(
  INDEX(Roadmap!$D:$K,MATCH($E174,Roadmap!$D:$D,0)+COUNTIF($E174:W174,"u")+COUNTIF($E174:W174,"t")+COUNTIF($E174:W174,"¶")+COUNTIF($E174:W174,"²")+COUNTIF($E174:W174,"µ")+COUNTIF($E174:W174,1),ColLivraison)=X$6,
  VLOOKUP($E174,INDIRECT("tri!"&amp; CHAR(64+ C0Col) &amp;":"&amp; CHAR(65+C0Col)),2,FALSE)&gt;COUNTIF($E174:W174,"u")+COUNTIF($E174:W174,"t")+COUNTIF($E174:W174,"¶")+COUNTIF($E174:W174,"²")+COUNTIF($E174:W174,"µ")+COUNTIF($E174:W174,1)),
HYPERLINK("#Roadmap!C"&amp; MATCH($E174,Roadmap!$D:$D,0)+COUNTIF($E174:W174,"u")+COUNTIF($E174:W174,"t"),
     INDEX(Roadmap!$D:$K,MATCH($E174,Roadmap!$D:$D,0)+COUNTIF($E174:W174,"u")+COUNTIF($E174:W174,"t")+COUNTIF($E174:W174,"¶")+COUNTIF($E174:W174,"²")+COUNTIF($E174:W174,"µ")+COUNTIF($E174:W174,1),ColTypeEcheance)),
  IF(LEN(W174)=1,
  IF(LEN(INDEX(Roadmap!$D:$K,MATCH($E174,Roadmap!$D:$D,0)-1+COUNTIF($E174:W174,"u")+COUNTIF($E174:W174,"t")+COUNTIF($E174:W174,"¶")+COUNTIF($E174:W174,"²")+COUNTIF($E174:W174,"µ")+COUNTIF($E174:W174,1),ColDescriptionCourte))&gt;1,
HYPERLINK("#Roadmap!C"&amp; MATCH($E174,Roadmap!$D:$D,0)+COUNTIF($E174:W174,"u")+COUNTIF($E174:W174,"t")+COUNTIF($E174:W174,"¶")+COUNTIF($E174:W174,"²")+COUNTIF($E174:W174,"µ")+COUNTIF($E174:W174,1)-1,INDEX(Roadmap!$D:$K,MATCH($E174,Roadmap!$D:$D,0)-1+COUNTIF($E174:W174,"u")+COUNTIF($E174:W174,"t")+COUNTIF($E174:W174,"¶")+COUNTIF($E174:W174,"²")+COUNTIF($E174:W174,"µ")+COUNTIF($E174:W174,1),ColDescriptionCourte)),""),
  "")),"")</f>
        <v/>
      </c>
      <c r="Y174" s="40" t="str">
        <f ca="1">IFERROR(IF(AND(
  INDEX(Roadmap!$D:$K,MATCH($E174,Roadmap!$D:$D,0)+COUNTIF($E174:X174,"u")+COUNTIF($E174:X174,"t")+COUNTIF($E174:X174,"¶")+COUNTIF($E174:X174,"²")+COUNTIF($E174:X174,"µ")+COUNTIF($E174:X174,1),ColLivraison)=Y$6,
  VLOOKUP($E174,INDIRECT("tri!"&amp; CHAR(64+ C0Col) &amp;":"&amp; CHAR(65+C0Col)),2,FALSE)&gt;COUNTIF($E174:X174,"u")+COUNTIF($E174:X174,"t")+COUNTIF($E174:X174,"¶")+COUNTIF($E174:X174,"²")+COUNTIF($E174:X174,"µ")+COUNTIF($E174:X174,1)),
HYPERLINK("#Roadmap!C"&amp; MATCH($E174,Roadmap!$D:$D,0)+COUNTIF($E174:X174,"u")+COUNTIF($E174:X174,"t"),
     INDEX(Roadmap!$D:$K,MATCH($E174,Roadmap!$D:$D,0)+COUNTIF($E174:X174,"u")+COUNTIF($E174:X174,"t")+COUNTIF($E174:X174,"¶")+COUNTIF($E174:X174,"²")+COUNTIF($E174:X174,"µ")+COUNTIF($E174:X174,1),ColTypeEcheance)),
  IF(LEN(X174)=1,
  IF(LEN(INDEX(Roadmap!$D:$K,MATCH($E174,Roadmap!$D:$D,0)-1+COUNTIF($E174:X174,"u")+COUNTIF($E174:X174,"t")+COUNTIF($E174:X174,"¶")+COUNTIF($E174:X174,"²")+COUNTIF($E174:X174,"µ")+COUNTIF($E174:X174,1),ColDescriptionCourte))&gt;1,
HYPERLINK("#Roadmap!C"&amp; MATCH($E174,Roadmap!$D:$D,0)+COUNTIF($E174:X174,"u")+COUNTIF($E174:X174,"t")+COUNTIF($E174:X174,"¶")+COUNTIF($E174:X174,"²")+COUNTIF($E174:X174,"µ")+COUNTIF($E174:X174,1)-1,INDEX(Roadmap!$D:$K,MATCH($E174,Roadmap!$D:$D,0)-1+COUNTIF($E174:X174,"u")+COUNTIF($E174:X174,"t")+COUNTIF($E174:X174,"¶")+COUNTIF($E174:X174,"²")+COUNTIF($E174:X174,"µ")+COUNTIF($E174:X174,1),ColDescriptionCourte)),""),
  "")),"")</f>
        <v/>
      </c>
      <c r="Z174" s="40" t="str">
        <f ca="1">IFERROR(IF(AND(
  INDEX(Roadmap!$D:$K,MATCH($E174,Roadmap!$D:$D,0)+COUNTIF($E174:Y174,"u")+COUNTIF($E174:Y174,"t")+COUNTIF($E174:Y174,"¶")+COUNTIF($E174:Y174,"²")+COUNTIF($E174:Y174,"µ")+COUNTIF($E174:Y174,1),ColLivraison)=Z$6,
  VLOOKUP($E174,INDIRECT("tri!"&amp; CHAR(64+ C0Col) &amp;":"&amp; CHAR(65+C0Col)),2,FALSE)&gt;COUNTIF($E174:Y174,"u")+COUNTIF($E174:Y174,"t")+COUNTIF($E174:Y174,"¶")+COUNTIF($E174:Y174,"²")+COUNTIF($E174:Y174,"µ")+COUNTIF($E174:Y174,1)),
HYPERLINK("#Roadmap!C"&amp; MATCH($E174,Roadmap!$D:$D,0)+COUNTIF($E174:Y174,"u")+COUNTIF($E174:Y174,"t"),
     INDEX(Roadmap!$D:$K,MATCH($E174,Roadmap!$D:$D,0)+COUNTIF($E174:Y174,"u")+COUNTIF($E174:Y174,"t")+COUNTIF($E174:Y174,"¶")+COUNTIF($E174:Y174,"²")+COUNTIF($E174:Y174,"µ")+COUNTIF($E174:Y174,1),ColTypeEcheance)),
  IF(LEN(Y174)=1,
  IF(LEN(INDEX(Roadmap!$D:$K,MATCH($E174,Roadmap!$D:$D,0)-1+COUNTIF($E174:Y174,"u")+COUNTIF($E174:Y174,"t")+COUNTIF($E174:Y174,"¶")+COUNTIF($E174:Y174,"²")+COUNTIF($E174:Y174,"µ")+COUNTIF($E174:Y174,1),ColDescriptionCourte))&gt;1,
HYPERLINK("#Roadmap!C"&amp; MATCH($E174,Roadmap!$D:$D,0)+COUNTIF($E174:Y174,"u")+COUNTIF($E174:Y174,"t")+COUNTIF($E174:Y174,"¶")+COUNTIF($E174:Y174,"²")+COUNTIF($E174:Y174,"µ")+COUNTIF($E174:Y174,1)-1,INDEX(Roadmap!$D:$K,MATCH($E174,Roadmap!$D:$D,0)-1+COUNTIF($E174:Y174,"u")+COUNTIF($E174:Y174,"t")+COUNTIF($E174:Y174,"¶")+COUNTIF($E174:Y174,"²")+COUNTIF($E174:Y174,"µ")+COUNTIF($E174:Y174,1),ColDescriptionCourte)),""),
  "")),"")</f>
        <v/>
      </c>
      <c r="AA174" s="40" t="str">
        <f ca="1">IFERROR(IF(AND(
  INDEX(Roadmap!$D:$K,MATCH($E174,Roadmap!$D:$D,0)+COUNTIF($E174:Z174,"u")+COUNTIF($E174:Z174,"t")+COUNTIF($E174:Z174,"¶")+COUNTIF($E174:Z174,"²")+COUNTIF($E174:Z174,"µ")+COUNTIF($E174:Z174,1),ColLivraison)=AA$6,
  VLOOKUP($E174,INDIRECT("tri!"&amp; CHAR(64+ C0Col) &amp;":"&amp; CHAR(65+C0Col)),2,FALSE)&gt;COUNTIF($E174:Z174,"u")+COUNTIF($E174:Z174,"t")+COUNTIF($E174:Z174,"¶")+COUNTIF($E174:Z174,"²")+COUNTIF($E174:Z174,"µ")+COUNTIF($E174:Z174,1)),
HYPERLINK("#Roadmap!C"&amp; MATCH($E174,Roadmap!$D:$D,0)+COUNTIF($E174:Z174,"u")+COUNTIF($E174:Z174,"t"),
     INDEX(Roadmap!$D:$K,MATCH($E174,Roadmap!$D:$D,0)+COUNTIF($E174:Z174,"u")+COUNTIF($E174:Z174,"t")+COUNTIF($E174:Z174,"¶")+COUNTIF($E174:Z174,"²")+COUNTIF($E174:Z174,"µ")+COUNTIF($E174:Z174,1),ColTypeEcheance)),
  IF(LEN(Z174)=1,
  IF(LEN(INDEX(Roadmap!$D:$K,MATCH($E174,Roadmap!$D:$D,0)-1+COUNTIF($E174:Z174,"u")+COUNTIF($E174:Z174,"t")+COUNTIF($E174:Z174,"¶")+COUNTIF($E174:Z174,"²")+COUNTIF($E174:Z174,"µ")+COUNTIF($E174:Z174,1),ColDescriptionCourte))&gt;1,
HYPERLINK("#Roadmap!C"&amp; MATCH($E174,Roadmap!$D:$D,0)+COUNTIF($E174:Z174,"u")+COUNTIF($E174:Z174,"t")+COUNTIF($E174:Z174,"¶")+COUNTIF($E174:Z174,"²")+COUNTIF($E174:Z174,"µ")+COUNTIF($E174:Z174,1)-1,INDEX(Roadmap!$D:$K,MATCH($E174,Roadmap!$D:$D,0)-1+COUNTIF($E174:Z174,"u")+COUNTIF($E174:Z174,"t")+COUNTIF($E174:Z174,"¶")+COUNTIF($E174:Z174,"²")+COUNTIF($E174:Z174,"µ")+COUNTIF($E174:Z174,1),ColDescriptionCourte)),""),
  "")),"")</f>
        <v/>
      </c>
      <c r="AB174" s="40" t="str">
        <f ca="1">IFERROR(IF(AND(
  INDEX(Roadmap!$D:$K,MATCH($E174,Roadmap!$D:$D,0)+COUNTIF($E174:AA174,"u")+COUNTIF($E174:AA174,"t")+COUNTIF($E174:AA174,"¶")+COUNTIF($E174:AA174,"²")+COUNTIF($E174:AA174,"µ")+COUNTIF($E174:AA174,1),ColLivraison)=AB$6,
  VLOOKUP($E174,INDIRECT("tri!"&amp; CHAR(64+ C0Col) &amp;":"&amp; CHAR(65+C0Col)),2,FALSE)&gt;COUNTIF($E174:AA174,"u")+COUNTIF($E174:AA174,"t")+COUNTIF($E174:AA174,"¶")+COUNTIF($E174:AA174,"²")+COUNTIF($E174:AA174,"µ")+COUNTIF($E174:AA174,1)),
HYPERLINK("#Roadmap!C"&amp; MATCH($E174,Roadmap!$D:$D,0)+COUNTIF($E174:AA174,"u")+COUNTIF($E174:AA174,"t"),
     INDEX(Roadmap!$D:$K,MATCH($E174,Roadmap!$D:$D,0)+COUNTIF($E174:AA174,"u")+COUNTIF($E174:AA174,"t")+COUNTIF($E174:AA174,"¶")+COUNTIF($E174:AA174,"²")+COUNTIF($E174:AA174,"µ")+COUNTIF($E174:AA174,1),ColTypeEcheance)),
  IF(LEN(AA174)=1,
  IF(LEN(INDEX(Roadmap!$D:$K,MATCH($E174,Roadmap!$D:$D,0)-1+COUNTIF($E174:AA174,"u")+COUNTIF($E174:AA174,"t")+COUNTIF($E174:AA174,"¶")+COUNTIF($E174:AA174,"²")+COUNTIF($E174:AA174,"µ")+COUNTIF($E174:AA174,1),ColDescriptionCourte))&gt;1,
HYPERLINK("#Roadmap!C"&amp; MATCH($E174,Roadmap!$D:$D,0)+COUNTIF($E174:AA174,"u")+COUNTIF($E174:AA174,"t")+COUNTIF($E174:AA174,"¶")+COUNTIF($E174:AA174,"²")+COUNTIF($E174:AA174,"µ")+COUNTIF($E174:AA174,1)-1,INDEX(Roadmap!$D:$K,MATCH($E174,Roadmap!$D:$D,0)-1+COUNTIF($E174:AA174,"u")+COUNTIF($E174:AA174,"t")+COUNTIF($E174:AA174,"¶")+COUNTIF($E174:AA174,"²")+COUNTIF($E174:AA174,"µ")+COUNTIF($E174:AA174,1),ColDescriptionCourte)),""),
  "")),"")</f>
        <v/>
      </c>
      <c r="AC174" s="40" t="str">
        <f ca="1">IFERROR(IF(AND(
  INDEX(Roadmap!$D:$K,MATCH($E174,Roadmap!$D:$D,0)+COUNTIF($E174:AB174,"u")+COUNTIF($E174:AB174,"t")+COUNTIF($E174:AB174,"¶")+COUNTIF($E174:AB174,"²")+COUNTIF($E174:AB174,"µ")+COUNTIF($E174:AB174,1),ColLivraison)=AC$6,
  VLOOKUP($E174,INDIRECT("tri!"&amp; CHAR(64+ C0Col) &amp;":"&amp; CHAR(65+C0Col)),2,FALSE)&gt;COUNTIF($E174:AB174,"u")+COUNTIF($E174:AB174,"t")+COUNTIF($E174:AB174,"¶")+COUNTIF($E174:AB174,"²")+COUNTIF($E174:AB174,"µ")+COUNTIF($E174:AB174,1)),
HYPERLINK("#Roadmap!C"&amp; MATCH($E174,Roadmap!$D:$D,0)+COUNTIF($E174:AB174,"u")+COUNTIF($E174:AB174,"t"),
     INDEX(Roadmap!$D:$K,MATCH($E174,Roadmap!$D:$D,0)+COUNTIF($E174:AB174,"u")+COUNTIF($E174:AB174,"t")+COUNTIF($E174:AB174,"¶")+COUNTIF($E174:AB174,"²")+COUNTIF($E174:AB174,"µ")+COUNTIF($E174:AB174,1),ColTypeEcheance)),
  IF(LEN(AB174)=1,
  IF(LEN(INDEX(Roadmap!$D:$K,MATCH($E174,Roadmap!$D:$D,0)-1+COUNTIF($E174:AB174,"u")+COUNTIF($E174:AB174,"t")+COUNTIF($E174:AB174,"¶")+COUNTIF($E174:AB174,"²")+COUNTIF($E174:AB174,"µ")+COUNTIF($E174:AB174,1),ColDescriptionCourte))&gt;1,
HYPERLINK("#Roadmap!C"&amp; MATCH($E174,Roadmap!$D:$D,0)+COUNTIF($E174:AB174,"u")+COUNTIF($E174:AB174,"t")+COUNTIF($E174:AB174,"¶")+COUNTIF($E174:AB174,"²")+COUNTIF($E174:AB174,"µ")+COUNTIF($E174:AB174,1)-1,INDEX(Roadmap!$D:$K,MATCH($E174,Roadmap!$D:$D,0)-1+COUNTIF($E174:AB174,"u")+COUNTIF($E174:AB174,"t")+COUNTIF($E174:AB174,"¶")+COUNTIF($E174:AB174,"²")+COUNTIF($E174:AB174,"µ")+COUNTIF($E174:AB174,1),ColDescriptionCourte)),""),
  "")),"")</f>
        <v/>
      </c>
      <c r="AD174" s="40" t="str">
        <f ca="1">IFERROR(IF(AND(
  INDEX(Roadmap!$D:$K,MATCH($E174,Roadmap!$D:$D,0)+COUNTIF($E174:AC174,"u")+COUNTIF($E174:AC174,"t")+COUNTIF($E174:AC174,"¶")+COUNTIF($E174:AC174,"²")+COUNTIF($E174:AC174,"µ")+COUNTIF($E174:AC174,1),ColLivraison)=AD$6,
  VLOOKUP($E174,INDIRECT("tri!"&amp; CHAR(64+ C0Col) &amp;":"&amp; CHAR(65+C0Col)),2,FALSE)&gt;COUNTIF($E174:AC174,"u")+COUNTIF($E174:AC174,"t")+COUNTIF($E174:AC174,"¶")+COUNTIF($E174:AC174,"²")+COUNTIF($E174:AC174,"µ")+COUNTIF($E174:AC174,1)),
HYPERLINK("#Roadmap!C"&amp; MATCH($E174,Roadmap!$D:$D,0)+COUNTIF($E174:AC174,"u")+COUNTIF($E174:AC174,"t"),
     INDEX(Roadmap!$D:$K,MATCH($E174,Roadmap!$D:$D,0)+COUNTIF($E174:AC174,"u")+COUNTIF($E174:AC174,"t")+COUNTIF($E174:AC174,"¶")+COUNTIF($E174:AC174,"²")+COUNTIF($E174:AC174,"µ")+COUNTIF($E174:AC174,1),ColTypeEcheance)),
  IF(LEN(AC174)=1,
  IF(LEN(INDEX(Roadmap!$D:$K,MATCH($E174,Roadmap!$D:$D,0)-1+COUNTIF($E174:AC174,"u")+COUNTIF($E174:AC174,"t")+COUNTIF($E174:AC174,"¶")+COUNTIF($E174:AC174,"²")+COUNTIF($E174:AC174,"µ")+COUNTIF($E174:AC174,1),ColDescriptionCourte))&gt;1,
HYPERLINK("#Roadmap!C"&amp; MATCH($E174,Roadmap!$D:$D,0)+COUNTIF($E174:AC174,"u")+COUNTIF($E174:AC174,"t")+COUNTIF($E174:AC174,"¶")+COUNTIF($E174:AC174,"²")+COUNTIF($E174:AC174,"µ")+COUNTIF($E174:AC174,1)-1,INDEX(Roadmap!$D:$K,MATCH($E174,Roadmap!$D:$D,0)-1+COUNTIF($E174:AC174,"u")+COUNTIF($E174:AC174,"t")+COUNTIF($E174:AC174,"¶")+COUNTIF($E174:AC174,"²")+COUNTIF($E174:AC174,"µ")+COUNTIF($E174:AC174,1),ColDescriptionCourte)),""),
  "")),"")</f>
        <v/>
      </c>
      <c r="AE174" s="40" t="str">
        <f ca="1">IFERROR(IF(AND(
  INDEX(Roadmap!$D:$K,MATCH($E174,Roadmap!$D:$D,0)+COUNTIF($E174:AD174,"u")+COUNTIF($E174:AD174,"t")+COUNTIF($E174:AD174,"¶")+COUNTIF($E174:AD174,"²")+COUNTIF($E174:AD174,"µ")+COUNTIF($E174:AD174,1),ColLivraison)=AE$6,
  VLOOKUP($E174,INDIRECT("tri!"&amp; CHAR(64+ C0Col) &amp;":"&amp; CHAR(65+C0Col)),2,FALSE)&gt;COUNTIF($E174:AD174,"u")+COUNTIF($E174:AD174,"t")+COUNTIF($E174:AD174,"¶")+COUNTIF($E174:AD174,"²")+COUNTIF($E174:AD174,"µ")+COUNTIF($E174:AD174,1)),
HYPERLINK("#Roadmap!C"&amp; MATCH($E174,Roadmap!$D:$D,0)+COUNTIF($E174:AD174,"u")+COUNTIF($E174:AD174,"t"),
     INDEX(Roadmap!$D:$K,MATCH($E174,Roadmap!$D:$D,0)+COUNTIF($E174:AD174,"u")+COUNTIF($E174:AD174,"t")+COUNTIF($E174:AD174,"¶")+COUNTIF($E174:AD174,"²")+COUNTIF($E174:AD174,"µ")+COUNTIF($E174:AD174,1),ColTypeEcheance)),
  IF(LEN(AD174)=1,
  IF(LEN(INDEX(Roadmap!$D:$K,MATCH($E174,Roadmap!$D:$D,0)-1+COUNTIF($E174:AD174,"u")+COUNTIF($E174:AD174,"t")+COUNTIF($E174:AD174,"¶")+COUNTIF($E174:AD174,"²")+COUNTIF($E174:AD174,"µ")+COUNTIF($E174:AD174,1),ColDescriptionCourte))&gt;1,
HYPERLINK("#Roadmap!C"&amp; MATCH($E174,Roadmap!$D:$D,0)+COUNTIF($E174:AD174,"u")+COUNTIF($E174:AD174,"t")+COUNTIF($E174:AD174,"¶")+COUNTIF($E174:AD174,"²")+COUNTIF($E174:AD174,"µ")+COUNTIF($E174:AD174,1)-1,INDEX(Roadmap!$D:$K,MATCH($E174,Roadmap!$D:$D,0)-1+COUNTIF($E174:AD174,"u")+COUNTIF($E174:AD174,"t")+COUNTIF($E174:AD174,"¶")+COUNTIF($E174:AD174,"²")+COUNTIF($E174:AD174,"µ")+COUNTIF($E174:AD174,1),ColDescriptionCourte)),""),
  "")),"")</f>
        <v/>
      </c>
      <c r="AF174" s="40" t="str">
        <f ca="1">IFERROR(IF(AND(
  INDEX(Roadmap!$D:$K,MATCH($E174,Roadmap!$D:$D,0)+COUNTIF($E174:AE174,"u")+COUNTIF($E174:AE174,"t")+COUNTIF($E174:AE174,"¶")+COUNTIF($E174:AE174,"²")+COUNTIF($E174:AE174,"µ")+COUNTIF($E174:AE174,1),ColLivraison)=AF$6,
  VLOOKUP($E174,INDIRECT("tri!"&amp; CHAR(64+ C0Col) &amp;":"&amp; CHAR(65+C0Col)),2,FALSE)&gt;COUNTIF($E174:AE174,"u")+COUNTIF($E174:AE174,"t")+COUNTIF($E174:AE174,"¶")+COUNTIF($E174:AE174,"²")+COUNTIF($E174:AE174,"µ")+COUNTIF($E174:AE174,1)),
HYPERLINK("#Roadmap!C"&amp; MATCH($E174,Roadmap!$D:$D,0)+COUNTIF($E174:AE174,"u")+COUNTIF($E174:AE174,"t"),
     INDEX(Roadmap!$D:$K,MATCH($E174,Roadmap!$D:$D,0)+COUNTIF($E174:AE174,"u")+COUNTIF($E174:AE174,"t")+COUNTIF($E174:AE174,"¶")+COUNTIF($E174:AE174,"²")+COUNTIF($E174:AE174,"µ")+COUNTIF($E174:AE174,1),ColTypeEcheance)),
  IF(LEN(AE174)=1,
  IF(LEN(INDEX(Roadmap!$D:$K,MATCH($E174,Roadmap!$D:$D,0)-1+COUNTIF($E174:AE174,"u")+COUNTIF($E174:AE174,"t")+COUNTIF($E174:AE174,"¶")+COUNTIF($E174:AE174,"²")+COUNTIF($E174:AE174,"µ")+COUNTIF($E174:AE174,1),ColDescriptionCourte))&gt;1,
HYPERLINK("#Roadmap!C"&amp; MATCH($E174,Roadmap!$D:$D,0)+COUNTIF($E174:AE174,"u")+COUNTIF($E174:AE174,"t")+COUNTIF($E174:AE174,"¶")+COUNTIF($E174:AE174,"²")+COUNTIF($E174:AE174,"µ")+COUNTIF($E174:AE174,1)-1,INDEX(Roadmap!$D:$K,MATCH($E174,Roadmap!$D:$D,0)-1+COUNTIF($E174:AE174,"u")+COUNTIF($E174:AE174,"t")+COUNTIF($E174:AE174,"¶")+COUNTIF($E174:AE174,"²")+COUNTIF($E174:AE174,"µ")+COUNTIF($E174:AE174,1),ColDescriptionCourte)),""),
  "")),"")</f>
        <v/>
      </c>
      <c r="AG174" s="40" t="str">
        <f ca="1">IFERROR(IF(AND(
  INDEX(Roadmap!$D:$K,MATCH($E174,Roadmap!$D:$D,0)+COUNTIF($E174:AF174,"u")+COUNTIF($E174:AF174,"t")+COUNTIF($E174:AF174,"¶")+COUNTIF($E174:AF174,"²")+COUNTIF($E174:AF174,"µ")+COUNTIF($E174:AF174,1),ColLivraison)=AG$6,
  VLOOKUP($E174,INDIRECT("tri!"&amp; CHAR(64+ C0Col) &amp;":"&amp; CHAR(65+C0Col)),2,FALSE)&gt;COUNTIF($E174:AF174,"u")+COUNTIF($E174:AF174,"t")+COUNTIF($E174:AF174,"¶")+COUNTIF($E174:AF174,"²")+COUNTIF($E174:AF174,"µ")+COUNTIF($E174:AF174,1)),
HYPERLINK("#Roadmap!C"&amp; MATCH($E174,Roadmap!$D:$D,0)+COUNTIF($E174:AF174,"u")+COUNTIF($E174:AF174,"t"),
     INDEX(Roadmap!$D:$K,MATCH($E174,Roadmap!$D:$D,0)+COUNTIF($E174:AF174,"u")+COUNTIF($E174:AF174,"t")+COUNTIF($E174:AF174,"¶")+COUNTIF($E174:AF174,"²")+COUNTIF($E174:AF174,"µ")+COUNTIF($E174:AF174,1),ColTypeEcheance)),
  IF(LEN(AF174)=1,
  IF(LEN(INDEX(Roadmap!$D:$K,MATCH($E174,Roadmap!$D:$D,0)-1+COUNTIF($E174:AF174,"u")+COUNTIF($E174:AF174,"t")+COUNTIF($E174:AF174,"¶")+COUNTIF($E174:AF174,"²")+COUNTIF($E174:AF174,"µ")+COUNTIF($E174:AF174,1),ColDescriptionCourte))&gt;1,
HYPERLINK("#Roadmap!C"&amp; MATCH($E174,Roadmap!$D:$D,0)+COUNTIF($E174:AF174,"u")+COUNTIF($E174:AF174,"t")+COUNTIF($E174:AF174,"¶")+COUNTIF($E174:AF174,"²")+COUNTIF($E174:AF174,"µ")+COUNTIF($E174:AF174,1)-1,INDEX(Roadmap!$D:$K,MATCH($E174,Roadmap!$D:$D,0)-1+COUNTIF($E174:AF174,"u")+COUNTIF($E174:AF174,"t")+COUNTIF($E174:AF174,"¶")+COUNTIF($E174:AF174,"²")+COUNTIF($E174:AF174,"µ")+COUNTIF($E174:AF174,1),ColDescriptionCourte)),""),
  "")),"")</f>
        <v/>
      </c>
      <c r="AH174" s="40" t="str">
        <f ca="1">IFERROR(IF(AND(
  INDEX(Roadmap!$D:$K,MATCH($E174,Roadmap!$D:$D,0)+COUNTIF($E174:AG174,"u")+COUNTIF($E174:AG174,"t")+COUNTIF($E174:AG174,1),ColLivraison)=AH$6,
  VLOOKUP($E174,INDIRECT("tri!"&amp; CHAR(64+ C0Col) &amp;":"&amp; CHAR(65+C0Col)),2,FALSE)&gt;COUNTIF($E174:AG174,"u")+COUNTIF($E174:AG174,"t")+COUNTIF($E174:AG174,1)),
HYPERLINK("#Roadmap!C"&amp; MATCH($E174,Roadmap!$D:$D,0)+COUNTIF($E174:AG174,"u")+COUNTIF($E174:AG174,"t"),
     INDEX(Roadmap!$D:$K,MATCH($E174,Roadmap!$D:$D,0)+COUNTIF($E174:AG174,"u")+COUNTIF($E174:AG174,"t")+COUNTIF($E174:AG174,1),ColTypeEcheance)),
  IF(OR(AG174="u",AG174="t",AG174=1),
  IF(LEN(INDEX(Roadmap!$D:$K,MATCH($E174,Roadmap!$D:$D,0)-1+COUNTIF($E174:AG174,"u")+COUNTIF($E174:AG174,"t")+COUNTIF($E174:AG174,1),ColDescriptionCourte))&gt;1,
HYPERLINK("#Roadmap!C"&amp; MATCH($E174,Roadmap!$D:$D,0)+COUNTIF($E174:AG174,"u")+COUNTIF($E174:AG174,"t")+COUNTIF($E174:AG174,1)-1,INDEX(Roadmap!$D:$K,MATCH($E174,Roadmap!$D:$D,0)-1+COUNTIF($E174:AG174,"u")+COUNTIF($E174:AG174,"t")+COUNTIF($E174:AG174,1),ColDescriptionCourte)),""),
  "")),"")</f>
        <v/>
      </c>
      <c r="AI174" s="40"/>
      <c r="AJ174" s="40"/>
      <c r="AK174" s="40"/>
      <c r="AL174" s="40"/>
      <c r="AM174" s="40"/>
    </row>
    <row r="175" spans="4:39" ht="14.1" customHeight="1">
      <c r="D175" s="20" t="str">
        <f t="shared" ca="1" si="31"/>
        <v/>
      </c>
      <c r="E175" s="53" t="str">
        <f t="shared" ca="1" si="32"/>
        <v/>
      </c>
      <c r="F175" s="39" t="str">
        <f ca="1">IFERROR(IF(AND(
  INDEX(Roadmap!$D:$K,MATCH($E175,Roadmap!$D:$D,0)+COUNTIF($E175:E175,"u")+COUNTIF($E175:E175,"t")+COUNTIF($E175:E175,"¶")+COUNTIF($E175:E175,"²")+COUNTIF($E175:E175,"µ")+COUNTIF($E175:E175,1),ColLivraison)=F$6,
  VLOOKUP($E175,INDIRECT("tri!"&amp; CHAR(64+ C0Col) &amp;":"&amp; CHAR(65+C0Col)),2,FALSE)&gt;COUNTIF($E175:E175,"u")+COUNTIF($E175:E175,"t")+COUNTIF($E175:E175,"¶")+COUNTIF($E175:E175,"²")+COUNTIF($E175:E175,"µ")+COUNTIF($E175:E175,1)),
HYPERLINK("#Roadmap!C"&amp; MATCH($E175,Roadmap!$D:$D,0)+COUNTIF($E175:E175,"u")+COUNTIF($E175:E175,"t"),
     INDEX(Roadmap!$D:$K,MATCH($E175,Roadmap!$D:$D,0)+COUNTIF($E175:E175,"u")+COUNTIF($E175:E175,"t")+COUNTIF($E175:E175,"¶")+COUNTIF($E175:E175,"²")+COUNTIF($E175:E175,"µ")+COUNTIF($E175:E175,1),ColTypeEcheance)),
  IF(LEN(E175)=1,
  IF(LEN(INDEX(Roadmap!$D:$K,MATCH($E175,Roadmap!$D:$D,0)-1+COUNTIF($E175:E175,"u")+COUNTIF($E175:E175,"t")+COUNTIF($E175:E175,"¶")+COUNTIF($E175:E175,"²")+COUNTIF($E175:E175,"µ")+COUNTIF($E175:E175,1),ColDescriptionCourte))&gt;1,
HYPERLINK("#Roadmap!C"&amp; MATCH($E175,Roadmap!$D:$D,0)+COUNTIF($E175:E175,"u")+COUNTIF($E175:E175,"t")+COUNTIF($E175:E175,"¶")+COUNTIF($E175:E175,"²")+COUNTIF($E175:E175,"µ")+COUNTIF($E175:E175,1)-1,INDEX(Roadmap!$D:$K,MATCH($E175,Roadmap!$D:$D,0)-1+COUNTIF($E175:E175,"u")+COUNTIF($E175:E175,"t")+COUNTIF($E175:E175,"¶")+COUNTIF($E175:E175,"²")+COUNTIF($E175:E175,"µ")+COUNTIF($E175:E175,1),ColDescriptionCourte)),""),
  "")),"")</f>
        <v/>
      </c>
      <c r="G175" s="40" t="str">
        <f ca="1">IFERROR(IF(AND(
  INDEX(Roadmap!$D:$K,MATCH($E175,Roadmap!$D:$D,0)+COUNTIF($E175:F175,"u")+COUNTIF($E175:F175,"t")+COUNTIF($E175:F175,"¶")+COUNTIF($E175:F175,"²")+COUNTIF($E175:F175,"µ")+COUNTIF($E175:F175,1),ColLivraison)=G$6,
  VLOOKUP($E175,INDIRECT("tri!"&amp; CHAR(64+ C0Col) &amp;":"&amp; CHAR(65+C0Col)),2,FALSE)&gt;COUNTIF($E175:F175,"u")+COUNTIF($E175:F175,"t")+COUNTIF($E175:F175,"¶")+COUNTIF($E175:F175,"²")+COUNTIF($E175:F175,"µ")+COUNTIF($E175:F175,1)),
HYPERLINK("#Roadmap!C"&amp; MATCH($E175,Roadmap!$D:$D,0)+COUNTIF($E175:F175,"u")+COUNTIF($E175:F175,"t"),
     INDEX(Roadmap!$D:$K,MATCH($E175,Roadmap!$D:$D,0)+COUNTIF($E175:F175,"u")+COUNTIF($E175:F175,"t")+COUNTIF($E175:F175,"¶")+COUNTIF($E175:F175,"²")+COUNTIF($E175:F175,"µ")+COUNTIF($E175:F175,1),ColTypeEcheance)),
  IF(LEN(F175)=1,
  IF(LEN(INDEX(Roadmap!$D:$K,MATCH($E175,Roadmap!$D:$D,0)-1+COUNTIF($E175:F175,"u")+COUNTIF($E175:F175,"t")+COUNTIF($E175:F175,"¶")+COUNTIF($E175:F175,"²")+COUNTIF($E175:F175,"µ")+COUNTIF($E175:F175,1),ColDescriptionCourte))&gt;1,
HYPERLINK("#Roadmap!C"&amp; MATCH($E175,Roadmap!$D:$D,0)+COUNTIF($E175:F175,"u")+COUNTIF($E175:F175,"t")+COUNTIF($E175:F175,"¶")+COUNTIF($E175:F175,"²")+COUNTIF($E175:F175,"µ")+COUNTIF($E175:F175,1)-1,INDEX(Roadmap!$D:$K,MATCH($E175,Roadmap!$D:$D,0)-1+COUNTIF($E175:F175,"u")+COUNTIF($E175:F175,"t")+COUNTIF($E175:F175,"¶")+COUNTIF($E175:F175,"²")+COUNTIF($E175:F175,"µ")+COUNTIF($E175:F175,1),ColDescriptionCourte)),""),
  "")),"")</f>
        <v/>
      </c>
      <c r="H175" s="40" t="str">
        <f ca="1">IFERROR(IF(AND(
  INDEX(Roadmap!$D:$K,MATCH($E175,Roadmap!$D:$D,0)+COUNTIF($E175:G175,"u")+COUNTIF($E175:G175,"t")+COUNTIF($E175:G175,"¶")+COUNTIF($E175:G175,"²")+COUNTIF($E175:G175,"µ")+COUNTIF($E175:G175,1),ColLivraison)=H$6,
  VLOOKUP($E175,INDIRECT("tri!"&amp; CHAR(64+ C0Col) &amp;":"&amp; CHAR(65+C0Col)),2,FALSE)&gt;COUNTIF($E175:G175,"u")+COUNTIF($E175:G175,"t")+COUNTIF($E175:G175,"¶")+COUNTIF($E175:G175,"²")+COUNTIF($E175:G175,"µ")+COUNTIF($E175:G175,1)),
HYPERLINK("#Roadmap!C"&amp; MATCH($E175,Roadmap!$D:$D,0)+COUNTIF($E175:G175,"u")+COUNTIF($E175:G175,"t"),
     INDEX(Roadmap!$D:$K,MATCH($E175,Roadmap!$D:$D,0)+COUNTIF($E175:G175,"u")+COUNTIF($E175:G175,"t")+COUNTIF($E175:G175,"¶")+COUNTIF($E175:G175,"²")+COUNTIF($E175:G175,"µ")+COUNTIF($E175:G175,1),ColTypeEcheance)),
  IF(LEN(G175)=1,
  IF(LEN(INDEX(Roadmap!$D:$K,MATCH($E175,Roadmap!$D:$D,0)-1+COUNTIF($E175:G175,"u")+COUNTIF($E175:G175,"t")+COUNTIF($E175:G175,"¶")+COUNTIF($E175:G175,"²")+COUNTIF($E175:G175,"µ")+COUNTIF($E175:G175,1),ColDescriptionCourte))&gt;1,
HYPERLINK("#Roadmap!C"&amp; MATCH($E175,Roadmap!$D:$D,0)+COUNTIF($E175:G175,"u")+COUNTIF($E175:G175,"t")+COUNTIF($E175:G175,"¶")+COUNTIF($E175:G175,"²")+COUNTIF($E175:G175,"µ")+COUNTIF($E175:G175,1)-1,INDEX(Roadmap!$D:$K,MATCH($E175,Roadmap!$D:$D,0)-1+COUNTIF($E175:G175,"u")+COUNTIF($E175:G175,"t")+COUNTIF($E175:G175,"¶")+COUNTIF($E175:G175,"²")+COUNTIF($E175:G175,"µ")+COUNTIF($E175:G175,1),ColDescriptionCourte)),""),
  "")),"")</f>
        <v/>
      </c>
      <c r="I175" s="40" t="str">
        <f ca="1">IFERROR(IF(AND(
  INDEX(Roadmap!$D:$K,MATCH($E175,Roadmap!$D:$D,0)+COUNTIF($E175:H175,"u")+COUNTIF($E175:H175,"t")+COUNTIF($E175:H175,"¶")+COUNTIF($E175:H175,"²")+COUNTIF($E175:H175,"µ")+COUNTIF($E175:H175,1),ColLivraison)=I$6,
  VLOOKUP($E175,INDIRECT("tri!"&amp; CHAR(64+ C0Col) &amp;":"&amp; CHAR(65+C0Col)),2,FALSE)&gt;COUNTIF($E175:H175,"u")+COUNTIF($E175:H175,"t")+COUNTIF($E175:H175,"¶")+COUNTIF($E175:H175,"²")+COUNTIF($E175:H175,"µ")+COUNTIF($E175:H175,1)),
HYPERLINK("#Roadmap!C"&amp; MATCH($E175,Roadmap!$D:$D,0)+COUNTIF($E175:H175,"u")+COUNTIF($E175:H175,"t"),
     INDEX(Roadmap!$D:$K,MATCH($E175,Roadmap!$D:$D,0)+COUNTIF($E175:H175,"u")+COUNTIF($E175:H175,"t")+COUNTIF($E175:H175,"¶")+COUNTIF($E175:H175,"²")+COUNTIF($E175:H175,"µ")+COUNTIF($E175:H175,1),ColTypeEcheance)),
  IF(LEN(H175)=1,
  IF(LEN(INDEX(Roadmap!$D:$K,MATCH($E175,Roadmap!$D:$D,0)-1+COUNTIF($E175:H175,"u")+COUNTIF($E175:H175,"t")+COUNTIF($E175:H175,"¶")+COUNTIF($E175:H175,"²")+COUNTIF($E175:H175,"µ")+COUNTIF($E175:H175,1),ColDescriptionCourte))&gt;1,
HYPERLINK("#Roadmap!C"&amp; MATCH($E175,Roadmap!$D:$D,0)+COUNTIF($E175:H175,"u")+COUNTIF($E175:H175,"t")+COUNTIF($E175:H175,"¶")+COUNTIF($E175:H175,"²")+COUNTIF($E175:H175,"µ")+COUNTIF($E175:H175,1)-1,INDEX(Roadmap!$D:$K,MATCH($E175,Roadmap!$D:$D,0)-1+COUNTIF($E175:H175,"u")+COUNTIF($E175:H175,"t")+COUNTIF($E175:H175,"¶")+COUNTIF($E175:H175,"²")+COUNTIF($E175:H175,"µ")+COUNTIF($E175:H175,1),ColDescriptionCourte)),""),
  "")),"")</f>
        <v/>
      </c>
      <c r="J175" s="40" t="str">
        <f ca="1">IFERROR(IF(AND(
  INDEX(Roadmap!$D:$K,MATCH($E175,Roadmap!$D:$D,0)+COUNTIF($E175:I175,"u")+COUNTIF($E175:I175,"t")+COUNTIF($E175:I175,"¶")+COUNTIF($E175:I175,"²")+COUNTIF($E175:I175,"µ")+COUNTIF($E175:I175,1),ColLivraison)=J$6,
  VLOOKUP($E175,INDIRECT("tri!"&amp; CHAR(64+ C0Col) &amp;":"&amp; CHAR(65+C0Col)),2,FALSE)&gt;COUNTIF($E175:I175,"u")+COUNTIF($E175:I175,"t")+COUNTIF($E175:I175,"¶")+COUNTIF($E175:I175,"²")+COUNTIF($E175:I175,"µ")+COUNTIF($E175:I175,1)),
HYPERLINK("#Roadmap!C"&amp; MATCH($E175,Roadmap!$D:$D,0)+COUNTIF($E175:I175,"u")+COUNTIF($E175:I175,"t"),
     INDEX(Roadmap!$D:$K,MATCH($E175,Roadmap!$D:$D,0)+COUNTIF($E175:I175,"u")+COUNTIF($E175:I175,"t")+COUNTIF($E175:I175,"¶")+COUNTIF($E175:I175,"²")+COUNTIF($E175:I175,"µ")+COUNTIF($E175:I175,1),ColTypeEcheance)),
  IF(LEN(I175)=1,
  IF(LEN(INDEX(Roadmap!$D:$K,MATCH($E175,Roadmap!$D:$D,0)-1+COUNTIF($E175:I175,"u")+COUNTIF($E175:I175,"t")+COUNTIF($E175:I175,"¶")+COUNTIF($E175:I175,"²")+COUNTIF($E175:I175,"µ")+COUNTIF($E175:I175,1),ColDescriptionCourte))&gt;1,
HYPERLINK("#Roadmap!C"&amp; MATCH($E175,Roadmap!$D:$D,0)+COUNTIF($E175:I175,"u")+COUNTIF($E175:I175,"t")+COUNTIF($E175:I175,"¶")+COUNTIF($E175:I175,"²")+COUNTIF($E175:I175,"µ")+COUNTIF($E175:I175,1)-1,INDEX(Roadmap!$D:$K,MATCH($E175,Roadmap!$D:$D,0)-1+COUNTIF($E175:I175,"u")+COUNTIF($E175:I175,"t")+COUNTIF($E175:I175,"¶")+COUNTIF($E175:I175,"²")+COUNTIF($E175:I175,"µ")+COUNTIF($E175:I175,1),ColDescriptionCourte)),""),
  "")),"")</f>
        <v/>
      </c>
      <c r="K175" s="40" t="str">
        <f ca="1">IFERROR(IF(AND(
  INDEX(Roadmap!$D:$K,MATCH($E175,Roadmap!$D:$D,0)+COUNTIF($E175:J175,"u")+COUNTIF($E175:J175,"t")+COUNTIF($E175:J175,"¶")+COUNTIF($E175:J175,"²")+COUNTIF($E175:J175,"µ")+COUNTIF($E175:J175,1),ColLivraison)=K$6,
  VLOOKUP($E175,INDIRECT("tri!"&amp; CHAR(64+ C0Col) &amp;":"&amp; CHAR(65+C0Col)),2,FALSE)&gt;COUNTIF($E175:J175,"u")+COUNTIF($E175:J175,"t")+COUNTIF($E175:J175,"¶")+COUNTIF($E175:J175,"²")+COUNTIF($E175:J175,"µ")+COUNTIF($E175:J175,1)),
HYPERLINK("#Roadmap!C"&amp; MATCH($E175,Roadmap!$D:$D,0)+COUNTIF($E175:J175,"u")+COUNTIF($E175:J175,"t"),
     INDEX(Roadmap!$D:$K,MATCH($E175,Roadmap!$D:$D,0)+COUNTIF($E175:J175,"u")+COUNTIF($E175:J175,"t")+COUNTIF($E175:J175,"¶")+COUNTIF($E175:J175,"²")+COUNTIF($E175:J175,"µ")+COUNTIF($E175:J175,1),ColTypeEcheance)),
  IF(LEN(J175)=1,
  IF(LEN(INDEX(Roadmap!$D:$K,MATCH($E175,Roadmap!$D:$D,0)-1+COUNTIF($E175:J175,"u")+COUNTIF($E175:J175,"t")+COUNTIF($E175:J175,"¶")+COUNTIF($E175:J175,"²")+COUNTIF($E175:J175,"µ")+COUNTIF($E175:J175,1),ColDescriptionCourte))&gt;1,
HYPERLINK("#Roadmap!C"&amp; MATCH($E175,Roadmap!$D:$D,0)+COUNTIF($E175:J175,"u")+COUNTIF($E175:J175,"t")+COUNTIF($E175:J175,"¶")+COUNTIF($E175:J175,"²")+COUNTIF($E175:J175,"µ")+COUNTIF($E175:J175,1)-1,INDEX(Roadmap!$D:$K,MATCH($E175,Roadmap!$D:$D,0)-1+COUNTIF($E175:J175,"u")+COUNTIF($E175:J175,"t")+COUNTIF($E175:J175,"¶")+COUNTIF($E175:J175,"²")+COUNTIF($E175:J175,"µ")+COUNTIF($E175:J175,1),ColDescriptionCourte)),""),
  "")),"")</f>
        <v/>
      </c>
      <c r="L175" s="39" t="str">
        <f ca="1">IFERROR(IF(AND(
  INDEX(Roadmap!$D:$K,MATCH($E175,Roadmap!$D:$D,0)+COUNTIF($E175:K175,"u")+COUNTIF($E175:K175,"t")+COUNTIF($E175:K175,"¶")+COUNTIF($E175:K175,"²")+COUNTIF($E175:K175,"µ")+COUNTIF($E175:K175,1),ColLivraison)=L$6,
  VLOOKUP($E175,INDIRECT("tri!"&amp; CHAR(64+ C0Col) &amp;":"&amp; CHAR(65+C0Col)),2,FALSE)&gt;COUNTIF($E175:K175,"u")+COUNTIF($E175:K175,"t")+COUNTIF($E175:K175,"¶")+COUNTIF($E175:K175,"²")+COUNTIF($E175:K175,"µ")+COUNTIF($E175:K175,1)),
HYPERLINK("#Roadmap!C"&amp; MATCH($E175,Roadmap!$D:$D,0)+COUNTIF($E175:K175,"u")+COUNTIF($E175:K175,"t"),
     INDEX(Roadmap!$D:$K,MATCH($E175,Roadmap!$D:$D,0)+COUNTIF($E175:K175,"u")+COUNTIF($E175:K175,"t")+COUNTIF($E175:K175,"¶")+COUNTIF($E175:K175,"²")+COUNTIF($E175:K175,"µ")+COUNTIF($E175:K175,1),ColTypeEcheance)),
  IF(LEN(K175)=1,
  IF(LEN(INDEX(Roadmap!$D:$K,MATCH($E175,Roadmap!$D:$D,0)-1+COUNTIF($E175:K175,"u")+COUNTIF($E175:K175,"t")+COUNTIF($E175:K175,"¶")+COUNTIF($E175:K175,"²")+COUNTIF($E175:K175,"µ")+COUNTIF($E175:K175,1),ColDescriptionCourte))&gt;1,
HYPERLINK("#Roadmap!C"&amp; MATCH($E175,Roadmap!$D:$D,0)+COUNTIF($E175:K175,"u")+COUNTIF($E175:K175,"t")+COUNTIF($E175:K175,"¶")+COUNTIF($E175:K175,"²")+COUNTIF($E175:K175,"µ")+COUNTIF($E175:K175,1)-1,INDEX(Roadmap!$D:$K,MATCH($E175,Roadmap!$D:$D,0)-1+COUNTIF($E175:K175,"u")+COUNTIF($E175:K175,"t")+COUNTIF($E175:K175,"¶")+COUNTIF($E175:K175,"²")+COUNTIF($E175:K175,"µ")+COUNTIF($E175:K175,1),ColDescriptionCourte)),""),
  "")),"")</f>
        <v/>
      </c>
      <c r="M175" s="40" t="str">
        <f ca="1">IFERROR(IF(AND(
  INDEX(Roadmap!$D:$K,MATCH($E175,Roadmap!$D:$D,0)+COUNTIF($E175:L175,"u")+COUNTIF($E175:L175,"t")+COUNTIF($E175:L175,"¶")+COUNTIF($E175:L175,"²")+COUNTIF($E175:L175,"µ")+COUNTIF($E175:L175,1),ColLivraison)=M$6,
  VLOOKUP($E175,INDIRECT("tri!"&amp; CHAR(64+ C0Col) &amp;":"&amp; CHAR(65+C0Col)),2,FALSE)&gt;COUNTIF($E175:L175,"u")+COUNTIF($E175:L175,"t")+COUNTIF($E175:L175,"¶")+COUNTIF($E175:L175,"²")+COUNTIF($E175:L175,"µ")+COUNTIF($E175:L175,1)),
HYPERLINK("#Roadmap!C"&amp; MATCH($E175,Roadmap!$D:$D,0)+COUNTIF($E175:L175,"u")+COUNTIF($E175:L175,"t"),
     INDEX(Roadmap!$D:$K,MATCH($E175,Roadmap!$D:$D,0)+COUNTIF($E175:L175,"u")+COUNTIF($E175:L175,"t")+COUNTIF($E175:L175,"¶")+COUNTIF($E175:L175,"²")+COUNTIF($E175:L175,"µ")+COUNTIF($E175:L175,1),ColTypeEcheance)),
  IF(LEN(L175)=1,
  IF(LEN(INDEX(Roadmap!$D:$K,MATCH($E175,Roadmap!$D:$D,0)-1+COUNTIF($E175:L175,"u")+COUNTIF($E175:L175,"t")+COUNTIF($E175:L175,"¶")+COUNTIF($E175:L175,"²")+COUNTIF($E175:L175,"µ")+COUNTIF($E175:L175,1),ColDescriptionCourte))&gt;1,
HYPERLINK("#Roadmap!C"&amp; MATCH($E175,Roadmap!$D:$D,0)+COUNTIF($E175:L175,"u")+COUNTIF($E175:L175,"t")+COUNTIF($E175:L175,"¶")+COUNTIF($E175:L175,"²")+COUNTIF($E175:L175,"µ")+COUNTIF($E175:L175,1)-1,INDEX(Roadmap!$D:$K,MATCH($E175,Roadmap!$D:$D,0)-1+COUNTIF($E175:L175,"u")+COUNTIF($E175:L175,"t")+COUNTIF($E175:L175,"¶")+COUNTIF($E175:L175,"²")+COUNTIF($E175:L175,"µ")+COUNTIF($E175:L175,1),ColDescriptionCourte)),""),
  "")),"")</f>
        <v/>
      </c>
      <c r="N175" s="40" t="str">
        <f ca="1">IFERROR(IF(AND(
  INDEX(Roadmap!$D:$K,MATCH($E175,Roadmap!$D:$D,0)+COUNTIF($E175:M175,"u")+COUNTIF($E175:M175,"t")+COUNTIF($E175:M175,"¶")+COUNTIF($E175:M175,"²")+COUNTIF($E175:M175,"µ")+COUNTIF($E175:M175,1),ColLivraison)=N$6,
  VLOOKUP($E175,INDIRECT("tri!"&amp; CHAR(64+ C0Col) &amp;":"&amp; CHAR(65+C0Col)),2,FALSE)&gt;COUNTIF($E175:M175,"u")+COUNTIF($E175:M175,"t")+COUNTIF($E175:M175,"¶")+COUNTIF($E175:M175,"²")+COUNTIF($E175:M175,"µ")+COUNTIF($E175:M175,1)),
HYPERLINK("#Roadmap!C"&amp; MATCH($E175,Roadmap!$D:$D,0)+COUNTIF($E175:M175,"u")+COUNTIF($E175:M175,"t"),
     INDEX(Roadmap!$D:$K,MATCH($E175,Roadmap!$D:$D,0)+COUNTIF($E175:M175,"u")+COUNTIF($E175:M175,"t")+COUNTIF($E175:M175,"¶")+COUNTIF($E175:M175,"²")+COUNTIF($E175:M175,"µ")+COUNTIF($E175:M175,1),ColTypeEcheance)),
  IF(LEN(M175)=1,
  IF(LEN(INDEX(Roadmap!$D:$K,MATCH($E175,Roadmap!$D:$D,0)-1+COUNTIF($E175:M175,"u")+COUNTIF($E175:M175,"t")+COUNTIF($E175:M175,"¶")+COUNTIF($E175:M175,"²")+COUNTIF($E175:M175,"µ")+COUNTIF($E175:M175,1),ColDescriptionCourte))&gt;1,
HYPERLINK("#Roadmap!C"&amp; MATCH($E175,Roadmap!$D:$D,0)+COUNTIF($E175:M175,"u")+COUNTIF($E175:M175,"t")+COUNTIF($E175:M175,"¶")+COUNTIF($E175:M175,"²")+COUNTIF($E175:M175,"µ")+COUNTIF($E175:M175,1)-1,INDEX(Roadmap!$D:$K,MATCH($E175,Roadmap!$D:$D,0)-1+COUNTIF($E175:M175,"u")+COUNTIF($E175:M175,"t")+COUNTIF($E175:M175,"¶")+COUNTIF($E175:M175,"²")+COUNTIF($E175:M175,"µ")+COUNTIF($E175:M175,1),ColDescriptionCourte)),""),
  "")),"")</f>
        <v/>
      </c>
      <c r="O175" s="40" t="str">
        <f ca="1">IFERROR(IF(AND(
  INDEX(Roadmap!$D:$K,MATCH($E175,Roadmap!$D:$D,0)+COUNTIF($E175:N175,"u")+COUNTIF($E175:N175,"t")+COUNTIF($E175:N175,"¶")+COUNTIF($E175:N175,"²")+COUNTIF($E175:N175,"µ")+COUNTIF($E175:N175,1),ColLivraison)=O$6,
  VLOOKUP($E175,INDIRECT("tri!"&amp; CHAR(64+ C0Col) &amp;":"&amp; CHAR(65+C0Col)),2,FALSE)&gt;COUNTIF($E175:N175,"u")+COUNTIF($E175:N175,"t")+COUNTIF($E175:N175,"¶")+COUNTIF($E175:N175,"²")+COUNTIF($E175:N175,"µ")+COUNTIF($E175:N175,1)),
HYPERLINK("#Roadmap!C"&amp; MATCH($E175,Roadmap!$D:$D,0)+COUNTIF($E175:N175,"u")+COUNTIF($E175:N175,"t"),
     INDEX(Roadmap!$D:$K,MATCH($E175,Roadmap!$D:$D,0)+COUNTIF($E175:N175,"u")+COUNTIF($E175:N175,"t")+COUNTIF($E175:N175,"¶")+COUNTIF($E175:N175,"²")+COUNTIF($E175:N175,"µ")+COUNTIF($E175:N175,1),ColTypeEcheance)),
  IF(LEN(N175)=1,
  IF(LEN(INDEX(Roadmap!$D:$K,MATCH($E175,Roadmap!$D:$D,0)-1+COUNTIF($E175:N175,"u")+COUNTIF($E175:N175,"t")+COUNTIF($E175:N175,"¶")+COUNTIF($E175:N175,"²")+COUNTIF($E175:N175,"µ")+COUNTIF($E175:N175,1),ColDescriptionCourte))&gt;1,
HYPERLINK("#Roadmap!C"&amp; MATCH($E175,Roadmap!$D:$D,0)+COUNTIF($E175:N175,"u")+COUNTIF($E175:N175,"t")+COUNTIF($E175:N175,"¶")+COUNTIF($E175:N175,"²")+COUNTIF($E175:N175,"µ")+COUNTIF($E175:N175,1)-1,INDEX(Roadmap!$D:$K,MATCH($E175,Roadmap!$D:$D,0)-1+COUNTIF($E175:N175,"u")+COUNTIF($E175:N175,"t")+COUNTIF($E175:N175,"¶")+COUNTIF($E175:N175,"²")+COUNTIF($E175:N175,"µ")+COUNTIF($E175:N175,1),ColDescriptionCourte)),""),
  "")),"")</f>
        <v/>
      </c>
      <c r="P175" s="40" t="str">
        <f ca="1">IFERROR(IF(AND(
  INDEX(Roadmap!$D:$K,MATCH($E175,Roadmap!$D:$D,0)+COUNTIF($E175:O175,"u")+COUNTIF($E175:O175,"t")+COUNTIF($E175:O175,"¶")+COUNTIF($E175:O175,"²")+COUNTIF($E175:O175,"µ")+COUNTIF($E175:O175,1),ColLivraison)=P$6,
  VLOOKUP($E175,INDIRECT("tri!"&amp; CHAR(64+ C0Col) &amp;":"&amp; CHAR(65+C0Col)),2,FALSE)&gt;COUNTIF($E175:O175,"u")+COUNTIF($E175:O175,"t")+COUNTIF($E175:O175,"¶")+COUNTIF($E175:O175,"²")+COUNTIF($E175:O175,"µ")+COUNTIF($E175:O175,1)),
HYPERLINK("#Roadmap!C"&amp; MATCH($E175,Roadmap!$D:$D,0)+COUNTIF($E175:O175,"u")+COUNTIF($E175:O175,"t"),
     INDEX(Roadmap!$D:$K,MATCH($E175,Roadmap!$D:$D,0)+COUNTIF($E175:O175,"u")+COUNTIF($E175:O175,"t")+COUNTIF($E175:O175,"¶")+COUNTIF($E175:O175,"²")+COUNTIF($E175:O175,"µ")+COUNTIF($E175:O175,1),ColTypeEcheance)),
  IF(LEN(O175)=1,
  IF(LEN(INDEX(Roadmap!$D:$K,MATCH($E175,Roadmap!$D:$D,0)-1+COUNTIF($E175:O175,"u")+COUNTIF($E175:O175,"t")+COUNTIF($E175:O175,"¶")+COUNTIF($E175:O175,"²")+COUNTIF($E175:O175,"µ")+COUNTIF($E175:O175,1),ColDescriptionCourte))&gt;1,
HYPERLINK("#Roadmap!C"&amp; MATCH($E175,Roadmap!$D:$D,0)+COUNTIF($E175:O175,"u")+COUNTIF($E175:O175,"t")+COUNTIF($E175:O175,"¶")+COUNTIF($E175:O175,"²")+COUNTIF($E175:O175,"µ")+COUNTIF($E175:O175,1)-1,INDEX(Roadmap!$D:$K,MATCH($E175,Roadmap!$D:$D,0)-1+COUNTIF($E175:O175,"u")+COUNTIF($E175:O175,"t")+COUNTIF($E175:O175,"¶")+COUNTIF($E175:O175,"²")+COUNTIF($E175:O175,"µ")+COUNTIF($E175:O175,1),ColDescriptionCourte)),""),
  "")),"")</f>
        <v/>
      </c>
      <c r="Q175" s="40" t="str">
        <f ca="1">IFERROR(IF(AND(
  INDEX(Roadmap!$D:$K,MATCH($E175,Roadmap!$D:$D,0)+COUNTIF($E175:P175,"u")+COUNTIF($E175:P175,"t")+COUNTIF($E175:P175,"¶")+COUNTIF($E175:P175,"²")+COUNTIF($E175:P175,"µ")+COUNTIF($E175:P175,1),ColLivraison)=Q$6,
  VLOOKUP($E175,INDIRECT("tri!"&amp; CHAR(64+ C0Col) &amp;":"&amp; CHAR(65+C0Col)),2,FALSE)&gt;COUNTIF($E175:P175,"u")+COUNTIF($E175:P175,"t")+COUNTIF($E175:P175,"¶")+COUNTIF($E175:P175,"²")+COUNTIF($E175:P175,"µ")+COUNTIF($E175:P175,1)),
HYPERLINK("#Roadmap!C"&amp; MATCH($E175,Roadmap!$D:$D,0)+COUNTIF($E175:P175,"u")+COUNTIF($E175:P175,"t"),
     INDEX(Roadmap!$D:$K,MATCH($E175,Roadmap!$D:$D,0)+COUNTIF($E175:P175,"u")+COUNTIF($E175:P175,"t")+COUNTIF($E175:P175,"¶")+COUNTIF($E175:P175,"²")+COUNTIF($E175:P175,"µ")+COUNTIF($E175:P175,1),ColTypeEcheance)),
  IF(LEN(P175)=1,
  IF(LEN(INDEX(Roadmap!$D:$K,MATCH($E175,Roadmap!$D:$D,0)-1+COUNTIF($E175:P175,"u")+COUNTIF($E175:P175,"t")+COUNTIF($E175:P175,"¶")+COUNTIF($E175:P175,"²")+COUNTIF($E175:P175,"µ")+COUNTIF($E175:P175,1),ColDescriptionCourte))&gt;1,
HYPERLINK("#Roadmap!C"&amp; MATCH($E175,Roadmap!$D:$D,0)+COUNTIF($E175:P175,"u")+COUNTIF($E175:P175,"t")+COUNTIF($E175:P175,"¶")+COUNTIF($E175:P175,"²")+COUNTIF($E175:P175,"µ")+COUNTIF($E175:P175,1)-1,INDEX(Roadmap!$D:$K,MATCH($E175,Roadmap!$D:$D,0)-1+COUNTIF($E175:P175,"u")+COUNTIF($E175:P175,"t")+COUNTIF($E175:P175,"¶")+COUNTIF($E175:P175,"²")+COUNTIF($E175:P175,"µ")+COUNTIF($E175:P175,1),ColDescriptionCourte)),""),
  "")),"")</f>
        <v/>
      </c>
      <c r="R175" s="40" t="str">
        <f ca="1">IFERROR(IF(AND(
  INDEX(Roadmap!$D:$K,MATCH($E175,Roadmap!$D:$D,0)+COUNTIF($E175:Q175,"u")+COUNTIF($E175:Q175,"t")+COUNTIF($E175:Q175,"¶")+COUNTIF($E175:Q175,"²")+COUNTIF($E175:Q175,"µ")+COUNTIF($E175:Q175,1),ColLivraison)=R$6,
  VLOOKUP($E175,INDIRECT("tri!"&amp; CHAR(64+ C0Col) &amp;":"&amp; CHAR(65+C0Col)),2,FALSE)&gt;COUNTIF($E175:Q175,"u")+COUNTIF($E175:Q175,"t")+COUNTIF($E175:Q175,"¶")+COUNTIF($E175:Q175,"²")+COUNTIF($E175:Q175,"µ")+COUNTIF($E175:Q175,1)),
HYPERLINK("#Roadmap!C"&amp; MATCH($E175,Roadmap!$D:$D,0)+COUNTIF($E175:Q175,"u")+COUNTIF($E175:Q175,"t"),
     INDEX(Roadmap!$D:$K,MATCH($E175,Roadmap!$D:$D,0)+COUNTIF($E175:Q175,"u")+COUNTIF($E175:Q175,"t")+COUNTIF($E175:Q175,"¶")+COUNTIF($E175:Q175,"²")+COUNTIF($E175:Q175,"µ")+COUNTIF($E175:Q175,1),ColTypeEcheance)),
  IF(LEN(Q175)=1,
  IF(LEN(INDEX(Roadmap!$D:$K,MATCH($E175,Roadmap!$D:$D,0)-1+COUNTIF($E175:Q175,"u")+COUNTIF($E175:Q175,"t")+COUNTIF($E175:Q175,"¶")+COUNTIF($E175:Q175,"²")+COUNTIF($E175:Q175,"µ")+COUNTIF($E175:Q175,1),ColDescriptionCourte))&gt;1,
HYPERLINK("#Roadmap!C"&amp; MATCH($E175,Roadmap!$D:$D,0)+COUNTIF($E175:Q175,"u")+COUNTIF($E175:Q175,"t")+COUNTIF($E175:Q175,"¶")+COUNTIF($E175:Q175,"²")+COUNTIF($E175:Q175,"µ")+COUNTIF($E175:Q175,1)-1,INDEX(Roadmap!$D:$K,MATCH($E175,Roadmap!$D:$D,0)-1+COUNTIF($E175:Q175,"u")+COUNTIF($E175:Q175,"t")+COUNTIF($E175:Q175,"¶")+COUNTIF($E175:Q175,"²")+COUNTIF($E175:Q175,"µ")+COUNTIF($E175:Q175,1),ColDescriptionCourte)),""),
  "")),"")</f>
        <v/>
      </c>
      <c r="S175" s="40" t="str">
        <f ca="1">IFERROR(IF(AND(
  INDEX(Roadmap!$D:$K,MATCH($E175,Roadmap!$D:$D,0)+COUNTIF($E175:R175,"u")+COUNTIF($E175:R175,"t")+COUNTIF($E175:R175,"¶")+COUNTIF($E175:R175,"²")+COUNTIF($E175:R175,"µ")+COUNTIF($E175:R175,1),ColLivraison)=S$6,
  VLOOKUP($E175,INDIRECT("tri!"&amp; CHAR(64+ C0Col) &amp;":"&amp; CHAR(65+C0Col)),2,FALSE)&gt;COUNTIF($E175:R175,"u")+COUNTIF($E175:R175,"t")+COUNTIF($E175:R175,"¶")+COUNTIF($E175:R175,"²")+COUNTIF($E175:R175,"µ")+COUNTIF($E175:R175,1)),
HYPERLINK("#Roadmap!C"&amp; MATCH($E175,Roadmap!$D:$D,0)+COUNTIF($E175:R175,"u")+COUNTIF($E175:R175,"t"),
     INDEX(Roadmap!$D:$K,MATCH($E175,Roadmap!$D:$D,0)+COUNTIF($E175:R175,"u")+COUNTIF($E175:R175,"t")+COUNTIF($E175:R175,"¶")+COUNTIF($E175:R175,"²")+COUNTIF($E175:R175,"µ")+COUNTIF($E175:R175,1),ColTypeEcheance)),
  IF(LEN(R175)=1,
  IF(LEN(INDEX(Roadmap!$D:$K,MATCH($E175,Roadmap!$D:$D,0)-1+COUNTIF($E175:R175,"u")+COUNTIF($E175:R175,"t")+COUNTIF($E175:R175,"¶")+COUNTIF($E175:R175,"²")+COUNTIF($E175:R175,"µ")+COUNTIF($E175:R175,1),ColDescriptionCourte))&gt;1,
HYPERLINK("#Roadmap!C"&amp; MATCH($E175,Roadmap!$D:$D,0)+COUNTIF($E175:R175,"u")+COUNTIF($E175:R175,"t")+COUNTIF($E175:R175,"¶")+COUNTIF($E175:R175,"²")+COUNTIF($E175:R175,"µ")+COUNTIF($E175:R175,1)-1,INDEX(Roadmap!$D:$K,MATCH($E175,Roadmap!$D:$D,0)-1+COUNTIF($E175:R175,"u")+COUNTIF($E175:R175,"t")+COUNTIF($E175:R175,"¶")+COUNTIF($E175:R175,"²")+COUNTIF($E175:R175,"µ")+COUNTIF($E175:R175,1),ColDescriptionCourte)),""),
  "")),"")</f>
        <v/>
      </c>
      <c r="T175" s="40" t="str">
        <f ca="1">IFERROR(IF(AND(
  INDEX(Roadmap!$D:$K,MATCH($E175,Roadmap!$D:$D,0)+COUNTIF($E175:S175,"u")+COUNTIF($E175:S175,"t")+COUNTIF($E175:S175,"¶")+COUNTIF($E175:S175,"²")+COUNTIF($E175:S175,"µ")+COUNTIF($E175:S175,1),ColLivraison)=T$6,
  VLOOKUP($E175,INDIRECT("tri!"&amp; CHAR(64+ C0Col) &amp;":"&amp; CHAR(65+C0Col)),2,FALSE)&gt;COUNTIF($E175:S175,"u")+COUNTIF($E175:S175,"t")+COUNTIF($E175:S175,"¶")+COUNTIF($E175:S175,"²")+COUNTIF($E175:S175,"µ")+COUNTIF($E175:S175,1)),
HYPERLINK("#Roadmap!C"&amp; MATCH($E175,Roadmap!$D:$D,0)+COUNTIF($E175:S175,"u")+COUNTIF($E175:S175,"t"),
     INDEX(Roadmap!$D:$K,MATCH($E175,Roadmap!$D:$D,0)+COUNTIF($E175:S175,"u")+COUNTIF($E175:S175,"t")+COUNTIF($E175:S175,"¶")+COUNTIF($E175:S175,"²")+COUNTIF($E175:S175,"µ")+COUNTIF($E175:S175,1),ColTypeEcheance)),
  IF(LEN(S175)=1,
  IF(LEN(INDEX(Roadmap!$D:$K,MATCH($E175,Roadmap!$D:$D,0)-1+COUNTIF($E175:S175,"u")+COUNTIF($E175:S175,"t")+COUNTIF($E175:S175,"¶")+COUNTIF($E175:S175,"²")+COUNTIF($E175:S175,"µ")+COUNTIF($E175:S175,1),ColDescriptionCourte))&gt;1,
HYPERLINK("#Roadmap!C"&amp; MATCH($E175,Roadmap!$D:$D,0)+COUNTIF($E175:S175,"u")+COUNTIF($E175:S175,"t")+COUNTIF($E175:S175,"¶")+COUNTIF($E175:S175,"²")+COUNTIF($E175:S175,"µ")+COUNTIF($E175:S175,1)-1,INDEX(Roadmap!$D:$K,MATCH($E175,Roadmap!$D:$D,0)-1+COUNTIF($E175:S175,"u")+COUNTIF($E175:S175,"t")+COUNTIF($E175:S175,"¶")+COUNTIF($E175:S175,"²")+COUNTIF($E175:S175,"µ")+COUNTIF($E175:S175,1),ColDescriptionCourte)),""),
  "")),"")</f>
        <v/>
      </c>
      <c r="U175" s="40" t="str">
        <f ca="1">IFERROR(IF(AND(
  INDEX(Roadmap!$D:$K,MATCH($E175,Roadmap!$D:$D,0)+COUNTIF($E175:T175,"u")+COUNTIF($E175:T175,"t")+COUNTIF($E175:T175,"¶")+COUNTIF($E175:T175,"²")+COUNTIF($E175:T175,"µ")+COUNTIF($E175:T175,1),ColLivraison)=U$6,
  VLOOKUP($E175,INDIRECT("tri!"&amp; CHAR(64+ C0Col) &amp;":"&amp; CHAR(65+C0Col)),2,FALSE)&gt;COUNTIF($E175:T175,"u")+COUNTIF($E175:T175,"t")+COUNTIF($E175:T175,"¶")+COUNTIF($E175:T175,"²")+COUNTIF($E175:T175,"µ")+COUNTIF($E175:T175,1)),
HYPERLINK("#Roadmap!C"&amp; MATCH($E175,Roadmap!$D:$D,0)+COUNTIF($E175:T175,"u")+COUNTIF($E175:T175,"t"),
     INDEX(Roadmap!$D:$K,MATCH($E175,Roadmap!$D:$D,0)+COUNTIF($E175:T175,"u")+COUNTIF($E175:T175,"t")+COUNTIF($E175:T175,"¶")+COUNTIF($E175:T175,"²")+COUNTIF($E175:T175,"µ")+COUNTIF($E175:T175,1),ColTypeEcheance)),
  IF(LEN(T175)=1,
  IF(LEN(INDEX(Roadmap!$D:$K,MATCH($E175,Roadmap!$D:$D,0)-1+COUNTIF($E175:T175,"u")+COUNTIF($E175:T175,"t")+COUNTIF($E175:T175,"¶")+COUNTIF($E175:T175,"²")+COUNTIF($E175:T175,"µ")+COUNTIF($E175:T175,1),ColDescriptionCourte))&gt;1,
HYPERLINK("#Roadmap!C"&amp; MATCH($E175,Roadmap!$D:$D,0)+COUNTIF($E175:T175,"u")+COUNTIF($E175:T175,"t")+COUNTIF($E175:T175,"¶")+COUNTIF($E175:T175,"²")+COUNTIF($E175:T175,"µ")+COUNTIF($E175:T175,1)-1,INDEX(Roadmap!$D:$K,MATCH($E175,Roadmap!$D:$D,0)-1+COUNTIF($E175:T175,"u")+COUNTIF($E175:T175,"t")+COUNTIF($E175:T175,"¶")+COUNTIF($E175:T175,"²")+COUNTIF($E175:T175,"µ")+COUNTIF($E175:T175,1),ColDescriptionCourte)),""),
  "")),"")</f>
        <v/>
      </c>
      <c r="V175" s="40" t="str">
        <f ca="1">IFERROR(IF(AND(
  INDEX(Roadmap!$D:$K,MATCH($E175,Roadmap!$D:$D,0)+COUNTIF($E175:U175,"u")+COUNTIF($E175:U175,"t")+COUNTIF($E175:U175,"¶")+COUNTIF($E175:U175,"²")+COUNTIF($E175:U175,"µ")+COUNTIF($E175:U175,1),ColLivraison)=V$6,
  VLOOKUP($E175,INDIRECT("tri!"&amp; CHAR(64+ C0Col) &amp;":"&amp; CHAR(65+C0Col)),2,FALSE)&gt;COUNTIF($E175:U175,"u")+COUNTIF($E175:U175,"t")+COUNTIF($E175:U175,"¶")+COUNTIF($E175:U175,"²")+COUNTIF($E175:U175,"µ")+COUNTIF($E175:U175,1)),
HYPERLINK("#Roadmap!C"&amp; MATCH($E175,Roadmap!$D:$D,0)+COUNTIF($E175:U175,"u")+COUNTIF($E175:U175,"t"),
     INDEX(Roadmap!$D:$K,MATCH($E175,Roadmap!$D:$D,0)+COUNTIF($E175:U175,"u")+COUNTIF($E175:U175,"t")+COUNTIF($E175:U175,"¶")+COUNTIF($E175:U175,"²")+COUNTIF($E175:U175,"µ")+COUNTIF($E175:U175,1),ColTypeEcheance)),
  IF(LEN(U175)=1,
  IF(LEN(INDEX(Roadmap!$D:$K,MATCH($E175,Roadmap!$D:$D,0)-1+COUNTIF($E175:U175,"u")+COUNTIF($E175:U175,"t")+COUNTIF($E175:U175,"¶")+COUNTIF($E175:U175,"²")+COUNTIF($E175:U175,"µ")+COUNTIF($E175:U175,1),ColDescriptionCourte))&gt;1,
HYPERLINK("#Roadmap!C"&amp; MATCH($E175,Roadmap!$D:$D,0)+COUNTIF($E175:U175,"u")+COUNTIF($E175:U175,"t")+COUNTIF($E175:U175,"¶")+COUNTIF($E175:U175,"²")+COUNTIF($E175:U175,"µ")+COUNTIF($E175:U175,1)-1,INDEX(Roadmap!$D:$K,MATCH($E175,Roadmap!$D:$D,0)-1+COUNTIF($E175:U175,"u")+COUNTIF($E175:U175,"t")+COUNTIF($E175:U175,"¶")+COUNTIF($E175:U175,"²")+COUNTIF($E175:U175,"µ")+COUNTIF($E175:U175,1),ColDescriptionCourte)),""),
  "")),"")</f>
        <v/>
      </c>
      <c r="W175" s="40" t="str">
        <f ca="1">IFERROR(IF(AND(
  INDEX(Roadmap!$D:$K,MATCH($E175,Roadmap!$D:$D,0)+COUNTIF($E175:V175,"u")+COUNTIF($E175:V175,"t")+COUNTIF($E175:V175,"¶")+COUNTIF($E175:V175,"²")+COUNTIF($E175:V175,"µ")+COUNTIF($E175:V175,1),ColLivraison)=W$6,
  VLOOKUP($E175,INDIRECT("tri!"&amp; CHAR(64+ C0Col) &amp;":"&amp; CHAR(65+C0Col)),2,FALSE)&gt;COUNTIF($E175:V175,"u")+COUNTIF($E175:V175,"t")+COUNTIF($E175:V175,"¶")+COUNTIF($E175:V175,"²")+COUNTIF($E175:V175,"µ")+COUNTIF($E175:V175,1)),
HYPERLINK("#Roadmap!C"&amp; MATCH($E175,Roadmap!$D:$D,0)+COUNTIF($E175:V175,"u")+COUNTIF($E175:V175,"t"),
     INDEX(Roadmap!$D:$K,MATCH($E175,Roadmap!$D:$D,0)+COUNTIF($E175:V175,"u")+COUNTIF($E175:V175,"t")+COUNTIF($E175:V175,"¶")+COUNTIF($E175:V175,"²")+COUNTIF($E175:V175,"µ")+COUNTIF($E175:V175,1),ColTypeEcheance)),
  IF(LEN(V175)=1,
  IF(LEN(INDEX(Roadmap!$D:$K,MATCH($E175,Roadmap!$D:$D,0)-1+COUNTIF($E175:V175,"u")+COUNTIF($E175:V175,"t")+COUNTIF($E175:V175,"¶")+COUNTIF($E175:V175,"²")+COUNTIF($E175:V175,"µ")+COUNTIF($E175:V175,1),ColDescriptionCourte))&gt;1,
HYPERLINK("#Roadmap!C"&amp; MATCH($E175,Roadmap!$D:$D,0)+COUNTIF($E175:V175,"u")+COUNTIF($E175:V175,"t")+COUNTIF($E175:V175,"¶")+COUNTIF($E175:V175,"²")+COUNTIF($E175:V175,"µ")+COUNTIF($E175:V175,1)-1,INDEX(Roadmap!$D:$K,MATCH($E175,Roadmap!$D:$D,0)-1+COUNTIF($E175:V175,"u")+COUNTIF($E175:V175,"t")+COUNTIF($E175:V175,"¶")+COUNTIF($E175:V175,"²")+COUNTIF($E175:V175,"µ")+COUNTIF($E175:V175,1),ColDescriptionCourte)),""),
  "")),"")</f>
        <v/>
      </c>
      <c r="X175" s="40" t="str">
        <f ca="1">IFERROR(IF(AND(
  INDEX(Roadmap!$D:$K,MATCH($E175,Roadmap!$D:$D,0)+COUNTIF($E175:W175,"u")+COUNTIF($E175:W175,"t")+COUNTIF($E175:W175,"¶")+COUNTIF($E175:W175,"²")+COUNTIF($E175:W175,"µ")+COUNTIF($E175:W175,1),ColLivraison)=X$6,
  VLOOKUP($E175,INDIRECT("tri!"&amp; CHAR(64+ C0Col) &amp;":"&amp; CHAR(65+C0Col)),2,FALSE)&gt;COUNTIF($E175:W175,"u")+COUNTIF($E175:W175,"t")+COUNTIF($E175:W175,"¶")+COUNTIF($E175:W175,"²")+COUNTIF($E175:W175,"µ")+COUNTIF($E175:W175,1)),
HYPERLINK("#Roadmap!C"&amp; MATCH($E175,Roadmap!$D:$D,0)+COUNTIF($E175:W175,"u")+COUNTIF($E175:W175,"t"),
     INDEX(Roadmap!$D:$K,MATCH($E175,Roadmap!$D:$D,0)+COUNTIF($E175:W175,"u")+COUNTIF($E175:W175,"t")+COUNTIF($E175:W175,"¶")+COUNTIF($E175:W175,"²")+COUNTIF($E175:W175,"µ")+COUNTIF($E175:W175,1),ColTypeEcheance)),
  IF(LEN(W175)=1,
  IF(LEN(INDEX(Roadmap!$D:$K,MATCH($E175,Roadmap!$D:$D,0)-1+COUNTIF($E175:W175,"u")+COUNTIF($E175:W175,"t")+COUNTIF($E175:W175,"¶")+COUNTIF($E175:W175,"²")+COUNTIF($E175:W175,"µ")+COUNTIF($E175:W175,1),ColDescriptionCourte))&gt;1,
HYPERLINK("#Roadmap!C"&amp; MATCH($E175,Roadmap!$D:$D,0)+COUNTIF($E175:W175,"u")+COUNTIF($E175:W175,"t")+COUNTIF($E175:W175,"¶")+COUNTIF($E175:W175,"²")+COUNTIF($E175:W175,"µ")+COUNTIF($E175:W175,1)-1,INDEX(Roadmap!$D:$K,MATCH($E175,Roadmap!$D:$D,0)-1+COUNTIF($E175:W175,"u")+COUNTIF($E175:W175,"t")+COUNTIF($E175:W175,"¶")+COUNTIF($E175:W175,"²")+COUNTIF($E175:W175,"µ")+COUNTIF($E175:W175,1),ColDescriptionCourte)),""),
  "")),"")</f>
        <v/>
      </c>
      <c r="Y175" s="40" t="str">
        <f ca="1">IFERROR(IF(AND(
  INDEX(Roadmap!$D:$K,MATCH($E175,Roadmap!$D:$D,0)+COUNTIF($E175:X175,"u")+COUNTIF($E175:X175,"t")+COUNTIF($E175:X175,"¶")+COUNTIF($E175:X175,"²")+COUNTIF($E175:X175,"µ")+COUNTIF($E175:X175,1),ColLivraison)=Y$6,
  VLOOKUP($E175,INDIRECT("tri!"&amp; CHAR(64+ C0Col) &amp;":"&amp; CHAR(65+C0Col)),2,FALSE)&gt;COUNTIF($E175:X175,"u")+COUNTIF($E175:X175,"t")+COUNTIF($E175:X175,"¶")+COUNTIF($E175:X175,"²")+COUNTIF($E175:X175,"µ")+COUNTIF($E175:X175,1)),
HYPERLINK("#Roadmap!C"&amp; MATCH($E175,Roadmap!$D:$D,0)+COUNTIF($E175:X175,"u")+COUNTIF($E175:X175,"t"),
     INDEX(Roadmap!$D:$K,MATCH($E175,Roadmap!$D:$D,0)+COUNTIF($E175:X175,"u")+COUNTIF($E175:X175,"t")+COUNTIF($E175:X175,"¶")+COUNTIF($E175:X175,"²")+COUNTIF($E175:X175,"µ")+COUNTIF($E175:X175,1),ColTypeEcheance)),
  IF(LEN(X175)=1,
  IF(LEN(INDEX(Roadmap!$D:$K,MATCH($E175,Roadmap!$D:$D,0)-1+COUNTIF($E175:X175,"u")+COUNTIF($E175:X175,"t")+COUNTIF($E175:X175,"¶")+COUNTIF($E175:X175,"²")+COUNTIF($E175:X175,"µ")+COUNTIF($E175:X175,1),ColDescriptionCourte))&gt;1,
HYPERLINK("#Roadmap!C"&amp; MATCH($E175,Roadmap!$D:$D,0)+COUNTIF($E175:X175,"u")+COUNTIF($E175:X175,"t")+COUNTIF($E175:X175,"¶")+COUNTIF($E175:X175,"²")+COUNTIF($E175:X175,"µ")+COUNTIF($E175:X175,1)-1,INDEX(Roadmap!$D:$K,MATCH($E175,Roadmap!$D:$D,0)-1+COUNTIF($E175:X175,"u")+COUNTIF($E175:X175,"t")+COUNTIF($E175:X175,"¶")+COUNTIF($E175:X175,"²")+COUNTIF($E175:X175,"µ")+COUNTIF($E175:X175,1),ColDescriptionCourte)),""),
  "")),"")</f>
        <v/>
      </c>
      <c r="Z175" s="40" t="str">
        <f ca="1">IFERROR(IF(AND(
  INDEX(Roadmap!$D:$K,MATCH($E175,Roadmap!$D:$D,0)+COUNTIF($E175:Y175,"u")+COUNTIF($E175:Y175,"t")+COUNTIF($E175:Y175,"¶")+COUNTIF($E175:Y175,"²")+COUNTIF($E175:Y175,"µ")+COUNTIF($E175:Y175,1),ColLivraison)=Z$6,
  VLOOKUP($E175,INDIRECT("tri!"&amp; CHAR(64+ C0Col) &amp;":"&amp; CHAR(65+C0Col)),2,FALSE)&gt;COUNTIF($E175:Y175,"u")+COUNTIF($E175:Y175,"t")+COUNTIF($E175:Y175,"¶")+COUNTIF($E175:Y175,"²")+COUNTIF($E175:Y175,"µ")+COUNTIF($E175:Y175,1)),
HYPERLINK("#Roadmap!C"&amp; MATCH($E175,Roadmap!$D:$D,0)+COUNTIF($E175:Y175,"u")+COUNTIF($E175:Y175,"t"),
     INDEX(Roadmap!$D:$K,MATCH($E175,Roadmap!$D:$D,0)+COUNTIF($E175:Y175,"u")+COUNTIF($E175:Y175,"t")+COUNTIF($E175:Y175,"¶")+COUNTIF($E175:Y175,"²")+COUNTIF($E175:Y175,"µ")+COUNTIF($E175:Y175,1),ColTypeEcheance)),
  IF(LEN(Y175)=1,
  IF(LEN(INDEX(Roadmap!$D:$K,MATCH($E175,Roadmap!$D:$D,0)-1+COUNTIF($E175:Y175,"u")+COUNTIF($E175:Y175,"t")+COUNTIF($E175:Y175,"¶")+COUNTIF($E175:Y175,"²")+COUNTIF($E175:Y175,"µ")+COUNTIF($E175:Y175,1),ColDescriptionCourte))&gt;1,
HYPERLINK("#Roadmap!C"&amp; MATCH($E175,Roadmap!$D:$D,0)+COUNTIF($E175:Y175,"u")+COUNTIF($E175:Y175,"t")+COUNTIF($E175:Y175,"¶")+COUNTIF($E175:Y175,"²")+COUNTIF($E175:Y175,"µ")+COUNTIF($E175:Y175,1)-1,INDEX(Roadmap!$D:$K,MATCH($E175,Roadmap!$D:$D,0)-1+COUNTIF($E175:Y175,"u")+COUNTIF($E175:Y175,"t")+COUNTIF($E175:Y175,"¶")+COUNTIF($E175:Y175,"²")+COUNTIF($E175:Y175,"µ")+COUNTIF($E175:Y175,1),ColDescriptionCourte)),""),
  "")),"")</f>
        <v/>
      </c>
      <c r="AA175" s="40" t="str">
        <f ca="1">IFERROR(IF(AND(
  INDEX(Roadmap!$D:$K,MATCH($E175,Roadmap!$D:$D,0)+COUNTIF($E175:Z175,"u")+COUNTIF($E175:Z175,"t")+COUNTIF($E175:Z175,"¶")+COUNTIF($E175:Z175,"²")+COUNTIF($E175:Z175,"µ")+COUNTIF($E175:Z175,1),ColLivraison)=AA$6,
  VLOOKUP($E175,INDIRECT("tri!"&amp; CHAR(64+ C0Col) &amp;":"&amp; CHAR(65+C0Col)),2,FALSE)&gt;COUNTIF($E175:Z175,"u")+COUNTIF($E175:Z175,"t")+COUNTIF($E175:Z175,"¶")+COUNTIF($E175:Z175,"²")+COUNTIF($E175:Z175,"µ")+COUNTIF($E175:Z175,1)),
HYPERLINK("#Roadmap!C"&amp; MATCH($E175,Roadmap!$D:$D,0)+COUNTIF($E175:Z175,"u")+COUNTIF($E175:Z175,"t"),
     INDEX(Roadmap!$D:$K,MATCH($E175,Roadmap!$D:$D,0)+COUNTIF($E175:Z175,"u")+COUNTIF($E175:Z175,"t")+COUNTIF($E175:Z175,"¶")+COUNTIF($E175:Z175,"²")+COUNTIF($E175:Z175,"µ")+COUNTIF($E175:Z175,1),ColTypeEcheance)),
  IF(LEN(Z175)=1,
  IF(LEN(INDEX(Roadmap!$D:$K,MATCH($E175,Roadmap!$D:$D,0)-1+COUNTIF($E175:Z175,"u")+COUNTIF($E175:Z175,"t")+COUNTIF($E175:Z175,"¶")+COUNTIF($E175:Z175,"²")+COUNTIF($E175:Z175,"µ")+COUNTIF($E175:Z175,1),ColDescriptionCourte))&gt;1,
HYPERLINK("#Roadmap!C"&amp; MATCH($E175,Roadmap!$D:$D,0)+COUNTIF($E175:Z175,"u")+COUNTIF($E175:Z175,"t")+COUNTIF($E175:Z175,"¶")+COUNTIF($E175:Z175,"²")+COUNTIF($E175:Z175,"µ")+COUNTIF($E175:Z175,1)-1,INDEX(Roadmap!$D:$K,MATCH($E175,Roadmap!$D:$D,0)-1+COUNTIF($E175:Z175,"u")+COUNTIF($E175:Z175,"t")+COUNTIF($E175:Z175,"¶")+COUNTIF($E175:Z175,"²")+COUNTIF($E175:Z175,"µ")+COUNTIF($E175:Z175,1),ColDescriptionCourte)),""),
  "")),"")</f>
        <v/>
      </c>
      <c r="AB175" s="40" t="str">
        <f ca="1">IFERROR(IF(AND(
  INDEX(Roadmap!$D:$K,MATCH($E175,Roadmap!$D:$D,0)+COUNTIF($E175:AA175,"u")+COUNTIF($E175:AA175,"t")+COUNTIF($E175:AA175,"¶")+COUNTIF($E175:AA175,"²")+COUNTIF($E175:AA175,"µ")+COUNTIF($E175:AA175,1),ColLivraison)=AB$6,
  VLOOKUP($E175,INDIRECT("tri!"&amp; CHAR(64+ C0Col) &amp;":"&amp; CHAR(65+C0Col)),2,FALSE)&gt;COUNTIF($E175:AA175,"u")+COUNTIF($E175:AA175,"t")+COUNTIF($E175:AA175,"¶")+COUNTIF($E175:AA175,"²")+COUNTIF($E175:AA175,"µ")+COUNTIF($E175:AA175,1)),
HYPERLINK("#Roadmap!C"&amp; MATCH($E175,Roadmap!$D:$D,0)+COUNTIF($E175:AA175,"u")+COUNTIF($E175:AA175,"t"),
     INDEX(Roadmap!$D:$K,MATCH($E175,Roadmap!$D:$D,0)+COUNTIF($E175:AA175,"u")+COUNTIF($E175:AA175,"t")+COUNTIF($E175:AA175,"¶")+COUNTIF($E175:AA175,"²")+COUNTIF($E175:AA175,"µ")+COUNTIF($E175:AA175,1),ColTypeEcheance)),
  IF(LEN(AA175)=1,
  IF(LEN(INDEX(Roadmap!$D:$K,MATCH($E175,Roadmap!$D:$D,0)-1+COUNTIF($E175:AA175,"u")+COUNTIF($E175:AA175,"t")+COUNTIF($E175:AA175,"¶")+COUNTIF($E175:AA175,"²")+COUNTIF($E175:AA175,"µ")+COUNTIF($E175:AA175,1),ColDescriptionCourte))&gt;1,
HYPERLINK("#Roadmap!C"&amp; MATCH($E175,Roadmap!$D:$D,0)+COUNTIF($E175:AA175,"u")+COUNTIF($E175:AA175,"t")+COUNTIF($E175:AA175,"¶")+COUNTIF($E175:AA175,"²")+COUNTIF($E175:AA175,"µ")+COUNTIF($E175:AA175,1)-1,INDEX(Roadmap!$D:$K,MATCH($E175,Roadmap!$D:$D,0)-1+COUNTIF($E175:AA175,"u")+COUNTIF($E175:AA175,"t")+COUNTIF($E175:AA175,"¶")+COUNTIF($E175:AA175,"²")+COUNTIF($E175:AA175,"µ")+COUNTIF($E175:AA175,1),ColDescriptionCourte)),""),
  "")),"")</f>
        <v/>
      </c>
      <c r="AC175" s="40" t="str">
        <f ca="1">IFERROR(IF(AND(
  INDEX(Roadmap!$D:$K,MATCH($E175,Roadmap!$D:$D,0)+COUNTIF($E175:AB175,"u")+COUNTIF($E175:AB175,"t")+COUNTIF($E175:AB175,"¶")+COUNTIF($E175:AB175,"²")+COUNTIF($E175:AB175,"µ")+COUNTIF($E175:AB175,1),ColLivraison)=AC$6,
  VLOOKUP($E175,INDIRECT("tri!"&amp; CHAR(64+ C0Col) &amp;":"&amp; CHAR(65+C0Col)),2,FALSE)&gt;COUNTIF($E175:AB175,"u")+COUNTIF($E175:AB175,"t")+COUNTIF($E175:AB175,"¶")+COUNTIF($E175:AB175,"²")+COUNTIF($E175:AB175,"µ")+COUNTIF($E175:AB175,1)),
HYPERLINK("#Roadmap!C"&amp; MATCH($E175,Roadmap!$D:$D,0)+COUNTIF($E175:AB175,"u")+COUNTIF($E175:AB175,"t"),
     INDEX(Roadmap!$D:$K,MATCH($E175,Roadmap!$D:$D,0)+COUNTIF($E175:AB175,"u")+COUNTIF($E175:AB175,"t")+COUNTIF($E175:AB175,"¶")+COUNTIF($E175:AB175,"²")+COUNTIF($E175:AB175,"µ")+COUNTIF($E175:AB175,1),ColTypeEcheance)),
  IF(LEN(AB175)=1,
  IF(LEN(INDEX(Roadmap!$D:$K,MATCH($E175,Roadmap!$D:$D,0)-1+COUNTIF($E175:AB175,"u")+COUNTIF($E175:AB175,"t")+COUNTIF($E175:AB175,"¶")+COUNTIF($E175:AB175,"²")+COUNTIF($E175:AB175,"µ")+COUNTIF($E175:AB175,1),ColDescriptionCourte))&gt;1,
HYPERLINK("#Roadmap!C"&amp; MATCH($E175,Roadmap!$D:$D,0)+COUNTIF($E175:AB175,"u")+COUNTIF($E175:AB175,"t")+COUNTIF($E175:AB175,"¶")+COUNTIF($E175:AB175,"²")+COUNTIF($E175:AB175,"µ")+COUNTIF($E175:AB175,1)-1,INDEX(Roadmap!$D:$K,MATCH($E175,Roadmap!$D:$D,0)-1+COUNTIF($E175:AB175,"u")+COUNTIF($E175:AB175,"t")+COUNTIF($E175:AB175,"¶")+COUNTIF($E175:AB175,"²")+COUNTIF($E175:AB175,"µ")+COUNTIF($E175:AB175,1),ColDescriptionCourte)),""),
  "")),"")</f>
        <v/>
      </c>
      <c r="AD175" s="40" t="str">
        <f ca="1">IFERROR(IF(AND(
  INDEX(Roadmap!$D:$K,MATCH($E175,Roadmap!$D:$D,0)+COUNTIF($E175:AC175,"u")+COUNTIF($E175:AC175,"t")+COUNTIF($E175:AC175,"¶")+COUNTIF($E175:AC175,"²")+COUNTIF($E175:AC175,"µ")+COUNTIF($E175:AC175,1),ColLivraison)=AD$6,
  VLOOKUP($E175,INDIRECT("tri!"&amp; CHAR(64+ C0Col) &amp;":"&amp; CHAR(65+C0Col)),2,FALSE)&gt;COUNTIF($E175:AC175,"u")+COUNTIF($E175:AC175,"t")+COUNTIF($E175:AC175,"¶")+COUNTIF($E175:AC175,"²")+COUNTIF($E175:AC175,"µ")+COUNTIF($E175:AC175,1)),
HYPERLINK("#Roadmap!C"&amp; MATCH($E175,Roadmap!$D:$D,0)+COUNTIF($E175:AC175,"u")+COUNTIF($E175:AC175,"t"),
     INDEX(Roadmap!$D:$K,MATCH($E175,Roadmap!$D:$D,0)+COUNTIF($E175:AC175,"u")+COUNTIF($E175:AC175,"t")+COUNTIF($E175:AC175,"¶")+COUNTIF($E175:AC175,"²")+COUNTIF($E175:AC175,"µ")+COUNTIF($E175:AC175,1),ColTypeEcheance)),
  IF(LEN(AC175)=1,
  IF(LEN(INDEX(Roadmap!$D:$K,MATCH($E175,Roadmap!$D:$D,0)-1+COUNTIF($E175:AC175,"u")+COUNTIF($E175:AC175,"t")+COUNTIF($E175:AC175,"¶")+COUNTIF($E175:AC175,"²")+COUNTIF($E175:AC175,"µ")+COUNTIF($E175:AC175,1),ColDescriptionCourte))&gt;1,
HYPERLINK("#Roadmap!C"&amp; MATCH($E175,Roadmap!$D:$D,0)+COUNTIF($E175:AC175,"u")+COUNTIF($E175:AC175,"t")+COUNTIF($E175:AC175,"¶")+COUNTIF($E175:AC175,"²")+COUNTIF($E175:AC175,"µ")+COUNTIF($E175:AC175,1)-1,INDEX(Roadmap!$D:$K,MATCH($E175,Roadmap!$D:$D,0)-1+COUNTIF($E175:AC175,"u")+COUNTIF($E175:AC175,"t")+COUNTIF($E175:AC175,"¶")+COUNTIF($E175:AC175,"²")+COUNTIF($E175:AC175,"µ")+COUNTIF($E175:AC175,1),ColDescriptionCourte)),""),
  "")),"")</f>
        <v/>
      </c>
      <c r="AE175" s="40" t="str">
        <f ca="1">IFERROR(IF(AND(
  INDEX(Roadmap!$D:$K,MATCH($E175,Roadmap!$D:$D,0)+COUNTIF($E175:AD175,"u")+COUNTIF($E175:AD175,"t")+COUNTIF($E175:AD175,"¶")+COUNTIF($E175:AD175,"²")+COUNTIF($E175:AD175,"µ")+COUNTIF($E175:AD175,1),ColLivraison)=AE$6,
  VLOOKUP($E175,INDIRECT("tri!"&amp; CHAR(64+ C0Col) &amp;":"&amp; CHAR(65+C0Col)),2,FALSE)&gt;COUNTIF($E175:AD175,"u")+COUNTIF($E175:AD175,"t")+COUNTIF($E175:AD175,"¶")+COUNTIF($E175:AD175,"²")+COUNTIF($E175:AD175,"µ")+COUNTIF($E175:AD175,1)),
HYPERLINK("#Roadmap!C"&amp; MATCH($E175,Roadmap!$D:$D,0)+COUNTIF($E175:AD175,"u")+COUNTIF($E175:AD175,"t"),
     INDEX(Roadmap!$D:$K,MATCH($E175,Roadmap!$D:$D,0)+COUNTIF($E175:AD175,"u")+COUNTIF($E175:AD175,"t")+COUNTIF($E175:AD175,"¶")+COUNTIF($E175:AD175,"²")+COUNTIF($E175:AD175,"µ")+COUNTIF($E175:AD175,1),ColTypeEcheance)),
  IF(LEN(AD175)=1,
  IF(LEN(INDEX(Roadmap!$D:$K,MATCH($E175,Roadmap!$D:$D,0)-1+COUNTIF($E175:AD175,"u")+COUNTIF($E175:AD175,"t")+COUNTIF($E175:AD175,"¶")+COUNTIF($E175:AD175,"²")+COUNTIF($E175:AD175,"µ")+COUNTIF($E175:AD175,1),ColDescriptionCourte))&gt;1,
HYPERLINK("#Roadmap!C"&amp; MATCH($E175,Roadmap!$D:$D,0)+COUNTIF($E175:AD175,"u")+COUNTIF($E175:AD175,"t")+COUNTIF($E175:AD175,"¶")+COUNTIF($E175:AD175,"²")+COUNTIF($E175:AD175,"µ")+COUNTIF($E175:AD175,1)-1,INDEX(Roadmap!$D:$K,MATCH($E175,Roadmap!$D:$D,0)-1+COUNTIF($E175:AD175,"u")+COUNTIF($E175:AD175,"t")+COUNTIF($E175:AD175,"¶")+COUNTIF($E175:AD175,"²")+COUNTIF($E175:AD175,"µ")+COUNTIF($E175:AD175,1),ColDescriptionCourte)),""),
  "")),"")</f>
        <v/>
      </c>
      <c r="AF175" s="40" t="str">
        <f ca="1">IFERROR(IF(AND(
  INDEX(Roadmap!$D:$K,MATCH($E175,Roadmap!$D:$D,0)+COUNTIF($E175:AE175,"u")+COUNTIF($E175:AE175,"t")+COUNTIF($E175:AE175,"¶")+COUNTIF($E175:AE175,"²")+COUNTIF($E175:AE175,"µ")+COUNTIF($E175:AE175,1),ColLivraison)=AF$6,
  VLOOKUP($E175,INDIRECT("tri!"&amp; CHAR(64+ C0Col) &amp;":"&amp; CHAR(65+C0Col)),2,FALSE)&gt;COUNTIF($E175:AE175,"u")+COUNTIF($E175:AE175,"t")+COUNTIF($E175:AE175,"¶")+COUNTIF($E175:AE175,"²")+COUNTIF($E175:AE175,"µ")+COUNTIF($E175:AE175,1)),
HYPERLINK("#Roadmap!C"&amp; MATCH($E175,Roadmap!$D:$D,0)+COUNTIF($E175:AE175,"u")+COUNTIF($E175:AE175,"t"),
     INDEX(Roadmap!$D:$K,MATCH($E175,Roadmap!$D:$D,0)+COUNTIF($E175:AE175,"u")+COUNTIF($E175:AE175,"t")+COUNTIF($E175:AE175,"¶")+COUNTIF($E175:AE175,"²")+COUNTIF($E175:AE175,"µ")+COUNTIF($E175:AE175,1),ColTypeEcheance)),
  IF(LEN(AE175)=1,
  IF(LEN(INDEX(Roadmap!$D:$K,MATCH($E175,Roadmap!$D:$D,0)-1+COUNTIF($E175:AE175,"u")+COUNTIF($E175:AE175,"t")+COUNTIF($E175:AE175,"¶")+COUNTIF($E175:AE175,"²")+COUNTIF($E175:AE175,"µ")+COUNTIF($E175:AE175,1),ColDescriptionCourte))&gt;1,
HYPERLINK("#Roadmap!C"&amp; MATCH($E175,Roadmap!$D:$D,0)+COUNTIF($E175:AE175,"u")+COUNTIF($E175:AE175,"t")+COUNTIF($E175:AE175,"¶")+COUNTIF($E175:AE175,"²")+COUNTIF($E175:AE175,"µ")+COUNTIF($E175:AE175,1)-1,INDEX(Roadmap!$D:$K,MATCH($E175,Roadmap!$D:$D,0)-1+COUNTIF($E175:AE175,"u")+COUNTIF($E175:AE175,"t")+COUNTIF($E175:AE175,"¶")+COUNTIF($E175:AE175,"²")+COUNTIF($E175:AE175,"µ")+COUNTIF($E175:AE175,1),ColDescriptionCourte)),""),
  "")),"")</f>
        <v/>
      </c>
      <c r="AG175" s="40" t="str">
        <f ca="1">IFERROR(IF(AND(
  INDEX(Roadmap!$D:$K,MATCH($E175,Roadmap!$D:$D,0)+COUNTIF($E175:AF175,"u")+COUNTIF($E175:AF175,"t")+COUNTIF($E175:AF175,"¶")+COUNTIF($E175:AF175,"²")+COUNTIF($E175:AF175,"µ")+COUNTIF($E175:AF175,1),ColLivraison)=AG$6,
  VLOOKUP($E175,INDIRECT("tri!"&amp; CHAR(64+ C0Col) &amp;":"&amp; CHAR(65+C0Col)),2,FALSE)&gt;COUNTIF($E175:AF175,"u")+COUNTIF($E175:AF175,"t")+COUNTIF($E175:AF175,"¶")+COUNTIF($E175:AF175,"²")+COUNTIF($E175:AF175,"µ")+COUNTIF($E175:AF175,1)),
HYPERLINK("#Roadmap!C"&amp; MATCH($E175,Roadmap!$D:$D,0)+COUNTIF($E175:AF175,"u")+COUNTIF($E175:AF175,"t"),
     INDEX(Roadmap!$D:$K,MATCH($E175,Roadmap!$D:$D,0)+COUNTIF($E175:AF175,"u")+COUNTIF($E175:AF175,"t")+COUNTIF($E175:AF175,"¶")+COUNTIF($E175:AF175,"²")+COUNTIF($E175:AF175,"µ")+COUNTIF($E175:AF175,1),ColTypeEcheance)),
  IF(LEN(AF175)=1,
  IF(LEN(INDEX(Roadmap!$D:$K,MATCH($E175,Roadmap!$D:$D,0)-1+COUNTIF($E175:AF175,"u")+COUNTIF($E175:AF175,"t")+COUNTIF($E175:AF175,"¶")+COUNTIF($E175:AF175,"²")+COUNTIF($E175:AF175,"µ")+COUNTIF($E175:AF175,1),ColDescriptionCourte))&gt;1,
HYPERLINK("#Roadmap!C"&amp; MATCH($E175,Roadmap!$D:$D,0)+COUNTIF($E175:AF175,"u")+COUNTIF($E175:AF175,"t")+COUNTIF($E175:AF175,"¶")+COUNTIF($E175:AF175,"²")+COUNTIF($E175:AF175,"µ")+COUNTIF($E175:AF175,1)-1,INDEX(Roadmap!$D:$K,MATCH($E175,Roadmap!$D:$D,0)-1+COUNTIF($E175:AF175,"u")+COUNTIF($E175:AF175,"t")+COUNTIF($E175:AF175,"¶")+COUNTIF($E175:AF175,"²")+COUNTIF($E175:AF175,"µ")+COUNTIF($E175:AF175,1),ColDescriptionCourte)),""),
  "")),"")</f>
        <v/>
      </c>
      <c r="AH175" s="40" t="str">
        <f ca="1">IFERROR(IF(AND(
  INDEX(Roadmap!$D:$K,MATCH($E175,Roadmap!$D:$D,0)+COUNTIF($E175:AG175,"u")+COUNTIF($E175:AG175,"t")+COUNTIF($E175:AG175,1),ColLivraison)=AH$6,
  VLOOKUP($E175,INDIRECT("tri!"&amp; CHAR(64+ C0Col) &amp;":"&amp; CHAR(65+C0Col)),2,FALSE)&gt;COUNTIF($E175:AG175,"u")+COUNTIF($E175:AG175,"t")+COUNTIF($E175:AG175,1)),
HYPERLINK("#Roadmap!C"&amp; MATCH($E175,Roadmap!$D:$D,0)+COUNTIF($E175:AG175,"u")+COUNTIF($E175:AG175,"t"),
     INDEX(Roadmap!$D:$K,MATCH($E175,Roadmap!$D:$D,0)+COUNTIF($E175:AG175,"u")+COUNTIF($E175:AG175,"t")+COUNTIF($E175:AG175,1),ColTypeEcheance)),
  IF(OR(AG175="u",AG175="t",AG175=1),
  IF(LEN(INDEX(Roadmap!$D:$K,MATCH($E175,Roadmap!$D:$D,0)-1+COUNTIF($E175:AG175,"u")+COUNTIF($E175:AG175,"t")+COUNTIF($E175:AG175,1),ColDescriptionCourte))&gt;1,
HYPERLINK("#Roadmap!C"&amp; MATCH($E175,Roadmap!$D:$D,0)+COUNTIF($E175:AG175,"u")+COUNTIF($E175:AG175,"t")+COUNTIF($E175:AG175,1)-1,INDEX(Roadmap!$D:$K,MATCH($E175,Roadmap!$D:$D,0)-1+COUNTIF($E175:AG175,"u")+COUNTIF($E175:AG175,"t")+COUNTIF($E175:AG175,1),ColDescriptionCourte)),""),
  "")),"")</f>
        <v/>
      </c>
      <c r="AI175" s="40"/>
      <c r="AJ175" s="40"/>
      <c r="AK175" s="40"/>
      <c r="AL175" s="40"/>
      <c r="AM175" s="40"/>
    </row>
    <row r="176" spans="4:39" ht="14.1" customHeight="1">
      <c r="D176" s="20" t="str">
        <f t="shared" ca="1" si="31"/>
        <v/>
      </c>
      <c r="E176" s="53" t="str">
        <f t="shared" ca="1" si="32"/>
        <v/>
      </c>
      <c r="F176" s="39" t="str">
        <f ca="1">IFERROR(IF(AND(
  INDEX(Roadmap!$D:$K,MATCH($E176,Roadmap!$D:$D,0)+COUNTIF($E176:E176,"u")+COUNTIF($E176:E176,"t")+COUNTIF($E176:E176,"¶")+COUNTIF($E176:E176,"²")+COUNTIF($E176:E176,"µ")+COUNTIF($E176:E176,1),ColLivraison)=F$6,
  VLOOKUP($E176,INDIRECT("tri!"&amp; CHAR(64+ C0Col) &amp;":"&amp; CHAR(65+C0Col)),2,FALSE)&gt;COUNTIF($E176:E176,"u")+COUNTIF($E176:E176,"t")+COUNTIF($E176:E176,"¶")+COUNTIF($E176:E176,"²")+COUNTIF($E176:E176,"µ")+COUNTIF($E176:E176,1)),
HYPERLINK("#Roadmap!C"&amp; MATCH($E176,Roadmap!$D:$D,0)+COUNTIF($E176:E176,"u")+COUNTIF($E176:E176,"t"),
     INDEX(Roadmap!$D:$K,MATCH($E176,Roadmap!$D:$D,0)+COUNTIF($E176:E176,"u")+COUNTIF($E176:E176,"t")+COUNTIF($E176:E176,"¶")+COUNTIF($E176:E176,"²")+COUNTIF($E176:E176,"µ")+COUNTIF($E176:E176,1),ColTypeEcheance)),
  IF(LEN(E176)=1,
  IF(LEN(INDEX(Roadmap!$D:$K,MATCH($E176,Roadmap!$D:$D,0)-1+COUNTIF($E176:E176,"u")+COUNTIF($E176:E176,"t")+COUNTIF($E176:E176,"¶")+COUNTIF($E176:E176,"²")+COUNTIF($E176:E176,"µ")+COUNTIF($E176:E176,1),ColDescriptionCourte))&gt;1,
HYPERLINK("#Roadmap!C"&amp; MATCH($E176,Roadmap!$D:$D,0)+COUNTIF($E176:E176,"u")+COUNTIF($E176:E176,"t")+COUNTIF($E176:E176,"¶")+COUNTIF($E176:E176,"²")+COUNTIF($E176:E176,"µ")+COUNTIF($E176:E176,1)-1,INDEX(Roadmap!$D:$K,MATCH($E176,Roadmap!$D:$D,0)-1+COUNTIF($E176:E176,"u")+COUNTIF($E176:E176,"t")+COUNTIF($E176:E176,"¶")+COUNTIF($E176:E176,"²")+COUNTIF($E176:E176,"µ")+COUNTIF($E176:E176,1),ColDescriptionCourte)),""),
  "")),"")</f>
        <v/>
      </c>
      <c r="G176" s="40" t="str">
        <f ca="1">IFERROR(IF(AND(
  INDEX(Roadmap!$D:$K,MATCH($E176,Roadmap!$D:$D,0)+COUNTIF($E176:F176,"u")+COUNTIF($E176:F176,"t")+COUNTIF($E176:F176,"¶")+COUNTIF($E176:F176,"²")+COUNTIF($E176:F176,"µ")+COUNTIF($E176:F176,1),ColLivraison)=G$6,
  VLOOKUP($E176,INDIRECT("tri!"&amp; CHAR(64+ C0Col) &amp;":"&amp; CHAR(65+C0Col)),2,FALSE)&gt;COUNTIF($E176:F176,"u")+COUNTIF($E176:F176,"t")+COUNTIF($E176:F176,"¶")+COUNTIF($E176:F176,"²")+COUNTIF($E176:F176,"µ")+COUNTIF($E176:F176,1)),
HYPERLINK("#Roadmap!C"&amp; MATCH($E176,Roadmap!$D:$D,0)+COUNTIF($E176:F176,"u")+COUNTIF($E176:F176,"t"),
     INDEX(Roadmap!$D:$K,MATCH($E176,Roadmap!$D:$D,0)+COUNTIF($E176:F176,"u")+COUNTIF($E176:F176,"t")+COUNTIF($E176:F176,"¶")+COUNTIF($E176:F176,"²")+COUNTIF($E176:F176,"µ")+COUNTIF($E176:F176,1),ColTypeEcheance)),
  IF(LEN(F176)=1,
  IF(LEN(INDEX(Roadmap!$D:$K,MATCH($E176,Roadmap!$D:$D,0)-1+COUNTIF($E176:F176,"u")+COUNTIF($E176:F176,"t")+COUNTIF($E176:F176,"¶")+COUNTIF($E176:F176,"²")+COUNTIF($E176:F176,"µ")+COUNTIF($E176:F176,1),ColDescriptionCourte))&gt;1,
HYPERLINK("#Roadmap!C"&amp; MATCH($E176,Roadmap!$D:$D,0)+COUNTIF($E176:F176,"u")+COUNTIF($E176:F176,"t")+COUNTIF($E176:F176,"¶")+COUNTIF($E176:F176,"²")+COUNTIF($E176:F176,"µ")+COUNTIF($E176:F176,1)-1,INDEX(Roadmap!$D:$K,MATCH($E176,Roadmap!$D:$D,0)-1+COUNTIF($E176:F176,"u")+COUNTIF($E176:F176,"t")+COUNTIF($E176:F176,"¶")+COUNTIF($E176:F176,"²")+COUNTIF($E176:F176,"µ")+COUNTIF($E176:F176,1),ColDescriptionCourte)),""),
  "")),"")</f>
        <v/>
      </c>
      <c r="H176" s="40" t="str">
        <f ca="1">IFERROR(IF(AND(
  INDEX(Roadmap!$D:$K,MATCH($E176,Roadmap!$D:$D,0)+COUNTIF($E176:G176,"u")+COUNTIF($E176:G176,"t")+COUNTIF($E176:G176,"¶")+COUNTIF($E176:G176,"²")+COUNTIF($E176:G176,"µ")+COUNTIF($E176:G176,1),ColLivraison)=H$6,
  VLOOKUP($E176,INDIRECT("tri!"&amp; CHAR(64+ C0Col) &amp;":"&amp; CHAR(65+C0Col)),2,FALSE)&gt;COUNTIF($E176:G176,"u")+COUNTIF($E176:G176,"t")+COUNTIF($E176:G176,"¶")+COUNTIF($E176:G176,"²")+COUNTIF($E176:G176,"µ")+COUNTIF($E176:G176,1)),
HYPERLINK("#Roadmap!C"&amp; MATCH($E176,Roadmap!$D:$D,0)+COUNTIF($E176:G176,"u")+COUNTIF($E176:G176,"t"),
     INDEX(Roadmap!$D:$K,MATCH($E176,Roadmap!$D:$D,0)+COUNTIF($E176:G176,"u")+COUNTIF($E176:G176,"t")+COUNTIF($E176:G176,"¶")+COUNTIF($E176:G176,"²")+COUNTIF($E176:G176,"µ")+COUNTIF($E176:G176,1),ColTypeEcheance)),
  IF(LEN(G176)=1,
  IF(LEN(INDEX(Roadmap!$D:$K,MATCH($E176,Roadmap!$D:$D,0)-1+COUNTIF($E176:G176,"u")+COUNTIF($E176:G176,"t")+COUNTIF($E176:G176,"¶")+COUNTIF($E176:G176,"²")+COUNTIF($E176:G176,"µ")+COUNTIF($E176:G176,1),ColDescriptionCourte))&gt;1,
HYPERLINK("#Roadmap!C"&amp; MATCH($E176,Roadmap!$D:$D,0)+COUNTIF($E176:G176,"u")+COUNTIF($E176:G176,"t")+COUNTIF($E176:G176,"¶")+COUNTIF($E176:G176,"²")+COUNTIF($E176:G176,"µ")+COUNTIF($E176:G176,1)-1,INDEX(Roadmap!$D:$K,MATCH($E176,Roadmap!$D:$D,0)-1+COUNTIF($E176:G176,"u")+COUNTIF($E176:G176,"t")+COUNTIF($E176:G176,"¶")+COUNTIF($E176:G176,"²")+COUNTIF($E176:G176,"µ")+COUNTIF($E176:G176,1),ColDescriptionCourte)),""),
  "")),"")</f>
        <v/>
      </c>
      <c r="I176" s="40" t="str">
        <f ca="1">IFERROR(IF(AND(
  INDEX(Roadmap!$D:$K,MATCH($E176,Roadmap!$D:$D,0)+COUNTIF($E176:H176,"u")+COUNTIF($E176:H176,"t")+COUNTIF($E176:H176,"¶")+COUNTIF($E176:H176,"²")+COUNTIF($E176:H176,"µ")+COUNTIF($E176:H176,1),ColLivraison)=I$6,
  VLOOKUP($E176,INDIRECT("tri!"&amp; CHAR(64+ C0Col) &amp;":"&amp; CHAR(65+C0Col)),2,FALSE)&gt;COUNTIF($E176:H176,"u")+COUNTIF($E176:H176,"t")+COUNTIF($E176:H176,"¶")+COUNTIF($E176:H176,"²")+COUNTIF($E176:H176,"µ")+COUNTIF($E176:H176,1)),
HYPERLINK("#Roadmap!C"&amp; MATCH($E176,Roadmap!$D:$D,0)+COUNTIF($E176:H176,"u")+COUNTIF($E176:H176,"t"),
     INDEX(Roadmap!$D:$K,MATCH($E176,Roadmap!$D:$D,0)+COUNTIF($E176:H176,"u")+COUNTIF($E176:H176,"t")+COUNTIF($E176:H176,"¶")+COUNTIF($E176:H176,"²")+COUNTIF($E176:H176,"µ")+COUNTIF($E176:H176,1),ColTypeEcheance)),
  IF(LEN(H176)=1,
  IF(LEN(INDEX(Roadmap!$D:$K,MATCH($E176,Roadmap!$D:$D,0)-1+COUNTIF($E176:H176,"u")+COUNTIF($E176:H176,"t")+COUNTIF($E176:H176,"¶")+COUNTIF($E176:H176,"²")+COUNTIF($E176:H176,"µ")+COUNTIF($E176:H176,1),ColDescriptionCourte))&gt;1,
HYPERLINK("#Roadmap!C"&amp; MATCH($E176,Roadmap!$D:$D,0)+COUNTIF($E176:H176,"u")+COUNTIF($E176:H176,"t")+COUNTIF($E176:H176,"¶")+COUNTIF($E176:H176,"²")+COUNTIF($E176:H176,"µ")+COUNTIF($E176:H176,1)-1,INDEX(Roadmap!$D:$K,MATCH($E176,Roadmap!$D:$D,0)-1+COUNTIF($E176:H176,"u")+COUNTIF($E176:H176,"t")+COUNTIF($E176:H176,"¶")+COUNTIF($E176:H176,"²")+COUNTIF($E176:H176,"µ")+COUNTIF($E176:H176,1),ColDescriptionCourte)),""),
  "")),"")</f>
        <v/>
      </c>
      <c r="J176" s="40" t="str">
        <f ca="1">IFERROR(IF(AND(
  INDEX(Roadmap!$D:$K,MATCH($E176,Roadmap!$D:$D,0)+COUNTIF($E176:I176,"u")+COUNTIF($E176:I176,"t")+COUNTIF($E176:I176,"¶")+COUNTIF($E176:I176,"²")+COUNTIF($E176:I176,"µ")+COUNTIF($E176:I176,1),ColLivraison)=J$6,
  VLOOKUP($E176,INDIRECT("tri!"&amp; CHAR(64+ C0Col) &amp;":"&amp; CHAR(65+C0Col)),2,FALSE)&gt;COUNTIF($E176:I176,"u")+COUNTIF($E176:I176,"t")+COUNTIF($E176:I176,"¶")+COUNTIF($E176:I176,"²")+COUNTIF($E176:I176,"µ")+COUNTIF($E176:I176,1)),
HYPERLINK("#Roadmap!C"&amp; MATCH($E176,Roadmap!$D:$D,0)+COUNTIF($E176:I176,"u")+COUNTIF($E176:I176,"t"),
     INDEX(Roadmap!$D:$K,MATCH($E176,Roadmap!$D:$D,0)+COUNTIF($E176:I176,"u")+COUNTIF($E176:I176,"t")+COUNTIF($E176:I176,"¶")+COUNTIF($E176:I176,"²")+COUNTIF($E176:I176,"µ")+COUNTIF($E176:I176,1),ColTypeEcheance)),
  IF(LEN(I176)=1,
  IF(LEN(INDEX(Roadmap!$D:$K,MATCH($E176,Roadmap!$D:$D,0)-1+COUNTIF($E176:I176,"u")+COUNTIF($E176:I176,"t")+COUNTIF($E176:I176,"¶")+COUNTIF($E176:I176,"²")+COUNTIF($E176:I176,"µ")+COUNTIF($E176:I176,1),ColDescriptionCourte))&gt;1,
HYPERLINK("#Roadmap!C"&amp; MATCH($E176,Roadmap!$D:$D,0)+COUNTIF($E176:I176,"u")+COUNTIF($E176:I176,"t")+COUNTIF($E176:I176,"¶")+COUNTIF($E176:I176,"²")+COUNTIF($E176:I176,"µ")+COUNTIF($E176:I176,1)-1,INDEX(Roadmap!$D:$K,MATCH($E176,Roadmap!$D:$D,0)-1+COUNTIF($E176:I176,"u")+COUNTIF($E176:I176,"t")+COUNTIF($E176:I176,"¶")+COUNTIF($E176:I176,"²")+COUNTIF($E176:I176,"µ")+COUNTIF($E176:I176,1),ColDescriptionCourte)),""),
  "")),"")</f>
        <v/>
      </c>
      <c r="K176" s="40" t="str">
        <f ca="1">IFERROR(IF(AND(
  INDEX(Roadmap!$D:$K,MATCH($E176,Roadmap!$D:$D,0)+COUNTIF($E176:J176,"u")+COUNTIF($E176:J176,"t")+COUNTIF($E176:J176,"¶")+COUNTIF($E176:J176,"²")+COUNTIF($E176:J176,"µ")+COUNTIF($E176:J176,1),ColLivraison)=K$6,
  VLOOKUP($E176,INDIRECT("tri!"&amp; CHAR(64+ C0Col) &amp;":"&amp; CHAR(65+C0Col)),2,FALSE)&gt;COUNTIF($E176:J176,"u")+COUNTIF($E176:J176,"t")+COUNTIF($E176:J176,"¶")+COUNTIF($E176:J176,"²")+COUNTIF($E176:J176,"µ")+COUNTIF($E176:J176,1)),
HYPERLINK("#Roadmap!C"&amp; MATCH($E176,Roadmap!$D:$D,0)+COUNTIF($E176:J176,"u")+COUNTIF($E176:J176,"t"),
     INDEX(Roadmap!$D:$K,MATCH($E176,Roadmap!$D:$D,0)+COUNTIF($E176:J176,"u")+COUNTIF($E176:J176,"t")+COUNTIF($E176:J176,"¶")+COUNTIF($E176:J176,"²")+COUNTIF($E176:J176,"µ")+COUNTIF($E176:J176,1),ColTypeEcheance)),
  IF(LEN(J176)=1,
  IF(LEN(INDEX(Roadmap!$D:$K,MATCH($E176,Roadmap!$D:$D,0)-1+COUNTIF($E176:J176,"u")+COUNTIF($E176:J176,"t")+COUNTIF($E176:J176,"¶")+COUNTIF($E176:J176,"²")+COUNTIF($E176:J176,"µ")+COUNTIF($E176:J176,1),ColDescriptionCourte))&gt;1,
HYPERLINK("#Roadmap!C"&amp; MATCH($E176,Roadmap!$D:$D,0)+COUNTIF($E176:J176,"u")+COUNTIF($E176:J176,"t")+COUNTIF($E176:J176,"¶")+COUNTIF($E176:J176,"²")+COUNTIF($E176:J176,"µ")+COUNTIF($E176:J176,1)-1,INDEX(Roadmap!$D:$K,MATCH($E176,Roadmap!$D:$D,0)-1+COUNTIF($E176:J176,"u")+COUNTIF($E176:J176,"t")+COUNTIF($E176:J176,"¶")+COUNTIF($E176:J176,"²")+COUNTIF($E176:J176,"µ")+COUNTIF($E176:J176,1),ColDescriptionCourte)),""),
  "")),"")</f>
        <v/>
      </c>
      <c r="L176" s="39" t="str">
        <f ca="1">IFERROR(IF(AND(
  INDEX(Roadmap!$D:$K,MATCH($E176,Roadmap!$D:$D,0)+COUNTIF($E176:K176,"u")+COUNTIF($E176:K176,"t")+COUNTIF($E176:K176,"¶")+COUNTIF($E176:K176,"²")+COUNTIF($E176:K176,"µ")+COUNTIF($E176:K176,1),ColLivraison)=L$6,
  VLOOKUP($E176,INDIRECT("tri!"&amp; CHAR(64+ C0Col) &amp;":"&amp; CHAR(65+C0Col)),2,FALSE)&gt;COUNTIF($E176:K176,"u")+COUNTIF($E176:K176,"t")+COUNTIF($E176:K176,"¶")+COUNTIF($E176:K176,"²")+COUNTIF($E176:K176,"µ")+COUNTIF($E176:K176,1)),
HYPERLINK("#Roadmap!C"&amp; MATCH($E176,Roadmap!$D:$D,0)+COUNTIF($E176:K176,"u")+COUNTIF($E176:K176,"t"),
     INDEX(Roadmap!$D:$K,MATCH($E176,Roadmap!$D:$D,0)+COUNTIF($E176:K176,"u")+COUNTIF($E176:K176,"t")+COUNTIF($E176:K176,"¶")+COUNTIF($E176:K176,"²")+COUNTIF($E176:K176,"µ")+COUNTIF($E176:K176,1),ColTypeEcheance)),
  IF(LEN(K176)=1,
  IF(LEN(INDEX(Roadmap!$D:$K,MATCH($E176,Roadmap!$D:$D,0)-1+COUNTIF($E176:K176,"u")+COUNTIF($E176:K176,"t")+COUNTIF($E176:K176,"¶")+COUNTIF($E176:K176,"²")+COUNTIF($E176:K176,"µ")+COUNTIF($E176:K176,1),ColDescriptionCourte))&gt;1,
HYPERLINK("#Roadmap!C"&amp; MATCH($E176,Roadmap!$D:$D,0)+COUNTIF($E176:K176,"u")+COUNTIF($E176:K176,"t")+COUNTIF($E176:K176,"¶")+COUNTIF($E176:K176,"²")+COUNTIF($E176:K176,"µ")+COUNTIF($E176:K176,1)-1,INDEX(Roadmap!$D:$K,MATCH($E176,Roadmap!$D:$D,0)-1+COUNTIF($E176:K176,"u")+COUNTIF($E176:K176,"t")+COUNTIF($E176:K176,"¶")+COUNTIF($E176:K176,"²")+COUNTIF($E176:K176,"µ")+COUNTIF($E176:K176,1),ColDescriptionCourte)),""),
  "")),"")</f>
        <v/>
      </c>
      <c r="M176" s="40" t="str">
        <f ca="1">IFERROR(IF(AND(
  INDEX(Roadmap!$D:$K,MATCH($E176,Roadmap!$D:$D,0)+COUNTIF($E176:L176,"u")+COUNTIF($E176:L176,"t")+COUNTIF($E176:L176,"¶")+COUNTIF($E176:L176,"²")+COUNTIF($E176:L176,"µ")+COUNTIF($E176:L176,1),ColLivraison)=M$6,
  VLOOKUP($E176,INDIRECT("tri!"&amp; CHAR(64+ C0Col) &amp;":"&amp; CHAR(65+C0Col)),2,FALSE)&gt;COUNTIF($E176:L176,"u")+COUNTIF($E176:L176,"t")+COUNTIF($E176:L176,"¶")+COUNTIF($E176:L176,"²")+COUNTIF($E176:L176,"µ")+COUNTIF($E176:L176,1)),
HYPERLINK("#Roadmap!C"&amp; MATCH($E176,Roadmap!$D:$D,0)+COUNTIF($E176:L176,"u")+COUNTIF($E176:L176,"t"),
     INDEX(Roadmap!$D:$K,MATCH($E176,Roadmap!$D:$D,0)+COUNTIF($E176:L176,"u")+COUNTIF($E176:L176,"t")+COUNTIF($E176:L176,"¶")+COUNTIF($E176:L176,"²")+COUNTIF($E176:L176,"µ")+COUNTIF($E176:L176,1),ColTypeEcheance)),
  IF(LEN(L176)=1,
  IF(LEN(INDEX(Roadmap!$D:$K,MATCH($E176,Roadmap!$D:$D,0)-1+COUNTIF($E176:L176,"u")+COUNTIF($E176:L176,"t")+COUNTIF($E176:L176,"¶")+COUNTIF($E176:L176,"²")+COUNTIF($E176:L176,"µ")+COUNTIF($E176:L176,1),ColDescriptionCourte))&gt;1,
HYPERLINK("#Roadmap!C"&amp; MATCH($E176,Roadmap!$D:$D,0)+COUNTIF($E176:L176,"u")+COUNTIF($E176:L176,"t")+COUNTIF($E176:L176,"¶")+COUNTIF($E176:L176,"²")+COUNTIF($E176:L176,"µ")+COUNTIF($E176:L176,1)-1,INDEX(Roadmap!$D:$K,MATCH($E176,Roadmap!$D:$D,0)-1+COUNTIF($E176:L176,"u")+COUNTIF($E176:L176,"t")+COUNTIF($E176:L176,"¶")+COUNTIF($E176:L176,"²")+COUNTIF($E176:L176,"µ")+COUNTIF($E176:L176,1),ColDescriptionCourte)),""),
  "")),"")</f>
        <v/>
      </c>
      <c r="N176" s="40" t="str">
        <f ca="1">IFERROR(IF(AND(
  INDEX(Roadmap!$D:$K,MATCH($E176,Roadmap!$D:$D,0)+COUNTIF($E176:M176,"u")+COUNTIF($E176:M176,"t")+COUNTIF($E176:M176,"¶")+COUNTIF($E176:M176,"²")+COUNTIF($E176:M176,"µ")+COUNTIF($E176:M176,1),ColLivraison)=N$6,
  VLOOKUP($E176,INDIRECT("tri!"&amp; CHAR(64+ C0Col) &amp;":"&amp; CHAR(65+C0Col)),2,FALSE)&gt;COUNTIF($E176:M176,"u")+COUNTIF($E176:M176,"t")+COUNTIF($E176:M176,"¶")+COUNTIF($E176:M176,"²")+COUNTIF($E176:M176,"µ")+COUNTIF($E176:M176,1)),
HYPERLINK("#Roadmap!C"&amp; MATCH($E176,Roadmap!$D:$D,0)+COUNTIF($E176:M176,"u")+COUNTIF($E176:M176,"t"),
     INDEX(Roadmap!$D:$K,MATCH($E176,Roadmap!$D:$D,0)+COUNTIF($E176:M176,"u")+COUNTIF($E176:M176,"t")+COUNTIF($E176:M176,"¶")+COUNTIF($E176:M176,"²")+COUNTIF($E176:M176,"µ")+COUNTIF($E176:M176,1),ColTypeEcheance)),
  IF(LEN(M176)=1,
  IF(LEN(INDEX(Roadmap!$D:$K,MATCH($E176,Roadmap!$D:$D,0)-1+COUNTIF($E176:M176,"u")+COUNTIF($E176:M176,"t")+COUNTIF($E176:M176,"¶")+COUNTIF($E176:M176,"²")+COUNTIF($E176:M176,"µ")+COUNTIF($E176:M176,1),ColDescriptionCourte))&gt;1,
HYPERLINK("#Roadmap!C"&amp; MATCH($E176,Roadmap!$D:$D,0)+COUNTIF($E176:M176,"u")+COUNTIF($E176:M176,"t")+COUNTIF($E176:M176,"¶")+COUNTIF($E176:M176,"²")+COUNTIF($E176:M176,"µ")+COUNTIF($E176:M176,1)-1,INDEX(Roadmap!$D:$K,MATCH($E176,Roadmap!$D:$D,0)-1+COUNTIF($E176:M176,"u")+COUNTIF($E176:M176,"t")+COUNTIF($E176:M176,"¶")+COUNTIF($E176:M176,"²")+COUNTIF($E176:M176,"µ")+COUNTIF($E176:M176,1),ColDescriptionCourte)),""),
  "")),"")</f>
        <v/>
      </c>
      <c r="O176" s="40" t="str">
        <f ca="1">IFERROR(IF(AND(
  INDEX(Roadmap!$D:$K,MATCH($E176,Roadmap!$D:$D,0)+COUNTIF($E176:N176,"u")+COUNTIF($E176:N176,"t")+COUNTIF($E176:N176,"¶")+COUNTIF($E176:N176,"²")+COUNTIF($E176:N176,"µ")+COUNTIF($E176:N176,1),ColLivraison)=O$6,
  VLOOKUP($E176,INDIRECT("tri!"&amp; CHAR(64+ C0Col) &amp;":"&amp; CHAR(65+C0Col)),2,FALSE)&gt;COUNTIF($E176:N176,"u")+COUNTIF($E176:N176,"t")+COUNTIF($E176:N176,"¶")+COUNTIF($E176:N176,"²")+COUNTIF($E176:N176,"µ")+COUNTIF($E176:N176,1)),
HYPERLINK("#Roadmap!C"&amp; MATCH($E176,Roadmap!$D:$D,0)+COUNTIF($E176:N176,"u")+COUNTIF($E176:N176,"t"),
     INDEX(Roadmap!$D:$K,MATCH($E176,Roadmap!$D:$D,0)+COUNTIF($E176:N176,"u")+COUNTIF($E176:N176,"t")+COUNTIF($E176:N176,"¶")+COUNTIF($E176:N176,"²")+COUNTIF($E176:N176,"µ")+COUNTIF($E176:N176,1),ColTypeEcheance)),
  IF(LEN(N176)=1,
  IF(LEN(INDEX(Roadmap!$D:$K,MATCH($E176,Roadmap!$D:$D,0)-1+COUNTIF($E176:N176,"u")+COUNTIF($E176:N176,"t")+COUNTIF($E176:N176,"¶")+COUNTIF($E176:N176,"²")+COUNTIF($E176:N176,"µ")+COUNTIF($E176:N176,1),ColDescriptionCourte))&gt;1,
HYPERLINK("#Roadmap!C"&amp; MATCH($E176,Roadmap!$D:$D,0)+COUNTIF($E176:N176,"u")+COUNTIF($E176:N176,"t")+COUNTIF($E176:N176,"¶")+COUNTIF($E176:N176,"²")+COUNTIF($E176:N176,"µ")+COUNTIF($E176:N176,1)-1,INDEX(Roadmap!$D:$K,MATCH($E176,Roadmap!$D:$D,0)-1+COUNTIF($E176:N176,"u")+COUNTIF($E176:N176,"t")+COUNTIF($E176:N176,"¶")+COUNTIF($E176:N176,"²")+COUNTIF($E176:N176,"µ")+COUNTIF($E176:N176,1),ColDescriptionCourte)),""),
  "")),"")</f>
        <v/>
      </c>
      <c r="P176" s="40" t="str">
        <f ca="1">IFERROR(IF(AND(
  INDEX(Roadmap!$D:$K,MATCH($E176,Roadmap!$D:$D,0)+COUNTIF($E176:O176,"u")+COUNTIF($E176:O176,"t")+COUNTIF($E176:O176,"¶")+COUNTIF($E176:O176,"²")+COUNTIF($E176:O176,"µ")+COUNTIF($E176:O176,1),ColLivraison)=P$6,
  VLOOKUP($E176,INDIRECT("tri!"&amp; CHAR(64+ C0Col) &amp;":"&amp; CHAR(65+C0Col)),2,FALSE)&gt;COUNTIF($E176:O176,"u")+COUNTIF($E176:O176,"t")+COUNTIF($E176:O176,"¶")+COUNTIF($E176:O176,"²")+COUNTIF($E176:O176,"µ")+COUNTIF($E176:O176,1)),
HYPERLINK("#Roadmap!C"&amp; MATCH($E176,Roadmap!$D:$D,0)+COUNTIF($E176:O176,"u")+COUNTIF($E176:O176,"t"),
     INDEX(Roadmap!$D:$K,MATCH($E176,Roadmap!$D:$D,0)+COUNTIF($E176:O176,"u")+COUNTIF($E176:O176,"t")+COUNTIF($E176:O176,"¶")+COUNTIF($E176:O176,"²")+COUNTIF($E176:O176,"µ")+COUNTIF($E176:O176,1),ColTypeEcheance)),
  IF(LEN(O176)=1,
  IF(LEN(INDEX(Roadmap!$D:$K,MATCH($E176,Roadmap!$D:$D,0)-1+COUNTIF($E176:O176,"u")+COUNTIF($E176:O176,"t")+COUNTIF($E176:O176,"¶")+COUNTIF($E176:O176,"²")+COUNTIF($E176:O176,"µ")+COUNTIF($E176:O176,1),ColDescriptionCourte))&gt;1,
HYPERLINK("#Roadmap!C"&amp; MATCH($E176,Roadmap!$D:$D,0)+COUNTIF($E176:O176,"u")+COUNTIF($E176:O176,"t")+COUNTIF($E176:O176,"¶")+COUNTIF($E176:O176,"²")+COUNTIF($E176:O176,"µ")+COUNTIF($E176:O176,1)-1,INDEX(Roadmap!$D:$K,MATCH($E176,Roadmap!$D:$D,0)-1+COUNTIF($E176:O176,"u")+COUNTIF($E176:O176,"t")+COUNTIF($E176:O176,"¶")+COUNTIF($E176:O176,"²")+COUNTIF($E176:O176,"µ")+COUNTIF($E176:O176,1),ColDescriptionCourte)),""),
  "")),"")</f>
        <v/>
      </c>
      <c r="Q176" s="40" t="str">
        <f ca="1">IFERROR(IF(AND(
  INDEX(Roadmap!$D:$K,MATCH($E176,Roadmap!$D:$D,0)+COUNTIF($E176:P176,"u")+COUNTIF($E176:P176,"t")+COUNTIF($E176:P176,"¶")+COUNTIF($E176:P176,"²")+COUNTIF($E176:P176,"µ")+COUNTIF($E176:P176,1),ColLivraison)=Q$6,
  VLOOKUP($E176,INDIRECT("tri!"&amp; CHAR(64+ C0Col) &amp;":"&amp; CHAR(65+C0Col)),2,FALSE)&gt;COUNTIF($E176:P176,"u")+COUNTIF($E176:P176,"t")+COUNTIF($E176:P176,"¶")+COUNTIF($E176:P176,"²")+COUNTIF($E176:P176,"µ")+COUNTIF($E176:P176,1)),
HYPERLINK("#Roadmap!C"&amp; MATCH($E176,Roadmap!$D:$D,0)+COUNTIF($E176:P176,"u")+COUNTIF($E176:P176,"t"),
     INDEX(Roadmap!$D:$K,MATCH($E176,Roadmap!$D:$D,0)+COUNTIF($E176:P176,"u")+COUNTIF($E176:P176,"t")+COUNTIF($E176:P176,"¶")+COUNTIF($E176:P176,"²")+COUNTIF($E176:P176,"µ")+COUNTIF($E176:P176,1),ColTypeEcheance)),
  IF(LEN(P176)=1,
  IF(LEN(INDEX(Roadmap!$D:$K,MATCH($E176,Roadmap!$D:$D,0)-1+COUNTIF($E176:P176,"u")+COUNTIF($E176:P176,"t")+COUNTIF($E176:P176,"¶")+COUNTIF($E176:P176,"²")+COUNTIF($E176:P176,"µ")+COUNTIF($E176:P176,1),ColDescriptionCourte))&gt;1,
HYPERLINK("#Roadmap!C"&amp; MATCH($E176,Roadmap!$D:$D,0)+COUNTIF($E176:P176,"u")+COUNTIF($E176:P176,"t")+COUNTIF($E176:P176,"¶")+COUNTIF($E176:P176,"²")+COUNTIF($E176:P176,"µ")+COUNTIF($E176:P176,1)-1,INDEX(Roadmap!$D:$K,MATCH($E176,Roadmap!$D:$D,0)-1+COUNTIF($E176:P176,"u")+COUNTIF($E176:P176,"t")+COUNTIF($E176:P176,"¶")+COUNTIF($E176:P176,"²")+COUNTIF($E176:P176,"µ")+COUNTIF($E176:P176,1),ColDescriptionCourte)),""),
  "")),"")</f>
        <v/>
      </c>
      <c r="R176" s="40" t="str">
        <f ca="1">IFERROR(IF(AND(
  INDEX(Roadmap!$D:$K,MATCH($E176,Roadmap!$D:$D,0)+COUNTIF($E176:Q176,"u")+COUNTIF($E176:Q176,"t")+COUNTIF($E176:Q176,"¶")+COUNTIF($E176:Q176,"²")+COUNTIF($E176:Q176,"µ")+COUNTIF($E176:Q176,1),ColLivraison)=R$6,
  VLOOKUP($E176,INDIRECT("tri!"&amp; CHAR(64+ C0Col) &amp;":"&amp; CHAR(65+C0Col)),2,FALSE)&gt;COUNTIF($E176:Q176,"u")+COUNTIF($E176:Q176,"t")+COUNTIF($E176:Q176,"¶")+COUNTIF($E176:Q176,"²")+COUNTIF($E176:Q176,"µ")+COUNTIF($E176:Q176,1)),
HYPERLINK("#Roadmap!C"&amp; MATCH($E176,Roadmap!$D:$D,0)+COUNTIF($E176:Q176,"u")+COUNTIF($E176:Q176,"t"),
     INDEX(Roadmap!$D:$K,MATCH($E176,Roadmap!$D:$D,0)+COUNTIF($E176:Q176,"u")+COUNTIF($E176:Q176,"t")+COUNTIF($E176:Q176,"¶")+COUNTIF($E176:Q176,"²")+COUNTIF($E176:Q176,"µ")+COUNTIF($E176:Q176,1),ColTypeEcheance)),
  IF(LEN(Q176)=1,
  IF(LEN(INDEX(Roadmap!$D:$K,MATCH($E176,Roadmap!$D:$D,0)-1+COUNTIF($E176:Q176,"u")+COUNTIF($E176:Q176,"t")+COUNTIF($E176:Q176,"¶")+COUNTIF($E176:Q176,"²")+COUNTIF($E176:Q176,"µ")+COUNTIF($E176:Q176,1),ColDescriptionCourte))&gt;1,
HYPERLINK("#Roadmap!C"&amp; MATCH($E176,Roadmap!$D:$D,0)+COUNTIF($E176:Q176,"u")+COUNTIF($E176:Q176,"t")+COUNTIF($E176:Q176,"¶")+COUNTIF($E176:Q176,"²")+COUNTIF($E176:Q176,"µ")+COUNTIF($E176:Q176,1)-1,INDEX(Roadmap!$D:$K,MATCH($E176,Roadmap!$D:$D,0)-1+COUNTIF($E176:Q176,"u")+COUNTIF($E176:Q176,"t")+COUNTIF($E176:Q176,"¶")+COUNTIF($E176:Q176,"²")+COUNTIF($E176:Q176,"µ")+COUNTIF($E176:Q176,1),ColDescriptionCourte)),""),
  "")),"")</f>
        <v/>
      </c>
      <c r="S176" s="40" t="str">
        <f ca="1">IFERROR(IF(AND(
  INDEX(Roadmap!$D:$K,MATCH($E176,Roadmap!$D:$D,0)+COUNTIF($E176:R176,"u")+COUNTIF($E176:R176,"t")+COUNTIF($E176:R176,"¶")+COUNTIF($E176:R176,"²")+COUNTIF($E176:R176,"µ")+COUNTIF($E176:R176,1),ColLivraison)=S$6,
  VLOOKUP($E176,INDIRECT("tri!"&amp; CHAR(64+ C0Col) &amp;":"&amp; CHAR(65+C0Col)),2,FALSE)&gt;COUNTIF($E176:R176,"u")+COUNTIF($E176:R176,"t")+COUNTIF($E176:R176,"¶")+COUNTIF($E176:R176,"²")+COUNTIF($E176:R176,"µ")+COUNTIF($E176:R176,1)),
HYPERLINK("#Roadmap!C"&amp; MATCH($E176,Roadmap!$D:$D,0)+COUNTIF($E176:R176,"u")+COUNTIF($E176:R176,"t"),
     INDEX(Roadmap!$D:$K,MATCH($E176,Roadmap!$D:$D,0)+COUNTIF($E176:R176,"u")+COUNTIF($E176:R176,"t")+COUNTIF($E176:R176,"¶")+COUNTIF($E176:R176,"²")+COUNTIF($E176:R176,"µ")+COUNTIF($E176:R176,1),ColTypeEcheance)),
  IF(LEN(R176)=1,
  IF(LEN(INDEX(Roadmap!$D:$K,MATCH($E176,Roadmap!$D:$D,0)-1+COUNTIF($E176:R176,"u")+COUNTIF($E176:R176,"t")+COUNTIF($E176:R176,"¶")+COUNTIF($E176:R176,"²")+COUNTIF($E176:R176,"µ")+COUNTIF($E176:R176,1),ColDescriptionCourte))&gt;1,
HYPERLINK("#Roadmap!C"&amp; MATCH($E176,Roadmap!$D:$D,0)+COUNTIF($E176:R176,"u")+COUNTIF($E176:R176,"t")+COUNTIF($E176:R176,"¶")+COUNTIF($E176:R176,"²")+COUNTIF($E176:R176,"µ")+COUNTIF($E176:R176,1)-1,INDEX(Roadmap!$D:$K,MATCH($E176,Roadmap!$D:$D,0)-1+COUNTIF($E176:R176,"u")+COUNTIF($E176:R176,"t")+COUNTIF($E176:R176,"¶")+COUNTIF($E176:R176,"²")+COUNTIF($E176:R176,"µ")+COUNTIF($E176:R176,1),ColDescriptionCourte)),""),
  "")),"")</f>
        <v/>
      </c>
      <c r="T176" s="40" t="str">
        <f ca="1">IFERROR(IF(AND(
  INDEX(Roadmap!$D:$K,MATCH($E176,Roadmap!$D:$D,0)+COUNTIF($E176:S176,"u")+COUNTIF($E176:S176,"t")+COUNTIF($E176:S176,"¶")+COUNTIF($E176:S176,"²")+COUNTIF($E176:S176,"µ")+COUNTIF($E176:S176,1),ColLivraison)=T$6,
  VLOOKUP($E176,INDIRECT("tri!"&amp; CHAR(64+ C0Col) &amp;":"&amp; CHAR(65+C0Col)),2,FALSE)&gt;COUNTIF($E176:S176,"u")+COUNTIF($E176:S176,"t")+COUNTIF($E176:S176,"¶")+COUNTIF($E176:S176,"²")+COUNTIF($E176:S176,"µ")+COUNTIF($E176:S176,1)),
HYPERLINK("#Roadmap!C"&amp; MATCH($E176,Roadmap!$D:$D,0)+COUNTIF($E176:S176,"u")+COUNTIF($E176:S176,"t"),
     INDEX(Roadmap!$D:$K,MATCH($E176,Roadmap!$D:$D,0)+COUNTIF($E176:S176,"u")+COUNTIF($E176:S176,"t")+COUNTIF($E176:S176,"¶")+COUNTIF($E176:S176,"²")+COUNTIF($E176:S176,"µ")+COUNTIF($E176:S176,1),ColTypeEcheance)),
  IF(LEN(S176)=1,
  IF(LEN(INDEX(Roadmap!$D:$K,MATCH($E176,Roadmap!$D:$D,0)-1+COUNTIF($E176:S176,"u")+COUNTIF($E176:S176,"t")+COUNTIF($E176:S176,"¶")+COUNTIF($E176:S176,"²")+COUNTIF($E176:S176,"µ")+COUNTIF($E176:S176,1),ColDescriptionCourte))&gt;1,
HYPERLINK("#Roadmap!C"&amp; MATCH($E176,Roadmap!$D:$D,0)+COUNTIF($E176:S176,"u")+COUNTIF($E176:S176,"t")+COUNTIF($E176:S176,"¶")+COUNTIF($E176:S176,"²")+COUNTIF($E176:S176,"µ")+COUNTIF($E176:S176,1)-1,INDEX(Roadmap!$D:$K,MATCH($E176,Roadmap!$D:$D,0)-1+COUNTIF($E176:S176,"u")+COUNTIF($E176:S176,"t")+COUNTIF($E176:S176,"¶")+COUNTIF($E176:S176,"²")+COUNTIF($E176:S176,"µ")+COUNTIF($E176:S176,1),ColDescriptionCourte)),""),
  "")),"")</f>
        <v/>
      </c>
      <c r="U176" s="40" t="str">
        <f ca="1">IFERROR(IF(AND(
  INDEX(Roadmap!$D:$K,MATCH($E176,Roadmap!$D:$D,0)+COUNTIF($E176:T176,"u")+COUNTIF($E176:T176,"t")+COUNTIF($E176:T176,"¶")+COUNTIF($E176:T176,"²")+COUNTIF($E176:T176,"µ")+COUNTIF($E176:T176,1),ColLivraison)=U$6,
  VLOOKUP($E176,INDIRECT("tri!"&amp; CHAR(64+ C0Col) &amp;":"&amp; CHAR(65+C0Col)),2,FALSE)&gt;COUNTIF($E176:T176,"u")+COUNTIF($E176:T176,"t")+COUNTIF($E176:T176,"¶")+COUNTIF($E176:T176,"²")+COUNTIF($E176:T176,"µ")+COUNTIF($E176:T176,1)),
HYPERLINK("#Roadmap!C"&amp; MATCH($E176,Roadmap!$D:$D,0)+COUNTIF($E176:T176,"u")+COUNTIF($E176:T176,"t"),
     INDEX(Roadmap!$D:$K,MATCH($E176,Roadmap!$D:$D,0)+COUNTIF($E176:T176,"u")+COUNTIF($E176:T176,"t")+COUNTIF($E176:T176,"¶")+COUNTIF($E176:T176,"²")+COUNTIF($E176:T176,"µ")+COUNTIF($E176:T176,1),ColTypeEcheance)),
  IF(LEN(T176)=1,
  IF(LEN(INDEX(Roadmap!$D:$K,MATCH($E176,Roadmap!$D:$D,0)-1+COUNTIF($E176:T176,"u")+COUNTIF($E176:T176,"t")+COUNTIF($E176:T176,"¶")+COUNTIF($E176:T176,"²")+COUNTIF($E176:T176,"µ")+COUNTIF($E176:T176,1),ColDescriptionCourte))&gt;1,
HYPERLINK("#Roadmap!C"&amp; MATCH($E176,Roadmap!$D:$D,0)+COUNTIF($E176:T176,"u")+COUNTIF($E176:T176,"t")+COUNTIF($E176:T176,"¶")+COUNTIF($E176:T176,"²")+COUNTIF($E176:T176,"µ")+COUNTIF($E176:T176,1)-1,INDEX(Roadmap!$D:$K,MATCH($E176,Roadmap!$D:$D,0)-1+COUNTIF($E176:T176,"u")+COUNTIF($E176:T176,"t")+COUNTIF($E176:T176,"¶")+COUNTIF($E176:T176,"²")+COUNTIF($E176:T176,"µ")+COUNTIF($E176:T176,1),ColDescriptionCourte)),""),
  "")),"")</f>
        <v/>
      </c>
      <c r="V176" s="40" t="str">
        <f ca="1">IFERROR(IF(AND(
  INDEX(Roadmap!$D:$K,MATCH($E176,Roadmap!$D:$D,0)+COUNTIF($E176:U176,"u")+COUNTIF($E176:U176,"t")+COUNTIF($E176:U176,"¶")+COUNTIF($E176:U176,"²")+COUNTIF($E176:U176,"µ")+COUNTIF($E176:U176,1),ColLivraison)=V$6,
  VLOOKUP($E176,INDIRECT("tri!"&amp; CHAR(64+ C0Col) &amp;":"&amp; CHAR(65+C0Col)),2,FALSE)&gt;COUNTIF($E176:U176,"u")+COUNTIF($E176:U176,"t")+COUNTIF($E176:U176,"¶")+COUNTIF($E176:U176,"²")+COUNTIF($E176:U176,"µ")+COUNTIF($E176:U176,1)),
HYPERLINK("#Roadmap!C"&amp; MATCH($E176,Roadmap!$D:$D,0)+COUNTIF($E176:U176,"u")+COUNTIF($E176:U176,"t"),
     INDEX(Roadmap!$D:$K,MATCH($E176,Roadmap!$D:$D,0)+COUNTIF($E176:U176,"u")+COUNTIF($E176:U176,"t")+COUNTIF($E176:U176,"¶")+COUNTIF($E176:U176,"²")+COUNTIF($E176:U176,"µ")+COUNTIF($E176:U176,1),ColTypeEcheance)),
  IF(LEN(U176)=1,
  IF(LEN(INDEX(Roadmap!$D:$K,MATCH($E176,Roadmap!$D:$D,0)-1+COUNTIF($E176:U176,"u")+COUNTIF($E176:U176,"t")+COUNTIF($E176:U176,"¶")+COUNTIF($E176:U176,"²")+COUNTIF($E176:U176,"µ")+COUNTIF($E176:U176,1),ColDescriptionCourte))&gt;1,
HYPERLINK("#Roadmap!C"&amp; MATCH($E176,Roadmap!$D:$D,0)+COUNTIF($E176:U176,"u")+COUNTIF($E176:U176,"t")+COUNTIF($E176:U176,"¶")+COUNTIF($E176:U176,"²")+COUNTIF($E176:U176,"µ")+COUNTIF($E176:U176,1)-1,INDEX(Roadmap!$D:$K,MATCH($E176,Roadmap!$D:$D,0)-1+COUNTIF($E176:U176,"u")+COUNTIF($E176:U176,"t")+COUNTIF($E176:U176,"¶")+COUNTIF($E176:U176,"²")+COUNTIF($E176:U176,"µ")+COUNTIF($E176:U176,1),ColDescriptionCourte)),""),
  "")),"")</f>
        <v/>
      </c>
      <c r="W176" s="40" t="str">
        <f ca="1">IFERROR(IF(AND(
  INDEX(Roadmap!$D:$K,MATCH($E176,Roadmap!$D:$D,0)+COUNTIF($E176:V176,"u")+COUNTIF($E176:V176,"t")+COUNTIF($E176:V176,"¶")+COUNTIF($E176:V176,"²")+COUNTIF($E176:V176,"µ")+COUNTIF($E176:V176,1),ColLivraison)=W$6,
  VLOOKUP($E176,INDIRECT("tri!"&amp; CHAR(64+ C0Col) &amp;":"&amp; CHAR(65+C0Col)),2,FALSE)&gt;COUNTIF($E176:V176,"u")+COUNTIF($E176:V176,"t")+COUNTIF($E176:V176,"¶")+COUNTIF($E176:V176,"²")+COUNTIF($E176:V176,"µ")+COUNTIF($E176:V176,1)),
HYPERLINK("#Roadmap!C"&amp; MATCH($E176,Roadmap!$D:$D,0)+COUNTIF($E176:V176,"u")+COUNTIF($E176:V176,"t"),
     INDEX(Roadmap!$D:$K,MATCH($E176,Roadmap!$D:$D,0)+COUNTIF($E176:V176,"u")+COUNTIF($E176:V176,"t")+COUNTIF($E176:V176,"¶")+COUNTIF($E176:V176,"²")+COUNTIF($E176:V176,"µ")+COUNTIF($E176:V176,1),ColTypeEcheance)),
  IF(LEN(V176)=1,
  IF(LEN(INDEX(Roadmap!$D:$K,MATCH($E176,Roadmap!$D:$D,0)-1+COUNTIF($E176:V176,"u")+COUNTIF($E176:V176,"t")+COUNTIF($E176:V176,"¶")+COUNTIF($E176:V176,"²")+COUNTIF($E176:V176,"µ")+COUNTIF($E176:V176,1),ColDescriptionCourte))&gt;1,
HYPERLINK("#Roadmap!C"&amp; MATCH($E176,Roadmap!$D:$D,0)+COUNTIF($E176:V176,"u")+COUNTIF($E176:V176,"t")+COUNTIF($E176:V176,"¶")+COUNTIF($E176:V176,"²")+COUNTIF($E176:V176,"µ")+COUNTIF($E176:V176,1)-1,INDEX(Roadmap!$D:$K,MATCH($E176,Roadmap!$D:$D,0)-1+COUNTIF($E176:V176,"u")+COUNTIF($E176:V176,"t")+COUNTIF($E176:V176,"¶")+COUNTIF($E176:V176,"²")+COUNTIF($E176:V176,"µ")+COUNTIF($E176:V176,1),ColDescriptionCourte)),""),
  "")),"")</f>
        <v/>
      </c>
      <c r="X176" s="40" t="str">
        <f ca="1">IFERROR(IF(AND(
  INDEX(Roadmap!$D:$K,MATCH($E176,Roadmap!$D:$D,0)+COUNTIF($E176:W176,"u")+COUNTIF($E176:W176,"t")+COUNTIF($E176:W176,"¶")+COUNTIF($E176:W176,"²")+COUNTIF($E176:W176,"µ")+COUNTIF($E176:W176,1),ColLivraison)=X$6,
  VLOOKUP($E176,INDIRECT("tri!"&amp; CHAR(64+ C0Col) &amp;":"&amp; CHAR(65+C0Col)),2,FALSE)&gt;COUNTIF($E176:W176,"u")+COUNTIF($E176:W176,"t")+COUNTIF($E176:W176,"¶")+COUNTIF($E176:W176,"²")+COUNTIF($E176:W176,"µ")+COUNTIF($E176:W176,1)),
HYPERLINK("#Roadmap!C"&amp; MATCH($E176,Roadmap!$D:$D,0)+COUNTIF($E176:W176,"u")+COUNTIF($E176:W176,"t"),
     INDEX(Roadmap!$D:$K,MATCH($E176,Roadmap!$D:$D,0)+COUNTIF($E176:W176,"u")+COUNTIF($E176:W176,"t")+COUNTIF($E176:W176,"¶")+COUNTIF($E176:W176,"²")+COUNTIF($E176:W176,"µ")+COUNTIF($E176:W176,1),ColTypeEcheance)),
  IF(LEN(W176)=1,
  IF(LEN(INDEX(Roadmap!$D:$K,MATCH($E176,Roadmap!$D:$D,0)-1+COUNTIF($E176:W176,"u")+COUNTIF($E176:W176,"t")+COUNTIF($E176:W176,"¶")+COUNTIF($E176:W176,"²")+COUNTIF($E176:W176,"µ")+COUNTIF($E176:W176,1),ColDescriptionCourte))&gt;1,
HYPERLINK("#Roadmap!C"&amp; MATCH($E176,Roadmap!$D:$D,0)+COUNTIF($E176:W176,"u")+COUNTIF($E176:W176,"t")+COUNTIF($E176:W176,"¶")+COUNTIF($E176:W176,"²")+COUNTIF($E176:W176,"µ")+COUNTIF($E176:W176,1)-1,INDEX(Roadmap!$D:$K,MATCH($E176,Roadmap!$D:$D,0)-1+COUNTIF($E176:W176,"u")+COUNTIF($E176:W176,"t")+COUNTIF($E176:W176,"¶")+COUNTIF($E176:W176,"²")+COUNTIF($E176:W176,"µ")+COUNTIF($E176:W176,1),ColDescriptionCourte)),""),
  "")),"")</f>
        <v/>
      </c>
      <c r="Y176" s="40" t="str">
        <f ca="1">IFERROR(IF(AND(
  INDEX(Roadmap!$D:$K,MATCH($E176,Roadmap!$D:$D,0)+COUNTIF($E176:X176,"u")+COUNTIF($E176:X176,"t")+COUNTIF($E176:X176,"¶")+COUNTIF($E176:X176,"²")+COUNTIF($E176:X176,"µ")+COUNTIF($E176:X176,1),ColLivraison)=Y$6,
  VLOOKUP($E176,INDIRECT("tri!"&amp; CHAR(64+ C0Col) &amp;":"&amp; CHAR(65+C0Col)),2,FALSE)&gt;COUNTIF($E176:X176,"u")+COUNTIF($E176:X176,"t")+COUNTIF($E176:X176,"¶")+COUNTIF($E176:X176,"²")+COUNTIF($E176:X176,"µ")+COUNTIF($E176:X176,1)),
HYPERLINK("#Roadmap!C"&amp; MATCH($E176,Roadmap!$D:$D,0)+COUNTIF($E176:X176,"u")+COUNTIF($E176:X176,"t"),
     INDEX(Roadmap!$D:$K,MATCH($E176,Roadmap!$D:$D,0)+COUNTIF($E176:X176,"u")+COUNTIF($E176:X176,"t")+COUNTIF($E176:X176,"¶")+COUNTIF($E176:X176,"²")+COUNTIF($E176:X176,"µ")+COUNTIF($E176:X176,1),ColTypeEcheance)),
  IF(LEN(X176)=1,
  IF(LEN(INDEX(Roadmap!$D:$K,MATCH($E176,Roadmap!$D:$D,0)-1+COUNTIF($E176:X176,"u")+COUNTIF($E176:X176,"t")+COUNTIF($E176:X176,"¶")+COUNTIF($E176:X176,"²")+COUNTIF($E176:X176,"µ")+COUNTIF($E176:X176,1),ColDescriptionCourte))&gt;1,
HYPERLINK("#Roadmap!C"&amp; MATCH($E176,Roadmap!$D:$D,0)+COUNTIF($E176:X176,"u")+COUNTIF($E176:X176,"t")+COUNTIF($E176:X176,"¶")+COUNTIF($E176:X176,"²")+COUNTIF($E176:X176,"µ")+COUNTIF($E176:X176,1)-1,INDEX(Roadmap!$D:$K,MATCH($E176,Roadmap!$D:$D,0)-1+COUNTIF($E176:X176,"u")+COUNTIF($E176:X176,"t")+COUNTIF($E176:X176,"¶")+COUNTIF($E176:X176,"²")+COUNTIF($E176:X176,"µ")+COUNTIF($E176:X176,1),ColDescriptionCourte)),""),
  "")),"")</f>
        <v/>
      </c>
      <c r="Z176" s="40" t="str">
        <f ca="1">IFERROR(IF(AND(
  INDEX(Roadmap!$D:$K,MATCH($E176,Roadmap!$D:$D,0)+COUNTIF($E176:Y176,"u")+COUNTIF($E176:Y176,"t")+COUNTIF($E176:Y176,"¶")+COUNTIF($E176:Y176,"²")+COUNTIF($E176:Y176,"µ")+COUNTIF($E176:Y176,1),ColLivraison)=Z$6,
  VLOOKUP($E176,INDIRECT("tri!"&amp; CHAR(64+ C0Col) &amp;":"&amp; CHAR(65+C0Col)),2,FALSE)&gt;COUNTIF($E176:Y176,"u")+COUNTIF($E176:Y176,"t")+COUNTIF($E176:Y176,"¶")+COUNTIF($E176:Y176,"²")+COUNTIF($E176:Y176,"µ")+COUNTIF($E176:Y176,1)),
HYPERLINK("#Roadmap!C"&amp; MATCH($E176,Roadmap!$D:$D,0)+COUNTIF($E176:Y176,"u")+COUNTIF($E176:Y176,"t"),
     INDEX(Roadmap!$D:$K,MATCH($E176,Roadmap!$D:$D,0)+COUNTIF($E176:Y176,"u")+COUNTIF($E176:Y176,"t")+COUNTIF($E176:Y176,"¶")+COUNTIF($E176:Y176,"²")+COUNTIF($E176:Y176,"µ")+COUNTIF($E176:Y176,1),ColTypeEcheance)),
  IF(LEN(Y176)=1,
  IF(LEN(INDEX(Roadmap!$D:$K,MATCH($E176,Roadmap!$D:$D,0)-1+COUNTIF($E176:Y176,"u")+COUNTIF($E176:Y176,"t")+COUNTIF($E176:Y176,"¶")+COUNTIF($E176:Y176,"²")+COUNTIF($E176:Y176,"µ")+COUNTIF($E176:Y176,1),ColDescriptionCourte))&gt;1,
HYPERLINK("#Roadmap!C"&amp; MATCH($E176,Roadmap!$D:$D,0)+COUNTIF($E176:Y176,"u")+COUNTIF($E176:Y176,"t")+COUNTIF($E176:Y176,"¶")+COUNTIF($E176:Y176,"²")+COUNTIF($E176:Y176,"µ")+COUNTIF($E176:Y176,1)-1,INDEX(Roadmap!$D:$K,MATCH($E176,Roadmap!$D:$D,0)-1+COUNTIF($E176:Y176,"u")+COUNTIF($E176:Y176,"t")+COUNTIF($E176:Y176,"¶")+COUNTIF($E176:Y176,"²")+COUNTIF($E176:Y176,"µ")+COUNTIF($E176:Y176,1),ColDescriptionCourte)),""),
  "")),"")</f>
        <v/>
      </c>
      <c r="AA176" s="40" t="str">
        <f ca="1">IFERROR(IF(AND(
  INDEX(Roadmap!$D:$K,MATCH($E176,Roadmap!$D:$D,0)+COUNTIF($E176:Z176,"u")+COUNTIF($E176:Z176,"t")+COUNTIF($E176:Z176,"¶")+COUNTIF($E176:Z176,"²")+COUNTIF($E176:Z176,"µ")+COUNTIF($E176:Z176,1),ColLivraison)=AA$6,
  VLOOKUP($E176,INDIRECT("tri!"&amp; CHAR(64+ C0Col) &amp;":"&amp; CHAR(65+C0Col)),2,FALSE)&gt;COUNTIF($E176:Z176,"u")+COUNTIF($E176:Z176,"t")+COUNTIF($E176:Z176,"¶")+COUNTIF($E176:Z176,"²")+COUNTIF($E176:Z176,"µ")+COUNTIF($E176:Z176,1)),
HYPERLINK("#Roadmap!C"&amp; MATCH($E176,Roadmap!$D:$D,0)+COUNTIF($E176:Z176,"u")+COUNTIF($E176:Z176,"t"),
     INDEX(Roadmap!$D:$K,MATCH($E176,Roadmap!$D:$D,0)+COUNTIF($E176:Z176,"u")+COUNTIF($E176:Z176,"t")+COUNTIF($E176:Z176,"¶")+COUNTIF($E176:Z176,"²")+COUNTIF($E176:Z176,"µ")+COUNTIF($E176:Z176,1),ColTypeEcheance)),
  IF(LEN(Z176)=1,
  IF(LEN(INDEX(Roadmap!$D:$K,MATCH($E176,Roadmap!$D:$D,0)-1+COUNTIF($E176:Z176,"u")+COUNTIF($E176:Z176,"t")+COUNTIF($E176:Z176,"¶")+COUNTIF($E176:Z176,"²")+COUNTIF($E176:Z176,"µ")+COUNTIF($E176:Z176,1),ColDescriptionCourte))&gt;1,
HYPERLINK("#Roadmap!C"&amp; MATCH($E176,Roadmap!$D:$D,0)+COUNTIF($E176:Z176,"u")+COUNTIF($E176:Z176,"t")+COUNTIF($E176:Z176,"¶")+COUNTIF($E176:Z176,"²")+COUNTIF($E176:Z176,"µ")+COUNTIF($E176:Z176,1)-1,INDEX(Roadmap!$D:$K,MATCH($E176,Roadmap!$D:$D,0)-1+COUNTIF($E176:Z176,"u")+COUNTIF($E176:Z176,"t")+COUNTIF($E176:Z176,"¶")+COUNTIF($E176:Z176,"²")+COUNTIF($E176:Z176,"µ")+COUNTIF($E176:Z176,1),ColDescriptionCourte)),""),
  "")),"")</f>
        <v/>
      </c>
      <c r="AB176" s="40" t="str">
        <f ca="1">IFERROR(IF(AND(
  INDEX(Roadmap!$D:$K,MATCH($E176,Roadmap!$D:$D,0)+COUNTIF($E176:AA176,"u")+COUNTIF($E176:AA176,"t")+COUNTIF($E176:AA176,"¶")+COUNTIF($E176:AA176,"²")+COUNTIF($E176:AA176,"µ")+COUNTIF($E176:AA176,1),ColLivraison)=AB$6,
  VLOOKUP($E176,INDIRECT("tri!"&amp; CHAR(64+ C0Col) &amp;":"&amp; CHAR(65+C0Col)),2,FALSE)&gt;COUNTIF($E176:AA176,"u")+COUNTIF($E176:AA176,"t")+COUNTIF($E176:AA176,"¶")+COUNTIF($E176:AA176,"²")+COUNTIF($E176:AA176,"µ")+COUNTIF($E176:AA176,1)),
HYPERLINK("#Roadmap!C"&amp; MATCH($E176,Roadmap!$D:$D,0)+COUNTIF($E176:AA176,"u")+COUNTIF($E176:AA176,"t"),
     INDEX(Roadmap!$D:$K,MATCH($E176,Roadmap!$D:$D,0)+COUNTIF($E176:AA176,"u")+COUNTIF($E176:AA176,"t")+COUNTIF($E176:AA176,"¶")+COUNTIF($E176:AA176,"²")+COUNTIF($E176:AA176,"µ")+COUNTIF($E176:AA176,1),ColTypeEcheance)),
  IF(LEN(AA176)=1,
  IF(LEN(INDEX(Roadmap!$D:$K,MATCH($E176,Roadmap!$D:$D,0)-1+COUNTIF($E176:AA176,"u")+COUNTIF($E176:AA176,"t")+COUNTIF($E176:AA176,"¶")+COUNTIF($E176:AA176,"²")+COUNTIF($E176:AA176,"µ")+COUNTIF($E176:AA176,1),ColDescriptionCourte))&gt;1,
HYPERLINK("#Roadmap!C"&amp; MATCH($E176,Roadmap!$D:$D,0)+COUNTIF($E176:AA176,"u")+COUNTIF($E176:AA176,"t")+COUNTIF($E176:AA176,"¶")+COUNTIF($E176:AA176,"²")+COUNTIF($E176:AA176,"µ")+COUNTIF($E176:AA176,1)-1,INDEX(Roadmap!$D:$K,MATCH($E176,Roadmap!$D:$D,0)-1+COUNTIF($E176:AA176,"u")+COUNTIF($E176:AA176,"t")+COUNTIF($E176:AA176,"¶")+COUNTIF($E176:AA176,"²")+COUNTIF($E176:AA176,"µ")+COUNTIF($E176:AA176,1),ColDescriptionCourte)),""),
  "")),"")</f>
        <v/>
      </c>
      <c r="AC176" s="40" t="str">
        <f ca="1">IFERROR(IF(AND(
  INDEX(Roadmap!$D:$K,MATCH($E176,Roadmap!$D:$D,0)+COUNTIF($E176:AB176,"u")+COUNTIF($E176:AB176,"t")+COUNTIF($E176:AB176,"¶")+COUNTIF($E176:AB176,"²")+COUNTIF($E176:AB176,"µ")+COUNTIF($E176:AB176,1),ColLivraison)=AC$6,
  VLOOKUP($E176,INDIRECT("tri!"&amp; CHAR(64+ C0Col) &amp;":"&amp; CHAR(65+C0Col)),2,FALSE)&gt;COUNTIF($E176:AB176,"u")+COUNTIF($E176:AB176,"t")+COUNTIF($E176:AB176,"¶")+COUNTIF($E176:AB176,"²")+COUNTIF($E176:AB176,"µ")+COUNTIF($E176:AB176,1)),
HYPERLINK("#Roadmap!C"&amp; MATCH($E176,Roadmap!$D:$D,0)+COUNTIF($E176:AB176,"u")+COUNTIF($E176:AB176,"t"),
     INDEX(Roadmap!$D:$K,MATCH($E176,Roadmap!$D:$D,0)+COUNTIF($E176:AB176,"u")+COUNTIF($E176:AB176,"t")+COUNTIF($E176:AB176,"¶")+COUNTIF($E176:AB176,"²")+COUNTIF($E176:AB176,"µ")+COUNTIF($E176:AB176,1),ColTypeEcheance)),
  IF(LEN(AB176)=1,
  IF(LEN(INDEX(Roadmap!$D:$K,MATCH($E176,Roadmap!$D:$D,0)-1+COUNTIF($E176:AB176,"u")+COUNTIF($E176:AB176,"t")+COUNTIF($E176:AB176,"¶")+COUNTIF($E176:AB176,"²")+COUNTIF($E176:AB176,"µ")+COUNTIF($E176:AB176,1),ColDescriptionCourte))&gt;1,
HYPERLINK("#Roadmap!C"&amp; MATCH($E176,Roadmap!$D:$D,0)+COUNTIF($E176:AB176,"u")+COUNTIF($E176:AB176,"t")+COUNTIF($E176:AB176,"¶")+COUNTIF($E176:AB176,"²")+COUNTIF($E176:AB176,"µ")+COUNTIF($E176:AB176,1)-1,INDEX(Roadmap!$D:$K,MATCH($E176,Roadmap!$D:$D,0)-1+COUNTIF($E176:AB176,"u")+COUNTIF($E176:AB176,"t")+COUNTIF($E176:AB176,"¶")+COUNTIF($E176:AB176,"²")+COUNTIF($E176:AB176,"µ")+COUNTIF($E176:AB176,1),ColDescriptionCourte)),""),
  "")),"")</f>
        <v/>
      </c>
      <c r="AD176" s="40" t="str">
        <f ca="1">IFERROR(IF(AND(
  INDEX(Roadmap!$D:$K,MATCH($E176,Roadmap!$D:$D,0)+COUNTIF($E176:AC176,"u")+COUNTIF($E176:AC176,"t")+COUNTIF($E176:AC176,"¶")+COUNTIF($E176:AC176,"²")+COUNTIF($E176:AC176,"µ")+COUNTIF($E176:AC176,1),ColLivraison)=AD$6,
  VLOOKUP($E176,INDIRECT("tri!"&amp; CHAR(64+ C0Col) &amp;":"&amp; CHAR(65+C0Col)),2,FALSE)&gt;COUNTIF($E176:AC176,"u")+COUNTIF($E176:AC176,"t")+COUNTIF($E176:AC176,"¶")+COUNTIF($E176:AC176,"²")+COUNTIF($E176:AC176,"µ")+COUNTIF($E176:AC176,1)),
HYPERLINK("#Roadmap!C"&amp; MATCH($E176,Roadmap!$D:$D,0)+COUNTIF($E176:AC176,"u")+COUNTIF($E176:AC176,"t"),
     INDEX(Roadmap!$D:$K,MATCH($E176,Roadmap!$D:$D,0)+COUNTIF($E176:AC176,"u")+COUNTIF($E176:AC176,"t")+COUNTIF($E176:AC176,"¶")+COUNTIF($E176:AC176,"²")+COUNTIF($E176:AC176,"µ")+COUNTIF($E176:AC176,1),ColTypeEcheance)),
  IF(LEN(AC176)=1,
  IF(LEN(INDEX(Roadmap!$D:$K,MATCH($E176,Roadmap!$D:$D,0)-1+COUNTIF($E176:AC176,"u")+COUNTIF($E176:AC176,"t")+COUNTIF($E176:AC176,"¶")+COUNTIF($E176:AC176,"²")+COUNTIF($E176:AC176,"µ")+COUNTIF($E176:AC176,1),ColDescriptionCourte))&gt;1,
HYPERLINK("#Roadmap!C"&amp; MATCH($E176,Roadmap!$D:$D,0)+COUNTIF($E176:AC176,"u")+COUNTIF($E176:AC176,"t")+COUNTIF($E176:AC176,"¶")+COUNTIF($E176:AC176,"²")+COUNTIF($E176:AC176,"µ")+COUNTIF($E176:AC176,1)-1,INDEX(Roadmap!$D:$K,MATCH($E176,Roadmap!$D:$D,0)-1+COUNTIF($E176:AC176,"u")+COUNTIF($E176:AC176,"t")+COUNTIF($E176:AC176,"¶")+COUNTIF($E176:AC176,"²")+COUNTIF($E176:AC176,"µ")+COUNTIF($E176:AC176,1),ColDescriptionCourte)),""),
  "")),"")</f>
        <v/>
      </c>
      <c r="AE176" s="40" t="str">
        <f ca="1">IFERROR(IF(AND(
  INDEX(Roadmap!$D:$K,MATCH($E176,Roadmap!$D:$D,0)+COUNTIF($E176:AD176,"u")+COUNTIF($E176:AD176,"t")+COUNTIF($E176:AD176,"¶")+COUNTIF($E176:AD176,"²")+COUNTIF($E176:AD176,"µ")+COUNTIF($E176:AD176,1),ColLivraison)=AE$6,
  VLOOKUP($E176,INDIRECT("tri!"&amp; CHAR(64+ C0Col) &amp;":"&amp; CHAR(65+C0Col)),2,FALSE)&gt;COUNTIF($E176:AD176,"u")+COUNTIF($E176:AD176,"t")+COUNTIF($E176:AD176,"¶")+COUNTIF($E176:AD176,"²")+COUNTIF($E176:AD176,"µ")+COUNTIF($E176:AD176,1)),
HYPERLINK("#Roadmap!C"&amp; MATCH($E176,Roadmap!$D:$D,0)+COUNTIF($E176:AD176,"u")+COUNTIF($E176:AD176,"t"),
     INDEX(Roadmap!$D:$K,MATCH($E176,Roadmap!$D:$D,0)+COUNTIF($E176:AD176,"u")+COUNTIF($E176:AD176,"t")+COUNTIF($E176:AD176,"¶")+COUNTIF($E176:AD176,"²")+COUNTIF($E176:AD176,"µ")+COUNTIF($E176:AD176,1),ColTypeEcheance)),
  IF(LEN(AD176)=1,
  IF(LEN(INDEX(Roadmap!$D:$K,MATCH($E176,Roadmap!$D:$D,0)-1+COUNTIF($E176:AD176,"u")+COUNTIF($E176:AD176,"t")+COUNTIF($E176:AD176,"¶")+COUNTIF($E176:AD176,"²")+COUNTIF($E176:AD176,"µ")+COUNTIF($E176:AD176,1),ColDescriptionCourte))&gt;1,
HYPERLINK("#Roadmap!C"&amp; MATCH($E176,Roadmap!$D:$D,0)+COUNTIF($E176:AD176,"u")+COUNTIF($E176:AD176,"t")+COUNTIF($E176:AD176,"¶")+COUNTIF($E176:AD176,"²")+COUNTIF($E176:AD176,"µ")+COUNTIF($E176:AD176,1)-1,INDEX(Roadmap!$D:$K,MATCH($E176,Roadmap!$D:$D,0)-1+COUNTIF($E176:AD176,"u")+COUNTIF($E176:AD176,"t")+COUNTIF($E176:AD176,"¶")+COUNTIF($E176:AD176,"²")+COUNTIF($E176:AD176,"µ")+COUNTIF($E176:AD176,1),ColDescriptionCourte)),""),
  "")),"")</f>
        <v/>
      </c>
      <c r="AF176" s="40" t="str">
        <f ca="1">IFERROR(IF(AND(
  INDEX(Roadmap!$D:$K,MATCH($E176,Roadmap!$D:$D,0)+COUNTIF($E176:AE176,"u")+COUNTIF($E176:AE176,"t")+COUNTIF($E176:AE176,"¶")+COUNTIF($E176:AE176,"²")+COUNTIF($E176:AE176,"µ")+COUNTIF($E176:AE176,1),ColLivraison)=AF$6,
  VLOOKUP($E176,INDIRECT("tri!"&amp; CHAR(64+ C0Col) &amp;":"&amp; CHAR(65+C0Col)),2,FALSE)&gt;COUNTIF($E176:AE176,"u")+COUNTIF($E176:AE176,"t")+COUNTIF($E176:AE176,"¶")+COUNTIF($E176:AE176,"²")+COUNTIF($E176:AE176,"µ")+COUNTIF($E176:AE176,1)),
HYPERLINK("#Roadmap!C"&amp; MATCH($E176,Roadmap!$D:$D,0)+COUNTIF($E176:AE176,"u")+COUNTIF($E176:AE176,"t"),
     INDEX(Roadmap!$D:$K,MATCH($E176,Roadmap!$D:$D,0)+COUNTIF($E176:AE176,"u")+COUNTIF($E176:AE176,"t")+COUNTIF($E176:AE176,"¶")+COUNTIF($E176:AE176,"²")+COUNTIF($E176:AE176,"µ")+COUNTIF($E176:AE176,1),ColTypeEcheance)),
  IF(LEN(AE176)=1,
  IF(LEN(INDEX(Roadmap!$D:$K,MATCH($E176,Roadmap!$D:$D,0)-1+COUNTIF($E176:AE176,"u")+COUNTIF($E176:AE176,"t")+COUNTIF($E176:AE176,"¶")+COUNTIF($E176:AE176,"²")+COUNTIF($E176:AE176,"µ")+COUNTIF($E176:AE176,1),ColDescriptionCourte))&gt;1,
HYPERLINK("#Roadmap!C"&amp; MATCH($E176,Roadmap!$D:$D,0)+COUNTIF($E176:AE176,"u")+COUNTIF($E176:AE176,"t")+COUNTIF($E176:AE176,"¶")+COUNTIF($E176:AE176,"²")+COUNTIF($E176:AE176,"µ")+COUNTIF($E176:AE176,1)-1,INDEX(Roadmap!$D:$K,MATCH($E176,Roadmap!$D:$D,0)-1+COUNTIF($E176:AE176,"u")+COUNTIF($E176:AE176,"t")+COUNTIF($E176:AE176,"¶")+COUNTIF($E176:AE176,"²")+COUNTIF($E176:AE176,"µ")+COUNTIF($E176:AE176,1),ColDescriptionCourte)),""),
  "")),"")</f>
        <v/>
      </c>
      <c r="AG176" s="40" t="str">
        <f ca="1">IFERROR(IF(AND(
  INDEX(Roadmap!$D:$K,MATCH($E176,Roadmap!$D:$D,0)+COUNTIF($E176:AF176,"u")+COUNTIF($E176:AF176,"t")+COUNTIF($E176:AF176,"¶")+COUNTIF($E176:AF176,"²")+COUNTIF($E176:AF176,"µ")+COUNTIF($E176:AF176,1),ColLivraison)=AG$6,
  VLOOKUP($E176,INDIRECT("tri!"&amp; CHAR(64+ C0Col) &amp;":"&amp; CHAR(65+C0Col)),2,FALSE)&gt;COUNTIF($E176:AF176,"u")+COUNTIF($E176:AF176,"t")+COUNTIF($E176:AF176,"¶")+COUNTIF($E176:AF176,"²")+COUNTIF($E176:AF176,"µ")+COUNTIF($E176:AF176,1)),
HYPERLINK("#Roadmap!C"&amp; MATCH($E176,Roadmap!$D:$D,0)+COUNTIF($E176:AF176,"u")+COUNTIF($E176:AF176,"t"),
     INDEX(Roadmap!$D:$K,MATCH($E176,Roadmap!$D:$D,0)+COUNTIF($E176:AF176,"u")+COUNTIF($E176:AF176,"t")+COUNTIF($E176:AF176,"¶")+COUNTIF($E176:AF176,"²")+COUNTIF($E176:AF176,"µ")+COUNTIF($E176:AF176,1),ColTypeEcheance)),
  IF(LEN(AF176)=1,
  IF(LEN(INDEX(Roadmap!$D:$K,MATCH($E176,Roadmap!$D:$D,0)-1+COUNTIF($E176:AF176,"u")+COUNTIF($E176:AF176,"t")+COUNTIF($E176:AF176,"¶")+COUNTIF($E176:AF176,"²")+COUNTIF($E176:AF176,"µ")+COUNTIF($E176:AF176,1),ColDescriptionCourte))&gt;1,
HYPERLINK("#Roadmap!C"&amp; MATCH($E176,Roadmap!$D:$D,0)+COUNTIF($E176:AF176,"u")+COUNTIF($E176:AF176,"t")+COUNTIF($E176:AF176,"¶")+COUNTIF($E176:AF176,"²")+COUNTIF($E176:AF176,"µ")+COUNTIF($E176:AF176,1)-1,INDEX(Roadmap!$D:$K,MATCH($E176,Roadmap!$D:$D,0)-1+COUNTIF($E176:AF176,"u")+COUNTIF($E176:AF176,"t")+COUNTIF($E176:AF176,"¶")+COUNTIF($E176:AF176,"²")+COUNTIF($E176:AF176,"µ")+COUNTIF($E176:AF176,1),ColDescriptionCourte)),""),
  "")),"")</f>
        <v/>
      </c>
      <c r="AH176" s="40" t="str">
        <f ca="1">IFERROR(IF(AND(
  INDEX(Roadmap!$D:$K,MATCH($E176,Roadmap!$D:$D,0)+COUNTIF($E176:AG176,"u")+COUNTIF($E176:AG176,"t")+COUNTIF($E176:AG176,1),ColLivraison)=AH$6,
  VLOOKUP($E176,INDIRECT("tri!"&amp; CHAR(64+ C0Col) &amp;":"&amp; CHAR(65+C0Col)),2,FALSE)&gt;COUNTIF($E176:AG176,"u")+COUNTIF($E176:AG176,"t")+COUNTIF($E176:AG176,1)),
HYPERLINK("#Roadmap!C"&amp; MATCH($E176,Roadmap!$D:$D,0)+COUNTIF($E176:AG176,"u")+COUNTIF($E176:AG176,"t"),
     INDEX(Roadmap!$D:$K,MATCH($E176,Roadmap!$D:$D,0)+COUNTIF($E176:AG176,"u")+COUNTIF($E176:AG176,"t")+COUNTIF($E176:AG176,1),ColTypeEcheance)),
  IF(OR(AG176="u",AG176="t",AG176=1),
  IF(LEN(INDEX(Roadmap!$D:$K,MATCH($E176,Roadmap!$D:$D,0)-1+COUNTIF($E176:AG176,"u")+COUNTIF($E176:AG176,"t")+COUNTIF($E176:AG176,1),ColDescriptionCourte))&gt;1,
HYPERLINK("#Roadmap!C"&amp; MATCH($E176,Roadmap!$D:$D,0)+COUNTIF($E176:AG176,"u")+COUNTIF($E176:AG176,"t")+COUNTIF($E176:AG176,1)-1,INDEX(Roadmap!$D:$K,MATCH($E176,Roadmap!$D:$D,0)-1+COUNTIF($E176:AG176,"u")+COUNTIF($E176:AG176,"t")+COUNTIF($E176:AG176,1),ColDescriptionCourte)),""),
  "")),"")</f>
        <v/>
      </c>
      <c r="AI176" s="40"/>
      <c r="AJ176" s="40"/>
      <c r="AK176" s="40"/>
      <c r="AL176" s="40"/>
      <c r="AM176" s="40"/>
    </row>
    <row r="177" spans="4:39" ht="14.1" customHeight="1">
      <c r="D177" s="20" t="str">
        <f t="shared" ca="1" si="31"/>
        <v/>
      </c>
      <c r="E177" s="53" t="str">
        <f t="shared" ca="1" si="32"/>
        <v/>
      </c>
      <c r="F177" s="39" t="str">
        <f ca="1">IFERROR(IF(AND(
  INDEX(Roadmap!$D:$K,MATCH($E177,Roadmap!$D:$D,0)+COUNTIF($E177:E177,"u")+COUNTIF($E177:E177,"t")+COUNTIF($E177:E177,"¶")+COUNTIF($E177:E177,"²")+COUNTIF($E177:E177,"µ")+COUNTIF($E177:E177,1),ColLivraison)=F$6,
  VLOOKUP($E177,INDIRECT("tri!"&amp; CHAR(64+ C0Col) &amp;":"&amp; CHAR(65+C0Col)),2,FALSE)&gt;COUNTIF($E177:E177,"u")+COUNTIF($E177:E177,"t")+COUNTIF($E177:E177,"¶")+COUNTIF($E177:E177,"²")+COUNTIF($E177:E177,"µ")+COUNTIF($E177:E177,1)),
HYPERLINK("#Roadmap!C"&amp; MATCH($E177,Roadmap!$D:$D,0)+COUNTIF($E177:E177,"u")+COUNTIF($E177:E177,"t"),
     INDEX(Roadmap!$D:$K,MATCH($E177,Roadmap!$D:$D,0)+COUNTIF($E177:E177,"u")+COUNTIF($E177:E177,"t")+COUNTIF($E177:E177,"¶")+COUNTIF($E177:E177,"²")+COUNTIF($E177:E177,"µ")+COUNTIF($E177:E177,1),ColTypeEcheance)),
  IF(LEN(E177)=1,
  IF(LEN(INDEX(Roadmap!$D:$K,MATCH($E177,Roadmap!$D:$D,0)-1+COUNTIF($E177:E177,"u")+COUNTIF($E177:E177,"t")+COUNTIF($E177:E177,"¶")+COUNTIF($E177:E177,"²")+COUNTIF($E177:E177,"µ")+COUNTIF($E177:E177,1),ColDescriptionCourte))&gt;1,
HYPERLINK("#Roadmap!C"&amp; MATCH($E177,Roadmap!$D:$D,0)+COUNTIF($E177:E177,"u")+COUNTIF($E177:E177,"t")+COUNTIF($E177:E177,"¶")+COUNTIF($E177:E177,"²")+COUNTIF($E177:E177,"µ")+COUNTIF($E177:E177,1)-1,INDEX(Roadmap!$D:$K,MATCH($E177,Roadmap!$D:$D,0)-1+COUNTIF($E177:E177,"u")+COUNTIF($E177:E177,"t")+COUNTIF($E177:E177,"¶")+COUNTIF($E177:E177,"²")+COUNTIF($E177:E177,"µ")+COUNTIF($E177:E177,1),ColDescriptionCourte)),""),
  "")),"")</f>
        <v/>
      </c>
      <c r="G177" s="40" t="str">
        <f ca="1">IFERROR(IF(AND(
  INDEX(Roadmap!$D:$K,MATCH($E177,Roadmap!$D:$D,0)+COUNTIF($E177:F177,"u")+COUNTIF($E177:F177,"t")+COUNTIF($E177:F177,"¶")+COUNTIF($E177:F177,"²")+COUNTIF($E177:F177,"µ")+COUNTIF($E177:F177,1),ColLivraison)=G$6,
  VLOOKUP($E177,INDIRECT("tri!"&amp; CHAR(64+ C0Col) &amp;":"&amp; CHAR(65+C0Col)),2,FALSE)&gt;COUNTIF($E177:F177,"u")+COUNTIF($E177:F177,"t")+COUNTIF($E177:F177,"¶")+COUNTIF($E177:F177,"²")+COUNTIF($E177:F177,"µ")+COUNTIF($E177:F177,1)),
HYPERLINK("#Roadmap!C"&amp; MATCH($E177,Roadmap!$D:$D,0)+COUNTIF($E177:F177,"u")+COUNTIF($E177:F177,"t"),
     INDEX(Roadmap!$D:$K,MATCH($E177,Roadmap!$D:$D,0)+COUNTIF($E177:F177,"u")+COUNTIF($E177:F177,"t")+COUNTIF($E177:F177,"¶")+COUNTIF($E177:F177,"²")+COUNTIF($E177:F177,"µ")+COUNTIF($E177:F177,1),ColTypeEcheance)),
  IF(LEN(F177)=1,
  IF(LEN(INDEX(Roadmap!$D:$K,MATCH($E177,Roadmap!$D:$D,0)-1+COUNTIF($E177:F177,"u")+COUNTIF($E177:F177,"t")+COUNTIF($E177:F177,"¶")+COUNTIF($E177:F177,"²")+COUNTIF($E177:F177,"µ")+COUNTIF($E177:F177,1),ColDescriptionCourte))&gt;1,
HYPERLINK("#Roadmap!C"&amp; MATCH($E177,Roadmap!$D:$D,0)+COUNTIF($E177:F177,"u")+COUNTIF($E177:F177,"t")+COUNTIF($E177:F177,"¶")+COUNTIF($E177:F177,"²")+COUNTIF($E177:F177,"µ")+COUNTIF($E177:F177,1)-1,INDEX(Roadmap!$D:$K,MATCH($E177,Roadmap!$D:$D,0)-1+COUNTIF($E177:F177,"u")+COUNTIF($E177:F177,"t")+COUNTIF($E177:F177,"¶")+COUNTIF($E177:F177,"²")+COUNTIF($E177:F177,"µ")+COUNTIF($E177:F177,1),ColDescriptionCourte)),""),
  "")),"")</f>
        <v/>
      </c>
      <c r="H177" s="40" t="str">
        <f ca="1">IFERROR(IF(AND(
  INDEX(Roadmap!$D:$K,MATCH($E177,Roadmap!$D:$D,0)+COUNTIF($E177:G177,"u")+COUNTIF($E177:G177,"t")+COUNTIF($E177:G177,"¶")+COUNTIF($E177:G177,"²")+COUNTIF($E177:G177,"µ")+COUNTIF($E177:G177,1),ColLivraison)=H$6,
  VLOOKUP($E177,INDIRECT("tri!"&amp; CHAR(64+ C0Col) &amp;":"&amp; CHAR(65+C0Col)),2,FALSE)&gt;COUNTIF($E177:G177,"u")+COUNTIF($E177:G177,"t")+COUNTIF($E177:G177,"¶")+COUNTIF($E177:G177,"²")+COUNTIF($E177:G177,"µ")+COUNTIF($E177:G177,1)),
HYPERLINK("#Roadmap!C"&amp; MATCH($E177,Roadmap!$D:$D,0)+COUNTIF($E177:G177,"u")+COUNTIF($E177:G177,"t"),
     INDEX(Roadmap!$D:$K,MATCH($E177,Roadmap!$D:$D,0)+COUNTIF($E177:G177,"u")+COUNTIF($E177:G177,"t")+COUNTIF($E177:G177,"¶")+COUNTIF($E177:G177,"²")+COUNTIF($E177:G177,"µ")+COUNTIF($E177:G177,1),ColTypeEcheance)),
  IF(LEN(G177)=1,
  IF(LEN(INDEX(Roadmap!$D:$K,MATCH($E177,Roadmap!$D:$D,0)-1+COUNTIF($E177:G177,"u")+COUNTIF($E177:G177,"t")+COUNTIF($E177:G177,"¶")+COUNTIF($E177:G177,"²")+COUNTIF($E177:G177,"µ")+COUNTIF($E177:G177,1),ColDescriptionCourte))&gt;1,
HYPERLINK("#Roadmap!C"&amp; MATCH($E177,Roadmap!$D:$D,0)+COUNTIF($E177:G177,"u")+COUNTIF($E177:G177,"t")+COUNTIF($E177:G177,"¶")+COUNTIF($E177:G177,"²")+COUNTIF($E177:G177,"µ")+COUNTIF($E177:G177,1)-1,INDEX(Roadmap!$D:$K,MATCH($E177,Roadmap!$D:$D,0)-1+COUNTIF($E177:G177,"u")+COUNTIF($E177:G177,"t")+COUNTIF($E177:G177,"¶")+COUNTIF($E177:G177,"²")+COUNTIF($E177:G177,"µ")+COUNTIF($E177:G177,1),ColDescriptionCourte)),""),
  "")),"")</f>
        <v/>
      </c>
      <c r="I177" s="40" t="str">
        <f ca="1">IFERROR(IF(AND(
  INDEX(Roadmap!$D:$K,MATCH($E177,Roadmap!$D:$D,0)+COUNTIF($E177:H177,"u")+COUNTIF($E177:H177,"t")+COUNTIF($E177:H177,"¶")+COUNTIF($E177:H177,"²")+COUNTIF($E177:H177,"µ")+COUNTIF($E177:H177,1),ColLivraison)=I$6,
  VLOOKUP($E177,INDIRECT("tri!"&amp; CHAR(64+ C0Col) &amp;":"&amp; CHAR(65+C0Col)),2,FALSE)&gt;COUNTIF($E177:H177,"u")+COUNTIF($E177:H177,"t")+COUNTIF($E177:H177,"¶")+COUNTIF($E177:H177,"²")+COUNTIF($E177:H177,"µ")+COUNTIF($E177:H177,1)),
HYPERLINK("#Roadmap!C"&amp; MATCH($E177,Roadmap!$D:$D,0)+COUNTIF($E177:H177,"u")+COUNTIF($E177:H177,"t"),
     INDEX(Roadmap!$D:$K,MATCH($E177,Roadmap!$D:$D,0)+COUNTIF($E177:H177,"u")+COUNTIF($E177:H177,"t")+COUNTIF($E177:H177,"¶")+COUNTIF($E177:H177,"²")+COUNTIF($E177:H177,"µ")+COUNTIF($E177:H177,1),ColTypeEcheance)),
  IF(LEN(H177)=1,
  IF(LEN(INDEX(Roadmap!$D:$K,MATCH($E177,Roadmap!$D:$D,0)-1+COUNTIF($E177:H177,"u")+COUNTIF($E177:H177,"t")+COUNTIF($E177:H177,"¶")+COUNTIF($E177:H177,"²")+COUNTIF($E177:H177,"µ")+COUNTIF($E177:H177,1),ColDescriptionCourte))&gt;1,
HYPERLINK("#Roadmap!C"&amp; MATCH($E177,Roadmap!$D:$D,0)+COUNTIF($E177:H177,"u")+COUNTIF($E177:H177,"t")+COUNTIF($E177:H177,"¶")+COUNTIF($E177:H177,"²")+COUNTIF($E177:H177,"µ")+COUNTIF($E177:H177,1)-1,INDEX(Roadmap!$D:$K,MATCH($E177,Roadmap!$D:$D,0)-1+COUNTIF($E177:H177,"u")+COUNTIF($E177:H177,"t")+COUNTIF($E177:H177,"¶")+COUNTIF($E177:H177,"²")+COUNTIF($E177:H177,"µ")+COUNTIF($E177:H177,1),ColDescriptionCourte)),""),
  "")),"")</f>
        <v/>
      </c>
      <c r="J177" s="40" t="str">
        <f ca="1">IFERROR(IF(AND(
  INDEX(Roadmap!$D:$K,MATCH($E177,Roadmap!$D:$D,0)+COUNTIF($E177:I177,"u")+COUNTIF($E177:I177,"t")+COUNTIF($E177:I177,"¶")+COUNTIF($E177:I177,"²")+COUNTIF($E177:I177,"µ")+COUNTIF($E177:I177,1),ColLivraison)=J$6,
  VLOOKUP($E177,INDIRECT("tri!"&amp; CHAR(64+ C0Col) &amp;":"&amp; CHAR(65+C0Col)),2,FALSE)&gt;COUNTIF($E177:I177,"u")+COUNTIF($E177:I177,"t")+COUNTIF($E177:I177,"¶")+COUNTIF($E177:I177,"²")+COUNTIF($E177:I177,"µ")+COUNTIF($E177:I177,1)),
HYPERLINK("#Roadmap!C"&amp; MATCH($E177,Roadmap!$D:$D,0)+COUNTIF($E177:I177,"u")+COUNTIF($E177:I177,"t"),
     INDEX(Roadmap!$D:$K,MATCH($E177,Roadmap!$D:$D,0)+COUNTIF($E177:I177,"u")+COUNTIF($E177:I177,"t")+COUNTIF($E177:I177,"¶")+COUNTIF($E177:I177,"²")+COUNTIF($E177:I177,"µ")+COUNTIF($E177:I177,1),ColTypeEcheance)),
  IF(LEN(I177)=1,
  IF(LEN(INDEX(Roadmap!$D:$K,MATCH($E177,Roadmap!$D:$D,0)-1+COUNTIF($E177:I177,"u")+COUNTIF($E177:I177,"t")+COUNTIF($E177:I177,"¶")+COUNTIF($E177:I177,"²")+COUNTIF($E177:I177,"µ")+COUNTIF($E177:I177,1),ColDescriptionCourte))&gt;1,
HYPERLINK("#Roadmap!C"&amp; MATCH($E177,Roadmap!$D:$D,0)+COUNTIF($E177:I177,"u")+COUNTIF($E177:I177,"t")+COUNTIF($E177:I177,"¶")+COUNTIF($E177:I177,"²")+COUNTIF($E177:I177,"µ")+COUNTIF($E177:I177,1)-1,INDEX(Roadmap!$D:$K,MATCH($E177,Roadmap!$D:$D,0)-1+COUNTIF($E177:I177,"u")+COUNTIF($E177:I177,"t")+COUNTIF($E177:I177,"¶")+COUNTIF($E177:I177,"²")+COUNTIF($E177:I177,"µ")+COUNTIF($E177:I177,1),ColDescriptionCourte)),""),
  "")),"")</f>
        <v/>
      </c>
      <c r="K177" s="40" t="str">
        <f ca="1">IFERROR(IF(AND(
  INDEX(Roadmap!$D:$K,MATCH($E177,Roadmap!$D:$D,0)+COUNTIF($E177:J177,"u")+COUNTIF($E177:J177,"t")+COUNTIF($E177:J177,"¶")+COUNTIF($E177:J177,"²")+COUNTIF($E177:J177,"µ")+COUNTIF($E177:J177,1),ColLivraison)=K$6,
  VLOOKUP($E177,INDIRECT("tri!"&amp; CHAR(64+ C0Col) &amp;":"&amp; CHAR(65+C0Col)),2,FALSE)&gt;COUNTIF($E177:J177,"u")+COUNTIF($E177:J177,"t")+COUNTIF($E177:J177,"¶")+COUNTIF($E177:J177,"²")+COUNTIF($E177:J177,"µ")+COUNTIF($E177:J177,1)),
HYPERLINK("#Roadmap!C"&amp; MATCH($E177,Roadmap!$D:$D,0)+COUNTIF($E177:J177,"u")+COUNTIF($E177:J177,"t"),
     INDEX(Roadmap!$D:$K,MATCH($E177,Roadmap!$D:$D,0)+COUNTIF($E177:J177,"u")+COUNTIF($E177:J177,"t")+COUNTIF($E177:J177,"¶")+COUNTIF($E177:J177,"²")+COUNTIF($E177:J177,"µ")+COUNTIF($E177:J177,1),ColTypeEcheance)),
  IF(LEN(J177)=1,
  IF(LEN(INDEX(Roadmap!$D:$K,MATCH($E177,Roadmap!$D:$D,0)-1+COUNTIF($E177:J177,"u")+COUNTIF($E177:J177,"t")+COUNTIF($E177:J177,"¶")+COUNTIF($E177:J177,"²")+COUNTIF($E177:J177,"µ")+COUNTIF($E177:J177,1),ColDescriptionCourte))&gt;1,
HYPERLINK("#Roadmap!C"&amp; MATCH($E177,Roadmap!$D:$D,0)+COUNTIF($E177:J177,"u")+COUNTIF($E177:J177,"t")+COUNTIF($E177:J177,"¶")+COUNTIF($E177:J177,"²")+COUNTIF($E177:J177,"µ")+COUNTIF($E177:J177,1)-1,INDEX(Roadmap!$D:$K,MATCH($E177,Roadmap!$D:$D,0)-1+COUNTIF($E177:J177,"u")+COUNTIF($E177:J177,"t")+COUNTIF($E177:J177,"¶")+COUNTIF($E177:J177,"²")+COUNTIF($E177:J177,"µ")+COUNTIF($E177:J177,1),ColDescriptionCourte)),""),
  "")),"")</f>
        <v/>
      </c>
      <c r="L177" s="39" t="str">
        <f ca="1">IFERROR(IF(AND(
  INDEX(Roadmap!$D:$K,MATCH($E177,Roadmap!$D:$D,0)+COUNTIF($E177:K177,"u")+COUNTIF($E177:K177,"t")+COUNTIF($E177:K177,"¶")+COUNTIF($E177:K177,"²")+COUNTIF($E177:K177,"µ")+COUNTIF($E177:K177,1),ColLivraison)=L$6,
  VLOOKUP($E177,INDIRECT("tri!"&amp; CHAR(64+ C0Col) &amp;":"&amp; CHAR(65+C0Col)),2,FALSE)&gt;COUNTIF($E177:K177,"u")+COUNTIF($E177:K177,"t")+COUNTIF($E177:K177,"¶")+COUNTIF($E177:K177,"²")+COUNTIF($E177:K177,"µ")+COUNTIF($E177:K177,1)),
HYPERLINK("#Roadmap!C"&amp; MATCH($E177,Roadmap!$D:$D,0)+COUNTIF($E177:K177,"u")+COUNTIF($E177:K177,"t"),
     INDEX(Roadmap!$D:$K,MATCH($E177,Roadmap!$D:$D,0)+COUNTIF($E177:K177,"u")+COUNTIF($E177:K177,"t")+COUNTIF($E177:K177,"¶")+COUNTIF($E177:K177,"²")+COUNTIF($E177:K177,"µ")+COUNTIF($E177:K177,1),ColTypeEcheance)),
  IF(LEN(K177)=1,
  IF(LEN(INDEX(Roadmap!$D:$K,MATCH($E177,Roadmap!$D:$D,0)-1+COUNTIF($E177:K177,"u")+COUNTIF($E177:K177,"t")+COUNTIF($E177:K177,"¶")+COUNTIF($E177:K177,"²")+COUNTIF($E177:K177,"µ")+COUNTIF($E177:K177,1),ColDescriptionCourte))&gt;1,
HYPERLINK("#Roadmap!C"&amp; MATCH($E177,Roadmap!$D:$D,0)+COUNTIF($E177:K177,"u")+COUNTIF($E177:K177,"t")+COUNTIF($E177:K177,"¶")+COUNTIF($E177:K177,"²")+COUNTIF($E177:K177,"µ")+COUNTIF($E177:K177,1)-1,INDEX(Roadmap!$D:$K,MATCH($E177,Roadmap!$D:$D,0)-1+COUNTIF($E177:K177,"u")+COUNTIF($E177:K177,"t")+COUNTIF($E177:K177,"¶")+COUNTIF($E177:K177,"²")+COUNTIF($E177:K177,"µ")+COUNTIF($E177:K177,1),ColDescriptionCourte)),""),
  "")),"")</f>
        <v/>
      </c>
      <c r="M177" s="40" t="str">
        <f ca="1">IFERROR(IF(AND(
  INDEX(Roadmap!$D:$K,MATCH($E177,Roadmap!$D:$D,0)+COUNTIF($E177:L177,"u")+COUNTIF($E177:L177,"t")+COUNTIF($E177:L177,"¶")+COUNTIF($E177:L177,"²")+COUNTIF($E177:L177,"µ")+COUNTIF($E177:L177,1),ColLivraison)=M$6,
  VLOOKUP($E177,INDIRECT("tri!"&amp; CHAR(64+ C0Col) &amp;":"&amp; CHAR(65+C0Col)),2,FALSE)&gt;COUNTIF($E177:L177,"u")+COUNTIF($E177:L177,"t")+COUNTIF($E177:L177,"¶")+COUNTIF($E177:L177,"²")+COUNTIF($E177:L177,"µ")+COUNTIF($E177:L177,1)),
HYPERLINK("#Roadmap!C"&amp; MATCH($E177,Roadmap!$D:$D,0)+COUNTIF($E177:L177,"u")+COUNTIF($E177:L177,"t"),
     INDEX(Roadmap!$D:$K,MATCH($E177,Roadmap!$D:$D,0)+COUNTIF($E177:L177,"u")+COUNTIF($E177:L177,"t")+COUNTIF($E177:L177,"¶")+COUNTIF($E177:L177,"²")+COUNTIF($E177:L177,"µ")+COUNTIF($E177:L177,1),ColTypeEcheance)),
  IF(LEN(L177)=1,
  IF(LEN(INDEX(Roadmap!$D:$K,MATCH($E177,Roadmap!$D:$D,0)-1+COUNTIF($E177:L177,"u")+COUNTIF($E177:L177,"t")+COUNTIF($E177:L177,"¶")+COUNTIF($E177:L177,"²")+COUNTIF($E177:L177,"µ")+COUNTIF($E177:L177,1),ColDescriptionCourte))&gt;1,
HYPERLINK("#Roadmap!C"&amp; MATCH($E177,Roadmap!$D:$D,0)+COUNTIF($E177:L177,"u")+COUNTIF($E177:L177,"t")+COUNTIF($E177:L177,"¶")+COUNTIF($E177:L177,"²")+COUNTIF($E177:L177,"µ")+COUNTIF($E177:L177,1)-1,INDEX(Roadmap!$D:$K,MATCH($E177,Roadmap!$D:$D,0)-1+COUNTIF($E177:L177,"u")+COUNTIF($E177:L177,"t")+COUNTIF($E177:L177,"¶")+COUNTIF($E177:L177,"²")+COUNTIF($E177:L177,"µ")+COUNTIF($E177:L177,1),ColDescriptionCourte)),""),
  "")),"")</f>
        <v/>
      </c>
      <c r="N177" s="40" t="str">
        <f ca="1">IFERROR(IF(AND(
  INDEX(Roadmap!$D:$K,MATCH($E177,Roadmap!$D:$D,0)+COUNTIF($E177:M177,"u")+COUNTIF($E177:M177,"t")+COUNTIF($E177:M177,"¶")+COUNTIF($E177:M177,"²")+COUNTIF($E177:M177,"µ")+COUNTIF($E177:M177,1),ColLivraison)=N$6,
  VLOOKUP($E177,INDIRECT("tri!"&amp; CHAR(64+ C0Col) &amp;":"&amp; CHAR(65+C0Col)),2,FALSE)&gt;COUNTIF($E177:M177,"u")+COUNTIF($E177:M177,"t")+COUNTIF($E177:M177,"¶")+COUNTIF($E177:M177,"²")+COUNTIF($E177:M177,"µ")+COUNTIF($E177:M177,1)),
HYPERLINK("#Roadmap!C"&amp; MATCH($E177,Roadmap!$D:$D,0)+COUNTIF($E177:M177,"u")+COUNTIF($E177:M177,"t"),
     INDEX(Roadmap!$D:$K,MATCH($E177,Roadmap!$D:$D,0)+COUNTIF($E177:M177,"u")+COUNTIF($E177:M177,"t")+COUNTIF($E177:M177,"¶")+COUNTIF($E177:M177,"²")+COUNTIF($E177:M177,"µ")+COUNTIF($E177:M177,1),ColTypeEcheance)),
  IF(LEN(M177)=1,
  IF(LEN(INDEX(Roadmap!$D:$K,MATCH($E177,Roadmap!$D:$D,0)-1+COUNTIF($E177:M177,"u")+COUNTIF($E177:M177,"t")+COUNTIF($E177:M177,"¶")+COUNTIF($E177:M177,"²")+COUNTIF($E177:M177,"µ")+COUNTIF($E177:M177,1),ColDescriptionCourte))&gt;1,
HYPERLINK("#Roadmap!C"&amp; MATCH($E177,Roadmap!$D:$D,0)+COUNTIF($E177:M177,"u")+COUNTIF($E177:M177,"t")+COUNTIF($E177:M177,"¶")+COUNTIF($E177:M177,"²")+COUNTIF($E177:M177,"µ")+COUNTIF($E177:M177,1)-1,INDEX(Roadmap!$D:$K,MATCH($E177,Roadmap!$D:$D,0)-1+COUNTIF($E177:M177,"u")+COUNTIF($E177:M177,"t")+COUNTIF($E177:M177,"¶")+COUNTIF($E177:M177,"²")+COUNTIF($E177:M177,"µ")+COUNTIF($E177:M177,1),ColDescriptionCourte)),""),
  "")),"")</f>
        <v/>
      </c>
      <c r="O177" s="40" t="str">
        <f ca="1">IFERROR(IF(AND(
  INDEX(Roadmap!$D:$K,MATCH($E177,Roadmap!$D:$D,0)+COUNTIF($E177:N177,"u")+COUNTIF($E177:N177,"t")+COUNTIF($E177:N177,"¶")+COUNTIF($E177:N177,"²")+COUNTIF($E177:N177,"µ")+COUNTIF($E177:N177,1),ColLivraison)=O$6,
  VLOOKUP($E177,INDIRECT("tri!"&amp; CHAR(64+ C0Col) &amp;":"&amp; CHAR(65+C0Col)),2,FALSE)&gt;COUNTIF($E177:N177,"u")+COUNTIF($E177:N177,"t")+COUNTIF($E177:N177,"¶")+COUNTIF($E177:N177,"²")+COUNTIF($E177:N177,"µ")+COUNTIF($E177:N177,1)),
HYPERLINK("#Roadmap!C"&amp; MATCH($E177,Roadmap!$D:$D,0)+COUNTIF($E177:N177,"u")+COUNTIF($E177:N177,"t"),
     INDEX(Roadmap!$D:$K,MATCH($E177,Roadmap!$D:$D,0)+COUNTIF($E177:N177,"u")+COUNTIF($E177:N177,"t")+COUNTIF($E177:N177,"¶")+COUNTIF($E177:N177,"²")+COUNTIF($E177:N177,"µ")+COUNTIF($E177:N177,1),ColTypeEcheance)),
  IF(LEN(N177)=1,
  IF(LEN(INDEX(Roadmap!$D:$K,MATCH($E177,Roadmap!$D:$D,0)-1+COUNTIF($E177:N177,"u")+COUNTIF($E177:N177,"t")+COUNTIF($E177:N177,"¶")+COUNTIF($E177:N177,"²")+COUNTIF($E177:N177,"µ")+COUNTIF($E177:N177,1),ColDescriptionCourte))&gt;1,
HYPERLINK("#Roadmap!C"&amp; MATCH($E177,Roadmap!$D:$D,0)+COUNTIF($E177:N177,"u")+COUNTIF($E177:N177,"t")+COUNTIF($E177:N177,"¶")+COUNTIF($E177:N177,"²")+COUNTIF($E177:N177,"µ")+COUNTIF($E177:N177,1)-1,INDEX(Roadmap!$D:$K,MATCH($E177,Roadmap!$D:$D,0)-1+COUNTIF($E177:N177,"u")+COUNTIF($E177:N177,"t")+COUNTIF($E177:N177,"¶")+COUNTIF($E177:N177,"²")+COUNTIF($E177:N177,"µ")+COUNTIF($E177:N177,1),ColDescriptionCourte)),""),
  "")),"")</f>
        <v/>
      </c>
      <c r="P177" s="40" t="str">
        <f ca="1">IFERROR(IF(AND(
  INDEX(Roadmap!$D:$K,MATCH($E177,Roadmap!$D:$D,0)+COUNTIF($E177:O177,"u")+COUNTIF($E177:O177,"t")+COUNTIF($E177:O177,"¶")+COUNTIF($E177:O177,"²")+COUNTIF($E177:O177,"µ")+COUNTIF($E177:O177,1),ColLivraison)=P$6,
  VLOOKUP($E177,INDIRECT("tri!"&amp; CHAR(64+ C0Col) &amp;":"&amp; CHAR(65+C0Col)),2,FALSE)&gt;COUNTIF($E177:O177,"u")+COUNTIF($E177:O177,"t")+COUNTIF($E177:O177,"¶")+COUNTIF($E177:O177,"²")+COUNTIF($E177:O177,"µ")+COUNTIF($E177:O177,1)),
HYPERLINK("#Roadmap!C"&amp; MATCH($E177,Roadmap!$D:$D,0)+COUNTIF($E177:O177,"u")+COUNTIF($E177:O177,"t"),
     INDEX(Roadmap!$D:$K,MATCH($E177,Roadmap!$D:$D,0)+COUNTIF($E177:O177,"u")+COUNTIF($E177:O177,"t")+COUNTIF($E177:O177,"¶")+COUNTIF($E177:O177,"²")+COUNTIF($E177:O177,"µ")+COUNTIF($E177:O177,1),ColTypeEcheance)),
  IF(LEN(O177)=1,
  IF(LEN(INDEX(Roadmap!$D:$K,MATCH($E177,Roadmap!$D:$D,0)-1+COUNTIF($E177:O177,"u")+COUNTIF($E177:O177,"t")+COUNTIF($E177:O177,"¶")+COUNTIF($E177:O177,"²")+COUNTIF($E177:O177,"µ")+COUNTIF($E177:O177,1),ColDescriptionCourte))&gt;1,
HYPERLINK("#Roadmap!C"&amp; MATCH($E177,Roadmap!$D:$D,0)+COUNTIF($E177:O177,"u")+COUNTIF($E177:O177,"t")+COUNTIF($E177:O177,"¶")+COUNTIF($E177:O177,"²")+COUNTIF($E177:O177,"µ")+COUNTIF($E177:O177,1)-1,INDEX(Roadmap!$D:$K,MATCH($E177,Roadmap!$D:$D,0)-1+COUNTIF($E177:O177,"u")+COUNTIF($E177:O177,"t")+COUNTIF($E177:O177,"¶")+COUNTIF($E177:O177,"²")+COUNTIF($E177:O177,"µ")+COUNTIF($E177:O177,1),ColDescriptionCourte)),""),
  "")),"")</f>
        <v/>
      </c>
      <c r="Q177" s="40" t="str">
        <f ca="1">IFERROR(IF(AND(
  INDEX(Roadmap!$D:$K,MATCH($E177,Roadmap!$D:$D,0)+COUNTIF($E177:P177,"u")+COUNTIF($E177:P177,"t")+COUNTIF($E177:P177,"¶")+COUNTIF($E177:P177,"²")+COUNTIF($E177:P177,"µ")+COUNTIF($E177:P177,1),ColLivraison)=Q$6,
  VLOOKUP($E177,INDIRECT("tri!"&amp; CHAR(64+ C0Col) &amp;":"&amp; CHAR(65+C0Col)),2,FALSE)&gt;COUNTIF($E177:P177,"u")+COUNTIF($E177:P177,"t")+COUNTIF($E177:P177,"¶")+COUNTIF($E177:P177,"²")+COUNTIF($E177:P177,"µ")+COUNTIF($E177:P177,1)),
HYPERLINK("#Roadmap!C"&amp; MATCH($E177,Roadmap!$D:$D,0)+COUNTIF($E177:P177,"u")+COUNTIF($E177:P177,"t"),
     INDEX(Roadmap!$D:$K,MATCH($E177,Roadmap!$D:$D,0)+COUNTIF($E177:P177,"u")+COUNTIF($E177:P177,"t")+COUNTIF($E177:P177,"¶")+COUNTIF($E177:P177,"²")+COUNTIF($E177:P177,"µ")+COUNTIF($E177:P177,1),ColTypeEcheance)),
  IF(LEN(P177)=1,
  IF(LEN(INDEX(Roadmap!$D:$K,MATCH($E177,Roadmap!$D:$D,0)-1+COUNTIF($E177:P177,"u")+COUNTIF($E177:P177,"t")+COUNTIF($E177:P177,"¶")+COUNTIF($E177:P177,"²")+COUNTIF($E177:P177,"µ")+COUNTIF($E177:P177,1),ColDescriptionCourte))&gt;1,
HYPERLINK("#Roadmap!C"&amp; MATCH($E177,Roadmap!$D:$D,0)+COUNTIF($E177:P177,"u")+COUNTIF($E177:P177,"t")+COUNTIF($E177:P177,"¶")+COUNTIF($E177:P177,"²")+COUNTIF($E177:P177,"µ")+COUNTIF($E177:P177,1)-1,INDEX(Roadmap!$D:$K,MATCH($E177,Roadmap!$D:$D,0)-1+COUNTIF($E177:P177,"u")+COUNTIF($E177:P177,"t")+COUNTIF($E177:P177,"¶")+COUNTIF($E177:P177,"²")+COUNTIF($E177:P177,"µ")+COUNTIF($E177:P177,1),ColDescriptionCourte)),""),
  "")),"")</f>
        <v/>
      </c>
      <c r="R177" s="40" t="str">
        <f ca="1">IFERROR(IF(AND(
  INDEX(Roadmap!$D:$K,MATCH($E177,Roadmap!$D:$D,0)+COUNTIF($E177:Q177,"u")+COUNTIF($E177:Q177,"t")+COUNTIF($E177:Q177,"¶")+COUNTIF($E177:Q177,"²")+COUNTIF($E177:Q177,"µ")+COUNTIF($E177:Q177,1),ColLivraison)=R$6,
  VLOOKUP($E177,INDIRECT("tri!"&amp; CHAR(64+ C0Col) &amp;":"&amp; CHAR(65+C0Col)),2,FALSE)&gt;COUNTIF($E177:Q177,"u")+COUNTIF($E177:Q177,"t")+COUNTIF($E177:Q177,"¶")+COUNTIF($E177:Q177,"²")+COUNTIF($E177:Q177,"µ")+COUNTIF($E177:Q177,1)),
HYPERLINK("#Roadmap!C"&amp; MATCH($E177,Roadmap!$D:$D,0)+COUNTIF($E177:Q177,"u")+COUNTIF($E177:Q177,"t"),
     INDEX(Roadmap!$D:$K,MATCH($E177,Roadmap!$D:$D,0)+COUNTIF($E177:Q177,"u")+COUNTIF($E177:Q177,"t")+COUNTIF($E177:Q177,"¶")+COUNTIF($E177:Q177,"²")+COUNTIF($E177:Q177,"µ")+COUNTIF($E177:Q177,1),ColTypeEcheance)),
  IF(LEN(Q177)=1,
  IF(LEN(INDEX(Roadmap!$D:$K,MATCH($E177,Roadmap!$D:$D,0)-1+COUNTIF($E177:Q177,"u")+COUNTIF($E177:Q177,"t")+COUNTIF($E177:Q177,"¶")+COUNTIF($E177:Q177,"²")+COUNTIF($E177:Q177,"µ")+COUNTIF($E177:Q177,1),ColDescriptionCourte))&gt;1,
HYPERLINK("#Roadmap!C"&amp; MATCH($E177,Roadmap!$D:$D,0)+COUNTIF($E177:Q177,"u")+COUNTIF($E177:Q177,"t")+COUNTIF($E177:Q177,"¶")+COUNTIF($E177:Q177,"²")+COUNTIF($E177:Q177,"µ")+COUNTIF($E177:Q177,1)-1,INDEX(Roadmap!$D:$K,MATCH($E177,Roadmap!$D:$D,0)-1+COUNTIF($E177:Q177,"u")+COUNTIF($E177:Q177,"t")+COUNTIF($E177:Q177,"¶")+COUNTIF($E177:Q177,"²")+COUNTIF($E177:Q177,"µ")+COUNTIF($E177:Q177,1),ColDescriptionCourte)),""),
  "")),"")</f>
        <v/>
      </c>
      <c r="S177" s="40" t="str">
        <f ca="1">IFERROR(IF(AND(
  INDEX(Roadmap!$D:$K,MATCH($E177,Roadmap!$D:$D,0)+COUNTIF($E177:R177,"u")+COUNTIF($E177:R177,"t")+COUNTIF($E177:R177,"¶")+COUNTIF($E177:R177,"²")+COUNTIF($E177:R177,"µ")+COUNTIF($E177:R177,1),ColLivraison)=S$6,
  VLOOKUP($E177,INDIRECT("tri!"&amp; CHAR(64+ C0Col) &amp;":"&amp; CHAR(65+C0Col)),2,FALSE)&gt;COUNTIF($E177:R177,"u")+COUNTIF($E177:R177,"t")+COUNTIF($E177:R177,"¶")+COUNTIF($E177:R177,"²")+COUNTIF($E177:R177,"µ")+COUNTIF($E177:R177,1)),
HYPERLINK("#Roadmap!C"&amp; MATCH($E177,Roadmap!$D:$D,0)+COUNTIF($E177:R177,"u")+COUNTIF($E177:R177,"t"),
     INDEX(Roadmap!$D:$K,MATCH($E177,Roadmap!$D:$D,0)+COUNTIF($E177:R177,"u")+COUNTIF($E177:R177,"t")+COUNTIF($E177:R177,"¶")+COUNTIF($E177:R177,"²")+COUNTIF($E177:R177,"µ")+COUNTIF($E177:R177,1),ColTypeEcheance)),
  IF(LEN(R177)=1,
  IF(LEN(INDEX(Roadmap!$D:$K,MATCH($E177,Roadmap!$D:$D,0)-1+COUNTIF($E177:R177,"u")+COUNTIF($E177:R177,"t")+COUNTIF($E177:R177,"¶")+COUNTIF($E177:R177,"²")+COUNTIF($E177:R177,"µ")+COUNTIF($E177:R177,1),ColDescriptionCourte))&gt;1,
HYPERLINK("#Roadmap!C"&amp; MATCH($E177,Roadmap!$D:$D,0)+COUNTIF($E177:R177,"u")+COUNTIF($E177:R177,"t")+COUNTIF($E177:R177,"¶")+COUNTIF($E177:R177,"²")+COUNTIF($E177:R177,"µ")+COUNTIF($E177:R177,1)-1,INDEX(Roadmap!$D:$K,MATCH($E177,Roadmap!$D:$D,0)-1+COUNTIF($E177:R177,"u")+COUNTIF($E177:R177,"t")+COUNTIF($E177:R177,"¶")+COUNTIF($E177:R177,"²")+COUNTIF($E177:R177,"µ")+COUNTIF($E177:R177,1),ColDescriptionCourte)),""),
  "")),"")</f>
        <v/>
      </c>
      <c r="T177" s="40" t="str">
        <f ca="1">IFERROR(IF(AND(
  INDEX(Roadmap!$D:$K,MATCH($E177,Roadmap!$D:$D,0)+COUNTIF($E177:S177,"u")+COUNTIF($E177:S177,"t")+COUNTIF($E177:S177,"¶")+COUNTIF($E177:S177,"²")+COUNTIF($E177:S177,"µ")+COUNTIF($E177:S177,1),ColLivraison)=T$6,
  VLOOKUP($E177,INDIRECT("tri!"&amp; CHAR(64+ C0Col) &amp;":"&amp; CHAR(65+C0Col)),2,FALSE)&gt;COUNTIF($E177:S177,"u")+COUNTIF($E177:S177,"t")+COUNTIF($E177:S177,"¶")+COUNTIF($E177:S177,"²")+COUNTIF($E177:S177,"µ")+COUNTIF($E177:S177,1)),
HYPERLINK("#Roadmap!C"&amp; MATCH($E177,Roadmap!$D:$D,0)+COUNTIF($E177:S177,"u")+COUNTIF($E177:S177,"t"),
     INDEX(Roadmap!$D:$K,MATCH($E177,Roadmap!$D:$D,0)+COUNTIF($E177:S177,"u")+COUNTIF($E177:S177,"t")+COUNTIF($E177:S177,"¶")+COUNTIF($E177:S177,"²")+COUNTIF($E177:S177,"µ")+COUNTIF($E177:S177,1),ColTypeEcheance)),
  IF(LEN(S177)=1,
  IF(LEN(INDEX(Roadmap!$D:$K,MATCH($E177,Roadmap!$D:$D,0)-1+COUNTIF($E177:S177,"u")+COUNTIF($E177:S177,"t")+COUNTIF($E177:S177,"¶")+COUNTIF($E177:S177,"²")+COUNTIF($E177:S177,"µ")+COUNTIF($E177:S177,1),ColDescriptionCourte))&gt;1,
HYPERLINK("#Roadmap!C"&amp; MATCH($E177,Roadmap!$D:$D,0)+COUNTIF($E177:S177,"u")+COUNTIF($E177:S177,"t")+COUNTIF($E177:S177,"¶")+COUNTIF($E177:S177,"²")+COUNTIF($E177:S177,"µ")+COUNTIF($E177:S177,1)-1,INDEX(Roadmap!$D:$K,MATCH($E177,Roadmap!$D:$D,0)-1+COUNTIF($E177:S177,"u")+COUNTIF($E177:S177,"t")+COUNTIF($E177:S177,"¶")+COUNTIF($E177:S177,"²")+COUNTIF($E177:S177,"µ")+COUNTIF($E177:S177,1),ColDescriptionCourte)),""),
  "")),"")</f>
        <v/>
      </c>
      <c r="U177" s="40" t="str">
        <f ca="1">IFERROR(IF(AND(
  INDEX(Roadmap!$D:$K,MATCH($E177,Roadmap!$D:$D,0)+COUNTIF($E177:T177,"u")+COUNTIF($E177:T177,"t")+COUNTIF($E177:T177,"¶")+COUNTIF($E177:T177,"²")+COUNTIF($E177:T177,"µ")+COUNTIF($E177:T177,1),ColLivraison)=U$6,
  VLOOKUP($E177,INDIRECT("tri!"&amp; CHAR(64+ C0Col) &amp;":"&amp; CHAR(65+C0Col)),2,FALSE)&gt;COUNTIF($E177:T177,"u")+COUNTIF($E177:T177,"t")+COUNTIF($E177:T177,"¶")+COUNTIF($E177:T177,"²")+COUNTIF($E177:T177,"µ")+COUNTIF($E177:T177,1)),
HYPERLINK("#Roadmap!C"&amp; MATCH($E177,Roadmap!$D:$D,0)+COUNTIF($E177:T177,"u")+COUNTIF($E177:T177,"t"),
     INDEX(Roadmap!$D:$K,MATCH($E177,Roadmap!$D:$D,0)+COUNTIF($E177:T177,"u")+COUNTIF($E177:T177,"t")+COUNTIF($E177:T177,"¶")+COUNTIF($E177:T177,"²")+COUNTIF($E177:T177,"µ")+COUNTIF($E177:T177,1),ColTypeEcheance)),
  IF(LEN(T177)=1,
  IF(LEN(INDEX(Roadmap!$D:$K,MATCH($E177,Roadmap!$D:$D,0)-1+COUNTIF($E177:T177,"u")+COUNTIF($E177:T177,"t")+COUNTIF($E177:T177,"¶")+COUNTIF($E177:T177,"²")+COUNTIF($E177:T177,"µ")+COUNTIF($E177:T177,1),ColDescriptionCourte))&gt;1,
HYPERLINK("#Roadmap!C"&amp; MATCH($E177,Roadmap!$D:$D,0)+COUNTIF($E177:T177,"u")+COUNTIF($E177:T177,"t")+COUNTIF($E177:T177,"¶")+COUNTIF($E177:T177,"²")+COUNTIF($E177:T177,"µ")+COUNTIF($E177:T177,1)-1,INDEX(Roadmap!$D:$K,MATCH($E177,Roadmap!$D:$D,0)-1+COUNTIF($E177:T177,"u")+COUNTIF($E177:T177,"t")+COUNTIF($E177:T177,"¶")+COUNTIF($E177:T177,"²")+COUNTIF($E177:T177,"µ")+COUNTIF($E177:T177,1),ColDescriptionCourte)),""),
  "")),"")</f>
        <v/>
      </c>
      <c r="V177" s="40" t="str">
        <f ca="1">IFERROR(IF(AND(
  INDEX(Roadmap!$D:$K,MATCH($E177,Roadmap!$D:$D,0)+COUNTIF($E177:U177,"u")+COUNTIF($E177:U177,"t")+COUNTIF($E177:U177,"¶")+COUNTIF($E177:U177,"²")+COUNTIF($E177:U177,"µ")+COUNTIF($E177:U177,1),ColLivraison)=V$6,
  VLOOKUP($E177,INDIRECT("tri!"&amp; CHAR(64+ C0Col) &amp;":"&amp; CHAR(65+C0Col)),2,FALSE)&gt;COUNTIF($E177:U177,"u")+COUNTIF($E177:U177,"t")+COUNTIF($E177:U177,"¶")+COUNTIF($E177:U177,"²")+COUNTIF($E177:U177,"µ")+COUNTIF($E177:U177,1)),
HYPERLINK("#Roadmap!C"&amp; MATCH($E177,Roadmap!$D:$D,0)+COUNTIF($E177:U177,"u")+COUNTIF($E177:U177,"t"),
     INDEX(Roadmap!$D:$K,MATCH($E177,Roadmap!$D:$D,0)+COUNTIF($E177:U177,"u")+COUNTIF($E177:U177,"t")+COUNTIF($E177:U177,"¶")+COUNTIF($E177:U177,"²")+COUNTIF($E177:U177,"µ")+COUNTIF($E177:U177,1),ColTypeEcheance)),
  IF(LEN(U177)=1,
  IF(LEN(INDEX(Roadmap!$D:$K,MATCH($E177,Roadmap!$D:$D,0)-1+COUNTIF($E177:U177,"u")+COUNTIF($E177:U177,"t")+COUNTIF($E177:U177,"¶")+COUNTIF($E177:U177,"²")+COUNTIF($E177:U177,"µ")+COUNTIF($E177:U177,1),ColDescriptionCourte))&gt;1,
HYPERLINK("#Roadmap!C"&amp; MATCH($E177,Roadmap!$D:$D,0)+COUNTIF($E177:U177,"u")+COUNTIF($E177:U177,"t")+COUNTIF($E177:U177,"¶")+COUNTIF($E177:U177,"²")+COUNTIF($E177:U177,"µ")+COUNTIF($E177:U177,1)-1,INDEX(Roadmap!$D:$K,MATCH($E177,Roadmap!$D:$D,0)-1+COUNTIF($E177:U177,"u")+COUNTIF($E177:U177,"t")+COUNTIF($E177:U177,"¶")+COUNTIF($E177:U177,"²")+COUNTIF($E177:U177,"µ")+COUNTIF($E177:U177,1),ColDescriptionCourte)),""),
  "")),"")</f>
        <v/>
      </c>
      <c r="W177" s="40" t="str">
        <f ca="1">IFERROR(IF(AND(
  INDEX(Roadmap!$D:$K,MATCH($E177,Roadmap!$D:$D,0)+COUNTIF($E177:V177,"u")+COUNTIF($E177:V177,"t")+COUNTIF($E177:V177,"¶")+COUNTIF($E177:V177,"²")+COUNTIF($E177:V177,"µ")+COUNTIF($E177:V177,1),ColLivraison)=W$6,
  VLOOKUP($E177,INDIRECT("tri!"&amp; CHAR(64+ C0Col) &amp;":"&amp; CHAR(65+C0Col)),2,FALSE)&gt;COUNTIF($E177:V177,"u")+COUNTIF($E177:V177,"t")+COUNTIF($E177:V177,"¶")+COUNTIF($E177:V177,"²")+COUNTIF($E177:V177,"µ")+COUNTIF($E177:V177,1)),
HYPERLINK("#Roadmap!C"&amp; MATCH($E177,Roadmap!$D:$D,0)+COUNTIF($E177:V177,"u")+COUNTIF($E177:V177,"t"),
     INDEX(Roadmap!$D:$K,MATCH($E177,Roadmap!$D:$D,0)+COUNTIF($E177:V177,"u")+COUNTIF($E177:V177,"t")+COUNTIF($E177:V177,"¶")+COUNTIF($E177:V177,"²")+COUNTIF($E177:V177,"µ")+COUNTIF($E177:V177,1),ColTypeEcheance)),
  IF(LEN(V177)=1,
  IF(LEN(INDEX(Roadmap!$D:$K,MATCH($E177,Roadmap!$D:$D,0)-1+COUNTIF($E177:V177,"u")+COUNTIF($E177:V177,"t")+COUNTIF($E177:V177,"¶")+COUNTIF($E177:V177,"²")+COUNTIF($E177:V177,"µ")+COUNTIF($E177:V177,1),ColDescriptionCourte))&gt;1,
HYPERLINK("#Roadmap!C"&amp; MATCH($E177,Roadmap!$D:$D,0)+COUNTIF($E177:V177,"u")+COUNTIF($E177:V177,"t")+COUNTIF($E177:V177,"¶")+COUNTIF($E177:V177,"²")+COUNTIF($E177:V177,"µ")+COUNTIF($E177:V177,1)-1,INDEX(Roadmap!$D:$K,MATCH($E177,Roadmap!$D:$D,0)-1+COUNTIF($E177:V177,"u")+COUNTIF($E177:V177,"t")+COUNTIF($E177:V177,"¶")+COUNTIF($E177:V177,"²")+COUNTIF($E177:V177,"µ")+COUNTIF($E177:V177,1),ColDescriptionCourte)),""),
  "")),"")</f>
        <v/>
      </c>
      <c r="X177" s="40" t="str">
        <f ca="1">IFERROR(IF(AND(
  INDEX(Roadmap!$D:$K,MATCH($E177,Roadmap!$D:$D,0)+COUNTIF($E177:W177,"u")+COUNTIF($E177:W177,"t")+COUNTIF($E177:W177,"¶")+COUNTIF($E177:W177,"²")+COUNTIF($E177:W177,"µ")+COUNTIF($E177:W177,1),ColLivraison)=X$6,
  VLOOKUP($E177,INDIRECT("tri!"&amp; CHAR(64+ C0Col) &amp;":"&amp; CHAR(65+C0Col)),2,FALSE)&gt;COUNTIF($E177:W177,"u")+COUNTIF($E177:W177,"t")+COUNTIF($E177:W177,"¶")+COUNTIF($E177:W177,"²")+COUNTIF($E177:W177,"µ")+COUNTIF($E177:W177,1)),
HYPERLINK("#Roadmap!C"&amp; MATCH($E177,Roadmap!$D:$D,0)+COUNTIF($E177:W177,"u")+COUNTIF($E177:W177,"t"),
     INDEX(Roadmap!$D:$K,MATCH($E177,Roadmap!$D:$D,0)+COUNTIF($E177:W177,"u")+COUNTIF($E177:W177,"t")+COUNTIF($E177:W177,"¶")+COUNTIF($E177:W177,"²")+COUNTIF($E177:W177,"µ")+COUNTIF($E177:W177,1),ColTypeEcheance)),
  IF(LEN(W177)=1,
  IF(LEN(INDEX(Roadmap!$D:$K,MATCH($E177,Roadmap!$D:$D,0)-1+COUNTIF($E177:W177,"u")+COUNTIF($E177:W177,"t")+COUNTIF($E177:W177,"¶")+COUNTIF($E177:W177,"²")+COUNTIF($E177:W177,"µ")+COUNTIF($E177:W177,1),ColDescriptionCourte))&gt;1,
HYPERLINK("#Roadmap!C"&amp; MATCH($E177,Roadmap!$D:$D,0)+COUNTIF($E177:W177,"u")+COUNTIF($E177:W177,"t")+COUNTIF($E177:W177,"¶")+COUNTIF($E177:W177,"²")+COUNTIF($E177:W177,"µ")+COUNTIF($E177:W177,1)-1,INDEX(Roadmap!$D:$K,MATCH($E177,Roadmap!$D:$D,0)-1+COUNTIF($E177:W177,"u")+COUNTIF($E177:W177,"t")+COUNTIF($E177:W177,"¶")+COUNTIF($E177:W177,"²")+COUNTIF($E177:W177,"µ")+COUNTIF($E177:W177,1),ColDescriptionCourte)),""),
  "")),"")</f>
        <v/>
      </c>
      <c r="Y177" s="40" t="str">
        <f ca="1">IFERROR(IF(AND(
  INDEX(Roadmap!$D:$K,MATCH($E177,Roadmap!$D:$D,0)+COUNTIF($E177:X177,"u")+COUNTIF($E177:X177,"t")+COUNTIF($E177:X177,"¶")+COUNTIF($E177:X177,"²")+COUNTIF($E177:X177,"µ")+COUNTIF($E177:X177,1),ColLivraison)=Y$6,
  VLOOKUP($E177,INDIRECT("tri!"&amp; CHAR(64+ C0Col) &amp;":"&amp; CHAR(65+C0Col)),2,FALSE)&gt;COUNTIF($E177:X177,"u")+COUNTIF($E177:X177,"t")+COUNTIF($E177:X177,"¶")+COUNTIF($E177:X177,"²")+COUNTIF($E177:X177,"µ")+COUNTIF($E177:X177,1)),
HYPERLINK("#Roadmap!C"&amp; MATCH($E177,Roadmap!$D:$D,0)+COUNTIF($E177:X177,"u")+COUNTIF($E177:X177,"t"),
     INDEX(Roadmap!$D:$K,MATCH($E177,Roadmap!$D:$D,0)+COUNTIF($E177:X177,"u")+COUNTIF($E177:X177,"t")+COUNTIF($E177:X177,"¶")+COUNTIF($E177:X177,"²")+COUNTIF($E177:X177,"µ")+COUNTIF($E177:X177,1),ColTypeEcheance)),
  IF(LEN(X177)=1,
  IF(LEN(INDEX(Roadmap!$D:$K,MATCH($E177,Roadmap!$D:$D,0)-1+COUNTIF($E177:X177,"u")+COUNTIF($E177:X177,"t")+COUNTIF($E177:X177,"¶")+COUNTIF($E177:X177,"²")+COUNTIF($E177:X177,"µ")+COUNTIF($E177:X177,1),ColDescriptionCourte))&gt;1,
HYPERLINK("#Roadmap!C"&amp; MATCH($E177,Roadmap!$D:$D,0)+COUNTIF($E177:X177,"u")+COUNTIF($E177:X177,"t")+COUNTIF($E177:X177,"¶")+COUNTIF($E177:X177,"²")+COUNTIF($E177:X177,"µ")+COUNTIF($E177:X177,1)-1,INDEX(Roadmap!$D:$K,MATCH($E177,Roadmap!$D:$D,0)-1+COUNTIF($E177:X177,"u")+COUNTIF($E177:X177,"t")+COUNTIF($E177:X177,"¶")+COUNTIF($E177:X177,"²")+COUNTIF($E177:X177,"µ")+COUNTIF($E177:X177,1),ColDescriptionCourte)),""),
  "")),"")</f>
        <v/>
      </c>
      <c r="Z177" s="40" t="str">
        <f ca="1">IFERROR(IF(AND(
  INDEX(Roadmap!$D:$K,MATCH($E177,Roadmap!$D:$D,0)+COUNTIF($E177:Y177,"u")+COUNTIF($E177:Y177,"t")+COUNTIF($E177:Y177,"¶")+COUNTIF($E177:Y177,"²")+COUNTIF($E177:Y177,"µ")+COUNTIF($E177:Y177,1),ColLivraison)=Z$6,
  VLOOKUP($E177,INDIRECT("tri!"&amp; CHAR(64+ C0Col) &amp;":"&amp; CHAR(65+C0Col)),2,FALSE)&gt;COUNTIF($E177:Y177,"u")+COUNTIF($E177:Y177,"t")+COUNTIF($E177:Y177,"¶")+COUNTIF($E177:Y177,"²")+COUNTIF($E177:Y177,"µ")+COUNTIF($E177:Y177,1)),
HYPERLINK("#Roadmap!C"&amp; MATCH($E177,Roadmap!$D:$D,0)+COUNTIF($E177:Y177,"u")+COUNTIF($E177:Y177,"t"),
     INDEX(Roadmap!$D:$K,MATCH($E177,Roadmap!$D:$D,0)+COUNTIF($E177:Y177,"u")+COUNTIF($E177:Y177,"t")+COUNTIF($E177:Y177,"¶")+COUNTIF($E177:Y177,"²")+COUNTIF($E177:Y177,"µ")+COUNTIF($E177:Y177,1),ColTypeEcheance)),
  IF(LEN(Y177)=1,
  IF(LEN(INDEX(Roadmap!$D:$K,MATCH($E177,Roadmap!$D:$D,0)-1+COUNTIF($E177:Y177,"u")+COUNTIF($E177:Y177,"t")+COUNTIF($E177:Y177,"¶")+COUNTIF($E177:Y177,"²")+COUNTIF($E177:Y177,"µ")+COUNTIF($E177:Y177,1),ColDescriptionCourte))&gt;1,
HYPERLINK("#Roadmap!C"&amp; MATCH($E177,Roadmap!$D:$D,0)+COUNTIF($E177:Y177,"u")+COUNTIF($E177:Y177,"t")+COUNTIF($E177:Y177,"¶")+COUNTIF($E177:Y177,"²")+COUNTIF($E177:Y177,"µ")+COUNTIF($E177:Y177,1)-1,INDEX(Roadmap!$D:$K,MATCH($E177,Roadmap!$D:$D,0)-1+COUNTIF($E177:Y177,"u")+COUNTIF($E177:Y177,"t")+COUNTIF($E177:Y177,"¶")+COUNTIF($E177:Y177,"²")+COUNTIF($E177:Y177,"µ")+COUNTIF($E177:Y177,1),ColDescriptionCourte)),""),
  "")),"")</f>
        <v/>
      </c>
      <c r="AA177" s="40" t="str">
        <f ca="1">IFERROR(IF(AND(
  INDEX(Roadmap!$D:$K,MATCH($E177,Roadmap!$D:$D,0)+COUNTIF($E177:Z177,"u")+COUNTIF($E177:Z177,"t")+COUNTIF($E177:Z177,"¶")+COUNTIF($E177:Z177,"²")+COUNTIF($E177:Z177,"µ")+COUNTIF($E177:Z177,1),ColLivraison)=AA$6,
  VLOOKUP($E177,INDIRECT("tri!"&amp; CHAR(64+ C0Col) &amp;":"&amp; CHAR(65+C0Col)),2,FALSE)&gt;COUNTIF($E177:Z177,"u")+COUNTIF($E177:Z177,"t")+COUNTIF($E177:Z177,"¶")+COUNTIF($E177:Z177,"²")+COUNTIF($E177:Z177,"µ")+COUNTIF($E177:Z177,1)),
HYPERLINK("#Roadmap!C"&amp; MATCH($E177,Roadmap!$D:$D,0)+COUNTIF($E177:Z177,"u")+COUNTIF($E177:Z177,"t"),
     INDEX(Roadmap!$D:$K,MATCH($E177,Roadmap!$D:$D,0)+COUNTIF($E177:Z177,"u")+COUNTIF($E177:Z177,"t")+COUNTIF($E177:Z177,"¶")+COUNTIF($E177:Z177,"²")+COUNTIF($E177:Z177,"µ")+COUNTIF($E177:Z177,1),ColTypeEcheance)),
  IF(LEN(Z177)=1,
  IF(LEN(INDEX(Roadmap!$D:$K,MATCH($E177,Roadmap!$D:$D,0)-1+COUNTIF($E177:Z177,"u")+COUNTIF($E177:Z177,"t")+COUNTIF($E177:Z177,"¶")+COUNTIF($E177:Z177,"²")+COUNTIF($E177:Z177,"µ")+COUNTIF($E177:Z177,1),ColDescriptionCourte))&gt;1,
HYPERLINK("#Roadmap!C"&amp; MATCH($E177,Roadmap!$D:$D,0)+COUNTIF($E177:Z177,"u")+COUNTIF($E177:Z177,"t")+COUNTIF($E177:Z177,"¶")+COUNTIF($E177:Z177,"²")+COUNTIF($E177:Z177,"µ")+COUNTIF($E177:Z177,1)-1,INDEX(Roadmap!$D:$K,MATCH($E177,Roadmap!$D:$D,0)-1+COUNTIF($E177:Z177,"u")+COUNTIF($E177:Z177,"t")+COUNTIF($E177:Z177,"¶")+COUNTIF($E177:Z177,"²")+COUNTIF($E177:Z177,"µ")+COUNTIF($E177:Z177,1),ColDescriptionCourte)),""),
  "")),"")</f>
        <v/>
      </c>
      <c r="AB177" s="40" t="str">
        <f ca="1">IFERROR(IF(AND(
  INDEX(Roadmap!$D:$K,MATCH($E177,Roadmap!$D:$D,0)+COUNTIF($E177:AA177,"u")+COUNTIF($E177:AA177,"t")+COUNTIF($E177:AA177,"¶")+COUNTIF($E177:AA177,"²")+COUNTIF($E177:AA177,"µ")+COUNTIF($E177:AA177,1),ColLivraison)=AB$6,
  VLOOKUP($E177,INDIRECT("tri!"&amp; CHAR(64+ C0Col) &amp;":"&amp; CHAR(65+C0Col)),2,FALSE)&gt;COUNTIF($E177:AA177,"u")+COUNTIF($E177:AA177,"t")+COUNTIF($E177:AA177,"¶")+COUNTIF($E177:AA177,"²")+COUNTIF($E177:AA177,"µ")+COUNTIF($E177:AA177,1)),
HYPERLINK("#Roadmap!C"&amp; MATCH($E177,Roadmap!$D:$D,0)+COUNTIF($E177:AA177,"u")+COUNTIF($E177:AA177,"t"),
     INDEX(Roadmap!$D:$K,MATCH($E177,Roadmap!$D:$D,0)+COUNTIF($E177:AA177,"u")+COUNTIF($E177:AA177,"t")+COUNTIF($E177:AA177,"¶")+COUNTIF($E177:AA177,"²")+COUNTIF($E177:AA177,"µ")+COUNTIF($E177:AA177,1),ColTypeEcheance)),
  IF(LEN(AA177)=1,
  IF(LEN(INDEX(Roadmap!$D:$K,MATCH($E177,Roadmap!$D:$D,0)-1+COUNTIF($E177:AA177,"u")+COUNTIF($E177:AA177,"t")+COUNTIF($E177:AA177,"¶")+COUNTIF($E177:AA177,"²")+COUNTIF($E177:AA177,"µ")+COUNTIF($E177:AA177,1),ColDescriptionCourte))&gt;1,
HYPERLINK("#Roadmap!C"&amp; MATCH($E177,Roadmap!$D:$D,0)+COUNTIF($E177:AA177,"u")+COUNTIF($E177:AA177,"t")+COUNTIF($E177:AA177,"¶")+COUNTIF($E177:AA177,"²")+COUNTIF($E177:AA177,"µ")+COUNTIF($E177:AA177,1)-1,INDEX(Roadmap!$D:$K,MATCH($E177,Roadmap!$D:$D,0)-1+COUNTIF($E177:AA177,"u")+COUNTIF($E177:AA177,"t")+COUNTIF($E177:AA177,"¶")+COUNTIF($E177:AA177,"²")+COUNTIF($E177:AA177,"µ")+COUNTIF($E177:AA177,1),ColDescriptionCourte)),""),
  "")),"")</f>
        <v/>
      </c>
      <c r="AC177" s="40" t="str">
        <f ca="1">IFERROR(IF(AND(
  INDEX(Roadmap!$D:$K,MATCH($E177,Roadmap!$D:$D,0)+COUNTIF($E177:AB177,"u")+COUNTIF($E177:AB177,"t")+COUNTIF($E177:AB177,"¶")+COUNTIF($E177:AB177,"²")+COUNTIF($E177:AB177,"µ")+COUNTIF($E177:AB177,1),ColLivraison)=AC$6,
  VLOOKUP($E177,INDIRECT("tri!"&amp; CHAR(64+ C0Col) &amp;":"&amp; CHAR(65+C0Col)),2,FALSE)&gt;COUNTIF($E177:AB177,"u")+COUNTIF($E177:AB177,"t")+COUNTIF($E177:AB177,"¶")+COUNTIF($E177:AB177,"²")+COUNTIF($E177:AB177,"µ")+COUNTIF($E177:AB177,1)),
HYPERLINK("#Roadmap!C"&amp; MATCH($E177,Roadmap!$D:$D,0)+COUNTIF($E177:AB177,"u")+COUNTIF($E177:AB177,"t"),
     INDEX(Roadmap!$D:$K,MATCH($E177,Roadmap!$D:$D,0)+COUNTIF($E177:AB177,"u")+COUNTIF($E177:AB177,"t")+COUNTIF($E177:AB177,"¶")+COUNTIF($E177:AB177,"²")+COUNTIF($E177:AB177,"µ")+COUNTIF($E177:AB177,1),ColTypeEcheance)),
  IF(LEN(AB177)=1,
  IF(LEN(INDEX(Roadmap!$D:$K,MATCH($E177,Roadmap!$D:$D,0)-1+COUNTIF($E177:AB177,"u")+COUNTIF($E177:AB177,"t")+COUNTIF($E177:AB177,"¶")+COUNTIF($E177:AB177,"²")+COUNTIF($E177:AB177,"µ")+COUNTIF($E177:AB177,1),ColDescriptionCourte))&gt;1,
HYPERLINK("#Roadmap!C"&amp; MATCH($E177,Roadmap!$D:$D,0)+COUNTIF($E177:AB177,"u")+COUNTIF($E177:AB177,"t")+COUNTIF($E177:AB177,"¶")+COUNTIF($E177:AB177,"²")+COUNTIF($E177:AB177,"µ")+COUNTIF($E177:AB177,1)-1,INDEX(Roadmap!$D:$K,MATCH($E177,Roadmap!$D:$D,0)-1+COUNTIF($E177:AB177,"u")+COUNTIF($E177:AB177,"t")+COUNTIF($E177:AB177,"¶")+COUNTIF($E177:AB177,"²")+COUNTIF($E177:AB177,"µ")+COUNTIF($E177:AB177,1),ColDescriptionCourte)),""),
  "")),"")</f>
        <v/>
      </c>
      <c r="AD177" s="40" t="str">
        <f ca="1">IFERROR(IF(AND(
  INDEX(Roadmap!$D:$K,MATCH($E177,Roadmap!$D:$D,0)+COUNTIF($E177:AC177,"u")+COUNTIF($E177:AC177,"t")+COUNTIF($E177:AC177,"¶")+COUNTIF($E177:AC177,"²")+COUNTIF($E177:AC177,"µ")+COUNTIF($E177:AC177,1),ColLivraison)=AD$6,
  VLOOKUP($E177,INDIRECT("tri!"&amp; CHAR(64+ C0Col) &amp;":"&amp; CHAR(65+C0Col)),2,FALSE)&gt;COUNTIF($E177:AC177,"u")+COUNTIF($E177:AC177,"t")+COUNTIF($E177:AC177,"¶")+COUNTIF($E177:AC177,"²")+COUNTIF($E177:AC177,"µ")+COUNTIF($E177:AC177,1)),
HYPERLINK("#Roadmap!C"&amp; MATCH($E177,Roadmap!$D:$D,0)+COUNTIF($E177:AC177,"u")+COUNTIF($E177:AC177,"t"),
     INDEX(Roadmap!$D:$K,MATCH($E177,Roadmap!$D:$D,0)+COUNTIF($E177:AC177,"u")+COUNTIF($E177:AC177,"t")+COUNTIF($E177:AC177,"¶")+COUNTIF($E177:AC177,"²")+COUNTIF($E177:AC177,"µ")+COUNTIF($E177:AC177,1),ColTypeEcheance)),
  IF(LEN(AC177)=1,
  IF(LEN(INDEX(Roadmap!$D:$K,MATCH($E177,Roadmap!$D:$D,0)-1+COUNTIF($E177:AC177,"u")+COUNTIF($E177:AC177,"t")+COUNTIF($E177:AC177,"¶")+COUNTIF($E177:AC177,"²")+COUNTIF($E177:AC177,"µ")+COUNTIF($E177:AC177,1),ColDescriptionCourte))&gt;1,
HYPERLINK("#Roadmap!C"&amp; MATCH($E177,Roadmap!$D:$D,0)+COUNTIF($E177:AC177,"u")+COUNTIF($E177:AC177,"t")+COUNTIF($E177:AC177,"¶")+COUNTIF($E177:AC177,"²")+COUNTIF($E177:AC177,"µ")+COUNTIF($E177:AC177,1)-1,INDEX(Roadmap!$D:$K,MATCH($E177,Roadmap!$D:$D,0)-1+COUNTIF($E177:AC177,"u")+COUNTIF($E177:AC177,"t")+COUNTIF($E177:AC177,"¶")+COUNTIF($E177:AC177,"²")+COUNTIF($E177:AC177,"µ")+COUNTIF($E177:AC177,1),ColDescriptionCourte)),""),
  "")),"")</f>
        <v/>
      </c>
      <c r="AE177" s="40" t="str">
        <f ca="1">IFERROR(IF(AND(
  INDEX(Roadmap!$D:$K,MATCH($E177,Roadmap!$D:$D,0)+COUNTIF($E177:AD177,"u")+COUNTIF($E177:AD177,"t")+COUNTIF($E177:AD177,"¶")+COUNTIF($E177:AD177,"²")+COUNTIF($E177:AD177,"µ")+COUNTIF($E177:AD177,1),ColLivraison)=AE$6,
  VLOOKUP($E177,INDIRECT("tri!"&amp; CHAR(64+ C0Col) &amp;":"&amp; CHAR(65+C0Col)),2,FALSE)&gt;COUNTIF($E177:AD177,"u")+COUNTIF($E177:AD177,"t")+COUNTIF($E177:AD177,"¶")+COUNTIF($E177:AD177,"²")+COUNTIF($E177:AD177,"µ")+COUNTIF($E177:AD177,1)),
HYPERLINK("#Roadmap!C"&amp; MATCH($E177,Roadmap!$D:$D,0)+COUNTIF($E177:AD177,"u")+COUNTIF($E177:AD177,"t"),
     INDEX(Roadmap!$D:$K,MATCH($E177,Roadmap!$D:$D,0)+COUNTIF($E177:AD177,"u")+COUNTIF($E177:AD177,"t")+COUNTIF($E177:AD177,"¶")+COUNTIF($E177:AD177,"²")+COUNTIF($E177:AD177,"µ")+COUNTIF($E177:AD177,1),ColTypeEcheance)),
  IF(LEN(AD177)=1,
  IF(LEN(INDEX(Roadmap!$D:$K,MATCH($E177,Roadmap!$D:$D,0)-1+COUNTIF($E177:AD177,"u")+COUNTIF($E177:AD177,"t")+COUNTIF($E177:AD177,"¶")+COUNTIF($E177:AD177,"²")+COUNTIF($E177:AD177,"µ")+COUNTIF($E177:AD177,1),ColDescriptionCourte))&gt;1,
HYPERLINK("#Roadmap!C"&amp; MATCH($E177,Roadmap!$D:$D,0)+COUNTIF($E177:AD177,"u")+COUNTIF($E177:AD177,"t")+COUNTIF($E177:AD177,"¶")+COUNTIF($E177:AD177,"²")+COUNTIF($E177:AD177,"µ")+COUNTIF($E177:AD177,1)-1,INDEX(Roadmap!$D:$K,MATCH($E177,Roadmap!$D:$D,0)-1+COUNTIF($E177:AD177,"u")+COUNTIF($E177:AD177,"t")+COUNTIF($E177:AD177,"¶")+COUNTIF($E177:AD177,"²")+COUNTIF($E177:AD177,"µ")+COUNTIF($E177:AD177,1),ColDescriptionCourte)),""),
  "")),"")</f>
        <v/>
      </c>
      <c r="AF177" s="40" t="str">
        <f ca="1">IFERROR(IF(AND(
  INDEX(Roadmap!$D:$K,MATCH($E177,Roadmap!$D:$D,0)+COUNTIF($E177:AE177,"u")+COUNTIF($E177:AE177,"t")+COUNTIF($E177:AE177,"¶")+COUNTIF($E177:AE177,"²")+COUNTIF($E177:AE177,"µ")+COUNTIF($E177:AE177,1),ColLivraison)=AF$6,
  VLOOKUP($E177,INDIRECT("tri!"&amp; CHAR(64+ C0Col) &amp;":"&amp; CHAR(65+C0Col)),2,FALSE)&gt;COUNTIF($E177:AE177,"u")+COUNTIF($E177:AE177,"t")+COUNTIF($E177:AE177,"¶")+COUNTIF($E177:AE177,"²")+COUNTIF($E177:AE177,"µ")+COUNTIF($E177:AE177,1)),
HYPERLINK("#Roadmap!C"&amp; MATCH($E177,Roadmap!$D:$D,0)+COUNTIF($E177:AE177,"u")+COUNTIF($E177:AE177,"t"),
     INDEX(Roadmap!$D:$K,MATCH($E177,Roadmap!$D:$D,0)+COUNTIF($E177:AE177,"u")+COUNTIF($E177:AE177,"t")+COUNTIF($E177:AE177,"¶")+COUNTIF($E177:AE177,"²")+COUNTIF($E177:AE177,"µ")+COUNTIF($E177:AE177,1),ColTypeEcheance)),
  IF(LEN(AE177)=1,
  IF(LEN(INDEX(Roadmap!$D:$K,MATCH($E177,Roadmap!$D:$D,0)-1+COUNTIF($E177:AE177,"u")+COUNTIF($E177:AE177,"t")+COUNTIF($E177:AE177,"¶")+COUNTIF($E177:AE177,"²")+COUNTIF($E177:AE177,"µ")+COUNTIF($E177:AE177,1),ColDescriptionCourte))&gt;1,
HYPERLINK("#Roadmap!C"&amp; MATCH($E177,Roadmap!$D:$D,0)+COUNTIF($E177:AE177,"u")+COUNTIF($E177:AE177,"t")+COUNTIF($E177:AE177,"¶")+COUNTIF($E177:AE177,"²")+COUNTIF($E177:AE177,"µ")+COUNTIF($E177:AE177,1)-1,INDEX(Roadmap!$D:$K,MATCH($E177,Roadmap!$D:$D,0)-1+COUNTIF($E177:AE177,"u")+COUNTIF($E177:AE177,"t")+COUNTIF($E177:AE177,"¶")+COUNTIF($E177:AE177,"²")+COUNTIF($E177:AE177,"µ")+COUNTIF($E177:AE177,1),ColDescriptionCourte)),""),
  "")),"")</f>
        <v/>
      </c>
      <c r="AG177" s="40" t="str">
        <f ca="1">IFERROR(IF(AND(
  INDEX(Roadmap!$D:$K,MATCH($E177,Roadmap!$D:$D,0)+COUNTIF($E177:AF177,"u")+COUNTIF($E177:AF177,"t")+COUNTIF($E177:AF177,"¶")+COUNTIF($E177:AF177,"²")+COUNTIF($E177:AF177,"µ")+COUNTIF($E177:AF177,1),ColLivraison)=AG$6,
  VLOOKUP($E177,INDIRECT("tri!"&amp; CHAR(64+ C0Col) &amp;":"&amp; CHAR(65+C0Col)),2,FALSE)&gt;COUNTIF($E177:AF177,"u")+COUNTIF($E177:AF177,"t")+COUNTIF($E177:AF177,"¶")+COUNTIF($E177:AF177,"²")+COUNTIF($E177:AF177,"µ")+COUNTIF($E177:AF177,1)),
HYPERLINK("#Roadmap!C"&amp; MATCH($E177,Roadmap!$D:$D,0)+COUNTIF($E177:AF177,"u")+COUNTIF($E177:AF177,"t"),
     INDEX(Roadmap!$D:$K,MATCH($E177,Roadmap!$D:$D,0)+COUNTIF($E177:AF177,"u")+COUNTIF($E177:AF177,"t")+COUNTIF($E177:AF177,"¶")+COUNTIF($E177:AF177,"²")+COUNTIF($E177:AF177,"µ")+COUNTIF($E177:AF177,1),ColTypeEcheance)),
  IF(LEN(AF177)=1,
  IF(LEN(INDEX(Roadmap!$D:$K,MATCH($E177,Roadmap!$D:$D,0)-1+COUNTIF($E177:AF177,"u")+COUNTIF($E177:AF177,"t")+COUNTIF($E177:AF177,"¶")+COUNTIF($E177:AF177,"²")+COUNTIF($E177:AF177,"µ")+COUNTIF($E177:AF177,1),ColDescriptionCourte))&gt;1,
HYPERLINK("#Roadmap!C"&amp; MATCH($E177,Roadmap!$D:$D,0)+COUNTIF($E177:AF177,"u")+COUNTIF($E177:AF177,"t")+COUNTIF($E177:AF177,"¶")+COUNTIF($E177:AF177,"²")+COUNTIF($E177:AF177,"µ")+COUNTIF($E177:AF177,1)-1,INDEX(Roadmap!$D:$K,MATCH($E177,Roadmap!$D:$D,0)-1+COUNTIF($E177:AF177,"u")+COUNTIF($E177:AF177,"t")+COUNTIF($E177:AF177,"¶")+COUNTIF($E177:AF177,"²")+COUNTIF($E177:AF177,"µ")+COUNTIF($E177:AF177,1),ColDescriptionCourte)),""),
  "")),"")</f>
        <v/>
      </c>
      <c r="AH177" s="40" t="str">
        <f ca="1">IFERROR(IF(AND(
  INDEX(Roadmap!$D:$K,MATCH($E177,Roadmap!$D:$D,0)+COUNTIF($E177:AG177,"u")+COUNTIF($E177:AG177,"t")+COUNTIF($E177:AG177,1),ColLivraison)=AH$6,
  VLOOKUP($E177,INDIRECT("tri!"&amp; CHAR(64+ C0Col) &amp;":"&amp; CHAR(65+C0Col)),2,FALSE)&gt;COUNTIF($E177:AG177,"u")+COUNTIF($E177:AG177,"t")+COUNTIF($E177:AG177,1)),
HYPERLINK("#Roadmap!C"&amp; MATCH($E177,Roadmap!$D:$D,0)+COUNTIF($E177:AG177,"u")+COUNTIF($E177:AG177,"t"),
     INDEX(Roadmap!$D:$K,MATCH($E177,Roadmap!$D:$D,0)+COUNTIF($E177:AG177,"u")+COUNTIF($E177:AG177,"t")+COUNTIF($E177:AG177,1),ColTypeEcheance)),
  IF(OR(AG177="u",AG177="t",AG177=1),
  IF(LEN(INDEX(Roadmap!$D:$K,MATCH($E177,Roadmap!$D:$D,0)-1+COUNTIF($E177:AG177,"u")+COUNTIF($E177:AG177,"t")+COUNTIF($E177:AG177,1),ColDescriptionCourte))&gt;1,
HYPERLINK("#Roadmap!C"&amp; MATCH($E177,Roadmap!$D:$D,0)+COUNTIF($E177:AG177,"u")+COUNTIF($E177:AG177,"t")+COUNTIF($E177:AG177,1)-1,INDEX(Roadmap!$D:$K,MATCH($E177,Roadmap!$D:$D,0)-1+COUNTIF($E177:AG177,"u")+COUNTIF($E177:AG177,"t")+COUNTIF($E177:AG177,1),ColDescriptionCourte)),""),
  "")),"")</f>
        <v/>
      </c>
      <c r="AI177" s="40"/>
      <c r="AJ177" s="40"/>
      <c r="AK177" s="40"/>
      <c r="AL177" s="40"/>
      <c r="AM177" s="40"/>
    </row>
    <row r="178" spans="4:39" ht="14.1" customHeight="1">
      <c r="D178" s="20" t="str">
        <f t="shared" ca="1" si="31"/>
        <v/>
      </c>
      <c r="E178" s="53" t="str">
        <f t="shared" ca="1" si="32"/>
        <v/>
      </c>
      <c r="F178" s="39" t="str">
        <f ca="1">IFERROR(IF(AND(
  INDEX(Roadmap!$D:$K,MATCH($E178,Roadmap!$D:$D,0)+COUNTIF($E178:E178,"u")+COUNTIF($E178:E178,"t")+COUNTIF($E178:E178,"¶")+COUNTIF($E178:E178,"²")+COUNTIF($E178:E178,"µ")+COUNTIF($E178:E178,1),ColLivraison)=F$6,
  VLOOKUP($E178,INDIRECT("tri!"&amp; CHAR(64+ C0Col) &amp;":"&amp; CHAR(65+C0Col)),2,FALSE)&gt;COUNTIF($E178:E178,"u")+COUNTIF($E178:E178,"t")+COUNTIF($E178:E178,"¶")+COUNTIF($E178:E178,"²")+COUNTIF($E178:E178,"µ")+COUNTIF($E178:E178,1)),
HYPERLINK("#Roadmap!C"&amp; MATCH($E178,Roadmap!$D:$D,0)+COUNTIF($E178:E178,"u")+COUNTIF($E178:E178,"t"),
     INDEX(Roadmap!$D:$K,MATCH($E178,Roadmap!$D:$D,0)+COUNTIF($E178:E178,"u")+COUNTIF($E178:E178,"t")+COUNTIF($E178:E178,"¶")+COUNTIF($E178:E178,"²")+COUNTIF($E178:E178,"µ")+COUNTIF($E178:E178,1),ColTypeEcheance)),
  IF(LEN(E178)=1,
  IF(LEN(INDEX(Roadmap!$D:$K,MATCH($E178,Roadmap!$D:$D,0)-1+COUNTIF($E178:E178,"u")+COUNTIF($E178:E178,"t")+COUNTIF($E178:E178,"¶")+COUNTIF($E178:E178,"²")+COUNTIF($E178:E178,"µ")+COUNTIF($E178:E178,1),ColDescriptionCourte))&gt;1,
HYPERLINK("#Roadmap!C"&amp; MATCH($E178,Roadmap!$D:$D,0)+COUNTIF($E178:E178,"u")+COUNTIF($E178:E178,"t")+COUNTIF($E178:E178,"¶")+COUNTIF($E178:E178,"²")+COUNTIF($E178:E178,"µ")+COUNTIF($E178:E178,1)-1,INDEX(Roadmap!$D:$K,MATCH($E178,Roadmap!$D:$D,0)-1+COUNTIF($E178:E178,"u")+COUNTIF($E178:E178,"t")+COUNTIF($E178:E178,"¶")+COUNTIF($E178:E178,"²")+COUNTIF($E178:E178,"µ")+COUNTIF($E178:E178,1),ColDescriptionCourte)),""),
  "")),"")</f>
        <v/>
      </c>
      <c r="G178" s="40" t="str">
        <f ca="1">IFERROR(IF(AND(
  INDEX(Roadmap!$D:$K,MATCH($E178,Roadmap!$D:$D,0)+COUNTIF($E178:F178,"u")+COUNTIF($E178:F178,"t")+COUNTIF($E178:F178,"¶")+COUNTIF($E178:F178,"²")+COUNTIF($E178:F178,"µ")+COUNTIF($E178:F178,1),ColLivraison)=G$6,
  VLOOKUP($E178,INDIRECT("tri!"&amp; CHAR(64+ C0Col) &amp;":"&amp; CHAR(65+C0Col)),2,FALSE)&gt;COUNTIF($E178:F178,"u")+COUNTIF($E178:F178,"t")+COUNTIF($E178:F178,"¶")+COUNTIF($E178:F178,"²")+COUNTIF($E178:F178,"µ")+COUNTIF($E178:F178,1)),
HYPERLINK("#Roadmap!C"&amp; MATCH($E178,Roadmap!$D:$D,0)+COUNTIF($E178:F178,"u")+COUNTIF($E178:F178,"t"),
     INDEX(Roadmap!$D:$K,MATCH($E178,Roadmap!$D:$D,0)+COUNTIF($E178:F178,"u")+COUNTIF($E178:F178,"t")+COUNTIF($E178:F178,"¶")+COUNTIF($E178:F178,"²")+COUNTIF($E178:F178,"µ")+COUNTIF($E178:F178,1),ColTypeEcheance)),
  IF(LEN(F178)=1,
  IF(LEN(INDEX(Roadmap!$D:$K,MATCH($E178,Roadmap!$D:$D,0)-1+COUNTIF($E178:F178,"u")+COUNTIF($E178:F178,"t")+COUNTIF($E178:F178,"¶")+COUNTIF($E178:F178,"²")+COUNTIF($E178:F178,"µ")+COUNTIF($E178:F178,1),ColDescriptionCourte))&gt;1,
HYPERLINK("#Roadmap!C"&amp; MATCH($E178,Roadmap!$D:$D,0)+COUNTIF($E178:F178,"u")+COUNTIF($E178:F178,"t")+COUNTIF($E178:F178,"¶")+COUNTIF($E178:F178,"²")+COUNTIF($E178:F178,"µ")+COUNTIF($E178:F178,1)-1,INDEX(Roadmap!$D:$K,MATCH($E178,Roadmap!$D:$D,0)-1+COUNTIF($E178:F178,"u")+COUNTIF($E178:F178,"t")+COUNTIF($E178:F178,"¶")+COUNTIF($E178:F178,"²")+COUNTIF($E178:F178,"µ")+COUNTIF($E178:F178,1),ColDescriptionCourte)),""),
  "")),"")</f>
        <v/>
      </c>
      <c r="H178" s="40" t="str">
        <f ca="1">IFERROR(IF(AND(
  INDEX(Roadmap!$D:$K,MATCH($E178,Roadmap!$D:$D,0)+COUNTIF($E178:G178,"u")+COUNTIF($E178:G178,"t")+COUNTIF($E178:G178,"¶")+COUNTIF($E178:G178,"²")+COUNTIF($E178:G178,"µ")+COUNTIF($E178:G178,1),ColLivraison)=H$6,
  VLOOKUP($E178,INDIRECT("tri!"&amp; CHAR(64+ C0Col) &amp;":"&amp; CHAR(65+C0Col)),2,FALSE)&gt;COUNTIF($E178:G178,"u")+COUNTIF($E178:G178,"t")+COUNTIF($E178:G178,"¶")+COUNTIF($E178:G178,"²")+COUNTIF($E178:G178,"µ")+COUNTIF($E178:G178,1)),
HYPERLINK("#Roadmap!C"&amp; MATCH($E178,Roadmap!$D:$D,0)+COUNTIF($E178:G178,"u")+COUNTIF($E178:G178,"t"),
     INDEX(Roadmap!$D:$K,MATCH($E178,Roadmap!$D:$D,0)+COUNTIF($E178:G178,"u")+COUNTIF($E178:G178,"t")+COUNTIF($E178:G178,"¶")+COUNTIF($E178:G178,"²")+COUNTIF($E178:G178,"µ")+COUNTIF($E178:G178,1),ColTypeEcheance)),
  IF(LEN(G178)=1,
  IF(LEN(INDEX(Roadmap!$D:$K,MATCH($E178,Roadmap!$D:$D,0)-1+COUNTIF($E178:G178,"u")+COUNTIF($E178:G178,"t")+COUNTIF($E178:G178,"¶")+COUNTIF($E178:G178,"²")+COUNTIF($E178:G178,"µ")+COUNTIF($E178:G178,1),ColDescriptionCourte))&gt;1,
HYPERLINK("#Roadmap!C"&amp; MATCH($E178,Roadmap!$D:$D,0)+COUNTIF($E178:G178,"u")+COUNTIF($E178:G178,"t")+COUNTIF($E178:G178,"¶")+COUNTIF($E178:G178,"²")+COUNTIF($E178:G178,"µ")+COUNTIF($E178:G178,1)-1,INDEX(Roadmap!$D:$K,MATCH($E178,Roadmap!$D:$D,0)-1+COUNTIF($E178:G178,"u")+COUNTIF($E178:G178,"t")+COUNTIF($E178:G178,"¶")+COUNTIF($E178:G178,"²")+COUNTIF($E178:G178,"µ")+COUNTIF($E178:G178,1),ColDescriptionCourte)),""),
  "")),"")</f>
        <v/>
      </c>
      <c r="I178" s="40" t="str">
        <f ca="1">IFERROR(IF(AND(
  INDEX(Roadmap!$D:$K,MATCH($E178,Roadmap!$D:$D,0)+COUNTIF($E178:H178,"u")+COUNTIF($E178:H178,"t")+COUNTIF($E178:H178,"¶")+COUNTIF($E178:H178,"²")+COUNTIF($E178:H178,"µ")+COUNTIF($E178:H178,1),ColLivraison)=I$6,
  VLOOKUP($E178,INDIRECT("tri!"&amp; CHAR(64+ C0Col) &amp;":"&amp; CHAR(65+C0Col)),2,FALSE)&gt;COUNTIF($E178:H178,"u")+COUNTIF($E178:H178,"t")+COUNTIF($E178:H178,"¶")+COUNTIF($E178:H178,"²")+COUNTIF($E178:H178,"µ")+COUNTIF($E178:H178,1)),
HYPERLINK("#Roadmap!C"&amp; MATCH($E178,Roadmap!$D:$D,0)+COUNTIF($E178:H178,"u")+COUNTIF($E178:H178,"t"),
     INDEX(Roadmap!$D:$K,MATCH($E178,Roadmap!$D:$D,0)+COUNTIF($E178:H178,"u")+COUNTIF($E178:H178,"t")+COUNTIF($E178:H178,"¶")+COUNTIF($E178:H178,"²")+COUNTIF($E178:H178,"µ")+COUNTIF($E178:H178,1),ColTypeEcheance)),
  IF(LEN(H178)=1,
  IF(LEN(INDEX(Roadmap!$D:$K,MATCH($E178,Roadmap!$D:$D,0)-1+COUNTIF($E178:H178,"u")+COUNTIF($E178:H178,"t")+COUNTIF($E178:H178,"¶")+COUNTIF($E178:H178,"²")+COUNTIF($E178:H178,"µ")+COUNTIF($E178:H178,1),ColDescriptionCourte))&gt;1,
HYPERLINK("#Roadmap!C"&amp; MATCH($E178,Roadmap!$D:$D,0)+COUNTIF($E178:H178,"u")+COUNTIF($E178:H178,"t")+COUNTIF($E178:H178,"¶")+COUNTIF($E178:H178,"²")+COUNTIF($E178:H178,"µ")+COUNTIF($E178:H178,1)-1,INDEX(Roadmap!$D:$K,MATCH($E178,Roadmap!$D:$D,0)-1+COUNTIF($E178:H178,"u")+COUNTIF($E178:H178,"t")+COUNTIF($E178:H178,"¶")+COUNTIF($E178:H178,"²")+COUNTIF($E178:H178,"µ")+COUNTIF($E178:H178,1),ColDescriptionCourte)),""),
  "")),"")</f>
        <v/>
      </c>
      <c r="J178" s="40" t="str">
        <f ca="1">IFERROR(IF(AND(
  INDEX(Roadmap!$D:$K,MATCH($E178,Roadmap!$D:$D,0)+COUNTIF($E178:I178,"u")+COUNTIF($E178:I178,"t")+COUNTIF($E178:I178,"¶")+COUNTIF($E178:I178,"²")+COUNTIF($E178:I178,"µ")+COUNTIF($E178:I178,1),ColLivraison)=J$6,
  VLOOKUP($E178,INDIRECT("tri!"&amp; CHAR(64+ C0Col) &amp;":"&amp; CHAR(65+C0Col)),2,FALSE)&gt;COUNTIF($E178:I178,"u")+COUNTIF($E178:I178,"t")+COUNTIF($E178:I178,"¶")+COUNTIF($E178:I178,"²")+COUNTIF($E178:I178,"µ")+COUNTIF($E178:I178,1)),
HYPERLINK("#Roadmap!C"&amp; MATCH($E178,Roadmap!$D:$D,0)+COUNTIF($E178:I178,"u")+COUNTIF($E178:I178,"t"),
     INDEX(Roadmap!$D:$K,MATCH($E178,Roadmap!$D:$D,0)+COUNTIF($E178:I178,"u")+COUNTIF($E178:I178,"t")+COUNTIF($E178:I178,"¶")+COUNTIF($E178:I178,"²")+COUNTIF($E178:I178,"µ")+COUNTIF($E178:I178,1),ColTypeEcheance)),
  IF(LEN(I178)=1,
  IF(LEN(INDEX(Roadmap!$D:$K,MATCH($E178,Roadmap!$D:$D,0)-1+COUNTIF($E178:I178,"u")+COUNTIF($E178:I178,"t")+COUNTIF($E178:I178,"¶")+COUNTIF($E178:I178,"²")+COUNTIF($E178:I178,"µ")+COUNTIF($E178:I178,1),ColDescriptionCourte))&gt;1,
HYPERLINK("#Roadmap!C"&amp; MATCH($E178,Roadmap!$D:$D,0)+COUNTIF($E178:I178,"u")+COUNTIF($E178:I178,"t")+COUNTIF($E178:I178,"¶")+COUNTIF($E178:I178,"²")+COUNTIF($E178:I178,"µ")+COUNTIF($E178:I178,1)-1,INDEX(Roadmap!$D:$K,MATCH($E178,Roadmap!$D:$D,0)-1+COUNTIF($E178:I178,"u")+COUNTIF($E178:I178,"t")+COUNTIF($E178:I178,"¶")+COUNTIF($E178:I178,"²")+COUNTIF($E178:I178,"µ")+COUNTIF($E178:I178,1),ColDescriptionCourte)),""),
  "")),"")</f>
        <v/>
      </c>
      <c r="K178" s="40" t="str">
        <f ca="1">IFERROR(IF(AND(
  INDEX(Roadmap!$D:$K,MATCH($E178,Roadmap!$D:$D,0)+COUNTIF($E178:J178,"u")+COUNTIF($E178:J178,"t")+COUNTIF($E178:J178,"¶")+COUNTIF($E178:J178,"²")+COUNTIF($E178:J178,"µ")+COUNTIF($E178:J178,1),ColLivraison)=K$6,
  VLOOKUP($E178,INDIRECT("tri!"&amp; CHAR(64+ C0Col) &amp;":"&amp; CHAR(65+C0Col)),2,FALSE)&gt;COUNTIF($E178:J178,"u")+COUNTIF($E178:J178,"t")+COUNTIF($E178:J178,"¶")+COUNTIF($E178:J178,"²")+COUNTIF($E178:J178,"µ")+COUNTIF($E178:J178,1)),
HYPERLINK("#Roadmap!C"&amp; MATCH($E178,Roadmap!$D:$D,0)+COUNTIF($E178:J178,"u")+COUNTIF($E178:J178,"t"),
     INDEX(Roadmap!$D:$K,MATCH($E178,Roadmap!$D:$D,0)+COUNTIF($E178:J178,"u")+COUNTIF($E178:J178,"t")+COUNTIF($E178:J178,"¶")+COUNTIF($E178:J178,"²")+COUNTIF($E178:J178,"µ")+COUNTIF($E178:J178,1),ColTypeEcheance)),
  IF(LEN(J178)=1,
  IF(LEN(INDEX(Roadmap!$D:$K,MATCH($E178,Roadmap!$D:$D,0)-1+COUNTIF($E178:J178,"u")+COUNTIF($E178:J178,"t")+COUNTIF($E178:J178,"¶")+COUNTIF($E178:J178,"²")+COUNTIF($E178:J178,"µ")+COUNTIF($E178:J178,1),ColDescriptionCourte))&gt;1,
HYPERLINK("#Roadmap!C"&amp; MATCH($E178,Roadmap!$D:$D,0)+COUNTIF($E178:J178,"u")+COUNTIF($E178:J178,"t")+COUNTIF($E178:J178,"¶")+COUNTIF($E178:J178,"²")+COUNTIF($E178:J178,"µ")+COUNTIF($E178:J178,1)-1,INDEX(Roadmap!$D:$K,MATCH($E178,Roadmap!$D:$D,0)-1+COUNTIF($E178:J178,"u")+COUNTIF($E178:J178,"t")+COUNTIF($E178:J178,"¶")+COUNTIF($E178:J178,"²")+COUNTIF($E178:J178,"µ")+COUNTIF($E178:J178,1),ColDescriptionCourte)),""),
  "")),"")</f>
        <v/>
      </c>
      <c r="L178" s="39" t="str">
        <f ca="1">IFERROR(IF(AND(
  INDEX(Roadmap!$D:$K,MATCH($E178,Roadmap!$D:$D,0)+COUNTIF($E178:K178,"u")+COUNTIF($E178:K178,"t")+COUNTIF($E178:K178,"¶")+COUNTIF($E178:K178,"²")+COUNTIF($E178:K178,"µ")+COUNTIF($E178:K178,1),ColLivraison)=L$6,
  VLOOKUP($E178,INDIRECT("tri!"&amp; CHAR(64+ C0Col) &amp;":"&amp; CHAR(65+C0Col)),2,FALSE)&gt;COUNTIF($E178:K178,"u")+COUNTIF($E178:K178,"t")+COUNTIF($E178:K178,"¶")+COUNTIF($E178:K178,"²")+COUNTIF($E178:K178,"µ")+COUNTIF($E178:K178,1)),
HYPERLINK("#Roadmap!C"&amp; MATCH($E178,Roadmap!$D:$D,0)+COUNTIF($E178:K178,"u")+COUNTIF($E178:K178,"t"),
     INDEX(Roadmap!$D:$K,MATCH($E178,Roadmap!$D:$D,0)+COUNTIF($E178:K178,"u")+COUNTIF($E178:K178,"t")+COUNTIF($E178:K178,"¶")+COUNTIF($E178:K178,"²")+COUNTIF($E178:K178,"µ")+COUNTIF($E178:K178,1),ColTypeEcheance)),
  IF(LEN(K178)=1,
  IF(LEN(INDEX(Roadmap!$D:$K,MATCH($E178,Roadmap!$D:$D,0)-1+COUNTIF($E178:K178,"u")+COUNTIF($E178:K178,"t")+COUNTIF($E178:K178,"¶")+COUNTIF($E178:K178,"²")+COUNTIF($E178:K178,"µ")+COUNTIF($E178:K178,1),ColDescriptionCourte))&gt;1,
HYPERLINK("#Roadmap!C"&amp; MATCH($E178,Roadmap!$D:$D,0)+COUNTIF($E178:K178,"u")+COUNTIF($E178:K178,"t")+COUNTIF($E178:K178,"¶")+COUNTIF($E178:K178,"²")+COUNTIF($E178:K178,"µ")+COUNTIF($E178:K178,1)-1,INDEX(Roadmap!$D:$K,MATCH($E178,Roadmap!$D:$D,0)-1+COUNTIF($E178:K178,"u")+COUNTIF($E178:K178,"t")+COUNTIF($E178:K178,"¶")+COUNTIF($E178:K178,"²")+COUNTIF($E178:K178,"µ")+COUNTIF($E178:K178,1),ColDescriptionCourte)),""),
  "")),"")</f>
        <v/>
      </c>
      <c r="M178" s="40" t="str">
        <f ca="1">IFERROR(IF(AND(
  INDEX(Roadmap!$D:$K,MATCH($E178,Roadmap!$D:$D,0)+COUNTIF($E178:L178,"u")+COUNTIF($E178:L178,"t")+COUNTIF($E178:L178,"¶")+COUNTIF($E178:L178,"²")+COUNTIF($E178:L178,"µ")+COUNTIF($E178:L178,1),ColLivraison)=M$6,
  VLOOKUP($E178,INDIRECT("tri!"&amp; CHAR(64+ C0Col) &amp;":"&amp; CHAR(65+C0Col)),2,FALSE)&gt;COUNTIF($E178:L178,"u")+COUNTIF($E178:L178,"t")+COUNTIF($E178:L178,"¶")+COUNTIF($E178:L178,"²")+COUNTIF($E178:L178,"µ")+COUNTIF($E178:L178,1)),
HYPERLINK("#Roadmap!C"&amp; MATCH($E178,Roadmap!$D:$D,0)+COUNTIF($E178:L178,"u")+COUNTIF($E178:L178,"t"),
     INDEX(Roadmap!$D:$K,MATCH($E178,Roadmap!$D:$D,0)+COUNTIF($E178:L178,"u")+COUNTIF($E178:L178,"t")+COUNTIF($E178:L178,"¶")+COUNTIF($E178:L178,"²")+COUNTIF($E178:L178,"µ")+COUNTIF($E178:L178,1),ColTypeEcheance)),
  IF(LEN(L178)=1,
  IF(LEN(INDEX(Roadmap!$D:$K,MATCH($E178,Roadmap!$D:$D,0)-1+COUNTIF($E178:L178,"u")+COUNTIF($E178:L178,"t")+COUNTIF($E178:L178,"¶")+COUNTIF($E178:L178,"²")+COUNTIF($E178:L178,"µ")+COUNTIF($E178:L178,1),ColDescriptionCourte))&gt;1,
HYPERLINK("#Roadmap!C"&amp; MATCH($E178,Roadmap!$D:$D,0)+COUNTIF($E178:L178,"u")+COUNTIF($E178:L178,"t")+COUNTIF($E178:L178,"¶")+COUNTIF($E178:L178,"²")+COUNTIF($E178:L178,"µ")+COUNTIF($E178:L178,1)-1,INDEX(Roadmap!$D:$K,MATCH($E178,Roadmap!$D:$D,0)-1+COUNTIF($E178:L178,"u")+COUNTIF($E178:L178,"t")+COUNTIF($E178:L178,"¶")+COUNTIF($E178:L178,"²")+COUNTIF($E178:L178,"µ")+COUNTIF($E178:L178,1),ColDescriptionCourte)),""),
  "")),"")</f>
        <v/>
      </c>
      <c r="N178" s="40" t="str">
        <f ca="1">IFERROR(IF(AND(
  INDEX(Roadmap!$D:$K,MATCH($E178,Roadmap!$D:$D,0)+COUNTIF($E178:M178,"u")+COUNTIF($E178:M178,"t")+COUNTIF($E178:M178,"¶")+COUNTIF($E178:M178,"²")+COUNTIF($E178:M178,"µ")+COUNTIF($E178:M178,1),ColLivraison)=N$6,
  VLOOKUP($E178,INDIRECT("tri!"&amp; CHAR(64+ C0Col) &amp;":"&amp; CHAR(65+C0Col)),2,FALSE)&gt;COUNTIF($E178:M178,"u")+COUNTIF($E178:M178,"t")+COUNTIF($E178:M178,"¶")+COUNTIF($E178:M178,"²")+COUNTIF($E178:M178,"µ")+COUNTIF($E178:M178,1)),
HYPERLINK("#Roadmap!C"&amp; MATCH($E178,Roadmap!$D:$D,0)+COUNTIF($E178:M178,"u")+COUNTIF($E178:M178,"t"),
     INDEX(Roadmap!$D:$K,MATCH($E178,Roadmap!$D:$D,0)+COUNTIF($E178:M178,"u")+COUNTIF($E178:M178,"t")+COUNTIF($E178:M178,"¶")+COUNTIF($E178:M178,"²")+COUNTIF($E178:M178,"µ")+COUNTIF($E178:M178,1),ColTypeEcheance)),
  IF(LEN(M178)=1,
  IF(LEN(INDEX(Roadmap!$D:$K,MATCH($E178,Roadmap!$D:$D,0)-1+COUNTIF($E178:M178,"u")+COUNTIF($E178:M178,"t")+COUNTIF($E178:M178,"¶")+COUNTIF($E178:M178,"²")+COUNTIF($E178:M178,"µ")+COUNTIF($E178:M178,1),ColDescriptionCourte))&gt;1,
HYPERLINK("#Roadmap!C"&amp; MATCH($E178,Roadmap!$D:$D,0)+COUNTIF($E178:M178,"u")+COUNTIF($E178:M178,"t")+COUNTIF($E178:M178,"¶")+COUNTIF($E178:M178,"²")+COUNTIF($E178:M178,"µ")+COUNTIF($E178:M178,1)-1,INDEX(Roadmap!$D:$K,MATCH($E178,Roadmap!$D:$D,0)-1+COUNTIF($E178:M178,"u")+COUNTIF($E178:M178,"t")+COUNTIF($E178:M178,"¶")+COUNTIF($E178:M178,"²")+COUNTIF($E178:M178,"µ")+COUNTIF($E178:M178,1),ColDescriptionCourte)),""),
  "")),"")</f>
        <v/>
      </c>
      <c r="O178" s="40" t="str">
        <f ca="1">IFERROR(IF(AND(
  INDEX(Roadmap!$D:$K,MATCH($E178,Roadmap!$D:$D,0)+COUNTIF($E178:N178,"u")+COUNTIF($E178:N178,"t")+COUNTIF($E178:N178,"¶")+COUNTIF($E178:N178,"²")+COUNTIF($E178:N178,"µ")+COUNTIF($E178:N178,1),ColLivraison)=O$6,
  VLOOKUP($E178,INDIRECT("tri!"&amp; CHAR(64+ C0Col) &amp;":"&amp; CHAR(65+C0Col)),2,FALSE)&gt;COUNTIF($E178:N178,"u")+COUNTIF($E178:N178,"t")+COUNTIF($E178:N178,"¶")+COUNTIF($E178:N178,"²")+COUNTIF($E178:N178,"µ")+COUNTIF($E178:N178,1)),
HYPERLINK("#Roadmap!C"&amp; MATCH($E178,Roadmap!$D:$D,0)+COUNTIF($E178:N178,"u")+COUNTIF($E178:N178,"t"),
     INDEX(Roadmap!$D:$K,MATCH($E178,Roadmap!$D:$D,0)+COUNTIF($E178:N178,"u")+COUNTIF($E178:N178,"t")+COUNTIF($E178:N178,"¶")+COUNTIF($E178:N178,"²")+COUNTIF($E178:N178,"µ")+COUNTIF($E178:N178,1),ColTypeEcheance)),
  IF(LEN(N178)=1,
  IF(LEN(INDEX(Roadmap!$D:$K,MATCH($E178,Roadmap!$D:$D,0)-1+COUNTIF($E178:N178,"u")+COUNTIF($E178:N178,"t")+COUNTIF($E178:N178,"¶")+COUNTIF($E178:N178,"²")+COUNTIF($E178:N178,"µ")+COUNTIF($E178:N178,1),ColDescriptionCourte))&gt;1,
HYPERLINK("#Roadmap!C"&amp; MATCH($E178,Roadmap!$D:$D,0)+COUNTIF($E178:N178,"u")+COUNTIF($E178:N178,"t")+COUNTIF($E178:N178,"¶")+COUNTIF($E178:N178,"²")+COUNTIF($E178:N178,"µ")+COUNTIF($E178:N178,1)-1,INDEX(Roadmap!$D:$K,MATCH($E178,Roadmap!$D:$D,0)-1+COUNTIF($E178:N178,"u")+COUNTIF($E178:N178,"t")+COUNTIF($E178:N178,"¶")+COUNTIF($E178:N178,"²")+COUNTIF($E178:N178,"µ")+COUNTIF($E178:N178,1),ColDescriptionCourte)),""),
  "")),"")</f>
        <v/>
      </c>
      <c r="P178" s="40" t="str">
        <f ca="1">IFERROR(IF(AND(
  INDEX(Roadmap!$D:$K,MATCH($E178,Roadmap!$D:$D,0)+COUNTIF($E178:O178,"u")+COUNTIF($E178:O178,"t")+COUNTIF($E178:O178,"¶")+COUNTIF($E178:O178,"²")+COUNTIF($E178:O178,"µ")+COUNTIF($E178:O178,1),ColLivraison)=P$6,
  VLOOKUP($E178,INDIRECT("tri!"&amp; CHAR(64+ C0Col) &amp;":"&amp; CHAR(65+C0Col)),2,FALSE)&gt;COUNTIF($E178:O178,"u")+COUNTIF($E178:O178,"t")+COUNTIF($E178:O178,"¶")+COUNTIF($E178:O178,"²")+COUNTIF($E178:O178,"µ")+COUNTIF($E178:O178,1)),
HYPERLINK("#Roadmap!C"&amp; MATCH($E178,Roadmap!$D:$D,0)+COUNTIF($E178:O178,"u")+COUNTIF($E178:O178,"t"),
     INDEX(Roadmap!$D:$K,MATCH($E178,Roadmap!$D:$D,0)+COUNTIF($E178:O178,"u")+COUNTIF($E178:O178,"t")+COUNTIF($E178:O178,"¶")+COUNTIF($E178:O178,"²")+COUNTIF($E178:O178,"µ")+COUNTIF($E178:O178,1),ColTypeEcheance)),
  IF(LEN(O178)=1,
  IF(LEN(INDEX(Roadmap!$D:$K,MATCH($E178,Roadmap!$D:$D,0)-1+COUNTIF($E178:O178,"u")+COUNTIF($E178:O178,"t")+COUNTIF($E178:O178,"¶")+COUNTIF($E178:O178,"²")+COUNTIF($E178:O178,"µ")+COUNTIF($E178:O178,1),ColDescriptionCourte))&gt;1,
HYPERLINK("#Roadmap!C"&amp; MATCH($E178,Roadmap!$D:$D,0)+COUNTIF($E178:O178,"u")+COUNTIF($E178:O178,"t")+COUNTIF($E178:O178,"¶")+COUNTIF($E178:O178,"²")+COUNTIF($E178:O178,"µ")+COUNTIF($E178:O178,1)-1,INDEX(Roadmap!$D:$K,MATCH($E178,Roadmap!$D:$D,0)-1+COUNTIF($E178:O178,"u")+COUNTIF($E178:O178,"t")+COUNTIF($E178:O178,"¶")+COUNTIF($E178:O178,"²")+COUNTIF($E178:O178,"µ")+COUNTIF($E178:O178,1),ColDescriptionCourte)),""),
  "")),"")</f>
        <v/>
      </c>
      <c r="Q178" s="40" t="str">
        <f ca="1">IFERROR(IF(AND(
  INDEX(Roadmap!$D:$K,MATCH($E178,Roadmap!$D:$D,0)+COUNTIF($E178:P178,"u")+COUNTIF($E178:P178,"t")+COUNTIF($E178:P178,"¶")+COUNTIF($E178:P178,"²")+COUNTIF($E178:P178,"µ")+COUNTIF($E178:P178,1),ColLivraison)=Q$6,
  VLOOKUP($E178,INDIRECT("tri!"&amp; CHAR(64+ C0Col) &amp;":"&amp; CHAR(65+C0Col)),2,FALSE)&gt;COUNTIF($E178:P178,"u")+COUNTIF($E178:P178,"t")+COUNTIF($E178:P178,"¶")+COUNTIF($E178:P178,"²")+COUNTIF($E178:P178,"µ")+COUNTIF($E178:P178,1)),
HYPERLINK("#Roadmap!C"&amp; MATCH($E178,Roadmap!$D:$D,0)+COUNTIF($E178:P178,"u")+COUNTIF($E178:P178,"t"),
     INDEX(Roadmap!$D:$K,MATCH($E178,Roadmap!$D:$D,0)+COUNTIF($E178:P178,"u")+COUNTIF($E178:P178,"t")+COUNTIF($E178:P178,"¶")+COUNTIF($E178:P178,"²")+COUNTIF($E178:P178,"µ")+COUNTIF($E178:P178,1),ColTypeEcheance)),
  IF(LEN(P178)=1,
  IF(LEN(INDEX(Roadmap!$D:$K,MATCH($E178,Roadmap!$D:$D,0)-1+COUNTIF($E178:P178,"u")+COUNTIF($E178:P178,"t")+COUNTIF($E178:P178,"¶")+COUNTIF($E178:P178,"²")+COUNTIF($E178:P178,"µ")+COUNTIF($E178:P178,1),ColDescriptionCourte))&gt;1,
HYPERLINK("#Roadmap!C"&amp; MATCH($E178,Roadmap!$D:$D,0)+COUNTIF($E178:P178,"u")+COUNTIF($E178:P178,"t")+COUNTIF($E178:P178,"¶")+COUNTIF($E178:P178,"²")+COUNTIF($E178:P178,"µ")+COUNTIF($E178:P178,1)-1,INDEX(Roadmap!$D:$K,MATCH($E178,Roadmap!$D:$D,0)-1+COUNTIF($E178:P178,"u")+COUNTIF($E178:P178,"t")+COUNTIF($E178:P178,"¶")+COUNTIF($E178:P178,"²")+COUNTIF($E178:P178,"µ")+COUNTIF($E178:P178,1),ColDescriptionCourte)),""),
  "")),"")</f>
        <v/>
      </c>
      <c r="R178" s="40" t="str">
        <f ca="1">IFERROR(IF(AND(
  INDEX(Roadmap!$D:$K,MATCH($E178,Roadmap!$D:$D,0)+COUNTIF($E178:Q178,"u")+COUNTIF($E178:Q178,"t")+COUNTIF($E178:Q178,"¶")+COUNTIF($E178:Q178,"²")+COUNTIF($E178:Q178,"µ")+COUNTIF($E178:Q178,1),ColLivraison)=R$6,
  VLOOKUP($E178,INDIRECT("tri!"&amp; CHAR(64+ C0Col) &amp;":"&amp; CHAR(65+C0Col)),2,FALSE)&gt;COUNTIF($E178:Q178,"u")+COUNTIF($E178:Q178,"t")+COUNTIF($E178:Q178,"¶")+COUNTIF($E178:Q178,"²")+COUNTIF($E178:Q178,"µ")+COUNTIF($E178:Q178,1)),
HYPERLINK("#Roadmap!C"&amp; MATCH($E178,Roadmap!$D:$D,0)+COUNTIF($E178:Q178,"u")+COUNTIF($E178:Q178,"t"),
     INDEX(Roadmap!$D:$K,MATCH($E178,Roadmap!$D:$D,0)+COUNTIF($E178:Q178,"u")+COUNTIF($E178:Q178,"t")+COUNTIF($E178:Q178,"¶")+COUNTIF($E178:Q178,"²")+COUNTIF($E178:Q178,"µ")+COUNTIF($E178:Q178,1),ColTypeEcheance)),
  IF(LEN(Q178)=1,
  IF(LEN(INDEX(Roadmap!$D:$K,MATCH($E178,Roadmap!$D:$D,0)-1+COUNTIF($E178:Q178,"u")+COUNTIF($E178:Q178,"t")+COUNTIF($E178:Q178,"¶")+COUNTIF($E178:Q178,"²")+COUNTIF($E178:Q178,"µ")+COUNTIF($E178:Q178,1),ColDescriptionCourte))&gt;1,
HYPERLINK("#Roadmap!C"&amp; MATCH($E178,Roadmap!$D:$D,0)+COUNTIF($E178:Q178,"u")+COUNTIF($E178:Q178,"t")+COUNTIF($E178:Q178,"¶")+COUNTIF($E178:Q178,"²")+COUNTIF($E178:Q178,"µ")+COUNTIF($E178:Q178,1)-1,INDEX(Roadmap!$D:$K,MATCH($E178,Roadmap!$D:$D,0)-1+COUNTIF($E178:Q178,"u")+COUNTIF($E178:Q178,"t")+COUNTIF($E178:Q178,"¶")+COUNTIF($E178:Q178,"²")+COUNTIF($E178:Q178,"µ")+COUNTIF($E178:Q178,1),ColDescriptionCourte)),""),
  "")),"")</f>
        <v/>
      </c>
      <c r="S178" s="40" t="str">
        <f ca="1">IFERROR(IF(AND(
  INDEX(Roadmap!$D:$K,MATCH($E178,Roadmap!$D:$D,0)+COUNTIF($E178:R178,"u")+COUNTIF($E178:R178,"t")+COUNTIF($E178:R178,"¶")+COUNTIF($E178:R178,"²")+COUNTIF($E178:R178,"µ")+COUNTIF($E178:R178,1),ColLivraison)=S$6,
  VLOOKUP($E178,INDIRECT("tri!"&amp; CHAR(64+ C0Col) &amp;":"&amp; CHAR(65+C0Col)),2,FALSE)&gt;COUNTIF($E178:R178,"u")+COUNTIF($E178:R178,"t")+COUNTIF($E178:R178,"¶")+COUNTIF($E178:R178,"²")+COUNTIF($E178:R178,"µ")+COUNTIF($E178:R178,1)),
HYPERLINK("#Roadmap!C"&amp; MATCH($E178,Roadmap!$D:$D,0)+COUNTIF($E178:R178,"u")+COUNTIF($E178:R178,"t"),
     INDEX(Roadmap!$D:$K,MATCH($E178,Roadmap!$D:$D,0)+COUNTIF($E178:R178,"u")+COUNTIF($E178:R178,"t")+COUNTIF($E178:R178,"¶")+COUNTIF($E178:R178,"²")+COUNTIF($E178:R178,"µ")+COUNTIF($E178:R178,1),ColTypeEcheance)),
  IF(LEN(R178)=1,
  IF(LEN(INDEX(Roadmap!$D:$K,MATCH($E178,Roadmap!$D:$D,0)-1+COUNTIF($E178:R178,"u")+COUNTIF($E178:R178,"t")+COUNTIF($E178:R178,"¶")+COUNTIF($E178:R178,"²")+COUNTIF($E178:R178,"µ")+COUNTIF($E178:R178,1),ColDescriptionCourte))&gt;1,
HYPERLINK("#Roadmap!C"&amp; MATCH($E178,Roadmap!$D:$D,0)+COUNTIF($E178:R178,"u")+COUNTIF($E178:R178,"t")+COUNTIF($E178:R178,"¶")+COUNTIF($E178:R178,"²")+COUNTIF($E178:R178,"µ")+COUNTIF($E178:R178,1)-1,INDEX(Roadmap!$D:$K,MATCH($E178,Roadmap!$D:$D,0)-1+COUNTIF($E178:R178,"u")+COUNTIF($E178:R178,"t")+COUNTIF($E178:R178,"¶")+COUNTIF($E178:R178,"²")+COUNTIF($E178:R178,"µ")+COUNTIF($E178:R178,1),ColDescriptionCourte)),""),
  "")),"")</f>
        <v/>
      </c>
      <c r="T178" s="40" t="str">
        <f ca="1">IFERROR(IF(AND(
  INDEX(Roadmap!$D:$K,MATCH($E178,Roadmap!$D:$D,0)+COUNTIF($E178:S178,"u")+COUNTIF($E178:S178,"t")+COUNTIF($E178:S178,"¶")+COUNTIF($E178:S178,"²")+COUNTIF($E178:S178,"µ")+COUNTIF($E178:S178,1),ColLivraison)=T$6,
  VLOOKUP($E178,INDIRECT("tri!"&amp; CHAR(64+ C0Col) &amp;":"&amp; CHAR(65+C0Col)),2,FALSE)&gt;COUNTIF($E178:S178,"u")+COUNTIF($E178:S178,"t")+COUNTIF($E178:S178,"¶")+COUNTIF($E178:S178,"²")+COUNTIF($E178:S178,"µ")+COUNTIF($E178:S178,1)),
HYPERLINK("#Roadmap!C"&amp; MATCH($E178,Roadmap!$D:$D,0)+COUNTIF($E178:S178,"u")+COUNTIF($E178:S178,"t"),
     INDEX(Roadmap!$D:$K,MATCH($E178,Roadmap!$D:$D,0)+COUNTIF($E178:S178,"u")+COUNTIF($E178:S178,"t")+COUNTIF($E178:S178,"¶")+COUNTIF($E178:S178,"²")+COUNTIF($E178:S178,"µ")+COUNTIF($E178:S178,1),ColTypeEcheance)),
  IF(LEN(S178)=1,
  IF(LEN(INDEX(Roadmap!$D:$K,MATCH($E178,Roadmap!$D:$D,0)-1+COUNTIF($E178:S178,"u")+COUNTIF($E178:S178,"t")+COUNTIF($E178:S178,"¶")+COUNTIF($E178:S178,"²")+COUNTIF($E178:S178,"µ")+COUNTIF($E178:S178,1),ColDescriptionCourte))&gt;1,
HYPERLINK("#Roadmap!C"&amp; MATCH($E178,Roadmap!$D:$D,0)+COUNTIF($E178:S178,"u")+COUNTIF($E178:S178,"t")+COUNTIF($E178:S178,"¶")+COUNTIF($E178:S178,"²")+COUNTIF($E178:S178,"µ")+COUNTIF($E178:S178,1)-1,INDEX(Roadmap!$D:$K,MATCH($E178,Roadmap!$D:$D,0)-1+COUNTIF($E178:S178,"u")+COUNTIF($E178:S178,"t")+COUNTIF($E178:S178,"¶")+COUNTIF($E178:S178,"²")+COUNTIF($E178:S178,"µ")+COUNTIF($E178:S178,1),ColDescriptionCourte)),""),
  "")),"")</f>
        <v/>
      </c>
      <c r="U178" s="40" t="str">
        <f ca="1">IFERROR(IF(AND(
  INDEX(Roadmap!$D:$K,MATCH($E178,Roadmap!$D:$D,0)+COUNTIF($E178:T178,"u")+COUNTIF($E178:T178,"t")+COUNTIF($E178:T178,"¶")+COUNTIF($E178:T178,"²")+COUNTIF($E178:T178,"µ")+COUNTIF($E178:T178,1),ColLivraison)=U$6,
  VLOOKUP($E178,INDIRECT("tri!"&amp; CHAR(64+ C0Col) &amp;":"&amp; CHAR(65+C0Col)),2,FALSE)&gt;COUNTIF($E178:T178,"u")+COUNTIF($E178:T178,"t")+COUNTIF($E178:T178,"¶")+COUNTIF($E178:T178,"²")+COUNTIF($E178:T178,"µ")+COUNTIF($E178:T178,1)),
HYPERLINK("#Roadmap!C"&amp; MATCH($E178,Roadmap!$D:$D,0)+COUNTIF($E178:T178,"u")+COUNTIF($E178:T178,"t"),
     INDEX(Roadmap!$D:$K,MATCH($E178,Roadmap!$D:$D,0)+COUNTIF($E178:T178,"u")+COUNTIF($E178:T178,"t")+COUNTIF($E178:T178,"¶")+COUNTIF($E178:T178,"²")+COUNTIF($E178:T178,"µ")+COUNTIF($E178:T178,1),ColTypeEcheance)),
  IF(LEN(T178)=1,
  IF(LEN(INDEX(Roadmap!$D:$K,MATCH($E178,Roadmap!$D:$D,0)-1+COUNTIF($E178:T178,"u")+COUNTIF($E178:T178,"t")+COUNTIF($E178:T178,"¶")+COUNTIF($E178:T178,"²")+COUNTIF($E178:T178,"µ")+COUNTIF($E178:T178,1),ColDescriptionCourte))&gt;1,
HYPERLINK("#Roadmap!C"&amp; MATCH($E178,Roadmap!$D:$D,0)+COUNTIF($E178:T178,"u")+COUNTIF($E178:T178,"t")+COUNTIF($E178:T178,"¶")+COUNTIF($E178:T178,"²")+COUNTIF($E178:T178,"µ")+COUNTIF($E178:T178,1)-1,INDEX(Roadmap!$D:$K,MATCH($E178,Roadmap!$D:$D,0)-1+COUNTIF($E178:T178,"u")+COUNTIF($E178:T178,"t")+COUNTIF($E178:T178,"¶")+COUNTIF($E178:T178,"²")+COUNTIF($E178:T178,"µ")+COUNTIF($E178:T178,1),ColDescriptionCourte)),""),
  "")),"")</f>
        <v/>
      </c>
      <c r="V178" s="40" t="str">
        <f ca="1">IFERROR(IF(AND(
  INDEX(Roadmap!$D:$K,MATCH($E178,Roadmap!$D:$D,0)+COUNTIF($E178:U178,"u")+COUNTIF($E178:U178,"t")+COUNTIF($E178:U178,"¶")+COUNTIF($E178:U178,"²")+COUNTIF($E178:U178,"µ")+COUNTIF($E178:U178,1),ColLivraison)=V$6,
  VLOOKUP($E178,INDIRECT("tri!"&amp; CHAR(64+ C0Col) &amp;":"&amp; CHAR(65+C0Col)),2,FALSE)&gt;COUNTIF($E178:U178,"u")+COUNTIF($E178:U178,"t")+COUNTIF($E178:U178,"¶")+COUNTIF($E178:U178,"²")+COUNTIF($E178:U178,"µ")+COUNTIF($E178:U178,1)),
HYPERLINK("#Roadmap!C"&amp; MATCH($E178,Roadmap!$D:$D,0)+COUNTIF($E178:U178,"u")+COUNTIF($E178:U178,"t"),
     INDEX(Roadmap!$D:$K,MATCH($E178,Roadmap!$D:$D,0)+COUNTIF($E178:U178,"u")+COUNTIF($E178:U178,"t")+COUNTIF($E178:U178,"¶")+COUNTIF($E178:U178,"²")+COUNTIF($E178:U178,"µ")+COUNTIF($E178:U178,1),ColTypeEcheance)),
  IF(LEN(U178)=1,
  IF(LEN(INDEX(Roadmap!$D:$K,MATCH($E178,Roadmap!$D:$D,0)-1+COUNTIF($E178:U178,"u")+COUNTIF($E178:U178,"t")+COUNTIF($E178:U178,"¶")+COUNTIF($E178:U178,"²")+COUNTIF($E178:U178,"µ")+COUNTIF($E178:U178,1),ColDescriptionCourte))&gt;1,
HYPERLINK("#Roadmap!C"&amp; MATCH($E178,Roadmap!$D:$D,0)+COUNTIF($E178:U178,"u")+COUNTIF($E178:U178,"t")+COUNTIF($E178:U178,"¶")+COUNTIF($E178:U178,"²")+COUNTIF($E178:U178,"µ")+COUNTIF($E178:U178,1)-1,INDEX(Roadmap!$D:$K,MATCH($E178,Roadmap!$D:$D,0)-1+COUNTIF($E178:U178,"u")+COUNTIF($E178:U178,"t")+COUNTIF($E178:U178,"¶")+COUNTIF($E178:U178,"²")+COUNTIF($E178:U178,"µ")+COUNTIF($E178:U178,1),ColDescriptionCourte)),""),
  "")),"")</f>
        <v/>
      </c>
      <c r="W178" s="40" t="str">
        <f ca="1">IFERROR(IF(AND(
  INDEX(Roadmap!$D:$K,MATCH($E178,Roadmap!$D:$D,0)+COUNTIF($E178:V178,"u")+COUNTIF($E178:V178,"t")+COUNTIF($E178:V178,"¶")+COUNTIF($E178:V178,"²")+COUNTIF($E178:V178,"µ")+COUNTIF($E178:V178,1),ColLivraison)=W$6,
  VLOOKUP($E178,INDIRECT("tri!"&amp; CHAR(64+ C0Col) &amp;":"&amp; CHAR(65+C0Col)),2,FALSE)&gt;COUNTIF($E178:V178,"u")+COUNTIF($E178:V178,"t")+COUNTIF($E178:V178,"¶")+COUNTIF($E178:V178,"²")+COUNTIF($E178:V178,"µ")+COUNTIF($E178:V178,1)),
HYPERLINK("#Roadmap!C"&amp; MATCH($E178,Roadmap!$D:$D,0)+COUNTIF($E178:V178,"u")+COUNTIF($E178:V178,"t"),
     INDEX(Roadmap!$D:$K,MATCH($E178,Roadmap!$D:$D,0)+COUNTIF($E178:V178,"u")+COUNTIF($E178:V178,"t")+COUNTIF($E178:V178,"¶")+COUNTIF($E178:V178,"²")+COUNTIF($E178:V178,"µ")+COUNTIF($E178:V178,1),ColTypeEcheance)),
  IF(LEN(V178)=1,
  IF(LEN(INDEX(Roadmap!$D:$K,MATCH($E178,Roadmap!$D:$D,0)-1+COUNTIF($E178:V178,"u")+COUNTIF($E178:V178,"t")+COUNTIF($E178:V178,"¶")+COUNTIF($E178:V178,"²")+COUNTIF($E178:V178,"µ")+COUNTIF($E178:V178,1),ColDescriptionCourte))&gt;1,
HYPERLINK("#Roadmap!C"&amp; MATCH($E178,Roadmap!$D:$D,0)+COUNTIF($E178:V178,"u")+COUNTIF($E178:V178,"t")+COUNTIF($E178:V178,"¶")+COUNTIF($E178:V178,"²")+COUNTIF($E178:V178,"µ")+COUNTIF($E178:V178,1)-1,INDEX(Roadmap!$D:$K,MATCH($E178,Roadmap!$D:$D,0)-1+COUNTIF($E178:V178,"u")+COUNTIF($E178:V178,"t")+COUNTIF($E178:V178,"¶")+COUNTIF($E178:V178,"²")+COUNTIF($E178:V178,"µ")+COUNTIF($E178:V178,1),ColDescriptionCourte)),""),
  "")),"")</f>
        <v/>
      </c>
      <c r="X178" s="40" t="str">
        <f ca="1">IFERROR(IF(AND(
  INDEX(Roadmap!$D:$K,MATCH($E178,Roadmap!$D:$D,0)+COUNTIF($E178:W178,"u")+COUNTIF($E178:W178,"t")+COUNTIF($E178:W178,"¶")+COUNTIF($E178:W178,"²")+COUNTIF($E178:W178,"µ")+COUNTIF($E178:W178,1),ColLivraison)=X$6,
  VLOOKUP($E178,INDIRECT("tri!"&amp; CHAR(64+ C0Col) &amp;":"&amp; CHAR(65+C0Col)),2,FALSE)&gt;COUNTIF($E178:W178,"u")+COUNTIF($E178:W178,"t")+COUNTIF($E178:W178,"¶")+COUNTIF($E178:W178,"²")+COUNTIF($E178:W178,"µ")+COUNTIF($E178:W178,1)),
HYPERLINK("#Roadmap!C"&amp; MATCH($E178,Roadmap!$D:$D,0)+COUNTIF($E178:W178,"u")+COUNTIF($E178:W178,"t"),
     INDEX(Roadmap!$D:$K,MATCH($E178,Roadmap!$D:$D,0)+COUNTIF($E178:W178,"u")+COUNTIF($E178:W178,"t")+COUNTIF($E178:W178,"¶")+COUNTIF($E178:W178,"²")+COUNTIF($E178:W178,"µ")+COUNTIF($E178:W178,1),ColTypeEcheance)),
  IF(LEN(W178)=1,
  IF(LEN(INDEX(Roadmap!$D:$K,MATCH($E178,Roadmap!$D:$D,0)-1+COUNTIF($E178:W178,"u")+COUNTIF($E178:W178,"t")+COUNTIF($E178:W178,"¶")+COUNTIF($E178:W178,"²")+COUNTIF($E178:W178,"µ")+COUNTIF($E178:W178,1),ColDescriptionCourte))&gt;1,
HYPERLINK("#Roadmap!C"&amp; MATCH($E178,Roadmap!$D:$D,0)+COUNTIF($E178:W178,"u")+COUNTIF($E178:W178,"t")+COUNTIF($E178:W178,"¶")+COUNTIF($E178:W178,"²")+COUNTIF($E178:W178,"µ")+COUNTIF($E178:W178,1)-1,INDEX(Roadmap!$D:$K,MATCH($E178,Roadmap!$D:$D,0)-1+COUNTIF($E178:W178,"u")+COUNTIF($E178:W178,"t")+COUNTIF($E178:W178,"¶")+COUNTIF($E178:W178,"²")+COUNTIF($E178:W178,"µ")+COUNTIF($E178:W178,1),ColDescriptionCourte)),""),
  "")),"")</f>
        <v/>
      </c>
      <c r="Y178" s="40" t="str">
        <f ca="1">IFERROR(IF(AND(
  INDEX(Roadmap!$D:$K,MATCH($E178,Roadmap!$D:$D,0)+COUNTIF($E178:X178,"u")+COUNTIF($E178:X178,"t")+COUNTIF($E178:X178,"¶")+COUNTIF($E178:X178,"²")+COUNTIF($E178:X178,"µ")+COUNTIF($E178:X178,1),ColLivraison)=Y$6,
  VLOOKUP($E178,INDIRECT("tri!"&amp; CHAR(64+ C0Col) &amp;":"&amp; CHAR(65+C0Col)),2,FALSE)&gt;COUNTIF($E178:X178,"u")+COUNTIF($E178:X178,"t")+COUNTIF($E178:X178,"¶")+COUNTIF($E178:X178,"²")+COUNTIF($E178:X178,"µ")+COUNTIF($E178:X178,1)),
HYPERLINK("#Roadmap!C"&amp; MATCH($E178,Roadmap!$D:$D,0)+COUNTIF($E178:X178,"u")+COUNTIF($E178:X178,"t"),
     INDEX(Roadmap!$D:$K,MATCH($E178,Roadmap!$D:$D,0)+COUNTIF($E178:X178,"u")+COUNTIF($E178:X178,"t")+COUNTIF($E178:X178,"¶")+COUNTIF($E178:X178,"²")+COUNTIF($E178:X178,"µ")+COUNTIF($E178:X178,1),ColTypeEcheance)),
  IF(LEN(X178)=1,
  IF(LEN(INDEX(Roadmap!$D:$K,MATCH($E178,Roadmap!$D:$D,0)-1+COUNTIF($E178:X178,"u")+COUNTIF($E178:X178,"t")+COUNTIF($E178:X178,"¶")+COUNTIF($E178:X178,"²")+COUNTIF($E178:X178,"µ")+COUNTIF($E178:X178,1),ColDescriptionCourte))&gt;1,
HYPERLINK("#Roadmap!C"&amp; MATCH($E178,Roadmap!$D:$D,0)+COUNTIF($E178:X178,"u")+COUNTIF($E178:X178,"t")+COUNTIF($E178:X178,"¶")+COUNTIF($E178:X178,"²")+COUNTIF($E178:X178,"µ")+COUNTIF($E178:X178,1)-1,INDEX(Roadmap!$D:$K,MATCH($E178,Roadmap!$D:$D,0)-1+COUNTIF($E178:X178,"u")+COUNTIF($E178:X178,"t")+COUNTIF($E178:X178,"¶")+COUNTIF($E178:X178,"²")+COUNTIF($E178:X178,"µ")+COUNTIF($E178:X178,1),ColDescriptionCourte)),""),
  "")),"")</f>
        <v/>
      </c>
      <c r="Z178" s="40" t="str">
        <f ca="1">IFERROR(IF(AND(
  INDEX(Roadmap!$D:$K,MATCH($E178,Roadmap!$D:$D,0)+COUNTIF($E178:Y178,"u")+COUNTIF($E178:Y178,"t")+COUNTIF($E178:Y178,"¶")+COUNTIF($E178:Y178,"²")+COUNTIF($E178:Y178,"µ")+COUNTIF($E178:Y178,1),ColLivraison)=Z$6,
  VLOOKUP($E178,INDIRECT("tri!"&amp; CHAR(64+ C0Col) &amp;":"&amp; CHAR(65+C0Col)),2,FALSE)&gt;COUNTIF($E178:Y178,"u")+COUNTIF($E178:Y178,"t")+COUNTIF($E178:Y178,"¶")+COUNTIF($E178:Y178,"²")+COUNTIF($E178:Y178,"µ")+COUNTIF($E178:Y178,1)),
HYPERLINK("#Roadmap!C"&amp; MATCH($E178,Roadmap!$D:$D,0)+COUNTIF($E178:Y178,"u")+COUNTIF($E178:Y178,"t"),
     INDEX(Roadmap!$D:$K,MATCH($E178,Roadmap!$D:$D,0)+COUNTIF($E178:Y178,"u")+COUNTIF($E178:Y178,"t")+COUNTIF($E178:Y178,"¶")+COUNTIF($E178:Y178,"²")+COUNTIF($E178:Y178,"µ")+COUNTIF($E178:Y178,1),ColTypeEcheance)),
  IF(LEN(Y178)=1,
  IF(LEN(INDEX(Roadmap!$D:$K,MATCH($E178,Roadmap!$D:$D,0)-1+COUNTIF($E178:Y178,"u")+COUNTIF($E178:Y178,"t")+COUNTIF($E178:Y178,"¶")+COUNTIF($E178:Y178,"²")+COUNTIF($E178:Y178,"µ")+COUNTIF($E178:Y178,1),ColDescriptionCourte))&gt;1,
HYPERLINK("#Roadmap!C"&amp; MATCH($E178,Roadmap!$D:$D,0)+COUNTIF($E178:Y178,"u")+COUNTIF($E178:Y178,"t")+COUNTIF($E178:Y178,"¶")+COUNTIF($E178:Y178,"²")+COUNTIF($E178:Y178,"µ")+COUNTIF($E178:Y178,1)-1,INDEX(Roadmap!$D:$K,MATCH($E178,Roadmap!$D:$D,0)-1+COUNTIF($E178:Y178,"u")+COUNTIF($E178:Y178,"t")+COUNTIF($E178:Y178,"¶")+COUNTIF($E178:Y178,"²")+COUNTIF($E178:Y178,"µ")+COUNTIF($E178:Y178,1),ColDescriptionCourte)),""),
  "")),"")</f>
        <v/>
      </c>
      <c r="AA178" s="40" t="str">
        <f ca="1">IFERROR(IF(AND(
  INDEX(Roadmap!$D:$K,MATCH($E178,Roadmap!$D:$D,0)+COUNTIF($E178:Z178,"u")+COUNTIF($E178:Z178,"t")+COUNTIF($E178:Z178,"¶")+COUNTIF($E178:Z178,"²")+COUNTIF($E178:Z178,"µ")+COUNTIF($E178:Z178,1),ColLivraison)=AA$6,
  VLOOKUP($E178,INDIRECT("tri!"&amp; CHAR(64+ C0Col) &amp;":"&amp; CHAR(65+C0Col)),2,FALSE)&gt;COUNTIF($E178:Z178,"u")+COUNTIF($E178:Z178,"t")+COUNTIF($E178:Z178,"¶")+COUNTIF($E178:Z178,"²")+COUNTIF($E178:Z178,"µ")+COUNTIF($E178:Z178,1)),
HYPERLINK("#Roadmap!C"&amp; MATCH($E178,Roadmap!$D:$D,0)+COUNTIF($E178:Z178,"u")+COUNTIF($E178:Z178,"t"),
     INDEX(Roadmap!$D:$K,MATCH($E178,Roadmap!$D:$D,0)+COUNTIF($E178:Z178,"u")+COUNTIF($E178:Z178,"t")+COUNTIF($E178:Z178,"¶")+COUNTIF($E178:Z178,"²")+COUNTIF($E178:Z178,"µ")+COUNTIF($E178:Z178,1),ColTypeEcheance)),
  IF(LEN(Z178)=1,
  IF(LEN(INDEX(Roadmap!$D:$K,MATCH($E178,Roadmap!$D:$D,0)-1+COUNTIF($E178:Z178,"u")+COUNTIF($E178:Z178,"t")+COUNTIF($E178:Z178,"¶")+COUNTIF($E178:Z178,"²")+COUNTIF($E178:Z178,"µ")+COUNTIF($E178:Z178,1),ColDescriptionCourte))&gt;1,
HYPERLINK("#Roadmap!C"&amp; MATCH($E178,Roadmap!$D:$D,0)+COUNTIF($E178:Z178,"u")+COUNTIF($E178:Z178,"t")+COUNTIF($E178:Z178,"¶")+COUNTIF($E178:Z178,"²")+COUNTIF($E178:Z178,"µ")+COUNTIF($E178:Z178,1)-1,INDEX(Roadmap!$D:$K,MATCH($E178,Roadmap!$D:$D,0)-1+COUNTIF($E178:Z178,"u")+COUNTIF($E178:Z178,"t")+COUNTIF($E178:Z178,"¶")+COUNTIF($E178:Z178,"²")+COUNTIF($E178:Z178,"µ")+COUNTIF($E178:Z178,1),ColDescriptionCourte)),""),
  "")),"")</f>
        <v/>
      </c>
      <c r="AB178" s="40" t="str">
        <f ca="1">IFERROR(IF(AND(
  INDEX(Roadmap!$D:$K,MATCH($E178,Roadmap!$D:$D,0)+COUNTIF($E178:AA178,"u")+COUNTIF($E178:AA178,"t")+COUNTIF($E178:AA178,"¶")+COUNTIF($E178:AA178,"²")+COUNTIF($E178:AA178,"µ")+COUNTIF($E178:AA178,1),ColLivraison)=AB$6,
  VLOOKUP($E178,INDIRECT("tri!"&amp; CHAR(64+ C0Col) &amp;":"&amp; CHAR(65+C0Col)),2,FALSE)&gt;COUNTIF($E178:AA178,"u")+COUNTIF($E178:AA178,"t")+COUNTIF($E178:AA178,"¶")+COUNTIF($E178:AA178,"²")+COUNTIF($E178:AA178,"µ")+COUNTIF($E178:AA178,1)),
HYPERLINK("#Roadmap!C"&amp; MATCH($E178,Roadmap!$D:$D,0)+COUNTIF($E178:AA178,"u")+COUNTIF($E178:AA178,"t"),
     INDEX(Roadmap!$D:$K,MATCH($E178,Roadmap!$D:$D,0)+COUNTIF($E178:AA178,"u")+COUNTIF($E178:AA178,"t")+COUNTIF($E178:AA178,"¶")+COUNTIF($E178:AA178,"²")+COUNTIF($E178:AA178,"µ")+COUNTIF($E178:AA178,1),ColTypeEcheance)),
  IF(LEN(AA178)=1,
  IF(LEN(INDEX(Roadmap!$D:$K,MATCH($E178,Roadmap!$D:$D,0)-1+COUNTIF($E178:AA178,"u")+COUNTIF($E178:AA178,"t")+COUNTIF($E178:AA178,"¶")+COUNTIF($E178:AA178,"²")+COUNTIF($E178:AA178,"µ")+COUNTIF($E178:AA178,1),ColDescriptionCourte))&gt;1,
HYPERLINK("#Roadmap!C"&amp; MATCH($E178,Roadmap!$D:$D,0)+COUNTIF($E178:AA178,"u")+COUNTIF($E178:AA178,"t")+COUNTIF($E178:AA178,"¶")+COUNTIF($E178:AA178,"²")+COUNTIF($E178:AA178,"µ")+COUNTIF($E178:AA178,1)-1,INDEX(Roadmap!$D:$K,MATCH($E178,Roadmap!$D:$D,0)-1+COUNTIF($E178:AA178,"u")+COUNTIF($E178:AA178,"t")+COUNTIF($E178:AA178,"¶")+COUNTIF($E178:AA178,"²")+COUNTIF($E178:AA178,"µ")+COUNTIF($E178:AA178,1),ColDescriptionCourte)),""),
  "")),"")</f>
        <v/>
      </c>
      <c r="AC178" s="40" t="str">
        <f ca="1">IFERROR(IF(AND(
  INDEX(Roadmap!$D:$K,MATCH($E178,Roadmap!$D:$D,0)+COUNTIF($E178:AB178,"u")+COUNTIF($E178:AB178,"t")+COUNTIF($E178:AB178,"¶")+COUNTIF($E178:AB178,"²")+COUNTIF($E178:AB178,"µ")+COUNTIF($E178:AB178,1),ColLivraison)=AC$6,
  VLOOKUP($E178,INDIRECT("tri!"&amp; CHAR(64+ C0Col) &amp;":"&amp; CHAR(65+C0Col)),2,FALSE)&gt;COUNTIF($E178:AB178,"u")+COUNTIF($E178:AB178,"t")+COUNTIF($E178:AB178,"¶")+COUNTIF($E178:AB178,"²")+COUNTIF($E178:AB178,"µ")+COUNTIF($E178:AB178,1)),
HYPERLINK("#Roadmap!C"&amp; MATCH($E178,Roadmap!$D:$D,0)+COUNTIF($E178:AB178,"u")+COUNTIF($E178:AB178,"t"),
     INDEX(Roadmap!$D:$K,MATCH($E178,Roadmap!$D:$D,0)+COUNTIF($E178:AB178,"u")+COUNTIF($E178:AB178,"t")+COUNTIF($E178:AB178,"¶")+COUNTIF($E178:AB178,"²")+COUNTIF($E178:AB178,"µ")+COUNTIF($E178:AB178,1),ColTypeEcheance)),
  IF(LEN(AB178)=1,
  IF(LEN(INDEX(Roadmap!$D:$K,MATCH($E178,Roadmap!$D:$D,0)-1+COUNTIF($E178:AB178,"u")+COUNTIF($E178:AB178,"t")+COUNTIF($E178:AB178,"¶")+COUNTIF($E178:AB178,"²")+COUNTIF($E178:AB178,"µ")+COUNTIF($E178:AB178,1),ColDescriptionCourte))&gt;1,
HYPERLINK("#Roadmap!C"&amp; MATCH($E178,Roadmap!$D:$D,0)+COUNTIF($E178:AB178,"u")+COUNTIF($E178:AB178,"t")+COUNTIF($E178:AB178,"¶")+COUNTIF($E178:AB178,"²")+COUNTIF($E178:AB178,"µ")+COUNTIF($E178:AB178,1)-1,INDEX(Roadmap!$D:$K,MATCH($E178,Roadmap!$D:$D,0)-1+COUNTIF($E178:AB178,"u")+COUNTIF($E178:AB178,"t")+COUNTIF($E178:AB178,"¶")+COUNTIF($E178:AB178,"²")+COUNTIF($E178:AB178,"µ")+COUNTIF($E178:AB178,1),ColDescriptionCourte)),""),
  "")),"")</f>
        <v/>
      </c>
      <c r="AD178" s="40" t="str">
        <f ca="1">IFERROR(IF(AND(
  INDEX(Roadmap!$D:$K,MATCH($E178,Roadmap!$D:$D,0)+COUNTIF($E178:AC178,"u")+COUNTIF($E178:AC178,"t")+COUNTIF($E178:AC178,"¶")+COUNTIF($E178:AC178,"²")+COUNTIF($E178:AC178,"µ")+COUNTIF($E178:AC178,1),ColLivraison)=AD$6,
  VLOOKUP($E178,INDIRECT("tri!"&amp; CHAR(64+ C0Col) &amp;":"&amp; CHAR(65+C0Col)),2,FALSE)&gt;COUNTIF($E178:AC178,"u")+COUNTIF($E178:AC178,"t")+COUNTIF($E178:AC178,"¶")+COUNTIF($E178:AC178,"²")+COUNTIF($E178:AC178,"µ")+COUNTIF($E178:AC178,1)),
HYPERLINK("#Roadmap!C"&amp; MATCH($E178,Roadmap!$D:$D,0)+COUNTIF($E178:AC178,"u")+COUNTIF($E178:AC178,"t"),
     INDEX(Roadmap!$D:$K,MATCH($E178,Roadmap!$D:$D,0)+COUNTIF($E178:AC178,"u")+COUNTIF($E178:AC178,"t")+COUNTIF($E178:AC178,"¶")+COUNTIF($E178:AC178,"²")+COUNTIF($E178:AC178,"µ")+COUNTIF($E178:AC178,1),ColTypeEcheance)),
  IF(LEN(AC178)=1,
  IF(LEN(INDEX(Roadmap!$D:$K,MATCH($E178,Roadmap!$D:$D,0)-1+COUNTIF($E178:AC178,"u")+COUNTIF($E178:AC178,"t")+COUNTIF($E178:AC178,"¶")+COUNTIF($E178:AC178,"²")+COUNTIF($E178:AC178,"µ")+COUNTIF($E178:AC178,1),ColDescriptionCourte))&gt;1,
HYPERLINK("#Roadmap!C"&amp; MATCH($E178,Roadmap!$D:$D,0)+COUNTIF($E178:AC178,"u")+COUNTIF($E178:AC178,"t")+COUNTIF($E178:AC178,"¶")+COUNTIF($E178:AC178,"²")+COUNTIF($E178:AC178,"µ")+COUNTIF($E178:AC178,1)-1,INDEX(Roadmap!$D:$K,MATCH($E178,Roadmap!$D:$D,0)-1+COUNTIF($E178:AC178,"u")+COUNTIF($E178:AC178,"t")+COUNTIF($E178:AC178,"¶")+COUNTIF($E178:AC178,"²")+COUNTIF($E178:AC178,"µ")+COUNTIF($E178:AC178,1),ColDescriptionCourte)),""),
  "")),"")</f>
        <v/>
      </c>
      <c r="AE178" s="40" t="str">
        <f ca="1">IFERROR(IF(AND(
  INDEX(Roadmap!$D:$K,MATCH($E178,Roadmap!$D:$D,0)+COUNTIF($E178:AD178,"u")+COUNTIF($E178:AD178,"t")+COUNTIF($E178:AD178,"¶")+COUNTIF($E178:AD178,"²")+COUNTIF($E178:AD178,"µ")+COUNTIF($E178:AD178,1),ColLivraison)=AE$6,
  VLOOKUP($E178,INDIRECT("tri!"&amp; CHAR(64+ C0Col) &amp;":"&amp; CHAR(65+C0Col)),2,FALSE)&gt;COUNTIF($E178:AD178,"u")+COUNTIF($E178:AD178,"t")+COUNTIF($E178:AD178,"¶")+COUNTIF($E178:AD178,"²")+COUNTIF($E178:AD178,"µ")+COUNTIF($E178:AD178,1)),
HYPERLINK("#Roadmap!C"&amp; MATCH($E178,Roadmap!$D:$D,0)+COUNTIF($E178:AD178,"u")+COUNTIF($E178:AD178,"t"),
     INDEX(Roadmap!$D:$K,MATCH($E178,Roadmap!$D:$D,0)+COUNTIF($E178:AD178,"u")+COUNTIF($E178:AD178,"t")+COUNTIF($E178:AD178,"¶")+COUNTIF($E178:AD178,"²")+COUNTIF($E178:AD178,"µ")+COUNTIF($E178:AD178,1),ColTypeEcheance)),
  IF(LEN(AD178)=1,
  IF(LEN(INDEX(Roadmap!$D:$K,MATCH($E178,Roadmap!$D:$D,0)-1+COUNTIF($E178:AD178,"u")+COUNTIF($E178:AD178,"t")+COUNTIF($E178:AD178,"¶")+COUNTIF($E178:AD178,"²")+COUNTIF($E178:AD178,"µ")+COUNTIF($E178:AD178,1),ColDescriptionCourte))&gt;1,
HYPERLINK("#Roadmap!C"&amp; MATCH($E178,Roadmap!$D:$D,0)+COUNTIF($E178:AD178,"u")+COUNTIF($E178:AD178,"t")+COUNTIF($E178:AD178,"¶")+COUNTIF($E178:AD178,"²")+COUNTIF($E178:AD178,"µ")+COUNTIF($E178:AD178,1)-1,INDEX(Roadmap!$D:$K,MATCH($E178,Roadmap!$D:$D,0)-1+COUNTIF($E178:AD178,"u")+COUNTIF($E178:AD178,"t")+COUNTIF($E178:AD178,"¶")+COUNTIF($E178:AD178,"²")+COUNTIF($E178:AD178,"µ")+COUNTIF($E178:AD178,1),ColDescriptionCourte)),""),
  "")),"")</f>
        <v/>
      </c>
      <c r="AF178" s="40" t="str">
        <f ca="1">IFERROR(IF(AND(
  INDEX(Roadmap!$D:$K,MATCH($E178,Roadmap!$D:$D,0)+COUNTIF($E178:AE178,"u")+COUNTIF($E178:AE178,"t")+COUNTIF($E178:AE178,"¶")+COUNTIF($E178:AE178,"²")+COUNTIF($E178:AE178,"µ")+COUNTIF($E178:AE178,1),ColLivraison)=AF$6,
  VLOOKUP($E178,INDIRECT("tri!"&amp; CHAR(64+ C0Col) &amp;":"&amp; CHAR(65+C0Col)),2,FALSE)&gt;COUNTIF($E178:AE178,"u")+COUNTIF($E178:AE178,"t")+COUNTIF($E178:AE178,"¶")+COUNTIF($E178:AE178,"²")+COUNTIF($E178:AE178,"µ")+COUNTIF($E178:AE178,1)),
HYPERLINK("#Roadmap!C"&amp; MATCH($E178,Roadmap!$D:$D,0)+COUNTIF($E178:AE178,"u")+COUNTIF($E178:AE178,"t"),
     INDEX(Roadmap!$D:$K,MATCH($E178,Roadmap!$D:$D,0)+COUNTIF($E178:AE178,"u")+COUNTIF($E178:AE178,"t")+COUNTIF($E178:AE178,"¶")+COUNTIF($E178:AE178,"²")+COUNTIF($E178:AE178,"µ")+COUNTIF($E178:AE178,1),ColTypeEcheance)),
  IF(LEN(AE178)=1,
  IF(LEN(INDEX(Roadmap!$D:$K,MATCH($E178,Roadmap!$D:$D,0)-1+COUNTIF($E178:AE178,"u")+COUNTIF($E178:AE178,"t")+COUNTIF($E178:AE178,"¶")+COUNTIF($E178:AE178,"²")+COUNTIF($E178:AE178,"µ")+COUNTIF($E178:AE178,1),ColDescriptionCourte))&gt;1,
HYPERLINK("#Roadmap!C"&amp; MATCH($E178,Roadmap!$D:$D,0)+COUNTIF($E178:AE178,"u")+COUNTIF($E178:AE178,"t")+COUNTIF($E178:AE178,"¶")+COUNTIF($E178:AE178,"²")+COUNTIF($E178:AE178,"µ")+COUNTIF($E178:AE178,1)-1,INDEX(Roadmap!$D:$K,MATCH($E178,Roadmap!$D:$D,0)-1+COUNTIF($E178:AE178,"u")+COUNTIF($E178:AE178,"t")+COUNTIF($E178:AE178,"¶")+COUNTIF($E178:AE178,"²")+COUNTIF($E178:AE178,"µ")+COUNTIF($E178:AE178,1),ColDescriptionCourte)),""),
  "")),"")</f>
        <v/>
      </c>
      <c r="AG178" s="40" t="str">
        <f ca="1">IFERROR(IF(AND(
  INDEX(Roadmap!$D:$K,MATCH($E178,Roadmap!$D:$D,0)+COUNTIF($E178:AF178,"u")+COUNTIF($E178:AF178,"t")+COUNTIF($E178:AF178,"¶")+COUNTIF($E178:AF178,"²")+COUNTIF($E178:AF178,"µ")+COUNTIF($E178:AF178,1),ColLivraison)=AG$6,
  VLOOKUP($E178,INDIRECT("tri!"&amp; CHAR(64+ C0Col) &amp;":"&amp; CHAR(65+C0Col)),2,FALSE)&gt;COUNTIF($E178:AF178,"u")+COUNTIF($E178:AF178,"t")+COUNTIF($E178:AF178,"¶")+COUNTIF($E178:AF178,"²")+COUNTIF($E178:AF178,"µ")+COUNTIF($E178:AF178,1)),
HYPERLINK("#Roadmap!C"&amp; MATCH($E178,Roadmap!$D:$D,0)+COUNTIF($E178:AF178,"u")+COUNTIF($E178:AF178,"t"),
     INDEX(Roadmap!$D:$K,MATCH($E178,Roadmap!$D:$D,0)+COUNTIF($E178:AF178,"u")+COUNTIF($E178:AF178,"t")+COUNTIF($E178:AF178,"¶")+COUNTIF($E178:AF178,"²")+COUNTIF($E178:AF178,"µ")+COUNTIF($E178:AF178,1),ColTypeEcheance)),
  IF(LEN(AF178)=1,
  IF(LEN(INDEX(Roadmap!$D:$K,MATCH($E178,Roadmap!$D:$D,0)-1+COUNTIF($E178:AF178,"u")+COUNTIF($E178:AF178,"t")+COUNTIF($E178:AF178,"¶")+COUNTIF($E178:AF178,"²")+COUNTIF($E178:AF178,"µ")+COUNTIF($E178:AF178,1),ColDescriptionCourte))&gt;1,
HYPERLINK("#Roadmap!C"&amp; MATCH($E178,Roadmap!$D:$D,0)+COUNTIF($E178:AF178,"u")+COUNTIF($E178:AF178,"t")+COUNTIF($E178:AF178,"¶")+COUNTIF($E178:AF178,"²")+COUNTIF($E178:AF178,"µ")+COUNTIF($E178:AF178,1)-1,INDEX(Roadmap!$D:$K,MATCH($E178,Roadmap!$D:$D,0)-1+COUNTIF($E178:AF178,"u")+COUNTIF($E178:AF178,"t")+COUNTIF($E178:AF178,"¶")+COUNTIF($E178:AF178,"²")+COUNTIF($E178:AF178,"µ")+COUNTIF($E178:AF178,1),ColDescriptionCourte)),""),
  "")),"")</f>
        <v/>
      </c>
      <c r="AH178" s="40" t="str">
        <f ca="1">IFERROR(IF(AND(
  INDEX(Roadmap!$D:$K,MATCH($E178,Roadmap!$D:$D,0)+COUNTIF($E178:AG178,"u")+COUNTIF($E178:AG178,"t")+COUNTIF($E178:AG178,1),ColLivraison)=AH$6,
  VLOOKUP($E178,INDIRECT("tri!"&amp; CHAR(64+ C0Col) &amp;":"&amp; CHAR(65+C0Col)),2,FALSE)&gt;COUNTIF($E178:AG178,"u")+COUNTIF($E178:AG178,"t")+COUNTIF($E178:AG178,1)),
HYPERLINK("#Roadmap!C"&amp; MATCH($E178,Roadmap!$D:$D,0)+COUNTIF($E178:AG178,"u")+COUNTIF($E178:AG178,"t"),
     INDEX(Roadmap!$D:$K,MATCH($E178,Roadmap!$D:$D,0)+COUNTIF($E178:AG178,"u")+COUNTIF($E178:AG178,"t")+COUNTIF($E178:AG178,1),ColTypeEcheance)),
  IF(OR(AG178="u",AG178="t",AG178=1),
  IF(LEN(INDEX(Roadmap!$D:$K,MATCH($E178,Roadmap!$D:$D,0)-1+COUNTIF($E178:AG178,"u")+COUNTIF($E178:AG178,"t")+COUNTIF($E178:AG178,1),ColDescriptionCourte))&gt;1,
HYPERLINK("#Roadmap!C"&amp; MATCH($E178,Roadmap!$D:$D,0)+COUNTIF($E178:AG178,"u")+COUNTIF($E178:AG178,"t")+COUNTIF($E178:AG178,1)-1,INDEX(Roadmap!$D:$K,MATCH($E178,Roadmap!$D:$D,0)-1+COUNTIF($E178:AG178,"u")+COUNTIF($E178:AG178,"t")+COUNTIF($E178:AG178,1),ColDescriptionCourte)),""),
  "")),"")</f>
        <v/>
      </c>
      <c r="AI178" s="40"/>
      <c r="AJ178" s="40"/>
      <c r="AK178" s="40"/>
      <c r="AL178" s="40"/>
      <c r="AM178" s="40"/>
    </row>
    <row r="179" spans="4:39" ht="14.1" customHeight="1">
      <c r="D179" s="20" t="str">
        <f t="shared" ca="1" si="31"/>
        <v/>
      </c>
      <c r="E179" s="53" t="str">
        <f t="shared" ca="1" si="32"/>
        <v/>
      </c>
      <c r="F179" s="39" t="str">
        <f ca="1">IFERROR(IF(AND(
  INDEX(Roadmap!$D:$K,MATCH($E179,Roadmap!$D:$D,0)+COUNTIF($E179:E179,"u")+COUNTIF($E179:E179,"t")+COUNTIF($E179:E179,"¶")+COUNTIF($E179:E179,"²")+COUNTIF($E179:E179,"µ")+COUNTIF($E179:E179,1),ColLivraison)=F$6,
  VLOOKUP($E179,INDIRECT("tri!"&amp; CHAR(64+ C0Col) &amp;":"&amp; CHAR(65+C0Col)),2,FALSE)&gt;COUNTIF($E179:E179,"u")+COUNTIF($E179:E179,"t")+COUNTIF($E179:E179,"¶")+COUNTIF($E179:E179,"²")+COUNTIF($E179:E179,"µ")+COUNTIF($E179:E179,1)),
HYPERLINK("#Roadmap!C"&amp; MATCH($E179,Roadmap!$D:$D,0)+COUNTIF($E179:E179,"u")+COUNTIF($E179:E179,"t"),
     INDEX(Roadmap!$D:$K,MATCH($E179,Roadmap!$D:$D,0)+COUNTIF($E179:E179,"u")+COUNTIF($E179:E179,"t")+COUNTIF($E179:E179,"¶")+COUNTIF($E179:E179,"²")+COUNTIF($E179:E179,"µ")+COUNTIF($E179:E179,1),ColTypeEcheance)),
  IF(LEN(E179)=1,
  IF(LEN(INDEX(Roadmap!$D:$K,MATCH($E179,Roadmap!$D:$D,0)-1+COUNTIF($E179:E179,"u")+COUNTIF($E179:E179,"t")+COUNTIF($E179:E179,"¶")+COUNTIF($E179:E179,"²")+COUNTIF($E179:E179,"µ")+COUNTIF($E179:E179,1),ColDescriptionCourte))&gt;1,
HYPERLINK("#Roadmap!C"&amp; MATCH($E179,Roadmap!$D:$D,0)+COUNTIF($E179:E179,"u")+COUNTIF($E179:E179,"t")+COUNTIF($E179:E179,"¶")+COUNTIF($E179:E179,"²")+COUNTIF($E179:E179,"µ")+COUNTIF($E179:E179,1)-1,INDEX(Roadmap!$D:$K,MATCH($E179,Roadmap!$D:$D,0)-1+COUNTIF($E179:E179,"u")+COUNTIF($E179:E179,"t")+COUNTIF($E179:E179,"¶")+COUNTIF($E179:E179,"²")+COUNTIF($E179:E179,"µ")+COUNTIF($E179:E179,1),ColDescriptionCourte)),""),
  "")),"")</f>
        <v/>
      </c>
      <c r="G179" s="40" t="str">
        <f ca="1">IFERROR(IF(AND(
  INDEX(Roadmap!$D:$K,MATCH($E179,Roadmap!$D:$D,0)+COUNTIF($E179:F179,"u")+COUNTIF($E179:F179,"t")+COUNTIF($E179:F179,"¶")+COUNTIF($E179:F179,"²")+COUNTIF($E179:F179,"µ")+COUNTIF($E179:F179,1),ColLivraison)=G$6,
  VLOOKUP($E179,INDIRECT("tri!"&amp; CHAR(64+ C0Col) &amp;":"&amp; CHAR(65+C0Col)),2,FALSE)&gt;COUNTIF($E179:F179,"u")+COUNTIF($E179:F179,"t")+COUNTIF($E179:F179,"¶")+COUNTIF($E179:F179,"²")+COUNTIF($E179:F179,"µ")+COUNTIF($E179:F179,1)),
HYPERLINK("#Roadmap!C"&amp; MATCH($E179,Roadmap!$D:$D,0)+COUNTIF($E179:F179,"u")+COUNTIF($E179:F179,"t"),
     INDEX(Roadmap!$D:$K,MATCH($E179,Roadmap!$D:$D,0)+COUNTIF($E179:F179,"u")+COUNTIF($E179:F179,"t")+COUNTIF($E179:F179,"¶")+COUNTIF($E179:F179,"²")+COUNTIF($E179:F179,"µ")+COUNTIF($E179:F179,1),ColTypeEcheance)),
  IF(LEN(F179)=1,
  IF(LEN(INDEX(Roadmap!$D:$K,MATCH($E179,Roadmap!$D:$D,0)-1+COUNTIF($E179:F179,"u")+COUNTIF($E179:F179,"t")+COUNTIF($E179:F179,"¶")+COUNTIF($E179:F179,"²")+COUNTIF($E179:F179,"µ")+COUNTIF($E179:F179,1),ColDescriptionCourte))&gt;1,
HYPERLINK("#Roadmap!C"&amp; MATCH($E179,Roadmap!$D:$D,0)+COUNTIF($E179:F179,"u")+COUNTIF($E179:F179,"t")+COUNTIF($E179:F179,"¶")+COUNTIF($E179:F179,"²")+COUNTIF($E179:F179,"µ")+COUNTIF($E179:F179,1)-1,INDEX(Roadmap!$D:$K,MATCH($E179,Roadmap!$D:$D,0)-1+COUNTIF($E179:F179,"u")+COUNTIF($E179:F179,"t")+COUNTIF($E179:F179,"¶")+COUNTIF($E179:F179,"²")+COUNTIF($E179:F179,"µ")+COUNTIF($E179:F179,1),ColDescriptionCourte)),""),
  "")),"")</f>
        <v/>
      </c>
      <c r="H179" s="40" t="str">
        <f ca="1">IFERROR(IF(AND(
  INDEX(Roadmap!$D:$K,MATCH($E179,Roadmap!$D:$D,0)+COUNTIF($E179:G179,"u")+COUNTIF($E179:G179,"t")+COUNTIF($E179:G179,"¶")+COUNTIF($E179:G179,"²")+COUNTIF($E179:G179,"µ")+COUNTIF($E179:G179,1),ColLivraison)=H$6,
  VLOOKUP($E179,INDIRECT("tri!"&amp; CHAR(64+ C0Col) &amp;":"&amp; CHAR(65+C0Col)),2,FALSE)&gt;COUNTIF($E179:G179,"u")+COUNTIF($E179:G179,"t")+COUNTIF($E179:G179,"¶")+COUNTIF($E179:G179,"²")+COUNTIF($E179:G179,"µ")+COUNTIF($E179:G179,1)),
HYPERLINK("#Roadmap!C"&amp; MATCH($E179,Roadmap!$D:$D,0)+COUNTIF($E179:G179,"u")+COUNTIF($E179:G179,"t"),
     INDEX(Roadmap!$D:$K,MATCH($E179,Roadmap!$D:$D,0)+COUNTIF($E179:G179,"u")+COUNTIF($E179:G179,"t")+COUNTIF($E179:G179,"¶")+COUNTIF($E179:G179,"²")+COUNTIF($E179:G179,"µ")+COUNTIF($E179:G179,1),ColTypeEcheance)),
  IF(LEN(G179)=1,
  IF(LEN(INDEX(Roadmap!$D:$K,MATCH($E179,Roadmap!$D:$D,0)-1+COUNTIF($E179:G179,"u")+COUNTIF($E179:G179,"t")+COUNTIF($E179:G179,"¶")+COUNTIF($E179:G179,"²")+COUNTIF($E179:G179,"µ")+COUNTIF($E179:G179,1),ColDescriptionCourte))&gt;1,
HYPERLINK("#Roadmap!C"&amp; MATCH($E179,Roadmap!$D:$D,0)+COUNTIF($E179:G179,"u")+COUNTIF($E179:G179,"t")+COUNTIF($E179:G179,"¶")+COUNTIF($E179:G179,"²")+COUNTIF($E179:G179,"µ")+COUNTIF($E179:G179,1)-1,INDEX(Roadmap!$D:$K,MATCH($E179,Roadmap!$D:$D,0)-1+COUNTIF($E179:G179,"u")+COUNTIF($E179:G179,"t")+COUNTIF($E179:G179,"¶")+COUNTIF($E179:G179,"²")+COUNTIF($E179:G179,"µ")+COUNTIF($E179:G179,1),ColDescriptionCourte)),""),
  "")),"")</f>
        <v/>
      </c>
      <c r="I179" s="40" t="str">
        <f ca="1">IFERROR(IF(AND(
  INDEX(Roadmap!$D:$K,MATCH($E179,Roadmap!$D:$D,0)+COUNTIF($E179:H179,"u")+COUNTIF($E179:H179,"t")+COUNTIF($E179:H179,"¶")+COUNTIF($E179:H179,"²")+COUNTIF($E179:H179,"µ")+COUNTIF($E179:H179,1),ColLivraison)=I$6,
  VLOOKUP($E179,INDIRECT("tri!"&amp; CHAR(64+ C0Col) &amp;":"&amp; CHAR(65+C0Col)),2,FALSE)&gt;COUNTIF($E179:H179,"u")+COUNTIF($E179:H179,"t")+COUNTIF($E179:H179,"¶")+COUNTIF($E179:H179,"²")+COUNTIF($E179:H179,"µ")+COUNTIF($E179:H179,1)),
HYPERLINK("#Roadmap!C"&amp; MATCH($E179,Roadmap!$D:$D,0)+COUNTIF($E179:H179,"u")+COUNTIF($E179:H179,"t"),
     INDEX(Roadmap!$D:$K,MATCH($E179,Roadmap!$D:$D,0)+COUNTIF($E179:H179,"u")+COUNTIF($E179:H179,"t")+COUNTIF($E179:H179,"¶")+COUNTIF($E179:H179,"²")+COUNTIF($E179:H179,"µ")+COUNTIF($E179:H179,1),ColTypeEcheance)),
  IF(LEN(H179)=1,
  IF(LEN(INDEX(Roadmap!$D:$K,MATCH($E179,Roadmap!$D:$D,0)-1+COUNTIF($E179:H179,"u")+COUNTIF($E179:H179,"t")+COUNTIF($E179:H179,"¶")+COUNTIF($E179:H179,"²")+COUNTIF($E179:H179,"µ")+COUNTIF($E179:H179,1),ColDescriptionCourte))&gt;1,
HYPERLINK("#Roadmap!C"&amp; MATCH($E179,Roadmap!$D:$D,0)+COUNTIF($E179:H179,"u")+COUNTIF($E179:H179,"t")+COUNTIF($E179:H179,"¶")+COUNTIF($E179:H179,"²")+COUNTIF($E179:H179,"µ")+COUNTIF($E179:H179,1)-1,INDEX(Roadmap!$D:$K,MATCH($E179,Roadmap!$D:$D,0)-1+COUNTIF($E179:H179,"u")+COUNTIF($E179:H179,"t")+COUNTIF($E179:H179,"¶")+COUNTIF($E179:H179,"²")+COUNTIF($E179:H179,"µ")+COUNTIF($E179:H179,1),ColDescriptionCourte)),""),
  "")),"")</f>
        <v/>
      </c>
      <c r="J179" s="40" t="str">
        <f ca="1">IFERROR(IF(AND(
  INDEX(Roadmap!$D:$K,MATCH($E179,Roadmap!$D:$D,0)+COUNTIF($E179:I179,"u")+COUNTIF($E179:I179,"t")+COUNTIF($E179:I179,"¶")+COUNTIF($E179:I179,"²")+COUNTIF($E179:I179,"µ")+COUNTIF($E179:I179,1),ColLivraison)=J$6,
  VLOOKUP($E179,INDIRECT("tri!"&amp; CHAR(64+ C0Col) &amp;":"&amp; CHAR(65+C0Col)),2,FALSE)&gt;COUNTIF($E179:I179,"u")+COUNTIF($E179:I179,"t")+COUNTIF($E179:I179,"¶")+COUNTIF($E179:I179,"²")+COUNTIF($E179:I179,"µ")+COUNTIF($E179:I179,1)),
HYPERLINK("#Roadmap!C"&amp; MATCH($E179,Roadmap!$D:$D,0)+COUNTIF($E179:I179,"u")+COUNTIF($E179:I179,"t"),
     INDEX(Roadmap!$D:$K,MATCH($E179,Roadmap!$D:$D,0)+COUNTIF($E179:I179,"u")+COUNTIF($E179:I179,"t")+COUNTIF($E179:I179,"¶")+COUNTIF($E179:I179,"²")+COUNTIF($E179:I179,"µ")+COUNTIF($E179:I179,1),ColTypeEcheance)),
  IF(LEN(I179)=1,
  IF(LEN(INDEX(Roadmap!$D:$K,MATCH($E179,Roadmap!$D:$D,0)-1+COUNTIF($E179:I179,"u")+COUNTIF($E179:I179,"t")+COUNTIF($E179:I179,"¶")+COUNTIF($E179:I179,"²")+COUNTIF($E179:I179,"µ")+COUNTIF($E179:I179,1),ColDescriptionCourte))&gt;1,
HYPERLINK("#Roadmap!C"&amp; MATCH($E179,Roadmap!$D:$D,0)+COUNTIF($E179:I179,"u")+COUNTIF($E179:I179,"t")+COUNTIF($E179:I179,"¶")+COUNTIF($E179:I179,"²")+COUNTIF($E179:I179,"µ")+COUNTIF($E179:I179,1)-1,INDEX(Roadmap!$D:$K,MATCH($E179,Roadmap!$D:$D,0)-1+COUNTIF($E179:I179,"u")+COUNTIF($E179:I179,"t")+COUNTIF($E179:I179,"¶")+COUNTIF($E179:I179,"²")+COUNTIF($E179:I179,"µ")+COUNTIF($E179:I179,1),ColDescriptionCourte)),""),
  "")),"")</f>
        <v/>
      </c>
      <c r="K179" s="40" t="str">
        <f ca="1">IFERROR(IF(AND(
  INDEX(Roadmap!$D:$K,MATCH($E179,Roadmap!$D:$D,0)+COUNTIF($E179:J179,"u")+COUNTIF($E179:J179,"t")+COUNTIF($E179:J179,"¶")+COUNTIF($E179:J179,"²")+COUNTIF($E179:J179,"µ")+COUNTIF($E179:J179,1),ColLivraison)=K$6,
  VLOOKUP($E179,INDIRECT("tri!"&amp; CHAR(64+ C0Col) &amp;":"&amp; CHAR(65+C0Col)),2,FALSE)&gt;COUNTIF($E179:J179,"u")+COUNTIF($E179:J179,"t")+COUNTIF($E179:J179,"¶")+COUNTIF($E179:J179,"²")+COUNTIF($E179:J179,"µ")+COUNTIF($E179:J179,1)),
HYPERLINK("#Roadmap!C"&amp; MATCH($E179,Roadmap!$D:$D,0)+COUNTIF($E179:J179,"u")+COUNTIF($E179:J179,"t"),
     INDEX(Roadmap!$D:$K,MATCH($E179,Roadmap!$D:$D,0)+COUNTIF($E179:J179,"u")+COUNTIF($E179:J179,"t")+COUNTIF($E179:J179,"¶")+COUNTIF($E179:J179,"²")+COUNTIF($E179:J179,"µ")+COUNTIF($E179:J179,1),ColTypeEcheance)),
  IF(LEN(J179)=1,
  IF(LEN(INDEX(Roadmap!$D:$K,MATCH($E179,Roadmap!$D:$D,0)-1+COUNTIF($E179:J179,"u")+COUNTIF($E179:J179,"t")+COUNTIF($E179:J179,"¶")+COUNTIF($E179:J179,"²")+COUNTIF($E179:J179,"µ")+COUNTIF($E179:J179,1),ColDescriptionCourte))&gt;1,
HYPERLINK("#Roadmap!C"&amp; MATCH($E179,Roadmap!$D:$D,0)+COUNTIF($E179:J179,"u")+COUNTIF($E179:J179,"t")+COUNTIF($E179:J179,"¶")+COUNTIF($E179:J179,"²")+COUNTIF($E179:J179,"µ")+COUNTIF($E179:J179,1)-1,INDEX(Roadmap!$D:$K,MATCH($E179,Roadmap!$D:$D,0)-1+COUNTIF($E179:J179,"u")+COUNTIF($E179:J179,"t")+COUNTIF($E179:J179,"¶")+COUNTIF($E179:J179,"²")+COUNTIF($E179:J179,"µ")+COUNTIF($E179:J179,1),ColDescriptionCourte)),""),
  "")),"")</f>
        <v/>
      </c>
      <c r="L179" s="39" t="str">
        <f ca="1">IFERROR(IF(AND(
  INDEX(Roadmap!$D:$K,MATCH($E179,Roadmap!$D:$D,0)+COUNTIF($E179:K179,"u")+COUNTIF($E179:K179,"t")+COUNTIF($E179:K179,"¶")+COUNTIF($E179:K179,"²")+COUNTIF($E179:K179,"µ")+COUNTIF($E179:K179,1),ColLivraison)=L$6,
  VLOOKUP($E179,INDIRECT("tri!"&amp; CHAR(64+ C0Col) &amp;":"&amp; CHAR(65+C0Col)),2,FALSE)&gt;COUNTIF($E179:K179,"u")+COUNTIF($E179:K179,"t")+COUNTIF($E179:K179,"¶")+COUNTIF($E179:K179,"²")+COUNTIF($E179:K179,"µ")+COUNTIF($E179:K179,1)),
HYPERLINK("#Roadmap!C"&amp; MATCH($E179,Roadmap!$D:$D,0)+COUNTIF($E179:K179,"u")+COUNTIF($E179:K179,"t"),
     INDEX(Roadmap!$D:$K,MATCH($E179,Roadmap!$D:$D,0)+COUNTIF($E179:K179,"u")+COUNTIF($E179:K179,"t")+COUNTIF($E179:K179,"¶")+COUNTIF($E179:K179,"²")+COUNTIF($E179:K179,"µ")+COUNTIF($E179:K179,1),ColTypeEcheance)),
  IF(LEN(K179)=1,
  IF(LEN(INDEX(Roadmap!$D:$K,MATCH($E179,Roadmap!$D:$D,0)-1+COUNTIF($E179:K179,"u")+COUNTIF($E179:K179,"t")+COUNTIF($E179:K179,"¶")+COUNTIF($E179:K179,"²")+COUNTIF($E179:K179,"µ")+COUNTIF($E179:K179,1),ColDescriptionCourte))&gt;1,
HYPERLINK("#Roadmap!C"&amp; MATCH($E179,Roadmap!$D:$D,0)+COUNTIF($E179:K179,"u")+COUNTIF($E179:K179,"t")+COUNTIF($E179:K179,"¶")+COUNTIF($E179:K179,"²")+COUNTIF($E179:K179,"µ")+COUNTIF($E179:K179,1)-1,INDEX(Roadmap!$D:$K,MATCH($E179,Roadmap!$D:$D,0)-1+COUNTIF($E179:K179,"u")+COUNTIF($E179:K179,"t")+COUNTIF($E179:K179,"¶")+COUNTIF($E179:K179,"²")+COUNTIF($E179:K179,"µ")+COUNTIF($E179:K179,1),ColDescriptionCourte)),""),
  "")),"")</f>
        <v/>
      </c>
      <c r="M179" s="40" t="str">
        <f ca="1">IFERROR(IF(AND(
  INDEX(Roadmap!$D:$K,MATCH($E179,Roadmap!$D:$D,0)+COUNTIF($E179:L179,"u")+COUNTIF($E179:L179,"t")+COUNTIF($E179:L179,"¶")+COUNTIF($E179:L179,"²")+COUNTIF($E179:L179,"µ")+COUNTIF($E179:L179,1),ColLivraison)=M$6,
  VLOOKUP($E179,INDIRECT("tri!"&amp; CHAR(64+ C0Col) &amp;":"&amp; CHAR(65+C0Col)),2,FALSE)&gt;COUNTIF($E179:L179,"u")+COUNTIF($E179:L179,"t")+COUNTIF($E179:L179,"¶")+COUNTIF($E179:L179,"²")+COUNTIF($E179:L179,"µ")+COUNTIF($E179:L179,1)),
HYPERLINK("#Roadmap!C"&amp; MATCH($E179,Roadmap!$D:$D,0)+COUNTIF($E179:L179,"u")+COUNTIF($E179:L179,"t"),
     INDEX(Roadmap!$D:$K,MATCH($E179,Roadmap!$D:$D,0)+COUNTIF($E179:L179,"u")+COUNTIF($E179:L179,"t")+COUNTIF($E179:L179,"¶")+COUNTIF($E179:L179,"²")+COUNTIF($E179:L179,"µ")+COUNTIF($E179:L179,1),ColTypeEcheance)),
  IF(LEN(L179)=1,
  IF(LEN(INDEX(Roadmap!$D:$K,MATCH($E179,Roadmap!$D:$D,0)-1+COUNTIF($E179:L179,"u")+COUNTIF($E179:L179,"t")+COUNTIF($E179:L179,"¶")+COUNTIF($E179:L179,"²")+COUNTIF($E179:L179,"µ")+COUNTIF($E179:L179,1),ColDescriptionCourte))&gt;1,
HYPERLINK("#Roadmap!C"&amp; MATCH($E179,Roadmap!$D:$D,0)+COUNTIF($E179:L179,"u")+COUNTIF($E179:L179,"t")+COUNTIF($E179:L179,"¶")+COUNTIF($E179:L179,"²")+COUNTIF($E179:L179,"µ")+COUNTIF($E179:L179,1)-1,INDEX(Roadmap!$D:$K,MATCH($E179,Roadmap!$D:$D,0)-1+COUNTIF($E179:L179,"u")+COUNTIF($E179:L179,"t")+COUNTIF($E179:L179,"¶")+COUNTIF($E179:L179,"²")+COUNTIF($E179:L179,"µ")+COUNTIF($E179:L179,1),ColDescriptionCourte)),""),
  "")),"")</f>
        <v/>
      </c>
      <c r="N179" s="40" t="str">
        <f ca="1">IFERROR(IF(AND(
  INDEX(Roadmap!$D:$K,MATCH($E179,Roadmap!$D:$D,0)+COUNTIF($E179:M179,"u")+COUNTIF($E179:M179,"t")+COUNTIF($E179:M179,"¶")+COUNTIF($E179:M179,"²")+COUNTIF($E179:M179,"µ")+COUNTIF($E179:M179,1),ColLivraison)=N$6,
  VLOOKUP($E179,INDIRECT("tri!"&amp; CHAR(64+ C0Col) &amp;":"&amp; CHAR(65+C0Col)),2,FALSE)&gt;COUNTIF($E179:M179,"u")+COUNTIF($E179:M179,"t")+COUNTIF($E179:M179,"¶")+COUNTIF($E179:M179,"²")+COUNTIF($E179:M179,"µ")+COUNTIF($E179:M179,1)),
HYPERLINK("#Roadmap!C"&amp; MATCH($E179,Roadmap!$D:$D,0)+COUNTIF($E179:M179,"u")+COUNTIF($E179:M179,"t"),
     INDEX(Roadmap!$D:$K,MATCH($E179,Roadmap!$D:$D,0)+COUNTIF($E179:M179,"u")+COUNTIF($E179:M179,"t")+COUNTIF($E179:M179,"¶")+COUNTIF($E179:M179,"²")+COUNTIF($E179:M179,"µ")+COUNTIF($E179:M179,1),ColTypeEcheance)),
  IF(LEN(M179)=1,
  IF(LEN(INDEX(Roadmap!$D:$K,MATCH($E179,Roadmap!$D:$D,0)-1+COUNTIF($E179:M179,"u")+COUNTIF($E179:M179,"t")+COUNTIF($E179:M179,"¶")+COUNTIF($E179:M179,"²")+COUNTIF($E179:M179,"µ")+COUNTIF($E179:M179,1),ColDescriptionCourte))&gt;1,
HYPERLINK("#Roadmap!C"&amp; MATCH($E179,Roadmap!$D:$D,0)+COUNTIF($E179:M179,"u")+COUNTIF($E179:M179,"t")+COUNTIF($E179:M179,"¶")+COUNTIF($E179:M179,"²")+COUNTIF($E179:M179,"µ")+COUNTIF($E179:M179,1)-1,INDEX(Roadmap!$D:$K,MATCH($E179,Roadmap!$D:$D,0)-1+COUNTIF($E179:M179,"u")+COUNTIF($E179:M179,"t")+COUNTIF($E179:M179,"¶")+COUNTIF($E179:M179,"²")+COUNTIF($E179:M179,"µ")+COUNTIF($E179:M179,1),ColDescriptionCourte)),""),
  "")),"")</f>
        <v/>
      </c>
      <c r="O179" s="40" t="str">
        <f ca="1">IFERROR(IF(AND(
  INDEX(Roadmap!$D:$K,MATCH($E179,Roadmap!$D:$D,0)+COUNTIF($E179:N179,"u")+COUNTIF($E179:N179,"t")+COUNTIF($E179:N179,"¶")+COUNTIF($E179:N179,"²")+COUNTIF($E179:N179,"µ")+COUNTIF($E179:N179,1),ColLivraison)=O$6,
  VLOOKUP($E179,INDIRECT("tri!"&amp; CHAR(64+ C0Col) &amp;":"&amp; CHAR(65+C0Col)),2,FALSE)&gt;COUNTIF($E179:N179,"u")+COUNTIF($E179:N179,"t")+COUNTIF($E179:N179,"¶")+COUNTIF($E179:N179,"²")+COUNTIF($E179:N179,"µ")+COUNTIF($E179:N179,1)),
HYPERLINK("#Roadmap!C"&amp; MATCH($E179,Roadmap!$D:$D,0)+COUNTIF($E179:N179,"u")+COUNTIF($E179:N179,"t"),
     INDEX(Roadmap!$D:$K,MATCH($E179,Roadmap!$D:$D,0)+COUNTIF($E179:N179,"u")+COUNTIF($E179:N179,"t")+COUNTIF($E179:N179,"¶")+COUNTIF($E179:N179,"²")+COUNTIF($E179:N179,"µ")+COUNTIF($E179:N179,1),ColTypeEcheance)),
  IF(LEN(N179)=1,
  IF(LEN(INDEX(Roadmap!$D:$K,MATCH($E179,Roadmap!$D:$D,0)-1+COUNTIF($E179:N179,"u")+COUNTIF($E179:N179,"t")+COUNTIF($E179:N179,"¶")+COUNTIF($E179:N179,"²")+COUNTIF($E179:N179,"µ")+COUNTIF($E179:N179,1),ColDescriptionCourte))&gt;1,
HYPERLINK("#Roadmap!C"&amp; MATCH($E179,Roadmap!$D:$D,0)+COUNTIF($E179:N179,"u")+COUNTIF($E179:N179,"t")+COUNTIF($E179:N179,"¶")+COUNTIF($E179:N179,"²")+COUNTIF($E179:N179,"µ")+COUNTIF($E179:N179,1)-1,INDEX(Roadmap!$D:$K,MATCH($E179,Roadmap!$D:$D,0)-1+COUNTIF($E179:N179,"u")+COUNTIF($E179:N179,"t")+COUNTIF($E179:N179,"¶")+COUNTIF($E179:N179,"²")+COUNTIF($E179:N179,"µ")+COUNTIF($E179:N179,1),ColDescriptionCourte)),""),
  "")),"")</f>
        <v/>
      </c>
      <c r="P179" s="40" t="str">
        <f ca="1">IFERROR(IF(AND(
  INDEX(Roadmap!$D:$K,MATCH($E179,Roadmap!$D:$D,0)+COUNTIF($E179:O179,"u")+COUNTIF($E179:O179,"t")+COUNTIF($E179:O179,"¶")+COUNTIF($E179:O179,"²")+COUNTIF($E179:O179,"µ")+COUNTIF($E179:O179,1),ColLivraison)=P$6,
  VLOOKUP($E179,INDIRECT("tri!"&amp; CHAR(64+ C0Col) &amp;":"&amp; CHAR(65+C0Col)),2,FALSE)&gt;COUNTIF($E179:O179,"u")+COUNTIF($E179:O179,"t")+COUNTIF($E179:O179,"¶")+COUNTIF($E179:O179,"²")+COUNTIF($E179:O179,"µ")+COUNTIF($E179:O179,1)),
HYPERLINK("#Roadmap!C"&amp; MATCH($E179,Roadmap!$D:$D,0)+COUNTIF($E179:O179,"u")+COUNTIF($E179:O179,"t"),
     INDEX(Roadmap!$D:$K,MATCH($E179,Roadmap!$D:$D,0)+COUNTIF($E179:O179,"u")+COUNTIF($E179:O179,"t")+COUNTIF($E179:O179,"¶")+COUNTIF($E179:O179,"²")+COUNTIF($E179:O179,"µ")+COUNTIF($E179:O179,1),ColTypeEcheance)),
  IF(LEN(O179)=1,
  IF(LEN(INDEX(Roadmap!$D:$K,MATCH($E179,Roadmap!$D:$D,0)-1+COUNTIF($E179:O179,"u")+COUNTIF($E179:O179,"t")+COUNTIF($E179:O179,"¶")+COUNTIF($E179:O179,"²")+COUNTIF($E179:O179,"µ")+COUNTIF($E179:O179,1),ColDescriptionCourte))&gt;1,
HYPERLINK("#Roadmap!C"&amp; MATCH($E179,Roadmap!$D:$D,0)+COUNTIF($E179:O179,"u")+COUNTIF($E179:O179,"t")+COUNTIF($E179:O179,"¶")+COUNTIF($E179:O179,"²")+COUNTIF($E179:O179,"µ")+COUNTIF($E179:O179,1)-1,INDEX(Roadmap!$D:$K,MATCH($E179,Roadmap!$D:$D,0)-1+COUNTIF($E179:O179,"u")+COUNTIF($E179:O179,"t")+COUNTIF($E179:O179,"¶")+COUNTIF($E179:O179,"²")+COUNTIF($E179:O179,"µ")+COUNTIF($E179:O179,1),ColDescriptionCourte)),""),
  "")),"")</f>
        <v/>
      </c>
      <c r="Q179" s="40" t="str">
        <f ca="1">IFERROR(IF(AND(
  INDEX(Roadmap!$D:$K,MATCH($E179,Roadmap!$D:$D,0)+COUNTIF($E179:P179,"u")+COUNTIF($E179:P179,"t")+COUNTIF($E179:P179,"¶")+COUNTIF($E179:P179,"²")+COUNTIF($E179:P179,"µ")+COUNTIF($E179:P179,1),ColLivraison)=Q$6,
  VLOOKUP($E179,INDIRECT("tri!"&amp; CHAR(64+ C0Col) &amp;":"&amp; CHAR(65+C0Col)),2,FALSE)&gt;COUNTIF($E179:P179,"u")+COUNTIF($E179:P179,"t")+COUNTIF($E179:P179,"¶")+COUNTIF($E179:P179,"²")+COUNTIF($E179:P179,"µ")+COUNTIF($E179:P179,1)),
HYPERLINK("#Roadmap!C"&amp; MATCH($E179,Roadmap!$D:$D,0)+COUNTIF($E179:P179,"u")+COUNTIF($E179:P179,"t"),
     INDEX(Roadmap!$D:$K,MATCH($E179,Roadmap!$D:$D,0)+COUNTIF($E179:P179,"u")+COUNTIF($E179:P179,"t")+COUNTIF($E179:P179,"¶")+COUNTIF($E179:P179,"²")+COUNTIF($E179:P179,"µ")+COUNTIF($E179:P179,1),ColTypeEcheance)),
  IF(LEN(P179)=1,
  IF(LEN(INDEX(Roadmap!$D:$K,MATCH($E179,Roadmap!$D:$D,0)-1+COUNTIF($E179:P179,"u")+COUNTIF($E179:P179,"t")+COUNTIF($E179:P179,"¶")+COUNTIF($E179:P179,"²")+COUNTIF($E179:P179,"µ")+COUNTIF($E179:P179,1),ColDescriptionCourte))&gt;1,
HYPERLINK("#Roadmap!C"&amp; MATCH($E179,Roadmap!$D:$D,0)+COUNTIF($E179:P179,"u")+COUNTIF($E179:P179,"t")+COUNTIF($E179:P179,"¶")+COUNTIF($E179:P179,"²")+COUNTIF($E179:P179,"µ")+COUNTIF($E179:P179,1)-1,INDEX(Roadmap!$D:$K,MATCH($E179,Roadmap!$D:$D,0)-1+COUNTIF($E179:P179,"u")+COUNTIF($E179:P179,"t")+COUNTIF($E179:P179,"¶")+COUNTIF($E179:P179,"²")+COUNTIF($E179:P179,"µ")+COUNTIF($E179:P179,1),ColDescriptionCourte)),""),
  "")),"")</f>
        <v/>
      </c>
      <c r="R179" s="40" t="str">
        <f ca="1">IFERROR(IF(AND(
  INDEX(Roadmap!$D:$K,MATCH($E179,Roadmap!$D:$D,0)+COUNTIF($E179:Q179,"u")+COUNTIF($E179:Q179,"t")+COUNTIF($E179:Q179,"¶")+COUNTIF($E179:Q179,"²")+COUNTIF($E179:Q179,"µ")+COUNTIF($E179:Q179,1),ColLivraison)=R$6,
  VLOOKUP($E179,INDIRECT("tri!"&amp; CHAR(64+ C0Col) &amp;":"&amp; CHAR(65+C0Col)),2,FALSE)&gt;COUNTIF($E179:Q179,"u")+COUNTIF($E179:Q179,"t")+COUNTIF($E179:Q179,"¶")+COUNTIF($E179:Q179,"²")+COUNTIF($E179:Q179,"µ")+COUNTIF($E179:Q179,1)),
HYPERLINK("#Roadmap!C"&amp; MATCH($E179,Roadmap!$D:$D,0)+COUNTIF($E179:Q179,"u")+COUNTIF($E179:Q179,"t"),
     INDEX(Roadmap!$D:$K,MATCH($E179,Roadmap!$D:$D,0)+COUNTIF($E179:Q179,"u")+COUNTIF($E179:Q179,"t")+COUNTIF($E179:Q179,"¶")+COUNTIF($E179:Q179,"²")+COUNTIF($E179:Q179,"µ")+COUNTIF($E179:Q179,1),ColTypeEcheance)),
  IF(LEN(Q179)=1,
  IF(LEN(INDEX(Roadmap!$D:$K,MATCH($E179,Roadmap!$D:$D,0)-1+COUNTIF($E179:Q179,"u")+COUNTIF($E179:Q179,"t")+COUNTIF($E179:Q179,"¶")+COUNTIF($E179:Q179,"²")+COUNTIF($E179:Q179,"µ")+COUNTIF($E179:Q179,1),ColDescriptionCourte))&gt;1,
HYPERLINK("#Roadmap!C"&amp; MATCH($E179,Roadmap!$D:$D,0)+COUNTIF($E179:Q179,"u")+COUNTIF($E179:Q179,"t")+COUNTIF($E179:Q179,"¶")+COUNTIF($E179:Q179,"²")+COUNTIF($E179:Q179,"µ")+COUNTIF($E179:Q179,1)-1,INDEX(Roadmap!$D:$K,MATCH($E179,Roadmap!$D:$D,0)-1+COUNTIF($E179:Q179,"u")+COUNTIF($E179:Q179,"t")+COUNTIF($E179:Q179,"¶")+COUNTIF($E179:Q179,"²")+COUNTIF($E179:Q179,"µ")+COUNTIF($E179:Q179,1),ColDescriptionCourte)),""),
  "")),"")</f>
        <v/>
      </c>
      <c r="S179" s="40" t="str">
        <f ca="1">IFERROR(IF(AND(
  INDEX(Roadmap!$D:$K,MATCH($E179,Roadmap!$D:$D,0)+COUNTIF($E179:R179,"u")+COUNTIF($E179:R179,"t")+COUNTIF($E179:R179,"¶")+COUNTIF($E179:R179,"²")+COUNTIF($E179:R179,"µ")+COUNTIF($E179:R179,1),ColLivraison)=S$6,
  VLOOKUP($E179,INDIRECT("tri!"&amp; CHAR(64+ C0Col) &amp;":"&amp; CHAR(65+C0Col)),2,FALSE)&gt;COUNTIF($E179:R179,"u")+COUNTIF($E179:R179,"t")+COUNTIF($E179:R179,"¶")+COUNTIF($E179:R179,"²")+COUNTIF($E179:R179,"µ")+COUNTIF($E179:R179,1)),
HYPERLINK("#Roadmap!C"&amp; MATCH($E179,Roadmap!$D:$D,0)+COUNTIF($E179:R179,"u")+COUNTIF($E179:R179,"t"),
     INDEX(Roadmap!$D:$K,MATCH($E179,Roadmap!$D:$D,0)+COUNTIF($E179:R179,"u")+COUNTIF($E179:R179,"t")+COUNTIF($E179:R179,"¶")+COUNTIF($E179:R179,"²")+COUNTIF($E179:R179,"µ")+COUNTIF($E179:R179,1),ColTypeEcheance)),
  IF(LEN(R179)=1,
  IF(LEN(INDEX(Roadmap!$D:$K,MATCH($E179,Roadmap!$D:$D,0)-1+COUNTIF($E179:R179,"u")+COUNTIF($E179:R179,"t")+COUNTIF($E179:R179,"¶")+COUNTIF($E179:R179,"²")+COUNTIF($E179:R179,"µ")+COUNTIF($E179:R179,1),ColDescriptionCourte))&gt;1,
HYPERLINK("#Roadmap!C"&amp; MATCH($E179,Roadmap!$D:$D,0)+COUNTIF($E179:R179,"u")+COUNTIF($E179:R179,"t")+COUNTIF($E179:R179,"¶")+COUNTIF($E179:R179,"²")+COUNTIF($E179:R179,"µ")+COUNTIF($E179:R179,1)-1,INDEX(Roadmap!$D:$K,MATCH($E179,Roadmap!$D:$D,0)-1+COUNTIF($E179:R179,"u")+COUNTIF($E179:R179,"t")+COUNTIF($E179:R179,"¶")+COUNTIF($E179:R179,"²")+COUNTIF($E179:R179,"µ")+COUNTIF($E179:R179,1),ColDescriptionCourte)),""),
  "")),"")</f>
        <v/>
      </c>
      <c r="T179" s="40" t="str">
        <f ca="1">IFERROR(IF(AND(
  INDEX(Roadmap!$D:$K,MATCH($E179,Roadmap!$D:$D,0)+COUNTIF($E179:S179,"u")+COUNTIF($E179:S179,"t")+COUNTIF($E179:S179,"¶")+COUNTIF($E179:S179,"²")+COUNTIF($E179:S179,"µ")+COUNTIF($E179:S179,1),ColLivraison)=T$6,
  VLOOKUP($E179,INDIRECT("tri!"&amp; CHAR(64+ C0Col) &amp;":"&amp; CHAR(65+C0Col)),2,FALSE)&gt;COUNTIF($E179:S179,"u")+COUNTIF($E179:S179,"t")+COUNTIF($E179:S179,"¶")+COUNTIF($E179:S179,"²")+COUNTIF($E179:S179,"µ")+COUNTIF($E179:S179,1)),
HYPERLINK("#Roadmap!C"&amp; MATCH($E179,Roadmap!$D:$D,0)+COUNTIF($E179:S179,"u")+COUNTIF($E179:S179,"t"),
     INDEX(Roadmap!$D:$K,MATCH($E179,Roadmap!$D:$D,0)+COUNTIF($E179:S179,"u")+COUNTIF($E179:S179,"t")+COUNTIF($E179:S179,"¶")+COUNTIF($E179:S179,"²")+COUNTIF($E179:S179,"µ")+COUNTIF($E179:S179,1),ColTypeEcheance)),
  IF(LEN(S179)=1,
  IF(LEN(INDEX(Roadmap!$D:$K,MATCH($E179,Roadmap!$D:$D,0)-1+COUNTIF($E179:S179,"u")+COUNTIF($E179:S179,"t")+COUNTIF($E179:S179,"¶")+COUNTIF($E179:S179,"²")+COUNTIF($E179:S179,"µ")+COUNTIF($E179:S179,1),ColDescriptionCourte))&gt;1,
HYPERLINK("#Roadmap!C"&amp; MATCH($E179,Roadmap!$D:$D,0)+COUNTIF($E179:S179,"u")+COUNTIF($E179:S179,"t")+COUNTIF($E179:S179,"¶")+COUNTIF($E179:S179,"²")+COUNTIF($E179:S179,"µ")+COUNTIF($E179:S179,1)-1,INDEX(Roadmap!$D:$K,MATCH($E179,Roadmap!$D:$D,0)-1+COUNTIF($E179:S179,"u")+COUNTIF($E179:S179,"t")+COUNTIF($E179:S179,"¶")+COUNTIF($E179:S179,"²")+COUNTIF($E179:S179,"µ")+COUNTIF($E179:S179,1),ColDescriptionCourte)),""),
  "")),"")</f>
        <v/>
      </c>
      <c r="U179" s="40" t="str">
        <f ca="1">IFERROR(IF(AND(
  INDEX(Roadmap!$D:$K,MATCH($E179,Roadmap!$D:$D,0)+COUNTIF($E179:T179,"u")+COUNTIF($E179:T179,"t")+COUNTIF($E179:T179,"¶")+COUNTIF($E179:T179,"²")+COUNTIF($E179:T179,"µ")+COUNTIF($E179:T179,1),ColLivraison)=U$6,
  VLOOKUP($E179,INDIRECT("tri!"&amp; CHAR(64+ C0Col) &amp;":"&amp; CHAR(65+C0Col)),2,FALSE)&gt;COUNTIF($E179:T179,"u")+COUNTIF($E179:T179,"t")+COUNTIF($E179:T179,"¶")+COUNTIF($E179:T179,"²")+COUNTIF($E179:T179,"µ")+COUNTIF($E179:T179,1)),
HYPERLINK("#Roadmap!C"&amp; MATCH($E179,Roadmap!$D:$D,0)+COUNTIF($E179:T179,"u")+COUNTIF($E179:T179,"t"),
     INDEX(Roadmap!$D:$K,MATCH($E179,Roadmap!$D:$D,0)+COUNTIF($E179:T179,"u")+COUNTIF($E179:T179,"t")+COUNTIF($E179:T179,"¶")+COUNTIF($E179:T179,"²")+COUNTIF($E179:T179,"µ")+COUNTIF($E179:T179,1),ColTypeEcheance)),
  IF(LEN(T179)=1,
  IF(LEN(INDEX(Roadmap!$D:$K,MATCH($E179,Roadmap!$D:$D,0)-1+COUNTIF($E179:T179,"u")+COUNTIF($E179:T179,"t")+COUNTIF($E179:T179,"¶")+COUNTIF($E179:T179,"²")+COUNTIF($E179:T179,"µ")+COUNTIF($E179:T179,1),ColDescriptionCourte))&gt;1,
HYPERLINK("#Roadmap!C"&amp; MATCH($E179,Roadmap!$D:$D,0)+COUNTIF($E179:T179,"u")+COUNTIF($E179:T179,"t")+COUNTIF($E179:T179,"¶")+COUNTIF($E179:T179,"²")+COUNTIF($E179:T179,"µ")+COUNTIF($E179:T179,1)-1,INDEX(Roadmap!$D:$K,MATCH($E179,Roadmap!$D:$D,0)-1+COUNTIF($E179:T179,"u")+COUNTIF($E179:T179,"t")+COUNTIF($E179:T179,"¶")+COUNTIF($E179:T179,"²")+COUNTIF($E179:T179,"µ")+COUNTIF($E179:T179,1),ColDescriptionCourte)),""),
  "")),"")</f>
        <v/>
      </c>
      <c r="V179" s="40" t="str">
        <f ca="1">IFERROR(IF(AND(
  INDEX(Roadmap!$D:$K,MATCH($E179,Roadmap!$D:$D,0)+COUNTIF($E179:U179,"u")+COUNTIF($E179:U179,"t")+COUNTIF($E179:U179,"¶")+COUNTIF($E179:U179,"²")+COUNTIF($E179:U179,"µ")+COUNTIF($E179:U179,1),ColLivraison)=V$6,
  VLOOKUP($E179,INDIRECT("tri!"&amp; CHAR(64+ C0Col) &amp;":"&amp; CHAR(65+C0Col)),2,FALSE)&gt;COUNTIF($E179:U179,"u")+COUNTIF($E179:U179,"t")+COUNTIF($E179:U179,"¶")+COUNTIF($E179:U179,"²")+COUNTIF($E179:U179,"µ")+COUNTIF($E179:U179,1)),
HYPERLINK("#Roadmap!C"&amp; MATCH($E179,Roadmap!$D:$D,0)+COUNTIF($E179:U179,"u")+COUNTIF($E179:U179,"t"),
     INDEX(Roadmap!$D:$K,MATCH($E179,Roadmap!$D:$D,0)+COUNTIF($E179:U179,"u")+COUNTIF($E179:U179,"t")+COUNTIF($E179:U179,"¶")+COUNTIF($E179:U179,"²")+COUNTIF($E179:U179,"µ")+COUNTIF($E179:U179,1),ColTypeEcheance)),
  IF(LEN(U179)=1,
  IF(LEN(INDEX(Roadmap!$D:$K,MATCH($E179,Roadmap!$D:$D,0)-1+COUNTIF($E179:U179,"u")+COUNTIF($E179:U179,"t")+COUNTIF($E179:U179,"¶")+COUNTIF($E179:U179,"²")+COUNTIF($E179:U179,"µ")+COUNTIF($E179:U179,1),ColDescriptionCourte))&gt;1,
HYPERLINK("#Roadmap!C"&amp; MATCH($E179,Roadmap!$D:$D,0)+COUNTIF($E179:U179,"u")+COUNTIF($E179:U179,"t")+COUNTIF($E179:U179,"¶")+COUNTIF($E179:U179,"²")+COUNTIF($E179:U179,"µ")+COUNTIF($E179:U179,1)-1,INDEX(Roadmap!$D:$K,MATCH($E179,Roadmap!$D:$D,0)-1+COUNTIF($E179:U179,"u")+COUNTIF($E179:U179,"t")+COUNTIF($E179:U179,"¶")+COUNTIF($E179:U179,"²")+COUNTIF($E179:U179,"µ")+COUNTIF($E179:U179,1),ColDescriptionCourte)),""),
  "")),"")</f>
        <v/>
      </c>
      <c r="W179" s="40" t="str">
        <f ca="1">IFERROR(IF(AND(
  INDEX(Roadmap!$D:$K,MATCH($E179,Roadmap!$D:$D,0)+COUNTIF($E179:V179,"u")+COUNTIF($E179:V179,"t")+COUNTIF($E179:V179,"¶")+COUNTIF($E179:V179,"²")+COUNTIF($E179:V179,"µ")+COUNTIF($E179:V179,1),ColLivraison)=W$6,
  VLOOKUP($E179,INDIRECT("tri!"&amp; CHAR(64+ C0Col) &amp;":"&amp; CHAR(65+C0Col)),2,FALSE)&gt;COUNTIF($E179:V179,"u")+COUNTIF($E179:V179,"t")+COUNTIF($E179:V179,"¶")+COUNTIF($E179:V179,"²")+COUNTIF($E179:V179,"µ")+COUNTIF($E179:V179,1)),
HYPERLINK("#Roadmap!C"&amp; MATCH($E179,Roadmap!$D:$D,0)+COUNTIF($E179:V179,"u")+COUNTIF($E179:V179,"t"),
     INDEX(Roadmap!$D:$K,MATCH($E179,Roadmap!$D:$D,0)+COUNTIF($E179:V179,"u")+COUNTIF($E179:V179,"t")+COUNTIF($E179:V179,"¶")+COUNTIF($E179:V179,"²")+COUNTIF($E179:V179,"µ")+COUNTIF($E179:V179,1),ColTypeEcheance)),
  IF(LEN(V179)=1,
  IF(LEN(INDEX(Roadmap!$D:$K,MATCH($E179,Roadmap!$D:$D,0)-1+COUNTIF($E179:V179,"u")+COUNTIF($E179:V179,"t")+COUNTIF($E179:V179,"¶")+COUNTIF($E179:V179,"²")+COUNTIF($E179:V179,"µ")+COUNTIF($E179:V179,1),ColDescriptionCourte))&gt;1,
HYPERLINK("#Roadmap!C"&amp; MATCH($E179,Roadmap!$D:$D,0)+COUNTIF($E179:V179,"u")+COUNTIF($E179:V179,"t")+COUNTIF($E179:V179,"¶")+COUNTIF($E179:V179,"²")+COUNTIF($E179:V179,"µ")+COUNTIF($E179:V179,1)-1,INDEX(Roadmap!$D:$K,MATCH($E179,Roadmap!$D:$D,0)-1+COUNTIF($E179:V179,"u")+COUNTIF($E179:V179,"t")+COUNTIF($E179:V179,"¶")+COUNTIF($E179:V179,"²")+COUNTIF($E179:V179,"µ")+COUNTIF($E179:V179,1),ColDescriptionCourte)),""),
  "")),"")</f>
        <v/>
      </c>
      <c r="X179" s="40" t="str">
        <f ca="1">IFERROR(IF(AND(
  INDEX(Roadmap!$D:$K,MATCH($E179,Roadmap!$D:$D,0)+COUNTIF($E179:W179,"u")+COUNTIF($E179:W179,"t")+COUNTIF($E179:W179,"¶")+COUNTIF($E179:W179,"²")+COUNTIF($E179:W179,"µ")+COUNTIF($E179:W179,1),ColLivraison)=X$6,
  VLOOKUP($E179,INDIRECT("tri!"&amp; CHAR(64+ C0Col) &amp;":"&amp; CHAR(65+C0Col)),2,FALSE)&gt;COUNTIF($E179:W179,"u")+COUNTIF($E179:W179,"t")+COUNTIF($E179:W179,"¶")+COUNTIF($E179:W179,"²")+COUNTIF($E179:W179,"µ")+COUNTIF($E179:W179,1)),
HYPERLINK("#Roadmap!C"&amp; MATCH($E179,Roadmap!$D:$D,0)+COUNTIF($E179:W179,"u")+COUNTIF($E179:W179,"t"),
     INDEX(Roadmap!$D:$K,MATCH($E179,Roadmap!$D:$D,0)+COUNTIF($E179:W179,"u")+COUNTIF($E179:W179,"t")+COUNTIF($E179:W179,"¶")+COUNTIF($E179:W179,"²")+COUNTIF($E179:W179,"µ")+COUNTIF($E179:W179,1),ColTypeEcheance)),
  IF(LEN(W179)=1,
  IF(LEN(INDEX(Roadmap!$D:$K,MATCH($E179,Roadmap!$D:$D,0)-1+COUNTIF($E179:W179,"u")+COUNTIF($E179:W179,"t")+COUNTIF($E179:W179,"¶")+COUNTIF($E179:W179,"²")+COUNTIF($E179:W179,"µ")+COUNTIF($E179:W179,1),ColDescriptionCourte))&gt;1,
HYPERLINK("#Roadmap!C"&amp; MATCH($E179,Roadmap!$D:$D,0)+COUNTIF($E179:W179,"u")+COUNTIF($E179:W179,"t")+COUNTIF($E179:W179,"¶")+COUNTIF($E179:W179,"²")+COUNTIF($E179:W179,"µ")+COUNTIF($E179:W179,1)-1,INDEX(Roadmap!$D:$K,MATCH($E179,Roadmap!$D:$D,0)-1+COUNTIF($E179:W179,"u")+COUNTIF($E179:W179,"t")+COUNTIF($E179:W179,"¶")+COUNTIF($E179:W179,"²")+COUNTIF($E179:W179,"µ")+COUNTIF($E179:W179,1),ColDescriptionCourte)),""),
  "")),"")</f>
        <v/>
      </c>
      <c r="Y179" s="40" t="str">
        <f ca="1">IFERROR(IF(AND(
  INDEX(Roadmap!$D:$K,MATCH($E179,Roadmap!$D:$D,0)+COUNTIF($E179:X179,"u")+COUNTIF($E179:X179,"t")+COUNTIF($E179:X179,"¶")+COUNTIF($E179:X179,"²")+COUNTIF($E179:X179,"µ")+COUNTIF($E179:X179,1),ColLivraison)=Y$6,
  VLOOKUP($E179,INDIRECT("tri!"&amp; CHAR(64+ C0Col) &amp;":"&amp; CHAR(65+C0Col)),2,FALSE)&gt;COUNTIF($E179:X179,"u")+COUNTIF($E179:X179,"t")+COUNTIF($E179:X179,"¶")+COUNTIF($E179:X179,"²")+COUNTIF($E179:X179,"µ")+COUNTIF($E179:X179,1)),
HYPERLINK("#Roadmap!C"&amp; MATCH($E179,Roadmap!$D:$D,0)+COUNTIF($E179:X179,"u")+COUNTIF($E179:X179,"t"),
     INDEX(Roadmap!$D:$K,MATCH($E179,Roadmap!$D:$D,0)+COUNTIF($E179:X179,"u")+COUNTIF($E179:X179,"t")+COUNTIF($E179:X179,"¶")+COUNTIF($E179:X179,"²")+COUNTIF($E179:X179,"µ")+COUNTIF($E179:X179,1),ColTypeEcheance)),
  IF(LEN(X179)=1,
  IF(LEN(INDEX(Roadmap!$D:$K,MATCH($E179,Roadmap!$D:$D,0)-1+COUNTIF($E179:X179,"u")+COUNTIF($E179:X179,"t")+COUNTIF($E179:X179,"¶")+COUNTIF($E179:X179,"²")+COUNTIF($E179:X179,"µ")+COUNTIF($E179:X179,1),ColDescriptionCourte))&gt;1,
HYPERLINK("#Roadmap!C"&amp; MATCH($E179,Roadmap!$D:$D,0)+COUNTIF($E179:X179,"u")+COUNTIF($E179:X179,"t")+COUNTIF($E179:X179,"¶")+COUNTIF($E179:X179,"²")+COUNTIF($E179:X179,"µ")+COUNTIF($E179:X179,1)-1,INDEX(Roadmap!$D:$K,MATCH($E179,Roadmap!$D:$D,0)-1+COUNTIF($E179:X179,"u")+COUNTIF($E179:X179,"t")+COUNTIF($E179:X179,"¶")+COUNTIF($E179:X179,"²")+COUNTIF($E179:X179,"µ")+COUNTIF($E179:X179,1),ColDescriptionCourte)),""),
  "")),"")</f>
        <v/>
      </c>
      <c r="Z179" s="40" t="str">
        <f ca="1">IFERROR(IF(AND(
  INDEX(Roadmap!$D:$K,MATCH($E179,Roadmap!$D:$D,0)+COUNTIF($E179:Y179,"u")+COUNTIF($E179:Y179,"t")+COUNTIF($E179:Y179,"¶")+COUNTIF($E179:Y179,"²")+COUNTIF($E179:Y179,"µ")+COUNTIF($E179:Y179,1),ColLivraison)=Z$6,
  VLOOKUP($E179,INDIRECT("tri!"&amp; CHAR(64+ C0Col) &amp;":"&amp; CHAR(65+C0Col)),2,FALSE)&gt;COUNTIF($E179:Y179,"u")+COUNTIF($E179:Y179,"t")+COUNTIF($E179:Y179,"¶")+COUNTIF($E179:Y179,"²")+COUNTIF($E179:Y179,"µ")+COUNTIF($E179:Y179,1)),
HYPERLINK("#Roadmap!C"&amp; MATCH($E179,Roadmap!$D:$D,0)+COUNTIF($E179:Y179,"u")+COUNTIF($E179:Y179,"t"),
     INDEX(Roadmap!$D:$K,MATCH($E179,Roadmap!$D:$D,0)+COUNTIF($E179:Y179,"u")+COUNTIF($E179:Y179,"t")+COUNTIF($E179:Y179,"¶")+COUNTIF($E179:Y179,"²")+COUNTIF($E179:Y179,"µ")+COUNTIF($E179:Y179,1),ColTypeEcheance)),
  IF(LEN(Y179)=1,
  IF(LEN(INDEX(Roadmap!$D:$K,MATCH($E179,Roadmap!$D:$D,0)-1+COUNTIF($E179:Y179,"u")+COUNTIF($E179:Y179,"t")+COUNTIF($E179:Y179,"¶")+COUNTIF($E179:Y179,"²")+COUNTIF($E179:Y179,"µ")+COUNTIF($E179:Y179,1),ColDescriptionCourte))&gt;1,
HYPERLINK("#Roadmap!C"&amp; MATCH($E179,Roadmap!$D:$D,0)+COUNTIF($E179:Y179,"u")+COUNTIF($E179:Y179,"t")+COUNTIF($E179:Y179,"¶")+COUNTIF($E179:Y179,"²")+COUNTIF($E179:Y179,"µ")+COUNTIF($E179:Y179,1)-1,INDEX(Roadmap!$D:$K,MATCH($E179,Roadmap!$D:$D,0)-1+COUNTIF($E179:Y179,"u")+COUNTIF($E179:Y179,"t")+COUNTIF($E179:Y179,"¶")+COUNTIF($E179:Y179,"²")+COUNTIF($E179:Y179,"µ")+COUNTIF($E179:Y179,1),ColDescriptionCourte)),""),
  "")),"")</f>
        <v/>
      </c>
      <c r="AA179" s="40" t="str">
        <f ca="1">IFERROR(IF(AND(
  INDEX(Roadmap!$D:$K,MATCH($E179,Roadmap!$D:$D,0)+COUNTIF($E179:Z179,"u")+COUNTIF($E179:Z179,"t")+COUNTIF($E179:Z179,"¶")+COUNTIF($E179:Z179,"²")+COUNTIF($E179:Z179,"µ")+COUNTIF($E179:Z179,1),ColLivraison)=AA$6,
  VLOOKUP($E179,INDIRECT("tri!"&amp; CHAR(64+ C0Col) &amp;":"&amp; CHAR(65+C0Col)),2,FALSE)&gt;COUNTIF($E179:Z179,"u")+COUNTIF($E179:Z179,"t")+COUNTIF($E179:Z179,"¶")+COUNTIF($E179:Z179,"²")+COUNTIF($E179:Z179,"µ")+COUNTIF($E179:Z179,1)),
HYPERLINK("#Roadmap!C"&amp; MATCH($E179,Roadmap!$D:$D,0)+COUNTIF($E179:Z179,"u")+COUNTIF($E179:Z179,"t"),
     INDEX(Roadmap!$D:$K,MATCH($E179,Roadmap!$D:$D,0)+COUNTIF($E179:Z179,"u")+COUNTIF($E179:Z179,"t")+COUNTIF($E179:Z179,"¶")+COUNTIF($E179:Z179,"²")+COUNTIF($E179:Z179,"µ")+COUNTIF($E179:Z179,1),ColTypeEcheance)),
  IF(LEN(Z179)=1,
  IF(LEN(INDEX(Roadmap!$D:$K,MATCH($E179,Roadmap!$D:$D,0)-1+COUNTIF($E179:Z179,"u")+COUNTIF($E179:Z179,"t")+COUNTIF($E179:Z179,"¶")+COUNTIF($E179:Z179,"²")+COUNTIF($E179:Z179,"µ")+COUNTIF($E179:Z179,1),ColDescriptionCourte))&gt;1,
HYPERLINK("#Roadmap!C"&amp; MATCH($E179,Roadmap!$D:$D,0)+COUNTIF($E179:Z179,"u")+COUNTIF($E179:Z179,"t")+COUNTIF($E179:Z179,"¶")+COUNTIF($E179:Z179,"²")+COUNTIF($E179:Z179,"µ")+COUNTIF($E179:Z179,1)-1,INDEX(Roadmap!$D:$K,MATCH($E179,Roadmap!$D:$D,0)-1+COUNTIF($E179:Z179,"u")+COUNTIF($E179:Z179,"t")+COUNTIF($E179:Z179,"¶")+COUNTIF($E179:Z179,"²")+COUNTIF($E179:Z179,"µ")+COUNTIF($E179:Z179,1),ColDescriptionCourte)),""),
  "")),"")</f>
        <v/>
      </c>
      <c r="AB179" s="40" t="str">
        <f ca="1">IFERROR(IF(AND(
  INDEX(Roadmap!$D:$K,MATCH($E179,Roadmap!$D:$D,0)+COUNTIF($E179:AA179,"u")+COUNTIF($E179:AA179,"t")+COUNTIF($E179:AA179,"¶")+COUNTIF($E179:AA179,"²")+COUNTIF($E179:AA179,"µ")+COUNTIF($E179:AA179,1),ColLivraison)=AB$6,
  VLOOKUP($E179,INDIRECT("tri!"&amp; CHAR(64+ C0Col) &amp;":"&amp; CHAR(65+C0Col)),2,FALSE)&gt;COUNTIF($E179:AA179,"u")+COUNTIF($E179:AA179,"t")+COUNTIF($E179:AA179,"¶")+COUNTIF($E179:AA179,"²")+COUNTIF($E179:AA179,"µ")+COUNTIF($E179:AA179,1)),
HYPERLINK("#Roadmap!C"&amp; MATCH($E179,Roadmap!$D:$D,0)+COUNTIF($E179:AA179,"u")+COUNTIF($E179:AA179,"t"),
     INDEX(Roadmap!$D:$K,MATCH($E179,Roadmap!$D:$D,0)+COUNTIF($E179:AA179,"u")+COUNTIF($E179:AA179,"t")+COUNTIF($E179:AA179,"¶")+COUNTIF($E179:AA179,"²")+COUNTIF($E179:AA179,"µ")+COUNTIF($E179:AA179,1),ColTypeEcheance)),
  IF(LEN(AA179)=1,
  IF(LEN(INDEX(Roadmap!$D:$K,MATCH($E179,Roadmap!$D:$D,0)-1+COUNTIF($E179:AA179,"u")+COUNTIF($E179:AA179,"t")+COUNTIF($E179:AA179,"¶")+COUNTIF($E179:AA179,"²")+COUNTIF($E179:AA179,"µ")+COUNTIF($E179:AA179,1),ColDescriptionCourte))&gt;1,
HYPERLINK("#Roadmap!C"&amp; MATCH($E179,Roadmap!$D:$D,0)+COUNTIF($E179:AA179,"u")+COUNTIF($E179:AA179,"t")+COUNTIF($E179:AA179,"¶")+COUNTIF($E179:AA179,"²")+COUNTIF($E179:AA179,"µ")+COUNTIF($E179:AA179,1)-1,INDEX(Roadmap!$D:$K,MATCH($E179,Roadmap!$D:$D,0)-1+COUNTIF($E179:AA179,"u")+COUNTIF($E179:AA179,"t")+COUNTIF($E179:AA179,"¶")+COUNTIF($E179:AA179,"²")+COUNTIF($E179:AA179,"µ")+COUNTIF($E179:AA179,1),ColDescriptionCourte)),""),
  "")),"")</f>
        <v/>
      </c>
      <c r="AC179" s="40" t="str">
        <f ca="1">IFERROR(IF(AND(
  INDEX(Roadmap!$D:$K,MATCH($E179,Roadmap!$D:$D,0)+COUNTIF($E179:AB179,"u")+COUNTIF($E179:AB179,"t")+COUNTIF($E179:AB179,"¶")+COUNTIF($E179:AB179,"²")+COUNTIF($E179:AB179,"µ")+COUNTIF($E179:AB179,1),ColLivraison)=AC$6,
  VLOOKUP($E179,INDIRECT("tri!"&amp; CHAR(64+ C0Col) &amp;":"&amp; CHAR(65+C0Col)),2,FALSE)&gt;COUNTIF($E179:AB179,"u")+COUNTIF($E179:AB179,"t")+COUNTIF($E179:AB179,"¶")+COUNTIF($E179:AB179,"²")+COUNTIF($E179:AB179,"µ")+COUNTIF($E179:AB179,1)),
HYPERLINK("#Roadmap!C"&amp; MATCH($E179,Roadmap!$D:$D,0)+COUNTIF($E179:AB179,"u")+COUNTIF($E179:AB179,"t"),
     INDEX(Roadmap!$D:$K,MATCH($E179,Roadmap!$D:$D,0)+COUNTIF($E179:AB179,"u")+COUNTIF($E179:AB179,"t")+COUNTIF($E179:AB179,"¶")+COUNTIF($E179:AB179,"²")+COUNTIF($E179:AB179,"µ")+COUNTIF($E179:AB179,1),ColTypeEcheance)),
  IF(LEN(AB179)=1,
  IF(LEN(INDEX(Roadmap!$D:$K,MATCH($E179,Roadmap!$D:$D,0)-1+COUNTIF($E179:AB179,"u")+COUNTIF($E179:AB179,"t")+COUNTIF($E179:AB179,"¶")+COUNTIF($E179:AB179,"²")+COUNTIF($E179:AB179,"µ")+COUNTIF($E179:AB179,1),ColDescriptionCourte))&gt;1,
HYPERLINK("#Roadmap!C"&amp; MATCH($E179,Roadmap!$D:$D,0)+COUNTIF($E179:AB179,"u")+COUNTIF($E179:AB179,"t")+COUNTIF($E179:AB179,"¶")+COUNTIF($E179:AB179,"²")+COUNTIF($E179:AB179,"µ")+COUNTIF($E179:AB179,1)-1,INDEX(Roadmap!$D:$K,MATCH($E179,Roadmap!$D:$D,0)-1+COUNTIF($E179:AB179,"u")+COUNTIF($E179:AB179,"t")+COUNTIF($E179:AB179,"¶")+COUNTIF($E179:AB179,"²")+COUNTIF($E179:AB179,"µ")+COUNTIF($E179:AB179,1),ColDescriptionCourte)),""),
  "")),"")</f>
        <v/>
      </c>
      <c r="AD179" s="40" t="str">
        <f ca="1">IFERROR(IF(AND(
  INDEX(Roadmap!$D:$K,MATCH($E179,Roadmap!$D:$D,0)+COUNTIF($E179:AC179,"u")+COUNTIF($E179:AC179,"t")+COUNTIF($E179:AC179,"¶")+COUNTIF($E179:AC179,"²")+COUNTIF($E179:AC179,"µ")+COUNTIF($E179:AC179,1),ColLivraison)=AD$6,
  VLOOKUP($E179,INDIRECT("tri!"&amp; CHAR(64+ C0Col) &amp;":"&amp; CHAR(65+C0Col)),2,FALSE)&gt;COUNTIF($E179:AC179,"u")+COUNTIF($E179:AC179,"t")+COUNTIF($E179:AC179,"¶")+COUNTIF($E179:AC179,"²")+COUNTIF($E179:AC179,"µ")+COUNTIF($E179:AC179,1)),
HYPERLINK("#Roadmap!C"&amp; MATCH($E179,Roadmap!$D:$D,0)+COUNTIF($E179:AC179,"u")+COUNTIF($E179:AC179,"t"),
     INDEX(Roadmap!$D:$K,MATCH($E179,Roadmap!$D:$D,0)+COUNTIF($E179:AC179,"u")+COUNTIF($E179:AC179,"t")+COUNTIF($E179:AC179,"¶")+COUNTIF($E179:AC179,"²")+COUNTIF($E179:AC179,"µ")+COUNTIF($E179:AC179,1),ColTypeEcheance)),
  IF(LEN(AC179)=1,
  IF(LEN(INDEX(Roadmap!$D:$K,MATCH($E179,Roadmap!$D:$D,0)-1+COUNTIF($E179:AC179,"u")+COUNTIF($E179:AC179,"t")+COUNTIF($E179:AC179,"¶")+COUNTIF($E179:AC179,"²")+COUNTIF($E179:AC179,"µ")+COUNTIF($E179:AC179,1),ColDescriptionCourte))&gt;1,
HYPERLINK("#Roadmap!C"&amp; MATCH($E179,Roadmap!$D:$D,0)+COUNTIF($E179:AC179,"u")+COUNTIF($E179:AC179,"t")+COUNTIF($E179:AC179,"¶")+COUNTIF($E179:AC179,"²")+COUNTIF($E179:AC179,"µ")+COUNTIF($E179:AC179,1)-1,INDEX(Roadmap!$D:$K,MATCH($E179,Roadmap!$D:$D,0)-1+COUNTIF($E179:AC179,"u")+COUNTIF($E179:AC179,"t")+COUNTIF($E179:AC179,"¶")+COUNTIF($E179:AC179,"²")+COUNTIF($E179:AC179,"µ")+COUNTIF($E179:AC179,1),ColDescriptionCourte)),""),
  "")),"")</f>
        <v/>
      </c>
      <c r="AE179" s="40" t="str">
        <f ca="1">IFERROR(IF(AND(
  INDEX(Roadmap!$D:$K,MATCH($E179,Roadmap!$D:$D,0)+COUNTIF($E179:AD179,"u")+COUNTIF($E179:AD179,"t")+COUNTIF($E179:AD179,"¶")+COUNTIF($E179:AD179,"²")+COUNTIF($E179:AD179,"µ")+COUNTIF($E179:AD179,1),ColLivraison)=AE$6,
  VLOOKUP($E179,INDIRECT("tri!"&amp; CHAR(64+ C0Col) &amp;":"&amp; CHAR(65+C0Col)),2,FALSE)&gt;COUNTIF($E179:AD179,"u")+COUNTIF($E179:AD179,"t")+COUNTIF($E179:AD179,"¶")+COUNTIF($E179:AD179,"²")+COUNTIF($E179:AD179,"µ")+COUNTIF($E179:AD179,1)),
HYPERLINK("#Roadmap!C"&amp; MATCH($E179,Roadmap!$D:$D,0)+COUNTIF($E179:AD179,"u")+COUNTIF($E179:AD179,"t"),
     INDEX(Roadmap!$D:$K,MATCH($E179,Roadmap!$D:$D,0)+COUNTIF($E179:AD179,"u")+COUNTIF($E179:AD179,"t")+COUNTIF($E179:AD179,"¶")+COUNTIF($E179:AD179,"²")+COUNTIF($E179:AD179,"µ")+COUNTIF($E179:AD179,1),ColTypeEcheance)),
  IF(LEN(AD179)=1,
  IF(LEN(INDEX(Roadmap!$D:$K,MATCH($E179,Roadmap!$D:$D,0)-1+COUNTIF($E179:AD179,"u")+COUNTIF($E179:AD179,"t")+COUNTIF($E179:AD179,"¶")+COUNTIF($E179:AD179,"²")+COUNTIF($E179:AD179,"µ")+COUNTIF($E179:AD179,1),ColDescriptionCourte))&gt;1,
HYPERLINK("#Roadmap!C"&amp; MATCH($E179,Roadmap!$D:$D,0)+COUNTIF($E179:AD179,"u")+COUNTIF($E179:AD179,"t")+COUNTIF($E179:AD179,"¶")+COUNTIF($E179:AD179,"²")+COUNTIF($E179:AD179,"µ")+COUNTIF($E179:AD179,1)-1,INDEX(Roadmap!$D:$K,MATCH($E179,Roadmap!$D:$D,0)-1+COUNTIF($E179:AD179,"u")+COUNTIF($E179:AD179,"t")+COUNTIF($E179:AD179,"¶")+COUNTIF($E179:AD179,"²")+COUNTIF($E179:AD179,"µ")+COUNTIF($E179:AD179,1),ColDescriptionCourte)),""),
  "")),"")</f>
        <v/>
      </c>
      <c r="AF179" s="40" t="str">
        <f ca="1">IFERROR(IF(AND(
  INDEX(Roadmap!$D:$K,MATCH($E179,Roadmap!$D:$D,0)+COUNTIF($E179:AE179,"u")+COUNTIF($E179:AE179,"t")+COUNTIF($E179:AE179,"¶")+COUNTIF($E179:AE179,"²")+COUNTIF($E179:AE179,"µ")+COUNTIF($E179:AE179,1),ColLivraison)=AF$6,
  VLOOKUP($E179,INDIRECT("tri!"&amp; CHAR(64+ C0Col) &amp;":"&amp; CHAR(65+C0Col)),2,FALSE)&gt;COUNTIF($E179:AE179,"u")+COUNTIF($E179:AE179,"t")+COUNTIF($E179:AE179,"¶")+COUNTIF($E179:AE179,"²")+COUNTIF($E179:AE179,"µ")+COUNTIF($E179:AE179,1)),
HYPERLINK("#Roadmap!C"&amp; MATCH($E179,Roadmap!$D:$D,0)+COUNTIF($E179:AE179,"u")+COUNTIF($E179:AE179,"t"),
     INDEX(Roadmap!$D:$K,MATCH($E179,Roadmap!$D:$D,0)+COUNTIF($E179:AE179,"u")+COUNTIF($E179:AE179,"t")+COUNTIF($E179:AE179,"¶")+COUNTIF($E179:AE179,"²")+COUNTIF($E179:AE179,"µ")+COUNTIF($E179:AE179,1),ColTypeEcheance)),
  IF(LEN(AE179)=1,
  IF(LEN(INDEX(Roadmap!$D:$K,MATCH($E179,Roadmap!$D:$D,0)-1+COUNTIF($E179:AE179,"u")+COUNTIF($E179:AE179,"t")+COUNTIF($E179:AE179,"¶")+COUNTIF($E179:AE179,"²")+COUNTIF($E179:AE179,"µ")+COUNTIF($E179:AE179,1),ColDescriptionCourte))&gt;1,
HYPERLINK("#Roadmap!C"&amp; MATCH($E179,Roadmap!$D:$D,0)+COUNTIF($E179:AE179,"u")+COUNTIF($E179:AE179,"t")+COUNTIF($E179:AE179,"¶")+COUNTIF($E179:AE179,"²")+COUNTIF($E179:AE179,"µ")+COUNTIF($E179:AE179,1)-1,INDEX(Roadmap!$D:$K,MATCH($E179,Roadmap!$D:$D,0)-1+COUNTIF($E179:AE179,"u")+COUNTIF($E179:AE179,"t")+COUNTIF($E179:AE179,"¶")+COUNTIF($E179:AE179,"²")+COUNTIF($E179:AE179,"µ")+COUNTIF($E179:AE179,1),ColDescriptionCourte)),""),
  "")),"")</f>
        <v/>
      </c>
      <c r="AG179" s="40" t="str">
        <f ca="1">IFERROR(IF(AND(
  INDEX(Roadmap!$D:$K,MATCH($E179,Roadmap!$D:$D,0)+COUNTIF($E179:AF179,"u")+COUNTIF($E179:AF179,"t")+COUNTIF($E179:AF179,"¶")+COUNTIF($E179:AF179,"²")+COUNTIF($E179:AF179,"µ")+COUNTIF($E179:AF179,1),ColLivraison)=AG$6,
  VLOOKUP($E179,INDIRECT("tri!"&amp; CHAR(64+ C0Col) &amp;":"&amp; CHAR(65+C0Col)),2,FALSE)&gt;COUNTIF($E179:AF179,"u")+COUNTIF($E179:AF179,"t")+COUNTIF($E179:AF179,"¶")+COUNTIF($E179:AF179,"²")+COUNTIF($E179:AF179,"µ")+COUNTIF($E179:AF179,1)),
HYPERLINK("#Roadmap!C"&amp; MATCH($E179,Roadmap!$D:$D,0)+COUNTIF($E179:AF179,"u")+COUNTIF($E179:AF179,"t"),
     INDEX(Roadmap!$D:$K,MATCH($E179,Roadmap!$D:$D,0)+COUNTIF($E179:AF179,"u")+COUNTIF($E179:AF179,"t")+COUNTIF($E179:AF179,"¶")+COUNTIF($E179:AF179,"²")+COUNTIF($E179:AF179,"µ")+COUNTIF($E179:AF179,1),ColTypeEcheance)),
  IF(LEN(AF179)=1,
  IF(LEN(INDEX(Roadmap!$D:$K,MATCH($E179,Roadmap!$D:$D,0)-1+COUNTIF($E179:AF179,"u")+COUNTIF($E179:AF179,"t")+COUNTIF($E179:AF179,"¶")+COUNTIF($E179:AF179,"²")+COUNTIF($E179:AF179,"µ")+COUNTIF($E179:AF179,1),ColDescriptionCourte))&gt;1,
HYPERLINK("#Roadmap!C"&amp; MATCH($E179,Roadmap!$D:$D,0)+COUNTIF($E179:AF179,"u")+COUNTIF($E179:AF179,"t")+COUNTIF($E179:AF179,"¶")+COUNTIF($E179:AF179,"²")+COUNTIF($E179:AF179,"µ")+COUNTIF($E179:AF179,1)-1,INDEX(Roadmap!$D:$K,MATCH($E179,Roadmap!$D:$D,0)-1+COUNTIF($E179:AF179,"u")+COUNTIF($E179:AF179,"t")+COUNTIF($E179:AF179,"¶")+COUNTIF($E179:AF179,"²")+COUNTIF($E179:AF179,"µ")+COUNTIF($E179:AF179,1),ColDescriptionCourte)),""),
  "")),"")</f>
        <v/>
      </c>
      <c r="AH179" s="40" t="str">
        <f ca="1">IFERROR(IF(AND(
  INDEX(Roadmap!$D:$K,MATCH($E179,Roadmap!$D:$D,0)+COUNTIF($E179:AG179,"u")+COUNTIF($E179:AG179,"t")+COUNTIF($E179:AG179,1),ColLivraison)=AH$6,
  VLOOKUP($E179,INDIRECT("tri!"&amp; CHAR(64+ C0Col) &amp;":"&amp; CHAR(65+C0Col)),2,FALSE)&gt;COUNTIF($E179:AG179,"u")+COUNTIF($E179:AG179,"t")+COUNTIF($E179:AG179,1)),
HYPERLINK("#Roadmap!C"&amp; MATCH($E179,Roadmap!$D:$D,0)+COUNTIF($E179:AG179,"u")+COUNTIF($E179:AG179,"t"),
     INDEX(Roadmap!$D:$K,MATCH($E179,Roadmap!$D:$D,0)+COUNTIF($E179:AG179,"u")+COUNTIF($E179:AG179,"t")+COUNTIF($E179:AG179,1),ColTypeEcheance)),
  IF(OR(AG179="u",AG179="t",AG179=1),
  IF(LEN(INDEX(Roadmap!$D:$K,MATCH($E179,Roadmap!$D:$D,0)-1+COUNTIF($E179:AG179,"u")+COUNTIF($E179:AG179,"t")+COUNTIF($E179:AG179,1),ColDescriptionCourte))&gt;1,
HYPERLINK("#Roadmap!C"&amp; MATCH($E179,Roadmap!$D:$D,0)+COUNTIF($E179:AG179,"u")+COUNTIF($E179:AG179,"t")+COUNTIF($E179:AG179,1)-1,INDEX(Roadmap!$D:$K,MATCH($E179,Roadmap!$D:$D,0)-1+COUNTIF($E179:AG179,"u")+COUNTIF($E179:AG179,"t")+COUNTIF($E179:AG179,1),ColDescriptionCourte)),""),
  "")),"")</f>
        <v/>
      </c>
      <c r="AI179" s="40"/>
      <c r="AJ179" s="40"/>
      <c r="AK179" s="40"/>
      <c r="AL179" s="40"/>
      <c r="AM179" s="40"/>
    </row>
    <row r="180" spans="4:39" ht="14.1" customHeight="1">
      <c r="D180" s="20" t="str">
        <f t="shared" ca="1" si="31"/>
        <v/>
      </c>
      <c r="E180" s="53" t="str">
        <f t="shared" ca="1" si="32"/>
        <v/>
      </c>
      <c r="F180" s="39" t="str">
        <f ca="1">IFERROR(IF(AND(
  INDEX(Roadmap!$D:$K,MATCH($E180,Roadmap!$D:$D,0)+COUNTIF($E180:E180,"u")+COUNTIF($E180:E180,"t")+COUNTIF($E180:E180,"¶")+COUNTIF($E180:E180,"²")+COUNTIF($E180:E180,"µ")+COUNTIF($E180:E180,1),ColLivraison)=F$6,
  VLOOKUP($E180,INDIRECT("tri!"&amp; CHAR(64+ C0Col) &amp;":"&amp; CHAR(65+C0Col)),2,FALSE)&gt;COUNTIF($E180:E180,"u")+COUNTIF($E180:E180,"t")+COUNTIF($E180:E180,"¶")+COUNTIF($E180:E180,"²")+COUNTIF($E180:E180,"µ")+COUNTIF($E180:E180,1)),
HYPERLINK("#Roadmap!C"&amp; MATCH($E180,Roadmap!$D:$D,0)+COUNTIF($E180:E180,"u")+COUNTIF($E180:E180,"t"),
     INDEX(Roadmap!$D:$K,MATCH($E180,Roadmap!$D:$D,0)+COUNTIF($E180:E180,"u")+COUNTIF($E180:E180,"t")+COUNTIF($E180:E180,"¶")+COUNTIF($E180:E180,"²")+COUNTIF($E180:E180,"µ")+COUNTIF($E180:E180,1),ColTypeEcheance)),
  IF(LEN(E180)=1,
  IF(LEN(INDEX(Roadmap!$D:$K,MATCH($E180,Roadmap!$D:$D,0)-1+COUNTIF($E180:E180,"u")+COUNTIF($E180:E180,"t")+COUNTIF($E180:E180,"¶")+COUNTIF($E180:E180,"²")+COUNTIF($E180:E180,"µ")+COUNTIF($E180:E180,1),ColDescriptionCourte))&gt;1,
HYPERLINK("#Roadmap!C"&amp; MATCH($E180,Roadmap!$D:$D,0)+COUNTIF($E180:E180,"u")+COUNTIF($E180:E180,"t")+COUNTIF($E180:E180,"¶")+COUNTIF($E180:E180,"²")+COUNTIF($E180:E180,"µ")+COUNTIF($E180:E180,1)-1,INDEX(Roadmap!$D:$K,MATCH($E180,Roadmap!$D:$D,0)-1+COUNTIF($E180:E180,"u")+COUNTIF($E180:E180,"t")+COUNTIF($E180:E180,"¶")+COUNTIF($E180:E180,"²")+COUNTIF($E180:E180,"µ")+COUNTIF($E180:E180,1),ColDescriptionCourte)),""),
  "")),"")</f>
        <v/>
      </c>
      <c r="G180" s="40" t="str">
        <f ca="1">IFERROR(IF(AND(
  INDEX(Roadmap!$D:$K,MATCH($E180,Roadmap!$D:$D,0)+COUNTIF($E180:F180,"u")+COUNTIF($E180:F180,"t")+COUNTIF($E180:F180,"¶")+COUNTIF($E180:F180,"²")+COUNTIF($E180:F180,"µ")+COUNTIF($E180:F180,1),ColLivraison)=G$6,
  VLOOKUP($E180,INDIRECT("tri!"&amp; CHAR(64+ C0Col) &amp;":"&amp; CHAR(65+C0Col)),2,FALSE)&gt;COUNTIF($E180:F180,"u")+COUNTIF($E180:F180,"t")+COUNTIF($E180:F180,"¶")+COUNTIF($E180:F180,"²")+COUNTIF($E180:F180,"µ")+COUNTIF($E180:F180,1)),
HYPERLINK("#Roadmap!C"&amp; MATCH($E180,Roadmap!$D:$D,0)+COUNTIF($E180:F180,"u")+COUNTIF($E180:F180,"t"),
     INDEX(Roadmap!$D:$K,MATCH($E180,Roadmap!$D:$D,0)+COUNTIF($E180:F180,"u")+COUNTIF($E180:F180,"t")+COUNTIF($E180:F180,"¶")+COUNTIF($E180:F180,"²")+COUNTIF($E180:F180,"µ")+COUNTIF($E180:F180,1),ColTypeEcheance)),
  IF(LEN(F180)=1,
  IF(LEN(INDEX(Roadmap!$D:$K,MATCH($E180,Roadmap!$D:$D,0)-1+COUNTIF($E180:F180,"u")+COUNTIF($E180:F180,"t")+COUNTIF($E180:F180,"¶")+COUNTIF($E180:F180,"²")+COUNTIF($E180:F180,"µ")+COUNTIF($E180:F180,1),ColDescriptionCourte))&gt;1,
HYPERLINK("#Roadmap!C"&amp; MATCH($E180,Roadmap!$D:$D,0)+COUNTIF($E180:F180,"u")+COUNTIF($E180:F180,"t")+COUNTIF($E180:F180,"¶")+COUNTIF($E180:F180,"²")+COUNTIF($E180:F180,"µ")+COUNTIF($E180:F180,1)-1,INDEX(Roadmap!$D:$K,MATCH($E180,Roadmap!$D:$D,0)-1+COUNTIF($E180:F180,"u")+COUNTIF($E180:F180,"t")+COUNTIF($E180:F180,"¶")+COUNTIF($E180:F180,"²")+COUNTIF($E180:F180,"µ")+COUNTIF($E180:F180,1),ColDescriptionCourte)),""),
  "")),"")</f>
        <v/>
      </c>
      <c r="H180" s="40" t="str">
        <f ca="1">IFERROR(IF(AND(
  INDEX(Roadmap!$D:$K,MATCH($E180,Roadmap!$D:$D,0)+COUNTIF($E180:G180,"u")+COUNTIF($E180:G180,"t")+COUNTIF($E180:G180,"¶")+COUNTIF($E180:G180,"²")+COUNTIF($E180:G180,"µ")+COUNTIF($E180:G180,1),ColLivraison)=H$6,
  VLOOKUP($E180,INDIRECT("tri!"&amp; CHAR(64+ C0Col) &amp;":"&amp; CHAR(65+C0Col)),2,FALSE)&gt;COUNTIF($E180:G180,"u")+COUNTIF($E180:G180,"t")+COUNTIF($E180:G180,"¶")+COUNTIF($E180:G180,"²")+COUNTIF($E180:G180,"µ")+COUNTIF($E180:G180,1)),
HYPERLINK("#Roadmap!C"&amp; MATCH($E180,Roadmap!$D:$D,0)+COUNTIF($E180:G180,"u")+COUNTIF($E180:G180,"t"),
     INDEX(Roadmap!$D:$K,MATCH($E180,Roadmap!$D:$D,0)+COUNTIF($E180:G180,"u")+COUNTIF($E180:G180,"t")+COUNTIF($E180:G180,"¶")+COUNTIF($E180:G180,"²")+COUNTIF($E180:G180,"µ")+COUNTIF($E180:G180,1),ColTypeEcheance)),
  IF(LEN(G180)=1,
  IF(LEN(INDEX(Roadmap!$D:$K,MATCH($E180,Roadmap!$D:$D,0)-1+COUNTIF($E180:G180,"u")+COUNTIF($E180:G180,"t")+COUNTIF($E180:G180,"¶")+COUNTIF($E180:G180,"²")+COUNTIF($E180:G180,"µ")+COUNTIF($E180:G180,1),ColDescriptionCourte))&gt;1,
HYPERLINK("#Roadmap!C"&amp; MATCH($E180,Roadmap!$D:$D,0)+COUNTIF($E180:G180,"u")+COUNTIF($E180:G180,"t")+COUNTIF($E180:G180,"¶")+COUNTIF($E180:G180,"²")+COUNTIF($E180:G180,"µ")+COUNTIF($E180:G180,1)-1,INDEX(Roadmap!$D:$K,MATCH($E180,Roadmap!$D:$D,0)-1+COUNTIF($E180:G180,"u")+COUNTIF($E180:G180,"t")+COUNTIF($E180:G180,"¶")+COUNTIF($E180:G180,"²")+COUNTIF($E180:G180,"µ")+COUNTIF($E180:G180,1),ColDescriptionCourte)),""),
  "")),"")</f>
        <v/>
      </c>
      <c r="I180" s="40" t="str">
        <f ca="1">IFERROR(IF(AND(
  INDEX(Roadmap!$D:$K,MATCH($E180,Roadmap!$D:$D,0)+COUNTIF($E180:H180,"u")+COUNTIF($E180:H180,"t")+COUNTIF($E180:H180,"¶")+COUNTIF($E180:H180,"²")+COUNTIF($E180:H180,"µ")+COUNTIF($E180:H180,1),ColLivraison)=I$6,
  VLOOKUP($E180,INDIRECT("tri!"&amp; CHAR(64+ C0Col) &amp;":"&amp; CHAR(65+C0Col)),2,FALSE)&gt;COUNTIF($E180:H180,"u")+COUNTIF($E180:H180,"t")+COUNTIF($E180:H180,"¶")+COUNTIF($E180:H180,"²")+COUNTIF($E180:H180,"µ")+COUNTIF($E180:H180,1)),
HYPERLINK("#Roadmap!C"&amp; MATCH($E180,Roadmap!$D:$D,0)+COUNTIF($E180:H180,"u")+COUNTIF($E180:H180,"t"),
     INDEX(Roadmap!$D:$K,MATCH($E180,Roadmap!$D:$D,0)+COUNTIF($E180:H180,"u")+COUNTIF($E180:H180,"t")+COUNTIF($E180:H180,"¶")+COUNTIF($E180:H180,"²")+COUNTIF($E180:H180,"µ")+COUNTIF($E180:H180,1),ColTypeEcheance)),
  IF(LEN(H180)=1,
  IF(LEN(INDEX(Roadmap!$D:$K,MATCH($E180,Roadmap!$D:$D,0)-1+COUNTIF($E180:H180,"u")+COUNTIF($E180:H180,"t")+COUNTIF($E180:H180,"¶")+COUNTIF($E180:H180,"²")+COUNTIF($E180:H180,"µ")+COUNTIF($E180:H180,1),ColDescriptionCourte))&gt;1,
HYPERLINK("#Roadmap!C"&amp; MATCH($E180,Roadmap!$D:$D,0)+COUNTIF($E180:H180,"u")+COUNTIF($E180:H180,"t")+COUNTIF($E180:H180,"¶")+COUNTIF($E180:H180,"²")+COUNTIF($E180:H180,"µ")+COUNTIF($E180:H180,1)-1,INDEX(Roadmap!$D:$K,MATCH($E180,Roadmap!$D:$D,0)-1+COUNTIF($E180:H180,"u")+COUNTIF($E180:H180,"t")+COUNTIF($E180:H180,"¶")+COUNTIF($E180:H180,"²")+COUNTIF($E180:H180,"µ")+COUNTIF($E180:H180,1),ColDescriptionCourte)),""),
  "")),"")</f>
        <v/>
      </c>
      <c r="J180" s="40" t="str">
        <f ca="1">IFERROR(IF(AND(
  INDEX(Roadmap!$D:$K,MATCH($E180,Roadmap!$D:$D,0)+COUNTIF($E180:I180,"u")+COUNTIF($E180:I180,"t")+COUNTIF($E180:I180,"¶")+COUNTIF($E180:I180,"²")+COUNTIF($E180:I180,"µ")+COUNTIF($E180:I180,1),ColLivraison)=J$6,
  VLOOKUP($E180,INDIRECT("tri!"&amp; CHAR(64+ C0Col) &amp;":"&amp; CHAR(65+C0Col)),2,FALSE)&gt;COUNTIF($E180:I180,"u")+COUNTIF($E180:I180,"t")+COUNTIF($E180:I180,"¶")+COUNTIF($E180:I180,"²")+COUNTIF($E180:I180,"µ")+COUNTIF($E180:I180,1)),
HYPERLINK("#Roadmap!C"&amp; MATCH($E180,Roadmap!$D:$D,0)+COUNTIF($E180:I180,"u")+COUNTIF($E180:I180,"t"),
     INDEX(Roadmap!$D:$K,MATCH($E180,Roadmap!$D:$D,0)+COUNTIF($E180:I180,"u")+COUNTIF($E180:I180,"t")+COUNTIF($E180:I180,"¶")+COUNTIF($E180:I180,"²")+COUNTIF($E180:I180,"µ")+COUNTIF($E180:I180,1),ColTypeEcheance)),
  IF(LEN(I180)=1,
  IF(LEN(INDEX(Roadmap!$D:$K,MATCH($E180,Roadmap!$D:$D,0)-1+COUNTIF($E180:I180,"u")+COUNTIF($E180:I180,"t")+COUNTIF($E180:I180,"¶")+COUNTIF($E180:I180,"²")+COUNTIF($E180:I180,"µ")+COUNTIF($E180:I180,1),ColDescriptionCourte))&gt;1,
HYPERLINK("#Roadmap!C"&amp; MATCH($E180,Roadmap!$D:$D,0)+COUNTIF($E180:I180,"u")+COUNTIF($E180:I180,"t")+COUNTIF($E180:I180,"¶")+COUNTIF($E180:I180,"²")+COUNTIF($E180:I180,"µ")+COUNTIF($E180:I180,1)-1,INDEX(Roadmap!$D:$K,MATCH($E180,Roadmap!$D:$D,0)-1+COUNTIF($E180:I180,"u")+COUNTIF($E180:I180,"t")+COUNTIF($E180:I180,"¶")+COUNTIF($E180:I180,"²")+COUNTIF($E180:I180,"µ")+COUNTIF($E180:I180,1),ColDescriptionCourte)),""),
  "")),"")</f>
        <v/>
      </c>
      <c r="K180" s="40" t="str">
        <f ca="1">IFERROR(IF(AND(
  INDEX(Roadmap!$D:$K,MATCH($E180,Roadmap!$D:$D,0)+COUNTIF($E180:J180,"u")+COUNTIF($E180:J180,"t")+COUNTIF($E180:J180,"¶")+COUNTIF($E180:J180,"²")+COUNTIF($E180:J180,"µ")+COUNTIF($E180:J180,1),ColLivraison)=K$6,
  VLOOKUP($E180,INDIRECT("tri!"&amp; CHAR(64+ C0Col) &amp;":"&amp; CHAR(65+C0Col)),2,FALSE)&gt;COUNTIF($E180:J180,"u")+COUNTIF($E180:J180,"t")+COUNTIF($E180:J180,"¶")+COUNTIF($E180:J180,"²")+COUNTIF($E180:J180,"µ")+COUNTIF($E180:J180,1)),
HYPERLINK("#Roadmap!C"&amp; MATCH($E180,Roadmap!$D:$D,0)+COUNTIF($E180:J180,"u")+COUNTIF($E180:J180,"t"),
     INDEX(Roadmap!$D:$K,MATCH($E180,Roadmap!$D:$D,0)+COUNTIF($E180:J180,"u")+COUNTIF($E180:J180,"t")+COUNTIF($E180:J180,"¶")+COUNTIF($E180:J180,"²")+COUNTIF($E180:J180,"µ")+COUNTIF($E180:J180,1),ColTypeEcheance)),
  IF(LEN(J180)=1,
  IF(LEN(INDEX(Roadmap!$D:$K,MATCH($E180,Roadmap!$D:$D,0)-1+COUNTIF($E180:J180,"u")+COUNTIF($E180:J180,"t")+COUNTIF($E180:J180,"¶")+COUNTIF($E180:J180,"²")+COUNTIF($E180:J180,"µ")+COUNTIF($E180:J180,1),ColDescriptionCourte))&gt;1,
HYPERLINK("#Roadmap!C"&amp; MATCH($E180,Roadmap!$D:$D,0)+COUNTIF($E180:J180,"u")+COUNTIF($E180:J180,"t")+COUNTIF($E180:J180,"¶")+COUNTIF($E180:J180,"²")+COUNTIF($E180:J180,"µ")+COUNTIF($E180:J180,1)-1,INDEX(Roadmap!$D:$K,MATCH($E180,Roadmap!$D:$D,0)-1+COUNTIF($E180:J180,"u")+COUNTIF($E180:J180,"t")+COUNTIF($E180:J180,"¶")+COUNTIF($E180:J180,"²")+COUNTIF($E180:J180,"µ")+COUNTIF($E180:J180,1),ColDescriptionCourte)),""),
  "")),"")</f>
        <v/>
      </c>
      <c r="L180" s="39" t="str">
        <f ca="1">IFERROR(IF(AND(
  INDEX(Roadmap!$D:$K,MATCH($E180,Roadmap!$D:$D,0)+COUNTIF($E180:K180,"u")+COUNTIF($E180:K180,"t")+COUNTIF($E180:K180,"¶")+COUNTIF($E180:K180,"²")+COUNTIF($E180:K180,"µ")+COUNTIF($E180:K180,1),ColLivraison)=L$6,
  VLOOKUP($E180,INDIRECT("tri!"&amp; CHAR(64+ C0Col) &amp;":"&amp; CHAR(65+C0Col)),2,FALSE)&gt;COUNTIF($E180:K180,"u")+COUNTIF($E180:K180,"t")+COUNTIF($E180:K180,"¶")+COUNTIF($E180:K180,"²")+COUNTIF($E180:K180,"µ")+COUNTIF($E180:K180,1)),
HYPERLINK("#Roadmap!C"&amp; MATCH($E180,Roadmap!$D:$D,0)+COUNTIF($E180:K180,"u")+COUNTIF($E180:K180,"t"),
     INDEX(Roadmap!$D:$K,MATCH($E180,Roadmap!$D:$D,0)+COUNTIF($E180:K180,"u")+COUNTIF($E180:K180,"t")+COUNTIF($E180:K180,"¶")+COUNTIF($E180:K180,"²")+COUNTIF($E180:K180,"µ")+COUNTIF($E180:K180,1),ColTypeEcheance)),
  IF(LEN(K180)=1,
  IF(LEN(INDEX(Roadmap!$D:$K,MATCH($E180,Roadmap!$D:$D,0)-1+COUNTIF($E180:K180,"u")+COUNTIF($E180:K180,"t")+COUNTIF($E180:K180,"¶")+COUNTIF($E180:K180,"²")+COUNTIF($E180:K180,"µ")+COUNTIF($E180:K180,1),ColDescriptionCourte))&gt;1,
HYPERLINK("#Roadmap!C"&amp; MATCH($E180,Roadmap!$D:$D,0)+COUNTIF($E180:K180,"u")+COUNTIF($E180:K180,"t")+COUNTIF($E180:K180,"¶")+COUNTIF($E180:K180,"²")+COUNTIF($E180:K180,"µ")+COUNTIF($E180:K180,1)-1,INDEX(Roadmap!$D:$K,MATCH($E180,Roadmap!$D:$D,0)-1+COUNTIF($E180:K180,"u")+COUNTIF($E180:K180,"t")+COUNTIF($E180:K180,"¶")+COUNTIF($E180:K180,"²")+COUNTIF($E180:K180,"µ")+COUNTIF($E180:K180,1),ColDescriptionCourte)),""),
  "")),"")</f>
        <v/>
      </c>
      <c r="M180" s="40" t="str">
        <f ca="1">IFERROR(IF(AND(
  INDEX(Roadmap!$D:$K,MATCH($E180,Roadmap!$D:$D,0)+COUNTIF($E180:L180,"u")+COUNTIF($E180:L180,"t")+COUNTIF($E180:L180,"¶")+COUNTIF($E180:L180,"²")+COUNTIF($E180:L180,"µ")+COUNTIF($E180:L180,1),ColLivraison)=M$6,
  VLOOKUP($E180,INDIRECT("tri!"&amp; CHAR(64+ C0Col) &amp;":"&amp; CHAR(65+C0Col)),2,FALSE)&gt;COUNTIF($E180:L180,"u")+COUNTIF($E180:L180,"t")+COUNTIF($E180:L180,"¶")+COUNTIF($E180:L180,"²")+COUNTIF($E180:L180,"µ")+COUNTIF($E180:L180,1)),
HYPERLINK("#Roadmap!C"&amp; MATCH($E180,Roadmap!$D:$D,0)+COUNTIF($E180:L180,"u")+COUNTIF($E180:L180,"t"),
     INDEX(Roadmap!$D:$K,MATCH($E180,Roadmap!$D:$D,0)+COUNTIF($E180:L180,"u")+COUNTIF($E180:L180,"t")+COUNTIF($E180:L180,"¶")+COUNTIF($E180:L180,"²")+COUNTIF($E180:L180,"µ")+COUNTIF($E180:L180,1),ColTypeEcheance)),
  IF(LEN(L180)=1,
  IF(LEN(INDEX(Roadmap!$D:$K,MATCH($E180,Roadmap!$D:$D,0)-1+COUNTIF($E180:L180,"u")+COUNTIF($E180:L180,"t")+COUNTIF($E180:L180,"¶")+COUNTIF($E180:L180,"²")+COUNTIF($E180:L180,"µ")+COUNTIF($E180:L180,1),ColDescriptionCourte))&gt;1,
HYPERLINK("#Roadmap!C"&amp; MATCH($E180,Roadmap!$D:$D,0)+COUNTIF($E180:L180,"u")+COUNTIF($E180:L180,"t")+COUNTIF($E180:L180,"¶")+COUNTIF($E180:L180,"²")+COUNTIF($E180:L180,"µ")+COUNTIF($E180:L180,1)-1,INDEX(Roadmap!$D:$K,MATCH($E180,Roadmap!$D:$D,0)-1+COUNTIF($E180:L180,"u")+COUNTIF($E180:L180,"t")+COUNTIF($E180:L180,"¶")+COUNTIF($E180:L180,"²")+COUNTIF($E180:L180,"µ")+COUNTIF($E180:L180,1),ColDescriptionCourte)),""),
  "")),"")</f>
        <v/>
      </c>
      <c r="N180" s="40" t="str">
        <f ca="1">IFERROR(IF(AND(
  INDEX(Roadmap!$D:$K,MATCH($E180,Roadmap!$D:$D,0)+COUNTIF($E180:M180,"u")+COUNTIF($E180:M180,"t")+COUNTIF($E180:M180,"¶")+COUNTIF($E180:M180,"²")+COUNTIF($E180:M180,"µ")+COUNTIF($E180:M180,1),ColLivraison)=N$6,
  VLOOKUP($E180,INDIRECT("tri!"&amp; CHAR(64+ C0Col) &amp;":"&amp; CHAR(65+C0Col)),2,FALSE)&gt;COUNTIF($E180:M180,"u")+COUNTIF($E180:M180,"t")+COUNTIF($E180:M180,"¶")+COUNTIF($E180:M180,"²")+COUNTIF($E180:M180,"µ")+COUNTIF($E180:M180,1)),
HYPERLINK("#Roadmap!C"&amp; MATCH($E180,Roadmap!$D:$D,0)+COUNTIF($E180:M180,"u")+COUNTIF($E180:M180,"t"),
     INDEX(Roadmap!$D:$K,MATCH($E180,Roadmap!$D:$D,0)+COUNTIF($E180:M180,"u")+COUNTIF($E180:M180,"t")+COUNTIF($E180:M180,"¶")+COUNTIF($E180:M180,"²")+COUNTIF($E180:M180,"µ")+COUNTIF($E180:M180,1),ColTypeEcheance)),
  IF(LEN(M180)=1,
  IF(LEN(INDEX(Roadmap!$D:$K,MATCH($E180,Roadmap!$D:$D,0)-1+COUNTIF($E180:M180,"u")+COUNTIF($E180:M180,"t")+COUNTIF($E180:M180,"¶")+COUNTIF($E180:M180,"²")+COUNTIF($E180:M180,"µ")+COUNTIF($E180:M180,1),ColDescriptionCourte))&gt;1,
HYPERLINK("#Roadmap!C"&amp; MATCH($E180,Roadmap!$D:$D,0)+COUNTIF($E180:M180,"u")+COUNTIF($E180:M180,"t")+COUNTIF($E180:M180,"¶")+COUNTIF($E180:M180,"²")+COUNTIF($E180:M180,"µ")+COUNTIF($E180:M180,1)-1,INDEX(Roadmap!$D:$K,MATCH($E180,Roadmap!$D:$D,0)-1+COUNTIF($E180:M180,"u")+COUNTIF($E180:M180,"t")+COUNTIF($E180:M180,"¶")+COUNTIF($E180:M180,"²")+COUNTIF($E180:M180,"µ")+COUNTIF($E180:M180,1),ColDescriptionCourte)),""),
  "")),"")</f>
        <v/>
      </c>
      <c r="O180" s="40" t="str">
        <f ca="1">IFERROR(IF(AND(
  INDEX(Roadmap!$D:$K,MATCH($E180,Roadmap!$D:$D,0)+COUNTIF($E180:N180,"u")+COUNTIF($E180:N180,"t")+COUNTIF($E180:N180,"¶")+COUNTIF($E180:N180,"²")+COUNTIF($E180:N180,"µ")+COUNTIF($E180:N180,1),ColLivraison)=O$6,
  VLOOKUP($E180,INDIRECT("tri!"&amp; CHAR(64+ C0Col) &amp;":"&amp; CHAR(65+C0Col)),2,FALSE)&gt;COUNTIF($E180:N180,"u")+COUNTIF($E180:N180,"t")+COUNTIF($E180:N180,"¶")+COUNTIF($E180:N180,"²")+COUNTIF($E180:N180,"µ")+COUNTIF($E180:N180,1)),
HYPERLINK("#Roadmap!C"&amp; MATCH($E180,Roadmap!$D:$D,0)+COUNTIF($E180:N180,"u")+COUNTIF($E180:N180,"t"),
     INDEX(Roadmap!$D:$K,MATCH($E180,Roadmap!$D:$D,0)+COUNTIF($E180:N180,"u")+COUNTIF($E180:N180,"t")+COUNTIF($E180:N180,"¶")+COUNTIF($E180:N180,"²")+COUNTIF($E180:N180,"µ")+COUNTIF($E180:N180,1),ColTypeEcheance)),
  IF(LEN(N180)=1,
  IF(LEN(INDEX(Roadmap!$D:$K,MATCH($E180,Roadmap!$D:$D,0)-1+COUNTIF($E180:N180,"u")+COUNTIF($E180:N180,"t")+COUNTIF($E180:N180,"¶")+COUNTIF($E180:N180,"²")+COUNTIF($E180:N180,"µ")+COUNTIF($E180:N180,1),ColDescriptionCourte))&gt;1,
HYPERLINK("#Roadmap!C"&amp; MATCH($E180,Roadmap!$D:$D,0)+COUNTIF($E180:N180,"u")+COUNTIF($E180:N180,"t")+COUNTIF($E180:N180,"¶")+COUNTIF($E180:N180,"²")+COUNTIF($E180:N180,"µ")+COUNTIF($E180:N180,1)-1,INDEX(Roadmap!$D:$K,MATCH($E180,Roadmap!$D:$D,0)-1+COUNTIF($E180:N180,"u")+COUNTIF($E180:N180,"t")+COUNTIF($E180:N180,"¶")+COUNTIF($E180:N180,"²")+COUNTIF($E180:N180,"µ")+COUNTIF($E180:N180,1),ColDescriptionCourte)),""),
  "")),"")</f>
        <v/>
      </c>
      <c r="P180" s="40" t="str">
        <f ca="1">IFERROR(IF(AND(
  INDEX(Roadmap!$D:$K,MATCH($E180,Roadmap!$D:$D,0)+COUNTIF($E180:O180,"u")+COUNTIF($E180:O180,"t")+COUNTIF($E180:O180,"¶")+COUNTIF($E180:O180,"²")+COUNTIF($E180:O180,"µ")+COUNTIF($E180:O180,1),ColLivraison)=P$6,
  VLOOKUP($E180,INDIRECT("tri!"&amp; CHAR(64+ C0Col) &amp;":"&amp; CHAR(65+C0Col)),2,FALSE)&gt;COUNTIF($E180:O180,"u")+COUNTIF($E180:O180,"t")+COUNTIF($E180:O180,"¶")+COUNTIF($E180:O180,"²")+COUNTIF($E180:O180,"µ")+COUNTIF($E180:O180,1)),
HYPERLINK("#Roadmap!C"&amp; MATCH($E180,Roadmap!$D:$D,0)+COUNTIF($E180:O180,"u")+COUNTIF($E180:O180,"t"),
     INDEX(Roadmap!$D:$K,MATCH($E180,Roadmap!$D:$D,0)+COUNTIF($E180:O180,"u")+COUNTIF($E180:O180,"t")+COUNTIF($E180:O180,"¶")+COUNTIF($E180:O180,"²")+COUNTIF($E180:O180,"µ")+COUNTIF($E180:O180,1),ColTypeEcheance)),
  IF(LEN(O180)=1,
  IF(LEN(INDEX(Roadmap!$D:$K,MATCH($E180,Roadmap!$D:$D,0)-1+COUNTIF($E180:O180,"u")+COUNTIF($E180:O180,"t")+COUNTIF($E180:O180,"¶")+COUNTIF($E180:O180,"²")+COUNTIF($E180:O180,"µ")+COUNTIF($E180:O180,1),ColDescriptionCourte))&gt;1,
HYPERLINK("#Roadmap!C"&amp; MATCH($E180,Roadmap!$D:$D,0)+COUNTIF($E180:O180,"u")+COUNTIF($E180:O180,"t")+COUNTIF($E180:O180,"¶")+COUNTIF($E180:O180,"²")+COUNTIF($E180:O180,"µ")+COUNTIF($E180:O180,1)-1,INDEX(Roadmap!$D:$K,MATCH($E180,Roadmap!$D:$D,0)-1+COUNTIF($E180:O180,"u")+COUNTIF($E180:O180,"t")+COUNTIF($E180:O180,"¶")+COUNTIF($E180:O180,"²")+COUNTIF($E180:O180,"µ")+COUNTIF($E180:O180,1),ColDescriptionCourte)),""),
  "")),"")</f>
        <v/>
      </c>
      <c r="Q180" s="40" t="str">
        <f ca="1">IFERROR(IF(AND(
  INDEX(Roadmap!$D:$K,MATCH($E180,Roadmap!$D:$D,0)+COUNTIF($E180:P180,"u")+COUNTIF($E180:P180,"t")+COUNTIF($E180:P180,"¶")+COUNTIF($E180:P180,"²")+COUNTIF($E180:P180,"µ")+COUNTIF($E180:P180,1),ColLivraison)=Q$6,
  VLOOKUP($E180,INDIRECT("tri!"&amp; CHAR(64+ C0Col) &amp;":"&amp; CHAR(65+C0Col)),2,FALSE)&gt;COUNTIF($E180:P180,"u")+COUNTIF($E180:P180,"t")+COUNTIF($E180:P180,"¶")+COUNTIF($E180:P180,"²")+COUNTIF($E180:P180,"µ")+COUNTIF($E180:P180,1)),
HYPERLINK("#Roadmap!C"&amp; MATCH($E180,Roadmap!$D:$D,0)+COUNTIF($E180:P180,"u")+COUNTIF($E180:P180,"t"),
     INDEX(Roadmap!$D:$K,MATCH($E180,Roadmap!$D:$D,0)+COUNTIF($E180:P180,"u")+COUNTIF($E180:P180,"t")+COUNTIF($E180:P180,"¶")+COUNTIF($E180:P180,"²")+COUNTIF($E180:P180,"µ")+COUNTIF($E180:P180,1),ColTypeEcheance)),
  IF(LEN(P180)=1,
  IF(LEN(INDEX(Roadmap!$D:$K,MATCH($E180,Roadmap!$D:$D,0)-1+COUNTIF($E180:P180,"u")+COUNTIF($E180:P180,"t")+COUNTIF($E180:P180,"¶")+COUNTIF($E180:P180,"²")+COUNTIF($E180:P180,"µ")+COUNTIF($E180:P180,1),ColDescriptionCourte))&gt;1,
HYPERLINK("#Roadmap!C"&amp; MATCH($E180,Roadmap!$D:$D,0)+COUNTIF($E180:P180,"u")+COUNTIF($E180:P180,"t")+COUNTIF($E180:P180,"¶")+COUNTIF($E180:P180,"²")+COUNTIF($E180:P180,"µ")+COUNTIF($E180:P180,1)-1,INDEX(Roadmap!$D:$K,MATCH($E180,Roadmap!$D:$D,0)-1+COUNTIF($E180:P180,"u")+COUNTIF($E180:P180,"t")+COUNTIF($E180:P180,"¶")+COUNTIF($E180:P180,"²")+COUNTIF($E180:P180,"µ")+COUNTIF($E180:P180,1),ColDescriptionCourte)),""),
  "")),"")</f>
        <v/>
      </c>
      <c r="R180" s="40" t="str">
        <f ca="1">IFERROR(IF(AND(
  INDEX(Roadmap!$D:$K,MATCH($E180,Roadmap!$D:$D,0)+COUNTIF($E180:Q180,"u")+COUNTIF($E180:Q180,"t")+COUNTIF($E180:Q180,"¶")+COUNTIF($E180:Q180,"²")+COUNTIF($E180:Q180,"µ")+COUNTIF($E180:Q180,1),ColLivraison)=R$6,
  VLOOKUP($E180,INDIRECT("tri!"&amp; CHAR(64+ C0Col) &amp;":"&amp; CHAR(65+C0Col)),2,FALSE)&gt;COUNTIF($E180:Q180,"u")+COUNTIF($E180:Q180,"t")+COUNTIF($E180:Q180,"¶")+COUNTIF($E180:Q180,"²")+COUNTIF($E180:Q180,"µ")+COUNTIF($E180:Q180,1)),
HYPERLINK("#Roadmap!C"&amp; MATCH($E180,Roadmap!$D:$D,0)+COUNTIF($E180:Q180,"u")+COUNTIF($E180:Q180,"t"),
     INDEX(Roadmap!$D:$K,MATCH($E180,Roadmap!$D:$D,0)+COUNTIF($E180:Q180,"u")+COUNTIF($E180:Q180,"t")+COUNTIF($E180:Q180,"¶")+COUNTIF($E180:Q180,"²")+COUNTIF($E180:Q180,"µ")+COUNTIF($E180:Q180,1),ColTypeEcheance)),
  IF(LEN(Q180)=1,
  IF(LEN(INDEX(Roadmap!$D:$K,MATCH($E180,Roadmap!$D:$D,0)-1+COUNTIF($E180:Q180,"u")+COUNTIF($E180:Q180,"t")+COUNTIF($E180:Q180,"¶")+COUNTIF($E180:Q180,"²")+COUNTIF($E180:Q180,"µ")+COUNTIF($E180:Q180,1),ColDescriptionCourte))&gt;1,
HYPERLINK("#Roadmap!C"&amp; MATCH($E180,Roadmap!$D:$D,0)+COUNTIF($E180:Q180,"u")+COUNTIF($E180:Q180,"t")+COUNTIF($E180:Q180,"¶")+COUNTIF($E180:Q180,"²")+COUNTIF($E180:Q180,"µ")+COUNTIF($E180:Q180,1)-1,INDEX(Roadmap!$D:$K,MATCH($E180,Roadmap!$D:$D,0)-1+COUNTIF($E180:Q180,"u")+COUNTIF($E180:Q180,"t")+COUNTIF($E180:Q180,"¶")+COUNTIF($E180:Q180,"²")+COUNTIF($E180:Q180,"µ")+COUNTIF($E180:Q180,1),ColDescriptionCourte)),""),
  "")),"")</f>
        <v/>
      </c>
      <c r="S180" s="40" t="str">
        <f ca="1">IFERROR(IF(AND(
  INDEX(Roadmap!$D:$K,MATCH($E180,Roadmap!$D:$D,0)+COUNTIF($E180:R180,"u")+COUNTIF($E180:R180,"t")+COUNTIF($E180:R180,"¶")+COUNTIF($E180:R180,"²")+COUNTIF($E180:R180,"µ")+COUNTIF($E180:R180,1),ColLivraison)=S$6,
  VLOOKUP($E180,INDIRECT("tri!"&amp; CHAR(64+ C0Col) &amp;":"&amp; CHAR(65+C0Col)),2,FALSE)&gt;COUNTIF($E180:R180,"u")+COUNTIF($E180:R180,"t")+COUNTIF($E180:R180,"¶")+COUNTIF($E180:R180,"²")+COUNTIF($E180:R180,"µ")+COUNTIF($E180:R180,1)),
HYPERLINK("#Roadmap!C"&amp; MATCH($E180,Roadmap!$D:$D,0)+COUNTIF($E180:R180,"u")+COUNTIF($E180:R180,"t"),
     INDEX(Roadmap!$D:$K,MATCH($E180,Roadmap!$D:$D,0)+COUNTIF($E180:R180,"u")+COUNTIF($E180:R180,"t")+COUNTIF($E180:R180,"¶")+COUNTIF($E180:R180,"²")+COUNTIF($E180:R180,"µ")+COUNTIF($E180:R180,1),ColTypeEcheance)),
  IF(LEN(R180)=1,
  IF(LEN(INDEX(Roadmap!$D:$K,MATCH($E180,Roadmap!$D:$D,0)-1+COUNTIF($E180:R180,"u")+COUNTIF($E180:R180,"t")+COUNTIF($E180:R180,"¶")+COUNTIF($E180:R180,"²")+COUNTIF($E180:R180,"µ")+COUNTIF($E180:R180,1),ColDescriptionCourte))&gt;1,
HYPERLINK("#Roadmap!C"&amp; MATCH($E180,Roadmap!$D:$D,0)+COUNTIF($E180:R180,"u")+COUNTIF($E180:R180,"t")+COUNTIF($E180:R180,"¶")+COUNTIF($E180:R180,"²")+COUNTIF($E180:R180,"µ")+COUNTIF($E180:R180,1)-1,INDEX(Roadmap!$D:$K,MATCH($E180,Roadmap!$D:$D,0)-1+COUNTIF($E180:R180,"u")+COUNTIF($E180:R180,"t")+COUNTIF($E180:R180,"¶")+COUNTIF($E180:R180,"²")+COUNTIF($E180:R180,"µ")+COUNTIF($E180:R180,1),ColDescriptionCourte)),""),
  "")),"")</f>
        <v/>
      </c>
      <c r="T180" s="40" t="str">
        <f ca="1">IFERROR(IF(AND(
  INDEX(Roadmap!$D:$K,MATCH($E180,Roadmap!$D:$D,0)+COUNTIF($E180:S180,"u")+COUNTIF($E180:S180,"t")+COUNTIF($E180:S180,"¶")+COUNTIF($E180:S180,"²")+COUNTIF($E180:S180,"µ")+COUNTIF($E180:S180,1),ColLivraison)=T$6,
  VLOOKUP($E180,INDIRECT("tri!"&amp; CHAR(64+ C0Col) &amp;":"&amp; CHAR(65+C0Col)),2,FALSE)&gt;COUNTIF($E180:S180,"u")+COUNTIF($E180:S180,"t")+COUNTIF($E180:S180,"¶")+COUNTIF($E180:S180,"²")+COUNTIF($E180:S180,"µ")+COUNTIF($E180:S180,1)),
HYPERLINK("#Roadmap!C"&amp; MATCH($E180,Roadmap!$D:$D,0)+COUNTIF($E180:S180,"u")+COUNTIF($E180:S180,"t"),
     INDEX(Roadmap!$D:$K,MATCH($E180,Roadmap!$D:$D,0)+COUNTIF($E180:S180,"u")+COUNTIF($E180:S180,"t")+COUNTIF($E180:S180,"¶")+COUNTIF($E180:S180,"²")+COUNTIF($E180:S180,"µ")+COUNTIF($E180:S180,1),ColTypeEcheance)),
  IF(LEN(S180)=1,
  IF(LEN(INDEX(Roadmap!$D:$K,MATCH($E180,Roadmap!$D:$D,0)-1+COUNTIF($E180:S180,"u")+COUNTIF($E180:S180,"t")+COUNTIF($E180:S180,"¶")+COUNTIF($E180:S180,"²")+COUNTIF($E180:S180,"µ")+COUNTIF($E180:S180,1),ColDescriptionCourte))&gt;1,
HYPERLINK("#Roadmap!C"&amp; MATCH($E180,Roadmap!$D:$D,0)+COUNTIF($E180:S180,"u")+COUNTIF($E180:S180,"t")+COUNTIF($E180:S180,"¶")+COUNTIF($E180:S180,"²")+COUNTIF($E180:S180,"µ")+COUNTIF($E180:S180,1)-1,INDEX(Roadmap!$D:$K,MATCH($E180,Roadmap!$D:$D,0)-1+COUNTIF($E180:S180,"u")+COUNTIF($E180:S180,"t")+COUNTIF($E180:S180,"¶")+COUNTIF($E180:S180,"²")+COUNTIF($E180:S180,"µ")+COUNTIF($E180:S180,1),ColDescriptionCourte)),""),
  "")),"")</f>
        <v/>
      </c>
      <c r="U180" s="40" t="str">
        <f ca="1">IFERROR(IF(AND(
  INDEX(Roadmap!$D:$K,MATCH($E180,Roadmap!$D:$D,0)+COUNTIF($E180:T180,"u")+COUNTIF($E180:T180,"t")+COUNTIF($E180:T180,"¶")+COUNTIF($E180:T180,"²")+COUNTIF($E180:T180,"µ")+COUNTIF($E180:T180,1),ColLivraison)=U$6,
  VLOOKUP($E180,INDIRECT("tri!"&amp; CHAR(64+ C0Col) &amp;":"&amp; CHAR(65+C0Col)),2,FALSE)&gt;COUNTIF($E180:T180,"u")+COUNTIF($E180:T180,"t")+COUNTIF($E180:T180,"¶")+COUNTIF($E180:T180,"²")+COUNTIF($E180:T180,"µ")+COUNTIF($E180:T180,1)),
HYPERLINK("#Roadmap!C"&amp; MATCH($E180,Roadmap!$D:$D,0)+COUNTIF($E180:T180,"u")+COUNTIF($E180:T180,"t"),
     INDEX(Roadmap!$D:$K,MATCH($E180,Roadmap!$D:$D,0)+COUNTIF($E180:T180,"u")+COUNTIF($E180:T180,"t")+COUNTIF($E180:T180,"¶")+COUNTIF($E180:T180,"²")+COUNTIF($E180:T180,"µ")+COUNTIF($E180:T180,1),ColTypeEcheance)),
  IF(LEN(T180)=1,
  IF(LEN(INDEX(Roadmap!$D:$K,MATCH($E180,Roadmap!$D:$D,0)-1+COUNTIF($E180:T180,"u")+COUNTIF($E180:T180,"t")+COUNTIF($E180:T180,"¶")+COUNTIF($E180:T180,"²")+COUNTIF($E180:T180,"µ")+COUNTIF($E180:T180,1),ColDescriptionCourte))&gt;1,
HYPERLINK("#Roadmap!C"&amp; MATCH($E180,Roadmap!$D:$D,0)+COUNTIF($E180:T180,"u")+COUNTIF($E180:T180,"t")+COUNTIF($E180:T180,"¶")+COUNTIF($E180:T180,"²")+COUNTIF($E180:T180,"µ")+COUNTIF($E180:T180,1)-1,INDEX(Roadmap!$D:$K,MATCH($E180,Roadmap!$D:$D,0)-1+COUNTIF($E180:T180,"u")+COUNTIF($E180:T180,"t")+COUNTIF($E180:T180,"¶")+COUNTIF($E180:T180,"²")+COUNTIF($E180:T180,"µ")+COUNTIF($E180:T180,1),ColDescriptionCourte)),""),
  "")),"")</f>
        <v/>
      </c>
      <c r="V180" s="40" t="str">
        <f ca="1">IFERROR(IF(AND(
  INDEX(Roadmap!$D:$K,MATCH($E180,Roadmap!$D:$D,0)+COUNTIF($E180:U180,"u")+COUNTIF($E180:U180,"t")+COUNTIF($E180:U180,"¶")+COUNTIF($E180:U180,"²")+COUNTIF($E180:U180,"µ")+COUNTIF($E180:U180,1),ColLivraison)=V$6,
  VLOOKUP($E180,INDIRECT("tri!"&amp; CHAR(64+ C0Col) &amp;":"&amp; CHAR(65+C0Col)),2,FALSE)&gt;COUNTIF($E180:U180,"u")+COUNTIF($E180:U180,"t")+COUNTIF($E180:U180,"¶")+COUNTIF($E180:U180,"²")+COUNTIF($E180:U180,"µ")+COUNTIF($E180:U180,1)),
HYPERLINK("#Roadmap!C"&amp; MATCH($E180,Roadmap!$D:$D,0)+COUNTIF($E180:U180,"u")+COUNTIF($E180:U180,"t"),
     INDEX(Roadmap!$D:$K,MATCH($E180,Roadmap!$D:$D,0)+COUNTIF($E180:U180,"u")+COUNTIF($E180:U180,"t")+COUNTIF($E180:U180,"¶")+COUNTIF($E180:U180,"²")+COUNTIF($E180:U180,"µ")+COUNTIF($E180:U180,1),ColTypeEcheance)),
  IF(LEN(U180)=1,
  IF(LEN(INDEX(Roadmap!$D:$K,MATCH($E180,Roadmap!$D:$D,0)-1+COUNTIF($E180:U180,"u")+COUNTIF($E180:U180,"t")+COUNTIF($E180:U180,"¶")+COUNTIF($E180:U180,"²")+COUNTIF($E180:U180,"µ")+COUNTIF($E180:U180,1),ColDescriptionCourte))&gt;1,
HYPERLINK("#Roadmap!C"&amp; MATCH($E180,Roadmap!$D:$D,0)+COUNTIF($E180:U180,"u")+COUNTIF($E180:U180,"t")+COUNTIF($E180:U180,"¶")+COUNTIF($E180:U180,"²")+COUNTIF($E180:U180,"µ")+COUNTIF($E180:U180,1)-1,INDEX(Roadmap!$D:$K,MATCH($E180,Roadmap!$D:$D,0)-1+COUNTIF($E180:U180,"u")+COUNTIF($E180:U180,"t")+COUNTIF($E180:U180,"¶")+COUNTIF($E180:U180,"²")+COUNTIF($E180:U180,"µ")+COUNTIF($E180:U180,1),ColDescriptionCourte)),""),
  "")),"")</f>
        <v/>
      </c>
      <c r="W180" s="40" t="str">
        <f ca="1">IFERROR(IF(AND(
  INDEX(Roadmap!$D:$K,MATCH($E180,Roadmap!$D:$D,0)+COUNTIF($E180:V180,"u")+COUNTIF($E180:V180,"t")+COUNTIF($E180:V180,"¶")+COUNTIF($E180:V180,"²")+COUNTIF($E180:V180,"µ")+COUNTIF($E180:V180,1),ColLivraison)=W$6,
  VLOOKUP($E180,INDIRECT("tri!"&amp; CHAR(64+ C0Col) &amp;":"&amp; CHAR(65+C0Col)),2,FALSE)&gt;COUNTIF($E180:V180,"u")+COUNTIF($E180:V180,"t")+COUNTIF($E180:V180,"¶")+COUNTIF($E180:V180,"²")+COUNTIF($E180:V180,"µ")+COUNTIF($E180:V180,1)),
HYPERLINK("#Roadmap!C"&amp; MATCH($E180,Roadmap!$D:$D,0)+COUNTIF($E180:V180,"u")+COUNTIF($E180:V180,"t"),
     INDEX(Roadmap!$D:$K,MATCH($E180,Roadmap!$D:$D,0)+COUNTIF($E180:V180,"u")+COUNTIF($E180:V180,"t")+COUNTIF($E180:V180,"¶")+COUNTIF($E180:V180,"²")+COUNTIF($E180:V180,"µ")+COUNTIF($E180:V180,1),ColTypeEcheance)),
  IF(LEN(V180)=1,
  IF(LEN(INDEX(Roadmap!$D:$K,MATCH($E180,Roadmap!$D:$D,0)-1+COUNTIF($E180:V180,"u")+COUNTIF($E180:V180,"t")+COUNTIF($E180:V180,"¶")+COUNTIF($E180:V180,"²")+COUNTIF($E180:V180,"µ")+COUNTIF($E180:V180,1),ColDescriptionCourte))&gt;1,
HYPERLINK("#Roadmap!C"&amp; MATCH($E180,Roadmap!$D:$D,0)+COUNTIF($E180:V180,"u")+COUNTIF($E180:V180,"t")+COUNTIF($E180:V180,"¶")+COUNTIF($E180:V180,"²")+COUNTIF($E180:V180,"µ")+COUNTIF($E180:V180,1)-1,INDEX(Roadmap!$D:$K,MATCH($E180,Roadmap!$D:$D,0)-1+COUNTIF($E180:V180,"u")+COUNTIF($E180:V180,"t")+COUNTIF($E180:V180,"¶")+COUNTIF($E180:V180,"²")+COUNTIF($E180:V180,"µ")+COUNTIF($E180:V180,1),ColDescriptionCourte)),""),
  "")),"")</f>
        <v/>
      </c>
      <c r="X180" s="40" t="str">
        <f ca="1">IFERROR(IF(AND(
  INDEX(Roadmap!$D:$K,MATCH($E180,Roadmap!$D:$D,0)+COUNTIF($E180:W180,"u")+COUNTIF($E180:W180,"t")+COUNTIF($E180:W180,"¶")+COUNTIF($E180:W180,"²")+COUNTIF($E180:W180,"µ")+COUNTIF($E180:W180,1),ColLivraison)=X$6,
  VLOOKUP($E180,INDIRECT("tri!"&amp; CHAR(64+ C0Col) &amp;":"&amp; CHAR(65+C0Col)),2,FALSE)&gt;COUNTIF($E180:W180,"u")+COUNTIF($E180:W180,"t")+COUNTIF($E180:W180,"¶")+COUNTIF($E180:W180,"²")+COUNTIF($E180:W180,"µ")+COUNTIF($E180:W180,1)),
HYPERLINK("#Roadmap!C"&amp; MATCH($E180,Roadmap!$D:$D,0)+COUNTIF($E180:W180,"u")+COUNTIF($E180:W180,"t"),
     INDEX(Roadmap!$D:$K,MATCH($E180,Roadmap!$D:$D,0)+COUNTIF($E180:W180,"u")+COUNTIF($E180:W180,"t")+COUNTIF($E180:W180,"¶")+COUNTIF($E180:W180,"²")+COUNTIF($E180:W180,"µ")+COUNTIF($E180:W180,1),ColTypeEcheance)),
  IF(LEN(W180)=1,
  IF(LEN(INDEX(Roadmap!$D:$K,MATCH($E180,Roadmap!$D:$D,0)-1+COUNTIF($E180:W180,"u")+COUNTIF($E180:W180,"t")+COUNTIF($E180:W180,"¶")+COUNTIF($E180:W180,"²")+COUNTIF($E180:W180,"µ")+COUNTIF($E180:W180,1),ColDescriptionCourte))&gt;1,
HYPERLINK("#Roadmap!C"&amp; MATCH($E180,Roadmap!$D:$D,0)+COUNTIF($E180:W180,"u")+COUNTIF($E180:W180,"t")+COUNTIF($E180:W180,"¶")+COUNTIF($E180:W180,"²")+COUNTIF($E180:W180,"µ")+COUNTIF($E180:W180,1)-1,INDEX(Roadmap!$D:$K,MATCH($E180,Roadmap!$D:$D,0)-1+COUNTIF($E180:W180,"u")+COUNTIF($E180:W180,"t")+COUNTIF($E180:W180,"¶")+COUNTIF($E180:W180,"²")+COUNTIF($E180:W180,"µ")+COUNTIF($E180:W180,1),ColDescriptionCourte)),""),
  "")),"")</f>
        <v/>
      </c>
      <c r="Y180" s="40" t="str">
        <f ca="1">IFERROR(IF(AND(
  INDEX(Roadmap!$D:$K,MATCH($E180,Roadmap!$D:$D,0)+COUNTIF($E180:X180,"u")+COUNTIF($E180:X180,"t")+COUNTIF($E180:X180,"¶")+COUNTIF($E180:X180,"²")+COUNTIF($E180:X180,"µ")+COUNTIF($E180:X180,1),ColLivraison)=Y$6,
  VLOOKUP($E180,INDIRECT("tri!"&amp; CHAR(64+ C0Col) &amp;":"&amp; CHAR(65+C0Col)),2,FALSE)&gt;COUNTIF($E180:X180,"u")+COUNTIF($E180:X180,"t")+COUNTIF($E180:X180,"¶")+COUNTIF($E180:X180,"²")+COUNTIF($E180:X180,"µ")+COUNTIF($E180:X180,1)),
HYPERLINK("#Roadmap!C"&amp; MATCH($E180,Roadmap!$D:$D,0)+COUNTIF($E180:X180,"u")+COUNTIF($E180:X180,"t"),
     INDEX(Roadmap!$D:$K,MATCH($E180,Roadmap!$D:$D,0)+COUNTIF($E180:X180,"u")+COUNTIF($E180:X180,"t")+COUNTIF($E180:X180,"¶")+COUNTIF($E180:X180,"²")+COUNTIF($E180:X180,"µ")+COUNTIF($E180:X180,1),ColTypeEcheance)),
  IF(LEN(X180)=1,
  IF(LEN(INDEX(Roadmap!$D:$K,MATCH($E180,Roadmap!$D:$D,0)-1+COUNTIF($E180:X180,"u")+COUNTIF($E180:X180,"t")+COUNTIF($E180:X180,"¶")+COUNTIF($E180:X180,"²")+COUNTIF($E180:X180,"µ")+COUNTIF($E180:X180,1),ColDescriptionCourte))&gt;1,
HYPERLINK("#Roadmap!C"&amp; MATCH($E180,Roadmap!$D:$D,0)+COUNTIF($E180:X180,"u")+COUNTIF($E180:X180,"t")+COUNTIF($E180:X180,"¶")+COUNTIF($E180:X180,"²")+COUNTIF($E180:X180,"µ")+COUNTIF($E180:X180,1)-1,INDEX(Roadmap!$D:$K,MATCH($E180,Roadmap!$D:$D,0)-1+COUNTIF($E180:X180,"u")+COUNTIF($E180:X180,"t")+COUNTIF($E180:X180,"¶")+COUNTIF($E180:X180,"²")+COUNTIF($E180:X180,"µ")+COUNTIF($E180:X180,1),ColDescriptionCourte)),""),
  "")),"")</f>
        <v/>
      </c>
      <c r="Z180" s="40" t="str">
        <f ca="1">IFERROR(IF(AND(
  INDEX(Roadmap!$D:$K,MATCH($E180,Roadmap!$D:$D,0)+COUNTIF($E180:Y180,"u")+COUNTIF($E180:Y180,"t")+COUNTIF($E180:Y180,"¶")+COUNTIF($E180:Y180,"²")+COUNTIF($E180:Y180,"µ")+COUNTIF($E180:Y180,1),ColLivraison)=Z$6,
  VLOOKUP($E180,INDIRECT("tri!"&amp; CHAR(64+ C0Col) &amp;":"&amp; CHAR(65+C0Col)),2,FALSE)&gt;COUNTIF($E180:Y180,"u")+COUNTIF($E180:Y180,"t")+COUNTIF($E180:Y180,"¶")+COUNTIF($E180:Y180,"²")+COUNTIF($E180:Y180,"µ")+COUNTIF($E180:Y180,1)),
HYPERLINK("#Roadmap!C"&amp; MATCH($E180,Roadmap!$D:$D,0)+COUNTIF($E180:Y180,"u")+COUNTIF($E180:Y180,"t"),
     INDEX(Roadmap!$D:$K,MATCH($E180,Roadmap!$D:$D,0)+COUNTIF($E180:Y180,"u")+COUNTIF($E180:Y180,"t")+COUNTIF($E180:Y180,"¶")+COUNTIF($E180:Y180,"²")+COUNTIF($E180:Y180,"µ")+COUNTIF($E180:Y180,1),ColTypeEcheance)),
  IF(LEN(Y180)=1,
  IF(LEN(INDEX(Roadmap!$D:$K,MATCH($E180,Roadmap!$D:$D,0)-1+COUNTIF($E180:Y180,"u")+COUNTIF($E180:Y180,"t")+COUNTIF($E180:Y180,"¶")+COUNTIF($E180:Y180,"²")+COUNTIF($E180:Y180,"µ")+COUNTIF($E180:Y180,1),ColDescriptionCourte))&gt;1,
HYPERLINK("#Roadmap!C"&amp; MATCH($E180,Roadmap!$D:$D,0)+COUNTIF($E180:Y180,"u")+COUNTIF($E180:Y180,"t")+COUNTIF($E180:Y180,"¶")+COUNTIF($E180:Y180,"²")+COUNTIF($E180:Y180,"µ")+COUNTIF($E180:Y180,1)-1,INDEX(Roadmap!$D:$K,MATCH($E180,Roadmap!$D:$D,0)-1+COUNTIF($E180:Y180,"u")+COUNTIF($E180:Y180,"t")+COUNTIF($E180:Y180,"¶")+COUNTIF($E180:Y180,"²")+COUNTIF($E180:Y180,"µ")+COUNTIF($E180:Y180,1),ColDescriptionCourte)),""),
  "")),"")</f>
        <v/>
      </c>
      <c r="AA180" s="40" t="str">
        <f ca="1">IFERROR(IF(AND(
  INDEX(Roadmap!$D:$K,MATCH($E180,Roadmap!$D:$D,0)+COUNTIF($E180:Z180,"u")+COUNTIF($E180:Z180,"t")+COUNTIF($E180:Z180,"¶")+COUNTIF($E180:Z180,"²")+COUNTIF($E180:Z180,"µ")+COUNTIF($E180:Z180,1),ColLivraison)=AA$6,
  VLOOKUP($E180,INDIRECT("tri!"&amp; CHAR(64+ C0Col) &amp;":"&amp; CHAR(65+C0Col)),2,FALSE)&gt;COUNTIF($E180:Z180,"u")+COUNTIF($E180:Z180,"t")+COUNTIF($E180:Z180,"¶")+COUNTIF($E180:Z180,"²")+COUNTIF($E180:Z180,"µ")+COUNTIF($E180:Z180,1)),
HYPERLINK("#Roadmap!C"&amp; MATCH($E180,Roadmap!$D:$D,0)+COUNTIF($E180:Z180,"u")+COUNTIF($E180:Z180,"t"),
     INDEX(Roadmap!$D:$K,MATCH($E180,Roadmap!$D:$D,0)+COUNTIF($E180:Z180,"u")+COUNTIF($E180:Z180,"t")+COUNTIF($E180:Z180,"¶")+COUNTIF($E180:Z180,"²")+COUNTIF($E180:Z180,"µ")+COUNTIF($E180:Z180,1),ColTypeEcheance)),
  IF(LEN(Z180)=1,
  IF(LEN(INDEX(Roadmap!$D:$K,MATCH($E180,Roadmap!$D:$D,0)-1+COUNTIF($E180:Z180,"u")+COUNTIF($E180:Z180,"t")+COUNTIF($E180:Z180,"¶")+COUNTIF($E180:Z180,"²")+COUNTIF($E180:Z180,"µ")+COUNTIF($E180:Z180,1),ColDescriptionCourte))&gt;1,
HYPERLINK("#Roadmap!C"&amp; MATCH($E180,Roadmap!$D:$D,0)+COUNTIF($E180:Z180,"u")+COUNTIF($E180:Z180,"t")+COUNTIF($E180:Z180,"¶")+COUNTIF($E180:Z180,"²")+COUNTIF($E180:Z180,"µ")+COUNTIF($E180:Z180,1)-1,INDEX(Roadmap!$D:$K,MATCH($E180,Roadmap!$D:$D,0)-1+COUNTIF($E180:Z180,"u")+COUNTIF($E180:Z180,"t")+COUNTIF($E180:Z180,"¶")+COUNTIF($E180:Z180,"²")+COUNTIF($E180:Z180,"µ")+COUNTIF($E180:Z180,1),ColDescriptionCourte)),""),
  "")),"")</f>
        <v/>
      </c>
      <c r="AB180" s="40" t="str">
        <f ca="1">IFERROR(IF(AND(
  INDEX(Roadmap!$D:$K,MATCH($E180,Roadmap!$D:$D,0)+COUNTIF($E180:AA180,"u")+COUNTIF($E180:AA180,"t")+COUNTIF($E180:AA180,"¶")+COUNTIF($E180:AA180,"²")+COUNTIF($E180:AA180,"µ")+COUNTIF($E180:AA180,1),ColLivraison)=AB$6,
  VLOOKUP($E180,INDIRECT("tri!"&amp; CHAR(64+ C0Col) &amp;":"&amp; CHAR(65+C0Col)),2,FALSE)&gt;COUNTIF($E180:AA180,"u")+COUNTIF($E180:AA180,"t")+COUNTIF($E180:AA180,"¶")+COUNTIF($E180:AA180,"²")+COUNTIF($E180:AA180,"µ")+COUNTIF($E180:AA180,1)),
HYPERLINK("#Roadmap!C"&amp; MATCH($E180,Roadmap!$D:$D,0)+COUNTIF($E180:AA180,"u")+COUNTIF($E180:AA180,"t"),
     INDEX(Roadmap!$D:$K,MATCH($E180,Roadmap!$D:$D,0)+COUNTIF($E180:AA180,"u")+COUNTIF($E180:AA180,"t")+COUNTIF($E180:AA180,"¶")+COUNTIF($E180:AA180,"²")+COUNTIF($E180:AA180,"µ")+COUNTIF($E180:AA180,1),ColTypeEcheance)),
  IF(LEN(AA180)=1,
  IF(LEN(INDEX(Roadmap!$D:$K,MATCH($E180,Roadmap!$D:$D,0)-1+COUNTIF($E180:AA180,"u")+COUNTIF($E180:AA180,"t")+COUNTIF($E180:AA180,"¶")+COUNTIF($E180:AA180,"²")+COUNTIF($E180:AA180,"µ")+COUNTIF($E180:AA180,1),ColDescriptionCourte))&gt;1,
HYPERLINK("#Roadmap!C"&amp; MATCH($E180,Roadmap!$D:$D,0)+COUNTIF($E180:AA180,"u")+COUNTIF($E180:AA180,"t")+COUNTIF($E180:AA180,"¶")+COUNTIF($E180:AA180,"²")+COUNTIF($E180:AA180,"µ")+COUNTIF($E180:AA180,1)-1,INDEX(Roadmap!$D:$K,MATCH($E180,Roadmap!$D:$D,0)-1+COUNTIF($E180:AA180,"u")+COUNTIF($E180:AA180,"t")+COUNTIF($E180:AA180,"¶")+COUNTIF($E180:AA180,"²")+COUNTIF($E180:AA180,"µ")+COUNTIF($E180:AA180,1),ColDescriptionCourte)),""),
  "")),"")</f>
        <v/>
      </c>
      <c r="AC180" s="40" t="str">
        <f ca="1">IFERROR(IF(AND(
  INDEX(Roadmap!$D:$K,MATCH($E180,Roadmap!$D:$D,0)+COUNTIF($E180:AB180,"u")+COUNTIF($E180:AB180,"t")+COUNTIF($E180:AB180,"¶")+COUNTIF($E180:AB180,"²")+COUNTIF($E180:AB180,"µ")+COUNTIF($E180:AB180,1),ColLivraison)=AC$6,
  VLOOKUP($E180,INDIRECT("tri!"&amp; CHAR(64+ C0Col) &amp;":"&amp; CHAR(65+C0Col)),2,FALSE)&gt;COUNTIF($E180:AB180,"u")+COUNTIF($E180:AB180,"t")+COUNTIF($E180:AB180,"¶")+COUNTIF($E180:AB180,"²")+COUNTIF($E180:AB180,"µ")+COUNTIF($E180:AB180,1)),
HYPERLINK("#Roadmap!C"&amp; MATCH($E180,Roadmap!$D:$D,0)+COUNTIF($E180:AB180,"u")+COUNTIF($E180:AB180,"t"),
     INDEX(Roadmap!$D:$K,MATCH($E180,Roadmap!$D:$D,0)+COUNTIF($E180:AB180,"u")+COUNTIF($E180:AB180,"t")+COUNTIF($E180:AB180,"¶")+COUNTIF($E180:AB180,"²")+COUNTIF($E180:AB180,"µ")+COUNTIF($E180:AB180,1),ColTypeEcheance)),
  IF(LEN(AB180)=1,
  IF(LEN(INDEX(Roadmap!$D:$K,MATCH($E180,Roadmap!$D:$D,0)-1+COUNTIF($E180:AB180,"u")+COUNTIF($E180:AB180,"t")+COUNTIF($E180:AB180,"¶")+COUNTIF($E180:AB180,"²")+COUNTIF($E180:AB180,"µ")+COUNTIF($E180:AB180,1),ColDescriptionCourte))&gt;1,
HYPERLINK("#Roadmap!C"&amp; MATCH($E180,Roadmap!$D:$D,0)+COUNTIF($E180:AB180,"u")+COUNTIF($E180:AB180,"t")+COUNTIF($E180:AB180,"¶")+COUNTIF($E180:AB180,"²")+COUNTIF($E180:AB180,"µ")+COUNTIF($E180:AB180,1)-1,INDEX(Roadmap!$D:$K,MATCH($E180,Roadmap!$D:$D,0)-1+COUNTIF($E180:AB180,"u")+COUNTIF($E180:AB180,"t")+COUNTIF($E180:AB180,"¶")+COUNTIF($E180:AB180,"²")+COUNTIF($E180:AB180,"µ")+COUNTIF($E180:AB180,1),ColDescriptionCourte)),""),
  "")),"")</f>
        <v/>
      </c>
      <c r="AD180" s="40" t="str">
        <f ca="1">IFERROR(IF(AND(
  INDEX(Roadmap!$D:$K,MATCH($E180,Roadmap!$D:$D,0)+COUNTIF($E180:AC180,"u")+COUNTIF($E180:AC180,"t")+COUNTIF($E180:AC180,"¶")+COUNTIF($E180:AC180,"²")+COUNTIF($E180:AC180,"µ")+COUNTIF($E180:AC180,1),ColLivraison)=AD$6,
  VLOOKUP($E180,INDIRECT("tri!"&amp; CHAR(64+ C0Col) &amp;":"&amp; CHAR(65+C0Col)),2,FALSE)&gt;COUNTIF($E180:AC180,"u")+COUNTIF($E180:AC180,"t")+COUNTIF($E180:AC180,"¶")+COUNTIF($E180:AC180,"²")+COUNTIF($E180:AC180,"µ")+COUNTIF($E180:AC180,1)),
HYPERLINK("#Roadmap!C"&amp; MATCH($E180,Roadmap!$D:$D,0)+COUNTIF($E180:AC180,"u")+COUNTIF($E180:AC180,"t"),
     INDEX(Roadmap!$D:$K,MATCH($E180,Roadmap!$D:$D,0)+COUNTIF($E180:AC180,"u")+COUNTIF($E180:AC180,"t")+COUNTIF($E180:AC180,"¶")+COUNTIF($E180:AC180,"²")+COUNTIF($E180:AC180,"µ")+COUNTIF($E180:AC180,1),ColTypeEcheance)),
  IF(LEN(AC180)=1,
  IF(LEN(INDEX(Roadmap!$D:$K,MATCH($E180,Roadmap!$D:$D,0)-1+COUNTIF($E180:AC180,"u")+COUNTIF($E180:AC180,"t")+COUNTIF($E180:AC180,"¶")+COUNTIF($E180:AC180,"²")+COUNTIF($E180:AC180,"µ")+COUNTIF($E180:AC180,1),ColDescriptionCourte))&gt;1,
HYPERLINK("#Roadmap!C"&amp; MATCH($E180,Roadmap!$D:$D,0)+COUNTIF($E180:AC180,"u")+COUNTIF($E180:AC180,"t")+COUNTIF($E180:AC180,"¶")+COUNTIF($E180:AC180,"²")+COUNTIF($E180:AC180,"µ")+COUNTIF($E180:AC180,1)-1,INDEX(Roadmap!$D:$K,MATCH($E180,Roadmap!$D:$D,0)-1+COUNTIF($E180:AC180,"u")+COUNTIF($E180:AC180,"t")+COUNTIF($E180:AC180,"¶")+COUNTIF($E180:AC180,"²")+COUNTIF($E180:AC180,"µ")+COUNTIF($E180:AC180,1),ColDescriptionCourte)),""),
  "")),"")</f>
        <v/>
      </c>
      <c r="AE180" s="40" t="str">
        <f ca="1">IFERROR(IF(AND(
  INDEX(Roadmap!$D:$K,MATCH($E180,Roadmap!$D:$D,0)+COUNTIF($E180:AD180,"u")+COUNTIF($E180:AD180,"t")+COUNTIF($E180:AD180,"¶")+COUNTIF($E180:AD180,"²")+COUNTIF($E180:AD180,"µ")+COUNTIF($E180:AD180,1),ColLivraison)=AE$6,
  VLOOKUP($E180,INDIRECT("tri!"&amp; CHAR(64+ C0Col) &amp;":"&amp; CHAR(65+C0Col)),2,FALSE)&gt;COUNTIF($E180:AD180,"u")+COUNTIF($E180:AD180,"t")+COUNTIF($E180:AD180,"¶")+COUNTIF($E180:AD180,"²")+COUNTIF($E180:AD180,"µ")+COUNTIF($E180:AD180,1)),
HYPERLINK("#Roadmap!C"&amp; MATCH($E180,Roadmap!$D:$D,0)+COUNTIF($E180:AD180,"u")+COUNTIF($E180:AD180,"t"),
     INDEX(Roadmap!$D:$K,MATCH($E180,Roadmap!$D:$D,0)+COUNTIF($E180:AD180,"u")+COUNTIF($E180:AD180,"t")+COUNTIF($E180:AD180,"¶")+COUNTIF($E180:AD180,"²")+COUNTIF($E180:AD180,"µ")+COUNTIF($E180:AD180,1),ColTypeEcheance)),
  IF(LEN(AD180)=1,
  IF(LEN(INDEX(Roadmap!$D:$K,MATCH($E180,Roadmap!$D:$D,0)-1+COUNTIF($E180:AD180,"u")+COUNTIF($E180:AD180,"t")+COUNTIF($E180:AD180,"¶")+COUNTIF($E180:AD180,"²")+COUNTIF($E180:AD180,"µ")+COUNTIF($E180:AD180,1),ColDescriptionCourte))&gt;1,
HYPERLINK("#Roadmap!C"&amp; MATCH($E180,Roadmap!$D:$D,0)+COUNTIF($E180:AD180,"u")+COUNTIF($E180:AD180,"t")+COUNTIF($E180:AD180,"¶")+COUNTIF($E180:AD180,"²")+COUNTIF($E180:AD180,"µ")+COUNTIF($E180:AD180,1)-1,INDEX(Roadmap!$D:$K,MATCH($E180,Roadmap!$D:$D,0)-1+COUNTIF($E180:AD180,"u")+COUNTIF($E180:AD180,"t")+COUNTIF($E180:AD180,"¶")+COUNTIF($E180:AD180,"²")+COUNTIF($E180:AD180,"µ")+COUNTIF($E180:AD180,1),ColDescriptionCourte)),""),
  "")),"")</f>
        <v/>
      </c>
      <c r="AF180" s="40" t="str">
        <f ca="1">IFERROR(IF(AND(
  INDEX(Roadmap!$D:$K,MATCH($E180,Roadmap!$D:$D,0)+COUNTIF($E180:AE180,"u")+COUNTIF($E180:AE180,"t")+COUNTIF($E180:AE180,"¶")+COUNTIF($E180:AE180,"²")+COUNTIF($E180:AE180,"µ")+COUNTIF($E180:AE180,1),ColLivraison)=AF$6,
  VLOOKUP($E180,INDIRECT("tri!"&amp; CHAR(64+ C0Col) &amp;":"&amp; CHAR(65+C0Col)),2,FALSE)&gt;COUNTIF($E180:AE180,"u")+COUNTIF($E180:AE180,"t")+COUNTIF($E180:AE180,"¶")+COUNTIF($E180:AE180,"²")+COUNTIF($E180:AE180,"µ")+COUNTIF($E180:AE180,1)),
HYPERLINK("#Roadmap!C"&amp; MATCH($E180,Roadmap!$D:$D,0)+COUNTIF($E180:AE180,"u")+COUNTIF($E180:AE180,"t"),
     INDEX(Roadmap!$D:$K,MATCH($E180,Roadmap!$D:$D,0)+COUNTIF($E180:AE180,"u")+COUNTIF($E180:AE180,"t")+COUNTIF($E180:AE180,"¶")+COUNTIF($E180:AE180,"²")+COUNTIF($E180:AE180,"µ")+COUNTIF($E180:AE180,1),ColTypeEcheance)),
  IF(LEN(AE180)=1,
  IF(LEN(INDEX(Roadmap!$D:$K,MATCH($E180,Roadmap!$D:$D,0)-1+COUNTIF($E180:AE180,"u")+COUNTIF($E180:AE180,"t")+COUNTIF($E180:AE180,"¶")+COUNTIF($E180:AE180,"²")+COUNTIF($E180:AE180,"µ")+COUNTIF($E180:AE180,1),ColDescriptionCourte))&gt;1,
HYPERLINK("#Roadmap!C"&amp; MATCH($E180,Roadmap!$D:$D,0)+COUNTIF($E180:AE180,"u")+COUNTIF($E180:AE180,"t")+COUNTIF($E180:AE180,"¶")+COUNTIF($E180:AE180,"²")+COUNTIF($E180:AE180,"µ")+COUNTIF($E180:AE180,1)-1,INDEX(Roadmap!$D:$K,MATCH($E180,Roadmap!$D:$D,0)-1+COUNTIF($E180:AE180,"u")+COUNTIF($E180:AE180,"t")+COUNTIF($E180:AE180,"¶")+COUNTIF($E180:AE180,"²")+COUNTIF($E180:AE180,"µ")+COUNTIF($E180:AE180,1),ColDescriptionCourte)),""),
  "")),"")</f>
        <v/>
      </c>
      <c r="AG180" s="40" t="str">
        <f ca="1">IFERROR(IF(AND(
  INDEX(Roadmap!$D:$K,MATCH($E180,Roadmap!$D:$D,0)+COUNTIF($E180:AF180,"u")+COUNTIF($E180:AF180,"t")+COUNTIF($E180:AF180,"¶")+COUNTIF($E180:AF180,"²")+COUNTIF($E180:AF180,"µ")+COUNTIF($E180:AF180,1),ColLivraison)=AG$6,
  VLOOKUP($E180,INDIRECT("tri!"&amp; CHAR(64+ C0Col) &amp;":"&amp; CHAR(65+C0Col)),2,FALSE)&gt;COUNTIF($E180:AF180,"u")+COUNTIF($E180:AF180,"t")+COUNTIF($E180:AF180,"¶")+COUNTIF($E180:AF180,"²")+COUNTIF($E180:AF180,"µ")+COUNTIF($E180:AF180,1)),
HYPERLINK("#Roadmap!C"&amp; MATCH($E180,Roadmap!$D:$D,0)+COUNTIF($E180:AF180,"u")+COUNTIF($E180:AF180,"t"),
     INDEX(Roadmap!$D:$K,MATCH($E180,Roadmap!$D:$D,0)+COUNTIF($E180:AF180,"u")+COUNTIF($E180:AF180,"t")+COUNTIF($E180:AF180,"¶")+COUNTIF($E180:AF180,"²")+COUNTIF($E180:AF180,"µ")+COUNTIF($E180:AF180,1),ColTypeEcheance)),
  IF(LEN(AF180)=1,
  IF(LEN(INDEX(Roadmap!$D:$K,MATCH($E180,Roadmap!$D:$D,0)-1+COUNTIF($E180:AF180,"u")+COUNTIF($E180:AF180,"t")+COUNTIF($E180:AF180,"¶")+COUNTIF($E180:AF180,"²")+COUNTIF($E180:AF180,"µ")+COUNTIF($E180:AF180,1),ColDescriptionCourte))&gt;1,
HYPERLINK("#Roadmap!C"&amp; MATCH($E180,Roadmap!$D:$D,0)+COUNTIF($E180:AF180,"u")+COUNTIF($E180:AF180,"t")+COUNTIF($E180:AF180,"¶")+COUNTIF($E180:AF180,"²")+COUNTIF($E180:AF180,"µ")+COUNTIF($E180:AF180,1)-1,INDEX(Roadmap!$D:$K,MATCH($E180,Roadmap!$D:$D,0)-1+COUNTIF($E180:AF180,"u")+COUNTIF($E180:AF180,"t")+COUNTIF($E180:AF180,"¶")+COUNTIF($E180:AF180,"²")+COUNTIF($E180:AF180,"µ")+COUNTIF($E180:AF180,1),ColDescriptionCourte)),""),
  "")),"")</f>
        <v/>
      </c>
      <c r="AH180" s="40" t="str">
        <f ca="1">IFERROR(IF(AND(
  INDEX(Roadmap!$D:$K,MATCH($E180,Roadmap!$D:$D,0)+COUNTIF($E180:AG180,"u")+COUNTIF($E180:AG180,"t")+COUNTIF($E180:AG180,1),ColLivraison)=AH$6,
  VLOOKUP($E180,INDIRECT("tri!"&amp; CHAR(64+ C0Col) &amp;":"&amp; CHAR(65+C0Col)),2,FALSE)&gt;COUNTIF($E180:AG180,"u")+COUNTIF($E180:AG180,"t")+COUNTIF($E180:AG180,1)),
HYPERLINK("#Roadmap!C"&amp; MATCH($E180,Roadmap!$D:$D,0)+COUNTIF($E180:AG180,"u")+COUNTIF($E180:AG180,"t"),
     INDEX(Roadmap!$D:$K,MATCH($E180,Roadmap!$D:$D,0)+COUNTIF($E180:AG180,"u")+COUNTIF($E180:AG180,"t")+COUNTIF($E180:AG180,1),ColTypeEcheance)),
  IF(OR(AG180="u",AG180="t",AG180=1),
  IF(LEN(INDEX(Roadmap!$D:$K,MATCH($E180,Roadmap!$D:$D,0)-1+COUNTIF($E180:AG180,"u")+COUNTIF($E180:AG180,"t")+COUNTIF($E180:AG180,1),ColDescriptionCourte))&gt;1,
HYPERLINK("#Roadmap!C"&amp; MATCH($E180,Roadmap!$D:$D,0)+COUNTIF($E180:AG180,"u")+COUNTIF($E180:AG180,"t")+COUNTIF($E180:AG180,1)-1,INDEX(Roadmap!$D:$K,MATCH($E180,Roadmap!$D:$D,0)-1+COUNTIF($E180:AG180,"u")+COUNTIF($E180:AG180,"t")+COUNTIF($E180:AG180,1),ColDescriptionCourte)),""),
  "")),"")</f>
        <v/>
      </c>
      <c r="AI180" s="40"/>
      <c r="AJ180" s="40"/>
      <c r="AK180" s="40"/>
      <c r="AL180" s="40"/>
      <c r="AM180" s="40"/>
    </row>
    <row r="181" spans="4:39" ht="14.1" customHeight="1">
      <c r="D181" s="20" t="str">
        <f t="shared" ca="1" si="31"/>
        <v/>
      </c>
      <c r="E181" s="53" t="str">
        <f t="shared" ca="1" si="32"/>
        <v/>
      </c>
      <c r="F181" s="39" t="str">
        <f ca="1">IFERROR(IF(AND(
  INDEX(Roadmap!$D:$K,MATCH($E181,Roadmap!$D:$D,0)+COUNTIF($E181:E181,"u")+COUNTIF($E181:E181,"t")+COUNTIF($E181:E181,"¶")+COUNTIF($E181:E181,"²")+COUNTIF($E181:E181,"µ")+COUNTIF($E181:E181,1),ColLivraison)=F$6,
  VLOOKUP($E181,INDIRECT("tri!"&amp; CHAR(64+ C0Col) &amp;":"&amp; CHAR(65+C0Col)),2,FALSE)&gt;COUNTIF($E181:E181,"u")+COUNTIF($E181:E181,"t")+COUNTIF($E181:E181,"¶")+COUNTIF($E181:E181,"²")+COUNTIF($E181:E181,"µ")+COUNTIF($E181:E181,1)),
HYPERLINK("#Roadmap!C"&amp; MATCH($E181,Roadmap!$D:$D,0)+COUNTIF($E181:E181,"u")+COUNTIF($E181:E181,"t"),
     INDEX(Roadmap!$D:$K,MATCH($E181,Roadmap!$D:$D,0)+COUNTIF($E181:E181,"u")+COUNTIF($E181:E181,"t")+COUNTIF($E181:E181,"¶")+COUNTIF($E181:E181,"²")+COUNTIF($E181:E181,"µ")+COUNTIF($E181:E181,1),ColTypeEcheance)),
  IF(LEN(E181)=1,
  IF(LEN(INDEX(Roadmap!$D:$K,MATCH($E181,Roadmap!$D:$D,0)-1+COUNTIF($E181:E181,"u")+COUNTIF($E181:E181,"t")+COUNTIF($E181:E181,"¶")+COUNTIF($E181:E181,"²")+COUNTIF($E181:E181,"µ")+COUNTIF($E181:E181,1),ColDescriptionCourte))&gt;1,
HYPERLINK("#Roadmap!C"&amp; MATCH($E181,Roadmap!$D:$D,0)+COUNTIF($E181:E181,"u")+COUNTIF($E181:E181,"t")+COUNTIF($E181:E181,"¶")+COUNTIF($E181:E181,"²")+COUNTIF($E181:E181,"µ")+COUNTIF($E181:E181,1)-1,INDEX(Roadmap!$D:$K,MATCH($E181,Roadmap!$D:$D,0)-1+COUNTIF($E181:E181,"u")+COUNTIF($E181:E181,"t")+COUNTIF($E181:E181,"¶")+COUNTIF($E181:E181,"²")+COUNTIF($E181:E181,"µ")+COUNTIF($E181:E181,1),ColDescriptionCourte)),""),
  "")),"")</f>
        <v/>
      </c>
      <c r="G181" s="40" t="str">
        <f ca="1">IFERROR(IF(AND(
  INDEX(Roadmap!$D:$K,MATCH($E181,Roadmap!$D:$D,0)+COUNTIF($E181:F181,"u")+COUNTIF($E181:F181,"t")+COUNTIF($E181:F181,"¶")+COUNTIF($E181:F181,"²")+COUNTIF($E181:F181,"µ")+COUNTIF($E181:F181,1),ColLivraison)=G$6,
  VLOOKUP($E181,INDIRECT("tri!"&amp; CHAR(64+ C0Col) &amp;":"&amp; CHAR(65+C0Col)),2,FALSE)&gt;COUNTIF($E181:F181,"u")+COUNTIF($E181:F181,"t")+COUNTIF($E181:F181,"¶")+COUNTIF($E181:F181,"²")+COUNTIF($E181:F181,"µ")+COUNTIF($E181:F181,1)),
HYPERLINK("#Roadmap!C"&amp; MATCH($E181,Roadmap!$D:$D,0)+COUNTIF($E181:F181,"u")+COUNTIF($E181:F181,"t"),
     INDEX(Roadmap!$D:$K,MATCH($E181,Roadmap!$D:$D,0)+COUNTIF($E181:F181,"u")+COUNTIF($E181:F181,"t")+COUNTIF($E181:F181,"¶")+COUNTIF($E181:F181,"²")+COUNTIF($E181:F181,"µ")+COUNTIF($E181:F181,1),ColTypeEcheance)),
  IF(LEN(F181)=1,
  IF(LEN(INDEX(Roadmap!$D:$K,MATCH($E181,Roadmap!$D:$D,0)-1+COUNTIF($E181:F181,"u")+COUNTIF($E181:F181,"t")+COUNTIF($E181:F181,"¶")+COUNTIF($E181:F181,"²")+COUNTIF($E181:F181,"µ")+COUNTIF($E181:F181,1),ColDescriptionCourte))&gt;1,
HYPERLINK("#Roadmap!C"&amp; MATCH($E181,Roadmap!$D:$D,0)+COUNTIF($E181:F181,"u")+COUNTIF($E181:F181,"t")+COUNTIF($E181:F181,"¶")+COUNTIF($E181:F181,"²")+COUNTIF($E181:F181,"µ")+COUNTIF($E181:F181,1)-1,INDEX(Roadmap!$D:$K,MATCH($E181,Roadmap!$D:$D,0)-1+COUNTIF($E181:F181,"u")+COUNTIF($E181:F181,"t")+COUNTIF($E181:F181,"¶")+COUNTIF($E181:F181,"²")+COUNTIF($E181:F181,"µ")+COUNTIF($E181:F181,1),ColDescriptionCourte)),""),
  "")),"")</f>
        <v/>
      </c>
      <c r="H181" s="40" t="str">
        <f ca="1">IFERROR(IF(AND(
  INDEX(Roadmap!$D:$K,MATCH($E181,Roadmap!$D:$D,0)+COUNTIF($E181:G181,"u")+COUNTIF($E181:G181,"t")+COUNTIF($E181:G181,"¶")+COUNTIF($E181:G181,"²")+COUNTIF($E181:G181,"µ")+COUNTIF($E181:G181,1),ColLivraison)=H$6,
  VLOOKUP($E181,INDIRECT("tri!"&amp; CHAR(64+ C0Col) &amp;":"&amp; CHAR(65+C0Col)),2,FALSE)&gt;COUNTIF($E181:G181,"u")+COUNTIF($E181:G181,"t")+COUNTIF($E181:G181,"¶")+COUNTIF($E181:G181,"²")+COUNTIF($E181:G181,"µ")+COUNTIF($E181:G181,1)),
HYPERLINK("#Roadmap!C"&amp; MATCH($E181,Roadmap!$D:$D,0)+COUNTIF($E181:G181,"u")+COUNTIF($E181:G181,"t"),
     INDEX(Roadmap!$D:$K,MATCH($E181,Roadmap!$D:$D,0)+COUNTIF($E181:G181,"u")+COUNTIF($E181:G181,"t")+COUNTIF($E181:G181,"¶")+COUNTIF($E181:G181,"²")+COUNTIF($E181:G181,"µ")+COUNTIF($E181:G181,1),ColTypeEcheance)),
  IF(LEN(G181)=1,
  IF(LEN(INDEX(Roadmap!$D:$K,MATCH($E181,Roadmap!$D:$D,0)-1+COUNTIF($E181:G181,"u")+COUNTIF($E181:G181,"t")+COUNTIF($E181:G181,"¶")+COUNTIF($E181:G181,"²")+COUNTIF($E181:G181,"µ")+COUNTIF($E181:G181,1),ColDescriptionCourte))&gt;1,
HYPERLINK("#Roadmap!C"&amp; MATCH($E181,Roadmap!$D:$D,0)+COUNTIF($E181:G181,"u")+COUNTIF($E181:G181,"t")+COUNTIF($E181:G181,"¶")+COUNTIF($E181:G181,"²")+COUNTIF($E181:G181,"µ")+COUNTIF($E181:G181,1)-1,INDEX(Roadmap!$D:$K,MATCH($E181,Roadmap!$D:$D,0)-1+COUNTIF($E181:G181,"u")+COUNTIF($E181:G181,"t")+COUNTIF($E181:G181,"¶")+COUNTIF($E181:G181,"²")+COUNTIF($E181:G181,"µ")+COUNTIF($E181:G181,1),ColDescriptionCourte)),""),
  "")),"")</f>
        <v/>
      </c>
      <c r="I181" s="40" t="str">
        <f ca="1">IFERROR(IF(AND(
  INDEX(Roadmap!$D:$K,MATCH($E181,Roadmap!$D:$D,0)+COUNTIF($E181:H181,"u")+COUNTIF($E181:H181,"t")+COUNTIF($E181:H181,"¶")+COUNTIF($E181:H181,"²")+COUNTIF($E181:H181,"µ")+COUNTIF($E181:H181,1),ColLivraison)=I$6,
  VLOOKUP($E181,INDIRECT("tri!"&amp; CHAR(64+ C0Col) &amp;":"&amp; CHAR(65+C0Col)),2,FALSE)&gt;COUNTIF($E181:H181,"u")+COUNTIF($E181:H181,"t")+COUNTIF($E181:H181,"¶")+COUNTIF($E181:H181,"²")+COUNTIF($E181:H181,"µ")+COUNTIF($E181:H181,1)),
HYPERLINK("#Roadmap!C"&amp; MATCH($E181,Roadmap!$D:$D,0)+COUNTIF($E181:H181,"u")+COUNTIF($E181:H181,"t"),
     INDEX(Roadmap!$D:$K,MATCH($E181,Roadmap!$D:$D,0)+COUNTIF($E181:H181,"u")+COUNTIF($E181:H181,"t")+COUNTIF($E181:H181,"¶")+COUNTIF($E181:H181,"²")+COUNTIF($E181:H181,"µ")+COUNTIF($E181:H181,1),ColTypeEcheance)),
  IF(LEN(H181)=1,
  IF(LEN(INDEX(Roadmap!$D:$K,MATCH($E181,Roadmap!$D:$D,0)-1+COUNTIF($E181:H181,"u")+COUNTIF($E181:H181,"t")+COUNTIF($E181:H181,"¶")+COUNTIF($E181:H181,"²")+COUNTIF($E181:H181,"µ")+COUNTIF($E181:H181,1),ColDescriptionCourte))&gt;1,
HYPERLINK("#Roadmap!C"&amp; MATCH($E181,Roadmap!$D:$D,0)+COUNTIF($E181:H181,"u")+COUNTIF($E181:H181,"t")+COUNTIF($E181:H181,"¶")+COUNTIF($E181:H181,"²")+COUNTIF($E181:H181,"µ")+COUNTIF($E181:H181,1)-1,INDEX(Roadmap!$D:$K,MATCH($E181,Roadmap!$D:$D,0)-1+COUNTIF($E181:H181,"u")+COUNTIF($E181:H181,"t")+COUNTIF($E181:H181,"¶")+COUNTIF($E181:H181,"²")+COUNTIF($E181:H181,"µ")+COUNTIF($E181:H181,1),ColDescriptionCourte)),""),
  "")),"")</f>
        <v/>
      </c>
      <c r="J181" s="40" t="str">
        <f ca="1">IFERROR(IF(AND(
  INDEX(Roadmap!$D:$K,MATCH($E181,Roadmap!$D:$D,0)+COUNTIF($E181:I181,"u")+COUNTIF($E181:I181,"t")+COUNTIF($E181:I181,"¶")+COUNTIF($E181:I181,"²")+COUNTIF($E181:I181,"µ")+COUNTIF($E181:I181,1),ColLivraison)=J$6,
  VLOOKUP($E181,INDIRECT("tri!"&amp; CHAR(64+ C0Col) &amp;":"&amp; CHAR(65+C0Col)),2,FALSE)&gt;COUNTIF($E181:I181,"u")+COUNTIF($E181:I181,"t")+COUNTIF($E181:I181,"¶")+COUNTIF($E181:I181,"²")+COUNTIF($E181:I181,"µ")+COUNTIF($E181:I181,1)),
HYPERLINK("#Roadmap!C"&amp; MATCH($E181,Roadmap!$D:$D,0)+COUNTIF($E181:I181,"u")+COUNTIF($E181:I181,"t"),
     INDEX(Roadmap!$D:$K,MATCH($E181,Roadmap!$D:$D,0)+COUNTIF($E181:I181,"u")+COUNTIF($E181:I181,"t")+COUNTIF($E181:I181,"¶")+COUNTIF($E181:I181,"²")+COUNTIF($E181:I181,"µ")+COUNTIF($E181:I181,1),ColTypeEcheance)),
  IF(LEN(I181)=1,
  IF(LEN(INDEX(Roadmap!$D:$K,MATCH($E181,Roadmap!$D:$D,0)-1+COUNTIF($E181:I181,"u")+COUNTIF($E181:I181,"t")+COUNTIF($E181:I181,"¶")+COUNTIF($E181:I181,"²")+COUNTIF($E181:I181,"µ")+COUNTIF($E181:I181,1),ColDescriptionCourte))&gt;1,
HYPERLINK("#Roadmap!C"&amp; MATCH($E181,Roadmap!$D:$D,0)+COUNTIF($E181:I181,"u")+COUNTIF($E181:I181,"t")+COUNTIF($E181:I181,"¶")+COUNTIF($E181:I181,"²")+COUNTIF($E181:I181,"µ")+COUNTIF($E181:I181,1)-1,INDEX(Roadmap!$D:$K,MATCH($E181,Roadmap!$D:$D,0)-1+COUNTIF($E181:I181,"u")+COUNTIF($E181:I181,"t")+COUNTIF($E181:I181,"¶")+COUNTIF($E181:I181,"²")+COUNTIF($E181:I181,"µ")+COUNTIF($E181:I181,1),ColDescriptionCourte)),""),
  "")),"")</f>
        <v/>
      </c>
      <c r="K181" s="40" t="str">
        <f ca="1">IFERROR(IF(AND(
  INDEX(Roadmap!$D:$K,MATCH($E181,Roadmap!$D:$D,0)+COUNTIF($E181:J181,"u")+COUNTIF($E181:J181,"t")+COUNTIF($E181:J181,"¶")+COUNTIF($E181:J181,"²")+COUNTIF($E181:J181,"µ")+COUNTIF($E181:J181,1),ColLivraison)=K$6,
  VLOOKUP($E181,INDIRECT("tri!"&amp; CHAR(64+ C0Col) &amp;":"&amp; CHAR(65+C0Col)),2,FALSE)&gt;COUNTIF($E181:J181,"u")+COUNTIF($E181:J181,"t")+COUNTIF($E181:J181,"¶")+COUNTIF($E181:J181,"²")+COUNTIF($E181:J181,"µ")+COUNTIF($E181:J181,1)),
HYPERLINK("#Roadmap!C"&amp; MATCH($E181,Roadmap!$D:$D,0)+COUNTIF($E181:J181,"u")+COUNTIF($E181:J181,"t"),
     INDEX(Roadmap!$D:$K,MATCH($E181,Roadmap!$D:$D,0)+COUNTIF($E181:J181,"u")+COUNTIF($E181:J181,"t")+COUNTIF($E181:J181,"¶")+COUNTIF($E181:J181,"²")+COUNTIF($E181:J181,"µ")+COUNTIF($E181:J181,1),ColTypeEcheance)),
  IF(LEN(J181)=1,
  IF(LEN(INDEX(Roadmap!$D:$K,MATCH($E181,Roadmap!$D:$D,0)-1+COUNTIF($E181:J181,"u")+COUNTIF($E181:J181,"t")+COUNTIF($E181:J181,"¶")+COUNTIF($E181:J181,"²")+COUNTIF($E181:J181,"µ")+COUNTIF($E181:J181,1),ColDescriptionCourte))&gt;1,
HYPERLINK("#Roadmap!C"&amp; MATCH($E181,Roadmap!$D:$D,0)+COUNTIF($E181:J181,"u")+COUNTIF($E181:J181,"t")+COUNTIF($E181:J181,"¶")+COUNTIF($E181:J181,"²")+COUNTIF($E181:J181,"µ")+COUNTIF($E181:J181,1)-1,INDEX(Roadmap!$D:$K,MATCH($E181,Roadmap!$D:$D,0)-1+COUNTIF($E181:J181,"u")+COUNTIF($E181:J181,"t")+COUNTIF($E181:J181,"¶")+COUNTIF($E181:J181,"²")+COUNTIF($E181:J181,"µ")+COUNTIF($E181:J181,1),ColDescriptionCourte)),""),
  "")),"")</f>
        <v/>
      </c>
      <c r="L181" s="39" t="str">
        <f ca="1">IFERROR(IF(AND(
  INDEX(Roadmap!$D:$K,MATCH($E181,Roadmap!$D:$D,0)+COUNTIF($E181:K181,"u")+COUNTIF($E181:K181,"t")+COUNTIF($E181:K181,"¶")+COUNTIF($E181:K181,"²")+COUNTIF($E181:K181,"µ")+COUNTIF($E181:K181,1),ColLivraison)=L$6,
  VLOOKUP($E181,INDIRECT("tri!"&amp; CHAR(64+ C0Col) &amp;":"&amp; CHAR(65+C0Col)),2,FALSE)&gt;COUNTIF($E181:K181,"u")+COUNTIF($E181:K181,"t")+COUNTIF($E181:K181,"¶")+COUNTIF($E181:K181,"²")+COUNTIF($E181:K181,"µ")+COUNTIF($E181:K181,1)),
HYPERLINK("#Roadmap!C"&amp; MATCH($E181,Roadmap!$D:$D,0)+COUNTIF($E181:K181,"u")+COUNTIF($E181:K181,"t"),
     INDEX(Roadmap!$D:$K,MATCH($E181,Roadmap!$D:$D,0)+COUNTIF($E181:K181,"u")+COUNTIF($E181:K181,"t")+COUNTIF($E181:K181,"¶")+COUNTIF($E181:K181,"²")+COUNTIF($E181:K181,"µ")+COUNTIF($E181:K181,1),ColTypeEcheance)),
  IF(LEN(K181)=1,
  IF(LEN(INDEX(Roadmap!$D:$K,MATCH($E181,Roadmap!$D:$D,0)-1+COUNTIF($E181:K181,"u")+COUNTIF($E181:K181,"t")+COUNTIF($E181:K181,"¶")+COUNTIF($E181:K181,"²")+COUNTIF($E181:K181,"µ")+COUNTIF($E181:K181,1),ColDescriptionCourte))&gt;1,
HYPERLINK("#Roadmap!C"&amp; MATCH($E181,Roadmap!$D:$D,0)+COUNTIF($E181:K181,"u")+COUNTIF($E181:K181,"t")+COUNTIF($E181:K181,"¶")+COUNTIF($E181:K181,"²")+COUNTIF($E181:K181,"µ")+COUNTIF($E181:K181,1)-1,INDEX(Roadmap!$D:$K,MATCH($E181,Roadmap!$D:$D,0)-1+COUNTIF($E181:K181,"u")+COUNTIF($E181:K181,"t")+COUNTIF($E181:K181,"¶")+COUNTIF($E181:K181,"²")+COUNTIF($E181:K181,"µ")+COUNTIF($E181:K181,1),ColDescriptionCourte)),""),
  "")),"")</f>
        <v/>
      </c>
      <c r="M181" s="40" t="str">
        <f ca="1">IFERROR(IF(AND(
  INDEX(Roadmap!$D:$K,MATCH($E181,Roadmap!$D:$D,0)+COUNTIF($E181:L181,"u")+COUNTIF($E181:L181,"t")+COUNTIF($E181:L181,"¶")+COUNTIF($E181:L181,"²")+COUNTIF($E181:L181,"µ")+COUNTIF($E181:L181,1),ColLivraison)=M$6,
  VLOOKUP($E181,INDIRECT("tri!"&amp; CHAR(64+ C0Col) &amp;":"&amp; CHAR(65+C0Col)),2,FALSE)&gt;COUNTIF($E181:L181,"u")+COUNTIF($E181:L181,"t")+COUNTIF($E181:L181,"¶")+COUNTIF($E181:L181,"²")+COUNTIF($E181:L181,"µ")+COUNTIF($E181:L181,1)),
HYPERLINK("#Roadmap!C"&amp; MATCH($E181,Roadmap!$D:$D,0)+COUNTIF($E181:L181,"u")+COUNTIF($E181:L181,"t"),
     INDEX(Roadmap!$D:$K,MATCH($E181,Roadmap!$D:$D,0)+COUNTIF($E181:L181,"u")+COUNTIF($E181:L181,"t")+COUNTIF($E181:L181,"¶")+COUNTIF($E181:L181,"²")+COUNTIF($E181:L181,"µ")+COUNTIF($E181:L181,1),ColTypeEcheance)),
  IF(LEN(L181)=1,
  IF(LEN(INDEX(Roadmap!$D:$K,MATCH($E181,Roadmap!$D:$D,0)-1+COUNTIF($E181:L181,"u")+COUNTIF($E181:L181,"t")+COUNTIF($E181:L181,"¶")+COUNTIF($E181:L181,"²")+COUNTIF($E181:L181,"µ")+COUNTIF($E181:L181,1),ColDescriptionCourte))&gt;1,
HYPERLINK("#Roadmap!C"&amp; MATCH($E181,Roadmap!$D:$D,0)+COUNTIF($E181:L181,"u")+COUNTIF($E181:L181,"t")+COUNTIF($E181:L181,"¶")+COUNTIF($E181:L181,"²")+COUNTIF($E181:L181,"µ")+COUNTIF($E181:L181,1)-1,INDEX(Roadmap!$D:$K,MATCH($E181,Roadmap!$D:$D,0)-1+COUNTIF($E181:L181,"u")+COUNTIF($E181:L181,"t")+COUNTIF($E181:L181,"¶")+COUNTIF($E181:L181,"²")+COUNTIF($E181:L181,"µ")+COUNTIF($E181:L181,1),ColDescriptionCourte)),""),
  "")),"")</f>
        <v/>
      </c>
      <c r="N181" s="40" t="str">
        <f ca="1">IFERROR(IF(AND(
  INDEX(Roadmap!$D:$K,MATCH($E181,Roadmap!$D:$D,0)+COUNTIF($E181:M181,"u")+COUNTIF($E181:M181,"t")+COUNTIF($E181:M181,"¶")+COUNTIF($E181:M181,"²")+COUNTIF($E181:M181,"µ")+COUNTIF($E181:M181,1),ColLivraison)=N$6,
  VLOOKUP($E181,INDIRECT("tri!"&amp; CHAR(64+ C0Col) &amp;":"&amp; CHAR(65+C0Col)),2,FALSE)&gt;COUNTIF($E181:M181,"u")+COUNTIF($E181:M181,"t")+COUNTIF($E181:M181,"¶")+COUNTIF($E181:M181,"²")+COUNTIF($E181:M181,"µ")+COUNTIF($E181:M181,1)),
HYPERLINK("#Roadmap!C"&amp; MATCH($E181,Roadmap!$D:$D,0)+COUNTIF($E181:M181,"u")+COUNTIF($E181:M181,"t"),
     INDEX(Roadmap!$D:$K,MATCH($E181,Roadmap!$D:$D,0)+COUNTIF($E181:M181,"u")+COUNTIF($E181:M181,"t")+COUNTIF($E181:M181,"¶")+COUNTIF($E181:M181,"²")+COUNTIF($E181:M181,"µ")+COUNTIF($E181:M181,1),ColTypeEcheance)),
  IF(LEN(M181)=1,
  IF(LEN(INDEX(Roadmap!$D:$K,MATCH($E181,Roadmap!$D:$D,0)-1+COUNTIF($E181:M181,"u")+COUNTIF($E181:M181,"t")+COUNTIF($E181:M181,"¶")+COUNTIF($E181:M181,"²")+COUNTIF($E181:M181,"µ")+COUNTIF($E181:M181,1),ColDescriptionCourte))&gt;1,
HYPERLINK("#Roadmap!C"&amp; MATCH($E181,Roadmap!$D:$D,0)+COUNTIF($E181:M181,"u")+COUNTIF($E181:M181,"t")+COUNTIF($E181:M181,"¶")+COUNTIF($E181:M181,"²")+COUNTIF($E181:M181,"µ")+COUNTIF($E181:M181,1)-1,INDEX(Roadmap!$D:$K,MATCH($E181,Roadmap!$D:$D,0)-1+COUNTIF($E181:M181,"u")+COUNTIF($E181:M181,"t")+COUNTIF($E181:M181,"¶")+COUNTIF($E181:M181,"²")+COUNTIF($E181:M181,"µ")+COUNTIF($E181:M181,1),ColDescriptionCourte)),""),
  "")),"")</f>
        <v/>
      </c>
      <c r="O181" s="40" t="str">
        <f ca="1">IFERROR(IF(AND(
  INDEX(Roadmap!$D:$K,MATCH($E181,Roadmap!$D:$D,0)+COUNTIF($E181:N181,"u")+COUNTIF($E181:N181,"t")+COUNTIF($E181:N181,"¶")+COUNTIF($E181:N181,"²")+COUNTIF($E181:N181,"µ")+COUNTIF($E181:N181,1),ColLivraison)=O$6,
  VLOOKUP($E181,INDIRECT("tri!"&amp; CHAR(64+ C0Col) &amp;":"&amp; CHAR(65+C0Col)),2,FALSE)&gt;COUNTIF($E181:N181,"u")+COUNTIF($E181:N181,"t")+COUNTIF($E181:N181,"¶")+COUNTIF($E181:N181,"²")+COUNTIF($E181:N181,"µ")+COUNTIF($E181:N181,1)),
HYPERLINK("#Roadmap!C"&amp; MATCH($E181,Roadmap!$D:$D,0)+COUNTIF($E181:N181,"u")+COUNTIF($E181:N181,"t"),
     INDEX(Roadmap!$D:$K,MATCH($E181,Roadmap!$D:$D,0)+COUNTIF($E181:N181,"u")+COUNTIF($E181:N181,"t")+COUNTIF($E181:N181,"¶")+COUNTIF($E181:N181,"²")+COUNTIF($E181:N181,"µ")+COUNTIF($E181:N181,1),ColTypeEcheance)),
  IF(LEN(N181)=1,
  IF(LEN(INDEX(Roadmap!$D:$K,MATCH($E181,Roadmap!$D:$D,0)-1+COUNTIF($E181:N181,"u")+COUNTIF($E181:N181,"t")+COUNTIF($E181:N181,"¶")+COUNTIF($E181:N181,"²")+COUNTIF($E181:N181,"µ")+COUNTIF($E181:N181,1),ColDescriptionCourte))&gt;1,
HYPERLINK("#Roadmap!C"&amp; MATCH($E181,Roadmap!$D:$D,0)+COUNTIF($E181:N181,"u")+COUNTIF($E181:N181,"t")+COUNTIF($E181:N181,"¶")+COUNTIF($E181:N181,"²")+COUNTIF($E181:N181,"µ")+COUNTIF($E181:N181,1)-1,INDEX(Roadmap!$D:$K,MATCH($E181,Roadmap!$D:$D,0)-1+COUNTIF($E181:N181,"u")+COUNTIF($E181:N181,"t")+COUNTIF($E181:N181,"¶")+COUNTIF($E181:N181,"²")+COUNTIF($E181:N181,"µ")+COUNTIF($E181:N181,1),ColDescriptionCourte)),""),
  "")),"")</f>
        <v/>
      </c>
      <c r="P181" s="40" t="str">
        <f ca="1">IFERROR(IF(AND(
  INDEX(Roadmap!$D:$K,MATCH($E181,Roadmap!$D:$D,0)+COUNTIF($E181:O181,"u")+COUNTIF($E181:O181,"t")+COUNTIF($E181:O181,"¶")+COUNTIF($E181:O181,"²")+COUNTIF($E181:O181,"µ")+COUNTIF($E181:O181,1),ColLivraison)=P$6,
  VLOOKUP($E181,INDIRECT("tri!"&amp; CHAR(64+ C0Col) &amp;":"&amp; CHAR(65+C0Col)),2,FALSE)&gt;COUNTIF($E181:O181,"u")+COUNTIF($E181:O181,"t")+COUNTIF($E181:O181,"¶")+COUNTIF($E181:O181,"²")+COUNTIF($E181:O181,"µ")+COUNTIF($E181:O181,1)),
HYPERLINK("#Roadmap!C"&amp; MATCH($E181,Roadmap!$D:$D,0)+COUNTIF($E181:O181,"u")+COUNTIF($E181:O181,"t"),
     INDEX(Roadmap!$D:$K,MATCH($E181,Roadmap!$D:$D,0)+COUNTIF($E181:O181,"u")+COUNTIF($E181:O181,"t")+COUNTIF($E181:O181,"¶")+COUNTIF($E181:O181,"²")+COUNTIF($E181:O181,"µ")+COUNTIF($E181:O181,1),ColTypeEcheance)),
  IF(LEN(O181)=1,
  IF(LEN(INDEX(Roadmap!$D:$K,MATCH($E181,Roadmap!$D:$D,0)-1+COUNTIF($E181:O181,"u")+COUNTIF($E181:O181,"t")+COUNTIF($E181:O181,"¶")+COUNTIF($E181:O181,"²")+COUNTIF($E181:O181,"µ")+COUNTIF($E181:O181,1),ColDescriptionCourte))&gt;1,
HYPERLINK("#Roadmap!C"&amp; MATCH($E181,Roadmap!$D:$D,0)+COUNTIF($E181:O181,"u")+COUNTIF($E181:O181,"t")+COUNTIF($E181:O181,"¶")+COUNTIF($E181:O181,"²")+COUNTIF($E181:O181,"µ")+COUNTIF($E181:O181,1)-1,INDEX(Roadmap!$D:$K,MATCH($E181,Roadmap!$D:$D,0)-1+COUNTIF($E181:O181,"u")+COUNTIF($E181:O181,"t")+COUNTIF($E181:O181,"¶")+COUNTIF($E181:O181,"²")+COUNTIF($E181:O181,"µ")+COUNTIF($E181:O181,1),ColDescriptionCourte)),""),
  "")),"")</f>
        <v/>
      </c>
      <c r="Q181" s="40" t="str">
        <f ca="1">IFERROR(IF(AND(
  INDEX(Roadmap!$D:$K,MATCH($E181,Roadmap!$D:$D,0)+COUNTIF($E181:P181,"u")+COUNTIF($E181:P181,"t")+COUNTIF($E181:P181,"¶")+COUNTIF($E181:P181,"²")+COUNTIF($E181:P181,"µ")+COUNTIF($E181:P181,1),ColLivraison)=Q$6,
  VLOOKUP($E181,INDIRECT("tri!"&amp; CHAR(64+ C0Col) &amp;":"&amp; CHAR(65+C0Col)),2,FALSE)&gt;COUNTIF($E181:P181,"u")+COUNTIF($E181:P181,"t")+COUNTIF($E181:P181,"¶")+COUNTIF($E181:P181,"²")+COUNTIF($E181:P181,"µ")+COUNTIF($E181:P181,1)),
HYPERLINK("#Roadmap!C"&amp; MATCH($E181,Roadmap!$D:$D,0)+COUNTIF($E181:P181,"u")+COUNTIF($E181:P181,"t"),
     INDEX(Roadmap!$D:$K,MATCH($E181,Roadmap!$D:$D,0)+COUNTIF($E181:P181,"u")+COUNTIF($E181:P181,"t")+COUNTIF($E181:P181,"¶")+COUNTIF($E181:P181,"²")+COUNTIF($E181:P181,"µ")+COUNTIF($E181:P181,1),ColTypeEcheance)),
  IF(LEN(P181)=1,
  IF(LEN(INDEX(Roadmap!$D:$K,MATCH($E181,Roadmap!$D:$D,0)-1+COUNTIF($E181:P181,"u")+COUNTIF($E181:P181,"t")+COUNTIF($E181:P181,"¶")+COUNTIF($E181:P181,"²")+COUNTIF($E181:P181,"µ")+COUNTIF($E181:P181,1),ColDescriptionCourte))&gt;1,
HYPERLINK("#Roadmap!C"&amp; MATCH($E181,Roadmap!$D:$D,0)+COUNTIF($E181:P181,"u")+COUNTIF($E181:P181,"t")+COUNTIF($E181:P181,"¶")+COUNTIF($E181:P181,"²")+COUNTIF($E181:P181,"µ")+COUNTIF($E181:P181,1)-1,INDEX(Roadmap!$D:$K,MATCH($E181,Roadmap!$D:$D,0)-1+COUNTIF($E181:P181,"u")+COUNTIF($E181:P181,"t")+COUNTIF($E181:P181,"¶")+COUNTIF($E181:P181,"²")+COUNTIF($E181:P181,"µ")+COUNTIF($E181:P181,1),ColDescriptionCourte)),""),
  "")),"")</f>
        <v/>
      </c>
      <c r="R181" s="40" t="str">
        <f ca="1">IFERROR(IF(AND(
  INDEX(Roadmap!$D:$K,MATCH($E181,Roadmap!$D:$D,0)+COUNTIF($E181:Q181,"u")+COUNTIF($E181:Q181,"t")+COUNTIF($E181:Q181,"¶")+COUNTIF($E181:Q181,"²")+COUNTIF($E181:Q181,"µ")+COUNTIF($E181:Q181,1),ColLivraison)=R$6,
  VLOOKUP($E181,INDIRECT("tri!"&amp; CHAR(64+ C0Col) &amp;":"&amp; CHAR(65+C0Col)),2,FALSE)&gt;COUNTIF($E181:Q181,"u")+COUNTIF($E181:Q181,"t")+COUNTIF($E181:Q181,"¶")+COUNTIF($E181:Q181,"²")+COUNTIF($E181:Q181,"µ")+COUNTIF($E181:Q181,1)),
HYPERLINK("#Roadmap!C"&amp; MATCH($E181,Roadmap!$D:$D,0)+COUNTIF($E181:Q181,"u")+COUNTIF($E181:Q181,"t"),
     INDEX(Roadmap!$D:$K,MATCH($E181,Roadmap!$D:$D,0)+COUNTIF($E181:Q181,"u")+COUNTIF($E181:Q181,"t")+COUNTIF($E181:Q181,"¶")+COUNTIF($E181:Q181,"²")+COUNTIF($E181:Q181,"µ")+COUNTIF($E181:Q181,1),ColTypeEcheance)),
  IF(LEN(Q181)=1,
  IF(LEN(INDEX(Roadmap!$D:$K,MATCH($E181,Roadmap!$D:$D,0)-1+COUNTIF($E181:Q181,"u")+COUNTIF($E181:Q181,"t")+COUNTIF($E181:Q181,"¶")+COUNTIF($E181:Q181,"²")+COUNTIF($E181:Q181,"µ")+COUNTIF($E181:Q181,1),ColDescriptionCourte))&gt;1,
HYPERLINK("#Roadmap!C"&amp; MATCH($E181,Roadmap!$D:$D,0)+COUNTIF($E181:Q181,"u")+COUNTIF($E181:Q181,"t")+COUNTIF($E181:Q181,"¶")+COUNTIF($E181:Q181,"²")+COUNTIF($E181:Q181,"µ")+COUNTIF($E181:Q181,1)-1,INDEX(Roadmap!$D:$K,MATCH($E181,Roadmap!$D:$D,0)-1+COUNTIF($E181:Q181,"u")+COUNTIF($E181:Q181,"t")+COUNTIF($E181:Q181,"¶")+COUNTIF($E181:Q181,"²")+COUNTIF($E181:Q181,"µ")+COUNTIF($E181:Q181,1),ColDescriptionCourte)),""),
  "")),"")</f>
        <v/>
      </c>
      <c r="S181" s="40" t="str">
        <f ca="1">IFERROR(IF(AND(
  INDEX(Roadmap!$D:$K,MATCH($E181,Roadmap!$D:$D,0)+COUNTIF($E181:R181,"u")+COUNTIF($E181:R181,"t")+COUNTIF($E181:R181,"¶")+COUNTIF($E181:R181,"²")+COUNTIF($E181:R181,"µ")+COUNTIF($E181:R181,1),ColLivraison)=S$6,
  VLOOKUP($E181,INDIRECT("tri!"&amp; CHAR(64+ C0Col) &amp;":"&amp; CHAR(65+C0Col)),2,FALSE)&gt;COUNTIF($E181:R181,"u")+COUNTIF($E181:R181,"t")+COUNTIF($E181:R181,"¶")+COUNTIF($E181:R181,"²")+COUNTIF($E181:R181,"µ")+COUNTIF($E181:R181,1)),
HYPERLINK("#Roadmap!C"&amp; MATCH($E181,Roadmap!$D:$D,0)+COUNTIF($E181:R181,"u")+COUNTIF($E181:R181,"t"),
     INDEX(Roadmap!$D:$K,MATCH($E181,Roadmap!$D:$D,0)+COUNTIF($E181:R181,"u")+COUNTIF($E181:R181,"t")+COUNTIF($E181:R181,"¶")+COUNTIF($E181:R181,"²")+COUNTIF($E181:R181,"µ")+COUNTIF($E181:R181,1),ColTypeEcheance)),
  IF(LEN(R181)=1,
  IF(LEN(INDEX(Roadmap!$D:$K,MATCH($E181,Roadmap!$D:$D,0)-1+COUNTIF($E181:R181,"u")+COUNTIF($E181:R181,"t")+COUNTIF($E181:R181,"¶")+COUNTIF($E181:R181,"²")+COUNTIF($E181:R181,"µ")+COUNTIF($E181:R181,1),ColDescriptionCourte))&gt;1,
HYPERLINK("#Roadmap!C"&amp; MATCH($E181,Roadmap!$D:$D,0)+COUNTIF($E181:R181,"u")+COUNTIF($E181:R181,"t")+COUNTIF($E181:R181,"¶")+COUNTIF($E181:R181,"²")+COUNTIF($E181:R181,"µ")+COUNTIF($E181:R181,1)-1,INDEX(Roadmap!$D:$K,MATCH($E181,Roadmap!$D:$D,0)-1+COUNTIF($E181:R181,"u")+COUNTIF($E181:R181,"t")+COUNTIF($E181:R181,"¶")+COUNTIF($E181:R181,"²")+COUNTIF($E181:R181,"µ")+COUNTIF($E181:R181,1),ColDescriptionCourte)),""),
  "")),"")</f>
        <v/>
      </c>
      <c r="T181" s="40" t="str">
        <f ca="1">IFERROR(IF(AND(
  INDEX(Roadmap!$D:$K,MATCH($E181,Roadmap!$D:$D,0)+COUNTIF($E181:S181,"u")+COUNTIF($E181:S181,"t")+COUNTIF($E181:S181,"¶")+COUNTIF($E181:S181,"²")+COUNTIF($E181:S181,"µ")+COUNTIF($E181:S181,1),ColLivraison)=T$6,
  VLOOKUP($E181,INDIRECT("tri!"&amp; CHAR(64+ C0Col) &amp;":"&amp; CHAR(65+C0Col)),2,FALSE)&gt;COUNTIF($E181:S181,"u")+COUNTIF($E181:S181,"t")+COUNTIF($E181:S181,"¶")+COUNTIF($E181:S181,"²")+COUNTIF($E181:S181,"µ")+COUNTIF($E181:S181,1)),
HYPERLINK("#Roadmap!C"&amp; MATCH($E181,Roadmap!$D:$D,0)+COUNTIF($E181:S181,"u")+COUNTIF($E181:S181,"t"),
     INDEX(Roadmap!$D:$K,MATCH($E181,Roadmap!$D:$D,0)+COUNTIF($E181:S181,"u")+COUNTIF($E181:S181,"t")+COUNTIF($E181:S181,"¶")+COUNTIF($E181:S181,"²")+COUNTIF($E181:S181,"µ")+COUNTIF($E181:S181,1),ColTypeEcheance)),
  IF(LEN(S181)=1,
  IF(LEN(INDEX(Roadmap!$D:$K,MATCH($E181,Roadmap!$D:$D,0)-1+COUNTIF($E181:S181,"u")+COUNTIF($E181:S181,"t")+COUNTIF($E181:S181,"¶")+COUNTIF($E181:S181,"²")+COUNTIF($E181:S181,"µ")+COUNTIF($E181:S181,1),ColDescriptionCourte))&gt;1,
HYPERLINK("#Roadmap!C"&amp; MATCH($E181,Roadmap!$D:$D,0)+COUNTIF($E181:S181,"u")+COUNTIF($E181:S181,"t")+COUNTIF($E181:S181,"¶")+COUNTIF($E181:S181,"²")+COUNTIF($E181:S181,"µ")+COUNTIF($E181:S181,1)-1,INDEX(Roadmap!$D:$K,MATCH($E181,Roadmap!$D:$D,0)-1+COUNTIF($E181:S181,"u")+COUNTIF($E181:S181,"t")+COUNTIF($E181:S181,"¶")+COUNTIF($E181:S181,"²")+COUNTIF($E181:S181,"µ")+COUNTIF($E181:S181,1),ColDescriptionCourte)),""),
  "")),"")</f>
        <v/>
      </c>
      <c r="U181" s="40" t="str">
        <f ca="1">IFERROR(IF(AND(
  INDEX(Roadmap!$D:$K,MATCH($E181,Roadmap!$D:$D,0)+COUNTIF($E181:T181,"u")+COUNTIF($E181:T181,"t")+COUNTIF($E181:T181,"¶")+COUNTIF($E181:T181,"²")+COUNTIF($E181:T181,"µ")+COUNTIF($E181:T181,1),ColLivraison)=U$6,
  VLOOKUP($E181,INDIRECT("tri!"&amp; CHAR(64+ C0Col) &amp;":"&amp; CHAR(65+C0Col)),2,FALSE)&gt;COUNTIF($E181:T181,"u")+COUNTIF($E181:T181,"t")+COUNTIF($E181:T181,"¶")+COUNTIF($E181:T181,"²")+COUNTIF($E181:T181,"µ")+COUNTIF($E181:T181,1)),
HYPERLINK("#Roadmap!C"&amp; MATCH($E181,Roadmap!$D:$D,0)+COUNTIF($E181:T181,"u")+COUNTIF($E181:T181,"t"),
     INDEX(Roadmap!$D:$K,MATCH($E181,Roadmap!$D:$D,0)+COUNTIF($E181:T181,"u")+COUNTIF($E181:T181,"t")+COUNTIF($E181:T181,"¶")+COUNTIF($E181:T181,"²")+COUNTIF($E181:T181,"µ")+COUNTIF($E181:T181,1),ColTypeEcheance)),
  IF(LEN(T181)=1,
  IF(LEN(INDEX(Roadmap!$D:$K,MATCH($E181,Roadmap!$D:$D,0)-1+COUNTIF($E181:T181,"u")+COUNTIF($E181:T181,"t")+COUNTIF($E181:T181,"¶")+COUNTIF($E181:T181,"²")+COUNTIF($E181:T181,"µ")+COUNTIF($E181:T181,1),ColDescriptionCourte))&gt;1,
HYPERLINK("#Roadmap!C"&amp; MATCH($E181,Roadmap!$D:$D,0)+COUNTIF($E181:T181,"u")+COUNTIF($E181:T181,"t")+COUNTIF($E181:T181,"¶")+COUNTIF($E181:T181,"²")+COUNTIF($E181:T181,"µ")+COUNTIF($E181:T181,1)-1,INDEX(Roadmap!$D:$K,MATCH($E181,Roadmap!$D:$D,0)-1+COUNTIF($E181:T181,"u")+COUNTIF($E181:T181,"t")+COUNTIF($E181:T181,"¶")+COUNTIF($E181:T181,"²")+COUNTIF($E181:T181,"µ")+COUNTIF($E181:T181,1),ColDescriptionCourte)),""),
  "")),"")</f>
        <v/>
      </c>
      <c r="V181" s="40" t="str">
        <f ca="1">IFERROR(IF(AND(
  INDEX(Roadmap!$D:$K,MATCH($E181,Roadmap!$D:$D,0)+COUNTIF($E181:U181,"u")+COUNTIF($E181:U181,"t")+COUNTIF($E181:U181,"¶")+COUNTIF($E181:U181,"²")+COUNTIF($E181:U181,"µ")+COUNTIF($E181:U181,1),ColLivraison)=V$6,
  VLOOKUP($E181,INDIRECT("tri!"&amp; CHAR(64+ C0Col) &amp;":"&amp; CHAR(65+C0Col)),2,FALSE)&gt;COUNTIF($E181:U181,"u")+COUNTIF($E181:U181,"t")+COUNTIF($E181:U181,"¶")+COUNTIF($E181:U181,"²")+COUNTIF($E181:U181,"µ")+COUNTIF($E181:U181,1)),
HYPERLINK("#Roadmap!C"&amp; MATCH($E181,Roadmap!$D:$D,0)+COUNTIF($E181:U181,"u")+COUNTIF($E181:U181,"t"),
     INDEX(Roadmap!$D:$K,MATCH($E181,Roadmap!$D:$D,0)+COUNTIF($E181:U181,"u")+COUNTIF($E181:U181,"t")+COUNTIF($E181:U181,"¶")+COUNTIF($E181:U181,"²")+COUNTIF($E181:U181,"µ")+COUNTIF($E181:U181,1),ColTypeEcheance)),
  IF(LEN(U181)=1,
  IF(LEN(INDEX(Roadmap!$D:$K,MATCH($E181,Roadmap!$D:$D,0)-1+COUNTIF($E181:U181,"u")+COUNTIF($E181:U181,"t")+COUNTIF($E181:U181,"¶")+COUNTIF($E181:U181,"²")+COUNTIF($E181:U181,"µ")+COUNTIF($E181:U181,1),ColDescriptionCourte))&gt;1,
HYPERLINK("#Roadmap!C"&amp; MATCH($E181,Roadmap!$D:$D,0)+COUNTIF($E181:U181,"u")+COUNTIF($E181:U181,"t")+COUNTIF($E181:U181,"¶")+COUNTIF($E181:U181,"²")+COUNTIF($E181:U181,"µ")+COUNTIF($E181:U181,1)-1,INDEX(Roadmap!$D:$K,MATCH($E181,Roadmap!$D:$D,0)-1+COUNTIF($E181:U181,"u")+COUNTIF($E181:U181,"t")+COUNTIF($E181:U181,"¶")+COUNTIF($E181:U181,"²")+COUNTIF($E181:U181,"µ")+COUNTIF($E181:U181,1),ColDescriptionCourte)),""),
  "")),"")</f>
        <v/>
      </c>
      <c r="W181" s="40" t="str">
        <f ca="1">IFERROR(IF(AND(
  INDEX(Roadmap!$D:$K,MATCH($E181,Roadmap!$D:$D,0)+COUNTIF($E181:V181,"u")+COUNTIF($E181:V181,"t")+COUNTIF($E181:V181,"¶")+COUNTIF($E181:V181,"²")+COUNTIF($E181:V181,"µ")+COUNTIF($E181:V181,1),ColLivraison)=W$6,
  VLOOKUP($E181,INDIRECT("tri!"&amp; CHAR(64+ C0Col) &amp;":"&amp; CHAR(65+C0Col)),2,FALSE)&gt;COUNTIF($E181:V181,"u")+COUNTIF($E181:V181,"t")+COUNTIF($E181:V181,"¶")+COUNTIF($E181:V181,"²")+COUNTIF($E181:V181,"µ")+COUNTIF($E181:V181,1)),
HYPERLINK("#Roadmap!C"&amp; MATCH($E181,Roadmap!$D:$D,0)+COUNTIF($E181:V181,"u")+COUNTIF($E181:V181,"t"),
     INDEX(Roadmap!$D:$K,MATCH($E181,Roadmap!$D:$D,0)+COUNTIF($E181:V181,"u")+COUNTIF($E181:V181,"t")+COUNTIF($E181:V181,"¶")+COUNTIF($E181:V181,"²")+COUNTIF($E181:V181,"µ")+COUNTIF($E181:V181,1),ColTypeEcheance)),
  IF(LEN(V181)=1,
  IF(LEN(INDEX(Roadmap!$D:$K,MATCH($E181,Roadmap!$D:$D,0)-1+COUNTIF($E181:V181,"u")+COUNTIF($E181:V181,"t")+COUNTIF($E181:V181,"¶")+COUNTIF($E181:V181,"²")+COUNTIF($E181:V181,"µ")+COUNTIF($E181:V181,1),ColDescriptionCourte))&gt;1,
HYPERLINK("#Roadmap!C"&amp; MATCH($E181,Roadmap!$D:$D,0)+COUNTIF($E181:V181,"u")+COUNTIF($E181:V181,"t")+COUNTIF($E181:V181,"¶")+COUNTIF($E181:V181,"²")+COUNTIF($E181:V181,"µ")+COUNTIF($E181:V181,1)-1,INDEX(Roadmap!$D:$K,MATCH($E181,Roadmap!$D:$D,0)-1+COUNTIF($E181:V181,"u")+COUNTIF($E181:V181,"t")+COUNTIF($E181:V181,"¶")+COUNTIF($E181:V181,"²")+COUNTIF($E181:V181,"µ")+COUNTIF($E181:V181,1),ColDescriptionCourte)),""),
  "")),"")</f>
        <v/>
      </c>
      <c r="X181" s="40" t="str">
        <f ca="1">IFERROR(IF(AND(
  INDEX(Roadmap!$D:$K,MATCH($E181,Roadmap!$D:$D,0)+COUNTIF($E181:W181,"u")+COUNTIF($E181:W181,"t")+COUNTIF($E181:W181,"¶")+COUNTIF($E181:W181,"²")+COUNTIF($E181:W181,"µ")+COUNTIF($E181:W181,1),ColLivraison)=X$6,
  VLOOKUP($E181,INDIRECT("tri!"&amp; CHAR(64+ C0Col) &amp;":"&amp; CHAR(65+C0Col)),2,FALSE)&gt;COUNTIF($E181:W181,"u")+COUNTIF($E181:W181,"t")+COUNTIF($E181:W181,"¶")+COUNTIF($E181:W181,"²")+COUNTIF($E181:W181,"µ")+COUNTIF($E181:W181,1)),
HYPERLINK("#Roadmap!C"&amp; MATCH($E181,Roadmap!$D:$D,0)+COUNTIF($E181:W181,"u")+COUNTIF($E181:W181,"t"),
     INDEX(Roadmap!$D:$K,MATCH($E181,Roadmap!$D:$D,0)+COUNTIF($E181:W181,"u")+COUNTIF($E181:W181,"t")+COUNTIF($E181:W181,"¶")+COUNTIF($E181:W181,"²")+COUNTIF($E181:W181,"µ")+COUNTIF($E181:W181,1),ColTypeEcheance)),
  IF(LEN(W181)=1,
  IF(LEN(INDEX(Roadmap!$D:$K,MATCH($E181,Roadmap!$D:$D,0)-1+COUNTIF($E181:W181,"u")+COUNTIF($E181:W181,"t")+COUNTIF($E181:W181,"¶")+COUNTIF($E181:W181,"²")+COUNTIF($E181:W181,"µ")+COUNTIF($E181:W181,1),ColDescriptionCourte))&gt;1,
HYPERLINK("#Roadmap!C"&amp; MATCH($E181,Roadmap!$D:$D,0)+COUNTIF($E181:W181,"u")+COUNTIF($E181:W181,"t")+COUNTIF($E181:W181,"¶")+COUNTIF($E181:W181,"²")+COUNTIF($E181:W181,"µ")+COUNTIF($E181:W181,1)-1,INDEX(Roadmap!$D:$K,MATCH($E181,Roadmap!$D:$D,0)-1+COUNTIF($E181:W181,"u")+COUNTIF($E181:W181,"t")+COUNTIF($E181:W181,"¶")+COUNTIF($E181:W181,"²")+COUNTIF($E181:W181,"µ")+COUNTIF($E181:W181,1),ColDescriptionCourte)),""),
  "")),"")</f>
        <v/>
      </c>
      <c r="Y181" s="40" t="str">
        <f ca="1">IFERROR(IF(AND(
  INDEX(Roadmap!$D:$K,MATCH($E181,Roadmap!$D:$D,0)+COUNTIF($E181:X181,"u")+COUNTIF($E181:X181,"t")+COUNTIF($E181:X181,"¶")+COUNTIF($E181:X181,"²")+COUNTIF($E181:X181,"µ")+COUNTIF($E181:X181,1),ColLivraison)=Y$6,
  VLOOKUP($E181,INDIRECT("tri!"&amp; CHAR(64+ C0Col) &amp;":"&amp; CHAR(65+C0Col)),2,FALSE)&gt;COUNTIF($E181:X181,"u")+COUNTIF($E181:X181,"t")+COUNTIF($E181:X181,"¶")+COUNTIF($E181:X181,"²")+COUNTIF($E181:X181,"µ")+COUNTIF($E181:X181,1)),
HYPERLINK("#Roadmap!C"&amp; MATCH($E181,Roadmap!$D:$D,0)+COUNTIF($E181:X181,"u")+COUNTIF($E181:X181,"t"),
     INDEX(Roadmap!$D:$K,MATCH($E181,Roadmap!$D:$D,0)+COUNTIF($E181:X181,"u")+COUNTIF($E181:X181,"t")+COUNTIF($E181:X181,"¶")+COUNTIF($E181:X181,"²")+COUNTIF($E181:X181,"µ")+COUNTIF($E181:X181,1),ColTypeEcheance)),
  IF(LEN(X181)=1,
  IF(LEN(INDEX(Roadmap!$D:$K,MATCH($E181,Roadmap!$D:$D,0)-1+COUNTIF($E181:X181,"u")+COUNTIF($E181:X181,"t")+COUNTIF($E181:X181,"¶")+COUNTIF($E181:X181,"²")+COUNTIF($E181:X181,"µ")+COUNTIF($E181:X181,1),ColDescriptionCourte))&gt;1,
HYPERLINK("#Roadmap!C"&amp; MATCH($E181,Roadmap!$D:$D,0)+COUNTIF($E181:X181,"u")+COUNTIF($E181:X181,"t")+COUNTIF($E181:X181,"¶")+COUNTIF($E181:X181,"²")+COUNTIF($E181:X181,"µ")+COUNTIF($E181:X181,1)-1,INDEX(Roadmap!$D:$K,MATCH($E181,Roadmap!$D:$D,0)-1+COUNTIF($E181:X181,"u")+COUNTIF($E181:X181,"t")+COUNTIF($E181:X181,"¶")+COUNTIF($E181:X181,"²")+COUNTIF($E181:X181,"µ")+COUNTIF($E181:X181,1),ColDescriptionCourte)),""),
  "")),"")</f>
        <v/>
      </c>
      <c r="Z181" s="40" t="str">
        <f ca="1">IFERROR(IF(AND(
  INDEX(Roadmap!$D:$K,MATCH($E181,Roadmap!$D:$D,0)+COUNTIF($E181:Y181,"u")+COUNTIF($E181:Y181,"t")+COUNTIF($E181:Y181,"¶")+COUNTIF($E181:Y181,"²")+COUNTIF($E181:Y181,"µ")+COUNTIF($E181:Y181,1),ColLivraison)=Z$6,
  VLOOKUP($E181,INDIRECT("tri!"&amp; CHAR(64+ C0Col) &amp;":"&amp; CHAR(65+C0Col)),2,FALSE)&gt;COUNTIF($E181:Y181,"u")+COUNTIF($E181:Y181,"t")+COUNTIF($E181:Y181,"¶")+COUNTIF($E181:Y181,"²")+COUNTIF($E181:Y181,"µ")+COUNTIF($E181:Y181,1)),
HYPERLINK("#Roadmap!C"&amp; MATCH($E181,Roadmap!$D:$D,0)+COUNTIF($E181:Y181,"u")+COUNTIF($E181:Y181,"t"),
     INDEX(Roadmap!$D:$K,MATCH($E181,Roadmap!$D:$D,0)+COUNTIF($E181:Y181,"u")+COUNTIF($E181:Y181,"t")+COUNTIF($E181:Y181,"¶")+COUNTIF($E181:Y181,"²")+COUNTIF($E181:Y181,"µ")+COUNTIF($E181:Y181,1),ColTypeEcheance)),
  IF(LEN(Y181)=1,
  IF(LEN(INDEX(Roadmap!$D:$K,MATCH($E181,Roadmap!$D:$D,0)-1+COUNTIF($E181:Y181,"u")+COUNTIF($E181:Y181,"t")+COUNTIF($E181:Y181,"¶")+COUNTIF($E181:Y181,"²")+COUNTIF($E181:Y181,"µ")+COUNTIF($E181:Y181,1),ColDescriptionCourte))&gt;1,
HYPERLINK("#Roadmap!C"&amp; MATCH($E181,Roadmap!$D:$D,0)+COUNTIF($E181:Y181,"u")+COUNTIF($E181:Y181,"t")+COUNTIF($E181:Y181,"¶")+COUNTIF($E181:Y181,"²")+COUNTIF($E181:Y181,"µ")+COUNTIF($E181:Y181,1)-1,INDEX(Roadmap!$D:$K,MATCH($E181,Roadmap!$D:$D,0)-1+COUNTIF($E181:Y181,"u")+COUNTIF($E181:Y181,"t")+COUNTIF($E181:Y181,"¶")+COUNTIF($E181:Y181,"²")+COUNTIF($E181:Y181,"µ")+COUNTIF($E181:Y181,1),ColDescriptionCourte)),""),
  "")),"")</f>
        <v/>
      </c>
      <c r="AA181" s="40" t="str">
        <f ca="1">IFERROR(IF(AND(
  INDEX(Roadmap!$D:$K,MATCH($E181,Roadmap!$D:$D,0)+COUNTIF($E181:Z181,"u")+COUNTIF($E181:Z181,"t")+COUNTIF($E181:Z181,"¶")+COUNTIF($E181:Z181,"²")+COUNTIF($E181:Z181,"µ")+COUNTIF($E181:Z181,1),ColLivraison)=AA$6,
  VLOOKUP($E181,INDIRECT("tri!"&amp; CHAR(64+ C0Col) &amp;":"&amp; CHAR(65+C0Col)),2,FALSE)&gt;COUNTIF($E181:Z181,"u")+COUNTIF($E181:Z181,"t")+COUNTIF($E181:Z181,"¶")+COUNTIF($E181:Z181,"²")+COUNTIF($E181:Z181,"µ")+COUNTIF($E181:Z181,1)),
HYPERLINK("#Roadmap!C"&amp; MATCH($E181,Roadmap!$D:$D,0)+COUNTIF($E181:Z181,"u")+COUNTIF($E181:Z181,"t"),
     INDEX(Roadmap!$D:$K,MATCH($E181,Roadmap!$D:$D,0)+COUNTIF($E181:Z181,"u")+COUNTIF($E181:Z181,"t")+COUNTIF($E181:Z181,"¶")+COUNTIF($E181:Z181,"²")+COUNTIF($E181:Z181,"µ")+COUNTIF($E181:Z181,1),ColTypeEcheance)),
  IF(LEN(Z181)=1,
  IF(LEN(INDEX(Roadmap!$D:$K,MATCH($E181,Roadmap!$D:$D,0)-1+COUNTIF($E181:Z181,"u")+COUNTIF($E181:Z181,"t")+COUNTIF($E181:Z181,"¶")+COUNTIF($E181:Z181,"²")+COUNTIF($E181:Z181,"µ")+COUNTIF($E181:Z181,1),ColDescriptionCourte))&gt;1,
HYPERLINK("#Roadmap!C"&amp; MATCH($E181,Roadmap!$D:$D,0)+COUNTIF($E181:Z181,"u")+COUNTIF($E181:Z181,"t")+COUNTIF($E181:Z181,"¶")+COUNTIF($E181:Z181,"²")+COUNTIF($E181:Z181,"µ")+COUNTIF($E181:Z181,1)-1,INDEX(Roadmap!$D:$K,MATCH($E181,Roadmap!$D:$D,0)-1+COUNTIF($E181:Z181,"u")+COUNTIF($E181:Z181,"t")+COUNTIF($E181:Z181,"¶")+COUNTIF($E181:Z181,"²")+COUNTIF($E181:Z181,"µ")+COUNTIF($E181:Z181,1),ColDescriptionCourte)),""),
  "")),"")</f>
        <v/>
      </c>
      <c r="AB181" s="40" t="str">
        <f ca="1">IFERROR(IF(AND(
  INDEX(Roadmap!$D:$K,MATCH($E181,Roadmap!$D:$D,0)+COUNTIF($E181:AA181,"u")+COUNTIF($E181:AA181,"t")+COUNTIF($E181:AA181,"¶")+COUNTIF($E181:AA181,"²")+COUNTIF($E181:AA181,"µ")+COUNTIF($E181:AA181,1),ColLivraison)=AB$6,
  VLOOKUP($E181,INDIRECT("tri!"&amp; CHAR(64+ C0Col) &amp;":"&amp; CHAR(65+C0Col)),2,FALSE)&gt;COUNTIF($E181:AA181,"u")+COUNTIF($E181:AA181,"t")+COUNTIF($E181:AA181,"¶")+COUNTIF($E181:AA181,"²")+COUNTIF($E181:AA181,"µ")+COUNTIF($E181:AA181,1)),
HYPERLINK("#Roadmap!C"&amp; MATCH($E181,Roadmap!$D:$D,0)+COUNTIF($E181:AA181,"u")+COUNTIF($E181:AA181,"t"),
     INDEX(Roadmap!$D:$K,MATCH($E181,Roadmap!$D:$D,0)+COUNTIF($E181:AA181,"u")+COUNTIF($E181:AA181,"t")+COUNTIF($E181:AA181,"¶")+COUNTIF($E181:AA181,"²")+COUNTIF($E181:AA181,"µ")+COUNTIF($E181:AA181,1),ColTypeEcheance)),
  IF(LEN(AA181)=1,
  IF(LEN(INDEX(Roadmap!$D:$K,MATCH($E181,Roadmap!$D:$D,0)-1+COUNTIF($E181:AA181,"u")+COUNTIF($E181:AA181,"t")+COUNTIF($E181:AA181,"¶")+COUNTIF($E181:AA181,"²")+COUNTIF($E181:AA181,"µ")+COUNTIF($E181:AA181,1),ColDescriptionCourte))&gt;1,
HYPERLINK("#Roadmap!C"&amp; MATCH($E181,Roadmap!$D:$D,0)+COUNTIF($E181:AA181,"u")+COUNTIF($E181:AA181,"t")+COUNTIF($E181:AA181,"¶")+COUNTIF($E181:AA181,"²")+COUNTIF($E181:AA181,"µ")+COUNTIF($E181:AA181,1)-1,INDEX(Roadmap!$D:$K,MATCH($E181,Roadmap!$D:$D,0)-1+COUNTIF($E181:AA181,"u")+COUNTIF($E181:AA181,"t")+COUNTIF($E181:AA181,"¶")+COUNTIF($E181:AA181,"²")+COUNTIF($E181:AA181,"µ")+COUNTIF($E181:AA181,1),ColDescriptionCourte)),""),
  "")),"")</f>
        <v/>
      </c>
      <c r="AC181" s="40" t="str">
        <f ca="1">IFERROR(IF(AND(
  INDEX(Roadmap!$D:$K,MATCH($E181,Roadmap!$D:$D,0)+COUNTIF($E181:AB181,"u")+COUNTIF($E181:AB181,"t")+COUNTIF($E181:AB181,"¶")+COUNTIF($E181:AB181,"²")+COUNTIF($E181:AB181,"µ")+COUNTIF($E181:AB181,1),ColLivraison)=AC$6,
  VLOOKUP($E181,INDIRECT("tri!"&amp; CHAR(64+ C0Col) &amp;":"&amp; CHAR(65+C0Col)),2,FALSE)&gt;COUNTIF($E181:AB181,"u")+COUNTIF($E181:AB181,"t")+COUNTIF($E181:AB181,"¶")+COUNTIF($E181:AB181,"²")+COUNTIF($E181:AB181,"µ")+COUNTIF($E181:AB181,1)),
HYPERLINK("#Roadmap!C"&amp; MATCH($E181,Roadmap!$D:$D,0)+COUNTIF($E181:AB181,"u")+COUNTIF($E181:AB181,"t"),
     INDEX(Roadmap!$D:$K,MATCH($E181,Roadmap!$D:$D,0)+COUNTIF($E181:AB181,"u")+COUNTIF($E181:AB181,"t")+COUNTIF($E181:AB181,"¶")+COUNTIF($E181:AB181,"²")+COUNTIF($E181:AB181,"µ")+COUNTIF($E181:AB181,1),ColTypeEcheance)),
  IF(LEN(AB181)=1,
  IF(LEN(INDEX(Roadmap!$D:$K,MATCH($E181,Roadmap!$D:$D,0)-1+COUNTIF($E181:AB181,"u")+COUNTIF($E181:AB181,"t")+COUNTIF($E181:AB181,"¶")+COUNTIF($E181:AB181,"²")+COUNTIF($E181:AB181,"µ")+COUNTIF($E181:AB181,1),ColDescriptionCourte))&gt;1,
HYPERLINK("#Roadmap!C"&amp; MATCH($E181,Roadmap!$D:$D,0)+COUNTIF($E181:AB181,"u")+COUNTIF($E181:AB181,"t")+COUNTIF($E181:AB181,"¶")+COUNTIF($E181:AB181,"²")+COUNTIF($E181:AB181,"µ")+COUNTIF($E181:AB181,1)-1,INDEX(Roadmap!$D:$K,MATCH($E181,Roadmap!$D:$D,0)-1+COUNTIF($E181:AB181,"u")+COUNTIF($E181:AB181,"t")+COUNTIF($E181:AB181,"¶")+COUNTIF($E181:AB181,"²")+COUNTIF($E181:AB181,"µ")+COUNTIF($E181:AB181,1),ColDescriptionCourte)),""),
  "")),"")</f>
        <v/>
      </c>
      <c r="AD181" s="40" t="str">
        <f ca="1">IFERROR(IF(AND(
  INDEX(Roadmap!$D:$K,MATCH($E181,Roadmap!$D:$D,0)+COUNTIF($E181:AC181,"u")+COUNTIF($E181:AC181,"t")+COUNTIF($E181:AC181,"¶")+COUNTIF($E181:AC181,"²")+COUNTIF($E181:AC181,"µ")+COUNTIF($E181:AC181,1),ColLivraison)=AD$6,
  VLOOKUP($E181,INDIRECT("tri!"&amp; CHAR(64+ C0Col) &amp;":"&amp; CHAR(65+C0Col)),2,FALSE)&gt;COUNTIF($E181:AC181,"u")+COUNTIF($E181:AC181,"t")+COUNTIF($E181:AC181,"¶")+COUNTIF($E181:AC181,"²")+COUNTIF($E181:AC181,"µ")+COUNTIF($E181:AC181,1)),
HYPERLINK("#Roadmap!C"&amp; MATCH($E181,Roadmap!$D:$D,0)+COUNTIF($E181:AC181,"u")+COUNTIF($E181:AC181,"t"),
     INDEX(Roadmap!$D:$K,MATCH($E181,Roadmap!$D:$D,0)+COUNTIF($E181:AC181,"u")+COUNTIF($E181:AC181,"t")+COUNTIF($E181:AC181,"¶")+COUNTIF($E181:AC181,"²")+COUNTIF($E181:AC181,"µ")+COUNTIF($E181:AC181,1),ColTypeEcheance)),
  IF(LEN(AC181)=1,
  IF(LEN(INDEX(Roadmap!$D:$K,MATCH($E181,Roadmap!$D:$D,0)-1+COUNTIF($E181:AC181,"u")+COUNTIF($E181:AC181,"t")+COUNTIF($E181:AC181,"¶")+COUNTIF($E181:AC181,"²")+COUNTIF($E181:AC181,"µ")+COUNTIF($E181:AC181,1),ColDescriptionCourte))&gt;1,
HYPERLINK("#Roadmap!C"&amp; MATCH($E181,Roadmap!$D:$D,0)+COUNTIF($E181:AC181,"u")+COUNTIF($E181:AC181,"t")+COUNTIF($E181:AC181,"¶")+COUNTIF($E181:AC181,"²")+COUNTIF($E181:AC181,"µ")+COUNTIF($E181:AC181,1)-1,INDEX(Roadmap!$D:$K,MATCH($E181,Roadmap!$D:$D,0)-1+COUNTIF($E181:AC181,"u")+COUNTIF($E181:AC181,"t")+COUNTIF($E181:AC181,"¶")+COUNTIF($E181:AC181,"²")+COUNTIF($E181:AC181,"µ")+COUNTIF($E181:AC181,1),ColDescriptionCourte)),""),
  "")),"")</f>
        <v/>
      </c>
      <c r="AE181" s="40" t="str">
        <f ca="1">IFERROR(IF(AND(
  INDEX(Roadmap!$D:$K,MATCH($E181,Roadmap!$D:$D,0)+COUNTIF($E181:AD181,"u")+COUNTIF($E181:AD181,"t")+COUNTIF($E181:AD181,"¶")+COUNTIF($E181:AD181,"²")+COUNTIF($E181:AD181,"µ")+COUNTIF($E181:AD181,1),ColLivraison)=AE$6,
  VLOOKUP($E181,INDIRECT("tri!"&amp; CHAR(64+ C0Col) &amp;":"&amp; CHAR(65+C0Col)),2,FALSE)&gt;COUNTIF($E181:AD181,"u")+COUNTIF($E181:AD181,"t")+COUNTIF($E181:AD181,"¶")+COUNTIF($E181:AD181,"²")+COUNTIF($E181:AD181,"µ")+COUNTIF($E181:AD181,1)),
HYPERLINK("#Roadmap!C"&amp; MATCH($E181,Roadmap!$D:$D,0)+COUNTIF($E181:AD181,"u")+COUNTIF($E181:AD181,"t"),
     INDEX(Roadmap!$D:$K,MATCH($E181,Roadmap!$D:$D,0)+COUNTIF($E181:AD181,"u")+COUNTIF($E181:AD181,"t")+COUNTIF($E181:AD181,"¶")+COUNTIF($E181:AD181,"²")+COUNTIF($E181:AD181,"µ")+COUNTIF($E181:AD181,1),ColTypeEcheance)),
  IF(LEN(AD181)=1,
  IF(LEN(INDEX(Roadmap!$D:$K,MATCH($E181,Roadmap!$D:$D,0)-1+COUNTIF($E181:AD181,"u")+COUNTIF($E181:AD181,"t")+COUNTIF($E181:AD181,"¶")+COUNTIF($E181:AD181,"²")+COUNTIF($E181:AD181,"µ")+COUNTIF($E181:AD181,1),ColDescriptionCourte))&gt;1,
HYPERLINK("#Roadmap!C"&amp; MATCH($E181,Roadmap!$D:$D,0)+COUNTIF($E181:AD181,"u")+COUNTIF($E181:AD181,"t")+COUNTIF($E181:AD181,"¶")+COUNTIF($E181:AD181,"²")+COUNTIF($E181:AD181,"µ")+COUNTIF($E181:AD181,1)-1,INDEX(Roadmap!$D:$K,MATCH($E181,Roadmap!$D:$D,0)-1+COUNTIF($E181:AD181,"u")+COUNTIF($E181:AD181,"t")+COUNTIF($E181:AD181,"¶")+COUNTIF($E181:AD181,"²")+COUNTIF($E181:AD181,"µ")+COUNTIF($E181:AD181,1),ColDescriptionCourte)),""),
  "")),"")</f>
        <v/>
      </c>
      <c r="AF181" s="40" t="str">
        <f ca="1">IFERROR(IF(AND(
  INDEX(Roadmap!$D:$K,MATCH($E181,Roadmap!$D:$D,0)+COUNTIF($E181:AE181,"u")+COUNTIF($E181:AE181,"t")+COUNTIF($E181:AE181,"¶")+COUNTIF($E181:AE181,"²")+COUNTIF($E181:AE181,"µ")+COUNTIF($E181:AE181,1),ColLivraison)=AF$6,
  VLOOKUP($E181,INDIRECT("tri!"&amp; CHAR(64+ C0Col) &amp;":"&amp; CHAR(65+C0Col)),2,FALSE)&gt;COUNTIF($E181:AE181,"u")+COUNTIF($E181:AE181,"t")+COUNTIF($E181:AE181,"¶")+COUNTIF($E181:AE181,"²")+COUNTIF($E181:AE181,"µ")+COUNTIF($E181:AE181,1)),
HYPERLINK("#Roadmap!C"&amp; MATCH($E181,Roadmap!$D:$D,0)+COUNTIF($E181:AE181,"u")+COUNTIF($E181:AE181,"t"),
     INDEX(Roadmap!$D:$K,MATCH($E181,Roadmap!$D:$D,0)+COUNTIF($E181:AE181,"u")+COUNTIF($E181:AE181,"t")+COUNTIF($E181:AE181,"¶")+COUNTIF($E181:AE181,"²")+COUNTIF($E181:AE181,"µ")+COUNTIF($E181:AE181,1),ColTypeEcheance)),
  IF(LEN(AE181)=1,
  IF(LEN(INDEX(Roadmap!$D:$K,MATCH($E181,Roadmap!$D:$D,0)-1+COUNTIF($E181:AE181,"u")+COUNTIF($E181:AE181,"t")+COUNTIF($E181:AE181,"¶")+COUNTIF($E181:AE181,"²")+COUNTIF($E181:AE181,"µ")+COUNTIF($E181:AE181,1),ColDescriptionCourte))&gt;1,
HYPERLINK("#Roadmap!C"&amp; MATCH($E181,Roadmap!$D:$D,0)+COUNTIF($E181:AE181,"u")+COUNTIF($E181:AE181,"t")+COUNTIF($E181:AE181,"¶")+COUNTIF($E181:AE181,"²")+COUNTIF($E181:AE181,"µ")+COUNTIF($E181:AE181,1)-1,INDEX(Roadmap!$D:$K,MATCH($E181,Roadmap!$D:$D,0)-1+COUNTIF($E181:AE181,"u")+COUNTIF($E181:AE181,"t")+COUNTIF($E181:AE181,"¶")+COUNTIF($E181:AE181,"²")+COUNTIF($E181:AE181,"µ")+COUNTIF($E181:AE181,1),ColDescriptionCourte)),""),
  "")),"")</f>
        <v/>
      </c>
      <c r="AG181" s="40" t="str">
        <f ca="1">IFERROR(IF(AND(
  INDEX(Roadmap!$D:$K,MATCH($E181,Roadmap!$D:$D,0)+COUNTIF($E181:AF181,"u")+COUNTIF($E181:AF181,"t")+COUNTIF($E181:AF181,"¶")+COUNTIF($E181:AF181,"²")+COUNTIF($E181:AF181,"µ")+COUNTIF($E181:AF181,1),ColLivraison)=AG$6,
  VLOOKUP($E181,INDIRECT("tri!"&amp; CHAR(64+ C0Col) &amp;":"&amp; CHAR(65+C0Col)),2,FALSE)&gt;COUNTIF($E181:AF181,"u")+COUNTIF($E181:AF181,"t")+COUNTIF($E181:AF181,"¶")+COUNTIF($E181:AF181,"²")+COUNTIF($E181:AF181,"µ")+COUNTIF($E181:AF181,1)),
HYPERLINK("#Roadmap!C"&amp; MATCH($E181,Roadmap!$D:$D,0)+COUNTIF($E181:AF181,"u")+COUNTIF($E181:AF181,"t"),
     INDEX(Roadmap!$D:$K,MATCH($E181,Roadmap!$D:$D,0)+COUNTIF($E181:AF181,"u")+COUNTIF($E181:AF181,"t")+COUNTIF($E181:AF181,"¶")+COUNTIF($E181:AF181,"²")+COUNTIF($E181:AF181,"µ")+COUNTIF($E181:AF181,1),ColTypeEcheance)),
  IF(LEN(AF181)=1,
  IF(LEN(INDEX(Roadmap!$D:$K,MATCH($E181,Roadmap!$D:$D,0)-1+COUNTIF($E181:AF181,"u")+COUNTIF($E181:AF181,"t")+COUNTIF($E181:AF181,"¶")+COUNTIF($E181:AF181,"²")+COUNTIF($E181:AF181,"µ")+COUNTIF($E181:AF181,1),ColDescriptionCourte))&gt;1,
HYPERLINK("#Roadmap!C"&amp; MATCH($E181,Roadmap!$D:$D,0)+COUNTIF($E181:AF181,"u")+COUNTIF($E181:AF181,"t")+COUNTIF($E181:AF181,"¶")+COUNTIF($E181:AF181,"²")+COUNTIF($E181:AF181,"µ")+COUNTIF($E181:AF181,1)-1,INDEX(Roadmap!$D:$K,MATCH($E181,Roadmap!$D:$D,0)-1+COUNTIF($E181:AF181,"u")+COUNTIF($E181:AF181,"t")+COUNTIF($E181:AF181,"¶")+COUNTIF($E181:AF181,"²")+COUNTIF($E181:AF181,"µ")+COUNTIF($E181:AF181,1),ColDescriptionCourte)),""),
  "")),"")</f>
        <v/>
      </c>
      <c r="AH181" s="40" t="str">
        <f ca="1">IFERROR(IF(AND(
  INDEX(Roadmap!$D:$K,MATCH($E181,Roadmap!$D:$D,0)+COUNTIF($E181:AG181,"u")+COUNTIF($E181:AG181,"t")+COUNTIF($E181:AG181,1),ColLivraison)=AH$6,
  VLOOKUP($E181,INDIRECT("tri!"&amp; CHAR(64+ C0Col) &amp;":"&amp; CHAR(65+C0Col)),2,FALSE)&gt;COUNTIF($E181:AG181,"u")+COUNTIF($E181:AG181,"t")+COUNTIF($E181:AG181,1)),
HYPERLINK("#Roadmap!C"&amp; MATCH($E181,Roadmap!$D:$D,0)+COUNTIF($E181:AG181,"u")+COUNTIF($E181:AG181,"t"),
     INDEX(Roadmap!$D:$K,MATCH($E181,Roadmap!$D:$D,0)+COUNTIF($E181:AG181,"u")+COUNTIF($E181:AG181,"t")+COUNTIF($E181:AG181,1),ColTypeEcheance)),
  IF(OR(AG181="u",AG181="t",AG181=1),
  IF(LEN(INDEX(Roadmap!$D:$K,MATCH($E181,Roadmap!$D:$D,0)-1+COUNTIF($E181:AG181,"u")+COUNTIF($E181:AG181,"t")+COUNTIF($E181:AG181,1),ColDescriptionCourte))&gt;1,
HYPERLINK("#Roadmap!C"&amp; MATCH($E181,Roadmap!$D:$D,0)+COUNTIF($E181:AG181,"u")+COUNTIF($E181:AG181,"t")+COUNTIF($E181:AG181,1)-1,INDEX(Roadmap!$D:$K,MATCH($E181,Roadmap!$D:$D,0)-1+COUNTIF($E181:AG181,"u")+COUNTIF($E181:AG181,"t")+COUNTIF($E181:AG181,1),ColDescriptionCourte)),""),
  "")),"")</f>
        <v/>
      </c>
      <c r="AI181" s="40"/>
      <c r="AJ181" s="40"/>
      <c r="AK181" s="40"/>
      <c r="AL181" s="40"/>
      <c r="AM181" s="40"/>
    </row>
    <row r="182" spans="4:39" ht="14.1" customHeight="1">
      <c r="D182" s="20" t="str">
        <f t="shared" ca="1" si="31"/>
        <v/>
      </c>
      <c r="E182" s="53" t="str">
        <f t="shared" ca="1" si="32"/>
        <v/>
      </c>
      <c r="F182" s="39" t="str">
        <f ca="1">IFERROR(IF(AND(
  INDEX(Roadmap!$D:$K,MATCH($E182,Roadmap!$D:$D,0)+COUNTIF($E182:E182,"u")+COUNTIF($E182:E182,"t")+COUNTIF($E182:E182,"¶")+COUNTIF($E182:E182,"²")+COUNTIF($E182:E182,"µ")+COUNTIF($E182:E182,1),ColLivraison)=F$6,
  VLOOKUP($E182,INDIRECT("tri!"&amp; CHAR(64+ C0Col) &amp;":"&amp; CHAR(65+C0Col)),2,FALSE)&gt;COUNTIF($E182:E182,"u")+COUNTIF($E182:E182,"t")+COUNTIF($E182:E182,"¶")+COUNTIF($E182:E182,"²")+COUNTIF($E182:E182,"µ")+COUNTIF($E182:E182,1)),
HYPERLINK("#Roadmap!C"&amp; MATCH($E182,Roadmap!$D:$D,0)+COUNTIF($E182:E182,"u")+COUNTIF($E182:E182,"t"),
     INDEX(Roadmap!$D:$K,MATCH($E182,Roadmap!$D:$D,0)+COUNTIF($E182:E182,"u")+COUNTIF($E182:E182,"t")+COUNTIF($E182:E182,"¶")+COUNTIF($E182:E182,"²")+COUNTIF($E182:E182,"µ")+COUNTIF($E182:E182,1),ColTypeEcheance)),
  IF(LEN(E182)=1,
  IF(LEN(INDEX(Roadmap!$D:$K,MATCH($E182,Roadmap!$D:$D,0)-1+COUNTIF($E182:E182,"u")+COUNTIF($E182:E182,"t")+COUNTIF($E182:E182,"¶")+COUNTIF($E182:E182,"²")+COUNTIF($E182:E182,"µ")+COUNTIF($E182:E182,1),ColDescriptionCourte))&gt;1,
HYPERLINK("#Roadmap!C"&amp; MATCH($E182,Roadmap!$D:$D,0)+COUNTIF($E182:E182,"u")+COUNTIF($E182:E182,"t")+COUNTIF($E182:E182,"¶")+COUNTIF($E182:E182,"²")+COUNTIF($E182:E182,"µ")+COUNTIF($E182:E182,1)-1,INDEX(Roadmap!$D:$K,MATCH($E182,Roadmap!$D:$D,0)-1+COUNTIF($E182:E182,"u")+COUNTIF($E182:E182,"t")+COUNTIF($E182:E182,"¶")+COUNTIF($E182:E182,"²")+COUNTIF($E182:E182,"µ")+COUNTIF($E182:E182,1),ColDescriptionCourte)),""),
  "")),"")</f>
        <v/>
      </c>
      <c r="G182" s="40" t="str">
        <f ca="1">IFERROR(IF(AND(
  INDEX(Roadmap!$D:$K,MATCH($E182,Roadmap!$D:$D,0)+COUNTIF($E182:F182,"u")+COUNTIF($E182:F182,"t")+COUNTIF($E182:F182,"¶")+COUNTIF($E182:F182,"²")+COUNTIF($E182:F182,"µ")+COUNTIF($E182:F182,1),ColLivraison)=G$6,
  VLOOKUP($E182,INDIRECT("tri!"&amp; CHAR(64+ C0Col) &amp;":"&amp; CHAR(65+C0Col)),2,FALSE)&gt;COUNTIF($E182:F182,"u")+COUNTIF($E182:F182,"t")+COUNTIF($E182:F182,"¶")+COUNTIF($E182:F182,"²")+COUNTIF($E182:F182,"µ")+COUNTIF($E182:F182,1)),
HYPERLINK("#Roadmap!C"&amp; MATCH($E182,Roadmap!$D:$D,0)+COUNTIF($E182:F182,"u")+COUNTIF($E182:F182,"t"),
     INDEX(Roadmap!$D:$K,MATCH($E182,Roadmap!$D:$D,0)+COUNTIF($E182:F182,"u")+COUNTIF($E182:F182,"t")+COUNTIF($E182:F182,"¶")+COUNTIF($E182:F182,"²")+COUNTIF($E182:F182,"µ")+COUNTIF($E182:F182,1),ColTypeEcheance)),
  IF(LEN(F182)=1,
  IF(LEN(INDEX(Roadmap!$D:$K,MATCH($E182,Roadmap!$D:$D,0)-1+COUNTIF($E182:F182,"u")+COUNTIF($E182:F182,"t")+COUNTIF($E182:F182,"¶")+COUNTIF($E182:F182,"²")+COUNTIF($E182:F182,"µ")+COUNTIF($E182:F182,1),ColDescriptionCourte))&gt;1,
HYPERLINK("#Roadmap!C"&amp; MATCH($E182,Roadmap!$D:$D,0)+COUNTIF($E182:F182,"u")+COUNTIF($E182:F182,"t")+COUNTIF($E182:F182,"¶")+COUNTIF($E182:F182,"²")+COUNTIF($E182:F182,"µ")+COUNTIF($E182:F182,1)-1,INDEX(Roadmap!$D:$K,MATCH($E182,Roadmap!$D:$D,0)-1+COUNTIF($E182:F182,"u")+COUNTIF($E182:F182,"t")+COUNTIF($E182:F182,"¶")+COUNTIF($E182:F182,"²")+COUNTIF($E182:F182,"µ")+COUNTIF($E182:F182,1),ColDescriptionCourte)),""),
  "")),"")</f>
        <v/>
      </c>
      <c r="H182" s="40" t="str">
        <f ca="1">IFERROR(IF(AND(
  INDEX(Roadmap!$D:$K,MATCH($E182,Roadmap!$D:$D,0)+COUNTIF($E182:G182,"u")+COUNTIF($E182:G182,"t")+COUNTIF($E182:G182,"¶")+COUNTIF($E182:G182,"²")+COUNTIF($E182:G182,"µ")+COUNTIF($E182:G182,1),ColLivraison)=H$6,
  VLOOKUP($E182,INDIRECT("tri!"&amp; CHAR(64+ C0Col) &amp;":"&amp; CHAR(65+C0Col)),2,FALSE)&gt;COUNTIF($E182:G182,"u")+COUNTIF($E182:G182,"t")+COUNTIF($E182:G182,"¶")+COUNTIF($E182:G182,"²")+COUNTIF($E182:G182,"µ")+COUNTIF($E182:G182,1)),
HYPERLINK("#Roadmap!C"&amp; MATCH($E182,Roadmap!$D:$D,0)+COUNTIF($E182:G182,"u")+COUNTIF($E182:G182,"t"),
     INDEX(Roadmap!$D:$K,MATCH($E182,Roadmap!$D:$D,0)+COUNTIF($E182:G182,"u")+COUNTIF($E182:G182,"t")+COUNTIF($E182:G182,"¶")+COUNTIF($E182:G182,"²")+COUNTIF($E182:G182,"µ")+COUNTIF($E182:G182,1),ColTypeEcheance)),
  IF(LEN(G182)=1,
  IF(LEN(INDEX(Roadmap!$D:$K,MATCH($E182,Roadmap!$D:$D,0)-1+COUNTIF($E182:G182,"u")+COUNTIF($E182:G182,"t")+COUNTIF($E182:G182,"¶")+COUNTIF($E182:G182,"²")+COUNTIF($E182:G182,"µ")+COUNTIF($E182:G182,1),ColDescriptionCourte))&gt;1,
HYPERLINK("#Roadmap!C"&amp; MATCH($E182,Roadmap!$D:$D,0)+COUNTIF($E182:G182,"u")+COUNTIF($E182:G182,"t")+COUNTIF($E182:G182,"¶")+COUNTIF($E182:G182,"²")+COUNTIF($E182:G182,"µ")+COUNTIF($E182:G182,1)-1,INDEX(Roadmap!$D:$K,MATCH($E182,Roadmap!$D:$D,0)-1+COUNTIF($E182:G182,"u")+COUNTIF($E182:G182,"t")+COUNTIF($E182:G182,"¶")+COUNTIF($E182:G182,"²")+COUNTIF($E182:G182,"µ")+COUNTIF($E182:G182,1),ColDescriptionCourte)),""),
  "")),"")</f>
        <v/>
      </c>
      <c r="I182" s="40" t="str">
        <f ca="1">IFERROR(IF(AND(
  INDEX(Roadmap!$D:$K,MATCH($E182,Roadmap!$D:$D,0)+COUNTIF($E182:H182,"u")+COUNTIF($E182:H182,"t")+COUNTIF($E182:H182,"¶")+COUNTIF($E182:H182,"²")+COUNTIF($E182:H182,"µ")+COUNTIF($E182:H182,1),ColLivraison)=I$6,
  VLOOKUP($E182,INDIRECT("tri!"&amp; CHAR(64+ C0Col) &amp;":"&amp; CHAR(65+C0Col)),2,FALSE)&gt;COUNTIF($E182:H182,"u")+COUNTIF($E182:H182,"t")+COUNTIF($E182:H182,"¶")+COUNTIF($E182:H182,"²")+COUNTIF($E182:H182,"µ")+COUNTIF($E182:H182,1)),
HYPERLINK("#Roadmap!C"&amp; MATCH($E182,Roadmap!$D:$D,0)+COUNTIF($E182:H182,"u")+COUNTIF($E182:H182,"t"),
     INDEX(Roadmap!$D:$K,MATCH($E182,Roadmap!$D:$D,0)+COUNTIF($E182:H182,"u")+COUNTIF($E182:H182,"t")+COUNTIF($E182:H182,"¶")+COUNTIF($E182:H182,"²")+COUNTIF($E182:H182,"µ")+COUNTIF($E182:H182,1),ColTypeEcheance)),
  IF(LEN(H182)=1,
  IF(LEN(INDEX(Roadmap!$D:$K,MATCH($E182,Roadmap!$D:$D,0)-1+COUNTIF($E182:H182,"u")+COUNTIF($E182:H182,"t")+COUNTIF($E182:H182,"¶")+COUNTIF($E182:H182,"²")+COUNTIF($E182:H182,"µ")+COUNTIF($E182:H182,1),ColDescriptionCourte))&gt;1,
HYPERLINK("#Roadmap!C"&amp; MATCH($E182,Roadmap!$D:$D,0)+COUNTIF($E182:H182,"u")+COUNTIF($E182:H182,"t")+COUNTIF($E182:H182,"¶")+COUNTIF($E182:H182,"²")+COUNTIF($E182:H182,"µ")+COUNTIF($E182:H182,1)-1,INDEX(Roadmap!$D:$K,MATCH($E182,Roadmap!$D:$D,0)-1+COUNTIF($E182:H182,"u")+COUNTIF($E182:H182,"t")+COUNTIF($E182:H182,"¶")+COUNTIF($E182:H182,"²")+COUNTIF($E182:H182,"µ")+COUNTIF($E182:H182,1),ColDescriptionCourte)),""),
  "")),"")</f>
        <v/>
      </c>
      <c r="J182" s="40" t="str">
        <f ca="1">IFERROR(IF(AND(
  INDEX(Roadmap!$D:$K,MATCH($E182,Roadmap!$D:$D,0)+COUNTIF($E182:I182,"u")+COUNTIF($E182:I182,"t")+COUNTIF($E182:I182,"¶")+COUNTIF($E182:I182,"²")+COUNTIF($E182:I182,"µ")+COUNTIF($E182:I182,1),ColLivraison)=J$6,
  VLOOKUP($E182,INDIRECT("tri!"&amp; CHAR(64+ C0Col) &amp;":"&amp; CHAR(65+C0Col)),2,FALSE)&gt;COUNTIF($E182:I182,"u")+COUNTIF($E182:I182,"t")+COUNTIF($E182:I182,"¶")+COUNTIF($E182:I182,"²")+COUNTIF($E182:I182,"µ")+COUNTIF($E182:I182,1)),
HYPERLINK("#Roadmap!C"&amp; MATCH($E182,Roadmap!$D:$D,0)+COUNTIF($E182:I182,"u")+COUNTIF($E182:I182,"t"),
     INDEX(Roadmap!$D:$K,MATCH($E182,Roadmap!$D:$D,0)+COUNTIF($E182:I182,"u")+COUNTIF($E182:I182,"t")+COUNTIF($E182:I182,"¶")+COUNTIF($E182:I182,"²")+COUNTIF($E182:I182,"µ")+COUNTIF($E182:I182,1),ColTypeEcheance)),
  IF(LEN(I182)=1,
  IF(LEN(INDEX(Roadmap!$D:$K,MATCH($E182,Roadmap!$D:$D,0)-1+COUNTIF($E182:I182,"u")+COUNTIF($E182:I182,"t")+COUNTIF($E182:I182,"¶")+COUNTIF($E182:I182,"²")+COUNTIF($E182:I182,"µ")+COUNTIF($E182:I182,1),ColDescriptionCourte))&gt;1,
HYPERLINK("#Roadmap!C"&amp; MATCH($E182,Roadmap!$D:$D,0)+COUNTIF($E182:I182,"u")+COUNTIF($E182:I182,"t")+COUNTIF($E182:I182,"¶")+COUNTIF($E182:I182,"²")+COUNTIF($E182:I182,"µ")+COUNTIF($E182:I182,1)-1,INDEX(Roadmap!$D:$K,MATCH($E182,Roadmap!$D:$D,0)-1+COUNTIF($E182:I182,"u")+COUNTIF($E182:I182,"t")+COUNTIF($E182:I182,"¶")+COUNTIF($E182:I182,"²")+COUNTIF($E182:I182,"µ")+COUNTIF($E182:I182,1),ColDescriptionCourte)),""),
  "")),"")</f>
        <v/>
      </c>
      <c r="K182" s="40" t="str">
        <f ca="1">IFERROR(IF(AND(
  INDEX(Roadmap!$D:$K,MATCH($E182,Roadmap!$D:$D,0)+COUNTIF($E182:J182,"u")+COUNTIF($E182:J182,"t")+COUNTIF($E182:J182,"¶")+COUNTIF($E182:J182,"²")+COUNTIF($E182:J182,"µ")+COUNTIF($E182:J182,1),ColLivraison)=K$6,
  VLOOKUP($E182,INDIRECT("tri!"&amp; CHAR(64+ C0Col) &amp;":"&amp; CHAR(65+C0Col)),2,FALSE)&gt;COUNTIF($E182:J182,"u")+COUNTIF($E182:J182,"t")+COUNTIF($E182:J182,"¶")+COUNTIF($E182:J182,"²")+COUNTIF($E182:J182,"µ")+COUNTIF($E182:J182,1)),
HYPERLINK("#Roadmap!C"&amp; MATCH($E182,Roadmap!$D:$D,0)+COUNTIF($E182:J182,"u")+COUNTIF($E182:J182,"t"),
     INDEX(Roadmap!$D:$K,MATCH($E182,Roadmap!$D:$D,0)+COUNTIF($E182:J182,"u")+COUNTIF($E182:J182,"t")+COUNTIF($E182:J182,"¶")+COUNTIF($E182:J182,"²")+COUNTIF($E182:J182,"µ")+COUNTIF($E182:J182,1),ColTypeEcheance)),
  IF(LEN(J182)=1,
  IF(LEN(INDEX(Roadmap!$D:$K,MATCH($E182,Roadmap!$D:$D,0)-1+COUNTIF($E182:J182,"u")+COUNTIF($E182:J182,"t")+COUNTIF($E182:J182,"¶")+COUNTIF($E182:J182,"²")+COUNTIF($E182:J182,"µ")+COUNTIF($E182:J182,1),ColDescriptionCourte))&gt;1,
HYPERLINK("#Roadmap!C"&amp; MATCH($E182,Roadmap!$D:$D,0)+COUNTIF($E182:J182,"u")+COUNTIF($E182:J182,"t")+COUNTIF($E182:J182,"¶")+COUNTIF($E182:J182,"²")+COUNTIF($E182:J182,"µ")+COUNTIF($E182:J182,1)-1,INDEX(Roadmap!$D:$K,MATCH($E182,Roadmap!$D:$D,0)-1+COUNTIF($E182:J182,"u")+COUNTIF($E182:J182,"t")+COUNTIF($E182:J182,"¶")+COUNTIF($E182:J182,"²")+COUNTIF($E182:J182,"µ")+COUNTIF($E182:J182,1),ColDescriptionCourte)),""),
  "")),"")</f>
        <v/>
      </c>
      <c r="L182" s="39" t="str">
        <f ca="1">IFERROR(IF(AND(
  INDEX(Roadmap!$D:$K,MATCH($E182,Roadmap!$D:$D,0)+COUNTIF($E182:K182,"u")+COUNTIF($E182:K182,"t")+COUNTIF($E182:K182,"¶")+COUNTIF($E182:K182,"²")+COUNTIF($E182:K182,"µ")+COUNTIF($E182:K182,1),ColLivraison)=L$6,
  VLOOKUP($E182,INDIRECT("tri!"&amp; CHAR(64+ C0Col) &amp;":"&amp; CHAR(65+C0Col)),2,FALSE)&gt;COUNTIF($E182:K182,"u")+COUNTIF($E182:K182,"t")+COUNTIF($E182:K182,"¶")+COUNTIF($E182:K182,"²")+COUNTIF($E182:K182,"µ")+COUNTIF($E182:K182,1)),
HYPERLINK("#Roadmap!C"&amp; MATCH($E182,Roadmap!$D:$D,0)+COUNTIF($E182:K182,"u")+COUNTIF($E182:K182,"t"),
     INDEX(Roadmap!$D:$K,MATCH($E182,Roadmap!$D:$D,0)+COUNTIF($E182:K182,"u")+COUNTIF($E182:K182,"t")+COUNTIF($E182:K182,"¶")+COUNTIF($E182:K182,"²")+COUNTIF($E182:K182,"µ")+COUNTIF($E182:K182,1),ColTypeEcheance)),
  IF(LEN(K182)=1,
  IF(LEN(INDEX(Roadmap!$D:$K,MATCH($E182,Roadmap!$D:$D,0)-1+COUNTIF($E182:K182,"u")+COUNTIF($E182:K182,"t")+COUNTIF($E182:K182,"¶")+COUNTIF($E182:K182,"²")+COUNTIF($E182:K182,"µ")+COUNTIF($E182:K182,1),ColDescriptionCourte))&gt;1,
HYPERLINK("#Roadmap!C"&amp; MATCH($E182,Roadmap!$D:$D,0)+COUNTIF($E182:K182,"u")+COUNTIF($E182:K182,"t")+COUNTIF($E182:K182,"¶")+COUNTIF($E182:K182,"²")+COUNTIF($E182:K182,"µ")+COUNTIF($E182:K182,1)-1,INDEX(Roadmap!$D:$K,MATCH($E182,Roadmap!$D:$D,0)-1+COUNTIF($E182:K182,"u")+COUNTIF($E182:K182,"t")+COUNTIF($E182:K182,"¶")+COUNTIF($E182:K182,"²")+COUNTIF($E182:K182,"µ")+COUNTIF($E182:K182,1),ColDescriptionCourte)),""),
  "")),"")</f>
        <v/>
      </c>
      <c r="M182" s="40" t="str">
        <f ca="1">IFERROR(IF(AND(
  INDEX(Roadmap!$D:$K,MATCH($E182,Roadmap!$D:$D,0)+COUNTIF($E182:L182,"u")+COUNTIF($E182:L182,"t")+COUNTIF($E182:L182,"¶")+COUNTIF($E182:L182,"²")+COUNTIF($E182:L182,"µ")+COUNTIF($E182:L182,1),ColLivraison)=M$6,
  VLOOKUP($E182,INDIRECT("tri!"&amp; CHAR(64+ C0Col) &amp;":"&amp; CHAR(65+C0Col)),2,FALSE)&gt;COUNTIF($E182:L182,"u")+COUNTIF($E182:L182,"t")+COUNTIF($E182:L182,"¶")+COUNTIF($E182:L182,"²")+COUNTIF($E182:L182,"µ")+COUNTIF($E182:L182,1)),
HYPERLINK("#Roadmap!C"&amp; MATCH($E182,Roadmap!$D:$D,0)+COUNTIF($E182:L182,"u")+COUNTIF($E182:L182,"t"),
     INDEX(Roadmap!$D:$K,MATCH($E182,Roadmap!$D:$D,0)+COUNTIF($E182:L182,"u")+COUNTIF($E182:L182,"t")+COUNTIF($E182:L182,"¶")+COUNTIF($E182:L182,"²")+COUNTIF($E182:L182,"µ")+COUNTIF($E182:L182,1),ColTypeEcheance)),
  IF(LEN(L182)=1,
  IF(LEN(INDEX(Roadmap!$D:$K,MATCH($E182,Roadmap!$D:$D,0)-1+COUNTIF($E182:L182,"u")+COUNTIF($E182:L182,"t")+COUNTIF($E182:L182,"¶")+COUNTIF($E182:L182,"²")+COUNTIF($E182:L182,"µ")+COUNTIF($E182:L182,1),ColDescriptionCourte))&gt;1,
HYPERLINK("#Roadmap!C"&amp; MATCH($E182,Roadmap!$D:$D,0)+COUNTIF($E182:L182,"u")+COUNTIF($E182:L182,"t")+COUNTIF($E182:L182,"¶")+COUNTIF($E182:L182,"²")+COUNTIF($E182:L182,"µ")+COUNTIF($E182:L182,1)-1,INDEX(Roadmap!$D:$K,MATCH($E182,Roadmap!$D:$D,0)-1+COUNTIF($E182:L182,"u")+COUNTIF($E182:L182,"t")+COUNTIF($E182:L182,"¶")+COUNTIF($E182:L182,"²")+COUNTIF($E182:L182,"µ")+COUNTIF($E182:L182,1),ColDescriptionCourte)),""),
  "")),"")</f>
        <v/>
      </c>
      <c r="N182" s="40" t="str">
        <f ca="1">IFERROR(IF(AND(
  INDEX(Roadmap!$D:$K,MATCH($E182,Roadmap!$D:$D,0)+COUNTIF($E182:M182,"u")+COUNTIF($E182:M182,"t")+COUNTIF($E182:M182,"¶")+COUNTIF($E182:M182,"²")+COUNTIF($E182:M182,"µ")+COUNTIF($E182:M182,1),ColLivraison)=N$6,
  VLOOKUP($E182,INDIRECT("tri!"&amp; CHAR(64+ C0Col) &amp;":"&amp; CHAR(65+C0Col)),2,FALSE)&gt;COUNTIF($E182:M182,"u")+COUNTIF($E182:M182,"t")+COUNTIF($E182:M182,"¶")+COUNTIF($E182:M182,"²")+COUNTIF($E182:M182,"µ")+COUNTIF($E182:M182,1)),
HYPERLINK("#Roadmap!C"&amp; MATCH($E182,Roadmap!$D:$D,0)+COUNTIF($E182:M182,"u")+COUNTIF($E182:M182,"t"),
     INDEX(Roadmap!$D:$K,MATCH($E182,Roadmap!$D:$D,0)+COUNTIF($E182:M182,"u")+COUNTIF($E182:M182,"t")+COUNTIF($E182:M182,"¶")+COUNTIF($E182:M182,"²")+COUNTIF($E182:M182,"µ")+COUNTIF($E182:M182,1),ColTypeEcheance)),
  IF(LEN(M182)=1,
  IF(LEN(INDEX(Roadmap!$D:$K,MATCH($E182,Roadmap!$D:$D,0)-1+COUNTIF($E182:M182,"u")+COUNTIF($E182:M182,"t")+COUNTIF($E182:M182,"¶")+COUNTIF($E182:M182,"²")+COUNTIF($E182:M182,"µ")+COUNTIF($E182:M182,1),ColDescriptionCourte))&gt;1,
HYPERLINK("#Roadmap!C"&amp; MATCH($E182,Roadmap!$D:$D,0)+COUNTIF($E182:M182,"u")+COUNTIF($E182:M182,"t")+COUNTIF($E182:M182,"¶")+COUNTIF($E182:M182,"²")+COUNTIF($E182:M182,"µ")+COUNTIF($E182:M182,1)-1,INDEX(Roadmap!$D:$K,MATCH($E182,Roadmap!$D:$D,0)-1+COUNTIF($E182:M182,"u")+COUNTIF($E182:M182,"t")+COUNTIF($E182:M182,"¶")+COUNTIF($E182:M182,"²")+COUNTIF($E182:M182,"µ")+COUNTIF($E182:M182,1),ColDescriptionCourte)),""),
  "")),"")</f>
        <v/>
      </c>
      <c r="O182" s="40" t="str">
        <f ca="1">IFERROR(IF(AND(
  INDEX(Roadmap!$D:$K,MATCH($E182,Roadmap!$D:$D,0)+COUNTIF($E182:N182,"u")+COUNTIF($E182:N182,"t")+COUNTIF($E182:N182,"¶")+COUNTIF($E182:N182,"²")+COUNTIF($E182:N182,"µ")+COUNTIF($E182:N182,1),ColLivraison)=O$6,
  VLOOKUP($E182,INDIRECT("tri!"&amp; CHAR(64+ C0Col) &amp;":"&amp; CHAR(65+C0Col)),2,FALSE)&gt;COUNTIF($E182:N182,"u")+COUNTIF($E182:N182,"t")+COUNTIF($E182:N182,"¶")+COUNTIF($E182:N182,"²")+COUNTIF($E182:N182,"µ")+COUNTIF($E182:N182,1)),
HYPERLINK("#Roadmap!C"&amp; MATCH($E182,Roadmap!$D:$D,0)+COUNTIF($E182:N182,"u")+COUNTIF($E182:N182,"t"),
     INDEX(Roadmap!$D:$K,MATCH($E182,Roadmap!$D:$D,0)+COUNTIF($E182:N182,"u")+COUNTIF($E182:N182,"t")+COUNTIF($E182:N182,"¶")+COUNTIF($E182:N182,"²")+COUNTIF($E182:N182,"µ")+COUNTIF($E182:N182,1),ColTypeEcheance)),
  IF(LEN(N182)=1,
  IF(LEN(INDEX(Roadmap!$D:$K,MATCH($E182,Roadmap!$D:$D,0)-1+COUNTIF($E182:N182,"u")+COUNTIF($E182:N182,"t")+COUNTIF($E182:N182,"¶")+COUNTIF($E182:N182,"²")+COUNTIF($E182:N182,"µ")+COUNTIF($E182:N182,1),ColDescriptionCourte))&gt;1,
HYPERLINK("#Roadmap!C"&amp; MATCH($E182,Roadmap!$D:$D,0)+COUNTIF($E182:N182,"u")+COUNTIF($E182:N182,"t")+COUNTIF($E182:N182,"¶")+COUNTIF($E182:N182,"²")+COUNTIF($E182:N182,"µ")+COUNTIF($E182:N182,1)-1,INDEX(Roadmap!$D:$K,MATCH($E182,Roadmap!$D:$D,0)-1+COUNTIF($E182:N182,"u")+COUNTIF($E182:N182,"t")+COUNTIF($E182:N182,"¶")+COUNTIF($E182:N182,"²")+COUNTIF($E182:N182,"µ")+COUNTIF($E182:N182,1),ColDescriptionCourte)),""),
  "")),"")</f>
        <v/>
      </c>
      <c r="P182" s="40" t="str">
        <f ca="1">IFERROR(IF(AND(
  INDEX(Roadmap!$D:$K,MATCH($E182,Roadmap!$D:$D,0)+COUNTIF($E182:O182,"u")+COUNTIF($E182:O182,"t")+COUNTIF($E182:O182,"¶")+COUNTIF($E182:O182,"²")+COUNTIF($E182:O182,"µ")+COUNTIF($E182:O182,1),ColLivraison)=P$6,
  VLOOKUP($E182,INDIRECT("tri!"&amp; CHAR(64+ C0Col) &amp;":"&amp; CHAR(65+C0Col)),2,FALSE)&gt;COUNTIF($E182:O182,"u")+COUNTIF($E182:O182,"t")+COUNTIF($E182:O182,"¶")+COUNTIF($E182:O182,"²")+COUNTIF($E182:O182,"µ")+COUNTIF($E182:O182,1)),
HYPERLINK("#Roadmap!C"&amp; MATCH($E182,Roadmap!$D:$D,0)+COUNTIF($E182:O182,"u")+COUNTIF($E182:O182,"t"),
     INDEX(Roadmap!$D:$K,MATCH($E182,Roadmap!$D:$D,0)+COUNTIF($E182:O182,"u")+COUNTIF($E182:O182,"t")+COUNTIF($E182:O182,"¶")+COUNTIF($E182:O182,"²")+COUNTIF($E182:O182,"µ")+COUNTIF($E182:O182,1),ColTypeEcheance)),
  IF(LEN(O182)=1,
  IF(LEN(INDEX(Roadmap!$D:$K,MATCH($E182,Roadmap!$D:$D,0)-1+COUNTIF($E182:O182,"u")+COUNTIF($E182:O182,"t")+COUNTIF($E182:O182,"¶")+COUNTIF($E182:O182,"²")+COUNTIF($E182:O182,"µ")+COUNTIF($E182:O182,1),ColDescriptionCourte))&gt;1,
HYPERLINK("#Roadmap!C"&amp; MATCH($E182,Roadmap!$D:$D,0)+COUNTIF($E182:O182,"u")+COUNTIF($E182:O182,"t")+COUNTIF($E182:O182,"¶")+COUNTIF($E182:O182,"²")+COUNTIF($E182:O182,"µ")+COUNTIF($E182:O182,1)-1,INDEX(Roadmap!$D:$K,MATCH($E182,Roadmap!$D:$D,0)-1+COUNTIF($E182:O182,"u")+COUNTIF($E182:O182,"t")+COUNTIF($E182:O182,"¶")+COUNTIF($E182:O182,"²")+COUNTIF($E182:O182,"µ")+COUNTIF($E182:O182,1),ColDescriptionCourte)),""),
  "")),"")</f>
        <v/>
      </c>
      <c r="Q182" s="40" t="str">
        <f ca="1">IFERROR(IF(AND(
  INDEX(Roadmap!$D:$K,MATCH($E182,Roadmap!$D:$D,0)+COUNTIF($E182:P182,"u")+COUNTIF($E182:P182,"t")+COUNTIF($E182:P182,"¶")+COUNTIF($E182:P182,"²")+COUNTIF($E182:P182,"µ")+COUNTIF($E182:P182,1),ColLivraison)=Q$6,
  VLOOKUP($E182,INDIRECT("tri!"&amp; CHAR(64+ C0Col) &amp;":"&amp; CHAR(65+C0Col)),2,FALSE)&gt;COUNTIF($E182:P182,"u")+COUNTIF($E182:P182,"t")+COUNTIF($E182:P182,"¶")+COUNTIF($E182:P182,"²")+COUNTIF($E182:P182,"µ")+COUNTIF($E182:P182,1)),
HYPERLINK("#Roadmap!C"&amp; MATCH($E182,Roadmap!$D:$D,0)+COUNTIF($E182:P182,"u")+COUNTIF($E182:P182,"t"),
     INDEX(Roadmap!$D:$K,MATCH($E182,Roadmap!$D:$D,0)+COUNTIF($E182:P182,"u")+COUNTIF($E182:P182,"t")+COUNTIF($E182:P182,"¶")+COUNTIF($E182:P182,"²")+COUNTIF($E182:P182,"µ")+COUNTIF($E182:P182,1),ColTypeEcheance)),
  IF(LEN(P182)=1,
  IF(LEN(INDEX(Roadmap!$D:$K,MATCH($E182,Roadmap!$D:$D,0)-1+COUNTIF($E182:P182,"u")+COUNTIF($E182:P182,"t")+COUNTIF($E182:P182,"¶")+COUNTIF($E182:P182,"²")+COUNTIF($E182:P182,"µ")+COUNTIF($E182:P182,1),ColDescriptionCourte))&gt;1,
HYPERLINK("#Roadmap!C"&amp; MATCH($E182,Roadmap!$D:$D,0)+COUNTIF($E182:P182,"u")+COUNTIF($E182:P182,"t")+COUNTIF($E182:P182,"¶")+COUNTIF($E182:P182,"²")+COUNTIF($E182:P182,"µ")+COUNTIF($E182:P182,1)-1,INDEX(Roadmap!$D:$K,MATCH($E182,Roadmap!$D:$D,0)-1+COUNTIF($E182:P182,"u")+COUNTIF($E182:P182,"t")+COUNTIF($E182:P182,"¶")+COUNTIF($E182:P182,"²")+COUNTIF($E182:P182,"µ")+COUNTIF($E182:P182,1),ColDescriptionCourte)),""),
  "")),"")</f>
        <v/>
      </c>
      <c r="R182" s="40" t="str">
        <f ca="1">IFERROR(IF(AND(
  INDEX(Roadmap!$D:$K,MATCH($E182,Roadmap!$D:$D,0)+COUNTIF($E182:Q182,"u")+COUNTIF($E182:Q182,"t")+COUNTIF($E182:Q182,"¶")+COUNTIF($E182:Q182,"²")+COUNTIF($E182:Q182,"µ")+COUNTIF($E182:Q182,1),ColLivraison)=R$6,
  VLOOKUP($E182,INDIRECT("tri!"&amp; CHAR(64+ C0Col) &amp;":"&amp; CHAR(65+C0Col)),2,FALSE)&gt;COUNTIF($E182:Q182,"u")+COUNTIF($E182:Q182,"t")+COUNTIF($E182:Q182,"¶")+COUNTIF($E182:Q182,"²")+COUNTIF($E182:Q182,"µ")+COUNTIF($E182:Q182,1)),
HYPERLINK("#Roadmap!C"&amp; MATCH($E182,Roadmap!$D:$D,0)+COUNTIF($E182:Q182,"u")+COUNTIF($E182:Q182,"t"),
     INDEX(Roadmap!$D:$K,MATCH($E182,Roadmap!$D:$D,0)+COUNTIF($E182:Q182,"u")+COUNTIF($E182:Q182,"t")+COUNTIF($E182:Q182,"¶")+COUNTIF($E182:Q182,"²")+COUNTIF($E182:Q182,"µ")+COUNTIF($E182:Q182,1),ColTypeEcheance)),
  IF(LEN(Q182)=1,
  IF(LEN(INDEX(Roadmap!$D:$K,MATCH($E182,Roadmap!$D:$D,0)-1+COUNTIF($E182:Q182,"u")+COUNTIF($E182:Q182,"t")+COUNTIF($E182:Q182,"¶")+COUNTIF($E182:Q182,"²")+COUNTIF($E182:Q182,"µ")+COUNTIF($E182:Q182,1),ColDescriptionCourte))&gt;1,
HYPERLINK("#Roadmap!C"&amp; MATCH($E182,Roadmap!$D:$D,0)+COUNTIF($E182:Q182,"u")+COUNTIF($E182:Q182,"t")+COUNTIF($E182:Q182,"¶")+COUNTIF($E182:Q182,"²")+COUNTIF($E182:Q182,"µ")+COUNTIF($E182:Q182,1)-1,INDEX(Roadmap!$D:$K,MATCH($E182,Roadmap!$D:$D,0)-1+COUNTIF($E182:Q182,"u")+COUNTIF($E182:Q182,"t")+COUNTIF($E182:Q182,"¶")+COUNTIF($E182:Q182,"²")+COUNTIF($E182:Q182,"µ")+COUNTIF($E182:Q182,1),ColDescriptionCourte)),""),
  "")),"")</f>
        <v/>
      </c>
      <c r="S182" s="40" t="str">
        <f ca="1">IFERROR(IF(AND(
  INDEX(Roadmap!$D:$K,MATCH($E182,Roadmap!$D:$D,0)+COUNTIF($E182:R182,"u")+COUNTIF($E182:R182,"t")+COUNTIF($E182:R182,"¶")+COUNTIF($E182:R182,"²")+COUNTIF($E182:R182,"µ")+COUNTIF($E182:R182,1),ColLivraison)=S$6,
  VLOOKUP($E182,INDIRECT("tri!"&amp; CHAR(64+ C0Col) &amp;":"&amp; CHAR(65+C0Col)),2,FALSE)&gt;COUNTIF($E182:R182,"u")+COUNTIF($E182:R182,"t")+COUNTIF($E182:R182,"¶")+COUNTIF($E182:R182,"²")+COUNTIF($E182:R182,"µ")+COUNTIF($E182:R182,1)),
HYPERLINK("#Roadmap!C"&amp; MATCH($E182,Roadmap!$D:$D,0)+COUNTIF($E182:R182,"u")+COUNTIF($E182:R182,"t"),
     INDEX(Roadmap!$D:$K,MATCH($E182,Roadmap!$D:$D,0)+COUNTIF($E182:R182,"u")+COUNTIF($E182:R182,"t")+COUNTIF($E182:R182,"¶")+COUNTIF($E182:R182,"²")+COUNTIF($E182:R182,"µ")+COUNTIF($E182:R182,1),ColTypeEcheance)),
  IF(LEN(R182)=1,
  IF(LEN(INDEX(Roadmap!$D:$K,MATCH($E182,Roadmap!$D:$D,0)-1+COUNTIF($E182:R182,"u")+COUNTIF($E182:R182,"t")+COUNTIF($E182:R182,"¶")+COUNTIF($E182:R182,"²")+COUNTIF($E182:R182,"µ")+COUNTIF($E182:R182,1),ColDescriptionCourte))&gt;1,
HYPERLINK("#Roadmap!C"&amp; MATCH($E182,Roadmap!$D:$D,0)+COUNTIF($E182:R182,"u")+COUNTIF($E182:R182,"t")+COUNTIF($E182:R182,"¶")+COUNTIF($E182:R182,"²")+COUNTIF($E182:R182,"µ")+COUNTIF($E182:R182,1)-1,INDEX(Roadmap!$D:$K,MATCH($E182,Roadmap!$D:$D,0)-1+COUNTIF($E182:R182,"u")+COUNTIF($E182:R182,"t")+COUNTIF($E182:R182,"¶")+COUNTIF($E182:R182,"²")+COUNTIF($E182:R182,"µ")+COUNTIF($E182:R182,1),ColDescriptionCourte)),""),
  "")),"")</f>
        <v/>
      </c>
      <c r="T182" s="40" t="str">
        <f ca="1">IFERROR(IF(AND(
  INDEX(Roadmap!$D:$K,MATCH($E182,Roadmap!$D:$D,0)+COUNTIF($E182:S182,"u")+COUNTIF($E182:S182,"t")+COUNTIF($E182:S182,"¶")+COUNTIF($E182:S182,"²")+COUNTIF($E182:S182,"µ")+COUNTIF($E182:S182,1),ColLivraison)=T$6,
  VLOOKUP($E182,INDIRECT("tri!"&amp; CHAR(64+ C0Col) &amp;":"&amp; CHAR(65+C0Col)),2,FALSE)&gt;COUNTIF($E182:S182,"u")+COUNTIF($E182:S182,"t")+COUNTIF($E182:S182,"¶")+COUNTIF($E182:S182,"²")+COUNTIF($E182:S182,"µ")+COUNTIF($E182:S182,1)),
HYPERLINK("#Roadmap!C"&amp; MATCH($E182,Roadmap!$D:$D,0)+COUNTIF($E182:S182,"u")+COUNTIF($E182:S182,"t"),
     INDEX(Roadmap!$D:$K,MATCH($E182,Roadmap!$D:$D,0)+COUNTIF($E182:S182,"u")+COUNTIF($E182:S182,"t")+COUNTIF($E182:S182,"¶")+COUNTIF($E182:S182,"²")+COUNTIF($E182:S182,"µ")+COUNTIF($E182:S182,1),ColTypeEcheance)),
  IF(LEN(S182)=1,
  IF(LEN(INDEX(Roadmap!$D:$K,MATCH($E182,Roadmap!$D:$D,0)-1+COUNTIF($E182:S182,"u")+COUNTIF($E182:S182,"t")+COUNTIF($E182:S182,"¶")+COUNTIF($E182:S182,"²")+COUNTIF($E182:S182,"µ")+COUNTIF($E182:S182,1),ColDescriptionCourte))&gt;1,
HYPERLINK("#Roadmap!C"&amp; MATCH($E182,Roadmap!$D:$D,0)+COUNTIF($E182:S182,"u")+COUNTIF($E182:S182,"t")+COUNTIF($E182:S182,"¶")+COUNTIF($E182:S182,"²")+COUNTIF($E182:S182,"µ")+COUNTIF($E182:S182,1)-1,INDEX(Roadmap!$D:$K,MATCH($E182,Roadmap!$D:$D,0)-1+COUNTIF($E182:S182,"u")+COUNTIF($E182:S182,"t")+COUNTIF($E182:S182,"¶")+COUNTIF($E182:S182,"²")+COUNTIF($E182:S182,"µ")+COUNTIF($E182:S182,1),ColDescriptionCourte)),""),
  "")),"")</f>
        <v/>
      </c>
      <c r="U182" s="40" t="str">
        <f ca="1">IFERROR(IF(AND(
  INDEX(Roadmap!$D:$K,MATCH($E182,Roadmap!$D:$D,0)+COUNTIF($E182:T182,"u")+COUNTIF($E182:T182,"t")+COUNTIF($E182:T182,"¶")+COUNTIF($E182:T182,"²")+COUNTIF($E182:T182,"µ")+COUNTIF($E182:T182,1),ColLivraison)=U$6,
  VLOOKUP($E182,INDIRECT("tri!"&amp; CHAR(64+ C0Col) &amp;":"&amp; CHAR(65+C0Col)),2,FALSE)&gt;COUNTIF($E182:T182,"u")+COUNTIF($E182:T182,"t")+COUNTIF($E182:T182,"¶")+COUNTIF($E182:T182,"²")+COUNTIF($E182:T182,"µ")+COUNTIF($E182:T182,1)),
HYPERLINK("#Roadmap!C"&amp; MATCH($E182,Roadmap!$D:$D,0)+COUNTIF($E182:T182,"u")+COUNTIF($E182:T182,"t"),
     INDEX(Roadmap!$D:$K,MATCH($E182,Roadmap!$D:$D,0)+COUNTIF($E182:T182,"u")+COUNTIF($E182:T182,"t")+COUNTIF($E182:T182,"¶")+COUNTIF($E182:T182,"²")+COUNTIF($E182:T182,"µ")+COUNTIF($E182:T182,1),ColTypeEcheance)),
  IF(LEN(T182)=1,
  IF(LEN(INDEX(Roadmap!$D:$K,MATCH($E182,Roadmap!$D:$D,0)-1+COUNTIF($E182:T182,"u")+COUNTIF($E182:T182,"t")+COUNTIF($E182:T182,"¶")+COUNTIF($E182:T182,"²")+COUNTIF($E182:T182,"µ")+COUNTIF($E182:T182,1),ColDescriptionCourte))&gt;1,
HYPERLINK("#Roadmap!C"&amp; MATCH($E182,Roadmap!$D:$D,0)+COUNTIF($E182:T182,"u")+COUNTIF($E182:T182,"t")+COUNTIF($E182:T182,"¶")+COUNTIF($E182:T182,"²")+COUNTIF($E182:T182,"µ")+COUNTIF($E182:T182,1)-1,INDEX(Roadmap!$D:$K,MATCH($E182,Roadmap!$D:$D,0)-1+COUNTIF($E182:T182,"u")+COUNTIF($E182:T182,"t")+COUNTIF($E182:T182,"¶")+COUNTIF($E182:T182,"²")+COUNTIF($E182:T182,"µ")+COUNTIF($E182:T182,1),ColDescriptionCourte)),""),
  "")),"")</f>
        <v/>
      </c>
      <c r="V182" s="40" t="str">
        <f ca="1">IFERROR(IF(AND(
  INDEX(Roadmap!$D:$K,MATCH($E182,Roadmap!$D:$D,0)+COUNTIF($E182:U182,"u")+COUNTIF($E182:U182,"t")+COUNTIF($E182:U182,"¶")+COUNTIF($E182:U182,"²")+COUNTIF($E182:U182,"µ")+COUNTIF($E182:U182,1),ColLivraison)=V$6,
  VLOOKUP($E182,INDIRECT("tri!"&amp; CHAR(64+ C0Col) &amp;":"&amp; CHAR(65+C0Col)),2,FALSE)&gt;COUNTIF($E182:U182,"u")+COUNTIF($E182:U182,"t")+COUNTIF($E182:U182,"¶")+COUNTIF($E182:U182,"²")+COUNTIF($E182:U182,"µ")+COUNTIF($E182:U182,1)),
HYPERLINK("#Roadmap!C"&amp; MATCH($E182,Roadmap!$D:$D,0)+COUNTIF($E182:U182,"u")+COUNTIF($E182:U182,"t"),
     INDEX(Roadmap!$D:$K,MATCH($E182,Roadmap!$D:$D,0)+COUNTIF($E182:U182,"u")+COUNTIF($E182:U182,"t")+COUNTIF($E182:U182,"¶")+COUNTIF($E182:U182,"²")+COUNTIF($E182:U182,"µ")+COUNTIF($E182:U182,1),ColTypeEcheance)),
  IF(LEN(U182)=1,
  IF(LEN(INDEX(Roadmap!$D:$K,MATCH($E182,Roadmap!$D:$D,0)-1+COUNTIF($E182:U182,"u")+COUNTIF($E182:U182,"t")+COUNTIF($E182:U182,"¶")+COUNTIF($E182:U182,"²")+COUNTIF($E182:U182,"µ")+COUNTIF($E182:U182,1),ColDescriptionCourte))&gt;1,
HYPERLINK("#Roadmap!C"&amp; MATCH($E182,Roadmap!$D:$D,0)+COUNTIF($E182:U182,"u")+COUNTIF($E182:U182,"t")+COUNTIF($E182:U182,"¶")+COUNTIF($E182:U182,"²")+COUNTIF($E182:U182,"µ")+COUNTIF($E182:U182,1)-1,INDEX(Roadmap!$D:$K,MATCH($E182,Roadmap!$D:$D,0)-1+COUNTIF($E182:U182,"u")+COUNTIF($E182:U182,"t")+COUNTIF($E182:U182,"¶")+COUNTIF($E182:U182,"²")+COUNTIF($E182:U182,"µ")+COUNTIF($E182:U182,1),ColDescriptionCourte)),""),
  "")),"")</f>
        <v/>
      </c>
      <c r="W182" s="40" t="str">
        <f ca="1">IFERROR(IF(AND(
  INDEX(Roadmap!$D:$K,MATCH($E182,Roadmap!$D:$D,0)+COUNTIF($E182:V182,"u")+COUNTIF($E182:V182,"t")+COUNTIF($E182:V182,"¶")+COUNTIF($E182:V182,"²")+COUNTIF($E182:V182,"µ")+COUNTIF($E182:V182,1),ColLivraison)=W$6,
  VLOOKUP($E182,INDIRECT("tri!"&amp; CHAR(64+ C0Col) &amp;":"&amp; CHAR(65+C0Col)),2,FALSE)&gt;COUNTIF($E182:V182,"u")+COUNTIF($E182:V182,"t")+COUNTIF($E182:V182,"¶")+COUNTIF($E182:V182,"²")+COUNTIF($E182:V182,"µ")+COUNTIF($E182:V182,1)),
HYPERLINK("#Roadmap!C"&amp; MATCH($E182,Roadmap!$D:$D,0)+COUNTIF($E182:V182,"u")+COUNTIF($E182:V182,"t"),
     INDEX(Roadmap!$D:$K,MATCH($E182,Roadmap!$D:$D,0)+COUNTIF($E182:V182,"u")+COUNTIF($E182:V182,"t")+COUNTIF($E182:V182,"¶")+COUNTIF($E182:V182,"²")+COUNTIF($E182:V182,"µ")+COUNTIF($E182:V182,1),ColTypeEcheance)),
  IF(LEN(V182)=1,
  IF(LEN(INDEX(Roadmap!$D:$K,MATCH($E182,Roadmap!$D:$D,0)-1+COUNTIF($E182:V182,"u")+COUNTIF($E182:V182,"t")+COUNTIF($E182:V182,"¶")+COUNTIF($E182:V182,"²")+COUNTIF($E182:V182,"µ")+COUNTIF($E182:V182,1),ColDescriptionCourte))&gt;1,
HYPERLINK("#Roadmap!C"&amp; MATCH($E182,Roadmap!$D:$D,0)+COUNTIF($E182:V182,"u")+COUNTIF($E182:V182,"t")+COUNTIF($E182:V182,"¶")+COUNTIF($E182:V182,"²")+COUNTIF($E182:V182,"µ")+COUNTIF($E182:V182,1)-1,INDEX(Roadmap!$D:$K,MATCH($E182,Roadmap!$D:$D,0)-1+COUNTIF($E182:V182,"u")+COUNTIF($E182:V182,"t")+COUNTIF($E182:V182,"¶")+COUNTIF($E182:V182,"²")+COUNTIF($E182:V182,"µ")+COUNTIF($E182:V182,1),ColDescriptionCourte)),""),
  "")),"")</f>
        <v/>
      </c>
      <c r="X182" s="40" t="str">
        <f ca="1">IFERROR(IF(AND(
  INDEX(Roadmap!$D:$K,MATCH($E182,Roadmap!$D:$D,0)+COUNTIF($E182:W182,"u")+COUNTIF($E182:W182,"t")+COUNTIF($E182:W182,"¶")+COUNTIF($E182:W182,"²")+COUNTIF($E182:W182,"µ")+COUNTIF($E182:W182,1),ColLivraison)=X$6,
  VLOOKUP($E182,INDIRECT("tri!"&amp; CHAR(64+ C0Col) &amp;":"&amp; CHAR(65+C0Col)),2,FALSE)&gt;COUNTIF($E182:W182,"u")+COUNTIF($E182:W182,"t")+COUNTIF($E182:W182,"¶")+COUNTIF($E182:W182,"²")+COUNTIF($E182:W182,"µ")+COUNTIF($E182:W182,1)),
HYPERLINK("#Roadmap!C"&amp; MATCH($E182,Roadmap!$D:$D,0)+COUNTIF($E182:W182,"u")+COUNTIF($E182:W182,"t"),
     INDEX(Roadmap!$D:$K,MATCH($E182,Roadmap!$D:$D,0)+COUNTIF($E182:W182,"u")+COUNTIF($E182:W182,"t")+COUNTIF($E182:W182,"¶")+COUNTIF($E182:W182,"²")+COUNTIF($E182:W182,"µ")+COUNTIF($E182:W182,1),ColTypeEcheance)),
  IF(LEN(W182)=1,
  IF(LEN(INDEX(Roadmap!$D:$K,MATCH($E182,Roadmap!$D:$D,0)-1+COUNTIF($E182:W182,"u")+COUNTIF($E182:W182,"t")+COUNTIF($E182:W182,"¶")+COUNTIF($E182:W182,"²")+COUNTIF($E182:W182,"µ")+COUNTIF($E182:W182,1),ColDescriptionCourte))&gt;1,
HYPERLINK("#Roadmap!C"&amp; MATCH($E182,Roadmap!$D:$D,0)+COUNTIF($E182:W182,"u")+COUNTIF($E182:W182,"t")+COUNTIF($E182:W182,"¶")+COUNTIF($E182:W182,"²")+COUNTIF($E182:W182,"µ")+COUNTIF($E182:W182,1)-1,INDEX(Roadmap!$D:$K,MATCH($E182,Roadmap!$D:$D,0)-1+COUNTIF($E182:W182,"u")+COUNTIF($E182:W182,"t")+COUNTIF($E182:W182,"¶")+COUNTIF($E182:W182,"²")+COUNTIF($E182:W182,"µ")+COUNTIF($E182:W182,1),ColDescriptionCourte)),""),
  "")),"")</f>
        <v/>
      </c>
      <c r="Y182" s="40" t="str">
        <f ca="1">IFERROR(IF(AND(
  INDEX(Roadmap!$D:$K,MATCH($E182,Roadmap!$D:$D,0)+COUNTIF($E182:X182,"u")+COUNTIF($E182:X182,"t")+COUNTIF($E182:X182,"¶")+COUNTIF($E182:X182,"²")+COUNTIF($E182:X182,"µ")+COUNTIF($E182:X182,1),ColLivraison)=Y$6,
  VLOOKUP($E182,INDIRECT("tri!"&amp; CHAR(64+ C0Col) &amp;":"&amp; CHAR(65+C0Col)),2,FALSE)&gt;COUNTIF($E182:X182,"u")+COUNTIF($E182:X182,"t")+COUNTIF($E182:X182,"¶")+COUNTIF($E182:X182,"²")+COUNTIF($E182:X182,"µ")+COUNTIF($E182:X182,1)),
HYPERLINK("#Roadmap!C"&amp; MATCH($E182,Roadmap!$D:$D,0)+COUNTIF($E182:X182,"u")+COUNTIF($E182:X182,"t"),
     INDEX(Roadmap!$D:$K,MATCH($E182,Roadmap!$D:$D,0)+COUNTIF($E182:X182,"u")+COUNTIF($E182:X182,"t")+COUNTIF($E182:X182,"¶")+COUNTIF($E182:X182,"²")+COUNTIF($E182:X182,"µ")+COUNTIF($E182:X182,1),ColTypeEcheance)),
  IF(LEN(X182)=1,
  IF(LEN(INDEX(Roadmap!$D:$K,MATCH($E182,Roadmap!$D:$D,0)-1+COUNTIF($E182:X182,"u")+COUNTIF($E182:X182,"t")+COUNTIF($E182:X182,"¶")+COUNTIF($E182:X182,"²")+COUNTIF($E182:X182,"µ")+COUNTIF($E182:X182,1),ColDescriptionCourte))&gt;1,
HYPERLINK("#Roadmap!C"&amp; MATCH($E182,Roadmap!$D:$D,0)+COUNTIF($E182:X182,"u")+COUNTIF($E182:X182,"t")+COUNTIF($E182:X182,"¶")+COUNTIF($E182:X182,"²")+COUNTIF($E182:X182,"µ")+COUNTIF($E182:X182,1)-1,INDEX(Roadmap!$D:$K,MATCH($E182,Roadmap!$D:$D,0)-1+COUNTIF($E182:X182,"u")+COUNTIF($E182:X182,"t")+COUNTIF($E182:X182,"¶")+COUNTIF($E182:X182,"²")+COUNTIF($E182:X182,"µ")+COUNTIF($E182:X182,1),ColDescriptionCourte)),""),
  "")),"")</f>
        <v/>
      </c>
      <c r="Z182" s="40" t="str">
        <f ca="1">IFERROR(IF(AND(
  INDEX(Roadmap!$D:$K,MATCH($E182,Roadmap!$D:$D,0)+COUNTIF($E182:Y182,"u")+COUNTIF($E182:Y182,"t")+COUNTIF($E182:Y182,"¶")+COUNTIF($E182:Y182,"²")+COUNTIF($E182:Y182,"µ")+COUNTIF($E182:Y182,1),ColLivraison)=Z$6,
  VLOOKUP($E182,INDIRECT("tri!"&amp; CHAR(64+ C0Col) &amp;":"&amp; CHAR(65+C0Col)),2,FALSE)&gt;COUNTIF($E182:Y182,"u")+COUNTIF($E182:Y182,"t")+COUNTIF($E182:Y182,"¶")+COUNTIF($E182:Y182,"²")+COUNTIF($E182:Y182,"µ")+COUNTIF($E182:Y182,1)),
HYPERLINK("#Roadmap!C"&amp; MATCH($E182,Roadmap!$D:$D,0)+COUNTIF($E182:Y182,"u")+COUNTIF($E182:Y182,"t"),
     INDEX(Roadmap!$D:$K,MATCH($E182,Roadmap!$D:$D,0)+COUNTIF($E182:Y182,"u")+COUNTIF($E182:Y182,"t")+COUNTIF($E182:Y182,"¶")+COUNTIF($E182:Y182,"²")+COUNTIF($E182:Y182,"µ")+COUNTIF($E182:Y182,1),ColTypeEcheance)),
  IF(LEN(Y182)=1,
  IF(LEN(INDEX(Roadmap!$D:$K,MATCH($E182,Roadmap!$D:$D,0)-1+COUNTIF($E182:Y182,"u")+COUNTIF($E182:Y182,"t")+COUNTIF($E182:Y182,"¶")+COUNTIF($E182:Y182,"²")+COUNTIF($E182:Y182,"µ")+COUNTIF($E182:Y182,1),ColDescriptionCourte))&gt;1,
HYPERLINK("#Roadmap!C"&amp; MATCH($E182,Roadmap!$D:$D,0)+COUNTIF($E182:Y182,"u")+COUNTIF($E182:Y182,"t")+COUNTIF($E182:Y182,"¶")+COUNTIF($E182:Y182,"²")+COUNTIF($E182:Y182,"µ")+COUNTIF($E182:Y182,1)-1,INDEX(Roadmap!$D:$K,MATCH($E182,Roadmap!$D:$D,0)-1+COUNTIF($E182:Y182,"u")+COUNTIF($E182:Y182,"t")+COUNTIF($E182:Y182,"¶")+COUNTIF($E182:Y182,"²")+COUNTIF($E182:Y182,"µ")+COUNTIF($E182:Y182,1),ColDescriptionCourte)),""),
  "")),"")</f>
        <v/>
      </c>
      <c r="AA182" s="40" t="str">
        <f ca="1">IFERROR(IF(AND(
  INDEX(Roadmap!$D:$K,MATCH($E182,Roadmap!$D:$D,0)+COUNTIF($E182:Z182,"u")+COUNTIF($E182:Z182,"t")+COUNTIF($E182:Z182,"¶")+COUNTIF($E182:Z182,"²")+COUNTIF($E182:Z182,"µ")+COUNTIF($E182:Z182,1),ColLivraison)=AA$6,
  VLOOKUP($E182,INDIRECT("tri!"&amp; CHAR(64+ C0Col) &amp;":"&amp; CHAR(65+C0Col)),2,FALSE)&gt;COUNTIF($E182:Z182,"u")+COUNTIF($E182:Z182,"t")+COUNTIF($E182:Z182,"¶")+COUNTIF($E182:Z182,"²")+COUNTIF($E182:Z182,"µ")+COUNTIF($E182:Z182,1)),
HYPERLINK("#Roadmap!C"&amp; MATCH($E182,Roadmap!$D:$D,0)+COUNTIF($E182:Z182,"u")+COUNTIF($E182:Z182,"t"),
     INDEX(Roadmap!$D:$K,MATCH($E182,Roadmap!$D:$D,0)+COUNTIF($E182:Z182,"u")+COUNTIF($E182:Z182,"t")+COUNTIF($E182:Z182,"¶")+COUNTIF($E182:Z182,"²")+COUNTIF($E182:Z182,"µ")+COUNTIF($E182:Z182,1),ColTypeEcheance)),
  IF(LEN(Z182)=1,
  IF(LEN(INDEX(Roadmap!$D:$K,MATCH($E182,Roadmap!$D:$D,0)-1+COUNTIF($E182:Z182,"u")+COUNTIF($E182:Z182,"t")+COUNTIF($E182:Z182,"¶")+COUNTIF($E182:Z182,"²")+COUNTIF($E182:Z182,"µ")+COUNTIF($E182:Z182,1),ColDescriptionCourte))&gt;1,
HYPERLINK("#Roadmap!C"&amp; MATCH($E182,Roadmap!$D:$D,0)+COUNTIF($E182:Z182,"u")+COUNTIF($E182:Z182,"t")+COUNTIF($E182:Z182,"¶")+COUNTIF($E182:Z182,"²")+COUNTIF($E182:Z182,"µ")+COUNTIF($E182:Z182,1)-1,INDEX(Roadmap!$D:$K,MATCH($E182,Roadmap!$D:$D,0)-1+COUNTIF($E182:Z182,"u")+COUNTIF($E182:Z182,"t")+COUNTIF($E182:Z182,"¶")+COUNTIF($E182:Z182,"²")+COUNTIF($E182:Z182,"µ")+COUNTIF($E182:Z182,1),ColDescriptionCourte)),""),
  "")),"")</f>
        <v/>
      </c>
      <c r="AB182" s="40" t="str">
        <f ca="1">IFERROR(IF(AND(
  INDEX(Roadmap!$D:$K,MATCH($E182,Roadmap!$D:$D,0)+COUNTIF($E182:AA182,"u")+COUNTIF($E182:AA182,"t")+COUNTIF($E182:AA182,"¶")+COUNTIF($E182:AA182,"²")+COUNTIF($E182:AA182,"µ")+COUNTIF($E182:AA182,1),ColLivraison)=AB$6,
  VLOOKUP($E182,INDIRECT("tri!"&amp; CHAR(64+ C0Col) &amp;":"&amp; CHAR(65+C0Col)),2,FALSE)&gt;COUNTIF($E182:AA182,"u")+COUNTIF($E182:AA182,"t")+COUNTIF($E182:AA182,"¶")+COUNTIF($E182:AA182,"²")+COUNTIF($E182:AA182,"µ")+COUNTIF($E182:AA182,1)),
HYPERLINK("#Roadmap!C"&amp; MATCH($E182,Roadmap!$D:$D,0)+COUNTIF($E182:AA182,"u")+COUNTIF($E182:AA182,"t"),
     INDEX(Roadmap!$D:$K,MATCH($E182,Roadmap!$D:$D,0)+COUNTIF($E182:AA182,"u")+COUNTIF($E182:AA182,"t")+COUNTIF($E182:AA182,"¶")+COUNTIF($E182:AA182,"²")+COUNTIF($E182:AA182,"µ")+COUNTIF($E182:AA182,1),ColTypeEcheance)),
  IF(LEN(AA182)=1,
  IF(LEN(INDEX(Roadmap!$D:$K,MATCH($E182,Roadmap!$D:$D,0)-1+COUNTIF($E182:AA182,"u")+COUNTIF($E182:AA182,"t")+COUNTIF($E182:AA182,"¶")+COUNTIF($E182:AA182,"²")+COUNTIF($E182:AA182,"µ")+COUNTIF($E182:AA182,1),ColDescriptionCourte))&gt;1,
HYPERLINK("#Roadmap!C"&amp; MATCH($E182,Roadmap!$D:$D,0)+COUNTIF($E182:AA182,"u")+COUNTIF($E182:AA182,"t")+COUNTIF($E182:AA182,"¶")+COUNTIF($E182:AA182,"²")+COUNTIF($E182:AA182,"µ")+COUNTIF($E182:AA182,1)-1,INDEX(Roadmap!$D:$K,MATCH($E182,Roadmap!$D:$D,0)-1+COUNTIF($E182:AA182,"u")+COUNTIF($E182:AA182,"t")+COUNTIF($E182:AA182,"¶")+COUNTIF($E182:AA182,"²")+COUNTIF($E182:AA182,"µ")+COUNTIF($E182:AA182,1),ColDescriptionCourte)),""),
  "")),"")</f>
        <v/>
      </c>
      <c r="AC182" s="40" t="str">
        <f ca="1">IFERROR(IF(AND(
  INDEX(Roadmap!$D:$K,MATCH($E182,Roadmap!$D:$D,0)+COUNTIF($E182:AB182,"u")+COUNTIF($E182:AB182,"t")+COUNTIF($E182:AB182,"¶")+COUNTIF($E182:AB182,"²")+COUNTIF($E182:AB182,"µ")+COUNTIF($E182:AB182,1),ColLivraison)=AC$6,
  VLOOKUP($E182,INDIRECT("tri!"&amp; CHAR(64+ C0Col) &amp;":"&amp; CHAR(65+C0Col)),2,FALSE)&gt;COUNTIF($E182:AB182,"u")+COUNTIF($E182:AB182,"t")+COUNTIF($E182:AB182,"¶")+COUNTIF($E182:AB182,"²")+COUNTIF($E182:AB182,"µ")+COUNTIF($E182:AB182,1)),
HYPERLINK("#Roadmap!C"&amp; MATCH($E182,Roadmap!$D:$D,0)+COUNTIF($E182:AB182,"u")+COUNTIF($E182:AB182,"t"),
     INDEX(Roadmap!$D:$K,MATCH($E182,Roadmap!$D:$D,0)+COUNTIF($E182:AB182,"u")+COUNTIF($E182:AB182,"t")+COUNTIF($E182:AB182,"¶")+COUNTIF($E182:AB182,"²")+COUNTIF($E182:AB182,"µ")+COUNTIF($E182:AB182,1),ColTypeEcheance)),
  IF(LEN(AB182)=1,
  IF(LEN(INDEX(Roadmap!$D:$K,MATCH($E182,Roadmap!$D:$D,0)-1+COUNTIF($E182:AB182,"u")+COUNTIF($E182:AB182,"t")+COUNTIF($E182:AB182,"¶")+COUNTIF($E182:AB182,"²")+COUNTIF($E182:AB182,"µ")+COUNTIF($E182:AB182,1),ColDescriptionCourte))&gt;1,
HYPERLINK("#Roadmap!C"&amp; MATCH($E182,Roadmap!$D:$D,0)+COUNTIF($E182:AB182,"u")+COUNTIF($E182:AB182,"t")+COUNTIF($E182:AB182,"¶")+COUNTIF($E182:AB182,"²")+COUNTIF($E182:AB182,"µ")+COUNTIF($E182:AB182,1)-1,INDEX(Roadmap!$D:$K,MATCH($E182,Roadmap!$D:$D,0)-1+COUNTIF($E182:AB182,"u")+COUNTIF($E182:AB182,"t")+COUNTIF($E182:AB182,"¶")+COUNTIF($E182:AB182,"²")+COUNTIF($E182:AB182,"µ")+COUNTIF($E182:AB182,1),ColDescriptionCourte)),""),
  "")),"")</f>
        <v/>
      </c>
      <c r="AD182" s="40" t="str">
        <f ca="1">IFERROR(IF(AND(
  INDEX(Roadmap!$D:$K,MATCH($E182,Roadmap!$D:$D,0)+COUNTIF($E182:AC182,"u")+COUNTIF($E182:AC182,"t")+COUNTIF($E182:AC182,"¶")+COUNTIF($E182:AC182,"²")+COUNTIF($E182:AC182,"µ")+COUNTIF($E182:AC182,1),ColLivraison)=AD$6,
  VLOOKUP($E182,INDIRECT("tri!"&amp; CHAR(64+ C0Col) &amp;":"&amp; CHAR(65+C0Col)),2,FALSE)&gt;COUNTIF($E182:AC182,"u")+COUNTIF($E182:AC182,"t")+COUNTIF($E182:AC182,"¶")+COUNTIF($E182:AC182,"²")+COUNTIF($E182:AC182,"µ")+COUNTIF($E182:AC182,1)),
HYPERLINK("#Roadmap!C"&amp; MATCH($E182,Roadmap!$D:$D,0)+COUNTIF($E182:AC182,"u")+COUNTIF($E182:AC182,"t"),
     INDEX(Roadmap!$D:$K,MATCH($E182,Roadmap!$D:$D,0)+COUNTIF($E182:AC182,"u")+COUNTIF($E182:AC182,"t")+COUNTIF($E182:AC182,"¶")+COUNTIF($E182:AC182,"²")+COUNTIF($E182:AC182,"µ")+COUNTIF($E182:AC182,1),ColTypeEcheance)),
  IF(LEN(AC182)=1,
  IF(LEN(INDEX(Roadmap!$D:$K,MATCH($E182,Roadmap!$D:$D,0)-1+COUNTIF($E182:AC182,"u")+COUNTIF($E182:AC182,"t")+COUNTIF($E182:AC182,"¶")+COUNTIF($E182:AC182,"²")+COUNTIF($E182:AC182,"µ")+COUNTIF($E182:AC182,1),ColDescriptionCourte))&gt;1,
HYPERLINK("#Roadmap!C"&amp; MATCH($E182,Roadmap!$D:$D,0)+COUNTIF($E182:AC182,"u")+COUNTIF($E182:AC182,"t")+COUNTIF($E182:AC182,"¶")+COUNTIF($E182:AC182,"²")+COUNTIF($E182:AC182,"µ")+COUNTIF($E182:AC182,1)-1,INDEX(Roadmap!$D:$K,MATCH($E182,Roadmap!$D:$D,0)-1+COUNTIF($E182:AC182,"u")+COUNTIF($E182:AC182,"t")+COUNTIF($E182:AC182,"¶")+COUNTIF($E182:AC182,"²")+COUNTIF($E182:AC182,"µ")+COUNTIF($E182:AC182,1),ColDescriptionCourte)),""),
  "")),"")</f>
        <v/>
      </c>
      <c r="AE182" s="40" t="str">
        <f ca="1">IFERROR(IF(AND(
  INDEX(Roadmap!$D:$K,MATCH($E182,Roadmap!$D:$D,0)+COUNTIF($E182:AD182,"u")+COUNTIF($E182:AD182,"t")+COUNTIF($E182:AD182,"¶")+COUNTIF($E182:AD182,"²")+COUNTIF($E182:AD182,"µ")+COUNTIF($E182:AD182,1),ColLivraison)=AE$6,
  VLOOKUP($E182,INDIRECT("tri!"&amp; CHAR(64+ C0Col) &amp;":"&amp; CHAR(65+C0Col)),2,FALSE)&gt;COUNTIF($E182:AD182,"u")+COUNTIF($E182:AD182,"t")+COUNTIF($E182:AD182,"¶")+COUNTIF($E182:AD182,"²")+COUNTIF($E182:AD182,"µ")+COUNTIF($E182:AD182,1)),
HYPERLINK("#Roadmap!C"&amp; MATCH($E182,Roadmap!$D:$D,0)+COUNTIF($E182:AD182,"u")+COUNTIF($E182:AD182,"t"),
     INDEX(Roadmap!$D:$K,MATCH($E182,Roadmap!$D:$D,0)+COUNTIF($E182:AD182,"u")+COUNTIF($E182:AD182,"t")+COUNTIF($E182:AD182,"¶")+COUNTIF($E182:AD182,"²")+COUNTIF($E182:AD182,"µ")+COUNTIF($E182:AD182,1),ColTypeEcheance)),
  IF(LEN(AD182)=1,
  IF(LEN(INDEX(Roadmap!$D:$K,MATCH($E182,Roadmap!$D:$D,0)-1+COUNTIF($E182:AD182,"u")+COUNTIF($E182:AD182,"t")+COUNTIF($E182:AD182,"¶")+COUNTIF($E182:AD182,"²")+COUNTIF($E182:AD182,"µ")+COUNTIF($E182:AD182,1),ColDescriptionCourte))&gt;1,
HYPERLINK("#Roadmap!C"&amp; MATCH($E182,Roadmap!$D:$D,0)+COUNTIF($E182:AD182,"u")+COUNTIF($E182:AD182,"t")+COUNTIF($E182:AD182,"¶")+COUNTIF($E182:AD182,"²")+COUNTIF($E182:AD182,"µ")+COUNTIF($E182:AD182,1)-1,INDEX(Roadmap!$D:$K,MATCH($E182,Roadmap!$D:$D,0)-1+COUNTIF($E182:AD182,"u")+COUNTIF($E182:AD182,"t")+COUNTIF($E182:AD182,"¶")+COUNTIF($E182:AD182,"²")+COUNTIF($E182:AD182,"µ")+COUNTIF($E182:AD182,1),ColDescriptionCourte)),""),
  "")),"")</f>
        <v/>
      </c>
      <c r="AF182" s="40" t="str">
        <f ca="1">IFERROR(IF(AND(
  INDEX(Roadmap!$D:$K,MATCH($E182,Roadmap!$D:$D,0)+COUNTIF($E182:AE182,"u")+COUNTIF($E182:AE182,"t")+COUNTIF($E182:AE182,"¶")+COUNTIF($E182:AE182,"²")+COUNTIF($E182:AE182,"µ")+COUNTIF($E182:AE182,1),ColLivraison)=AF$6,
  VLOOKUP($E182,INDIRECT("tri!"&amp; CHAR(64+ C0Col) &amp;":"&amp; CHAR(65+C0Col)),2,FALSE)&gt;COUNTIF($E182:AE182,"u")+COUNTIF($E182:AE182,"t")+COUNTIF($E182:AE182,"¶")+COUNTIF($E182:AE182,"²")+COUNTIF($E182:AE182,"µ")+COUNTIF($E182:AE182,1)),
HYPERLINK("#Roadmap!C"&amp; MATCH($E182,Roadmap!$D:$D,0)+COUNTIF($E182:AE182,"u")+COUNTIF($E182:AE182,"t"),
     INDEX(Roadmap!$D:$K,MATCH($E182,Roadmap!$D:$D,0)+COUNTIF($E182:AE182,"u")+COUNTIF($E182:AE182,"t")+COUNTIF($E182:AE182,"¶")+COUNTIF($E182:AE182,"²")+COUNTIF($E182:AE182,"µ")+COUNTIF($E182:AE182,1),ColTypeEcheance)),
  IF(LEN(AE182)=1,
  IF(LEN(INDEX(Roadmap!$D:$K,MATCH($E182,Roadmap!$D:$D,0)-1+COUNTIF($E182:AE182,"u")+COUNTIF($E182:AE182,"t")+COUNTIF($E182:AE182,"¶")+COUNTIF($E182:AE182,"²")+COUNTIF($E182:AE182,"µ")+COUNTIF($E182:AE182,1),ColDescriptionCourte))&gt;1,
HYPERLINK("#Roadmap!C"&amp; MATCH($E182,Roadmap!$D:$D,0)+COUNTIF($E182:AE182,"u")+COUNTIF($E182:AE182,"t")+COUNTIF($E182:AE182,"¶")+COUNTIF($E182:AE182,"²")+COUNTIF($E182:AE182,"µ")+COUNTIF($E182:AE182,1)-1,INDEX(Roadmap!$D:$K,MATCH($E182,Roadmap!$D:$D,0)-1+COUNTIF($E182:AE182,"u")+COUNTIF($E182:AE182,"t")+COUNTIF($E182:AE182,"¶")+COUNTIF($E182:AE182,"²")+COUNTIF($E182:AE182,"µ")+COUNTIF($E182:AE182,1),ColDescriptionCourte)),""),
  "")),"")</f>
        <v/>
      </c>
      <c r="AG182" s="40" t="str">
        <f ca="1">IFERROR(IF(AND(
  INDEX(Roadmap!$D:$K,MATCH($E182,Roadmap!$D:$D,0)+COUNTIF($E182:AF182,"u")+COUNTIF($E182:AF182,"t")+COUNTIF($E182:AF182,"¶")+COUNTIF($E182:AF182,"²")+COUNTIF($E182:AF182,"µ")+COUNTIF($E182:AF182,1),ColLivraison)=AG$6,
  VLOOKUP($E182,INDIRECT("tri!"&amp; CHAR(64+ C0Col) &amp;":"&amp; CHAR(65+C0Col)),2,FALSE)&gt;COUNTIF($E182:AF182,"u")+COUNTIF($E182:AF182,"t")+COUNTIF($E182:AF182,"¶")+COUNTIF($E182:AF182,"²")+COUNTIF($E182:AF182,"µ")+COUNTIF($E182:AF182,1)),
HYPERLINK("#Roadmap!C"&amp; MATCH($E182,Roadmap!$D:$D,0)+COUNTIF($E182:AF182,"u")+COUNTIF($E182:AF182,"t"),
     INDEX(Roadmap!$D:$K,MATCH($E182,Roadmap!$D:$D,0)+COUNTIF($E182:AF182,"u")+COUNTIF($E182:AF182,"t")+COUNTIF($E182:AF182,"¶")+COUNTIF($E182:AF182,"²")+COUNTIF($E182:AF182,"µ")+COUNTIF($E182:AF182,1),ColTypeEcheance)),
  IF(LEN(AF182)=1,
  IF(LEN(INDEX(Roadmap!$D:$K,MATCH($E182,Roadmap!$D:$D,0)-1+COUNTIF($E182:AF182,"u")+COUNTIF($E182:AF182,"t")+COUNTIF($E182:AF182,"¶")+COUNTIF($E182:AF182,"²")+COUNTIF($E182:AF182,"µ")+COUNTIF($E182:AF182,1),ColDescriptionCourte))&gt;1,
HYPERLINK("#Roadmap!C"&amp; MATCH($E182,Roadmap!$D:$D,0)+COUNTIF($E182:AF182,"u")+COUNTIF($E182:AF182,"t")+COUNTIF($E182:AF182,"¶")+COUNTIF($E182:AF182,"²")+COUNTIF($E182:AF182,"µ")+COUNTIF($E182:AF182,1)-1,INDEX(Roadmap!$D:$K,MATCH($E182,Roadmap!$D:$D,0)-1+COUNTIF($E182:AF182,"u")+COUNTIF($E182:AF182,"t")+COUNTIF($E182:AF182,"¶")+COUNTIF($E182:AF182,"²")+COUNTIF($E182:AF182,"µ")+COUNTIF($E182:AF182,1),ColDescriptionCourte)),""),
  "")),"")</f>
        <v/>
      </c>
      <c r="AH182" s="40" t="str">
        <f ca="1">IFERROR(IF(AND(
  INDEX(Roadmap!$D:$K,MATCH($E182,Roadmap!$D:$D,0)+COUNTIF($E182:AG182,"u")+COUNTIF($E182:AG182,"t")+COUNTIF($E182:AG182,1),ColLivraison)=AH$6,
  VLOOKUP($E182,INDIRECT("tri!"&amp; CHAR(64+ C0Col) &amp;":"&amp; CHAR(65+C0Col)),2,FALSE)&gt;COUNTIF($E182:AG182,"u")+COUNTIF($E182:AG182,"t")+COUNTIF($E182:AG182,1)),
HYPERLINK("#Roadmap!C"&amp; MATCH($E182,Roadmap!$D:$D,0)+COUNTIF($E182:AG182,"u")+COUNTIF($E182:AG182,"t"),
     INDEX(Roadmap!$D:$K,MATCH($E182,Roadmap!$D:$D,0)+COUNTIF($E182:AG182,"u")+COUNTIF($E182:AG182,"t")+COUNTIF($E182:AG182,1),ColTypeEcheance)),
  IF(OR(AG182="u",AG182="t",AG182=1),
  IF(LEN(INDEX(Roadmap!$D:$K,MATCH($E182,Roadmap!$D:$D,0)-1+COUNTIF($E182:AG182,"u")+COUNTIF($E182:AG182,"t")+COUNTIF($E182:AG182,1),ColDescriptionCourte))&gt;1,
HYPERLINK("#Roadmap!C"&amp; MATCH($E182,Roadmap!$D:$D,0)+COUNTIF($E182:AG182,"u")+COUNTIF($E182:AG182,"t")+COUNTIF($E182:AG182,1)-1,INDEX(Roadmap!$D:$K,MATCH($E182,Roadmap!$D:$D,0)-1+COUNTIF($E182:AG182,"u")+COUNTIF($E182:AG182,"t")+COUNTIF($E182:AG182,1),ColDescriptionCourte)),""),
  "")),"")</f>
        <v/>
      </c>
      <c r="AI182" s="40"/>
      <c r="AJ182" s="40"/>
      <c r="AK182" s="40"/>
      <c r="AL182" s="40"/>
      <c r="AM182" s="40"/>
    </row>
    <row r="183" spans="4:39" ht="14.1" customHeight="1">
      <c r="D183" s="20" t="str">
        <f t="shared" ca="1" si="31"/>
        <v/>
      </c>
      <c r="E183" s="53" t="str">
        <f t="shared" ca="1" si="32"/>
        <v/>
      </c>
      <c r="F183" s="39" t="str">
        <f ca="1">IFERROR(IF(AND(
  INDEX(Roadmap!$D:$K,MATCH($E183,Roadmap!$D:$D,0)+COUNTIF($E183:E183,"u")+COUNTIF($E183:E183,"t")+COUNTIF($E183:E183,"¶")+COUNTIF($E183:E183,"²")+COUNTIF($E183:E183,"µ")+COUNTIF($E183:E183,1),ColLivraison)=F$6,
  VLOOKUP($E183,INDIRECT("tri!"&amp; CHAR(64+ C0Col) &amp;":"&amp; CHAR(65+C0Col)),2,FALSE)&gt;COUNTIF($E183:E183,"u")+COUNTIF($E183:E183,"t")+COUNTIF($E183:E183,"¶")+COUNTIF($E183:E183,"²")+COUNTIF($E183:E183,"µ")+COUNTIF($E183:E183,1)),
HYPERLINK("#Roadmap!C"&amp; MATCH($E183,Roadmap!$D:$D,0)+COUNTIF($E183:E183,"u")+COUNTIF($E183:E183,"t"),
     INDEX(Roadmap!$D:$K,MATCH($E183,Roadmap!$D:$D,0)+COUNTIF($E183:E183,"u")+COUNTIF($E183:E183,"t")+COUNTIF($E183:E183,"¶")+COUNTIF($E183:E183,"²")+COUNTIF($E183:E183,"µ")+COUNTIF($E183:E183,1),ColTypeEcheance)),
  IF(LEN(E183)=1,
  IF(LEN(INDEX(Roadmap!$D:$K,MATCH($E183,Roadmap!$D:$D,0)-1+COUNTIF($E183:E183,"u")+COUNTIF($E183:E183,"t")+COUNTIF($E183:E183,"¶")+COUNTIF($E183:E183,"²")+COUNTIF($E183:E183,"µ")+COUNTIF($E183:E183,1),ColDescriptionCourte))&gt;1,
HYPERLINK("#Roadmap!C"&amp; MATCH($E183,Roadmap!$D:$D,0)+COUNTIF($E183:E183,"u")+COUNTIF($E183:E183,"t")+COUNTIF($E183:E183,"¶")+COUNTIF($E183:E183,"²")+COUNTIF($E183:E183,"µ")+COUNTIF($E183:E183,1)-1,INDEX(Roadmap!$D:$K,MATCH($E183,Roadmap!$D:$D,0)-1+COUNTIF($E183:E183,"u")+COUNTIF($E183:E183,"t")+COUNTIF($E183:E183,"¶")+COUNTIF($E183:E183,"²")+COUNTIF($E183:E183,"µ")+COUNTIF($E183:E183,1),ColDescriptionCourte)),""),
  "")),"")</f>
        <v/>
      </c>
      <c r="G183" s="40" t="str">
        <f ca="1">IFERROR(IF(AND(
  INDEX(Roadmap!$D:$K,MATCH($E183,Roadmap!$D:$D,0)+COUNTIF($E183:F183,"u")+COUNTIF($E183:F183,"t")+COUNTIF($E183:F183,"¶")+COUNTIF($E183:F183,"²")+COUNTIF($E183:F183,"µ")+COUNTIF($E183:F183,1),ColLivraison)=G$6,
  VLOOKUP($E183,INDIRECT("tri!"&amp; CHAR(64+ C0Col) &amp;":"&amp; CHAR(65+C0Col)),2,FALSE)&gt;COUNTIF($E183:F183,"u")+COUNTIF($E183:F183,"t")+COUNTIF($E183:F183,"¶")+COUNTIF($E183:F183,"²")+COUNTIF($E183:F183,"µ")+COUNTIF($E183:F183,1)),
HYPERLINK("#Roadmap!C"&amp; MATCH($E183,Roadmap!$D:$D,0)+COUNTIF($E183:F183,"u")+COUNTIF($E183:F183,"t"),
     INDEX(Roadmap!$D:$K,MATCH($E183,Roadmap!$D:$D,0)+COUNTIF($E183:F183,"u")+COUNTIF($E183:F183,"t")+COUNTIF($E183:F183,"¶")+COUNTIF($E183:F183,"²")+COUNTIF($E183:F183,"µ")+COUNTIF($E183:F183,1),ColTypeEcheance)),
  IF(LEN(F183)=1,
  IF(LEN(INDEX(Roadmap!$D:$K,MATCH($E183,Roadmap!$D:$D,0)-1+COUNTIF($E183:F183,"u")+COUNTIF($E183:F183,"t")+COUNTIF($E183:F183,"¶")+COUNTIF($E183:F183,"²")+COUNTIF($E183:F183,"µ")+COUNTIF($E183:F183,1),ColDescriptionCourte))&gt;1,
HYPERLINK("#Roadmap!C"&amp; MATCH($E183,Roadmap!$D:$D,0)+COUNTIF($E183:F183,"u")+COUNTIF($E183:F183,"t")+COUNTIF($E183:F183,"¶")+COUNTIF($E183:F183,"²")+COUNTIF($E183:F183,"µ")+COUNTIF($E183:F183,1)-1,INDEX(Roadmap!$D:$K,MATCH($E183,Roadmap!$D:$D,0)-1+COUNTIF($E183:F183,"u")+COUNTIF($E183:F183,"t")+COUNTIF($E183:F183,"¶")+COUNTIF($E183:F183,"²")+COUNTIF($E183:F183,"µ")+COUNTIF($E183:F183,1),ColDescriptionCourte)),""),
  "")),"")</f>
        <v/>
      </c>
      <c r="H183" s="40" t="str">
        <f ca="1">IFERROR(IF(AND(
  INDEX(Roadmap!$D:$K,MATCH($E183,Roadmap!$D:$D,0)+COUNTIF($E183:G183,"u")+COUNTIF($E183:G183,"t")+COUNTIF($E183:G183,"¶")+COUNTIF($E183:G183,"²")+COUNTIF($E183:G183,"µ")+COUNTIF($E183:G183,1),ColLivraison)=H$6,
  VLOOKUP($E183,INDIRECT("tri!"&amp; CHAR(64+ C0Col) &amp;":"&amp; CHAR(65+C0Col)),2,FALSE)&gt;COUNTIF($E183:G183,"u")+COUNTIF($E183:G183,"t")+COUNTIF($E183:G183,"¶")+COUNTIF($E183:G183,"²")+COUNTIF($E183:G183,"µ")+COUNTIF($E183:G183,1)),
HYPERLINK("#Roadmap!C"&amp; MATCH($E183,Roadmap!$D:$D,0)+COUNTIF($E183:G183,"u")+COUNTIF($E183:G183,"t"),
     INDEX(Roadmap!$D:$K,MATCH($E183,Roadmap!$D:$D,0)+COUNTIF($E183:G183,"u")+COUNTIF($E183:G183,"t")+COUNTIF($E183:G183,"¶")+COUNTIF($E183:G183,"²")+COUNTIF($E183:G183,"µ")+COUNTIF($E183:G183,1),ColTypeEcheance)),
  IF(LEN(G183)=1,
  IF(LEN(INDEX(Roadmap!$D:$K,MATCH($E183,Roadmap!$D:$D,0)-1+COUNTIF($E183:G183,"u")+COUNTIF($E183:G183,"t")+COUNTIF($E183:G183,"¶")+COUNTIF($E183:G183,"²")+COUNTIF($E183:G183,"µ")+COUNTIF($E183:G183,1),ColDescriptionCourte))&gt;1,
HYPERLINK("#Roadmap!C"&amp; MATCH($E183,Roadmap!$D:$D,0)+COUNTIF($E183:G183,"u")+COUNTIF($E183:G183,"t")+COUNTIF($E183:G183,"¶")+COUNTIF($E183:G183,"²")+COUNTIF($E183:G183,"µ")+COUNTIF($E183:G183,1)-1,INDEX(Roadmap!$D:$K,MATCH($E183,Roadmap!$D:$D,0)-1+COUNTIF($E183:G183,"u")+COUNTIF($E183:G183,"t")+COUNTIF($E183:G183,"¶")+COUNTIF($E183:G183,"²")+COUNTIF($E183:G183,"µ")+COUNTIF($E183:G183,1),ColDescriptionCourte)),""),
  "")),"")</f>
        <v/>
      </c>
      <c r="I183" s="40" t="str">
        <f ca="1">IFERROR(IF(AND(
  INDEX(Roadmap!$D:$K,MATCH($E183,Roadmap!$D:$D,0)+COUNTIF($E183:H183,"u")+COUNTIF($E183:H183,"t")+COUNTIF($E183:H183,"¶")+COUNTIF($E183:H183,"²")+COUNTIF($E183:H183,"µ")+COUNTIF($E183:H183,1),ColLivraison)=I$6,
  VLOOKUP($E183,INDIRECT("tri!"&amp; CHAR(64+ C0Col) &amp;":"&amp; CHAR(65+C0Col)),2,FALSE)&gt;COUNTIF($E183:H183,"u")+COUNTIF($E183:H183,"t")+COUNTIF($E183:H183,"¶")+COUNTIF($E183:H183,"²")+COUNTIF($E183:H183,"µ")+COUNTIF($E183:H183,1)),
HYPERLINK("#Roadmap!C"&amp; MATCH($E183,Roadmap!$D:$D,0)+COUNTIF($E183:H183,"u")+COUNTIF($E183:H183,"t"),
     INDEX(Roadmap!$D:$K,MATCH($E183,Roadmap!$D:$D,0)+COUNTIF($E183:H183,"u")+COUNTIF($E183:H183,"t")+COUNTIF($E183:H183,"¶")+COUNTIF($E183:H183,"²")+COUNTIF($E183:H183,"µ")+COUNTIF($E183:H183,1),ColTypeEcheance)),
  IF(LEN(H183)=1,
  IF(LEN(INDEX(Roadmap!$D:$K,MATCH($E183,Roadmap!$D:$D,0)-1+COUNTIF($E183:H183,"u")+COUNTIF($E183:H183,"t")+COUNTIF($E183:H183,"¶")+COUNTIF($E183:H183,"²")+COUNTIF($E183:H183,"µ")+COUNTIF($E183:H183,1),ColDescriptionCourte))&gt;1,
HYPERLINK("#Roadmap!C"&amp; MATCH($E183,Roadmap!$D:$D,0)+COUNTIF($E183:H183,"u")+COUNTIF($E183:H183,"t")+COUNTIF($E183:H183,"¶")+COUNTIF($E183:H183,"²")+COUNTIF($E183:H183,"µ")+COUNTIF($E183:H183,1)-1,INDEX(Roadmap!$D:$K,MATCH($E183,Roadmap!$D:$D,0)-1+COUNTIF($E183:H183,"u")+COUNTIF($E183:H183,"t")+COUNTIF($E183:H183,"¶")+COUNTIF($E183:H183,"²")+COUNTIF($E183:H183,"µ")+COUNTIF($E183:H183,1),ColDescriptionCourte)),""),
  "")),"")</f>
        <v/>
      </c>
      <c r="J183" s="40" t="str">
        <f ca="1">IFERROR(IF(AND(
  INDEX(Roadmap!$D:$K,MATCH($E183,Roadmap!$D:$D,0)+COUNTIF($E183:I183,"u")+COUNTIF($E183:I183,"t")+COUNTIF($E183:I183,"¶")+COUNTIF($E183:I183,"²")+COUNTIF($E183:I183,"µ")+COUNTIF($E183:I183,1),ColLivraison)=J$6,
  VLOOKUP($E183,INDIRECT("tri!"&amp; CHAR(64+ C0Col) &amp;":"&amp; CHAR(65+C0Col)),2,FALSE)&gt;COUNTIF($E183:I183,"u")+COUNTIF($E183:I183,"t")+COUNTIF($E183:I183,"¶")+COUNTIF($E183:I183,"²")+COUNTIF($E183:I183,"µ")+COUNTIF($E183:I183,1)),
HYPERLINK("#Roadmap!C"&amp; MATCH($E183,Roadmap!$D:$D,0)+COUNTIF($E183:I183,"u")+COUNTIF($E183:I183,"t"),
     INDEX(Roadmap!$D:$K,MATCH($E183,Roadmap!$D:$D,0)+COUNTIF($E183:I183,"u")+COUNTIF($E183:I183,"t")+COUNTIF($E183:I183,"¶")+COUNTIF($E183:I183,"²")+COUNTIF($E183:I183,"µ")+COUNTIF($E183:I183,1),ColTypeEcheance)),
  IF(LEN(I183)=1,
  IF(LEN(INDEX(Roadmap!$D:$K,MATCH($E183,Roadmap!$D:$D,0)-1+COUNTIF($E183:I183,"u")+COUNTIF($E183:I183,"t")+COUNTIF($E183:I183,"¶")+COUNTIF($E183:I183,"²")+COUNTIF($E183:I183,"µ")+COUNTIF($E183:I183,1),ColDescriptionCourte))&gt;1,
HYPERLINK("#Roadmap!C"&amp; MATCH($E183,Roadmap!$D:$D,0)+COUNTIF($E183:I183,"u")+COUNTIF($E183:I183,"t")+COUNTIF($E183:I183,"¶")+COUNTIF($E183:I183,"²")+COUNTIF($E183:I183,"µ")+COUNTIF($E183:I183,1)-1,INDEX(Roadmap!$D:$K,MATCH($E183,Roadmap!$D:$D,0)-1+COUNTIF($E183:I183,"u")+COUNTIF($E183:I183,"t")+COUNTIF($E183:I183,"¶")+COUNTIF($E183:I183,"²")+COUNTIF($E183:I183,"µ")+COUNTIF($E183:I183,1),ColDescriptionCourte)),""),
  "")),"")</f>
        <v/>
      </c>
      <c r="K183" s="40" t="str">
        <f ca="1">IFERROR(IF(AND(
  INDEX(Roadmap!$D:$K,MATCH($E183,Roadmap!$D:$D,0)+COUNTIF($E183:J183,"u")+COUNTIF($E183:J183,"t")+COUNTIF($E183:J183,"¶")+COUNTIF($E183:J183,"²")+COUNTIF($E183:J183,"µ")+COUNTIF($E183:J183,1),ColLivraison)=K$6,
  VLOOKUP($E183,INDIRECT("tri!"&amp; CHAR(64+ C0Col) &amp;":"&amp; CHAR(65+C0Col)),2,FALSE)&gt;COUNTIF($E183:J183,"u")+COUNTIF($E183:J183,"t")+COUNTIF($E183:J183,"¶")+COUNTIF($E183:J183,"²")+COUNTIF($E183:J183,"µ")+COUNTIF($E183:J183,1)),
HYPERLINK("#Roadmap!C"&amp; MATCH($E183,Roadmap!$D:$D,0)+COUNTIF($E183:J183,"u")+COUNTIF($E183:J183,"t"),
     INDEX(Roadmap!$D:$K,MATCH($E183,Roadmap!$D:$D,0)+COUNTIF($E183:J183,"u")+COUNTIF($E183:J183,"t")+COUNTIF($E183:J183,"¶")+COUNTIF($E183:J183,"²")+COUNTIF($E183:J183,"µ")+COUNTIF($E183:J183,1),ColTypeEcheance)),
  IF(LEN(J183)=1,
  IF(LEN(INDEX(Roadmap!$D:$K,MATCH($E183,Roadmap!$D:$D,0)-1+COUNTIF($E183:J183,"u")+COUNTIF($E183:J183,"t")+COUNTIF($E183:J183,"¶")+COUNTIF($E183:J183,"²")+COUNTIF($E183:J183,"µ")+COUNTIF($E183:J183,1),ColDescriptionCourte))&gt;1,
HYPERLINK("#Roadmap!C"&amp; MATCH($E183,Roadmap!$D:$D,0)+COUNTIF($E183:J183,"u")+COUNTIF($E183:J183,"t")+COUNTIF($E183:J183,"¶")+COUNTIF($E183:J183,"²")+COUNTIF($E183:J183,"µ")+COUNTIF($E183:J183,1)-1,INDEX(Roadmap!$D:$K,MATCH($E183,Roadmap!$D:$D,0)-1+COUNTIF($E183:J183,"u")+COUNTIF($E183:J183,"t")+COUNTIF($E183:J183,"¶")+COUNTIF($E183:J183,"²")+COUNTIF($E183:J183,"µ")+COUNTIF($E183:J183,1),ColDescriptionCourte)),""),
  "")),"")</f>
        <v/>
      </c>
      <c r="L183" s="39" t="str">
        <f ca="1">IFERROR(IF(AND(
  INDEX(Roadmap!$D:$K,MATCH($E183,Roadmap!$D:$D,0)+COUNTIF($E183:K183,"u")+COUNTIF($E183:K183,"t")+COUNTIF($E183:K183,"¶")+COUNTIF($E183:K183,"²")+COUNTIF($E183:K183,"µ")+COUNTIF($E183:K183,1),ColLivraison)=L$6,
  VLOOKUP($E183,INDIRECT("tri!"&amp; CHAR(64+ C0Col) &amp;":"&amp; CHAR(65+C0Col)),2,FALSE)&gt;COUNTIF($E183:K183,"u")+COUNTIF($E183:K183,"t")+COUNTIF($E183:K183,"¶")+COUNTIF($E183:K183,"²")+COUNTIF($E183:K183,"µ")+COUNTIF($E183:K183,1)),
HYPERLINK("#Roadmap!C"&amp; MATCH($E183,Roadmap!$D:$D,0)+COUNTIF($E183:K183,"u")+COUNTIF($E183:K183,"t"),
     INDEX(Roadmap!$D:$K,MATCH($E183,Roadmap!$D:$D,0)+COUNTIF($E183:K183,"u")+COUNTIF($E183:K183,"t")+COUNTIF($E183:K183,"¶")+COUNTIF($E183:K183,"²")+COUNTIF($E183:K183,"µ")+COUNTIF($E183:K183,1),ColTypeEcheance)),
  IF(LEN(K183)=1,
  IF(LEN(INDEX(Roadmap!$D:$K,MATCH($E183,Roadmap!$D:$D,0)-1+COUNTIF($E183:K183,"u")+COUNTIF($E183:K183,"t")+COUNTIF($E183:K183,"¶")+COUNTIF($E183:K183,"²")+COUNTIF($E183:K183,"µ")+COUNTIF($E183:K183,1),ColDescriptionCourte))&gt;1,
HYPERLINK("#Roadmap!C"&amp; MATCH($E183,Roadmap!$D:$D,0)+COUNTIF($E183:K183,"u")+COUNTIF($E183:K183,"t")+COUNTIF($E183:K183,"¶")+COUNTIF($E183:K183,"²")+COUNTIF($E183:K183,"µ")+COUNTIF($E183:K183,1)-1,INDEX(Roadmap!$D:$K,MATCH($E183,Roadmap!$D:$D,0)-1+COUNTIF($E183:K183,"u")+COUNTIF($E183:K183,"t")+COUNTIF($E183:K183,"¶")+COUNTIF($E183:K183,"²")+COUNTIF($E183:K183,"µ")+COUNTIF($E183:K183,1),ColDescriptionCourte)),""),
  "")),"")</f>
        <v/>
      </c>
      <c r="M183" s="40" t="str">
        <f ca="1">IFERROR(IF(AND(
  INDEX(Roadmap!$D:$K,MATCH($E183,Roadmap!$D:$D,0)+COUNTIF($E183:L183,"u")+COUNTIF($E183:L183,"t")+COUNTIF($E183:L183,"¶")+COUNTIF($E183:L183,"²")+COUNTIF($E183:L183,"µ")+COUNTIF($E183:L183,1),ColLivraison)=M$6,
  VLOOKUP($E183,INDIRECT("tri!"&amp; CHAR(64+ C0Col) &amp;":"&amp; CHAR(65+C0Col)),2,FALSE)&gt;COUNTIF($E183:L183,"u")+COUNTIF($E183:L183,"t")+COUNTIF($E183:L183,"¶")+COUNTIF($E183:L183,"²")+COUNTIF($E183:L183,"µ")+COUNTIF($E183:L183,1)),
HYPERLINK("#Roadmap!C"&amp; MATCH($E183,Roadmap!$D:$D,0)+COUNTIF($E183:L183,"u")+COUNTIF($E183:L183,"t"),
     INDEX(Roadmap!$D:$K,MATCH($E183,Roadmap!$D:$D,0)+COUNTIF($E183:L183,"u")+COUNTIF($E183:L183,"t")+COUNTIF($E183:L183,"¶")+COUNTIF($E183:L183,"²")+COUNTIF($E183:L183,"µ")+COUNTIF($E183:L183,1),ColTypeEcheance)),
  IF(LEN(L183)=1,
  IF(LEN(INDEX(Roadmap!$D:$K,MATCH($E183,Roadmap!$D:$D,0)-1+COUNTIF($E183:L183,"u")+COUNTIF($E183:L183,"t")+COUNTIF($E183:L183,"¶")+COUNTIF($E183:L183,"²")+COUNTIF($E183:L183,"µ")+COUNTIF($E183:L183,1),ColDescriptionCourte))&gt;1,
HYPERLINK("#Roadmap!C"&amp; MATCH($E183,Roadmap!$D:$D,0)+COUNTIF($E183:L183,"u")+COUNTIF($E183:L183,"t")+COUNTIF($E183:L183,"¶")+COUNTIF($E183:L183,"²")+COUNTIF($E183:L183,"µ")+COUNTIF($E183:L183,1)-1,INDEX(Roadmap!$D:$K,MATCH($E183,Roadmap!$D:$D,0)-1+COUNTIF($E183:L183,"u")+COUNTIF($E183:L183,"t")+COUNTIF($E183:L183,"¶")+COUNTIF($E183:L183,"²")+COUNTIF($E183:L183,"µ")+COUNTIF($E183:L183,1),ColDescriptionCourte)),""),
  "")),"")</f>
        <v/>
      </c>
      <c r="N183" s="40" t="str">
        <f ca="1">IFERROR(IF(AND(
  INDEX(Roadmap!$D:$K,MATCH($E183,Roadmap!$D:$D,0)+COUNTIF($E183:M183,"u")+COUNTIF($E183:M183,"t")+COUNTIF($E183:M183,"¶")+COUNTIF($E183:M183,"²")+COUNTIF($E183:M183,"µ")+COUNTIF($E183:M183,1),ColLivraison)=N$6,
  VLOOKUP($E183,INDIRECT("tri!"&amp; CHAR(64+ C0Col) &amp;":"&amp; CHAR(65+C0Col)),2,FALSE)&gt;COUNTIF($E183:M183,"u")+COUNTIF($E183:M183,"t")+COUNTIF($E183:M183,"¶")+COUNTIF($E183:M183,"²")+COUNTIF($E183:M183,"µ")+COUNTIF($E183:M183,1)),
HYPERLINK("#Roadmap!C"&amp; MATCH($E183,Roadmap!$D:$D,0)+COUNTIF($E183:M183,"u")+COUNTIF($E183:M183,"t"),
     INDEX(Roadmap!$D:$K,MATCH($E183,Roadmap!$D:$D,0)+COUNTIF($E183:M183,"u")+COUNTIF($E183:M183,"t")+COUNTIF($E183:M183,"¶")+COUNTIF($E183:M183,"²")+COUNTIF($E183:M183,"µ")+COUNTIF($E183:M183,1),ColTypeEcheance)),
  IF(LEN(M183)=1,
  IF(LEN(INDEX(Roadmap!$D:$K,MATCH($E183,Roadmap!$D:$D,0)-1+COUNTIF($E183:M183,"u")+COUNTIF($E183:M183,"t")+COUNTIF($E183:M183,"¶")+COUNTIF($E183:M183,"²")+COUNTIF($E183:M183,"µ")+COUNTIF($E183:M183,1),ColDescriptionCourte))&gt;1,
HYPERLINK("#Roadmap!C"&amp; MATCH($E183,Roadmap!$D:$D,0)+COUNTIF($E183:M183,"u")+COUNTIF($E183:M183,"t")+COUNTIF($E183:M183,"¶")+COUNTIF($E183:M183,"²")+COUNTIF($E183:M183,"µ")+COUNTIF($E183:M183,1)-1,INDEX(Roadmap!$D:$K,MATCH($E183,Roadmap!$D:$D,0)-1+COUNTIF($E183:M183,"u")+COUNTIF($E183:M183,"t")+COUNTIF($E183:M183,"¶")+COUNTIF($E183:M183,"²")+COUNTIF($E183:M183,"µ")+COUNTIF($E183:M183,1),ColDescriptionCourte)),""),
  "")),"")</f>
        <v/>
      </c>
      <c r="O183" s="40" t="str">
        <f ca="1">IFERROR(IF(AND(
  INDEX(Roadmap!$D:$K,MATCH($E183,Roadmap!$D:$D,0)+COUNTIF($E183:N183,"u")+COUNTIF($E183:N183,"t")+COUNTIF($E183:N183,"¶")+COUNTIF($E183:N183,"²")+COUNTIF($E183:N183,"µ")+COUNTIF($E183:N183,1),ColLivraison)=O$6,
  VLOOKUP($E183,INDIRECT("tri!"&amp; CHAR(64+ C0Col) &amp;":"&amp; CHAR(65+C0Col)),2,FALSE)&gt;COUNTIF($E183:N183,"u")+COUNTIF($E183:N183,"t")+COUNTIF($E183:N183,"¶")+COUNTIF($E183:N183,"²")+COUNTIF($E183:N183,"µ")+COUNTIF($E183:N183,1)),
HYPERLINK("#Roadmap!C"&amp; MATCH($E183,Roadmap!$D:$D,0)+COUNTIF($E183:N183,"u")+COUNTIF($E183:N183,"t"),
     INDEX(Roadmap!$D:$K,MATCH($E183,Roadmap!$D:$D,0)+COUNTIF($E183:N183,"u")+COUNTIF($E183:N183,"t")+COUNTIF($E183:N183,"¶")+COUNTIF($E183:N183,"²")+COUNTIF($E183:N183,"µ")+COUNTIF($E183:N183,1),ColTypeEcheance)),
  IF(LEN(N183)=1,
  IF(LEN(INDEX(Roadmap!$D:$K,MATCH($E183,Roadmap!$D:$D,0)-1+COUNTIF($E183:N183,"u")+COUNTIF($E183:N183,"t")+COUNTIF($E183:N183,"¶")+COUNTIF($E183:N183,"²")+COUNTIF($E183:N183,"µ")+COUNTIF($E183:N183,1),ColDescriptionCourte))&gt;1,
HYPERLINK("#Roadmap!C"&amp; MATCH($E183,Roadmap!$D:$D,0)+COUNTIF($E183:N183,"u")+COUNTIF($E183:N183,"t")+COUNTIF($E183:N183,"¶")+COUNTIF($E183:N183,"²")+COUNTIF($E183:N183,"µ")+COUNTIF($E183:N183,1)-1,INDEX(Roadmap!$D:$K,MATCH($E183,Roadmap!$D:$D,0)-1+COUNTIF($E183:N183,"u")+COUNTIF($E183:N183,"t")+COUNTIF($E183:N183,"¶")+COUNTIF($E183:N183,"²")+COUNTIF($E183:N183,"µ")+COUNTIF($E183:N183,1),ColDescriptionCourte)),""),
  "")),"")</f>
        <v/>
      </c>
      <c r="P183" s="40" t="str">
        <f ca="1">IFERROR(IF(AND(
  INDEX(Roadmap!$D:$K,MATCH($E183,Roadmap!$D:$D,0)+COUNTIF($E183:O183,"u")+COUNTIF($E183:O183,"t")+COUNTIF($E183:O183,"¶")+COUNTIF($E183:O183,"²")+COUNTIF($E183:O183,"µ")+COUNTIF($E183:O183,1),ColLivraison)=P$6,
  VLOOKUP($E183,INDIRECT("tri!"&amp; CHAR(64+ C0Col) &amp;":"&amp; CHAR(65+C0Col)),2,FALSE)&gt;COUNTIF($E183:O183,"u")+COUNTIF($E183:O183,"t")+COUNTIF($E183:O183,"¶")+COUNTIF($E183:O183,"²")+COUNTIF($E183:O183,"µ")+COUNTIF($E183:O183,1)),
HYPERLINK("#Roadmap!C"&amp; MATCH($E183,Roadmap!$D:$D,0)+COUNTIF($E183:O183,"u")+COUNTIF($E183:O183,"t"),
     INDEX(Roadmap!$D:$K,MATCH($E183,Roadmap!$D:$D,0)+COUNTIF($E183:O183,"u")+COUNTIF($E183:O183,"t")+COUNTIF($E183:O183,"¶")+COUNTIF($E183:O183,"²")+COUNTIF($E183:O183,"µ")+COUNTIF($E183:O183,1),ColTypeEcheance)),
  IF(LEN(O183)=1,
  IF(LEN(INDEX(Roadmap!$D:$K,MATCH($E183,Roadmap!$D:$D,0)-1+COUNTIF($E183:O183,"u")+COUNTIF($E183:O183,"t")+COUNTIF($E183:O183,"¶")+COUNTIF($E183:O183,"²")+COUNTIF($E183:O183,"µ")+COUNTIF($E183:O183,1),ColDescriptionCourte))&gt;1,
HYPERLINK("#Roadmap!C"&amp; MATCH($E183,Roadmap!$D:$D,0)+COUNTIF($E183:O183,"u")+COUNTIF($E183:O183,"t")+COUNTIF($E183:O183,"¶")+COUNTIF($E183:O183,"²")+COUNTIF($E183:O183,"µ")+COUNTIF($E183:O183,1)-1,INDEX(Roadmap!$D:$K,MATCH($E183,Roadmap!$D:$D,0)-1+COUNTIF($E183:O183,"u")+COUNTIF($E183:O183,"t")+COUNTIF($E183:O183,"¶")+COUNTIF($E183:O183,"²")+COUNTIF($E183:O183,"µ")+COUNTIF($E183:O183,1),ColDescriptionCourte)),""),
  "")),"")</f>
        <v/>
      </c>
      <c r="Q183" s="40" t="str">
        <f ca="1">IFERROR(IF(AND(
  INDEX(Roadmap!$D:$K,MATCH($E183,Roadmap!$D:$D,0)+COUNTIF($E183:P183,"u")+COUNTIF($E183:P183,"t")+COUNTIF($E183:P183,"¶")+COUNTIF($E183:P183,"²")+COUNTIF($E183:P183,"µ")+COUNTIF($E183:P183,1),ColLivraison)=Q$6,
  VLOOKUP($E183,INDIRECT("tri!"&amp; CHAR(64+ C0Col) &amp;":"&amp; CHAR(65+C0Col)),2,FALSE)&gt;COUNTIF($E183:P183,"u")+COUNTIF($E183:P183,"t")+COUNTIF($E183:P183,"¶")+COUNTIF($E183:P183,"²")+COUNTIF($E183:P183,"µ")+COUNTIF($E183:P183,1)),
HYPERLINK("#Roadmap!C"&amp; MATCH($E183,Roadmap!$D:$D,0)+COUNTIF($E183:P183,"u")+COUNTIF($E183:P183,"t"),
     INDEX(Roadmap!$D:$K,MATCH($E183,Roadmap!$D:$D,0)+COUNTIF($E183:P183,"u")+COUNTIF($E183:P183,"t")+COUNTIF($E183:P183,"¶")+COUNTIF($E183:P183,"²")+COUNTIF($E183:P183,"µ")+COUNTIF($E183:P183,1),ColTypeEcheance)),
  IF(LEN(P183)=1,
  IF(LEN(INDEX(Roadmap!$D:$K,MATCH($E183,Roadmap!$D:$D,0)-1+COUNTIF($E183:P183,"u")+COUNTIF($E183:P183,"t")+COUNTIF($E183:P183,"¶")+COUNTIF($E183:P183,"²")+COUNTIF($E183:P183,"µ")+COUNTIF($E183:P183,1),ColDescriptionCourte))&gt;1,
HYPERLINK("#Roadmap!C"&amp; MATCH($E183,Roadmap!$D:$D,0)+COUNTIF($E183:P183,"u")+COUNTIF($E183:P183,"t")+COUNTIF($E183:P183,"¶")+COUNTIF($E183:P183,"²")+COUNTIF($E183:P183,"µ")+COUNTIF($E183:P183,1)-1,INDEX(Roadmap!$D:$K,MATCH($E183,Roadmap!$D:$D,0)-1+COUNTIF($E183:P183,"u")+COUNTIF($E183:P183,"t")+COUNTIF($E183:P183,"¶")+COUNTIF($E183:P183,"²")+COUNTIF($E183:P183,"µ")+COUNTIF($E183:P183,1),ColDescriptionCourte)),""),
  "")),"")</f>
        <v/>
      </c>
      <c r="R183" s="40" t="str">
        <f ca="1">IFERROR(IF(AND(
  INDEX(Roadmap!$D:$K,MATCH($E183,Roadmap!$D:$D,0)+COUNTIF($E183:Q183,"u")+COUNTIF($E183:Q183,"t")+COUNTIF($E183:Q183,"¶")+COUNTIF($E183:Q183,"²")+COUNTIF($E183:Q183,"µ")+COUNTIF($E183:Q183,1),ColLivraison)=R$6,
  VLOOKUP($E183,INDIRECT("tri!"&amp; CHAR(64+ C0Col) &amp;":"&amp; CHAR(65+C0Col)),2,FALSE)&gt;COUNTIF($E183:Q183,"u")+COUNTIF($E183:Q183,"t")+COUNTIF($E183:Q183,"¶")+COUNTIF($E183:Q183,"²")+COUNTIF($E183:Q183,"µ")+COUNTIF($E183:Q183,1)),
HYPERLINK("#Roadmap!C"&amp; MATCH($E183,Roadmap!$D:$D,0)+COUNTIF($E183:Q183,"u")+COUNTIF($E183:Q183,"t"),
     INDEX(Roadmap!$D:$K,MATCH($E183,Roadmap!$D:$D,0)+COUNTIF($E183:Q183,"u")+COUNTIF($E183:Q183,"t")+COUNTIF($E183:Q183,"¶")+COUNTIF($E183:Q183,"²")+COUNTIF($E183:Q183,"µ")+COUNTIF($E183:Q183,1),ColTypeEcheance)),
  IF(LEN(Q183)=1,
  IF(LEN(INDEX(Roadmap!$D:$K,MATCH($E183,Roadmap!$D:$D,0)-1+COUNTIF($E183:Q183,"u")+COUNTIF($E183:Q183,"t")+COUNTIF($E183:Q183,"¶")+COUNTIF($E183:Q183,"²")+COUNTIF($E183:Q183,"µ")+COUNTIF($E183:Q183,1),ColDescriptionCourte))&gt;1,
HYPERLINK("#Roadmap!C"&amp; MATCH($E183,Roadmap!$D:$D,0)+COUNTIF($E183:Q183,"u")+COUNTIF($E183:Q183,"t")+COUNTIF($E183:Q183,"¶")+COUNTIF($E183:Q183,"²")+COUNTIF($E183:Q183,"µ")+COUNTIF($E183:Q183,1)-1,INDEX(Roadmap!$D:$K,MATCH($E183,Roadmap!$D:$D,0)-1+COUNTIF($E183:Q183,"u")+COUNTIF($E183:Q183,"t")+COUNTIF($E183:Q183,"¶")+COUNTIF($E183:Q183,"²")+COUNTIF($E183:Q183,"µ")+COUNTIF($E183:Q183,1),ColDescriptionCourte)),""),
  "")),"")</f>
        <v/>
      </c>
      <c r="S183" s="40" t="str">
        <f ca="1">IFERROR(IF(AND(
  INDEX(Roadmap!$D:$K,MATCH($E183,Roadmap!$D:$D,0)+COUNTIF($E183:R183,"u")+COUNTIF($E183:R183,"t")+COUNTIF($E183:R183,"¶")+COUNTIF($E183:R183,"²")+COUNTIF($E183:R183,"µ")+COUNTIF($E183:R183,1),ColLivraison)=S$6,
  VLOOKUP($E183,INDIRECT("tri!"&amp; CHAR(64+ C0Col) &amp;":"&amp; CHAR(65+C0Col)),2,FALSE)&gt;COUNTIF($E183:R183,"u")+COUNTIF($E183:R183,"t")+COUNTIF($E183:R183,"¶")+COUNTIF($E183:R183,"²")+COUNTIF($E183:R183,"µ")+COUNTIF($E183:R183,1)),
HYPERLINK("#Roadmap!C"&amp; MATCH($E183,Roadmap!$D:$D,0)+COUNTIF($E183:R183,"u")+COUNTIF($E183:R183,"t"),
     INDEX(Roadmap!$D:$K,MATCH($E183,Roadmap!$D:$D,0)+COUNTIF($E183:R183,"u")+COUNTIF($E183:R183,"t")+COUNTIF($E183:R183,"¶")+COUNTIF($E183:R183,"²")+COUNTIF($E183:R183,"µ")+COUNTIF($E183:R183,1),ColTypeEcheance)),
  IF(LEN(R183)=1,
  IF(LEN(INDEX(Roadmap!$D:$K,MATCH($E183,Roadmap!$D:$D,0)-1+COUNTIF($E183:R183,"u")+COUNTIF($E183:R183,"t")+COUNTIF($E183:R183,"¶")+COUNTIF($E183:R183,"²")+COUNTIF($E183:R183,"µ")+COUNTIF($E183:R183,1),ColDescriptionCourte))&gt;1,
HYPERLINK("#Roadmap!C"&amp; MATCH($E183,Roadmap!$D:$D,0)+COUNTIF($E183:R183,"u")+COUNTIF($E183:R183,"t")+COUNTIF($E183:R183,"¶")+COUNTIF($E183:R183,"²")+COUNTIF($E183:R183,"µ")+COUNTIF($E183:R183,1)-1,INDEX(Roadmap!$D:$K,MATCH($E183,Roadmap!$D:$D,0)-1+COUNTIF($E183:R183,"u")+COUNTIF($E183:R183,"t")+COUNTIF($E183:R183,"¶")+COUNTIF($E183:R183,"²")+COUNTIF($E183:R183,"µ")+COUNTIF($E183:R183,1),ColDescriptionCourte)),""),
  "")),"")</f>
        <v/>
      </c>
      <c r="T183" s="40" t="str">
        <f ca="1">IFERROR(IF(AND(
  INDEX(Roadmap!$D:$K,MATCH($E183,Roadmap!$D:$D,0)+COUNTIF($E183:S183,"u")+COUNTIF($E183:S183,"t")+COUNTIF($E183:S183,"¶")+COUNTIF($E183:S183,"²")+COUNTIF($E183:S183,"µ")+COUNTIF($E183:S183,1),ColLivraison)=T$6,
  VLOOKUP($E183,INDIRECT("tri!"&amp; CHAR(64+ C0Col) &amp;":"&amp; CHAR(65+C0Col)),2,FALSE)&gt;COUNTIF($E183:S183,"u")+COUNTIF($E183:S183,"t")+COUNTIF($E183:S183,"¶")+COUNTIF($E183:S183,"²")+COUNTIF($E183:S183,"µ")+COUNTIF($E183:S183,1)),
HYPERLINK("#Roadmap!C"&amp; MATCH($E183,Roadmap!$D:$D,0)+COUNTIF($E183:S183,"u")+COUNTIF($E183:S183,"t"),
     INDEX(Roadmap!$D:$K,MATCH($E183,Roadmap!$D:$D,0)+COUNTIF($E183:S183,"u")+COUNTIF($E183:S183,"t")+COUNTIF($E183:S183,"¶")+COUNTIF($E183:S183,"²")+COUNTIF($E183:S183,"µ")+COUNTIF($E183:S183,1),ColTypeEcheance)),
  IF(LEN(S183)=1,
  IF(LEN(INDEX(Roadmap!$D:$K,MATCH($E183,Roadmap!$D:$D,0)-1+COUNTIF($E183:S183,"u")+COUNTIF($E183:S183,"t")+COUNTIF($E183:S183,"¶")+COUNTIF($E183:S183,"²")+COUNTIF($E183:S183,"µ")+COUNTIF($E183:S183,1),ColDescriptionCourte))&gt;1,
HYPERLINK("#Roadmap!C"&amp; MATCH($E183,Roadmap!$D:$D,0)+COUNTIF($E183:S183,"u")+COUNTIF($E183:S183,"t")+COUNTIF($E183:S183,"¶")+COUNTIF($E183:S183,"²")+COUNTIF($E183:S183,"µ")+COUNTIF($E183:S183,1)-1,INDEX(Roadmap!$D:$K,MATCH($E183,Roadmap!$D:$D,0)-1+COUNTIF($E183:S183,"u")+COUNTIF($E183:S183,"t")+COUNTIF($E183:S183,"¶")+COUNTIF($E183:S183,"²")+COUNTIF($E183:S183,"µ")+COUNTIF($E183:S183,1),ColDescriptionCourte)),""),
  "")),"")</f>
        <v/>
      </c>
      <c r="U183" s="40" t="str">
        <f ca="1">IFERROR(IF(AND(
  INDEX(Roadmap!$D:$K,MATCH($E183,Roadmap!$D:$D,0)+COUNTIF($E183:T183,"u")+COUNTIF($E183:T183,"t")+COUNTIF($E183:T183,"¶")+COUNTIF($E183:T183,"²")+COUNTIF($E183:T183,"µ")+COUNTIF($E183:T183,1),ColLivraison)=U$6,
  VLOOKUP($E183,INDIRECT("tri!"&amp; CHAR(64+ C0Col) &amp;":"&amp; CHAR(65+C0Col)),2,FALSE)&gt;COUNTIF($E183:T183,"u")+COUNTIF($E183:T183,"t")+COUNTIF($E183:T183,"¶")+COUNTIF($E183:T183,"²")+COUNTIF($E183:T183,"µ")+COUNTIF($E183:T183,1)),
HYPERLINK("#Roadmap!C"&amp; MATCH($E183,Roadmap!$D:$D,0)+COUNTIF($E183:T183,"u")+COUNTIF($E183:T183,"t"),
     INDEX(Roadmap!$D:$K,MATCH($E183,Roadmap!$D:$D,0)+COUNTIF($E183:T183,"u")+COUNTIF($E183:T183,"t")+COUNTIF($E183:T183,"¶")+COUNTIF($E183:T183,"²")+COUNTIF($E183:T183,"µ")+COUNTIF($E183:T183,1),ColTypeEcheance)),
  IF(LEN(T183)=1,
  IF(LEN(INDEX(Roadmap!$D:$K,MATCH($E183,Roadmap!$D:$D,0)-1+COUNTIF($E183:T183,"u")+COUNTIF($E183:T183,"t")+COUNTIF($E183:T183,"¶")+COUNTIF($E183:T183,"²")+COUNTIF($E183:T183,"µ")+COUNTIF($E183:T183,1),ColDescriptionCourte))&gt;1,
HYPERLINK("#Roadmap!C"&amp; MATCH($E183,Roadmap!$D:$D,0)+COUNTIF($E183:T183,"u")+COUNTIF($E183:T183,"t")+COUNTIF($E183:T183,"¶")+COUNTIF($E183:T183,"²")+COUNTIF($E183:T183,"µ")+COUNTIF($E183:T183,1)-1,INDEX(Roadmap!$D:$K,MATCH($E183,Roadmap!$D:$D,0)-1+COUNTIF($E183:T183,"u")+COUNTIF($E183:T183,"t")+COUNTIF($E183:T183,"¶")+COUNTIF($E183:T183,"²")+COUNTIF($E183:T183,"µ")+COUNTIF($E183:T183,1),ColDescriptionCourte)),""),
  "")),"")</f>
        <v/>
      </c>
      <c r="V183" s="40" t="str">
        <f ca="1">IFERROR(IF(AND(
  INDEX(Roadmap!$D:$K,MATCH($E183,Roadmap!$D:$D,0)+COUNTIF($E183:U183,"u")+COUNTIF($E183:U183,"t")+COUNTIF($E183:U183,"¶")+COUNTIF($E183:U183,"²")+COUNTIF($E183:U183,"µ")+COUNTIF($E183:U183,1),ColLivraison)=V$6,
  VLOOKUP($E183,INDIRECT("tri!"&amp; CHAR(64+ C0Col) &amp;":"&amp; CHAR(65+C0Col)),2,FALSE)&gt;COUNTIF($E183:U183,"u")+COUNTIF($E183:U183,"t")+COUNTIF($E183:U183,"¶")+COUNTIF($E183:U183,"²")+COUNTIF($E183:U183,"µ")+COUNTIF($E183:U183,1)),
HYPERLINK("#Roadmap!C"&amp; MATCH($E183,Roadmap!$D:$D,0)+COUNTIF($E183:U183,"u")+COUNTIF($E183:U183,"t"),
     INDEX(Roadmap!$D:$K,MATCH($E183,Roadmap!$D:$D,0)+COUNTIF($E183:U183,"u")+COUNTIF($E183:U183,"t")+COUNTIF($E183:U183,"¶")+COUNTIF($E183:U183,"²")+COUNTIF($E183:U183,"µ")+COUNTIF($E183:U183,1),ColTypeEcheance)),
  IF(LEN(U183)=1,
  IF(LEN(INDEX(Roadmap!$D:$K,MATCH($E183,Roadmap!$D:$D,0)-1+COUNTIF($E183:U183,"u")+COUNTIF($E183:U183,"t")+COUNTIF($E183:U183,"¶")+COUNTIF($E183:U183,"²")+COUNTIF($E183:U183,"µ")+COUNTIF($E183:U183,1),ColDescriptionCourte))&gt;1,
HYPERLINK("#Roadmap!C"&amp; MATCH($E183,Roadmap!$D:$D,0)+COUNTIF($E183:U183,"u")+COUNTIF($E183:U183,"t")+COUNTIF($E183:U183,"¶")+COUNTIF($E183:U183,"²")+COUNTIF($E183:U183,"µ")+COUNTIF($E183:U183,1)-1,INDEX(Roadmap!$D:$K,MATCH($E183,Roadmap!$D:$D,0)-1+COUNTIF($E183:U183,"u")+COUNTIF($E183:U183,"t")+COUNTIF($E183:U183,"¶")+COUNTIF($E183:U183,"²")+COUNTIF($E183:U183,"µ")+COUNTIF($E183:U183,1),ColDescriptionCourte)),""),
  "")),"")</f>
        <v/>
      </c>
      <c r="W183" s="40" t="str">
        <f ca="1">IFERROR(IF(AND(
  INDEX(Roadmap!$D:$K,MATCH($E183,Roadmap!$D:$D,0)+COUNTIF($E183:V183,"u")+COUNTIF($E183:V183,"t")+COUNTIF($E183:V183,"¶")+COUNTIF($E183:V183,"²")+COUNTIF($E183:V183,"µ")+COUNTIF($E183:V183,1),ColLivraison)=W$6,
  VLOOKUP($E183,INDIRECT("tri!"&amp; CHAR(64+ C0Col) &amp;":"&amp; CHAR(65+C0Col)),2,FALSE)&gt;COUNTIF($E183:V183,"u")+COUNTIF($E183:V183,"t")+COUNTIF($E183:V183,"¶")+COUNTIF($E183:V183,"²")+COUNTIF($E183:V183,"µ")+COUNTIF($E183:V183,1)),
HYPERLINK("#Roadmap!C"&amp; MATCH($E183,Roadmap!$D:$D,0)+COUNTIF($E183:V183,"u")+COUNTIF($E183:V183,"t"),
     INDEX(Roadmap!$D:$K,MATCH($E183,Roadmap!$D:$D,0)+COUNTIF($E183:V183,"u")+COUNTIF($E183:V183,"t")+COUNTIF($E183:V183,"¶")+COUNTIF($E183:V183,"²")+COUNTIF($E183:V183,"µ")+COUNTIF($E183:V183,1),ColTypeEcheance)),
  IF(LEN(V183)=1,
  IF(LEN(INDEX(Roadmap!$D:$K,MATCH($E183,Roadmap!$D:$D,0)-1+COUNTIF($E183:V183,"u")+COUNTIF($E183:V183,"t")+COUNTIF($E183:V183,"¶")+COUNTIF($E183:V183,"²")+COUNTIF($E183:V183,"µ")+COUNTIF($E183:V183,1),ColDescriptionCourte))&gt;1,
HYPERLINK("#Roadmap!C"&amp; MATCH($E183,Roadmap!$D:$D,0)+COUNTIF($E183:V183,"u")+COUNTIF($E183:V183,"t")+COUNTIF($E183:V183,"¶")+COUNTIF($E183:V183,"²")+COUNTIF($E183:V183,"µ")+COUNTIF($E183:V183,1)-1,INDEX(Roadmap!$D:$K,MATCH($E183,Roadmap!$D:$D,0)-1+COUNTIF($E183:V183,"u")+COUNTIF($E183:V183,"t")+COUNTIF($E183:V183,"¶")+COUNTIF($E183:V183,"²")+COUNTIF($E183:V183,"µ")+COUNTIF($E183:V183,1),ColDescriptionCourte)),""),
  "")),"")</f>
        <v/>
      </c>
      <c r="X183" s="40" t="str">
        <f ca="1">IFERROR(IF(AND(
  INDEX(Roadmap!$D:$K,MATCH($E183,Roadmap!$D:$D,0)+COUNTIF($E183:W183,"u")+COUNTIF($E183:W183,"t")+COUNTIF($E183:W183,"¶")+COUNTIF($E183:W183,"²")+COUNTIF($E183:W183,"µ")+COUNTIF($E183:W183,1),ColLivraison)=X$6,
  VLOOKUP($E183,INDIRECT("tri!"&amp; CHAR(64+ C0Col) &amp;":"&amp; CHAR(65+C0Col)),2,FALSE)&gt;COUNTIF($E183:W183,"u")+COUNTIF($E183:W183,"t")+COUNTIF($E183:W183,"¶")+COUNTIF($E183:W183,"²")+COUNTIF($E183:W183,"µ")+COUNTIF($E183:W183,1)),
HYPERLINK("#Roadmap!C"&amp; MATCH($E183,Roadmap!$D:$D,0)+COUNTIF($E183:W183,"u")+COUNTIF($E183:W183,"t"),
     INDEX(Roadmap!$D:$K,MATCH($E183,Roadmap!$D:$D,0)+COUNTIF($E183:W183,"u")+COUNTIF($E183:W183,"t")+COUNTIF($E183:W183,"¶")+COUNTIF($E183:W183,"²")+COUNTIF($E183:W183,"µ")+COUNTIF($E183:W183,1),ColTypeEcheance)),
  IF(LEN(W183)=1,
  IF(LEN(INDEX(Roadmap!$D:$K,MATCH($E183,Roadmap!$D:$D,0)-1+COUNTIF($E183:W183,"u")+COUNTIF($E183:W183,"t")+COUNTIF($E183:W183,"¶")+COUNTIF($E183:W183,"²")+COUNTIF($E183:W183,"µ")+COUNTIF($E183:W183,1),ColDescriptionCourte))&gt;1,
HYPERLINK("#Roadmap!C"&amp; MATCH($E183,Roadmap!$D:$D,0)+COUNTIF($E183:W183,"u")+COUNTIF($E183:W183,"t")+COUNTIF($E183:W183,"¶")+COUNTIF($E183:W183,"²")+COUNTIF($E183:W183,"µ")+COUNTIF($E183:W183,1)-1,INDEX(Roadmap!$D:$K,MATCH($E183,Roadmap!$D:$D,0)-1+COUNTIF($E183:W183,"u")+COUNTIF($E183:W183,"t")+COUNTIF($E183:W183,"¶")+COUNTIF($E183:W183,"²")+COUNTIF($E183:W183,"µ")+COUNTIF($E183:W183,1),ColDescriptionCourte)),""),
  "")),"")</f>
        <v/>
      </c>
      <c r="Y183" s="40" t="str">
        <f ca="1">IFERROR(IF(AND(
  INDEX(Roadmap!$D:$K,MATCH($E183,Roadmap!$D:$D,0)+COUNTIF($E183:X183,"u")+COUNTIF($E183:X183,"t")+COUNTIF($E183:X183,"¶")+COUNTIF($E183:X183,"²")+COUNTIF($E183:X183,"µ")+COUNTIF($E183:X183,1),ColLivraison)=Y$6,
  VLOOKUP($E183,INDIRECT("tri!"&amp; CHAR(64+ C0Col) &amp;":"&amp; CHAR(65+C0Col)),2,FALSE)&gt;COUNTIF($E183:X183,"u")+COUNTIF($E183:X183,"t")+COUNTIF($E183:X183,"¶")+COUNTIF($E183:X183,"²")+COUNTIF($E183:X183,"µ")+COUNTIF($E183:X183,1)),
HYPERLINK("#Roadmap!C"&amp; MATCH($E183,Roadmap!$D:$D,0)+COUNTIF($E183:X183,"u")+COUNTIF($E183:X183,"t"),
     INDEX(Roadmap!$D:$K,MATCH($E183,Roadmap!$D:$D,0)+COUNTIF($E183:X183,"u")+COUNTIF($E183:X183,"t")+COUNTIF($E183:X183,"¶")+COUNTIF($E183:X183,"²")+COUNTIF($E183:X183,"µ")+COUNTIF($E183:X183,1),ColTypeEcheance)),
  IF(LEN(X183)=1,
  IF(LEN(INDEX(Roadmap!$D:$K,MATCH($E183,Roadmap!$D:$D,0)-1+COUNTIF($E183:X183,"u")+COUNTIF($E183:X183,"t")+COUNTIF($E183:X183,"¶")+COUNTIF($E183:X183,"²")+COUNTIF($E183:X183,"µ")+COUNTIF($E183:X183,1),ColDescriptionCourte))&gt;1,
HYPERLINK("#Roadmap!C"&amp; MATCH($E183,Roadmap!$D:$D,0)+COUNTIF($E183:X183,"u")+COUNTIF($E183:X183,"t")+COUNTIF($E183:X183,"¶")+COUNTIF($E183:X183,"²")+COUNTIF($E183:X183,"µ")+COUNTIF($E183:X183,1)-1,INDEX(Roadmap!$D:$K,MATCH($E183,Roadmap!$D:$D,0)-1+COUNTIF($E183:X183,"u")+COUNTIF($E183:X183,"t")+COUNTIF($E183:X183,"¶")+COUNTIF($E183:X183,"²")+COUNTIF($E183:X183,"µ")+COUNTIF($E183:X183,1),ColDescriptionCourte)),""),
  "")),"")</f>
        <v/>
      </c>
      <c r="Z183" s="40" t="str">
        <f ca="1">IFERROR(IF(AND(
  INDEX(Roadmap!$D:$K,MATCH($E183,Roadmap!$D:$D,0)+COUNTIF($E183:Y183,"u")+COUNTIF($E183:Y183,"t")+COUNTIF($E183:Y183,"¶")+COUNTIF($E183:Y183,"²")+COUNTIF($E183:Y183,"µ")+COUNTIF($E183:Y183,1),ColLivraison)=Z$6,
  VLOOKUP($E183,INDIRECT("tri!"&amp; CHAR(64+ C0Col) &amp;":"&amp; CHAR(65+C0Col)),2,FALSE)&gt;COUNTIF($E183:Y183,"u")+COUNTIF($E183:Y183,"t")+COUNTIF($E183:Y183,"¶")+COUNTIF($E183:Y183,"²")+COUNTIF($E183:Y183,"µ")+COUNTIF($E183:Y183,1)),
HYPERLINK("#Roadmap!C"&amp; MATCH($E183,Roadmap!$D:$D,0)+COUNTIF($E183:Y183,"u")+COUNTIF($E183:Y183,"t"),
     INDEX(Roadmap!$D:$K,MATCH($E183,Roadmap!$D:$D,0)+COUNTIF($E183:Y183,"u")+COUNTIF($E183:Y183,"t")+COUNTIF($E183:Y183,"¶")+COUNTIF($E183:Y183,"²")+COUNTIF($E183:Y183,"µ")+COUNTIF($E183:Y183,1),ColTypeEcheance)),
  IF(LEN(Y183)=1,
  IF(LEN(INDEX(Roadmap!$D:$K,MATCH($E183,Roadmap!$D:$D,0)-1+COUNTIF($E183:Y183,"u")+COUNTIF($E183:Y183,"t")+COUNTIF($E183:Y183,"¶")+COUNTIF($E183:Y183,"²")+COUNTIF($E183:Y183,"µ")+COUNTIF($E183:Y183,1),ColDescriptionCourte))&gt;1,
HYPERLINK("#Roadmap!C"&amp; MATCH($E183,Roadmap!$D:$D,0)+COUNTIF($E183:Y183,"u")+COUNTIF($E183:Y183,"t")+COUNTIF($E183:Y183,"¶")+COUNTIF($E183:Y183,"²")+COUNTIF($E183:Y183,"µ")+COUNTIF($E183:Y183,1)-1,INDEX(Roadmap!$D:$K,MATCH($E183,Roadmap!$D:$D,0)-1+COUNTIF($E183:Y183,"u")+COUNTIF($E183:Y183,"t")+COUNTIF($E183:Y183,"¶")+COUNTIF($E183:Y183,"²")+COUNTIF($E183:Y183,"µ")+COUNTIF($E183:Y183,1),ColDescriptionCourte)),""),
  "")),"")</f>
        <v/>
      </c>
      <c r="AA183" s="40" t="str">
        <f ca="1">IFERROR(IF(AND(
  INDEX(Roadmap!$D:$K,MATCH($E183,Roadmap!$D:$D,0)+COUNTIF($E183:Z183,"u")+COUNTIF($E183:Z183,"t")+COUNTIF($E183:Z183,"¶")+COUNTIF($E183:Z183,"²")+COUNTIF($E183:Z183,"µ")+COUNTIF($E183:Z183,1),ColLivraison)=AA$6,
  VLOOKUP($E183,INDIRECT("tri!"&amp; CHAR(64+ C0Col) &amp;":"&amp; CHAR(65+C0Col)),2,FALSE)&gt;COUNTIF($E183:Z183,"u")+COUNTIF($E183:Z183,"t")+COUNTIF($E183:Z183,"¶")+COUNTIF($E183:Z183,"²")+COUNTIF($E183:Z183,"µ")+COUNTIF($E183:Z183,1)),
HYPERLINK("#Roadmap!C"&amp; MATCH($E183,Roadmap!$D:$D,0)+COUNTIF($E183:Z183,"u")+COUNTIF($E183:Z183,"t"),
     INDEX(Roadmap!$D:$K,MATCH($E183,Roadmap!$D:$D,0)+COUNTIF($E183:Z183,"u")+COUNTIF($E183:Z183,"t")+COUNTIF($E183:Z183,"¶")+COUNTIF($E183:Z183,"²")+COUNTIF($E183:Z183,"µ")+COUNTIF($E183:Z183,1),ColTypeEcheance)),
  IF(LEN(Z183)=1,
  IF(LEN(INDEX(Roadmap!$D:$K,MATCH($E183,Roadmap!$D:$D,0)-1+COUNTIF($E183:Z183,"u")+COUNTIF($E183:Z183,"t")+COUNTIF($E183:Z183,"¶")+COUNTIF($E183:Z183,"²")+COUNTIF($E183:Z183,"µ")+COUNTIF($E183:Z183,1),ColDescriptionCourte))&gt;1,
HYPERLINK("#Roadmap!C"&amp; MATCH($E183,Roadmap!$D:$D,0)+COUNTIF($E183:Z183,"u")+COUNTIF($E183:Z183,"t")+COUNTIF($E183:Z183,"¶")+COUNTIF($E183:Z183,"²")+COUNTIF($E183:Z183,"µ")+COUNTIF($E183:Z183,1)-1,INDEX(Roadmap!$D:$K,MATCH($E183,Roadmap!$D:$D,0)-1+COUNTIF($E183:Z183,"u")+COUNTIF($E183:Z183,"t")+COUNTIF($E183:Z183,"¶")+COUNTIF($E183:Z183,"²")+COUNTIF($E183:Z183,"µ")+COUNTIF($E183:Z183,1),ColDescriptionCourte)),""),
  "")),"")</f>
        <v/>
      </c>
      <c r="AB183" s="40" t="str">
        <f ca="1">IFERROR(IF(AND(
  INDEX(Roadmap!$D:$K,MATCH($E183,Roadmap!$D:$D,0)+COUNTIF($E183:AA183,"u")+COUNTIF($E183:AA183,"t")+COUNTIF($E183:AA183,"¶")+COUNTIF($E183:AA183,"²")+COUNTIF($E183:AA183,"µ")+COUNTIF($E183:AA183,1),ColLivraison)=AB$6,
  VLOOKUP($E183,INDIRECT("tri!"&amp; CHAR(64+ C0Col) &amp;":"&amp; CHAR(65+C0Col)),2,FALSE)&gt;COUNTIF($E183:AA183,"u")+COUNTIF($E183:AA183,"t")+COUNTIF($E183:AA183,"¶")+COUNTIF($E183:AA183,"²")+COUNTIF($E183:AA183,"µ")+COUNTIF($E183:AA183,1)),
HYPERLINK("#Roadmap!C"&amp; MATCH($E183,Roadmap!$D:$D,0)+COUNTIF($E183:AA183,"u")+COUNTIF($E183:AA183,"t"),
     INDEX(Roadmap!$D:$K,MATCH($E183,Roadmap!$D:$D,0)+COUNTIF($E183:AA183,"u")+COUNTIF($E183:AA183,"t")+COUNTIF($E183:AA183,"¶")+COUNTIF($E183:AA183,"²")+COUNTIF($E183:AA183,"µ")+COUNTIF($E183:AA183,1),ColTypeEcheance)),
  IF(LEN(AA183)=1,
  IF(LEN(INDEX(Roadmap!$D:$K,MATCH($E183,Roadmap!$D:$D,0)-1+COUNTIF($E183:AA183,"u")+COUNTIF($E183:AA183,"t")+COUNTIF($E183:AA183,"¶")+COUNTIF($E183:AA183,"²")+COUNTIF($E183:AA183,"µ")+COUNTIF($E183:AA183,1),ColDescriptionCourte))&gt;1,
HYPERLINK("#Roadmap!C"&amp; MATCH($E183,Roadmap!$D:$D,0)+COUNTIF($E183:AA183,"u")+COUNTIF($E183:AA183,"t")+COUNTIF($E183:AA183,"¶")+COUNTIF($E183:AA183,"²")+COUNTIF($E183:AA183,"µ")+COUNTIF($E183:AA183,1)-1,INDEX(Roadmap!$D:$K,MATCH($E183,Roadmap!$D:$D,0)-1+COUNTIF($E183:AA183,"u")+COUNTIF($E183:AA183,"t")+COUNTIF($E183:AA183,"¶")+COUNTIF($E183:AA183,"²")+COUNTIF($E183:AA183,"µ")+COUNTIF($E183:AA183,1),ColDescriptionCourte)),""),
  "")),"")</f>
        <v/>
      </c>
      <c r="AC183" s="40" t="str">
        <f ca="1">IFERROR(IF(AND(
  INDEX(Roadmap!$D:$K,MATCH($E183,Roadmap!$D:$D,0)+COUNTIF($E183:AB183,"u")+COUNTIF($E183:AB183,"t")+COUNTIF($E183:AB183,"¶")+COUNTIF($E183:AB183,"²")+COUNTIF($E183:AB183,"µ")+COUNTIF($E183:AB183,1),ColLivraison)=AC$6,
  VLOOKUP($E183,INDIRECT("tri!"&amp; CHAR(64+ C0Col) &amp;":"&amp; CHAR(65+C0Col)),2,FALSE)&gt;COUNTIF($E183:AB183,"u")+COUNTIF($E183:AB183,"t")+COUNTIF($E183:AB183,"¶")+COUNTIF($E183:AB183,"²")+COUNTIF($E183:AB183,"µ")+COUNTIF($E183:AB183,1)),
HYPERLINK("#Roadmap!C"&amp; MATCH($E183,Roadmap!$D:$D,0)+COUNTIF($E183:AB183,"u")+COUNTIF($E183:AB183,"t"),
     INDEX(Roadmap!$D:$K,MATCH($E183,Roadmap!$D:$D,0)+COUNTIF($E183:AB183,"u")+COUNTIF($E183:AB183,"t")+COUNTIF($E183:AB183,"¶")+COUNTIF($E183:AB183,"²")+COUNTIF($E183:AB183,"µ")+COUNTIF($E183:AB183,1),ColTypeEcheance)),
  IF(LEN(AB183)=1,
  IF(LEN(INDEX(Roadmap!$D:$K,MATCH($E183,Roadmap!$D:$D,0)-1+COUNTIF($E183:AB183,"u")+COUNTIF($E183:AB183,"t")+COUNTIF($E183:AB183,"¶")+COUNTIF($E183:AB183,"²")+COUNTIF($E183:AB183,"µ")+COUNTIF($E183:AB183,1),ColDescriptionCourte))&gt;1,
HYPERLINK("#Roadmap!C"&amp; MATCH($E183,Roadmap!$D:$D,0)+COUNTIF($E183:AB183,"u")+COUNTIF($E183:AB183,"t")+COUNTIF($E183:AB183,"¶")+COUNTIF($E183:AB183,"²")+COUNTIF($E183:AB183,"µ")+COUNTIF($E183:AB183,1)-1,INDEX(Roadmap!$D:$K,MATCH($E183,Roadmap!$D:$D,0)-1+COUNTIF($E183:AB183,"u")+COUNTIF($E183:AB183,"t")+COUNTIF($E183:AB183,"¶")+COUNTIF($E183:AB183,"²")+COUNTIF($E183:AB183,"µ")+COUNTIF($E183:AB183,1),ColDescriptionCourte)),""),
  "")),"")</f>
        <v/>
      </c>
      <c r="AD183" s="40" t="str">
        <f ca="1">IFERROR(IF(AND(
  INDEX(Roadmap!$D:$K,MATCH($E183,Roadmap!$D:$D,0)+COUNTIF($E183:AC183,"u")+COUNTIF($E183:AC183,"t")+COUNTIF($E183:AC183,"¶")+COUNTIF($E183:AC183,"²")+COUNTIF($E183:AC183,"µ")+COUNTIF($E183:AC183,1),ColLivraison)=AD$6,
  VLOOKUP($E183,INDIRECT("tri!"&amp; CHAR(64+ C0Col) &amp;":"&amp; CHAR(65+C0Col)),2,FALSE)&gt;COUNTIF($E183:AC183,"u")+COUNTIF($E183:AC183,"t")+COUNTIF($E183:AC183,"¶")+COUNTIF($E183:AC183,"²")+COUNTIF($E183:AC183,"µ")+COUNTIF($E183:AC183,1)),
HYPERLINK("#Roadmap!C"&amp; MATCH($E183,Roadmap!$D:$D,0)+COUNTIF($E183:AC183,"u")+COUNTIF($E183:AC183,"t"),
     INDEX(Roadmap!$D:$K,MATCH($E183,Roadmap!$D:$D,0)+COUNTIF($E183:AC183,"u")+COUNTIF($E183:AC183,"t")+COUNTIF($E183:AC183,"¶")+COUNTIF($E183:AC183,"²")+COUNTIF($E183:AC183,"µ")+COUNTIF($E183:AC183,1),ColTypeEcheance)),
  IF(LEN(AC183)=1,
  IF(LEN(INDEX(Roadmap!$D:$K,MATCH($E183,Roadmap!$D:$D,0)-1+COUNTIF($E183:AC183,"u")+COUNTIF($E183:AC183,"t")+COUNTIF($E183:AC183,"¶")+COUNTIF($E183:AC183,"²")+COUNTIF($E183:AC183,"µ")+COUNTIF($E183:AC183,1),ColDescriptionCourte))&gt;1,
HYPERLINK("#Roadmap!C"&amp; MATCH($E183,Roadmap!$D:$D,0)+COUNTIF($E183:AC183,"u")+COUNTIF($E183:AC183,"t")+COUNTIF($E183:AC183,"¶")+COUNTIF($E183:AC183,"²")+COUNTIF($E183:AC183,"µ")+COUNTIF($E183:AC183,1)-1,INDEX(Roadmap!$D:$K,MATCH($E183,Roadmap!$D:$D,0)-1+COUNTIF($E183:AC183,"u")+COUNTIF($E183:AC183,"t")+COUNTIF($E183:AC183,"¶")+COUNTIF($E183:AC183,"²")+COUNTIF($E183:AC183,"µ")+COUNTIF($E183:AC183,1),ColDescriptionCourte)),""),
  "")),"")</f>
        <v/>
      </c>
      <c r="AE183" s="40" t="str">
        <f ca="1">IFERROR(IF(AND(
  INDEX(Roadmap!$D:$K,MATCH($E183,Roadmap!$D:$D,0)+COUNTIF($E183:AD183,"u")+COUNTIF($E183:AD183,"t")+COUNTIF($E183:AD183,"¶")+COUNTIF($E183:AD183,"²")+COUNTIF($E183:AD183,"µ")+COUNTIF($E183:AD183,1),ColLivraison)=AE$6,
  VLOOKUP($E183,INDIRECT("tri!"&amp; CHAR(64+ C0Col) &amp;":"&amp; CHAR(65+C0Col)),2,FALSE)&gt;COUNTIF($E183:AD183,"u")+COUNTIF($E183:AD183,"t")+COUNTIF($E183:AD183,"¶")+COUNTIF($E183:AD183,"²")+COUNTIF($E183:AD183,"µ")+COUNTIF($E183:AD183,1)),
HYPERLINK("#Roadmap!C"&amp; MATCH($E183,Roadmap!$D:$D,0)+COUNTIF($E183:AD183,"u")+COUNTIF($E183:AD183,"t"),
     INDEX(Roadmap!$D:$K,MATCH($E183,Roadmap!$D:$D,0)+COUNTIF($E183:AD183,"u")+COUNTIF($E183:AD183,"t")+COUNTIF($E183:AD183,"¶")+COUNTIF($E183:AD183,"²")+COUNTIF($E183:AD183,"µ")+COUNTIF($E183:AD183,1),ColTypeEcheance)),
  IF(LEN(AD183)=1,
  IF(LEN(INDEX(Roadmap!$D:$K,MATCH($E183,Roadmap!$D:$D,0)-1+COUNTIF($E183:AD183,"u")+COUNTIF($E183:AD183,"t")+COUNTIF($E183:AD183,"¶")+COUNTIF($E183:AD183,"²")+COUNTIF($E183:AD183,"µ")+COUNTIF($E183:AD183,1),ColDescriptionCourte))&gt;1,
HYPERLINK("#Roadmap!C"&amp; MATCH($E183,Roadmap!$D:$D,0)+COUNTIF($E183:AD183,"u")+COUNTIF($E183:AD183,"t")+COUNTIF($E183:AD183,"¶")+COUNTIF($E183:AD183,"²")+COUNTIF($E183:AD183,"µ")+COUNTIF($E183:AD183,1)-1,INDEX(Roadmap!$D:$K,MATCH($E183,Roadmap!$D:$D,0)-1+COUNTIF($E183:AD183,"u")+COUNTIF($E183:AD183,"t")+COUNTIF($E183:AD183,"¶")+COUNTIF($E183:AD183,"²")+COUNTIF($E183:AD183,"µ")+COUNTIF($E183:AD183,1),ColDescriptionCourte)),""),
  "")),"")</f>
        <v/>
      </c>
      <c r="AF183" s="40" t="str">
        <f ca="1">IFERROR(IF(AND(
  INDEX(Roadmap!$D:$K,MATCH($E183,Roadmap!$D:$D,0)+COUNTIF($E183:AE183,"u")+COUNTIF($E183:AE183,"t")+COUNTIF($E183:AE183,"¶")+COUNTIF($E183:AE183,"²")+COUNTIF($E183:AE183,"µ")+COUNTIF($E183:AE183,1),ColLivraison)=AF$6,
  VLOOKUP($E183,INDIRECT("tri!"&amp; CHAR(64+ C0Col) &amp;":"&amp; CHAR(65+C0Col)),2,FALSE)&gt;COUNTIF($E183:AE183,"u")+COUNTIF($E183:AE183,"t")+COUNTIF($E183:AE183,"¶")+COUNTIF($E183:AE183,"²")+COUNTIF($E183:AE183,"µ")+COUNTIF($E183:AE183,1)),
HYPERLINK("#Roadmap!C"&amp; MATCH($E183,Roadmap!$D:$D,0)+COUNTIF($E183:AE183,"u")+COUNTIF($E183:AE183,"t"),
     INDEX(Roadmap!$D:$K,MATCH($E183,Roadmap!$D:$D,0)+COUNTIF($E183:AE183,"u")+COUNTIF($E183:AE183,"t")+COUNTIF($E183:AE183,"¶")+COUNTIF($E183:AE183,"²")+COUNTIF($E183:AE183,"µ")+COUNTIF($E183:AE183,1),ColTypeEcheance)),
  IF(LEN(AE183)=1,
  IF(LEN(INDEX(Roadmap!$D:$K,MATCH($E183,Roadmap!$D:$D,0)-1+COUNTIF($E183:AE183,"u")+COUNTIF($E183:AE183,"t")+COUNTIF($E183:AE183,"¶")+COUNTIF($E183:AE183,"²")+COUNTIF($E183:AE183,"µ")+COUNTIF($E183:AE183,1),ColDescriptionCourte))&gt;1,
HYPERLINK("#Roadmap!C"&amp; MATCH($E183,Roadmap!$D:$D,0)+COUNTIF($E183:AE183,"u")+COUNTIF($E183:AE183,"t")+COUNTIF($E183:AE183,"¶")+COUNTIF($E183:AE183,"²")+COUNTIF($E183:AE183,"µ")+COUNTIF($E183:AE183,1)-1,INDEX(Roadmap!$D:$K,MATCH($E183,Roadmap!$D:$D,0)-1+COUNTIF($E183:AE183,"u")+COUNTIF($E183:AE183,"t")+COUNTIF($E183:AE183,"¶")+COUNTIF($E183:AE183,"²")+COUNTIF($E183:AE183,"µ")+COUNTIF($E183:AE183,1),ColDescriptionCourte)),""),
  "")),"")</f>
        <v/>
      </c>
      <c r="AG183" s="40" t="str">
        <f ca="1">IFERROR(IF(AND(
  INDEX(Roadmap!$D:$K,MATCH($E183,Roadmap!$D:$D,0)+COUNTIF($E183:AF183,"u")+COUNTIF($E183:AF183,"t")+COUNTIF($E183:AF183,"¶")+COUNTIF($E183:AF183,"²")+COUNTIF($E183:AF183,"µ")+COUNTIF($E183:AF183,1),ColLivraison)=AG$6,
  VLOOKUP($E183,INDIRECT("tri!"&amp; CHAR(64+ C0Col) &amp;":"&amp; CHAR(65+C0Col)),2,FALSE)&gt;COUNTIF($E183:AF183,"u")+COUNTIF($E183:AF183,"t")+COUNTIF($E183:AF183,"¶")+COUNTIF($E183:AF183,"²")+COUNTIF($E183:AF183,"µ")+COUNTIF($E183:AF183,1)),
HYPERLINK("#Roadmap!C"&amp; MATCH($E183,Roadmap!$D:$D,0)+COUNTIF($E183:AF183,"u")+COUNTIF($E183:AF183,"t"),
     INDEX(Roadmap!$D:$K,MATCH($E183,Roadmap!$D:$D,0)+COUNTIF($E183:AF183,"u")+COUNTIF($E183:AF183,"t")+COUNTIF($E183:AF183,"¶")+COUNTIF($E183:AF183,"²")+COUNTIF($E183:AF183,"µ")+COUNTIF($E183:AF183,1),ColTypeEcheance)),
  IF(LEN(AF183)=1,
  IF(LEN(INDEX(Roadmap!$D:$K,MATCH($E183,Roadmap!$D:$D,0)-1+COUNTIF($E183:AF183,"u")+COUNTIF($E183:AF183,"t")+COUNTIF($E183:AF183,"¶")+COUNTIF($E183:AF183,"²")+COUNTIF($E183:AF183,"µ")+COUNTIF($E183:AF183,1),ColDescriptionCourte))&gt;1,
HYPERLINK("#Roadmap!C"&amp; MATCH($E183,Roadmap!$D:$D,0)+COUNTIF($E183:AF183,"u")+COUNTIF($E183:AF183,"t")+COUNTIF($E183:AF183,"¶")+COUNTIF($E183:AF183,"²")+COUNTIF($E183:AF183,"µ")+COUNTIF($E183:AF183,1)-1,INDEX(Roadmap!$D:$K,MATCH($E183,Roadmap!$D:$D,0)-1+COUNTIF($E183:AF183,"u")+COUNTIF($E183:AF183,"t")+COUNTIF($E183:AF183,"¶")+COUNTIF($E183:AF183,"²")+COUNTIF($E183:AF183,"µ")+COUNTIF($E183:AF183,1),ColDescriptionCourte)),""),
  "")),"")</f>
        <v/>
      </c>
      <c r="AH183" s="40" t="str">
        <f ca="1">IFERROR(IF(AND(
  INDEX(Roadmap!$D:$K,MATCH($E183,Roadmap!$D:$D,0)+COUNTIF($E183:AG183,"u")+COUNTIF($E183:AG183,"t")+COUNTIF($E183:AG183,1),ColLivraison)=AH$6,
  VLOOKUP($E183,INDIRECT("tri!"&amp; CHAR(64+ C0Col) &amp;":"&amp; CHAR(65+C0Col)),2,FALSE)&gt;COUNTIF($E183:AG183,"u")+COUNTIF($E183:AG183,"t")+COUNTIF($E183:AG183,1)),
HYPERLINK("#Roadmap!C"&amp; MATCH($E183,Roadmap!$D:$D,0)+COUNTIF($E183:AG183,"u")+COUNTIF($E183:AG183,"t"),
     INDEX(Roadmap!$D:$K,MATCH($E183,Roadmap!$D:$D,0)+COUNTIF($E183:AG183,"u")+COUNTIF($E183:AG183,"t")+COUNTIF($E183:AG183,1),ColTypeEcheance)),
  IF(OR(AG183="u",AG183="t",AG183=1),
  IF(LEN(INDEX(Roadmap!$D:$K,MATCH($E183,Roadmap!$D:$D,0)-1+COUNTIF($E183:AG183,"u")+COUNTIF($E183:AG183,"t")+COUNTIF($E183:AG183,1),ColDescriptionCourte))&gt;1,
HYPERLINK("#Roadmap!C"&amp; MATCH($E183,Roadmap!$D:$D,0)+COUNTIF($E183:AG183,"u")+COUNTIF($E183:AG183,"t")+COUNTIF($E183:AG183,1)-1,INDEX(Roadmap!$D:$K,MATCH($E183,Roadmap!$D:$D,0)-1+COUNTIF($E183:AG183,"u")+COUNTIF($E183:AG183,"t")+COUNTIF($E183:AG183,1),ColDescriptionCourte)),""),
  "")),"")</f>
        <v/>
      </c>
      <c r="AI183" s="40"/>
      <c r="AJ183" s="40"/>
      <c r="AK183" s="40"/>
      <c r="AL183" s="40"/>
      <c r="AM183" s="40"/>
    </row>
    <row r="184" spans="4:39" ht="14.1" customHeight="1">
      <c r="D184" s="20" t="str">
        <f t="shared" ca="1" si="31"/>
        <v/>
      </c>
      <c r="E184" s="53" t="str">
        <f t="shared" ca="1" si="32"/>
        <v/>
      </c>
      <c r="F184" s="39" t="str">
        <f ca="1">IFERROR(IF(AND(
  INDEX(Roadmap!$D:$K,MATCH($E184,Roadmap!$D:$D,0)+COUNTIF($E184:E184,"u")+COUNTIF($E184:E184,"t")+COUNTIF($E184:E184,"¶")+COUNTIF($E184:E184,"²")+COUNTIF($E184:E184,"µ")+COUNTIF($E184:E184,1),ColLivraison)=F$6,
  VLOOKUP($E184,INDIRECT("tri!"&amp; CHAR(64+ C0Col) &amp;":"&amp; CHAR(65+C0Col)),2,FALSE)&gt;COUNTIF($E184:E184,"u")+COUNTIF($E184:E184,"t")+COUNTIF($E184:E184,"¶")+COUNTIF($E184:E184,"²")+COUNTIF($E184:E184,"µ")+COUNTIF($E184:E184,1)),
HYPERLINK("#Roadmap!C"&amp; MATCH($E184,Roadmap!$D:$D,0)+COUNTIF($E184:E184,"u")+COUNTIF($E184:E184,"t"),
     INDEX(Roadmap!$D:$K,MATCH($E184,Roadmap!$D:$D,0)+COUNTIF($E184:E184,"u")+COUNTIF($E184:E184,"t")+COUNTIF($E184:E184,"¶")+COUNTIF($E184:E184,"²")+COUNTIF($E184:E184,"µ")+COUNTIF($E184:E184,1),ColTypeEcheance)),
  IF(LEN(E184)=1,
  IF(LEN(INDEX(Roadmap!$D:$K,MATCH($E184,Roadmap!$D:$D,0)-1+COUNTIF($E184:E184,"u")+COUNTIF($E184:E184,"t")+COUNTIF($E184:E184,"¶")+COUNTIF($E184:E184,"²")+COUNTIF($E184:E184,"µ")+COUNTIF($E184:E184,1),ColDescriptionCourte))&gt;1,
HYPERLINK("#Roadmap!C"&amp; MATCH($E184,Roadmap!$D:$D,0)+COUNTIF($E184:E184,"u")+COUNTIF($E184:E184,"t")+COUNTIF($E184:E184,"¶")+COUNTIF($E184:E184,"²")+COUNTIF($E184:E184,"µ")+COUNTIF($E184:E184,1)-1,INDEX(Roadmap!$D:$K,MATCH($E184,Roadmap!$D:$D,0)-1+COUNTIF($E184:E184,"u")+COUNTIF($E184:E184,"t")+COUNTIF($E184:E184,"¶")+COUNTIF($E184:E184,"²")+COUNTIF($E184:E184,"µ")+COUNTIF($E184:E184,1),ColDescriptionCourte)),""),
  "")),"")</f>
        <v/>
      </c>
      <c r="G184" s="40" t="str">
        <f ca="1">IFERROR(IF(AND(
  INDEX(Roadmap!$D:$K,MATCH($E184,Roadmap!$D:$D,0)+COUNTIF($E184:F184,"u")+COUNTIF($E184:F184,"t")+COUNTIF($E184:F184,"¶")+COUNTIF($E184:F184,"²")+COUNTIF($E184:F184,"µ")+COUNTIF($E184:F184,1),ColLivraison)=G$6,
  VLOOKUP($E184,INDIRECT("tri!"&amp; CHAR(64+ C0Col) &amp;":"&amp; CHAR(65+C0Col)),2,FALSE)&gt;COUNTIF($E184:F184,"u")+COUNTIF($E184:F184,"t")+COUNTIF($E184:F184,"¶")+COUNTIF($E184:F184,"²")+COUNTIF($E184:F184,"µ")+COUNTIF($E184:F184,1)),
HYPERLINK("#Roadmap!C"&amp; MATCH($E184,Roadmap!$D:$D,0)+COUNTIF($E184:F184,"u")+COUNTIF($E184:F184,"t"),
     INDEX(Roadmap!$D:$K,MATCH($E184,Roadmap!$D:$D,0)+COUNTIF($E184:F184,"u")+COUNTIF($E184:F184,"t")+COUNTIF($E184:F184,"¶")+COUNTIF($E184:F184,"²")+COUNTIF($E184:F184,"µ")+COUNTIF($E184:F184,1),ColTypeEcheance)),
  IF(LEN(F184)=1,
  IF(LEN(INDEX(Roadmap!$D:$K,MATCH($E184,Roadmap!$D:$D,0)-1+COUNTIF($E184:F184,"u")+COUNTIF($E184:F184,"t")+COUNTIF($E184:F184,"¶")+COUNTIF($E184:F184,"²")+COUNTIF($E184:F184,"µ")+COUNTIF($E184:F184,1),ColDescriptionCourte))&gt;1,
HYPERLINK("#Roadmap!C"&amp; MATCH($E184,Roadmap!$D:$D,0)+COUNTIF($E184:F184,"u")+COUNTIF($E184:F184,"t")+COUNTIF($E184:F184,"¶")+COUNTIF($E184:F184,"²")+COUNTIF($E184:F184,"µ")+COUNTIF($E184:F184,1)-1,INDEX(Roadmap!$D:$K,MATCH($E184,Roadmap!$D:$D,0)-1+COUNTIF($E184:F184,"u")+COUNTIF($E184:F184,"t")+COUNTIF($E184:F184,"¶")+COUNTIF($E184:F184,"²")+COUNTIF($E184:F184,"µ")+COUNTIF($E184:F184,1),ColDescriptionCourte)),""),
  "")),"")</f>
        <v/>
      </c>
      <c r="H184" s="40" t="str">
        <f ca="1">IFERROR(IF(AND(
  INDEX(Roadmap!$D:$K,MATCH($E184,Roadmap!$D:$D,0)+COUNTIF($E184:G184,"u")+COUNTIF($E184:G184,"t")+COUNTIF($E184:G184,"¶")+COUNTIF($E184:G184,"²")+COUNTIF($E184:G184,"µ")+COUNTIF($E184:G184,1),ColLivraison)=H$6,
  VLOOKUP($E184,INDIRECT("tri!"&amp; CHAR(64+ C0Col) &amp;":"&amp; CHAR(65+C0Col)),2,FALSE)&gt;COUNTIF($E184:G184,"u")+COUNTIF($E184:G184,"t")+COUNTIF($E184:G184,"¶")+COUNTIF($E184:G184,"²")+COUNTIF($E184:G184,"µ")+COUNTIF($E184:G184,1)),
HYPERLINK("#Roadmap!C"&amp; MATCH($E184,Roadmap!$D:$D,0)+COUNTIF($E184:G184,"u")+COUNTIF($E184:G184,"t"),
     INDEX(Roadmap!$D:$K,MATCH($E184,Roadmap!$D:$D,0)+COUNTIF($E184:G184,"u")+COUNTIF($E184:G184,"t")+COUNTIF($E184:G184,"¶")+COUNTIF($E184:G184,"²")+COUNTIF($E184:G184,"µ")+COUNTIF($E184:G184,1),ColTypeEcheance)),
  IF(LEN(G184)=1,
  IF(LEN(INDEX(Roadmap!$D:$K,MATCH($E184,Roadmap!$D:$D,0)-1+COUNTIF($E184:G184,"u")+COUNTIF($E184:G184,"t")+COUNTIF($E184:G184,"¶")+COUNTIF($E184:G184,"²")+COUNTIF($E184:G184,"µ")+COUNTIF($E184:G184,1),ColDescriptionCourte))&gt;1,
HYPERLINK("#Roadmap!C"&amp; MATCH($E184,Roadmap!$D:$D,0)+COUNTIF($E184:G184,"u")+COUNTIF($E184:G184,"t")+COUNTIF($E184:G184,"¶")+COUNTIF($E184:G184,"²")+COUNTIF($E184:G184,"µ")+COUNTIF($E184:G184,1)-1,INDEX(Roadmap!$D:$K,MATCH($E184,Roadmap!$D:$D,0)-1+COUNTIF($E184:G184,"u")+COUNTIF($E184:G184,"t")+COUNTIF($E184:G184,"¶")+COUNTIF($E184:G184,"²")+COUNTIF($E184:G184,"µ")+COUNTIF($E184:G184,1),ColDescriptionCourte)),""),
  "")),"")</f>
        <v/>
      </c>
      <c r="I184" s="40" t="str">
        <f ca="1">IFERROR(IF(AND(
  INDEX(Roadmap!$D:$K,MATCH($E184,Roadmap!$D:$D,0)+COUNTIF($E184:H184,"u")+COUNTIF($E184:H184,"t")+COUNTIF($E184:H184,"¶")+COUNTIF($E184:H184,"²")+COUNTIF($E184:H184,"µ")+COUNTIF($E184:H184,1),ColLivraison)=I$6,
  VLOOKUP($E184,INDIRECT("tri!"&amp; CHAR(64+ C0Col) &amp;":"&amp; CHAR(65+C0Col)),2,FALSE)&gt;COUNTIF($E184:H184,"u")+COUNTIF($E184:H184,"t")+COUNTIF($E184:H184,"¶")+COUNTIF($E184:H184,"²")+COUNTIF($E184:H184,"µ")+COUNTIF($E184:H184,1)),
HYPERLINK("#Roadmap!C"&amp; MATCH($E184,Roadmap!$D:$D,0)+COUNTIF($E184:H184,"u")+COUNTIF($E184:H184,"t"),
     INDEX(Roadmap!$D:$K,MATCH($E184,Roadmap!$D:$D,0)+COUNTIF($E184:H184,"u")+COUNTIF($E184:H184,"t")+COUNTIF($E184:H184,"¶")+COUNTIF($E184:H184,"²")+COUNTIF($E184:H184,"µ")+COUNTIF($E184:H184,1),ColTypeEcheance)),
  IF(LEN(H184)=1,
  IF(LEN(INDEX(Roadmap!$D:$K,MATCH($E184,Roadmap!$D:$D,0)-1+COUNTIF($E184:H184,"u")+COUNTIF($E184:H184,"t")+COUNTIF($E184:H184,"¶")+COUNTIF($E184:H184,"²")+COUNTIF($E184:H184,"µ")+COUNTIF($E184:H184,1),ColDescriptionCourte))&gt;1,
HYPERLINK("#Roadmap!C"&amp; MATCH($E184,Roadmap!$D:$D,0)+COUNTIF($E184:H184,"u")+COUNTIF($E184:H184,"t")+COUNTIF($E184:H184,"¶")+COUNTIF($E184:H184,"²")+COUNTIF($E184:H184,"µ")+COUNTIF($E184:H184,1)-1,INDEX(Roadmap!$D:$K,MATCH($E184,Roadmap!$D:$D,0)-1+COUNTIF($E184:H184,"u")+COUNTIF($E184:H184,"t")+COUNTIF($E184:H184,"¶")+COUNTIF($E184:H184,"²")+COUNTIF($E184:H184,"µ")+COUNTIF($E184:H184,1),ColDescriptionCourte)),""),
  "")),"")</f>
        <v/>
      </c>
      <c r="J184" s="40" t="str">
        <f ca="1">IFERROR(IF(AND(
  INDEX(Roadmap!$D:$K,MATCH($E184,Roadmap!$D:$D,0)+COUNTIF($E184:I184,"u")+COUNTIF($E184:I184,"t")+COUNTIF($E184:I184,"¶")+COUNTIF($E184:I184,"²")+COUNTIF($E184:I184,"µ")+COUNTIF($E184:I184,1),ColLivraison)=J$6,
  VLOOKUP($E184,INDIRECT("tri!"&amp; CHAR(64+ C0Col) &amp;":"&amp; CHAR(65+C0Col)),2,FALSE)&gt;COUNTIF($E184:I184,"u")+COUNTIF($E184:I184,"t")+COUNTIF($E184:I184,"¶")+COUNTIF($E184:I184,"²")+COUNTIF($E184:I184,"µ")+COUNTIF($E184:I184,1)),
HYPERLINK("#Roadmap!C"&amp; MATCH($E184,Roadmap!$D:$D,0)+COUNTIF($E184:I184,"u")+COUNTIF($E184:I184,"t"),
     INDEX(Roadmap!$D:$K,MATCH($E184,Roadmap!$D:$D,0)+COUNTIF($E184:I184,"u")+COUNTIF($E184:I184,"t")+COUNTIF($E184:I184,"¶")+COUNTIF($E184:I184,"²")+COUNTIF($E184:I184,"µ")+COUNTIF($E184:I184,1),ColTypeEcheance)),
  IF(LEN(I184)=1,
  IF(LEN(INDEX(Roadmap!$D:$K,MATCH($E184,Roadmap!$D:$D,0)-1+COUNTIF($E184:I184,"u")+COUNTIF($E184:I184,"t")+COUNTIF($E184:I184,"¶")+COUNTIF($E184:I184,"²")+COUNTIF($E184:I184,"µ")+COUNTIF($E184:I184,1),ColDescriptionCourte))&gt;1,
HYPERLINK("#Roadmap!C"&amp; MATCH($E184,Roadmap!$D:$D,0)+COUNTIF($E184:I184,"u")+COUNTIF($E184:I184,"t")+COUNTIF($E184:I184,"¶")+COUNTIF($E184:I184,"²")+COUNTIF($E184:I184,"µ")+COUNTIF($E184:I184,1)-1,INDEX(Roadmap!$D:$K,MATCH($E184,Roadmap!$D:$D,0)-1+COUNTIF($E184:I184,"u")+COUNTIF($E184:I184,"t")+COUNTIF($E184:I184,"¶")+COUNTIF($E184:I184,"²")+COUNTIF($E184:I184,"µ")+COUNTIF($E184:I184,1),ColDescriptionCourte)),""),
  "")),"")</f>
        <v/>
      </c>
      <c r="K184" s="40" t="str">
        <f ca="1">IFERROR(IF(AND(
  INDEX(Roadmap!$D:$K,MATCH($E184,Roadmap!$D:$D,0)+COUNTIF($E184:J184,"u")+COUNTIF($E184:J184,"t")+COUNTIF($E184:J184,"¶")+COUNTIF($E184:J184,"²")+COUNTIF($E184:J184,"µ")+COUNTIF($E184:J184,1),ColLivraison)=K$6,
  VLOOKUP($E184,INDIRECT("tri!"&amp; CHAR(64+ C0Col) &amp;":"&amp; CHAR(65+C0Col)),2,FALSE)&gt;COUNTIF($E184:J184,"u")+COUNTIF($E184:J184,"t")+COUNTIF($E184:J184,"¶")+COUNTIF($E184:J184,"²")+COUNTIF($E184:J184,"µ")+COUNTIF($E184:J184,1)),
HYPERLINK("#Roadmap!C"&amp; MATCH($E184,Roadmap!$D:$D,0)+COUNTIF($E184:J184,"u")+COUNTIF($E184:J184,"t"),
     INDEX(Roadmap!$D:$K,MATCH($E184,Roadmap!$D:$D,0)+COUNTIF($E184:J184,"u")+COUNTIF($E184:J184,"t")+COUNTIF($E184:J184,"¶")+COUNTIF($E184:J184,"²")+COUNTIF($E184:J184,"µ")+COUNTIF($E184:J184,1),ColTypeEcheance)),
  IF(LEN(J184)=1,
  IF(LEN(INDEX(Roadmap!$D:$K,MATCH($E184,Roadmap!$D:$D,0)-1+COUNTIF($E184:J184,"u")+COUNTIF($E184:J184,"t")+COUNTIF($E184:J184,"¶")+COUNTIF($E184:J184,"²")+COUNTIF($E184:J184,"µ")+COUNTIF($E184:J184,1),ColDescriptionCourte))&gt;1,
HYPERLINK("#Roadmap!C"&amp; MATCH($E184,Roadmap!$D:$D,0)+COUNTIF($E184:J184,"u")+COUNTIF($E184:J184,"t")+COUNTIF($E184:J184,"¶")+COUNTIF($E184:J184,"²")+COUNTIF($E184:J184,"µ")+COUNTIF($E184:J184,1)-1,INDEX(Roadmap!$D:$K,MATCH($E184,Roadmap!$D:$D,0)-1+COUNTIF($E184:J184,"u")+COUNTIF($E184:J184,"t")+COUNTIF($E184:J184,"¶")+COUNTIF($E184:J184,"²")+COUNTIF($E184:J184,"µ")+COUNTIF($E184:J184,1),ColDescriptionCourte)),""),
  "")),"")</f>
        <v/>
      </c>
      <c r="L184" s="39" t="str">
        <f ca="1">IFERROR(IF(AND(
  INDEX(Roadmap!$D:$K,MATCH($E184,Roadmap!$D:$D,0)+COUNTIF($E184:K184,"u")+COUNTIF($E184:K184,"t")+COUNTIF($E184:K184,"¶")+COUNTIF($E184:K184,"²")+COUNTIF($E184:K184,"µ")+COUNTIF($E184:K184,1),ColLivraison)=L$6,
  VLOOKUP($E184,INDIRECT("tri!"&amp; CHAR(64+ C0Col) &amp;":"&amp; CHAR(65+C0Col)),2,FALSE)&gt;COUNTIF($E184:K184,"u")+COUNTIF($E184:K184,"t")+COUNTIF($E184:K184,"¶")+COUNTIF($E184:K184,"²")+COUNTIF($E184:K184,"µ")+COUNTIF($E184:K184,1)),
HYPERLINK("#Roadmap!C"&amp; MATCH($E184,Roadmap!$D:$D,0)+COUNTIF($E184:K184,"u")+COUNTIF($E184:K184,"t"),
     INDEX(Roadmap!$D:$K,MATCH($E184,Roadmap!$D:$D,0)+COUNTIF($E184:K184,"u")+COUNTIF($E184:K184,"t")+COUNTIF($E184:K184,"¶")+COUNTIF($E184:K184,"²")+COUNTIF($E184:K184,"µ")+COUNTIF($E184:K184,1),ColTypeEcheance)),
  IF(LEN(K184)=1,
  IF(LEN(INDEX(Roadmap!$D:$K,MATCH($E184,Roadmap!$D:$D,0)-1+COUNTIF($E184:K184,"u")+COUNTIF($E184:K184,"t")+COUNTIF($E184:K184,"¶")+COUNTIF($E184:K184,"²")+COUNTIF($E184:K184,"µ")+COUNTIF($E184:K184,1),ColDescriptionCourte))&gt;1,
HYPERLINK("#Roadmap!C"&amp; MATCH($E184,Roadmap!$D:$D,0)+COUNTIF($E184:K184,"u")+COUNTIF($E184:K184,"t")+COUNTIF($E184:K184,"¶")+COUNTIF($E184:K184,"²")+COUNTIF($E184:K184,"µ")+COUNTIF($E184:K184,1)-1,INDEX(Roadmap!$D:$K,MATCH($E184,Roadmap!$D:$D,0)-1+COUNTIF($E184:K184,"u")+COUNTIF($E184:K184,"t")+COUNTIF($E184:K184,"¶")+COUNTIF($E184:K184,"²")+COUNTIF($E184:K184,"µ")+COUNTIF($E184:K184,1),ColDescriptionCourte)),""),
  "")),"")</f>
        <v/>
      </c>
      <c r="M184" s="40" t="str">
        <f ca="1">IFERROR(IF(AND(
  INDEX(Roadmap!$D:$K,MATCH($E184,Roadmap!$D:$D,0)+COUNTIF($E184:L184,"u")+COUNTIF($E184:L184,"t")+COUNTIF($E184:L184,"¶")+COUNTIF($E184:L184,"²")+COUNTIF($E184:L184,"µ")+COUNTIF($E184:L184,1),ColLivraison)=M$6,
  VLOOKUP($E184,INDIRECT("tri!"&amp; CHAR(64+ C0Col) &amp;":"&amp; CHAR(65+C0Col)),2,FALSE)&gt;COUNTIF($E184:L184,"u")+COUNTIF($E184:L184,"t")+COUNTIF($E184:L184,"¶")+COUNTIF($E184:L184,"²")+COUNTIF($E184:L184,"µ")+COUNTIF($E184:L184,1)),
HYPERLINK("#Roadmap!C"&amp; MATCH($E184,Roadmap!$D:$D,0)+COUNTIF($E184:L184,"u")+COUNTIF($E184:L184,"t"),
     INDEX(Roadmap!$D:$K,MATCH($E184,Roadmap!$D:$D,0)+COUNTIF($E184:L184,"u")+COUNTIF($E184:L184,"t")+COUNTIF($E184:L184,"¶")+COUNTIF($E184:L184,"²")+COUNTIF($E184:L184,"µ")+COUNTIF($E184:L184,1),ColTypeEcheance)),
  IF(LEN(L184)=1,
  IF(LEN(INDEX(Roadmap!$D:$K,MATCH($E184,Roadmap!$D:$D,0)-1+COUNTIF($E184:L184,"u")+COUNTIF($E184:L184,"t")+COUNTIF($E184:L184,"¶")+COUNTIF($E184:L184,"²")+COUNTIF($E184:L184,"µ")+COUNTIF($E184:L184,1),ColDescriptionCourte))&gt;1,
HYPERLINK("#Roadmap!C"&amp; MATCH($E184,Roadmap!$D:$D,0)+COUNTIF($E184:L184,"u")+COUNTIF($E184:L184,"t")+COUNTIF($E184:L184,"¶")+COUNTIF($E184:L184,"²")+COUNTIF($E184:L184,"µ")+COUNTIF($E184:L184,1)-1,INDEX(Roadmap!$D:$K,MATCH($E184,Roadmap!$D:$D,0)-1+COUNTIF($E184:L184,"u")+COUNTIF($E184:L184,"t")+COUNTIF($E184:L184,"¶")+COUNTIF($E184:L184,"²")+COUNTIF($E184:L184,"µ")+COUNTIF($E184:L184,1),ColDescriptionCourte)),""),
  "")),"")</f>
        <v/>
      </c>
      <c r="N184" s="40" t="str">
        <f ca="1">IFERROR(IF(AND(
  INDEX(Roadmap!$D:$K,MATCH($E184,Roadmap!$D:$D,0)+COUNTIF($E184:M184,"u")+COUNTIF($E184:M184,"t")+COUNTIF($E184:M184,"¶")+COUNTIF($E184:M184,"²")+COUNTIF($E184:M184,"µ")+COUNTIF($E184:M184,1),ColLivraison)=N$6,
  VLOOKUP($E184,INDIRECT("tri!"&amp; CHAR(64+ C0Col) &amp;":"&amp; CHAR(65+C0Col)),2,FALSE)&gt;COUNTIF($E184:M184,"u")+COUNTIF($E184:M184,"t")+COUNTIF($E184:M184,"¶")+COUNTIF($E184:M184,"²")+COUNTIF($E184:M184,"µ")+COUNTIF($E184:M184,1)),
HYPERLINK("#Roadmap!C"&amp; MATCH($E184,Roadmap!$D:$D,0)+COUNTIF($E184:M184,"u")+COUNTIF($E184:M184,"t"),
     INDEX(Roadmap!$D:$K,MATCH($E184,Roadmap!$D:$D,0)+COUNTIF($E184:M184,"u")+COUNTIF($E184:M184,"t")+COUNTIF($E184:M184,"¶")+COUNTIF($E184:M184,"²")+COUNTIF($E184:M184,"µ")+COUNTIF($E184:M184,1),ColTypeEcheance)),
  IF(LEN(M184)=1,
  IF(LEN(INDEX(Roadmap!$D:$K,MATCH($E184,Roadmap!$D:$D,0)-1+COUNTIF($E184:M184,"u")+COUNTIF($E184:M184,"t")+COUNTIF($E184:M184,"¶")+COUNTIF($E184:M184,"²")+COUNTIF($E184:M184,"µ")+COUNTIF($E184:M184,1),ColDescriptionCourte))&gt;1,
HYPERLINK("#Roadmap!C"&amp; MATCH($E184,Roadmap!$D:$D,0)+COUNTIF($E184:M184,"u")+COUNTIF($E184:M184,"t")+COUNTIF($E184:M184,"¶")+COUNTIF($E184:M184,"²")+COUNTIF($E184:M184,"µ")+COUNTIF($E184:M184,1)-1,INDEX(Roadmap!$D:$K,MATCH($E184,Roadmap!$D:$D,0)-1+COUNTIF($E184:M184,"u")+COUNTIF($E184:M184,"t")+COUNTIF($E184:M184,"¶")+COUNTIF($E184:M184,"²")+COUNTIF($E184:M184,"µ")+COUNTIF($E184:M184,1),ColDescriptionCourte)),""),
  "")),"")</f>
        <v/>
      </c>
      <c r="O184" s="40" t="str">
        <f ca="1">IFERROR(IF(AND(
  INDEX(Roadmap!$D:$K,MATCH($E184,Roadmap!$D:$D,0)+COUNTIF($E184:N184,"u")+COUNTIF($E184:N184,"t")+COUNTIF($E184:N184,"¶")+COUNTIF($E184:N184,"²")+COUNTIF($E184:N184,"µ")+COUNTIF($E184:N184,1),ColLivraison)=O$6,
  VLOOKUP($E184,INDIRECT("tri!"&amp; CHAR(64+ C0Col) &amp;":"&amp; CHAR(65+C0Col)),2,FALSE)&gt;COUNTIF($E184:N184,"u")+COUNTIF($E184:N184,"t")+COUNTIF($E184:N184,"¶")+COUNTIF($E184:N184,"²")+COUNTIF($E184:N184,"µ")+COUNTIF($E184:N184,1)),
HYPERLINK("#Roadmap!C"&amp; MATCH($E184,Roadmap!$D:$D,0)+COUNTIF($E184:N184,"u")+COUNTIF($E184:N184,"t"),
     INDEX(Roadmap!$D:$K,MATCH($E184,Roadmap!$D:$D,0)+COUNTIF($E184:N184,"u")+COUNTIF($E184:N184,"t")+COUNTIF($E184:N184,"¶")+COUNTIF($E184:N184,"²")+COUNTIF($E184:N184,"µ")+COUNTIF($E184:N184,1),ColTypeEcheance)),
  IF(LEN(N184)=1,
  IF(LEN(INDEX(Roadmap!$D:$K,MATCH($E184,Roadmap!$D:$D,0)-1+COUNTIF($E184:N184,"u")+COUNTIF($E184:N184,"t")+COUNTIF($E184:N184,"¶")+COUNTIF($E184:N184,"²")+COUNTIF($E184:N184,"µ")+COUNTIF($E184:N184,1),ColDescriptionCourte))&gt;1,
HYPERLINK("#Roadmap!C"&amp; MATCH($E184,Roadmap!$D:$D,0)+COUNTIF($E184:N184,"u")+COUNTIF($E184:N184,"t")+COUNTIF($E184:N184,"¶")+COUNTIF($E184:N184,"²")+COUNTIF($E184:N184,"µ")+COUNTIF($E184:N184,1)-1,INDEX(Roadmap!$D:$K,MATCH($E184,Roadmap!$D:$D,0)-1+COUNTIF($E184:N184,"u")+COUNTIF($E184:N184,"t")+COUNTIF($E184:N184,"¶")+COUNTIF($E184:N184,"²")+COUNTIF($E184:N184,"µ")+COUNTIF($E184:N184,1),ColDescriptionCourte)),""),
  "")),"")</f>
        <v/>
      </c>
      <c r="P184" s="40" t="str">
        <f ca="1">IFERROR(IF(AND(
  INDEX(Roadmap!$D:$K,MATCH($E184,Roadmap!$D:$D,0)+COUNTIF($E184:O184,"u")+COUNTIF($E184:O184,"t")+COUNTIF($E184:O184,"¶")+COUNTIF($E184:O184,"²")+COUNTIF($E184:O184,"µ")+COUNTIF($E184:O184,1),ColLivraison)=P$6,
  VLOOKUP($E184,INDIRECT("tri!"&amp; CHAR(64+ C0Col) &amp;":"&amp; CHAR(65+C0Col)),2,FALSE)&gt;COUNTIF($E184:O184,"u")+COUNTIF($E184:O184,"t")+COUNTIF($E184:O184,"¶")+COUNTIF($E184:O184,"²")+COUNTIF($E184:O184,"µ")+COUNTIF($E184:O184,1)),
HYPERLINK("#Roadmap!C"&amp; MATCH($E184,Roadmap!$D:$D,0)+COUNTIF($E184:O184,"u")+COUNTIF($E184:O184,"t"),
     INDEX(Roadmap!$D:$K,MATCH($E184,Roadmap!$D:$D,0)+COUNTIF($E184:O184,"u")+COUNTIF($E184:O184,"t")+COUNTIF($E184:O184,"¶")+COUNTIF($E184:O184,"²")+COUNTIF($E184:O184,"µ")+COUNTIF($E184:O184,1),ColTypeEcheance)),
  IF(LEN(O184)=1,
  IF(LEN(INDEX(Roadmap!$D:$K,MATCH($E184,Roadmap!$D:$D,0)-1+COUNTIF($E184:O184,"u")+COUNTIF($E184:O184,"t")+COUNTIF($E184:O184,"¶")+COUNTIF($E184:O184,"²")+COUNTIF($E184:O184,"µ")+COUNTIF($E184:O184,1),ColDescriptionCourte))&gt;1,
HYPERLINK("#Roadmap!C"&amp; MATCH($E184,Roadmap!$D:$D,0)+COUNTIF($E184:O184,"u")+COUNTIF($E184:O184,"t")+COUNTIF($E184:O184,"¶")+COUNTIF($E184:O184,"²")+COUNTIF($E184:O184,"µ")+COUNTIF($E184:O184,1)-1,INDEX(Roadmap!$D:$K,MATCH($E184,Roadmap!$D:$D,0)-1+COUNTIF($E184:O184,"u")+COUNTIF($E184:O184,"t")+COUNTIF($E184:O184,"¶")+COUNTIF($E184:O184,"²")+COUNTIF($E184:O184,"µ")+COUNTIF($E184:O184,1),ColDescriptionCourte)),""),
  "")),"")</f>
        <v/>
      </c>
      <c r="Q184" s="40" t="str">
        <f ca="1">IFERROR(IF(AND(
  INDEX(Roadmap!$D:$K,MATCH($E184,Roadmap!$D:$D,0)+COUNTIF($E184:P184,"u")+COUNTIF($E184:P184,"t")+COUNTIF($E184:P184,"¶")+COUNTIF($E184:P184,"²")+COUNTIF($E184:P184,"µ")+COUNTIF($E184:P184,1),ColLivraison)=Q$6,
  VLOOKUP($E184,INDIRECT("tri!"&amp; CHAR(64+ C0Col) &amp;":"&amp; CHAR(65+C0Col)),2,FALSE)&gt;COUNTIF($E184:P184,"u")+COUNTIF($E184:P184,"t")+COUNTIF($E184:P184,"¶")+COUNTIF($E184:P184,"²")+COUNTIF($E184:P184,"µ")+COUNTIF($E184:P184,1)),
HYPERLINK("#Roadmap!C"&amp; MATCH($E184,Roadmap!$D:$D,0)+COUNTIF($E184:P184,"u")+COUNTIF($E184:P184,"t"),
     INDEX(Roadmap!$D:$K,MATCH($E184,Roadmap!$D:$D,0)+COUNTIF($E184:P184,"u")+COUNTIF($E184:P184,"t")+COUNTIF($E184:P184,"¶")+COUNTIF($E184:P184,"²")+COUNTIF($E184:P184,"µ")+COUNTIF($E184:P184,1),ColTypeEcheance)),
  IF(LEN(P184)=1,
  IF(LEN(INDEX(Roadmap!$D:$K,MATCH($E184,Roadmap!$D:$D,0)-1+COUNTIF($E184:P184,"u")+COUNTIF($E184:P184,"t")+COUNTIF($E184:P184,"¶")+COUNTIF($E184:P184,"²")+COUNTIF($E184:P184,"µ")+COUNTIF($E184:P184,1),ColDescriptionCourte))&gt;1,
HYPERLINK("#Roadmap!C"&amp; MATCH($E184,Roadmap!$D:$D,0)+COUNTIF($E184:P184,"u")+COUNTIF($E184:P184,"t")+COUNTIF($E184:P184,"¶")+COUNTIF($E184:P184,"²")+COUNTIF($E184:P184,"µ")+COUNTIF($E184:P184,1)-1,INDEX(Roadmap!$D:$K,MATCH($E184,Roadmap!$D:$D,0)-1+COUNTIF($E184:P184,"u")+COUNTIF($E184:P184,"t")+COUNTIF($E184:P184,"¶")+COUNTIF($E184:P184,"²")+COUNTIF($E184:P184,"µ")+COUNTIF($E184:P184,1),ColDescriptionCourte)),""),
  "")),"")</f>
        <v/>
      </c>
      <c r="R184" s="40" t="str">
        <f ca="1">IFERROR(IF(AND(
  INDEX(Roadmap!$D:$K,MATCH($E184,Roadmap!$D:$D,0)+COUNTIF($E184:Q184,"u")+COUNTIF($E184:Q184,"t")+COUNTIF($E184:Q184,"¶")+COUNTIF($E184:Q184,"²")+COUNTIF($E184:Q184,"µ")+COUNTIF($E184:Q184,1),ColLivraison)=R$6,
  VLOOKUP($E184,INDIRECT("tri!"&amp; CHAR(64+ C0Col) &amp;":"&amp; CHAR(65+C0Col)),2,FALSE)&gt;COUNTIF($E184:Q184,"u")+COUNTIF($E184:Q184,"t")+COUNTIF($E184:Q184,"¶")+COUNTIF($E184:Q184,"²")+COUNTIF($E184:Q184,"µ")+COUNTIF($E184:Q184,1)),
HYPERLINK("#Roadmap!C"&amp; MATCH($E184,Roadmap!$D:$D,0)+COUNTIF($E184:Q184,"u")+COUNTIF($E184:Q184,"t"),
     INDEX(Roadmap!$D:$K,MATCH($E184,Roadmap!$D:$D,0)+COUNTIF($E184:Q184,"u")+COUNTIF($E184:Q184,"t")+COUNTIF($E184:Q184,"¶")+COUNTIF($E184:Q184,"²")+COUNTIF($E184:Q184,"µ")+COUNTIF($E184:Q184,1),ColTypeEcheance)),
  IF(LEN(Q184)=1,
  IF(LEN(INDEX(Roadmap!$D:$K,MATCH($E184,Roadmap!$D:$D,0)-1+COUNTIF($E184:Q184,"u")+COUNTIF($E184:Q184,"t")+COUNTIF($E184:Q184,"¶")+COUNTIF($E184:Q184,"²")+COUNTIF($E184:Q184,"µ")+COUNTIF($E184:Q184,1),ColDescriptionCourte))&gt;1,
HYPERLINK("#Roadmap!C"&amp; MATCH($E184,Roadmap!$D:$D,0)+COUNTIF($E184:Q184,"u")+COUNTIF($E184:Q184,"t")+COUNTIF($E184:Q184,"¶")+COUNTIF($E184:Q184,"²")+COUNTIF($E184:Q184,"µ")+COUNTIF($E184:Q184,1)-1,INDEX(Roadmap!$D:$K,MATCH($E184,Roadmap!$D:$D,0)-1+COUNTIF($E184:Q184,"u")+COUNTIF($E184:Q184,"t")+COUNTIF($E184:Q184,"¶")+COUNTIF($E184:Q184,"²")+COUNTIF($E184:Q184,"µ")+COUNTIF($E184:Q184,1),ColDescriptionCourte)),""),
  "")),"")</f>
        <v/>
      </c>
      <c r="S184" s="40" t="str">
        <f ca="1">IFERROR(IF(AND(
  INDEX(Roadmap!$D:$K,MATCH($E184,Roadmap!$D:$D,0)+COUNTIF($E184:R184,"u")+COUNTIF($E184:R184,"t")+COUNTIF($E184:R184,"¶")+COUNTIF($E184:R184,"²")+COUNTIF($E184:R184,"µ")+COUNTIF($E184:R184,1),ColLivraison)=S$6,
  VLOOKUP($E184,INDIRECT("tri!"&amp; CHAR(64+ C0Col) &amp;":"&amp; CHAR(65+C0Col)),2,FALSE)&gt;COUNTIF($E184:R184,"u")+COUNTIF($E184:R184,"t")+COUNTIF($E184:R184,"¶")+COUNTIF($E184:R184,"²")+COUNTIF($E184:R184,"µ")+COUNTIF($E184:R184,1)),
HYPERLINK("#Roadmap!C"&amp; MATCH($E184,Roadmap!$D:$D,0)+COUNTIF($E184:R184,"u")+COUNTIF($E184:R184,"t"),
     INDEX(Roadmap!$D:$K,MATCH($E184,Roadmap!$D:$D,0)+COUNTIF($E184:R184,"u")+COUNTIF($E184:R184,"t")+COUNTIF($E184:R184,"¶")+COUNTIF($E184:R184,"²")+COUNTIF($E184:R184,"µ")+COUNTIF($E184:R184,1),ColTypeEcheance)),
  IF(LEN(R184)=1,
  IF(LEN(INDEX(Roadmap!$D:$K,MATCH($E184,Roadmap!$D:$D,0)-1+COUNTIF($E184:R184,"u")+COUNTIF($E184:R184,"t")+COUNTIF($E184:R184,"¶")+COUNTIF($E184:R184,"²")+COUNTIF($E184:R184,"µ")+COUNTIF($E184:R184,1),ColDescriptionCourte))&gt;1,
HYPERLINK("#Roadmap!C"&amp; MATCH($E184,Roadmap!$D:$D,0)+COUNTIF($E184:R184,"u")+COUNTIF($E184:R184,"t")+COUNTIF($E184:R184,"¶")+COUNTIF($E184:R184,"²")+COUNTIF($E184:R184,"µ")+COUNTIF($E184:R184,1)-1,INDEX(Roadmap!$D:$K,MATCH($E184,Roadmap!$D:$D,0)-1+COUNTIF($E184:R184,"u")+COUNTIF($E184:R184,"t")+COUNTIF($E184:R184,"¶")+COUNTIF($E184:R184,"²")+COUNTIF($E184:R184,"µ")+COUNTIF($E184:R184,1),ColDescriptionCourte)),""),
  "")),"")</f>
        <v/>
      </c>
      <c r="T184" s="40" t="str">
        <f ca="1">IFERROR(IF(AND(
  INDEX(Roadmap!$D:$K,MATCH($E184,Roadmap!$D:$D,0)+COUNTIF($E184:S184,"u")+COUNTIF($E184:S184,"t")+COUNTIF($E184:S184,"¶")+COUNTIF($E184:S184,"²")+COUNTIF($E184:S184,"µ")+COUNTIF($E184:S184,1),ColLivraison)=T$6,
  VLOOKUP($E184,INDIRECT("tri!"&amp; CHAR(64+ C0Col) &amp;":"&amp; CHAR(65+C0Col)),2,FALSE)&gt;COUNTIF($E184:S184,"u")+COUNTIF($E184:S184,"t")+COUNTIF($E184:S184,"¶")+COUNTIF($E184:S184,"²")+COUNTIF($E184:S184,"µ")+COUNTIF($E184:S184,1)),
HYPERLINK("#Roadmap!C"&amp; MATCH($E184,Roadmap!$D:$D,0)+COUNTIF($E184:S184,"u")+COUNTIF($E184:S184,"t"),
     INDEX(Roadmap!$D:$K,MATCH($E184,Roadmap!$D:$D,0)+COUNTIF($E184:S184,"u")+COUNTIF($E184:S184,"t")+COUNTIF($E184:S184,"¶")+COUNTIF($E184:S184,"²")+COUNTIF($E184:S184,"µ")+COUNTIF($E184:S184,1),ColTypeEcheance)),
  IF(LEN(S184)=1,
  IF(LEN(INDEX(Roadmap!$D:$K,MATCH($E184,Roadmap!$D:$D,0)-1+COUNTIF($E184:S184,"u")+COUNTIF($E184:S184,"t")+COUNTIF($E184:S184,"¶")+COUNTIF($E184:S184,"²")+COUNTIF($E184:S184,"µ")+COUNTIF($E184:S184,1),ColDescriptionCourte))&gt;1,
HYPERLINK("#Roadmap!C"&amp; MATCH($E184,Roadmap!$D:$D,0)+COUNTIF($E184:S184,"u")+COUNTIF($E184:S184,"t")+COUNTIF($E184:S184,"¶")+COUNTIF($E184:S184,"²")+COUNTIF($E184:S184,"µ")+COUNTIF($E184:S184,1)-1,INDEX(Roadmap!$D:$K,MATCH($E184,Roadmap!$D:$D,0)-1+COUNTIF($E184:S184,"u")+COUNTIF($E184:S184,"t")+COUNTIF($E184:S184,"¶")+COUNTIF($E184:S184,"²")+COUNTIF($E184:S184,"µ")+COUNTIF($E184:S184,1),ColDescriptionCourte)),""),
  "")),"")</f>
        <v/>
      </c>
      <c r="U184" s="40" t="str">
        <f ca="1">IFERROR(IF(AND(
  INDEX(Roadmap!$D:$K,MATCH($E184,Roadmap!$D:$D,0)+COUNTIF($E184:T184,"u")+COUNTIF($E184:T184,"t")+COUNTIF($E184:T184,"¶")+COUNTIF($E184:T184,"²")+COUNTIF($E184:T184,"µ")+COUNTIF($E184:T184,1),ColLivraison)=U$6,
  VLOOKUP($E184,INDIRECT("tri!"&amp; CHAR(64+ C0Col) &amp;":"&amp; CHAR(65+C0Col)),2,FALSE)&gt;COUNTIF($E184:T184,"u")+COUNTIF($E184:T184,"t")+COUNTIF($E184:T184,"¶")+COUNTIF($E184:T184,"²")+COUNTIF($E184:T184,"µ")+COUNTIF($E184:T184,1)),
HYPERLINK("#Roadmap!C"&amp; MATCH($E184,Roadmap!$D:$D,0)+COUNTIF($E184:T184,"u")+COUNTIF($E184:T184,"t"),
     INDEX(Roadmap!$D:$K,MATCH($E184,Roadmap!$D:$D,0)+COUNTIF($E184:T184,"u")+COUNTIF($E184:T184,"t")+COUNTIF($E184:T184,"¶")+COUNTIF($E184:T184,"²")+COUNTIF($E184:T184,"µ")+COUNTIF($E184:T184,1),ColTypeEcheance)),
  IF(LEN(T184)=1,
  IF(LEN(INDEX(Roadmap!$D:$K,MATCH($E184,Roadmap!$D:$D,0)-1+COUNTIF($E184:T184,"u")+COUNTIF($E184:T184,"t")+COUNTIF($E184:T184,"¶")+COUNTIF($E184:T184,"²")+COUNTIF($E184:T184,"µ")+COUNTIF($E184:T184,1),ColDescriptionCourte))&gt;1,
HYPERLINK("#Roadmap!C"&amp; MATCH($E184,Roadmap!$D:$D,0)+COUNTIF($E184:T184,"u")+COUNTIF($E184:T184,"t")+COUNTIF($E184:T184,"¶")+COUNTIF($E184:T184,"²")+COUNTIF($E184:T184,"µ")+COUNTIF($E184:T184,1)-1,INDEX(Roadmap!$D:$K,MATCH($E184,Roadmap!$D:$D,0)-1+COUNTIF($E184:T184,"u")+COUNTIF($E184:T184,"t")+COUNTIF($E184:T184,"¶")+COUNTIF($E184:T184,"²")+COUNTIF($E184:T184,"µ")+COUNTIF($E184:T184,1),ColDescriptionCourte)),""),
  "")),"")</f>
        <v/>
      </c>
      <c r="V184" s="40" t="str">
        <f ca="1">IFERROR(IF(AND(
  INDEX(Roadmap!$D:$K,MATCH($E184,Roadmap!$D:$D,0)+COUNTIF($E184:U184,"u")+COUNTIF($E184:U184,"t")+COUNTIF($E184:U184,"¶")+COUNTIF($E184:U184,"²")+COUNTIF($E184:U184,"µ")+COUNTIF($E184:U184,1),ColLivraison)=V$6,
  VLOOKUP($E184,INDIRECT("tri!"&amp; CHAR(64+ C0Col) &amp;":"&amp; CHAR(65+C0Col)),2,FALSE)&gt;COUNTIF($E184:U184,"u")+COUNTIF($E184:U184,"t")+COUNTIF($E184:U184,"¶")+COUNTIF($E184:U184,"²")+COUNTIF($E184:U184,"µ")+COUNTIF($E184:U184,1)),
HYPERLINK("#Roadmap!C"&amp; MATCH($E184,Roadmap!$D:$D,0)+COUNTIF($E184:U184,"u")+COUNTIF($E184:U184,"t"),
     INDEX(Roadmap!$D:$K,MATCH($E184,Roadmap!$D:$D,0)+COUNTIF($E184:U184,"u")+COUNTIF($E184:U184,"t")+COUNTIF($E184:U184,"¶")+COUNTIF($E184:U184,"²")+COUNTIF($E184:U184,"µ")+COUNTIF($E184:U184,1),ColTypeEcheance)),
  IF(LEN(U184)=1,
  IF(LEN(INDEX(Roadmap!$D:$K,MATCH($E184,Roadmap!$D:$D,0)-1+COUNTIF($E184:U184,"u")+COUNTIF($E184:U184,"t")+COUNTIF($E184:U184,"¶")+COUNTIF($E184:U184,"²")+COUNTIF($E184:U184,"µ")+COUNTIF($E184:U184,1),ColDescriptionCourte))&gt;1,
HYPERLINK("#Roadmap!C"&amp; MATCH($E184,Roadmap!$D:$D,0)+COUNTIF($E184:U184,"u")+COUNTIF($E184:U184,"t")+COUNTIF($E184:U184,"¶")+COUNTIF($E184:U184,"²")+COUNTIF($E184:U184,"µ")+COUNTIF($E184:U184,1)-1,INDEX(Roadmap!$D:$K,MATCH($E184,Roadmap!$D:$D,0)-1+COUNTIF($E184:U184,"u")+COUNTIF($E184:U184,"t")+COUNTIF($E184:U184,"¶")+COUNTIF($E184:U184,"²")+COUNTIF($E184:U184,"µ")+COUNTIF($E184:U184,1),ColDescriptionCourte)),""),
  "")),"")</f>
        <v/>
      </c>
      <c r="W184" s="40" t="str">
        <f ca="1">IFERROR(IF(AND(
  INDEX(Roadmap!$D:$K,MATCH($E184,Roadmap!$D:$D,0)+COUNTIF($E184:V184,"u")+COUNTIF($E184:V184,"t")+COUNTIF($E184:V184,"¶")+COUNTIF($E184:V184,"²")+COUNTIF($E184:V184,"µ")+COUNTIF($E184:V184,1),ColLivraison)=W$6,
  VLOOKUP($E184,INDIRECT("tri!"&amp; CHAR(64+ C0Col) &amp;":"&amp; CHAR(65+C0Col)),2,FALSE)&gt;COUNTIF($E184:V184,"u")+COUNTIF($E184:V184,"t")+COUNTIF($E184:V184,"¶")+COUNTIF($E184:V184,"²")+COUNTIF($E184:V184,"µ")+COUNTIF($E184:V184,1)),
HYPERLINK("#Roadmap!C"&amp; MATCH($E184,Roadmap!$D:$D,0)+COUNTIF($E184:V184,"u")+COUNTIF($E184:V184,"t"),
     INDEX(Roadmap!$D:$K,MATCH($E184,Roadmap!$D:$D,0)+COUNTIF($E184:V184,"u")+COUNTIF($E184:V184,"t")+COUNTIF($E184:V184,"¶")+COUNTIF($E184:V184,"²")+COUNTIF($E184:V184,"µ")+COUNTIF($E184:V184,1),ColTypeEcheance)),
  IF(LEN(V184)=1,
  IF(LEN(INDEX(Roadmap!$D:$K,MATCH($E184,Roadmap!$D:$D,0)-1+COUNTIF($E184:V184,"u")+COUNTIF($E184:V184,"t")+COUNTIF($E184:V184,"¶")+COUNTIF($E184:V184,"²")+COUNTIF($E184:V184,"µ")+COUNTIF($E184:V184,1),ColDescriptionCourte))&gt;1,
HYPERLINK("#Roadmap!C"&amp; MATCH($E184,Roadmap!$D:$D,0)+COUNTIF($E184:V184,"u")+COUNTIF($E184:V184,"t")+COUNTIF($E184:V184,"¶")+COUNTIF($E184:V184,"²")+COUNTIF($E184:V184,"µ")+COUNTIF($E184:V184,1)-1,INDEX(Roadmap!$D:$K,MATCH($E184,Roadmap!$D:$D,0)-1+COUNTIF($E184:V184,"u")+COUNTIF($E184:V184,"t")+COUNTIF($E184:V184,"¶")+COUNTIF($E184:V184,"²")+COUNTIF($E184:V184,"µ")+COUNTIF($E184:V184,1),ColDescriptionCourte)),""),
  "")),"")</f>
        <v/>
      </c>
      <c r="X184" s="40" t="str">
        <f ca="1">IFERROR(IF(AND(
  INDEX(Roadmap!$D:$K,MATCH($E184,Roadmap!$D:$D,0)+COUNTIF($E184:W184,"u")+COUNTIF($E184:W184,"t")+COUNTIF($E184:W184,"¶")+COUNTIF($E184:W184,"²")+COUNTIF($E184:W184,"µ")+COUNTIF($E184:W184,1),ColLivraison)=X$6,
  VLOOKUP($E184,INDIRECT("tri!"&amp; CHAR(64+ C0Col) &amp;":"&amp; CHAR(65+C0Col)),2,FALSE)&gt;COUNTIF($E184:W184,"u")+COUNTIF($E184:W184,"t")+COUNTIF($E184:W184,"¶")+COUNTIF($E184:W184,"²")+COUNTIF($E184:W184,"µ")+COUNTIF($E184:W184,1)),
HYPERLINK("#Roadmap!C"&amp; MATCH($E184,Roadmap!$D:$D,0)+COUNTIF($E184:W184,"u")+COUNTIF($E184:W184,"t"),
     INDEX(Roadmap!$D:$K,MATCH($E184,Roadmap!$D:$D,0)+COUNTIF($E184:W184,"u")+COUNTIF($E184:W184,"t")+COUNTIF($E184:W184,"¶")+COUNTIF($E184:W184,"²")+COUNTIF($E184:W184,"µ")+COUNTIF($E184:W184,1),ColTypeEcheance)),
  IF(LEN(W184)=1,
  IF(LEN(INDEX(Roadmap!$D:$K,MATCH($E184,Roadmap!$D:$D,0)-1+COUNTIF($E184:W184,"u")+COUNTIF($E184:W184,"t")+COUNTIF($E184:W184,"¶")+COUNTIF($E184:W184,"²")+COUNTIF($E184:W184,"µ")+COUNTIF($E184:W184,1),ColDescriptionCourte))&gt;1,
HYPERLINK("#Roadmap!C"&amp; MATCH($E184,Roadmap!$D:$D,0)+COUNTIF($E184:W184,"u")+COUNTIF($E184:W184,"t")+COUNTIF($E184:W184,"¶")+COUNTIF($E184:W184,"²")+COUNTIF($E184:W184,"µ")+COUNTIF($E184:W184,1)-1,INDEX(Roadmap!$D:$K,MATCH($E184,Roadmap!$D:$D,0)-1+COUNTIF($E184:W184,"u")+COUNTIF($E184:W184,"t")+COUNTIF($E184:W184,"¶")+COUNTIF($E184:W184,"²")+COUNTIF($E184:W184,"µ")+COUNTIF($E184:W184,1),ColDescriptionCourte)),""),
  "")),"")</f>
        <v/>
      </c>
      <c r="Y184" s="40" t="str">
        <f ca="1">IFERROR(IF(AND(
  INDEX(Roadmap!$D:$K,MATCH($E184,Roadmap!$D:$D,0)+COUNTIF($E184:X184,"u")+COUNTIF($E184:X184,"t")+COUNTIF($E184:X184,"¶")+COUNTIF($E184:X184,"²")+COUNTIF($E184:X184,"µ")+COUNTIF($E184:X184,1),ColLivraison)=Y$6,
  VLOOKUP($E184,INDIRECT("tri!"&amp; CHAR(64+ C0Col) &amp;":"&amp; CHAR(65+C0Col)),2,FALSE)&gt;COUNTIF($E184:X184,"u")+COUNTIF($E184:X184,"t")+COUNTIF($E184:X184,"¶")+COUNTIF($E184:X184,"²")+COUNTIF($E184:X184,"µ")+COUNTIF($E184:X184,1)),
HYPERLINK("#Roadmap!C"&amp; MATCH($E184,Roadmap!$D:$D,0)+COUNTIF($E184:X184,"u")+COUNTIF($E184:X184,"t"),
     INDEX(Roadmap!$D:$K,MATCH($E184,Roadmap!$D:$D,0)+COUNTIF($E184:X184,"u")+COUNTIF($E184:X184,"t")+COUNTIF($E184:X184,"¶")+COUNTIF($E184:X184,"²")+COUNTIF($E184:X184,"µ")+COUNTIF($E184:X184,1),ColTypeEcheance)),
  IF(LEN(X184)=1,
  IF(LEN(INDEX(Roadmap!$D:$K,MATCH($E184,Roadmap!$D:$D,0)-1+COUNTIF($E184:X184,"u")+COUNTIF($E184:X184,"t")+COUNTIF($E184:X184,"¶")+COUNTIF($E184:X184,"²")+COUNTIF($E184:X184,"µ")+COUNTIF($E184:X184,1),ColDescriptionCourte))&gt;1,
HYPERLINK("#Roadmap!C"&amp; MATCH($E184,Roadmap!$D:$D,0)+COUNTIF($E184:X184,"u")+COUNTIF($E184:X184,"t")+COUNTIF($E184:X184,"¶")+COUNTIF($E184:X184,"²")+COUNTIF($E184:X184,"µ")+COUNTIF($E184:X184,1)-1,INDEX(Roadmap!$D:$K,MATCH($E184,Roadmap!$D:$D,0)-1+COUNTIF($E184:X184,"u")+COUNTIF($E184:X184,"t")+COUNTIF($E184:X184,"¶")+COUNTIF($E184:X184,"²")+COUNTIF($E184:X184,"µ")+COUNTIF($E184:X184,1),ColDescriptionCourte)),""),
  "")),"")</f>
        <v/>
      </c>
      <c r="Z184" s="40" t="str">
        <f ca="1">IFERROR(IF(AND(
  INDEX(Roadmap!$D:$K,MATCH($E184,Roadmap!$D:$D,0)+COUNTIF($E184:Y184,"u")+COUNTIF($E184:Y184,"t")+COUNTIF($E184:Y184,"¶")+COUNTIF($E184:Y184,"²")+COUNTIF($E184:Y184,"µ")+COUNTIF($E184:Y184,1),ColLivraison)=Z$6,
  VLOOKUP($E184,INDIRECT("tri!"&amp; CHAR(64+ C0Col) &amp;":"&amp; CHAR(65+C0Col)),2,FALSE)&gt;COUNTIF($E184:Y184,"u")+COUNTIF($E184:Y184,"t")+COUNTIF($E184:Y184,"¶")+COUNTIF($E184:Y184,"²")+COUNTIF($E184:Y184,"µ")+COUNTIF($E184:Y184,1)),
HYPERLINK("#Roadmap!C"&amp; MATCH($E184,Roadmap!$D:$D,0)+COUNTIF($E184:Y184,"u")+COUNTIF($E184:Y184,"t"),
     INDEX(Roadmap!$D:$K,MATCH($E184,Roadmap!$D:$D,0)+COUNTIF($E184:Y184,"u")+COUNTIF($E184:Y184,"t")+COUNTIF($E184:Y184,"¶")+COUNTIF($E184:Y184,"²")+COUNTIF($E184:Y184,"µ")+COUNTIF($E184:Y184,1),ColTypeEcheance)),
  IF(LEN(Y184)=1,
  IF(LEN(INDEX(Roadmap!$D:$K,MATCH($E184,Roadmap!$D:$D,0)-1+COUNTIF($E184:Y184,"u")+COUNTIF($E184:Y184,"t")+COUNTIF($E184:Y184,"¶")+COUNTIF($E184:Y184,"²")+COUNTIF($E184:Y184,"µ")+COUNTIF($E184:Y184,1),ColDescriptionCourte))&gt;1,
HYPERLINK("#Roadmap!C"&amp; MATCH($E184,Roadmap!$D:$D,0)+COUNTIF($E184:Y184,"u")+COUNTIF($E184:Y184,"t")+COUNTIF($E184:Y184,"¶")+COUNTIF($E184:Y184,"²")+COUNTIF($E184:Y184,"µ")+COUNTIF($E184:Y184,1)-1,INDEX(Roadmap!$D:$K,MATCH($E184,Roadmap!$D:$D,0)-1+COUNTIF($E184:Y184,"u")+COUNTIF($E184:Y184,"t")+COUNTIF($E184:Y184,"¶")+COUNTIF($E184:Y184,"²")+COUNTIF($E184:Y184,"µ")+COUNTIF($E184:Y184,1),ColDescriptionCourte)),""),
  "")),"")</f>
        <v/>
      </c>
      <c r="AA184" s="40" t="str">
        <f ca="1">IFERROR(IF(AND(
  INDEX(Roadmap!$D:$K,MATCH($E184,Roadmap!$D:$D,0)+COUNTIF($E184:Z184,"u")+COUNTIF($E184:Z184,"t")+COUNTIF($E184:Z184,"¶")+COUNTIF($E184:Z184,"²")+COUNTIF($E184:Z184,"µ")+COUNTIF($E184:Z184,1),ColLivraison)=AA$6,
  VLOOKUP($E184,INDIRECT("tri!"&amp; CHAR(64+ C0Col) &amp;":"&amp; CHAR(65+C0Col)),2,FALSE)&gt;COUNTIF($E184:Z184,"u")+COUNTIF($E184:Z184,"t")+COUNTIF($E184:Z184,"¶")+COUNTIF($E184:Z184,"²")+COUNTIF($E184:Z184,"µ")+COUNTIF($E184:Z184,1)),
HYPERLINK("#Roadmap!C"&amp; MATCH($E184,Roadmap!$D:$D,0)+COUNTIF($E184:Z184,"u")+COUNTIF($E184:Z184,"t"),
     INDEX(Roadmap!$D:$K,MATCH($E184,Roadmap!$D:$D,0)+COUNTIF($E184:Z184,"u")+COUNTIF($E184:Z184,"t")+COUNTIF($E184:Z184,"¶")+COUNTIF($E184:Z184,"²")+COUNTIF($E184:Z184,"µ")+COUNTIF($E184:Z184,1),ColTypeEcheance)),
  IF(LEN(Z184)=1,
  IF(LEN(INDEX(Roadmap!$D:$K,MATCH($E184,Roadmap!$D:$D,0)-1+COUNTIF($E184:Z184,"u")+COUNTIF($E184:Z184,"t")+COUNTIF($E184:Z184,"¶")+COUNTIF($E184:Z184,"²")+COUNTIF($E184:Z184,"µ")+COUNTIF($E184:Z184,1),ColDescriptionCourte))&gt;1,
HYPERLINK("#Roadmap!C"&amp; MATCH($E184,Roadmap!$D:$D,0)+COUNTIF($E184:Z184,"u")+COUNTIF($E184:Z184,"t")+COUNTIF($E184:Z184,"¶")+COUNTIF($E184:Z184,"²")+COUNTIF($E184:Z184,"µ")+COUNTIF($E184:Z184,1)-1,INDEX(Roadmap!$D:$K,MATCH($E184,Roadmap!$D:$D,0)-1+COUNTIF($E184:Z184,"u")+COUNTIF($E184:Z184,"t")+COUNTIF($E184:Z184,"¶")+COUNTIF($E184:Z184,"²")+COUNTIF($E184:Z184,"µ")+COUNTIF($E184:Z184,1),ColDescriptionCourte)),""),
  "")),"")</f>
        <v/>
      </c>
      <c r="AB184" s="40" t="str">
        <f ca="1">IFERROR(IF(AND(
  INDEX(Roadmap!$D:$K,MATCH($E184,Roadmap!$D:$D,0)+COUNTIF($E184:AA184,"u")+COUNTIF($E184:AA184,"t")+COUNTIF($E184:AA184,"¶")+COUNTIF($E184:AA184,"²")+COUNTIF($E184:AA184,"µ")+COUNTIF($E184:AA184,1),ColLivraison)=AB$6,
  VLOOKUP($E184,INDIRECT("tri!"&amp; CHAR(64+ C0Col) &amp;":"&amp; CHAR(65+C0Col)),2,FALSE)&gt;COUNTIF($E184:AA184,"u")+COUNTIF($E184:AA184,"t")+COUNTIF($E184:AA184,"¶")+COUNTIF($E184:AA184,"²")+COUNTIF($E184:AA184,"µ")+COUNTIF($E184:AA184,1)),
HYPERLINK("#Roadmap!C"&amp; MATCH($E184,Roadmap!$D:$D,0)+COUNTIF($E184:AA184,"u")+COUNTIF($E184:AA184,"t"),
     INDEX(Roadmap!$D:$K,MATCH($E184,Roadmap!$D:$D,0)+COUNTIF($E184:AA184,"u")+COUNTIF($E184:AA184,"t")+COUNTIF($E184:AA184,"¶")+COUNTIF($E184:AA184,"²")+COUNTIF($E184:AA184,"µ")+COUNTIF($E184:AA184,1),ColTypeEcheance)),
  IF(LEN(AA184)=1,
  IF(LEN(INDEX(Roadmap!$D:$K,MATCH($E184,Roadmap!$D:$D,0)-1+COUNTIF($E184:AA184,"u")+COUNTIF($E184:AA184,"t")+COUNTIF($E184:AA184,"¶")+COUNTIF($E184:AA184,"²")+COUNTIF($E184:AA184,"µ")+COUNTIF($E184:AA184,1),ColDescriptionCourte))&gt;1,
HYPERLINK("#Roadmap!C"&amp; MATCH($E184,Roadmap!$D:$D,0)+COUNTIF($E184:AA184,"u")+COUNTIF($E184:AA184,"t")+COUNTIF($E184:AA184,"¶")+COUNTIF($E184:AA184,"²")+COUNTIF($E184:AA184,"µ")+COUNTIF($E184:AA184,1)-1,INDEX(Roadmap!$D:$K,MATCH($E184,Roadmap!$D:$D,0)-1+COUNTIF($E184:AA184,"u")+COUNTIF($E184:AA184,"t")+COUNTIF($E184:AA184,"¶")+COUNTIF($E184:AA184,"²")+COUNTIF($E184:AA184,"µ")+COUNTIF($E184:AA184,1),ColDescriptionCourte)),""),
  "")),"")</f>
        <v/>
      </c>
      <c r="AC184" s="40" t="str">
        <f ca="1">IFERROR(IF(AND(
  INDEX(Roadmap!$D:$K,MATCH($E184,Roadmap!$D:$D,0)+COUNTIF($E184:AB184,"u")+COUNTIF($E184:AB184,"t")+COUNTIF($E184:AB184,"¶")+COUNTIF($E184:AB184,"²")+COUNTIF($E184:AB184,"µ")+COUNTIF($E184:AB184,1),ColLivraison)=AC$6,
  VLOOKUP($E184,INDIRECT("tri!"&amp; CHAR(64+ C0Col) &amp;":"&amp; CHAR(65+C0Col)),2,FALSE)&gt;COUNTIF($E184:AB184,"u")+COUNTIF($E184:AB184,"t")+COUNTIF($E184:AB184,"¶")+COUNTIF($E184:AB184,"²")+COUNTIF($E184:AB184,"µ")+COUNTIF($E184:AB184,1)),
HYPERLINK("#Roadmap!C"&amp; MATCH($E184,Roadmap!$D:$D,0)+COUNTIF($E184:AB184,"u")+COUNTIF($E184:AB184,"t"),
     INDEX(Roadmap!$D:$K,MATCH($E184,Roadmap!$D:$D,0)+COUNTIF($E184:AB184,"u")+COUNTIF($E184:AB184,"t")+COUNTIF($E184:AB184,"¶")+COUNTIF($E184:AB184,"²")+COUNTIF($E184:AB184,"µ")+COUNTIF($E184:AB184,1),ColTypeEcheance)),
  IF(LEN(AB184)=1,
  IF(LEN(INDEX(Roadmap!$D:$K,MATCH($E184,Roadmap!$D:$D,0)-1+COUNTIF($E184:AB184,"u")+COUNTIF($E184:AB184,"t")+COUNTIF($E184:AB184,"¶")+COUNTIF($E184:AB184,"²")+COUNTIF($E184:AB184,"µ")+COUNTIF($E184:AB184,1),ColDescriptionCourte))&gt;1,
HYPERLINK("#Roadmap!C"&amp; MATCH($E184,Roadmap!$D:$D,0)+COUNTIF($E184:AB184,"u")+COUNTIF($E184:AB184,"t")+COUNTIF($E184:AB184,"¶")+COUNTIF($E184:AB184,"²")+COUNTIF($E184:AB184,"µ")+COUNTIF($E184:AB184,1)-1,INDEX(Roadmap!$D:$K,MATCH($E184,Roadmap!$D:$D,0)-1+COUNTIF($E184:AB184,"u")+COUNTIF($E184:AB184,"t")+COUNTIF($E184:AB184,"¶")+COUNTIF($E184:AB184,"²")+COUNTIF($E184:AB184,"µ")+COUNTIF($E184:AB184,1),ColDescriptionCourte)),""),
  "")),"")</f>
        <v/>
      </c>
      <c r="AD184" s="40" t="str">
        <f ca="1">IFERROR(IF(AND(
  INDEX(Roadmap!$D:$K,MATCH($E184,Roadmap!$D:$D,0)+COUNTIF($E184:AC184,"u")+COUNTIF($E184:AC184,"t")+COUNTIF($E184:AC184,"¶")+COUNTIF($E184:AC184,"²")+COUNTIF($E184:AC184,"µ")+COUNTIF($E184:AC184,1),ColLivraison)=AD$6,
  VLOOKUP($E184,INDIRECT("tri!"&amp; CHAR(64+ C0Col) &amp;":"&amp; CHAR(65+C0Col)),2,FALSE)&gt;COUNTIF($E184:AC184,"u")+COUNTIF($E184:AC184,"t")+COUNTIF($E184:AC184,"¶")+COUNTIF($E184:AC184,"²")+COUNTIF($E184:AC184,"µ")+COUNTIF($E184:AC184,1)),
HYPERLINK("#Roadmap!C"&amp; MATCH($E184,Roadmap!$D:$D,0)+COUNTIF($E184:AC184,"u")+COUNTIF($E184:AC184,"t"),
     INDEX(Roadmap!$D:$K,MATCH($E184,Roadmap!$D:$D,0)+COUNTIF($E184:AC184,"u")+COUNTIF($E184:AC184,"t")+COUNTIF($E184:AC184,"¶")+COUNTIF($E184:AC184,"²")+COUNTIF($E184:AC184,"µ")+COUNTIF($E184:AC184,1),ColTypeEcheance)),
  IF(LEN(AC184)=1,
  IF(LEN(INDEX(Roadmap!$D:$K,MATCH($E184,Roadmap!$D:$D,0)-1+COUNTIF($E184:AC184,"u")+COUNTIF($E184:AC184,"t")+COUNTIF($E184:AC184,"¶")+COUNTIF($E184:AC184,"²")+COUNTIF($E184:AC184,"µ")+COUNTIF($E184:AC184,1),ColDescriptionCourte))&gt;1,
HYPERLINK("#Roadmap!C"&amp; MATCH($E184,Roadmap!$D:$D,0)+COUNTIF($E184:AC184,"u")+COUNTIF($E184:AC184,"t")+COUNTIF($E184:AC184,"¶")+COUNTIF($E184:AC184,"²")+COUNTIF($E184:AC184,"µ")+COUNTIF($E184:AC184,1)-1,INDEX(Roadmap!$D:$K,MATCH($E184,Roadmap!$D:$D,0)-1+COUNTIF($E184:AC184,"u")+COUNTIF($E184:AC184,"t")+COUNTIF($E184:AC184,"¶")+COUNTIF($E184:AC184,"²")+COUNTIF($E184:AC184,"µ")+COUNTIF($E184:AC184,1),ColDescriptionCourte)),""),
  "")),"")</f>
        <v/>
      </c>
      <c r="AE184" s="40" t="str">
        <f ca="1">IFERROR(IF(AND(
  INDEX(Roadmap!$D:$K,MATCH($E184,Roadmap!$D:$D,0)+COUNTIF($E184:AD184,"u")+COUNTIF($E184:AD184,"t")+COUNTIF($E184:AD184,"¶")+COUNTIF($E184:AD184,"²")+COUNTIF($E184:AD184,"µ")+COUNTIF($E184:AD184,1),ColLivraison)=AE$6,
  VLOOKUP($E184,INDIRECT("tri!"&amp; CHAR(64+ C0Col) &amp;":"&amp; CHAR(65+C0Col)),2,FALSE)&gt;COUNTIF($E184:AD184,"u")+COUNTIF($E184:AD184,"t")+COUNTIF($E184:AD184,"¶")+COUNTIF($E184:AD184,"²")+COUNTIF($E184:AD184,"µ")+COUNTIF($E184:AD184,1)),
HYPERLINK("#Roadmap!C"&amp; MATCH($E184,Roadmap!$D:$D,0)+COUNTIF($E184:AD184,"u")+COUNTIF($E184:AD184,"t"),
     INDEX(Roadmap!$D:$K,MATCH($E184,Roadmap!$D:$D,0)+COUNTIF($E184:AD184,"u")+COUNTIF($E184:AD184,"t")+COUNTIF($E184:AD184,"¶")+COUNTIF($E184:AD184,"²")+COUNTIF($E184:AD184,"µ")+COUNTIF($E184:AD184,1),ColTypeEcheance)),
  IF(LEN(AD184)=1,
  IF(LEN(INDEX(Roadmap!$D:$K,MATCH($E184,Roadmap!$D:$D,0)-1+COUNTIF($E184:AD184,"u")+COUNTIF($E184:AD184,"t")+COUNTIF($E184:AD184,"¶")+COUNTIF($E184:AD184,"²")+COUNTIF($E184:AD184,"µ")+COUNTIF($E184:AD184,1),ColDescriptionCourte))&gt;1,
HYPERLINK("#Roadmap!C"&amp; MATCH($E184,Roadmap!$D:$D,0)+COUNTIF($E184:AD184,"u")+COUNTIF($E184:AD184,"t")+COUNTIF($E184:AD184,"¶")+COUNTIF($E184:AD184,"²")+COUNTIF($E184:AD184,"µ")+COUNTIF($E184:AD184,1)-1,INDEX(Roadmap!$D:$K,MATCH($E184,Roadmap!$D:$D,0)-1+COUNTIF($E184:AD184,"u")+COUNTIF($E184:AD184,"t")+COUNTIF($E184:AD184,"¶")+COUNTIF($E184:AD184,"²")+COUNTIF($E184:AD184,"µ")+COUNTIF($E184:AD184,1),ColDescriptionCourte)),""),
  "")),"")</f>
        <v/>
      </c>
      <c r="AF184" s="40" t="str">
        <f ca="1">IFERROR(IF(AND(
  INDEX(Roadmap!$D:$K,MATCH($E184,Roadmap!$D:$D,0)+COUNTIF($E184:AE184,"u")+COUNTIF($E184:AE184,"t")+COUNTIF($E184:AE184,"¶")+COUNTIF($E184:AE184,"²")+COUNTIF($E184:AE184,"µ")+COUNTIF($E184:AE184,1),ColLivraison)=AF$6,
  VLOOKUP($E184,INDIRECT("tri!"&amp; CHAR(64+ C0Col) &amp;":"&amp; CHAR(65+C0Col)),2,FALSE)&gt;COUNTIF($E184:AE184,"u")+COUNTIF($E184:AE184,"t")+COUNTIF($E184:AE184,"¶")+COUNTIF($E184:AE184,"²")+COUNTIF($E184:AE184,"µ")+COUNTIF($E184:AE184,1)),
HYPERLINK("#Roadmap!C"&amp; MATCH($E184,Roadmap!$D:$D,0)+COUNTIF($E184:AE184,"u")+COUNTIF($E184:AE184,"t"),
     INDEX(Roadmap!$D:$K,MATCH($E184,Roadmap!$D:$D,0)+COUNTIF($E184:AE184,"u")+COUNTIF($E184:AE184,"t")+COUNTIF($E184:AE184,"¶")+COUNTIF($E184:AE184,"²")+COUNTIF($E184:AE184,"µ")+COUNTIF($E184:AE184,1),ColTypeEcheance)),
  IF(LEN(AE184)=1,
  IF(LEN(INDEX(Roadmap!$D:$K,MATCH($E184,Roadmap!$D:$D,0)-1+COUNTIF($E184:AE184,"u")+COUNTIF($E184:AE184,"t")+COUNTIF($E184:AE184,"¶")+COUNTIF($E184:AE184,"²")+COUNTIF($E184:AE184,"µ")+COUNTIF($E184:AE184,1),ColDescriptionCourte))&gt;1,
HYPERLINK("#Roadmap!C"&amp; MATCH($E184,Roadmap!$D:$D,0)+COUNTIF($E184:AE184,"u")+COUNTIF($E184:AE184,"t")+COUNTIF($E184:AE184,"¶")+COUNTIF($E184:AE184,"²")+COUNTIF($E184:AE184,"µ")+COUNTIF($E184:AE184,1)-1,INDEX(Roadmap!$D:$K,MATCH($E184,Roadmap!$D:$D,0)-1+COUNTIF($E184:AE184,"u")+COUNTIF($E184:AE184,"t")+COUNTIF($E184:AE184,"¶")+COUNTIF($E184:AE184,"²")+COUNTIF($E184:AE184,"µ")+COUNTIF($E184:AE184,1),ColDescriptionCourte)),""),
  "")),"")</f>
        <v/>
      </c>
      <c r="AG184" s="40" t="str">
        <f ca="1">IFERROR(IF(AND(
  INDEX(Roadmap!$D:$K,MATCH($E184,Roadmap!$D:$D,0)+COUNTIF($E184:AF184,"u")+COUNTIF($E184:AF184,"t")+COUNTIF($E184:AF184,"¶")+COUNTIF($E184:AF184,"²")+COUNTIF($E184:AF184,"µ")+COUNTIF($E184:AF184,1),ColLivraison)=AG$6,
  VLOOKUP($E184,INDIRECT("tri!"&amp; CHAR(64+ C0Col) &amp;":"&amp; CHAR(65+C0Col)),2,FALSE)&gt;COUNTIF($E184:AF184,"u")+COUNTIF($E184:AF184,"t")+COUNTIF($E184:AF184,"¶")+COUNTIF($E184:AF184,"²")+COUNTIF($E184:AF184,"µ")+COUNTIF($E184:AF184,1)),
HYPERLINK("#Roadmap!C"&amp; MATCH($E184,Roadmap!$D:$D,0)+COUNTIF($E184:AF184,"u")+COUNTIF($E184:AF184,"t"),
     INDEX(Roadmap!$D:$K,MATCH($E184,Roadmap!$D:$D,0)+COUNTIF($E184:AF184,"u")+COUNTIF($E184:AF184,"t")+COUNTIF($E184:AF184,"¶")+COUNTIF($E184:AF184,"²")+COUNTIF($E184:AF184,"µ")+COUNTIF($E184:AF184,1),ColTypeEcheance)),
  IF(LEN(AF184)=1,
  IF(LEN(INDEX(Roadmap!$D:$K,MATCH($E184,Roadmap!$D:$D,0)-1+COUNTIF($E184:AF184,"u")+COUNTIF($E184:AF184,"t")+COUNTIF($E184:AF184,"¶")+COUNTIF($E184:AF184,"²")+COUNTIF($E184:AF184,"µ")+COUNTIF($E184:AF184,1),ColDescriptionCourte))&gt;1,
HYPERLINK("#Roadmap!C"&amp; MATCH($E184,Roadmap!$D:$D,0)+COUNTIF($E184:AF184,"u")+COUNTIF($E184:AF184,"t")+COUNTIF($E184:AF184,"¶")+COUNTIF($E184:AF184,"²")+COUNTIF($E184:AF184,"µ")+COUNTIF($E184:AF184,1)-1,INDEX(Roadmap!$D:$K,MATCH($E184,Roadmap!$D:$D,0)-1+COUNTIF($E184:AF184,"u")+COUNTIF($E184:AF184,"t")+COUNTIF($E184:AF184,"¶")+COUNTIF($E184:AF184,"²")+COUNTIF($E184:AF184,"µ")+COUNTIF($E184:AF184,1),ColDescriptionCourte)),""),
  "")),"")</f>
        <v/>
      </c>
      <c r="AH184" s="40" t="str">
        <f ca="1">IFERROR(IF(AND(
  INDEX(Roadmap!$D:$K,MATCH($E184,Roadmap!$D:$D,0)+COUNTIF($E184:AG184,"u")+COUNTIF($E184:AG184,"t")+COUNTIF($E184:AG184,1),ColLivraison)=AH$6,
  VLOOKUP($E184,INDIRECT("tri!"&amp; CHAR(64+ C0Col) &amp;":"&amp; CHAR(65+C0Col)),2,FALSE)&gt;COUNTIF($E184:AG184,"u")+COUNTIF($E184:AG184,"t")+COUNTIF($E184:AG184,1)),
HYPERLINK("#Roadmap!C"&amp; MATCH($E184,Roadmap!$D:$D,0)+COUNTIF($E184:AG184,"u")+COUNTIF($E184:AG184,"t"),
     INDEX(Roadmap!$D:$K,MATCH($E184,Roadmap!$D:$D,0)+COUNTIF($E184:AG184,"u")+COUNTIF($E184:AG184,"t")+COUNTIF($E184:AG184,1),ColTypeEcheance)),
  IF(OR(AG184="u",AG184="t",AG184=1),
  IF(LEN(INDEX(Roadmap!$D:$K,MATCH($E184,Roadmap!$D:$D,0)-1+COUNTIF($E184:AG184,"u")+COUNTIF($E184:AG184,"t")+COUNTIF($E184:AG184,1),ColDescriptionCourte))&gt;1,
HYPERLINK("#Roadmap!C"&amp; MATCH($E184,Roadmap!$D:$D,0)+COUNTIF($E184:AG184,"u")+COUNTIF($E184:AG184,"t")+COUNTIF($E184:AG184,1)-1,INDEX(Roadmap!$D:$K,MATCH($E184,Roadmap!$D:$D,0)-1+COUNTIF($E184:AG184,"u")+COUNTIF($E184:AG184,"t")+COUNTIF($E184:AG184,1),ColDescriptionCourte)),""),
  "")),"")</f>
        <v/>
      </c>
      <c r="AI184" s="40"/>
      <c r="AJ184" s="40"/>
      <c r="AK184" s="40"/>
      <c r="AL184" s="40"/>
      <c r="AM184" s="40"/>
    </row>
    <row r="185" spans="4:39" ht="14.1" customHeight="1">
      <c r="D185" s="20" t="str">
        <f t="shared" ca="1" si="31"/>
        <v/>
      </c>
      <c r="E185" s="53" t="str">
        <f t="shared" ca="1" si="32"/>
        <v/>
      </c>
      <c r="F185" s="39" t="str">
        <f ca="1">IFERROR(IF(AND(
  INDEX(Roadmap!$D:$K,MATCH($E185,Roadmap!$D:$D,0)+COUNTIF($E185:E185,"u")+COUNTIF($E185:E185,"t")+COUNTIF($E185:E185,"¶")+COUNTIF($E185:E185,"²")+COUNTIF($E185:E185,"µ")+COUNTIF($E185:E185,1),ColLivraison)=F$6,
  VLOOKUP($E185,INDIRECT("tri!"&amp; CHAR(64+ C0Col) &amp;":"&amp; CHAR(65+C0Col)),2,FALSE)&gt;COUNTIF($E185:E185,"u")+COUNTIF($E185:E185,"t")+COUNTIF($E185:E185,"¶")+COUNTIF($E185:E185,"²")+COUNTIF($E185:E185,"µ")+COUNTIF($E185:E185,1)),
HYPERLINK("#Roadmap!C"&amp; MATCH($E185,Roadmap!$D:$D,0)+COUNTIF($E185:E185,"u")+COUNTIF($E185:E185,"t"),
     INDEX(Roadmap!$D:$K,MATCH($E185,Roadmap!$D:$D,0)+COUNTIF($E185:E185,"u")+COUNTIF($E185:E185,"t")+COUNTIF($E185:E185,"¶")+COUNTIF($E185:E185,"²")+COUNTIF($E185:E185,"µ")+COUNTIF($E185:E185,1),ColTypeEcheance)),
  IF(LEN(E185)=1,
  IF(LEN(INDEX(Roadmap!$D:$K,MATCH($E185,Roadmap!$D:$D,0)-1+COUNTIF($E185:E185,"u")+COUNTIF($E185:E185,"t")+COUNTIF($E185:E185,"¶")+COUNTIF($E185:E185,"²")+COUNTIF($E185:E185,"µ")+COUNTIF($E185:E185,1),ColDescriptionCourte))&gt;1,
HYPERLINK("#Roadmap!C"&amp; MATCH($E185,Roadmap!$D:$D,0)+COUNTIF($E185:E185,"u")+COUNTIF($E185:E185,"t")+COUNTIF($E185:E185,"¶")+COUNTIF($E185:E185,"²")+COUNTIF($E185:E185,"µ")+COUNTIF($E185:E185,1)-1,INDEX(Roadmap!$D:$K,MATCH($E185,Roadmap!$D:$D,0)-1+COUNTIF($E185:E185,"u")+COUNTIF($E185:E185,"t")+COUNTIF($E185:E185,"¶")+COUNTIF($E185:E185,"²")+COUNTIF($E185:E185,"µ")+COUNTIF($E185:E185,1),ColDescriptionCourte)),""),
  "")),"")</f>
        <v/>
      </c>
      <c r="G185" s="40" t="str">
        <f ca="1">IFERROR(IF(AND(
  INDEX(Roadmap!$D:$K,MATCH($E185,Roadmap!$D:$D,0)+COUNTIF($E185:F185,"u")+COUNTIF($E185:F185,"t")+COUNTIF($E185:F185,"¶")+COUNTIF($E185:F185,"²")+COUNTIF($E185:F185,"µ")+COUNTIF($E185:F185,1),ColLivraison)=G$6,
  VLOOKUP($E185,INDIRECT("tri!"&amp; CHAR(64+ C0Col) &amp;":"&amp; CHAR(65+C0Col)),2,FALSE)&gt;COUNTIF($E185:F185,"u")+COUNTIF($E185:F185,"t")+COUNTIF($E185:F185,"¶")+COUNTIF($E185:F185,"²")+COUNTIF($E185:F185,"µ")+COUNTIF($E185:F185,1)),
HYPERLINK("#Roadmap!C"&amp; MATCH($E185,Roadmap!$D:$D,0)+COUNTIF($E185:F185,"u")+COUNTIF($E185:F185,"t"),
     INDEX(Roadmap!$D:$K,MATCH($E185,Roadmap!$D:$D,0)+COUNTIF($E185:F185,"u")+COUNTIF($E185:F185,"t")+COUNTIF($E185:F185,"¶")+COUNTIF($E185:F185,"²")+COUNTIF($E185:F185,"µ")+COUNTIF($E185:F185,1),ColTypeEcheance)),
  IF(LEN(F185)=1,
  IF(LEN(INDEX(Roadmap!$D:$K,MATCH($E185,Roadmap!$D:$D,0)-1+COUNTIF($E185:F185,"u")+COUNTIF($E185:F185,"t")+COUNTIF($E185:F185,"¶")+COUNTIF($E185:F185,"²")+COUNTIF($E185:F185,"µ")+COUNTIF($E185:F185,1),ColDescriptionCourte))&gt;1,
HYPERLINK("#Roadmap!C"&amp; MATCH($E185,Roadmap!$D:$D,0)+COUNTIF($E185:F185,"u")+COUNTIF($E185:F185,"t")+COUNTIF($E185:F185,"¶")+COUNTIF($E185:F185,"²")+COUNTIF($E185:F185,"µ")+COUNTIF($E185:F185,1)-1,INDEX(Roadmap!$D:$K,MATCH($E185,Roadmap!$D:$D,0)-1+COUNTIF($E185:F185,"u")+COUNTIF($E185:F185,"t")+COUNTIF($E185:F185,"¶")+COUNTIF($E185:F185,"²")+COUNTIF($E185:F185,"µ")+COUNTIF($E185:F185,1),ColDescriptionCourte)),""),
  "")),"")</f>
        <v/>
      </c>
      <c r="H185" s="40" t="str">
        <f ca="1">IFERROR(IF(AND(
  INDEX(Roadmap!$D:$K,MATCH($E185,Roadmap!$D:$D,0)+COUNTIF($E185:G185,"u")+COUNTIF($E185:G185,"t")+COUNTIF($E185:G185,"¶")+COUNTIF($E185:G185,"²")+COUNTIF($E185:G185,"µ")+COUNTIF($E185:G185,1),ColLivraison)=H$6,
  VLOOKUP($E185,INDIRECT("tri!"&amp; CHAR(64+ C0Col) &amp;":"&amp; CHAR(65+C0Col)),2,FALSE)&gt;COUNTIF($E185:G185,"u")+COUNTIF($E185:G185,"t")+COUNTIF($E185:G185,"¶")+COUNTIF($E185:G185,"²")+COUNTIF($E185:G185,"µ")+COUNTIF($E185:G185,1)),
HYPERLINK("#Roadmap!C"&amp; MATCH($E185,Roadmap!$D:$D,0)+COUNTIF($E185:G185,"u")+COUNTIF($E185:G185,"t"),
     INDEX(Roadmap!$D:$K,MATCH($E185,Roadmap!$D:$D,0)+COUNTIF($E185:G185,"u")+COUNTIF($E185:G185,"t")+COUNTIF($E185:G185,"¶")+COUNTIF($E185:G185,"²")+COUNTIF($E185:G185,"µ")+COUNTIF($E185:G185,1),ColTypeEcheance)),
  IF(LEN(G185)=1,
  IF(LEN(INDEX(Roadmap!$D:$K,MATCH($E185,Roadmap!$D:$D,0)-1+COUNTIF($E185:G185,"u")+COUNTIF($E185:G185,"t")+COUNTIF($E185:G185,"¶")+COUNTIF($E185:G185,"²")+COUNTIF($E185:G185,"µ")+COUNTIF($E185:G185,1),ColDescriptionCourte))&gt;1,
HYPERLINK("#Roadmap!C"&amp; MATCH($E185,Roadmap!$D:$D,0)+COUNTIF($E185:G185,"u")+COUNTIF($E185:G185,"t")+COUNTIF($E185:G185,"¶")+COUNTIF($E185:G185,"²")+COUNTIF($E185:G185,"µ")+COUNTIF($E185:G185,1)-1,INDEX(Roadmap!$D:$K,MATCH($E185,Roadmap!$D:$D,0)-1+COUNTIF($E185:G185,"u")+COUNTIF($E185:G185,"t")+COUNTIF($E185:G185,"¶")+COUNTIF($E185:G185,"²")+COUNTIF($E185:G185,"µ")+COUNTIF($E185:G185,1),ColDescriptionCourte)),""),
  "")),"")</f>
        <v/>
      </c>
      <c r="I185" s="40" t="str">
        <f ca="1">IFERROR(IF(AND(
  INDEX(Roadmap!$D:$K,MATCH($E185,Roadmap!$D:$D,0)+COUNTIF($E185:H185,"u")+COUNTIF($E185:H185,"t")+COUNTIF($E185:H185,"¶")+COUNTIF($E185:H185,"²")+COUNTIF($E185:H185,"µ")+COUNTIF($E185:H185,1),ColLivraison)=I$6,
  VLOOKUP($E185,INDIRECT("tri!"&amp; CHAR(64+ C0Col) &amp;":"&amp; CHAR(65+C0Col)),2,FALSE)&gt;COUNTIF($E185:H185,"u")+COUNTIF($E185:H185,"t")+COUNTIF($E185:H185,"¶")+COUNTIF($E185:H185,"²")+COUNTIF($E185:H185,"µ")+COUNTIF($E185:H185,1)),
HYPERLINK("#Roadmap!C"&amp; MATCH($E185,Roadmap!$D:$D,0)+COUNTIF($E185:H185,"u")+COUNTIF($E185:H185,"t"),
     INDEX(Roadmap!$D:$K,MATCH($E185,Roadmap!$D:$D,0)+COUNTIF($E185:H185,"u")+COUNTIF($E185:H185,"t")+COUNTIF($E185:H185,"¶")+COUNTIF($E185:H185,"²")+COUNTIF($E185:H185,"µ")+COUNTIF($E185:H185,1),ColTypeEcheance)),
  IF(LEN(H185)=1,
  IF(LEN(INDEX(Roadmap!$D:$K,MATCH($E185,Roadmap!$D:$D,0)-1+COUNTIF($E185:H185,"u")+COUNTIF($E185:H185,"t")+COUNTIF($E185:H185,"¶")+COUNTIF($E185:H185,"²")+COUNTIF($E185:H185,"µ")+COUNTIF($E185:H185,1),ColDescriptionCourte))&gt;1,
HYPERLINK("#Roadmap!C"&amp; MATCH($E185,Roadmap!$D:$D,0)+COUNTIF($E185:H185,"u")+COUNTIF($E185:H185,"t")+COUNTIF($E185:H185,"¶")+COUNTIF($E185:H185,"²")+COUNTIF($E185:H185,"µ")+COUNTIF($E185:H185,1)-1,INDEX(Roadmap!$D:$K,MATCH($E185,Roadmap!$D:$D,0)-1+COUNTIF($E185:H185,"u")+COUNTIF($E185:H185,"t")+COUNTIF($E185:H185,"¶")+COUNTIF($E185:H185,"²")+COUNTIF($E185:H185,"µ")+COUNTIF($E185:H185,1),ColDescriptionCourte)),""),
  "")),"")</f>
        <v/>
      </c>
      <c r="J185" s="40" t="str">
        <f ca="1">IFERROR(IF(AND(
  INDEX(Roadmap!$D:$K,MATCH($E185,Roadmap!$D:$D,0)+COUNTIF($E185:I185,"u")+COUNTIF($E185:I185,"t")+COUNTIF($E185:I185,"¶")+COUNTIF($E185:I185,"²")+COUNTIF($E185:I185,"µ")+COUNTIF($E185:I185,1),ColLivraison)=J$6,
  VLOOKUP($E185,INDIRECT("tri!"&amp; CHAR(64+ C0Col) &amp;":"&amp; CHAR(65+C0Col)),2,FALSE)&gt;COUNTIF($E185:I185,"u")+COUNTIF($E185:I185,"t")+COUNTIF($E185:I185,"¶")+COUNTIF($E185:I185,"²")+COUNTIF($E185:I185,"µ")+COUNTIF($E185:I185,1)),
HYPERLINK("#Roadmap!C"&amp; MATCH($E185,Roadmap!$D:$D,0)+COUNTIF($E185:I185,"u")+COUNTIF($E185:I185,"t"),
     INDEX(Roadmap!$D:$K,MATCH($E185,Roadmap!$D:$D,0)+COUNTIF($E185:I185,"u")+COUNTIF($E185:I185,"t")+COUNTIF($E185:I185,"¶")+COUNTIF($E185:I185,"²")+COUNTIF($E185:I185,"µ")+COUNTIF($E185:I185,1),ColTypeEcheance)),
  IF(LEN(I185)=1,
  IF(LEN(INDEX(Roadmap!$D:$K,MATCH($E185,Roadmap!$D:$D,0)-1+COUNTIF($E185:I185,"u")+COUNTIF($E185:I185,"t")+COUNTIF($E185:I185,"¶")+COUNTIF($E185:I185,"²")+COUNTIF($E185:I185,"µ")+COUNTIF($E185:I185,1),ColDescriptionCourte))&gt;1,
HYPERLINK("#Roadmap!C"&amp; MATCH($E185,Roadmap!$D:$D,0)+COUNTIF($E185:I185,"u")+COUNTIF($E185:I185,"t")+COUNTIF($E185:I185,"¶")+COUNTIF($E185:I185,"²")+COUNTIF($E185:I185,"µ")+COUNTIF($E185:I185,1)-1,INDEX(Roadmap!$D:$K,MATCH($E185,Roadmap!$D:$D,0)-1+COUNTIF($E185:I185,"u")+COUNTIF($E185:I185,"t")+COUNTIF($E185:I185,"¶")+COUNTIF($E185:I185,"²")+COUNTIF($E185:I185,"µ")+COUNTIF($E185:I185,1),ColDescriptionCourte)),""),
  "")),"")</f>
        <v/>
      </c>
      <c r="K185" s="40" t="str">
        <f ca="1">IFERROR(IF(AND(
  INDEX(Roadmap!$D:$K,MATCH($E185,Roadmap!$D:$D,0)+COUNTIF($E185:J185,"u")+COUNTIF($E185:J185,"t")+COUNTIF($E185:J185,"¶")+COUNTIF($E185:J185,"²")+COUNTIF($E185:J185,"µ")+COUNTIF($E185:J185,1),ColLivraison)=K$6,
  VLOOKUP($E185,INDIRECT("tri!"&amp; CHAR(64+ C0Col) &amp;":"&amp; CHAR(65+C0Col)),2,FALSE)&gt;COUNTIF($E185:J185,"u")+COUNTIF($E185:J185,"t")+COUNTIF($E185:J185,"¶")+COUNTIF($E185:J185,"²")+COUNTIF($E185:J185,"µ")+COUNTIF($E185:J185,1)),
HYPERLINK("#Roadmap!C"&amp; MATCH($E185,Roadmap!$D:$D,0)+COUNTIF($E185:J185,"u")+COUNTIF($E185:J185,"t"),
     INDEX(Roadmap!$D:$K,MATCH($E185,Roadmap!$D:$D,0)+COUNTIF($E185:J185,"u")+COUNTIF($E185:J185,"t")+COUNTIF($E185:J185,"¶")+COUNTIF($E185:J185,"²")+COUNTIF($E185:J185,"µ")+COUNTIF($E185:J185,1),ColTypeEcheance)),
  IF(LEN(J185)=1,
  IF(LEN(INDEX(Roadmap!$D:$K,MATCH($E185,Roadmap!$D:$D,0)-1+COUNTIF($E185:J185,"u")+COUNTIF($E185:J185,"t")+COUNTIF($E185:J185,"¶")+COUNTIF($E185:J185,"²")+COUNTIF($E185:J185,"µ")+COUNTIF($E185:J185,1),ColDescriptionCourte))&gt;1,
HYPERLINK("#Roadmap!C"&amp; MATCH($E185,Roadmap!$D:$D,0)+COUNTIF($E185:J185,"u")+COUNTIF($E185:J185,"t")+COUNTIF($E185:J185,"¶")+COUNTIF($E185:J185,"²")+COUNTIF($E185:J185,"µ")+COUNTIF($E185:J185,1)-1,INDEX(Roadmap!$D:$K,MATCH($E185,Roadmap!$D:$D,0)-1+COUNTIF($E185:J185,"u")+COUNTIF($E185:J185,"t")+COUNTIF($E185:J185,"¶")+COUNTIF($E185:J185,"²")+COUNTIF($E185:J185,"µ")+COUNTIF($E185:J185,1),ColDescriptionCourte)),""),
  "")),"")</f>
        <v/>
      </c>
      <c r="L185" s="39" t="str">
        <f ca="1">IFERROR(IF(AND(
  INDEX(Roadmap!$D:$K,MATCH($E185,Roadmap!$D:$D,0)+COUNTIF($E185:K185,"u")+COUNTIF($E185:K185,"t")+COUNTIF($E185:K185,"¶")+COUNTIF($E185:K185,"²")+COUNTIF($E185:K185,"µ")+COUNTIF($E185:K185,1),ColLivraison)=L$6,
  VLOOKUP($E185,INDIRECT("tri!"&amp; CHAR(64+ C0Col) &amp;":"&amp; CHAR(65+C0Col)),2,FALSE)&gt;COUNTIF($E185:K185,"u")+COUNTIF($E185:K185,"t")+COUNTIF($E185:K185,"¶")+COUNTIF($E185:K185,"²")+COUNTIF($E185:K185,"µ")+COUNTIF($E185:K185,1)),
HYPERLINK("#Roadmap!C"&amp; MATCH($E185,Roadmap!$D:$D,0)+COUNTIF($E185:K185,"u")+COUNTIF($E185:K185,"t"),
     INDEX(Roadmap!$D:$K,MATCH($E185,Roadmap!$D:$D,0)+COUNTIF($E185:K185,"u")+COUNTIF($E185:K185,"t")+COUNTIF($E185:K185,"¶")+COUNTIF($E185:K185,"²")+COUNTIF($E185:K185,"µ")+COUNTIF($E185:K185,1),ColTypeEcheance)),
  IF(LEN(K185)=1,
  IF(LEN(INDEX(Roadmap!$D:$K,MATCH($E185,Roadmap!$D:$D,0)-1+COUNTIF($E185:K185,"u")+COUNTIF($E185:K185,"t")+COUNTIF($E185:K185,"¶")+COUNTIF($E185:K185,"²")+COUNTIF($E185:K185,"µ")+COUNTIF($E185:K185,1),ColDescriptionCourte))&gt;1,
HYPERLINK("#Roadmap!C"&amp; MATCH($E185,Roadmap!$D:$D,0)+COUNTIF($E185:K185,"u")+COUNTIF($E185:K185,"t")+COUNTIF($E185:K185,"¶")+COUNTIF($E185:K185,"²")+COUNTIF($E185:K185,"µ")+COUNTIF($E185:K185,1)-1,INDEX(Roadmap!$D:$K,MATCH($E185,Roadmap!$D:$D,0)-1+COUNTIF($E185:K185,"u")+COUNTIF($E185:K185,"t")+COUNTIF($E185:K185,"¶")+COUNTIF($E185:K185,"²")+COUNTIF($E185:K185,"µ")+COUNTIF($E185:K185,1),ColDescriptionCourte)),""),
  "")),"")</f>
        <v/>
      </c>
      <c r="M185" s="40" t="str">
        <f ca="1">IFERROR(IF(AND(
  INDEX(Roadmap!$D:$K,MATCH($E185,Roadmap!$D:$D,0)+COUNTIF($E185:L185,"u")+COUNTIF($E185:L185,"t")+COUNTIF($E185:L185,"¶")+COUNTIF($E185:L185,"²")+COUNTIF($E185:L185,"µ")+COUNTIF($E185:L185,1),ColLivraison)=M$6,
  VLOOKUP($E185,INDIRECT("tri!"&amp; CHAR(64+ C0Col) &amp;":"&amp; CHAR(65+C0Col)),2,FALSE)&gt;COUNTIF($E185:L185,"u")+COUNTIF($E185:L185,"t")+COUNTIF($E185:L185,"¶")+COUNTIF($E185:L185,"²")+COUNTIF($E185:L185,"µ")+COUNTIF($E185:L185,1)),
HYPERLINK("#Roadmap!C"&amp; MATCH($E185,Roadmap!$D:$D,0)+COUNTIF($E185:L185,"u")+COUNTIF($E185:L185,"t"),
     INDEX(Roadmap!$D:$K,MATCH($E185,Roadmap!$D:$D,0)+COUNTIF($E185:L185,"u")+COUNTIF($E185:L185,"t")+COUNTIF($E185:L185,"¶")+COUNTIF($E185:L185,"²")+COUNTIF($E185:L185,"µ")+COUNTIF($E185:L185,1),ColTypeEcheance)),
  IF(LEN(L185)=1,
  IF(LEN(INDEX(Roadmap!$D:$K,MATCH($E185,Roadmap!$D:$D,0)-1+COUNTIF($E185:L185,"u")+COUNTIF($E185:L185,"t")+COUNTIF($E185:L185,"¶")+COUNTIF($E185:L185,"²")+COUNTIF($E185:L185,"µ")+COUNTIF($E185:L185,1),ColDescriptionCourte))&gt;1,
HYPERLINK("#Roadmap!C"&amp; MATCH($E185,Roadmap!$D:$D,0)+COUNTIF($E185:L185,"u")+COUNTIF($E185:L185,"t")+COUNTIF($E185:L185,"¶")+COUNTIF($E185:L185,"²")+COUNTIF($E185:L185,"µ")+COUNTIF($E185:L185,1)-1,INDEX(Roadmap!$D:$K,MATCH($E185,Roadmap!$D:$D,0)-1+COUNTIF($E185:L185,"u")+COUNTIF($E185:L185,"t")+COUNTIF($E185:L185,"¶")+COUNTIF($E185:L185,"²")+COUNTIF($E185:L185,"µ")+COUNTIF($E185:L185,1),ColDescriptionCourte)),""),
  "")),"")</f>
        <v/>
      </c>
      <c r="N185" s="40" t="str">
        <f ca="1">IFERROR(IF(AND(
  INDEX(Roadmap!$D:$K,MATCH($E185,Roadmap!$D:$D,0)+COUNTIF($E185:M185,"u")+COUNTIF($E185:M185,"t")+COUNTIF($E185:M185,"¶")+COUNTIF($E185:M185,"²")+COUNTIF($E185:M185,"µ")+COUNTIF($E185:M185,1),ColLivraison)=N$6,
  VLOOKUP($E185,INDIRECT("tri!"&amp; CHAR(64+ C0Col) &amp;":"&amp; CHAR(65+C0Col)),2,FALSE)&gt;COUNTIF($E185:M185,"u")+COUNTIF($E185:M185,"t")+COUNTIF($E185:M185,"¶")+COUNTIF($E185:M185,"²")+COUNTIF($E185:M185,"µ")+COUNTIF($E185:M185,1)),
HYPERLINK("#Roadmap!C"&amp; MATCH($E185,Roadmap!$D:$D,0)+COUNTIF($E185:M185,"u")+COUNTIF($E185:M185,"t"),
     INDEX(Roadmap!$D:$K,MATCH($E185,Roadmap!$D:$D,0)+COUNTIF($E185:M185,"u")+COUNTIF($E185:M185,"t")+COUNTIF($E185:M185,"¶")+COUNTIF($E185:M185,"²")+COUNTIF($E185:M185,"µ")+COUNTIF($E185:M185,1),ColTypeEcheance)),
  IF(LEN(M185)=1,
  IF(LEN(INDEX(Roadmap!$D:$K,MATCH($E185,Roadmap!$D:$D,0)-1+COUNTIF($E185:M185,"u")+COUNTIF($E185:M185,"t")+COUNTIF($E185:M185,"¶")+COUNTIF($E185:M185,"²")+COUNTIF($E185:M185,"µ")+COUNTIF($E185:M185,1),ColDescriptionCourte))&gt;1,
HYPERLINK("#Roadmap!C"&amp; MATCH($E185,Roadmap!$D:$D,0)+COUNTIF($E185:M185,"u")+COUNTIF($E185:M185,"t")+COUNTIF($E185:M185,"¶")+COUNTIF($E185:M185,"²")+COUNTIF($E185:M185,"µ")+COUNTIF($E185:M185,1)-1,INDEX(Roadmap!$D:$K,MATCH($E185,Roadmap!$D:$D,0)-1+COUNTIF($E185:M185,"u")+COUNTIF($E185:M185,"t")+COUNTIF($E185:M185,"¶")+COUNTIF($E185:M185,"²")+COUNTIF($E185:M185,"µ")+COUNTIF($E185:M185,1),ColDescriptionCourte)),""),
  "")),"")</f>
        <v/>
      </c>
      <c r="O185" s="40" t="str">
        <f ca="1">IFERROR(IF(AND(
  INDEX(Roadmap!$D:$K,MATCH($E185,Roadmap!$D:$D,0)+COUNTIF($E185:N185,"u")+COUNTIF($E185:N185,"t")+COUNTIF($E185:N185,"¶")+COUNTIF($E185:N185,"²")+COUNTIF($E185:N185,"µ")+COUNTIF($E185:N185,1),ColLivraison)=O$6,
  VLOOKUP($E185,INDIRECT("tri!"&amp; CHAR(64+ C0Col) &amp;":"&amp; CHAR(65+C0Col)),2,FALSE)&gt;COUNTIF($E185:N185,"u")+COUNTIF($E185:N185,"t")+COUNTIF($E185:N185,"¶")+COUNTIF($E185:N185,"²")+COUNTIF($E185:N185,"µ")+COUNTIF($E185:N185,1)),
HYPERLINK("#Roadmap!C"&amp; MATCH($E185,Roadmap!$D:$D,0)+COUNTIF($E185:N185,"u")+COUNTIF($E185:N185,"t"),
     INDEX(Roadmap!$D:$K,MATCH($E185,Roadmap!$D:$D,0)+COUNTIF($E185:N185,"u")+COUNTIF($E185:N185,"t")+COUNTIF($E185:N185,"¶")+COUNTIF($E185:N185,"²")+COUNTIF($E185:N185,"µ")+COUNTIF($E185:N185,1),ColTypeEcheance)),
  IF(LEN(N185)=1,
  IF(LEN(INDEX(Roadmap!$D:$K,MATCH($E185,Roadmap!$D:$D,0)-1+COUNTIF($E185:N185,"u")+COUNTIF($E185:N185,"t")+COUNTIF($E185:N185,"¶")+COUNTIF($E185:N185,"²")+COUNTIF($E185:N185,"µ")+COUNTIF($E185:N185,1),ColDescriptionCourte))&gt;1,
HYPERLINK("#Roadmap!C"&amp; MATCH($E185,Roadmap!$D:$D,0)+COUNTIF($E185:N185,"u")+COUNTIF($E185:N185,"t")+COUNTIF($E185:N185,"¶")+COUNTIF($E185:N185,"²")+COUNTIF($E185:N185,"µ")+COUNTIF($E185:N185,1)-1,INDEX(Roadmap!$D:$K,MATCH($E185,Roadmap!$D:$D,0)-1+COUNTIF($E185:N185,"u")+COUNTIF($E185:N185,"t")+COUNTIF($E185:N185,"¶")+COUNTIF($E185:N185,"²")+COUNTIF($E185:N185,"µ")+COUNTIF($E185:N185,1),ColDescriptionCourte)),""),
  "")),"")</f>
        <v/>
      </c>
      <c r="P185" s="40" t="str">
        <f ca="1">IFERROR(IF(AND(
  INDEX(Roadmap!$D:$K,MATCH($E185,Roadmap!$D:$D,0)+COUNTIF($E185:O185,"u")+COUNTIF($E185:O185,"t")+COUNTIF($E185:O185,"¶")+COUNTIF($E185:O185,"²")+COUNTIF($E185:O185,"µ")+COUNTIF($E185:O185,1),ColLivraison)=P$6,
  VLOOKUP($E185,INDIRECT("tri!"&amp; CHAR(64+ C0Col) &amp;":"&amp; CHAR(65+C0Col)),2,FALSE)&gt;COUNTIF($E185:O185,"u")+COUNTIF($E185:O185,"t")+COUNTIF($E185:O185,"¶")+COUNTIF($E185:O185,"²")+COUNTIF($E185:O185,"µ")+COUNTIF($E185:O185,1)),
HYPERLINK("#Roadmap!C"&amp; MATCH($E185,Roadmap!$D:$D,0)+COUNTIF($E185:O185,"u")+COUNTIF($E185:O185,"t"),
     INDEX(Roadmap!$D:$K,MATCH($E185,Roadmap!$D:$D,0)+COUNTIF($E185:O185,"u")+COUNTIF($E185:O185,"t")+COUNTIF($E185:O185,"¶")+COUNTIF($E185:O185,"²")+COUNTIF($E185:O185,"µ")+COUNTIF($E185:O185,1),ColTypeEcheance)),
  IF(LEN(O185)=1,
  IF(LEN(INDEX(Roadmap!$D:$K,MATCH($E185,Roadmap!$D:$D,0)-1+COUNTIF($E185:O185,"u")+COUNTIF($E185:O185,"t")+COUNTIF($E185:O185,"¶")+COUNTIF($E185:O185,"²")+COUNTIF($E185:O185,"µ")+COUNTIF($E185:O185,1),ColDescriptionCourte))&gt;1,
HYPERLINK("#Roadmap!C"&amp; MATCH($E185,Roadmap!$D:$D,0)+COUNTIF($E185:O185,"u")+COUNTIF($E185:O185,"t")+COUNTIF($E185:O185,"¶")+COUNTIF($E185:O185,"²")+COUNTIF($E185:O185,"µ")+COUNTIF($E185:O185,1)-1,INDEX(Roadmap!$D:$K,MATCH($E185,Roadmap!$D:$D,0)-1+COUNTIF($E185:O185,"u")+COUNTIF($E185:O185,"t")+COUNTIF($E185:O185,"¶")+COUNTIF($E185:O185,"²")+COUNTIF($E185:O185,"µ")+COUNTIF($E185:O185,1),ColDescriptionCourte)),""),
  "")),"")</f>
        <v/>
      </c>
      <c r="Q185" s="40" t="str">
        <f ca="1">IFERROR(IF(AND(
  INDEX(Roadmap!$D:$K,MATCH($E185,Roadmap!$D:$D,0)+COUNTIF($E185:P185,"u")+COUNTIF($E185:P185,"t")+COUNTIF($E185:P185,"¶")+COUNTIF($E185:P185,"²")+COUNTIF($E185:P185,"µ")+COUNTIF($E185:P185,1),ColLivraison)=Q$6,
  VLOOKUP($E185,INDIRECT("tri!"&amp; CHAR(64+ C0Col) &amp;":"&amp; CHAR(65+C0Col)),2,FALSE)&gt;COUNTIF($E185:P185,"u")+COUNTIF($E185:P185,"t")+COUNTIF($E185:P185,"¶")+COUNTIF($E185:P185,"²")+COUNTIF($E185:P185,"µ")+COUNTIF($E185:P185,1)),
HYPERLINK("#Roadmap!C"&amp; MATCH($E185,Roadmap!$D:$D,0)+COUNTIF($E185:P185,"u")+COUNTIF($E185:P185,"t"),
     INDEX(Roadmap!$D:$K,MATCH($E185,Roadmap!$D:$D,0)+COUNTIF($E185:P185,"u")+COUNTIF($E185:P185,"t")+COUNTIF($E185:P185,"¶")+COUNTIF($E185:P185,"²")+COUNTIF($E185:P185,"µ")+COUNTIF($E185:P185,1),ColTypeEcheance)),
  IF(LEN(P185)=1,
  IF(LEN(INDEX(Roadmap!$D:$K,MATCH($E185,Roadmap!$D:$D,0)-1+COUNTIF($E185:P185,"u")+COUNTIF($E185:P185,"t")+COUNTIF($E185:P185,"¶")+COUNTIF($E185:P185,"²")+COUNTIF($E185:P185,"µ")+COUNTIF($E185:P185,1),ColDescriptionCourte))&gt;1,
HYPERLINK("#Roadmap!C"&amp; MATCH($E185,Roadmap!$D:$D,0)+COUNTIF($E185:P185,"u")+COUNTIF($E185:P185,"t")+COUNTIF($E185:P185,"¶")+COUNTIF($E185:P185,"²")+COUNTIF($E185:P185,"µ")+COUNTIF($E185:P185,1)-1,INDEX(Roadmap!$D:$K,MATCH($E185,Roadmap!$D:$D,0)-1+COUNTIF($E185:P185,"u")+COUNTIF($E185:P185,"t")+COUNTIF($E185:P185,"¶")+COUNTIF($E185:P185,"²")+COUNTIF($E185:P185,"µ")+COUNTIF($E185:P185,1),ColDescriptionCourte)),""),
  "")),"")</f>
        <v/>
      </c>
      <c r="R185" s="40" t="str">
        <f ca="1">IFERROR(IF(AND(
  INDEX(Roadmap!$D:$K,MATCH($E185,Roadmap!$D:$D,0)+COUNTIF($E185:Q185,"u")+COUNTIF($E185:Q185,"t")+COUNTIF($E185:Q185,"¶")+COUNTIF($E185:Q185,"²")+COUNTIF($E185:Q185,"µ")+COUNTIF($E185:Q185,1),ColLivraison)=R$6,
  VLOOKUP($E185,INDIRECT("tri!"&amp; CHAR(64+ C0Col) &amp;":"&amp; CHAR(65+C0Col)),2,FALSE)&gt;COUNTIF($E185:Q185,"u")+COUNTIF($E185:Q185,"t")+COUNTIF($E185:Q185,"¶")+COUNTIF($E185:Q185,"²")+COUNTIF($E185:Q185,"µ")+COUNTIF($E185:Q185,1)),
HYPERLINK("#Roadmap!C"&amp; MATCH($E185,Roadmap!$D:$D,0)+COUNTIF($E185:Q185,"u")+COUNTIF($E185:Q185,"t"),
     INDEX(Roadmap!$D:$K,MATCH($E185,Roadmap!$D:$D,0)+COUNTIF($E185:Q185,"u")+COUNTIF($E185:Q185,"t")+COUNTIF($E185:Q185,"¶")+COUNTIF($E185:Q185,"²")+COUNTIF($E185:Q185,"µ")+COUNTIF($E185:Q185,1),ColTypeEcheance)),
  IF(LEN(Q185)=1,
  IF(LEN(INDEX(Roadmap!$D:$K,MATCH($E185,Roadmap!$D:$D,0)-1+COUNTIF($E185:Q185,"u")+COUNTIF($E185:Q185,"t")+COUNTIF($E185:Q185,"¶")+COUNTIF($E185:Q185,"²")+COUNTIF($E185:Q185,"µ")+COUNTIF($E185:Q185,1),ColDescriptionCourte))&gt;1,
HYPERLINK("#Roadmap!C"&amp; MATCH($E185,Roadmap!$D:$D,0)+COUNTIF($E185:Q185,"u")+COUNTIF($E185:Q185,"t")+COUNTIF($E185:Q185,"¶")+COUNTIF($E185:Q185,"²")+COUNTIF($E185:Q185,"µ")+COUNTIF($E185:Q185,1)-1,INDEX(Roadmap!$D:$K,MATCH($E185,Roadmap!$D:$D,0)-1+COUNTIF($E185:Q185,"u")+COUNTIF($E185:Q185,"t")+COUNTIF($E185:Q185,"¶")+COUNTIF($E185:Q185,"²")+COUNTIF($E185:Q185,"µ")+COUNTIF($E185:Q185,1),ColDescriptionCourte)),""),
  "")),"")</f>
        <v/>
      </c>
      <c r="S185" s="40" t="str">
        <f ca="1">IFERROR(IF(AND(
  INDEX(Roadmap!$D:$K,MATCH($E185,Roadmap!$D:$D,0)+COUNTIF($E185:R185,"u")+COUNTIF($E185:R185,"t")+COUNTIF($E185:R185,"¶")+COUNTIF($E185:R185,"²")+COUNTIF($E185:R185,"µ")+COUNTIF($E185:R185,1),ColLivraison)=S$6,
  VLOOKUP($E185,INDIRECT("tri!"&amp; CHAR(64+ C0Col) &amp;":"&amp; CHAR(65+C0Col)),2,FALSE)&gt;COUNTIF($E185:R185,"u")+COUNTIF($E185:R185,"t")+COUNTIF($E185:R185,"¶")+COUNTIF($E185:R185,"²")+COUNTIF($E185:R185,"µ")+COUNTIF($E185:R185,1)),
HYPERLINK("#Roadmap!C"&amp; MATCH($E185,Roadmap!$D:$D,0)+COUNTIF($E185:R185,"u")+COUNTIF($E185:R185,"t"),
     INDEX(Roadmap!$D:$K,MATCH($E185,Roadmap!$D:$D,0)+COUNTIF($E185:R185,"u")+COUNTIF($E185:R185,"t")+COUNTIF($E185:R185,"¶")+COUNTIF($E185:R185,"²")+COUNTIF($E185:R185,"µ")+COUNTIF($E185:R185,1),ColTypeEcheance)),
  IF(LEN(R185)=1,
  IF(LEN(INDEX(Roadmap!$D:$K,MATCH($E185,Roadmap!$D:$D,0)-1+COUNTIF($E185:R185,"u")+COUNTIF($E185:R185,"t")+COUNTIF($E185:R185,"¶")+COUNTIF($E185:R185,"²")+COUNTIF($E185:R185,"µ")+COUNTIF($E185:R185,1),ColDescriptionCourte))&gt;1,
HYPERLINK("#Roadmap!C"&amp; MATCH($E185,Roadmap!$D:$D,0)+COUNTIF($E185:R185,"u")+COUNTIF($E185:R185,"t")+COUNTIF($E185:R185,"¶")+COUNTIF($E185:R185,"²")+COUNTIF($E185:R185,"µ")+COUNTIF($E185:R185,1)-1,INDEX(Roadmap!$D:$K,MATCH($E185,Roadmap!$D:$D,0)-1+COUNTIF($E185:R185,"u")+COUNTIF($E185:R185,"t")+COUNTIF($E185:R185,"¶")+COUNTIF($E185:R185,"²")+COUNTIF($E185:R185,"µ")+COUNTIF($E185:R185,1),ColDescriptionCourte)),""),
  "")),"")</f>
        <v/>
      </c>
      <c r="T185" s="40" t="str">
        <f ca="1">IFERROR(IF(AND(
  INDEX(Roadmap!$D:$K,MATCH($E185,Roadmap!$D:$D,0)+COUNTIF($E185:S185,"u")+COUNTIF($E185:S185,"t")+COUNTIF($E185:S185,"¶")+COUNTIF($E185:S185,"²")+COUNTIF($E185:S185,"µ")+COUNTIF($E185:S185,1),ColLivraison)=T$6,
  VLOOKUP($E185,INDIRECT("tri!"&amp; CHAR(64+ C0Col) &amp;":"&amp; CHAR(65+C0Col)),2,FALSE)&gt;COUNTIF($E185:S185,"u")+COUNTIF($E185:S185,"t")+COUNTIF($E185:S185,"¶")+COUNTIF($E185:S185,"²")+COUNTIF($E185:S185,"µ")+COUNTIF($E185:S185,1)),
HYPERLINK("#Roadmap!C"&amp; MATCH($E185,Roadmap!$D:$D,0)+COUNTIF($E185:S185,"u")+COUNTIF($E185:S185,"t"),
     INDEX(Roadmap!$D:$K,MATCH($E185,Roadmap!$D:$D,0)+COUNTIF($E185:S185,"u")+COUNTIF($E185:S185,"t")+COUNTIF($E185:S185,"¶")+COUNTIF($E185:S185,"²")+COUNTIF($E185:S185,"µ")+COUNTIF($E185:S185,1),ColTypeEcheance)),
  IF(LEN(S185)=1,
  IF(LEN(INDEX(Roadmap!$D:$K,MATCH($E185,Roadmap!$D:$D,0)-1+COUNTIF($E185:S185,"u")+COUNTIF($E185:S185,"t")+COUNTIF($E185:S185,"¶")+COUNTIF($E185:S185,"²")+COUNTIF($E185:S185,"µ")+COUNTIF($E185:S185,1),ColDescriptionCourte))&gt;1,
HYPERLINK("#Roadmap!C"&amp; MATCH($E185,Roadmap!$D:$D,0)+COUNTIF($E185:S185,"u")+COUNTIF($E185:S185,"t")+COUNTIF($E185:S185,"¶")+COUNTIF($E185:S185,"²")+COUNTIF($E185:S185,"µ")+COUNTIF($E185:S185,1)-1,INDEX(Roadmap!$D:$K,MATCH($E185,Roadmap!$D:$D,0)-1+COUNTIF($E185:S185,"u")+COUNTIF($E185:S185,"t")+COUNTIF($E185:S185,"¶")+COUNTIF($E185:S185,"²")+COUNTIF($E185:S185,"µ")+COUNTIF($E185:S185,1),ColDescriptionCourte)),""),
  "")),"")</f>
        <v/>
      </c>
      <c r="U185" s="40" t="str">
        <f ca="1">IFERROR(IF(AND(
  INDEX(Roadmap!$D:$K,MATCH($E185,Roadmap!$D:$D,0)+COUNTIF($E185:T185,"u")+COUNTIF($E185:T185,"t")+COUNTIF($E185:T185,"¶")+COUNTIF($E185:T185,"²")+COUNTIF($E185:T185,"µ")+COUNTIF($E185:T185,1),ColLivraison)=U$6,
  VLOOKUP($E185,INDIRECT("tri!"&amp; CHAR(64+ C0Col) &amp;":"&amp; CHAR(65+C0Col)),2,FALSE)&gt;COUNTIF($E185:T185,"u")+COUNTIF($E185:T185,"t")+COUNTIF($E185:T185,"¶")+COUNTIF($E185:T185,"²")+COUNTIF($E185:T185,"µ")+COUNTIF($E185:T185,1)),
HYPERLINK("#Roadmap!C"&amp; MATCH($E185,Roadmap!$D:$D,0)+COUNTIF($E185:T185,"u")+COUNTIF($E185:T185,"t"),
     INDEX(Roadmap!$D:$K,MATCH($E185,Roadmap!$D:$D,0)+COUNTIF($E185:T185,"u")+COUNTIF($E185:T185,"t")+COUNTIF($E185:T185,"¶")+COUNTIF($E185:T185,"²")+COUNTIF($E185:T185,"µ")+COUNTIF($E185:T185,1),ColTypeEcheance)),
  IF(LEN(T185)=1,
  IF(LEN(INDEX(Roadmap!$D:$K,MATCH($E185,Roadmap!$D:$D,0)-1+COUNTIF($E185:T185,"u")+COUNTIF($E185:T185,"t")+COUNTIF($E185:T185,"¶")+COUNTIF($E185:T185,"²")+COUNTIF($E185:T185,"µ")+COUNTIF($E185:T185,1),ColDescriptionCourte))&gt;1,
HYPERLINK("#Roadmap!C"&amp; MATCH($E185,Roadmap!$D:$D,0)+COUNTIF($E185:T185,"u")+COUNTIF($E185:T185,"t")+COUNTIF($E185:T185,"¶")+COUNTIF($E185:T185,"²")+COUNTIF($E185:T185,"µ")+COUNTIF($E185:T185,1)-1,INDEX(Roadmap!$D:$K,MATCH($E185,Roadmap!$D:$D,0)-1+COUNTIF($E185:T185,"u")+COUNTIF($E185:T185,"t")+COUNTIF($E185:T185,"¶")+COUNTIF($E185:T185,"²")+COUNTIF($E185:T185,"µ")+COUNTIF($E185:T185,1),ColDescriptionCourte)),""),
  "")),"")</f>
        <v/>
      </c>
      <c r="V185" s="40" t="str">
        <f ca="1">IFERROR(IF(AND(
  INDEX(Roadmap!$D:$K,MATCH($E185,Roadmap!$D:$D,0)+COUNTIF($E185:U185,"u")+COUNTIF($E185:U185,"t")+COUNTIF($E185:U185,"¶")+COUNTIF($E185:U185,"²")+COUNTIF($E185:U185,"µ")+COUNTIF($E185:U185,1),ColLivraison)=V$6,
  VLOOKUP($E185,INDIRECT("tri!"&amp; CHAR(64+ C0Col) &amp;":"&amp; CHAR(65+C0Col)),2,FALSE)&gt;COUNTIF($E185:U185,"u")+COUNTIF($E185:U185,"t")+COUNTIF($E185:U185,"¶")+COUNTIF($E185:U185,"²")+COUNTIF($E185:U185,"µ")+COUNTIF($E185:U185,1)),
HYPERLINK("#Roadmap!C"&amp; MATCH($E185,Roadmap!$D:$D,0)+COUNTIF($E185:U185,"u")+COUNTIF($E185:U185,"t"),
     INDEX(Roadmap!$D:$K,MATCH($E185,Roadmap!$D:$D,0)+COUNTIF($E185:U185,"u")+COUNTIF($E185:U185,"t")+COUNTIF($E185:U185,"¶")+COUNTIF($E185:U185,"²")+COUNTIF($E185:U185,"µ")+COUNTIF($E185:U185,1),ColTypeEcheance)),
  IF(LEN(U185)=1,
  IF(LEN(INDEX(Roadmap!$D:$K,MATCH($E185,Roadmap!$D:$D,0)-1+COUNTIF($E185:U185,"u")+COUNTIF($E185:U185,"t")+COUNTIF($E185:U185,"¶")+COUNTIF($E185:U185,"²")+COUNTIF($E185:U185,"µ")+COUNTIF($E185:U185,1),ColDescriptionCourte))&gt;1,
HYPERLINK("#Roadmap!C"&amp; MATCH($E185,Roadmap!$D:$D,0)+COUNTIF($E185:U185,"u")+COUNTIF($E185:U185,"t")+COUNTIF($E185:U185,"¶")+COUNTIF($E185:U185,"²")+COUNTIF($E185:U185,"µ")+COUNTIF($E185:U185,1)-1,INDEX(Roadmap!$D:$K,MATCH($E185,Roadmap!$D:$D,0)-1+COUNTIF($E185:U185,"u")+COUNTIF($E185:U185,"t")+COUNTIF($E185:U185,"¶")+COUNTIF($E185:U185,"²")+COUNTIF($E185:U185,"µ")+COUNTIF($E185:U185,1),ColDescriptionCourte)),""),
  "")),"")</f>
        <v/>
      </c>
      <c r="W185" s="40" t="str">
        <f ca="1">IFERROR(IF(AND(
  INDEX(Roadmap!$D:$K,MATCH($E185,Roadmap!$D:$D,0)+COUNTIF($E185:V185,"u")+COUNTIF($E185:V185,"t")+COUNTIF($E185:V185,"¶")+COUNTIF($E185:V185,"²")+COUNTIF($E185:V185,"µ")+COUNTIF($E185:V185,1),ColLivraison)=W$6,
  VLOOKUP($E185,INDIRECT("tri!"&amp; CHAR(64+ C0Col) &amp;":"&amp; CHAR(65+C0Col)),2,FALSE)&gt;COUNTIF($E185:V185,"u")+COUNTIF($E185:V185,"t")+COUNTIF($E185:V185,"¶")+COUNTIF($E185:V185,"²")+COUNTIF($E185:V185,"µ")+COUNTIF($E185:V185,1)),
HYPERLINK("#Roadmap!C"&amp; MATCH($E185,Roadmap!$D:$D,0)+COUNTIF($E185:V185,"u")+COUNTIF($E185:V185,"t"),
     INDEX(Roadmap!$D:$K,MATCH($E185,Roadmap!$D:$D,0)+COUNTIF($E185:V185,"u")+COUNTIF($E185:V185,"t")+COUNTIF($E185:V185,"¶")+COUNTIF($E185:V185,"²")+COUNTIF($E185:V185,"µ")+COUNTIF($E185:V185,1),ColTypeEcheance)),
  IF(LEN(V185)=1,
  IF(LEN(INDEX(Roadmap!$D:$K,MATCH($E185,Roadmap!$D:$D,0)-1+COUNTIF($E185:V185,"u")+COUNTIF($E185:V185,"t")+COUNTIF($E185:V185,"¶")+COUNTIF($E185:V185,"²")+COUNTIF($E185:V185,"µ")+COUNTIF($E185:V185,1),ColDescriptionCourte))&gt;1,
HYPERLINK("#Roadmap!C"&amp; MATCH($E185,Roadmap!$D:$D,0)+COUNTIF($E185:V185,"u")+COUNTIF($E185:V185,"t")+COUNTIF($E185:V185,"¶")+COUNTIF($E185:V185,"²")+COUNTIF($E185:V185,"µ")+COUNTIF($E185:V185,1)-1,INDEX(Roadmap!$D:$K,MATCH($E185,Roadmap!$D:$D,0)-1+COUNTIF($E185:V185,"u")+COUNTIF($E185:V185,"t")+COUNTIF($E185:V185,"¶")+COUNTIF($E185:V185,"²")+COUNTIF($E185:V185,"µ")+COUNTIF($E185:V185,1),ColDescriptionCourte)),""),
  "")),"")</f>
        <v/>
      </c>
      <c r="X185" s="40" t="str">
        <f ca="1">IFERROR(IF(AND(
  INDEX(Roadmap!$D:$K,MATCH($E185,Roadmap!$D:$D,0)+COUNTIF($E185:W185,"u")+COUNTIF($E185:W185,"t")+COUNTIF($E185:W185,"¶")+COUNTIF($E185:W185,"²")+COUNTIF($E185:W185,"µ")+COUNTIF($E185:W185,1),ColLivraison)=X$6,
  VLOOKUP($E185,INDIRECT("tri!"&amp; CHAR(64+ C0Col) &amp;":"&amp; CHAR(65+C0Col)),2,FALSE)&gt;COUNTIF($E185:W185,"u")+COUNTIF($E185:W185,"t")+COUNTIF($E185:W185,"¶")+COUNTIF($E185:W185,"²")+COUNTIF($E185:W185,"µ")+COUNTIF($E185:W185,1)),
HYPERLINK("#Roadmap!C"&amp; MATCH($E185,Roadmap!$D:$D,0)+COUNTIF($E185:W185,"u")+COUNTIF($E185:W185,"t"),
     INDEX(Roadmap!$D:$K,MATCH($E185,Roadmap!$D:$D,0)+COUNTIF($E185:W185,"u")+COUNTIF($E185:W185,"t")+COUNTIF($E185:W185,"¶")+COUNTIF($E185:W185,"²")+COUNTIF($E185:W185,"µ")+COUNTIF($E185:W185,1),ColTypeEcheance)),
  IF(LEN(W185)=1,
  IF(LEN(INDEX(Roadmap!$D:$K,MATCH($E185,Roadmap!$D:$D,0)-1+COUNTIF($E185:W185,"u")+COUNTIF($E185:W185,"t")+COUNTIF($E185:W185,"¶")+COUNTIF($E185:W185,"²")+COUNTIF($E185:W185,"µ")+COUNTIF($E185:W185,1),ColDescriptionCourte))&gt;1,
HYPERLINK("#Roadmap!C"&amp; MATCH($E185,Roadmap!$D:$D,0)+COUNTIF($E185:W185,"u")+COUNTIF($E185:W185,"t")+COUNTIF($E185:W185,"¶")+COUNTIF($E185:W185,"²")+COUNTIF($E185:W185,"µ")+COUNTIF($E185:W185,1)-1,INDEX(Roadmap!$D:$K,MATCH($E185,Roadmap!$D:$D,0)-1+COUNTIF($E185:W185,"u")+COUNTIF($E185:W185,"t")+COUNTIF($E185:W185,"¶")+COUNTIF($E185:W185,"²")+COUNTIF($E185:W185,"µ")+COUNTIF($E185:W185,1),ColDescriptionCourte)),""),
  "")),"")</f>
        <v/>
      </c>
      <c r="Y185" s="40" t="str">
        <f ca="1">IFERROR(IF(AND(
  INDEX(Roadmap!$D:$K,MATCH($E185,Roadmap!$D:$D,0)+COUNTIF($E185:X185,"u")+COUNTIF($E185:X185,"t")+COUNTIF($E185:X185,"¶")+COUNTIF($E185:X185,"²")+COUNTIF($E185:X185,"µ")+COUNTIF($E185:X185,1),ColLivraison)=Y$6,
  VLOOKUP($E185,INDIRECT("tri!"&amp; CHAR(64+ C0Col) &amp;":"&amp; CHAR(65+C0Col)),2,FALSE)&gt;COUNTIF($E185:X185,"u")+COUNTIF($E185:X185,"t")+COUNTIF($E185:X185,"¶")+COUNTIF($E185:X185,"²")+COUNTIF($E185:X185,"µ")+COUNTIF($E185:X185,1)),
HYPERLINK("#Roadmap!C"&amp; MATCH($E185,Roadmap!$D:$D,0)+COUNTIF($E185:X185,"u")+COUNTIF($E185:X185,"t"),
     INDEX(Roadmap!$D:$K,MATCH($E185,Roadmap!$D:$D,0)+COUNTIF($E185:X185,"u")+COUNTIF($E185:X185,"t")+COUNTIF($E185:X185,"¶")+COUNTIF($E185:X185,"²")+COUNTIF($E185:X185,"µ")+COUNTIF($E185:X185,1),ColTypeEcheance)),
  IF(LEN(X185)=1,
  IF(LEN(INDEX(Roadmap!$D:$K,MATCH($E185,Roadmap!$D:$D,0)-1+COUNTIF($E185:X185,"u")+COUNTIF($E185:X185,"t")+COUNTIF($E185:X185,"¶")+COUNTIF($E185:X185,"²")+COUNTIF($E185:X185,"µ")+COUNTIF($E185:X185,1),ColDescriptionCourte))&gt;1,
HYPERLINK("#Roadmap!C"&amp; MATCH($E185,Roadmap!$D:$D,0)+COUNTIF($E185:X185,"u")+COUNTIF($E185:X185,"t")+COUNTIF($E185:X185,"¶")+COUNTIF($E185:X185,"²")+COUNTIF($E185:X185,"µ")+COUNTIF($E185:X185,1)-1,INDEX(Roadmap!$D:$K,MATCH($E185,Roadmap!$D:$D,0)-1+COUNTIF($E185:X185,"u")+COUNTIF($E185:X185,"t")+COUNTIF($E185:X185,"¶")+COUNTIF($E185:X185,"²")+COUNTIF($E185:X185,"µ")+COUNTIF($E185:X185,1),ColDescriptionCourte)),""),
  "")),"")</f>
        <v/>
      </c>
      <c r="Z185" s="40" t="str">
        <f ca="1">IFERROR(IF(AND(
  INDEX(Roadmap!$D:$K,MATCH($E185,Roadmap!$D:$D,0)+COUNTIF($E185:Y185,"u")+COUNTIF($E185:Y185,"t")+COUNTIF($E185:Y185,"¶")+COUNTIF($E185:Y185,"²")+COUNTIF($E185:Y185,"µ")+COUNTIF($E185:Y185,1),ColLivraison)=Z$6,
  VLOOKUP($E185,INDIRECT("tri!"&amp; CHAR(64+ C0Col) &amp;":"&amp; CHAR(65+C0Col)),2,FALSE)&gt;COUNTIF($E185:Y185,"u")+COUNTIF($E185:Y185,"t")+COUNTIF($E185:Y185,"¶")+COUNTIF($E185:Y185,"²")+COUNTIF($E185:Y185,"µ")+COUNTIF($E185:Y185,1)),
HYPERLINK("#Roadmap!C"&amp; MATCH($E185,Roadmap!$D:$D,0)+COUNTIF($E185:Y185,"u")+COUNTIF($E185:Y185,"t"),
     INDEX(Roadmap!$D:$K,MATCH($E185,Roadmap!$D:$D,0)+COUNTIF($E185:Y185,"u")+COUNTIF($E185:Y185,"t")+COUNTIF($E185:Y185,"¶")+COUNTIF($E185:Y185,"²")+COUNTIF($E185:Y185,"µ")+COUNTIF($E185:Y185,1),ColTypeEcheance)),
  IF(LEN(Y185)=1,
  IF(LEN(INDEX(Roadmap!$D:$K,MATCH($E185,Roadmap!$D:$D,0)-1+COUNTIF($E185:Y185,"u")+COUNTIF($E185:Y185,"t")+COUNTIF($E185:Y185,"¶")+COUNTIF($E185:Y185,"²")+COUNTIF($E185:Y185,"µ")+COUNTIF($E185:Y185,1),ColDescriptionCourte))&gt;1,
HYPERLINK("#Roadmap!C"&amp; MATCH($E185,Roadmap!$D:$D,0)+COUNTIF($E185:Y185,"u")+COUNTIF($E185:Y185,"t")+COUNTIF($E185:Y185,"¶")+COUNTIF($E185:Y185,"²")+COUNTIF($E185:Y185,"µ")+COUNTIF($E185:Y185,1)-1,INDEX(Roadmap!$D:$K,MATCH($E185,Roadmap!$D:$D,0)-1+COUNTIF($E185:Y185,"u")+COUNTIF($E185:Y185,"t")+COUNTIF($E185:Y185,"¶")+COUNTIF($E185:Y185,"²")+COUNTIF($E185:Y185,"µ")+COUNTIF($E185:Y185,1),ColDescriptionCourte)),""),
  "")),"")</f>
        <v/>
      </c>
      <c r="AA185" s="40" t="str">
        <f ca="1">IFERROR(IF(AND(
  INDEX(Roadmap!$D:$K,MATCH($E185,Roadmap!$D:$D,0)+COUNTIF($E185:Z185,"u")+COUNTIF($E185:Z185,"t")+COUNTIF($E185:Z185,"¶")+COUNTIF($E185:Z185,"²")+COUNTIF($E185:Z185,"µ")+COUNTIF($E185:Z185,1),ColLivraison)=AA$6,
  VLOOKUP($E185,INDIRECT("tri!"&amp; CHAR(64+ C0Col) &amp;":"&amp; CHAR(65+C0Col)),2,FALSE)&gt;COUNTIF($E185:Z185,"u")+COUNTIF($E185:Z185,"t")+COUNTIF($E185:Z185,"¶")+COUNTIF($E185:Z185,"²")+COUNTIF($E185:Z185,"µ")+COUNTIF($E185:Z185,1)),
HYPERLINK("#Roadmap!C"&amp; MATCH($E185,Roadmap!$D:$D,0)+COUNTIF($E185:Z185,"u")+COUNTIF($E185:Z185,"t"),
     INDEX(Roadmap!$D:$K,MATCH($E185,Roadmap!$D:$D,0)+COUNTIF($E185:Z185,"u")+COUNTIF($E185:Z185,"t")+COUNTIF($E185:Z185,"¶")+COUNTIF($E185:Z185,"²")+COUNTIF($E185:Z185,"µ")+COUNTIF($E185:Z185,1),ColTypeEcheance)),
  IF(LEN(Z185)=1,
  IF(LEN(INDEX(Roadmap!$D:$K,MATCH($E185,Roadmap!$D:$D,0)-1+COUNTIF($E185:Z185,"u")+COUNTIF($E185:Z185,"t")+COUNTIF($E185:Z185,"¶")+COUNTIF($E185:Z185,"²")+COUNTIF($E185:Z185,"µ")+COUNTIF($E185:Z185,1),ColDescriptionCourte))&gt;1,
HYPERLINK("#Roadmap!C"&amp; MATCH($E185,Roadmap!$D:$D,0)+COUNTIF($E185:Z185,"u")+COUNTIF($E185:Z185,"t")+COUNTIF($E185:Z185,"¶")+COUNTIF($E185:Z185,"²")+COUNTIF($E185:Z185,"µ")+COUNTIF($E185:Z185,1)-1,INDEX(Roadmap!$D:$K,MATCH($E185,Roadmap!$D:$D,0)-1+COUNTIF($E185:Z185,"u")+COUNTIF($E185:Z185,"t")+COUNTIF($E185:Z185,"¶")+COUNTIF($E185:Z185,"²")+COUNTIF($E185:Z185,"µ")+COUNTIF($E185:Z185,1),ColDescriptionCourte)),""),
  "")),"")</f>
        <v/>
      </c>
      <c r="AB185" s="40" t="str">
        <f ca="1">IFERROR(IF(AND(
  INDEX(Roadmap!$D:$K,MATCH($E185,Roadmap!$D:$D,0)+COUNTIF($E185:AA185,"u")+COUNTIF($E185:AA185,"t")+COUNTIF($E185:AA185,"¶")+COUNTIF($E185:AA185,"²")+COUNTIF($E185:AA185,"µ")+COUNTIF($E185:AA185,1),ColLivraison)=AB$6,
  VLOOKUP($E185,INDIRECT("tri!"&amp; CHAR(64+ C0Col) &amp;":"&amp; CHAR(65+C0Col)),2,FALSE)&gt;COUNTIF($E185:AA185,"u")+COUNTIF($E185:AA185,"t")+COUNTIF($E185:AA185,"¶")+COUNTIF($E185:AA185,"²")+COUNTIF($E185:AA185,"µ")+COUNTIF($E185:AA185,1)),
HYPERLINK("#Roadmap!C"&amp; MATCH($E185,Roadmap!$D:$D,0)+COUNTIF($E185:AA185,"u")+COUNTIF($E185:AA185,"t"),
     INDEX(Roadmap!$D:$K,MATCH($E185,Roadmap!$D:$D,0)+COUNTIF($E185:AA185,"u")+COUNTIF($E185:AA185,"t")+COUNTIF($E185:AA185,"¶")+COUNTIF($E185:AA185,"²")+COUNTIF($E185:AA185,"µ")+COUNTIF($E185:AA185,1),ColTypeEcheance)),
  IF(LEN(AA185)=1,
  IF(LEN(INDEX(Roadmap!$D:$K,MATCH($E185,Roadmap!$D:$D,0)-1+COUNTIF($E185:AA185,"u")+COUNTIF($E185:AA185,"t")+COUNTIF($E185:AA185,"¶")+COUNTIF($E185:AA185,"²")+COUNTIF($E185:AA185,"µ")+COUNTIF($E185:AA185,1),ColDescriptionCourte))&gt;1,
HYPERLINK("#Roadmap!C"&amp; MATCH($E185,Roadmap!$D:$D,0)+COUNTIF($E185:AA185,"u")+COUNTIF($E185:AA185,"t")+COUNTIF($E185:AA185,"¶")+COUNTIF($E185:AA185,"²")+COUNTIF($E185:AA185,"µ")+COUNTIF($E185:AA185,1)-1,INDEX(Roadmap!$D:$K,MATCH($E185,Roadmap!$D:$D,0)-1+COUNTIF($E185:AA185,"u")+COUNTIF($E185:AA185,"t")+COUNTIF($E185:AA185,"¶")+COUNTIF($E185:AA185,"²")+COUNTIF($E185:AA185,"µ")+COUNTIF($E185:AA185,1),ColDescriptionCourte)),""),
  "")),"")</f>
        <v/>
      </c>
      <c r="AC185" s="40" t="str">
        <f ca="1">IFERROR(IF(AND(
  INDEX(Roadmap!$D:$K,MATCH($E185,Roadmap!$D:$D,0)+COUNTIF($E185:AB185,"u")+COUNTIF($E185:AB185,"t")+COUNTIF($E185:AB185,"¶")+COUNTIF($E185:AB185,"²")+COUNTIF($E185:AB185,"µ")+COUNTIF($E185:AB185,1),ColLivraison)=AC$6,
  VLOOKUP($E185,INDIRECT("tri!"&amp; CHAR(64+ C0Col) &amp;":"&amp; CHAR(65+C0Col)),2,FALSE)&gt;COUNTIF($E185:AB185,"u")+COUNTIF($E185:AB185,"t")+COUNTIF($E185:AB185,"¶")+COUNTIF($E185:AB185,"²")+COUNTIF($E185:AB185,"µ")+COUNTIF($E185:AB185,1)),
HYPERLINK("#Roadmap!C"&amp; MATCH($E185,Roadmap!$D:$D,0)+COUNTIF($E185:AB185,"u")+COUNTIF($E185:AB185,"t"),
     INDEX(Roadmap!$D:$K,MATCH($E185,Roadmap!$D:$D,0)+COUNTIF($E185:AB185,"u")+COUNTIF($E185:AB185,"t")+COUNTIF($E185:AB185,"¶")+COUNTIF($E185:AB185,"²")+COUNTIF($E185:AB185,"µ")+COUNTIF($E185:AB185,1),ColTypeEcheance)),
  IF(LEN(AB185)=1,
  IF(LEN(INDEX(Roadmap!$D:$K,MATCH($E185,Roadmap!$D:$D,0)-1+COUNTIF($E185:AB185,"u")+COUNTIF($E185:AB185,"t")+COUNTIF($E185:AB185,"¶")+COUNTIF($E185:AB185,"²")+COUNTIF($E185:AB185,"µ")+COUNTIF($E185:AB185,1),ColDescriptionCourte))&gt;1,
HYPERLINK("#Roadmap!C"&amp; MATCH($E185,Roadmap!$D:$D,0)+COUNTIF($E185:AB185,"u")+COUNTIF($E185:AB185,"t")+COUNTIF($E185:AB185,"¶")+COUNTIF($E185:AB185,"²")+COUNTIF($E185:AB185,"µ")+COUNTIF($E185:AB185,1)-1,INDEX(Roadmap!$D:$K,MATCH($E185,Roadmap!$D:$D,0)-1+COUNTIF($E185:AB185,"u")+COUNTIF($E185:AB185,"t")+COUNTIF($E185:AB185,"¶")+COUNTIF($E185:AB185,"²")+COUNTIF($E185:AB185,"µ")+COUNTIF($E185:AB185,1),ColDescriptionCourte)),""),
  "")),"")</f>
        <v/>
      </c>
      <c r="AD185" s="40" t="str">
        <f ca="1">IFERROR(IF(AND(
  INDEX(Roadmap!$D:$K,MATCH($E185,Roadmap!$D:$D,0)+COUNTIF($E185:AC185,"u")+COUNTIF($E185:AC185,"t")+COUNTIF($E185:AC185,"¶")+COUNTIF($E185:AC185,"²")+COUNTIF($E185:AC185,"µ")+COUNTIF($E185:AC185,1),ColLivraison)=AD$6,
  VLOOKUP($E185,INDIRECT("tri!"&amp; CHAR(64+ C0Col) &amp;":"&amp; CHAR(65+C0Col)),2,FALSE)&gt;COUNTIF($E185:AC185,"u")+COUNTIF($E185:AC185,"t")+COUNTIF($E185:AC185,"¶")+COUNTIF($E185:AC185,"²")+COUNTIF($E185:AC185,"µ")+COUNTIF($E185:AC185,1)),
HYPERLINK("#Roadmap!C"&amp; MATCH($E185,Roadmap!$D:$D,0)+COUNTIF($E185:AC185,"u")+COUNTIF($E185:AC185,"t"),
     INDEX(Roadmap!$D:$K,MATCH($E185,Roadmap!$D:$D,0)+COUNTIF($E185:AC185,"u")+COUNTIF($E185:AC185,"t")+COUNTIF($E185:AC185,"¶")+COUNTIF($E185:AC185,"²")+COUNTIF($E185:AC185,"µ")+COUNTIF($E185:AC185,1),ColTypeEcheance)),
  IF(LEN(AC185)=1,
  IF(LEN(INDEX(Roadmap!$D:$K,MATCH($E185,Roadmap!$D:$D,0)-1+COUNTIF($E185:AC185,"u")+COUNTIF($E185:AC185,"t")+COUNTIF($E185:AC185,"¶")+COUNTIF($E185:AC185,"²")+COUNTIF($E185:AC185,"µ")+COUNTIF($E185:AC185,1),ColDescriptionCourte))&gt;1,
HYPERLINK("#Roadmap!C"&amp; MATCH($E185,Roadmap!$D:$D,0)+COUNTIF($E185:AC185,"u")+COUNTIF($E185:AC185,"t")+COUNTIF($E185:AC185,"¶")+COUNTIF($E185:AC185,"²")+COUNTIF($E185:AC185,"µ")+COUNTIF($E185:AC185,1)-1,INDEX(Roadmap!$D:$K,MATCH($E185,Roadmap!$D:$D,0)-1+COUNTIF($E185:AC185,"u")+COUNTIF($E185:AC185,"t")+COUNTIF($E185:AC185,"¶")+COUNTIF($E185:AC185,"²")+COUNTIF($E185:AC185,"µ")+COUNTIF($E185:AC185,1),ColDescriptionCourte)),""),
  "")),"")</f>
        <v/>
      </c>
      <c r="AE185" s="40" t="str">
        <f ca="1">IFERROR(IF(AND(
  INDEX(Roadmap!$D:$K,MATCH($E185,Roadmap!$D:$D,0)+COUNTIF($E185:AD185,"u")+COUNTIF($E185:AD185,"t")+COUNTIF($E185:AD185,"¶")+COUNTIF($E185:AD185,"²")+COUNTIF($E185:AD185,"µ")+COUNTIF($E185:AD185,1),ColLivraison)=AE$6,
  VLOOKUP($E185,INDIRECT("tri!"&amp; CHAR(64+ C0Col) &amp;":"&amp; CHAR(65+C0Col)),2,FALSE)&gt;COUNTIF($E185:AD185,"u")+COUNTIF($E185:AD185,"t")+COUNTIF($E185:AD185,"¶")+COUNTIF($E185:AD185,"²")+COUNTIF($E185:AD185,"µ")+COUNTIF($E185:AD185,1)),
HYPERLINK("#Roadmap!C"&amp; MATCH($E185,Roadmap!$D:$D,0)+COUNTIF($E185:AD185,"u")+COUNTIF($E185:AD185,"t"),
     INDEX(Roadmap!$D:$K,MATCH($E185,Roadmap!$D:$D,0)+COUNTIF($E185:AD185,"u")+COUNTIF($E185:AD185,"t")+COUNTIF($E185:AD185,"¶")+COUNTIF($E185:AD185,"²")+COUNTIF($E185:AD185,"µ")+COUNTIF($E185:AD185,1),ColTypeEcheance)),
  IF(LEN(AD185)=1,
  IF(LEN(INDEX(Roadmap!$D:$K,MATCH($E185,Roadmap!$D:$D,0)-1+COUNTIF($E185:AD185,"u")+COUNTIF($E185:AD185,"t")+COUNTIF($E185:AD185,"¶")+COUNTIF($E185:AD185,"²")+COUNTIF($E185:AD185,"µ")+COUNTIF($E185:AD185,1),ColDescriptionCourte))&gt;1,
HYPERLINK("#Roadmap!C"&amp; MATCH($E185,Roadmap!$D:$D,0)+COUNTIF($E185:AD185,"u")+COUNTIF($E185:AD185,"t")+COUNTIF($E185:AD185,"¶")+COUNTIF($E185:AD185,"²")+COUNTIF($E185:AD185,"µ")+COUNTIF($E185:AD185,1)-1,INDEX(Roadmap!$D:$K,MATCH($E185,Roadmap!$D:$D,0)-1+COUNTIF($E185:AD185,"u")+COUNTIF($E185:AD185,"t")+COUNTIF($E185:AD185,"¶")+COUNTIF($E185:AD185,"²")+COUNTIF($E185:AD185,"µ")+COUNTIF($E185:AD185,1),ColDescriptionCourte)),""),
  "")),"")</f>
        <v/>
      </c>
      <c r="AF185" s="40" t="str">
        <f ca="1">IFERROR(IF(AND(
  INDEX(Roadmap!$D:$K,MATCH($E185,Roadmap!$D:$D,0)+COUNTIF($E185:AE185,"u")+COUNTIF($E185:AE185,"t")+COUNTIF($E185:AE185,"¶")+COUNTIF($E185:AE185,"²")+COUNTIF($E185:AE185,"µ")+COUNTIF($E185:AE185,1),ColLivraison)=AF$6,
  VLOOKUP($E185,INDIRECT("tri!"&amp; CHAR(64+ C0Col) &amp;":"&amp; CHAR(65+C0Col)),2,FALSE)&gt;COUNTIF($E185:AE185,"u")+COUNTIF($E185:AE185,"t")+COUNTIF($E185:AE185,"¶")+COUNTIF($E185:AE185,"²")+COUNTIF($E185:AE185,"µ")+COUNTIF($E185:AE185,1)),
HYPERLINK("#Roadmap!C"&amp; MATCH($E185,Roadmap!$D:$D,0)+COUNTIF($E185:AE185,"u")+COUNTIF($E185:AE185,"t"),
     INDEX(Roadmap!$D:$K,MATCH($E185,Roadmap!$D:$D,0)+COUNTIF($E185:AE185,"u")+COUNTIF($E185:AE185,"t")+COUNTIF($E185:AE185,"¶")+COUNTIF($E185:AE185,"²")+COUNTIF($E185:AE185,"µ")+COUNTIF($E185:AE185,1),ColTypeEcheance)),
  IF(LEN(AE185)=1,
  IF(LEN(INDEX(Roadmap!$D:$K,MATCH($E185,Roadmap!$D:$D,0)-1+COUNTIF($E185:AE185,"u")+COUNTIF($E185:AE185,"t")+COUNTIF($E185:AE185,"¶")+COUNTIF($E185:AE185,"²")+COUNTIF($E185:AE185,"µ")+COUNTIF($E185:AE185,1),ColDescriptionCourte))&gt;1,
HYPERLINK("#Roadmap!C"&amp; MATCH($E185,Roadmap!$D:$D,0)+COUNTIF($E185:AE185,"u")+COUNTIF($E185:AE185,"t")+COUNTIF($E185:AE185,"¶")+COUNTIF($E185:AE185,"²")+COUNTIF($E185:AE185,"µ")+COUNTIF($E185:AE185,1)-1,INDEX(Roadmap!$D:$K,MATCH($E185,Roadmap!$D:$D,0)-1+COUNTIF($E185:AE185,"u")+COUNTIF($E185:AE185,"t")+COUNTIF($E185:AE185,"¶")+COUNTIF($E185:AE185,"²")+COUNTIF($E185:AE185,"µ")+COUNTIF($E185:AE185,1),ColDescriptionCourte)),""),
  "")),"")</f>
        <v/>
      </c>
      <c r="AG185" s="40" t="str">
        <f ca="1">IFERROR(IF(AND(
  INDEX(Roadmap!$D:$K,MATCH($E185,Roadmap!$D:$D,0)+COUNTIF($E185:AF185,"u")+COUNTIF($E185:AF185,"t")+COUNTIF($E185:AF185,"¶")+COUNTIF($E185:AF185,"²")+COUNTIF($E185:AF185,"µ")+COUNTIF($E185:AF185,1),ColLivraison)=AG$6,
  VLOOKUP($E185,INDIRECT("tri!"&amp; CHAR(64+ C0Col) &amp;":"&amp; CHAR(65+C0Col)),2,FALSE)&gt;COUNTIF($E185:AF185,"u")+COUNTIF($E185:AF185,"t")+COUNTIF($E185:AF185,"¶")+COUNTIF($E185:AF185,"²")+COUNTIF($E185:AF185,"µ")+COUNTIF($E185:AF185,1)),
HYPERLINK("#Roadmap!C"&amp; MATCH($E185,Roadmap!$D:$D,0)+COUNTIF($E185:AF185,"u")+COUNTIF($E185:AF185,"t"),
     INDEX(Roadmap!$D:$K,MATCH($E185,Roadmap!$D:$D,0)+COUNTIF($E185:AF185,"u")+COUNTIF($E185:AF185,"t")+COUNTIF($E185:AF185,"¶")+COUNTIF($E185:AF185,"²")+COUNTIF($E185:AF185,"µ")+COUNTIF($E185:AF185,1),ColTypeEcheance)),
  IF(LEN(AF185)=1,
  IF(LEN(INDEX(Roadmap!$D:$K,MATCH($E185,Roadmap!$D:$D,0)-1+COUNTIF($E185:AF185,"u")+COUNTIF($E185:AF185,"t")+COUNTIF($E185:AF185,"¶")+COUNTIF($E185:AF185,"²")+COUNTIF($E185:AF185,"µ")+COUNTIF($E185:AF185,1),ColDescriptionCourte))&gt;1,
HYPERLINK("#Roadmap!C"&amp; MATCH($E185,Roadmap!$D:$D,0)+COUNTIF($E185:AF185,"u")+COUNTIF($E185:AF185,"t")+COUNTIF($E185:AF185,"¶")+COUNTIF($E185:AF185,"²")+COUNTIF($E185:AF185,"µ")+COUNTIF($E185:AF185,1)-1,INDEX(Roadmap!$D:$K,MATCH($E185,Roadmap!$D:$D,0)-1+COUNTIF($E185:AF185,"u")+COUNTIF($E185:AF185,"t")+COUNTIF($E185:AF185,"¶")+COUNTIF($E185:AF185,"²")+COUNTIF($E185:AF185,"µ")+COUNTIF($E185:AF185,1),ColDescriptionCourte)),""),
  "")),"")</f>
        <v/>
      </c>
      <c r="AH185" s="40" t="str">
        <f ca="1">IFERROR(IF(AND(
  INDEX(Roadmap!$D:$K,MATCH($E185,Roadmap!$D:$D,0)+COUNTIF($E185:AG185,"u")+COUNTIF($E185:AG185,"t")+COUNTIF($E185:AG185,1),ColLivraison)=AH$6,
  VLOOKUP($E185,INDIRECT("tri!"&amp; CHAR(64+ C0Col) &amp;":"&amp; CHAR(65+C0Col)),2,FALSE)&gt;COUNTIF($E185:AG185,"u")+COUNTIF($E185:AG185,"t")+COUNTIF($E185:AG185,1)),
HYPERLINK("#Roadmap!C"&amp; MATCH($E185,Roadmap!$D:$D,0)+COUNTIF($E185:AG185,"u")+COUNTIF($E185:AG185,"t"),
     INDEX(Roadmap!$D:$K,MATCH($E185,Roadmap!$D:$D,0)+COUNTIF($E185:AG185,"u")+COUNTIF($E185:AG185,"t")+COUNTIF($E185:AG185,1),ColTypeEcheance)),
  IF(OR(AG185="u",AG185="t",AG185=1),
  IF(LEN(INDEX(Roadmap!$D:$K,MATCH($E185,Roadmap!$D:$D,0)-1+COUNTIF($E185:AG185,"u")+COUNTIF($E185:AG185,"t")+COUNTIF($E185:AG185,1),ColDescriptionCourte))&gt;1,
HYPERLINK("#Roadmap!C"&amp; MATCH($E185,Roadmap!$D:$D,0)+COUNTIF($E185:AG185,"u")+COUNTIF($E185:AG185,"t")+COUNTIF($E185:AG185,1)-1,INDEX(Roadmap!$D:$K,MATCH($E185,Roadmap!$D:$D,0)-1+COUNTIF($E185:AG185,"u")+COUNTIF($E185:AG185,"t")+COUNTIF($E185:AG185,1),ColDescriptionCourte)),""),
  "")),"")</f>
        <v/>
      </c>
      <c r="AI185" s="40"/>
      <c r="AJ185" s="40"/>
      <c r="AK185" s="40"/>
      <c r="AL185" s="40"/>
      <c r="AM185" s="40"/>
    </row>
    <row r="186" spans="4:39" ht="14.1" customHeight="1">
      <c r="D186" s="20" t="str">
        <f t="shared" ca="1" si="31"/>
        <v/>
      </c>
      <c r="E186" s="53" t="str">
        <f t="shared" ca="1" si="32"/>
        <v/>
      </c>
      <c r="F186" s="39" t="str">
        <f ca="1">IFERROR(IF(AND(
  INDEX(Roadmap!$D:$K,MATCH($E186,Roadmap!$D:$D,0)+COUNTIF($E186:E186,"u")+COUNTIF($E186:E186,"t")+COUNTIF($E186:E186,"¶")+COUNTIF($E186:E186,"²")+COUNTIF($E186:E186,"µ")+COUNTIF($E186:E186,1),ColLivraison)=F$6,
  VLOOKUP($E186,INDIRECT("tri!"&amp; CHAR(64+ C0Col) &amp;":"&amp; CHAR(65+C0Col)),2,FALSE)&gt;COUNTIF($E186:E186,"u")+COUNTIF($E186:E186,"t")+COUNTIF($E186:E186,"¶")+COUNTIF($E186:E186,"²")+COUNTIF($E186:E186,"µ")+COUNTIF($E186:E186,1)),
HYPERLINK("#Roadmap!C"&amp; MATCH($E186,Roadmap!$D:$D,0)+COUNTIF($E186:E186,"u")+COUNTIF($E186:E186,"t"),
     INDEX(Roadmap!$D:$K,MATCH($E186,Roadmap!$D:$D,0)+COUNTIF($E186:E186,"u")+COUNTIF($E186:E186,"t")+COUNTIF($E186:E186,"¶")+COUNTIF($E186:E186,"²")+COUNTIF($E186:E186,"µ")+COUNTIF($E186:E186,1),ColTypeEcheance)),
  IF(LEN(E186)=1,
  IF(LEN(INDEX(Roadmap!$D:$K,MATCH($E186,Roadmap!$D:$D,0)-1+COUNTIF($E186:E186,"u")+COUNTIF($E186:E186,"t")+COUNTIF($E186:E186,"¶")+COUNTIF($E186:E186,"²")+COUNTIF($E186:E186,"µ")+COUNTIF($E186:E186,1),ColDescriptionCourte))&gt;1,
HYPERLINK("#Roadmap!C"&amp; MATCH($E186,Roadmap!$D:$D,0)+COUNTIF($E186:E186,"u")+COUNTIF($E186:E186,"t")+COUNTIF($E186:E186,"¶")+COUNTIF($E186:E186,"²")+COUNTIF($E186:E186,"µ")+COUNTIF($E186:E186,1)-1,INDEX(Roadmap!$D:$K,MATCH($E186,Roadmap!$D:$D,0)-1+COUNTIF($E186:E186,"u")+COUNTIF($E186:E186,"t")+COUNTIF($E186:E186,"¶")+COUNTIF($E186:E186,"²")+COUNTIF($E186:E186,"µ")+COUNTIF($E186:E186,1),ColDescriptionCourte)),""),
  "")),"")</f>
        <v/>
      </c>
      <c r="G186" s="40" t="str">
        <f ca="1">IFERROR(IF(AND(
  INDEX(Roadmap!$D:$K,MATCH($E186,Roadmap!$D:$D,0)+COUNTIF($E186:F186,"u")+COUNTIF($E186:F186,"t")+COUNTIF($E186:F186,"¶")+COUNTIF($E186:F186,"²")+COUNTIF($E186:F186,"µ")+COUNTIF($E186:F186,1),ColLivraison)=G$6,
  VLOOKUP($E186,INDIRECT("tri!"&amp; CHAR(64+ C0Col) &amp;":"&amp; CHAR(65+C0Col)),2,FALSE)&gt;COUNTIF($E186:F186,"u")+COUNTIF($E186:F186,"t")+COUNTIF($E186:F186,"¶")+COUNTIF($E186:F186,"²")+COUNTIF($E186:F186,"µ")+COUNTIF($E186:F186,1)),
HYPERLINK("#Roadmap!C"&amp; MATCH($E186,Roadmap!$D:$D,0)+COUNTIF($E186:F186,"u")+COUNTIF($E186:F186,"t"),
     INDEX(Roadmap!$D:$K,MATCH($E186,Roadmap!$D:$D,0)+COUNTIF($E186:F186,"u")+COUNTIF($E186:F186,"t")+COUNTIF($E186:F186,"¶")+COUNTIF($E186:F186,"²")+COUNTIF($E186:F186,"µ")+COUNTIF($E186:F186,1),ColTypeEcheance)),
  IF(LEN(F186)=1,
  IF(LEN(INDEX(Roadmap!$D:$K,MATCH($E186,Roadmap!$D:$D,0)-1+COUNTIF($E186:F186,"u")+COUNTIF($E186:F186,"t")+COUNTIF($E186:F186,"¶")+COUNTIF($E186:F186,"²")+COUNTIF($E186:F186,"µ")+COUNTIF($E186:F186,1),ColDescriptionCourte))&gt;1,
HYPERLINK("#Roadmap!C"&amp; MATCH($E186,Roadmap!$D:$D,0)+COUNTIF($E186:F186,"u")+COUNTIF($E186:F186,"t")+COUNTIF($E186:F186,"¶")+COUNTIF($E186:F186,"²")+COUNTIF($E186:F186,"µ")+COUNTIF($E186:F186,1)-1,INDEX(Roadmap!$D:$K,MATCH($E186,Roadmap!$D:$D,0)-1+COUNTIF($E186:F186,"u")+COUNTIF($E186:F186,"t")+COUNTIF($E186:F186,"¶")+COUNTIF($E186:F186,"²")+COUNTIF($E186:F186,"µ")+COUNTIF($E186:F186,1),ColDescriptionCourte)),""),
  "")),"")</f>
        <v/>
      </c>
      <c r="H186" s="40" t="str">
        <f ca="1">IFERROR(IF(AND(
  INDEX(Roadmap!$D:$K,MATCH($E186,Roadmap!$D:$D,0)+COUNTIF($E186:G186,"u")+COUNTIF($E186:G186,"t")+COUNTIF($E186:G186,"¶")+COUNTIF($E186:G186,"²")+COUNTIF($E186:G186,"µ")+COUNTIF($E186:G186,1),ColLivraison)=H$6,
  VLOOKUP($E186,INDIRECT("tri!"&amp; CHAR(64+ C0Col) &amp;":"&amp; CHAR(65+C0Col)),2,FALSE)&gt;COUNTIF($E186:G186,"u")+COUNTIF($E186:G186,"t")+COUNTIF($E186:G186,"¶")+COUNTIF($E186:G186,"²")+COUNTIF($E186:G186,"µ")+COUNTIF($E186:G186,1)),
HYPERLINK("#Roadmap!C"&amp; MATCH($E186,Roadmap!$D:$D,0)+COUNTIF($E186:G186,"u")+COUNTIF($E186:G186,"t"),
     INDEX(Roadmap!$D:$K,MATCH($E186,Roadmap!$D:$D,0)+COUNTIF($E186:G186,"u")+COUNTIF($E186:G186,"t")+COUNTIF($E186:G186,"¶")+COUNTIF($E186:G186,"²")+COUNTIF($E186:G186,"µ")+COUNTIF($E186:G186,1),ColTypeEcheance)),
  IF(LEN(G186)=1,
  IF(LEN(INDEX(Roadmap!$D:$K,MATCH($E186,Roadmap!$D:$D,0)-1+COUNTIF($E186:G186,"u")+COUNTIF($E186:G186,"t")+COUNTIF($E186:G186,"¶")+COUNTIF($E186:G186,"²")+COUNTIF($E186:G186,"µ")+COUNTIF($E186:G186,1),ColDescriptionCourte))&gt;1,
HYPERLINK("#Roadmap!C"&amp; MATCH($E186,Roadmap!$D:$D,0)+COUNTIF($E186:G186,"u")+COUNTIF($E186:G186,"t")+COUNTIF($E186:G186,"¶")+COUNTIF($E186:G186,"²")+COUNTIF($E186:G186,"µ")+COUNTIF($E186:G186,1)-1,INDEX(Roadmap!$D:$K,MATCH($E186,Roadmap!$D:$D,0)-1+COUNTIF($E186:G186,"u")+COUNTIF($E186:G186,"t")+COUNTIF($E186:G186,"¶")+COUNTIF($E186:G186,"²")+COUNTIF($E186:G186,"µ")+COUNTIF($E186:G186,1),ColDescriptionCourte)),""),
  "")),"")</f>
        <v/>
      </c>
      <c r="I186" s="40" t="str">
        <f ca="1">IFERROR(IF(AND(
  INDEX(Roadmap!$D:$K,MATCH($E186,Roadmap!$D:$D,0)+COUNTIF($E186:H186,"u")+COUNTIF($E186:H186,"t")+COUNTIF($E186:H186,"¶")+COUNTIF($E186:H186,"²")+COUNTIF($E186:H186,"µ")+COUNTIF($E186:H186,1),ColLivraison)=I$6,
  VLOOKUP($E186,INDIRECT("tri!"&amp; CHAR(64+ C0Col) &amp;":"&amp; CHAR(65+C0Col)),2,FALSE)&gt;COUNTIF($E186:H186,"u")+COUNTIF($E186:H186,"t")+COUNTIF($E186:H186,"¶")+COUNTIF($E186:H186,"²")+COUNTIF($E186:H186,"µ")+COUNTIF($E186:H186,1)),
HYPERLINK("#Roadmap!C"&amp; MATCH($E186,Roadmap!$D:$D,0)+COUNTIF($E186:H186,"u")+COUNTIF($E186:H186,"t"),
     INDEX(Roadmap!$D:$K,MATCH($E186,Roadmap!$D:$D,0)+COUNTIF($E186:H186,"u")+COUNTIF($E186:H186,"t")+COUNTIF($E186:H186,"¶")+COUNTIF($E186:H186,"²")+COUNTIF($E186:H186,"µ")+COUNTIF($E186:H186,1),ColTypeEcheance)),
  IF(LEN(H186)=1,
  IF(LEN(INDEX(Roadmap!$D:$K,MATCH($E186,Roadmap!$D:$D,0)-1+COUNTIF($E186:H186,"u")+COUNTIF($E186:H186,"t")+COUNTIF($E186:H186,"¶")+COUNTIF($E186:H186,"²")+COUNTIF($E186:H186,"µ")+COUNTIF($E186:H186,1),ColDescriptionCourte))&gt;1,
HYPERLINK("#Roadmap!C"&amp; MATCH($E186,Roadmap!$D:$D,0)+COUNTIF($E186:H186,"u")+COUNTIF($E186:H186,"t")+COUNTIF($E186:H186,"¶")+COUNTIF($E186:H186,"²")+COUNTIF($E186:H186,"µ")+COUNTIF($E186:H186,1)-1,INDEX(Roadmap!$D:$K,MATCH($E186,Roadmap!$D:$D,0)-1+COUNTIF($E186:H186,"u")+COUNTIF($E186:H186,"t")+COUNTIF($E186:H186,"¶")+COUNTIF($E186:H186,"²")+COUNTIF($E186:H186,"µ")+COUNTIF($E186:H186,1),ColDescriptionCourte)),""),
  "")),"")</f>
        <v/>
      </c>
      <c r="J186" s="40" t="str">
        <f ca="1">IFERROR(IF(AND(
  INDEX(Roadmap!$D:$K,MATCH($E186,Roadmap!$D:$D,0)+COUNTIF($E186:I186,"u")+COUNTIF($E186:I186,"t")+COUNTIF($E186:I186,"¶")+COUNTIF($E186:I186,"²")+COUNTIF($E186:I186,"µ")+COUNTIF($E186:I186,1),ColLivraison)=J$6,
  VLOOKUP($E186,INDIRECT("tri!"&amp; CHAR(64+ C0Col) &amp;":"&amp; CHAR(65+C0Col)),2,FALSE)&gt;COUNTIF($E186:I186,"u")+COUNTIF($E186:I186,"t")+COUNTIF($E186:I186,"¶")+COUNTIF($E186:I186,"²")+COUNTIF($E186:I186,"µ")+COUNTIF($E186:I186,1)),
HYPERLINK("#Roadmap!C"&amp; MATCH($E186,Roadmap!$D:$D,0)+COUNTIF($E186:I186,"u")+COUNTIF($E186:I186,"t"),
     INDEX(Roadmap!$D:$K,MATCH($E186,Roadmap!$D:$D,0)+COUNTIF($E186:I186,"u")+COUNTIF($E186:I186,"t")+COUNTIF($E186:I186,"¶")+COUNTIF($E186:I186,"²")+COUNTIF($E186:I186,"µ")+COUNTIF($E186:I186,1),ColTypeEcheance)),
  IF(LEN(I186)=1,
  IF(LEN(INDEX(Roadmap!$D:$K,MATCH($E186,Roadmap!$D:$D,0)-1+COUNTIF($E186:I186,"u")+COUNTIF($E186:I186,"t")+COUNTIF($E186:I186,"¶")+COUNTIF($E186:I186,"²")+COUNTIF($E186:I186,"µ")+COUNTIF($E186:I186,1),ColDescriptionCourte))&gt;1,
HYPERLINK("#Roadmap!C"&amp; MATCH($E186,Roadmap!$D:$D,0)+COUNTIF($E186:I186,"u")+COUNTIF($E186:I186,"t")+COUNTIF($E186:I186,"¶")+COUNTIF($E186:I186,"²")+COUNTIF($E186:I186,"µ")+COUNTIF($E186:I186,1)-1,INDEX(Roadmap!$D:$K,MATCH($E186,Roadmap!$D:$D,0)-1+COUNTIF($E186:I186,"u")+COUNTIF($E186:I186,"t")+COUNTIF($E186:I186,"¶")+COUNTIF($E186:I186,"²")+COUNTIF($E186:I186,"µ")+COUNTIF($E186:I186,1),ColDescriptionCourte)),""),
  "")),"")</f>
        <v/>
      </c>
      <c r="K186" s="40" t="str">
        <f ca="1">IFERROR(IF(AND(
  INDEX(Roadmap!$D:$K,MATCH($E186,Roadmap!$D:$D,0)+COUNTIF($E186:J186,"u")+COUNTIF($E186:J186,"t")+COUNTIF($E186:J186,"¶")+COUNTIF($E186:J186,"²")+COUNTIF($E186:J186,"µ")+COUNTIF($E186:J186,1),ColLivraison)=K$6,
  VLOOKUP($E186,INDIRECT("tri!"&amp; CHAR(64+ C0Col) &amp;":"&amp; CHAR(65+C0Col)),2,FALSE)&gt;COUNTIF($E186:J186,"u")+COUNTIF($E186:J186,"t")+COUNTIF($E186:J186,"¶")+COUNTIF($E186:J186,"²")+COUNTIF($E186:J186,"µ")+COUNTIF($E186:J186,1)),
HYPERLINK("#Roadmap!C"&amp; MATCH($E186,Roadmap!$D:$D,0)+COUNTIF($E186:J186,"u")+COUNTIF($E186:J186,"t"),
     INDEX(Roadmap!$D:$K,MATCH($E186,Roadmap!$D:$D,0)+COUNTIF($E186:J186,"u")+COUNTIF($E186:J186,"t")+COUNTIF($E186:J186,"¶")+COUNTIF($E186:J186,"²")+COUNTIF($E186:J186,"µ")+COUNTIF($E186:J186,1),ColTypeEcheance)),
  IF(LEN(J186)=1,
  IF(LEN(INDEX(Roadmap!$D:$K,MATCH($E186,Roadmap!$D:$D,0)-1+COUNTIF($E186:J186,"u")+COUNTIF($E186:J186,"t")+COUNTIF($E186:J186,"¶")+COUNTIF($E186:J186,"²")+COUNTIF($E186:J186,"µ")+COUNTIF($E186:J186,1),ColDescriptionCourte))&gt;1,
HYPERLINK("#Roadmap!C"&amp; MATCH($E186,Roadmap!$D:$D,0)+COUNTIF($E186:J186,"u")+COUNTIF($E186:J186,"t")+COUNTIF($E186:J186,"¶")+COUNTIF($E186:J186,"²")+COUNTIF($E186:J186,"µ")+COUNTIF($E186:J186,1)-1,INDEX(Roadmap!$D:$K,MATCH($E186,Roadmap!$D:$D,0)-1+COUNTIF($E186:J186,"u")+COUNTIF($E186:J186,"t")+COUNTIF($E186:J186,"¶")+COUNTIF($E186:J186,"²")+COUNTIF($E186:J186,"µ")+COUNTIF($E186:J186,1),ColDescriptionCourte)),""),
  "")),"")</f>
        <v/>
      </c>
      <c r="L186" s="39" t="str">
        <f ca="1">IFERROR(IF(AND(
  INDEX(Roadmap!$D:$K,MATCH($E186,Roadmap!$D:$D,0)+COUNTIF($E186:K186,"u")+COUNTIF($E186:K186,"t")+COUNTIF($E186:K186,"¶")+COUNTIF($E186:K186,"²")+COUNTIF($E186:K186,"µ")+COUNTIF($E186:K186,1),ColLivraison)=L$6,
  VLOOKUP($E186,INDIRECT("tri!"&amp; CHAR(64+ C0Col) &amp;":"&amp; CHAR(65+C0Col)),2,FALSE)&gt;COUNTIF($E186:K186,"u")+COUNTIF($E186:K186,"t")+COUNTIF($E186:K186,"¶")+COUNTIF($E186:K186,"²")+COUNTIF($E186:K186,"µ")+COUNTIF($E186:K186,1)),
HYPERLINK("#Roadmap!C"&amp; MATCH($E186,Roadmap!$D:$D,0)+COUNTIF($E186:K186,"u")+COUNTIF($E186:K186,"t"),
     INDEX(Roadmap!$D:$K,MATCH($E186,Roadmap!$D:$D,0)+COUNTIF($E186:K186,"u")+COUNTIF($E186:K186,"t")+COUNTIF($E186:K186,"¶")+COUNTIF($E186:K186,"²")+COUNTIF($E186:K186,"µ")+COUNTIF($E186:K186,1),ColTypeEcheance)),
  IF(LEN(K186)=1,
  IF(LEN(INDEX(Roadmap!$D:$K,MATCH($E186,Roadmap!$D:$D,0)-1+COUNTIF($E186:K186,"u")+COUNTIF($E186:K186,"t")+COUNTIF($E186:K186,"¶")+COUNTIF($E186:K186,"²")+COUNTIF($E186:K186,"µ")+COUNTIF($E186:K186,1),ColDescriptionCourte))&gt;1,
HYPERLINK("#Roadmap!C"&amp; MATCH($E186,Roadmap!$D:$D,0)+COUNTIF($E186:K186,"u")+COUNTIF($E186:K186,"t")+COUNTIF($E186:K186,"¶")+COUNTIF($E186:K186,"²")+COUNTIF($E186:K186,"µ")+COUNTIF($E186:K186,1)-1,INDEX(Roadmap!$D:$K,MATCH($E186,Roadmap!$D:$D,0)-1+COUNTIF($E186:K186,"u")+COUNTIF($E186:K186,"t")+COUNTIF($E186:K186,"¶")+COUNTIF($E186:K186,"²")+COUNTIF($E186:K186,"µ")+COUNTIF($E186:K186,1),ColDescriptionCourte)),""),
  "")),"")</f>
        <v/>
      </c>
      <c r="M186" s="40" t="str">
        <f ca="1">IFERROR(IF(AND(
  INDEX(Roadmap!$D:$K,MATCH($E186,Roadmap!$D:$D,0)+COUNTIF($E186:L186,"u")+COUNTIF($E186:L186,"t")+COUNTIF($E186:L186,"¶")+COUNTIF($E186:L186,"²")+COUNTIF($E186:L186,"µ")+COUNTIF($E186:L186,1),ColLivraison)=M$6,
  VLOOKUP($E186,INDIRECT("tri!"&amp; CHAR(64+ C0Col) &amp;":"&amp; CHAR(65+C0Col)),2,FALSE)&gt;COUNTIF($E186:L186,"u")+COUNTIF($E186:L186,"t")+COUNTIF($E186:L186,"¶")+COUNTIF($E186:L186,"²")+COUNTIF($E186:L186,"µ")+COUNTIF($E186:L186,1)),
HYPERLINK("#Roadmap!C"&amp; MATCH($E186,Roadmap!$D:$D,0)+COUNTIF($E186:L186,"u")+COUNTIF($E186:L186,"t"),
     INDEX(Roadmap!$D:$K,MATCH($E186,Roadmap!$D:$D,0)+COUNTIF($E186:L186,"u")+COUNTIF($E186:L186,"t")+COUNTIF($E186:L186,"¶")+COUNTIF($E186:L186,"²")+COUNTIF($E186:L186,"µ")+COUNTIF($E186:L186,1),ColTypeEcheance)),
  IF(LEN(L186)=1,
  IF(LEN(INDEX(Roadmap!$D:$K,MATCH($E186,Roadmap!$D:$D,0)-1+COUNTIF($E186:L186,"u")+COUNTIF($E186:L186,"t")+COUNTIF($E186:L186,"¶")+COUNTIF($E186:L186,"²")+COUNTIF($E186:L186,"µ")+COUNTIF($E186:L186,1),ColDescriptionCourte))&gt;1,
HYPERLINK("#Roadmap!C"&amp; MATCH($E186,Roadmap!$D:$D,0)+COUNTIF($E186:L186,"u")+COUNTIF($E186:L186,"t")+COUNTIF($E186:L186,"¶")+COUNTIF($E186:L186,"²")+COUNTIF($E186:L186,"µ")+COUNTIF($E186:L186,1)-1,INDEX(Roadmap!$D:$K,MATCH($E186,Roadmap!$D:$D,0)-1+COUNTIF($E186:L186,"u")+COUNTIF($E186:L186,"t")+COUNTIF($E186:L186,"¶")+COUNTIF($E186:L186,"²")+COUNTIF($E186:L186,"µ")+COUNTIF($E186:L186,1),ColDescriptionCourte)),""),
  "")),"")</f>
        <v/>
      </c>
      <c r="N186" s="40" t="str">
        <f ca="1">IFERROR(IF(AND(
  INDEX(Roadmap!$D:$K,MATCH($E186,Roadmap!$D:$D,0)+COUNTIF($E186:M186,"u")+COUNTIF($E186:M186,"t")+COUNTIF($E186:M186,"¶")+COUNTIF($E186:M186,"²")+COUNTIF($E186:M186,"µ")+COUNTIF($E186:M186,1),ColLivraison)=N$6,
  VLOOKUP($E186,INDIRECT("tri!"&amp; CHAR(64+ C0Col) &amp;":"&amp; CHAR(65+C0Col)),2,FALSE)&gt;COUNTIF($E186:M186,"u")+COUNTIF($E186:M186,"t")+COUNTIF($E186:M186,"¶")+COUNTIF($E186:M186,"²")+COUNTIF($E186:M186,"µ")+COUNTIF($E186:M186,1)),
HYPERLINK("#Roadmap!C"&amp; MATCH($E186,Roadmap!$D:$D,0)+COUNTIF($E186:M186,"u")+COUNTIF($E186:M186,"t"),
     INDEX(Roadmap!$D:$K,MATCH($E186,Roadmap!$D:$D,0)+COUNTIF($E186:M186,"u")+COUNTIF($E186:M186,"t")+COUNTIF($E186:M186,"¶")+COUNTIF($E186:M186,"²")+COUNTIF($E186:M186,"µ")+COUNTIF($E186:M186,1),ColTypeEcheance)),
  IF(LEN(M186)=1,
  IF(LEN(INDEX(Roadmap!$D:$K,MATCH($E186,Roadmap!$D:$D,0)-1+COUNTIF($E186:M186,"u")+COUNTIF($E186:M186,"t")+COUNTIF($E186:M186,"¶")+COUNTIF($E186:M186,"²")+COUNTIF($E186:M186,"µ")+COUNTIF($E186:M186,1),ColDescriptionCourte))&gt;1,
HYPERLINK("#Roadmap!C"&amp; MATCH($E186,Roadmap!$D:$D,0)+COUNTIF($E186:M186,"u")+COUNTIF($E186:M186,"t")+COUNTIF($E186:M186,"¶")+COUNTIF($E186:M186,"²")+COUNTIF($E186:M186,"µ")+COUNTIF($E186:M186,1)-1,INDEX(Roadmap!$D:$K,MATCH($E186,Roadmap!$D:$D,0)-1+COUNTIF($E186:M186,"u")+COUNTIF($E186:M186,"t")+COUNTIF($E186:M186,"¶")+COUNTIF($E186:M186,"²")+COUNTIF($E186:M186,"µ")+COUNTIF($E186:M186,1),ColDescriptionCourte)),""),
  "")),"")</f>
        <v/>
      </c>
      <c r="O186" s="40" t="str">
        <f ca="1">IFERROR(IF(AND(
  INDEX(Roadmap!$D:$K,MATCH($E186,Roadmap!$D:$D,0)+COUNTIF($E186:N186,"u")+COUNTIF($E186:N186,"t")+COUNTIF($E186:N186,"¶")+COUNTIF($E186:N186,"²")+COUNTIF($E186:N186,"µ")+COUNTIF($E186:N186,1),ColLivraison)=O$6,
  VLOOKUP($E186,INDIRECT("tri!"&amp; CHAR(64+ C0Col) &amp;":"&amp; CHAR(65+C0Col)),2,FALSE)&gt;COUNTIF($E186:N186,"u")+COUNTIF($E186:N186,"t")+COUNTIF($E186:N186,"¶")+COUNTIF($E186:N186,"²")+COUNTIF($E186:N186,"µ")+COUNTIF($E186:N186,1)),
HYPERLINK("#Roadmap!C"&amp; MATCH($E186,Roadmap!$D:$D,0)+COUNTIF($E186:N186,"u")+COUNTIF($E186:N186,"t"),
     INDEX(Roadmap!$D:$K,MATCH($E186,Roadmap!$D:$D,0)+COUNTIF($E186:N186,"u")+COUNTIF($E186:N186,"t")+COUNTIF($E186:N186,"¶")+COUNTIF($E186:N186,"²")+COUNTIF($E186:N186,"µ")+COUNTIF($E186:N186,1),ColTypeEcheance)),
  IF(LEN(N186)=1,
  IF(LEN(INDEX(Roadmap!$D:$K,MATCH($E186,Roadmap!$D:$D,0)-1+COUNTIF($E186:N186,"u")+COUNTIF($E186:N186,"t")+COUNTIF($E186:N186,"¶")+COUNTIF($E186:N186,"²")+COUNTIF($E186:N186,"µ")+COUNTIF($E186:N186,1),ColDescriptionCourte))&gt;1,
HYPERLINK("#Roadmap!C"&amp; MATCH($E186,Roadmap!$D:$D,0)+COUNTIF($E186:N186,"u")+COUNTIF($E186:N186,"t")+COUNTIF($E186:N186,"¶")+COUNTIF($E186:N186,"²")+COUNTIF($E186:N186,"µ")+COUNTIF($E186:N186,1)-1,INDEX(Roadmap!$D:$K,MATCH($E186,Roadmap!$D:$D,0)-1+COUNTIF($E186:N186,"u")+COUNTIF($E186:N186,"t")+COUNTIF($E186:N186,"¶")+COUNTIF($E186:N186,"²")+COUNTIF($E186:N186,"µ")+COUNTIF($E186:N186,1),ColDescriptionCourte)),""),
  "")),"")</f>
        <v/>
      </c>
      <c r="P186" s="40" t="str">
        <f ca="1">IFERROR(IF(AND(
  INDEX(Roadmap!$D:$K,MATCH($E186,Roadmap!$D:$D,0)+COUNTIF($E186:O186,"u")+COUNTIF($E186:O186,"t")+COUNTIF($E186:O186,"¶")+COUNTIF($E186:O186,"²")+COUNTIF($E186:O186,"µ")+COUNTIF($E186:O186,1),ColLivraison)=P$6,
  VLOOKUP($E186,INDIRECT("tri!"&amp; CHAR(64+ C0Col) &amp;":"&amp; CHAR(65+C0Col)),2,FALSE)&gt;COUNTIF($E186:O186,"u")+COUNTIF($E186:O186,"t")+COUNTIF($E186:O186,"¶")+COUNTIF($E186:O186,"²")+COUNTIF($E186:O186,"µ")+COUNTIF($E186:O186,1)),
HYPERLINK("#Roadmap!C"&amp; MATCH($E186,Roadmap!$D:$D,0)+COUNTIF($E186:O186,"u")+COUNTIF($E186:O186,"t"),
     INDEX(Roadmap!$D:$K,MATCH($E186,Roadmap!$D:$D,0)+COUNTIF($E186:O186,"u")+COUNTIF($E186:O186,"t")+COUNTIF($E186:O186,"¶")+COUNTIF($E186:O186,"²")+COUNTIF($E186:O186,"µ")+COUNTIF($E186:O186,1),ColTypeEcheance)),
  IF(LEN(O186)=1,
  IF(LEN(INDEX(Roadmap!$D:$K,MATCH($E186,Roadmap!$D:$D,0)-1+COUNTIF($E186:O186,"u")+COUNTIF($E186:O186,"t")+COUNTIF($E186:O186,"¶")+COUNTIF($E186:O186,"²")+COUNTIF($E186:O186,"µ")+COUNTIF($E186:O186,1),ColDescriptionCourte))&gt;1,
HYPERLINK("#Roadmap!C"&amp; MATCH($E186,Roadmap!$D:$D,0)+COUNTIF($E186:O186,"u")+COUNTIF($E186:O186,"t")+COUNTIF($E186:O186,"¶")+COUNTIF($E186:O186,"²")+COUNTIF($E186:O186,"µ")+COUNTIF($E186:O186,1)-1,INDEX(Roadmap!$D:$K,MATCH($E186,Roadmap!$D:$D,0)-1+COUNTIF($E186:O186,"u")+COUNTIF($E186:O186,"t")+COUNTIF($E186:O186,"¶")+COUNTIF($E186:O186,"²")+COUNTIF($E186:O186,"µ")+COUNTIF($E186:O186,1),ColDescriptionCourte)),""),
  "")),"")</f>
        <v/>
      </c>
      <c r="Q186" s="40" t="str">
        <f ca="1">IFERROR(IF(AND(
  INDEX(Roadmap!$D:$K,MATCH($E186,Roadmap!$D:$D,0)+COUNTIF($E186:P186,"u")+COUNTIF($E186:P186,"t")+COUNTIF($E186:P186,"¶")+COUNTIF($E186:P186,"²")+COUNTIF($E186:P186,"µ")+COUNTIF($E186:P186,1),ColLivraison)=Q$6,
  VLOOKUP($E186,INDIRECT("tri!"&amp; CHAR(64+ C0Col) &amp;":"&amp; CHAR(65+C0Col)),2,FALSE)&gt;COUNTIF($E186:P186,"u")+COUNTIF($E186:P186,"t")+COUNTIF($E186:P186,"¶")+COUNTIF($E186:P186,"²")+COUNTIF($E186:P186,"µ")+COUNTIF($E186:P186,1)),
HYPERLINK("#Roadmap!C"&amp; MATCH($E186,Roadmap!$D:$D,0)+COUNTIF($E186:P186,"u")+COUNTIF($E186:P186,"t"),
     INDEX(Roadmap!$D:$K,MATCH($E186,Roadmap!$D:$D,0)+COUNTIF($E186:P186,"u")+COUNTIF($E186:P186,"t")+COUNTIF($E186:P186,"¶")+COUNTIF($E186:P186,"²")+COUNTIF($E186:P186,"µ")+COUNTIF($E186:P186,1),ColTypeEcheance)),
  IF(LEN(P186)=1,
  IF(LEN(INDEX(Roadmap!$D:$K,MATCH($E186,Roadmap!$D:$D,0)-1+COUNTIF($E186:P186,"u")+COUNTIF($E186:P186,"t")+COUNTIF($E186:P186,"¶")+COUNTIF($E186:P186,"²")+COUNTIF($E186:P186,"µ")+COUNTIF($E186:P186,1),ColDescriptionCourte))&gt;1,
HYPERLINK("#Roadmap!C"&amp; MATCH($E186,Roadmap!$D:$D,0)+COUNTIF($E186:P186,"u")+COUNTIF($E186:P186,"t")+COUNTIF($E186:P186,"¶")+COUNTIF($E186:P186,"²")+COUNTIF($E186:P186,"µ")+COUNTIF($E186:P186,1)-1,INDEX(Roadmap!$D:$K,MATCH($E186,Roadmap!$D:$D,0)-1+COUNTIF($E186:P186,"u")+COUNTIF($E186:P186,"t")+COUNTIF($E186:P186,"¶")+COUNTIF($E186:P186,"²")+COUNTIF($E186:P186,"µ")+COUNTIF($E186:P186,1),ColDescriptionCourte)),""),
  "")),"")</f>
        <v/>
      </c>
      <c r="R186" s="40" t="str">
        <f ca="1">IFERROR(IF(AND(
  INDEX(Roadmap!$D:$K,MATCH($E186,Roadmap!$D:$D,0)+COUNTIF($E186:Q186,"u")+COUNTIF($E186:Q186,"t")+COUNTIF($E186:Q186,"¶")+COUNTIF($E186:Q186,"²")+COUNTIF($E186:Q186,"µ")+COUNTIF($E186:Q186,1),ColLivraison)=R$6,
  VLOOKUP($E186,INDIRECT("tri!"&amp; CHAR(64+ C0Col) &amp;":"&amp; CHAR(65+C0Col)),2,FALSE)&gt;COUNTIF($E186:Q186,"u")+COUNTIF($E186:Q186,"t")+COUNTIF($E186:Q186,"¶")+COUNTIF($E186:Q186,"²")+COUNTIF($E186:Q186,"µ")+COUNTIF($E186:Q186,1)),
HYPERLINK("#Roadmap!C"&amp; MATCH($E186,Roadmap!$D:$D,0)+COUNTIF($E186:Q186,"u")+COUNTIF($E186:Q186,"t"),
     INDEX(Roadmap!$D:$K,MATCH($E186,Roadmap!$D:$D,0)+COUNTIF($E186:Q186,"u")+COUNTIF($E186:Q186,"t")+COUNTIF($E186:Q186,"¶")+COUNTIF($E186:Q186,"²")+COUNTIF($E186:Q186,"µ")+COUNTIF($E186:Q186,1),ColTypeEcheance)),
  IF(LEN(Q186)=1,
  IF(LEN(INDEX(Roadmap!$D:$K,MATCH($E186,Roadmap!$D:$D,0)-1+COUNTIF($E186:Q186,"u")+COUNTIF($E186:Q186,"t")+COUNTIF($E186:Q186,"¶")+COUNTIF($E186:Q186,"²")+COUNTIF($E186:Q186,"µ")+COUNTIF($E186:Q186,1),ColDescriptionCourte))&gt;1,
HYPERLINK("#Roadmap!C"&amp; MATCH($E186,Roadmap!$D:$D,0)+COUNTIF($E186:Q186,"u")+COUNTIF($E186:Q186,"t")+COUNTIF($E186:Q186,"¶")+COUNTIF($E186:Q186,"²")+COUNTIF($E186:Q186,"µ")+COUNTIF($E186:Q186,1)-1,INDEX(Roadmap!$D:$K,MATCH($E186,Roadmap!$D:$D,0)-1+COUNTIF($E186:Q186,"u")+COUNTIF($E186:Q186,"t")+COUNTIF($E186:Q186,"¶")+COUNTIF($E186:Q186,"²")+COUNTIF($E186:Q186,"µ")+COUNTIF($E186:Q186,1),ColDescriptionCourte)),""),
  "")),"")</f>
        <v/>
      </c>
      <c r="S186" s="40" t="str">
        <f ca="1">IFERROR(IF(AND(
  INDEX(Roadmap!$D:$K,MATCH($E186,Roadmap!$D:$D,0)+COUNTIF($E186:R186,"u")+COUNTIF($E186:R186,"t")+COUNTIF($E186:R186,"¶")+COUNTIF($E186:R186,"²")+COUNTIF($E186:R186,"µ")+COUNTIF($E186:R186,1),ColLivraison)=S$6,
  VLOOKUP($E186,INDIRECT("tri!"&amp; CHAR(64+ C0Col) &amp;":"&amp; CHAR(65+C0Col)),2,FALSE)&gt;COUNTIF($E186:R186,"u")+COUNTIF($E186:R186,"t")+COUNTIF($E186:R186,"¶")+COUNTIF($E186:R186,"²")+COUNTIF($E186:R186,"µ")+COUNTIF($E186:R186,1)),
HYPERLINK("#Roadmap!C"&amp; MATCH($E186,Roadmap!$D:$D,0)+COUNTIF($E186:R186,"u")+COUNTIF($E186:R186,"t"),
     INDEX(Roadmap!$D:$K,MATCH($E186,Roadmap!$D:$D,0)+COUNTIF($E186:R186,"u")+COUNTIF($E186:R186,"t")+COUNTIF($E186:R186,"¶")+COUNTIF($E186:R186,"²")+COUNTIF($E186:R186,"µ")+COUNTIF($E186:R186,1),ColTypeEcheance)),
  IF(LEN(R186)=1,
  IF(LEN(INDEX(Roadmap!$D:$K,MATCH($E186,Roadmap!$D:$D,0)-1+COUNTIF($E186:R186,"u")+COUNTIF($E186:R186,"t")+COUNTIF($E186:R186,"¶")+COUNTIF($E186:R186,"²")+COUNTIF($E186:R186,"µ")+COUNTIF($E186:R186,1),ColDescriptionCourte))&gt;1,
HYPERLINK("#Roadmap!C"&amp; MATCH($E186,Roadmap!$D:$D,0)+COUNTIF($E186:R186,"u")+COUNTIF($E186:R186,"t")+COUNTIF($E186:R186,"¶")+COUNTIF($E186:R186,"²")+COUNTIF($E186:R186,"µ")+COUNTIF($E186:R186,1)-1,INDEX(Roadmap!$D:$K,MATCH($E186,Roadmap!$D:$D,0)-1+COUNTIF($E186:R186,"u")+COUNTIF($E186:R186,"t")+COUNTIF($E186:R186,"¶")+COUNTIF($E186:R186,"²")+COUNTIF($E186:R186,"µ")+COUNTIF($E186:R186,1),ColDescriptionCourte)),""),
  "")),"")</f>
        <v/>
      </c>
      <c r="T186" s="40" t="str">
        <f ca="1">IFERROR(IF(AND(
  INDEX(Roadmap!$D:$K,MATCH($E186,Roadmap!$D:$D,0)+COUNTIF($E186:S186,"u")+COUNTIF($E186:S186,"t")+COUNTIF($E186:S186,"¶")+COUNTIF($E186:S186,"²")+COUNTIF($E186:S186,"µ")+COUNTIF($E186:S186,1),ColLivraison)=T$6,
  VLOOKUP($E186,INDIRECT("tri!"&amp; CHAR(64+ C0Col) &amp;":"&amp; CHAR(65+C0Col)),2,FALSE)&gt;COUNTIF($E186:S186,"u")+COUNTIF($E186:S186,"t")+COUNTIF($E186:S186,"¶")+COUNTIF($E186:S186,"²")+COUNTIF($E186:S186,"µ")+COUNTIF($E186:S186,1)),
HYPERLINK("#Roadmap!C"&amp; MATCH($E186,Roadmap!$D:$D,0)+COUNTIF($E186:S186,"u")+COUNTIF($E186:S186,"t"),
     INDEX(Roadmap!$D:$K,MATCH($E186,Roadmap!$D:$D,0)+COUNTIF($E186:S186,"u")+COUNTIF($E186:S186,"t")+COUNTIF($E186:S186,"¶")+COUNTIF($E186:S186,"²")+COUNTIF($E186:S186,"µ")+COUNTIF($E186:S186,1),ColTypeEcheance)),
  IF(LEN(S186)=1,
  IF(LEN(INDEX(Roadmap!$D:$K,MATCH($E186,Roadmap!$D:$D,0)-1+COUNTIF($E186:S186,"u")+COUNTIF($E186:S186,"t")+COUNTIF($E186:S186,"¶")+COUNTIF($E186:S186,"²")+COUNTIF($E186:S186,"µ")+COUNTIF($E186:S186,1),ColDescriptionCourte))&gt;1,
HYPERLINK("#Roadmap!C"&amp; MATCH($E186,Roadmap!$D:$D,0)+COUNTIF($E186:S186,"u")+COUNTIF($E186:S186,"t")+COUNTIF($E186:S186,"¶")+COUNTIF($E186:S186,"²")+COUNTIF($E186:S186,"µ")+COUNTIF($E186:S186,1)-1,INDEX(Roadmap!$D:$K,MATCH($E186,Roadmap!$D:$D,0)-1+COUNTIF($E186:S186,"u")+COUNTIF($E186:S186,"t")+COUNTIF($E186:S186,"¶")+COUNTIF($E186:S186,"²")+COUNTIF($E186:S186,"µ")+COUNTIF($E186:S186,1),ColDescriptionCourte)),""),
  "")),"")</f>
        <v/>
      </c>
      <c r="U186" s="40" t="str">
        <f ca="1">IFERROR(IF(AND(
  INDEX(Roadmap!$D:$K,MATCH($E186,Roadmap!$D:$D,0)+COUNTIF($E186:T186,"u")+COUNTIF($E186:T186,"t")+COUNTIF($E186:T186,"¶")+COUNTIF($E186:T186,"²")+COUNTIF($E186:T186,"µ")+COUNTIF($E186:T186,1),ColLivraison)=U$6,
  VLOOKUP($E186,INDIRECT("tri!"&amp; CHAR(64+ C0Col) &amp;":"&amp; CHAR(65+C0Col)),2,FALSE)&gt;COUNTIF($E186:T186,"u")+COUNTIF($E186:T186,"t")+COUNTIF($E186:T186,"¶")+COUNTIF($E186:T186,"²")+COUNTIF($E186:T186,"µ")+COUNTIF($E186:T186,1)),
HYPERLINK("#Roadmap!C"&amp; MATCH($E186,Roadmap!$D:$D,0)+COUNTIF($E186:T186,"u")+COUNTIF($E186:T186,"t"),
     INDEX(Roadmap!$D:$K,MATCH($E186,Roadmap!$D:$D,0)+COUNTIF($E186:T186,"u")+COUNTIF($E186:T186,"t")+COUNTIF($E186:T186,"¶")+COUNTIF($E186:T186,"²")+COUNTIF($E186:T186,"µ")+COUNTIF($E186:T186,1),ColTypeEcheance)),
  IF(LEN(T186)=1,
  IF(LEN(INDEX(Roadmap!$D:$K,MATCH($E186,Roadmap!$D:$D,0)-1+COUNTIF($E186:T186,"u")+COUNTIF($E186:T186,"t")+COUNTIF($E186:T186,"¶")+COUNTIF($E186:T186,"²")+COUNTIF($E186:T186,"µ")+COUNTIF($E186:T186,1),ColDescriptionCourte))&gt;1,
HYPERLINK("#Roadmap!C"&amp; MATCH($E186,Roadmap!$D:$D,0)+COUNTIF($E186:T186,"u")+COUNTIF($E186:T186,"t")+COUNTIF($E186:T186,"¶")+COUNTIF($E186:T186,"²")+COUNTIF($E186:T186,"µ")+COUNTIF($E186:T186,1)-1,INDEX(Roadmap!$D:$K,MATCH($E186,Roadmap!$D:$D,0)-1+COUNTIF($E186:T186,"u")+COUNTIF($E186:T186,"t")+COUNTIF($E186:T186,"¶")+COUNTIF($E186:T186,"²")+COUNTIF($E186:T186,"µ")+COUNTIF($E186:T186,1),ColDescriptionCourte)),""),
  "")),"")</f>
        <v/>
      </c>
      <c r="V186" s="40" t="str">
        <f ca="1">IFERROR(IF(AND(
  INDEX(Roadmap!$D:$K,MATCH($E186,Roadmap!$D:$D,0)+COUNTIF($E186:U186,"u")+COUNTIF($E186:U186,"t")+COUNTIF($E186:U186,"¶")+COUNTIF($E186:U186,"²")+COUNTIF($E186:U186,"µ")+COUNTIF($E186:U186,1),ColLivraison)=V$6,
  VLOOKUP($E186,INDIRECT("tri!"&amp; CHAR(64+ C0Col) &amp;":"&amp; CHAR(65+C0Col)),2,FALSE)&gt;COUNTIF($E186:U186,"u")+COUNTIF($E186:U186,"t")+COUNTIF($E186:U186,"¶")+COUNTIF($E186:U186,"²")+COUNTIF($E186:U186,"µ")+COUNTIF($E186:U186,1)),
HYPERLINK("#Roadmap!C"&amp; MATCH($E186,Roadmap!$D:$D,0)+COUNTIF($E186:U186,"u")+COUNTIF($E186:U186,"t"),
     INDEX(Roadmap!$D:$K,MATCH($E186,Roadmap!$D:$D,0)+COUNTIF($E186:U186,"u")+COUNTIF($E186:U186,"t")+COUNTIF($E186:U186,"¶")+COUNTIF($E186:U186,"²")+COUNTIF($E186:U186,"µ")+COUNTIF($E186:U186,1),ColTypeEcheance)),
  IF(LEN(U186)=1,
  IF(LEN(INDEX(Roadmap!$D:$K,MATCH($E186,Roadmap!$D:$D,0)-1+COUNTIF($E186:U186,"u")+COUNTIF($E186:U186,"t")+COUNTIF($E186:U186,"¶")+COUNTIF($E186:U186,"²")+COUNTIF($E186:U186,"µ")+COUNTIF($E186:U186,1),ColDescriptionCourte))&gt;1,
HYPERLINK("#Roadmap!C"&amp; MATCH($E186,Roadmap!$D:$D,0)+COUNTIF($E186:U186,"u")+COUNTIF($E186:U186,"t")+COUNTIF($E186:U186,"¶")+COUNTIF($E186:U186,"²")+COUNTIF($E186:U186,"µ")+COUNTIF($E186:U186,1)-1,INDEX(Roadmap!$D:$K,MATCH($E186,Roadmap!$D:$D,0)-1+COUNTIF($E186:U186,"u")+COUNTIF($E186:U186,"t")+COUNTIF($E186:U186,"¶")+COUNTIF($E186:U186,"²")+COUNTIF($E186:U186,"µ")+COUNTIF($E186:U186,1),ColDescriptionCourte)),""),
  "")),"")</f>
        <v/>
      </c>
      <c r="W186" s="40" t="str">
        <f ca="1">IFERROR(IF(AND(
  INDEX(Roadmap!$D:$K,MATCH($E186,Roadmap!$D:$D,0)+COUNTIF($E186:V186,"u")+COUNTIF($E186:V186,"t")+COUNTIF($E186:V186,"¶")+COUNTIF($E186:V186,"²")+COUNTIF($E186:V186,"µ")+COUNTIF($E186:V186,1),ColLivraison)=W$6,
  VLOOKUP($E186,INDIRECT("tri!"&amp; CHAR(64+ C0Col) &amp;":"&amp; CHAR(65+C0Col)),2,FALSE)&gt;COUNTIF($E186:V186,"u")+COUNTIF($E186:V186,"t")+COUNTIF($E186:V186,"¶")+COUNTIF($E186:V186,"²")+COUNTIF($E186:V186,"µ")+COUNTIF($E186:V186,1)),
HYPERLINK("#Roadmap!C"&amp; MATCH($E186,Roadmap!$D:$D,0)+COUNTIF($E186:V186,"u")+COUNTIF($E186:V186,"t"),
     INDEX(Roadmap!$D:$K,MATCH($E186,Roadmap!$D:$D,0)+COUNTIF($E186:V186,"u")+COUNTIF($E186:V186,"t")+COUNTIF($E186:V186,"¶")+COUNTIF($E186:V186,"²")+COUNTIF($E186:V186,"µ")+COUNTIF($E186:V186,1),ColTypeEcheance)),
  IF(LEN(V186)=1,
  IF(LEN(INDEX(Roadmap!$D:$K,MATCH($E186,Roadmap!$D:$D,0)-1+COUNTIF($E186:V186,"u")+COUNTIF($E186:V186,"t")+COUNTIF($E186:V186,"¶")+COUNTIF($E186:V186,"²")+COUNTIF($E186:V186,"µ")+COUNTIF($E186:V186,1),ColDescriptionCourte))&gt;1,
HYPERLINK("#Roadmap!C"&amp; MATCH($E186,Roadmap!$D:$D,0)+COUNTIF($E186:V186,"u")+COUNTIF($E186:V186,"t")+COUNTIF($E186:V186,"¶")+COUNTIF($E186:V186,"²")+COUNTIF($E186:V186,"µ")+COUNTIF($E186:V186,1)-1,INDEX(Roadmap!$D:$K,MATCH($E186,Roadmap!$D:$D,0)-1+COUNTIF($E186:V186,"u")+COUNTIF($E186:V186,"t")+COUNTIF($E186:V186,"¶")+COUNTIF($E186:V186,"²")+COUNTIF($E186:V186,"µ")+COUNTIF($E186:V186,1),ColDescriptionCourte)),""),
  "")),"")</f>
        <v/>
      </c>
      <c r="X186" s="40" t="str">
        <f ca="1">IFERROR(IF(AND(
  INDEX(Roadmap!$D:$K,MATCH($E186,Roadmap!$D:$D,0)+COUNTIF($E186:W186,"u")+COUNTIF($E186:W186,"t")+COUNTIF($E186:W186,"¶")+COUNTIF($E186:W186,"²")+COUNTIF($E186:W186,"µ")+COUNTIF($E186:W186,1),ColLivraison)=X$6,
  VLOOKUP($E186,INDIRECT("tri!"&amp; CHAR(64+ C0Col) &amp;":"&amp; CHAR(65+C0Col)),2,FALSE)&gt;COUNTIF($E186:W186,"u")+COUNTIF($E186:W186,"t")+COUNTIF($E186:W186,"¶")+COUNTIF($E186:W186,"²")+COUNTIF($E186:W186,"µ")+COUNTIF($E186:W186,1)),
HYPERLINK("#Roadmap!C"&amp; MATCH($E186,Roadmap!$D:$D,0)+COUNTIF($E186:W186,"u")+COUNTIF($E186:W186,"t"),
     INDEX(Roadmap!$D:$K,MATCH($E186,Roadmap!$D:$D,0)+COUNTIF($E186:W186,"u")+COUNTIF($E186:W186,"t")+COUNTIF($E186:W186,"¶")+COUNTIF($E186:W186,"²")+COUNTIF($E186:W186,"µ")+COUNTIF($E186:W186,1),ColTypeEcheance)),
  IF(LEN(W186)=1,
  IF(LEN(INDEX(Roadmap!$D:$K,MATCH($E186,Roadmap!$D:$D,0)-1+COUNTIF($E186:W186,"u")+COUNTIF($E186:W186,"t")+COUNTIF($E186:W186,"¶")+COUNTIF($E186:W186,"²")+COUNTIF($E186:W186,"µ")+COUNTIF($E186:W186,1),ColDescriptionCourte))&gt;1,
HYPERLINK("#Roadmap!C"&amp; MATCH($E186,Roadmap!$D:$D,0)+COUNTIF($E186:W186,"u")+COUNTIF($E186:W186,"t")+COUNTIF($E186:W186,"¶")+COUNTIF($E186:W186,"²")+COUNTIF($E186:W186,"µ")+COUNTIF($E186:W186,1)-1,INDEX(Roadmap!$D:$K,MATCH($E186,Roadmap!$D:$D,0)-1+COUNTIF($E186:W186,"u")+COUNTIF($E186:W186,"t")+COUNTIF($E186:W186,"¶")+COUNTIF($E186:W186,"²")+COUNTIF($E186:W186,"µ")+COUNTIF($E186:W186,1),ColDescriptionCourte)),""),
  "")),"")</f>
        <v/>
      </c>
      <c r="Y186" s="40" t="str">
        <f ca="1">IFERROR(IF(AND(
  INDEX(Roadmap!$D:$K,MATCH($E186,Roadmap!$D:$D,0)+COUNTIF($E186:X186,"u")+COUNTIF($E186:X186,"t")+COUNTIF($E186:X186,"¶")+COUNTIF($E186:X186,"²")+COUNTIF($E186:X186,"µ")+COUNTIF($E186:X186,1),ColLivraison)=Y$6,
  VLOOKUP($E186,INDIRECT("tri!"&amp; CHAR(64+ C0Col) &amp;":"&amp; CHAR(65+C0Col)),2,FALSE)&gt;COUNTIF($E186:X186,"u")+COUNTIF($E186:X186,"t")+COUNTIF($E186:X186,"¶")+COUNTIF($E186:X186,"²")+COUNTIF($E186:X186,"µ")+COUNTIF($E186:X186,1)),
HYPERLINK("#Roadmap!C"&amp; MATCH($E186,Roadmap!$D:$D,0)+COUNTIF($E186:X186,"u")+COUNTIF($E186:X186,"t"),
     INDEX(Roadmap!$D:$K,MATCH($E186,Roadmap!$D:$D,0)+COUNTIF($E186:X186,"u")+COUNTIF($E186:X186,"t")+COUNTIF($E186:X186,"¶")+COUNTIF($E186:X186,"²")+COUNTIF($E186:X186,"µ")+COUNTIF($E186:X186,1),ColTypeEcheance)),
  IF(LEN(X186)=1,
  IF(LEN(INDEX(Roadmap!$D:$K,MATCH($E186,Roadmap!$D:$D,0)-1+COUNTIF($E186:X186,"u")+COUNTIF($E186:X186,"t")+COUNTIF($E186:X186,"¶")+COUNTIF($E186:X186,"²")+COUNTIF($E186:X186,"µ")+COUNTIF($E186:X186,1),ColDescriptionCourte))&gt;1,
HYPERLINK("#Roadmap!C"&amp; MATCH($E186,Roadmap!$D:$D,0)+COUNTIF($E186:X186,"u")+COUNTIF($E186:X186,"t")+COUNTIF($E186:X186,"¶")+COUNTIF($E186:X186,"²")+COUNTIF($E186:X186,"µ")+COUNTIF($E186:X186,1)-1,INDEX(Roadmap!$D:$K,MATCH($E186,Roadmap!$D:$D,0)-1+COUNTIF($E186:X186,"u")+COUNTIF($E186:X186,"t")+COUNTIF($E186:X186,"¶")+COUNTIF($E186:X186,"²")+COUNTIF($E186:X186,"µ")+COUNTIF($E186:X186,1),ColDescriptionCourte)),""),
  "")),"")</f>
        <v/>
      </c>
      <c r="Z186" s="40" t="str">
        <f ca="1">IFERROR(IF(AND(
  INDEX(Roadmap!$D:$K,MATCH($E186,Roadmap!$D:$D,0)+COUNTIF($E186:Y186,"u")+COUNTIF($E186:Y186,"t")+COUNTIF($E186:Y186,"¶")+COUNTIF($E186:Y186,"²")+COUNTIF($E186:Y186,"µ")+COUNTIF($E186:Y186,1),ColLivraison)=Z$6,
  VLOOKUP($E186,INDIRECT("tri!"&amp; CHAR(64+ C0Col) &amp;":"&amp; CHAR(65+C0Col)),2,FALSE)&gt;COUNTIF($E186:Y186,"u")+COUNTIF($E186:Y186,"t")+COUNTIF($E186:Y186,"¶")+COUNTIF($E186:Y186,"²")+COUNTIF($E186:Y186,"µ")+COUNTIF($E186:Y186,1)),
HYPERLINK("#Roadmap!C"&amp; MATCH($E186,Roadmap!$D:$D,0)+COUNTIF($E186:Y186,"u")+COUNTIF($E186:Y186,"t"),
     INDEX(Roadmap!$D:$K,MATCH($E186,Roadmap!$D:$D,0)+COUNTIF($E186:Y186,"u")+COUNTIF($E186:Y186,"t")+COUNTIF($E186:Y186,"¶")+COUNTIF($E186:Y186,"²")+COUNTIF($E186:Y186,"µ")+COUNTIF($E186:Y186,1),ColTypeEcheance)),
  IF(LEN(Y186)=1,
  IF(LEN(INDEX(Roadmap!$D:$K,MATCH($E186,Roadmap!$D:$D,0)-1+COUNTIF($E186:Y186,"u")+COUNTIF($E186:Y186,"t")+COUNTIF($E186:Y186,"¶")+COUNTIF($E186:Y186,"²")+COUNTIF($E186:Y186,"µ")+COUNTIF($E186:Y186,1),ColDescriptionCourte))&gt;1,
HYPERLINK("#Roadmap!C"&amp; MATCH($E186,Roadmap!$D:$D,0)+COUNTIF($E186:Y186,"u")+COUNTIF($E186:Y186,"t")+COUNTIF($E186:Y186,"¶")+COUNTIF($E186:Y186,"²")+COUNTIF($E186:Y186,"µ")+COUNTIF($E186:Y186,1)-1,INDEX(Roadmap!$D:$K,MATCH($E186,Roadmap!$D:$D,0)-1+COUNTIF($E186:Y186,"u")+COUNTIF($E186:Y186,"t")+COUNTIF($E186:Y186,"¶")+COUNTIF($E186:Y186,"²")+COUNTIF($E186:Y186,"µ")+COUNTIF($E186:Y186,1),ColDescriptionCourte)),""),
  "")),"")</f>
        <v/>
      </c>
      <c r="AA186" s="40" t="str">
        <f ca="1">IFERROR(IF(AND(
  INDEX(Roadmap!$D:$K,MATCH($E186,Roadmap!$D:$D,0)+COUNTIF($E186:Z186,"u")+COUNTIF($E186:Z186,"t")+COUNTIF($E186:Z186,"¶")+COUNTIF($E186:Z186,"²")+COUNTIF($E186:Z186,"µ")+COUNTIF($E186:Z186,1),ColLivraison)=AA$6,
  VLOOKUP($E186,INDIRECT("tri!"&amp; CHAR(64+ C0Col) &amp;":"&amp; CHAR(65+C0Col)),2,FALSE)&gt;COUNTIF($E186:Z186,"u")+COUNTIF($E186:Z186,"t")+COUNTIF($E186:Z186,"¶")+COUNTIF($E186:Z186,"²")+COUNTIF($E186:Z186,"µ")+COUNTIF($E186:Z186,1)),
HYPERLINK("#Roadmap!C"&amp; MATCH($E186,Roadmap!$D:$D,0)+COUNTIF($E186:Z186,"u")+COUNTIF($E186:Z186,"t"),
     INDEX(Roadmap!$D:$K,MATCH($E186,Roadmap!$D:$D,0)+COUNTIF($E186:Z186,"u")+COUNTIF($E186:Z186,"t")+COUNTIF($E186:Z186,"¶")+COUNTIF($E186:Z186,"²")+COUNTIF($E186:Z186,"µ")+COUNTIF($E186:Z186,1),ColTypeEcheance)),
  IF(LEN(Z186)=1,
  IF(LEN(INDEX(Roadmap!$D:$K,MATCH($E186,Roadmap!$D:$D,0)-1+COUNTIF($E186:Z186,"u")+COUNTIF($E186:Z186,"t")+COUNTIF($E186:Z186,"¶")+COUNTIF($E186:Z186,"²")+COUNTIF($E186:Z186,"µ")+COUNTIF($E186:Z186,1),ColDescriptionCourte))&gt;1,
HYPERLINK("#Roadmap!C"&amp; MATCH($E186,Roadmap!$D:$D,0)+COUNTIF($E186:Z186,"u")+COUNTIF($E186:Z186,"t")+COUNTIF($E186:Z186,"¶")+COUNTIF($E186:Z186,"²")+COUNTIF($E186:Z186,"µ")+COUNTIF($E186:Z186,1)-1,INDEX(Roadmap!$D:$K,MATCH($E186,Roadmap!$D:$D,0)-1+COUNTIF($E186:Z186,"u")+COUNTIF($E186:Z186,"t")+COUNTIF($E186:Z186,"¶")+COUNTIF($E186:Z186,"²")+COUNTIF($E186:Z186,"µ")+COUNTIF($E186:Z186,1),ColDescriptionCourte)),""),
  "")),"")</f>
        <v/>
      </c>
      <c r="AB186" s="40" t="str">
        <f ca="1">IFERROR(IF(AND(
  INDEX(Roadmap!$D:$K,MATCH($E186,Roadmap!$D:$D,0)+COUNTIF($E186:AA186,"u")+COUNTIF($E186:AA186,"t")+COUNTIF($E186:AA186,"¶")+COUNTIF($E186:AA186,"²")+COUNTIF($E186:AA186,"µ")+COUNTIF($E186:AA186,1),ColLivraison)=AB$6,
  VLOOKUP($E186,INDIRECT("tri!"&amp; CHAR(64+ C0Col) &amp;":"&amp; CHAR(65+C0Col)),2,FALSE)&gt;COUNTIF($E186:AA186,"u")+COUNTIF($E186:AA186,"t")+COUNTIF($E186:AA186,"¶")+COUNTIF($E186:AA186,"²")+COUNTIF($E186:AA186,"µ")+COUNTIF($E186:AA186,1)),
HYPERLINK("#Roadmap!C"&amp; MATCH($E186,Roadmap!$D:$D,0)+COUNTIF($E186:AA186,"u")+COUNTIF($E186:AA186,"t"),
     INDEX(Roadmap!$D:$K,MATCH($E186,Roadmap!$D:$D,0)+COUNTIF($E186:AA186,"u")+COUNTIF($E186:AA186,"t")+COUNTIF($E186:AA186,"¶")+COUNTIF($E186:AA186,"²")+COUNTIF($E186:AA186,"µ")+COUNTIF($E186:AA186,1),ColTypeEcheance)),
  IF(LEN(AA186)=1,
  IF(LEN(INDEX(Roadmap!$D:$K,MATCH($E186,Roadmap!$D:$D,0)-1+COUNTIF($E186:AA186,"u")+COUNTIF($E186:AA186,"t")+COUNTIF($E186:AA186,"¶")+COUNTIF($E186:AA186,"²")+COUNTIF($E186:AA186,"µ")+COUNTIF($E186:AA186,1),ColDescriptionCourte))&gt;1,
HYPERLINK("#Roadmap!C"&amp; MATCH($E186,Roadmap!$D:$D,0)+COUNTIF($E186:AA186,"u")+COUNTIF($E186:AA186,"t")+COUNTIF($E186:AA186,"¶")+COUNTIF($E186:AA186,"²")+COUNTIF($E186:AA186,"µ")+COUNTIF($E186:AA186,1)-1,INDEX(Roadmap!$D:$K,MATCH($E186,Roadmap!$D:$D,0)-1+COUNTIF($E186:AA186,"u")+COUNTIF($E186:AA186,"t")+COUNTIF($E186:AA186,"¶")+COUNTIF($E186:AA186,"²")+COUNTIF($E186:AA186,"µ")+COUNTIF($E186:AA186,1),ColDescriptionCourte)),""),
  "")),"")</f>
        <v/>
      </c>
      <c r="AC186" s="40" t="str">
        <f ca="1">IFERROR(IF(AND(
  INDEX(Roadmap!$D:$K,MATCH($E186,Roadmap!$D:$D,0)+COUNTIF($E186:AB186,"u")+COUNTIF($E186:AB186,"t")+COUNTIF($E186:AB186,"¶")+COUNTIF($E186:AB186,"²")+COUNTIF($E186:AB186,"µ")+COUNTIF($E186:AB186,1),ColLivraison)=AC$6,
  VLOOKUP($E186,INDIRECT("tri!"&amp; CHAR(64+ C0Col) &amp;":"&amp; CHAR(65+C0Col)),2,FALSE)&gt;COUNTIF($E186:AB186,"u")+COUNTIF($E186:AB186,"t")+COUNTIF($E186:AB186,"¶")+COUNTIF($E186:AB186,"²")+COUNTIF($E186:AB186,"µ")+COUNTIF($E186:AB186,1)),
HYPERLINK("#Roadmap!C"&amp; MATCH($E186,Roadmap!$D:$D,0)+COUNTIF($E186:AB186,"u")+COUNTIF($E186:AB186,"t"),
     INDEX(Roadmap!$D:$K,MATCH($E186,Roadmap!$D:$D,0)+COUNTIF($E186:AB186,"u")+COUNTIF($E186:AB186,"t")+COUNTIF($E186:AB186,"¶")+COUNTIF($E186:AB186,"²")+COUNTIF($E186:AB186,"µ")+COUNTIF($E186:AB186,1),ColTypeEcheance)),
  IF(LEN(AB186)=1,
  IF(LEN(INDEX(Roadmap!$D:$K,MATCH($E186,Roadmap!$D:$D,0)-1+COUNTIF($E186:AB186,"u")+COUNTIF($E186:AB186,"t")+COUNTIF($E186:AB186,"¶")+COUNTIF($E186:AB186,"²")+COUNTIF($E186:AB186,"µ")+COUNTIF($E186:AB186,1),ColDescriptionCourte))&gt;1,
HYPERLINK("#Roadmap!C"&amp; MATCH($E186,Roadmap!$D:$D,0)+COUNTIF($E186:AB186,"u")+COUNTIF($E186:AB186,"t")+COUNTIF($E186:AB186,"¶")+COUNTIF($E186:AB186,"²")+COUNTIF($E186:AB186,"µ")+COUNTIF($E186:AB186,1)-1,INDEX(Roadmap!$D:$K,MATCH($E186,Roadmap!$D:$D,0)-1+COUNTIF($E186:AB186,"u")+COUNTIF($E186:AB186,"t")+COUNTIF($E186:AB186,"¶")+COUNTIF($E186:AB186,"²")+COUNTIF($E186:AB186,"µ")+COUNTIF($E186:AB186,1),ColDescriptionCourte)),""),
  "")),"")</f>
        <v/>
      </c>
      <c r="AD186" s="40" t="str">
        <f ca="1">IFERROR(IF(AND(
  INDEX(Roadmap!$D:$K,MATCH($E186,Roadmap!$D:$D,0)+COUNTIF($E186:AC186,"u")+COUNTIF($E186:AC186,"t")+COUNTIF($E186:AC186,"¶")+COUNTIF($E186:AC186,"²")+COUNTIF($E186:AC186,"µ")+COUNTIF($E186:AC186,1),ColLivraison)=AD$6,
  VLOOKUP($E186,INDIRECT("tri!"&amp; CHAR(64+ C0Col) &amp;":"&amp; CHAR(65+C0Col)),2,FALSE)&gt;COUNTIF($E186:AC186,"u")+COUNTIF($E186:AC186,"t")+COUNTIF($E186:AC186,"¶")+COUNTIF($E186:AC186,"²")+COUNTIF($E186:AC186,"µ")+COUNTIF($E186:AC186,1)),
HYPERLINK("#Roadmap!C"&amp; MATCH($E186,Roadmap!$D:$D,0)+COUNTIF($E186:AC186,"u")+COUNTIF($E186:AC186,"t"),
     INDEX(Roadmap!$D:$K,MATCH($E186,Roadmap!$D:$D,0)+COUNTIF($E186:AC186,"u")+COUNTIF($E186:AC186,"t")+COUNTIF($E186:AC186,"¶")+COUNTIF($E186:AC186,"²")+COUNTIF($E186:AC186,"µ")+COUNTIF($E186:AC186,1),ColTypeEcheance)),
  IF(LEN(AC186)=1,
  IF(LEN(INDEX(Roadmap!$D:$K,MATCH($E186,Roadmap!$D:$D,0)-1+COUNTIF($E186:AC186,"u")+COUNTIF($E186:AC186,"t")+COUNTIF($E186:AC186,"¶")+COUNTIF($E186:AC186,"²")+COUNTIF($E186:AC186,"µ")+COUNTIF($E186:AC186,1),ColDescriptionCourte))&gt;1,
HYPERLINK("#Roadmap!C"&amp; MATCH($E186,Roadmap!$D:$D,0)+COUNTIF($E186:AC186,"u")+COUNTIF($E186:AC186,"t")+COUNTIF($E186:AC186,"¶")+COUNTIF($E186:AC186,"²")+COUNTIF($E186:AC186,"µ")+COUNTIF($E186:AC186,1)-1,INDEX(Roadmap!$D:$K,MATCH($E186,Roadmap!$D:$D,0)-1+COUNTIF($E186:AC186,"u")+COUNTIF($E186:AC186,"t")+COUNTIF($E186:AC186,"¶")+COUNTIF($E186:AC186,"²")+COUNTIF($E186:AC186,"µ")+COUNTIF($E186:AC186,1),ColDescriptionCourte)),""),
  "")),"")</f>
        <v/>
      </c>
      <c r="AE186" s="40" t="str">
        <f ca="1">IFERROR(IF(AND(
  INDEX(Roadmap!$D:$K,MATCH($E186,Roadmap!$D:$D,0)+COUNTIF($E186:AD186,"u")+COUNTIF($E186:AD186,"t")+COUNTIF($E186:AD186,"¶")+COUNTIF($E186:AD186,"²")+COUNTIF($E186:AD186,"µ")+COUNTIF($E186:AD186,1),ColLivraison)=AE$6,
  VLOOKUP($E186,INDIRECT("tri!"&amp; CHAR(64+ C0Col) &amp;":"&amp; CHAR(65+C0Col)),2,FALSE)&gt;COUNTIF($E186:AD186,"u")+COUNTIF($E186:AD186,"t")+COUNTIF($E186:AD186,"¶")+COUNTIF($E186:AD186,"²")+COUNTIF($E186:AD186,"µ")+COUNTIF($E186:AD186,1)),
HYPERLINK("#Roadmap!C"&amp; MATCH($E186,Roadmap!$D:$D,0)+COUNTIF($E186:AD186,"u")+COUNTIF($E186:AD186,"t"),
     INDEX(Roadmap!$D:$K,MATCH($E186,Roadmap!$D:$D,0)+COUNTIF($E186:AD186,"u")+COUNTIF($E186:AD186,"t")+COUNTIF($E186:AD186,"¶")+COUNTIF($E186:AD186,"²")+COUNTIF($E186:AD186,"µ")+COUNTIF($E186:AD186,1),ColTypeEcheance)),
  IF(LEN(AD186)=1,
  IF(LEN(INDEX(Roadmap!$D:$K,MATCH($E186,Roadmap!$D:$D,0)-1+COUNTIF($E186:AD186,"u")+COUNTIF($E186:AD186,"t")+COUNTIF($E186:AD186,"¶")+COUNTIF($E186:AD186,"²")+COUNTIF($E186:AD186,"µ")+COUNTIF($E186:AD186,1),ColDescriptionCourte))&gt;1,
HYPERLINK("#Roadmap!C"&amp; MATCH($E186,Roadmap!$D:$D,0)+COUNTIF($E186:AD186,"u")+COUNTIF($E186:AD186,"t")+COUNTIF($E186:AD186,"¶")+COUNTIF($E186:AD186,"²")+COUNTIF($E186:AD186,"µ")+COUNTIF($E186:AD186,1)-1,INDEX(Roadmap!$D:$K,MATCH($E186,Roadmap!$D:$D,0)-1+COUNTIF($E186:AD186,"u")+COUNTIF($E186:AD186,"t")+COUNTIF($E186:AD186,"¶")+COUNTIF($E186:AD186,"²")+COUNTIF($E186:AD186,"µ")+COUNTIF($E186:AD186,1),ColDescriptionCourte)),""),
  "")),"")</f>
        <v/>
      </c>
      <c r="AF186" s="40" t="str">
        <f ca="1">IFERROR(IF(AND(
  INDEX(Roadmap!$D:$K,MATCH($E186,Roadmap!$D:$D,0)+COUNTIF($E186:AE186,"u")+COUNTIF($E186:AE186,"t")+COUNTIF($E186:AE186,"¶")+COUNTIF($E186:AE186,"²")+COUNTIF($E186:AE186,"µ")+COUNTIF($E186:AE186,1),ColLivraison)=AF$6,
  VLOOKUP($E186,INDIRECT("tri!"&amp; CHAR(64+ C0Col) &amp;":"&amp; CHAR(65+C0Col)),2,FALSE)&gt;COUNTIF($E186:AE186,"u")+COUNTIF($E186:AE186,"t")+COUNTIF($E186:AE186,"¶")+COUNTIF($E186:AE186,"²")+COUNTIF($E186:AE186,"µ")+COUNTIF($E186:AE186,1)),
HYPERLINK("#Roadmap!C"&amp; MATCH($E186,Roadmap!$D:$D,0)+COUNTIF($E186:AE186,"u")+COUNTIF($E186:AE186,"t"),
     INDEX(Roadmap!$D:$K,MATCH($E186,Roadmap!$D:$D,0)+COUNTIF($E186:AE186,"u")+COUNTIF($E186:AE186,"t")+COUNTIF($E186:AE186,"¶")+COUNTIF($E186:AE186,"²")+COUNTIF($E186:AE186,"µ")+COUNTIF($E186:AE186,1),ColTypeEcheance)),
  IF(LEN(AE186)=1,
  IF(LEN(INDEX(Roadmap!$D:$K,MATCH($E186,Roadmap!$D:$D,0)-1+COUNTIF($E186:AE186,"u")+COUNTIF($E186:AE186,"t")+COUNTIF($E186:AE186,"¶")+COUNTIF($E186:AE186,"²")+COUNTIF($E186:AE186,"µ")+COUNTIF($E186:AE186,1),ColDescriptionCourte))&gt;1,
HYPERLINK("#Roadmap!C"&amp; MATCH($E186,Roadmap!$D:$D,0)+COUNTIF($E186:AE186,"u")+COUNTIF($E186:AE186,"t")+COUNTIF($E186:AE186,"¶")+COUNTIF($E186:AE186,"²")+COUNTIF($E186:AE186,"µ")+COUNTIF($E186:AE186,1)-1,INDEX(Roadmap!$D:$K,MATCH($E186,Roadmap!$D:$D,0)-1+COUNTIF($E186:AE186,"u")+COUNTIF($E186:AE186,"t")+COUNTIF($E186:AE186,"¶")+COUNTIF($E186:AE186,"²")+COUNTIF($E186:AE186,"µ")+COUNTIF($E186:AE186,1),ColDescriptionCourte)),""),
  "")),"")</f>
        <v/>
      </c>
      <c r="AG186" s="40" t="str">
        <f ca="1">IFERROR(IF(AND(
  INDEX(Roadmap!$D:$K,MATCH($E186,Roadmap!$D:$D,0)+COUNTIF($E186:AF186,"u")+COUNTIF($E186:AF186,"t")+COUNTIF($E186:AF186,"¶")+COUNTIF($E186:AF186,"²")+COUNTIF($E186:AF186,"µ")+COUNTIF($E186:AF186,1),ColLivraison)=AG$6,
  VLOOKUP($E186,INDIRECT("tri!"&amp; CHAR(64+ C0Col) &amp;":"&amp; CHAR(65+C0Col)),2,FALSE)&gt;COUNTIF($E186:AF186,"u")+COUNTIF($E186:AF186,"t")+COUNTIF($E186:AF186,"¶")+COUNTIF($E186:AF186,"²")+COUNTIF($E186:AF186,"µ")+COUNTIF($E186:AF186,1)),
HYPERLINK("#Roadmap!C"&amp; MATCH($E186,Roadmap!$D:$D,0)+COUNTIF($E186:AF186,"u")+COUNTIF($E186:AF186,"t"),
     INDEX(Roadmap!$D:$K,MATCH($E186,Roadmap!$D:$D,0)+COUNTIF($E186:AF186,"u")+COUNTIF($E186:AF186,"t")+COUNTIF($E186:AF186,"¶")+COUNTIF($E186:AF186,"²")+COUNTIF($E186:AF186,"µ")+COUNTIF($E186:AF186,1),ColTypeEcheance)),
  IF(LEN(AF186)=1,
  IF(LEN(INDEX(Roadmap!$D:$K,MATCH($E186,Roadmap!$D:$D,0)-1+COUNTIF($E186:AF186,"u")+COUNTIF($E186:AF186,"t")+COUNTIF($E186:AF186,"¶")+COUNTIF($E186:AF186,"²")+COUNTIF($E186:AF186,"µ")+COUNTIF($E186:AF186,1),ColDescriptionCourte))&gt;1,
HYPERLINK("#Roadmap!C"&amp; MATCH($E186,Roadmap!$D:$D,0)+COUNTIF($E186:AF186,"u")+COUNTIF($E186:AF186,"t")+COUNTIF($E186:AF186,"¶")+COUNTIF($E186:AF186,"²")+COUNTIF($E186:AF186,"µ")+COUNTIF($E186:AF186,1)-1,INDEX(Roadmap!$D:$K,MATCH($E186,Roadmap!$D:$D,0)-1+COUNTIF($E186:AF186,"u")+COUNTIF($E186:AF186,"t")+COUNTIF($E186:AF186,"¶")+COUNTIF($E186:AF186,"²")+COUNTIF($E186:AF186,"µ")+COUNTIF($E186:AF186,1),ColDescriptionCourte)),""),
  "")),"")</f>
        <v/>
      </c>
      <c r="AH186" s="40" t="str">
        <f ca="1">IFERROR(IF(AND(
  INDEX(Roadmap!$D:$K,MATCH($E186,Roadmap!$D:$D,0)+COUNTIF($E186:AG186,"u")+COUNTIF($E186:AG186,"t")+COUNTIF($E186:AG186,1),ColLivraison)=AH$6,
  VLOOKUP($E186,INDIRECT("tri!"&amp; CHAR(64+ C0Col) &amp;":"&amp; CHAR(65+C0Col)),2,FALSE)&gt;COUNTIF($E186:AG186,"u")+COUNTIF($E186:AG186,"t")+COUNTIF($E186:AG186,1)),
HYPERLINK("#Roadmap!C"&amp; MATCH($E186,Roadmap!$D:$D,0)+COUNTIF($E186:AG186,"u")+COUNTIF($E186:AG186,"t"),
     INDEX(Roadmap!$D:$K,MATCH($E186,Roadmap!$D:$D,0)+COUNTIF($E186:AG186,"u")+COUNTIF($E186:AG186,"t")+COUNTIF($E186:AG186,1),ColTypeEcheance)),
  IF(OR(AG186="u",AG186="t",AG186=1),
  IF(LEN(INDEX(Roadmap!$D:$K,MATCH($E186,Roadmap!$D:$D,0)-1+COUNTIF($E186:AG186,"u")+COUNTIF($E186:AG186,"t")+COUNTIF($E186:AG186,1),ColDescriptionCourte))&gt;1,
HYPERLINK("#Roadmap!C"&amp; MATCH($E186,Roadmap!$D:$D,0)+COUNTIF($E186:AG186,"u")+COUNTIF($E186:AG186,"t")+COUNTIF($E186:AG186,1)-1,INDEX(Roadmap!$D:$K,MATCH($E186,Roadmap!$D:$D,0)-1+COUNTIF($E186:AG186,"u")+COUNTIF($E186:AG186,"t")+COUNTIF($E186:AG186,1),ColDescriptionCourte)),""),
  "")),"")</f>
        <v/>
      </c>
      <c r="AI186" s="40"/>
      <c r="AJ186" s="40"/>
      <c r="AK186" s="40"/>
      <c r="AL186" s="40"/>
      <c r="AM186" s="40"/>
    </row>
    <row r="187" spans="4:39" ht="14.1" customHeight="1">
      <c r="D187" s="20" t="str">
        <f t="shared" ca="1" si="31"/>
        <v/>
      </c>
      <c r="E187" s="53" t="str">
        <f t="shared" ca="1" si="32"/>
        <v/>
      </c>
      <c r="F187" s="39" t="str">
        <f ca="1">IFERROR(IF(AND(
  INDEX(Roadmap!$D:$K,MATCH($E187,Roadmap!$D:$D,0)+COUNTIF($E187:E187,"u")+COUNTIF($E187:E187,"t")+COUNTIF($E187:E187,"¶")+COUNTIF($E187:E187,"²")+COUNTIF($E187:E187,"µ")+COUNTIF($E187:E187,1),ColLivraison)=F$6,
  VLOOKUP($E187,INDIRECT("tri!"&amp; CHAR(64+ C0Col) &amp;":"&amp; CHAR(65+C0Col)),2,FALSE)&gt;COUNTIF($E187:E187,"u")+COUNTIF($E187:E187,"t")+COUNTIF($E187:E187,"¶")+COUNTIF($E187:E187,"²")+COUNTIF($E187:E187,"µ")+COUNTIF($E187:E187,1)),
HYPERLINK("#Roadmap!C"&amp; MATCH($E187,Roadmap!$D:$D,0)+COUNTIF($E187:E187,"u")+COUNTIF($E187:E187,"t"),
     INDEX(Roadmap!$D:$K,MATCH($E187,Roadmap!$D:$D,0)+COUNTIF($E187:E187,"u")+COUNTIF($E187:E187,"t")+COUNTIF($E187:E187,"¶")+COUNTIF($E187:E187,"²")+COUNTIF($E187:E187,"µ")+COUNTIF($E187:E187,1),ColTypeEcheance)),
  IF(LEN(E187)=1,
  IF(LEN(INDEX(Roadmap!$D:$K,MATCH($E187,Roadmap!$D:$D,0)-1+COUNTIF($E187:E187,"u")+COUNTIF($E187:E187,"t")+COUNTIF($E187:E187,"¶")+COUNTIF($E187:E187,"²")+COUNTIF($E187:E187,"µ")+COUNTIF($E187:E187,1),ColDescriptionCourte))&gt;1,
HYPERLINK("#Roadmap!C"&amp; MATCH($E187,Roadmap!$D:$D,0)+COUNTIF($E187:E187,"u")+COUNTIF($E187:E187,"t")+COUNTIF($E187:E187,"¶")+COUNTIF($E187:E187,"²")+COUNTIF($E187:E187,"µ")+COUNTIF($E187:E187,1)-1,INDEX(Roadmap!$D:$K,MATCH($E187,Roadmap!$D:$D,0)-1+COUNTIF($E187:E187,"u")+COUNTIF($E187:E187,"t")+COUNTIF($E187:E187,"¶")+COUNTIF($E187:E187,"²")+COUNTIF($E187:E187,"µ")+COUNTIF($E187:E187,1),ColDescriptionCourte)),""),
  "")),"")</f>
        <v/>
      </c>
      <c r="G187" s="40" t="str">
        <f ca="1">IFERROR(IF(AND(
  INDEX(Roadmap!$D:$K,MATCH($E187,Roadmap!$D:$D,0)+COUNTIF($E187:F187,"u")+COUNTIF($E187:F187,"t")+COUNTIF($E187:F187,"¶")+COUNTIF($E187:F187,"²")+COUNTIF($E187:F187,"µ")+COUNTIF($E187:F187,1),ColLivraison)=G$6,
  VLOOKUP($E187,INDIRECT("tri!"&amp; CHAR(64+ C0Col) &amp;":"&amp; CHAR(65+C0Col)),2,FALSE)&gt;COUNTIF($E187:F187,"u")+COUNTIF($E187:F187,"t")+COUNTIF($E187:F187,"¶")+COUNTIF($E187:F187,"²")+COUNTIF($E187:F187,"µ")+COUNTIF($E187:F187,1)),
HYPERLINK("#Roadmap!C"&amp; MATCH($E187,Roadmap!$D:$D,0)+COUNTIF($E187:F187,"u")+COUNTIF($E187:F187,"t"),
     INDEX(Roadmap!$D:$K,MATCH($E187,Roadmap!$D:$D,0)+COUNTIF($E187:F187,"u")+COUNTIF($E187:F187,"t")+COUNTIF($E187:F187,"¶")+COUNTIF($E187:F187,"²")+COUNTIF($E187:F187,"µ")+COUNTIF($E187:F187,1),ColTypeEcheance)),
  IF(LEN(F187)=1,
  IF(LEN(INDEX(Roadmap!$D:$K,MATCH($E187,Roadmap!$D:$D,0)-1+COUNTIF($E187:F187,"u")+COUNTIF($E187:F187,"t")+COUNTIF($E187:F187,"¶")+COUNTIF($E187:F187,"²")+COUNTIF($E187:F187,"µ")+COUNTIF($E187:F187,1),ColDescriptionCourte))&gt;1,
HYPERLINK("#Roadmap!C"&amp; MATCH($E187,Roadmap!$D:$D,0)+COUNTIF($E187:F187,"u")+COUNTIF($E187:F187,"t")+COUNTIF($E187:F187,"¶")+COUNTIF($E187:F187,"²")+COUNTIF($E187:F187,"µ")+COUNTIF($E187:F187,1)-1,INDEX(Roadmap!$D:$K,MATCH($E187,Roadmap!$D:$D,0)-1+COUNTIF($E187:F187,"u")+COUNTIF($E187:F187,"t")+COUNTIF($E187:F187,"¶")+COUNTIF($E187:F187,"²")+COUNTIF($E187:F187,"µ")+COUNTIF($E187:F187,1),ColDescriptionCourte)),""),
  "")),"")</f>
        <v/>
      </c>
      <c r="H187" s="40" t="str">
        <f ca="1">IFERROR(IF(AND(
  INDEX(Roadmap!$D:$K,MATCH($E187,Roadmap!$D:$D,0)+COUNTIF($E187:G187,"u")+COUNTIF($E187:G187,"t")+COUNTIF($E187:G187,"¶")+COUNTIF($E187:G187,"²")+COUNTIF($E187:G187,"µ")+COUNTIF($E187:G187,1),ColLivraison)=H$6,
  VLOOKUP($E187,INDIRECT("tri!"&amp; CHAR(64+ C0Col) &amp;":"&amp; CHAR(65+C0Col)),2,FALSE)&gt;COUNTIF($E187:G187,"u")+COUNTIF($E187:G187,"t")+COUNTIF($E187:G187,"¶")+COUNTIF($E187:G187,"²")+COUNTIF($E187:G187,"µ")+COUNTIF($E187:G187,1)),
HYPERLINK("#Roadmap!C"&amp; MATCH($E187,Roadmap!$D:$D,0)+COUNTIF($E187:G187,"u")+COUNTIF($E187:G187,"t"),
     INDEX(Roadmap!$D:$K,MATCH($E187,Roadmap!$D:$D,0)+COUNTIF($E187:G187,"u")+COUNTIF($E187:G187,"t")+COUNTIF($E187:G187,"¶")+COUNTIF($E187:G187,"²")+COUNTIF($E187:G187,"µ")+COUNTIF($E187:G187,1),ColTypeEcheance)),
  IF(LEN(G187)=1,
  IF(LEN(INDEX(Roadmap!$D:$K,MATCH($E187,Roadmap!$D:$D,0)-1+COUNTIF($E187:G187,"u")+COUNTIF($E187:G187,"t")+COUNTIF($E187:G187,"¶")+COUNTIF($E187:G187,"²")+COUNTIF($E187:G187,"µ")+COUNTIF($E187:G187,1),ColDescriptionCourte))&gt;1,
HYPERLINK("#Roadmap!C"&amp; MATCH($E187,Roadmap!$D:$D,0)+COUNTIF($E187:G187,"u")+COUNTIF($E187:G187,"t")+COUNTIF($E187:G187,"¶")+COUNTIF($E187:G187,"²")+COUNTIF($E187:G187,"µ")+COUNTIF($E187:G187,1)-1,INDEX(Roadmap!$D:$K,MATCH($E187,Roadmap!$D:$D,0)-1+COUNTIF($E187:G187,"u")+COUNTIF($E187:G187,"t")+COUNTIF($E187:G187,"¶")+COUNTIF($E187:G187,"²")+COUNTIF($E187:G187,"µ")+COUNTIF($E187:G187,1),ColDescriptionCourte)),""),
  "")),"")</f>
        <v/>
      </c>
      <c r="I187" s="40" t="str">
        <f ca="1">IFERROR(IF(AND(
  INDEX(Roadmap!$D:$K,MATCH($E187,Roadmap!$D:$D,0)+COUNTIF($E187:H187,"u")+COUNTIF($E187:H187,"t")+COUNTIF($E187:H187,"¶")+COUNTIF($E187:H187,"²")+COUNTIF($E187:H187,"µ")+COUNTIF($E187:H187,1),ColLivraison)=I$6,
  VLOOKUP($E187,INDIRECT("tri!"&amp; CHAR(64+ C0Col) &amp;":"&amp; CHAR(65+C0Col)),2,FALSE)&gt;COUNTIF($E187:H187,"u")+COUNTIF($E187:H187,"t")+COUNTIF($E187:H187,"¶")+COUNTIF($E187:H187,"²")+COUNTIF($E187:H187,"µ")+COUNTIF($E187:H187,1)),
HYPERLINK("#Roadmap!C"&amp; MATCH($E187,Roadmap!$D:$D,0)+COUNTIF($E187:H187,"u")+COUNTIF($E187:H187,"t"),
     INDEX(Roadmap!$D:$K,MATCH($E187,Roadmap!$D:$D,0)+COUNTIF($E187:H187,"u")+COUNTIF($E187:H187,"t")+COUNTIF($E187:H187,"¶")+COUNTIF($E187:H187,"²")+COUNTIF($E187:H187,"µ")+COUNTIF($E187:H187,1),ColTypeEcheance)),
  IF(LEN(H187)=1,
  IF(LEN(INDEX(Roadmap!$D:$K,MATCH($E187,Roadmap!$D:$D,0)-1+COUNTIF($E187:H187,"u")+COUNTIF($E187:H187,"t")+COUNTIF($E187:H187,"¶")+COUNTIF($E187:H187,"²")+COUNTIF($E187:H187,"µ")+COUNTIF($E187:H187,1),ColDescriptionCourte))&gt;1,
HYPERLINK("#Roadmap!C"&amp; MATCH($E187,Roadmap!$D:$D,0)+COUNTIF($E187:H187,"u")+COUNTIF($E187:H187,"t")+COUNTIF($E187:H187,"¶")+COUNTIF($E187:H187,"²")+COUNTIF($E187:H187,"µ")+COUNTIF($E187:H187,1)-1,INDEX(Roadmap!$D:$K,MATCH($E187,Roadmap!$D:$D,0)-1+COUNTIF($E187:H187,"u")+COUNTIF($E187:H187,"t")+COUNTIF($E187:H187,"¶")+COUNTIF($E187:H187,"²")+COUNTIF($E187:H187,"µ")+COUNTIF($E187:H187,1),ColDescriptionCourte)),""),
  "")),"")</f>
        <v/>
      </c>
      <c r="J187" s="40" t="str">
        <f ca="1">IFERROR(IF(AND(
  INDEX(Roadmap!$D:$K,MATCH($E187,Roadmap!$D:$D,0)+COUNTIF($E187:I187,"u")+COUNTIF($E187:I187,"t")+COUNTIF($E187:I187,"¶")+COUNTIF($E187:I187,"²")+COUNTIF($E187:I187,"µ")+COUNTIF($E187:I187,1),ColLivraison)=J$6,
  VLOOKUP($E187,INDIRECT("tri!"&amp; CHAR(64+ C0Col) &amp;":"&amp; CHAR(65+C0Col)),2,FALSE)&gt;COUNTIF($E187:I187,"u")+COUNTIF($E187:I187,"t")+COUNTIF($E187:I187,"¶")+COUNTIF($E187:I187,"²")+COUNTIF($E187:I187,"µ")+COUNTIF($E187:I187,1)),
HYPERLINK("#Roadmap!C"&amp; MATCH($E187,Roadmap!$D:$D,0)+COUNTIF($E187:I187,"u")+COUNTIF($E187:I187,"t"),
     INDEX(Roadmap!$D:$K,MATCH($E187,Roadmap!$D:$D,0)+COUNTIF($E187:I187,"u")+COUNTIF($E187:I187,"t")+COUNTIF($E187:I187,"¶")+COUNTIF($E187:I187,"²")+COUNTIF($E187:I187,"µ")+COUNTIF($E187:I187,1),ColTypeEcheance)),
  IF(LEN(I187)=1,
  IF(LEN(INDEX(Roadmap!$D:$K,MATCH($E187,Roadmap!$D:$D,0)-1+COUNTIF($E187:I187,"u")+COUNTIF($E187:I187,"t")+COUNTIF($E187:I187,"¶")+COUNTIF($E187:I187,"²")+COUNTIF($E187:I187,"µ")+COUNTIF($E187:I187,1),ColDescriptionCourte))&gt;1,
HYPERLINK("#Roadmap!C"&amp; MATCH($E187,Roadmap!$D:$D,0)+COUNTIF($E187:I187,"u")+COUNTIF($E187:I187,"t")+COUNTIF($E187:I187,"¶")+COUNTIF($E187:I187,"²")+COUNTIF($E187:I187,"µ")+COUNTIF($E187:I187,1)-1,INDEX(Roadmap!$D:$K,MATCH($E187,Roadmap!$D:$D,0)-1+COUNTIF($E187:I187,"u")+COUNTIF($E187:I187,"t")+COUNTIF($E187:I187,"¶")+COUNTIF($E187:I187,"²")+COUNTIF($E187:I187,"µ")+COUNTIF($E187:I187,1),ColDescriptionCourte)),""),
  "")),"")</f>
        <v/>
      </c>
      <c r="K187" s="40" t="str">
        <f ca="1">IFERROR(IF(AND(
  INDEX(Roadmap!$D:$K,MATCH($E187,Roadmap!$D:$D,0)+COUNTIF($E187:J187,"u")+COUNTIF($E187:J187,"t")+COUNTIF($E187:J187,"¶")+COUNTIF($E187:J187,"²")+COUNTIF($E187:J187,"µ")+COUNTIF($E187:J187,1),ColLivraison)=K$6,
  VLOOKUP($E187,INDIRECT("tri!"&amp; CHAR(64+ C0Col) &amp;":"&amp; CHAR(65+C0Col)),2,FALSE)&gt;COUNTIF($E187:J187,"u")+COUNTIF($E187:J187,"t")+COUNTIF($E187:J187,"¶")+COUNTIF($E187:J187,"²")+COUNTIF($E187:J187,"µ")+COUNTIF($E187:J187,1)),
HYPERLINK("#Roadmap!C"&amp; MATCH($E187,Roadmap!$D:$D,0)+COUNTIF($E187:J187,"u")+COUNTIF($E187:J187,"t"),
     INDEX(Roadmap!$D:$K,MATCH($E187,Roadmap!$D:$D,0)+COUNTIF($E187:J187,"u")+COUNTIF($E187:J187,"t")+COUNTIF($E187:J187,"¶")+COUNTIF($E187:J187,"²")+COUNTIF($E187:J187,"µ")+COUNTIF($E187:J187,1),ColTypeEcheance)),
  IF(LEN(J187)=1,
  IF(LEN(INDEX(Roadmap!$D:$K,MATCH($E187,Roadmap!$D:$D,0)-1+COUNTIF($E187:J187,"u")+COUNTIF($E187:J187,"t")+COUNTIF($E187:J187,"¶")+COUNTIF($E187:J187,"²")+COUNTIF($E187:J187,"µ")+COUNTIF($E187:J187,1),ColDescriptionCourte))&gt;1,
HYPERLINK("#Roadmap!C"&amp; MATCH($E187,Roadmap!$D:$D,0)+COUNTIF($E187:J187,"u")+COUNTIF($E187:J187,"t")+COUNTIF($E187:J187,"¶")+COUNTIF($E187:J187,"²")+COUNTIF($E187:J187,"µ")+COUNTIF($E187:J187,1)-1,INDEX(Roadmap!$D:$K,MATCH($E187,Roadmap!$D:$D,0)-1+COUNTIF($E187:J187,"u")+COUNTIF($E187:J187,"t")+COUNTIF($E187:J187,"¶")+COUNTIF($E187:J187,"²")+COUNTIF($E187:J187,"µ")+COUNTIF($E187:J187,1),ColDescriptionCourte)),""),
  "")),"")</f>
        <v/>
      </c>
      <c r="L187" s="39" t="str">
        <f ca="1">IFERROR(IF(AND(
  INDEX(Roadmap!$D:$K,MATCH($E187,Roadmap!$D:$D,0)+COUNTIF($E187:K187,"u")+COUNTIF($E187:K187,"t")+COUNTIF($E187:K187,"¶")+COUNTIF($E187:K187,"²")+COUNTIF($E187:K187,"µ")+COUNTIF($E187:K187,1),ColLivraison)=L$6,
  VLOOKUP($E187,INDIRECT("tri!"&amp; CHAR(64+ C0Col) &amp;":"&amp; CHAR(65+C0Col)),2,FALSE)&gt;COUNTIF($E187:K187,"u")+COUNTIF($E187:K187,"t")+COUNTIF($E187:K187,"¶")+COUNTIF($E187:K187,"²")+COUNTIF($E187:K187,"µ")+COUNTIF($E187:K187,1)),
HYPERLINK("#Roadmap!C"&amp; MATCH($E187,Roadmap!$D:$D,0)+COUNTIF($E187:K187,"u")+COUNTIF($E187:K187,"t"),
     INDEX(Roadmap!$D:$K,MATCH($E187,Roadmap!$D:$D,0)+COUNTIF($E187:K187,"u")+COUNTIF($E187:K187,"t")+COUNTIF($E187:K187,"¶")+COUNTIF($E187:K187,"²")+COUNTIF($E187:K187,"µ")+COUNTIF($E187:K187,1),ColTypeEcheance)),
  IF(LEN(K187)=1,
  IF(LEN(INDEX(Roadmap!$D:$K,MATCH($E187,Roadmap!$D:$D,0)-1+COUNTIF($E187:K187,"u")+COUNTIF($E187:K187,"t")+COUNTIF($E187:K187,"¶")+COUNTIF($E187:K187,"²")+COUNTIF($E187:K187,"µ")+COUNTIF($E187:K187,1),ColDescriptionCourte))&gt;1,
HYPERLINK("#Roadmap!C"&amp; MATCH($E187,Roadmap!$D:$D,0)+COUNTIF($E187:K187,"u")+COUNTIF($E187:K187,"t")+COUNTIF($E187:K187,"¶")+COUNTIF($E187:K187,"²")+COUNTIF($E187:K187,"µ")+COUNTIF($E187:K187,1)-1,INDEX(Roadmap!$D:$K,MATCH($E187,Roadmap!$D:$D,0)-1+COUNTIF($E187:K187,"u")+COUNTIF($E187:K187,"t")+COUNTIF($E187:K187,"¶")+COUNTIF($E187:K187,"²")+COUNTIF($E187:K187,"µ")+COUNTIF($E187:K187,1),ColDescriptionCourte)),""),
  "")),"")</f>
        <v/>
      </c>
      <c r="M187" s="40" t="str">
        <f ca="1">IFERROR(IF(AND(
  INDEX(Roadmap!$D:$K,MATCH($E187,Roadmap!$D:$D,0)+COUNTIF($E187:L187,"u")+COUNTIF($E187:L187,"t")+COUNTIF($E187:L187,"¶")+COUNTIF($E187:L187,"²")+COUNTIF($E187:L187,"µ")+COUNTIF($E187:L187,1),ColLivraison)=M$6,
  VLOOKUP($E187,INDIRECT("tri!"&amp; CHAR(64+ C0Col) &amp;":"&amp; CHAR(65+C0Col)),2,FALSE)&gt;COUNTIF($E187:L187,"u")+COUNTIF($E187:L187,"t")+COUNTIF($E187:L187,"¶")+COUNTIF($E187:L187,"²")+COUNTIF($E187:L187,"µ")+COUNTIF($E187:L187,1)),
HYPERLINK("#Roadmap!C"&amp; MATCH($E187,Roadmap!$D:$D,0)+COUNTIF($E187:L187,"u")+COUNTIF($E187:L187,"t"),
     INDEX(Roadmap!$D:$K,MATCH($E187,Roadmap!$D:$D,0)+COUNTIF($E187:L187,"u")+COUNTIF($E187:L187,"t")+COUNTIF($E187:L187,"¶")+COUNTIF($E187:L187,"²")+COUNTIF($E187:L187,"µ")+COUNTIF($E187:L187,1),ColTypeEcheance)),
  IF(LEN(L187)=1,
  IF(LEN(INDEX(Roadmap!$D:$K,MATCH($E187,Roadmap!$D:$D,0)-1+COUNTIF($E187:L187,"u")+COUNTIF($E187:L187,"t")+COUNTIF($E187:L187,"¶")+COUNTIF($E187:L187,"²")+COUNTIF($E187:L187,"µ")+COUNTIF($E187:L187,1),ColDescriptionCourte))&gt;1,
HYPERLINK("#Roadmap!C"&amp; MATCH($E187,Roadmap!$D:$D,0)+COUNTIF($E187:L187,"u")+COUNTIF($E187:L187,"t")+COUNTIF($E187:L187,"¶")+COUNTIF($E187:L187,"²")+COUNTIF($E187:L187,"µ")+COUNTIF($E187:L187,1)-1,INDEX(Roadmap!$D:$K,MATCH($E187,Roadmap!$D:$D,0)-1+COUNTIF($E187:L187,"u")+COUNTIF($E187:L187,"t")+COUNTIF($E187:L187,"¶")+COUNTIF($E187:L187,"²")+COUNTIF($E187:L187,"µ")+COUNTIF($E187:L187,1),ColDescriptionCourte)),""),
  "")),"")</f>
        <v/>
      </c>
      <c r="N187" s="40" t="str">
        <f ca="1">IFERROR(IF(AND(
  INDEX(Roadmap!$D:$K,MATCH($E187,Roadmap!$D:$D,0)+COUNTIF($E187:M187,"u")+COUNTIF($E187:M187,"t")+COUNTIF($E187:M187,"¶")+COUNTIF($E187:M187,"²")+COUNTIF($E187:M187,"µ")+COUNTIF($E187:M187,1),ColLivraison)=N$6,
  VLOOKUP($E187,INDIRECT("tri!"&amp; CHAR(64+ C0Col) &amp;":"&amp; CHAR(65+C0Col)),2,FALSE)&gt;COUNTIF($E187:M187,"u")+COUNTIF($E187:M187,"t")+COUNTIF($E187:M187,"¶")+COUNTIF($E187:M187,"²")+COUNTIF($E187:M187,"µ")+COUNTIF($E187:M187,1)),
HYPERLINK("#Roadmap!C"&amp; MATCH($E187,Roadmap!$D:$D,0)+COUNTIF($E187:M187,"u")+COUNTIF($E187:M187,"t"),
     INDEX(Roadmap!$D:$K,MATCH($E187,Roadmap!$D:$D,0)+COUNTIF($E187:M187,"u")+COUNTIF($E187:M187,"t")+COUNTIF($E187:M187,"¶")+COUNTIF($E187:M187,"²")+COUNTIF($E187:M187,"µ")+COUNTIF($E187:M187,1),ColTypeEcheance)),
  IF(LEN(M187)=1,
  IF(LEN(INDEX(Roadmap!$D:$K,MATCH($E187,Roadmap!$D:$D,0)-1+COUNTIF($E187:M187,"u")+COUNTIF($E187:M187,"t")+COUNTIF($E187:M187,"¶")+COUNTIF($E187:M187,"²")+COUNTIF($E187:M187,"µ")+COUNTIF($E187:M187,1),ColDescriptionCourte))&gt;1,
HYPERLINK("#Roadmap!C"&amp; MATCH($E187,Roadmap!$D:$D,0)+COUNTIF($E187:M187,"u")+COUNTIF($E187:M187,"t")+COUNTIF($E187:M187,"¶")+COUNTIF($E187:M187,"²")+COUNTIF($E187:M187,"µ")+COUNTIF($E187:M187,1)-1,INDEX(Roadmap!$D:$K,MATCH($E187,Roadmap!$D:$D,0)-1+COUNTIF($E187:M187,"u")+COUNTIF($E187:M187,"t")+COUNTIF($E187:M187,"¶")+COUNTIF($E187:M187,"²")+COUNTIF($E187:M187,"µ")+COUNTIF($E187:M187,1),ColDescriptionCourte)),""),
  "")),"")</f>
        <v/>
      </c>
      <c r="O187" s="40" t="str">
        <f ca="1">IFERROR(IF(AND(
  INDEX(Roadmap!$D:$K,MATCH($E187,Roadmap!$D:$D,0)+COUNTIF($E187:N187,"u")+COUNTIF($E187:N187,"t")+COUNTIF($E187:N187,"¶")+COUNTIF($E187:N187,"²")+COUNTIF($E187:N187,"µ")+COUNTIF($E187:N187,1),ColLivraison)=O$6,
  VLOOKUP($E187,INDIRECT("tri!"&amp; CHAR(64+ C0Col) &amp;":"&amp; CHAR(65+C0Col)),2,FALSE)&gt;COUNTIF($E187:N187,"u")+COUNTIF($E187:N187,"t")+COUNTIF($E187:N187,"¶")+COUNTIF($E187:N187,"²")+COUNTIF($E187:N187,"µ")+COUNTIF($E187:N187,1)),
HYPERLINK("#Roadmap!C"&amp; MATCH($E187,Roadmap!$D:$D,0)+COUNTIF($E187:N187,"u")+COUNTIF($E187:N187,"t"),
     INDEX(Roadmap!$D:$K,MATCH($E187,Roadmap!$D:$D,0)+COUNTIF($E187:N187,"u")+COUNTIF($E187:N187,"t")+COUNTIF($E187:N187,"¶")+COUNTIF($E187:N187,"²")+COUNTIF($E187:N187,"µ")+COUNTIF($E187:N187,1),ColTypeEcheance)),
  IF(LEN(N187)=1,
  IF(LEN(INDEX(Roadmap!$D:$K,MATCH($E187,Roadmap!$D:$D,0)-1+COUNTIF($E187:N187,"u")+COUNTIF($E187:N187,"t")+COUNTIF($E187:N187,"¶")+COUNTIF($E187:N187,"²")+COUNTIF($E187:N187,"µ")+COUNTIF($E187:N187,1),ColDescriptionCourte))&gt;1,
HYPERLINK("#Roadmap!C"&amp; MATCH($E187,Roadmap!$D:$D,0)+COUNTIF($E187:N187,"u")+COUNTIF($E187:N187,"t")+COUNTIF($E187:N187,"¶")+COUNTIF($E187:N187,"²")+COUNTIF($E187:N187,"µ")+COUNTIF($E187:N187,1)-1,INDEX(Roadmap!$D:$K,MATCH($E187,Roadmap!$D:$D,0)-1+COUNTIF($E187:N187,"u")+COUNTIF($E187:N187,"t")+COUNTIF($E187:N187,"¶")+COUNTIF($E187:N187,"²")+COUNTIF($E187:N187,"µ")+COUNTIF($E187:N187,1),ColDescriptionCourte)),""),
  "")),"")</f>
        <v/>
      </c>
      <c r="P187" s="40" t="str">
        <f ca="1">IFERROR(IF(AND(
  INDEX(Roadmap!$D:$K,MATCH($E187,Roadmap!$D:$D,0)+COUNTIF($E187:O187,"u")+COUNTIF($E187:O187,"t")+COUNTIF($E187:O187,"¶")+COUNTIF($E187:O187,"²")+COUNTIF($E187:O187,"µ")+COUNTIF($E187:O187,1),ColLivraison)=P$6,
  VLOOKUP($E187,INDIRECT("tri!"&amp; CHAR(64+ C0Col) &amp;":"&amp; CHAR(65+C0Col)),2,FALSE)&gt;COUNTIF($E187:O187,"u")+COUNTIF($E187:O187,"t")+COUNTIF($E187:O187,"¶")+COUNTIF($E187:O187,"²")+COUNTIF($E187:O187,"µ")+COUNTIF($E187:O187,1)),
HYPERLINK("#Roadmap!C"&amp; MATCH($E187,Roadmap!$D:$D,0)+COUNTIF($E187:O187,"u")+COUNTIF($E187:O187,"t"),
     INDEX(Roadmap!$D:$K,MATCH($E187,Roadmap!$D:$D,0)+COUNTIF($E187:O187,"u")+COUNTIF($E187:O187,"t")+COUNTIF($E187:O187,"¶")+COUNTIF($E187:O187,"²")+COUNTIF($E187:O187,"µ")+COUNTIF($E187:O187,1),ColTypeEcheance)),
  IF(LEN(O187)=1,
  IF(LEN(INDEX(Roadmap!$D:$K,MATCH($E187,Roadmap!$D:$D,0)-1+COUNTIF($E187:O187,"u")+COUNTIF($E187:O187,"t")+COUNTIF($E187:O187,"¶")+COUNTIF($E187:O187,"²")+COUNTIF($E187:O187,"µ")+COUNTIF($E187:O187,1),ColDescriptionCourte))&gt;1,
HYPERLINK("#Roadmap!C"&amp; MATCH($E187,Roadmap!$D:$D,0)+COUNTIF($E187:O187,"u")+COUNTIF($E187:O187,"t")+COUNTIF($E187:O187,"¶")+COUNTIF($E187:O187,"²")+COUNTIF($E187:O187,"µ")+COUNTIF($E187:O187,1)-1,INDEX(Roadmap!$D:$K,MATCH($E187,Roadmap!$D:$D,0)-1+COUNTIF($E187:O187,"u")+COUNTIF($E187:O187,"t")+COUNTIF($E187:O187,"¶")+COUNTIF($E187:O187,"²")+COUNTIF($E187:O187,"µ")+COUNTIF($E187:O187,1),ColDescriptionCourte)),""),
  "")),"")</f>
        <v/>
      </c>
      <c r="Q187" s="40" t="str">
        <f ca="1">IFERROR(IF(AND(
  INDEX(Roadmap!$D:$K,MATCH($E187,Roadmap!$D:$D,0)+COUNTIF($E187:P187,"u")+COUNTIF($E187:P187,"t")+COUNTIF($E187:P187,"¶")+COUNTIF($E187:P187,"²")+COUNTIF($E187:P187,"µ")+COUNTIF($E187:P187,1),ColLivraison)=Q$6,
  VLOOKUP($E187,INDIRECT("tri!"&amp; CHAR(64+ C0Col) &amp;":"&amp; CHAR(65+C0Col)),2,FALSE)&gt;COUNTIF($E187:P187,"u")+COUNTIF($E187:P187,"t")+COUNTIF($E187:P187,"¶")+COUNTIF($E187:P187,"²")+COUNTIF($E187:P187,"µ")+COUNTIF($E187:P187,1)),
HYPERLINK("#Roadmap!C"&amp; MATCH($E187,Roadmap!$D:$D,0)+COUNTIF($E187:P187,"u")+COUNTIF($E187:P187,"t"),
     INDEX(Roadmap!$D:$K,MATCH($E187,Roadmap!$D:$D,0)+COUNTIF($E187:P187,"u")+COUNTIF($E187:P187,"t")+COUNTIF($E187:P187,"¶")+COUNTIF($E187:P187,"²")+COUNTIF($E187:P187,"µ")+COUNTIF($E187:P187,1),ColTypeEcheance)),
  IF(LEN(P187)=1,
  IF(LEN(INDEX(Roadmap!$D:$K,MATCH($E187,Roadmap!$D:$D,0)-1+COUNTIF($E187:P187,"u")+COUNTIF($E187:P187,"t")+COUNTIF($E187:P187,"¶")+COUNTIF($E187:P187,"²")+COUNTIF($E187:P187,"µ")+COUNTIF($E187:P187,1),ColDescriptionCourte))&gt;1,
HYPERLINK("#Roadmap!C"&amp; MATCH($E187,Roadmap!$D:$D,0)+COUNTIF($E187:P187,"u")+COUNTIF($E187:P187,"t")+COUNTIF($E187:P187,"¶")+COUNTIF($E187:P187,"²")+COUNTIF($E187:P187,"µ")+COUNTIF($E187:P187,1)-1,INDEX(Roadmap!$D:$K,MATCH($E187,Roadmap!$D:$D,0)-1+COUNTIF($E187:P187,"u")+COUNTIF($E187:P187,"t")+COUNTIF($E187:P187,"¶")+COUNTIF($E187:P187,"²")+COUNTIF($E187:P187,"µ")+COUNTIF($E187:P187,1),ColDescriptionCourte)),""),
  "")),"")</f>
        <v/>
      </c>
      <c r="R187" s="40" t="str">
        <f ca="1">IFERROR(IF(AND(
  INDEX(Roadmap!$D:$K,MATCH($E187,Roadmap!$D:$D,0)+COUNTIF($E187:Q187,"u")+COUNTIF($E187:Q187,"t")+COUNTIF($E187:Q187,"¶")+COUNTIF($E187:Q187,"²")+COUNTIF($E187:Q187,"µ")+COUNTIF($E187:Q187,1),ColLivraison)=R$6,
  VLOOKUP($E187,INDIRECT("tri!"&amp; CHAR(64+ C0Col) &amp;":"&amp; CHAR(65+C0Col)),2,FALSE)&gt;COUNTIF($E187:Q187,"u")+COUNTIF($E187:Q187,"t")+COUNTIF($E187:Q187,"¶")+COUNTIF($E187:Q187,"²")+COUNTIF($E187:Q187,"µ")+COUNTIF($E187:Q187,1)),
HYPERLINK("#Roadmap!C"&amp; MATCH($E187,Roadmap!$D:$D,0)+COUNTIF($E187:Q187,"u")+COUNTIF($E187:Q187,"t"),
     INDEX(Roadmap!$D:$K,MATCH($E187,Roadmap!$D:$D,0)+COUNTIF($E187:Q187,"u")+COUNTIF($E187:Q187,"t")+COUNTIF($E187:Q187,"¶")+COUNTIF($E187:Q187,"²")+COUNTIF($E187:Q187,"µ")+COUNTIF($E187:Q187,1),ColTypeEcheance)),
  IF(LEN(Q187)=1,
  IF(LEN(INDEX(Roadmap!$D:$K,MATCH($E187,Roadmap!$D:$D,0)-1+COUNTIF($E187:Q187,"u")+COUNTIF($E187:Q187,"t")+COUNTIF($E187:Q187,"¶")+COUNTIF($E187:Q187,"²")+COUNTIF($E187:Q187,"µ")+COUNTIF($E187:Q187,1),ColDescriptionCourte))&gt;1,
HYPERLINK("#Roadmap!C"&amp; MATCH($E187,Roadmap!$D:$D,0)+COUNTIF($E187:Q187,"u")+COUNTIF($E187:Q187,"t")+COUNTIF($E187:Q187,"¶")+COUNTIF($E187:Q187,"²")+COUNTIF($E187:Q187,"µ")+COUNTIF($E187:Q187,1)-1,INDEX(Roadmap!$D:$K,MATCH($E187,Roadmap!$D:$D,0)-1+COUNTIF($E187:Q187,"u")+COUNTIF($E187:Q187,"t")+COUNTIF($E187:Q187,"¶")+COUNTIF($E187:Q187,"²")+COUNTIF($E187:Q187,"µ")+COUNTIF($E187:Q187,1),ColDescriptionCourte)),""),
  "")),"")</f>
        <v/>
      </c>
      <c r="S187" s="40" t="str">
        <f ca="1">IFERROR(IF(AND(
  INDEX(Roadmap!$D:$K,MATCH($E187,Roadmap!$D:$D,0)+COUNTIF($E187:R187,"u")+COUNTIF($E187:R187,"t")+COUNTIF($E187:R187,"¶")+COUNTIF($E187:R187,"²")+COUNTIF($E187:R187,"µ")+COUNTIF($E187:R187,1),ColLivraison)=S$6,
  VLOOKUP($E187,INDIRECT("tri!"&amp; CHAR(64+ C0Col) &amp;":"&amp; CHAR(65+C0Col)),2,FALSE)&gt;COUNTIF($E187:R187,"u")+COUNTIF($E187:R187,"t")+COUNTIF($E187:R187,"¶")+COUNTIF($E187:R187,"²")+COUNTIF($E187:R187,"µ")+COUNTIF($E187:R187,1)),
HYPERLINK("#Roadmap!C"&amp; MATCH($E187,Roadmap!$D:$D,0)+COUNTIF($E187:R187,"u")+COUNTIF($E187:R187,"t"),
     INDEX(Roadmap!$D:$K,MATCH($E187,Roadmap!$D:$D,0)+COUNTIF($E187:R187,"u")+COUNTIF($E187:R187,"t")+COUNTIF($E187:R187,"¶")+COUNTIF($E187:R187,"²")+COUNTIF($E187:R187,"µ")+COUNTIF($E187:R187,1),ColTypeEcheance)),
  IF(LEN(R187)=1,
  IF(LEN(INDEX(Roadmap!$D:$K,MATCH($E187,Roadmap!$D:$D,0)-1+COUNTIF($E187:R187,"u")+COUNTIF($E187:R187,"t")+COUNTIF($E187:R187,"¶")+COUNTIF($E187:R187,"²")+COUNTIF($E187:R187,"µ")+COUNTIF($E187:R187,1),ColDescriptionCourte))&gt;1,
HYPERLINK("#Roadmap!C"&amp; MATCH($E187,Roadmap!$D:$D,0)+COUNTIF($E187:R187,"u")+COUNTIF($E187:R187,"t")+COUNTIF($E187:R187,"¶")+COUNTIF($E187:R187,"²")+COUNTIF($E187:R187,"µ")+COUNTIF($E187:R187,1)-1,INDEX(Roadmap!$D:$K,MATCH($E187,Roadmap!$D:$D,0)-1+COUNTIF($E187:R187,"u")+COUNTIF($E187:R187,"t")+COUNTIF($E187:R187,"¶")+COUNTIF($E187:R187,"²")+COUNTIF($E187:R187,"µ")+COUNTIF($E187:R187,1),ColDescriptionCourte)),""),
  "")),"")</f>
        <v/>
      </c>
      <c r="T187" s="40" t="str">
        <f ca="1">IFERROR(IF(AND(
  INDEX(Roadmap!$D:$K,MATCH($E187,Roadmap!$D:$D,0)+COUNTIF($E187:S187,"u")+COUNTIF($E187:S187,"t")+COUNTIF($E187:S187,"¶")+COUNTIF($E187:S187,"²")+COUNTIF($E187:S187,"µ")+COUNTIF($E187:S187,1),ColLivraison)=T$6,
  VLOOKUP($E187,INDIRECT("tri!"&amp; CHAR(64+ C0Col) &amp;":"&amp; CHAR(65+C0Col)),2,FALSE)&gt;COUNTIF($E187:S187,"u")+COUNTIF($E187:S187,"t")+COUNTIF($E187:S187,"¶")+COUNTIF($E187:S187,"²")+COUNTIF($E187:S187,"µ")+COUNTIF($E187:S187,1)),
HYPERLINK("#Roadmap!C"&amp; MATCH($E187,Roadmap!$D:$D,0)+COUNTIF($E187:S187,"u")+COUNTIF($E187:S187,"t"),
     INDEX(Roadmap!$D:$K,MATCH($E187,Roadmap!$D:$D,0)+COUNTIF($E187:S187,"u")+COUNTIF($E187:S187,"t")+COUNTIF($E187:S187,"¶")+COUNTIF($E187:S187,"²")+COUNTIF($E187:S187,"µ")+COUNTIF($E187:S187,1),ColTypeEcheance)),
  IF(LEN(S187)=1,
  IF(LEN(INDEX(Roadmap!$D:$K,MATCH($E187,Roadmap!$D:$D,0)-1+COUNTIF($E187:S187,"u")+COUNTIF($E187:S187,"t")+COUNTIF($E187:S187,"¶")+COUNTIF($E187:S187,"²")+COUNTIF($E187:S187,"µ")+COUNTIF($E187:S187,1),ColDescriptionCourte))&gt;1,
HYPERLINK("#Roadmap!C"&amp; MATCH($E187,Roadmap!$D:$D,0)+COUNTIF($E187:S187,"u")+COUNTIF($E187:S187,"t")+COUNTIF($E187:S187,"¶")+COUNTIF($E187:S187,"²")+COUNTIF($E187:S187,"µ")+COUNTIF($E187:S187,1)-1,INDEX(Roadmap!$D:$K,MATCH($E187,Roadmap!$D:$D,0)-1+COUNTIF($E187:S187,"u")+COUNTIF($E187:S187,"t")+COUNTIF($E187:S187,"¶")+COUNTIF($E187:S187,"²")+COUNTIF($E187:S187,"µ")+COUNTIF($E187:S187,1),ColDescriptionCourte)),""),
  "")),"")</f>
        <v/>
      </c>
      <c r="U187" s="40" t="str">
        <f ca="1">IFERROR(IF(AND(
  INDEX(Roadmap!$D:$K,MATCH($E187,Roadmap!$D:$D,0)+COUNTIF($E187:T187,"u")+COUNTIF($E187:T187,"t")+COUNTIF($E187:T187,"¶")+COUNTIF($E187:T187,"²")+COUNTIF($E187:T187,"µ")+COUNTIF($E187:T187,1),ColLivraison)=U$6,
  VLOOKUP($E187,INDIRECT("tri!"&amp; CHAR(64+ C0Col) &amp;":"&amp; CHAR(65+C0Col)),2,FALSE)&gt;COUNTIF($E187:T187,"u")+COUNTIF($E187:T187,"t")+COUNTIF($E187:T187,"¶")+COUNTIF($E187:T187,"²")+COUNTIF($E187:T187,"µ")+COUNTIF($E187:T187,1)),
HYPERLINK("#Roadmap!C"&amp; MATCH($E187,Roadmap!$D:$D,0)+COUNTIF($E187:T187,"u")+COUNTIF($E187:T187,"t"),
     INDEX(Roadmap!$D:$K,MATCH($E187,Roadmap!$D:$D,0)+COUNTIF($E187:T187,"u")+COUNTIF($E187:T187,"t")+COUNTIF($E187:T187,"¶")+COUNTIF($E187:T187,"²")+COUNTIF($E187:T187,"µ")+COUNTIF($E187:T187,1),ColTypeEcheance)),
  IF(LEN(T187)=1,
  IF(LEN(INDEX(Roadmap!$D:$K,MATCH($E187,Roadmap!$D:$D,0)-1+COUNTIF($E187:T187,"u")+COUNTIF($E187:T187,"t")+COUNTIF($E187:T187,"¶")+COUNTIF($E187:T187,"²")+COUNTIF($E187:T187,"µ")+COUNTIF($E187:T187,1),ColDescriptionCourte))&gt;1,
HYPERLINK("#Roadmap!C"&amp; MATCH($E187,Roadmap!$D:$D,0)+COUNTIF($E187:T187,"u")+COUNTIF($E187:T187,"t")+COUNTIF($E187:T187,"¶")+COUNTIF($E187:T187,"²")+COUNTIF($E187:T187,"µ")+COUNTIF($E187:T187,1)-1,INDEX(Roadmap!$D:$K,MATCH($E187,Roadmap!$D:$D,0)-1+COUNTIF($E187:T187,"u")+COUNTIF($E187:T187,"t")+COUNTIF($E187:T187,"¶")+COUNTIF($E187:T187,"²")+COUNTIF($E187:T187,"µ")+COUNTIF($E187:T187,1),ColDescriptionCourte)),""),
  "")),"")</f>
        <v/>
      </c>
      <c r="V187" s="40" t="str">
        <f ca="1">IFERROR(IF(AND(
  INDEX(Roadmap!$D:$K,MATCH($E187,Roadmap!$D:$D,0)+COUNTIF($E187:U187,"u")+COUNTIF($E187:U187,"t")+COUNTIF($E187:U187,"¶")+COUNTIF($E187:U187,"²")+COUNTIF($E187:U187,"µ")+COUNTIF($E187:U187,1),ColLivraison)=V$6,
  VLOOKUP($E187,INDIRECT("tri!"&amp; CHAR(64+ C0Col) &amp;":"&amp; CHAR(65+C0Col)),2,FALSE)&gt;COUNTIF($E187:U187,"u")+COUNTIF($E187:U187,"t")+COUNTIF($E187:U187,"¶")+COUNTIF($E187:U187,"²")+COUNTIF($E187:U187,"µ")+COUNTIF($E187:U187,1)),
HYPERLINK("#Roadmap!C"&amp; MATCH($E187,Roadmap!$D:$D,0)+COUNTIF($E187:U187,"u")+COUNTIF($E187:U187,"t"),
     INDEX(Roadmap!$D:$K,MATCH($E187,Roadmap!$D:$D,0)+COUNTIF($E187:U187,"u")+COUNTIF($E187:U187,"t")+COUNTIF($E187:U187,"¶")+COUNTIF($E187:U187,"²")+COUNTIF($E187:U187,"µ")+COUNTIF($E187:U187,1),ColTypeEcheance)),
  IF(LEN(U187)=1,
  IF(LEN(INDEX(Roadmap!$D:$K,MATCH($E187,Roadmap!$D:$D,0)-1+COUNTIF($E187:U187,"u")+COUNTIF($E187:U187,"t")+COUNTIF($E187:U187,"¶")+COUNTIF($E187:U187,"²")+COUNTIF($E187:U187,"µ")+COUNTIF($E187:U187,1),ColDescriptionCourte))&gt;1,
HYPERLINK("#Roadmap!C"&amp; MATCH($E187,Roadmap!$D:$D,0)+COUNTIF($E187:U187,"u")+COUNTIF($E187:U187,"t")+COUNTIF($E187:U187,"¶")+COUNTIF($E187:U187,"²")+COUNTIF($E187:U187,"µ")+COUNTIF($E187:U187,1)-1,INDEX(Roadmap!$D:$K,MATCH($E187,Roadmap!$D:$D,0)-1+COUNTIF($E187:U187,"u")+COUNTIF($E187:U187,"t")+COUNTIF($E187:U187,"¶")+COUNTIF($E187:U187,"²")+COUNTIF($E187:U187,"µ")+COUNTIF($E187:U187,1),ColDescriptionCourte)),""),
  "")),"")</f>
        <v/>
      </c>
      <c r="W187" s="40" t="str">
        <f ca="1">IFERROR(IF(AND(
  INDEX(Roadmap!$D:$K,MATCH($E187,Roadmap!$D:$D,0)+COUNTIF($E187:V187,"u")+COUNTIF($E187:V187,"t")+COUNTIF($E187:V187,"¶")+COUNTIF($E187:V187,"²")+COUNTIF($E187:V187,"µ")+COUNTIF($E187:V187,1),ColLivraison)=W$6,
  VLOOKUP($E187,INDIRECT("tri!"&amp; CHAR(64+ C0Col) &amp;":"&amp; CHAR(65+C0Col)),2,FALSE)&gt;COUNTIF($E187:V187,"u")+COUNTIF($E187:V187,"t")+COUNTIF($E187:V187,"¶")+COUNTIF($E187:V187,"²")+COUNTIF($E187:V187,"µ")+COUNTIF($E187:V187,1)),
HYPERLINK("#Roadmap!C"&amp; MATCH($E187,Roadmap!$D:$D,0)+COUNTIF($E187:V187,"u")+COUNTIF($E187:V187,"t"),
     INDEX(Roadmap!$D:$K,MATCH($E187,Roadmap!$D:$D,0)+COUNTIF($E187:V187,"u")+COUNTIF($E187:V187,"t")+COUNTIF($E187:V187,"¶")+COUNTIF($E187:V187,"²")+COUNTIF($E187:V187,"µ")+COUNTIF($E187:V187,1),ColTypeEcheance)),
  IF(LEN(V187)=1,
  IF(LEN(INDEX(Roadmap!$D:$K,MATCH($E187,Roadmap!$D:$D,0)-1+COUNTIF($E187:V187,"u")+COUNTIF($E187:V187,"t")+COUNTIF($E187:V187,"¶")+COUNTIF($E187:V187,"²")+COUNTIF($E187:V187,"µ")+COUNTIF($E187:V187,1),ColDescriptionCourte))&gt;1,
HYPERLINK("#Roadmap!C"&amp; MATCH($E187,Roadmap!$D:$D,0)+COUNTIF($E187:V187,"u")+COUNTIF($E187:V187,"t")+COUNTIF($E187:V187,"¶")+COUNTIF($E187:V187,"²")+COUNTIF($E187:V187,"µ")+COUNTIF($E187:V187,1)-1,INDEX(Roadmap!$D:$K,MATCH($E187,Roadmap!$D:$D,0)-1+COUNTIF($E187:V187,"u")+COUNTIF($E187:V187,"t")+COUNTIF($E187:V187,"¶")+COUNTIF($E187:V187,"²")+COUNTIF($E187:V187,"µ")+COUNTIF($E187:V187,1),ColDescriptionCourte)),""),
  "")),"")</f>
        <v/>
      </c>
      <c r="X187" s="40" t="str">
        <f ca="1">IFERROR(IF(AND(
  INDEX(Roadmap!$D:$K,MATCH($E187,Roadmap!$D:$D,0)+COUNTIF($E187:W187,"u")+COUNTIF($E187:W187,"t")+COUNTIF($E187:W187,"¶")+COUNTIF($E187:W187,"²")+COUNTIF($E187:W187,"µ")+COUNTIF($E187:W187,1),ColLivraison)=X$6,
  VLOOKUP($E187,INDIRECT("tri!"&amp; CHAR(64+ C0Col) &amp;":"&amp; CHAR(65+C0Col)),2,FALSE)&gt;COUNTIF($E187:W187,"u")+COUNTIF($E187:W187,"t")+COUNTIF($E187:W187,"¶")+COUNTIF($E187:W187,"²")+COUNTIF($E187:W187,"µ")+COUNTIF($E187:W187,1)),
HYPERLINK("#Roadmap!C"&amp; MATCH($E187,Roadmap!$D:$D,0)+COUNTIF($E187:W187,"u")+COUNTIF($E187:W187,"t"),
     INDEX(Roadmap!$D:$K,MATCH($E187,Roadmap!$D:$D,0)+COUNTIF($E187:W187,"u")+COUNTIF($E187:W187,"t")+COUNTIF($E187:W187,"¶")+COUNTIF($E187:W187,"²")+COUNTIF($E187:W187,"µ")+COUNTIF($E187:W187,1),ColTypeEcheance)),
  IF(LEN(W187)=1,
  IF(LEN(INDEX(Roadmap!$D:$K,MATCH($E187,Roadmap!$D:$D,0)-1+COUNTIF($E187:W187,"u")+COUNTIF($E187:W187,"t")+COUNTIF($E187:W187,"¶")+COUNTIF($E187:W187,"²")+COUNTIF($E187:W187,"µ")+COUNTIF($E187:W187,1),ColDescriptionCourte))&gt;1,
HYPERLINK("#Roadmap!C"&amp; MATCH($E187,Roadmap!$D:$D,0)+COUNTIF($E187:W187,"u")+COUNTIF($E187:W187,"t")+COUNTIF($E187:W187,"¶")+COUNTIF($E187:W187,"²")+COUNTIF($E187:W187,"µ")+COUNTIF($E187:W187,1)-1,INDEX(Roadmap!$D:$K,MATCH($E187,Roadmap!$D:$D,0)-1+COUNTIF($E187:W187,"u")+COUNTIF($E187:W187,"t")+COUNTIF($E187:W187,"¶")+COUNTIF($E187:W187,"²")+COUNTIF($E187:W187,"µ")+COUNTIF($E187:W187,1),ColDescriptionCourte)),""),
  "")),"")</f>
        <v/>
      </c>
      <c r="Y187" s="40" t="str">
        <f ca="1">IFERROR(IF(AND(
  INDEX(Roadmap!$D:$K,MATCH($E187,Roadmap!$D:$D,0)+COUNTIF($E187:X187,"u")+COUNTIF($E187:X187,"t")+COUNTIF($E187:X187,"¶")+COUNTIF($E187:X187,"²")+COUNTIF($E187:X187,"µ")+COUNTIF($E187:X187,1),ColLivraison)=Y$6,
  VLOOKUP($E187,INDIRECT("tri!"&amp; CHAR(64+ C0Col) &amp;":"&amp; CHAR(65+C0Col)),2,FALSE)&gt;COUNTIF($E187:X187,"u")+COUNTIF($E187:X187,"t")+COUNTIF($E187:X187,"¶")+COUNTIF($E187:X187,"²")+COUNTIF($E187:X187,"µ")+COUNTIF($E187:X187,1)),
HYPERLINK("#Roadmap!C"&amp; MATCH($E187,Roadmap!$D:$D,0)+COUNTIF($E187:X187,"u")+COUNTIF($E187:X187,"t"),
     INDEX(Roadmap!$D:$K,MATCH($E187,Roadmap!$D:$D,0)+COUNTIF($E187:X187,"u")+COUNTIF($E187:X187,"t")+COUNTIF($E187:X187,"¶")+COUNTIF($E187:X187,"²")+COUNTIF($E187:X187,"µ")+COUNTIF($E187:X187,1),ColTypeEcheance)),
  IF(LEN(X187)=1,
  IF(LEN(INDEX(Roadmap!$D:$K,MATCH($E187,Roadmap!$D:$D,0)-1+COUNTIF($E187:X187,"u")+COUNTIF($E187:X187,"t")+COUNTIF($E187:X187,"¶")+COUNTIF($E187:X187,"²")+COUNTIF($E187:X187,"µ")+COUNTIF($E187:X187,1),ColDescriptionCourte))&gt;1,
HYPERLINK("#Roadmap!C"&amp; MATCH($E187,Roadmap!$D:$D,0)+COUNTIF($E187:X187,"u")+COUNTIF($E187:X187,"t")+COUNTIF($E187:X187,"¶")+COUNTIF($E187:X187,"²")+COUNTIF($E187:X187,"µ")+COUNTIF($E187:X187,1)-1,INDEX(Roadmap!$D:$K,MATCH($E187,Roadmap!$D:$D,0)-1+COUNTIF($E187:X187,"u")+COUNTIF($E187:X187,"t")+COUNTIF($E187:X187,"¶")+COUNTIF($E187:X187,"²")+COUNTIF($E187:X187,"µ")+COUNTIF($E187:X187,1),ColDescriptionCourte)),""),
  "")),"")</f>
        <v/>
      </c>
      <c r="Z187" s="40" t="str">
        <f ca="1">IFERROR(IF(AND(
  INDEX(Roadmap!$D:$K,MATCH($E187,Roadmap!$D:$D,0)+COUNTIF($E187:Y187,"u")+COUNTIF($E187:Y187,"t")+COUNTIF($E187:Y187,"¶")+COUNTIF($E187:Y187,"²")+COUNTIF($E187:Y187,"µ")+COUNTIF($E187:Y187,1),ColLivraison)=Z$6,
  VLOOKUP($E187,INDIRECT("tri!"&amp; CHAR(64+ C0Col) &amp;":"&amp; CHAR(65+C0Col)),2,FALSE)&gt;COUNTIF($E187:Y187,"u")+COUNTIF($E187:Y187,"t")+COUNTIF($E187:Y187,"¶")+COUNTIF($E187:Y187,"²")+COUNTIF($E187:Y187,"µ")+COUNTIF($E187:Y187,1)),
HYPERLINK("#Roadmap!C"&amp; MATCH($E187,Roadmap!$D:$D,0)+COUNTIF($E187:Y187,"u")+COUNTIF($E187:Y187,"t"),
     INDEX(Roadmap!$D:$K,MATCH($E187,Roadmap!$D:$D,0)+COUNTIF($E187:Y187,"u")+COUNTIF($E187:Y187,"t")+COUNTIF($E187:Y187,"¶")+COUNTIF($E187:Y187,"²")+COUNTIF($E187:Y187,"µ")+COUNTIF($E187:Y187,1),ColTypeEcheance)),
  IF(LEN(Y187)=1,
  IF(LEN(INDEX(Roadmap!$D:$K,MATCH($E187,Roadmap!$D:$D,0)-1+COUNTIF($E187:Y187,"u")+COUNTIF($E187:Y187,"t")+COUNTIF($E187:Y187,"¶")+COUNTIF($E187:Y187,"²")+COUNTIF($E187:Y187,"µ")+COUNTIF($E187:Y187,1),ColDescriptionCourte))&gt;1,
HYPERLINK("#Roadmap!C"&amp; MATCH($E187,Roadmap!$D:$D,0)+COUNTIF($E187:Y187,"u")+COUNTIF($E187:Y187,"t")+COUNTIF($E187:Y187,"¶")+COUNTIF($E187:Y187,"²")+COUNTIF($E187:Y187,"µ")+COUNTIF($E187:Y187,1)-1,INDEX(Roadmap!$D:$K,MATCH($E187,Roadmap!$D:$D,0)-1+COUNTIF($E187:Y187,"u")+COUNTIF($E187:Y187,"t")+COUNTIF($E187:Y187,"¶")+COUNTIF($E187:Y187,"²")+COUNTIF($E187:Y187,"µ")+COUNTIF($E187:Y187,1),ColDescriptionCourte)),""),
  "")),"")</f>
        <v/>
      </c>
      <c r="AA187" s="40" t="str">
        <f ca="1">IFERROR(IF(AND(
  INDEX(Roadmap!$D:$K,MATCH($E187,Roadmap!$D:$D,0)+COUNTIF($E187:Z187,"u")+COUNTIF($E187:Z187,"t")+COUNTIF($E187:Z187,"¶")+COUNTIF($E187:Z187,"²")+COUNTIF($E187:Z187,"µ")+COUNTIF($E187:Z187,1),ColLivraison)=AA$6,
  VLOOKUP($E187,INDIRECT("tri!"&amp; CHAR(64+ C0Col) &amp;":"&amp; CHAR(65+C0Col)),2,FALSE)&gt;COUNTIF($E187:Z187,"u")+COUNTIF($E187:Z187,"t")+COUNTIF($E187:Z187,"¶")+COUNTIF($E187:Z187,"²")+COUNTIF($E187:Z187,"µ")+COUNTIF($E187:Z187,1)),
HYPERLINK("#Roadmap!C"&amp; MATCH($E187,Roadmap!$D:$D,0)+COUNTIF($E187:Z187,"u")+COUNTIF($E187:Z187,"t"),
     INDEX(Roadmap!$D:$K,MATCH($E187,Roadmap!$D:$D,0)+COUNTIF($E187:Z187,"u")+COUNTIF($E187:Z187,"t")+COUNTIF($E187:Z187,"¶")+COUNTIF($E187:Z187,"²")+COUNTIF($E187:Z187,"µ")+COUNTIF($E187:Z187,1),ColTypeEcheance)),
  IF(LEN(Z187)=1,
  IF(LEN(INDEX(Roadmap!$D:$K,MATCH($E187,Roadmap!$D:$D,0)-1+COUNTIF($E187:Z187,"u")+COUNTIF($E187:Z187,"t")+COUNTIF($E187:Z187,"¶")+COUNTIF($E187:Z187,"²")+COUNTIF($E187:Z187,"µ")+COUNTIF($E187:Z187,1),ColDescriptionCourte))&gt;1,
HYPERLINK("#Roadmap!C"&amp; MATCH($E187,Roadmap!$D:$D,0)+COUNTIF($E187:Z187,"u")+COUNTIF($E187:Z187,"t")+COUNTIF($E187:Z187,"¶")+COUNTIF($E187:Z187,"²")+COUNTIF($E187:Z187,"µ")+COUNTIF($E187:Z187,1)-1,INDEX(Roadmap!$D:$K,MATCH($E187,Roadmap!$D:$D,0)-1+COUNTIF($E187:Z187,"u")+COUNTIF($E187:Z187,"t")+COUNTIF($E187:Z187,"¶")+COUNTIF($E187:Z187,"²")+COUNTIF($E187:Z187,"µ")+COUNTIF($E187:Z187,1),ColDescriptionCourte)),""),
  "")),"")</f>
        <v/>
      </c>
      <c r="AB187" s="40" t="str">
        <f ca="1">IFERROR(IF(AND(
  INDEX(Roadmap!$D:$K,MATCH($E187,Roadmap!$D:$D,0)+COUNTIF($E187:AA187,"u")+COUNTIF($E187:AA187,"t")+COUNTIF($E187:AA187,"¶")+COUNTIF($E187:AA187,"²")+COUNTIF($E187:AA187,"µ")+COUNTIF($E187:AA187,1),ColLivraison)=AB$6,
  VLOOKUP($E187,INDIRECT("tri!"&amp; CHAR(64+ C0Col) &amp;":"&amp; CHAR(65+C0Col)),2,FALSE)&gt;COUNTIF($E187:AA187,"u")+COUNTIF($E187:AA187,"t")+COUNTIF($E187:AA187,"¶")+COUNTIF($E187:AA187,"²")+COUNTIF($E187:AA187,"µ")+COUNTIF($E187:AA187,1)),
HYPERLINK("#Roadmap!C"&amp; MATCH($E187,Roadmap!$D:$D,0)+COUNTIF($E187:AA187,"u")+COUNTIF($E187:AA187,"t"),
     INDEX(Roadmap!$D:$K,MATCH($E187,Roadmap!$D:$D,0)+COUNTIF($E187:AA187,"u")+COUNTIF($E187:AA187,"t")+COUNTIF($E187:AA187,"¶")+COUNTIF($E187:AA187,"²")+COUNTIF($E187:AA187,"µ")+COUNTIF($E187:AA187,1),ColTypeEcheance)),
  IF(LEN(AA187)=1,
  IF(LEN(INDEX(Roadmap!$D:$K,MATCH($E187,Roadmap!$D:$D,0)-1+COUNTIF($E187:AA187,"u")+COUNTIF($E187:AA187,"t")+COUNTIF($E187:AA187,"¶")+COUNTIF($E187:AA187,"²")+COUNTIF($E187:AA187,"µ")+COUNTIF($E187:AA187,1),ColDescriptionCourte))&gt;1,
HYPERLINK("#Roadmap!C"&amp; MATCH($E187,Roadmap!$D:$D,0)+COUNTIF($E187:AA187,"u")+COUNTIF($E187:AA187,"t")+COUNTIF($E187:AA187,"¶")+COUNTIF($E187:AA187,"²")+COUNTIF($E187:AA187,"µ")+COUNTIF($E187:AA187,1)-1,INDEX(Roadmap!$D:$K,MATCH($E187,Roadmap!$D:$D,0)-1+COUNTIF($E187:AA187,"u")+COUNTIF($E187:AA187,"t")+COUNTIF($E187:AA187,"¶")+COUNTIF($E187:AA187,"²")+COUNTIF($E187:AA187,"µ")+COUNTIF($E187:AA187,1),ColDescriptionCourte)),""),
  "")),"")</f>
        <v/>
      </c>
      <c r="AC187" s="40" t="str">
        <f ca="1">IFERROR(IF(AND(
  INDEX(Roadmap!$D:$K,MATCH($E187,Roadmap!$D:$D,0)+COUNTIF($E187:AB187,"u")+COUNTIF($E187:AB187,"t")+COUNTIF($E187:AB187,"¶")+COUNTIF($E187:AB187,"²")+COUNTIF($E187:AB187,"µ")+COUNTIF($E187:AB187,1),ColLivraison)=AC$6,
  VLOOKUP($E187,INDIRECT("tri!"&amp; CHAR(64+ C0Col) &amp;":"&amp; CHAR(65+C0Col)),2,FALSE)&gt;COUNTIF($E187:AB187,"u")+COUNTIF($E187:AB187,"t")+COUNTIF($E187:AB187,"¶")+COUNTIF($E187:AB187,"²")+COUNTIF($E187:AB187,"µ")+COUNTIF($E187:AB187,1)),
HYPERLINK("#Roadmap!C"&amp; MATCH($E187,Roadmap!$D:$D,0)+COUNTIF($E187:AB187,"u")+COUNTIF($E187:AB187,"t"),
     INDEX(Roadmap!$D:$K,MATCH($E187,Roadmap!$D:$D,0)+COUNTIF($E187:AB187,"u")+COUNTIF($E187:AB187,"t")+COUNTIF($E187:AB187,"¶")+COUNTIF($E187:AB187,"²")+COUNTIF($E187:AB187,"µ")+COUNTIF($E187:AB187,1),ColTypeEcheance)),
  IF(LEN(AB187)=1,
  IF(LEN(INDEX(Roadmap!$D:$K,MATCH($E187,Roadmap!$D:$D,0)-1+COUNTIF($E187:AB187,"u")+COUNTIF($E187:AB187,"t")+COUNTIF($E187:AB187,"¶")+COUNTIF($E187:AB187,"²")+COUNTIF($E187:AB187,"µ")+COUNTIF($E187:AB187,1),ColDescriptionCourte))&gt;1,
HYPERLINK("#Roadmap!C"&amp; MATCH($E187,Roadmap!$D:$D,0)+COUNTIF($E187:AB187,"u")+COUNTIF($E187:AB187,"t")+COUNTIF($E187:AB187,"¶")+COUNTIF($E187:AB187,"²")+COUNTIF($E187:AB187,"µ")+COUNTIF($E187:AB187,1)-1,INDEX(Roadmap!$D:$K,MATCH($E187,Roadmap!$D:$D,0)-1+COUNTIF($E187:AB187,"u")+COUNTIF($E187:AB187,"t")+COUNTIF($E187:AB187,"¶")+COUNTIF($E187:AB187,"²")+COUNTIF($E187:AB187,"µ")+COUNTIF($E187:AB187,1),ColDescriptionCourte)),""),
  "")),"")</f>
        <v/>
      </c>
      <c r="AD187" s="40" t="str">
        <f ca="1">IFERROR(IF(AND(
  INDEX(Roadmap!$D:$K,MATCH($E187,Roadmap!$D:$D,0)+COUNTIF($E187:AC187,"u")+COUNTIF($E187:AC187,"t")+COUNTIF($E187:AC187,"¶")+COUNTIF($E187:AC187,"²")+COUNTIF($E187:AC187,"µ")+COUNTIF($E187:AC187,1),ColLivraison)=AD$6,
  VLOOKUP($E187,INDIRECT("tri!"&amp; CHAR(64+ C0Col) &amp;":"&amp; CHAR(65+C0Col)),2,FALSE)&gt;COUNTIF($E187:AC187,"u")+COUNTIF($E187:AC187,"t")+COUNTIF($E187:AC187,"¶")+COUNTIF($E187:AC187,"²")+COUNTIF($E187:AC187,"µ")+COUNTIF($E187:AC187,1)),
HYPERLINK("#Roadmap!C"&amp; MATCH($E187,Roadmap!$D:$D,0)+COUNTIF($E187:AC187,"u")+COUNTIF($E187:AC187,"t"),
     INDEX(Roadmap!$D:$K,MATCH($E187,Roadmap!$D:$D,0)+COUNTIF($E187:AC187,"u")+COUNTIF($E187:AC187,"t")+COUNTIF($E187:AC187,"¶")+COUNTIF($E187:AC187,"²")+COUNTIF($E187:AC187,"µ")+COUNTIF($E187:AC187,1),ColTypeEcheance)),
  IF(LEN(AC187)=1,
  IF(LEN(INDEX(Roadmap!$D:$K,MATCH($E187,Roadmap!$D:$D,0)-1+COUNTIF($E187:AC187,"u")+COUNTIF($E187:AC187,"t")+COUNTIF($E187:AC187,"¶")+COUNTIF($E187:AC187,"²")+COUNTIF($E187:AC187,"µ")+COUNTIF($E187:AC187,1),ColDescriptionCourte))&gt;1,
HYPERLINK("#Roadmap!C"&amp; MATCH($E187,Roadmap!$D:$D,0)+COUNTIF($E187:AC187,"u")+COUNTIF($E187:AC187,"t")+COUNTIF($E187:AC187,"¶")+COUNTIF($E187:AC187,"²")+COUNTIF($E187:AC187,"µ")+COUNTIF($E187:AC187,1)-1,INDEX(Roadmap!$D:$K,MATCH($E187,Roadmap!$D:$D,0)-1+COUNTIF($E187:AC187,"u")+COUNTIF($E187:AC187,"t")+COUNTIF($E187:AC187,"¶")+COUNTIF($E187:AC187,"²")+COUNTIF($E187:AC187,"µ")+COUNTIF($E187:AC187,1),ColDescriptionCourte)),""),
  "")),"")</f>
        <v/>
      </c>
      <c r="AE187" s="40" t="str">
        <f ca="1">IFERROR(IF(AND(
  INDEX(Roadmap!$D:$K,MATCH($E187,Roadmap!$D:$D,0)+COUNTIF($E187:AD187,"u")+COUNTIF($E187:AD187,"t")+COUNTIF($E187:AD187,"¶")+COUNTIF($E187:AD187,"²")+COUNTIF($E187:AD187,"µ")+COUNTIF($E187:AD187,1),ColLivraison)=AE$6,
  VLOOKUP($E187,INDIRECT("tri!"&amp; CHAR(64+ C0Col) &amp;":"&amp; CHAR(65+C0Col)),2,FALSE)&gt;COUNTIF($E187:AD187,"u")+COUNTIF($E187:AD187,"t")+COUNTIF($E187:AD187,"¶")+COUNTIF($E187:AD187,"²")+COUNTIF($E187:AD187,"µ")+COUNTIF($E187:AD187,1)),
HYPERLINK("#Roadmap!C"&amp; MATCH($E187,Roadmap!$D:$D,0)+COUNTIF($E187:AD187,"u")+COUNTIF($E187:AD187,"t"),
     INDEX(Roadmap!$D:$K,MATCH($E187,Roadmap!$D:$D,0)+COUNTIF($E187:AD187,"u")+COUNTIF($E187:AD187,"t")+COUNTIF($E187:AD187,"¶")+COUNTIF($E187:AD187,"²")+COUNTIF($E187:AD187,"µ")+COUNTIF($E187:AD187,1),ColTypeEcheance)),
  IF(LEN(AD187)=1,
  IF(LEN(INDEX(Roadmap!$D:$K,MATCH($E187,Roadmap!$D:$D,0)-1+COUNTIF($E187:AD187,"u")+COUNTIF($E187:AD187,"t")+COUNTIF($E187:AD187,"¶")+COUNTIF($E187:AD187,"²")+COUNTIF($E187:AD187,"µ")+COUNTIF($E187:AD187,1),ColDescriptionCourte))&gt;1,
HYPERLINK("#Roadmap!C"&amp; MATCH($E187,Roadmap!$D:$D,0)+COUNTIF($E187:AD187,"u")+COUNTIF($E187:AD187,"t")+COUNTIF($E187:AD187,"¶")+COUNTIF($E187:AD187,"²")+COUNTIF($E187:AD187,"µ")+COUNTIF($E187:AD187,1)-1,INDEX(Roadmap!$D:$K,MATCH($E187,Roadmap!$D:$D,0)-1+COUNTIF($E187:AD187,"u")+COUNTIF($E187:AD187,"t")+COUNTIF($E187:AD187,"¶")+COUNTIF($E187:AD187,"²")+COUNTIF($E187:AD187,"µ")+COUNTIF($E187:AD187,1),ColDescriptionCourte)),""),
  "")),"")</f>
        <v/>
      </c>
      <c r="AF187" s="40" t="str">
        <f ca="1">IFERROR(IF(AND(
  INDEX(Roadmap!$D:$K,MATCH($E187,Roadmap!$D:$D,0)+COUNTIF($E187:AE187,"u")+COUNTIF($E187:AE187,"t")+COUNTIF($E187:AE187,"¶")+COUNTIF($E187:AE187,"²")+COUNTIF($E187:AE187,"µ")+COUNTIF($E187:AE187,1),ColLivraison)=AF$6,
  VLOOKUP($E187,INDIRECT("tri!"&amp; CHAR(64+ C0Col) &amp;":"&amp; CHAR(65+C0Col)),2,FALSE)&gt;COUNTIF($E187:AE187,"u")+COUNTIF($E187:AE187,"t")+COUNTIF($E187:AE187,"¶")+COUNTIF($E187:AE187,"²")+COUNTIF($E187:AE187,"µ")+COUNTIF($E187:AE187,1)),
HYPERLINK("#Roadmap!C"&amp; MATCH($E187,Roadmap!$D:$D,0)+COUNTIF($E187:AE187,"u")+COUNTIF($E187:AE187,"t"),
     INDEX(Roadmap!$D:$K,MATCH($E187,Roadmap!$D:$D,0)+COUNTIF($E187:AE187,"u")+COUNTIF($E187:AE187,"t")+COUNTIF($E187:AE187,"¶")+COUNTIF($E187:AE187,"²")+COUNTIF($E187:AE187,"µ")+COUNTIF($E187:AE187,1),ColTypeEcheance)),
  IF(LEN(AE187)=1,
  IF(LEN(INDEX(Roadmap!$D:$K,MATCH($E187,Roadmap!$D:$D,0)-1+COUNTIF($E187:AE187,"u")+COUNTIF($E187:AE187,"t")+COUNTIF($E187:AE187,"¶")+COUNTIF($E187:AE187,"²")+COUNTIF($E187:AE187,"µ")+COUNTIF($E187:AE187,1),ColDescriptionCourte))&gt;1,
HYPERLINK("#Roadmap!C"&amp; MATCH($E187,Roadmap!$D:$D,0)+COUNTIF($E187:AE187,"u")+COUNTIF($E187:AE187,"t")+COUNTIF($E187:AE187,"¶")+COUNTIF($E187:AE187,"²")+COUNTIF($E187:AE187,"µ")+COUNTIF($E187:AE187,1)-1,INDEX(Roadmap!$D:$K,MATCH($E187,Roadmap!$D:$D,0)-1+COUNTIF($E187:AE187,"u")+COUNTIF($E187:AE187,"t")+COUNTIF($E187:AE187,"¶")+COUNTIF($E187:AE187,"²")+COUNTIF($E187:AE187,"µ")+COUNTIF($E187:AE187,1),ColDescriptionCourte)),""),
  "")),"")</f>
        <v/>
      </c>
      <c r="AG187" s="40" t="str">
        <f ca="1">IFERROR(IF(AND(
  INDEX(Roadmap!$D:$K,MATCH($E187,Roadmap!$D:$D,0)+COUNTIF($E187:AF187,"u")+COUNTIF($E187:AF187,"t")+COUNTIF($E187:AF187,"¶")+COUNTIF($E187:AF187,"²")+COUNTIF($E187:AF187,"µ")+COUNTIF($E187:AF187,1),ColLivraison)=AG$6,
  VLOOKUP($E187,INDIRECT("tri!"&amp; CHAR(64+ C0Col) &amp;":"&amp; CHAR(65+C0Col)),2,FALSE)&gt;COUNTIF($E187:AF187,"u")+COUNTIF($E187:AF187,"t")+COUNTIF($E187:AF187,"¶")+COUNTIF($E187:AF187,"²")+COUNTIF($E187:AF187,"µ")+COUNTIF($E187:AF187,1)),
HYPERLINK("#Roadmap!C"&amp; MATCH($E187,Roadmap!$D:$D,0)+COUNTIF($E187:AF187,"u")+COUNTIF($E187:AF187,"t"),
     INDEX(Roadmap!$D:$K,MATCH($E187,Roadmap!$D:$D,0)+COUNTIF($E187:AF187,"u")+COUNTIF($E187:AF187,"t")+COUNTIF($E187:AF187,"¶")+COUNTIF($E187:AF187,"²")+COUNTIF($E187:AF187,"µ")+COUNTIF($E187:AF187,1),ColTypeEcheance)),
  IF(LEN(AF187)=1,
  IF(LEN(INDEX(Roadmap!$D:$K,MATCH($E187,Roadmap!$D:$D,0)-1+COUNTIF($E187:AF187,"u")+COUNTIF($E187:AF187,"t")+COUNTIF($E187:AF187,"¶")+COUNTIF($E187:AF187,"²")+COUNTIF($E187:AF187,"µ")+COUNTIF($E187:AF187,1),ColDescriptionCourte))&gt;1,
HYPERLINK("#Roadmap!C"&amp; MATCH($E187,Roadmap!$D:$D,0)+COUNTIF($E187:AF187,"u")+COUNTIF($E187:AF187,"t")+COUNTIF($E187:AF187,"¶")+COUNTIF($E187:AF187,"²")+COUNTIF($E187:AF187,"µ")+COUNTIF($E187:AF187,1)-1,INDEX(Roadmap!$D:$K,MATCH($E187,Roadmap!$D:$D,0)-1+COUNTIF($E187:AF187,"u")+COUNTIF($E187:AF187,"t")+COUNTIF($E187:AF187,"¶")+COUNTIF($E187:AF187,"²")+COUNTIF($E187:AF187,"µ")+COUNTIF($E187:AF187,1),ColDescriptionCourte)),""),
  "")),"")</f>
        <v/>
      </c>
      <c r="AH187" s="40" t="str">
        <f ca="1">IFERROR(IF(AND(
  INDEX(Roadmap!$D:$K,MATCH($E187,Roadmap!$D:$D,0)+COUNTIF($E187:AG187,"u")+COUNTIF($E187:AG187,"t")+COUNTIF($E187:AG187,1),ColLivraison)=AH$6,
  VLOOKUP($E187,INDIRECT("tri!"&amp; CHAR(64+ C0Col) &amp;":"&amp; CHAR(65+C0Col)),2,FALSE)&gt;COUNTIF($E187:AG187,"u")+COUNTIF($E187:AG187,"t")+COUNTIF($E187:AG187,1)),
HYPERLINK("#Roadmap!C"&amp; MATCH($E187,Roadmap!$D:$D,0)+COUNTIF($E187:AG187,"u")+COUNTIF($E187:AG187,"t"),
     INDEX(Roadmap!$D:$K,MATCH($E187,Roadmap!$D:$D,0)+COUNTIF($E187:AG187,"u")+COUNTIF($E187:AG187,"t")+COUNTIF($E187:AG187,1),ColTypeEcheance)),
  IF(OR(AG187="u",AG187="t",AG187=1),
  IF(LEN(INDEX(Roadmap!$D:$K,MATCH($E187,Roadmap!$D:$D,0)-1+COUNTIF($E187:AG187,"u")+COUNTIF($E187:AG187,"t")+COUNTIF($E187:AG187,1),ColDescriptionCourte))&gt;1,
HYPERLINK("#Roadmap!C"&amp; MATCH($E187,Roadmap!$D:$D,0)+COUNTIF($E187:AG187,"u")+COUNTIF($E187:AG187,"t")+COUNTIF($E187:AG187,1)-1,INDEX(Roadmap!$D:$K,MATCH($E187,Roadmap!$D:$D,0)-1+COUNTIF($E187:AG187,"u")+COUNTIF($E187:AG187,"t")+COUNTIF($E187:AG187,1),ColDescriptionCourte)),""),
  "")),"")</f>
        <v/>
      </c>
      <c r="AI187" s="40"/>
      <c r="AJ187" s="40"/>
      <c r="AK187" s="40"/>
      <c r="AL187" s="40"/>
      <c r="AM187" s="40"/>
    </row>
    <row r="188" spans="4:39" ht="14.1" customHeight="1">
      <c r="D188" s="20" t="str">
        <f t="shared" ca="1" si="31"/>
        <v/>
      </c>
      <c r="E188" s="53" t="str">
        <f t="shared" ca="1" si="32"/>
        <v/>
      </c>
      <c r="F188" s="39" t="str">
        <f ca="1">IFERROR(IF(AND(
  INDEX(Roadmap!$D:$K,MATCH($E188,Roadmap!$D:$D,0)+COUNTIF($E188:E188,"u")+COUNTIF($E188:E188,"t")+COUNTIF($E188:E188,"¶")+COUNTIF($E188:E188,"²")+COUNTIF($E188:E188,"µ")+COUNTIF($E188:E188,1),ColLivraison)=F$6,
  VLOOKUP($E188,INDIRECT("tri!"&amp; CHAR(64+ C0Col) &amp;":"&amp; CHAR(65+C0Col)),2,FALSE)&gt;COUNTIF($E188:E188,"u")+COUNTIF($E188:E188,"t")+COUNTIF($E188:E188,"¶")+COUNTIF($E188:E188,"²")+COUNTIF($E188:E188,"µ")+COUNTIF($E188:E188,1)),
HYPERLINK("#Roadmap!C"&amp; MATCH($E188,Roadmap!$D:$D,0)+COUNTIF($E188:E188,"u")+COUNTIF($E188:E188,"t"),
     INDEX(Roadmap!$D:$K,MATCH($E188,Roadmap!$D:$D,0)+COUNTIF($E188:E188,"u")+COUNTIF($E188:E188,"t")+COUNTIF($E188:E188,"¶")+COUNTIF($E188:E188,"²")+COUNTIF($E188:E188,"µ")+COUNTIF($E188:E188,1),ColTypeEcheance)),
  IF(LEN(E188)=1,
  IF(LEN(INDEX(Roadmap!$D:$K,MATCH($E188,Roadmap!$D:$D,0)-1+COUNTIF($E188:E188,"u")+COUNTIF($E188:E188,"t")+COUNTIF($E188:E188,"¶")+COUNTIF($E188:E188,"²")+COUNTIF($E188:E188,"µ")+COUNTIF($E188:E188,1),ColDescriptionCourte))&gt;1,
HYPERLINK("#Roadmap!C"&amp; MATCH($E188,Roadmap!$D:$D,0)+COUNTIF($E188:E188,"u")+COUNTIF($E188:E188,"t")+COUNTIF($E188:E188,"¶")+COUNTIF($E188:E188,"²")+COUNTIF($E188:E188,"µ")+COUNTIF($E188:E188,1)-1,INDEX(Roadmap!$D:$K,MATCH($E188,Roadmap!$D:$D,0)-1+COUNTIF($E188:E188,"u")+COUNTIF($E188:E188,"t")+COUNTIF($E188:E188,"¶")+COUNTIF($E188:E188,"²")+COUNTIF($E188:E188,"µ")+COUNTIF($E188:E188,1),ColDescriptionCourte)),""),
  "")),"")</f>
        <v/>
      </c>
      <c r="G188" s="40" t="str">
        <f ca="1">IFERROR(IF(AND(
  INDEX(Roadmap!$D:$K,MATCH($E188,Roadmap!$D:$D,0)+COUNTIF($E188:F188,"u")+COUNTIF($E188:F188,"t")+COUNTIF($E188:F188,"¶")+COUNTIF($E188:F188,"²")+COUNTIF($E188:F188,"µ")+COUNTIF($E188:F188,1),ColLivraison)=G$6,
  VLOOKUP($E188,INDIRECT("tri!"&amp; CHAR(64+ C0Col) &amp;":"&amp; CHAR(65+C0Col)),2,FALSE)&gt;COUNTIF($E188:F188,"u")+COUNTIF($E188:F188,"t")+COUNTIF($E188:F188,"¶")+COUNTIF($E188:F188,"²")+COUNTIF($E188:F188,"µ")+COUNTIF($E188:F188,1)),
HYPERLINK("#Roadmap!C"&amp; MATCH($E188,Roadmap!$D:$D,0)+COUNTIF($E188:F188,"u")+COUNTIF($E188:F188,"t"),
     INDEX(Roadmap!$D:$K,MATCH($E188,Roadmap!$D:$D,0)+COUNTIF($E188:F188,"u")+COUNTIF($E188:F188,"t")+COUNTIF($E188:F188,"¶")+COUNTIF($E188:F188,"²")+COUNTIF($E188:F188,"µ")+COUNTIF($E188:F188,1),ColTypeEcheance)),
  IF(LEN(F188)=1,
  IF(LEN(INDEX(Roadmap!$D:$K,MATCH($E188,Roadmap!$D:$D,0)-1+COUNTIF($E188:F188,"u")+COUNTIF($E188:F188,"t")+COUNTIF($E188:F188,"¶")+COUNTIF($E188:F188,"²")+COUNTIF($E188:F188,"µ")+COUNTIF($E188:F188,1),ColDescriptionCourte))&gt;1,
HYPERLINK("#Roadmap!C"&amp; MATCH($E188,Roadmap!$D:$D,0)+COUNTIF($E188:F188,"u")+COUNTIF($E188:F188,"t")+COUNTIF($E188:F188,"¶")+COUNTIF($E188:F188,"²")+COUNTIF($E188:F188,"µ")+COUNTIF($E188:F188,1)-1,INDEX(Roadmap!$D:$K,MATCH($E188,Roadmap!$D:$D,0)-1+COUNTIF($E188:F188,"u")+COUNTIF($E188:F188,"t")+COUNTIF($E188:F188,"¶")+COUNTIF($E188:F188,"²")+COUNTIF($E188:F188,"µ")+COUNTIF($E188:F188,1),ColDescriptionCourte)),""),
  "")),"")</f>
        <v/>
      </c>
      <c r="H188" s="40" t="str">
        <f ca="1">IFERROR(IF(AND(
  INDEX(Roadmap!$D:$K,MATCH($E188,Roadmap!$D:$D,0)+COUNTIF($E188:G188,"u")+COUNTIF($E188:G188,"t")+COUNTIF($E188:G188,"¶")+COUNTIF($E188:G188,"²")+COUNTIF($E188:G188,"µ")+COUNTIF($E188:G188,1),ColLivraison)=H$6,
  VLOOKUP($E188,INDIRECT("tri!"&amp; CHAR(64+ C0Col) &amp;":"&amp; CHAR(65+C0Col)),2,FALSE)&gt;COUNTIF($E188:G188,"u")+COUNTIF($E188:G188,"t")+COUNTIF($E188:G188,"¶")+COUNTIF($E188:G188,"²")+COUNTIF($E188:G188,"µ")+COUNTIF($E188:G188,1)),
HYPERLINK("#Roadmap!C"&amp; MATCH($E188,Roadmap!$D:$D,0)+COUNTIF($E188:G188,"u")+COUNTIF($E188:G188,"t"),
     INDEX(Roadmap!$D:$K,MATCH($E188,Roadmap!$D:$D,0)+COUNTIF($E188:G188,"u")+COUNTIF($E188:G188,"t")+COUNTIF($E188:G188,"¶")+COUNTIF($E188:G188,"²")+COUNTIF($E188:G188,"µ")+COUNTIF($E188:G188,1),ColTypeEcheance)),
  IF(LEN(G188)=1,
  IF(LEN(INDEX(Roadmap!$D:$K,MATCH($E188,Roadmap!$D:$D,0)-1+COUNTIF($E188:G188,"u")+COUNTIF($E188:G188,"t")+COUNTIF($E188:G188,"¶")+COUNTIF($E188:G188,"²")+COUNTIF($E188:G188,"µ")+COUNTIF($E188:G188,1),ColDescriptionCourte))&gt;1,
HYPERLINK("#Roadmap!C"&amp; MATCH($E188,Roadmap!$D:$D,0)+COUNTIF($E188:G188,"u")+COUNTIF($E188:G188,"t")+COUNTIF($E188:G188,"¶")+COUNTIF($E188:G188,"²")+COUNTIF($E188:G188,"µ")+COUNTIF($E188:G188,1)-1,INDEX(Roadmap!$D:$K,MATCH($E188,Roadmap!$D:$D,0)-1+COUNTIF($E188:G188,"u")+COUNTIF($E188:G188,"t")+COUNTIF($E188:G188,"¶")+COUNTIF($E188:G188,"²")+COUNTIF($E188:G188,"µ")+COUNTIF($E188:G188,1),ColDescriptionCourte)),""),
  "")),"")</f>
        <v/>
      </c>
      <c r="I188" s="40" t="str">
        <f ca="1">IFERROR(IF(AND(
  INDEX(Roadmap!$D:$K,MATCH($E188,Roadmap!$D:$D,0)+COUNTIF($E188:H188,"u")+COUNTIF($E188:H188,"t")+COUNTIF($E188:H188,"¶")+COUNTIF($E188:H188,"²")+COUNTIF($E188:H188,"µ")+COUNTIF($E188:H188,1),ColLivraison)=I$6,
  VLOOKUP($E188,INDIRECT("tri!"&amp; CHAR(64+ C0Col) &amp;":"&amp; CHAR(65+C0Col)),2,FALSE)&gt;COUNTIF($E188:H188,"u")+COUNTIF($E188:H188,"t")+COUNTIF($E188:H188,"¶")+COUNTIF($E188:H188,"²")+COUNTIF($E188:H188,"µ")+COUNTIF($E188:H188,1)),
HYPERLINK("#Roadmap!C"&amp; MATCH($E188,Roadmap!$D:$D,0)+COUNTIF($E188:H188,"u")+COUNTIF($E188:H188,"t"),
     INDEX(Roadmap!$D:$K,MATCH($E188,Roadmap!$D:$D,0)+COUNTIF($E188:H188,"u")+COUNTIF($E188:H188,"t")+COUNTIF($E188:H188,"¶")+COUNTIF($E188:H188,"²")+COUNTIF($E188:H188,"µ")+COUNTIF($E188:H188,1),ColTypeEcheance)),
  IF(LEN(H188)=1,
  IF(LEN(INDEX(Roadmap!$D:$K,MATCH($E188,Roadmap!$D:$D,0)-1+COUNTIF($E188:H188,"u")+COUNTIF($E188:H188,"t")+COUNTIF($E188:H188,"¶")+COUNTIF($E188:H188,"²")+COUNTIF($E188:H188,"µ")+COUNTIF($E188:H188,1),ColDescriptionCourte))&gt;1,
HYPERLINK("#Roadmap!C"&amp; MATCH($E188,Roadmap!$D:$D,0)+COUNTIF($E188:H188,"u")+COUNTIF($E188:H188,"t")+COUNTIF($E188:H188,"¶")+COUNTIF($E188:H188,"²")+COUNTIF($E188:H188,"µ")+COUNTIF($E188:H188,1)-1,INDEX(Roadmap!$D:$K,MATCH($E188,Roadmap!$D:$D,0)-1+COUNTIF($E188:H188,"u")+COUNTIF($E188:H188,"t")+COUNTIF($E188:H188,"¶")+COUNTIF($E188:H188,"²")+COUNTIF($E188:H188,"µ")+COUNTIF($E188:H188,1),ColDescriptionCourte)),""),
  "")),"")</f>
        <v/>
      </c>
      <c r="J188" s="40" t="str">
        <f ca="1">IFERROR(IF(AND(
  INDEX(Roadmap!$D:$K,MATCH($E188,Roadmap!$D:$D,0)+COUNTIF($E188:I188,"u")+COUNTIF($E188:I188,"t")+COUNTIF($E188:I188,"¶")+COUNTIF($E188:I188,"²")+COUNTIF($E188:I188,"µ")+COUNTIF($E188:I188,1),ColLivraison)=J$6,
  VLOOKUP($E188,INDIRECT("tri!"&amp; CHAR(64+ C0Col) &amp;":"&amp; CHAR(65+C0Col)),2,FALSE)&gt;COUNTIF($E188:I188,"u")+COUNTIF($E188:I188,"t")+COUNTIF($E188:I188,"¶")+COUNTIF($E188:I188,"²")+COUNTIF($E188:I188,"µ")+COUNTIF($E188:I188,1)),
HYPERLINK("#Roadmap!C"&amp; MATCH($E188,Roadmap!$D:$D,0)+COUNTIF($E188:I188,"u")+COUNTIF($E188:I188,"t"),
     INDEX(Roadmap!$D:$K,MATCH($E188,Roadmap!$D:$D,0)+COUNTIF($E188:I188,"u")+COUNTIF($E188:I188,"t")+COUNTIF($E188:I188,"¶")+COUNTIF($E188:I188,"²")+COUNTIF($E188:I188,"µ")+COUNTIF($E188:I188,1),ColTypeEcheance)),
  IF(LEN(I188)=1,
  IF(LEN(INDEX(Roadmap!$D:$K,MATCH($E188,Roadmap!$D:$D,0)-1+COUNTIF($E188:I188,"u")+COUNTIF($E188:I188,"t")+COUNTIF($E188:I188,"¶")+COUNTIF($E188:I188,"²")+COUNTIF($E188:I188,"µ")+COUNTIF($E188:I188,1),ColDescriptionCourte))&gt;1,
HYPERLINK("#Roadmap!C"&amp; MATCH($E188,Roadmap!$D:$D,0)+COUNTIF($E188:I188,"u")+COUNTIF($E188:I188,"t")+COUNTIF($E188:I188,"¶")+COUNTIF($E188:I188,"²")+COUNTIF($E188:I188,"µ")+COUNTIF($E188:I188,1)-1,INDEX(Roadmap!$D:$K,MATCH($E188,Roadmap!$D:$D,0)-1+COUNTIF($E188:I188,"u")+COUNTIF($E188:I188,"t")+COUNTIF($E188:I188,"¶")+COUNTIF($E188:I188,"²")+COUNTIF($E188:I188,"µ")+COUNTIF($E188:I188,1),ColDescriptionCourte)),""),
  "")),"")</f>
        <v/>
      </c>
      <c r="K188" s="40" t="str">
        <f ca="1">IFERROR(IF(AND(
  INDEX(Roadmap!$D:$K,MATCH($E188,Roadmap!$D:$D,0)+COUNTIF($E188:J188,"u")+COUNTIF($E188:J188,"t")+COUNTIF($E188:J188,"¶")+COUNTIF($E188:J188,"²")+COUNTIF($E188:J188,"µ")+COUNTIF($E188:J188,1),ColLivraison)=K$6,
  VLOOKUP($E188,INDIRECT("tri!"&amp; CHAR(64+ C0Col) &amp;":"&amp; CHAR(65+C0Col)),2,FALSE)&gt;COUNTIF($E188:J188,"u")+COUNTIF($E188:J188,"t")+COUNTIF($E188:J188,"¶")+COUNTIF($E188:J188,"²")+COUNTIF($E188:J188,"µ")+COUNTIF($E188:J188,1)),
HYPERLINK("#Roadmap!C"&amp; MATCH($E188,Roadmap!$D:$D,0)+COUNTIF($E188:J188,"u")+COUNTIF($E188:J188,"t"),
     INDEX(Roadmap!$D:$K,MATCH($E188,Roadmap!$D:$D,0)+COUNTIF($E188:J188,"u")+COUNTIF($E188:J188,"t")+COUNTIF($E188:J188,"¶")+COUNTIF($E188:J188,"²")+COUNTIF($E188:J188,"µ")+COUNTIF($E188:J188,1),ColTypeEcheance)),
  IF(LEN(J188)=1,
  IF(LEN(INDEX(Roadmap!$D:$K,MATCH($E188,Roadmap!$D:$D,0)-1+COUNTIF($E188:J188,"u")+COUNTIF($E188:J188,"t")+COUNTIF($E188:J188,"¶")+COUNTIF($E188:J188,"²")+COUNTIF($E188:J188,"µ")+COUNTIF($E188:J188,1),ColDescriptionCourte))&gt;1,
HYPERLINK("#Roadmap!C"&amp; MATCH($E188,Roadmap!$D:$D,0)+COUNTIF($E188:J188,"u")+COUNTIF($E188:J188,"t")+COUNTIF($E188:J188,"¶")+COUNTIF($E188:J188,"²")+COUNTIF($E188:J188,"µ")+COUNTIF($E188:J188,1)-1,INDEX(Roadmap!$D:$K,MATCH($E188,Roadmap!$D:$D,0)-1+COUNTIF($E188:J188,"u")+COUNTIF($E188:J188,"t")+COUNTIF($E188:J188,"¶")+COUNTIF($E188:J188,"²")+COUNTIF($E188:J188,"µ")+COUNTIF($E188:J188,1),ColDescriptionCourte)),""),
  "")),"")</f>
        <v/>
      </c>
      <c r="L188" s="39" t="str">
        <f ca="1">IFERROR(IF(AND(
  INDEX(Roadmap!$D:$K,MATCH($E188,Roadmap!$D:$D,0)+COUNTIF($E188:K188,"u")+COUNTIF($E188:K188,"t")+COUNTIF($E188:K188,"¶")+COUNTIF($E188:K188,"²")+COUNTIF($E188:K188,"µ")+COUNTIF($E188:K188,1),ColLivraison)=L$6,
  VLOOKUP($E188,INDIRECT("tri!"&amp; CHAR(64+ C0Col) &amp;":"&amp; CHAR(65+C0Col)),2,FALSE)&gt;COUNTIF($E188:K188,"u")+COUNTIF($E188:K188,"t")+COUNTIF($E188:K188,"¶")+COUNTIF($E188:K188,"²")+COUNTIF($E188:K188,"µ")+COUNTIF($E188:K188,1)),
HYPERLINK("#Roadmap!C"&amp; MATCH($E188,Roadmap!$D:$D,0)+COUNTIF($E188:K188,"u")+COUNTIF($E188:K188,"t"),
     INDEX(Roadmap!$D:$K,MATCH($E188,Roadmap!$D:$D,0)+COUNTIF($E188:K188,"u")+COUNTIF($E188:K188,"t")+COUNTIF($E188:K188,"¶")+COUNTIF($E188:K188,"²")+COUNTIF($E188:K188,"µ")+COUNTIF($E188:K188,1),ColTypeEcheance)),
  IF(LEN(K188)=1,
  IF(LEN(INDEX(Roadmap!$D:$K,MATCH($E188,Roadmap!$D:$D,0)-1+COUNTIF($E188:K188,"u")+COUNTIF($E188:K188,"t")+COUNTIF($E188:K188,"¶")+COUNTIF($E188:K188,"²")+COUNTIF($E188:K188,"µ")+COUNTIF($E188:K188,1),ColDescriptionCourte))&gt;1,
HYPERLINK("#Roadmap!C"&amp; MATCH($E188,Roadmap!$D:$D,0)+COUNTIF($E188:K188,"u")+COUNTIF($E188:K188,"t")+COUNTIF($E188:K188,"¶")+COUNTIF($E188:K188,"²")+COUNTIF($E188:K188,"µ")+COUNTIF($E188:K188,1)-1,INDEX(Roadmap!$D:$K,MATCH($E188,Roadmap!$D:$D,0)-1+COUNTIF($E188:K188,"u")+COUNTIF($E188:K188,"t")+COUNTIF($E188:K188,"¶")+COUNTIF($E188:K188,"²")+COUNTIF($E188:K188,"µ")+COUNTIF($E188:K188,1),ColDescriptionCourte)),""),
  "")),"")</f>
        <v/>
      </c>
      <c r="M188" s="40" t="str">
        <f ca="1">IFERROR(IF(AND(
  INDEX(Roadmap!$D:$K,MATCH($E188,Roadmap!$D:$D,0)+COUNTIF($E188:L188,"u")+COUNTIF($E188:L188,"t")+COUNTIF($E188:L188,"¶")+COUNTIF($E188:L188,"²")+COUNTIF($E188:L188,"µ")+COUNTIF($E188:L188,1),ColLivraison)=M$6,
  VLOOKUP($E188,INDIRECT("tri!"&amp; CHAR(64+ C0Col) &amp;":"&amp; CHAR(65+C0Col)),2,FALSE)&gt;COUNTIF($E188:L188,"u")+COUNTIF($E188:L188,"t")+COUNTIF($E188:L188,"¶")+COUNTIF($E188:L188,"²")+COUNTIF($E188:L188,"µ")+COUNTIF($E188:L188,1)),
HYPERLINK("#Roadmap!C"&amp; MATCH($E188,Roadmap!$D:$D,0)+COUNTIF($E188:L188,"u")+COUNTIF($E188:L188,"t"),
     INDEX(Roadmap!$D:$K,MATCH($E188,Roadmap!$D:$D,0)+COUNTIF($E188:L188,"u")+COUNTIF($E188:L188,"t")+COUNTIF($E188:L188,"¶")+COUNTIF($E188:L188,"²")+COUNTIF($E188:L188,"µ")+COUNTIF($E188:L188,1),ColTypeEcheance)),
  IF(LEN(L188)=1,
  IF(LEN(INDEX(Roadmap!$D:$K,MATCH($E188,Roadmap!$D:$D,0)-1+COUNTIF($E188:L188,"u")+COUNTIF($E188:L188,"t")+COUNTIF($E188:L188,"¶")+COUNTIF($E188:L188,"²")+COUNTIF($E188:L188,"µ")+COUNTIF($E188:L188,1),ColDescriptionCourte))&gt;1,
HYPERLINK("#Roadmap!C"&amp; MATCH($E188,Roadmap!$D:$D,0)+COUNTIF($E188:L188,"u")+COUNTIF($E188:L188,"t")+COUNTIF($E188:L188,"¶")+COUNTIF($E188:L188,"²")+COUNTIF($E188:L188,"µ")+COUNTIF($E188:L188,1)-1,INDEX(Roadmap!$D:$K,MATCH($E188,Roadmap!$D:$D,0)-1+COUNTIF($E188:L188,"u")+COUNTIF($E188:L188,"t")+COUNTIF($E188:L188,"¶")+COUNTIF($E188:L188,"²")+COUNTIF($E188:L188,"µ")+COUNTIF($E188:L188,1),ColDescriptionCourte)),""),
  "")),"")</f>
        <v/>
      </c>
      <c r="N188" s="40" t="str">
        <f ca="1">IFERROR(IF(AND(
  INDEX(Roadmap!$D:$K,MATCH($E188,Roadmap!$D:$D,0)+COUNTIF($E188:M188,"u")+COUNTIF($E188:M188,"t")+COUNTIF($E188:M188,"¶")+COUNTIF($E188:M188,"²")+COUNTIF($E188:M188,"µ")+COUNTIF($E188:M188,1),ColLivraison)=N$6,
  VLOOKUP($E188,INDIRECT("tri!"&amp; CHAR(64+ C0Col) &amp;":"&amp; CHAR(65+C0Col)),2,FALSE)&gt;COUNTIF($E188:M188,"u")+COUNTIF($E188:M188,"t")+COUNTIF($E188:M188,"¶")+COUNTIF($E188:M188,"²")+COUNTIF($E188:M188,"µ")+COUNTIF($E188:M188,1)),
HYPERLINK("#Roadmap!C"&amp; MATCH($E188,Roadmap!$D:$D,0)+COUNTIF($E188:M188,"u")+COUNTIF($E188:M188,"t"),
     INDEX(Roadmap!$D:$K,MATCH($E188,Roadmap!$D:$D,0)+COUNTIF($E188:M188,"u")+COUNTIF($E188:M188,"t")+COUNTIF($E188:M188,"¶")+COUNTIF($E188:M188,"²")+COUNTIF($E188:M188,"µ")+COUNTIF($E188:M188,1),ColTypeEcheance)),
  IF(LEN(M188)=1,
  IF(LEN(INDEX(Roadmap!$D:$K,MATCH($E188,Roadmap!$D:$D,0)-1+COUNTIF($E188:M188,"u")+COUNTIF($E188:M188,"t")+COUNTIF($E188:M188,"¶")+COUNTIF($E188:M188,"²")+COUNTIF($E188:M188,"µ")+COUNTIF($E188:M188,1),ColDescriptionCourte))&gt;1,
HYPERLINK("#Roadmap!C"&amp; MATCH($E188,Roadmap!$D:$D,0)+COUNTIF($E188:M188,"u")+COUNTIF($E188:M188,"t")+COUNTIF($E188:M188,"¶")+COUNTIF($E188:M188,"²")+COUNTIF($E188:M188,"µ")+COUNTIF($E188:M188,1)-1,INDEX(Roadmap!$D:$K,MATCH($E188,Roadmap!$D:$D,0)-1+COUNTIF($E188:M188,"u")+COUNTIF($E188:M188,"t")+COUNTIF($E188:M188,"¶")+COUNTIF($E188:M188,"²")+COUNTIF($E188:M188,"µ")+COUNTIF($E188:M188,1),ColDescriptionCourte)),""),
  "")),"")</f>
        <v/>
      </c>
      <c r="O188" s="40" t="str">
        <f ca="1">IFERROR(IF(AND(
  INDEX(Roadmap!$D:$K,MATCH($E188,Roadmap!$D:$D,0)+COUNTIF($E188:N188,"u")+COUNTIF($E188:N188,"t")+COUNTIF($E188:N188,"¶")+COUNTIF($E188:N188,"²")+COUNTIF($E188:N188,"µ")+COUNTIF($E188:N188,1),ColLivraison)=O$6,
  VLOOKUP($E188,INDIRECT("tri!"&amp; CHAR(64+ C0Col) &amp;":"&amp; CHAR(65+C0Col)),2,FALSE)&gt;COUNTIF($E188:N188,"u")+COUNTIF($E188:N188,"t")+COUNTIF($E188:N188,"¶")+COUNTIF($E188:N188,"²")+COUNTIF($E188:N188,"µ")+COUNTIF($E188:N188,1)),
HYPERLINK("#Roadmap!C"&amp; MATCH($E188,Roadmap!$D:$D,0)+COUNTIF($E188:N188,"u")+COUNTIF($E188:N188,"t"),
     INDEX(Roadmap!$D:$K,MATCH($E188,Roadmap!$D:$D,0)+COUNTIF($E188:N188,"u")+COUNTIF($E188:N188,"t")+COUNTIF($E188:N188,"¶")+COUNTIF($E188:N188,"²")+COUNTIF($E188:N188,"µ")+COUNTIF($E188:N188,1),ColTypeEcheance)),
  IF(LEN(N188)=1,
  IF(LEN(INDEX(Roadmap!$D:$K,MATCH($E188,Roadmap!$D:$D,0)-1+COUNTIF($E188:N188,"u")+COUNTIF($E188:N188,"t")+COUNTIF($E188:N188,"¶")+COUNTIF($E188:N188,"²")+COUNTIF($E188:N188,"µ")+COUNTIF($E188:N188,1),ColDescriptionCourte))&gt;1,
HYPERLINK("#Roadmap!C"&amp; MATCH($E188,Roadmap!$D:$D,0)+COUNTIF($E188:N188,"u")+COUNTIF($E188:N188,"t")+COUNTIF($E188:N188,"¶")+COUNTIF($E188:N188,"²")+COUNTIF($E188:N188,"µ")+COUNTIF($E188:N188,1)-1,INDEX(Roadmap!$D:$K,MATCH($E188,Roadmap!$D:$D,0)-1+COUNTIF($E188:N188,"u")+COUNTIF($E188:N188,"t")+COUNTIF($E188:N188,"¶")+COUNTIF($E188:N188,"²")+COUNTIF($E188:N188,"µ")+COUNTIF($E188:N188,1),ColDescriptionCourte)),""),
  "")),"")</f>
        <v/>
      </c>
      <c r="P188" s="40" t="str">
        <f ca="1">IFERROR(IF(AND(
  INDEX(Roadmap!$D:$K,MATCH($E188,Roadmap!$D:$D,0)+COUNTIF($E188:O188,"u")+COUNTIF($E188:O188,"t")+COUNTIF($E188:O188,"¶")+COUNTIF($E188:O188,"²")+COUNTIF($E188:O188,"µ")+COUNTIF($E188:O188,1),ColLivraison)=P$6,
  VLOOKUP($E188,INDIRECT("tri!"&amp; CHAR(64+ C0Col) &amp;":"&amp; CHAR(65+C0Col)),2,FALSE)&gt;COUNTIF($E188:O188,"u")+COUNTIF($E188:O188,"t")+COUNTIF($E188:O188,"¶")+COUNTIF($E188:O188,"²")+COUNTIF($E188:O188,"µ")+COUNTIF($E188:O188,1)),
HYPERLINK("#Roadmap!C"&amp; MATCH($E188,Roadmap!$D:$D,0)+COUNTIF($E188:O188,"u")+COUNTIF($E188:O188,"t"),
     INDEX(Roadmap!$D:$K,MATCH($E188,Roadmap!$D:$D,0)+COUNTIF($E188:O188,"u")+COUNTIF($E188:O188,"t")+COUNTIF($E188:O188,"¶")+COUNTIF($E188:O188,"²")+COUNTIF($E188:O188,"µ")+COUNTIF($E188:O188,1),ColTypeEcheance)),
  IF(LEN(O188)=1,
  IF(LEN(INDEX(Roadmap!$D:$K,MATCH($E188,Roadmap!$D:$D,0)-1+COUNTIF($E188:O188,"u")+COUNTIF($E188:O188,"t")+COUNTIF($E188:O188,"¶")+COUNTIF($E188:O188,"²")+COUNTIF($E188:O188,"µ")+COUNTIF($E188:O188,1),ColDescriptionCourte))&gt;1,
HYPERLINK("#Roadmap!C"&amp; MATCH($E188,Roadmap!$D:$D,0)+COUNTIF($E188:O188,"u")+COUNTIF($E188:O188,"t")+COUNTIF($E188:O188,"¶")+COUNTIF($E188:O188,"²")+COUNTIF($E188:O188,"µ")+COUNTIF($E188:O188,1)-1,INDEX(Roadmap!$D:$K,MATCH($E188,Roadmap!$D:$D,0)-1+COUNTIF($E188:O188,"u")+COUNTIF($E188:O188,"t")+COUNTIF($E188:O188,"¶")+COUNTIF($E188:O188,"²")+COUNTIF($E188:O188,"µ")+COUNTIF($E188:O188,1),ColDescriptionCourte)),""),
  "")),"")</f>
        <v/>
      </c>
      <c r="Q188" s="40" t="str">
        <f ca="1">IFERROR(IF(AND(
  INDEX(Roadmap!$D:$K,MATCH($E188,Roadmap!$D:$D,0)+COUNTIF($E188:P188,"u")+COUNTIF($E188:P188,"t")+COUNTIF($E188:P188,"¶")+COUNTIF($E188:P188,"²")+COUNTIF($E188:P188,"µ")+COUNTIF($E188:P188,1),ColLivraison)=Q$6,
  VLOOKUP($E188,INDIRECT("tri!"&amp; CHAR(64+ C0Col) &amp;":"&amp; CHAR(65+C0Col)),2,FALSE)&gt;COUNTIF($E188:P188,"u")+COUNTIF($E188:P188,"t")+COUNTIF($E188:P188,"¶")+COUNTIF($E188:P188,"²")+COUNTIF($E188:P188,"µ")+COUNTIF($E188:P188,1)),
HYPERLINK("#Roadmap!C"&amp; MATCH($E188,Roadmap!$D:$D,0)+COUNTIF($E188:P188,"u")+COUNTIF($E188:P188,"t"),
     INDEX(Roadmap!$D:$K,MATCH($E188,Roadmap!$D:$D,0)+COUNTIF($E188:P188,"u")+COUNTIF($E188:P188,"t")+COUNTIF($E188:P188,"¶")+COUNTIF($E188:P188,"²")+COUNTIF($E188:P188,"µ")+COUNTIF($E188:P188,1),ColTypeEcheance)),
  IF(LEN(P188)=1,
  IF(LEN(INDEX(Roadmap!$D:$K,MATCH($E188,Roadmap!$D:$D,0)-1+COUNTIF($E188:P188,"u")+COUNTIF($E188:P188,"t")+COUNTIF($E188:P188,"¶")+COUNTIF($E188:P188,"²")+COUNTIF($E188:P188,"µ")+COUNTIF($E188:P188,1),ColDescriptionCourte))&gt;1,
HYPERLINK("#Roadmap!C"&amp; MATCH($E188,Roadmap!$D:$D,0)+COUNTIF($E188:P188,"u")+COUNTIF($E188:P188,"t")+COUNTIF($E188:P188,"¶")+COUNTIF($E188:P188,"²")+COUNTIF($E188:P188,"µ")+COUNTIF($E188:P188,1)-1,INDEX(Roadmap!$D:$K,MATCH($E188,Roadmap!$D:$D,0)-1+COUNTIF($E188:P188,"u")+COUNTIF($E188:P188,"t")+COUNTIF($E188:P188,"¶")+COUNTIF($E188:P188,"²")+COUNTIF($E188:P188,"µ")+COUNTIF($E188:P188,1),ColDescriptionCourte)),""),
  "")),"")</f>
        <v/>
      </c>
      <c r="R188" s="40" t="str">
        <f ca="1">IFERROR(IF(AND(
  INDEX(Roadmap!$D:$K,MATCH($E188,Roadmap!$D:$D,0)+COUNTIF($E188:Q188,"u")+COUNTIF($E188:Q188,"t")+COUNTIF($E188:Q188,"¶")+COUNTIF($E188:Q188,"²")+COUNTIF($E188:Q188,"µ")+COUNTIF($E188:Q188,1),ColLivraison)=R$6,
  VLOOKUP($E188,INDIRECT("tri!"&amp; CHAR(64+ C0Col) &amp;":"&amp; CHAR(65+C0Col)),2,FALSE)&gt;COUNTIF($E188:Q188,"u")+COUNTIF($E188:Q188,"t")+COUNTIF($E188:Q188,"¶")+COUNTIF($E188:Q188,"²")+COUNTIF($E188:Q188,"µ")+COUNTIF($E188:Q188,1)),
HYPERLINK("#Roadmap!C"&amp; MATCH($E188,Roadmap!$D:$D,0)+COUNTIF($E188:Q188,"u")+COUNTIF($E188:Q188,"t"),
     INDEX(Roadmap!$D:$K,MATCH($E188,Roadmap!$D:$D,0)+COUNTIF($E188:Q188,"u")+COUNTIF($E188:Q188,"t")+COUNTIF($E188:Q188,"¶")+COUNTIF($E188:Q188,"²")+COUNTIF($E188:Q188,"µ")+COUNTIF($E188:Q188,1),ColTypeEcheance)),
  IF(LEN(Q188)=1,
  IF(LEN(INDEX(Roadmap!$D:$K,MATCH($E188,Roadmap!$D:$D,0)-1+COUNTIF($E188:Q188,"u")+COUNTIF($E188:Q188,"t")+COUNTIF($E188:Q188,"¶")+COUNTIF($E188:Q188,"²")+COUNTIF($E188:Q188,"µ")+COUNTIF($E188:Q188,1),ColDescriptionCourte))&gt;1,
HYPERLINK("#Roadmap!C"&amp; MATCH($E188,Roadmap!$D:$D,0)+COUNTIF($E188:Q188,"u")+COUNTIF($E188:Q188,"t")+COUNTIF($E188:Q188,"¶")+COUNTIF($E188:Q188,"²")+COUNTIF($E188:Q188,"µ")+COUNTIF($E188:Q188,1)-1,INDEX(Roadmap!$D:$K,MATCH($E188,Roadmap!$D:$D,0)-1+COUNTIF($E188:Q188,"u")+COUNTIF($E188:Q188,"t")+COUNTIF($E188:Q188,"¶")+COUNTIF($E188:Q188,"²")+COUNTIF($E188:Q188,"µ")+COUNTIF($E188:Q188,1),ColDescriptionCourte)),""),
  "")),"")</f>
        <v/>
      </c>
      <c r="S188" s="40" t="str">
        <f ca="1">IFERROR(IF(AND(
  INDEX(Roadmap!$D:$K,MATCH($E188,Roadmap!$D:$D,0)+COUNTIF($E188:R188,"u")+COUNTIF($E188:R188,"t")+COUNTIF($E188:R188,"¶")+COUNTIF($E188:R188,"²")+COUNTIF($E188:R188,"µ")+COUNTIF($E188:R188,1),ColLivraison)=S$6,
  VLOOKUP($E188,INDIRECT("tri!"&amp; CHAR(64+ C0Col) &amp;":"&amp; CHAR(65+C0Col)),2,FALSE)&gt;COUNTIF($E188:R188,"u")+COUNTIF($E188:R188,"t")+COUNTIF($E188:R188,"¶")+COUNTIF($E188:R188,"²")+COUNTIF($E188:R188,"µ")+COUNTIF($E188:R188,1)),
HYPERLINK("#Roadmap!C"&amp; MATCH($E188,Roadmap!$D:$D,0)+COUNTIF($E188:R188,"u")+COUNTIF($E188:R188,"t"),
     INDEX(Roadmap!$D:$K,MATCH($E188,Roadmap!$D:$D,0)+COUNTIF($E188:R188,"u")+COUNTIF($E188:R188,"t")+COUNTIF($E188:R188,"¶")+COUNTIF($E188:R188,"²")+COUNTIF($E188:R188,"µ")+COUNTIF($E188:R188,1),ColTypeEcheance)),
  IF(LEN(R188)=1,
  IF(LEN(INDEX(Roadmap!$D:$K,MATCH($E188,Roadmap!$D:$D,0)-1+COUNTIF($E188:R188,"u")+COUNTIF($E188:R188,"t")+COUNTIF($E188:R188,"¶")+COUNTIF($E188:R188,"²")+COUNTIF($E188:R188,"µ")+COUNTIF($E188:R188,1),ColDescriptionCourte))&gt;1,
HYPERLINK("#Roadmap!C"&amp; MATCH($E188,Roadmap!$D:$D,0)+COUNTIF($E188:R188,"u")+COUNTIF($E188:R188,"t")+COUNTIF($E188:R188,"¶")+COUNTIF($E188:R188,"²")+COUNTIF($E188:R188,"µ")+COUNTIF($E188:R188,1)-1,INDEX(Roadmap!$D:$K,MATCH($E188,Roadmap!$D:$D,0)-1+COUNTIF($E188:R188,"u")+COUNTIF($E188:R188,"t")+COUNTIF($E188:R188,"¶")+COUNTIF($E188:R188,"²")+COUNTIF($E188:R188,"µ")+COUNTIF($E188:R188,1),ColDescriptionCourte)),""),
  "")),"")</f>
        <v/>
      </c>
      <c r="T188" s="40" t="str">
        <f ca="1">IFERROR(IF(AND(
  INDEX(Roadmap!$D:$K,MATCH($E188,Roadmap!$D:$D,0)+COUNTIF($E188:S188,"u")+COUNTIF($E188:S188,"t")+COUNTIF($E188:S188,"¶")+COUNTIF($E188:S188,"²")+COUNTIF($E188:S188,"µ")+COUNTIF($E188:S188,1),ColLivraison)=T$6,
  VLOOKUP($E188,INDIRECT("tri!"&amp; CHAR(64+ C0Col) &amp;":"&amp; CHAR(65+C0Col)),2,FALSE)&gt;COUNTIF($E188:S188,"u")+COUNTIF($E188:S188,"t")+COUNTIF($E188:S188,"¶")+COUNTIF($E188:S188,"²")+COUNTIF($E188:S188,"µ")+COUNTIF($E188:S188,1)),
HYPERLINK("#Roadmap!C"&amp; MATCH($E188,Roadmap!$D:$D,0)+COUNTIF($E188:S188,"u")+COUNTIF($E188:S188,"t"),
     INDEX(Roadmap!$D:$K,MATCH($E188,Roadmap!$D:$D,0)+COUNTIF($E188:S188,"u")+COUNTIF($E188:S188,"t")+COUNTIF($E188:S188,"¶")+COUNTIF($E188:S188,"²")+COUNTIF($E188:S188,"µ")+COUNTIF($E188:S188,1),ColTypeEcheance)),
  IF(LEN(S188)=1,
  IF(LEN(INDEX(Roadmap!$D:$K,MATCH($E188,Roadmap!$D:$D,0)-1+COUNTIF($E188:S188,"u")+COUNTIF($E188:S188,"t")+COUNTIF($E188:S188,"¶")+COUNTIF($E188:S188,"²")+COUNTIF($E188:S188,"µ")+COUNTIF($E188:S188,1),ColDescriptionCourte))&gt;1,
HYPERLINK("#Roadmap!C"&amp; MATCH($E188,Roadmap!$D:$D,0)+COUNTIF($E188:S188,"u")+COUNTIF($E188:S188,"t")+COUNTIF($E188:S188,"¶")+COUNTIF($E188:S188,"²")+COUNTIF($E188:S188,"µ")+COUNTIF($E188:S188,1)-1,INDEX(Roadmap!$D:$K,MATCH($E188,Roadmap!$D:$D,0)-1+COUNTIF($E188:S188,"u")+COUNTIF($E188:S188,"t")+COUNTIF($E188:S188,"¶")+COUNTIF($E188:S188,"²")+COUNTIF($E188:S188,"µ")+COUNTIF($E188:S188,1),ColDescriptionCourte)),""),
  "")),"")</f>
        <v/>
      </c>
      <c r="U188" s="40" t="str">
        <f ca="1">IFERROR(IF(AND(
  INDEX(Roadmap!$D:$K,MATCH($E188,Roadmap!$D:$D,0)+COUNTIF($E188:T188,"u")+COUNTIF($E188:T188,"t")+COUNTIF($E188:T188,"¶")+COUNTIF($E188:T188,"²")+COUNTIF($E188:T188,"µ")+COUNTIF($E188:T188,1),ColLivraison)=U$6,
  VLOOKUP($E188,INDIRECT("tri!"&amp; CHAR(64+ C0Col) &amp;":"&amp; CHAR(65+C0Col)),2,FALSE)&gt;COUNTIF($E188:T188,"u")+COUNTIF($E188:T188,"t")+COUNTIF($E188:T188,"¶")+COUNTIF($E188:T188,"²")+COUNTIF($E188:T188,"µ")+COUNTIF($E188:T188,1)),
HYPERLINK("#Roadmap!C"&amp; MATCH($E188,Roadmap!$D:$D,0)+COUNTIF($E188:T188,"u")+COUNTIF($E188:T188,"t"),
     INDEX(Roadmap!$D:$K,MATCH($E188,Roadmap!$D:$D,0)+COUNTIF($E188:T188,"u")+COUNTIF($E188:T188,"t")+COUNTIF($E188:T188,"¶")+COUNTIF($E188:T188,"²")+COUNTIF($E188:T188,"µ")+COUNTIF($E188:T188,1),ColTypeEcheance)),
  IF(LEN(T188)=1,
  IF(LEN(INDEX(Roadmap!$D:$K,MATCH($E188,Roadmap!$D:$D,0)-1+COUNTIF($E188:T188,"u")+COUNTIF($E188:T188,"t")+COUNTIF($E188:T188,"¶")+COUNTIF($E188:T188,"²")+COUNTIF($E188:T188,"µ")+COUNTIF($E188:T188,1),ColDescriptionCourte))&gt;1,
HYPERLINK("#Roadmap!C"&amp; MATCH($E188,Roadmap!$D:$D,0)+COUNTIF($E188:T188,"u")+COUNTIF($E188:T188,"t")+COUNTIF($E188:T188,"¶")+COUNTIF($E188:T188,"²")+COUNTIF($E188:T188,"µ")+COUNTIF($E188:T188,1)-1,INDEX(Roadmap!$D:$K,MATCH($E188,Roadmap!$D:$D,0)-1+COUNTIF($E188:T188,"u")+COUNTIF($E188:T188,"t")+COUNTIF($E188:T188,"¶")+COUNTIF($E188:T188,"²")+COUNTIF($E188:T188,"µ")+COUNTIF($E188:T188,1),ColDescriptionCourte)),""),
  "")),"")</f>
        <v/>
      </c>
      <c r="V188" s="40" t="str">
        <f ca="1">IFERROR(IF(AND(
  INDEX(Roadmap!$D:$K,MATCH($E188,Roadmap!$D:$D,0)+COUNTIF($E188:U188,"u")+COUNTIF($E188:U188,"t")+COUNTIF($E188:U188,"¶")+COUNTIF($E188:U188,"²")+COUNTIF($E188:U188,"µ")+COUNTIF($E188:U188,1),ColLivraison)=V$6,
  VLOOKUP($E188,INDIRECT("tri!"&amp; CHAR(64+ C0Col) &amp;":"&amp; CHAR(65+C0Col)),2,FALSE)&gt;COUNTIF($E188:U188,"u")+COUNTIF($E188:U188,"t")+COUNTIF($E188:U188,"¶")+COUNTIF($E188:U188,"²")+COUNTIF($E188:U188,"µ")+COUNTIF($E188:U188,1)),
HYPERLINK("#Roadmap!C"&amp; MATCH($E188,Roadmap!$D:$D,0)+COUNTIF($E188:U188,"u")+COUNTIF($E188:U188,"t"),
     INDEX(Roadmap!$D:$K,MATCH($E188,Roadmap!$D:$D,0)+COUNTIF($E188:U188,"u")+COUNTIF($E188:U188,"t")+COUNTIF($E188:U188,"¶")+COUNTIF($E188:U188,"²")+COUNTIF($E188:U188,"µ")+COUNTIF($E188:U188,1),ColTypeEcheance)),
  IF(LEN(U188)=1,
  IF(LEN(INDEX(Roadmap!$D:$K,MATCH($E188,Roadmap!$D:$D,0)-1+COUNTIF($E188:U188,"u")+COUNTIF($E188:U188,"t")+COUNTIF($E188:U188,"¶")+COUNTIF($E188:U188,"²")+COUNTIF($E188:U188,"µ")+COUNTIF($E188:U188,1),ColDescriptionCourte))&gt;1,
HYPERLINK("#Roadmap!C"&amp; MATCH($E188,Roadmap!$D:$D,0)+COUNTIF($E188:U188,"u")+COUNTIF($E188:U188,"t")+COUNTIF($E188:U188,"¶")+COUNTIF($E188:U188,"²")+COUNTIF($E188:U188,"µ")+COUNTIF($E188:U188,1)-1,INDEX(Roadmap!$D:$K,MATCH($E188,Roadmap!$D:$D,0)-1+COUNTIF($E188:U188,"u")+COUNTIF($E188:U188,"t")+COUNTIF($E188:U188,"¶")+COUNTIF($E188:U188,"²")+COUNTIF($E188:U188,"µ")+COUNTIF($E188:U188,1),ColDescriptionCourte)),""),
  "")),"")</f>
        <v/>
      </c>
      <c r="W188" s="40" t="str">
        <f ca="1">IFERROR(IF(AND(
  INDEX(Roadmap!$D:$K,MATCH($E188,Roadmap!$D:$D,0)+COUNTIF($E188:V188,"u")+COUNTIF($E188:V188,"t")+COUNTIF($E188:V188,"¶")+COUNTIF($E188:V188,"²")+COUNTIF($E188:V188,"µ")+COUNTIF($E188:V188,1),ColLivraison)=W$6,
  VLOOKUP($E188,INDIRECT("tri!"&amp; CHAR(64+ C0Col) &amp;":"&amp; CHAR(65+C0Col)),2,FALSE)&gt;COUNTIF($E188:V188,"u")+COUNTIF($E188:V188,"t")+COUNTIF($E188:V188,"¶")+COUNTIF($E188:V188,"²")+COUNTIF($E188:V188,"µ")+COUNTIF($E188:V188,1)),
HYPERLINK("#Roadmap!C"&amp; MATCH($E188,Roadmap!$D:$D,0)+COUNTIF($E188:V188,"u")+COUNTIF($E188:V188,"t"),
     INDEX(Roadmap!$D:$K,MATCH($E188,Roadmap!$D:$D,0)+COUNTIF($E188:V188,"u")+COUNTIF($E188:V188,"t")+COUNTIF($E188:V188,"¶")+COUNTIF($E188:V188,"²")+COUNTIF($E188:V188,"µ")+COUNTIF($E188:V188,1),ColTypeEcheance)),
  IF(LEN(V188)=1,
  IF(LEN(INDEX(Roadmap!$D:$K,MATCH($E188,Roadmap!$D:$D,0)-1+COUNTIF($E188:V188,"u")+COUNTIF($E188:V188,"t")+COUNTIF($E188:V188,"¶")+COUNTIF($E188:V188,"²")+COUNTIF($E188:V188,"µ")+COUNTIF($E188:V188,1),ColDescriptionCourte))&gt;1,
HYPERLINK("#Roadmap!C"&amp; MATCH($E188,Roadmap!$D:$D,0)+COUNTIF($E188:V188,"u")+COUNTIF($E188:V188,"t")+COUNTIF($E188:V188,"¶")+COUNTIF($E188:V188,"²")+COUNTIF($E188:V188,"µ")+COUNTIF($E188:V188,1)-1,INDEX(Roadmap!$D:$K,MATCH($E188,Roadmap!$D:$D,0)-1+COUNTIF($E188:V188,"u")+COUNTIF($E188:V188,"t")+COUNTIF($E188:V188,"¶")+COUNTIF($E188:V188,"²")+COUNTIF($E188:V188,"µ")+COUNTIF($E188:V188,1),ColDescriptionCourte)),""),
  "")),"")</f>
        <v/>
      </c>
      <c r="X188" s="40" t="str">
        <f ca="1">IFERROR(IF(AND(
  INDEX(Roadmap!$D:$K,MATCH($E188,Roadmap!$D:$D,0)+COUNTIF($E188:W188,"u")+COUNTIF($E188:W188,"t")+COUNTIF($E188:W188,"¶")+COUNTIF($E188:W188,"²")+COUNTIF($E188:W188,"µ")+COUNTIF($E188:W188,1),ColLivraison)=X$6,
  VLOOKUP($E188,INDIRECT("tri!"&amp; CHAR(64+ C0Col) &amp;":"&amp; CHAR(65+C0Col)),2,FALSE)&gt;COUNTIF($E188:W188,"u")+COUNTIF($E188:W188,"t")+COUNTIF($E188:W188,"¶")+COUNTIF($E188:W188,"²")+COUNTIF($E188:W188,"µ")+COUNTIF($E188:W188,1)),
HYPERLINK("#Roadmap!C"&amp; MATCH($E188,Roadmap!$D:$D,0)+COUNTIF($E188:W188,"u")+COUNTIF($E188:W188,"t"),
     INDEX(Roadmap!$D:$K,MATCH($E188,Roadmap!$D:$D,0)+COUNTIF($E188:W188,"u")+COUNTIF($E188:W188,"t")+COUNTIF($E188:W188,"¶")+COUNTIF($E188:W188,"²")+COUNTIF($E188:W188,"µ")+COUNTIF($E188:W188,1),ColTypeEcheance)),
  IF(LEN(W188)=1,
  IF(LEN(INDEX(Roadmap!$D:$K,MATCH($E188,Roadmap!$D:$D,0)-1+COUNTIF($E188:W188,"u")+COUNTIF($E188:W188,"t")+COUNTIF($E188:W188,"¶")+COUNTIF($E188:W188,"²")+COUNTIF($E188:W188,"µ")+COUNTIF($E188:W188,1),ColDescriptionCourte))&gt;1,
HYPERLINK("#Roadmap!C"&amp; MATCH($E188,Roadmap!$D:$D,0)+COUNTIF($E188:W188,"u")+COUNTIF($E188:W188,"t")+COUNTIF($E188:W188,"¶")+COUNTIF($E188:W188,"²")+COUNTIF($E188:W188,"µ")+COUNTIF($E188:W188,1)-1,INDEX(Roadmap!$D:$K,MATCH($E188,Roadmap!$D:$D,0)-1+COUNTIF($E188:W188,"u")+COUNTIF($E188:W188,"t")+COUNTIF($E188:W188,"¶")+COUNTIF($E188:W188,"²")+COUNTIF($E188:W188,"µ")+COUNTIF($E188:W188,1),ColDescriptionCourte)),""),
  "")),"")</f>
        <v/>
      </c>
      <c r="Y188" s="40" t="str">
        <f ca="1">IFERROR(IF(AND(
  INDEX(Roadmap!$D:$K,MATCH($E188,Roadmap!$D:$D,0)+COUNTIF($E188:X188,"u")+COUNTIF($E188:X188,"t")+COUNTIF($E188:X188,"¶")+COUNTIF($E188:X188,"²")+COUNTIF($E188:X188,"µ")+COUNTIF($E188:X188,1),ColLivraison)=Y$6,
  VLOOKUP($E188,INDIRECT("tri!"&amp; CHAR(64+ C0Col) &amp;":"&amp; CHAR(65+C0Col)),2,FALSE)&gt;COUNTIF($E188:X188,"u")+COUNTIF($E188:X188,"t")+COUNTIF($E188:X188,"¶")+COUNTIF($E188:X188,"²")+COUNTIF($E188:X188,"µ")+COUNTIF($E188:X188,1)),
HYPERLINK("#Roadmap!C"&amp; MATCH($E188,Roadmap!$D:$D,0)+COUNTIF($E188:X188,"u")+COUNTIF($E188:X188,"t"),
     INDEX(Roadmap!$D:$K,MATCH($E188,Roadmap!$D:$D,0)+COUNTIF($E188:X188,"u")+COUNTIF($E188:X188,"t")+COUNTIF($E188:X188,"¶")+COUNTIF($E188:X188,"²")+COUNTIF($E188:X188,"µ")+COUNTIF($E188:X188,1),ColTypeEcheance)),
  IF(LEN(X188)=1,
  IF(LEN(INDEX(Roadmap!$D:$K,MATCH($E188,Roadmap!$D:$D,0)-1+COUNTIF($E188:X188,"u")+COUNTIF($E188:X188,"t")+COUNTIF($E188:X188,"¶")+COUNTIF($E188:X188,"²")+COUNTIF($E188:X188,"µ")+COUNTIF($E188:X188,1),ColDescriptionCourte))&gt;1,
HYPERLINK("#Roadmap!C"&amp; MATCH($E188,Roadmap!$D:$D,0)+COUNTIF($E188:X188,"u")+COUNTIF($E188:X188,"t")+COUNTIF($E188:X188,"¶")+COUNTIF($E188:X188,"²")+COUNTIF($E188:X188,"µ")+COUNTIF($E188:X188,1)-1,INDEX(Roadmap!$D:$K,MATCH($E188,Roadmap!$D:$D,0)-1+COUNTIF($E188:X188,"u")+COUNTIF($E188:X188,"t")+COUNTIF($E188:X188,"¶")+COUNTIF($E188:X188,"²")+COUNTIF($E188:X188,"µ")+COUNTIF($E188:X188,1),ColDescriptionCourte)),""),
  "")),"")</f>
        <v/>
      </c>
      <c r="Z188" s="40" t="str">
        <f ca="1">IFERROR(IF(AND(
  INDEX(Roadmap!$D:$K,MATCH($E188,Roadmap!$D:$D,0)+COUNTIF($E188:Y188,"u")+COUNTIF($E188:Y188,"t")+COUNTIF($E188:Y188,"¶")+COUNTIF($E188:Y188,"²")+COUNTIF($E188:Y188,"µ")+COUNTIF($E188:Y188,1),ColLivraison)=Z$6,
  VLOOKUP($E188,INDIRECT("tri!"&amp; CHAR(64+ C0Col) &amp;":"&amp; CHAR(65+C0Col)),2,FALSE)&gt;COUNTIF($E188:Y188,"u")+COUNTIF($E188:Y188,"t")+COUNTIF($E188:Y188,"¶")+COUNTIF($E188:Y188,"²")+COUNTIF($E188:Y188,"µ")+COUNTIF($E188:Y188,1)),
HYPERLINK("#Roadmap!C"&amp; MATCH($E188,Roadmap!$D:$D,0)+COUNTIF($E188:Y188,"u")+COUNTIF($E188:Y188,"t"),
     INDEX(Roadmap!$D:$K,MATCH($E188,Roadmap!$D:$D,0)+COUNTIF($E188:Y188,"u")+COUNTIF($E188:Y188,"t")+COUNTIF($E188:Y188,"¶")+COUNTIF($E188:Y188,"²")+COUNTIF($E188:Y188,"µ")+COUNTIF($E188:Y188,1),ColTypeEcheance)),
  IF(LEN(Y188)=1,
  IF(LEN(INDEX(Roadmap!$D:$K,MATCH($E188,Roadmap!$D:$D,0)-1+COUNTIF($E188:Y188,"u")+COUNTIF($E188:Y188,"t")+COUNTIF($E188:Y188,"¶")+COUNTIF($E188:Y188,"²")+COUNTIF($E188:Y188,"µ")+COUNTIF($E188:Y188,1),ColDescriptionCourte))&gt;1,
HYPERLINK("#Roadmap!C"&amp; MATCH($E188,Roadmap!$D:$D,0)+COUNTIF($E188:Y188,"u")+COUNTIF($E188:Y188,"t")+COUNTIF($E188:Y188,"¶")+COUNTIF($E188:Y188,"²")+COUNTIF($E188:Y188,"µ")+COUNTIF($E188:Y188,1)-1,INDEX(Roadmap!$D:$K,MATCH($E188,Roadmap!$D:$D,0)-1+COUNTIF($E188:Y188,"u")+COUNTIF($E188:Y188,"t")+COUNTIF($E188:Y188,"¶")+COUNTIF($E188:Y188,"²")+COUNTIF($E188:Y188,"µ")+COUNTIF($E188:Y188,1),ColDescriptionCourte)),""),
  "")),"")</f>
        <v/>
      </c>
      <c r="AA188" s="40" t="str">
        <f ca="1">IFERROR(IF(AND(
  INDEX(Roadmap!$D:$K,MATCH($E188,Roadmap!$D:$D,0)+COUNTIF($E188:Z188,"u")+COUNTIF($E188:Z188,"t")+COUNTIF($E188:Z188,"¶")+COUNTIF($E188:Z188,"²")+COUNTIF($E188:Z188,"µ")+COUNTIF($E188:Z188,1),ColLivraison)=AA$6,
  VLOOKUP($E188,INDIRECT("tri!"&amp; CHAR(64+ C0Col) &amp;":"&amp; CHAR(65+C0Col)),2,FALSE)&gt;COUNTIF($E188:Z188,"u")+COUNTIF($E188:Z188,"t")+COUNTIF($E188:Z188,"¶")+COUNTIF($E188:Z188,"²")+COUNTIF($E188:Z188,"µ")+COUNTIF($E188:Z188,1)),
HYPERLINK("#Roadmap!C"&amp; MATCH($E188,Roadmap!$D:$D,0)+COUNTIF($E188:Z188,"u")+COUNTIF($E188:Z188,"t"),
     INDEX(Roadmap!$D:$K,MATCH($E188,Roadmap!$D:$D,0)+COUNTIF($E188:Z188,"u")+COUNTIF($E188:Z188,"t")+COUNTIF($E188:Z188,"¶")+COUNTIF($E188:Z188,"²")+COUNTIF($E188:Z188,"µ")+COUNTIF($E188:Z188,1),ColTypeEcheance)),
  IF(LEN(Z188)=1,
  IF(LEN(INDEX(Roadmap!$D:$K,MATCH($E188,Roadmap!$D:$D,0)-1+COUNTIF($E188:Z188,"u")+COUNTIF($E188:Z188,"t")+COUNTIF($E188:Z188,"¶")+COUNTIF($E188:Z188,"²")+COUNTIF($E188:Z188,"µ")+COUNTIF($E188:Z188,1),ColDescriptionCourte))&gt;1,
HYPERLINK("#Roadmap!C"&amp; MATCH($E188,Roadmap!$D:$D,0)+COUNTIF($E188:Z188,"u")+COUNTIF($E188:Z188,"t")+COUNTIF($E188:Z188,"¶")+COUNTIF($E188:Z188,"²")+COUNTIF($E188:Z188,"µ")+COUNTIF($E188:Z188,1)-1,INDEX(Roadmap!$D:$K,MATCH($E188,Roadmap!$D:$D,0)-1+COUNTIF($E188:Z188,"u")+COUNTIF($E188:Z188,"t")+COUNTIF($E188:Z188,"¶")+COUNTIF($E188:Z188,"²")+COUNTIF($E188:Z188,"µ")+COUNTIF($E188:Z188,1),ColDescriptionCourte)),""),
  "")),"")</f>
        <v/>
      </c>
      <c r="AB188" s="40" t="str">
        <f ca="1">IFERROR(IF(AND(
  INDEX(Roadmap!$D:$K,MATCH($E188,Roadmap!$D:$D,0)+COUNTIF($E188:AA188,"u")+COUNTIF($E188:AA188,"t")+COUNTIF($E188:AA188,"¶")+COUNTIF($E188:AA188,"²")+COUNTIF($E188:AA188,"µ")+COUNTIF($E188:AA188,1),ColLivraison)=AB$6,
  VLOOKUP($E188,INDIRECT("tri!"&amp; CHAR(64+ C0Col) &amp;":"&amp; CHAR(65+C0Col)),2,FALSE)&gt;COUNTIF($E188:AA188,"u")+COUNTIF($E188:AA188,"t")+COUNTIF($E188:AA188,"¶")+COUNTIF($E188:AA188,"²")+COUNTIF($E188:AA188,"µ")+COUNTIF($E188:AA188,1)),
HYPERLINK("#Roadmap!C"&amp; MATCH($E188,Roadmap!$D:$D,0)+COUNTIF($E188:AA188,"u")+COUNTIF($E188:AA188,"t"),
     INDEX(Roadmap!$D:$K,MATCH($E188,Roadmap!$D:$D,0)+COUNTIF($E188:AA188,"u")+COUNTIF($E188:AA188,"t")+COUNTIF($E188:AA188,"¶")+COUNTIF($E188:AA188,"²")+COUNTIF($E188:AA188,"µ")+COUNTIF($E188:AA188,1),ColTypeEcheance)),
  IF(LEN(AA188)=1,
  IF(LEN(INDEX(Roadmap!$D:$K,MATCH($E188,Roadmap!$D:$D,0)-1+COUNTIF($E188:AA188,"u")+COUNTIF($E188:AA188,"t")+COUNTIF($E188:AA188,"¶")+COUNTIF($E188:AA188,"²")+COUNTIF($E188:AA188,"µ")+COUNTIF($E188:AA188,1),ColDescriptionCourte))&gt;1,
HYPERLINK("#Roadmap!C"&amp; MATCH($E188,Roadmap!$D:$D,0)+COUNTIF($E188:AA188,"u")+COUNTIF($E188:AA188,"t")+COUNTIF($E188:AA188,"¶")+COUNTIF($E188:AA188,"²")+COUNTIF($E188:AA188,"µ")+COUNTIF($E188:AA188,1)-1,INDEX(Roadmap!$D:$K,MATCH($E188,Roadmap!$D:$D,0)-1+COUNTIF($E188:AA188,"u")+COUNTIF($E188:AA188,"t")+COUNTIF($E188:AA188,"¶")+COUNTIF($E188:AA188,"²")+COUNTIF($E188:AA188,"µ")+COUNTIF($E188:AA188,1),ColDescriptionCourte)),""),
  "")),"")</f>
        <v/>
      </c>
      <c r="AC188" s="40" t="str">
        <f ca="1">IFERROR(IF(AND(
  INDEX(Roadmap!$D:$K,MATCH($E188,Roadmap!$D:$D,0)+COUNTIF($E188:AB188,"u")+COUNTIF($E188:AB188,"t")+COUNTIF($E188:AB188,"¶")+COUNTIF($E188:AB188,"²")+COUNTIF($E188:AB188,"µ")+COUNTIF($E188:AB188,1),ColLivraison)=AC$6,
  VLOOKUP($E188,INDIRECT("tri!"&amp; CHAR(64+ C0Col) &amp;":"&amp; CHAR(65+C0Col)),2,FALSE)&gt;COUNTIF($E188:AB188,"u")+COUNTIF($E188:AB188,"t")+COUNTIF($E188:AB188,"¶")+COUNTIF($E188:AB188,"²")+COUNTIF($E188:AB188,"µ")+COUNTIF($E188:AB188,1)),
HYPERLINK("#Roadmap!C"&amp; MATCH($E188,Roadmap!$D:$D,0)+COUNTIF($E188:AB188,"u")+COUNTIF($E188:AB188,"t"),
     INDEX(Roadmap!$D:$K,MATCH($E188,Roadmap!$D:$D,0)+COUNTIF($E188:AB188,"u")+COUNTIF($E188:AB188,"t")+COUNTIF($E188:AB188,"¶")+COUNTIF($E188:AB188,"²")+COUNTIF($E188:AB188,"µ")+COUNTIF($E188:AB188,1),ColTypeEcheance)),
  IF(LEN(AB188)=1,
  IF(LEN(INDEX(Roadmap!$D:$K,MATCH($E188,Roadmap!$D:$D,0)-1+COUNTIF($E188:AB188,"u")+COUNTIF($E188:AB188,"t")+COUNTIF($E188:AB188,"¶")+COUNTIF($E188:AB188,"²")+COUNTIF($E188:AB188,"µ")+COUNTIF($E188:AB188,1),ColDescriptionCourte))&gt;1,
HYPERLINK("#Roadmap!C"&amp; MATCH($E188,Roadmap!$D:$D,0)+COUNTIF($E188:AB188,"u")+COUNTIF($E188:AB188,"t")+COUNTIF($E188:AB188,"¶")+COUNTIF($E188:AB188,"²")+COUNTIF($E188:AB188,"µ")+COUNTIF($E188:AB188,1)-1,INDEX(Roadmap!$D:$K,MATCH($E188,Roadmap!$D:$D,0)-1+COUNTIF($E188:AB188,"u")+COUNTIF($E188:AB188,"t")+COUNTIF($E188:AB188,"¶")+COUNTIF($E188:AB188,"²")+COUNTIF($E188:AB188,"µ")+COUNTIF($E188:AB188,1),ColDescriptionCourte)),""),
  "")),"")</f>
        <v/>
      </c>
      <c r="AD188" s="40" t="str">
        <f ca="1">IFERROR(IF(AND(
  INDEX(Roadmap!$D:$K,MATCH($E188,Roadmap!$D:$D,0)+COUNTIF($E188:AC188,"u")+COUNTIF($E188:AC188,"t")+COUNTIF($E188:AC188,"¶")+COUNTIF($E188:AC188,"²")+COUNTIF($E188:AC188,"µ")+COUNTIF($E188:AC188,1),ColLivraison)=AD$6,
  VLOOKUP($E188,INDIRECT("tri!"&amp; CHAR(64+ C0Col) &amp;":"&amp; CHAR(65+C0Col)),2,FALSE)&gt;COUNTIF($E188:AC188,"u")+COUNTIF($E188:AC188,"t")+COUNTIF($E188:AC188,"¶")+COUNTIF($E188:AC188,"²")+COUNTIF($E188:AC188,"µ")+COUNTIF($E188:AC188,1)),
HYPERLINK("#Roadmap!C"&amp; MATCH($E188,Roadmap!$D:$D,0)+COUNTIF($E188:AC188,"u")+COUNTIF($E188:AC188,"t"),
     INDEX(Roadmap!$D:$K,MATCH($E188,Roadmap!$D:$D,0)+COUNTIF($E188:AC188,"u")+COUNTIF($E188:AC188,"t")+COUNTIF($E188:AC188,"¶")+COUNTIF($E188:AC188,"²")+COUNTIF($E188:AC188,"µ")+COUNTIF($E188:AC188,1),ColTypeEcheance)),
  IF(LEN(AC188)=1,
  IF(LEN(INDEX(Roadmap!$D:$K,MATCH($E188,Roadmap!$D:$D,0)-1+COUNTIF($E188:AC188,"u")+COUNTIF($E188:AC188,"t")+COUNTIF($E188:AC188,"¶")+COUNTIF($E188:AC188,"²")+COUNTIF($E188:AC188,"µ")+COUNTIF($E188:AC188,1),ColDescriptionCourte))&gt;1,
HYPERLINK("#Roadmap!C"&amp; MATCH($E188,Roadmap!$D:$D,0)+COUNTIF($E188:AC188,"u")+COUNTIF($E188:AC188,"t")+COUNTIF($E188:AC188,"¶")+COUNTIF($E188:AC188,"²")+COUNTIF($E188:AC188,"µ")+COUNTIF($E188:AC188,1)-1,INDEX(Roadmap!$D:$K,MATCH($E188,Roadmap!$D:$D,0)-1+COUNTIF($E188:AC188,"u")+COUNTIF($E188:AC188,"t")+COUNTIF($E188:AC188,"¶")+COUNTIF($E188:AC188,"²")+COUNTIF($E188:AC188,"µ")+COUNTIF($E188:AC188,1),ColDescriptionCourte)),""),
  "")),"")</f>
        <v/>
      </c>
      <c r="AE188" s="40" t="str">
        <f ca="1">IFERROR(IF(AND(
  INDEX(Roadmap!$D:$K,MATCH($E188,Roadmap!$D:$D,0)+COUNTIF($E188:AD188,"u")+COUNTIF($E188:AD188,"t")+COUNTIF($E188:AD188,"¶")+COUNTIF($E188:AD188,"²")+COUNTIF($E188:AD188,"µ")+COUNTIF($E188:AD188,1),ColLivraison)=AE$6,
  VLOOKUP($E188,INDIRECT("tri!"&amp; CHAR(64+ C0Col) &amp;":"&amp; CHAR(65+C0Col)),2,FALSE)&gt;COUNTIF($E188:AD188,"u")+COUNTIF($E188:AD188,"t")+COUNTIF($E188:AD188,"¶")+COUNTIF($E188:AD188,"²")+COUNTIF($E188:AD188,"µ")+COUNTIF($E188:AD188,1)),
HYPERLINK("#Roadmap!C"&amp; MATCH($E188,Roadmap!$D:$D,0)+COUNTIF($E188:AD188,"u")+COUNTIF($E188:AD188,"t"),
     INDEX(Roadmap!$D:$K,MATCH($E188,Roadmap!$D:$D,0)+COUNTIF($E188:AD188,"u")+COUNTIF($E188:AD188,"t")+COUNTIF($E188:AD188,"¶")+COUNTIF($E188:AD188,"²")+COUNTIF($E188:AD188,"µ")+COUNTIF($E188:AD188,1),ColTypeEcheance)),
  IF(LEN(AD188)=1,
  IF(LEN(INDEX(Roadmap!$D:$K,MATCH($E188,Roadmap!$D:$D,0)-1+COUNTIF($E188:AD188,"u")+COUNTIF($E188:AD188,"t")+COUNTIF($E188:AD188,"¶")+COUNTIF($E188:AD188,"²")+COUNTIF($E188:AD188,"µ")+COUNTIF($E188:AD188,1),ColDescriptionCourte))&gt;1,
HYPERLINK("#Roadmap!C"&amp; MATCH($E188,Roadmap!$D:$D,0)+COUNTIF($E188:AD188,"u")+COUNTIF($E188:AD188,"t")+COUNTIF($E188:AD188,"¶")+COUNTIF($E188:AD188,"²")+COUNTIF($E188:AD188,"µ")+COUNTIF($E188:AD188,1)-1,INDEX(Roadmap!$D:$K,MATCH($E188,Roadmap!$D:$D,0)-1+COUNTIF($E188:AD188,"u")+COUNTIF($E188:AD188,"t")+COUNTIF($E188:AD188,"¶")+COUNTIF($E188:AD188,"²")+COUNTIF($E188:AD188,"µ")+COUNTIF($E188:AD188,1),ColDescriptionCourte)),""),
  "")),"")</f>
        <v/>
      </c>
      <c r="AF188" s="40" t="str">
        <f ca="1">IFERROR(IF(AND(
  INDEX(Roadmap!$D:$K,MATCH($E188,Roadmap!$D:$D,0)+COUNTIF($E188:AE188,"u")+COUNTIF($E188:AE188,"t")+COUNTIF($E188:AE188,"¶")+COUNTIF($E188:AE188,"²")+COUNTIF($E188:AE188,"µ")+COUNTIF($E188:AE188,1),ColLivraison)=AF$6,
  VLOOKUP($E188,INDIRECT("tri!"&amp; CHAR(64+ C0Col) &amp;":"&amp; CHAR(65+C0Col)),2,FALSE)&gt;COUNTIF($E188:AE188,"u")+COUNTIF($E188:AE188,"t")+COUNTIF($E188:AE188,"¶")+COUNTIF($E188:AE188,"²")+COUNTIF($E188:AE188,"µ")+COUNTIF($E188:AE188,1)),
HYPERLINK("#Roadmap!C"&amp; MATCH($E188,Roadmap!$D:$D,0)+COUNTIF($E188:AE188,"u")+COUNTIF($E188:AE188,"t"),
     INDEX(Roadmap!$D:$K,MATCH($E188,Roadmap!$D:$D,0)+COUNTIF($E188:AE188,"u")+COUNTIF($E188:AE188,"t")+COUNTIF($E188:AE188,"¶")+COUNTIF($E188:AE188,"²")+COUNTIF($E188:AE188,"µ")+COUNTIF($E188:AE188,1),ColTypeEcheance)),
  IF(LEN(AE188)=1,
  IF(LEN(INDEX(Roadmap!$D:$K,MATCH($E188,Roadmap!$D:$D,0)-1+COUNTIF($E188:AE188,"u")+COUNTIF($E188:AE188,"t")+COUNTIF($E188:AE188,"¶")+COUNTIF($E188:AE188,"²")+COUNTIF($E188:AE188,"µ")+COUNTIF($E188:AE188,1),ColDescriptionCourte))&gt;1,
HYPERLINK("#Roadmap!C"&amp; MATCH($E188,Roadmap!$D:$D,0)+COUNTIF($E188:AE188,"u")+COUNTIF($E188:AE188,"t")+COUNTIF($E188:AE188,"¶")+COUNTIF($E188:AE188,"²")+COUNTIF($E188:AE188,"µ")+COUNTIF($E188:AE188,1)-1,INDEX(Roadmap!$D:$K,MATCH($E188,Roadmap!$D:$D,0)-1+COUNTIF($E188:AE188,"u")+COUNTIF($E188:AE188,"t")+COUNTIF($E188:AE188,"¶")+COUNTIF($E188:AE188,"²")+COUNTIF($E188:AE188,"µ")+COUNTIF($E188:AE188,1),ColDescriptionCourte)),""),
  "")),"")</f>
        <v/>
      </c>
      <c r="AG188" s="40" t="str">
        <f ca="1">IFERROR(IF(AND(
  INDEX(Roadmap!$D:$K,MATCH($E188,Roadmap!$D:$D,0)+COUNTIF($E188:AF188,"u")+COUNTIF($E188:AF188,"t")+COUNTIF($E188:AF188,"¶")+COUNTIF($E188:AF188,"²")+COUNTIF($E188:AF188,"µ")+COUNTIF($E188:AF188,1),ColLivraison)=AG$6,
  VLOOKUP($E188,INDIRECT("tri!"&amp; CHAR(64+ C0Col) &amp;":"&amp; CHAR(65+C0Col)),2,FALSE)&gt;COUNTIF($E188:AF188,"u")+COUNTIF($E188:AF188,"t")+COUNTIF($E188:AF188,"¶")+COUNTIF($E188:AF188,"²")+COUNTIF($E188:AF188,"µ")+COUNTIF($E188:AF188,1)),
HYPERLINK("#Roadmap!C"&amp; MATCH($E188,Roadmap!$D:$D,0)+COUNTIF($E188:AF188,"u")+COUNTIF($E188:AF188,"t"),
     INDEX(Roadmap!$D:$K,MATCH($E188,Roadmap!$D:$D,0)+COUNTIF($E188:AF188,"u")+COUNTIF($E188:AF188,"t")+COUNTIF($E188:AF188,"¶")+COUNTIF($E188:AF188,"²")+COUNTIF($E188:AF188,"µ")+COUNTIF($E188:AF188,1),ColTypeEcheance)),
  IF(LEN(AF188)=1,
  IF(LEN(INDEX(Roadmap!$D:$K,MATCH($E188,Roadmap!$D:$D,0)-1+COUNTIF($E188:AF188,"u")+COUNTIF($E188:AF188,"t")+COUNTIF($E188:AF188,"¶")+COUNTIF($E188:AF188,"²")+COUNTIF($E188:AF188,"µ")+COUNTIF($E188:AF188,1),ColDescriptionCourte))&gt;1,
HYPERLINK("#Roadmap!C"&amp; MATCH($E188,Roadmap!$D:$D,0)+COUNTIF($E188:AF188,"u")+COUNTIF($E188:AF188,"t")+COUNTIF($E188:AF188,"¶")+COUNTIF($E188:AF188,"²")+COUNTIF($E188:AF188,"µ")+COUNTIF($E188:AF188,1)-1,INDEX(Roadmap!$D:$K,MATCH($E188,Roadmap!$D:$D,0)-1+COUNTIF($E188:AF188,"u")+COUNTIF($E188:AF188,"t")+COUNTIF($E188:AF188,"¶")+COUNTIF($E188:AF188,"²")+COUNTIF($E188:AF188,"µ")+COUNTIF($E188:AF188,1),ColDescriptionCourte)),""),
  "")),"")</f>
        <v/>
      </c>
      <c r="AH188" s="40" t="str">
        <f ca="1">IFERROR(IF(AND(
  INDEX(Roadmap!$D:$K,MATCH($E188,Roadmap!$D:$D,0)+COUNTIF($E188:AG188,"u")+COUNTIF($E188:AG188,"t")+COUNTIF($E188:AG188,1),ColLivraison)=AH$6,
  VLOOKUP($E188,INDIRECT("tri!"&amp; CHAR(64+ C0Col) &amp;":"&amp; CHAR(65+C0Col)),2,FALSE)&gt;COUNTIF($E188:AG188,"u")+COUNTIF($E188:AG188,"t")+COUNTIF($E188:AG188,1)),
HYPERLINK("#Roadmap!C"&amp; MATCH($E188,Roadmap!$D:$D,0)+COUNTIF($E188:AG188,"u")+COUNTIF($E188:AG188,"t"),
     INDEX(Roadmap!$D:$K,MATCH($E188,Roadmap!$D:$D,0)+COUNTIF($E188:AG188,"u")+COUNTIF($E188:AG188,"t")+COUNTIF($E188:AG188,1),ColTypeEcheance)),
  IF(OR(AG188="u",AG188="t",AG188=1),
  IF(LEN(INDEX(Roadmap!$D:$K,MATCH($E188,Roadmap!$D:$D,0)-1+COUNTIF($E188:AG188,"u")+COUNTIF($E188:AG188,"t")+COUNTIF($E188:AG188,1),ColDescriptionCourte))&gt;1,
HYPERLINK("#Roadmap!C"&amp; MATCH($E188,Roadmap!$D:$D,0)+COUNTIF($E188:AG188,"u")+COUNTIF($E188:AG188,"t")+COUNTIF($E188:AG188,1)-1,INDEX(Roadmap!$D:$K,MATCH($E188,Roadmap!$D:$D,0)-1+COUNTIF($E188:AG188,"u")+COUNTIF($E188:AG188,"t")+COUNTIF($E188:AG188,1),ColDescriptionCourte)),""),
  "")),"")</f>
        <v/>
      </c>
      <c r="AI188" s="40"/>
      <c r="AJ188" s="40"/>
      <c r="AK188" s="40"/>
      <c r="AL188" s="40"/>
      <c r="AM188" s="40"/>
    </row>
    <row r="189" spans="4:39" ht="14.1" customHeight="1">
      <c r="D189" s="20" t="str">
        <f t="shared" ca="1" si="31"/>
        <v/>
      </c>
      <c r="E189" s="53" t="str">
        <f t="shared" ca="1" si="32"/>
        <v/>
      </c>
      <c r="F189" s="39" t="str">
        <f ca="1">IFERROR(IF(AND(
  INDEX(Roadmap!$D:$K,MATCH($E189,Roadmap!$D:$D,0)+COUNTIF($E189:E189,"u")+COUNTIF($E189:E189,"t")+COUNTIF($E189:E189,"¶")+COUNTIF($E189:E189,"²")+COUNTIF($E189:E189,"µ")+COUNTIF($E189:E189,1),ColLivraison)=F$6,
  VLOOKUP($E189,INDIRECT("tri!"&amp; CHAR(64+ C0Col) &amp;":"&amp; CHAR(65+C0Col)),2,FALSE)&gt;COUNTIF($E189:E189,"u")+COUNTIF($E189:E189,"t")+COUNTIF($E189:E189,"¶")+COUNTIF($E189:E189,"²")+COUNTIF($E189:E189,"µ")+COUNTIF($E189:E189,1)),
HYPERLINK("#Roadmap!C"&amp; MATCH($E189,Roadmap!$D:$D,0)+COUNTIF($E189:E189,"u")+COUNTIF($E189:E189,"t"),
     INDEX(Roadmap!$D:$K,MATCH($E189,Roadmap!$D:$D,0)+COUNTIF($E189:E189,"u")+COUNTIF($E189:E189,"t")+COUNTIF($E189:E189,"¶")+COUNTIF($E189:E189,"²")+COUNTIF($E189:E189,"µ")+COUNTIF($E189:E189,1),ColTypeEcheance)),
  IF(LEN(E189)=1,
  IF(LEN(INDEX(Roadmap!$D:$K,MATCH($E189,Roadmap!$D:$D,0)-1+COUNTIF($E189:E189,"u")+COUNTIF($E189:E189,"t")+COUNTIF($E189:E189,"¶")+COUNTIF($E189:E189,"²")+COUNTIF($E189:E189,"µ")+COUNTIF($E189:E189,1),ColDescriptionCourte))&gt;1,
HYPERLINK("#Roadmap!C"&amp; MATCH($E189,Roadmap!$D:$D,0)+COUNTIF($E189:E189,"u")+COUNTIF($E189:E189,"t")+COUNTIF($E189:E189,"¶")+COUNTIF($E189:E189,"²")+COUNTIF($E189:E189,"µ")+COUNTIF($E189:E189,1)-1,INDEX(Roadmap!$D:$K,MATCH($E189,Roadmap!$D:$D,0)-1+COUNTIF($E189:E189,"u")+COUNTIF($E189:E189,"t")+COUNTIF($E189:E189,"¶")+COUNTIF($E189:E189,"²")+COUNTIF($E189:E189,"µ")+COUNTIF($E189:E189,1),ColDescriptionCourte)),""),
  "")),"")</f>
        <v/>
      </c>
      <c r="G189" s="40" t="str">
        <f ca="1">IFERROR(IF(AND(
  INDEX(Roadmap!$D:$K,MATCH($E189,Roadmap!$D:$D,0)+COUNTIF($E189:F189,"u")+COUNTIF($E189:F189,"t")+COUNTIF($E189:F189,"¶")+COUNTIF($E189:F189,"²")+COUNTIF($E189:F189,"µ")+COUNTIF($E189:F189,1),ColLivraison)=G$6,
  VLOOKUP($E189,INDIRECT("tri!"&amp; CHAR(64+ C0Col) &amp;":"&amp; CHAR(65+C0Col)),2,FALSE)&gt;COUNTIF($E189:F189,"u")+COUNTIF($E189:F189,"t")+COUNTIF($E189:F189,"¶")+COUNTIF($E189:F189,"²")+COUNTIF($E189:F189,"µ")+COUNTIF($E189:F189,1)),
HYPERLINK("#Roadmap!C"&amp; MATCH($E189,Roadmap!$D:$D,0)+COUNTIF($E189:F189,"u")+COUNTIF($E189:F189,"t"),
     INDEX(Roadmap!$D:$K,MATCH($E189,Roadmap!$D:$D,0)+COUNTIF($E189:F189,"u")+COUNTIF($E189:F189,"t")+COUNTIF($E189:F189,"¶")+COUNTIF($E189:F189,"²")+COUNTIF($E189:F189,"µ")+COUNTIF($E189:F189,1),ColTypeEcheance)),
  IF(LEN(F189)=1,
  IF(LEN(INDEX(Roadmap!$D:$K,MATCH($E189,Roadmap!$D:$D,0)-1+COUNTIF($E189:F189,"u")+COUNTIF($E189:F189,"t")+COUNTIF($E189:F189,"¶")+COUNTIF($E189:F189,"²")+COUNTIF($E189:F189,"µ")+COUNTIF($E189:F189,1),ColDescriptionCourte))&gt;1,
HYPERLINK("#Roadmap!C"&amp; MATCH($E189,Roadmap!$D:$D,0)+COUNTIF($E189:F189,"u")+COUNTIF($E189:F189,"t")+COUNTIF($E189:F189,"¶")+COUNTIF($E189:F189,"²")+COUNTIF($E189:F189,"µ")+COUNTIF($E189:F189,1)-1,INDEX(Roadmap!$D:$K,MATCH($E189,Roadmap!$D:$D,0)-1+COUNTIF($E189:F189,"u")+COUNTIF($E189:F189,"t")+COUNTIF($E189:F189,"¶")+COUNTIF($E189:F189,"²")+COUNTIF($E189:F189,"µ")+COUNTIF($E189:F189,1),ColDescriptionCourte)),""),
  "")),"")</f>
        <v/>
      </c>
      <c r="H189" s="40" t="str">
        <f ca="1">IFERROR(IF(AND(
  INDEX(Roadmap!$D:$K,MATCH($E189,Roadmap!$D:$D,0)+COUNTIF($E189:G189,"u")+COUNTIF($E189:G189,"t")+COUNTIF($E189:G189,"¶")+COUNTIF($E189:G189,"²")+COUNTIF($E189:G189,"µ")+COUNTIF($E189:G189,1),ColLivraison)=H$6,
  VLOOKUP($E189,INDIRECT("tri!"&amp; CHAR(64+ C0Col) &amp;":"&amp; CHAR(65+C0Col)),2,FALSE)&gt;COUNTIF($E189:G189,"u")+COUNTIF($E189:G189,"t")+COUNTIF($E189:G189,"¶")+COUNTIF($E189:G189,"²")+COUNTIF($E189:G189,"µ")+COUNTIF($E189:G189,1)),
HYPERLINK("#Roadmap!C"&amp; MATCH($E189,Roadmap!$D:$D,0)+COUNTIF($E189:G189,"u")+COUNTIF($E189:G189,"t"),
     INDEX(Roadmap!$D:$K,MATCH($E189,Roadmap!$D:$D,0)+COUNTIF($E189:G189,"u")+COUNTIF($E189:G189,"t")+COUNTIF($E189:G189,"¶")+COUNTIF($E189:G189,"²")+COUNTIF($E189:G189,"µ")+COUNTIF($E189:G189,1),ColTypeEcheance)),
  IF(LEN(G189)=1,
  IF(LEN(INDEX(Roadmap!$D:$K,MATCH($E189,Roadmap!$D:$D,0)-1+COUNTIF($E189:G189,"u")+COUNTIF($E189:G189,"t")+COUNTIF($E189:G189,"¶")+COUNTIF($E189:G189,"²")+COUNTIF($E189:G189,"µ")+COUNTIF($E189:G189,1),ColDescriptionCourte))&gt;1,
HYPERLINK("#Roadmap!C"&amp; MATCH($E189,Roadmap!$D:$D,0)+COUNTIF($E189:G189,"u")+COUNTIF($E189:G189,"t")+COUNTIF($E189:G189,"¶")+COUNTIF($E189:G189,"²")+COUNTIF($E189:G189,"µ")+COUNTIF($E189:G189,1)-1,INDEX(Roadmap!$D:$K,MATCH($E189,Roadmap!$D:$D,0)-1+COUNTIF($E189:G189,"u")+COUNTIF($E189:G189,"t")+COUNTIF($E189:G189,"¶")+COUNTIF($E189:G189,"²")+COUNTIF($E189:G189,"µ")+COUNTIF($E189:G189,1),ColDescriptionCourte)),""),
  "")),"")</f>
        <v/>
      </c>
      <c r="I189" s="40" t="str">
        <f ca="1">IFERROR(IF(AND(
  INDEX(Roadmap!$D:$K,MATCH($E189,Roadmap!$D:$D,0)+COUNTIF($E189:H189,"u")+COUNTIF($E189:H189,"t")+COUNTIF($E189:H189,"¶")+COUNTIF($E189:H189,"²")+COUNTIF($E189:H189,"µ")+COUNTIF($E189:H189,1),ColLivraison)=I$6,
  VLOOKUP($E189,INDIRECT("tri!"&amp; CHAR(64+ C0Col) &amp;":"&amp; CHAR(65+C0Col)),2,FALSE)&gt;COUNTIF($E189:H189,"u")+COUNTIF($E189:H189,"t")+COUNTIF($E189:H189,"¶")+COUNTIF($E189:H189,"²")+COUNTIF($E189:H189,"µ")+COUNTIF($E189:H189,1)),
HYPERLINK("#Roadmap!C"&amp; MATCH($E189,Roadmap!$D:$D,0)+COUNTIF($E189:H189,"u")+COUNTIF($E189:H189,"t"),
     INDEX(Roadmap!$D:$K,MATCH($E189,Roadmap!$D:$D,0)+COUNTIF($E189:H189,"u")+COUNTIF($E189:H189,"t")+COUNTIF($E189:H189,"¶")+COUNTIF($E189:H189,"²")+COUNTIF($E189:H189,"µ")+COUNTIF($E189:H189,1),ColTypeEcheance)),
  IF(LEN(H189)=1,
  IF(LEN(INDEX(Roadmap!$D:$K,MATCH($E189,Roadmap!$D:$D,0)-1+COUNTIF($E189:H189,"u")+COUNTIF($E189:H189,"t")+COUNTIF($E189:H189,"¶")+COUNTIF($E189:H189,"²")+COUNTIF($E189:H189,"µ")+COUNTIF($E189:H189,1),ColDescriptionCourte))&gt;1,
HYPERLINK("#Roadmap!C"&amp; MATCH($E189,Roadmap!$D:$D,0)+COUNTIF($E189:H189,"u")+COUNTIF($E189:H189,"t")+COUNTIF($E189:H189,"¶")+COUNTIF($E189:H189,"²")+COUNTIF($E189:H189,"µ")+COUNTIF($E189:H189,1)-1,INDEX(Roadmap!$D:$K,MATCH($E189,Roadmap!$D:$D,0)-1+COUNTIF($E189:H189,"u")+COUNTIF($E189:H189,"t")+COUNTIF($E189:H189,"¶")+COUNTIF($E189:H189,"²")+COUNTIF($E189:H189,"µ")+COUNTIF($E189:H189,1),ColDescriptionCourte)),""),
  "")),"")</f>
        <v/>
      </c>
      <c r="J189" s="40" t="str">
        <f ca="1">IFERROR(IF(AND(
  INDEX(Roadmap!$D:$K,MATCH($E189,Roadmap!$D:$D,0)+COUNTIF($E189:I189,"u")+COUNTIF($E189:I189,"t")+COUNTIF($E189:I189,"¶")+COUNTIF($E189:I189,"²")+COUNTIF($E189:I189,"µ")+COUNTIF($E189:I189,1),ColLivraison)=J$6,
  VLOOKUP($E189,INDIRECT("tri!"&amp; CHAR(64+ C0Col) &amp;":"&amp; CHAR(65+C0Col)),2,FALSE)&gt;COUNTIF($E189:I189,"u")+COUNTIF($E189:I189,"t")+COUNTIF($E189:I189,"¶")+COUNTIF($E189:I189,"²")+COUNTIF($E189:I189,"µ")+COUNTIF($E189:I189,1)),
HYPERLINK("#Roadmap!C"&amp; MATCH($E189,Roadmap!$D:$D,0)+COUNTIF($E189:I189,"u")+COUNTIF($E189:I189,"t"),
     INDEX(Roadmap!$D:$K,MATCH($E189,Roadmap!$D:$D,0)+COUNTIF($E189:I189,"u")+COUNTIF($E189:I189,"t")+COUNTIF($E189:I189,"¶")+COUNTIF($E189:I189,"²")+COUNTIF($E189:I189,"µ")+COUNTIF($E189:I189,1),ColTypeEcheance)),
  IF(LEN(I189)=1,
  IF(LEN(INDEX(Roadmap!$D:$K,MATCH($E189,Roadmap!$D:$D,0)-1+COUNTIF($E189:I189,"u")+COUNTIF($E189:I189,"t")+COUNTIF($E189:I189,"¶")+COUNTIF($E189:I189,"²")+COUNTIF($E189:I189,"µ")+COUNTIF($E189:I189,1),ColDescriptionCourte))&gt;1,
HYPERLINK("#Roadmap!C"&amp; MATCH($E189,Roadmap!$D:$D,0)+COUNTIF($E189:I189,"u")+COUNTIF($E189:I189,"t")+COUNTIF($E189:I189,"¶")+COUNTIF($E189:I189,"²")+COUNTIF($E189:I189,"µ")+COUNTIF($E189:I189,1)-1,INDEX(Roadmap!$D:$K,MATCH($E189,Roadmap!$D:$D,0)-1+COUNTIF($E189:I189,"u")+COUNTIF($E189:I189,"t")+COUNTIF($E189:I189,"¶")+COUNTIF($E189:I189,"²")+COUNTIF($E189:I189,"µ")+COUNTIF($E189:I189,1),ColDescriptionCourte)),""),
  "")),"")</f>
        <v/>
      </c>
      <c r="K189" s="40" t="str">
        <f ca="1">IFERROR(IF(AND(
  INDEX(Roadmap!$D:$K,MATCH($E189,Roadmap!$D:$D,0)+COUNTIF($E189:J189,"u")+COUNTIF($E189:J189,"t")+COUNTIF($E189:J189,"¶")+COUNTIF($E189:J189,"²")+COUNTIF($E189:J189,"µ")+COUNTIF($E189:J189,1),ColLivraison)=K$6,
  VLOOKUP($E189,INDIRECT("tri!"&amp; CHAR(64+ C0Col) &amp;":"&amp; CHAR(65+C0Col)),2,FALSE)&gt;COUNTIF($E189:J189,"u")+COUNTIF($E189:J189,"t")+COUNTIF($E189:J189,"¶")+COUNTIF($E189:J189,"²")+COUNTIF($E189:J189,"µ")+COUNTIF($E189:J189,1)),
HYPERLINK("#Roadmap!C"&amp; MATCH($E189,Roadmap!$D:$D,0)+COUNTIF($E189:J189,"u")+COUNTIF($E189:J189,"t"),
     INDEX(Roadmap!$D:$K,MATCH($E189,Roadmap!$D:$D,0)+COUNTIF($E189:J189,"u")+COUNTIF($E189:J189,"t")+COUNTIF($E189:J189,"¶")+COUNTIF($E189:J189,"²")+COUNTIF($E189:J189,"µ")+COUNTIF($E189:J189,1),ColTypeEcheance)),
  IF(LEN(J189)=1,
  IF(LEN(INDEX(Roadmap!$D:$K,MATCH($E189,Roadmap!$D:$D,0)-1+COUNTIF($E189:J189,"u")+COUNTIF($E189:J189,"t")+COUNTIF($E189:J189,"¶")+COUNTIF($E189:J189,"²")+COUNTIF($E189:J189,"µ")+COUNTIF($E189:J189,1),ColDescriptionCourte))&gt;1,
HYPERLINK("#Roadmap!C"&amp; MATCH($E189,Roadmap!$D:$D,0)+COUNTIF($E189:J189,"u")+COUNTIF($E189:J189,"t")+COUNTIF($E189:J189,"¶")+COUNTIF($E189:J189,"²")+COUNTIF($E189:J189,"µ")+COUNTIF($E189:J189,1)-1,INDEX(Roadmap!$D:$K,MATCH($E189,Roadmap!$D:$D,0)-1+COUNTIF($E189:J189,"u")+COUNTIF($E189:J189,"t")+COUNTIF($E189:J189,"¶")+COUNTIF($E189:J189,"²")+COUNTIF($E189:J189,"µ")+COUNTIF($E189:J189,1),ColDescriptionCourte)),""),
  "")),"")</f>
        <v/>
      </c>
      <c r="L189" s="39" t="str">
        <f ca="1">IFERROR(IF(AND(
  INDEX(Roadmap!$D:$K,MATCH($E189,Roadmap!$D:$D,0)+COUNTIF($E189:K189,"u")+COUNTIF($E189:K189,"t")+COUNTIF($E189:K189,"¶")+COUNTIF($E189:K189,"²")+COUNTIF($E189:K189,"µ")+COUNTIF($E189:K189,1),ColLivraison)=L$6,
  VLOOKUP($E189,INDIRECT("tri!"&amp; CHAR(64+ C0Col) &amp;":"&amp; CHAR(65+C0Col)),2,FALSE)&gt;COUNTIF($E189:K189,"u")+COUNTIF($E189:K189,"t")+COUNTIF($E189:K189,"¶")+COUNTIF($E189:K189,"²")+COUNTIF($E189:K189,"µ")+COUNTIF($E189:K189,1)),
HYPERLINK("#Roadmap!C"&amp; MATCH($E189,Roadmap!$D:$D,0)+COUNTIF($E189:K189,"u")+COUNTIF($E189:K189,"t"),
     INDEX(Roadmap!$D:$K,MATCH($E189,Roadmap!$D:$D,0)+COUNTIF($E189:K189,"u")+COUNTIF($E189:K189,"t")+COUNTIF($E189:K189,"¶")+COUNTIF($E189:K189,"²")+COUNTIF($E189:K189,"µ")+COUNTIF($E189:K189,1),ColTypeEcheance)),
  IF(LEN(K189)=1,
  IF(LEN(INDEX(Roadmap!$D:$K,MATCH($E189,Roadmap!$D:$D,0)-1+COUNTIF($E189:K189,"u")+COUNTIF($E189:K189,"t")+COUNTIF($E189:K189,"¶")+COUNTIF($E189:K189,"²")+COUNTIF($E189:K189,"µ")+COUNTIF($E189:K189,1),ColDescriptionCourte))&gt;1,
HYPERLINK("#Roadmap!C"&amp; MATCH($E189,Roadmap!$D:$D,0)+COUNTIF($E189:K189,"u")+COUNTIF($E189:K189,"t")+COUNTIF($E189:K189,"¶")+COUNTIF($E189:K189,"²")+COUNTIF($E189:K189,"µ")+COUNTIF($E189:K189,1)-1,INDEX(Roadmap!$D:$K,MATCH($E189,Roadmap!$D:$D,0)-1+COUNTIF($E189:K189,"u")+COUNTIF($E189:K189,"t")+COUNTIF($E189:K189,"¶")+COUNTIF($E189:K189,"²")+COUNTIF($E189:K189,"µ")+COUNTIF($E189:K189,1),ColDescriptionCourte)),""),
  "")),"")</f>
        <v/>
      </c>
      <c r="M189" s="40" t="str">
        <f ca="1">IFERROR(IF(AND(
  INDEX(Roadmap!$D:$K,MATCH($E189,Roadmap!$D:$D,0)+COUNTIF($E189:L189,"u")+COUNTIF($E189:L189,"t")+COUNTIF($E189:L189,"¶")+COUNTIF($E189:L189,"²")+COUNTIF($E189:L189,"µ")+COUNTIF($E189:L189,1),ColLivraison)=M$6,
  VLOOKUP($E189,INDIRECT("tri!"&amp; CHAR(64+ C0Col) &amp;":"&amp; CHAR(65+C0Col)),2,FALSE)&gt;COUNTIF($E189:L189,"u")+COUNTIF($E189:L189,"t")+COUNTIF($E189:L189,"¶")+COUNTIF($E189:L189,"²")+COUNTIF($E189:L189,"µ")+COUNTIF($E189:L189,1)),
HYPERLINK("#Roadmap!C"&amp; MATCH($E189,Roadmap!$D:$D,0)+COUNTIF($E189:L189,"u")+COUNTIF($E189:L189,"t"),
     INDEX(Roadmap!$D:$K,MATCH($E189,Roadmap!$D:$D,0)+COUNTIF($E189:L189,"u")+COUNTIF($E189:L189,"t")+COUNTIF($E189:L189,"¶")+COUNTIF($E189:L189,"²")+COUNTIF($E189:L189,"µ")+COUNTIF($E189:L189,1),ColTypeEcheance)),
  IF(LEN(L189)=1,
  IF(LEN(INDEX(Roadmap!$D:$K,MATCH($E189,Roadmap!$D:$D,0)-1+COUNTIF($E189:L189,"u")+COUNTIF($E189:L189,"t")+COUNTIF($E189:L189,"¶")+COUNTIF($E189:L189,"²")+COUNTIF($E189:L189,"µ")+COUNTIF($E189:L189,1),ColDescriptionCourte))&gt;1,
HYPERLINK("#Roadmap!C"&amp; MATCH($E189,Roadmap!$D:$D,0)+COUNTIF($E189:L189,"u")+COUNTIF($E189:L189,"t")+COUNTIF($E189:L189,"¶")+COUNTIF($E189:L189,"²")+COUNTIF($E189:L189,"µ")+COUNTIF($E189:L189,1)-1,INDEX(Roadmap!$D:$K,MATCH($E189,Roadmap!$D:$D,0)-1+COUNTIF($E189:L189,"u")+COUNTIF($E189:L189,"t")+COUNTIF($E189:L189,"¶")+COUNTIF($E189:L189,"²")+COUNTIF($E189:L189,"µ")+COUNTIF($E189:L189,1),ColDescriptionCourte)),""),
  "")),"")</f>
        <v/>
      </c>
      <c r="N189" s="40" t="str">
        <f ca="1">IFERROR(IF(AND(
  INDEX(Roadmap!$D:$K,MATCH($E189,Roadmap!$D:$D,0)+COUNTIF($E189:M189,"u")+COUNTIF($E189:M189,"t")+COUNTIF($E189:M189,"¶")+COUNTIF($E189:M189,"²")+COUNTIF($E189:M189,"µ")+COUNTIF($E189:M189,1),ColLivraison)=N$6,
  VLOOKUP($E189,INDIRECT("tri!"&amp; CHAR(64+ C0Col) &amp;":"&amp; CHAR(65+C0Col)),2,FALSE)&gt;COUNTIF($E189:M189,"u")+COUNTIF($E189:M189,"t")+COUNTIF($E189:M189,"¶")+COUNTIF($E189:M189,"²")+COUNTIF($E189:M189,"µ")+COUNTIF($E189:M189,1)),
HYPERLINK("#Roadmap!C"&amp; MATCH($E189,Roadmap!$D:$D,0)+COUNTIF($E189:M189,"u")+COUNTIF($E189:M189,"t"),
     INDEX(Roadmap!$D:$K,MATCH($E189,Roadmap!$D:$D,0)+COUNTIF($E189:M189,"u")+COUNTIF($E189:M189,"t")+COUNTIF($E189:M189,"¶")+COUNTIF($E189:M189,"²")+COUNTIF($E189:M189,"µ")+COUNTIF($E189:M189,1),ColTypeEcheance)),
  IF(LEN(M189)=1,
  IF(LEN(INDEX(Roadmap!$D:$K,MATCH($E189,Roadmap!$D:$D,0)-1+COUNTIF($E189:M189,"u")+COUNTIF($E189:M189,"t")+COUNTIF($E189:M189,"¶")+COUNTIF($E189:M189,"²")+COUNTIF($E189:M189,"µ")+COUNTIF($E189:M189,1),ColDescriptionCourte))&gt;1,
HYPERLINK("#Roadmap!C"&amp; MATCH($E189,Roadmap!$D:$D,0)+COUNTIF($E189:M189,"u")+COUNTIF($E189:M189,"t")+COUNTIF($E189:M189,"¶")+COUNTIF($E189:M189,"²")+COUNTIF($E189:M189,"µ")+COUNTIF($E189:M189,1)-1,INDEX(Roadmap!$D:$K,MATCH($E189,Roadmap!$D:$D,0)-1+COUNTIF($E189:M189,"u")+COUNTIF($E189:M189,"t")+COUNTIF($E189:M189,"¶")+COUNTIF($E189:M189,"²")+COUNTIF($E189:M189,"µ")+COUNTIF($E189:M189,1),ColDescriptionCourte)),""),
  "")),"")</f>
        <v/>
      </c>
      <c r="O189" s="40" t="str">
        <f ca="1">IFERROR(IF(AND(
  INDEX(Roadmap!$D:$K,MATCH($E189,Roadmap!$D:$D,0)+COUNTIF($E189:N189,"u")+COUNTIF($E189:N189,"t")+COUNTIF($E189:N189,"¶")+COUNTIF($E189:N189,"²")+COUNTIF($E189:N189,"µ")+COUNTIF($E189:N189,1),ColLivraison)=O$6,
  VLOOKUP($E189,INDIRECT("tri!"&amp; CHAR(64+ C0Col) &amp;":"&amp; CHAR(65+C0Col)),2,FALSE)&gt;COUNTIF($E189:N189,"u")+COUNTIF($E189:N189,"t")+COUNTIF($E189:N189,"¶")+COUNTIF($E189:N189,"²")+COUNTIF($E189:N189,"µ")+COUNTIF($E189:N189,1)),
HYPERLINK("#Roadmap!C"&amp; MATCH($E189,Roadmap!$D:$D,0)+COUNTIF($E189:N189,"u")+COUNTIF($E189:N189,"t"),
     INDEX(Roadmap!$D:$K,MATCH($E189,Roadmap!$D:$D,0)+COUNTIF($E189:N189,"u")+COUNTIF($E189:N189,"t")+COUNTIF($E189:N189,"¶")+COUNTIF($E189:N189,"²")+COUNTIF($E189:N189,"µ")+COUNTIF($E189:N189,1),ColTypeEcheance)),
  IF(LEN(N189)=1,
  IF(LEN(INDEX(Roadmap!$D:$K,MATCH($E189,Roadmap!$D:$D,0)-1+COUNTIF($E189:N189,"u")+COUNTIF($E189:N189,"t")+COUNTIF($E189:N189,"¶")+COUNTIF($E189:N189,"²")+COUNTIF($E189:N189,"µ")+COUNTIF($E189:N189,1),ColDescriptionCourte))&gt;1,
HYPERLINK("#Roadmap!C"&amp; MATCH($E189,Roadmap!$D:$D,0)+COUNTIF($E189:N189,"u")+COUNTIF($E189:N189,"t")+COUNTIF($E189:N189,"¶")+COUNTIF($E189:N189,"²")+COUNTIF($E189:N189,"µ")+COUNTIF($E189:N189,1)-1,INDEX(Roadmap!$D:$K,MATCH($E189,Roadmap!$D:$D,0)-1+COUNTIF($E189:N189,"u")+COUNTIF($E189:N189,"t")+COUNTIF($E189:N189,"¶")+COUNTIF($E189:N189,"²")+COUNTIF($E189:N189,"µ")+COUNTIF($E189:N189,1),ColDescriptionCourte)),""),
  "")),"")</f>
        <v/>
      </c>
      <c r="P189" s="40" t="str">
        <f ca="1">IFERROR(IF(AND(
  INDEX(Roadmap!$D:$K,MATCH($E189,Roadmap!$D:$D,0)+COUNTIF($E189:O189,"u")+COUNTIF($E189:O189,"t")+COUNTIF($E189:O189,"¶")+COUNTIF($E189:O189,"²")+COUNTIF($E189:O189,"µ")+COUNTIF($E189:O189,1),ColLivraison)=P$6,
  VLOOKUP($E189,INDIRECT("tri!"&amp; CHAR(64+ C0Col) &amp;":"&amp; CHAR(65+C0Col)),2,FALSE)&gt;COUNTIF($E189:O189,"u")+COUNTIF($E189:O189,"t")+COUNTIF($E189:O189,"¶")+COUNTIF($E189:O189,"²")+COUNTIF($E189:O189,"µ")+COUNTIF($E189:O189,1)),
HYPERLINK("#Roadmap!C"&amp; MATCH($E189,Roadmap!$D:$D,0)+COUNTIF($E189:O189,"u")+COUNTIF($E189:O189,"t"),
     INDEX(Roadmap!$D:$K,MATCH($E189,Roadmap!$D:$D,0)+COUNTIF($E189:O189,"u")+COUNTIF($E189:O189,"t")+COUNTIF($E189:O189,"¶")+COUNTIF($E189:O189,"²")+COUNTIF($E189:O189,"µ")+COUNTIF($E189:O189,1),ColTypeEcheance)),
  IF(LEN(O189)=1,
  IF(LEN(INDEX(Roadmap!$D:$K,MATCH($E189,Roadmap!$D:$D,0)-1+COUNTIF($E189:O189,"u")+COUNTIF($E189:O189,"t")+COUNTIF($E189:O189,"¶")+COUNTIF($E189:O189,"²")+COUNTIF($E189:O189,"µ")+COUNTIF($E189:O189,1),ColDescriptionCourte))&gt;1,
HYPERLINK("#Roadmap!C"&amp; MATCH($E189,Roadmap!$D:$D,0)+COUNTIF($E189:O189,"u")+COUNTIF($E189:O189,"t")+COUNTIF($E189:O189,"¶")+COUNTIF($E189:O189,"²")+COUNTIF($E189:O189,"µ")+COUNTIF($E189:O189,1)-1,INDEX(Roadmap!$D:$K,MATCH($E189,Roadmap!$D:$D,0)-1+COUNTIF($E189:O189,"u")+COUNTIF($E189:O189,"t")+COUNTIF($E189:O189,"¶")+COUNTIF($E189:O189,"²")+COUNTIF($E189:O189,"µ")+COUNTIF($E189:O189,1),ColDescriptionCourte)),""),
  "")),"")</f>
        <v/>
      </c>
      <c r="Q189" s="40" t="str">
        <f ca="1">IFERROR(IF(AND(
  INDEX(Roadmap!$D:$K,MATCH($E189,Roadmap!$D:$D,0)+COUNTIF($E189:P189,"u")+COUNTIF($E189:P189,"t")+COUNTIF($E189:P189,"¶")+COUNTIF($E189:P189,"²")+COUNTIF($E189:P189,"µ")+COUNTIF($E189:P189,1),ColLivraison)=Q$6,
  VLOOKUP($E189,INDIRECT("tri!"&amp; CHAR(64+ C0Col) &amp;":"&amp; CHAR(65+C0Col)),2,FALSE)&gt;COUNTIF($E189:P189,"u")+COUNTIF($E189:P189,"t")+COUNTIF($E189:P189,"¶")+COUNTIF($E189:P189,"²")+COUNTIF($E189:P189,"µ")+COUNTIF($E189:P189,1)),
HYPERLINK("#Roadmap!C"&amp; MATCH($E189,Roadmap!$D:$D,0)+COUNTIF($E189:P189,"u")+COUNTIF($E189:P189,"t"),
     INDEX(Roadmap!$D:$K,MATCH($E189,Roadmap!$D:$D,0)+COUNTIF($E189:P189,"u")+COUNTIF($E189:P189,"t")+COUNTIF($E189:P189,"¶")+COUNTIF($E189:P189,"²")+COUNTIF($E189:P189,"µ")+COUNTIF($E189:P189,1),ColTypeEcheance)),
  IF(LEN(P189)=1,
  IF(LEN(INDEX(Roadmap!$D:$K,MATCH($E189,Roadmap!$D:$D,0)-1+COUNTIF($E189:P189,"u")+COUNTIF($E189:P189,"t")+COUNTIF($E189:P189,"¶")+COUNTIF($E189:P189,"²")+COUNTIF($E189:P189,"µ")+COUNTIF($E189:P189,1),ColDescriptionCourte))&gt;1,
HYPERLINK("#Roadmap!C"&amp; MATCH($E189,Roadmap!$D:$D,0)+COUNTIF($E189:P189,"u")+COUNTIF($E189:P189,"t")+COUNTIF($E189:P189,"¶")+COUNTIF($E189:P189,"²")+COUNTIF($E189:P189,"µ")+COUNTIF($E189:P189,1)-1,INDEX(Roadmap!$D:$K,MATCH($E189,Roadmap!$D:$D,0)-1+COUNTIF($E189:P189,"u")+COUNTIF($E189:P189,"t")+COUNTIF($E189:P189,"¶")+COUNTIF($E189:P189,"²")+COUNTIF($E189:P189,"µ")+COUNTIF($E189:P189,1),ColDescriptionCourte)),""),
  "")),"")</f>
        <v/>
      </c>
      <c r="R189" s="40" t="str">
        <f ca="1">IFERROR(IF(AND(
  INDEX(Roadmap!$D:$K,MATCH($E189,Roadmap!$D:$D,0)+COUNTIF($E189:Q189,"u")+COUNTIF($E189:Q189,"t")+COUNTIF($E189:Q189,"¶")+COUNTIF($E189:Q189,"²")+COUNTIF($E189:Q189,"µ")+COUNTIF($E189:Q189,1),ColLivraison)=R$6,
  VLOOKUP($E189,INDIRECT("tri!"&amp; CHAR(64+ C0Col) &amp;":"&amp; CHAR(65+C0Col)),2,FALSE)&gt;COUNTIF($E189:Q189,"u")+COUNTIF($E189:Q189,"t")+COUNTIF($E189:Q189,"¶")+COUNTIF($E189:Q189,"²")+COUNTIF($E189:Q189,"µ")+COUNTIF($E189:Q189,1)),
HYPERLINK("#Roadmap!C"&amp; MATCH($E189,Roadmap!$D:$D,0)+COUNTIF($E189:Q189,"u")+COUNTIF($E189:Q189,"t"),
     INDEX(Roadmap!$D:$K,MATCH($E189,Roadmap!$D:$D,0)+COUNTIF($E189:Q189,"u")+COUNTIF($E189:Q189,"t")+COUNTIF($E189:Q189,"¶")+COUNTIF($E189:Q189,"²")+COUNTIF($E189:Q189,"µ")+COUNTIF($E189:Q189,1),ColTypeEcheance)),
  IF(LEN(Q189)=1,
  IF(LEN(INDEX(Roadmap!$D:$K,MATCH($E189,Roadmap!$D:$D,0)-1+COUNTIF($E189:Q189,"u")+COUNTIF($E189:Q189,"t")+COUNTIF($E189:Q189,"¶")+COUNTIF($E189:Q189,"²")+COUNTIF($E189:Q189,"µ")+COUNTIF($E189:Q189,1),ColDescriptionCourte))&gt;1,
HYPERLINK("#Roadmap!C"&amp; MATCH($E189,Roadmap!$D:$D,0)+COUNTIF($E189:Q189,"u")+COUNTIF($E189:Q189,"t")+COUNTIF($E189:Q189,"¶")+COUNTIF($E189:Q189,"²")+COUNTIF($E189:Q189,"µ")+COUNTIF($E189:Q189,1)-1,INDEX(Roadmap!$D:$K,MATCH($E189,Roadmap!$D:$D,0)-1+COUNTIF($E189:Q189,"u")+COUNTIF($E189:Q189,"t")+COUNTIF($E189:Q189,"¶")+COUNTIF($E189:Q189,"²")+COUNTIF($E189:Q189,"µ")+COUNTIF($E189:Q189,1),ColDescriptionCourte)),""),
  "")),"")</f>
        <v/>
      </c>
      <c r="S189" s="40" t="str">
        <f ca="1">IFERROR(IF(AND(
  INDEX(Roadmap!$D:$K,MATCH($E189,Roadmap!$D:$D,0)+COUNTIF($E189:R189,"u")+COUNTIF($E189:R189,"t")+COUNTIF($E189:R189,"¶")+COUNTIF($E189:R189,"²")+COUNTIF($E189:R189,"µ")+COUNTIF($E189:R189,1),ColLivraison)=S$6,
  VLOOKUP($E189,INDIRECT("tri!"&amp; CHAR(64+ C0Col) &amp;":"&amp; CHAR(65+C0Col)),2,FALSE)&gt;COUNTIF($E189:R189,"u")+COUNTIF($E189:R189,"t")+COUNTIF($E189:R189,"¶")+COUNTIF($E189:R189,"²")+COUNTIF($E189:R189,"µ")+COUNTIF($E189:R189,1)),
HYPERLINK("#Roadmap!C"&amp; MATCH($E189,Roadmap!$D:$D,0)+COUNTIF($E189:R189,"u")+COUNTIF($E189:R189,"t"),
     INDEX(Roadmap!$D:$K,MATCH($E189,Roadmap!$D:$D,0)+COUNTIF($E189:R189,"u")+COUNTIF($E189:R189,"t")+COUNTIF($E189:R189,"¶")+COUNTIF($E189:R189,"²")+COUNTIF($E189:R189,"µ")+COUNTIF($E189:R189,1),ColTypeEcheance)),
  IF(LEN(R189)=1,
  IF(LEN(INDEX(Roadmap!$D:$K,MATCH($E189,Roadmap!$D:$D,0)-1+COUNTIF($E189:R189,"u")+COUNTIF($E189:R189,"t")+COUNTIF($E189:R189,"¶")+COUNTIF($E189:R189,"²")+COUNTIF($E189:R189,"µ")+COUNTIF($E189:R189,1),ColDescriptionCourte))&gt;1,
HYPERLINK("#Roadmap!C"&amp; MATCH($E189,Roadmap!$D:$D,0)+COUNTIF($E189:R189,"u")+COUNTIF($E189:R189,"t")+COUNTIF($E189:R189,"¶")+COUNTIF($E189:R189,"²")+COUNTIF($E189:R189,"µ")+COUNTIF($E189:R189,1)-1,INDEX(Roadmap!$D:$K,MATCH($E189,Roadmap!$D:$D,0)-1+COUNTIF($E189:R189,"u")+COUNTIF($E189:R189,"t")+COUNTIF($E189:R189,"¶")+COUNTIF($E189:R189,"²")+COUNTIF($E189:R189,"µ")+COUNTIF($E189:R189,1),ColDescriptionCourte)),""),
  "")),"")</f>
        <v/>
      </c>
      <c r="T189" s="40" t="str">
        <f ca="1">IFERROR(IF(AND(
  INDEX(Roadmap!$D:$K,MATCH($E189,Roadmap!$D:$D,0)+COUNTIF($E189:S189,"u")+COUNTIF($E189:S189,"t")+COUNTIF($E189:S189,"¶")+COUNTIF($E189:S189,"²")+COUNTIF($E189:S189,"µ")+COUNTIF($E189:S189,1),ColLivraison)=T$6,
  VLOOKUP($E189,INDIRECT("tri!"&amp; CHAR(64+ C0Col) &amp;":"&amp; CHAR(65+C0Col)),2,FALSE)&gt;COUNTIF($E189:S189,"u")+COUNTIF($E189:S189,"t")+COUNTIF($E189:S189,"¶")+COUNTIF($E189:S189,"²")+COUNTIF($E189:S189,"µ")+COUNTIF($E189:S189,1)),
HYPERLINK("#Roadmap!C"&amp; MATCH($E189,Roadmap!$D:$D,0)+COUNTIF($E189:S189,"u")+COUNTIF($E189:S189,"t"),
     INDEX(Roadmap!$D:$K,MATCH($E189,Roadmap!$D:$D,0)+COUNTIF($E189:S189,"u")+COUNTIF($E189:S189,"t")+COUNTIF($E189:S189,"¶")+COUNTIF($E189:S189,"²")+COUNTIF($E189:S189,"µ")+COUNTIF($E189:S189,1),ColTypeEcheance)),
  IF(LEN(S189)=1,
  IF(LEN(INDEX(Roadmap!$D:$K,MATCH($E189,Roadmap!$D:$D,0)-1+COUNTIF($E189:S189,"u")+COUNTIF($E189:S189,"t")+COUNTIF($E189:S189,"¶")+COUNTIF($E189:S189,"²")+COUNTIF($E189:S189,"µ")+COUNTIF($E189:S189,1),ColDescriptionCourte))&gt;1,
HYPERLINK("#Roadmap!C"&amp; MATCH($E189,Roadmap!$D:$D,0)+COUNTIF($E189:S189,"u")+COUNTIF($E189:S189,"t")+COUNTIF($E189:S189,"¶")+COUNTIF($E189:S189,"²")+COUNTIF($E189:S189,"µ")+COUNTIF($E189:S189,1)-1,INDEX(Roadmap!$D:$K,MATCH($E189,Roadmap!$D:$D,0)-1+COUNTIF($E189:S189,"u")+COUNTIF($E189:S189,"t")+COUNTIF($E189:S189,"¶")+COUNTIF($E189:S189,"²")+COUNTIF($E189:S189,"µ")+COUNTIF($E189:S189,1),ColDescriptionCourte)),""),
  "")),"")</f>
        <v/>
      </c>
      <c r="U189" s="40" t="str">
        <f ca="1">IFERROR(IF(AND(
  INDEX(Roadmap!$D:$K,MATCH($E189,Roadmap!$D:$D,0)+COUNTIF($E189:T189,"u")+COUNTIF($E189:T189,"t")+COUNTIF($E189:T189,"¶")+COUNTIF($E189:T189,"²")+COUNTIF($E189:T189,"µ")+COUNTIF($E189:T189,1),ColLivraison)=U$6,
  VLOOKUP($E189,INDIRECT("tri!"&amp; CHAR(64+ C0Col) &amp;":"&amp; CHAR(65+C0Col)),2,FALSE)&gt;COUNTIF($E189:T189,"u")+COUNTIF($E189:T189,"t")+COUNTIF($E189:T189,"¶")+COUNTIF($E189:T189,"²")+COUNTIF($E189:T189,"µ")+COUNTIF($E189:T189,1)),
HYPERLINK("#Roadmap!C"&amp; MATCH($E189,Roadmap!$D:$D,0)+COUNTIF($E189:T189,"u")+COUNTIF($E189:T189,"t"),
     INDEX(Roadmap!$D:$K,MATCH($E189,Roadmap!$D:$D,0)+COUNTIF($E189:T189,"u")+COUNTIF($E189:T189,"t")+COUNTIF($E189:T189,"¶")+COUNTIF($E189:T189,"²")+COUNTIF($E189:T189,"µ")+COUNTIF($E189:T189,1),ColTypeEcheance)),
  IF(LEN(T189)=1,
  IF(LEN(INDEX(Roadmap!$D:$K,MATCH($E189,Roadmap!$D:$D,0)-1+COUNTIF($E189:T189,"u")+COUNTIF($E189:T189,"t")+COUNTIF($E189:T189,"¶")+COUNTIF($E189:T189,"²")+COUNTIF($E189:T189,"µ")+COUNTIF($E189:T189,1),ColDescriptionCourte))&gt;1,
HYPERLINK("#Roadmap!C"&amp; MATCH($E189,Roadmap!$D:$D,0)+COUNTIF($E189:T189,"u")+COUNTIF($E189:T189,"t")+COUNTIF($E189:T189,"¶")+COUNTIF($E189:T189,"²")+COUNTIF($E189:T189,"µ")+COUNTIF($E189:T189,1)-1,INDEX(Roadmap!$D:$K,MATCH($E189,Roadmap!$D:$D,0)-1+COUNTIF($E189:T189,"u")+COUNTIF($E189:T189,"t")+COUNTIF($E189:T189,"¶")+COUNTIF($E189:T189,"²")+COUNTIF($E189:T189,"µ")+COUNTIF($E189:T189,1),ColDescriptionCourte)),""),
  "")),"")</f>
        <v/>
      </c>
      <c r="V189" s="40" t="str">
        <f ca="1">IFERROR(IF(AND(
  INDEX(Roadmap!$D:$K,MATCH($E189,Roadmap!$D:$D,0)+COUNTIF($E189:U189,"u")+COUNTIF($E189:U189,"t")+COUNTIF($E189:U189,"¶")+COUNTIF($E189:U189,"²")+COUNTIF($E189:U189,"µ")+COUNTIF($E189:U189,1),ColLivraison)=V$6,
  VLOOKUP($E189,INDIRECT("tri!"&amp; CHAR(64+ C0Col) &amp;":"&amp; CHAR(65+C0Col)),2,FALSE)&gt;COUNTIF($E189:U189,"u")+COUNTIF($E189:U189,"t")+COUNTIF($E189:U189,"¶")+COUNTIF($E189:U189,"²")+COUNTIF($E189:U189,"µ")+COUNTIF($E189:U189,1)),
HYPERLINK("#Roadmap!C"&amp; MATCH($E189,Roadmap!$D:$D,0)+COUNTIF($E189:U189,"u")+COUNTIF($E189:U189,"t"),
     INDEX(Roadmap!$D:$K,MATCH($E189,Roadmap!$D:$D,0)+COUNTIF($E189:U189,"u")+COUNTIF($E189:U189,"t")+COUNTIF($E189:U189,"¶")+COUNTIF($E189:U189,"²")+COUNTIF($E189:U189,"µ")+COUNTIF($E189:U189,1),ColTypeEcheance)),
  IF(LEN(U189)=1,
  IF(LEN(INDEX(Roadmap!$D:$K,MATCH($E189,Roadmap!$D:$D,0)-1+COUNTIF($E189:U189,"u")+COUNTIF($E189:U189,"t")+COUNTIF($E189:U189,"¶")+COUNTIF($E189:U189,"²")+COUNTIF($E189:U189,"µ")+COUNTIF($E189:U189,1),ColDescriptionCourte))&gt;1,
HYPERLINK("#Roadmap!C"&amp; MATCH($E189,Roadmap!$D:$D,0)+COUNTIF($E189:U189,"u")+COUNTIF($E189:U189,"t")+COUNTIF($E189:U189,"¶")+COUNTIF($E189:U189,"²")+COUNTIF($E189:U189,"µ")+COUNTIF($E189:U189,1)-1,INDEX(Roadmap!$D:$K,MATCH($E189,Roadmap!$D:$D,0)-1+COUNTIF($E189:U189,"u")+COUNTIF($E189:U189,"t")+COUNTIF($E189:U189,"¶")+COUNTIF($E189:U189,"²")+COUNTIF($E189:U189,"µ")+COUNTIF($E189:U189,1),ColDescriptionCourte)),""),
  "")),"")</f>
        <v/>
      </c>
      <c r="W189" s="40" t="str">
        <f ca="1">IFERROR(IF(AND(
  INDEX(Roadmap!$D:$K,MATCH($E189,Roadmap!$D:$D,0)+COUNTIF($E189:V189,"u")+COUNTIF($E189:V189,"t")+COUNTIF($E189:V189,"¶")+COUNTIF($E189:V189,"²")+COUNTIF($E189:V189,"µ")+COUNTIF($E189:V189,1),ColLivraison)=W$6,
  VLOOKUP($E189,INDIRECT("tri!"&amp; CHAR(64+ C0Col) &amp;":"&amp; CHAR(65+C0Col)),2,FALSE)&gt;COUNTIF($E189:V189,"u")+COUNTIF($E189:V189,"t")+COUNTIF($E189:V189,"¶")+COUNTIF($E189:V189,"²")+COUNTIF($E189:V189,"µ")+COUNTIF($E189:V189,1)),
HYPERLINK("#Roadmap!C"&amp; MATCH($E189,Roadmap!$D:$D,0)+COUNTIF($E189:V189,"u")+COUNTIF($E189:V189,"t"),
     INDEX(Roadmap!$D:$K,MATCH($E189,Roadmap!$D:$D,0)+COUNTIF($E189:V189,"u")+COUNTIF($E189:V189,"t")+COUNTIF($E189:V189,"¶")+COUNTIF($E189:V189,"²")+COUNTIF($E189:V189,"µ")+COUNTIF($E189:V189,1),ColTypeEcheance)),
  IF(LEN(V189)=1,
  IF(LEN(INDEX(Roadmap!$D:$K,MATCH($E189,Roadmap!$D:$D,0)-1+COUNTIF($E189:V189,"u")+COUNTIF($E189:V189,"t")+COUNTIF($E189:V189,"¶")+COUNTIF($E189:V189,"²")+COUNTIF($E189:V189,"µ")+COUNTIF($E189:V189,1),ColDescriptionCourte))&gt;1,
HYPERLINK("#Roadmap!C"&amp; MATCH($E189,Roadmap!$D:$D,0)+COUNTIF($E189:V189,"u")+COUNTIF($E189:V189,"t")+COUNTIF($E189:V189,"¶")+COUNTIF($E189:V189,"²")+COUNTIF($E189:V189,"µ")+COUNTIF($E189:V189,1)-1,INDEX(Roadmap!$D:$K,MATCH($E189,Roadmap!$D:$D,0)-1+COUNTIF($E189:V189,"u")+COUNTIF($E189:V189,"t")+COUNTIF($E189:V189,"¶")+COUNTIF($E189:V189,"²")+COUNTIF($E189:V189,"µ")+COUNTIF($E189:V189,1),ColDescriptionCourte)),""),
  "")),"")</f>
        <v/>
      </c>
      <c r="X189" s="40" t="str">
        <f ca="1">IFERROR(IF(AND(
  INDEX(Roadmap!$D:$K,MATCH($E189,Roadmap!$D:$D,0)+COUNTIF($E189:W189,"u")+COUNTIF($E189:W189,"t")+COUNTIF($E189:W189,"¶")+COUNTIF($E189:W189,"²")+COUNTIF($E189:W189,"µ")+COUNTIF($E189:W189,1),ColLivraison)=X$6,
  VLOOKUP($E189,INDIRECT("tri!"&amp; CHAR(64+ C0Col) &amp;":"&amp; CHAR(65+C0Col)),2,FALSE)&gt;COUNTIF($E189:W189,"u")+COUNTIF($E189:W189,"t")+COUNTIF($E189:W189,"¶")+COUNTIF($E189:W189,"²")+COUNTIF($E189:W189,"µ")+COUNTIF($E189:W189,1)),
HYPERLINK("#Roadmap!C"&amp; MATCH($E189,Roadmap!$D:$D,0)+COUNTIF($E189:W189,"u")+COUNTIF($E189:W189,"t"),
     INDEX(Roadmap!$D:$K,MATCH($E189,Roadmap!$D:$D,0)+COUNTIF($E189:W189,"u")+COUNTIF($E189:W189,"t")+COUNTIF($E189:W189,"¶")+COUNTIF($E189:W189,"²")+COUNTIF($E189:W189,"µ")+COUNTIF($E189:W189,1),ColTypeEcheance)),
  IF(LEN(W189)=1,
  IF(LEN(INDEX(Roadmap!$D:$K,MATCH($E189,Roadmap!$D:$D,0)-1+COUNTIF($E189:W189,"u")+COUNTIF($E189:W189,"t")+COUNTIF($E189:W189,"¶")+COUNTIF($E189:W189,"²")+COUNTIF($E189:W189,"µ")+COUNTIF($E189:W189,1),ColDescriptionCourte))&gt;1,
HYPERLINK("#Roadmap!C"&amp; MATCH($E189,Roadmap!$D:$D,0)+COUNTIF($E189:W189,"u")+COUNTIF($E189:W189,"t")+COUNTIF($E189:W189,"¶")+COUNTIF($E189:W189,"²")+COUNTIF($E189:W189,"µ")+COUNTIF($E189:W189,1)-1,INDEX(Roadmap!$D:$K,MATCH($E189,Roadmap!$D:$D,0)-1+COUNTIF($E189:W189,"u")+COUNTIF($E189:W189,"t")+COUNTIF($E189:W189,"¶")+COUNTIF($E189:W189,"²")+COUNTIF($E189:W189,"µ")+COUNTIF($E189:W189,1),ColDescriptionCourte)),""),
  "")),"")</f>
        <v/>
      </c>
      <c r="Y189" s="40" t="str">
        <f ca="1">IFERROR(IF(AND(
  INDEX(Roadmap!$D:$K,MATCH($E189,Roadmap!$D:$D,0)+COUNTIF($E189:X189,"u")+COUNTIF($E189:X189,"t")+COUNTIF($E189:X189,"¶")+COUNTIF($E189:X189,"²")+COUNTIF($E189:X189,"µ")+COUNTIF($E189:X189,1),ColLivraison)=Y$6,
  VLOOKUP($E189,INDIRECT("tri!"&amp; CHAR(64+ C0Col) &amp;":"&amp; CHAR(65+C0Col)),2,FALSE)&gt;COUNTIF($E189:X189,"u")+COUNTIF($E189:X189,"t")+COUNTIF($E189:X189,"¶")+COUNTIF($E189:X189,"²")+COUNTIF($E189:X189,"µ")+COUNTIF($E189:X189,1)),
HYPERLINK("#Roadmap!C"&amp; MATCH($E189,Roadmap!$D:$D,0)+COUNTIF($E189:X189,"u")+COUNTIF($E189:X189,"t"),
     INDEX(Roadmap!$D:$K,MATCH($E189,Roadmap!$D:$D,0)+COUNTIF($E189:X189,"u")+COUNTIF($E189:X189,"t")+COUNTIF($E189:X189,"¶")+COUNTIF($E189:X189,"²")+COUNTIF($E189:X189,"µ")+COUNTIF($E189:X189,1),ColTypeEcheance)),
  IF(LEN(X189)=1,
  IF(LEN(INDEX(Roadmap!$D:$K,MATCH($E189,Roadmap!$D:$D,0)-1+COUNTIF($E189:X189,"u")+COUNTIF($E189:X189,"t")+COUNTIF($E189:X189,"¶")+COUNTIF($E189:X189,"²")+COUNTIF($E189:X189,"µ")+COUNTIF($E189:X189,1),ColDescriptionCourte))&gt;1,
HYPERLINK("#Roadmap!C"&amp; MATCH($E189,Roadmap!$D:$D,0)+COUNTIF($E189:X189,"u")+COUNTIF($E189:X189,"t")+COUNTIF($E189:X189,"¶")+COUNTIF($E189:X189,"²")+COUNTIF($E189:X189,"µ")+COUNTIF($E189:X189,1)-1,INDEX(Roadmap!$D:$K,MATCH($E189,Roadmap!$D:$D,0)-1+COUNTIF($E189:X189,"u")+COUNTIF($E189:X189,"t")+COUNTIF($E189:X189,"¶")+COUNTIF($E189:X189,"²")+COUNTIF($E189:X189,"µ")+COUNTIF($E189:X189,1),ColDescriptionCourte)),""),
  "")),"")</f>
        <v/>
      </c>
      <c r="Z189" s="40" t="str">
        <f ca="1">IFERROR(IF(AND(
  INDEX(Roadmap!$D:$K,MATCH($E189,Roadmap!$D:$D,0)+COUNTIF($E189:Y189,"u")+COUNTIF($E189:Y189,"t")+COUNTIF($E189:Y189,"¶")+COUNTIF($E189:Y189,"²")+COUNTIF($E189:Y189,"µ")+COUNTIF($E189:Y189,1),ColLivraison)=Z$6,
  VLOOKUP($E189,INDIRECT("tri!"&amp; CHAR(64+ C0Col) &amp;":"&amp; CHAR(65+C0Col)),2,FALSE)&gt;COUNTIF($E189:Y189,"u")+COUNTIF($E189:Y189,"t")+COUNTIF($E189:Y189,"¶")+COUNTIF($E189:Y189,"²")+COUNTIF($E189:Y189,"µ")+COUNTIF($E189:Y189,1)),
HYPERLINK("#Roadmap!C"&amp; MATCH($E189,Roadmap!$D:$D,0)+COUNTIF($E189:Y189,"u")+COUNTIF($E189:Y189,"t"),
     INDEX(Roadmap!$D:$K,MATCH($E189,Roadmap!$D:$D,0)+COUNTIF($E189:Y189,"u")+COUNTIF($E189:Y189,"t")+COUNTIF($E189:Y189,"¶")+COUNTIF($E189:Y189,"²")+COUNTIF($E189:Y189,"µ")+COUNTIF($E189:Y189,1),ColTypeEcheance)),
  IF(LEN(Y189)=1,
  IF(LEN(INDEX(Roadmap!$D:$K,MATCH($E189,Roadmap!$D:$D,0)-1+COUNTIF($E189:Y189,"u")+COUNTIF($E189:Y189,"t")+COUNTIF($E189:Y189,"¶")+COUNTIF($E189:Y189,"²")+COUNTIF($E189:Y189,"µ")+COUNTIF($E189:Y189,1),ColDescriptionCourte))&gt;1,
HYPERLINK("#Roadmap!C"&amp; MATCH($E189,Roadmap!$D:$D,0)+COUNTIF($E189:Y189,"u")+COUNTIF($E189:Y189,"t")+COUNTIF($E189:Y189,"¶")+COUNTIF($E189:Y189,"²")+COUNTIF($E189:Y189,"µ")+COUNTIF($E189:Y189,1)-1,INDEX(Roadmap!$D:$K,MATCH($E189,Roadmap!$D:$D,0)-1+COUNTIF($E189:Y189,"u")+COUNTIF($E189:Y189,"t")+COUNTIF($E189:Y189,"¶")+COUNTIF($E189:Y189,"²")+COUNTIF($E189:Y189,"µ")+COUNTIF($E189:Y189,1),ColDescriptionCourte)),""),
  "")),"")</f>
        <v/>
      </c>
      <c r="AA189" s="40" t="str">
        <f ca="1">IFERROR(IF(AND(
  INDEX(Roadmap!$D:$K,MATCH($E189,Roadmap!$D:$D,0)+COUNTIF($E189:Z189,"u")+COUNTIF($E189:Z189,"t")+COUNTIF($E189:Z189,"¶")+COUNTIF($E189:Z189,"²")+COUNTIF($E189:Z189,"µ")+COUNTIF($E189:Z189,1),ColLivraison)=AA$6,
  VLOOKUP($E189,INDIRECT("tri!"&amp; CHAR(64+ C0Col) &amp;":"&amp; CHAR(65+C0Col)),2,FALSE)&gt;COUNTIF($E189:Z189,"u")+COUNTIF($E189:Z189,"t")+COUNTIF($E189:Z189,"¶")+COUNTIF($E189:Z189,"²")+COUNTIF($E189:Z189,"µ")+COUNTIF($E189:Z189,1)),
HYPERLINK("#Roadmap!C"&amp; MATCH($E189,Roadmap!$D:$D,0)+COUNTIF($E189:Z189,"u")+COUNTIF($E189:Z189,"t"),
     INDEX(Roadmap!$D:$K,MATCH($E189,Roadmap!$D:$D,0)+COUNTIF($E189:Z189,"u")+COUNTIF($E189:Z189,"t")+COUNTIF($E189:Z189,"¶")+COUNTIF($E189:Z189,"²")+COUNTIF($E189:Z189,"µ")+COUNTIF($E189:Z189,1),ColTypeEcheance)),
  IF(LEN(Z189)=1,
  IF(LEN(INDEX(Roadmap!$D:$K,MATCH($E189,Roadmap!$D:$D,0)-1+COUNTIF($E189:Z189,"u")+COUNTIF($E189:Z189,"t")+COUNTIF($E189:Z189,"¶")+COUNTIF($E189:Z189,"²")+COUNTIF($E189:Z189,"µ")+COUNTIF($E189:Z189,1),ColDescriptionCourte))&gt;1,
HYPERLINK("#Roadmap!C"&amp; MATCH($E189,Roadmap!$D:$D,0)+COUNTIF($E189:Z189,"u")+COUNTIF($E189:Z189,"t")+COUNTIF($E189:Z189,"¶")+COUNTIF($E189:Z189,"²")+COUNTIF($E189:Z189,"µ")+COUNTIF($E189:Z189,1)-1,INDEX(Roadmap!$D:$K,MATCH($E189,Roadmap!$D:$D,0)-1+COUNTIF($E189:Z189,"u")+COUNTIF($E189:Z189,"t")+COUNTIF($E189:Z189,"¶")+COUNTIF($E189:Z189,"²")+COUNTIF($E189:Z189,"µ")+COUNTIF($E189:Z189,1),ColDescriptionCourte)),""),
  "")),"")</f>
        <v/>
      </c>
      <c r="AB189" s="40" t="str">
        <f ca="1">IFERROR(IF(AND(
  INDEX(Roadmap!$D:$K,MATCH($E189,Roadmap!$D:$D,0)+COUNTIF($E189:AA189,"u")+COUNTIF($E189:AA189,"t")+COUNTIF($E189:AA189,"¶")+COUNTIF($E189:AA189,"²")+COUNTIF($E189:AA189,"µ")+COUNTIF($E189:AA189,1),ColLivraison)=AB$6,
  VLOOKUP($E189,INDIRECT("tri!"&amp; CHAR(64+ C0Col) &amp;":"&amp; CHAR(65+C0Col)),2,FALSE)&gt;COUNTIF($E189:AA189,"u")+COUNTIF($E189:AA189,"t")+COUNTIF($E189:AA189,"¶")+COUNTIF($E189:AA189,"²")+COUNTIF($E189:AA189,"µ")+COUNTIF($E189:AA189,1)),
HYPERLINK("#Roadmap!C"&amp; MATCH($E189,Roadmap!$D:$D,0)+COUNTIF($E189:AA189,"u")+COUNTIF($E189:AA189,"t"),
     INDEX(Roadmap!$D:$K,MATCH($E189,Roadmap!$D:$D,0)+COUNTIF($E189:AA189,"u")+COUNTIF($E189:AA189,"t")+COUNTIF($E189:AA189,"¶")+COUNTIF($E189:AA189,"²")+COUNTIF($E189:AA189,"µ")+COUNTIF($E189:AA189,1),ColTypeEcheance)),
  IF(LEN(AA189)=1,
  IF(LEN(INDEX(Roadmap!$D:$K,MATCH($E189,Roadmap!$D:$D,0)-1+COUNTIF($E189:AA189,"u")+COUNTIF($E189:AA189,"t")+COUNTIF($E189:AA189,"¶")+COUNTIF($E189:AA189,"²")+COUNTIF($E189:AA189,"µ")+COUNTIF($E189:AA189,1),ColDescriptionCourte))&gt;1,
HYPERLINK("#Roadmap!C"&amp; MATCH($E189,Roadmap!$D:$D,0)+COUNTIF($E189:AA189,"u")+COUNTIF($E189:AA189,"t")+COUNTIF($E189:AA189,"¶")+COUNTIF($E189:AA189,"²")+COUNTIF($E189:AA189,"µ")+COUNTIF($E189:AA189,1)-1,INDEX(Roadmap!$D:$K,MATCH($E189,Roadmap!$D:$D,0)-1+COUNTIF($E189:AA189,"u")+COUNTIF($E189:AA189,"t")+COUNTIF($E189:AA189,"¶")+COUNTIF($E189:AA189,"²")+COUNTIF($E189:AA189,"µ")+COUNTIF($E189:AA189,1),ColDescriptionCourte)),""),
  "")),"")</f>
        <v/>
      </c>
      <c r="AC189" s="40" t="str">
        <f ca="1">IFERROR(IF(AND(
  INDEX(Roadmap!$D:$K,MATCH($E189,Roadmap!$D:$D,0)+COUNTIF($E189:AB189,"u")+COUNTIF($E189:AB189,"t")+COUNTIF($E189:AB189,"¶")+COUNTIF($E189:AB189,"²")+COUNTIF($E189:AB189,"µ")+COUNTIF($E189:AB189,1),ColLivraison)=AC$6,
  VLOOKUP($E189,INDIRECT("tri!"&amp; CHAR(64+ C0Col) &amp;":"&amp; CHAR(65+C0Col)),2,FALSE)&gt;COUNTIF($E189:AB189,"u")+COUNTIF($E189:AB189,"t")+COUNTIF($E189:AB189,"¶")+COUNTIF($E189:AB189,"²")+COUNTIF($E189:AB189,"µ")+COUNTIF($E189:AB189,1)),
HYPERLINK("#Roadmap!C"&amp; MATCH($E189,Roadmap!$D:$D,0)+COUNTIF($E189:AB189,"u")+COUNTIF($E189:AB189,"t"),
     INDEX(Roadmap!$D:$K,MATCH($E189,Roadmap!$D:$D,0)+COUNTIF($E189:AB189,"u")+COUNTIF($E189:AB189,"t")+COUNTIF($E189:AB189,"¶")+COUNTIF($E189:AB189,"²")+COUNTIF($E189:AB189,"µ")+COUNTIF($E189:AB189,1),ColTypeEcheance)),
  IF(LEN(AB189)=1,
  IF(LEN(INDEX(Roadmap!$D:$K,MATCH($E189,Roadmap!$D:$D,0)-1+COUNTIF($E189:AB189,"u")+COUNTIF($E189:AB189,"t")+COUNTIF($E189:AB189,"¶")+COUNTIF($E189:AB189,"²")+COUNTIF($E189:AB189,"µ")+COUNTIF($E189:AB189,1),ColDescriptionCourte))&gt;1,
HYPERLINK("#Roadmap!C"&amp; MATCH($E189,Roadmap!$D:$D,0)+COUNTIF($E189:AB189,"u")+COUNTIF($E189:AB189,"t")+COUNTIF($E189:AB189,"¶")+COUNTIF($E189:AB189,"²")+COUNTIF($E189:AB189,"µ")+COUNTIF($E189:AB189,1)-1,INDEX(Roadmap!$D:$K,MATCH($E189,Roadmap!$D:$D,0)-1+COUNTIF($E189:AB189,"u")+COUNTIF($E189:AB189,"t")+COUNTIF($E189:AB189,"¶")+COUNTIF($E189:AB189,"²")+COUNTIF($E189:AB189,"µ")+COUNTIF($E189:AB189,1),ColDescriptionCourte)),""),
  "")),"")</f>
        <v/>
      </c>
      <c r="AD189" s="40" t="str">
        <f ca="1">IFERROR(IF(AND(
  INDEX(Roadmap!$D:$K,MATCH($E189,Roadmap!$D:$D,0)+COUNTIF($E189:AC189,"u")+COUNTIF($E189:AC189,"t")+COUNTIF($E189:AC189,"¶")+COUNTIF($E189:AC189,"²")+COUNTIF($E189:AC189,"µ")+COUNTIF($E189:AC189,1),ColLivraison)=AD$6,
  VLOOKUP($E189,INDIRECT("tri!"&amp; CHAR(64+ C0Col) &amp;":"&amp; CHAR(65+C0Col)),2,FALSE)&gt;COUNTIF($E189:AC189,"u")+COUNTIF($E189:AC189,"t")+COUNTIF($E189:AC189,"¶")+COUNTIF($E189:AC189,"²")+COUNTIF($E189:AC189,"µ")+COUNTIF($E189:AC189,1)),
HYPERLINK("#Roadmap!C"&amp; MATCH($E189,Roadmap!$D:$D,0)+COUNTIF($E189:AC189,"u")+COUNTIF($E189:AC189,"t"),
     INDEX(Roadmap!$D:$K,MATCH($E189,Roadmap!$D:$D,0)+COUNTIF($E189:AC189,"u")+COUNTIF($E189:AC189,"t")+COUNTIF($E189:AC189,"¶")+COUNTIF($E189:AC189,"²")+COUNTIF($E189:AC189,"µ")+COUNTIF($E189:AC189,1),ColTypeEcheance)),
  IF(LEN(AC189)=1,
  IF(LEN(INDEX(Roadmap!$D:$K,MATCH($E189,Roadmap!$D:$D,0)-1+COUNTIF($E189:AC189,"u")+COUNTIF($E189:AC189,"t")+COUNTIF($E189:AC189,"¶")+COUNTIF($E189:AC189,"²")+COUNTIF($E189:AC189,"µ")+COUNTIF($E189:AC189,1),ColDescriptionCourte))&gt;1,
HYPERLINK("#Roadmap!C"&amp; MATCH($E189,Roadmap!$D:$D,0)+COUNTIF($E189:AC189,"u")+COUNTIF($E189:AC189,"t")+COUNTIF($E189:AC189,"¶")+COUNTIF($E189:AC189,"²")+COUNTIF($E189:AC189,"µ")+COUNTIF($E189:AC189,1)-1,INDEX(Roadmap!$D:$K,MATCH($E189,Roadmap!$D:$D,0)-1+COUNTIF($E189:AC189,"u")+COUNTIF($E189:AC189,"t")+COUNTIF($E189:AC189,"¶")+COUNTIF($E189:AC189,"²")+COUNTIF($E189:AC189,"µ")+COUNTIF($E189:AC189,1),ColDescriptionCourte)),""),
  "")),"")</f>
        <v/>
      </c>
      <c r="AE189" s="40" t="str">
        <f ca="1">IFERROR(IF(AND(
  INDEX(Roadmap!$D:$K,MATCH($E189,Roadmap!$D:$D,0)+COUNTIF($E189:AD189,"u")+COUNTIF($E189:AD189,"t")+COUNTIF($E189:AD189,"¶")+COUNTIF($E189:AD189,"²")+COUNTIF($E189:AD189,"µ")+COUNTIF($E189:AD189,1),ColLivraison)=AE$6,
  VLOOKUP($E189,INDIRECT("tri!"&amp; CHAR(64+ C0Col) &amp;":"&amp; CHAR(65+C0Col)),2,FALSE)&gt;COUNTIF($E189:AD189,"u")+COUNTIF($E189:AD189,"t")+COUNTIF($E189:AD189,"¶")+COUNTIF($E189:AD189,"²")+COUNTIF($E189:AD189,"µ")+COUNTIF($E189:AD189,1)),
HYPERLINK("#Roadmap!C"&amp; MATCH($E189,Roadmap!$D:$D,0)+COUNTIF($E189:AD189,"u")+COUNTIF($E189:AD189,"t"),
     INDEX(Roadmap!$D:$K,MATCH($E189,Roadmap!$D:$D,0)+COUNTIF($E189:AD189,"u")+COUNTIF($E189:AD189,"t")+COUNTIF($E189:AD189,"¶")+COUNTIF($E189:AD189,"²")+COUNTIF($E189:AD189,"µ")+COUNTIF($E189:AD189,1),ColTypeEcheance)),
  IF(LEN(AD189)=1,
  IF(LEN(INDEX(Roadmap!$D:$K,MATCH($E189,Roadmap!$D:$D,0)-1+COUNTIF($E189:AD189,"u")+COUNTIF($E189:AD189,"t")+COUNTIF($E189:AD189,"¶")+COUNTIF($E189:AD189,"²")+COUNTIF($E189:AD189,"µ")+COUNTIF($E189:AD189,1),ColDescriptionCourte))&gt;1,
HYPERLINK("#Roadmap!C"&amp; MATCH($E189,Roadmap!$D:$D,0)+COUNTIF($E189:AD189,"u")+COUNTIF($E189:AD189,"t")+COUNTIF($E189:AD189,"¶")+COUNTIF($E189:AD189,"²")+COUNTIF($E189:AD189,"µ")+COUNTIF($E189:AD189,1)-1,INDEX(Roadmap!$D:$K,MATCH($E189,Roadmap!$D:$D,0)-1+COUNTIF($E189:AD189,"u")+COUNTIF($E189:AD189,"t")+COUNTIF($E189:AD189,"¶")+COUNTIF($E189:AD189,"²")+COUNTIF($E189:AD189,"µ")+COUNTIF($E189:AD189,1),ColDescriptionCourte)),""),
  "")),"")</f>
        <v/>
      </c>
      <c r="AF189" s="40" t="str">
        <f ca="1">IFERROR(IF(AND(
  INDEX(Roadmap!$D:$K,MATCH($E189,Roadmap!$D:$D,0)+COUNTIF($E189:AE189,"u")+COUNTIF($E189:AE189,"t")+COUNTIF($E189:AE189,"¶")+COUNTIF($E189:AE189,"²")+COUNTIF($E189:AE189,"µ")+COUNTIF($E189:AE189,1),ColLivraison)=AF$6,
  VLOOKUP($E189,INDIRECT("tri!"&amp; CHAR(64+ C0Col) &amp;":"&amp; CHAR(65+C0Col)),2,FALSE)&gt;COUNTIF($E189:AE189,"u")+COUNTIF($E189:AE189,"t")+COUNTIF($E189:AE189,"¶")+COUNTIF($E189:AE189,"²")+COUNTIF($E189:AE189,"µ")+COUNTIF($E189:AE189,1)),
HYPERLINK("#Roadmap!C"&amp; MATCH($E189,Roadmap!$D:$D,0)+COUNTIF($E189:AE189,"u")+COUNTIF($E189:AE189,"t"),
     INDEX(Roadmap!$D:$K,MATCH($E189,Roadmap!$D:$D,0)+COUNTIF($E189:AE189,"u")+COUNTIF($E189:AE189,"t")+COUNTIF($E189:AE189,"¶")+COUNTIF($E189:AE189,"²")+COUNTIF($E189:AE189,"µ")+COUNTIF($E189:AE189,1),ColTypeEcheance)),
  IF(LEN(AE189)=1,
  IF(LEN(INDEX(Roadmap!$D:$K,MATCH($E189,Roadmap!$D:$D,0)-1+COUNTIF($E189:AE189,"u")+COUNTIF($E189:AE189,"t")+COUNTIF($E189:AE189,"¶")+COUNTIF($E189:AE189,"²")+COUNTIF($E189:AE189,"µ")+COUNTIF($E189:AE189,1),ColDescriptionCourte))&gt;1,
HYPERLINK("#Roadmap!C"&amp; MATCH($E189,Roadmap!$D:$D,0)+COUNTIF($E189:AE189,"u")+COUNTIF($E189:AE189,"t")+COUNTIF($E189:AE189,"¶")+COUNTIF($E189:AE189,"²")+COUNTIF($E189:AE189,"µ")+COUNTIF($E189:AE189,1)-1,INDEX(Roadmap!$D:$K,MATCH($E189,Roadmap!$D:$D,0)-1+COUNTIF($E189:AE189,"u")+COUNTIF($E189:AE189,"t")+COUNTIF($E189:AE189,"¶")+COUNTIF($E189:AE189,"²")+COUNTIF($E189:AE189,"µ")+COUNTIF($E189:AE189,1),ColDescriptionCourte)),""),
  "")),"")</f>
        <v/>
      </c>
      <c r="AG189" s="40" t="str">
        <f ca="1">IFERROR(IF(AND(
  INDEX(Roadmap!$D:$K,MATCH($E189,Roadmap!$D:$D,0)+COUNTIF($E189:AF189,"u")+COUNTIF($E189:AF189,"t")+COUNTIF($E189:AF189,"¶")+COUNTIF($E189:AF189,"²")+COUNTIF($E189:AF189,"µ")+COUNTIF($E189:AF189,1),ColLivraison)=AG$6,
  VLOOKUP($E189,INDIRECT("tri!"&amp; CHAR(64+ C0Col) &amp;":"&amp; CHAR(65+C0Col)),2,FALSE)&gt;COUNTIF($E189:AF189,"u")+COUNTIF($E189:AF189,"t")+COUNTIF($E189:AF189,"¶")+COUNTIF($E189:AF189,"²")+COUNTIF($E189:AF189,"µ")+COUNTIF($E189:AF189,1)),
HYPERLINK("#Roadmap!C"&amp; MATCH($E189,Roadmap!$D:$D,0)+COUNTIF($E189:AF189,"u")+COUNTIF($E189:AF189,"t"),
     INDEX(Roadmap!$D:$K,MATCH($E189,Roadmap!$D:$D,0)+COUNTIF($E189:AF189,"u")+COUNTIF($E189:AF189,"t")+COUNTIF($E189:AF189,"¶")+COUNTIF($E189:AF189,"²")+COUNTIF($E189:AF189,"µ")+COUNTIF($E189:AF189,1),ColTypeEcheance)),
  IF(LEN(AF189)=1,
  IF(LEN(INDEX(Roadmap!$D:$K,MATCH($E189,Roadmap!$D:$D,0)-1+COUNTIF($E189:AF189,"u")+COUNTIF($E189:AF189,"t")+COUNTIF($E189:AF189,"¶")+COUNTIF($E189:AF189,"²")+COUNTIF($E189:AF189,"µ")+COUNTIF($E189:AF189,1),ColDescriptionCourte))&gt;1,
HYPERLINK("#Roadmap!C"&amp; MATCH($E189,Roadmap!$D:$D,0)+COUNTIF($E189:AF189,"u")+COUNTIF($E189:AF189,"t")+COUNTIF($E189:AF189,"¶")+COUNTIF($E189:AF189,"²")+COUNTIF($E189:AF189,"µ")+COUNTIF($E189:AF189,1)-1,INDEX(Roadmap!$D:$K,MATCH($E189,Roadmap!$D:$D,0)-1+COUNTIF($E189:AF189,"u")+COUNTIF($E189:AF189,"t")+COUNTIF($E189:AF189,"¶")+COUNTIF($E189:AF189,"²")+COUNTIF($E189:AF189,"µ")+COUNTIF($E189:AF189,1),ColDescriptionCourte)),""),
  "")),"")</f>
        <v/>
      </c>
      <c r="AH189" s="40" t="str">
        <f ca="1">IFERROR(IF(AND(
  INDEX(Roadmap!$D:$K,MATCH($E189,Roadmap!$D:$D,0)+COUNTIF($E189:AG189,"u")+COUNTIF($E189:AG189,"t")+COUNTIF($E189:AG189,1),ColLivraison)=AH$6,
  VLOOKUP($E189,INDIRECT("tri!"&amp; CHAR(64+ C0Col) &amp;":"&amp; CHAR(65+C0Col)),2,FALSE)&gt;COUNTIF($E189:AG189,"u")+COUNTIF($E189:AG189,"t")+COUNTIF($E189:AG189,1)),
HYPERLINK("#Roadmap!C"&amp; MATCH($E189,Roadmap!$D:$D,0)+COUNTIF($E189:AG189,"u")+COUNTIF($E189:AG189,"t"),
     INDEX(Roadmap!$D:$K,MATCH($E189,Roadmap!$D:$D,0)+COUNTIF($E189:AG189,"u")+COUNTIF($E189:AG189,"t")+COUNTIF($E189:AG189,1),ColTypeEcheance)),
  IF(OR(AG189="u",AG189="t",AG189=1),
  IF(LEN(INDEX(Roadmap!$D:$K,MATCH($E189,Roadmap!$D:$D,0)-1+COUNTIF($E189:AG189,"u")+COUNTIF($E189:AG189,"t")+COUNTIF($E189:AG189,1),ColDescriptionCourte))&gt;1,
HYPERLINK("#Roadmap!C"&amp; MATCH($E189,Roadmap!$D:$D,0)+COUNTIF($E189:AG189,"u")+COUNTIF($E189:AG189,"t")+COUNTIF($E189:AG189,1)-1,INDEX(Roadmap!$D:$K,MATCH($E189,Roadmap!$D:$D,0)-1+COUNTIF($E189:AG189,"u")+COUNTIF($E189:AG189,"t")+COUNTIF($E189:AG189,1),ColDescriptionCourte)),""),
  "")),"")</f>
        <v/>
      </c>
      <c r="AI189" s="40"/>
      <c r="AJ189" s="40"/>
      <c r="AK189" s="40"/>
      <c r="AL189" s="40"/>
      <c r="AM189" s="40"/>
    </row>
    <row r="190" spans="4:39" ht="14.1" customHeight="1">
      <c r="D190" s="20" t="str">
        <f t="shared" ca="1" si="31"/>
        <v/>
      </c>
      <c r="E190" s="53" t="str">
        <f t="shared" ca="1" si="32"/>
        <v/>
      </c>
      <c r="F190" s="39" t="str">
        <f ca="1">IFERROR(IF(AND(
  INDEX(Roadmap!$D:$K,MATCH($E190,Roadmap!$D:$D,0)+COUNTIF($E190:E190,"u")+COUNTIF($E190:E190,"t")+COUNTIF($E190:E190,"¶")+COUNTIF($E190:E190,"²")+COUNTIF($E190:E190,"µ")+COUNTIF($E190:E190,1),ColLivraison)=F$6,
  VLOOKUP($E190,INDIRECT("tri!"&amp; CHAR(64+ C0Col) &amp;":"&amp; CHAR(65+C0Col)),2,FALSE)&gt;COUNTIF($E190:E190,"u")+COUNTIF($E190:E190,"t")+COUNTIF($E190:E190,"¶")+COUNTIF($E190:E190,"²")+COUNTIF($E190:E190,"µ")+COUNTIF($E190:E190,1)),
HYPERLINK("#Roadmap!C"&amp; MATCH($E190,Roadmap!$D:$D,0)+COUNTIF($E190:E190,"u")+COUNTIF($E190:E190,"t"),
     INDEX(Roadmap!$D:$K,MATCH($E190,Roadmap!$D:$D,0)+COUNTIF($E190:E190,"u")+COUNTIF($E190:E190,"t")+COUNTIF($E190:E190,"¶")+COUNTIF($E190:E190,"²")+COUNTIF($E190:E190,"µ")+COUNTIF($E190:E190,1),ColTypeEcheance)),
  IF(LEN(E190)=1,
  IF(LEN(INDEX(Roadmap!$D:$K,MATCH($E190,Roadmap!$D:$D,0)-1+COUNTIF($E190:E190,"u")+COUNTIF($E190:E190,"t")+COUNTIF($E190:E190,"¶")+COUNTIF($E190:E190,"²")+COUNTIF($E190:E190,"µ")+COUNTIF($E190:E190,1),ColDescriptionCourte))&gt;1,
HYPERLINK("#Roadmap!C"&amp; MATCH($E190,Roadmap!$D:$D,0)+COUNTIF($E190:E190,"u")+COUNTIF($E190:E190,"t")+COUNTIF($E190:E190,"¶")+COUNTIF($E190:E190,"²")+COUNTIF($E190:E190,"µ")+COUNTIF($E190:E190,1)-1,INDEX(Roadmap!$D:$K,MATCH($E190,Roadmap!$D:$D,0)-1+COUNTIF($E190:E190,"u")+COUNTIF($E190:E190,"t")+COUNTIF($E190:E190,"¶")+COUNTIF($E190:E190,"²")+COUNTIF($E190:E190,"µ")+COUNTIF($E190:E190,1),ColDescriptionCourte)),""),
  "")),"")</f>
        <v/>
      </c>
      <c r="G190" s="40" t="str">
        <f ca="1">IFERROR(IF(AND(
  INDEX(Roadmap!$D:$K,MATCH($E190,Roadmap!$D:$D,0)+COUNTIF($E190:F190,"u")+COUNTIF($E190:F190,"t")+COUNTIF($E190:F190,"¶")+COUNTIF($E190:F190,"²")+COUNTIF($E190:F190,"µ")+COUNTIF($E190:F190,1),ColLivraison)=G$6,
  VLOOKUP($E190,INDIRECT("tri!"&amp; CHAR(64+ C0Col) &amp;":"&amp; CHAR(65+C0Col)),2,FALSE)&gt;COUNTIF($E190:F190,"u")+COUNTIF($E190:F190,"t")+COUNTIF($E190:F190,"¶")+COUNTIF($E190:F190,"²")+COUNTIF($E190:F190,"µ")+COUNTIF($E190:F190,1)),
HYPERLINK("#Roadmap!C"&amp; MATCH($E190,Roadmap!$D:$D,0)+COUNTIF($E190:F190,"u")+COUNTIF($E190:F190,"t"),
     INDEX(Roadmap!$D:$K,MATCH($E190,Roadmap!$D:$D,0)+COUNTIF($E190:F190,"u")+COUNTIF($E190:F190,"t")+COUNTIF($E190:F190,"¶")+COUNTIF($E190:F190,"²")+COUNTIF($E190:F190,"µ")+COUNTIF($E190:F190,1),ColTypeEcheance)),
  IF(LEN(F190)=1,
  IF(LEN(INDEX(Roadmap!$D:$K,MATCH($E190,Roadmap!$D:$D,0)-1+COUNTIF($E190:F190,"u")+COUNTIF($E190:F190,"t")+COUNTIF($E190:F190,"¶")+COUNTIF($E190:F190,"²")+COUNTIF($E190:F190,"µ")+COUNTIF($E190:F190,1),ColDescriptionCourte))&gt;1,
HYPERLINK("#Roadmap!C"&amp; MATCH($E190,Roadmap!$D:$D,0)+COUNTIF($E190:F190,"u")+COUNTIF($E190:F190,"t")+COUNTIF($E190:F190,"¶")+COUNTIF($E190:F190,"²")+COUNTIF($E190:F190,"µ")+COUNTIF($E190:F190,1)-1,INDEX(Roadmap!$D:$K,MATCH($E190,Roadmap!$D:$D,0)-1+COUNTIF($E190:F190,"u")+COUNTIF($E190:F190,"t")+COUNTIF($E190:F190,"¶")+COUNTIF($E190:F190,"²")+COUNTIF($E190:F190,"µ")+COUNTIF($E190:F190,1),ColDescriptionCourte)),""),
  "")),"")</f>
        <v/>
      </c>
      <c r="H190" s="40" t="str">
        <f ca="1">IFERROR(IF(AND(
  INDEX(Roadmap!$D:$K,MATCH($E190,Roadmap!$D:$D,0)+COUNTIF($E190:G190,"u")+COUNTIF($E190:G190,"t")+COUNTIF($E190:G190,"¶")+COUNTIF($E190:G190,"²")+COUNTIF($E190:G190,"µ")+COUNTIF($E190:G190,1),ColLivraison)=H$6,
  VLOOKUP($E190,INDIRECT("tri!"&amp; CHAR(64+ C0Col) &amp;":"&amp; CHAR(65+C0Col)),2,FALSE)&gt;COUNTIF($E190:G190,"u")+COUNTIF($E190:G190,"t")+COUNTIF($E190:G190,"¶")+COUNTIF($E190:G190,"²")+COUNTIF($E190:G190,"µ")+COUNTIF($E190:G190,1)),
HYPERLINK("#Roadmap!C"&amp; MATCH($E190,Roadmap!$D:$D,0)+COUNTIF($E190:G190,"u")+COUNTIF($E190:G190,"t"),
     INDEX(Roadmap!$D:$K,MATCH($E190,Roadmap!$D:$D,0)+COUNTIF($E190:G190,"u")+COUNTIF($E190:G190,"t")+COUNTIF($E190:G190,"¶")+COUNTIF($E190:G190,"²")+COUNTIF($E190:G190,"µ")+COUNTIF($E190:G190,1),ColTypeEcheance)),
  IF(LEN(G190)=1,
  IF(LEN(INDEX(Roadmap!$D:$K,MATCH($E190,Roadmap!$D:$D,0)-1+COUNTIF($E190:G190,"u")+COUNTIF($E190:G190,"t")+COUNTIF($E190:G190,"¶")+COUNTIF($E190:G190,"²")+COUNTIF($E190:G190,"µ")+COUNTIF($E190:G190,1),ColDescriptionCourte))&gt;1,
HYPERLINK("#Roadmap!C"&amp; MATCH($E190,Roadmap!$D:$D,0)+COUNTIF($E190:G190,"u")+COUNTIF($E190:G190,"t")+COUNTIF($E190:G190,"¶")+COUNTIF($E190:G190,"²")+COUNTIF($E190:G190,"µ")+COUNTIF($E190:G190,1)-1,INDEX(Roadmap!$D:$K,MATCH($E190,Roadmap!$D:$D,0)-1+COUNTIF($E190:G190,"u")+COUNTIF($E190:G190,"t")+COUNTIF($E190:G190,"¶")+COUNTIF($E190:G190,"²")+COUNTIF($E190:G190,"µ")+COUNTIF($E190:G190,1),ColDescriptionCourte)),""),
  "")),"")</f>
        <v/>
      </c>
      <c r="I190" s="40" t="str">
        <f ca="1">IFERROR(IF(AND(
  INDEX(Roadmap!$D:$K,MATCH($E190,Roadmap!$D:$D,0)+COUNTIF($E190:H190,"u")+COUNTIF($E190:H190,"t")+COUNTIF($E190:H190,"¶")+COUNTIF($E190:H190,"²")+COUNTIF($E190:H190,"µ")+COUNTIF($E190:H190,1),ColLivraison)=I$6,
  VLOOKUP($E190,INDIRECT("tri!"&amp; CHAR(64+ C0Col) &amp;":"&amp; CHAR(65+C0Col)),2,FALSE)&gt;COUNTIF($E190:H190,"u")+COUNTIF($E190:H190,"t")+COUNTIF($E190:H190,"¶")+COUNTIF($E190:H190,"²")+COUNTIF($E190:H190,"µ")+COUNTIF($E190:H190,1)),
HYPERLINK("#Roadmap!C"&amp; MATCH($E190,Roadmap!$D:$D,0)+COUNTIF($E190:H190,"u")+COUNTIF($E190:H190,"t"),
     INDEX(Roadmap!$D:$K,MATCH($E190,Roadmap!$D:$D,0)+COUNTIF($E190:H190,"u")+COUNTIF($E190:H190,"t")+COUNTIF($E190:H190,"¶")+COUNTIF($E190:H190,"²")+COUNTIF($E190:H190,"µ")+COUNTIF($E190:H190,1),ColTypeEcheance)),
  IF(LEN(H190)=1,
  IF(LEN(INDEX(Roadmap!$D:$K,MATCH($E190,Roadmap!$D:$D,0)-1+COUNTIF($E190:H190,"u")+COUNTIF($E190:H190,"t")+COUNTIF($E190:H190,"¶")+COUNTIF($E190:H190,"²")+COUNTIF($E190:H190,"µ")+COUNTIF($E190:H190,1),ColDescriptionCourte))&gt;1,
HYPERLINK("#Roadmap!C"&amp; MATCH($E190,Roadmap!$D:$D,0)+COUNTIF($E190:H190,"u")+COUNTIF($E190:H190,"t")+COUNTIF($E190:H190,"¶")+COUNTIF($E190:H190,"²")+COUNTIF($E190:H190,"µ")+COUNTIF($E190:H190,1)-1,INDEX(Roadmap!$D:$K,MATCH($E190,Roadmap!$D:$D,0)-1+COUNTIF($E190:H190,"u")+COUNTIF($E190:H190,"t")+COUNTIF($E190:H190,"¶")+COUNTIF($E190:H190,"²")+COUNTIF($E190:H190,"µ")+COUNTIF($E190:H190,1),ColDescriptionCourte)),""),
  "")),"")</f>
        <v/>
      </c>
      <c r="J190" s="40" t="str">
        <f ca="1">IFERROR(IF(AND(
  INDEX(Roadmap!$D:$K,MATCH($E190,Roadmap!$D:$D,0)+COUNTIF($E190:I190,"u")+COUNTIF($E190:I190,"t")+COUNTIF($E190:I190,"¶")+COUNTIF($E190:I190,"²")+COUNTIF($E190:I190,"µ")+COUNTIF($E190:I190,1),ColLivraison)=J$6,
  VLOOKUP($E190,INDIRECT("tri!"&amp; CHAR(64+ C0Col) &amp;":"&amp; CHAR(65+C0Col)),2,FALSE)&gt;COUNTIF($E190:I190,"u")+COUNTIF($E190:I190,"t")+COUNTIF($E190:I190,"¶")+COUNTIF($E190:I190,"²")+COUNTIF($E190:I190,"µ")+COUNTIF($E190:I190,1)),
HYPERLINK("#Roadmap!C"&amp; MATCH($E190,Roadmap!$D:$D,0)+COUNTIF($E190:I190,"u")+COUNTIF($E190:I190,"t"),
     INDEX(Roadmap!$D:$K,MATCH($E190,Roadmap!$D:$D,0)+COUNTIF($E190:I190,"u")+COUNTIF($E190:I190,"t")+COUNTIF($E190:I190,"¶")+COUNTIF($E190:I190,"²")+COUNTIF($E190:I190,"µ")+COUNTIF($E190:I190,1),ColTypeEcheance)),
  IF(LEN(I190)=1,
  IF(LEN(INDEX(Roadmap!$D:$K,MATCH($E190,Roadmap!$D:$D,0)-1+COUNTIF($E190:I190,"u")+COUNTIF($E190:I190,"t")+COUNTIF($E190:I190,"¶")+COUNTIF($E190:I190,"²")+COUNTIF($E190:I190,"µ")+COUNTIF($E190:I190,1),ColDescriptionCourte))&gt;1,
HYPERLINK("#Roadmap!C"&amp; MATCH($E190,Roadmap!$D:$D,0)+COUNTIF($E190:I190,"u")+COUNTIF($E190:I190,"t")+COUNTIF($E190:I190,"¶")+COUNTIF($E190:I190,"²")+COUNTIF($E190:I190,"µ")+COUNTIF($E190:I190,1)-1,INDEX(Roadmap!$D:$K,MATCH($E190,Roadmap!$D:$D,0)-1+COUNTIF($E190:I190,"u")+COUNTIF($E190:I190,"t")+COUNTIF($E190:I190,"¶")+COUNTIF($E190:I190,"²")+COUNTIF($E190:I190,"µ")+COUNTIF($E190:I190,1),ColDescriptionCourte)),""),
  "")),"")</f>
        <v/>
      </c>
      <c r="K190" s="40" t="str">
        <f ca="1">IFERROR(IF(AND(
  INDEX(Roadmap!$D:$K,MATCH($E190,Roadmap!$D:$D,0)+COUNTIF($E190:J190,"u")+COUNTIF($E190:J190,"t")+COUNTIF($E190:J190,"¶")+COUNTIF($E190:J190,"²")+COUNTIF($E190:J190,"µ")+COUNTIF($E190:J190,1),ColLivraison)=K$6,
  VLOOKUP($E190,INDIRECT("tri!"&amp; CHAR(64+ C0Col) &amp;":"&amp; CHAR(65+C0Col)),2,FALSE)&gt;COUNTIF($E190:J190,"u")+COUNTIF($E190:J190,"t")+COUNTIF($E190:J190,"¶")+COUNTIF($E190:J190,"²")+COUNTIF($E190:J190,"µ")+COUNTIF($E190:J190,1)),
HYPERLINK("#Roadmap!C"&amp; MATCH($E190,Roadmap!$D:$D,0)+COUNTIF($E190:J190,"u")+COUNTIF($E190:J190,"t"),
     INDEX(Roadmap!$D:$K,MATCH($E190,Roadmap!$D:$D,0)+COUNTIF($E190:J190,"u")+COUNTIF($E190:J190,"t")+COUNTIF($E190:J190,"¶")+COUNTIF($E190:J190,"²")+COUNTIF($E190:J190,"µ")+COUNTIF($E190:J190,1),ColTypeEcheance)),
  IF(LEN(J190)=1,
  IF(LEN(INDEX(Roadmap!$D:$K,MATCH($E190,Roadmap!$D:$D,0)-1+COUNTIF($E190:J190,"u")+COUNTIF($E190:J190,"t")+COUNTIF($E190:J190,"¶")+COUNTIF($E190:J190,"²")+COUNTIF($E190:J190,"µ")+COUNTIF($E190:J190,1),ColDescriptionCourte))&gt;1,
HYPERLINK("#Roadmap!C"&amp; MATCH($E190,Roadmap!$D:$D,0)+COUNTIF($E190:J190,"u")+COUNTIF($E190:J190,"t")+COUNTIF($E190:J190,"¶")+COUNTIF($E190:J190,"²")+COUNTIF($E190:J190,"µ")+COUNTIF($E190:J190,1)-1,INDEX(Roadmap!$D:$K,MATCH($E190,Roadmap!$D:$D,0)-1+COUNTIF($E190:J190,"u")+COUNTIF($E190:J190,"t")+COUNTIF($E190:J190,"¶")+COUNTIF($E190:J190,"²")+COUNTIF($E190:J190,"µ")+COUNTIF($E190:J190,1),ColDescriptionCourte)),""),
  "")),"")</f>
        <v/>
      </c>
      <c r="L190" s="39" t="str">
        <f ca="1">IFERROR(IF(AND(
  INDEX(Roadmap!$D:$K,MATCH($E190,Roadmap!$D:$D,0)+COUNTIF($E190:K190,"u")+COUNTIF($E190:K190,"t")+COUNTIF($E190:K190,"¶")+COUNTIF($E190:K190,"²")+COUNTIF($E190:K190,"µ")+COUNTIF($E190:K190,1),ColLivraison)=L$6,
  VLOOKUP($E190,INDIRECT("tri!"&amp; CHAR(64+ C0Col) &amp;":"&amp; CHAR(65+C0Col)),2,FALSE)&gt;COUNTIF($E190:K190,"u")+COUNTIF($E190:K190,"t")+COUNTIF($E190:K190,"¶")+COUNTIF($E190:K190,"²")+COUNTIF($E190:K190,"µ")+COUNTIF($E190:K190,1)),
HYPERLINK("#Roadmap!C"&amp; MATCH($E190,Roadmap!$D:$D,0)+COUNTIF($E190:K190,"u")+COUNTIF($E190:K190,"t"),
     INDEX(Roadmap!$D:$K,MATCH($E190,Roadmap!$D:$D,0)+COUNTIF($E190:K190,"u")+COUNTIF($E190:K190,"t")+COUNTIF($E190:K190,"¶")+COUNTIF($E190:K190,"²")+COUNTIF($E190:K190,"µ")+COUNTIF($E190:K190,1),ColTypeEcheance)),
  IF(LEN(K190)=1,
  IF(LEN(INDEX(Roadmap!$D:$K,MATCH($E190,Roadmap!$D:$D,0)-1+COUNTIF($E190:K190,"u")+COUNTIF($E190:K190,"t")+COUNTIF($E190:K190,"¶")+COUNTIF($E190:K190,"²")+COUNTIF($E190:K190,"µ")+COUNTIF($E190:K190,1),ColDescriptionCourte))&gt;1,
HYPERLINK("#Roadmap!C"&amp; MATCH($E190,Roadmap!$D:$D,0)+COUNTIF($E190:K190,"u")+COUNTIF($E190:K190,"t")+COUNTIF($E190:K190,"¶")+COUNTIF($E190:K190,"²")+COUNTIF($E190:K190,"µ")+COUNTIF($E190:K190,1)-1,INDEX(Roadmap!$D:$K,MATCH($E190,Roadmap!$D:$D,0)-1+COUNTIF($E190:K190,"u")+COUNTIF($E190:K190,"t")+COUNTIF($E190:K190,"¶")+COUNTIF($E190:K190,"²")+COUNTIF($E190:K190,"µ")+COUNTIF($E190:K190,1),ColDescriptionCourte)),""),
  "")),"")</f>
        <v/>
      </c>
      <c r="M190" s="40" t="str">
        <f ca="1">IFERROR(IF(AND(
  INDEX(Roadmap!$D:$K,MATCH($E190,Roadmap!$D:$D,0)+COUNTIF($E190:L190,"u")+COUNTIF($E190:L190,"t")+COUNTIF($E190:L190,"¶")+COUNTIF($E190:L190,"²")+COUNTIF($E190:L190,"µ")+COUNTIF($E190:L190,1),ColLivraison)=M$6,
  VLOOKUP($E190,INDIRECT("tri!"&amp; CHAR(64+ C0Col) &amp;":"&amp; CHAR(65+C0Col)),2,FALSE)&gt;COUNTIF($E190:L190,"u")+COUNTIF($E190:L190,"t")+COUNTIF($E190:L190,"¶")+COUNTIF($E190:L190,"²")+COUNTIF($E190:L190,"µ")+COUNTIF($E190:L190,1)),
HYPERLINK("#Roadmap!C"&amp; MATCH($E190,Roadmap!$D:$D,0)+COUNTIF($E190:L190,"u")+COUNTIF($E190:L190,"t"),
     INDEX(Roadmap!$D:$K,MATCH($E190,Roadmap!$D:$D,0)+COUNTIF($E190:L190,"u")+COUNTIF($E190:L190,"t")+COUNTIF($E190:L190,"¶")+COUNTIF($E190:L190,"²")+COUNTIF($E190:L190,"µ")+COUNTIF($E190:L190,1),ColTypeEcheance)),
  IF(LEN(L190)=1,
  IF(LEN(INDEX(Roadmap!$D:$K,MATCH($E190,Roadmap!$D:$D,0)-1+COUNTIF($E190:L190,"u")+COUNTIF($E190:L190,"t")+COUNTIF($E190:L190,"¶")+COUNTIF($E190:L190,"²")+COUNTIF($E190:L190,"µ")+COUNTIF($E190:L190,1),ColDescriptionCourte))&gt;1,
HYPERLINK("#Roadmap!C"&amp; MATCH($E190,Roadmap!$D:$D,0)+COUNTIF($E190:L190,"u")+COUNTIF($E190:L190,"t")+COUNTIF($E190:L190,"¶")+COUNTIF($E190:L190,"²")+COUNTIF($E190:L190,"µ")+COUNTIF($E190:L190,1)-1,INDEX(Roadmap!$D:$K,MATCH($E190,Roadmap!$D:$D,0)-1+COUNTIF($E190:L190,"u")+COUNTIF($E190:L190,"t")+COUNTIF($E190:L190,"¶")+COUNTIF($E190:L190,"²")+COUNTIF($E190:L190,"µ")+COUNTIF($E190:L190,1),ColDescriptionCourte)),""),
  "")),"")</f>
        <v/>
      </c>
      <c r="N190" s="40" t="str">
        <f ca="1">IFERROR(IF(AND(
  INDEX(Roadmap!$D:$K,MATCH($E190,Roadmap!$D:$D,0)+COUNTIF($E190:M190,"u")+COUNTIF($E190:M190,"t")+COUNTIF($E190:M190,"¶")+COUNTIF($E190:M190,"²")+COUNTIF($E190:M190,"µ")+COUNTIF($E190:M190,1),ColLivraison)=N$6,
  VLOOKUP($E190,INDIRECT("tri!"&amp; CHAR(64+ C0Col) &amp;":"&amp; CHAR(65+C0Col)),2,FALSE)&gt;COUNTIF($E190:M190,"u")+COUNTIF($E190:M190,"t")+COUNTIF($E190:M190,"¶")+COUNTIF($E190:M190,"²")+COUNTIF($E190:M190,"µ")+COUNTIF($E190:M190,1)),
HYPERLINK("#Roadmap!C"&amp; MATCH($E190,Roadmap!$D:$D,0)+COUNTIF($E190:M190,"u")+COUNTIF($E190:M190,"t"),
     INDEX(Roadmap!$D:$K,MATCH($E190,Roadmap!$D:$D,0)+COUNTIF($E190:M190,"u")+COUNTIF($E190:M190,"t")+COUNTIF($E190:M190,"¶")+COUNTIF($E190:M190,"²")+COUNTIF($E190:M190,"µ")+COUNTIF($E190:M190,1),ColTypeEcheance)),
  IF(LEN(M190)=1,
  IF(LEN(INDEX(Roadmap!$D:$K,MATCH($E190,Roadmap!$D:$D,0)-1+COUNTIF($E190:M190,"u")+COUNTIF($E190:M190,"t")+COUNTIF($E190:M190,"¶")+COUNTIF($E190:M190,"²")+COUNTIF($E190:M190,"µ")+COUNTIF($E190:M190,1),ColDescriptionCourte))&gt;1,
HYPERLINK("#Roadmap!C"&amp; MATCH($E190,Roadmap!$D:$D,0)+COUNTIF($E190:M190,"u")+COUNTIF($E190:M190,"t")+COUNTIF($E190:M190,"¶")+COUNTIF($E190:M190,"²")+COUNTIF($E190:M190,"µ")+COUNTIF($E190:M190,1)-1,INDEX(Roadmap!$D:$K,MATCH($E190,Roadmap!$D:$D,0)-1+COUNTIF($E190:M190,"u")+COUNTIF($E190:M190,"t")+COUNTIF($E190:M190,"¶")+COUNTIF($E190:M190,"²")+COUNTIF($E190:M190,"µ")+COUNTIF($E190:M190,1),ColDescriptionCourte)),""),
  "")),"")</f>
        <v/>
      </c>
      <c r="O190" s="40" t="str">
        <f ca="1">IFERROR(IF(AND(
  INDEX(Roadmap!$D:$K,MATCH($E190,Roadmap!$D:$D,0)+COUNTIF($E190:N190,"u")+COUNTIF($E190:N190,"t")+COUNTIF($E190:N190,"¶")+COUNTIF($E190:N190,"²")+COUNTIF($E190:N190,"µ")+COUNTIF($E190:N190,1),ColLivraison)=O$6,
  VLOOKUP($E190,INDIRECT("tri!"&amp; CHAR(64+ C0Col) &amp;":"&amp; CHAR(65+C0Col)),2,FALSE)&gt;COUNTIF($E190:N190,"u")+COUNTIF($E190:N190,"t")+COUNTIF($E190:N190,"¶")+COUNTIF($E190:N190,"²")+COUNTIF($E190:N190,"µ")+COUNTIF($E190:N190,1)),
HYPERLINK("#Roadmap!C"&amp; MATCH($E190,Roadmap!$D:$D,0)+COUNTIF($E190:N190,"u")+COUNTIF($E190:N190,"t"),
     INDEX(Roadmap!$D:$K,MATCH($E190,Roadmap!$D:$D,0)+COUNTIF($E190:N190,"u")+COUNTIF($E190:N190,"t")+COUNTIF($E190:N190,"¶")+COUNTIF($E190:N190,"²")+COUNTIF($E190:N190,"µ")+COUNTIF($E190:N190,1),ColTypeEcheance)),
  IF(LEN(N190)=1,
  IF(LEN(INDEX(Roadmap!$D:$K,MATCH($E190,Roadmap!$D:$D,0)-1+COUNTIF($E190:N190,"u")+COUNTIF($E190:N190,"t")+COUNTIF($E190:N190,"¶")+COUNTIF($E190:N190,"²")+COUNTIF($E190:N190,"µ")+COUNTIF($E190:N190,1),ColDescriptionCourte))&gt;1,
HYPERLINK("#Roadmap!C"&amp; MATCH($E190,Roadmap!$D:$D,0)+COUNTIF($E190:N190,"u")+COUNTIF($E190:N190,"t")+COUNTIF($E190:N190,"¶")+COUNTIF($E190:N190,"²")+COUNTIF($E190:N190,"µ")+COUNTIF($E190:N190,1)-1,INDEX(Roadmap!$D:$K,MATCH($E190,Roadmap!$D:$D,0)-1+COUNTIF($E190:N190,"u")+COUNTIF($E190:N190,"t")+COUNTIF($E190:N190,"¶")+COUNTIF($E190:N190,"²")+COUNTIF($E190:N190,"µ")+COUNTIF($E190:N190,1),ColDescriptionCourte)),""),
  "")),"")</f>
        <v/>
      </c>
      <c r="P190" s="40" t="str">
        <f ca="1">IFERROR(IF(AND(
  INDEX(Roadmap!$D:$K,MATCH($E190,Roadmap!$D:$D,0)+COUNTIF($E190:O190,"u")+COUNTIF($E190:O190,"t")+COUNTIF($E190:O190,"¶")+COUNTIF($E190:O190,"²")+COUNTIF($E190:O190,"µ")+COUNTIF($E190:O190,1),ColLivraison)=P$6,
  VLOOKUP($E190,INDIRECT("tri!"&amp; CHAR(64+ C0Col) &amp;":"&amp; CHAR(65+C0Col)),2,FALSE)&gt;COUNTIF($E190:O190,"u")+COUNTIF($E190:O190,"t")+COUNTIF($E190:O190,"¶")+COUNTIF($E190:O190,"²")+COUNTIF($E190:O190,"µ")+COUNTIF($E190:O190,1)),
HYPERLINK("#Roadmap!C"&amp; MATCH($E190,Roadmap!$D:$D,0)+COUNTIF($E190:O190,"u")+COUNTIF($E190:O190,"t"),
     INDEX(Roadmap!$D:$K,MATCH($E190,Roadmap!$D:$D,0)+COUNTIF($E190:O190,"u")+COUNTIF($E190:O190,"t")+COUNTIF($E190:O190,"¶")+COUNTIF($E190:O190,"²")+COUNTIF($E190:O190,"µ")+COUNTIF($E190:O190,1),ColTypeEcheance)),
  IF(LEN(O190)=1,
  IF(LEN(INDEX(Roadmap!$D:$K,MATCH($E190,Roadmap!$D:$D,0)-1+COUNTIF($E190:O190,"u")+COUNTIF($E190:O190,"t")+COUNTIF($E190:O190,"¶")+COUNTIF($E190:O190,"²")+COUNTIF($E190:O190,"µ")+COUNTIF($E190:O190,1),ColDescriptionCourte))&gt;1,
HYPERLINK("#Roadmap!C"&amp; MATCH($E190,Roadmap!$D:$D,0)+COUNTIF($E190:O190,"u")+COUNTIF($E190:O190,"t")+COUNTIF($E190:O190,"¶")+COUNTIF($E190:O190,"²")+COUNTIF($E190:O190,"µ")+COUNTIF($E190:O190,1)-1,INDEX(Roadmap!$D:$K,MATCH($E190,Roadmap!$D:$D,0)-1+COUNTIF($E190:O190,"u")+COUNTIF($E190:O190,"t")+COUNTIF($E190:O190,"¶")+COUNTIF($E190:O190,"²")+COUNTIF($E190:O190,"µ")+COUNTIF($E190:O190,1),ColDescriptionCourte)),""),
  "")),"")</f>
        <v/>
      </c>
      <c r="Q190" s="40" t="str">
        <f ca="1">IFERROR(IF(AND(
  INDEX(Roadmap!$D:$K,MATCH($E190,Roadmap!$D:$D,0)+COUNTIF($E190:P190,"u")+COUNTIF($E190:P190,"t")+COUNTIF($E190:P190,"¶")+COUNTIF($E190:P190,"²")+COUNTIF($E190:P190,"µ")+COUNTIF($E190:P190,1),ColLivraison)=Q$6,
  VLOOKUP($E190,INDIRECT("tri!"&amp; CHAR(64+ C0Col) &amp;":"&amp; CHAR(65+C0Col)),2,FALSE)&gt;COUNTIF($E190:P190,"u")+COUNTIF($E190:P190,"t")+COUNTIF($E190:P190,"¶")+COUNTIF($E190:P190,"²")+COUNTIF($E190:P190,"µ")+COUNTIF($E190:P190,1)),
HYPERLINK("#Roadmap!C"&amp; MATCH($E190,Roadmap!$D:$D,0)+COUNTIF($E190:P190,"u")+COUNTIF($E190:P190,"t"),
     INDEX(Roadmap!$D:$K,MATCH($E190,Roadmap!$D:$D,0)+COUNTIF($E190:P190,"u")+COUNTIF($E190:P190,"t")+COUNTIF($E190:P190,"¶")+COUNTIF($E190:P190,"²")+COUNTIF($E190:P190,"µ")+COUNTIF($E190:P190,1),ColTypeEcheance)),
  IF(LEN(P190)=1,
  IF(LEN(INDEX(Roadmap!$D:$K,MATCH($E190,Roadmap!$D:$D,0)-1+COUNTIF($E190:P190,"u")+COUNTIF($E190:P190,"t")+COUNTIF($E190:P190,"¶")+COUNTIF($E190:P190,"²")+COUNTIF($E190:P190,"µ")+COUNTIF($E190:P190,1),ColDescriptionCourte))&gt;1,
HYPERLINK("#Roadmap!C"&amp; MATCH($E190,Roadmap!$D:$D,0)+COUNTIF($E190:P190,"u")+COUNTIF($E190:P190,"t")+COUNTIF($E190:P190,"¶")+COUNTIF($E190:P190,"²")+COUNTIF($E190:P190,"µ")+COUNTIF($E190:P190,1)-1,INDEX(Roadmap!$D:$K,MATCH($E190,Roadmap!$D:$D,0)-1+COUNTIF($E190:P190,"u")+COUNTIF($E190:P190,"t")+COUNTIF($E190:P190,"¶")+COUNTIF($E190:P190,"²")+COUNTIF($E190:P190,"µ")+COUNTIF($E190:P190,1),ColDescriptionCourte)),""),
  "")),"")</f>
        <v/>
      </c>
      <c r="R190" s="40" t="str">
        <f ca="1">IFERROR(IF(AND(
  INDEX(Roadmap!$D:$K,MATCH($E190,Roadmap!$D:$D,0)+COUNTIF($E190:Q190,"u")+COUNTIF($E190:Q190,"t")+COUNTIF($E190:Q190,"¶")+COUNTIF($E190:Q190,"²")+COUNTIF($E190:Q190,"µ")+COUNTIF($E190:Q190,1),ColLivraison)=R$6,
  VLOOKUP($E190,INDIRECT("tri!"&amp; CHAR(64+ C0Col) &amp;":"&amp; CHAR(65+C0Col)),2,FALSE)&gt;COUNTIF($E190:Q190,"u")+COUNTIF($E190:Q190,"t")+COUNTIF($E190:Q190,"¶")+COUNTIF($E190:Q190,"²")+COUNTIF($E190:Q190,"µ")+COUNTIF($E190:Q190,1)),
HYPERLINK("#Roadmap!C"&amp; MATCH($E190,Roadmap!$D:$D,0)+COUNTIF($E190:Q190,"u")+COUNTIF($E190:Q190,"t"),
     INDEX(Roadmap!$D:$K,MATCH($E190,Roadmap!$D:$D,0)+COUNTIF($E190:Q190,"u")+COUNTIF($E190:Q190,"t")+COUNTIF($E190:Q190,"¶")+COUNTIF($E190:Q190,"²")+COUNTIF($E190:Q190,"µ")+COUNTIF($E190:Q190,1),ColTypeEcheance)),
  IF(LEN(Q190)=1,
  IF(LEN(INDEX(Roadmap!$D:$K,MATCH($E190,Roadmap!$D:$D,0)-1+COUNTIF($E190:Q190,"u")+COUNTIF($E190:Q190,"t")+COUNTIF($E190:Q190,"¶")+COUNTIF($E190:Q190,"²")+COUNTIF($E190:Q190,"µ")+COUNTIF($E190:Q190,1),ColDescriptionCourte))&gt;1,
HYPERLINK("#Roadmap!C"&amp; MATCH($E190,Roadmap!$D:$D,0)+COUNTIF($E190:Q190,"u")+COUNTIF($E190:Q190,"t")+COUNTIF($E190:Q190,"¶")+COUNTIF($E190:Q190,"²")+COUNTIF($E190:Q190,"µ")+COUNTIF($E190:Q190,1)-1,INDEX(Roadmap!$D:$K,MATCH($E190,Roadmap!$D:$D,0)-1+COUNTIF($E190:Q190,"u")+COUNTIF($E190:Q190,"t")+COUNTIF($E190:Q190,"¶")+COUNTIF($E190:Q190,"²")+COUNTIF($E190:Q190,"µ")+COUNTIF($E190:Q190,1),ColDescriptionCourte)),""),
  "")),"")</f>
        <v/>
      </c>
      <c r="S190" s="40" t="str">
        <f ca="1">IFERROR(IF(AND(
  INDEX(Roadmap!$D:$K,MATCH($E190,Roadmap!$D:$D,0)+COUNTIF($E190:R190,"u")+COUNTIF($E190:R190,"t")+COUNTIF($E190:R190,"¶")+COUNTIF($E190:R190,"²")+COUNTIF($E190:R190,"µ")+COUNTIF($E190:R190,1),ColLivraison)=S$6,
  VLOOKUP($E190,INDIRECT("tri!"&amp; CHAR(64+ C0Col) &amp;":"&amp; CHAR(65+C0Col)),2,FALSE)&gt;COUNTIF($E190:R190,"u")+COUNTIF($E190:R190,"t")+COUNTIF($E190:R190,"¶")+COUNTIF($E190:R190,"²")+COUNTIF($E190:R190,"µ")+COUNTIF($E190:R190,1)),
HYPERLINK("#Roadmap!C"&amp; MATCH($E190,Roadmap!$D:$D,0)+COUNTIF($E190:R190,"u")+COUNTIF($E190:R190,"t"),
     INDEX(Roadmap!$D:$K,MATCH($E190,Roadmap!$D:$D,0)+COUNTIF($E190:R190,"u")+COUNTIF($E190:R190,"t")+COUNTIF($E190:R190,"¶")+COUNTIF($E190:R190,"²")+COUNTIF($E190:R190,"µ")+COUNTIF($E190:R190,1),ColTypeEcheance)),
  IF(LEN(R190)=1,
  IF(LEN(INDEX(Roadmap!$D:$K,MATCH($E190,Roadmap!$D:$D,0)-1+COUNTIF($E190:R190,"u")+COUNTIF($E190:R190,"t")+COUNTIF($E190:R190,"¶")+COUNTIF($E190:R190,"²")+COUNTIF($E190:R190,"µ")+COUNTIF($E190:R190,1),ColDescriptionCourte))&gt;1,
HYPERLINK("#Roadmap!C"&amp; MATCH($E190,Roadmap!$D:$D,0)+COUNTIF($E190:R190,"u")+COUNTIF($E190:R190,"t")+COUNTIF($E190:R190,"¶")+COUNTIF($E190:R190,"²")+COUNTIF($E190:R190,"µ")+COUNTIF($E190:R190,1)-1,INDEX(Roadmap!$D:$K,MATCH($E190,Roadmap!$D:$D,0)-1+COUNTIF($E190:R190,"u")+COUNTIF($E190:R190,"t")+COUNTIF($E190:R190,"¶")+COUNTIF($E190:R190,"²")+COUNTIF($E190:R190,"µ")+COUNTIF($E190:R190,1),ColDescriptionCourte)),""),
  "")),"")</f>
        <v/>
      </c>
      <c r="T190" s="40" t="str">
        <f ca="1">IFERROR(IF(AND(
  INDEX(Roadmap!$D:$K,MATCH($E190,Roadmap!$D:$D,0)+COUNTIF($E190:S190,"u")+COUNTIF($E190:S190,"t")+COUNTIF($E190:S190,"¶")+COUNTIF($E190:S190,"²")+COUNTIF($E190:S190,"µ")+COUNTIF($E190:S190,1),ColLivraison)=T$6,
  VLOOKUP($E190,INDIRECT("tri!"&amp; CHAR(64+ C0Col) &amp;":"&amp; CHAR(65+C0Col)),2,FALSE)&gt;COUNTIF($E190:S190,"u")+COUNTIF($E190:S190,"t")+COUNTIF($E190:S190,"¶")+COUNTIF($E190:S190,"²")+COUNTIF($E190:S190,"µ")+COUNTIF($E190:S190,1)),
HYPERLINK("#Roadmap!C"&amp; MATCH($E190,Roadmap!$D:$D,0)+COUNTIF($E190:S190,"u")+COUNTIF($E190:S190,"t"),
     INDEX(Roadmap!$D:$K,MATCH($E190,Roadmap!$D:$D,0)+COUNTIF($E190:S190,"u")+COUNTIF($E190:S190,"t")+COUNTIF($E190:S190,"¶")+COUNTIF($E190:S190,"²")+COUNTIF($E190:S190,"µ")+COUNTIF($E190:S190,1),ColTypeEcheance)),
  IF(LEN(S190)=1,
  IF(LEN(INDEX(Roadmap!$D:$K,MATCH($E190,Roadmap!$D:$D,0)-1+COUNTIF($E190:S190,"u")+COUNTIF($E190:S190,"t")+COUNTIF($E190:S190,"¶")+COUNTIF($E190:S190,"²")+COUNTIF($E190:S190,"µ")+COUNTIF($E190:S190,1),ColDescriptionCourte))&gt;1,
HYPERLINK("#Roadmap!C"&amp; MATCH($E190,Roadmap!$D:$D,0)+COUNTIF($E190:S190,"u")+COUNTIF($E190:S190,"t")+COUNTIF($E190:S190,"¶")+COUNTIF($E190:S190,"²")+COUNTIF($E190:S190,"µ")+COUNTIF($E190:S190,1)-1,INDEX(Roadmap!$D:$K,MATCH($E190,Roadmap!$D:$D,0)-1+COUNTIF($E190:S190,"u")+COUNTIF($E190:S190,"t")+COUNTIF($E190:S190,"¶")+COUNTIF($E190:S190,"²")+COUNTIF($E190:S190,"µ")+COUNTIF($E190:S190,1),ColDescriptionCourte)),""),
  "")),"")</f>
        <v/>
      </c>
      <c r="U190" s="40" t="str">
        <f ca="1">IFERROR(IF(AND(
  INDEX(Roadmap!$D:$K,MATCH($E190,Roadmap!$D:$D,0)+COUNTIF($E190:T190,"u")+COUNTIF($E190:T190,"t")+COUNTIF($E190:T190,"¶")+COUNTIF($E190:T190,"²")+COUNTIF($E190:T190,"µ")+COUNTIF($E190:T190,1),ColLivraison)=U$6,
  VLOOKUP($E190,INDIRECT("tri!"&amp; CHAR(64+ C0Col) &amp;":"&amp; CHAR(65+C0Col)),2,FALSE)&gt;COUNTIF($E190:T190,"u")+COUNTIF($E190:T190,"t")+COUNTIF($E190:T190,"¶")+COUNTIF($E190:T190,"²")+COUNTIF($E190:T190,"µ")+COUNTIF($E190:T190,1)),
HYPERLINK("#Roadmap!C"&amp; MATCH($E190,Roadmap!$D:$D,0)+COUNTIF($E190:T190,"u")+COUNTIF($E190:T190,"t"),
     INDEX(Roadmap!$D:$K,MATCH($E190,Roadmap!$D:$D,0)+COUNTIF($E190:T190,"u")+COUNTIF($E190:T190,"t")+COUNTIF($E190:T190,"¶")+COUNTIF($E190:T190,"²")+COUNTIF($E190:T190,"µ")+COUNTIF($E190:T190,1),ColTypeEcheance)),
  IF(LEN(T190)=1,
  IF(LEN(INDEX(Roadmap!$D:$K,MATCH($E190,Roadmap!$D:$D,0)-1+COUNTIF($E190:T190,"u")+COUNTIF($E190:T190,"t")+COUNTIF($E190:T190,"¶")+COUNTIF($E190:T190,"²")+COUNTIF($E190:T190,"µ")+COUNTIF($E190:T190,1),ColDescriptionCourte))&gt;1,
HYPERLINK("#Roadmap!C"&amp; MATCH($E190,Roadmap!$D:$D,0)+COUNTIF($E190:T190,"u")+COUNTIF($E190:T190,"t")+COUNTIF($E190:T190,"¶")+COUNTIF($E190:T190,"²")+COUNTIF($E190:T190,"µ")+COUNTIF($E190:T190,1)-1,INDEX(Roadmap!$D:$K,MATCH($E190,Roadmap!$D:$D,0)-1+COUNTIF($E190:T190,"u")+COUNTIF($E190:T190,"t")+COUNTIF($E190:T190,"¶")+COUNTIF($E190:T190,"²")+COUNTIF($E190:T190,"µ")+COUNTIF($E190:T190,1),ColDescriptionCourte)),""),
  "")),"")</f>
        <v/>
      </c>
      <c r="V190" s="40" t="str">
        <f ca="1">IFERROR(IF(AND(
  INDEX(Roadmap!$D:$K,MATCH($E190,Roadmap!$D:$D,0)+COUNTIF($E190:U190,"u")+COUNTIF($E190:U190,"t")+COUNTIF($E190:U190,"¶")+COUNTIF($E190:U190,"²")+COUNTIF($E190:U190,"µ")+COUNTIF($E190:U190,1),ColLivraison)=V$6,
  VLOOKUP($E190,INDIRECT("tri!"&amp; CHAR(64+ C0Col) &amp;":"&amp; CHAR(65+C0Col)),2,FALSE)&gt;COUNTIF($E190:U190,"u")+COUNTIF($E190:U190,"t")+COUNTIF($E190:U190,"¶")+COUNTIF($E190:U190,"²")+COUNTIF($E190:U190,"µ")+COUNTIF($E190:U190,1)),
HYPERLINK("#Roadmap!C"&amp; MATCH($E190,Roadmap!$D:$D,0)+COUNTIF($E190:U190,"u")+COUNTIF($E190:U190,"t"),
     INDEX(Roadmap!$D:$K,MATCH($E190,Roadmap!$D:$D,0)+COUNTIF($E190:U190,"u")+COUNTIF($E190:U190,"t")+COUNTIF($E190:U190,"¶")+COUNTIF($E190:U190,"²")+COUNTIF($E190:U190,"µ")+COUNTIF($E190:U190,1),ColTypeEcheance)),
  IF(LEN(U190)=1,
  IF(LEN(INDEX(Roadmap!$D:$K,MATCH($E190,Roadmap!$D:$D,0)-1+COUNTIF($E190:U190,"u")+COUNTIF($E190:U190,"t")+COUNTIF($E190:U190,"¶")+COUNTIF($E190:U190,"²")+COUNTIF($E190:U190,"µ")+COUNTIF($E190:U190,1),ColDescriptionCourte))&gt;1,
HYPERLINK("#Roadmap!C"&amp; MATCH($E190,Roadmap!$D:$D,0)+COUNTIF($E190:U190,"u")+COUNTIF($E190:U190,"t")+COUNTIF($E190:U190,"¶")+COUNTIF($E190:U190,"²")+COUNTIF($E190:U190,"µ")+COUNTIF($E190:U190,1)-1,INDEX(Roadmap!$D:$K,MATCH($E190,Roadmap!$D:$D,0)-1+COUNTIF($E190:U190,"u")+COUNTIF($E190:U190,"t")+COUNTIF($E190:U190,"¶")+COUNTIF($E190:U190,"²")+COUNTIF($E190:U190,"µ")+COUNTIF($E190:U190,1),ColDescriptionCourte)),""),
  "")),"")</f>
        <v/>
      </c>
      <c r="W190" s="40" t="str">
        <f ca="1">IFERROR(IF(AND(
  INDEX(Roadmap!$D:$K,MATCH($E190,Roadmap!$D:$D,0)+COUNTIF($E190:V190,"u")+COUNTIF($E190:V190,"t")+COUNTIF($E190:V190,"¶")+COUNTIF($E190:V190,"²")+COUNTIF($E190:V190,"µ")+COUNTIF($E190:V190,1),ColLivraison)=W$6,
  VLOOKUP($E190,INDIRECT("tri!"&amp; CHAR(64+ C0Col) &amp;":"&amp; CHAR(65+C0Col)),2,FALSE)&gt;COUNTIF($E190:V190,"u")+COUNTIF($E190:V190,"t")+COUNTIF($E190:V190,"¶")+COUNTIF($E190:V190,"²")+COUNTIF($E190:V190,"µ")+COUNTIF($E190:V190,1)),
HYPERLINK("#Roadmap!C"&amp; MATCH($E190,Roadmap!$D:$D,0)+COUNTIF($E190:V190,"u")+COUNTIF($E190:V190,"t"),
     INDEX(Roadmap!$D:$K,MATCH($E190,Roadmap!$D:$D,0)+COUNTIF($E190:V190,"u")+COUNTIF($E190:V190,"t")+COUNTIF($E190:V190,"¶")+COUNTIF($E190:V190,"²")+COUNTIF($E190:V190,"µ")+COUNTIF($E190:V190,1),ColTypeEcheance)),
  IF(LEN(V190)=1,
  IF(LEN(INDEX(Roadmap!$D:$K,MATCH($E190,Roadmap!$D:$D,0)-1+COUNTIF($E190:V190,"u")+COUNTIF($E190:V190,"t")+COUNTIF($E190:V190,"¶")+COUNTIF($E190:V190,"²")+COUNTIF($E190:V190,"µ")+COUNTIF($E190:V190,1),ColDescriptionCourte))&gt;1,
HYPERLINK("#Roadmap!C"&amp; MATCH($E190,Roadmap!$D:$D,0)+COUNTIF($E190:V190,"u")+COUNTIF($E190:V190,"t")+COUNTIF($E190:V190,"¶")+COUNTIF($E190:V190,"²")+COUNTIF($E190:V190,"µ")+COUNTIF($E190:V190,1)-1,INDEX(Roadmap!$D:$K,MATCH($E190,Roadmap!$D:$D,0)-1+COUNTIF($E190:V190,"u")+COUNTIF($E190:V190,"t")+COUNTIF($E190:V190,"¶")+COUNTIF($E190:V190,"²")+COUNTIF($E190:V190,"µ")+COUNTIF($E190:V190,1),ColDescriptionCourte)),""),
  "")),"")</f>
        <v/>
      </c>
      <c r="X190" s="40" t="str">
        <f ca="1">IFERROR(IF(AND(
  INDEX(Roadmap!$D:$K,MATCH($E190,Roadmap!$D:$D,0)+COUNTIF($E190:W190,"u")+COUNTIF($E190:W190,"t")+COUNTIF($E190:W190,"¶")+COUNTIF($E190:W190,"²")+COUNTIF($E190:W190,"µ")+COUNTIF($E190:W190,1),ColLivraison)=X$6,
  VLOOKUP($E190,INDIRECT("tri!"&amp; CHAR(64+ C0Col) &amp;":"&amp; CHAR(65+C0Col)),2,FALSE)&gt;COUNTIF($E190:W190,"u")+COUNTIF($E190:W190,"t")+COUNTIF($E190:W190,"¶")+COUNTIF($E190:W190,"²")+COUNTIF($E190:W190,"µ")+COUNTIF($E190:W190,1)),
HYPERLINK("#Roadmap!C"&amp; MATCH($E190,Roadmap!$D:$D,0)+COUNTIF($E190:W190,"u")+COUNTIF($E190:W190,"t"),
     INDEX(Roadmap!$D:$K,MATCH($E190,Roadmap!$D:$D,0)+COUNTIF($E190:W190,"u")+COUNTIF($E190:W190,"t")+COUNTIF($E190:W190,"¶")+COUNTIF($E190:W190,"²")+COUNTIF($E190:W190,"µ")+COUNTIF($E190:W190,1),ColTypeEcheance)),
  IF(LEN(W190)=1,
  IF(LEN(INDEX(Roadmap!$D:$K,MATCH($E190,Roadmap!$D:$D,0)-1+COUNTIF($E190:W190,"u")+COUNTIF($E190:W190,"t")+COUNTIF($E190:W190,"¶")+COUNTIF($E190:W190,"²")+COUNTIF($E190:W190,"µ")+COUNTIF($E190:W190,1),ColDescriptionCourte))&gt;1,
HYPERLINK("#Roadmap!C"&amp; MATCH($E190,Roadmap!$D:$D,0)+COUNTIF($E190:W190,"u")+COUNTIF($E190:W190,"t")+COUNTIF($E190:W190,"¶")+COUNTIF($E190:W190,"²")+COUNTIF($E190:W190,"µ")+COUNTIF($E190:W190,1)-1,INDEX(Roadmap!$D:$K,MATCH($E190,Roadmap!$D:$D,0)-1+COUNTIF($E190:W190,"u")+COUNTIF($E190:W190,"t")+COUNTIF($E190:W190,"¶")+COUNTIF($E190:W190,"²")+COUNTIF($E190:W190,"µ")+COUNTIF($E190:W190,1),ColDescriptionCourte)),""),
  "")),"")</f>
        <v/>
      </c>
      <c r="Y190" s="40" t="str">
        <f ca="1">IFERROR(IF(AND(
  INDEX(Roadmap!$D:$K,MATCH($E190,Roadmap!$D:$D,0)+COUNTIF($E190:X190,"u")+COUNTIF($E190:X190,"t")+COUNTIF($E190:X190,"¶")+COUNTIF($E190:X190,"²")+COUNTIF($E190:X190,"µ")+COUNTIF($E190:X190,1),ColLivraison)=Y$6,
  VLOOKUP($E190,INDIRECT("tri!"&amp; CHAR(64+ C0Col) &amp;":"&amp; CHAR(65+C0Col)),2,FALSE)&gt;COUNTIF($E190:X190,"u")+COUNTIF($E190:X190,"t")+COUNTIF($E190:X190,"¶")+COUNTIF($E190:X190,"²")+COUNTIF($E190:X190,"µ")+COUNTIF($E190:X190,1)),
HYPERLINK("#Roadmap!C"&amp; MATCH($E190,Roadmap!$D:$D,0)+COUNTIF($E190:X190,"u")+COUNTIF($E190:X190,"t"),
     INDEX(Roadmap!$D:$K,MATCH($E190,Roadmap!$D:$D,0)+COUNTIF($E190:X190,"u")+COUNTIF($E190:X190,"t")+COUNTIF($E190:X190,"¶")+COUNTIF($E190:X190,"²")+COUNTIF($E190:X190,"µ")+COUNTIF($E190:X190,1),ColTypeEcheance)),
  IF(LEN(X190)=1,
  IF(LEN(INDEX(Roadmap!$D:$K,MATCH($E190,Roadmap!$D:$D,0)-1+COUNTIF($E190:X190,"u")+COUNTIF($E190:X190,"t")+COUNTIF($E190:X190,"¶")+COUNTIF($E190:X190,"²")+COUNTIF($E190:X190,"µ")+COUNTIF($E190:X190,1),ColDescriptionCourte))&gt;1,
HYPERLINK("#Roadmap!C"&amp; MATCH($E190,Roadmap!$D:$D,0)+COUNTIF($E190:X190,"u")+COUNTIF($E190:X190,"t")+COUNTIF($E190:X190,"¶")+COUNTIF($E190:X190,"²")+COUNTIF($E190:X190,"µ")+COUNTIF($E190:X190,1)-1,INDEX(Roadmap!$D:$K,MATCH($E190,Roadmap!$D:$D,0)-1+COUNTIF($E190:X190,"u")+COUNTIF($E190:X190,"t")+COUNTIF($E190:X190,"¶")+COUNTIF($E190:X190,"²")+COUNTIF($E190:X190,"µ")+COUNTIF($E190:X190,1),ColDescriptionCourte)),""),
  "")),"")</f>
        <v/>
      </c>
      <c r="Z190" s="40" t="str">
        <f ca="1">IFERROR(IF(AND(
  INDEX(Roadmap!$D:$K,MATCH($E190,Roadmap!$D:$D,0)+COUNTIF($E190:Y190,"u")+COUNTIF($E190:Y190,"t")+COUNTIF($E190:Y190,"¶")+COUNTIF($E190:Y190,"²")+COUNTIF($E190:Y190,"µ")+COUNTIF($E190:Y190,1),ColLivraison)=Z$6,
  VLOOKUP($E190,INDIRECT("tri!"&amp; CHAR(64+ C0Col) &amp;":"&amp; CHAR(65+C0Col)),2,FALSE)&gt;COUNTIF($E190:Y190,"u")+COUNTIF($E190:Y190,"t")+COUNTIF($E190:Y190,"¶")+COUNTIF($E190:Y190,"²")+COUNTIF($E190:Y190,"µ")+COUNTIF($E190:Y190,1)),
HYPERLINK("#Roadmap!C"&amp; MATCH($E190,Roadmap!$D:$D,0)+COUNTIF($E190:Y190,"u")+COUNTIF($E190:Y190,"t"),
     INDEX(Roadmap!$D:$K,MATCH($E190,Roadmap!$D:$D,0)+COUNTIF($E190:Y190,"u")+COUNTIF($E190:Y190,"t")+COUNTIF($E190:Y190,"¶")+COUNTIF($E190:Y190,"²")+COUNTIF($E190:Y190,"µ")+COUNTIF($E190:Y190,1),ColTypeEcheance)),
  IF(LEN(Y190)=1,
  IF(LEN(INDEX(Roadmap!$D:$K,MATCH($E190,Roadmap!$D:$D,0)-1+COUNTIF($E190:Y190,"u")+COUNTIF($E190:Y190,"t")+COUNTIF($E190:Y190,"¶")+COUNTIF($E190:Y190,"²")+COUNTIF($E190:Y190,"µ")+COUNTIF($E190:Y190,1),ColDescriptionCourte))&gt;1,
HYPERLINK("#Roadmap!C"&amp; MATCH($E190,Roadmap!$D:$D,0)+COUNTIF($E190:Y190,"u")+COUNTIF($E190:Y190,"t")+COUNTIF($E190:Y190,"¶")+COUNTIF($E190:Y190,"²")+COUNTIF($E190:Y190,"µ")+COUNTIF($E190:Y190,1)-1,INDEX(Roadmap!$D:$K,MATCH($E190,Roadmap!$D:$D,0)-1+COUNTIF($E190:Y190,"u")+COUNTIF($E190:Y190,"t")+COUNTIF($E190:Y190,"¶")+COUNTIF($E190:Y190,"²")+COUNTIF($E190:Y190,"µ")+COUNTIF($E190:Y190,1),ColDescriptionCourte)),""),
  "")),"")</f>
        <v/>
      </c>
      <c r="AA190" s="40" t="str">
        <f ca="1">IFERROR(IF(AND(
  INDEX(Roadmap!$D:$K,MATCH($E190,Roadmap!$D:$D,0)+COUNTIF($E190:Z190,"u")+COUNTIF($E190:Z190,"t")+COUNTIF($E190:Z190,"¶")+COUNTIF($E190:Z190,"²")+COUNTIF($E190:Z190,"µ")+COUNTIF($E190:Z190,1),ColLivraison)=AA$6,
  VLOOKUP($E190,INDIRECT("tri!"&amp; CHAR(64+ C0Col) &amp;":"&amp; CHAR(65+C0Col)),2,FALSE)&gt;COUNTIF($E190:Z190,"u")+COUNTIF($E190:Z190,"t")+COUNTIF($E190:Z190,"¶")+COUNTIF($E190:Z190,"²")+COUNTIF($E190:Z190,"µ")+COUNTIF($E190:Z190,1)),
HYPERLINK("#Roadmap!C"&amp; MATCH($E190,Roadmap!$D:$D,0)+COUNTIF($E190:Z190,"u")+COUNTIF($E190:Z190,"t"),
     INDEX(Roadmap!$D:$K,MATCH($E190,Roadmap!$D:$D,0)+COUNTIF($E190:Z190,"u")+COUNTIF($E190:Z190,"t")+COUNTIF($E190:Z190,"¶")+COUNTIF($E190:Z190,"²")+COUNTIF($E190:Z190,"µ")+COUNTIF($E190:Z190,1),ColTypeEcheance)),
  IF(LEN(Z190)=1,
  IF(LEN(INDEX(Roadmap!$D:$K,MATCH($E190,Roadmap!$D:$D,0)-1+COUNTIF($E190:Z190,"u")+COUNTIF($E190:Z190,"t")+COUNTIF($E190:Z190,"¶")+COUNTIF($E190:Z190,"²")+COUNTIF($E190:Z190,"µ")+COUNTIF($E190:Z190,1),ColDescriptionCourte))&gt;1,
HYPERLINK("#Roadmap!C"&amp; MATCH($E190,Roadmap!$D:$D,0)+COUNTIF($E190:Z190,"u")+COUNTIF($E190:Z190,"t")+COUNTIF($E190:Z190,"¶")+COUNTIF($E190:Z190,"²")+COUNTIF($E190:Z190,"µ")+COUNTIF($E190:Z190,1)-1,INDEX(Roadmap!$D:$K,MATCH($E190,Roadmap!$D:$D,0)-1+COUNTIF($E190:Z190,"u")+COUNTIF($E190:Z190,"t")+COUNTIF($E190:Z190,"¶")+COUNTIF($E190:Z190,"²")+COUNTIF($E190:Z190,"µ")+COUNTIF($E190:Z190,1),ColDescriptionCourte)),""),
  "")),"")</f>
        <v/>
      </c>
      <c r="AB190" s="40" t="str">
        <f ca="1">IFERROR(IF(AND(
  INDEX(Roadmap!$D:$K,MATCH($E190,Roadmap!$D:$D,0)+COUNTIF($E190:AA190,"u")+COUNTIF($E190:AA190,"t")+COUNTIF($E190:AA190,"¶")+COUNTIF($E190:AA190,"²")+COUNTIF($E190:AA190,"µ")+COUNTIF($E190:AA190,1),ColLivraison)=AB$6,
  VLOOKUP($E190,INDIRECT("tri!"&amp; CHAR(64+ C0Col) &amp;":"&amp; CHAR(65+C0Col)),2,FALSE)&gt;COUNTIF($E190:AA190,"u")+COUNTIF($E190:AA190,"t")+COUNTIF($E190:AA190,"¶")+COUNTIF($E190:AA190,"²")+COUNTIF($E190:AA190,"µ")+COUNTIF($E190:AA190,1)),
HYPERLINK("#Roadmap!C"&amp; MATCH($E190,Roadmap!$D:$D,0)+COUNTIF($E190:AA190,"u")+COUNTIF($E190:AA190,"t"),
     INDEX(Roadmap!$D:$K,MATCH($E190,Roadmap!$D:$D,0)+COUNTIF($E190:AA190,"u")+COUNTIF($E190:AA190,"t")+COUNTIF($E190:AA190,"¶")+COUNTIF($E190:AA190,"²")+COUNTIF($E190:AA190,"µ")+COUNTIF($E190:AA190,1),ColTypeEcheance)),
  IF(LEN(AA190)=1,
  IF(LEN(INDEX(Roadmap!$D:$K,MATCH($E190,Roadmap!$D:$D,0)-1+COUNTIF($E190:AA190,"u")+COUNTIF($E190:AA190,"t")+COUNTIF($E190:AA190,"¶")+COUNTIF($E190:AA190,"²")+COUNTIF($E190:AA190,"µ")+COUNTIF($E190:AA190,1),ColDescriptionCourte))&gt;1,
HYPERLINK("#Roadmap!C"&amp; MATCH($E190,Roadmap!$D:$D,0)+COUNTIF($E190:AA190,"u")+COUNTIF($E190:AA190,"t")+COUNTIF($E190:AA190,"¶")+COUNTIF($E190:AA190,"²")+COUNTIF($E190:AA190,"µ")+COUNTIF($E190:AA190,1)-1,INDEX(Roadmap!$D:$K,MATCH($E190,Roadmap!$D:$D,0)-1+COUNTIF($E190:AA190,"u")+COUNTIF($E190:AA190,"t")+COUNTIF($E190:AA190,"¶")+COUNTIF($E190:AA190,"²")+COUNTIF($E190:AA190,"µ")+COUNTIF($E190:AA190,1),ColDescriptionCourte)),""),
  "")),"")</f>
        <v/>
      </c>
      <c r="AC190" s="40" t="str">
        <f ca="1">IFERROR(IF(AND(
  INDEX(Roadmap!$D:$K,MATCH($E190,Roadmap!$D:$D,0)+COUNTIF($E190:AB190,"u")+COUNTIF($E190:AB190,"t")+COUNTIF($E190:AB190,"¶")+COUNTIF($E190:AB190,"²")+COUNTIF($E190:AB190,"µ")+COUNTIF($E190:AB190,1),ColLivraison)=AC$6,
  VLOOKUP($E190,INDIRECT("tri!"&amp; CHAR(64+ C0Col) &amp;":"&amp; CHAR(65+C0Col)),2,FALSE)&gt;COUNTIF($E190:AB190,"u")+COUNTIF($E190:AB190,"t")+COUNTIF($E190:AB190,"¶")+COUNTIF($E190:AB190,"²")+COUNTIF($E190:AB190,"µ")+COUNTIF($E190:AB190,1)),
HYPERLINK("#Roadmap!C"&amp; MATCH($E190,Roadmap!$D:$D,0)+COUNTIF($E190:AB190,"u")+COUNTIF($E190:AB190,"t"),
     INDEX(Roadmap!$D:$K,MATCH($E190,Roadmap!$D:$D,0)+COUNTIF($E190:AB190,"u")+COUNTIF($E190:AB190,"t")+COUNTIF($E190:AB190,"¶")+COUNTIF($E190:AB190,"²")+COUNTIF($E190:AB190,"µ")+COUNTIF($E190:AB190,1),ColTypeEcheance)),
  IF(LEN(AB190)=1,
  IF(LEN(INDEX(Roadmap!$D:$K,MATCH($E190,Roadmap!$D:$D,0)-1+COUNTIF($E190:AB190,"u")+COUNTIF($E190:AB190,"t")+COUNTIF($E190:AB190,"¶")+COUNTIF($E190:AB190,"²")+COUNTIF($E190:AB190,"µ")+COUNTIF($E190:AB190,1),ColDescriptionCourte))&gt;1,
HYPERLINK("#Roadmap!C"&amp; MATCH($E190,Roadmap!$D:$D,0)+COUNTIF($E190:AB190,"u")+COUNTIF($E190:AB190,"t")+COUNTIF($E190:AB190,"¶")+COUNTIF($E190:AB190,"²")+COUNTIF($E190:AB190,"µ")+COUNTIF($E190:AB190,1)-1,INDEX(Roadmap!$D:$K,MATCH($E190,Roadmap!$D:$D,0)-1+COUNTIF($E190:AB190,"u")+COUNTIF($E190:AB190,"t")+COUNTIF($E190:AB190,"¶")+COUNTIF($E190:AB190,"²")+COUNTIF($E190:AB190,"µ")+COUNTIF($E190:AB190,1),ColDescriptionCourte)),""),
  "")),"")</f>
        <v/>
      </c>
      <c r="AD190" s="40" t="str">
        <f ca="1">IFERROR(IF(AND(
  INDEX(Roadmap!$D:$K,MATCH($E190,Roadmap!$D:$D,0)+COUNTIF($E190:AC190,"u")+COUNTIF($E190:AC190,"t")+COUNTIF($E190:AC190,"¶")+COUNTIF($E190:AC190,"²")+COUNTIF($E190:AC190,"µ")+COUNTIF($E190:AC190,1),ColLivraison)=AD$6,
  VLOOKUP($E190,INDIRECT("tri!"&amp; CHAR(64+ C0Col) &amp;":"&amp; CHAR(65+C0Col)),2,FALSE)&gt;COUNTIF($E190:AC190,"u")+COUNTIF($E190:AC190,"t")+COUNTIF($E190:AC190,"¶")+COUNTIF($E190:AC190,"²")+COUNTIF($E190:AC190,"µ")+COUNTIF($E190:AC190,1)),
HYPERLINK("#Roadmap!C"&amp; MATCH($E190,Roadmap!$D:$D,0)+COUNTIF($E190:AC190,"u")+COUNTIF($E190:AC190,"t"),
     INDEX(Roadmap!$D:$K,MATCH($E190,Roadmap!$D:$D,0)+COUNTIF($E190:AC190,"u")+COUNTIF($E190:AC190,"t")+COUNTIF($E190:AC190,"¶")+COUNTIF($E190:AC190,"²")+COUNTIF($E190:AC190,"µ")+COUNTIF($E190:AC190,1),ColTypeEcheance)),
  IF(LEN(AC190)=1,
  IF(LEN(INDEX(Roadmap!$D:$K,MATCH($E190,Roadmap!$D:$D,0)-1+COUNTIF($E190:AC190,"u")+COUNTIF($E190:AC190,"t")+COUNTIF($E190:AC190,"¶")+COUNTIF($E190:AC190,"²")+COUNTIF($E190:AC190,"µ")+COUNTIF($E190:AC190,1),ColDescriptionCourte))&gt;1,
HYPERLINK("#Roadmap!C"&amp; MATCH($E190,Roadmap!$D:$D,0)+COUNTIF($E190:AC190,"u")+COUNTIF($E190:AC190,"t")+COUNTIF($E190:AC190,"¶")+COUNTIF($E190:AC190,"²")+COUNTIF($E190:AC190,"µ")+COUNTIF($E190:AC190,1)-1,INDEX(Roadmap!$D:$K,MATCH($E190,Roadmap!$D:$D,0)-1+COUNTIF($E190:AC190,"u")+COUNTIF($E190:AC190,"t")+COUNTIF($E190:AC190,"¶")+COUNTIF($E190:AC190,"²")+COUNTIF($E190:AC190,"µ")+COUNTIF($E190:AC190,1),ColDescriptionCourte)),""),
  "")),"")</f>
        <v/>
      </c>
      <c r="AE190" s="40" t="str">
        <f ca="1">IFERROR(IF(AND(
  INDEX(Roadmap!$D:$K,MATCH($E190,Roadmap!$D:$D,0)+COUNTIF($E190:AD190,"u")+COUNTIF($E190:AD190,"t")+COUNTIF($E190:AD190,"¶")+COUNTIF($E190:AD190,"²")+COUNTIF($E190:AD190,"µ")+COUNTIF($E190:AD190,1),ColLivraison)=AE$6,
  VLOOKUP($E190,INDIRECT("tri!"&amp; CHAR(64+ C0Col) &amp;":"&amp; CHAR(65+C0Col)),2,FALSE)&gt;COUNTIF($E190:AD190,"u")+COUNTIF($E190:AD190,"t")+COUNTIF($E190:AD190,"¶")+COUNTIF($E190:AD190,"²")+COUNTIF($E190:AD190,"µ")+COUNTIF($E190:AD190,1)),
HYPERLINK("#Roadmap!C"&amp; MATCH($E190,Roadmap!$D:$D,0)+COUNTIF($E190:AD190,"u")+COUNTIF($E190:AD190,"t"),
     INDEX(Roadmap!$D:$K,MATCH($E190,Roadmap!$D:$D,0)+COUNTIF($E190:AD190,"u")+COUNTIF($E190:AD190,"t")+COUNTIF($E190:AD190,"¶")+COUNTIF($E190:AD190,"²")+COUNTIF($E190:AD190,"µ")+COUNTIF($E190:AD190,1),ColTypeEcheance)),
  IF(LEN(AD190)=1,
  IF(LEN(INDEX(Roadmap!$D:$K,MATCH($E190,Roadmap!$D:$D,0)-1+COUNTIF($E190:AD190,"u")+COUNTIF($E190:AD190,"t")+COUNTIF($E190:AD190,"¶")+COUNTIF($E190:AD190,"²")+COUNTIF($E190:AD190,"µ")+COUNTIF($E190:AD190,1),ColDescriptionCourte))&gt;1,
HYPERLINK("#Roadmap!C"&amp; MATCH($E190,Roadmap!$D:$D,0)+COUNTIF($E190:AD190,"u")+COUNTIF($E190:AD190,"t")+COUNTIF($E190:AD190,"¶")+COUNTIF($E190:AD190,"²")+COUNTIF($E190:AD190,"µ")+COUNTIF($E190:AD190,1)-1,INDEX(Roadmap!$D:$K,MATCH($E190,Roadmap!$D:$D,0)-1+COUNTIF($E190:AD190,"u")+COUNTIF($E190:AD190,"t")+COUNTIF($E190:AD190,"¶")+COUNTIF($E190:AD190,"²")+COUNTIF($E190:AD190,"µ")+COUNTIF($E190:AD190,1),ColDescriptionCourte)),""),
  "")),"")</f>
        <v/>
      </c>
      <c r="AF190" s="40" t="str">
        <f ca="1">IFERROR(IF(AND(
  INDEX(Roadmap!$D:$K,MATCH($E190,Roadmap!$D:$D,0)+COUNTIF($E190:AE190,"u")+COUNTIF($E190:AE190,"t")+COUNTIF($E190:AE190,"¶")+COUNTIF($E190:AE190,"²")+COUNTIF($E190:AE190,"µ")+COUNTIF($E190:AE190,1),ColLivraison)=AF$6,
  VLOOKUP($E190,INDIRECT("tri!"&amp; CHAR(64+ C0Col) &amp;":"&amp; CHAR(65+C0Col)),2,FALSE)&gt;COUNTIF($E190:AE190,"u")+COUNTIF($E190:AE190,"t")+COUNTIF($E190:AE190,"¶")+COUNTIF($E190:AE190,"²")+COUNTIF($E190:AE190,"µ")+COUNTIF($E190:AE190,1)),
HYPERLINK("#Roadmap!C"&amp; MATCH($E190,Roadmap!$D:$D,0)+COUNTIF($E190:AE190,"u")+COUNTIF($E190:AE190,"t"),
     INDEX(Roadmap!$D:$K,MATCH($E190,Roadmap!$D:$D,0)+COUNTIF($E190:AE190,"u")+COUNTIF($E190:AE190,"t")+COUNTIF($E190:AE190,"¶")+COUNTIF($E190:AE190,"²")+COUNTIF($E190:AE190,"µ")+COUNTIF($E190:AE190,1),ColTypeEcheance)),
  IF(LEN(AE190)=1,
  IF(LEN(INDEX(Roadmap!$D:$K,MATCH($E190,Roadmap!$D:$D,0)-1+COUNTIF($E190:AE190,"u")+COUNTIF($E190:AE190,"t")+COUNTIF($E190:AE190,"¶")+COUNTIF($E190:AE190,"²")+COUNTIF($E190:AE190,"µ")+COUNTIF($E190:AE190,1),ColDescriptionCourte))&gt;1,
HYPERLINK("#Roadmap!C"&amp; MATCH($E190,Roadmap!$D:$D,0)+COUNTIF($E190:AE190,"u")+COUNTIF($E190:AE190,"t")+COUNTIF($E190:AE190,"¶")+COUNTIF($E190:AE190,"²")+COUNTIF($E190:AE190,"µ")+COUNTIF($E190:AE190,1)-1,INDEX(Roadmap!$D:$K,MATCH($E190,Roadmap!$D:$D,0)-1+COUNTIF($E190:AE190,"u")+COUNTIF($E190:AE190,"t")+COUNTIF($E190:AE190,"¶")+COUNTIF($E190:AE190,"²")+COUNTIF($E190:AE190,"µ")+COUNTIF($E190:AE190,1),ColDescriptionCourte)),""),
  "")),"")</f>
        <v/>
      </c>
      <c r="AG190" s="40" t="str">
        <f ca="1">IFERROR(IF(AND(
  INDEX(Roadmap!$D:$K,MATCH($E190,Roadmap!$D:$D,0)+COUNTIF($E190:AF190,"u")+COUNTIF($E190:AF190,"t")+COUNTIF($E190:AF190,"¶")+COUNTIF($E190:AF190,"²")+COUNTIF($E190:AF190,"µ")+COUNTIF($E190:AF190,1),ColLivraison)=AG$6,
  VLOOKUP($E190,INDIRECT("tri!"&amp; CHAR(64+ C0Col) &amp;":"&amp; CHAR(65+C0Col)),2,FALSE)&gt;COUNTIF($E190:AF190,"u")+COUNTIF($E190:AF190,"t")+COUNTIF($E190:AF190,"¶")+COUNTIF($E190:AF190,"²")+COUNTIF($E190:AF190,"µ")+COUNTIF($E190:AF190,1)),
HYPERLINK("#Roadmap!C"&amp; MATCH($E190,Roadmap!$D:$D,0)+COUNTIF($E190:AF190,"u")+COUNTIF($E190:AF190,"t"),
     INDEX(Roadmap!$D:$K,MATCH($E190,Roadmap!$D:$D,0)+COUNTIF($E190:AF190,"u")+COUNTIF($E190:AF190,"t")+COUNTIF($E190:AF190,"¶")+COUNTIF($E190:AF190,"²")+COUNTIF($E190:AF190,"µ")+COUNTIF($E190:AF190,1),ColTypeEcheance)),
  IF(LEN(AF190)=1,
  IF(LEN(INDEX(Roadmap!$D:$K,MATCH($E190,Roadmap!$D:$D,0)-1+COUNTIF($E190:AF190,"u")+COUNTIF($E190:AF190,"t")+COUNTIF($E190:AF190,"¶")+COUNTIF($E190:AF190,"²")+COUNTIF($E190:AF190,"µ")+COUNTIF($E190:AF190,1),ColDescriptionCourte))&gt;1,
HYPERLINK("#Roadmap!C"&amp; MATCH($E190,Roadmap!$D:$D,0)+COUNTIF($E190:AF190,"u")+COUNTIF($E190:AF190,"t")+COUNTIF($E190:AF190,"¶")+COUNTIF($E190:AF190,"²")+COUNTIF($E190:AF190,"µ")+COUNTIF($E190:AF190,1)-1,INDEX(Roadmap!$D:$K,MATCH($E190,Roadmap!$D:$D,0)-1+COUNTIF($E190:AF190,"u")+COUNTIF($E190:AF190,"t")+COUNTIF($E190:AF190,"¶")+COUNTIF($E190:AF190,"²")+COUNTIF($E190:AF190,"µ")+COUNTIF($E190:AF190,1),ColDescriptionCourte)),""),
  "")),"")</f>
        <v/>
      </c>
      <c r="AH190" s="40" t="str">
        <f ca="1">IFERROR(IF(AND(
  INDEX(Roadmap!$D:$K,MATCH($E190,Roadmap!$D:$D,0)+COUNTIF($E190:AG190,"u")+COUNTIF($E190:AG190,"t")+COUNTIF($E190:AG190,1),ColLivraison)=AH$6,
  VLOOKUP($E190,INDIRECT("tri!"&amp; CHAR(64+ C0Col) &amp;":"&amp; CHAR(65+C0Col)),2,FALSE)&gt;COUNTIF($E190:AG190,"u")+COUNTIF($E190:AG190,"t")+COUNTIF($E190:AG190,1)),
HYPERLINK("#Roadmap!C"&amp; MATCH($E190,Roadmap!$D:$D,0)+COUNTIF($E190:AG190,"u")+COUNTIF($E190:AG190,"t"),
     INDEX(Roadmap!$D:$K,MATCH($E190,Roadmap!$D:$D,0)+COUNTIF($E190:AG190,"u")+COUNTIF($E190:AG190,"t")+COUNTIF($E190:AG190,1),ColTypeEcheance)),
  IF(OR(AG190="u",AG190="t",AG190=1),
  IF(LEN(INDEX(Roadmap!$D:$K,MATCH($E190,Roadmap!$D:$D,0)-1+COUNTIF($E190:AG190,"u")+COUNTIF($E190:AG190,"t")+COUNTIF($E190:AG190,1),ColDescriptionCourte))&gt;1,
HYPERLINK("#Roadmap!C"&amp; MATCH($E190,Roadmap!$D:$D,0)+COUNTIF($E190:AG190,"u")+COUNTIF($E190:AG190,"t")+COUNTIF($E190:AG190,1)-1,INDEX(Roadmap!$D:$K,MATCH($E190,Roadmap!$D:$D,0)-1+COUNTIF($E190:AG190,"u")+COUNTIF($E190:AG190,"t")+COUNTIF($E190:AG190,1),ColDescriptionCourte)),""),
  "")),"")</f>
        <v/>
      </c>
      <c r="AI190" s="40"/>
      <c r="AJ190" s="40"/>
      <c r="AK190" s="40"/>
      <c r="AL190" s="40"/>
      <c r="AM190" s="40"/>
    </row>
    <row r="191" spans="4:39" ht="14.1" customHeight="1">
      <c r="D191" s="20" t="str">
        <f t="shared" ca="1" si="31"/>
        <v/>
      </c>
      <c r="E191" s="53" t="str">
        <f t="shared" ca="1" si="32"/>
        <v/>
      </c>
      <c r="F191" s="39" t="str">
        <f ca="1">IFERROR(IF(AND(
  INDEX(Roadmap!$D:$K,MATCH($E191,Roadmap!$D:$D,0)+COUNTIF($E191:E191,"u")+COUNTIF($E191:E191,"t")+COUNTIF($E191:E191,"¶")+COUNTIF($E191:E191,"²")+COUNTIF($E191:E191,"µ")+COUNTIF($E191:E191,1),ColLivraison)=F$6,
  VLOOKUP($E191,INDIRECT("tri!"&amp; CHAR(64+ C0Col) &amp;":"&amp; CHAR(65+C0Col)),2,FALSE)&gt;COUNTIF($E191:E191,"u")+COUNTIF($E191:E191,"t")+COUNTIF($E191:E191,"¶")+COUNTIF($E191:E191,"²")+COUNTIF($E191:E191,"µ")+COUNTIF($E191:E191,1)),
HYPERLINK("#Roadmap!C"&amp; MATCH($E191,Roadmap!$D:$D,0)+COUNTIF($E191:E191,"u")+COUNTIF($E191:E191,"t"),
     INDEX(Roadmap!$D:$K,MATCH($E191,Roadmap!$D:$D,0)+COUNTIF($E191:E191,"u")+COUNTIF($E191:E191,"t")+COUNTIF($E191:E191,"¶")+COUNTIF($E191:E191,"²")+COUNTIF($E191:E191,"µ")+COUNTIF($E191:E191,1),ColTypeEcheance)),
  IF(LEN(E191)=1,
  IF(LEN(INDEX(Roadmap!$D:$K,MATCH($E191,Roadmap!$D:$D,0)-1+COUNTIF($E191:E191,"u")+COUNTIF($E191:E191,"t")+COUNTIF($E191:E191,"¶")+COUNTIF($E191:E191,"²")+COUNTIF($E191:E191,"µ")+COUNTIF($E191:E191,1),ColDescriptionCourte))&gt;1,
HYPERLINK("#Roadmap!C"&amp; MATCH($E191,Roadmap!$D:$D,0)+COUNTIF($E191:E191,"u")+COUNTIF($E191:E191,"t")+COUNTIF($E191:E191,"¶")+COUNTIF($E191:E191,"²")+COUNTIF($E191:E191,"µ")+COUNTIF($E191:E191,1)-1,INDEX(Roadmap!$D:$K,MATCH($E191,Roadmap!$D:$D,0)-1+COUNTIF($E191:E191,"u")+COUNTIF($E191:E191,"t")+COUNTIF($E191:E191,"¶")+COUNTIF($E191:E191,"²")+COUNTIF($E191:E191,"µ")+COUNTIF($E191:E191,1),ColDescriptionCourte)),""),
  "")),"")</f>
        <v/>
      </c>
      <c r="G191" s="40" t="str">
        <f ca="1">IFERROR(IF(AND(
  INDEX(Roadmap!$D:$K,MATCH($E191,Roadmap!$D:$D,0)+COUNTIF($E191:F191,"u")+COUNTIF($E191:F191,"t")+COUNTIF($E191:F191,"¶")+COUNTIF($E191:F191,"²")+COUNTIF($E191:F191,"µ")+COUNTIF($E191:F191,1),ColLivraison)=G$6,
  VLOOKUP($E191,INDIRECT("tri!"&amp; CHAR(64+ C0Col) &amp;":"&amp; CHAR(65+C0Col)),2,FALSE)&gt;COUNTIF($E191:F191,"u")+COUNTIF($E191:F191,"t")+COUNTIF($E191:F191,"¶")+COUNTIF($E191:F191,"²")+COUNTIF($E191:F191,"µ")+COUNTIF($E191:F191,1)),
HYPERLINK("#Roadmap!C"&amp; MATCH($E191,Roadmap!$D:$D,0)+COUNTIF($E191:F191,"u")+COUNTIF($E191:F191,"t"),
     INDEX(Roadmap!$D:$K,MATCH($E191,Roadmap!$D:$D,0)+COUNTIF($E191:F191,"u")+COUNTIF($E191:F191,"t")+COUNTIF($E191:F191,"¶")+COUNTIF($E191:F191,"²")+COUNTIF($E191:F191,"µ")+COUNTIF($E191:F191,1),ColTypeEcheance)),
  IF(LEN(F191)=1,
  IF(LEN(INDEX(Roadmap!$D:$K,MATCH($E191,Roadmap!$D:$D,0)-1+COUNTIF($E191:F191,"u")+COUNTIF($E191:F191,"t")+COUNTIF($E191:F191,"¶")+COUNTIF($E191:F191,"²")+COUNTIF($E191:F191,"µ")+COUNTIF($E191:F191,1),ColDescriptionCourte))&gt;1,
HYPERLINK("#Roadmap!C"&amp; MATCH($E191,Roadmap!$D:$D,0)+COUNTIF($E191:F191,"u")+COUNTIF($E191:F191,"t")+COUNTIF($E191:F191,"¶")+COUNTIF($E191:F191,"²")+COUNTIF($E191:F191,"µ")+COUNTIF($E191:F191,1)-1,INDEX(Roadmap!$D:$K,MATCH($E191,Roadmap!$D:$D,0)-1+COUNTIF($E191:F191,"u")+COUNTIF($E191:F191,"t")+COUNTIF($E191:F191,"¶")+COUNTIF($E191:F191,"²")+COUNTIF($E191:F191,"µ")+COUNTIF($E191:F191,1),ColDescriptionCourte)),""),
  "")),"")</f>
        <v/>
      </c>
      <c r="H191" s="40" t="str">
        <f ca="1">IFERROR(IF(AND(
  INDEX(Roadmap!$D:$K,MATCH($E191,Roadmap!$D:$D,0)+COUNTIF($E191:G191,"u")+COUNTIF($E191:G191,"t")+COUNTIF($E191:G191,"¶")+COUNTIF($E191:G191,"²")+COUNTIF($E191:G191,"µ")+COUNTIF($E191:G191,1),ColLivraison)=H$6,
  VLOOKUP($E191,INDIRECT("tri!"&amp; CHAR(64+ C0Col) &amp;":"&amp; CHAR(65+C0Col)),2,FALSE)&gt;COUNTIF($E191:G191,"u")+COUNTIF($E191:G191,"t")+COUNTIF($E191:G191,"¶")+COUNTIF($E191:G191,"²")+COUNTIF($E191:G191,"µ")+COUNTIF($E191:G191,1)),
HYPERLINK("#Roadmap!C"&amp; MATCH($E191,Roadmap!$D:$D,0)+COUNTIF($E191:G191,"u")+COUNTIF($E191:G191,"t"),
     INDEX(Roadmap!$D:$K,MATCH($E191,Roadmap!$D:$D,0)+COUNTIF($E191:G191,"u")+COUNTIF($E191:G191,"t")+COUNTIF($E191:G191,"¶")+COUNTIF($E191:G191,"²")+COUNTIF($E191:G191,"µ")+COUNTIF($E191:G191,1),ColTypeEcheance)),
  IF(LEN(G191)=1,
  IF(LEN(INDEX(Roadmap!$D:$K,MATCH($E191,Roadmap!$D:$D,0)-1+COUNTIF($E191:G191,"u")+COUNTIF($E191:G191,"t")+COUNTIF($E191:G191,"¶")+COUNTIF($E191:G191,"²")+COUNTIF($E191:G191,"µ")+COUNTIF($E191:G191,1),ColDescriptionCourte))&gt;1,
HYPERLINK("#Roadmap!C"&amp; MATCH($E191,Roadmap!$D:$D,0)+COUNTIF($E191:G191,"u")+COUNTIF($E191:G191,"t")+COUNTIF($E191:G191,"¶")+COUNTIF($E191:G191,"²")+COUNTIF($E191:G191,"µ")+COUNTIF($E191:G191,1)-1,INDEX(Roadmap!$D:$K,MATCH($E191,Roadmap!$D:$D,0)-1+COUNTIF($E191:G191,"u")+COUNTIF($E191:G191,"t")+COUNTIF($E191:G191,"¶")+COUNTIF($E191:G191,"²")+COUNTIF($E191:G191,"µ")+COUNTIF($E191:G191,1),ColDescriptionCourte)),""),
  "")),"")</f>
        <v/>
      </c>
      <c r="I191" s="40" t="str">
        <f ca="1">IFERROR(IF(AND(
  INDEX(Roadmap!$D:$K,MATCH($E191,Roadmap!$D:$D,0)+COUNTIF($E191:H191,"u")+COUNTIF($E191:H191,"t")+COUNTIF($E191:H191,"¶")+COUNTIF($E191:H191,"²")+COUNTIF($E191:H191,"µ")+COUNTIF($E191:H191,1),ColLivraison)=I$6,
  VLOOKUP($E191,INDIRECT("tri!"&amp; CHAR(64+ C0Col) &amp;":"&amp; CHAR(65+C0Col)),2,FALSE)&gt;COUNTIF($E191:H191,"u")+COUNTIF($E191:H191,"t")+COUNTIF($E191:H191,"¶")+COUNTIF($E191:H191,"²")+COUNTIF($E191:H191,"µ")+COUNTIF($E191:H191,1)),
HYPERLINK("#Roadmap!C"&amp; MATCH($E191,Roadmap!$D:$D,0)+COUNTIF($E191:H191,"u")+COUNTIF($E191:H191,"t"),
     INDEX(Roadmap!$D:$K,MATCH($E191,Roadmap!$D:$D,0)+COUNTIF($E191:H191,"u")+COUNTIF($E191:H191,"t")+COUNTIF($E191:H191,"¶")+COUNTIF($E191:H191,"²")+COUNTIF($E191:H191,"µ")+COUNTIF($E191:H191,1),ColTypeEcheance)),
  IF(LEN(H191)=1,
  IF(LEN(INDEX(Roadmap!$D:$K,MATCH($E191,Roadmap!$D:$D,0)-1+COUNTIF($E191:H191,"u")+COUNTIF($E191:H191,"t")+COUNTIF($E191:H191,"¶")+COUNTIF($E191:H191,"²")+COUNTIF($E191:H191,"µ")+COUNTIF($E191:H191,1),ColDescriptionCourte))&gt;1,
HYPERLINK("#Roadmap!C"&amp; MATCH($E191,Roadmap!$D:$D,0)+COUNTIF($E191:H191,"u")+COUNTIF($E191:H191,"t")+COUNTIF($E191:H191,"¶")+COUNTIF($E191:H191,"²")+COUNTIF($E191:H191,"µ")+COUNTIF($E191:H191,1)-1,INDEX(Roadmap!$D:$K,MATCH($E191,Roadmap!$D:$D,0)-1+COUNTIF($E191:H191,"u")+COUNTIF($E191:H191,"t")+COUNTIF($E191:H191,"¶")+COUNTIF($E191:H191,"²")+COUNTIF($E191:H191,"µ")+COUNTIF($E191:H191,1),ColDescriptionCourte)),""),
  "")),"")</f>
        <v/>
      </c>
      <c r="J191" s="40" t="str">
        <f ca="1">IFERROR(IF(AND(
  INDEX(Roadmap!$D:$K,MATCH($E191,Roadmap!$D:$D,0)+COUNTIF($E191:I191,"u")+COUNTIF($E191:I191,"t")+COUNTIF($E191:I191,"¶")+COUNTIF($E191:I191,"²")+COUNTIF($E191:I191,"µ")+COUNTIF($E191:I191,1),ColLivraison)=J$6,
  VLOOKUP($E191,INDIRECT("tri!"&amp; CHAR(64+ C0Col) &amp;":"&amp; CHAR(65+C0Col)),2,FALSE)&gt;COUNTIF($E191:I191,"u")+COUNTIF($E191:I191,"t")+COUNTIF($E191:I191,"¶")+COUNTIF($E191:I191,"²")+COUNTIF($E191:I191,"µ")+COUNTIF($E191:I191,1)),
HYPERLINK("#Roadmap!C"&amp; MATCH($E191,Roadmap!$D:$D,0)+COUNTIF($E191:I191,"u")+COUNTIF($E191:I191,"t"),
     INDEX(Roadmap!$D:$K,MATCH($E191,Roadmap!$D:$D,0)+COUNTIF($E191:I191,"u")+COUNTIF($E191:I191,"t")+COUNTIF($E191:I191,"¶")+COUNTIF($E191:I191,"²")+COUNTIF($E191:I191,"µ")+COUNTIF($E191:I191,1),ColTypeEcheance)),
  IF(LEN(I191)=1,
  IF(LEN(INDEX(Roadmap!$D:$K,MATCH($E191,Roadmap!$D:$D,0)-1+COUNTIF($E191:I191,"u")+COUNTIF($E191:I191,"t")+COUNTIF($E191:I191,"¶")+COUNTIF($E191:I191,"²")+COUNTIF($E191:I191,"µ")+COUNTIF($E191:I191,1),ColDescriptionCourte))&gt;1,
HYPERLINK("#Roadmap!C"&amp; MATCH($E191,Roadmap!$D:$D,0)+COUNTIF($E191:I191,"u")+COUNTIF($E191:I191,"t")+COUNTIF($E191:I191,"¶")+COUNTIF($E191:I191,"²")+COUNTIF($E191:I191,"µ")+COUNTIF($E191:I191,1)-1,INDEX(Roadmap!$D:$K,MATCH($E191,Roadmap!$D:$D,0)-1+COUNTIF($E191:I191,"u")+COUNTIF($E191:I191,"t")+COUNTIF($E191:I191,"¶")+COUNTIF($E191:I191,"²")+COUNTIF($E191:I191,"µ")+COUNTIF($E191:I191,1),ColDescriptionCourte)),""),
  "")),"")</f>
        <v/>
      </c>
      <c r="K191" s="40" t="str">
        <f ca="1">IFERROR(IF(AND(
  INDEX(Roadmap!$D:$K,MATCH($E191,Roadmap!$D:$D,0)+COUNTIF($E191:J191,"u")+COUNTIF($E191:J191,"t")+COUNTIF($E191:J191,"¶")+COUNTIF($E191:J191,"²")+COUNTIF($E191:J191,"µ")+COUNTIF($E191:J191,1),ColLivraison)=K$6,
  VLOOKUP($E191,INDIRECT("tri!"&amp; CHAR(64+ C0Col) &amp;":"&amp; CHAR(65+C0Col)),2,FALSE)&gt;COUNTIF($E191:J191,"u")+COUNTIF($E191:J191,"t")+COUNTIF($E191:J191,"¶")+COUNTIF($E191:J191,"²")+COUNTIF($E191:J191,"µ")+COUNTIF($E191:J191,1)),
HYPERLINK("#Roadmap!C"&amp; MATCH($E191,Roadmap!$D:$D,0)+COUNTIF($E191:J191,"u")+COUNTIF($E191:J191,"t"),
     INDEX(Roadmap!$D:$K,MATCH($E191,Roadmap!$D:$D,0)+COUNTIF($E191:J191,"u")+COUNTIF($E191:J191,"t")+COUNTIF($E191:J191,"¶")+COUNTIF($E191:J191,"²")+COUNTIF($E191:J191,"µ")+COUNTIF($E191:J191,1),ColTypeEcheance)),
  IF(LEN(J191)=1,
  IF(LEN(INDEX(Roadmap!$D:$K,MATCH($E191,Roadmap!$D:$D,0)-1+COUNTIF($E191:J191,"u")+COUNTIF($E191:J191,"t")+COUNTIF($E191:J191,"¶")+COUNTIF($E191:J191,"²")+COUNTIF($E191:J191,"µ")+COUNTIF($E191:J191,1),ColDescriptionCourte))&gt;1,
HYPERLINK("#Roadmap!C"&amp; MATCH($E191,Roadmap!$D:$D,0)+COUNTIF($E191:J191,"u")+COUNTIF($E191:J191,"t")+COUNTIF($E191:J191,"¶")+COUNTIF($E191:J191,"²")+COUNTIF($E191:J191,"µ")+COUNTIF($E191:J191,1)-1,INDEX(Roadmap!$D:$K,MATCH($E191,Roadmap!$D:$D,0)-1+COUNTIF($E191:J191,"u")+COUNTIF($E191:J191,"t")+COUNTIF($E191:J191,"¶")+COUNTIF($E191:J191,"²")+COUNTIF($E191:J191,"µ")+COUNTIF($E191:J191,1),ColDescriptionCourte)),""),
  "")),"")</f>
        <v/>
      </c>
      <c r="L191" s="39" t="str">
        <f ca="1">IFERROR(IF(AND(
  INDEX(Roadmap!$D:$K,MATCH($E191,Roadmap!$D:$D,0)+COUNTIF($E191:K191,"u")+COUNTIF($E191:K191,"t")+COUNTIF($E191:K191,"¶")+COUNTIF($E191:K191,"²")+COUNTIF($E191:K191,"µ")+COUNTIF($E191:K191,1),ColLivraison)=L$6,
  VLOOKUP($E191,INDIRECT("tri!"&amp; CHAR(64+ C0Col) &amp;":"&amp; CHAR(65+C0Col)),2,FALSE)&gt;COUNTIF($E191:K191,"u")+COUNTIF($E191:K191,"t")+COUNTIF($E191:K191,"¶")+COUNTIF($E191:K191,"²")+COUNTIF($E191:K191,"µ")+COUNTIF($E191:K191,1)),
HYPERLINK("#Roadmap!C"&amp; MATCH($E191,Roadmap!$D:$D,0)+COUNTIF($E191:K191,"u")+COUNTIF($E191:K191,"t"),
     INDEX(Roadmap!$D:$K,MATCH($E191,Roadmap!$D:$D,0)+COUNTIF($E191:K191,"u")+COUNTIF($E191:K191,"t")+COUNTIF($E191:K191,"¶")+COUNTIF($E191:K191,"²")+COUNTIF($E191:K191,"µ")+COUNTIF($E191:K191,1),ColTypeEcheance)),
  IF(LEN(K191)=1,
  IF(LEN(INDEX(Roadmap!$D:$K,MATCH($E191,Roadmap!$D:$D,0)-1+COUNTIF($E191:K191,"u")+COUNTIF($E191:K191,"t")+COUNTIF($E191:K191,"¶")+COUNTIF($E191:K191,"²")+COUNTIF($E191:K191,"µ")+COUNTIF($E191:K191,1),ColDescriptionCourte))&gt;1,
HYPERLINK("#Roadmap!C"&amp; MATCH($E191,Roadmap!$D:$D,0)+COUNTIF($E191:K191,"u")+COUNTIF($E191:K191,"t")+COUNTIF($E191:K191,"¶")+COUNTIF($E191:K191,"²")+COUNTIF($E191:K191,"µ")+COUNTIF($E191:K191,1)-1,INDEX(Roadmap!$D:$K,MATCH($E191,Roadmap!$D:$D,0)-1+COUNTIF($E191:K191,"u")+COUNTIF($E191:K191,"t")+COUNTIF($E191:K191,"¶")+COUNTIF($E191:K191,"²")+COUNTIF($E191:K191,"µ")+COUNTIF($E191:K191,1),ColDescriptionCourte)),""),
  "")),"")</f>
        <v/>
      </c>
      <c r="M191" s="40" t="str">
        <f ca="1">IFERROR(IF(AND(
  INDEX(Roadmap!$D:$K,MATCH($E191,Roadmap!$D:$D,0)+COUNTIF($E191:L191,"u")+COUNTIF($E191:L191,"t")+COUNTIF($E191:L191,"¶")+COUNTIF($E191:L191,"²")+COUNTIF($E191:L191,"µ")+COUNTIF($E191:L191,1),ColLivraison)=M$6,
  VLOOKUP($E191,INDIRECT("tri!"&amp; CHAR(64+ C0Col) &amp;":"&amp; CHAR(65+C0Col)),2,FALSE)&gt;COUNTIF($E191:L191,"u")+COUNTIF($E191:L191,"t")+COUNTIF($E191:L191,"¶")+COUNTIF($E191:L191,"²")+COUNTIF($E191:L191,"µ")+COUNTIF($E191:L191,1)),
HYPERLINK("#Roadmap!C"&amp; MATCH($E191,Roadmap!$D:$D,0)+COUNTIF($E191:L191,"u")+COUNTIF($E191:L191,"t"),
     INDEX(Roadmap!$D:$K,MATCH($E191,Roadmap!$D:$D,0)+COUNTIF($E191:L191,"u")+COUNTIF($E191:L191,"t")+COUNTIF($E191:L191,"¶")+COUNTIF($E191:L191,"²")+COUNTIF($E191:L191,"µ")+COUNTIF($E191:L191,1),ColTypeEcheance)),
  IF(LEN(L191)=1,
  IF(LEN(INDEX(Roadmap!$D:$K,MATCH($E191,Roadmap!$D:$D,0)-1+COUNTIF($E191:L191,"u")+COUNTIF($E191:L191,"t")+COUNTIF($E191:L191,"¶")+COUNTIF($E191:L191,"²")+COUNTIF($E191:L191,"µ")+COUNTIF($E191:L191,1),ColDescriptionCourte))&gt;1,
HYPERLINK("#Roadmap!C"&amp; MATCH($E191,Roadmap!$D:$D,0)+COUNTIF($E191:L191,"u")+COUNTIF($E191:L191,"t")+COUNTIF($E191:L191,"¶")+COUNTIF($E191:L191,"²")+COUNTIF($E191:L191,"µ")+COUNTIF($E191:L191,1)-1,INDEX(Roadmap!$D:$K,MATCH($E191,Roadmap!$D:$D,0)-1+COUNTIF($E191:L191,"u")+COUNTIF($E191:L191,"t")+COUNTIF($E191:L191,"¶")+COUNTIF($E191:L191,"²")+COUNTIF($E191:L191,"µ")+COUNTIF($E191:L191,1),ColDescriptionCourte)),""),
  "")),"")</f>
        <v/>
      </c>
      <c r="N191" s="40" t="str">
        <f ca="1">IFERROR(IF(AND(
  INDEX(Roadmap!$D:$K,MATCH($E191,Roadmap!$D:$D,0)+COUNTIF($E191:M191,"u")+COUNTIF($E191:M191,"t")+COUNTIF($E191:M191,"¶")+COUNTIF($E191:M191,"²")+COUNTIF($E191:M191,"µ")+COUNTIF($E191:M191,1),ColLivraison)=N$6,
  VLOOKUP($E191,INDIRECT("tri!"&amp; CHAR(64+ C0Col) &amp;":"&amp; CHAR(65+C0Col)),2,FALSE)&gt;COUNTIF($E191:M191,"u")+COUNTIF($E191:M191,"t")+COUNTIF($E191:M191,"¶")+COUNTIF($E191:M191,"²")+COUNTIF($E191:M191,"µ")+COUNTIF($E191:M191,1)),
HYPERLINK("#Roadmap!C"&amp; MATCH($E191,Roadmap!$D:$D,0)+COUNTIF($E191:M191,"u")+COUNTIF($E191:M191,"t"),
     INDEX(Roadmap!$D:$K,MATCH($E191,Roadmap!$D:$D,0)+COUNTIF($E191:M191,"u")+COUNTIF($E191:M191,"t")+COUNTIF($E191:M191,"¶")+COUNTIF($E191:M191,"²")+COUNTIF($E191:M191,"µ")+COUNTIF($E191:M191,1),ColTypeEcheance)),
  IF(LEN(M191)=1,
  IF(LEN(INDEX(Roadmap!$D:$K,MATCH($E191,Roadmap!$D:$D,0)-1+COUNTIF($E191:M191,"u")+COUNTIF($E191:M191,"t")+COUNTIF($E191:M191,"¶")+COUNTIF($E191:M191,"²")+COUNTIF($E191:M191,"µ")+COUNTIF($E191:M191,1),ColDescriptionCourte))&gt;1,
HYPERLINK("#Roadmap!C"&amp; MATCH($E191,Roadmap!$D:$D,0)+COUNTIF($E191:M191,"u")+COUNTIF($E191:M191,"t")+COUNTIF($E191:M191,"¶")+COUNTIF($E191:M191,"²")+COUNTIF($E191:M191,"µ")+COUNTIF($E191:M191,1)-1,INDEX(Roadmap!$D:$K,MATCH($E191,Roadmap!$D:$D,0)-1+COUNTIF($E191:M191,"u")+COUNTIF($E191:M191,"t")+COUNTIF($E191:M191,"¶")+COUNTIF($E191:M191,"²")+COUNTIF($E191:M191,"µ")+COUNTIF($E191:M191,1),ColDescriptionCourte)),""),
  "")),"")</f>
        <v/>
      </c>
      <c r="O191" s="40" t="str">
        <f ca="1">IFERROR(IF(AND(
  INDEX(Roadmap!$D:$K,MATCH($E191,Roadmap!$D:$D,0)+COUNTIF($E191:N191,"u")+COUNTIF($E191:N191,"t")+COUNTIF($E191:N191,"¶")+COUNTIF($E191:N191,"²")+COUNTIF($E191:N191,"µ")+COUNTIF($E191:N191,1),ColLivraison)=O$6,
  VLOOKUP($E191,INDIRECT("tri!"&amp; CHAR(64+ C0Col) &amp;":"&amp; CHAR(65+C0Col)),2,FALSE)&gt;COUNTIF($E191:N191,"u")+COUNTIF($E191:N191,"t")+COUNTIF($E191:N191,"¶")+COUNTIF($E191:N191,"²")+COUNTIF($E191:N191,"µ")+COUNTIF($E191:N191,1)),
HYPERLINK("#Roadmap!C"&amp; MATCH($E191,Roadmap!$D:$D,0)+COUNTIF($E191:N191,"u")+COUNTIF($E191:N191,"t"),
     INDEX(Roadmap!$D:$K,MATCH($E191,Roadmap!$D:$D,0)+COUNTIF($E191:N191,"u")+COUNTIF($E191:N191,"t")+COUNTIF($E191:N191,"¶")+COUNTIF($E191:N191,"²")+COUNTIF($E191:N191,"µ")+COUNTIF($E191:N191,1),ColTypeEcheance)),
  IF(LEN(N191)=1,
  IF(LEN(INDEX(Roadmap!$D:$K,MATCH($E191,Roadmap!$D:$D,0)-1+COUNTIF($E191:N191,"u")+COUNTIF($E191:N191,"t")+COUNTIF($E191:N191,"¶")+COUNTIF($E191:N191,"²")+COUNTIF($E191:N191,"µ")+COUNTIF($E191:N191,1),ColDescriptionCourte))&gt;1,
HYPERLINK("#Roadmap!C"&amp; MATCH($E191,Roadmap!$D:$D,0)+COUNTIF($E191:N191,"u")+COUNTIF($E191:N191,"t")+COUNTIF($E191:N191,"¶")+COUNTIF($E191:N191,"²")+COUNTIF($E191:N191,"µ")+COUNTIF($E191:N191,1)-1,INDEX(Roadmap!$D:$K,MATCH($E191,Roadmap!$D:$D,0)-1+COUNTIF($E191:N191,"u")+COUNTIF($E191:N191,"t")+COUNTIF($E191:N191,"¶")+COUNTIF($E191:N191,"²")+COUNTIF($E191:N191,"µ")+COUNTIF($E191:N191,1),ColDescriptionCourte)),""),
  "")),"")</f>
        <v/>
      </c>
      <c r="P191" s="40" t="str">
        <f ca="1">IFERROR(IF(AND(
  INDEX(Roadmap!$D:$K,MATCH($E191,Roadmap!$D:$D,0)+COUNTIF($E191:O191,"u")+COUNTIF($E191:O191,"t")+COUNTIF($E191:O191,"¶")+COUNTIF($E191:O191,"²")+COUNTIF($E191:O191,"µ")+COUNTIF($E191:O191,1),ColLivraison)=P$6,
  VLOOKUP($E191,INDIRECT("tri!"&amp; CHAR(64+ C0Col) &amp;":"&amp; CHAR(65+C0Col)),2,FALSE)&gt;COUNTIF($E191:O191,"u")+COUNTIF($E191:O191,"t")+COUNTIF($E191:O191,"¶")+COUNTIF($E191:O191,"²")+COUNTIF($E191:O191,"µ")+COUNTIF($E191:O191,1)),
HYPERLINK("#Roadmap!C"&amp; MATCH($E191,Roadmap!$D:$D,0)+COUNTIF($E191:O191,"u")+COUNTIF($E191:O191,"t"),
     INDEX(Roadmap!$D:$K,MATCH($E191,Roadmap!$D:$D,0)+COUNTIF($E191:O191,"u")+COUNTIF($E191:O191,"t")+COUNTIF($E191:O191,"¶")+COUNTIF($E191:O191,"²")+COUNTIF($E191:O191,"µ")+COUNTIF($E191:O191,1),ColTypeEcheance)),
  IF(LEN(O191)=1,
  IF(LEN(INDEX(Roadmap!$D:$K,MATCH($E191,Roadmap!$D:$D,0)-1+COUNTIF($E191:O191,"u")+COUNTIF($E191:O191,"t")+COUNTIF($E191:O191,"¶")+COUNTIF($E191:O191,"²")+COUNTIF($E191:O191,"µ")+COUNTIF($E191:O191,1),ColDescriptionCourte))&gt;1,
HYPERLINK("#Roadmap!C"&amp; MATCH($E191,Roadmap!$D:$D,0)+COUNTIF($E191:O191,"u")+COUNTIF($E191:O191,"t")+COUNTIF($E191:O191,"¶")+COUNTIF($E191:O191,"²")+COUNTIF($E191:O191,"µ")+COUNTIF($E191:O191,1)-1,INDEX(Roadmap!$D:$K,MATCH($E191,Roadmap!$D:$D,0)-1+COUNTIF($E191:O191,"u")+COUNTIF($E191:O191,"t")+COUNTIF($E191:O191,"¶")+COUNTIF($E191:O191,"²")+COUNTIF($E191:O191,"µ")+COUNTIF($E191:O191,1),ColDescriptionCourte)),""),
  "")),"")</f>
        <v/>
      </c>
      <c r="Q191" s="40" t="str">
        <f ca="1">IFERROR(IF(AND(
  INDEX(Roadmap!$D:$K,MATCH($E191,Roadmap!$D:$D,0)+COUNTIF($E191:P191,"u")+COUNTIF($E191:P191,"t")+COUNTIF($E191:P191,"¶")+COUNTIF($E191:P191,"²")+COUNTIF($E191:P191,"µ")+COUNTIF($E191:P191,1),ColLivraison)=Q$6,
  VLOOKUP($E191,INDIRECT("tri!"&amp; CHAR(64+ C0Col) &amp;":"&amp; CHAR(65+C0Col)),2,FALSE)&gt;COUNTIF($E191:P191,"u")+COUNTIF($E191:P191,"t")+COUNTIF($E191:P191,"¶")+COUNTIF($E191:P191,"²")+COUNTIF($E191:P191,"µ")+COUNTIF($E191:P191,1)),
HYPERLINK("#Roadmap!C"&amp; MATCH($E191,Roadmap!$D:$D,0)+COUNTIF($E191:P191,"u")+COUNTIF($E191:P191,"t"),
     INDEX(Roadmap!$D:$K,MATCH($E191,Roadmap!$D:$D,0)+COUNTIF($E191:P191,"u")+COUNTIF($E191:P191,"t")+COUNTIF($E191:P191,"¶")+COUNTIF($E191:P191,"²")+COUNTIF($E191:P191,"µ")+COUNTIF($E191:P191,1),ColTypeEcheance)),
  IF(LEN(P191)=1,
  IF(LEN(INDEX(Roadmap!$D:$K,MATCH($E191,Roadmap!$D:$D,0)-1+COUNTIF($E191:P191,"u")+COUNTIF($E191:P191,"t")+COUNTIF($E191:P191,"¶")+COUNTIF($E191:P191,"²")+COUNTIF($E191:P191,"µ")+COUNTIF($E191:P191,1),ColDescriptionCourte))&gt;1,
HYPERLINK("#Roadmap!C"&amp; MATCH($E191,Roadmap!$D:$D,0)+COUNTIF($E191:P191,"u")+COUNTIF($E191:P191,"t")+COUNTIF($E191:P191,"¶")+COUNTIF($E191:P191,"²")+COUNTIF($E191:P191,"µ")+COUNTIF($E191:P191,1)-1,INDEX(Roadmap!$D:$K,MATCH($E191,Roadmap!$D:$D,0)-1+COUNTIF($E191:P191,"u")+COUNTIF($E191:P191,"t")+COUNTIF($E191:P191,"¶")+COUNTIF($E191:P191,"²")+COUNTIF($E191:P191,"µ")+COUNTIF($E191:P191,1),ColDescriptionCourte)),""),
  "")),"")</f>
        <v/>
      </c>
      <c r="R191" s="40" t="str">
        <f ca="1">IFERROR(IF(AND(
  INDEX(Roadmap!$D:$K,MATCH($E191,Roadmap!$D:$D,0)+COUNTIF($E191:Q191,"u")+COUNTIF($E191:Q191,"t")+COUNTIF($E191:Q191,"¶")+COUNTIF($E191:Q191,"²")+COUNTIF($E191:Q191,"µ")+COUNTIF($E191:Q191,1),ColLivraison)=R$6,
  VLOOKUP($E191,INDIRECT("tri!"&amp; CHAR(64+ C0Col) &amp;":"&amp; CHAR(65+C0Col)),2,FALSE)&gt;COUNTIF($E191:Q191,"u")+COUNTIF($E191:Q191,"t")+COUNTIF($E191:Q191,"¶")+COUNTIF($E191:Q191,"²")+COUNTIF($E191:Q191,"µ")+COUNTIF($E191:Q191,1)),
HYPERLINK("#Roadmap!C"&amp; MATCH($E191,Roadmap!$D:$D,0)+COUNTIF($E191:Q191,"u")+COUNTIF($E191:Q191,"t"),
     INDEX(Roadmap!$D:$K,MATCH($E191,Roadmap!$D:$D,0)+COUNTIF($E191:Q191,"u")+COUNTIF($E191:Q191,"t")+COUNTIF($E191:Q191,"¶")+COUNTIF($E191:Q191,"²")+COUNTIF($E191:Q191,"µ")+COUNTIF($E191:Q191,1),ColTypeEcheance)),
  IF(LEN(Q191)=1,
  IF(LEN(INDEX(Roadmap!$D:$K,MATCH($E191,Roadmap!$D:$D,0)-1+COUNTIF($E191:Q191,"u")+COUNTIF($E191:Q191,"t")+COUNTIF($E191:Q191,"¶")+COUNTIF($E191:Q191,"²")+COUNTIF($E191:Q191,"µ")+COUNTIF($E191:Q191,1),ColDescriptionCourte))&gt;1,
HYPERLINK("#Roadmap!C"&amp; MATCH($E191,Roadmap!$D:$D,0)+COUNTIF($E191:Q191,"u")+COUNTIF($E191:Q191,"t")+COUNTIF($E191:Q191,"¶")+COUNTIF($E191:Q191,"²")+COUNTIF($E191:Q191,"µ")+COUNTIF($E191:Q191,1)-1,INDEX(Roadmap!$D:$K,MATCH($E191,Roadmap!$D:$D,0)-1+COUNTIF($E191:Q191,"u")+COUNTIF($E191:Q191,"t")+COUNTIF($E191:Q191,"¶")+COUNTIF($E191:Q191,"²")+COUNTIF($E191:Q191,"µ")+COUNTIF($E191:Q191,1),ColDescriptionCourte)),""),
  "")),"")</f>
        <v/>
      </c>
      <c r="S191" s="40" t="str">
        <f ca="1">IFERROR(IF(AND(
  INDEX(Roadmap!$D:$K,MATCH($E191,Roadmap!$D:$D,0)+COUNTIF($E191:R191,"u")+COUNTIF($E191:R191,"t")+COUNTIF($E191:R191,"¶")+COUNTIF($E191:R191,"²")+COUNTIF($E191:R191,"µ")+COUNTIF($E191:R191,1),ColLivraison)=S$6,
  VLOOKUP($E191,INDIRECT("tri!"&amp; CHAR(64+ C0Col) &amp;":"&amp; CHAR(65+C0Col)),2,FALSE)&gt;COUNTIF($E191:R191,"u")+COUNTIF($E191:R191,"t")+COUNTIF($E191:R191,"¶")+COUNTIF($E191:R191,"²")+COUNTIF($E191:R191,"µ")+COUNTIF($E191:R191,1)),
HYPERLINK("#Roadmap!C"&amp; MATCH($E191,Roadmap!$D:$D,0)+COUNTIF($E191:R191,"u")+COUNTIF($E191:R191,"t"),
     INDEX(Roadmap!$D:$K,MATCH($E191,Roadmap!$D:$D,0)+COUNTIF($E191:R191,"u")+COUNTIF($E191:R191,"t")+COUNTIF($E191:R191,"¶")+COUNTIF($E191:R191,"²")+COUNTIF($E191:R191,"µ")+COUNTIF($E191:R191,1),ColTypeEcheance)),
  IF(LEN(R191)=1,
  IF(LEN(INDEX(Roadmap!$D:$K,MATCH($E191,Roadmap!$D:$D,0)-1+COUNTIF($E191:R191,"u")+COUNTIF($E191:R191,"t")+COUNTIF($E191:R191,"¶")+COUNTIF($E191:R191,"²")+COUNTIF($E191:R191,"µ")+COUNTIF($E191:R191,1),ColDescriptionCourte))&gt;1,
HYPERLINK("#Roadmap!C"&amp; MATCH($E191,Roadmap!$D:$D,0)+COUNTIF($E191:R191,"u")+COUNTIF($E191:R191,"t")+COUNTIF($E191:R191,"¶")+COUNTIF($E191:R191,"²")+COUNTIF($E191:R191,"µ")+COUNTIF($E191:R191,1)-1,INDEX(Roadmap!$D:$K,MATCH($E191,Roadmap!$D:$D,0)-1+COUNTIF($E191:R191,"u")+COUNTIF($E191:R191,"t")+COUNTIF($E191:R191,"¶")+COUNTIF($E191:R191,"²")+COUNTIF($E191:R191,"µ")+COUNTIF($E191:R191,1),ColDescriptionCourte)),""),
  "")),"")</f>
        <v/>
      </c>
      <c r="T191" s="40" t="str">
        <f ca="1">IFERROR(IF(AND(
  INDEX(Roadmap!$D:$K,MATCH($E191,Roadmap!$D:$D,0)+COUNTIF($E191:S191,"u")+COUNTIF($E191:S191,"t")+COUNTIF($E191:S191,"¶")+COUNTIF($E191:S191,"²")+COUNTIF($E191:S191,"µ")+COUNTIF($E191:S191,1),ColLivraison)=T$6,
  VLOOKUP($E191,INDIRECT("tri!"&amp; CHAR(64+ C0Col) &amp;":"&amp; CHAR(65+C0Col)),2,FALSE)&gt;COUNTIF($E191:S191,"u")+COUNTIF($E191:S191,"t")+COUNTIF($E191:S191,"¶")+COUNTIF($E191:S191,"²")+COUNTIF($E191:S191,"µ")+COUNTIF($E191:S191,1)),
HYPERLINK("#Roadmap!C"&amp; MATCH($E191,Roadmap!$D:$D,0)+COUNTIF($E191:S191,"u")+COUNTIF($E191:S191,"t"),
     INDEX(Roadmap!$D:$K,MATCH($E191,Roadmap!$D:$D,0)+COUNTIF($E191:S191,"u")+COUNTIF($E191:S191,"t")+COUNTIF($E191:S191,"¶")+COUNTIF($E191:S191,"²")+COUNTIF($E191:S191,"µ")+COUNTIF($E191:S191,1),ColTypeEcheance)),
  IF(LEN(S191)=1,
  IF(LEN(INDEX(Roadmap!$D:$K,MATCH($E191,Roadmap!$D:$D,0)-1+COUNTIF($E191:S191,"u")+COUNTIF($E191:S191,"t")+COUNTIF($E191:S191,"¶")+COUNTIF($E191:S191,"²")+COUNTIF($E191:S191,"µ")+COUNTIF($E191:S191,1),ColDescriptionCourte))&gt;1,
HYPERLINK("#Roadmap!C"&amp; MATCH($E191,Roadmap!$D:$D,0)+COUNTIF($E191:S191,"u")+COUNTIF($E191:S191,"t")+COUNTIF($E191:S191,"¶")+COUNTIF($E191:S191,"²")+COUNTIF($E191:S191,"µ")+COUNTIF($E191:S191,1)-1,INDEX(Roadmap!$D:$K,MATCH($E191,Roadmap!$D:$D,0)-1+COUNTIF($E191:S191,"u")+COUNTIF($E191:S191,"t")+COUNTIF($E191:S191,"¶")+COUNTIF($E191:S191,"²")+COUNTIF($E191:S191,"µ")+COUNTIF($E191:S191,1),ColDescriptionCourte)),""),
  "")),"")</f>
        <v/>
      </c>
      <c r="U191" s="40" t="str">
        <f ca="1">IFERROR(IF(AND(
  INDEX(Roadmap!$D:$K,MATCH($E191,Roadmap!$D:$D,0)+COUNTIF($E191:T191,"u")+COUNTIF($E191:T191,"t")+COUNTIF($E191:T191,"¶")+COUNTIF($E191:T191,"²")+COUNTIF($E191:T191,"µ")+COUNTIF($E191:T191,1),ColLivraison)=U$6,
  VLOOKUP($E191,INDIRECT("tri!"&amp; CHAR(64+ C0Col) &amp;":"&amp; CHAR(65+C0Col)),2,FALSE)&gt;COUNTIF($E191:T191,"u")+COUNTIF($E191:T191,"t")+COUNTIF($E191:T191,"¶")+COUNTIF($E191:T191,"²")+COUNTIF($E191:T191,"µ")+COUNTIF($E191:T191,1)),
HYPERLINK("#Roadmap!C"&amp; MATCH($E191,Roadmap!$D:$D,0)+COUNTIF($E191:T191,"u")+COUNTIF($E191:T191,"t"),
     INDEX(Roadmap!$D:$K,MATCH($E191,Roadmap!$D:$D,0)+COUNTIF($E191:T191,"u")+COUNTIF($E191:T191,"t")+COUNTIF($E191:T191,"¶")+COUNTIF($E191:T191,"²")+COUNTIF($E191:T191,"µ")+COUNTIF($E191:T191,1),ColTypeEcheance)),
  IF(LEN(T191)=1,
  IF(LEN(INDEX(Roadmap!$D:$K,MATCH($E191,Roadmap!$D:$D,0)-1+COUNTIF($E191:T191,"u")+COUNTIF($E191:T191,"t")+COUNTIF($E191:T191,"¶")+COUNTIF($E191:T191,"²")+COUNTIF($E191:T191,"µ")+COUNTIF($E191:T191,1),ColDescriptionCourte))&gt;1,
HYPERLINK("#Roadmap!C"&amp; MATCH($E191,Roadmap!$D:$D,0)+COUNTIF($E191:T191,"u")+COUNTIF($E191:T191,"t")+COUNTIF($E191:T191,"¶")+COUNTIF($E191:T191,"²")+COUNTIF($E191:T191,"µ")+COUNTIF($E191:T191,1)-1,INDEX(Roadmap!$D:$K,MATCH($E191,Roadmap!$D:$D,0)-1+COUNTIF($E191:T191,"u")+COUNTIF($E191:T191,"t")+COUNTIF($E191:T191,"¶")+COUNTIF($E191:T191,"²")+COUNTIF($E191:T191,"µ")+COUNTIF($E191:T191,1),ColDescriptionCourte)),""),
  "")),"")</f>
        <v/>
      </c>
      <c r="V191" s="40" t="str">
        <f ca="1">IFERROR(IF(AND(
  INDEX(Roadmap!$D:$K,MATCH($E191,Roadmap!$D:$D,0)+COUNTIF($E191:U191,"u")+COUNTIF($E191:U191,"t")+COUNTIF($E191:U191,"¶")+COUNTIF($E191:U191,"²")+COUNTIF($E191:U191,"µ")+COUNTIF($E191:U191,1),ColLivraison)=V$6,
  VLOOKUP($E191,INDIRECT("tri!"&amp; CHAR(64+ C0Col) &amp;":"&amp; CHAR(65+C0Col)),2,FALSE)&gt;COUNTIF($E191:U191,"u")+COUNTIF($E191:U191,"t")+COUNTIF($E191:U191,"¶")+COUNTIF($E191:U191,"²")+COUNTIF($E191:U191,"µ")+COUNTIF($E191:U191,1)),
HYPERLINK("#Roadmap!C"&amp; MATCH($E191,Roadmap!$D:$D,0)+COUNTIF($E191:U191,"u")+COUNTIF($E191:U191,"t"),
     INDEX(Roadmap!$D:$K,MATCH($E191,Roadmap!$D:$D,0)+COUNTIF($E191:U191,"u")+COUNTIF($E191:U191,"t")+COUNTIF($E191:U191,"¶")+COUNTIF($E191:U191,"²")+COUNTIF($E191:U191,"µ")+COUNTIF($E191:U191,1),ColTypeEcheance)),
  IF(LEN(U191)=1,
  IF(LEN(INDEX(Roadmap!$D:$K,MATCH($E191,Roadmap!$D:$D,0)-1+COUNTIF($E191:U191,"u")+COUNTIF($E191:U191,"t")+COUNTIF($E191:U191,"¶")+COUNTIF($E191:U191,"²")+COUNTIF($E191:U191,"µ")+COUNTIF($E191:U191,1),ColDescriptionCourte))&gt;1,
HYPERLINK("#Roadmap!C"&amp; MATCH($E191,Roadmap!$D:$D,0)+COUNTIF($E191:U191,"u")+COUNTIF($E191:U191,"t")+COUNTIF($E191:U191,"¶")+COUNTIF($E191:U191,"²")+COUNTIF($E191:U191,"µ")+COUNTIF($E191:U191,1)-1,INDEX(Roadmap!$D:$K,MATCH($E191,Roadmap!$D:$D,0)-1+COUNTIF($E191:U191,"u")+COUNTIF($E191:U191,"t")+COUNTIF($E191:U191,"¶")+COUNTIF($E191:U191,"²")+COUNTIF($E191:U191,"µ")+COUNTIF($E191:U191,1),ColDescriptionCourte)),""),
  "")),"")</f>
        <v/>
      </c>
      <c r="W191" s="40" t="str">
        <f ca="1">IFERROR(IF(AND(
  INDEX(Roadmap!$D:$K,MATCH($E191,Roadmap!$D:$D,0)+COUNTIF($E191:V191,"u")+COUNTIF($E191:V191,"t")+COUNTIF($E191:V191,"¶")+COUNTIF($E191:V191,"²")+COUNTIF($E191:V191,"µ")+COUNTIF($E191:V191,1),ColLivraison)=W$6,
  VLOOKUP($E191,INDIRECT("tri!"&amp; CHAR(64+ C0Col) &amp;":"&amp; CHAR(65+C0Col)),2,FALSE)&gt;COUNTIF($E191:V191,"u")+COUNTIF($E191:V191,"t")+COUNTIF($E191:V191,"¶")+COUNTIF($E191:V191,"²")+COUNTIF($E191:V191,"µ")+COUNTIF($E191:V191,1)),
HYPERLINK("#Roadmap!C"&amp; MATCH($E191,Roadmap!$D:$D,0)+COUNTIF($E191:V191,"u")+COUNTIF($E191:V191,"t"),
     INDEX(Roadmap!$D:$K,MATCH($E191,Roadmap!$D:$D,0)+COUNTIF($E191:V191,"u")+COUNTIF($E191:V191,"t")+COUNTIF($E191:V191,"¶")+COUNTIF($E191:V191,"²")+COUNTIF($E191:V191,"µ")+COUNTIF($E191:V191,1),ColTypeEcheance)),
  IF(LEN(V191)=1,
  IF(LEN(INDEX(Roadmap!$D:$K,MATCH($E191,Roadmap!$D:$D,0)-1+COUNTIF($E191:V191,"u")+COUNTIF($E191:V191,"t")+COUNTIF($E191:V191,"¶")+COUNTIF($E191:V191,"²")+COUNTIF($E191:V191,"µ")+COUNTIF($E191:V191,1),ColDescriptionCourte))&gt;1,
HYPERLINK("#Roadmap!C"&amp; MATCH($E191,Roadmap!$D:$D,0)+COUNTIF($E191:V191,"u")+COUNTIF($E191:V191,"t")+COUNTIF($E191:V191,"¶")+COUNTIF($E191:V191,"²")+COUNTIF($E191:V191,"µ")+COUNTIF($E191:V191,1)-1,INDEX(Roadmap!$D:$K,MATCH($E191,Roadmap!$D:$D,0)-1+COUNTIF($E191:V191,"u")+COUNTIF($E191:V191,"t")+COUNTIF($E191:V191,"¶")+COUNTIF($E191:V191,"²")+COUNTIF($E191:V191,"µ")+COUNTIF($E191:V191,1),ColDescriptionCourte)),""),
  "")),"")</f>
        <v/>
      </c>
      <c r="X191" s="40" t="str">
        <f ca="1">IFERROR(IF(AND(
  INDEX(Roadmap!$D:$K,MATCH($E191,Roadmap!$D:$D,0)+COUNTIF($E191:W191,"u")+COUNTIF($E191:W191,"t")+COUNTIF($E191:W191,"¶")+COUNTIF($E191:W191,"²")+COUNTIF($E191:W191,"µ")+COUNTIF($E191:W191,1),ColLivraison)=X$6,
  VLOOKUP($E191,INDIRECT("tri!"&amp; CHAR(64+ C0Col) &amp;":"&amp; CHAR(65+C0Col)),2,FALSE)&gt;COUNTIF($E191:W191,"u")+COUNTIF($E191:W191,"t")+COUNTIF($E191:W191,"¶")+COUNTIF($E191:W191,"²")+COUNTIF($E191:W191,"µ")+COUNTIF($E191:W191,1)),
HYPERLINK("#Roadmap!C"&amp; MATCH($E191,Roadmap!$D:$D,0)+COUNTIF($E191:W191,"u")+COUNTIF($E191:W191,"t"),
     INDEX(Roadmap!$D:$K,MATCH($E191,Roadmap!$D:$D,0)+COUNTIF($E191:W191,"u")+COUNTIF($E191:W191,"t")+COUNTIF($E191:W191,"¶")+COUNTIF($E191:W191,"²")+COUNTIF($E191:W191,"µ")+COUNTIF($E191:W191,1),ColTypeEcheance)),
  IF(LEN(W191)=1,
  IF(LEN(INDEX(Roadmap!$D:$K,MATCH($E191,Roadmap!$D:$D,0)-1+COUNTIF($E191:W191,"u")+COUNTIF($E191:W191,"t")+COUNTIF($E191:W191,"¶")+COUNTIF($E191:W191,"²")+COUNTIF($E191:W191,"µ")+COUNTIF($E191:W191,1),ColDescriptionCourte))&gt;1,
HYPERLINK("#Roadmap!C"&amp; MATCH($E191,Roadmap!$D:$D,0)+COUNTIF($E191:W191,"u")+COUNTIF($E191:W191,"t")+COUNTIF($E191:W191,"¶")+COUNTIF($E191:W191,"²")+COUNTIF($E191:W191,"µ")+COUNTIF($E191:W191,1)-1,INDEX(Roadmap!$D:$K,MATCH($E191,Roadmap!$D:$D,0)-1+COUNTIF($E191:W191,"u")+COUNTIF($E191:W191,"t")+COUNTIF($E191:W191,"¶")+COUNTIF($E191:W191,"²")+COUNTIF($E191:W191,"µ")+COUNTIF($E191:W191,1),ColDescriptionCourte)),""),
  "")),"")</f>
        <v/>
      </c>
      <c r="Y191" s="40" t="str">
        <f ca="1">IFERROR(IF(AND(
  INDEX(Roadmap!$D:$K,MATCH($E191,Roadmap!$D:$D,0)+COUNTIF($E191:X191,"u")+COUNTIF($E191:X191,"t")+COUNTIF($E191:X191,"¶")+COUNTIF($E191:X191,"²")+COUNTIF($E191:X191,"µ")+COUNTIF($E191:X191,1),ColLivraison)=Y$6,
  VLOOKUP($E191,INDIRECT("tri!"&amp; CHAR(64+ C0Col) &amp;":"&amp; CHAR(65+C0Col)),2,FALSE)&gt;COUNTIF($E191:X191,"u")+COUNTIF($E191:X191,"t")+COUNTIF($E191:X191,"¶")+COUNTIF($E191:X191,"²")+COUNTIF($E191:X191,"µ")+COUNTIF($E191:X191,1)),
HYPERLINK("#Roadmap!C"&amp; MATCH($E191,Roadmap!$D:$D,0)+COUNTIF($E191:X191,"u")+COUNTIF($E191:X191,"t"),
     INDEX(Roadmap!$D:$K,MATCH($E191,Roadmap!$D:$D,0)+COUNTIF($E191:X191,"u")+COUNTIF($E191:X191,"t")+COUNTIF($E191:X191,"¶")+COUNTIF($E191:X191,"²")+COUNTIF($E191:X191,"µ")+COUNTIF($E191:X191,1),ColTypeEcheance)),
  IF(LEN(X191)=1,
  IF(LEN(INDEX(Roadmap!$D:$K,MATCH($E191,Roadmap!$D:$D,0)-1+COUNTIF($E191:X191,"u")+COUNTIF($E191:X191,"t")+COUNTIF($E191:X191,"¶")+COUNTIF($E191:X191,"²")+COUNTIF($E191:X191,"µ")+COUNTIF($E191:X191,1),ColDescriptionCourte))&gt;1,
HYPERLINK("#Roadmap!C"&amp; MATCH($E191,Roadmap!$D:$D,0)+COUNTIF($E191:X191,"u")+COUNTIF($E191:X191,"t")+COUNTIF($E191:X191,"¶")+COUNTIF($E191:X191,"²")+COUNTIF($E191:X191,"µ")+COUNTIF($E191:X191,1)-1,INDEX(Roadmap!$D:$K,MATCH($E191,Roadmap!$D:$D,0)-1+COUNTIF($E191:X191,"u")+COUNTIF($E191:X191,"t")+COUNTIF($E191:X191,"¶")+COUNTIF($E191:X191,"²")+COUNTIF($E191:X191,"µ")+COUNTIF($E191:X191,1),ColDescriptionCourte)),""),
  "")),"")</f>
        <v/>
      </c>
      <c r="Z191" s="40" t="str">
        <f ca="1">IFERROR(IF(AND(
  INDEX(Roadmap!$D:$K,MATCH($E191,Roadmap!$D:$D,0)+COUNTIF($E191:Y191,"u")+COUNTIF($E191:Y191,"t")+COUNTIF($E191:Y191,"¶")+COUNTIF($E191:Y191,"²")+COUNTIF($E191:Y191,"µ")+COUNTIF($E191:Y191,1),ColLivraison)=Z$6,
  VLOOKUP($E191,INDIRECT("tri!"&amp; CHAR(64+ C0Col) &amp;":"&amp; CHAR(65+C0Col)),2,FALSE)&gt;COUNTIF($E191:Y191,"u")+COUNTIF($E191:Y191,"t")+COUNTIF($E191:Y191,"¶")+COUNTIF($E191:Y191,"²")+COUNTIF($E191:Y191,"µ")+COUNTIF($E191:Y191,1)),
HYPERLINK("#Roadmap!C"&amp; MATCH($E191,Roadmap!$D:$D,0)+COUNTIF($E191:Y191,"u")+COUNTIF($E191:Y191,"t"),
     INDEX(Roadmap!$D:$K,MATCH($E191,Roadmap!$D:$D,0)+COUNTIF($E191:Y191,"u")+COUNTIF($E191:Y191,"t")+COUNTIF($E191:Y191,"¶")+COUNTIF($E191:Y191,"²")+COUNTIF($E191:Y191,"µ")+COUNTIF($E191:Y191,1),ColTypeEcheance)),
  IF(LEN(Y191)=1,
  IF(LEN(INDEX(Roadmap!$D:$K,MATCH($E191,Roadmap!$D:$D,0)-1+COUNTIF($E191:Y191,"u")+COUNTIF($E191:Y191,"t")+COUNTIF($E191:Y191,"¶")+COUNTIF($E191:Y191,"²")+COUNTIF($E191:Y191,"µ")+COUNTIF($E191:Y191,1),ColDescriptionCourte))&gt;1,
HYPERLINK("#Roadmap!C"&amp; MATCH($E191,Roadmap!$D:$D,0)+COUNTIF($E191:Y191,"u")+COUNTIF($E191:Y191,"t")+COUNTIF($E191:Y191,"¶")+COUNTIF($E191:Y191,"²")+COUNTIF($E191:Y191,"µ")+COUNTIF($E191:Y191,1)-1,INDEX(Roadmap!$D:$K,MATCH($E191,Roadmap!$D:$D,0)-1+COUNTIF($E191:Y191,"u")+COUNTIF($E191:Y191,"t")+COUNTIF($E191:Y191,"¶")+COUNTIF($E191:Y191,"²")+COUNTIF($E191:Y191,"µ")+COUNTIF($E191:Y191,1),ColDescriptionCourte)),""),
  "")),"")</f>
        <v/>
      </c>
      <c r="AA191" s="40" t="str">
        <f ca="1">IFERROR(IF(AND(
  INDEX(Roadmap!$D:$K,MATCH($E191,Roadmap!$D:$D,0)+COUNTIF($E191:Z191,"u")+COUNTIF($E191:Z191,"t")+COUNTIF($E191:Z191,"¶")+COUNTIF($E191:Z191,"²")+COUNTIF($E191:Z191,"µ")+COUNTIF($E191:Z191,1),ColLivraison)=AA$6,
  VLOOKUP($E191,INDIRECT("tri!"&amp; CHAR(64+ C0Col) &amp;":"&amp; CHAR(65+C0Col)),2,FALSE)&gt;COUNTIF($E191:Z191,"u")+COUNTIF($E191:Z191,"t")+COUNTIF($E191:Z191,"¶")+COUNTIF($E191:Z191,"²")+COUNTIF($E191:Z191,"µ")+COUNTIF($E191:Z191,1)),
HYPERLINK("#Roadmap!C"&amp; MATCH($E191,Roadmap!$D:$D,0)+COUNTIF($E191:Z191,"u")+COUNTIF($E191:Z191,"t"),
     INDEX(Roadmap!$D:$K,MATCH($E191,Roadmap!$D:$D,0)+COUNTIF($E191:Z191,"u")+COUNTIF($E191:Z191,"t")+COUNTIF($E191:Z191,"¶")+COUNTIF($E191:Z191,"²")+COUNTIF($E191:Z191,"µ")+COUNTIF($E191:Z191,1),ColTypeEcheance)),
  IF(LEN(Z191)=1,
  IF(LEN(INDEX(Roadmap!$D:$K,MATCH($E191,Roadmap!$D:$D,0)-1+COUNTIF($E191:Z191,"u")+COUNTIF($E191:Z191,"t")+COUNTIF($E191:Z191,"¶")+COUNTIF($E191:Z191,"²")+COUNTIF($E191:Z191,"µ")+COUNTIF($E191:Z191,1),ColDescriptionCourte))&gt;1,
HYPERLINK("#Roadmap!C"&amp; MATCH($E191,Roadmap!$D:$D,0)+COUNTIF($E191:Z191,"u")+COUNTIF($E191:Z191,"t")+COUNTIF($E191:Z191,"¶")+COUNTIF($E191:Z191,"²")+COUNTIF($E191:Z191,"µ")+COUNTIF($E191:Z191,1)-1,INDEX(Roadmap!$D:$K,MATCH($E191,Roadmap!$D:$D,0)-1+COUNTIF($E191:Z191,"u")+COUNTIF($E191:Z191,"t")+COUNTIF($E191:Z191,"¶")+COUNTIF($E191:Z191,"²")+COUNTIF($E191:Z191,"µ")+COUNTIF($E191:Z191,1),ColDescriptionCourte)),""),
  "")),"")</f>
        <v/>
      </c>
      <c r="AB191" s="40" t="str">
        <f ca="1">IFERROR(IF(AND(
  INDEX(Roadmap!$D:$K,MATCH($E191,Roadmap!$D:$D,0)+COUNTIF($E191:AA191,"u")+COUNTIF($E191:AA191,"t")+COUNTIF($E191:AA191,"¶")+COUNTIF($E191:AA191,"²")+COUNTIF($E191:AA191,"µ")+COUNTIF($E191:AA191,1),ColLivraison)=AB$6,
  VLOOKUP($E191,INDIRECT("tri!"&amp; CHAR(64+ C0Col) &amp;":"&amp; CHAR(65+C0Col)),2,FALSE)&gt;COUNTIF($E191:AA191,"u")+COUNTIF($E191:AA191,"t")+COUNTIF($E191:AA191,"¶")+COUNTIF($E191:AA191,"²")+COUNTIF($E191:AA191,"µ")+COUNTIF($E191:AA191,1)),
HYPERLINK("#Roadmap!C"&amp; MATCH($E191,Roadmap!$D:$D,0)+COUNTIF($E191:AA191,"u")+COUNTIF($E191:AA191,"t"),
     INDEX(Roadmap!$D:$K,MATCH($E191,Roadmap!$D:$D,0)+COUNTIF($E191:AA191,"u")+COUNTIF($E191:AA191,"t")+COUNTIF($E191:AA191,"¶")+COUNTIF($E191:AA191,"²")+COUNTIF($E191:AA191,"µ")+COUNTIF($E191:AA191,1),ColTypeEcheance)),
  IF(LEN(AA191)=1,
  IF(LEN(INDEX(Roadmap!$D:$K,MATCH($E191,Roadmap!$D:$D,0)-1+COUNTIF($E191:AA191,"u")+COUNTIF($E191:AA191,"t")+COUNTIF($E191:AA191,"¶")+COUNTIF($E191:AA191,"²")+COUNTIF($E191:AA191,"µ")+COUNTIF($E191:AA191,1),ColDescriptionCourte))&gt;1,
HYPERLINK("#Roadmap!C"&amp; MATCH($E191,Roadmap!$D:$D,0)+COUNTIF($E191:AA191,"u")+COUNTIF($E191:AA191,"t")+COUNTIF($E191:AA191,"¶")+COUNTIF($E191:AA191,"²")+COUNTIF($E191:AA191,"µ")+COUNTIF($E191:AA191,1)-1,INDEX(Roadmap!$D:$K,MATCH($E191,Roadmap!$D:$D,0)-1+COUNTIF($E191:AA191,"u")+COUNTIF($E191:AA191,"t")+COUNTIF($E191:AA191,"¶")+COUNTIF($E191:AA191,"²")+COUNTIF($E191:AA191,"µ")+COUNTIF($E191:AA191,1),ColDescriptionCourte)),""),
  "")),"")</f>
        <v/>
      </c>
      <c r="AC191" s="40" t="str">
        <f ca="1">IFERROR(IF(AND(
  INDEX(Roadmap!$D:$K,MATCH($E191,Roadmap!$D:$D,0)+COUNTIF($E191:AB191,"u")+COUNTIF($E191:AB191,"t")+COUNTIF($E191:AB191,"¶")+COUNTIF($E191:AB191,"²")+COUNTIF($E191:AB191,"µ")+COUNTIF($E191:AB191,1),ColLivraison)=AC$6,
  VLOOKUP($E191,INDIRECT("tri!"&amp; CHAR(64+ C0Col) &amp;":"&amp; CHAR(65+C0Col)),2,FALSE)&gt;COUNTIF($E191:AB191,"u")+COUNTIF($E191:AB191,"t")+COUNTIF($E191:AB191,"¶")+COUNTIF($E191:AB191,"²")+COUNTIF($E191:AB191,"µ")+COUNTIF($E191:AB191,1)),
HYPERLINK("#Roadmap!C"&amp; MATCH($E191,Roadmap!$D:$D,0)+COUNTIF($E191:AB191,"u")+COUNTIF($E191:AB191,"t"),
     INDEX(Roadmap!$D:$K,MATCH($E191,Roadmap!$D:$D,0)+COUNTIF($E191:AB191,"u")+COUNTIF($E191:AB191,"t")+COUNTIF($E191:AB191,"¶")+COUNTIF($E191:AB191,"²")+COUNTIF($E191:AB191,"µ")+COUNTIF($E191:AB191,1),ColTypeEcheance)),
  IF(LEN(AB191)=1,
  IF(LEN(INDEX(Roadmap!$D:$K,MATCH($E191,Roadmap!$D:$D,0)-1+COUNTIF($E191:AB191,"u")+COUNTIF($E191:AB191,"t")+COUNTIF($E191:AB191,"¶")+COUNTIF($E191:AB191,"²")+COUNTIF($E191:AB191,"µ")+COUNTIF($E191:AB191,1),ColDescriptionCourte))&gt;1,
HYPERLINK("#Roadmap!C"&amp; MATCH($E191,Roadmap!$D:$D,0)+COUNTIF($E191:AB191,"u")+COUNTIF($E191:AB191,"t")+COUNTIF($E191:AB191,"¶")+COUNTIF($E191:AB191,"²")+COUNTIF($E191:AB191,"µ")+COUNTIF($E191:AB191,1)-1,INDEX(Roadmap!$D:$K,MATCH($E191,Roadmap!$D:$D,0)-1+COUNTIF($E191:AB191,"u")+COUNTIF($E191:AB191,"t")+COUNTIF($E191:AB191,"¶")+COUNTIF($E191:AB191,"²")+COUNTIF($E191:AB191,"µ")+COUNTIF($E191:AB191,1),ColDescriptionCourte)),""),
  "")),"")</f>
        <v/>
      </c>
      <c r="AD191" s="40" t="str">
        <f ca="1">IFERROR(IF(AND(
  INDEX(Roadmap!$D:$K,MATCH($E191,Roadmap!$D:$D,0)+COUNTIF($E191:AC191,"u")+COUNTIF($E191:AC191,"t")+COUNTIF($E191:AC191,"¶")+COUNTIF($E191:AC191,"²")+COUNTIF($E191:AC191,"µ")+COUNTIF($E191:AC191,1),ColLivraison)=AD$6,
  VLOOKUP($E191,INDIRECT("tri!"&amp; CHAR(64+ C0Col) &amp;":"&amp; CHAR(65+C0Col)),2,FALSE)&gt;COUNTIF($E191:AC191,"u")+COUNTIF($E191:AC191,"t")+COUNTIF($E191:AC191,"¶")+COUNTIF($E191:AC191,"²")+COUNTIF($E191:AC191,"µ")+COUNTIF($E191:AC191,1)),
HYPERLINK("#Roadmap!C"&amp; MATCH($E191,Roadmap!$D:$D,0)+COUNTIF($E191:AC191,"u")+COUNTIF($E191:AC191,"t"),
     INDEX(Roadmap!$D:$K,MATCH($E191,Roadmap!$D:$D,0)+COUNTIF($E191:AC191,"u")+COUNTIF($E191:AC191,"t")+COUNTIF($E191:AC191,"¶")+COUNTIF($E191:AC191,"²")+COUNTIF($E191:AC191,"µ")+COUNTIF($E191:AC191,1),ColTypeEcheance)),
  IF(LEN(AC191)=1,
  IF(LEN(INDEX(Roadmap!$D:$K,MATCH($E191,Roadmap!$D:$D,0)-1+COUNTIF($E191:AC191,"u")+COUNTIF($E191:AC191,"t")+COUNTIF($E191:AC191,"¶")+COUNTIF($E191:AC191,"²")+COUNTIF($E191:AC191,"µ")+COUNTIF($E191:AC191,1),ColDescriptionCourte))&gt;1,
HYPERLINK("#Roadmap!C"&amp; MATCH($E191,Roadmap!$D:$D,0)+COUNTIF($E191:AC191,"u")+COUNTIF($E191:AC191,"t")+COUNTIF($E191:AC191,"¶")+COUNTIF($E191:AC191,"²")+COUNTIF($E191:AC191,"µ")+COUNTIF($E191:AC191,1)-1,INDEX(Roadmap!$D:$K,MATCH($E191,Roadmap!$D:$D,0)-1+COUNTIF($E191:AC191,"u")+COUNTIF($E191:AC191,"t")+COUNTIF($E191:AC191,"¶")+COUNTIF($E191:AC191,"²")+COUNTIF($E191:AC191,"µ")+COUNTIF($E191:AC191,1),ColDescriptionCourte)),""),
  "")),"")</f>
        <v/>
      </c>
      <c r="AE191" s="40" t="str">
        <f ca="1">IFERROR(IF(AND(
  INDEX(Roadmap!$D:$K,MATCH($E191,Roadmap!$D:$D,0)+COUNTIF($E191:AD191,"u")+COUNTIF($E191:AD191,"t")+COUNTIF($E191:AD191,"¶")+COUNTIF($E191:AD191,"²")+COUNTIF($E191:AD191,"µ")+COUNTIF($E191:AD191,1),ColLivraison)=AE$6,
  VLOOKUP($E191,INDIRECT("tri!"&amp; CHAR(64+ C0Col) &amp;":"&amp; CHAR(65+C0Col)),2,FALSE)&gt;COUNTIF($E191:AD191,"u")+COUNTIF($E191:AD191,"t")+COUNTIF($E191:AD191,"¶")+COUNTIF($E191:AD191,"²")+COUNTIF($E191:AD191,"µ")+COUNTIF($E191:AD191,1)),
HYPERLINK("#Roadmap!C"&amp; MATCH($E191,Roadmap!$D:$D,0)+COUNTIF($E191:AD191,"u")+COUNTIF($E191:AD191,"t"),
     INDEX(Roadmap!$D:$K,MATCH($E191,Roadmap!$D:$D,0)+COUNTIF($E191:AD191,"u")+COUNTIF($E191:AD191,"t")+COUNTIF($E191:AD191,"¶")+COUNTIF($E191:AD191,"²")+COUNTIF($E191:AD191,"µ")+COUNTIF($E191:AD191,1),ColTypeEcheance)),
  IF(LEN(AD191)=1,
  IF(LEN(INDEX(Roadmap!$D:$K,MATCH($E191,Roadmap!$D:$D,0)-1+COUNTIF($E191:AD191,"u")+COUNTIF($E191:AD191,"t")+COUNTIF($E191:AD191,"¶")+COUNTIF($E191:AD191,"²")+COUNTIF($E191:AD191,"µ")+COUNTIF($E191:AD191,1),ColDescriptionCourte))&gt;1,
HYPERLINK("#Roadmap!C"&amp; MATCH($E191,Roadmap!$D:$D,0)+COUNTIF($E191:AD191,"u")+COUNTIF($E191:AD191,"t")+COUNTIF($E191:AD191,"¶")+COUNTIF($E191:AD191,"²")+COUNTIF($E191:AD191,"µ")+COUNTIF($E191:AD191,1)-1,INDEX(Roadmap!$D:$K,MATCH($E191,Roadmap!$D:$D,0)-1+COUNTIF($E191:AD191,"u")+COUNTIF($E191:AD191,"t")+COUNTIF($E191:AD191,"¶")+COUNTIF($E191:AD191,"²")+COUNTIF($E191:AD191,"µ")+COUNTIF($E191:AD191,1),ColDescriptionCourte)),""),
  "")),"")</f>
        <v/>
      </c>
      <c r="AF191" s="40" t="str">
        <f ca="1">IFERROR(IF(AND(
  INDEX(Roadmap!$D:$K,MATCH($E191,Roadmap!$D:$D,0)+COUNTIF($E191:AE191,"u")+COUNTIF($E191:AE191,"t")+COUNTIF($E191:AE191,"¶")+COUNTIF($E191:AE191,"²")+COUNTIF($E191:AE191,"µ")+COUNTIF($E191:AE191,1),ColLivraison)=AF$6,
  VLOOKUP($E191,INDIRECT("tri!"&amp; CHAR(64+ C0Col) &amp;":"&amp; CHAR(65+C0Col)),2,FALSE)&gt;COUNTIF($E191:AE191,"u")+COUNTIF($E191:AE191,"t")+COUNTIF($E191:AE191,"¶")+COUNTIF($E191:AE191,"²")+COUNTIF($E191:AE191,"µ")+COUNTIF($E191:AE191,1)),
HYPERLINK("#Roadmap!C"&amp; MATCH($E191,Roadmap!$D:$D,0)+COUNTIF($E191:AE191,"u")+COUNTIF($E191:AE191,"t"),
     INDEX(Roadmap!$D:$K,MATCH($E191,Roadmap!$D:$D,0)+COUNTIF($E191:AE191,"u")+COUNTIF($E191:AE191,"t")+COUNTIF($E191:AE191,"¶")+COUNTIF($E191:AE191,"²")+COUNTIF($E191:AE191,"µ")+COUNTIF($E191:AE191,1),ColTypeEcheance)),
  IF(LEN(AE191)=1,
  IF(LEN(INDEX(Roadmap!$D:$K,MATCH($E191,Roadmap!$D:$D,0)-1+COUNTIF($E191:AE191,"u")+COUNTIF($E191:AE191,"t")+COUNTIF($E191:AE191,"¶")+COUNTIF($E191:AE191,"²")+COUNTIF($E191:AE191,"µ")+COUNTIF($E191:AE191,1),ColDescriptionCourte))&gt;1,
HYPERLINK("#Roadmap!C"&amp; MATCH($E191,Roadmap!$D:$D,0)+COUNTIF($E191:AE191,"u")+COUNTIF($E191:AE191,"t")+COUNTIF($E191:AE191,"¶")+COUNTIF($E191:AE191,"²")+COUNTIF($E191:AE191,"µ")+COUNTIF($E191:AE191,1)-1,INDEX(Roadmap!$D:$K,MATCH($E191,Roadmap!$D:$D,0)-1+COUNTIF($E191:AE191,"u")+COUNTIF($E191:AE191,"t")+COUNTIF($E191:AE191,"¶")+COUNTIF($E191:AE191,"²")+COUNTIF($E191:AE191,"µ")+COUNTIF($E191:AE191,1),ColDescriptionCourte)),""),
  "")),"")</f>
        <v/>
      </c>
      <c r="AG191" s="40" t="str">
        <f ca="1">IFERROR(IF(AND(
  INDEX(Roadmap!$D:$K,MATCH($E191,Roadmap!$D:$D,0)+COUNTIF($E191:AF191,"u")+COUNTIF($E191:AF191,"t")+COUNTIF($E191:AF191,"¶")+COUNTIF($E191:AF191,"²")+COUNTIF($E191:AF191,"µ")+COUNTIF($E191:AF191,1),ColLivraison)=AG$6,
  VLOOKUP($E191,INDIRECT("tri!"&amp; CHAR(64+ C0Col) &amp;":"&amp; CHAR(65+C0Col)),2,FALSE)&gt;COUNTIF($E191:AF191,"u")+COUNTIF($E191:AF191,"t")+COUNTIF($E191:AF191,"¶")+COUNTIF($E191:AF191,"²")+COUNTIF($E191:AF191,"µ")+COUNTIF($E191:AF191,1)),
HYPERLINK("#Roadmap!C"&amp; MATCH($E191,Roadmap!$D:$D,0)+COUNTIF($E191:AF191,"u")+COUNTIF($E191:AF191,"t"),
     INDEX(Roadmap!$D:$K,MATCH($E191,Roadmap!$D:$D,0)+COUNTIF($E191:AF191,"u")+COUNTIF($E191:AF191,"t")+COUNTIF($E191:AF191,"¶")+COUNTIF($E191:AF191,"²")+COUNTIF($E191:AF191,"µ")+COUNTIF($E191:AF191,1),ColTypeEcheance)),
  IF(LEN(AF191)=1,
  IF(LEN(INDEX(Roadmap!$D:$K,MATCH($E191,Roadmap!$D:$D,0)-1+COUNTIF($E191:AF191,"u")+COUNTIF($E191:AF191,"t")+COUNTIF($E191:AF191,"¶")+COUNTIF($E191:AF191,"²")+COUNTIF($E191:AF191,"µ")+COUNTIF($E191:AF191,1),ColDescriptionCourte))&gt;1,
HYPERLINK("#Roadmap!C"&amp; MATCH($E191,Roadmap!$D:$D,0)+COUNTIF($E191:AF191,"u")+COUNTIF($E191:AF191,"t")+COUNTIF($E191:AF191,"¶")+COUNTIF($E191:AF191,"²")+COUNTIF($E191:AF191,"µ")+COUNTIF($E191:AF191,1)-1,INDEX(Roadmap!$D:$K,MATCH($E191,Roadmap!$D:$D,0)-1+COUNTIF($E191:AF191,"u")+COUNTIF($E191:AF191,"t")+COUNTIF($E191:AF191,"¶")+COUNTIF($E191:AF191,"²")+COUNTIF($E191:AF191,"µ")+COUNTIF($E191:AF191,1),ColDescriptionCourte)),""),
  "")),"")</f>
        <v/>
      </c>
      <c r="AH191" s="40" t="str">
        <f ca="1">IFERROR(IF(AND(
  INDEX(Roadmap!$D:$K,MATCH($E191,Roadmap!$D:$D,0)+COUNTIF($E191:AG191,"u")+COUNTIF($E191:AG191,"t")+COUNTIF($E191:AG191,1),ColLivraison)=AH$6,
  VLOOKUP($E191,INDIRECT("tri!"&amp; CHAR(64+ C0Col) &amp;":"&amp; CHAR(65+C0Col)),2,FALSE)&gt;COUNTIF($E191:AG191,"u")+COUNTIF($E191:AG191,"t")+COUNTIF($E191:AG191,1)),
HYPERLINK("#Roadmap!C"&amp; MATCH($E191,Roadmap!$D:$D,0)+COUNTIF($E191:AG191,"u")+COUNTIF($E191:AG191,"t"),
     INDEX(Roadmap!$D:$K,MATCH($E191,Roadmap!$D:$D,0)+COUNTIF($E191:AG191,"u")+COUNTIF($E191:AG191,"t")+COUNTIF($E191:AG191,1),ColTypeEcheance)),
  IF(OR(AG191="u",AG191="t",AG191=1),
  IF(LEN(INDEX(Roadmap!$D:$K,MATCH($E191,Roadmap!$D:$D,0)-1+COUNTIF($E191:AG191,"u")+COUNTIF($E191:AG191,"t")+COUNTIF($E191:AG191,1),ColDescriptionCourte))&gt;1,
HYPERLINK("#Roadmap!C"&amp; MATCH($E191,Roadmap!$D:$D,0)+COUNTIF($E191:AG191,"u")+COUNTIF($E191:AG191,"t")+COUNTIF($E191:AG191,1)-1,INDEX(Roadmap!$D:$K,MATCH($E191,Roadmap!$D:$D,0)-1+COUNTIF($E191:AG191,"u")+COUNTIF($E191:AG191,"t")+COUNTIF($E191:AG191,1),ColDescriptionCourte)),""),
  "")),"")</f>
        <v/>
      </c>
      <c r="AI191" s="40"/>
      <c r="AJ191" s="40"/>
      <c r="AK191" s="40"/>
      <c r="AL191" s="40"/>
      <c r="AM191" s="40"/>
    </row>
    <row r="192" spans="4:39" ht="14.1" customHeight="1">
      <c r="D192" s="20" t="str">
        <f t="shared" ca="1" si="31"/>
        <v/>
      </c>
      <c r="E192" s="53" t="str">
        <f t="shared" ca="1" si="32"/>
        <v/>
      </c>
      <c r="F192" s="39" t="str">
        <f ca="1">IFERROR(IF(AND(
  INDEX(Roadmap!$D:$K,MATCH($E192,Roadmap!$D:$D,0)+COUNTIF($E192:E192,"u")+COUNTIF($E192:E192,"t")+COUNTIF($E192:E192,"¶")+COUNTIF($E192:E192,"²")+COUNTIF($E192:E192,"µ")+COUNTIF($E192:E192,1),ColLivraison)=F$6,
  VLOOKUP($E192,INDIRECT("tri!"&amp; CHAR(64+ C0Col) &amp;":"&amp; CHAR(65+C0Col)),2,FALSE)&gt;COUNTIF($E192:E192,"u")+COUNTIF($E192:E192,"t")+COUNTIF($E192:E192,"¶")+COUNTIF($E192:E192,"²")+COUNTIF($E192:E192,"µ")+COUNTIF($E192:E192,1)),
HYPERLINK("#Roadmap!C"&amp; MATCH($E192,Roadmap!$D:$D,0)+COUNTIF($E192:E192,"u")+COUNTIF($E192:E192,"t"),
     INDEX(Roadmap!$D:$K,MATCH($E192,Roadmap!$D:$D,0)+COUNTIF($E192:E192,"u")+COUNTIF($E192:E192,"t")+COUNTIF($E192:E192,"¶")+COUNTIF($E192:E192,"²")+COUNTIF($E192:E192,"µ")+COUNTIF($E192:E192,1),ColTypeEcheance)),
  IF(LEN(E192)=1,
  IF(LEN(INDEX(Roadmap!$D:$K,MATCH($E192,Roadmap!$D:$D,0)-1+COUNTIF($E192:E192,"u")+COUNTIF($E192:E192,"t")+COUNTIF($E192:E192,"¶")+COUNTIF($E192:E192,"²")+COUNTIF($E192:E192,"µ")+COUNTIF($E192:E192,1),ColDescriptionCourte))&gt;1,
HYPERLINK("#Roadmap!C"&amp; MATCH($E192,Roadmap!$D:$D,0)+COUNTIF($E192:E192,"u")+COUNTIF($E192:E192,"t")+COUNTIF($E192:E192,"¶")+COUNTIF($E192:E192,"²")+COUNTIF($E192:E192,"µ")+COUNTIF($E192:E192,1)-1,INDEX(Roadmap!$D:$K,MATCH($E192,Roadmap!$D:$D,0)-1+COUNTIF($E192:E192,"u")+COUNTIF($E192:E192,"t")+COUNTIF($E192:E192,"¶")+COUNTIF($E192:E192,"²")+COUNTIF($E192:E192,"µ")+COUNTIF($E192:E192,1),ColDescriptionCourte)),""),
  "")),"")</f>
        <v/>
      </c>
      <c r="G192" s="40" t="str">
        <f ca="1">IFERROR(IF(AND(
  INDEX(Roadmap!$D:$K,MATCH($E192,Roadmap!$D:$D,0)+COUNTIF($E192:F192,"u")+COUNTIF($E192:F192,"t")+COUNTIF($E192:F192,"¶")+COUNTIF($E192:F192,"²")+COUNTIF($E192:F192,"µ")+COUNTIF($E192:F192,1),ColLivraison)=G$6,
  VLOOKUP($E192,INDIRECT("tri!"&amp; CHAR(64+ C0Col) &amp;":"&amp; CHAR(65+C0Col)),2,FALSE)&gt;COUNTIF($E192:F192,"u")+COUNTIF($E192:F192,"t")+COUNTIF($E192:F192,"¶")+COUNTIF($E192:F192,"²")+COUNTIF($E192:F192,"µ")+COUNTIF($E192:F192,1)),
HYPERLINK("#Roadmap!C"&amp; MATCH($E192,Roadmap!$D:$D,0)+COUNTIF($E192:F192,"u")+COUNTIF($E192:F192,"t"),
     INDEX(Roadmap!$D:$K,MATCH($E192,Roadmap!$D:$D,0)+COUNTIF($E192:F192,"u")+COUNTIF($E192:F192,"t")+COUNTIF($E192:F192,"¶")+COUNTIF($E192:F192,"²")+COUNTIF($E192:F192,"µ")+COUNTIF($E192:F192,1),ColTypeEcheance)),
  IF(LEN(F192)=1,
  IF(LEN(INDEX(Roadmap!$D:$K,MATCH($E192,Roadmap!$D:$D,0)-1+COUNTIF($E192:F192,"u")+COUNTIF($E192:F192,"t")+COUNTIF($E192:F192,"¶")+COUNTIF($E192:F192,"²")+COUNTIF($E192:F192,"µ")+COUNTIF($E192:F192,1),ColDescriptionCourte))&gt;1,
HYPERLINK("#Roadmap!C"&amp; MATCH($E192,Roadmap!$D:$D,0)+COUNTIF($E192:F192,"u")+COUNTIF($E192:F192,"t")+COUNTIF($E192:F192,"¶")+COUNTIF($E192:F192,"²")+COUNTIF($E192:F192,"µ")+COUNTIF($E192:F192,1)-1,INDEX(Roadmap!$D:$K,MATCH($E192,Roadmap!$D:$D,0)-1+COUNTIF($E192:F192,"u")+COUNTIF($E192:F192,"t")+COUNTIF($E192:F192,"¶")+COUNTIF($E192:F192,"²")+COUNTIF($E192:F192,"µ")+COUNTIF($E192:F192,1),ColDescriptionCourte)),""),
  "")),"")</f>
        <v/>
      </c>
      <c r="H192" s="40" t="str">
        <f ca="1">IFERROR(IF(AND(
  INDEX(Roadmap!$D:$K,MATCH($E192,Roadmap!$D:$D,0)+COUNTIF($E192:G192,"u")+COUNTIF($E192:G192,"t")+COUNTIF($E192:G192,"¶")+COUNTIF($E192:G192,"²")+COUNTIF($E192:G192,"µ")+COUNTIF($E192:G192,1),ColLivraison)=H$6,
  VLOOKUP($E192,INDIRECT("tri!"&amp; CHAR(64+ C0Col) &amp;":"&amp; CHAR(65+C0Col)),2,FALSE)&gt;COUNTIF($E192:G192,"u")+COUNTIF($E192:G192,"t")+COUNTIF($E192:G192,"¶")+COUNTIF($E192:G192,"²")+COUNTIF($E192:G192,"µ")+COUNTIF($E192:G192,1)),
HYPERLINK("#Roadmap!C"&amp; MATCH($E192,Roadmap!$D:$D,0)+COUNTIF($E192:G192,"u")+COUNTIF($E192:G192,"t"),
     INDEX(Roadmap!$D:$K,MATCH($E192,Roadmap!$D:$D,0)+COUNTIF($E192:G192,"u")+COUNTIF($E192:G192,"t")+COUNTIF($E192:G192,"¶")+COUNTIF($E192:G192,"²")+COUNTIF($E192:G192,"µ")+COUNTIF($E192:G192,1),ColTypeEcheance)),
  IF(LEN(G192)=1,
  IF(LEN(INDEX(Roadmap!$D:$K,MATCH($E192,Roadmap!$D:$D,0)-1+COUNTIF($E192:G192,"u")+COUNTIF($E192:G192,"t")+COUNTIF($E192:G192,"¶")+COUNTIF($E192:G192,"²")+COUNTIF($E192:G192,"µ")+COUNTIF($E192:G192,1),ColDescriptionCourte))&gt;1,
HYPERLINK("#Roadmap!C"&amp; MATCH($E192,Roadmap!$D:$D,0)+COUNTIF($E192:G192,"u")+COUNTIF($E192:G192,"t")+COUNTIF($E192:G192,"¶")+COUNTIF($E192:G192,"²")+COUNTIF($E192:G192,"µ")+COUNTIF($E192:G192,1)-1,INDEX(Roadmap!$D:$K,MATCH($E192,Roadmap!$D:$D,0)-1+COUNTIF($E192:G192,"u")+COUNTIF($E192:G192,"t")+COUNTIF($E192:G192,"¶")+COUNTIF($E192:G192,"²")+COUNTIF($E192:G192,"µ")+COUNTIF($E192:G192,1),ColDescriptionCourte)),""),
  "")),"")</f>
        <v/>
      </c>
      <c r="I192" s="40" t="str">
        <f ca="1">IFERROR(IF(AND(
  INDEX(Roadmap!$D:$K,MATCH($E192,Roadmap!$D:$D,0)+COUNTIF($E192:H192,"u")+COUNTIF($E192:H192,"t")+COUNTIF($E192:H192,"¶")+COUNTIF($E192:H192,"²")+COUNTIF($E192:H192,"µ")+COUNTIF($E192:H192,1),ColLivraison)=I$6,
  VLOOKUP($E192,INDIRECT("tri!"&amp; CHAR(64+ C0Col) &amp;":"&amp; CHAR(65+C0Col)),2,FALSE)&gt;COUNTIF($E192:H192,"u")+COUNTIF($E192:H192,"t")+COUNTIF($E192:H192,"¶")+COUNTIF($E192:H192,"²")+COUNTIF($E192:H192,"µ")+COUNTIF($E192:H192,1)),
HYPERLINK("#Roadmap!C"&amp; MATCH($E192,Roadmap!$D:$D,0)+COUNTIF($E192:H192,"u")+COUNTIF($E192:H192,"t"),
     INDEX(Roadmap!$D:$K,MATCH($E192,Roadmap!$D:$D,0)+COUNTIF($E192:H192,"u")+COUNTIF($E192:H192,"t")+COUNTIF($E192:H192,"¶")+COUNTIF($E192:H192,"²")+COUNTIF($E192:H192,"µ")+COUNTIF($E192:H192,1),ColTypeEcheance)),
  IF(LEN(H192)=1,
  IF(LEN(INDEX(Roadmap!$D:$K,MATCH($E192,Roadmap!$D:$D,0)-1+COUNTIF($E192:H192,"u")+COUNTIF($E192:H192,"t")+COUNTIF($E192:H192,"¶")+COUNTIF($E192:H192,"²")+COUNTIF($E192:H192,"µ")+COUNTIF($E192:H192,1),ColDescriptionCourte))&gt;1,
HYPERLINK("#Roadmap!C"&amp; MATCH($E192,Roadmap!$D:$D,0)+COUNTIF($E192:H192,"u")+COUNTIF($E192:H192,"t")+COUNTIF($E192:H192,"¶")+COUNTIF($E192:H192,"²")+COUNTIF($E192:H192,"µ")+COUNTIF($E192:H192,1)-1,INDEX(Roadmap!$D:$K,MATCH($E192,Roadmap!$D:$D,0)-1+COUNTIF($E192:H192,"u")+COUNTIF($E192:H192,"t")+COUNTIF($E192:H192,"¶")+COUNTIF($E192:H192,"²")+COUNTIF($E192:H192,"µ")+COUNTIF($E192:H192,1),ColDescriptionCourte)),""),
  "")),"")</f>
        <v/>
      </c>
      <c r="J192" s="40" t="str">
        <f ca="1">IFERROR(IF(AND(
  INDEX(Roadmap!$D:$K,MATCH($E192,Roadmap!$D:$D,0)+COUNTIF($E192:I192,"u")+COUNTIF($E192:I192,"t")+COUNTIF($E192:I192,"¶")+COUNTIF($E192:I192,"²")+COUNTIF($E192:I192,"µ")+COUNTIF($E192:I192,1),ColLivraison)=J$6,
  VLOOKUP($E192,INDIRECT("tri!"&amp; CHAR(64+ C0Col) &amp;":"&amp; CHAR(65+C0Col)),2,FALSE)&gt;COUNTIF($E192:I192,"u")+COUNTIF($E192:I192,"t")+COUNTIF($E192:I192,"¶")+COUNTIF($E192:I192,"²")+COUNTIF($E192:I192,"µ")+COUNTIF($E192:I192,1)),
HYPERLINK("#Roadmap!C"&amp; MATCH($E192,Roadmap!$D:$D,0)+COUNTIF($E192:I192,"u")+COUNTIF($E192:I192,"t"),
     INDEX(Roadmap!$D:$K,MATCH($E192,Roadmap!$D:$D,0)+COUNTIF($E192:I192,"u")+COUNTIF($E192:I192,"t")+COUNTIF($E192:I192,"¶")+COUNTIF($E192:I192,"²")+COUNTIF($E192:I192,"µ")+COUNTIF($E192:I192,1),ColTypeEcheance)),
  IF(LEN(I192)=1,
  IF(LEN(INDEX(Roadmap!$D:$K,MATCH($E192,Roadmap!$D:$D,0)-1+COUNTIF($E192:I192,"u")+COUNTIF($E192:I192,"t")+COUNTIF($E192:I192,"¶")+COUNTIF($E192:I192,"²")+COUNTIF($E192:I192,"µ")+COUNTIF($E192:I192,1),ColDescriptionCourte))&gt;1,
HYPERLINK("#Roadmap!C"&amp; MATCH($E192,Roadmap!$D:$D,0)+COUNTIF($E192:I192,"u")+COUNTIF($E192:I192,"t")+COUNTIF($E192:I192,"¶")+COUNTIF($E192:I192,"²")+COUNTIF($E192:I192,"µ")+COUNTIF($E192:I192,1)-1,INDEX(Roadmap!$D:$K,MATCH($E192,Roadmap!$D:$D,0)-1+COUNTIF($E192:I192,"u")+COUNTIF($E192:I192,"t")+COUNTIF($E192:I192,"¶")+COUNTIF($E192:I192,"²")+COUNTIF($E192:I192,"µ")+COUNTIF($E192:I192,1),ColDescriptionCourte)),""),
  "")),"")</f>
        <v/>
      </c>
      <c r="K192" s="40" t="str">
        <f ca="1">IFERROR(IF(AND(
  INDEX(Roadmap!$D:$K,MATCH($E192,Roadmap!$D:$D,0)+COUNTIF($E192:J192,"u")+COUNTIF($E192:J192,"t")+COUNTIF($E192:J192,"¶")+COUNTIF($E192:J192,"²")+COUNTIF($E192:J192,"µ")+COUNTIF($E192:J192,1),ColLivraison)=K$6,
  VLOOKUP($E192,INDIRECT("tri!"&amp; CHAR(64+ C0Col) &amp;":"&amp; CHAR(65+C0Col)),2,FALSE)&gt;COUNTIF($E192:J192,"u")+COUNTIF($E192:J192,"t")+COUNTIF($E192:J192,"¶")+COUNTIF($E192:J192,"²")+COUNTIF($E192:J192,"µ")+COUNTIF($E192:J192,1)),
HYPERLINK("#Roadmap!C"&amp; MATCH($E192,Roadmap!$D:$D,0)+COUNTIF($E192:J192,"u")+COUNTIF($E192:J192,"t"),
     INDEX(Roadmap!$D:$K,MATCH($E192,Roadmap!$D:$D,0)+COUNTIF($E192:J192,"u")+COUNTIF($E192:J192,"t")+COUNTIF($E192:J192,"¶")+COUNTIF($E192:J192,"²")+COUNTIF($E192:J192,"µ")+COUNTIF($E192:J192,1),ColTypeEcheance)),
  IF(LEN(J192)=1,
  IF(LEN(INDEX(Roadmap!$D:$K,MATCH($E192,Roadmap!$D:$D,0)-1+COUNTIF($E192:J192,"u")+COUNTIF($E192:J192,"t")+COUNTIF($E192:J192,"¶")+COUNTIF($E192:J192,"²")+COUNTIF($E192:J192,"µ")+COUNTIF($E192:J192,1),ColDescriptionCourte))&gt;1,
HYPERLINK("#Roadmap!C"&amp; MATCH($E192,Roadmap!$D:$D,0)+COUNTIF($E192:J192,"u")+COUNTIF($E192:J192,"t")+COUNTIF($E192:J192,"¶")+COUNTIF($E192:J192,"²")+COUNTIF($E192:J192,"µ")+COUNTIF($E192:J192,1)-1,INDEX(Roadmap!$D:$K,MATCH($E192,Roadmap!$D:$D,0)-1+COUNTIF($E192:J192,"u")+COUNTIF($E192:J192,"t")+COUNTIF($E192:J192,"¶")+COUNTIF($E192:J192,"²")+COUNTIF($E192:J192,"µ")+COUNTIF($E192:J192,1),ColDescriptionCourte)),""),
  "")),"")</f>
        <v/>
      </c>
      <c r="L192" s="39" t="str">
        <f ca="1">IFERROR(IF(AND(
  INDEX(Roadmap!$D:$K,MATCH($E192,Roadmap!$D:$D,0)+COUNTIF($E192:K192,"u")+COUNTIF($E192:K192,"t")+COUNTIF($E192:K192,"¶")+COUNTIF($E192:K192,"²")+COUNTIF($E192:K192,"µ")+COUNTIF($E192:K192,1),ColLivraison)=L$6,
  VLOOKUP($E192,INDIRECT("tri!"&amp; CHAR(64+ C0Col) &amp;":"&amp; CHAR(65+C0Col)),2,FALSE)&gt;COUNTIF($E192:K192,"u")+COUNTIF($E192:K192,"t")+COUNTIF($E192:K192,"¶")+COUNTIF($E192:K192,"²")+COUNTIF($E192:K192,"µ")+COUNTIF($E192:K192,1)),
HYPERLINK("#Roadmap!C"&amp; MATCH($E192,Roadmap!$D:$D,0)+COUNTIF($E192:K192,"u")+COUNTIF($E192:K192,"t"),
     INDEX(Roadmap!$D:$K,MATCH($E192,Roadmap!$D:$D,0)+COUNTIF($E192:K192,"u")+COUNTIF($E192:K192,"t")+COUNTIF($E192:K192,"¶")+COUNTIF($E192:K192,"²")+COUNTIF($E192:K192,"µ")+COUNTIF($E192:K192,1),ColTypeEcheance)),
  IF(LEN(K192)=1,
  IF(LEN(INDEX(Roadmap!$D:$K,MATCH($E192,Roadmap!$D:$D,0)-1+COUNTIF($E192:K192,"u")+COUNTIF($E192:K192,"t")+COUNTIF($E192:K192,"¶")+COUNTIF($E192:K192,"²")+COUNTIF($E192:K192,"µ")+COUNTIF($E192:K192,1),ColDescriptionCourte))&gt;1,
HYPERLINK("#Roadmap!C"&amp; MATCH($E192,Roadmap!$D:$D,0)+COUNTIF($E192:K192,"u")+COUNTIF($E192:K192,"t")+COUNTIF($E192:K192,"¶")+COUNTIF($E192:K192,"²")+COUNTIF($E192:K192,"µ")+COUNTIF($E192:K192,1)-1,INDEX(Roadmap!$D:$K,MATCH($E192,Roadmap!$D:$D,0)-1+COUNTIF($E192:K192,"u")+COUNTIF($E192:K192,"t")+COUNTIF($E192:K192,"¶")+COUNTIF($E192:K192,"²")+COUNTIF($E192:K192,"µ")+COUNTIF($E192:K192,1),ColDescriptionCourte)),""),
  "")),"")</f>
        <v/>
      </c>
      <c r="M192" s="40" t="str">
        <f ca="1">IFERROR(IF(AND(
  INDEX(Roadmap!$D:$K,MATCH($E192,Roadmap!$D:$D,0)+COUNTIF($E192:L192,"u")+COUNTIF($E192:L192,"t")+COUNTIF($E192:L192,"¶")+COUNTIF($E192:L192,"²")+COUNTIF($E192:L192,"µ")+COUNTIF($E192:L192,1),ColLivraison)=M$6,
  VLOOKUP($E192,INDIRECT("tri!"&amp; CHAR(64+ C0Col) &amp;":"&amp; CHAR(65+C0Col)),2,FALSE)&gt;COUNTIF($E192:L192,"u")+COUNTIF($E192:L192,"t")+COUNTIF($E192:L192,"¶")+COUNTIF($E192:L192,"²")+COUNTIF($E192:L192,"µ")+COUNTIF($E192:L192,1)),
HYPERLINK("#Roadmap!C"&amp; MATCH($E192,Roadmap!$D:$D,0)+COUNTIF($E192:L192,"u")+COUNTIF($E192:L192,"t"),
     INDEX(Roadmap!$D:$K,MATCH($E192,Roadmap!$D:$D,0)+COUNTIF($E192:L192,"u")+COUNTIF($E192:L192,"t")+COUNTIF($E192:L192,"¶")+COUNTIF($E192:L192,"²")+COUNTIF($E192:L192,"µ")+COUNTIF($E192:L192,1),ColTypeEcheance)),
  IF(LEN(L192)=1,
  IF(LEN(INDEX(Roadmap!$D:$K,MATCH($E192,Roadmap!$D:$D,0)-1+COUNTIF($E192:L192,"u")+COUNTIF($E192:L192,"t")+COUNTIF($E192:L192,"¶")+COUNTIF($E192:L192,"²")+COUNTIF($E192:L192,"µ")+COUNTIF($E192:L192,1),ColDescriptionCourte))&gt;1,
HYPERLINK("#Roadmap!C"&amp; MATCH($E192,Roadmap!$D:$D,0)+COUNTIF($E192:L192,"u")+COUNTIF($E192:L192,"t")+COUNTIF($E192:L192,"¶")+COUNTIF($E192:L192,"²")+COUNTIF($E192:L192,"µ")+COUNTIF($E192:L192,1)-1,INDEX(Roadmap!$D:$K,MATCH($E192,Roadmap!$D:$D,0)-1+COUNTIF($E192:L192,"u")+COUNTIF($E192:L192,"t")+COUNTIF($E192:L192,"¶")+COUNTIF($E192:L192,"²")+COUNTIF($E192:L192,"µ")+COUNTIF($E192:L192,1),ColDescriptionCourte)),""),
  "")),"")</f>
        <v/>
      </c>
      <c r="N192" s="40" t="str">
        <f ca="1">IFERROR(IF(AND(
  INDEX(Roadmap!$D:$K,MATCH($E192,Roadmap!$D:$D,0)+COUNTIF($E192:M192,"u")+COUNTIF($E192:M192,"t")+COUNTIF($E192:M192,"¶")+COUNTIF($E192:M192,"²")+COUNTIF($E192:M192,"µ")+COUNTIF($E192:M192,1),ColLivraison)=N$6,
  VLOOKUP($E192,INDIRECT("tri!"&amp; CHAR(64+ C0Col) &amp;":"&amp; CHAR(65+C0Col)),2,FALSE)&gt;COUNTIF($E192:M192,"u")+COUNTIF($E192:M192,"t")+COUNTIF($E192:M192,"¶")+COUNTIF($E192:M192,"²")+COUNTIF($E192:M192,"µ")+COUNTIF($E192:M192,1)),
HYPERLINK("#Roadmap!C"&amp; MATCH($E192,Roadmap!$D:$D,0)+COUNTIF($E192:M192,"u")+COUNTIF($E192:M192,"t"),
     INDEX(Roadmap!$D:$K,MATCH($E192,Roadmap!$D:$D,0)+COUNTIF($E192:M192,"u")+COUNTIF($E192:M192,"t")+COUNTIF($E192:M192,"¶")+COUNTIF($E192:M192,"²")+COUNTIF($E192:M192,"µ")+COUNTIF($E192:M192,1),ColTypeEcheance)),
  IF(LEN(M192)=1,
  IF(LEN(INDEX(Roadmap!$D:$K,MATCH($E192,Roadmap!$D:$D,0)-1+COUNTIF($E192:M192,"u")+COUNTIF($E192:M192,"t")+COUNTIF($E192:M192,"¶")+COUNTIF($E192:M192,"²")+COUNTIF($E192:M192,"µ")+COUNTIF($E192:M192,1),ColDescriptionCourte))&gt;1,
HYPERLINK("#Roadmap!C"&amp; MATCH($E192,Roadmap!$D:$D,0)+COUNTIF($E192:M192,"u")+COUNTIF($E192:M192,"t")+COUNTIF($E192:M192,"¶")+COUNTIF($E192:M192,"²")+COUNTIF($E192:M192,"µ")+COUNTIF($E192:M192,1)-1,INDEX(Roadmap!$D:$K,MATCH($E192,Roadmap!$D:$D,0)-1+COUNTIF($E192:M192,"u")+COUNTIF($E192:M192,"t")+COUNTIF($E192:M192,"¶")+COUNTIF($E192:M192,"²")+COUNTIF($E192:M192,"µ")+COUNTIF($E192:M192,1),ColDescriptionCourte)),""),
  "")),"")</f>
        <v/>
      </c>
      <c r="O192" s="40" t="str">
        <f ca="1">IFERROR(IF(AND(
  INDEX(Roadmap!$D:$K,MATCH($E192,Roadmap!$D:$D,0)+COUNTIF($E192:N192,"u")+COUNTIF($E192:N192,"t")+COUNTIF($E192:N192,"¶")+COUNTIF($E192:N192,"²")+COUNTIF($E192:N192,"µ")+COUNTIF($E192:N192,1),ColLivraison)=O$6,
  VLOOKUP($E192,INDIRECT("tri!"&amp; CHAR(64+ C0Col) &amp;":"&amp; CHAR(65+C0Col)),2,FALSE)&gt;COUNTIF($E192:N192,"u")+COUNTIF($E192:N192,"t")+COUNTIF($E192:N192,"¶")+COUNTIF($E192:N192,"²")+COUNTIF($E192:N192,"µ")+COUNTIF($E192:N192,1)),
HYPERLINK("#Roadmap!C"&amp; MATCH($E192,Roadmap!$D:$D,0)+COUNTIF($E192:N192,"u")+COUNTIF($E192:N192,"t"),
     INDEX(Roadmap!$D:$K,MATCH($E192,Roadmap!$D:$D,0)+COUNTIF($E192:N192,"u")+COUNTIF($E192:N192,"t")+COUNTIF($E192:N192,"¶")+COUNTIF($E192:N192,"²")+COUNTIF($E192:N192,"µ")+COUNTIF($E192:N192,1),ColTypeEcheance)),
  IF(LEN(N192)=1,
  IF(LEN(INDEX(Roadmap!$D:$K,MATCH($E192,Roadmap!$D:$D,0)-1+COUNTIF($E192:N192,"u")+COUNTIF($E192:N192,"t")+COUNTIF($E192:N192,"¶")+COUNTIF($E192:N192,"²")+COUNTIF($E192:N192,"µ")+COUNTIF($E192:N192,1),ColDescriptionCourte))&gt;1,
HYPERLINK("#Roadmap!C"&amp; MATCH($E192,Roadmap!$D:$D,0)+COUNTIF($E192:N192,"u")+COUNTIF($E192:N192,"t")+COUNTIF($E192:N192,"¶")+COUNTIF($E192:N192,"²")+COUNTIF($E192:N192,"µ")+COUNTIF($E192:N192,1)-1,INDEX(Roadmap!$D:$K,MATCH($E192,Roadmap!$D:$D,0)-1+COUNTIF($E192:N192,"u")+COUNTIF($E192:N192,"t")+COUNTIF($E192:N192,"¶")+COUNTIF($E192:N192,"²")+COUNTIF($E192:N192,"µ")+COUNTIF($E192:N192,1),ColDescriptionCourte)),""),
  "")),"")</f>
        <v/>
      </c>
      <c r="P192" s="40" t="str">
        <f ca="1">IFERROR(IF(AND(
  INDEX(Roadmap!$D:$K,MATCH($E192,Roadmap!$D:$D,0)+COUNTIF($E192:O192,"u")+COUNTIF($E192:O192,"t")+COUNTIF($E192:O192,"¶")+COUNTIF($E192:O192,"²")+COUNTIF($E192:O192,"µ")+COUNTIF($E192:O192,1),ColLivraison)=P$6,
  VLOOKUP($E192,INDIRECT("tri!"&amp; CHAR(64+ C0Col) &amp;":"&amp; CHAR(65+C0Col)),2,FALSE)&gt;COUNTIF($E192:O192,"u")+COUNTIF($E192:O192,"t")+COUNTIF($E192:O192,"¶")+COUNTIF($E192:O192,"²")+COUNTIF($E192:O192,"µ")+COUNTIF($E192:O192,1)),
HYPERLINK("#Roadmap!C"&amp; MATCH($E192,Roadmap!$D:$D,0)+COUNTIF($E192:O192,"u")+COUNTIF($E192:O192,"t"),
     INDEX(Roadmap!$D:$K,MATCH($E192,Roadmap!$D:$D,0)+COUNTIF($E192:O192,"u")+COUNTIF($E192:O192,"t")+COUNTIF($E192:O192,"¶")+COUNTIF($E192:O192,"²")+COUNTIF($E192:O192,"µ")+COUNTIF($E192:O192,1),ColTypeEcheance)),
  IF(LEN(O192)=1,
  IF(LEN(INDEX(Roadmap!$D:$K,MATCH($E192,Roadmap!$D:$D,0)-1+COUNTIF($E192:O192,"u")+COUNTIF($E192:O192,"t")+COUNTIF($E192:O192,"¶")+COUNTIF($E192:O192,"²")+COUNTIF($E192:O192,"µ")+COUNTIF($E192:O192,1),ColDescriptionCourte))&gt;1,
HYPERLINK("#Roadmap!C"&amp; MATCH($E192,Roadmap!$D:$D,0)+COUNTIF($E192:O192,"u")+COUNTIF($E192:O192,"t")+COUNTIF($E192:O192,"¶")+COUNTIF($E192:O192,"²")+COUNTIF($E192:O192,"µ")+COUNTIF($E192:O192,1)-1,INDEX(Roadmap!$D:$K,MATCH($E192,Roadmap!$D:$D,0)-1+COUNTIF($E192:O192,"u")+COUNTIF($E192:O192,"t")+COUNTIF($E192:O192,"¶")+COUNTIF($E192:O192,"²")+COUNTIF($E192:O192,"µ")+COUNTIF($E192:O192,1),ColDescriptionCourte)),""),
  "")),"")</f>
        <v/>
      </c>
      <c r="Q192" s="40" t="str">
        <f ca="1">IFERROR(IF(AND(
  INDEX(Roadmap!$D:$K,MATCH($E192,Roadmap!$D:$D,0)+COUNTIF($E192:P192,"u")+COUNTIF($E192:P192,"t")+COUNTIF($E192:P192,"¶")+COUNTIF($E192:P192,"²")+COUNTIF($E192:P192,"µ")+COUNTIF($E192:P192,1),ColLivraison)=Q$6,
  VLOOKUP($E192,INDIRECT("tri!"&amp; CHAR(64+ C0Col) &amp;":"&amp; CHAR(65+C0Col)),2,FALSE)&gt;COUNTIF($E192:P192,"u")+COUNTIF($E192:P192,"t")+COUNTIF($E192:P192,"¶")+COUNTIF($E192:P192,"²")+COUNTIF($E192:P192,"µ")+COUNTIF($E192:P192,1)),
HYPERLINK("#Roadmap!C"&amp; MATCH($E192,Roadmap!$D:$D,0)+COUNTIF($E192:P192,"u")+COUNTIF($E192:P192,"t"),
     INDEX(Roadmap!$D:$K,MATCH($E192,Roadmap!$D:$D,0)+COUNTIF($E192:P192,"u")+COUNTIF($E192:P192,"t")+COUNTIF($E192:P192,"¶")+COUNTIF($E192:P192,"²")+COUNTIF($E192:P192,"µ")+COUNTIF($E192:P192,1),ColTypeEcheance)),
  IF(LEN(P192)=1,
  IF(LEN(INDEX(Roadmap!$D:$K,MATCH($E192,Roadmap!$D:$D,0)-1+COUNTIF($E192:P192,"u")+COUNTIF($E192:P192,"t")+COUNTIF($E192:P192,"¶")+COUNTIF($E192:P192,"²")+COUNTIF($E192:P192,"µ")+COUNTIF($E192:P192,1),ColDescriptionCourte))&gt;1,
HYPERLINK("#Roadmap!C"&amp; MATCH($E192,Roadmap!$D:$D,0)+COUNTIF($E192:P192,"u")+COUNTIF($E192:P192,"t")+COUNTIF($E192:P192,"¶")+COUNTIF($E192:P192,"²")+COUNTIF($E192:P192,"µ")+COUNTIF($E192:P192,1)-1,INDEX(Roadmap!$D:$K,MATCH($E192,Roadmap!$D:$D,0)-1+COUNTIF($E192:P192,"u")+COUNTIF($E192:P192,"t")+COUNTIF($E192:P192,"¶")+COUNTIF($E192:P192,"²")+COUNTIF($E192:P192,"µ")+COUNTIF($E192:P192,1),ColDescriptionCourte)),""),
  "")),"")</f>
        <v/>
      </c>
      <c r="R192" s="40" t="str">
        <f ca="1">IFERROR(IF(AND(
  INDEX(Roadmap!$D:$K,MATCH($E192,Roadmap!$D:$D,0)+COUNTIF($E192:Q192,"u")+COUNTIF($E192:Q192,"t")+COUNTIF($E192:Q192,"¶")+COUNTIF($E192:Q192,"²")+COUNTIF($E192:Q192,"µ")+COUNTIF($E192:Q192,1),ColLivraison)=R$6,
  VLOOKUP($E192,INDIRECT("tri!"&amp; CHAR(64+ C0Col) &amp;":"&amp; CHAR(65+C0Col)),2,FALSE)&gt;COUNTIF($E192:Q192,"u")+COUNTIF($E192:Q192,"t")+COUNTIF($E192:Q192,"¶")+COUNTIF($E192:Q192,"²")+COUNTIF($E192:Q192,"µ")+COUNTIF($E192:Q192,1)),
HYPERLINK("#Roadmap!C"&amp; MATCH($E192,Roadmap!$D:$D,0)+COUNTIF($E192:Q192,"u")+COUNTIF($E192:Q192,"t"),
     INDEX(Roadmap!$D:$K,MATCH($E192,Roadmap!$D:$D,0)+COUNTIF($E192:Q192,"u")+COUNTIF($E192:Q192,"t")+COUNTIF($E192:Q192,"¶")+COUNTIF($E192:Q192,"²")+COUNTIF($E192:Q192,"µ")+COUNTIF($E192:Q192,1),ColTypeEcheance)),
  IF(LEN(Q192)=1,
  IF(LEN(INDEX(Roadmap!$D:$K,MATCH($E192,Roadmap!$D:$D,0)-1+COUNTIF($E192:Q192,"u")+COUNTIF($E192:Q192,"t")+COUNTIF($E192:Q192,"¶")+COUNTIF($E192:Q192,"²")+COUNTIF($E192:Q192,"µ")+COUNTIF($E192:Q192,1),ColDescriptionCourte))&gt;1,
HYPERLINK("#Roadmap!C"&amp; MATCH($E192,Roadmap!$D:$D,0)+COUNTIF($E192:Q192,"u")+COUNTIF($E192:Q192,"t")+COUNTIF($E192:Q192,"¶")+COUNTIF($E192:Q192,"²")+COUNTIF($E192:Q192,"µ")+COUNTIF($E192:Q192,1)-1,INDEX(Roadmap!$D:$K,MATCH($E192,Roadmap!$D:$D,0)-1+COUNTIF($E192:Q192,"u")+COUNTIF($E192:Q192,"t")+COUNTIF($E192:Q192,"¶")+COUNTIF($E192:Q192,"²")+COUNTIF($E192:Q192,"µ")+COUNTIF($E192:Q192,1),ColDescriptionCourte)),""),
  "")),"")</f>
        <v/>
      </c>
      <c r="S192" s="40" t="str">
        <f ca="1">IFERROR(IF(AND(
  INDEX(Roadmap!$D:$K,MATCH($E192,Roadmap!$D:$D,0)+COUNTIF($E192:R192,"u")+COUNTIF($E192:R192,"t")+COUNTIF($E192:R192,"¶")+COUNTIF($E192:R192,"²")+COUNTIF($E192:R192,"µ")+COUNTIF($E192:R192,1),ColLivraison)=S$6,
  VLOOKUP($E192,INDIRECT("tri!"&amp; CHAR(64+ C0Col) &amp;":"&amp; CHAR(65+C0Col)),2,FALSE)&gt;COUNTIF($E192:R192,"u")+COUNTIF($E192:R192,"t")+COUNTIF($E192:R192,"¶")+COUNTIF($E192:R192,"²")+COUNTIF($E192:R192,"µ")+COUNTIF($E192:R192,1)),
HYPERLINK("#Roadmap!C"&amp; MATCH($E192,Roadmap!$D:$D,0)+COUNTIF($E192:R192,"u")+COUNTIF($E192:R192,"t"),
     INDEX(Roadmap!$D:$K,MATCH($E192,Roadmap!$D:$D,0)+COUNTIF($E192:R192,"u")+COUNTIF($E192:R192,"t")+COUNTIF($E192:R192,"¶")+COUNTIF($E192:R192,"²")+COUNTIF($E192:R192,"µ")+COUNTIF($E192:R192,1),ColTypeEcheance)),
  IF(LEN(R192)=1,
  IF(LEN(INDEX(Roadmap!$D:$K,MATCH($E192,Roadmap!$D:$D,0)-1+COUNTIF($E192:R192,"u")+COUNTIF($E192:R192,"t")+COUNTIF($E192:R192,"¶")+COUNTIF($E192:R192,"²")+COUNTIF($E192:R192,"µ")+COUNTIF($E192:R192,1),ColDescriptionCourte))&gt;1,
HYPERLINK("#Roadmap!C"&amp; MATCH($E192,Roadmap!$D:$D,0)+COUNTIF($E192:R192,"u")+COUNTIF($E192:R192,"t")+COUNTIF($E192:R192,"¶")+COUNTIF($E192:R192,"²")+COUNTIF($E192:R192,"µ")+COUNTIF($E192:R192,1)-1,INDEX(Roadmap!$D:$K,MATCH($E192,Roadmap!$D:$D,0)-1+COUNTIF($E192:R192,"u")+COUNTIF($E192:R192,"t")+COUNTIF($E192:R192,"¶")+COUNTIF($E192:R192,"²")+COUNTIF($E192:R192,"µ")+COUNTIF($E192:R192,1),ColDescriptionCourte)),""),
  "")),"")</f>
        <v/>
      </c>
      <c r="T192" s="40" t="str">
        <f ca="1">IFERROR(IF(AND(
  INDEX(Roadmap!$D:$K,MATCH($E192,Roadmap!$D:$D,0)+COUNTIF($E192:S192,"u")+COUNTIF($E192:S192,"t")+COUNTIF($E192:S192,"¶")+COUNTIF($E192:S192,"²")+COUNTIF($E192:S192,"µ")+COUNTIF($E192:S192,1),ColLivraison)=T$6,
  VLOOKUP($E192,INDIRECT("tri!"&amp; CHAR(64+ C0Col) &amp;":"&amp; CHAR(65+C0Col)),2,FALSE)&gt;COUNTIF($E192:S192,"u")+COUNTIF($E192:S192,"t")+COUNTIF($E192:S192,"¶")+COUNTIF($E192:S192,"²")+COUNTIF($E192:S192,"µ")+COUNTIF($E192:S192,1)),
HYPERLINK("#Roadmap!C"&amp; MATCH($E192,Roadmap!$D:$D,0)+COUNTIF($E192:S192,"u")+COUNTIF($E192:S192,"t"),
     INDEX(Roadmap!$D:$K,MATCH($E192,Roadmap!$D:$D,0)+COUNTIF($E192:S192,"u")+COUNTIF($E192:S192,"t")+COUNTIF($E192:S192,"¶")+COUNTIF($E192:S192,"²")+COUNTIF($E192:S192,"µ")+COUNTIF($E192:S192,1),ColTypeEcheance)),
  IF(LEN(S192)=1,
  IF(LEN(INDEX(Roadmap!$D:$K,MATCH($E192,Roadmap!$D:$D,0)-1+COUNTIF($E192:S192,"u")+COUNTIF($E192:S192,"t")+COUNTIF($E192:S192,"¶")+COUNTIF($E192:S192,"²")+COUNTIF($E192:S192,"µ")+COUNTIF($E192:S192,1),ColDescriptionCourte))&gt;1,
HYPERLINK("#Roadmap!C"&amp; MATCH($E192,Roadmap!$D:$D,0)+COUNTIF($E192:S192,"u")+COUNTIF($E192:S192,"t")+COUNTIF($E192:S192,"¶")+COUNTIF($E192:S192,"²")+COUNTIF($E192:S192,"µ")+COUNTIF($E192:S192,1)-1,INDEX(Roadmap!$D:$K,MATCH($E192,Roadmap!$D:$D,0)-1+COUNTIF($E192:S192,"u")+COUNTIF($E192:S192,"t")+COUNTIF($E192:S192,"¶")+COUNTIF($E192:S192,"²")+COUNTIF($E192:S192,"µ")+COUNTIF($E192:S192,1),ColDescriptionCourte)),""),
  "")),"")</f>
        <v/>
      </c>
      <c r="U192" s="40" t="str">
        <f ca="1">IFERROR(IF(AND(
  INDEX(Roadmap!$D:$K,MATCH($E192,Roadmap!$D:$D,0)+COUNTIF($E192:T192,"u")+COUNTIF($E192:T192,"t")+COUNTIF($E192:T192,"¶")+COUNTIF($E192:T192,"²")+COUNTIF($E192:T192,"µ")+COUNTIF($E192:T192,1),ColLivraison)=U$6,
  VLOOKUP($E192,INDIRECT("tri!"&amp; CHAR(64+ C0Col) &amp;":"&amp; CHAR(65+C0Col)),2,FALSE)&gt;COUNTIF($E192:T192,"u")+COUNTIF($E192:T192,"t")+COUNTIF($E192:T192,"¶")+COUNTIF($E192:T192,"²")+COUNTIF($E192:T192,"µ")+COUNTIF($E192:T192,1)),
HYPERLINK("#Roadmap!C"&amp; MATCH($E192,Roadmap!$D:$D,0)+COUNTIF($E192:T192,"u")+COUNTIF($E192:T192,"t"),
     INDEX(Roadmap!$D:$K,MATCH($E192,Roadmap!$D:$D,0)+COUNTIF($E192:T192,"u")+COUNTIF($E192:T192,"t")+COUNTIF($E192:T192,"¶")+COUNTIF($E192:T192,"²")+COUNTIF($E192:T192,"µ")+COUNTIF($E192:T192,1),ColTypeEcheance)),
  IF(LEN(T192)=1,
  IF(LEN(INDEX(Roadmap!$D:$K,MATCH($E192,Roadmap!$D:$D,0)-1+COUNTIF($E192:T192,"u")+COUNTIF($E192:T192,"t")+COUNTIF($E192:T192,"¶")+COUNTIF($E192:T192,"²")+COUNTIF($E192:T192,"µ")+COUNTIF($E192:T192,1),ColDescriptionCourte))&gt;1,
HYPERLINK("#Roadmap!C"&amp; MATCH($E192,Roadmap!$D:$D,0)+COUNTIF($E192:T192,"u")+COUNTIF($E192:T192,"t")+COUNTIF($E192:T192,"¶")+COUNTIF($E192:T192,"²")+COUNTIF($E192:T192,"µ")+COUNTIF($E192:T192,1)-1,INDEX(Roadmap!$D:$K,MATCH($E192,Roadmap!$D:$D,0)-1+COUNTIF($E192:T192,"u")+COUNTIF($E192:T192,"t")+COUNTIF($E192:T192,"¶")+COUNTIF($E192:T192,"²")+COUNTIF($E192:T192,"µ")+COUNTIF($E192:T192,1),ColDescriptionCourte)),""),
  "")),"")</f>
        <v/>
      </c>
      <c r="V192" s="40" t="str">
        <f ca="1">IFERROR(IF(AND(
  INDEX(Roadmap!$D:$K,MATCH($E192,Roadmap!$D:$D,0)+COUNTIF($E192:U192,"u")+COUNTIF($E192:U192,"t")+COUNTIF($E192:U192,"¶")+COUNTIF($E192:U192,"²")+COUNTIF($E192:U192,"µ")+COUNTIF($E192:U192,1),ColLivraison)=V$6,
  VLOOKUP($E192,INDIRECT("tri!"&amp; CHAR(64+ C0Col) &amp;":"&amp; CHAR(65+C0Col)),2,FALSE)&gt;COUNTIF($E192:U192,"u")+COUNTIF($E192:U192,"t")+COUNTIF($E192:U192,"¶")+COUNTIF($E192:U192,"²")+COUNTIF($E192:U192,"µ")+COUNTIF($E192:U192,1)),
HYPERLINK("#Roadmap!C"&amp; MATCH($E192,Roadmap!$D:$D,0)+COUNTIF($E192:U192,"u")+COUNTIF($E192:U192,"t"),
     INDEX(Roadmap!$D:$K,MATCH($E192,Roadmap!$D:$D,0)+COUNTIF($E192:U192,"u")+COUNTIF($E192:U192,"t")+COUNTIF($E192:U192,"¶")+COUNTIF($E192:U192,"²")+COUNTIF($E192:U192,"µ")+COUNTIF($E192:U192,1),ColTypeEcheance)),
  IF(LEN(U192)=1,
  IF(LEN(INDEX(Roadmap!$D:$K,MATCH($E192,Roadmap!$D:$D,0)-1+COUNTIF($E192:U192,"u")+COUNTIF($E192:U192,"t")+COUNTIF($E192:U192,"¶")+COUNTIF($E192:U192,"²")+COUNTIF($E192:U192,"µ")+COUNTIF($E192:U192,1),ColDescriptionCourte))&gt;1,
HYPERLINK("#Roadmap!C"&amp; MATCH($E192,Roadmap!$D:$D,0)+COUNTIF($E192:U192,"u")+COUNTIF($E192:U192,"t")+COUNTIF($E192:U192,"¶")+COUNTIF($E192:U192,"²")+COUNTIF($E192:U192,"µ")+COUNTIF($E192:U192,1)-1,INDEX(Roadmap!$D:$K,MATCH($E192,Roadmap!$D:$D,0)-1+COUNTIF($E192:U192,"u")+COUNTIF($E192:U192,"t")+COUNTIF($E192:U192,"¶")+COUNTIF($E192:U192,"²")+COUNTIF($E192:U192,"µ")+COUNTIF($E192:U192,1),ColDescriptionCourte)),""),
  "")),"")</f>
        <v/>
      </c>
      <c r="W192" s="40" t="str">
        <f ca="1">IFERROR(IF(AND(
  INDEX(Roadmap!$D:$K,MATCH($E192,Roadmap!$D:$D,0)+COUNTIF($E192:V192,"u")+COUNTIF($E192:V192,"t")+COUNTIF($E192:V192,"¶")+COUNTIF($E192:V192,"²")+COUNTIF($E192:V192,"µ")+COUNTIF($E192:V192,1),ColLivraison)=W$6,
  VLOOKUP($E192,INDIRECT("tri!"&amp; CHAR(64+ C0Col) &amp;":"&amp; CHAR(65+C0Col)),2,FALSE)&gt;COUNTIF($E192:V192,"u")+COUNTIF($E192:V192,"t")+COUNTIF($E192:V192,"¶")+COUNTIF($E192:V192,"²")+COUNTIF($E192:V192,"µ")+COUNTIF($E192:V192,1)),
HYPERLINK("#Roadmap!C"&amp; MATCH($E192,Roadmap!$D:$D,0)+COUNTIF($E192:V192,"u")+COUNTIF($E192:V192,"t"),
     INDEX(Roadmap!$D:$K,MATCH($E192,Roadmap!$D:$D,0)+COUNTIF($E192:V192,"u")+COUNTIF($E192:V192,"t")+COUNTIF($E192:V192,"¶")+COUNTIF($E192:V192,"²")+COUNTIF($E192:V192,"µ")+COUNTIF($E192:V192,1),ColTypeEcheance)),
  IF(LEN(V192)=1,
  IF(LEN(INDEX(Roadmap!$D:$K,MATCH($E192,Roadmap!$D:$D,0)-1+COUNTIF($E192:V192,"u")+COUNTIF($E192:V192,"t")+COUNTIF($E192:V192,"¶")+COUNTIF($E192:V192,"²")+COUNTIF($E192:V192,"µ")+COUNTIF($E192:V192,1),ColDescriptionCourte))&gt;1,
HYPERLINK("#Roadmap!C"&amp; MATCH($E192,Roadmap!$D:$D,0)+COUNTIF($E192:V192,"u")+COUNTIF($E192:V192,"t")+COUNTIF($E192:V192,"¶")+COUNTIF($E192:V192,"²")+COUNTIF($E192:V192,"µ")+COUNTIF($E192:V192,1)-1,INDEX(Roadmap!$D:$K,MATCH($E192,Roadmap!$D:$D,0)-1+COUNTIF($E192:V192,"u")+COUNTIF($E192:V192,"t")+COUNTIF($E192:V192,"¶")+COUNTIF($E192:V192,"²")+COUNTIF($E192:V192,"µ")+COUNTIF($E192:V192,1),ColDescriptionCourte)),""),
  "")),"")</f>
        <v/>
      </c>
      <c r="X192" s="40" t="str">
        <f ca="1">IFERROR(IF(AND(
  INDEX(Roadmap!$D:$K,MATCH($E192,Roadmap!$D:$D,0)+COUNTIF($E192:W192,"u")+COUNTIF($E192:W192,"t")+COUNTIF($E192:W192,"¶")+COUNTIF($E192:W192,"²")+COUNTIF($E192:W192,"µ")+COUNTIF($E192:W192,1),ColLivraison)=X$6,
  VLOOKUP($E192,INDIRECT("tri!"&amp; CHAR(64+ C0Col) &amp;":"&amp; CHAR(65+C0Col)),2,FALSE)&gt;COUNTIF($E192:W192,"u")+COUNTIF($E192:W192,"t")+COUNTIF($E192:W192,"¶")+COUNTIF($E192:W192,"²")+COUNTIF($E192:W192,"µ")+COUNTIF($E192:W192,1)),
HYPERLINK("#Roadmap!C"&amp; MATCH($E192,Roadmap!$D:$D,0)+COUNTIF($E192:W192,"u")+COUNTIF($E192:W192,"t"),
     INDEX(Roadmap!$D:$K,MATCH($E192,Roadmap!$D:$D,0)+COUNTIF($E192:W192,"u")+COUNTIF($E192:W192,"t")+COUNTIF($E192:W192,"¶")+COUNTIF($E192:W192,"²")+COUNTIF($E192:W192,"µ")+COUNTIF($E192:W192,1),ColTypeEcheance)),
  IF(LEN(W192)=1,
  IF(LEN(INDEX(Roadmap!$D:$K,MATCH($E192,Roadmap!$D:$D,0)-1+COUNTIF($E192:W192,"u")+COUNTIF($E192:W192,"t")+COUNTIF($E192:W192,"¶")+COUNTIF($E192:W192,"²")+COUNTIF($E192:W192,"µ")+COUNTIF($E192:W192,1),ColDescriptionCourte))&gt;1,
HYPERLINK("#Roadmap!C"&amp; MATCH($E192,Roadmap!$D:$D,0)+COUNTIF($E192:W192,"u")+COUNTIF($E192:W192,"t")+COUNTIF($E192:W192,"¶")+COUNTIF($E192:W192,"²")+COUNTIF($E192:W192,"µ")+COUNTIF($E192:W192,1)-1,INDEX(Roadmap!$D:$K,MATCH($E192,Roadmap!$D:$D,0)-1+COUNTIF($E192:W192,"u")+COUNTIF($E192:W192,"t")+COUNTIF($E192:W192,"¶")+COUNTIF($E192:W192,"²")+COUNTIF($E192:W192,"µ")+COUNTIF($E192:W192,1),ColDescriptionCourte)),""),
  "")),"")</f>
        <v/>
      </c>
      <c r="Y192" s="40" t="str">
        <f ca="1">IFERROR(IF(AND(
  INDEX(Roadmap!$D:$K,MATCH($E192,Roadmap!$D:$D,0)+COUNTIF($E192:X192,"u")+COUNTIF($E192:X192,"t")+COUNTIF($E192:X192,"¶")+COUNTIF($E192:X192,"²")+COUNTIF($E192:X192,"µ")+COUNTIF($E192:X192,1),ColLivraison)=Y$6,
  VLOOKUP($E192,INDIRECT("tri!"&amp; CHAR(64+ C0Col) &amp;":"&amp; CHAR(65+C0Col)),2,FALSE)&gt;COUNTIF($E192:X192,"u")+COUNTIF($E192:X192,"t")+COUNTIF($E192:X192,"¶")+COUNTIF($E192:X192,"²")+COUNTIF($E192:X192,"µ")+COUNTIF($E192:X192,1)),
HYPERLINK("#Roadmap!C"&amp; MATCH($E192,Roadmap!$D:$D,0)+COUNTIF($E192:X192,"u")+COUNTIF($E192:X192,"t"),
     INDEX(Roadmap!$D:$K,MATCH($E192,Roadmap!$D:$D,0)+COUNTIF($E192:X192,"u")+COUNTIF($E192:X192,"t")+COUNTIF($E192:X192,"¶")+COUNTIF($E192:X192,"²")+COUNTIF($E192:X192,"µ")+COUNTIF($E192:X192,1),ColTypeEcheance)),
  IF(LEN(X192)=1,
  IF(LEN(INDEX(Roadmap!$D:$K,MATCH($E192,Roadmap!$D:$D,0)-1+COUNTIF($E192:X192,"u")+COUNTIF($E192:X192,"t")+COUNTIF($E192:X192,"¶")+COUNTIF($E192:X192,"²")+COUNTIF($E192:X192,"µ")+COUNTIF($E192:X192,1),ColDescriptionCourte))&gt;1,
HYPERLINK("#Roadmap!C"&amp; MATCH($E192,Roadmap!$D:$D,0)+COUNTIF($E192:X192,"u")+COUNTIF($E192:X192,"t")+COUNTIF($E192:X192,"¶")+COUNTIF($E192:X192,"²")+COUNTIF($E192:X192,"µ")+COUNTIF($E192:X192,1)-1,INDEX(Roadmap!$D:$K,MATCH($E192,Roadmap!$D:$D,0)-1+COUNTIF($E192:X192,"u")+COUNTIF($E192:X192,"t")+COUNTIF($E192:X192,"¶")+COUNTIF($E192:X192,"²")+COUNTIF($E192:X192,"µ")+COUNTIF($E192:X192,1),ColDescriptionCourte)),""),
  "")),"")</f>
        <v/>
      </c>
      <c r="Z192" s="40" t="str">
        <f ca="1">IFERROR(IF(AND(
  INDEX(Roadmap!$D:$K,MATCH($E192,Roadmap!$D:$D,0)+COUNTIF($E192:Y192,"u")+COUNTIF($E192:Y192,"t")+COUNTIF($E192:Y192,"¶")+COUNTIF($E192:Y192,"²")+COUNTIF($E192:Y192,"µ")+COUNTIF($E192:Y192,1),ColLivraison)=Z$6,
  VLOOKUP($E192,INDIRECT("tri!"&amp; CHAR(64+ C0Col) &amp;":"&amp; CHAR(65+C0Col)),2,FALSE)&gt;COUNTIF($E192:Y192,"u")+COUNTIF($E192:Y192,"t")+COUNTIF($E192:Y192,"¶")+COUNTIF($E192:Y192,"²")+COUNTIF($E192:Y192,"µ")+COUNTIF($E192:Y192,1)),
HYPERLINK("#Roadmap!C"&amp; MATCH($E192,Roadmap!$D:$D,0)+COUNTIF($E192:Y192,"u")+COUNTIF($E192:Y192,"t"),
     INDEX(Roadmap!$D:$K,MATCH($E192,Roadmap!$D:$D,0)+COUNTIF($E192:Y192,"u")+COUNTIF($E192:Y192,"t")+COUNTIF($E192:Y192,"¶")+COUNTIF($E192:Y192,"²")+COUNTIF($E192:Y192,"µ")+COUNTIF($E192:Y192,1),ColTypeEcheance)),
  IF(LEN(Y192)=1,
  IF(LEN(INDEX(Roadmap!$D:$K,MATCH($E192,Roadmap!$D:$D,0)-1+COUNTIF($E192:Y192,"u")+COUNTIF($E192:Y192,"t")+COUNTIF($E192:Y192,"¶")+COUNTIF($E192:Y192,"²")+COUNTIF($E192:Y192,"µ")+COUNTIF($E192:Y192,1),ColDescriptionCourte))&gt;1,
HYPERLINK("#Roadmap!C"&amp; MATCH($E192,Roadmap!$D:$D,0)+COUNTIF($E192:Y192,"u")+COUNTIF($E192:Y192,"t")+COUNTIF($E192:Y192,"¶")+COUNTIF($E192:Y192,"²")+COUNTIF($E192:Y192,"µ")+COUNTIF($E192:Y192,1)-1,INDEX(Roadmap!$D:$K,MATCH($E192,Roadmap!$D:$D,0)-1+COUNTIF($E192:Y192,"u")+COUNTIF($E192:Y192,"t")+COUNTIF($E192:Y192,"¶")+COUNTIF($E192:Y192,"²")+COUNTIF($E192:Y192,"µ")+COUNTIF($E192:Y192,1),ColDescriptionCourte)),""),
  "")),"")</f>
        <v/>
      </c>
      <c r="AA192" s="40" t="str">
        <f ca="1">IFERROR(IF(AND(
  INDEX(Roadmap!$D:$K,MATCH($E192,Roadmap!$D:$D,0)+COUNTIF($E192:Z192,"u")+COUNTIF($E192:Z192,"t")+COUNTIF($E192:Z192,"¶")+COUNTIF($E192:Z192,"²")+COUNTIF($E192:Z192,"µ")+COUNTIF($E192:Z192,1),ColLivraison)=AA$6,
  VLOOKUP($E192,INDIRECT("tri!"&amp; CHAR(64+ C0Col) &amp;":"&amp; CHAR(65+C0Col)),2,FALSE)&gt;COUNTIF($E192:Z192,"u")+COUNTIF($E192:Z192,"t")+COUNTIF($E192:Z192,"¶")+COUNTIF($E192:Z192,"²")+COUNTIF($E192:Z192,"µ")+COUNTIF($E192:Z192,1)),
HYPERLINK("#Roadmap!C"&amp; MATCH($E192,Roadmap!$D:$D,0)+COUNTIF($E192:Z192,"u")+COUNTIF($E192:Z192,"t"),
     INDEX(Roadmap!$D:$K,MATCH($E192,Roadmap!$D:$D,0)+COUNTIF($E192:Z192,"u")+COUNTIF($E192:Z192,"t")+COUNTIF($E192:Z192,"¶")+COUNTIF($E192:Z192,"²")+COUNTIF($E192:Z192,"µ")+COUNTIF($E192:Z192,1),ColTypeEcheance)),
  IF(LEN(Z192)=1,
  IF(LEN(INDEX(Roadmap!$D:$K,MATCH($E192,Roadmap!$D:$D,0)-1+COUNTIF($E192:Z192,"u")+COUNTIF($E192:Z192,"t")+COUNTIF($E192:Z192,"¶")+COUNTIF($E192:Z192,"²")+COUNTIF($E192:Z192,"µ")+COUNTIF($E192:Z192,1),ColDescriptionCourte))&gt;1,
HYPERLINK("#Roadmap!C"&amp; MATCH($E192,Roadmap!$D:$D,0)+COUNTIF($E192:Z192,"u")+COUNTIF($E192:Z192,"t")+COUNTIF($E192:Z192,"¶")+COUNTIF($E192:Z192,"²")+COUNTIF($E192:Z192,"µ")+COUNTIF($E192:Z192,1)-1,INDEX(Roadmap!$D:$K,MATCH($E192,Roadmap!$D:$D,0)-1+COUNTIF($E192:Z192,"u")+COUNTIF($E192:Z192,"t")+COUNTIF($E192:Z192,"¶")+COUNTIF($E192:Z192,"²")+COUNTIF($E192:Z192,"µ")+COUNTIF($E192:Z192,1),ColDescriptionCourte)),""),
  "")),"")</f>
        <v/>
      </c>
      <c r="AB192" s="40" t="str">
        <f ca="1">IFERROR(IF(AND(
  INDEX(Roadmap!$D:$K,MATCH($E192,Roadmap!$D:$D,0)+COUNTIF($E192:AA192,"u")+COUNTIF($E192:AA192,"t")+COUNTIF($E192:AA192,"¶")+COUNTIF($E192:AA192,"²")+COUNTIF($E192:AA192,"µ")+COUNTIF($E192:AA192,1),ColLivraison)=AB$6,
  VLOOKUP($E192,INDIRECT("tri!"&amp; CHAR(64+ C0Col) &amp;":"&amp; CHAR(65+C0Col)),2,FALSE)&gt;COUNTIF($E192:AA192,"u")+COUNTIF($E192:AA192,"t")+COUNTIF($E192:AA192,"¶")+COUNTIF($E192:AA192,"²")+COUNTIF($E192:AA192,"µ")+COUNTIF($E192:AA192,1)),
HYPERLINK("#Roadmap!C"&amp; MATCH($E192,Roadmap!$D:$D,0)+COUNTIF($E192:AA192,"u")+COUNTIF($E192:AA192,"t"),
     INDEX(Roadmap!$D:$K,MATCH($E192,Roadmap!$D:$D,0)+COUNTIF($E192:AA192,"u")+COUNTIF($E192:AA192,"t")+COUNTIF($E192:AA192,"¶")+COUNTIF($E192:AA192,"²")+COUNTIF($E192:AA192,"µ")+COUNTIF($E192:AA192,1),ColTypeEcheance)),
  IF(LEN(AA192)=1,
  IF(LEN(INDEX(Roadmap!$D:$K,MATCH($E192,Roadmap!$D:$D,0)-1+COUNTIF($E192:AA192,"u")+COUNTIF($E192:AA192,"t")+COUNTIF($E192:AA192,"¶")+COUNTIF($E192:AA192,"²")+COUNTIF($E192:AA192,"µ")+COUNTIF($E192:AA192,1),ColDescriptionCourte))&gt;1,
HYPERLINK("#Roadmap!C"&amp; MATCH($E192,Roadmap!$D:$D,0)+COUNTIF($E192:AA192,"u")+COUNTIF($E192:AA192,"t")+COUNTIF($E192:AA192,"¶")+COUNTIF($E192:AA192,"²")+COUNTIF($E192:AA192,"µ")+COUNTIF($E192:AA192,1)-1,INDEX(Roadmap!$D:$K,MATCH($E192,Roadmap!$D:$D,0)-1+COUNTIF($E192:AA192,"u")+COUNTIF($E192:AA192,"t")+COUNTIF($E192:AA192,"¶")+COUNTIF($E192:AA192,"²")+COUNTIF($E192:AA192,"µ")+COUNTIF($E192:AA192,1),ColDescriptionCourte)),""),
  "")),"")</f>
        <v/>
      </c>
      <c r="AC192" s="40" t="str">
        <f ca="1">IFERROR(IF(AND(
  INDEX(Roadmap!$D:$K,MATCH($E192,Roadmap!$D:$D,0)+COUNTIF($E192:AB192,"u")+COUNTIF($E192:AB192,"t")+COUNTIF($E192:AB192,"¶")+COUNTIF($E192:AB192,"²")+COUNTIF($E192:AB192,"µ")+COUNTIF($E192:AB192,1),ColLivraison)=AC$6,
  VLOOKUP($E192,INDIRECT("tri!"&amp; CHAR(64+ C0Col) &amp;":"&amp; CHAR(65+C0Col)),2,FALSE)&gt;COUNTIF($E192:AB192,"u")+COUNTIF($E192:AB192,"t")+COUNTIF($E192:AB192,"¶")+COUNTIF($E192:AB192,"²")+COUNTIF($E192:AB192,"µ")+COUNTIF($E192:AB192,1)),
HYPERLINK("#Roadmap!C"&amp; MATCH($E192,Roadmap!$D:$D,0)+COUNTIF($E192:AB192,"u")+COUNTIF($E192:AB192,"t"),
     INDEX(Roadmap!$D:$K,MATCH($E192,Roadmap!$D:$D,0)+COUNTIF($E192:AB192,"u")+COUNTIF($E192:AB192,"t")+COUNTIF($E192:AB192,"¶")+COUNTIF($E192:AB192,"²")+COUNTIF($E192:AB192,"µ")+COUNTIF($E192:AB192,1),ColTypeEcheance)),
  IF(LEN(AB192)=1,
  IF(LEN(INDEX(Roadmap!$D:$K,MATCH($E192,Roadmap!$D:$D,0)-1+COUNTIF($E192:AB192,"u")+COUNTIF($E192:AB192,"t")+COUNTIF($E192:AB192,"¶")+COUNTIF($E192:AB192,"²")+COUNTIF($E192:AB192,"µ")+COUNTIF($E192:AB192,1),ColDescriptionCourte))&gt;1,
HYPERLINK("#Roadmap!C"&amp; MATCH($E192,Roadmap!$D:$D,0)+COUNTIF($E192:AB192,"u")+COUNTIF($E192:AB192,"t")+COUNTIF($E192:AB192,"¶")+COUNTIF($E192:AB192,"²")+COUNTIF($E192:AB192,"µ")+COUNTIF($E192:AB192,1)-1,INDEX(Roadmap!$D:$K,MATCH($E192,Roadmap!$D:$D,0)-1+COUNTIF($E192:AB192,"u")+COUNTIF($E192:AB192,"t")+COUNTIF($E192:AB192,"¶")+COUNTIF($E192:AB192,"²")+COUNTIF($E192:AB192,"µ")+COUNTIF($E192:AB192,1),ColDescriptionCourte)),""),
  "")),"")</f>
        <v/>
      </c>
      <c r="AD192" s="40" t="str">
        <f ca="1">IFERROR(IF(AND(
  INDEX(Roadmap!$D:$K,MATCH($E192,Roadmap!$D:$D,0)+COUNTIF($E192:AC192,"u")+COUNTIF($E192:AC192,"t")+COUNTIF($E192:AC192,"¶")+COUNTIF($E192:AC192,"²")+COUNTIF($E192:AC192,"µ")+COUNTIF($E192:AC192,1),ColLivraison)=AD$6,
  VLOOKUP($E192,INDIRECT("tri!"&amp; CHAR(64+ C0Col) &amp;":"&amp; CHAR(65+C0Col)),2,FALSE)&gt;COUNTIF($E192:AC192,"u")+COUNTIF($E192:AC192,"t")+COUNTIF($E192:AC192,"¶")+COUNTIF($E192:AC192,"²")+COUNTIF($E192:AC192,"µ")+COUNTIF($E192:AC192,1)),
HYPERLINK("#Roadmap!C"&amp; MATCH($E192,Roadmap!$D:$D,0)+COUNTIF($E192:AC192,"u")+COUNTIF($E192:AC192,"t"),
     INDEX(Roadmap!$D:$K,MATCH($E192,Roadmap!$D:$D,0)+COUNTIF($E192:AC192,"u")+COUNTIF($E192:AC192,"t")+COUNTIF($E192:AC192,"¶")+COUNTIF($E192:AC192,"²")+COUNTIF($E192:AC192,"µ")+COUNTIF($E192:AC192,1),ColTypeEcheance)),
  IF(LEN(AC192)=1,
  IF(LEN(INDEX(Roadmap!$D:$K,MATCH($E192,Roadmap!$D:$D,0)-1+COUNTIF($E192:AC192,"u")+COUNTIF($E192:AC192,"t")+COUNTIF($E192:AC192,"¶")+COUNTIF($E192:AC192,"²")+COUNTIF($E192:AC192,"µ")+COUNTIF($E192:AC192,1),ColDescriptionCourte))&gt;1,
HYPERLINK("#Roadmap!C"&amp; MATCH($E192,Roadmap!$D:$D,0)+COUNTIF($E192:AC192,"u")+COUNTIF($E192:AC192,"t")+COUNTIF($E192:AC192,"¶")+COUNTIF($E192:AC192,"²")+COUNTIF($E192:AC192,"µ")+COUNTIF($E192:AC192,1)-1,INDEX(Roadmap!$D:$K,MATCH($E192,Roadmap!$D:$D,0)-1+COUNTIF($E192:AC192,"u")+COUNTIF($E192:AC192,"t")+COUNTIF($E192:AC192,"¶")+COUNTIF($E192:AC192,"²")+COUNTIF($E192:AC192,"µ")+COUNTIF($E192:AC192,1),ColDescriptionCourte)),""),
  "")),"")</f>
        <v/>
      </c>
      <c r="AE192" s="40" t="str">
        <f ca="1">IFERROR(IF(AND(
  INDEX(Roadmap!$D:$K,MATCH($E192,Roadmap!$D:$D,0)+COUNTIF($E192:AD192,"u")+COUNTIF($E192:AD192,"t")+COUNTIF($E192:AD192,"¶")+COUNTIF($E192:AD192,"²")+COUNTIF($E192:AD192,"µ")+COUNTIF($E192:AD192,1),ColLivraison)=AE$6,
  VLOOKUP($E192,INDIRECT("tri!"&amp; CHAR(64+ C0Col) &amp;":"&amp; CHAR(65+C0Col)),2,FALSE)&gt;COUNTIF($E192:AD192,"u")+COUNTIF($E192:AD192,"t")+COUNTIF($E192:AD192,"¶")+COUNTIF($E192:AD192,"²")+COUNTIF($E192:AD192,"µ")+COUNTIF($E192:AD192,1)),
HYPERLINK("#Roadmap!C"&amp; MATCH($E192,Roadmap!$D:$D,0)+COUNTIF($E192:AD192,"u")+COUNTIF($E192:AD192,"t"),
     INDEX(Roadmap!$D:$K,MATCH($E192,Roadmap!$D:$D,0)+COUNTIF($E192:AD192,"u")+COUNTIF($E192:AD192,"t")+COUNTIF($E192:AD192,"¶")+COUNTIF($E192:AD192,"²")+COUNTIF($E192:AD192,"µ")+COUNTIF($E192:AD192,1),ColTypeEcheance)),
  IF(LEN(AD192)=1,
  IF(LEN(INDEX(Roadmap!$D:$K,MATCH($E192,Roadmap!$D:$D,0)-1+COUNTIF($E192:AD192,"u")+COUNTIF($E192:AD192,"t")+COUNTIF($E192:AD192,"¶")+COUNTIF($E192:AD192,"²")+COUNTIF($E192:AD192,"µ")+COUNTIF($E192:AD192,1),ColDescriptionCourte))&gt;1,
HYPERLINK("#Roadmap!C"&amp; MATCH($E192,Roadmap!$D:$D,0)+COUNTIF($E192:AD192,"u")+COUNTIF($E192:AD192,"t")+COUNTIF($E192:AD192,"¶")+COUNTIF($E192:AD192,"²")+COUNTIF($E192:AD192,"µ")+COUNTIF($E192:AD192,1)-1,INDEX(Roadmap!$D:$K,MATCH($E192,Roadmap!$D:$D,0)-1+COUNTIF($E192:AD192,"u")+COUNTIF($E192:AD192,"t")+COUNTIF($E192:AD192,"¶")+COUNTIF($E192:AD192,"²")+COUNTIF($E192:AD192,"µ")+COUNTIF($E192:AD192,1),ColDescriptionCourte)),""),
  "")),"")</f>
        <v/>
      </c>
      <c r="AF192" s="40" t="str">
        <f ca="1">IFERROR(IF(AND(
  INDEX(Roadmap!$D:$K,MATCH($E192,Roadmap!$D:$D,0)+COUNTIF($E192:AE192,"u")+COUNTIF($E192:AE192,"t")+COUNTIF($E192:AE192,"¶")+COUNTIF($E192:AE192,"²")+COUNTIF($E192:AE192,"µ")+COUNTIF($E192:AE192,1),ColLivraison)=AF$6,
  VLOOKUP($E192,INDIRECT("tri!"&amp; CHAR(64+ C0Col) &amp;":"&amp; CHAR(65+C0Col)),2,FALSE)&gt;COUNTIF($E192:AE192,"u")+COUNTIF($E192:AE192,"t")+COUNTIF($E192:AE192,"¶")+COUNTIF($E192:AE192,"²")+COUNTIF($E192:AE192,"µ")+COUNTIF($E192:AE192,1)),
HYPERLINK("#Roadmap!C"&amp; MATCH($E192,Roadmap!$D:$D,0)+COUNTIF($E192:AE192,"u")+COUNTIF($E192:AE192,"t"),
     INDEX(Roadmap!$D:$K,MATCH($E192,Roadmap!$D:$D,0)+COUNTIF($E192:AE192,"u")+COUNTIF($E192:AE192,"t")+COUNTIF($E192:AE192,"¶")+COUNTIF($E192:AE192,"²")+COUNTIF($E192:AE192,"µ")+COUNTIF($E192:AE192,1),ColTypeEcheance)),
  IF(LEN(AE192)=1,
  IF(LEN(INDEX(Roadmap!$D:$K,MATCH($E192,Roadmap!$D:$D,0)-1+COUNTIF($E192:AE192,"u")+COUNTIF($E192:AE192,"t")+COUNTIF($E192:AE192,"¶")+COUNTIF($E192:AE192,"²")+COUNTIF($E192:AE192,"µ")+COUNTIF($E192:AE192,1),ColDescriptionCourte))&gt;1,
HYPERLINK("#Roadmap!C"&amp; MATCH($E192,Roadmap!$D:$D,0)+COUNTIF($E192:AE192,"u")+COUNTIF($E192:AE192,"t")+COUNTIF($E192:AE192,"¶")+COUNTIF($E192:AE192,"²")+COUNTIF($E192:AE192,"µ")+COUNTIF($E192:AE192,1)-1,INDEX(Roadmap!$D:$K,MATCH($E192,Roadmap!$D:$D,0)-1+COUNTIF($E192:AE192,"u")+COUNTIF($E192:AE192,"t")+COUNTIF($E192:AE192,"¶")+COUNTIF($E192:AE192,"²")+COUNTIF($E192:AE192,"µ")+COUNTIF($E192:AE192,1),ColDescriptionCourte)),""),
  "")),"")</f>
        <v/>
      </c>
      <c r="AG192" s="40" t="str">
        <f ca="1">IFERROR(IF(AND(
  INDEX(Roadmap!$D:$K,MATCH($E192,Roadmap!$D:$D,0)+COUNTIF($E192:AF192,"u")+COUNTIF($E192:AF192,"t")+COUNTIF($E192:AF192,"¶")+COUNTIF($E192:AF192,"²")+COUNTIF($E192:AF192,"µ")+COUNTIF($E192:AF192,1),ColLivraison)=AG$6,
  VLOOKUP($E192,INDIRECT("tri!"&amp; CHAR(64+ C0Col) &amp;":"&amp; CHAR(65+C0Col)),2,FALSE)&gt;COUNTIF($E192:AF192,"u")+COUNTIF($E192:AF192,"t")+COUNTIF($E192:AF192,"¶")+COUNTIF($E192:AF192,"²")+COUNTIF($E192:AF192,"µ")+COUNTIF($E192:AF192,1)),
HYPERLINK("#Roadmap!C"&amp; MATCH($E192,Roadmap!$D:$D,0)+COUNTIF($E192:AF192,"u")+COUNTIF($E192:AF192,"t"),
     INDEX(Roadmap!$D:$K,MATCH($E192,Roadmap!$D:$D,0)+COUNTIF($E192:AF192,"u")+COUNTIF($E192:AF192,"t")+COUNTIF($E192:AF192,"¶")+COUNTIF($E192:AF192,"²")+COUNTIF($E192:AF192,"µ")+COUNTIF($E192:AF192,1),ColTypeEcheance)),
  IF(LEN(AF192)=1,
  IF(LEN(INDEX(Roadmap!$D:$K,MATCH($E192,Roadmap!$D:$D,0)-1+COUNTIF($E192:AF192,"u")+COUNTIF($E192:AF192,"t")+COUNTIF($E192:AF192,"¶")+COUNTIF($E192:AF192,"²")+COUNTIF($E192:AF192,"µ")+COUNTIF($E192:AF192,1),ColDescriptionCourte))&gt;1,
HYPERLINK("#Roadmap!C"&amp; MATCH($E192,Roadmap!$D:$D,0)+COUNTIF($E192:AF192,"u")+COUNTIF($E192:AF192,"t")+COUNTIF($E192:AF192,"¶")+COUNTIF($E192:AF192,"²")+COUNTIF($E192:AF192,"µ")+COUNTIF($E192:AF192,1)-1,INDEX(Roadmap!$D:$K,MATCH($E192,Roadmap!$D:$D,0)-1+COUNTIF($E192:AF192,"u")+COUNTIF($E192:AF192,"t")+COUNTIF($E192:AF192,"¶")+COUNTIF($E192:AF192,"²")+COUNTIF($E192:AF192,"µ")+COUNTIF($E192:AF192,1),ColDescriptionCourte)),""),
  "")),"")</f>
        <v/>
      </c>
      <c r="AH192" s="40" t="str">
        <f ca="1">IFERROR(IF(AND(
  INDEX(Roadmap!$D:$K,MATCH($E192,Roadmap!$D:$D,0)+COUNTIF($E192:AG192,"u")+COUNTIF($E192:AG192,"t")+COUNTIF($E192:AG192,1),ColLivraison)=AH$6,
  VLOOKUP($E192,INDIRECT("tri!"&amp; CHAR(64+ C0Col) &amp;":"&amp; CHAR(65+C0Col)),2,FALSE)&gt;COUNTIF($E192:AG192,"u")+COUNTIF($E192:AG192,"t")+COUNTIF($E192:AG192,1)),
HYPERLINK("#Roadmap!C"&amp; MATCH($E192,Roadmap!$D:$D,0)+COUNTIF($E192:AG192,"u")+COUNTIF($E192:AG192,"t"),
     INDEX(Roadmap!$D:$K,MATCH($E192,Roadmap!$D:$D,0)+COUNTIF($E192:AG192,"u")+COUNTIF($E192:AG192,"t")+COUNTIF($E192:AG192,1),ColTypeEcheance)),
  IF(OR(AG192="u",AG192="t",AG192=1),
  IF(LEN(INDEX(Roadmap!$D:$K,MATCH($E192,Roadmap!$D:$D,0)-1+COUNTIF($E192:AG192,"u")+COUNTIF($E192:AG192,"t")+COUNTIF($E192:AG192,1),ColDescriptionCourte))&gt;1,
HYPERLINK("#Roadmap!C"&amp; MATCH($E192,Roadmap!$D:$D,0)+COUNTIF($E192:AG192,"u")+COUNTIF($E192:AG192,"t")+COUNTIF($E192:AG192,1)-1,INDEX(Roadmap!$D:$K,MATCH($E192,Roadmap!$D:$D,0)-1+COUNTIF($E192:AG192,"u")+COUNTIF($E192:AG192,"t")+COUNTIF($E192:AG192,1),ColDescriptionCourte)),""),
  "")),"")</f>
        <v/>
      </c>
      <c r="AI192" s="40"/>
      <c r="AJ192" s="40"/>
      <c r="AK192" s="40"/>
      <c r="AL192" s="40"/>
      <c r="AM192" s="40"/>
    </row>
    <row r="193" spans="4:39" ht="14.1" customHeight="1">
      <c r="D193" s="20" t="str">
        <f t="shared" ca="1" si="31"/>
        <v/>
      </c>
      <c r="E193" s="53" t="str">
        <f t="shared" ca="1" si="32"/>
        <v/>
      </c>
      <c r="F193" s="39" t="str">
        <f ca="1">IFERROR(IF(AND(
  INDEX(Roadmap!$D:$K,MATCH($E193,Roadmap!$D:$D,0)+COUNTIF($E193:E193,"u")+COUNTIF($E193:E193,"t")+COUNTIF($E193:E193,"¶")+COUNTIF($E193:E193,"²")+COUNTIF($E193:E193,"µ")+COUNTIF($E193:E193,1),ColLivraison)=F$6,
  VLOOKUP($E193,INDIRECT("tri!"&amp; CHAR(64+ C0Col) &amp;":"&amp; CHAR(65+C0Col)),2,FALSE)&gt;COUNTIF($E193:E193,"u")+COUNTIF($E193:E193,"t")+COUNTIF($E193:E193,"¶")+COUNTIF($E193:E193,"²")+COUNTIF($E193:E193,"µ")+COUNTIF($E193:E193,1)),
HYPERLINK("#Roadmap!C"&amp; MATCH($E193,Roadmap!$D:$D,0)+COUNTIF($E193:E193,"u")+COUNTIF($E193:E193,"t"),
     INDEX(Roadmap!$D:$K,MATCH($E193,Roadmap!$D:$D,0)+COUNTIF($E193:E193,"u")+COUNTIF($E193:E193,"t")+COUNTIF($E193:E193,"¶")+COUNTIF($E193:E193,"²")+COUNTIF($E193:E193,"µ")+COUNTIF($E193:E193,1),ColTypeEcheance)),
  IF(LEN(E193)=1,
  IF(LEN(INDEX(Roadmap!$D:$K,MATCH($E193,Roadmap!$D:$D,0)-1+COUNTIF($E193:E193,"u")+COUNTIF($E193:E193,"t")+COUNTIF($E193:E193,"¶")+COUNTIF($E193:E193,"²")+COUNTIF($E193:E193,"µ")+COUNTIF($E193:E193,1),ColDescriptionCourte))&gt;1,
HYPERLINK("#Roadmap!C"&amp; MATCH($E193,Roadmap!$D:$D,0)+COUNTIF($E193:E193,"u")+COUNTIF($E193:E193,"t")+COUNTIF($E193:E193,"¶")+COUNTIF($E193:E193,"²")+COUNTIF($E193:E193,"µ")+COUNTIF($E193:E193,1)-1,INDEX(Roadmap!$D:$K,MATCH($E193,Roadmap!$D:$D,0)-1+COUNTIF($E193:E193,"u")+COUNTIF($E193:E193,"t")+COUNTIF($E193:E193,"¶")+COUNTIF($E193:E193,"²")+COUNTIF($E193:E193,"µ")+COUNTIF($E193:E193,1),ColDescriptionCourte)),""),
  "")),"")</f>
        <v/>
      </c>
      <c r="G193" s="40" t="str">
        <f ca="1">IFERROR(IF(AND(
  INDEX(Roadmap!$D:$K,MATCH($E193,Roadmap!$D:$D,0)+COUNTIF($E193:F193,"u")+COUNTIF($E193:F193,"t")+COUNTIF($E193:F193,"¶")+COUNTIF($E193:F193,"²")+COUNTIF($E193:F193,"µ")+COUNTIF($E193:F193,1),ColLivraison)=G$6,
  VLOOKUP($E193,INDIRECT("tri!"&amp; CHAR(64+ C0Col) &amp;":"&amp; CHAR(65+C0Col)),2,FALSE)&gt;COUNTIF($E193:F193,"u")+COUNTIF($E193:F193,"t")+COUNTIF($E193:F193,"¶")+COUNTIF($E193:F193,"²")+COUNTIF($E193:F193,"µ")+COUNTIF($E193:F193,1)),
HYPERLINK("#Roadmap!C"&amp; MATCH($E193,Roadmap!$D:$D,0)+COUNTIF($E193:F193,"u")+COUNTIF($E193:F193,"t"),
     INDEX(Roadmap!$D:$K,MATCH($E193,Roadmap!$D:$D,0)+COUNTIF($E193:F193,"u")+COUNTIF($E193:F193,"t")+COUNTIF($E193:F193,"¶")+COUNTIF($E193:F193,"²")+COUNTIF($E193:F193,"µ")+COUNTIF($E193:F193,1),ColTypeEcheance)),
  IF(LEN(F193)=1,
  IF(LEN(INDEX(Roadmap!$D:$K,MATCH($E193,Roadmap!$D:$D,0)-1+COUNTIF($E193:F193,"u")+COUNTIF($E193:F193,"t")+COUNTIF($E193:F193,"¶")+COUNTIF($E193:F193,"²")+COUNTIF($E193:F193,"µ")+COUNTIF($E193:F193,1),ColDescriptionCourte))&gt;1,
HYPERLINK("#Roadmap!C"&amp; MATCH($E193,Roadmap!$D:$D,0)+COUNTIF($E193:F193,"u")+COUNTIF($E193:F193,"t")+COUNTIF($E193:F193,"¶")+COUNTIF($E193:F193,"²")+COUNTIF($E193:F193,"µ")+COUNTIF($E193:F193,1)-1,INDEX(Roadmap!$D:$K,MATCH($E193,Roadmap!$D:$D,0)-1+COUNTIF($E193:F193,"u")+COUNTIF($E193:F193,"t")+COUNTIF($E193:F193,"¶")+COUNTIF($E193:F193,"²")+COUNTIF($E193:F193,"µ")+COUNTIF($E193:F193,1),ColDescriptionCourte)),""),
  "")),"")</f>
        <v/>
      </c>
      <c r="H193" s="40" t="str">
        <f ca="1">IFERROR(IF(AND(
  INDEX(Roadmap!$D:$K,MATCH($E193,Roadmap!$D:$D,0)+COUNTIF($E193:G193,"u")+COUNTIF($E193:G193,"t")+COUNTIF($E193:G193,"¶")+COUNTIF($E193:G193,"²")+COUNTIF($E193:G193,"µ")+COUNTIF($E193:G193,1),ColLivraison)=H$6,
  VLOOKUP($E193,INDIRECT("tri!"&amp; CHAR(64+ C0Col) &amp;":"&amp; CHAR(65+C0Col)),2,FALSE)&gt;COUNTIF($E193:G193,"u")+COUNTIF($E193:G193,"t")+COUNTIF($E193:G193,"¶")+COUNTIF($E193:G193,"²")+COUNTIF($E193:G193,"µ")+COUNTIF($E193:G193,1)),
HYPERLINK("#Roadmap!C"&amp; MATCH($E193,Roadmap!$D:$D,0)+COUNTIF($E193:G193,"u")+COUNTIF($E193:G193,"t"),
     INDEX(Roadmap!$D:$K,MATCH($E193,Roadmap!$D:$D,0)+COUNTIF($E193:G193,"u")+COUNTIF($E193:G193,"t")+COUNTIF($E193:G193,"¶")+COUNTIF($E193:G193,"²")+COUNTIF($E193:G193,"µ")+COUNTIF($E193:G193,1),ColTypeEcheance)),
  IF(LEN(G193)=1,
  IF(LEN(INDEX(Roadmap!$D:$K,MATCH($E193,Roadmap!$D:$D,0)-1+COUNTIF($E193:G193,"u")+COUNTIF($E193:G193,"t")+COUNTIF($E193:G193,"¶")+COUNTIF($E193:G193,"²")+COUNTIF($E193:G193,"µ")+COUNTIF($E193:G193,1),ColDescriptionCourte))&gt;1,
HYPERLINK("#Roadmap!C"&amp; MATCH($E193,Roadmap!$D:$D,0)+COUNTIF($E193:G193,"u")+COUNTIF($E193:G193,"t")+COUNTIF($E193:G193,"¶")+COUNTIF($E193:G193,"²")+COUNTIF($E193:G193,"µ")+COUNTIF($E193:G193,1)-1,INDEX(Roadmap!$D:$K,MATCH($E193,Roadmap!$D:$D,0)-1+COUNTIF($E193:G193,"u")+COUNTIF($E193:G193,"t")+COUNTIF($E193:G193,"¶")+COUNTIF($E193:G193,"²")+COUNTIF($E193:G193,"µ")+COUNTIF($E193:G193,1),ColDescriptionCourte)),""),
  "")),"")</f>
        <v/>
      </c>
      <c r="I193" s="40" t="str">
        <f ca="1">IFERROR(IF(AND(
  INDEX(Roadmap!$D:$K,MATCH($E193,Roadmap!$D:$D,0)+COUNTIF($E193:H193,"u")+COUNTIF($E193:H193,"t")+COUNTIF($E193:H193,"¶")+COUNTIF($E193:H193,"²")+COUNTIF($E193:H193,"µ")+COUNTIF($E193:H193,1),ColLivraison)=I$6,
  VLOOKUP($E193,INDIRECT("tri!"&amp; CHAR(64+ C0Col) &amp;":"&amp; CHAR(65+C0Col)),2,FALSE)&gt;COUNTIF($E193:H193,"u")+COUNTIF($E193:H193,"t")+COUNTIF($E193:H193,"¶")+COUNTIF($E193:H193,"²")+COUNTIF($E193:H193,"µ")+COUNTIF($E193:H193,1)),
HYPERLINK("#Roadmap!C"&amp; MATCH($E193,Roadmap!$D:$D,0)+COUNTIF($E193:H193,"u")+COUNTIF($E193:H193,"t"),
     INDEX(Roadmap!$D:$K,MATCH($E193,Roadmap!$D:$D,0)+COUNTIF($E193:H193,"u")+COUNTIF($E193:H193,"t")+COUNTIF($E193:H193,"¶")+COUNTIF($E193:H193,"²")+COUNTIF($E193:H193,"µ")+COUNTIF($E193:H193,1),ColTypeEcheance)),
  IF(LEN(H193)=1,
  IF(LEN(INDEX(Roadmap!$D:$K,MATCH($E193,Roadmap!$D:$D,0)-1+COUNTIF($E193:H193,"u")+COUNTIF($E193:H193,"t")+COUNTIF($E193:H193,"¶")+COUNTIF($E193:H193,"²")+COUNTIF($E193:H193,"µ")+COUNTIF($E193:H193,1),ColDescriptionCourte))&gt;1,
HYPERLINK("#Roadmap!C"&amp; MATCH($E193,Roadmap!$D:$D,0)+COUNTIF($E193:H193,"u")+COUNTIF($E193:H193,"t")+COUNTIF($E193:H193,"¶")+COUNTIF($E193:H193,"²")+COUNTIF($E193:H193,"µ")+COUNTIF($E193:H193,1)-1,INDEX(Roadmap!$D:$K,MATCH($E193,Roadmap!$D:$D,0)-1+COUNTIF($E193:H193,"u")+COUNTIF($E193:H193,"t")+COUNTIF($E193:H193,"¶")+COUNTIF($E193:H193,"²")+COUNTIF($E193:H193,"µ")+COUNTIF($E193:H193,1),ColDescriptionCourte)),""),
  "")),"")</f>
        <v/>
      </c>
      <c r="J193" s="40" t="str">
        <f ca="1">IFERROR(IF(AND(
  INDEX(Roadmap!$D:$K,MATCH($E193,Roadmap!$D:$D,0)+COUNTIF($E193:I193,"u")+COUNTIF($E193:I193,"t")+COUNTIF($E193:I193,"¶")+COUNTIF($E193:I193,"²")+COUNTIF($E193:I193,"µ")+COUNTIF($E193:I193,1),ColLivraison)=J$6,
  VLOOKUP($E193,INDIRECT("tri!"&amp; CHAR(64+ C0Col) &amp;":"&amp; CHAR(65+C0Col)),2,FALSE)&gt;COUNTIF($E193:I193,"u")+COUNTIF($E193:I193,"t")+COUNTIF($E193:I193,"¶")+COUNTIF($E193:I193,"²")+COUNTIF($E193:I193,"µ")+COUNTIF($E193:I193,1)),
HYPERLINK("#Roadmap!C"&amp; MATCH($E193,Roadmap!$D:$D,0)+COUNTIF($E193:I193,"u")+COUNTIF($E193:I193,"t"),
     INDEX(Roadmap!$D:$K,MATCH($E193,Roadmap!$D:$D,0)+COUNTIF($E193:I193,"u")+COUNTIF($E193:I193,"t")+COUNTIF($E193:I193,"¶")+COUNTIF($E193:I193,"²")+COUNTIF($E193:I193,"µ")+COUNTIF($E193:I193,1),ColTypeEcheance)),
  IF(LEN(I193)=1,
  IF(LEN(INDEX(Roadmap!$D:$K,MATCH($E193,Roadmap!$D:$D,0)-1+COUNTIF($E193:I193,"u")+COUNTIF($E193:I193,"t")+COUNTIF($E193:I193,"¶")+COUNTIF($E193:I193,"²")+COUNTIF($E193:I193,"µ")+COUNTIF($E193:I193,1),ColDescriptionCourte))&gt;1,
HYPERLINK("#Roadmap!C"&amp; MATCH($E193,Roadmap!$D:$D,0)+COUNTIF($E193:I193,"u")+COUNTIF($E193:I193,"t")+COUNTIF($E193:I193,"¶")+COUNTIF($E193:I193,"²")+COUNTIF($E193:I193,"µ")+COUNTIF($E193:I193,1)-1,INDEX(Roadmap!$D:$K,MATCH($E193,Roadmap!$D:$D,0)-1+COUNTIF($E193:I193,"u")+COUNTIF($E193:I193,"t")+COUNTIF($E193:I193,"¶")+COUNTIF($E193:I193,"²")+COUNTIF($E193:I193,"µ")+COUNTIF($E193:I193,1),ColDescriptionCourte)),""),
  "")),"")</f>
        <v/>
      </c>
      <c r="K193" s="40" t="str">
        <f ca="1">IFERROR(IF(AND(
  INDEX(Roadmap!$D:$K,MATCH($E193,Roadmap!$D:$D,0)+COUNTIF($E193:J193,"u")+COUNTIF($E193:J193,"t")+COUNTIF($E193:J193,"¶")+COUNTIF($E193:J193,"²")+COUNTIF($E193:J193,"µ")+COUNTIF($E193:J193,1),ColLivraison)=K$6,
  VLOOKUP($E193,INDIRECT("tri!"&amp; CHAR(64+ C0Col) &amp;":"&amp; CHAR(65+C0Col)),2,FALSE)&gt;COUNTIF($E193:J193,"u")+COUNTIF($E193:J193,"t")+COUNTIF($E193:J193,"¶")+COUNTIF($E193:J193,"²")+COUNTIF($E193:J193,"µ")+COUNTIF($E193:J193,1)),
HYPERLINK("#Roadmap!C"&amp; MATCH($E193,Roadmap!$D:$D,0)+COUNTIF($E193:J193,"u")+COUNTIF($E193:J193,"t"),
     INDEX(Roadmap!$D:$K,MATCH($E193,Roadmap!$D:$D,0)+COUNTIF($E193:J193,"u")+COUNTIF($E193:J193,"t")+COUNTIF($E193:J193,"¶")+COUNTIF($E193:J193,"²")+COUNTIF($E193:J193,"µ")+COUNTIF($E193:J193,1),ColTypeEcheance)),
  IF(LEN(J193)=1,
  IF(LEN(INDEX(Roadmap!$D:$K,MATCH($E193,Roadmap!$D:$D,0)-1+COUNTIF($E193:J193,"u")+COUNTIF($E193:J193,"t")+COUNTIF($E193:J193,"¶")+COUNTIF($E193:J193,"²")+COUNTIF($E193:J193,"µ")+COUNTIF($E193:J193,1),ColDescriptionCourte))&gt;1,
HYPERLINK("#Roadmap!C"&amp; MATCH($E193,Roadmap!$D:$D,0)+COUNTIF($E193:J193,"u")+COUNTIF($E193:J193,"t")+COUNTIF($E193:J193,"¶")+COUNTIF($E193:J193,"²")+COUNTIF($E193:J193,"µ")+COUNTIF($E193:J193,1)-1,INDEX(Roadmap!$D:$K,MATCH($E193,Roadmap!$D:$D,0)-1+COUNTIF($E193:J193,"u")+COUNTIF($E193:J193,"t")+COUNTIF($E193:J193,"¶")+COUNTIF($E193:J193,"²")+COUNTIF($E193:J193,"µ")+COUNTIF($E193:J193,1),ColDescriptionCourte)),""),
  "")),"")</f>
        <v/>
      </c>
      <c r="L193" s="39" t="str">
        <f ca="1">IFERROR(IF(AND(
  INDEX(Roadmap!$D:$K,MATCH($E193,Roadmap!$D:$D,0)+COUNTIF($E193:K193,"u")+COUNTIF($E193:K193,"t")+COUNTIF($E193:K193,"¶")+COUNTIF($E193:K193,"²")+COUNTIF($E193:K193,"µ")+COUNTIF($E193:K193,1),ColLivraison)=L$6,
  VLOOKUP($E193,INDIRECT("tri!"&amp; CHAR(64+ C0Col) &amp;":"&amp; CHAR(65+C0Col)),2,FALSE)&gt;COUNTIF($E193:K193,"u")+COUNTIF($E193:K193,"t")+COUNTIF($E193:K193,"¶")+COUNTIF($E193:K193,"²")+COUNTIF($E193:K193,"µ")+COUNTIF($E193:K193,1)),
HYPERLINK("#Roadmap!C"&amp; MATCH($E193,Roadmap!$D:$D,0)+COUNTIF($E193:K193,"u")+COUNTIF($E193:K193,"t"),
     INDEX(Roadmap!$D:$K,MATCH($E193,Roadmap!$D:$D,0)+COUNTIF($E193:K193,"u")+COUNTIF($E193:K193,"t")+COUNTIF($E193:K193,"¶")+COUNTIF($E193:K193,"²")+COUNTIF($E193:K193,"µ")+COUNTIF($E193:K193,1),ColTypeEcheance)),
  IF(LEN(K193)=1,
  IF(LEN(INDEX(Roadmap!$D:$K,MATCH($E193,Roadmap!$D:$D,0)-1+COUNTIF($E193:K193,"u")+COUNTIF($E193:K193,"t")+COUNTIF($E193:K193,"¶")+COUNTIF($E193:K193,"²")+COUNTIF($E193:K193,"µ")+COUNTIF($E193:K193,1),ColDescriptionCourte))&gt;1,
HYPERLINK("#Roadmap!C"&amp; MATCH($E193,Roadmap!$D:$D,0)+COUNTIF($E193:K193,"u")+COUNTIF($E193:K193,"t")+COUNTIF($E193:K193,"¶")+COUNTIF($E193:K193,"²")+COUNTIF($E193:K193,"µ")+COUNTIF($E193:K193,1)-1,INDEX(Roadmap!$D:$K,MATCH($E193,Roadmap!$D:$D,0)-1+COUNTIF($E193:K193,"u")+COUNTIF($E193:K193,"t")+COUNTIF($E193:K193,"¶")+COUNTIF($E193:K193,"²")+COUNTIF($E193:K193,"µ")+COUNTIF($E193:K193,1),ColDescriptionCourte)),""),
  "")),"")</f>
        <v/>
      </c>
      <c r="M193" s="40" t="str">
        <f ca="1">IFERROR(IF(AND(
  INDEX(Roadmap!$D:$K,MATCH($E193,Roadmap!$D:$D,0)+COUNTIF($E193:L193,"u")+COUNTIF($E193:L193,"t")+COUNTIF($E193:L193,"¶")+COUNTIF($E193:L193,"²")+COUNTIF($E193:L193,"µ")+COUNTIF($E193:L193,1),ColLivraison)=M$6,
  VLOOKUP($E193,INDIRECT("tri!"&amp; CHAR(64+ C0Col) &amp;":"&amp; CHAR(65+C0Col)),2,FALSE)&gt;COUNTIF($E193:L193,"u")+COUNTIF($E193:L193,"t")+COUNTIF($E193:L193,"¶")+COUNTIF($E193:L193,"²")+COUNTIF($E193:L193,"µ")+COUNTIF($E193:L193,1)),
HYPERLINK("#Roadmap!C"&amp; MATCH($E193,Roadmap!$D:$D,0)+COUNTIF($E193:L193,"u")+COUNTIF($E193:L193,"t"),
     INDEX(Roadmap!$D:$K,MATCH($E193,Roadmap!$D:$D,0)+COUNTIF($E193:L193,"u")+COUNTIF($E193:L193,"t")+COUNTIF($E193:L193,"¶")+COUNTIF($E193:L193,"²")+COUNTIF($E193:L193,"µ")+COUNTIF($E193:L193,1),ColTypeEcheance)),
  IF(LEN(L193)=1,
  IF(LEN(INDEX(Roadmap!$D:$K,MATCH($E193,Roadmap!$D:$D,0)-1+COUNTIF($E193:L193,"u")+COUNTIF($E193:L193,"t")+COUNTIF($E193:L193,"¶")+COUNTIF($E193:L193,"²")+COUNTIF($E193:L193,"µ")+COUNTIF($E193:L193,1),ColDescriptionCourte))&gt;1,
HYPERLINK("#Roadmap!C"&amp; MATCH($E193,Roadmap!$D:$D,0)+COUNTIF($E193:L193,"u")+COUNTIF($E193:L193,"t")+COUNTIF($E193:L193,"¶")+COUNTIF($E193:L193,"²")+COUNTIF($E193:L193,"µ")+COUNTIF($E193:L193,1)-1,INDEX(Roadmap!$D:$K,MATCH($E193,Roadmap!$D:$D,0)-1+COUNTIF($E193:L193,"u")+COUNTIF($E193:L193,"t")+COUNTIF($E193:L193,"¶")+COUNTIF($E193:L193,"²")+COUNTIF($E193:L193,"µ")+COUNTIF($E193:L193,1),ColDescriptionCourte)),""),
  "")),"")</f>
        <v/>
      </c>
      <c r="N193" s="40" t="str">
        <f ca="1">IFERROR(IF(AND(
  INDEX(Roadmap!$D:$K,MATCH($E193,Roadmap!$D:$D,0)+COUNTIF($E193:M193,"u")+COUNTIF($E193:M193,"t")+COUNTIF($E193:M193,"¶")+COUNTIF($E193:M193,"²")+COUNTIF($E193:M193,"µ")+COUNTIF($E193:M193,1),ColLivraison)=N$6,
  VLOOKUP($E193,INDIRECT("tri!"&amp; CHAR(64+ C0Col) &amp;":"&amp; CHAR(65+C0Col)),2,FALSE)&gt;COUNTIF($E193:M193,"u")+COUNTIF($E193:M193,"t")+COUNTIF($E193:M193,"¶")+COUNTIF($E193:M193,"²")+COUNTIF($E193:M193,"µ")+COUNTIF($E193:M193,1)),
HYPERLINK("#Roadmap!C"&amp; MATCH($E193,Roadmap!$D:$D,0)+COUNTIF($E193:M193,"u")+COUNTIF($E193:M193,"t"),
     INDEX(Roadmap!$D:$K,MATCH($E193,Roadmap!$D:$D,0)+COUNTIF($E193:M193,"u")+COUNTIF($E193:M193,"t")+COUNTIF($E193:M193,"¶")+COUNTIF($E193:M193,"²")+COUNTIF($E193:M193,"µ")+COUNTIF($E193:M193,1),ColTypeEcheance)),
  IF(LEN(M193)=1,
  IF(LEN(INDEX(Roadmap!$D:$K,MATCH($E193,Roadmap!$D:$D,0)-1+COUNTIF($E193:M193,"u")+COUNTIF($E193:M193,"t")+COUNTIF($E193:M193,"¶")+COUNTIF($E193:M193,"²")+COUNTIF($E193:M193,"µ")+COUNTIF($E193:M193,1),ColDescriptionCourte))&gt;1,
HYPERLINK("#Roadmap!C"&amp; MATCH($E193,Roadmap!$D:$D,0)+COUNTIF($E193:M193,"u")+COUNTIF($E193:M193,"t")+COUNTIF($E193:M193,"¶")+COUNTIF($E193:M193,"²")+COUNTIF($E193:M193,"µ")+COUNTIF($E193:M193,1)-1,INDEX(Roadmap!$D:$K,MATCH($E193,Roadmap!$D:$D,0)-1+COUNTIF($E193:M193,"u")+COUNTIF($E193:M193,"t")+COUNTIF($E193:M193,"¶")+COUNTIF($E193:M193,"²")+COUNTIF($E193:M193,"µ")+COUNTIF($E193:M193,1),ColDescriptionCourte)),""),
  "")),"")</f>
        <v/>
      </c>
      <c r="O193" s="40" t="str">
        <f ca="1">IFERROR(IF(AND(
  INDEX(Roadmap!$D:$K,MATCH($E193,Roadmap!$D:$D,0)+COUNTIF($E193:N193,"u")+COUNTIF($E193:N193,"t")+COUNTIF($E193:N193,"¶")+COUNTIF($E193:N193,"²")+COUNTIF($E193:N193,"µ")+COUNTIF($E193:N193,1),ColLivraison)=O$6,
  VLOOKUP($E193,INDIRECT("tri!"&amp; CHAR(64+ C0Col) &amp;":"&amp; CHAR(65+C0Col)),2,FALSE)&gt;COUNTIF($E193:N193,"u")+COUNTIF($E193:N193,"t")+COUNTIF($E193:N193,"¶")+COUNTIF($E193:N193,"²")+COUNTIF($E193:N193,"µ")+COUNTIF($E193:N193,1)),
HYPERLINK("#Roadmap!C"&amp; MATCH($E193,Roadmap!$D:$D,0)+COUNTIF($E193:N193,"u")+COUNTIF($E193:N193,"t"),
     INDEX(Roadmap!$D:$K,MATCH($E193,Roadmap!$D:$D,0)+COUNTIF($E193:N193,"u")+COUNTIF($E193:N193,"t")+COUNTIF($E193:N193,"¶")+COUNTIF($E193:N193,"²")+COUNTIF($E193:N193,"µ")+COUNTIF($E193:N193,1),ColTypeEcheance)),
  IF(LEN(N193)=1,
  IF(LEN(INDEX(Roadmap!$D:$K,MATCH($E193,Roadmap!$D:$D,0)-1+COUNTIF($E193:N193,"u")+COUNTIF($E193:N193,"t")+COUNTIF($E193:N193,"¶")+COUNTIF($E193:N193,"²")+COUNTIF($E193:N193,"µ")+COUNTIF($E193:N193,1),ColDescriptionCourte))&gt;1,
HYPERLINK("#Roadmap!C"&amp; MATCH($E193,Roadmap!$D:$D,0)+COUNTIF($E193:N193,"u")+COUNTIF($E193:N193,"t")+COUNTIF($E193:N193,"¶")+COUNTIF($E193:N193,"²")+COUNTIF($E193:N193,"µ")+COUNTIF($E193:N193,1)-1,INDEX(Roadmap!$D:$K,MATCH($E193,Roadmap!$D:$D,0)-1+COUNTIF($E193:N193,"u")+COUNTIF($E193:N193,"t")+COUNTIF($E193:N193,"¶")+COUNTIF($E193:N193,"²")+COUNTIF($E193:N193,"µ")+COUNTIF($E193:N193,1),ColDescriptionCourte)),""),
  "")),"")</f>
        <v/>
      </c>
      <c r="P193" s="40" t="str">
        <f ca="1">IFERROR(IF(AND(
  INDEX(Roadmap!$D:$K,MATCH($E193,Roadmap!$D:$D,0)+COUNTIF($E193:O193,"u")+COUNTIF($E193:O193,"t")+COUNTIF($E193:O193,"¶")+COUNTIF($E193:O193,"²")+COUNTIF($E193:O193,"µ")+COUNTIF($E193:O193,1),ColLivraison)=P$6,
  VLOOKUP($E193,INDIRECT("tri!"&amp; CHAR(64+ C0Col) &amp;":"&amp; CHAR(65+C0Col)),2,FALSE)&gt;COUNTIF($E193:O193,"u")+COUNTIF($E193:O193,"t")+COUNTIF($E193:O193,"¶")+COUNTIF($E193:O193,"²")+COUNTIF($E193:O193,"µ")+COUNTIF($E193:O193,1)),
HYPERLINK("#Roadmap!C"&amp; MATCH($E193,Roadmap!$D:$D,0)+COUNTIF($E193:O193,"u")+COUNTIF($E193:O193,"t"),
     INDEX(Roadmap!$D:$K,MATCH($E193,Roadmap!$D:$D,0)+COUNTIF($E193:O193,"u")+COUNTIF($E193:O193,"t")+COUNTIF($E193:O193,"¶")+COUNTIF($E193:O193,"²")+COUNTIF($E193:O193,"µ")+COUNTIF($E193:O193,1),ColTypeEcheance)),
  IF(LEN(O193)=1,
  IF(LEN(INDEX(Roadmap!$D:$K,MATCH($E193,Roadmap!$D:$D,0)-1+COUNTIF($E193:O193,"u")+COUNTIF($E193:O193,"t")+COUNTIF($E193:O193,"¶")+COUNTIF($E193:O193,"²")+COUNTIF($E193:O193,"µ")+COUNTIF($E193:O193,1),ColDescriptionCourte))&gt;1,
HYPERLINK("#Roadmap!C"&amp; MATCH($E193,Roadmap!$D:$D,0)+COUNTIF($E193:O193,"u")+COUNTIF($E193:O193,"t")+COUNTIF($E193:O193,"¶")+COUNTIF($E193:O193,"²")+COUNTIF($E193:O193,"µ")+COUNTIF($E193:O193,1)-1,INDEX(Roadmap!$D:$K,MATCH($E193,Roadmap!$D:$D,0)-1+COUNTIF($E193:O193,"u")+COUNTIF($E193:O193,"t")+COUNTIF($E193:O193,"¶")+COUNTIF($E193:O193,"²")+COUNTIF($E193:O193,"µ")+COUNTIF($E193:O193,1),ColDescriptionCourte)),""),
  "")),"")</f>
        <v/>
      </c>
      <c r="Q193" s="40" t="str">
        <f ca="1">IFERROR(IF(AND(
  INDEX(Roadmap!$D:$K,MATCH($E193,Roadmap!$D:$D,0)+COUNTIF($E193:P193,"u")+COUNTIF($E193:P193,"t")+COUNTIF($E193:P193,"¶")+COUNTIF($E193:P193,"²")+COUNTIF($E193:P193,"µ")+COUNTIF($E193:P193,1),ColLivraison)=Q$6,
  VLOOKUP($E193,INDIRECT("tri!"&amp; CHAR(64+ C0Col) &amp;":"&amp; CHAR(65+C0Col)),2,FALSE)&gt;COUNTIF($E193:P193,"u")+COUNTIF($E193:P193,"t")+COUNTIF($E193:P193,"¶")+COUNTIF($E193:P193,"²")+COUNTIF($E193:P193,"µ")+COUNTIF($E193:P193,1)),
HYPERLINK("#Roadmap!C"&amp; MATCH($E193,Roadmap!$D:$D,0)+COUNTIF($E193:P193,"u")+COUNTIF($E193:P193,"t"),
     INDEX(Roadmap!$D:$K,MATCH($E193,Roadmap!$D:$D,0)+COUNTIF($E193:P193,"u")+COUNTIF($E193:P193,"t")+COUNTIF($E193:P193,"¶")+COUNTIF($E193:P193,"²")+COUNTIF($E193:P193,"µ")+COUNTIF($E193:P193,1),ColTypeEcheance)),
  IF(LEN(P193)=1,
  IF(LEN(INDEX(Roadmap!$D:$K,MATCH($E193,Roadmap!$D:$D,0)-1+COUNTIF($E193:P193,"u")+COUNTIF($E193:P193,"t")+COUNTIF($E193:P193,"¶")+COUNTIF($E193:P193,"²")+COUNTIF($E193:P193,"µ")+COUNTIF($E193:P193,1),ColDescriptionCourte))&gt;1,
HYPERLINK("#Roadmap!C"&amp; MATCH($E193,Roadmap!$D:$D,0)+COUNTIF($E193:P193,"u")+COUNTIF($E193:P193,"t")+COUNTIF($E193:P193,"¶")+COUNTIF($E193:P193,"²")+COUNTIF($E193:P193,"µ")+COUNTIF($E193:P193,1)-1,INDEX(Roadmap!$D:$K,MATCH($E193,Roadmap!$D:$D,0)-1+COUNTIF($E193:P193,"u")+COUNTIF($E193:P193,"t")+COUNTIF($E193:P193,"¶")+COUNTIF($E193:P193,"²")+COUNTIF($E193:P193,"µ")+COUNTIF($E193:P193,1),ColDescriptionCourte)),""),
  "")),"")</f>
        <v/>
      </c>
      <c r="R193" s="40" t="str">
        <f ca="1">IFERROR(IF(AND(
  INDEX(Roadmap!$D:$K,MATCH($E193,Roadmap!$D:$D,0)+COUNTIF($E193:Q193,"u")+COUNTIF($E193:Q193,"t")+COUNTIF($E193:Q193,"¶")+COUNTIF($E193:Q193,"²")+COUNTIF($E193:Q193,"µ")+COUNTIF($E193:Q193,1),ColLivraison)=R$6,
  VLOOKUP($E193,INDIRECT("tri!"&amp; CHAR(64+ C0Col) &amp;":"&amp; CHAR(65+C0Col)),2,FALSE)&gt;COUNTIF($E193:Q193,"u")+COUNTIF($E193:Q193,"t")+COUNTIF($E193:Q193,"¶")+COUNTIF($E193:Q193,"²")+COUNTIF($E193:Q193,"µ")+COUNTIF($E193:Q193,1)),
HYPERLINK("#Roadmap!C"&amp; MATCH($E193,Roadmap!$D:$D,0)+COUNTIF($E193:Q193,"u")+COUNTIF($E193:Q193,"t"),
     INDEX(Roadmap!$D:$K,MATCH($E193,Roadmap!$D:$D,0)+COUNTIF($E193:Q193,"u")+COUNTIF($E193:Q193,"t")+COUNTIF($E193:Q193,"¶")+COUNTIF($E193:Q193,"²")+COUNTIF($E193:Q193,"µ")+COUNTIF($E193:Q193,1),ColTypeEcheance)),
  IF(LEN(Q193)=1,
  IF(LEN(INDEX(Roadmap!$D:$K,MATCH($E193,Roadmap!$D:$D,0)-1+COUNTIF($E193:Q193,"u")+COUNTIF($E193:Q193,"t")+COUNTIF($E193:Q193,"¶")+COUNTIF($E193:Q193,"²")+COUNTIF($E193:Q193,"µ")+COUNTIF($E193:Q193,1),ColDescriptionCourte))&gt;1,
HYPERLINK("#Roadmap!C"&amp; MATCH($E193,Roadmap!$D:$D,0)+COUNTIF($E193:Q193,"u")+COUNTIF($E193:Q193,"t")+COUNTIF($E193:Q193,"¶")+COUNTIF($E193:Q193,"²")+COUNTIF($E193:Q193,"µ")+COUNTIF($E193:Q193,1)-1,INDEX(Roadmap!$D:$K,MATCH($E193,Roadmap!$D:$D,0)-1+COUNTIF($E193:Q193,"u")+COUNTIF($E193:Q193,"t")+COUNTIF($E193:Q193,"¶")+COUNTIF($E193:Q193,"²")+COUNTIF($E193:Q193,"µ")+COUNTIF($E193:Q193,1),ColDescriptionCourte)),""),
  "")),"")</f>
        <v/>
      </c>
      <c r="S193" s="40" t="str">
        <f ca="1">IFERROR(IF(AND(
  INDEX(Roadmap!$D:$K,MATCH($E193,Roadmap!$D:$D,0)+COUNTIF($E193:R193,"u")+COUNTIF($E193:R193,"t")+COUNTIF($E193:R193,"¶")+COUNTIF($E193:R193,"²")+COUNTIF($E193:R193,"µ")+COUNTIF($E193:R193,1),ColLivraison)=S$6,
  VLOOKUP($E193,INDIRECT("tri!"&amp; CHAR(64+ C0Col) &amp;":"&amp; CHAR(65+C0Col)),2,FALSE)&gt;COUNTIF($E193:R193,"u")+COUNTIF($E193:R193,"t")+COUNTIF($E193:R193,"¶")+COUNTIF($E193:R193,"²")+COUNTIF($E193:R193,"µ")+COUNTIF($E193:R193,1)),
HYPERLINK("#Roadmap!C"&amp; MATCH($E193,Roadmap!$D:$D,0)+COUNTIF($E193:R193,"u")+COUNTIF($E193:R193,"t"),
     INDEX(Roadmap!$D:$K,MATCH($E193,Roadmap!$D:$D,0)+COUNTIF($E193:R193,"u")+COUNTIF($E193:R193,"t")+COUNTIF($E193:R193,"¶")+COUNTIF($E193:R193,"²")+COUNTIF($E193:R193,"µ")+COUNTIF($E193:R193,1),ColTypeEcheance)),
  IF(LEN(R193)=1,
  IF(LEN(INDEX(Roadmap!$D:$K,MATCH($E193,Roadmap!$D:$D,0)-1+COUNTIF($E193:R193,"u")+COUNTIF($E193:R193,"t")+COUNTIF($E193:R193,"¶")+COUNTIF($E193:R193,"²")+COUNTIF($E193:R193,"µ")+COUNTIF($E193:R193,1),ColDescriptionCourte))&gt;1,
HYPERLINK("#Roadmap!C"&amp; MATCH($E193,Roadmap!$D:$D,0)+COUNTIF($E193:R193,"u")+COUNTIF($E193:R193,"t")+COUNTIF($E193:R193,"¶")+COUNTIF($E193:R193,"²")+COUNTIF($E193:R193,"µ")+COUNTIF($E193:R193,1)-1,INDEX(Roadmap!$D:$K,MATCH($E193,Roadmap!$D:$D,0)-1+COUNTIF($E193:R193,"u")+COUNTIF($E193:R193,"t")+COUNTIF($E193:R193,"¶")+COUNTIF($E193:R193,"²")+COUNTIF($E193:R193,"µ")+COUNTIF($E193:R193,1),ColDescriptionCourte)),""),
  "")),"")</f>
        <v/>
      </c>
      <c r="T193" s="40" t="str">
        <f ca="1">IFERROR(IF(AND(
  INDEX(Roadmap!$D:$K,MATCH($E193,Roadmap!$D:$D,0)+COUNTIF($E193:S193,"u")+COUNTIF($E193:S193,"t")+COUNTIF($E193:S193,"¶")+COUNTIF($E193:S193,"²")+COUNTIF($E193:S193,"µ")+COUNTIF($E193:S193,1),ColLivraison)=T$6,
  VLOOKUP($E193,INDIRECT("tri!"&amp; CHAR(64+ C0Col) &amp;":"&amp; CHAR(65+C0Col)),2,FALSE)&gt;COUNTIF($E193:S193,"u")+COUNTIF($E193:S193,"t")+COUNTIF($E193:S193,"¶")+COUNTIF($E193:S193,"²")+COUNTIF($E193:S193,"µ")+COUNTIF($E193:S193,1)),
HYPERLINK("#Roadmap!C"&amp; MATCH($E193,Roadmap!$D:$D,0)+COUNTIF($E193:S193,"u")+COUNTIF($E193:S193,"t"),
     INDEX(Roadmap!$D:$K,MATCH($E193,Roadmap!$D:$D,0)+COUNTIF($E193:S193,"u")+COUNTIF($E193:S193,"t")+COUNTIF($E193:S193,"¶")+COUNTIF($E193:S193,"²")+COUNTIF($E193:S193,"µ")+COUNTIF($E193:S193,1),ColTypeEcheance)),
  IF(LEN(S193)=1,
  IF(LEN(INDEX(Roadmap!$D:$K,MATCH($E193,Roadmap!$D:$D,0)-1+COUNTIF($E193:S193,"u")+COUNTIF($E193:S193,"t")+COUNTIF($E193:S193,"¶")+COUNTIF($E193:S193,"²")+COUNTIF($E193:S193,"µ")+COUNTIF($E193:S193,1),ColDescriptionCourte))&gt;1,
HYPERLINK("#Roadmap!C"&amp; MATCH($E193,Roadmap!$D:$D,0)+COUNTIF($E193:S193,"u")+COUNTIF($E193:S193,"t")+COUNTIF($E193:S193,"¶")+COUNTIF($E193:S193,"²")+COUNTIF($E193:S193,"µ")+COUNTIF($E193:S193,1)-1,INDEX(Roadmap!$D:$K,MATCH($E193,Roadmap!$D:$D,0)-1+COUNTIF($E193:S193,"u")+COUNTIF($E193:S193,"t")+COUNTIF($E193:S193,"¶")+COUNTIF($E193:S193,"²")+COUNTIF($E193:S193,"µ")+COUNTIF($E193:S193,1),ColDescriptionCourte)),""),
  "")),"")</f>
        <v/>
      </c>
      <c r="U193" s="40" t="str">
        <f ca="1">IFERROR(IF(AND(
  INDEX(Roadmap!$D:$K,MATCH($E193,Roadmap!$D:$D,0)+COUNTIF($E193:T193,"u")+COUNTIF($E193:T193,"t")+COUNTIF($E193:T193,"¶")+COUNTIF($E193:T193,"²")+COUNTIF($E193:T193,"µ")+COUNTIF($E193:T193,1),ColLivraison)=U$6,
  VLOOKUP($E193,INDIRECT("tri!"&amp; CHAR(64+ C0Col) &amp;":"&amp; CHAR(65+C0Col)),2,FALSE)&gt;COUNTIF($E193:T193,"u")+COUNTIF($E193:T193,"t")+COUNTIF($E193:T193,"¶")+COUNTIF($E193:T193,"²")+COUNTIF($E193:T193,"µ")+COUNTIF($E193:T193,1)),
HYPERLINK("#Roadmap!C"&amp; MATCH($E193,Roadmap!$D:$D,0)+COUNTIF($E193:T193,"u")+COUNTIF($E193:T193,"t"),
     INDEX(Roadmap!$D:$K,MATCH($E193,Roadmap!$D:$D,0)+COUNTIF($E193:T193,"u")+COUNTIF($E193:T193,"t")+COUNTIF($E193:T193,"¶")+COUNTIF($E193:T193,"²")+COUNTIF($E193:T193,"µ")+COUNTIF($E193:T193,1),ColTypeEcheance)),
  IF(LEN(T193)=1,
  IF(LEN(INDEX(Roadmap!$D:$K,MATCH($E193,Roadmap!$D:$D,0)-1+COUNTIF($E193:T193,"u")+COUNTIF($E193:T193,"t")+COUNTIF($E193:T193,"¶")+COUNTIF($E193:T193,"²")+COUNTIF($E193:T193,"µ")+COUNTIF($E193:T193,1),ColDescriptionCourte))&gt;1,
HYPERLINK("#Roadmap!C"&amp; MATCH($E193,Roadmap!$D:$D,0)+COUNTIF($E193:T193,"u")+COUNTIF($E193:T193,"t")+COUNTIF($E193:T193,"¶")+COUNTIF($E193:T193,"²")+COUNTIF($E193:T193,"µ")+COUNTIF($E193:T193,1)-1,INDEX(Roadmap!$D:$K,MATCH($E193,Roadmap!$D:$D,0)-1+COUNTIF($E193:T193,"u")+COUNTIF($E193:T193,"t")+COUNTIF($E193:T193,"¶")+COUNTIF($E193:T193,"²")+COUNTIF($E193:T193,"µ")+COUNTIF($E193:T193,1),ColDescriptionCourte)),""),
  "")),"")</f>
        <v/>
      </c>
      <c r="V193" s="40" t="str">
        <f ca="1">IFERROR(IF(AND(
  INDEX(Roadmap!$D:$K,MATCH($E193,Roadmap!$D:$D,0)+COUNTIF($E193:U193,"u")+COUNTIF($E193:U193,"t")+COUNTIF($E193:U193,"¶")+COUNTIF($E193:U193,"²")+COUNTIF($E193:U193,"µ")+COUNTIF($E193:U193,1),ColLivraison)=V$6,
  VLOOKUP($E193,INDIRECT("tri!"&amp; CHAR(64+ C0Col) &amp;":"&amp; CHAR(65+C0Col)),2,FALSE)&gt;COUNTIF($E193:U193,"u")+COUNTIF($E193:U193,"t")+COUNTIF($E193:U193,"¶")+COUNTIF($E193:U193,"²")+COUNTIF($E193:U193,"µ")+COUNTIF($E193:U193,1)),
HYPERLINK("#Roadmap!C"&amp; MATCH($E193,Roadmap!$D:$D,0)+COUNTIF($E193:U193,"u")+COUNTIF($E193:U193,"t"),
     INDEX(Roadmap!$D:$K,MATCH($E193,Roadmap!$D:$D,0)+COUNTIF($E193:U193,"u")+COUNTIF($E193:U193,"t")+COUNTIF($E193:U193,"¶")+COUNTIF($E193:U193,"²")+COUNTIF($E193:U193,"µ")+COUNTIF($E193:U193,1),ColTypeEcheance)),
  IF(LEN(U193)=1,
  IF(LEN(INDEX(Roadmap!$D:$K,MATCH($E193,Roadmap!$D:$D,0)-1+COUNTIF($E193:U193,"u")+COUNTIF($E193:U193,"t")+COUNTIF($E193:U193,"¶")+COUNTIF($E193:U193,"²")+COUNTIF($E193:U193,"µ")+COUNTIF($E193:U193,1),ColDescriptionCourte))&gt;1,
HYPERLINK("#Roadmap!C"&amp; MATCH($E193,Roadmap!$D:$D,0)+COUNTIF($E193:U193,"u")+COUNTIF($E193:U193,"t")+COUNTIF($E193:U193,"¶")+COUNTIF($E193:U193,"²")+COUNTIF($E193:U193,"µ")+COUNTIF($E193:U193,1)-1,INDEX(Roadmap!$D:$K,MATCH($E193,Roadmap!$D:$D,0)-1+COUNTIF($E193:U193,"u")+COUNTIF($E193:U193,"t")+COUNTIF($E193:U193,"¶")+COUNTIF($E193:U193,"²")+COUNTIF($E193:U193,"µ")+COUNTIF($E193:U193,1),ColDescriptionCourte)),""),
  "")),"")</f>
        <v/>
      </c>
      <c r="W193" s="40" t="str">
        <f ca="1">IFERROR(IF(AND(
  INDEX(Roadmap!$D:$K,MATCH($E193,Roadmap!$D:$D,0)+COUNTIF($E193:V193,"u")+COUNTIF($E193:V193,"t")+COUNTIF($E193:V193,"¶")+COUNTIF($E193:V193,"²")+COUNTIF($E193:V193,"µ")+COUNTIF($E193:V193,1),ColLivraison)=W$6,
  VLOOKUP($E193,INDIRECT("tri!"&amp; CHAR(64+ C0Col) &amp;":"&amp; CHAR(65+C0Col)),2,FALSE)&gt;COUNTIF($E193:V193,"u")+COUNTIF($E193:V193,"t")+COUNTIF($E193:V193,"¶")+COUNTIF($E193:V193,"²")+COUNTIF($E193:V193,"µ")+COUNTIF($E193:V193,1)),
HYPERLINK("#Roadmap!C"&amp; MATCH($E193,Roadmap!$D:$D,0)+COUNTIF($E193:V193,"u")+COUNTIF($E193:V193,"t"),
     INDEX(Roadmap!$D:$K,MATCH($E193,Roadmap!$D:$D,0)+COUNTIF($E193:V193,"u")+COUNTIF($E193:V193,"t")+COUNTIF($E193:V193,"¶")+COUNTIF($E193:V193,"²")+COUNTIF($E193:V193,"µ")+COUNTIF($E193:V193,1),ColTypeEcheance)),
  IF(LEN(V193)=1,
  IF(LEN(INDEX(Roadmap!$D:$K,MATCH($E193,Roadmap!$D:$D,0)-1+COUNTIF($E193:V193,"u")+COUNTIF($E193:V193,"t")+COUNTIF($E193:V193,"¶")+COUNTIF($E193:V193,"²")+COUNTIF($E193:V193,"µ")+COUNTIF($E193:V193,1),ColDescriptionCourte))&gt;1,
HYPERLINK("#Roadmap!C"&amp; MATCH($E193,Roadmap!$D:$D,0)+COUNTIF($E193:V193,"u")+COUNTIF($E193:V193,"t")+COUNTIF($E193:V193,"¶")+COUNTIF($E193:V193,"²")+COUNTIF($E193:V193,"µ")+COUNTIF($E193:V193,1)-1,INDEX(Roadmap!$D:$K,MATCH($E193,Roadmap!$D:$D,0)-1+COUNTIF($E193:V193,"u")+COUNTIF($E193:V193,"t")+COUNTIF($E193:V193,"¶")+COUNTIF($E193:V193,"²")+COUNTIF($E193:V193,"µ")+COUNTIF($E193:V193,1),ColDescriptionCourte)),""),
  "")),"")</f>
        <v/>
      </c>
      <c r="X193" s="40" t="str">
        <f ca="1">IFERROR(IF(AND(
  INDEX(Roadmap!$D:$K,MATCH($E193,Roadmap!$D:$D,0)+COUNTIF($E193:W193,"u")+COUNTIF($E193:W193,"t")+COUNTIF($E193:W193,"¶")+COUNTIF($E193:W193,"²")+COUNTIF($E193:W193,"µ")+COUNTIF($E193:W193,1),ColLivraison)=X$6,
  VLOOKUP($E193,INDIRECT("tri!"&amp; CHAR(64+ C0Col) &amp;":"&amp; CHAR(65+C0Col)),2,FALSE)&gt;COUNTIF($E193:W193,"u")+COUNTIF($E193:W193,"t")+COUNTIF($E193:W193,"¶")+COUNTIF($E193:W193,"²")+COUNTIF($E193:W193,"µ")+COUNTIF($E193:W193,1)),
HYPERLINK("#Roadmap!C"&amp; MATCH($E193,Roadmap!$D:$D,0)+COUNTIF($E193:W193,"u")+COUNTIF($E193:W193,"t"),
     INDEX(Roadmap!$D:$K,MATCH($E193,Roadmap!$D:$D,0)+COUNTIF($E193:W193,"u")+COUNTIF($E193:W193,"t")+COUNTIF($E193:W193,"¶")+COUNTIF($E193:W193,"²")+COUNTIF($E193:W193,"µ")+COUNTIF($E193:W193,1),ColTypeEcheance)),
  IF(LEN(W193)=1,
  IF(LEN(INDEX(Roadmap!$D:$K,MATCH($E193,Roadmap!$D:$D,0)-1+COUNTIF($E193:W193,"u")+COUNTIF($E193:W193,"t")+COUNTIF($E193:W193,"¶")+COUNTIF($E193:W193,"²")+COUNTIF($E193:W193,"µ")+COUNTIF($E193:W193,1),ColDescriptionCourte))&gt;1,
HYPERLINK("#Roadmap!C"&amp; MATCH($E193,Roadmap!$D:$D,0)+COUNTIF($E193:W193,"u")+COUNTIF($E193:W193,"t")+COUNTIF($E193:W193,"¶")+COUNTIF($E193:W193,"²")+COUNTIF($E193:W193,"µ")+COUNTIF($E193:W193,1)-1,INDEX(Roadmap!$D:$K,MATCH($E193,Roadmap!$D:$D,0)-1+COUNTIF($E193:W193,"u")+COUNTIF($E193:W193,"t")+COUNTIF($E193:W193,"¶")+COUNTIF($E193:W193,"²")+COUNTIF($E193:W193,"µ")+COUNTIF($E193:W193,1),ColDescriptionCourte)),""),
  "")),"")</f>
        <v/>
      </c>
      <c r="Y193" s="40" t="str">
        <f ca="1">IFERROR(IF(AND(
  INDEX(Roadmap!$D:$K,MATCH($E193,Roadmap!$D:$D,0)+COUNTIF($E193:X193,"u")+COUNTIF($E193:X193,"t")+COUNTIF($E193:X193,"¶")+COUNTIF($E193:X193,"²")+COUNTIF($E193:X193,"µ")+COUNTIF($E193:X193,1),ColLivraison)=Y$6,
  VLOOKUP($E193,INDIRECT("tri!"&amp; CHAR(64+ C0Col) &amp;":"&amp; CHAR(65+C0Col)),2,FALSE)&gt;COUNTIF($E193:X193,"u")+COUNTIF($E193:X193,"t")+COUNTIF($E193:X193,"¶")+COUNTIF($E193:X193,"²")+COUNTIF($E193:X193,"µ")+COUNTIF($E193:X193,1)),
HYPERLINK("#Roadmap!C"&amp; MATCH($E193,Roadmap!$D:$D,0)+COUNTIF($E193:X193,"u")+COUNTIF($E193:X193,"t"),
     INDEX(Roadmap!$D:$K,MATCH($E193,Roadmap!$D:$D,0)+COUNTIF($E193:X193,"u")+COUNTIF($E193:X193,"t")+COUNTIF($E193:X193,"¶")+COUNTIF($E193:X193,"²")+COUNTIF($E193:X193,"µ")+COUNTIF($E193:X193,1),ColTypeEcheance)),
  IF(LEN(X193)=1,
  IF(LEN(INDEX(Roadmap!$D:$K,MATCH($E193,Roadmap!$D:$D,0)-1+COUNTIF($E193:X193,"u")+COUNTIF($E193:X193,"t")+COUNTIF($E193:X193,"¶")+COUNTIF($E193:X193,"²")+COUNTIF($E193:X193,"µ")+COUNTIF($E193:X193,1),ColDescriptionCourte))&gt;1,
HYPERLINK("#Roadmap!C"&amp; MATCH($E193,Roadmap!$D:$D,0)+COUNTIF($E193:X193,"u")+COUNTIF($E193:X193,"t")+COUNTIF($E193:X193,"¶")+COUNTIF($E193:X193,"²")+COUNTIF($E193:X193,"µ")+COUNTIF($E193:X193,1)-1,INDEX(Roadmap!$D:$K,MATCH($E193,Roadmap!$D:$D,0)-1+COUNTIF($E193:X193,"u")+COUNTIF($E193:X193,"t")+COUNTIF($E193:X193,"¶")+COUNTIF($E193:X193,"²")+COUNTIF($E193:X193,"µ")+COUNTIF($E193:X193,1),ColDescriptionCourte)),""),
  "")),"")</f>
        <v/>
      </c>
      <c r="Z193" s="40" t="str">
        <f ca="1">IFERROR(IF(AND(
  INDEX(Roadmap!$D:$K,MATCH($E193,Roadmap!$D:$D,0)+COUNTIF($E193:Y193,"u")+COUNTIF($E193:Y193,"t")+COUNTIF($E193:Y193,"¶")+COUNTIF($E193:Y193,"²")+COUNTIF($E193:Y193,"µ")+COUNTIF($E193:Y193,1),ColLivraison)=Z$6,
  VLOOKUP($E193,INDIRECT("tri!"&amp; CHAR(64+ C0Col) &amp;":"&amp; CHAR(65+C0Col)),2,FALSE)&gt;COUNTIF($E193:Y193,"u")+COUNTIF($E193:Y193,"t")+COUNTIF($E193:Y193,"¶")+COUNTIF($E193:Y193,"²")+COUNTIF($E193:Y193,"µ")+COUNTIF($E193:Y193,1)),
HYPERLINK("#Roadmap!C"&amp; MATCH($E193,Roadmap!$D:$D,0)+COUNTIF($E193:Y193,"u")+COUNTIF($E193:Y193,"t"),
     INDEX(Roadmap!$D:$K,MATCH($E193,Roadmap!$D:$D,0)+COUNTIF($E193:Y193,"u")+COUNTIF($E193:Y193,"t")+COUNTIF($E193:Y193,"¶")+COUNTIF($E193:Y193,"²")+COUNTIF($E193:Y193,"µ")+COUNTIF($E193:Y193,1),ColTypeEcheance)),
  IF(LEN(Y193)=1,
  IF(LEN(INDEX(Roadmap!$D:$K,MATCH($E193,Roadmap!$D:$D,0)-1+COUNTIF($E193:Y193,"u")+COUNTIF($E193:Y193,"t")+COUNTIF($E193:Y193,"¶")+COUNTIF($E193:Y193,"²")+COUNTIF($E193:Y193,"µ")+COUNTIF($E193:Y193,1),ColDescriptionCourte))&gt;1,
HYPERLINK("#Roadmap!C"&amp; MATCH($E193,Roadmap!$D:$D,0)+COUNTIF($E193:Y193,"u")+COUNTIF($E193:Y193,"t")+COUNTIF($E193:Y193,"¶")+COUNTIF($E193:Y193,"²")+COUNTIF($E193:Y193,"µ")+COUNTIF($E193:Y193,1)-1,INDEX(Roadmap!$D:$K,MATCH($E193,Roadmap!$D:$D,0)-1+COUNTIF($E193:Y193,"u")+COUNTIF($E193:Y193,"t")+COUNTIF($E193:Y193,"¶")+COUNTIF($E193:Y193,"²")+COUNTIF($E193:Y193,"µ")+COUNTIF($E193:Y193,1),ColDescriptionCourte)),""),
  "")),"")</f>
        <v/>
      </c>
      <c r="AA193" s="40" t="str">
        <f ca="1">IFERROR(IF(AND(
  INDEX(Roadmap!$D:$K,MATCH($E193,Roadmap!$D:$D,0)+COUNTIF($E193:Z193,"u")+COUNTIF($E193:Z193,"t")+COUNTIF($E193:Z193,"¶")+COUNTIF($E193:Z193,"²")+COUNTIF($E193:Z193,"µ")+COUNTIF($E193:Z193,1),ColLivraison)=AA$6,
  VLOOKUP($E193,INDIRECT("tri!"&amp; CHAR(64+ C0Col) &amp;":"&amp; CHAR(65+C0Col)),2,FALSE)&gt;COUNTIF($E193:Z193,"u")+COUNTIF($E193:Z193,"t")+COUNTIF($E193:Z193,"¶")+COUNTIF($E193:Z193,"²")+COUNTIF($E193:Z193,"µ")+COUNTIF($E193:Z193,1)),
HYPERLINK("#Roadmap!C"&amp; MATCH($E193,Roadmap!$D:$D,0)+COUNTIF($E193:Z193,"u")+COUNTIF($E193:Z193,"t"),
     INDEX(Roadmap!$D:$K,MATCH($E193,Roadmap!$D:$D,0)+COUNTIF($E193:Z193,"u")+COUNTIF($E193:Z193,"t")+COUNTIF($E193:Z193,"¶")+COUNTIF($E193:Z193,"²")+COUNTIF($E193:Z193,"µ")+COUNTIF($E193:Z193,1),ColTypeEcheance)),
  IF(LEN(Z193)=1,
  IF(LEN(INDEX(Roadmap!$D:$K,MATCH($E193,Roadmap!$D:$D,0)-1+COUNTIF($E193:Z193,"u")+COUNTIF($E193:Z193,"t")+COUNTIF($E193:Z193,"¶")+COUNTIF($E193:Z193,"²")+COUNTIF($E193:Z193,"µ")+COUNTIF($E193:Z193,1),ColDescriptionCourte))&gt;1,
HYPERLINK("#Roadmap!C"&amp; MATCH($E193,Roadmap!$D:$D,0)+COUNTIF($E193:Z193,"u")+COUNTIF($E193:Z193,"t")+COUNTIF($E193:Z193,"¶")+COUNTIF($E193:Z193,"²")+COUNTIF($E193:Z193,"µ")+COUNTIF($E193:Z193,1)-1,INDEX(Roadmap!$D:$K,MATCH($E193,Roadmap!$D:$D,0)-1+COUNTIF($E193:Z193,"u")+COUNTIF($E193:Z193,"t")+COUNTIF($E193:Z193,"¶")+COUNTIF($E193:Z193,"²")+COUNTIF($E193:Z193,"µ")+COUNTIF($E193:Z193,1),ColDescriptionCourte)),""),
  "")),"")</f>
        <v/>
      </c>
      <c r="AB193" s="40" t="str">
        <f ca="1">IFERROR(IF(AND(
  INDEX(Roadmap!$D:$K,MATCH($E193,Roadmap!$D:$D,0)+COUNTIF($E193:AA193,"u")+COUNTIF($E193:AA193,"t")+COUNTIF($E193:AA193,"¶")+COUNTIF($E193:AA193,"²")+COUNTIF($E193:AA193,"µ")+COUNTIF($E193:AA193,1),ColLivraison)=AB$6,
  VLOOKUP($E193,INDIRECT("tri!"&amp; CHAR(64+ C0Col) &amp;":"&amp; CHAR(65+C0Col)),2,FALSE)&gt;COUNTIF($E193:AA193,"u")+COUNTIF($E193:AA193,"t")+COUNTIF($E193:AA193,"¶")+COUNTIF($E193:AA193,"²")+COUNTIF($E193:AA193,"µ")+COUNTIF($E193:AA193,1)),
HYPERLINK("#Roadmap!C"&amp; MATCH($E193,Roadmap!$D:$D,0)+COUNTIF($E193:AA193,"u")+COUNTIF($E193:AA193,"t"),
     INDEX(Roadmap!$D:$K,MATCH($E193,Roadmap!$D:$D,0)+COUNTIF($E193:AA193,"u")+COUNTIF($E193:AA193,"t")+COUNTIF($E193:AA193,"¶")+COUNTIF($E193:AA193,"²")+COUNTIF($E193:AA193,"µ")+COUNTIF($E193:AA193,1),ColTypeEcheance)),
  IF(LEN(AA193)=1,
  IF(LEN(INDEX(Roadmap!$D:$K,MATCH($E193,Roadmap!$D:$D,0)-1+COUNTIF($E193:AA193,"u")+COUNTIF($E193:AA193,"t")+COUNTIF($E193:AA193,"¶")+COUNTIF($E193:AA193,"²")+COUNTIF($E193:AA193,"µ")+COUNTIF($E193:AA193,1),ColDescriptionCourte))&gt;1,
HYPERLINK("#Roadmap!C"&amp; MATCH($E193,Roadmap!$D:$D,0)+COUNTIF($E193:AA193,"u")+COUNTIF($E193:AA193,"t")+COUNTIF($E193:AA193,"¶")+COUNTIF($E193:AA193,"²")+COUNTIF($E193:AA193,"µ")+COUNTIF($E193:AA193,1)-1,INDEX(Roadmap!$D:$K,MATCH($E193,Roadmap!$D:$D,0)-1+COUNTIF($E193:AA193,"u")+COUNTIF($E193:AA193,"t")+COUNTIF($E193:AA193,"¶")+COUNTIF($E193:AA193,"²")+COUNTIF($E193:AA193,"µ")+COUNTIF($E193:AA193,1),ColDescriptionCourte)),""),
  "")),"")</f>
        <v/>
      </c>
      <c r="AC193" s="40" t="str">
        <f ca="1">IFERROR(IF(AND(
  INDEX(Roadmap!$D:$K,MATCH($E193,Roadmap!$D:$D,0)+COUNTIF($E193:AB193,"u")+COUNTIF($E193:AB193,"t")+COUNTIF($E193:AB193,"¶")+COUNTIF($E193:AB193,"²")+COUNTIF($E193:AB193,"µ")+COUNTIF($E193:AB193,1),ColLivraison)=AC$6,
  VLOOKUP($E193,INDIRECT("tri!"&amp; CHAR(64+ C0Col) &amp;":"&amp; CHAR(65+C0Col)),2,FALSE)&gt;COUNTIF($E193:AB193,"u")+COUNTIF($E193:AB193,"t")+COUNTIF($E193:AB193,"¶")+COUNTIF($E193:AB193,"²")+COUNTIF($E193:AB193,"µ")+COUNTIF($E193:AB193,1)),
HYPERLINK("#Roadmap!C"&amp; MATCH($E193,Roadmap!$D:$D,0)+COUNTIF($E193:AB193,"u")+COUNTIF($E193:AB193,"t"),
     INDEX(Roadmap!$D:$K,MATCH($E193,Roadmap!$D:$D,0)+COUNTIF($E193:AB193,"u")+COUNTIF($E193:AB193,"t")+COUNTIF($E193:AB193,"¶")+COUNTIF($E193:AB193,"²")+COUNTIF($E193:AB193,"µ")+COUNTIF($E193:AB193,1),ColTypeEcheance)),
  IF(LEN(AB193)=1,
  IF(LEN(INDEX(Roadmap!$D:$K,MATCH($E193,Roadmap!$D:$D,0)-1+COUNTIF($E193:AB193,"u")+COUNTIF($E193:AB193,"t")+COUNTIF($E193:AB193,"¶")+COUNTIF($E193:AB193,"²")+COUNTIF($E193:AB193,"µ")+COUNTIF($E193:AB193,1),ColDescriptionCourte))&gt;1,
HYPERLINK("#Roadmap!C"&amp; MATCH($E193,Roadmap!$D:$D,0)+COUNTIF($E193:AB193,"u")+COUNTIF($E193:AB193,"t")+COUNTIF($E193:AB193,"¶")+COUNTIF($E193:AB193,"²")+COUNTIF($E193:AB193,"µ")+COUNTIF($E193:AB193,1)-1,INDEX(Roadmap!$D:$K,MATCH($E193,Roadmap!$D:$D,0)-1+COUNTIF($E193:AB193,"u")+COUNTIF($E193:AB193,"t")+COUNTIF($E193:AB193,"¶")+COUNTIF($E193:AB193,"²")+COUNTIF($E193:AB193,"µ")+COUNTIF($E193:AB193,1),ColDescriptionCourte)),""),
  "")),"")</f>
        <v/>
      </c>
      <c r="AD193" s="40" t="str">
        <f ca="1">IFERROR(IF(AND(
  INDEX(Roadmap!$D:$K,MATCH($E193,Roadmap!$D:$D,0)+COUNTIF($E193:AC193,"u")+COUNTIF($E193:AC193,"t")+COUNTIF($E193:AC193,"¶")+COUNTIF($E193:AC193,"²")+COUNTIF($E193:AC193,"µ")+COUNTIF($E193:AC193,1),ColLivraison)=AD$6,
  VLOOKUP($E193,INDIRECT("tri!"&amp; CHAR(64+ C0Col) &amp;":"&amp; CHAR(65+C0Col)),2,FALSE)&gt;COUNTIF($E193:AC193,"u")+COUNTIF($E193:AC193,"t")+COUNTIF($E193:AC193,"¶")+COUNTIF($E193:AC193,"²")+COUNTIF($E193:AC193,"µ")+COUNTIF($E193:AC193,1)),
HYPERLINK("#Roadmap!C"&amp; MATCH($E193,Roadmap!$D:$D,0)+COUNTIF($E193:AC193,"u")+COUNTIF($E193:AC193,"t"),
     INDEX(Roadmap!$D:$K,MATCH($E193,Roadmap!$D:$D,0)+COUNTIF($E193:AC193,"u")+COUNTIF($E193:AC193,"t")+COUNTIF($E193:AC193,"¶")+COUNTIF($E193:AC193,"²")+COUNTIF($E193:AC193,"µ")+COUNTIF($E193:AC193,1),ColTypeEcheance)),
  IF(LEN(AC193)=1,
  IF(LEN(INDEX(Roadmap!$D:$K,MATCH($E193,Roadmap!$D:$D,0)-1+COUNTIF($E193:AC193,"u")+COUNTIF($E193:AC193,"t")+COUNTIF($E193:AC193,"¶")+COUNTIF($E193:AC193,"²")+COUNTIF($E193:AC193,"µ")+COUNTIF($E193:AC193,1),ColDescriptionCourte))&gt;1,
HYPERLINK("#Roadmap!C"&amp; MATCH($E193,Roadmap!$D:$D,0)+COUNTIF($E193:AC193,"u")+COUNTIF($E193:AC193,"t")+COUNTIF($E193:AC193,"¶")+COUNTIF($E193:AC193,"²")+COUNTIF($E193:AC193,"µ")+COUNTIF($E193:AC193,1)-1,INDEX(Roadmap!$D:$K,MATCH($E193,Roadmap!$D:$D,0)-1+COUNTIF($E193:AC193,"u")+COUNTIF($E193:AC193,"t")+COUNTIF($E193:AC193,"¶")+COUNTIF($E193:AC193,"²")+COUNTIF($E193:AC193,"µ")+COUNTIF($E193:AC193,1),ColDescriptionCourte)),""),
  "")),"")</f>
        <v/>
      </c>
      <c r="AE193" s="40" t="str">
        <f ca="1">IFERROR(IF(AND(
  INDEX(Roadmap!$D:$K,MATCH($E193,Roadmap!$D:$D,0)+COUNTIF($E193:AD193,"u")+COUNTIF($E193:AD193,"t")+COUNTIF($E193:AD193,"¶")+COUNTIF($E193:AD193,"²")+COUNTIF($E193:AD193,"µ")+COUNTIF($E193:AD193,1),ColLivraison)=AE$6,
  VLOOKUP($E193,INDIRECT("tri!"&amp; CHAR(64+ C0Col) &amp;":"&amp; CHAR(65+C0Col)),2,FALSE)&gt;COUNTIF($E193:AD193,"u")+COUNTIF($E193:AD193,"t")+COUNTIF($E193:AD193,"¶")+COUNTIF($E193:AD193,"²")+COUNTIF($E193:AD193,"µ")+COUNTIF($E193:AD193,1)),
HYPERLINK("#Roadmap!C"&amp; MATCH($E193,Roadmap!$D:$D,0)+COUNTIF($E193:AD193,"u")+COUNTIF($E193:AD193,"t"),
     INDEX(Roadmap!$D:$K,MATCH($E193,Roadmap!$D:$D,0)+COUNTIF($E193:AD193,"u")+COUNTIF($E193:AD193,"t")+COUNTIF($E193:AD193,"¶")+COUNTIF($E193:AD193,"²")+COUNTIF($E193:AD193,"µ")+COUNTIF($E193:AD193,1),ColTypeEcheance)),
  IF(LEN(AD193)=1,
  IF(LEN(INDEX(Roadmap!$D:$K,MATCH($E193,Roadmap!$D:$D,0)-1+COUNTIF($E193:AD193,"u")+COUNTIF($E193:AD193,"t")+COUNTIF($E193:AD193,"¶")+COUNTIF($E193:AD193,"²")+COUNTIF($E193:AD193,"µ")+COUNTIF($E193:AD193,1),ColDescriptionCourte))&gt;1,
HYPERLINK("#Roadmap!C"&amp; MATCH($E193,Roadmap!$D:$D,0)+COUNTIF($E193:AD193,"u")+COUNTIF($E193:AD193,"t")+COUNTIF($E193:AD193,"¶")+COUNTIF($E193:AD193,"²")+COUNTIF($E193:AD193,"µ")+COUNTIF($E193:AD193,1)-1,INDEX(Roadmap!$D:$K,MATCH($E193,Roadmap!$D:$D,0)-1+COUNTIF($E193:AD193,"u")+COUNTIF($E193:AD193,"t")+COUNTIF($E193:AD193,"¶")+COUNTIF($E193:AD193,"²")+COUNTIF($E193:AD193,"µ")+COUNTIF($E193:AD193,1),ColDescriptionCourte)),""),
  "")),"")</f>
        <v/>
      </c>
      <c r="AF193" s="40" t="str">
        <f ca="1">IFERROR(IF(AND(
  INDEX(Roadmap!$D:$K,MATCH($E193,Roadmap!$D:$D,0)+COUNTIF($E193:AE193,"u")+COUNTIF($E193:AE193,"t")+COUNTIF($E193:AE193,"¶")+COUNTIF($E193:AE193,"²")+COUNTIF($E193:AE193,"µ")+COUNTIF($E193:AE193,1),ColLivraison)=AF$6,
  VLOOKUP($E193,INDIRECT("tri!"&amp; CHAR(64+ C0Col) &amp;":"&amp; CHAR(65+C0Col)),2,FALSE)&gt;COUNTIF($E193:AE193,"u")+COUNTIF($E193:AE193,"t")+COUNTIF($E193:AE193,"¶")+COUNTIF($E193:AE193,"²")+COUNTIF($E193:AE193,"µ")+COUNTIF($E193:AE193,1)),
HYPERLINK("#Roadmap!C"&amp; MATCH($E193,Roadmap!$D:$D,0)+COUNTIF($E193:AE193,"u")+COUNTIF($E193:AE193,"t"),
     INDEX(Roadmap!$D:$K,MATCH($E193,Roadmap!$D:$D,0)+COUNTIF($E193:AE193,"u")+COUNTIF($E193:AE193,"t")+COUNTIF($E193:AE193,"¶")+COUNTIF($E193:AE193,"²")+COUNTIF($E193:AE193,"µ")+COUNTIF($E193:AE193,1),ColTypeEcheance)),
  IF(LEN(AE193)=1,
  IF(LEN(INDEX(Roadmap!$D:$K,MATCH($E193,Roadmap!$D:$D,0)-1+COUNTIF($E193:AE193,"u")+COUNTIF($E193:AE193,"t")+COUNTIF($E193:AE193,"¶")+COUNTIF($E193:AE193,"²")+COUNTIF($E193:AE193,"µ")+COUNTIF($E193:AE193,1),ColDescriptionCourte))&gt;1,
HYPERLINK("#Roadmap!C"&amp; MATCH($E193,Roadmap!$D:$D,0)+COUNTIF($E193:AE193,"u")+COUNTIF($E193:AE193,"t")+COUNTIF($E193:AE193,"¶")+COUNTIF($E193:AE193,"²")+COUNTIF($E193:AE193,"µ")+COUNTIF($E193:AE193,1)-1,INDEX(Roadmap!$D:$K,MATCH($E193,Roadmap!$D:$D,0)-1+COUNTIF($E193:AE193,"u")+COUNTIF($E193:AE193,"t")+COUNTIF($E193:AE193,"¶")+COUNTIF($E193:AE193,"²")+COUNTIF($E193:AE193,"µ")+COUNTIF($E193:AE193,1),ColDescriptionCourte)),""),
  "")),"")</f>
        <v/>
      </c>
      <c r="AG193" s="40" t="str">
        <f ca="1">IFERROR(IF(AND(
  INDEX(Roadmap!$D:$K,MATCH($E193,Roadmap!$D:$D,0)+COUNTIF($E193:AF193,"u")+COUNTIF($E193:AF193,"t")+COUNTIF($E193:AF193,"¶")+COUNTIF($E193:AF193,"²")+COUNTIF($E193:AF193,"µ")+COUNTIF($E193:AF193,1),ColLivraison)=AG$6,
  VLOOKUP($E193,INDIRECT("tri!"&amp; CHAR(64+ C0Col) &amp;":"&amp; CHAR(65+C0Col)),2,FALSE)&gt;COUNTIF($E193:AF193,"u")+COUNTIF($E193:AF193,"t")+COUNTIF($E193:AF193,"¶")+COUNTIF($E193:AF193,"²")+COUNTIF($E193:AF193,"µ")+COUNTIF($E193:AF193,1)),
HYPERLINK("#Roadmap!C"&amp; MATCH($E193,Roadmap!$D:$D,0)+COUNTIF($E193:AF193,"u")+COUNTIF($E193:AF193,"t"),
     INDEX(Roadmap!$D:$K,MATCH($E193,Roadmap!$D:$D,0)+COUNTIF($E193:AF193,"u")+COUNTIF($E193:AF193,"t")+COUNTIF($E193:AF193,"¶")+COUNTIF($E193:AF193,"²")+COUNTIF($E193:AF193,"µ")+COUNTIF($E193:AF193,1),ColTypeEcheance)),
  IF(LEN(AF193)=1,
  IF(LEN(INDEX(Roadmap!$D:$K,MATCH($E193,Roadmap!$D:$D,0)-1+COUNTIF($E193:AF193,"u")+COUNTIF($E193:AF193,"t")+COUNTIF($E193:AF193,"¶")+COUNTIF($E193:AF193,"²")+COUNTIF($E193:AF193,"µ")+COUNTIF($E193:AF193,1),ColDescriptionCourte))&gt;1,
HYPERLINK("#Roadmap!C"&amp; MATCH($E193,Roadmap!$D:$D,0)+COUNTIF($E193:AF193,"u")+COUNTIF($E193:AF193,"t")+COUNTIF($E193:AF193,"¶")+COUNTIF($E193:AF193,"²")+COUNTIF($E193:AF193,"µ")+COUNTIF($E193:AF193,1)-1,INDEX(Roadmap!$D:$K,MATCH($E193,Roadmap!$D:$D,0)-1+COUNTIF($E193:AF193,"u")+COUNTIF($E193:AF193,"t")+COUNTIF($E193:AF193,"¶")+COUNTIF($E193:AF193,"²")+COUNTIF($E193:AF193,"µ")+COUNTIF($E193:AF193,1),ColDescriptionCourte)),""),
  "")),"")</f>
        <v/>
      </c>
      <c r="AH193" s="40" t="str">
        <f ca="1">IFERROR(IF(AND(
  INDEX(Roadmap!$D:$K,MATCH($E193,Roadmap!$D:$D,0)+COUNTIF($E193:AG193,"u")+COUNTIF($E193:AG193,"t")+COUNTIF($E193:AG193,1),ColLivraison)=AH$6,
  VLOOKUP($E193,INDIRECT("tri!"&amp; CHAR(64+ C0Col) &amp;":"&amp; CHAR(65+C0Col)),2,FALSE)&gt;COUNTIF($E193:AG193,"u")+COUNTIF($E193:AG193,"t")+COUNTIF($E193:AG193,1)),
HYPERLINK("#Roadmap!C"&amp; MATCH($E193,Roadmap!$D:$D,0)+COUNTIF($E193:AG193,"u")+COUNTIF($E193:AG193,"t"),
     INDEX(Roadmap!$D:$K,MATCH($E193,Roadmap!$D:$D,0)+COUNTIF($E193:AG193,"u")+COUNTIF($E193:AG193,"t")+COUNTIF($E193:AG193,1),ColTypeEcheance)),
  IF(OR(AG193="u",AG193="t",AG193=1),
  IF(LEN(INDEX(Roadmap!$D:$K,MATCH($E193,Roadmap!$D:$D,0)-1+COUNTIF($E193:AG193,"u")+COUNTIF($E193:AG193,"t")+COUNTIF($E193:AG193,1),ColDescriptionCourte))&gt;1,
HYPERLINK("#Roadmap!C"&amp; MATCH($E193,Roadmap!$D:$D,0)+COUNTIF($E193:AG193,"u")+COUNTIF($E193:AG193,"t")+COUNTIF($E193:AG193,1)-1,INDEX(Roadmap!$D:$K,MATCH($E193,Roadmap!$D:$D,0)-1+COUNTIF($E193:AG193,"u")+COUNTIF($E193:AG193,"t")+COUNTIF($E193:AG193,1),ColDescriptionCourte)),""),
  "")),"")</f>
        <v/>
      </c>
      <c r="AI193" s="40"/>
      <c r="AJ193" s="40"/>
      <c r="AK193" s="40"/>
      <c r="AL193" s="40"/>
      <c r="AM193" s="40"/>
    </row>
    <row r="194" spans="4:39" ht="14.1" customHeight="1">
      <c r="D194" s="20" t="str">
        <f t="shared" ca="1" si="31"/>
        <v/>
      </c>
      <c r="E194" s="53" t="str">
        <f t="shared" ca="1" si="32"/>
        <v/>
      </c>
      <c r="F194" s="39" t="str">
        <f ca="1">IFERROR(IF(AND(
  INDEX(Roadmap!$D:$K,MATCH($E194,Roadmap!$D:$D,0)+COUNTIF($E194:E194,"u")+COUNTIF($E194:E194,"t")+COUNTIF($E194:E194,"¶")+COUNTIF($E194:E194,"²")+COUNTIF($E194:E194,"µ")+COUNTIF($E194:E194,1),ColLivraison)=F$6,
  VLOOKUP($E194,INDIRECT("tri!"&amp; CHAR(64+ C0Col) &amp;":"&amp; CHAR(65+C0Col)),2,FALSE)&gt;COUNTIF($E194:E194,"u")+COUNTIF($E194:E194,"t")+COUNTIF($E194:E194,"¶")+COUNTIF($E194:E194,"²")+COUNTIF($E194:E194,"µ")+COUNTIF($E194:E194,1)),
HYPERLINK("#Roadmap!C"&amp; MATCH($E194,Roadmap!$D:$D,0)+COUNTIF($E194:E194,"u")+COUNTIF($E194:E194,"t"),
     INDEX(Roadmap!$D:$K,MATCH($E194,Roadmap!$D:$D,0)+COUNTIF($E194:E194,"u")+COUNTIF($E194:E194,"t")+COUNTIF($E194:E194,"¶")+COUNTIF($E194:E194,"²")+COUNTIF($E194:E194,"µ")+COUNTIF($E194:E194,1),ColTypeEcheance)),
  IF(LEN(E194)=1,
  IF(LEN(INDEX(Roadmap!$D:$K,MATCH($E194,Roadmap!$D:$D,0)-1+COUNTIF($E194:E194,"u")+COUNTIF($E194:E194,"t")+COUNTIF($E194:E194,"¶")+COUNTIF($E194:E194,"²")+COUNTIF($E194:E194,"µ")+COUNTIF($E194:E194,1),ColDescriptionCourte))&gt;1,
HYPERLINK("#Roadmap!C"&amp; MATCH($E194,Roadmap!$D:$D,0)+COUNTIF($E194:E194,"u")+COUNTIF($E194:E194,"t")+COUNTIF($E194:E194,"¶")+COUNTIF($E194:E194,"²")+COUNTIF($E194:E194,"µ")+COUNTIF($E194:E194,1)-1,INDEX(Roadmap!$D:$K,MATCH($E194,Roadmap!$D:$D,0)-1+COUNTIF($E194:E194,"u")+COUNTIF($E194:E194,"t")+COUNTIF($E194:E194,"¶")+COUNTIF($E194:E194,"²")+COUNTIF($E194:E194,"µ")+COUNTIF($E194:E194,1),ColDescriptionCourte)),""),
  "")),"")</f>
        <v/>
      </c>
      <c r="G194" s="40" t="str">
        <f ca="1">IFERROR(IF(AND(
  INDEX(Roadmap!$D:$K,MATCH($E194,Roadmap!$D:$D,0)+COUNTIF($E194:F194,"u")+COUNTIF($E194:F194,"t")+COUNTIF($E194:F194,"¶")+COUNTIF($E194:F194,"²")+COUNTIF($E194:F194,"µ")+COUNTIF($E194:F194,1),ColLivraison)=G$6,
  VLOOKUP($E194,INDIRECT("tri!"&amp; CHAR(64+ C0Col) &amp;":"&amp; CHAR(65+C0Col)),2,FALSE)&gt;COUNTIF($E194:F194,"u")+COUNTIF($E194:F194,"t")+COUNTIF($E194:F194,"¶")+COUNTIF($E194:F194,"²")+COUNTIF($E194:F194,"µ")+COUNTIF($E194:F194,1)),
HYPERLINK("#Roadmap!C"&amp; MATCH($E194,Roadmap!$D:$D,0)+COUNTIF($E194:F194,"u")+COUNTIF($E194:F194,"t"),
     INDEX(Roadmap!$D:$K,MATCH($E194,Roadmap!$D:$D,0)+COUNTIF($E194:F194,"u")+COUNTIF($E194:F194,"t")+COUNTIF($E194:F194,"¶")+COUNTIF($E194:F194,"²")+COUNTIF($E194:F194,"µ")+COUNTIF($E194:F194,1),ColTypeEcheance)),
  IF(LEN(F194)=1,
  IF(LEN(INDEX(Roadmap!$D:$K,MATCH($E194,Roadmap!$D:$D,0)-1+COUNTIF($E194:F194,"u")+COUNTIF($E194:F194,"t")+COUNTIF($E194:F194,"¶")+COUNTIF($E194:F194,"²")+COUNTIF($E194:F194,"µ")+COUNTIF($E194:F194,1),ColDescriptionCourte))&gt;1,
HYPERLINK("#Roadmap!C"&amp; MATCH($E194,Roadmap!$D:$D,0)+COUNTIF($E194:F194,"u")+COUNTIF($E194:F194,"t")+COUNTIF($E194:F194,"¶")+COUNTIF($E194:F194,"²")+COUNTIF($E194:F194,"µ")+COUNTIF($E194:F194,1)-1,INDEX(Roadmap!$D:$K,MATCH($E194,Roadmap!$D:$D,0)-1+COUNTIF($E194:F194,"u")+COUNTIF($E194:F194,"t")+COUNTIF($E194:F194,"¶")+COUNTIF($E194:F194,"²")+COUNTIF($E194:F194,"µ")+COUNTIF($E194:F194,1),ColDescriptionCourte)),""),
  "")),"")</f>
        <v/>
      </c>
      <c r="H194" s="40" t="str">
        <f ca="1">IFERROR(IF(AND(
  INDEX(Roadmap!$D:$K,MATCH($E194,Roadmap!$D:$D,0)+COUNTIF($E194:G194,"u")+COUNTIF($E194:G194,"t")+COUNTIF($E194:G194,"¶")+COUNTIF($E194:G194,"²")+COUNTIF($E194:G194,"µ")+COUNTIF($E194:G194,1),ColLivraison)=H$6,
  VLOOKUP($E194,INDIRECT("tri!"&amp; CHAR(64+ C0Col) &amp;":"&amp; CHAR(65+C0Col)),2,FALSE)&gt;COUNTIF($E194:G194,"u")+COUNTIF($E194:G194,"t")+COUNTIF($E194:G194,"¶")+COUNTIF($E194:G194,"²")+COUNTIF($E194:G194,"µ")+COUNTIF($E194:G194,1)),
HYPERLINK("#Roadmap!C"&amp; MATCH($E194,Roadmap!$D:$D,0)+COUNTIF($E194:G194,"u")+COUNTIF($E194:G194,"t"),
     INDEX(Roadmap!$D:$K,MATCH($E194,Roadmap!$D:$D,0)+COUNTIF($E194:G194,"u")+COUNTIF($E194:G194,"t")+COUNTIF($E194:G194,"¶")+COUNTIF($E194:G194,"²")+COUNTIF($E194:G194,"µ")+COUNTIF($E194:G194,1),ColTypeEcheance)),
  IF(LEN(G194)=1,
  IF(LEN(INDEX(Roadmap!$D:$K,MATCH($E194,Roadmap!$D:$D,0)-1+COUNTIF($E194:G194,"u")+COUNTIF($E194:G194,"t")+COUNTIF($E194:G194,"¶")+COUNTIF($E194:G194,"²")+COUNTIF($E194:G194,"µ")+COUNTIF($E194:G194,1),ColDescriptionCourte))&gt;1,
HYPERLINK("#Roadmap!C"&amp; MATCH($E194,Roadmap!$D:$D,0)+COUNTIF($E194:G194,"u")+COUNTIF($E194:G194,"t")+COUNTIF($E194:G194,"¶")+COUNTIF($E194:G194,"²")+COUNTIF($E194:G194,"µ")+COUNTIF($E194:G194,1)-1,INDEX(Roadmap!$D:$K,MATCH($E194,Roadmap!$D:$D,0)-1+COUNTIF($E194:G194,"u")+COUNTIF($E194:G194,"t")+COUNTIF($E194:G194,"¶")+COUNTIF($E194:G194,"²")+COUNTIF($E194:G194,"µ")+COUNTIF($E194:G194,1),ColDescriptionCourte)),""),
  "")),"")</f>
        <v/>
      </c>
      <c r="I194" s="40" t="str">
        <f ca="1">IFERROR(IF(AND(
  INDEX(Roadmap!$D:$K,MATCH($E194,Roadmap!$D:$D,0)+COUNTIF($E194:H194,"u")+COUNTIF($E194:H194,"t")+COUNTIF($E194:H194,"¶")+COUNTIF($E194:H194,"²")+COUNTIF($E194:H194,"µ")+COUNTIF($E194:H194,1),ColLivraison)=I$6,
  VLOOKUP($E194,INDIRECT("tri!"&amp; CHAR(64+ C0Col) &amp;":"&amp; CHAR(65+C0Col)),2,FALSE)&gt;COUNTIF($E194:H194,"u")+COUNTIF($E194:H194,"t")+COUNTIF($E194:H194,"¶")+COUNTIF($E194:H194,"²")+COUNTIF($E194:H194,"µ")+COUNTIF($E194:H194,1)),
HYPERLINK("#Roadmap!C"&amp; MATCH($E194,Roadmap!$D:$D,0)+COUNTIF($E194:H194,"u")+COUNTIF($E194:H194,"t"),
     INDEX(Roadmap!$D:$K,MATCH($E194,Roadmap!$D:$D,0)+COUNTIF($E194:H194,"u")+COUNTIF($E194:H194,"t")+COUNTIF($E194:H194,"¶")+COUNTIF($E194:H194,"²")+COUNTIF($E194:H194,"µ")+COUNTIF($E194:H194,1),ColTypeEcheance)),
  IF(LEN(H194)=1,
  IF(LEN(INDEX(Roadmap!$D:$K,MATCH($E194,Roadmap!$D:$D,0)-1+COUNTIF($E194:H194,"u")+COUNTIF($E194:H194,"t")+COUNTIF($E194:H194,"¶")+COUNTIF($E194:H194,"²")+COUNTIF($E194:H194,"µ")+COUNTIF($E194:H194,1),ColDescriptionCourte))&gt;1,
HYPERLINK("#Roadmap!C"&amp; MATCH($E194,Roadmap!$D:$D,0)+COUNTIF($E194:H194,"u")+COUNTIF($E194:H194,"t")+COUNTIF($E194:H194,"¶")+COUNTIF($E194:H194,"²")+COUNTIF($E194:H194,"µ")+COUNTIF($E194:H194,1)-1,INDEX(Roadmap!$D:$K,MATCH($E194,Roadmap!$D:$D,0)-1+COUNTIF($E194:H194,"u")+COUNTIF($E194:H194,"t")+COUNTIF($E194:H194,"¶")+COUNTIF($E194:H194,"²")+COUNTIF($E194:H194,"µ")+COUNTIF($E194:H194,1),ColDescriptionCourte)),""),
  "")),"")</f>
        <v/>
      </c>
      <c r="J194" s="40" t="str">
        <f ca="1">IFERROR(IF(AND(
  INDEX(Roadmap!$D:$K,MATCH($E194,Roadmap!$D:$D,0)+COUNTIF($E194:I194,"u")+COUNTIF($E194:I194,"t")+COUNTIF($E194:I194,"¶")+COUNTIF($E194:I194,"²")+COUNTIF($E194:I194,"µ")+COUNTIF($E194:I194,1),ColLivraison)=J$6,
  VLOOKUP($E194,INDIRECT("tri!"&amp; CHAR(64+ C0Col) &amp;":"&amp; CHAR(65+C0Col)),2,FALSE)&gt;COUNTIF($E194:I194,"u")+COUNTIF($E194:I194,"t")+COUNTIF($E194:I194,"¶")+COUNTIF($E194:I194,"²")+COUNTIF($E194:I194,"µ")+COUNTIF($E194:I194,1)),
HYPERLINK("#Roadmap!C"&amp; MATCH($E194,Roadmap!$D:$D,0)+COUNTIF($E194:I194,"u")+COUNTIF($E194:I194,"t"),
     INDEX(Roadmap!$D:$K,MATCH($E194,Roadmap!$D:$D,0)+COUNTIF($E194:I194,"u")+COUNTIF($E194:I194,"t")+COUNTIF($E194:I194,"¶")+COUNTIF($E194:I194,"²")+COUNTIF($E194:I194,"µ")+COUNTIF($E194:I194,1),ColTypeEcheance)),
  IF(LEN(I194)=1,
  IF(LEN(INDEX(Roadmap!$D:$K,MATCH($E194,Roadmap!$D:$D,0)-1+COUNTIF($E194:I194,"u")+COUNTIF($E194:I194,"t")+COUNTIF($E194:I194,"¶")+COUNTIF($E194:I194,"²")+COUNTIF($E194:I194,"µ")+COUNTIF($E194:I194,1),ColDescriptionCourte))&gt;1,
HYPERLINK("#Roadmap!C"&amp; MATCH($E194,Roadmap!$D:$D,0)+COUNTIF($E194:I194,"u")+COUNTIF($E194:I194,"t")+COUNTIF($E194:I194,"¶")+COUNTIF($E194:I194,"²")+COUNTIF($E194:I194,"µ")+COUNTIF($E194:I194,1)-1,INDEX(Roadmap!$D:$K,MATCH($E194,Roadmap!$D:$D,0)-1+COUNTIF($E194:I194,"u")+COUNTIF($E194:I194,"t")+COUNTIF($E194:I194,"¶")+COUNTIF($E194:I194,"²")+COUNTIF($E194:I194,"µ")+COUNTIF($E194:I194,1),ColDescriptionCourte)),""),
  "")),"")</f>
        <v/>
      </c>
      <c r="K194" s="40" t="str">
        <f ca="1">IFERROR(IF(AND(
  INDEX(Roadmap!$D:$K,MATCH($E194,Roadmap!$D:$D,0)+COUNTIF($E194:J194,"u")+COUNTIF($E194:J194,"t")+COUNTIF($E194:J194,"¶")+COUNTIF($E194:J194,"²")+COUNTIF($E194:J194,"µ")+COUNTIF($E194:J194,1),ColLivraison)=K$6,
  VLOOKUP($E194,INDIRECT("tri!"&amp; CHAR(64+ C0Col) &amp;":"&amp; CHAR(65+C0Col)),2,FALSE)&gt;COUNTIF($E194:J194,"u")+COUNTIF($E194:J194,"t")+COUNTIF($E194:J194,"¶")+COUNTIF($E194:J194,"²")+COUNTIF($E194:J194,"µ")+COUNTIF($E194:J194,1)),
HYPERLINK("#Roadmap!C"&amp; MATCH($E194,Roadmap!$D:$D,0)+COUNTIF($E194:J194,"u")+COUNTIF($E194:J194,"t"),
     INDEX(Roadmap!$D:$K,MATCH($E194,Roadmap!$D:$D,0)+COUNTIF($E194:J194,"u")+COUNTIF($E194:J194,"t")+COUNTIF($E194:J194,"¶")+COUNTIF($E194:J194,"²")+COUNTIF($E194:J194,"µ")+COUNTIF($E194:J194,1),ColTypeEcheance)),
  IF(LEN(J194)=1,
  IF(LEN(INDEX(Roadmap!$D:$K,MATCH($E194,Roadmap!$D:$D,0)-1+COUNTIF($E194:J194,"u")+COUNTIF($E194:J194,"t")+COUNTIF($E194:J194,"¶")+COUNTIF($E194:J194,"²")+COUNTIF($E194:J194,"µ")+COUNTIF($E194:J194,1),ColDescriptionCourte))&gt;1,
HYPERLINK("#Roadmap!C"&amp; MATCH($E194,Roadmap!$D:$D,0)+COUNTIF($E194:J194,"u")+COUNTIF($E194:J194,"t")+COUNTIF($E194:J194,"¶")+COUNTIF($E194:J194,"²")+COUNTIF($E194:J194,"µ")+COUNTIF($E194:J194,1)-1,INDEX(Roadmap!$D:$K,MATCH($E194,Roadmap!$D:$D,0)-1+COUNTIF($E194:J194,"u")+COUNTIF($E194:J194,"t")+COUNTIF($E194:J194,"¶")+COUNTIF($E194:J194,"²")+COUNTIF($E194:J194,"µ")+COUNTIF($E194:J194,1),ColDescriptionCourte)),""),
  "")),"")</f>
        <v/>
      </c>
      <c r="L194" s="39" t="str">
        <f ca="1">IFERROR(IF(AND(
  INDEX(Roadmap!$D:$K,MATCH($E194,Roadmap!$D:$D,0)+COUNTIF($E194:K194,"u")+COUNTIF($E194:K194,"t")+COUNTIF($E194:K194,"¶")+COUNTIF($E194:K194,"²")+COUNTIF($E194:K194,"µ")+COUNTIF($E194:K194,1),ColLivraison)=L$6,
  VLOOKUP($E194,INDIRECT("tri!"&amp; CHAR(64+ C0Col) &amp;":"&amp; CHAR(65+C0Col)),2,FALSE)&gt;COUNTIF($E194:K194,"u")+COUNTIF($E194:K194,"t")+COUNTIF($E194:K194,"¶")+COUNTIF($E194:K194,"²")+COUNTIF($E194:K194,"µ")+COUNTIF($E194:K194,1)),
HYPERLINK("#Roadmap!C"&amp; MATCH($E194,Roadmap!$D:$D,0)+COUNTIF($E194:K194,"u")+COUNTIF($E194:K194,"t"),
     INDEX(Roadmap!$D:$K,MATCH($E194,Roadmap!$D:$D,0)+COUNTIF($E194:K194,"u")+COUNTIF($E194:K194,"t")+COUNTIF($E194:K194,"¶")+COUNTIF($E194:K194,"²")+COUNTIF($E194:K194,"µ")+COUNTIF($E194:K194,1),ColTypeEcheance)),
  IF(LEN(K194)=1,
  IF(LEN(INDEX(Roadmap!$D:$K,MATCH($E194,Roadmap!$D:$D,0)-1+COUNTIF($E194:K194,"u")+COUNTIF($E194:K194,"t")+COUNTIF($E194:K194,"¶")+COUNTIF($E194:K194,"²")+COUNTIF($E194:K194,"µ")+COUNTIF($E194:K194,1),ColDescriptionCourte))&gt;1,
HYPERLINK("#Roadmap!C"&amp; MATCH($E194,Roadmap!$D:$D,0)+COUNTIF($E194:K194,"u")+COUNTIF($E194:K194,"t")+COUNTIF($E194:K194,"¶")+COUNTIF($E194:K194,"²")+COUNTIF($E194:K194,"µ")+COUNTIF($E194:K194,1)-1,INDEX(Roadmap!$D:$K,MATCH($E194,Roadmap!$D:$D,0)-1+COUNTIF($E194:K194,"u")+COUNTIF($E194:K194,"t")+COUNTIF($E194:K194,"¶")+COUNTIF($E194:K194,"²")+COUNTIF($E194:K194,"µ")+COUNTIF($E194:K194,1),ColDescriptionCourte)),""),
  "")),"")</f>
        <v/>
      </c>
      <c r="M194" s="40" t="str">
        <f ca="1">IFERROR(IF(AND(
  INDEX(Roadmap!$D:$K,MATCH($E194,Roadmap!$D:$D,0)+COUNTIF($E194:L194,"u")+COUNTIF($E194:L194,"t")+COUNTIF($E194:L194,"¶")+COUNTIF($E194:L194,"²")+COUNTIF($E194:L194,"µ")+COUNTIF($E194:L194,1),ColLivraison)=M$6,
  VLOOKUP($E194,INDIRECT("tri!"&amp; CHAR(64+ C0Col) &amp;":"&amp; CHAR(65+C0Col)),2,FALSE)&gt;COUNTIF($E194:L194,"u")+COUNTIF($E194:L194,"t")+COUNTIF($E194:L194,"¶")+COUNTIF($E194:L194,"²")+COUNTIF($E194:L194,"µ")+COUNTIF($E194:L194,1)),
HYPERLINK("#Roadmap!C"&amp; MATCH($E194,Roadmap!$D:$D,0)+COUNTIF($E194:L194,"u")+COUNTIF($E194:L194,"t"),
     INDEX(Roadmap!$D:$K,MATCH($E194,Roadmap!$D:$D,0)+COUNTIF($E194:L194,"u")+COUNTIF($E194:L194,"t")+COUNTIF($E194:L194,"¶")+COUNTIF($E194:L194,"²")+COUNTIF($E194:L194,"µ")+COUNTIF($E194:L194,1),ColTypeEcheance)),
  IF(LEN(L194)=1,
  IF(LEN(INDEX(Roadmap!$D:$K,MATCH($E194,Roadmap!$D:$D,0)-1+COUNTIF($E194:L194,"u")+COUNTIF($E194:L194,"t")+COUNTIF($E194:L194,"¶")+COUNTIF($E194:L194,"²")+COUNTIF($E194:L194,"µ")+COUNTIF($E194:L194,1),ColDescriptionCourte))&gt;1,
HYPERLINK("#Roadmap!C"&amp; MATCH($E194,Roadmap!$D:$D,0)+COUNTIF($E194:L194,"u")+COUNTIF($E194:L194,"t")+COUNTIF($E194:L194,"¶")+COUNTIF($E194:L194,"²")+COUNTIF($E194:L194,"µ")+COUNTIF($E194:L194,1)-1,INDEX(Roadmap!$D:$K,MATCH($E194,Roadmap!$D:$D,0)-1+COUNTIF($E194:L194,"u")+COUNTIF($E194:L194,"t")+COUNTIF($E194:L194,"¶")+COUNTIF($E194:L194,"²")+COUNTIF($E194:L194,"µ")+COUNTIF($E194:L194,1),ColDescriptionCourte)),""),
  "")),"")</f>
        <v/>
      </c>
      <c r="N194" s="40" t="str">
        <f ca="1">IFERROR(IF(AND(
  INDEX(Roadmap!$D:$K,MATCH($E194,Roadmap!$D:$D,0)+COUNTIF($E194:M194,"u")+COUNTIF($E194:M194,"t")+COUNTIF($E194:M194,"¶")+COUNTIF($E194:M194,"²")+COUNTIF($E194:M194,"µ")+COUNTIF($E194:M194,1),ColLivraison)=N$6,
  VLOOKUP($E194,INDIRECT("tri!"&amp; CHAR(64+ C0Col) &amp;":"&amp; CHAR(65+C0Col)),2,FALSE)&gt;COUNTIF($E194:M194,"u")+COUNTIF($E194:M194,"t")+COUNTIF($E194:M194,"¶")+COUNTIF($E194:M194,"²")+COUNTIF($E194:M194,"µ")+COUNTIF($E194:M194,1)),
HYPERLINK("#Roadmap!C"&amp; MATCH($E194,Roadmap!$D:$D,0)+COUNTIF($E194:M194,"u")+COUNTIF($E194:M194,"t"),
     INDEX(Roadmap!$D:$K,MATCH($E194,Roadmap!$D:$D,0)+COUNTIF($E194:M194,"u")+COUNTIF($E194:M194,"t")+COUNTIF($E194:M194,"¶")+COUNTIF($E194:M194,"²")+COUNTIF($E194:M194,"µ")+COUNTIF($E194:M194,1),ColTypeEcheance)),
  IF(LEN(M194)=1,
  IF(LEN(INDEX(Roadmap!$D:$K,MATCH($E194,Roadmap!$D:$D,0)-1+COUNTIF($E194:M194,"u")+COUNTIF($E194:M194,"t")+COUNTIF($E194:M194,"¶")+COUNTIF($E194:M194,"²")+COUNTIF($E194:M194,"µ")+COUNTIF($E194:M194,1),ColDescriptionCourte))&gt;1,
HYPERLINK("#Roadmap!C"&amp; MATCH($E194,Roadmap!$D:$D,0)+COUNTIF($E194:M194,"u")+COUNTIF($E194:M194,"t")+COUNTIF($E194:M194,"¶")+COUNTIF($E194:M194,"²")+COUNTIF($E194:M194,"µ")+COUNTIF($E194:M194,1)-1,INDEX(Roadmap!$D:$K,MATCH($E194,Roadmap!$D:$D,0)-1+COUNTIF($E194:M194,"u")+COUNTIF($E194:M194,"t")+COUNTIF($E194:M194,"¶")+COUNTIF($E194:M194,"²")+COUNTIF($E194:M194,"µ")+COUNTIF($E194:M194,1),ColDescriptionCourte)),""),
  "")),"")</f>
        <v/>
      </c>
      <c r="O194" s="40" t="str">
        <f ca="1">IFERROR(IF(AND(
  INDEX(Roadmap!$D:$K,MATCH($E194,Roadmap!$D:$D,0)+COUNTIF($E194:N194,"u")+COUNTIF($E194:N194,"t")+COUNTIF($E194:N194,"¶")+COUNTIF($E194:N194,"²")+COUNTIF($E194:N194,"µ")+COUNTIF($E194:N194,1),ColLivraison)=O$6,
  VLOOKUP($E194,INDIRECT("tri!"&amp; CHAR(64+ C0Col) &amp;":"&amp; CHAR(65+C0Col)),2,FALSE)&gt;COUNTIF($E194:N194,"u")+COUNTIF($E194:N194,"t")+COUNTIF($E194:N194,"¶")+COUNTIF($E194:N194,"²")+COUNTIF($E194:N194,"µ")+COUNTIF($E194:N194,1)),
HYPERLINK("#Roadmap!C"&amp; MATCH($E194,Roadmap!$D:$D,0)+COUNTIF($E194:N194,"u")+COUNTIF($E194:N194,"t"),
     INDEX(Roadmap!$D:$K,MATCH($E194,Roadmap!$D:$D,0)+COUNTIF($E194:N194,"u")+COUNTIF($E194:N194,"t")+COUNTIF($E194:N194,"¶")+COUNTIF($E194:N194,"²")+COUNTIF($E194:N194,"µ")+COUNTIF($E194:N194,1),ColTypeEcheance)),
  IF(LEN(N194)=1,
  IF(LEN(INDEX(Roadmap!$D:$K,MATCH($E194,Roadmap!$D:$D,0)-1+COUNTIF($E194:N194,"u")+COUNTIF($E194:N194,"t")+COUNTIF($E194:N194,"¶")+COUNTIF($E194:N194,"²")+COUNTIF($E194:N194,"µ")+COUNTIF($E194:N194,1),ColDescriptionCourte))&gt;1,
HYPERLINK("#Roadmap!C"&amp; MATCH($E194,Roadmap!$D:$D,0)+COUNTIF($E194:N194,"u")+COUNTIF($E194:N194,"t")+COUNTIF($E194:N194,"¶")+COUNTIF($E194:N194,"²")+COUNTIF($E194:N194,"µ")+COUNTIF($E194:N194,1)-1,INDEX(Roadmap!$D:$K,MATCH($E194,Roadmap!$D:$D,0)-1+COUNTIF($E194:N194,"u")+COUNTIF($E194:N194,"t")+COUNTIF($E194:N194,"¶")+COUNTIF($E194:N194,"²")+COUNTIF($E194:N194,"µ")+COUNTIF($E194:N194,1),ColDescriptionCourte)),""),
  "")),"")</f>
        <v/>
      </c>
      <c r="P194" s="40" t="str">
        <f ca="1">IFERROR(IF(AND(
  INDEX(Roadmap!$D:$K,MATCH($E194,Roadmap!$D:$D,0)+COUNTIF($E194:O194,"u")+COUNTIF($E194:O194,"t")+COUNTIF($E194:O194,"¶")+COUNTIF($E194:O194,"²")+COUNTIF($E194:O194,"µ")+COUNTIF($E194:O194,1),ColLivraison)=P$6,
  VLOOKUP($E194,INDIRECT("tri!"&amp; CHAR(64+ C0Col) &amp;":"&amp; CHAR(65+C0Col)),2,FALSE)&gt;COUNTIF($E194:O194,"u")+COUNTIF($E194:O194,"t")+COUNTIF($E194:O194,"¶")+COUNTIF($E194:O194,"²")+COUNTIF($E194:O194,"µ")+COUNTIF($E194:O194,1)),
HYPERLINK("#Roadmap!C"&amp; MATCH($E194,Roadmap!$D:$D,0)+COUNTIF($E194:O194,"u")+COUNTIF($E194:O194,"t"),
     INDEX(Roadmap!$D:$K,MATCH($E194,Roadmap!$D:$D,0)+COUNTIF($E194:O194,"u")+COUNTIF($E194:O194,"t")+COUNTIF($E194:O194,"¶")+COUNTIF($E194:O194,"²")+COUNTIF($E194:O194,"µ")+COUNTIF($E194:O194,1),ColTypeEcheance)),
  IF(LEN(O194)=1,
  IF(LEN(INDEX(Roadmap!$D:$K,MATCH($E194,Roadmap!$D:$D,0)-1+COUNTIF($E194:O194,"u")+COUNTIF($E194:O194,"t")+COUNTIF($E194:O194,"¶")+COUNTIF($E194:O194,"²")+COUNTIF($E194:O194,"µ")+COUNTIF($E194:O194,1),ColDescriptionCourte))&gt;1,
HYPERLINK("#Roadmap!C"&amp; MATCH($E194,Roadmap!$D:$D,0)+COUNTIF($E194:O194,"u")+COUNTIF($E194:O194,"t")+COUNTIF($E194:O194,"¶")+COUNTIF($E194:O194,"²")+COUNTIF($E194:O194,"µ")+COUNTIF($E194:O194,1)-1,INDEX(Roadmap!$D:$K,MATCH($E194,Roadmap!$D:$D,0)-1+COUNTIF($E194:O194,"u")+COUNTIF($E194:O194,"t")+COUNTIF($E194:O194,"¶")+COUNTIF($E194:O194,"²")+COUNTIF($E194:O194,"µ")+COUNTIF($E194:O194,1),ColDescriptionCourte)),""),
  "")),"")</f>
        <v/>
      </c>
      <c r="Q194" s="40" t="str">
        <f ca="1">IFERROR(IF(AND(
  INDEX(Roadmap!$D:$K,MATCH($E194,Roadmap!$D:$D,0)+COUNTIF($E194:P194,"u")+COUNTIF($E194:P194,"t")+COUNTIF($E194:P194,"¶")+COUNTIF($E194:P194,"²")+COUNTIF($E194:P194,"µ")+COUNTIF($E194:P194,1),ColLivraison)=Q$6,
  VLOOKUP($E194,INDIRECT("tri!"&amp; CHAR(64+ C0Col) &amp;":"&amp; CHAR(65+C0Col)),2,FALSE)&gt;COUNTIF($E194:P194,"u")+COUNTIF($E194:P194,"t")+COUNTIF($E194:P194,"¶")+COUNTIF($E194:P194,"²")+COUNTIF($E194:P194,"µ")+COUNTIF($E194:P194,1)),
HYPERLINK("#Roadmap!C"&amp; MATCH($E194,Roadmap!$D:$D,0)+COUNTIF($E194:P194,"u")+COUNTIF($E194:P194,"t"),
     INDEX(Roadmap!$D:$K,MATCH($E194,Roadmap!$D:$D,0)+COUNTIF($E194:P194,"u")+COUNTIF($E194:P194,"t")+COUNTIF($E194:P194,"¶")+COUNTIF($E194:P194,"²")+COUNTIF($E194:P194,"µ")+COUNTIF($E194:P194,1),ColTypeEcheance)),
  IF(LEN(P194)=1,
  IF(LEN(INDEX(Roadmap!$D:$K,MATCH($E194,Roadmap!$D:$D,0)-1+COUNTIF($E194:P194,"u")+COUNTIF($E194:P194,"t")+COUNTIF($E194:P194,"¶")+COUNTIF($E194:P194,"²")+COUNTIF($E194:P194,"µ")+COUNTIF($E194:P194,1),ColDescriptionCourte))&gt;1,
HYPERLINK("#Roadmap!C"&amp; MATCH($E194,Roadmap!$D:$D,0)+COUNTIF($E194:P194,"u")+COUNTIF($E194:P194,"t")+COUNTIF($E194:P194,"¶")+COUNTIF($E194:P194,"²")+COUNTIF($E194:P194,"µ")+COUNTIF($E194:P194,1)-1,INDEX(Roadmap!$D:$K,MATCH($E194,Roadmap!$D:$D,0)-1+COUNTIF($E194:P194,"u")+COUNTIF($E194:P194,"t")+COUNTIF($E194:P194,"¶")+COUNTIF($E194:P194,"²")+COUNTIF($E194:P194,"µ")+COUNTIF($E194:P194,1),ColDescriptionCourte)),""),
  "")),"")</f>
        <v/>
      </c>
      <c r="R194" s="40" t="str">
        <f ca="1">IFERROR(IF(AND(
  INDEX(Roadmap!$D:$K,MATCH($E194,Roadmap!$D:$D,0)+COUNTIF($E194:Q194,"u")+COUNTIF($E194:Q194,"t")+COUNTIF($E194:Q194,"¶")+COUNTIF($E194:Q194,"²")+COUNTIF($E194:Q194,"µ")+COUNTIF($E194:Q194,1),ColLivraison)=R$6,
  VLOOKUP($E194,INDIRECT("tri!"&amp; CHAR(64+ C0Col) &amp;":"&amp; CHAR(65+C0Col)),2,FALSE)&gt;COUNTIF($E194:Q194,"u")+COUNTIF($E194:Q194,"t")+COUNTIF($E194:Q194,"¶")+COUNTIF($E194:Q194,"²")+COUNTIF($E194:Q194,"µ")+COUNTIF($E194:Q194,1)),
HYPERLINK("#Roadmap!C"&amp; MATCH($E194,Roadmap!$D:$D,0)+COUNTIF($E194:Q194,"u")+COUNTIF($E194:Q194,"t"),
     INDEX(Roadmap!$D:$K,MATCH($E194,Roadmap!$D:$D,0)+COUNTIF($E194:Q194,"u")+COUNTIF($E194:Q194,"t")+COUNTIF($E194:Q194,"¶")+COUNTIF($E194:Q194,"²")+COUNTIF($E194:Q194,"µ")+COUNTIF($E194:Q194,1),ColTypeEcheance)),
  IF(LEN(Q194)=1,
  IF(LEN(INDEX(Roadmap!$D:$K,MATCH($E194,Roadmap!$D:$D,0)-1+COUNTIF($E194:Q194,"u")+COUNTIF($E194:Q194,"t")+COUNTIF($E194:Q194,"¶")+COUNTIF($E194:Q194,"²")+COUNTIF($E194:Q194,"µ")+COUNTIF($E194:Q194,1),ColDescriptionCourte))&gt;1,
HYPERLINK("#Roadmap!C"&amp; MATCH($E194,Roadmap!$D:$D,0)+COUNTIF($E194:Q194,"u")+COUNTIF($E194:Q194,"t")+COUNTIF($E194:Q194,"¶")+COUNTIF($E194:Q194,"²")+COUNTIF($E194:Q194,"µ")+COUNTIF($E194:Q194,1)-1,INDEX(Roadmap!$D:$K,MATCH($E194,Roadmap!$D:$D,0)-1+COUNTIF($E194:Q194,"u")+COUNTIF($E194:Q194,"t")+COUNTIF($E194:Q194,"¶")+COUNTIF($E194:Q194,"²")+COUNTIF($E194:Q194,"µ")+COUNTIF($E194:Q194,1),ColDescriptionCourte)),""),
  "")),"")</f>
        <v/>
      </c>
      <c r="S194" s="40" t="str">
        <f ca="1">IFERROR(IF(AND(
  INDEX(Roadmap!$D:$K,MATCH($E194,Roadmap!$D:$D,0)+COUNTIF($E194:R194,"u")+COUNTIF($E194:R194,"t")+COUNTIF($E194:R194,"¶")+COUNTIF($E194:R194,"²")+COUNTIF($E194:R194,"µ")+COUNTIF($E194:R194,1),ColLivraison)=S$6,
  VLOOKUP($E194,INDIRECT("tri!"&amp; CHAR(64+ C0Col) &amp;":"&amp; CHAR(65+C0Col)),2,FALSE)&gt;COUNTIF($E194:R194,"u")+COUNTIF($E194:R194,"t")+COUNTIF($E194:R194,"¶")+COUNTIF($E194:R194,"²")+COUNTIF($E194:R194,"µ")+COUNTIF($E194:R194,1)),
HYPERLINK("#Roadmap!C"&amp; MATCH($E194,Roadmap!$D:$D,0)+COUNTIF($E194:R194,"u")+COUNTIF($E194:R194,"t"),
     INDEX(Roadmap!$D:$K,MATCH($E194,Roadmap!$D:$D,0)+COUNTIF($E194:R194,"u")+COUNTIF($E194:R194,"t")+COUNTIF($E194:R194,"¶")+COUNTIF($E194:R194,"²")+COUNTIF($E194:R194,"µ")+COUNTIF($E194:R194,1),ColTypeEcheance)),
  IF(LEN(R194)=1,
  IF(LEN(INDEX(Roadmap!$D:$K,MATCH($E194,Roadmap!$D:$D,0)-1+COUNTIF($E194:R194,"u")+COUNTIF($E194:R194,"t")+COUNTIF($E194:R194,"¶")+COUNTIF($E194:R194,"²")+COUNTIF($E194:R194,"µ")+COUNTIF($E194:R194,1),ColDescriptionCourte))&gt;1,
HYPERLINK("#Roadmap!C"&amp; MATCH($E194,Roadmap!$D:$D,0)+COUNTIF($E194:R194,"u")+COUNTIF($E194:R194,"t")+COUNTIF($E194:R194,"¶")+COUNTIF($E194:R194,"²")+COUNTIF($E194:R194,"µ")+COUNTIF($E194:R194,1)-1,INDEX(Roadmap!$D:$K,MATCH($E194,Roadmap!$D:$D,0)-1+COUNTIF($E194:R194,"u")+COUNTIF($E194:R194,"t")+COUNTIF($E194:R194,"¶")+COUNTIF($E194:R194,"²")+COUNTIF($E194:R194,"µ")+COUNTIF($E194:R194,1),ColDescriptionCourte)),""),
  "")),"")</f>
        <v/>
      </c>
      <c r="T194" s="40" t="str">
        <f ca="1">IFERROR(IF(AND(
  INDEX(Roadmap!$D:$K,MATCH($E194,Roadmap!$D:$D,0)+COUNTIF($E194:S194,"u")+COUNTIF($E194:S194,"t")+COUNTIF($E194:S194,"¶")+COUNTIF($E194:S194,"²")+COUNTIF($E194:S194,"µ")+COUNTIF($E194:S194,1),ColLivraison)=T$6,
  VLOOKUP($E194,INDIRECT("tri!"&amp; CHAR(64+ C0Col) &amp;":"&amp; CHAR(65+C0Col)),2,FALSE)&gt;COUNTIF($E194:S194,"u")+COUNTIF($E194:S194,"t")+COUNTIF($E194:S194,"¶")+COUNTIF($E194:S194,"²")+COUNTIF($E194:S194,"µ")+COUNTIF($E194:S194,1)),
HYPERLINK("#Roadmap!C"&amp; MATCH($E194,Roadmap!$D:$D,0)+COUNTIF($E194:S194,"u")+COUNTIF($E194:S194,"t"),
     INDEX(Roadmap!$D:$K,MATCH($E194,Roadmap!$D:$D,0)+COUNTIF($E194:S194,"u")+COUNTIF($E194:S194,"t")+COUNTIF($E194:S194,"¶")+COUNTIF($E194:S194,"²")+COUNTIF($E194:S194,"µ")+COUNTIF($E194:S194,1),ColTypeEcheance)),
  IF(LEN(S194)=1,
  IF(LEN(INDEX(Roadmap!$D:$K,MATCH($E194,Roadmap!$D:$D,0)-1+COUNTIF($E194:S194,"u")+COUNTIF($E194:S194,"t")+COUNTIF($E194:S194,"¶")+COUNTIF($E194:S194,"²")+COUNTIF($E194:S194,"µ")+COUNTIF($E194:S194,1),ColDescriptionCourte))&gt;1,
HYPERLINK("#Roadmap!C"&amp; MATCH($E194,Roadmap!$D:$D,0)+COUNTIF($E194:S194,"u")+COUNTIF($E194:S194,"t")+COUNTIF($E194:S194,"¶")+COUNTIF($E194:S194,"²")+COUNTIF($E194:S194,"µ")+COUNTIF($E194:S194,1)-1,INDEX(Roadmap!$D:$K,MATCH($E194,Roadmap!$D:$D,0)-1+COUNTIF($E194:S194,"u")+COUNTIF($E194:S194,"t")+COUNTIF($E194:S194,"¶")+COUNTIF($E194:S194,"²")+COUNTIF($E194:S194,"µ")+COUNTIF($E194:S194,1),ColDescriptionCourte)),""),
  "")),"")</f>
        <v/>
      </c>
      <c r="U194" s="40" t="str">
        <f ca="1">IFERROR(IF(AND(
  INDEX(Roadmap!$D:$K,MATCH($E194,Roadmap!$D:$D,0)+COUNTIF($E194:T194,"u")+COUNTIF($E194:T194,"t")+COUNTIF($E194:T194,"¶")+COUNTIF($E194:T194,"²")+COUNTIF($E194:T194,"µ")+COUNTIF($E194:T194,1),ColLivraison)=U$6,
  VLOOKUP($E194,INDIRECT("tri!"&amp; CHAR(64+ C0Col) &amp;":"&amp; CHAR(65+C0Col)),2,FALSE)&gt;COUNTIF($E194:T194,"u")+COUNTIF($E194:T194,"t")+COUNTIF($E194:T194,"¶")+COUNTIF($E194:T194,"²")+COUNTIF($E194:T194,"µ")+COUNTIF($E194:T194,1)),
HYPERLINK("#Roadmap!C"&amp; MATCH($E194,Roadmap!$D:$D,0)+COUNTIF($E194:T194,"u")+COUNTIF($E194:T194,"t"),
     INDEX(Roadmap!$D:$K,MATCH($E194,Roadmap!$D:$D,0)+COUNTIF($E194:T194,"u")+COUNTIF($E194:T194,"t")+COUNTIF($E194:T194,"¶")+COUNTIF($E194:T194,"²")+COUNTIF($E194:T194,"µ")+COUNTIF($E194:T194,1),ColTypeEcheance)),
  IF(LEN(T194)=1,
  IF(LEN(INDEX(Roadmap!$D:$K,MATCH($E194,Roadmap!$D:$D,0)-1+COUNTIF($E194:T194,"u")+COUNTIF($E194:T194,"t")+COUNTIF($E194:T194,"¶")+COUNTIF($E194:T194,"²")+COUNTIF($E194:T194,"µ")+COUNTIF($E194:T194,1),ColDescriptionCourte))&gt;1,
HYPERLINK("#Roadmap!C"&amp; MATCH($E194,Roadmap!$D:$D,0)+COUNTIF($E194:T194,"u")+COUNTIF($E194:T194,"t")+COUNTIF($E194:T194,"¶")+COUNTIF($E194:T194,"²")+COUNTIF($E194:T194,"µ")+COUNTIF($E194:T194,1)-1,INDEX(Roadmap!$D:$K,MATCH($E194,Roadmap!$D:$D,0)-1+COUNTIF($E194:T194,"u")+COUNTIF($E194:T194,"t")+COUNTIF($E194:T194,"¶")+COUNTIF($E194:T194,"²")+COUNTIF($E194:T194,"µ")+COUNTIF($E194:T194,1),ColDescriptionCourte)),""),
  "")),"")</f>
        <v/>
      </c>
      <c r="V194" s="40" t="str">
        <f ca="1">IFERROR(IF(AND(
  INDEX(Roadmap!$D:$K,MATCH($E194,Roadmap!$D:$D,0)+COUNTIF($E194:U194,"u")+COUNTIF($E194:U194,"t")+COUNTIF($E194:U194,"¶")+COUNTIF($E194:U194,"²")+COUNTIF($E194:U194,"µ")+COUNTIF($E194:U194,1),ColLivraison)=V$6,
  VLOOKUP($E194,INDIRECT("tri!"&amp; CHAR(64+ C0Col) &amp;":"&amp; CHAR(65+C0Col)),2,FALSE)&gt;COUNTIF($E194:U194,"u")+COUNTIF($E194:U194,"t")+COUNTIF($E194:U194,"¶")+COUNTIF($E194:U194,"²")+COUNTIF($E194:U194,"µ")+COUNTIF($E194:U194,1)),
HYPERLINK("#Roadmap!C"&amp; MATCH($E194,Roadmap!$D:$D,0)+COUNTIF($E194:U194,"u")+COUNTIF($E194:U194,"t"),
     INDEX(Roadmap!$D:$K,MATCH($E194,Roadmap!$D:$D,0)+COUNTIF($E194:U194,"u")+COUNTIF($E194:U194,"t")+COUNTIF($E194:U194,"¶")+COUNTIF($E194:U194,"²")+COUNTIF($E194:U194,"µ")+COUNTIF($E194:U194,1),ColTypeEcheance)),
  IF(LEN(U194)=1,
  IF(LEN(INDEX(Roadmap!$D:$K,MATCH($E194,Roadmap!$D:$D,0)-1+COUNTIF($E194:U194,"u")+COUNTIF($E194:U194,"t")+COUNTIF($E194:U194,"¶")+COUNTIF($E194:U194,"²")+COUNTIF($E194:U194,"µ")+COUNTIF($E194:U194,1),ColDescriptionCourte))&gt;1,
HYPERLINK("#Roadmap!C"&amp; MATCH($E194,Roadmap!$D:$D,0)+COUNTIF($E194:U194,"u")+COUNTIF($E194:U194,"t")+COUNTIF($E194:U194,"¶")+COUNTIF($E194:U194,"²")+COUNTIF($E194:U194,"µ")+COUNTIF($E194:U194,1)-1,INDEX(Roadmap!$D:$K,MATCH($E194,Roadmap!$D:$D,0)-1+COUNTIF($E194:U194,"u")+COUNTIF($E194:U194,"t")+COUNTIF($E194:U194,"¶")+COUNTIF($E194:U194,"²")+COUNTIF($E194:U194,"µ")+COUNTIF($E194:U194,1),ColDescriptionCourte)),""),
  "")),"")</f>
        <v/>
      </c>
      <c r="W194" s="40" t="str">
        <f ca="1">IFERROR(IF(AND(
  INDEX(Roadmap!$D:$K,MATCH($E194,Roadmap!$D:$D,0)+COUNTIF($E194:V194,"u")+COUNTIF($E194:V194,"t")+COUNTIF($E194:V194,"¶")+COUNTIF($E194:V194,"²")+COUNTIF($E194:V194,"µ")+COUNTIF($E194:V194,1),ColLivraison)=W$6,
  VLOOKUP($E194,INDIRECT("tri!"&amp; CHAR(64+ C0Col) &amp;":"&amp; CHAR(65+C0Col)),2,FALSE)&gt;COUNTIF($E194:V194,"u")+COUNTIF($E194:V194,"t")+COUNTIF($E194:V194,"¶")+COUNTIF($E194:V194,"²")+COUNTIF($E194:V194,"µ")+COUNTIF($E194:V194,1)),
HYPERLINK("#Roadmap!C"&amp; MATCH($E194,Roadmap!$D:$D,0)+COUNTIF($E194:V194,"u")+COUNTIF($E194:V194,"t"),
     INDEX(Roadmap!$D:$K,MATCH($E194,Roadmap!$D:$D,0)+COUNTIF($E194:V194,"u")+COUNTIF($E194:V194,"t")+COUNTIF($E194:V194,"¶")+COUNTIF($E194:V194,"²")+COUNTIF($E194:V194,"µ")+COUNTIF($E194:V194,1),ColTypeEcheance)),
  IF(LEN(V194)=1,
  IF(LEN(INDEX(Roadmap!$D:$K,MATCH($E194,Roadmap!$D:$D,0)-1+COUNTIF($E194:V194,"u")+COUNTIF($E194:V194,"t")+COUNTIF($E194:V194,"¶")+COUNTIF($E194:V194,"²")+COUNTIF($E194:V194,"µ")+COUNTIF($E194:V194,1),ColDescriptionCourte))&gt;1,
HYPERLINK("#Roadmap!C"&amp; MATCH($E194,Roadmap!$D:$D,0)+COUNTIF($E194:V194,"u")+COUNTIF($E194:V194,"t")+COUNTIF($E194:V194,"¶")+COUNTIF($E194:V194,"²")+COUNTIF($E194:V194,"µ")+COUNTIF($E194:V194,1)-1,INDEX(Roadmap!$D:$K,MATCH($E194,Roadmap!$D:$D,0)-1+COUNTIF($E194:V194,"u")+COUNTIF($E194:V194,"t")+COUNTIF($E194:V194,"¶")+COUNTIF($E194:V194,"²")+COUNTIF($E194:V194,"µ")+COUNTIF($E194:V194,1),ColDescriptionCourte)),""),
  "")),"")</f>
        <v/>
      </c>
      <c r="X194" s="40" t="str">
        <f ca="1">IFERROR(IF(AND(
  INDEX(Roadmap!$D:$K,MATCH($E194,Roadmap!$D:$D,0)+COUNTIF($E194:W194,"u")+COUNTIF($E194:W194,"t")+COUNTIF($E194:W194,"¶")+COUNTIF($E194:W194,"²")+COUNTIF($E194:W194,"µ")+COUNTIF($E194:W194,1),ColLivraison)=X$6,
  VLOOKUP($E194,INDIRECT("tri!"&amp; CHAR(64+ C0Col) &amp;":"&amp; CHAR(65+C0Col)),2,FALSE)&gt;COUNTIF($E194:W194,"u")+COUNTIF($E194:W194,"t")+COUNTIF($E194:W194,"¶")+COUNTIF($E194:W194,"²")+COUNTIF($E194:W194,"µ")+COUNTIF($E194:W194,1)),
HYPERLINK("#Roadmap!C"&amp; MATCH($E194,Roadmap!$D:$D,0)+COUNTIF($E194:W194,"u")+COUNTIF($E194:W194,"t"),
     INDEX(Roadmap!$D:$K,MATCH($E194,Roadmap!$D:$D,0)+COUNTIF($E194:W194,"u")+COUNTIF($E194:W194,"t")+COUNTIF($E194:W194,"¶")+COUNTIF($E194:W194,"²")+COUNTIF($E194:W194,"µ")+COUNTIF($E194:W194,1),ColTypeEcheance)),
  IF(LEN(W194)=1,
  IF(LEN(INDEX(Roadmap!$D:$K,MATCH($E194,Roadmap!$D:$D,0)-1+COUNTIF($E194:W194,"u")+COUNTIF($E194:W194,"t")+COUNTIF($E194:W194,"¶")+COUNTIF($E194:W194,"²")+COUNTIF($E194:W194,"µ")+COUNTIF($E194:W194,1),ColDescriptionCourte))&gt;1,
HYPERLINK("#Roadmap!C"&amp; MATCH($E194,Roadmap!$D:$D,0)+COUNTIF($E194:W194,"u")+COUNTIF($E194:W194,"t")+COUNTIF($E194:W194,"¶")+COUNTIF($E194:W194,"²")+COUNTIF($E194:W194,"µ")+COUNTIF($E194:W194,1)-1,INDEX(Roadmap!$D:$K,MATCH($E194,Roadmap!$D:$D,0)-1+COUNTIF($E194:W194,"u")+COUNTIF($E194:W194,"t")+COUNTIF($E194:W194,"¶")+COUNTIF($E194:W194,"²")+COUNTIF($E194:W194,"µ")+COUNTIF($E194:W194,1),ColDescriptionCourte)),""),
  "")),"")</f>
        <v/>
      </c>
      <c r="Y194" s="40" t="str">
        <f ca="1">IFERROR(IF(AND(
  INDEX(Roadmap!$D:$K,MATCH($E194,Roadmap!$D:$D,0)+COUNTIF($E194:X194,"u")+COUNTIF($E194:X194,"t")+COUNTIF($E194:X194,"¶")+COUNTIF($E194:X194,"²")+COUNTIF($E194:X194,"µ")+COUNTIF($E194:X194,1),ColLivraison)=Y$6,
  VLOOKUP($E194,INDIRECT("tri!"&amp; CHAR(64+ C0Col) &amp;":"&amp; CHAR(65+C0Col)),2,FALSE)&gt;COUNTIF($E194:X194,"u")+COUNTIF($E194:X194,"t")+COUNTIF($E194:X194,"¶")+COUNTIF($E194:X194,"²")+COUNTIF($E194:X194,"µ")+COUNTIF($E194:X194,1)),
HYPERLINK("#Roadmap!C"&amp; MATCH($E194,Roadmap!$D:$D,0)+COUNTIF($E194:X194,"u")+COUNTIF($E194:X194,"t"),
     INDEX(Roadmap!$D:$K,MATCH($E194,Roadmap!$D:$D,0)+COUNTIF($E194:X194,"u")+COUNTIF($E194:X194,"t")+COUNTIF($E194:X194,"¶")+COUNTIF($E194:X194,"²")+COUNTIF($E194:X194,"µ")+COUNTIF($E194:X194,1),ColTypeEcheance)),
  IF(LEN(X194)=1,
  IF(LEN(INDEX(Roadmap!$D:$K,MATCH($E194,Roadmap!$D:$D,0)-1+COUNTIF($E194:X194,"u")+COUNTIF($E194:X194,"t")+COUNTIF($E194:X194,"¶")+COUNTIF($E194:X194,"²")+COUNTIF($E194:X194,"µ")+COUNTIF($E194:X194,1),ColDescriptionCourte))&gt;1,
HYPERLINK("#Roadmap!C"&amp; MATCH($E194,Roadmap!$D:$D,0)+COUNTIF($E194:X194,"u")+COUNTIF($E194:X194,"t")+COUNTIF($E194:X194,"¶")+COUNTIF($E194:X194,"²")+COUNTIF($E194:X194,"µ")+COUNTIF($E194:X194,1)-1,INDEX(Roadmap!$D:$K,MATCH($E194,Roadmap!$D:$D,0)-1+COUNTIF($E194:X194,"u")+COUNTIF($E194:X194,"t")+COUNTIF($E194:X194,"¶")+COUNTIF($E194:X194,"²")+COUNTIF($E194:X194,"µ")+COUNTIF($E194:X194,1),ColDescriptionCourte)),""),
  "")),"")</f>
        <v/>
      </c>
      <c r="Z194" s="40" t="str">
        <f ca="1">IFERROR(IF(AND(
  INDEX(Roadmap!$D:$K,MATCH($E194,Roadmap!$D:$D,0)+COUNTIF($E194:Y194,"u")+COUNTIF($E194:Y194,"t")+COUNTIF($E194:Y194,"¶")+COUNTIF($E194:Y194,"²")+COUNTIF($E194:Y194,"µ")+COUNTIF($E194:Y194,1),ColLivraison)=Z$6,
  VLOOKUP($E194,INDIRECT("tri!"&amp; CHAR(64+ C0Col) &amp;":"&amp; CHAR(65+C0Col)),2,FALSE)&gt;COUNTIF($E194:Y194,"u")+COUNTIF($E194:Y194,"t")+COUNTIF($E194:Y194,"¶")+COUNTIF($E194:Y194,"²")+COUNTIF($E194:Y194,"µ")+COUNTIF($E194:Y194,1)),
HYPERLINK("#Roadmap!C"&amp; MATCH($E194,Roadmap!$D:$D,0)+COUNTIF($E194:Y194,"u")+COUNTIF($E194:Y194,"t"),
     INDEX(Roadmap!$D:$K,MATCH($E194,Roadmap!$D:$D,0)+COUNTIF($E194:Y194,"u")+COUNTIF($E194:Y194,"t")+COUNTIF($E194:Y194,"¶")+COUNTIF($E194:Y194,"²")+COUNTIF($E194:Y194,"µ")+COUNTIF($E194:Y194,1),ColTypeEcheance)),
  IF(LEN(Y194)=1,
  IF(LEN(INDEX(Roadmap!$D:$K,MATCH($E194,Roadmap!$D:$D,0)-1+COUNTIF($E194:Y194,"u")+COUNTIF($E194:Y194,"t")+COUNTIF($E194:Y194,"¶")+COUNTIF($E194:Y194,"²")+COUNTIF($E194:Y194,"µ")+COUNTIF($E194:Y194,1),ColDescriptionCourte))&gt;1,
HYPERLINK("#Roadmap!C"&amp; MATCH($E194,Roadmap!$D:$D,0)+COUNTIF($E194:Y194,"u")+COUNTIF($E194:Y194,"t")+COUNTIF($E194:Y194,"¶")+COUNTIF($E194:Y194,"²")+COUNTIF($E194:Y194,"µ")+COUNTIF($E194:Y194,1)-1,INDEX(Roadmap!$D:$K,MATCH($E194,Roadmap!$D:$D,0)-1+COUNTIF($E194:Y194,"u")+COUNTIF($E194:Y194,"t")+COUNTIF($E194:Y194,"¶")+COUNTIF($E194:Y194,"²")+COUNTIF($E194:Y194,"µ")+COUNTIF($E194:Y194,1),ColDescriptionCourte)),""),
  "")),"")</f>
        <v/>
      </c>
      <c r="AA194" s="40" t="str">
        <f ca="1">IFERROR(IF(AND(
  INDEX(Roadmap!$D:$K,MATCH($E194,Roadmap!$D:$D,0)+COUNTIF($E194:Z194,"u")+COUNTIF($E194:Z194,"t")+COUNTIF($E194:Z194,"¶")+COUNTIF($E194:Z194,"²")+COUNTIF($E194:Z194,"µ")+COUNTIF($E194:Z194,1),ColLivraison)=AA$6,
  VLOOKUP($E194,INDIRECT("tri!"&amp; CHAR(64+ C0Col) &amp;":"&amp; CHAR(65+C0Col)),2,FALSE)&gt;COUNTIF($E194:Z194,"u")+COUNTIF($E194:Z194,"t")+COUNTIF($E194:Z194,"¶")+COUNTIF($E194:Z194,"²")+COUNTIF($E194:Z194,"µ")+COUNTIF($E194:Z194,1)),
HYPERLINK("#Roadmap!C"&amp; MATCH($E194,Roadmap!$D:$D,0)+COUNTIF($E194:Z194,"u")+COUNTIF($E194:Z194,"t"),
     INDEX(Roadmap!$D:$K,MATCH($E194,Roadmap!$D:$D,0)+COUNTIF($E194:Z194,"u")+COUNTIF($E194:Z194,"t")+COUNTIF($E194:Z194,"¶")+COUNTIF($E194:Z194,"²")+COUNTIF($E194:Z194,"µ")+COUNTIF($E194:Z194,1),ColTypeEcheance)),
  IF(LEN(Z194)=1,
  IF(LEN(INDEX(Roadmap!$D:$K,MATCH($E194,Roadmap!$D:$D,0)-1+COUNTIF($E194:Z194,"u")+COUNTIF($E194:Z194,"t")+COUNTIF($E194:Z194,"¶")+COUNTIF($E194:Z194,"²")+COUNTIF($E194:Z194,"µ")+COUNTIF($E194:Z194,1),ColDescriptionCourte))&gt;1,
HYPERLINK("#Roadmap!C"&amp; MATCH($E194,Roadmap!$D:$D,0)+COUNTIF($E194:Z194,"u")+COUNTIF($E194:Z194,"t")+COUNTIF($E194:Z194,"¶")+COUNTIF($E194:Z194,"²")+COUNTIF($E194:Z194,"µ")+COUNTIF($E194:Z194,1)-1,INDEX(Roadmap!$D:$K,MATCH($E194,Roadmap!$D:$D,0)-1+COUNTIF($E194:Z194,"u")+COUNTIF($E194:Z194,"t")+COUNTIF($E194:Z194,"¶")+COUNTIF($E194:Z194,"²")+COUNTIF($E194:Z194,"µ")+COUNTIF($E194:Z194,1),ColDescriptionCourte)),""),
  "")),"")</f>
        <v/>
      </c>
      <c r="AB194" s="40" t="str">
        <f ca="1">IFERROR(IF(AND(
  INDEX(Roadmap!$D:$K,MATCH($E194,Roadmap!$D:$D,0)+COUNTIF($E194:AA194,"u")+COUNTIF($E194:AA194,"t")+COUNTIF($E194:AA194,"¶")+COUNTIF($E194:AA194,"²")+COUNTIF($E194:AA194,"µ")+COUNTIF($E194:AA194,1),ColLivraison)=AB$6,
  VLOOKUP($E194,INDIRECT("tri!"&amp; CHAR(64+ C0Col) &amp;":"&amp; CHAR(65+C0Col)),2,FALSE)&gt;COUNTIF($E194:AA194,"u")+COUNTIF($E194:AA194,"t")+COUNTIF($E194:AA194,"¶")+COUNTIF($E194:AA194,"²")+COUNTIF($E194:AA194,"µ")+COUNTIF($E194:AA194,1)),
HYPERLINK("#Roadmap!C"&amp; MATCH($E194,Roadmap!$D:$D,0)+COUNTIF($E194:AA194,"u")+COUNTIF($E194:AA194,"t"),
     INDEX(Roadmap!$D:$K,MATCH($E194,Roadmap!$D:$D,0)+COUNTIF($E194:AA194,"u")+COUNTIF($E194:AA194,"t")+COUNTIF($E194:AA194,"¶")+COUNTIF($E194:AA194,"²")+COUNTIF($E194:AA194,"µ")+COUNTIF($E194:AA194,1),ColTypeEcheance)),
  IF(LEN(AA194)=1,
  IF(LEN(INDEX(Roadmap!$D:$K,MATCH($E194,Roadmap!$D:$D,0)-1+COUNTIF($E194:AA194,"u")+COUNTIF($E194:AA194,"t")+COUNTIF($E194:AA194,"¶")+COUNTIF($E194:AA194,"²")+COUNTIF($E194:AA194,"µ")+COUNTIF($E194:AA194,1),ColDescriptionCourte))&gt;1,
HYPERLINK("#Roadmap!C"&amp; MATCH($E194,Roadmap!$D:$D,0)+COUNTIF($E194:AA194,"u")+COUNTIF($E194:AA194,"t")+COUNTIF($E194:AA194,"¶")+COUNTIF($E194:AA194,"²")+COUNTIF($E194:AA194,"µ")+COUNTIF($E194:AA194,1)-1,INDEX(Roadmap!$D:$K,MATCH($E194,Roadmap!$D:$D,0)-1+COUNTIF($E194:AA194,"u")+COUNTIF($E194:AA194,"t")+COUNTIF($E194:AA194,"¶")+COUNTIF($E194:AA194,"²")+COUNTIF($E194:AA194,"µ")+COUNTIF($E194:AA194,1),ColDescriptionCourte)),""),
  "")),"")</f>
        <v/>
      </c>
      <c r="AC194" s="40" t="str">
        <f ca="1">IFERROR(IF(AND(
  INDEX(Roadmap!$D:$K,MATCH($E194,Roadmap!$D:$D,0)+COUNTIF($E194:AB194,"u")+COUNTIF($E194:AB194,"t")+COUNTIF($E194:AB194,"¶")+COUNTIF($E194:AB194,"²")+COUNTIF($E194:AB194,"µ")+COUNTIF($E194:AB194,1),ColLivraison)=AC$6,
  VLOOKUP($E194,INDIRECT("tri!"&amp; CHAR(64+ C0Col) &amp;":"&amp; CHAR(65+C0Col)),2,FALSE)&gt;COUNTIF($E194:AB194,"u")+COUNTIF($E194:AB194,"t")+COUNTIF($E194:AB194,"¶")+COUNTIF($E194:AB194,"²")+COUNTIF($E194:AB194,"µ")+COUNTIF($E194:AB194,1)),
HYPERLINK("#Roadmap!C"&amp; MATCH($E194,Roadmap!$D:$D,0)+COUNTIF($E194:AB194,"u")+COUNTIF($E194:AB194,"t"),
     INDEX(Roadmap!$D:$K,MATCH($E194,Roadmap!$D:$D,0)+COUNTIF($E194:AB194,"u")+COUNTIF($E194:AB194,"t")+COUNTIF($E194:AB194,"¶")+COUNTIF($E194:AB194,"²")+COUNTIF($E194:AB194,"µ")+COUNTIF($E194:AB194,1),ColTypeEcheance)),
  IF(LEN(AB194)=1,
  IF(LEN(INDEX(Roadmap!$D:$K,MATCH($E194,Roadmap!$D:$D,0)-1+COUNTIF($E194:AB194,"u")+COUNTIF($E194:AB194,"t")+COUNTIF($E194:AB194,"¶")+COUNTIF($E194:AB194,"²")+COUNTIF($E194:AB194,"µ")+COUNTIF($E194:AB194,1),ColDescriptionCourte))&gt;1,
HYPERLINK("#Roadmap!C"&amp; MATCH($E194,Roadmap!$D:$D,0)+COUNTIF($E194:AB194,"u")+COUNTIF($E194:AB194,"t")+COUNTIF($E194:AB194,"¶")+COUNTIF($E194:AB194,"²")+COUNTIF($E194:AB194,"µ")+COUNTIF($E194:AB194,1)-1,INDEX(Roadmap!$D:$K,MATCH($E194,Roadmap!$D:$D,0)-1+COUNTIF($E194:AB194,"u")+COUNTIF($E194:AB194,"t")+COUNTIF($E194:AB194,"¶")+COUNTIF($E194:AB194,"²")+COUNTIF($E194:AB194,"µ")+COUNTIF($E194:AB194,1),ColDescriptionCourte)),""),
  "")),"")</f>
        <v/>
      </c>
      <c r="AD194" s="40" t="str">
        <f ca="1">IFERROR(IF(AND(
  INDEX(Roadmap!$D:$K,MATCH($E194,Roadmap!$D:$D,0)+COUNTIF($E194:AC194,"u")+COUNTIF($E194:AC194,"t")+COUNTIF($E194:AC194,"¶")+COUNTIF($E194:AC194,"²")+COUNTIF($E194:AC194,"µ")+COUNTIF($E194:AC194,1),ColLivraison)=AD$6,
  VLOOKUP($E194,INDIRECT("tri!"&amp; CHAR(64+ C0Col) &amp;":"&amp; CHAR(65+C0Col)),2,FALSE)&gt;COUNTIF($E194:AC194,"u")+COUNTIF($E194:AC194,"t")+COUNTIF($E194:AC194,"¶")+COUNTIF($E194:AC194,"²")+COUNTIF($E194:AC194,"µ")+COUNTIF($E194:AC194,1)),
HYPERLINK("#Roadmap!C"&amp; MATCH($E194,Roadmap!$D:$D,0)+COUNTIF($E194:AC194,"u")+COUNTIF($E194:AC194,"t"),
     INDEX(Roadmap!$D:$K,MATCH($E194,Roadmap!$D:$D,0)+COUNTIF($E194:AC194,"u")+COUNTIF($E194:AC194,"t")+COUNTIF($E194:AC194,"¶")+COUNTIF($E194:AC194,"²")+COUNTIF($E194:AC194,"µ")+COUNTIF($E194:AC194,1),ColTypeEcheance)),
  IF(LEN(AC194)=1,
  IF(LEN(INDEX(Roadmap!$D:$K,MATCH($E194,Roadmap!$D:$D,0)-1+COUNTIF($E194:AC194,"u")+COUNTIF($E194:AC194,"t")+COUNTIF($E194:AC194,"¶")+COUNTIF($E194:AC194,"²")+COUNTIF($E194:AC194,"µ")+COUNTIF($E194:AC194,1),ColDescriptionCourte))&gt;1,
HYPERLINK("#Roadmap!C"&amp; MATCH($E194,Roadmap!$D:$D,0)+COUNTIF($E194:AC194,"u")+COUNTIF($E194:AC194,"t")+COUNTIF($E194:AC194,"¶")+COUNTIF($E194:AC194,"²")+COUNTIF($E194:AC194,"µ")+COUNTIF($E194:AC194,1)-1,INDEX(Roadmap!$D:$K,MATCH($E194,Roadmap!$D:$D,0)-1+COUNTIF($E194:AC194,"u")+COUNTIF($E194:AC194,"t")+COUNTIF($E194:AC194,"¶")+COUNTIF($E194:AC194,"²")+COUNTIF($E194:AC194,"µ")+COUNTIF($E194:AC194,1),ColDescriptionCourte)),""),
  "")),"")</f>
        <v/>
      </c>
      <c r="AE194" s="40" t="str">
        <f ca="1">IFERROR(IF(AND(
  INDEX(Roadmap!$D:$K,MATCH($E194,Roadmap!$D:$D,0)+COUNTIF($E194:AD194,"u")+COUNTIF($E194:AD194,"t")+COUNTIF($E194:AD194,"¶")+COUNTIF($E194:AD194,"²")+COUNTIF($E194:AD194,"µ")+COUNTIF($E194:AD194,1),ColLivraison)=AE$6,
  VLOOKUP($E194,INDIRECT("tri!"&amp; CHAR(64+ C0Col) &amp;":"&amp; CHAR(65+C0Col)),2,FALSE)&gt;COUNTIF($E194:AD194,"u")+COUNTIF($E194:AD194,"t")+COUNTIF($E194:AD194,"¶")+COUNTIF($E194:AD194,"²")+COUNTIF($E194:AD194,"µ")+COUNTIF($E194:AD194,1)),
HYPERLINK("#Roadmap!C"&amp; MATCH($E194,Roadmap!$D:$D,0)+COUNTIF($E194:AD194,"u")+COUNTIF($E194:AD194,"t"),
     INDEX(Roadmap!$D:$K,MATCH($E194,Roadmap!$D:$D,0)+COUNTIF($E194:AD194,"u")+COUNTIF($E194:AD194,"t")+COUNTIF($E194:AD194,"¶")+COUNTIF($E194:AD194,"²")+COUNTIF($E194:AD194,"µ")+COUNTIF($E194:AD194,1),ColTypeEcheance)),
  IF(LEN(AD194)=1,
  IF(LEN(INDEX(Roadmap!$D:$K,MATCH($E194,Roadmap!$D:$D,0)-1+COUNTIF($E194:AD194,"u")+COUNTIF($E194:AD194,"t")+COUNTIF($E194:AD194,"¶")+COUNTIF($E194:AD194,"²")+COUNTIF($E194:AD194,"µ")+COUNTIF($E194:AD194,1),ColDescriptionCourte))&gt;1,
HYPERLINK("#Roadmap!C"&amp; MATCH($E194,Roadmap!$D:$D,0)+COUNTIF($E194:AD194,"u")+COUNTIF($E194:AD194,"t")+COUNTIF($E194:AD194,"¶")+COUNTIF($E194:AD194,"²")+COUNTIF($E194:AD194,"µ")+COUNTIF($E194:AD194,1)-1,INDEX(Roadmap!$D:$K,MATCH($E194,Roadmap!$D:$D,0)-1+COUNTIF($E194:AD194,"u")+COUNTIF($E194:AD194,"t")+COUNTIF($E194:AD194,"¶")+COUNTIF($E194:AD194,"²")+COUNTIF($E194:AD194,"µ")+COUNTIF($E194:AD194,1),ColDescriptionCourte)),""),
  "")),"")</f>
        <v/>
      </c>
      <c r="AF194" s="40" t="str">
        <f ca="1">IFERROR(IF(AND(
  INDEX(Roadmap!$D:$K,MATCH($E194,Roadmap!$D:$D,0)+COUNTIF($E194:AE194,"u")+COUNTIF($E194:AE194,"t")+COUNTIF($E194:AE194,"¶")+COUNTIF($E194:AE194,"²")+COUNTIF($E194:AE194,"µ")+COUNTIF($E194:AE194,1),ColLivraison)=AF$6,
  VLOOKUP($E194,INDIRECT("tri!"&amp; CHAR(64+ C0Col) &amp;":"&amp; CHAR(65+C0Col)),2,FALSE)&gt;COUNTIF($E194:AE194,"u")+COUNTIF($E194:AE194,"t")+COUNTIF($E194:AE194,"¶")+COUNTIF($E194:AE194,"²")+COUNTIF($E194:AE194,"µ")+COUNTIF($E194:AE194,1)),
HYPERLINK("#Roadmap!C"&amp; MATCH($E194,Roadmap!$D:$D,0)+COUNTIF($E194:AE194,"u")+COUNTIF($E194:AE194,"t"),
     INDEX(Roadmap!$D:$K,MATCH($E194,Roadmap!$D:$D,0)+COUNTIF($E194:AE194,"u")+COUNTIF($E194:AE194,"t")+COUNTIF($E194:AE194,"¶")+COUNTIF($E194:AE194,"²")+COUNTIF($E194:AE194,"µ")+COUNTIF($E194:AE194,1),ColTypeEcheance)),
  IF(LEN(AE194)=1,
  IF(LEN(INDEX(Roadmap!$D:$K,MATCH($E194,Roadmap!$D:$D,0)-1+COUNTIF($E194:AE194,"u")+COUNTIF($E194:AE194,"t")+COUNTIF($E194:AE194,"¶")+COUNTIF($E194:AE194,"²")+COUNTIF($E194:AE194,"µ")+COUNTIF($E194:AE194,1),ColDescriptionCourte))&gt;1,
HYPERLINK("#Roadmap!C"&amp; MATCH($E194,Roadmap!$D:$D,0)+COUNTIF($E194:AE194,"u")+COUNTIF($E194:AE194,"t")+COUNTIF($E194:AE194,"¶")+COUNTIF($E194:AE194,"²")+COUNTIF($E194:AE194,"µ")+COUNTIF($E194:AE194,1)-1,INDEX(Roadmap!$D:$K,MATCH($E194,Roadmap!$D:$D,0)-1+COUNTIF($E194:AE194,"u")+COUNTIF($E194:AE194,"t")+COUNTIF($E194:AE194,"¶")+COUNTIF($E194:AE194,"²")+COUNTIF($E194:AE194,"µ")+COUNTIF($E194:AE194,1),ColDescriptionCourte)),""),
  "")),"")</f>
        <v/>
      </c>
      <c r="AG194" s="40" t="str">
        <f ca="1">IFERROR(IF(AND(
  INDEX(Roadmap!$D:$K,MATCH($E194,Roadmap!$D:$D,0)+COUNTIF($E194:AF194,"u")+COUNTIF($E194:AF194,"t")+COUNTIF($E194:AF194,"¶")+COUNTIF($E194:AF194,"²")+COUNTIF($E194:AF194,"µ")+COUNTIF($E194:AF194,1),ColLivraison)=AG$6,
  VLOOKUP($E194,INDIRECT("tri!"&amp; CHAR(64+ C0Col) &amp;":"&amp; CHAR(65+C0Col)),2,FALSE)&gt;COUNTIF($E194:AF194,"u")+COUNTIF($E194:AF194,"t")+COUNTIF($E194:AF194,"¶")+COUNTIF($E194:AF194,"²")+COUNTIF($E194:AF194,"µ")+COUNTIF($E194:AF194,1)),
HYPERLINK("#Roadmap!C"&amp; MATCH($E194,Roadmap!$D:$D,0)+COUNTIF($E194:AF194,"u")+COUNTIF($E194:AF194,"t"),
     INDEX(Roadmap!$D:$K,MATCH($E194,Roadmap!$D:$D,0)+COUNTIF($E194:AF194,"u")+COUNTIF($E194:AF194,"t")+COUNTIF($E194:AF194,"¶")+COUNTIF($E194:AF194,"²")+COUNTIF($E194:AF194,"µ")+COUNTIF($E194:AF194,1),ColTypeEcheance)),
  IF(LEN(AF194)=1,
  IF(LEN(INDEX(Roadmap!$D:$K,MATCH($E194,Roadmap!$D:$D,0)-1+COUNTIF($E194:AF194,"u")+COUNTIF($E194:AF194,"t")+COUNTIF($E194:AF194,"¶")+COUNTIF($E194:AF194,"²")+COUNTIF($E194:AF194,"µ")+COUNTIF($E194:AF194,1),ColDescriptionCourte))&gt;1,
HYPERLINK("#Roadmap!C"&amp; MATCH($E194,Roadmap!$D:$D,0)+COUNTIF($E194:AF194,"u")+COUNTIF($E194:AF194,"t")+COUNTIF($E194:AF194,"¶")+COUNTIF($E194:AF194,"²")+COUNTIF($E194:AF194,"µ")+COUNTIF($E194:AF194,1)-1,INDEX(Roadmap!$D:$K,MATCH($E194,Roadmap!$D:$D,0)-1+COUNTIF($E194:AF194,"u")+COUNTIF($E194:AF194,"t")+COUNTIF($E194:AF194,"¶")+COUNTIF($E194:AF194,"²")+COUNTIF($E194:AF194,"µ")+COUNTIF($E194:AF194,1),ColDescriptionCourte)),""),
  "")),"")</f>
        <v/>
      </c>
      <c r="AH194" s="40" t="str">
        <f ca="1">IFERROR(IF(AND(
  INDEX(Roadmap!$D:$K,MATCH($E194,Roadmap!$D:$D,0)+COUNTIF($E194:AG194,"u")+COUNTIF($E194:AG194,"t")+COUNTIF($E194:AG194,1),ColLivraison)=AH$6,
  VLOOKUP($E194,INDIRECT("tri!"&amp; CHAR(64+ C0Col) &amp;":"&amp; CHAR(65+C0Col)),2,FALSE)&gt;COUNTIF($E194:AG194,"u")+COUNTIF($E194:AG194,"t")+COUNTIF($E194:AG194,1)),
HYPERLINK("#Roadmap!C"&amp; MATCH($E194,Roadmap!$D:$D,0)+COUNTIF($E194:AG194,"u")+COUNTIF($E194:AG194,"t"),
     INDEX(Roadmap!$D:$K,MATCH($E194,Roadmap!$D:$D,0)+COUNTIF($E194:AG194,"u")+COUNTIF($E194:AG194,"t")+COUNTIF($E194:AG194,1),ColTypeEcheance)),
  IF(OR(AG194="u",AG194="t",AG194=1),
  IF(LEN(INDEX(Roadmap!$D:$K,MATCH($E194,Roadmap!$D:$D,0)-1+COUNTIF($E194:AG194,"u")+COUNTIF($E194:AG194,"t")+COUNTIF($E194:AG194,1),ColDescriptionCourte))&gt;1,
HYPERLINK("#Roadmap!C"&amp; MATCH($E194,Roadmap!$D:$D,0)+COUNTIF($E194:AG194,"u")+COUNTIF($E194:AG194,"t")+COUNTIF($E194:AG194,1)-1,INDEX(Roadmap!$D:$K,MATCH($E194,Roadmap!$D:$D,0)-1+COUNTIF($E194:AG194,"u")+COUNTIF($E194:AG194,"t")+COUNTIF($E194:AG194,1),ColDescriptionCourte)),""),
  "")),"")</f>
        <v/>
      </c>
      <c r="AI194" s="40"/>
      <c r="AJ194" s="40"/>
      <c r="AK194" s="40"/>
      <c r="AL194" s="40"/>
      <c r="AM194" s="40"/>
    </row>
    <row r="195" spans="4:39" ht="14.1" customHeight="1">
      <c r="D195" s="20" t="str">
        <f t="shared" ca="1" si="31"/>
        <v/>
      </c>
      <c r="E195" s="53" t="str">
        <f t="shared" ca="1" si="32"/>
        <v/>
      </c>
      <c r="F195" s="39" t="str">
        <f ca="1">IFERROR(IF(AND(
  INDEX(Roadmap!$D:$K,MATCH($E195,Roadmap!$D:$D,0)+COUNTIF($E195:E195,"u")+COUNTIF($E195:E195,"t")+COUNTIF($E195:E195,"¶")+COUNTIF($E195:E195,"²")+COUNTIF($E195:E195,"µ")+COUNTIF($E195:E195,1),ColLivraison)=F$6,
  VLOOKUP($E195,INDIRECT("tri!"&amp; CHAR(64+ C0Col) &amp;":"&amp; CHAR(65+C0Col)),2,FALSE)&gt;COUNTIF($E195:E195,"u")+COUNTIF($E195:E195,"t")+COUNTIF($E195:E195,"¶")+COUNTIF($E195:E195,"²")+COUNTIF($E195:E195,"µ")+COUNTIF($E195:E195,1)),
HYPERLINK("#Roadmap!C"&amp; MATCH($E195,Roadmap!$D:$D,0)+COUNTIF($E195:E195,"u")+COUNTIF($E195:E195,"t"),
     INDEX(Roadmap!$D:$K,MATCH($E195,Roadmap!$D:$D,0)+COUNTIF($E195:E195,"u")+COUNTIF($E195:E195,"t")+COUNTIF($E195:E195,"¶")+COUNTIF($E195:E195,"²")+COUNTIF($E195:E195,"µ")+COUNTIF($E195:E195,1),ColTypeEcheance)),
  IF(LEN(E195)=1,
  IF(LEN(INDEX(Roadmap!$D:$K,MATCH($E195,Roadmap!$D:$D,0)-1+COUNTIF($E195:E195,"u")+COUNTIF($E195:E195,"t")+COUNTIF($E195:E195,"¶")+COUNTIF($E195:E195,"²")+COUNTIF($E195:E195,"µ")+COUNTIF($E195:E195,1),ColDescriptionCourte))&gt;1,
HYPERLINK("#Roadmap!C"&amp; MATCH($E195,Roadmap!$D:$D,0)+COUNTIF($E195:E195,"u")+COUNTIF($E195:E195,"t")+COUNTIF($E195:E195,"¶")+COUNTIF($E195:E195,"²")+COUNTIF($E195:E195,"µ")+COUNTIF($E195:E195,1)-1,INDEX(Roadmap!$D:$K,MATCH($E195,Roadmap!$D:$D,0)-1+COUNTIF($E195:E195,"u")+COUNTIF($E195:E195,"t")+COUNTIF($E195:E195,"¶")+COUNTIF($E195:E195,"²")+COUNTIF($E195:E195,"µ")+COUNTIF($E195:E195,1),ColDescriptionCourte)),""),
  "")),"")</f>
        <v/>
      </c>
      <c r="G195" s="40" t="str">
        <f ca="1">IFERROR(IF(AND(
  INDEX(Roadmap!$D:$K,MATCH($E195,Roadmap!$D:$D,0)+COUNTIF($E195:F195,"u")+COUNTIF($E195:F195,"t")+COUNTIF($E195:F195,"¶")+COUNTIF($E195:F195,"²")+COUNTIF($E195:F195,"µ")+COUNTIF($E195:F195,1),ColLivraison)=G$6,
  VLOOKUP($E195,INDIRECT("tri!"&amp; CHAR(64+ C0Col) &amp;":"&amp; CHAR(65+C0Col)),2,FALSE)&gt;COUNTIF($E195:F195,"u")+COUNTIF($E195:F195,"t")+COUNTIF($E195:F195,"¶")+COUNTIF($E195:F195,"²")+COUNTIF($E195:F195,"µ")+COUNTIF($E195:F195,1)),
HYPERLINK("#Roadmap!C"&amp; MATCH($E195,Roadmap!$D:$D,0)+COUNTIF($E195:F195,"u")+COUNTIF($E195:F195,"t"),
     INDEX(Roadmap!$D:$K,MATCH($E195,Roadmap!$D:$D,0)+COUNTIF($E195:F195,"u")+COUNTIF($E195:F195,"t")+COUNTIF($E195:F195,"¶")+COUNTIF($E195:F195,"²")+COUNTIF($E195:F195,"µ")+COUNTIF($E195:F195,1),ColTypeEcheance)),
  IF(LEN(F195)=1,
  IF(LEN(INDEX(Roadmap!$D:$K,MATCH($E195,Roadmap!$D:$D,0)-1+COUNTIF($E195:F195,"u")+COUNTIF($E195:F195,"t")+COUNTIF($E195:F195,"¶")+COUNTIF($E195:F195,"²")+COUNTIF($E195:F195,"µ")+COUNTIF($E195:F195,1),ColDescriptionCourte))&gt;1,
HYPERLINK("#Roadmap!C"&amp; MATCH($E195,Roadmap!$D:$D,0)+COUNTIF($E195:F195,"u")+COUNTIF($E195:F195,"t")+COUNTIF($E195:F195,"¶")+COUNTIF($E195:F195,"²")+COUNTIF($E195:F195,"µ")+COUNTIF($E195:F195,1)-1,INDEX(Roadmap!$D:$K,MATCH($E195,Roadmap!$D:$D,0)-1+COUNTIF($E195:F195,"u")+COUNTIF($E195:F195,"t")+COUNTIF($E195:F195,"¶")+COUNTIF($E195:F195,"²")+COUNTIF($E195:F195,"µ")+COUNTIF($E195:F195,1),ColDescriptionCourte)),""),
  "")),"")</f>
        <v/>
      </c>
      <c r="H195" s="40" t="str">
        <f ca="1">IFERROR(IF(AND(
  INDEX(Roadmap!$D:$K,MATCH($E195,Roadmap!$D:$D,0)+COUNTIF($E195:G195,"u")+COUNTIF($E195:G195,"t")+COUNTIF($E195:G195,"¶")+COUNTIF($E195:G195,"²")+COUNTIF($E195:G195,"µ")+COUNTIF($E195:G195,1),ColLivraison)=H$6,
  VLOOKUP($E195,INDIRECT("tri!"&amp; CHAR(64+ C0Col) &amp;":"&amp; CHAR(65+C0Col)),2,FALSE)&gt;COUNTIF($E195:G195,"u")+COUNTIF($E195:G195,"t")+COUNTIF($E195:G195,"¶")+COUNTIF($E195:G195,"²")+COUNTIF($E195:G195,"µ")+COUNTIF($E195:G195,1)),
HYPERLINK("#Roadmap!C"&amp; MATCH($E195,Roadmap!$D:$D,0)+COUNTIF($E195:G195,"u")+COUNTIF($E195:G195,"t"),
     INDEX(Roadmap!$D:$K,MATCH($E195,Roadmap!$D:$D,0)+COUNTIF($E195:G195,"u")+COUNTIF($E195:G195,"t")+COUNTIF($E195:G195,"¶")+COUNTIF($E195:G195,"²")+COUNTIF($E195:G195,"µ")+COUNTIF($E195:G195,1),ColTypeEcheance)),
  IF(LEN(G195)=1,
  IF(LEN(INDEX(Roadmap!$D:$K,MATCH($E195,Roadmap!$D:$D,0)-1+COUNTIF($E195:G195,"u")+COUNTIF($E195:G195,"t")+COUNTIF($E195:G195,"¶")+COUNTIF($E195:G195,"²")+COUNTIF($E195:G195,"µ")+COUNTIF($E195:G195,1),ColDescriptionCourte))&gt;1,
HYPERLINK("#Roadmap!C"&amp; MATCH($E195,Roadmap!$D:$D,0)+COUNTIF($E195:G195,"u")+COUNTIF($E195:G195,"t")+COUNTIF($E195:G195,"¶")+COUNTIF($E195:G195,"²")+COUNTIF($E195:G195,"µ")+COUNTIF($E195:G195,1)-1,INDEX(Roadmap!$D:$K,MATCH($E195,Roadmap!$D:$D,0)-1+COUNTIF($E195:G195,"u")+COUNTIF($E195:G195,"t")+COUNTIF($E195:G195,"¶")+COUNTIF($E195:G195,"²")+COUNTIF($E195:G195,"µ")+COUNTIF($E195:G195,1),ColDescriptionCourte)),""),
  "")),"")</f>
        <v/>
      </c>
      <c r="I195" s="40" t="str">
        <f ca="1">IFERROR(IF(AND(
  INDEX(Roadmap!$D:$K,MATCH($E195,Roadmap!$D:$D,0)+COUNTIF($E195:H195,"u")+COUNTIF($E195:H195,"t")+COUNTIF($E195:H195,"¶")+COUNTIF($E195:H195,"²")+COUNTIF($E195:H195,"µ")+COUNTIF($E195:H195,1),ColLivraison)=I$6,
  VLOOKUP($E195,INDIRECT("tri!"&amp; CHAR(64+ C0Col) &amp;":"&amp; CHAR(65+C0Col)),2,FALSE)&gt;COUNTIF($E195:H195,"u")+COUNTIF($E195:H195,"t")+COUNTIF($E195:H195,"¶")+COUNTIF($E195:H195,"²")+COUNTIF($E195:H195,"µ")+COUNTIF($E195:H195,1)),
HYPERLINK("#Roadmap!C"&amp; MATCH($E195,Roadmap!$D:$D,0)+COUNTIF($E195:H195,"u")+COUNTIF($E195:H195,"t"),
     INDEX(Roadmap!$D:$K,MATCH($E195,Roadmap!$D:$D,0)+COUNTIF($E195:H195,"u")+COUNTIF($E195:H195,"t")+COUNTIF($E195:H195,"¶")+COUNTIF($E195:H195,"²")+COUNTIF($E195:H195,"µ")+COUNTIF($E195:H195,1),ColTypeEcheance)),
  IF(LEN(H195)=1,
  IF(LEN(INDEX(Roadmap!$D:$K,MATCH($E195,Roadmap!$D:$D,0)-1+COUNTIF($E195:H195,"u")+COUNTIF($E195:H195,"t")+COUNTIF($E195:H195,"¶")+COUNTIF($E195:H195,"²")+COUNTIF($E195:H195,"µ")+COUNTIF($E195:H195,1),ColDescriptionCourte))&gt;1,
HYPERLINK("#Roadmap!C"&amp; MATCH($E195,Roadmap!$D:$D,0)+COUNTIF($E195:H195,"u")+COUNTIF($E195:H195,"t")+COUNTIF($E195:H195,"¶")+COUNTIF($E195:H195,"²")+COUNTIF($E195:H195,"µ")+COUNTIF($E195:H195,1)-1,INDEX(Roadmap!$D:$K,MATCH($E195,Roadmap!$D:$D,0)-1+COUNTIF($E195:H195,"u")+COUNTIF($E195:H195,"t")+COUNTIF($E195:H195,"¶")+COUNTIF($E195:H195,"²")+COUNTIF($E195:H195,"µ")+COUNTIF($E195:H195,1),ColDescriptionCourte)),""),
  "")),"")</f>
        <v/>
      </c>
      <c r="J195" s="40" t="str">
        <f ca="1">IFERROR(IF(AND(
  INDEX(Roadmap!$D:$K,MATCH($E195,Roadmap!$D:$D,0)+COUNTIF($E195:I195,"u")+COUNTIF($E195:I195,"t")+COUNTIF($E195:I195,"¶")+COUNTIF($E195:I195,"²")+COUNTIF($E195:I195,"µ")+COUNTIF($E195:I195,1),ColLivraison)=J$6,
  VLOOKUP($E195,INDIRECT("tri!"&amp; CHAR(64+ C0Col) &amp;":"&amp; CHAR(65+C0Col)),2,FALSE)&gt;COUNTIF($E195:I195,"u")+COUNTIF($E195:I195,"t")+COUNTIF($E195:I195,"¶")+COUNTIF($E195:I195,"²")+COUNTIF($E195:I195,"µ")+COUNTIF($E195:I195,1)),
HYPERLINK("#Roadmap!C"&amp; MATCH($E195,Roadmap!$D:$D,0)+COUNTIF($E195:I195,"u")+COUNTIF($E195:I195,"t"),
     INDEX(Roadmap!$D:$K,MATCH($E195,Roadmap!$D:$D,0)+COUNTIF($E195:I195,"u")+COUNTIF($E195:I195,"t")+COUNTIF($E195:I195,"¶")+COUNTIF($E195:I195,"²")+COUNTIF($E195:I195,"µ")+COUNTIF($E195:I195,1),ColTypeEcheance)),
  IF(LEN(I195)=1,
  IF(LEN(INDEX(Roadmap!$D:$K,MATCH($E195,Roadmap!$D:$D,0)-1+COUNTIF($E195:I195,"u")+COUNTIF($E195:I195,"t")+COUNTIF($E195:I195,"¶")+COUNTIF($E195:I195,"²")+COUNTIF($E195:I195,"µ")+COUNTIF($E195:I195,1),ColDescriptionCourte))&gt;1,
HYPERLINK("#Roadmap!C"&amp; MATCH($E195,Roadmap!$D:$D,0)+COUNTIF($E195:I195,"u")+COUNTIF($E195:I195,"t")+COUNTIF($E195:I195,"¶")+COUNTIF($E195:I195,"²")+COUNTIF($E195:I195,"µ")+COUNTIF($E195:I195,1)-1,INDEX(Roadmap!$D:$K,MATCH($E195,Roadmap!$D:$D,0)-1+COUNTIF($E195:I195,"u")+COUNTIF($E195:I195,"t")+COUNTIF($E195:I195,"¶")+COUNTIF($E195:I195,"²")+COUNTIF($E195:I195,"µ")+COUNTIF($E195:I195,1),ColDescriptionCourte)),""),
  "")),"")</f>
        <v/>
      </c>
      <c r="K195" s="40" t="str">
        <f ca="1">IFERROR(IF(AND(
  INDEX(Roadmap!$D:$K,MATCH($E195,Roadmap!$D:$D,0)+COUNTIF($E195:J195,"u")+COUNTIF($E195:J195,"t")+COUNTIF($E195:J195,"¶")+COUNTIF($E195:J195,"²")+COUNTIF($E195:J195,"µ")+COUNTIF($E195:J195,1),ColLivraison)=K$6,
  VLOOKUP($E195,INDIRECT("tri!"&amp; CHAR(64+ C0Col) &amp;":"&amp; CHAR(65+C0Col)),2,FALSE)&gt;COUNTIF($E195:J195,"u")+COUNTIF($E195:J195,"t")+COUNTIF($E195:J195,"¶")+COUNTIF($E195:J195,"²")+COUNTIF($E195:J195,"µ")+COUNTIF($E195:J195,1)),
HYPERLINK("#Roadmap!C"&amp; MATCH($E195,Roadmap!$D:$D,0)+COUNTIF($E195:J195,"u")+COUNTIF($E195:J195,"t"),
     INDEX(Roadmap!$D:$K,MATCH($E195,Roadmap!$D:$D,0)+COUNTIF($E195:J195,"u")+COUNTIF($E195:J195,"t")+COUNTIF($E195:J195,"¶")+COUNTIF($E195:J195,"²")+COUNTIF($E195:J195,"µ")+COUNTIF($E195:J195,1),ColTypeEcheance)),
  IF(LEN(J195)=1,
  IF(LEN(INDEX(Roadmap!$D:$K,MATCH($E195,Roadmap!$D:$D,0)-1+COUNTIF($E195:J195,"u")+COUNTIF($E195:J195,"t")+COUNTIF($E195:J195,"¶")+COUNTIF($E195:J195,"²")+COUNTIF($E195:J195,"µ")+COUNTIF($E195:J195,1),ColDescriptionCourte))&gt;1,
HYPERLINK("#Roadmap!C"&amp; MATCH($E195,Roadmap!$D:$D,0)+COUNTIF($E195:J195,"u")+COUNTIF($E195:J195,"t")+COUNTIF($E195:J195,"¶")+COUNTIF($E195:J195,"²")+COUNTIF($E195:J195,"µ")+COUNTIF($E195:J195,1)-1,INDEX(Roadmap!$D:$K,MATCH($E195,Roadmap!$D:$D,0)-1+COUNTIF($E195:J195,"u")+COUNTIF($E195:J195,"t")+COUNTIF($E195:J195,"¶")+COUNTIF($E195:J195,"²")+COUNTIF($E195:J195,"µ")+COUNTIF($E195:J195,1),ColDescriptionCourte)),""),
  "")),"")</f>
        <v/>
      </c>
      <c r="L195" s="39" t="str">
        <f ca="1">IFERROR(IF(AND(
  INDEX(Roadmap!$D:$K,MATCH($E195,Roadmap!$D:$D,0)+COUNTIF($E195:K195,"u")+COUNTIF($E195:K195,"t")+COUNTIF($E195:K195,"¶")+COUNTIF($E195:K195,"²")+COUNTIF($E195:K195,"µ")+COUNTIF($E195:K195,1),ColLivraison)=L$6,
  VLOOKUP($E195,INDIRECT("tri!"&amp; CHAR(64+ C0Col) &amp;":"&amp; CHAR(65+C0Col)),2,FALSE)&gt;COUNTIF($E195:K195,"u")+COUNTIF($E195:K195,"t")+COUNTIF($E195:K195,"¶")+COUNTIF($E195:K195,"²")+COUNTIF($E195:K195,"µ")+COUNTIF($E195:K195,1)),
HYPERLINK("#Roadmap!C"&amp; MATCH($E195,Roadmap!$D:$D,0)+COUNTIF($E195:K195,"u")+COUNTIF($E195:K195,"t"),
     INDEX(Roadmap!$D:$K,MATCH($E195,Roadmap!$D:$D,0)+COUNTIF($E195:K195,"u")+COUNTIF($E195:K195,"t")+COUNTIF($E195:K195,"¶")+COUNTIF($E195:K195,"²")+COUNTIF($E195:K195,"µ")+COUNTIF($E195:K195,1),ColTypeEcheance)),
  IF(LEN(K195)=1,
  IF(LEN(INDEX(Roadmap!$D:$K,MATCH($E195,Roadmap!$D:$D,0)-1+COUNTIF($E195:K195,"u")+COUNTIF($E195:K195,"t")+COUNTIF($E195:K195,"¶")+COUNTIF($E195:K195,"²")+COUNTIF($E195:K195,"µ")+COUNTIF($E195:K195,1),ColDescriptionCourte))&gt;1,
HYPERLINK("#Roadmap!C"&amp; MATCH($E195,Roadmap!$D:$D,0)+COUNTIF($E195:K195,"u")+COUNTIF($E195:K195,"t")+COUNTIF($E195:K195,"¶")+COUNTIF($E195:K195,"²")+COUNTIF($E195:K195,"µ")+COUNTIF($E195:K195,1)-1,INDEX(Roadmap!$D:$K,MATCH($E195,Roadmap!$D:$D,0)-1+COUNTIF($E195:K195,"u")+COUNTIF($E195:K195,"t")+COUNTIF($E195:K195,"¶")+COUNTIF($E195:K195,"²")+COUNTIF($E195:K195,"µ")+COUNTIF($E195:K195,1),ColDescriptionCourte)),""),
  "")),"")</f>
        <v/>
      </c>
      <c r="M195" s="40" t="str">
        <f ca="1">IFERROR(IF(AND(
  INDEX(Roadmap!$D:$K,MATCH($E195,Roadmap!$D:$D,0)+COUNTIF($E195:L195,"u")+COUNTIF($E195:L195,"t")+COUNTIF($E195:L195,"¶")+COUNTIF($E195:L195,"²")+COUNTIF($E195:L195,"µ")+COUNTIF($E195:L195,1),ColLivraison)=M$6,
  VLOOKUP($E195,INDIRECT("tri!"&amp; CHAR(64+ C0Col) &amp;":"&amp; CHAR(65+C0Col)),2,FALSE)&gt;COUNTIF($E195:L195,"u")+COUNTIF($E195:L195,"t")+COUNTIF($E195:L195,"¶")+COUNTIF($E195:L195,"²")+COUNTIF($E195:L195,"µ")+COUNTIF($E195:L195,1)),
HYPERLINK("#Roadmap!C"&amp; MATCH($E195,Roadmap!$D:$D,0)+COUNTIF($E195:L195,"u")+COUNTIF($E195:L195,"t"),
     INDEX(Roadmap!$D:$K,MATCH($E195,Roadmap!$D:$D,0)+COUNTIF($E195:L195,"u")+COUNTIF($E195:L195,"t")+COUNTIF($E195:L195,"¶")+COUNTIF($E195:L195,"²")+COUNTIF($E195:L195,"µ")+COUNTIF($E195:L195,1),ColTypeEcheance)),
  IF(LEN(L195)=1,
  IF(LEN(INDEX(Roadmap!$D:$K,MATCH($E195,Roadmap!$D:$D,0)-1+COUNTIF($E195:L195,"u")+COUNTIF($E195:L195,"t")+COUNTIF($E195:L195,"¶")+COUNTIF($E195:L195,"²")+COUNTIF($E195:L195,"µ")+COUNTIF($E195:L195,1),ColDescriptionCourte))&gt;1,
HYPERLINK("#Roadmap!C"&amp; MATCH($E195,Roadmap!$D:$D,0)+COUNTIF($E195:L195,"u")+COUNTIF($E195:L195,"t")+COUNTIF($E195:L195,"¶")+COUNTIF($E195:L195,"²")+COUNTIF($E195:L195,"µ")+COUNTIF($E195:L195,1)-1,INDEX(Roadmap!$D:$K,MATCH($E195,Roadmap!$D:$D,0)-1+COUNTIF($E195:L195,"u")+COUNTIF($E195:L195,"t")+COUNTIF($E195:L195,"¶")+COUNTIF($E195:L195,"²")+COUNTIF($E195:L195,"µ")+COUNTIF($E195:L195,1),ColDescriptionCourte)),""),
  "")),"")</f>
        <v/>
      </c>
      <c r="N195" s="40" t="str">
        <f ca="1">IFERROR(IF(AND(
  INDEX(Roadmap!$D:$K,MATCH($E195,Roadmap!$D:$D,0)+COUNTIF($E195:M195,"u")+COUNTIF($E195:M195,"t")+COUNTIF($E195:M195,"¶")+COUNTIF($E195:M195,"²")+COUNTIF($E195:M195,"µ")+COUNTIF($E195:M195,1),ColLivraison)=N$6,
  VLOOKUP($E195,INDIRECT("tri!"&amp; CHAR(64+ C0Col) &amp;":"&amp; CHAR(65+C0Col)),2,FALSE)&gt;COUNTIF($E195:M195,"u")+COUNTIF($E195:M195,"t")+COUNTIF($E195:M195,"¶")+COUNTIF($E195:M195,"²")+COUNTIF($E195:M195,"µ")+COUNTIF($E195:M195,1)),
HYPERLINK("#Roadmap!C"&amp; MATCH($E195,Roadmap!$D:$D,0)+COUNTIF($E195:M195,"u")+COUNTIF($E195:M195,"t"),
     INDEX(Roadmap!$D:$K,MATCH($E195,Roadmap!$D:$D,0)+COUNTIF($E195:M195,"u")+COUNTIF($E195:M195,"t")+COUNTIF($E195:M195,"¶")+COUNTIF($E195:M195,"²")+COUNTIF($E195:M195,"µ")+COUNTIF($E195:M195,1),ColTypeEcheance)),
  IF(LEN(M195)=1,
  IF(LEN(INDEX(Roadmap!$D:$K,MATCH($E195,Roadmap!$D:$D,0)-1+COUNTIF($E195:M195,"u")+COUNTIF($E195:M195,"t")+COUNTIF($E195:M195,"¶")+COUNTIF($E195:M195,"²")+COUNTIF($E195:M195,"µ")+COUNTIF($E195:M195,1),ColDescriptionCourte))&gt;1,
HYPERLINK("#Roadmap!C"&amp; MATCH($E195,Roadmap!$D:$D,0)+COUNTIF($E195:M195,"u")+COUNTIF($E195:M195,"t")+COUNTIF($E195:M195,"¶")+COUNTIF($E195:M195,"²")+COUNTIF($E195:M195,"µ")+COUNTIF($E195:M195,1)-1,INDEX(Roadmap!$D:$K,MATCH($E195,Roadmap!$D:$D,0)-1+COUNTIF($E195:M195,"u")+COUNTIF($E195:M195,"t")+COUNTIF($E195:M195,"¶")+COUNTIF($E195:M195,"²")+COUNTIF($E195:M195,"µ")+COUNTIF($E195:M195,1),ColDescriptionCourte)),""),
  "")),"")</f>
        <v/>
      </c>
      <c r="O195" s="40" t="str">
        <f ca="1">IFERROR(IF(AND(
  INDEX(Roadmap!$D:$K,MATCH($E195,Roadmap!$D:$D,0)+COUNTIF($E195:N195,"u")+COUNTIF($E195:N195,"t")+COUNTIF($E195:N195,"¶")+COUNTIF($E195:N195,"²")+COUNTIF($E195:N195,"µ")+COUNTIF($E195:N195,1),ColLivraison)=O$6,
  VLOOKUP($E195,INDIRECT("tri!"&amp; CHAR(64+ C0Col) &amp;":"&amp; CHAR(65+C0Col)),2,FALSE)&gt;COUNTIF($E195:N195,"u")+COUNTIF($E195:N195,"t")+COUNTIF($E195:N195,"¶")+COUNTIF($E195:N195,"²")+COUNTIF($E195:N195,"µ")+COUNTIF($E195:N195,1)),
HYPERLINK("#Roadmap!C"&amp; MATCH($E195,Roadmap!$D:$D,0)+COUNTIF($E195:N195,"u")+COUNTIF($E195:N195,"t"),
     INDEX(Roadmap!$D:$K,MATCH($E195,Roadmap!$D:$D,0)+COUNTIF($E195:N195,"u")+COUNTIF($E195:N195,"t")+COUNTIF($E195:N195,"¶")+COUNTIF($E195:N195,"²")+COUNTIF($E195:N195,"µ")+COUNTIF($E195:N195,1),ColTypeEcheance)),
  IF(LEN(N195)=1,
  IF(LEN(INDEX(Roadmap!$D:$K,MATCH($E195,Roadmap!$D:$D,0)-1+COUNTIF($E195:N195,"u")+COUNTIF($E195:N195,"t")+COUNTIF($E195:N195,"¶")+COUNTIF($E195:N195,"²")+COUNTIF($E195:N195,"µ")+COUNTIF($E195:N195,1),ColDescriptionCourte))&gt;1,
HYPERLINK("#Roadmap!C"&amp; MATCH($E195,Roadmap!$D:$D,0)+COUNTIF($E195:N195,"u")+COUNTIF($E195:N195,"t")+COUNTIF($E195:N195,"¶")+COUNTIF($E195:N195,"²")+COUNTIF($E195:N195,"µ")+COUNTIF($E195:N195,1)-1,INDEX(Roadmap!$D:$K,MATCH($E195,Roadmap!$D:$D,0)-1+COUNTIF($E195:N195,"u")+COUNTIF($E195:N195,"t")+COUNTIF($E195:N195,"¶")+COUNTIF($E195:N195,"²")+COUNTIF($E195:N195,"µ")+COUNTIF($E195:N195,1),ColDescriptionCourte)),""),
  "")),"")</f>
        <v/>
      </c>
      <c r="P195" s="40" t="str">
        <f ca="1">IFERROR(IF(AND(
  INDEX(Roadmap!$D:$K,MATCH($E195,Roadmap!$D:$D,0)+COUNTIF($E195:O195,"u")+COUNTIF($E195:O195,"t")+COUNTIF($E195:O195,"¶")+COUNTIF($E195:O195,"²")+COUNTIF($E195:O195,"µ")+COUNTIF($E195:O195,1),ColLivraison)=P$6,
  VLOOKUP($E195,INDIRECT("tri!"&amp; CHAR(64+ C0Col) &amp;":"&amp; CHAR(65+C0Col)),2,FALSE)&gt;COUNTIF($E195:O195,"u")+COUNTIF($E195:O195,"t")+COUNTIF($E195:O195,"¶")+COUNTIF($E195:O195,"²")+COUNTIF($E195:O195,"µ")+COUNTIF($E195:O195,1)),
HYPERLINK("#Roadmap!C"&amp; MATCH($E195,Roadmap!$D:$D,0)+COUNTIF($E195:O195,"u")+COUNTIF($E195:O195,"t"),
     INDEX(Roadmap!$D:$K,MATCH($E195,Roadmap!$D:$D,0)+COUNTIF($E195:O195,"u")+COUNTIF($E195:O195,"t")+COUNTIF($E195:O195,"¶")+COUNTIF($E195:O195,"²")+COUNTIF($E195:O195,"µ")+COUNTIF($E195:O195,1),ColTypeEcheance)),
  IF(LEN(O195)=1,
  IF(LEN(INDEX(Roadmap!$D:$K,MATCH($E195,Roadmap!$D:$D,0)-1+COUNTIF($E195:O195,"u")+COUNTIF($E195:O195,"t")+COUNTIF($E195:O195,"¶")+COUNTIF($E195:O195,"²")+COUNTIF($E195:O195,"µ")+COUNTIF($E195:O195,1),ColDescriptionCourte))&gt;1,
HYPERLINK("#Roadmap!C"&amp; MATCH($E195,Roadmap!$D:$D,0)+COUNTIF($E195:O195,"u")+COUNTIF($E195:O195,"t")+COUNTIF($E195:O195,"¶")+COUNTIF($E195:O195,"²")+COUNTIF($E195:O195,"µ")+COUNTIF($E195:O195,1)-1,INDEX(Roadmap!$D:$K,MATCH($E195,Roadmap!$D:$D,0)-1+COUNTIF($E195:O195,"u")+COUNTIF($E195:O195,"t")+COUNTIF($E195:O195,"¶")+COUNTIF($E195:O195,"²")+COUNTIF($E195:O195,"µ")+COUNTIF($E195:O195,1),ColDescriptionCourte)),""),
  "")),"")</f>
        <v/>
      </c>
      <c r="Q195" s="40" t="str">
        <f ca="1">IFERROR(IF(AND(
  INDEX(Roadmap!$D:$K,MATCH($E195,Roadmap!$D:$D,0)+COUNTIF($E195:P195,"u")+COUNTIF($E195:P195,"t")+COUNTIF($E195:P195,"¶")+COUNTIF($E195:P195,"²")+COUNTIF($E195:P195,"µ")+COUNTIF($E195:P195,1),ColLivraison)=Q$6,
  VLOOKUP($E195,INDIRECT("tri!"&amp; CHAR(64+ C0Col) &amp;":"&amp; CHAR(65+C0Col)),2,FALSE)&gt;COUNTIF($E195:P195,"u")+COUNTIF($E195:P195,"t")+COUNTIF($E195:P195,"¶")+COUNTIF($E195:P195,"²")+COUNTIF($E195:P195,"µ")+COUNTIF($E195:P195,1)),
HYPERLINK("#Roadmap!C"&amp; MATCH($E195,Roadmap!$D:$D,0)+COUNTIF($E195:P195,"u")+COUNTIF($E195:P195,"t"),
     INDEX(Roadmap!$D:$K,MATCH($E195,Roadmap!$D:$D,0)+COUNTIF($E195:P195,"u")+COUNTIF($E195:P195,"t")+COUNTIF($E195:P195,"¶")+COUNTIF($E195:P195,"²")+COUNTIF($E195:P195,"µ")+COUNTIF($E195:P195,1),ColTypeEcheance)),
  IF(LEN(P195)=1,
  IF(LEN(INDEX(Roadmap!$D:$K,MATCH($E195,Roadmap!$D:$D,0)-1+COUNTIF($E195:P195,"u")+COUNTIF($E195:P195,"t")+COUNTIF($E195:P195,"¶")+COUNTIF($E195:P195,"²")+COUNTIF($E195:P195,"µ")+COUNTIF($E195:P195,1),ColDescriptionCourte))&gt;1,
HYPERLINK("#Roadmap!C"&amp; MATCH($E195,Roadmap!$D:$D,0)+COUNTIF($E195:P195,"u")+COUNTIF($E195:P195,"t")+COUNTIF($E195:P195,"¶")+COUNTIF($E195:P195,"²")+COUNTIF($E195:P195,"µ")+COUNTIF($E195:P195,1)-1,INDEX(Roadmap!$D:$K,MATCH($E195,Roadmap!$D:$D,0)-1+COUNTIF($E195:P195,"u")+COUNTIF($E195:P195,"t")+COUNTIF($E195:P195,"¶")+COUNTIF($E195:P195,"²")+COUNTIF($E195:P195,"µ")+COUNTIF($E195:P195,1),ColDescriptionCourte)),""),
  "")),"")</f>
        <v/>
      </c>
      <c r="R195" s="40" t="str">
        <f ca="1">IFERROR(IF(AND(
  INDEX(Roadmap!$D:$K,MATCH($E195,Roadmap!$D:$D,0)+COUNTIF($E195:Q195,"u")+COUNTIF($E195:Q195,"t")+COUNTIF($E195:Q195,"¶")+COUNTIF($E195:Q195,"²")+COUNTIF($E195:Q195,"µ")+COUNTIF($E195:Q195,1),ColLivraison)=R$6,
  VLOOKUP($E195,INDIRECT("tri!"&amp; CHAR(64+ C0Col) &amp;":"&amp; CHAR(65+C0Col)),2,FALSE)&gt;COUNTIF($E195:Q195,"u")+COUNTIF($E195:Q195,"t")+COUNTIF($E195:Q195,"¶")+COUNTIF($E195:Q195,"²")+COUNTIF($E195:Q195,"µ")+COUNTIF($E195:Q195,1)),
HYPERLINK("#Roadmap!C"&amp; MATCH($E195,Roadmap!$D:$D,0)+COUNTIF($E195:Q195,"u")+COUNTIF($E195:Q195,"t"),
     INDEX(Roadmap!$D:$K,MATCH($E195,Roadmap!$D:$D,0)+COUNTIF($E195:Q195,"u")+COUNTIF($E195:Q195,"t")+COUNTIF($E195:Q195,"¶")+COUNTIF($E195:Q195,"²")+COUNTIF($E195:Q195,"µ")+COUNTIF($E195:Q195,1),ColTypeEcheance)),
  IF(LEN(Q195)=1,
  IF(LEN(INDEX(Roadmap!$D:$K,MATCH($E195,Roadmap!$D:$D,0)-1+COUNTIF($E195:Q195,"u")+COUNTIF($E195:Q195,"t")+COUNTIF($E195:Q195,"¶")+COUNTIF($E195:Q195,"²")+COUNTIF($E195:Q195,"µ")+COUNTIF($E195:Q195,1),ColDescriptionCourte))&gt;1,
HYPERLINK("#Roadmap!C"&amp; MATCH($E195,Roadmap!$D:$D,0)+COUNTIF($E195:Q195,"u")+COUNTIF($E195:Q195,"t")+COUNTIF($E195:Q195,"¶")+COUNTIF($E195:Q195,"²")+COUNTIF($E195:Q195,"µ")+COUNTIF($E195:Q195,1)-1,INDEX(Roadmap!$D:$K,MATCH($E195,Roadmap!$D:$D,0)-1+COUNTIF($E195:Q195,"u")+COUNTIF($E195:Q195,"t")+COUNTIF($E195:Q195,"¶")+COUNTIF($E195:Q195,"²")+COUNTIF($E195:Q195,"µ")+COUNTIF($E195:Q195,1),ColDescriptionCourte)),""),
  "")),"")</f>
        <v/>
      </c>
      <c r="S195" s="40" t="str">
        <f ca="1">IFERROR(IF(AND(
  INDEX(Roadmap!$D:$K,MATCH($E195,Roadmap!$D:$D,0)+COUNTIF($E195:R195,"u")+COUNTIF($E195:R195,"t")+COUNTIF($E195:R195,"¶")+COUNTIF($E195:R195,"²")+COUNTIF($E195:R195,"µ")+COUNTIF($E195:R195,1),ColLivraison)=S$6,
  VLOOKUP($E195,INDIRECT("tri!"&amp; CHAR(64+ C0Col) &amp;":"&amp; CHAR(65+C0Col)),2,FALSE)&gt;COUNTIF($E195:R195,"u")+COUNTIF($E195:R195,"t")+COUNTIF($E195:R195,"¶")+COUNTIF($E195:R195,"²")+COUNTIF($E195:R195,"µ")+COUNTIF($E195:R195,1)),
HYPERLINK("#Roadmap!C"&amp; MATCH($E195,Roadmap!$D:$D,0)+COUNTIF($E195:R195,"u")+COUNTIF($E195:R195,"t"),
     INDEX(Roadmap!$D:$K,MATCH($E195,Roadmap!$D:$D,0)+COUNTIF($E195:R195,"u")+COUNTIF($E195:R195,"t")+COUNTIF($E195:R195,"¶")+COUNTIF($E195:R195,"²")+COUNTIF($E195:R195,"µ")+COUNTIF($E195:R195,1),ColTypeEcheance)),
  IF(LEN(R195)=1,
  IF(LEN(INDEX(Roadmap!$D:$K,MATCH($E195,Roadmap!$D:$D,0)-1+COUNTIF($E195:R195,"u")+COUNTIF($E195:R195,"t")+COUNTIF($E195:R195,"¶")+COUNTIF($E195:R195,"²")+COUNTIF($E195:R195,"µ")+COUNTIF($E195:R195,1),ColDescriptionCourte))&gt;1,
HYPERLINK("#Roadmap!C"&amp; MATCH($E195,Roadmap!$D:$D,0)+COUNTIF($E195:R195,"u")+COUNTIF($E195:R195,"t")+COUNTIF($E195:R195,"¶")+COUNTIF($E195:R195,"²")+COUNTIF($E195:R195,"µ")+COUNTIF($E195:R195,1)-1,INDEX(Roadmap!$D:$K,MATCH($E195,Roadmap!$D:$D,0)-1+COUNTIF($E195:R195,"u")+COUNTIF($E195:R195,"t")+COUNTIF($E195:R195,"¶")+COUNTIF($E195:R195,"²")+COUNTIF($E195:R195,"µ")+COUNTIF($E195:R195,1),ColDescriptionCourte)),""),
  "")),"")</f>
        <v/>
      </c>
      <c r="T195" s="40" t="str">
        <f ca="1">IFERROR(IF(AND(
  INDEX(Roadmap!$D:$K,MATCH($E195,Roadmap!$D:$D,0)+COUNTIF($E195:S195,"u")+COUNTIF($E195:S195,"t")+COUNTIF($E195:S195,"¶")+COUNTIF($E195:S195,"²")+COUNTIF($E195:S195,"µ")+COUNTIF($E195:S195,1),ColLivraison)=T$6,
  VLOOKUP($E195,INDIRECT("tri!"&amp; CHAR(64+ C0Col) &amp;":"&amp; CHAR(65+C0Col)),2,FALSE)&gt;COUNTIF($E195:S195,"u")+COUNTIF($E195:S195,"t")+COUNTIF($E195:S195,"¶")+COUNTIF($E195:S195,"²")+COUNTIF($E195:S195,"µ")+COUNTIF($E195:S195,1)),
HYPERLINK("#Roadmap!C"&amp; MATCH($E195,Roadmap!$D:$D,0)+COUNTIF($E195:S195,"u")+COUNTIF($E195:S195,"t"),
     INDEX(Roadmap!$D:$K,MATCH($E195,Roadmap!$D:$D,0)+COUNTIF($E195:S195,"u")+COUNTIF($E195:S195,"t")+COUNTIF($E195:S195,"¶")+COUNTIF($E195:S195,"²")+COUNTIF($E195:S195,"µ")+COUNTIF($E195:S195,1),ColTypeEcheance)),
  IF(LEN(S195)=1,
  IF(LEN(INDEX(Roadmap!$D:$K,MATCH($E195,Roadmap!$D:$D,0)-1+COUNTIF($E195:S195,"u")+COUNTIF($E195:S195,"t")+COUNTIF($E195:S195,"¶")+COUNTIF($E195:S195,"²")+COUNTIF($E195:S195,"µ")+COUNTIF($E195:S195,1),ColDescriptionCourte))&gt;1,
HYPERLINK("#Roadmap!C"&amp; MATCH($E195,Roadmap!$D:$D,0)+COUNTIF($E195:S195,"u")+COUNTIF($E195:S195,"t")+COUNTIF($E195:S195,"¶")+COUNTIF($E195:S195,"²")+COUNTIF($E195:S195,"µ")+COUNTIF($E195:S195,1)-1,INDEX(Roadmap!$D:$K,MATCH($E195,Roadmap!$D:$D,0)-1+COUNTIF($E195:S195,"u")+COUNTIF($E195:S195,"t")+COUNTIF($E195:S195,"¶")+COUNTIF($E195:S195,"²")+COUNTIF($E195:S195,"µ")+COUNTIF($E195:S195,1),ColDescriptionCourte)),""),
  "")),"")</f>
        <v/>
      </c>
      <c r="U195" s="40" t="str">
        <f ca="1">IFERROR(IF(AND(
  INDEX(Roadmap!$D:$K,MATCH($E195,Roadmap!$D:$D,0)+COUNTIF($E195:T195,"u")+COUNTIF($E195:T195,"t")+COUNTIF($E195:T195,"¶")+COUNTIF($E195:T195,"²")+COUNTIF($E195:T195,"µ")+COUNTIF($E195:T195,1),ColLivraison)=U$6,
  VLOOKUP($E195,INDIRECT("tri!"&amp; CHAR(64+ C0Col) &amp;":"&amp; CHAR(65+C0Col)),2,FALSE)&gt;COUNTIF($E195:T195,"u")+COUNTIF($E195:T195,"t")+COUNTIF($E195:T195,"¶")+COUNTIF($E195:T195,"²")+COUNTIF($E195:T195,"µ")+COUNTIF($E195:T195,1)),
HYPERLINK("#Roadmap!C"&amp; MATCH($E195,Roadmap!$D:$D,0)+COUNTIF($E195:T195,"u")+COUNTIF($E195:T195,"t"),
     INDEX(Roadmap!$D:$K,MATCH($E195,Roadmap!$D:$D,0)+COUNTIF($E195:T195,"u")+COUNTIF($E195:T195,"t")+COUNTIF($E195:T195,"¶")+COUNTIF($E195:T195,"²")+COUNTIF($E195:T195,"µ")+COUNTIF($E195:T195,1),ColTypeEcheance)),
  IF(LEN(T195)=1,
  IF(LEN(INDEX(Roadmap!$D:$K,MATCH($E195,Roadmap!$D:$D,0)-1+COUNTIF($E195:T195,"u")+COUNTIF($E195:T195,"t")+COUNTIF($E195:T195,"¶")+COUNTIF($E195:T195,"²")+COUNTIF($E195:T195,"µ")+COUNTIF($E195:T195,1),ColDescriptionCourte))&gt;1,
HYPERLINK("#Roadmap!C"&amp; MATCH($E195,Roadmap!$D:$D,0)+COUNTIF($E195:T195,"u")+COUNTIF($E195:T195,"t")+COUNTIF($E195:T195,"¶")+COUNTIF($E195:T195,"²")+COUNTIF($E195:T195,"µ")+COUNTIF($E195:T195,1)-1,INDEX(Roadmap!$D:$K,MATCH($E195,Roadmap!$D:$D,0)-1+COUNTIF($E195:T195,"u")+COUNTIF($E195:T195,"t")+COUNTIF($E195:T195,"¶")+COUNTIF($E195:T195,"²")+COUNTIF($E195:T195,"µ")+COUNTIF($E195:T195,1),ColDescriptionCourte)),""),
  "")),"")</f>
        <v/>
      </c>
      <c r="V195" s="40" t="str">
        <f ca="1">IFERROR(IF(AND(
  INDEX(Roadmap!$D:$K,MATCH($E195,Roadmap!$D:$D,0)+COUNTIF($E195:U195,"u")+COUNTIF($E195:U195,"t")+COUNTIF($E195:U195,"¶")+COUNTIF($E195:U195,"²")+COUNTIF($E195:U195,"µ")+COUNTIF($E195:U195,1),ColLivraison)=V$6,
  VLOOKUP($E195,INDIRECT("tri!"&amp; CHAR(64+ C0Col) &amp;":"&amp; CHAR(65+C0Col)),2,FALSE)&gt;COUNTIF($E195:U195,"u")+COUNTIF($E195:U195,"t")+COUNTIF($E195:U195,"¶")+COUNTIF($E195:U195,"²")+COUNTIF($E195:U195,"µ")+COUNTIF($E195:U195,1)),
HYPERLINK("#Roadmap!C"&amp; MATCH($E195,Roadmap!$D:$D,0)+COUNTIF($E195:U195,"u")+COUNTIF($E195:U195,"t"),
     INDEX(Roadmap!$D:$K,MATCH($E195,Roadmap!$D:$D,0)+COUNTIF($E195:U195,"u")+COUNTIF($E195:U195,"t")+COUNTIF($E195:U195,"¶")+COUNTIF($E195:U195,"²")+COUNTIF($E195:U195,"µ")+COUNTIF($E195:U195,1),ColTypeEcheance)),
  IF(LEN(U195)=1,
  IF(LEN(INDEX(Roadmap!$D:$K,MATCH($E195,Roadmap!$D:$D,0)-1+COUNTIF($E195:U195,"u")+COUNTIF($E195:U195,"t")+COUNTIF($E195:U195,"¶")+COUNTIF($E195:U195,"²")+COUNTIF($E195:U195,"µ")+COUNTIF($E195:U195,1),ColDescriptionCourte))&gt;1,
HYPERLINK("#Roadmap!C"&amp; MATCH($E195,Roadmap!$D:$D,0)+COUNTIF($E195:U195,"u")+COUNTIF($E195:U195,"t")+COUNTIF($E195:U195,"¶")+COUNTIF($E195:U195,"²")+COUNTIF($E195:U195,"µ")+COUNTIF($E195:U195,1)-1,INDEX(Roadmap!$D:$K,MATCH($E195,Roadmap!$D:$D,0)-1+COUNTIF($E195:U195,"u")+COUNTIF($E195:U195,"t")+COUNTIF($E195:U195,"¶")+COUNTIF($E195:U195,"²")+COUNTIF($E195:U195,"µ")+COUNTIF($E195:U195,1),ColDescriptionCourte)),""),
  "")),"")</f>
        <v/>
      </c>
      <c r="W195" s="40" t="str">
        <f ca="1">IFERROR(IF(AND(
  INDEX(Roadmap!$D:$K,MATCH($E195,Roadmap!$D:$D,0)+COUNTIF($E195:V195,"u")+COUNTIF($E195:V195,"t")+COUNTIF($E195:V195,"¶")+COUNTIF($E195:V195,"²")+COUNTIF($E195:V195,"µ")+COUNTIF($E195:V195,1),ColLivraison)=W$6,
  VLOOKUP($E195,INDIRECT("tri!"&amp; CHAR(64+ C0Col) &amp;":"&amp; CHAR(65+C0Col)),2,FALSE)&gt;COUNTIF($E195:V195,"u")+COUNTIF($E195:V195,"t")+COUNTIF($E195:V195,"¶")+COUNTIF($E195:V195,"²")+COUNTIF($E195:V195,"µ")+COUNTIF($E195:V195,1)),
HYPERLINK("#Roadmap!C"&amp; MATCH($E195,Roadmap!$D:$D,0)+COUNTIF($E195:V195,"u")+COUNTIF($E195:V195,"t"),
     INDEX(Roadmap!$D:$K,MATCH($E195,Roadmap!$D:$D,0)+COUNTIF($E195:V195,"u")+COUNTIF($E195:V195,"t")+COUNTIF($E195:V195,"¶")+COUNTIF($E195:V195,"²")+COUNTIF($E195:V195,"µ")+COUNTIF($E195:V195,1),ColTypeEcheance)),
  IF(LEN(V195)=1,
  IF(LEN(INDEX(Roadmap!$D:$K,MATCH($E195,Roadmap!$D:$D,0)-1+COUNTIF($E195:V195,"u")+COUNTIF($E195:V195,"t")+COUNTIF($E195:V195,"¶")+COUNTIF($E195:V195,"²")+COUNTIF($E195:V195,"µ")+COUNTIF($E195:V195,1),ColDescriptionCourte))&gt;1,
HYPERLINK("#Roadmap!C"&amp; MATCH($E195,Roadmap!$D:$D,0)+COUNTIF($E195:V195,"u")+COUNTIF($E195:V195,"t")+COUNTIF($E195:V195,"¶")+COUNTIF($E195:V195,"²")+COUNTIF($E195:V195,"µ")+COUNTIF($E195:V195,1)-1,INDEX(Roadmap!$D:$K,MATCH($E195,Roadmap!$D:$D,0)-1+COUNTIF($E195:V195,"u")+COUNTIF($E195:V195,"t")+COUNTIF($E195:V195,"¶")+COUNTIF($E195:V195,"²")+COUNTIF($E195:V195,"µ")+COUNTIF($E195:V195,1),ColDescriptionCourte)),""),
  "")),"")</f>
        <v/>
      </c>
      <c r="X195" s="40" t="str">
        <f ca="1">IFERROR(IF(AND(
  INDEX(Roadmap!$D:$K,MATCH($E195,Roadmap!$D:$D,0)+COUNTIF($E195:W195,"u")+COUNTIF($E195:W195,"t")+COUNTIF($E195:W195,"¶")+COUNTIF($E195:W195,"²")+COUNTIF($E195:W195,"µ")+COUNTIF($E195:W195,1),ColLivraison)=X$6,
  VLOOKUP($E195,INDIRECT("tri!"&amp; CHAR(64+ C0Col) &amp;":"&amp; CHAR(65+C0Col)),2,FALSE)&gt;COUNTIF($E195:W195,"u")+COUNTIF($E195:W195,"t")+COUNTIF($E195:W195,"¶")+COUNTIF($E195:W195,"²")+COUNTIF($E195:W195,"µ")+COUNTIF($E195:W195,1)),
HYPERLINK("#Roadmap!C"&amp; MATCH($E195,Roadmap!$D:$D,0)+COUNTIF($E195:W195,"u")+COUNTIF($E195:W195,"t"),
     INDEX(Roadmap!$D:$K,MATCH($E195,Roadmap!$D:$D,0)+COUNTIF($E195:W195,"u")+COUNTIF($E195:W195,"t")+COUNTIF($E195:W195,"¶")+COUNTIF($E195:W195,"²")+COUNTIF($E195:W195,"µ")+COUNTIF($E195:W195,1),ColTypeEcheance)),
  IF(LEN(W195)=1,
  IF(LEN(INDEX(Roadmap!$D:$K,MATCH($E195,Roadmap!$D:$D,0)-1+COUNTIF($E195:W195,"u")+COUNTIF($E195:W195,"t")+COUNTIF($E195:W195,"¶")+COUNTIF($E195:W195,"²")+COUNTIF($E195:W195,"µ")+COUNTIF($E195:W195,1),ColDescriptionCourte))&gt;1,
HYPERLINK("#Roadmap!C"&amp; MATCH($E195,Roadmap!$D:$D,0)+COUNTIF($E195:W195,"u")+COUNTIF($E195:W195,"t")+COUNTIF($E195:W195,"¶")+COUNTIF($E195:W195,"²")+COUNTIF($E195:W195,"µ")+COUNTIF($E195:W195,1)-1,INDEX(Roadmap!$D:$K,MATCH($E195,Roadmap!$D:$D,0)-1+COUNTIF($E195:W195,"u")+COUNTIF($E195:W195,"t")+COUNTIF($E195:W195,"¶")+COUNTIF($E195:W195,"²")+COUNTIF($E195:W195,"µ")+COUNTIF($E195:W195,1),ColDescriptionCourte)),""),
  "")),"")</f>
        <v/>
      </c>
      <c r="Y195" s="40" t="str">
        <f ca="1">IFERROR(IF(AND(
  INDEX(Roadmap!$D:$K,MATCH($E195,Roadmap!$D:$D,0)+COUNTIF($E195:X195,"u")+COUNTIF($E195:X195,"t")+COUNTIF($E195:X195,"¶")+COUNTIF($E195:X195,"²")+COUNTIF($E195:X195,"µ")+COUNTIF($E195:X195,1),ColLivraison)=Y$6,
  VLOOKUP($E195,INDIRECT("tri!"&amp; CHAR(64+ C0Col) &amp;":"&amp; CHAR(65+C0Col)),2,FALSE)&gt;COUNTIF($E195:X195,"u")+COUNTIF($E195:X195,"t")+COUNTIF($E195:X195,"¶")+COUNTIF($E195:X195,"²")+COUNTIF($E195:X195,"µ")+COUNTIF($E195:X195,1)),
HYPERLINK("#Roadmap!C"&amp; MATCH($E195,Roadmap!$D:$D,0)+COUNTIF($E195:X195,"u")+COUNTIF($E195:X195,"t"),
     INDEX(Roadmap!$D:$K,MATCH($E195,Roadmap!$D:$D,0)+COUNTIF($E195:X195,"u")+COUNTIF($E195:X195,"t")+COUNTIF($E195:X195,"¶")+COUNTIF($E195:X195,"²")+COUNTIF($E195:X195,"µ")+COUNTIF($E195:X195,1),ColTypeEcheance)),
  IF(LEN(X195)=1,
  IF(LEN(INDEX(Roadmap!$D:$K,MATCH($E195,Roadmap!$D:$D,0)-1+COUNTIF($E195:X195,"u")+COUNTIF($E195:X195,"t")+COUNTIF($E195:X195,"¶")+COUNTIF($E195:X195,"²")+COUNTIF($E195:X195,"µ")+COUNTIF($E195:X195,1),ColDescriptionCourte))&gt;1,
HYPERLINK("#Roadmap!C"&amp; MATCH($E195,Roadmap!$D:$D,0)+COUNTIF($E195:X195,"u")+COUNTIF($E195:X195,"t")+COUNTIF($E195:X195,"¶")+COUNTIF($E195:X195,"²")+COUNTIF($E195:X195,"µ")+COUNTIF($E195:X195,1)-1,INDEX(Roadmap!$D:$K,MATCH($E195,Roadmap!$D:$D,0)-1+COUNTIF($E195:X195,"u")+COUNTIF($E195:X195,"t")+COUNTIF($E195:X195,"¶")+COUNTIF($E195:X195,"²")+COUNTIF($E195:X195,"µ")+COUNTIF($E195:X195,1),ColDescriptionCourte)),""),
  "")),"")</f>
        <v/>
      </c>
      <c r="Z195" s="40" t="str">
        <f ca="1">IFERROR(IF(AND(
  INDEX(Roadmap!$D:$K,MATCH($E195,Roadmap!$D:$D,0)+COUNTIF($E195:Y195,"u")+COUNTIF($E195:Y195,"t")+COUNTIF($E195:Y195,"¶")+COUNTIF($E195:Y195,"²")+COUNTIF($E195:Y195,"µ")+COUNTIF($E195:Y195,1),ColLivraison)=Z$6,
  VLOOKUP($E195,INDIRECT("tri!"&amp; CHAR(64+ C0Col) &amp;":"&amp; CHAR(65+C0Col)),2,FALSE)&gt;COUNTIF($E195:Y195,"u")+COUNTIF($E195:Y195,"t")+COUNTIF($E195:Y195,"¶")+COUNTIF($E195:Y195,"²")+COUNTIF($E195:Y195,"µ")+COUNTIF($E195:Y195,1)),
HYPERLINK("#Roadmap!C"&amp; MATCH($E195,Roadmap!$D:$D,0)+COUNTIF($E195:Y195,"u")+COUNTIF($E195:Y195,"t"),
     INDEX(Roadmap!$D:$K,MATCH($E195,Roadmap!$D:$D,0)+COUNTIF($E195:Y195,"u")+COUNTIF($E195:Y195,"t")+COUNTIF($E195:Y195,"¶")+COUNTIF($E195:Y195,"²")+COUNTIF($E195:Y195,"µ")+COUNTIF($E195:Y195,1),ColTypeEcheance)),
  IF(LEN(Y195)=1,
  IF(LEN(INDEX(Roadmap!$D:$K,MATCH($E195,Roadmap!$D:$D,0)-1+COUNTIF($E195:Y195,"u")+COUNTIF($E195:Y195,"t")+COUNTIF($E195:Y195,"¶")+COUNTIF($E195:Y195,"²")+COUNTIF($E195:Y195,"µ")+COUNTIF($E195:Y195,1),ColDescriptionCourte))&gt;1,
HYPERLINK("#Roadmap!C"&amp; MATCH($E195,Roadmap!$D:$D,0)+COUNTIF($E195:Y195,"u")+COUNTIF($E195:Y195,"t")+COUNTIF($E195:Y195,"¶")+COUNTIF($E195:Y195,"²")+COUNTIF($E195:Y195,"µ")+COUNTIF($E195:Y195,1)-1,INDEX(Roadmap!$D:$K,MATCH($E195,Roadmap!$D:$D,0)-1+COUNTIF($E195:Y195,"u")+COUNTIF($E195:Y195,"t")+COUNTIF($E195:Y195,"¶")+COUNTIF($E195:Y195,"²")+COUNTIF($E195:Y195,"µ")+COUNTIF($E195:Y195,1),ColDescriptionCourte)),""),
  "")),"")</f>
        <v/>
      </c>
      <c r="AA195" s="40" t="str">
        <f ca="1">IFERROR(IF(AND(
  INDEX(Roadmap!$D:$K,MATCH($E195,Roadmap!$D:$D,0)+COUNTIF($E195:Z195,"u")+COUNTIF($E195:Z195,"t")+COUNTIF($E195:Z195,"¶")+COUNTIF($E195:Z195,"²")+COUNTIF($E195:Z195,"µ")+COUNTIF($E195:Z195,1),ColLivraison)=AA$6,
  VLOOKUP($E195,INDIRECT("tri!"&amp; CHAR(64+ C0Col) &amp;":"&amp; CHAR(65+C0Col)),2,FALSE)&gt;COUNTIF($E195:Z195,"u")+COUNTIF($E195:Z195,"t")+COUNTIF($E195:Z195,"¶")+COUNTIF($E195:Z195,"²")+COUNTIF($E195:Z195,"µ")+COUNTIF($E195:Z195,1)),
HYPERLINK("#Roadmap!C"&amp; MATCH($E195,Roadmap!$D:$D,0)+COUNTIF($E195:Z195,"u")+COUNTIF($E195:Z195,"t"),
     INDEX(Roadmap!$D:$K,MATCH($E195,Roadmap!$D:$D,0)+COUNTIF($E195:Z195,"u")+COUNTIF($E195:Z195,"t")+COUNTIF($E195:Z195,"¶")+COUNTIF($E195:Z195,"²")+COUNTIF($E195:Z195,"µ")+COUNTIF($E195:Z195,1),ColTypeEcheance)),
  IF(LEN(Z195)=1,
  IF(LEN(INDEX(Roadmap!$D:$K,MATCH($E195,Roadmap!$D:$D,0)-1+COUNTIF($E195:Z195,"u")+COUNTIF($E195:Z195,"t")+COUNTIF($E195:Z195,"¶")+COUNTIF($E195:Z195,"²")+COUNTIF($E195:Z195,"µ")+COUNTIF($E195:Z195,1),ColDescriptionCourte))&gt;1,
HYPERLINK("#Roadmap!C"&amp; MATCH($E195,Roadmap!$D:$D,0)+COUNTIF($E195:Z195,"u")+COUNTIF($E195:Z195,"t")+COUNTIF($E195:Z195,"¶")+COUNTIF($E195:Z195,"²")+COUNTIF($E195:Z195,"µ")+COUNTIF($E195:Z195,1)-1,INDEX(Roadmap!$D:$K,MATCH($E195,Roadmap!$D:$D,0)-1+COUNTIF($E195:Z195,"u")+COUNTIF($E195:Z195,"t")+COUNTIF($E195:Z195,"¶")+COUNTIF($E195:Z195,"²")+COUNTIF($E195:Z195,"µ")+COUNTIF($E195:Z195,1),ColDescriptionCourte)),""),
  "")),"")</f>
        <v/>
      </c>
      <c r="AB195" s="40" t="str">
        <f ca="1">IFERROR(IF(AND(
  INDEX(Roadmap!$D:$K,MATCH($E195,Roadmap!$D:$D,0)+COUNTIF($E195:AA195,"u")+COUNTIF($E195:AA195,"t")+COUNTIF($E195:AA195,"¶")+COUNTIF($E195:AA195,"²")+COUNTIF($E195:AA195,"µ")+COUNTIF($E195:AA195,1),ColLivraison)=AB$6,
  VLOOKUP($E195,INDIRECT("tri!"&amp; CHAR(64+ C0Col) &amp;":"&amp; CHAR(65+C0Col)),2,FALSE)&gt;COUNTIF($E195:AA195,"u")+COUNTIF($E195:AA195,"t")+COUNTIF($E195:AA195,"¶")+COUNTIF($E195:AA195,"²")+COUNTIF($E195:AA195,"µ")+COUNTIF($E195:AA195,1)),
HYPERLINK("#Roadmap!C"&amp; MATCH($E195,Roadmap!$D:$D,0)+COUNTIF($E195:AA195,"u")+COUNTIF($E195:AA195,"t"),
     INDEX(Roadmap!$D:$K,MATCH($E195,Roadmap!$D:$D,0)+COUNTIF($E195:AA195,"u")+COUNTIF($E195:AA195,"t")+COUNTIF($E195:AA195,"¶")+COUNTIF($E195:AA195,"²")+COUNTIF($E195:AA195,"µ")+COUNTIF($E195:AA195,1),ColTypeEcheance)),
  IF(LEN(AA195)=1,
  IF(LEN(INDEX(Roadmap!$D:$K,MATCH($E195,Roadmap!$D:$D,0)-1+COUNTIF($E195:AA195,"u")+COUNTIF($E195:AA195,"t")+COUNTIF($E195:AA195,"¶")+COUNTIF($E195:AA195,"²")+COUNTIF($E195:AA195,"µ")+COUNTIF($E195:AA195,1),ColDescriptionCourte))&gt;1,
HYPERLINK("#Roadmap!C"&amp; MATCH($E195,Roadmap!$D:$D,0)+COUNTIF($E195:AA195,"u")+COUNTIF($E195:AA195,"t")+COUNTIF($E195:AA195,"¶")+COUNTIF($E195:AA195,"²")+COUNTIF($E195:AA195,"µ")+COUNTIF($E195:AA195,1)-1,INDEX(Roadmap!$D:$K,MATCH($E195,Roadmap!$D:$D,0)-1+COUNTIF($E195:AA195,"u")+COUNTIF($E195:AA195,"t")+COUNTIF($E195:AA195,"¶")+COUNTIF($E195:AA195,"²")+COUNTIF($E195:AA195,"µ")+COUNTIF($E195:AA195,1),ColDescriptionCourte)),""),
  "")),"")</f>
        <v/>
      </c>
      <c r="AC195" s="40" t="str">
        <f ca="1">IFERROR(IF(AND(
  INDEX(Roadmap!$D:$K,MATCH($E195,Roadmap!$D:$D,0)+COUNTIF($E195:AB195,"u")+COUNTIF($E195:AB195,"t")+COUNTIF($E195:AB195,"¶")+COUNTIF($E195:AB195,"²")+COUNTIF($E195:AB195,"µ")+COUNTIF($E195:AB195,1),ColLivraison)=AC$6,
  VLOOKUP($E195,INDIRECT("tri!"&amp; CHAR(64+ C0Col) &amp;":"&amp; CHAR(65+C0Col)),2,FALSE)&gt;COUNTIF($E195:AB195,"u")+COUNTIF($E195:AB195,"t")+COUNTIF($E195:AB195,"¶")+COUNTIF($E195:AB195,"²")+COUNTIF($E195:AB195,"µ")+COUNTIF($E195:AB195,1)),
HYPERLINK("#Roadmap!C"&amp; MATCH($E195,Roadmap!$D:$D,0)+COUNTIF($E195:AB195,"u")+COUNTIF($E195:AB195,"t"),
     INDEX(Roadmap!$D:$K,MATCH($E195,Roadmap!$D:$D,0)+COUNTIF($E195:AB195,"u")+COUNTIF($E195:AB195,"t")+COUNTIF($E195:AB195,"¶")+COUNTIF($E195:AB195,"²")+COUNTIF($E195:AB195,"µ")+COUNTIF($E195:AB195,1),ColTypeEcheance)),
  IF(LEN(AB195)=1,
  IF(LEN(INDEX(Roadmap!$D:$K,MATCH($E195,Roadmap!$D:$D,0)-1+COUNTIF($E195:AB195,"u")+COUNTIF($E195:AB195,"t")+COUNTIF($E195:AB195,"¶")+COUNTIF($E195:AB195,"²")+COUNTIF($E195:AB195,"µ")+COUNTIF($E195:AB195,1),ColDescriptionCourte))&gt;1,
HYPERLINK("#Roadmap!C"&amp; MATCH($E195,Roadmap!$D:$D,0)+COUNTIF($E195:AB195,"u")+COUNTIF($E195:AB195,"t")+COUNTIF($E195:AB195,"¶")+COUNTIF($E195:AB195,"²")+COUNTIF($E195:AB195,"µ")+COUNTIF($E195:AB195,1)-1,INDEX(Roadmap!$D:$K,MATCH($E195,Roadmap!$D:$D,0)-1+COUNTIF($E195:AB195,"u")+COUNTIF($E195:AB195,"t")+COUNTIF($E195:AB195,"¶")+COUNTIF($E195:AB195,"²")+COUNTIF($E195:AB195,"µ")+COUNTIF($E195:AB195,1),ColDescriptionCourte)),""),
  "")),"")</f>
        <v/>
      </c>
      <c r="AD195" s="40" t="str">
        <f ca="1">IFERROR(IF(AND(
  INDEX(Roadmap!$D:$K,MATCH($E195,Roadmap!$D:$D,0)+COUNTIF($E195:AC195,"u")+COUNTIF($E195:AC195,"t")+COUNTIF($E195:AC195,"¶")+COUNTIF($E195:AC195,"²")+COUNTIF($E195:AC195,"µ")+COUNTIF($E195:AC195,1),ColLivraison)=AD$6,
  VLOOKUP($E195,INDIRECT("tri!"&amp; CHAR(64+ C0Col) &amp;":"&amp; CHAR(65+C0Col)),2,FALSE)&gt;COUNTIF($E195:AC195,"u")+COUNTIF($E195:AC195,"t")+COUNTIF($E195:AC195,"¶")+COUNTIF($E195:AC195,"²")+COUNTIF($E195:AC195,"µ")+COUNTIF($E195:AC195,1)),
HYPERLINK("#Roadmap!C"&amp; MATCH($E195,Roadmap!$D:$D,0)+COUNTIF($E195:AC195,"u")+COUNTIF($E195:AC195,"t"),
     INDEX(Roadmap!$D:$K,MATCH($E195,Roadmap!$D:$D,0)+COUNTIF($E195:AC195,"u")+COUNTIF($E195:AC195,"t")+COUNTIF($E195:AC195,"¶")+COUNTIF($E195:AC195,"²")+COUNTIF($E195:AC195,"µ")+COUNTIF($E195:AC195,1),ColTypeEcheance)),
  IF(LEN(AC195)=1,
  IF(LEN(INDEX(Roadmap!$D:$K,MATCH($E195,Roadmap!$D:$D,0)-1+COUNTIF($E195:AC195,"u")+COUNTIF($E195:AC195,"t")+COUNTIF($E195:AC195,"¶")+COUNTIF($E195:AC195,"²")+COUNTIF($E195:AC195,"µ")+COUNTIF($E195:AC195,1),ColDescriptionCourte))&gt;1,
HYPERLINK("#Roadmap!C"&amp; MATCH($E195,Roadmap!$D:$D,0)+COUNTIF($E195:AC195,"u")+COUNTIF($E195:AC195,"t")+COUNTIF($E195:AC195,"¶")+COUNTIF($E195:AC195,"²")+COUNTIF($E195:AC195,"µ")+COUNTIF($E195:AC195,1)-1,INDEX(Roadmap!$D:$K,MATCH($E195,Roadmap!$D:$D,0)-1+COUNTIF($E195:AC195,"u")+COUNTIF($E195:AC195,"t")+COUNTIF($E195:AC195,"¶")+COUNTIF($E195:AC195,"²")+COUNTIF($E195:AC195,"µ")+COUNTIF($E195:AC195,1),ColDescriptionCourte)),""),
  "")),"")</f>
        <v/>
      </c>
      <c r="AE195" s="40" t="str">
        <f ca="1">IFERROR(IF(AND(
  INDEX(Roadmap!$D:$K,MATCH($E195,Roadmap!$D:$D,0)+COUNTIF($E195:AD195,"u")+COUNTIF($E195:AD195,"t")+COUNTIF($E195:AD195,"¶")+COUNTIF($E195:AD195,"²")+COUNTIF($E195:AD195,"µ")+COUNTIF($E195:AD195,1),ColLivraison)=AE$6,
  VLOOKUP($E195,INDIRECT("tri!"&amp; CHAR(64+ C0Col) &amp;":"&amp; CHAR(65+C0Col)),2,FALSE)&gt;COUNTIF($E195:AD195,"u")+COUNTIF($E195:AD195,"t")+COUNTIF($E195:AD195,"¶")+COUNTIF($E195:AD195,"²")+COUNTIF($E195:AD195,"µ")+COUNTIF($E195:AD195,1)),
HYPERLINK("#Roadmap!C"&amp; MATCH($E195,Roadmap!$D:$D,0)+COUNTIF($E195:AD195,"u")+COUNTIF($E195:AD195,"t"),
     INDEX(Roadmap!$D:$K,MATCH($E195,Roadmap!$D:$D,0)+COUNTIF($E195:AD195,"u")+COUNTIF($E195:AD195,"t")+COUNTIF($E195:AD195,"¶")+COUNTIF($E195:AD195,"²")+COUNTIF($E195:AD195,"µ")+COUNTIF($E195:AD195,1),ColTypeEcheance)),
  IF(LEN(AD195)=1,
  IF(LEN(INDEX(Roadmap!$D:$K,MATCH($E195,Roadmap!$D:$D,0)-1+COUNTIF($E195:AD195,"u")+COUNTIF($E195:AD195,"t")+COUNTIF($E195:AD195,"¶")+COUNTIF($E195:AD195,"²")+COUNTIF($E195:AD195,"µ")+COUNTIF($E195:AD195,1),ColDescriptionCourte))&gt;1,
HYPERLINK("#Roadmap!C"&amp; MATCH($E195,Roadmap!$D:$D,0)+COUNTIF($E195:AD195,"u")+COUNTIF($E195:AD195,"t")+COUNTIF($E195:AD195,"¶")+COUNTIF($E195:AD195,"²")+COUNTIF($E195:AD195,"µ")+COUNTIF($E195:AD195,1)-1,INDEX(Roadmap!$D:$K,MATCH($E195,Roadmap!$D:$D,0)-1+COUNTIF($E195:AD195,"u")+COUNTIF($E195:AD195,"t")+COUNTIF($E195:AD195,"¶")+COUNTIF($E195:AD195,"²")+COUNTIF($E195:AD195,"µ")+COUNTIF($E195:AD195,1),ColDescriptionCourte)),""),
  "")),"")</f>
        <v/>
      </c>
      <c r="AF195" s="40" t="str">
        <f ca="1">IFERROR(IF(AND(
  INDEX(Roadmap!$D:$K,MATCH($E195,Roadmap!$D:$D,0)+COUNTIF($E195:AE195,"u")+COUNTIF($E195:AE195,"t")+COUNTIF($E195:AE195,"¶")+COUNTIF($E195:AE195,"²")+COUNTIF($E195:AE195,"µ")+COUNTIF($E195:AE195,1),ColLivraison)=AF$6,
  VLOOKUP($E195,INDIRECT("tri!"&amp; CHAR(64+ C0Col) &amp;":"&amp; CHAR(65+C0Col)),2,FALSE)&gt;COUNTIF($E195:AE195,"u")+COUNTIF($E195:AE195,"t")+COUNTIF($E195:AE195,"¶")+COUNTIF($E195:AE195,"²")+COUNTIF($E195:AE195,"µ")+COUNTIF($E195:AE195,1)),
HYPERLINK("#Roadmap!C"&amp; MATCH($E195,Roadmap!$D:$D,0)+COUNTIF($E195:AE195,"u")+COUNTIF($E195:AE195,"t"),
     INDEX(Roadmap!$D:$K,MATCH($E195,Roadmap!$D:$D,0)+COUNTIF($E195:AE195,"u")+COUNTIF($E195:AE195,"t")+COUNTIF($E195:AE195,"¶")+COUNTIF($E195:AE195,"²")+COUNTIF($E195:AE195,"µ")+COUNTIF($E195:AE195,1),ColTypeEcheance)),
  IF(LEN(AE195)=1,
  IF(LEN(INDEX(Roadmap!$D:$K,MATCH($E195,Roadmap!$D:$D,0)-1+COUNTIF($E195:AE195,"u")+COUNTIF($E195:AE195,"t")+COUNTIF($E195:AE195,"¶")+COUNTIF($E195:AE195,"²")+COUNTIF($E195:AE195,"µ")+COUNTIF($E195:AE195,1),ColDescriptionCourte))&gt;1,
HYPERLINK("#Roadmap!C"&amp; MATCH($E195,Roadmap!$D:$D,0)+COUNTIF($E195:AE195,"u")+COUNTIF($E195:AE195,"t")+COUNTIF($E195:AE195,"¶")+COUNTIF($E195:AE195,"²")+COUNTIF($E195:AE195,"µ")+COUNTIF($E195:AE195,1)-1,INDEX(Roadmap!$D:$K,MATCH($E195,Roadmap!$D:$D,0)-1+COUNTIF($E195:AE195,"u")+COUNTIF($E195:AE195,"t")+COUNTIF($E195:AE195,"¶")+COUNTIF($E195:AE195,"²")+COUNTIF($E195:AE195,"µ")+COUNTIF($E195:AE195,1),ColDescriptionCourte)),""),
  "")),"")</f>
        <v/>
      </c>
      <c r="AG195" s="40" t="str">
        <f ca="1">IFERROR(IF(AND(
  INDEX(Roadmap!$D:$K,MATCH($E195,Roadmap!$D:$D,0)+COUNTIF($E195:AF195,"u")+COUNTIF($E195:AF195,"t")+COUNTIF($E195:AF195,"¶")+COUNTIF($E195:AF195,"²")+COUNTIF($E195:AF195,"µ")+COUNTIF($E195:AF195,1),ColLivraison)=AG$6,
  VLOOKUP($E195,INDIRECT("tri!"&amp; CHAR(64+ C0Col) &amp;":"&amp; CHAR(65+C0Col)),2,FALSE)&gt;COUNTIF($E195:AF195,"u")+COUNTIF($E195:AF195,"t")+COUNTIF($E195:AF195,"¶")+COUNTIF($E195:AF195,"²")+COUNTIF($E195:AF195,"µ")+COUNTIF($E195:AF195,1)),
HYPERLINK("#Roadmap!C"&amp; MATCH($E195,Roadmap!$D:$D,0)+COUNTIF($E195:AF195,"u")+COUNTIF($E195:AF195,"t"),
     INDEX(Roadmap!$D:$K,MATCH($E195,Roadmap!$D:$D,0)+COUNTIF($E195:AF195,"u")+COUNTIF($E195:AF195,"t")+COUNTIF($E195:AF195,"¶")+COUNTIF($E195:AF195,"²")+COUNTIF($E195:AF195,"µ")+COUNTIF($E195:AF195,1),ColTypeEcheance)),
  IF(LEN(AF195)=1,
  IF(LEN(INDEX(Roadmap!$D:$K,MATCH($E195,Roadmap!$D:$D,0)-1+COUNTIF($E195:AF195,"u")+COUNTIF($E195:AF195,"t")+COUNTIF($E195:AF195,"¶")+COUNTIF($E195:AF195,"²")+COUNTIF($E195:AF195,"µ")+COUNTIF($E195:AF195,1),ColDescriptionCourte))&gt;1,
HYPERLINK("#Roadmap!C"&amp; MATCH($E195,Roadmap!$D:$D,0)+COUNTIF($E195:AF195,"u")+COUNTIF($E195:AF195,"t")+COUNTIF($E195:AF195,"¶")+COUNTIF($E195:AF195,"²")+COUNTIF($E195:AF195,"µ")+COUNTIF($E195:AF195,1)-1,INDEX(Roadmap!$D:$K,MATCH($E195,Roadmap!$D:$D,0)-1+COUNTIF($E195:AF195,"u")+COUNTIF($E195:AF195,"t")+COUNTIF($E195:AF195,"¶")+COUNTIF($E195:AF195,"²")+COUNTIF($E195:AF195,"µ")+COUNTIF($E195:AF195,1),ColDescriptionCourte)),""),
  "")),"")</f>
        <v/>
      </c>
      <c r="AH195" s="40" t="str">
        <f ca="1">IFERROR(IF(AND(
  INDEX(Roadmap!$D:$K,MATCH($E195,Roadmap!$D:$D,0)+COUNTIF($E195:AG195,"u")+COUNTIF($E195:AG195,"t")+COUNTIF($E195:AG195,1),ColLivraison)=AH$6,
  VLOOKUP($E195,INDIRECT("tri!"&amp; CHAR(64+ C0Col) &amp;":"&amp; CHAR(65+C0Col)),2,FALSE)&gt;COUNTIF($E195:AG195,"u")+COUNTIF($E195:AG195,"t")+COUNTIF($E195:AG195,1)),
HYPERLINK("#Roadmap!C"&amp; MATCH($E195,Roadmap!$D:$D,0)+COUNTIF($E195:AG195,"u")+COUNTIF($E195:AG195,"t"),
     INDEX(Roadmap!$D:$K,MATCH($E195,Roadmap!$D:$D,0)+COUNTIF($E195:AG195,"u")+COUNTIF($E195:AG195,"t")+COUNTIF($E195:AG195,1),ColTypeEcheance)),
  IF(OR(AG195="u",AG195="t",AG195=1),
  IF(LEN(INDEX(Roadmap!$D:$K,MATCH($E195,Roadmap!$D:$D,0)-1+COUNTIF($E195:AG195,"u")+COUNTIF($E195:AG195,"t")+COUNTIF($E195:AG195,1),ColDescriptionCourte))&gt;1,
HYPERLINK("#Roadmap!C"&amp; MATCH($E195,Roadmap!$D:$D,0)+COUNTIF($E195:AG195,"u")+COUNTIF($E195:AG195,"t")+COUNTIF($E195:AG195,1)-1,INDEX(Roadmap!$D:$K,MATCH($E195,Roadmap!$D:$D,0)-1+COUNTIF($E195:AG195,"u")+COUNTIF($E195:AG195,"t")+COUNTIF($E195:AG195,1),ColDescriptionCourte)),""),
  "")),"")</f>
        <v/>
      </c>
      <c r="AI195" s="40"/>
      <c r="AJ195" s="40"/>
      <c r="AK195" s="40"/>
      <c r="AL195" s="40"/>
      <c r="AM195" s="40"/>
    </row>
    <row r="196" spans="4:39" ht="14.1" customHeight="1">
      <c r="D196" s="20" t="str">
        <f t="shared" ca="1" si="31"/>
        <v/>
      </c>
      <c r="E196" s="53" t="str">
        <f t="shared" ca="1" si="32"/>
        <v/>
      </c>
      <c r="F196" s="39" t="str">
        <f ca="1">IFERROR(IF(AND(
  INDEX(Roadmap!$D:$K,MATCH($E196,Roadmap!$D:$D,0)+COUNTIF($E196:E196,"u")+COUNTIF($E196:E196,"t")+COUNTIF($E196:E196,"¶")+COUNTIF($E196:E196,"²")+COUNTIF($E196:E196,"µ")+COUNTIF($E196:E196,1),ColLivraison)=F$6,
  VLOOKUP($E196,INDIRECT("tri!"&amp; CHAR(64+ C0Col) &amp;":"&amp; CHAR(65+C0Col)),2,FALSE)&gt;COUNTIF($E196:E196,"u")+COUNTIF($E196:E196,"t")+COUNTIF($E196:E196,"¶")+COUNTIF($E196:E196,"²")+COUNTIF($E196:E196,"µ")+COUNTIF($E196:E196,1)),
HYPERLINK("#Roadmap!C"&amp; MATCH($E196,Roadmap!$D:$D,0)+COUNTIF($E196:E196,"u")+COUNTIF($E196:E196,"t"),
     INDEX(Roadmap!$D:$K,MATCH($E196,Roadmap!$D:$D,0)+COUNTIF($E196:E196,"u")+COUNTIF($E196:E196,"t")+COUNTIF($E196:E196,"¶")+COUNTIF($E196:E196,"²")+COUNTIF($E196:E196,"µ")+COUNTIF($E196:E196,1),ColTypeEcheance)),
  IF(LEN(E196)=1,
  IF(LEN(INDEX(Roadmap!$D:$K,MATCH($E196,Roadmap!$D:$D,0)-1+COUNTIF($E196:E196,"u")+COUNTIF($E196:E196,"t")+COUNTIF($E196:E196,"¶")+COUNTIF($E196:E196,"²")+COUNTIF($E196:E196,"µ")+COUNTIF($E196:E196,1),ColDescriptionCourte))&gt;1,
HYPERLINK("#Roadmap!C"&amp; MATCH($E196,Roadmap!$D:$D,0)+COUNTIF($E196:E196,"u")+COUNTIF($E196:E196,"t")+COUNTIF($E196:E196,"¶")+COUNTIF($E196:E196,"²")+COUNTIF($E196:E196,"µ")+COUNTIF($E196:E196,1)-1,INDEX(Roadmap!$D:$K,MATCH($E196,Roadmap!$D:$D,0)-1+COUNTIF($E196:E196,"u")+COUNTIF($E196:E196,"t")+COUNTIF($E196:E196,"¶")+COUNTIF($E196:E196,"²")+COUNTIF($E196:E196,"µ")+COUNTIF($E196:E196,1),ColDescriptionCourte)),""),
  "")),"")</f>
        <v/>
      </c>
      <c r="G196" s="40" t="str">
        <f ca="1">IFERROR(IF(AND(
  INDEX(Roadmap!$D:$K,MATCH($E196,Roadmap!$D:$D,0)+COUNTIF($E196:F196,"u")+COUNTIF($E196:F196,"t")+COUNTIF($E196:F196,"¶")+COUNTIF($E196:F196,"²")+COUNTIF($E196:F196,"µ")+COUNTIF($E196:F196,1),ColLivraison)=G$6,
  VLOOKUP($E196,INDIRECT("tri!"&amp; CHAR(64+ C0Col) &amp;":"&amp; CHAR(65+C0Col)),2,FALSE)&gt;COUNTIF($E196:F196,"u")+COUNTIF($E196:F196,"t")+COUNTIF($E196:F196,"¶")+COUNTIF($E196:F196,"²")+COUNTIF($E196:F196,"µ")+COUNTIF($E196:F196,1)),
HYPERLINK("#Roadmap!C"&amp; MATCH($E196,Roadmap!$D:$D,0)+COUNTIF($E196:F196,"u")+COUNTIF($E196:F196,"t"),
     INDEX(Roadmap!$D:$K,MATCH($E196,Roadmap!$D:$D,0)+COUNTIF($E196:F196,"u")+COUNTIF($E196:F196,"t")+COUNTIF($E196:F196,"¶")+COUNTIF($E196:F196,"²")+COUNTIF($E196:F196,"µ")+COUNTIF($E196:F196,1),ColTypeEcheance)),
  IF(LEN(F196)=1,
  IF(LEN(INDEX(Roadmap!$D:$K,MATCH($E196,Roadmap!$D:$D,0)-1+COUNTIF($E196:F196,"u")+COUNTIF($E196:F196,"t")+COUNTIF($E196:F196,"¶")+COUNTIF($E196:F196,"²")+COUNTIF($E196:F196,"µ")+COUNTIF($E196:F196,1),ColDescriptionCourte))&gt;1,
HYPERLINK("#Roadmap!C"&amp; MATCH($E196,Roadmap!$D:$D,0)+COUNTIF($E196:F196,"u")+COUNTIF($E196:F196,"t")+COUNTIF($E196:F196,"¶")+COUNTIF($E196:F196,"²")+COUNTIF($E196:F196,"µ")+COUNTIF($E196:F196,1)-1,INDEX(Roadmap!$D:$K,MATCH($E196,Roadmap!$D:$D,0)-1+COUNTIF($E196:F196,"u")+COUNTIF($E196:F196,"t")+COUNTIF($E196:F196,"¶")+COUNTIF($E196:F196,"²")+COUNTIF($E196:F196,"µ")+COUNTIF($E196:F196,1),ColDescriptionCourte)),""),
  "")),"")</f>
        <v/>
      </c>
      <c r="H196" s="40" t="str">
        <f ca="1">IFERROR(IF(AND(
  INDEX(Roadmap!$D:$K,MATCH($E196,Roadmap!$D:$D,0)+COUNTIF($E196:G196,"u")+COUNTIF($E196:G196,"t")+COUNTIF($E196:G196,"¶")+COUNTIF($E196:G196,"²")+COUNTIF($E196:G196,"µ")+COUNTIF($E196:G196,1),ColLivraison)=H$6,
  VLOOKUP($E196,INDIRECT("tri!"&amp; CHAR(64+ C0Col) &amp;":"&amp; CHAR(65+C0Col)),2,FALSE)&gt;COUNTIF($E196:G196,"u")+COUNTIF($E196:G196,"t")+COUNTIF($E196:G196,"¶")+COUNTIF($E196:G196,"²")+COUNTIF($E196:G196,"µ")+COUNTIF($E196:G196,1)),
HYPERLINK("#Roadmap!C"&amp; MATCH($E196,Roadmap!$D:$D,0)+COUNTIF($E196:G196,"u")+COUNTIF($E196:G196,"t"),
     INDEX(Roadmap!$D:$K,MATCH($E196,Roadmap!$D:$D,0)+COUNTIF($E196:G196,"u")+COUNTIF($E196:G196,"t")+COUNTIF($E196:G196,"¶")+COUNTIF($E196:G196,"²")+COUNTIF($E196:G196,"µ")+COUNTIF($E196:G196,1),ColTypeEcheance)),
  IF(LEN(G196)=1,
  IF(LEN(INDEX(Roadmap!$D:$K,MATCH($E196,Roadmap!$D:$D,0)-1+COUNTIF($E196:G196,"u")+COUNTIF($E196:G196,"t")+COUNTIF($E196:G196,"¶")+COUNTIF($E196:G196,"²")+COUNTIF($E196:G196,"µ")+COUNTIF($E196:G196,1),ColDescriptionCourte))&gt;1,
HYPERLINK("#Roadmap!C"&amp; MATCH($E196,Roadmap!$D:$D,0)+COUNTIF($E196:G196,"u")+COUNTIF($E196:G196,"t")+COUNTIF($E196:G196,"¶")+COUNTIF($E196:G196,"²")+COUNTIF($E196:G196,"µ")+COUNTIF($E196:G196,1)-1,INDEX(Roadmap!$D:$K,MATCH($E196,Roadmap!$D:$D,0)-1+COUNTIF($E196:G196,"u")+COUNTIF($E196:G196,"t")+COUNTIF($E196:G196,"¶")+COUNTIF($E196:G196,"²")+COUNTIF($E196:G196,"µ")+COUNTIF($E196:G196,1),ColDescriptionCourte)),""),
  "")),"")</f>
        <v/>
      </c>
      <c r="I196" s="40" t="str">
        <f ca="1">IFERROR(IF(AND(
  INDEX(Roadmap!$D:$K,MATCH($E196,Roadmap!$D:$D,0)+COUNTIF($E196:H196,"u")+COUNTIF($E196:H196,"t")+COUNTIF($E196:H196,"¶")+COUNTIF($E196:H196,"²")+COUNTIF($E196:H196,"µ")+COUNTIF($E196:H196,1),ColLivraison)=I$6,
  VLOOKUP($E196,INDIRECT("tri!"&amp; CHAR(64+ C0Col) &amp;":"&amp; CHAR(65+C0Col)),2,FALSE)&gt;COUNTIF($E196:H196,"u")+COUNTIF($E196:H196,"t")+COUNTIF($E196:H196,"¶")+COUNTIF($E196:H196,"²")+COUNTIF($E196:H196,"µ")+COUNTIF($E196:H196,1)),
HYPERLINK("#Roadmap!C"&amp; MATCH($E196,Roadmap!$D:$D,0)+COUNTIF($E196:H196,"u")+COUNTIF($E196:H196,"t"),
     INDEX(Roadmap!$D:$K,MATCH($E196,Roadmap!$D:$D,0)+COUNTIF($E196:H196,"u")+COUNTIF($E196:H196,"t")+COUNTIF($E196:H196,"¶")+COUNTIF($E196:H196,"²")+COUNTIF($E196:H196,"µ")+COUNTIF($E196:H196,1),ColTypeEcheance)),
  IF(LEN(H196)=1,
  IF(LEN(INDEX(Roadmap!$D:$K,MATCH($E196,Roadmap!$D:$D,0)-1+COUNTIF($E196:H196,"u")+COUNTIF($E196:H196,"t")+COUNTIF($E196:H196,"¶")+COUNTIF($E196:H196,"²")+COUNTIF($E196:H196,"µ")+COUNTIF($E196:H196,1),ColDescriptionCourte))&gt;1,
HYPERLINK("#Roadmap!C"&amp; MATCH($E196,Roadmap!$D:$D,0)+COUNTIF($E196:H196,"u")+COUNTIF($E196:H196,"t")+COUNTIF($E196:H196,"¶")+COUNTIF($E196:H196,"²")+COUNTIF($E196:H196,"µ")+COUNTIF($E196:H196,1)-1,INDEX(Roadmap!$D:$K,MATCH($E196,Roadmap!$D:$D,0)-1+COUNTIF($E196:H196,"u")+COUNTIF($E196:H196,"t")+COUNTIF($E196:H196,"¶")+COUNTIF($E196:H196,"²")+COUNTIF($E196:H196,"µ")+COUNTIF($E196:H196,1),ColDescriptionCourte)),""),
  "")),"")</f>
        <v/>
      </c>
      <c r="J196" s="40" t="str">
        <f ca="1">IFERROR(IF(AND(
  INDEX(Roadmap!$D:$K,MATCH($E196,Roadmap!$D:$D,0)+COUNTIF($E196:I196,"u")+COUNTIF($E196:I196,"t")+COUNTIF($E196:I196,"¶")+COUNTIF($E196:I196,"²")+COUNTIF($E196:I196,"µ")+COUNTIF($E196:I196,1),ColLivraison)=J$6,
  VLOOKUP($E196,INDIRECT("tri!"&amp; CHAR(64+ C0Col) &amp;":"&amp; CHAR(65+C0Col)),2,FALSE)&gt;COUNTIF($E196:I196,"u")+COUNTIF($E196:I196,"t")+COUNTIF($E196:I196,"¶")+COUNTIF($E196:I196,"²")+COUNTIF($E196:I196,"µ")+COUNTIF($E196:I196,1)),
HYPERLINK("#Roadmap!C"&amp; MATCH($E196,Roadmap!$D:$D,0)+COUNTIF($E196:I196,"u")+COUNTIF($E196:I196,"t"),
     INDEX(Roadmap!$D:$K,MATCH($E196,Roadmap!$D:$D,0)+COUNTIF($E196:I196,"u")+COUNTIF($E196:I196,"t")+COUNTIF($E196:I196,"¶")+COUNTIF($E196:I196,"²")+COUNTIF($E196:I196,"µ")+COUNTIF($E196:I196,1),ColTypeEcheance)),
  IF(LEN(I196)=1,
  IF(LEN(INDEX(Roadmap!$D:$K,MATCH($E196,Roadmap!$D:$D,0)-1+COUNTIF($E196:I196,"u")+COUNTIF($E196:I196,"t")+COUNTIF($E196:I196,"¶")+COUNTIF($E196:I196,"²")+COUNTIF($E196:I196,"µ")+COUNTIF($E196:I196,1),ColDescriptionCourte))&gt;1,
HYPERLINK("#Roadmap!C"&amp; MATCH($E196,Roadmap!$D:$D,0)+COUNTIF($E196:I196,"u")+COUNTIF($E196:I196,"t")+COUNTIF($E196:I196,"¶")+COUNTIF($E196:I196,"²")+COUNTIF($E196:I196,"µ")+COUNTIF($E196:I196,1)-1,INDEX(Roadmap!$D:$K,MATCH($E196,Roadmap!$D:$D,0)-1+COUNTIF($E196:I196,"u")+COUNTIF($E196:I196,"t")+COUNTIF($E196:I196,"¶")+COUNTIF($E196:I196,"²")+COUNTIF($E196:I196,"µ")+COUNTIF($E196:I196,1),ColDescriptionCourte)),""),
  "")),"")</f>
        <v/>
      </c>
      <c r="K196" s="40" t="str">
        <f ca="1">IFERROR(IF(AND(
  INDEX(Roadmap!$D:$K,MATCH($E196,Roadmap!$D:$D,0)+COUNTIF($E196:J196,"u")+COUNTIF($E196:J196,"t")+COUNTIF($E196:J196,"¶")+COUNTIF($E196:J196,"²")+COUNTIF($E196:J196,"µ")+COUNTIF($E196:J196,1),ColLivraison)=K$6,
  VLOOKUP($E196,INDIRECT("tri!"&amp; CHAR(64+ C0Col) &amp;":"&amp; CHAR(65+C0Col)),2,FALSE)&gt;COUNTIF($E196:J196,"u")+COUNTIF($E196:J196,"t")+COUNTIF($E196:J196,"¶")+COUNTIF($E196:J196,"²")+COUNTIF($E196:J196,"µ")+COUNTIF($E196:J196,1)),
HYPERLINK("#Roadmap!C"&amp; MATCH($E196,Roadmap!$D:$D,0)+COUNTIF($E196:J196,"u")+COUNTIF($E196:J196,"t"),
     INDEX(Roadmap!$D:$K,MATCH($E196,Roadmap!$D:$D,0)+COUNTIF($E196:J196,"u")+COUNTIF($E196:J196,"t")+COUNTIF($E196:J196,"¶")+COUNTIF($E196:J196,"²")+COUNTIF($E196:J196,"µ")+COUNTIF($E196:J196,1),ColTypeEcheance)),
  IF(LEN(J196)=1,
  IF(LEN(INDEX(Roadmap!$D:$K,MATCH($E196,Roadmap!$D:$D,0)-1+COUNTIF($E196:J196,"u")+COUNTIF($E196:J196,"t")+COUNTIF($E196:J196,"¶")+COUNTIF($E196:J196,"²")+COUNTIF($E196:J196,"µ")+COUNTIF($E196:J196,1),ColDescriptionCourte))&gt;1,
HYPERLINK("#Roadmap!C"&amp; MATCH($E196,Roadmap!$D:$D,0)+COUNTIF($E196:J196,"u")+COUNTIF($E196:J196,"t")+COUNTIF($E196:J196,"¶")+COUNTIF($E196:J196,"²")+COUNTIF($E196:J196,"µ")+COUNTIF($E196:J196,1)-1,INDEX(Roadmap!$D:$K,MATCH($E196,Roadmap!$D:$D,0)-1+COUNTIF($E196:J196,"u")+COUNTIF($E196:J196,"t")+COUNTIF($E196:J196,"¶")+COUNTIF($E196:J196,"²")+COUNTIF($E196:J196,"µ")+COUNTIF($E196:J196,1),ColDescriptionCourte)),""),
  "")),"")</f>
        <v/>
      </c>
      <c r="L196" s="39" t="str">
        <f ca="1">IFERROR(IF(AND(
  INDEX(Roadmap!$D:$K,MATCH($E196,Roadmap!$D:$D,0)+COUNTIF($E196:K196,"u")+COUNTIF($E196:K196,"t")+COUNTIF($E196:K196,"¶")+COUNTIF($E196:K196,"²")+COUNTIF($E196:K196,"µ")+COUNTIF($E196:K196,1),ColLivraison)=L$6,
  VLOOKUP($E196,INDIRECT("tri!"&amp; CHAR(64+ C0Col) &amp;":"&amp; CHAR(65+C0Col)),2,FALSE)&gt;COUNTIF($E196:K196,"u")+COUNTIF($E196:K196,"t")+COUNTIF($E196:K196,"¶")+COUNTIF($E196:K196,"²")+COUNTIF($E196:K196,"µ")+COUNTIF($E196:K196,1)),
HYPERLINK("#Roadmap!C"&amp; MATCH($E196,Roadmap!$D:$D,0)+COUNTIF($E196:K196,"u")+COUNTIF($E196:K196,"t"),
     INDEX(Roadmap!$D:$K,MATCH($E196,Roadmap!$D:$D,0)+COUNTIF($E196:K196,"u")+COUNTIF($E196:K196,"t")+COUNTIF($E196:K196,"¶")+COUNTIF($E196:K196,"²")+COUNTIF($E196:K196,"µ")+COUNTIF($E196:K196,1),ColTypeEcheance)),
  IF(LEN(K196)=1,
  IF(LEN(INDEX(Roadmap!$D:$K,MATCH($E196,Roadmap!$D:$D,0)-1+COUNTIF($E196:K196,"u")+COUNTIF($E196:K196,"t")+COUNTIF($E196:K196,"¶")+COUNTIF($E196:K196,"²")+COUNTIF($E196:K196,"µ")+COUNTIF($E196:K196,1),ColDescriptionCourte))&gt;1,
HYPERLINK("#Roadmap!C"&amp; MATCH($E196,Roadmap!$D:$D,0)+COUNTIF($E196:K196,"u")+COUNTIF($E196:K196,"t")+COUNTIF($E196:K196,"¶")+COUNTIF($E196:K196,"²")+COUNTIF($E196:K196,"µ")+COUNTIF($E196:K196,1)-1,INDEX(Roadmap!$D:$K,MATCH($E196,Roadmap!$D:$D,0)-1+COUNTIF($E196:K196,"u")+COUNTIF($E196:K196,"t")+COUNTIF($E196:K196,"¶")+COUNTIF($E196:K196,"²")+COUNTIF($E196:K196,"µ")+COUNTIF($E196:K196,1),ColDescriptionCourte)),""),
  "")),"")</f>
        <v/>
      </c>
      <c r="M196" s="40" t="str">
        <f ca="1">IFERROR(IF(AND(
  INDEX(Roadmap!$D:$K,MATCH($E196,Roadmap!$D:$D,0)+COUNTIF($E196:L196,"u")+COUNTIF($E196:L196,"t")+COUNTIF($E196:L196,"¶")+COUNTIF($E196:L196,"²")+COUNTIF($E196:L196,"µ")+COUNTIF($E196:L196,1),ColLivraison)=M$6,
  VLOOKUP($E196,INDIRECT("tri!"&amp; CHAR(64+ C0Col) &amp;":"&amp; CHAR(65+C0Col)),2,FALSE)&gt;COUNTIF($E196:L196,"u")+COUNTIF($E196:L196,"t")+COUNTIF($E196:L196,"¶")+COUNTIF($E196:L196,"²")+COUNTIF($E196:L196,"µ")+COUNTIF($E196:L196,1)),
HYPERLINK("#Roadmap!C"&amp; MATCH($E196,Roadmap!$D:$D,0)+COUNTIF($E196:L196,"u")+COUNTIF($E196:L196,"t"),
     INDEX(Roadmap!$D:$K,MATCH($E196,Roadmap!$D:$D,0)+COUNTIF($E196:L196,"u")+COUNTIF($E196:L196,"t")+COUNTIF($E196:L196,"¶")+COUNTIF($E196:L196,"²")+COUNTIF($E196:L196,"µ")+COUNTIF($E196:L196,1),ColTypeEcheance)),
  IF(LEN(L196)=1,
  IF(LEN(INDEX(Roadmap!$D:$K,MATCH($E196,Roadmap!$D:$D,0)-1+COUNTIF($E196:L196,"u")+COUNTIF($E196:L196,"t")+COUNTIF($E196:L196,"¶")+COUNTIF($E196:L196,"²")+COUNTIF($E196:L196,"µ")+COUNTIF($E196:L196,1),ColDescriptionCourte))&gt;1,
HYPERLINK("#Roadmap!C"&amp; MATCH($E196,Roadmap!$D:$D,0)+COUNTIF($E196:L196,"u")+COUNTIF($E196:L196,"t")+COUNTIF($E196:L196,"¶")+COUNTIF($E196:L196,"²")+COUNTIF($E196:L196,"µ")+COUNTIF($E196:L196,1)-1,INDEX(Roadmap!$D:$K,MATCH($E196,Roadmap!$D:$D,0)-1+COUNTIF($E196:L196,"u")+COUNTIF($E196:L196,"t")+COUNTIF($E196:L196,"¶")+COUNTIF($E196:L196,"²")+COUNTIF($E196:L196,"µ")+COUNTIF($E196:L196,1),ColDescriptionCourte)),""),
  "")),"")</f>
        <v/>
      </c>
      <c r="N196" s="40" t="str">
        <f ca="1">IFERROR(IF(AND(
  INDEX(Roadmap!$D:$K,MATCH($E196,Roadmap!$D:$D,0)+COUNTIF($E196:M196,"u")+COUNTIF($E196:M196,"t")+COUNTIF($E196:M196,"¶")+COUNTIF($E196:M196,"²")+COUNTIF($E196:M196,"µ")+COUNTIF($E196:M196,1),ColLivraison)=N$6,
  VLOOKUP($E196,INDIRECT("tri!"&amp; CHAR(64+ C0Col) &amp;":"&amp; CHAR(65+C0Col)),2,FALSE)&gt;COUNTIF($E196:M196,"u")+COUNTIF($E196:M196,"t")+COUNTIF($E196:M196,"¶")+COUNTIF($E196:M196,"²")+COUNTIF($E196:M196,"µ")+COUNTIF($E196:M196,1)),
HYPERLINK("#Roadmap!C"&amp; MATCH($E196,Roadmap!$D:$D,0)+COUNTIF($E196:M196,"u")+COUNTIF($E196:M196,"t"),
     INDEX(Roadmap!$D:$K,MATCH($E196,Roadmap!$D:$D,0)+COUNTIF($E196:M196,"u")+COUNTIF($E196:M196,"t")+COUNTIF($E196:M196,"¶")+COUNTIF($E196:M196,"²")+COUNTIF($E196:M196,"µ")+COUNTIF($E196:M196,1),ColTypeEcheance)),
  IF(LEN(M196)=1,
  IF(LEN(INDEX(Roadmap!$D:$K,MATCH($E196,Roadmap!$D:$D,0)-1+COUNTIF($E196:M196,"u")+COUNTIF($E196:M196,"t")+COUNTIF($E196:M196,"¶")+COUNTIF($E196:M196,"²")+COUNTIF($E196:M196,"µ")+COUNTIF($E196:M196,1),ColDescriptionCourte))&gt;1,
HYPERLINK("#Roadmap!C"&amp; MATCH($E196,Roadmap!$D:$D,0)+COUNTIF($E196:M196,"u")+COUNTIF($E196:M196,"t")+COUNTIF($E196:M196,"¶")+COUNTIF($E196:M196,"²")+COUNTIF($E196:M196,"µ")+COUNTIF($E196:M196,1)-1,INDEX(Roadmap!$D:$K,MATCH($E196,Roadmap!$D:$D,0)-1+COUNTIF($E196:M196,"u")+COUNTIF($E196:M196,"t")+COUNTIF($E196:M196,"¶")+COUNTIF($E196:M196,"²")+COUNTIF($E196:M196,"µ")+COUNTIF($E196:M196,1),ColDescriptionCourte)),""),
  "")),"")</f>
        <v/>
      </c>
      <c r="O196" s="40" t="str">
        <f ca="1">IFERROR(IF(AND(
  INDEX(Roadmap!$D:$K,MATCH($E196,Roadmap!$D:$D,0)+COUNTIF($E196:N196,"u")+COUNTIF($E196:N196,"t")+COUNTIF($E196:N196,"¶")+COUNTIF($E196:N196,"²")+COUNTIF($E196:N196,"µ")+COUNTIF($E196:N196,1),ColLivraison)=O$6,
  VLOOKUP($E196,INDIRECT("tri!"&amp; CHAR(64+ C0Col) &amp;":"&amp; CHAR(65+C0Col)),2,FALSE)&gt;COUNTIF($E196:N196,"u")+COUNTIF($E196:N196,"t")+COUNTIF($E196:N196,"¶")+COUNTIF($E196:N196,"²")+COUNTIF($E196:N196,"µ")+COUNTIF($E196:N196,1)),
HYPERLINK("#Roadmap!C"&amp; MATCH($E196,Roadmap!$D:$D,0)+COUNTIF($E196:N196,"u")+COUNTIF($E196:N196,"t"),
     INDEX(Roadmap!$D:$K,MATCH($E196,Roadmap!$D:$D,0)+COUNTIF($E196:N196,"u")+COUNTIF($E196:N196,"t")+COUNTIF($E196:N196,"¶")+COUNTIF($E196:N196,"²")+COUNTIF($E196:N196,"µ")+COUNTIF($E196:N196,1),ColTypeEcheance)),
  IF(LEN(N196)=1,
  IF(LEN(INDEX(Roadmap!$D:$K,MATCH($E196,Roadmap!$D:$D,0)-1+COUNTIF($E196:N196,"u")+COUNTIF($E196:N196,"t")+COUNTIF($E196:N196,"¶")+COUNTIF($E196:N196,"²")+COUNTIF($E196:N196,"µ")+COUNTIF($E196:N196,1),ColDescriptionCourte))&gt;1,
HYPERLINK("#Roadmap!C"&amp; MATCH($E196,Roadmap!$D:$D,0)+COUNTIF($E196:N196,"u")+COUNTIF($E196:N196,"t")+COUNTIF($E196:N196,"¶")+COUNTIF($E196:N196,"²")+COUNTIF($E196:N196,"µ")+COUNTIF($E196:N196,1)-1,INDEX(Roadmap!$D:$K,MATCH($E196,Roadmap!$D:$D,0)-1+COUNTIF($E196:N196,"u")+COUNTIF($E196:N196,"t")+COUNTIF($E196:N196,"¶")+COUNTIF($E196:N196,"²")+COUNTIF($E196:N196,"µ")+COUNTIF($E196:N196,1),ColDescriptionCourte)),""),
  "")),"")</f>
        <v/>
      </c>
      <c r="P196" s="40" t="str">
        <f ca="1">IFERROR(IF(AND(
  INDEX(Roadmap!$D:$K,MATCH($E196,Roadmap!$D:$D,0)+COUNTIF($E196:O196,"u")+COUNTIF($E196:O196,"t")+COUNTIF($E196:O196,"¶")+COUNTIF($E196:O196,"²")+COUNTIF($E196:O196,"µ")+COUNTIF($E196:O196,1),ColLivraison)=P$6,
  VLOOKUP($E196,INDIRECT("tri!"&amp; CHAR(64+ C0Col) &amp;":"&amp; CHAR(65+C0Col)),2,FALSE)&gt;COUNTIF($E196:O196,"u")+COUNTIF($E196:O196,"t")+COUNTIF($E196:O196,"¶")+COUNTIF($E196:O196,"²")+COUNTIF($E196:O196,"µ")+COUNTIF($E196:O196,1)),
HYPERLINK("#Roadmap!C"&amp; MATCH($E196,Roadmap!$D:$D,0)+COUNTIF($E196:O196,"u")+COUNTIF($E196:O196,"t"),
     INDEX(Roadmap!$D:$K,MATCH($E196,Roadmap!$D:$D,0)+COUNTIF($E196:O196,"u")+COUNTIF($E196:O196,"t")+COUNTIF($E196:O196,"¶")+COUNTIF($E196:O196,"²")+COUNTIF($E196:O196,"µ")+COUNTIF($E196:O196,1),ColTypeEcheance)),
  IF(LEN(O196)=1,
  IF(LEN(INDEX(Roadmap!$D:$K,MATCH($E196,Roadmap!$D:$D,0)-1+COUNTIF($E196:O196,"u")+COUNTIF($E196:O196,"t")+COUNTIF($E196:O196,"¶")+COUNTIF($E196:O196,"²")+COUNTIF($E196:O196,"µ")+COUNTIF($E196:O196,1),ColDescriptionCourte))&gt;1,
HYPERLINK("#Roadmap!C"&amp; MATCH($E196,Roadmap!$D:$D,0)+COUNTIF($E196:O196,"u")+COUNTIF($E196:O196,"t")+COUNTIF($E196:O196,"¶")+COUNTIF($E196:O196,"²")+COUNTIF($E196:O196,"µ")+COUNTIF($E196:O196,1)-1,INDEX(Roadmap!$D:$K,MATCH($E196,Roadmap!$D:$D,0)-1+COUNTIF($E196:O196,"u")+COUNTIF($E196:O196,"t")+COUNTIF($E196:O196,"¶")+COUNTIF($E196:O196,"²")+COUNTIF($E196:O196,"µ")+COUNTIF($E196:O196,1),ColDescriptionCourte)),""),
  "")),"")</f>
        <v/>
      </c>
      <c r="Q196" s="40" t="str">
        <f ca="1">IFERROR(IF(AND(
  INDEX(Roadmap!$D:$K,MATCH($E196,Roadmap!$D:$D,0)+COUNTIF($E196:P196,"u")+COUNTIF($E196:P196,"t")+COUNTIF($E196:P196,"¶")+COUNTIF($E196:P196,"²")+COUNTIF($E196:P196,"µ")+COUNTIF($E196:P196,1),ColLivraison)=Q$6,
  VLOOKUP($E196,INDIRECT("tri!"&amp; CHAR(64+ C0Col) &amp;":"&amp; CHAR(65+C0Col)),2,FALSE)&gt;COUNTIF($E196:P196,"u")+COUNTIF($E196:P196,"t")+COUNTIF($E196:P196,"¶")+COUNTIF($E196:P196,"²")+COUNTIF($E196:P196,"µ")+COUNTIF($E196:P196,1)),
HYPERLINK("#Roadmap!C"&amp; MATCH($E196,Roadmap!$D:$D,0)+COUNTIF($E196:P196,"u")+COUNTIF($E196:P196,"t"),
     INDEX(Roadmap!$D:$K,MATCH($E196,Roadmap!$D:$D,0)+COUNTIF($E196:P196,"u")+COUNTIF($E196:P196,"t")+COUNTIF($E196:P196,"¶")+COUNTIF($E196:P196,"²")+COUNTIF($E196:P196,"µ")+COUNTIF($E196:P196,1),ColTypeEcheance)),
  IF(LEN(P196)=1,
  IF(LEN(INDEX(Roadmap!$D:$K,MATCH($E196,Roadmap!$D:$D,0)-1+COUNTIF($E196:P196,"u")+COUNTIF($E196:P196,"t")+COUNTIF($E196:P196,"¶")+COUNTIF($E196:P196,"²")+COUNTIF($E196:P196,"µ")+COUNTIF($E196:P196,1),ColDescriptionCourte))&gt;1,
HYPERLINK("#Roadmap!C"&amp; MATCH($E196,Roadmap!$D:$D,0)+COUNTIF($E196:P196,"u")+COUNTIF($E196:P196,"t")+COUNTIF($E196:P196,"¶")+COUNTIF($E196:P196,"²")+COUNTIF($E196:P196,"µ")+COUNTIF($E196:P196,1)-1,INDEX(Roadmap!$D:$K,MATCH($E196,Roadmap!$D:$D,0)-1+COUNTIF($E196:P196,"u")+COUNTIF($E196:P196,"t")+COUNTIF($E196:P196,"¶")+COUNTIF($E196:P196,"²")+COUNTIF($E196:P196,"µ")+COUNTIF($E196:P196,1),ColDescriptionCourte)),""),
  "")),"")</f>
        <v/>
      </c>
      <c r="R196" s="40" t="str">
        <f ca="1">IFERROR(IF(AND(
  INDEX(Roadmap!$D:$K,MATCH($E196,Roadmap!$D:$D,0)+COUNTIF($E196:Q196,"u")+COUNTIF($E196:Q196,"t")+COUNTIF($E196:Q196,"¶")+COUNTIF($E196:Q196,"²")+COUNTIF($E196:Q196,"µ")+COUNTIF($E196:Q196,1),ColLivraison)=R$6,
  VLOOKUP($E196,INDIRECT("tri!"&amp; CHAR(64+ C0Col) &amp;":"&amp; CHAR(65+C0Col)),2,FALSE)&gt;COUNTIF($E196:Q196,"u")+COUNTIF($E196:Q196,"t")+COUNTIF($E196:Q196,"¶")+COUNTIF($E196:Q196,"²")+COUNTIF($E196:Q196,"µ")+COUNTIF($E196:Q196,1)),
HYPERLINK("#Roadmap!C"&amp; MATCH($E196,Roadmap!$D:$D,0)+COUNTIF($E196:Q196,"u")+COUNTIF($E196:Q196,"t"),
     INDEX(Roadmap!$D:$K,MATCH($E196,Roadmap!$D:$D,0)+COUNTIF($E196:Q196,"u")+COUNTIF($E196:Q196,"t")+COUNTIF($E196:Q196,"¶")+COUNTIF($E196:Q196,"²")+COUNTIF($E196:Q196,"µ")+COUNTIF($E196:Q196,1),ColTypeEcheance)),
  IF(LEN(Q196)=1,
  IF(LEN(INDEX(Roadmap!$D:$K,MATCH($E196,Roadmap!$D:$D,0)-1+COUNTIF($E196:Q196,"u")+COUNTIF($E196:Q196,"t")+COUNTIF($E196:Q196,"¶")+COUNTIF($E196:Q196,"²")+COUNTIF($E196:Q196,"µ")+COUNTIF($E196:Q196,1),ColDescriptionCourte))&gt;1,
HYPERLINK("#Roadmap!C"&amp; MATCH($E196,Roadmap!$D:$D,0)+COUNTIF($E196:Q196,"u")+COUNTIF($E196:Q196,"t")+COUNTIF($E196:Q196,"¶")+COUNTIF($E196:Q196,"²")+COUNTIF($E196:Q196,"µ")+COUNTIF($E196:Q196,1)-1,INDEX(Roadmap!$D:$K,MATCH($E196,Roadmap!$D:$D,0)-1+COUNTIF($E196:Q196,"u")+COUNTIF($E196:Q196,"t")+COUNTIF($E196:Q196,"¶")+COUNTIF($E196:Q196,"²")+COUNTIF($E196:Q196,"µ")+COUNTIF($E196:Q196,1),ColDescriptionCourte)),""),
  "")),"")</f>
        <v/>
      </c>
      <c r="S196" s="40" t="str">
        <f ca="1">IFERROR(IF(AND(
  INDEX(Roadmap!$D:$K,MATCH($E196,Roadmap!$D:$D,0)+COUNTIF($E196:R196,"u")+COUNTIF($E196:R196,"t")+COUNTIF($E196:R196,"¶")+COUNTIF($E196:R196,"²")+COUNTIF($E196:R196,"µ")+COUNTIF($E196:R196,1),ColLivraison)=S$6,
  VLOOKUP($E196,INDIRECT("tri!"&amp; CHAR(64+ C0Col) &amp;":"&amp; CHAR(65+C0Col)),2,FALSE)&gt;COUNTIF($E196:R196,"u")+COUNTIF($E196:R196,"t")+COUNTIF($E196:R196,"¶")+COUNTIF($E196:R196,"²")+COUNTIF($E196:R196,"µ")+COUNTIF($E196:R196,1)),
HYPERLINK("#Roadmap!C"&amp; MATCH($E196,Roadmap!$D:$D,0)+COUNTIF($E196:R196,"u")+COUNTIF($E196:R196,"t"),
     INDEX(Roadmap!$D:$K,MATCH($E196,Roadmap!$D:$D,0)+COUNTIF($E196:R196,"u")+COUNTIF($E196:R196,"t")+COUNTIF($E196:R196,"¶")+COUNTIF($E196:R196,"²")+COUNTIF($E196:R196,"µ")+COUNTIF($E196:R196,1),ColTypeEcheance)),
  IF(LEN(R196)=1,
  IF(LEN(INDEX(Roadmap!$D:$K,MATCH($E196,Roadmap!$D:$D,0)-1+COUNTIF($E196:R196,"u")+COUNTIF($E196:R196,"t")+COUNTIF($E196:R196,"¶")+COUNTIF($E196:R196,"²")+COUNTIF($E196:R196,"µ")+COUNTIF($E196:R196,1),ColDescriptionCourte))&gt;1,
HYPERLINK("#Roadmap!C"&amp; MATCH($E196,Roadmap!$D:$D,0)+COUNTIF($E196:R196,"u")+COUNTIF($E196:R196,"t")+COUNTIF($E196:R196,"¶")+COUNTIF($E196:R196,"²")+COUNTIF($E196:R196,"µ")+COUNTIF($E196:R196,1)-1,INDEX(Roadmap!$D:$K,MATCH($E196,Roadmap!$D:$D,0)-1+COUNTIF($E196:R196,"u")+COUNTIF($E196:R196,"t")+COUNTIF($E196:R196,"¶")+COUNTIF($E196:R196,"²")+COUNTIF($E196:R196,"µ")+COUNTIF($E196:R196,1),ColDescriptionCourte)),""),
  "")),"")</f>
        <v/>
      </c>
      <c r="T196" s="40" t="str">
        <f ca="1">IFERROR(IF(AND(
  INDEX(Roadmap!$D:$K,MATCH($E196,Roadmap!$D:$D,0)+COUNTIF($E196:S196,"u")+COUNTIF($E196:S196,"t")+COUNTIF($E196:S196,"¶")+COUNTIF($E196:S196,"²")+COUNTIF($E196:S196,"µ")+COUNTIF($E196:S196,1),ColLivraison)=T$6,
  VLOOKUP($E196,INDIRECT("tri!"&amp; CHAR(64+ C0Col) &amp;":"&amp; CHAR(65+C0Col)),2,FALSE)&gt;COUNTIF($E196:S196,"u")+COUNTIF($E196:S196,"t")+COUNTIF($E196:S196,"¶")+COUNTIF($E196:S196,"²")+COUNTIF($E196:S196,"µ")+COUNTIF($E196:S196,1)),
HYPERLINK("#Roadmap!C"&amp; MATCH($E196,Roadmap!$D:$D,0)+COUNTIF($E196:S196,"u")+COUNTIF($E196:S196,"t"),
     INDEX(Roadmap!$D:$K,MATCH($E196,Roadmap!$D:$D,0)+COUNTIF($E196:S196,"u")+COUNTIF($E196:S196,"t")+COUNTIF($E196:S196,"¶")+COUNTIF($E196:S196,"²")+COUNTIF($E196:S196,"µ")+COUNTIF($E196:S196,1),ColTypeEcheance)),
  IF(LEN(S196)=1,
  IF(LEN(INDEX(Roadmap!$D:$K,MATCH($E196,Roadmap!$D:$D,0)-1+COUNTIF($E196:S196,"u")+COUNTIF($E196:S196,"t")+COUNTIF($E196:S196,"¶")+COUNTIF($E196:S196,"²")+COUNTIF($E196:S196,"µ")+COUNTIF($E196:S196,1),ColDescriptionCourte))&gt;1,
HYPERLINK("#Roadmap!C"&amp; MATCH($E196,Roadmap!$D:$D,0)+COUNTIF($E196:S196,"u")+COUNTIF($E196:S196,"t")+COUNTIF($E196:S196,"¶")+COUNTIF($E196:S196,"²")+COUNTIF($E196:S196,"µ")+COUNTIF($E196:S196,1)-1,INDEX(Roadmap!$D:$K,MATCH($E196,Roadmap!$D:$D,0)-1+COUNTIF($E196:S196,"u")+COUNTIF($E196:S196,"t")+COUNTIF($E196:S196,"¶")+COUNTIF($E196:S196,"²")+COUNTIF($E196:S196,"µ")+COUNTIF($E196:S196,1),ColDescriptionCourte)),""),
  "")),"")</f>
        <v/>
      </c>
      <c r="U196" s="40" t="str">
        <f ca="1">IFERROR(IF(AND(
  INDEX(Roadmap!$D:$K,MATCH($E196,Roadmap!$D:$D,0)+COUNTIF($E196:T196,"u")+COUNTIF($E196:T196,"t")+COUNTIF($E196:T196,"¶")+COUNTIF($E196:T196,"²")+COUNTIF($E196:T196,"µ")+COUNTIF($E196:T196,1),ColLivraison)=U$6,
  VLOOKUP($E196,INDIRECT("tri!"&amp; CHAR(64+ C0Col) &amp;":"&amp; CHAR(65+C0Col)),2,FALSE)&gt;COUNTIF($E196:T196,"u")+COUNTIF($E196:T196,"t")+COUNTIF($E196:T196,"¶")+COUNTIF($E196:T196,"²")+COUNTIF($E196:T196,"µ")+COUNTIF($E196:T196,1)),
HYPERLINK("#Roadmap!C"&amp; MATCH($E196,Roadmap!$D:$D,0)+COUNTIF($E196:T196,"u")+COUNTIF($E196:T196,"t"),
     INDEX(Roadmap!$D:$K,MATCH($E196,Roadmap!$D:$D,0)+COUNTIF($E196:T196,"u")+COUNTIF($E196:T196,"t")+COUNTIF($E196:T196,"¶")+COUNTIF($E196:T196,"²")+COUNTIF($E196:T196,"µ")+COUNTIF($E196:T196,1),ColTypeEcheance)),
  IF(LEN(T196)=1,
  IF(LEN(INDEX(Roadmap!$D:$K,MATCH($E196,Roadmap!$D:$D,0)-1+COUNTIF($E196:T196,"u")+COUNTIF($E196:T196,"t")+COUNTIF($E196:T196,"¶")+COUNTIF($E196:T196,"²")+COUNTIF($E196:T196,"µ")+COUNTIF($E196:T196,1),ColDescriptionCourte))&gt;1,
HYPERLINK("#Roadmap!C"&amp; MATCH($E196,Roadmap!$D:$D,0)+COUNTIF($E196:T196,"u")+COUNTIF($E196:T196,"t")+COUNTIF($E196:T196,"¶")+COUNTIF($E196:T196,"²")+COUNTIF($E196:T196,"µ")+COUNTIF($E196:T196,1)-1,INDEX(Roadmap!$D:$K,MATCH($E196,Roadmap!$D:$D,0)-1+COUNTIF($E196:T196,"u")+COUNTIF($E196:T196,"t")+COUNTIF($E196:T196,"¶")+COUNTIF($E196:T196,"²")+COUNTIF($E196:T196,"µ")+COUNTIF($E196:T196,1),ColDescriptionCourte)),""),
  "")),"")</f>
        <v/>
      </c>
      <c r="V196" s="40" t="str">
        <f ca="1">IFERROR(IF(AND(
  INDEX(Roadmap!$D:$K,MATCH($E196,Roadmap!$D:$D,0)+COUNTIF($E196:U196,"u")+COUNTIF($E196:U196,"t")+COUNTIF($E196:U196,"¶")+COUNTIF($E196:U196,"²")+COUNTIF($E196:U196,"µ")+COUNTIF($E196:U196,1),ColLivraison)=V$6,
  VLOOKUP($E196,INDIRECT("tri!"&amp; CHAR(64+ C0Col) &amp;":"&amp; CHAR(65+C0Col)),2,FALSE)&gt;COUNTIF($E196:U196,"u")+COUNTIF($E196:U196,"t")+COUNTIF($E196:U196,"¶")+COUNTIF($E196:U196,"²")+COUNTIF($E196:U196,"µ")+COUNTIF($E196:U196,1)),
HYPERLINK("#Roadmap!C"&amp; MATCH($E196,Roadmap!$D:$D,0)+COUNTIF($E196:U196,"u")+COUNTIF($E196:U196,"t"),
     INDEX(Roadmap!$D:$K,MATCH($E196,Roadmap!$D:$D,0)+COUNTIF($E196:U196,"u")+COUNTIF($E196:U196,"t")+COUNTIF($E196:U196,"¶")+COUNTIF($E196:U196,"²")+COUNTIF($E196:U196,"µ")+COUNTIF($E196:U196,1),ColTypeEcheance)),
  IF(LEN(U196)=1,
  IF(LEN(INDEX(Roadmap!$D:$K,MATCH($E196,Roadmap!$D:$D,0)-1+COUNTIF($E196:U196,"u")+COUNTIF($E196:U196,"t")+COUNTIF($E196:U196,"¶")+COUNTIF($E196:U196,"²")+COUNTIF($E196:U196,"µ")+COUNTIF($E196:U196,1),ColDescriptionCourte))&gt;1,
HYPERLINK("#Roadmap!C"&amp; MATCH($E196,Roadmap!$D:$D,0)+COUNTIF($E196:U196,"u")+COUNTIF($E196:U196,"t")+COUNTIF($E196:U196,"¶")+COUNTIF($E196:U196,"²")+COUNTIF($E196:U196,"µ")+COUNTIF($E196:U196,1)-1,INDEX(Roadmap!$D:$K,MATCH($E196,Roadmap!$D:$D,0)-1+COUNTIF($E196:U196,"u")+COUNTIF($E196:U196,"t")+COUNTIF($E196:U196,"¶")+COUNTIF($E196:U196,"²")+COUNTIF($E196:U196,"µ")+COUNTIF($E196:U196,1),ColDescriptionCourte)),""),
  "")),"")</f>
        <v/>
      </c>
      <c r="W196" s="40" t="str">
        <f ca="1">IFERROR(IF(AND(
  INDEX(Roadmap!$D:$K,MATCH($E196,Roadmap!$D:$D,0)+COUNTIF($E196:V196,"u")+COUNTIF($E196:V196,"t")+COUNTIF($E196:V196,"¶")+COUNTIF($E196:V196,"²")+COUNTIF($E196:V196,"µ")+COUNTIF($E196:V196,1),ColLivraison)=W$6,
  VLOOKUP($E196,INDIRECT("tri!"&amp; CHAR(64+ C0Col) &amp;":"&amp; CHAR(65+C0Col)),2,FALSE)&gt;COUNTIF($E196:V196,"u")+COUNTIF($E196:V196,"t")+COUNTIF($E196:V196,"¶")+COUNTIF($E196:V196,"²")+COUNTIF($E196:V196,"µ")+COUNTIF($E196:V196,1)),
HYPERLINK("#Roadmap!C"&amp; MATCH($E196,Roadmap!$D:$D,0)+COUNTIF($E196:V196,"u")+COUNTIF($E196:V196,"t"),
     INDEX(Roadmap!$D:$K,MATCH($E196,Roadmap!$D:$D,0)+COUNTIF($E196:V196,"u")+COUNTIF($E196:V196,"t")+COUNTIF($E196:V196,"¶")+COUNTIF($E196:V196,"²")+COUNTIF($E196:V196,"µ")+COUNTIF($E196:V196,1),ColTypeEcheance)),
  IF(LEN(V196)=1,
  IF(LEN(INDEX(Roadmap!$D:$K,MATCH($E196,Roadmap!$D:$D,0)-1+COUNTIF($E196:V196,"u")+COUNTIF($E196:V196,"t")+COUNTIF($E196:V196,"¶")+COUNTIF($E196:V196,"²")+COUNTIF($E196:V196,"µ")+COUNTIF($E196:V196,1),ColDescriptionCourte))&gt;1,
HYPERLINK("#Roadmap!C"&amp; MATCH($E196,Roadmap!$D:$D,0)+COUNTIF($E196:V196,"u")+COUNTIF($E196:V196,"t")+COUNTIF($E196:V196,"¶")+COUNTIF($E196:V196,"²")+COUNTIF($E196:V196,"µ")+COUNTIF($E196:V196,1)-1,INDEX(Roadmap!$D:$K,MATCH($E196,Roadmap!$D:$D,0)-1+COUNTIF($E196:V196,"u")+COUNTIF($E196:V196,"t")+COUNTIF($E196:V196,"¶")+COUNTIF($E196:V196,"²")+COUNTIF($E196:V196,"µ")+COUNTIF($E196:V196,1),ColDescriptionCourte)),""),
  "")),"")</f>
        <v/>
      </c>
      <c r="X196" s="40" t="str">
        <f ca="1">IFERROR(IF(AND(
  INDEX(Roadmap!$D:$K,MATCH($E196,Roadmap!$D:$D,0)+COUNTIF($E196:W196,"u")+COUNTIF($E196:W196,"t")+COUNTIF($E196:W196,"¶")+COUNTIF($E196:W196,"²")+COUNTIF($E196:W196,"µ")+COUNTIF($E196:W196,1),ColLivraison)=X$6,
  VLOOKUP($E196,INDIRECT("tri!"&amp; CHAR(64+ C0Col) &amp;":"&amp; CHAR(65+C0Col)),2,FALSE)&gt;COUNTIF($E196:W196,"u")+COUNTIF($E196:W196,"t")+COUNTIF($E196:W196,"¶")+COUNTIF($E196:W196,"²")+COUNTIF($E196:W196,"µ")+COUNTIF($E196:W196,1)),
HYPERLINK("#Roadmap!C"&amp; MATCH($E196,Roadmap!$D:$D,0)+COUNTIF($E196:W196,"u")+COUNTIF($E196:W196,"t"),
     INDEX(Roadmap!$D:$K,MATCH($E196,Roadmap!$D:$D,0)+COUNTIF($E196:W196,"u")+COUNTIF($E196:W196,"t")+COUNTIF($E196:W196,"¶")+COUNTIF($E196:W196,"²")+COUNTIF($E196:W196,"µ")+COUNTIF($E196:W196,1),ColTypeEcheance)),
  IF(LEN(W196)=1,
  IF(LEN(INDEX(Roadmap!$D:$K,MATCH($E196,Roadmap!$D:$D,0)-1+COUNTIF($E196:W196,"u")+COUNTIF($E196:W196,"t")+COUNTIF($E196:W196,"¶")+COUNTIF($E196:W196,"²")+COUNTIF($E196:W196,"µ")+COUNTIF($E196:W196,1),ColDescriptionCourte))&gt;1,
HYPERLINK("#Roadmap!C"&amp; MATCH($E196,Roadmap!$D:$D,0)+COUNTIF($E196:W196,"u")+COUNTIF($E196:W196,"t")+COUNTIF($E196:W196,"¶")+COUNTIF($E196:W196,"²")+COUNTIF($E196:W196,"µ")+COUNTIF($E196:W196,1)-1,INDEX(Roadmap!$D:$K,MATCH($E196,Roadmap!$D:$D,0)-1+COUNTIF($E196:W196,"u")+COUNTIF($E196:W196,"t")+COUNTIF($E196:W196,"¶")+COUNTIF($E196:W196,"²")+COUNTIF($E196:W196,"µ")+COUNTIF($E196:W196,1),ColDescriptionCourte)),""),
  "")),"")</f>
        <v/>
      </c>
      <c r="Y196" s="40" t="str">
        <f ca="1">IFERROR(IF(AND(
  INDEX(Roadmap!$D:$K,MATCH($E196,Roadmap!$D:$D,0)+COUNTIF($E196:X196,"u")+COUNTIF($E196:X196,"t")+COUNTIF($E196:X196,"¶")+COUNTIF($E196:X196,"²")+COUNTIF($E196:X196,"µ")+COUNTIF($E196:X196,1),ColLivraison)=Y$6,
  VLOOKUP($E196,INDIRECT("tri!"&amp; CHAR(64+ C0Col) &amp;":"&amp; CHAR(65+C0Col)),2,FALSE)&gt;COUNTIF($E196:X196,"u")+COUNTIF($E196:X196,"t")+COUNTIF($E196:X196,"¶")+COUNTIF($E196:X196,"²")+COUNTIF($E196:X196,"µ")+COUNTIF($E196:X196,1)),
HYPERLINK("#Roadmap!C"&amp; MATCH($E196,Roadmap!$D:$D,0)+COUNTIF($E196:X196,"u")+COUNTIF($E196:X196,"t"),
     INDEX(Roadmap!$D:$K,MATCH($E196,Roadmap!$D:$D,0)+COUNTIF($E196:X196,"u")+COUNTIF($E196:X196,"t")+COUNTIF($E196:X196,"¶")+COUNTIF($E196:X196,"²")+COUNTIF($E196:X196,"µ")+COUNTIF($E196:X196,1),ColTypeEcheance)),
  IF(LEN(X196)=1,
  IF(LEN(INDEX(Roadmap!$D:$K,MATCH($E196,Roadmap!$D:$D,0)-1+COUNTIF($E196:X196,"u")+COUNTIF($E196:X196,"t")+COUNTIF($E196:X196,"¶")+COUNTIF($E196:X196,"²")+COUNTIF($E196:X196,"µ")+COUNTIF($E196:X196,1),ColDescriptionCourte))&gt;1,
HYPERLINK("#Roadmap!C"&amp; MATCH($E196,Roadmap!$D:$D,0)+COUNTIF($E196:X196,"u")+COUNTIF($E196:X196,"t")+COUNTIF($E196:X196,"¶")+COUNTIF($E196:X196,"²")+COUNTIF($E196:X196,"µ")+COUNTIF($E196:X196,1)-1,INDEX(Roadmap!$D:$K,MATCH($E196,Roadmap!$D:$D,0)-1+COUNTIF($E196:X196,"u")+COUNTIF($E196:X196,"t")+COUNTIF($E196:X196,"¶")+COUNTIF($E196:X196,"²")+COUNTIF($E196:X196,"µ")+COUNTIF($E196:X196,1),ColDescriptionCourte)),""),
  "")),"")</f>
        <v/>
      </c>
      <c r="Z196" s="40" t="str">
        <f ca="1">IFERROR(IF(AND(
  INDEX(Roadmap!$D:$K,MATCH($E196,Roadmap!$D:$D,0)+COUNTIF($E196:Y196,"u")+COUNTIF($E196:Y196,"t")+COUNTIF($E196:Y196,"¶")+COUNTIF($E196:Y196,"²")+COUNTIF($E196:Y196,"µ")+COUNTIF($E196:Y196,1),ColLivraison)=Z$6,
  VLOOKUP($E196,INDIRECT("tri!"&amp; CHAR(64+ C0Col) &amp;":"&amp; CHAR(65+C0Col)),2,FALSE)&gt;COUNTIF($E196:Y196,"u")+COUNTIF($E196:Y196,"t")+COUNTIF($E196:Y196,"¶")+COUNTIF($E196:Y196,"²")+COUNTIF($E196:Y196,"µ")+COUNTIF($E196:Y196,1)),
HYPERLINK("#Roadmap!C"&amp; MATCH($E196,Roadmap!$D:$D,0)+COUNTIF($E196:Y196,"u")+COUNTIF($E196:Y196,"t"),
     INDEX(Roadmap!$D:$K,MATCH($E196,Roadmap!$D:$D,0)+COUNTIF($E196:Y196,"u")+COUNTIF($E196:Y196,"t")+COUNTIF($E196:Y196,"¶")+COUNTIF($E196:Y196,"²")+COUNTIF($E196:Y196,"µ")+COUNTIF($E196:Y196,1),ColTypeEcheance)),
  IF(LEN(Y196)=1,
  IF(LEN(INDEX(Roadmap!$D:$K,MATCH($E196,Roadmap!$D:$D,0)-1+COUNTIF($E196:Y196,"u")+COUNTIF($E196:Y196,"t")+COUNTIF($E196:Y196,"¶")+COUNTIF($E196:Y196,"²")+COUNTIF($E196:Y196,"µ")+COUNTIF($E196:Y196,1),ColDescriptionCourte))&gt;1,
HYPERLINK("#Roadmap!C"&amp; MATCH($E196,Roadmap!$D:$D,0)+COUNTIF($E196:Y196,"u")+COUNTIF($E196:Y196,"t")+COUNTIF($E196:Y196,"¶")+COUNTIF($E196:Y196,"²")+COUNTIF($E196:Y196,"µ")+COUNTIF($E196:Y196,1)-1,INDEX(Roadmap!$D:$K,MATCH($E196,Roadmap!$D:$D,0)-1+COUNTIF($E196:Y196,"u")+COUNTIF($E196:Y196,"t")+COUNTIF($E196:Y196,"¶")+COUNTIF($E196:Y196,"²")+COUNTIF($E196:Y196,"µ")+COUNTIF($E196:Y196,1),ColDescriptionCourte)),""),
  "")),"")</f>
        <v/>
      </c>
      <c r="AA196" s="40" t="str">
        <f ca="1">IFERROR(IF(AND(
  INDEX(Roadmap!$D:$K,MATCH($E196,Roadmap!$D:$D,0)+COUNTIF($E196:Z196,"u")+COUNTIF($E196:Z196,"t")+COUNTIF($E196:Z196,"¶")+COUNTIF($E196:Z196,"²")+COUNTIF($E196:Z196,"µ")+COUNTIF($E196:Z196,1),ColLivraison)=AA$6,
  VLOOKUP($E196,INDIRECT("tri!"&amp; CHAR(64+ C0Col) &amp;":"&amp; CHAR(65+C0Col)),2,FALSE)&gt;COUNTIF($E196:Z196,"u")+COUNTIF($E196:Z196,"t")+COUNTIF($E196:Z196,"¶")+COUNTIF($E196:Z196,"²")+COUNTIF($E196:Z196,"µ")+COUNTIF($E196:Z196,1)),
HYPERLINK("#Roadmap!C"&amp; MATCH($E196,Roadmap!$D:$D,0)+COUNTIF($E196:Z196,"u")+COUNTIF($E196:Z196,"t"),
     INDEX(Roadmap!$D:$K,MATCH($E196,Roadmap!$D:$D,0)+COUNTIF($E196:Z196,"u")+COUNTIF($E196:Z196,"t")+COUNTIF($E196:Z196,"¶")+COUNTIF($E196:Z196,"²")+COUNTIF($E196:Z196,"µ")+COUNTIF($E196:Z196,1),ColTypeEcheance)),
  IF(LEN(Z196)=1,
  IF(LEN(INDEX(Roadmap!$D:$K,MATCH($E196,Roadmap!$D:$D,0)-1+COUNTIF($E196:Z196,"u")+COUNTIF($E196:Z196,"t")+COUNTIF($E196:Z196,"¶")+COUNTIF($E196:Z196,"²")+COUNTIF($E196:Z196,"µ")+COUNTIF($E196:Z196,1),ColDescriptionCourte))&gt;1,
HYPERLINK("#Roadmap!C"&amp; MATCH($E196,Roadmap!$D:$D,0)+COUNTIF($E196:Z196,"u")+COUNTIF($E196:Z196,"t")+COUNTIF($E196:Z196,"¶")+COUNTIF($E196:Z196,"²")+COUNTIF($E196:Z196,"µ")+COUNTIF($E196:Z196,1)-1,INDEX(Roadmap!$D:$K,MATCH($E196,Roadmap!$D:$D,0)-1+COUNTIF($E196:Z196,"u")+COUNTIF($E196:Z196,"t")+COUNTIF($E196:Z196,"¶")+COUNTIF($E196:Z196,"²")+COUNTIF($E196:Z196,"µ")+COUNTIF($E196:Z196,1),ColDescriptionCourte)),""),
  "")),"")</f>
        <v/>
      </c>
      <c r="AB196" s="40" t="str">
        <f ca="1">IFERROR(IF(AND(
  INDEX(Roadmap!$D:$K,MATCH($E196,Roadmap!$D:$D,0)+COUNTIF($E196:AA196,"u")+COUNTIF($E196:AA196,"t")+COUNTIF($E196:AA196,"¶")+COUNTIF($E196:AA196,"²")+COUNTIF($E196:AA196,"µ")+COUNTIF($E196:AA196,1),ColLivraison)=AB$6,
  VLOOKUP($E196,INDIRECT("tri!"&amp; CHAR(64+ C0Col) &amp;":"&amp; CHAR(65+C0Col)),2,FALSE)&gt;COUNTIF($E196:AA196,"u")+COUNTIF($E196:AA196,"t")+COUNTIF($E196:AA196,"¶")+COUNTIF($E196:AA196,"²")+COUNTIF($E196:AA196,"µ")+COUNTIF($E196:AA196,1)),
HYPERLINK("#Roadmap!C"&amp; MATCH($E196,Roadmap!$D:$D,0)+COUNTIF($E196:AA196,"u")+COUNTIF($E196:AA196,"t"),
     INDEX(Roadmap!$D:$K,MATCH($E196,Roadmap!$D:$D,0)+COUNTIF($E196:AA196,"u")+COUNTIF($E196:AA196,"t")+COUNTIF($E196:AA196,"¶")+COUNTIF($E196:AA196,"²")+COUNTIF($E196:AA196,"µ")+COUNTIF($E196:AA196,1),ColTypeEcheance)),
  IF(LEN(AA196)=1,
  IF(LEN(INDEX(Roadmap!$D:$K,MATCH($E196,Roadmap!$D:$D,0)-1+COUNTIF($E196:AA196,"u")+COUNTIF($E196:AA196,"t")+COUNTIF($E196:AA196,"¶")+COUNTIF($E196:AA196,"²")+COUNTIF($E196:AA196,"µ")+COUNTIF($E196:AA196,1),ColDescriptionCourte))&gt;1,
HYPERLINK("#Roadmap!C"&amp; MATCH($E196,Roadmap!$D:$D,0)+COUNTIF($E196:AA196,"u")+COUNTIF($E196:AA196,"t")+COUNTIF($E196:AA196,"¶")+COUNTIF($E196:AA196,"²")+COUNTIF($E196:AA196,"µ")+COUNTIF($E196:AA196,1)-1,INDEX(Roadmap!$D:$K,MATCH($E196,Roadmap!$D:$D,0)-1+COUNTIF($E196:AA196,"u")+COUNTIF($E196:AA196,"t")+COUNTIF($E196:AA196,"¶")+COUNTIF($E196:AA196,"²")+COUNTIF($E196:AA196,"µ")+COUNTIF($E196:AA196,1),ColDescriptionCourte)),""),
  "")),"")</f>
        <v/>
      </c>
      <c r="AC196" s="40" t="str">
        <f ca="1">IFERROR(IF(AND(
  INDEX(Roadmap!$D:$K,MATCH($E196,Roadmap!$D:$D,0)+COUNTIF($E196:AB196,"u")+COUNTIF($E196:AB196,"t")+COUNTIF($E196:AB196,"¶")+COUNTIF($E196:AB196,"²")+COUNTIF($E196:AB196,"µ")+COUNTIF($E196:AB196,1),ColLivraison)=AC$6,
  VLOOKUP($E196,INDIRECT("tri!"&amp; CHAR(64+ C0Col) &amp;":"&amp; CHAR(65+C0Col)),2,FALSE)&gt;COUNTIF($E196:AB196,"u")+COUNTIF($E196:AB196,"t")+COUNTIF($E196:AB196,"¶")+COUNTIF($E196:AB196,"²")+COUNTIF($E196:AB196,"µ")+COUNTIF($E196:AB196,1)),
HYPERLINK("#Roadmap!C"&amp; MATCH($E196,Roadmap!$D:$D,0)+COUNTIF($E196:AB196,"u")+COUNTIF($E196:AB196,"t"),
     INDEX(Roadmap!$D:$K,MATCH($E196,Roadmap!$D:$D,0)+COUNTIF($E196:AB196,"u")+COUNTIF($E196:AB196,"t")+COUNTIF($E196:AB196,"¶")+COUNTIF($E196:AB196,"²")+COUNTIF($E196:AB196,"µ")+COUNTIF($E196:AB196,1),ColTypeEcheance)),
  IF(LEN(AB196)=1,
  IF(LEN(INDEX(Roadmap!$D:$K,MATCH($E196,Roadmap!$D:$D,0)-1+COUNTIF($E196:AB196,"u")+COUNTIF($E196:AB196,"t")+COUNTIF($E196:AB196,"¶")+COUNTIF($E196:AB196,"²")+COUNTIF($E196:AB196,"µ")+COUNTIF($E196:AB196,1),ColDescriptionCourte))&gt;1,
HYPERLINK("#Roadmap!C"&amp; MATCH($E196,Roadmap!$D:$D,0)+COUNTIF($E196:AB196,"u")+COUNTIF($E196:AB196,"t")+COUNTIF($E196:AB196,"¶")+COUNTIF($E196:AB196,"²")+COUNTIF($E196:AB196,"µ")+COUNTIF($E196:AB196,1)-1,INDEX(Roadmap!$D:$K,MATCH($E196,Roadmap!$D:$D,0)-1+COUNTIF($E196:AB196,"u")+COUNTIF($E196:AB196,"t")+COUNTIF($E196:AB196,"¶")+COUNTIF($E196:AB196,"²")+COUNTIF($E196:AB196,"µ")+COUNTIF($E196:AB196,1),ColDescriptionCourte)),""),
  "")),"")</f>
        <v/>
      </c>
      <c r="AD196" s="40" t="str">
        <f ca="1">IFERROR(IF(AND(
  INDEX(Roadmap!$D:$K,MATCH($E196,Roadmap!$D:$D,0)+COUNTIF($E196:AC196,"u")+COUNTIF($E196:AC196,"t")+COUNTIF($E196:AC196,"¶")+COUNTIF($E196:AC196,"²")+COUNTIF($E196:AC196,"µ")+COUNTIF($E196:AC196,1),ColLivraison)=AD$6,
  VLOOKUP($E196,INDIRECT("tri!"&amp; CHAR(64+ C0Col) &amp;":"&amp; CHAR(65+C0Col)),2,FALSE)&gt;COUNTIF($E196:AC196,"u")+COUNTIF($E196:AC196,"t")+COUNTIF($E196:AC196,"¶")+COUNTIF($E196:AC196,"²")+COUNTIF($E196:AC196,"µ")+COUNTIF($E196:AC196,1)),
HYPERLINK("#Roadmap!C"&amp; MATCH($E196,Roadmap!$D:$D,0)+COUNTIF($E196:AC196,"u")+COUNTIF($E196:AC196,"t"),
     INDEX(Roadmap!$D:$K,MATCH($E196,Roadmap!$D:$D,0)+COUNTIF($E196:AC196,"u")+COUNTIF($E196:AC196,"t")+COUNTIF($E196:AC196,"¶")+COUNTIF($E196:AC196,"²")+COUNTIF($E196:AC196,"µ")+COUNTIF($E196:AC196,1),ColTypeEcheance)),
  IF(LEN(AC196)=1,
  IF(LEN(INDEX(Roadmap!$D:$K,MATCH($E196,Roadmap!$D:$D,0)-1+COUNTIF($E196:AC196,"u")+COUNTIF($E196:AC196,"t")+COUNTIF($E196:AC196,"¶")+COUNTIF($E196:AC196,"²")+COUNTIF($E196:AC196,"µ")+COUNTIF($E196:AC196,1),ColDescriptionCourte))&gt;1,
HYPERLINK("#Roadmap!C"&amp; MATCH($E196,Roadmap!$D:$D,0)+COUNTIF($E196:AC196,"u")+COUNTIF($E196:AC196,"t")+COUNTIF($E196:AC196,"¶")+COUNTIF($E196:AC196,"²")+COUNTIF($E196:AC196,"µ")+COUNTIF($E196:AC196,1)-1,INDEX(Roadmap!$D:$K,MATCH($E196,Roadmap!$D:$D,0)-1+COUNTIF($E196:AC196,"u")+COUNTIF($E196:AC196,"t")+COUNTIF($E196:AC196,"¶")+COUNTIF($E196:AC196,"²")+COUNTIF($E196:AC196,"µ")+COUNTIF($E196:AC196,1),ColDescriptionCourte)),""),
  "")),"")</f>
        <v/>
      </c>
      <c r="AE196" s="40" t="str">
        <f ca="1">IFERROR(IF(AND(
  INDEX(Roadmap!$D:$K,MATCH($E196,Roadmap!$D:$D,0)+COUNTIF($E196:AD196,"u")+COUNTIF($E196:AD196,"t")+COUNTIF($E196:AD196,"¶")+COUNTIF($E196:AD196,"²")+COUNTIF($E196:AD196,"µ")+COUNTIF($E196:AD196,1),ColLivraison)=AE$6,
  VLOOKUP($E196,INDIRECT("tri!"&amp; CHAR(64+ C0Col) &amp;":"&amp; CHAR(65+C0Col)),2,FALSE)&gt;COUNTIF($E196:AD196,"u")+COUNTIF($E196:AD196,"t")+COUNTIF($E196:AD196,"¶")+COUNTIF($E196:AD196,"²")+COUNTIF($E196:AD196,"µ")+COUNTIF($E196:AD196,1)),
HYPERLINK("#Roadmap!C"&amp; MATCH($E196,Roadmap!$D:$D,0)+COUNTIF($E196:AD196,"u")+COUNTIF($E196:AD196,"t"),
     INDEX(Roadmap!$D:$K,MATCH($E196,Roadmap!$D:$D,0)+COUNTIF($E196:AD196,"u")+COUNTIF($E196:AD196,"t")+COUNTIF($E196:AD196,"¶")+COUNTIF($E196:AD196,"²")+COUNTIF($E196:AD196,"µ")+COUNTIF($E196:AD196,1),ColTypeEcheance)),
  IF(LEN(AD196)=1,
  IF(LEN(INDEX(Roadmap!$D:$K,MATCH($E196,Roadmap!$D:$D,0)-1+COUNTIF($E196:AD196,"u")+COUNTIF($E196:AD196,"t")+COUNTIF($E196:AD196,"¶")+COUNTIF($E196:AD196,"²")+COUNTIF($E196:AD196,"µ")+COUNTIF($E196:AD196,1),ColDescriptionCourte))&gt;1,
HYPERLINK("#Roadmap!C"&amp; MATCH($E196,Roadmap!$D:$D,0)+COUNTIF($E196:AD196,"u")+COUNTIF($E196:AD196,"t")+COUNTIF($E196:AD196,"¶")+COUNTIF($E196:AD196,"²")+COUNTIF($E196:AD196,"µ")+COUNTIF($E196:AD196,1)-1,INDEX(Roadmap!$D:$K,MATCH($E196,Roadmap!$D:$D,0)-1+COUNTIF($E196:AD196,"u")+COUNTIF($E196:AD196,"t")+COUNTIF($E196:AD196,"¶")+COUNTIF($E196:AD196,"²")+COUNTIF($E196:AD196,"µ")+COUNTIF($E196:AD196,1),ColDescriptionCourte)),""),
  "")),"")</f>
        <v/>
      </c>
      <c r="AF196" s="40" t="str">
        <f ca="1">IFERROR(IF(AND(
  INDEX(Roadmap!$D:$K,MATCH($E196,Roadmap!$D:$D,0)+COUNTIF($E196:AE196,"u")+COUNTIF($E196:AE196,"t")+COUNTIF($E196:AE196,"¶")+COUNTIF($E196:AE196,"²")+COUNTIF($E196:AE196,"µ")+COUNTIF($E196:AE196,1),ColLivraison)=AF$6,
  VLOOKUP($E196,INDIRECT("tri!"&amp; CHAR(64+ C0Col) &amp;":"&amp; CHAR(65+C0Col)),2,FALSE)&gt;COUNTIF($E196:AE196,"u")+COUNTIF($E196:AE196,"t")+COUNTIF($E196:AE196,"¶")+COUNTIF($E196:AE196,"²")+COUNTIF($E196:AE196,"µ")+COUNTIF($E196:AE196,1)),
HYPERLINK("#Roadmap!C"&amp; MATCH($E196,Roadmap!$D:$D,0)+COUNTIF($E196:AE196,"u")+COUNTIF($E196:AE196,"t"),
     INDEX(Roadmap!$D:$K,MATCH($E196,Roadmap!$D:$D,0)+COUNTIF($E196:AE196,"u")+COUNTIF($E196:AE196,"t")+COUNTIF($E196:AE196,"¶")+COUNTIF($E196:AE196,"²")+COUNTIF($E196:AE196,"µ")+COUNTIF($E196:AE196,1),ColTypeEcheance)),
  IF(LEN(AE196)=1,
  IF(LEN(INDEX(Roadmap!$D:$K,MATCH($E196,Roadmap!$D:$D,0)-1+COUNTIF($E196:AE196,"u")+COUNTIF($E196:AE196,"t")+COUNTIF($E196:AE196,"¶")+COUNTIF($E196:AE196,"²")+COUNTIF($E196:AE196,"µ")+COUNTIF($E196:AE196,1),ColDescriptionCourte))&gt;1,
HYPERLINK("#Roadmap!C"&amp; MATCH($E196,Roadmap!$D:$D,0)+COUNTIF($E196:AE196,"u")+COUNTIF($E196:AE196,"t")+COUNTIF($E196:AE196,"¶")+COUNTIF($E196:AE196,"²")+COUNTIF($E196:AE196,"µ")+COUNTIF($E196:AE196,1)-1,INDEX(Roadmap!$D:$K,MATCH($E196,Roadmap!$D:$D,0)-1+COUNTIF($E196:AE196,"u")+COUNTIF($E196:AE196,"t")+COUNTIF($E196:AE196,"¶")+COUNTIF($E196:AE196,"²")+COUNTIF($E196:AE196,"µ")+COUNTIF($E196:AE196,1),ColDescriptionCourte)),""),
  "")),"")</f>
        <v/>
      </c>
      <c r="AG196" s="40" t="str">
        <f ca="1">IFERROR(IF(AND(
  INDEX(Roadmap!$D:$K,MATCH($E196,Roadmap!$D:$D,0)+COUNTIF($E196:AF196,"u")+COUNTIF($E196:AF196,"t")+COUNTIF($E196:AF196,"¶")+COUNTIF($E196:AF196,"²")+COUNTIF($E196:AF196,"µ")+COUNTIF($E196:AF196,1),ColLivraison)=AG$6,
  VLOOKUP($E196,INDIRECT("tri!"&amp; CHAR(64+ C0Col) &amp;":"&amp; CHAR(65+C0Col)),2,FALSE)&gt;COUNTIF($E196:AF196,"u")+COUNTIF($E196:AF196,"t")+COUNTIF($E196:AF196,"¶")+COUNTIF($E196:AF196,"²")+COUNTIF($E196:AF196,"µ")+COUNTIF($E196:AF196,1)),
HYPERLINK("#Roadmap!C"&amp; MATCH($E196,Roadmap!$D:$D,0)+COUNTIF($E196:AF196,"u")+COUNTIF($E196:AF196,"t"),
     INDEX(Roadmap!$D:$K,MATCH($E196,Roadmap!$D:$D,0)+COUNTIF($E196:AF196,"u")+COUNTIF($E196:AF196,"t")+COUNTIF($E196:AF196,"¶")+COUNTIF($E196:AF196,"²")+COUNTIF($E196:AF196,"µ")+COUNTIF($E196:AF196,1),ColTypeEcheance)),
  IF(LEN(AF196)=1,
  IF(LEN(INDEX(Roadmap!$D:$K,MATCH($E196,Roadmap!$D:$D,0)-1+COUNTIF($E196:AF196,"u")+COUNTIF($E196:AF196,"t")+COUNTIF($E196:AF196,"¶")+COUNTIF($E196:AF196,"²")+COUNTIF($E196:AF196,"µ")+COUNTIF($E196:AF196,1),ColDescriptionCourte))&gt;1,
HYPERLINK("#Roadmap!C"&amp; MATCH($E196,Roadmap!$D:$D,0)+COUNTIF($E196:AF196,"u")+COUNTIF($E196:AF196,"t")+COUNTIF($E196:AF196,"¶")+COUNTIF($E196:AF196,"²")+COUNTIF($E196:AF196,"µ")+COUNTIF($E196:AF196,1)-1,INDEX(Roadmap!$D:$K,MATCH($E196,Roadmap!$D:$D,0)-1+COUNTIF($E196:AF196,"u")+COUNTIF($E196:AF196,"t")+COUNTIF($E196:AF196,"¶")+COUNTIF($E196:AF196,"²")+COUNTIF($E196:AF196,"µ")+COUNTIF($E196:AF196,1),ColDescriptionCourte)),""),
  "")),"")</f>
        <v/>
      </c>
      <c r="AH196" s="40" t="str">
        <f ca="1">IFERROR(IF(AND(
  INDEX(Roadmap!$D:$K,MATCH($E196,Roadmap!$D:$D,0)+COUNTIF($E196:AG196,"u")+COUNTIF($E196:AG196,"t")+COUNTIF($E196:AG196,1),ColLivraison)=AH$6,
  VLOOKUP($E196,INDIRECT("tri!"&amp; CHAR(64+ C0Col) &amp;":"&amp; CHAR(65+C0Col)),2,FALSE)&gt;COUNTIF($E196:AG196,"u")+COUNTIF($E196:AG196,"t")+COUNTIF($E196:AG196,1)),
HYPERLINK("#Roadmap!C"&amp; MATCH($E196,Roadmap!$D:$D,0)+COUNTIF($E196:AG196,"u")+COUNTIF($E196:AG196,"t"),
     INDEX(Roadmap!$D:$K,MATCH($E196,Roadmap!$D:$D,0)+COUNTIF($E196:AG196,"u")+COUNTIF($E196:AG196,"t")+COUNTIF($E196:AG196,1),ColTypeEcheance)),
  IF(OR(AG196="u",AG196="t",AG196=1),
  IF(LEN(INDEX(Roadmap!$D:$K,MATCH($E196,Roadmap!$D:$D,0)-1+COUNTIF($E196:AG196,"u")+COUNTIF($E196:AG196,"t")+COUNTIF($E196:AG196,1),ColDescriptionCourte))&gt;1,
HYPERLINK("#Roadmap!C"&amp; MATCH($E196,Roadmap!$D:$D,0)+COUNTIF($E196:AG196,"u")+COUNTIF($E196:AG196,"t")+COUNTIF($E196:AG196,1)-1,INDEX(Roadmap!$D:$K,MATCH($E196,Roadmap!$D:$D,0)-1+COUNTIF($E196:AG196,"u")+COUNTIF($E196:AG196,"t")+COUNTIF($E196:AG196,1),ColDescriptionCourte)),""),
  "")),"")</f>
        <v/>
      </c>
      <c r="AI196" s="40"/>
      <c r="AJ196" s="40"/>
      <c r="AK196" s="40"/>
      <c r="AL196" s="40"/>
      <c r="AM196" s="40"/>
    </row>
    <row r="197" spans="4:39" ht="14.1" customHeight="1">
      <c r="D197" s="20" t="str">
        <f t="shared" ca="1" si="31"/>
        <v/>
      </c>
      <c r="E197" s="53" t="str">
        <f t="shared" ca="1" si="32"/>
        <v/>
      </c>
      <c r="F197" s="39" t="str">
        <f ca="1">IFERROR(IF(AND(
  INDEX(Roadmap!$D:$K,MATCH($E197,Roadmap!$D:$D,0)+COUNTIF($E197:E197,"u")+COUNTIF($E197:E197,"t")+COUNTIF($E197:E197,"¶")+COUNTIF($E197:E197,"²")+COUNTIF($E197:E197,"µ")+COUNTIF($E197:E197,1),ColLivraison)=F$6,
  VLOOKUP($E197,INDIRECT("tri!"&amp; CHAR(64+ C0Col) &amp;":"&amp; CHAR(65+C0Col)),2,FALSE)&gt;COUNTIF($E197:E197,"u")+COUNTIF($E197:E197,"t")+COUNTIF($E197:E197,"¶")+COUNTIF($E197:E197,"²")+COUNTIF($E197:E197,"µ")+COUNTIF($E197:E197,1)),
HYPERLINK("#Roadmap!C"&amp; MATCH($E197,Roadmap!$D:$D,0)+COUNTIF($E197:E197,"u")+COUNTIF($E197:E197,"t"),
     INDEX(Roadmap!$D:$K,MATCH($E197,Roadmap!$D:$D,0)+COUNTIF($E197:E197,"u")+COUNTIF($E197:E197,"t")+COUNTIF($E197:E197,"¶")+COUNTIF($E197:E197,"²")+COUNTIF($E197:E197,"µ")+COUNTIF($E197:E197,1),ColTypeEcheance)),
  IF(LEN(E197)=1,
  IF(LEN(INDEX(Roadmap!$D:$K,MATCH($E197,Roadmap!$D:$D,0)-1+COUNTIF($E197:E197,"u")+COUNTIF($E197:E197,"t")+COUNTIF($E197:E197,"¶")+COUNTIF($E197:E197,"²")+COUNTIF($E197:E197,"µ")+COUNTIF($E197:E197,1),ColDescriptionCourte))&gt;1,
HYPERLINK("#Roadmap!C"&amp; MATCH($E197,Roadmap!$D:$D,0)+COUNTIF($E197:E197,"u")+COUNTIF($E197:E197,"t")+COUNTIF($E197:E197,"¶")+COUNTIF($E197:E197,"²")+COUNTIF($E197:E197,"µ")+COUNTIF($E197:E197,1)-1,INDEX(Roadmap!$D:$K,MATCH($E197,Roadmap!$D:$D,0)-1+COUNTIF($E197:E197,"u")+COUNTIF($E197:E197,"t")+COUNTIF($E197:E197,"¶")+COUNTIF($E197:E197,"²")+COUNTIF($E197:E197,"µ")+COUNTIF($E197:E197,1),ColDescriptionCourte)),""),
  "")),"")</f>
        <v/>
      </c>
      <c r="G197" s="40" t="str">
        <f ca="1">IFERROR(IF(AND(
  INDEX(Roadmap!$D:$K,MATCH($E197,Roadmap!$D:$D,0)+COUNTIF($E197:F197,"u")+COUNTIF($E197:F197,"t")+COUNTIF($E197:F197,"¶")+COUNTIF($E197:F197,"²")+COUNTIF($E197:F197,"µ")+COUNTIF($E197:F197,1),ColLivraison)=G$6,
  VLOOKUP($E197,INDIRECT("tri!"&amp; CHAR(64+ C0Col) &amp;":"&amp; CHAR(65+C0Col)),2,FALSE)&gt;COUNTIF($E197:F197,"u")+COUNTIF($E197:F197,"t")+COUNTIF($E197:F197,"¶")+COUNTIF($E197:F197,"²")+COUNTIF($E197:F197,"µ")+COUNTIF($E197:F197,1)),
HYPERLINK("#Roadmap!C"&amp; MATCH($E197,Roadmap!$D:$D,0)+COUNTIF($E197:F197,"u")+COUNTIF($E197:F197,"t"),
     INDEX(Roadmap!$D:$K,MATCH($E197,Roadmap!$D:$D,0)+COUNTIF($E197:F197,"u")+COUNTIF($E197:F197,"t")+COUNTIF($E197:F197,"¶")+COUNTIF($E197:F197,"²")+COUNTIF($E197:F197,"µ")+COUNTIF($E197:F197,1),ColTypeEcheance)),
  IF(LEN(F197)=1,
  IF(LEN(INDEX(Roadmap!$D:$K,MATCH($E197,Roadmap!$D:$D,0)-1+COUNTIF($E197:F197,"u")+COUNTIF($E197:F197,"t")+COUNTIF($E197:F197,"¶")+COUNTIF($E197:F197,"²")+COUNTIF($E197:F197,"µ")+COUNTIF($E197:F197,1),ColDescriptionCourte))&gt;1,
HYPERLINK("#Roadmap!C"&amp; MATCH($E197,Roadmap!$D:$D,0)+COUNTIF($E197:F197,"u")+COUNTIF($E197:F197,"t")+COUNTIF($E197:F197,"¶")+COUNTIF($E197:F197,"²")+COUNTIF($E197:F197,"µ")+COUNTIF($E197:F197,1)-1,INDEX(Roadmap!$D:$K,MATCH($E197,Roadmap!$D:$D,0)-1+COUNTIF($E197:F197,"u")+COUNTIF($E197:F197,"t")+COUNTIF($E197:F197,"¶")+COUNTIF($E197:F197,"²")+COUNTIF($E197:F197,"µ")+COUNTIF($E197:F197,1),ColDescriptionCourte)),""),
  "")),"")</f>
        <v/>
      </c>
      <c r="H197" s="40" t="str">
        <f ca="1">IFERROR(IF(AND(
  INDEX(Roadmap!$D:$K,MATCH($E197,Roadmap!$D:$D,0)+COUNTIF($E197:G197,"u")+COUNTIF($E197:G197,"t")+COUNTIF($E197:G197,"¶")+COUNTIF($E197:G197,"²")+COUNTIF($E197:G197,"µ")+COUNTIF($E197:G197,1),ColLivraison)=H$6,
  VLOOKUP($E197,INDIRECT("tri!"&amp; CHAR(64+ C0Col) &amp;":"&amp; CHAR(65+C0Col)),2,FALSE)&gt;COUNTIF($E197:G197,"u")+COUNTIF($E197:G197,"t")+COUNTIF($E197:G197,"¶")+COUNTIF($E197:G197,"²")+COUNTIF($E197:G197,"µ")+COUNTIF($E197:G197,1)),
HYPERLINK("#Roadmap!C"&amp; MATCH($E197,Roadmap!$D:$D,0)+COUNTIF($E197:G197,"u")+COUNTIF($E197:G197,"t"),
     INDEX(Roadmap!$D:$K,MATCH($E197,Roadmap!$D:$D,0)+COUNTIF($E197:G197,"u")+COUNTIF($E197:G197,"t")+COUNTIF($E197:G197,"¶")+COUNTIF($E197:G197,"²")+COUNTIF($E197:G197,"µ")+COUNTIF($E197:G197,1),ColTypeEcheance)),
  IF(LEN(G197)=1,
  IF(LEN(INDEX(Roadmap!$D:$K,MATCH($E197,Roadmap!$D:$D,0)-1+COUNTIF($E197:G197,"u")+COUNTIF($E197:G197,"t")+COUNTIF($E197:G197,"¶")+COUNTIF($E197:G197,"²")+COUNTIF($E197:G197,"µ")+COUNTIF($E197:G197,1),ColDescriptionCourte))&gt;1,
HYPERLINK("#Roadmap!C"&amp; MATCH($E197,Roadmap!$D:$D,0)+COUNTIF($E197:G197,"u")+COUNTIF($E197:G197,"t")+COUNTIF($E197:G197,"¶")+COUNTIF($E197:G197,"²")+COUNTIF($E197:G197,"µ")+COUNTIF($E197:G197,1)-1,INDEX(Roadmap!$D:$K,MATCH($E197,Roadmap!$D:$D,0)-1+COUNTIF($E197:G197,"u")+COUNTIF($E197:G197,"t")+COUNTIF($E197:G197,"¶")+COUNTIF($E197:G197,"²")+COUNTIF($E197:G197,"µ")+COUNTIF($E197:G197,1),ColDescriptionCourte)),""),
  "")),"")</f>
        <v/>
      </c>
      <c r="I197" s="40" t="str">
        <f ca="1">IFERROR(IF(AND(
  INDEX(Roadmap!$D:$K,MATCH($E197,Roadmap!$D:$D,0)+COUNTIF($E197:H197,"u")+COUNTIF($E197:H197,"t")+COUNTIF($E197:H197,"¶")+COUNTIF($E197:H197,"²")+COUNTIF($E197:H197,"µ")+COUNTIF($E197:H197,1),ColLivraison)=I$6,
  VLOOKUP($E197,INDIRECT("tri!"&amp; CHAR(64+ C0Col) &amp;":"&amp; CHAR(65+C0Col)),2,FALSE)&gt;COUNTIF($E197:H197,"u")+COUNTIF($E197:H197,"t")+COUNTIF($E197:H197,"¶")+COUNTIF($E197:H197,"²")+COUNTIF($E197:H197,"µ")+COUNTIF($E197:H197,1)),
HYPERLINK("#Roadmap!C"&amp; MATCH($E197,Roadmap!$D:$D,0)+COUNTIF($E197:H197,"u")+COUNTIF($E197:H197,"t"),
     INDEX(Roadmap!$D:$K,MATCH($E197,Roadmap!$D:$D,0)+COUNTIF($E197:H197,"u")+COUNTIF($E197:H197,"t")+COUNTIF($E197:H197,"¶")+COUNTIF($E197:H197,"²")+COUNTIF($E197:H197,"µ")+COUNTIF($E197:H197,1),ColTypeEcheance)),
  IF(LEN(H197)=1,
  IF(LEN(INDEX(Roadmap!$D:$K,MATCH($E197,Roadmap!$D:$D,0)-1+COUNTIF($E197:H197,"u")+COUNTIF($E197:H197,"t")+COUNTIF($E197:H197,"¶")+COUNTIF($E197:H197,"²")+COUNTIF($E197:H197,"µ")+COUNTIF($E197:H197,1),ColDescriptionCourte))&gt;1,
HYPERLINK("#Roadmap!C"&amp; MATCH($E197,Roadmap!$D:$D,0)+COUNTIF($E197:H197,"u")+COUNTIF($E197:H197,"t")+COUNTIF($E197:H197,"¶")+COUNTIF($E197:H197,"²")+COUNTIF($E197:H197,"µ")+COUNTIF($E197:H197,1)-1,INDEX(Roadmap!$D:$K,MATCH($E197,Roadmap!$D:$D,0)-1+COUNTIF($E197:H197,"u")+COUNTIF($E197:H197,"t")+COUNTIF($E197:H197,"¶")+COUNTIF($E197:H197,"²")+COUNTIF($E197:H197,"µ")+COUNTIF($E197:H197,1),ColDescriptionCourte)),""),
  "")),"")</f>
        <v/>
      </c>
      <c r="J197" s="40" t="str">
        <f ca="1">IFERROR(IF(AND(
  INDEX(Roadmap!$D:$K,MATCH($E197,Roadmap!$D:$D,0)+COUNTIF($E197:I197,"u")+COUNTIF($E197:I197,"t")+COUNTIF($E197:I197,"¶")+COUNTIF($E197:I197,"²")+COUNTIF($E197:I197,"µ")+COUNTIF($E197:I197,1),ColLivraison)=J$6,
  VLOOKUP($E197,INDIRECT("tri!"&amp; CHAR(64+ C0Col) &amp;":"&amp; CHAR(65+C0Col)),2,FALSE)&gt;COUNTIF($E197:I197,"u")+COUNTIF($E197:I197,"t")+COUNTIF($E197:I197,"¶")+COUNTIF($E197:I197,"²")+COUNTIF($E197:I197,"µ")+COUNTIF($E197:I197,1)),
HYPERLINK("#Roadmap!C"&amp; MATCH($E197,Roadmap!$D:$D,0)+COUNTIF($E197:I197,"u")+COUNTIF($E197:I197,"t"),
     INDEX(Roadmap!$D:$K,MATCH($E197,Roadmap!$D:$D,0)+COUNTIF($E197:I197,"u")+COUNTIF($E197:I197,"t")+COUNTIF($E197:I197,"¶")+COUNTIF($E197:I197,"²")+COUNTIF($E197:I197,"µ")+COUNTIF($E197:I197,1),ColTypeEcheance)),
  IF(LEN(I197)=1,
  IF(LEN(INDEX(Roadmap!$D:$K,MATCH($E197,Roadmap!$D:$D,0)-1+COUNTIF($E197:I197,"u")+COUNTIF($E197:I197,"t")+COUNTIF($E197:I197,"¶")+COUNTIF($E197:I197,"²")+COUNTIF($E197:I197,"µ")+COUNTIF($E197:I197,1),ColDescriptionCourte))&gt;1,
HYPERLINK("#Roadmap!C"&amp; MATCH($E197,Roadmap!$D:$D,0)+COUNTIF($E197:I197,"u")+COUNTIF($E197:I197,"t")+COUNTIF($E197:I197,"¶")+COUNTIF($E197:I197,"²")+COUNTIF($E197:I197,"µ")+COUNTIF($E197:I197,1)-1,INDEX(Roadmap!$D:$K,MATCH($E197,Roadmap!$D:$D,0)-1+COUNTIF($E197:I197,"u")+COUNTIF($E197:I197,"t")+COUNTIF($E197:I197,"¶")+COUNTIF($E197:I197,"²")+COUNTIF($E197:I197,"µ")+COUNTIF($E197:I197,1),ColDescriptionCourte)),""),
  "")),"")</f>
        <v/>
      </c>
      <c r="K197" s="40" t="str">
        <f ca="1">IFERROR(IF(AND(
  INDEX(Roadmap!$D:$K,MATCH($E197,Roadmap!$D:$D,0)+COUNTIF($E197:J197,"u")+COUNTIF($E197:J197,"t")+COUNTIF($E197:J197,"¶")+COUNTIF($E197:J197,"²")+COUNTIF($E197:J197,"µ")+COUNTIF($E197:J197,1),ColLivraison)=K$6,
  VLOOKUP($E197,INDIRECT("tri!"&amp; CHAR(64+ C0Col) &amp;":"&amp; CHAR(65+C0Col)),2,FALSE)&gt;COUNTIF($E197:J197,"u")+COUNTIF($E197:J197,"t")+COUNTIF($E197:J197,"¶")+COUNTIF($E197:J197,"²")+COUNTIF($E197:J197,"µ")+COUNTIF($E197:J197,1)),
HYPERLINK("#Roadmap!C"&amp; MATCH($E197,Roadmap!$D:$D,0)+COUNTIF($E197:J197,"u")+COUNTIF($E197:J197,"t"),
     INDEX(Roadmap!$D:$K,MATCH($E197,Roadmap!$D:$D,0)+COUNTIF($E197:J197,"u")+COUNTIF($E197:J197,"t")+COUNTIF($E197:J197,"¶")+COUNTIF($E197:J197,"²")+COUNTIF($E197:J197,"µ")+COUNTIF($E197:J197,1),ColTypeEcheance)),
  IF(LEN(J197)=1,
  IF(LEN(INDEX(Roadmap!$D:$K,MATCH($E197,Roadmap!$D:$D,0)-1+COUNTIF($E197:J197,"u")+COUNTIF($E197:J197,"t")+COUNTIF($E197:J197,"¶")+COUNTIF($E197:J197,"²")+COUNTIF($E197:J197,"µ")+COUNTIF($E197:J197,1),ColDescriptionCourte))&gt;1,
HYPERLINK("#Roadmap!C"&amp; MATCH($E197,Roadmap!$D:$D,0)+COUNTIF($E197:J197,"u")+COUNTIF($E197:J197,"t")+COUNTIF($E197:J197,"¶")+COUNTIF($E197:J197,"²")+COUNTIF($E197:J197,"µ")+COUNTIF($E197:J197,1)-1,INDEX(Roadmap!$D:$K,MATCH($E197,Roadmap!$D:$D,0)-1+COUNTIF($E197:J197,"u")+COUNTIF($E197:J197,"t")+COUNTIF($E197:J197,"¶")+COUNTIF($E197:J197,"²")+COUNTIF($E197:J197,"µ")+COUNTIF($E197:J197,1),ColDescriptionCourte)),""),
  "")),"")</f>
        <v/>
      </c>
      <c r="L197" s="39" t="str">
        <f ca="1">IFERROR(IF(AND(
  INDEX(Roadmap!$D:$K,MATCH($E197,Roadmap!$D:$D,0)+COUNTIF($E197:K197,"u")+COUNTIF($E197:K197,"t")+COUNTIF($E197:K197,"¶")+COUNTIF($E197:K197,"²")+COUNTIF($E197:K197,"µ")+COUNTIF($E197:K197,1),ColLivraison)=L$6,
  VLOOKUP($E197,INDIRECT("tri!"&amp; CHAR(64+ C0Col) &amp;":"&amp; CHAR(65+C0Col)),2,FALSE)&gt;COUNTIF($E197:K197,"u")+COUNTIF($E197:K197,"t")+COUNTIF($E197:K197,"¶")+COUNTIF($E197:K197,"²")+COUNTIF($E197:K197,"µ")+COUNTIF($E197:K197,1)),
HYPERLINK("#Roadmap!C"&amp; MATCH($E197,Roadmap!$D:$D,0)+COUNTIF($E197:K197,"u")+COUNTIF($E197:K197,"t"),
     INDEX(Roadmap!$D:$K,MATCH($E197,Roadmap!$D:$D,0)+COUNTIF($E197:K197,"u")+COUNTIF($E197:K197,"t")+COUNTIF($E197:K197,"¶")+COUNTIF($E197:K197,"²")+COUNTIF($E197:K197,"µ")+COUNTIF($E197:K197,1),ColTypeEcheance)),
  IF(LEN(K197)=1,
  IF(LEN(INDEX(Roadmap!$D:$K,MATCH($E197,Roadmap!$D:$D,0)-1+COUNTIF($E197:K197,"u")+COUNTIF($E197:K197,"t")+COUNTIF($E197:K197,"¶")+COUNTIF($E197:K197,"²")+COUNTIF($E197:K197,"µ")+COUNTIF($E197:K197,1),ColDescriptionCourte))&gt;1,
HYPERLINK("#Roadmap!C"&amp; MATCH($E197,Roadmap!$D:$D,0)+COUNTIF($E197:K197,"u")+COUNTIF($E197:K197,"t")+COUNTIF($E197:K197,"¶")+COUNTIF($E197:K197,"²")+COUNTIF($E197:K197,"µ")+COUNTIF($E197:K197,1)-1,INDEX(Roadmap!$D:$K,MATCH($E197,Roadmap!$D:$D,0)-1+COUNTIF($E197:K197,"u")+COUNTIF($E197:K197,"t")+COUNTIF($E197:K197,"¶")+COUNTIF($E197:K197,"²")+COUNTIF($E197:K197,"µ")+COUNTIF($E197:K197,1),ColDescriptionCourte)),""),
  "")),"")</f>
        <v/>
      </c>
      <c r="M197" s="40" t="str">
        <f ca="1">IFERROR(IF(AND(
  INDEX(Roadmap!$D:$K,MATCH($E197,Roadmap!$D:$D,0)+COUNTIF($E197:L197,"u")+COUNTIF($E197:L197,"t")+COUNTIF($E197:L197,"¶")+COUNTIF($E197:L197,"²")+COUNTIF($E197:L197,"µ")+COUNTIF($E197:L197,1),ColLivraison)=M$6,
  VLOOKUP($E197,INDIRECT("tri!"&amp; CHAR(64+ C0Col) &amp;":"&amp; CHAR(65+C0Col)),2,FALSE)&gt;COUNTIF($E197:L197,"u")+COUNTIF($E197:L197,"t")+COUNTIF($E197:L197,"¶")+COUNTIF($E197:L197,"²")+COUNTIF($E197:L197,"µ")+COUNTIF($E197:L197,1)),
HYPERLINK("#Roadmap!C"&amp; MATCH($E197,Roadmap!$D:$D,0)+COUNTIF($E197:L197,"u")+COUNTIF($E197:L197,"t"),
     INDEX(Roadmap!$D:$K,MATCH($E197,Roadmap!$D:$D,0)+COUNTIF($E197:L197,"u")+COUNTIF($E197:L197,"t")+COUNTIF($E197:L197,"¶")+COUNTIF($E197:L197,"²")+COUNTIF($E197:L197,"µ")+COUNTIF($E197:L197,1),ColTypeEcheance)),
  IF(LEN(L197)=1,
  IF(LEN(INDEX(Roadmap!$D:$K,MATCH($E197,Roadmap!$D:$D,0)-1+COUNTIF($E197:L197,"u")+COUNTIF($E197:L197,"t")+COUNTIF($E197:L197,"¶")+COUNTIF($E197:L197,"²")+COUNTIF($E197:L197,"µ")+COUNTIF($E197:L197,1),ColDescriptionCourte))&gt;1,
HYPERLINK("#Roadmap!C"&amp; MATCH($E197,Roadmap!$D:$D,0)+COUNTIF($E197:L197,"u")+COUNTIF($E197:L197,"t")+COUNTIF($E197:L197,"¶")+COUNTIF($E197:L197,"²")+COUNTIF($E197:L197,"µ")+COUNTIF($E197:L197,1)-1,INDEX(Roadmap!$D:$K,MATCH($E197,Roadmap!$D:$D,0)-1+COUNTIF($E197:L197,"u")+COUNTIF($E197:L197,"t")+COUNTIF($E197:L197,"¶")+COUNTIF($E197:L197,"²")+COUNTIF($E197:L197,"µ")+COUNTIF($E197:L197,1),ColDescriptionCourte)),""),
  "")),"")</f>
        <v/>
      </c>
      <c r="N197" s="40" t="str">
        <f ca="1">IFERROR(IF(AND(
  INDEX(Roadmap!$D:$K,MATCH($E197,Roadmap!$D:$D,0)+COUNTIF($E197:M197,"u")+COUNTIF($E197:M197,"t")+COUNTIF($E197:M197,"¶")+COUNTIF($E197:M197,"²")+COUNTIF($E197:M197,"µ")+COUNTIF($E197:M197,1),ColLivraison)=N$6,
  VLOOKUP($E197,INDIRECT("tri!"&amp; CHAR(64+ C0Col) &amp;":"&amp; CHAR(65+C0Col)),2,FALSE)&gt;COUNTIF($E197:M197,"u")+COUNTIF($E197:M197,"t")+COUNTIF($E197:M197,"¶")+COUNTIF($E197:M197,"²")+COUNTIF($E197:M197,"µ")+COUNTIF($E197:M197,1)),
HYPERLINK("#Roadmap!C"&amp; MATCH($E197,Roadmap!$D:$D,0)+COUNTIF($E197:M197,"u")+COUNTIF($E197:M197,"t"),
     INDEX(Roadmap!$D:$K,MATCH($E197,Roadmap!$D:$D,0)+COUNTIF($E197:M197,"u")+COUNTIF($E197:M197,"t")+COUNTIF($E197:M197,"¶")+COUNTIF($E197:M197,"²")+COUNTIF($E197:M197,"µ")+COUNTIF($E197:M197,1),ColTypeEcheance)),
  IF(LEN(M197)=1,
  IF(LEN(INDEX(Roadmap!$D:$K,MATCH($E197,Roadmap!$D:$D,0)-1+COUNTIF($E197:M197,"u")+COUNTIF($E197:M197,"t")+COUNTIF($E197:M197,"¶")+COUNTIF($E197:M197,"²")+COUNTIF($E197:M197,"µ")+COUNTIF($E197:M197,1),ColDescriptionCourte))&gt;1,
HYPERLINK("#Roadmap!C"&amp; MATCH($E197,Roadmap!$D:$D,0)+COUNTIF($E197:M197,"u")+COUNTIF($E197:M197,"t")+COUNTIF($E197:M197,"¶")+COUNTIF($E197:M197,"²")+COUNTIF($E197:M197,"µ")+COUNTIF($E197:M197,1)-1,INDEX(Roadmap!$D:$K,MATCH($E197,Roadmap!$D:$D,0)-1+COUNTIF($E197:M197,"u")+COUNTIF($E197:M197,"t")+COUNTIF($E197:M197,"¶")+COUNTIF($E197:M197,"²")+COUNTIF($E197:M197,"µ")+COUNTIF($E197:M197,1),ColDescriptionCourte)),""),
  "")),"")</f>
        <v/>
      </c>
      <c r="O197" s="40" t="str">
        <f ca="1">IFERROR(IF(AND(
  INDEX(Roadmap!$D:$K,MATCH($E197,Roadmap!$D:$D,0)+COUNTIF($E197:N197,"u")+COUNTIF($E197:N197,"t")+COUNTIF($E197:N197,"¶")+COUNTIF($E197:N197,"²")+COUNTIF($E197:N197,"µ")+COUNTIF($E197:N197,1),ColLivraison)=O$6,
  VLOOKUP($E197,INDIRECT("tri!"&amp; CHAR(64+ C0Col) &amp;":"&amp; CHAR(65+C0Col)),2,FALSE)&gt;COUNTIF($E197:N197,"u")+COUNTIF($E197:N197,"t")+COUNTIF($E197:N197,"¶")+COUNTIF($E197:N197,"²")+COUNTIF($E197:N197,"µ")+COUNTIF($E197:N197,1)),
HYPERLINK("#Roadmap!C"&amp; MATCH($E197,Roadmap!$D:$D,0)+COUNTIF($E197:N197,"u")+COUNTIF($E197:N197,"t"),
     INDEX(Roadmap!$D:$K,MATCH($E197,Roadmap!$D:$D,0)+COUNTIF($E197:N197,"u")+COUNTIF($E197:N197,"t")+COUNTIF($E197:N197,"¶")+COUNTIF($E197:N197,"²")+COUNTIF($E197:N197,"µ")+COUNTIF($E197:N197,1),ColTypeEcheance)),
  IF(LEN(N197)=1,
  IF(LEN(INDEX(Roadmap!$D:$K,MATCH($E197,Roadmap!$D:$D,0)-1+COUNTIF($E197:N197,"u")+COUNTIF($E197:N197,"t")+COUNTIF($E197:N197,"¶")+COUNTIF($E197:N197,"²")+COUNTIF($E197:N197,"µ")+COUNTIF($E197:N197,1),ColDescriptionCourte))&gt;1,
HYPERLINK("#Roadmap!C"&amp; MATCH($E197,Roadmap!$D:$D,0)+COUNTIF($E197:N197,"u")+COUNTIF($E197:N197,"t")+COUNTIF($E197:N197,"¶")+COUNTIF($E197:N197,"²")+COUNTIF($E197:N197,"µ")+COUNTIF($E197:N197,1)-1,INDEX(Roadmap!$D:$K,MATCH($E197,Roadmap!$D:$D,0)-1+COUNTIF($E197:N197,"u")+COUNTIF($E197:N197,"t")+COUNTIF($E197:N197,"¶")+COUNTIF($E197:N197,"²")+COUNTIF($E197:N197,"µ")+COUNTIF($E197:N197,1),ColDescriptionCourte)),""),
  "")),"")</f>
        <v/>
      </c>
      <c r="P197" s="40" t="str">
        <f ca="1">IFERROR(IF(AND(
  INDEX(Roadmap!$D:$K,MATCH($E197,Roadmap!$D:$D,0)+COUNTIF($E197:O197,"u")+COUNTIF($E197:O197,"t")+COUNTIF($E197:O197,"¶")+COUNTIF($E197:O197,"²")+COUNTIF($E197:O197,"µ")+COUNTIF($E197:O197,1),ColLivraison)=P$6,
  VLOOKUP($E197,INDIRECT("tri!"&amp; CHAR(64+ C0Col) &amp;":"&amp; CHAR(65+C0Col)),2,FALSE)&gt;COUNTIF($E197:O197,"u")+COUNTIF($E197:O197,"t")+COUNTIF($E197:O197,"¶")+COUNTIF($E197:O197,"²")+COUNTIF($E197:O197,"µ")+COUNTIF($E197:O197,1)),
HYPERLINK("#Roadmap!C"&amp; MATCH($E197,Roadmap!$D:$D,0)+COUNTIF($E197:O197,"u")+COUNTIF($E197:O197,"t"),
     INDEX(Roadmap!$D:$K,MATCH($E197,Roadmap!$D:$D,0)+COUNTIF($E197:O197,"u")+COUNTIF($E197:O197,"t")+COUNTIF($E197:O197,"¶")+COUNTIF($E197:O197,"²")+COUNTIF($E197:O197,"µ")+COUNTIF($E197:O197,1),ColTypeEcheance)),
  IF(LEN(O197)=1,
  IF(LEN(INDEX(Roadmap!$D:$K,MATCH($E197,Roadmap!$D:$D,0)-1+COUNTIF($E197:O197,"u")+COUNTIF($E197:O197,"t")+COUNTIF($E197:O197,"¶")+COUNTIF($E197:O197,"²")+COUNTIF($E197:O197,"µ")+COUNTIF($E197:O197,1),ColDescriptionCourte))&gt;1,
HYPERLINK("#Roadmap!C"&amp; MATCH($E197,Roadmap!$D:$D,0)+COUNTIF($E197:O197,"u")+COUNTIF($E197:O197,"t")+COUNTIF($E197:O197,"¶")+COUNTIF($E197:O197,"²")+COUNTIF($E197:O197,"µ")+COUNTIF($E197:O197,1)-1,INDEX(Roadmap!$D:$K,MATCH($E197,Roadmap!$D:$D,0)-1+COUNTIF($E197:O197,"u")+COUNTIF($E197:O197,"t")+COUNTIF($E197:O197,"¶")+COUNTIF($E197:O197,"²")+COUNTIF($E197:O197,"µ")+COUNTIF($E197:O197,1),ColDescriptionCourte)),""),
  "")),"")</f>
        <v/>
      </c>
      <c r="Q197" s="40" t="str">
        <f ca="1">IFERROR(IF(AND(
  INDEX(Roadmap!$D:$K,MATCH($E197,Roadmap!$D:$D,0)+COUNTIF($E197:P197,"u")+COUNTIF($E197:P197,"t")+COUNTIF($E197:P197,"¶")+COUNTIF($E197:P197,"²")+COUNTIF($E197:P197,"µ")+COUNTIF($E197:P197,1),ColLivraison)=Q$6,
  VLOOKUP($E197,INDIRECT("tri!"&amp; CHAR(64+ C0Col) &amp;":"&amp; CHAR(65+C0Col)),2,FALSE)&gt;COUNTIF($E197:P197,"u")+COUNTIF($E197:P197,"t")+COUNTIF($E197:P197,"¶")+COUNTIF($E197:P197,"²")+COUNTIF($E197:P197,"µ")+COUNTIF($E197:P197,1)),
HYPERLINK("#Roadmap!C"&amp; MATCH($E197,Roadmap!$D:$D,0)+COUNTIF($E197:P197,"u")+COUNTIF($E197:P197,"t"),
     INDEX(Roadmap!$D:$K,MATCH($E197,Roadmap!$D:$D,0)+COUNTIF($E197:P197,"u")+COUNTIF($E197:P197,"t")+COUNTIF($E197:P197,"¶")+COUNTIF($E197:P197,"²")+COUNTIF($E197:P197,"µ")+COUNTIF($E197:P197,1),ColTypeEcheance)),
  IF(LEN(P197)=1,
  IF(LEN(INDEX(Roadmap!$D:$K,MATCH($E197,Roadmap!$D:$D,0)-1+COUNTIF($E197:P197,"u")+COUNTIF($E197:P197,"t")+COUNTIF($E197:P197,"¶")+COUNTIF($E197:P197,"²")+COUNTIF($E197:P197,"µ")+COUNTIF($E197:P197,1),ColDescriptionCourte))&gt;1,
HYPERLINK("#Roadmap!C"&amp; MATCH($E197,Roadmap!$D:$D,0)+COUNTIF($E197:P197,"u")+COUNTIF($E197:P197,"t")+COUNTIF($E197:P197,"¶")+COUNTIF($E197:P197,"²")+COUNTIF($E197:P197,"µ")+COUNTIF($E197:P197,1)-1,INDEX(Roadmap!$D:$K,MATCH($E197,Roadmap!$D:$D,0)-1+COUNTIF($E197:P197,"u")+COUNTIF($E197:P197,"t")+COUNTIF($E197:P197,"¶")+COUNTIF($E197:P197,"²")+COUNTIF($E197:P197,"µ")+COUNTIF($E197:P197,1),ColDescriptionCourte)),""),
  "")),"")</f>
        <v/>
      </c>
      <c r="R197" s="40" t="str">
        <f ca="1">IFERROR(IF(AND(
  INDEX(Roadmap!$D:$K,MATCH($E197,Roadmap!$D:$D,0)+COUNTIF($E197:Q197,"u")+COUNTIF($E197:Q197,"t")+COUNTIF($E197:Q197,"¶")+COUNTIF($E197:Q197,"²")+COUNTIF($E197:Q197,"µ")+COUNTIF($E197:Q197,1),ColLivraison)=R$6,
  VLOOKUP($E197,INDIRECT("tri!"&amp; CHAR(64+ C0Col) &amp;":"&amp; CHAR(65+C0Col)),2,FALSE)&gt;COUNTIF($E197:Q197,"u")+COUNTIF($E197:Q197,"t")+COUNTIF($E197:Q197,"¶")+COUNTIF($E197:Q197,"²")+COUNTIF($E197:Q197,"µ")+COUNTIF($E197:Q197,1)),
HYPERLINK("#Roadmap!C"&amp; MATCH($E197,Roadmap!$D:$D,0)+COUNTIF($E197:Q197,"u")+COUNTIF($E197:Q197,"t"),
     INDEX(Roadmap!$D:$K,MATCH($E197,Roadmap!$D:$D,0)+COUNTIF($E197:Q197,"u")+COUNTIF($E197:Q197,"t")+COUNTIF($E197:Q197,"¶")+COUNTIF($E197:Q197,"²")+COUNTIF($E197:Q197,"µ")+COUNTIF($E197:Q197,1),ColTypeEcheance)),
  IF(LEN(Q197)=1,
  IF(LEN(INDEX(Roadmap!$D:$K,MATCH($E197,Roadmap!$D:$D,0)-1+COUNTIF($E197:Q197,"u")+COUNTIF($E197:Q197,"t")+COUNTIF($E197:Q197,"¶")+COUNTIF($E197:Q197,"²")+COUNTIF($E197:Q197,"µ")+COUNTIF($E197:Q197,1),ColDescriptionCourte))&gt;1,
HYPERLINK("#Roadmap!C"&amp; MATCH($E197,Roadmap!$D:$D,0)+COUNTIF($E197:Q197,"u")+COUNTIF($E197:Q197,"t")+COUNTIF($E197:Q197,"¶")+COUNTIF($E197:Q197,"²")+COUNTIF($E197:Q197,"µ")+COUNTIF($E197:Q197,1)-1,INDEX(Roadmap!$D:$K,MATCH($E197,Roadmap!$D:$D,0)-1+COUNTIF($E197:Q197,"u")+COUNTIF($E197:Q197,"t")+COUNTIF($E197:Q197,"¶")+COUNTIF($E197:Q197,"²")+COUNTIF($E197:Q197,"µ")+COUNTIF($E197:Q197,1),ColDescriptionCourte)),""),
  "")),"")</f>
        <v/>
      </c>
      <c r="S197" s="40" t="str">
        <f ca="1">IFERROR(IF(AND(
  INDEX(Roadmap!$D:$K,MATCH($E197,Roadmap!$D:$D,0)+COUNTIF($E197:R197,"u")+COUNTIF($E197:R197,"t")+COUNTIF($E197:R197,"¶")+COUNTIF($E197:R197,"²")+COUNTIF($E197:R197,"µ")+COUNTIF($E197:R197,1),ColLivraison)=S$6,
  VLOOKUP($E197,INDIRECT("tri!"&amp; CHAR(64+ C0Col) &amp;":"&amp; CHAR(65+C0Col)),2,FALSE)&gt;COUNTIF($E197:R197,"u")+COUNTIF($E197:R197,"t")+COUNTIF($E197:R197,"¶")+COUNTIF($E197:R197,"²")+COUNTIF($E197:R197,"µ")+COUNTIF($E197:R197,1)),
HYPERLINK("#Roadmap!C"&amp; MATCH($E197,Roadmap!$D:$D,0)+COUNTIF($E197:R197,"u")+COUNTIF($E197:R197,"t"),
     INDEX(Roadmap!$D:$K,MATCH($E197,Roadmap!$D:$D,0)+COUNTIF($E197:R197,"u")+COUNTIF($E197:R197,"t")+COUNTIF($E197:R197,"¶")+COUNTIF($E197:R197,"²")+COUNTIF($E197:R197,"µ")+COUNTIF($E197:R197,1),ColTypeEcheance)),
  IF(LEN(R197)=1,
  IF(LEN(INDEX(Roadmap!$D:$K,MATCH($E197,Roadmap!$D:$D,0)-1+COUNTIF($E197:R197,"u")+COUNTIF($E197:R197,"t")+COUNTIF($E197:R197,"¶")+COUNTIF($E197:R197,"²")+COUNTIF($E197:R197,"µ")+COUNTIF($E197:R197,1),ColDescriptionCourte))&gt;1,
HYPERLINK("#Roadmap!C"&amp; MATCH($E197,Roadmap!$D:$D,0)+COUNTIF($E197:R197,"u")+COUNTIF($E197:R197,"t")+COUNTIF($E197:R197,"¶")+COUNTIF($E197:R197,"²")+COUNTIF($E197:R197,"µ")+COUNTIF($E197:R197,1)-1,INDEX(Roadmap!$D:$K,MATCH($E197,Roadmap!$D:$D,0)-1+COUNTIF($E197:R197,"u")+COUNTIF($E197:R197,"t")+COUNTIF($E197:R197,"¶")+COUNTIF($E197:R197,"²")+COUNTIF($E197:R197,"µ")+COUNTIF($E197:R197,1),ColDescriptionCourte)),""),
  "")),"")</f>
        <v/>
      </c>
      <c r="T197" s="40" t="str">
        <f ca="1">IFERROR(IF(AND(
  INDEX(Roadmap!$D:$K,MATCH($E197,Roadmap!$D:$D,0)+COUNTIF($E197:S197,"u")+COUNTIF($E197:S197,"t")+COUNTIF($E197:S197,"¶")+COUNTIF($E197:S197,"²")+COUNTIF($E197:S197,"µ")+COUNTIF($E197:S197,1),ColLivraison)=T$6,
  VLOOKUP($E197,INDIRECT("tri!"&amp; CHAR(64+ C0Col) &amp;":"&amp; CHAR(65+C0Col)),2,FALSE)&gt;COUNTIF($E197:S197,"u")+COUNTIF($E197:S197,"t")+COUNTIF($E197:S197,"¶")+COUNTIF($E197:S197,"²")+COUNTIF($E197:S197,"µ")+COUNTIF($E197:S197,1)),
HYPERLINK("#Roadmap!C"&amp; MATCH($E197,Roadmap!$D:$D,0)+COUNTIF($E197:S197,"u")+COUNTIF($E197:S197,"t"),
     INDEX(Roadmap!$D:$K,MATCH($E197,Roadmap!$D:$D,0)+COUNTIF($E197:S197,"u")+COUNTIF($E197:S197,"t")+COUNTIF($E197:S197,"¶")+COUNTIF($E197:S197,"²")+COUNTIF($E197:S197,"µ")+COUNTIF($E197:S197,1),ColTypeEcheance)),
  IF(LEN(S197)=1,
  IF(LEN(INDEX(Roadmap!$D:$K,MATCH($E197,Roadmap!$D:$D,0)-1+COUNTIF($E197:S197,"u")+COUNTIF($E197:S197,"t")+COUNTIF($E197:S197,"¶")+COUNTIF($E197:S197,"²")+COUNTIF($E197:S197,"µ")+COUNTIF($E197:S197,1),ColDescriptionCourte))&gt;1,
HYPERLINK("#Roadmap!C"&amp; MATCH($E197,Roadmap!$D:$D,0)+COUNTIF($E197:S197,"u")+COUNTIF($E197:S197,"t")+COUNTIF($E197:S197,"¶")+COUNTIF($E197:S197,"²")+COUNTIF($E197:S197,"µ")+COUNTIF($E197:S197,1)-1,INDEX(Roadmap!$D:$K,MATCH($E197,Roadmap!$D:$D,0)-1+COUNTIF($E197:S197,"u")+COUNTIF($E197:S197,"t")+COUNTIF($E197:S197,"¶")+COUNTIF($E197:S197,"²")+COUNTIF($E197:S197,"µ")+COUNTIF($E197:S197,1),ColDescriptionCourte)),""),
  "")),"")</f>
        <v/>
      </c>
      <c r="U197" s="40" t="str">
        <f ca="1">IFERROR(IF(AND(
  INDEX(Roadmap!$D:$K,MATCH($E197,Roadmap!$D:$D,0)+COUNTIF($E197:T197,"u")+COUNTIF($E197:T197,"t")+COUNTIF($E197:T197,"¶")+COUNTIF($E197:T197,"²")+COUNTIF($E197:T197,"µ")+COUNTIF($E197:T197,1),ColLivraison)=U$6,
  VLOOKUP($E197,INDIRECT("tri!"&amp; CHAR(64+ C0Col) &amp;":"&amp; CHAR(65+C0Col)),2,FALSE)&gt;COUNTIF($E197:T197,"u")+COUNTIF($E197:T197,"t")+COUNTIF($E197:T197,"¶")+COUNTIF($E197:T197,"²")+COUNTIF($E197:T197,"µ")+COUNTIF($E197:T197,1)),
HYPERLINK("#Roadmap!C"&amp; MATCH($E197,Roadmap!$D:$D,0)+COUNTIF($E197:T197,"u")+COUNTIF($E197:T197,"t"),
     INDEX(Roadmap!$D:$K,MATCH($E197,Roadmap!$D:$D,0)+COUNTIF($E197:T197,"u")+COUNTIF($E197:T197,"t")+COUNTIF($E197:T197,"¶")+COUNTIF($E197:T197,"²")+COUNTIF($E197:T197,"µ")+COUNTIF($E197:T197,1),ColTypeEcheance)),
  IF(LEN(T197)=1,
  IF(LEN(INDEX(Roadmap!$D:$K,MATCH($E197,Roadmap!$D:$D,0)-1+COUNTIF($E197:T197,"u")+COUNTIF($E197:T197,"t")+COUNTIF($E197:T197,"¶")+COUNTIF($E197:T197,"²")+COUNTIF($E197:T197,"µ")+COUNTIF($E197:T197,1),ColDescriptionCourte))&gt;1,
HYPERLINK("#Roadmap!C"&amp; MATCH($E197,Roadmap!$D:$D,0)+COUNTIF($E197:T197,"u")+COUNTIF($E197:T197,"t")+COUNTIF($E197:T197,"¶")+COUNTIF($E197:T197,"²")+COUNTIF($E197:T197,"µ")+COUNTIF($E197:T197,1)-1,INDEX(Roadmap!$D:$K,MATCH($E197,Roadmap!$D:$D,0)-1+COUNTIF($E197:T197,"u")+COUNTIF($E197:T197,"t")+COUNTIF($E197:T197,"¶")+COUNTIF($E197:T197,"²")+COUNTIF($E197:T197,"µ")+COUNTIF($E197:T197,1),ColDescriptionCourte)),""),
  "")),"")</f>
        <v/>
      </c>
      <c r="V197" s="40" t="str">
        <f ca="1">IFERROR(IF(AND(
  INDEX(Roadmap!$D:$K,MATCH($E197,Roadmap!$D:$D,0)+COUNTIF($E197:U197,"u")+COUNTIF($E197:U197,"t")+COUNTIF($E197:U197,"¶")+COUNTIF($E197:U197,"²")+COUNTIF($E197:U197,"µ")+COUNTIF($E197:U197,1),ColLivraison)=V$6,
  VLOOKUP($E197,INDIRECT("tri!"&amp; CHAR(64+ C0Col) &amp;":"&amp; CHAR(65+C0Col)),2,FALSE)&gt;COUNTIF($E197:U197,"u")+COUNTIF($E197:U197,"t")+COUNTIF($E197:U197,"¶")+COUNTIF($E197:U197,"²")+COUNTIF($E197:U197,"µ")+COUNTIF($E197:U197,1)),
HYPERLINK("#Roadmap!C"&amp; MATCH($E197,Roadmap!$D:$D,0)+COUNTIF($E197:U197,"u")+COUNTIF($E197:U197,"t"),
     INDEX(Roadmap!$D:$K,MATCH($E197,Roadmap!$D:$D,0)+COUNTIF($E197:U197,"u")+COUNTIF($E197:U197,"t")+COUNTIF($E197:U197,"¶")+COUNTIF($E197:U197,"²")+COUNTIF($E197:U197,"µ")+COUNTIF($E197:U197,1),ColTypeEcheance)),
  IF(LEN(U197)=1,
  IF(LEN(INDEX(Roadmap!$D:$K,MATCH($E197,Roadmap!$D:$D,0)-1+COUNTIF($E197:U197,"u")+COUNTIF($E197:U197,"t")+COUNTIF($E197:U197,"¶")+COUNTIF($E197:U197,"²")+COUNTIF($E197:U197,"µ")+COUNTIF($E197:U197,1),ColDescriptionCourte))&gt;1,
HYPERLINK("#Roadmap!C"&amp; MATCH($E197,Roadmap!$D:$D,0)+COUNTIF($E197:U197,"u")+COUNTIF($E197:U197,"t")+COUNTIF($E197:U197,"¶")+COUNTIF($E197:U197,"²")+COUNTIF($E197:U197,"µ")+COUNTIF($E197:U197,1)-1,INDEX(Roadmap!$D:$K,MATCH($E197,Roadmap!$D:$D,0)-1+COUNTIF($E197:U197,"u")+COUNTIF($E197:U197,"t")+COUNTIF($E197:U197,"¶")+COUNTIF($E197:U197,"²")+COUNTIF($E197:U197,"µ")+COUNTIF($E197:U197,1),ColDescriptionCourte)),""),
  "")),"")</f>
        <v/>
      </c>
      <c r="W197" s="40" t="str">
        <f ca="1">IFERROR(IF(AND(
  INDEX(Roadmap!$D:$K,MATCH($E197,Roadmap!$D:$D,0)+COUNTIF($E197:V197,"u")+COUNTIF($E197:V197,"t")+COUNTIF($E197:V197,"¶")+COUNTIF($E197:V197,"²")+COUNTIF($E197:V197,"µ")+COUNTIF($E197:V197,1),ColLivraison)=W$6,
  VLOOKUP($E197,INDIRECT("tri!"&amp; CHAR(64+ C0Col) &amp;":"&amp; CHAR(65+C0Col)),2,FALSE)&gt;COUNTIF($E197:V197,"u")+COUNTIF($E197:V197,"t")+COUNTIF($E197:V197,"¶")+COUNTIF($E197:V197,"²")+COUNTIF($E197:V197,"µ")+COUNTIF($E197:V197,1)),
HYPERLINK("#Roadmap!C"&amp; MATCH($E197,Roadmap!$D:$D,0)+COUNTIF($E197:V197,"u")+COUNTIF($E197:V197,"t"),
     INDEX(Roadmap!$D:$K,MATCH($E197,Roadmap!$D:$D,0)+COUNTIF($E197:V197,"u")+COUNTIF($E197:V197,"t")+COUNTIF($E197:V197,"¶")+COUNTIF($E197:V197,"²")+COUNTIF($E197:V197,"µ")+COUNTIF($E197:V197,1),ColTypeEcheance)),
  IF(LEN(V197)=1,
  IF(LEN(INDEX(Roadmap!$D:$K,MATCH($E197,Roadmap!$D:$D,0)-1+COUNTIF($E197:V197,"u")+COUNTIF($E197:V197,"t")+COUNTIF($E197:V197,"¶")+COUNTIF($E197:V197,"²")+COUNTIF($E197:V197,"µ")+COUNTIF($E197:V197,1),ColDescriptionCourte))&gt;1,
HYPERLINK("#Roadmap!C"&amp; MATCH($E197,Roadmap!$D:$D,0)+COUNTIF($E197:V197,"u")+COUNTIF($E197:V197,"t")+COUNTIF($E197:V197,"¶")+COUNTIF($E197:V197,"²")+COUNTIF($E197:V197,"µ")+COUNTIF($E197:V197,1)-1,INDEX(Roadmap!$D:$K,MATCH($E197,Roadmap!$D:$D,0)-1+COUNTIF($E197:V197,"u")+COUNTIF($E197:V197,"t")+COUNTIF($E197:V197,"¶")+COUNTIF($E197:V197,"²")+COUNTIF($E197:V197,"µ")+COUNTIF($E197:V197,1),ColDescriptionCourte)),""),
  "")),"")</f>
        <v/>
      </c>
      <c r="X197" s="40" t="str">
        <f ca="1">IFERROR(IF(AND(
  INDEX(Roadmap!$D:$K,MATCH($E197,Roadmap!$D:$D,0)+COUNTIF($E197:W197,"u")+COUNTIF($E197:W197,"t")+COUNTIF($E197:W197,"¶")+COUNTIF($E197:W197,"²")+COUNTIF($E197:W197,"µ")+COUNTIF($E197:W197,1),ColLivraison)=X$6,
  VLOOKUP($E197,INDIRECT("tri!"&amp; CHAR(64+ C0Col) &amp;":"&amp; CHAR(65+C0Col)),2,FALSE)&gt;COUNTIF($E197:W197,"u")+COUNTIF($E197:W197,"t")+COUNTIF($E197:W197,"¶")+COUNTIF($E197:W197,"²")+COUNTIF($E197:W197,"µ")+COUNTIF($E197:W197,1)),
HYPERLINK("#Roadmap!C"&amp; MATCH($E197,Roadmap!$D:$D,0)+COUNTIF($E197:W197,"u")+COUNTIF($E197:W197,"t"),
     INDEX(Roadmap!$D:$K,MATCH($E197,Roadmap!$D:$D,0)+COUNTIF($E197:W197,"u")+COUNTIF($E197:W197,"t")+COUNTIF($E197:W197,"¶")+COUNTIF($E197:W197,"²")+COUNTIF($E197:W197,"µ")+COUNTIF($E197:W197,1),ColTypeEcheance)),
  IF(LEN(W197)=1,
  IF(LEN(INDEX(Roadmap!$D:$K,MATCH($E197,Roadmap!$D:$D,0)-1+COUNTIF($E197:W197,"u")+COUNTIF($E197:W197,"t")+COUNTIF($E197:W197,"¶")+COUNTIF($E197:W197,"²")+COUNTIF($E197:W197,"µ")+COUNTIF($E197:W197,1),ColDescriptionCourte))&gt;1,
HYPERLINK("#Roadmap!C"&amp; MATCH($E197,Roadmap!$D:$D,0)+COUNTIF($E197:W197,"u")+COUNTIF($E197:W197,"t")+COUNTIF($E197:W197,"¶")+COUNTIF($E197:W197,"²")+COUNTIF($E197:W197,"µ")+COUNTIF($E197:W197,1)-1,INDEX(Roadmap!$D:$K,MATCH($E197,Roadmap!$D:$D,0)-1+COUNTIF($E197:W197,"u")+COUNTIF($E197:W197,"t")+COUNTIF($E197:W197,"¶")+COUNTIF($E197:W197,"²")+COUNTIF($E197:W197,"µ")+COUNTIF($E197:W197,1),ColDescriptionCourte)),""),
  "")),"")</f>
        <v/>
      </c>
      <c r="Y197" s="40" t="str">
        <f ca="1">IFERROR(IF(AND(
  INDEX(Roadmap!$D:$K,MATCH($E197,Roadmap!$D:$D,0)+COUNTIF($E197:X197,"u")+COUNTIF($E197:X197,"t")+COUNTIF($E197:X197,"¶")+COUNTIF($E197:X197,"²")+COUNTIF($E197:X197,"µ")+COUNTIF($E197:X197,1),ColLivraison)=Y$6,
  VLOOKUP($E197,INDIRECT("tri!"&amp; CHAR(64+ C0Col) &amp;":"&amp; CHAR(65+C0Col)),2,FALSE)&gt;COUNTIF($E197:X197,"u")+COUNTIF($E197:X197,"t")+COUNTIF($E197:X197,"¶")+COUNTIF($E197:X197,"²")+COUNTIF($E197:X197,"µ")+COUNTIF($E197:X197,1)),
HYPERLINK("#Roadmap!C"&amp; MATCH($E197,Roadmap!$D:$D,0)+COUNTIF($E197:X197,"u")+COUNTIF($E197:X197,"t"),
     INDEX(Roadmap!$D:$K,MATCH($E197,Roadmap!$D:$D,0)+COUNTIF($E197:X197,"u")+COUNTIF($E197:X197,"t")+COUNTIF($E197:X197,"¶")+COUNTIF($E197:X197,"²")+COUNTIF($E197:X197,"µ")+COUNTIF($E197:X197,1),ColTypeEcheance)),
  IF(LEN(X197)=1,
  IF(LEN(INDEX(Roadmap!$D:$K,MATCH($E197,Roadmap!$D:$D,0)-1+COUNTIF($E197:X197,"u")+COUNTIF($E197:X197,"t")+COUNTIF($E197:X197,"¶")+COUNTIF($E197:X197,"²")+COUNTIF($E197:X197,"µ")+COUNTIF($E197:X197,1),ColDescriptionCourte))&gt;1,
HYPERLINK("#Roadmap!C"&amp; MATCH($E197,Roadmap!$D:$D,0)+COUNTIF($E197:X197,"u")+COUNTIF($E197:X197,"t")+COUNTIF($E197:X197,"¶")+COUNTIF($E197:X197,"²")+COUNTIF($E197:X197,"µ")+COUNTIF($E197:X197,1)-1,INDEX(Roadmap!$D:$K,MATCH($E197,Roadmap!$D:$D,0)-1+COUNTIF($E197:X197,"u")+COUNTIF($E197:X197,"t")+COUNTIF($E197:X197,"¶")+COUNTIF($E197:X197,"²")+COUNTIF($E197:X197,"µ")+COUNTIF($E197:X197,1),ColDescriptionCourte)),""),
  "")),"")</f>
        <v/>
      </c>
      <c r="Z197" s="40" t="str">
        <f ca="1">IFERROR(IF(AND(
  INDEX(Roadmap!$D:$K,MATCH($E197,Roadmap!$D:$D,0)+COUNTIF($E197:Y197,"u")+COUNTIF($E197:Y197,"t")+COUNTIF($E197:Y197,"¶")+COUNTIF($E197:Y197,"²")+COUNTIF($E197:Y197,"µ")+COUNTIF($E197:Y197,1),ColLivraison)=Z$6,
  VLOOKUP($E197,INDIRECT("tri!"&amp; CHAR(64+ C0Col) &amp;":"&amp; CHAR(65+C0Col)),2,FALSE)&gt;COUNTIF($E197:Y197,"u")+COUNTIF($E197:Y197,"t")+COUNTIF($E197:Y197,"¶")+COUNTIF($E197:Y197,"²")+COUNTIF($E197:Y197,"µ")+COUNTIF($E197:Y197,1)),
HYPERLINK("#Roadmap!C"&amp; MATCH($E197,Roadmap!$D:$D,0)+COUNTIF($E197:Y197,"u")+COUNTIF($E197:Y197,"t"),
     INDEX(Roadmap!$D:$K,MATCH($E197,Roadmap!$D:$D,0)+COUNTIF($E197:Y197,"u")+COUNTIF($E197:Y197,"t")+COUNTIF($E197:Y197,"¶")+COUNTIF($E197:Y197,"²")+COUNTIF($E197:Y197,"µ")+COUNTIF($E197:Y197,1),ColTypeEcheance)),
  IF(LEN(Y197)=1,
  IF(LEN(INDEX(Roadmap!$D:$K,MATCH($E197,Roadmap!$D:$D,0)-1+COUNTIF($E197:Y197,"u")+COUNTIF($E197:Y197,"t")+COUNTIF($E197:Y197,"¶")+COUNTIF($E197:Y197,"²")+COUNTIF($E197:Y197,"µ")+COUNTIF($E197:Y197,1),ColDescriptionCourte))&gt;1,
HYPERLINK("#Roadmap!C"&amp; MATCH($E197,Roadmap!$D:$D,0)+COUNTIF($E197:Y197,"u")+COUNTIF($E197:Y197,"t")+COUNTIF($E197:Y197,"¶")+COUNTIF($E197:Y197,"²")+COUNTIF($E197:Y197,"µ")+COUNTIF($E197:Y197,1)-1,INDEX(Roadmap!$D:$K,MATCH($E197,Roadmap!$D:$D,0)-1+COUNTIF($E197:Y197,"u")+COUNTIF($E197:Y197,"t")+COUNTIF($E197:Y197,"¶")+COUNTIF($E197:Y197,"²")+COUNTIF($E197:Y197,"µ")+COUNTIF($E197:Y197,1),ColDescriptionCourte)),""),
  "")),"")</f>
        <v/>
      </c>
      <c r="AA197" s="40" t="str">
        <f ca="1">IFERROR(IF(AND(
  INDEX(Roadmap!$D:$K,MATCH($E197,Roadmap!$D:$D,0)+COUNTIF($E197:Z197,"u")+COUNTIF($E197:Z197,"t")+COUNTIF($E197:Z197,"¶")+COUNTIF($E197:Z197,"²")+COUNTIF($E197:Z197,"µ")+COUNTIF($E197:Z197,1),ColLivraison)=AA$6,
  VLOOKUP($E197,INDIRECT("tri!"&amp; CHAR(64+ C0Col) &amp;":"&amp; CHAR(65+C0Col)),2,FALSE)&gt;COUNTIF($E197:Z197,"u")+COUNTIF($E197:Z197,"t")+COUNTIF($E197:Z197,"¶")+COUNTIF($E197:Z197,"²")+COUNTIF($E197:Z197,"µ")+COUNTIF($E197:Z197,1)),
HYPERLINK("#Roadmap!C"&amp; MATCH($E197,Roadmap!$D:$D,0)+COUNTIF($E197:Z197,"u")+COUNTIF($E197:Z197,"t"),
     INDEX(Roadmap!$D:$K,MATCH($E197,Roadmap!$D:$D,0)+COUNTIF($E197:Z197,"u")+COUNTIF($E197:Z197,"t")+COUNTIF($E197:Z197,"¶")+COUNTIF($E197:Z197,"²")+COUNTIF($E197:Z197,"µ")+COUNTIF($E197:Z197,1),ColTypeEcheance)),
  IF(LEN(Z197)=1,
  IF(LEN(INDEX(Roadmap!$D:$K,MATCH($E197,Roadmap!$D:$D,0)-1+COUNTIF($E197:Z197,"u")+COUNTIF($E197:Z197,"t")+COUNTIF($E197:Z197,"¶")+COUNTIF($E197:Z197,"²")+COUNTIF($E197:Z197,"µ")+COUNTIF($E197:Z197,1),ColDescriptionCourte))&gt;1,
HYPERLINK("#Roadmap!C"&amp; MATCH($E197,Roadmap!$D:$D,0)+COUNTIF($E197:Z197,"u")+COUNTIF($E197:Z197,"t")+COUNTIF($E197:Z197,"¶")+COUNTIF($E197:Z197,"²")+COUNTIF($E197:Z197,"µ")+COUNTIF($E197:Z197,1)-1,INDEX(Roadmap!$D:$K,MATCH($E197,Roadmap!$D:$D,0)-1+COUNTIF($E197:Z197,"u")+COUNTIF($E197:Z197,"t")+COUNTIF($E197:Z197,"¶")+COUNTIF($E197:Z197,"²")+COUNTIF($E197:Z197,"µ")+COUNTIF($E197:Z197,1),ColDescriptionCourte)),""),
  "")),"")</f>
        <v/>
      </c>
      <c r="AB197" s="40" t="str">
        <f ca="1">IFERROR(IF(AND(
  INDEX(Roadmap!$D:$K,MATCH($E197,Roadmap!$D:$D,0)+COUNTIF($E197:AA197,"u")+COUNTIF($E197:AA197,"t")+COUNTIF($E197:AA197,"¶")+COUNTIF($E197:AA197,"²")+COUNTIF($E197:AA197,"µ")+COUNTIF($E197:AA197,1),ColLivraison)=AB$6,
  VLOOKUP($E197,INDIRECT("tri!"&amp; CHAR(64+ C0Col) &amp;":"&amp; CHAR(65+C0Col)),2,FALSE)&gt;COUNTIF($E197:AA197,"u")+COUNTIF($E197:AA197,"t")+COUNTIF($E197:AA197,"¶")+COUNTIF($E197:AA197,"²")+COUNTIF($E197:AA197,"µ")+COUNTIF($E197:AA197,1)),
HYPERLINK("#Roadmap!C"&amp; MATCH($E197,Roadmap!$D:$D,0)+COUNTIF($E197:AA197,"u")+COUNTIF($E197:AA197,"t"),
     INDEX(Roadmap!$D:$K,MATCH($E197,Roadmap!$D:$D,0)+COUNTIF($E197:AA197,"u")+COUNTIF($E197:AA197,"t")+COUNTIF($E197:AA197,"¶")+COUNTIF($E197:AA197,"²")+COUNTIF($E197:AA197,"µ")+COUNTIF($E197:AA197,1),ColTypeEcheance)),
  IF(LEN(AA197)=1,
  IF(LEN(INDEX(Roadmap!$D:$K,MATCH($E197,Roadmap!$D:$D,0)-1+COUNTIF($E197:AA197,"u")+COUNTIF($E197:AA197,"t")+COUNTIF($E197:AA197,"¶")+COUNTIF($E197:AA197,"²")+COUNTIF($E197:AA197,"µ")+COUNTIF($E197:AA197,1),ColDescriptionCourte))&gt;1,
HYPERLINK("#Roadmap!C"&amp; MATCH($E197,Roadmap!$D:$D,0)+COUNTIF($E197:AA197,"u")+COUNTIF($E197:AA197,"t")+COUNTIF($E197:AA197,"¶")+COUNTIF($E197:AA197,"²")+COUNTIF($E197:AA197,"µ")+COUNTIF($E197:AA197,1)-1,INDEX(Roadmap!$D:$K,MATCH($E197,Roadmap!$D:$D,0)-1+COUNTIF($E197:AA197,"u")+COUNTIF($E197:AA197,"t")+COUNTIF($E197:AA197,"¶")+COUNTIF($E197:AA197,"²")+COUNTIF($E197:AA197,"µ")+COUNTIF($E197:AA197,1),ColDescriptionCourte)),""),
  "")),"")</f>
        <v/>
      </c>
      <c r="AC197" s="40" t="str">
        <f ca="1">IFERROR(IF(AND(
  INDEX(Roadmap!$D:$K,MATCH($E197,Roadmap!$D:$D,0)+COUNTIF($E197:AB197,"u")+COUNTIF($E197:AB197,"t")+COUNTIF($E197:AB197,"¶")+COUNTIF($E197:AB197,"²")+COUNTIF($E197:AB197,"µ")+COUNTIF($E197:AB197,1),ColLivraison)=AC$6,
  VLOOKUP($E197,INDIRECT("tri!"&amp; CHAR(64+ C0Col) &amp;":"&amp; CHAR(65+C0Col)),2,FALSE)&gt;COUNTIF($E197:AB197,"u")+COUNTIF($E197:AB197,"t")+COUNTIF($E197:AB197,"¶")+COUNTIF($E197:AB197,"²")+COUNTIF($E197:AB197,"µ")+COUNTIF($E197:AB197,1)),
HYPERLINK("#Roadmap!C"&amp; MATCH($E197,Roadmap!$D:$D,0)+COUNTIF($E197:AB197,"u")+COUNTIF($E197:AB197,"t"),
     INDEX(Roadmap!$D:$K,MATCH($E197,Roadmap!$D:$D,0)+COUNTIF($E197:AB197,"u")+COUNTIF($E197:AB197,"t")+COUNTIF($E197:AB197,"¶")+COUNTIF($E197:AB197,"²")+COUNTIF($E197:AB197,"µ")+COUNTIF($E197:AB197,1),ColTypeEcheance)),
  IF(LEN(AB197)=1,
  IF(LEN(INDEX(Roadmap!$D:$K,MATCH($E197,Roadmap!$D:$D,0)-1+COUNTIF($E197:AB197,"u")+COUNTIF($E197:AB197,"t")+COUNTIF($E197:AB197,"¶")+COUNTIF($E197:AB197,"²")+COUNTIF($E197:AB197,"µ")+COUNTIF($E197:AB197,1),ColDescriptionCourte))&gt;1,
HYPERLINK("#Roadmap!C"&amp; MATCH($E197,Roadmap!$D:$D,0)+COUNTIF($E197:AB197,"u")+COUNTIF($E197:AB197,"t")+COUNTIF($E197:AB197,"¶")+COUNTIF($E197:AB197,"²")+COUNTIF($E197:AB197,"µ")+COUNTIF($E197:AB197,1)-1,INDEX(Roadmap!$D:$K,MATCH($E197,Roadmap!$D:$D,0)-1+COUNTIF($E197:AB197,"u")+COUNTIF($E197:AB197,"t")+COUNTIF($E197:AB197,"¶")+COUNTIF($E197:AB197,"²")+COUNTIF($E197:AB197,"µ")+COUNTIF($E197:AB197,1),ColDescriptionCourte)),""),
  "")),"")</f>
        <v/>
      </c>
      <c r="AD197" s="40" t="str">
        <f ca="1">IFERROR(IF(AND(
  INDEX(Roadmap!$D:$K,MATCH($E197,Roadmap!$D:$D,0)+COUNTIF($E197:AC197,"u")+COUNTIF($E197:AC197,"t")+COUNTIF($E197:AC197,"¶")+COUNTIF($E197:AC197,"²")+COUNTIF($E197:AC197,"µ")+COUNTIF($E197:AC197,1),ColLivraison)=AD$6,
  VLOOKUP($E197,INDIRECT("tri!"&amp; CHAR(64+ C0Col) &amp;":"&amp; CHAR(65+C0Col)),2,FALSE)&gt;COUNTIF($E197:AC197,"u")+COUNTIF($E197:AC197,"t")+COUNTIF($E197:AC197,"¶")+COUNTIF($E197:AC197,"²")+COUNTIF($E197:AC197,"µ")+COUNTIF($E197:AC197,1)),
HYPERLINK("#Roadmap!C"&amp; MATCH($E197,Roadmap!$D:$D,0)+COUNTIF($E197:AC197,"u")+COUNTIF($E197:AC197,"t"),
     INDEX(Roadmap!$D:$K,MATCH($E197,Roadmap!$D:$D,0)+COUNTIF($E197:AC197,"u")+COUNTIF($E197:AC197,"t")+COUNTIF($E197:AC197,"¶")+COUNTIF($E197:AC197,"²")+COUNTIF($E197:AC197,"µ")+COUNTIF($E197:AC197,1),ColTypeEcheance)),
  IF(LEN(AC197)=1,
  IF(LEN(INDEX(Roadmap!$D:$K,MATCH($E197,Roadmap!$D:$D,0)-1+COUNTIF($E197:AC197,"u")+COUNTIF($E197:AC197,"t")+COUNTIF($E197:AC197,"¶")+COUNTIF($E197:AC197,"²")+COUNTIF($E197:AC197,"µ")+COUNTIF($E197:AC197,1),ColDescriptionCourte))&gt;1,
HYPERLINK("#Roadmap!C"&amp; MATCH($E197,Roadmap!$D:$D,0)+COUNTIF($E197:AC197,"u")+COUNTIF($E197:AC197,"t")+COUNTIF($E197:AC197,"¶")+COUNTIF($E197:AC197,"²")+COUNTIF($E197:AC197,"µ")+COUNTIF($E197:AC197,1)-1,INDEX(Roadmap!$D:$K,MATCH($E197,Roadmap!$D:$D,0)-1+COUNTIF($E197:AC197,"u")+COUNTIF($E197:AC197,"t")+COUNTIF($E197:AC197,"¶")+COUNTIF($E197:AC197,"²")+COUNTIF($E197:AC197,"µ")+COUNTIF($E197:AC197,1),ColDescriptionCourte)),""),
  "")),"")</f>
        <v/>
      </c>
      <c r="AE197" s="40" t="str">
        <f ca="1">IFERROR(IF(AND(
  INDEX(Roadmap!$D:$K,MATCH($E197,Roadmap!$D:$D,0)+COUNTIF($E197:AD197,"u")+COUNTIF($E197:AD197,"t")+COUNTIF($E197:AD197,"¶")+COUNTIF($E197:AD197,"²")+COUNTIF($E197:AD197,"µ")+COUNTIF($E197:AD197,1),ColLivraison)=AE$6,
  VLOOKUP($E197,INDIRECT("tri!"&amp; CHAR(64+ C0Col) &amp;":"&amp; CHAR(65+C0Col)),2,FALSE)&gt;COUNTIF($E197:AD197,"u")+COUNTIF($E197:AD197,"t")+COUNTIF($E197:AD197,"¶")+COUNTIF($E197:AD197,"²")+COUNTIF($E197:AD197,"µ")+COUNTIF($E197:AD197,1)),
HYPERLINK("#Roadmap!C"&amp; MATCH($E197,Roadmap!$D:$D,0)+COUNTIF($E197:AD197,"u")+COUNTIF($E197:AD197,"t"),
     INDEX(Roadmap!$D:$K,MATCH($E197,Roadmap!$D:$D,0)+COUNTIF($E197:AD197,"u")+COUNTIF($E197:AD197,"t")+COUNTIF($E197:AD197,"¶")+COUNTIF($E197:AD197,"²")+COUNTIF($E197:AD197,"µ")+COUNTIF($E197:AD197,1),ColTypeEcheance)),
  IF(LEN(AD197)=1,
  IF(LEN(INDEX(Roadmap!$D:$K,MATCH($E197,Roadmap!$D:$D,0)-1+COUNTIF($E197:AD197,"u")+COUNTIF($E197:AD197,"t")+COUNTIF($E197:AD197,"¶")+COUNTIF($E197:AD197,"²")+COUNTIF($E197:AD197,"µ")+COUNTIF($E197:AD197,1),ColDescriptionCourte))&gt;1,
HYPERLINK("#Roadmap!C"&amp; MATCH($E197,Roadmap!$D:$D,0)+COUNTIF($E197:AD197,"u")+COUNTIF($E197:AD197,"t")+COUNTIF($E197:AD197,"¶")+COUNTIF($E197:AD197,"²")+COUNTIF($E197:AD197,"µ")+COUNTIF($E197:AD197,1)-1,INDEX(Roadmap!$D:$K,MATCH($E197,Roadmap!$D:$D,0)-1+COUNTIF($E197:AD197,"u")+COUNTIF($E197:AD197,"t")+COUNTIF($E197:AD197,"¶")+COUNTIF($E197:AD197,"²")+COUNTIF($E197:AD197,"µ")+COUNTIF($E197:AD197,1),ColDescriptionCourte)),""),
  "")),"")</f>
        <v/>
      </c>
      <c r="AF197" s="40" t="str">
        <f ca="1">IFERROR(IF(AND(
  INDEX(Roadmap!$D:$K,MATCH($E197,Roadmap!$D:$D,0)+COUNTIF($E197:AE197,"u")+COUNTIF($E197:AE197,"t")+COUNTIF($E197:AE197,"¶")+COUNTIF($E197:AE197,"²")+COUNTIF($E197:AE197,"µ")+COUNTIF($E197:AE197,1),ColLivraison)=AF$6,
  VLOOKUP($E197,INDIRECT("tri!"&amp; CHAR(64+ C0Col) &amp;":"&amp; CHAR(65+C0Col)),2,FALSE)&gt;COUNTIF($E197:AE197,"u")+COUNTIF($E197:AE197,"t")+COUNTIF($E197:AE197,"¶")+COUNTIF($E197:AE197,"²")+COUNTIF($E197:AE197,"µ")+COUNTIF($E197:AE197,1)),
HYPERLINK("#Roadmap!C"&amp; MATCH($E197,Roadmap!$D:$D,0)+COUNTIF($E197:AE197,"u")+COUNTIF($E197:AE197,"t"),
     INDEX(Roadmap!$D:$K,MATCH($E197,Roadmap!$D:$D,0)+COUNTIF($E197:AE197,"u")+COUNTIF($E197:AE197,"t")+COUNTIF($E197:AE197,"¶")+COUNTIF($E197:AE197,"²")+COUNTIF($E197:AE197,"µ")+COUNTIF($E197:AE197,1),ColTypeEcheance)),
  IF(LEN(AE197)=1,
  IF(LEN(INDEX(Roadmap!$D:$K,MATCH($E197,Roadmap!$D:$D,0)-1+COUNTIF($E197:AE197,"u")+COUNTIF($E197:AE197,"t")+COUNTIF($E197:AE197,"¶")+COUNTIF($E197:AE197,"²")+COUNTIF($E197:AE197,"µ")+COUNTIF($E197:AE197,1),ColDescriptionCourte))&gt;1,
HYPERLINK("#Roadmap!C"&amp; MATCH($E197,Roadmap!$D:$D,0)+COUNTIF($E197:AE197,"u")+COUNTIF($E197:AE197,"t")+COUNTIF($E197:AE197,"¶")+COUNTIF($E197:AE197,"²")+COUNTIF($E197:AE197,"µ")+COUNTIF($E197:AE197,1)-1,INDEX(Roadmap!$D:$K,MATCH($E197,Roadmap!$D:$D,0)-1+COUNTIF($E197:AE197,"u")+COUNTIF($E197:AE197,"t")+COUNTIF($E197:AE197,"¶")+COUNTIF($E197:AE197,"²")+COUNTIF($E197:AE197,"µ")+COUNTIF($E197:AE197,1),ColDescriptionCourte)),""),
  "")),"")</f>
        <v/>
      </c>
      <c r="AG197" s="40" t="str">
        <f ca="1">IFERROR(IF(AND(
  INDEX(Roadmap!$D:$K,MATCH($E197,Roadmap!$D:$D,0)+COUNTIF($E197:AF197,"u")+COUNTIF($E197:AF197,"t")+COUNTIF($E197:AF197,"¶")+COUNTIF($E197:AF197,"²")+COUNTIF($E197:AF197,"µ")+COUNTIF($E197:AF197,1),ColLivraison)=AG$6,
  VLOOKUP($E197,INDIRECT("tri!"&amp; CHAR(64+ C0Col) &amp;":"&amp; CHAR(65+C0Col)),2,FALSE)&gt;COUNTIF($E197:AF197,"u")+COUNTIF($E197:AF197,"t")+COUNTIF($E197:AF197,"¶")+COUNTIF($E197:AF197,"²")+COUNTIF($E197:AF197,"µ")+COUNTIF($E197:AF197,1)),
HYPERLINK("#Roadmap!C"&amp; MATCH($E197,Roadmap!$D:$D,0)+COUNTIF($E197:AF197,"u")+COUNTIF($E197:AF197,"t"),
     INDEX(Roadmap!$D:$K,MATCH($E197,Roadmap!$D:$D,0)+COUNTIF($E197:AF197,"u")+COUNTIF($E197:AF197,"t")+COUNTIF($E197:AF197,"¶")+COUNTIF($E197:AF197,"²")+COUNTIF($E197:AF197,"µ")+COUNTIF($E197:AF197,1),ColTypeEcheance)),
  IF(LEN(AF197)=1,
  IF(LEN(INDEX(Roadmap!$D:$K,MATCH($E197,Roadmap!$D:$D,0)-1+COUNTIF($E197:AF197,"u")+COUNTIF($E197:AF197,"t")+COUNTIF($E197:AF197,"¶")+COUNTIF($E197:AF197,"²")+COUNTIF($E197:AF197,"µ")+COUNTIF($E197:AF197,1),ColDescriptionCourte))&gt;1,
HYPERLINK("#Roadmap!C"&amp; MATCH($E197,Roadmap!$D:$D,0)+COUNTIF($E197:AF197,"u")+COUNTIF($E197:AF197,"t")+COUNTIF($E197:AF197,"¶")+COUNTIF($E197:AF197,"²")+COUNTIF($E197:AF197,"µ")+COUNTIF($E197:AF197,1)-1,INDEX(Roadmap!$D:$K,MATCH($E197,Roadmap!$D:$D,0)-1+COUNTIF($E197:AF197,"u")+COUNTIF($E197:AF197,"t")+COUNTIF($E197:AF197,"¶")+COUNTIF($E197:AF197,"²")+COUNTIF($E197:AF197,"µ")+COUNTIF($E197:AF197,1),ColDescriptionCourte)),""),
  "")),"")</f>
        <v/>
      </c>
      <c r="AH197" s="40" t="str">
        <f ca="1">IFERROR(IF(AND(
  INDEX(Roadmap!$D:$K,MATCH($E197,Roadmap!$D:$D,0)+COUNTIF($E197:AG197,"u")+COUNTIF($E197:AG197,"t")+COUNTIF($E197:AG197,1),ColLivraison)=AH$6,
  VLOOKUP($E197,INDIRECT("tri!"&amp; CHAR(64+ C0Col) &amp;":"&amp; CHAR(65+C0Col)),2,FALSE)&gt;COUNTIF($E197:AG197,"u")+COUNTIF($E197:AG197,"t")+COUNTIF($E197:AG197,1)),
HYPERLINK("#Roadmap!C"&amp; MATCH($E197,Roadmap!$D:$D,0)+COUNTIF($E197:AG197,"u")+COUNTIF($E197:AG197,"t"),
     INDEX(Roadmap!$D:$K,MATCH($E197,Roadmap!$D:$D,0)+COUNTIF($E197:AG197,"u")+COUNTIF($E197:AG197,"t")+COUNTIF($E197:AG197,1),ColTypeEcheance)),
  IF(OR(AG197="u",AG197="t",AG197=1),
  IF(LEN(INDEX(Roadmap!$D:$K,MATCH($E197,Roadmap!$D:$D,0)-1+COUNTIF($E197:AG197,"u")+COUNTIF($E197:AG197,"t")+COUNTIF($E197:AG197,1),ColDescriptionCourte))&gt;1,
HYPERLINK("#Roadmap!C"&amp; MATCH($E197,Roadmap!$D:$D,0)+COUNTIF($E197:AG197,"u")+COUNTIF($E197:AG197,"t")+COUNTIF($E197:AG197,1)-1,INDEX(Roadmap!$D:$K,MATCH($E197,Roadmap!$D:$D,0)-1+COUNTIF($E197:AG197,"u")+COUNTIF($E197:AG197,"t")+COUNTIF($E197:AG197,1),ColDescriptionCourte)),""),
  "")),"")</f>
        <v/>
      </c>
      <c r="AI197" s="40"/>
      <c r="AJ197" s="40"/>
      <c r="AK197" s="40"/>
      <c r="AL197" s="40"/>
      <c r="AM197" s="40"/>
    </row>
    <row r="198" spans="4:39" ht="14.1" customHeight="1">
      <c r="D198" s="20" t="str">
        <f t="shared" ca="1" si="31"/>
        <v/>
      </c>
      <c r="E198" s="53" t="str">
        <f t="shared" ca="1" si="32"/>
        <v/>
      </c>
      <c r="F198" s="39" t="str">
        <f ca="1">IFERROR(IF(AND(
  INDEX(Roadmap!$D:$K,MATCH($E198,Roadmap!$D:$D,0)+COUNTIF($E198:E198,"u")+COUNTIF($E198:E198,"t")+COUNTIF($E198:E198,"¶")+COUNTIF($E198:E198,"²")+COUNTIF($E198:E198,"µ")+COUNTIF($E198:E198,1),ColLivraison)=F$6,
  VLOOKUP($E198,INDIRECT("tri!"&amp; CHAR(64+ C0Col) &amp;":"&amp; CHAR(65+C0Col)),2,FALSE)&gt;COUNTIF($E198:E198,"u")+COUNTIF($E198:E198,"t")+COUNTIF($E198:E198,"¶")+COUNTIF($E198:E198,"²")+COUNTIF($E198:E198,"µ")+COUNTIF($E198:E198,1)),
HYPERLINK("#Roadmap!C"&amp; MATCH($E198,Roadmap!$D:$D,0)+COUNTIF($E198:E198,"u")+COUNTIF($E198:E198,"t"),
     INDEX(Roadmap!$D:$K,MATCH($E198,Roadmap!$D:$D,0)+COUNTIF($E198:E198,"u")+COUNTIF($E198:E198,"t")+COUNTIF($E198:E198,"¶")+COUNTIF($E198:E198,"²")+COUNTIF($E198:E198,"µ")+COUNTIF($E198:E198,1),ColTypeEcheance)),
  IF(LEN(E198)=1,
  IF(LEN(INDEX(Roadmap!$D:$K,MATCH($E198,Roadmap!$D:$D,0)-1+COUNTIF($E198:E198,"u")+COUNTIF($E198:E198,"t")+COUNTIF($E198:E198,"¶")+COUNTIF($E198:E198,"²")+COUNTIF($E198:E198,"µ")+COUNTIF($E198:E198,1),ColDescriptionCourte))&gt;1,
HYPERLINK("#Roadmap!C"&amp; MATCH($E198,Roadmap!$D:$D,0)+COUNTIF($E198:E198,"u")+COUNTIF($E198:E198,"t")+COUNTIF($E198:E198,"¶")+COUNTIF($E198:E198,"²")+COUNTIF($E198:E198,"µ")+COUNTIF($E198:E198,1)-1,INDEX(Roadmap!$D:$K,MATCH($E198,Roadmap!$D:$D,0)-1+COUNTIF($E198:E198,"u")+COUNTIF($E198:E198,"t")+COUNTIF($E198:E198,"¶")+COUNTIF($E198:E198,"²")+COUNTIF($E198:E198,"µ")+COUNTIF($E198:E198,1),ColDescriptionCourte)),""),
  "")),"")</f>
        <v/>
      </c>
      <c r="G198" s="40" t="str">
        <f ca="1">IFERROR(IF(AND(
  INDEX(Roadmap!$D:$K,MATCH($E198,Roadmap!$D:$D,0)+COUNTIF($E198:F198,"u")+COUNTIF($E198:F198,"t")+COUNTIF($E198:F198,"¶")+COUNTIF($E198:F198,"²")+COUNTIF($E198:F198,"µ")+COUNTIF($E198:F198,1),ColLivraison)=G$6,
  VLOOKUP($E198,INDIRECT("tri!"&amp; CHAR(64+ C0Col) &amp;":"&amp; CHAR(65+C0Col)),2,FALSE)&gt;COUNTIF($E198:F198,"u")+COUNTIF($E198:F198,"t")+COUNTIF($E198:F198,"¶")+COUNTIF($E198:F198,"²")+COUNTIF($E198:F198,"µ")+COUNTIF($E198:F198,1)),
HYPERLINK("#Roadmap!C"&amp; MATCH($E198,Roadmap!$D:$D,0)+COUNTIF($E198:F198,"u")+COUNTIF($E198:F198,"t"),
     INDEX(Roadmap!$D:$K,MATCH($E198,Roadmap!$D:$D,0)+COUNTIF($E198:F198,"u")+COUNTIF($E198:F198,"t")+COUNTIF($E198:F198,"¶")+COUNTIF($E198:F198,"²")+COUNTIF($E198:F198,"µ")+COUNTIF($E198:F198,1),ColTypeEcheance)),
  IF(LEN(F198)=1,
  IF(LEN(INDEX(Roadmap!$D:$K,MATCH($E198,Roadmap!$D:$D,0)-1+COUNTIF($E198:F198,"u")+COUNTIF($E198:F198,"t")+COUNTIF($E198:F198,"¶")+COUNTIF($E198:F198,"²")+COUNTIF($E198:F198,"µ")+COUNTIF($E198:F198,1),ColDescriptionCourte))&gt;1,
HYPERLINK("#Roadmap!C"&amp; MATCH($E198,Roadmap!$D:$D,0)+COUNTIF($E198:F198,"u")+COUNTIF($E198:F198,"t")+COUNTIF($E198:F198,"¶")+COUNTIF($E198:F198,"²")+COUNTIF($E198:F198,"µ")+COUNTIF($E198:F198,1)-1,INDEX(Roadmap!$D:$K,MATCH($E198,Roadmap!$D:$D,0)-1+COUNTIF($E198:F198,"u")+COUNTIF($E198:F198,"t")+COUNTIF($E198:F198,"¶")+COUNTIF($E198:F198,"²")+COUNTIF($E198:F198,"µ")+COUNTIF($E198:F198,1),ColDescriptionCourte)),""),
  "")),"")</f>
        <v/>
      </c>
      <c r="H198" s="40" t="str">
        <f ca="1">IFERROR(IF(AND(
  INDEX(Roadmap!$D:$K,MATCH($E198,Roadmap!$D:$D,0)+COUNTIF($E198:G198,"u")+COUNTIF($E198:G198,"t")+COUNTIF($E198:G198,"¶")+COUNTIF($E198:G198,"²")+COUNTIF($E198:G198,"µ")+COUNTIF($E198:G198,1),ColLivraison)=H$6,
  VLOOKUP($E198,INDIRECT("tri!"&amp; CHAR(64+ C0Col) &amp;":"&amp; CHAR(65+C0Col)),2,FALSE)&gt;COUNTIF($E198:G198,"u")+COUNTIF($E198:G198,"t")+COUNTIF($E198:G198,"¶")+COUNTIF($E198:G198,"²")+COUNTIF($E198:G198,"µ")+COUNTIF($E198:G198,1)),
HYPERLINK("#Roadmap!C"&amp; MATCH($E198,Roadmap!$D:$D,0)+COUNTIF($E198:G198,"u")+COUNTIF($E198:G198,"t"),
     INDEX(Roadmap!$D:$K,MATCH($E198,Roadmap!$D:$D,0)+COUNTIF($E198:G198,"u")+COUNTIF($E198:G198,"t")+COUNTIF($E198:G198,"¶")+COUNTIF($E198:G198,"²")+COUNTIF($E198:G198,"µ")+COUNTIF($E198:G198,1),ColTypeEcheance)),
  IF(LEN(G198)=1,
  IF(LEN(INDEX(Roadmap!$D:$K,MATCH($E198,Roadmap!$D:$D,0)-1+COUNTIF($E198:G198,"u")+COUNTIF($E198:G198,"t")+COUNTIF($E198:G198,"¶")+COUNTIF($E198:G198,"²")+COUNTIF($E198:G198,"µ")+COUNTIF($E198:G198,1),ColDescriptionCourte))&gt;1,
HYPERLINK("#Roadmap!C"&amp; MATCH($E198,Roadmap!$D:$D,0)+COUNTIF($E198:G198,"u")+COUNTIF($E198:G198,"t")+COUNTIF($E198:G198,"¶")+COUNTIF($E198:G198,"²")+COUNTIF($E198:G198,"µ")+COUNTIF($E198:G198,1)-1,INDEX(Roadmap!$D:$K,MATCH($E198,Roadmap!$D:$D,0)-1+COUNTIF($E198:G198,"u")+COUNTIF($E198:G198,"t")+COUNTIF($E198:G198,"¶")+COUNTIF($E198:G198,"²")+COUNTIF($E198:G198,"µ")+COUNTIF($E198:G198,1),ColDescriptionCourte)),""),
  "")),"")</f>
        <v/>
      </c>
      <c r="I198" s="40" t="str">
        <f ca="1">IFERROR(IF(AND(
  INDEX(Roadmap!$D:$K,MATCH($E198,Roadmap!$D:$D,0)+COUNTIF($E198:H198,"u")+COUNTIF($E198:H198,"t")+COUNTIF($E198:H198,"¶")+COUNTIF($E198:H198,"²")+COUNTIF($E198:H198,"µ")+COUNTIF($E198:H198,1),ColLivraison)=I$6,
  VLOOKUP($E198,INDIRECT("tri!"&amp; CHAR(64+ C0Col) &amp;":"&amp; CHAR(65+C0Col)),2,FALSE)&gt;COUNTIF($E198:H198,"u")+COUNTIF($E198:H198,"t")+COUNTIF($E198:H198,"¶")+COUNTIF($E198:H198,"²")+COUNTIF($E198:H198,"µ")+COUNTIF($E198:H198,1)),
HYPERLINK("#Roadmap!C"&amp; MATCH($E198,Roadmap!$D:$D,0)+COUNTIF($E198:H198,"u")+COUNTIF($E198:H198,"t"),
     INDEX(Roadmap!$D:$K,MATCH($E198,Roadmap!$D:$D,0)+COUNTIF($E198:H198,"u")+COUNTIF($E198:H198,"t")+COUNTIF($E198:H198,"¶")+COUNTIF($E198:H198,"²")+COUNTIF($E198:H198,"µ")+COUNTIF($E198:H198,1),ColTypeEcheance)),
  IF(LEN(H198)=1,
  IF(LEN(INDEX(Roadmap!$D:$K,MATCH($E198,Roadmap!$D:$D,0)-1+COUNTIF($E198:H198,"u")+COUNTIF($E198:H198,"t")+COUNTIF($E198:H198,"¶")+COUNTIF($E198:H198,"²")+COUNTIF($E198:H198,"µ")+COUNTIF($E198:H198,1),ColDescriptionCourte))&gt;1,
HYPERLINK("#Roadmap!C"&amp; MATCH($E198,Roadmap!$D:$D,0)+COUNTIF($E198:H198,"u")+COUNTIF($E198:H198,"t")+COUNTIF($E198:H198,"¶")+COUNTIF($E198:H198,"²")+COUNTIF($E198:H198,"µ")+COUNTIF($E198:H198,1)-1,INDEX(Roadmap!$D:$K,MATCH($E198,Roadmap!$D:$D,0)-1+COUNTIF($E198:H198,"u")+COUNTIF($E198:H198,"t")+COUNTIF($E198:H198,"¶")+COUNTIF($E198:H198,"²")+COUNTIF($E198:H198,"µ")+COUNTIF($E198:H198,1),ColDescriptionCourte)),""),
  "")),"")</f>
        <v/>
      </c>
      <c r="J198" s="40" t="str">
        <f ca="1">IFERROR(IF(AND(
  INDEX(Roadmap!$D:$K,MATCH($E198,Roadmap!$D:$D,0)+COUNTIF($E198:I198,"u")+COUNTIF($E198:I198,"t")+COUNTIF($E198:I198,"¶")+COUNTIF($E198:I198,"²")+COUNTIF($E198:I198,"µ")+COUNTIF($E198:I198,1),ColLivraison)=J$6,
  VLOOKUP($E198,INDIRECT("tri!"&amp; CHAR(64+ C0Col) &amp;":"&amp; CHAR(65+C0Col)),2,FALSE)&gt;COUNTIF($E198:I198,"u")+COUNTIF($E198:I198,"t")+COUNTIF($E198:I198,"¶")+COUNTIF($E198:I198,"²")+COUNTIF($E198:I198,"µ")+COUNTIF($E198:I198,1)),
HYPERLINK("#Roadmap!C"&amp; MATCH($E198,Roadmap!$D:$D,0)+COUNTIF($E198:I198,"u")+COUNTIF($E198:I198,"t"),
     INDEX(Roadmap!$D:$K,MATCH($E198,Roadmap!$D:$D,0)+COUNTIF($E198:I198,"u")+COUNTIF($E198:I198,"t")+COUNTIF($E198:I198,"¶")+COUNTIF($E198:I198,"²")+COUNTIF($E198:I198,"µ")+COUNTIF($E198:I198,1),ColTypeEcheance)),
  IF(LEN(I198)=1,
  IF(LEN(INDEX(Roadmap!$D:$K,MATCH($E198,Roadmap!$D:$D,0)-1+COUNTIF($E198:I198,"u")+COUNTIF($E198:I198,"t")+COUNTIF($E198:I198,"¶")+COUNTIF($E198:I198,"²")+COUNTIF($E198:I198,"µ")+COUNTIF($E198:I198,1),ColDescriptionCourte))&gt;1,
HYPERLINK("#Roadmap!C"&amp; MATCH($E198,Roadmap!$D:$D,0)+COUNTIF($E198:I198,"u")+COUNTIF($E198:I198,"t")+COUNTIF($E198:I198,"¶")+COUNTIF($E198:I198,"²")+COUNTIF($E198:I198,"µ")+COUNTIF($E198:I198,1)-1,INDEX(Roadmap!$D:$K,MATCH($E198,Roadmap!$D:$D,0)-1+COUNTIF($E198:I198,"u")+COUNTIF($E198:I198,"t")+COUNTIF($E198:I198,"¶")+COUNTIF($E198:I198,"²")+COUNTIF($E198:I198,"µ")+COUNTIF($E198:I198,1),ColDescriptionCourte)),""),
  "")),"")</f>
        <v/>
      </c>
      <c r="K198" s="40" t="str">
        <f ca="1">IFERROR(IF(AND(
  INDEX(Roadmap!$D:$K,MATCH($E198,Roadmap!$D:$D,0)+COUNTIF($E198:J198,"u")+COUNTIF($E198:J198,"t")+COUNTIF($E198:J198,"¶")+COUNTIF($E198:J198,"²")+COUNTIF($E198:J198,"µ")+COUNTIF($E198:J198,1),ColLivraison)=K$6,
  VLOOKUP($E198,INDIRECT("tri!"&amp; CHAR(64+ C0Col) &amp;":"&amp; CHAR(65+C0Col)),2,FALSE)&gt;COUNTIF($E198:J198,"u")+COUNTIF($E198:J198,"t")+COUNTIF($E198:J198,"¶")+COUNTIF($E198:J198,"²")+COUNTIF($E198:J198,"µ")+COUNTIF($E198:J198,1)),
HYPERLINK("#Roadmap!C"&amp; MATCH($E198,Roadmap!$D:$D,0)+COUNTIF($E198:J198,"u")+COUNTIF($E198:J198,"t"),
     INDEX(Roadmap!$D:$K,MATCH($E198,Roadmap!$D:$D,0)+COUNTIF($E198:J198,"u")+COUNTIF($E198:J198,"t")+COUNTIF($E198:J198,"¶")+COUNTIF($E198:J198,"²")+COUNTIF($E198:J198,"µ")+COUNTIF($E198:J198,1),ColTypeEcheance)),
  IF(LEN(J198)=1,
  IF(LEN(INDEX(Roadmap!$D:$K,MATCH($E198,Roadmap!$D:$D,0)-1+COUNTIF($E198:J198,"u")+COUNTIF($E198:J198,"t")+COUNTIF($E198:J198,"¶")+COUNTIF($E198:J198,"²")+COUNTIF($E198:J198,"µ")+COUNTIF($E198:J198,1),ColDescriptionCourte))&gt;1,
HYPERLINK("#Roadmap!C"&amp; MATCH($E198,Roadmap!$D:$D,0)+COUNTIF($E198:J198,"u")+COUNTIF($E198:J198,"t")+COUNTIF($E198:J198,"¶")+COUNTIF($E198:J198,"²")+COUNTIF($E198:J198,"µ")+COUNTIF($E198:J198,1)-1,INDEX(Roadmap!$D:$K,MATCH($E198,Roadmap!$D:$D,0)-1+COUNTIF($E198:J198,"u")+COUNTIF($E198:J198,"t")+COUNTIF($E198:J198,"¶")+COUNTIF($E198:J198,"²")+COUNTIF($E198:J198,"µ")+COUNTIF($E198:J198,1),ColDescriptionCourte)),""),
  "")),"")</f>
        <v/>
      </c>
      <c r="L198" s="39" t="str">
        <f ca="1">IFERROR(IF(AND(
  INDEX(Roadmap!$D:$K,MATCH($E198,Roadmap!$D:$D,0)+COUNTIF($E198:K198,"u")+COUNTIF($E198:K198,"t")+COUNTIF($E198:K198,"¶")+COUNTIF($E198:K198,"²")+COUNTIF($E198:K198,"µ")+COUNTIF($E198:K198,1),ColLivraison)=L$6,
  VLOOKUP($E198,INDIRECT("tri!"&amp; CHAR(64+ C0Col) &amp;":"&amp; CHAR(65+C0Col)),2,FALSE)&gt;COUNTIF($E198:K198,"u")+COUNTIF($E198:K198,"t")+COUNTIF($E198:K198,"¶")+COUNTIF($E198:K198,"²")+COUNTIF($E198:K198,"µ")+COUNTIF($E198:K198,1)),
HYPERLINK("#Roadmap!C"&amp; MATCH($E198,Roadmap!$D:$D,0)+COUNTIF($E198:K198,"u")+COUNTIF($E198:K198,"t"),
     INDEX(Roadmap!$D:$K,MATCH($E198,Roadmap!$D:$D,0)+COUNTIF($E198:K198,"u")+COUNTIF($E198:K198,"t")+COUNTIF($E198:K198,"¶")+COUNTIF($E198:K198,"²")+COUNTIF($E198:K198,"µ")+COUNTIF($E198:K198,1),ColTypeEcheance)),
  IF(LEN(K198)=1,
  IF(LEN(INDEX(Roadmap!$D:$K,MATCH($E198,Roadmap!$D:$D,0)-1+COUNTIF($E198:K198,"u")+COUNTIF($E198:K198,"t")+COUNTIF($E198:K198,"¶")+COUNTIF($E198:K198,"²")+COUNTIF($E198:K198,"µ")+COUNTIF($E198:K198,1),ColDescriptionCourte))&gt;1,
HYPERLINK("#Roadmap!C"&amp; MATCH($E198,Roadmap!$D:$D,0)+COUNTIF($E198:K198,"u")+COUNTIF($E198:K198,"t")+COUNTIF($E198:K198,"¶")+COUNTIF($E198:K198,"²")+COUNTIF($E198:K198,"µ")+COUNTIF($E198:K198,1)-1,INDEX(Roadmap!$D:$K,MATCH($E198,Roadmap!$D:$D,0)-1+COUNTIF($E198:K198,"u")+COUNTIF($E198:K198,"t")+COUNTIF($E198:K198,"¶")+COUNTIF($E198:K198,"²")+COUNTIF($E198:K198,"µ")+COUNTIF($E198:K198,1),ColDescriptionCourte)),""),
  "")),"")</f>
        <v/>
      </c>
      <c r="M198" s="40" t="str">
        <f ca="1">IFERROR(IF(AND(
  INDEX(Roadmap!$D:$K,MATCH($E198,Roadmap!$D:$D,0)+COUNTIF($E198:L198,"u")+COUNTIF($E198:L198,"t")+COUNTIF($E198:L198,"¶")+COUNTIF($E198:L198,"²")+COUNTIF($E198:L198,"µ")+COUNTIF($E198:L198,1),ColLivraison)=M$6,
  VLOOKUP($E198,INDIRECT("tri!"&amp; CHAR(64+ C0Col) &amp;":"&amp; CHAR(65+C0Col)),2,FALSE)&gt;COUNTIF($E198:L198,"u")+COUNTIF($E198:L198,"t")+COUNTIF($E198:L198,"¶")+COUNTIF($E198:L198,"²")+COUNTIF($E198:L198,"µ")+COUNTIF($E198:L198,1)),
HYPERLINK("#Roadmap!C"&amp; MATCH($E198,Roadmap!$D:$D,0)+COUNTIF($E198:L198,"u")+COUNTIF($E198:L198,"t"),
     INDEX(Roadmap!$D:$K,MATCH($E198,Roadmap!$D:$D,0)+COUNTIF($E198:L198,"u")+COUNTIF($E198:L198,"t")+COUNTIF($E198:L198,"¶")+COUNTIF($E198:L198,"²")+COUNTIF($E198:L198,"µ")+COUNTIF($E198:L198,1),ColTypeEcheance)),
  IF(LEN(L198)=1,
  IF(LEN(INDEX(Roadmap!$D:$K,MATCH($E198,Roadmap!$D:$D,0)-1+COUNTIF($E198:L198,"u")+COUNTIF($E198:L198,"t")+COUNTIF($E198:L198,"¶")+COUNTIF($E198:L198,"²")+COUNTIF($E198:L198,"µ")+COUNTIF($E198:L198,1),ColDescriptionCourte))&gt;1,
HYPERLINK("#Roadmap!C"&amp; MATCH($E198,Roadmap!$D:$D,0)+COUNTIF($E198:L198,"u")+COUNTIF($E198:L198,"t")+COUNTIF($E198:L198,"¶")+COUNTIF($E198:L198,"²")+COUNTIF($E198:L198,"µ")+COUNTIF($E198:L198,1)-1,INDEX(Roadmap!$D:$K,MATCH($E198,Roadmap!$D:$D,0)-1+COUNTIF($E198:L198,"u")+COUNTIF($E198:L198,"t")+COUNTIF($E198:L198,"¶")+COUNTIF($E198:L198,"²")+COUNTIF($E198:L198,"µ")+COUNTIF($E198:L198,1),ColDescriptionCourte)),""),
  "")),"")</f>
        <v/>
      </c>
      <c r="N198" s="40" t="str">
        <f ca="1">IFERROR(IF(AND(
  INDEX(Roadmap!$D:$K,MATCH($E198,Roadmap!$D:$D,0)+COUNTIF($E198:M198,"u")+COUNTIF($E198:M198,"t")+COUNTIF($E198:M198,"¶")+COUNTIF($E198:M198,"²")+COUNTIF($E198:M198,"µ")+COUNTIF($E198:M198,1),ColLivraison)=N$6,
  VLOOKUP($E198,INDIRECT("tri!"&amp; CHAR(64+ C0Col) &amp;":"&amp; CHAR(65+C0Col)),2,FALSE)&gt;COUNTIF($E198:M198,"u")+COUNTIF($E198:M198,"t")+COUNTIF($E198:M198,"¶")+COUNTIF($E198:M198,"²")+COUNTIF($E198:M198,"µ")+COUNTIF($E198:M198,1)),
HYPERLINK("#Roadmap!C"&amp; MATCH($E198,Roadmap!$D:$D,0)+COUNTIF($E198:M198,"u")+COUNTIF($E198:M198,"t"),
     INDEX(Roadmap!$D:$K,MATCH($E198,Roadmap!$D:$D,0)+COUNTIF($E198:M198,"u")+COUNTIF($E198:M198,"t")+COUNTIF($E198:M198,"¶")+COUNTIF($E198:M198,"²")+COUNTIF($E198:M198,"µ")+COUNTIF($E198:M198,1),ColTypeEcheance)),
  IF(LEN(M198)=1,
  IF(LEN(INDEX(Roadmap!$D:$K,MATCH($E198,Roadmap!$D:$D,0)-1+COUNTIF($E198:M198,"u")+COUNTIF($E198:M198,"t")+COUNTIF($E198:M198,"¶")+COUNTIF($E198:M198,"²")+COUNTIF($E198:M198,"µ")+COUNTIF($E198:M198,1),ColDescriptionCourte))&gt;1,
HYPERLINK("#Roadmap!C"&amp; MATCH($E198,Roadmap!$D:$D,0)+COUNTIF($E198:M198,"u")+COUNTIF($E198:M198,"t")+COUNTIF($E198:M198,"¶")+COUNTIF($E198:M198,"²")+COUNTIF($E198:M198,"µ")+COUNTIF($E198:M198,1)-1,INDEX(Roadmap!$D:$K,MATCH($E198,Roadmap!$D:$D,0)-1+COUNTIF($E198:M198,"u")+COUNTIF($E198:M198,"t")+COUNTIF($E198:M198,"¶")+COUNTIF($E198:M198,"²")+COUNTIF($E198:M198,"µ")+COUNTIF($E198:M198,1),ColDescriptionCourte)),""),
  "")),"")</f>
        <v/>
      </c>
      <c r="O198" s="40" t="str">
        <f ca="1">IFERROR(IF(AND(
  INDEX(Roadmap!$D:$K,MATCH($E198,Roadmap!$D:$D,0)+COUNTIF($E198:N198,"u")+COUNTIF($E198:N198,"t")+COUNTIF($E198:N198,"¶")+COUNTIF($E198:N198,"²")+COUNTIF($E198:N198,"µ")+COUNTIF($E198:N198,1),ColLivraison)=O$6,
  VLOOKUP($E198,INDIRECT("tri!"&amp; CHAR(64+ C0Col) &amp;":"&amp; CHAR(65+C0Col)),2,FALSE)&gt;COUNTIF($E198:N198,"u")+COUNTIF($E198:N198,"t")+COUNTIF($E198:N198,"¶")+COUNTIF($E198:N198,"²")+COUNTIF($E198:N198,"µ")+COUNTIF($E198:N198,1)),
HYPERLINK("#Roadmap!C"&amp; MATCH($E198,Roadmap!$D:$D,0)+COUNTIF($E198:N198,"u")+COUNTIF($E198:N198,"t"),
     INDEX(Roadmap!$D:$K,MATCH($E198,Roadmap!$D:$D,0)+COUNTIF($E198:N198,"u")+COUNTIF($E198:N198,"t")+COUNTIF($E198:N198,"¶")+COUNTIF($E198:N198,"²")+COUNTIF($E198:N198,"µ")+COUNTIF($E198:N198,1),ColTypeEcheance)),
  IF(LEN(N198)=1,
  IF(LEN(INDEX(Roadmap!$D:$K,MATCH($E198,Roadmap!$D:$D,0)-1+COUNTIF($E198:N198,"u")+COUNTIF($E198:N198,"t")+COUNTIF($E198:N198,"¶")+COUNTIF($E198:N198,"²")+COUNTIF($E198:N198,"µ")+COUNTIF($E198:N198,1),ColDescriptionCourte))&gt;1,
HYPERLINK("#Roadmap!C"&amp; MATCH($E198,Roadmap!$D:$D,0)+COUNTIF($E198:N198,"u")+COUNTIF($E198:N198,"t")+COUNTIF($E198:N198,"¶")+COUNTIF($E198:N198,"²")+COUNTIF($E198:N198,"µ")+COUNTIF($E198:N198,1)-1,INDEX(Roadmap!$D:$K,MATCH($E198,Roadmap!$D:$D,0)-1+COUNTIF($E198:N198,"u")+COUNTIF($E198:N198,"t")+COUNTIF($E198:N198,"¶")+COUNTIF($E198:N198,"²")+COUNTIF($E198:N198,"µ")+COUNTIF($E198:N198,1),ColDescriptionCourte)),""),
  "")),"")</f>
        <v/>
      </c>
      <c r="P198" s="40" t="str">
        <f ca="1">IFERROR(IF(AND(
  INDEX(Roadmap!$D:$K,MATCH($E198,Roadmap!$D:$D,0)+COUNTIF($E198:O198,"u")+COUNTIF($E198:O198,"t")+COUNTIF($E198:O198,"¶")+COUNTIF($E198:O198,"²")+COUNTIF($E198:O198,"µ")+COUNTIF($E198:O198,1),ColLivraison)=P$6,
  VLOOKUP($E198,INDIRECT("tri!"&amp; CHAR(64+ C0Col) &amp;":"&amp; CHAR(65+C0Col)),2,FALSE)&gt;COUNTIF($E198:O198,"u")+COUNTIF($E198:O198,"t")+COUNTIF($E198:O198,"¶")+COUNTIF($E198:O198,"²")+COUNTIF($E198:O198,"µ")+COUNTIF($E198:O198,1)),
HYPERLINK("#Roadmap!C"&amp; MATCH($E198,Roadmap!$D:$D,0)+COUNTIF($E198:O198,"u")+COUNTIF($E198:O198,"t"),
     INDEX(Roadmap!$D:$K,MATCH($E198,Roadmap!$D:$D,0)+COUNTIF($E198:O198,"u")+COUNTIF($E198:O198,"t")+COUNTIF($E198:O198,"¶")+COUNTIF($E198:O198,"²")+COUNTIF($E198:O198,"µ")+COUNTIF($E198:O198,1),ColTypeEcheance)),
  IF(LEN(O198)=1,
  IF(LEN(INDEX(Roadmap!$D:$K,MATCH($E198,Roadmap!$D:$D,0)-1+COUNTIF($E198:O198,"u")+COUNTIF($E198:O198,"t")+COUNTIF($E198:O198,"¶")+COUNTIF($E198:O198,"²")+COUNTIF($E198:O198,"µ")+COUNTIF($E198:O198,1),ColDescriptionCourte))&gt;1,
HYPERLINK("#Roadmap!C"&amp; MATCH($E198,Roadmap!$D:$D,0)+COUNTIF($E198:O198,"u")+COUNTIF($E198:O198,"t")+COUNTIF($E198:O198,"¶")+COUNTIF($E198:O198,"²")+COUNTIF($E198:O198,"µ")+COUNTIF($E198:O198,1)-1,INDEX(Roadmap!$D:$K,MATCH($E198,Roadmap!$D:$D,0)-1+COUNTIF($E198:O198,"u")+COUNTIF($E198:O198,"t")+COUNTIF($E198:O198,"¶")+COUNTIF($E198:O198,"²")+COUNTIF($E198:O198,"µ")+COUNTIF($E198:O198,1),ColDescriptionCourte)),""),
  "")),"")</f>
        <v/>
      </c>
      <c r="Q198" s="40" t="str">
        <f ca="1">IFERROR(IF(AND(
  INDEX(Roadmap!$D:$K,MATCH($E198,Roadmap!$D:$D,0)+COUNTIF($E198:P198,"u")+COUNTIF($E198:P198,"t")+COUNTIF($E198:P198,"¶")+COUNTIF($E198:P198,"²")+COUNTIF($E198:P198,"µ")+COUNTIF($E198:P198,1),ColLivraison)=Q$6,
  VLOOKUP($E198,INDIRECT("tri!"&amp; CHAR(64+ C0Col) &amp;":"&amp; CHAR(65+C0Col)),2,FALSE)&gt;COUNTIF($E198:P198,"u")+COUNTIF($E198:P198,"t")+COUNTIF($E198:P198,"¶")+COUNTIF($E198:P198,"²")+COUNTIF($E198:P198,"µ")+COUNTIF($E198:P198,1)),
HYPERLINK("#Roadmap!C"&amp; MATCH($E198,Roadmap!$D:$D,0)+COUNTIF($E198:P198,"u")+COUNTIF($E198:P198,"t"),
     INDEX(Roadmap!$D:$K,MATCH($E198,Roadmap!$D:$D,0)+COUNTIF($E198:P198,"u")+COUNTIF($E198:P198,"t")+COUNTIF($E198:P198,"¶")+COUNTIF($E198:P198,"²")+COUNTIF($E198:P198,"µ")+COUNTIF($E198:P198,1),ColTypeEcheance)),
  IF(LEN(P198)=1,
  IF(LEN(INDEX(Roadmap!$D:$K,MATCH($E198,Roadmap!$D:$D,0)-1+COUNTIF($E198:P198,"u")+COUNTIF($E198:P198,"t")+COUNTIF($E198:P198,"¶")+COUNTIF($E198:P198,"²")+COUNTIF($E198:P198,"µ")+COUNTIF($E198:P198,1),ColDescriptionCourte))&gt;1,
HYPERLINK("#Roadmap!C"&amp; MATCH($E198,Roadmap!$D:$D,0)+COUNTIF($E198:P198,"u")+COUNTIF($E198:P198,"t")+COUNTIF($E198:P198,"¶")+COUNTIF($E198:P198,"²")+COUNTIF($E198:P198,"µ")+COUNTIF($E198:P198,1)-1,INDEX(Roadmap!$D:$K,MATCH($E198,Roadmap!$D:$D,0)-1+COUNTIF($E198:P198,"u")+COUNTIF($E198:P198,"t")+COUNTIF($E198:P198,"¶")+COUNTIF($E198:P198,"²")+COUNTIF($E198:P198,"µ")+COUNTIF($E198:P198,1),ColDescriptionCourte)),""),
  "")),"")</f>
        <v/>
      </c>
      <c r="R198" s="40" t="str">
        <f ca="1">IFERROR(IF(AND(
  INDEX(Roadmap!$D:$K,MATCH($E198,Roadmap!$D:$D,0)+COUNTIF($E198:Q198,"u")+COUNTIF($E198:Q198,"t")+COUNTIF($E198:Q198,"¶")+COUNTIF($E198:Q198,"²")+COUNTIF($E198:Q198,"µ")+COUNTIF($E198:Q198,1),ColLivraison)=R$6,
  VLOOKUP($E198,INDIRECT("tri!"&amp; CHAR(64+ C0Col) &amp;":"&amp; CHAR(65+C0Col)),2,FALSE)&gt;COUNTIF($E198:Q198,"u")+COUNTIF($E198:Q198,"t")+COUNTIF($E198:Q198,"¶")+COUNTIF($E198:Q198,"²")+COUNTIF($E198:Q198,"µ")+COUNTIF($E198:Q198,1)),
HYPERLINK("#Roadmap!C"&amp; MATCH($E198,Roadmap!$D:$D,0)+COUNTIF($E198:Q198,"u")+COUNTIF($E198:Q198,"t"),
     INDEX(Roadmap!$D:$K,MATCH($E198,Roadmap!$D:$D,0)+COUNTIF($E198:Q198,"u")+COUNTIF($E198:Q198,"t")+COUNTIF($E198:Q198,"¶")+COUNTIF($E198:Q198,"²")+COUNTIF($E198:Q198,"µ")+COUNTIF($E198:Q198,1),ColTypeEcheance)),
  IF(LEN(Q198)=1,
  IF(LEN(INDEX(Roadmap!$D:$K,MATCH($E198,Roadmap!$D:$D,0)-1+COUNTIF($E198:Q198,"u")+COUNTIF($E198:Q198,"t")+COUNTIF($E198:Q198,"¶")+COUNTIF($E198:Q198,"²")+COUNTIF($E198:Q198,"µ")+COUNTIF($E198:Q198,1),ColDescriptionCourte))&gt;1,
HYPERLINK("#Roadmap!C"&amp; MATCH($E198,Roadmap!$D:$D,0)+COUNTIF($E198:Q198,"u")+COUNTIF($E198:Q198,"t")+COUNTIF($E198:Q198,"¶")+COUNTIF($E198:Q198,"²")+COUNTIF($E198:Q198,"µ")+COUNTIF($E198:Q198,1)-1,INDEX(Roadmap!$D:$K,MATCH($E198,Roadmap!$D:$D,0)-1+COUNTIF($E198:Q198,"u")+COUNTIF($E198:Q198,"t")+COUNTIF($E198:Q198,"¶")+COUNTIF($E198:Q198,"²")+COUNTIF($E198:Q198,"µ")+COUNTIF($E198:Q198,1),ColDescriptionCourte)),""),
  "")),"")</f>
        <v/>
      </c>
      <c r="S198" s="40" t="str">
        <f ca="1">IFERROR(IF(AND(
  INDEX(Roadmap!$D:$K,MATCH($E198,Roadmap!$D:$D,0)+COUNTIF($E198:R198,"u")+COUNTIF($E198:R198,"t")+COUNTIF($E198:R198,"¶")+COUNTIF($E198:R198,"²")+COUNTIF($E198:R198,"µ")+COUNTIF($E198:R198,1),ColLivraison)=S$6,
  VLOOKUP($E198,INDIRECT("tri!"&amp; CHAR(64+ C0Col) &amp;":"&amp; CHAR(65+C0Col)),2,FALSE)&gt;COUNTIF($E198:R198,"u")+COUNTIF($E198:R198,"t")+COUNTIF($E198:R198,"¶")+COUNTIF($E198:R198,"²")+COUNTIF($E198:R198,"µ")+COUNTIF($E198:R198,1)),
HYPERLINK("#Roadmap!C"&amp; MATCH($E198,Roadmap!$D:$D,0)+COUNTIF($E198:R198,"u")+COUNTIF($E198:R198,"t"),
     INDEX(Roadmap!$D:$K,MATCH($E198,Roadmap!$D:$D,0)+COUNTIF($E198:R198,"u")+COUNTIF($E198:R198,"t")+COUNTIF($E198:R198,"¶")+COUNTIF($E198:R198,"²")+COUNTIF($E198:R198,"µ")+COUNTIF($E198:R198,1),ColTypeEcheance)),
  IF(LEN(R198)=1,
  IF(LEN(INDEX(Roadmap!$D:$K,MATCH($E198,Roadmap!$D:$D,0)-1+COUNTIF($E198:R198,"u")+COUNTIF($E198:R198,"t")+COUNTIF($E198:R198,"¶")+COUNTIF($E198:R198,"²")+COUNTIF($E198:R198,"µ")+COUNTIF($E198:R198,1),ColDescriptionCourte))&gt;1,
HYPERLINK("#Roadmap!C"&amp; MATCH($E198,Roadmap!$D:$D,0)+COUNTIF($E198:R198,"u")+COUNTIF($E198:R198,"t")+COUNTIF($E198:R198,"¶")+COUNTIF($E198:R198,"²")+COUNTIF($E198:R198,"µ")+COUNTIF($E198:R198,1)-1,INDEX(Roadmap!$D:$K,MATCH($E198,Roadmap!$D:$D,0)-1+COUNTIF($E198:R198,"u")+COUNTIF($E198:R198,"t")+COUNTIF($E198:R198,"¶")+COUNTIF($E198:R198,"²")+COUNTIF($E198:R198,"µ")+COUNTIF($E198:R198,1),ColDescriptionCourte)),""),
  "")),"")</f>
        <v/>
      </c>
      <c r="T198" s="40" t="str">
        <f ca="1">IFERROR(IF(AND(
  INDEX(Roadmap!$D:$K,MATCH($E198,Roadmap!$D:$D,0)+COUNTIF($E198:S198,"u")+COUNTIF($E198:S198,"t")+COUNTIF($E198:S198,"¶")+COUNTIF($E198:S198,"²")+COUNTIF($E198:S198,"µ")+COUNTIF($E198:S198,1),ColLivraison)=T$6,
  VLOOKUP($E198,INDIRECT("tri!"&amp; CHAR(64+ C0Col) &amp;":"&amp; CHAR(65+C0Col)),2,FALSE)&gt;COUNTIF($E198:S198,"u")+COUNTIF($E198:S198,"t")+COUNTIF($E198:S198,"¶")+COUNTIF($E198:S198,"²")+COUNTIF($E198:S198,"µ")+COUNTIF($E198:S198,1)),
HYPERLINK("#Roadmap!C"&amp; MATCH($E198,Roadmap!$D:$D,0)+COUNTIF($E198:S198,"u")+COUNTIF($E198:S198,"t"),
     INDEX(Roadmap!$D:$K,MATCH($E198,Roadmap!$D:$D,0)+COUNTIF($E198:S198,"u")+COUNTIF($E198:S198,"t")+COUNTIF($E198:S198,"¶")+COUNTIF($E198:S198,"²")+COUNTIF($E198:S198,"µ")+COUNTIF($E198:S198,1),ColTypeEcheance)),
  IF(LEN(S198)=1,
  IF(LEN(INDEX(Roadmap!$D:$K,MATCH($E198,Roadmap!$D:$D,0)-1+COUNTIF($E198:S198,"u")+COUNTIF($E198:S198,"t")+COUNTIF($E198:S198,"¶")+COUNTIF($E198:S198,"²")+COUNTIF($E198:S198,"µ")+COUNTIF($E198:S198,1),ColDescriptionCourte))&gt;1,
HYPERLINK("#Roadmap!C"&amp; MATCH($E198,Roadmap!$D:$D,0)+COUNTIF($E198:S198,"u")+COUNTIF($E198:S198,"t")+COUNTIF($E198:S198,"¶")+COUNTIF($E198:S198,"²")+COUNTIF($E198:S198,"µ")+COUNTIF($E198:S198,1)-1,INDEX(Roadmap!$D:$K,MATCH($E198,Roadmap!$D:$D,0)-1+COUNTIF($E198:S198,"u")+COUNTIF($E198:S198,"t")+COUNTIF($E198:S198,"¶")+COUNTIF($E198:S198,"²")+COUNTIF($E198:S198,"µ")+COUNTIF($E198:S198,1),ColDescriptionCourte)),""),
  "")),"")</f>
        <v/>
      </c>
      <c r="U198" s="40" t="str">
        <f ca="1">IFERROR(IF(AND(
  INDEX(Roadmap!$D:$K,MATCH($E198,Roadmap!$D:$D,0)+COUNTIF($E198:T198,"u")+COUNTIF($E198:T198,"t")+COUNTIF($E198:T198,"¶")+COUNTIF($E198:T198,"²")+COUNTIF($E198:T198,"µ")+COUNTIF($E198:T198,1),ColLivraison)=U$6,
  VLOOKUP($E198,INDIRECT("tri!"&amp; CHAR(64+ C0Col) &amp;":"&amp; CHAR(65+C0Col)),2,FALSE)&gt;COUNTIF($E198:T198,"u")+COUNTIF($E198:T198,"t")+COUNTIF($E198:T198,"¶")+COUNTIF($E198:T198,"²")+COUNTIF($E198:T198,"µ")+COUNTIF($E198:T198,1)),
HYPERLINK("#Roadmap!C"&amp; MATCH($E198,Roadmap!$D:$D,0)+COUNTIF($E198:T198,"u")+COUNTIF($E198:T198,"t"),
     INDEX(Roadmap!$D:$K,MATCH($E198,Roadmap!$D:$D,0)+COUNTIF($E198:T198,"u")+COUNTIF($E198:T198,"t")+COUNTIF($E198:T198,"¶")+COUNTIF($E198:T198,"²")+COUNTIF($E198:T198,"µ")+COUNTIF($E198:T198,1),ColTypeEcheance)),
  IF(LEN(T198)=1,
  IF(LEN(INDEX(Roadmap!$D:$K,MATCH($E198,Roadmap!$D:$D,0)-1+COUNTIF($E198:T198,"u")+COUNTIF($E198:T198,"t")+COUNTIF($E198:T198,"¶")+COUNTIF($E198:T198,"²")+COUNTIF($E198:T198,"µ")+COUNTIF($E198:T198,1),ColDescriptionCourte))&gt;1,
HYPERLINK("#Roadmap!C"&amp; MATCH($E198,Roadmap!$D:$D,0)+COUNTIF($E198:T198,"u")+COUNTIF($E198:T198,"t")+COUNTIF($E198:T198,"¶")+COUNTIF($E198:T198,"²")+COUNTIF($E198:T198,"µ")+COUNTIF($E198:T198,1)-1,INDEX(Roadmap!$D:$K,MATCH($E198,Roadmap!$D:$D,0)-1+COUNTIF($E198:T198,"u")+COUNTIF($E198:T198,"t")+COUNTIF($E198:T198,"¶")+COUNTIF($E198:T198,"²")+COUNTIF($E198:T198,"µ")+COUNTIF($E198:T198,1),ColDescriptionCourte)),""),
  "")),"")</f>
        <v/>
      </c>
      <c r="V198" s="40" t="str">
        <f ca="1">IFERROR(IF(AND(
  INDEX(Roadmap!$D:$K,MATCH($E198,Roadmap!$D:$D,0)+COUNTIF($E198:U198,"u")+COUNTIF($E198:U198,"t")+COUNTIF($E198:U198,"¶")+COUNTIF($E198:U198,"²")+COUNTIF($E198:U198,"µ")+COUNTIF($E198:U198,1),ColLivraison)=V$6,
  VLOOKUP($E198,INDIRECT("tri!"&amp; CHAR(64+ C0Col) &amp;":"&amp; CHAR(65+C0Col)),2,FALSE)&gt;COUNTIF($E198:U198,"u")+COUNTIF($E198:U198,"t")+COUNTIF($E198:U198,"¶")+COUNTIF($E198:U198,"²")+COUNTIF($E198:U198,"µ")+COUNTIF($E198:U198,1)),
HYPERLINK("#Roadmap!C"&amp; MATCH($E198,Roadmap!$D:$D,0)+COUNTIF($E198:U198,"u")+COUNTIF($E198:U198,"t"),
     INDEX(Roadmap!$D:$K,MATCH($E198,Roadmap!$D:$D,0)+COUNTIF($E198:U198,"u")+COUNTIF($E198:U198,"t")+COUNTIF($E198:U198,"¶")+COUNTIF($E198:U198,"²")+COUNTIF($E198:U198,"µ")+COUNTIF($E198:U198,1),ColTypeEcheance)),
  IF(LEN(U198)=1,
  IF(LEN(INDEX(Roadmap!$D:$K,MATCH($E198,Roadmap!$D:$D,0)-1+COUNTIF($E198:U198,"u")+COUNTIF($E198:U198,"t")+COUNTIF($E198:U198,"¶")+COUNTIF($E198:U198,"²")+COUNTIF($E198:U198,"µ")+COUNTIF($E198:U198,1),ColDescriptionCourte))&gt;1,
HYPERLINK("#Roadmap!C"&amp; MATCH($E198,Roadmap!$D:$D,0)+COUNTIF($E198:U198,"u")+COUNTIF($E198:U198,"t")+COUNTIF($E198:U198,"¶")+COUNTIF($E198:U198,"²")+COUNTIF($E198:U198,"µ")+COUNTIF($E198:U198,1)-1,INDEX(Roadmap!$D:$K,MATCH($E198,Roadmap!$D:$D,0)-1+COUNTIF($E198:U198,"u")+COUNTIF($E198:U198,"t")+COUNTIF($E198:U198,"¶")+COUNTIF($E198:U198,"²")+COUNTIF($E198:U198,"µ")+COUNTIF($E198:U198,1),ColDescriptionCourte)),""),
  "")),"")</f>
        <v/>
      </c>
      <c r="W198" s="40" t="str">
        <f ca="1">IFERROR(IF(AND(
  INDEX(Roadmap!$D:$K,MATCH($E198,Roadmap!$D:$D,0)+COUNTIF($E198:V198,"u")+COUNTIF($E198:V198,"t")+COUNTIF($E198:V198,"¶")+COUNTIF($E198:V198,"²")+COUNTIF($E198:V198,"µ")+COUNTIF($E198:V198,1),ColLivraison)=W$6,
  VLOOKUP($E198,INDIRECT("tri!"&amp; CHAR(64+ C0Col) &amp;":"&amp; CHAR(65+C0Col)),2,FALSE)&gt;COUNTIF($E198:V198,"u")+COUNTIF($E198:V198,"t")+COUNTIF($E198:V198,"¶")+COUNTIF($E198:V198,"²")+COUNTIF($E198:V198,"µ")+COUNTIF($E198:V198,1)),
HYPERLINK("#Roadmap!C"&amp; MATCH($E198,Roadmap!$D:$D,0)+COUNTIF($E198:V198,"u")+COUNTIF($E198:V198,"t"),
     INDEX(Roadmap!$D:$K,MATCH($E198,Roadmap!$D:$D,0)+COUNTIF($E198:V198,"u")+COUNTIF($E198:V198,"t")+COUNTIF($E198:V198,"¶")+COUNTIF($E198:V198,"²")+COUNTIF($E198:V198,"µ")+COUNTIF($E198:V198,1),ColTypeEcheance)),
  IF(LEN(V198)=1,
  IF(LEN(INDEX(Roadmap!$D:$K,MATCH($E198,Roadmap!$D:$D,0)-1+COUNTIF($E198:V198,"u")+COUNTIF($E198:V198,"t")+COUNTIF($E198:V198,"¶")+COUNTIF($E198:V198,"²")+COUNTIF($E198:V198,"µ")+COUNTIF($E198:V198,1),ColDescriptionCourte))&gt;1,
HYPERLINK("#Roadmap!C"&amp; MATCH($E198,Roadmap!$D:$D,0)+COUNTIF($E198:V198,"u")+COUNTIF($E198:V198,"t")+COUNTIF($E198:V198,"¶")+COUNTIF($E198:V198,"²")+COUNTIF($E198:V198,"µ")+COUNTIF($E198:V198,1)-1,INDEX(Roadmap!$D:$K,MATCH($E198,Roadmap!$D:$D,0)-1+COUNTIF($E198:V198,"u")+COUNTIF($E198:V198,"t")+COUNTIF($E198:V198,"¶")+COUNTIF($E198:V198,"²")+COUNTIF($E198:V198,"µ")+COUNTIF($E198:V198,1),ColDescriptionCourte)),""),
  "")),"")</f>
        <v/>
      </c>
      <c r="X198" s="40" t="str">
        <f ca="1">IFERROR(IF(AND(
  INDEX(Roadmap!$D:$K,MATCH($E198,Roadmap!$D:$D,0)+COUNTIF($E198:W198,"u")+COUNTIF($E198:W198,"t")+COUNTIF($E198:W198,"¶")+COUNTIF($E198:W198,"²")+COUNTIF($E198:W198,"µ")+COUNTIF($E198:W198,1),ColLivraison)=X$6,
  VLOOKUP($E198,INDIRECT("tri!"&amp; CHAR(64+ C0Col) &amp;":"&amp; CHAR(65+C0Col)),2,FALSE)&gt;COUNTIF($E198:W198,"u")+COUNTIF($E198:W198,"t")+COUNTIF($E198:W198,"¶")+COUNTIF($E198:W198,"²")+COUNTIF($E198:W198,"µ")+COUNTIF($E198:W198,1)),
HYPERLINK("#Roadmap!C"&amp; MATCH($E198,Roadmap!$D:$D,0)+COUNTIF($E198:W198,"u")+COUNTIF($E198:W198,"t"),
     INDEX(Roadmap!$D:$K,MATCH($E198,Roadmap!$D:$D,0)+COUNTIF($E198:W198,"u")+COUNTIF($E198:W198,"t")+COUNTIF($E198:W198,"¶")+COUNTIF($E198:W198,"²")+COUNTIF($E198:W198,"µ")+COUNTIF($E198:W198,1),ColTypeEcheance)),
  IF(LEN(W198)=1,
  IF(LEN(INDEX(Roadmap!$D:$K,MATCH($E198,Roadmap!$D:$D,0)-1+COUNTIF($E198:W198,"u")+COUNTIF($E198:W198,"t")+COUNTIF($E198:W198,"¶")+COUNTIF($E198:W198,"²")+COUNTIF($E198:W198,"µ")+COUNTIF($E198:W198,1),ColDescriptionCourte))&gt;1,
HYPERLINK("#Roadmap!C"&amp; MATCH($E198,Roadmap!$D:$D,0)+COUNTIF($E198:W198,"u")+COUNTIF($E198:W198,"t")+COUNTIF($E198:W198,"¶")+COUNTIF($E198:W198,"²")+COUNTIF($E198:W198,"µ")+COUNTIF($E198:W198,1)-1,INDEX(Roadmap!$D:$K,MATCH($E198,Roadmap!$D:$D,0)-1+COUNTIF($E198:W198,"u")+COUNTIF($E198:W198,"t")+COUNTIF($E198:W198,"¶")+COUNTIF($E198:W198,"²")+COUNTIF($E198:W198,"µ")+COUNTIF($E198:W198,1),ColDescriptionCourte)),""),
  "")),"")</f>
        <v/>
      </c>
      <c r="Y198" s="40" t="str">
        <f ca="1">IFERROR(IF(AND(
  INDEX(Roadmap!$D:$K,MATCH($E198,Roadmap!$D:$D,0)+COUNTIF($E198:X198,"u")+COUNTIF($E198:X198,"t")+COUNTIF($E198:X198,"¶")+COUNTIF($E198:X198,"²")+COUNTIF($E198:X198,"µ")+COUNTIF($E198:X198,1),ColLivraison)=Y$6,
  VLOOKUP($E198,INDIRECT("tri!"&amp; CHAR(64+ C0Col) &amp;":"&amp; CHAR(65+C0Col)),2,FALSE)&gt;COUNTIF($E198:X198,"u")+COUNTIF($E198:X198,"t")+COUNTIF($E198:X198,"¶")+COUNTIF($E198:X198,"²")+COUNTIF($E198:X198,"µ")+COUNTIF($E198:X198,1)),
HYPERLINK("#Roadmap!C"&amp; MATCH($E198,Roadmap!$D:$D,0)+COUNTIF($E198:X198,"u")+COUNTIF($E198:X198,"t"),
     INDEX(Roadmap!$D:$K,MATCH($E198,Roadmap!$D:$D,0)+COUNTIF($E198:X198,"u")+COUNTIF($E198:X198,"t")+COUNTIF($E198:X198,"¶")+COUNTIF($E198:X198,"²")+COUNTIF($E198:X198,"µ")+COUNTIF($E198:X198,1),ColTypeEcheance)),
  IF(LEN(X198)=1,
  IF(LEN(INDEX(Roadmap!$D:$K,MATCH($E198,Roadmap!$D:$D,0)-1+COUNTIF($E198:X198,"u")+COUNTIF($E198:X198,"t")+COUNTIF($E198:X198,"¶")+COUNTIF($E198:X198,"²")+COUNTIF($E198:X198,"µ")+COUNTIF($E198:X198,1),ColDescriptionCourte))&gt;1,
HYPERLINK("#Roadmap!C"&amp; MATCH($E198,Roadmap!$D:$D,0)+COUNTIF($E198:X198,"u")+COUNTIF($E198:X198,"t")+COUNTIF($E198:X198,"¶")+COUNTIF($E198:X198,"²")+COUNTIF($E198:X198,"µ")+COUNTIF($E198:X198,1)-1,INDEX(Roadmap!$D:$K,MATCH($E198,Roadmap!$D:$D,0)-1+COUNTIF($E198:X198,"u")+COUNTIF($E198:X198,"t")+COUNTIF($E198:X198,"¶")+COUNTIF($E198:X198,"²")+COUNTIF($E198:X198,"µ")+COUNTIF($E198:X198,1),ColDescriptionCourte)),""),
  "")),"")</f>
        <v/>
      </c>
      <c r="Z198" s="40" t="str">
        <f ca="1">IFERROR(IF(AND(
  INDEX(Roadmap!$D:$K,MATCH($E198,Roadmap!$D:$D,0)+COUNTIF($E198:Y198,"u")+COUNTIF($E198:Y198,"t")+COUNTIF($E198:Y198,"¶")+COUNTIF($E198:Y198,"²")+COUNTIF($E198:Y198,"µ")+COUNTIF($E198:Y198,1),ColLivraison)=Z$6,
  VLOOKUP($E198,INDIRECT("tri!"&amp; CHAR(64+ C0Col) &amp;":"&amp; CHAR(65+C0Col)),2,FALSE)&gt;COUNTIF($E198:Y198,"u")+COUNTIF($E198:Y198,"t")+COUNTIF($E198:Y198,"¶")+COUNTIF($E198:Y198,"²")+COUNTIF($E198:Y198,"µ")+COUNTIF($E198:Y198,1)),
HYPERLINK("#Roadmap!C"&amp; MATCH($E198,Roadmap!$D:$D,0)+COUNTIF($E198:Y198,"u")+COUNTIF($E198:Y198,"t"),
     INDEX(Roadmap!$D:$K,MATCH($E198,Roadmap!$D:$D,0)+COUNTIF($E198:Y198,"u")+COUNTIF($E198:Y198,"t")+COUNTIF($E198:Y198,"¶")+COUNTIF($E198:Y198,"²")+COUNTIF($E198:Y198,"µ")+COUNTIF($E198:Y198,1),ColTypeEcheance)),
  IF(LEN(Y198)=1,
  IF(LEN(INDEX(Roadmap!$D:$K,MATCH($E198,Roadmap!$D:$D,0)-1+COUNTIF($E198:Y198,"u")+COUNTIF($E198:Y198,"t")+COUNTIF($E198:Y198,"¶")+COUNTIF($E198:Y198,"²")+COUNTIF($E198:Y198,"µ")+COUNTIF($E198:Y198,1),ColDescriptionCourte))&gt;1,
HYPERLINK("#Roadmap!C"&amp; MATCH($E198,Roadmap!$D:$D,0)+COUNTIF($E198:Y198,"u")+COUNTIF($E198:Y198,"t")+COUNTIF($E198:Y198,"¶")+COUNTIF($E198:Y198,"²")+COUNTIF($E198:Y198,"µ")+COUNTIF($E198:Y198,1)-1,INDEX(Roadmap!$D:$K,MATCH($E198,Roadmap!$D:$D,0)-1+COUNTIF($E198:Y198,"u")+COUNTIF($E198:Y198,"t")+COUNTIF($E198:Y198,"¶")+COUNTIF($E198:Y198,"²")+COUNTIF($E198:Y198,"µ")+COUNTIF($E198:Y198,1),ColDescriptionCourte)),""),
  "")),"")</f>
        <v/>
      </c>
      <c r="AA198" s="40" t="str">
        <f ca="1">IFERROR(IF(AND(
  INDEX(Roadmap!$D:$K,MATCH($E198,Roadmap!$D:$D,0)+COUNTIF($E198:Z198,"u")+COUNTIF($E198:Z198,"t")+COUNTIF($E198:Z198,"¶")+COUNTIF($E198:Z198,"²")+COUNTIF($E198:Z198,"µ")+COUNTIF($E198:Z198,1),ColLivraison)=AA$6,
  VLOOKUP($E198,INDIRECT("tri!"&amp; CHAR(64+ C0Col) &amp;":"&amp; CHAR(65+C0Col)),2,FALSE)&gt;COUNTIF($E198:Z198,"u")+COUNTIF($E198:Z198,"t")+COUNTIF($E198:Z198,"¶")+COUNTIF($E198:Z198,"²")+COUNTIF($E198:Z198,"µ")+COUNTIF($E198:Z198,1)),
HYPERLINK("#Roadmap!C"&amp; MATCH($E198,Roadmap!$D:$D,0)+COUNTIF($E198:Z198,"u")+COUNTIF($E198:Z198,"t"),
     INDEX(Roadmap!$D:$K,MATCH($E198,Roadmap!$D:$D,0)+COUNTIF($E198:Z198,"u")+COUNTIF($E198:Z198,"t")+COUNTIF($E198:Z198,"¶")+COUNTIF($E198:Z198,"²")+COUNTIF($E198:Z198,"µ")+COUNTIF($E198:Z198,1),ColTypeEcheance)),
  IF(LEN(Z198)=1,
  IF(LEN(INDEX(Roadmap!$D:$K,MATCH($E198,Roadmap!$D:$D,0)-1+COUNTIF($E198:Z198,"u")+COUNTIF($E198:Z198,"t")+COUNTIF($E198:Z198,"¶")+COUNTIF($E198:Z198,"²")+COUNTIF($E198:Z198,"µ")+COUNTIF($E198:Z198,1),ColDescriptionCourte))&gt;1,
HYPERLINK("#Roadmap!C"&amp; MATCH($E198,Roadmap!$D:$D,0)+COUNTIF($E198:Z198,"u")+COUNTIF($E198:Z198,"t")+COUNTIF($E198:Z198,"¶")+COUNTIF($E198:Z198,"²")+COUNTIF($E198:Z198,"µ")+COUNTIF($E198:Z198,1)-1,INDEX(Roadmap!$D:$K,MATCH($E198,Roadmap!$D:$D,0)-1+COUNTIF($E198:Z198,"u")+COUNTIF($E198:Z198,"t")+COUNTIF($E198:Z198,"¶")+COUNTIF($E198:Z198,"²")+COUNTIF($E198:Z198,"µ")+COUNTIF($E198:Z198,1),ColDescriptionCourte)),""),
  "")),"")</f>
        <v/>
      </c>
      <c r="AB198" s="40" t="str">
        <f ca="1">IFERROR(IF(AND(
  INDEX(Roadmap!$D:$K,MATCH($E198,Roadmap!$D:$D,0)+COUNTIF($E198:AA198,"u")+COUNTIF($E198:AA198,"t")+COUNTIF($E198:AA198,"¶")+COUNTIF($E198:AA198,"²")+COUNTIF($E198:AA198,"µ")+COUNTIF($E198:AA198,1),ColLivraison)=AB$6,
  VLOOKUP($E198,INDIRECT("tri!"&amp; CHAR(64+ C0Col) &amp;":"&amp; CHAR(65+C0Col)),2,FALSE)&gt;COUNTIF($E198:AA198,"u")+COUNTIF($E198:AA198,"t")+COUNTIF($E198:AA198,"¶")+COUNTIF($E198:AA198,"²")+COUNTIF($E198:AA198,"µ")+COUNTIF($E198:AA198,1)),
HYPERLINK("#Roadmap!C"&amp; MATCH($E198,Roadmap!$D:$D,0)+COUNTIF($E198:AA198,"u")+COUNTIF($E198:AA198,"t"),
     INDEX(Roadmap!$D:$K,MATCH($E198,Roadmap!$D:$D,0)+COUNTIF($E198:AA198,"u")+COUNTIF($E198:AA198,"t")+COUNTIF($E198:AA198,"¶")+COUNTIF($E198:AA198,"²")+COUNTIF($E198:AA198,"µ")+COUNTIF($E198:AA198,1),ColTypeEcheance)),
  IF(LEN(AA198)=1,
  IF(LEN(INDEX(Roadmap!$D:$K,MATCH($E198,Roadmap!$D:$D,0)-1+COUNTIF($E198:AA198,"u")+COUNTIF($E198:AA198,"t")+COUNTIF($E198:AA198,"¶")+COUNTIF($E198:AA198,"²")+COUNTIF($E198:AA198,"µ")+COUNTIF($E198:AA198,1),ColDescriptionCourte))&gt;1,
HYPERLINK("#Roadmap!C"&amp; MATCH($E198,Roadmap!$D:$D,0)+COUNTIF($E198:AA198,"u")+COUNTIF($E198:AA198,"t")+COUNTIF($E198:AA198,"¶")+COUNTIF($E198:AA198,"²")+COUNTIF($E198:AA198,"µ")+COUNTIF($E198:AA198,1)-1,INDEX(Roadmap!$D:$K,MATCH($E198,Roadmap!$D:$D,0)-1+COUNTIF($E198:AA198,"u")+COUNTIF($E198:AA198,"t")+COUNTIF($E198:AA198,"¶")+COUNTIF($E198:AA198,"²")+COUNTIF($E198:AA198,"µ")+COUNTIF($E198:AA198,1),ColDescriptionCourte)),""),
  "")),"")</f>
        <v/>
      </c>
      <c r="AC198" s="40" t="str">
        <f ca="1">IFERROR(IF(AND(
  INDEX(Roadmap!$D:$K,MATCH($E198,Roadmap!$D:$D,0)+COUNTIF($E198:AB198,"u")+COUNTIF($E198:AB198,"t")+COUNTIF($E198:AB198,"¶")+COUNTIF($E198:AB198,"²")+COUNTIF($E198:AB198,"µ")+COUNTIF($E198:AB198,1),ColLivraison)=AC$6,
  VLOOKUP($E198,INDIRECT("tri!"&amp; CHAR(64+ C0Col) &amp;":"&amp; CHAR(65+C0Col)),2,FALSE)&gt;COUNTIF($E198:AB198,"u")+COUNTIF($E198:AB198,"t")+COUNTIF($E198:AB198,"¶")+COUNTIF($E198:AB198,"²")+COUNTIF($E198:AB198,"µ")+COUNTIF($E198:AB198,1)),
HYPERLINK("#Roadmap!C"&amp; MATCH($E198,Roadmap!$D:$D,0)+COUNTIF($E198:AB198,"u")+COUNTIF($E198:AB198,"t"),
     INDEX(Roadmap!$D:$K,MATCH($E198,Roadmap!$D:$D,0)+COUNTIF($E198:AB198,"u")+COUNTIF($E198:AB198,"t")+COUNTIF($E198:AB198,"¶")+COUNTIF($E198:AB198,"²")+COUNTIF($E198:AB198,"µ")+COUNTIF($E198:AB198,1),ColTypeEcheance)),
  IF(LEN(AB198)=1,
  IF(LEN(INDEX(Roadmap!$D:$K,MATCH($E198,Roadmap!$D:$D,0)-1+COUNTIF($E198:AB198,"u")+COUNTIF($E198:AB198,"t")+COUNTIF($E198:AB198,"¶")+COUNTIF($E198:AB198,"²")+COUNTIF($E198:AB198,"µ")+COUNTIF($E198:AB198,1),ColDescriptionCourte))&gt;1,
HYPERLINK("#Roadmap!C"&amp; MATCH($E198,Roadmap!$D:$D,0)+COUNTIF($E198:AB198,"u")+COUNTIF($E198:AB198,"t")+COUNTIF($E198:AB198,"¶")+COUNTIF($E198:AB198,"²")+COUNTIF($E198:AB198,"µ")+COUNTIF($E198:AB198,1)-1,INDEX(Roadmap!$D:$K,MATCH($E198,Roadmap!$D:$D,0)-1+COUNTIF($E198:AB198,"u")+COUNTIF($E198:AB198,"t")+COUNTIF($E198:AB198,"¶")+COUNTIF($E198:AB198,"²")+COUNTIF($E198:AB198,"µ")+COUNTIF($E198:AB198,1),ColDescriptionCourte)),""),
  "")),"")</f>
        <v/>
      </c>
      <c r="AD198" s="40" t="str">
        <f ca="1">IFERROR(IF(AND(
  INDEX(Roadmap!$D:$K,MATCH($E198,Roadmap!$D:$D,0)+COUNTIF($E198:AC198,"u")+COUNTIF($E198:AC198,"t")+COUNTIF($E198:AC198,"¶")+COUNTIF($E198:AC198,"²")+COUNTIF($E198:AC198,"µ")+COUNTIF($E198:AC198,1),ColLivraison)=AD$6,
  VLOOKUP($E198,INDIRECT("tri!"&amp; CHAR(64+ C0Col) &amp;":"&amp; CHAR(65+C0Col)),2,FALSE)&gt;COUNTIF($E198:AC198,"u")+COUNTIF($E198:AC198,"t")+COUNTIF($E198:AC198,"¶")+COUNTIF($E198:AC198,"²")+COUNTIF($E198:AC198,"µ")+COUNTIF($E198:AC198,1)),
HYPERLINK("#Roadmap!C"&amp; MATCH($E198,Roadmap!$D:$D,0)+COUNTIF($E198:AC198,"u")+COUNTIF($E198:AC198,"t"),
     INDEX(Roadmap!$D:$K,MATCH($E198,Roadmap!$D:$D,0)+COUNTIF($E198:AC198,"u")+COUNTIF($E198:AC198,"t")+COUNTIF($E198:AC198,"¶")+COUNTIF($E198:AC198,"²")+COUNTIF($E198:AC198,"µ")+COUNTIF($E198:AC198,1),ColTypeEcheance)),
  IF(LEN(AC198)=1,
  IF(LEN(INDEX(Roadmap!$D:$K,MATCH($E198,Roadmap!$D:$D,0)-1+COUNTIF($E198:AC198,"u")+COUNTIF($E198:AC198,"t")+COUNTIF($E198:AC198,"¶")+COUNTIF($E198:AC198,"²")+COUNTIF($E198:AC198,"µ")+COUNTIF($E198:AC198,1),ColDescriptionCourte))&gt;1,
HYPERLINK("#Roadmap!C"&amp; MATCH($E198,Roadmap!$D:$D,0)+COUNTIF($E198:AC198,"u")+COUNTIF($E198:AC198,"t")+COUNTIF($E198:AC198,"¶")+COUNTIF($E198:AC198,"²")+COUNTIF($E198:AC198,"µ")+COUNTIF($E198:AC198,1)-1,INDEX(Roadmap!$D:$K,MATCH($E198,Roadmap!$D:$D,0)-1+COUNTIF($E198:AC198,"u")+COUNTIF($E198:AC198,"t")+COUNTIF($E198:AC198,"¶")+COUNTIF($E198:AC198,"²")+COUNTIF($E198:AC198,"µ")+COUNTIF($E198:AC198,1),ColDescriptionCourte)),""),
  "")),"")</f>
        <v/>
      </c>
      <c r="AE198" s="40" t="str">
        <f ca="1">IFERROR(IF(AND(
  INDEX(Roadmap!$D:$K,MATCH($E198,Roadmap!$D:$D,0)+COUNTIF($E198:AD198,"u")+COUNTIF($E198:AD198,"t")+COUNTIF($E198:AD198,"¶")+COUNTIF($E198:AD198,"²")+COUNTIF($E198:AD198,"µ")+COUNTIF($E198:AD198,1),ColLivraison)=AE$6,
  VLOOKUP($E198,INDIRECT("tri!"&amp; CHAR(64+ C0Col) &amp;":"&amp; CHAR(65+C0Col)),2,FALSE)&gt;COUNTIF($E198:AD198,"u")+COUNTIF($E198:AD198,"t")+COUNTIF($E198:AD198,"¶")+COUNTIF($E198:AD198,"²")+COUNTIF($E198:AD198,"µ")+COUNTIF($E198:AD198,1)),
HYPERLINK("#Roadmap!C"&amp; MATCH($E198,Roadmap!$D:$D,0)+COUNTIF($E198:AD198,"u")+COUNTIF($E198:AD198,"t"),
     INDEX(Roadmap!$D:$K,MATCH($E198,Roadmap!$D:$D,0)+COUNTIF($E198:AD198,"u")+COUNTIF($E198:AD198,"t")+COUNTIF($E198:AD198,"¶")+COUNTIF($E198:AD198,"²")+COUNTIF($E198:AD198,"µ")+COUNTIF($E198:AD198,1),ColTypeEcheance)),
  IF(LEN(AD198)=1,
  IF(LEN(INDEX(Roadmap!$D:$K,MATCH($E198,Roadmap!$D:$D,0)-1+COUNTIF($E198:AD198,"u")+COUNTIF($E198:AD198,"t")+COUNTIF($E198:AD198,"¶")+COUNTIF($E198:AD198,"²")+COUNTIF($E198:AD198,"µ")+COUNTIF($E198:AD198,1),ColDescriptionCourte))&gt;1,
HYPERLINK("#Roadmap!C"&amp; MATCH($E198,Roadmap!$D:$D,0)+COUNTIF($E198:AD198,"u")+COUNTIF($E198:AD198,"t")+COUNTIF($E198:AD198,"¶")+COUNTIF($E198:AD198,"²")+COUNTIF($E198:AD198,"µ")+COUNTIF($E198:AD198,1)-1,INDEX(Roadmap!$D:$K,MATCH($E198,Roadmap!$D:$D,0)-1+COUNTIF($E198:AD198,"u")+COUNTIF($E198:AD198,"t")+COUNTIF($E198:AD198,"¶")+COUNTIF($E198:AD198,"²")+COUNTIF($E198:AD198,"µ")+COUNTIF($E198:AD198,1),ColDescriptionCourte)),""),
  "")),"")</f>
        <v/>
      </c>
      <c r="AF198" s="40" t="str">
        <f ca="1">IFERROR(IF(AND(
  INDEX(Roadmap!$D:$K,MATCH($E198,Roadmap!$D:$D,0)+COUNTIF($E198:AE198,"u")+COUNTIF($E198:AE198,"t")+COUNTIF($E198:AE198,"¶")+COUNTIF($E198:AE198,"²")+COUNTIF($E198:AE198,"µ")+COUNTIF($E198:AE198,1),ColLivraison)=AF$6,
  VLOOKUP($E198,INDIRECT("tri!"&amp; CHAR(64+ C0Col) &amp;":"&amp; CHAR(65+C0Col)),2,FALSE)&gt;COUNTIF($E198:AE198,"u")+COUNTIF($E198:AE198,"t")+COUNTIF($E198:AE198,"¶")+COUNTIF($E198:AE198,"²")+COUNTIF($E198:AE198,"µ")+COUNTIF($E198:AE198,1)),
HYPERLINK("#Roadmap!C"&amp; MATCH($E198,Roadmap!$D:$D,0)+COUNTIF($E198:AE198,"u")+COUNTIF($E198:AE198,"t"),
     INDEX(Roadmap!$D:$K,MATCH($E198,Roadmap!$D:$D,0)+COUNTIF($E198:AE198,"u")+COUNTIF($E198:AE198,"t")+COUNTIF($E198:AE198,"¶")+COUNTIF($E198:AE198,"²")+COUNTIF($E198:AE198,"µ")+COUNTIF($E198:AE198,1),ColTypeEcheance)),
  IF(LEN(AE198)=1,
  IF(LEN(INDEX(Roadmap!$D:$K,MATCH($E198,Roadmap!$D:$D,0)-1+COUNTIF($E198:AE198,"u")+COUNTIF($E198:AE198,"t")+COUNTIF($E198:AE198,"¶")+COUNTIF($E198:AE198,"²")+COUNTIF($E198:AE198,"µ")+COUNTIF($E198:AE198,1),ColDescriptionCourte))&gt;1,
HYPERLINK("#Roadmap!C"&amp; MATCH($E198,Roadmap!$D:$D,0)+COUNTIF($E198:AE198,"u")+COUNTIF($E198:AE198,"t")+COUNTIF($E198:AE198,"¶")+COUNTIF($E198:AE198,"²")+COUNTIF($E198:AE198,"µ")+COUNTIF($E198:AE198,1)-1,INDEX(Roadmap!$D:$K,MATCH($E198,Roadmap!$D:$D,0)-1+COUNTIF($E198:AE198,"u")+COUNTIF($E198:AE198,"t")+COUNTIF($E198:AE198,"¶")+COUNTIF($E198:AE198,"²")+COUNTIF($E198:AE198,"µ")+COUNTIF($E198:AE198,1),ColDescriptionCourte)),""),
  "")),"")</f>
        <v/>
      </c>
      <c r="AG198" s="40" t="str">
        <f ca="1">IFERROR(IF(AND(
  INDEX(Roadmap!$D:$K,MATCH($E198,Roadmap!$D:$D,0)+COUNTIF($E198:AF198,"u")+COUNTIF($E198:AF198,"t")+COUNTIF($E198:AF198,"¶")+COUNTIF($E198:AF198,"²")+COUNTIF($E198:AF198,"µ")+COUNTIF($E198:AF198,1),ColLivraison)=AG$6,
  VLOOKUP($E198,INDIRECT("tri!"&amp; CHAR(64+ C0Col) &amp;":"&amp; CHAR(65+C0Col)),2,FALSE)&gt;COUNTIF($E198:AF198,"u")+COUNTIF($E198:AF198,"t")+COUNTIF($E198:AF198,"¶")+COUNTIF($E198:AF198,"²")+COUNTIF($E198:AF198,"µ")+COUNTIF($E198:AF198,1)),
HYPERLINK("#Roadmap!C"&amp; MATCH($E198,Roadmap!$D:$D,0)+COUNTIF($E198:AF198,"u")+COUNTIF($E198:AF198,"t"),
     INDEX(Roadmap!$D:$K,MATCH($E198,Roadmap!$D:$D,0)+COUNTIF($E198:AF198,"u")+COUNTIF($E198:AF198,"t")+COUNTIF($E198:AF198,"¶")+COUNTIF($E198:AF198,"²")+COUNTIF($E198:AF198,"µ")+COUNTIF($E198:AF198,1),ColTypeEcheance)),
  IF(LEN(AF198)=1,
  IF(LEN(INDEX(Roadmap!$D:$K,MATCH($E198,Roadmap!$D:$D,0)-1+COUNTIF($E198:AF198,"u")+COUNTIF($E198:AF198,"t")+COUNTIF($E198:AF198,"¶")+COUNTIF($E198:AF198,"²")+COUNTIF($E198:AF198,"µ")+COUNTIF($E198:AF198,1),ColDescriptionCourte))&gt;1,
HYPERLINK("#Roadmap!C"&amp; MATCH($E198,Roadmap!$D:$D,0)+COUNTIF($E198:AF198,"u")+COUNTIF($E198:AF198,"t")+COUNTIF($E198:AF198,"¶")+COUNTIF($E198:AF198,"²")+COUNTIF($E198:AF198,"µ")+COUNTIF($E198:AF198,1)-1,INDEX(Roadmap!$D:$K,MATCH($E198,Roadmap!$D:$D,0)-1+COUNTIF($E198:AF198,"u")+COUNTIF($E198:AF198,"t")+COUNTIF($E198:AF198,"¶")+COUNTIF($E198:AF198,"²")+COUNTIF($E198:AF198,"µ")+COUNTIF($E198:AF198,1),ColDescriptionCourte)),""),
  "")),"")</f>
        <v/>
      </c>
      <c r="AH198" s="40" t="str">
        <f ca="1">IFERROR(IF(AND(
  INDEX(Roadmap!$D:$K,MATCH($E198,Roadmap!$D:$D,0)+COUNTIF($E198:AG198,"u")+COUNTIF($E198:AG198,"t")+COUNTIF($E198:AG198,1),ColLivraison)=AH$6,
  VLOOKUP($E198,INDIRECT("tri!"&amp; CHAR(64+ C0Col) &amp;":"&amp; CHAR(65+C0Col)),2,FALSE)&gt;COUNTIF($E198:AG198,"u")+COUNTIF($E198:AG198,"t")+COUNTIF($E198:AG198,1)),
HYPERLINK("#Roadmap!C"&amp; MATCH($E198,Roadmap!$D:$D,0)+COUNTIF($E198:AG198,"u")+COUNTIF($E198:AG198,"t"),
     INDEX(Roadmap!$D:$K,MATCH($E198,Roadmap!$D:$D,0)+COUNTIF($E198:AG198,"u")+COUNTIF($E198:AG198,"t")+COUNTIF($E198:AG198,1),ColTypeEcheance)),
  IF(OR(AG198="u",AG198="t",AG198=1),
  IF(LEN(INDEX(Roadmap!$D:$K,MATCH($E198,Roadmap!$D:$D,0)-1+COUNTIF($E198:AG198,"u")+COUNTIF($E198:AG198,"t")+COUNTIF($E198:AG198,1),ColDescriptionCourte))&gt;1,
HYPERLINK("#Roadmap!C"&amp; MATCH($E198,Roadmap!$D:$D,0)+COUNTIF($E198:AG198,"u")+COUNTIF($E198:AG198,"t")+COUNTIF($E198:AG198,1)-1,INDEX(Roadmap!$D:$K,MATCH($E198,Roadmap!$D:$D,0)-1+COUNTIF($E198:AG198,"u")+COUNTIF($E198:AG198,"t")+COUNTIF($E198:AG198,1),ColDescriptionCourte)),""),
  "")),"")</f>
        <v/>
      </c>
      <c r="AI198" s="40"/>
      <c r="AJ198" s="40"/>
      <c r="AK198" s="40"/>
      <c r="AL198" s="40"/>
      <c r="AM198" s="40"/>
    </row>
    <row r="199" spans="4:39" ht="14.1" customHeight="1">
      <c r="D199" s="20" t="str">
        <f t="shared" ref="D199:D201" ca="1" si="33">IFERROR(IF(LEN(INDIRECT(ADDRESS(C0Ligne+ROW()-MaquetteLigne0,C0Col-1,1,1,"Tri")))&lt;2,"",IF(LEFT(INDIRECT(ADDRESS(C0Ligne+ROW()-MaquetteLigne0,C0Col-1,1,1,"Tri")),5)="Total","",INDIRECT(ADDRESS(C0Ligne+ROW()-MaquetteLigne0,C0Col-1,1,1,"Tri")))),"")</f>
        <v/>
      </c>
      <c r="E199" s="53" t="str">
        <f t="shared" ref="E199:E201" ca="1" si="34">IF(LEN(INDIRECT(ADDRESS(C0Ligne+ROW()-MaquetteLigne0,C0Col,1,1,"Tri")))&lt;2,"",INDIRECT(ADDRESS(C0Ligne+ROW()-MaquetteLigne0,C0Col,1,1,"Tri")))</f>
        <v/>
      </c>
      <c r="F199" s="39" t="str">
        <f ca="1">IFERROR(IF(AND(
  INDEX(Roadmap!$D:$K,MATCH($E199,Roadmap!$D:$D,0)+COUNTIF($E199:E199,"u")+COUNTIF($E199:E199,"t")+COUNTIF($E199:E199,"¶")+COUNTIF($E199:E199,"²")+COUNTIF($E199:E199,"µ")+COUNTIF($E199:E199,1),ColLivraison)=F$6,
  VLOOKUP($E199,INDIRECT("tri!"&amp; CHAR(64+ C0Col) &amp;":"&amp; CHAR(65+C0Col)),2,FALSE)&gt;COUNTIF($E199:E199,"u")+COUNTIF($E199:E199,"t")+COUNTIF($E199:E199,"¶")+COUNTIF($E199:E199,"²")+COUNTIF($E199:E199,"µ")+COUNTIF($E199:E199,1)),
HYPERLINK("#Roadmap!C"&amp; MATCH($E199,Roadmap!$D:$D,0)+COUNTIF($E199:E199,"u")+COUNTIF($E199:E199,"t"),
     INDEX(Roadmap!$D:$K,MATCH($E199,Roadmap!$D:$D,0)+COUNTIF($E199:E199,"u")+COUNTIF($E199:E199,"t")+COUNTIF($E199:E199,"¶")+COUNTIF($E199:E199,"²")+COUNTIF($E199:E199,"µ")+COUNTIF($E199:E199,1),ColTypeEcheance)),
  IF(LEN(E199)=1,
  IF(LEN(INDEX(Roadmap!$D:$K,MATCH($E199,Roadmap!$D:$D,0)-1+COUNTIF($E199:E199,"u")+COUNTIF($E199:E199,"t")+COUNTIF($E199:E199,"¶")+COUNTIF($E199:E199,"²")+COUNTIF($E199:E199,"µ")+COUNTIF($E199:E199,1),ColDescriptionCourte))&gt;1,
HYPERLINK("#Roadmap!C"&amp; MATCH($E199,Roadmap!$D:$D,0)+COUNTIF($E199:E199,"u")+COUNTIF($E199:E199,"t")+COUNTIF($E199:E199,"¶")+COUNTIF($E199:E199,"²")+COUNTIF($E199:E199,"µ")+COUNTIF($E199:E199,1)-1,INDEX(Roadmap!$D:$K,MATCH($E199,Roadmap!$D:$D,0)-1+COUNTIF($E199:E199,"u")+COUNTIF($E199:E199,"t")+COUNTIF($E199:E199,"¶")+COUNTIF($E199:E199,"²")+COUNTIF($E199:E199,"µ")+COUNTIF($E199:E199,1),ColDescriptionCourte)),""),
  "")),"")</f>
        <v/>
      </c>
      <c r="G199" s="40" t="str">
        <f ca="1">IFERROR(IF(AND(
  INDEX(Roadmap!$D:$K,MATCH($E199,Roadmap!$D:$D,0)+COUNTIF($E199:F199,"u")+COUNTIF($E199:F199,"t")+COUNTIF($E199:F199,"¶")+COUNTIF($E199:F199,"²")+COUNTIF($E199:F199,"µ")+COUNTIF($E199:F199,1),ColLivraison)=G$6,
  VLOOKUP($E199,INDIRECT("tri!"&amp; CHAR(64+ C0Col) &amp;":"&amp; CHAR(65+C0Col)),2,FALSE)&gt;COUNTIF($E199:F199,"u")+COUNTIF($E199:F199,"t")+COUNTIF($E199:F199,"¶")+COUNTIF($E199:F199,"²")+COUNTIF($E199:F199,"µ")+COUNTIF($E199:F199,1)),
HYPERLINK("#Roadmap!C"&amp; MATCH($E199,Roadmap!$D:$D,0)+COUNTIF($E199:F199,"u")+COUNTIF($E199:F199,"t"),
     INDEX(Roadmap!$D:$K,MATCH($E199,Roadmap!$D:$D,0)+COUNTIF($E199:F199,"u")+COUNTIF($E199:F199,"t")+COUNTIF($E199:F199,"¶")+COUNTIF($E199:F199,"²")+COUNTIF($E199:F199,"µ")+COUNTIF($E199:F199,1),ColTypeEcheance)),
  IF(LEN(F199)=1,
  IF(LEN(INDEX(Roadmap!$D:$K,MATCH($E199,Roadmap!$D:$D,0)-1+COUNTIF($E199:F199,"u")+COUNTIF($E199:F199,"t")+COUNTIF($E199:F199,"¶")+COUNTIF($E199:F199,"²")+COUNTIF($E199:F199,"µ")+COUNTIF($E199:F199,1),ColDescriptionCourte))&gt;1,
HYPERLINK("#Roadmap!C"&amp; MATCH($E199,Roadmap!$D:$D,0)+COUNTIF($E199:F199,"u")+COUNTIF($E199:F199,"t")+COUNTIF($E199:F199,"¶")+COUNTIF($E199:F199,"²")+COUNTIF($E199:F199,"µ")+COUNTIF($E199:F199,1)-1,INDEX(Roadmap!$D:$K,MATCH($E199,Roadmap!$D:$D,0)-1+COUNTIF($E199:F199,"u")+COUNTIF($E199:F199,"t")+COUNTIF($E199:F199,"¶")+COUNTIF($E199:F199,"²")+COUNTIF($E199:F199,"µ")+COUNTIF($E199:F199,1),ColDescriptionCourte)),""),
  "")),"")</f>
        <v/>
      </c>
      <c r="H199" s="40" t="str">
        <f ca="1">IFERROR(IF(AND(
  INDEX(Roadmap!$D:$K,MATCH($E199,Roadmap!$D:$D,0)+COUNTIF($E199:G199,"u")+COUNTIF($E199:G199,"t")+COUNTIF($E199:G199,"¶")+COUNTIF($E199:G199,"²")+COUNTIF($E199:G199,"µ")+COUNTIF($E199:G199,1),ColLivraison)=H$6,
  VLOOKUP($E199,INDIRECT("tri!"&amp; CHAR(64+ C0Col) &amp;":"&amp; CHAR(65+C0Col)),2,FALSE)&gt;COUNTIF($E199:G199,"u")+COUNTIF($E199:G199,"t")+COUNTIF($E199:G199,"¶")+COUNTIF($E199:G199,"²")+COUNTIF($E199:G199,"µ")+COUNTIF($E199:G199,1)),
HYPERLINK("#Roadmap!C"&amp; MATCH($E199,Roadmap!$D:$D,0)+COUNTIF($E199:G199,"u")+COUNTIF($E199:G199,"t"),
     INDEX(Roadmap!$D:$K,MATCH($E199,Roadmap!$D:$D,0)+COUNTIF($E199:G199,"u")+COUNTIF($E199:G199,"t")+COUNTIF($E199:G199,"¶")+COUNTIF($E199:G199,"²")+COUNTIF($E199:G199,"µ")+COUNTIF($E199:G199,1),ColTypeEcheance)),
  IF(LEN(G199)=1,
  IF(LEN(INDEX(Roadmap!$D:$K,MATCH($E199,Roadmap!$D:$D,0)-1+COUNTIF($E199:G199,"u")+COUNTIF($E199:G199,"t")+COUNTIF($E199:G199,"¶")+COUNTIF($E199:G199,"²")+COUNTIF($E199:G199,"µ")+COUNTIF($E199:G199,1),ColDescriptionCourte))&gt;1,
HYPERLINK("#Roadmap!C"&amp; MATCH($E199,Roadmap!$D:$D,0)+COUNTIF($E199:G199,"u")+COUNTIF($E199:G199,"t")+COUNTIF($E199:G199,"¶")+COUNTIF($E199:G199,"²")+COUNTIF($E199:G199,"µ")+COUNTIF($E199:G199,1)-1,INDEX(Roadmap!$D:$K,MATCH($E199,Roadmap!$D:$D,0)-1+COUNTIF($E199:G199,"u")+COUNTIF($E199:G199,"t")+COUNTIF($E199:G199,"¶")+COUNTIF($E199:G199,"²")+COUNTIF($E199:G199,"µ")+COUNTIF($E199:G199,1),ColDescriptionCourte)),""),
  "")),"")</f>
        <v/>
      </c>
      <c r="I199" s="40" t="str">
        <f ca="1">IFERROR(IF(AND(
  INDEX(Roadmap!$D:$K,MATCH($E199,Roadmap!$D:$D,0)+COUNTIF($E199:H199,"u")+COUNTIF($E199:H199,"t")+COUNTIF($E199:H199,"¶")+COUNTIF($E199:H199,"²")+COUNTIF($E199:H199,"µ")+COUNTIF($E199:H199,1),ColLivraison)=I$6,
  VLOOKUP($E199,INDIRECT("tri!"&amp; CHAR(64+ C0Col) &amp;":"&amp; CHAR(65+C0Col)),2,FALSE)&gt;COUNTIF($E199:H199,"u")+COUNTIF($E199:H199,"t")+COUNTIF($E199:H199,"¶")+COUNTIF($E199:H199,"²")+COUNTIF($E199:H199,"µ")+COUNTIF($E199:H199,1)),
HYPERLINK("#Roadmap!C"&amp; MATCH($E199,Roadmap!$D:$D,0)+COUNTIF($E199:H199,"u")+COUNTIF($E199:H199,"t"),
     INDEX(Roadmap!$D:$K,MATCH($E199,Roadmap!$D:$D,0)+COUNTIF($E199:H199,"u")+COUNTIF($E199:H199,"t")+COUNTIF($E199:H199,"¶")+COUNTIF($E199:H199,"²")+COUNTIF($E199:H199,"µ")+COUNTIF($E199:H199,1),ColTypeEcheance)),
  IF(LEN(H199)=1,
  IF(LEN(INDEX(Roadmap!$D:$K,MATCH($E199,Roadmap!$D:$D,0)-1+COUNTIF($E199:H199,"u")+COUNTIF($E199:H199,"t")+COUNTIF($E199:H199,"¶")+COUNTIF($E199:H199,"²")+COUNTIF($E199:H199,"µ")+COUNTIF($E199:H199,1),ColDescriptionCourte))&gt;1,
HYPERLINK("#Roadmap!C"&amp; MATCH($E199,Roadmap!$D:$D,0)+COUNTIF($E199:H199,"u")+COUNTIF($E199:H199,"t")+COUNTIF($E199:H199,"¶")+COUNTIF($E199:H199,"²")+COUNTIF($E199:H199,"µ")+COUNTIF($E199:H199,1)-1,INDEX(Roadmap!$D:$K,MATCH($E199,Roadmap!$D:$D,0)-1+COUNTIF($E199:H199,"u")+COUNTIF($E199:H199,"t")+COUNTIF($E199:H199,"¶")+COUNTIF($E199:H199,"²")+COUNTIF($E199:H199,"µ")+COUNTIF($E199:H199,1),ColDescriptionCourte)),""),
  "")),"")</f>
        <v/>
      </c>
      <c r="J199" s="40" t="str">
        <f ca="1">IFERROR(IF(AND(
  INDEX(Roadmap!$D:$K,MATCH($E199,Roadmap!$D:$D,0)+COUNTIF($E199:I199,"u")+COUNTIF($E199:I199,"t")+COUNTIF($E199:I199,"¶")+COUNTIF($E199:I199,"²")+COUNTIF($E199:I199,"µ")+COUNTIF($E199:I199,1),ColLivraison)=J$6,
  VLOOKUP($E199,INDIRECT("tri!"&amp; CHAR(64+ C0Col) &amp;":"&amp; CHAR(65+C0Col)),2,FALSE)&gt;COUNTIF($E199:I199,"u")+COUNTIF($E199:I199,"t")+COUNTIF($E199:I199,"¶")+COUNTIF($E199:I199,"²")+COUNTIF($E199:I199,"µ")+COUNTIF($E199:I199,1)),
HYPERLINK("#Roadmap!C"&amp; MATCH($E199,Roadmap!$D:$D,0)+COUNTIF($E199:I199,"u")+COUNTIF($E199:I199,"t"),
     INDEX(Roadmap!$D:$K,MATCH($E199,Roadmap!$D:$D,0)+COUNTIF($E199:I199,"u")+COUNTIF($E199:I199,"t")+COUNTIF($E199:I199,"¶")+COUNTIF($E199:I199,"²")+COUNTIF($E199:I199,"µ")+COUNTIF($E199:I199,1),ColTypeEcheance)),
  IF(LEN(I199)=1,
  IF(LEN(INDEX(Roadmap!$D:$K,MATCH($E199,Roadmap!$D:$D,0)-1+COUNTIF($E199:I199,"u")+COUNTIF($E199:I199,"t")+COUNTIF($E199:I199,"¶")+COUNTIF($E199:I199,"²")+COUNTIF($E199:I199,"µ")+COUNTIF($E199:I199,1),ColDescriptionCourte))&gt;1,
HYPERLINK("#Roadmap!C"&amp; MATCH($E199,Roadmap!$D:$D,0)+COUNTIF($E199:I199,"u")+COUNTIF($E199:I199,"t")+COUNTIF($E199:I199,"¶")+COUNTIF($E199:I199,"²")+COUNTIF($E199:I199,"µ")+COUNTIF($E199:I199,1)-1,INDEX(Roadmap!$D:$K,MATCH($E199,Roadmap!$D:$D,0)-1+COUNTIF($E199:I199,"u")+COUNTIF($E199:I199,"t")+COUNTIF($E199:I199,"¶")+COUNTIF($E199:I199,"²")+COUNTIF($E199:I199,"µ")+COUNTIF($E199:I199,1),ColDescriptionCourte)),""),
  "")),"")</f>
        <v/>
      </c>
      <c r="K199" s="40" t="str">
        <f ca="1">IFERROR(IF(AND(
  INDEX(Roadmap!$D:$K,MATCH($E199,Roadmap!$D:$D,0)+COUNTIF($E199:J199,"u")+COUNTIF($E199:J199,"t")+COUNTIF($E199:J199,"¶")+COUNTIF($E199:J199,"²")+COUNTIF($E199:J199,"µ")+COUNTIF($E199:J199,1),ColLivraison)=K$6,
  VLOOKUP($E199,INDIRECT("tri!"&amp; CHAR(64+ C0Col) &amp;":"&amp; CHAR(65+C0Col)),2,FALSE)&gt;COUNTIF($E199:J199,"u")+COUNTIF($E199:J199,"t")+COUNTIF($E199:J199,"¶")+COUNTIF($E199:J199,"²")+COUNTIF($E199:J199,"µ")+COUNTIF($E199:J199,1)),
HYPERLINK("#Roadmap!C"&amp; MATCH($E199,Roadmap!$D:$D,0)+COUNTIF($E199:J199,"u")+COUNTIF($E199:J199,"t"),
     INDEX(Roadmap!$D:$K,MATCH($E199,Roadmap!$D:$D,0)+COUNTIF($E199:J199,"u")+COUNTIF($E199:J199,"t")+COUNTIF($E199:J199,"¶")+COUNTIF($E199:J199,"²")+COUNTIF($E199:J199,"µ")+COUNTIF($E199:J199,1),ColTypeEcheance)),
  IF(LEN(J199)=1,
  IF(LEN(INDEX(Roadmap!$D:$K,MATCH($E199,Roadmap!$D:$D,0)-1+COUNTIF($E199:J199,"u")+COUNTIF($E199:J199,"t")+COUNTIF($E199:J199,"¶")+COUNTIF($E199:J199,"²")+COUNTIF($E199:J199,"µ")+COUNTIF($E199:J199,1),ColDescriptionCourte))&gt;1,
HYPERLINK("#Roadmap!C"&amp; MATCH($E199,Roadmap!$D:$D,0)+COUNTIF($E199:J199,"u")+COUNTIF($E199:J199,"t")+COUNTIF($E199:J199,"¶")+COUNTIF($E199:J199,"²")+COUNTIF($E199:J199,"µ")+COUNTIF($E199:J199,1)-1,INDEX(Roadmap!$D:$K,MATCH($E199,Roadmap!$D:$D,0)-1+COUNTIF($E199:J199,"u")+COUNTIF($E199:J199,"t")+COUNTIF($E199:J199,"¶")+COUNTIF($E199:J199,"²")+COUNTIF($E199:J199,"µ")+COUNTIF($E199:J199,1),ColDescriptionCourte)),""),
  "")),"")</f>
        <v/>
      </c>
      <c r="L199" s="39" t="str">
        <f ca="1">IFERROR(IF(AND(
  INDEX(Roadmap!$D:$K,MATCH($E199,Roadmap!$D:$D,0)+COUNTIF($E199:K199,"u")+COUNTIF($E199:K199,"t")+COUNTIF($E199:K199,"¶")+COUNTIF($E199:K199,"²")+COUNTIF($E199:K199,"µ")+COUNTIF($E199:K199,1),ColLivraison)=L$6,
  VLOOKUP($E199,INDIRECT("tri!"&amp; CHAR(64+ C0Col) &amp;":"&amp; CHAR(65+C0Col)),2,FALSE)&gt;COUNTIF($E199:K199,"u")+COUNTIF($E199:K199,"t")+COUNTIF($E199:K199,"¶")+COUNTIF($E199:K199,"²")+COUNTIF($E199:K199,"µ")+COUNTIF($E199:K199,1)),
HYPERLINK("#Roadmap!C"&amp; MATCH($E199,Roadmap!$D:$D,0)+COUNTIF($E199:K199,"u")+COUNTIF($E199:K199,"t"),
     INDEX(Roadmap!$D:$K,MATCH($E199,Roadmap!$D:$D,0)+COUNTIF($E199:K199,"u")+COUNTIF($E199:K199,"t")+COUNTIF($E199:K199,"¶")+COUNTIF($E199:K199,"²")+COUNTIF($E199:K199,"µ")+COUNTIF($E199:K199,1),ColTypeEcheance)),
  IF(LEN(K199)=1,
  IF(LEN(INDEX(Roadmap!$D:$K,MATCH($E199,Roadmap!$D:$D,0)-1+COUNTIF($E199:K199,"u")+COUNTIF($E199:K199,"t")+COUNTIF($E199:K199,"¶")+COUNTIF($E199:K199,"²")+COUNTIF($E199:K199,"µ")+COUNTIF($E199:K199,1),ColDescriptionCourte))&gt;1,
HYPERLINK("#Roadmap!C"&amp; MATCH($E199,Roadmap!$D:$D,0)+COUNTIF($E199:K199,"u")+COUNTIF($E199:K199,"t")+COUNTIF($E199:K199,"¶")+COUNTIF($E199:K199,"²")+COUNTIF($E199:K199,"µ")+COUNTIF($E199:K199,1)-1,INDEX(Roadmap!$D:$K,MATCH($E199,Roadmap!$D:$D,0)-1+COUNTIF($E199:K199,"u")+COUNTIF($E199:K199,"t")+COUNTIF($E199:K199,"¶")+COUNTIF($E199:K199,"²")+COUNTIF($E199:K199,"µ")+COUNTIF($E199:K199,1),ColDescriptionCourte)),""),
  "")),"")</f>
        <v/>
      </c>
      <c r="M199" s="40" t="str">
        <f ca="1">IFERROR(IF(AND(
  INDEX(Roadmap!$D:$K,MATCH($E199,Roadmap!$D:$D,0)+COUNTIF($E199:L199,"u")+COUNTIF($E199:L199,"t")+COUNTIF($E199:L199,"¶")+COUNTIF($E199:L199,"²")+COUNTIF($E199:L199,"µ")+COUNTIF($E199:L199,1),ColLivraison)=M$6,
  VLOOKUP($E199,INDIRECT("tri!"&amp; CHAR(64+ C0Col) &amp;":"&amp; CHAR(65+C0Col)),2,FALSE)&gt;COUNTIF($E199:L199,"u")+COUNTIF($E199:L199,"t")+COUNTIF($E199:L199,"¶")+COUNTIF($E199:L199,"²")+COUNTIF($E199:L199,"µ")+COUNTIF($E199:L199,1)),
HYPERLINK("#Roadmap!C"&amp; MATCH($E199,Roadmap!$D:$D,0)+COUNTIF($E199:L199,"u")+COUNTIF($E199:L199,"t"),
     INDEX(Roadmap!$D:$K,MATCH($E199,Roadmap!$D:$D,0)+COUNTIF($E199:L199,"u")+COUNTIF($E199:L199,"t")+COUNTIF($E199:L199,"¶")+COUNTIF($E199:L199,"²")+COUNTIF($E199:L199,"µ")+COUNTIF($E199:L199,1),ColTypeEcheance)),
  IF(LEN(L199)=1,
  IF(LEN(INDEX(Roadmap!$D:$K,MATCH($E199,Roadmap!$D:$D,0)-1+COUNTIF($E199:L199,"u")+COUNTIF($E199:L199,"t")+COUNTIF($E199:L199,"¶")+COUNTIF($E199:L199,"²")+COUNTIF($E199:L199,"µ")+COUNTIF($E199:L199,1),ColDescriptionCourte))&gt;1,
HYPERLINK("#Roadmap!C"&amp; MATCH($E199,Roadmap!$D:$D,0)+COUNTIF($E199:L199,"u")+COUNTIF($E199:L199,"t")+COUNTIF($E199:L199,"¶")+COUNTIF($E199:L199,"²")+COUNTIF($E199:L199,"µ")+COUNTIF($E199:L199,1)-1,INDEX(Roadmap!$D:$K,MATCH($E199,Roadmap!$D:$D,0)-1+COUNTIF($E199:L199,"u")+COUNTIF($E199:L199,"t")+COUNTIF($E199:L199,"¶")+COUNTIF($E199:L199,"²")+COUNTIF($E199:L199,"µ")+COUNTIF($E199:L199,1),ColDescriptionCourte)),""),
  "")),"")</f>
        <v/>
      </c>
      <c r="N199" s="40" t="str">
        <f ca="1">IFERROR(IF(AND(
  INDEX(Roadmap!$D:$K,MATCH($E199,Roadmap!$D:$D,0)+COUNTIF($E199:M199,"u")+COUNTIF($E199:M199,"t")+COUNTIF($E199:M199,"¶")+COUNTIF($E199:M199,"²")+COUNTIF($E199:M199,"µ")+COUNTIF($E199:M199,1),ColLivraison)=N$6,
  VLOOKUP($E199,INDIRECT("tri!"&amp; CHAR(64+ C0Col) &amp;":"&amp; CHAR(65+C0Col)),2,FALSE)&gt;COUNTIF($E199:M199,"u")+COUNTIF($E199:M199,"t")+COUNTIF($E199:M199,"¶")+COUNTIF($E199:M199,"²")+COUNTIF($E199:M199,"µ")+COUNTIF($E199:M199,1)),
HYPERLINK("#Roadmap!C"&amp; MATCH($E199,Roadmap!$D:$D,0)+COUNTIF($E199:M199,"u")+COUNTIF($E199:M199,"t"),
     INDEX(Roadmap!$D:$K,MATCH($E199,Roadmap!$D:$D,0)+COUNTIF($E199:M199,"u")+COUNTIF($E199:M199,"t")+COUNTIF($E199:M199,"¶")+COUNTIF($E199:M199,"²")+COUNTIF($E199:M199,"µ")+COUNTIF($E199:M199,1),ColTypeEcheance)),
  IF(LEN(M199)=1,
  IF(LEN(INDEX(Roadmap!$D:$K,MATCH($E199,Roadmap!$D:$D,0)-1+COUNTIF($E199:M199,"u")+COUNTIF($E199:M199,"t")+COUNTIF($E199:M199,"¶")+COUNTIF($E199:M199,"²")+COUNTIF($E199:M199,"µ")+COUNTIF($E199:M199,1),ColDescriptionCourte))&gt;1,
HYPERLINK("#Roadmap!C"&amp; MATCH($E199,Roadmap!$D:$D,0)+COUNTIF($E199:M199,"u")+COUNTIF($E199:M199,"t")+COUNTIF($E199:M199,"¶")+COUNTIF($E199:M199,"²")+COUNTIF($E199:M199,"µ")+COUNTIF($E199:M199,1)-1,INDEX(Roadmap!$D:$K,MATCH($E199,Roadmap!$D:$D,0)-1+COUNTIF($E199:M199,"u")+COUNTIF($E199:M199,"t")+COUNTIF($E199:M199,"¶")+COUNTIF($E199:M199,"²")+COUNTIF($E199:M199,"µ")+COUNTIF($E199:M199,1),ColDescriptionCourte)),""),
  "")),"")</f>
        <v/>
      </c>
      <c r="O199" s="40" t="str">
        <f ca="1">IFERROR(IF(AND(
  INDEX(Roadmap!$D:$K,MATCH($E199,Roadmap!$D:$D,0)+COUNTIF($E199:N199,"u")+COUNTIF($E199:N199,"t")+COUNTIF($E199:N199,"¶")+COUNTIF($E199:N199,"²")+COUNTIF($E199:N199,"µ")+COUNTIF($E199:N199,1),ColLivraison)=O$6,
  VLOOKUP($E199,INDIRECT("tri!"&amp; CHAR(64+ C0Col) &amp;":"&amp; CHAR(65+C0Col)),2,FALSE)&gt;COUNTIF($E199:N199,"u")+COUNTIF($E199:N199,"t")+COUNTIF($E199:N199,"¶")+COUNTIF($E199:N199,"²")+COUNTIF($E199:N199,"µ")+COUNTIF($E199:N199,1)),
HYPERLINK("#Roadmap!C"&amp; MATCH($E199,Roadmap!$D:$D,0)+COUNTIF($E199:N199,"u")+COUNTIF($E199:N199,"t"),
     INDEX(Roadmap!$D:$K,MATCH($E199,Roadmap!$D:$D,0)+COUNTIF($E199:N199,"u")+COUNTIF($E199:N199,"t")+COUNTIF($E199:N199,"¶")+COUNTIF($E199:N199,"²")+COUNTIF($E199:N199,"µ")+COUNTIF($E199:N199,1),ColTypeEcheance)),
  IF(LEN(N199)=1,
  IF(LEN(INDEX(Roadmap!$D:$K,MATCH($E199,Roadmap!$D:$D,0)-1+COUNTIF($E199:N199,"u")+COUNTIF($E199:N199,"t")+COUNTIF($E199:N199,"¶")+COUNTIF($E199:N199,"²")+COUNTIF($E199:N199,"µ")+COUNTIF($E199:N199,1),ColDescriptionCourte))&gt;1,
HYPERLINK("#Roadmap!C"&amp; MATCH($E199,Roadmap!$D:$D,0)+COUNTIF($E199:N199,"u")+COUNTIF($E199:N199,"t")+COUNTIF($E199:N199,"¶")+COUNTIF($E199:N199,"²")+COUNTIF($E199:N199,"µ")+COUNTIF($E199:N199,1)-1,INDEX(Roadmap!$D:$K,MATCH($E199,Roadmap!$D:$D,0)-1+COUNTIF($E199:N199,"u")+COUNTIF($E199:N199,"t")+COUNTIF($E199:N199,"¶")+COUNTIF($E199:N199,"²")+COUNTIF($E199:N199,"µ")+COUNTIF($E199:N199,1),ColDescriptionCourte)),""),
  "")),"")</f>
        <v/>
      </c>
      <c r="P199" s="40" t="str">
        <f ca="1">IFERROR(IF(AND(
  INDEX(Roadmap!$D:$K,MATCH($E199,Roadmap!$D:$D,0)+COUNTIF($E199:O199,"u")+COUNTIF($E199:O199,"t")+COUNTIF($E199:O199,"¶")+COUNTIF($E199:O199,"²")+COUNTIF($E199:O199,"µ")+COUNTIF($E199:O199,1),ColLivraison)=P$6,
  VLOOKUP($E199,INDIRECT("tri!"&amp; CHAR(64+ C0Col) &amp;":"&amp; CHAR(65+C0Col)),2,FALSE)&gt;COUNTIF($E199:O199,"u")+COUNTIF($E199:O199,"t")+COUNTIF($E199:O199,"¶")+COUNTIF($E199:O199,"²")+COUNTIF($E199:O199,"µ")+COUNTIF($E199:O199,1)),
HYPERLINK("#Roadmap!C"&amp; MATCH($E199,Roadmap!$D:$D,0)+COUNTIF($E199:O199,"u")+COUNTIF($E199:O199,"t"),
     INDEX(Roadmap!$D:$K,MATCH($E199,Roadmap!$D:$D,0)+COUNTIF($E199:O199,"u")+COUNTIF($E199:O199,"t")+COUNTIF($E199:O199,"¶")+COUNTIF($E199:O199,"²")+COUNTIF($E199:O199,"µ")+COUNTIF($E199:O199,1),ColTypeEcheance)),
  IF(LEN(O199)=1,
  IF(LEN(INDEX(Roadmap!$D:$K,MATCH($E199,Roadmap!$D:$D,0)-1+COUNTIF($E199:O199,"u")+COUNTIF($E199:O199,"t")+COUNTIF($E199:O199,"¶")+COUNTIF($E199:O199,"²")+COUNTIF($E199:O199,"µ")+COUNTIF($E199:O199,1),ColDescriptionCourte))&gt;1,
HYPERLINK("#Roadmap!C"&amp; MATCH($E199,Roadmap!$D:$D,0)+COUNTIF($E199:O199,"u")+COUNTIF($E199:O199,"t")+COUNTIF($E199:O199,"¶")+COUNTIF($E199:O199,"²")+COUNTIF($E199:O199,"µ")+COUNTIF($E199:O199,1)-1,INDEX(Roadmap!$D:$K,MATCH($E199,Roadmap!$D:$D,0)-1+COUNTIF($E199:O199,"u")+COUNTIF($E199:O199,"t")+COUNTIF($E199:O199,"¶")+COUNTIF($E199:O199,"²")+COUNTIF($E199:O199,"µ")+COUNTIF($E199:O199,1),ColDescriptionCourte)),""),
  "")),"")</f>
        <v/>
      </c>
      <c r="Q199" s="40" t="str">
        <f ca="1">IFERROR(IF(AND(
  INDEX(Roadmap!$D:$K,MATCH($E199,Roadmap!$D:$D,0)+COUNTIF($E199:P199,"u")+COUNTIF($E199:P199,"t")+COUNTIF($E199:P199,"¶")+COUNTIF($E199:P199,"²")+COUNTIF($E199:P199,"µ")+COUNTIF($E199:P199,1),ColLivraison)=Q$6,
  VLOOKUP($E199,INDIRECT("tri!"&amp; CHAR(64+ C0Col) &amp;":"&amp; CHAR(65+C0Col)),2,FALSE)&gt;COUNTIF($E199:P199,"u")+COUNTIF($E199:P199,"t")+COUNTIF($E199:P199,"¶")+COUNTIF($E199:P199,"²")+COUNTIF($E199:P199,"µ")+COUNTIF($E199:P199,1)),
HYPERLINK("#Roadmap!C"&amp; MATCH($E199,Roadmap!$D:$D,0)+COUNTIF($E199:P199,"u")+COUNTIF($E199:P199,"t"),
     INDEX(Roadmap!$D:$K,MATCH($E199,Roadmap!$D:$D,0)+COUNTIF($E199:P199,"u")+COUNTIF($E199:P199,"t")+COUNTIF($E199:P199,"¶")+COUNTIF($E199:P199,"²")+COUNTIF($E199:P199,"µ")+COUNTIF($E199:P199,1),ColTypeEcheance)),
  IF(LEN(P199)=1,
  IF(LEN(INDEX(Roadmap!$D:$K,MATCH($E199,Roadmap!$D:$D,0)-1+COUNTIF($E199:P199,"u")+COUNTIF($E199:P199,"t")+COUNTIF($E199:P199,"¶")+COUNTIF($E199:P199,"²")+COUNTIF($E199:P199,"µ")+COUNTIF($E199:P199,1),ColDescriptionCourte))&gt;1,
HYPERLINK("#Roadmap!C"&amp; MATCH($E199,Roadmap!$D:$D,0)+COUNTIF($E199:P199,"u")+COUNTIF($E199:P199,"t")+COUNTIF($E199:P199,"¶")+COUNTIF($E199:P199,"²")+COUNTIF($E199:P199,"µ")+COUNTIF($E199:P199,1)-1,INDEX(Roadmap!$D:$K,MATCH($E199,Roadmap!$D:$D,0)-1+COUNTIF($E199:P199,"u")+COUNTIF($E199:P199,"t")+COUNTIF($E199:P199,"¶")+COUNTIF($E199:P199,"²")+COUNTIF($E199:P199,"µ")+COUNTIF($E199:P199,1),ColDescriptionCourte)),""),
  "")),"")</f>
        <v/>
      </c>
      <c r="R199" s="40" t="str">
        <f ca="1">IFERROR(IF(AND(
  INDEX(Roadmap!$D:$K,MATCH($E199,Roadmap!$D:$D,0)+COUNTIF($E199:Q199,"u")+COUNTIF($E199:Q199,"t")+COUNTIF($E199:Q199,"¶")+COUNTIF($E199:Q199,"²")+COUNTIF($E199:Q199,"µ")+COUNTIF($E199:Q199,1),ColLivraison)=R$6,
  VLOOKUP($E199,INDIRECT("tri!"&amp; CHAR(64+ C0Col) &amp;":"&amp; CHAR(65+C0Col)),2,FALSE)&gt;COUNTIF($E199:Q199,"u")+COUNTIF($E199:Q199,"t")+COUNTIF($E199:Q199,"¶")+COUNTIF($E199:Q199,"²")+COUNTIF($E199:Q199,"µ")+COUNTIF($E199:Q199,1)),
HYPERLINK("#Roadmap!C"&amp; MATCH($E199,Roadmap!$D:$D,0)+COUNTIF($E199:Q199,"u")+COUNTIF($E199:Q199,"t"),
     INDEX(Roadmap!$D:$K,MATCH($E199,Roadmap!$D:$D,0)+COUNTIF($E199:Q199,"u")+COUNTIF($E199:Q199,"t")+COUNTIF($E199:Q199,"¶")+COUNTIF($E199:Q199,"²")+COUNTIF($E199:Q199,"µ")+COUNTIF($E199:Q199,1),ColTypeEcheance)),
  IF(LEN(Q199)=1,
  IF(LEN(INDEX(Roadmap!$D:$K,MATCH($E199,Roadmap!$D:$D,0)-1+COUNTIF($E199:Q199,"u")+COUNTIF($E199:Q199,"t")+COUNTIF($E199:Q199,"¶")+COUNTIF($E199:Q199,"²")+COUNTIF($E199:Q199,"µ")+COUNTIF($E199:Q199,1),ColDescriptionCourte))&gt;1,
HYPERLINK("#Roadmap!C"&amp; MATCH($E199,Roadmap!$D:$D,0)+COUNTIF($E199:Q199,"u")+COUNTIF($E199:Q199,"t")+COUNTIF($E199:Q199,"¶")+COUNTIF($E199:Q199,"²")+COUNTIF($E199:Q199,"µ")+COUNTIF($E199:Q199,1)-1,INDEX(Roadmap!$D:$K,MATCH($E199,Roadmap!$D:$D,0)-1+COUNTIF($E199:Q199,"u")+COUNTIF($E199:Q199,"t")+COUNTIF($E199:Q199,"¶")+COUNTIF($E199:Q199,"²")+COUNTIF($E199:Q199,"µ")+COUNTIF($E199:Q199,1),ColDescriptionCourte)),""),
  "")),"")</f>
        <v/>
      </c>
      <c r="S199" s="40" t="str">
        <f ca="1">IFERROR(IF(AND(
  INDEX(Roadmap!$D:$K,MATCH($E199,Roadmap!$D:$D,0)+COUNTIF($E199:R199,"u")+COUNTIF($E199:R199,"t")+COUNTIF($E199:R199,"¶")+COUNTIF($E199:R199,"²")+COUNTIF($E199:R199,"µ")+COUNTIF($E199:R199,1),ColLivraison)=S$6,
  VLOOKUP($E199,INDIRECT("tri!"&amp; CHAR(64+ C0Col) &amp;":"&amp; CHAR(65+C0Col)),2,FALSE)&gt;COUNTIF($E199:R199,"u")+COUNTIF($E199:R199,"t")+COUNTIF($E199:R199,"¶")+COUNTIF($E199:R199,"²")+COUNTIF($E199:R199,"µ")+COUNTIF($E199:R199,1)),
HYPERLINK("#Roadmap!C"&amp; MATCH($E199,Roadmap!$D:$D,0)+COUNTIF($E199:R199,"u")+COUNTIF($E199:R199,"t"),
     INDEX(Roadmap!$D:$K,MATCH($E199,Roadmap!$D:$D,0)+COUNTIF($E199:R199,"u")+COUNTIF($E199:R199,"t")+COUNTIF($E199:R199,"¶")+COUNTIF($E199:R199,"²")+COUNTIF($E199:R199,"µ")+COUNTIF($E199:R199,1),ColTypeEcheance)),
  IF(LEN(R199)=1,
  IF(LEN(INDEX(Roadmap!$D:$K,MATCH($E199,Roadmap!$D:$D,0)-1+COUNTIF($E199:R199,"u")+COUNTIF($E199:R199,"t")+COUNTIF($E199:R199,"¶")+COUNTIF($E199:R199,"²")+COUNTIF($E199:R199,"µ")+COUNTIF($E199:R199,1),ColDescriptionCourte))&gt;1,
HYPERLINK("#Roadmap!C"&amp; MATCH($E199,Roadmap!$D:$D,0)+COUNTIF($E199:R199,"u")+COUNTIF($E199:R199,"t")+COUNTIF($E199:R199,"¶")+COUNTIF($E199:R199,"²")+COUNTIF($E199:R199,"µ")+COUNTIF($E199:R199,1)-1,INDEX(Roadmap!$D:$K,MATCH($E199,Roadmap!$D:$D,0)-1+COUNTIF($E199:R199,"u")+COUNTIF($E199:R199,"t")+COUNTIF($E199:R199,"¶")+COUNTIF($E199:R199,"²")+COUNTIF($E199:R199,"µ")+COUNTIF($E199:R199,1),ColDescriptionCourte)),""),
  "")),"")</f>
        <v/>
      </c>
      <c r="T199" s="40" t="str">
        <f ca="1">IFERROR(IF(AND(
  INDEX(Roadmap!$D:$K,MATCH($E199,Roadmap!$D:$D,0)+COUNTIF($E199:S199,"u")+COUNTIF($E199:S199,"t")+COUNTIF($E199:S199,"¶")+COUNTIF($E199:S199,"²")+COUNTIF($E199:S199,"µ")+COUNTIF($E199:S199,1),ColLivraison)=T$6,
  VLOOKUP($E199,INDIRECT("tri!"&amp; CHAR(64+ C0Col) &amp;":"&amp; CHAR(65+C0Col)),2,FALSE)&gt;COUNTIF($E199:S199,"u")+COUNTIF($E199:S199,"t")+COUNTIF($E199:S199,"¶")+COUNTIF($E199:S199,"²")+COUNTIF($E199:S199,"µ")+COUNTIF($E199:S199,1)),
HYPERLINK("#Roadmap!C"&amp; MATCH($E199,Roadmap!$D:$D,0)+COUNTIF($E199:S199,"u")+COUNTIF($E199:S199,"t"),
     INDEX(Roadmap!$D:$K,MATCH($E199,Roadmap!$D:$D,0)+COUNTIF($E199:S199,"u")+COUNTIF($E199:S199,"t")+COUNTIF($E199:S199,"¶")+COUNTIF($E199:S199,"²")+COUNTIF($E199:S199,"µ")+COUNTIF($E199:S199,1),ColTypeEcheance)),
  IF(LEN(S199)=1,
  IF(LEN(INDEX(Roadmap!$D:$K,MATCH($E199,Roadmap!$D:$D,0)-1+COUNTIF($E199:S199,"u")+COUNTIF($E199:S199,"t")+COUNTIF($E199:S199,"¶")+COUNTIF($E199:S199,"²")+COUNTIF($E199:S199,"µ")+COUNTIF($E199:S199,1),ColDescriptionCourte))&gt;1,
HYPERLINK("#Roadmap!C"&amp; MATCH($E199,Roadmap!$D:$D,0)+COUNTIF($E199:S199,"u")+COUNTIF($E199:S199,"t")+COUNTIF($E199:S199,"¶")+COUNTIF($E199:S199,"²")+COUNTIF($E199:S199,"µ")+COUNTIF($E199:S199,1)-1,INDEX(Roadmap!$D:$K,MATCH($E199,Roadmap!$D:$D,0)-1+COUNTIF($E199:S199,"u")+COUNTIF($E199:S199,"t")+COUNTIF($E199:S199,"¶")+COUNTIF($E199:S199,"²")+COUNTIF($E199:S199,"µ")+COUNTIF($E199:S199,1),ColDescriptionCourte)),""),
  "")),"")</f>
        <v/>
      </c>
      <c r="U199" s="40" t="str">
        <f ca="1">IFERROR(IF(AND(
  INDEX(Roadmap!$D:$K,MATCH($E199,Roadmap!$D:$D,0)+COUNTIF($E199:T199,"u")+COUNTIF($E199:T199,"t")+COUNTIF($E199:T199,"¶")+COUNTIF($E199:T199,"²")+COUNTIF($E199:T199,"µ")+COUNTIF($E199:T199,1),ColLivraison)=U$6,
  VLOOKUP($E199,INDIRECT("tri!"&amp; CHAR(64+ C0Col) &amp;":"&amp; CHAR(65+C0Col)),2,FALSE)&gt;COUNTIF($E199:T199,"u")+COUNTIF($E199:T199,"t")+COUNTIF($E199:T199,"¶")+COUNTIF($E199:T199,"²")+COUNTIF($E199:T199,"µ")+COUNTIF($E199:T199,1)),
HYPERLINK("#Roadmap!C"&amp; MATCH($E199,Roadmap!$D:$D,0)+COUNTIF($E199:T199,"u")+COUNTIF($E199:T199,"t"),
     INDEX(Roadmap!$D:$K,MATCH($E199,Roadmap!$D:$D,0)+COUNTIF($E199:T199,"u")+COUNTIF($E199:T199,"t")+COUNTIF($E199:T199,"¶")+COUNTIF($E199:T199,"²")+COUNTIF($E199:T199,"µ")+COUNTIF($E199:T199,1),ColTypeEcheance)),
  IF(LEN(T199)=1,
  IF(LEN(INDEX(Roadmap!$D:$K,MATCH($E199,Roadmap!$D:$D,0)-1+COUNTIF($E199:T199,"u")+COUNTIF($E199:T199,"t")+COUNTIF($E199:T199,"¶")+COUNTIF($E199:T199,"²")+COUNTIF($E199:T199,"µ")+COUNTIF($E199:T199,1),ColDescriptionCourte))&gt;1,
HYPERLINK("#Roadmap!C"&amp; MATCH($E199,Roadmap!$D:$D,0)+COUNTIF($E199:T199,"u")+COUNTIF($E199:T199,"t")+COUNTIF($E199:T199,"¶")+COUNTIF($E199:T199,"²")+COUNTIF($E199:T199,"µ")+COUNTIF($E199:T199,1)-1,INDEX(Roadmap!$D:$K,MATCH($E199,Roadmap!$D:$D,0)-1+COUNTIF($E199:T199,"u")+COUNTIF($E199:T199,"t")+COUNTIF($E199:T199,"¶")+COUNTIF($E199:T199,"²")+COUNTIF($E199:T199,"µ")+COUNTIF($E199:T199,1),ColDescriptionCourte)),""),
  "")),"")</f>
        <v/>
      </c>
      <c r="V199" s="40" t="str">
        <f ca="1">IFERROR(IF(AND(
  INDEX(Roadmap!$D:$K,MATCH($E199,Roadmap!$D:$D,0)+COUNTIF($E199:U199,"u")+COUNTIF($E199:U199,"t")+COUNTIF($E199:U199,"¶")+COUNTIF($E199:U199,"²")+COUNTIF($E199:U199,"µ")+COUNTIF($E199:U199,1),ColLivraison)=V$6,
  VLOOKUP($E199,INDIRECT("tri!"&amp; CHAR(64+ C0Col) &amp;":"&amp; CHAR(65+C0Col)),2,FALSE)&gt;COUNTIF($E199:U199,"u")+COUNTIF($E199:U199,"t")+COUNTIF($E199:U199,"¶")+COUNTIF($E199:U199,"²")+COUNTIF($E199:U199,"µ")+COUNTIF($E199:U199,1)),
HYPERLINK("#Roadmap!C"&amp; MATCH($E199,Roadmap!$D:$D,0)+COUNTIF($E199:U199,"u")+COUNTIF($E199:U199,"t"),
     INDEX(Roadmap!$D:$K,MATCH($E199,Roadmap!$D:$D,0)+COUNTIF($E199:U199,"u")+COUNTIF($E199:U199,"t")+COUNTIF($E199:U199,"¶")+COUNTIF($E199:U199,"²")+COUNTIF($E199:U199,"µ")+COUNTIF($E199:U199,1),ColTypeEcheance)),
  IF(LEN(U199)=1,
  IF(LEN(INDEX(Roadmap!$D:$K,MATCH($E199,Roadmap!$D:$D,0)-1+COUNTIF($E199:U199,"u")+COUNTIF($E199:U199,"t")+COUNTIF($E199:U199,"¶")+COUNTIF($E199:U199,"²")+COUNTIF($E199:U199,"µ")+COUNTIF($E199:U199,1),ColDescriptionCourte))&gt;1,
HYPERLINK("#Roadmap!C"&amp; MATCH($E199,Roadmap!$D:$D,0)+COUNTIF($E199:U199,"u")+COUNTIF($E199:U199,"t")+COUNTIF($E199:U199,"¶")+COUNTIF($E199:U199,"²")+COUNTIF($E199:U199,"µ")+COUNTIF($E199:U199,1)-1,INDEX(Roadmap!$D:$K,MATCH($E199,Roadmap!$D:$D,0)-1+COUNTIF($E199:U199,"u")+COUNTIF($E199:U199,"t")+COUNTIF($E199:U199,"¶")+COUNTIF($E199:U199,"²")+COUNTIF($E199:U199,"µ")+COUNTIF($E199:U199,1),ColDescriptionCourte)),""),
  "")),"")</f>
        <v/>
      </c>
      <c r="W199" s="40" t="str">
        <f ca="1">IFERROR(IF(AND(
  INDEX(Roadmap!$D:$K,MATCH($E199,Roadmap!$D:$D,0)+COUNTIF($E199:V199,"u")+COUNTIF($E199:V199,"t")+COUNTIF($E199:V199,"¶")+COUNTIF($E199:V199,"²")+COUNTIF($E199:V199,"µ")+COUNTIF($E199:V199,1),ColLivraison)=W$6,
  VLOOKUP($E199,INDIRECT("tri!"&amp; CHAR(64+ C0Col) &amp;":"&amp; CHAR(65+C0Col)),2,FALSE)&gt;COUNTIF($E199:V199,"u")+COUNTIF($E199:V199,"t")+COUNTIF($E199:V199,"¶")+COUNTIF($E199:V199,"²")+COUNTIF($E199:V199,"µ")+COUNTIF($E199:V199,1)),
HYPERLINK("#Roadmap!C"&amp; MATCH($E199,Roadmap!$D:$D,0)+COUNTIF($E199:V199,"u")+COUNTIF($E199:V199,"t"),
     INDEX(Roadmap!$D:$K,MATCH($E199,Roadmap!$D:$D,0)+COUNTIF($E199:V199,"u")+COUNTIF($E199:V199,"t")+COUNTIF($E199:V199,"¶")+COUNTIF($E199:V199,"²")+COUNTIF($E199:V199,"µ")+COUNTIF($E199:V199,1),ColTypeEcheance)),
  IF(LEN(V199)=1,
  IF(LEN(INDEX(Roadmap!$D:$K,MATCH($E199,Roadmap!$D:$D,0)-1+COUNTIF($E199:V199,"u")+COUNTIF($E199:V199,"t")+COUNTIF($E199:V199,"¶")+COUNTIF($E199:V199,"²")+COUNTIF($E199:V199,"µ")+COUNTIF($E199:V199,1),ColDescriptionCourte))&gt;1,
HYPERLINK("#Roadmap!C"&amp; MATCH($E199,Roadmap!$D:$D,0)+COUNTIF($E199:V199,"u")+COUNTIF($E199:V199,"t")+COUNTIF($E199:V199,"¶")+COUNTIF($E199:V199,"²")+COUNTIF($E199:V199,"µ")+COUNTIF($E199:V199,1)-1,INDEX(Roadmap!$D:$K,MATCH($E199,Roadmap!$D:$D,0)-1+COUNTIF($E199:V199,"u")+COUNTIF($E199:V199,"t")+COUNTIF($E199:V199,"¶")+COUNTIF($E199:V199,"²")+COUNTIF($E199:V199,"µ")+COUNTIF($E199:V199,1),ColDescriptionCourte)),""),
  "")),"")</f>
        <v/>
      </c>
      <c r="X199" s="40" t="str">
        <f ca="1">IFERROR(IF(AND(
  INDEX(Roadmap!$D:$K,MATCH($E199,Roadmap!$D:$D,0)+COUNTIF($E199:W199,"u")+COUNTIF($E199:W199,"t")+COUNTIF($E199:W199,"¶")+COUNTIF($E199:W199,"²")+COUNTIF($E199:W199,"µ")+COUNTIF($E199:W199,1),ColLivraison)=X$6,
  VLOOKUP($E199,INDIRECT("tri!"&amp; CHAR(64+ C0Col) &amp;":"&amp; CHAR(65+C0Col)),2,FALSE)&gt;COUNTIF($E199:W199,"u")+COUNTIF($E199:W199,"t")+COUNTIF($E199:W199,"¶")+COUNTIF($E199:W199,"²")+COUNTIF($E199:W199,"µ")+COUNTIF($E199:W199,1)),
HYPERLINK("#Roadmap!C"&amp; MATCH($E199,Roadmap!$D:$D,0)+COUNTIF($E199:W199,"u")+COUNTIF($E199:W199,"t"),
     INDEX(Roadmap!$D:$K,MATCH($E199,Roadmap!$D:$D,0)+COUNTIF($E199:W199,"u")+COUNTIF($E199:W199,"t")+COUNTIF($E199:W199,"¶")+COUNTIF($E199:W199,"²")+COUNTIF($E199:W199,"µ")+COUNTIF($E199:W199,1),ColTypeEcheance)),
  IF(LEN(W199)=1,
  IF(LEN(INDEX(Roadmap!$D:$K,MATCH($E199,Roadmap!$D:$D,0)-1+COUNTIF($E199:W199,"u")+COUNTIF($E199:W199,"t")+COUNTIF($E199:W199,"¶")+COUNTIF($E199:W199,"²")+COUNTIF($E199:W199,"µ")+COUNTIF($E199:W199,1),ColDescriptionCourte))&gt;1,
HYPERLINK("#Roadmap!C"&amp; MATCH($E199,Roadmap!$D:$D,0)+COUNTIF($E199:W199,"u")+COUNTIF($E199:W199,"t")+COUNTIF($E199:W199,"¶")+COUNTIF($E199:W199,"²")+COUNTIF($E199:W199,"µ")+COUNTIF($E199:W199,1)-1,INDEX(Roadmap!$D:$K,MATCH($E199,Roadmap!$D:$D,0)-1+COUNTIF($E199:W199,"u")+COUNTIF($E199:W199,"t")+COUNTIF($E199:W199,"¶")+COUNTIF($E199:W199,"²")+COUNTIF($E199:W199,"µ")+COUNTIF($E199:W199,1),ColDescriptionCourte)),""),
  "")),"")</f>
        <v/>
      </c>
      <c r="Y199" s="40" t="str">
        <f ca="1">IFERROR(IF(AND(
  INDEX(Roadmap!$D:$K,MATCH($E199,Roadmap!$D:$D,0)+COUNTIF($E199:X199,"u")+COUNTIF($E199:X199,"t")+COUNTIF($E199:X199,"¶")+COUNTIF($E199:X199,"²")+COUNTIF($E199:X199,"µ")+COUNTIF($E199:X199,1),ColLivraison)=Y$6,
  VLOOKUP($E199,INDIRECT("tri!"&amp; CHAR(64+ C0Col) &amp;":"&amp; CHAR(65+C0Col)),2,FALSE)&gt;COUNTIF($E199:X199,"u")+COUNTIF($E199:X199,"t")+COUNTIF($E199:X199,"¶")+COUNTIF($E199:X199,"²")+COUNTIF($E199:X199,"µ")+COUNTIF($E199:X199,1)),
HYPERLINK("#Roadmap!C"&amp; MATCH($E199,Roadmap!$D:$D,0)+COUNTIF($E199:X199,"u")+COUNTIF($E199:X199,"t"),
     INDEX(Roadmap!$D:$K,MATCH($E199,Roadmap!$D:$D,0)+COUNTIF($E199:X199,"u")+COUNTIF($E199:X199,"t")+COUNTIF($E199:X199,"¶")+COUNTIF($E199:X199,"²")+COUNTIF($E199:X199,"µ")+COUNTIF($E199:X199,1),ColTypeEcheance)),
  IF(LEN(X199)=1,
  IF(LEN(INDEX(Roadmap!$D:$K,MATCH($E199,Roadmap!$D:$D,0)-1+COUNTIF($E199:X199,"u")+COUNTIF($E199:X199,"t")+COUNTIF($E199:X199,"¶")+COUNTIF($E199:X199,"²")+COUNTIF($E199:X199,"µ")+COUNTIF($E199:X199,1),ColDescriptionCourte))&gt;1,
HYPERLINK("#Roadmap!C"&amp; MATCH($E199,Roadmap!$D:$D,0)+COUNTIF($E199:X199,"u")+COUNTIF($E199:X199,"t")+COUNTIF($E199:X199,"¶")+COUNTIF($E199:X199,"²")+COUNTIF($E199:X199,"µ")+COUNTIF($E199:X199,1)-1,INDEX(Roadmap!$D:$K,MATCH($E199,Roadmap!$D:$D,0)-1+COUNTIF($E199:X199,"u")+COUNTIF($E199:X199,"t")+COUNTIF($E199:X199,"¶")+COUNTIF($E199:X199,"²")+COUNTIF($E199:X199,"µ")+COUNTIF($E199:X199,1),ColDescriptionCourte)),""),
  "")),"")</f>
        <v/>
      </c>
      <c r="Z199" s="40" t="str">
        <f ca="1">IFERROR(IF(AND(
  INDEX(Roadmap!$D:$K,MATCH($E199,Roadmap!$D:$D,0)+COUNTIF($E199:Y199,"u")+COUNTIF($E199:Y199,"t")+COUNTIF($E199:Y199,"¶")+COUNTIF($E199:Y199,"²")+COUNTIF($E199:Y199,"µ")+COUNTIF($E199:Y199,1),ColLivraison)=Z$6,
  VLOOKUP($E199,INDIRECT("tri!"&amp; CHAR(64+ C0Col) &amp;":"&amp; CHAR(65+C0Col)),2,FALSE)&gt;COUNTIF($E199:Y199,"u")+COUNTIF($E199:Y199,"t")+COUNTIF($E199:Y199,"¶")+COUNTIF($E199:Y199,"²")+COUNTIF($E199:Y199,"µ")+COUNTIF($E199:Y199,1)),
HYPERLINK("#Roadmap!C"&amp; MATCH($E199,Roadmap!$D:$D,0)+COUNTIF($E199:Y199,"u")+COUNTIF($E199:Y199,"t"),
     INDEX(Roadmap!$D:$K,MATCH($E199,Roadmap!$D:$D,0)+COUNTIF($E199:Y199,"u")+COUNTIF($E199:Y199,"t")+COUNTIF($E199:Y199,"¶")+COUNTIF($E199:Y199,"²")+COUNTIF($E199:Y199,"µ")+COUNTIF($E199:Y199,1),ColTypeEcheance)),
  IF(LEN(Y199)=1,
  IF(LEN(INDEX(Roadmap!$D:$K,MATCH($E199,Roadmap!$D:$D,0)-1+COUNTIF($E199:Y199,"u")+COUNTIF($E199:Y199,"t")+COUNTIF($E199:Y199,"¶")+COUNTIF($E199:Y199,"²")+COUNTIF($E199:Y199,"µ")+COUNTIF($E199:Y199,1),ColDescriptionCourte))&gt;1,
HYPERLINK("#Roadmap!C"&amp; MATCH($E199,Roadmap!$D:$D,0)+COUNTIF($E199:Y199,"u")+COUNTIF($E199:Y199,"t")+COUNTIF($E199:Y199,"¶")+COUNTIF($E199:Y199,"²")+COUNTIF($E199:Y199,"µ")+COUNTIF($E199:Y199,1)-1,INDEX(Roadmap!$D:$K,MATCH($E199,Roadmap!$D:$D,0)-1+COUNTIF($E199:Y199,"u")+COUNTIF($E199:Y199,"t")+COUNTIF($E199:Y199,"¶")+COUNTIF($E199:Y199,"²")+COUNTIF($E199:Y199,"µ")+COUNTIF($E199:Y199,1),ColDescriptionCourte)),""),
  "")),"")</f>
        <v/>
      </c>
      <c r="AA199" s="40" t="str">
        <f ca="1">IFERROR(IF(AND(
  INDEX(Roadmap!$D:$K,MATCH($E199,Roadmap!$D:$D,0)+COUNTIF($E199:Z199,"u")+COUNTIF($E199:Z199,"t")+COUNTIF($E199:Z199,"¶")+COUNTIF($E199:Z199,"²")+COUNTIF($E199:Z199,"µ")+COUNTIF($E199:Z199,1),ColLivraison)=AA$6,
  VLOOKUP($E199,INDIRECT("tri!"&amp; CHAR(64+ C0Col) &amp;":"&amp; CHAR(65+C0Col)),2,FALSE)&gt;COUNTIF($E199:Z199,"u")+COUNTIF($E199:Z199,"t")+COUNTIF($E199:Z199,"¶")+COUNTIF($E199:Z199,"²")+COUNTIF($E199:Z199,"µ")+COUNTIF($E199:Z199,1)),
HYPERLINK("#Roadmap!C"&amp; MATCH($E199,Roadmap!$D:$D,0)+COUNTIF($E199:Z199,"u")+COUNTIF($E199:Z199,"t"),
     INDEX(Roadmap!$D:$K,MATCH($E199,Roadmap!$D:$D,0)+COUNTIF($E199:Z199,"u")+COUNTIF($E199:Z199,"t")+COUNTIF($E199:Z199,"¶")+COUNTIF($E199:Z199,"²")+COUNTIF($E199:Z199,"µ")+COUNTIF($E199:Z199,1),ColTypeEcheance)),
  IF(LEN(Z199)=1,
  IF(LEN(INDEX(Roadmap!$D:$K,MATCH($E199,Roadmap!$D:$D,0)-1+COUNTIF($E199:Z199,"u")+COUNTIF($E199:Z199,"t")+COUNTIF($E199:Z199,"¶")+COUNTIF($E199:Z199,"²")+COUNTIF($E199:Z199,"µ")+COUNTIF($E199:Z199,1),ColDescriptionCourte))&gt;1,
HYPERLINK("#Roadmap!C"&amp; MATCH($E199,Roadmap!$D:$D,0)+COUNTIF($E199:Z199,"u")+COUNTIF($E199:Z199,"t")+COUNTIF($E199:Z199,"¶")+COUNTIF($E199:Z199,"²")+COUNTIF($E199:Z199,"µ")+COUNTIF($E199:Z199,1)-1,INDEX(Roadmap!$D:$K,MATCH($E199,Roadmap!$D:$D,0)-1+COUNTIF($E199:Z199,"u")+COUNTIF($E199:Z199,"t")+COUNTIF($E199:Z199,"¶")+COUNTIF($E199:Z199,"²")+COUNTIF($E199:Z199,"µ")+COUNTIF($E199:Z199,1),ColDescriptionCourte)),""),
  "")),"")</f>
        <v/>
      </c>
      <c r="AB199" s="40" t="str">
        <f ca="1">IFERROR(IF(AND(
  INDEX(Roadmap!$D:$K,MATCH($E199,Roadmap!$D:$D,0)+COUNTIF($E199:AA199,"u")+COUNTIF($E199:AA199,"t")+COUNTIF($E199:AA199,"¶")+COUNTIF($E199:AA199,"²")+COUNTIF($E199:AA199,"µ")+COUNTIF($E199:AA199,1),ColLivraison)=AB$6,
  VLOOKUP($E199,INDIRECT("tri!"&amp; CHAR(64+ C0Col) &amp;":"&amp; CHAR(65+C0Col)),2,FALSE)&gt;COUNTIF($E199:AA199,"u")+COUNTIF($E199:AA199,"t")+COUNTIF($E199:AA199,"¶")+COUNTIF($E199:AA199,"²")+COUNTIF($E199:AA199,"µ")+COUNTIF($E199:AA199,1)),
HYPERLINK("#Roadmap!C"&amp; MATCH($E199,Roadmap!$D:$D,0)+COUNTIF($E199:AA199,"u")+COUNTIF($E199:AA199,"t"),
     INDEX(Roadmap!$D:$K,MATCH($E199,Roadmap!$D:$D,0)+COUNTIF($E199:AA199,"u")+COUNTIF($E199:AA199,"t")+COUNTIF($E199:AA199,"¶")+COUNTIF($E199:AA199,"²")+COUNTIF($E199:AA199,"µ")+COUNTIF($E199:AA199,1),ColTypeEcheance)),
  IF(LEN(AA199)=1,
  IF(LEN(INDEX(Roadmap!$D:$K,MATCH($E199,Roadmap!$D:$D,0)-1+COUNTIF($E199:AA199,"u")+COUNTIF($E199:AA199,"t")+COUNTIF($E199:AA199,"¶")+COUNTIF($E199:AA199,"²")+COUNTIF($E199:AA199,"µ")+COUNTIF($E199:AA199,1),ColDescriptionCourte))&gt;1,
HYPERLINK("#Roadmap!C"&amp; MATCH($E199,Roadmap!$D:$D,0)+COUNTIF($E199:AA199,"u")+COUNTIF($E199:AA199,"t")+COUNTIF($E199:AA199,"¶")+COUNTIF($E199:AA199,"²")+COUNTIF($E199:AA199,"µ")+COUNTIF($E199:AA199,1)-1,INDEX(Roadmap!$D:$K,MATCH($E199,Roadmap!$D:$D,0)-1+COUNTIF($E199:AA199,"u")+COUNTIF($E199:AA199,"t")+COUNTIF($E199:AA199,"¶")+COUNTIF($E199:AA199,"²")+COUNTIF($E199:AA199,"µ")+COUNTIF($E199:AA199,1),ColDescriptionCourte)),""),
  "")),"")</f>
        <v/>
      </c>
      <c r="AC199" s="40" t="str">
        <f ca="1">IFERROR(IF(AND(
  INDEX(Roadmap!$D:$K,MATCH($E199,Roadmap!$D:$D,0)+COUNTIF($E199:AB199,"u")+COUNTIF($E199:AB199,"t")+COUNTIF($E199:AB199,"¶")+COUNTIF($E199:AB199,"²")+COUNTIF($E199:AB199,"µ")+COUNTIF($E199:AB199,1),ColLivraison)=AC$6,
  VLOOKUP($E199,INDIRECT("tri!"&amp; CHAR(64+ C0Col) &amp;":"&amp; CHAR(65+C0Col)),2,FALSE)&gt;COUNTIF($E199:AB199,"u")+COUNTIF($E199:AB199,"t")+COUNTIF($E199:AB199,"¶")+COUNTIF($E199:AB199,"²")+COUNTIF($E199:AB199,"µ")+COUNTIF($E199:AB199,1)),
HYPERLINK("#Roadmap!C"&amp; MATCH($E199,Roadmap!$D:$D,0)+COUNTIF($E199:AB199,"u")+COUNTIF($E199:AB199,"t"),
     INDEX(Roadmap!$D:$K,MATCH($E199,Roadmap!$D:$D,0)+COUNTIF($E199:AB199,"u")+COUNTIF($E199:AB199,"t")+COUNTIF($E199:AB199,"¶")+COUNTIF($E199:AB199,"²")+COUNTIF($E199:AB199,"µ")+COUNTIF($E199:AB199,1),ColTypeEcheance)),
  IF(LEN(AB199)=1,
  IF(LEN(INDEX(Roadmap!$D:$K,MATCH($E199,Roadmap!$D:$D,0)-1+COUNTIF($E199:AB199,"u")+COUNTIF($E199:AB199,"t")+COUNTIF($E199:AB199,"¶")+COUNTIF($E199:AB199,"²")+COUNTIF($E199:AB199,"µ")+COUNTIF($E199:AB199,1),ColDescriptionCourte))&gt;1,
HYPERLINK("#Roadmap!C"&amp; MATCH($E199,Roadmap!$D:$D,0)+COUNTIF($E199:AB199,"u")+COUNTIF($E199:AB199,"t")+COUNTIF($E199:AB199,"¶")+COUNTIF($E199:AB199,"²")+COUNTIF($E199:AB199,"µ")+COUNTIF($E199:AB199,1)-1,INDEX(Roadmap!$D:$K,MATCH($E199,Roadmap!$D:$D,0)-1+COUNTIF($E199:AB199,"u")+COUNTIF($E199:AB199,"t")+COUNTIF($E199:AB199,"¶")+COUNTIF($E199:AB199,"²")+COUNTIF($E199:AB199,"µ")+COUNTIF($E199:AB199,1),ColDescriptionCourte)),""),
  "")),"")</f>
        <v/>
      </c>
      <c r="AD199" s="40" t="str">
        <f ca="1">IFERROR(IF(AND(
  INDEX(Roadmap!$D:$K,MATCH($E199,Roadmap!$D:$D,0)+COUNTIF($E199:AC199,"u")+COUNTIF($E199:AC199,"t")+COUNTIF($E199:AC199,"¶")+COUNTIF($E199:AC199,"²")+COUNTIF($E199:AC199,"µ")+COUNTIF($E199:AC199,1),ColLivraison)=AD$6,
  VLOOKUP($E199,INDIRECT("tri!"&amp; CHAR(64+ C0Col) &amp;":"&amp; CHAR(65+C0Col)),2,FALSE)&gt;COUNTIF($E199:AC199,"u")+COUNTIF($E199:AC199,"t")+COUNTIF($E199:AC199,"¶")+COUNTIF($E199:AC199,"²")+COUNTIF($E199:AC199,"µ")+COUNTIF($E199:AC199,1)),
HYPERLINK("#Roadmap!C"&amp; MATCH($E199,Roadmap!$D:$D,0)+COUNTIF($E199:AC199,"u")+COUNTIF($E199:AC199,"t"),
     INDEX(Roadmap!$D:$K,MATCH($E199,Roadmap!$D:$D,0)+COUNTIF($E199:AC199,"u")+COUNTIF($E199:AC199,"t")+COUNTIF($E199:AC199,"¶")+COUNTIF($E199:AC199,"²")+COUNTIF($E199:AC199,"µ")+COUNTIF($E199:AC199,1),ColTypeEcheance)),
  IF(LEN(AC199)=1,
  IF(LEN(INDEX(Roadmap!$D:$K,MATCH($E199,Roadmap!$D:$D,0)-1+COUNTIF($E199:AC199,"u")+COUNTIF($E199:AC199,"t")+COUNTIF($E199:AC199,"¶")+COUNTIF($E199:AC199,"²")+COUNTIF($E199:AC199,"µ")+COUNTIF($E199:AC199,1),ColDescriptionCourte))&gt;1,
HYPERLINK("#Roadmap!C"&amp; MATCH($E199,Roadmap!$D:$D,0)+COUNTIF($E199:AC199,"u")+COUNTIF($E199:AC199,"t")+COUNTIF($E199:AC199,"¶")+COUNTIF($E199:AC199,"²")+COUNTIF($E199:AC199,"µ")+COUNTIF($E199:AC199,1)-1,INDEX(Roadmap!$D:$K,MATCH($E199,Roadmap!$D:$D,0)-1+COUNTIF($E199:AC199,"u")+COUNTIF($E199:AC199,"t")+COUNTIF($E199:AC199,"¶")+COUNTIF($E199:AC199,"²")+COUNTIF($E199:AC199,"µ")+COUNTIF($E199:AC199,1),ColDescriptionCourte)),""),
  "")),"")</f>
        <v/>
      </c>
      <c r="AE199" s="40" t="str">
        <f ca="1">IFERROR(IF(AND(
  INDEX(Roadmap!$D:$K,MATCH($E199,Roadmap!$D:$D,0)+COUNTIF($E199:AD199,"u")+COUNTIF($E199:AD199,"t")+COUNTIF($E199:AD199,"¶")+COUNTIF($E199:AD199,"²")+COUNTIF($E199:AD199,"µ")+COUNTIF($E199:AD199,1),ColLivraison)=AE$6,
  VLOOKUP($E199,INDIRECT("tri!"&amp; CHAR(64+ C0Col) &amp;":"&amp; CHAR(65+C0Col)),2,FALSE)&gt;COUNTIF($E199:AD199,"u")+COUNTIF($E199:AD199,"t")+COUNTIF($E199:AD199,"¶")+COUNTIF($E199:AD199,"²")+COUNTIF($E199:AD199,"µ")+COUNTIF($E199:AD199,1)),
HYPERLINK("#Roadmap!C"&amp; MATCH($E199,Roadmap!$D:$D,0)+COUNTIF($E199:AD199,"u")+COUNTIF($E199:AD199,"t"),
     INDEX(Roadmap!$D:$K,MATCH($E199,Roadmap!$D:$D,0)+COUNTIF($E199:AD199,"u")+COUNTIF($E199:AD199,"t")+COUNTIF($E199:AD199,"¶")+COUNTIF($E199:AD199,"²")+COUNTIF($E199:AD199,"µ")+COUNTIF($E199:AD199,1),ColTypeEcheance)),
  IF(LEN(AD199)=1,
  IF(LEN(INDEX(Roadmap!$D:$K,MATCH($E199,Roadmap!$D:$D,0)-1+COUNTIF($E199:AD199,"u")+COUNTIF($E199:AD199,"t")+COUNTIF($E199:AD199,"¶")+COUNTIF($E199:AD199,"²")+COUNTIF($E199:AD199,"µ")+COUNTIF($E199:AD199,1),ColDescriptionCourte))&gt;1,
HYPERLINK("#Roadmap!C"&amp; MATCH($E199,Roadmap!$D:$D,0)+COUNTIF($E199:AD199,"u")+COUNTIF($E199:AD199,"t")+COUNTIF($E199:AD199,"¶")+COUNTIF($E199:AD199,"²")+COUNTIF($E199:AD199,"µ")+COUNTIF($E199:AD199,1)-1,INDEX(Roadmap!$D:$K,MATCH($E199,Roadmap!$D:$D,0)-1+COUNTIF($E199:AD199,"u")+COUNTIF($E199:AD199,"t")+COUNTIF($E199:AD199,"¶")+COUNTIF($E199:AD199,"²")+COUNTIF($E199:AD199,"µ")+COUNTIF($E199:AD199,1),ColDescriptionCourte)),""),
  "")),"")</f>
        <v/>
      </c>
      <c r="AF199" s="40" t="str">
        <f ca="1">IFERROR(IF(AND(
  INDEX(Roadmap!$D:$K,MATCH($E199,Roadmap!$D:$D,0)+COUNTIF($E199:AE199,"u")+COUNTIF($E199:AE199,"t")+COUNTIF($E199:AE199,"¶")+COUNTIF($E199:AE199,"²")+COUNTIF($E199:AE199,"µ")+COUNTIF($E199:AE199,1),ColLivraison)=AF$6,
  VLOOKUP($E199,INDIRECT("tri!"&amp; CHAR(64+ C0Col) &amp;":"&amp; CHAR(65+C0Col)),2,FALSE)&gt;COUNTIF($E199:AE199,"u")+COUNTIF($E199:AE199,"t")+COUNTIF($E199:AE199,"¶")+COUNTIF($E199:AE199,"²")+COUNTIF($E199:AE199,"µ")+COUNTIF($E199:AE199,1)),
HYPERLINK("#Roadmap!C"&amp; MATCH($E199,Roadmap!$D:$D,0)+COUNTIF($E199:AE199,"u")+COUNTIF($E199:AE199,"t"),
     INDEX(Roadmap!$D:$K,MATCH($E199,Roadmap!$D:$D,0)+COUNTIF($E199:AE199,"u")+COUNTIF($E199:AE199,"t")+COUNTIF($E199:AE199,"¶")+COUNTIF($E199:AE199,"²")+COUNTIF($E199:AE199,"µ")+COUNTIF($E199:AE199,1),ColTypeEcheance)),
  IF(LEN(AE199)=1,
  IF(LEN(INDEX(Roadmap!$D:$K,MATCH($E199,Roadmap!$D:$D,0)-1+COUNTIF($E199:AE199,"u")+COUNTIF($E199:AE199,"t")+COUNTIF($E199:AE199,"¶")+COUNTIF($E199:AE199,"²")+COUNTIF($E199:AE199,"µ")+COUNTIF($E199:AE199,1),ColDescriptionCourte))&gt;1,
HYPERLINK("#Roadmap!C"&amp; MATCH($E199,Roadmap!$D:$D,0)+COUNTIF($E199:AE199,"u")+COUNTIF($E199:AE199,"t")+COUNTIF($E199:AE199,"¶")+COUNTIF($E199:AE199,"²")+COUNTIF($E199:AE199,"µ")+COUNTIF($E199:AE199,1)-1,INDEX(Roadmap!$D:$K,MATCH($E199,Roadmap!$D:$D,0)-1+COUNTIF($E199:AE199,"u")+COUNTIF($E199:AE199,"t")+COUNTIF($E199:AE199,"¶")+COUNTIF($E199:AE199,"²")+COUNTIF($E199:AE199,"µ")+COUNTIF($E199:AE199,1),ColDescriptionCourte)),""),
  "")),"")</f>
        <v/>
      </c>
      <c r="AG199" s="40" t="str">
        <f ca="1">IFERROR(IF(AND(
  INDEX(Roadmap!$D:$K,MATCH($E199,Roadmap!$D:$D,0)+COUNTIF($E199:AF199,"u")+COUNTIF($E199:AF199,"t")+COUNTIF($E199:AF199,"¶")+COUNTIF($E199:AF199,"²")+COUNTIF($E199:AF199,"µ")+COUNTIF($E199:AF199,1),ColLivraison)=AG$6,
  VLOOKUP($E199,INDIRECT("tri!"&amp; CHAR(64+ C0Col) &amp;":"&amp; CHAR(65+C0Col)),2,FALSE)&gt;COUNTIF($E199:AF199,"u")+COUNTIF($E199:AF199,"t")+COUNTIF($E199:AF199,"¶")+COUNTIF($E199:AF199,"²")+COUNTIF($E199:AF199,"µ")+COUNTIF($E199:AF199,1)),
HYPERLINK("#Roadmap!C"&amp; MATCH($E199,Roadmap!$D:$D,0)+COUNTIF($E199:AF199,"u")+COUNTIF($E199:AF199,"t"),
     INDEX(Roadmap!$D:$K,MATCH($E199,Roadmap!$D:$D,0)+COUNTIF($E199:AF199,"u")+COUNTIF($E199:AF199,"t")+COUNTIF($E199:AF199,"¶")+COUNTIF($E199:AF199,"²")+COUNTIF($E199:AF199,"µ")+COUNTIF($E199:AF199,1),ColTypeEcheance)),
  IF(LEN(AF199)=1,
  IF(LEN(INDEX(Roadmap!$D:$K,MATCH($E199,Roadmap!$D:$D,0)-1+COUNTIF($E199:AF199,"u")+COUNTIF($E199:AF199,"t")+COUNTIF($E199:AF199,"¶")+COUNTIF($E199:AF199,"²")+COUNTIF($E199:AF199,"µ")+COUNTIF($E199:AF199,1),ColDescriptionCourte))&gt;1,
HYPERLINK("#Roadmap!C"&amp; MATCH($E199,Roadmap!$D:$D,0)+COUNTIF($E199:AF199,"u")+COUNTIF($E199:AF199,"t")+COUNTIF($E199:AF199,"¶")+COUNTIF($E199:AF199,"²")+COUNTIF($E199:AF199,"µ")+COUNTIF($E199:AF199,1)-1,INDEX(Roadmap!$D:$K,MATCH($E199,Roadmap!$D:$D,0)-1+COUNTIF($E199:AF199,"u")+COUNTIF($E199:AF199,"t")+COUNTIF($E199:AF199,"¶")+COUNTIF($E199:AF199,"²")+COUNTIF($E199:AF199,"µ")+COUNTIF($E199:AF199,1),ColDescriptionCourte)),""),
  "")),"")</f>
        <v/>
      </c>
      <c r="AH199" s="40" t="str">
        <f ca="1">IFERROR(IF(AND(
  INDEX(Roadmap!$D:$K,MATCH($E199,Roadmap!$D:$D,0)+COUNTIF($E199:AG199,"u")+COUNTIF($E199:AG199,"t")+COUNTIF($E199:AG199,1),ColLivraison)=AH$6,
  VLOOKUP($E199,INDIRECT("tri!"&amp; CHAR(64+ C0Col) &amp;":"&amp; CHAR(65+C0Col)),2,FALSE)&gt;COUNTIF($E199:AG199,"u")+COUNTIF($E199:AG199,"t")+COUNTIF($E199:AG199,1)),
HYPERLINK("#Roadmap!C"&amp; MATCH($E199,Roadmap!$D:$D,0)+COUNTIF($E199:AG199,"u")+COUNTIF($E199:AG199,"t"),
     INDEX(Roadmap!$D:$K,MATCH($E199,Roadmap!$D:$D,0)+COUNTIF($E199:AG199,"u")+COUNTIF($E199:AG199,"t")+COUNTIF($E199:AG199,1),ColTypeEcheance)),
  IF(OR(AG199="u",AG199="t",AG199=1),
  IF(LEN(INDEX(Roadmap!$D:$K,MATCH($E199,Roadmap!$D:$D,0)-1+COUNTIF($E199:AG199,"u")+COUNTIF($E199:AG199,"t")+COUNTIF($E199:AG199,1),ColDescriptionCourte))&gt;1,
HYPERLINK("#Roadmap!C"&amp; MATCH($E199,Roadmap!$D:$D,0)+COUNTIF($E199:AG199,"u")+COUNTIF($E199:AG199,"t")+COUNTIF($E199:AG199,1)-1,INDEX(Roadmap!$D:$K,MATCH($E199,Roadmap!$D:$D,0)-1+COUNTIF($E199:AG199,"u")+COUNTIF($E199:AG199,"t")+COUNTIF($E199:AG199,1),ColDescriptionCourte)),""),
  "")),"")</f>
        <v/>
      </c>
      <c r="AI199" s="40"/>
      <c r="AJ199" s="40"/>
      <c r="AK199" s="40"/>
      <c r="AL199" s="40"/>
      <c r="AM199" s="40"/>
    </row>
    <row r="200" spans="4:39" ht="14.1" customHeight="1">
      <c r="D200" s="20" t="str">
        <f t="shared" ca="1" si="33"/>
        <v/>
      </c>
      <c r="E200" s="53" t="str">
        <f t="shared" ca="1" si="34"/>
        <v/>
      </c>
      <c r="F200" s="39" t="str">
        <f ca="1">IFERROR(IF(AND(
  INDEX(Roadmap!$D:$K,MATCH($E200,Roadmap!$D:$D,0)+COUNTIF($E200:E200,"u")+COUNTIF($E200:E200,"t")+COUNTIF($E200:E200,"¶")+COUNTIF($E200:E200,"²")+COUNTIF($E200:E200,"µ")+COUNTIF($E200:E200,1),ColLivraison)=F$6,
  VLOOKUP($E200,INDIRECT("tri!"&amp; CHAR(64+ C0Col) &amp;":"&amp; CHAR(65+C0Col)),2,FALSE)&gt;COUNTIF($E200:E200,"u")+COUNTIF($E200:E200,"t")+COUNTIF($E200:E200,"¶")+COUNTIF($E200:E200,"²")+COUNTIF($E200:E200,"µ")+COUNTIF($E200:E200,1)),
HYPERLINK("#Roadmap!C"&amp; MATCH($E200,Roadmap!$D:$D,0)+COUNTIF($E200:E200,"u")+COUNTIF($E200:E200,"t"),
     INDEX(Roadmap!$D:$K,MATCH($E200,Roadmap!$D:$D,0)+COUNTIF($E200:E200,"u")+COUNTIF($E200:E200,"t")+COUNTIF($E200:E200,"¶")+COUNTIF($E200:E200,"²")+COUNTIF($E200:E200,"µ")+COUNTIF($E200:E200,1),ColTypeEcheance)),
  IF(LEN(E200)=1,
  IF(LEN(INDEX(Roadmap!$D:$K,MATCH($E200,Roadmap!$D:$D,0)-1+COUNTIF($E200:E200,"u")+COUNTIF($E200:E200,"t")+COUNTIF($E200:E200,"¶")+COUNTIF($E200:E200,"²")+COUNTIF($E200:E200,"µ")+COUNTIF($E200:E200,1),ColDescriptionCourte))&gt;1,
HYPERLINK("#Roadmap!C"&amp; MATCH($E200,Roadmap!$D:$D,0)+COUNTIF($E200:E200,"u")+COUNTIF($E200:E200,"t")+COUNTIF($E200:E200,"¶")+COUNTIF($E200:E200,"²")+COUNTIF($E200:E200,"µ")+COUNTIF($E200:E200,1)-1,INDEX(Roadmap!$D:$K,MATCH($E200,Roadmap!$D:$D,0)-1+COUNTIF($E200:E200,"u")+COUNTIF($E200:E200,"t")+COUNTIF($E200:E200,"¶")+COUNTIF($E200:E200,"²")+COUNTIF($E200:E200,"µ")+COUNTIF($E200:E200,1),ColDescriptionCourte)),""),
  "")),"")</f>
        <v/>
      </c>
      <c r="G200" s="40" t="str">
        <f ca="1">IFERROR(IF(AND(
  INDEX(Roadmap!$D:$K,MATCH($E200,Roadmap!$D:$D,0)+COUNTIF($E200:F200,"u")+COUNTIF($E200:F200,"t")+COUNTIF($E200:F200,"¶")+COUNTIF($E200:F200,"²")+COUNTIF($E200:F200,"µ")+COUNTIF($E200:F200,1),ColLivraison)=G$6,
  VLOOKUP($E200,INDIRECT("tri!"&amp; CHAR(64+ C0Col) &amp;":"&amp; CHAR(65+C0Col)),2,FALSE)&gt;COUNTIF($E200:F200,"u")+COUNTIF($E200:F200,"t")+COUNTIF($E200:F200,"¶")+COUNTIF($E200:F200,"²")+COUNTIF($E200:F200,"µ")+COUNTIF($E200:F200,1)),
HYPERLINK("#Roadmap!C"&amp; MATCH($E200,Roadmap!$D:$D,0)+COUNTIF($E200:F200,"u")+COUNTIF($E200:F200,"t"),
     INDEX(Roadmap!$D:$K,MATCH($E200,Roadmap!$D:$D,0)+COUNTIF($E200:F200,"u")+COUNTIF($E200:F200,"t")+COUNTIF($E200:F200,"¶")+COUNTIF($E200:F200,"²")+COUNTIF($E200:F200,"µ")+COUNTIF($E200:F200,1),ColTypeEcheance)),
  IF(LEN(F200)=1,
  IF(LEN(INDEX(Roadmap!$D:$K,MATCH($E200,Roadmap!$D:$D,0)-1+COUNTIF($E200:F200,"u")+COUNTIF($E200:F200,"t")+COUNTIF($E200:F200,"¶")+COUNTIF($E200:F200,"²")+COUNTIF($E200:F200,"µ")+COUNTIF($E200:F200,1),ColDescriptionCourte))&gt;1,
HYPERLINK("#Roadmap!C"&amp; MATCH($E200,Roadmap!$D:$D,0)+COUNTIF($E200:F200,"u")+COUNTIF($E200:F200,"t")+COUNTIF($E200:F200,"¶")+COUNTIF($E200:F200,"²")+COUNTIF($E200:F200,"µ")+COUNTIF($E200:F200,1)-1,INDEX(Roadmap!$D:$K,MATCH($E200,Roadmap!$D:$D,0)-1+COUNTIF($E200:F200,"u")+COUNTIF($E200:F200,"t")+COUNTIF($E200:F200,"¶")+COUNTIF($E200:F200,"²")+COUNTIF($E200:F200,"µ")+COUNTIF($E200:F200,1),ColDescriptionCourte)),""),
  "")),"")</f>
        <v/>
      </c>
      <c r="H200" s="40" t="str">
        <f ca="1">IFERROR(IF(AND(
  INDEX(Roadmap!$D:$K,MATCH($E200,Roadmap!$D:$D,0)+COUNTIF($E200:G200,"u")+COUNTIF($E200:G200,"t")+COUNTIF($E200:G200,"¶")+COUNTIF($E200:G200,"²")+COUNTIF($E200:G200,"µ")+COUNTIF($E200:G200,1),ColLivraison)=H$6,
  VLOOKUP($E200,INDIRECT("tri!"&amp; CHAR(64+ C0Col) &amp;":"&amp; CHAR(65+C0Col)),2,FALSE)&gt;COUNTIF($E200:G200,"u")+COUNTIF($E200:G200,"t")+COUNTIF($E200:G200,"¶")+COUNTIF($E200:G200,"²")+COUNTIF($E200:G200,"µ")+COUNTIF($E200:G200,1)),
HYPERLINK("#Roadmap!C"&amp; MATCH($E200,Roadmap!$D:$D,0)+COUNTIF($E200:G200,"u")+COUNTIF($E200:G200,"t"),
     INDEX(Roadmap!$D:$K,MATCH($E200,Roadmap!$D:$D,0)+COUNTIF($E200:G200,"u")+COUNTIF($E200:G200,"t")+COUNTIF($E200:G200,"¶")+COUNTIF($E200:G200,"²")+COUNTIF($E200:G200,"µ")+COUNTIF($E200:G200,1),ColTypeEcheance)),
  IF(LEN(G200)=1,
  IF(LEN(INDEX(Roadmap!$D:$K,MATCH($E200,Roadmap!$D:$D,0)-1+COUNTIF($E200:G200,"u")+COUNTIF($E200:G200,"t")+COUNTIF($E200:G200,"¶")+COUNTIF($E200:G200,"²")+COUNTIF($E200:G200,"µ")+COUNTIF($E200:G200,1),ColDescriptionCourte))&gt;1,
HYPERLINK("#Roadmap!C"&amp; MATCH($E200,Roadmap!$D:$D,0)+COUNTIF($E200:G200,"u")+COUNTIF($E200:G200,"t")+COUNTIF($E200:G200,"¶")+COUNTIF($E200:G200,"²")+COUNTIF($E200:G200,"µ")+COUNTIF($E200:G200,1)-1,INDEX(Roadmap!$D:$K,MATCH($E200,Roadmap!$D:$D,0)-1+COUNTIF($E200:G200,"u")+COUNTIF($E200:G200,"t")+COUNTIF($E200:G200,"¶")+COUNTIF($E200:G200,"²")+COUNTIF($E200:G200,"µ")+COUNTIF($E200:G200,1),ColDescriptionCourte)),""),
  "")),"")</f>
        <v/>
      </c>
      <c r="I200" s="40" t="str">
        <f ca="1">IFERROR(IF(AND(
  INDEX(Roadmap!$D:$K,MATCH($E200,Roadmap!$D:$D,0)+COUNTIF($E200:H200,"u")+COUNTIF($E200:H200,"t")+COUNTIF($E200:H200,"¶")+COUNTIF($E200:H200,"²")+COUNTIF($E200:H200,"µ")+COUNTIF($E200:H200,1),ColLivraison)=I$6,
  VLOOKUP($E200,INDIRECT("tri!"&amp; CHAR(64+ C0Col) &amp;":"&amp; CHAR(65+C0Col)),2,FALSE)&gt;COUNTIF($E200:H200,"u")+COUNTIF($E200:H200,"t")+COUNTIF($E200:H200,"¶")+COUNTIF($E200:H200,"²")+COUNTIF($E200:H200,"µ")+COUNTIF($E200:H200,1)),
HYPERLINK("#Roadmap!C"&amp; MATCH($E200,Roadmap!$D:$D,0)+COUNTIF($E200:H200,"u")+COUNTIF($E200:H200,"t"),
     INDEX(Roadmap!$D:$K,MATCH($E200,Roadmap!$D:$D,0)+COUNTIF($E200:H200,"u")+COUNTIF($E200:H200,"t")+COUNTIF($E200:H200,"¶")+COUNTIF($E200:H200,"²")+COUNTIF($E200:H200,"µ")+COUNTIF($E200:H200,1),ColTypeEcheance)),
  IF(LEN(H200)=1,
  IF(LEN(INDEX(Roadmap!$D:$K,MATCH($E200,Roadmap!$D:$D,0)-1+COUNTIF($E200:H200,"u")+COUNTIF($E200:H200,"t")+COUNTIF($E200:H200,"¶")+COUNTIF($E200:H200,"²")+COUNTIF($E200:H200,"µ")+COUNTIF($E200:H200,1),ColDescriptionCourte))&gt;1,
HYPERLINK("#Roadmap!C"&amp; MATCH($E200,Roadmap!$D:$D,0)+COUNTIF($E200:H200,"u")+COUNTIF($E200:H200,"t")+COUNTIF($E200:H200,"¶")+COUNTIF($E200:H200,"²")+COUNTIF($E200:H200,"µ")+COUNTIF($E200:H200,1)-1,INDEX(Roadmap!$D:$K,MATCH($E200,Roadmap!$D:$D,0)-1+COUNTIF($E200:H200,"u")+COUNTIF($E200:H200,"t")+COUNTIF($E200:H200,"¶")+COUNTIF($E200:H200,"²")+COUNTIF($E200:H200,"µ")+COUNTIF($E200:H200,1),ColDescriptionCourte)),""),
  "")),"")</f>
        <v/>
      </c>
      <c r="J200" s="40" t="str">
        <f ca="1">IFERROR(IF(AND(
  INDEX(Roadmap!$D:$K,MATCH($E200,Roadmap!$D:$D,0)+COUNTIF($E200:I200,"u")+COUNTIF($E200:I200,"t")+COUNTIF($E200:I200,"¶")+COUNTIF($E200:I200,"²")+COUNTIF($E200:I200,"µ")+COUNTIF($E200:I200,1),ColLivraison)=J$6,
  VLOOKUP($E200,INDIRECT("tri!"&amp; CHAR(64+ C0Col) &amp;":"&amp; CHAR(65+C0Col)),2,FALSE)&gt;COUNTIF($E200:I200,"u")+COUNTIF($E200:I200,"t")+COUNTIF($E200:I200,"¶")+COUNTIF($E200:I200,"²")+COUNTIF($E200:I200,"µ")+COUNTIF($E200:I200,1)),
HYPERLINK("#Roadmap!C"&amp; MATCH($E200,Roadmap!$D:$D,0)+COUNTIF($E200:I200,"u")+COUNTIF($E200:I200,"t"),
     INDEX(Roadmap!$D:$K,MATCH($E200,Roadmap!$D:$D,0)+COUNTIF($E200:I200,"u")+COUNTIF($E200:I200,"t")+COUNTIF($E200:I200,"¶")+COUNTIF($E200:I200,"²")+COUNTIF($E200:I200,"µ")+COUNTIF($E200:I200,1),ColTypeEcheance)),
  IF(LEN(I200)=1,
  IF(LEN(INDEX(Roadmap!$D:$K,MATCH($E200,Roadmap!$D:$D,0)-1+COUNTIF($E200:I200,"u")+COUNTIF($E200:I200,"t")+COUNTIF($E200:I200,"¶")+COUNTIF($E200:I200,"²")+COUNTIF($E200:I200,"µ")+COUNTIF($E200:I200,1),ColDescriptionCourte))&gt;1,
HYPERLINK("#Roadmap!C"&amp; MATCH($E200,Roadmap!$D:$D,0)+COUNTIF($E200:I200,"u")+COUNTIF($E200:I200,"t")+COUNTIF($E200:I200,"¶")+COUNTIF($E200:I200,"²")+COUNTIF($E200:I200,"µ")+COUNTIF($E200:I200,1)-1,INDEX(Roadmap!$D:$K,MATCH($E200,Roadmap!$D:$D,0)-1+COUNTIF($E200:I200,"u")+COUNTIF($E200:I200,"t")+COUNTIF($E200:I200,"¶")+COUNTIF($E200:I200,"²")+COUNTIF($E200:I200,"µ")+COUNTIF($E200:I200,1),ColDescriptionCourte)),""),
  "")),"")</f>
        <v/>
      </c>
      <c r="K200" s="40" t="str">
        <f ca="1">IFERROR(IF(AND(
  INDEX(Roadmap!$D:$K,MATCH($E200,Roadmap!$D:$D,0)+COUNTIF($E200:J200,"u")+COUNTIF($E200:J200,"t")+COUNTIF($E200:J200,"¶")+COUNTIF($E200:J200,"²")+COUNTIF($E200:J200,"µ")+COUNTIF($E200:J200,1),ColLivraison)=K$6,
  VLOOKUP($E200,INDIRECT("tri!"&amp; CHAR(64+ C0Col) &amp;":"&amp; CHAR(65+C0Col)),2,FALSE)&gt;COUNTIF($E200:J200,"u")+COUNTIF($E200:J200,"t")+COUNTIF($E200:J200,"¶")+COUNTIF($E200:J200,"²")+COUNTIF($E200:J200,"µ")+COUNTIF($E200:J200,1)),
HYPERLINK("#Roadmap!C"&amp; MATCH($E200,Roadmap!$D:$D,0)+COUNTIF($E200:J200,"u")+COUNTIF($E200:J200,"t"),
     INDEX(Roadmap!$D:$K,MATCH($E200,Roadmap!$D:$D,0)+COUNTIF($E200:J200,"u")+COUNTIF($E200:J200,"t")+COUNTIF($E200:J200,"¶")+COUNTIF($E200:J200,"²")+COUNTIF($E200:J200,"µ")+COUNTIF($E200:J200,1),ColTypeEcheance)),
  IF(LEN(J200)=1,
  IF(LEN(INDEX(Roadmap!$D:$K,MATCH($E200,Roadmap!$D:$D,0)-1+COUNTIF($E200:J200,"u")+COUNTIF($E200:J200,"t")+COUNTIF($E200:J200,"¶")+COUNTIF($E200:J200,"²")+COUNTIF($E200:J200,"µ")+COUNTIF($E200:J200,1),ColDescriptionCourte))&gt;1,
HYPERLINK("#Roadmap!C"&amp; MATCH($E200,Roadmap!$D:$D,0)+COUNTIF($E200:J200,"u")+COUNTIF($E200:J200,"t")+COUNTIF($E200:J200,"¶")+COUNTIF($E200:J200,"²")+COUNTIF($E200:J200,"µ")+COUNTIF($E200:J200,1)-1,INDEX(Roadmap!$D:$K,MATCH($E200,Roadmap!$D:$D,0)-1+COUNTIF($E200:J200,"u")+COUNTIF($E200:J200,"t")+COUNTIF($E200:J200,"¶")+COUNTIF($E200:J200,"²")+COUNTIF($E200:J200,"µ")+COUNTIF($E200:J200,1),ColDescriptionCourte)),""),
  "")),"")</f>
        <v/>
      </c>
      <c r="L200" s="39" t="str">
        <f ca="1">IFERROR(IF(AND(
  INDEX(Roadmap!$D:$K,MATCH($E200,Roadmap!$D:$D,0)+COUNTIF($E200:K200,"u")+COUNTIF($E200:K200,"t")+COUNTIF($E200:K200,"¶")+COUNTIF($E200:K200,"²")+COUNTIF($E200:K200,"µ")+COUNTIF($E200:K200,1),ColLivraison)=L$6,
  VLOOKUP($E200,INDIRECT("tri!"&amp; CHAR(64+ C0Col) &amp;":"&amp; CHAR(65+C0Col)),2,FALSE)&gt;COUNTIF($E200:K200,"u")+COUNTIF($E200:K200,"t")+COUNTIF($E200:K200,"¶")+COUNTIF($E200:K200,"²")+COUNTIF($E200:K200,"µ")+COUNTIF($E200:K200,1)),
HYPERLINK("#Roadmap!C"&amp; MATCH($E200,Roadmap!$D:$D,0)+COUNTIF($E200:K200,"u")+COUNTIF($E200:K200,"t"),
     INDEX(Roadmap!$D:$K,MATCH($E200,Roadmap!$D:$D,0)+COUNTIF($E200:K200,"u")+COUNTIF($E200:K200,"t")+COUNTIF($E200:K200,"¶")+COUNTIF($E200:K200,"²")+COUNTIF($E200:K200,"µ")+COUNTIF($E200:K200,1),ColTypeEcheance)),
  IF(LEN(K200)=1,
  IF(LEN(INDEX(Roadmap!$D:$K,MATCH($E200,Roadmap!$D:$D,0)-1+COUNTIF($E200:K200,"u")+COUNTIF($E200:K200,"t")+COUNTIF($E200:K200,"¶")+COUNTIF($E200:K200,"²")+COUNTIF($E200:K200,"µ")+COUNTIF($E200:K200,1),ColDescriptionCourte))&gt;1,
HYPERLINK("#Roadmap!C"&amp; MATCH($E200,Roadmap!$D:$D,0)+COUNTIF($E200:K200,"u")+COUNTIF($E200:K200,"t")+COUNTIF($E200:K200,"¶")+COUNTIF($E200:K200,"²")+COUNTIF($E200:K200,"µ")+COUNTIF($E200:K200,1)-1,INDEX(Roadmap!$D:$K,MATCH($E200,Roadmap!$D:$D,0)-1+COUNTIF($E200:K200,"u")+COUNTIF($E200:K200,"t")+COUNTIF($E200:K200,"¶")+COUNTIF($E200:K200,"²")+COUNTIF($E200:K200,"µ")+COUNTIF($E200:K200,1),ColDescriptionCourte)),""),
  "")),"")</f>
        <v/>
      </c>
      <c r="M200" s="40" t="str">
        <f ca="1">IFERROR(IF(AND(
  INDEX(Roadmap!$D:$K,MATCH($E200,Roadmap!$D:$D,0)+COUNTIF($E200:L200,"u")+COUNTIF($E200:L200,"t")+COUNTIF($E200:L200,"¶")+COUNTIF($E200:L200,"²")+COUNTIF($E200:L200,"µ")+COUNTIF($E200:L200,1),ColLivraison)=M$6,
  VLOOKUP($E200,INDIRECT("tri!"&amp; CHAR(64+ C0Col) &amp;":"&amp; CHAR(65+C0Col)),2,FALSE)&gt;COUNTIF($E200:L200,"u")+COUNTIF($E200:L200,"t")+COUNTIF($E200:L200,"¶")+COUNTIF($E200:L200,"²")+COUNTIF($E200:L200,"µ")+COUNTIF($E200:L200,1)),
HYPERLINK("#Roadmap!C"&amp; MATCH($E200,Roadmap!$D:$D,0)+COUNTIF($E200:L200,"u")+COUNTIF($E200:L200,"t"),
     INDEX(Roadmap!$D:$K,MATCH($E200,Roadmap!$D:$D,0)+COUNTIF($E200:L200,"u")+COUNTIF($E200:L200,"t")+COUNTIF($E200:L200,"¶")+COUNTIF($E200:L200,"²")+COUNTIF($E200:L200,"µ")+COUNTIF($E200:L200,1),ColTypeEcheance)),
  IF(LEN(L200)=1,
  IF(LEN(INDEX(Roadmap!$D:$K,MATCH($E200,Roadmap!$D:$D,0)-1+COUNTIF($E200:L200,"u")+COUNTIF($E200:L200,"t")+COUNTIF($E200:L200,"¶")+COUNTIF($E200:L200,"²")+COUNTIF($E200:L200,"µ")+COUNTIF($E200:L200,1),ColDescriptionCourte))&gt;1,
HYPERLINK("#Roadmap!C"&amp; MATCH($E200,Roadmap!$D:$D,0)+COUNTIF($E200:L200,"u")+COUNTIF($E200:L200,"t")+COUNTIF($E200:L200,"¶")+COUNTIF($E200:L200,"²")+COUNTIF($E200:L200,"µ")+COUNTIF($E200:L200,1)-1,INDEX(Roadmap!$D:$K,MATCH($E200,Roadmap!$D:$D,0)-1+COUNTIF($E200:L200,"u")+COUNTIF($E200:L200,"t")+COUNTIF($E200:L200,"¶")+COUNTIF($E200:L200,"²")+COUNTIF($E200:L200,"µ")+COUNTIF($E200:L200,1),ColDescriptionCourte)),""),
  "")),"")</f>
        <v/>
      </c>
      <c r="N200" s="40" t="str">
        <f ca="1">IFERROR(IF(AND(
  INDEX(Roadmap!$D:$K,MATCH($E200,Roadmap!$D:$D,0)+COUNTIF($E200:M200,"u")+COUNTIF($E200:M200,"t")+COUNTIF($E200:M200,"¶")+COUNTIF($E200:M200,"²")+COUNTIF($E200:M200,"µ")+COUNTIF($E200:M200,1),ColLivraison)=N$6,
  VLOOKUP($E200,INDIRECT("tri!"&amp; CHAR(64+ C0Col) &amp;":"&amp; CHAR(65+C0Col)),2,FALSE)&gt;COUNTIF($E200:M200,"u")+COUNTIF($E200:M200,"t")+COUNTIF($E200:M200,"¶")+COUNTIF($E200:M200,"²")+COUNTIF($E200:M200,"µ")+COUNTIF($E200:M200,1)),
HYPERLINK("#Roadmap!C"&amp; MATCH($E200,Roadmap!$D:$D,0)+COUNTIF($E200:M200,"u")+COUNTIF($E200:M200,"t"),
     INDEX(Roadmap!$D:$K,MATCH($E200,Roadmap!$D:$D,0)+COUNTIF($E200:M200,"u")+COUNTIF($E200:M200,"t")+COUNTIF($E200:M200,"¶")+COUNTIF($E200:M200,"²")+COUNTIF($E200:M200,"µ")+COUNTIF($E200:M200,1),ColTypeEcheance)),
  IF(LEN(M200)=1,
  IF(LEN(INDEX(Roadmap!$D:$K,MATCH($E200,Roadmap!$D:$D,0)-1+COUNTIF($E200:M200,"u")+COUNTIF($E200:M200,"t")+COUNTIF($E200:M200,"¶")+COUNTIF($E200:M200,"²")+COUNTIF($E200:M200,"µ")+COUNTIF($E200:M200,1),ColDescriptionCourte))&gt;1,
HYPERLINK("#Roadmap!C"&amp; MATCH($E200,Roadmap!$D:$D,0)+COUNTIF($E200:M200,"u")+COUNTIF($E200:M200,"t")+COUNTIF($E200:M200,"¶")+COUNTIF($E200:M200,"²")+COUNTIF($E200:M200,"µ")+COUNTIF($E200:M200,1)-1,INDEX(Roadmap!$D:$K,MATCH($E200,Roadmap!$D:$D,0)-1+COUNTIF($E200:M200,"u")+COUNTIF($E200:M200,"t")+COUNTIF($E200:M200,"¶")+COUNTIF($E200:M200,"²")+COUNTIF($E200:M200,"µ")+COUNTIF($E200:M200,1),ColDescriptionCourte)),""),
  "")),"")</f>
        <v/>
      </c>
      <c r="O200" s="40" t="str">
        <f ca="1">IFERROR(IF(AND(
  INDEX(Roadmap!$D:$K,MATCH($E200,Roadmap!$D:$D,0)+COUNTIF($E200:N200,"u")+COUNTIF($E200:N200,"t")+COUNTIF($E200:N200,"¶")+COUNTIF($E200:N200,"²")+COUNTIF($E200:N200,"µ")+COUNTIF($E200:N200,1),ColLivraison)=O$6,
  VLOOKUP($E200,INDIRECT("tri!"&amp; CHAR(64+ C0Col) &amp;":"&amp; CHAR(65+C0Col)),2,FALSE)&gt;COUNTIF($E200:N200,"u")+COUNTIF($E200:N200,"t")+COUNTIF($E200:N200,"¶")+COUNTIF($E200:N200,"²")+COUNTIF($E200:N200,"µ")+COUNTIF($E200:N200,1)),
HYPERLINK("#Roadmap!C"&amp; MATCH($E200,Roadmap!$D:$D,0)+COUNTIF($E200:N200,"u")+COUNTIF($E200:N200,"t"),
     INDEX(Roadmap!$D:$K,MATCH($E200,Roadmap!$D:$D,0)+COUNTIF($E200:N200,"u")+COUNTIF($E200:N200,"t")+COUNTIF($E200:N200,"¶")+COUNTIF($E200:N200,"²")+COUNTIF($E200:N200,"µ")+COUNTIF($E200:N200,1),ColTypeEcheance)),
  IF(LEN(N200)=1,
  IF(LEN(INDEX(Roadmap!$D:$K,MATCH($E200,Roadmap!$D:$D,0)-1+COUNTIF($E200:N200,"u")+COUNTIF($E200:N200,"t")+COUNTIF($E200:N200,"¶")+COUNTIF($E200:N200,"²")+COUNTIF($E200:N200,"µ")+COUNTIF($E200:N200,1),ColDescriptionCourte))&gt;1,
HYPERLINK("#Roadmap!C"&amp; MATCH($E200,Roadmap!$D:$D,0)+COUNTIF($E200:N200,"u")+COUNTIF($E200:N200,"t")+COUNTIF($E200:N200,"¶")+COUNTIF($E200:N200,"²")+COUNTIF($E200:N200,"µ")+COUNTIF($E200:N200,1)-1,INDEX(Roadmap!$D:$K,MATCH($E200,Roadmap!$D:$D,0)-1+COUNTIF($E200:N200,"u")+COUNTIF($E200:N200,"t")+COUNTIF($E200:N200,"¶")+COUNTIF($E200:N200,"²")+COUNTIF($E200:N200,"µ")+COUNTIF($E200:N200,1),ColDescriptionCourte)),""),
  "")),"")</f>
        <v/>
      </c>
      <c r="P200" s="40" t="str">
        <f ca="1">IFERROR(IF(AND(
  INDEX(Roadmap!$D:$K,MATCH($E200,Roadmap!$D:$D,0)+COUNTIF($E200:O200,"u")+COUNTIF($E200:O200,"t")+COUNTIF($E200:O200,"¶")+COUNTIF($E200:O200,"²")+COUNTIF($E200:O200,"µ")+COUNTIF($E200:O200,1),ColLivraison)=P$6,
  VLOOKUP($E200,INDIRECT("tri!"&amp; CHAR(64+ C0Col) &amp;":"&amp; CHAR(65+C0Col)),2,FALSE)&gt;COUNTIF($E200:O200,"u")+COUNTIF($E200:O200,"t")+COUNTIF($E200:O200,"¶")+COUNTIF($E200:O200,"²")+COUNTIF($E200:O200,"µ")+COUNTIF($E200:O200,1)),
HYPERLINK("#Roadmap!C"&amp; MATCH($E200,Roadmap!$D:$D,0)+COUNTIF($E200:O200,"u")+COUNTIF($E200:O200,"t"),
     INDEX(Roadmap!$D:$K,MATCH($E200,Roadmap!$D:$D,0)+COUNTIF($E200:O200,"u")+COUNTIF($E200:O200,"t")+COUNTIF($E200:O200,"¶")+COUNTIF($E200:O200,"²")+COUNTIF($E200:O200,"µ")+COUNTIF($E200:O200,1),ColTypeEcheance)),
  IF(LEN(O200)=1,
  IF(LEN(INDEX(Roadmap!$D:$K,MATCH($E200,Roadmap!$D:$D,0)-1+COUNTIF($E200:O200,"u")+COUNTIF($E200:O200,"t")+COUNTIF($E200:O200,"¶")+COUNTIF($E200:O200,"²")+COUNTIF($E200:O200,"µ")+COUNTIF($E200:O200,1),ColDescriptionCourte))&gt;1,
HYPERLINK("#Roadmap!C"&amp; MATCH($E200,Roadmap!$D:$D,0)+COUNTIF($E200:O200,"u")+COUNTIF($E200:O200,"t")+COUNTIF($E200:O200,"¶")+COUNTIF($E200:O200,"²")+COUNTIF($E200:O200,"µ")+COUNTIF($E200:O200,1)-1,INDEX(Roadmap!$D:$K,MATCH($E200,Roadmap!$D:$D,0)-1+COUNTIF($E200:O200,"u")+COUNTIF($E200:O200,"t")+COUNTIF($E200:O200,"¶")+COUNTIF($E200:O200,"²")+COUNTIF($E200:O200,"µ")+COUNTIF($E200:O200,1),ColDescriptionCourte)),""),
  "")),"")</f>
        <v/>
      </c>
      <c r="Q200" s="40" t="str">
        <f ca="1">IFERROR(IF(AND(
  INDEX(Roadmap!$D:$K,MATCH($E200,Roadmap!$D:$D,0)+COUNTIF($E200:P200,"u")+COUNTIF($E200:P200,"t")+COUNTIF($E200:P200,"¶")+COUNTIF($E200:P200,"²")+COUNTIF($E200:P200,"µ")+COUNTIF($E200:P200,1),ColLivraison)=Q$6,
  VLOOKUP($E200,INDIRECT("tri!"&amp; CHAR(64+ C0Col) &amp;":"&amp; CHAR(65+C0Col)),2,FALSE)&gt;COUNTIF($E200:P200,"u")+COUNTIF($E200:P200,"t")+COUNTIF($E200:P200,"¶")+COUNTIF($E200:P200,"²")+COUNTIF($E200:P200,"µ")+COUNTIF($E200:P200,1)),
HYPERLINK("#Roadmap!C"&amp; MATCH($E200,Roadmap!$D:$D,0)+COUNTIF($E200:P200,"u")+COUNTIF($E200:P200,"t"),
     INDEX(Roadmap!$D:$K,MATCH($E200,Roadmap!$D:$D,0)+COUNTIF($E200:P200,"u")+COUNTIF($E200:P200,"t")+COUNTIF($E200:P200,"¶")+COUNTIF($E200:P200,"²")+COUNTIF($E200:P200,"µ")+COUNTIF($E200:P200,1),ColTypeEcheance)),
  IF(LEN(P200)=1,
  IF(LEN(INDEX(Roadmap!$D:$K,MATCH($E200,Roadmap!$D:$D,0)-1+COUNTIF($E200:P200,"u")+COUNTIF($E200:P200,"t")+COUNTIF($E200:P200,"¶")+COUNTIF($E200:P200,"²")+COUNTIF($E200:P200,"µ")+COUNTIF($E200:P200,1),ColDescriptionCourte))&gt;1,
HYPERLINK("#Roadmap!C"&amp; MATCH($E200,Roadmap!$D:$D,0)+COUNTIF($E200:P200,"u")+COUNTIF($E200:P200,"t")+COUNTIF($E200:P200,"¶")+COUNTIF($E200:P200,"²")+COUNTIF($E200:P200,"µ")+COUNTIF($E200:P200,1)-1,INDEX(Roadmap!$D:$K,MATCH($E200,Roadmap!$D:$D,0)-1+COUNTIF($E200:P200,"u")+COUNTIF($E200:P200,"t")+COUNTIF($E200:P200,"¶")+COUNTIF($E200:P200,"²")+COUNTIF($E200:P200,"µ")+COUNTIF($E200:P200,1),ColDescriptionCourte)),""),
  "")),"")</f>
        <v/>
      </c>
      <c r="R200" s="40" t="str">
        <f ca="1">IFERROR(IF(AND(
  INDEX(Roadmap!$D:$K,MATCH($E200,Roadmap!$D:$D,0)+COUNTIF($E200:Q200,"u")+COUNTIF($E200:Q200,"t")+COUNTIF($E200:Q200,"¶")+COUNTIF($E200:Q200,"²")+COUNTIF($E200:Q200,"µ")+COUNTIF($E200:Q200,1),ColLivraison)=R$6,
  VLOOKUP($E200,INDIRECT("tri!"&amp; CHAR(64+ C0Col) &amp;":"&amp; CHAR(65+C0Col)),2,FALSE)&gt;COUNTIF($E200:Q200,"u")+COUNTIF($E200:Q200,"t")+COUNTIF($E200:Q200,"¶")+COUNTIF($E200:Q200,"²")+COUNTIF($E200:Q200,"µ")+COUNTIF($E200:Q200,1)),
HYPERLINK("#Roadmap!C"&amp; MATCH($E200,Roadmap!$D:$D,0)+COUNTIF($E200:Q200,"u")+COUNTIF($E200:Q200,"t"),
     INDEX(Roadmap!$D:$K,MATCH($E200,Roadmap!$D:$D,0)+COUNTIF($E200:Q200,"u")+COUNTIF($E200:Q200,"t")+COUNTIF($E200:Q200,"¶")+COUNTIF($E200:Q200,"²")+COUNTIF($E200:Q200,"µ")+COUNTIF($E200:Q200,1),ColTypeEcheance)),
  IF(LEN(Q200)=1,
  IF(LEN(INDEX(Roadmap!$D:$K,MATCH($E200,Roadmap!$D:$D,0)-1+COUNTIF($E200:Q200,"u")+COUNTIF($E200:Q200,"t")+COUNTIF($E200:Q200,"¶")+COUNTIF($E200:Q200,"²")+COUNTIF($E200:Q200,"µ")+COUNTIF($E200:Q200,1),ColDescriptionCourte))&gt;1,
HYPERLINK("#Roadmap!C"&amp; MATCH($E200,Roadmap!$D:$D,0)+COUNTIF($E200:Q200,"u")+COUNTIF($E200:Q200,"t")+COUNTIF($E200:Q200,"¶")+COUNTIF($E200:Q200,"²")+COUNTIF($E200:Q200,"µ")+COUNTIF($E200:Q200,1)-1,INDEX(Roadmap!$D:$K,MATCH($E200,Roadmap!$D:$D,0)-1+COUNTIF($E200:Q200,"u")+COUNTIF($E200:Q200,"t")+COUNTIF($E200:Q200,"¶")+COUNTIF($E200:Q200,"²")+COUNTIF($E200:Q200,"µ")+COUNTIF($E200:Q200,1),ColDescriptionCourte)),""),
  "")),"")</f>
        <v/>
      </c>
      <c r="S200" s="40" t="str">
        <f ca="1">IFERROR(IF(AND(
  INDEX(Roadmap!$D:$K,MATCH($E200,Roadmap!$D:$D,0)+COUNTIF($E200:R200,"u")+COUNTIF($E200:R200,"t")+COUNTIF($E200:R200,"¶")+COUNTIF($E200:R200,"²")+COUNTIF($E200:R200,"µ")+COUNTIF($E200:R200,1),ColLivraison)=S$6,
  VLOOKUP($E200,INDIRECT("tri!"&amp; CHAR(64+ C0Col) &amp;":"&amp; CHAR(65+C0Col)),2,FALSE)&gt;COUNTIF($E200:R200,"u")+COUNTIF($E200:R200,"t")+COUNTIF($E200:R200,"¶")+COUNTIF($E200:R200,"²")+COUNTIF($E200:R200,"µ")+COUNTIF($E200:R200,1)),
HYPERLINK("#Roadmap!C"&amp; MATCH($E200,Roadmap!$D:$D,0)+COUNTIF($E200:R200,"u")+COUNTIF($E200:R200,"t"),
     INDEX(Roadmap!$D:$K,MATCH($E200,Roadmap!$D:$D,0)+COUNTIF($E200:R200,"u")+COUNTIF($E200:R200,"t")+COUNTIF($E200:R200,"¶")+COUNTIF($E200:R200,"²")+COUNTIF($E200:R200,"µ")+COUNTIF($E200:R200,1),ColTypeEcheance)),
  IF(LEN(R200)=1,
  IF(LEN(INDEX(Roadmap!$D:$K,MATCH($E200,Roadmap!$D:$D,0)-1+COUNTIF($E200:R200,"u")+COUNTIF($E200:R200,"t")+COUNTIF($E200:R200,"¶")+COUNTIF($E200:R200,"²")+COUNTIF($E200:R200,"µ")+COUNTIF($E200:R200,1),ColDescriptionCourte))&gt;1,
HYPERLINK("#Roadmap!C"&amp; MATCH($E200,Roadmap!$D:$D,0)+COUNTIF($E200:R200,"u")+COUNTIF($E200:R200,"t")+COUNTIF($E200:R200,"¶")+COUNTIF($E200:R200,"²")+COUNTIF($E200:R200,"µ")+COUNTIF($E200:R200,1)-1,INDEX(Roadmap!$D:$K,MATCH($E200,Roadmap!$D:$D,0)-1+COUNTIF($E200:R200,"u")+COUNTIF($E200:R200,"t")+COUNTIF($E200:R200,"¶")+COUNTIF($E200:R200,"²")+COUNTIF($E200:R200,"µ")+COUNTIF($E200:R200,1),ColDescriptionCourte)),""),
  "")),"")</f>
        <v/>
      </c>
      <c r="T200" s="40" t="str">
        <f ca="1">IFERROR(IF(AND(
  INDEX(Roadmap!$D:$K,MATCH($E200,Roadmap!$D:$D,0)+COUNTIF($E200:S200,"u")+COUNTIF($E200:S200,"t")+COUNTIF($E200:S200,"¶")+COUNTIF($E200:S200,"²")+COUNTIF($E200:S200,"µ")+COUNTIF($E200:S200,1),ColLivraison)=T$6,
  VLOOKUP($E200,INDIRECT("tri!"&amp; CHAR(64+ C0Col) &amp;":"&amp; CHAR(65+C0Col)),2,FALSE)&gt;COUNTIF($E200:S200,"u")+COUNTIF($E200:S200,"t")+COUNTIF($E200:S200,"¶")+COUNTIF($E200:S200,"²")+COUNTIF($E200:S200,"µ")+COUNTIF($E200:S200,1)),
HYPERLINK("#Roadmap!C"&amp; MATCH($E200,Roadmap!$D:$D,0)+COUNTIF($E200:S200,"u")+COUNTIF($E200:S200,"t"),
     INDEX(Roadmap!$D:$K,MATCH($E200,Roadmap!$D:$D,0)+COUNTIF($E200:S200,"u")+COUNTIF($E200:S200,"t")+COUNTIF($E200:S200,"¶")+COUNTIF($E200:S200,"²")+COUNTIF($E200:S200,"µ")+COUNTIF($E200:S200,1),ColTypeEcheance)),
  IF(LEN(S200)=1,
  IF(LEN(INDEX(Roadmap!$D:$K,MATCH($E200,Roadmap!$D:$D,0)-1+COUNTIF($E200:S200,"u")+COUNTIF($E200:S200,"t")+COUNTIF($E200:S200,"¶")+COUNTIF($E200:S200,"²")+COUNTIF($E200:S200,"µ")+COUNTIF($E200:S200,1),ColDescriptionCourte))&gt;1,
HYPERLINK("#Roadmap!C"&amp; MATCH($E200,Roadmap!$D:$D,0)+COUNTIF($E200:S200,"u")+COUNTIF($E200:S200,"t")+COUNTIF($E200:S200,"¶")+COUNTIF($E200:S200,"²")+COUNTIF($E200:S200,"µ")+COUNTIF($E200:S200,1)-1,INDEX(Roadmap!$D:$K,MATCH($E200,Roadmap!$D:$D,0)-1+COUNTIF($E200:S200,"u")+COUNTIF($E200:S200,"t")+COUNTIF($E200:S200,"¶")+COUNTIF($E200:S200,"²")+COUNTIF($E200:S200,"µ")+COUNTIF($E200:S200,1),ColDescriptionCourte)),""),
  "")),"")</f>
        <v/>
      </c>
      <c r="U200" s="40" t="str">
        <f ca="1">IFERROR(IF(AND(
  INDEX(Roadmap!$D:$K,MATCH($E200,Roadmap!$D:$D,0)+COUNTIF($E200:T200,"u")+COUNTIF($E200:T200,"t")+COUNTIF($E200:T200,"¶")+COUNTIF($E200:T200,"²")+COUNTIF($E200:T200,"µ")+COUNTIF($E200:T200,1),ColLivraison)=U$6,
  VLOOKUP($E200,INDIRECT("tri!"&amp; CHAR(64+ C0Col) &amp;":"&amp; CHAR(65+C0Col)),2,FALSE)&gt;COUNTIF($E200:T200,"u")+COUNTIF($E200:T200,"t")+COUNTIF($E200:T200,"¶")+COUNTIF($E200:T200,"²")+COUNTIF($E200:T200,"µ")+COUNTIF($E200:T200,1)),
HYPERLINK("#Roadmap!C"&amp; MATCH($E200,Roadmap!$D:$D,0)+COUNTIF($E200:T200,"u")+COUNTIF($E200:T200,"t"),
     INDEX(Roadmap!$D:$K,MATCH($E200,Roadmap!$D:$D,0)+COUNTIF($E200:T200,"u")+COUNTIF($E200:T200,"t")+COUNTIF($E200:T200,"¶")+COUNTIF($E200:T200,"²")+COUNTIF($E200:T200,"µ")+COUNTIF($E200:T200,1),ColTypeEcheance)),
  IF(LEN(T200)=1,
  IF(LEN(INDEX(Roadmap!$D:$K,MATCH($E200,Roadmap!$D:$D,0)-1+COUNTIF($E200:T200,"u")+COUNTIF($E200:T200,"t")+COUNTIF($E200:T200,"¶")+COUNTIF($E200:T200,"²")+COUNTIF($E200:T200,"µ")+COUNTIF($E200:T200,1),ColDescriptionCourte))&gt;1,
HYPERLINK("#Roadmap!C"&amp; MATCH($E200,Roadmap!$D:$D,0)+COUNTIF($E200:T200,"u")+COUNTIF($E200:T200,"t")+COUNTIF($E200:T200,"¶")+COUNTIF($E200:T200,"²")+COUNTIF($E200:T200,"µ")+COUNTIF($E200:T200,1)-1,INDEX(Roadmap!$D:$K,MATCH($E200,Roadmap!$D:$D,0)-1+COUNTIF($E200:T200,"u")+COUNTIF($E200:T200,"t")+COUNTIF($E200:T200,"¶")+COUNTIF($E200:T200,"²")+COUNTIF($E200:T200,"µ")+COUNTIF($E200:T200,1),ColDescriptionCourte)),""),
  "")),"")</f>
        <v/>
      </c>
      <c r="V200" s="40" t="str">
        <f ca="1">IFERROR(IF(AND(
  INDEX(Roadmap!$D:$K,MATCH($E200,Roadmap!$D:$D,0)+COUNTIF($E200:U200,"u")+COUNTIF($E200:U200,"t")+COUNTIF($E200:U200,"¶")+COUNTIF($E200:U200,"²")+COUNTIF($E200:U200,"µ")+COUNTIF($E200:U200,1),ColLivraison)=V$6,
  VLOOKUP($E200,INDIRECT("tri!"&amp; CHAR(64+ C0Col) &amp;":"&amp; CHAR(65+C0Col)),2,FALSE)&gt;COUNTIF($E200:U200,"u")+COUNTIF($E200:U200,"t")+COUNTIF($E200:U200,"¶")+COUNTIF($E200:U200,"²")+COUNTIF($E200:U200,"µ")+COUNTIF($E200:U200,1)),
HYPERLINK("#Roadmap!C"&amp; MATCH($E200,Roadmap!$D:$D,0)+COUNTIF($E200:U200,"u")+COUNTIF($E200:U200,"t"),
     INDEX(Roadmap!$D:$K,MATCH($E200,Roadmap!$D:$D,0)+COUNTIF($E200:U200,"u")+COUNTIF($E200:U200,"t")+COUNTIF($E200:U200,"¶")+COUNTIF($E200:U200,"²")+COUNTIF($E200:U200,"µ")+COUNTIF($E200:U200,1),ColTypeEcheance)),
  IF(LEN(U200)=1,
  IF(LEN(INDEX(Roadmap!$D:$K,MATCH($E200,Roadmap!$D:$D,0)-1+COUNTIF($E200:U200,"u")+COUNTIF($E200:U200,"t")+COUNTIF($E200:U200,"¶")+COUNTIF($E200:U200,"²")+COUNTIF($E200:U200,"µ")+COUNTIF($E200:U200,1),ColDescriptionCourte))&gt;1,
HYPERLINK("#Roadmap!C"&amp; MATCH($E200,Roadmap!$D:$D,0)+COUNTIF($E200:U200,"u")+COUNTIF($E200:U200,"t")+COUNTIF($E200:U200,"¶")+COUNTIF($E200:U200,"²")+COUNTIF($E200:U200,"µ")+COUNTIF($E200:U200,1)-1,INDEX(Roadmap!$D:$K,MATCH($E200,Roadmap!$D:$D,0)-1+COUNTIF($E200:U200,"u")+COUNTIF($E200:U200,"t")+COUNTIF($E200:U200,"¶")+COUNTIF($E200:U200,"²")+COUNTIF($E200:U200,"µ")+COUNTIF($E200:U200,1),ColDescriptionCourte)),""),
  "")),"")</f>
        <v/>
      </c>
      <c r="W200" s="40" t="str">
        <f ca="1">IFERROR(IF(AND(
  INDEX(Roadmap!$D:$K,MATCH($E200,Roadmap!$D:$D,0)+COUNTIF($E200:V200,"u")+COUNTIF($E200:V200,"t")+COUNTIF($E200:V200,"¶")+COUNTIF($E200:V200,"²")+COUNTIF($E200:V200,"µ")+COUNTIF($E200:V200,1),ColLivraison)=W$6,
  VLOOKUP($E200,INDIRECT("tri!"&amp; CHAR(64+ C0Col) &amp;":"&amp; CHAR(65+C0Col)),2,FALSE)&gt;COUNTIF($E200:V200,"u")+COUNTIF($E200:V200,"t")+COUNTIF($E200:V200,"¶")+COUNTIF($E200:V200,"²")+COUNTIF($E200:V200,"µ")+COUNTIF($E200:V200,1)),
HYPERLINK("#Roadmap!C"&amp; MATCH($E200,Roadmap!$D:$D,0)+COUNTIF($E200:V200,"u")+COUNTIF($E200:V200,"t"),
     INDEX(Roadmap!$D:$K,MATCH($E200,Roadmap!$D:$D,0)+COUNTIF($E200:V200,"u")+COUNTIF($E200:V200,"t")+COUNTIF($E200:V200,"¶")+COUNTIF($E200:V200,"²")+COUNTIF($E200:V200,"µ")+COUNTIF($E200:V200,1),ColTypeEcheance)),
  IF(LEN(V200)=1,
  IF(LEN(INDEX(Roadmap!$D:$K,MATCH($E200,Roadmap!$D:$D,0)-1+COUNTIF($E200:V200,"u")+COUNTIF($E200:V200,"t")+COUNTIF($E200:V200,"¶")+COUNTIF($E200:V200,"²")+COUNTIF($E200:V200,"µ")+COUNTIF($E200:V200,1),ColDescriptionCourte))&gt;1,
HYPERLINK("#Roadmap!C"&amp; MATCH($E200,Roadmap!$D:$D,0)+COUNTIF($E200:V200,"u")+COUNTIF($E200:V200,"t")+COUNTIF($E200:V200,"¶")+COUNTIF($E200:V200,"²")+COUNTIF($E200:V200,"µ")+COUNTIF($E200:V200,1)-1,INDEX(Roadmap!$D:$K,MATCH($E200,Roadmap!$D:$D,0)-1+COUNTIF($E200:V200,"u")+COUNTIF($E200:V200,"t")+COUNTIF($E200:V200,"¶")+COUNTIF($E200:V200,"²")+COUNTIF($E200:V200,"µ")+COUNTIF($E200:V200,1),ColDescriptionCourte)),""),
  "")),"")</f>
        <v/>
      </c>
      <c r="X200" s="40" t="str">
        <f ca="1">IFERROR(IF(AND(
  INDEX(Roadmap!$D:$K,MATCH($E200,Roadmap!$D:$D,0)+COUNTIF($E200:W200,"u")+COUNTIF($E200:W200,"t")+COUNTIF($E200:W200,"¶")+COUNTIF($E200:W200,"²")+COUNTIF($E200:W200,"µ")+COUNTIF($E200:W200,1),ColLivraison)=X$6,
  VLOOKUP($E200,INDIRECT("tri!"&amp; CHAR(64+ C0Col) &amp;":"&amp; CHAR(65+C0Col)),2,FALSE)&gt;COUNTIF($E200:W200,"u")+COUNTIF($E200:W200,"t")+COUNTIF($E200:W200,"¶")+COUNTIF($E200:W200,"²")+COUNTIF($E200:W200,"µ")+COUNTIF($E200:W200,1)),
HYPERLINK("#Roadmap!C"&amp; MATCH($E200,Roadmap!$D:$D,0)+COUNTIF($E200:W200,"u")+COUNTIF($E200:W200,"t"),
     INDEX(Roadmap!$D:$K,MATCH($E200,Roadmap!$D:$D,0)+COUNTIF($E200:W200,"u")+COUNTIF($E200:W200,"t")+COUNTIF($E200:W200,"¶")+COUNTIF($E200:W200,"²")+COUNTIF($E200:W200,"µ")+COUNTIF($E200:W200,1),ColTypeEcheance)),
  IF(LEN(W200)=1,
  IF(LEN(INDEX(Roadmap!$D:$K,MATCH($E200,Roadmap!$D:$D,0)-1+COUNTIF($E200:W200,"u")+COUNTIF($E200:W200,"t")+COUNTIF($E200:W200,"¶")+COUNTIF($E200:W200,"²")+COUNTIF($E200:W200,"µ")+COUNTIF($E200:W200,1),ColDescriptionCourte))&gt;1,
HYPERLINK("#Roadmap!C"&amp; MATCH($E200,Roadmap!$D:$D,0)+COUNTIF($E200:W200,"u")+COUNTIF($E200:W200,"t")+COUNTIF($E200:W200,"¶")+COUNTIF($E200:W200,"²")+COUNTIF($E200:W200,"µ")+COUNTIF($E200:W200,1)-1,INDEX(Roadmap!$D:$K,MATCH($E200,Roadmap!$D:$D,0)-1+COUNTIF($E200:W200,"u")+COUNTIF($E200:W200,"t")+COUNTIF($E200:W200,"¶")+COUNTIF($E200:W200,"²")+COUNTIF($E200:W200,"µ")+COUNTIF($E200:W200,1),ColDescriptionCourte)),""),
  "")),"")</f>
        <v/>
      </c>
      <c r="Y200" s="40" t="str">
        <f ca="1">IFERROR(IF(AND(
  INDEX(Roadmap!$D:$K,MATCH($E200,Roadmap!$D:$D,0)+COUNTIF($E200:X200,"u")+COUNTIF($E200:X200,"t")+COUNTIF($E200:X200,"¶")+COUNTIF($E200:X200,"²")+COUNTIF($E200:X200,"µ")+COUNTIF($E200:X200,1),ColLivraison)=Y$6,
  VLOOKUP($E200,INDIRECT("tri!"&amp; CHAR(64+ C0Col) &amp;":"&amp; CHAR(65+C0Col)),2,FALSE)&gt;COUNTIF($E200:X200,"u")+COUNTIF($E200:X200,"t")+COUNTIF($E200:X200,"¶")+COUNTIF($E200:X200,"²")+COUNTIF($E200:X200,"µ")+COUNTIF($E200:X200,1)),
HYPERLINK("#Roadmap!C"&amp; MATCH($E200,Roadmap!$D:$D,0)+COUNTIF($E200:X200,"u")+COUNTIF($E200:X200,"t"),
     INDEX(Roadmap!$D:$K,MATCH($E200,Roadmap!$D:$D,0)+COUNTIF($E200:X200,"u")+COUNTIF($E200:X200,"t")+COUNTIF($E200:X200,"¶")+COUNTIF($E200:X200,"²")+COUNTIF($E200:X200,"µ")+COUNTIF($E200:X200,1),ColTypeEcheance)),
  IF(LEN(X200)=1,
  IF(LEN(INDEX(Roadmap!$D:$K,MATCH($E200,Roadmap!$D:$D,0)-1+COUNTIF($E200:X200,"u")+COUNTIF($E200:X200,"t")+COUNTIF($E200:X200,"¶")+COUNTIF($E200:X200,"²")+COUNTIF($E200:X200,"µ")+COUNTIF($E200:X200,1),ColDescriptionCourte))&gt;1,
HYPERLINK("#Roadmap!C"&amp; MATCH($E200,Roadmap!$D:$D,0)+COUNTIF($E200:X200,"u")+COUNTIF($E200:X200,"t")+COUNTIF($E200:X200,"¶")+COUNTIF($E200:X200,"²")+COUNTIF($E200:X200,"µ")+COUNTIF($E200:X200,1)-1,INDEX(Roadmap!$D:$K,MATCH($E200,Roadmap!$D:$D,0)-1+COUNTIF($E200:X200,"u")+COUNTIF($E200:X200,"t")+COUNTIF($E200:X200,"¶")+COUNTIF($E200:X200,"²")+COUNTIF($E200:X200,"µ")+COUNTIF($E200:X200,1),ColDescriptionCourte)),""),
  "")),"")</f>
        <v/>
      </c>
      <c r="Z200" s="40" t="str">
        <f ca="1">IFERROR(IF(AND(
  INDEX(Roadmap!$D:$K,MATCH($E200,Roadmap!$D:$D,0)+COUNTIF($E200:Y200,"u")+COUNTIF($E200:Y200,"t")+COUNTIF($E200:Y200,"¶")+COUNTIF($E200:Y200,"²")+COUNTIF($E200:Y200,"µ")+COUNTIF($E200:Y200,1),ColLivraison)=Z$6,
  VLOOKUP($E200,INDIRECT("tri!"&amp; CHAR(64+ C0Col) &amp;":"&amp; CHAR(65+C0Col)),2,FALSE)&gt;COUNTIF($E200:Y200,"u")+COUNTIF($E200:Y200,"t")+COUNTIF($E200:Y200,"¶")+COUNTIF($E200:Y200,"²")+COUNTIF($E200:Y200,"µ")+COUNTIF($E200:Y200,1)),
HYPERLINK("#Roadmap!C"&amp; MATCH($E200,Roadmap!$D:$D,0)+COUNTIF($E200:Y200,"u")+COUNTIF($E200:Y200,"t"),
     INDEX(Roadmap!$D:$K,MATCH($E200,Roadmap!$D:$D,0)+COUNTIF($E200:Y200,"u")+COUNTIF($E200:Y200,"t")+COUNTIF($E200:Y200,"¶")+COUNTIF($E200:Y200,"²")+COUNTIF($E200:Y200,"µ")+COUNTIF($E200:Y200,1),ColTypeEcheance)),
  IF(LEN(Y200)=1,
  IF(LEN(INDEX(Roadmap!$D:$K,MATCH($E200,Roadmap!$D:$D,0)-1+COUNTIF($E200:Y200,"u")+COUNTIF($E200:Y200,"t")+COUNTIF($E200:Y200,"¶")+COUNTIF($E200:Y200,"²")+COUNTIF($E200:Y200,"µ")+COUNTIF($E200:Y200,1),ColDescriptionCourte))&gt;1,
HYPERLINK("#Roadmap!C"&amp; MATCH($E200,Roadmap!$D:$D,0)+COUNTIF($E200:Y200,"u")+COUNTIF($E200:Y200,"t")+COUNTIF($E200:Y200,"¶")+COUNTIF($E200:Y200,"²")+COUNTIF($E200:Y200,"µ")+COUNTIF($E200:Y200,1)-1,INDEX(Roadmap!$D:$K,MATCH($E200,Roadmap!$D:$D,0)-1+COUNTIF($E200:Y200,"u")+COUNTIF($E200:Y200,"t")+COUNTIF($E200:Y200,"¶")+COUNTIF($E200:Y200,"²")+COUNTIF($E200:Y200,"µ")+COUNTIF($E200:Y200,1),ColDescriptionCourte)),""),
  "")),"")</f>
        <v/>
      </c>
      <c r="AA200" s="40" t="str">
        <f ca="1">IFERROR(IF(AND(
  INDEX(Roadmap!$D:$K,MATCH($E200,Roadmap!$D:$D,0)+COUNTIF($E200:Z200,"u")+COUNTIF($E200:Z200,"t")+COUNTIF($E200:Z200,"¶")+COUNTIF($E200:Z200,"²")+COUNTIF($E200:Z200,"µ")+COUNTIF($E200:Z200,1),ColLivraison)=AA$6,
  VLOOKUP($E200,INDIRECT("tri!"&amp; CHAR(64+ C0Col) &amp;":"&amp; CHAR(65+C0Col)),2,FALSE)&gt;COUNTIF($E200:Z200,"u")+COUNTIF($E200:Z200,"t")+COUNTIF($E200:Z200,"¶")+COUNTIF($E200:Z200,"²")+COUNTIF($E200:Z200,"µ")+COUNTIF($E200:Z200,1)),
HYPERLINK("#Roadmap!C"&amp; MATCH($E200,Roadmap!$D:$D,0)+COUNTIF($E200:Z200,"u")+COUNTIF($E200:Z200,"t"),
     INDEX(Roadmap!$D:$K,MATCH($E200,Roadmap!$D:$D,0)+COUNTIF($E200:Z200,"u")+COUNTIF($E200:Z200,"t")+COUNTIF($E200:Z200,"¶")+COUNTIF($E200:Z200,"²")+COUNTIF($E200:Z200,"µ")+COUNTIF($E200:Z200,1),ColTypeEcheance)),
  IF(LEN(Z200)=1,
  IF(LEN(INDEX(Roadmap!$D:$K,MATCH($E200,Roadmap!$D:$D,0)-1+COUNTIF($E200:Z200,"u")+COUNTIF($E200:Z200,"t")+COUNTIF($E200:Z200,"¶")+COUNTIF($E200:Z200,"²")+COUNTIF($E200:Z200,"µ")+COUNTIF($E200:Z200,1),ColDescriptionCourte))&gt;1,
HYPERLINK("#Roadmap!C"&amp; MATCH($E200,Roadmap!$D:$D,0)+COUNTIF($E200:Z200,"u")+COUNTIF($E200:Z200,"t")+COUNTIF($E200:Z200,"¶")+COUNTIF($E200:Z200,"²")+COUNTIF($E200:Z200,"µ")+COUNTIF($E200:Z200,1)-1,INDEX(Roadmap!$D:$K,MATCH($E200,Roadmap!$D:$D,0)-1+COUNTIF($E200:Z200,"u")+COUNTIF($E200:Z200,"t")+COUNTIF($E200:Z200,"¶")+COUNTIF($E200:Z200,"²")+COUNTIF($E200:Z200,"µ")+COUNTIF($E200:Z200,1),ColDescriptionCourte)),""),
  "")),"")</f>
        <v/>
      </c>
      <c r="AB200" s="40" t="str">
        <f ca="1">IFERROR(IF(AND(
  INDEX(Roadmap!$D:$K,MATCH($E200,Roadmap!$D:$D,0)+COUNTIF($E200:AA200,"u")+COUNTIF($E200:AA200,"t")+COUNTIF($E200:AA200,"¶")+COUNTIF($E200:AA200,"²")+COUNTIF($E200:AA200,"µ")+COUNTIF($E200:AA200,1),ColLivraison)=AB$6,
  VLOOKUP($E200,INDIRECT("tri!"&amp; CHAR(64+ C0Col) &amp;":"&amp; CHAR(65+C0Col)),2,FALSE)&gt;COUNTIF($E200:AA200,"u")+COUNTIF($E200:AA200,"t")+COUNTIF($E200:AA200,"¶")+COUNTIF($E200:AA200,"²")+COUNTIF($E200:AA200,"µ")+COUNTIF($E200:AA200,1)),
HYPERLINK("#Roadmap!C"&amp; MATCH($E200,Roadmap!$D:$D,0)+COUNTIF($E200:AA200,"u")+COUNTIF($E200:AA200,"t"),
     INDEX(Roadmap!$D:$K,MATCH($E200,Roadmap!$D:$D,0)+COUNTIF($E200:AA200,"u")+COUNTIF($E200:AA200,"t")+COUNTIF($E200:AA200,"¶")+COUNTIF($E200:AA200,"²")+COUNTIF($E200:AA200,"µ")+COUNTIF($E200:AA200,1),ColTypeEcheance)),
  IF(LEN(AA200)=1,
  IF(LEN(INDEX(Roadmap!$D:$K,MATCH($E200,Roadmap!$D:$D,0)-1+COUNTIF($E200:AA200,"u")+COUNTIF($E200:AA200,"t")+COUNTIF($E200:AA200,"¶")+COUNTIF($E200:AA200,"²")+COUNTIF($E200:AA200,"µ")+COUNTIF($E200:AA200,1),ColDescriptionCourte))&gt;1,
HYPERLINK("#Roadmap!C"&amp; MATCH($E200,Roadmap!$D:$D,0)+COUNTIF($E200:AA200,"u")+COUNTIF($E200:AA200,"t")+COUNTIF($E200:AA200,"¶")+COUNTIF($E200:AA200,"²")+COUNTIF($E200:AA200,"µ")+COUNTIF($E200:AA200,1)-1,INDEX(Roadmap!$D:$K,MATCH($E200,Roadmap!$D:$D,0)-1+COUNTIF($E200:AA200,"u")+COUNTIF($E200:AA200,"t")+COUNTIF($E200:AA200,"¶")+COUNTIF($E200:AA200,"²")+COUNTIF($E200:AA200,"µ")+COUNTIF($E200:AA200,1),ColDescriptionCourte)),""),
  "")),"")</f>
        <v/>
      </c>
      <c r="AC200" s="40" t="str">
        <f ca="1">IFERROR(IF(AND(
  INDEX(Roadmap!$D:$K,MATCH($E200,Roadmap!$D:$D,0)+COUNTIF($E200:AB200,"u")+COUNTIF($E200:AB200,"t")+COUNTIF($E200:AB200,"¶")+COUNTIF($E200:AB200,"²")+COUNTIF($E200:AB200,"µ")+COUNTIF($E200:AB200,1),ColLivraison)=AC$6,
  VLOOKUP($E200,INDIRECT("tri!"&amp; CHAR(64+ C0Col) &amp;":"&amp; CHAR(65+C0Col)),2,FALSE)&gt;COUNTIF($E200:AB200,"u")+COUNTIF($E200:AB200,"t")+COUNTIF($E200:AB200,"¶")+COUNTIF($E200:AB200,"²")+COUNTIF($E200:AB200,"µ")+COUNTIF($E200:AB200,1)),
HYPERLINK("#Roadmap!C"&amp; MATCH($E200,Roadmap!$D:$D,0)+COUNTIF($E200:AB200,"u")+COUNTIF($E200:AB200,"t"),
     INDEX(Roadmap!$D:$K,MATCH($E200,Roadmap!$D:$D,0)+COUNTIF($E200:AB200,"u")+COUNTIF($E200:AB200,"t")+COUNTIF($E200:AB200,"¶")+COUNTIF($E200:AB200,"²")+COUNTIF($E200:AB200,"µ")+COUNTIF($E200:AB200,1),ColTypeEcheance)),
  IF(LEN(AB200)=1,
  IF(LEN(INDEX(Roadmap!$D:$K,MATCH($E200,Roadmap!$D:$D,0)-1+COUNTIF($E200:AB200,"u")+COUNTIF($E200:AB200,"t")+COUNTIF($E200:AB200,"¶")+COUNTIF($E200:AB200,"²")+COUNTIF($E200:AB200,"µ")+COUNTIF($E200:AB200,1),ColDescriptionCourte))&gt;1,
HYPERLINK("#Roadmap!C"&amp; MATCH($E200,Roadmap!$D:$D,0)+COUNTIF($E200:AB200,"u")+COUNTIF($E200:AB200,"t")+COUNTIF($E200:AB200,"¶")+COUNTIF($E200:AB200,"²")+COUNTIF($E200:AB200,"µ")+COUNTIF($E200:AB200,1)-1,INDEX(Roadmap!$D:$K,MATCH($E200,Roadmap!$D:$D,0)-1+COUNTIF($E200:AB200,"u")+COUNTIF($E200:AB200,"t")+COUNTIF($E200:AB200,"¶")+COUNTIF($E200:AB200,"²")+COUNTIF($E200:AB200,"µ")+COUNTIF($E200:AB200,1),ColDescriptionCourte)),""),
  "")),"")</f>
        <v/>
      </c>
      <c r="AD200" s="40" t="str">
        <f ca="1">IFERROR(IF(AND(
  INDEX(Roadmap!$D:$K,MATCH($E200,Roadmap!$D:$D,0)+COUNTIF($E200:AC200,"u")+COUNTIF($E200:AC200,"t")+COUNTIF($E200:AC200,"¶")+COUNTIF($E200:AC200,"²")+COUNTIF($E200:AC200,"µ")+COUNTIF($E200:AC200,1),ColLivraison)=AD$6,
  VLOOKUP($E200,INDIRECT("tri!"&amp; CHAR(64+ C0Col) &amp;":"&amp; CHAR(65+C0Col)),2,FALSE)&gt;COUNTIF($E200:AC200,"u")+COUNTIF($E200:AC200,"t")+COUNTIF($E200:AC200,"¶")+COUNTIF($E200:AC200,"²")+COUNTIF($E200:AC200,"µ")+COUNTIF($E200:AC200,1)),
HYPERLINK("#Roadmap!C"&amp; MATCH($E200,Roadmap!$D:$D,0)+COUNTIF($E200:AC200,"u")+COUNTIF($E200:AC200,"t"),
     INDEX(Roadmap!$D:$K,MATCH($E200,Roadmap!$D:$D,0)+COUNTIF($E200:AC200,"u")+COUNTIF($E200:AC200,"t")+COUNTIF($E200:AC200,"¶")+COUNTIF($E200:AC200,"²")+COUNTIF($E200:AC200,"µ")+COUNTIF($E200:AC200,1),ColTypeEcheance)),
  IF(LEN(AC200)=1,
  IF(LEN(INDEX(Roadmap!$D:$K,MATCH($E200,Roadmap!$D:$D,0)-1+COUNTIF($E200:AC200,"u")+COUNTIF($E200:AC200,"t")+COUNTIF($E200:AC200,"¶")+COUNTIF($E200:AC200,"²")+COUNTIF($E200:AC200,"µ")+COUNTIF($E200:AC200,1),ColDescriptionCourte))&gt;1,
HYPERLINK("#Roadmap!C"&amp; MATCH($E200,Roadmap!$D:$D,0)+COUNTIF($E200:AC200,"u")+COUNTIF($E200:AC200,"t")+COUNTIF($E200:AC200,"¶")+COUNTIF($E200:AC200,"²")+COUNTIF($E200:AC200,"µ")+COUNTIF($E200:AC200,1)-1,INDEX(Roadmap!$D:$K,MATCH($E200,Roadmap!$D:$D,0)-1+COUNTIF($E200:AC200,"u")+COUNTIF($E200:AC200,"t")+COUNTIF($E200:AC200,"¶")+COUNTIF($E200:AC200,"²")+COUNTIF($E200:AC200,"µ")+COUNTIF($E200:AC200,1),ColDescriptionCourte)),""),
  "")),"")</f>
        <v/>
      </c>
      <c r="AE200" s="40" t="str">
        <f ca="1">IFERROR(IF(AND(
  INDEX(Roadmap!$D:$K,MATCH($E200,Roadmap!$D:$D,0)+COUNTIF($E200:AD200,"u")+COUNTIF($E200:AD200,"t")+COUNTIF($E200:AD200,"¶")+COUNTIF($E200:AD200,"²")+COUNTIF($E200:AD200,"µ")+COUNTIF($E200:AD200,1),ColLivraison)=AE$6,
  VLOOKUP($E200,INDIRECT("tri!"&amp; CHAR(64+ C0Col) &amp;":"&amp; CHAR(65+C0Col)),2,FALSE)&gt;COUNTIF($E200:AD200,"u")+COUNTIF($E200:AD200,"t")+COUNTIF($E200:AD200,"¶")+COUNTIF($E200:AD200,"²")+COUNTIF($E200:AD200,"µ")+COUNTIF($E200:AD200,1)),
HYPERLINK("#Roadmap!C"&amp; MATCH($E200,Roadmap!$D:$D,0)+COUNTIF($E200:AD200,"u")+COUNTIF($E200:AD200,"t"),
     INDEX(Roadmap!$D:$K,MATCH($E200,Roadmap!$D:$D,0)+COUNTIF($E200:AD200,"u")+COUNTIF($E200:AD200,"t")+COUNTIF($E200:AD200,"¶")+COUNTIF($E200:AD200,"²")+COUNTIF($E200:AD200,"µ")+COUNTIF($E200:AD200,1),ColTypeEcheance)),
  IF(LEN(AD200)=1,
  IF(LEN(INDEX(Roadmap!$D:$K,MATCH($E200,Roadmap!$D:$D,0)-1+COUNTIF($E200:AD200,"u")+COUNTIF($E200:AD200,"t")+COUNTIF($E200:AD200,"¶")+COUNTIF($E200:AD200,"²")+COUNTIF($E200:AD200,"µ")+COUNTIF($E200:AD200,1),ColDescriptionCourte))&gt;1,
HYPERLINK("#Roadmap!C"&amp; MATCH($E200,Roadmap!$D:$D,0)+COUNTIF($E200:AD200,"u")+COUNTIF($E200:AD200,"t")+COUNTIF($E200:AD200,"¶")+COUNTIF($E200:AD200,"²")+COUNTIF($E200:AD200,"µ")+COUNTIF($E200:AD200,1)-1,INDEX(Roadmap!$D:$K,MATCH($E200,Roadmap!$D:$D,0)-1+COUNTIF($E200:AD200,"u")+COUNTIF($E200:AD200,"t")+COUNTIF($E200:AD200,"¶")+COUNTIF($E200:AD200,"²")+COUNTIF($E200:AD200,"µ")+COUNTIF($E200:AD200,1),ColDescriptionCourte)),""),
  "")),"")</f>
        <v/>
      </c>
      <c r="AF200" s="40" t="str">
        <f ca="1">IFERROR(IF(AND(
  INDEX(Roadmap!$D:$K,MATCH($E200,Roadmap!$D:$D,0)+COUNTIF($E200:AE200,"u")+COUNTIF($E200:AE200,"t")+COUNTIF($E200:AE200,"¶")+COUNTIF($E200:AE200,"²")+COUNTIF($E200:AE200,"µ")+COUNTIF($E200:AE200,1),ColLivraison)=AF$6,
  VLOOKUP($E200,INDIRECT("tri!"&amp; CHAR(64+ C0Col) &amp;":"&amp; CHAR(65+C0Col)),2,FALSE)&gt;COUNTIF($E200:AE200,"u")+COUNTIF($E200:AE200,"t")+COUNTIF($E200:AE200,"¶")+COUNTIF($E200:AE200,"²")+COUNTIF($E200:AE200,"µ")+COUNTIF($E200:AE200,1)),
HYPERLINK("#Roadmap!C"&amp; MATCH($E200,Roadmap!$D:$D,0)+COUNTIF($E200:AE200,"u")+COUNTIF($E200:AE200,"t"),
     INDEX(Roadmap!$D:$K,MATCH($E200,Roadmap!$D:$D,0)+COUNTIF($E200:AE200,"u")+COUNTIF($E200:AE200,"t")+COUNTIF($E200:AE200,"¶")+COUNTIF($E200:AE200,"²")+COUNTIF($E200:AE200,"µ")+COUNTIF($E200:AE200,1),ColTypeEcheance)),
  IF(LEN(AE200)=1,
  IF(LEN(INDEX(Roadmap!$D:$K,MATCH($E200,Roadmap!$D:$D,0)-1+COUNTIF($E200:AE200,"u")+COUNTIF($E200:AE200,"t")+COUNTIF($E200:AE200,"¶")+COUNTIF($E200:AE200,"²")+COUNTIF($E200:AE200,"µ")+COUNTIF($E200:AE200,1),ColDescriptionCourte))&gt;1,
HYPERLINK("#Roadmap!C"&amp; MATCH($E200,Roadmap!$D:$D,0)+COUNTIF($E200:AE200,"u")+COUNTIF($E200:AE200,"t")+COUNTIF($E200:AE200,"¶")+COUNTIF($E200:AE200,"²")+COUNTIF($E200:AE200,"µ")+COUNTIF($E200:AE200,1)-1,INDEX(Roadmap!$D:$K,MATCH($E200,Roadmap!$D:$D,0)-1+COUNTIF($E200:AE200,"u")+COUNTIF($E200:AE200,"t")+COUNTIF($E200:AE200,"¶")+COUNTIF($E200:AE200,"²")+COUNTIF($E200:AE200,"µ")+COUNTIF($E200:AE200,1),ColDescriptionCourte)),""),
  "")),"")</f>
        <v/>
      </c>
      <c r="AG200" s="40" t="str">
        <f ca="1">IFERROR(IF(AND(
  INDEX(Roadmap!$D:$K,MATCH($E200,Roadmap!$D:$D,0)+COUNTIF($E200:AF200,"u")+COUNTIF($E200:AF200,"t")+COUNTIF($E200:AF200,"¶")+COUNTIF($E200:AF200,"²")+COUNTIF($E200:AF200,"µ")+COUNTIF($E200:AF200,1),ColLivraison)=AG$6,
  VLOOKUP($E200,INDIRECT("tri!"&amp; CHAR(64+ C0Col) &amp;":"&amp; CHAR(65+C0Col)),2,FALSE)&gt;COUNTIF($E200:AF200,"u")+COUNTIF($E200:AF200,"t")+COUNTIF($E200:AF200,"¶")+COUNTIF($E200:AF200,"²")+COUNTIF($E200:AF200,"µ")+COUNTIF($E200:AF200,1)),
HYPERLINK("#Roadmap!C"&amp; MATCH($E200,Roadmap!$D:$D,0)+COUNTIF($E200:AF200,"u")+COUNTIF($E200:AF200,"t"),
     INDEX(Roadmap!$D:$K,MATCH($E200,Roadmap!$D:$D,0)+COUNTIF($E200:AF200,"u")+COUNTIF($E200:AF200,"t")+COUNTIF($E200:AF200,"¶")+COUNTIF($E200:AF200,"²")+COUNTIF($E200:AF200,"µ")+COUNTIF($E200:AF200,1),ColTypeEcheance)),
  IF(LEN(AF200)=1,
  IF(LEN(INDEX(Roadmap!$D:$K,MATCH($E200,Roadmap!$D:$D,0)-1+COUNTIF($E200:AF200,"u")+COUNTIF($E200:AF200,"t")+COUNTIF($E200:AF200,"¶")+COUNTIF($E200:AF200,"²")+COUNTIF($E200:AF200,"µ")+COUNTIF($E200:AF200,1),ColDescriptionCourte))&gt;1,
HYPERLINK("#Roadmap!C"&amp; MATCH($E200,Roadmap!$D:$D,0)+COUNTIF($E200:AF200,"u")+COUNTIF($E200:AF200,"t")+COUNTIF($E200:AF200,"¶")+COUNTIF($E200:AF200,"²")+COUNTIF($E200:AF200,"µ")+COUNTIF($E200:AF200,1)-1,INDEX(Roadmap!$D:$K,MATCH($E200,Roadmap!$D:$D,0)-1+COUNTIF($E200:AF200,"u")+COUNTIF($E200:AF200,"t")+COUNTIF($E200:AF200,"¶")+COUNTIF($E200:AF200,"²")+COUNTIF($E200:AF200,"µ")+COUNTIF($E200:AF200,1),ColDescriptionCourte)),""),
  "")),"")</f>
        <v/>
      </c>
      <c r="AH200" s="40" t="str">
        <f ca="1">IFERROR(IF(AND(
  INDEX(Roadmap!$D:$K,MATCH($E200,Roadmap!$D:$D,0)+COUNTIF($E200:AG200,"u")+COUNTIF($E200:AG200,"t")+COUNTIF($E200:AG200,1),ColLivraison)=AH$6,
  VLOOKUP($E200,INDIRECT("tri!"&amp; CHAR(64+ C0Col) &amp;":"&amp; CHAR(65+C0Col)),2,FALSE)&gt;COUNTIF($E200:AG200,"u")+COUNTIF($E200:AG200,"t")+COUNTIF($E200:AG200,1)),
HYPERLINK("#Roadmap!C"&amp; MATCH($E200,Roadmap!$D:$D,0)+COUNTIF($E200:AG200,"u")+COUNTIF($E200:AG200,"t"),
     INDEX(Roadmap!$D:$K,MATCH($E200,Roadmap!$D:$D,0)+COUNTIF($E200:AG200,"u")+COUNTIF($E200:AG200,"t")+COUNTIF($E200:AG200,1),ColTypeEcheance)),
  IF(OR(AG200="u",AG200="t",AG200=1),
  IF(LEN(INDEX(Roadmap!$D:$K,MATCH($E200,Roadmap!$D:$D,0)-1+COUNTIF($E200:AG200,"u")+COUNTIF($E200:AG200,"t")+COUNTIF($E200:AG200,1),ColDescriptionCourte))&gt;1,
HYPERLINK("#Roadmap!C"&amp; MATCH($E200,Roadmap!$D:$D,0)+COUNTIF($E200:AG200,"u")+COUNTIF($E200:AG200,"t")+COUNTIF($E200:AG200,1)-1,INDEX(Roadmap!$D:$K,MATCH($E200,Roadmap!$D:$D,0)-1+COUNTIF($E200:AG200,"u")+COUNTIF($E200:AG200,"t")+COUNTIF($E200:AG200,1),ColDescriptionCourte)),""),
  "")),"")</f>
        <v/>
      </c>
      <c r="AI200" s="40"/>
      <c r="AJ200" s="40"/>
      <c r="AK200" s="40"/>
      <c r="AL200" s="40"/>
      <c r="AM200" s="40"/>
    </row>
    <row r="201" spans="4:39" ht="14.1" customHeight="1">
      <c r="D201" s="20" t="str">
        <f t="shared" ca="1" si="33"/>
        <v/>
      </c>
      <c r="E201" s="53" t="str">
        <f t="shared" ca="1" si="34"/>
        <v/>
      </c>
      <c r="F201" s="39" t="str">
        <f ca="1">IFERROR(IF(AND(
  INDEX(Roadmap!$D:$K,MATCH($E201,Roadmap!$D:$D,0)+COUNTIF($E201:E201,"u")+COUNTIF($E201:E201,"t")+COUNTIF($E201:E201,"¶")+COUNTIF($E201:E201,"²")+COUNTIF($E201:E201,"µ")+COUNTIF($E201:E201,1),ColLivraison)=F$6,
  VLOOKUP($E201,INDIRECT("tri!"&amp; CHAR(64+ C0Col) &amp;":"&amp; CHAR(65+C0Col)),2,FALSE)&gt;COUNTIF($E201:E201,"u")+COUNTIF($E201:E201,"t")+COUNTIF($E201:E201,"¶")+COUNTIF($E201:E201,"²")+COUNTIF($E201:E201,"µ")+COUNTIF($E201:E201,1)),
HYPERLINK("#Roadmap!C"&amp; MATCH($E201,Roadmap!$D:$D,0)+COUNTIF($E201:E201,"u")+COUNTIF($E201:E201,"t"),
     INDEX(Roadmap!$D:$K,MATCH($E201,Roadmap!$D:$D,0)+COUNTIF($E201:E201,"u")+COUNTIF($E201:E201,"t")+COUNTIF($E201:E201,"¶")+COUNTIF($E201:E201,"²")+COUNTIF($E201:E201,"µ")+COUNTIF($E201:E201,1),ColTypeEcheance)),
  IF(LEN(E201)=1,
  IF(LEN(INDEX(Roadmap!$D:$K,MATCH($E201,Roadmap!$D:$D,0)-1+COUNTIF($E201:E201,"u")+COUNTIF($E201:E201,"t")+COUNTIF($E201:E201,"¶")+COUNTIF($E201:E201,"²")+COUNTIF($E201:E201,"µ")+COUNTIF($E201:E201,1),ColDescriptionCourte))&gt;1,
HYPERLINK("#Roadmap!C"&amp; MATCH($E201,Roadmap!$D:$D,0)+COUNTIF($E201:E201,"u")+COUNTIF($E201:E201,"t")+COUNTIF($E201:E201,"¶")+COUNTIF($E201:E201,"²")+COUNTIF($E201:E201,"µ")+COUNTIF($E201:E201,1)-1,INDEX(Roadmap!$D:$K,MATCH($E201,Roadmap!$D:$D,0)-1+COUNTIF($E201:E201,"u")+COUNTIF($E201:E201,"t")+COUNTIF($E201:E201,"¶")+COUNTIF($E201:E201,"²")+COUNTIF($E201:E201,"µ")+COUNTIF($E201:E201,1),ColDescriptionCourte)),""),
  "")),"")</f>
        <v/>
      </c>
      <c r="G201" s="40" t="str">
        <f ca="1">IFERROR(IF(AND(
  INDEX(Roadmap!$D:$K,MATCH($E201,Roadmap!$D:$D,0)+COUNTIF($E201:F201,"u")+COUNTIF($E201:F201,"t")+COUNTIF($E201:F201,"¶")+COUNTIF($E201:F201,"²")+COUNTIF($E201:F201,"µ")+COUNTIF($E201:F201,1),ColLivraison)=G$6,
  VLOOKUP($E201,INDIRECT("tri!"&amp; CHAR(64+ C0Col) &amp;":"&amp; CHAR(65+C0Col)),2,FALSE)&gt;COUNTIF($E201:F201,"u")+COUNTIF($E201:F201,"t")+COUNTIF($E201:F201,"¶")+COUNTIF($E201:F201,"²")+COUNTIF($E201:F201,"µ")+COUNTIF($E201:F201,1)),
HYPERLINK("#Roadmap!C"&amp; MATCH($E201,Roadmap!$D:$D,0)+COUNTIF($E201:F201,"u")+COUNTIF($E201:F201,"t"),
     INDEX(Roadmap!$D:$K,MATCH($E201,Roadmap!$D:$D,0)+COUNTIF($E201:F201,"u")+COUNTIF($E201:F201,"t")+COUNTIF($E201:F201,"¶")+COUNTIF($E201:F201,"²")+COUNTIF($E201:F201,"µ")+COUNTIF($E201:F201,1),ColTypeEcheance)),
  IF(LEN(F201)=1,
  IF(LEN(INDEX(Roadmap!$D:$K,MATCH($E201,Roadmap!$D:$D,0)-1+COUNTIF($E201:F201,"u")+COUNTIF($E201:F201,"t")+COUNTIF($E201:F201,"¶")+COUNTIF($E201:F201,"²")+COUNTIF($E201:F201,"µ")+COUNTIF($E201:F201,1),ColDescriptionCourte))&gt;1,
HYPERLINK("#Roadmap!C"&amp; MATCH($E201,Roadmap!$D:$D,0)+COUNTIF($E201:F201,"u")+COUNTIF($E201:F201,"t")+COUNTIF($E201:F201,"¶")+COUNTIF($E201:F201,"²")+COUNTIF($E201:F201,"µ")+COUNTIF($E201:F201,1)-1,INDEX(Roadmap!$D:$K,MATCH($E201,Roadmap!$D:$D,0)-1+COUNTIF($E201:F201,"u")+COUNTIF($E201:F201,"t")+COUNTIF($E201:F201,"¶")+COUNTIF($E201:F201,"²")+COUNTIF($E201:F201,"µ")+COUNTIF($E201:F201,1),ColDescriptionCourte)),""),
  "")),"")</f>
        <v/>
      </c>
      <c r="H201" s="40" t="str">
        <f ca="1">IFERROR(IF(AND(
  INDEX(Roadmap!$D:$K,MATCH($E201,Roadmap!$D:$D,0)+COUNTIF($E201:G201,"u")+COUNTIF($E201:G201,"t")+COUNTIF($E201:G201,"¶")+COUNTIF($E201:G201,"²")+COUNTIF($E201:G201,"µ")+COUNTIF($E201:G201,1),ColLivraison)=H$6,
  VLOOKUP($E201,INDIRECT("tri!"&amp; CHAR(64+ C0Col) &amp;":"&amp; CHAR(65+C0Col)),2,FALSE)&gt;COUNTIF($E201:G201,"u")+COUNTIF($E201:G201,"t")+COUNTIF($E201:G201,"¶")+COUNTIF($E201:G201,"²")+COUNTIF($E201:G201,"µ")+COUNTIF($E201:G201,1)),
HYPERLINK("#Roadmap!C"&amp; MATCH($E201,Roadmap!$D:$D,0)+COUNTIF($E201:G201,"u")+COUNTIF($E201:G201,"t"),
     INDEX(Roadmap!$D:$K,MATCH($E201,Roadmap!$D:$D,0)+COUNTIF($E201:G201,"u")+COUNTIF($E201:G201,"t")+COUNTIF($E201:G201,"¶")+COUNTIF($E201:G201,"²")+COUNTIF($E201:G201,"µ")+COUNTIF($E201:G201,1),ColTypeEcheance)),
  IF(LEN(G201)=1,
  IF(LEN(INDEX(Roadmap!$D:$K,MATCH($E201,Roadmap!$D:$D,0)-1+COUNTIF($E201:G201,"u")+COUNTIF($E201:G201,"t")+COUNTIF($E201:G201,"¶")+COUNTIF($E201:G201,"²")+COUNTIF($E201:G201,"µ")+COUNTIF($E201:G201,1),ColDescriptionCourte))&gt;1,
HYPERLINK("#Roadmap!C"&amp; MATCH($E201,Roadmap!$D:$D,0)+COUNTIF($E201:G201,"u")+COUNTIF($E201:G201,"t")+COUNTIF($E201:G201,"¶")+COUNTIF($E201:G201,"²")+COUNTIF($E201:G201,"µ")+COUNTIF($E201:G201,1)-1,INDEX(Roadmap!$D:$K,MATCH($E201,Roadmap!$D:$D,0)-1+COUNTIF($E201:G201,"u")+COUNTIF($E201:G201,"t")+COUNTIF($E201:G201,"¶")+COUNTIF($E201:G201,"²")+COUNTIF($E201:G201,"µ")+COUNTIF($E201:G201,1),ColDescriptionCourte)),""),
  "")),"")</f>
        <v/>
      </c>
      <c r="I201" s="40" t="str">
        <f ca="1">IFERROR(IF(AND(
  INDEX(Roadmap!$D:$K,MATCH($E201,Roadmap!$D:$D,0)+COUNTIF($E201:H201,"u")+COUNTIF($E201:H201,"t")+COUNTIF($E201:H201,"¶")+COUNTIF($E201:H201,"²")+COUNTIF($E201:H201,"µ")+COUNTIF($E201:H201,1),ColLivraison)=I$6,
  VLOOKUP($E201,INDIRECT("tri!"&amp; CHAR(64+ C0Col) &amp;":"&amp; CHAR(65+C0Col)),2,FALSE)&gt;COUNTIF($E201:H201,"u")+COUNTIF($E201:H201,"t")+COUNTIF($E201:H201,"¶")+COUNTIF($E201:H201,"²")+COUNTIF($E201:H201,"µ")+COUNTIF($E201:H201,1)),
HYPERLINK("#Roadmap!C"&amp; MATCH($E201,Roadmap!$D:$D,0)+COUNTIF($E201:H201,"u")+COUNTIF($E201:H201,"t"),
     INDEX(Roadmap!$D:$K,MATCH($E201,Roadmap!$D:$D,0)+COUNTIF($E201:H201,"u")+COUNTIF($E201:H201,"t")+COUNTIF($E201:H201,"¶")+COUNTIF($E201:H201,"²")+COUNTIF($E201:H201,"µ")+COUNTIF($E201:H201,1),ColTypeEcheance)),
  IF(LEN(H201)=1,
  IF(LEN(INDEX(Roadmap!$D:$K,MATCH($E201,Roadmap!$D:$D,0)-1+COUNTIF($E201:H201,"u")+COUNTIF($E201:H201,"t")+COUNTIF($E201:H201,"¶")+COUNTIF($E201:H201,"²")+COUNTIF($E201:H201,"µ")+COUNTIF($E201:H201,1),ColDescriptionCourte))&gt;1,
HYPERLINK("#Roadmap!C"&amp; MATCH($E201,Roadmap!$D:$D,0)+COUNTIF($E201:H201,"u")+COUNTIF($E201:H201,"t")+COUNTIF($E201:H201,"¶")+COUNTIF($E201:H201,"²")+COUNTIF($E201:H201,"µ")+COUNTIF($E201:H201,1)-1,INDEX(Roadmap!$D:$K,MATCH($E201,Roadmap!$D:$D,0)-1+COUNTIF($E201:H201,"u")+COUNTIF($E201:H201,"t")+COUNTIF($E201:H201,"¶")+COUNTIF($E201:H201,"²")+COUNTIF($E201:H201,"µ")+COUNTIF($E201:H201,1),ColDescriptionCourte)),""),
  "")),"")</f>
        <v/>
      </c>
      <c r="J201" s="40" t="str">
        <f ca="1">IFERROR(IF(AND(
  INDEX(Roadmap!$D:$K,MATCH($E201,Roadmap!$D:$D,0)+COUNTIF($E201:I201,"u")+COUNTIF($E201:I201,"t")+COUNTIF($E201:I201,"¶")+COUNTIF($E201:I201,"²")+COUNTIF($E201:I201,"µ")+COUNTIF($E201:I201,1),ColLivraison)=J$6,
  VLOOKUP($E201,INDIRECT("tri!"&amp; CHAR(64+ C0Col) &amp;":"&amp; CHAR(65+C0Col)),2,FALSE)&gt;COUNTIF($E201:I201,"u")+COUNTIF($E201:I201,"t")+COUNTIF($E201:I201,"¶")+COUNTIF($E201:I201,"²")+COUNTIF($E201:I201,"µ")+COUNTIF($E201:I201,1)),
HYPERLINK("#Roadmap!C"&amp; MATCH($E201,Roadmap!$D:$D,0)+COUNTIF($E201:I201,"u")+COUNTIF($E201:I201,"t"),
     INDEX(Roadmap!$D:$K,MATCH($E201,Roadmap!$D:$D,0)+COUNTIF($E201:I201,"u")+COUNTIF($E201:I201,"t")+COUNTIF($E201:I201,"¶")+COUNTIF($E201:I201,"²")+COUNTIF($E201:I201,"µ")+COUNTIF($E201:I201,1),ColTypeEcheance)),
  IF(LEN(I201)=1,
  IF(LEN(INDEX(Roadmap!$D:$K,MATCH($E201,Roadmap!$D:$D,0)-1+COUNTIF($E201:I201,"u")+COUNTIF($E201:I201,"t")+COUNTIF($E201:I201,"¶")+COUNTIF($E201:I201,"²")+COUNTIF($E201:I201,"µ")+COUNTIF($E201:I201,1),ColDescriptionCourte))&gt;1,
HYPERLINK("#Roadmap!C"&amp; MATCH($E201,Roadmap!$D:$D,0)+COUNTIF($E201:I201,"u")+COUNTIF($E201:I201,"t")+COUNTIF($E201:I201,"¶")+COUNTIF($E201:I201,"²")+COUNTIF($E201:I201,"µ")+COUNTIF($E201:I201,1)-1,INDEX(Roadmap!$D:$K,MATCH($E201,Roadmap!$D:$D,0)-1+COUNTIF($E201:I201,"u")+COUNTIF($E201:I201,"t")+COUNTIF($E201:I201,"¶")+COUNTIF($E201:I201,"²")+COUNTIF($E201:I201,"µ")+COUNTIF($E201:I201,1),ColDescriptionCourte)),""),
  "")),"")</f>
        <v/>
      </c>
      <c r="K201" s="40" t="str">
        <f ca="1">IFERROR(IF(AND(
  INDEX(Roadmap!$D:$K,MATCH($E201,Roadmap!$D:$D,0)+COUNTIF($E201:J201,"u")+COUNTIF($E201:J201,"t")+COUNTIF($E201:J201,"¶")+COUNTIF($E201:J201,"²")+COUNTIF($E201:J201,"µ")+COUNTIF($E201:J201,1),ColLivraison)=K$6,
  VLOOKUP($E201,INDIRECT("tri!"&amp; CHAR(64+ C0Col) &amp;":"&amp; CHAR(65+C0Col)),2,FALSE)&gt;COUNTIF($E201:J201,"u")+COUNTIF($E201:J201,"t")+COUNTIF($E201:J201,"¶")+COUNTIF($E201:J201,"²")+COUNTIF($E201:J201,"µ")+COUNTIF($E201:J201,1)),
HYPERLINK("#Roadmap!C"&amp; MATCH($E201,Roadmap!$D:$D,0)+COUNTIF($E201:J201,"u")+COUNTIF($E201:J201,"t"),
     INDEX(Roadmap!$D:$K,MATCH($E201,Roadmap!$D:$D,0)+COUNTIF($E201:J201,"u")+COUNTIF($E201:J201,"t")+COUNTIF($E201:J201,"¶")+COUNTIF($E201:J201,"²")+COUNTIF($E201:J201,"µ")+COUNTIF($E201:J201,1),ColTypeEcheance)),
  IF(LEN(J201)=1,
  IF(LEN(INDEX(Roadmap!$D:$K,MATCH($E201,Roadmap!$D:$D,0)-1+COUNTIF($E201:J201,"u")+COUNTIF($E201:J201,"t")+COUNTIF($E201:J201,"¶")+COUNTIF($E201:J201,"²")+COUNTIF($E201:J201,"µ")+COUNTIF($E201:J201,1),ColDescriptionCourte))&gt;1,
HYPERLINK("#Roadmap!C"&amp; MATCH($E201,Roadmap!$D:$D,0)+COUNTIF($E201:J201,"u")+COUNTIF($E201:J201,"t")+COUNTIF($E201:J201,"¶")+COUNTIF($E201:J201,"²")+COUNTIF($E201:J201,"µ")+COUNTIF($E201:J201,1)-1,INDEX(Roadmap!$D:$K,MATCH($E201,Roadmap!$D:$D,0)-1+COUNTIF($E201:J201,"u")+COUNTIF($E201:J201,"t")+COUNTIF($E201:J201,"¶")+COUNTIF($E201:J201,"²")+COUNTIF($E201:J201,"µ")+COUNTIF($E201:J201,1),ColDescriptionCourte)),""),
  "")),"")</f>
        <v/>
      </c>
      <c r="L201" s="39" t="str">
        <f ca="1">IFERROR(IF(AND(
  INDEX(Roadmap!$D:$K,MATCH($E201,Roadmap!$D:$D,0)+COUNTIF($E201:K201,"u")+COUNTIF($E201:K201,"t")+COUNTIF($E201:K201,"¶")+COUNTIF($E201:K201,"²")+COUNTIF($E201:K201,"µ")+COUNTIF($E201:K201,1),ColLivraison)=L$6,
  VLOOKUP($E201,INDIRECT("tri!"&amp; CHAR(64+ C0Col) &amp;":"&amp; CHAR(65+C0Col)),2,FALSE)&gt;COUNTIF($E201:K201,"u")+COUNTIF($E201:K201,"t")+COUNTIF($E201:K201,"¶")+COUNTIF($E201:K201,"²")+COUNTIF($E201:K201,"µ")+COUNTIF($E201:K201,1)),
HYPERLINK("#Roadmap!C"&amp; MATCH($E201,Roadmap!$D:$D,0)+COUNTIF($E201:K201,"u")+COUNTIF($E201:K201,"t"),
     INDEX(Roadmap!$D:$K,MATCH($E201,Roadmap!$D:$D,0)+COUNTIF($E201:K201,"u")+COUNTIF($E201:K201,"t")+COUNTIF($E201:K201,"¶")+COUNTIF($E201:K201,"²")+COUNTIF($E201:K201,"µ")+COUNTIF($E201:K201,1),ColTypeEcheance)),
  IF(LEN(K201)=1,
  IF(LEN(INDEX(Roadmap!$D:$K,MATCH($E201,Roadmap!$D:$D,0)-1+COUNTIF($E201:K201,"u")+COUNTIF($E201:K201,"t")+COUNTIF($E201:K201,"¶")+COUNTIF($E201:K201,"²")+COUNTIF($E201:K201,"µ")+COUNTIF($E201:K201,1),ColDescriptionCourte))&gt;1,
HYPERLINK("#Roadmap!C"&amp; MATCH($E201,Roadmap!$D:$D,0)+COUNTIF($E201:K201,"u")+COUNTIF($E201:K201,"t")+COUNTIF($E201:K201,"¶")+COUNTIF($E201:K201,"²")+COUNTIF($E201:K201,"µ")+COUNTIF($E201:K201,1)-1,INDEX(Roadmap!$D:$K,MATCH($E201,Roadmap!$D:$D,0)-1+COUNTIF($E201:K201,"u")+COUNTIF($E201:K201,"t")+COUNTIF($E201:K201,"¶")+COUNTIF($E201:K201,"²")+COUNTIF($E201:K201,"µ")+COUNTIF($E201:K201,1),ColDescriptionCourte)),""),
  "")),"")</f>
        <v/>
      </c>
      <c r="M201" s="40" t="str">
        <f ca="1">IFERROR(IF(AND(
  INDEX(Roadmap!$D:$K,MATCH($E201,Roadmap!$D:$D,0)+COUNTIF($E201:L201,"u")+COUNTIF($E201:L201,"t")+COUNTIF($E201:L201,"¶")+COUNTIF($E201:L201,"²")+COUNTIF($E201:L201,"µ")+COUNTIF($E201:L201,1),ColLivraison)=M$6,
  VLOOKUP($E201,INDIRECT("tri!"&amp; CHAR(64+ C0Col) &amp;":"&amp; CHAR(65+C0Col)),2,FALSE)&gt;COUNTIF($E201:L201,"u")+COUNTIF($E201:L201,"t")+COUNTIF($E201:L201,"¶")+COUNTIF($E201:L201,"²")+COUNTIF($E201:L201,"µ")+COUNTIF($E201:L201,1)),
HYPERLINK("#Roadmap!C"&amp; MATCH($E201,Roadmap!$D:$D,0)+COUNTIF($E201:L201,"u")+COUNTIF($E201:L201,"t"),
     INDEX(Roadmap!$D:$K,MATCH($E201,Roadmap!$D:$D,0)+COUNTIF($E201:L201,"u")+COUNTIF($E201:L201,"t")+COUNTIF($E201:L201,"¶")+COUNTIF($E201:L201,"²")+COUNTIF($E201:L201,"µ")+COUNTIF($E201:L201,1),ColTypeEcheance)),
  IF(LEN(L201)=1,
  IF(LEN(INDEX(Roadmap!$D:$K,MATCH($E201,Roadmap!$D:$D,0)-1+COUNTIF($E201:L201,"u")+COUNTIF($E201:L201,"t")+COUNTIF($E201:L201,"¶")+COUNTIF($E201:L201,"²")+COUNTIF($E201:L201,"µ")+COUNTIF($E201:L201,1),ColDescriptionCourte))&gt;1,
HYPERLINK("#Roadmap!C"&amp; MATCH($E201,Roadmap!$D:$D,0)+COUNTIF($E201:L201,"u")+COUNTIF($E201:L201,"t")+COUNTIF($E201:L201,"¶")+COUNTIF($E201:L201,"²")+COUNTIF($E201:L201,"µ")+COUNTIF($E201:L201,1)-1,INDEX(Roadmap!$D:$K,MATCH($E201,Roadmap!$D:$D,0)-1+COUNTIF($E201:L201,"u")+COUNTIF($E201:L201,"t")+COUNTIF($E201:L201,"¶")+COUNTIF($E201:L201,"²")+COUNTIF($E201:L201,"µ")+COUNTIF($E201:L201,1),ColDescriptionCourte)),""),
  "")),"")</f>
        <v/>
      </c>
      <c r="N201" s="40" t="str">
        <f ca="1">IFERROR(IF(AND(
  INDEX(Roadmap!$D:$K,MATCH($E201,Roadmap!$D:$D,0)+COUNTIF($E201:M201,"u")+COUNTIF($E201:M201,"t")+COUNTIF($E201:M201,"¶")+COUNTIF($E201:M201,"²")+COUNTIF($E201:M201,"µ")+COUNTIF($E201:M201,1),ColLivraison)=N$6,
  VLOOKUP($E201,INDIRECT("tri!"&amp; CHAR(64+ C0Col) &amp;":"&amp; CHAR(65+C0Col)),2,FALSE)&gt;COUNTIF($E201:M201,"u")+COUNTIF($E201:M201,"t")+COUNTIF($E201:M201,"¶")+COUNTIF($E201:M201,"²")+COUNTIF($E201:M201,"µ")+COUNTIF($E201:M201,1)),
HYPERLINK("#Roadmap!C"&amp; MATCH($E201,Roadmap!$D:$D,0)+COUNTIF($E201:M201,"u")+COUNTIF($E201:M201,"t"),
     INDEX(Roadmap!$D:$K,MATCH($E201,Roadmap!$D:$D,0)+COUNTIF($E201:M201,"u")+COUNTIF($E201:M201,"t")+COUNTIF($E201:M201,"¶")+COUNTIF($E201:M201,"²")+COUNTIF($E201:M201,"µ")+COUNTIF($E201:M201,1),ColTypeEcheance)),
  IF(LEN(M201)=1,
  IF(LEN(INDEX(Roadmap!$D:$K,MATCH($E201,Roadmap!$D:$D,0)-1+COUNTIF($E201:M201,"u")+COUNTIF($E201:M201,"t")+COUNTIF($E201:M201,"¶")+COUNTIF($E201:M201,"²")+COUNTIF($E201:M201,"µ")+COUNTIF($E201:M201,1),ColDescriptionCourte))&gt;1,
HYPERLINK("#Roadmap!C"&amp; MATCH($E201,Roadmap!$D:$D,0)+COUNTIF($E201:M201,"u")+COUNTIF($E201:M201,"t")+COUNTIF($E201:M201,"¶")+COUNTIF($E201:M201,"²")+COUNTIF($E201:M201,"µ")+COUNTIF($E201:M201,1)-1,INDEX(Roadmap!$D:$K,MATCH($E201,Roadmap!$D:$D,0)-1+COUNTIF($E201:M201,"u")+COUNTIF($E201:M201,"t")+COUNTIF($E201:M201,"¶")+COUNTIF($E201:M201,"²")+COUNTIF($E201:M201,"µ")+COUNTIF($E201:M201,1),ColDescriptionCourte)),""),
  "")),"")</f>
        <v/>
      </c>
      <c r="O201" s="40" t="str">
        <f ca="1">IFERROR(IF(AND(
  INDEX(Roadmap!$D:$K,MATCH($E201,Roadmap!$D:$D,0)+COUNTIF($E201:N201,"u")+COUNTIF($E201:N201,"t")+COUNTIF($E201:N201,"¶")+COUNTIF($E201:N201,"²")+COUNTIF($E201:N201,"µ")+COUNTIF($E201:N201,1),ColLivraison)=O$6,
  VLOOKUP($E201,INDIRECT("tri!"&amp; CHAR(64+ C0Col) &amp;":"&amp; CHAR(65+C0Col)),2,FALSE)&gt;COUNTIF($E201:N201,"u")+COUNTIF($E201:N201,"t")+COUNTIF($E201:N201,"¶")+COUNTIF($E201:N201,"²")+COUNTIF($E201:N201,"µ")+COUNTIF($E201:N201,1)),
HYPERLINK("#Roadmap!C"&amp; MATCH($E201,Roadmap!$D:$D,0)+COUNTIF($E201:N201,"u")+COUNTIF($E201:N201,"t"),
     INDEX(Roadmap!$D:$K,MATCH($E201,Roadmap!$D:$D,0)+COUNTIF($E201:N201,"u")+COUNTIF($E201:N201,"t")+COUNTIF($E201:N201,"¶")+COUNTIF($E201:N201,"²")+COUNTIF($E201:N201,"µ")+COUNTIF($E201:N201,1),ColTypeEcheance)),
  IF(LEN(N201)=1,
  IF(LEN(INDEX(Roadmap!$D:$K,MATCH($E201,Roadmap!$D:$D,0)-1+COUNTIF($E201:N201,"u")+COUNTIF($E201:N201,"t")+COUNTIF($E201:N201,"¶")+COUNTIF($E201:N201,"²")+COUNTIF($E201:N201,"µ")+COUNTIF($E201:N201,1),ColDescriptionCourte))&gt;1,
HYPERLINK("#Roadmap!C"&amp; MATCH($E201,Roadmap!$D:$D,0)+COUNTIF($E201:N201,"u")+COUNTIF($E201:N201,"t")+COUNTIF($E201:N201,"¶")+COUNTIF($E201:N201,"²")+COUNTIF($E201:N201,"µ")+COUNTIF($E201:N201,1)-1,INDEX(Roadmap!$D:$K,MATCH($E201,Roadmap!$D:$D,0)-1+COUNTIF($E201:N201,"u")+COUNTIF($E201:N201,"t")+COUNTIF($E201:N201,"¶")+COUNTIF($E201:N201,"²")+COUNTIF($E201:N201,"µ")+COUNTIF($E201:N201,1),ColDescriptionCourte)),""),
  "")),"")</f>
        <v/>
      </c>
      <c r="P201" s="40" t="str">
        <f ca="1">IFERROR(IF(AND(
  INDEX(Roadmap!$D:$K,MATCH($E201,Roadmap!$D:$D,0)+COUNTIF($E201:O201,"u")+COUNTIF($E201:O201,"t")+COUNTIF($E201:O201,"¶")+COUNTIF($E201:O201,"²")+COUNTIF($E201:O201,"µ")+COUNTIF($E201:O201,1),ColLivraison)=P$6,
  VLOOKUP($E201,INDIRECT("tri!"&amp; CHAR(64+ C0Col) &amp;":"&amp; CHAR(65+C0Col)),2,FALSE)&gt;COUNTIF($E201:O201,"u")+COUNTIF($E201:O201,"t")+COUNTIF($E201:O201,"¶")+COUNTIF($E201:O201,"²")+COUNTIF($E201:O201,"µ")+COUNTIF($E201:O201,1)),
HYPERLINK("#Roadmap!C"&amp; MATCH($E201,Roadmap!$D:$D,0)+COUNTIF($E201:O201,"u")+COUNTIF($E201:O201,"t"),
     INDEX(Roadmap!$D:$K,MATCH($E201,Roadmap!$D:$D,0)+COUNTIF($E201:O201,"u")+COUNTIF($E201:O201,"t")+COUNTIF($E201:O201,"¶")+COUNTIF($E201:O201,"²")+COUNTIF($E201:O201,"µ")+COUNTIF($E201:O201,1),ColTypeEcheance)),
  IF(LEN(O201)=1,
  IF(LEN(INDEX(Roadmap!$D:$K,MATCH($E201,Roadmap!$D:$D,0)-1+COUNTIF($E201:O201,"u")+COUNTIF($E201:O201,"t")+COUNTIF($E201:O201,"¶")+COUNTIF($E201:O201,"²")+COUNTIF($E201:O201,"µ")+COUNTIF($E201:O201,1),ColDescriptionCourte))&gt;1,
HYPERLINK("#Roadmap!C"&amp; MATCH($E201,Roadmap!$D:$D,0)+COUNTIF($E201:O201,"u")+COUNTIF($E201:O201,"t")+COUNTIF($E201:O201,"¶")+COUNTIF($E201:O201,"²")+COUNTIF($E201:O201,"µ")+COUNTIF($E201:O201,1)-1,INDEX(Roadmap!$D:$K,MATCH($E201,Roadmap!$D:$D,0)-1+COUNTIF($E201:O201,"u")+COUNTIF($E201:O201,"t")+COUNTIF($E201:O201,"¶")+COUNTIF($E201:O201,"²")+COUNTIF($E201:O201,"µ")+COUNTIF($E201:O201,1),ColDescriptionCourte)),""),
  "")),"")</f>
        <v/>
      </c>
      <c r="Q201" s="40" t="str">
        <f ca="1">IFERROR(IF(AND(
  INDEX(Roadmap!$D:$K,MATCH($E201,Roadmap!$D:$D,0)+COUNTIF($E201:P201,"u")+COUNTIF($E201:P201,"t")+COUNTIF($E201:P201,"¶")+COUNTIF($E201:P201,"²")+COUNTIF($E201:P201,"µ")+COUNTIF($E201:P201,1),ColLivraison)=Q$6,
  VLOOKUP($E201,INDIRECT("tri!"&amp; CHAR(64+ C0Col) &amp;":"&amp; CHAR(65+C0Col)),2,FALSE)&gt;COUNTIF($E201:P201,"u")+COUNTIF($E201:P201,"t")+COUNTIF($E201:P201,"¶")+COUNTIF($E201:P201,"²")+COUNTIF($E201:P201,"µ")+COUNTIF($E201:P201,1)),
HYPERLINK("#Roadmap!C"&amp; MATCH($E201,Roadmap!$D:$D,0)+COUNTIF($E201:P201,"u")+COUNTIF($E201:P201,"t"),
     INDEX(Roadmap!$D:$K,MATCH($E201,Roadmap!$D:$D,0)+COUNTIF($E201:P201,"u")+COUNTIF($E201:P201,"t")+COUNTIF($E201:P201,"¶")+COUNTIF($E201:P201,"²")+COUNTIF($E201:P201,"µ")+COUNTIF($E201:P201,1),ColTypeEcheance)),
  IF(LEN(P201)=1,
  IF(LEN(INDEX(Roadmap!$D:$K,MATCH($E201,Roadmap!$D:$D,0)-1+COUNTIF($E201:P201,"u")+COUNTIF($E201:P201,"t")+COUNTIF($E201:P201,"¶")+COUNTIF($E201:P201,"²")+COUNTIF($E201:P201,"µ")+COUNTIF($E201:P201,1),ColDescriptionCourte))&gt;1,
HYPERLINK("#Roadmap!C"&amp; MATCH($E201,Roadmap!$D:$D,0)+COUNTIF($E201:P201,"u")+COUNTIF($E201:P201,"t")+COUNTIF($E201:P201,"¶")+COUNTIF($E201:P201,"²")+COUNTIF($E201:P201,"µ")+COUNTIF($E201:P201,1)-1,INDEX(Roadmap!$D:$K,MATCH($E201,Roadmap!$D:$D,0)-1+COUNTIF($E201:P201,"u")+COUNTIF($E201:P201,"t")+COUNTIF($E201:P201,"¶")+COUNTIF($E201:P201,"²")+COUNTIF($E201:P201,"µ")+COUNTIF($E201:P201,1),ColDescriptionCourte)),""),
  "")),"")</f>
        <v/>
      </c>
      <c r="R201" s="40" t="str">
        <f ca="1">IFERROR(IF(AND(
  INDEX(Roadmap!$D:$K,MATCH($E201,Roadmap!$D:$D,0)+COUNTIF($E201:Q201,"u")+COUNTIF($E201:Q201,"t")+COUNTIF($E201:Q201,"¶")+COUNTIF($E201:Q201,"²")+COUNTIF($E201:Q201,"µ")+COUNTIF($E201:Q201,1),ColLivraison)=R$6,
  VLOOKUP($E201,INDIRECT("tri!"&amp; CHAR(64+ C0Col) &amp;":"&amp; CHAR(65+C0Col)),2,FALSE)&gt;COUNTIF($E201:Q201,"u")+COUNTIF($E201:Q201,"t")+COUNTIF($E201:Q201,"¶")+COUNTIF($E201:Q201,"²")+COUNTIF($E201:Q201,"µ")+COUNTIF($E201:Q201,1)),
HYPERLINK("#Roadmap!C"&amp; MATCH($E201,Roadmap!$D:$D,0)+COUNTIF($E201:Q201,"u")+COUNTIF($E201:Q201,"t"),
     INDEX(Roadmap!$D:$K,MATCH($E201,Roadmap!$D:$D,0)+COUNTIF($E201:Q201,"u")+COUNTIF($E201:Q201,"t")+COUNTIF($E201:Q201,"¶")+COUNTIF($E201:Q201,"²")+COUNTIF($E201:Q201,"µ")+COUNTIF($E201:Q201,1),ColTypeEcheance)),
  IF(LEN(Q201)=1,
  IF(LEN(INDEX(Roadmap!$D:$K,MATCH($E201,Roadmap!$D:$D,0)-1+COUNTIF($E201:Q201,"u")+COUNTIF($E201:Q201,"t")+COUNTIF($E201:Q201,"¶")+COUNTIF($E201:Q201,"²")+COUNTIF($E201:Q201,"µ")+COUNTIF($E201:Q201,1),ColDescriptionCourte))&gt;1,
HYPERLINK("#Roadmap!C"&amp; MATCH($E201,Roadmap!$D:$D,0)+COUNTIF($E201:Q201,"u")+COUNTIF($E201:Q201,"t")+COUNTIF($E201:Q201,"¶")+COUNTIF($E201:Q201,"²")+COUNTIF($E201:Q201,"µ")+COUNTIF($E201:Q201,1)-1,INDEX(Roadmap!$D:$K,MATCH($E201,Roadmap!$D:$D,0)-1+COUNTIF($E201:Q201,"u")+COUNTIF($E201:Q201,"t")+COUNTIF($E201:Q201,"¶")+COUNTIF($E201:Q201,"²")+COUNTIF($E201:Q201,"µ")+COUNTIF($E201:Q201,1),ColDescriptionCourte)),""),
  "")),"")</f>
        <v/>
      </c>
      <c r="S201" s="40" t="str">
        <f ca="1">IFERROR(IF(AND(
  INDEX(Roadmap!$D:$K,MATCH($E201,Roadmap!$D:$D,0)+COUNTIF($E201:R201,"u")+COUNTIF($E201:R201,"t")+COUNTIF($E201:R201,"¶")+COUNTIF($E201:R201,"²")+COUNTIF($E201:R201,"µ")+COUNTIF($E201:R201,1),ColLivraison)=S$6,
  VLOOKUP($E201,INDIRECT("tri!"&amp; CHAR(64+ C0Col) &amp;":"&amp; CHAR(65+C0Col)),2,FALSE)&gt;COUNTIF($E201:R201,"u")+COUNTIF($E201:R201,"t")+COUNTIF($E201:R201,"¶")+COUNTIF($E201:R201,"²")+COUNTIF($E201:R201,"µ")+COUNTIF($E201:R201,1)),
HYPERLINK("#Roadmap!C"&amp; MATCH($E201,Roadmap!$D:$D,0)+COUNTIF($E201:R201,"u")+COUNTIF($E201:R201,"t"),
     INDEX(Roadmap!$D:$K,MATCH($E201,Roadmap!$D:$D,0)+COUNTIF($E201:R201,"u")+COUNTIF($E201:R201,"t")+COUNTIF($E201:R201,"¶")+COUNTIF($E201:R201,"²")+COUNTIF($E201:R201,"µ")+COUNTIF($E201:R201,1),ColTypeEcheance)),
  IF(LEN(R201)=1,
  IF(LEN(INDEX(Roadmap!$D:$K,MATCH($E201,Roadmap!$D:$D,0)-1+COUNTIF($E201:R201,"u")+COUNTIF($E201:R201,"t")+COUNTIF($E201:R201,"¶")+COUNTIF($E201:R201,"²")+COUNTIF($E201:R201,"µ")+COUNTIF($E201:R201,1),ColDescriptionCourte))&gt;1,
HYPERLINK("#Roadmap!C"&amp; MATCH($E201,Roadmap!$D:$D,0)+COUNTIF($E201:R201,"u")+COUNTIF($E201:R201,"t")+COUNTIF($E201:R201,"¶")+COUNTIF($E201:R201,"²")+COUNTIF($E201:R201,"µ")+COUNTIF($E201:R201,1)-1,INDEX(Roadmap!$D:$K,MATCH($E201,Roadmap!$D:$D,0)-1+COUNTIF($E201:R201,"u")+COUNTIF($E201:R201,"t")+COUNTIF($E201:R201,"¶")+COUNTIF($E201:R201,"²")+COUNTIF($E201:R201,"µ")+COUNTIF($E201:R201,1),ColDescriptionCourte)),""),
  "")),"")</f>
        <v/>
      </c>
      <c r="T201" s="40" t="str">
        <f ca="1">IFERROR(IF(AND(
  INDEX(Roadmap!$D:$K,MATCH($E201,Roadmap!$D:$D,0)+COUNTIF($E201:S201,"u")+COUNTIF($E201:S201,"t")+COUNTIF($E201:S201,"¶")+COUNTIF($E201:S201,"²")+COUNTIF($E201:S201,"µ")+COUNTIF($E201:S201,1),ColLivraison)=T$6,
  VLOOKUP($E201,INDIRECT("tri!"&amp; CHAR(64+ C0Col) &amp;":"&amp; CHAR(65+C0Col)),2,FALSE)&gt;COUNTIF($E201:S201,"u")+COUNTIF($E201:S201,"t")+COUNTIF($E201:S201,"¶")+COUNTIF($E201:S201,"²")+COUNTIF($E201:S201,"µ")+COUNTIF($E201:S201,1)),
HYPERLINK("#Roadmap!C"&amp; MATCH($E201,Roadmap!$D:$D,0)+COUNTIF($E201:S201,"u")+COUNTIF($E201:S201,"t"),
     INDEX(Roadmap!$D:$K,MATCH($E201,Roadmap!$D:$D,0)+COUNTIF($E201:S201,"u")+COUNTIF($E201:S201,"t")+COUNTIF($E201:S201,"¶")+COUNTIF($E201:S201,"²")+COUNTIF($E201:S201,"µ")+COUNTIF($E201:S201,1),ColTypeEcheance)),
  IF(LEN(S201)=1,
  IF(LEN(INDEX(Roadmap!$D:$K,MATCH($E201,Roadmap!$D:$D,0)-1+COUNTIF($E201:S201,"u")+COUNTIF($E201:S201,"t")+COUNTIF($E201:S201,"¶")+COUNTIF($E201:S201,"²")+COUNTIF($E201:S201,"µ")+COUNTIF($E201:S201,1),ColDescriptionCourte))&gt;1,
HYPERLINK("#Roadmap!C"&amp; MATCH($E201,Roadmap!$D:$D,0)+COUNTIF($E201:S201,"u")+COUNTIF($E201:S201,"t")+COUNTIF($E201:S201,"¶")+COUNTIF($E201:S201,"²")+COUNTIF($E201:S201,"µ")+COUNTIF($E201:S201,1)-1,INDEX(Roadmap!$D:$K,MATCH($E201,Roadmap!$D:$D,0)-1+COUNTIF($E201:S201,"u")+COUNTIF($E201:S201,"t")+COUNTIF($E201:S201,"¶")+COUNTIF($E201:S201,"²")+COUNTIF($E201:S201,"µ")+COUNTIF($E201:S201,1),ColDescriptionCourte)),""),
  "")),"")</f>
        <v/>
      </c>
      <c r="U201" s="40" t="str">
        <f ca="1">IFERROR(IF(AND(
  INDEX(Roadmap!$D:$K,MATCH($E201,Roadmap!$D:$D,0)+COUNTIF($E201:T201,"u")+COUNTIF($E201:T201,"t")+COUNTIF($E201:T201,"¶")+COUNTIF($E201:T201,"²")+COUNTIF($E201:T201,"µ")+COUNTIF($E201:T201,1),ColLivraison)=U$6,
  VLOOKUP($E201,INDIRECT("tri!"&amp; CHAR(64+ C0Col) &amp;":"&amp; CHAR(65+C0Col)),2,FALSE)&gt;COUNTIF($E201:T201,"u")+COUNTIF($E201:T201,"t")+COUNTIF($E201:T201,"¶")+COUNTIF($E201:T201,"²")+COUNTIF($E201:T201,"µ")+COUNTIF($E201:T201,1)),
HYPERLINK("#Roadmap!C"&amp; MATCH($E201,Roadmap!$D:$D,0)+COUNTIF($E201:T201,"u")+COUNTIF($E201:T201,"t"),
     INDEX(Roadmap!$D:$K,MATCH($E201,Roadmap!$D:$D,0)+COUNTIF($E201:T201,"u")+COUNTIF($E201:T201,"t")+COUNTIF($E201:T201,"¶")+COUNTIF($E201:T201,"²")+COUNTIF($E201:T201,"µ")+COUNTIF($E201:T201,1),ColTypeEcheance)),
  IF(LEN(T201)=1,
  IF(LEN(INDEX(Roadmap!$D:$K,MATCH($E201,Roadmap!$D:$D,0)-1+COUNTIF($E201:T201,"u")+COUNTIF($E201:T201,"t")+COUNTIF($E201:T201,"¶")+COUNTIF($E201:T201,"²")+COUNTIF($E201:T201,"µ")+COUNTIF($E201:T201,1),ColDescriptionCourte))&gt;1,
HYPERLINK("#Roadmap!C"&amp; MATCH($E201,Roadmap!$D:$D,0)+COUNTIF($E201:T201,"u")+COUNTIF($E201:T201,"t")+COUNTIF($E201:T201,"¶")+COUNTIF($E201:T201,"²")+COUNTIF($E201:T201,"µ")+COUNTIF($E201:T201,1)-1,INDEX(Roadmap!$D:$K,MATCH($E201,Roadmap!$D:$D,0)-1+COUNTIF($E201:T201,"u")+COUNTIF($E201:T201,"t")+COUNTIF($E201:T201,"¶")+COUNTIF($E201:T201,"²")+COUNTIF($E201:T201,"µ")+COUNTIF($E201:T201,1),ColDescriptionCourte)),""),
  "")),"")</f>
        <v/>
      </c>
      <c r="V201" s="40" t="str">
        <f ca="1">IFERROR(IF(AND(
  INDEX(Roadmap!$D:$K,MATCH($E201,Roadmap!$D:$D,0)+COUNTIF($E201:U201,"u")+COUNTIF($E201:U201,"t")+COUNTIF($E201:U201,"¶")+COUNTIF($E201:U201,"²")+COUNTIF($E201:U201,"µ")+COUNTIF($E201:U201,1),ColLivraison)=V$6,
  VLOOKUP($E201,INDIRECT("tri!"&amp; CHAR(64+ C0Col) &amp;":"&amp; CHAR(65+C0Col)),2,FALSE)&gt;COUNTIF($E201:U201,"u")+COUNTIF($E201:U201,"t")+COUNTIF($E201:U201,"¶")+COUNTIF($E201:U201,"²")+COUNTIF($E201:U201,"µ")+COUNTIF($E201:U201,1)),
HYPERLINK("#Roadmap!C"&amp; MATCH($E201,Roadmap!$D:$D,0)+COUNTIF($E201:U201,"u")+COUNTIF($E201:U201,"t"),
     INDEX(Roadmap!$D:$K,MATCH($E201,Roadmap!$D:$D,0)+COUNTIF($E201:U201,"u")+COUNTIF($E201:U201,"t")+COUNTIF($E201:U201,"¶")+COUNTIF($E201:U201,"²")+COUNTIF($E201:U201,"µ")+COUNTIF($E201:U201,1),ColTypeEcheance)),
  IF(LEN(U201)=1,
  IF(LEN(INDEX(Roadmap!$D:$K,MATCH($E201,Roadmap!$D:$D,0)-1+COUNTIF($E201:U201,"u")+COUNTIF($E201:U201,"t")+COUNTIF($E201:U201,"¶")+COUNTIF($E201:U201,"²")+COUNTIF($E201:U201,"µ")+COUNTIF($E201:U201,1),ColDescriptionCourte))&gt;1,
HYPERLINK("#Roadmap!C"&amp; MATCH($E201,Roadmap!$D:$D,0)+COUNTIF($E201:U201,"u")+COUNTIF($E201:U201,"t")+COUNTIF($E201:U201,"¶")+COUNTIF($E201:U201,"²")+COUNTIF($E201:U201,"µ")+COUNTIF($E201:U201,1)-1,INDEX(Roadmap!$D:$K,MATCH($E201,Roadmap!$D:$D,0)-1+COUNTIF($E201:U201,"u")+COUNTIF($E201:U201,"t")+COUNTIF($E201:U201,"¶")+COUNTIF($E201:U201,"²")+COUNTIF($E201:U201,"µ")+COUNTIF($E201:U201,1),ColDescriptionCourte)),""),
  "")),"")</f>
        <v/>
      </c>
      <c r="W201" s="40" t="str">
        <f ca="1">IFERROR(IF(AND(
  INDEX(Roadmap!$D:$K,MATCH($E201,Roadmap!$D:$D,0)+COUNTIF($E201:V201,"u")+COUNTIF($E201:V201,"t")+COUNTIF($E201:V201,"¶")+COUNTIF($E201:V201,"²")+COUNTIF($E201:V201,"µ")+COUNTIF($E201:V201,1),ColLivraison)=W$6,
  VLOOKUP($E201,INDIRECT("tri!"&amp; CHAR(64+ C0Col) &amp;":"&amp; CHAR(65+C0Col)),2,FALSE)&gt;COUNTIF($E201:V201,"u")+COUNTIF($E201:V201,"t")+COUNTIF($E201:V201,"¶")+COUNTIF($E201:V201,"²")+COUNTIF($E201:V201,"µ")+COUNTIF($E201:V201,1)),
HYPERLINK("#Roadmap!C"&amp; MATCH($E201,Roadmap!$D:$D,0)+COUNTIF($E201:V201,"u")+COUNTIF($E201:V201,"t"),
     INDEX(Roadmap!$D:$K,MATCH($E201,Roadmap!$D:$D,0)+COUNTIF($E201:V201,"u")+COUNTIF($E201:V201,"t")+COUNTIF($E201:V201,"¶")+COUNTIF($E201:V201,"²")+COUNTIF($E201:V201,"µ")+COUNTIF($E201:V201,1),ColTypeEcheance)),
  IF(LEN(V201)=1,
  IF(LEN(INDEX(Roadmap!$D:$K,MATCH($E201,Roadmap!$D:$D,0)-1+COUNTIF($E201:V201,"u")+COUNTIF($E201:V201,"t")+COUNTIF($E201:V201,"¶")+COUNTIF($E201:V201,"²")+COUNTIF($E201:V201,"µ")+COUNTIF($E201:V201,1),ColDescriptionCourte))&gt;1,
HYPERLINK("#Roadmap!C"&amp; MATCH($E201,Roadmap!$D:$D,0)+COUNTIF($E201:V201,"u")+COUNTIF($E201:V201,"t")+COUNTIF($E201:V201,"¶")+COUNTIF($E201:V201,"²")+COUNTIF($E201:V201,"µ")+COUNTIF($E201:V201,1)-1,INDEX(Roadmap!$D:$K,MATCH($E201,Roadmap!$D:$D,0)-1+COUNTIF($E201:V201,"u")+COUNTIF($E201:V201,"t")+COUNTIF($E201:V201,"¶")+COUNTIF($E201:V201,"²")+COUNTIF($E201:V201,"µ")+COUNTIF($E201:V201,1),ColDescriptionCourte)),""),
  "")),"")</f>
        <v/>
      </c>
      <c r="X201" s="40" t="str">
        <f ca="1">IFERROR(IF(AND(
  INDEX(Roadmap!$D:$K,MATCH($E201,Roadmap!$D:$D,0)+COUNTIF($E201:W201,"u")+COUNTIF($E201:W201,"t")+COUNTIF($E201:W201,"¶")+COUNTIF($E201:W201,"²")+COUNTIF($E201:W201,"µ")+COUNTIF($E201:W201,1),ColLivraison)=X$6,
  VLOOKUP($E201,INDIRECT("tri!"&amp; CHAR(64+ C0Col) &amp;":"&amp; CHAR(65+C0Col)),2,FALSE)&gt;COUNTIF($E201:W201,"u")+COUNTIF($E201:W201,"t")+COUNTIF($E201:W201,"¶")+COUNTIF($E201:W201,"²")+COUNTIF($E201:W201,"µ")+COUNTIF($E201:W201,1)),
HYPERLINK("#Roadmap!C"&amp; MATCH($E201,Roadmap!$D:$D,0)+COUNTIF($E201:W201,"u")+COUNTIF($E201:W201,"t"),
     INDEX(Roadmap!$D:$K,MATCH($E201,Roadmap!$D:$D,0)+COUNTIF($E201:W201,"u")+COUNTIF($E201:W201,"t")+COUNTIF($E201:W201,"¶")+COUNTIF($E201:W201,"²")+COUNTIF($E201:W201,"µ")+COUNTIF($E201:W201,1),ColTypeEcheance)),
  IF(LEN(W201)=1,
  IF(LEN(INDEX(Roadmap!$D:$K,MATCH($E201,Roadmap!$D:$D,0)-1+COUNTIF($E201:W201,"u")+COUNTIF($E201:W201,"t")+COUNTIF($E201:W201,"¶")+COUNTIF($E201:W201,"²")+COUNTIF($E201:W201,"µ")+COUNTIF($E201:W201,1),ColDescriptionCourte))&gt;1,
HYPERLINK("#Roadmap!C"&amp; MATCH($E201,Roadmap!$D:$D,0)+COUNTIF($E201:W201,"u")+COUNTIF($E201:W201,"t")+COUNTIF($E201:W201,"¶")+COUNTIF($E201:W201,"²")+COUNTIF($E201:W201,"µ")+COUNTIF($E201:W201,1)-1,INDEX(Roadmap!$D:$K,MATCH($E201,Roadmap!$D:$D,0)-1+COUNTIF($E201:W201,"u")+COUNTIF($E201:W201,"t")+COUNTIF($E201:W201,"¶")+COUNTIF($E201:W201,"²")+COUNTIF($E201:W201,"µ")+COUNTIF($E201:W201,1),ColDescriptionCourte)),""),
  "")),"")</f>
        <v/>
      </c>
      <c r="Y201" s="40" t="str">
        <f ca="1">IFERROR(IF(AND(
  INDEX(Roadmap!$D:$K,MATCH($E201,Roadmap!$D:$D,0)+COUNTIF($E201:X201,"u")+COUNTIF($E201:X201,"t")+COUNTIF($E201:X201,"¶")+COUNTIF($E201:X201,"²")+COUNTIF($E201:X201,"µ")+COUNTIF($E201:X201,1),ColLivraison)=Y$6,
  VLOOKUP($E201,INDIRECT("tri!"&amp; CHAR(64+ C0Col) &amp;":"&amp; CHAR(65+C0Col)),2,FALSE)&gt;COUNTIF($E201:X201,"u")+COUNTIF($E201:X201,"t")+COUNTIF($E201:X201,"¶")+COUNTIF($E201:X201,"²")+COUNTIF($E201:X201,"µ")+COUNTIF($E201:X201,1)),
HYPERLINK("#Roadmap!C"&amp; MATCH($E201,Roadmap!$D:$D,0)+COUNTIF($E201:X201,"u")+COUNTIF($E201:X201,"t"),
     INDEX(Roadmap!$D:$K,MATCH($E201,Roadmap!$D:$D,0)+COUNTIF($E201:X201,"u")+COUNTIF($E201:X201,"t")+COUNTIF($E201:X201,"¶")+COUNTIF($E201:X201,"²")+COUNTIF($E201:X201,"µ")+COUNTIF($E201:X201,1),ColTypeEcheance)),
  IF(LEN(X201)=1,
  IF(LEN(INDEX(Roadmap!$D:$K,MATCH($E201,Roadmap!$D:$D,0)-1+COUNTIF($E201:X201,"u")+COUNTIF($E201:X201,"t")+COUNTIF($E201:X201,"¶")+COUNTIF($E201:X201,"²")+COUNTIF($E201:X201,"µ")+COUNTIF($E201:X201,1),ColDescriptionCourte))&gt;1,
HYPERLINK("#Roadmap!C"&amp; MATCH($E201,Roadmap!$D:$D,0)+COUNTIF($E201:X201,"u")+COUNTIF($E201:X201,"t")+COUNTIF($E201:X201,"¶")+COUNTIF($E201:X201,"²")+COUNTIF($E201:X201,"µ")+COUNTIF($E201:X201,1)-1,INDEX(Roadmap!$D:$K,MATCH($E201,Roadmap!$D:$D,0)-1+COUNTIF($E201:X201,"u")+COUNTIF($E201:X201,"t")+COUNTIF($E201:X201,"¶")+COUNTIF($E201:X201,"²")+COUNTIF($E201:X201,"µ")+COUNTIF($E201:X201,1),ColDescriptionCourte)),""),
  "")),"")</f>
        <v/>
      </c>
      <c r="Z201" s="40" t="str">
        <f ca="1">IFERROR(IF(AND(
  INDEX(Roadmap!$D:$K,MATCH($E201,Roadmap!$D:$D,0)+COUNTIF($E201:Y201,"u")+COUNTIF($E201:Y201,"t")+COUNTIF($E201:Y201,"¶")+COUNTIF($E201:Y201,"²")+COUNTIF($E201:Y201,"µ")+COUNTIF($E201:Y201,1),ColLivraison)=Z$6,
  VLOOKUP($E201,INDIRECT("tri!"&amp; CHAR(64+ C0Col) &amp;":"&amp; CHAR(65+C0Col)),2,FALSE)&gt;COUNTIF($E201:Y201,"u")+COUNTIF($E201:Y201,"t")+COUNTIF($E201:Y201,"¶")+COUNTIF($E201:Y201,"²")+COUNTIF($E201:Y201,"µ")+COUNTIF($E201:Y201,1)),
HYPERLINK("#Roadmap!C"&amp; MATCH($E201,Roadmap!$D:$D,0)+COUNTIF($E201:Y201,"u")+COUNTIF($E201:Y201,"t"),
     INDEX(Roadmap!$D:$K,MATCH($E201,Roadmap!$D:$D,0)+COUNTIF($E201:Y201,"u")+COUNTIF($E201:Y201,"t")+COUNTIF($E201:Y201,"¶")+COUNTIF($E201:Y201,"²")+COUNTIF($E201:Y201,"µ")+COUNTIF($E201:Y201,1),ColTypeEcheance)),
  IF(LEN(Y201)=1,
  IF(LEN(INDEX(Roadmap!$D:$K,MATCH($E201,Roadmap!$D:$D,0)-1+COUNTIF($E201:Y201,"u")+COUNTIF($E201:Y201,"t")+COUNTIF($E201:Y201,"¶")+COUNTIF($E201:Y201,"²")+COUNTIF($E201:Y201,"µ")+COUNTIF($E201:Y201,1),ColDescriptionCourte))&gt;1,
HYPERLINK("#Roadmap!C"&amp; MATCH($E201,Roadmap!$D:$D,0)+COUNTIF($E201:Y201,"u")+COUNTIF($E201:Y201,"t")+COUNTIF($E201:Y201,"¶")+COUNTIF($E201:Y201,"²")+COUNTIF($E201:Y201,"µ")+COUNTIF($E201:Y201,1)-1,INDEX(Roadmap!$D:$K,MATCH($E201,Roadmap!$D:$D,0)-1+COUNTIF($E201:Y201,"u")+COUNTIF($E201:Y201,"t")+COUNTIF($E201:Y201,"¶")+COUNTIF($E201:Y201,"²")+COUNTIF($E201:Y201,"µ")+COUNTIF($E201:Y201,1),ColDescriptionCourte)),""),
  "")),"")</f>
        <v/>
      </c>
      <c r="AA201" s="40" t="str">
        <f ca="1">IFERROR(IF(AND(
  INDEX(Roadmap!$D:$K,MATCH($E201,Roadmap!$D:$D,0)+COUNTIF($E201:Z201,"u")+COUNTIF($E201:Z201,"t")+COUNTIF($E201:Z201,"¶")+COUNTIF($E201:Z201,"²")+COUNTIF($E201:Z201,"µ")+COUNTIF($E201:Z201,1),ColLivraison)=AA$6,
  VLOOKUP($E201,INDIRECT("tri!"&amp; CHAR(64+ C0Col) &amp;":"&amp; CHAR(65+C0Col)),2,FALSE)&gt;COUNTIF($E201:Z201,"u")+COUNTIF($E201:Z201,"t")+COUNTIF($E201:Z201,"¶")+COUNTIF($E201:Z201,"²")+COUNTIF($E201:Z201,"µ")+COUNTIF($E201:Z201,1)),
HYPERLINK("#Roadmap!C"&amp; MATCH($E201,Roadmap!$D:$D,0)+COUNTIF($E201:Z201,"u")+COUNTIF($E201:Z201,"t"),
     INDEX(Roadmap!$D:$K,MATCH($E201,Roadmap!$D:$D,0)+COUNTIF($E201:Z201,"u")+COUNTIF($E201:Z201,"t")+COUNTIF($E201:Z201,"¶")+COUNTIF($E201:Z201,"²")+COUNTIF($E201:Z201,"µ")+COUNTIF($E201:Z201,1),ColTypeEcheance)),
  IF(LEN(Z201)=1,
  IF(LEN(INDEX(Roadmap!$D:$K,MATCH($E201,Roadmap!$D:$D,0)-1+COUNTIF($E201:Z201,"u")+COUNTIF($E201:Z201,"t")+COUNTIF($E201:Z201,"¶")+COUNTIF($E201:Z201,"²")+COUNTIF($E201:Z201,"µ")+COUNTIF($E201:Z201,1),ColDescriptionCourte))&gt;1,
HYPERLINK("#Roadmap!C"&amp; MATCH($E201,Roadmap!$D:$D,0)+COUNTIF($E201:Z201,"u")+COUNTIF($E201:Z201,"t")+COUNTIF($E201:Z201,"¶")+COUNTIF($E201:Z201,"²")+COUNTIF($E201:Z201,"µ")+COUNTIF($E201:Z201,1)-1,INDEX(Roadmap!$D:$K,MATCH($E201,Roadmap!$D:$D,0)-1+COUNTIF($E201:Z201,"u")+COUNTIF($E201:Z201,"t")+COUNTIF($E201:Z201,"¶")+COUNTIF($E201:Z201,"²")+COUNTIF($E201:Z201,"µ")+COUNTIF($E201:Z201,1),ColDescriptionCourte)),""),
  "")),"")</f>
        <v/>
      </c>
      <c r="AB201" s="40" t="str">
        <f ca="1">IFERROR(IF(AND(
  INDEX(Roadmap!$D:$K,MATCH($E201,Roadmap!$D:$D,0)+COUNTIF($E201:AA201,"u")+COUNTIF($E201:AA201,"t")+COUNTIF($E201:AA201,"¶")+COUNTIF($E201:AA201,"²")+COUNTIF($E201:AA201,"µ")+COUNTIF($E201:AA201,1),ColLivraison)=AB$6,
  VLOOKUP($E201,INDIRECT("tri!"&amp; CHAR(64+ C0Col) &amp;":"&amp; CHAR(65+C0Col)),2,FALSE)&gt;COUNTIF($E201:AA201,"u")+COUNTIF($E201:AA201,"t")+COUNTIF($E201:AA201,"¶")+COUNTIF($E201:AA201,"²")+COUNTIF($E201:AA201,"µ")+COUNTIF($E201:AA201,1)),
HYPERLINK("#Roadmap!C"&amp; MATCH($E201,Roadmap!$D:$D,0)+COUNTIF($E201:AA201,"u")+COUNTIF($E201:AA201,"t"),
     INDEX(Roadmap!$D:$K,MATCH($E201,Roadmap!$D:$D,0)+COUNTIF($E201:AA201,"u")+COUNTIF($E201:AA201,"t")+COUNTIF($E201:AA201,"¶")+COUNTIF($E201:AA201,"²")+COUNTIF($E201:AA201,"µ")+COUNTIF($E201:AA201,1),ColTypeEcheance)),
  IF(LEN(AA201)=1,
  IF(LEN(INDEX(Roadmap!$D:$K,MATCH($E201,Roadmap!$D:$D,0)-1+COUNTIF($E201:AA201,"u")+COUNTIF($E201:AA201,"t")+COUNTIF($E201:AA201,"¶")+COUNTIF($E201:AA201,"²")+COUNTIF($E201:AA201,"µ")+COUNTIF($E201:AA201,1),ColDescriptionCourte))&gt;1,
HYPERLINK("#Roadmap!C"&amp; MATCH($E201,Roadmap!$D:$D,0)+COUNTIF($E201:AA201,"u")+COUNTIF($E201:AA201,"t")+COUNTIF($E201:AA201,"¶")+COUNTIF($E201:AA201,"²")+COUNTIF($E201:AA201,"µ")+COUNTIF($E201:AA201,1)-1,INDEX(Roadmap!$D:$K,MATCH($E201,Roadmap!$D:$D,0)-1+COUNTIF($E201:AA201,"u")+COUNTIF($E201:AA201,"t")+COUNTIF($E201:AA201,"¶")+COUNTIF($E201:AA201,"²")+COUNTIF($E201:AA201,"µ")+COUNTIF($E201:AA201,1),ColDescriptionCourte)),""),
  "")),"")</f>
        <v/>
      </c>
      <c r="AC201" s="40" t="str">
        <f ca="1">IFERROR(IF(AND(
  INDEX(Roadmap!$D:$K,MATCH($E201,Roadmap!$D:$D,0)+COUNTIF($E201:AB201,"u")+COUNTIF($E201:AB201,"t")+COUNTIF($E201:AB201,"¶")+COUNTIF($E201:AB201,"²")+COUNTIF($E201:AB201,"µ")+COUNTIF($E201:AB201,1),ColLivraison)=AC$6,
  VLOOKUP($E201,INDIRECT("tri!"&amp; CHAR(64+ C0Col) &amp;":"&amp; CHAR(65+C0Col)),2,FALSE)&gt;COUNTIF($E201:AB201,"u")+COUNTIF($E201:AB201,"t")+COUNTIF($E201:AB201,"¶")+COUNTIF($E201:AB201,"²")+COUNTIF($E201:AB201,"µ")+COUNTIF($E201:AB201,1)),
HYPERLINK("#Roadmap!C"&amp; MATCH($E201,Roadmap!$D:$D,0)+COUNTIF($E201:AB201,"u")+COUNTIF($E201:AB201,"t"),
     INDEX(Roadmap!$D:$K,MATCH($E201,Roadmap!$D:$D,0)+COUNTIF($E201:AB201,"u")+COUNTIF($E201:AB201,"t")+COUNTIF($E201:AB201,"¶")+COUNTIF($E201:AB201,"²")+COUNTIF($E201:AB201,"µ")+COUNTIF($E201:AB201,1),ColTypeEcheance)),
  IF(LEN(AB201)=1,
  IF(LEN(INDEX(Roadmap!$D:$K,MATCH($E201,Roadmap!$D:$D,0)-1+COUNTIF($E201:AB201,"u")+COUNTIF($E201:AB201,"t")+COUNTIF($E201:AB201,"¶")+COUNTIF($E201:AB201,"²")+COUNTIF($E201:AB201,"µ")+COUNTIF($E201:AB201,1),ColDescriptionCourte))&gt;1,
HYPERLINK("#Roadmap!C"&amp; MATCH($E201,Roadmap!$D:$D,0)+COUNTIF($E201:AB201,"u")+COUNTIF($E201:AB201,"t")+COUNTIF($E201:AB201,"¶")+COUNTIF($E201:AB201,"²")+COUNTIF($E201:AB201,"µ")+COUNTIF($E201:AB201,1)-1,INDEX(Roadmap!$D:$K,MATCH($E201,Roadmap!$D:$D,0)-1+COUNTIF($E201:AB201,"u")+COUNTIF($E201:AB201,"t")+COUNTIF($E201:AB201,"¶")+COUNTIF($E201:AB201,"²")+COUNTIF($E201:AB201,"µ")+COUNTIF($E201:AB201,1),ColDescriptionCourte)),""),
  "")),"")</f>
        <v/>
      </c>
      <c r="AD201" s="40" t="str">
        <f ca="1">IFERROR(IF(AND(
  INDEX(Roadmap!$D:$K,MATCH($E201,Roadmap!$D:$D,0)+COUNTIF($E201:AC201,"u")+COUNTIF($E201:AC201,"t")+COUNTIF($E201:AC201,"¶")+COUNTIF($E201:AC201,"²")+COUNTIF($E201:AC201,"µ")+COUNTIF($E201:AC201,1),ColLivraison)=AD$6,
  VLOOKUP($E201,INDIRECT("tri!"&amp; CHAR(64+ C0Col) &amp;":"&amp; CHAR(65+C0Col)),2,FALSE)&gt;COUNTIF($E201:AC201,"u")+COUNTIF($E201:AC201,"t")+COUNTIF($E201:AC201,"¶")+COUNTIF($E201:AC201,"²")+COUNTIF($E201:AC201,"µ")+COUNTIF($E201:AC201,1)),
HYPERLINK("#Roadmap!C"&amp; MATCH($E201,Roadmap!$D:$D,0)+COUNTIF($E201:AC201,"u")+COUNTIF($E201:AC201,"t"),
     INDEX(Roadmap!$D:$K,MATCH($E201,Roadmap!$D:$D,0)+COUNTIF($E201:AC201,"u")+COUNTIF($E201:AC201,"t")+COUNTIF($E201:AC201,"¶")+COUNTIF($E201:AC201,"²")+COUNTIF($E201:AC201,"µ")+COUNTIF($E201:AC201,1),ColTypeEcheance)),
  IF(LEN(AC201)=1,
  IF(LEN(INDEX(Roadmap!$D:$K,MATCH($E201,Roadmap!$D:$D,0)-1+COUNTIF($E201:AC201,"u")+COUNTIF($E201:AC201,"t")+COUNTIF($E201:AC201,"¶")+COUNTIF($E201:AC201,"²")+COUNTIF($E201:AC201,"µ")+COUNTIF($E201:AC201,1),ColDescriptionCourte))&gt;1,
HYPERLINK("#Roadmap!C"&amp; MATCH($E201,Roadmap!$D:$D,0)+COUNTIF($E201:AC201,"u")+COUNTIF($E201:AC201,"t")+COUNTIF($E201:AC201,"¶")+COUNTIF($E201:AC201,"²")+COUNTIF($E201:AC201,"µ")+COUNTIF($E201:AC201,1)-1,INDEX(Roadmap!$D:$K,MATCH($E201,Roadmap!$D:$D,0)-1+COUNTIF($E201:AC201,"u")+COUNTIF($E201:AC201,"t")+COUNTIF($E201:AC201,"¶")+COUNTIF($E201:AC201,"²")+COUNTIF($E201:AC201,"µ")+COUNTIF($E201:AC201,1),ColDescriptionCourte)),""),
  "")),"")</f>
        <v/>
      </c>
      <c r="AE201" s="40" t="str">
        <f ca="1">IFERROR(IF(AND(
  INDEX(Roadmap!$D:$K,MATCH($E201,Roadmap!$D:$D,0)+COUNTIF($E201:AD201,"u")+COUNTIF($E201:AD201,"t")+COUNTIF($E201:AD201,"¶")+COUNTIF($E201:AD201,"²")+COUNTIF($E201:AD201,"µ")+COUNTIF($E201:AD201,1),ColLivraison)=AE$6,
  VLOOKUP($E201,INDIRECT("tri!"&amp; CHAR(64+ C0Col) &amp;":"&amp; CHAR(65+C0Col)),2,FALSE)&gt;COUNTIF($E201:AD201,"u")+COUNTIF($E201:AD201,"t")+COUNTIF($E201:AD201,"¶")+COUNTIF($E201:AD201,"²")+COUNTIF($E201:AD201,"µ")+COUNTIF($E201:AD201,1)),
HYPERLINK("#Roadmap!C"&amp; MATCH($E201,Roadmap!$D:$D,0)+COUNTIF($E201:AD201,"u")+COUNTIF($E201:AD201,"t"),
     INDEX(Roadmap!$D:$K,MATCH($E201,Roadmap!$D:$D,0)+COUNTIF($E201:AD201,"u")+COUNTIF($E201:AD201,"t")+COUNTIF($E201:AD201,"¶")+COUNTIF($E201:AD201,"²")+COUNTIF($E201:AD201,"µ")+COUNTIF($E201:AD201,1),ColTypeEcheance)),
  IF(LEN(AD201)=1,
  IF(LEN(INDEX(Roadmap!$D:$K,MATCH($E201,Roadmap!$D:$D,0)-1+COUNTIF($E201:AD201,"u")+COUNTIF($E201:AD201,"t")+COUNTIF($E201:AD201,"¶")+COUNTIF($E201:AD201,"²")+COUNTIF($E201:AD201,"µ")+COUNTIF($E201:AD201,1),ColDescriptionCourte))&gt;1,
HYPERLINK("#Roadmap!C"&amp; MATCH($E201,Roadmap!$D:$D,0)+COUNTIF($E201:AD201,"u")+COUNTIF($E201:AD201,"t")+COUNTIF($E201:AD201,"¶")+COUNTIF($E201:AD201,"²")+COUNTIF($E201:AD201,"µ")+COUNTIF($E201:AD201,1)-1,INDEX(Roadmap!$D:$K,MATCH($E201,Roadmap!$D:$D,0)-1+COUNTIF($E201:AD201,"u")+COUNTIF($E201:AD201,"t")+COUNTIF($E201:AD201,"¶")+COUNTIF($E201:AD201,"²")+COUNTIF($E201:AD201,"µ")+COUNTIF($E201:AD201,1),ColDescriptionCourte)),""),
  "")),"")</f>
        <v/>
      </c>
      <c r="AF201" s="40" t="str">
        <f ca="1">IFERROR(IF(AND(
  INDEX(Roadmap!$D:$K,MATCH($E201,Roadmap!$D:$D,0)+COUNTIF($E201:AE201,"u")+COUNTIF($E201:AE201,"t")+COUNTIF($E201:AE201,"¶")+COUNTIF($E201:AE201,"²")+COUNTIF($E201:AE201,"µ")+COUNTIF($E201:AE201,1),ColLivraison)=AF$6,
  VLOOKUP($E201,INDIRECT("tri!"&amp; CHAR(64+ C0Col) &amp;":"&amp; CHAR(65+C0Col)),2,FALSE)&gt;COUNTIF($E201:AE201,"u")+COUNTIF($E201:AE201,"t")+COUNTIF($E201:AE201,"¶")+COUNTIF($E201:AE201,"²")+COUNTIF($E201:AE201,"µ")+COUNTIF($E201:AE201,1)),
HYPERLINK("#Roadmap!C"&amp; MATCH($E201,Roadmap!$D:$D,0)+COUNTIF($E201:AE201,"u")+COUNTIF($E201:AE201,"t"),
     INDEX(Roadmap!$D:$K,MATCH($E201,Roadmap!$D:$D,0)+COUNTIF($E201:AE201,"u")+COUNTIF($E201:AE201,"t")+COUNTIF($E201:AE201,"¶")+COUNTIF($E201:AE201,"²")+COUNTIF($E201:AE201,"µ")+COUNTIF($E201:AE201,1),ColTypeEcheance)),
  IF(LEN(AE201)=1,
  IF(LEN(INDEX(Roadmap!$D:$K,MATCH($E201,Roadmap!$D:$D,0)-1+COUNTIF($E201:AE201,"u")+COUNTIF($E201:AE201,"t")+COUNTIF($E201:AE201,"¶")+COUNTIF($E201:AE201,"²")+COUNTIF($E201:AE201,"µ")+COUNTIF($E201:AE201,1),ColDescriptionCourte))&gt;1,
HYPERLINK("#Roadmap!C"&amp; MATCH($E201,Roadmap!$D:$D,0)+COUNTIF($E201:AE201,"u")+COUNTIF($E201:AE201,"t")+COUNTIF($E201:AE201,"¶")+COUNTIF($E201:AE201,"²")+COUNTIF($E201:AE201,"µ")+COUNTIF($E201:AE201,1)-1,INDEX(Roadmap!$D:$K,MATCH($E201,Roadmap!$D:$D,0)-1+COUNTIF($E201:AE201,"u")+COUNTIF($E201:AE201,"t")+COUNTIF($E201:AE201,"¶")+COUNTIF($E201:AE201,"²")+COUNTIF($E201:AE201,"µ")+COUNTIF($E201:AE201,1),ColDescriptionCourte)),""),
  "")),"")</f>
        <v/>
      </c>
      <c r="AG201" s="40" t="str">
        <f ca="1">IFERROR(IF(AND(
  INDEX(Roadmap!$D:$K,MATCH($E201,Roadmap!$D:$D,0)+COUNTIF($E201:AF201,"u")+COUNTIF($E201:AF201,"t")+COUNTIF($E201:AF201,"¶")+COUNTIF($E201:AF201,"²")+COUNTIF($E201:AF201,"µ")+COUNTIF($E201:AF201,1),ColLivraison)=AG$6,
  VLOOKUP($E201,INDIRECT("tri!"&amp; CHAR(64+ C0Col) &amp;":"&amp; CHAR(65+C0Col)),2,FALSE)&gt;COUNTIF($E201:AF201,"u")+COUNTIF($E201:AF201,"t")+COUNTIF($E201:AF201,"¶")+COUNTIF($E201:AF201,"²")+COUNTIF($E201:AF201,"µ")+COUNTIF($E201:AF201,1)),
HYPERLINK("#Roadmap!C"&amp; MATCH($E201,Roadmap!$D:$D,0)+COUNTIF($E201:AF201,"u")+COUNTIF($E201:AF201,"t"),
     INDEX(Roadmap!$D:$K,MATCH($E201,Roadmap!$D:$D,0)+COUNTIF($E201:AF201,"u")+COUNTIF($E201:AF201,"t")+COUNTIF($E201:AF201,"¶")+COUNTIF($E201:AF201,"²")+COUNTIF($E201:AF201,"µ")+COUNTIF($E201:AF201,1),ColTypeEcheance)),
  IF(LEN(AF201)=1,
  IF(LEN(INDEX(Roadmap!$D:$K,MATCH($E201,Roadmap!$D:$D,0)-1+COUNTIF($E201:AF201,"u")+COUNTIF($E201:AF201,"t")+COUNTIF($E201:AF201,"¶")+COUNTIF($E201:AF201,"²")+COUNTIF($E201:AF201,"µ")+COUNTIF($E201:AF201,1),ColDescriptionCourte))&gt;1,
HYPERLINK("#Roadmap!C"&amp; MATCH($E201,Roadmap!$D:$D,0)+COUNTIF($E201:AF201,"u")+COUNTIF($E201:AF201,"t")+COUNTIF($E201:AF201,"¶")+COUNTIF($E201:AF201,"²")+COUNTIF($E201:AF201,"µ")+COUNTIF($E201:AF201,1)-1,INDEX(Roadmap!$D:$K,MATCH($E201,Roadmap!$D:$D,0)-1+COUNTIF($E201:AF201,"u")+COUNTIF($E201:AF201,"t")+COUNTIF($E201:AF201,"¶")+COUNTIF($E201:AF201,"²")+COUNTIF($E201:AF201,"µ")+COUNTIF($E201:AF201,1),ColDescriptionCourte)),""),
  "")),"")</f>
        <v/>
      </c>
      <c r="AH201" s="40" t="str">
        <f ca="1">IFERROR(IF(AND(
  INDEX(Roadmap!$D:$K,MATCH($E201,Roadmap!$D:$D,0)+COUNTIF($E201:AG201,"u")+COUNTIF($E201:AG201,"t")+COUNTIF($E201:AG201,1),ColLivraison)=AH$6,
  VLOOKUP($E201,INDIRECT("tri!"&amp; CHAR(64+ C0Col) &amp;":"&amp; CHAR(65+C0Col)),2,FALSE)&gt;COUNTIF($E201:AG201,"u")+COUNTIF($E201:AG201,"t")+COUNTIF($E201:AG201,1)),
HYPERLINK("#Roadmap!C"&amp; MATCH($E201,Roadmap!$D:$D,0)+COUNTIF($E201:AG201,"u")+COUNTIF($E201:AG201,"t"),
     INDEX(Roadmap!$D:$K,MATCH($E201,Roadmap!$D:$D,0)+COUNTIF($E201:AG201,"u")+COUNTIF($E201:AG201,"t")+COUNTIF($E201:AG201,1),ColTypeEcheance)),
  IF(OR(AG201="u",AG201="t",AG201=1),
  IF(LEN(INDEX(Roadmap!$D:$K,MATCH($E201,Roadmap!$D:$D,0)-1+COUNTIF($E201:AG201,"u")+COUNTIF($E201:AG201,"t")+COUNTIF($E201:AG201,1),ColDescriptionCourte))&gt;1,
HYPERLINK("#Roadmap!C"&amp; MATCH($E201,Roadmap!$D:$D,0)+COUNTIF($E201:AG201,"u")+COUNTIF($E201:AG201,"t")+COUNTIF($E201:AG201,1)-1,INDEX(Roadmap!$D:$K,MATCH($E201,Roadmap!$D:$D,0)-1+COUNTIF($E201:AG201,"u")+COUNTIF($E201:AG201,"t")+COUNTIF($E201:AG201,1),ColDescriptionCourte)),""),
  "")),"")</f>
        <v/>
      </c>
      <c r="AI201" s="40"/>
      <c r="AJ201" s="40"/>
      <c r="AK201" s="40"/>
      <c r="AL201" s="40"/>
      <c r="AM201" s="40"/>
    </row>
  </sheetData>
  <mergeCells count="9">
    <mergeCell ref="F5:G5"/>
    <mergeCell ref="H5:I5"/>
    <mergeCell ref="J5:K5"/>
    <mergeCell ref="V5:W5"/>
    <mergeCell ref="L5:M5"/>
    <mergeCell ref="N5:O5"/>
    <mergeCell ref="P5:Q5"/>
    <mergeCell ref="R5:S5"/>
    <mergeCell ref="T5:U5"/>
  </mergeCells>
  <conditionalFormatting sqref="L7:AG201">
    <cfRule type="cellIs" dxfId="172" priority="222" operator="equal">
      <formula>1</formula>
    </cfRule>
    <cfRule type="cellIs" dxfId="171" priority="223" operator="equal">
      <formula>"t"</formula>
    </cfRule>
    <cfRule type="cellIs" dxfId="170" priority="224" operator="equal">
      <formula>"u"</formula>
    </cfRule>
  </conditionalFormatting>
  <conditionalFormatting sqref="L7:AG201">
    <cfRule type="expression" dxfId="169" priority="221">
      <formula>YEAR(L$6)&lt;&gt;YEAR(M$6)</formula>
    </cfRule>
  </conditionalFormatting>
  <conditionalFormatting sqref="L7:AG201">
    <cfRule type="expression" dxfId="168" priority="220">
      <formula>OR(AND(DAY(L$6)=1,MONTH(L$6)=8,MONTH(M$6)=9),AND(DAY(L$6)=15,MONTH(L$6)=7,MONTH(M$6)=8),AND(DAY(L$6)=1,MONTH(L$6)=8,MONTH(M$6)=8))</formula>
    </cfRule>
  </conditionalFormatting>
  <conditionalFormatting sqref="L7:AG201">
    <cfRule type="cellIs" dxfId="167" priority="156" operator="equal">
      <formula>"¶"</formula>
    </cfRule>
    <cfRule type="cellIs" dxfId="166" priority="157" operator="equal">
      <formula>"²"</formula>
    </cfRule>
    <cfRule type="cellIs" dxfId="165" priority="158" operator="equal">
      <formula>"µ"</formula>
    </cfRule>
    <cfRule type="cellIs" dxfId="164" priority="159" operator="equal">
      <formula>1</formula>
    </cfRule>
    <cfRule type="cellIs" dxfId="163" priority="160" operator="equal">
      <formula>"t"</formula>
    </cfRule>
    <cfRule type="cellIs" dxfId="162" priority="161" operator="equal">
      <formula>"u"</formula>
    </cfRule>
  </conditionalFormatting>
  <conditionalFormatting sqref="L7:AG201">
    <cfRule type="expression" dxfId="161" priority="155">
      <formula>YEAR(L$6)&lt;&gt;YEAR(M$6)</formula>
    </cfRule>
  </conditionalFormatting>
  <conditionalFormatting sqref="L7:AG201">
    <cfRule type="expression" dxfId="160" priority="154">
      <formula>OR(AND(DAY(L$6)=1,MONTH(L$6)=8,MONTH(M$6)=9),AND(DAY(L$6)=15,MONTH(L$6)=7,MONTH(M$6)=8),AND(DAY(L$6)=1,MONTH(L$6)=8,MONTH(M$6)=8))</formula>
    </cfRule>
  </conditionalFormatting>
  <conditionalFormatting sqref="F7:K201">
    <cfRule type="cellIs" dxfId="159" priority="151" operator="equal">
      <formula>1</formula>
    </cfRule>
    <cfRule type="cellIs" dxfId="158" priority="152" operator="equal">
      <formula>"t"</formula>
    </cfRule>
    <cfRule type="cellIs" dxfId="157" priority="153" operator="equal">
      <formula>"u"</formula>
    </cfRule>
  </conditionalFormatting>
  <conditionalFormatting sqref="F7:K201">
    <cfRule type="expression" dxfId="156" priority="150">
      <formula>YEAR(F$6)&lt;&gt;YEAR(G$6)</formula>
    </cfRule>
  </conditionalFormatting>
  <conditionalFormatting sqref="F7:K201">
    <cfRule type="expression" dxfId="155" priority="149">
      <formula>OR(AND(DAY(F$6)=1,MONTH(F$6)=8,MONTH(G$6)=9),AND(DAY(F$6)=15,MONTH(F$6)=7,MONTH(G$6)=8),AND(DAY(F$6)=1,MONTH(F$6)=8,MONTH(G$6)=8))</formula>
    </cfRule>
  </conditionalFormatting>
  <conditionalFormatting sqref="F7:K201">
    <cfRule type="cellIs" dxfId="154" priority="143" operator="equal">
      <formula>"¶"</formula>
    </cfRule>
    <cfRule type="cellIs" dxfId="153" priority="144" operator="equal">
      <formula>"²"</formula>
    </cfRule>
    <cfRule type="cellIs" dxfId="152" priority="145" operator="equal">
      <formula>"µ"</formula>
    </cfRule>
    <cfRule type="cellIs" dxfId="151" priority="146" operator="equal">
      <formula>1</formula>
    </cfRule>
    <cfRule type="cellIs" dxfId="150" priority="147" operator="equal">
      <formula>"t"</formula>
    </cfRule>
    <cfRule type="cellIs" dxfId="149" priority="148" operator="equal">
      <formula>"u"</formula>
    </cfRule>
  </conditionalFormatting>
  <conditionalFormatting sqref="F7:K201">
    <cfRule type="expression" dxfId="148" priority="142">
      <formula>YEAR(F$6)&lt;&gt;YEAR(G$6)</formula>
    </cfRule>
  </conditionalFormatting>
  <conditionalFormatting sqref="F7:K201">
    <cfRule type="expression" dxfId="147" priority="141">
      <formula>OR(AND(DAY(F$6)=1,MONTH(F$6)=8,MONTH(G$6)=9),AND(DAY(F$6)=15,MONTH(F$6)=7,MONTH(G$6)=8),AND(DAY(F$6)=1,MONTH(F$6)=8,MONTH(G$6)=8))</formula>
    </cfRule>
  </conditionalFormatting>
  <conditionalFormatting sqref="F7:AG201">
    <cfRule type="cellIs" dxfId="146" priority="135" operator="equal">
      <formula>"¶"</formula>
    </cfRule>
    <cfRule type="cellIs" dxfId="145" priority="136" operator="equal">
      <formula>"²"</formula>
    </cfRule>
    <cfRule type="cellIs" dxfId="144" priority="137" operator="equal">
      <formula>"µ"</formula>
    </cfRule>
    <cfRule type="cellIs" dxfId="143" priority="138" operator="equal">
      <formula>1</formula>
    </cfRule>
    <cfRule type="cellIs" dxfId="142" priority="139" operator="equal">
      <formula>"t"</formula>
    </cfRule>
    <cfRule type="cellIs" dxfId="141" priority="140" operator="equal">
      <formula>"u"</formula>
    </cfRule>
  </conditionalFormatting>
  <conditionalFormatting sqref="F7:AG201">
    <cfRule type="expression" dxfId="140" priority="134">
      <formula>YEAR(F$6)&lt;&gt;YEAR(G$6)</formula>
    </cfRule>
  </conditionalFormatting>
  <conditionalFormatting sqref="F7:AG201">
    <cfRule type="expression" dxfId="139" priority="133">
      <formula>OR(AND(DAY(F$6)=1,MONTH(F$6)=8,MONTH(G$6)=9),AND(DAY(F$6)=15,MONTH(F$6)=7,MONTH(G$6)=8),AND(DAY(F$6)=1,MONTH(F$6)=8,MONTH(G$6)=8))</formula>
    </cfRule>
  </conditionalFormatting>
  <conditionalFormatting sqref="F7:AG201">
    <cfRule type="cellIs" dxfId="138" priority="127" operator="equal">
      <formula>"¶"</formula>
    </cfRule>
    <cfRule type="cellIs" dxfId="137" priority="128" operator="equal">
      <formula>"²"</formula>
    </cfRule>
    <cfRule type="cellIs" dxfId="136" priority="129" operator="equal">
      <formula>"µ"</formula>
    </cfRule>
    <cfRule type="cellIs" dxfId="135" priority="130" operator="equal">
      <formula>1</formula>
    </cfRule>
    <cfRule type="cellIs" dxfId="134" priority="131" operator="equal">
      <formula>"t"</formula>
    </cfRule>
    <cfRule type="cellIs" dxfId="133" priority="132" operator="equal">
      <formula>"u"</formula>
    </cfRule>
  </conditionalFormatting>
  <conditionalFormatting sqref="F7:AG201">
    <cfRule type="expression" dxfId="132" priority="126">
      <formula>YEAR(F$6)&lt;&gt;YEAR(G$6)</formula>
    </cfRule>
  </conditionalFormatting>
  <conditionalFormatting sqref="F7:AG201">
    <cfRule type="expression" dxfId="131" priority="125">
      <formula>OR(AND(DAY(F$6)=1,MONTH(F$6)=8,MONTH(G$6)=9),AND(DAY(F$6)=15,MONTH(F$6)=7,MONTH(G$6)=8),AND(DAY(F$6)=1,MONTH(F$6)=8,MONTH(G$6)=8))</formula>
    </cfRule>
  </conditionalFormatting>
  <conditionalFormatting sqref="F7:AG73">
    <cfRule type="cellIs" dxfId="130" priority="119" operator="equal">
      <formula>"¶"</formula>
    </cfRule>
    <cfRule type="cellIs" dxfId="129" priority="120" operator="equal">
      <formula>"²"</formula>
    </cfRule>
    <cfRule type="cellIs" dxfId="128" priority="121" operator="equal">
      <formula>"µ"</formula>
    </cfRule>
    <cfRule type="cellIs" dxfId="127" priority="122" operator="equal">
      <formula>1</formula>
    </cfRule>
    <cfRule type="cellIs" dxfId="126" priority="123" operator="equal">
      <formula>"t"</formula>
    </cfRule>
    <cfRule type="cellIs" dxfId="125" priority="124" operator="equal">
      <formula>"u"</formula>
    </cfRule>
  </conditionalFormatting>
  <conditionalFormatting sqref="F7:AG73">
    <cfRule type="expression" dxfId="124" priority="118">
      <formula>YEAR(F$6)&lt;&gt;YEAR(G$6)</formula>
    </cfRule>
  </conditionalFormatting>
  <conditionalFormatting sqref="F7:AG73">
    <cfRule type="expression" dxfId="123" priority="117">
      <formula>OR(AND(DAY(F$6)=1,MONTH(F$6)=8,MONTH(G$6)=9),AND(DAY(F$6)=15,MONTH(F$6)=7,MONTH(G$6)=8),AND(DAY(F$6)=1,MONTH(F$6)=8,MONTH(G$6)=8))</formula>
    </cfRule>
  </conditionalFormatting>
  <conditionalFormatting sqref="F7:AG57">
    <cfRule type="cellIs" dxfId="122" priority="113" operator="equal">
      <formula>"µ"</formula>
    </cfRule>
    <cfRule type="cellIs" dxfId="121" priority="114" operator="equal">
      <formula>1</formula>
    </cfRule>
    <cfRule type="cellIs" dxfId="120" priority="115" operator="equal">
      <formula>"t"</formula>
    </cfRule>
    <cfRule type="cellIs" dxfId="119" priority="116" operator="equal">
      <formula>"u"</formula>
    </cfRule>
  </conditionalFormatting>
  <conditionalFormatting sqref="F7:AG57">
    <cfRule type="expression" dxfId="118" priority="112">
      <formula>YEAR(F$6)&lt;&gt;YEAR(G$6)</formula>
    </cfRule>
  </conditionalFormatting>
  <conditionalFormatting sqref="F7:AG57">
    <cfRule type="expression" dxfId="117" priority="111">
      <formula>OR(AND(DAY(F$6)=1,MONTH(F$6)=8,MONTH(G$6)=9),AND(DAY(F$6)=15,MONTH(F$6)=7,MONTH(G$6)=8),AND(DAY(F$6)=1,MONTH(F$6)=8,MONTH(G$6)=8))</formula>
    </cfRule>
  </conditionalFormatting>
  <conditionalFormatting sqref="F7:AG49">
    <cfRule type="cellIs" dxfId="116" priority="107" operator="equal">
      <formula>"µ"</formula>
    </cfRule>
    <cfRule type="cellIs" dxfId="115" priority="108" operator="equal">
      <formula>1</formula>
    </cfRule>
    <cfRule type="cellIs" dxfId="114" priority="109" operator="equal">
      <formula>"t"</formula>
    </cfRule>
    <cfRule type="cellIs" dxfId="113" priority="110" operator="equal">
      <formula>"u"</formula>
    </cfRule>
  </conditionalFormatting>
  <conditionalFormatting sqref="F7:AG49">
    <cfRule type="expression" dxfId="112" priority="106">
      <formula>YEAR(F$6)&lt;&gt;YEAR(G$6)</formula>
    </cfRule>
  </conditionalFormatting>
  <conditionalFormatting sqref="F7:AG49">
    <cfRule type="expression" dxfId="111" priority="105">
      <formula>OR(AND(DAY(F$6)=1,MONTH(F$6)=8,MONTH(G$6)=9),AND(DAY(F$6)=15,MONTH(F$6)=7,MONTH(G$6)=8),AND(DAY(F$6)=1,MONTH(F$6)=8,MONTH(G$6)=8))</formula>
    </cfRule>
  </conditionalFormatting>
  <conditionalFormatting sqref="F7:AG33">
    <cfRule type="cellIs" dxfId="110" priority="101" operator="equal">
      <formula>"µ"</formula>
    </cfRule>
    <cfRule type="cellIs" dxfId="109" priority="102" operator="equal">
      <formula>1</formula>
    </cfRule>
    <cfRule type="cellIs" dxfId="108" priority="103" operator="equal">
      <formula>"t"</formula>
    </cfRule>
    <cfRule type="cellIs" dxfId="107" priority="104" operator="equal">
      <formula>"u"</formula>
    </cfRule>
  </conditionalFormatting>
  <conditionalFormatting sqref="F7:AG33">
    <cfRule type="expression" dxfId="106" priority="100">
      <formula>YEAR(F$6)&lt;&gt;YEAR(G$6)</formula>
    </cfRule>
  </conditionalFormatting>
  <conditionalFormatting sqref="F7:AG33">
    <cfRule type="expression" dxfId="105" priority="99">
      <formula>OR(AND(DAY(F$6)=1,MONTH(F$6)=8,MONTH(G$6)=9),AND(DAY(F$6)=15,MONTH(F$6)=7,MONTH(G$6)=8),AND(DAY(F$6)=1,MONTH(F$6)=8,MONTH(G$6)=8))</formula>
    </cfRule>
  </conditionalFormatting>
  <conditionalFormatting sqref="F7:AG35">
    <cfRule type="cellIs" dxfId="104" priority="95" operator="equal">
      <formula>"µ"</formula>
    </cfRule>
    <cfRule type="cellIs" dxfId="103" priority="96" operator="equal">
      <formula>1</formula>
    </cfRule>
    <cfRule type="cellIs" dxfId="102" priority="97" operator="equal">
      <formula>"t"</formula>
    </cfRule>
    <cfRule type="cellIs" dxfId="101" priority="98" operator="equal">
      <formula>"u"</formula>
    </cfRule>
  </conditionalFormatting>
  <conditionalFormatting sqref="F7:AG35">
    <cfRule type="expression" dxfId="100" priority="94">
      <formula>YEAR(F$6)&lt;&gt;YEAR(G$6)</formula>
    </cfRule>
  </conditionalFormatting>
  <conditionalFormatting sqref="F7:AG35">
    <cfRule type="expression" dxfId="99" priority="93">
      <formula>OR(AND(DAY(F$6)=1,MONTH(F$6)=8,MONTH(G$6)=9),AND(DAY(F$6)=15,MONTH(F$6)=7,MONTH(G$6)=8),AND(DAY(F$6)=1,MONTH(F$6)=8,MONTH(G$6)=8))</formula>
    </cfRule>
  </conditionalFormatting>
  <conditionalFormatting sqref="F7:AG36">
    <cfRule type="cellIs" dxfId="98" priority="89" operator="equal">
      <formula>"µ"</formula>
    </cfRule>
    <cfRule type="cellIs" dxfId="97" priority="90" operator="equal">
      <formula>1</formula>
    </cfRule>
    <cfRule type="cellIs" dxfId="96" priority="91" operator="equal">
      <formula>"t"</formula>
    </cfRule>
    <cfRule type="cellIs" dxfId="95" priority="92" operator="equal">
      <formula>"u"</formula>
    </cfRule>
  </conditionalFormatting>
  <conditionalFormatting sqref="F7:AG36">
    <cfRule type="expression" dxfId="94" priority="88">
      <formula>YEAR(F$6)&lt;&gt;YEAR(G$6)</formula>
    </cfRule>
  </conditionalFormatting>
  <conditionalFormatting sqref="F7:AG36">
    <cfRule type="expression" dxfId="93" priority="87">
      <formula>OR(AND(DAY(F$6)=1,MONTH(F$6)=8,MONTH(G$6)=9),AND(DAY(F$6)=15,MONTH(F$6)=7,MONTH(G$6)=8),AND(DAY(F$6)=1,MONTH(F$6)=8,MONTH(G$6)=8))</formula>
    </cfRule>
  </conditionalFormatting>
  <conditionalFormatting sqref="F7:AG46">
    <cfRule type="cellIs" dxfId="92" priority="83" operator="equal">
      <formula>"µ"</formula>
    </cfRule>
    <cfRule type="cellIs" dxfId="91" priority="84" operator="equal">
      <formula>1</formula>
    </cfRule>
    <cfRule type="cellIs" dxfId="90" priority="85" operator="equal">
      <formula>"t"</formula>
    </cfRule>
    <cfRule type="cellIs" dxfId="89" priority="86" operator="equal">
      <formula>"u"</formula>
    </cfRule>
  </conditionalFormatting>
  <conditionalFormatting sqref="F7:AG46">
    <cfRule type="expression" dxfId="88" priority="82">
      <formula>YEAR(F$6)&lt;&gt;YEAR(G$6)</formula>
    </cfRule>
  </conditionalFormatting>
  <conditionalFormatting sqref="F7:AG46">
    <cfRule type="expression" dxfId="87" priority="81">
      <formula>OR(AND(DAY(F$6)=1,MONTH(F$6)=8,MONTH(G$6)=9),AND(DAY(F$6)=15,MONTH(F$6)=7,MONTH(G$6)=8),AND(DAY(F$6)=1,MONTH(F$6)=8,MONTH(G$6)=8))</formula>
    </cfRule>
  </conditionalFormatting>
  <conditionalFormatting sqref="F7:AG45">
    <cfRule type="cellIs" dxfId="86" priority="77" operator="equal">
      <formula>"µ"</formula>
    </cfRule>
    <cfRule type="cellIs" dxfId="85" priority="78" operator="equal">
      <formula>1</formula>
    </cfRule>
    <cfRule type="cellIs" dxfId="84" priority="79" operator="equal">
      <formula>"t"</formula>
    </cfRule>
    <cfRule type="cellIs" dxfId="83" priority="80" operator="equal">
      <formula>"u"</formula>
    </cfRule>
  </conditionalFormatting>
  <conditionalFormatting sqref="F7:AG45">
    <cfRule type="expression" dxfId="82" priority="76">
      <formula>YEAR(F$6)&lt;&gt;YEAR(G$6)</formula>
    </cfRule>
  </conditionalFormatting>
  <conditionalFormatting sqref="F7:AG45">
    <cfRule type="expression" dxfId="81" priority="75">
      <formula>OR(AND(DAY(F$6)=1,MONTH(F$6)=8,MONTH(G$6)=9),AND(DAY(F$6)=15,MONTH(F$6)=7,MONTH(G$6)=8),AND(DAY(F$6)=1,MONTH(F$6)=8,MONTH(G$6)=8))</formula>
    </cfRule>
  </conditionalFormatting>
  <conditionalFormatting sqref="F7:AG55">
    <cfRule type="cellIs" dxfId="80" priority="71" operator="equal">
      <formula>"µ"</formula>
    </cfRule>
    <cfRule type="cellIs" dxfId="79" priority="72" operator="equal">
      <formula>1</formula>
    </cfRule>
    <cfRule type="cellIs" dxfId="78" priority="73" operator="equal">
      <formula>"t"</formula>
    </cfRule>
    <cfRule type="cellIs" dxfId="77" priority="74" operator="equal">
      <formula>"u"</formula>
    </cfRule>
  </conditionalFormatting>
  <conditionalFormatting sqref="F7:AG55">
    <cfRule type="expression" dxfId="76" priority="70">
      <formula>YEAR(F$6)&lt;&gt;YEAR(G$6)</formula>
    </cfRule>
  </conditionalFormatting>
  <conditionalFormatting sqref="F7:AG55">
    <cfRule type="expression" dxfId="75" priority="69">
      <formula>OR(AND(DAY(F$6)=1,MONTH(F$6)=8,MONTH(G$6)=9),AND(DAY(F$6)=15,MONTH(F$6)=7,MONTH(G$6)=8),AND(DAY(F$6)=1,MONTH(F$6)=8,MONTH(G$6)=8))</formula>
    </cfRule>
  </conditionalFormatting>
  <conditionalFormatting sqref="F7:AG36">
    <cfRule type="cellIs" dxfId="74" priority="65" operator="equal">
      <formula>"µ"</formula>
    </cfRule>
    <cfRule type="cellIs" dxfId="73" priority="66" operator="equal">
      <formula>1</formula>
    </cfRule>
    <cfRule type="cellIs" dxfId="72" priority="67" operator="equal">
      <formula>"t"</formula>
    </cfRule>
    <cfRule type="cellIs" dxfId="71" priority="68" operator="equal">
      <formula>"u"</formula>
    </cfRule>
  </conditionalFormatting>
  <conditionalFormatting sqref="F7:AG36">
    <cfRule type="expression" dxfId="70" priority="64">
      <formula>YEAR(F$6)&lt;&gt;YEAR(G$6)</formula>
    </cfRule>
  </conditionalFormatting>
  <conditionalFormatting sqref="F7:AG36">
    <cfRule type="expression" dxfId="69" priority="63">
      <formula>OR(AND(DAY(F$6)=1,MONTH(F$6)=8,MONTH(G$6)=9),AND(DAY(F$6)=15,MONTH(F$6)=7,MONTH(G$6)=8),AND(DAY(F$6)=1,MONTH(F$6)=8,MONTH(G$6)=8))</formula>
    </cfRule>
  </conditionalFormatting>
  <conditionalFormatting sqref="F7:AG42">
    <cfRule type="cellIs" dxfId="68" priority="59" operator="equal">
      <formula>"µ"</formula>
    </cfRule>
    <cfRule type="cellIs" dxfId="67" priority="60" operator="equal">
      <formula>1</formula>
    </cfRule>
    <cfRule type="cellIs" dxfId="66" priority="61" operator="equal">
      <formula>"t"</formula>
    </cfRule>
    <cfRule type="cellIs" dxfId="65" priority="62" operator="equal">
      <formula>"u"</formula>
    </cfRule>
  </conditionalFormatting>
  <conditionalFormatting sqref="F7:AG42">
    <cfRule type="expression" dxfId="64" priority="58">
      <formula>YEAR(F$6)&lt;&gt;YEAR(G$6)</formula>
    </cfRule>
  </conditionalFormatting>
  <conditionalFormatting sqref="F7:AG42">
    <cfRule type="expression" dxfId="63" priority="57">
      <formula>OR(AND(DAY(F$6)=1,MONTH(F$6)=8,MONTH(G$6)=9),AND(DAY(F$6)=15,MONTH(F$6)=7,MONTH(G$6)=8),AND(DAY(F$6)=1,MONTH(F$6)=8,MONTH(G$6)=8))</formula>
    </cfRule>
  </conditionalFormatting>
  <conditionalFormatting sqref="F7:AG42">
    <cfRule type="cellIs" dxfId="62" priority="53" operator="equal">
      <formula>"µ"</formula>
    </cfRule>
    <cfRule type="cellIs" dxfId="61" priority="54" operator="equal">
      <formula>1</formula>
    </cfRule>
    <cfRule type="cellIs" dxfId="60" priority="55" operator="equal">
      <formula>"t"</formula>
    </cfRule>
    <cfRule type="cellIs" dxfId="59" priority="56" operator="equal">
      <formula>"u"</formula>
    </cfRule>
  </conditionalFormatting>
  <conditionalFormatting sqref="F7:AG42">
    <cfRule type="expression" dxfId="58" priority="52">
      <formula>YEAR(F$6)&lt;&gt;YEAR(G$6)</formula>
    </cfRule>
  </conditionalFormatting>
  <conditionalFormatting sqref="F7:AG42">
    <cfRule type="expression" dxfId="57" priority="51">
      <formula>OR(AND(DAY(F$6)=1,MONTH(F$6)=8,MONTH(G$6)=9),AND(DAY(F$6)=15,MONTH(F$6)=7,MONTH(G$6)=8),AND(DAY(F$6)=1,MONTH(F$6)=8,MONTH(G$6)=8))</formula>
    </cfRule>
  </conditionalFormatting>
  <conditionalFormatting sqref="D7:D75 E8:E76 D7:AG42">
    <cfRule type="expression" dxfId="56" priority="50">
      <formula>LEN($D7)&gt;0</formula>
    </cfRule>
  </conditionalFormatting>
  <conditionalFormatting sqref="F7:AG49">
    <cfRule type="cellIs" dxfId="55" priority="46" operator="equal">
      <formula>"µ"</formula>
    </cfRule>
    <cfRule type="cellIs" dxfId="54" priority="47" operator="equal">
      <formula>1</formula>
    </cfRule>
    <cfRule type="cellIs" dxfId="53" priority="48" operator="equal">
      <formula>"t"</formula>
    </cfRule>
    <cfRule type="cellIs" dxfId="52" priority="49" operator="equal">
      <formula>"u"</formula>
    </cfRule>
  </conditionalFormatting>
  <conditionalFormatting sqref="F7:AG49">
    <cfRule type="expression" dxfId="51" priority="45">
      <formula>YEAR(F$6)&lt;&gt;YEAR(G$6)</formula>
    </cfRule>
  </conditionalFormatting>
  <conditionalFormatting sqref="F7:AG49">
    <cfRule type="expression" dxfId="50" priority="44">
      <formula>OR(AND(DAY(F$6)=1,MONTH(F$6)=8,MONTH(G$6)=9),AND(DAY(F$6)=15,MONTH(F$6)=7,MONTH(G$6)=8),AND(DAY(F$6)=1,MONTH(F$6)=8,MONTH(G$6)=8))</formula>
    </cfRule>
  </conditionalFormatting>
  <conditionalFormatting sqref="F7:AG49">
    <cfRule type="expression" dxfId="49" priority="43">
      <formula>LEN($D7)&gt;0</formula>
    </cfRule>
  </conditionalFormatting>
  <conditionalFormatting sqref="F7:AG49">
    <cfRule type="cellIs" dxfId="48" priority="39" operator="equal">
      <formula>"µ"</formula>
    </cfRule>
    <cfRule type="cellIs" dxfId="47" priority="40" operator="equal">
      <formula>1</formula>
    </cfRule>
    <cfRule type="cellIs" dxfId="46" priority="41" operator="equal">
      <formula>"t"</formula>
    </cfRule>
    <cfRule type="cellIs" dxfId="45" priority="42" operator="equal">
      <formula>"u"</formula>
    </cfRule>
  </conditionalFormatting>
  <conditionalFormatting sqref="F7:AG49">
    <cfRule type="expression" dxfId="44" priority="38">
      <formula>YEAR(F$6)&lt;&gt;YEAR(G$6)</formula>
    </cfRule>
  </conditionalFormatting>
  <conditionalFormatting sqref="F7:AG49">
    <cfRule type="expression" dxfId="43" priority="37">
      <formula>OR(AND(DAY(F$6)=1,MONTH(F$6)=8,MONTH(G$6)=9),AND(DAY(F$6)=15,MONTH(F$6)=7,MONTH(G$6)=8),AND(DAY(F$6)=1,MONTH(F$6)=8,MONTH(G$6)=8))</formula>
    </cfRule>
  </conditionalFormatting>
  <conditionalFormatting sqref="F7:AG49">
    <cfRule type="expression" dxfId="42" priority="36">
      <formula>LEN($D7)&gt;0</formula>
    </cfRule>
  </conditionalFormatting>
  <conditionalFormatting sqref="F7:AG34">
    <cfRule type="cellIs" dxfId="41" priority="32" operator="equal">
      <formula>"µ"</formula>
    </cfRule>
    <cfRule type="cellIs" dxfId="40" priority="33" operator="equal">
      <formula>1</formula>
    </cfRule>
    <cfRule type="cellIs" dxfId="39" priority="34" operator="equal">
      <formula>"t"</formula>
    </cfRule>
    <cfRule type="cellIs" dxfId="38" priority="35" operator="equal">
      <formula>"u"</formula>
    </cfRule>
  </conditionalFormatting>
  <conditionalFormatting sqref="F7:AG34">
    <cfRule type="expression" dxfId="37" priority="31">
      <formula>YEAR(F$6)&lt;&gt;YEAR(G$6)</formula>
    </cfRule>
  </conditionalFormatting>
  <conditionalFormatting sqref="F7:AG34">
    <cfRule type="expression" dxfId="36" priority="30">
      <formula>OR(AND(DAY(F$6)=1,MONTH(F$6)=8,MONTH(G$6)=9),AND(DAY(F$6)=15,MONTH(F$6)=7,MONTH(G$6)=8),AND(DAY(F$6)=1,MONTH(F$6)=8,MONTH(G$6)=8))</formula>
    </cfRule>
  </conditionalFormatting>
  <conditionalFormatting sqref="F7:AG34">
    <cfRule type="expression" dxfId="35" priority="29">
      <formula>LEN($D7)&gt;0</formula>
    </cfRule>
  </conditionalFormatting>
  <conditionalFormatting sqref="F7:AG35">
    <cfRule type="cellIs" dxfId="34" priority="25" operator="equal">
      <formula>"µ"</formula>
    </cfRule>
    <cfRule type="cellIs" dxfId="33" priority="26" operator="equal">
      <formula>1</formula>
    </cfRule>
    <cfRule type="cellIs" dxfId="32" priority="27" operator="equal">
      <formula>"t"</formula>
    </cfRule>
    <cfRule type="cellIs" dxfId="31" priority="28" operator="equal">
      <formula>"u"</formula>
    </cfRule>
  </conditionalFormatting>
  <conditionalFormatting sqref="F7:AG35">
    <cfRule type="expression" dxfId="30" priority="24">
      <formula>YEAR(F$6)&lt;&gt;YEAR(G$6)</formula>
    </cfRule>
  </conditionalFormatting>
  <conditionalFormatting sqref="F7:AG35">
    <cfRule type="expression" dxfId="29" priority="23">
      <formula>OR(AND(DAY(F$6)=1,MONTH(F$6)=8,MONTH(G$6)=9),AND(DAY(F$6)=15,MONTH(F$6)=7,MONTH(G$6)=8),AND(DAY(F$6)=1,MONTH(F$6)=8,MONTH(G$6)=8))</formula>
    </cfRule>
  </conditionalFormatting>
  <conditionalFormatting sqref="F7:AG35">
    <cfRule type="expression" dxfId="28" priority="22">
      <formula>LEN($D7)&gt;0</formula>
    </cfRule>
  </conditionalFormatting>
  <conditionalFormatting sqref="F7:AG18">
    <cfRule type="cellIs" dxfId="27" priority="18" operator="equal">
      <formula>"µ"</formula>
    </cfRule>
    <cfRule type="cellIs" dxfId="26" priority="19" operator="equal">
      <formula>1</formula>
    </cfRule>
    <cfRule type="cellIs" dxfId="25" priority="20" operator="equal">
      <formula>"t"</formula>
    </cfRule>
    <cfRule type="cellIs" dxfId="24" priority="21" operator="equal">
      <formula>"u"</formula>
    </cfRule>
  </conditionalFormatting>
  <conditionalFormatting sqref="F7:AG18">
    <cfRule type="expression" dxfId="23" priority="17">
      <formula>YEAR(F$6)&lt;&gt;YEAR(G$6)</formula>
    </cfRule>
  </conditionalFormatting>
  <conditionalFormatting sqref="F7:AG18">
    <cfRule type="expression" dxfId="22" priority="16">
      <formula>OR(AND(DAY(F$6)=1,MONTH(F$6)=8,MONTH(G$6)=9),AND(DAY(F$6)=15,MONTH(F$6)=7,MONTH(G$6)=8),AND(DAY(F$6)=1,MONTH(F$6)=8,MONTH(G$6)=8))</formula>
    </cfRule>
  </conditionalFormatting>
  <conditionalFormatting sqref="F7:AG18">
    <cfRule type="expression" dxfId="21" priority="15">
      <formula>LEN($D7)&gt;0</formula>
    </cfRule>
  </conditionalFormatting>
  <conditionalFormatting sqref="F7:AG31">
    <cfRule type="cellIs" dxfId="20" priority="11" operator="equal">
      <formula>"µ"</formula>
    </cfRule>
    <cfRule type="cellIs" dxfId="19" priority="12" operator="equal">
      <formula>1</formula>
    </cfRule>
    <cfRule type="cellIs" dxfId="18" priority="13" operator="equal">
      <formula>"t"</formula>
    </cfRule>
    <cfRule type="cellIs" dxfId="17" priority="14" operator="equal">
      <formula>"u"</formula>
    </cfRule>
  </conditionalFormatting>
  <conditionalFormatting sqref="F7:AG31">
    <cfRule type="expression" dxfId="16" priority="10">
      <formula>YEAR(F$6)&lt;&gt;YEAR(G$6)</formula>
    </cfRule>
  </conditionalFormatting>
  <conditionalFormatting sqref="F7:AG31">
    <cfRule type="expression" dxfId="15" priority="9">
      <formula>OR(AND(DAY(F$6)=1,MONTH(F$6)=8,MONTH(G$6)=9),AND(DAY(F$6)=15,MONTH(F$6)=7,MONTH(G$6)=8),AND(DAY(F$6)=1,MONTH(F$6)=8,MONTH(G$6)=8))</formula>
    </cfRule>
  </conditionalFormatting>
  <conditionalFormatting sqref="F7:AG31">
    <cfRule type="expression" dxfId="14" priority="8">
      <formula>LEN($D7)&gt;0</formula>
    </cfRule>
  </conditionalFormatting>
  <conditionalFormatting sqref="F7:AG37">
    <cfRule type="cellIs" dxfId="13" priority="4" operator="equal">
      <formula>"µ"</formula>
    </cfRule>
    <cfRule type="cellIs" dxfId="12" priority="5" operator="equal">
      <formula>1</formula>
    </cfRule>
    <cfRule type="cellIs" dxfId="11" priority="6" operator="equal">
      <formula>"t"</formula>
    </cfRule>
    <cfRule type="cellIs" dxfId="10" priority="7" operator="equal">
      <formula>"u"</formula>
    </cfRule>
  </conditionalFormatting>
  <conditionalFormatting sqref="F7:AG37">
    <cfRule type="expression" dxfId="9" priority="3">
      <formula>YEAR(F$6)&lt;&gt;YEAR(G$6)</formula>
    </cfRule>
  </conditionalFormatting>
  <conditionalFormatting sqref="F7:AG37">
    <cfRule type="expression" dxfId="8" priority="2">
      <formula>OR(AND(DAY(F$6)=1,MONTH(F$6)=8,MONTH(G$6)=9),AND(DAY(F$6)=15,MONTH(F$6)=7,MONTH(G$6)=8),AND(DAY(F$6)=1,MONTH(F$6)=8,MONTH(G$6)=8))</formula>
    </cfRule>
  </conditionalFormatting>
  <conditionalFormatting sqref="F7:AG37">
    <cfRule type="expression" dxfId="7" priority="1">
      <formula>LEN($D7)&gt;0</formula>
    </cfRule>
  </conditionalFormatting>
  <printOptions horizontalCentered="1" verticalCentered="1"/>
  <pageMargins left="0.23" right="0.21" top="0.74803149606299213" bottom="0.74803149606299213" header="0.31496062992125984" footer="0.31496062992125984"/>
  <pageSetup paperSize="8" orientation="landscape" r:id="rId1"/>
</worksheet>
</file>

<file path=xl/worksheets/sheet2.xml><?xml version="1.0" encoding="utf-8"?>
<worksheet xmlns="http://schemas.openxmlformats.org/spreadsheetml/2006/main" xmlns:r="http://schemas.openxmlformats.org/officeDocument/2006/relationships">
  <sheetPr codeName="Feuil3"/>
  <dimension ref="A2:C17"/>
  <sheetViews>
    <sheetView tabSelected="1" workbookViewId="0">
      <selection activeCell="C13" sqref="C13"/>
    </sheetView>
  </sheetViews>
  <sheetFormatPr baseColWidth="10" defaultRowHeight="15"/>
  <cols>
    <col min="1" max="1" width="35.28515625" bestFit="1" customWidth="1"/>
    <col min="2" max="2" width="20.5703125" customWidth="1"/>
    <col min="3" max="4" width="29.140625" bestFit="1" customWidth="1"/>
  </cols>
  <sheetData>
    <row r="2" spans="1:3">
      <c r="A2" s="6" t="s">
        <v>140</v>
      </c>
      <c r="B2" t="s">
        <v>146</v>
      </c>
    </row>
    <row r="3" spans="1:3">
      <c r="A3" s="6" t="s">
        <v>141</v>
      </c>
      <c r="B3" t="s">
        <v>146</v>
      </c>
    </row>
    <row r="4" spans="1:3">
      <c r="A4" s="6" t="s">
        <v>17</v>
      </c>
      <c r="B4" t="s">
        <v>38</v>
      </c>
    </row>
    <row r="6" spans="1:3">
      <c r="A6" s="6" t="s">
        <v>41</v>
      </c>
      <c r="B6" s="6" t="s">
        <v>21</v>
      </c>
      <c r="C6" t="s">
        <v>39</v>
      </c>
    </row>
    <row r="7" spans="1:3">
      <c r="A7" t="s">
        <v>176</v>
      </c>
      <c r="C7" s="8"/>
    </row>
    <row r="8" spans="1:3">
      <c r="B8" t="s">
        <v>229</v>
      </c>
      <c r="C8" s="8">
        <v>1</v>
      </c>
    </row>
    <row r="9" spans="1:3">
      <c r="B9" t="s">
        <v>190</v>
      </c>
      <c r="C9" s="8">
        <v>1</v>
      </c>
    </row>
    <row r="10" spans="1:3">
      <c r="A10" t="s">
        <v>177</v>
      </c>
      <c r="C10" s="8"/>
    </row>
    <row r="11" spans="1:3">
      <c r="B11" t="s">
        <v>252</v>
      </c>
      <c r="C11" s="8">
        <v>1</v>
      </c>
    </row>
    <row r="12" spans="1:3">
      <c r="A12" t="s">
        <v>173</v>
      </c>
      <c r="C12" s="8"/>
    </row>
    <row r="13" spans="1:3">
      <c r="B13" t="s">
        <v>237</v>
      </c>
      <c r="C13" s="8">
        <v>1</v>
      </c>
    </row>
    <row r="14" spans="1:3">
      <c r="A14" t="s">
        <v>178</v>
      </c>
      <c r="C14" s="8"/>
    </row>
    <row r="15" spans="1:3">
      <c r="B15" t="s">
        <v>254</v>
      </c>
      <c r="C15" s="8">
        <v>1</v>
      </c>
    </row>
    <row r="16" spans="1:3">
      <c r="B16" t="s">
        <v>265</v>
      </c>
      <c r="C16" s="8">
        <v>6</v>
      </c>
    </row>
    <row r="17" spans="1:3">
      <c r="A17" t="s">
        <v>23</v>
      </c>
      <c r="C17" s="8">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Feuil2"/>
  <dimension ref="C2:AI200"/>
  <sheetViews>
    <sheetView showGridLines="0" zoomScale="80" zoomScaleNormal="80" workbookViewId="0"/>
  </sheetViews>
  <sheetFormatPr baseColWidth="10" defaultRowHeight="14.25" customHeight="1" outlineLevelCol="1"/>
  <cols>
    <col min="2" max="2" width="3.85546875" customWidth="1"/>
    <col min="3" max="3" width="10.42578125" customWidth="1"/>
    <col min="4" max="4" width="15.5703125" customWidth="1"/>
    <col min="5" max="5" width="21.85546875" style="32" customWidth="1"/>
    <col min="6" max="11" width="8.7109375" customWidth="1" outlineLevel="1"/>
    <col min="12" max="33" width="7.7109375" customWidth="1"/>
    <col min="34" max="34" width="4.7109375" customWidth="1"/>
    <col min="35" max="35" width="17.85546875" customWidth="1"/>
    <col min="36" max="49" width="4.7109375" customWidth="1"/>
  </cols>
  <sheetData>
    <row r="2" spans="3:35" ht="14.25" customHeight="1">
      <c r="F2" s="43">
        <f t="shared" ref="F2:K2" ca="1" si="0">COUNTIF(F$7:F$400,"u") +COUNTIF(F$7:F$400,"t")</f>
        <v>0</v>
      </c>
      <c r="G2" s="43">
        <f t="shared" ca="1" si="0"/>
        <v>0</v>
      </c>
      <c r="H2" s="43">
        <f t="shared" ca="1" si="0"/>
        <v>1</v>
      </c>
      <c r="I2" s="43">
        <f t="shared" ca="1" si="0"/>
        <v>1</v>
      </c>
      <c r="J2" s="43">
        <f t="shared" ca="1" si="0"/>
        <v>1</v>
      </c>
      <c r="K2" s="43">
        <f t="shared" ca="1" si="0"/>
        <v>1</v>
      </c>
      <c r="L2" s="43">
        <f ca="1">COUNTIF(L$7:L$400,"u") +COUNTIF(L$7:L$400,"t")</f>
        <v>0</v>
      </c>
      <c r="M2" s="43">
        <f t="shared" ref="M2:AG2" ca="1" si="1">COUNTIF(M$7:M$400,"u") +COUNTIF(M$7:M$400,"t")</f>
        <v>2</v>
      </c>
      <c r="N2" s="43">
        <f t="shared" ca="1" si="1"/>
        <v>1</v>
      </c>
      <c r="O2" s="43">
        <f t="shared" ca="1" si="1"/>
        <v>0</v>
      </c>
      <c r="P2" s="43">
        <f t="shared" ca="1" si="1"/>
        <v>0</v>
      </c>
      <c r="Q2" s="43">
        <f t="shared" ca="1" si="1"/>
        <v>0</v>
      </c>
      <c r="R2" s="43">
        <f t="shared" ca="1" si="1"/>
        <v>1</v>
      </c>
      <c r="S2" s="43">
        <f t="shared" ca="1" si="1"/>
        <v>0</v>
      </c>
      <c r="T2" s="43">
        <f t="shared" ca="1" si="1"/>
        <v>0</v>
      </c>
      <c r="U2" s="43">
        <f t="shared" ca="1" si="1"/>
        <v>0</v>
      </c>
      <c r="V2" s="43">
        <f t="shared" ca="1" si="1"/>
        <v>0</v>
      </c>
      <c r="W2" s="43">
        <f t="shared" ca="1" si="1"/>
        <v>0</v>
      </c>
      <c r="X2" s="43">
        <f t="shared" ca="1" si="1"/>
        <v>0</v>
      </c>
      <c r="Y2" s="43">
        <f t="shared" ca="1" si="1"/>
        <v>0</v>
      </c>
      <c r="Z2" s="43">
        <f t="shared" ca="1" si="1"/>
        <v>0</v>
      </c>
      <c r="AA2" s="43">
        <f t="shared" ca="1" si="1"/>
        <v>0</v>
      </c>
      <c r="AB2" s="43">
        <f t="shared" ca="1" si="1"/>
        <v>0</v>
      </c>
      <c r="AC2" s="43">
        <f t="shared" ca="1" si="1"/>
        <v>0</v>
      </c>
      <c r="AD2" s="43">
        <f t="shared" ca="1" si="1"/>
        <v>1</v>
      </c>
      <c r="AE2" s="43">
        <f t="shared" ca="1" si="1"/>
        <v>0</v>
      </c>
      <c r="AF2" s="43">
        <f t="shared" ca="1" si="1"/>
        <v>0</v>
      </c>
      <c r="AG2" s="43">
        <f t="shared" ca="1" si="1"/>
        <v>0</v>
      </c>
    </row>
    <row r="4" spans="3:35" ht="20.25" customHeight="1">
      <c r="F4" s="9"/>
      <c r="G4" s="9"/>
      <c r="H4" s="9"/>
      <c r="I4" s="9"/>
      <c r="J4" s="9"/>
      <c r="K4" s="9"/>
      <c r="L4" s="9">
        <f>DateDebut</f>
        <v>42339</v>
      </c>
      <c r="M4" s="9">
        <f>L4+14</f>
        <v>42353</v>
      </c>
      <c r="N4" s="9">
        <f t="shared" ref="N4" si="2">EDATE(L4,1)</f>
        <v>42370</v>
      </c>
      <c r="O4" s="9">
        <f>N4+14</f>
        <v>42384</v>
      </c>
      <c r="P4" s="9">
        <f t="shared" ref="P4" si="3">EDATE(N4,1)</f>
        <v>42401</v>
      </c>
      <c r="Q4" s="9">
        <f t="shared" ref="Q4:Q6" si="4">P4+14</f>
        <v>42415</v>
      </c>
      <c r="R4" s="9">
        <f t="shared" ref="R4" si="5">EDATE(P4,1)</f>
        <v>42430</v>
      </c>
      <c r="S4" s="9">
        <f t="shared" ref="S4:S6" si="6">R4+14</f>
        <v>42444</v>
      </c>
      <c r="T4" s="9">
        <f t="shared" ref="T4" si="7">EDATE(R4,1)</f>
        <v>42461</v>
      </c>
      <c r="U4" s="9">
        <f t="shared" ref="U4:U6" si="8">T4+14</f>
        <v>42475</v>
      </c>
      <c r="V4" s="9">
        <f t="shared" ref="V4" si="9">EDATE(T4,1)</f>
        <v>42491</v>
      </c>
      <c r="W4" s="9">
        <f t="shared" ref="W4:W6" si="10">V4+14</f>
        <v>42505</v>
      </c>
      <c r="X4" s="10">
        <f>EDATE(V4,1)</f>
        <v>42522</v>
      </c>
      <c r="Y4" s="10">
        <f t="shared" ref="Y4" si="11">EDATE(X4,1)</f>
        <v>42552</v>
      </c>
      <c r="Z4" s="10">
        <f t="shared" ref="Z4" si="12">EDATE(Y4,1)</f>
        <v>42583</v>
      </c>
      <c r="AA4" s="10">
        <f t="shared" ref="AA4" si="13">EDATE(Z4,1)</f>
        <v>42614</v>
      </c>
      <c r="AB4" s="10">
        <f t="shared" ref="AB4" si="14">EDATE(AA4,1)</f>
        <v>42644</v>
      </c>
      <c r="AC4" s="10">
        <f t="shared" ref="AC4" si="15">EDATE(AB4,1)</f>
        <v>42675</v>
      </c>
      <c r="AD4" s="10" t="str">
        <f>"T"&amp;ROUNDUP(MONTH(DateDebut)/3,0)&amp;"-"&amp;TEXT((EDATE(DateDebut,12)),"AA")</f>
        <v>T4-16</v>
      </c>
      <c r="AE4" s="10" t="str">
        <f t="shared" ref="AE4:AG5" si="16">"T"&amp;IF(MID(AD4,2,1)+0=4,1,MID(AD4,2,1)+1)
&amp;"-"&amp;(RIGHT(AD4,2)+IF(MID(AD4,2,1)+0=4,1,0))</f>
        <v>T1-17</v>
      </c>
      <c r="AF4" s="10" t="str">
        <f t="shared" si="16"/>
        <v>T2-17</v>
      </c>
      <c r="AG4" s="10" t="str">
        <f t="shared" si="16"/>
        <v>T3-17</v>
      </c>
    </row>
    <row r="5" spans="3:35" s="45" customFormat="1" ht="14.25" customHeight="1">
      <c r="E5" s="46"/>
      <c r="F5" s="60">
        <f t="shared" ref="F5" si="17">EDATE(H5,-1)</f>
        <v>42248</v>
      </c>
      <c r="G5" s="61"/>
      <c r="H5" s="60">
        <f t="shared" ref="H5" si="18">EDATE(J5,-1)</f>
        <v>42278</v>
      </c>
      <c r="I5" s="61"/>
      <c r="J5" s="60">
        <f t="shared" ref="J5" si="19">EDATE(L5,-1)</f>
        <v>42309</v>
      </c>
      <c r="K5" s="61"/>
      <c r="L5" s="63">
        <f>DateDebut</f>
        <v>42339</v>
      </c>
      <c r="M5" s="64"/>
      <c r="N5" s="60">
        <f t="shared" ref="N5" si="20">EDATE(L5,1)</f>
        <v>42370</v>
      </c>
      <c r="O5" s="61"/>
      <c r="P5" s="60">
        <f t="shared" ref="P5:P6" si="21">EDATE(N5,1)</f>
        <v>42401</v>
      </c>
      <c r="Q5" s="61"/>
      <c r="R5" s="60">
        <f t="shared" ref="R5:R6" si="22">EDATE(P5,1)</f>
        <v>42430</v>
      </c>
      <c r="S5" s="61"/>
      <c r="T5" s="60">
        <f t="shared" ref="T5:T6" si="23">EDATE(R5,1)</f>
        <v>42461</v>
      </c>
      <c r="U5" s="61"/>
      <c r="V5" s="60">
        <f t="shared" ref="V5:V6" si="24">EDATE(T5,1)</f>
        <v>42491</v>
      </c>
      <c r="W5" s="61"/>
      <c r="X5" s="44">
        <f t="shared" ref="X5" si="25">EDATE(V5,1)</f>
        <v>42522</v>
      </c>
      <c r="Y5" s="44">
        <f t="shared" ref="Y5" si="26">EDATE(X5,1)</f>
        <v>42552</v>
      </c>
      <c r="Z5" s="44">
        <f t="shared" ref="Z5" si="27">EDATE(Y5,1)</f>
        <v>42583</v>
      </c>
      <c r="AA5" s="47">
        <f t="shared" ref="AA5" si="28">EDATE(Z5,1)</f>
        <v>42614</v>
      </c>
      <c r="AB5" s="47">
        <f t="shared" ref="AB5" si="29">EDATE(AA5,1)</f>
        <v>42644</v>
      </c>
      <c r="AC5" s="44">
        <f t="shared" ref="AC5" si="30">EDATE(AB5,1)</f>
        <v>42675</v>
      </c>
      <c r="AD5" s="44" t="str">
        <f>"T"&amp;ROUNDUP(MONTH(DateDebut)/3,0)&amp;"-"&amp;TEXT((EDATE(DateDebut,12)),"AA")</f>
        <v>T4-16</v>
      </c>
      <c r="AE5" s="44" t="str">
        <f t="shared" si="16"/>
        <v>T1-17</v>
      </c>
      <c r="AF5" s="44" t="str">
        <f t="shared" si="16"/>
        <v>T2-17</v>
      </c>
      <c r="AG5" s="44" t="str">
        <f t="shared" si="16"/>
        <v>T3-17</v>
      </c>
      <c r="AH5" s="62"/>
      <c r="AI5" s="62"/>
    </row>
    <row r="6" spans="3:35" ht="14.25" customHeight="1">
      <c r="C6" s="12" t="str">
        <f t="shared" ref="C6" ca="1" si="31">IFERROR(IF(LEN(INDIRECT(ADDRESS(C0Ligne+ROW()-MaquetteLigne0,C0Col-2,1,1,"Tri")))&lt;2,"",INDIRECT(ADDRESS(C0Ligne+ROW()-MaquetteLigne0,C0Col-2,1,1,"Tri"))),"")</f>
        <v/>
      </c>
      <c r="D6" s="12" t="str">
        <f t="shared" ref="D6" ca="1" si="32">IFERROR(IF(LEN(INDIRECT(ADDRESS(C0Ligne+ROW()-MaquetteLigne0,C0Col-1,1,1,"Tri")))&lt;2,"",INDIRECT(ADDRESS(C0Ligne+ROW()-MaquetteLigne0,C0Col-1,1,1,"Tri"))),"")</f>
        <v>Domaine POS</v>
      </c>
      <c r="E6" s="33" t="str">
        <f t="shared" ref="E6:E69" ca="1" si="33">IF(LEN(INDIRECT(ADDRESS(C0Ligne+ROW()-MaquetteLigne0,C0Col,1,1,"Tri")))&lt;2,"",INDIRECT(ADDRESS(C0Ligne+ROW()-MaquetteLigne0,C0Col,1,1,"Tri")))</f>
        <v>Projet / Application</v>
      </c>
      <c r="F6" s="16">
        <f>EDATE(H6,-1)</f>
        <v>42248</v>
      </c>
      <c r="G6" s="15">
        <f>F6+14</f>
        <v>42262</v>
      </c>
      <c r="H6" s="16">
        <f>EDATE(J6,-1)</f>
        <v>42278</v>
      </c>
      <c r="I6" s="15">
        <f>H6+14</f>
        <v>42292</v>
      </c>
      <c r="J6" s="16">
        <f t="shared" ref="J6" si="34">EDATE(L6,-1)</f>
        <v>42309</v>
      </c>
      <c r="K6" s="15">
        <f>J6+14</f>
        <v>42323</v>
      </c>
      <c r="L6" s="14">
        <f>DateDebut</f>
        <v>42339</v>
      </c>
      <c r="M6" s="15">
        <f>L6+14</f>
        <v>42353</v>
      </c>
      <c r="N6" s="16">
        <f t="shared" ref="N6" si="35">EDATE(L6,1)</f>
        <v>42370</v>
      </c>
      <c r="O6" s="15">
        <f>N6+14</f>
        <v>42384</v>
      </c>
      <c r="P6" s="16">
        <f t="shared" si="21"/>
        <v>42401</v>
      </c>
      <c r="Q6" s="15">
        <f t="shared" si="4"/>
        <v>42415</v>
      </c>
      <c r="R6" s="16">
        <f t="shared" si="22"/>
        <v>42430</v>
      </c>
      <c r="S6" s="15">
        <f t="shared" si="6"/>
        <v>42444</v>
      </c>
      <c r="T6" s="16">
        <f t="shared" si="23"/>
        <v>42461</v>
      </c>
      <c r="U6" s="15">
        <f t="shared" si="8"/>
        <v>42475</v>
      </c>
      <c r="V6" s="16">
        <f t="shared" si="24"/>
        <v>42491</v>
      </c>
      <c r="W6" s="15">
        <f t="shared" si="10"/>
        <v>42505</v>
      </c>
      <c r="X6" s="13">
        <f>EDATE(V5,1)</f>
        <v>42522</v>
      </c>
      <c r="Y6" s="13">
        <f t="shared" ref="Y6" si="36">EDATE(X6,1)</f>
        <v>42552</v>
      </c>
      <c r="Z6" s="13">
        <f t="shared" ref="Z6" si="37">EDATE(Y6,1)</f>
        <v>42583</v>
      </c>
      <c r="AA6" s="13">
        <f t="shared" ref="AA6" si="38">EDATE(Z6,1)</f>
        <v>42614</v>
      </c>
      <c r="AB6" s="13">
        <f t="shared" ref="AB6" si="39">EDATE(AA6,1)</f>
        <v>42644</v>
      </c>
      <c r="AC6" s="13">
        <f t="shared" ref="AC6" si="40">EDATE(AB6,1)</f>
        <v>42675</v>
      </c>
      <c r="AD6" s="13" t="str">
        <f>AD5</f>
        <v>T4-16</v>
      </c>
      <c r="AE6" s="13" t="str">
        <f t="shared" ref="AE6:AG6" si="41">AE5</f>
        <v>T1-17</v>
      </c>
      <c r="AF6" s="13" t="str">
        <f t="shared" si="41"/>
        <v>T2-17</v>
      </c>
      <c r="AG6" s="13" t="str">
        <f t="shared" si="41"/>
        <v>T3-17</v>
      </c>
    </row>
    <row r="7" spans="3:35" ht="14.25" customHeight="1">
      <c r="C7" s="11" t="str">
        <f t="shared" ref="C7:C38" ca="1" si="42">IFERROR(IF(LEN(INDIRECT(ADDRESS(C0Ligne+ROW()-MaquetteLigne0,C0Col-2,1,1,"Tri")))&lt;2,"",IF(LEFT(INDIRECT(ADDRESS(C0Ligne+ROW()-MaquetteLigne0,C0Col-2,1,1,"Tri")),5)="Total","",INDIRECT(ADDRESS(C0Ligne+ROW()-MaquetteLigne0,C0Col-2,1,1,"Tri")))),"")</f>
        <v/>
      </c>
      <c r="D7" s="11" t="str">
        <f t="shared" ref="D7:D38" ca="1" si="43">IFERROR(IF(LEN(INDIRECT(ADDRESS(C0Ligne+ROW()-MaquetteLigne0,C0Col-1,1,1,"Tri")))&lt;2,"",IF(LEFT(INDIRECT(ADDRESS(C0Ligne+ROW()-MaquetteLigne0,C0Col-1,1,1,"Tri")),5)="Total","",INDIRECT(ADDRESS(C0Ligne+ROW()-MaquetteLigne0,C0Col-1,1,1,"Tri")))),"")</f>
        <v>Domaine 7</v>
      </c>
      <c r="E7" s="34" t="str">
        <f t="shared" ca="1" si="33"/>
        <v/>
      </c>
      <c r="F7" s="51" t="str">
        <f ca="1">IFERROR(IF(AND(
  INDEX(Roadmap!$D:$K,MATCH($E7,Roadmap!$D:$D,0)+COUNTIF($E7:E7,"u")+COUNTIF($E7:E7,"t")+COUNTIF($E7:E7,"¶")+COUNTIF($E7:E7,"²")+COUNTIF($E7:E7,"µ")+COUNTIF($E7:E7,1),ColLivraison)=F$6,
  VLOOKUP($E7,INDIRECT("tri!"&amp; CHAR(64+ C0Col) &amp;":"&amp; CHAR(65+C0Col)),2,FALSE)&gt;COUNTIF($E7:E7,"u")+COUNTIF($E7:E7,"t")+COUNTIF($E7:E7,"¶")+COUNTIF($E7:E7,"²")+COUNTIF($E7:E7,"µ")+COUNTIF($E7:E7,1)),
HYPERLINK("#Roadmap!C"&amp; MATCH($E7,Roadmap!$D:$D,0)+COUNTIF($E7:E7,"u")+COUNTIF($E7:E7,"t"),
     INDEX(Roadmap!$D:$K,MATCH($E7,Roadmap!$D:$D,0)+COUNTIF($E7:E7,"u")+COUNTIF($E7:E7,"t")+COUNTIF($E7:E7,"¶")+COUNTIF($E7:E7,"²")+COUNTIF($E7:E7,"µ")+COUNTIF($E7:E7,1),ColTypeEcheance)),
  IF(LEN(E7)=1,
  IF(LEN(INDEX(Roadmap!$D:$K,MATCH($E7,Roadmap!$D:$D,0)-1+COUNTIF($E7:E7,"u")+COUNTIF($E7:E7,"t")+COUNTIF($E7:E7,"¶")+COUNTIF($E7:E7,"²")+COUNTIF($E7:E7,"µ")+COUNTIF($E7:E7,1),ColDescriptionCourte))&gt;1,
HYPERLINK("#Roadmap!C"&amp; MATCH($E7,Roadmap!$D:$D,0)+COUNTIF($E7:E7,"u")+COUNTIF($E7:E7,"t")+COUNTIF($E7:E7,"¶")+COUNTIF($E7:E7,"²")+COUNTIF($E7:E7,"µ")+COUNTIF($E7:E7,1)-1,INDEX(Roadmap!$D:$K,MATCH($E7,Roadmap!$D:$D,0)-1+COUNTIF($E7:E7,"u")+COUNTIF($E7:E7,"t")+COUNTIF($E7:E7,"¶")+COUNTIF($E7:E7,"²")+COUNTIF($E7:E7,"µ")+COUNTIF($E7:E7,1),ColDescriptionCourte)),""),
  "")),"")</f>
        <v/>
      </c>
      <c r="G7" s="38" t="str">
        <f ca="1">IFERROR(IF(AND(
  INDEX(Roadmap!$D:$K,MATCH($E7,Roadmap!$D:$D,0)+COUNTIF($E7:F7,"u")+COUNTIF($E7:F7,"t")+COUNTIF($E7:F7,"¶")+COUNTIF($E7:F7,"²")+COUNTIF($E7:F7,"µ")+COUNTIF($E7:F7,1),ColLivraison)=G$6,
  VLOOKUP($E7,INDIRECT("tri!"&amp; CHAR(64+ C0Col) &amp;":"&amp; CHAR(65+C0Col)),2,FALSE)&gt;COUNTIF($E7:F7,"u")+COUNTIF($E7:F7,"t")+COUNTIF($E7:F7,"¶")+COUNTIF($E7:F7,"²")+COUNTIF($E7:F7,"µ")+COUNTIF($E7:F7,1)),
HYPERLINK("#Roadmap!C"&amp; MATCH($E7,Roadmap!$D:$D,0)+COUNTIF($E7:F7,"u")+COUNTIF($E7:F7,"t"),
     INDEX(Roadmap!$D:$K,MATCH($E7,Roadmap!$D:$D,0)+COUNTIF($E7:F7,"u")+COUNTIF($E7:F7,"t")+COUNTIF($E7:F7,"¶")+COUNTIF($E7:F7,"²")+COUNTIF($E7:F7,"µ")+COUNTIF($E7:F7,1),ColTypeEcheance)),
  IF(LEN(F7)=1,
  IF(LEN(INDEX(Roadmap!$D:$K,MATCH($E7,Roadmap!$D:$D,0)-1+COUNTIF($E7:F7,"u")+COUNTIF($E7:F7,"t")+COUNTIF($E7:F7,"¶")+COUNTIF($E7:F7,"²")+COUNTIF($E7:F7,"µ")+COUNTIF($E7:F7,1),ColDescriptionCourte))&gt;1,
HYPERLINK("#Roadmap!C"&amp; MATCH($E7,Roadmap!$D:$D,0)+COUNTIF($E7:F7,"u")+COUNTIF($E7:F7,"t")+COUNTIF($E7:F7,"¶")+COUNTIF($E7:F7,"²")+COUNTIF($E7:F7,"µ")+COUNTIF($E7:F7,1)-1,INDEX(Roadmap!$D:$K,MATCH($E7,Roadmap!$D:$D,0)-1+COUNTIF($E7:F7,"u")+COUNTIF($E7:F7,"t")+COUNTIF($E7:F7,"¶")+COUNTIF($E7:F7,"²")+COUNTIF($E7:F7,"µ")+COUNTIF($E7:F7,1),ColDescriptionCourte)),""),
  "")),"")</f>
        <v/>
      </c>
      <c r="H7" s="38" t="str">
        <f ca="1">IFERROR(IF(AND(
  INDEX(Roadmap!$D:$K,MATCH($E7,Roadmap!$D:$D,0)+COUNTIF($E7:G7,"u")+COUNTIF($E7:G7,"t")+COUNTIF($E7:G7,"¶")+COUNTIF($E7:G7,"²")+COUNTIF($E7:G7,"µ")+COUNTIF($E7:G7,1),ColLivraison)=H$6,
  VLOOKUP($E7,INDIRECT("tri!"&amp; CHAR(64+ C0Col) &amp;":"&amp; CHAR(65+C0Col)),2,FALSE)&gt;COUNTIF($E7:G7,"u")+COUNTIF($E7:G7,"t")+COUNTIF($E7:G7,"¶")+COUNTIF($E7:G7,"²")+COUNTIF($E7:G7,"µ")+COUNTIF($E7:G7,1)),
HYPERLINK("#Roadmap!C"&amp; MATCH($E7,Roadmap!$D:$D,0)+COUNTIF($E7:G7,"u")+COUNTIF($E7:G7,"t"),
     INDEX(Roadmap!$D:$K,MATCH($E7,Roadmap!$D:$D,0)+COUNTIF($E7:G7,"u")+COUNTIF($E7:G7,"t")+COUNTIF($E7:G7,"¶")+COUNTIF($E7:G7,"²")+COUNTIF($E7:G7,"µ")+COUNTIF($E7:G7,1),ColTypeEcheance)),
  IF(LEN(G7)=1,
  IF(LEN(INDEX(Roadmap!$D:$K,MATCH($E7,Roadmap!$D:$D,0)-1+COUNTIF($E7:G7,"u")+COUNTIF($E7:G7,"t")+COUNTIF($E7:G7,"¶")+COUNTIF($E7:G7,"²")+COUNTIF($E7:G7,"µ")+COUNTIF($E7:G7,1),ColDescriptionCourte))&gt;1,
HYPERLINK("#Roadmap!C"&amp; MATCH($E7,Roadmap!$D:$D,0)+COUNTIF($E7:G7,"u")+COUNTIF($E7:G7,"t")+COUNTIF($E7:G7,"¶")+COUNTIF($E7:G7,"²")+COUNTIF($E7:G7,"µ")+COUNTIF($E7:G7,1)-1,INDEX(Roadmap!$D:$K,MATCH($E7,Roadmap!$D:$D,0)-1+COUNTIF($E7:G7,"u")+COUNTIF($E7:G7,"t")+COUNTIF($E7:G7,"¶")+COUNTIF($E7:G7,"²")+COUNTIF($E7:G7,"µ")+COUNTIF($E7:G7,1),ColDescriptionCourte)),""),
  "")),"")</f>
        <v/>
      </c>
      <c r="I7" s="38" t="str">
        <f ca="1">IFERROR(IF(AND(
  INDEX(Roadmap!$D:$K,MATCH($E7,Roadmap!$D:$D,0)+COUNTIF($E7:H7,"u")+COUNTIF($E7:H7,"t")+COUNTIF($E7:H7,"¶")+COUNTIF($E7:H7,"²")+COUNTIF($E7:H7,"µ")+COUNTIF($E7:H7,1),ColLivraison)=I$6,
  VLOOKUP($E7,INDIRECT("tri!"&amp; CHAR(64+ C0Col) &amp;":"&amp; CHAR(65+C0Col)),2,FALSE)&gt;COUNTIF($E7:H7,"u")+COUNTIF($E7:H7,"t")+COUNTIF($E7:H7,"¶")+COUNTIF($E7:H7,"²")+COUNTIF($E7:H7,"µ")+COUNTIF($E7:H7,1)),
HYPERLINK("#Roadmap!C"&amp; MATCH($E7,Roadmap!$D:$D,0)+COUNTIF($E7:H7,"u")+COUNTIF($E7:H7,"t"),
     INDEX(Roadmap!$D:$K,MATCH($E7,Roadmap!$D:$D,0)+COUNTIF($E7:H7,"u")+COUNTIF($E7:H7,"t")+COUNTIF($E7:H7,"¶")+COUNTIF($E7:H7,"²")+COUNTIF($E7:H7,"µ")+COUNTIF($E7:H7,1),ColTypeEcheance)),
  IF(LEN(H7)=1,
  IF(LEN(INDEX(Roadmap!$D:$K,MATCH($E7,Roadmap!$D:$D,0)-1+COUNTIF($E7:H7,"u")+COUNTIF($E7:H7,"t")+COUNTIF($E7:H7,"¶")+COUNTIF($E7:H7,"²")+COUNTIF($E7:H7,"µ")+COUNTIF($E7:H7,1),ColDescriptionCourte))&gt;1,
HYPERLINK("#Roadmap!C"&amp; MATCH($E7,Roadmap!$D:$D,0)+COUNTIF($E7:H7,"u")+COUNTIF($E7:H7,"t")+COUNTIF($E7:H7,"¶")+COUNTIF($E7:H7,"²")+COUNTIF($E7:H7,"µ")+COUNTIF($E7:H7,1)-1,INDEX(Roadmap!$D:$K,MATCH($E7,Roadmap!$D:$D,0)-1+COUNTIF($E7:H7,"u")+COUNTIF($E7:H7,"t")+COUNTIF($E7:H7,"¶")+COUNTIF($E7:H7,"²")+COUNTIF($E7:H7,"µ")+COUNTIF($E7:H7,1),ColDescriptionCourte)),""),
  "")),"")</f>
        <v/>
      </c>
      <c r="J7" s="38" t="str">
        <f ca="1">IFERROR(IF(AND(
  INDEX(Roadmap!$D:$K,MATCH($E7,Roadmap!$D:$D,0)+COUNTIF($E7:I7,"u")+COUNTIF($E7:I7,"t")+COUNTIF($E7:I7,"¶")+COUNTIF($E7:I7,"²")+COUNTIF($E7:I7,"µ")+COUNTIF($E7:I7,1),ColLivraison)=J$6,
  VLOOKUP($E7,INDIRECT("tri!"&amp; CHAR(64+ C0Col) &amp;":"&amp; CHAR(65+C0Col)),2,FALSE)&gt;COUNTIF($E7:I7,"u")+COUNTIF($E7:I7,"t")+COUNTIF($E7:I7,"¶")+COUNTIF($E7:I7,"²")+COUNTIF($E7:I7,"µ")+COUNTIF($E7:I7,1)),
HYPERLINK("#Roadmap!C"&amp; MATCH($E7,Roadmap!$D:$D,0)+COUNTIF($E7:I7,"u")+COUNTIF($E7:I7,"t"),
     INDEX(Roadmap!$D:$K,MATCH($E7,Roadmap!$D:$D,0)+COUNTIF($E7:I7,"u")+COUNTIF($E7:I7,"t")+COUNTIF($E7:I7,"¶")+COUNTIF($E7:I7,"²")+COUNTIF($E7:I7,"µ")+COUNTIF($E7:I7,1),ColTypeEcheance)),
  IF(LEN(I7)=1,
  IF(LEN(INDEX(Roadmap!$D:$K,MATCH($E7,Roadmap!$D:$D,0)-1+COUNTIF($E7:I7,"u")+COUNTIF($E7:I7,"t")+COUNTIF($E7:I7,"¶")+COUNTIF($E7:I7,"²")+COUNTIF($E7:I7,"µ")+COUNTIF($E7:I7,1),ColDescriptionCourte))&gt;1,
HYPERLINK("#Roadmap!C"&amp; MATCH($E7,Roadmap!$D:$D,0)+COUNTIF($E7:I7,"u")+COUNTIF($E7:I7,"t")+COUNTIF($E7:I7,"¶")+COUNTIF($E7:I7,"²")+COUNTIF($E7:I7,"µ")+COUNTIF($E7:I7,1)-1,INDEX(Roadmap!$D:$K,MATCH($E7,Roadmap!$D:$D,0)-1+COUNTIF($E7:I7,"u")+COUNTIF($E7:I7,"t")+COUNTIF($E7:I7,"¶")+COUNTIF($E7:I7,"²")+COUNTIF($E7:I7,"µ")+COUNTIF($E7:I7,1),ColDescriptionCourte)),""),
  "")),"")</f>
        <v/>
      </c>
      <c r="K7" s="38" t="str">
        <f ca="1">IFERROR(IF(AND(
  INDEX(Roadmap!$D:$K,MATCH($E7,Roadmap!$D:$D,0)+COUNTIF($E7:J7,"u")+COUNTIF($E7:J7,"t")+COUNTIF($E7:J7,"¶")+COUNTIF($E7:J7,"²")+COUNTIF($E7:J7,"µ")+COUNTIF($E7:J7,1),ColLivraison)=K$6,
  VLOOKUP($E7,INDIRECT("tri!"&amp; CHAR(64+ C0Col) &amp;":"&amp; CHAR(65+C0Col)),2,FALSE)&gt;COUNTIF($E7:J7,"u")+COUNTIF($E7:J7,"t")+COUNTIF($E7:J7,"¶")+COUNTIF($E7:J7,"²")+COUNTIF($E7:J7,"µ")+COUNTIF($E7:J7,1)),
HYPERLINK("#Roadmap!C"&amp; MATCH($E7,Roadmap!$D:$D,0)+COUNTIF($E7:J7,"u")+COUNTIF($E7:J7,"t"),
     INDEX(Roadmap!$D:$K,MATCH($E7,Roadmap!$D:$D,0)+COUNTIF($E7:J7,"u")+COUNTIF($E7:J7,"t")+COUNTIF($E7:J7,"¶")+COUNTIF($E7:J7,"²")+COUNTIF($E7:J7,"µ")+COUNTIF($E7:J7,1),ColTypeEcheance)),
  IF(LEN(J7)=1,
  IF(LEN(INDEX(Roadmap!$D:$K,MATCH($E7,Roadmap!$D:$D,0)-1+COUNTIF($E7:J7,"u")+COUNTIF($E7:J7,"t")+COUNTIF($E7:J7,"¶")+COUNTIF($E7:J7,"²")+COUNTIF($E7:J7,"µ")+COUNTIF($E7:J7,1),ColDescriptionCourte))&gt;1,
HYPERLINK("#Roadmap!C"&amp; MATCH($E7,Roadmap!$D:$D,0)+COUNTIF($E7:J7,"u")+COUNTIF($E7:J7,"t")+COUNTIF($E7:J7,"¶")+COUNTIF($E7:J7,"²")+COUNTIF($E7:J7,"µ")+COUNTIF($E7:J7,1)-1,INDEX(Roadmap!$D:$K,MATCH($E7,Roadmap!$D:$D,0)-1+COUNTIF($E7:J7,"u")+COUNTIF($E7:J7,"t")+COUNTIF($E7:J7,"¶")+COUNTIF($E7:J7,"²")+COUNTIF($E7:J7,"µ")+COUNTIF($E7:J7,1),ColDescriptionCourte)),""),
  "")),"")</f>
        <v/>
      </c>
      <c r="L7" s="37" t="str">
        <f ca="1">IFERROR(IF(AND(
  INDEX(Roadmap!$D:$K,MATCH($E7,Roadmap!$D:$D,0)+COUNTIF($E7:K7,"u")+COUNTIF($E7:K7,"t")+COUNTIF($E7:K7,"¶")+COUNTIF($E7:K7,"²")+COUNTIF($E7:K7,"µ")+COUNTIF($E7:K7,1),ColLivraison)=L$6,
  VLOOKUP($E7,INDIRECT("tri!"&amp; CHAR(64+ C0Col) &amp;":"&amp; CHAR(65+C0Col)),2,FALSE)&gt;COUNTIF($E7:K7,"u")+COUNTIF($E7:K7,"t")+COUNTIF($E7:K7,"¶")+COUNTIF($E7:K7,"²")+COUNTIF($E7:K7,"µ")+COUNTIF($E7:K7,1)),
HYPERLINK("#Roadmap!C"&amp; MATCH($E7,Roadmap!$D:$D,0)+COUNTIF($E7:K7,"u")+COUNTIF($E7:K7,"t"),
     INDEX(Roadmap!$D:$K,MATCH($E7,Roadmap!$D:$D,0)+COUNTIF($E7:K7,"u")+COUNTIF($E7:K7,"t")+COUNTIF($E7:K7,"¶")+COUNTIF($E7:K7,"²")+COUNTIF($E7:K7,"µ")+COUNTIF($E7:K7,1),ColTypeEcheance)),
  IF(LEN(K7)=1,
  IF(LEN(INDEX(Roadmap!$D:$K,MATCH($E7,Roadmap!$D:$D,0)-1+COUNTIF($E7:K7,"u")+COUNTIF($E7:K7,"t")+COUNTIF($E7:K7,"¶")+COUNTIF($E7:K7,"²")+COUNTIF($E7:K7,"µ")+COUNTIF($E7:K7,1),ColDescriptionCourte))&gt;1,
HYPERLINK("#Roadmap!C"&amp; MATCH($E7,Roadmap!$D:$D,0)+COUNTIF($E7:K7,"u")+COUNTIF($E7:K7,"t")+COUNTIF($E7:K7,"¶")+COUNTIF($E7:K7,"²")+COUNTIF($E7:K7,"µ")+COUNTIF($E7:K7,1)-1,INDEX(Roadmap!$D:$K,MATCH($E7,Roadmap!$D:$D,0)-1+COUNTIF($E7:K7,"u")+COUNTIF($E7:K7,"t")+COUNTIF($E7:K7,"¶")+COUNTIF($E7:K7,"²")+COUNTIF($E7:K7,"µ")+COUNTIF($E7:K7,1),ColDescriptionCourte)),""),
  "")),"")</f>
        <v/>
      </c>
      <c r="M7" s="38" t="str">
        <f ca="1">IFERROR(IF(AND(
  INDEX(Roadmap!$D:$K,MATCH($E7,Roadmap!$D:$D,0)+COUNTIF($E7:L7,"u")+COUNTIF($E7:L7,"t")+COUNTIF($E7:L7,"¶")+COUNTIF($E7:L7,"²")+COUNTIF($E7:L7,"µ")+COUNTIF($E7:L7,1),ColLivraison)=M$6,
  VLOOKUP($E7,INDIRECT("tri!"&amp; CHAR(64+ C0Col) &amp;":"&amp; CHAR(65+C0Col)),2,FALSE)&gt;COUNTIF($E7:L7,"u")+COUNTIF($E7:L7,"t")+COUNTIF($E7:L7,"¶")+COUNTIF($E7:L7,"²")+COUNTIF($E7:L7,"µ")+COUNTIF($E7:L7,1)),
HYPERLINK("#Roadmap!C"&amp; MATCH($E7,Roadmap!$D:$D,0)+COUNTIF($E7:L7,"u")+COUNTIF($E7:L7,"t"),
     INDEX(Roadmap!$D:$K,MATCH($E7,Roadmap!$D:$D,0)+COUNTIF($E7:L7,"u")+COUNTIF($E7:L7,"t")+COUNTIF($E7:L7,"¶")+COUNTIF($E7:L7,"²")+COUNTIF($E7:L7,"µ")+COUNTIF($E7:L7,1),ColTypeEcheance)),
  IF(LEN(L7)=1,
  IF(LEN(INDEX(Roadmap!$D:$K,MATCH($E7,Roadmap!$D:$D,0)-1+COUNTIF($E7:L7,"u")+COUNTIF($E7:L7,"t")+COUNTIF($E7:L7,"¶")+COUNTIF($E7:L7,"²")+COUNTIF($E7:L7,"µ")+COUNTIF($E7:L7,1),ColDescriptionCourte))&gt;1,
HYPERLINK("#Roadmap!C"&amp; MATCH($E7,Roadmap!$D:$D,0)+COUNTIF($E7:L7,"u")+COUNTIF($E7:L7,"t")+COUNTIF($E7:L7,"¶")+COUNTIF($E7:L7,"²")+COUNTIF($E7:L7,"µ")+COUNTIF($E7:L7,1)-1,INDEX(Roadmap!$D:$K,MATCH($E7,Roadmap!$D:$D,0)-1+COUNTIF($E7:L7,"u")+COUNTIF($E7:L7,"t")+COUNTIF($E7:L7,"¶")+COUNTIF($E7:L7,"²")+COUNTIF($E7:L7,"µ")+COUNTIF($E7:L7,1),ColDescriptionCourte)),""),
  "")),"")</f>
        <v/>
      </c>
      <c r="N7" s="38" t="str">
        <f ca="1">IFERROR(IF(AND(
  INDEX(Roadmap!$D:$K,MATCH($E7,Roadmap!$D:$D,0)+COUNTIF($E7:M7,"u")+COUNTIF($E7:M7,"t")+COUNTIF($E7:M7,"¶")+COUNTIF($E7:M7,"²")+COUNTIF($E7:M7,"µ")+COUNTIF($E7:M7,1),ColLivraison)=N$6,
  VLOOKUP($E7,INDIRECT("tri!"&amp; CHAR(64+ C0Col) &amp;":"&amp; CHAR(65+C0Col)),2,FALSE)&gt;COUNTIF($E7:M7,"u")+COUNTIF($E7:M7,"t")+COUNTIF($E7:M7,"¶")+COUNTIF($E7:M7,"²")+COUNTIF($E7:M7,"µ")+COUNTIF($E7:M7,1)),
HYPERLINK("#Roadmap!C"&amp; MATCH($E7,Roadmap!$D:$D,0)+COUNTIF($E7:M7,"u")+COUNTIF($E7:M7,"t"),
     INDEX(Roadmap!$D:$K,MATCH($E7,Roadmap!$D:$D,0)+COUNTIF($E7:M7,"u")+COUNTIF($E7:M7,"t")+COUNTIF($E7:M7,"¶")+COUNTIF($E7:M7,"²")+COUNTIF($E7:M7,"µ")+COUNTIF($E7:M7,1),ColTypeEcheance)),
  IF(LEN(M7)=1,
  IF(LEN(INDEX(Roadmap!$D:$K,MATCH($E7,Roadmap!$D:$D,0)-1+COUNTIF($E7:M7,"u")+COUNTIF($E7:M7,"t")+COUNTIF($E7:M7,"¶")+COUNTIF($E7:M7,"²")+COUNTIF($E7:M7,"µ")+COUNTIF($E7:M7,1),ColDescriptionCourte))&gt;1,
HYPERLINK("#Roadmap!C"&amp; MATCH($E7,Roadmap!$D:$D,0)+COUNTIF($E7:M7,"u")+COUNTIF($E7:M7,"t")+COUNTIF($E7:M7,"¶")+COUNTIF($E7:M7,"²")+COUNTIF($E7:M7,"µ")+COUNTIF($E7:M7,1)-1,INDEX(Roadmap!$D:$K,MATCH($E7,Roadmap!$D:$D,0)-1+COUNTIF($E7:M7,"u")+COUNTIF($E7:M7,"t")+COUNTIF($E7:M7,"¶")+COUNTIF($E7:M7,"²")+COUNTIF($E7:M7,"µ")+COUNTIF($E7:M7,1),ColDescriptionCourte)),""),
  "")),"")</f>
        <v/>
      </c>
      <c r="O7" s="38" t="str">
        <f ca="1">IFERROR(IF(AND(
  INDEX(Roadmap!$D:$K,MATCH($E7,Roadmap!$D:$D,0)+COUNTIF($E7:N7,"u")+COUNTIF($E7:N7,"t")+COUNTIF($E7:N7,"¶")+COUNTIF($E7:N7,"²")+COUNTIF($E7:N7,"µ")+COUNTIF($E7:N7,1),ColLivraison)=O$6,
  VLOOKUP($E7,INDIRECT("tri!"&amp; CHAR(64+ C0Col) &amp;":"&amp; CHAR(65+C0Col)),2,FALSE)&gt;COUNTIF($E7:N7,"u")+COUNTIF($E7:N7,"t")+COUNTIF($E7:N7,"¶")+COUNTIF($E7:N7,"²")+COUNTIF($E7:N7,"µ")+COUNTIF($E7:N7,1)),
HYPERLINK("#Roadmap!C"&amp; MATCH($E7,Roadmap!$D:$D,0)+COUNTIF($E7:N7,"u")+COUNTIF($E7:N7,"t"),
     INDEX(Roadmap!$D:$K,MATCH($E7,Roadmap!$D:$D,0)+COUNTIF($E7:N7,"u")+COUNTIF($E7:N7,"t")+COUNTIF($E7:N7,"¶")+COUNTIF($E7:N7,"²")+COUNTIF($E7:N7,"µ")+COUNTIF($E7:N7,1),ColTypeEcheance)),
  IF(LEN(N7)=1,
  IF(LEN(INDEX(Roadmap!$D:$K,MATCH($E7,Roadmap!$D:$D,0)-1+COUNTIF($E7:N7,"u")+COUNTIF($E7:N7,"t")+COUNTIF($E7:N7,"¶")+COUNTIF($E7:N7,"²")+COUNTIF($E7:N7,"µ")+COUNTIF($E7:N7,1),ColDescriptionCourte))&gt;1,
HYPERLINK("#Roadmap!C"&amp; MATCH($E7,Roadmap!$D:$D,0)+COUNTIF($E7:N7,"u")+COUNTIF($E7:N7,"t")+COUNTIF($E7:N7,"¶")+COUNTIF($E7:N7,"²")+COUNTIF($E7:N7,"µ")+COUNTIF($E7:N7,1)-1,INDEX(Roadmap!$D:$K,MATCH($E7,Roadmap!$D:$D,0)-1+COUNTIF($E7:N7,"u")+COUNTIF($E7:N7,"t")+COUNTIF($E7:N7,"¶")+COUNTIF($E7:N7,"²")+COUNTIF($E7:N7,"µ")+COUNTIF($E7:N7,1),ColDescriptionCourte)),""),
  "")),"")</f>
        <v/>
      </c>
      <c r="P7" s="38" t="str">
        <f ca="1">IFERROR(IF(AND(
  INDEX(Roadmap!$D:$K,MATCH($E7,Roadmap!$D:$D,0)+COUNTIF($E7:O7,"u")+COUNTIF($E7:O7,"t")+COUNTIF($E7:O7,"¶")+COUNTIF($E7:O7,"²")+COUNTIF($E7:O7,"µ")+COUNTIF($E7:O7,1),ColLivraison)=P$6,
  VLOOKUP($E7,INDIRECT("tri!"&amp; CHAR(64+ C0Col) &amp;":"&amp; CHAR(65+C0Col)),2,FALSE)&gt;COUNTIF($E7:O7,"u")+COUNTIF($E7:O7,"t")+COUNTIF($E7:O7,"¶")+COUNTIF($E7:O7,"²")+COUNTIF($E7:O7,"µ")+COUNTIF($E7:O7,1)),
HYPERLINK("#Roadmap!C"&amp; MATCH($E7,Roadmap!$D:$D,0)+COUNTIF($E7:O7,"u")+COUNTIF($E7:O7,"t"),
     INDEX(Roadmap!$D:$K,MATCH($E7,Roadmap!$D:$D,0)+COUNTIF($E7:O7,"u")+COUNTIF($E7:O7,"t")+COUNTIF($E7:O7,"¶")+COUNTIF($E7:O7,"²")+COUNTIF($E7:O7,"µ")+COUNTIF($E7:O7,1),ColTypeEcheance)),
  IF(LEN(O7)=1,
  IF(LEN(INDEX(Roadmap!$D:$K,MATCH($E7,Roadmap!$D:$D,0)-1+COUNTIF($E7:O7,"u")+COUNTIF($E7:O7,"t")+COUNTIF($E7:O7,"¶")+COUNTIF($E7:O7,"²")+COUNTIF($E7:O7,"µ")+COUNTIF($E7:O7,1),ColDescriptionCourte))&gt;1,
HYPERLINK("#Roadmap!C"&amp; MATCH($E7,Roadmap!$D:$D,0)+COUNTIF($E7:O7,"u")+COUNTIF($E7:O7,"t")+COUNTIF($E7:O7,"¶")+COUNTIF($E7:O7,"²")+COUNTIF($E7:O7,"µ")+COUNTIF($E7:O7,1)-1,INDEX(Roadmap!$D:$K,MATCH($E7,Roadmap!$D:$D,0)-1+COUNTIF($E7:O7,"u")+COUNTIF($E7:O7,"t")+COUNTIF($E7:O7,"¶")+COUNTIF($E7:O7,"²")+COUNTIF($E7:O7,"µ")+COUNTIF($E7:O7,1),ColDescriptionCourte)),""),
  "")),"")</f>
        <v/>
      </c>
      <c r="Q7" s="38" t="str">
        <f ca="1">IFERROR(IF(AND(
  INDEX(Roadmap!$D:$K,MATCH($E7,Roadmap!$D:$D,0)+COUNTIF($E7:P7,"u")+COUNTIF($E7:P7,"t")+COUNTIF($E7:P7,"¶")+COUNTIF($E7:P7,"²")+COUNTIF($E7:P7,"µ")+COUNTIF($E7:P7,1),ColLivraison)=Q$6,
  VLOOKUP($E7,INDIRECT("tri!"&amp; CHAR(64+ C0Col) &amp;":"&amp; CHAR(65+C0Col)),2,FALSE)&gt;COUNTIF($E7:P7,"u")+COUNTIF($E7:P7,"t")+COUNTIF($E7:P7,"¶")+COUNTIF($E7:P7,"²")+COUNTIF($E7:P7,"µ")+COUNTIF($E7:P7,1)),
HYPERLINK("#Roadmap!C"&amp; MATCH($E7,Roadmap!$D:$D,0)+COUNTIF($E7:P7,"u")+COUNTIF($E7:P7,"t"),
     INDEX(Roadmap!$D:$K,MATCH($E7,Roadmap!$D:$D,0)+COUNTIF($E7:P7,"u")+COUNTIF($E7:P7,"t")+COUNTIF($E7:P7,"¶")+COUNTIF($E7:P7,"²")+COUNTIF($E7:P7,"µ")+COUNTIF($E7:P7,1),ColTypeEcheance)),
  IF(LEN(P7)=1,
  IF(LEN(INDEX(Roadmap!$D:$K,MATCH($E7,Roadmap!$D:$D,0)-1+COUNTIF($E7:P7,"u")+COUNTIF($E7:P7,"t")+COUNTIF($E7:P7,"¶")+COUNTIF($E7:P7,"²")+COUNTIF($E7:P7,"µ")+COUNTIF($E7:P7,1),ColDescriptionCourte))&gt;1,
HYPERLINK("#Roadmap!C"&amp; MATCH($E7,Roadmap!$D:$D,0)+COUNTIF($E7:P7,"u")+COUNTIF($E7:P7,"t")+COUNTIF($E7:P7,"¶")+COUNTIF($E7:P7,"²")+COUNTIF($E7:P7,"µ")+COUNTIF($E7:P7,1)-1,INDEX(Roadmap!$D:$K,MATCH($E7,Roadmap!$D:$D,0)-1+COUNTIF($E7:P7,"u")+COUNTIF($E7:P7,"t")+COUNTIF($E7:P7,"¶")+COUNTIF($E7:P7,"²")+COUNTIF($E7:P7,"µ")+COUNTIF($E7:P7,1),ColDescriptionCourte)),""),
  "")),"")</f>
        <v/>
      </c>
      <c r="R7" s="38" t="str">
        <f ca="1">IFERROR(IF(AND(
  INDEX(Roadmap!$D:$K,MATCH($E7,Roadmap!$D:$D,0)+COUNTIF($E7:Q7,"u")+COUNTIF($E7:Q7,"t")+COUNTIF($E7:Q7,"¶")+COUNTIF($E7:Q7,"²")+COUNTIF($E7:Q7,"µ")+COUNTIF($E7:Q7,1),ColLivraison)=R$6,
  VLOOKUP($E7,INDIRECT("tri!"&amp; CHAR(64+ C0Col) &amp;":"&amp; CHAR(65+C0Col)),2,FALSE)&gt;COUNTIF($E7:Q7,"u")+COUNTIF($E7:Q7,"t")+COUNTIF($E7:Q7,"¶")+COUNTIF($E7:Q7,"²")+COUNTIF($E7:Q7,"µ")+COUNTIF($E7:Q7,1)),
HYPERLINK("#Roadmap!C"&amp; MATCH($E7,Roadmap!$D:$D,0)+COUNTIF($E7:Q7,"u")+COUNTIF($E7:Q7,"t"),
     INDEX(Roadmap!$D:$K,MATCH($E7,Roadmap!$D:$D,0)+COUNTIF($E7:Q7,"u")+COUNTIF($E7:Q7,"t")+COUNTIF($E7:Q7,"¶")+COUNTIF($E7:Q7,"²")+COUNTIF($E7:Q7,"µ")+COUNTIF($E7:Q7,1),ColTypeEcheance)),
  IF(LEN(Q7)=1,
  IF(LEN(INDEX(Roadmap!$D:$K,MATCH($E7,Roadmap!$D:$D,0)-1+COUNTIF($E7:Q7,"u")+COUNTIF($E7:Q7,"t")+COUNTIF($E7:Q7,"¶")+COUNTIF($E7:Q7,"²")+COUNTIF($E7:Q7,"µ")+COUNTIF($E7:Q7,1),ColDescriptionCourte))&gt;1,
HYPERLINK("#Roadmap!C"&amp; MATCH($E7,Roadmap!$D:$D,0)+COUNTIF($E7:Q7,"u")+COUNTIF($E7:Q7,"t")+COUNTIF($E7:Q7,"¶")+COUNTIF($E7:Q7,"²")+COUNTIF($E7:Q7,"µ")+COUNTIF($E7:Q7,1)-1,INDEX(Roadmap!$D:$K,MATCH($E7,Roadmap!$D:$D,0)-1+COUNTIF($E7:Q7,"u")+COUNTIF($E7:Q7,"t")+COUNTIF($E7:Q7,"¶")+COUNTIF($E7:Q7,"²")+COUNTIF($E7:Q7,"µ")+COUNTIF($E7:Q7,1),ColDescriptionCourte)),""),
  "")),"")</f>
        <v/>
      </c>
      <c r="S7" s="38" t="str">
        <f ca="1">IFERROR(IF(AND(
  INDEX(Roadmap!$D:$K,MATCH($E7,Roadmap!$D:$D,0)+COUNTIF($E7:R7,"u")+COUNTIF($E7:R7,"t")+COUNTIF($E7:R7,"¶")+COUNTIF($E7:R7,"²")+COUNTIF($E7:R7,"µ")+COUNTIF($E7:R7,1),ColLivraison)=S$6,
  VLOOKUP($E7,INDIRECT("tri!"&amp; CHAR(64+ C0Col) &amp;":"&amp; CHAR(65+C0Col)),2,FALSE)&gt;COUNTIF($E7:R7,"u")+COUNTIF($E7:R7,"t")+COUNTIF($E7:R7,"¶")+COUNTIF($E7:R7,"²")+COUNTIF($E7:R7,"µ")+COUNTIF($E7:R7,1)),
HYPERLINK("#Roadmap!C"&amp; MATCH($E7,Roadmap!$D:$D,0)+COUNTIF($E7:R7,"u")+COUNTIF($E7:R7,"t"),
     INDEX(Roadmap!$D:$K,MATCH($E7,Roadmap!$D:$D,0)+COUNTIF($E7:R7,"u")+COUNTIF($E7:R7,"t")+COUNTIF($E7:R7,"¶")+COUNTIF($E7:R7,"²")+COUNTIF($E7:R7,"µ")+COUNTIF($E7:R7,1),ColTypeEcheance)),
  IF(LEN(R7)=1,
  IF(LEN(INDEX(Roadmap!$D:$K,MATCH($E7,Roadmap!$D:$D,0)-1+COUNTIF($E7:R7,"u")+COUNTIF($E7:R7,"t")+COUNTIF($E7:R7,"¶")+COUNTIF($E7:R7,"²")+COUNTIF($E7:R7,"µ")+COUNTIF($E7:R7,1),ColDescriptionCourte))&gt;1,
HYPERLINK("#Roadmap!C"&amp; MATCH($E7,Roadmap!$D:$D,0)+COUNTIF($E7:R7,"u")+COUNTIF($E7:R7,"t")+COUNTIF($E7:R7,"¶")+COUNTIF($E7:R7,"²")+COUNTIF($E7:R7,"µ")+COUNTIF($E7:R7,1)-1,INDEX(Roadmap!$D:$K,MATCH($E7,Roadmap!$D:$D,0)-1+COUNTIF($E7:R7,"u")+COUNTIF($E7:R7,"t")+COUNTIF($E7:R7,"¶")+COUNTIF($E7:R7,"²")+COUNTIF($E7:R7,"µ")+COUNTIF($E7:R7,1),ColDescriptionCourte)),""),
  "")),"")</f>
        <v/>
      </c>
      <c r="T7" s="38" t="str">
        <f ca="1">IFERROR(IF(AND(
  INDEX(Roadmap!$D:$K,MATCH($E7,Roadmap!$D:$D,0)+COUNTIF($E7:S7,"u")+COUNTIF($E7:S7,"t")+COUNTIF($E7:S7,"¶")+COUNTIF($E7:S7,"²")+COUNTIF($E7:S7,"µ")+COUNTIF($E7:S7,1),ColLivraison)=T$6,
  VLOOKUP($E7,INDIRECT("tri!"&amp; CHAR(64+ C0Col) &amp;":"&amp; CHAR(65+C0Col)),2,FALSE)&gt;COUNTIF($E7:S7,"u")+COUNTIF($E7:S7,"t")+COUNTIF($E7:S7,"¶")+COUNTIF($E7:S7,"²")+COUNTIF($E7:S7,"µ")+COUNTIF($E7:S7,1)),
HYPERLINK("#Roadmap!C"&amp; MATCH($E7,Roadmap!$D:$D,0)+COUNTIF($E7:S7,"u")+COUNTIF($E7:S7,"t"),
     INDEX(Roadmap!$D:$K,MATCH($E7,Roadmap!$D:$D,0)+COUNTIF($E7:S7,"u")+COUNTIF($E7:S7,"t")+COUNTIF($E7:S7,"¶")+COUNTIF($E7:S7,"²")+COUNTIF($E7:S7,"µ")+COUNTIF($E7:S7,1),ColTypeEcheance)),
  IF(LEN(S7)=1,
  IF(LEN(INDEX(Roadmap!$D:$K,MATCH($E7,Roadmap!$D:$D,0)-1+COUNTIF($E7:S7,"u")+COUNTIF($E7:S7,"t")+COUNTIF($E7:S7,"¶")+COUNTIF($E7:S7,"²")+COUNTIF($E7:S7,"µ")+COUNTIF($E7:S7,1),ColDescriptionCourte))&gt;1,
HYPERLINK("#Roadmap!C"&amp; MATCH($E7,Roadmap!$D:$D,0)+COUNTIF($E7:S7,"u")+COUNTIF($E7:S7,"t")+COUNTIF($E7:S7,"¶")+COUNTIF($E7:S7,"²")+COUNTIF($E7:S7,"µ")+COUNTIF($E7:S7,1)-1,INDEX(Roadmap!$D:$K,MATCH($E7,Roadmap!$D:$D,0)-1+COUNTIF($E7:S7,"u")+COUNTIF($E7:S7,"t")+COUNTIF($E7:S7,"¶")+COUNTIF($E7:S7,"²")+COUNTIF($E7:S7,"µ")+COUNTIF($E7:S7,1),ColDescriptionCourte)),""),
  "")),"")</f>
        <v/>
      </c>
      <c r="U7" s="38" t="str">
        <f ca="1">IFERROR(IF(AND(
  INDEX(Roadmap!$D:$K,MATCH($E7,Roadmap!$D:$D,0)+COUNTIF($E7:T7,"u")+COUNTIF($E7:T7,"t")+COUNTIF($E7:T7,"¶")+COUNTIF($E7:T7,"²")+COUNTIF($E7:T7,"µ")+COUNTIF($E7:T7,1),ColLivraison)=U$6,
  VLOOKUP($E7,INDIRECT("tri!"&amp; CHAR(64+ C0Col) &amp;":"&amp; CHAR(65+C0Col)),2,FALSE)&gt;COUNTIF($E7:T7,"u")+COUNTIF($E7:T7,"t")+COUNTIF($E7:T7,"¶")+COUNTIF($E7:T7,"²")+COUNTIF($E7:T7,"µ")+COUNTIF($E7:T7,1)),
HYPERLINK("#Roadmap!C"&amp; MATCH($E7,Roadmap!$D:$D,0)+COUNTIF($E7:T7,"u")+COUNTIF($E7:T7,"t"),
     INDEX(Roadmap!$D:$K,MATCH($E7,Roadmap!$D:$D,0)+COUNTIF($E7:T7,"u")+COUNTIF($E7:T7,"t")+COUNTIF($E7:T7,"¶")+COUNTIF($E7:T7,"²")+COUNTIF($E7:T7,"µ")+COUNTIF($E7:T7,1),ColTypeEcheance)),
  IF(LEN(T7)=1,
  IF(LEN(INDEX(Roadmap!$D:$K,MATCH($E7,Roadmap!$D:$D,0)-1+COUNTIF($E7:T7,"u")+COUNTIF($E7:T7,"t")+COUNTIF($E7:T7,"¶")+COUNTIF($E7:T7,"²")+COUNTIF($E7:T7,"µ")+COUNTIF($E7:T7,1),ColDescriptionCourte))&gt;1,
HYPERLINK("#Roadmap!C"&amp; MATCH($E7,Roadmap!$D:$D,0)+COUNTIF($E7:T7,"u")+COUNTIF($E7:T7,"t")+COUNTIF($E7:T7,"¶")+COUNTIF($E7:T7,"²")+COUNTIF($E7:T7,"µ")+COUNTIF($E7:T7,1)-1,INDEX(Roadmap!$D:$K,MATCH($E7,Roadmap!$D:$D,0)-1+COUNTIF($E7:T7,"u")+COUNTIF($E7:T7,"t")+COUNTIF($E7:T7,"¶")+COUNTIF($E7:T7,"²")+COUNTIF($E7:T7,"µ")+COUNTIF($E7:T7,1),ColDescriptionCourte)),""),
  "")),"")</f>
        <v/>
      </c>
      <c r="V7" s="38" t="str">
        <f ca="1">IFERROR(IF(AND(
  INDEX(Roadmap!$D:$K,MATCH($E7,Roadmap!$D:$D,0)+COUNTIF($E7:U7,"u")+COUNTIF($E7:U7,"t")+COUNTIF($E7:U7,"¶")+COUNTIF($E7:U7,"²")+COUNTIF($E7:U7,"µ")+COUNTIF($E7:U7,1),ColLivraison)=V$6,
  VLOOKUP($E7,INDIRECT("tri!"&amp; CHAR(64+ C0Col) &amp;":"&amp; CHAR(65+C0Col)),2,FALSE)&gt;COUNTIF($E7:U7,"u")+COUNTIF($E7:U7,"t")+COUNTIF($E7:U7,"¶")+COUNTIF($E7:U7,"²")+COUNTIF($E7:U7,"µ")+COUNTIF($E7:U7,1)),
HYPERLINK("#Roadmap!C"&amp; MATCH($E7,Roadmap!$D:$D,0)+COUNTIF($E7:U7,"u")+COUNTIF($E7:U7,"t"),
     INDEX(Roadmap!$D:$K,MATCH($E7,Roadmap!$D:$D,0)+COUNTIF($E7:U7,"u")+COUNTIF($E7:U7,"t")+COUNTIF($E7:U7,"¶")+COUNTIF($E7:U7,"²")+COUNTIF($E7:U7,"µ")+COUNTIF($E7:U7,1),ColTypeEcheance)),
  IF(LEN(U7)=1,
  IF(LEN(INDEX(Roadmap!$D:$K,MATCH($E7,Roadmap!$D:$D,0)-1+COUNTIF($E7:U7,"u")+COUNTIF($E7:U7,"t")+COUNTIF($E7:U7,"¶")+COUNTIF($E7:U7,"²")+COUNTIF($E7:U7,"µ")+COUNTIF($E7:U7,1),ColDescriptionCourte))&gt;1,
HYPERLINK("#Roadmap!C"&amp; MATCH($E7,Roadmap!$D:$D,0)+COUNTIF($E7:U7,"u")+COUNTIF($E7:U7,"t")+COUNTIF($E7:U7,"¶")+COUNTIF($E7:U7,"²")+COUNTIF($E7:U7,"µ")+COUNTIF($E7:U7,1)-1,INDEX(Roadmap!$D:$K,MATCH($E7,Roadmap!$D:$D,0)-1+COUNTIF($E7:U7,"u")+COUNTIF($E7:U7,"t")+COUNTIF($E7:U7,"¶")+COUNTIF($E7:U7,"²")+COUNTIF($E7:U7,"µ")+COUNTIF($E7:U7,1),ColDescriptionCourte)),""),
  "")),"")</f>
        <v/>
      </c>
      <c r="W7" s="38" t="str">
        <f ca="1">IFERROR(IF(AND(
  INDEX(Roadmap!$D:$K,MATCH($E7,Roadmap!$D:$D,0)+COUNTIF($E7:V7,"u")+COUNTIF($E7:V7,"t")+COUNTIF($E7:V7,"¶")+COUNTIF($E7:V7,"²")+COUNTIF($E7:V7,"µ")+COUNTIF($E7:V7,1),ColLivraison)=W$6,
  VLOOKUP($E7,INDIRECT("tri!"&amp; CHAR(64+ C0Col) &amp;":"&amp; CHAR(65+C0Col)),2,FALSE)&gt;COUNTIF($E7:V7,"u")+COUNTIF($E7:V7,"t")+COUNTIF($E7:V7,"¶")+COUNTIF($E7:V7,"²")+COUNTIF($E7:V7,"µ")+COUNTIF($E7:V7,1)),
HYPERLINK("#Roadmap!C"&amp; MATCH($E7,Roadmap!$D:$D,0)+COUNTIF($E7:V7,"u")+COUNTIF($E7:V7,"t"),
     INDEX(Roadmap!$D:$K,MATCH($E7,Roadmap!$D:$D,0)+COUNTIF($E7:V7,"u")+COUNTIF($E7:V7,"t")+COUNTIF($E7:V7,"¶")+COUNTIF($E7:V7,"²")+COUNTIF($E7:V7,"µ")+COUNTIF($E7:V7,1),ColTypeEcheance)),
  IF(LEN(V7)=1,
  IF(LEN(INDEX(Roadmap!$D:$K,MATCH($E7,Roadmap!$D:$D,0)-1+COUNTIF($E7:V7,"u")+COUNTIF($E7:V7,"t")+COUNTIF($E7:V7,"¶")+COUNTIF($E7:V7,"²")+COUNTIF($E7:V7,"µ")+COUNTIF($E7:V7,1),ColDescriptionCourte))&gt;1,
HYPERLINK("#Roadmap!C"&amp; MATCH($E7,Roadmap!$D:$D,0)+COUNTIF($E7:V7,"u")+COUNTIF($E7:V7,"t")+COUNTIF($E7:V7,"¶")+COUNTIF($E7:V7,"²")+COUNTIF($E7:V7,"µ")+COUNTIF($E7:V7,1)-1,INDEX(Roadmap!$D:$K,MATCH($E7,Roadmap!$D:$D,0)-1+COUNTIF($E7:V7,"u")+COUNTIF($E7:V7,"t")+COUNTIF($E7:V7,"¶")+COUNTIF($E7:V7,"²")+COUNTIF($E7:V7,"µ")+COUNTIF($E7:V7,1),ColDescriptionCourte)),""),
  "")),"")</f>
        <v/>
      </c>
      <c r="X7" s="38" t="str">
        <f ca="1">IFERROR(IF(AND(
  INDEX(Roadmap!$D:$K,MATCH($E7,Roadmap!$D:$D,0)+COUNTIF($E7:W7,"u")+COUNTIF($E7:W7,"t")+COUNTIF($E7:W7,"¶")+COUNTIF($E7:W7,"²")+COUNTIF($E7:W7,"µ")+COUNTIF($E7:W7,1),ColLivraison)=X$6,
  VLOOKUP($E7,INDIRECT("tri!"&amp; CHAR(64+ C0Col) &amp;":"&amp; CHAR(65+C0Col)),2,FALSE)&gt;COUNTIF($E7:W7,"u")+COUNTIF($E7:W7,"t")+COUNTIF($E7:W7,"¶")+COUNTIF($E7:W7,"²")+COUNTIF($E7:W7,"µ")+COUNTIF($E7:W7,1)),
HYPERLINK("#Roadmap!C"&amp; MATCH($E7,Roadmap!$D:$D,0)+COUNTIF($E7:W7,"u")+COUNTIF($E7:W7,"t"),
     INDEX(Roadmap!$D:$K,MATCH($E7,Roadmap!$D:$D,0)+COUNTIF($E7:W7,"u")+COUNTIF($E7:W7,"t")+COUNTIF($E7:W7,"¶")+COUNTIF($E7:W7,"²")+COUNTIF($E7:W7,"µ")+COUNTIF($E7:W7,1),ColTypeEcheance)),
  IF(LEN(W7)=1,
  IF(LEN(INDEX(Roadmap!$D:$K,MATCH($E7,Roadmap!$D:$D,0)-1+COUNTIF($E7:W7,"u")+COUNTIF($E7:W7,"t")+COUNTIF($E7:W7,"¶")+COUNTIF($E7:W7,"²")+COUNTIF($E7:W7,"µ")+COUNTIF($E7:W7,1),ColDescriptionCourte))&gt;1,
HYPERLINK("#Roadmap!C"&amp; MATCH($E7,Roadmap!$D:$D,0)+COUNTIF($E7:W7,"u")+COUNTIF($E7:W7,"t")+COUNTIF($E7:W7,"¶")+COUNTIF($E7:W7,"²")+COUNTIF($E7:W7,"µ")+COUNTIF($E7:W7,1)-1,INDEX(Roadmap!$D:$K,MATCH($E7,Roadmap!$D:$D,0)-1+COUNTIF($E7:W7,"u")+COUNTIF($E7:W7,"t")+COUNTIF($E7:W7,"¶")+COUNTIF($E7:W7,"²")+COUNTIF($E7:W7,"µ")+COUNTIF($E7:W7,1),ColDescriptionCourte)),""),
  "")),"")</f>
        <v/>
      </c>
      <c r="Y7" s="38" t="str">
        <f ca="1">IFERROR(IF(AND(
  INDEX(Roadmap!$D:$K,MATCH($E7,Roadmap!$D:$D,0)+COUNTIF($E7:X7,"u")+COUNTIF($E7:X7,"t")+COUNTIF($E7:X7,"¶")+COUNTIF($E7:X7,"²")+COUNTIF($E7:X7,"µ")+COUNTIF($E7:X7,1),ColLivraison)=Y$6,
  VLOOKUP($E7,INDIRECT("tri!"&amp; CHAR(64+ C0Col) &amp;":"&amp; CHAR(65+C0Col)),2,FALSE)&gt;COUNTIF($E7:X7,"u")+COUNTIF($E7:X7,"t")+COUNTIF($E7:X7,"¶")+COUNTIF($E7:X7,"²")+COUNTIF($E7:X7,"µ")+COUNTIF($E7:X7,1)),
HYPERLINK("#Roadmap!C"&amp; MATCH($E7,Roadmap!$D:$D,0)+COUNTIF($E7:X7,"u")+COUNTIF($E7:X7,"t"),
     INDEX(Roadmap!$D:$K,MATCH($E7,Roadmap!$D:$D,0)+COUNTIF($E7:X7,"u")+COUNTIF($E7:X7,"t")+COUNTIF($E7:X7,"¶")+COUNTIF($E7:X7,"²")+COUNTIF($E7:X7,"µ")+COUNTIF($E7:X7,1),ColTypeEcheance)),
  IF(LEN(X7)=1,
  IF(LEN(INDEX(Roadmap!$D:$K,MATCH($E7,Roadmap!$D:$D,0)-1+COUNTIF($E7:X7,"u")+COUNTIF($E7:X7,"t")+COUNTIF($E7:X7,"¶")+COUNTIF($E7:X7,"²")+COUNTIF($E7:X7,"µ")+COUNTIF($E7:X7,1),ColDescriptionCourte))&gt;1,
HYPERLINK("#Roadmap!C"&amp; MATCH($E7,Roadmap!$D:$D,0)+COUNTIF($E7:X7,"u")+COUNTIF($E7:X7,"t")+COUNTIF($E7:X7,"¶")+COUNTIF($E7:X7,"²")+COUNTIF($E7:X7,"µ")+COUNTIF($E7:X7,1)-1,INDEX(Roadmap!$D:$K,MATCH($E7,Roadmap!$D:$D,0)-1+COUNTIF($E7:X7,"u")+COUNTIF($E7:X7,"t")+COUNTIF($E7:X7,"¶")+COUNTIF($E7:X7,"²")+COUNTIF($E7:X7,"µ")+COUNTIF($E7:X7,1),ColDescriptionCourte)),""),
  "")),"")</f>
        <v/>
      </c>
      <c r="Z7" s="38" t="str">
        <f ca="1">IFERROR(IF(AND(
  INDEX(Roadmap!$D:$K,MATCH($E7,Roadmap!$D:$D,0)+COUNTIF($E7:Y7,"u")+COUNTIF($E7:Y7,"t")+COUNTIF($E7:Y7,"¶")+COUNTIF($E7:Y7,"²")+COUNTIF($E7:Y7,"µ")+COUNTIF($E7:Y7,1),ColLivraison)=Z$6,
  VLOOKUP($E7,INDIRECT("tri!"&amp; CHAR(64+ C0Col) &amp;":"&amp; CHAR(65+C0Col)),2,FALSE)&gt;COUNTIF($E7:Y7,"u")+COUNTIF($E7:Y7,"t")+COUNTIF($E7:Y7,"¶")+COUNTIF($E7:Y7,"²")+COUNTIF($E7:Y7,"µ")+COUNTIF($E7:Y7,1)),
HYPERLINK("#Roadmap!C"&amp; MATCH($E7,Roadmap!$D:$D,0)+COUNTIF($E7:Y7,"u")+COUNTIF($E7:Y7,"t"),
     INDEX(Roadmap!$D:$K,MATCH($E7,Roadmap!$D:$D,0)+COUNTIF($E7:Y7,"u")+COUNTIF($E7:Y7,"t")+COUNTIF($E7:Y7,"¶")+COUNTIF($E7:Y7,"²")+COUNTIF($E7:Y7,"µ")+COUNTIF($E7:Y7,1),ColTypeEcheance)),
  IF(LEN(Y7)=1,
  IF(LEN(INDEX(Roadmap!$D:$K,MATCH($E7,Roadmap!$D:$D,0)-1+COUNTIF($E7:Y7,"u")+COUNTIF($E7:Y7,"t")+COUNTIF($E7:Y7,"¶")+COUNTIF($E7:Y7,"²")+COUNTIF($E7:Y7,"µ")+COUNTIF($E7:Y7,1),ColDescriptionCourte))&gt;1,
HYPERLINK("#Roadmap!C"&amp; MATCH($E7,Roadmap!$D:$D,0)+COUNTIF($E7:Y7,"u")+COUNTIF($E7:Y7,"t")+COUNTIF($E7:Y7,"¶")+COUNTIF($E7:Y7,"²")+COUNTIF($E7:Y7,"µ")+COUNTIF($E7:Y7,1)-1,INDEX(Roadmap!$D:$K,MATCH($E7,Roadmap!$D:$D,0)-1+COUNTIF($E7:Y7,"u")+COUNTIF($E7:Y7,"t")+COUNTIF($E7:Y7,"¶")+COUNTIF($E7:Y7,"²")+COUNTIF($E7:Y7,"µ")+COUNTIF($E7:Y7,1),ColDescriptionCourte)),""),
  "")),"")</f>
        <v/>
      </c>
      <c r="AA7" s="38" t="str">
        <f ca="1">IFERROR(IF(AND(
  INDEX(Roadmap!$D:$K,MATCH($E7,Roadmap!$D:$D,0)+COUNTIF($E7:Z7,"u")+COUNTIF($E7:Z7,"t")+COUNTIF($E7:Z7,"¶")+COUNTIF($E7:Z7,"²")+COUNTIF($E7:Z7,"µ")+COUNTIF($E7:Z7,1),ColLivraison)=AA$6,
  VLOOKUP($E7,INDIRECT("tri!"&amp; CHAR(64+ C0Col) &amp;":"&amp; CHAR(65+C0Col)),2,FALSE)&gt;COUNTIF($E7:Z7,"u")+COUNTIF($E7:Z7,"t")+COUNTIF($E7:Z7,"¶")+COUNTIF($E7:Z7,"²")+COUNTIF($E7:Z7,"µ")+COUNTIF($E7:Z7,1)),
HYPERLINK("#Roadmap!C"&amp; MATCH($E7,Roadmap!$D:$D,0)+COUNTIF($E7:Z7,"u")+COUNTIF($E7:Z7,"t"),
     INDEX(Roadmap!$D:$K,MATCH($E7,Roadmap!$D:$D,0)+COUNTIF($E7:Z7,"u")+COUNTIF($E7:Z7,"t")+COUNTIF($E7:Z7,"¶")+COUNTIF($E7:Z7,"²")+COUNTIF($E7:Z7,"µ")+COUNTIF($E7:Z7,1),ColTypeEcheance)),
  IF(LEN(Z7)=1,
  IF(LEN(INDEX(Roadmap!$D:$K,MATCH($E7,Roadmap!$D:$D,0)-1+COUNTIF($E7:Z7,"u")+COUNTIF($E7:Z7,"t")+COUNTIF($E7:Z7,"¶")+COUNTIF($E7:Z7,"²")+COUNTIF($E7:Z7,"µ")+COUNTIF($E7:Z7,1),ColDescriptionCourte))&gt;1,
HYPERLINK("#Roadmap!C"&amp; MATCH($E7,Roadmap!$D:$D,0)+COUNTIF($E7:Z7,"u")+COUNTIF($E7:Z7,"t")+COUNTIF($E7:Z7,"¶")+COUNTIF($E7:Z7,"²")+COUNTIF($E7:Z7,"µ")+COUNTIF($E7:Z7,1)-1,INDEX(Roadmap!$D:$K,MATCH($E7,Roadmap!$D:$D,0)-1+COUNTIF($E7:Z7,"u")+COUNTIF($E7:Z7,"t")+COUNTIF($E7:Z7,"¶")+COUNTIF($E7:Z7,"²")+COUNTIF($E7:Z7,"µ")+COUNTIF($E7:Z7,1),ColDescriptionCourte)),""),
  "")),"")</f>
        <v/>
      </c>
      <c r="AB7" s="38" t="str">
        <f ca="1">IFERROR(IF(AND(
  INDEX(Roadmap!$D:$K,MATCH($E7,Roadmap!$D:$D,0)+COUNTIF($E7:AA7,"u")+COUNTIF($E7:AA7,"t")+COUNTIF($E7:AA7,"¶")+COUNTIF($E7:AA7,"²")+COUNTIF($E7:AA7,"µ")+COUNTIF($E7:AA7,1),ColLivraison)=AB$6,
  VLOOKUP($E7,INDIRECT("tri!"&amp; CHAR(64+ C0Col) &amp;":"&amp; CHAR(65+C0Col)),2,FALSE)&gt;COUNTIF($E7:AA7,"u")+COUNTIF($E7:AA7,"t")+COUNTIF($E7:AA7,"¶")+COUNTIF($E7:AA7,"²")+COUNTIF($E7:AA7,"µ")+COUNTIF($E7:AA7,1)),
HYPERLINK("#Roadmap!C"&amp; MATCH($E7,Roadmap!$D:$D,0)+COUNTIF($E7:AA7,"u")+COUNTIF($E7:AA7,"t"),
     INDEX(Roadmap!$D:$K,MATCH($E7,Roadmap!$D:$D,0)+COUNTIF($E7:AA7,"u")+COUNTIF($E7:AA7,"t")+COUNTIF($E7:AA7,"¶")+COUNTIF($E7:AA7,"²")+COUNTIF($E7:AA7,"µ")+COUNTIF($E7:AA7,1),ColTypeEcheance)),
  IF(LEN(AA7)=1,
  IF(LEN(INDEX(Roadmap!$D:$K,MATCH($E7,Roadmap!$D:$D,0)-1+COUNTIF($E7:AA7,"u")+COUNTIF($E7:AA7,"t")+COUNTIF($E7:AA7,"¶")+COUNTIF($E7:AA7,"²")+COUNTIF($E7:AA7,"µ")+COUNTIF($E7:AA7,1),ColDescriptionCourte))&gt;1,
HYPERLINK("#Roadmap!C"&amp; MATCH($E7,Roadmap!$D:$D,0)+COUNTIF($E7:AA7,"u")+COUNTIF($E7:AA7,"t")+COUNTIF($E7:AA7,"¶")+COUNTIF($E7:AA7,"²")+COUNTIF($E7:AA7,"µ")+COUNTIF($E7:AA7,1)-1,INDEX(Roadmap!$D:$K,MATCH($E7,Roadmap!$D:$D,0)-1+COUNTIF($E7:AA7,"u")+COUNTIF($E7:AA7,"t")+COUNTIF($E7:AA7,"¶")+COUNTIF($E7:AA7,"²")+COUNTIF($E7:AA7,"µ")+COUNTIF($E7:AA7,1),ColDescriptionCourte)),""),
  "")),"")</f>
        <v/>
      </c>
      <c r="AC7" s="38" t="str">
        <f ca="1">IFERROR(IF(AND(
  INDEX(Roadmap!$D:$K,MATCH($E7,Roadmap!$D:$D,0)+COUNTIF($E7:AB7,"u")+COUNTIF($E7:AB7,"t")+COUNTIF($E7:AB7,"¶")+COUNTIF($E7:AB7,"²")+COUNTIF($E7:AB7,"µ")+COUNTIF($E7:AB7,1),ColLivraison)=AC$6,
  VLOOKUP($E7,INDIRECT("tri!"&amp; CHAR(64+ C0Col) &amp;":"&amp; CHAR(65+C0Col)),2,FALSE)&gt;COUNTIF($E7:AB7,"u")+COUNTIF($E7:AB7,"t")+COUNTIF($E7:AB7,"¶")+COUNTIF($E7:AB7,"²")+COUNTIF($E7:AB7,"µ")+COUNTIF($E7:AB7,1)),
HYPERLINK("#Roadmap!C"&amp; MATCH($E7,Roadmap!$D:$D,0)+COUNTIF($E7:AB7,"u")+COUNTIF($E7:AB7,"t"),
     INDEX(Roadmap!$D:$K,MATCH($E7,Roadmap!$D:$D,0)+COUNTIF($E7:AB7,"u")+COUNTIF($E7:AB7,"t")+COUNTIF($E7:AB7,"¶")+COUNTIF($E7:AB7,"²")+COUNTIF($E7:AB7,"µ")+COUNTIF($E7:AB7,1),ColTypeEcheance)),
  IF(LEN(AB7)=1,
  IF(LEN(INDEX(Roadmap!$D:$K,MATCH($E7,Roadmap!$D:$D,0)-1+COUNTIF($E7:AB7,"u")+COUNTIF($E7:AB7,"t")+COUNTIF($E7:AB7,"¶")+COUNTIF($E7:AB7,"²")+COUNTIF($E7:AB7,"µ")+COUNTIF($E7:AB7,1),ColDescriptionCourte))&gt;1,
HYPERLINK("#Roadmap!C"&amp; MATCH($E7,Roadmap!$D:$D,0)+COUNTIF($E7:AB7,"u")+COUNTIF($E7:AB7,"t")+COUNTIF($E7:AB7,"¶")+COUNTIF($E7:AB7,"²")+COUNTIF($E7:AB7,"µ")+COUNTIF($E7:AB7,1)-1,INDEX(Roadmap!$D:$K,MATCH($E7,Roadmap!$D:$D,0)-1+COUNTIF($E7:AB7,"u")+COUNTIF($E7:AB7,"t")+COUNTIF($E7:AB7,"¶")+COUNTIF($E7:AB7,"²")+COUNTIF($E7:AB7,"µ")+COUNTIF($E7:AB7,1),ColDescriptionCourte)),""),
  "")),"")</f>
        <v/>
      </c>
      <c r="AD7" s="38" t="str">
        <f ca="1">IFERROR(IF(AND(
  INDEX(Roadmap!$D:$K,MATCH($E7,Roadmap!$D:$D,0)+COUNTIF($E7:AC7,"u")+COUNTIF($E7:AC7,"t")+COUNTIF($E7:AC7,"¶")+COUNTIF($E7:AC7,"²")+COUNTIF($E7:AC7,"µ")+COUNTIF($E7:AC7,1),ColLivraison)=AD$6,
  VLOOKUP($E7,INDIRECT("tri!"&amp; CHAR(64+ C0Col) &amp;":"&amp; CHAR(65+C0Col)),2,FALSE)&gt;COUNTIF($E7:AC7,"u")+COUNTIF($E7:AC7,"t")+COUNTIF($E7:AC7,"¶")+COUNTIF($E7:AC7,"²")+COUNTIF($E7:AC7,"µ")+COUNTIF($E7:AC7,1)),
HYPERLINK("#Roadmap!C"&amp; MATCH($E7,Roadmap!$D:$D,0)+COUNTIF($E7:AC7,"u")+COUNTIF($E7:AC7,"t"),
     INDEX(Roadmap!$D:$K,MATCH($E7,Roadmap!$D:$D,0)+COUNTIF($E7:AC7,"u")+COUNTIF($E7:AC7,"t")+COUNTIF($E7:AC7,"¶")+COUNTIF($E7:AC7,"²")+COUNTIF($E7:AC7,"µ")+COUNTIF($E7:AC7,1),ColTypeEcheance)),
  IF(LEN(AC7)=1,
  IF(LEN(INDEX(Roadmap!$D:$K,MATCH($E7,Roadmap!$D:$D,0)-1+COUNTIF($E7:AC7,"u")+COUNTIF($E7:AC7,"t")+COUNTIF($E7:AC7,"¶")+COUNTIF($E7:AC7,"²")+COUNTIF($E7:AC7,"µ")+COUNTIF($E7:AC7,1),ColDescriptionCourte))&gt;1,
HYPERLINK("#Roadmap!C"&amp; MATCH($E7,Roadmap!$D:$D,0)+COUNTIF($E7:AC7,"u")+COUNTIF($E7:AC7,"t")+COUNTIF($E7:AC7,"¶")+COUNTIF($E7:AC7,"²")+COUNTIF($E7:AC7,"µ")+COUNTIF($E7:AC7,1)-1,INDEX(Roadmap!$D:$K,MATCH($E7,Roadmap!$D:$D,0)-1+COUNTIF($E7:AC7,"u")+COUNTIF($E7:AC7,"t")+COUNTIF($E7:AC7,"¶")+COUNTIF($E7:AC7,"²")+COUNTIF($E7:AC7,"µ")+COUNTIF($E7:AC7,1),ColDescriptionCourte)),""),
  "")),"")</f>
        <v/>
      </c>
      <c r="AE7" s="38" t="str">
        <f ca="1">IFERROR(IF(AND(
  INDEX(Roadmap!$D:$K,MATCH($E7,Roadmap!$D:$D,0)+COUNTIF($E7:AD7,"u")+COUNTIF($E7:AD7,"t")+COUNTIF($E7:AD7,"¶")+COUNTIF($E7:AD7,"²")+COUNTIF($E7:AD7,"µ")+COUNTIF($E7:AD7,1),ColLivraison)=AE$6,
  VLOOKUP($E7,INDIRECT("tri!"&amp; CHAR(64+ C0Col) &amp;":"&amp; CHAR(65+C0Col)),2,FALSE)&gt;COUNTIF($E7:AD7,"u")+COUNTIF($E7:AD7,"t")+COUNTIF($E7:AD7,"¶")+COUNTIF($E7:AD7,"²")+COUNTIF($E7:AD7,"µ")+COUNTIF($E7:AD7,1)),
HYPERLINK("#Roadmap!C"&amp; MATCH($E7,Roadmap!$D:$D,0)+COUNTIF($E7:AD7,"u")+COUNTIF($E7:AD7,"t"),
     INDEX(Roadmap!$D:$K,MATCH($E7,Roadmap!$D:$D,0)+COUNTIF($E7:AD7,"u")+COUNTIF($E7:AD7,"t")+COUNTIF($E7:AD7,"¶")+COUNTIF($E7:AD7,"²")+COUNTIF($E7:AD7,"µ")+COUNTIF($E7:AD7,1),ColTypeEcheance)),
  IF(LEN(AD7)=1,
  IF(LEN(INDEX(Roadmap!$D:$K,MATCH($E7,Roadmap!$D:$D,0)-1+COUNTIF($E7:AD7,"u")+COUNTIF($E7:AD7,"t")+COUNTIF($E7:AD7,"¶")+COUNTIF($E7:AD7,"²")+COUNTIF($E7:AD7,"µ")+COUNTIF($E7:AD7,1),ColDescriptionCourte))&gt;1,
HYPERLINK("#Roadmap!C"&amp; MATCH($E7,Roadmap!$D:$D,0)+COUNTIF($E7:AD7,"u")+COUNTIF($E7:AD7,"t")+COUNTIF($E7:AD7,"¶")+COUNTIF($E7:AD7,"²")+COUNTIF($E7:AD7,"µ")+COUNTIF($E7:AD7,1)-1,INDEX(Roadmap!$D:$K,MATCH($E7,Roadmap!$D:$D,0)-1+COUNTIF($E7:AD7,"u")+COUNTIF($E7:AD7,"t")+COUNTIF($E7:AD7,"¶")+COUNTIF($E7:AD7,"²")+COUNTIF($E7:AD7,"µ")+COUNTIF($E7:AD7,1),ColDescriptionCourte)),""),
  "")),"")</f>
        <v/>
      </c>
      <c r="AF7" s="38" t="str">
        <f ca="1">IFERROR(IF(AND(
  INDEX(Roadmap!$D:$K,MATCH($E7,Roadmap!$D:$D,0)+COUNTIF($E7:AE7,"u")+COUNTIF($E7:AE7,"t")+COUNTIF($E7:AE7,"¶")+COUNTIF($E7:AE7,"²")+COUNTIF($E7:AE7,"µ")+COUNTIF($E7:AE7,1),ColLivraison)=AF$6,
  VLOOKUP($E7,INDIRECT("tri!"&amp; CHAR(64+ C0Col) &amp;":"&amp; CHAR(65+C0Col)),2,FALSE)&gt;COUNTIF($E7:AE7,"u")+COUNTIF($E7:AE7,"t")+COUNTIF($E7:AE7,"¶")+COUNTIF($E7:AE7,"²")+COUNTIF($E7:AE7,"µ")+COUNTIF($E7:AE7,1)),
HYPERLINK("#Roadmap!C"&amp; MATCH($E7,Roadmap!$D:$D,0)+COUNTIF($E7:AE7,"u")+COUNTIF($E7:AE7,"t"),
     INDEX(Roadmap!$D:$K,MATCH($E7,Roadmap!$D:$D,0)+COUNTIF($E7:AE7,"u")+COUNTIF($E7:AE7,"t")+COUNTIF($E7:AE7,"¶")+COUNTIF($E7:AE7,"²")+COUNTIF($E7:AE7,"µ")+COUNTIF($E7:AE7,1),ColTypeEcheance)),
  IF(LEN(AE7)=1,
  IF(LEN(INDEX(Roadmap!$D:$K,MATCH($E7,Roadmap!$D:$D,0)-1+COUNTIF($E7:AE7,"u")+COUNTIF($E7:AE7,"t")+COUNTIF($E7:AE7,"¶")+COUNTIF($E7:AE7,"²")+COUNTIF($E7:AE7,"µ")+COUNTIF($E7:AE7,1),ColDescriptionCourte))&gt;1,
HYPERLINK("#Roadmap!C"&amp; MATCH($E7,Roadmap!$D:$D,0)+COUNTIF($E7:AE7,"u")+COUNTIF($E7:AE7,"t")+COUNTIF($E7:AE7,"¶")+COUNTIF($E7:AE7,"²")+COUNTIF($E7:AE7,"µ")+COUNTIF($E7:AE7,1)-1,INDEX(Roadmap!$D:$K,MATCH($E7,Roadmap!$D:$D,0)-1+COUNTIF($E7:AE7,"u")+COUNTIF($E7:AE7,"t")+COUNTIF($E7:AE7,"¶")+COUNTIF($E7:AE7,"²")+COUNTIF($E7:AE7,"µ")+COUNTIF($E7:AE7,1),ColDescriptionCourte)),""),
  "")),"")</f>
        <v/>
      </c>
      <c r="AG7" s="38" t="str">
        <f ca="1">IFERROR(IF(AND(
  INDEX(Roadmap!$D:$K,MATCH($E7,Roadmap!$D:$D,0)+COUNTIF($E7:AF7,"u")+COUNTIF($E7:AF7,"t")+COUNTIF($E7:AF7,"¶")+COUNTIF($E7:AF7,"²")+COUNTIF($E7:AF7,"µ")+COUNTIF($E7:AF7,1),ColLivraison)=AG$6,
  VLOOKUP($E7,INDIRECT("tri!"&amp; CHAR(64+ C0Col) &amp;":"&amp; CHAR(65+C0Col)),2,FALSE)&gt;COUNTIF($E7:AF7,"u")+COUNTIF($E7:AF7,"t")+COUNTIF($E7:AF7,"¶")+COUNTIF($E7:AF7,"²")+COUNTIF($E7:AF7,"µ")+COUNTIF($E7:AF7,1)),
HYPERLINK("#Roadmap!C"&amp; MATCH($E7,Roadmap!$D:$D,0)+COUNTIF($E7:AF7,"u")+COUNTIF($E7:AF7,"t"),
     INDEX(Roadmap!$D:$K,MATCH($E7,Roadmap!$D:$D,0)+COUNTIF($E7:AF7,"u")+COUNTIF($E7:AF7,"t")+COUNTIF($E7:AF7,"¶")+COUNTIF($E7:AF7,"²")+COUNTIF($E7:AF7,"µ")+COUNTIF($E7:AF7,1),ColTypeEcheance)),
  IF(LEN(AF7)=1,
  IF(LEN(INDEX(Roadmap!$D:$K,MATCH($E7,Roadmap!$D:$D,0)-1+COUNTIF($E7:AF7,"u")+COUNTIF($E7:AF7,"t")+COUNTIF($E7:AF7,"¶")+COUNTIF($E7:AF7,"²")+COUNTIF($E7:AF7,"µ")+COUNTIF($E7:AF7,1),ColDescriptionCourte))&gt;1,
HYPERLINK("#Roadmap!C"&amp; MATCH($E7,Roadmap!$D:$D,0)+COUNTIF($E7:AF7,"u")+COUNTIF($E7:AF7,"t")+COUNTIF($E7:AF7,"¶")+COUNTIF($E7:AF7,"²")+COUNTIF($E7:AF7,"µ")+COUNTIF($E7:AF7,1)-1,INDEX(Roadmap!$D:$K,MATCH($E7,Roadmap!$D:$D,0)-1+COUNTIF($E7:AF7,"u")+COUNTIF($E7:AF7,"t")+COUNTIF($E7:AF7,"¶")+COUNTIF($E7:AF7,"²")+COUNTIF($E7:AF7,"µ")+COUNTIF($E7:AF7,1),ColDescriptionCourte)),""),
  "")),"")</f>
        <v/>
      </c>
    </row>
    <row r="8" spans="3:35" ht="14.25" customHeight="1">
      <c r="C8" s="1" t="str">
        <f t="shared" ca="1" si="42"/>
        <v/>
      </c>
      <c r="D8" s="1" t="str">
        <f t="shared" ca="1" si="43"/>
        <v/>
      </c>
      <c r="E8" s="35" t="str">
        <f t="shared" ca="1" si="33"/>
        <v>Projet AO</v>
      </c>
      <c r="F8" s="39" t="str">
        <f ca="1">IFERROR(IF(AND(
  INDEX(Roadmap!$D:$K,MATCH($E8,Roadmap!$D:$D,0)+COUNTIF($E8:E8,"u")+COUNTIF($E8:E8,"t")+COUNTIF($E8:E8,"¶")+COUNTIF($E8:E8,"²")+COUNTIF($E8:E8,"µ")+COUNTIF($E8:E8,1),ColLivraison)=F$6,
  VLOOKUP($E8,INDIRECT("tri!"&amp; CHAR(64+ C0Col) &amp;":"&amp; CHAR(65+C0Col)),2,FALSE)&gt;COUNTIF($E8:E8,"u")+COUNTIF($E8:E8,"t")+COUNTIF($E8:E8,"¶")+COUNTIF($E8:E8,"²")+COUNTIF($E8:E8,"µ")+COUNTIF($E8:E8,1)),
HYPERLINK("#Roadmap!C"&amp; MATCH($E8,Roadmap!$D:$D,0)+COUNTIF($E8:E8,"u")+COUNTIF($E8:E8,"t"),
     INDEX(Roadmap!$D:$K,MATCH($E8,Roadmap!$D:$D,0)+COUNTIF($E8:E8,"u")+COUNTIF($E8:E8,"t")+COUNTIF($E8:E8,"¶")+COUNTIF($E8:E8,"²")+COUNTIF($E8:E8,"µ")+COUNTIF($E8:E8,1),ColTypeEcheance)),
  IF(LEN(E8)=1,
  IF(LEN(INDEX(Roadmap!$D:$K,MATCH($E8,Roadmap!$D:$D,0)-1+COUNTIF($E8:E8,"u")+COUNTIF($E8:E8,"t")+COUNTIF($E8:E8,"¶")+COUNTIF($E8:E8,"²")+COUNTIF($E8:E8,"µ")+COUNTIF($E8:E8,1),ColDescriptionCourte))&gt;1,
HYPERLINK("#Roadmap!C"&amp; MATCH($E8,Roadmap!$D:$D,0)+COUNTIF($E8:E8,"u")+COUNTIF($E8:E8,"t")+COUNTIF($E8:E8,"¶")+COUNTIF($E8:E8,"²")+COUNTIF($E8:E8,"µ")+COUNTIF($E8:E8,1)-1,INDEX(Roadmap!$D:$K,MATCH($E8,Roadmap!$D:$D,0)-1+COUNTIF($E8:E8,"u")+COUNTIF($E8:E8,"t")+COUNTIF($E8:E8,"¶")+COUNTIF($E8:E8,"²")+COUNTIF($E8:E8,"µ")+COUNTIF($E8:E8,1),ColDescriptionCourte)),""),
  "")),"")</f>
        <v/>
      </c>
      <c r="G8" s="40" t="str">
        <f ca="1">IFERROR(IF(AND(
  INDEX(Roadmap!$D:$K,MATCH($E8,Roadmap!$D:$D,0)+COUNTIF($E8:F8,"u")+COUNTIF($E8:F8,"t")+COUNTIF($E8:F8,"¶")+COUNTIF($E8:F8,"²")+COUNTIF($E8:F8,"µ")+COUNTIF($E8:F8,1),ColLivraison)=G$6,
  VLOOKUP($E8,INDIRECT("tri!"&amp; CHAR(64+ C0Col) &amp;":"&amp; CHAR(65+C0Col)),2,FALSE)&gt;COUNTIF($E8:F8,"u")+COUNTIF($E8:F8,"t")+COUNTIF($E8:F8,"¶")+COUNTIF($E8:F8,"²")+COUNTIF($E8:F8,"µ")+COUNTIF($E8:F8,1)),
HYPERLINK("#Roadmap!C"&amp; MATCH($E8,Roadmap!$D:$D,0)+COUNTIF($E8:F8,"u")+COUNTIF($E8:F8,"t"),
     INDEX(Roadmap!$D:$K,MATCH($E8,Roadmap!$D:$D,0)+COUNTIF($E8:F8,"u")+COUNTIF($E8:F8,"t")+COUNTIF($E8:F8,"¶")+COUNTIF($E8:F8,"²")+COUNTIF($E8:F8,"µ")+COUNTIF($E8:F8,1),ColTypeEcheance)),
  IF(LEN(F8)=1,
  IF(LEN(INDEX(Roadmap!$D:$K,MATCH($E8,Roadmap!$D:$D,0)-1+COUNTIF($E8:F8,"u")+COUNTIF($E8:F8,"t")+COUNTIF($E8:F8,"¶")+COUNTIF($E8:F8,"²")+COUNTIF($E8:F8,"µ")+COUNTIF($E8:F8,1),ColDescriptionCourte))&gt;1,
HYPERLINK("#Roadmap!C"&amp; MATCH($E8,Roadmap!$D:$D,0)+COUNTIF($E8:F8,"u")+COUNTIF($E8:F8,"t")+COUNTIF($E8:F8,"¶")+COUNTIF($E8:F8,"²")+COUNTIF($E8:F8,"µ")+COUNTIF($E8:F8,1)-1,INDEX(Roadmap!$D:$K,MATCH($E8,Roadmap!$D:$D,0)-1+COUNTIF($E8:F8,"u")+COUNTIF($E8:F8,"t")+COUNTIF($E8:F8,"¶")+COUNTIF($E8:F8,"²")+COUNTIF($E8:F8,"µ")+COUNTIF($E8:F8,1),ColDescriptionCourte)),""),
  "")),"")</f>
        <v/>
      </c>
      <c r="H8" s="40" t="str">
        <f ca="1">IFERROR(IF(AND(
  INDEX(Roadmap!$D:$K,MATCH($E8,Roadmap!$D:$D,0)+COUNTIF($E8:G8,"u")+COUNTIF($E8:G8,"t")+COUNTIF($E8:G8,"¶")+COUNTIF($E8:G8,"²")+COUNTIF($E8:G8,"µ")+COUNTIF($E8:G8,1),ColLivraison)=H$6,
  VLOOKUP($E8,INDIRECT("tri!"&amp; CHAR(64+ C0Col) &amp;":"&amp; CHAR(65+C0Col)),2,FALSE)&gt;COUNTIF($E8:G8,"u")+COUNTIF($E8:G8,"t")+COUNTIF($E8:G8,"¶")+COUNTIF($E8:G8,"²")+COUNTIF($E8:G8,"µ")+COUNTIF($E8:G8,1)),
HYPERLINK("#Roadmap!C"&amp; MATCH($E8,Roadmap!$D:$D,0)+COUNTIF($E8:G8,"u")+COUNTIF($E8:G8,"t"),
     INDEX(Roadmap!$D:$K,MATCH($E8,Roadmap!$D:$D,0)+COUNTIF($E8:G8,"u")+COUNTIF($E8:G8,"t")+COUNTIF($E8:G8,"¶")+COUNTIF($E8:G8,"²")+COUNTIF($E8:G8,"µ")+COUNTIF($E8:G8,1),ColTypeEcheance)),
  IF(LEN(G8)=1,
  IF(LEN(INDEX(Roadmap!$D:$K,MATCH($E8,Roadmap!$D:$D,0)-1+COUNTIF($E8:G8,"u")+COUNTIF($E8:G8,"t")+COUNTIF($E8:G8,"¶")+COUNTIF($E8:G8,"²")+COUNTIF($E8:G8,"µ")+COUNTIF($E8:G8,1),ColDescriptionCourte))&gt;1,
HYPERLINK("#Roadmap!C"&amp; MATCH($E8,Roadmap!$D:$D,0)+COUNTIF($E8:G8,"u")+COUNTIF($E8:G8,"t")+COUNTIF($E8:G8,"¶")+COUNTIF($E8:G8,"²")+COUNTIF($E8:G8,"µ")+COUNTIF($E8:G8,1)-1,INDEX(Roadmap!$D:$K,MATCH($E8,Roadmap!$D:$D,0)-1+COUNTIF($E8:G8,"u")+COUNTIF($E8:G8,"t")+COUNTIF($E8:G8,"¶")+COUNTIF($E8:G8,"²")+COUNTIF($E8:G8,"µ")+COUNTIF($E8:G8,1),ColDescriptionCourte)),""),
  "")),"")</f>
        <v/>
      </c>
      <c r="I8" s="40" t="str">
        <f ca="1">IFERROR(IF(AND(
  INDEX(Roadmap!$D:$K,MATCH($E8,Roadmap!$D:$D,0)+COUNTIF($E8:H8,"u")+COUNTIF($E8:H8,"t")+COUNTIF($E8:H8,"¶")+COUNTIF($E8:H8,"²")+COUNTIF($E8:H8,"µ")+COUNTIF($E8:H8,1),ColLivraison)=I$6,
  VLOOKUP($E8,INDIRECT("tri!"&amp; CHAR(64+ C0Col) &amp;":"&amp; CHAR(65+C0Col)),2,FALSE)&gt;COUNTIF($E8:H8,"u")+COUNTIF($E8:H8,"t")+COUNTIF($E8:H8,"¶")+COUNTIF($E8:H8,"²")+COUNTIF($E8:H8,"µ")+COUNTIF($E8:H8,1)),
HYPERLINK("#Roadmap!C"&amp; MATCH($E8,Roadmap!$D:$D,0)+COUNTIF($E8:H8,"u")+COUNTIF($E8:H8,"t"),
     INDEX(Roadmap!$D:$K,MATCH($E8,Roadmap!$D:$D,0)+COUNTIF($E8:H8,"u")+COUNTIF($E8:H8,"t")+COUNTIF($E8:H8,"¶")+COUNTIF($E8:H8,"²")+COUNTIF($E8:H8,"µ")+COUNTIF($E8:H8,1),ColTypeEcheance)),
  IF(LEN(H8)=1,
  IF(LEN(INDEX(Roadmap!$D:$K,MATCH($E8,Roadmap!$D:$D,0)-1+COUNTIF($E8:H8,"u")+COUNTIF($E8:H8,"t")+COUNTIF($E8:H8,"¶")+COUNTIF($E8:H8,"²")+COUNTIF($E8:H8,"µ")+COUNTIF($E8:H8,1),ColDescriptionCourte))&gt;1,
HYPERLINK("#Roadmap!C"&amp; MATCH($E8,Roadmap!$D:$D,0)+COUNTIF($E8:H8,"u")+COUNTIF($E8:H8,"t")+COUNTIF($E8:H8,"¶")+COUNTIF($E8:H8,"²")+COUNTIF($E8:H8,"µ")+COUNTIF($E8:H8,1)-1,INDEX(Roadmap!$D:$K,MATCH($E8,Roadmap!$D:$D,0)-1+COUNTIF($E8:H8,"u")+COUNTIF($E8:H8,"t")+COUNTIF($E8:H8,"¶")+COUNTIF($E8:H8,"²")+COUNTIF($E8:H8,"µ")+COUNTIF($E8:H8,1),ColDescriptionCourte)),""),
  "")),"")</f>
        <v/>
      </c>
      <c r="J8" s="40" t="str">
        <f ca="1">IFERROR(IF(AND(
  INDEX(Roadmap!$D:$K,MATCH($E8,Roadmap!$D:$D,0)+COUNTIF($E8:I8,"u")+COUNTIF($E8:I8,"t")+COUNTIF($E8:I8,"¶")+COUNTIF($E8:I8,"²")+COUNTIF($E8:I8,"µ")+COUNTIF($E8:I8,1),ColLivraison)=J$6,
  VLOOKUP($E8,INDIRECT("tri!"&amp; CHAR(64+ C0Col) &amp;":"&amp; CHAR(65+C0Col)),2,FALSE)&gt;COUNTIF($E8:I8,"u")+COUNTIF($E8:I8,"t")+COUNTIF($E8:I8,"¶")+COUNTIF($E8:I8,"²")+COUNTIF($E8:I8,"µ")+COUNTIF($E8:I8,1)),
HYPERLINK("#Roadmap!C"&amp; MATCH($E8,Roadmap!$D:$D,0)+COUNTIF($E8:I8,"u")+COUNTIF($E8:I8,"t"),
     INDEX(Roadmap!$D:$K,MATCH($E8,Roadmap!$D:$D,0)+COUNTIF($E8:I8,"u")+COUNTIF($E8:I8,"t")+COUNTIF($E8:I8,"¶")+COUNTIF($E8:I8,"²")+COUNTIF($E8:I8,"µ")+COUNTIF($E8:I8,1),ColTypeEcheance)),
  IF(LEN(I8)=1,
  IF(LEN(INDEX(Roadmap!$D:$K,MATCH($E8,Roadmap!$D:$D,0)-1+COUNTIF($E8:I8,"u")+COUNTIF($E8:I8,"t")+COUNTIF($E8:I8,"¶")+COUNTIF($E8:I8,"²")+COUNTIF($E8:I8,"µ")+COUNTIF($E8:I8,1),ColDescriptionCourte))&gt;1,
HYPERLINK("#Roadmap!C"&amp; MATCH($E8,Roadmap!$D:$D,0)+COUNTIF($E8:I8,"u")+COUNTIF($E8:I8,"t")+COUNTIF($E8:I8,"¶")+COUNTIF($E8:I8,"²")+COUNTIF($E8:I8,"µ")+COUNTIF($E8:I8,1)-1,INDEX(Roadmap!$D:$K,MATCH($E8,Roadmap!$D:$D,0)-1+COUNTIF($E8:I8,"u")+COUNTIF($E8:I8,"t")+COUNTIF($E8:I8,"¶")+COUNTIF($E8:I8,"²")+COUNTIF($E8:I8,"µ")+COUNTIF($E8:I8,1),ColDescriptionCourte)),""),
  "")),"")</f>
        <v/>
      </c>
      <c r="K8" s="17" t="str">
        <f ca="1">IFERROR(IF(AND(
  INDEX(Roadmap!$D:$K,MATCH($E8,Roadmap!$D:$D,0)+COUNTIF($E8:J8,"u")+COUNTIF($E8:J8,"t")+COUNTIF($E8:J8,"¶")+COUNTIF($E8:J8,"²")+COUNTIF($E8:J8,"µ")+COUNTIF($E8:J8,1),ColLivraison)=K$6,
  VLOOKUP($E8,INDIRECT("tri!"&amp; CHAR(64+ C0Col) &amp;":"&amp; CHAR(65+C0Col)),2,FALSE)&gt;COUNTIF($E8:J8,"u")+COUNTIF($E8:J8,"t")+COUNTIF($E8:J8,"¶")+COUNTIF($E8:J8,"²")+COUNTIF($E8:J8,"µ")+COUNTIF($E8:J8,1)),
HYPERLINK("#Roadmap!C"&amp; MATCH($E8,Roadmap!$D:$D,0)+COUNTIF($E8:J8,"u")+COUNTIF($E8:J8,"t"),
     INDEX(Roadmap!$D:$K,MATCH($E8,Roadmap!$D:$D,0)+COUNTIF($E8:J8,"u")+COUNTIF($E8:J8,"t")+COUNTIF($E8:J8,"¶")+COUNTIF($E8:J8,"²")+COUNTIF($E8:J8,"µ")+COUNTIF($E8:J8,1),ColTypeEcheance)),
  IF(LEN(J8)=1,
  IF(LEN(INDEX(Roadmap!$D:$K,MATCH($E8,Roadmap!$D:$D,0)-1+COUNTIF($E8:J8,"u")+COUNTIF($E8:J8,"t")+COUNTIF($E8:J8,"¶")+COUNTIF($E8:J8,"²")+COUNTIF($E8:J8,"µ")+COUNTIF($E8:J8,1),ColDescriptionCourte))&gt;1,
HYPERLINK("#Roadmap!C"&amp; MATCH($E8,Roadmap!$D:$D,0)+COUNTIF($E8:J8,"u")+COUNTIF($E8:J8,"t")+COUNTIF($E8:J8,"¶")+COUNTIF($E8:J8,"²")+COUNTIF($E8:J8,"µ")+COUNTIF($E8:J8,1)-1,INDEX(Roadmap!$D:$K,MATCH($E8,Roadmap!$D:$D,0)-1+COUNTIF($E8:J8,"u")+COUNTIF($E8:J8,"t")+COUNTIF($E8:J8,"¶")+COUNTIF($E8:J8,"²")+COUNTIF($E8:J8,"µ")+COUNTIF($E8:J8,1),ColDescriptionCourte)),""),
  "")),"")</f>
        <v>t</v>
      </c>
      <c r="L8" s="39" t="str">
        <f ca="1">IFERROR(IF(AND(
  INDEX(Roadmap!$D:$K,MATCH($E8,Roadmap!$D:$D,0)+COUNTIF($E8:K8,"u")+COUNTIF($E8:K8,"t")+COUNTIF($E8:K8,"¶")+COUNTIF($E8:K8,"²")+COUNTIF($E8:K8,"µ")+COUNTIF($E8:K8,1),ColLivraison)=L$6,
  VLOOKUP($E8,INDIRECT("tri!"&amp; CHAR(64+ C0Col) &amp;":"&amp; CHAR(65+C0Col)),2,FALSE)&gt;COUNTIF($E8:K8,"u")+COUNTIF($E8:K8,"t")+COUNTIF($E8:K8,"¶")+COUNTIF($E8:K8,"²")+COUNTIF($E8:K8,"µ")+COUNTIF($E8:K8,1)),
HYPERLINK("#Roadmap!C"&amp; MATCH($E8,Roadmap!$D:$D,0)+COUNTIF($E8:K8,"u")+COUNTIF($E8:K8,"t"),
     INDEX(Roadmap!$D:$K,MATCH($E8,Roadmap!$D:$D,0)+COUNTIF($E8:K8,"u")+COUNTIF($E8:K8,"t")+COUNTIF($E8:K8,"¶")+COUNTIF($E8:K8,"²")+COUNTIF($E8:K8,"µ")+COUNTIF($E8:K8,1),ColTypeEcheance)),
  IF(LEN(K8)=1,
  IF(LEN(INDEX(Roadmap!$D:$K,MATCH($E8,Roadmap!$D:$D,0)-1+COUNTIF($E8:K8,"u")+COUNTIF($E8:K8,"t")+COUNTIF($E8:K8,"¶")+COUNTIF($E8:K8,"²")+COUNTIF($E8:K8,"µ")+COUNTIF($E8:K8,1),ColDescriptionCourte))&gt;1,
HYPERLINK("#Roadmap!C"&amp; MATCH($E8,Roadmap!$D:$D,0)+COUNTIF($E8:K8,"u")+COUNTIF($E8:K8,"t")+COUNTIF($E8:K8,"¶")+COUNTIF($E8:K8,"²")+COUNTIF($E8:K8,"µ")+COUNTIF($E8:K8,1)-1,INDEX(Roadmap!$D:$K,MATCH($E8,Roadmap!$D:$D,0)-1+COUNTIF($E8:K8,"u")+COUNTIF($E8:K8,"t")+COUNTIF($E8:K8,"¶")+COUNTIF($E8:K8,"²")+COUNTIF($E8:K8,"µ")+COUNTIF($E8:K8,1),ColDescriptionCourte)),""),
  "")),"")</f>
        <v>Roadmap</v>
      </c>
      <c r="M8" s="40" t="str">
        <f ca="1">IFERROR(IF(AND(
  INDEX(Roadmap!$D:$K,MATCH($E8,Roadmap!$D:$D,0)+COUNTIF($E8:L8,"u")+COUNTIF($E8:L8,"t")+COUNTIF($E8:L8,"¶")+COUNTIF($E8:L8,"²")+COUNTIF($E8:L8,"µ")+COUNTIF($E8:L8,1),ColLivraison)=M$6,
  VLOOKUP($E8,INDIRECT("tri!"&amp; CHAR(64+ C0Col) &amp;":"&amp; CHAR(65+C0Col)),2,FALSE)&gt;COUNTIF($E8:L8,"u")+COUNTIF($E8:L8,"t")+COUNTIF($E8:L8,"¶")+COUNTIF($E8:L8,"²")+COUNTIF($E8:L8,"µ")+COUNTIF($E8:L8,1)),
HYPERLINK("#Roadmap!C"&amp; MATCH($E8,Roadmap!$D:$D,0)+COUNTIF($E8:L8,"u")+COUNTIF($E8:L8,"t"),
     INDEX(Roadmap!$D:$K,MATCH($E8,Roadmap!$D:$D,0)+COUNTIF($E8:L8,"u")+COUNTIF($E8:L8,"t")+COUNTIF($E8:L8,"¶")+COUNTIF($E8:L8,"²")+COUNTIF($E8:L8,"µ")+COUNTIF($E8:L8,1),ColTypeEcheance)),
  IF(LEN(L8)=1,
  IF(LEN(INDEX(Roadmap!$D:$K,MATCH($E8,Roadmap!$D:$D,0)-1+COUNTIF($E8:L8,"u")+COUNTIF($E8:L8,"t")+COUNTIF($E8:L8,"¶")+COUNTIF($E8:L8,"²")+COUNTIF($E8:L8,"µ")+COUNTIF($E8:L8,1),ColDescriptionCourte))&gt;1,
HYPERLINK("#Roadmap!C"&amp; MATCH($E8,Roadmap!$D:$D,0)+COUNTIF($E8:L8,"u")+COUNTIF($E8:L8,"t")+COUNTIF($E8:L8,"¶")+COUNTIF($E8:L8,"²")+COUNTIF($E8:L8,"µ")+COUNTIF($E8:L8,1)-1,INDEX(Roadmap!$D:$K,MATCH($E8,Roadmap!$D:$D,0)-1+COUNTIF($E8:L8,"u")+COUNTIF($E8:L8,"t")+COUNTIF($E8:L8,"¶")+COUNTIF($E8:L8,"²")+COUNTIF($E8:L8,"µ")+COUNTIF($E8:L8,1),ColDescriptionCourte)),""),
  "")),"")</f>
        <v/>
      </c>
      <c r="N8" s="40" t="str">
        <f ca="1">IFERROR(IF(AND(
  INDEX(Roadmap!$D:$K,MATCH($E8,Roadmap!$D:$D,0)+COUNTIF($E8:M8,"u")+COUNTIF($E8:M8,"t")+COUNTIF($E8:M8,"¶")+COUNTIF($E8:M8,"²")+COUNTIF($E8:M8,"µ")+COUNTIF($E8:M8,1),ColLivraison)=N$6,
  VLOOKUP($E8,INDIRECT("tri!"&amp; CHAR(64+ C0Col) &amp;":"&amp; CHAR(65+C0Col)),2,FALSE)&gt;COUNTIF($E8:M8,"u")+COUNTIF($E8:M8,"t")+COUNTIF($E8:M8,"¶")+COUNTIF($E8:M8,"²")+COUNTIF($E8:M8,"µ")+COUNTIF($E8:M8,1)),
HYPERLINK("#Roadmap!C"&amp; MATCH($E8,Roadmap!$D:$D,0)+COUNTIF($E8:M8,"u")+COUNTIF($E8:M8,"t"),
     INDEX(Roadmap!$D:$K,MATCH($E8,Roadmap!$D:$D,0)+COUNTIF($E8:M8,"u")+COUNTIF($E8:M8,"t")+COUNTIF($E8:M8,"¶")+COUNTIF($E8:M8,"²")+COUNTIF($E8:M8,"µ")+COUNTIF($E8:M8,1),ColTypeEcheance)),
  IF(LEN(M8)=1,
  IF(LEN(INDEX(Roadmap!$D:$K,MATCH($E8,Roadmap!$D:$D,0)-1+COUNTIF($E8:M8,"u")+COUNTIF($E8:M8,"t")+COUNTIF($E8:M8,"¶")+COUNTIF($E8:M8,"²")+COUNTIF($E8:M8,"µ")+COUNTIF($E8:M8,1),ColDescriptionCourte))&gt;1,
HYPERLINK("#Roadmap!C"&amp; MATCH($E8,Roadmap!$D:$D,0)+COUNTIF($E8:M8,"u")+COUNTIF($E8:M8,"t")+COUNTIF($E8:M8,"¶")+COUNTIF($E8:M8,"²")+COUNTIF($E8:M8,"µ")+COUNTIF($E8:M8,1)-1,INDEX(Roadmap!$D:$K,MATCH($E8,Roadmap!$D:$D,0)-1+COUNTIF($E8:M8,"u")+COUNTIF($E8:M8,"t")+COUNTIF($E8:M8,"¶")+COUNTIF($E8:M8,"²")+COUNTIF($E8:M8,"µ")+COUNTIF($E8:M8,1),ColDescriptionCourte)),""),
  "")),"")</f>
        <v/>
      </c>
      <c r="O8" s="40" t="str">
        <f ca="1">IFERROR(IF(AND(
  INDEX(Roadmap!$D:$K,MATCH($E8,Roadmap!$D:$D,0)+COUNTIF($E8:N8,"u")+COUNTIF($E8:N8,"t")+COUNTIF($E8:N8,"¶")+COUNTIF($E8:N8,"²")+COUNTIF($E8:N8,"µ")+COUNTIF($E8:N8,1),ColLivraison)=O$6,
  VLOOKUP($E8,INDIRECT("tri!"&amp; CHAR(64+ C0Col) &amp;":"&amp; CHAR(65+C0Col)),2,FALSE)&gt;COUNTIF($E8:N8,"u")+COUNTIF($E8:N8,"t")+COUNTIF($E8:N8,"¶")+COUNTIF($E8:N8,"²")+COUNTIF($E8:N8,"µ")+COUNTIF($E8:N8,1)),
HYPERLINK("#Roadmap!C"&amp; MATCH($E8,Roadmap!$D:$D,0)+COUNTIF($E8:N8,"u")+COUNTIF($E8:N8,"t"),
     INDEX(Roadmap!$D:$K,MATCH($E8,Roadmap!$D:$D,0)+COUNTIF($E8:N8,"u")+COUNTIF($E8:N8,"t")+COUNTIF($E8:N8,"¶")+COUNTIF($E8:N8,"²")+COUNTIF($E8:N8,"µ")+COUNTIF($E8:N8,1),ColTypeEcheance)),
  IF(LEN(N8)=1,
  IF(LEN(INDEX(Roadmap!$D:$K,MATCH($E8,Roadmap!$D:$D,0)-1+COUNTIF($E8:N8,"u")+COUNTIF($E8:N8,"t")+COUNTIF($E8:N8,"¶")+COUNTIF($E8:N8,"²")+COUNTIF($E8:N8,"µ")+COUNTIF($E8:N8,1),ColDescriptionCourte))&gt;1,
HYPERLINK("#Roadmap!C"&amp; MATCH($E8,Roadmap!$D:$D,0)+COUNTIF($E8:N8,"u")+COUNTIF($E8:N8,"t")+COUNTIF($E8:N8,"¶")+COUNTIF($E8:N8,"²")+COUNTIF($E8:N8,"µ")+COUNTIF($E8:N8,1)-1,INDEX(Roadmap!$D:$K,MATCH($E8,Roadmap!$D:$D,0)-1+COUNTIF($E8:N8,"u")+COUNTIF($E8:N8,"t")+COUNTIF($E8:N8,"¶")+COUNTIF($E8:N8,"²")+COUNTIF($E8:N8,"µ")+COUNTIF($E8:N8,1),ColDescriptionCourte)),""),
  "")),"")</f>
        <v/>
      </c>
      <c r="P8" s="40" t="str">
        <f ca="1">IFERROR(IF(AND(
  INDEX(Roadmap!$D:$K,MATCH($E8,Roadmap!$D:$D,0)+COUNTIF($E8:O8,"u")+COUNTIF($E8:O8,"t")+COUNTIF($E8:O8,"¶")+COUNTIF($E8:O8,"²")+COUNTIF($E8:O8,"µ")+COUNTIF($E8:O8,1),ColLivraison)=P$6,
  VLOOKUP($E8,INDIRECT("tri!"&amp; CHAR(64+ C0Col) &amp;":"&amp; CHAR(65+C0Col)),2,FALSE)&gt;COUNTIF($E8:O8,"u")+COUNTIF($E8:O8,"t")+COUNTIF($E8:O8,"¶")+COUNTIF($E8:O8,"²")+COUNTIF($E8:O8,"µ")+COUNTIF($E8:O8,1)),
HYPERLINK("#Roadmap!C"&amp; MATCH($E8,Roadmap!$D:$D,0)+COUNTIF($E8:O8,"u")+COUNTIF($E8:O8,"t"),
     INDEX(Roadmap!$D:$K,MATCH($E8,Roadmap!$D:$D,0)+COUNTIF($E8:O8,"u")+COUNTIF($E8:O8,"t")+COUNTIF($E8:O8,"¶")+COUNTIF($E8:O8,"²")+COUNTIF($E8:O8,"µ")+COUNTIF($E8:O8,1),ColTypeEcheance)),
  IF(LEN(O8)=1,
  IF(LEN(INDEX(Roadmap!$D:$K,MATCH($E8,Roadmap!$D:$D,0)-1+COUNTIF($E8:O8,"u")+COUNTIF($E8:O8,"t")+COUNTIF($E8:O8,"¶")+COUNTIF($E8:O8,"²")+COUNTIF($E8:O8,"µ")+COUNTIF($E8:O8,1),ColDescriptionCourte))&gt;1,
HYPERLINK("#Roadmap!C"&amp; MATCH($E8,Roadmap!$D:$D,0)+COUNTIF($E8:O8,"u")+COUNTIF($E8:O8,"t")+COUNTIF($E8:O8,"¶")+COUNTIF($E8:O8,"²")+COUNTIF($E8:O8,"µ")+COUNTIF($E8:O8,1)-1,INDEX(Roadmap!$D:$K,MATCH($E8,Roadmap!$D:$D,0)-1+COUNTIF($E8:O8,"u")+COUNTIF($E8:O8,"t")+COUNTIF($E8:O8,"¶")+COUNTIF($E8:O8,"²")+COUNTIF($E8:O8,"µ")+COUNTIF($E8:O8,1),ColDescriptionCourte)),""),
  "")),"")</f>
        <v/>
      </c>
      <c r="Q8" s="40" t="str">
        <f ca="1">IFERROR(IF(AND(
  INDEX(Roadmap!$D:$K,MATCH($E8,Roadmap!$D:$D,0)+COUNTIF($E8:P8,"u")+COUNTIF($E8:P8,"t")+COUNTIF($E8:P8,"¶")+COUNTIF($E8:P8,"²")+COUNTIF($E8:P8,"µ")+COUNTIF($E8:P8,1),ColLivraison)=Q$6,
  VLOOKUP($E8,INDIRECT("tri!"&amp; CHAR(64+ C0Col) &amp;":"&amp; CHAR(65+C0Col)),2,FALSE)&gt;COUNTIF($E8:P8,"u")+COUNTIF($E8:P8,"t")+COUNTIF($E8:P8,"¶")+COUNTIF($E8:P8,"²")+COUNTIF($E8:P8,"µ")+COUNTIF($E8:P8,1)),
HYPERLINK("#Roadmap!C"&amp; MATCH($E8,Roadmap!$D:$D,0)+COUNTIF($E8:P8,"u")+COUNTIF($E8:P8,"t"),
     INDEX(Roadmap!$D:$K,MATCH($E8,Roadmap!$D:$D,0)+COUNTIF($E8:P8,"u")+COUNTIF($E8:P8,"t")+COUNTIF($E8:P8,"¶")+COUNTIF($E8:P8,"²")+COUNTIF($E8:P8,"µ")+COUNTIF($E8:P8,1),ColTypeEcheance)),
  IF(LEN(P8)=1,
  IF(LEN(INDEX(Roadmap!$D:$K,MATCH($E8,Roadmap!$D:$D,0)-1+COUNTIF($E8:P8,"u")+COUNTIF($E8:P8,"t")+COUNTIF($E8:P8,"¶")+COUNTIF($E8:P8,"²")+COUNTIF($E8:P8,"µ")+COUNTIF($E8:P8,1),ColDescriptionCourte))&gt;1,
HYPERLINK("#Roadmap!C"&amp; MATCH($E8,Roadmap!$D:$D,0)+COUNTIF($E8:P8,"u")+COUNTIF($E8:P8,"t")+COUNTIF($E8:P8,"¶")+COUNTIF($E8:P8,"²")+COUNTIF($E8:P8,"µ")+COUNTIF($E8:P8,1)-1,INDEX(Roadmap!$D:$K,MATCH($E8,Roadmap!$D:$D,0)-1+COUNTIF($E8:P8,"u")+COUNTIF($E8:P8,"t")+COUNTIF($E8:P8,"¶")+COUNTIF($E8:P8,"²")+COUNTIF($E8:P8,"µ")+COUNTIF($E8:P8,1),ColDescriptionCourte)),""),
  "")),"")</f>
        <v/>
      </c>
      <c r="R8" s="40" t="str">
        <f ca="1">IFERROR(IF(AND(
  INDEX(Roadmap!$D:$K,MATCH($E8,Roadmap!$D:$D,0)+COUNTIF($E8:Q8,"u")+COUNTIF($E8:Q8,"t")+COUNTIF($E8:Q8,"¶")+COUNTIF($E8:Q8,"²")+COUNTIF($E8:Q8,"µ")+COUNTIF($E8:Q8,1),ColLivraison)=R$6,
  VLOOKUP($E8,INDIRECT("tri!"&amp; CHAR(64+ C0Col) &amp;":"&amp; CHAR(65+C0Col)),2,FALSE)&gt;COUNTIF($E8:Q8,"u")+COUNTIF($E8:Q8,"t")+COUNTIF($E8:Q8,"¶")+COUNTIF($E8:Q8,"²")+COUNTIF($E8:Q8,"µ")+COUNTIF($E8:Q8,1)),
HYPERLINK("#Roadmap!C"&amp; MATCH($E8,Roadmap!$D:$D,0)+COUNTIF($E8:Q8,"u")+COUNTIF($E8:Q8,"t"),
     INDEX(Roadmap!$D:$K,MATCH($E8,Roadmap!$D:$D,0)+COUNTIF($E8:Q8,"u")+COUNTIF($E8:Q8,"t")+COUNTIF($E8:Q8,"¶")+COUNTIF($E8:Q8,"²")+COUNTIF($E8:Q8,"µ")+COUNTIF($E8:Q8,1),ColTypeEcheance)),
  IF(LEN(Q8)=1,
  IF(LEN(INDEX(Roadmap!$D:$K,MATCH($E8,Roadmap!$D:$D,0)-1+COUNTIF($E8:Q8,"u")+COUNTIF($E8:Q8,"t")+COUNTIF($E8:Q8,"¶")+COUNTIF($E8:Q8,"²")+COUNTIF($E8:Q8,"µ")+COUNTIF($E8:Q8,1),ColDescriptionCourte))&gt;1,
HYPERLINK("#Roadmap!C"&amp; MATCH($E8,Roadmap!$D:$D,0)+COUNTIF($E8:Q8,"u")+COUNTIF($E8:Q8,"t")+COUNTIF($E8:Q8,"¶")+COUNTIF($E8:Q8,"²")+COUNTIF($E8:Q8,"µ")+COUNTIF($E8:Q8,1)-1,INDEX(Roadmap!$D:$K,MATCH($E8,Roadmap!$D:$D,0)-1+COUNTIF($E8:Q8,"u")+COUNTIF($E8:Q8,"t")+COUNTIF($E8:Q8,"¶")+COUNTIF($E8:Q8,"²")+COUNTIF($E8:Q8,"µ")+COUNTIF($E8:Q8,1),ColDescriptionCourte)),""),
  "")),"")</f>
        <v/>
      </c>
      <c r="S8" s="40" t="str">
        <f ca="1">IFERROR(IF(AND(
  INDEX(Roadmap!$D:$K,MATCH($E8,Roadmap!$D:$D,0)+COUNTIF($E8:R8,"u")+COUNTIF($E8:R8,"t")+COUNTIF($E8:R8,"¶")+COUNTIF($E8:R8,"²")+COUNTIF($E8:R8,"µ")+COUNTIF($E8:R8,1),ColLivraison)=S$6,
  VLOOKUP($E8,INDIRECT("tri!"&amp; CHAR(64+ C0Col) &amp;":"&amp; CHAR(65+C0Col)),2,FALSE)&gt;COUNTIF($E8:R8,"u")+COUNTIF($E8:R8,"t")+COUNTIF($E8:R8,"¶")+COUNTIF($E8:R8,"²")+COUNTIF($E8:R8,"µ")+COUNTIF($E8:R8,1)),
HYPERLINK("#Roadmap!C"&amp; MATCH($E8,Roadmap!$D:$D,0)+COUNTIF($E8:R8,"u")+COUNTIF($E8:R8,"t"),
     INDEX(Roadmap!$D:$K,MATCH($E8,Roadmap!$D:$D,0)+COUNTIF($E8:R8,"u")+COUNTIF($E8:R8,"t")+COUNTIF($E8:R8,"¶")+COUNTIF($E8:R8,"²")+COUNTIF($E8:R8,"µ")+COUNTIF($E8:R8,1),ColTypeEcheance)),
  IF(LEN(R8)=1,
  IF(LEN(INDEX(Roadmap!$D:$K,MATCH($E8,Roadmap!$D:$D,0)-1+COUNTIF($E8:R8,"u")+COUNTIF($E8:R8,"t")+COUNTIF($E8:R8,"¶")+COUNTIF($E8:R8,"²")+COUNTIF($E8:R8,"µ")+COUNTIF($E8:R8,1),ColDescriptionCourte))&gt;1,
HYPERLINK("#Roadmap!C"&amp; MATCH($E8,Roadmap!$D:$D,0)+COUNTIF($E8:R8,"u")+COUNTIF($E8:R8,"t")+COUNTIF($E8:R8,"¶")+COUNTIF($E8:R8,"²")+COUNTIF($E8:R8,"µ")+COUNTIF($E8:R8,1)-1,INDEX(Roadmap!$D:$K,MATCH($E8,Roadmap!$D:$D,0)-1+COUNTIF($E8:R8,"u")+COUNTIF($E8:R8,"t")+COUNTIF($E8:R8,"¶")+COUNTIF($E8:R8,"²")+COUNTIF($E8:R8,"µ")+COUNTIF($E8:R8,1),ColDescriptionCourte)),""),
  "")),"")</f>
        <v/>
      </c>
      <c r="T8" s="40" t="str">
        <f ca="1">IFERROR(IF(AND(
  INDEX(Roadmap!$D:$K,MATCH($E8,Roadmap!$D:$D,0)+COUNTIF($E8:S8,"u")+COUNTIF($E8:S8,"t")+COUNTIF($E8:S8,"¶")+COUNTIF($E8:S8,"²")+COUNTIF($E8:S8,"µ")+COUNTIF($E8:S8,1),ColLivraison)=T$6,
  VLOOKUP($E8,INDIRECT("tri!"&amp; CHAR(64+ C0Col) &amp;":"&amp; CHAR(65+C0Col)),2,FALSE)&gt;COUNTIF($E8:S8,"u")+COUNTIF($E8:S8,"t")+COUNTIF($E8:S8,"¶")+COUNTIF($E8:S8,"²")+COUNTIF($E8:S8,"µ")+COUNTIF($E8:S8,1)),
HYPERLINK("#Roadmap!C"&amp; MATCH($E8,Roadmap!$D:$D,0)+COUNTIF($E8:S8,"u")+COUNTIF($E8:S8,"t"),
     INDEX(Roadmap!$D:$K,MATCH($E8,Roadmap!$D:$D,0)+COUNTIF($E8:S8,"u")+COUNTIF($E8:S8,"t")+COUNTIF($E8:S8,"¶")+COUNTIF($E8:S8,"²")+COUNTIF($E8:S8,"µ")+COUNTIF($E8:S8,1),ColTypeEcheance)),
  IF(LEN(S8)=1,
  IF(LEN(INDEX(Roadmap!$D:$K,MATCH($E8,Roadmap!$D:$D,0)-1+COUNTIF($E8:S8,"u")+COUNTIF($E8:S8,"t")+COUNTIF($E8:S8,"¶")+COUNTIF($E8:S8,"²")+COUNTIF($E8:S8,"µ")+COUNTIF($E8:S8,1),ColDescriptionCourte))&gt;1,
HYPERLINK("#Roadmap!C"&amp; MATCH($E8,Roadmap!$D:$D,0)+COUNTIF($E8:S8,"u")+COUNTIF($E8:S8,"t")+COUNTIF($E8:S8,"¶")+COUNTIF($E8:S8,"²")+COUNTIF($E8:S8,"µ")+COUNTIF($E8:S8,1)-1,INDEX(Roadmap!$D:$K,MATCH($E8,Roadmap!$D:$D,0)-1+COUNTIF($E8:S8,"u")+COUNTIF($E8:S8,"t")+COUNTIF($E8:S8,"¶")+COUNTIF($E8:S8,"²")+COUNTIF($E8:S8,"µ")+COUNTIF($E8:S8,1),ColDescriptionCourte)),""),
  "")),"")</f>
        <v/>
      </c>
      <c r="U8" s="40" t="str">
        <f ca="1">IFERROR(IF(AND(
  INDEX(Roadmap!$D:$K,MATCH($E8,Roadmap!$D:$D,0)+COUNTIF($E8:T8,"u")+COUNTIF($E8:T8,"t")+COUNTIF($E8:T8,"¶")+COUNTIF($E8:T8,"²")+COUNTIF($E8:T8,"µ")+COUNTIF($E8:T8,1),ColLivraison)=U$6,
  VLOOKUP($E8,INDIRECT("tri!"&amp; CHAR(64+ C0Col) &amp;":"&amp; CHAR(65+C0Col)),2,FALSE)&gt;COUNTIF($E8:T8,"u")+COUNTIF($E8:T8,"t")+COUNTIF($E8:T8,"¶")+COUNTIF($E8:T8,"²")+COUNTIF($E8:T8,"µ")+COUNTIF($E8:T8,1)),
HYPERLINK("#Roadmap!C"&amp; MATCH($E8,Roadmap!$D:$D,0)+COUNTIF($E8:T8,"u")+COUNTIF($E8:T8,"t"),
     INDEX(Roadmap!$D:$K,MATCH($E8,Roadmap!$D:$D,0)+COUNTIF($E8:T8,"u")+COUNTIF($E8:T8,"t")+COUNTIF($E8:T8,"¶")+COUNTIF($E8:T8,"²")+COUNTIF($E8:T8,"µ")+COUNTIF($E8:T8,1),ColTypeEcheance)),
  IF(LEN(T8)=1,
  IF(LEN(INDEX(Roadmap!$D:$K,MATCH($E8,Roadmap!$D:$D,0)-1+COUNTIF($E8:T8,"u")+COUNTIF($E8:T8,"t")+COUNTIF($E8:T8,"¶")+COUNTIF($E8:T8,"²")+COUNTIF($E8:T8,"µ")+COUNTIF($E8:T8,1),ColDescriptionCourte))&gt;1,
HYPERLINK("#Roadmap!C"&amp; MATCH($E8,Roadmap!$D:$D,0)+COUNTIF($E8:T8,"u")+COUNTIF($E8:T8,"t")+COUNTIF($E8:T8,"¶")+COUNTIF($E8:T8,"²")+COUNTIF($E8:T8,"µ")+COUNTIF($E8:T8,1)-1,INDEX(Roadmap!$D:$K,MATCH($E8,Roadmap!$D:$D,0)-1+COUNTIF($E8:T8,"u")+COUNTIF($E8:T8,"t")+COUNTIF($E8:T8,"¶")+COUNTIF($E8:T8,"²")+COUNTIF($E8:T8,"µ")+COUNTIF($E8:T8,1),ColDescriptionCourte)),""),
  "")),"")</f>
        <v/>
      </c>
      <c r="V8" s="40" t="str">
        <f ca="1">IFERROR(IF(AND(
  INDEX(Roadmap!$D:$K,MATCH($E8,Roadmap!$D:$D,0)+COUNTIF($E8:U8,"u")+COUNTIF($E8:U8,"t")+COUNTIF($E8:U8,"¶")+COUNTIF($E8:U8,"²")+COUNTIF($E8:U8,"µ")+COUNTIF($E8:U8,1),ColLivraison)=V$6,
  VLOOKUP($E8,INDIRECT("tri!"&amp; CHAR(64+ C0Col) &amp;":"&amp; CHAR(65+C0Col)),2,FALSE)&gt;COUNTIF($E8:U8,"u")+COUNTIF($E8:U8,"t")+COUNTIF($E8:U8,"¶")+COUNTIF($E8:U8,"²")+COUNTIF($E8:U8,"µ")+COUNTIF($E8:U8,1)),
HYPERLINK("#Roadmap!C"&amp; MATCH($E8,Roadmap!$D:$D,0)+COUNTIF($E8:U8,"u")+COUNTIF($E8:U8,"t"),
     INDEX(Roadmap!$D:$K,MATCH($E8,Roadmap!$D:$D,0)+COUNTIF($E8:U8,"u")+COUNTIF($E8:U8,"t")+COUNTIF($E8:U8,"¶")+COUNTIF($E8:U8,"²")+COUNTIF($E8:U8,"µ")+COUNTIF($E8:U8,1),ColTypeEcheance)),
  IF(LEN(U8)=1,
  IF(LEN(INDEX(Roadmap!$D:$K,MATCH($E8,Roadmap!$D:$D,0)-1+COUNTIF($E8:U8,"u")+COUNTIF($E8:U8,"t")+COUNTIF($E8:U8,"¶")+COUNTIF($E8:U8,"²")+COUNTIF($E8:U8,"µ")+COUNTIF($E8:U8,1),ColDescriptionCourte))&gt;1,
HYPERLINK("#Roadmap!C"&amp; MATCH($E8,Roadmap!$D:$D,0)+COUNTIF($E8:U8,"u")+COUNTIF($E8:U8,"t")+COUNTIF($E8:U8,"¶")+COUNTIF($E8:U8,"²")+COUNTIF($E8:U8,"µ")+COUNTIF($E8:U8,1)-1,INDEX(Roadmap!$D:$K,MATCH($E8,Roadmap!$D:$D,0)-1+COUNTIF($E8:U8,"u")+COUNTIF($E8:U8,"t")+COUNTIF($E8:U8,"¶")+COUNTIF($E8:U8,"²")+COUNTIF($E8:U8,"µ")+COUNTIF($E8:U8,1),ColDescriptionCourte)),""),
  "")),"")</f>
        <v/>
      </c>
      <c r="W8" s="40" t="str">
        <f ca="1">IFERROR(IF(AND(
  INDEX(Roadmap!$D:$K,MATCH($E8,Roadmap!$D:$D,0)+COUNTIF($E8:V8,"u")+COUNTIF($E8:V8,"t")+COUNTIF($E8:V8,"¶")+COUNTIF($E8:V8,"²")+COUNTIF($E8:V8,"µ")+COUNTIF($E8:V8,1),ColLivraison)=W$6,
  VLOOKUP($E8,INDIRECT("tri!"&amp; CHAR(64+ C0Col) &amp;":"&amp; CHAR(65+C0Col)),2,FALSE)&gt;COUNTIF($E8:V8,"u")+COUNTIF($E8:V8,"t")+COUNTIF($E8:V8,"¶")+COUNTIF($E8:V8,"²")+COUNTIF($E8:V8,"µ")+COUNTIF($E8:V8,1)),
HYPERLINK("#Roadmap!C"&amp; MATCH($E8,Roadmap!$D:$D,0)+COUNTIF($E8:V8,"u")+COUNTIF($E8:V8,"t"),
     INDEX(Roadmap!$D:$K,MATCH($E8,Roadmap!$D:$D,0)+COUNTIF($E8:V8,"u")+COUNTIF($E8:V8,"t")+COUNTIF($E8:V8,"¶")+COUNTIF($E8:V8,"²")+COUNTIF($E8:V8,"µ")+COUNTIF($E8:V8,1),ColTypeEcheance)),
  IF(LEN(V8)=1,
  IF(LEN(INDEX(Roadmap!$D:$K,MATCH($E8,Roadmap!$D:$D,0)-1+COUNTIF($E8:V8,"u")+COUNTIF($E8:V8,"t")+COUNTIF($E8:V8,"¶")+COUNTIF($E8:V8,"²")+COUNTIF($E8:V8,"µ")+COUNTIF($E8:V8,1),ColDescriptionCourte))&gt;1,
HYPERLINK("#Roadmap!C"&amp; MATCH($E8,Roadmap!$D:$D,0)+COUNTIF($E8:V8,"u")+COUNTIF($E8:V8,"t")+COUNTIF($E8:V8,"¶")+COUNTIF($E8:V8,"²")+COUNTIF($E8:V8,"µ")+COUNTIF($E8:V8,1)-1,INDEX(Roadmap!$D:$K,MATCH($E8,Roadmap!$D:$D,0)-1+COUNTIF($E8:V8,"u")+COUNTIF($E8:V8,"t")+COUNTIF($E8:V8,"¶")+COUNTIF($E8:V8,"²")+COUNTIF($E8:V8,"µ")+COUNTIF($E8:V8,1),ColDescriptionCourte)),""),
  "")),"")</f>
        <v/>
      </c>
      <c r="X8" s="40" t="str">
        <f ca="1">IFERROR(IF(AND(
  INDEX(Roadmap!$D:$K,MATCH($E8,Roadmap!$D:$D,0)+COUNTIF($E8:W8,"u")+COUNTIF($E8:W8,"t")+COUNTIF($E8:W8,"¶")+COUNTIF($E8:W8,"²")+COUNTIF($E8:W8,"µ")+COUNTIF($E8:W8,1),ColLivraison)=X$6,
  VLOOKUP($E8,INDIRECT("tri!"&amp; CHAR(64+ C0Col) &amp;":"&amp; CHAR(65+C0Col)),2,FALSE)&gt;COUNTIF($E8:W8,"u")+COUNTIF($E8:W8,"t")+COUNTIF($E8:W8,"¶")+COUNTIF($E8:W8,"²")+COUNTIF($E8:W8,"µ")+COUNTIF($E8:W8,1)),
HYPERLINK("#Roadmap!C"&amp; MATCH($E8,Roadmap!$D:$D,0)+COUNTIF($E8:W8,"u")+COUNTIF($E8:W8,"t"),
     INDEX(Roadmap!$D:$K,MATCH($E8,Roadmap!$D:$D,0)+COUNTIF($E8:W8,"u")+COUNTIF($E8:W8,"t")+COUNTIF($E8:W8,"¶")+COUNTIF($E8:W8,"²")+COUNTIF($E8:W8,"µ")+COUNTIF($E8:W8,1),ColTypeEcheance)),
  IF(LEN(W8)=1,
  IF(LEN(INDEX(Roadmap!$D:$K,MATCH($E8,Roadmap!$D:$D,0)-1+COUNTIF($E8:W8,"u")+COUNTIF($E8:W8,"t")+COUNTIF($E8:W8,"¶")+COUNTIF($E8:W8,"²")+COUNTIF($E8:W8,"µ")+COUNTIF($E8:W8,1),ColDescriptionCourte))&gt;1,
HYPERLINK("#Roadmap!C"&amp; MATCH($E8,Roadmap!$D:$D,0)+COUNTIF($E8:W8,"u")+COUNTIF($E8:W8,"t")+COUNTIF($E8:W8,"¶")+COUNTIF($E8:W8,"²")+COUNTIF($E8:W8,"µ")+COUNTIF($E8:W8,1)-1,INDEX(Roadmap!$D:$K,MATCH($E8,Roadmap!$D:$D,0)-1+COUNTIF($E8:W8,"u")+COUNTIF($E8:W8,"t")+COUNTIF($E8:W8,"¶")+COUNTIF($E8:W8,"²")+COUNTIF($E8:W8,"µ")+COUNTIF($E8:W8,1),ColDescriptionCourte)),""),
  "")),"")</f>
        <v/>
      </c>
      <c r="Y8" s="40" t="str">
        <f ca="1">IFERROR(IF(AND(
  INDEX(Roadmap!$D:$K,MATCH($E8,Roadmap!$D:$D,0)+COUNTIF($E8:X8,"u")+COUNTIF($E8:X8,"t")+COUNTIF($E8:X8,"¶")+COUNTIF($E8:X8,"²")+COUNTIF($E8:X8,"µ")+COUNTIF($E8:X8,1),ColLivraison)=Y$6,
  VLOOKUP($E8,INDIRECT("tri!"&amp; CHAR(64+ C0Col) &amp;":"&amp; CHAR(65+C0Col)),2,FALSE)&gt;COUNTIF($E8:X8,"u")+COUNTIF($E8:X8,"t")+COUNTIF($E8:X8,"¶")+COUNTIF($E8:X8,"²")+COUNTIF($E8:X8,"µ")+COUNTIF($E8:X8,1)),
HYPERLINK("#Roadmap!C"&amp; MATCH($E8,Roadmap!$D:$D,0)+COUNTIF($E8:X8,"u")+COUNTIF($E8:X8,"t"),
     INDEX(Roadmap!$D:$K,MATCH($E8,Roadmap!$D:$D,0)+COUNTIF($E8:X8,"u")+COUNTIF($E8:X8,"t")+COUNTIF($E8:X8,"¶")+COUNTIF($E8:X8,"²")+COUNTIF($E8:X8,"µ")+COUNTIF($E8:X8,1),ColTypeEcheance)),
  IF(LEN(X8)=1,
  IF(LEN(INDEX(Roadmap!$D:$K,MATCH($E8,Roadmap!$D:$D,0)-1+COUNTIF($E8:X8,"u")+COUNTIF($E8:X8,"t")+COUNTIF($E8:X8,"¶")+COUNTIF($E8:X8,"²")+COUNTIF($E8:X8,"µ")+COUNTIF($E8:X8,1),ColDescriptionCourte))&gt;1,
HYPERLINK("#Roadmap!C"&amp; MATCH($E8,Roadmap!$D:$D,0)+COUNTIF($E8:X8,"u")+COUNTIF($E8:X8,"t")+COUNTIF($E8:X8,"¶")+COUNTIF($E8:X8,"²")+COUNTIF($E8:X8,"µ")+COUNTIF($E8:X8,1)-1,INDEX(Roadmap!$D:$K,MATCH($E8,Roadmap!$D:$D,0)-1+COUNTIF($E8:X8,"u")+COUNTIF($E8:X8,"t")+COUNTIF($E8:X8,"¶")+COUNTIF($E8:X8,"²")+COUNTIF($E8:X8,"µ")+COUNTIF($E8:X8,1),ColDescriptionCourte)),""),
  "")),"")</f>
        <v/>
      </c>
      <c r="Z8" s="40" t="str">
        <f ca="1">IFERROR(IF(AND(
  INDEX(Roadmap!$D:$K,MATCH($E8,Roadmap!$D:$D,0)+COUNTIF($E8:Y8,"u")+COUNTIF($E8:Y8,"t")+COUNTIF($E8:Y8,"¶")+COUNTIF($E8:Y8,"²")+COUNTIF($E8:Y8,"µ")+COUNTIF($E8:Y8,1),ColLivraison)=Z$6,
  VLOOKUP($E8,INDIRECT("tri!"&amp; CHAR(64+ C0Col) &amp;":"&amp; CHAR(65+C0Col)),2,FALSE)&gt;COUNTIF($E8:Y8,"u")+COUNTIF($E8:Y8,"t")+COUNTIF($E8:Y8,"¶")+COUNTIF($E8:Y8,"²")+COUNTIF($E8:Y8,"µ")+COUNTIF($E8:Y8,1)),
HYPERLINK("#Roadmap!C"&amp; MATCH($E8,Roadmap!$D:$D,0)+COUNTIF($E8:Y8,"u")+COUNTIF($E8:Y8,"t"),
     INDEX(Roadmap!$D:$K,MATCH($E8,Roadmap!$D:$D,0)+COUNTIF($E8:Y8,"u")+COUNTIF($E8:Y8,"t")+COUNTIF($E8:Y8,"¶")+COUNTIF($E8:Y8,"²")+COUNTIF($E8:Y8,"µ")+COUNTIF($E8:Y8,1),ColTypeEcheance)),
  IF(LEN(Y8)=1,
  IF(LEN(INDEX(Roadmap!$D:$K,MATCH($E8,Roadmap!$D:$D,0)-1+COUNTIF($E8:Y8,"u")+COUNTIF($E8:Y8,"t")+COUNTIF($E8:Y8,"¶")+COUNTIF($E8:Y8,"²")+COUNTIF($E8:Y8,"µ")+COUNTIF($E8:Y8,1),ColDescriptionCourte))&gt;1,
HYPERLINK("#Roadmap!C"&amp; MATCH($E8,Roadmap!$D:$D,0)+COUNTIF($E8:Y8,"u")+COUNTIF($E8:Y8,"t")+COUNTIF($E8:Y8,"¶")+COUNTIF($E8:Y8,"²")+COUNTIF($E8:Y8,"µ")+COUNTIF($E8:Y8,1)-1,INDEX(Roadmap!$D:$K,MATCH($E8,Roadmap!$D:$D,0)-1+COUNTIF($E8:Y8,"u")+COUNTIF($E8:Y8,"t")+COUNTIF($E8:Y8,"¶")+COUNTIF($E8:Y8,"²")+COUNTIF($E8:Y8,"µ")+COUNTIF($E8:Y8,1),ColDescriptionCourte)),""),
  "")),"")</f>
        <v/>
      </c>
      <c r="AA8" s="40" t="str">
        <f ca="1">IFERROR(IF(AND(
  INDEX(Roadmap!$D:$K,MATCH($E8,Roadmap!$D:$D,0)+COUNTIF($E8:Z8,"u")+COUNTIF($E8:Z8,"t")+COUNTIF($E8:Z8,"¶")+COUNTIF($E8:Z8,"²")+COUNTIF($E8:Z8,"µ")+COUNTIF($E8:Z8,1),ColLivraison)=AA$6,
  VLOOKUP($E8,INDIRECT("tri!"&amp; CHAR(64+ C0Col) &amp;":"&amp; CHAR(65+C0Col)),2,FALSE)&gt;COUNTIF($E8:Z8,"u")+COUNTIF($E8:Z8,"t")+COUNTIF($E8:Z8,"¶")+COUNTIF($E8:Z8,"²")+COUNTIF($E8:Z8,"µ")+COUNTIF($E8:Z8,1)),
HYPERLINK("#Roadmap!C"&amp; MATCH($E8,Roadmap!$D:$D,0)+COUNTIF($E8:Z8,"u")+COUNTIF($E8:Z8,"t"),
     INDEX(Roadmap!$D:$K,MATCH($E8,Roadmap!$D:$D,0)+COUNTIF($E8:Z8,"u")+COUNTIF($E8:Z8,"t")+COUNTIF($E8:Z8,"¶")+COUNTIF($E8:Z8,"²")+COUNTIF($E8:Z8,"µ")+COUNTIF($E8:Z8,1),ColTypeEcheance)),
  IF(LEN(Z8)=1,
  IF(LEN(INDEX(Roadmap!$D:$K,MATCH($E8,Roadmap!$D:$D,0)-1+COUNTIF($E8:Z8,"u")+COUNTIF($E8:Z8,"t")+COUNTIF($E8:Z8,"¶")+COUNTIF($E8:Z8,"²")+COUNTIF($E8:Z8,"µ")+COUNTIF($E8:Z8,1),ColDescriptionCourte))&gt;1,
HYPERLINK("#Roadmap!C"&amp; MATCH($E8,Roadmap!$D:$D,0)+COUNTIF($E8:Z8,"u")+COUNTIF($E8:Z8,"t")+COUNTIF($E8:Z8,"¶")+COUNTIF($E8:Z8,"²")+COUNTIF($E8:Z8,"µ")+COUNTIF($E8:Z8,1)-1,INDEX(Roadmap!$D:$K,MATCH($E8,Roadmap!$D:$D,0)-1+COUNTIF($E8:Z8,"u")+COUNTIF($E8:Z8,"t")+COUNTIF($E8:Z8,"¶")+COUNTIF($E8:Z8,"²")+COUNTIF($E8:Z8,"µ")+COUNTIF($E8:Z8,1),ColDescriptionCourte)),""),
  "")),"")</f>
        <v/>
      </c>
      <c r="AB8" s="40" t="str">
        <f ca="1">IFERROR(IF(AND(
  INDEX(Roadmap!$D:$K,MATCH($E8,Roadmap!$D:$D,0)+COUNTIF($E8:AA8,"u")+COUNTIF($E8:AA8,"t")+COUNTIF($E8:AA8,"¶")+COUNTIF($E8:AA8,"²")+COUNTIF($E8:AA8,"µ")+COUNTIF($E8:AA8,1),ColLivraison)=AB$6,
  VLOOKUP($E8,INDIRECT("tri!"&amp; CHAR(64+ C0Col) &amp;":"&amp; CHAR(65+C0Col)),2,FALSE)&gt;COUNTIF($E8:AA8,"u")+COUNTIF($E8:AA8,"t")+COUNTIF($E8:AA8,"¶")+COUNTIF($E8:AA8,"²")+COUNTIF($E8:AA8,"µ")+COUNTIF($E8:AA8,1)),
HYPERLINK("#Roadmap!C"&amp; MATCH($E8,Roadmap!$D:$D,0)+COUNTIF($E8:AA8,"u")+COUNTIF($E8:AA8,"t"),
     INDEX(Roadmap!$D:$K,MATCH($E8,Roadmap!$D:$D,0)+COUNTIF($E8:AA8,"u")+COUNTIF($E8:AA8,"t")+COUNTIF($E8:AA8,"¶")+COUNTIF($E8:AA8,"²")+COUNTIF($E8:AA8,"µ")+COUNTIF($E8:AA8,1),ColTypeEcheance)),
  IF(LEN(AA8)=1,
  IF(LEN(INDEX(Roadmap!$D:$K,MATCH($E8,Roadmap!$D:$D,0)-1+COUNTIF($E8:AA8,"u")+COUNTIF($E8:AA8,"t")+COUNTIF($E8:AA8,"¶")+COUNTIF($E8:AA8,"²")+COUNTIF($E8:AA8,"µ")+COUNTIF($E8:AA8,1),ColDescriptionCourte))&gt;1,
HYPERLINK("#Roadmap!C"&amp; MATCH($E8,Roadmap!$D:$D,0)+COUNTIF($E8:AA8,"u")+COUNTIF($E8:AA8,"t")+COUNTIF($E8:AA8,"¶")+COUNTIF($E8:AA8,"²")+COUNTIF($E8:AA8,"µ")+COUNTIF($E8:AA8,1)-1,INDEX(Roadmap!$D:$K,MATCH($E8,Roadmap!$D:$D,0)-1+COUNTIF($E8:AA8,"u")+COUNTIF($E8:AA8,"t")+COUNTIF($E8:AA8,"¶")+COUNTIF($E8:AA8,"²")+COUNTIF($E8:AA8,"µ")+COUNTIF($E8:AA8,1),ColDescriptionCourte)),""),
  "")),"")</f>
        <v/>
      </c>
      <c r="AC8" s="40" t="str">
        <f ca="1">IFERROR(IF(AND(
  INDEX(Roadmap!$D:$K,MATCH($E8,Roadmap!$D:$D,0)+COUNTIF($E8:AB8,"u")+COUNTIF($E8:AB8,"t")+COUNTIF($E8:AB8,"¶")+COUNTIF($E8:AB8,"²")+COUNTIF($E8:AB8,"µ")+COUNTIF($E8:AB8,1),ColLivraison)=AC$6,
  VLOOKUP($E8,INDIRECT("tri!"&amp; CHAR(64+ C0Col) &amp;":"&amp; CHAR(65+C0Col)),2,FALSE)&gt;COUNTIF($E8:AB8,"u")+COUNTIF($E8:AB8,"t")+COUNTIF($E8:AB8,"¶")+COUNTIF($E8:AB8,"²")+COUNTIF($E8:AB8,"µ")+COUNTIF($E8:AB8,1)),
HYPERLINK("#Roadmap!C"&amp; MATCH($E8,Roadmap!$D:$D,0)+COUNTIF($E8:AB8,"u")+COUNTIF($E8:AB8,"t"),
     INDEX(Roadmap!$D:$K,MATCH($E8,Roadmap!$D:$D,0)+COUNTIF($E8:AB8,"u")+COUNTIF($E8:AB8,"t")+COUNTIF($E8:AB8,"¶")+COUNTIF($E8:AB8,"²")+COUNTIF($E8:AB8,"µ")+COUNTIF($E8:AB8,1),ColTypeEcheance)),
  IF(LEN(AB8)=1,
  IF(LEN(INDEX(Roadmap!$D:$K,MATCH($E8,Roadmap!$D:$D,0)-1+COUNTIF($E8:AB8,"u")+COUNTIF($E8:AB8,"t")+COUNTIF($E8:AB8,"¶")+COUNTIF($E8:AB8,"²")+COUNTIF($E8:AB8,"µ")+COUNTIF($E8:AB8,1),ColDescriptionCourte))&gt;1,
HYPERLINK("#Roadmap!C"&amp; MATCH($E8,Roadmap!$D:$D,0)+COUNTIF($E8:AB8,"u")+COUNTIF($E8:AB8,"t")+COUNTIF($E8:AB8,"¶")+COUNTIF($E8:AB8,"²")+COUNTIF($E8:AB8,"µ")+COUNTIF($E8:AB8,1)-1,INDEX(Roadmap!$D:$K,MATCH($E8,Roadmap!$D:$D,0)-1+COUNTIF($E8:AB8,"u")+COUNTIF($E8:AB8,"t")+COUNTIF($E8:AB8,"¶")+COUNTIF($E8:AB8,"²")+COUNTIF($E8:AB8,"µ")+COUNTIF($E8:AB8,1),ColDescriptionCourte)),""),
  "")),"")</f>
        <v/>
      </c>
      <c r="AD8" s="40" t="str">
        <f ca="1">IFERROR(IF(AND(
  INDEX(Roadmap!$D:$K,MATCH($E8,Roadmap!$D:$D,0)+COUNTIF($E8:AC8,"u")+COUNTIF($E8:AC8,"t")+COUNTIF($E8:AC8,"¶")+COUNTIF($E8:AC8,"²")+COUNTIF($E8:AC8,"µ")+COUNTIF($E8:AC8,1),ColLivraison)=AD$6,
  VLOOKUP($E8,INDIRECT("tri!"&amp; CHAR(64+ C0Col) &amp;":"&amp; CHAR(65+C0Col)),2,FALSE)&gt;COUNTIF($E8:AC8,"u")+COUNTIF($E8:AC8,"t")+COUNTIF($E8:AC8,"¶")+COUNTIF($E8:AC8,"²")+COUNTIF($E8:AC8,"µ")+COUNTIF($E8:AC8,1)),
HYPERLINK("#Roadmap!C"&amp; MATCH($E8,Roadmap!$D:$D,0)+COUNTIF($E8:AC8,"u")+COUNTIF($E8:AC8,"t"),
     INDEX(Roadmap!$D:$K,MATCH($E8,Roadmap!$D:$D,0)+COUNTIF($E8:AC8,"u")+COUNTIF($E8:AC8,"t")+COUNTIF($E8:AC8,"¶")+COUNTIF($E8:AC8,"²")+COUNTIF($E8:AC8,"µ")+COUNTIF($E8:AC8,1),ColTypeEcheance)),
  IF(LEN(AC8)=1,
  IF(LEN(INDEX(Roadmap!$D:$K,MATCH($E8,Roadmap!$D:$D,0)-1+COUNTIF($E8:AC8,"u")+COUNTIF($E8:AC8,"t")+COUNTIF($E8:AC8,"¶")+COUNTIF($E8:AC8,"²")+COUNTIF($E8:AC8,"µ")+COUNTIF($E8:AC8,1),ColDescriptionCourte))&gt;1,
HYPERLINK("#Roadmap!C"&amp; MATCH($E8,Roadmap!$D:$D,0)+COUNTIF($E8:AC8,"u")+COUNTIF($E8:AC8,"t")+COUNTIF($E8:AC8,"¶")+COUNTIF($E8:AC8,"²")+COUNTIF($E8:AC8,"µ")+COUNTIF($E8:AC8,1)-1,INDEX(Roadmap!$D:$K,MATCH($E8,Roadmap!$D:$D,0)-1+COUNTIF($E8:AC8,"u")+COUNTIF($E8:AC8,"t")+COUNTIF($E8:AC8,"¶")+COUNTIF($E8:AC8,"²")+COUNTIF($E8:AC8,"µ")+COUNTIF($E8:AC8,1),ColDescriptionCourte)),""),
  "")),"")</f>
        <v/>
      </c>
      <c r="AE8" s="40" t="str">
        <f ca="1">IFERROR(IF(AND(
  INDEX(Roadmap!$D:$K,MATCH($E8,Roadmap!$D:$D,0)+COUNTIF($E8:AD8,"u")+COUNTIF($E8:AD8,"t")+COUNTIF($E8:AD8,"¶")+COUNTIF($E8:AD8,"²")+COUNTIF($E8:AD8,"µ")+COUNTIF($E8:AD8,1),ColLivraison)=AE$6,
  VLOOKUP($E8,INDIRECT("tri!"&amp; CHAR(64+ C0Col) &amp;":"&amp; CHAR(65+C0Col)),2,FALSE)&gt;COUNTIF($E8:AD8,"u")+COUNTIF($E8:AD8,"t")+COUNTIF($E8:AD8,"¶")+COUNTIF($E8:AD8,"²")+COUNTIF($E8:AD8,"µ")+COUNTIF($E8:AD8,1)),
HYPERLINK("#Roadmap!C"&amp; MATCH($E8,Roadmap!$D:$D,0)+COUNTIF($E8:AD8,"u")+COUNTIF($E8:AD8,"t"),
     INDEX(Roadmap!$D:$K,MATCH($E8,Roadmap!$D:$D,0)+COUNTIF($E8:AD8,"u")+COUNTIF($E8:AD8,"t")+COUNTIF($E8:AD8,"¶")+COUNTIF($E8:AD8,"²")+COUNTIF($E8:AD8,"µ")+COUNTIF($E8:AD8,1),ColTypeEcheance)),
  IF(LEN(AD8)=1,
  IF(LEN(INDEX(Roadmap!$D:$K,MATCH($E8,Roadmap!$D:$D,0)-1+COUNTIF($E8:AD8,"u")+COUNTIF($E8:AD8,"t")+COUNTIF($E8:AD8,"¶")+COUNTIF($E8:AD8,"²")+COUNTIF($E8:AD8,"µ")+COUNTIF($E8:AD8,1),ColDescriptionCourte))&gt;1,
HYPERLINK("#Roadmap!C"&amp; MATCH($E8,Roadmap!$D:$D,0)+COUNTIF($E8:AD8,"u")+COUNTIF($E8:AD8,"t")+COUNTIF($E8:AD8,"¶")+COUNTIF($E8:AD8,"²")+COUNTIF($E8:AD8,"µ")+COUNTIF($E8:AD8,1)-1,INDEX(Roadmap!$D:$K,MATCH($E8,Roadmap!$D:$D,0)-1+COUNTIF($E8:AD8,"u")+COUNTIF($E8:AD8,"t")+COUNTIF($E8:AD8,"¶")+COUNTIF($E8:AD8,"²")+COUNTIF($E8:AD8,"µ")+COUNTIF($E8:AD8,1),ColDescriptionCourte)),""),
  "")),"")</f>
        <v/>
      </c>
      <c r="AF8" s="40" t="str">
        <f ca="1">IFERROR(IF(AND(
  INDEX(Roadmap!$D:$K,MATCH($E8,Roadmap!$D:$D,0)+COUNTIF($E8:AE8,"u")+COUNTIF($E8:AE8,"t")+COUNTIF($E8:AE8,"¶")+COUNTIF($E8:AE8,"²")+COUNTIF($E8:AE8,"µ")+COUNTIF($E8:AE8,1),ColLivraison)=AF$6,
  VLOOKUP($E8,INDIRECT("tri!"&amp; CHAR(64+ C0Col) &amp;":"&amp; CHAR(65+C0Col)),2,FALSE)&gt;COUNTIF($E8:AE8,"u")+COUNTIF($E8:AE8,"t")+COUNTIF($E8:AE8,"¶")+COUNTIF($E8:AE8,"²")+COUNTIF($E8:AE8,"µ")+COUNTIF($E8:AE8,1)),
HYPERLINK("#Roadmap!C"&amp; MATCH($E8,Roadmap!$D:$D,0)+COUNTIF($E8:AE8,"u")+COUNTIF($E8:AE8,"t"),
     INDEX(Roadmap!$D:$K,MATCH($E8,Roadmap!$D:$D,0)+COUNTIF($E8:AE8,"u")+COUNTIF($E8:AE8,"t")+COUNTIF($E8:AE8,"¶")+COUNTIF($E8:AE8,"²")+COUNTIF($E8:AE8,"µ")+COUNTIF($E8:AE8,1),ColTypeEcheance)),
  IF(LEN(AE8)=1,
  IF(LEN(INDEX(Roadmap!$D:$K,MATCH($E8,Roadmap!$D:$D,0)-1+COUNTIF($E8:AE8,"u")+COUNTIF($E8:AE8,"t")+COUNTIF($E8:AE8,"¶")+COUNTIF($E8:AE8,"²")+COUNTIF($E8:AE8,"µ")+COUNTIF($E8:AE8,1),ColDescriptionCourte))&gt;1,
HYPERLINK("#Roadmap!C"&amp; MATCH($E8,Roadmap!$D:$D,0)+COUNTIF($E8:AE8,"u")+COUNTIF($E8:AE8,"t")+COUNTIF($E8:AE8,"¶")+COUNTIF($E8:AE8,"²")+COUNTIF($E8:AE8,"µ")+COUNTIF($E8:AE8,1)-1,INDEX(Roadmap!$D:$K,MATCH($E8,Roadmap!$D:$D,0)-1+COUNTIF($E8:AE8,"u")+COUNTIF($E8:AE8,"t")+COUNTIF($E8:AE8,"¶")+COUNTIF($E8:AE8,"²")+COUNTIF($E8:AE8,"µ")+COUNTIF($E8:AE8,1),ColDescriptionCourte)),""),
  "")),"")</f>
        <v/>
      </c>
      <c r="AG8" s="40" t="str">
        <f ca="1">IFERROR(IF(AND(
  INDEX(Roadmap!$D:$K,MATCH($E8,Roadmap!$D:$D,0)+COUNTIF($E8:AF8,"u")+COUNTIF($E8:AF8,"t")+COUNTIF($E8:AF8,"¶")+COUNTIF($E8:AF8,"²")+COUNTIF($E8:AF8,"µ")+COUNTIF($E8:AF8,1),ColLivraison)=AG$6,
  VLOOKUP($E8,INDIRECT("tri!"&amp; CHAR(64+ C0Col) &amp;":"&amp; CHAR(65+C0Col)),2,FALSE)&gt;COUNTIF($E8:AF8,"u")+COUNTIF($E8:AF8,"t")+COUNTIF($E8:AF8,"¶")+COUNTIF($E8:AF8,"²")+COUNTIF($E8:AF8,"µ")+COUNTIF($E8:AF8,1)),
HYPERLINK("#Roadmap!C"&amp; MATCH($E8,Roadmap!$D:$D,0)+COUNTIF($E8:AF8,"u")+COUNTIF($E8:AF8,"t"),
     INDEX(Roadmap!$D:$K,MATCH($E8,Roadmap!$D:$D,0)+COUNTIF($E8:AF8,"u")+COUNTIF($E8:AF8,"t")+COUNTIF($E8:AF8,"¶")+COUNTIF($E8:AF8,"²")+COUNTIF($E8:AF8,"µ")+COUNTIF($E8:AF8,1),ColTypeEcheance)),
  IF(LEN(AF8)=1,
  IF(LEN(INDEX(Roadmap!$D:$K,MATCH($E8,Roadmap!$D:$D,0)-1+COUNTIF($E8:AF8,"u")+COUNTIF($E8:AF8,"t")+COUNTIF($E8:AF8,"¶")+COUNTIF($E8:AF8,"²")+COUNTIF($E8:AF8,"µ")+COUNTIF($E8:AF8,1),ColDescriptionCourte))&gt;1,
HYPERLINK("#Roadmap!C"&amp; MATCH($E8,Roadmap!$D:$D,0)+COUNTIF($E8:AF8,"u")+COUNTIF($E8:AF8,"t")+COUNTIF($E8:AF8,"¶")+COUNTIF($E8:AF8,"²")+COUNTIF($E8:AF8,"µ")+COUNTIF($E8:AF8,1)-1,INDEX(Roadmap!$D:$K,MATCH($E8,Roadmap!$D:$D,0)-1+COUNTIF($E8:AF8,"u")+COUNTIF($E8:AF8,"t")+COUNTIF($E8:AF8,"¶")+COUNTIF($E8:AF8,"²")+COUNTIF($E8:AF8,"µ")+COUNTIF($E8:AF8,1),ColDescriptionCourte)),""),
  "")),"")</f>
        <v/>
      </c>
    </row>
    <row r="9" spans="3:35" ht="14.25" customHeight="1">
      <c r="C9" s="1" t="str">
        <f t="shared" ca="1" si="42"/>
        <v/>
      </c>
      <c r="D9" s="1" t="str">
        <f t="shared" ca="1" si="43"/>
        <v/>
      </c>
      <c r="E9" s="35" t="str">
        <f t="shared" ca="1" si="33"/>
        <v>Projet B</v>
      </c>
      <c r="F9" s="39" t="str">
        <f ca="1">IFERROR(IF(AND(
  INDEX(Roadmap!$D:$K,MATCH($E9,Roadmap!$D:$D,0)+COUNTIF($E9:E9,"u")+COUNTIF($E9:E9,"t")+COUNTIF($E9:E9,"¶")+COUNTIF($E9:E9,"²")+COUNTIF($E9:E9,"µ")+COUNTIF($E9:E9,1),ColLivraison)=F$6,
  VLOOKUP($E9,INDIRECT("tri!"&amp; CHAR(64+ C0Col) &amp;":"&amp; CHAR(65+C0Col)),2,FALSE)&gt;COUNTIF($E9:E9,"u")+COUNTIF($E9:E9,"t")+COUNTIF($E9:E9,"¶")+COUNTIF($E9:E9,"²")+COUNTIF($E9:E9,"µ")+COUNTIF($E9:E9,1)),
HYPERLINK("#Roadmap!C"&amp; MATCH($E9,Roadmap!$D:$D,0)+COUNTIF($E9:E9,"u")+COUNTIF($E9:E9,"t"),
     INDEX(Roadmap!$D:$K,MATCH($E9,Roadmap!$D:$D,0)+COUNTIF($E9:E9,"u")+COUNTIF($E9:E9,"t")+COUNTIF($E9:E9,"¶")+COUNTIF($E9:E9,"²")+COUNTIF($E9:E9,"µ")+COUNTIF($E9:E9,1),ColTypeEcheance)),
  IF(LEN(E9)=1,
  IF(LEN(INDEX(Roadmap!$D:$K,MATCH($E9,Roadmap!$D:$D,0)-1+COUNTIF($E9:E9,"u")+COUNTIF($E9:E9,"t")+COUNTIF($E9:E9,"¶")+COUNTIF($E9:E9,"²")+COUNTIF($E9:E9,"µ")+COUNTIF($E9:E9,1),ColDescriptionCourte))&gt;1,
HYPERLINK("#Roadmap!C"&amp; MATCH($E9,Roadmap!$D:$D,0)+COUNTIF($E9:E9,"u")+COUNTIF($E9:E9,"t")+COUNTIF($E9:E9,"¶")+COUNTIF($E9:E9,"²")+COUNTIF($E9:E9,"µ")+COUNTIF($E9:E9,1)-1,INDEX(Roadmap!$D:$K,MATCH($E9,Roadmap!$D:$D,0)-1+COUNTIF($E9:E9,"u")+COUNTIF($E9:E9,"t")+COUNTIF($E9:E9,"¶")+COUNTIF($E9:E9,"²")+COUNTIF($E9:E9,"µ")+COUNTIF($E9:E9,1),ColDescriptionCourte)),""),
  "")),"")</f>
        <v/>
      </c>
      <c r="G9" s="40" t="str">
        <f ca="1">IFERROR(IF(AND(
  INDEX(Roadmap!$D:$K,MATCH($E9,Roadmap!$D:$D,0)+COUNTIF($E9:F9,"u")+COUNTIF($E9:F9,"t")+COUNTIF($E9:F9,"¶")+COUNTIF($E9:F9,"²")+COUNTIF($E9:F9,"µ")+COUNTIF($E9:F9,1),ColLivraison)=G$6,
  VLOOKUP($E9,INDIRECT("tri!"&amp; CHAR(64+ C0Col) &amp;":"&amp; CHAR(65+C0Col)),2,FALSE)&gt;COUNTIF($E9:F9,"u")+COUNTIF($E9:F9,"t")+COUNTIF($E9:F9,"¶")+COUNTIF($E9:F9,"²")+COUNTIF($E9:F9,"µ")+COUNTIF($E9:F9,1)),
HYPERLINK("#Roadmap!C"&amp; MATCH($E9,Roadmap!$D:$D,0)+COUNTIF($E9:F9,"u")+COUNTIF($E9:F9,"t"),
     INDEX(Roadmap!$D:$K,MATCH($E9,Roadmap!$D:$D,0)+COUNTIF($E9:F9,"u")+COUNTIF($E9:F9,"t")+COUNTIF($E9:F9,"¶")+COUNTIF($E9:F9,"²")+COUNTIF($E9:F9,"µ")+COUNTIF($E9:F9,1),ColTypeEcheance)),
  IF(LEN(F9)=1,
  IF(LEN(INDEX(Roadmap!$D:$K,MATCH($E9,Roadmap!$D:$D,0)-1+COUNTIF($E9:F9,"u")+COUNTIF($E9:F9,"t")+COUNTIF($E9:F9,"¶")+COUNTIF($E9:F9,"²")+COUNTIF($E9:F9,"µ")+COUNTIF($E9:F9,1),ColDescriptionCourte))&gt;1,
HYPERLINK("#Roadmap!C"&amp; MATCH($E9,Roadmap!$D:$D,0)+COUNTIF($E9:F9,"u")+COUNTIF($E9:F9,"t")+COUNTIF($E9:F9,"¶")+COUNTIF($E9:F9,"²")+COUNTIF($E9:F9,"µ")+COUNTIF($E9:F9,1)-1,INDEX(Roadmap!$D:$K,MATCH($E9,Roadmap!$D:$D,0)-1+COUNTIF($E9:F9,"u")+COUNTIF($E9:F9,"t")+COUNTIF($E9:F9,"¶")+COUNTIF($E9:F9,"²")+COUNTIF($E9:F9,"µ")+COUNTIF($E9:F9,1),ColDescriptionCourte)),""),
  "")),"")</f>
        <v/>
      </c>
      <c r="H9" s="40" t="str">
        <f ca="1">IFERROR(IF(AND(
  INDEX(Roadmap!$D:$K,MATCH($E9,Roadmap!$D:$D,0)+COUNTIF($E9:G9,"u")+COUNTIF($E9:G9,"t")+COUNTIF($E9:G9,"¶")+COUNTIF($E9:G9,"²")+COUNTIF($E9:G9,"µ")+COUNTIF($E9:G9,1),ColLivraison)=H$6,
  VLOOKUP($E9,INDIRECT("tri!"&amp; CHAR(64+ C0Col) &amp;":"&amp; CHAR(65+C0Col)),2,FALSE)&gt;COUNTIF($E9:G9,"u")+COUNTIF($E9:G9,"t")+COUNTIF($E9:G9,"¶")+COUNTIF($E9:G9,"²")+COUNTIF($E9:G9,"µ")+COUNTIF($E9:G9,1)),
HYPERLINK("#Roadmap!C"&amp; MATCH($E9,Roadmap!$D:$D,0)+COUNTIF($E9:G9,"u")+COUNTIF($E9:G9,"t"),
     INDEX(Roadmap!$D:$K,MATCH($E9,Roadmap!$D:$D,0)+COUNTIF($E9:G9,"u")+COUNTIF($E9:G9,"t")+COUNTIF($E9:G9,"¶")+COUNTIF($E9:G9,"²")+COUNTIF($E9:G9,"µ")+COUNTIF($E9:G9,1),ColTypeEcheance)),
  IF(LEN(G9)=1,
  IF(LEN(INDEX(Roadmap!$D:$K,MATCH($E9,Roadmap!$D:$D,0)-1+COUNTIF($E9:G9,"u")+COUNTIF($E9:G9,"t")+COUNTIF($E9:G9,"¶")+COUNTIF($E9:G9,"²")+COUNTIF($E9:G9,"µ")+COUNTIF($E9:G9,1),ColDescriptionCourte))&gt;1,
HYPERLINK("#Roadmap!C"&amp; MATCH($E9,Roadmap!$D:$D,0)+COUNTIF($E9:G9,"u")+COUNTIF($E9:G9,"t")+COUNTIF($E9:G9,"¶")+COUNTIF($E9:G9,"²")+COUNTIF($E9:G9,"µ")+COUNTIF($E9:G9,1)-1,INDEX(Roadmap!$D:$K,MATCH($E9,Roadmap!$D:$D,0)-1+COUNTIF($E9:G9,"u")+COUNTIF($E9:G9,"t")+COUNTIF($E9:G9,"¶")+COUNTIF($E9:G9,"²")+COUNTIF($E9:G9,"µ")+COUNTIF($E9:G9,1),ColDescriptionCourte)),""),
  "")),"")</f>
        <v/>
      </c>
      <c r="I9" s="40" t="str">
        <f ca="1">IFERROR(IF(AND(
  INDEX(Roadmap!$D:$K,MATCH($E9,Roadmap!$D:$D,0)+COUNTIF($E9:H9,"u")+COUNTIF($E9:H9,"t")+COUNTIF($E9:H9,"¶")+COUNTIF($E9:H9,"²")+COUNTIF($E9:H9,"µ")+COUNTIF($E9:H9,1),ColLivraison)=I$6,
  VLOOKUP($E9,INDIRECT("tri!"&amp; CHAR(64+ C0Col) &amp;":"&amp; CHAR(65+C0Col)),2,FALSE)&gt;COUNTIF($E9:H9,"u")+COUNTIF($E9:H9,"t")+COUNTIF($E9:H9,"¶")+COUNTIF($E9:H9,"²")+COUNTIF($E9:H9,"µ")+COUNTIF($E9:H9,1)),
HYPERLINK("#Roadmap!C"&amp; MATCH($E9,Roadmap!$D:$D,0)+COUNTIF($E9:H9,"u")+COUNTIF($E9:H9,"t"),
     INDEX(Roadmap!$D:$K,MATCH($E9,Roadmap!$D:$D,0)+COUNTIF($E9:H9,"u")+COUNTIF($E9:H9,"t")+COUNTIF($E9:H9,"¶")+COUNTIF($E9:H9,"²")+COUNTIF($E9:H9,"µ")+COUNTIF($E9:H9,1),ColTypeEcheance)),
  IF(LEN(H9)=1,
  IF(LEN(INDEX(Roadmap!$D:$K,MATCH($E9,Roadmap!$D:$D,0)-1+COUNTIF($E9:H9,"u")+COUNTIF($E9:H9,"t")+COUNTIF($E9:H9,"¶")+COUNTIF($E9:H9,"²")+COUNTIF($E9:H9,"µ")+COUNTIF($E9:H9,1),ColDescriptionCourte))&gt;1,
HYPERLINK("#Roadmap!C"&amp; MATCH($E9,Roadmap!$D:$D,0)+COUNTIF($E9:H9,"u")+COUNTIF($E9:H9,"t")+COUNTIF($E9:H9,"¶")+COUNTIF($E9:H9,"²")+COUNTIF($E9:H9,"µ")+COUNTIF($E9:H9,1)-1,INDEX(Roadmap!$D:$K,MATCH($E9,Roadmap!$D:$D,0)-1+COUNTIF($E9:H9,"u")+COUNTIF($E9:H9,"t")+COUNTIF($E9:H9,"¶")+COUNTIF($E9:H9,"²")+COUNTIF($E9:H9,"µ")+COUNTIF($E9:H9,1),ColDescriptionCourte)),""),
  "")),"")</f>
        <v/>
      </c>
      <c r="J9" s="40" t="str">
        <f ca="1">IFERROR(IF(AND(
  INDEX(Roadmap!$D:$K,MATCH($E9,Roadmap!$D:$D,0)+COUNTIF($E9:I9,"u")+COUNTIF($E9:I9,"t")+COUNTIF($E9:I9,"¶")+COUNTIF($E9:I9,"²")+COUNTIF($E9:I9,"µ")+COUNTIF($E9:I9,1),ColLivraison)=J$6,
  VLOOKUP($E9,INDIRECT("tri!"&amp; CHAR(64+ C0Col) &amp;":"&amp; CHAR(65+C0Col)),2,FALSE)&gt;COUNTIF($E9:I9,"u")+COUNTIF($E9:I9,"t")+COUNTIF($E9:I9,"¶")+COUNTIF($E9:I9,"²")+COUNTIF($E9:I9,"µ")+COUNTIF($E9:I9,1)),
HYPERLINK("#Roadmap!C"&amp; MATCH($E9,Roadmap!$D:$D,0)+COUNTIF($E9:I9,"u")+COUNTIF($E9:I9,"t"),
     INDEX(Roadmap!$D:$K,MATCH($E9,Roadmap!$D:$D,0)+COUNTIF($E9:I9,"u")+COUNTIF($E9:I9,"t")+COUNTIF($E9:I9,"¶")+COUNTIF($E9:I9,"²")+COUNTIF($E9:I9,"µ")+COUNTIF($E9:I9,1),ColTypeEcheance)),
  IF(LEN(I9)=1,
  IF(LEN(INDEX(Roadmap!$D:$K,MATCH($E9,Roadmap!$D:$D,0)-1+COUNTIF($E9:I9,"u")+COUNTIF($E9:I9,"t")+COUNTIF($E9:I9,"¶")+COUNTIF($E9:I9,"²")+COUNTIF($E9:I9,"µ")+COUNTIF($E9:I9,1),ColDescriptionCourte))&gt;1,
HYPERLINK("#Roadmap!C"&amp; MATCH($E9,Roadmap!$D:$D,0)+COUNTIF($E9:I9,"u")+COUNTIF($E9:I9,"t")+COUNTIF($E9:I9,"¶")+COUNTIF($E9:I9,"²")+COUNTIF($E9:I9,"µ")+COUNTIF($E9:I9,1)-1,INDEX(Roadmap!$D:$K,MATCH($E9,Roadmap!$D:$D,0)-1+COUNTIF($E9:I9,"u")+COUNTIF($E9:I9,"t")+COUNTIF($E9:I9,"¶")+COUNTIF($E9:I9,"²")+COUNTIF($E9:I9,"µ")+COUNTIF($E9:I9,1),ColDescriptionCourte)),""),
  "")),"")</f>
        <v/>
      </c>
      <c r="K9" s="40" t="str">
        <f ca="1">IFERROR(IF(AND(
  INDEX(Roadmap!$D:$K,MATCH($E9,Roadmap!$D:$D,0)+COUNTIF($E9:J9,"u")+COUNTIF($E9:J9,"t")+COUNTIF($E9:J9,"¶")+COUNTIF($E9:J9,"²")+COUNTIF($E9:J9,"µ")+COUNTIF($E9:J9,1),ColLivraison)=K$6,
  VLOOKUP($E9,INDIRECT("tri!"&amp; CHAR(64+ C0Col) &amp;":"&amp; CHAR(65+C0Col)),2,FALSE)&gt;COUNTIF($E9:J9,"u")+COUNTIF($E9:J9,"t")+COUNTIF($E9:J9,"¶")+COUNTIF($E9:J9,"²")+COUNTIF($E9:J9,"µ")+COUNTIF($E9:J9,1)),
HYPERLINK("#Roadmap!C"&amp; MATCH($E9,Roadmap!$D:$D,0)+COUNTIF($E9:J9,"u")+COUNTIF($E9:J9,"t"),
     INDEX(Roadmap!$D:$K,MATCH($E9,Roadmap!$D:$D,0)+COUNTIF($E9:J9,"u")+COUNTIF($E9:J9,"t")+COUNTIF($E9:J9,"¶")+COUNTIF($E9:J9,"²")+COUNTIF($E9:J9,"µ")+COUNTIF($E9:J9,1),ColTypeEcheance)),
  IF(LEN(J9)=1,
  IF(LEN(INDEX(Roadmap!$D:$K,MATCH($E9,Roadmap!$D:$D,0)-1+COUNTIF($E9:J9,"u")+COUNTIF($E9:J9,"t")+COUNTIF($E9:J9,"¶")+COUNTIF($E9:J9,"²")+COUNTIF($E9:J9,"µ")+COUNTIF($E9:J9,1),ColDescriptionCourte))&gt;1,
HYPERLINK("#Roadmap!C"&amp; MATCH($E9,Roadmap!$D:$D,0)+COUNTIF($E9:J9,"u")+COUNTIF($E9:J9,"t")+COUNTIF($E9:J9,"¶")+COUNTIF($E9:J9,"²")+COUNTIF($E9:J9,"µ")+COUNTIF($E9:J9,1)-1,INDEX(Roadmap!$D:$K,MATCH($E9,Roadmap!$D:$D,0)-1+COUNTIF($E9:J9,"u")+COUNTIF($E9:J9,"t")+COUNTIF($E9:J9,"¶")+COUNTIF($E9:J9,"²")+COUNTIF($E9:J9,"µ")+COUNTIF($E9:J9,1),ColDescriptionCourte)),""),
  "")),"")</f>
        <v/>
      </c>
      <c r="L9" s="39" t="str">
        <f ca="1">IFERROR(IF(AND(
  INDEX(Roadmap!$D:$K,MATCH($E9,Roadmap!$D:$D,0)+COUNTIF($E9:K9,"u")+COUNTIF($E9:K9,"t")+COUNTIF($E9:K9,"¶")+COUNTIF($E9:K9,"²")+COUNTIF($E9:K9,"µ")+COUNTIF($E9:K9,1),ColLivraison)=L$6,
  VLOOKUP($E9,INDIRECT("tri!"&amp; CHAR(64+ C0Col) &amp;":"&amp; CHAR(65+C0Col)),2,FALSE)&gt;COUNTIF($E9:K9,"u")+COUNTIF($E9:K9,"t")+COUNTIF($E9:K9,"¶")+COUNTIF($E9:K9,"²")+COUNTIF($E9:K9,"µ")+COUNTIF($E9:K9,1)),
HYPERLINK("#Roadmap!C"&amp; MATCH($E9,Roadmap!$D:$D,0)+COUNTIF($E9:K9,"u")+COUNTIF($E9:K9,"t"),
     INDEX(Roadmap!$D:$K,MATCH($E9,Roadmap!$D:$D,0)+COUNTIF($E9:K9,"u")+COUNTIF($E9:K9,"t")+COUNTIF($E9:K9,"¶")+COUNTIF($E9:K9,"²")+COUNTIF($E9:K9,"µ")+COUNTIF($E9:K9,1),ColTypeEcheance)),
  IF(LEN(K9)=1,
  IF(LEN(INDEX(Roadmap!$D:$K,MATCH($E9,Roadmap!$D:$D,0)-1+COUNTIF($E9:K9,"u")+COUNTIF($E9:K9,"t")+COUNTIF($E9:K9,"¶")+COUNTIF($E9:K9,"²")+COUNTIF($E9:K9,"µ")+COUNTIF($E9:K9,1),ColDescriptionCourte))&gt;1,
HYPERLINK("#Roadmap!C"&amp; MATCH($E9,Roadmap!$D:$D,0)+COUNTIF($E9:K9,"u")+COUNTIF($E9:K9,"t")+COUNTIF($E9:K9,"¶")+COUNTIF($E9:K9,"²")+COUNTIF($E9:K9,"µ")+COUNTIF($E9:K9,1)-1,INDEX(Roadmap!$D:$K,MATCH($E9,Roadmap!$D:$D,0)-1+COUNTIF($E9:K9,"u")+COUNTIF($E9:K9,"t")+COUNTIF($E9:K9,"¶")+COUNTIF($E9:K9,"²")+COUNTIF($E9:K9,"µ")+COUNTIF($E9:K9,1),ColDescriptionCourte)),""),
  "")),"")</f>
        <v/>
      </c>
      <c r="M9" s="40" t="str">
        <f ca="1">IFERROR(IF(AND(
  INDEX(Roadmap!$D:$K,MATCH($E9,Roadmap!$D:$D,0)+COUNTIF($E9:L9,"u")+COUNTIF($E9:L9,"t")+COUNTIF($E9:L9,"¶")+COUNTIF($E9:L9,"²")+COUNTIF($E9:L9,"µ")+COUNTIF($E9:L9,1),ColLivraison)=M$6,
  VLOOKUP($E9,INDIRECT("tri!"&amp; CHAR(64+ C0Col) &amp;":"&amp; CHAR(65+C0Col)),2,FALSE)&gt;COUNTIF($E9:L9,"u")+COUNTIF($E9:L9,"t")+COUNTIF($E9:L9,"¶")+COUNTIF($E9:L9,"²")+COUNTIF($E9:L9,"µ")+COUNTIF($E9:L9,1)),
HYPERLINK("#Roadmap!C"&amp; MATCH($E9,Roadmap!$D:$D,0)+COUNTIF($E9:L9,"u")+COUNTIF($E9:L9,"t"),
     INDEX(Roadmap!$D:$K,MATCH($E9,Roadmap!$D:$D,0)+COUNTIF($E9:L9,"u")+COUNTIF($E9:L9,"t")+COUNTIF($E9:L9,"¶")+COUNTIF($E9:L9,"²")+COUNTIF($E9:L9,"µ")+COUNTIF($E9:L9,1),ColTypeEcheance)),
  IF(LEN(L9)=1,
  IF(LEN(INDEX(Roadmap!$D:$K,MATCH($E9,Roadmap!$D:$D,0)-1+COUNTIF($E9:L9,"u")+COUNTIF($E9:L9,"t")+COUNTIF($E9:L9,"¶")+COUNTIF($E9:L9,"²")+COUNTIF($E9:L9,"µ")+COUNTIF($E9:L9,1),ColDescriptionCourte))&gt;1,
HYPERLINK("#Roadmap!C"&amp; MATCH($E9,Roadmap!$D:$D,0)+COUNTIF($E9:L9,"u")+COUNTIF($E9:L9,"t")+COUNTIF($E9:L9,"¶")+COUNTIF($E9:L9,"²")+COUNTIF($E9:L9,"µ")+COUNTIF($E9:L9,1)-1,INDEX(Roadmap!$D:$K,MATCH($E9,Roadmap!$D:$D,0)-1+COUNTIF($E9:L9,"u")+COUNTIF($E9:L9,"t")+COUNTIF($E9:L9,"¶")+COUNTIF($E9:L9,"²")+COUNTIF($E9:L9,"µ")+COUNTIF($E9:L9,1),ColDescriptionCourte)),""),
  "")),"")</f>
        <v/>
      </c>
      <c r="N9" s="40" t="str">
        <f ca="1">IFERROR(IF(AND(
  INDEX(Roadmap!$D:$K,MATCH($E9,Roadmap!$D:$D,0)+COUNTIF($E9:M9,"u")+COUNTIF($E9:M9,"t")+COUNTIF($E9:M9,"¶")+COUNTIF($E9:M9,"²")+COUNTIF($E9:M9,"µ")+COUNTIF($E9:M9,1),ColLivraison)=N$6,
  VLOOKUP($E9,INDIRECT("tri!"&amp; CHAR(64+ C0Col) &amp;":"&amp; CHAR(65+C0Col)),2,FALSE)&gt;COUNTIF($E9:M9,"u")+COUNTIF($E9:M9,"t")+COUNTIF($E9:M9,"¶")+COUNTIF($E9:M9,"²")+COUNTIF($E9:M9,"µ")+COUNTIF($E9:M9,1)),
HYPERLINK("#Roadmap!C"&amp; MATCH($E9,Roadmap!$D:$D,0)+COUNTIF($E9:M9,"u")+COUNTIF($E9:M9,"t"),
     INDEX(Roadmap!$D:$K,MATCH($E9,Roadmap!$D:$D,0)+COUNTIF($E9:M9,"u")+COUNTIF($E9:M9,"t")+COUNTIF($E9:M9,"¶")+COUNTIF($E9:M9,"²")+COUNTIF($E9:M9,"µ")+COUNTIF($E9:M9,1),ColTypeEcheance)),
  IF(LEN(M9)=1,
  IF(LEN(INDEX(Roadmap!$D:$K,MATCH($E9,Roadmap!$D:$D,0)-1+COUNTIF($E9:M9,"u")+COUNTIF($E9:M9,"t")+COUNTIF($E9:M9,"¶")+COUNTIF($E9:M9,"²")+COUNTIF($E9:M9,"µ")+COUNTIF($E9:M9,1),ColDescriptionCourte))&gt;1,
HYPERLINK("#Roadmap!C"&amp; MATCH($E9,Roadmap!$D:$D,0)+COUNTIF($E9:M9,"u")+COUNTIF($E9:M9,"t")+COUNTIF($E9:M9,"¶")+COUNTIF($E9:M9,"²")+COUNTIF($E9:M9,"µ")+COUNTIF($E9:M9,1)-1,INDEX(Roadmap!$D:$K,MATCH($E9,Roadmap!$D:$D,0)-1+COUNTIF($E9:M9,"u")+COUNTIF($E9:M9,"t")+COUNTIF($E9:M9,"¶")+COUNTIF($E9:M9,"²")+COUNTIF($E9:M9,"µ")+COUNTIF($E9:M9,1),ColDescriptionCourte)),""),
  "")),"")</f>
        <v/>
      </c>
      <c r="O9" s="40" t="str">
        <f ca="1">IFERROR(IF(AND(
  INDEX(Roadmap!$D:$K,MATCH($E9,Roadmap!$D:$D,0)+COUNTIF($E9:N9,"u")+COUNTIF($E9:N9,"t")+COUNTIF($E9:N9,"¶")+COUNTIF($E9:N9,"²")+COUNTIF($E9:N9,"µ")+COUNTIF($E9:N9,1),ColLivraison)=O$6,
  VLOOKUP($E9,INDIRECT("tri!"&amp; CHAR(64+ C0Col) &amp;":"&amp; CHAR(65+C0Col)),2,FALSE)&gt;COUNTIF($E9:N9,"u")+COUNTIF($E9:N9,"t")+COUNTIF($E9:N9,"¶")+COUNTIF($E9:N9,"²")+COUNTIF($E9:N9,"µ")+COUNTIF($E9:N9,1)),
HYPERLINK("#Roadmap!C"&amp; MATCH($E9,Roadmap!$D:$D,0)+COUNTIF($E9:N9,"u")+COUNTIF($E9:N9,"t"),
     INDEX(Roadmap!$D:$K,MATCH($E9,Roadmap!$D:$D,0)+COUNTIF($E9:N9,"u")+COUNTIF($E9:N9,"t")+COUNTIF($E9:N9,"¶")+COUNTIF($E9:N9,"²")+COUNTIF($E9:N9,"µ")+COUNTIF($E9:N9,1),ColTypeEcheance)),
  IF(LEN(N9)=1,
  IF(LEN(INDEX(Roadmap!$D:$K,MATCH($E9,Roadmap!$D:$D,0)-1+COUNTIF($E9:N9,"u")+COUNTIF($E9:N9,"t")+COUNTIF($E9:N9,"¶")+COUNTIF($E9:N9,"²")+COUNTIF($E9:N9,"µ")+COUNTIF($E9:N9,1),ColDescriptionCourte))&gt;1,
HYPERLINK("#Roadmap!C"&amp; MATCH($E9,Roadmap!$D:$D,0)+COUNTIF($E9:N9,"u")+COUNTIF($E9:N9,"t")+COUNTIF($E9:N9,"¶")+COUNTIF($E9:N9,"²")+COUNTIF($E9:N9,"µ")+COUNTIF($E9:N9,1)-1,INDEX(Roadmap!$D:$K,MATCH($E9,Roadmap!$D:$D,0)-1+COUNTIF($E9:N9,"u")+COUNTIF($E9:N9,"t")+COUNTIF($E9:N9,"¶")+COUNTIF($E9:N9,"²")+COUNTIF($E9:N9,"µ")+COUNTIF($E9:N9,1),ColDescriptionCourte)),""),
  "")),"")</f>
        <v/>
      </c>
      <c r="P9" s="40" t="str">
        <f ca="1">IFERROR(IF(AND(
  INDEX(Roadmap!$D:$K,MATCH($E9,Roadmap!$D:$D,0)+COUNTIF($E9:O9,"u")+COUNTIF($E9:O9,"t")+COUNTIF($E9:O9,"¶")+COUNTIF($E9:O9,"²")+COUNTIF($E9:O9,"µ")+COUNTIF($E9:O9,1),ColLivraison)=P$6,
  VLOOKUP($E9,INDIRECT("tri!"&amp; CHAR(64+ C0Col) &amp;":"&amp; CHAR(65+C0Col)),2,FALSE)&gt;COUNTIF($E9:O9,"u")+COUNTIF($E9:O9,"t")+COUNTIF($E9:O9,"¶")+COUNTIF($E9:O9,"²")+COUNTIF($E9:O9,"µ")+COUNTIF($E9:O9,1)),
HYPERLINK("#Roadmap!C"&amp; MATCH($E9,Roadmap!$D:$D,0)+COUNTIF($E9:O9,"u")+COUNTIF($E9:O9,"t"),
     INDEX(Roadmap!$D:$K,MATCH($E9,Roadmap!$D:$D,0)+COUNTIF($E9:O9,"u")+COUNTIF($E9:O9,"t")+COUNTIF($E9:O9,"¶")+COUNTIF($E9:O9,"²")+COUNTIF($E9:O9,"µ")+COUNTIF($E9:O9,1),ColTypeEcheance)),
  IF(LEN(O9)=1,
  IF(LEN(INDEX(Roadmap!$D:$K,MATCH($E9,Roadmap!$D:$D,0)-1+COUNTIF($E9:O9,"u")+COUNTIF($E9:O9,"t")+COUNTIF($E9:O9,"¶")+COUNTIF($E9:O9,"²")+COUNTIF($E9:O9,"µ")+COUNTIF($E9:O9,1),ColDescriptionCourte))&gt;1,
HYPERLINK("#Roadmap!C"&amp; MATCH($E9,Roadmap!$D:$D,0)+COUNTIF($E9:O9,"u")+COUNTIF($E9:O9,"t")+COUNTIF($E9:O9,"¶")+COUNTIF($E9:O9,"²")+COUNTIF($E9:O9,"µ")+COUNTIF($E9:O9,1)-1,INDEX(Roadmap!$D:$K,MATCH($E9,Roadmap!$D:$D,0)-1+COUNTIF($E9:O9,"u")+COUNTIF($E9:O9,"t")+COUNTIF($E9:O9,"¶")+COUNTIF($E9:O9,"²")+COUNTIF($E9:O9,"µ")+COUNTIF($E9:O9,1),ColDescriptionCourte)),""),
  "")),"")</f>
        <v/>
      </c>
      <c r="Q9" s="17" t="str">
        <f ca="1">IFERROR(IF(AND(
  INDEX(Roadmap!$D:$K,MATCH($E9,Roadmap!$D:$D,0)+COUNTIF($E9:P9,"u")+COUNTIF($E9:P9,"t")+COUNTIF($E9:P9,"¶")+COUNTIF($E9:P9,"²")+COUNTIF($E9:P9,"µ")+COUNTIF($E9:P9,1),ColLivraison)=Q$6,
  VLOOKUP($E9,INDIRECT("tri!"&amp; CHAR(64+ C0Col) &amp;":"&amp; CHAR(65+C0Col)),2,FALSE)&gt;COUNTIF($E9:P9,"u")+COUNTIF($E9:P9,"t")+COUNTIF($E9:P9,"¶")+COUNTIF($E9:P9,"²")+COUNTIF($E9:P9,"µ")+COUNTIF($E9:P9,1)),
HYPERLINK("#Roadmap!C"&amp; MATCH($E9,Roadmap!$D:$D,0)+COUNTIF($E9:P9,"u")+COUNTIF($E9:P9,"t"),
     INDEX(Roadmap!$D:$K,MATCH($E9,Roadmap!$D:$D,0)+COUNTIF($E9:P9,"u")+COUNTIF($E9:P9,"t")+COUNTIF($E9:P9,"¶")+COUNTIF($E9:P9,"²")+COUNTIF($E9:P9,"µ")+COUNTIF($E9:P9,1),ColTypeEcheance)),
  IF(LEN(P9)=1,
  IF(LEN(INDEX(Roadmap!$D:$K,MATCH($E9,Roadmap!$D:$D,0)-1+COUNTIF($E9:P9,"u")+COUNTIF($E9:P9,"t")+COUNTIF($E9:P9,"¶")+COUNTIF($E9:P9,"²")+COUNTIF($E9:P9,"µ")+COUNTIF($E9:P9,1),ColDescriptionCourte))&gt;1,
HYPERLINK("#Roadmap!C"&amp; MATCH($E9,Roadmap!$D:$D,0)+COUNTIF($E9:P9,"u")+COUNTIF($E9:P9,"t")+COUNTIF($E9:P9,"¶")+COUNTIF($E9:P9,"²")+COUNTIF($E9:P9,"µ")+COUNTIF($E9:P9,1)-1,INDEX(Roadmap!$D:$K,MATCH($E9,Roadmap!$D:$D,0)-1+COUNTIF($E9:P9,"u")+COUNTIF($E9:P9,"t")+COUNTIF($E9:P9,"¶")+COUNTIF($E9:P9,"²")+COUNTIF($E9:P9,"µ")+COUNTIF($E9:P9,1),ColDescriptionCourte)),""),
  "")),"")</f>
        <v>µ</v>
      </c>
      <c r="R9" s="40" t="str">
        <f ca="1">IFERROR(IF(AND(
  INDEX(Roadmap!$D:$K,MATCH($E9,Roadmap!$D:$D,0)+COUNTIF($E9:Q9,"u")+COUNTIF($E9:Q9,"t")+COUNTIF($E9:Q9,"¶")+COUNTIF($E9:Q9,"²")+COUNTIF($E9:Q9,"µ")+COUNTIF($E9:Q9,1),ColLivraison)=R$6,
  VLOOKUP($E9,INDIRECT("tri!"&amp; CHAR(64+ C0Col) &amp;":"&amp; CHAR(65+C0Col)),2,FALSE)&gt;COUNTIF($E9:Q9,"u")+COUNTIF($E9:Q9,"t")+COUNTIF($E9:Q9,"¶")+COUNTIF($E9:Q9,"²")+COUNTIF($E9:Q9,"µ")+COUNTIF($E9:Q9,1)),
HYPERLINK("#Roadmap!C"&amp; MATCH($E9,Roadmap!$D:$D,0)+COUNTIF($E9:Q9,"u")+COUNTIF($E9:Q9,"t"),
     INDEX(Roadmap!$D:$K,MATCH($E9,Roadmap!$D:$D,0)+COUNTIF($E9:Q9,"u")+COUNTIF($E9:Q9,"t")+COUNTIF($E9:Q9,"¶")+COUNTIF($E9:Q9,"²")+COUNTIF($E9:Q9,"µ")+COUNTIF($E9:Q9,1),ColTypeEcheance)),
  IF(LEN(Q9)=1,
  IF(LEN(INDEX(Roadmap!$D:$K,MATCH($E9,Roadmap!$D:$D,0)-1+COUNTIF($E9:Q9,"u")+COUNTIF($E9:Q9,"t")+COUNTIF($E9:Q9,"¶")+COUNTIF($E9:Q9,"²")+COUNTIF($E9:Q9,"µ")+COUNTIF($E9:Q9,1),ColDescriptionCourte))&gt;1,
HYPERLINK("#Roadmap!C"&amp; MATCH($E9,Roadmap!$D:$D,0)+COUNTIF($E9:Q9,"u")+COUNTIF($E9:Q9,"t")+COUNTIF($E9:Q9,"¶")+COUNTIF($E9:Q9,"²")+COUNTIF($E9:Q9,"µ")+COUNTIF($E9:Q9,1)-1,INDEX(Roadmap!$D:$K,MATCH($E9,Roadmap!$D:$D,0)-1+COUNTIF($E9:Q9,"u")+COUNTIF($E9:Q9,"t")+COUNTIF($E9:Q9,"¶")+COUNTIF($E9:Q9,"²")+COUNTIF($E9:Q9,"µ")+COUNTIF($E9:Q9,1),ColDescriptionCourte)),""),
  "")),"")</f>
        <v>lot 0.8</v>
      </c>
      <c r="S9" s="40" t="str">
        <f ca="1">IFERROR(IF(AND(
  INDEX(Roadmap!$D:$K,MATCH($E9,Roadmap!$D:$D,0)+COUNTIF($E9:R9,"u")+COUNTIF($E9:R9,"t")+COUNTIF($E9:R9,"¶")+COUNTIF($E9:R9,"²")+COUNTIF($E9:R9,"µ")+COUNTIF($E9:R9,1),ColLivraison)=S$6,
  VLOOKUP($E9,INDIRECT("tri!"&amp; CHAR(64+ C0Col) &amp;":"&amp; CHAR(65+C0Col)),2,FALSE)&gt;COUNTIF($E9:R9,"u")+COUNTIF($E9:R9,"t")+COUNTIF($E9:R9,"¶")+COUNTIF($E9:R9,"²")+COUNTIF($E9:R9,"µ")+COUNTIF($E9:R9,1)),
HYPERLINK("#Roadmap!C"&amp; MATCH($E9,Roadmap!$D:$D,0)+COUNTIF($E9:R9,"u")+COUNTIF($E9:R9,"t"),
     INDEX(Roadmap!$D:$K,MATCH($E9,Roadmap!$D:$D,0)+COUNTIF($E9:R9,"u")+COUNTIF($E9:R9,"t")+COUNTIF($E9:R9,"¶")+COUNTIF($E9:R9,"²")+COUNTIF($E9:R9,"µ")+COUNTIF($E9:R9,1),ColTypeEcheance)),
  IF(LEN(R9)=1,
  IF(LEN(INDEX(Roadmap!$D:$K,MATCH($E9,Roadmap!$D:$D,0)-1+COUNTIF($E9:R9,"u")+COUNTIF($E9:R9,"t")+COUNTIF($E9:R9,"¶")+COUNTIF($E9:R9,"²")+COUNTIF($E9:R9,"µ")+COUNTIF($E9:R9,1),ColDescriptionCourte))&gt;1,
HYPERLINK("#Roadmap!C"&amp; MATCH($E9,Roadmap!$D:$D,0)+COUNTIF($E9:R9,"u")+COUNTIF($E9:R9,"t")+COUNTIF($E9:R9,"¶")+COUNTIF($E9:R9,"²")+COUNTIF($E9:R9,"µ")+COUNTIF($E9:R9,1)-1,INDEX(Roadmap!$D:$K,MATCH($E9,Roadmap!$D:$D,0)-1+COUNTIF($E9:R9,"u")+COUNTIF($E9:R9,"t")+COUNTIF($E9:R9,"¶")+COUNTIF($E9:R9,"²")+COUNTIF($E9:R9,"µ")+COUNTIF($E9:R9,1),ColDescriptionCourte)),""),
  "")),"")</f>
        <v/>
      </c>
      <c r="T9" s="40" t="str">
        <f ca="1">IFERROR(IF(AND(
  INDEX(Roadmap!$D:$K,MATCH($E9,Roadmap!$D:$D,0)+COUNTIF($E9:S9,"u")+COUNTIF($E9:S9,"t")+COUNTIF($E9:S9,"¶")+COUNTIF($E9:S9,"²")+COUNTIF($E9:S9,"µ")+COUNTIF($E9:S9,1),ColLivraison)=T$6,
  VLOOKUP($E9,INDIRECT("tri!"&amp; CHAR(64+ C0Col) &amp;":"&amp; CHAR(65+C0Col)),2,FALSE)&gt;COUNTIF($E9:S9,"u")+COUNTIF($E9:S9,"t")+COUNTIF($E9:S9,"¶")+COUNTIF($E9:S9,"²")+COUNTIF($E9:S9,"µ")+COUNTIF($E9:S9,1)),
HYPERLINK("#Roadmap!C"&amp; MATCH($E9,Roadmap!$D:$D,0)+COUNTIF($E9:S9,"u")+COUNTIF($E9:S9,"t"),
     INDEX(Roadmap!$D:$K,MATCH($E9,Roadmap!$D:$D,0)+COUNTIF($E9:S9,"u")+COUNTIF($E9:S9,"t")+COUNTIF($E9:S9,"¶")+COUNTIF($E9:S9,"²")+COUNTIF($E9:S9,"µ")+COUNTIF($E9:S9,1),ColTypeEcheance)),
  IF(LEN(S9)=1,
  IF(LEN(INDEX(Roadmap!$D:$K,MATCH($E9,Roadmap!$D:$D,0)-1+COUNTIF($E9:S9,"u")+COUNTIF($E9:S9,"t")+COUNTIF($E9:S9,"¶")+COUNTIF($E9:S9,"²")+COUNTIF($E9:S9,"µ")+COUNTIF($E9:S9,1),ColDescriptionCourte))&gt;1,
HYPERLINK("#Roadmap!C"&amp; MATCH($E9,Roadmap!$D:$D,0)+COUNTIF($E9:S9,"u")+COUNTIF($E9:S9,"t")+COUNTIF($E9:S9,"¶")+COUNTIF($E9:S9,"²")+COUNTIF($E9:S9,"µ")+COUNTIF($E9:S9,1)-1,INDEX(Roadmap!$D:$K,MATCH($E9,Roadmap!$D:$D,0)-1+COUNTIF($E9:S9,"u")+COUNTIF($E9:S9,"t")+COUNTIF($E9:S9,"¶")+COUNTIF($E9:S9,"²")+COUNTIF($E9:S9,"µ")+COUNTIF($E9:S9,1),ColDescriptionCourte)),""),
  "")),"")</f>
        <v/>
      </c>
      <c r="U9" s="40" t="str">
        <f ca="1">IFERROR(IF(AND(
  INDEX(Roadmap!$D:$K,MATCH($E9,Roadmap!$D:$D,0)+COUNTIF($E9:T9,"u")+COUNTIF($E9:T9,"t")+COUNTIF($E9:T9,"¶")+COUNTIF($E9:T9,"²")+COUNTIF($E9:T9,"µ")+COUNTIF($E9:T9,1),ColLivraison)=U$6,
  VLOOKUP($E9,INDIRECT("tri!"&amp; CHAR(64+ C0Col) &amp;":"&amp; CHAR(65+C0Col)),2,FALSE)&gt;COUNTIF($E9:T9,"u")+COUNTIF($E9:T9,"t")+COUNTIF($E9:T9,"¶")+COUNTIF($E9:T9,"²")+COUNTIF($E9:T9,"µ")+COUNTIF($E9:T9,1)),
HYPERLINK("#Roadmap!C"&amp; MATCH($E9,Roadmap!$D:$D,0)+COUNTIF($E9:T9,"u")+COUNTIF($E9:T9,"t"),
     INDEX(Roadmap!$D:$K,MATCH($E9,Roadmap!$D:$D,0)+COUNTIF($E9:T9,"u")+COUNTIF($E9:T9,"t")+COUNTIF($E9:T9,"¶")+COUNTIF($E9:T9,"²")+COUNTIF($E9:T9,"µ")+COUNTIF($E9:T9,1),ColTypeEcheance)),
  IF(LEN(T9)=1,
  IF(LEN(INDEX(Roadmap!$D:$K,MATCH($E9,Roadmap!$D:$D,0)-1+COUNTIF($E9:T9,"u")+COUNTIF($E9:T9,"t")+COUNTIF($E9:T9,"¶")+COUNTIF($E9:T9,"²")+COUNTIF($E9:T9,"µ")+COUNTIF($E9:T9,1),ColDescriptionCourte))&gt;1,
HYPERLINK("#Roadmap!C"&amp; MATCH($E9,Roadmap!$D:$D,0)+COUNTIF($E9:T9,"u")+COUNTIF($E9:T9,"t")+COUNTIF($E9:T9,"¶")+COUNTIF($E9:T9,"²")+COUNTIF($E9:T9,"µ")+COUNTIF($E9:T9,1)-1,INDEX(Roadmap!$D:$K,MATCH($E9,Roadmap!$D:$D,0)-1+COUNTIF($E9:T9,"u")+COUNTIF($E9:T9,"t")+COUNTIF($E9:T9,"¶")+COUNTIF($E9:T9,"²")+COUNTIF($E9:T9,"µ")+COUNTIF($E9:T9,1),ColDescriptionCourte)),""),
  "")),"")</f>
        <v/>
      </c>
      <c r="V9" s="40" t="str">
        <f ca="1">IFERROR(IF(AND(
  INDEX(Roadmap!$D:$K,MATCH($E9,Roadmap!$D:$D,0)+COUNTIF($E9:U9,"u")+COUNTIF($E9:U9,"t")+COUNTIF($E9:U9,"¶")+COUNTIF($E9:U9,"²")+COUNTIF($E9:U9,"µ")+COUNTIF($E9:U9,1),ColLivraison)=V$6,
  VLOOKUP($E9,INDIRECT("tri!"&amp; CHAR(64+ C0Col) &amp;":"&amp; CHAR(65+C0Col)),2,FALSE)&gt;COUNTIF($E9:U9,"u")+COUNTIF($E9:U9,"t")+COUNTIF($E9:U9,"¶")+COUNTIF($E9:U9,"²")+COUNTIF($E9:U9,"µ")+COUNTIF($E9:U9,1)),
HYPERLINK("#Roadmap!C"&amp; MATCH($E9,Roadmap!$D:$D,0)+COUNTIF($E9:U9,"u")+COUNTIF($E9:U9,"t"),
     INDEX(Roadmap!$D:$K,MATCH($E9,Roadmap!$D:$D,0)+COUNTIF($E9:U9,"u")+COUNTIF($E9:U9,"t")+COUNTIF($E9:U9,"¶")+COUNTIF($E9:U9,"²")+COUNTIF($E9:U9,"µ")+COUNTIF($E9:U9,1),ColTypeEcheance)),
  IF(LEN(U9)=1,
  IF(LEN(INDEX(Roadmap!$D:$K,MATCH($E9,Roadmap!$D:$D,0)-1+COUNTIF($E9:U9,"u")+COUNTIF($E9:U9,"t")+COUNTIF($E9:U9,"¶")+COUNTIF($E9:U9,"²")+COUNTIF($E9:U9,"µ")+COUNTIF($E9:U9,1),ColDescriptionCourte))&gt;1,
HYPERLINK("#Roadmap!C"&amp; MATCH($E9,Roadmap!$D:$D,0)+COUNTIF($E9:U9,"u")+COUNTIF($E9:U9,"t")+COUNTIF($E9:U9,"¶")+COUNTIF($E9:U9,"²")+COUNTIF($E9:U9,"µ")+COUNTIF($E9:U9,1)-1,INDEX(Roadmap!$D:$K,MATCH($E9,Roadmap!$D:$D,0)-1+COUNTIF($E9:U9,"u")+COUNTIF($E9:U9,"t")+COUNTIF($E9:U9,"¶")+COUNTIF($E9:U9,"²")+COUNTIF($E9:U9,"µ")+COUNTIF($E9:U9,1),ColDescriptionCourte)),""),
  "")),"")</f>
        <v/>
      </c>
      <c r="W9" s="40" t="str">
        <f ca="1">IFERROR(IF(AND(
  INDEX(Roadmap!$D:$K,MATCH($E9,Roadmap!$D:$D,0)+COUNTIF($E9:V9,"u")+COUNTIF($E9:V9,"t")+COUNTIF($E9:V9,"¶")+COUNTIF($E9:V9,"²")+COUNTIF($E9:V9,"µ")+COUNTIF($E9:V9,1),ColLivraison)=W$6,
  VLOOKUP($E9,INDIRECT("tri!"&amp; CHAR(64+ C0Col) &amp;":"&amp; CHAR(65+C0Col)),2,FALSE)&gt;COUNTIF($E9:V9,"u")+COUNTIF($E9:V9,"t")+COUNTIF($E9:V9,"¶")+COUNTIF($E9:V9,"²")+COUNTIF($E9:V9,"µ")+COUNTIF($E9:V9,1)),
HYPERLINK("#Roadmap!C"&amp; MATCH($E9,Roadmap!$D:$D,0)+COUNTIF($E9:V9,"u")+COUNTIF($E9:V9,"t"),
     INDEX(Roadmap!$D:$K,MATCH($E9,Roadmap!$D:$D,0)+COUNTIF($E9:V9,"u")+COUNTIF($E9:V9,"t")+COUNTIF($E9:V9,"¶")+COUNTIF($E9:V9,"²")+COUNTIF($E9:V9,"µ")+COUNTIF($E9:V9,1),ColTypeEcheance)),
  IF(LEN(V9)=1,
  IF(LEN(INDEX(Roadmap!$D:$K,MATCH($E9,Roadmap!$D:$D,0)-1+COUNTIF($E9:V9,"u")+COUNTIF($E9:V9,"t")+COUNTIF($E9:V9,"¶")+COUNTIF($E9:V9,"²")+COUNTIF($E9:V9,"µ")+COUNTIF($E9:V9,1),ColDescriptionCourte))&gt;1,
HYPERLINK("#Roadmap!C"&amp; MATCH($E9,Roadmap!$D:$D,0)+COUNTIF($E9:V9,"u")+COUNTIF($E9:V9,"t")+COUNTIF($E9:V9,"¶")+COUNTIF($E9:V9,"²")+COUNTIF($E9:V9,"µ")+COUNTIF($E9:V9,1)-1,INDEX(Roadmap!$D:$K,MATCH($E9,Roadmap!$D:$D,0)-1+COUNTIF($E9:V9,"u")+COUNTIF($E9:V9,"t")+COUNTIF($E9:V9,"¶")+COUNTIF($E9:V9,"²")+COUNTIF($E9:V9,"µ")+COUNTIF($E9:V9,1),ColDescriptionCourte)),""),
  "")),"")</f>
        <v/>
      </c>
      <c r="X9" s="40" t="str">
        <f ca="1">IFERROR(IF(AND(
  INDEX(Roadmap!$D:$K,MATCH($E9,Roadmap!$D:$D,0)+COUNTIF($E9:W9,"u")+COUNTIF($E9:W9,"t")+COUNTIF($E9:W9,"¶")+COUNTIF($E9:W9,"²")+COUNTIF($E9:W9,"µ")+COUNTIF($E9:W9,1),ColLivraison)=X$6,
  VLOOKUP($E9,INDIRECT("tri!"&amp; CHAR(64+ C0Col) &amp;":"&amp; CHAR(65+C0Col)),2,FALSE)&gt;COUNTIF($E9:W9,"u")+COUNTIF($E9:W9,"t")+COUNTIF($E9:W9,"¶")+COUNTIF($E9:W9,"²")+COUNTIF($E9:W9,"µ")+COUNTIF($E9:W9,1)),
HYPERLINK("#Roadmap!C"&amp; MATCH($E9,Roadmap!$D:$D,0)+COUNTIF($E9:W9,"u")+COUNTIF($E9:W9,"t"),
     INDEX(Roadmap!$D:$K,MATCH($E9,Roadmap!$D:$D,0)+COUNTIF($E9:W9,"u")+COUNTIF($E9:W9,"t")+COUNTIF($E9:W9,"¶")+COUNTIF($E9:W9,"²")+COUNTIF($E9:W9,"µ")+COUNTIF($E9:W9,1),ColTypeEcheance)),
  IF(LEN(W9)=1,
  IF(LEN(INDEX(Roadmap!$D:$K,MATCH($E9,Roadmap!$D:$D,0)-1+COUNTIF($E9:W9,"u")+COUNTIF($E9:W9,"t")+COUNTIF($E9:W9,"¶")+COUNTIF($E9:W9,"²")+COUNTIF($E9:W9,"µ")+COUNTIF($E9:W9,1),ColDescriptionCourte))&gt;1,
HYPERLINK("#Roadmap!C"&amp; MATCH($E9,Roadmap!$D:$D,0)+COUNTIF($E9:W9,"u")+COUNTIF($E9:W9,"t")+COUNTIF($E9:W9,"¶")+COUNTIF($E9:W9,"²")+COUNTIF($E9:W9,"µ")+COUNTIF($E9:W9,1)-1,INDEX(Roadmap!$D:$K,MATCH($E9,Roadmap!$D:$D,0)-1+COUNTIF($E9:W9,"u")+COUNTIF($E9:W9,"t")+COUNTIF($E9:W9,"¶")+COUNTIF($E9:W9,"²")+COUNTIF($E9:W9,"µ")+COUNTIF($E9:W9,1),ColDescriptionCourte)),""),
  "")),"")</f>
        <v/>
      </c>
      <c r="Y9" s="40" t="str">
        <f ca="1">IFERROR(IF(AND(
  INDEX(Roadmap!$D:$K,MATCH($E9,Roadmap!$D:$D,0)+COUNTIF($E9:X9,"u")+COUNTIF($E9:X9,"t")+COUNTIF($E9:X9,"¶")+COUNTIF($E9:X9,"²")+COUNTIF($E9:X9,"µ")+COUNTIF($E9:X9,1),ColLivraison)=Y$6,
  VLOOKUP($E9,INDIRECT("tri!"&amp; CHAR(64+ C0Col) &amp;":"&amp; CHAR(65+C0Col)),2,FALSE)&gt;COUNTIF($E9:X9,"u")+COUNTIF($E9:X9,"t")+COUNTIF($E9:X9,"¶")+COUNTIF($E9:X9,"²")+COUNTIF($E9:X9,"µ")+COUNTIF($E9:X9,1)),
HYPERLINK("#Roadmap!C"&amp; MATCH($E9,Roadmap!$D:$D,0)+COUNTIF($E9:X9,"u")+COUNTIF($E9:X9,"t"),
     INDEX(Roadmap!$D:$K,MATCH($E9,Roadmap!$D:$D,0)+COUNTIF($E9:X9,"u")+COUNTIF($E9:X9,"t")+COUNTIF($E9:X9,"¶")+COUNTIF($E9:X9,"²")+COUNTIF($E9:X9,"µ")+COUNTIF($E9:X9,1),ColTypeEcheance)),
  IF(LEN(X9)=1,
  IF(LEN(INDEX(Roadmap!$D:$K,MATCH($E9,Roadmap!$D:$D,0)-1+COUNTIF($E9:X9,"u")+COUNTIF($E9:X9,"t")+COUNTIF($E9:X9,"¶")+COUNTIF($E9:X9,"²")+COUNTIF($E9:X9,"µ")+COUNTIF($E9:X9,1),ColDescriptionCourte))&gt;1,
HYPERLINK("#Roadmap!C"&amp; MATCH($E9,Roadmap!$D:$D,0)+COUNTIF($E9:X9,"u")+COUNTIF($E9:X9,"t")+COUNTIF($E9:X9,"¶")+COUNTIF($E9:X9,"²")+COUNTIF($E9:X9,"µ")+COUNTIF($E9:X9,1)-1,INDEX(Roadmap!$D:$K,MATCH($E9,Roadmap!$D:$D,0)-1+COUNTIF($E9:X9,"u")+COUNTIF($E9:X9,"t")+COUNTIF($E9:X9,"¶")+COUNTIF($E9:X9,"²")+COUNTIF($E9:X9,"µ")+COUNTIF($E9:X9,1),ColDescriptionCourte)),""),
  "")),"")</f>
        <v/>
      </c>
      <c r="Z9" s="40" t="str">
        <f ca="1">IFERROR(IF(AND(
  INDEX(Roadmap!$D:$K,MATCH($E9,Roadmap!$D:$D,0)+COUNTIF($E9:Y9,"u")+COUNTIF($E9:Y9,"t")+COUNTIF($E9:Y9,"¶")+COUNTIF($E9:Y9,"²")+COUNTIF($E9:Y9,"µ")+COUNTIF($E9:Y9,1),ColLivraison)=Z$6,
  VLOOKUP($E9,INDIRECT("tri!"&amp; CHAR(64+ C0Col) &amp;":"&amp; CHAR(65+C0Col)),2,FALSE)&gt;COUNTIF($E9:Y9,"u")+COUNTIF($E9:Y9,"t")+COUNTIF($E9:Y9,"¶")+COUNTIF($E9:Y9,"²")+COUNTIF($E9:Y9,"µ")+COUNTIF($E9:Y9,1)),
HYPERLINK("#Roadmap!C"&amp; MATCH($E9,Roadmap!$D:$D,0)+COUNTIF($E9:Y9,"u")+COUNTIF($E9:Y9,"t"),
     INDEX(Roadmap!$D:$K,MATCH($E9,Roadmap!$D:$D,0)+COUNTIF($E9:Y9,"u")+COUNTIF($E9:Y9,"t")+COUNTIF($E9:Y9,"¶")+COUNTIF($E9:Y9,"²")+COUNTIF($E9:Y9,"µ")+COUNTIF($E9:Y9,1),ColTypeEcheance)),
  IF(LEN(Y9)=1,
  IF(LEN(INDEX(Roadmap!$D:$K,MATCH($E9,Roadmap!$D:$D,0)-1+COUNTIF($E9:Y9,"u")+COUNTIF($E9:Y9,"t")+COUNTIF($E9:Y9,"¶")+COUNTIF($E9:Y9,"²")+COUNTIF($E9:Y9,"µ")+COUNTIF($E9:Y9,1),ColDescriptionCourte))&gt;1,
HYPERLINK("#Roadmap!C"&amp; MATCH($E9,Roadmap!$D:$D,0)+COUNTIF($E9:Y9,"u")+COUNTIF($E9:Y9,"t")+COUNTIF($E9:Y9,"¶")+COUNTIF($E9:Y9,"²")+COUNTIF($E9:Y9,"µ")+COUNTIF($E9:Y9,1)-1,INDEX(Roadmap!$D:$K,MATCH($E9,Roadmap!$D:$D,0)-1+COUNTIF($E9:Y9,"u")+COUNTIF($E9:Y9,"t")+COUNTIF($E9:Y9,"¶")+COUNTIF($E9:Y9,"²")+COUNTIF($E9:Y9,"µ")+COUNTIF($E9:Y9,1),ColDescriptionCourte)),""),
  "")),"")</f>
        <v/>
      </c>
      <c r="AA9" s="40" t="str">
        <f ca="1">IFERROR(IF(AND(
  INDEX(Roadmap!$D:$K,MATCH($E9,Roadmap!$D:$D,0)+COUNTIF($E9:Z9,"u")+COUNTIF($E9:Z9,"t")+COUNTIF($E9:Z9,"¶")+COUNTIF($E9:Z9,"²")+COUNTIF($E9:Z9,"µ")+COUNTIF($E9:Z9,1),ColLivraison)=AA$6,
  VLOOKUP($E9,INDIRECT("tri!"&amp; CHAR(64+ C0Col) &amp;":"&amp; CHAR(65+C0Col)),2,FALSE)&gt;COUNTIF($E9:Z9,"u")+COUNTIF($E9:Z9,"t")+COUNTIF($E9:Z9,"¶")+COUNTIF($E9:Z9,"²")+COUNTIF($E9:Z9,"µ")+COUNTIF($E9:Z9,1)),
HYPERLINK("#Roadmap!C"&amp; MATCH($E9,Roadmap!$D:$D,0)+COUNTIF($E9:Z9,"u")+COUNTIF($E9:Z9,"t"),
     INDEX(Roadmap!$D:$K,MATCH($E9,Roadmap!$D:$D,0)+COUNTIF($E9:Z9,"u")+COUNTIF($E9:Z9,"t")+COUNTIF($E9:Z9,"¶")+COUNTIF($E9:Z9,"²")+COUNTIF($E9:Z9,"µ")+COUNTIF($E9:Z9,1),ColTypeEcheance)),
  IF(LEN(Z9)=1,
  IF(LEN(INDEX(Roadmap!$D:$K,MATCH($E9,Roadmap!$D:$D,0)-1+COUNTIF($E9:Z9,"u")+COUNTIF($E9:Z9,"t")+COUNTIF($E9:Z9,"¶")+COUNTIF($E9:Z9,"²")+COUNTIF($E9:Z9,"µ")+COUNTIF($E9:Z9,1),ColDescriptionCourte))&gt;1,
HYPERLINK("#Roadmap!C"&amp; MATCH($E9,Roadmap!$D:$D,0)+COUNTIF($E9:Z9,"u")+COUNTIF($E9:Z9,"t")+COUNTIF($E9:Z9,"¶")+COUNTIF($E9:Z9,"²")+COUNTIF($E9:Z9,"µ")+COUNTIF($E9:Z9,1)-1,INDEX(Roadmap!$D:$K,MATCH($E9,Roadmap!$D:$D,0)-1+COUNTIF($E9:Z9,"u")+COUNTIF($E9:Z9,"t")+COUNTIF($E9:Z9,"¶")+COUNTIF($E9:Z9,"²")+COUNTIF($E9:Z9,"µ")+COUNTIF($E9:Z9,1),ColDescriptionCourte)),""),
  "")),"")</f>
        <v/>
      </c>
      <c r="AB9" s="40" t="str">
        <f ca="1">IFERROR(IF(AND(
  INDEX(Roadmap!$D:$K,MATCH($E9,Roadmap!$D:$D,0)+COUNTIF($E9:AA9,"u")+COUNTIF($E9:AA9,"t")+COUNTIF($E9:AA9,"¶")+COUNTIF($E9:AA9,"²")+COUNTIF($E9:AA9,"µ")+COUNTIF($E9:AA9,1),ColLivraison)=AB$6,
  VLOOKUP($E9,INDIRECT("tri!"&amp; CHAR(64+ C0Col) &amp;":"&amp; CHAR(65+C0Col)),2,FALSE)&gt;COUNTIF($E9:AA9,"u")+COUNTIF($E9:AA9,"t")+COUNTIF($E9:AA9,"¶")+COUNTIF($E9:AA9,"²")+COUNTIF($E9:AA9,"µ")+COUNTIF($E9:AA9,1)),
HYPERLINK("#Roadmap!C"&amp; MATCH($E9,Roadmap!$D:$D,0)+COUNTIF($E9:AA9,"u")+COUNTIF($E9:AA9,"t"),
     INDEX(Roadmap!$D:$K,MATCH($E9,Roadmap!$D:$D,0)+COUNTIF($E9:AA9,"u")+COUNTIF($E9:AA9,"t")+COUNTIF($E9:AA9,"¶")+COUNTIF($E9:AA9,"²")+COUNTIF($E9:AA9,"µ")+COUNTIF($E9:AA9,1),ColTypeEcheance)),
  IF(LEN(AA9)=1,
  IF(LEN(INDEX(Roadmap!$D:$K,MATCH($E9,Roadmap!$D:$D,0)-1+COUNTIF($E9:AA9,"u")+COUNTIF($E9:AA9,"t")+COUNTIF($E9:AA9,"¶")+COUNTIF($E9:AA9,"²")+COUNTIF($E9:AA9,"µ")+COUNTIF($E9:AA9,1),ColDescriptionCourte))&gt;1,
HYPERLINK("#Roadmap!C"&amp; MATCH($E9,Roadmap!$D:$D,0)+COUNTIF($E9:AA9,"u")+COUNTIF($E9:AA9,"t")+COUNTIF($E9:AA9,"¶")+COUNTIF($E9:AA9,"²")+COUNTIF($E9:AA9,"µ")+COUNTIF($E9:AA9,1)-1,INDEX(Roadmap!$D:$K,MATCH($E9,Roadmap!$D:$D,0)-1+COUNTIF($E9:AA9,"u")+COUNTIF($E9:AA9,"t")+COUNTIF($E9:AA9,"¶")+COUNTIF($E9:AA9,"²")+COUNTIF($E9:AA9,"µ")+COUNTIF($E9:AA9,1),ColDescriptionCourte)),""),
  "")),"")</f>
        <v/>
      </c>
      <c r="AC9" s="40" t="str">
        <f ca="1">IFERROR(IF(AND(
  INDEX(Roadmap!$D:$K,MATCH($E9,Roadmap!$D:$D,0)+COUNTIF($E9:AB9,"u")+COUNTIF($E9:AB9,"t")+COUNTIF($E9:AB9,"¶")+COUNTIF($E9:AB9,"²")+COUNTIF($E9:AB9,"µ")+COUNTIF($E9:AB9,1),ColLivraison)=AC$6,
  VLOOKUP($E9,INDIRECT("tri!"&amp; CHAR(64+ C0Col) &amp;":"&amp; CHAR(65+C0Col)),2,FALSE)&gt;COUNTIF($E9:AB9,"u")+COUNTIF($E9:AB9,"t")+COUNTIF($E9:AB9,"¶")+COUNTIF($E9:AB9,"²")+COUNTIF($E9:AB9,"µ")+COUNTIF($E9:AB9,1)),
HYPERLINK("#Roadmap!C"&amp; MATCH($E9,Roadmap!$D:$D,0)+COUNTIF($E9:AB9,"u")+COUNTIF($E9:AB9,"t"),
     INDEX(Roadmap!$D:$K,MATCH($E9,Roadmap!$D:$D,0)+COUNTIF($E9:AB9,"u")+COUNTIF($E9:AB9,"t")+COUNTIF($E9:AB9,"¶")+COUNTIF($E9:AB9,"²")+COUNTIF($E9:AB9,"µ")+COUNTIF($E9:AB9,1),ColTypeEcheance)),
  IF(LEN(AB9)=1,
  IF(LEN(INDEX(Roadmap!$D:$K,MATCH($E9,Roadmap!$D:$D,0)-1+COUNTIF($E9:AB9,"u")+COUNTIF($E9:AB9,"t")+COUNTIF($E9:AB9,"¶")+COUNTIF($E9:AB9,"²")+COUNTIF($E9:AB9,"µ")+COUNTIF($E9:AB9,1),ColDescriptionCourte))&gt;1,
HYPERLINK("#Roadmap!C"&amp; MATCH($E9,Roadmap!$D:$D,0)+COUNTIF($E9:AB9,"u")+COUNTIF($E9:AB9,"t")+COUNTIF($E9:AB9,"¶")+COUNTIF($E9:AB9,"²")+COUNTIF($E9:AB9,"µ")+COUNTIF($E9:AB9,1)-1,INDEX(Roadmap!$D:$K,MATCH($E9,Roadmap!$D:$D,0)-1+COUNTIF($E9:AB9,"u")+COUNTIF($E9:AB9,"t")+COUNTIF($E9:AB9,"¶")+COUNTIF($E9:AB9,"²")+COUNTIF($E9:AB9,"µ")+COUNTIF($E9:AB9,1),ColDescriptionCourte)),""),
  "")),"")</f>
        <v/>
      </c>
      <c r="AD9" s="40" t="str">
        <f ca="1">IFERROR(IF(AND(
  INDEX(Roadmap!$D:$K,MATCH($E9,Roadmap!$D:$D,0)+COUNTIF($E9:AC9,"u")+COUNTIF($E9:AC9,"t")+COUNTIF($E9:AC9,"¶")+COUNTIF($E9:AC9,"²")+COUNTIF($E9:AC9,"µ")+COUNTIF($E9:AC9,1),ColLivraison)=AD$6,
  VLOOKUP($E9,INDIRECT("tri!"&amp; CHAR(64+ C0Col) &amp;":"&amp; CHAR(65+C0Col)),2,FALSE)&gt;COUNTIF($E9:AC9,"u")+COUNTIF($E9:AC9,"t")+COUNTIF($E9:AC9,"¶")+COUNTIF($E9:AC9,"²")+COUNTIF($E9:AC9,"µ")+COUNTIF($E9:AC9,1)),
HYPERLINK("#Roadmap!C"&amp; MATCH($E9,Roadmap!$D:$D,0)+COUNTIF($E9:AC9,"u")+COUNTIF($E9:AC9,"t"),
     INDEX(Roadmap!$D:$K,MATCH($E9,Roadmap!$D:$D,0)+COUNTIF($E9:AC9,"u")+COUNTIF($E9:AC9,"t")+COUNTIF($E9:AC9,"¶")+COUNTIF($E9:AC9,"²")+COUNTIF($E9:AC9,"µ")+COUNTIF($E9:AC9,1),ColTypeEcheance)),
  IF(LEN(AC9)=1,
  IF(LEN(INDEX(Roadmap!$D:$K,MATCH($E9,Roadmap!$D:$D,0)-1+COUNTIF($E9:AC9,"u")+COUNTIF($E9:AC9,"t")+COUNTIF($E9:AC9,"¶")+COUNTIF($E9:AC9,"²")+COUNTIF($E9:AC9,"µ")+COUNTIF($E9:AC9,1),ColDescriptionCourte))&gt;1,
HYPERLINK("#Roadmap!C"&amp; MATCH($E9,Roadmap!$D:$D,0)+COUNTIF($E9:AC9,"u")+COUNTIF($E9:AC9,"t")+COUNTIF($E9:AC9,"¶")+COUNTIF($E9:AC9,"²")+COUNTIF($E9:AC9,"µ")+COUNTIF($E9:AC9,1)-1,INDEX(Roadmap!$D:$K,MATCH($E9,Roadmap!$D:$D,0)-1+COUNTIF($E9:AC9,"u")+COUNTIF($E9:AC9,"t")+COUNTIF($E9:AC9,"¶")+COUNTIF($E9:AC9,"²")+COUNTIF($E9:AC9,"µ")+COUNTIF($E9:AC9,1),ColDescriptionCourte)),""),
  "")),"")</f>
        <v/>
      </c>
      <c r="AE9" s="40" t="str">
        <f ca="1">IFERROR(IF(AND(
  INDEX(Roadmap!$D:$K,MATCH($E9,Roadmap!$D:$D,0)+COUNTIF($E9:AD9,"u")+COUNTIF($E9:AD9,"t")+COUNTIF($E9:AD9,"¶")+COUNTIF($E9:AD9,"²")+COUNTIF($E9:AD9,"µ")+COUNTIF($E9:AD9,1),ColLivraison)=AE$6,
  VLOOKUP($E9,INDIRECT("tri!"&amp; CHAR(64+ C0Col) &amp;":"&amp; CHAR(65+C0Col)),2,FALSE)&gt;COUNTIF($E9:AD9,"u")+COUNTIF($E9:AD9,"t")+COUNTIF($E9:AD9,"¶")+COUNTIF($E9:AD9,"²")+COUNTIF($E9:AD9,"µ")+COUNTIF($E9:AD9,1)),
HYPERLINK("#Roadmap!C"&amp; MATCH($E9,Roadmap!$D:$D,0)+COUNTIF($E9:AD9,"u")+COUNTIF($E9:AD9,"t"),
     INDEX(Roadmap!$D:$K,MATCH($E9,Roadmap!$D:$D,0)+COUNTIF($E9:AD9,"u")+COUNTIF($E9:AD9,"t")+COUNTIF($E9:AD9,"¶")+COUNTIF($E9:AD9,"²")+COUNTIF($E9:AD9,"µ")+COUNTIF($E9:AD9,1),ColTypeEcheance)),
  IF(LEN(AD9)=1,
  IF(LEN(INDEX(Roadmap!$D:$K,MATCH($E9,Roadmap!$D:$D,0)-1+COUNTIF($E9:AD9,"u")+COUNTIF($E9:AD9,"t")+COUNTIF($E9:AD9,"¶")+COUNTIF($E9:AD9,"²")+COUNTIF($E9:AD9,"µ")+COUNTIF($E9:AD9,1),ColDescriptionCourte))&gt;1,
HYPERLINK("#Roadmap!C"&amp; MATCH($E9,Roadmap!$D:$D,0)+COUNTIF($E9:AD9,"u")+COUNTIF($E9:AD9,"t")+COUNTIF($E9:AD9,"¶")+COUNTIF($E9:AD9,"²")+COUNTIF($E9:AD9,"µ")+COUNTIF($E9:AD9,1)-1,INDEX(Roadmap!$D:$K,MATCH($E9,Roadmap!$D:$D,0)-1+COUNTIF($E9:AD9,"u")+COUNTIF($E9:AD9,"t")+COUNTIF($E9:AD9,"¶")+COUNTIF($E9:AD9,"²")+COUNTIF($E9:AD9,"µ")+COUNTIF($E9:AD9,1),ColDescriptionCourte)),""),
  "")),"")</f>
        <v/>
      </c>
      <c r="AF9" s="40" t="str">
        <f ca="1">IFERROR(IF(AND(
  INDEX(Roadmap!$D:$K,MATCH($E9,Roadmap!$D:$D,0)+COUNTIF($E9:AE9,"u")+COUNTIF($E9:AE9,"t")+COUNTIF($E9:AE9,"¶")+COUNTIF($E9:AE9,"²")+COUNTIF($E9:AE9,"µ")+COUNTIF($E9:AE9,1),ColLivraison)=AF$6,
  VLOOKUP($E9,INDIRECT("tri!"&amp; CHAR(64+ C0Col) &amp;":"&amp; CHAR(65+C0Col)),2,FALSE)&gt;COUNTIF($E9:AE9,"u")+COUNTIF($E9:AE9,"t")+COUNTIF($E9:AE9,"¶")+COUNTIF($E9:AE9,"²")+COUNTIF($E9:AE9,"µ")+COUNTIF($E9:AE9,1)),
HYPERLINK("#Roadmap!C"&amp; MATCH($E9,Roadmap!$D:$D,0)+COUNTIF($E9:AE9,"u")+COUNTIF($E9:AE9,"t"),
     INDEX(Roadmap!$D:$K,MATCH($E9,Roadmap!$D:$D,0)+COUNTIF($E9:AE9,"u")+COUNTIF($E9:AE9,"t")+COUNTIF($E9:AE9,"¶")+COUNTIF($E9:AE9,"²")+COUNTIF($E9:AE9,"µ")+COUNTIF($E9:AE9,1),ColTypeEcheance)),
  IF(LEN(AE9)=1,
  IF(LEN(INDEX(Roadmap!$D:$K,MATCH($E9,Roadmap!$D:$D,0)-1+COUNTIF($E9:AE9,"u")+COUNTIF($E9:AE9,"t")+COUNTIF($E9:AE9,"¶")+COUNTIF($E9:AE9,"²")+COUNTIF($E9:AE9,"µ")+COUNTIF($E9:AE9,1),ColDescriptionCourte))&gt;1,
HYPERLINK("#Roadmap!C"&amp; MATCH($E9,Roadmap!$D:$D,0)+COUNTIF($E9:AE9,"u")+COUNTIF($E9:AE9,"t")+COUNTIF($E9:AE9,"¶")+COUNTIF($E9:AE9,"²")+COUNTIF($E9:AE9,"µ")+COUNTIF($E9:AE9,1)-1,INDEX(Roadmap!$D:$K,MATCH($E9,Roadmap!$D:$D,0)-1+COUNTIF($E9:AE9,"u")+COUNTIF($E9:AE9,"t")+COUNTIF($E9:AE9,"¶")+COUNTIF($E9:AE9,"²")+COUNTIF($E9:AE9,"µ")+COUNTIF($E9:AE9,1),ColDescriptionCourte)),""),
  "")),"")</f>
        <v/>
      </c>
      <c r="AG9" s="40" t="str">
        <f ca="1">IFERROR(IF(AND(
  INDEX(Roadmap!$D:$K,MATCH($E9,Roadmap!$D:$D,0)+COUNTIF($E9:AF9,"u")+COUNTIF($E9:AF9,"t")+COUNTIF($E9:AF9,"¶")+COUNTIF($E9:AF9,"²")+COUNTIF($E9:AF9,"µ")+COUNTIF($E9:AF9,1),ColLivraison)=AG$6,
  VLOOKUP($E9,INDIRECT("tri!"&amp; CHAR(64+ C0Col) &amp;":"&amp; CHAR(65+C0Col)),2,FALSE)&gt;COUNTIF($E9:AF9,"u")+COUNTIF($E9:AF9,"t")+COUNTIF($E9:AF9,"¶")+COUNTIF($E9:AF9,"²")+COUNTIF($E9:AF9,"µ")+COUNTIF($E9:AF9,1)),
HYPERLINK("#Roadmap!C"&amp; MATCH($E9,Roadmap!$D:$D,0)+COUNTIF($E9:AF9,"u")+COUNTIF($E9:AF9,"t"),
     INDEX(Roadmap!$D:$K,MATCH($E9,Roadmap!$D:$D,0)+COUNTIF($E9:AF9,"u")+COUNTIF($E9:AF9,"t")+COUNTIF($E9:AF9,"¶")+COUNTIF($E9:AF9,"²")+COUNTIF($E9:AF9,"µ")+COUNTIF($E9:AF9,1),ColTypeEcheance)),
  IF(LEN(AF9)=1,
  IF(LEN(INDEX(Roadmap!$D:$K,MATCH($E9,Roadmap!$D:$D,0)-1+COUNTIF($E9:AF9,"u")+COUNTIF($E9:AF9,"t")+COUNTIF($E9:AF9,"¶")+COUNTIF($E9:AF9,"²")+COUNTIF($E9:AF9,"µ")+COUNTIF($E9:AF9,1),ColDescriptionCourte))&gt;1,
HYPERLINK("#Roadmap!C"&amp; MATCH($E9,Roadmap!$D:$D,0)+COUNTIF($E9:AF9,"u")+COUNTIF($E9:AF9,"t")+COUNTIF($E9:AF9,"¶")+COUNTIF($E9:AF9,"²")+COUNTIF($E9:AF9,"µ")+COUNTIF($E9:AF9,1)-1,INDEX(Roadmap!$D:$K,MATCH($E9,Roadmap!$D:$D,0)-1+COUNTIF($E9:AF9,"u")+COUNTIF($E9:AF9,"t")+COUNTIF($E9:AF9,"¶")+COUNTIF($E9:AF9,"²")+COUNTIF($E9:AF9,"µ")+COUNTIF($E9:AF9,1),ColDescriptionCourte)),""),
  "")),"")</f>
        <v/>
      </c>
    </row>
    <row r="10" spans="3:35" ht="14.25" customHeight="1">
      <c r="C10" s="1" t="str">
        <f t="shared" ca="1" si="42"/>
        <v/>
      </c>
      <c r="D10" s="1" t="str">
        <f t="shared" ca="1" si="43"/>
        <v>Domaine 8</v>
      </c>
      <c r="E10" s="35" t="str">
        <f t="shared" ca="1" si="33"/>
        <v/>
      </c>
      <c r="F10" s="39" t="str">
        <f ca="1">IFERROR(IF(AND(
  INDEX(Roadmap!$D:$K,MATCH($E10,Roadmap!$D:$D,0)+COUNTIF($E10:E10,"u")+COUNTIF($E10:E10,"t")+COUNTIF($E10:E10,"¶")+COUNTIF($E10:E10,"²")+COUNTIF($E10:E10,"µ")+COUNTIF($E10:E10,1),ColLivraison)=F$6,
  VLOOKUP($E10,INDIRECT("tri!"&amp; CHAR(64+ C0Col) &amp;":"&amp; CHAR(65+C0Col)),2,FALSE)&gt;COUNTIF($E10:E10,"u")+COUNTIF($E10:E10,"t")+COUNTIF($E10:E10,"¶")+COUNTIF($E10:E10,"²")+COUNTIF($E10:E10,"µ")+COUNTIF($E10:E10,1)),
HYPERLINK("#Roadmap!C"&amp; MATCH($E10,Roadmap!$D:$D,0)+COUNTIF($E10:E10,"u")+COUNTIF($E10:E10,"t"),
     INDEX(Roadmap!$D:$K,MATCH($E10,Roadmap!$D:$D,0)+COUNTIF($E10:E10,"u")+COUNTIF($E10:E10,"t")+COUNTIF($E10:E10,"¶")+COUNTIF($E10:E10,"²")+COUNTIF($E10:E10,"µ")+COUNTIF($E10:E10,1),ColTypeEcheance)),
  IF(LEN(E10)=1,
  IF(LEN(INDEX(Roadmap!$D:$K,MATCH($E10,Roadmap!$D:$D,0)-1+COUNTIF($E10:E10,"u")+COUNTIF($E10:E10,"t")+COUNTIF($E10:E10,"¶")+COUNTIF($E10:E10,"²")+COUNTIF($E10:E10,"µ")+COUNTIF($E10:E10,1),ColDescriptionCourte))&gt;1,
HYPERLINK("#Roadmap!C"&amp; MATCH($E10,Roadmap!$D:$D,0)+COUNTIF($E10:E10,"u")+COUNTIF($E10:E10,"t")+COUNTIF($E10:E10,"¶")+COUNTIF($E10:E10,"²")+COUNTIF($E10:E10,"µ")+COUNTIF($E10:E10,1)-1,INDEX(Roadmap!$D:$K,MATCH($E10,Roadmap!$D:$D,0)-1+COUNTIF($E10:E10,"u")+COUNTIF($E10:E10,"t")+COUNTIF($E10:E10,"¶")+COUNTIF($E10:E10,"²")+COUNTIF($E10:E10,"µ")+COUNTIF($E10:E10,1),ColDescriptionCourte)),""),
  "")),"")</f>
        <v/>
      </c>
      <c r="G10" s="40" t="str">
        <f ca="1">IFERROR(IF(AND(
  INDEX(Roadmap!$D:$K,MATCH($E10,Roadmap!$D:$D,0)+COUNTIF($E10:F10,"u")+COUNTIF($E10:F10,"t")+COUNTIF($E10:F10,"¶")+COUNTIF($E10:F10,"²")+COUNTIF($E10:F10,"µ")+COUNTIF($E10:F10,1),ColLivraison)=G$6,
  VLOOKUP($E10,INDIRECT("tri!"&amp; CHAR(64+ C0Col) &amp;":"&amp; CHAR(65+C0Col)),2,FALSE)&gt;COUNTIF($E10:F10,"u")+COUNTIF($E10:F10,"t")+COUNTIF($E10:F10,"¶")+COUNTIF($E10:F10,"²")+COUNTIF($E10:F10,"µ")+COUNTIF($E10:F10,1)),
HYPERLINK("#Roadmap!C"&amp; MATCH($E10,Roadmap!$D:$D,0)+COUNTIF($E10:F10,"u")+COUNTIF($E10:F10,"t"),
     INDEX(Roadmap!$D:$K,MATCH($E10,Roadmap!$D:$D,0)+COUNTIF($E10:F10,"u")+COUNTIF($E10:F10,"t")+COUNTIF($E10:F10,"¶")+COUNTIF($E10:F10,"²")+COUNTIF($E10:F10,"µ")+COUNTIF($E10:F10,1),ColTypeEcheance)),
  IF(LEN(F10)=1,
  IF(LEN(INDEX(Roadmap!$D:$K,MATCH($E10,Roadmap!$D:$D,0)-1+COUNTIF($E10:F10,"u")+COUNTIF($E10:F10,"t")+COUNTIF($E10:F10,"¶")+COUNTIF($E10:F10,"²")+COUNTIF($E10:F10,"µ")+COUNTIF($E10:F10,1),ColDescriptionCourte))&gt;1,
HYPERLINK("#Roadmap!C"&amp; MATCH($E10,Roadmap!$D:$D,0)+COUNTIF($E10:F10,"u")+COUNTIF($E10:F10,"t")+COUNTIF($E10:F10,"¶")+COUNTIF($E10:F10,"²")+COUNTIF($E10:F10,"µ")+COUNTIF($E10:F10,1)-1,INDEX(Roadmap!$D:$K,MATCH($E10,Roadmap!$D:$D,0)-1+COUNTIF($E10:F10,"u")+COUNTIF($E10:F10,"t")+COUNTIF($E10:F10,"¶")+COUNTIF($E10:F10,"²")+COUNTIF($E10:F10,"µ")+COUNTIF($E10:F10,1),ColDescriptionCourte)),""),
  "")),"")</f>
        <v/>
      </c>
      <c r="H10" s="40" t="str">
        <f ca="1">IFERROR(IF(AND(
  INDEX(Roadmap!$D:$K,MATCH($E10,Roadmap!$D:$D,0)+COUNTIF($E10:G10,"u")+COUNTIF($E10:G10,"t")+COUNTIF($E10:G10,"¶")+COUNTIF($E10:G10,"²")+COUNTIF($E10:G10,"µ")+COUNTIF($E10:G10,1),ColLivraison)=H$6,
  VLOOKUP($E10,INDIRECT("tri!"&amp; CHAR(64+ C0Col) &amp;":"&amp; CHAR(65+C0Col)),2,FALSE)&gt;COUNTIF($E10:G10,"u")+COUNTIF($E10:G10,"t")+COUNTIF($E10:G10,"¶")+COUNTIF($E10:G10,"²")+COUNTIF($E10:G10,"µ")+COUNTIF($E10:G10,1)),
HYPERLINK("#Roadmap!C"&amp; MATCH($E10,Roadmap!$D:$D,0)+COUNTIF($E10:G10,"u")+COUNTIF($E10:G10,"t"),
     INDEX(Roadmap!$D:$K,MATCH($E10,Roadmap!$D:$D,0)+COUNTIF($E10:G10,"u")+COUNTIF($E10:G10,"t")+COUNTIF($E10:G10,"¶")+COUNTIF($E10:G10,"²")+COUNTIF($E10:G10,"µ")+COUNTIF($E10:G10,1),ColTypeEcheance)),
  IF(LEN(G10)=1,
  IF(LEN(INDEX(Roadmap!$D:$K,MATCH($E10,Roadmap!$D:$D,0)-1+COUNTIF($E10:G10,"u")+COUNTIF($E10:G10,"t")+COUNTIF($E10:G10,"¶")+COUNTIF($E10:G10,"²")+COUNTIF($E10:G10,"µ")+COUNTIF($E10:G10,1),ColDescriptionCourte))&gt;1,
HYPERLINK("#Roadmap!C"&amp; MATCH($E10,Roadmap!$D:$D,0)+COUNTIF($E10:G10,"u")+COUNTIF($E10:G10,"t")+COUNTIF($E10:G10,"¶")+COUNTIF($E10:G10,"²")+COUNTIF($E10:G10,"µ")+COUNTIF($E10:G10,1)-1,INDEX(Roadmap!$D:$K,MATCH($E10,Roadmap!$D:$D,0)-1+COUNTIF($E10:G10,"u")+COUNTIF($E10:G10,"t")+COUNTIF($E10:G10,"¶")+COUNTIF($E10:G10,"²")+COUNTIF($E10:G10,"µ")+COUNTIF($E10:G10,1),ColDescriptionCourte)),""),
  "")),"")</f>
        <v/>
      </c>
      <c r="I10" s="40" t="str">
        <f ca="1">IFERROR(IF(AND(
  INDEX(Roadmap!$D:$K,MATCH($E10,Roadmap!$D:$D,0)+COUNTIF($E10:H10,"u")+COUNTIF($E10:H10,"t")+COUNTIF($E10:H10,"¶")+COUNTIF($E10:H10,"²")+COUNTIF($E10:H10,"µ")+COUNTIF($E10:H10,1),ColLivraison)=I$6,
  VLOOKUP($E10,INDIRECT("tri!"&amp; CHAR(64+ C0Col) &amp;":"&amp; CHAR(65+C0Col)),2,FALSE)&gt;COUNTIF($E10:H10,"u")+COUNTIF($E10:H10,"t")+COUNTIF($E10:H10,"¶")+COUNTIF($E10:H10,"²")+COUNTIF($E10:H10,"µ")+COUNTIF($E10:H10,1)),
HYPERLINK("#Roadmap!C"&amp; MATCH($E10,Roadmap!$D:$D,0)+COUNTIF($E10:H10,"u")+COUNTIF($E10:H10,"t"),
     INDEX(Roadmap!$D:$K,MATCH($E10,Roadmap!$D:$D,0)+COUNTIF($E10:H10,"u")+COUNTIF($E10:H10,"t")+COUNTIF($E10:H10,"¶")+COUNTIF($E10:H10,"²")+COUNTIF($E10:H10,"µ")+COUNTIF($E10:H10,1),ColTypeEcheance)),
  IF(LEN(H10)=1,
  IF(LEN(INDEX(Roadmap!$D:$K,MATCH($E10,Roadmap!$D:$D,0)-1+COUNTIF($E10:H10,"u")+COUNTIF($E10:H10,"t")+COUNTIF($E10:H10,"¶")+COUNTIF($E10:H10,"²")+COUNTIF($E10:H10,"µ")+COUNTIF($E10:H10,1),ColDescriptionCourte))&gt;1,
HYPERLINK("#Roadmap!C"&amp; MATCH($E10,Roadmap!$D:$D,0)+COUNTIF($E10:H10,"u")+COUNTIF($E10:H10,"t")+COUNTIF($E10:H10,"¶")+COUNTIF($E10:H10,"²")+COUNTIF($E10:H10,"µ")+COUNTIF($E10:H10,1)-1,INDEX(Roadmap!$D:$K,MATCH($E10,Roadmap!$D:$D,0)-1+COUNTIF($E10:H10,"u")+COUNTIF($E10:H10,"t")+COUNTIF($E10:H10,"¶")+COUNTIF($E10:H10,"²")+COUNTIF($E10:H10,"µ")+COUNTIF($E10:H10,1),ColDescriptionCourte)),""),
  "")),"")</f>
        <v/>
      </c>
      <c r="J10" s="40" t="str">
        <f ca="1">IFERROR(IF(AND(
  INDEX(Roadmap!$D:$K,MATCH($E10,Roadmap!$D:$D,0)+COUNTIF($E10:I10,"u")+COUNTIF($E10:I10,"t")+COUNTIF($E10:I10,"¶")+COUNTIF($E10:I10,"²")+COUNTIF($E10:I10,"µ")+COUNTIF($E10:I10,1),ColLivraison)=J$6,
  VLOOKUP($E10,INDIRECT("tri!"&amp; CHAR(64+ C0Col) &amp;":"&amp; CHAR(65+C0Col)),2,FALSE)&gt;COUNTIF($E10:I10,"u")+COUNTIF($E10:I10,"t")+COUNTIF($E10:I10,"¶")+COUNTIF($E10:I10,"²")+COUNTIF($E10:I10,"µ")+COUNTIF($E10:I10,1)),
HYPERLINK("#Roadmap!C"&amp; MATCH($E10,Roadmap!$D:$D,0)+COUNTIF($E10:I10,"u")+COUNTIF($E10:I10,"t"),
     INDEX(Roadmap!$D:$K,MATCH($E10,Roadmap!$D:$D,0)+COUNTIF($E10:I10,"u")+COUNTIF($E10:I10,"t")+COUNTIF($E10:I10,"¶")+COUNTIF($E10:I10,"²")+COUNTIF($E10:I10,"µ")+COUNTIF($E10:I10,1),ColTypeEcheance)),
  IF(LEN(I10)=1,
  IF(LEN(INDEX(Roadmap!$D:$K,MATCH($E10,Roadmap!$D:$D,0)-1+COUNTIF($E10:I10,"u")+COUNTIF($E10:I10,"t")+COUNTIF($E10:I10,"¶")+COUNTIF($E10:I10,"²")+COUNTIF($E10:I10,"µ")+COUNTIF($E10:I10,1),ColDescriptionCourte))&gt;1,
HYPERLINK("#Roadmap!C"&amp; MATCH($E10,Roadmap!$D:$D,0)+COUNTIF($E10:I10,"u")+COUNTIF($E10:I10,"t")+COUNTIF($E10:I10,"¶")+COUNTIF($E10:I10,"²")+COUNTIF($E10:I10,"µ")+COUNTIF($E10:I10,1)-1,INDEX(Roadmap!$D:$K,MATCH($E10,Roadmap!$D:$D,0)-1+COUNTIF($E10:I10,"u")+COUNTIF($E10:I10,"t")+COUNTIF($E10:I10,"¶")+COUNTIF($E10:I10,"²")+COUNTIF($E10:I10,"µ")+COUNTIF($E10:I10,1),ColDescriptionCourte)),""),
  "")),"")</f>
        <v/>
      </c>
      <c r="K10" s="40" t="str">
        <f ca="1">IFERROR(IF(AND(
  INDEX(Roadmap!$D:$K,MATCH($E10,Roadmap!$D:$D,0)+COUNTIF($E10:J10,"u")+COUNTIF($E10:J10,"t")+COUNTIF($E10:J10,"¶")+COUNTIF($E10:J10,"²")+COUNTIF($E10:J10,"µ")+COUNTIF($E10:J10,1),ColLivraison)=K$6,
  VLOOKUP($E10,INDIRECT("tri!"&amp; CHAR(64+ C0Col) &amp;":"&amp; CHAR(65+C0Col)),2,FALSE)&gt;COUNTIF($E10:J10,"u")+COUNTIF($E10:J10,"t")+COUNTIF($E10:J10,"¶")+COUNTIF($E10:J10,"²")+COUNTIF($E10:J10,"µ")+COUNTIF($E10:J10,1)),
HYPERLINK("#Roadmap!C"&amp; MATCH($E10,Roadmap!$D:$D,0)+COUNTIF($E10:J10,"u")+COUNTIF($E10:J10,"t"),
     INDEX(Roadmap!$D:$K,MATCH($E10,Roadmap!$D:$D,0)+COUNTIF($E10:J10,"u")+COUNTIF($E10:J10,"t")+COUNTIF($E10:J10,"¶")+COUNTIF($E10:J10,"²")+COUNTIF($E10:J10,"µ")+COUNTIF($E10:J10,1),ColTypeEcheance)),
  IF(LEN(J10)=1,
  IF(LEN(INDEX(Roadmap!$D:$K,MATCH($E10,Roadmap!$D:$D,0)-1+COUNTIF($E10:J10,"u")+COUNTIF($E10:J10,"t")+COUNTIF($E10:J10,"¶")+COUNTIF($E10:J10,"²")+COUNTIF($E10:J10,"µ")+COUNTIF($E10:J10,1),ColDescriptionCourte))&gt;1,
HYPERLINK("#Roadmap!C"&amp; MATCH($E10,Roadmap!$D:$D,0)+COUNTIF($E10:J10,"u")+COUNTIF($E10:J10,"t")+COUNTIF($E10:J10,"¶")+COUNTIF($E10:J10,"²")+COUNTIF($E10:J10,"µ")+COUNTIF($E10:J10,1)-1,INDEX(Roadmap!$D:$K,MATCH($E10,Roadmap!$D:$D,0)-1+COUNTIF($E10:J10,"u")+COUNTIF($E10:J10,"t")+COUNTIF($E10:J10,"¶")+COUNTIF($E10:J10,"²")+COUNTIF($E10:J10,"µ")+COUNTIF($E10:J10,1),ColDescriptionCourte)),""),
  "")),"")</f>
        <v/>
      </c>
      <c r="L10" s="39" t="str">
        <f ca="1">IFERROR(IF(AND(
  INDEX(Roadmap!$D:$K,MATCH($E10,Roadmap!$D:$D,0)+COUNTIF($E10:K10,"u")+COUNTIF($E10:K10,"t")+COUNTIF($E10:K10,"¶")+COUNTIF($E10:K10,"²")+COUNTIF($E10:K10,"µ")+COUNTIF($E10:K10,1),ColLivraison)=L$6,
  VLOOKUP($E10,INDIRECT("tri!"&amp; CHAR(64+ C0Col) &amp;":"&amp; CHAR(65+C0Col)),2,FALSE)&gt;COUNTIF($E10:K10,"u")+COUNTIF($E10:K10,"t")+COUNTIF($E10:K10,"¶")+COUNTIF($E10:K10,"²")+COUNTIF($E10:K10,"µ")+COUNTIF($E10:K10,1)),
HYPERLINK("#Roadmap!C"&amp; MATCH($E10,Roadmap!$D:$D,0)+COUNTIF($E10:K10,"u")+COUNTIF($E10:K10,"t"),
     INDEX(Roadmap!$D:$K,MATCH($E10,Roadmap!$D:$D,0)+COUNTIF($E10:K10,"u")+COUNTIF($E10:K10,"t")+COUNTIF($E10:K10,"¶")+COUNTIF($E10:K10,"²")+COUNTIF($E10:K10,"µ")+COUNTIF($E10:K10,1),ColTypeEcheance)),
  IF(LEN(K10)=1,
  IF(LEN(INDEX(Roadmap!$D:$K,MATCH($E10,Roadmap!$D:$D,0)-1+COUNTIF($E10:K10,"u")+COUNTIF($E10:K10,"t")+COUNTIF($E10:K10,"¶")+COUNTIF($E10:K10,"²")+COUNTIF($E10:K10,"µ")+COUNTIF($E10:K10,1),ColDescriptionCourte))&gt;1,
HYPERLINK("#Roadmap!C"&amp; MATCH($E10,Roadmap!$D:$D,0)+COUNTIF($E10:K10,"u")+COUNTIF($E10:K10,"t")+COUNTIF($E10:K10,"¶")+COUNTIF($E10:K10,"²")+COUNTIF($E10:K10,"µ")+COUNTIF($E10:K10,1)-1,INDEX(Roadmap!$D:$K,MATCH($E10,Roadmap!$D:$D,0)-1+COUNTIF($E10:K10,"u")+COUNTIF($E10:K10,"t")+COUNTIF($E10:K10,"¶")+COUNTIF($E10:K10,"²")+COUNTIF($E10:K10,"µ")+COUNTIF($E10:K10,1),ColDescriptionCourte)),""),
  "")),"")</f>
        <v/>
      </c>
      <c r="M10" s="40" t="str">
        <f ca="1">IFERROR(IF(AND(
  INDEX(Roadmap!$D:$K,MATCH($E10,Roadmap!$D:$D,0)+COUNTIF($E10:L10,"u")+COUNTIF($E10:L10,"t")+COUNTIF($E10:L10,"¶")+COUNTIF($E10:L10,"²")+COUNTIF($E10:L10,"µ")+COUNTIF($E10:L10,1),ColLivraison)=M$6,
  VLOOKUP($E10,INDIRECT("tri!"&amp; CHAR(64+ C0Col) &amp;":"&amp; CHAR(65+C0Col)),2,FALSE)&gt;COUNTIF($E10:L10,"u")+COUNTIF($E10:L10,"t")+COUNTIF($E10:L10,"¶")+COUNTIF($E10:L10,"²")+COUNTIF($E10:L10,"µ")+COUNTIF($E10:L10,1)),
HYPERLINK("#Roadmap!C"&amp; MATCH($E10,Roadmap!$D:$D,0)+COUNTIF($E10:L10,"u")+COUNTIF($E10:L10,"t"),
     INDEX(Roadmap!$D:$K,MATCH($E10,Roadmap!$D:$D,0)+COUNTIF($E10:L10,"u")+COUNTIF($E10:L10,"t")+COUNTIF($E10:L10,"¶")+COUNTIF($E10:L10,"²")+COUNTIF($E10:L10,"µ")+COUNTIF($E10:L10,1),ColTypeEcheance)),
  IF(LEN(L10)=1,
  IF(LEN(INDEX(Roadmap!$D:$K,MATCH($E10,Roadmap!$D:$D,0)-1+COUNTIF($E10:L10,"u")+COUNTIF($E10:L10,"t")+COUNTIF($E10:L10,"¶")+COUNTIF($E10:L10,"²")+COUNTIF($E10:L10,"µ")+COUNTIF($E10:L10,1),ColDescriptionCourte))&gt;1,
HYPERLINK("#Roadmap!C"&amp; MATCH($E10,Roadmap!$D:$D,0)+COUNTIF($E10:L10,"u")+COUNTIF($E10:L10,"t")+COUNTIF($E10:L10,"¶")+COUNTIF($E10:L10,"²")+COUNTIF($E10:L10,"µ")+COUNTIF($E10:L10,1)-1,INDEX(Roadmap!$D:$K,MATCH($E10,Roadmap!$D:$D,0)-1+COUNTIF($E10:L10,"u")+COUNTIF($E10:L10,"t")+COUNTIF($E10:L10,"¶")+COUNTIF($E10:L10,"²")+COUNTIF($E10:L10,"µ")+COUNTIF($E10:L10,1),ColDescriptionCourte)),""),
  "")),"")</f>
        <v/>
      </c>
      <c r="N10" s="40" t="str">
        <f ca="1">IFERROR(IF(AND(
  INDEX(Roadmap!$D:$K,MATCH($E10,Roadmap!$D:$D,0)+COUNTIF($E10:M10,"u")+COUNTIF($E10:M10,"t")+COUNTIF($E10:M10,"¶")+COUNTIF($E10:M10,"²")+COUNTIF($E10:M10,"µ")+COUNTIF($E10:M10,1),ColLivraison)=N$6,
  VLOOKUP($E10,INDIRECT("tri!"&amp; CHAR(64+ C0Col) &amp;":"&amp; CHAR(65+C0Col)),2,FALSE)&gt;COUNTIF($E10:M10,"u")+COUNTIF($E10:M10,"t")+COUNTIF($E10:M10,"¶")+COUNTIF($E10:M10,"²")+COUNTIF($E10:M10,"µ")+COUNTIF($E10:M10,1)),
HYPERLINK("#Roadmap!C"&amp; MATCH($E10,Roadmap!$D:$D,0)+COUNTIF($E10:M10,"u")+COUNTIF($E10:M10,"t"),
     INDEX(Roadmap!$D:$K,MATCH($E10,Roadmap!$D:$D,0)+COUNTIF($E10:M10,"u")+COUNTIF($E10:M10,"t")+COUNTIF($E10:M10,"¶")+COUNTIF($E10:M10,"²")+COUNTIF($E10:M10,"µ")+COUNTIF($E10:M10,1),ColTypeEcheance)),
  IF(LEN(M10)=1,
  IF(LEN(INDEX(Roadmap!$D:$K,MATCH($E10,Roadmap!$D:$D,0)-1+COUNTIF($E10:M10,"u")+COUNTIF($E10:M10,"t")+COUNTIF($E10:M10,"¶")+COUNTIF($E10:M10,"²")+COUNTIF($E10:M10,"µ")+COUNTIF($E10:M10,1),ColDescriptionCourte))&gt;1,
HYPERLINK("#Roadmap!C"&amp; MATCH($E10,Roadmap!$D:$D,0)+COUNTIF($E10:M10,"u")+COUNTIF($E10:M10,"t")+COUNTIF($E10:M10,"¶")+COUNTIF($E10:M10,"²")+COUNTIF($E10:M10,"µ")+COUNTIF($E10:M10,1)-1,INDEX(Roadmap!$D:$K,MATCH($E10,Roadmap!$D:$D,0)-1+COUNTIF($E10:M10,"u")+COUNTIF($E10:M10,"t")+COUNTIF($E10:M10,"¶")+COUNTIF($E10:M10,"²")+COUNTIF($E10:M10,"µ")+COUNTIF($E10:M10,1),ColDescriptionCourte)),""),
  "")),"")</f>
        <v/>
      </c>
      <c r="O10" s="40" t="str">
        <f ca="1">IFERROR(IF(AND(
  INDEX(Roadmap!$D:$K,MATCH($E10,Roadmap!$D:$D,0)+COUNTIF($E10:N10,"u")+COUNTIF($E10:N10,"t")+COUNTIF($E10:N10,"¶")+COUNTIF($E10:N10,"²")+COUNTIF($E10:N10,"µ")+COUNTIF($E10:N10,1),ColLivraison)=O$6,
  VLOOKUP($E10,INDIRECT("tri!"&amp; CHAR(64+ C0Col) &amp;":"&amp; CHAR(65+C0Col)),2,FALSE)&gt;COUNTIF($E10:N10,"u")+COUNTIF($E10:N10,"t")+COUNTIF($E10:N10,"¶")+COUNTIF($E10:N10,"²")+COUNTIF($E10:N10,"µ")+COUNTIF($E10:N10,1)),
HYPERLINK("#Roadmap!C"&amp; MATCH($E10,Roadmap!$D:$D,0)+COUNTIF($E10:N10,"u")+COUNTIF($E10:N10,"t"),
     INDEX(Roadmap!$D:$K,MATCH($E10,Roadmap!$D:$D,0)+COUNTIF($E10:N10,"u")+COUNTIF($E10:N10,"t")+COUNTIF($E10:N10,"¶")+COUNTIF($E10:N10,"²")+COUNTIF($E10:N10,"µ")+COUNTIF($E10:N10,1),ColTypeEcheance)),
  IF(LEN(N10)=1,
  IF(LEN(INDEX(Roadmap!$D:$K,MATCH($E10,Roadmap!$D:$D,0)-1+COUNTIF($E10:N10,"u")+COUNTIF($E10:N10,"t")+COUNTIF($E10:N10,"¶")+COUNTIF($E10:N10,"²")+COUNTIF($E10:N10,"µ")+COUNTIF($E10:N10,1),ColDescriptionCourte))&gt;1,
HYPERLINK("#Roadmap!C"&amp; MATCH($E10,Roadmap!$D:$D,0)+COUNTIF($E10:N10,"u")+COUNTIF($E10:N10,"t")+COUNTIF($E10:N10,"¶")+COUNTIF($E10:N10,"²")+COUNTIF($E10:N10,"µ")+COUNTIF($E10:N10,1)-1,INDEX(Roadmap!$D:$K,MATCH($E10,Roadmap!$D:$D,0)-1+COUNTIF($E10:N10,"u")+COUNTIF($E10:N10,"t")+COUNTIF($E10:N10,"¶")+COUNTIF($E10:N10,"²")+COUNTIF($E10:N10,"µ")+COUNTIF($E10:N10,1),ColDescriptionCourte)),""),
  "")),"")</f>
        <v/>
      </c>
      <c r="P10" s="40" t="str">
        <f ca="1">IFERROR(IF(AND(
  INDEX(Roadmap!$D:$K,MATCH($E10,Roadmap!$D:$D,0)+COUNTIF($E10:O10,"u")+COUNTIF($E10:O10,"t")+COUNTIF($E10:O10,"¶")+COUNTIF($E10:O10,"²")+COUNTIF($E10:O10,"µ")+COUNTIF($E10:O10,1),ColLivraison)=P$6,
  VLOOKUP($E10,INDIRECT("tri!"&amp; CHAR(64+ C0Col) &amp;":"&amp; CHAR(65+C0Col)),2,FALSE)&gt;COUNTIF($E10:O10,"u")+COUNTIF($E10:O10,"t")+COUNTIF($E10:O10,"¶")+COUNTIF($E10:O10,"²")+COUNTIF($E10:O10,"µ")+COUNTIF($E10:O10,1)),
HYPERLINK("#Roadmap!C"&amp; MATCH($E10,Roadmap!$D:$D,0)+COUNTIF($E10:O10,"u")+COUNTIF($E10:O10,"t"),
     INDEX(Roadmap!$D:$K,MATCH($E10,Roadmap!$D:$D,0)+COUNTIF($E10:O10,"u")+COUNTIF($E10:O10,"t")+COUNTIF($E10:O10,"¶")+COUNTIF($E10:O10,"²")+COUNTIF($E10:O10,"µ")+COUNTIF($E10:O10,1),ColTypeEcheance)),
  IF(LEN(O10)=1,
  IF(LEN(INDEX(Roadmap!$D:$K,MATCH($E10,Roadmap!$D:$D,0)-1+COUNTIF($E10:O10,"u")+COUNTIF($E10:O10,"t")+COUNTIF($E10:O10,"¶")+COUNTIF($E10:O10,"²")+COUNTIF($E10:O10,"µ")+COUNTIF($E10:O10,1),ColDescriptionCourte))&gt;1,
HYPERLINK("#Roadmap!C"&amp; MATCH($E10,Roadmap!$D:$D,0)+COUNTIF($E10:O10,"u")+COUNTIF($E10:O10,"t")+COUNTIF($E10:O10,"¶")+COUNTIF($E10:O10,"²")+COUNTIF($E10:O10,"µ")+COUNTIF($E10:O10,1)-1,INDEX(Roadmap!$D:$K,MATCH($E10,Roadmap!$D:$D,0)-1+COUNTIF($E10:O10,"u")+COUNTIF($E10:O10,"t")+COUNTIF($E10:O10,"¶")+COUNTIF($E10:O10,"²")+COUNTIF($E10:O10,"µ")+COUNTIF($E10:O10,1),ColDescriptionCourte)),""),
  "")),"")</f>
        <v/>
      </c>
      <c r="Q10" s="40" t="str">
        <f ca="1">IFERROR(IF(AND(
  INDEX(Roadmap!$D:$K,MATCH($E10,Roadmap!$D:$D,0)+COUNTIF($E10:P10,"u")+COUNTIF($E10:P10,"t")+COUNTIF($E10:P10,"¶")+COUNTIF($E10:P10,"²")+COUNTIF($E10:P10,"µ")+COUNTIF($E10:P10,1),ColLivraison)=Q$6,
  VLOOKUP($E10,INDIRECT("tri!"&amp; CHAR(64+ C0Col) &amp;":"&amp; CHAR(65+C0Col)),2,FALSE)&gt;COUNTIF($E10:P10,"u")+COUNTIF($E10:P10,"t")+COUNTIF($E10:P10,"¶")+COUNTIF($E10:P10,"²")+COUNTIF($E10:P10,"µ")+COUNTIF($E10:P10,1)),
HYPERLINK("#Roadmap!C"&amp; MATCH($E10,Roadmap!$D:$D,0)+COUNTIF($E10:P10,"u")+COUNTIF($E10:P10,"t"),
     INDEX(Roadmap!$D:$K,MATCH($E10,Roadmap!$D:$D,0)+COUNTIF($E10:P10,"u")+COUNTIF($E10:P10,"t")+COUNTIF($E10:P10,"¶")+COUNTIF($E10:P10,"²")+COUNTIF($E10:P10,"µ")+COUNTIF($E10:P10,1),ColTypeEcheance)),
  IF(LEN(P10)=1,
  IF(LEN(INDEX(Roadmap!$D:$K,MATCH($E10,Roadmap!$D:$D,0)-1+COUNTIF($E10:P10,"u")+COUNTIF($E10:P10,"t")+COUNTIF($E10:P10,"¶")+COUNTIF($E10:P10,"²")+COUNTIF($E10:P10,"µ")+COUNTIF($E10:P10,1),ColDescriptionCourte))&gt;1,
HYPERLINK("#Roadmap!C"&amp; MATCH($E10,Roadmap!$D:$D,0)+COUNTIF($E10:P10,"u")+COUNTIF($E10:P10,"t")+COUNTIF($E10:P10,"¶")+COUNTIF($E10:P10,"²")+COUNTIF($E10:P10,"µ")+COUNTIF($E10:P10,1)-1,INDEX(Roadmap!$D:$K,MATCH($E10,Roadmap!$D:$D,0)-1+COUNTIF($E10:P10,"u")+COUNTIF($E10:P10,"t")+COUNTIF($E10:P10,"¶")+COUNTIF($E10:P10,"²")+COUNTIF($E10:P10,"µ")+COUNTIF($E10:P10,1),ColDescriptionCourte)),""),
  "")),"")</f>
        <v/>
      </c>
      <c r="R10" s="40" t="str">
        <f ca="1">IFERROR(IF(AND(
  INDEX(Roadmap!$D:$K,MATCH($E10,Roadmap!$D:$D,0)+COUNTIF($E10:Q10,"u")+COUNTIF($E10:Q10,"t")+COUNTIF($E10:Q10,"¶")+COUNTIF($E10:Q10,"²")+COUNTIF($E10:Q10,"µ")+COUNTIF($E10:Q10,1),ColLivraison)=R$6,
  VLOOKUP($E10,INDIRECT("tri!"&amp; CHAR(64+ C0Col) &amp;":"&amp; CHAR(65+C0Col)),2,FALSE)&gt;COUNTIF($E10:Q10,"u")+COUNTIF($E10:Q10,"t")+COUNTIF($E10:Q10,"¶")+COUNTIF($E10:Q10,"²")+COUNTIF($E10:Q10,"µ")+COUNTIF($E10:Q10,1)),
HYPERLINK("#Roadmap!C"&amp; MATCH($E10,Roadmap!$D:$D,0)+COUNTIF($E10:Q10,"u")+COUNTIF($E10:Q10,"t"),
     INDEX(Roadmap!$D:$K,MATCH($E10,Roadmap!$D:$D,0)+COUNTIF($E10:Q10,"u")+COUNTIF($E10:Q10,"t")+COUNTIF($E10:Q10,"¶")+COUNTIF($E10:Q10,"²")+COUNTIF($E10:Q10,"µ")+COUNTIF($E10:Q10,1),ColTypeEcheance)),
  IF(LEN(Q10)=1,
  IF(LEN(INDEX(Roadmap!$D:$K,MATCH($E10,Roadmap!$D:$D,0)-1+COUNTIF($E10:Q10,"u")+COUNTIF($E10:Q10,"t")+COUNTIF($E10:Q10,"¶")+COUNTIF($E10:Q10,"²")+COUNTIF($E10:Q10,"µ")+COUNTIF($E10:Q10,1),ColDescriptionCourte))&gt;1,
HYPERLINK("#Roadmap!C"&amp; MATCH($E10,Roadmap!$D:$D,0)+COUNTIF($E10:Q10,"u")+COUNTIF($E10:Q10,"t")+COUNTIF($E10:Q10,"¶")+COUNTIF($E10:Q10,"²")+COUNTIF($E10:Q10,"µ")+COUNTIF($E10:Q10,1)-1,INDEX(Roadmap!$D:$K,MATCH($E10,Roadmap!$D:$D,0)-1+COUNTIF($E10:Q10,"u")+COUNTIF($E10:Q10,"t")+COUNTIF($E10:Q10,"¶")+COUNTIF($E10:Q10,"²")+COUNTIF($E10:Q10,"µ")+COUNTIF($E10:Q10,1),ColDescriptionCourte)),""),
  "")),"")</f>
        <v/>
      </c>
      <c r="S10" s="40" t="str">
        <f ca="1">IFERROR(IF(AND(
  INDEX(Roadmap!$D:$K,MATCH($E10,Roadmap!$D:$D,0)+COUNTIF($E10:R10,"u")+COUNTIF($E10:R10,"t")+COUNTIF($E10:R10,"¶")+COUNTIF($E10:R10,"²")+COUNTIF($E10:R10,"µ")+COUNTIF($E10:R10,1),ColLivraison)=S$6,
  VLOOKUP($E10,INDIRECT("tri!"&amp; CHAR(64+ C0Col) &amp;":"&amp; CHAR(65+C0Col)),2,FALSE)&gt;COUNTIF($E10:R10,"u")+COUNTIF($E10:R10,"t")+COUNTIF($E10:R10,"¶")+COUNTIF($E10:R10,"²")+COUNTIF($E10:R10,"µ")+COUNTIF($E10:R10,1)),
HYPERLINK("#Roadmap!C"&amp; MATCH($E10,Roadmap!$D:$D,0)+COUNTIF($E10:R10,"u")+COUNTIF($E10:R10,"t"),
     INDEX(Roadmap!$D:$K,MATCH($E10,Roadmap!$D:$D,0)+COUNTIF($E10:R10,"u")+COUNTIF($E10:R10,"t")+COUNTIF($E10:R10,"¶")+COUNTIF($E10:R10,"²")+COUNTIF($E10:R10,"µ")+COUNTIF($E10:R10,1),ColTypeEcheance)),
  IF(LEN(R10)=1,
  IF(LEN(INDEX(Roadmap!$D:$K,MATCH($E10,Roadmap!$D:$D,0)-1+COUNTIF($E10:R10,"u")+COUNTIF($E10:R10,"t")+COUNTIF($E10:R10,"¶")+COUNTIF($E10:R10,"²")+COUNTIF($E10:R10,"µ")+COUNTIF($E10:R10,1),ColDescriptionCourte))&gt;1,
HYPERLINK("#Roadmap!C"&amp; MATCH($E10,Roadmap!$D:$D,0)+COUNTIF($E10:R10,"u")+COUNTIF($E10:R10,"t")+COUNTIF($E10:R10,"¶")+COUNTIF($E10:R10,"²")+COUNTIF($E10:R10,"µ")+COUNTIF($E10:R10,1)-1,INDEX(Roadmap!$D:$K,MATCH($E10,Roadmap!$D:$D,0)-1+COUNTIF($E10:R10,"u")+COUNTIF($E10:R10,"t")+COUNTIF($E10:R10,"¶")+COUNTIF($E10:R10,"²")+COUNTIF($E10:R10,"µ")+COUNTIF($E10:R10,1),ColDescriptionCourte)),""),
  "")),"")</f>
        <v/>
      </c>
      <c r="T10" s="40" t="str">
        <f ca="1">IFERROR(IF(AND(
  INDEX(Roadmap!$D:$K,MATCH($E10,Roadmap!$D:$D,0)+COUNTIF($E10:S10,"u")+COUNTIF($E10:S10,"t")+COUNTIF($E10:S10,"¶")+COUNTIF($E10:S10,"²")+COUNTIF($E10:S10,"µ")+COUNTIF($E10:S10,1),ColLivraison)=T$6,
  VLOOKUP($E10,INDIRECT("tri!"&amp; CHAR(64+ C0Col) &amp;":"&amp; CHAR(65+C0Col)),2,FALSE)&gt;COUNTIF($E10:S10,"u")+COUNTIF($E10:S10,"t")+COUNTIF($E10:S10,"¶")+COUNTIF($E10:S10,"²")+COUNTIF($E10:S10,"µ")+COUNTIF($E10:S10,1)),
HYPERLINK("#Roadmap!C"&amp; MATCH($E10,Roadmap!$D:$D,0)+COUNTIF($E10:S10,"u")+COUNTIF($E10:S10,"t"),
     INDEX(Roadmap!$D:$K,MATCH($E10,Roadmap!$D:$D,0)+COUNTIF($E10:S10,"u")+COUNTIF($E10:S10,"t")+COUNTIF($E10:S10,"¶")+COUNTIF($E10:S10,"²")+COUNTIF($E10:S10,"µ")+COUNTIF($E10:S10,1),ColTypeEcheance)),
  IF(LEN(S10)=1,
  IF(LEN(INDEX(Roadmap!$D:$K,MATCH($E10,Roadmap!$D:$D,0)-1+COUNTIF($E10:S10,"u")+COUNTIF($E10:S10,"t")+COUNTIF($E10:S10,"¶")+COUNTIF($E10:S10,"²")+COUNTIF($E10:S10,"µ")+COUNTIF($E10:S10,1),ColDescriptionCourte))&gt;1,
HYPERLINK("#Roadmap!C"&amp; MATCH($E10,Roadmap!$D:$D,0)+COUNTIF($E10:S10,"u")+COUNTIF($E10:S10,"t")+COUNTIF($E10:S10,"¶")+COUNTIF($E10:S10,"²")+COUNTIF($E10:S10,"µ")+COUNTIF($E10:S10,1)-1,INDEX(Roadmap!$D:$K,MATCH($E10,Roadmap!$D:$D,0)-1+COUNTIF($E10:S10,"u")+COUNTIF($E10:S10,"t")+COUNTIF($E10:S10,"¶")+COUNTIF($E10:S10,"²")+COUNTIF($E10:S10,"µ")+COUNTIF($E10:S10,1),ColDescriptionCourte)),""),
  "")),"")</f>
        <v/>
      </c>
      <c r="U10" s="40" t="str">
        <f ca="1">IFERROR(IF(AND(
  INDEX(Roadmap!$D:$K,MATCH($E10,Roadmap!$D:$D,0)+COUNTIF($E10:T10,"u")+COUNTIF($E10:T10,"t")+COUNTIF($E10:T10,"¶")+COUNTIF($E10:T10,"²")+COUNTIF($E10:T10,"µ")+COUNTIF($E10:T10,1),ColLivraison)=U$6,
  VLOOKUP($E10,INDIRECT("tri!"&amp; CHAR(64+ C0Col) &amp;":"&amp; CHAR(65+C0Col)),2,FALSE)&gt;COUNTIF($E10:T10,"u")+COUNTIF($E10:T10,"t")+COUNTIF($E10:T10,"¶")+COUNTIF($E10:T10,"²")+COUNTIF($E10:T10,"µ")+COUNTIF($E10:T10,1)),
HYPERLINK("#Roadmap!C"&amp; MATCH($E10,Roadmap!$D:$D,0)+COUNTIF($E10:T10,"u")+COUNTIF($E10:T10,"t"),
     INDEX(Roadmap!$D:$K,MATCH($E10,Roadmap!$D:$D,0)+COUNTIF($E10:T10,"u")+COUNTIF($E10:T10,"t")+COUNTIF($E10:T10,"¶")+COUNTIF($E10:T10,"²")+COUNTIF($E10:T10,"µ")+COUNTIF($E10:T10,1),ColTypeEcheance)),
  IF(LEN(T10)=1,
  IF(LEN(INDEX(Roadmap!$D:$K,MATCH($E10,Roadmap!$D:$D,0)-1+COUNTIF($E10:T10,"u")+COUNTIF($E10:T10,"t")+COUNTIF($E10:T10,"¶")+COUNTIF($E10:T10,"²")+COUNTIF($E10:T10,"µ")+COUNTIF($E10:T10,1),ColDescriptionCourte))&gt;1,
HYPERLINK("#Roadmap!C"&amp; MATCH($E10,Roadmap!$D:$D,0)+COUNTIF($E10:T10,"u")+COUNTIF($E10:T10,"t")+COUNTIF($E10:T10,"¶")+COUNTIF($E10:T10,"²")+COUNTIF($E10:T10,"µ")+COUNTIF($E10:T10,1)-1,INDEX(Roadmap!$D:$K,MATCH($E10,Roadmap!$D:$D,0)-1+COUNTIF($E10:T10,"u")+COUNTIF($E10:T10,"t")+COUNTIF($E10:T10,"¶")+COUNTIF($E10:T10,"²")+COUNTIF($E10:T10,"µ")+COUNTIF($E10:T10,1),ColDescriptionCourte)),""),
  "")),"")</f>
        <v/>
      </c>
      <c r="V10" s="40" t="str">
        <f ca="1">IFERROR(IF(AND(
  INDEX(Roadmap!$D:$K,MATCH($E10,Roadmap!$D:$D,0)+COUNTIF($E10:U10,"u")+COUNTIF($E10:U10,"t")+COUNTIF($E10:U10,"¶")+COUNTIF($E10:U10,"²")+COUNTIF($E10:U10,"µ")+COUNTIF($E10:U10,1),ColLivraison)=V$6,
  VLOOKUP($E10,INDIRECT("tri!"&amp; CHAR(64+ C0Col) &amp;":"&amp; CHAR(65+C0Col)),2,FALSE)&gt;COUNTIF($E10:U10,"u")+COUNTIF($E10:U10,"t")+COUNTIF($E10:U10,"¶")+COUNTIF($E10:U10,"²")+COUNTIF($E10:U10,"µ")+COUNTIF($E10:U10,1)),
HYPERLINK("#Roadmap!C"&amp; MATCH($E10,Roadmap!$D:$D,0)+COUNTIF($E10:U10,"u")+COUNTIF($E10:U10,"t"),
     INDEX(Roadmap!$D:$K,MATCH($E10,Roadmap!$D:$D,0)+COUNTIF($E10:U10,"u")+COUNTIF($E10:U10,"t")+COUNTIF($E10:U10,"¶")+COUNTIF($E10:U10,"²")+COUNTIF($E10:U10,"µ")+COUNTIF($E10:U10,1),ColTypeEcheance)),
  IF(LEN(U10)=1,
  IF(LEN(INDEX(Roadmap!$D:$K,MATCH($E10,Roadmap!$D:$D,0)-1+COUNTIF($E10:U10,"u")+COUNTIF($E10:U10,"t")+COUNTIF($E10:U10,"¶")+COUNTIF($E10:U10,"²")+COUNTIF($E10:U10,"µ")+COUNTIF($E10:U10,1),ColDescriptionCourte))&gt;1,
HYPERLINK("#Roadmap!C"&amp; MATCH($E10,Roadmap!$D:$D,0)+COUNTIF($E10:U10,"u")+COUNTIF($E10:U10,"t")+COUNTIF($E10:U10,"¶")+COUNTIF($E10:U10,"²")+COUNTIF($E10:U10,"µ")+COUNTIF($E10:U10,1)-1,INDEX(Roadmap!$D:$K,MATCH($E10,Roadmap!$D:$D,0)-1+COUNTIF($E10:U10,"u")+COUNTIF($E10:U10,"t")+COUNTIF($E10:U10,"¶")+COUNTIF($E10:U10,"²")+COUNTIF($E10:U10,"µ")+COUNTIF($E10:U10,1),ColDescriptionCourte)),""),
  "")),"")</f>
        <v/>
      </c>
      <c r="W10" s="40" t="str">
        <f ca="1">IFERROR(IF(AND(
  INDEX(Roadmap!$D:$K,MATCH($E10,Roadmap!$D:$D,0)+COUNTIF($E10:V10,"u")+COUNTIF($E10:V10,"t")+COUNTIF($E10:V10,"¶")+COUNTIF($E10:V10,"²")+COUNTIF($E10:V10,"µ")+COUNTIF($E10:V10,1),ColLivraison)=W$6,
  VLOOKUP($E10,INDIRECT("tri!"&amp; CHAR(64+ C0Col) &amp;":"&amp; CHAR(65+C0Col)),2,FALSE)&gt;COUNTIF($E10:V10,"u")+COUNTIF($E10:V10,"t")+COUNTIF($E10:V10,"¶")+COUNTIF($E10:V10,"²")+COUNTIF($E10:V10,"µ")+COUNTIF($E10:V10,1)),
HYPERLINK("#Roadmap!C"&amp; MATCH($E10,Roadmap!$D:$D,0)+COUNTIF($E10:V10,"u")+COUNTIF($E10:V10,"t"),
     INDEX(Roadmap!$D:$K,MATCH($E10,Roadmap!$D:$D,0)+COUNTIF($E10:V10,"u")+COUNTIF($E10:V10,"t")+COUNTIF($E10:V10,"¶")+COUNTIF($E10:V10,"²")+COUNTIF($E10:V10,"µ")+COUNTIF($E10:V10,1),ColTypeEcheance)),
  IF(LEN(V10)=1,
  IF(LEN(INDEX(Roadmap!$D:$K,MATCH($E10,Roadmap!$D:$D,0)-1+COUNTIF($E10:V10,"u")+COUNTIF($E10:V10,"t")+COUNTIF($E10:V10,"¶")+COUNTIF($E10:V10,"²")+COUNTIF($E10:V10,"µ")+COUNTIF($E10:V10,1),ColDescriptionCourte))&gt;1,
HYPERLINK("#Roadmap!C"&amp; MATCH($E10,Roadmap!$D:$D,0)+COUNTIF($E10:V10,"u")+COUNTIF($E10:V10,"t")+COUNTIF($E10:V10,"¶")+COUNTIF($E10:V10,"²")+COUNTIF($E10:V10,"µ")+COUNTIF($E10:V10,1)-1,INDEX(Roadmap!$D:$K,MATCH($E10,Roadmap!$D:$D,0)-1+COUNTIF($E10:V10,"u")+COUNTIF($E10:V10,"t")+COUNTIF($E10:V10,"¶")+COUNTIF($E10:V10,"²")+COUNTIF($E10:V10,"µ")+COUNTIF($E10:V10,1),ColDescriptionCourte)),""),
  "")),"")</f>
        <v/>
      </c>
      <c r="X10" s="40" t="str">
        <f ca="1">IFERROR(IF(AND(
  INDEX(Roadmap!$D:$K,MATCH($E10,Roadmap!$D:$D,0)+COUNTIF($E10:W10,"u")+COUNTIF($E10:W10,"t")+COUNTIF($E10:W10,"¶")+COUNTIF($E10:W10,"²")+COUNTIF($E10:W10,"µ")+COUNTIF($E10:W10,1),ColLivraison)=X$6,
  VLOOKUP($E10,INDIRECT("tri!"&amp; CHAR(64+ C0Col) &amp;":"&amp; CHAR(65+C0Col)),2,FALSE)&gt;COUNTIF($E10:W10,"u")+COUNTIF($E10:W10,"t")+COUNTIF($E10:W10,"¶")+COUNTIF($E10:W10,"²")+COUNTIF($E10:W10,"µ")+COUNTIF($E10:W10,1)),
HYPERLINK("#Roadmap!C"&amp; MATCH($E10,Roadmap!$D:$D,0)+COUNTIF($E10:W10,"u")+COUNTIF($E10:W10,"t"),
     INDEX(Roadmap!$D:$K,MATCH($E10,Roadmap!$D:$D,0)+COUNTIF($E10:W10,"u")+COUNTIF($E10:W10,"t")+COUNTIF($E10:W10,"¶")+COUNTIF($E10:W10,"²")+COUNTIF($E10:W10,"µ")+COUNTIF($E10:W10,1),ColTypeEcheance)),
  IF(LEN(W10)=1,
  IF(LEN(INDEX(Roadmap!$D:$K,MATCH($E10,Roadmap!$D:$D,0)-1+COUNTIF($E10:W10,"u")+COUNTIF($E10:W10,"t")+COUNTIF($E10:W10,"¶")+COUNTIF($E10:W10,"²")+COUNTIF($E10:W10,"µ")+COUNTIF($E10:W10,1),ColDescriptionCourte))&gt;1,
HYPERLINK("#Roadmap!C"&amp; MATCH($E10,Roadmap!$D:$D,0)+COUNTIF($E10:W10,"u")+COUNTIF($E10:W10,"t")+COUNTIF($E10:W10,"¶")+COUNTIF($E10:W10,"²")+COUNTIF($E10:W10,"µ")+COUNTIF($E10:W10,1)-1,INDEX(Roadmap!$D:$K,MATCH($E10,Roadmap!$D:$D,0)-1+COUNTIF($E10:W10,"u")+COUNTIF($E10:W10,"t")+COUNTIF($E10:W10,"¶")+COUNTIF($E10:W10,"²")+COUNTIF($E10:W10,"µ")+COUNTIF($E10:W10,1),ColDescriptionCourte)),""),
  "")),"")</f>
        <v/>
      </c>
      <c r="Y10" s="40" t="str">
        <f ca="1">IFERROR(IF(AND(
  INDEX(Roadmap!$D:$K,MATCH($E10,Roadmap!$D:$D,0)+COUNTIF($E10:X10,"u")+COUNTIF($E10:X10,"t")+COUNTIF($E10:X10,"¶")+COUNTIF($E10:X10,"²")+COUNTIF($E10:X10,"µ")+COUNTIF($E10:X10,1),ColLivraison)=Y$6,
  VLOOKUP($E10,INDIRECT("tri!"&amp; CHAR(64+ C0Col) &amp;":"&amp; CHAR(65+C0Col)),2,FALSE)&gt;COUNTIF($E10:X10,"u")+COUNTIF($E10:X10,"t")+COUNTIF($E10:X10,"¶")+COUNTIF($E10:X10,"²")+COUNTIF($E10:X10,"µ")+COUNTIF($E10:X10,1)),
HYPERLINK("#Roadmap!C"&amp; MATCH($E10,Roadmap!$D:$D,0)+COUNTIF($E10:X10,"u")+COUNTIF($E10:X10,"t"),
     INDEX(Roadmap!$D:$K,MATCH($E10,Roadmap!$D:$D,0)+COUNTIF($E10:X10,"u")+COUNTIF($E10:X10,"t")+COUNTIF($E10:X10,"¶")+COUNTIF($E10:X10,"²")+COUNTIF($E10:X10,"µ")+COUNTIF($E10:X10,1),ColTypeEcheance)),
  IF(LEN(X10)=1,
  IF(LEN(INDEX(Roadmap!$D:$K,MATCH($E10,Roadmap!$D:$D,0)-1+COUNTIF($E10:X10,"u")+COUNTIF($E10:X10,"t")+COUNTIF($E10:X10,"¶")+COUNTIF($E10:X10,"²")+COUNTIF($E10:X10,"µ")+COUNTIF($E10:X10,1),ColDescriptionCourte))&gt;1,
HYPERLINK("#Roadmap!C"&amp; MATCH($E10,Roadmap!$D:$D,0)+COUNTIF($E10:X10,"u")+COUNTIF($E10:X10,"t")+COUNTIF($E10:X10,"¶")+COUNTIF($E10:X10,"²")+COUNTIF($E10:X10,"µ")+COUNTIF($E10:X10,1)-1,INDEX(Roadmap!$D:$K,MATCH($E10,Roadmap!$D:$D,0)-1+COUNTIF($E10:X10,"u")+COUNTIF($E10:X10,"t")+COUNTIF($E10:X10,"¶")+COUNTIF($E10:X10,"²")+COUNTIF($E10:X10,"µ")+COUNTIF($E10:X10,1),ColDescriptionCourte)),""),
  "")),"")</f>
        <v/>
      </c>
      <c r="Z10" s="40" t="str">
        <f ca="1">IFERROR(IF(AND(
  INDEX(Roadmap!$D:$K,MATCH($E10,Roadmap!$D:$D,0)+COUNTIF($E10:Y10,"u")+COUNTIF($E10:Y10,"t")+COUNTIF($E10:Y10,"¶")+COUNTIF($E10:Y10,"²")+COUNTIF($E10:Y10,"µ")+COUNTIF($E10:Y10,1),ColLivraison)=Z$6,
  VLOOKUP($E10,INDIRECT("tri!"&amp; CHAR(64+ C0Col) &amp;":"&amp; CHAR(65+C0Col)),2,FALSE)&gt;COUNTIF($E10:Y10,"u")+COUNTIF($E10:Y10,"t")+COUNTIF($E10:Y10,"¶")+COUNTIF($E10:Y10,"²")+COUNTIF($E10:Y10,"µ")+COUNTIF($E10:Y10,1)),
HYPERLINK("#Roadmap!C"&amp; MATCH($E10,Roadmap!$D:$D,0)+COUNTIF($E10:Y10,"u")+COUNTIF($E10:Y10,"t"),
     INDEX(Roadmap!$D:$K,MATCH($E10,Roadmap!$D:$D,0)+COUNTIF($E10:Y10,"u")+COUNTIF($E10:Y10,"t")+COUNTIF($E10:Y10,"¶")+COUNTIF($E10:Y10,"²")+COUNTIF($E10:Y10,"µ")+COUNTIF($E10:Y10,1),ColTypeEcheance)),
  IF(LEN(Y10)=1,
  IF(LEN(INDEX(Roadmap!$D:$K,MATCH($E10,Roadmap!$D:$D,0)-1+COUNTIF($E10:Y10,"u")+COUNTIF($E10:Y10,"t")+COUNTIF($E10:Y10,"¶")+COUNTIF($E10:Y10,"²")+COUNTIF($E10:Y10,"µ")+COUNTIF($E10:Y10,1),ColDescriptionCourte))&gt;1,
HYPERLINK("#Roadmap!C"&amp; MATCH($E10,Roadmap!$D:$D,0)+COUNTIF($E10:Y10,"u")+COUNTIF($E10:Y10,"t")+COUNTIF($E10:Y10,"¶")+COUNTIF($E10:Y10,"²")+COUNTIF($E10:Y10,"µ")+COUNTIF($E10:Y10,1)-1,INDEX(Roadmap!$D:$K,MATCH($E10,Roadmap!$D:$D,0)-1+COUNTIF($E10:Y10,"u")+COUNTIF($E10:Y10,"t")+COUNTIF($E10:Y10,"¶")+COUNTIF($E10:Y10,"²")+COUNTIF($E10:Y10,"µ")+COUNTIF($E10:Y10,1),ColDescriptionCourte)),""),
  "")),"")</f>
        <v/>
      </c>
      <c r="AA10" s="40" t="str">
        <f ca="1">IFERROR(IF(AND(
  INDEX(Roadmap!$D:$K,MATCH($E10,Roadmap!$D:$D,0)+COUNTIF($E10:Z10,"u")+COUNTIF($E10:Z10,"t")+COUNTIF($E10:Z10,"¶")+COUNTIF($E10:Z10,"²")+COUNTIF($E10:Z10,"µ")+COUNTIF($E10:Z10,1),ColLivraison)=AA$6,
  VLOOKUP($E10,INDIRECT("tri!"&amp; CHAR(64+ C0Col) &amp;":"&amp; CHAR(65+C0Col)),2,FALSE)&gt;COUNTIF($E10:Z10,"u")+COUNTIF($E10:Z10,"t")+COUNTIF($E10:Z10,"¶")+COUNTIF($E10:Z10,"²")+COUNTIF($E10:Z10,"µ")+COUNTIF($E10:Z10,1)),
HYPERLINK("#Roadmap!C"&amp; MATCH($E10,Roadmap!$D:$D,0)+COUNTIF($E10:Z10,"u")+COUNTIF($E10:Z10,"t"),
     INDEX(Roadmap!$D:$K,MATCH($E10,Roadmap!$D:$D,0)+COUNTIF($E10:Z10,"u")+COUNTIF($E10:Z10,"t")+COUNTIF($E10:Z10,"¶")+COUNTIF($E10:Z10,"²")+COUNTIF($E10:Z10,"µ")+COUNTIF($E10:Z10,1),ColTypeEcheance)),
  IF(LEN(Z10)=1,
  IF(LEN(INDEX(Roadmap!$D:$K,MATCH($E10,Roadmap!$D:$D,0)-1+COUNTIF($E10:Z10,"u")+COUNTIF($E10:Z10,"t")+COUNTIF($E10:Z10,"¶")+COUNTIF($E10:Z10,"²")+COUNTIF($E10:Z10,"µ")+COUNTIF($E10:Z10,1),ColDescriptionCourte))&gt;1,
HYPERLINK("#Roadmap!C"&amp; MATCH($E10,Roadmap!$D:$D,0)+COUNTIF($E10:Z10,"u")+COUNTIF($E10:Z10,"t")+COUNTIF($E10:Z10,"¶")+COUNTIF($E10:Z10,"²")+COUNTIF($E10:Z10,"µ")+COUNTIF($E10:Z10,1)-1,INDEX(Roadmap!$D:$K,MATCH($E10,Roadmap!$D:$D,0)-1+COUNTIF($E10:Z10,"u")+COUNTIF($E10:Z10,"t")+COUNTIF($E10:Z10,"¶")+COUNTIF($E10:Z10,"²")+COUNTIF($E10:Z10,"µ")+COUNTIF($E10:Z10,1),ColDescriptionCourte)),""),
  "")),"")</f>
        <v/>
      </c>
      <c r="AB10" s="40" t="str">
        <f ca="1">IFERROR(IF(AND(
  INDEX(Roadmap!$D:$K,MATCH($E10,Roadmap!$D:$D,0)+COUNTIF($E10:AA10,"u")+COUNTIF($E10:AA10,"t")+COUNTIF($E10:AA10,"¶")+COUNTIF($E10:AA10,"²")+COUNTIF($E10:AA10,"µ")+COUNTIF($E10:AA10,1),ColLivraison)=AB$6,
  VLOOKUP($E10,INDIRECT("tri!"&amp; CHAR(64+ C0Col) &amp;":"&amp; CHAR(65+C0Col)),2,FALSE)&gt;COUNTIF($E10:AA10,"u")+COUNTIF($E10:AA10,"t")+COUNTIF($E10:AA10,"¶")+COUNTIF($E10:AA10,"²")+COUNTIF($E10:AA10,"µ")+COUNTIF($E10:AA10,1)),
HYPERLINK("#Roadmap!C"&amp; MATCH($E10,Roadmap!$D:$D,0)+COUNTIF($E10:AA10,"u")+COUNTIF($E10:AA10,"t"),
     INDEX(Roadmap!$D:$K,MATCH($E10,Roadmap!$D:$D,0)+COUNTIF($E10:AA10,"u")+COUNTIF($E10:AA10,"t")+COUNTIF($E10:AA10,"¶")+COUNTIF($E10:AA10,"²")+COUNTIF($E10:AA10,"µ")+COUNTIF($E10:AA10,1),ColTypeEcheance)),
  IF(LEN(AA10)=1,
  IF(LEN(INDEX(Roadmap!$D:$K,MATCH($E10,Roadmap!$D:$D,0)-1+COUNTIF($E10:AA10,"u")+COUNTIF($E10:AA10,"t")+COUNTIF($E10:AA10,"¶")+COUNTIF($E10:AA10,"²")+COUNTIF($E10:AA10,"µ")+COUNTIF($E10:AA10,1),ColDescriptionCourte))&gt;1,
HYPERLINK("#Roadmap!C"&amp; MATCH($E10,Roadmap!$D:$D,0)+COUNTIF($E10:AA10,"u")+COUNTIF($E10:AA10,"t")+COUNTIF($E10:AA10,"¶")+COUNTIF($E10:AA10,"²")+COUNTIF($E10:AA10,"µ")+COUNTIF($E10:AA10,1)-1,INDEX(Roadmap!$D:$K,MATCH($E10,Roadmap!$D:$D,0)-1+COUNTIF($E10:AA10,"u")+COUNTIF($E10:AA10,"t")+COUNTIF($E10:AA10,"¶")+COUNTIF($E10:AA10,"²")+COUNTIF($E10:AA10,"µ")+COUNTIF($E10:AA10,1),ColDescriptionCourte)),""),
  "")),"")</f>
        <v/>
      </c>
      <c r="AC10" s="40" t="str">
        <f ca="1">IFERROR(IF(AND(
  INDEX(Roadmap!$D:$K,MATCH($E10,Roadmap!$D:$D,0)+COUNTIF($E10:AB10,"u")+COUNTIF($E10:AB10,"t")+COUNTIF($E10:AB10,"¶")+COUNTIF($E10:AB10,"²")+COUNTIF($E10:AB10,"µ")+COUNTIF($E10:AB10,1),ColLivraison)=AC$6,
  VLOOKUP($E10,INDIRECT("tri!"&amp; CHAR(64+ C0Col) &amp;":"&amp; CHAR(65+C0Col)),2,FALSE)&gt;COUNTIF($E10:AB10,"u")+COUNTIF($E10:AB10,"t")+COUNTIF($E10:AB10,"¶")+COUNTIF($E10:AB10,"²")+COUNTIF($E10:AB10,"µ")+COUNTIF($E10:AB10,1)),
HYPERLINK("#Roadmap!C"&amp; MATCH($E10,Roadmap!$D:$D,0)+COUNTIF($E10:AB10,"u")+COUNTIF($E10:AB10,"t"),
     INDEX(Roadmap!$D:$K,MATCH($E10,Roadmap!$D:$D,0)+COUNTIF($E10:AB10,"u")+COUNTIF($E10:AB10,"t")+COUNTIF($E10:AB10,"¶")+COUNTIF($E10:AB10,"²")+COUNTIF($E10:AB10,"µ")+COUNTIF($E10:AB10,1),ColTypeEcheance)),
  IF(LEN(AB10)=1,
  IF(LEN(INDEX(Roadmap!$D:$K,MATCH($E10,Roadmap!$D:$D,0)-1+COUNTIF($E10:AB10,"u")+COUNTIF($E10:AB10,"t")+COUNTIF($E10:AB10,"¶")+COUNTIF($E10:AB10,"²")+COUNTIF($E10:AB10,"µ")+COUNTIF($E10:AB10,1),ColDescriptionCourte))&gt;1,
HYPERLINK("#Roadmap!C"&amp; MATCH($E10,Roadmap!$D:$D,0)+COUNTIF($E10:AB10,"u")+COUNTIF($E10:AB10,"t")+COUNTIF($E10:AB10,"¶")+COUNTIF($E10:AB10,"²")+COUNTIF($E10:AB10,"µ")+COUNTIF($E10:AB10,1)-1,INDEX(Roadmap!$D:$K,MATCH($E10,Roadmap!$D:$D,0)-1+COUNTIF($E10:AB10,"u")+COUNTIF($E10:AB10,"t")+COUNTIF($E10:AB10,"¶")+COUNTIF($E10:AB10,"²")+COUNTIF($E10:AB10,"µ")+COUNTIF($E10:AB10,1),ColDescriptionCourte)),""),
  "")),"")</f>
        <v/>
      </c>
      <c r="AD10" s="40" t="str">
        <f ca="1">IFERROR(IF(AND(
  INDEX(Roadmap!$D:$K,MATCH($E10,Roadmap!$D:$D,0)+COUNTIF($E10:AC10,"u")+COUNTIF($E10:AC10,"t")+COUNTIF($E10:AC10,"¶")+COUNTIF($E10:AC10,"²")+COUNTIF($E10:AC10,"µ")+COUNTIF($E10:AC10,1),ColLivraison)=AD$6,
  VLOOKUP($E10,INDIRECT("tri!"&amp; CHAR(64+ C0Col) &amp;":"&amp; CHAR(65+C0Col)),2,FALSE)&gt;COUNTIF($E10:AC10,"u")+COUNTIF($E10:AC10,"t")+COUNTIF($E10:AC10,"¶")+COUNTIF($E10:AC10,"²")+COUNTIF($E10:AC10,"µ")+COUNTIF($E10:AC10,1)),
HYPERLINK("#Roadmap!C"&amp; MATCH($E10,Roadmap!$D:$D,0)+COUNTIF($E10:AC10,"u")+COUNTIF($E10:AC10,"t"),
     INDEX(Roadmap!$D:$K,MATCH($E10,Roadmap!$D:$D,0)+COUNTIF($E10:AC10,"u")+COUNTIF($E10:AC10,"t")+COUNTIF($E10:AC10,"¶")+COUNTIF($E10:AC10,"²")+COUNTIF($E10:AC10,"µ")+COUNTIF($E10:AC10,1),ColTypeEcheance)),
  IF(LEN(AC10)=1,
  IF(LEN(INDEX(Roadmap!$D:$K,MATCH($E10,Roadmap!$D:$D,0)-1+COUNTIF($E10:AC10,"u")+COUNTIF($E10:AC10,"t")+COUNTIF($E10:AC10,"¶")+COUNTIF($E10:AC10,"²")+COUNTIF($E10:AC10,"µ")+COUNTIF($E10:AC10,1),ColDescriptionCourte))&gt;1,
HYPERLINK("#Roadmap!C"&amp; MATCH($E10,Roadmap!$D:$D,0)+COUNTIF($E10:AC10,"u")+COUNTIF($E10:AC10,"t")+COUNTIF($E10:AC10,"¶")+COUNTIF($E10:AC10,"²")+COUNTIF($E10:AC10,"µ")+COUNTIF($E10:AC10,1)-1,INDEX(Roadmap!$D:$K,MATCH($E10,Roadmap!$D:$D,0)-1+COUNTIF($E10:AC10,"u")+COUNTIF($E10:AC10,"t")+COUNTIF($E10:AC10,"¶")+COUNTIF($E10:AC10,"²")+COUNTIF($E10:AC10,"µ")+COUNTIF($E10:AC10,1),ColDescriptionCourte)),""),
  "")),"")</f>
        <v/>
      </c>
      <c r="AE10" s="40" t="str">
        <f ca="1">IFERROR(IF(AND(
  INDEX(Roadmap!$D:$K,MATCH($E10,Roadmap!$D:$D,0)+COUNTIF($E10:AD10,"u")+COUNTIF($E10:AD10,"t")+COUNTIF($E10:AD10,"¶")+COUNTIF($E10:AD10,"²")+COUNTIF($E10:AD10,"µ")+COUNTIF($E10:AD10,1),ColLivraison)=AE$6,
  VLOOKUP($E10,INDIRECT("tri!"&amp; CHAR(64+ C0Col) &amp;":"&amp; CHAR(65+C0Col)),2,FALSE)&gt;COUNTIF($E10:AD10,"u")+COUNTIF($E10:AD10,"t")+COUNTIF($E10:AD10,"¶")+COUNTIF($E10:AD10,"²")+COUNTIF($E10:AD10,"µ")+COUNTIF($E10:AD10,1)),
HYPERLINK("#Roadmap!C"&amp; MATCH($E10,Roadmap!$D:$D,0)+COUNTIF($E10:AD10,"u")+COUNTIF($E10:AD10,"t"),
     INDEX(Roadmap!$D:$K,MATCH($E10,Roadmap!$D:$D,0)+COUNTIF($E10:AD10,"u")+COUNTIF($E10:AD10,"t")+COUNTIF($E10:AD10,"¶")+COUNTIF($E10:AD10,"²")+COUNTIF($E10:AD10,"µ")+COUNTIF($E10:AD10,1),ColTypeEcheance)),
  IF(LEN(AD10)=1,
  IF(LEN(INDEX(Roadmap!$D:$K,MATCH($E10,Roadmap!$D:$D,0)-1+COUNTIF($E10:AD10,"u")+COUNTIF($E10:AD10,"t")+COUNTIF($E10:AD10,"¶")+COUNTIF($E10:AD10,"²")+COUNTIF($E10:AD10,"µ")+COUNTIF($E10:AD10,1),ColDescriptionCourte))&gt;1,
HYPERLINK("#Roadmap!C"&amp; MATCH($E10,Roadmap!$D:$D,0)+COUNTIF($E10:AD10,"u")+COUNTIF($E10:AD10,"t")+COUNTIF($E10:AD10,"¶")+COUNTIF($E10:AD10,"²")+COUNTIF($E10:AD10,"µ")+COUNTIF($E10:AD10,1)-1,INDEX(Roadmap!$D:$K,MATCH($E10,Roadmap!$D:$D,0)-1+COUNTIF($E10:AD10,"u")+COUNTIF($E10:AD10,"t")+COUNTIF($E10:AD10,"¶")+COUNTIF($E10:AD10,"²")+COUNTIF($E10:AD10,"µ")+COUNTIF($E10:AD10,1),ColDescriptionCourte)),""),
  "")),"")</f>
        <v/>
      </c>
      <c r="AF10" s="40" t="str">
        <f ca="1">IFERROR(IF(AND(
  INDEX(Roadmap!$D:$K,MATCH($E10,Roadmap!$D:$D,0)+COUNTIF($E10:AE10,"u")+COUNTIF($E10:AE10,"t")+COUNTIF($E10:AE10,"¶")+COUNTIF($E10:AE10,"²")+COUNTIF($E10:AE10,"µ")+COUNTIF($E10:AE10,1),ColLivraison)=AF$6,
  VLOOKUP($E10,INDIRECT("tri!"&amp; CHAR(64+ C0Col) &amp;":"&amp; CHAR(65+C0Col)),2,FALSE)&gt;COUNTIF($E10:AE10,"u")+COUNTIF($E10:AE10,"t")+COUNTIF($E10:AE10,"¶")+COUNTIF($E10:AE10,"²")+COUNTIF($E10:AE10,"µ")+COUNTIF($E10:AE10,1)),
HYPERLINK("#Roadmap!C"&amp; MATCH($E10,Roadmap!$D:$D,0)+COUNTIF($E10:AE10,"u")+COUNTIF($E10:AE10,"t"),
     INDEX(Roadmap!$D:$K,MATCH($E10,Roadmap!$D:$D,0)+COUNTIF($E10:AE10,"u")+COUNTIF($E10:AE10,"t")+COUNTIF($E10:AE10,"¶")+COUNTIF($E10:AE10,"²")+COUNTIF($E10:AE10,"µ")+COUNTIF($E10:AE10,1),ColTypeEcheance)),
  IF(LEN(AE10)=1,
  IF(LEN(INDEX(Roadmap!$D:$K,MATCH($E10,Roadmap!$D:$D,0)-1+COUNTIF($E10:AE10,"u")+COUNTIF($E10:AE10,"t")+COUNTIF($E10:AE10,"¶")+COUNTIF($E10:AE10,"²")+COUNTIF($E10:AE10,"µ")+COUNTIF($E10:AE10,1),ColDescriptionCourte))&gt;1,
HYPERLINK("#Roadmap!C"&amp; MATCH($E10,Roadmap!$D:$D,0)+COUNTIF($E10:AE10,"u")+COUNTIF($E10:AE10,"t")+COUNTIF($E10:AE10,"¶")+COUNTIF($E10:AE10,"²")+COUNTIF($E10:AE10,"µ")+COUNTIF($E10:AE10,1)-1,INDEX(Roadmap!$D:$K,MATCH($E10,Roadmap!$D:$D,0)-1+COUNTIF($E10:AE10,"u")+COUNTIF($E10:AE10,"t")+COUNTIF($E10:AE10,"¶")+COUNTIF($E10:AE10,"²")+COUNTIF($E10:AE10,"µ")+COUNTIF($E10:AE10,1),ColDescriptionCourte)),""),
  "")),"")</f>
        <v/>
      </c>
      <c r="AG10" s="40" t="str">
        <f ca="1">IFERROR(IF(AND(
  INDEX(Roadmap!$D:$K,MATCH($E10,Roadmap!$D:$D,0)+COUNTIF($E10:AF10,"u")+COUNTIF($E10:AF10,"t")+COUNTIF($E10:AF10,"¶")+COUNTIF($E10:AF10,"²")+COUNTIF($E10:AF10,"µ")+COUNTIF($E10:AF10,1),ColLivraison)=AG$6,
  VLOOKUP($E10,INDIRECT("tri!"&amp; CHAR(64+ C0Col) &amp;":"&amp; CHAR(65+C0Col)),2,FALSE)&gt;COUNTIF($E10:AF10,"u")+COUNTIF($E10:AF10,"t")+COUNTIF($E10:AF10,"¶")+COUNTIF($E10:AF10,"²")+COUNTIF($E10:AF10,"µ")+COUNTIF($E10:AF10,1)),
HYPERLINK("#Roadmap!C"&amp; MATCH($E10,Roadmap!$D:$D,0)+COUNTIF($E10:AF10,"u")+COUNTIF($E10:AF10,"t"),
     INDEX(Roadmap!$D:$K,MATCH($E10,Roadmap!$D:$D,0)+COUNTIF($E10:AF10,"u")+COUNTIF($E10:AF10,"t")+COUNTIF($E10:AF10,"¶")+COUNTIF($E10:AF10,"²")+COUNTIF($E10:AF10,"µ")+COUNTIF($E10:AF10,1),ColTypeEcheance)),
  IF(LEN(AF10)=1,
  IF(LEN(INDEX(Roadmap!$D:$K,MATCH($E10,Roadmap!$D:$D,0)-1+COUNTIF($E10:AF10,"u")+COUNTIF($E10:AF10,"t")+COUNTIF($E10:AF10,"¶")+COUNTIF($E10:AF10,"²")+COUNTIF($E10:AF10,"µ")+COUNTIF($E10:AF10,1),ColDescriptionCourte))&gt;1,
HYPERLINK("#Roadmap!C"&amp; MATCH($E10,Roadmap!$D:$D,0)+COUNTIF($E10:AF10,"u")+COUNTIF($E10:AF10,"t")+COUNTIF($E10:AF10,"¶")+COUNTIF($E10:AF10,"²")+COUNTIF($E10:AF10,"µ")+COUNTIF($E10:AF10,1)-1,INDEX(Roadmap!$D:$K,MATCH($E10,Roadmap!$D:$D,0)-1+COUNTIF($E10:AF10,"u")+COUNTIF($E10:AF10,"t")+COUNTIF($E10:AF10,"¶")+COUNTIF($E10:AF10,"²")+COUNTIF($E10:AF10,"µ")+COUNTIF($E10:AF10,1),ColDescriptionCourte)),""),
  "")),"")</f>
        <v/>
      </c>
    </row>
    <row r="11" spans="3:35" ht="14.25" customHeight="1">
      <c r="C11" s="1" t="str">
        <f t="shared" ca="1" si="42"/>
        <v/>
      </c>
      <c r="D11" s="1" t="str">
        <f t="shared" ca="1" si="43"/>
        <v/>
      </c>
      <c r="E11" s="35" t="str">
        <f t="shared" ca="1" si="33"/>
        <v>Projet BL</v>
      </c>
      <c r="F11" s="39" t="str">
        <f ca="1">IFERROR(IF(AND(
  INDEX(Roadmap!$D:$K,MATCH($E11,Roadmap!$D:$D,0)+COUNTIF($E11:E11,"u")+COUNTIF($E11:E11,"t")+COUNTIF($E11:E11,"¶")+COUNTIF($E11:E11,"²")+COUNTIF($E11:E11,"µ")+COUNTIF($E11:E11,1),ColLivraison)=F$6,
  VLOOKUP($E11,INDIRECT("tri!"&amp; CHAR(64+ C0Col) &amp;":"&amp; CHAR(65+C0Col)),2,FALSE)&gt;COUNTIF($E11:E11,"u")+COUNTIF($E11:E11,"t")+COUNTIF($E11:E11,"¶")+COUNTIF($E11:E11,"²")+COUNTIF($E11:E11,"µ")+COUNTIF($E11:E11,1)),
HYPERLINK("#Roadmap!C"&amp; MATCH($E11,Roadmap!$D:$D,0)+COUNTIF($E11:E11,"u")+COUNTIF($E11:E11,"t"),
     INDEX(Roadmap!$D:$K,MATCH($E11,Roadmap!$D:$D,0)+COUNTIF($E11:E11,"u")+COUNTIF($E11:E11,"t")+COUNTIF($E11:E11,"¶")+COUNTIF($E11:E11,"²")+COUNTIF($E11:E11,"µ")+COUNTIF($E11:E11,1),ColTypeEcheance)),
  IF(LEN(E11)=1,
  IF(LEN(INDEX(Roadmap!$D:$K,MATCH($E11,Roadmap!$D:$D,0)-1+COUNTIF($E11:E11,"u")+COUNTIF($E11:E11,"t")+COUNTIF($E11:E11,"¶")+COUNTIF($E11:E11,"²")+COUNTIF($E11:E11,"µ")+COUNTIF($E11:E11,1),ColDescriptionCourte))&gt;1,
HYPERLINK("#Roadmap!C"&amp; MATCH($E11,Roadmap!$D:$D,0)+COUNTIF($E11:E11,"u")+COUNTIF($E11:E11,"t")+COUNTIF($E11:E11,"¶")+COUNTIF($E11:E11,"²")+COUNTIF($E11:E11,"µ")+COUNTIF($E11:E11,1)-1,INDEX(Roadmap!$D:$K,MATCH($E11,Roadmap!$D:$D,0)-1+COUNTIF($E11:E11,"u")+COUNTIF($E11:E11,"t")+COUNTIF($E11:E11,"¶")+COUNTIF($E11:E11,"²")+COUNTIF($E11:E11,"µ")+COUNTIF($E11:E11,1),ColDescriptionCourte)),""),
  "")),"")</f>
        <v/>
      </c>
      <c r="G11" s="40" t="str">
        <f ca="1">IFERROR(IF(AND(
  INDEX(Roadmap!$D:$K,MATCH($E11,Roadmap!$D:$D,0)+COUNTIF($E11:F11,"u")+COUNTIF($E11:F11,"t")+COUNTIF($E11:F11,"¶")+COUNTIF($E11:F11,"²")+COUNTIF($E11:F11,"µ")+COUNTIF($E11:F11,1),ColLivraison)=G$6,
  VLOOKUP($E11,INDIRECT("tri!"&amp; CHAR(64+ C0Col) &amp;":"&amp; CHAR(65+C0Col)),2,FALSE)&gt;COUNTIF($E11:F11,"u")+COUNTIF($E11:F11,"t")+COUNTIF($E11:F11,"¶")+COUNTIF($E11:F11,"²")+COUNTIF($E11:F11,"µ")+COUNTIF($E11:F11,1)),
HYPERLINK("#Roadmap!C"&amp; MATCH($E11,Roadmap!$D:$D,0)+COUNTIF($E11:F11,"u")+COUNTIF($E11:F11,"t"),
     INDEX(Roadmap!$D:$K,MATCH($E11,Roadmap!$D:$D,0)+COUNTIF($E11:F11,"u")+COUNTIF($E11:F11,"t")+COUNTIF($E11:F11,"¶")+COUNTIF($E11:F11,"²")+COUNTIF($E11:F11,"µ")+COUNTIF($E11:F11,1),ColTypeEcheance)),
  IF(LEN(F11)=1,
  IF(LEN(INDEX(Roadmap!$D:$K,MATCH($E11,Roadmap!$D:$D,0)-1+COUNTIF($E11:F11,"u")+COUNTIF($E11:F11,"t")+COUNTIF($E11:F11,"¶")+COUNTIF($E11:F11,"²")+COUNTIF($E11:F11,"µ")+COUNTIF($E11:F11,1),ColDescriptionCourte))&gt;1,
HYPERLINK("#Roadmap!C"&amp; MATCH($E11,Roadmap!$D:$D,0)+COUNTIF($E11:F11,"u")+COUNTIF($E11:F11,"t")+COUNTIF($E11:F11,"¶")+COUNTIF($E11:F11,"²")+COUNTIF($E11:F11,"µ")+COUNTIF($E11:F11,1)-1,INDEX(Roadmap!$D:$K,MATCH($E11,Roadmap!$D:$D,0)-1+COUNTIF($E11:F11,"u")+COUNTIF($E11:F11,"t")+COUNTIF($E11:F11,"¶")+COUNTIF($E11:F11,"²")+COUNTIF($E11:F11,"µ")+COUNTIF($E11:F11,1),ColDescriptionCourte)),""),
  "")),"")</f>
        <v/>
      </c>
      <c r="H11" s="40" t="str">
        <f ca="1">IFERROR(IF(AND(
  INDEX(Roadmap!$D:$K,MATCH($E11,Roadmap!$D:$D,0)+COUNTIF($E11:G11,"u")+COUNTIF($E11:G11,"t")+COUNTIF($E11:G11,"¶")+COUNTIF($E11:G11,"²")+COUNTIF($E11:G11,"µ")+COUNTIF($E11:G11,1),ColLivraison)=H$6,
  VLOOKUP($E11,INDIRECT("tri!"&amp; CHAR(64+ C0Col) &amp;":"&amp; CHAR(65+C0Col)),2,FALSE)&gt;COUNTIF($E11:G11,"u")+COUNTIF($E11:G11,"t")+COUNTIF($E11:G11,"¶")+COUNTIF($E11:G11,"²")+COUNTIF($E11:G11,"µ")+COUNTIF($E11:G11,1)),
HYPERLINK("#Roadmap!C"&amp; MATCH($E11,Roadmap!$D:$D,0)+COUNTIF($E11:G11,"u")+COUNTIF($E11:G11,"t"),
     INDEX(Roadmap!$D:$K,MATCH($E11,Roadmap!$D:$D,0)+COUNTIF($E11:G11,"u")+COUNTIF($E11:G11,"t")+COUNTIF($E11:G11,"¶")+COUNTIF($E11:G11,"²")+COUNTIF($E11:G11,"µ")+COUNTIF($E11:G11,1),ColTypeEcheance)),
  IF(LEN(G11)=1,
  IF(LEN(INDEX(Roadmap!$D:$K,MATCH($E11,Roadmap!$D:$D,0)-1+COUNTIF($E11:G11,"u")+COUNTIF($E11:G11,"t")+COUNTIF($E11:G11,"¶")+COUNTIF($E11:G11,"²")+COUNTIF($E11:G11,"µ")+COUNTIF($E11:G11,1),ColDescriptionCourte))&gt;1,
HYPERLINK("#Roadmap!C"&amp; MATCH($E11,Roadmap!$D:$D,0)+COUNTIF($E11:G11,"u")+COUNTIF($E11:G11,"t")+COUNTIF($E11:G11,"¶")+COUNTIF($E11:G11,"²")+COUNTIF($E11:G11,"µ")+COUNTIF($E11:G11,1)-1,INDEX(Roadmap!$D:$K,MATCH($E11,Roadmap!$D:$D,0)-1+COUNTIF($E11:G11,"u")+COUNTIF($E11:G11,"t")+COUNTIF($E11:G11,"¶")+COUNTIF($E11:G11,"²")+COUNTIF($E11:G11,"µ")+COUNTIF($E11:G11,1),ColDescriptionCourte)),""),
  "")),"")</f>
        <v/>
      </c>
      <c r="I11" s="40" t="str">
        <f ca="1">IFERROR(IF(AND(
  INDEX(Roadmap!$D:$K,MATCH($E11,Roadmap!$D:$D,0)+COUNTIF($E11:H11,"u")+COUNTIF($E11:H11,"t")+COUNTIF($E11:H11,"¶")+COUNTIF($E11:H11,"²")+COUNTIF($E11:H11,"µ")+COUNTIF($E11:H11,1),ColLivraison)=I$6,
  VLOOKUP($E11,INDIRECT("tri!"&amp; CHAR(64+ C0Col) &amp;":"&amp; CHAR(65+C0Col)),2,FALSE)&gt;COUNTIF($E11:H11,"u")+COUNTIF($E11:H11,"t")+COUNTIF($E11:H11,"¶")+COUNTIF($E11:H11,"²")+COUNTIF($E11:H11,"µ")+COUNTIF($E11:H11,1)),
HYPERLINK("#Roadmap!C"&amp; MATCH($E11,Roadmap!$D:$D,0)+COUNTIF($E11:H11,"u")+COUNTIF($E11:H11,"t"),
     INDEX(Roadmap!$D:$K,MATCH($E11,Roadmap!$D:$D,0)+COUNTIF($E11:H11,"u")+COUNTIF($E11:H11,"t")+COUNTIF($E11:H11,"¶")+COUNTIF($E11:H11,"²")+COUNTIF($E11:H11,"µ")+COUNTIF($E11:H11,1),ColTypeEcheance)),
  IF(LEN(H11)=1,
  IF(LEN(INDEX(Roadmap!$D:$K,MATCH($E11,Roadmap!$D:$D,0)-1+COUNTIF($E11:H11,"u")+COUNTIF($E11:H11,"t")+COUNTIF($E11:H11,"¶")+COUNTIF($E11:H11,"²")+COUNTIF($E11:H11,"µ")+COUNTIF($E11:H11,1),ColDescriptionCourte))&gt;1,
HYPERLINK("#Roadmap!C"&amp; MATCH($E11,Roadmap!$D:$D,0)+COUNTIF($E11:H11,"u")+COUNTIF($E11:H11,"t")+COUNTIF($E11:H11,"¶")+COUNTIF($E11:H11,"²")+COUNTIF($E11:H11,"µ")+COUNTIF($E11:H11,1)-1,INDEX(Roadmap!$D:$K,MATCH($E11,Roadmap!$D:$D,0)-1+COUNTIF($E11:H11,"u")+COUNTIF($E11:H11,"t")+COUNTIF($E11:H11,"¶")+COUNTIF($E11:H11,"²")+COUNTIF($E11:H11,"µ")+COUNTIF($E11:H11,1),ColDescriptionCourte)),""),
  "")),"")</f>
        <v/>
      </c>
      <c r="J11" s="40" t="str">
        <f ca="1">IFERROR(IF(AND(
  INDEX(Roadmap!$D:$K,MATCH($E11,Roadmap!$D:$D,0)+COUNTIF($E11:I11,"u")+COUNTIF($E11:I11,"t")+COUNTIF($E11:I11,"¶")+COUNTIF($E11:I11,"²")+COUNTIF($E11:I11,"µ")+COUNTIF($E11:I11,1),ColLivraison)=J$6,
  VLOOKUP($E11,INDIRECT("tri!"&amp; CHAR(64+ C0Col) &amp;":"&amp; CHAR(65+C0Col)),2,FALSE)&gt;COUNTIF($E11:I11,"u")+COUNTIF($E11:I11,"t")+COUNTIF($E11:I11,"¶")+COUNTIF($E11:I11,"²")+COUNTIF($E11:I11,"µ")+COUNTIF($E11:I11,1)),
HYPERLINK("#Roadmap!C"&amp; MATCH($E11,Roadmap!$D:$D,0)+COUNTIF($E11:I11,"u")+COUNTIF($E11:I11,"t"),
     INDEX(Roadmap!$D:$K,MATCH($E11,Roadmap!$D:$D,0)+COUNTIF($E11:I11,"u")+COUNTIF($E11:I11,"t")+COUNTIF($E11:I11,"¶")+COUNTIF($E11:I11,"²")+COUNTIF($E11:I11,"µ")+COUNTIF($E11:I11,1),ColTypeEcheance)),
  IF(LEN(I11)=1,
  IF(LEN(INDEX(Roadmap!$D:$K,MATCH($E11,Roadmap!$D:$D,0)-1+COUNTIF($E11:I11,"u")+COUNTIF($E11:I11,"t")+COUNTIF($E11:I11,"¶")+COUNTIF($E11:I11,"²")+COUNTIF($E11:I11,"µ")+COUNTIF($E11:I11,1),ColDescriptionCourte))&gt;1,
HYPERLINK("#Roadmap!C"&amp; MATCH($E11,Roadmap!$D:$D,0)+COUNTIF($E11:I11,"u")+COUNTIF($E11:I11,"t")+COUNTIF($E11:I11,"¶")+COUNTIF($E11:I11,"²")+COUNTIF($E11:I11,"µ")+COUNTIF($E11:I11,1)-1,INDEX(Roadmap!$D:$K,MATCH($E11,Roadmap!$D:$D,0)-1+COUNTIF($E11:I11,"u")+COUNTIF($E11:I11,"t")+COUNTIF($E11:I11,"¶")+COUNTIF($E11:I11,"²")+COUNTIF($E11:I11,"µ")+COUNTIF($E11:I11,1),ColDescriptionCourte)),""),
  "")),"")</f>
        <v/>
      </c>
      <c r="K11" s="40" t="str">
        <f ca="1">IFERROR(IF(AND(
  INDEX(Roadmap!$D:$K,MATCH($E11,Roadmap!$D:$D,0)+COUNTIF($E11:J11,"u")+COUNTIF($E11:J11,"t")+COUNTIF($E11:J11,"¶")+COUNTIF($E11:J11,"²")+COUNTIF($E11:J11,"µ")+COUNTIF($E11:J11,1),ColLivraison)=K$6,
  VLOOKUP($E11,INDIRECT("tri!"&amp; CHAR(64+ C0Col) &amp;":"&amp; CHAR(65+C0Col)),2,FALSE)&gt;COUNTIF($E11:J11,"u")+COUNTIF($E11:J11,"t")+COUNTIF($E11:J11,"¶")+COUNTIF($E11:J11,"²")+COUNTIF($E11:J11,"µ")+COUNTIF($E11:J11,1)),
HYPERLINK("#Roadmap!C"&amp; MATCH($E11,Roadmap!$D:$D,0)+COUNTIF($E11:J11,"u")+COUNTIF($E11:J11,"t"),
     INDEX(Roadmap!$D:$K,MATCH($E11,Roadmap!$D:$D,0)+COUNTIF($E11:J11,"u")+COUNTIF($E11:J11,"t")+COUNTIF($E11:J11,"¶")+COUNTIF($E11:J11,"²")+COUNTIF($E11:J11,"µ")+COUNTIF($E11:J11,1),ColTypeEcheance)),
  IF(LEN(J11)=1,
  IF(LEN(INDEX(Roadmap!$D:$K,MATCH($E11,Roadmap!$D:$D,0)-1+COUNTIF($E11:J11,"u")+COUNTIF($E11:J11,"t")+COUNTIF($E11:J11,"¶")+COUNTIF($E11:J11,"²")+COUNTIF($E11:J11,"µ")+COUNTIF($E11:J11,1),ColDescriptionCourte))&gt;1,
HYPERLINK("#Roadmap!C"&amp; MATCH($E11,Roadmap!$D:$D,0)+COUNTIF($E11:J11,"u")+COUNTIF($E11:J11,"t")+COUNTIF($E11:J11,"¶")+COUNTIF($E11:J11,"²")+COUNTIF($E11:J11,"µ")+COUNTIF($E11:J11,1)-1,INDEX(Roadmap!$D:$K,MATCH($E11,Roadmap!$D:$D,0)-1+COUNTIF($E11:J11,"u")+COUNTIF($E11:J11,"t")+COUNTIF($E11:J11,"¶")+COUNTIF($E11:J11,"²")+COUNTIF($E11:J11,"µ")+COUNTIF($E11:J11,1),ColDescriptionCourte)),""),
  "")),"")</f>
        <v/>
      </c>
      <c r="L11" s="39" t="str">
        <f ca="1">IFERROR(IF(AND(
  INDEX(Roadmap!$D:$K,MATCH($E11,Roadmap!$D:$D,0)+COUNTIF($E11:K11,"u")+COUNTIF($E11:K11,"t")+COUNTIF($E11:K11,"¶")+COUNTIF($E11:K11,"²")+COUNTIF($E11:K11,"µ")+COUNTIF($E11:K11,1),ColLivraison)=L$6,
  VLOOKUP($E11,INDIRECT("tri!"&amp; CHAR(64+ C0Col) &amp;":"&amp; CHAR(65+C0Col)),2,FALSE)&gt;COUNTIF($E11:K11,"u")+COUNTIF($E11:K11,"t")+COUNTIF($E11:K11,"¶")+COUNTIF($E11:K11,"²")+COUNTIF($E11:K11,"µ")+COUNTIF($E11:K11,1)),
HYPERLINK("#Roadmap!C"&amp; MATCH($E11,Roadmap!$D:$D,0)+COUNTIF($E11:K11,"u")+COUNTIF($E11:K11,"t"),
     INDEX(Roadmap!$D:$K,MATCH($E11,Roadmap!$D:$D,0)+COUNTIF($E11:K11,"u")+COUNTIF($E11:K11,"t")+COUNTIF($E11:K11,"¶")+COUNTIF($E11:K11,"²")+COUNTIF($E11:K11,"µ")+COUNTIF($E11:K11,1),ColTypeEcheance)),
  IF(LEN(K11)=1,
  IF(LEN(INDEX(Roadmap!$D:$K,MATCH($E11,Roadmap!$D:$D,0)-1+COUNTIF($E11:K11,"u")+COUNTIF($E11:K11,"t")+COUNTIF($E11:K11,"¶")+COUNTIF($E11:K11,"²")+COUNTIF($E11:K11,"µ")+COUNTIF($E11:K11,1),ColDescriptionCourte))&gt;1,
HYPERLINK("#Roadmap!C"&amp; MATCH($E11,Roadmap!$D:$D,0)+COUNTIF($E11:K11,"u")+COUNTIF($E11:K11,"t")+COUNTIF($E11:K11,"¶")+COUNTIF($E11:K11,"²")+COUNTIF($E11:K11,"µ")+COUNTIF($E11:K11,1)-1,INDEX(Roadmap!$D:$K,MATCH($E11,Roadmap!$D:$D,0)-1+COUNTIF($E11:K11,"u")+COUNTIF($E11:K11,"t")+COUNTIF($E11:K11,"¶")+COUNTIF($E11:K11,"²")+COUNTIF($E11:K11,"µ")+COUNTIF($E11:K11,1),ColDescriptionCourte)),""),
  "")),"")</f>
        <v/>
      </c>
      <c r="M11" s="17" t="str">
        <f ca="1">IFERROR(IF(AND(
  INDEX(Roadmap!$D:$K,MATCH($E11,Roadmap!$D:$D,0)+COUNTIF($E11:L11,"u")+COUNTIF($E11:L11,"t")+COUNTIF($E11:L11,"¶")+COUNTIF($E11:L11,"²")+COUNTIF($E11:L11,"µ")+COUNTIF($E11:L11,1),ColLivraison)=M$6,
  VLOOKUP($E11,INDIRECT("tri!"&amp; CHAR(64+ C0Col) &amp;":"&amp; CHAR(65+C0Col)),2,FALSE)&gt;COUNTIF($E11:L11,"u")+COUNTIF($E11:L11,"t")+COUNTIF($E11:L11,"¶")+COUNTIF($E11:L11,"²")+COUNTIF($E11:L11,"µ")+COUNTIF($E11:L11,1)),
HYPERLINK("#Roadmap!C"&amp; MATCH($E11,Roadmap!$D:$D,0)+COUNTIF($E11:L11,"u")+COUNTIF($E11:L11,"t"),
     INDEX(Roadmap!$D:$K,MATCH($E11,Roadmap!$D:$D,0)+COUNTIF($E11:L11,"u")+COUNTIF($E11:L11,"t")+COUNTIF($E11:L11,"¶")+COUNTIF($E11:L11,"²")+COUNTIF($E11:L11,"µ")+COUNTIF($E11:L11,1),ColTypeEcheance)),
  IF(LEN(L11)=1,
  IF(LEN(INDEX(Roadmap!$D:$K,MATCH($E11,Roadmap!$D:$D,0)-1+COUNTIF($E11:L11,"u")+COUNTIF($E11:L11,"t")+COUNTIF($E11:L11,"¶")+COUNTIF($E11:L11,"²")+COUNTIF($E11:L11,"µ")+COUNTIF($E11:L11,1),ColDescriptionCourte))&gt;1,
HYPERLINK("#Roadmap!C"&amp; MATCH($E11,Roadmap!$D:$D,0)+COUNTIF($E11:L11,"u")+COUNTIF($E11:L11,"t")+COUNTIF($E11:L11,"¶")+COUNTIF($E11:L11,"²")+COUNTIF($E11:L11,"µ")+COUNTIF($E11:L11,1)-1,INDEX(Roadmap!$D:$K,MATCH($E11,Roadmap!$D:$D,0)-1+COUNTIF($E11:L11,"u")+COUNTIF($E11:L11,"t")+COUNTIF($E11:L11,"¶")+COUNTIF($E11:L11,"²")+COUNTIF($E11:L11,"µ")+COUNTIF($E11:L11,1),ColDescriptionCourte)),""),
  "")),"")</f>
        <v>t</v>
      </c>
      <c r="N11" s="40" t="str">
        <f ca="1">IFERROR(IF(AND(
  INDEX(Roadmap!$D:$K,MATCH($E11,Roadmap!$D:$D,0)+COUNTIF($E11:M11,"u")+COUNTIF($E11:M11,"t")+COUNTIF($E11:M11,"¶")+COUNTIF($E11:M11,"²")+COUNTIF($E11:M11,"µ")+COUNTIF($E11:M11,1),ColLivraison)=N$6,
  VLOOKUP($E11,INDIRECT("tri!"&amp; CHAR(64+ C0Col) &amp;":"&amp; CHAR(65+C0Col)),2,FALSE)&gt;COUNTIF($E11:M11,"u")+COUNTIF($E11:M11,"t")+COUNTIF($E11:M11,"¶")+COUNTIF($E11:M11,"²")+COUNTIF($E11:M11,"µ")+COUNTIF($E11:M11,1)),
HYPERLINK("#Roadmap!C"&amp; MATCH($E11,Roadmap!$D:$D,0)+COUNTIF($E11:M11,"u")+COUNTIF($E11:M11,"t"),
     INDEX(Roadmap!$D:$K,MATCH($E11,Roadmap!$D:$D,0)+COUNTIF($E11:M11,"u")+COUNTIF($E11:M11,"t")+COUNTIF($E11:M11,"¶")+COUNTIF($E11:M11,"²")+COUNTIF($E11:M11,"µ")+COUNTIF($E11:M11,1),ColTypeEcheance)),
  IF(LEN(M11)=1,
  IF(LEN(INDEX(Roadmap!$D:$K,MATCH($E11,Roadmap!$D:$D,0)-1+COUNTIF($E11:M11,"u")+COUNTIF($E11:M11,"t")+COUNTIF($E11:M11,"¶")+COUNTIF($E11:M11,"²")+COUNTIF($E11:M11,"µ")+COUNTIF($E11:M11,1),ColDescriptionCourte))&gt;1,
HYPERLINK("#Roadmap!C"&amp; MATCH($E11,Roadmap!$D:$D,0)+COUNTIF($E11:M11,"u")+COUNTIF($E11:M11,"t")+COUNTIF($E11:M11,"¶")+COUNTIF($E11:M11,"²")+COUNTIF($E11:M11,"µ")+COUNTIF($E11:M11,1)-1,INDEX(Roadmap!$D:$K,MATCH($E11,Roadmap!$D:$D,0)-1+COUNTIF($E11:M11,"u")+COUNTIF($E11:M11,"t")+COUNTIF($E11:M11,"¶")+COUNTIF($E11:M11,"²")+COUNTIF($E11:M11,"µ")+COUNTIF($E11:M11,1),ColDescriptionCourte)),""),
  "")),"")</f>
        <v>GO</v>
      </c>
      <c r="O11" s="40" t="str">
        <f ca="1">IFERROR(IF(AND(
  INDEX(Roadmap!$D:$K,MATCH($E11,Roadmap!$D:$D,0)+COUNTIF($E11:N11,"u")+COUNTIF($E11:N11,"t")+COUNTIF($E11:N11,"¶")+COUNTIF($E11:N11,"²")+COUNTIF($E11:N11,"µ")+COUNTIF($E11:N11,1),ColLivraison)=O$6,
  VLOOKUP($E11,INDIRECT("tri!"&amp; CHAR(64+ C0Col) &amp;":"&amp; CHAR(65+C0Col)),2,FALSE)&gt;COUNTIF($E11:N11,"u")+COUNTIF($E11:N11,"t")+COUNTIF($E11:N11,"¶")+COUNTIF($E11:N11,"²")+COUNTIF($E11:N11,"µ")+COUNTIF($E11:N11,1)),
HYPERLINK("#Roadmap!C"&amp; MATCH($E11,Roadmap!$D:$D,0)+COUNTIF($E11:N11,"u")+COUNTIF($E11:N11,"t"),
     INDEX(Roadmap!$D:$K,MATCH($E11,Roadmap!$D:$D,0)+COUNTIF($E11:N11,"u")+COUNTIF($E11:N11,"t")+COUNTIF($E11:N11,"¶")+COUNTIF($E11:N11,"²")+COUNTIF($E11:N11,"µ")+COUNTIF($E11:N11,1),ColTypeEcheance)),
  IF(LEN(N11)=1,
  IF(LEN(INDEX(Roadmap!$D:$K,MATCH($E11,Roadmap!$D:$D,0)-1+COUNTIF($E11:N11,"u")+COUNTIF($E11:N11,"t")+COUNTIF($E11:N11,"¶")+COUNTIF($E11:N11,"²")+COUNTIF($E11:N11,"µ")+COUNTIF($E11:N11,1),ColDescriptionCourte))&gt;1,
HYPERLINK("#Roadmap!C"&amp; MATCH($E11,Roadmap!$D:$D,0)+COUNTIF($E11:N11,"u")+COUNTIF($E11:N11,"t")+COUNTIF($E11:N11,"¶")+COUNTIF($E11:N11,"²")+COUNTIF($E11:N11,"µ")+COUNTIF($E11:N11,1)-1,INDEX(Roadmap!$D:$K,MATCH($E11,Roadmap!$D:$D,0)-1+COUNTIF($E11:N11,"u")+COUNTIF($E11:N11,"t")+COUNTIF($E11:N11,"¶")+COUNTIF($E11:N11,"²")+COUNTIF($E11:N11,"µ")+COUNTIF($E11:N11,1),ColDescriptionCourte)),""),
  "")),"")</f>
        <v/>
      </c>
      <c r="P11" s="40" t="str">
        <f ca="1">IFERROR(IF(AND(
  INDEX(Roadmap!$D:$K,MATCH($E11,Roadmap!$D:$D,0)+COUNTIF($E11:O11,"u")+COUNTIF($E11:O11,"t")+COUNTIF($E11:O11,"¶")+COUNTIF($E11:O11,"²")+COUNTIF($E11:O11,"µ")+COUNTIF($E11:O11,1),ColLivraison)=P$6,
  VLOOKUP($E11,INDIRECT("tri!"&amp; CHAR(64+ C0Col) &amp;":"&amp; CHAR(65+C0Col)),2,FALSE)&gt;COUNTIF($E11:O11,"u")+COUNTIF($E11:O11,"t")+COUNTIF($E11:O11,"¶")+COUNTIF($E11:O11,"²")+COUNTIF($E11:O11,"µ")+COUNTIF($E11:O11,1)),
HYPERLINK("#Roadmap!C"&amp; MATCH($E11,Roadmap!$D:$D,0)+COUNTIF($E11:O11,"u")+COUNTIF($E11:O11,"t"),
     INDEX(Roadmap!$D:$K,MATCH($E11,Roadmap!$D:$D,0)+COUNTIF($E11:O11,"u")+COUNTIF($E11:O11,"t")+COUNTIF($E11:O11,"¶")+COUNTIF($E11:O11,"²")+COUNTIF($E11:O11,"µ")+COUNTIF($E11:O11,1),ColTypeEcheance)),
  IF(LEN(O11)=1,
  IF(LEN(INDEX(Roadmap!$D:$K,MATCH($E11,Roadmap!$D:$D,0)-1+COUNTIF($E11:O11,"u")+COUNTIF($E11:O11,"t")+COUNTIF($E11:O11,"¶")+COUNTIF($E11:O11,"²")+COUNTIF($E11:O11,"µ")+COUNTIF($E11:O11,1),ColDescriptionCourte))&gt;1,
HYPERLINK("#Roadmap!C"&amp; MATCH($E11,Roadmap!$D:$D,0)+COUNTIF($E11:O11,"u")+COUNTIF($E11:O11,"t")+COUNTIF($E11:O11,"¶")+COUNTIF($E11:O11,"²")+COUNTIF($E11:O11,"µ")+COUNTIF($E11:O11,1)-1,INDEX(Roadmap!$D:$K,MATCH($E11,Roadmap!$D:$D,0)-1+COUNTIF($E11:O11,"u")+COUNTIF($E11:O11,"t")+COUNTIF($E11:O11,"¶")+COUNTIF($E11:O11,"²")+COUNTIF($E11:O11,"µ")+COUNTIF($E11:O11,1),ColDescriptionCourte)),""),
  "")),"")</f>
        <v/>
      </c>
      <c r="Q11" s="40" t="str">
        <f ca="1">IFERROR(IF(AND(
  INDEX(Roadmap!$D:$K,MATCH($E11,Roadmap!$D:$D,0)+COUNTIF($E11:P11,"u")+COUNTIF($E11:P11,"t")+COUNTIF($E11:P11,"¶")+COUNTIF($E11:P11,"²")+COUNTIF($E11:P11,"µ")+COUNTIF($E11:P11,1),ColLivraison)=Q$6,
  VLOOKUP($E11,INDIRECT("tri!"&amp; CHAR(64+ C0Col) &amp;":"&amp; CHAR(65+C0Col)),2,FALSE)&gt;COUNTIF($E11:P11,"u")+COUNTIF($E11:P11,"t")+COUNTIF($E11:P11,"¶")+COUNTIF($E11:P11,"²")+COUNTIF($E11:P11,"µ")+COUNTIF($E11:P11,1)),
HYPERLINK("#Roadmap!C"&amp; MATCH($E11,Roadmap!$D:$D,0)+COUNTIF($E11:P11,"u")+COUNTIF($E11:P11,"t"),
     INDEX(Roadmap!$D:$K,MATCH($E11,Roadmap!$D:$D,0)+COUNTIF($E11:P11,"u")+COUNTIF($E11:P11,"t")+COUNTIF($E11:P11,"¶")+COUNTIF($E11:P11,"²")+COUNTIF($E11:P11,"µ")+COUNTIF($E11:P11,1),ColTypeEcheance)),
  IF(LEN(P11)=1,
  IF(LEN(INDEX(Roadmap!$D:$K,MATCH($E11,Roadmap!$D:$D,0)-1+COUNTIF($E11:P11,"u")+COUNTIF($E11:P11,"t")+COUNTIF($E11:P11,"¶")+COUNTIF($E11:P11,"²")+COUNTIF($E11:P11,"µ")+COUNTIF($E11:P11,1),ColDescriptionCourte))&gt;1,
HYPERLINK("#Roadmap!C"&amp; MATCH($E11,Roadmap!$D:$D,0)+COUNTIF($E11:P11,"u")+COUNTIF($E11:P11,"t")+COUNTIF($E11:P11,"¶")+COUNTIF($E11:P11,"²")+COUNTIF($E11:P11,"µ")+COUNTIF($E11:P11,1)-1,INDEX(Roadmap!$D:$K,MATCH($E11,Roadmap!$D:$D,0)-1+COUNTIF($E11:P11,"u")+COUNTIF($E11:P11,"t")+COUNTIF($E11:P11,"¶")+COUNTIF($E11:P11,"²")+COUNTIF($E11:P11,"µ")+COUNTIF($E11:P11,1),ColDescriptionCourte)),""),
  "")),"")</f>
        <v/>
      </c>
      <c r="R11" s="40" t="str">
        <f ca="1">IFERROR(IF(AND(
  INDEX(Roadmap!$D:$K,MATCH($E11,Roadmap!$D:$D,0)+COUNTIF($E11:Q11,"u")+COUNTIF($E11:Q11,"t")+COUNTIF($E11:Q11,"¶")+COUNTIF($E11:Q11,"²")+COUNTIF($E11:Q11,"µ")+COUNTIF($E11:Q11,1),ColLivraison)=R$6,
  VLOOKUP($E11,INDIRECT("tri!"&amp; CHAR(64+ C0Col) &amp;":"&amp; CHAR(65+C0Col)),2,FALSE)&gt;COUNTIF($E11:Q11,"u")+COUNTIF($E11:Q11,"t")+COUNTIF($E11:Q11,"¶")+COUNTIF($E11:Q11,"²")+COUNTIF($E11:Q11,"µ")+COUNTIF($E11:Q11,1)),
HYPERLINK("#Roadmap!C"&amp; MATCH($E11,Roadmap!$D:$D,0)+COUNTIF($E11:Q11,"u")+COUNTIF($E11:Q11,"t"),
     INDEX(Roadmap!$D:$K,MATCH($E11,Roadmap!$D:$D,0)+COUNTIF($E11:Q11,"u")+COUNTIF($E11:Q11,"t")+COUNTIF($E11:Q11,"¶")+COUNTIF($E11:Q11,"²")+COUNTIF($E11:Q11,"µ")+COUNTIF($E11:Q11,1),ColTypeEcheance)),
  IF(LEN(Q11)=1,
  IF(LEN(INDEX(Roadmap!$D:$K,MATCH($E11,Roadmap!$D:$D,0)-1+COUNTIF($E11:Q11,"u")+COUNTIF($E11:Q11,"t")+COUNTIF($E11:Q11,"¶")+COUNTIF($E11:Q11,"²")+COUNTIF($E11:Q11,"µ")+COUNTIF($E11:Q11,1),ColDescriptionCourte))&gt;1,
HYPERLINK("#Roadmap!C"&amp; MATCH($E11,Roadmap!$D:$D,0)+COUNTIF($E11:Q11,"u")+COUNTIF($E11:Q11,"t")+COUNTIF($E11:Q11,"¶")+COUNTIF($E11:Q11,"²")+COUNTIF($E11:Q11,"µ")+COUNTIF($E11:Q11,1)-1,INDEX(Roadmap!$D:$K,MATCH($E11,Roadmap!$D:$D,0)-1+COUNTIF($E11:Q11,"u")+COUNTIF($E11:Q11,"t")+COUNTIF($E11:Q11,"¶")+COUNTIF($E11:Q11,"²")+COUNTIF($E11:Q11,"µ")+COUNTIF($E11:Q11,1),ColDescriptionCourte)),""),
  "")),"")</f>
        <v/>
      </c>
      <c r="S11" s="40" t="str">
        <f ca="1">IFERROR(IF(AND(
  INDEX(Roadmap!$D:$K,MATCH($E11,Roadmap!$D:$D,0)+COUNTIF($E11:R11,"u")+COUNTIF($E11:R11,"t")+COUNTIF($E11:R11,"¶")+COUNTIF($E11:R11,"²")+COUNTIF($E11:R11,"µ")+COUNTIF($E11:R11,1),ColLivraison)=S$6,
  VLOOKUP($E11,INDIRECT("tri!"&amp; CHAR(64+ C0Col) &amp;":"&amp; CHAR(65+C0Col)),2,FALSE)&gt;COUNTIF($E11:R11,"u")+COUNTIF($E11:R11,"t")+COUNTIF($E11:R11,"¶")+COUNTIF($E11:R11,"²")+COUNTIF($E11:R11,"µ")+COUNTIF($E11:R11,1)),
HYPERLINK("#Roadmap!C"&amp; MATCH($E11,Roadmap!$D:$D,0)+COUNTIF($E11:R11,"u")+COUNTIF($E11:R11,"t"),
     INDEX(Roadmap!$D:$K,MATCH($E11,Roadmap!$D:$D,0)+COUNTIF($E11:R11,"u")+COUNTIF($E11:R11,"t")+COUNTIF($E11:R11,"¶")+COUNTIF($E11:R11,"²")+COUNTIF($E11:R11,"µ")+COUNTIF($E11:R11,1),ColTypeEcheance)),
  IF(LEN(R11)=1,
  IF(LEN(INDEX(Roadmap!$D:$K,MATCH($E11,Roadmap!$D:$D,0)-1+COUNTIF($E11:R11,"u")+COUNTIF($E11:R11,"t")+COUNTIF($E11:R11,"¶")+COUNTIF($E11:R11,"²")+COUNTIF($E11:R11,"µ")+COUNTIF($E11:R11,1),ColDescriptionCourte))&gt;1,
HYPERLINK("#Roadmap!C"&amp; MATCH($E11,Roadmap!$D:$D,0)+COUNTIF($E11:R11,"u")+COUNTIF($E11:R11,"t")+COUNTIF($E11:R11,"¶")+COUNTIF($E11:R11,"²")+COUNTIF($E11:R11,"µ")+COUNTIF($E11:R11,1)-1,INDEX(Roadmap!$D:$K,MATCH($E11,Roadmap!$D:$D,0)-1+COUNTIF($E11:R11,"u")+COUNTIF($E11:R11,"t")+COUNTIF($E11:R11,"¶")+COUNTIF($E11:R11,"²")+COUNTIF($E11:R11,"µ")+COUNTIF($E11:R11,1),ColDescriptionCourte)),""),
  "")),"")</f>
        <v/>
      </c>
      <c r="T11" s="40" t="str">
        <f ca="1">IFERROR(IF(AND(
  INDEX(Roadmap!$D:$K,MATCH($E11,Roadmap!$D:$D,0)+COUNTIF($E11:S11,"u")+COUNTIF($E11:S11,"t")+COUNTIF($E11:S11,"¶")+COUNTIF($E11:S11,"²")+COUNTIF($E11:S11,"µ")+COUNTIF($E11:S11,1),ColLivraison)=T$6,
  VLOOKUP($E11,INDIRECT("tri!"&amp; CHAR(64+ C0Col) &amp;":"&amp; CHAR(65+C0Col)),2,FALSE)&gt;COUNTIF($E11:S11,"u")+COUNTIF($E11:S11,"t")+COUNTIF($E11:S11,"¶")+COUNTIF($E11:S11,"²")+COUNTIF($E11:S11,"µ")+COUNTIF($E11:S11,1)),
HYPERLINK("#Roadmap!C"&amp; MATCH($E11,Roadmap!$D:$D,0)+COUNTIF($E11:S11,"u")+COUNTIF($E11:S11,"t"),
     INDEX(Roadmap!$D:$K,MATCH($E11,Roadmap!$D:$D,0)+COUNTIF($E11:S11,"u")+COUNTIF($E11:S11,"t")+COUNTIF($E11:S11,"¶")+COUNTIF($E11:S11,"²")+COUNTIF($E11:S11,"µ")+COUNTIF($E11:S11,1),ColTypeEcheance)),
  IF(LEN(S11)=1,
  IF(LEN(INDEX(Roadmap!$D:$K,MATCH($E11,Roadmap!$D:$D,0)-1+COUNTIF($E11:S11,"u")+COUNTIF($E11:S11,"t")+COUNTIF($E11:S11,"¶")+COUNTIF($E11:S11,"²")+COUNTIF($E11:S11,"µ")+COUNTIF($E11:S11,1),ColDescriptionCourte))&gt;1,
HYPERLINK("#Roadmap!C"&amp; MATCH($E11,Roadmap!$D:$D,0)+COUNTIF($E11:S11,"u")+COUNTIF($E11:S11,"t")+COUNTIF($E11:S11,"¶")+COUNTIF($E11:S11,"²")+COUNTIF($E11:S11,"µ")+COUNTIF($E11:S11,1)-1,INDEX(Roadmap!$D:$K,MATCH($E11,Roadmap!$D:$D,0)-1+COUNTIF($E11:S11,"u")+COUNTIF($E11:S11,"t")+COUNTIF($E11:S11,"¶")+COUNTIF($E11:S11,"²")+COUNTIF($E11:S11,"µ")+COUNTIF($E11:S11,1),ColDescriptionCourte)),""),
  "")),"")</f>
        <v/>
      </c>
      <c r="U11" s="40" t="str">
        <f ca="1">IFERROR(IF(AND(
  INDEX(Roadmap!$D:$K,MATCH($E11,Roadmap!$D:$D,0)+COUNTIF($E11:T11,"u")+COUNTIF($E11:T11,"t")+COUNTIF($E11:T11,"¶")+COUNTIF($E11:T11,"²")+COUNTIF($E11:T11,"µ")+COUNTIF($E11:T11,1),ColLivraison)=U$6,
  VLOOKUP($E11,INDIRECT("tri!"&amp; CHAR(64+ C0Col) &amp;":"&amp; CHAR(65+C0Col)),2,FALSE)&gt;COUNTIF($E11:T11,"u")+COUNTIF($E11:T11,"t")+COUNTIF($E11:T11,"¶")+COUNTIF($E11:T11,"²")+COUNTIF($E11:T11,"µ")+COUNTIF($E11:T11,1)),
HYPERLINK("#Roadmap!C"&amp; MATCH($E11,Roadmap!$D:$D,0)+COUNTIF($E11:T11,"u")+COUNTIF($E11:T11,"t"),
     INDEX(Roadmap!$D:$K,MATCH($E11,Roadmap!$D:$D,0)+COUNTIF($E11:T11,"u")+COUNTIF($E11:T11,"t")+COUNTIF($E11:T11,"¶")+COUNTIF($E11:T11,"²")+COUNTIF($E11:T11,"µ")+COUNTIF($E11:T11,1),ColTypeEcheance)),
  IF(LEN(T11)=1,
  IF(LEN(INDEX(Roadmap!$D:$K,MATCH($E11,Roadmap!$D:$D,0)-1+COUNTIF($E11:T11,"u")+COUNTIF($E11:T11,"t")+COUNTIF($E11:T11,"¶")+COUNTIF($E11:T11,"²")+COUNTIF($E11:T11,"µ")+COUNTIF($E11:T11,1),ColDescriptionCourte))&gt;1,
HYPERLINK("#Roadmap!C"&amp; MATCH($E11,Roadmap!$D:$D,0)+COUNTIF($E11:T11,"u")+COUNTIF($E11:T11,"t")+COUNTIF($E11:T11,"¶")+COUNTIF($E11:T11,"²")+COUNTIF($E11:T11,"µ")+COUNTIF($E11:T11,1)-1,INDEX(Roadmap!$D:$K,MATCH($E11,Roadmap!$D:$D,0)-1+COUNTIF($E11:T11,"u")+COUNTIF($E11:T11,"t")+COUNTIF($E11:T11,"¶")+COUNTIF($E11:T11,"²")+COUNTIF($E11:T11,"µ")+COUNTIF($E11:T11,1),ColDescriptionCourte)),""),
  "")),"")</f>
        <v/>
      </c>
      <c r="V11" s="40" t="str">
        <f ca="1">IFERROR(IF(AND(
  INDEX(Roadmap!$D:$K,MATCH($E11,Roadmap!$D:$D,0)+COUNTIF($E11:U11,"u")+COUNTIF($E11:U11,"t")+COUNTIF($E11:U11,"¶")+COUNTIF($E11:U11,"²")+COUNTIF($E11:U11,"µ")+COUNTIF($E11:U11,1),ColLivraison)=V$6,
  VLOOKUP($E11,INDIRECT("tri!"&amp; CHAR(64+ C0Col) &amp;":"&amp; CHAR(65+C0Col)),2,FALSE)&gt;COUNTIF($E11:U11,"u")+COUNTIF($E11:U11,"t")+COUNTIF($E11:U11,"¶")+COUNTIF($E11:U11,"²")+COUNTIF($E11:U11,"µ")+COUNTIF($E11:U11,1)),
HYPERLINK("#Roadmap!C"&amp; MATCH($E11,Roadmap!$D:$D,0)+COUNTIF($E11:U11,"u")+COUNTIF($E11:U11,"t"),
     INDEX(Roadmap!$D:$K,MATCH($E11,Roadmap!$D:$D,0)+COUNTIF($E11:U11,"u")+COUNTIF($E11:U11,"t")+COUNTIF($E11:U11,"¶")+COUNTIF($E11:U11,"²")+COUNTIF($E11:U11,"µ")+COUNTIF($E11:U11,1),ColTypeEcheance)),
  IF(LEN(U11)=1,
  IF(LEN(INDEX(Roadmap!$D:$K,MATCH($E11,Roadmap!$D:$D,0)-1+COUNTIF($E11:U11,"u")+COUNTIF($E11:U11,"t")+COUNTIF($E11:U11,"¶")+COUNTIF($E11:U11,"²")+COUNTIF($E11:U11,"µ")+COUNTIF($E11:U11,1),ColDescriptionCourte))&gt;1,
HYPERLINK("#Roadmap!C"&amp; MATCH($E11,Roadmap!$D:$D,0)+COUNTIF($E11:U11,"u")+COUNTIF($E11:U11,"t")+COUNTIF($E11:U11,"¶")+COUNTIF($E11:U11,"²")+COUNTIF($E11:U11,"µ")+COUNTIF($E11:U11,1)-1,INDEX(Roadmap!$D:$K,MATCH($E11,Roadmap!$D:$D,0)-1+COUNTIF($E11:U11,"u")+COUNTIF($E11:U11,"t")+COUNTIF($E11:U11,"¶")+COUNTIF($E11:U11,"²")+COUNTIF($E11:U11,"µ")+COUNTIF($E11:U11,1),ColDescriptionCourte)),""),
  "")),"")</f>
        <v/>
      </c>
      <c r="W11" s="40" t="str">
        <f ca="1">IFERROR(IF(AND(
  INDEX(Roadmap!$D:$K,MATCH($E11,Roadmap!$D:$D,0)+COUNTIF($E11:V11,"u")+COUNTIF($E11:V11,"t")+COUNTIF($E11:V11,"¶")+COUNTIF($E11:V11,"²")+COUNTIF($E11:V11,"µ")+COUNTIF($E11:V11,1),ColLivraison)=W$6,
  VLOOKUP($E11,INDIRECT("tri!"&amp; CHAR(64+ C0Col) &amp;":"&amp; CHAR(65+C0Col)),2,FALSE)&gt;COUNTIF($E11:V11,"u")+COUNTIF($E11:V11,"t")+COUNTIF($E11:V11,"¶")+COUNTIF($E11:V11,"²")+COUNTIF($E11:V11,"µ")+COUNTIF($E11:V11,1)),
HYPERLINK("#Roadmap!C"&amp; MATCH($E11,Roadmap!$D:$D,0)+COUNTIF($E11:V11,"u")+COUNTIF($E11:V11,"t"),
     INDEX(Roadmap!$D:$K,MATCH($E11,Roadmap!$D:$D,0)+COUNTIF($E11:V11,"u")+COUNTIF($E11:V11,"t")+COUNTIF($E11:V11,"¶")+COUNTIF($E11:V11,"²")+COUNTIF($E11:V11,"µ")+COUNTIF($E11:V11,1),ColTypeEcheance)),
  IF(LEN(V11)=1,
  IF(LEN(INDEX(Roadmap!$D:$K,MATCH($E11,Roadmap!$D:$D,0)-1+COUNTIF($E11:V11,"u")+COUNTIF($E11:V11,"t")+COUNTIF($E11:V11,"¶")+COUNTIF($E11:V11,"²")+COUNTIF($E11:V11,"µ")+COUNTIF($E11:V11,1),ColDescriptionCourte))&gt;1,
HYPERLINK("#Roadmap!C"&amp; MATCH($E11,Roadmap!$D:$D,0)+COUNTIF($E11:V11,"u")+COUNTIF($E11:V11,"t")+COUNTIF($E11:V11,"¶")+COUNTIF($E11:V11,"²")+COUNTIF($E11:V11,"µ")+COUNTIF($E11:V11,1)-1,INDEX(Roadmap!$D:$K,MATCH($E11,Roadmap!$D:$D,0)-1+COUNTIF($E11:V11,"u")+COUNTIF($E11:V11,"t")+COUNTIF($E11:V11,"¶")+COUNTIF($E11:V11,"²")+COUNTIF($E11:V11,"µ")+COUNTIF($E11:V11,1),ColDescriptionCourte)),""),
  "")),"")</f>
        <v/>
      </c>
      <c r="X11" s="40" t="str">
        <f ca="1">IFERROR(IF(AND(
  INDEX(Roadmap!$D:$K,MATCH($E11,Roadmap!$D:$D,0)+COUNTIF($E11:W11,"u")+COUNTIF($E11:W11,"t")+COUNTIF($E11:W11,"¶")+COUNTIF($E11:W11,"²")+COUNTIF($E11:W11,"µ")+COUNTIF($E11:W11,1),ColLivraison)=X$6,
  VLOOKUP($E11,INDIRECT("tri!"&amp; CHAR(64+ C0Col) &amp;":"&amp; CHAR(65+C0Col)),2,FALSE)&gt;COUNTIF($E11:W11,"u")+COUNTIF($E11:W11,"t")+COUNTIF($E11:W11,"¶")+COUNTIF($E11:W11,"²")+COUNTIF($E11:W11,"µ")+COUNTIF($E11:W11,1)),
HYPERLINK("#Roadmap!C"&amp; MATCH($E11,Roadmap!$D:$D,0)+COUNTIF($E11:W11,"u")+COUNTIF($E11:W11,"t"),
     INDEX(Roadmap!$D:$K,MATCH($E11,Roadmap!$D:$D,0)+COUNTIF($E11:W11,"u")+COUNTIF($E11:W11,"t")+COUNTIF($E11:W11,"¶")+COUNTIF($E11:W11,"²")+COUNTIF($E11:W11,"µ")+COUNTIF($E11:W11,1),ColTypeEcheance)),
  IF(LEN(W11)=1,
  IF(LEN(INDEX(Roadmap!$D:$K,MATCH($E11,Roadmap!$D:$D,0)-1+COUNTIF($E11:W11,"u")+COUNTIF($E11:W11,"t")+COUNTIF($E11:W11,"¶")+COUNTIF($E11:W11,"²")+COUNTIF($E11:W11,"µ")+COUNTIF($E11:W11,1),ColDescriptionCourte))&gt;1,
HYPERLINK("#Roadmap!C"&amp; MATCH($E11,Roadmap!$D:$D,0)+COUNTIF($E11:W11,"u")+COUNTIF($E11:W11,"t")+COUNTIF($E11:W11,"¶")+COUNTIF($E11:W11,"²")+COUNTIF($E11:W11,"µ")+COUNTIF($E11:W11,1)-1,INDEX(Roadmap!$D:$K,MATCH($E11,Roadmap!$D:$D,0)-1+COUNTIF($E11:W11,"u")+COUNTIF($E11:W11,"t")+COUNTIF($E11:W11,"¶")+COUNTIF($E11:W11,"²")+COUNTIF($E11:W11,"µ")+COUNTIF($E11:W11,1),ColDescriptionCourte)),""),
  "")),"")</f>
        <v/>
      </c>
      <c r="Y11" s="40" t="str">
        <f ca="1">IFERROR(IF(AND(
  INDEX(Roadmap!$D:$K,MATCH($E11,Roadmap!$D:$D,0)+COUNTIF($E11:X11,"u")+COUNTIF($E11:X11,"t")+COUNTIF($E11:X11,"¶")+COUNTIF($E11:X11,"²")+COUNTIF($E11:X11,"µ")+COUNTIF($E11:X11,1),ColLivraison)=Y$6,
  VLOOKUP($E11,INDIRECT("tri!"&amp; CHAR(64+ C0Col) &amp;":"&amp; CHAR(65+C0Col)),2,FALSE)&gt;COUNTIF($E11:X11,"u")+COUNTIF($E11:X11,"t")+COUNTIF($E11:X11,"¶")+COUNTIF($E11:X11,"²")+COUNTIF($E11:X11,"µ")+COUNTIF($E11:X11,1)),
HYPERLINK("#Roadmap!C"&amp; MATCH($E11,Roadmap!$D:$D,0)+COUNTIF($E11:X11,"u")+COUNTIF($E11:X11,"t"),
     INDEX(Roadmap!$D:$K,MATCH($E11,Roadmap!$D:$D,0)+COUNTIF($E11:X11,"u")+COUNTIF($E11:X11,"t")+COUNTIF($E11:X11,"¶")+COUNTIF($E11:X11,"²")+COUNTIF($E11:X11,"µ")+COUNTIF($E11:X11,1),ColTypeEcheance)),
  IF(LEN(X11)=1,
  IF(LEN(INDEX(Roadmap!$D:$K,MATCH($E11,Roadmap!$D:$D,0)-1+COUNTIF($E11:X11,"u")+COUNTIF($E11:X11,"t")+COUNTIF($E11:X11,"¶")+COUNTIF($E11:X11,"²")+COUNTIF($E11:X11,"µ")+COUNTIF($E11:X11,1),ColDescriptionCourte))&gt;1,
HYPERLINK("#Roadmap!C"&amp; MATCH($E11,Roadmap!$D:$D,0)+COUNTIF($E11:X11,"u")+COUNTIF($E11:X11,"t")+COUNTIF($E11:X11,"¶")+COUNTIF($E11:X11,"²")+COUNTIF($E11:X11,"µ")+COUNTIF($E11:X11,1)-1,INDEX(Roadmap!$D:$K,MATCH($E11,Roadmap!$D:$D,0)-1+COUNTIF($E11:X11,"u")+COUNTIF($E11:X11,"t")+COUNTIF($E11:X11,"¶")+COUNTIF($E11:X11,"²")+COUNTIF($E11:X11,"µ")+COUNTIF($E11:X11,1),ColDescriptionCourte)),""),
  "")),"")</f>
        <v/>
      </c>
      <c r="Z11" s="40" t="str">
        <f ca="1">IFERROR(IF(AND(
  INDEX(Roadmap!$D:$K,MATCH($E11,Roadmap!$D:$D,0)+COUNTIF($E11:Y11,"u")+COUNTIF($E11:Y11,"t")+COUNTIF($E11:Y11,"¶")+COUNTIF($E11:Y11,"²")+COUNTIF($E11:Y11,"µ")+COUNTIF($E11:Y11,1),ColLivraison)=Z$6,
  VLOOKUP($E11,INDIRECT("tri!"&amp; CHAR(64+ C0Col) &amp;":"&amp; CHAR(65+C0Col)),2,FALSE)&gt;COUNTIF($E11:Y11,"u")+COUNTIF($E11:Y11,"t")+COUNTIF($E11:Y11,"¶")+COUNTIF($E11:Y11,"²")+COUNTIF($E11:Y11,"µ")+COUNTIF($E11:Y11,1)),
HYPERLINK("#Roadmap!C"&amp; MATCH($E11,Roadmap!$D:$D,0)+COUNTIF($E11:Y11,"u")+COUNTIF($E11:Y11,"t"),
     INDEX(Roadmap!$D:$K,MATCH($E11,Roadmap!$D:$D,0)+COUNTIF($E11:Y11,"u")+COUNTIF($E11:Y11,"t")+COUNTIF($E11:Y11,"¶")+COUNTIF($E11:Y11,"²")+COUNTIF($E11:Y11,"µ")+COUNTIF($E11:Y11,1),ColTypeEcheance)),
  IF(LEN(Y11)=1,
  IF(LEN(INDEX(Roadmap!$D:$K,MATCH($E11,Roadmap!$D:$D,0)-1+COUNTIF($E11:Y11,"u")+COUNTIF($E11:Y11,"t")+COUNTIF($E11:Y11,"¶")+COUNTIF($E11:Y11,"²")+COUNTIF($E11:Y11,"µ")+COUNTIF($E11:Y11,1),ColDescriptionCourte))&gt;1,
HYPERLINK("#Roadmap!C"&amp; MATCH($E11,Roadmap!$D:$D,0)+COUNTIF($E11:Y11,"u")+COUNTIF($E11:Y11,"t")+COUNTIF($E11:Y11,"¶")+COUNTIF($E11:Y11,"²")+COUNTIF($E11:Y11,"µ")+COUNTIF($E11:Y11,1)-1,INDEX(Roadmap!$D:$K,MATCH($E11,Roadmap!$D:$D,0)-1+COUNTIF($E11:Y11,"u")+COUNTIF($E11:Y11,"t")+COUNTIF($E11:Y11,"¶")+COUNTIF($E11:Y11,"²")+COUNTIF($E11:Y11,"µ")+COUNTIF($E11:Y11,1),ColDescriptionCourte)),""),
  "")),"")</f>
        <v/>
      </c>
      <c r="AA11" s="40" t="str">
        <f ca="1">IFERROR(IF(AND(
  INDEX(Roadmap!$D:$K,MATCH($E11,Roadmap!$D:$D,0)+COUNTIF($E11:Z11,"u")+COUNTIF($E11:Z11,"t")+COUNTIF($E11:Z11,"¶")+COUNTIF($E11:Z11,"²")+COUNTIF($E11:Z11,"µ")+COUNTIF($E11:Z11,1),ColLivraison)=AA$6,
  VLOOKUP($E11,INDIRECT("tri!"&amp; CHAR(64+ C0Col) &amp;":"&amp; CHAR(65+C0Col)),2,FALSE)&gt;COUNTIF($E11:Z11,"u")+COUNTIF($E11:Z11,"t")+COUNTIF($E11:Z11,"¶")+COUNTIF($E11:Z11,"²")+COUNTIF($E11:Z11,"µ")+COUNTIF($E11:Z11,1)),
HYPERLINK("#Roadmap!C"&amp; MATCH($E11,Roadmap!$D:$D,0)+COUNTIF($E11:Z11,"u")+COUNTIF($E11:Z11,"t"),
     INDEX(Roadmap!$D:$K,MATCH($E11,Roadmap!$D:$D,0)+COUNTIF($E11:Z11,"u")+COUNTIF($E11:Z11,"t")+COUNTIF($E11:Z11,"¶")+COUNTIF($E11:Z11,"²")+COUNTIF($E11:Z11,"µ")+COUNTIF($E11:Z11,1),ColTypeEcheance)),
  IF(LEN(Z11)=1,
  IF(LEN(INDEX(Roadmap!$D:$K,MATCH($E11,Roadmap!$D:$D,0)-1+COUNTIF($E11:Z11,"u")+COUNTIF($E11:Z11,"t")+COUNTIF($E11:Z11,"¶")+COUNTIF($E11:Z11,"²")+COUNTIF($E11:Z11,"µ")+COUNTIF($E11:Z11,1),ColDescriptionCourte))&gt;1,
HYPERLINK("#Roadmap!C"&amp; MATCH($E11,Roadmap!$D:$D,0)+COUNTIF($E11:Z11,"u")+COUNTIF($E11:Z11,"t")+COUNTIF($E11:Z11,"¶")+COUNTIF($E11:Z11,"²")+COUNTIF($E11:Z11,"µ")+COUNTIF($E11:Z11,1)-1,INDEX(Roadmap!$D:$K,MATCH($E11,Roadmap!$D:$D,0)-1+COUNTIF($E11:Z11,"u")+COUNTIF($E11:Z11,"t")+COUNTIF($E11:Z11,"¶")+COUNTIF($E11:Z11,"²")+COUNTIF($E11:Z11,"µ")+COUNTIF($E11:Z11,1),ColDescriptionCourte)),""),
  "")),"")</f>
        <v/>
      </c>
      <c r="AB11" s="40" t="str">
        <f ca="1">IFERROR(IF(AND(
  INDEX(Roadmap!$D:$K,MATCH($E11,Roadmap!$D:$D,0)+COUNTIF($E11:AA11,"u")+COUNTIF($E11:AA11,"t")+COUNTIF($E11:AA11,"¶")+COUNTIF($E11:AA11,"²")+COUNTIF($E11:AA11,"µ")+COUNTIF($E11:AA11,1),ColLivraison)=AB$6,
  VLOOKUP($E11,INDIRECT("tri!"&amp; CHAR(64+ C0Col) &amp;":"&amp; CHAR(65+C0Col)),2,FALSE)&gt;COUNTIF($E11:AA11,"u")+COUNTIF($E11:AA11,"t")+COUNTIF($E11:AA11,"¶")+COUNTIF($E11:AA11,"²")+COUNTIF($E11:AA11,"µ")+COUNTIF($E11:AA11,1)),
HYPERLINK("#Roadmap!C"&amp; MATCH($E11,Roadmap!$D:$D,0)+COUNTIF($E11:AA11,"u")+COUNTIF($E11:AA11,"t"),
     INDEX(Roadmap!$D:$K,MATCH($E11,Roadmap!$D:$D,0)+COUNTIF($E11:AA11,"u")+COUNTIF($E11:AA11,"t")+COUNTIF($E11:AA11,"¶")+COUNTIF($E11:AA11,"²")+COUNTIF($E11:AA11,"µ")+COUNTIF($E11:AA11,1),ColTypeEcheance)),
  IF(LEN(AA11)=1,
  IF(LEN(INDEX(Roadmap!$D:$K,MATCH($E11,Roadmap!$D:$D,0)-1+COUNTIF($E11:AA11,"u")+COUNTIF($E11:AA11,"t")+COUNTIF($E11:AA11,"¶")+COUNTIF($E11:AA11,"²")+COUNTIF($E11:AA11,"µ")+COUNTIF($E11:AA11,1),ColDescriptionCourte))&gt;1,
HYPERLINK("#Roadmap!C"&amp; MATCH($E11,Roadmap!$D:$D,0)+COUNTIF($E11:AA11,"u")+COUNTIF($E11:AA11,"t")+COUNTIF($E11:AA11,"¶")+COUNTIF($E11:AA11,"²")+COUNTIF($E11:AA11,"µ")+COUNTIF($E11:AA11,1)-1,INDEX(Roadmap!$D:$K,MATCH($E11,Roadmap!$D:$D,0)-1+COUNTIF($E11:AA11,"u")+COUNTIF($E11:AA11,"t")+COUNTIF($E11:AA11,"¶")+COUNTIF($E11:AA11,"²")+COUNTIF($E11:AA11,"µ")+COUNTIF($E11:AA11,1),ColDescriptionCourte)),""),
  "")),"")</f>
        <v/>
      </c>
      <c r="AC11" s="40" t="str">
        <f ca="1">IFERROR(IF(AND(
  INDEX(Roadmap!$D:$K,MATCH($E11,Roadmap!$D:$D,0)+COUNTIF($E11:AB11,"u")+COUNTIF($E11:AB11,"t")+COUNTIF($E11:AB11,"¶")+COUNTIF($E11:AB11,"²")+COUNTIF($E11:AB11,"µ")+COUNTIF($E11:AB11,1),ColLivraison)=AC$6,
  VLOOKUP($E11,INDIRECT("tri!"&amp; CHAR(64+ C0Col) &amp;":"&amp; CHAR(65+C0Col)),2,FALSE)&gt;COUNTIF($E11:AB11,"u")+COUNTIF($E11:AB11,"t")+COUNTIF($E11:AB11,"¶")+COUNTIF($E11:AB11,"²")+COUNTIF($E11:AB11,"µ")+COUNTIF($E11:AB11,1)),
HYPERLINK("#Roadmap!C"&amp; MATCH($E11,Roadmap!$D:$D,0)+COUNTIF($E11:AB11,"u")+COUNTIF($E11:AB11,"t"),
     INDEX(Roadmap!$D:$K,MATCH($E11,Roadmap!$D:$D,0)+COUNTIF($E11:AB11,"u")+COUNTIF($E11:AB11,"t")+COUNTIF($E11:AB11,"¶")+COUNTIF($E11:AB11,"²")+COUNTIF($E11:AB11,"µ")+COUNTIF($E11:AB11,1),ColTypeEcheance)),
  IF(LEN(AB11)=1,
  IF(LEN(INDEX(Roadmap!$D:$K,MATCH($E11,Roadmap!$D:$D,0)-1+COUNTIF($E11:AB11,"u")+COUNTIF($E11:AB11,"t")+COUNTIF($E11:AB11,"¶")+COUNTIF($E11:AB11,"²")+COUNTIF($E11:AB11,"µ")+COUNTIF($E11:AB11,1),ColDescriptionCourte))&gt;1,
HYPERLINK("#Roadmap!C"&amp; MATCH($E11,Roadmap!$D:$D,0)+COUNTIF($E11:AB11,"u")+COUNTIF($E11:AB11,"t")+COUNTIF($E11:AB11,"¶")+COUNTIF($E11:AB11,"²")+COUNTIF($E11:AB11,"µ")+COUNTIF($E11:AB11,1)-1,INDEX(Roadmap!$D:$K,MATCH($E11,Roadmap!$D:$D,0)-1+COUNTIF($E11:AB11,"u")+COUNTIF($E11:AB11,"t")+COUNTIF($E11:AB11,"¶")+COUNTIF($E11:AB11,"²")+COUNTIF($E11:AB11,"µ")+COUNTIF($E11:AB11,1),ColDescriptionCourte)),""),
  "")),"")</f>
        <v/>
      </c>
      <c r="AD11" s="40" t="str">
        <f ca="1">IFERROR(IF(AND(
  INDEX(Roadmap!$D:$K,MATCH($E11,Roadmap!$D:$D,0)+COUNTIF($E11:AC11,"u")+COUNTIF($E11:AC11,"t")+COUNTIF($E11:AC11,"¶")+COUNTIF($E11:AC11,"²")+COUNTIF($E11:AC11,"µ")+COUNTIF($E11:AC11,1),ColLivraison)=AD$6,
  VLOOKUP($E11,INDIRECT("tri!"&amp; CHAR(64+ C0Col) &amp;":"&amp; CHAR(65+C0Col)),2,FALSE)&gt;COUNTIF($E11:AC11,"u")+COUNTIF($E11:AC11,"t")+COUNTIF($E11:AC11,"¶")+COUNTIF($E11:AC11,"²")+COUNTIF($E11:AC11,"µ")+COUNTIF($E11:AC11,1)),
HYPERLINK("#Roadmap!C"&amp; MATCH($E11,Roadmap!$D:$D,0)+COUNTIF($E11:AC11,"u")+COUNTIF($E11:AC11,"t"),
     INDEX(Roadmap!$D:$K,MATCH($E11,Roadmap!$D:$D,0)+COUNTIF($E11:AC11,"u")+COUNTIF($E11:AC11,"t")+COUNTIF($E11:AC11,"¶")+COUNTIF($E11:AC11,"²")+COUNTIF($E11:AC11,"µ")+COUNTIF($E11:AC11,1),ColTypeEcheance)),
  IF(LEN(AC11)=1,
  IF(LEN(INDEX(Roadmap!$D:$K,MATCH($E11,Roadmap!$D:$D,0)-1+COUNTIF($E11:AC11,"u")+COUNTIF($E11:AC11,"t")+COUNTIF($E11:AC11,"¶")+COUNTIF($E11:AC11,"²")+COUNTIF($E11:AC11,"µ")+COUNTIF($E11:AC11,1),ColDescriptionCourte))&gt;1,
HYPERLINK("#Roadmap!C"&amp; MATCH($E11,Roadmap!$D:$D,0)+COUNTIF($E11:AC11,"u")+COUNTIF($E11:AC11,"t")+COUNTIF($E11:AC11,"¶")+COUNTIF($E11:AC11,"²")+COUNTIF($E11:AC11,"µ")+COUNTIF($E11:AC11,1)-1,INDEX(Roadmap!$D:$K,MATCH($E11,Roadmap!$D:$D,0)-1+COUNTIF($E11:AC11,"u")+COUNTIF($E11:AC11,"t")+COUNTIF($E11:AC11,"¶")+COUNTIF($E11:AC11,"²")+COUNTIF($E11:AC11,"µ")+COUNTIF($E11:AC11,1),ColDescriptionCourte)),""),
  "")),"")</f>
        <v/>
      </c>
      <c r="AE11" s="40" t="str">
        <f ca="1">IFERROR(IF(AND(
  INDEX(Roadmap!$D:$K,MATCH($E11,Roadmap!$D:$D,0)+COUNTIF($E11:AD11,"u")+COUNTIF($E11:AD11,"t")+COUNTIF($E11:AD11,"¶")+COUNTIF($E11:AD11,"²")+COUNTIF($E11:AD11,"µ")+COUNTIF($E11:AD11,1),ColLivraison)=AE$6,
  VLOOKUP($E11,INDIRECT("tri!"&amp; CHAR(64+ C0Col) &amp;":"&amp; CHAR(65+C0Col)),2,FALSE)&gt;COUNTIF($E11:AD11,"u")+COUNTIF($E11:AD11,"t")+COUNTIF($E11:AD11,"¶")+COUNTIF($E11:AD11,"²")+COUNTIF($E11:AD11,"µ")+COUNTIF($E11:AD11,1)),
HYPERLINK("#Roadmap!C"&amp; MATCH($E11,Roadmap!$D:$D,0)+COUNTIF($E11:AD11,"u")+COUNTIF($E11:AD11,"t"),
     INDEX(Roadmap!$D:$K,MATCH($E11,Roadmap!$D:$D,0)+COUNTIF($E11:AD11,"u")+COUNTIF($E11:AD11,"t")+COUNTIF($E11:AD11,"¶")+COUNTIF($E11:AD11,"²")+COUNTIF($E11:AD11,"µ")+COUNTIF($E11:AD11,1),ColTypeEcheance)),
  IF(LEN(AD11)=1,
  IF(LEN(INDEX(Roadmap!$D:$K,MATCH($E11,Roadmap!$D:$D,0)-1+COUNTIF($E11:AD11,"u")+COUNTIF($E11:AD11,"t")+COUNTIF($E11:AD11,"¶")+COUNTIF($E11:AD11,"²")+COUNTIF($E11:AD11,"µ")+COUNTIF($E11:AD11,1),ColDescriptionCourte))&gt;1,
HYPERLINK("#Roadmap!C"&amp; MATCH($E11,Roadmap!$D:$D,0)+COUNTIF($E11:AD11,"u")+COUNTIF($E11:AD11,"t")+COUNTIF($E11:AD11,"¶")+COUNTIF($E11:AD11,"²")+COUNTIF($E11:AD11,"µ")+COUNTIF($E11:AD11,1)-1,INDEX(Roadmap!$D:$K,MATCH($E11,Roadmap!$D:$D,0)-1+COUNTIF($E11:AD11,"u")+COUNTIF($E11:AD11,"t")+COUNTIF($E11:AD11,"¶")+COUNTIF($E11:AD11,"²")+COUNTIF($E11:AD11,"µ")+COUNTIF($E11:AD11,1),ColDescriptionCourte)),""),
  "")),"")</f>
        <v/>
      </c>
      <c r="AF11" s="40" t="str">
        <f ca="1">IFERROR(IF(AND(
  INDEX(Roadmap!$D:$K,MATCH($E11,Roadmap!$D:$D,0)+COUNTIF($E11:AE11,"u")+COUNTIF($E11:AE11,"t")+COUNTIF($E11:AE11,"¶")+COUNTIF($E11:AE11,"²")+COUNTIF($E11:AE11,"µ")+COUNTIF($E11:AE11,1),ColLivraison)=AF$6,
  VLOOKUP($E11,INDIRECT("tri!"&amp; CHAR(64+ C0Col) &amp;":"&amp; CHAR(65+C0Col)),2,FALSE)&gt;COUNTIF($E11:AE11,"u")+COUNTIF($E11:AE11,"t")+COUNTIF($E11:AE11,"¶")+COUNTIF($E11:AE11,"²")+COUNTIF($E11:AE11,"µ")+COUNTIF($E11:AE11,1)),
HYPERLINK("#Roadmap!C"&amp; MATCH($E11,Roadmap!$D:$D,0)+COUNTIF($E11:AE11,"u")+COUNTIF($E11:AE11,"t"),
     INDEX(Roadmap!$D:$K,MATCH($E11,Roadmap!$D:$D,0)+COUNTIF($E11:AE11,"u")+COUNTIF($E11:AE11,"t")+COUNTIF($E11:AE11,"¶")+COUNTIF($E11:AE11,"²")+COUNTIF($E11:AE11,"µ")+COUNTIF($E11:AE11,1),ColTypeEcheance)),
  IF(LEN(AE11)=1,
  IF(LEN(INDEX(Roadmap!$D:$K,MATCH($E11,Roadmap!$D:$D,0)-1+COUNTIF($E11:AE11,"u")+COUNTIF($E11:AE11,"t")+COUNTIF($E11:AE11,"¶")+COUNTIF($E11:AE11,"²")+COUNTIF($E11:AE11,"µ")+COUNTIF($E11:AE11,1),ColDescriptionCourte))&gt;1,
HYPERLINK("#Roadmap!C"&amp; MATCH($E11,Roadmap!$D:$D,0)+COUNTIF($E11:AE11,"u")+COUNTIF($E11:AE11,"t")+COUNTIF($E11:AE11,"¶")+COUNTIF($E11:AE11,"²")+COUNTIF($E11:AE11,"µ")+COUNTIF($E11:AE11,1)-1,INDEX(Roadmap!$D:$K,MATCH($E11,Roadmap!$D:$D,0)-1+COUNTIF($E11:AE11,"u")+COUNTIF($E11:AE11,"t")+COUNTIF($E11:AE11,"¶")+COUNTIF($E11:AE11,"²")+COUNTIF($E11:AE11,"µ")+COUNTIF($E11:AE11,1),ColDescriptionCourte)),""),
  "")),"")</f>
        <v/>
      </c>
      <c r="AG11" s="40" t="str">
        <f ca="1">IFERROR(IF(AND(
  INDEX(Roadmap!$D:$K,MATCH($E11,Roadmap!$D:$D,0)+COUNTIF($E11:AF11,"u")+COUNTIF($E11:AF11,"t")+COUNTIF($E11:AF11,"¶")+COUNTIF($E11:AF11,"²")+COUNTIF($E11:AF11,"µ")+COUNTIF($E11:AF11,1),ColLivraison)=AG$6,
  VLOOKUP($E11,INDIRECT("tri!"&amp; CHAR(64+ C0Col) &amp;":"&amp; CHAR(65+C0Col)),2,FALSE)&gt;COUNTIF($E11:AF11,"u")+COUNTIF($E11:AF11,"t")+COUNTIF($E11:AF11,"¶")+COUNTIF($E11:AF11,"²")+COUNTIF($E11:AF11,"µ")+COUNTIF($E11:AF11,1)),
HYPERLINK("#Roadmap!C"&amp; MATCH($E11,Roadmap!$D:$D,0)+COUNTIF($E11:AF11,"u")+COUNTIF($E11:AF11,"t"),
     INDEX(Roadmap!$D:$K,MATCH($E11,Roadmap!$D:$D,0)+COUNTIF($E11:AF11,"u")+COUNTIF($E11:AF11,"t")+COUNTIF($E11:AF11,"¶")+COUNTIF($E11:AF11,"²")+COUNTIF($E11:AF11,"µ")+COUNTIF($E11:AF11,1),ColTypeEcheance)),
  IF(LEN(AF11)=1,
  IF(LEN(INDEX(Roadmap!$D:$K,MATCH($E11,Roadmap!$D:$D,0)-1+COUNTIF($E11:AF11,"u")+COUNTIF($E11:AF11,"t")+COUNTIF($E11:AF11,"¶")+COUNTIF($E11:AF11,"²")+COUNTIF($E11:AF11,"µ")+COUNTIF($E11:AF11,1),ColDescriptionCourte))&gt;1,
HYPERLINK("#Roadmap!C"&amp; MATCH($E11,Roadmap!$D:$D,0)+COUNTIF($E11:AF11,"u")+COUNTIF($E11:AF11,"t")+COUNTIF($E11:AF11,"¶")+COUNTIF($E11:AF11,"²")+COUNTIF($E11:AF11,"µ")+COUNTIF($E11:AF11,1)-1,INDEX(Roadmap!$D:$K,MATCH($E11,Roadmap!$D:$D,0)-1+COUNTIF($E11:AF11,"u")+COUNTIF($E11:AF11,"t")+COUNTIF($E11:AF11,"¶")+COUNTIF($E11:AF11,"²")+COUNTIF($E11:AF11,"µ")+COUNTIF($E11:AF11,1),ColDescriptionCourte)),""),
  "")),"")</f>
        <v/>
      </c>
    </row>
    <row r="12" spans="3:35" ht="14.25" customHeight="1">
      <c r="C12" s="1" t="str">
        <f t="shared" ca="1" si="42"/>
        <v/>
      </c>
      <c r="D12" s="1" t="str">
        <f t="shared" ca="1" si="43"/>
        <v>Domaine 4</v>
      </c>
      <c r="E12" s="35" t="str">
        <f t="shared" ca="1" si="33"/>
        <v/>
      </c>
      <c r="F12" s="39" t="str">
        <f ca="1">IFERROR(IF(AND(
  INDEX(Roadmap!$D:$K,MATCH($E12,Roadmap!$D:$D,0)+COUNTIF($E12:E12,"u")+COUNTIF($E12:E12,"t")+COUNTIF($E12:E12,"¶")+COUNTIF($E12:E12,"²")+COUNTIF($E12:E12,"µ")+COUNTIF($E12:E12,1),ColLivraison)=F$6,
  VLOOKUP($E12,INDIRECT("tri!"&amp; CHAR(64+ C0Col) &amp;":"&amp; CHAR(65+C0Col)),2,FALSE)&gt;COUNTIF($E12:E12,"u")+COUNTIF($E12:E12,"t")+COUNTIF($E12:E12,"¶")+COUNTIF($E12:E12,"²")+COUNTIF($E12:E12,"µ")+COUNTIF($E12:E12,1)),
HYPERLINK("#Roadmap!C"&amp; MATCH($E12,Roadmap!$D:$D,0)+COUNTIF($E12:E12,"u")+COUNTIF($E12:E12,"t"),
     INDEX(Roadmap!$D:$K,MATCH($E12,Roadmap!$D:$D,0)+COUNTIF($E12:E12,"u")+COUNTIF($E12:E12,"t")+COUNTIF($E12:E12,"¶")+COUNTIF($E12:E12,"²")+COUNTIF($E12:E12,"µ")+COUNTIF($E12:E12,1),ColTypeEcheance)),
  IF(LEN(E12)=1,
  IF(LEN(INDEX(Roadmap!$D:$K,MATCH($E12,Roadmap!$D:$D,0)-1+COUNTIF($E12:E12,"u")+COUNTIF($E12:E12,"t")+COUNTIF($E12:E12,"¶")+COUNTIF($E12:E12,"²")+COUNTIF($E12:E12,"µ")+COUNTIF($E12:E12,1),ColDescriptionCourte))&gt;1,
HYPERLINK("#Roadmap!C"&amp; MATCH($E12,Roadmap!$D:$D,0)+COUNTIF($E12:E12,"u")+COUNTIF($E12:E12,"t")+COUNTIF($E12:E12,"¶")+COUNTIF($E12:E12,"²")+COUNTIF($E12:E12,"µ")+COUNTIF($E12:E12,1)-1,INDEX(Roadmap!$D:$K,MATCH($E12,Roadmap!$D:$D,0)-1+COUNTIF($E12:E12,"u")+COUNTIF($E12:E12,"t")+COUNTIF($E12:E12,"¶")+COUNTIF($E12:E12,"²")+COUNTIF($E12:E12,"µ")+COUNTIF($E12:E12,1),ColDescriptionCourte)),""),
  "")),"")</f>
        <v/>
      </c>
      <c r="G12" s="40" t="str">
        <f ca="1">IFERROR(IF(AND(
  INDEX(Roadmap!$D:$K,MATCH($E12,Roadmap!$D:$D,0)+COUNTIF($E12:F12,"u")+COUNTIF($E12:F12,"t")+COUNTIF($E12:F12,"¶")+COUNTIF($E12:F12,"²")+COUNTIF($E12:F12,"µ")+COUNTIF($E12:F12,1),ColLivraison)=G$6,
  VLOOKUP($E12,INDIRECT("tri!"&amp; CHAR(64+ C0Col) &amp;":"&amp; CHAR(65+C0Col)),2,FALSE)&gt;COUNTIF($E12:F12,"u")+COUNTIF($E12:F12,"t")+COUNTIF($E12:F12,"¶")+COUNTIF($E12:F12,"²")+COUNTIF($E12:F12,"µ")+COUNTIF($E12:F12,1)),
HYPERLINK("#Roadmap!C"&amp; MATCH($E12,Roadmap!$D:$D,0)+COUNTIF($E12:F12,"u")+COUNTIF($E12:F12,"t"),
     INDEX(Roadmap!$D:$K,MATCH($E12,Roadmap!$D:$D,0)+COUNTIF($E12:F12,"u")+COUNTIF($E12:F12,"t")+COUNTIF($E12:F12,"¶")+COUNTIF($E12:F12,"²")+COUNTIF($E12:F12,"µ")+COUNTIF($E12:F12,1),ColTypeEcheance)),
  IF(LEN(F12)=1,
  IF(LEN(INDEX(Roadmap!$D:$K,MATCH($E12,Roadmap!$D:$D,0)-1+COUNTIF($E12:F12,"u")+COUNTIF($E12:F12,"t")+COUNTIF($E12:F12,"¶")+COUNTIF($E12:F12,"²")+COUNTIF($E12:F12,"µ")+COUNTIF($E12:F12,1),ColDescriptionCourte))&gt;1,
HYPERLINK("#Roadmap!C"&amp; MATCH($E12,Roadmap!$D:$D,0)+COUNTIF($E12:F12,"u")+COUNTIF($E12:F12,"t")+COUNTIF($E12:F12,"¶")+COUNTIF($E12:F12,"²")+COUNTIF($E12:F12,"µ")+COUNTIF($E12:F12,1)-1,INDEX(Roadmap!$D:$K,MATCH($E12,Roadmap!$D:$D,0)-1+COUNTIF($E12:F12,"u")+COUNTIF($E12:F12,"t")+COUNTIF($E12:F12,"¶")+COUNTIF($E12:F12,"²")+COUNTIF($E12:F12,"µ")+COUNTIF($E12:F12,1),ColDescriptionCourte)),""),
  "")),"")</f>
        <v/>
      </c>
      <c r="H12" s="40" t="str">
        <f ca="1">IFERROR(IF(AND(
  INDEX(Roadmap!$D:$K,MATCH($E12,Roadmap!$D:$D,0)+COUNTIF($E12:G12,"u")+COUNTIF($E12:G12,"t")+COUNTIF($E12:G12,"¶")+COUNTIF($E12:G12,"²")+COUNTIF($E12:G12,"µ")+COUNTIF($E12:G12,1),ColLivraison)=H$6,
  VLOOKUP($E12,INDIRECT("tri!"&amp; CHAR(64+ C0Col) &amp;":"&amp; CHAR(65+C0Col)),2,FALSE)&gt;COUNTIF($E12:G12,"u")+COUNTIF($E12:G12,"t")+COUNTIF($E12:G12,"¶")+COUNTIF($E12:G12,"²")+COUNTIF($E12:G12,"µ")+COUNTIF($E12:G12,1)),
HYPERLINK("#Roadmap!C"&amp; MATCH($E12,Roadmap!$D:$D,0)+COUNTIF($E12:G12,"u")+COUNTIF($E12:G12,"t"),
     INDEX(Roadmap!$D:$K,MATCH($E12,Roadmap!$D:$D,0)+COUNTIF($E12:G12,"u")+COUNTIF($E12:G12,"t")+COUNTIF($E12:G12,"¶")+COUNTIF($E12:G12,"²")+COUNTIF($E12:G12,"µ")+COUNTIF($E12:G12,1),ColTypeEcheance)),
  IF(LEN(G12)=1,
  IF(LEN(INDEX(Roadmap!$D:$K,MATCH($E12,Roadmap!$D:$D,0)-1+COUNTIF($E12:G12,"u")+COUNTIF($E12:G12,"t")+COUNTIF($E12:G12,"¶")+COUNTIF($E12:G12,"²")+COUNTIF($E12:G12,"µ")+COUNTIF($E12:G12,1),ColDescriptionCourte))&gt;1,
HYPERLINK("#Roadmap!C"&amp; MATCH($E12,Roadmap!$D:$D,0)+COUNTIF($E12:G12,"u")+COUNTIF($E12:G12,"t")+COUNTIF($E12:G12,"¶")+COUNTIF($E12:G12,"²")+COUNTIF($E12:G12,"µ")+COUNTIF($E12:G12,1)-1,INDEX(Roadmap!$D:$K,MATCH($E12,Roadmap!$D:$D,0)-1+COUNTIF($E12:G12,"u")+COUNTIF($E12:G12,"t")+COUNTIF($E12:G12,"¶")+COUNTIF($E12:G12,"²")+COUNTIF($E12:G12,"µ")+COUNTIF($E12:G12,1),ColDescriptionCourte)),""),
  "")),"")</f>
        <v/>
      </c>
      <c r="I12" s="40" t="str">
        <f ca="1">IFERROR(IF(AND(
  INDEX(Roadmap!$D:$K,MATCH($E12,Roadmap!$D:$D,0)+COUNTIF($E12:H12,"u")+COUNTIF($E12:H12,"t")+COUNTIF($E12:H12,"¶")+COUNTIF($E12:H12,"²")+COUNTIF($E12:H12,"µ")+COUNTIF($E12:H12,1),ColLivraison)=I$6,
  VLOOKUP($E12,INDIRECT("tri!"&amp; CHAR(64+ C0Col) &amp;":"&amp; CHAR(65+C0Col)),2,FALSE)&gt;COUNTIF($E12:H12,"u")+COUNTIF($E12:H12,"t")+COUNTIF($E12:H12,"¶")+COUNTIF($E12:H12,"²")+COUNTIF($E12:H12,"µ")+COUNTIF($E12:H12,1)),
HYPERLINK("#Roadmap!C"&amp; MATCH($E12,Roadmap!$D:$D,0)+COUNTIF($E12:H12,"u")+COUNTIF($E12:H12,"t"),
     INDEX(Roadmap!$D:$K,MATCH($E12,Roadmap!$D:$D,0)+COUNTIF($E12:H12,"u")+COUNTIF($E12:H12,"t")+COUNTIF($E12:H12,"¶")+COUNTIF($E12:H12,"²")+COUNTIF($E12:H12,"µ")+COUNTIF($E12:H12,1),ColTypeEcheance)),
  IF(LEN(H12)=1,
  IF(LEN(INDEX(Roadmap!$D:$K,MATCH($E12,Roadmap!$D:$D,0)-1+COUNTIF($E12:H12,"u")+COUNTIF($E12:H12,"t")+COUNTIF($E12:H12,"¶")+COUNTIF($E12:H12,"²")+COUNTIF($E12:H12,"µ")+COUNTIF($E12:H12,1),ColDescriptionCourte))&gt;1,
HYPERLINK("#Roadmap!C"&amp; MATCH($E12,Roadmap!$D:$D,0)+COUNTIF($E12:H12,"u")+COUNTIF($E12:H12,"t")+COUNTIF($E12:H12,"¶")+COUNTIF($E12:H12,"²")+COUNTIF($E12:H12,"µ")+COUNTIF($E12:H12,1)-1,INDEX(Roadmap!$D:$K,MATCH($E12,Roadmap!$D:$D,0)-1+COUNTIF($E12:H12,"u")+COUNTIF($E12:H12,"t")+COUNTIF($E12:H12,"¶")+COUNTIF($E12:H12,"²")+COUNTIF($E12:H12,"µ")+COUNTIF($E12:H12,1),ColDescriptionCourte)),""),
  "")),"")</f>
        <v/>
      </c>
      <c r="J12" s="40" t="str">
        <f ca="1">IFERROR(IF(AND(
  INDEX(Roadmap!$D:$K,MATCH($E12,Roadmap!$D:$D,0)+COUNTIF($E12:I12,"u")+COUNTIF($E12:I12,"t")+COUNTIF($E12:I12,"¶")+COUNTIF($E12:I12,"²")+COUNTIF($E12:I12,"µ")+COUNTIF($E12:I12,1),ColLivraison)=J$6,
  VLOOKUP($E12,INDIRECT("tri!"&amp; CHAR(64+ C0Col) &amp;":"&amp; CHAR(65+C0Col)),2,FALSE)&gt;COUNTIF($E12:I12,"u")+COUNTIF($E12:I12,"t")+COUNTIF($E12:I12,"¶")+COUNTIF($E12:I12,"²")+COUNTIF($E12:I12,"µ")+COUNTIF($E12:I12,1)),
HYPERLINK("#Roadmap!C"&amp; MATCH($E12,Roadmap!$D:$D,0)+COUNTIF($E12:I12,"u")+COUNTIF($E12:I12,"t"),
     INDEX(Roadmap!$D:$K,MATCH($E12,Roadmap!$D:$D,0)+COUNTIF($E12:I12,"u")+COUNTIF($E12:I12,"t")+COUNTIF($E12:I12,"¶")+COUNTIF($E12:I12,"²")+COUNTIF($E12:I12,"µ")+COUNTIF($E12:I12,1),ColTypeEcheance)),
  IF(LEN(I12)=1,
  IF(LEN(INDEX(Roadmap!$D:$K,MATCH($E12,Roadmap!$D:$D,0)-1+COUNTIF($E12:I12,"u")+COUNTIF($E12:I12,"t")+COUNTIF($E12:I12,"¶")+COUNTIF($E12:I12,"²")+COUNTIF($E12:I12,"µ")+COUNTIF($E12:I12,1),ColDescriptionCourte))&gt;1,
HYPERLINK("#Roadmap!C"&amp; MATCH($E12,Roadmap!$D:$D,0)+COUNTIF($E12:I12,"u")+COUNTIF($E12:I12,"t")+COUNTIF($E12:I12,"¶")+COUNTIF($E12:I12,"²")+COUNTIF($E12:I12,"µ")+COUNTIF($E12:I12,1)-1,INDEX(Roadmap!$D:$K,MATCH($E12,Roadmap!$D:$D,0)-1+COUNTIF($E12:I12,"u")+COUNTIF($E12:I12,"t")+COUNTIF($E12:I12,"¶")+COUNTIF($E12:I12,"²")+COUNTIF($E12:I12,"µ")+COUNTIF($E12:I12,1),ColDescriptionCourte)),""),
  "")),"")</f>
        <v/>
      </c>
      <c r="K12" s="40" t="str">
        <f ca="1">IFERROR(IF(AND(
  INDEX(Roadmap!$D:$K,MATCH($E12,Roadmap!$D:$D,0)+COUNTIF($E12:J12,"u")+COUNTIF($E12:J12,"t")+COUNTIF($E12:J12,"¶")+COUNTIF($E12:J12,"²")+COUNTIF($E12:J12,"µ")+COUNTIF($E12:J12,1),ColLivraison)=K$6,
  VLOOKUP($E12,INDIRECT("tri!"&amp; CHAR(64+ C0Col) &amp;":"&amp; CHAR(65+C0Col)),2,FALSE)&gt;COUNTIF($E12:J12,"u")+COUNTIF($E12:J12,"t")+COUNTIF($E12:J12,"¶")+COUNTIF($E12:J12,"²")+COUNTIF($E12:J12,"µ")+COUNTIF($E12:J12,1)),
HYPERLINK("#Roadmap!C"&amp; MATCH($E12,Roadmap!$D:$D,0)+COUNTIF($E12:J12,"u")+COUNTIF($E12:J12,"t"),
     INDEX(Roadmap!$D:$K,MATCH($E12,Roadmap!$D:$D,0)+COUNTIF($E12:J12,"u")+COUNTIF($E12:J12,"t")+COUNTIF($E12:J12,"¶")+COUNTIF($E12:J12,"²")+COUNTIF($E12:J12,"µ")+COUNTIF($E12:J12,1),ColTypeEcheance)),
  IF(LEN(J12)=1,
  IF(LEN(INDEX(Roadmap!$D:$K,MATCH($E12,Roadmap!$D:$D,0)-1+COUNTIF($E12:J12,"u")+COUNTIF($E12:J12,"t")+COUNTIF($E12:J12,"¶")+COUNTIF($E12:J12,"²")+COUNTIF($E12:J12,"µ")+COUNTIF($E12:J12,1),ColDescriptionCourte))&gt;1,
HYPERLINK("#Roadmap!C"&amp; MATCH($E12,Roadmap!$D:$D,0)+COUNTIF($E12:J12,"u")+COUNTIF($E12:J12,"t")+COUNTIF($E12:J12,"¶")+COUNTIF($E12:J12,"²")+COUNTIF($E12:J12,"µ")+COUNTIF($E12:J12,1)-1,INDEX(Roadmap!$D:$K,MATCH($E12,Roadmap!$D:$D,0)-1+COUNTIF($E12:J12,"u")+COUNTIF($E12:J12,"t")+COUNTIF($E12:J12,"¶")+COUNTIF($E12:J12,"²")+COUNTIF($E12:J12,"µ")+COUNTIF($E12:J12,1),ColDescriptionCourte)),""),
  "")),"")</f>
        <v/>
      </c>
      <c r="L12" s="39" t="str">
        <f ca="1">IFERROR(IF(AND(
  INDEX(Roadmap!$D:$K,MATCH($E12,Roadmap!$D:$D,0)+COUNTIF($E12:K12,"u")+COUNTIF($E12:K12,"t")+COUNTIF($E12:K12,"¶")+COUNTIF($E12:K12,"²")+COUNTIF($E12:K12,"µ")+COUNTIF($E12:K12,1),ColLivraison)=L$6,
  VLOOKUP($E12,INDIRECT("tri!"&amp; CHAR(64+ C0Col) &amp;":"&amp; CHAR(65+C0Col)),2,FALSE)&gt;COUNTIF($E12:K12,"u")+COUNTIF($E12:K12,"t")+COUNTIF($E12:K12,"¶")+COUNTIF($E12:K12,"²")+COUNTIF($E12:K12,"µ")+COUNTIF($E12:K12,1)),
HYPERLINK("#Roadmap!C"&amp; MATCH($E12,Roadmap!$D:$D,0)+COUNTIF($E12:K12,"u")+COUNTIF($E12:K12,"t"),
     INDEX(Roadmap!$D:$K,MATCH($E12,Roadmap!$D:$D,0)+COUNTIF($E12:K12,"u")+COUNTIF($E12:K12,"t")+COUNTIF($E12:K12,"¶")+COUNTIF($E12:K12,"²")+COUNTIF($E12:K12,"µ")+COUNTIF($E12:K12,1),ColTypeEcheance)),
  IF(LEN(K12)=1,
  IF(LEN(INDEX(Roadmap!$D:$K,MATCH($E12,Roadmap!$D:$D,0)-1+COUNTIF($E12:K12,"u")+COUNTIF($E12:K12,"t")+COUNTIF($E12:K12,"¶")+COUNTIF($E12:K12,"²")+COUNTIF($E12:K12,"µ")+COUNTIF($E12:K12,1),ColDescriptionCourte))&gt;1,
HYPERLINK("#Roadmap!C"&amp; MATCH($E12,Roadmap!$D:$D,0)+COUNTIF($E12:K12,"u")+COUNTIF($E12:K12,"t")+COUNTIF($E12:K12,"¶")+COUNTIF($E12:K12,"²")+COUNTIF($E12:K12,"µ")+COUNTIF($E12:K12,1)-1,INDEX(Roadmap!$D:$K,MATCH($E12,Roadmap!$D:$D,0)-1+COUNTIF($E12:K12,"u")+COUNTIF($E12:K12,"t")+COUNTIF($E12:K12,"¶")+COUNTIF($E12:K12,"²")+COUNTIF($E12:K12,"µ")+COUNTIF($E12:K12,1),ColDescriptionCourte)),""),
  "")),"")</f>
        <v/>
      </c>
      <c r="M12" s="40" t="str">
        <f ca="1">IFERROR(IF(AND(
  INDEX(Roadmap!$D:$K,MATCH($E12,Roadmap!$D:$D,0)+COUNTIF($E12:L12,"u")+COUNTIF($E12:L12,"t")+COUNTIF($E12:L12,"¶")+COUNTIF($E12:L12,"²")+COUNTIF($E12:L12,"µ")+COUNTIF($E12:L12,1),ColLivraison)=M$6,
  VLOOKUP($E12,INDIRECT("tri!"&amp; CHAR(64+ C0Col) &amp;":"&amp; CHAR(65+C0Col)),2,FALSE)&gt;COUNTIF($E12:L12,"u")+COUNTIF($E12:L12,"t")+COUNTIF($E12:L12,"¶")+COUNTIF($E12:L12,"²")+COUNTIF($E12:L12,"µ")+COUNTIF($E12:L12,1)),
HYPERLINK("#Roadmap!C"&amp; MATCH($E12,Roadmap!$D:$D,0)+COUNTIF($E12:L12,"u")+COUNTIF($E12:L12,"t"),
     INDEX(Roadmap!$D:$K,MATCH($E12,Roadmap!$D:$D,0)+COUNTIF($E12:L12,"u")+COUNTIF($E12:L12,"t")+COUNTIF($E12:L12,"¶")+COUNTIF($E12:L12,"²")+COUNTIF($E12:L12,"µ")+COUNTIF($E12:L12,1),ColTypeEcheance)),
  IF(LEN(L12)=1,
  IF(LEN(INDEX(Roadmap!$D:$K,MATCH($E12,Roadmap!$D:$D,0)-1+COUNTIF($E12:L12,"u")+COUNTIF($E12:L12,"t")+COUNTIF($E12:L12,"¶")+COUNTIF($E12:L12,"²")+COUNTIF($E12:L12,"µ")+COUNTIF($E12:L12,1),ColDescriptionCourte))&gt;1,
HYPERLINK("#Roadmap!C"&amp; MATCH($E12,Roadmap!$D:$D,0)+COUNTIF($E12:L12,"u")+COUNTIF($E12:L12,"t")+COUNTIF($E12:L12,"¶")+COUNTIF($E12:L12,"²")+COUNTIF($E12:L12,"µ")+COUNTIF($E12:L12,1)-1,INDEX(Roadmap!$D:$K,MATCH($E12,Roadmap!$D:$D,0)-1+COUNTIF($E12:L12,"u")+COUNTIF($E12:L12,"t")+COUNTIF($E12:L12,"¶")+COUNTIF($E12:L12,"²")+COUNTIF($E12:L12,"µ")+COUNTIF($E12:L12,1),ColDescriptionCourte)),""),
  "")),"")</f>
        <v/>
      </c>
      <c r="N12" s="40" t="str">
        <f ca="1">IFERROR(IF(AND(
  INDEX(Roadmap!$D:$K,MATCH($E12,Roadmap!$D:$D,0)+COUNTIF($E12:M12,"u")+COUNTIF($E12:M12,"t")+COUNTIF($E12:M12,"¶")+COUNTIF($E12:M12,"²")+COUNTIF($E12:M12,"µ")+COUNTIF($E12:M12,1),ColLivraison)=N$6,
  VLOOKUP($E12,INDIRECT("tri!"&amp; CHAR(64+ C0Col) &amp;":"&amp; CHAR(65+C0Col)),2,FALSE)&gt;COUNTIF($E12:M12,"u")+COUNTIF($E12:M12,"t")+COUNTIF($E12:M12,"¶")+COUNTIF($E12:M12,"²")+COUNTIF($E12:M12,"µ")+COUNTIF($E12:M12,1)),
HYPERLINK("#Roadmap!C"&amp; MATCH($E12,Roadmap!$D:$D,0)+COUNTIF($E12:M12,"u")+COUNTIF($E12:M12,"t"),
     INDEX(Roadmap!$D:$K,MATCH($E12,Roadmap!$D:$D,0)+COUNTIF($E12:M12,"u")+COUNTIF($E12:M12,"t")+COUNTIF($E12:M12,"¶")+COUNTIF($E12:M12,"²")+COUNTIF($E12:M12,"µ")+COUNTIF($E12:M12,1),ColTypeEcheance)),
  IF(LEN(M12)=1,
  IF(LEN(INDEX(Roadmap!$D:$K,MATCH($E12,Roadmap!$D:$D,0)-1+COUNTIF($E12:M12,"u")+COUNTIF($E12:M12,"t")+COUNTIF($E12:M12,"¶")+COUNTIF($E12:M12,"²")+COUNTIF($E12:M12,"µ")+COUNTIF($E12:M12,1),ColDescriptionCourte))&gt;1,
HYPERLINK("#Roadmap!C"&amp; MATCH($E12,Roadmap!$D:$D,0)+COUNTIF($E12:M12,"u")+COUNTIF($E12:M12,"t")+COUNTIF($E12:M12,"¶")+COUNTIF($E12:M12,"²")+COUNTIF($E12:M12,"µ")+COUNTIF($E12:M12,1)-1,INDEX(Roadmap!$D:$K,MATCH($E12,Roadmap!$D:$D,0)-1+COUNTIF($E12:M12,"u")+COUNTIF($E12:M12,"t")+COUNTIF($E12:M12,"¶")+COUNTIF($E12:M12,"²")+COUNTIF($E12:M12,"µ")+COUNTIF($E12:M12,1),ColDescriptionCourte)),""),
  "")),"")</f>
        <v/>
      </c>
      <c r="O12" s="40" t="str">
        <f ca="1">IFERROR(IF(AND(
  INDEX(Roadmap!$D:$K,MATCH($E12,Roadmap!$D:$D,0)+COUNTIF($E12:N12,"u")+COUNTIF($E12:N12,"t")+COUNTIF($E12:N12,"¶")+COUNTIF($E12:N12,"²")+COUNTIF($E12:N12,"µ")+COUNTIF($E12:N12,1),ColLivraison)=O$6,
  VLOOKUP($E12,INDIRECT("tri!"&amp; CHAR(64+ C0Col) &amp;":"&amp; CHAR(65+C0Col)),2,FALSE)&gt;COUNTIF($E12:N12,"u")+COUNTIF($E12:N12,"t")+COUNTIF($E12:N12,"¶")+COUNTIF($E12:N12,"²")+COUNTIF($E12:N12,"µ")+COUNTIF($E12:N12,1)),
HYPERLINK("#Roadmap!C"&amp; MATCH($E12,Roadmap!$D:$D,0)+COUNTIF($E12:N12,"u")+COUNTIF($E12:N12,"t"),
     INDEX(Roadmap!$D:$K,MATCH($E12,Roadmap!$D:$D,0)+COUNTIF($E12:N12,"u")+COUNTIF($E12:N12,"t")+COUNTIF($E12:N12,"¶")+COUNTIF($E12:N12,"²")+COUNTIF($E12:N12,"µ")+COUNTIF($E12:N12,1),ColTypeEcheance)),
  IF(LEN(N12)=1,
  IF(LEN(INDEX(Roadmap!$D:$K,MATCH($E12,Roadmap!$D:$D,0)-1+COUNTIF($E12:N12,"u")+COUNTIF($E12:N12,"t")+COUNTIF($E12:N12,"¶")+COUNTIF($E12:N12,"²")+COUNTIF($E12:N12,"µ")+COUNTIF($E12:N12,1),ColDescriptionCourte))&gt;1,
HYPERLINK("#Roadmap!C"&amp; MATCH($E12,Roadmap!$D:$D,0)+COUNTIF($E12:N12,"u")+COUNTIF($E12:N12,"t")+COUNTIF($E12:N12,"¶")+COUNTIF($E12:N12,"²")+COUNTIF($E12:N12,"µ")+COUNTIF($E12:N12,1)-1,INDEX(Roadmap!$D:$K,MATCH($E12,Roadmap!$D:$D,0)-1+COUNTIF($E12:N12,"u")+COUNTIF($E12:N12,"t")+COUNTIF($E12:N12,"¶")+COUNTIF($E12:N12,"²")+COUNTIF($E12:N12,"µ")+COUNTIF($E12:N12,1),ColDescriptionCourte)),""),
  "")),"")</f>
        <v/>
      </c>
      <c r="P12" s="40" t="str">
        <f ca="1">IFERROR(IF(AND(
  INDEX(Roadmap!$D:$K,MATCH($E12,Roadmap!$D:$D,0)+COUNTIF($E12:O12,"u")+COUNTIF($E12:O12,"t")+COUNTIF($E12:O12,"¶")+COUNTIF($E12:O12,"²")+COUNTIF($E12:O12,"µ")+COUNTIF($E12:O12,1),ColLivraison)=P$6,
  VLOOKUP($E12,INDIRECT("tri!"&amp; CHAR(64+ C0Col) &amp;":"&amp; CHAR(65+C0Col)),2,FALSE)&gt;COUNTIF($E12:O12,"u")+COUNTIF($E12:O12,"t")+COUNTIF($E12:O12,"¶")+COUNTIF($E12:O12,"²")+COUNTIF($E12:O12,"µ")+COUNTIF($E12:O12,1)),
HYPERLINK("#Roadmap!C"&amp; MATCH($E12,Roadmap!$D:$D,0)+COUNTIF($E12:O12,"u")+COUNTIF($E12:O12,"t"),
     INDEX(Roadmap!$D:$K,MATCH($E12,Roadmap!$D:$D,0)+COUNTIF($E12:O12,"u")+COUNTIF($E12:O12,"t")+COUNTIF($E12:O12,"¶")+COUNTIF($E12:O12,"²")+COUNTIF($E12:O12,"µ")+COUNTIF($E12:O12,1),ColTypeEcheance)),
  IF(LEN(O12)=1,
  IF(LEN(INDEX(Roadmap!$D:$K,MATCH($E12,Roadmap!$D:$D,0)-1+COUNTIF($E12:O12,"u")+COUNTIF($E12:O12,"t")+COUNTIF($E12:O12,"¶")+COUNTIF($E12:O12,"²")+COUNTIF($E12:O12,"µ")+COUNTIF($E12:O12,1),ColDescriptionCourte))&gt;1,
HYPERLINK("#Roadmap!C"&amp; MATCH($E12,Roadmap!$D:$D,0)+COUNTIF($E12:O12,"u")+COUNTIF($E12:O12,"t")+COUNTIF($E12:O12,"¶")+COUNTIF($E12:O12,"²")+COUNTIF($E12:O12,"µ")+COUNTIF($E12:O12,1)-1,INDEX(Roadmap!$D:$K,MATCH($E12,Roadmap!$D:$D,0)-1+COUNTIF($E12:O12,"u")+COUNTIF($E12:O12,"t")+COUNTIF($E12:O12,"¶")+COUNTIF($E12:O12,"²")+COUNTIF($E12:O12,"µ")+COUNTIF($E12:O12,1),ColDescriptionCourte)),""),
  "")),"")</f>
        <v/>
      </c>
      <c r="Q12" s="40" t="str">
        <f ca="1">IFERROR(IF(AND(
  INDEX(Roadmap!$D:$K,MATCH($E12,Roadmap!$D:$D,0)+COUNTIF($E12:P12,"u")+COUNTIF($E12:P12,"t")+COUNTIF($E12:P12,"¶")+COUNTIF($E12:P12,"²")+COUNTIF($E12:P12,"µ")+COUNTIF($E12:P12,1),ColLivraison)=Q$6,
  VLOOKUP($E12,INDIRECT("tri!"&amp; CHAR(64+ C0Col) &amp;":"&amp; CHAR(65+C0Col)),2,FALSE)&gt;COUNTIF($E12:P12,"u")+COUNTIF($E12:P12,"t")+COUNTIF($E12:P12,"¶")+COUNTIF($E12:P12,"²")+COUNTIF($E12:P12,"µ")+COUNTIF($E12:P12,1)),
HYPERLINK("#Roadmap!C"&amp; MATCH($E12,Roadmap!$D:$D,0)+COUNTIF($E12:P12,"u")+COUNTIF($E12:P12,"t"),
     INDEX(Roadmap!$D:$K,MATCH($E12,Roadmap!$D:$D,0)+COUNTIF($E12:P12,"u")+COUNTIF($E12:P12,"t")+COUNTIF($E12:P12,"¶")+COUNTIF($E12:P12,"²")+COUNTIF($E12:P12,"µ")+COUNTIF($E12:P12,1),ColTypeEcheance)),
  IF(LEN(P12)=1,
  IF(LEN(INDEX(Roadmap!$D:$K,MATCH($E12,Roadmap!$D:$D,0)-1+COUNTIF($E12:P12,"u")+COUNTIF($E12:P12,"t")+COUNTIF($E12:P12,"¶")+COUNTIF($E12:P12,"²")+COUNTIF($E12:P12,"µ")+COUNTIF($E12:P12,1),ColDescriptionCourte))&gt;1,
HYPERLINK("#Roadmap!C"&amp; MATCH($E12,Roadmap!$D:$D,0)+COUNTIF($E12:P12,"u")+COUNTIF($E12:P12,"t")+COUNTIF($E12:P12,"¶")+COUNTIF($E12:P12,"²")+COUNTIF($E12:P12,"µ")+COUNTIF($E12:P12,1)-1,INDEX(Roadmap!$D:$K,MATCH($E12,Roadmap!$D:$D,0)-1+COUNTIF($E12:P12,"u")+COUNTIF($E12:P12,"t")+COUNTIF($E12:P12,"¶")+COUNTIF($E12:P12,"²")+COUNTIF($E12:P12,"µ")+COUNTIF($E12:P12,1),ColDescriptionCourte)),""),
  "")),"")</f>
        <v/>
      </c>
      <c r="R12" s="40" t="str">
        <f ca="1">IFERROR(IF(AND(
  INDEX(Roadmap!$D:$K,MATCH($E12,Roadmap!$D:$D,0)+COUNTIF($E12:Q12,"u")+COUNTIF($E12:Q12,"t")+COUNTIF($E12:Q12,"¶")+COUNTIF($E12:Q12,"²")+COUNTIF($E12:Q12,"µ")+COUNTIF($E12:Q12,1),ColLivraison)=R$6,
  VLOOKUP($E12,INDIRECT("tri!"&amp; CHAR(64+ C0Col) &amp;":"&amp; CHAR(65+C0Col)),2,FALSE)&gt;COUNTIF($E12:Q12,"u")+COUNTIF($E12:Q12,"t")+COUNTIF($E12:Q12,"¶")+COUNTIF($E12:Q12,"²")+COUNTIF($E12:Q12,"µ")+COUNTIF($E12:Q12,1)),
HYPERLINK("#Roadmap!C"&amp; MATCH($E12,Roadmap!$D:$D,0)+COUNTIF($E12:Q12,"u")+COUNTIF($E12:Q12,"t"),
     INDEX(Roadmap!$D:$K,MATCH($E12,Roadmap!$D:$D,0)+COUNTIF($E12:Q12,"u")+COUNTIF($E12:Q12,"t")+COUNTIF($E12:Q12,"¶")+COUNTIF($E12:Q12,"²")+COUNTIF($E12:Q12,"µ")+COUNTIF($E12:Q12,1),ColTypeEcheance)),
  IF(LEN(Q12)=1,
  IF(LEN(INDEX(Roadmap!$D:$K,MATCH($E12,Roadmap!$D:$D,0)-1+COUNTIF($E12:Q12,"u")+COUNTIF($E12:Q12,"t")+COUNTIF($E12:Q12,"¶")+COUNTIF($E12:Q12,"²")+COUNTIF($E12:Q12,"µ")+COUNTIF($E12:Q12,1),ColDescriptionCourte))&gt;1,
HYPERLINK("#Roadmap!C"&amp; MATCH($E12,Roadmap!$D:$D,0)+COUNTIF($E12:Q12,"u")+COUNTIF($E12:Q12,"t")+COUNTIF($E12:Q12,"¶")+COUNTIF($E12:Q12,"²")+COUNTIF($E12:Q12,"µ")+COUNTIF($E12:Q12,1)-1,INDEX(Roadmap!$D:$K,MATCH($E12,Roadmap!$D:$D,0)-1+COUNTIF($E12:Q12,"u")+COUNTIF($E12:Q12,"t")+COUNTIF($E12:Q12,"¶")+COUNTIF($E12:Q12,"²")+COUNTIF($E12:Q12,"µ")+COUNTIF($E12:Q12,1),ColDescriptionCourte)),""),
  "")),"")</f>
        <v/>
      </c>
      <c r="S12" s="40" t="str">
        <f ca="1">IFERROR(IF(AND(
  INDEX(Roadmap!$D:$K,MATCH($E12,Roadmap!$D:$D,0)+COUNTIF($E12:R12,"u")+COUNTIF($E12:R12,"t")+COUNTIF($E12:R12,"¶")+COUNTIF($E12:R12,"²")+COUNTIF($E12:R12,"µ")+COUNTIF($E12:R12,1),ColLivraison)=S$6,
  VLOOKUP($E12,INDIRECT("tri!"&amp; CHAR(64+ C0Col) &amp;":"&amp; CHAR(65+C0Col)),2,FALSE)&gt;COUNTIF($E12:R12,"u")+COUNTIF($E12:R12,"t")+COUNTIF($E12:R12,"¶")+COUNTIF($E12:R12,"²")+COUNTIF($E12:R12,"µ")+COUNTIF($E12:R12,1)),
HYPERLINK("#Roadmap!C"&amp; MATCH($E12,Roadmap!$D:$D,0)+COUNTIF($E12:R12,"u")+COUNTIF($E12:R12,"t"),
     INDEX(Roadmap!$D:$K,MATCH($E12,Roadmap!$D:$D,0)+COUNTIF($E12:R12,"u")+COUNTIF($E12:R12,"t")+COUNTIF($E12:R12,"¶")+COUNTIF($E12:R12,"²")+COUNTIF($E12:R12,"µ")+COUNTIF($E12:R12,1),ColTypeEcheance)),
  IF(LEN(R12)=1,
  IF(LEN(INDEX(Roadmap!$D:$K,MATCH($E12,Roadmap!$D:$D,0)-1+COUNTIF($E12:R12,"u")+COUNTIF($E12:R12,"t")+COUNTIF($E12:R12,"¶")+COUNTIF($E12:R12,"²")+COUNTIF($E12:R12,"µ")+COUNTIF($E12:R12,1),ColDescriptionCourte))&gt;1,
HYPERLINK("#Roadmap!C"&amp; MATCH($E12,Roadmap!$D:$D,0)+COUNTIF($E12:R12,"u")+COUNTIF($E12:R12,"t")+COUNTIF($E12:R12,"¶")+COUNTIF($E12:R12,"²")+COUNTIF($E12:R12,"µ")+COUNTIF($E12:R12,1)-1,INDEX(Roadmap!$D:$K,MATCH($E12,Roadmap!$D:$D,0)-1+COUNTIF($E12:R12,"u")+COUNTIF($E12:R12,"t")+COUNTIF($E12:R12,"¶")+COUNTIF($E12:R12,"²")+COUNTIF($E12:R12,"µ")+COUNTIF($E12:R12,1),ColDescriptionCourte)),""),
  "")),"")</f>
        <v/>
      </c>
      <c r="T12" s="40" t="str">
        <f ca="1">IFERROR(IF(AND(
  INDEX(Roadmap!$D:$K,MATCH($E12,Roadmap!$D:$D,0)+COUNTIF($E12:S12,"u")+COUNTIF($E12:S12,"t")+COUNTIF($E12:S12,"¶")+COUNTIF($E12:S12,"²")+COUNTIF($E12:S12,"µ")+COUNTIF($E12:S12,1),ColLivraison)=T$6,
  VLOOKUP($E12,INDIRECT("tri!"&amp; CHAR(64+ C0Col) &amp;":"&amp; CHAR(65+C0Col)),2,FALSE)&gt;COUNTIF($E12:S12,"u")+COUNTIF($E12:S12,"t")+COUNTIF($E12:S12,"¶")+COUNTIF($E12:S12,"²")+COUNTIF($E12:S12,"µ")+COUNTIF($E12:S12,1)),
HYPERLINK("#Roadmap!C"&amp; MATCH($E12,Roadmap!$D:$D,0)+COUNTIF($E12:S12,"u")+COUNTIF($E12:S12,"t"),
     INDEX(Roadmap!$D:$K,MATCH($E12,Roadmap!$D:$D,0)+COUNTIF($E12:S12,"u")+COUNTIF($E12:S12,"t")+COUNTIF($E12:S12,"¶")+COUNTIF($E12:S12,"²")+COUNTIF($E12:S12,"µ")+COUNTIF($E12:S12,1),ColTypeEcheance)),
  IF(LEN(S12)=1,
  IF(LEN(INDEX(Roadmap!$D:$K,MATCH($E12,Roadmap!$D:$D,0)-1+COUNTIF($E12:S12,"u")+COUNTIF($E12:S12,"t")+COUNTIF($E12:S12,"¶")+COUNTIF($E12:S12,"²")+COUNTIF($E12:S12,"µ")+COUNTIF($E12:S12,1),ColDescriptionCourte))&gt;1,
HYPERLINK("#Roadmap!C"&amp; MATCH($E12,Roadmap!$D:$D,0)+COUNTIF($E12:S12,"u")+COUNTIF($E12:S12,"t")+COUNTIF($E12:S12,"¶")+COUNTIF($E12:S12,"²")+COUNTIF($E12:S12,"µ")+COUNTIF($E12:S12,1)-1,INDEX(Roadmap!$D:$K,MATCH($E12,Roadmap!$D:$D,0)-1+COUNTIF($E12:S12,"u")+COUNTIF($E12:S12,"t")+COUNTIF($E12:S12,"¶")+COUNTIF($E12:S12,"²")+COUNTIF($E12:S12,"µ")+COUNTIF($E12:S12,1),ColDescriptionCourte)),""),
  "")),"")</f>
        <v/>
      </c>
      <c r="U12" s="40" t="str">
        <f ca="1">IFERROR(IF(AND(
  INDEX(Roadmap!$D:$K,MATCH($E12,Roadmap!$D:$D,0)+COUNTIF($E12:T12,"u")+COUNTIF($E12:T12,"t")+COUNTIF($E12:T12,"¶")+COUNTIF($E12:T12,"²")+COUNTIF($E12:T12,"µ")+COUNTIF($E12:T12,1),ColLivraison)=U$6,
  VLOOKUP($E12,INDIRECT("tri!"&amp; CHAR(64+ C0Col) &amp;":"&amp; CHAR(65+C0Col)),2,FALSE)&gt;COUNTIF($E12:T12,"u")+COUNTIF($E12:T12,"t")+COUNTIF($E12:T12,"¶")+COUNTIF($E12:T12,"²")+COUNTIF($E12:T12,"µ")+COUNTIF($E12:T12,1)),
HYPERLINK("#Roadmap!C"&amp; MATCH($E12,Roadmap!$D:$D,0)+COUNTIF($E12:T12,"u")+COUNTIF($E12:T12,"t"),
     INDEX(Roadmap!$D:$K,MATCH($E12,Roadmap!$D:$D,0)+COUNTIF($E12:T12,"u")+COUNTIF($E12:T12,"t")+COUNTIF($E12:T12,"¶")+COUNTIF($E12:T12,"²")+COUNTIF($E12:T12,"µ")+COUNTIF($E12:T12,1),ColTypeEcheance)),
  IF(LEN(T12)=1,
  IF(LEN(INDEX(Roadmap!$D:$K,MATCH($E12,Roadmap!$D:$D,0)-1+COUNTIF($E12:T12,"u")+COUNTIF($E12:T12,"t")+COUNTIF($E12:T12,"¶")+COUNTIF($E12:T12,"²")+COUNTIF($E12:T12,"µ")+COUNTIF($E12:T12,1),ColDescriptionCourte))&gt;1,
HYPERLINK("#Roadmap!C"&amp; MATCH($E12,Roadmap!$D:$D,0)+COUNTIF($E12:T12,"u")+COUNTIF($E12:T12,"t")+COUNTIF($E12:T12,"¶")+COUNTIF($E12:T12,"²")+COUNTIF($E12:T12,"µ")+COUNTIF($E12:T12,1)-1,INDEX(Roadmap!$D:$K,MATCH($E12,Roadmap!$D:$D,0)-1+COUNTIF($E12:T12,"u")+COUNTIF($E12:T12,"t")+COUNTIF($E12:T12,"¶")+COUNTIF($E12:T12,"²")+COUNTIF($E12:T12,"µ")+COUNTIF($E12:T12,1),ColDescriptionCourte)),""),
  "")),"")</f>
        <v/>
      </c>
      <c r="V12" s="40" t="str">
        <f ca="1">IFERROR(IF(AND(
  INDEX(Roadmap!$D:$K,MATCH($E12,Roadmap!$D:$D,0)+COUNTIF($E12:U12,"u")+COUNTIF($E12:U12,"t")+COUNTIF($E12:U12,"¶")+COUNTIF($E12:U12,"²")+COUNTIF($E12:U12,"µ")+COUNTIF($E12:U12,1),ColLivraison)=V$6,
  VLOOKUP($E12,INDIRECT("tri!"&amp; CHAR(64+ C0Col) &amp;":"&amp; CHAR(65+C0Col)),2,FALSE)&gt;COUNTIF($E12:U12,"u")+COUNTIF($E12:U12,"t")+COUNTIF($E12:U12,"¶")+COUNTIF($E12:U12,"²")+COUNTIF($E12:U12,"µ")+COUNTIF($E12:U12,1)),
HYPERLINK("#Roadmap!C"&amp; MATCH($E12,Roadmap!$D:$D,0)+COUNTIF($E12:U12,"u")+COUNTIF($E12:U12,"t"),
     INDEX(Roadmap!$D:$K,MATCH($E12,Roadmap!$D:$D,0)+COUNTIF($E12:U12,"u")+COUNTIF($E12:U12,"t")+COUNTIF($E12:U12,"¶")+COUNTIF($E12:U12,"²")+COUNTIF($E12:U12,"µ")+COUNTIF($E12:U12,1),ColTypeEcheance)),
  IF(LEN(U12)=1,
  IF(LEN(INDEX(Roadmap!$D:$K,MATCH($E12,Roadmap!$D:$D,0)-1+COUNTIF($E12:U12,"u")+COUNTIF($E12:U12,"t")+COUNTIF($E12:U12,"¶")+COUNTIF($E12:U12,"²")+COUNTIF($E12:U12,"µ")+COUNTIF($E12:U12,1),ColDescriptionCourte))&gt;1,
HYPERLINK("#Roadmap!C"&amp; MATCH($E12,Roadmap!$D:$D,0)+COUNTIF($E12:U12,"u")+COUNTIF($E12:U12,"t")+COUNTIF($E12:U12,"¶")+COUNTIF($E12:U12,"²")+COUNTIF($E12:U12,"µ")+COUNTIF($E12:U12,1)-1,INDEX(Roadmap!$D:$K,MATCH($E12,Roadmap!$D:$D,0)-1+COUNTIF($E12:U12,"u")+COUNTIF($E12:U12,"t")+COUNTIF($E12:U12,"¶")+COUNTIF($E12:U12,"²")+COUNTIF($E12:U12,"µ")+COUNTIF($E12:U12,1),ColDescriptionCourte)),""),
  "")),"")</f>
        <v/>
      </c>
      <c r="W12" s="40" t="str">
        <f ca="1">IFERROR(IF(AND(
  INDEX(Roadmap!$D:$K,MATCH($E12,Roadmap!$D:$D,0)+COUNTIF($E12:V12,"u")+COUNTIF($E12:V12,"t")+COUNTIF($E12:V12,"¶")+COUNTIF($E12:V12,"²")+COUNTIF($E12:V12,"µ")+COUNTIF($E12:V12,1),ColLivraison)=W$6,
  VLOOKUP($E12,INDIRECT("tri!"&amp; CHAR(64+ C0Col) &amp;":"&amp; CHAR(65+C0Col)),2,FALSE)&gt;COUNTIF($E12:V12,"u")+COUNTIF($E12:V12,"t")+COUNTIF($E12:V12,"¶")+COUNTIF($E12:V12,"²")+COUNTIF($E12:V12,"µ")+COUNTIF($E12:V12,1)),
HYPERLINK("#Roadmap!C"&amp; MATCH($E12,Roadmap!$D:$D,0)+COUNTIF($E12:V12,"u")+COUNTIF($E12:V12,"t"),
     INDEX(Roadmap!$D:$K,MATCH($E12,Roadmap!$D:$D,0)+COUNTIF($E12:V12,"u")+COUNTIF($E12:V12,"t")+COUNTIF($E12:V12,"¶")+COUNTIF($E12:V12,"²")+COUNTIF($E12:V12,"µ")+COUNTIF($E12:V12,1),ColTypeEcheance)),
  IF(LEN(V12)=1,
  IF(LEN(INDEX(Roadmap!$D:$K,MATCH($E12,Roadmap!$D:$D,0)-1+COUNTIF($E12:V12,"u")+COUNTIF($E12:V12,"t")+COUNTIF($E12:V12,"¶")+COUNTIF($E12:V12,"²")+COUNTIF($E12:V12,"µ")+COUNTIF($E12:V12,1),ColDescriptionCourte))&gt;1,
HYPERLINK("#Roadmap!C"&amp; MATCH($E12,Roadmap!$D:$D,0)+COUNTIF($E12:V12,"u")+COUNTIF($E12:V12,"t")+COUNTIF($E12:V12,"¶")+COUNTIF($E12:V12,"²")+COUNTIF($E12:V12,"µ")+COUNTIF($E12:V12,1)-1,INDEX(Roadmap!$D:$K,MATCH($E12,Roadmap!$D:$D,0)-1+COUNTIF($E12:V12,"u")+COUNTIF($E12:V12,"t")+COUNTIF($E12:V12,"¶")+COUNTIF($E12:V12,"²")+COUNTIF($E12:V12,"µ")+COUNTIF($E12:V12,1),ColDescriptionCourte)),""),
  "")),"")</f>
        <v/>
      </c>
      <c r="X12" s="40" t="str">
        <f ca="1">IFERROR(IF(AND(
  INDEX(Roadmap!$D:$K,MATCH($E12,Roadmap!$D:$D,0)+COUNTIF($E12:W12,"u")+COUNTIF($E12:W12,"t")+COUNTIF($E12:W12,"¶")+COUNTIF($E12:W12,"²")+COUNTIF($E12:W12,"µ")+COUNTIF($E12:W12,1),ColLivraison)=X$6,
  VLOOKUP($E12,INDIRECT("tri!"&amp; CHAR(64+ C0Col) &amp;":"&amp; CHAR(65+C0Col)),2,FALSE)&gt;COUNTIF($E12:W12,"u")+COUNTIF($E12:W12,"t")+COUNTIF($E12:W12,"¶")+COUNTIF($E12:W12,"²")+COUNTIF($E12:W12,"µ")+COUNTIF($E12:W12,1)),
HYPERLINK("#Roadmap!C"&amp; MATCH($E12,Roadmap!$D:$D,0)+COUNTIF($E12:W12,"u")+COUNTIF($E12:W12,"t"),
     INDEX(Roadmap!$D:$K,MATCH($E12,Roadmap!$D:$D,0)+COUNTIF($E12:W12,"u")+COUNTIF($E12:W12,"t")+COUNTIF($E12:W12,"¶")+COUNTIF($E12:W12,"²")+COUNTIF($E12:W12,"µ")+COUNTIF($E12:W12,1),ColTypeEcheance)),
  IF(LEN(W12)=1,
  IF(LEN(INDEX(Roadmap!$D:$K,MATCH($E12,Roadmap!$D:$D,0)-1+COUNTIF($E12:W12,"u")+COUNTIF($E12:W12,"t")+COUNTIF($E12:W12,"¶")+COUNTIF($E12:W12,"²")+COUNTIF($E12:W12,"µ")+COUNTIF($E12:W12,1),ColDescriptionCourte))&gt;1,
HYPERLINK("#Roadmap!C"&amp; MATCH($E12,Roadmap!$D:$D,0)+COUNTIF($E12:W12,"u")+COUNTIF($E12:W12,"t")+COUNTIF($E12:W12,"¶")+COUNTIF($E12:W12,"²")+COUNTIF($E12:W12,"µ")+COUNTIF($E12:W12,1)-1,INDEX(Roadmap!$D:$K,MATCH($E12,Roadmap!$D:$D,0)-1+COUNTIF($E12:W12,"u")+COUNTIF($E12:W12,"t")+COUNTIF($E12:W12,"¶")+COUNTIF($E12:W12,"²")+COUNTIF($E12:W12,"µ")+COUNTIF($E12:W12,1),ColDescriptionCourte)),""),
  "")),"")</f>
        <v/>
      </c>
      <c r="Y12" s="40" t="str">
        <f ca="1">IFERROR(IF(AND(
  INDEX(Roadmap!$D:$K,MATCH($E12,Roadmap!$D:$D,0)+COUNTIF($E12:X12,"u")+COUNTIF($E12:X12,"t")+COUNTIF($E12:X12,"¶")+COUNTIF($E12:X12,"²")+COUNTIF($E12:X12,"µ")+COUNTIF($E12:X12,1),ColLivraison)=Y$6,
  VLOOKUP($E12,INDIRECT("tri!"&amp; CHAR(64+ C0Col) &amp;":"&amp; CHAR(65+C0Col)),2,FALSE)&gt;COUNTIF($E12:X12,"u")+COUNTIF($E12:X12,"t")+COUNTIF($E12:X12,"¶")+COUNTIF($E12:X12,"²")+COUNTIF($E12:X12,"µ")+COUNTIF($E12:X12,1)),
HYPERLINK("#Roadmap!C"&amp; MATCH($E12,Roadmap!$D:$D,0)+COUNTIF($E12:X12,"u")+COUNTIF($E12:X12,"t"),
     INDEX(Roadmap!$D:$K,MATCH($E12,Roadmap!$D:$D,0)+COUNTIF($E12:X12,"u")+COUNTIF($E12:X12,"t")+COUNTIF($E12:X12,"¶")+COUNTIF($E12:X12,"²")+COUNTIF($E12:X12,"µ")+COUNTIF($E12:X12,1),ColTypeEcheance)),
  IF(LEN(X12)=1,
  IF(LEN(INDEX(Roadmap!$D:$K,MATCH($E12,Roadmap!$D:$D,0)-1+COUNTIF($E12:X12,"u")+COUNTIF($E12:X12,"t")+COUNTIF($E12:X12,"¶")+COUNTIF($E12:X12,"²")+COUNTIF($E12:X12,"µ")+COUNTIF($E12:X12,1),ColDescriptionCourte))&gt;1,
HYPERLINK("#Roadmap!C"&amp; MATCH($E12,Roadmap!$D:$D,0)+COUNTIF($E12:X12,"u")+COUNTIF($E12:X12,"t")+COUNTIF($E12:X12,"¶")+COUNTIF($E12:X12,"²")+COUNTIF($E12:X12,"µ")+COUNTIF($E12:X12,1)-1,INDEX(Roadmap!$D:$K,MATCH($E12,Roadmap!$D:$D,0)-1+COUNTIF($E12:X12,"u")+COUNTIF($E12:X12,"t")+COUNTIF($E12:X12,"¶")+COUNTIF($E12:X12,"²")+COUNTIF($E12:X12,"µ")+COUNTIF($E12:X12,1),ColDescriptionCourte)),""),
  "")),"")</f>
        <v/>
      </c>
      <c r="Z12" s="40" t="str">
        <f ca="1">IFERROR(IF(AND(
  INDEX(Roadmap!$D:$K,MATCH($E12,Roadmap!$D:$D,0)+COUNTIF($E12:Y12,"u")+COUNTIF($E12:Y12,"t")+COUNTIF($E12:Y12,"¶")+COUNTIF($E12:Y12,"²")+COUNTIF($E12:Y12,"µ")+COUNTIF($E12:Y12,1),ColLivraison)=Z$6,
  VLOOKUP($E12,INDIRECT("tri!"&amp; CHAR(64+ C0Col) &amp;":"&amp; CHAR(65+C0Col)),2,FALSE)&gt;COUNTIF($E12:Y12,"u")+COUNTIF($E12:Y12,"t")+COUNTIF($E12:Y12,"¶")+COUNTIF($E12:Y12,"²")+COUNTIF($E12:Y12,"µ")+COUNTIF($E12:Y12,1)),
HYPERLINK("#Roadmap!C"&amp; MATCH($E12,Roadmap!$D:$D,0)+COUNTIF($E12:Y12,"u")+COUNTIF($E12:Y12,"t"),
     INDEX(Roadmap!$D:$K,MATCH($E12,Roadmap!$D:$D,0)+COUNTIF($E12:Y12,"u")+COUNTIF($E12:Y12,"t")+COUNTIF($E12:Y12,"¶")+COUNTIF($E12:Y12,"²")+COUNTIF($E12:Y12,"µ")+COUNTIF($E12:Y12,1),ColTypeEcheance)),
  IF(LEN(Y12)=1,
  IF(LEN(INDEX(Roadmap!$D:$K,MATCH($E12,Roadmap!$D:$D,0)-1+COUNTIF($E12:Y12,"u")+COUNTIF($E12:Y12,"t")+COUNTIF($E12:Y12,"¶")+COUNTIF($E12:Y12,"²")+COUNTIF($E12:Y12,"µ")+COUNTIF($E12:Y12,1),ColDescriptionCourte))&gt;1,
HYPERLINK("#Roadmap!C"&amp; MATCH($E12,Roadmap!$D:$D,0)+COUNTIF($E12:Y12,"u")+COUNTIF($E12:Y12,"t")+COUNTIF($E12:Y12,"¶")+COUNTIF($E12:Y12,"²")+COUNTIF($E12:Y12,"µ")+COUNTIF($E12:Y12,1)-1,INDEX(Roadmap!$D:$K,MATCH($E12,Roadmap!$D:$D,0)-1+COUNTIF($E12:Y12,"u")+COUNTIF($E12:Y12,"t")+COUNTIF($E12:Y12,"¶")+COUNTIF($E12:Y12,"²")+COUNTIF($E12:Y12,"µ")+COUNTIF($E12:Y12,1),ColDescriptionCourte)),""),
  "")),"")</f>
        <v/>
      </c>
      <c r="AA12" s="40" t="str">
        <f ca="1">IFERROR(IF(AND(
  INDEX(Roadmap!$D:$K,MATCH($E12,Roadmap!$D:$D,0)+COUNTIF($E12:Z12,"u")+COUNTIF($E12:Z12,"t")+COUNTIF($E12:Z12,"¶")+COUNTIF($E12:Z12,"²")+COUNTIF($E12:Z12,"µ")+COUNTIF($E12:Z12,1),ColLivraison)=AA$6,
  VLOOKUP($E12,INDIRECT("tri!"&amp; CHAR(64+ C0Col) &amp;":"&amp; CHAR(65+C0Col)),2,FALSE)&gt;COUNTIF($E12:Z12,"u")+COUNTIF($E12:Z12,"t")+COUNTIF($E12:Z12,"¶")+COUNTIF($E12:Z12,"²")+COUNTIF($E12:Z12,"µ")+COUNTIF($E12:Z12,1)),
HYPERLINK("#Roadmap!C"&amp; MATCH($E12,Roadmap!$D:$D,0)+COUNTIF($E12:Z12,"u")+COUNTIF($E12:Z12,"t"),
     INDEX(Roadmap!$D:$K,MATCH($E12,Roadmap!$D:$D,0)+COUNTIF($E12:Z12,"u")+COUNTIF($E12:Z12,"t")+COUNTIF($E12:Z12,"¶")+COUNTIF($E12:Z12,"²")+COUNTIF($E12:Z12,"µ")+COUNTIF($E12:Z12,1),ColTypeEcheance)),
  IF(LEN(Z12)=1,
  IF(LEN(INDEX(Roadmap!$D:$K,MATCH($E12,Roadmap!$D:$D,0)-1+COUNTIF($E12:Z12,"u")+COUNTIF($E12:Z12,"t")+COUNTIF($E12:Z12,"¶")+COUNTIF($E12:Z12,"²")+COUNTIF($E12:Z12,"µ")+COUNTIF($E12:Z12,1),ColDescriptionCourte))&gt;1,
HYPERLINK("#Roadmap!C"&amp; MATCH($E12,Roadmap!$D:$D,0)+COUNTIF($E12:Z12,"u")+COUNTIF($E12:Z12,"t")+COUNTIF($E12:Z12,"¶")+COUNTIF($E12:Z12,"²")+COUNTIF($E12:Z12,"µ")+COUNTIF($E12:Z12,1)-1,INDEX(Roadmap!$D:$K,MATCH($E12,Roadmap!$D:$D,0)-1+COUNTIF($E12:Z12,"u")+COUNTIF($E12:Z12,"t")+COUNTIF($E12:Z12,"¶")+COUNTIF($E12:Z12,"²")+COUNTIF($E12:Z12,"µ")+COUNTIF($E12:Z12,1),ColDescriptionCourte)),""),
  "")),"")</f>
        <v/>
      </c>
      <c r="AB12" s="40" t="str">
        <f ca="1">IFERROR(IF(AND(
  INDEX(Roadmap!$D:$K,MATCH($E12,Roadmap!$D:$D,0)+COUNTIF($E12:AA12,"u")+COUNTIF($E12:AA12,"t")+COUNTIF($E12:AA12,"¶")+COUNTIF($E12:AA12,"²")+COUNTIF($E12:AA12,"µ")+COUNTIF($E12:AA12,1),ColLivraison)=AB$6,
  VLOOKUP($E12,INDIRECT("tri!"&amp; CHAR(64+ C0Col) &amp;":"&amp; CHAR(65+C0Col)),2,FALSE)&gt;COUNTIF($E12:AA12,"u")+COUNTIF($E12:AA12,"t")+COUNTIF($E12:AA12,"¶")+COUNTIF($E12:AA12,"²")+COUNTIF($E12:AA12,"µ")+COUNTIF($E12:AA12,1)),
HYPERLINK("#Roadmap!C"&amp; MATCH($E12,Roadmap!$D:$D,0)+COUNTIF($E12:AA12,"u")+COUNTIF($E12:AA12,"t"),
     INDEX(Roadmap!$D:$K,MATCH($E12,Roadmap!$D:$D,0)+COUNTIF($E12:AA12,"u")+COUNTIF($E12:AA12,"t")+COUNTIF($E12:AA12,"¶")+COUNTIF($E12:AA12,"²")+COUNTIF($E12:AA12,"µ")+COUNTIF($E12:AA12,1),ColTypeEcheance)),
  IF(LEN(AA12)=1,
  IF(LEN(INDEX(Roadmap!$D:$K,MATCH($E12,Roadmap!$D:$D,0)-1+COUNTIF($E12:AA12,"u")+COUNTIF($E12:AA12,"t")+COUNTIF($E12:AA12,"¶")+COUNTIF($E12:AA12,"²")+COUNTIF($E12:AA12,"µ")+COUNTIF($E12:AA12,1),ColDescriptionCourte))&gt;1,
HYPERLINK("#Roadmap!C"&amp; MATCH($E12,Roadmap!$D:$D,0)+COUNTIF($E12:AA12,"u")+COUNTIF($E12:AA12,"t")+COUNTIF($E12:AA12,"¶")+COUNTIF($E12:AA12,"²")+COUNTIF($E12:AA12,"µ")+COUNTIF($E12:AA12,1)-1,INDEX(Roadmap!$D:$K,MATCH($E12,Roadmap!$D:$D,0)-1+COUNTIF($E12:AA12,"u")+COUNTIF($E12:AA12,"t")+COUNTIF($E12:AA12,"¶")+COUNTIF($E12:AA12,"²")+COUNTIF($E12:AA12,"µ")+COUNTIF($E12:AA12,1),ColDescriptionCourte)),""),
  "")),"")</f>
        <v/>
      </c>
      <c r="AC12" s="40" t="str">
        <f ca="1">IFERROR(IF(AND(
  INDEX(Roadmap!$D:$K,MATCH($E12,Roadmap!$D:$D,0)+COUNTIF($E12:AB12,"u")+COUNTIF($E12:AB12,"t")+COUNTIF($E12:AB12,"¶")+COUNTIF($E12:AB12,"²")+COUNTIF($E12:AB12,"µ")+COUNTIF($E12:AB12,1),ColLivraison)=AC$6,
  VLOOKUP($E12,INDIRECT("tri!"&amp; CHAR(64+ C0Col) &amp;":"&amp; CHAR(65+C0Col)),2,FALSE)&gt;COUNTIF($E12:AB12,"u")+COUNTIF($E12:AB12,"t")+COUNTIF($E12:AB12,"¶")+COUNTIF($E12:AB12,"²")+COUNTIF($E12:AB12,"µ")+COUNTIF($E12:AB12,1)),
HYPERLINK("#Roadmap!C"&amp; MATCH($E12,Roadmap!$D:$D,0)+COUNTIF($E12:AB12,"u")+COUNTIF($E12:AB12,"t"),
     INDEX(Roadmap!$D:$K,MATCH($E12,Roadmap!$D:$D,0)+COUNTIF($E12:AB12,"u")+COUNTIF($E12:AB12,"t")+COUNTIF($E12:AB12,"¶")+COUNTIF($E12:AB12,"²")+COUNTIF($E12:AB12,"µ")+COUNTIF($E12:AB12,1),ColTypeEcheance)),
  IF(LEN(AB12)=1,
  IF(LEN(INDEX(Roadmap!$D:$K,MATCH($E12,Roadmap!$D:$D,0)-1+COUNTIF($E12:AB12,"u")+COUNTIF($E12:AB12,"t")+COUNTIF($E12:AB12,"¶")+COUNTIF($E12:AB12,"²")+COUNTIF($E12:AB12,"µ")+COUNTIF($E12:AB12,1),ColDescriptionCourte))&gt;1,
HYPERLINK("#Roadmap!C"&amp; MATCH($E12,Roadmap!$D:$D,0)+COUNTIF($E12:AB12,"u")+COUNTIF($E12:AB12,"t")+COUNTIF($E12:AB12,"¶")+COUNTIF($E12:AB12,"²")+COUNTIF($E12:AB12,"µ")+COUNTIF($E12:AB12,1)-1,INDEX(Roadmap!$D:$K,MATCH($E12,Roadmap!$D:$D,0)-1+COUNTIF($E12:AB12,"u")+COUNTIF($E12:AB12,"t")+COUNTIF($E12:AB12,"¶")+COUNTIF($E12:AB12,"²")+COUNTIF($E12:AB12,"µ")+COUNTIF($E12:AB12,1),ColDescriptionCourte)),""),
  "")),"")</f>
        <v/>
      </c>
      <c r="AD12" s="40" t="str">
        <f ca="1">IFERROR(IF(AND(
  INDEX(Roadmap!$D:$K,MATCH($E12,Roadmap!$D:$D,0)+COUNTIF($E12:AC12,"u")+COUNTIF($E12:AC12,"t")+COUNTIF($E12:AC12,"¶")+COUNTIF($E12:AC12,"²")+COUNTIF($E12:AC12,"µ")+COUNTIF($E12:AC12,1),ColLivraison)=AD$6,
  VLOOKUP($E12,INDIRECT("tri!"&amp; CHAR(64+ C0Col) &amp;":"&amp; CHAR(65+C0Col)),2,FALSE)&gt;COUNTIF($E12:AC12,"u")+COUNTIF($E12:AC12,"t")+COUNTIF($E12:AC12,"¶")+COUNTIF($E12:AC12,"²")+COUNTIF($E12:AC12,"µ")+COUNTIF($E12:AC12,1)),
HYPERLINK("#Roadmap!C"&amp; MATCH($E12,Roadmap!$D:$D,0)+COUNTIF($E12:AC12,"u")+COUNTIF($E12:AC12,"t"),
     INDEX(Roadmap!$D:$K,MATCH($E12,Roadmap!$D:$D,0)+COUNTIF($E12:AC12,"u")+COUNTIF($E12:AC12,"t")+COUNTIF($E12:AC12,"¶")+COUNTIF($E12:AC12,"²")+COUNTIF($E12:AC12,"µ")+COUNTIF($E12:AC12,1),ColTypeEcheance)),
  IF(LEN(AC12)=1,
  IF(LEN(INDEX(Roadmap!$D:$K,MATCH($E12,Roadmap!$D:$D,0)-1+COUNTIF($E12:AC12,"u")+COUNTIF($E12:AC12,"t")+COUNTIF($E12:AC12,"¶")+COUNTIF($E12:AC12,"²")+COUNTIF($E12:AC12,"µ")+COUNTIF($E12:AC12,1),ColDescriptionCourte))&gt;1,
HYPERLINK("#Roadmap!C"&amp; MATCH($E12,Roadmap!$D:$D,0)+COUNTIF($E12:AC12,"u")+COUNTIF($E12:AC12,"t")+COUNTIF($E12:AC12,"¶")+COUNTIF($E12:AC12,"²")+COUNTIF($E12:AC12,"µ")+COUNTIF($E12:AC12,1)-1,INDEX(Roadmap!$D:$K,MATCH($E12,Roadmap!$D:$D,0)-1+COUNTIF($E12:AC12,"u")+COUNTIF($E12:AC12,"t")+COUNTIF($E12:AC12,"¶")+COUNTIF($E12:AC12,"²")+COUNTIF($E12:AC12,"µ")+COUNTIF($E12:AC12,1),ColDescriptionCourte)),""),
  "")),"")</f>
        <v/>
      </c>
      <c r="AE12" s="40" t="str">
        <f ca="1">IFERROR(IF(AND(
  INDEX(Roadmap!$D:$K,MATCH($E12,Roadmap!$D:$D,0)+COUNTIF($E12:AD12,"u")+COUNTIF($E12:AD12,"t")+COUNTIF($E12:AD12,"¶")+COUNTIF($E12:AD12,"²")+COUNTIF($E12:AD12,"µ")+COUNTIF($E12:AD12,1),ColLivraison)=AE$6,
  VLOOKUP($E12,INDIRECT("tri!"&amp; CHAR(64+ C0Col) &amp;":"&amp; CHAR(65+C0Col)),2,FALSE)&gt;COUNTIF($E12:AD12,"u")+COUNTIF($E12:AD12,"t")+COUNTIF($E12:AD12,"¶")+COUNTIF($E12:AD12,"²")+COUNTIF($E12:AD12,"µ")+COUNTIF($E12:AD12,1)),
HYPERLINK("#Roadmap!C"&amp; MATCH($E12,Roadmap!$D:$D,0)+COUNTIF($E12:AD12,"u")+COUNTIF($E12:AD12,"t"),
     INDEX(Roadmap!$D:$K,MATCH($E12,Roadmap!$D:$D,0)+COUNTIF($E12:AD12,"u")+COUNTIF($E12:AD12,"t")+COUNTIF($E12:AD12,"¶")+COUNTIF($E12:AD12,"²")+COUNTIF($E12:AD12,"µ")+COUNTIF($E12:AD12,1),ColTypeEcheance)),
  IF(LEN(AD12)=1,
  IF(LEN(INDEX(Roadmap!$D:$K,MATCH($E12,Roadmap!$D:$D,0)-1+COUNTIF($E12:AD12,"u")+COUNTIF($E12:AD12,"t")+COUNTIF($E12:AD12,"¶")+COUNTIF($E12:AD12,"²")+COUNTIF($E12:AD12,"µ")+COUNTIF($E12:AD12,1),ColDescriptionCourte))&gt;1,
HYPERLINK("#Roadmap!C"&amp; MATCH($E12,Roadmap!$D:$D,0)+COUNTIF($E12:AD12,"u")+COUNTIF($E12:AD12,"t")+COUNTIF($E12:AD12,"¶")+COUNTIF($E12:AD12,"²")+COUNTIF($E12:AD12,"µ")+COUNTIF($E12:AD12,1)-1,INDEX(Roadmap!$D:$K,MATCH($E12,Roadmap!$D:$D,0)-1+COUNTIF($E12:AD12,"u")+COUNTIF($E12:AD12,"t")+COUNTIF($E12:AD12,"¶")+COUNTIF($E12:AD12,"²")+COUNTIF($E12:AD12,"µ")+COUNTIF($E12:AD12,1),ColDescriptionCourte)),""),
  "")),"")</f>
        <v/>
      </c>
      <c r="AF12" s="40" t="str">
        <f ca="1">IFERROR(IF(AND(
  INDEX(Roadmap!$D:$K,MATCH($E12,Roadmap!$D:$D,0)+COUNTIF($E12:AE12,"u")+COUNTIF($E12:AE12,"t")+COUNTIF($E12:AE12,"¶")+COUNTIF($E12:AE12,"²")+COUNTIF($E12:AE12,"µ")+COUNTIF($E12:AE12,1),ColLivraison)=AF$6,
  VLOOKUP($E12,INDIRECT("tri!"&amp; CHAR(64+ C0Col) &amp;":"&amp; CHAR(65+C0Col)),2,FALSE)&gt;COUNTIF($E12:AE12,"u")+COUNTIF($E12:AE12,"t")+COUNTIF($E12:AE12,"¶")+COUNTIF($E12:AE12,"²")+COUNTIF($E12:AE12,"µ")+COUNTIF($E12:AE12,1)),
HYPERLINK("#Roadmap!C"&amp; MATCH($E12,Roadmap!$D:$D,0)+COUNTIF($E12:AE12,"u")+COUNTIF($E12:AE12,"t"),
     INDEX(Roadmap!$D:$K,MATCH($E12,Roadmap!$D:$D,0)+COUNTIF($E12:AE12,"u")+COUNTIF($E12:AE12,"t")+COUNTIF($E12:AE12,"¶")+COUNTIF($E12:AE12,"²")+COUNTIF($E12:AE12,"µ")+COUNTIF($E12:AE12,1),ColTypeEcheance)),
  IF(LEN(AE12)=1,
  IF(LEN(INDEX(Roadmap!$D:$K,MATCH($E12,Roadmap!$D:$D,0)-1+COUNTIF($E12:AE12,"u")+COUNTIF($E12:AE12,"t")+COUNTIF($E12:AE12,"¶")+COUNTIF($E12:AE12,"²")+COUNTIF($E12:AE12,"µ")+COUNTIF($E12:AE12,1),ColDescriptionCourte))&gt;1,
HYPERLINK("#Roadmap!C"&amp; MATCH($E12,Roadmap!$D:$D,0)+COUNTIF($E12:AE12,"u")+COUNTIF($E12:AE12,"t")+COUNTIF($E12:AE12,"¶")+COUNTIF($E12:AE12,"²")+COUNTIF($E12:AE12,"µ")+COUNTIF($E12:AE12,1)-1,INDEX(Roadmap!$D:$K,MATCH($E12,Roadmap!$D:$D,0)-1+COUNTIF($E12:AE12,"u")+COUNTIF($E12:AE12,"t")+COUNTIF($E12:AE12,"¶")+COUNTIF($E12:AE12,"²")+COUNTIF($E12:AE12,"µ")+COUNTIF($E12:AE12,1),ColDescriptionCourte)),""),
  "")),"")</f>
        <v/>
      </c>
      <c r="AG12" s="40" t="str">
        <f ca="1">IFERROR(IF(AND(
  INDEX(Roadmap!$D:$K,MATCH($E12,Roadmap!$D:$D,0)+COUNTIF($E12:AF12,"u")+COUNTIF($E12:AF12,"t")+COUNTIF($E12:AF12,"¶")+COUNTIF($E12:AF12,"²")+COUNTIF($E12:AF12,"µ")+COUNTIF($E12:AF12,1),ColLivraison)=AG$6,
  VLOOKUP($E12,INDIRECT("tri!"&amp; CHAR(64+ C0Col) &amp;":"&amp; CHAR(65+C0Col)),2,FALSE)&gt;COUNTIF($E12:AF12,"u")+COUNTIF($E12:AF12,"t")+COUNTIF($E12:AF12,"¶")+COUNTIF($E12:AF12,"²")+COUNTIF($E12:AF12,"µ")+COUNTIF($E12:AF12,1)),
HYPERLINK("#Roadmap!C"&amp; MATCH($E12,Roadmap!$D:$D,0)+COUNTIF($E12:AF12,"u")+COUNTIF($E12:AF12,"t"),
     INDEX(Roadmap!$D:$K,MATCH($E12,Roadmap!$D:$D,0)+COUNTIF($E12:AF12,"u")+COUNTIF($E12:AF12,"t")+COUNTIF($E12:AF12,"¶")+COUNTIF($E12:AF12,"²")+COUNTIF($E12:AF12,"µ")+COUNTIF($E12:AF12,1),ColTypeEcheance)),
  IF(LEN(AF12)=1,
  IF(LEN(INDEX(Roadmap!$D:$K,MATCH($E12,Roadmap!$D:$D,0)-1+COUNTIF($E12:AF12,"u")+COUNTIF($E12:AF12,"t")+COUNTIF($E12:AF12,"¶")+COUNTIF($E12:AF12,"²")+COUNTIF($E12:AF12,"µ")+COUNTIF($E12:AF12,1),ColDescriptionCourte))&gt;1,
HYPERLINK("#Roadmap!C"&amp; MATCH($E12,Roadmap!$D:$D,0)+COUNTIF($E12:AF12,"u")+COUNTIF($E12:AF12,"t")+COUNTIF($E12:AF12,"¶")+COUNTIF($E12:AF12,"²")+COUNTIF($E12:AF12,"µ")+COUNTIF($E12:AF12,1)-1,INDEX(Roadmap!$D:$K,MATCH($E12,Roadmap!$D:$D,0)-1+COUNTIF($E12:AF12,"u")+COUNTIF($E12:AF12,"t")+COUNTIF($E12:AF12,"¶")+COUNTIF($E12:AF12,"²")+COUNTIF($E12:AF12,"µ")+COUNTIF($E12:AF12,1),ColDescriptionCourte)),""),
  "")),"")</f>
        <v/>
      </c>
    </row>
    <row r="13" spans="3:35" ht="14.25" customHeight="1">
      <c r="C13" s="1" t="str">
        <f t="shared" ca="1" si="42"/>
        <v/>
      </c>
      <c r="D13" s="1" t="str">
        <f t="shared" ca="1" si="43"/>
        <v/>
      </c>
      <c r="E13" s="35" t="str">
        <f t="shared" ca="1" si="33"/>
        <v>Projet AW</v>
      </c>
      <c r="F13" s="39" t="str">
        <f ca="1">IFERROR(IF(AND(
  INDEX(Roadmap!$D:$K,MATCH($E13,Roadmap!$D:$D,0)+COUNTIF($E13:E13,"u")+COUNTIF($E13:E13,"t")+COUNTIF($E13:E13,"¶")+COUNTIF($E13:E13,"²")+COUNTIF($E13:E13,"µ")+COUNTIF($E13:E13,1),ColLivraison)=F$6,
  VLOOKUP($E13,INDIRECT("tri!"&amp; CHAR(64+ C0Col) &amp;":"&amp; CHAR(65+C0Col)),2,FALSE)&gt;COUNTIF($E13:E13,"u")+COUNTIF($E13:E13,"t")+COUNTIF($E13:E13,"¶")+COUNTIF($E13:E13,"²")+COUNTIF($E13:E13,"µ")+COUNTIF($E13:E13,1)),
HYPERLINK("#Roadmap!C"&amp; MATCH($E13,Roadmap!$D:$D,0)+COUNTIF($E13:E13,"u")+COUNTIF($E13:E13,"t"),
     INDEX(Roadmap!$D:$K,MATCH($E13,Roadmap!$D:$D,0)+COUNTIF($E13:E13,"u")+COUNTIF($E13:E13,"t")+COUNTIF($E13:E13,"¶")+COUNTIF($E13:E13,"²")+COUNTIF($E13:E13,"µ")+COUNTIF($E13:E13,1),ColTypeEcheance)),
  IF(LEN(E13)=1,
  IF(LEN(INDEX(Roadmap!$D:$K,MATCH($E13,Roadmap!$D:$D,0)-1+COUNTIF($E13:E13,"u")+COUNTIF($E13:E13,"t")+COUNTIF($E13:E13,"¶")+COUNTIF($E13:E13,"²")+COUNTIF($E13:E13,"µ")+COUNTIF($E13:E13,1),ColDescriptionCourte))&gt;1,
HYPERLINK("#Roadmap!C"&amp; MATCH($E13,Roadmap!$D:$D,0)+COUNTIF($E13:E13,"u")+COUNTIF($E13:E13,"t")+COUNTIF($E13:E13,"¶")+COUNTIF($E13:E13,"²")+COUNTIF($E13:E13,"µ")+COUNTIF($E13:E13,1)-1,INDEX(Roadmap!$D:$K,MATCH($E13,Roadmap!$D:$D,0)-1+COUNTIF($E13:E13,"u")+COUNTIF($E13:E13,"t")+COUNTIF($E13:E13,"¶")+COUNTIF($E13:E13,"²")+COUNTIF($E13:E13,"µ")+COUNTIF($E13:E13,1),ColDescriptionCourte)),""),
  "")),"")</f>
        <v/>
      </c>
      <c r="G13" s="40" t="str">
        <f ca="1">IFERROR(IF(AND(
  INDEX(Roadmap!$D:$K,MATCH($E13,Roadmap!$D:$D,0)+COUNTIF($E13:F13,"u")+COUNTIF($E13:F13,"t")+COUNTIF($E13:F13,"¶")+COUNTIF($E13:F13,"²")+COUNTIF($E13:F13,"µ")+COUNTIF($E13:F13,1),ColLivraison)=G$6,
  VLOOKUP($E13,INDIRECT("tri!"&amp; CHAR(64+ C0Col) &amp;":"&amp; CHAR(65+C0Col)),2,FALSE)&gt;COUNTIF($E13:F13,"u")+COUNTIF($E13:F13,"t")+COUNTIF($E13:F13,"¶")+COUNTIF($E13:F13,"²")+COUNTIF($E13:F13,"µ")+COUNTIF($E13:F13,1)),
HYPERLINK("#Roadmap!C"&amp; MATCH($E13,Roadmap!$D:$D,0)+COUNTIF($E13:F13,"u")+COUNTIF($E13:F13,"t"),
     INDEX(Roadmap!$D:$K,MATCH($E13,Roadmap!$D:$D,0)+COUNTIF($E13:F13,"u")+COUNTIF($E13:F13,"t")+COUNTIF($E13:F13,"¶")+COUNTIF($E13:F13,"²")+COUNTIF($E13:F13,"µ")+COUNTIF($E13:F13,1),ColTypeEcheance)),
  IF(LEN(F13)=1,
  IF(LEN(INDEX(Roadmap!$D:$K,MATCH($E13,Roadmap!$D:$D,0)-1+COUNTIF($E13:F13,"u")+COUNTIF($E13:F13,"t")+COUNTIF($E13:F13,"¶")+COUNTIF($E13:F13,"²")+COUNTIF($E13:F13,"µ")+COUNTIF($E13:F13,1),ColDescriptionCourte))&gt;1,
HYPERLINK("#Roadmap!C"&amp; MATCH($E13,Roadmap!$D:$D,0)+COUNTIF($E13:F13,"u")+COUNTIF($E13:F13,"t")+COUNTIF($E13:F13,"¶")+COUNTIF($E13:F13,"²")+COUNTIF($E13:F13,"µ")+COUNTIF($E13:F13,1)-1,INDEX(Roadmap!$D:$K,MATCH($E13,Roadmap!$D:$D,0)-1+COUNTIF($E13:F13,"u")+COUNTIF($E13:F13,"t")+COUNTIF($E13:F13,"¶")+COUNTIF($E13:F13,"²")+COUNTIF($E13:F13,"µ")+COUNTIF($E13:F13,1),ColDescriptionCourte)),""),
  "")),"")</f>
        <v/>
      </c>
      <c r="H13" s="40" t="str">
        <f ca="1">IFERROR(IF(AND(
  INDEX(Roadmap!$D:$K,MATCH($E13,Roadmap!$D:$D,0)+COUNTIF($E13:G13,"u")+COUNTIF($E13:G13,"t")+COUNTIF($E13:G13,"¶")+COUNTIF($E13:G13,"²")+COUNTIF($E13:G13,"µ")+COUNTIF($E13:G13,1),ColLivraison)=H$6,
  VLOOKUP($E13,INDIRECT("tri!"&amp; CHAR(64+ C0Col) &amp;":"&amp; CHAR(65+C0Col)),2,FALSE)&gt;COUNTIF($E13:G13,"u")+COUNTIF($E13:G13,"t")+COUNTIF($E13:G13,"¶")+COUNTIF($E13:G13,"²")+COUNTIF($E13:G13,"µ")+COUNTIF($E13:G13,1)),
HYPERLINK("#Roadmap!C"&amp; MATCH($E13,Roadmap!$D:$D,0)+COUNTIF($E13:G13,"u")+COUNTIF($E13:G13,"t"),
     INDEX(Roadmap!$D:$K,MATCH($E13,Roadmap!$D:$D,0)+COUNTIF($E13:G13,"u")+COUNTIF($E13:G13,"t")+COUNTIF($E13:G13,"¶")+COUNTIF($E13:G13,"²")+COUNTIF($E13:G13,"µ")+COUNTIF($E13:G13,1),ColTypeEcheance)),
  IF(LEN(G13)=1,
  IF(LEN(INDEX(Roadmap!$D:$K,MATCH($E13,Roadmap!$D:$D,0)-1+COUNTIF($E13:G13,"u")+COUNTIF($E13:G13,"t")+COUNTIF($E13:G13,"¶")+COUNTIF($E13:G13,"²")+COUNTIF($E13:G13,"µ")+COUNTIF($E13:G13,1),ColDescriptionCourte))&gt;1,
HYPERLINK("#Roadmap!C"&amp; MATCH($E13,Roadmap!$D:$D,0)+COUNTIF($E13:G13,"u")+COUNTIF($E13:G13,"t")+COUNTIF($E13:G13,"¶")+COUNTIF($E13:G13,"²")+COUNTIF($E13:G13,"µ")+COUNTIF($E13:G13,1)-1,INDEX(Roadmap!$D:$K,MATCH($E13,Roadmap!$D:$D,0)-1+COUNTIF($E13:G13,"u")+COUNTIF($E13:G13,"t")+COUNTIF($E13:G13,"¶")+COUNTIF($E13:G13,"²")+COUNTIF($E13:G13,"µ")+COUNTIF($E13:G13,1),ColDescriptionCourte)),""),
  "")),"")</f>
        <v/>
      </c>
      <c r="I13" s="40" t="str">
        <f ca="1">IFERROR(IF(AND(
  INDEX(Roadmap!$D:$K,MATCH($E13,Roadmap!$D:$D,0)+COUNTIF($E13:H13,"u")+COUNTIF($E13:H13,"t")+COUNTIF($E13:H13,"¶")+COUNTIF($E13:H13,"²")+COUNTIF($E13:H13,"µ")+COUNTIF($E13:H13,1),ColLivraison)=I$6,
  VLOOKUP($E13,INDIRECT("tri!"&amp; CHAR(64+ C0Col) &amp;":"&amp; CHAR(65+C0Col)),2,FALSE)&gt;COUNTIF($E13:H13,"u")+COUNTIF($E13:H13,"t")+COUNTIF($E13:H13,"¶")+COUNTIF($E13:H13,"²")+COUNTIF($E13:H13,"µ")+COUNTIF($E13:H13,1)),
HYPERLINK("#Roadmap!C"&amp; MATCH($E13,Roadmap!$D:$D,0)+COUNTIF($E13:H13,"u")+COUNTIF($E13:H13,"t"),
     INDEX(Roadmap!$D:$K,MATCH($E13,Roadmap!$D:$D,0)+COUNTIF($E13:H13,"u")+COUNTIF($E13:H13,"t")+COUNTIF($E13:H13,"¶")+COUNTIF($E13:H13,"²")+COUNTIF($E13:H13,"µ")+COUNTIF($E13:H13,1),ColTypeEcheance)),
  IF(LEN(H13)=1,
  IF(LEN(INDEX(Roadmap!$D:$K,MATCH($E13,Roadmap!$D:$D,0)-1+COUNTIF($E13:H13,"u")+COUNTIF($E13:H13,"t")+COUNTIF($E13:H13,"¶")+COUNTIF($E13:H13,"²")+COUNTIF($E13:H13,"µ")+COUNTIF($E13:H13,1),ColDescriptionCourte))&gt;1,
HYPERLINK("#Roadmap!C"&amp; MATCH($E13,Roadmap!$D:$D,0)+COUNTIF($E13:H13,"u")+COUNTIF($E13:H13,"t")+COUNTIF($E13:H13,"¶")+COUNTIF($E13:H13,"²")+COUNTIF($E13:H13,"µ")+COUNTIF($E13:H13,1)-1,INDEX(Roadmap!$D:$K,MATCH($E13,Roadmap!$D:$D,0)-1+COUNTIF($E13:H13,"u")+COUNTIF($E13:H13,"t")+COUNTIF($E13:H13,"¶")+COUNTIF($E13:H13,"²")+COUNTIF($E13:H13,"µ")+COUNTIF($E13:H13,1),ColDescriptionCourte)),""),
  "")),"")</f>
        <v/>
      </c>
      <c r="J13" s="40" t="str">
        <f ca="1">IFERROR(IF(AND(
  INDEX(Roadmap!$D:$K,MATCH($E13,Roadmap!$D:$D,0)+COUNTIF($E13:I13,"u")+COUNTIF($E13:I13,"t")+COUNTIF($E13:I13,"¶")+COUNTIF($E13:I13,"²")+COUNTIF($E13:I13,"µ")+COUNTIF($E13:I13,1),ColLivraison)=J$6,
  VLOOKUP($E13,INDIRECT("tri!"&amp; CHAR(64+ C0Col) &amp;":"&amp; CHAR(65+C0Col)),2,FALSE)&gt;COUNTIF($E13:I13,"u")+COUNTIF($E13:I13,"t")+COUNTIF($E13:I13,"¶")+COUNTIF($E13:I13,"²")+COUNTIF($E13:I13,"µ")+COUNTIF($E13:I13,1)),
HYPERLINK("#Roadmap!C"&amp; MATCH($E13,Roadmap!$D:$D,0)+COUNTIF($E13:I13,"u")+COUNTIF($E13:I13,"t"),
     INDEX(Roadmap!$D:$K,MATCH($E13,Roadmap!$D:$D,0)+COUNTIF($E13:I13,"u")+COUNTIF($E13:I13,"t")+COUNTIF($E13:I13,"¶")+COUNTIF($E13:I13,"²")+COUNTIF($E13:I13,"µ")+COUNTIF($E13:I13,1),ColTypeEcheance)),
  IF(LEN(I13)=1,
  IF(LEN(INDEX(Roadmap!$D:$K,MATCH($E13,Roadmap!$D:$D,0)-1+COUNTIF($E13:I13,"u")+COUNTIF($E13:I13,"t")+COUNTIF($E13:I13,"¶")+COUNTIF($E13:I13,"²")+COUNTIF($E13:I13,"µ")+COUNTIF($E13:I13,1),ColDescriptionCourte))&gt;1,
HYPERLINK("#Roadmap!C"&amp; MATCH($E13,Roadmap!$D:$D,0)+COUNTIF($E13:I13,"u")+COUNTIF($E13:I13,"t")+COUNTIF($E13:I13,"¶")+COUNTIF($E13:I13,"²")+COUNTIF($E13:I13,"µ")+COUNTIF($E13:I13,1)-1,INDEX(Roadmap!$D:$K,MATCH($E13,Roadmap!$D:$D,0)-1+COUNTIF($E13:I13,"u")+COUNTIF($E13:I13,"t")+COUNTIF($E13:I13,"¶")+COUNTIF($E13:I13,"²")+COUNTIF($E13:I13,"µ")+COUNTIF($E13:I13,1),ColDescriptionCourte)),""),
  "")),"")</f>
        <v/>
      </c>
      <c r="K13" s="40" t="str">
        <f ca="1">IFERROR(IF(AND(
  INDEX(Roadmap!$D:$K,MATCH($E13,Roadmap!$D:$D,0)+COUNTIF($E13:J13,"u")+COUNTIF($E13:J13,"t")+COUNTIF($E13:J13,"¶")+COUNTIF($E13:J13,"²")+COUNTIF($E13:J13,"µ")+COUNTIF($E13:J13,1),ColLivraison)=K$6,
  VLOOKUP($E13,INDIRECT("tri!"&amp; CHAR(64+ C0Col) &amp;":"&amp; CHAR(65+C0Col)),2,FALSE)&gt;COUNTIF($E13:J13,"u")+COUNTIF($E13:J13,"t")+COUNTIF($E13:J13,"¶")+COUNTIF($E13:J13,"²")+COUNTIF($E13:J13,"µ")+COUNTIF($E13:J13,1)),
HYPERLINK("#Roadmap!C"&amp; MATCH($E13,Roadmap!$D:$D,0)+COUNTIF($E13:J13,"u")+COUNTIF($E13:J13,"t"),
     INDEX(Roadmap!$D:$K,MATCH($E13,Roadmap!$D:$D,0)+COUNTIF($E13:J13,"u")+COUNTIF($E13:J13,"t")+COUNTIF($E13:J13,"¶")+COUNTIF($E13:J13,"²")+COUNTIF($E13:J13,"µ")+COUNTIF($E13:J13,1),ColTypeEcheance)),
  IF(LEN(J13)=1,
  IF(LEN(INDEX(Roadmap!$D:$K,MATCH($E13,Roadmap!$D:$D,0)-1+COUNTIF($E13:J13,"u")+COUNTIF($E13:J13,"t")+COUNTIF($E13:J13,"¶")+COUNTIF($E13:J13,"²")+COUNTIF($E13:J13,"µ")+COUNTIF($E13:J13,1),ColDescriptionCourte))&gt;1,
HYPERLINK("#Roadmap!C"&amp; MATCH($E13,Roadmap!$D:$D,0)+COUNTIF($E13:J13,"u")+COUNTIF($E13:J13,"t")+COUNTIF($E13:J13,"¶")+COUNTIF($E13:J13,"²")+COUNTIF($E13:J13,"µ")+COUNTIF($E13:J13,1)-1,INDEX(Roadmap!$D:$K,MATCH($E13,Roadmap!$D:$D,0)-1+COUNTIF($E13:J13,"u")+COUNTIF($E13:J13,"t")+COUNTIF($E13:J13,"¶")+COUNTIF($E13:J13,"²")+COUNTIF($E13:J13,"µ")+COUNTIF($E13:J13,1),ColDescriptionCourte)),""),
  "")),"")</f>
        <v/>
      </c>
      <c r="L13" s="39" t="str">
        <f ca="1">IFERROR(IF(AND(
  INDEX(Roadmap!$D:$K,MATCH($E13,Roadmap!$D:$D,0)+COUNTIF($E13:K13,"u")+COUNTIF($E13:K13,"t")+COUNTIF($E13:K13,"¶")+COUNTIF($E13:K13,"²")+COUNTIF($E13:K13,"µ")+COUNTIF($E13:K13,1),ColLivraison)=L$6,
  VLOOKUP($E13,INDIRECT("tri!"&amp; CHAR(64+ C0Col) &amp;":"&amp; CHAR(65+C0Col)),2,FALSE)&gt;COUNTIF($E13:K13,"u")+COUNTIF($E13:K13,"t")+COUNTIF($E13:K13,"¶")+COUNTIF($E13:K13,"²")+COUNTIF($E13:K13,"µ")+COUNTIF($E13:K13,1)),
HYPERLINK("#Roadmap!C"&amp; MATCH($E13,Roadmap!$D:$D,0)+COUNTIF($E13:K13,"u")+COUNTIF($E13:K13,"t"),
     INDEX(Roadmap!$D:$K,MATCH($E13,Roadmap!$D:$D,0)+COUNTIF($E13:K13,"u")+COUNTIF($E13:K13,"t")+COUNTIF($E13:K13,"¶")+COUNTIF($E13:K13,"²")+COUNTIF($E13:K13,"µ")+COUNTIF($E13:K13,1),ColTypeEcheance)),
  IF(LEN(K13)=1,
  IF(LEN(INDEX(Roadmap!$D:$K,MATCH($E13,Roadmap!$D:$D,0)-1+COUNTIF($E13:K13,"u")+COUNTIF($E13:K13,"t")+COUNTIF($E13:K13,"¶")+COUNTIF($E13:K13,"²")+COUNTIF($E13:K13,"µ")+COUNTIF($E13:K13,1),ColDescriptionCourte))&gt;1,
HYPERLINK("#Roadmap!C"&amp; MATCH($E13,Roadmap!$D:$D,0)+COUNTIF($E13:K13,"u")+COUNTIF($E13:K13,"t")+COUNTIF($E13:K13,"¶")+COUNTIF($E13:K13,"²")+COUNTIF($E13:K13,"µ")+COUNTIF($E13:K13,1)-1,INDEX(Roadmap!$D:$K,MATCH($E13,Roadmap!$D:$D,0)-1+COUNTIF($E13:K13,"u")+COUNTIF($E13:K13,"t")+COUNTIF($E13:K13,"¶")+COUNTIF($E13:K13,"²")+COUNTIF($E13:K13,"µ")+COUNTIF($E13:K13,1),ColDescriptionCourte)),""),
  "")),"")</f>
        <v/>
      </c>
      <c r="M13" s="17" t="str">
        <f ca="1">IFERROR(IF(AND(
  INDEX(Roadmap!$D:$K,MATCH($E13,Roadmap!$D:$D,0)+COUNTIF($E13:L13,"u")+COUNTIF($E13:L13,"t")+COUNTIF($E13:L13,"¶")+COUNTIF($E13:L13,"²")+COUNTIF($E13:L13,"µ")+COUNTIF($E13:L13,1),ColLivraison)=M$6,
  VLOOKUP($E13,INDIRECT("tri!"&amp; CHAR(64+ C0Col) &amp;":"&amp; CHAR(65+C0Col)),2,FALSE)&gt;COUNTIF($E13:L13,"u")+COUNTIF($E13:L13,"t")+COUNTIF($E13:L13,"¶")+COUNTIF($E13:L13,"²")+COUNTIF($E13:L13,"µ")+COUNTIF($E13:L13,1)),
HYPERLINK("#Roadmap!C"&amp; MATCH($E13,Roadmap!$D:$D,0)+COUNTIF($E13:L13,"u")+COUNTIF($E13:L13,"t"),
     INDEX(Roadmap!$D:$K,MATCH($E13,Roadmap!$D:$D,0)+COUNTIF($E13:L13,"u")+COUNTIF($E13:L13,"t")+COUNTIF($E13:L13,"¶")+COUNTIF($E13:L13,"²")+COUNTIF($E13:L13,"µ")+COUNTIF($E13:L13,1),ColTypeEcheance)),
  IF(LEN(L13)=1,
  IF(LEN(INDEX(Roadmap!$D:$K,MATCH($E13,Roadmap!$D:$D,0)-1+COUNTIF($E13:L13,"u")+COUNTIF($E13:L13,"t")+COUNTIF($E13:L13,"¶")+COUNTIF($E13:L13,"²")+COUNTIF($E13:L13,"µ")+COUNTIF($E13:L13,1),ColDescriptionCourte))&gt;1,
HYPERLINK("#Roadmap!C"&amp; MATCH($E13,Roadmap!$D:$D,0)+COUNTIF($E13:L13,"u")+COUNTIF($E13:L13,"t")+COUNTIF($E13:L13,"¶")+COUNTIF($E13:L13,"²")+COUNTIF($E13:L13,"µ")+COUNTIF($E13:L13,1)-1,INDEX(Roadmap!$D:$K,MATCH($E13,Roadmap!$D:$D,0)-1+COUNTIF($E13:L13,"u")+COUNTIF($E13:L13,"t")+COUNTIF($E13:L13,"¶")+COUNTIF($E13:L13,"²")+COUNTIF($E13:L13,"µ")+COUNTIF($E13:L13,1),ColDescriptionCourte)),""),
  "")),"")</f>
        <v>µ</v>
      </c>
      <c r="N13" s="40" t="str">
        <f ca="1">IFERROR(IF(AND(
  INDEX(Roadmap!$D:$K,MATCH($E13,Roadmap!$D:$D,0)+COUNTIF($E13:M13,"u")+COUNTIF($E13:M13,"t")+COUNTIF($E13:M13,"¶")+COUNTIF($E13:M13,"²")+COUNTIF($E13:M13,"µ")+COUNTIF($E13:M13,1),ColLivraison)=N$6,
  VLOOKUP($E13,INDIRECT("tri!"&amp; CHAR(64+ C0Col) &amp;":"&amp; CHAR(65+C0Col)),2,FALSE)&gt;COUNTIF($E13:M13,"u")+COUNTIF($E13:M13,"t")+COUNTIF($E13:M13,"¶")+COUNTIF($E13:M13,"²")+COUNTIF($E13:M13,"µ")+COUNTIF($E13:M13,1)),
HYPERLINK("#Roadmap!C"&amp; MATCH($E13,Roadmap!$D:$D,0)+COUNTIF($E13:M13,"u")+COUNTIF($E13:M13,"t"),
     INDEX(Roadmap!$D:$K,MATCH($E13,Roadmap!$D:$D,0)+COUNTIF($E13:M13,"u")+COUNTIF($E13:M13,"t")+COUNTIF($E13:M13,"¶")+COUNTIF($E13:M13,"²")+COUNTIF($E13:M13,"µ")+COUNTIF($E13:M13,1),ColTypeEcheance)),
  IF(LEN(M13)=1,
  IF(LEN(INDEX(Roadmap!$D:$K,MATCH($E13,Roadmap!$D:$D,0)-1+COUNTIF($E13:M13,"u")+COUNTIF($E13:M13,"t")+COUNTIF($E13:M13,"¶")+COUNTIF($E13:M13,"²")+COUNTIF($E13:M13,"µ")+COUNTIF($E13:M13,1),ColDescriptionCourte))&gt;1,
HYPERLINK("#Roadmap!C"&amp; MATCH($E13,Roadmap!$D:$D,0)+COUNTIF($E13:M13,"u")+COUNTIF($E13:M13,"t")+COUNTIF($E13:M13,"¶")+COUNTIF($E13:M13,"²")+COUNTIF($E13:M13,"µ")+COUNTIF($E13:M13,1)-1,INDEX(Roadmap!$D:$K,MATCH($E13,Roadmap!$D:$D,0)-1+COUNTIF($E13:M13,"u")+COUNTIF($E13:M13,"t")+COUNTIF($E13:M13,"¶")+COUNTIF($E13:M13,"²")+COUNTIF($E13:M13,"µ")+COUNTIF($E13:M13,1),ColDescriptionCourte)),""),
  "")),"")</f>
        <v>lot 2.3</v>
      </c>
      <c r="O13" s="40" t="str">
        <f ca="1">IFERROR(IF(AND(
  INDEX(Roadmap!$D:$K,MATCH($E13,Roadmap!$D:$D,0)+COUNTIF($E13:N13,"u")+COUNTIF($E13:N13,"t")+COUNTIF($E13:N13,"¶")+COUNTIF($E13:N13,"²")+COUNTIF($E13:N13,"µ")+COUNTIF($E13:N13,1),ColLivraison)=O$6,
  VLOOKUP($E13,INDIRECT("tri!"&amp; CHAR(64+ C0Col) &amp;":"&amp; CHAR(65+C0Col)),2,FALSE)&gt;COUNTIF($E13:N13,"u")+COUNTIF($E13:N13,"t")+COUNTIF($E13:N13,"¶")+COUNTIF($E13:N13,"²")+COUNTIF($E13:N13,"µ")+COUNTIF($E13:N13,1)),
HYPERLINK("#Roadmap!C"&amp; MATCH($E13,Roadmap!$D:$D,0)+COUNTIF($E13:N13,"u")+COUNTIF($E13:N13,"t"),
     INDEX(Roadmap!$D:$K,MATCH($E13,Roadmap!$D:$D,0)+COUNTIF($E13:N13,"u")+COUNTIF($E13:N13,"t")+COUNTIF($E13:N13,"¶")+COUNTIF($E13:N13,"²")+COUNTIF($E13:N13,"µ")+COUNTIF($E13:N13,1),ColTypeEcheance)),
  IF(LEN(N13)=1,
  IF(LEN(INDEX(Roadmap!$D:$K,MATCH($E13,Roadmap!$D:$D,0)-1+COUNTIF($E13:N13,"u")+COUNTIF($E13:N13,"t")+COUNTIF($E13:N13,"¶")+COUNTIF($E13:N13,"²")+COUNTIF($E13:N13,"µ")+COUNTIF($E13:N13,1),ColDescriptionCourte))&gt;1,
HYPERLINK("#Roadmap!C"&amp; MATCH($E13,Roadmap!$D:$D,0)+COUNTIF($E13:N13,"u")+COUNTIF($E13:N13,"t")+COUNTIF($E13:N13,"¶")+COUNTIF($E13:N13,"²")+COUNTIF($E13:N13,"µ")+COUNTIF($E13:N13,1)-1,INDEX(Roadmap!$D:$K,MATCH($E13,Roadmap!$D:$D,0)-1+COUNTIF($E13:N13,"u")+COUNTIF($E13:N13,"t")+COUNTIF($E13:N13,"¶")+COUNTIF($E13:N13,"²")+COUNTIF($E13:N13,"µ")+COUNTIF($E13:N13,1),ColDescriptionCourte)),""),
  "")),"")</f>
        <v/>
      </c>
      <c r="P13" s="40" t="str">
        <f ca="1">IFERROR(IF(AND(
  INDEX(Roadmap!$D:$K,MATCH($E13,Roadmap!$D:$D,0)+COUNTIF($E13:O13,"u")+COUNTIF($E13:O13,"t")+COUNTIF($E13:O13,"¶")+COUNTIF($E13:O13,"²")+COUNTIF($E13:O13,"µ")+COUNTIF($E13:O13,1),ColLivraison)=P$6,
  VLOOKUP($E13,INDIRECT("tri!"&amp; CHAR(64+ C0Col) &amp;":"&amp; CHAR(65+C0Col)),2,FALSE)&gt;COUNTIF($E13:O13,"u")+COUNTIF($E13:O13,"t")+COUNTIF($E13:O13,"¶")+COUNTIF($E13:O13,"²")+COUNTIF($E13:O13,"µ")+COUNTIF($E13:O13,1)),
HYPERLINK("#Roadmap!C"&amp; MATCH($E13,Roadmap!$D:$D,0)+COUNTIF($E13:O13,"u")+COUNTIF($E13:O13,"t"),
     INDEX(Roadmap!$D:$K,MATCH($E13,Roadmap!$D:$D,0)+COUNTIF($E13:O13,"u")+COUNTIF($E13:O13,"t")+COUNTIF($E13:O13,"¶")+COUNTIF($E13:O13,"²")+COUNTIF($E13:O13,"µ")+COUNTIF($E13:O13,1),ColTypeEcheance)),
  IF(LEN(O13)=1,
  IF(LEN(INDEX(Roadmap!$D:$K,MATCH($E13,Roadmap!$D:$D,0)-1+COUNTIF($E13:O13,"u")+COUNTIF($E13:O13,"t")+COUNTIF($E13:O13,"¶")+COUNTIF($E13:O13,"²")+COUNTIF($E13:O13,"µ")+COUNTIF($E13:O13,1),ColDescriptionCourte))&gt;1,
HYPERLINK("#Roadmap!C"&amp; MATCH($E13,Roadmap!$D:$D,0)+COUNTIF($E13:O13,"u")+COUNTIF($E13:O13,"t")+COUNTIF($E13:O13,"¶")+COUNTIF($E13:O13,"²")+COUNTIF($E13:O13,"µ")+COUNTIF($E13:O13,1)-1,INDEX(Roadmap!$D:$K,MATCH($E13,Roadmap!$D:$D,0)-1+COUNTIF($E13:O13,"u")+COUNTIF($E13:O13,"t")+COUNTIF($E13:O13,"¶")+COUNTIF($E13:O13,"²")+COUNTIF($E13:O13,"µ")+COUNTIF($E13:O13,1),ColDescriptionCourte)),""),
  "")),"")</f>
        <v/>
      </c>
      <c r="Q13" s="40" t="str">
        <f ca="1">IFERROR(IF(AND(
  INDEX(Roadmap!$D:$K,MATCH($E13,Roadmap!$D:$D,0)+COUNTIF($E13:P13,"u")+COUNTIF($E13:P13,"t")+COUNTIF($E13:P13,"¶")+COUNTIF($E13:P13,"²")+COUNTIF($E13:P13,"µ")+COUNTIF($E13:P13,1),ColLivraison)=Q$6,
  VLOOKUP($E13,INDIRECT("tri!"&amp; CHAR(64+ C0Col) &amp;":"&amp; CHAR(65+C0Col)),2,FALSE)&gt;COUNTIF($E13:P13,"u")+COUNTIF($E13:P13,"t")+COUNTIF($E13:P13,"¶")+COUNTIF($E13:P13,"²")+COUNTIF($E13:P13,"µ")+COUNTIF($E13:P13,1)),
HYPERLINK("#Roadmap!C"&amp; MATCH($E13,Roadmap!$D:$D,0)+COUNTIF($E13:P13,"u")+COUNTIF($E13:P13,"t"),
     INDEX(Roadmap!$D:$K,MATCH($E13,Roadmap!$D:$D,0)+COUNTIF($E13:P13,"u")+COUNTIF($E13:P13,"t")+COUNTIF($E13:P13,"¶")+COUNTIF($E13:P13,"²")+COUNTIF($E13:P13,"µ")+COUNTIF($E13:P13,1),ColTypeEcheance)),
  IF(LEN(P13)=1,
  IF(LEN(INDEX(Roadmap!$D:$K,MATCH($E13,Roadmap!$D:$D,0)-1+COUNTIF($E13:P13,"u")+COUNTIF($E13:P13,"t")+COUNTIF($E13:P13,"¶")+COUNTIF($E13:P13,"²")+COUNTIF($E13:P13,"µ")+COUNTIF($E13:P13,1),ColDescriptionCourte))&gt;1,
HYPERLINK("#Roadmap!C"&amp; MATCH($E13,Roadmap!$D:$D,0)+COUNTIF($E13:P13,"u")+COUNTIF($E13:P13,"t")+COUNTIF($E13:P13,"¶")+COUNTIF($E13:P13,"²")+COUNTIF($E13:P13,"µ")+COUNTIF($E13:P13,1)-1,INDEX(Roadmap!$D:$K,MATCH($E13,Roadmap!$D:$D,0)-1+COUNTIF($E13:P13,"u")+COUNTIF($E13:P13,"t")+COUNTIF($E13:P13,"¶")+COUNTIF($E13:P13,"²")+COUNTIF($E13:P13,"µ")+COUNTIF($E13:P13,1),ColDescriptionCourte)),""),
  "")),"")</f>
        <v/>
      </c>
      <c r="R13" s="40" t="str">
        <f ca="1">IFERROR(IF(AND(
  INDEX(Roadmap!$D:$K,MATCH($E13,Roadmap!$D:$D,0)+COUNTIF($E13:Q13,"u")+COUNTIF($E13:Q13,"t")+COUNTIF($E13:Q13,"¶")+COUNTIF($E13:Q13,"²")+COUNTIF($E13:Q13,"µ")+COUNTIF($E13:Q13,1),ColLivraison)=R$6,
  VLOOKUP($E13,INDIRECT("tri!"&amp; CHAR(64+ C0Col) &amp;":"&amp; CHAR(65+C0Col)),2,FALSE)&gt;COUNTIF($E13:Q13,"u")+COUNTIF($E13:Q13,"t")+COUNTIF($E13:Q13,"¶")+COUNTIF($E13:Q13,"²")+COUNTIF($E13:Q13,"µ")+COUNTIF($E13:Q13,1)),
HYPERLINK("#Roadmap!C"&amp; MATCH($E13,Roadmap!$D:$D,0)+COUNTIF($E13:Q13,"u")+COUNTIF($E13:Q13,"t"),
     INDEX(Roadmap!$D:$K,MATCH($E13,Roadmap!$D:$D,0)+COUNTIF($E13:Q13,"u")+COUNTIF($E13:Q13,"t")+COUNTIF($E13:Q13,"¶")+COUNTIF($E13:Q13,"²")+COUNTIF($E13:Q13,"µ")+COUNTIF($E13:Q13,1),ColTypeEcheance)),
  IF(LEN(Q13)=1,
  IF(LEN(INDEX(Roadmap!$D:$K,MATCH($E13,Roadmap!$D:$D,0)-1+COUNTIF($E13:Q13,"u")+COUNTIF($E13:Q13,"t")+COUNTIF($E13:Q13,"¶")+COUNTIF($E13:Q13,"²")+COUNTIF($E13:Q13,"µ")+COUNTIF($E13:Q13,1),ColDescriptionCourte))&gt;1,
HYPERLINK("#Roadmap!C"&amp; MATCH($E13,Roadmap!$D:$D,0)+COUNTIF($E13:Q13,"u")+COUNTIF($E13:Q13,"t")+COUNTIF($E13:Q13,"¶")+COUNTIF($E13:Q13,"²")+COUNTIF($E13:Q13,"µ")+COUNTIF($E13:Q13,1)-1,INDEX(Roadmap!$D:$K,MATCH($E13,Roadmap!$D:$D,0)-1+COUNTIF($E13:Q13,"u")+COUNTIF($E13:Q13,"t")+COUNTIF($E13:Q13,"¶")+COUNTIF($E13:Q13,"²")+COUNTIF($E13:Q13,"µ")+COUNTIF($E13:Q13,1),ColDescriptionCourte)),""),
  "")),"")</f>
        <v/>
      </c>
      <c r="S13" s="40" t="str">
        <f ca="1">IFERROR(IF(AND(
  INDEX(Roadmap!$D:$K,MATCH($E13,Roadmap!$D:$D,0)+COUNTIF($E13:R13,"u")+COUNTIF($E13:R13,"t")+COUNTIF($E13:R13,"¶")+COUNTIF($E13:R13,"²")+COUNTIF($E13:R13,"µ")+COUNTIF($E13:R13,1),ColLivraison)=S$6,
  VLOOKUP($E13,INDIRECT("tri!"&amp; CHAR(64+ C0Col) &amp;":"&amp; CHAR(65+C0Col)),2,FALSE)&gt;COUNTIF($E13:R13,"u")+COUNTIF($E13:R13,"t")+COUNTIF($E13:R13,"¶")+COUNTIF($E13:R13,"²")+COUNTIF($E13:R13,"µ")+COUNTIF($E13:R13,1)),
HYPERLINK("#Roadmap!C"&amp; MATCH($E13,Roadmap!$D:$D,0)+COUNTIF($E13:R13,"u")+COUNTIF($E13:R13,"t"),
     INDEX(Roadmap!$D:$K,MATCH($E13,Roadmap!$D:$D,0)+COUNTIF($E13:R13,"u")+COUNTIF($E13:R13,"t")+COUNTIF($E13:R13,"¶")+COUNTIF($E13:R13,"²")+COUNTIF($E13:R13,"µ")+COUNTIF($E13:R13,1),ColTypeEcheance)),
  IF(LEN(R13)=1,
  IF(LEN(INDEX(Roadmap!$D:$K,MATCH($E13,Roadmap!$D:$D,0)-1+COUNTIF($E13:R13,"u")+COUNTIF($E13:R13,"t")+COUNTIF($E13:R13,"¶")+COUNTIF($E13:R13,"²")+COUNTIF($E13:R13,"µ")+COUNTIF($E13:R13,1),ColDescriptionCourte))&gt;1,
HYPERLINK("#Roadmap!C"&amp; MATCH($E13,Roadmap!$D:$D,0)+COUNTIF($E13:R13,"u")+COUNTIF($E13:R13,"t")+COUNTIF($E13:R13,"¶")+COUNTIF($E13:R13,"²")+COUNTIF($E13:R13,"µ")+COUNTIF($E13:R13,1)-1,INDEX(Roadmap!$D:$K,MATCH($E13,Roadmap!$D:$D,0)-1+COUNTIF($E13:R13,"u")+COUNTIF($E13:R13,"t")+COUNTIF($E13:R13,"¶")+COUNTIF($E13:R13,"²")+COUNTIF($E13:R13,"µ")+COUNTIF($E13:R13,1),ColDescriptionCourte)),""),
  "")),"")</f>
        <v/>
      </c>
      <c r="T13" s="40" t="str">
        <f ca="1">IFERROR(IF(AND(
  INDEX(Roadmap!$D:$K,MATCH($E13,Roadmap!$D:$D,0)+COUNTIF($E13:S13,"u")+COUNTIF($E13:S13,"t")+COUNTIF($E13:S13,"¶")+COUNTIF($E13:S13,"²")+COUNTIF($E13:S13,"µ")+COUNTIF($E13:S13,1),ColLivraison)=T$6,
  VLOOKUP($E13,INDIRECT("tri!"&amp; CHAR(64+ C0Col) &amp;":"&amp; CHAR(65+C0Col)),2,FALSE)&gt;COUNTIF($E13:S13,"u")+COUNTIF($E13:S13,"t")+COUNTIF($E13:S13,"¶")+COUNTIF($E13:S13,"²")+COUNTIF($E13:S13,"µ")+COUNTIF($E13:S13,1)),
HYPERLINK("#Roadmap!C"&amp; MATCH($E13,Roadmap!$D:$D,0)+COUNTIF($E13:S13,"u")+COUNTIF($E13:S13,"t"),
     INDEX(Roadmap!$D:$K,MATCH($E13,Roadmap!$D:$D,0)+COUNTIF($E13:S13,"u")+COUNTIF($E13:S13,"t")+COUNTIF($E13:S13,"¶")+COUNTIF($E13:S13,"²")+COUNTIF($E13:S13,"µ")+COUNTIF($E13:S13,1),ColTypeEcheance)),
  IF(LEN(S13)=1,
  IF(LEN(INDEX(Roadmap!$D:$K,MATCH($E13,Roadmap!$D:$D,0)-1+COUNTIF($E13:S13,"u")+COUNTIF($E13:S13,"t")+COUNTIF($E13:S13,"¶")+COUNTIF($E13:S13,"²")+COUNTIF($E13:S13,"µ")+COUNTIF($E13:S13,1),ColDescriptionCourte))&gt;1,
HYPERLINK("#Roadmap!C"&amp; MATCH($E13,Roadmap!$D:$D,0)+COUNTIF($E13:S13,"u")+COUNTIF($E13:S13,"t")+COUNTIF($E13:S13,"¶")+COUNTIF($E13:S13,"²")+COUNTIF($E13:S13,"µ")+COUNTIF($E13:S13,1)-1,INDEX(Roadmap!$D:$K,MATCH($E13,Roadmap!$D:$D,0)-1+COUNTIF($E13:S13,"u")+COUNTIF($E13:S13,"t")+COUNTIF($E13:S13,"¶")+COUNTIF($E13:S13,"²")+COUNTIF($E13:S13,"µ")+COUNTIF($E13:S13,1),ColDescriptionCourte)),""),
  "")),"")</f>
        <v/>
      </c>
      <c r="U13" s="40" t="str">
        <f ca="1">IFERROR(IF(AND(
  INDEX(Roadmap!$D:$K,MATCH($E13,Roadmap!$D:$D,0)+COUNTIF($E13:T13,"u")+COUNTIF($E13:T13,"t")+COUNTIF($E13:T13,"¶")+COUNTIF($E13:T13,"²")+COUNTIF($E13:T13,"µ")+COUNTIF($E13:T13,1),ColLivraison)=U$6,
  VLOOKUP($E13,INDIRECT("tri!"&amp; CHAR(64+ C0Col) &amp;":"&amp; CHAR(65+C0Col)),2,FALSE)&gt;COUNTIF($E13:T13,"u")+COUNTIF($E13:T13,"t")+COUNTIF($E13:T13,"¶")+COUNTIF($E13:T13,"²")+COUNTIF($E13:T13,"µ")+COUNTIF($E13:T13,1)),
HYPERLINK("#Roadmap!C"&amp; MATCH($E13,Roadmap!$D:$D,0)+COUNTIF($E13:T13,"u")+COUNTIF($E13:T13,"t"),
     INDEX(Roadmap!$D:$K,MATCH($E13,Roadmap!$D:$D,0)+COUNTIF($E13:T13,"u")+COUNTIF($E13:T13,"t")+COUNTIF($E13:T13,"¶")+COUNTIF($E13:T13,"²")+COUNTIF($E13:T13,"µ")+COUNTIF($E13:T13,1),ColTypeEcheance)),
  IF(LEN(T13)=1,
  IF(LEN(INDEX(Roadmap!$D:$K,MATCH($E13,Roadmap!$D:$D,0)-1+COUNTIF($E13:T13,"u")+COUNTIF($E13:T13,"t")+COUNTIF($E13:T13,"¶")+COUNTIF($E13:T13,"²")+COUNTIF($E13:T13,"µ")+COUNTIF($E13:T13,1),ColDescriptionCourte))&gt;1,
HYPERLINK("#Roadmap!C"&amp; MATCH($E13,Roadmap!$D:$D,0)+COUNTIF($E13:T13,"u")+COUNTIF($E13:T13,"t")+COUNTIF($E13:T13,"¶")+COUNTIF($E13:T13,"²")+COUNTIF($E13:T13,"µ")+COUNTIF($E13:T13,1)-1,INDEX(Roadmap!$D:$K,MATCH($E13,Roadmap!$D:$D,0)-1+COUNTIF($E13:T13,"u")+COUNTIF($E13:T13,"t")+COUNTIF($E13:T13,"¶")+COUNTIF($E13:T13,"²")+COUNTIF($E13:T13,"µ")+COUNTIF($E13:T13,1),ColDescriptionCourte)),""),
  "")),"")</f>
        <v/>
      </c>
      <c r="V13" s="40" t="str">
        <f ca="1">IFERROR(IF(AND(
  INDEX(Roadmap!$D:$K,MATCH($E13,Roadmap!$D:$D,0)+COUNTIF($E13:U13,"u")+COUNTIF($E13:U13,"t")+COUNTIF($E13:U13,"¶")+COUNTIF($E13:U13,"²")+COUNTIF($E13:U13,"µ")+COUNTIF($E13:U13,1),ColLivraison)=V$6,
  VLOOKUP($E13,INDIRECT("tri!"&amp; CHAR(64+ C0Col) &amp;":"&amp; CHAR(65+C0Col)),2,FALSE)&gt;COUNTIF($E13:U13,"u")+COUNTIF($E13:U13,"t")+COUNTIF($E13:U13,"¶")+COUNTIF($E13:U13,"²")+COUNTIF($E13:U13,"µ")+COUNTIF($E13:U13,1)),
HYPERLINK("#Roadmap!C"&amp; MATCH($E13,Roadmap!$D:$D,0)+COUNTIF($E13:U13,"u")+COUNTIF($E13:U13,"t"),
     INDEX(Roadmap!$D:$K,MATCH($E13,Roadmap!$D:$D,0)+COUNTIF($E13:U13,"u")+COUNTIF($E13:U13,"t")+COUNTIF($E13:U13,"¶")+COUNTIF($E13:U13,"²")+COUNTIF($E13:U13,"µ")+COUNTIF($E13:U13,1),ColTypeEcheance)),
  IF(LEN(U13)=1,
  IF(LEN(INDEX(Roadmap!$D:$K,MATCH($E13,Roadmap!$D:$D,0)-1+COUNTIF($E13:U13,"u")+COUNTIF($E13:U13,"t")+COUNTIF($E13:U13,"¶")+COUNTIF($E13:U13,"²")+COUNTIF($E13:U13,"µ")+COUNTIF($E13:U13,1),ColDescriptionCourte))&gt;1,
HYPERLINK("#Roadmap!C"&amp; MATCH($E13,Roadmap!$D:$D,0)+COUNTIF($E13:U13,"u")+COUNTIF($E13:U13,"t")+COUNTIF($E13:U13,"¶")+COUNTIF($E13:U13,"²")+COUNTIF($E13:U13,"µ")+COUNTIF($E13:U13,1)-1,INDEX(Roadmap!$D:$K,MATCH($E13,Roadmap!$D:$D,0)-1+COUNTIF($E13:U13,"u")+COUNTIF($E13:U13,"t")+COUNTIF($E13:U13,"¶")+COUNTIF($E13:U13,"²")+COUNTIF($E13:U13,"µ")+COUNTIF($E13:U13,1),ColDescriptionCourte)),""),
  "")),"")</f>
        <v/>
      </c>
      <c r="W13" s="40" t="str">
        <f ca="1">IFERROR(IF(AND(
  INDEX(Roadmap!$D:$K,MATCH($E13,Roadmap!$D:$D,0)+COUNTIF($E13:V13,"u")+COUNTIF($E13:V13,"t")+COUNTIF($E13:V13,"¶")+COUNTIF($E13:V13,"²")+COUNTIF($E13:V13,"µ")+COUNTIF($E13:V13,1),ColLivraison)=W$6,
  VLOOKUP($E13,INDIRECT("tri!"&amp; CHAR(64+ C0Col) &amp;":"&amp; CHAR(65+C0Col)),2,FALSE)&gt;COUNTIF($E13:V13,"u")+COUNTIF($E13:V13,"t")+COUNTIF($E13:V13,"¶")+COUNTIF($E13:V13,"²")+COUNTIF($E13:V13,"µ")+COUNTIF($E13:V13,1)),
HYPERLINK("#Roadmap!C"&amp; MATCH($E13,Roadmap!$D:$D,0)+COUNTIF($E13:V13,"u")+COUNTIF($E13:V13,"t"),
     INDEX(Roadmap!$D:$K,MATCH($E13,Roadmap!$D:$D,0)+COUNTIF($E13:V13,"u")+COUNTIF($E13:V13,"t")+COUNTIF($E13:V13,"¶")+COUNTIF($E13:V13,"²")+COUNTIF($E13:V13,"µ")+COUNTIF($E13:V13,1),ColTypeEcheance)),
  IF(LEN(V13)=1,
  IF(LEN(INDEX(Roadmap!$D:$K,MATCH($E13,Roadmap!$D:$D,0)-1+COUNTIF($E13:V13,"u")+COUNTIF($E13:V13,"t")+COUNTIF($E13:V13,"¶")+COUNTIF($E13:V13,"²")+COUNTIF($E13:V13,"µ")+COUNTIF($E13:V13,1),ColDescriptionCourte))&gt;1,
HYPERLINK("#Roadmap!C"&amp; MATCH($E13,Roadmap!$D:$D,0)+COUNTIF($E13:V13,"u")+COUNTIF($E13:V13,"t")+COUNTIF($E13:V13,"¶")+COUNTIF($E13:V13,"²")+COUNTIF($E13:V13,"µ")+COUNTIF($E13:V13,1)-1,INDEX(Roadmap!$D:$K,MATCH($E13,Roadmap!$D:$D,0)-1+COUNTIF($E13:V13,"u")+COUNTIF($E13:V13,"t")+COUNTIF($E13:V13,"¶")+COUNTIF($E13:V13,"²")+COUNTIF($E13:V13,"µ")+COUNTIF($E13:V13,1),ColDescriptionCourte)),""),
  "")),"")</f>
        <v/>
      </c>
      <c r="X13" s="40" t="str">
        <f ca="1">IFERROR(IF(AND(
  INDEX(Roadmap!$D:$K,MATCH($E13,Roadmap!$D:$D,0)+COUNTIF($E13:W13,"u")+COUNTIF($E13:W13,"t")+COUNTIF($E13:W13,"¶")+COUNTIF($E13:W13,"²")+COUNTIF($E13:W13,"µ")+COUNTIF($E13:W13,1),ColLivraison)=X$6,
  VLOOKUP($E13,INDIRECT("tri!"&amp; CHAR(64+ C0Col) &amp;":"&amp; CHAR(65+C0Col)),2,FALSE)&gt;COUNTIF($E13:W13,"u")+COUNTIF($E13:W13,"t")+COUNTIF($E13:W13,"¶")+COUNTIF($E13:W13,"²")+COUNTIF($E13:W13,"µ")+COUNTIF($E13:W13,1)),
HYPERLINK("#Roadmap!C"&amp; MATCH($E13,Roadmap!$D:$D,0)+COUNTIF($E13:W13,"u")+COUNTIF($E13:W13,"t"),
     INDEX(Roadmap!$D:$K,MATCH($E13,Roadmap!$D:$D,0)+COUNTIF($E13:W13,"u")+COUNTIF($E13:W13,"t")+COUNTIF($E13:W13,"¶")+COUNTIF($E13:W13,"²")+COUNTIF($E13:W13,"µ")+COUNTIF($E13:W13,1),ColTypeEcheance)),
  IF(LEN(W13)=1,
  IF(LEN(INDEX(Roadmap!$D:$K,MATCH($E13,Roadmap!$D:$D,0)-1+COUNTIF($E13:W13,"u")+COUNTIF($E13:W13,"t")+COUNTIF($E13:W13,"¶")+COUNTIF($E13:W13,"²")+COUNTIF($E13:W13,"µ")+COUNTIF($E13:W13,1),ColDescriptionCourte))&gt;1,
HYPERLINK("#Roadmap!C"&amp; MATCH($E13,Roadmap!$D:$D,0)+COUNTIF($E13:W13,"u")+COUNTIF($E13:W13,"t")+COUNTIF($E13:W13,"¶")+COUNTIF($E13:W13,"²")+COUNTIF($E13:W13,"µ")+COUNTIF($E13:W13,1)-1,INDEX(Roadmap!$D:$K,MATCH($E13,Roadmap!$D:$D,0)-1+COUNTIF($E13:W13,"u")+COUNTIF($E13:W13,"t")+COUNTIF($E13:W13,"¶")+COUNTIF($E13:W13,"²")+COUNTIF($E13:W13,"µ")+COUNTIF($E13:W13,1),ColDescriptionCourte)),""),
  "")),"")</f>
        <v/>
      </c>
      <c r="Y13" s="40" t="str">
        <f ca="1">IFERROR(IF(AND(
  INDEX(Roadmap!$D:$K,MATCH($E13,Roadmap!$D:$D,0)+COUNTIF($E13:X13,"u")+COUNTIF($E13:X13,"t")+COUNTIF($E13:X13,"¶")+COUNTIF($E13:X13,"²")+COUNTIF($E13:X13,"µ")+COUNTIF($E13:X13,1),ColLivraison)=Y$6,
  VLOOKUP($E13,INDIRECT("tri!"&amp; CHAR(64+ C0Col) &amp;":"&amp; CHAR(65+C0Col)),2,FALSE)&gt;COUNTIF($E13:X13,"u")+COUNTIF($E13:X13,"t")+COUNTIF($E13:X13,"¶")+COUNTIF($E13:X13,"²")+COUNTIF($E13:X13,"µ")+COUNTIF($E13:X13,1)),
HYPERLINK("#Roadmap!C"&amp; MATCH($E13,Roadmap!$D:$D,0)+COUNTIF($E13:X13,"u")+COUNTIF($E13:X13,"t"),
     INDEX(Roadmap!$D:$K,MATCH($E13,Roadmap!$D:$D,0)+COUNTIF($E13:X13,"u")+COUNTIF($E13:X13,"t")+COUNTIF($E13:X13,"¶")+COUNTIF($E13:X13,"²")+COUNTIF($E13:X13,"µ")+COUNTIF($E13:X13,1),ColTypeEcheance)),
  IF(LEN(X13)=1,
  IF(LEN(INDEX(Roadmap!$D:$K,MATCH($E13,Roadmap!$D:$D,0)-1+COUNTIF($E13:X13,"u")+COUNTIF($E13:X13,"t")+COUNTIF($E13:X13,"¶")+COUNTIF($E13:X13,"²")+COUNTIF($E13:X13,"µ")+COUNTIF($E13:X13,1),ColDescriptionCourte))&gt;1,
HYPERLINK("#Roadmap!C"&amp; MATCH($E13,Roadmap!$D:$D,0)+COUNTIF($E13:X13,"u")+COUNTIF($E13:X13,"t")+COUNTIF($E13:X13,"¶")+COUNTIF($E13:X13,"²")+COUNTIF($E13:X13,"µ")+COUNTIF($E13:X13,1)-1,INDEX(Roadmap!$D:$K,MATCH($E13,Roadmap!$D:$D,0)-1+COUNTIF($E13:X13,"u")+COUNTIF($E13:X13,"t")+COUNTIF($E13:X13,"¶")+COUNTIF($E13:X13,"²")+COUNTIF($E13:X13,"µ")+COUNTIF($E13:X13,1),ColDescriptionCourte)),""),
  "")),"")</f>
        <v/>
      </c>
      <c r="Z13" s="40" t="str">
        <f ca="1">IFERROR(IF(AND(
  INDEX(Roadmap!$D:$K,MATCH($E13,Roadmap!$D:$D,0)+COUNTIF($E13:Y13,"u")+COUNTIF($E13:Y13,"t")+COUNTIF($E13:Y13,"¶")+COUNTIF($E13:Y13,"²")+COUNTIF($E13:Y13,"µ")+COUNTIF($E13:Y13,1),ColLivraison)=Z$6,
  VLOOKUP($E13,INDIRECT("tri!"&amp; CHAR(64+ C0Col) &amp;":"&amp; CHAR(65+C0Col)),2,FALSE)&gt;COUNTIF($E13:Y13,"u")+COUNTIF($E13:Y13,"t")+COUNTIF($E13:Y13,"¶")+COUNTIF($E13:Y13,"²")+COUNTIF($E13:Y13,"µ")+COUNTIF($E13:Y13,1)),
HYPERLINK("#Roadmap!C"&amp; MATCH($E13,Roadmap!$D:$D,0)+COUNTIF($E13:Y13,"u")+COUNTIF($E13:Y13,"t"),
     INDEX(Roadmap!$D:$K,MATCH($E13,Roadmap!$D:$D,0)+COUNTIF($E13:Y13,"u")+COUNTIF($E13:Y13,"t")+COUNTIF($E13:Y13,"¶")+COUNTIF($E13:Y13,"²")+COUNTIF($E13:Y13,"µ")+COUNTIF($E13:Y13,1),ColTypeEcheance)),
  IF(LEN(Y13)=1,
  IF(LEN(INDEX(Roadmap!$D:$K,MATCH($E13,Roadmap!$D:$D,0)-1+COUNTIF($E13:Y13,"u")+COUNTIF($E13:Y13,"t")+COUNTIF($E13:Y13,"¶")+COUNTIF($E13:Y13,"²")+COUNTIF($E13:Y13,"µ")+COUNTIF($E13:Y13,1),ColDescriptionCourte))&gt;1,
HYPERLINK("#Roadmap!C"&amp; MATCH($E13,Roadmap!$D:$D,0)+COUNTIF($E13:Y13,"u")+COUNTIF($E13:Y13,"t")+COUNTIF($E13:Y13,"¶")+COUNTIF($E13:Y13,"²")+COUNTIF($E13:Y13,"µ")+COUNTIF($E13:Y13,1)-1,INDEX(Roadmap!$D:$K,MATCH($E13,Roadmap!$D:$D,0)-1+COUNTIF($E13:Y13,"u")+COUNTIF($E13:Y13,"t")+COUNTIF($E13:Y13,"¶")+COUNTIF($E13:Y13,"²")+COUNTIF($E13:Y13,"µ")+COUNTIF($E13:Y13,1),ColDescriptionCourte)),""),
  "")),"")</f>
        <v/>
      </c>
      <c r="AA13" s="40" t="str">
        <f ca="1">IFERROR(IF(AND(
  INDEX(Roadmap!$D:$K,MATCH($E13,Roadmap!$D:$D,0)+COUNTIF($E13:Z13,"u")+COUNTIF($E13:Z13,"t")+COUNTIF($E13:Z13,"¶")+COUNTIF($E13:Z13,"²")+COUNTIF($E13:Z13,"µ")+COUNTIF($E13:Z13,1),ColLivraison)=AA$6,
  VLOOKUP($E13,INDIRECT("tri!"&amp; CHAR(64+ C0Col) &amp;":"&amp; CHAR(65+C0Col)),2,FALSE)&gt;COUNTIF($E13:Z13,"u")+COUNTIF($E13:Z13,"t")+COUNTIF($E13:Z13,"¶")+COUNTIF($E13:Z13,"²")+COUNTIF($E13:Z13,"µ")+COUNTIF($E13:Z13,1)),
HYPERLINK("#Roadmap!C"&amp; MATCH($E13,Roadmap!$D:$D,0)+COUNTIF($E13:Z13,"u")+COUNTIF($E13:Z13,"t"),
     INDEX(Roadmap!$D:$K,MATCH($E13,Roadmap!$D:$D,0)+COUNTIF($E13:Z13,"u")+COUNTIF($E13:Z13,"t")+COUNTIF($E13:Z13,"¶")+COUNTIF($E13:Z13,"²")+COUNTIF($E13:Z13,"µ")+COUNTIF($E13:Z13,1),ColTypeEcheance)),
  IF(LEN(Z13)=1,
  IF(LEN(INDEX(Roadmap!$D:$K,MATCH($E13,Roadmap!$D:$D,0)-1+COUNTIF($E13:Z13,"u")+COUNTIF($E13:Z13,"t")+COUNTIF($E13:Z13,"¶")+COUNTIF($E13:Z13,"²")+COUNTIF($E13:Z13,"µ")+COUNTIF($E13:Z13,1),ColDescriptionCourte))&gt;1,
HYPERLINK("#Roadmap!C"&amp; MATCH($E13,Roadmap!$D:$D,0)+COUNTIF($E13:Z13,"u")+COUNTIF($E13:Z13,"t")+COUNTIF($E13:Z13,"¶")+COUNTIF($E13:Z13,"²")+COUNTIF($E13:Z13,"µ")+COUNTIF($E13:Z13,1)-1,INDEX(Roadmap!$D:$K,MATCH($E13,Roadmap!$D:$D,0)-1+COUNTIF($E13:Z13,"u")+COUNTIF($E13:Z13,"t")+COUNTIF($E13:Z13,"¶")+COUNTIF($E13:Z13,"²")+COUNTIF($E13:Z13,"µ")+COUNTIF($E13:Z13,1),ColDescriptionCourte)),""),
  "")),"")</f>
        <v/>
      </c>
      <c r="AB13" s="40" t="str">
        <f ca="1">IFERROR(IF(AND(
  INDEX(Roadmap!$D:$K,MATCH($E13,Roadmap!$D:$D,0)+COUNTIF($E13:AA13,"u")+COUNTIF($E13:AA13,"t")+COUNTIF($E13:AA13,"¶")+COUNTIF($E13:AA13,"²")+COUNTIF($E13:AA13,"µ")+COUNTIF($E13:AA13,1),ColLivraison)=AB$6,
  VLOOKUP($E13,INDIRECT("tri!"&amp; CHAR(64+ C0Col) &amp;":"&amp; CHAR(65+C0Col)),2,FALSE)&gt;COUNTIF($E13:AA13,"u")+COUNTIF($E13:AA13,"t")+COUNTIF($E13:AA13,"¶")+COUNTIF($E13:AA13,"²")+COUNTIF($E13:AA13,"µ")+COUNTIF($E13:AA13,1)),
HYPERLINK("#Roadmap!C"&amp; MATCH($E13,Roadmap!$D:$D,0)+COUNTIF($E13:AA13,"u")+COUNTIF($E13:AA13,"t"),
     INDEX(Roadmap!$D:$K,MATCH($E13,Roadmap!$D:$D,0)+COUNTIF($E13:AA13,"u")+COUNTIF($E13:AA13,"t")+COUNTIF($E13:AA13,"¶")+COUNTIF($E13:AA13,"²")+COUNTIF($E13:AA13,"µ")+COUNTIF($E13:AA13,1),ColTypeEcheance)),
  IF(LEN(AA13)=1,
  IF(LEN(INDEX(Roadmap!$D:$K,MATCH($E13,Roadmap!$D:$D,0)-1+COUNTIF($E13:AA13,"u")+COUNTIF($E13:AA13,"t")+COUNTIF($E13:AA13,"¶")+COUNTIF($E13:AA13,"²")+COUNTIF($E13:AA13,"µ")+COUNTIF($E13:AA13,1),ColDescriptionCourte))&gt;1,
HYPERLINK("#Roadmap!C"&amp; MATCH($E13,Roadmap!$D:$D,0)+COUNTIF($E13:AA13,"u")+COUNTIF($E13:AA13,"t")+COUNTIF($E13:AA13,"¶")+COUNTIF($E13:AA13,"²")+COUNTIF($E13:AA13,"µ")+COUNTIF($E13:AA13,1)-1,INDEX(Roadmap!$D:$K,MATCH($E13,Roadmap!$D:$D,0)-1+COUNTIF($E13:AA13,"u")+COUNTIF($E13:AA13,"t")+COUNTIF($E13:AA13,"¶")+COUNTIF($E13:AA13,"²")+COUNTIF($E13:AA13,"µ")+COUNTIF($E13:AA13,1),ColDescriptionCourte)),""),
  "")),"")</f>
        <v/>
      </c>
      <c r="AC13" s="40" t="str">
        <f ca="1">IFERROR(IF(AND(
  INDEX(Roadmap!$D:$K,MATCH($E13,Roadmap!$D:$D,0)+COUNTIF($E13:AB13,"u")+COUNTIF($E13:AB13,"t")+COUNTIF($E13:AB13,"¶")+COUNTIF($E13:AB13,"²")+COUNTIF($E13:AB13,"µ")+COUNTIF($E13:AB13,1),ColLivraison)=AC$6,
  VLOOKUP($E13,INDIRECT("tri!"&amp; CHAR(64+ C0Col) &amp;":"&amp; CHAR(65+C0Col)),2,FALSE)&gt;COUNTIF($E13:AB13,"u")+COUNTIF($E13:AB13,"t")+COUNTIF($E13:AB13,"¶")+COUNTIF($E13:AB13,"²")+COUNTIF($E13:AB13,"µ")+COUNTIF($E13:AB13,1)),
HYPERLINK("#Roadmap!C"&amp; MATCH($E13,Roadmap!$D:$D,0)+COUNTIF($E13:AB13,"u")+COUNTIF($E13:AB13,"t"),
     INDEX(Roadmap!$D:$K,MATCH($E13,Roadmap!$D:$D,0)+COUNTIF($E13:AB13,"u")+COUNTIF($E13:AB13,"t")+COUNTIF($E13:AB13,"¶")+COUNTIF($E13:AB13,"²")+COUNTIF($E13:AB13,"µ")+COUNTIF($E13:AB13,1),ColTypeEcheance)),
  IF(LEN(AB13)=1,
  IF(LEN(INDEX(Roadmap!$D:$K,MATCH($E13,Roadmap!$D:$D,0)-1+COUNTIF($E13:AB13,"u")+COUNTIF($E13:AB13,"t")+COUNTIF($E13:AB13,"¶")+COUNTIF($E13:AB13,"²")+COUNTIF($E13:AB13,"µ")+COUNTIF($E13:AB13,1),ColDescriptionCourte))&gt;1,
HYPERLINK("#Roadmap!C"&amp; MATCH($E13,Roadmap!$D:$D,0)+COUNTIF($E13:AB13,"u")+COUNTIF($E13:AB13,"t")+COUNTIF($E13:AB13,"¶")+COUNTIF($E13:AB13,"²")+COUNTIF($E13:AB13,"µ")+COUNTIF($E13:AB13,1)-1,INDEX(Roadmap!$D:$K,MATCH($E13,Roadmap!$D:$D,0)-1+COUNTIF($E13:AB13,"u")+COUNTIF($E13:AB13,"t")+COUNTIF($E13:AB13,"¶")+COUNTIF($E13:AB13,"²")+COUNTIF($E13:AB13,"µ")+COUNTIF($E13:AB13,1),ColDescriptionCourte)),""),
  "")),"")</f>
        <v/>
      </c>
      <c r="AD13" s="40" t="str">
        <f ca="1">IFERROR(IF(AND(
  INDEX(Roadmap!$D:$K,MATCH($E13,Roadmap!$D:$D,0)+COUNTIF($E13:AC13,"u")+COUNTIF($E13:AC13,"t")+COUNTIF($E13:AC13,"¶")+COUNTIF($E13:AC13,"²")+COUNTIF($E13:AC13,"µ")+COUNTIF($E13:AC13,1),ColLivraison)=AD$6,
  VLOOKUP($E13,INDIRECT("tri!"&amp; CHAR(64+ C0Col) &amp;":"&amp; CHAR(65+C0Col)),2,FALSE)&gt;COUNTIF($E13:AC13,"u")+COUNTIF($E13:AC13,"t")+COUNTIF($E13:AC13,"¶")+COUNTIF($E13:AC13,"²")+COUNTIF($E13:AC13,"µ")+COUNTIF($E13:AC13,1)),
HYPERLINK("#Roadmap!C"&amp; MATCH($E13,Roadmap!$D:$D,0)+COUNTIF($E13:AC13,"u")+COUNTIF($E13:AC13,"t"),
     INDEX(Roadmap!$D:$K,MATCH($E13,Roadmap!$D:$D,0)+COUNTIF($E13:AC13,"u")+COUNTIF($E13:AC13,"t")+COUNTIF($E13:AC13,"¶")+COUNTIF($E13:AC13,"²")+COUNTIF($E13:AC13,"µ")+COUNTIF($E13:AC13,1),ColTypeEcheance)),
  IF(LEN(AC13)=1,
  IF(LEN(INDEX(Roadmap!$D:$K,MATCH($E13,Roadmap!$D:$D,0)-1+COUNTIF($E13:AC13,"u")+COUNTIF($E13:AC13,"t")+COUNTIF($E13:AC13,"¶")+COUNTIF($E13:AC13,"²")+COUNTIF($E13:AC13,"µ")+COUNTIF($E13:AC13,1),ColDescriptionCourte))&gt;1,
HYPERLINK("#Roadmap!C"&amp; MATCH($E13,Roadmap!$D:$D,0)+COUNTIF($E13:AC13,"u")+COUNTIF($E13:AC13,"t")+COUNTIF($E13:AC13,"¶")+COUNTIF($E13:AC13,"²")+COUNTIF($E13:AC13,"µ")+COUNTIF($E13:AC13,1)-1,INDEX(Roadmap!$D:$K,MATCH($E13,Roadmap!$D:$D,0)-1+COUNTIF($E13:AC13,"u")+COUNTIF($E13:AC13,"t")+COUNTIF($E13:AC13,"¶")+COUNTIF($E13:AC13,"²")+COUNTIF($E13:AC13,"µ")+COUNTIF($E13:AC13,1),ColDescriptionCourte)),""),
  "")),"")</f>
        <v/>
      </c>
      <c r="AE13" s="40" t="str">
        <f ca="1">IFERROR(IF(AND(
  INDEX(Roadmap!$D:$K,MATCH($E13,Roadmap!$D:$D,0)+COUNTIF($E13:AD13,"u")+COUNTIF($E13:AD13,"t")+COUNTIF($E13:AD13,"¶")+COUNTIF($E13:AD13,"²")+COUNTIF($E13:AD13,"µ")+COUNTIF($E13:AD13,1),ColLivraison)=AE$6,
  VLOOKUP($E13,INDIRECT("tri!"&amp; CHAR(64+ C0Col) &amp;":"&amp; CHAR(65+C0Col)),2,FALSE)&gt;COUNTIF($E13:AD13,"u")+COUNTIF($E13:AD13,"t")+COUNTIF($E13:AD13,"¶")+COUNTIF($E13:AD13,"²")+COUNTIF($E13:AD13,"µ")+COUNTIF($E13:AD13,1)),
HYPERLINK("#Roadmap!C"&amp; MATCH($E13,Roadmap!$D:$D,0)+COUNTIF($E13:AD13,"u")+COUNTIF($E13:AD13,"t"),
     INDEX(Roadmap!$D:$K,MATCH($E13,Roadmap!$D:$D,0)+COUNTIF($E13:AD13,"u")+COUNTIF($E13:AD13,"t")+COUNTIF($E13:AD13,"¶")+COUNTIF($E13:AD13,"²")+COUNTIF($E13:AD13,"µ")+COUNTIF($E13:AD13,1),ColTypeEcheance)),
  IF(LEN(AD13)=1,
  IF(LEN(INDEX(Roadmap!$D:$K,MATCH($E13,Roadmap!$D:$D,0)-1+COUNTIF($E13:AD13,"u")+COUNTIF($E13:AD13,"t")+COUNTIF($E13:AD13,"¶")+COUNTIF($E13:AD13,"²")+COUNTIF($E13:AD13,"µ")+COUNTIF($E13:AD13,1),ColDescriptionCourte))&gt;1,
HYPERLINK("#Roadmap!C"&amp; MATCH($E13,Roadmap!$D:$D,0)+COUNTIF($E13:AD13,"u")+COUNTIF($E13:AD13,"t")+COUNTIF($E13:AD13,"¶")+COUNTIF($E13:AD13,"²")+COUNTIF($E13:AD13,"µ")+COUNTIF($E13:AD13,1)-1,INDEX(Roadmap!$D:$K,MATCH($E13,Roadmap!$D:$D,0)-1+COUNTIF($E13:AD13,"u")+COUNTIF($E13:AD13,"t")+COUNTIF($E13:AD13,"¶")+COUNTIF($E13:AD13,"²")+COUNTIF($E13:AD13,"µ")+COUNTIF($E13:AD13,1),ColDescriptionCourte)),""),
  "")),"")</f>
        <v/>
      </c>
      <c r="AF13" s="40" t="str">
        <f ca="1">IFERROR(IF(AND(
  INDEX(Roadmap!$D:$K,MATCH($E13,Roadmap!$D:$D,0)+COUNTIF($E13:AE13,"u")+COUNTIF($E13:AE13,"t")+COUNTIF($E13:AE13,"¶")+COUNTIF($E13:AE13,"²")+COUNTIF($E13:AE13,"µ")+COUNTIF($E13:AE13,1),ColLivraison)=AF$6,
  VLOOKUP($E13,INDIRECT("tri!"&amp; CHAR(64+ C0Col) &amp;":"&amp; CHAR(65+C0Col)),2,FALSE)&gt;COUNTIF($E13:AE13,"u")+COUNTIF($E13:AE13,"t")+COUNTIF($E13:AE13,"¶")+COUNTIF($E13:AE13,"²")+COUNTIF($E13:AE13,"µ")+COUNTIF($E13:AE13,1)),
HYPERLINK("#Roadmap!C"&amp; MATCH($E13,Roadmap!$D:$D,0)+COUNTIF($E13:AE13,"u")+COUNTIF($E13:AE13,"t"),
     INDEX(Roadmap!$D:$K,MATCH($E13,Roadmap!$D:$D,0)+COUNTIF($E13:AE13,"u")+COUNTIF($E13:AE13,"t")+COUNTIF($E13:AE13,"¶")+COUNTIF($E13:AE13,"²")+COUNTIF($E13:AE13,"µ")+COUNTIF($E13:AE13,1),ColTypeEcheance)),
  IF(LEN(AE13)=1,
  IF(LEN(INDEX(Roadmap!$D:$K,MATCH($E13,Roadmap!$D:$D,0)-1+COUNTIF($E13:AE13,"u")+COUNTIF($E13:AE13,"t")+COUNTIF($E13:AE13,"¶")+COUNTIF($E13:AE13,"²")+COUNTIF($E13:AE13,"µ")+COUNTIF($E13:AE13,1),ColDescriptionCourte))&gt;1,
HYPERLINK("#Roadmap!C"&amp; MATCH($E13,Roadmap!$D:$D,0)+COUNTIF($E13:AE13,"u")+COUNTIF($E13:AE13,"t")+COUNTIF($E13:AE13,"¶")+COUNTIF($E13:AE13,"²")+COUNTIF($E13:AE13,"µ")+COUNTIF($E13:AE13,1)-1,INDEX(Roadmap!$D:$K,MATCH($E13,Roadmap!$D:$D,0)-1+COUNTIF($E13:AE13,"u")+COUNTIF($E13:AE13,"t")+COUNTIF($E13:AE13,"¶")+COUNTIF($E13:AE13,"²")+COUNTIF($E13:AE13,"µ")+COUNTIF($E13:AE13,1),ColDescriptionCourte)),""),
  "")),"")</f>
        <v/>
      </c>
      <c r="AG13" s="40" t="str">
        <f ca="1">IFERROR(IF(AND(
  INDEX(Roadmap!$D:$K,MATCH($E13,Roadmap!$D:$D,0)+COUNTIF($E13:AF13,"u")+COUNTIF($E13:AF13,"t")+COUNTIF($E13:AF13,"¶")+COUNTIF($E13:AF13,"²")+COUNTIF($E13:AF13,"µ")+COUNTIF($E13:AF13,1),ColLivraison)=AG$6,
  VLOOKUP($E13,INDIRECT("tri!"&amp; CHAR(64+ C0Col) &amp;":"&amp; CHAR(65+C0Col)),2,FALSE)&gt;COUNTIF($E13:AF13,"u")+COUNTIF($E13:AF13,"t")+COUNTIF($E13:AF13,"¶")+COUNTIF($E13:AF13,"²")+COUNTIF($E13:AF13,"µ")+COUNTIF($E13:AF13,1)),
HYPERLINK("#Roadmap!C"&amp; MATCH($E13,Roadmap!$D:$D,0)+COUNTIF($E13:AF13,"u")+COUNTIF($E13:AF13,"t"),
     INDEX(Roadmap!$D:$K,MATCH($E13,Roadmap!$D:$D,0)+COUNTIF($E13:AF13,"u")+COUNTIF($E13:AF13,"t")+COUNTIF($E13:AF13,"¶")+COUNTIF($E13:AF13,"²")+COUNTIF($E13:AF13,"µ")+COUNTIF($E13:AF13,1),ColTypeEcheance)),
  IF(LEN(AF13)=1,
  IF(LEN(INDEX(Roadmap!$D:$K,MATCH($E13,Roadmap!$D:$D,0)-1+COUNTIF($E13:AF13,"u")+COUNTIF($E13:AF13,"t")+COUNTIF($E13:AF13,"¶")+COUNTIF($E13:AF13,"²")+COUNTIF($E13:AF13,"µ")+COUNTIF($E13:AF13,1),ColDescriptionCourte))&gt;1,
HYPERLINK("#Roadmap!C"&amp; MATCH($E13,Roadmap!$D:$D,0)+COUNTIF($E13:AF13,"u")+COUNTIF($E13:AF13,"t")+COUNTIF($E13:AF13,"¶")+COUNTIF($E13:AF13,"²")+COUNTIF($E13:AF13,"µ")+COUNTIF($E13:AF13,1)-1,INDEX(Roadmap!$D:$K,MATCH($E13,Roadmap!$D:$D,0)-1+COUNTIF($E13:AF13,"u")+COUNTIF($E13:AF13,"t")+COUNTIF($E13:AF13,"¶")+COUNTIF($E13:AF13,"²")+COUNTIF($E13:AF13,"µ")+COUNTIF($E13:AF13,1),ColDescriptionCourte)),""),
  "")),"")</f>
        <v/>
      </c>
    </row>
    <row r="14" spans="3:35" ht="14.25" customHeight="1">
      <c r="C14" s="1" t="str">
        <f t="shared" ca="1" si="42"/>
        <v/>
      </c>
      <c r="D14" s="1" t="str">
        <f t="shared" ca="1" si="43"/>
        <v>Domaine 9</v>
      </c>
      <c r="E14" s="35" t="str">
        <f t="shared" ca="1" si="33"/>
        <v/>
      </c>
      <c r="F14" s="39" t="str">
        <f ca="1">IFERROR(IF(AND(
  INDEX(Roadmap!$D:$K,MATCH($E14,Roadmap!$D:$D,0)+COUNTIF($E14:E14,"u")+COUNTIF($E14:E14,"t")+COUNTIF($E14:E14,"¶")+COUNTIF($E14:E14,"²")+COUNTIF($E14:E14,"µ")+COUNTIF($E14:E14,1),ColLivraison)=F$6,
  VLOOKUP($E14,INDIRECT("tri!"&amp; CHAR(64+ C0Col) &amp;":"&amp; CHAR(65+C0Col)),2,FALSE)&gt;COUNTIF($E14:E14,"u")+COUNTIF($E14:E14,"t")+COUNTIF($E14:E14,"¶")+COUNTIF($E14:E14,"²")+COUNTIF($E14:E14,"µ")+COUNTIF($E14:E14,1)),
HYPERLINK("#Roadmap!C"&amp; MATCH($E14,Roadmap!$D:$D,0)+COUNTIF($E14:E14,"u")+COUNTIF($E14:E14,"t"),
     INDEX(Roadmap!$D:$K,MATCH($E14,Roadmap!$D:$D,0)+COUNTIF($E14:E14,"u")+COUNTIF($E14:E14,"t")+COUNTIF($E14:E14,"¶")+COUNTIF($E14:E14,"²")+COUNTIF($E14:E14,"µ")+COUNTIF($E14:E14,1),ColTypeEcheance)),
  IF(LEN(E14)=1,
  IF(LEN(INDEX(Roadmap!$D:$K,MATCH($E14,Roadmap!$D:$D,0)-1+COUNTIF($E14:E14,"u")+COUNTIF($E14:E14,"t")+COUNTIF($E14:E14,"¶")+COUNTIF($E14:E14,"²")+COUNTIF($E14:E14,"µ")+COUNTIF($E14:E14,1),ColDescriptionCourte))&gt;1,
HYPERLINK("#Roadmap!C"&amp; MATCH($E14,Roadmap!$D:$D,0)+COUNTIF($E14:E14,"u")+COUNTIF($E14:E14,"t")+COUNTIF($E14:E14,"¶")+COUNTIF($E14:E14,"²")+COUNTIF($E14:E14,"µ")+COUNTIF($E14:E14,1)-1,INDEX(Roadmap!$D:$K,MATCH($E14,Roadmap!$D:$D,0)-1+COUNTIF($E14:E14,"u")+COUNTIF($E14:E14,"t")+COUNTIF($E14:E14,"¶")+COUNTIF($E14:E14,"²")+COUNTIF($E14:E14,"µ")+COUNTIF($E14:E14,1),ColDescriptionCourte)),""),
  "")),"")</f>
        <v/>
      </c>
      <c r="G14" s="40" t="str">
        <f ca="1">IFERROR(IF(AND(
  INDEX(Roadmap!$D:$K,MATCH($E14,Roadmap!$D:$D,0)+COUNTIF($E14:F14,"u")+COUNTIF($E14:F14,"t")+COUNTIF($E14:F14,"¶")+COUNTIF($E14:F14,"²")+COUNTIF($E14:F14,"µ")+COUNTIF($E14:F14,1),ColLivraison)=G$6,
  VLOOKUP($E14,INDIRECT("tri!"&amp; CHAR(64+ C0Col) &amp;":"&amp; CHAR(65+C0Col)),2,FALSE)&gt;COUNTIF($E14:F14,"u")+COUNTIF($E14:F14,"t")+COUNTIF($E14:F14,"¶")+COUNTIF($E14:F14,"²")+COUNTIF($E14:F14,"µ")+COUNTIF($E14:F14,1)),
HYPERLINK("#Roadmap!C"&amp; MATCH($E14,Roadmap!$D:$D,0)+COUNTIF($E14:F14,"u")+COUNTIF($E14:F14,"t"),
     INDEX(Roadmap!$D:$K,MATCH($E14,Roadmap!$D:$D,0)+COUNTIF($E14:F14,"u")+COUNTIF($E14:F14,"t")+COUNTIF($E14:F14,"¶")+COUNTIF($E14:F14,"²")+COUNTIF($E14:F14,"µ")+COUNTIF($E14:F14,1),ColTypeEcheance)),
  IF(LEN(F14)=1,
  IF(LEN(INDEX(Roadmap!$D:$K,MATCH($E14,Roadmap!$D:$D,0)-1+COUNTIF($E14:F14,"u")+COUNTIF($E14:F14,"t")+COUNTIF($E14:F14,"¶")+COUNTIF($E14:F14,"²")+COUNTIF($E14:F14,"µ")+COUNTIF($E14:F14,1),ColDescriptionCourte))&gt;1,
HYPERLINK("#Roadmap!C"&amp; MATCH($E14,Roadmap!$D:$D,0)+COUNTIF($E14:F14,"u")+COUNTIF($E14:F14,"t")+COUNTIF($E14:F14,"¶")+COUNTIF($E14:F14,"²")+COUNTIF($E14:F14,"µ")+COUNTIF($E14:F14,1)-1,INDEX(Roadmap!$D:$K,MATCH($E14,Roadmap!$D:$D,0)-1+COUNTIF($E14:F14,"u")+COUNTIF($E14:F14,"t")+COUNTIF($E14:F14,"¶")+COUNTIF($E14:F14,"²")+COUNTIF($E14:F14,"µ")+COUNTIF($E14:F14,1),ColDescriptionCourte)),""),
  "")),"")</f>
        <v/>
      </c>
      <c r="H14" s="40" t="str">
        <f ca="1">IFERROR(IF(AND(
  INDEX(Roadmap!$D:$K,MATCH($E14,Roadmap!$D:$D,0)+COUNTIF($E14:G14,"u")+COUNTIF($E14:G14,"t")+COUNTIF($E14:G14,"¶")+COUNTIF($E14:G14,"²")+COUNTIF($E14:G14,"µ")+COUNTIF($E14:G14,1),ColLivraison)=H$6,
  VLOOKUP($E14,INDIRECT("tri!"&amp; CHAR(64+ C0Col) &amp;":"&amp; CHAR(65+C0Col)),2,FALSE)&gt;COUNTIF($E14:G14,"u")+COUNTIF($E14:G14,"t")+COUNTIF($E14:G14,"¶")+COUNTIF($E14:G14,"²")+COUNTIF($E14:G14,"µ")+COUNTIF($E14:G14,1)),
HYPERLINK("#Roadmap!C"&amp; MATCH($E14,Roadmap!$D:$D,0)+COUNTIF($E14:G14,"u")+COUNTIF($E14:G14,"t"),
     INDEX(Roadmap!$D:$K,MATCH($E14,Roadmap!$D:$D,0)+COUNTIF($E14:G14,"u")+COUNTIF($E14:G14,"t")+COUNTIF($E14:G14,"¶")+COUNTIF($E14:G14,"²")+COUNTIF($E14:G14,"µ")+COUNTIF($E14:G14,1),ColTypeEcheance)),
  IF(LEN(G14)=1,
  IF(LEN(INDEX(Roadmap!$D:$K,MATCH($E14,Roadmap!$D:$D,0)-1+COUNTIF($E14:G14,"u")+COUNTIF($E14:G14,"t")+COUNTIF($E14:G14,"¶")+COUNTIF($E14:G14,"²")+COUNTIF($E14:G14,"µ")+COUNTIF($E14:G14,1),ColDescriptionCourte))&gt;1,
HYPERLINK("#Roadmap!C"&amp; MATCH($E14,Roadmap!$D:$D,0)+COUNTIF($E14:G14,"u")+COUNTIF($E14:G14,"t")+COUNTIF($E14:G14,"¶")+COUNTIF($E14:G14,"²")+COUNTIF($E14:G14,"µ")+COUNTIF($E14:G14,1)-1,INDEX(Roadmap!$D:$K,MATCH($E14,Roadmap!$D:$D,0)-1+COUNTIF($E14:G14,"u")+COUNTIF($E14:G14,"t")+COUNTIF($E14:G14,"¶")+COUNTIF($E14:G14,"²")+COUNTIF($E14:G14,"µ")+COUNTIF($E14:G14,1),ColDescriptionCourte)),""),
  "")),"")</f>
        <v/>
      </c>
      <c r="I14" s="40" t="str">
        <f ca="1">IFERROR(IF(AND(
  INDEX(Roadmap!$D:$K,MATCH($E14,Roadmap!$D:$D,0)+COUNTIF($E14:H14,"u")+COUNTIF($E14:H14,"t")+COUNTIF($E14:H14,"¶")+COUNTIF($E14:H14,"²")+COUNTIF($E14:H14,"µ")+COUNTIF($E14:H14,1),ColLivraison)=I$6,
  VLOOKUP($E14,INDIRECT("tri!"&amp; CHAR(64+ C0Col) &amp;":"&amp; CHAR(65+C0Col)),2,FALSE)&gt;COUNTIF($E14:H14,"u")+COUNTIF($E14:H14,"t")+COUNTIF($E14:H14,"¶")+COUNTIF($E14:H14,"²")+COUNTIF($E14:H14,"µ")+COUNTIF($E14:H14,1)),
HYPERLINK("#Roadmap!C"&amp; MATCH($E14,Roadmap!$D:$D,0)+COUNTIF($E14:H14,"u")+COUNTIF($E14:H14,"t"),
     INDEX(Roadmap!$D:$K,MATCH($E14,Roadmap!$D:$D,0)+COUNTIF($E14:H14,"u")+COUNTIF($E14:H14,"t")+COUNTIF($E14:H14,"¶")+COUNTIF($E14:H14,"²")+COUNTIF($E14:H14,"µ")+COUNTIF($E14:H14,1),ColTypeEcheance)),
  IF(LEN(H14)=1,
  IF(LEN(INDEX(Roadmap!$D:$K,MATCH($E14,Roadmap!$D:$D,0)-1+COUNTIF($E14:H14,"u")+COUNTIF($E14:H14,"t")+COUNTIF($E14:H14,"¶")+COUNTIF($E14:H14,"²")+COUNTIF($E14:H14,"µ")+COUNTIF($E14:H14,1),ColDescriptionCourte))&gt;1,
HYPERLINK("#Roadmap!C"&amp; MATCH($E14,Roadmap!$D:$D,0)+COUNTIF($E14:H14,"u")+COUNTIF($E14:H14,"t")+COUNTIF($E14:H14,"¶")+COUNTIF($E14:H14,"²")+COUNTIF($E14:H14,"µ")+COUNTIF($E14:H14,1)-1,INDEX(Roadmap!$D:$K,MATCH($E14,Roadmap!$D:$D,0)-1+COUNTIF($E14:H14,"u")+COUNTIF($E14:H14,"t")+COUNTIF($E14:H14,"¶")+COUNTIF($E14:H14,"²")+COUNTIF($E14:H14,"µ")+COUNTIF($E14:H14,1),ColDescriptionCourte)),""),
  "")),"")</f>
        <v/>
      </c>
      <c r="J14" s="40" t="str">
        <f ca="1">IFERROR(IF(AND(
  INDEX(Roadmap!$D:$K,MATCH($E14,Roadmap!$D:$D,0)+COUNTIF($E14:I14,"u")+COUNTIF($E14:I14,"t")+COUNTIF($E14:I14,"¶")+COUNTIF($E14:I14,"²")+COUNTIF($E14:I14,"µ")+COUNTIF($E14:I14,1),ColLivraison)=J$6,
  VLOOKUP($E14,INDIRECT("tri!"&amp; CHAR(64+ C0Col) &amp;":"&amp; CHAR(65+C0Col)),2,FALSE)&gt;COUNTIF($E14:I14,"u")+COUNTIF($E14:I14,"t")+COUNTIF($E14:I14,"¶")+COUNTIF($E14:I14,"²")+COUNTIF($E14:I14,"µ")+COUNTIF($E14:I14,1)),
HYPERLINK("#Roadmap!C"&amp; MATCH($E14,Roadmap!$D:$D,0)+COUNTIF($E14:I14,"u")+COUNTIF($E14:I14,"t"),
     INDEX(Roadmap!$D:$K,MATCH($E14,Roadmap!$D:$D,0)+COUNTIF($E14:I14,"u")+COUNTIF($E14:I14,"t")+COUNTIF($E14:I14,"¶")+COUNTIF($E14:I14,"²")+COUNTIF($E14:I14,"µ")+COUNTIF($E14:I14,1),ColTypeEcheance)),
  IF(LEN(I14)=1,
  IF(LEN(INDEX(Roadmap!$D:$K,MATCH($E14,Roadmap!$D:$D,0)-1+COUNTIF($E14:I14,"u")+COUNTIF($E14:I14,"t")+COUNTIF($E14:I14,"¶")+COUNTIF($E14:I14,"²")+COUNTIF($E14:I14,"µ")+COUNTIF($E14:I14,1),ColDescriptionCourte))&gt;1,
HYPERLINK("#Roadmap!C"&amp; MATCH($E14,Roadmap!$D:$D,0)+COUNTIF($E14:I14,"u")+COUNTIF($E14:I14,"t")+COUNTIF($E14:I14,"¶")+COUNTIF($E14:I14,"²")+COUNTIF($E14:I14,"µ")+COUNTIF($E14:I14,1)-1,INDEX(Roadmap!$D:$K,MATCH($E14,Roadmap!$D:$D,0)-1+COUNTIF($E14:I14,"u")+COUNTIF($E14:I14,"t")+COUNTIF($E14:I14,"¶")+COUNTIF($E14:I14,"²")+COUNTIF($E14:I14,"µ")+COUNTIF($E14:I14,1),ColDescriptionCourte)),""),
  "")),"")</f>
        <v/>
      </c>
      <c r="K14" s="40" t="str">
        <f ca="1">IFERROR(IF(AND(
  INDEX(Roadmap!$D:$K,MATCH($E14,Roadmap!$D:$D,0)+COUNTIF($E14:J14,"u")+COUNTIF($E14:J14,"t")+COUNTIF($E14:J14,"¶")+COUNTIF($E14:J14,"²")+COUNTIF($E14:J14,"µ")+COUNTIF($E14:J14,1),ColLivraison)=K$6,
  VLOOKUP($E14,INDIRECT("tri!"&amp; CHAR(64+ C0Col) &amp;":"&amp; CHAR(65+C0Col)),2,FALSE)&gt;COUNTIF($E14:J14,"u")+COUNTIF($E14:J14,"t")+COUNTIF($E14:J14,"¶")+COUNTIF($E14:J14,"²")+COUNTIF($E14:J14,"µ")+COUNTIF($E14:J14,1)),
HYPERLINK("#Roadmap!C"&amp; MATCH($E14,Roadmap!$D:$D,0)+COUNTIF($E14:J14,"u")+COUNTIF($E14:J14,"t"),
     INDEX(Roadmap!$D:$K,MATCH($E14,Roadmap!$D:$D,0)+COUNTIF($E14:J14,"u")+COUNTIF($E14:J14,"t")+COUNTIF($E14:J14,"¶")+COUNTIF($E14:J14,"²")+COUNTIF($E14:J14,"µ")+COUNTIF($E14:J14,1),ColTypeEcheance)),
  IF(LEN(J14)=1,
  IF(LEN(INDEX(Roadmap!$D:$K,MATCH($E14,Roadmap!$D:$D,0)-1+COUNTIF($E14:J14,"u")+COUNTIF($E14:J14,"t")+COUNTIF($E14:J14,"¶")+COUNTIF($E14:J14,"²")+COUNTIF($E14:J14,"µ")+COUNTIF($E14:J14,1),ColDescriptionCourte))&gt;1,
HYPERLINK("#Roadmap!C"&amp; MATCH($E14,Roadmap!$D:$D,0)+COUNTIF($E14:J14,"u")+COUNTIF($E14:J14,"t")+COUNTIF($E14:J14,"¶")+COUNTIF($E14:J14,"²")+COUNTIF($E14:J14,"µ")+COUNTIF($E14:J14,1)-1,INDEX(Roadmap!$D:$K,MATCH($E14,Roadmap!$D:$D,0)-1+COUNTIF($E14:J14,"u")+COUNTIF($E14:J14,"t")+COUNTIF($E14:J14,"¶")+COUNTIF($E14:J14,"²")+COUNTIF($E14:J14,"µ")+COUNTIF($E14:J14,1),ColDescriptionCourte)),""),
  "")),"")</f>
        <v/>
      </c>
      <c r="L14" s="39" t="str">
        <f ca="1">IFERROR(IF(AND(
  INDEX(Roadmap!$D:$K,MATCH($E14,Roadmap!$D:$D,0)+COUNTIF($E14:K14,"u")+COUNTIF($E14:K14,"t")+COUNTIF($E14:K14,"¶")+COUNTIF($E14:K14,"²")+COUNTIF($E14:K14,"µ")+COUNTIF($E14:K14,1),ColLivraison)=L$6,
  VLOOKUP($E14,INDIRECT("tri!"&amp; CHAR(64+ C0Col) &amp;":"&amp; CHAR(65+C0Col)),2,FALSE)&gt;COUNTIF($E14:K14,"u")+COUNTIF($E14:K14,"t")+COUNTIF($E14:K14,"¶")+COUNTIF($E14:K14,"²")+COUNTIF($E14:K14,"µ")+COUNTIF($E14:K14,1)),
HYPERLINK("#Roadmap!C"&amp; MATCH($E14,Roadmap!$D:$D,0)+COUNTIF($E14:K14,"u")+COUNTIF($E14:K14,"t"),
     INDEX(Roadmap!$D:$K,MATCH($E14,Roadmap!$D:$D,0)+COUNTIF($E14:K14,"u")+COUNTIF($E14:K14,"t")+COUNTIF($E14:K14,"¶")+COUNTIF($E14:K14,"²")+COUNTIF($E14:K14,"µ")+COUNTIF($E14:K14,1),ColTypeEcheance)),
  IF(LEN(K14)=1,
  IF(LEN(INDEX(Roadmap!$D:$K,MATCH($E14,Roadmap!$D:$D,0)-1+COUNTIF($E14:K14,"u")+COUNTIF($E14:K14,"t")+COUNTIF($E14:K14,"¶")+COUNTIF($E14:K14,"²")+COUNTIF($E14:K14,"µ")+COUNTIF($E14:K14,1),ColDescriptionCourte))&gt;1,
HYPERLINK("#Roadmap!C"&amp; MATCH($E14,Roadmap!$D:$D,0)+COUNTIF($E14:K14,"u")+COUNTIF($E14:K14,"t")+COUNTIF($E14:K14,"¶")+COUNTIF($E14:K14,"²")+COUNTIF($E14:K14,"µ")+COUNTIF($E14:K14,1)-1,INDEX(Roadmap!$D:$K,MATCH($E14,Roadmap!$D:$D,0)-1+COUNTIF($E14:K14,"u")+COUNTIF($E14:K14,"t")+COUNTIF($E14:K14,"¶")+COUNTIF($E14:K14,"²")+COUNTIF($E14:K14,"µ")+COUNTIF($E14:K14,1),ColDescriptionCourte)),""),
  "")),"")</f>
        <v/>
      </c>
      <c r="M14" s="40" t="str">
        <f ca="1">IFERROR(IF(AND(
  INDEX(Roadmap!$D:$K,MATCH($E14,Roadmap!$D:$D,0)+COUNTIF($E14:L14,"u")+COUNTIF($E14:L14,"t")+COUNTIF($E14:L14,"¶")+COUNTIF($E14:L14,"²")+COUNTIF($E14:L14,"µ")+COUNTIF($E14:L14,1),ColLivraison)=M$6,
  VLOOKUP($E14,INDIRECT("tri!"&amp; CHAR(64+ C0Col) &amp;":"&amp; CHAR(65+C0Col)),2,FALSE)&gt;COUNTIF($E14:L14,"u")+COUNTIF($E14:L14,"t")+COUNTIF($E14:L14,"¶")+COUNTIF($E14:L14,"²")+COUNTIF($E14:L14,"µ")+COUNTIF($E14:L14,1)),
HYPERLINK("#Roadmap!C"&amp; MATCH($E14,Roadmap!$D:$D,0)+COUNTIF($E14:L14,"u")+COUNTIF($E14:L14,"t"),
     INDEX(Roadmap!$D:$K,MATCH($E14,Roadmap!$D:$D,0)+COUNTIF($E14:L14,"u")+COUNTIF($E14:L14,"t")+COUNTIF($E14:L14,"¶")+COUNTIF($E14:L14,"²")+COUNTIF($E14:L14,"µ")+COUNTIF($E14:L14,1),ColTypeEcheance)),
  IF(LEN(L14)=1,
  IF(LEN(INDEX(Roadmap!$D:$K,MATCH($E14,Roadmap!$D:$D,0)-1+COUNTIF($E14:L14,"u")+COUNTIF($E14:L14,"t")+COUNTIF($E14:L14,"¶")+COUNTIF($E14:L14,"²")+COUNTIF($E14:L14,"µ")+COUNTIF($E14:L14,1),ColDescriptionCourte))&gt;1,
HYPERLINK("#Roadmap!C"&amp; MATCH($E14,Roadmap!$D:$D,0)+COUNTIF($E14:L14,"u")+COUNTIF($E14:L14,"t")+COUNTIF($E14:L14,"¶")+COUNTIF($E14:L14,"²")+COUNTIF($E14:L14,"µ")+COUNTIF($E14:L14,1)-1,INDEX(Roadmap!$D:$K,MATCH($E14,Roadmap!$D:$D,0)-1+COUNTIF($E14:L14,"u")+COUNTIF($E14:L14,"t")+COUNTIF($E14:L14,"¶")+COUNTIF($E14:L14,"²")+COUNTIF($E14:L14,"µ")+COUNTIF($E14:L14,1),ColDescriptionCourte)),""),
  "")),"")</f>
        <v/>
      </c>
      <c r="N14" s="40" t="str">
        <f ca="1">IFERROR(IF(AND(
  INDEX(Roadmap!$D:$K,MATCH($E14,Roadmap!$D:$D,0)+COUNTIF($E14:M14,"u")+COUNTIF($E14:M14,"t")+COUNTIF($E14:M14,"¶")+COUNTIF($E14:M14,"²")+COUNTIF($E14:M14,"µ")+COUNTIF($E14:M14,1),ColLivraison)=N$6,
  VLOOKUP($E14,INDIRECT("tri!"&amp; CHAR(64+ C0Col) &amp;":"&amp; CHAR(65+C0Col)),2,FALSE)&gt;COUNTIF($E14:M14,"u")+COUNTIF($E14:M14,"t")+COUNTIF($E14:M14,"¶")+COUNTIF($E14:M14,"²")+COUNTIF($E14:M14,"µ")+COUNTIF($E14:M14,1)),
HYPERLINK("#Roadmap!C"&amp; MATCH($E14,Roadmap!$D:$D,0)+COUNTIF($E14:M14,"u")+COUNTIF($E14:M14,"t"),
     INDEX(Roadmap!$D:$K,MATCH($E14,Roadmap!$D:$D,0)+COUNTIF($E14:M14,"u")+COUNTIF($E14:M14,"t")+COUNTIF($E14:M14,"¶")+COUNTIF($E14:M14,"²")+COUNTIF($E14:M14,"µ")+COUNTIF($E14:M14,1),ColTypeEcheance)),
  IF(LEN(M14)=1,
  IF(LEN(INDEX(Roadmap!$D:$K,MATCH($E14,Roadmap!$D:$D,0)-1+COUNTIF($E14:M14,"u")+COUNTIF($E14:M14,"t")+COUNTIF($E14:M14,"¶")+COUNTIF($E14:M14,"²")+COUNTIF($E14:M14,"µ")+COUNTIF($E14:M14,1),ColDescriptionCourte))&gt;1,
HYPERLINK("#Roadmap!C"&amp; MATCH($E14,Roadmap!$D:$D,0)+COUNTIF($E14:M14,"u")+COUNTIF($E14:M14,"t")+COUNTIF($E14:M14,"¶")+COUNTIF($E14:M14,"²")+COUNTIF($E14:M14,"µ")+COUNTIF($E14:M14,1)-1,INDEX(Roadmap!$D:$K,MATCH($E14,Roadmap!$D:$D,0)-1+COUNTIF($E14:M14,"u")+COUNTIF($E14:M14,"t")+COUNTIF($E14:M14,"¶")+COUNTIF($E14:M14,"²")+COUNTIF($E14:M14,"µ")+COUNTIF($E14:M14,1),ColDescriptionCourte)),""),
  "")),"")</f>
        <v/>
      </c>
      <c r="O14" s="40" t="str">
        <f ca="1">IFERROR(IF(AND(
  INDEX(Roadmap!$D:$K,MATCH($E14,Roadmap!$D:$D,0)+COUNTIF($E14:N14,"u")+COUNTIF($E14:N14,"t")+COUNTIF($E14:N14,"¶")+COUNTIF($E14:N14,"²")+COUNTIF($E14:N14,"µ")+COUNTIF($E14:N14,1),ColLivraison)=O$6,
  VLOOKUP($E14,INDIRECT("tri!"&amp; CHAR(64+ C0Col) &amp;":"&amp; CHAR(65+C0Col)),2,FALSE)&gt;COUNTIF($E14:N14,"u")+COUNTIF($E14:N14,"t")+COUNTIF($E14:N14,"¶")+COUNTIF($E14:N14,"²")+COUNTIF($E14:N14,"µ")+COUNTIF($E14:N14,1)),
HYPERLINK("#Roadmap!C"&amp; MATCH($E14,Roadmap!$D:$D,0)+COUNTIF($E14:N14,"u")+COUNTIF($E14:N14,"t"),
     INDEX(Roadmap!$D:$K,MATCH($E14,Roadmap!$D:$D,0)+COUNTIF($E14:N14,"u")+COUNTIF($E14:N14,"t")+COUNTIF($E14:N14,"¶")+COUNTIF($E14:N14,"²")+COUNTIF($E14:N14,"µ")+COUNTIF($E14:N14,1),ColTypeEcheance)),
  IF(LEN(N14)=1,
  IF(LEN(INDEX(Roadmap!$D:$K,MATCH($E14,Roadmap!$D:$D,0)-1+COUNTIF($E14:N14,"u")+COUNTIF($E14:N14,"t")+COUNTIF($E14:N14,"¶")+COUNTIF($E14:N14,"²")+COUNTIF($E14:N14,"µ")+COUNTIF($E14:N14,1),ColDescriptionCourte))&gt;1,
HYPERLINK("#Roadmap!C"&amp; MATCH($E14,Roadmap!$D:$D,0)+COUNTIF($E14:N14,"u")+COUNTIF($E14:N14,"t")+COUNTIF($E14:N14,"¶")+COUNTIF($E14:N14,"²")+COUNTIF($E14:N14,"µ")+COUNTIF($E14:N14,1)-1,INDEX(Roadmap!$D:$K,MATCH($E14,Roadmap!$D:$D,0)-1+COUNTIF($E14:N14,"u")+COUNTIF($E14:N14,"t")+COUNTIF($E14:N14,"¶")+COUNTIF($E14:N14,"²")+COUNTIF($E14:N14,"µ")+COUNTIF($E14:N14,1),ColDescriptionCourte)),""),
  "")),"")</f>
        <v/>
      </c>
      <c r="P14" s="40" t="str">
        <f ca="1">IFERROR(IF(AND(
  INDEX(Roadmap!$D:$K,MATCH($E14,Roadmap!$D:$D,0)+COUNTIF($E14:O14,"u")+COUNTIF($E14:O14,"t")+COUNTIF($E14:O14,"¶")+COUNTIF($E14:O14,"²")+COUNTIF($E14:O14,"µ")+COUNTIF($E14:O14,1),ColLivraison)=P$6,
  VLOOKUP($E14,INDIRECT("tri!"&amp; CHAR(64+ C0Col) &amp;":"&amp; CHAR(65+C0Col)),2,FALSE)&gt;COUNTIF($E14:O14,"u")+COUNTIF($E14:O14,"t")+COUNTIF($E14:O14,"¶")+COUNTIF($E14:O14,"²")+COUNTIF($E14:O14,"µ")+COUNTIF($E14:O14,1)),
HYPERLINK("#Roadmap!C"&amp; MATCH($E14,Roadmap!$D:$D,0)+COUNTIF($E14:O14,"u")+COUNTIF($E14:O14,"t"),
     INDEX(Roadmap!$D:$K,MATCH($E14,Roadmap!$D:$D,0)+COUNTIF($E14:O14,"u")+COUNTIF($E14:O14,"t")+COUNTIF($E14:O14,"¶")+COUNTIF($E14:O14,"²")+COUNTIF($E14:O14,"µ")+COUNTIF($E14:O14,1),ColTypeEcheance)),
  IF(LEN(O14)=1,
  IF(LEN(INDEX(Roadmap!$D:$K,MATCH($E14,Roadmap!$D:$D,0)-1+COUNTIF($E14:O14,"u")+COUNTIF($E14:O14,"t")+COUNTIF($E14:O14,"¶")+COUNTIF($E14:O14,"²")+COUNTIF($E14:O14,"µ")+COUNTIF($E14:O14,1),ColDescriptionCourte))&gt;1,
HYPERLINK("#Roadmap!C"&amp; MATCH($E14,Roadmap!$D:$D,0)+COUNTIF($E14:O14,"u")+COUNTIF($E14:O14,"t")+COUNTIF($E14:O14,"¶")+COUNTIF($E14:O14,"²")+COUNTIF($E14:O14,"µ")+COUNTIF($E14:O14,1)-1,INDEX(Roadmap!$D:$K,MATCH($E14,Roadmap!$D:$D,0)-1+COUNTIF($E14:O14,"u")+COUNTIF($E14:O14,"t")+COUNTIF($E14:O14,"¶")+COUNTIF($E14:O14,"²")+COUNTIF($E14:O14,"µ")+COUNTIF($E14:O14,1),ColDescriptionCourte)),""),
  "")),"")</f>
        <v/>
      </c>
      <c r="Q14" s="40" t="str">
        <f ca="1">IFERROR(IF(AND(
  INDEX(Roadmap!$D:$K,MATCH($E14,Roadmap!$D:$D,0)+COUNTIF($E14:P14,"u")+COUNTIF($E14:P14,"t")+COUNTIF($E14:P14,"¶")+COUNTIF($E14:P14,"²")+COUNTIF($E14:P14,"µ")+COUNTIF($E14:P14,1),ColLivraison)=Q$6,
  VLOOKUP($E14,INDIRECT("tri!"&amp; CHAR(64+ C0Col) &amp;":"&amp; CHAR(65+C0Col)),2,FALSE)&gt;COUNTIF($E14:P14,"u")+COUNTIF($E14:P14,"t")+COUNTIF($E14:P14,"¶")+COUNTIF($E14:P14,"²")+COUNTIF($E14:P14,"µ")+COUNTIF($E14:P14,1)),
HYPERLINK("#Roadmap!C"&amp; MATCH($E14,Roadmap!$D:$D,0)+COUNTIF($E14:P14,"u")+COUNTIF($E14:P14,"t"),
     INDEX(Roadmap!$D:$K,MATCH($E14,Roadmap!$D:$D,0)+COUNTIF($E14:P14,"u")+COUNTIF($E14:P14,"t")+COUNTIF($E14:P14,"¶")+COUNTIF($E14:P14,"²")+COUNTIF($E14:P14,"µ")+COUNTIF($E14:P14,1),ColTypeEcheance)),
  IF(LEN(P14)=1,
  IF(LEN(INDEX(Roadmap!$D:$K,MATCH($E14,Roadmap!$D:$D,0)-1+COUNTIF($E14:P14,"u")+COUNTIF($E14:P14,"t")+COUNTIF($E14:P14,"¶")+COUNTIF($E14:P14,"²")+COUNTIF($E14:P14,"µ")+COUNTIF($E14:P14,1),ColDescriptionCourte))&gt;1,
HYPERLINK("#Roadmap!C"&amp; MATCH($E14,Roadmap!$D:$D,0)+COUNTIF($E14:P14,"u")+COUNTIF($E14:P14,"t")+COUNTIF($E14:P14,"¶")+COUNTIF($E14:P14,"²")+COUNTIF($E14:P14,"µ")+COUNTIF($E14:P14,1)-1,INDEX(Roadmap!$D:$K,MATCH($E14,Roadmap!$D:$D,0)-1+COUNTIF($E14:P14,"u")+COUNTIF($E14:P14,"t")+COUNTIF($E14:P14,"¶")+COUNTIF($E14:P14,"²")+COUNTIF($E14:P14,"µ")+COUNTIF($E14:P14,1),ColDescriptionCourte)),""),
  "")),"")</f>
        <v/>
      </c>
      <c r="R14" s="40" t="str">
        <f ca="1">IFERROR(IF(AND(
  INDEX(Roadmap!$D:$K,MATCH($E14,Roadmap!$D:$D,0)+COUNTIF($E14:Q14,"u")+COUNTIF($E14:Q14,"t")+COUNTIF($E14:Q14,"¶")+COUNTIF($E14:Q14,"²")+COUNTIF($E14:Q14,"µ")+COUNTIF($E14:Q14,1),ColLivraison)=R$6,
  VLOOKUP($E14,INDIRECT("tri!"&amp; CHAR(64+ C0Col) &amp;":"&amp; CHAR(65+C0Col)),2,FALSE)&gt;COUNTIF($E14:Q14,"u")+COUNTIF($E14:Q14,"t")+COUNTIF($E14:Q14,"¶")+COUNTIF($E14:Q14,"²")+COUNTIF($E14:Q14,"µ")+COUNTIF($E14:Q14,1)),
HYPERLINK("#Roadmap!C"&amp; MATCH($E14,Roadmap!$D:$D,0)+COUNTIF($E14:Q14,"u")+COUNTIF($E14:Q14,"t"),
     INDEX(Roadmap!$D:$K,MATCH($E14,Roadmap!$D:$D,0)+COUNTIF($E14:Q14,"u")+COUNTIF($E14:Q14,"t")+COUNTIF($E14:Q14,"¶")+COUNTIF($E14:Q14,"²")+COUNTIF($E14:Q14,"µ")+COUNTIF($E14:Q14,1),ColTypeEcheance)),
  IF(LEN(Q14)=1,
  IF(LEN(INDEX(Roadmap!$D:$K,MATCH($E14,Roadmap!$D:$D,0)-1+COUNTIF($E14:Q14,"u")+COUNTIF($E14:Q14,"t")+COUNTIF($E14:Q14,"¶")+COUNTIF($E14:Q14,"²")+COUNTIF($E14:Q14,"µ")+COUNTIF($E14:Q14,1),ColDescriptionCourte))&gt;1,
HYPERLINK("#Roadmap!C"&amp; MATCH($E14,Roadmap!$D:$D,0)+COUNTIF($E14:Q14,"u")+COUNTIF($E14:Q14,"t")+COUNTIF($E14:Q14,"¶")+COUNTIF($E14:Q14,"²")+COUNTIF($E14:Q14,"µ")+COUNTIF($E14:Q14,1)-1,INDEX(Roadmap!$D:$K,MATCH($E14,Roadmap!$D:$D,0)-1+COUNTIF($E14:Q14,"u")+COUNTIF($E14:Q14,"t")+COUNTIF($E14:Q14,"¶")+COUNTIF($E14:Q14,"²")+COUNTIF($E14:Q14,"µ")+COUNTIF($E14:Q14,1),ColDescriptionCourte)),""),
  "")),"")</f>
        <v/>
      </c>
      <c r="S14" s="40" t="str">
        <f ca="1">IFERROR(IF(AND(
  INDEX(Roadmap!$D:$K,MATCH($E14,Roadmap!$D:$D,0)+COUNTIF($E14:R14,"u")+COUNTIF($E14:R14,"t")+COUNTIF($E14:R14,"¶")+COUNTIF($E14:R14,"²")+COUNTIF($E14:R14,"µ")+COUNTIF($E14:R14,1),ColLivraison)=S$6,
  VLOOKUP($E14,INDIRECT("tri!"&amp; CHAR(64+ C0Col) &amp;":"&amp; CHAR(65+C0Col)),2,FALSE)&gt;COUNTIF($E14:R14,"u")+COUNTIF($E14:R14,"t")+COUNTIF($E14:R14,"¶")+COUNTIF($E14:R14,"²")+COUNTIF($E14:R14,"µ")+COUNTIF($E14:R14,1)),
HYPERLINK("#Roadmap!C"&amp; MATCH($E14,Roadmap!$D:$D,0)+COUNTIF($E14:R14,"u")+COUNTIF($E14:R14,"t"),
     INDEX(Roadmap!$D:$K,MATCH($E14,Roadmap!$D:$D,0)+COUNTIF($E14:R14,"u")+COUNTIF($E14:R14,"t")+COUNTIF($E14:R14,"¶")+COUNTIF($E14:R14,"²")+COUNTIF($E14:R14,"µ")+COUNTIF($E14:R14,1),ColTypeEcheance)),
  IF(LEN(R14)=1,
  IF(LEN(INDEX(Roadmap!$D:$K,MATCH($E14,Roadmap!$D:$D,0)-1+COUNTIF($E14:R14,"u")+COUNTIF($E14:R14,"t")+COUNTIF($E14:R14,"¶")+COUNTIF($E14:R14,"²")+COUNTIF($E14:R14,"µ")+COUNTIF($E14:R14,1),ColDescriptionCourte))&gt;1,
HYPERLINK("#Roadmap!C"&amp; MATCH($E14,Roadmap!$D:$D,0)+COUNTIF($E14:R14,"u")+COUNTIF($E14:R14,"t")+COUNTIF($E14:R14,"¶")+COUNTIF($E14:R14,"²")+COUNTIF($E14:R14,"µ")+COUNTIF($E14:R14,1)-1,INDEX(Roadmap!$D:$K,MATCH($E14,Roadmap!$D:$D,0)-1+COUNTIF($E14:R14,"u")+COUNTIF($E14:R14,"t")+COUNTIF($E14:R14,"¶")+COUNTIF($E14:R14,"²")+COUNTIF($E14:R14,"µ")+COUNTIF($E14:R14,1),ColDescriptionCourte)),""),
  "")),"")</f>
        <v/>
      </c>
      <c r="T14" s="40" t="str">
        <f ca="1">IFERROR(IF(AND(
  INDEX(Roadmap!$D:$K,MATCH($E14,Roadmap!$D:$D,0)+COUNTIF($E14:S14,"u")+COUNTIF($E14:S14,"t")+COUNTIF($E14:S14,"¶")+COUNTIF($E14:S14,"²")+COUNTIF($E14:S14,"µ")+COUNTIF($E14:S14,1),ColLivraison)=T$6,
  VLOOKUP($E14,INDIRECT("tri!"&amp; CHAR(64+ C0Col) &amp;":"&amp; CHAR(65+C0Col)),2,FALSE)&gt;COUNTIF($E14:S14,"u")+COUNTIF($E14:S14,"t")+COUNTIF($E14:S14,"¶")+COUNTIF($E14:S14,"²")+COUNTIF($E14:S14,"µ")+COUNTIF($E14:S14,1)),
HYPERLINK("#Roadmap!C"&amp; MATCH($E14,Roadmap!$D:$D,0)+COUNTIF($E14:S14,"u")+COUNTIF($E14:S14,"t"),
     INDEX(Roadmap!$D:$K,MATCH($E14,Roadmap!$D:$D,0)+COUNTIF($E14:S14,"u")+COUNTIF($E14:S14,"t")+COUNTIF($E14:S14,"¶")+COUNTIF($E14:S14,"²")+COUNTIF($E14:S14,"µ")+COUNTIF($E14:S14,1),ColTypeEcheance)),
  IF(LEN(S14)=1,
  IF(LEN(INDEX(Roadmap!$D:$K,MATCH($E14,Roadmap!$D:$D,0)-1+COUNTIF($E14:S14,"u")+COUNTIF($E14:S14,"t")+COUNTIF($E14:S14,"¶")+COUNTIF($E14:S14,"²")+COUNTIF($E14:S14,"µ")+COUNTIF($E14:S14,1),ColDescriptionCourte))&gt;1,
HYPERLINK("#Roadmap!C"&amp; MATCH($E14,Roadmap!$D:$D,0)+COUNTIF($E14:S14,"u")+COUNTIF($E14:S14,"t")+COUNTIF($E14:S14,"¶")+COUNTIF($E14:S14,"²")+COUNTIF($E14:S14,"µ")+COUNTIF($E14:S14,1)-1,INDEX(Roadmap!$D:$K,MATCH($E14,Roadmap!$D:$D,0)-1+COUNTIF($E14:S14,"u")+COUNTIF($E14:S14,"t")+COUNTIF($E14:S14,"¶")+COUNTIF($E14:S14,"²")+COUNTIF($E14:S14,"µ")+COUNTIF($E14:S14,1),ColDescriptionCourte)),""),
  "")),"")</f>
        <v/>
      </c>
      <c r="U14" s="40" t="str">
        <f ca="1">IFERROR(IF(AND(
  INDEX(Roadmap!$D:$K,MATCH($E14,Roadmap!$D:$D,0)+COUNTIF($E14:T14,"u")+COUNTIF($E14:T14,"t")+COUNTIF($E14:T14,"¶")+COUNTIF($E14:T14,"²")+COUNTIF($E14:T14,"µ")+COUNTIF($E14:T14,1),ColLivraison)=U$6,
  VLOOKUP($E14,INDIRECT("tri!"&amp; CHAR(64+ C0Col) &amp;":"&amp; CHAR(65+C0Col)),2,FALSE)&gt;COUNTIF($E14:T14,"u")+COUNTIF($E14:T14,"t")+COUNTIF($E14:T14,"¶")+COUNTIF($E14:T14,"²")+COUNTIF($E14:T14,"µ")+COUNTIF($E14:T14,1)),
HYPERLINK("#Roadmap!C"&amp; MATCH($E14,Roadmap!$D:$D,0)+COUNTIF($E14:T14,"u")+COUNTIF($E14:T14,"t"),
     INDEX(Roadmap!$D:$K,MATCH($E14,Roadmap!$D:$D,0)+COUNTIF($E14:T14,"u")+COUNTIF($E14:T14,"t")+COUNTIF($E14:T14,"¶")+COUNTIF($E14:T14,"²")+COUNTIF($E14:T14,"µ")+COUNTIF($E14:T14,1),ColTypeEcheance)),
  IF(LEN(T14)=1,
  IF(LEN(INDEX(Roadmap!$D:$K,MATCH($E14,Roadmap!$D:$D,0)-1+COUNTIF($E14:T14,"u")+COUNTIF($E14:T14,"t")+COUNTIF($E14:T14,"¶")+COUNTIF($E14:T14,"²")+COUNTIF($E14:T14,"µ")+COUNTIF($E14:T14,1),ColDescriptionCourte))&gt;1,
HYPERLINK("#Roadmap!C"&amp; MATCH($E14,Roadmap!$D:$D,0)+COUNTIF($E14:T14,"u")+COUNTIF($E14:T14,"t")+COUNTIF($E14:T14,"¶")+COUNTIF($E14:T14,"²")+COUNTIF($E14:T14,"µ")+COUNTIF($E14:T14,1)-1,INDEX(Roadmap!$D:$K,MATCH($E14,Roadmap!$D:$D,0)-1+COUNTIF($E14:T14,"u")+COUNTIF($E14:T14,"t")+COUNTIF($E14:T14,"¶")+COUNTIF($E14:T14,"²")+COUNTIF($E14:T14,"µ")+COUNTIF($E14:T14,1),ColDescriptionCourte)),""),
  "")),"")</f>
        <v/>
      </c>
      <c r="V14" s="40" t="str">
        <f ca="1">IFERROR(IF(AND(
  INDEX(Roadmap!$D:$K,MATCH($E14,Roadmap!$D:$D,0)+COUNTIF($E14:U14,"u")+COUNTIF($E14:U14,"t")+COUNTIF($E14:U14,"¶")+COUNTIF($E14:U14,"²")+COUNTIF($E14:U14,"µ")+COUNTIF($E14:U14,1),ColLivraison)=V$6,
  VLOOKUP($E14,INDIRECT("tri!"&amp; CHAR(64+ C0Col) &amp;":"&amp; CHAR(65+C0Col)),2,FALSE)&gt;COUNTIF($E14:U14,"u")+COUNTIF($E14:U14,"t")+COUNTIF($E14:U14,"¶")+COUNTIF($E14:U14,"²")+COUNTIF($E14:U14,"µ")+COUNTIF($E14:U14,1)),
HYPERLINK("#Roadmap!C"&amp; MATCH($E14,Roadmap!$D:$D,0)+COUNTIF($E14:U14,"u")+COUNTIF($E14:U14,"t"),
     INDEX(Roadmap!$D:$K,MATCH($E14,Roadmap!$D:$D,0)+COUNTIF($E14:U14,"u")+COUNTIF($E14:U14,"t")+COUNTIF($E14:U14,"¶")+COUNTIF($E14:U14,"²")+COUNTIF($E14:U14,"µ")+COUNTIF($E14:U14,1),ColTypeEcheance)),
  IF(LEN(U14)=1,
  IF(LEN(INDEX(Roadmap!$D:$K,MATCH($E14,Roadmap!$D:$D,0)-1+COUNTIF($E14:U14,"u")+COUNTIF($E14:U14,"t")+COUNTIF($E14:U14,"¶")+COUNTIF($E14:U14,"²")+COUNTIF($E14:U14,"µ")+COUNTIF($E14:U14,1),ColDescriptionCourte))&gt;1,
HYPERLINK("#Roadmap!C"&amp; MATCH($E14,Roadmap!$D:$D,0)+COUNTIF($E14:U14,"u")+COUNTIF($E14:U14,"t")+COUNTIF($E14:U14,"¶")+COUNTIF($E14:U14,"²")+COUNTIF($E14:U14,"µ")+COUNTIF($E14:U14,1)-1,INDEX(Roadmap!$D:$K,MATCH($E14,Roadmap!$D:$D,0)-1+COUNTIF($E14:U14,"u")+COUNTIF($E14:U14,"t")+COUNTIF($E14:U14,"¶")+COUNTIF($E14:U14,"²")+COUNTIF($E14:U14,"µ")+COUNTIF($E14:U14,1),ColDescriptionCourte)),""),
  "")),"")</f>
        <v/>
      </c>
      <c r="W14" s="40" t="str">
        <f ca="1">IFERROR(IF(AND(
  INDEX(Roadmap!$D:$K,MATCH($E14,Roadmap!$D:$D,0)+COUNTIF($E14:V14,"u")+COUNTIF($E14:V14,"t")+COUNTIF($E14:V14,"¶")+COUNTIF($E14:V14,"²")+COUNTIF($E14:V14,"µ")+COUNTIF($E14:V14,1),ColLivraison)=W$6,
  VLOOKUP($E14,INDIRECT("tri!"&amp; CHAR(64+ C0Col) &amp;":"&amp; CHAR(65+C0Col)),2,FALSE)&gt;COUNTIF($E14:V14,"u")+COUNTIF($E14:V14,"t")+COUNTIF($E14:V14,"¶")+COUNTIF($E14:V14,"²")+COUNTIF($E14:V14,"µ")+COUNTIF($E14:V14,1)),
HYPERLINK("#Roadmap!C"&amp; MATCH($E14,Roadmap!$D:$D,0)+COUNTIF($E14:V14,"u")+COUNTIF($E14:V14,"t"),
     INDEX(Roadmap!$D:$K,MATCH($E14,Roadmap!$D:$D,0)+COUNTIF($E14:V14,"u")+COUNTIF($E14:V14,"t")+COUNTIF($E14:V14,"¶")+COUNTIF($E14:V14,"²")+COUNTIF($E14:V14,"µ")+COUNTIF($E14:V14,1),ColTypeEcheance)),
  IF(LEN(V14)=1,
  IF(LEN(INDEX(Roadmap!$D:$K,MATCH($E14,Roadmap!$D:$D,0)-1+COUNTIF($E14:V14,"u")+COUNTIF($E14:V14,"t")+COUNTIF($E14:V14,"¶")+COUNTIF($E14:V14,"²")+COUNTIF($E14:V14,"µ")+COUNTIF($E14:V14,1),ColDescriptionCourte))&gt;1,
HYPERLINK("#Roadmap!C"&amp; MATCH($E14,Roadmap!$D:$D,0)+COUNTIF($E14:V14,"u")+COUNTIF($E14:V14,"t")+COUNTIF($E14:V14,"¶")+COUNTIF($E14:V14,"²")+COUNTIF($E14:V14,"µ")+COUNTIF($E14:V14,1)-1,INDEX(Roadmap!$D:$K,MATCH($E14,Roadmap!$D:$D,0)-1+COUNTIF($E14:V14,"u")+COUNTIF($E14:V14,"t")+COUNTIF($E14:V14,"¶")+COUNTIF($E14:V14,"²")+COUNTIF($E14:V14,"µ")+COUNTIF($E14:V14,1),ColDescriptionCourte)),""),
  "")),"")</f>
        <v/>
      </c>
      <c r="X14" s="40" t="str">
        <f ca="1">IFERROR(IF(AND(
  INDEX(Roadmap!$D:$K,MATCH($E14,Roadmap!$D:$D,0)+COUNTIF($E14:W14,"u")+COUNTIF($E14:W14,"t")+COUNTIF($E14:W14,"¶")+COUNTIF($E14:W14,"²")+COUNTIF($E14:W14,"µ")+COUNTIF($E14:W14,1),ColLivraison)=X$6,
  VLOOKUP($E14,INDIRECT("tri!"&amp; CHAR(64+ C0Col) &amp;":"&amp; CHAR(65+C0Col)),2,FALSE)&gt;COUNTIF($E14:W14,"u")+COUNTIF($E14:W14,"t")+COUNTIF($E14:W14,"¶")+COUNTIF($E14:W14,"²")+COUNTIF($E14:W14,"µ")+COUNTIF($E14:W14,1)),
HYPERLINK("#Roadmap!C"&amp; MATCH($E14,Roadmap!$D:$D,0)+COUNTIF($E14:W14,"u")+COUNTIF($E14:W14,"t"),
     INDEX(Roadmap!$D:$K,MATCH($E14,Roadmap!$D:$D,0)+COUNTIF($E14:W14,"u")+COUNTIF($E14:W14,"t")+COUNTIF($E14:W14,"¶")+COUNTIF($E14:W14,"²")+COUNTIF($E14:W14,"µ")+COUNTIF($E14:W14,1),ColTypeEcheance)),
  IF(LEN(W14)=1,
  IF(LEN(INDEX(Roadmap!$D:$K,MATCH($E14,Roadmap!$D:$D,0)-1+COUNTIF($E14:W14,"u")+COUNTIF($E14:W14,"t")+COUNTIF($E14:W14,"¶")+COUNTIF($E14:W14,"²")+COUNTIF($E14:W14,"µ")+COUNTIF($E14:W14,1),ColDescriptionCourte))&gt;1,
HYPERLINK("#Roadmap!C"&amp; MATCH($E14,Roadmap!$D:$D,0)+COUNTIF($E14:W14,"u")+COUNTIF($E14:W14,"t")+COUNTIF($E14:W14,"¶")+COUNTIF($E14:W14,"²")+COUNTIF($E14:W14,"µ")+COUNTIF($E14:W14,1)-1,INDEX(Roadmap!$D:$K,MATCH($E14,Roadmap!$D:$D,0)-1+COUNTIF($E14:W14,"u")+COUNTIF($E14:W14,"t")+COUNTIF($E14:W14,"¶")+COUNTIF($E14:W14,"²")+COUNTIF($E14:W14,"µ")+COUNTIF($E14:W14,1),ColDescriptionCourte)),""),
  "")),"")</f>
        <v/>
      </c>
      <c r="Y14" s="40" t="str">
        <f ca="1">IFERROR(IF(AND(
  INDEX(Roadmap!$D:$K,MATCH($E14,Roadmap!$D:$D,0)+COUNTIF($E14:X14,"u")+COUNTIF($E14:X14,"t")+COUNTIF($E14:X14,"¶")+COUNTIF($E14:X14,"²")+COUNTIF($E14:X14,"µ")+COUNTIF($E14:X14,1),ColLivraison)=Y$6,
  VLOOKUP($E14,INDIRECT("tri!"&amp; CHAR(64+ C0Col) &amp;":"&amp; CHAR(65+C0Col)),2,FALSE)&gt;COUNTIF($E14:X14,"u")+COUNTIF($E14:X14,"t")+COUNTIF($E14:X14,"¶")+COUNTIF($E14:X14,"²")+COUNTIF($E14:X14,"µ")+COUNTIF($E14:X14,1)),
HYPERLINK("#Roadmap!C"&amp; MATCH($E14,Roadmap!$D:$D,0)+COUNTIF($E14:X14,"u")+COUNTIF($E14:X14,"t"),
     INDEX(Roadmap!$D:$K,MATCH($E14,Roadmap!$D:$D,0)+COUNTIF($E14:X14,"u")+COUNTIF($E14:X14,"t")+COUNTIF($E14:X14,"¶")+COUNTIF($E14:X14,"²")+COUNTIF($E14:X14,"µ")+COUNTIF($E14:X14,1),ColTypeEcheance)),
  IF(LEN(X14)=1,
  IF(LEN(INDEX(Roadmap!$D:$K,MATCH($E14,Roadmap!$D:$D,0)-1+COUNTIF($E14:X14,"u")+COUNTIF($E14:X14,"t")+COUNTIF($E14:X14,"¶")+COUNTIF($E14:X14,"²")+COUNTIF($E14:X14,"µ")+COUNTIF($E14:X14,1),ColDescriptionCourte))&gt;1,
HYPERLINK("#Roadmap!C"&amp; MATCH($E14,Roadmap!$D:$D,0)+COUNTIF($E14:X14,"u")+COUNTIF($E14:X14,"t")+COUNTIF($E14:X14,"¶")+COUNTIF($E14:X14,"²")+COUNTIF($E14:X14,"µ")+COUNTIF($E14:X14,1)-1,INDEX(Roadmap!$D:$K,MATCH($E14,Roadmap!$D:$D,0)-1+COUNTIF($E14:X14,"u")+COUNTIF($E14:X14,"t")+COUNTIF($E14:X14,"¶")+COUNTIF($E14:X14,"²")+COUNTIF($E14:X14,"µ")+COUNTIF($E14:X14,1),ColDescriptionCourte)),""),
  "")),"")</f>
        <v/>
      </c>
      <c r="Z14" s="40" t="str">
        <f ca="1">IFERROR(IF(AND(
  INDEX(Roadmap!$D:$K,MATCH($E14,Roadmap!$D:$D,0)+COUNTIF($E14:Y14,"u")+COUNTIF($E14:Y14,"t")+COUNTIF($E14:Y14,"¶")+COUNTIF($E14:Y14,"²")+COUNTIF($E14:Y14,"µ")+COUNTIF($E14:Y14,1),ColLivraison)=Z$6,
  VLOOKUP($E14,INDIRECT("tri!"&amp; CHAR(64+ C0Col) &amp;":"&amp; CHAR(65+C0Col)),2,FALSE)&gt;COUNTIF($E14:Y14,"u")+COUNTIF($E14:Y14,"t")+COUNTIF($E14:Y14,"¶")+COUNTIF($E14:Y14,"²")+COUNTIF($E14:Y14,"µ")+COUNTIF($E14:Y14,1)),
HYPERLINK("#Roadmap!C"&amp; MATCH($E14,Roadmap!$D:$D,0)+COUNTIF($E14:Y14,"u")+COUNTIF($E14:Y14,"t"),
     INDEX(Roadmap!$D:$K,MATCH($E14,Roadmap!$D:$D,0)+COUNTIF($E14:Y14,"u")+COUNTIF($E14:Y14,"t")+COUNTIF($E14:Y14,"¶")+COUNTIF($E14:Y14,"²")+COUNTIF($E14:Y14,"µ")+COUNTIF($E14:Y14,1),ColTypeEcheance)),
  IF(LEN(Y14)=1,
  IF(LEN(INDEX(Roadmap!$D:$K,MATCH($E14,Roadmap!$D:$D,0)-1+COUNTIF($E14:Y14,"u")+COUNTIF($E14:Y14,"t")+COUNTIF($E14:Y14,"¶")+COUNTIF($E14:Y14,"²")+COUNTIF($E14:Y14,"µ")+COUNTIF($E14:Y14,1),ColDescriptionCourte))&gt;1,
HYPERLINK("#Roadmap!C"&amp; MATCH($E14,Roadmap!$D:$D,0)+COUNTIF($E14:Y14,"u")+COUNTIF($E14:Y14,"t")+COUNTIF($E14:Y14,"¶")+COUNTIF($E14:Y14,"²")+COUNTIF($E14:Y14,"µ")+COUNTIF($E14:Y14,1)-1,INDEX(Roadmap!$D:$K,MATCH($E14,Roadmap!$D:$D,0)-1+COUNTIF($E14:Y14,"u")+COUNTIF($E14:Y14,"t")+COUNTIF($E14:Y14,"¶")+COUNTIF($E14:Y14,"²")+COUNTIF($E14:Y14,"µ")+COUNTIF($E14:Y14,1),ColDescriptionCourte)),""),
  "")),"")</f>
        <v/>
      </c>
      <c r="AA14" s="40" t="str">
        <f ca="1">IFERROR(IF(AND(
  INDEX(Roadmap!$D:$K,MATCH($E14,Roadmap!$D:$D,0)+COUNTIF($E14:Z14,"u")+COUNTIF($E14:Z14,"t")+COUNTIF($E14:Z14,"¶")+COUNTIF($E14:Z14,"²")+COUNTIF($E14:Z14,"µ")+COUNTIF($E14:Z14,1),ColLivraison)=AA$6,
  VLOOKUP($E14,INDIRECT("tri!"&amp; CHAR(64+ C0Col) &amp;":"&amp; CHAR(65+C0Col)),2,FALSE)&gt;COUNTIF($E14:Z14,"u")+COUNTIF($E14:Z14,"t")+COUNTIF($E14:Z14,"¶")+COUNTIF($E14:Z14,"²")+COUNTIF($E14:Z14,"µ")+COUNTIF($E14:Z14,1)),
HYPERLINK("#Roadmap!C"&amp; MATCH($E14,Roadmap!$D:$D,0)+COUNTIF($E14:Z14,"u")+COUNTIF($E14:Z14,"t"),
     INDEX(Roadmap!$D:$K,MATCH($E14,Roadmap!$D:$D,0)+COUNTIF($E14:Z14,"u")+COUNTIF($E14:Z14,"t")+COUNTIF($E14:Z14,"¶")+COUNTIF($E14:Z14,"²")+COUNTIF($E14:Z14,"µ")+COUNTIF($E14:Z14,1),ColTypeEcheance)),
  IF(LEN(Z14)=1,
  IF(LEN(INDEX(Roadmap!$D:$K,MATCH($E14,Roadmap!$D:$D,0)-1+COUNTIF($E14:Z14,"u")+COUNTIF($E14:Z14,"t")+COUNTIF($E14:Z14,"¶")+COUNTIF($E14:Z14,"²")+COUNTIF($E14:Z14,"µ")+COUNTIF($E14:Z14,1),ColDescriptionCourte))&gt;1,
HYPERLINK("#Roadmap!C"&amp; MATCH($E14,Roadmap!$D:$D,0)+COUNTIF($E14:Z14,"u")+COUNTIF($E14:Z14,"t")+COUNTIF($E14:Z14,"¶")+COUNTIF($E14:Z14,"²")+COUNTIF($E14:Z14,"µ")+COUNTIF($E14:Z14,1)-1,INDEX(Roadmap!$D:$K,MATCH($E14,Roadmap!$D:$D,0)-1+COUNTIF($E14:Z14,"u")+COUNTIF($E14:Z14,"t")+COUNTIF($E14:Z14,"¶")+COUNTIF($E14:Z14,"²")+COUNTIF($E14:Z14,"µ")+COUNTIF($E14:Z14,1),ColDescriptionCourte)),""),
  "")),"")</f>
        <v/>
      </c>
      <c r="AB14" s="40" t="str">
        <f ca="1">IFERROR(IF(AND(
  INDEX(Roadmap!$D:$K,MATCH($E14,Roadmap!$D:$D,0)+COUNTIF($E14:AA14,"u")+COUNTIF($E14:AA14,"t")+COUNTIF($E14:AA14,"¶")+COUNTIF($E14:AA14,"²")+COUNTIF($E14:AA14,"µ")+COUNTIF($E14:AA14,1),ColLivraison)=AB$6,
  VLOOKUP($E14,INDIRECT("tri!"&amp; CHAR(64+ C0Col) &amp;":"&amp; CHAR(65+C0Col)),2,FALSE)&gt;COUNTIF($E14:AA14,"u")+COUNTIF($E14:AA14,"t")+COUNTIF($E14:AA14,"¶")+COUNTIF($E14:AA14,"²")+COUNTIF($E14:AA14,"µ")+COUNTIF($E14:AA14,1)),
HYPERLINK("#Roadmap!C"&amp; MATCH($E14,Roadmap!$D:$D,0)+COUNTIF($E14:AA14,"u")+COUNTIF($E14:AA14,"t"),
     INDEX(Roadmap!$D:$K,MATCH($E14,Roadmap!$D:$D,0)+COUNTIF($E14:AA14,"u")+COUNTIF($E14:AA14,"t")+COUNTIF($E14:AA14,"¶")+COUNTIF($E14:AA14,"²")+COUNTIF($E14:AA14,"µ")+COUNTIF($E14:AA14,1),ColTypeEcheance)),
  IF(LEN(AA14)=1,
  IF(LEN(INDEX(Roadmap!$D:$K,MATCH($E14,Roadmap!$D:$D,0)-1+COUNTIF($E14:AA14,"u")+COUNTIF($E14:AA14,"t")+COUNTIF($E14:AA14,"¶")+COUNTIF($E14:AA14,"²")+COUNTIF($E14:AA14,"µ")+COUNTIF($E14:AA14,1),ColDescriptionCourte))&gt;1,
HYPERLINK("#Roadmap!C"&amp; MATCH($E14,Roadmap!$D:$D,0)+COUNTIF($E14:AA14,"u")+COUNTIF($E14:AA14,"t")+COUNTIF($E14:AA14,"¶")+COUNTIF($E14:AA14,"²")+COUNTIF($E14:AA14,"µ")+COUNTIF($E14:AA14,1)-1,INDEX(Roadmap!$D:$K,MATCH($E14,Roadmap!$D:$D,0)-1+COUNTIF($E14:AA14,"u")+COUNTIF($E14:AA14,"t")+COUNTIF($E14:AA14,"¶")+COUNTIF($E14:AA14,"²")+COUNTIF($E14:AA14,"µ")+COUNTIF($E14:AA14,1),ColDescriptionCourte)),""),
  "")),"")</f>
        <v/>
      </c>
      <c r="AC14" s="40" t="str">
        <f ca="1">IFERROR(IF(AND(
  INDEX(Roadmap!$D:$K,MATCH($E14,Roadmap!$D:$D,0)+COUNTIF($E14:AB14,"u")+COUNTIF($E14:AB14,"t")+COUNTIF($E14:AB14,"¶")+COUNTIF($E14:AB14,"²")+COUNTIF($E14:AB14,"µ")+COUNTIF($E14:AB14,1),ColLivraison)=AC$6,
  VLOOKUP($E14,INDIRECT("tri!"&amp; CHAR(64+ C0Col) &amp;":"&amp; CHAR(65+C0Col)),2,FALSE)&gt;COUNTIF($E14:AB14,"u")+COUNTIF($E14:AB14,"t")+COUNTIF($E14:AB14,"¶")+COUNTIF($E14:AB14,"²")+COUNTIF($E14:AB14,"µ")+COUNTIF($E14:AB14,1)),
HYPERLINK("#Roadmap!C"&amp; MATCH($E14,Roadmap!$D:$D,0)+COUNTIF($E14:AB14,"u")+COUNTIF($E14:AB14,"t"),
     INDEX(Roadmap!$D:$K,MATCH($E14,Roadmap!$D:$D,0)+COUNTIF($E14:AB14,"u")+COUNTIF($E14:AB14,"t")+COUNTIF($E14:AB14,"¶")+COUNTIF($E14:AB14,"²")+COUNTIF($E14:AB14,"µ")+COUNTIF($E14:AB14,1),ColTypeEcheance)),
  IF(LEN(AB14)=1,
  IF(LEN(INDEX(Roadmap!$D:$K,MATCH($E14,Roadmap!$D:$D,0)-1+COUNTIF($E14:AB14,"u")+COUNTIF($E14:AB14,"t")+COUNTIF($E14:AB14,"¶")+COUNTIF($E14:AB14,"²")+COUNTIF($E14:AB14,"µ")+COUNTIF($E14:AB14,1),ColDescriptionCourte))&gt;1,
HYPERLINK("#Roadmap!C"&amp; MATCH($E14,Roadmap!$D:$D,0)+COUNTIF($E14:AB14,"u")+COUNTIF($E14:AB14,"t")+COUNTIF($E14:AB14,"¶")+COUNTIF($E14:AB14,"²")+COUNTIF($E14:AB14,"µ")+COUNTIF($E14:AB14,1)-1,INDEX(Roadmap!$D:$K,MATCH($E14,Roadmap!$D:$D,0)-1+COUNTIF($E14:AB14,"u")+COUNTIF($E14:AB14,"t")+COUNTIF($E14:AB14,"¶")+COUNTIF($E14:AB14,"²")+COUNTIF($E14:AB14,"µ")+COUNTIF($E14:AB14,1),ColDescriptionCourte)),""),
  "")),"")</f>
        <v/>
      </c>
      <c r="AD14" s="40" t="str">
        <f ca="1">IFERROR(IF(AND(
  INDEX(Roadmap!$D:$K,MATCH($E14,Roadmap!$D:$D,0)+COUNTIF($E14:AC14,"u")+COUNTIF($E14:AC14,"t")+COUNTIF($E14:AC14,"¶")+COUNTIF($E14:AC14,"²")+COUNTIF($E14:AC14,"µ")+COUNTIF($E14:AC14,1),ColLivraison)=AD$6,
  VLOOKUP($E14,INDIRECT("tri!"&amp; CHAR(64+ C0Col) &amp;":"&amp; CHAR(65+C0Col)),2,FALSE)&gt;COUNTIF($E14:AC14,"u")+COUNTIF($E14:AC14,"t")+COUNTIF($E14:AC14,"¶")+COUNTIF($E14:AC14,"²")+COUNTIF($E14:AC14,"µ")+COUNTIF($E14:AC14,1)),
HYPERLINK("#Roadmap!C"&amp; MATCH($E14,Roadmap!$D:$D,0)+COUNTIF($E14:AC14,"u")+COUNTIF($E14:AC14,"t"),
     INDEX(Roadmap!$D:$K,MATCH($E14,Roadmap!$D:$D,0)+COUNTIF($E14:AC14,"u")+COUNTIF($E14:AC14,"t")+COUNTIF($E14:AC14,"¶")+COUNTIF($E14:AC14,"²")+COUNTIF($E14:AC14,"µ")+COUNTIF($E14:AC14,1),ColTypeEcheance)),
  IF(LEN(AC14)=1,
  IF(LEN(INDEX(Roadmap!$D:$K,MATCH($E14,Roadmap!$D:$D,0)-1+COUNTIF($E14:AC14,"u")+COUNTIF($E14:AC14,"t")+COUNTIF($E14:AC14,"¶")+COUNTIF($E14:AC14,"²")+COUNTIF($E14:AC14,"µ")+COUNTIF($E14:AC14,1),ColDescriptionCourte))&gt;1,
HYPERLINK("#Roadmap!C"&amp; MATCH($E14,Roadmap!$D:$D,0)+COUNTIF($E14:AC14,"u")+COUNTIF($E14:AC14,"t")+COUNTIF($E14:AC14,"¶")+COUNTIF($E14:AC14,"²")+COUNTIF($E14:AC14,"µ")+COUNTIF($E14:AC14,1)-1,INDEX(Roadmap!$D:$K,MATCH($E14,Roadmap!$D:$D,0)-1+COUNTIF($E14:AC14,"u")+COUNTIF($E14:AC14,"t")+COUNTIF($E14:AC14,"¶")+COUNTIF($E14:AC14,"²")+COUNTIF($E14:AC14,"µ")+COUNTIF($E14:AC14,1),ColDescriptionCourte)),""),
  "")),"")</f>
        <v/>
      </c>
      <c r="AE14" s="40" t="str">
        <f ca="1">IFERROR(IF(AND(
  INDEX(Roadmap!$D:$K,MATCH($E14,Roadmap!$D:$D,0)+COUNTIF($E14:AD14,"u")+COUNTIF($E14:AD14,"t")+COUNTIF($E14:AD14,"¶")+COUNTIF($E14:AD14,"²")+COUNTIF($E14:AD14,"µ")+COUNTIF($E14:AD14,1),ColLivraison)=AE$6,
  VLOOKUP($E14,INDIRECT("tri!"&amp; CHAR(64+ C0Col) &amp;":"&amp; CHAR(65+C0Col)),2,FALSE)&gt;COUNTIF($E14:AD14,"u")+COUNTIF($E14:AD14,"t")+COUNTIF($E14:AD14,"¶")+COUNTIF($E14:AD14,"²")+COUNTIF($E14:AD14,"µ")+COUNTIF($E14:AD14,1)),
HYPERLINK("#Roadmap!C"&amp; MATCH($E14,Roadmap!$D:$D,0)+COUNTIF($E14:AD14,"u")+COUNTIF($E14:AD14,"t"),
     INDEX(Roadmap!$D:$K,MATCH($E14,Roadmap!$D:$D,0)+COUNTIF($E14:AD14,"u")+COUNTIF($E14:AD14,"t")+COUNTIF($E14:AD14,"¶")+COUNTIF($E14:AD14,"²")+COUNTIF($E14:AD14,"µ")+COUNTIF($E14:AD14,1),ColTypeEcheance)),
  IF(LEN(AD14)=1,
  IF(LEN(INDEX(Roadmap!$D:$K,MATCH($E14,Roadmap!$D:$D,0)-1+COUNTIF($E14:AD14,"u")+COUNTIF($E14:AD14,"t")+COUNTIF($E14:AD14,"¶")+COUNTIF($E14:AD14,"²")+COUNTIF($E14:AD14,"µ")+COUNTIF($E14:AD14,1),ColDescriptionCourte))&gt;1,
HYPERLINK("#Roadmap!C"&amp; MATCH($E14,Roadmap!$D:$D,0)+COUNTIF($E14:AD14,"u")+COUNTIF($E14:AD14,"t")+COUNTIF($E14:AD14,"¶")+COUNTIF($E14:AD14,"²")+COUNTIF($E14:AD14,"µ")+COUNTIF($E14:AD14,1)-1,INDEX(Roadmap!$D:$K,MATCH($E14,Roadmap!$D:$D,0)-1+COUNTIF($E14:AD14,"u")+COUNTIF($E14:AD14,"t")+COUNTIF($E14:AD14,"¶")+COUNTIF($E14:AD14,"²")+COUNTIF($E14:AD14,"µ")+COUNTIF($E14:AD14,1),ColDescriptionCourte)),""),
  "")),"")</f>
        <v/>
      </c>
      <c r="AF14" s="40" t="str">
        <f ca="1">IFERROR(IF(AND(
  INDEX(Roadmap!$D:$K,MATCH($E14,Roadmap!$D:$D,0)+COUNTIF($E14:AE14,"u")+COUNTIF($E14:AE14,"t")+COUNTIF($E14:AE14,"¶")+COUNTIF($E14:AE14,"²")+COUNTIF($E14:AE14,"µ")+COUNTIF($E14:AE14,1),ColLivraison)=AF$6,
  VLOOKUP($E14,INDIRECT("tri!"&amp; CHAR(64+ C0Col) &amp;":"&amp; CHAR(65+C0Col)),2,FALSE)&gt;COUNTIF($E14:AE14,"u")+COUNTIF($E14:AE14,"t")+COUNTIF($E14:AE14,"¶")+COUNTIF($E14:AE14,"²")+COUNTIF($E14:AE14,"µ")+COUNTIF($E14:AE14,1)),
HYPERLINK("#Roadmap!C"&amp; MATCH($E14,Roadmap!$D:$D,0)+COUNTIF($E14:AE14,"u")+COUNTIF($E14:AE14,"t"),
     INDEX(Roadmap!$D:$K,MATCH($E14,Roadmap!$D:$D,0)+COUNTIF($E14:AE14,"u")+COUNTIF($E14:AE14,"t")+COUNTIF($E14:AE14,"¶")+COUNTIF($E14:AE14,"²")+COUNTIF($E14:AE14,"µ")+COUNTIF($E14:AE14,1),ColTypeEcheance)),
  IF(LEN(AE14)=1,
  IF(LEN(INDEX(Roadmap!$D:$K,MATCH($E14,Roadmap!$D:$D,0)-1+COUNTIF($E14:AE14,"u")+COUNTIF($E14:AE14,"t")+COUNTIF($E14:AE14,"¶")+COUNTIF($E14:AE14,"²")+COUNTIF($E14:AE14,"µ")+COUNTIF($E14:AE14,1),ColDescriptionCourte))&gt;1,
HYPERLINK("#Roadmap!C"&amp; MATCH($E14,Roadmap!$D:$D,0)+COUNTIF($E14:AE14,"u")+COUNTIF($E14:AE14,"t")+COUNTIF($E14:AE14,"¶")+COUNTIF($E14:AE14,"²")+COUNTIF($E14:AE14,"µ")+COUNTIF($E14:AE14,1)-1,INDEX(Roadmap!$D:$K,MATCH($E14,Roadmap!$D:$D,0)-1+COUNTIF($E14:AE14,"u")+COUNTIF($E14:AE14,"t")+COUNTIF($E14:AE14,"¶")+COUNTIF($E14:AE14,"²")+COUNTIF($E14:AE14,"µ")+COUNTIF($E14:AE14,1),ColDescriptionCourte)),""),
  "")),"")</f>
        <v/>
      </c>
      <c r="AG14" s="40" t="str">
        <f ca="1">IFERROR(IF(AND(
  INDEX(Roadmap!$D:$K,MATCH($E14,Roadmap!$D:$D,0)+COUNTIF($E14:AF14,"u")+COUNTIF($E14:AF14,"t")+COUNTIF($E14:AF14,"¶")+COUNTIF($E14:AF14,"²")+COUNTIF($E14:AF14,"µ")+COUNTIF($E14:AF14,1),ColLivraison)=AG$6,
  VLOOKUP($E14,INDIRECT("tri!"&amp; CHAR(64+ C0Col) &amp;":"&amp; CHAR(65+C0Col)),2,FALSE)&gt;COUNTIF($E14:AF14,"u")+COUNTIF($E14:AF14,"t")+COUNTIF($E14:AF14,"¶")+COUNTIF($E14:AF14,"²")+COUNTIF($E14:AF14,"µ")+COUNTIF($E14:AF14,1)),
HYPERLINK("#Roadmap!C"&amp; MATCH($E14,Roadmap!$D:$D,0)+COUNTIF($E14:AF14,"u")+COUNTIF($E14:AF14,"t"),
     INDEX(Roadmap!$D:$K,MATCH($E14,Roadmap!$D:$D,0)+COUNTIF($E14:AF14,"u")+COUNTIF($E14:AF14,"t")+COUNTIF($E14:AF14,"¶")+COUNTIF($E14:AF14,"²")+COUNTIF($E14:AF14,"µ")+COUNTIF($E14:AF14,1),ColTypeEcheance)),
  IF(LEN(AF14)=1,
  IF(LEN(INDEX(Roadmap!$D:$K,MATCH($E14,Roadmap!$D:$D,0)-1+COUNTIF($E14:AF14,"u")+COUNTIF($E14:AF14,"t")+COUNTIF($E14:AF14,"¶")+COUNTIF($E14:AF14,"²")+COUNTIF($E14:AF14,"µ")+COUNTIF($E14:AF14,1),ColDescriptionCourte))&gt;1,
HYPERLINK("#Roadmap!C"&amp; MATCH($E14,Roadmap!$D:$D,0)+COUNTIF($E14:AF14,"u")+COUNTIF($E14:AF14,"t")+COUNTIF($E14:AF14,"¶")+COUNTIF($E14:AF14,"²")+COUNTIF($E14:AF14,"µ")+COUNTIF($E14:AF14,1)-1,INDEX(Roadmap!$D:$K,MATCH($E14,Roadmap!$D:$D,0)-1+COUNTIF($E14:AF14,"u")+COUNTIF($E14:AF14,"t")+COUNTIF($E14:AF14,"¶")+COUNTIF($E14:AF14,"²")+COUNTIF($E14:AF14,"µ")+COUNTIF($E14:AF14,1),ColDescriptionCourte)),""),
  "")),"")</f>
        <v/>
      </c>
    </row>
    <row r="15" spans="3:35" ht="14.25" customHeight="1">
      <c r="C15" s="1" t="str">
        <f t="shared" ca="1" si="42"/>
        <v/>
      </c>
      <c r="D15" s="1" t="str">
        <f t="shared" ca="1" si="43"/>
        <v/>
      </c>
      <c r="E15" s="35" t="str">
        <f t="shared" ca="1" si="33"/>
        <v>Projet BN</v>
      </c>
      <c r="F15" s="39" t="str">
        <f ca="1">IFERROR(IF(AND(
  INDEX(Roadmap!$D:$K,MATCH($E15,Roadmap!$D:$D,0)+COUNTIF($E15:E15,"u")+COUNTIF($E15:E15,"t")+COUNTIF($E15:E15,"¶")+COUNTIF($E15:E15,"²")+COUNTIF($E15:E15,"µ")+COUNTIF($E15:E15,1),ColLivraison)=F$6,
  VLOOKUP($E15,INDIRECT("tri!"&amp; CHAR(64+ C0Col) &amp;":"&amp; CHAR(65+C0Col)),2,FALSE)&gt;COUNTIF($E15:E15,"u")+COUNTIF($E15:E15,"t")+COUNTIF($E15:E15,"¶")+COUNTIF($E15:E15,"²")+COUNTIF($E15:E15,"µ")+COUNTIF($E15:E15,1)),
HYPERLINK("#Roadmap!C"&amp; MATCH($E15,Roadmap!$D:$D,0)+COUNTIF($E15:E15,"u")+COUNTIF($E15:E15,"t"),
     INDEX(Roadmap!$D:$K,MATCH($E15,Roadmap!$D:$D,0)+COUNTIF($E15:E15,"u")+COUNTIF($E15:E15,"t")+COUNTIF($E15:E15,"¶")+COUNTIF($E15:E15,"²")+COUNTIF($E15:E15,"µ")+COUNTIF($E15:E15,1),ColTypeEcheance)),
  IF(LEN(E15)=1,
  IF(LEN(INDEX(Roadmap!$D:$K,MATCH($E15,Roadmap!$D:$D,0)-1+COUNTIF($E15:E15,"u")+COUNTIF($E15:E15,"t")+COUNTIF($E15:E15,"¶")+COUNTIF($E15:E15,"²")+COUNTIF($E15:E15,"µ")+COUNTIF($E15:E15,1),ColDescriptionCourte))&gt;1,
HYPERLINK("#Roadmap!C"&amp; MATCH($E15,Roadmap!$D:$D,0)+COUNTIF($E15:E15,"u")+COUNTIF($E15:E15,"t")+COUNTIF($E15:E15,"¶")+COUNTIF($E15:E15,"²")+COUNTIF($E15:E15,"µ")+COUNTIF($E15:E15,1)-1,INDEX(Roadmap!$D:$K,MATCH($E15,Roadmap!$D:$D,0)-1+COUNTIF($E15:E15,"u")+COUNTIF($E15:E15,"t")+COUNTIF($E15:E15,"¶")+COUNTIF($E15:E15,"²")+COUNTIF($E15:E15,"µ")+COUNTIF($E15:E15,1),ColDescriptionCourte)),""),
  "")),"")</f>
        <v/>
      </c>
      <c r="G15" s="40" t="str">
        <f ca="1">IFERROR(IF(AND(
  INDEX(Roadmap!$D:$K,MATCH($E15,Roadmap!$D:$D,0)+COUNTIF($E15:F15,"u")+COUNTIF($E15:F15,"t")+COUNTIF($E15:F15,"¶")+COUNTIF($E15:F15,"²")+COUNTIF($E15:F15,"µ")+COUNTIF($E15:F15,1),ColLivraison)=G$6,
  VLOOKUP($E15,INDIRECT("tri!"&amp; CHAR(64+ C0Col) &amp;":"&amp; CHAR(65+C0Col)),2,FALSE)&gt;COUNTIF($E15:F15,"u")+COUNTIF($E15:F15,"t")+COUNTIF($E15:F15,"¶")+COUNTIF($E15:F15,"²")+COUNTIF($E15:F15,"µ")+COUNTIF($E15:F15,1)),
HYPERLINK("#Roadmap!C"&amp; MATCH($E15,Roadmap!$D:$D,0)+COUNTIF($E15:F15,"u")+COUNTIF($E15:F15,"t"),
     INDEX(Roadmap!$D:$K,MATCH($E15,Roadmap!$D:$D,0)+COUNTIF($E15:F15,"u")+COUNTIF($E15:F15,"t")+COUNTIF($E15:F15,"¶")+COUNTIF($E15:F15,"²")+COUNTIF($E15:F15,"µ")+COUNTIF($E15:F15,1),ColTypeEcheance)),
  IF(LEN(F15)=1,
  IF(LEN(INDEX(Roadmap!$D:$K,MATCH($E15,Roadmap!$D:$D,0)-1+COUNTIF($E15:F15,"u")+COUNTIF($E15:F15,"t")+COUNTIF($E15:F15,"¶")+COUNTIF($E15:F15,"²")+COUNTIF($E15:F15,"µ")+COUNTIF($E15:F15,1),ColDescriptionCourte))&gt;1,
HYPERLINK("#Roadmap!C"&amp; MATCH($E15,Roadmap!$D:$D,0)+COUNTIF($E15:F15,"u")+COUNTIF($E15:F15,"t")+COUNTIF($E15:F15,"¶")+COUNTIF($E15:F15,"²")+COUNTIF($E15:F15,"µ")+COUNTIF($E15:F15,1)-1,INDEX(Roadmap!$D:$K,MATCH($E15,Roadmap!$D:$D,0)-1+COUNTIF($E15:F15,"u")+COUNTIF($E15:F15,"t")+COUNTIF($E15:F15,"¶")+COUNTIF($E15:F15,"²")+COUNTIF($E15:F15,"µ")+COUNTIF($E15:F15,1),ColDescriptionCourte)),""),
  "")),"")</f>
        <v/>
      </c>
      <c r="H15" s="40" t="str">
        <f ca="1">IFERROR(IF(AND(
  INDEX(Roadmap!$D:$K,MATCH($E15,Roadmap!$D:$D,0)+COUNTIF($E15:G15,"u")+COUNTIF($E15:G15,"t")+COUNTIF($E15:G15,"¶")+COUNTIF($E15:G15,"²")+COUNTIF($E15:G15,"µ")+COUNTIF($E15:G15,1),ColLivraison)=H$6,
  VLOOKUP($E15,INDIRECT("tri!"&amp; CHAR(64+ C0Col) &amp;":"&amp; CHAR(65+C0Col)),2,FALSE)&gt;COUNTIF($E15:G15,"u")+COUNTIF($E15:G15,"t")+COUNTIF($E15:G15,"¶")+COUNTIF($E15:G15,"²")+COUNTIF($E15:G15,"µ")+COUNTIF($E15:G15,1)),
HYPERLINK("#Roadmap!C"&amp; MATCH($E15,Roadmap!$D:$D,0)+COUNTIF($E15:G15,"u")+COUNTIF($E15:G15,"t"),
     INDEX(Roadmap!$D:$K,MATCH($E15,Roadmap!$D:$D,0)+COUNTIF($E15:G15,"u")+COUNTIF($E15:G15,"t")+COUNTIF($E15:G15,"¶")+COUNTIF($E15:G15,"²")+COUNTIF($E15:G15,"µ")+COUNTIF($E15:G15,1),ColTypeEcheance)),
  IF(LEN(G15)=1,
  IF(LEN(INDEX(Roadmap!$D:$K,MATCH($E15,Roadmap!$D:$D,0)-1+COUNTIF($E15:G15,"u")+COUNTIF($E15:G15,"t")+COUNTIF($E15:G15,"¶")+COUNTIF($E15:G15,"²")+COUNTIF($E15:G15,"µ")+COUNTIF($E15:G15,1),ColDescriptionCourte))&gt;1,
HYPERLINK("#Roadmap!C"&amp; MATCH($E15,Roadmap!$D:$D,0)+COUNTIF($E15:G15,"u")+COUNTIF($E15:G15,"t")+COUNTIF($E15:G15,"¶")+COUNTIF($E15:G15,"²")+COUNTIF($E15:G15,"µ")+COUNTIF($E15:G15,1)-1,INDEX(Roadmap!$D:$K,MATCH($E15,Roadmap!$D:$D,0)-1+COUNTIF($E15:G15,"u")+COUNTIF($E15:G15,"t")+COUNTIF($E15:G15,"¶")+COUNTIF($E15:G15,"²")+COUNTIF($E15:G15,"µ")+COUNTIF($E15:G15,1),ColDescriptionCourte)),""),
  "")),"")</f>
        <v/>
      </c>
      <c r="I15" s="40" t="str">
        <f ca="1">IFERROR(IF(AND(
  INDEX(Roadmap!$D:$K,MATCH($E15,Roadmap!$D:$D,0)+COUNTIF($E15:H15,"u")+COUNTIF($E15:H15,"t")+COUNTIF($E15:H15,"¶")+COUNTIF($E15:H15,"²")+COUNTIF($E15:H15,"µ")+COUNTIF($E15:H15,1),ColLivraison)=I$6,
  VLOOKUP($E15,INDIRECT("tri!"&amp; CHAR(64+ C0Col) &amp;":"&amp; CHAR(65+C0Col)),2,FALSE)&gt;COUNTIF($E15:H15,"u")+COUNTIF($E15:H15,"t")+COUNTIF($E15:H15,"¶")+COUNTIF($E15:H15,"²")+COUNTIF($E15:H15,"µ")+COUNTIF($E15:H15,1)),
HYPERLINK("#Roadmap!C"&amp; MATCH($E15,Roadmap!$D:$D,0)+COUNTIF($E15:H15,"u")+COUNTIF($E15:H15,"t"),
     INDEX(Roadmap!$D:$K,MATCH($E15,Roadmap!$D:$D,0)+COUNTIF($E15:H15,"u")+COUNTIF($E15:H15,"t")+COUNTIF($E15:H15,"¶")+COUNTIF($E15:H15,"²")+COUNTIF($E15:H15,"µ")+COUNTIF($E15:H15,1),ColTypeEcheance)),
  IF(LEN(H15)=1,
  IF(LEN(INDEX(Roadmap!$D:$K,MATCH($E15,Roadmap!$D:$D,0)-1+COUNTIF($E15:H15,"u")+COUNTIF($E15:H15,"t")+COUNTIF($E15:H15,"¶")+COUNTIF($E15:H15,"²")+COUNTIF($E15:H15,"µ")+COUNTIF($E15:H15,1),ColDescriptionCourte))&gt;1,
HYPERLINK("#Roadmap!C"&amp; MATCH($E15,Roadmap!$D:$D,0)+COUNTIF($E15:H15,"u")+COUNTIF($E15:H15,"t")+COUNTIF($E15:H15,"¶")+COUNTIF($E15:H15,"²")+COUNTIF($E15:H15,"µ")+COUNTIF($E15:H15,1)-1,INDEX(Roadmap!$D:$K,MATCH($E15,Roadmap!$D:$D,0)-1+COUNTIF($E15:H15,"u")+COUNTIF($E15:H15,"t")+COUNTIF($E15:H15,"¶")+COUNTIF($E15:H15,"²")+COUNTIF($E15:H15,"µ")+COUNTIF($E15:H15,1),ColDescriptionCourte)),""),
  "")),"")</f>
        <v/>
      </c>
      <c r="J15" s="40" t="str">
        <f ca="1">IFERROR(IF(AND(
  INDEX(Roadmap!$D:$K,MATCH($E15,Roadmap!$D:$D,0)+COUNTIF($E15:I15,"u")+COUNTIF($E15:I15,"t")+COUNTIF($E15:I15,"¶")+COUNTIF($E15:I15,"²")+COUNTIF($E15:I15,"µ")+COUNTIF($E15:I15,1),ColLivraison)=J$6,
  VLOOKUP($E15,INDIRECT("tri!"&amp; CHAR(64+ C0Col) &amp;":"&amp; CHAR(65+C0Col)),2,FALSE)&gt;COUNTIF($E15:I15,"u")+COUNTIF($E15:I15,"t")+COUNTIF($E15:I15,"¶")+COUNTIF($E15:I15,"²")+COUNTIF($E15:I15,"µ")+COUNTIF($E15:I15,1)),
HYPERLINK("#Roadmap!C"&amp; MATCH($E15,Roadmap!$D:$D,0)+COUNTIF($E15:I15,"u")+COUNTIF($E15:I15,"t"),
     INDEX(Roadmap!$D:$K,MATCH($E15,Roadmap!$D:$D,0)+COUNTIF($E15:I15,"u")+COUNTIF($E15:I15,"t")+COUNTIF($E15:I15,"¶")+COUNTIF($E15:I15,"²")+COUNTIF($E15:I15,"µ")+COUNTIF($E15:I15,1),ColTypeEcheance)),
  IF(LEN(I15)=1,
  IF(LEN(INDEX(Roadmap!$D:$K,MATCH($E15,Roadmap!$D:$D,0)-1+COUNTIF($E15:I15,"u")+COUNTIF($E15:I15,"t")+COUNTIF($E15:I15,"¶")+COUNTIF($E15:I15,"²")+COUNTIF($E15:I15,"µ")+COUNTIF($E15:I15,1),ColDescriptionCourte))&gt;1,
HYPERLINK("#Roadmap!C"&amp; MATCH($E15,Roadmap!$D:$D,0)+COUNTIF($E15:I15,"u")+COUNTIF($E15:I15,"t")+COUNTIF($E15:I15,"¶")+COUNTIF($E15:I15,"²")+COUNTIF($E15:I15,"µ")+COUNTIF($E15:I15,1)-1,INDEX(Roadmap!$D:$K,MATCH($E15,Roadmap!$D:$D,0)-1+COUNTIF($E15:I15,"u")+COUNTIF($E15:I15,"t")+COUNTIF($E15:I15,"¶")+COUNTIF($E15:I15,"²")+COUNTIF($E15:I15,"µ")+COUNTIF($E15:I15,1),ColDescriptionCourte)),""),
  "")),"")</f>
        <v/>
      </c>
      <c r="K15" s="40" t="str">
        <f ca="1">IFERROR(IF(AND(
  INDEX(Roadmap!$D:$K,MATCH($E15,Roadmap!$D:$D,0)+COUNTIF($E15:J15,"u")+COUNTIF($E15:J15,"t")+COUNTIF($E15:J15,"¶")+COUNTIF($E15:J15,"²")+COUNTIF($E15:J15,"µ")+COUNTIF($E15:J15,1),ColLivraison)=K$6,
  VLOOKUP($E15,INDIRECT("tri!"&amp; CHAR(64+ C0Col) &amp;":"&amp; CHAR(65+C0Col)),2,FALSE)&gt;COUNTIF($E15:J15,"u")+COUNTIF($E15:J15,"t")+COUNTIF($E15:J15,"¶")+COUNTIF($E15:J15,"²")+COUNTIF($E15:J15,"µ")+COUNTIF($E15:J15,1)),
HYPERLINK("#Roadmap!C"&amp; MATCH($E15,Roadmap!$D:$D,0)+COUNTIF($E15:J15,"u")+COUNTIF($E15:J15,"t"),
     INDEX(Roadmap!$D:$K,MATCH($E15,Roadmap!$D:$D,0)+COUNTIF($E15:J15,"u")+COUNTIF($E15:J15,"t")+COUNTIF($E15:J15,"¶")+COUNTIF($E15:J15,"²")+COUNTIF($E15:J15,"µ")+COUNTIF($E15:J15,1),ColTypeEcheance)),
  IF(LEN(J15)=1,
  IF(LEN(INDEX(Roadmap!$D:$K,MATCH($E15,Roadmap!$D:$D,0)-1+COUNTIF($E15:J15,"u")+COUNTIF($E15:J15,"t")+COUNTIF($E15:J15,"¶")+COUNTIF($E15:J15,"²")+COUNTIF($E15:J15,"µ")+COUNTIF($E15:J15,1),ColDescriptionCourte))&gt;1,
HYPERLINK("#Roadmap!C"&amp; MATCH($E15,Roadmap!$D:$D,0)+COUNTIF($E15:J15,"u")+COUNTIF($E15:J15,"t")+COUNTIF($E15:J15,"¶")+COUNTIF($E15:J15,"²")+COUNTIF($E15:J15,"µ")+COUNTIF($E15:J15,1)-1,INDEX(Roadmap!$D:$K,MATCH($E15,Roadmap!$D:$D,0)-1+COUNTIF($E15:J15,"u")+COUNTIF($E15:J15,"t")+COUNTIF($E15:J15,"¶")+COUNTIF($E15:J15,"²")+COUNTIF($E15:J15,"µ")+COUNTIF($E15:J15,1),ColDescriptionCourte)),""),
  "")),"")</f>
        <v/>
      </c>
      <c r="L15" s="39" t="str">
        <f ca="1">IFERROR(IF(AND(
  INDEX(Roadmap!$D:$K,MATCH($E15,Roadmap!$D:$D,0)+COUNTIF($E15:K15,"u")+COUNTIF($E15:K15,"t")+COUNTIF($E15:K15,"¶")+COUNTIF($E15:K15,"²")+COUNTIF($E15:K15,"µ")+COUNTIF($E15:K15,1),ColLivraison)=L$6,
  VLOOKUP($E15,INDIRECT("tri!"&amp; CHAR(64+ C0Col) &amp;":"&amp; CHAR(65+C0Col)),2,FALSE)&gt;COUNTIF($E15:K15,"u")+COUNTIF($E15:K15,"t")+COUNTIF($E15:K15,"¶")+COUNTIF($E15:K15,"²")+COUNTIF($E15:K15,"µ")+COUNTIF($E15:K15,1)),
HYPERLINK("#Roadmap!C"&amp; MATCH($E15,Roadmap!$D:$D,0)+COUNTIF($E15:K15,"u")+COUNTIF($E15:K15,"t"),
     INDEX(Roadmap!$D:$K,MATCH($E15,Roadmap!$D:$D,0)+COUNTIF($E15:K15,"u")+COUNTIF($E15:K15,"t")+COUNTIF($E15:K15,"¶")+COUNTIF($E15:K15,"²")+COUNTIF($E15:K15,"µ")+COUNTIF($E15:K15,1),ColTypeEcheance)),
  IF(LEN(K15)=1,
  IF(LEN(INDEX(Roadmap!$D:$K,MATCH($E15,Roadmap!$D:$D,0)-1+COUNTIF($E15:K15,"u")+COUNTIF($E15:K15,"t")+COUNTIF($E15:K15,"¶")+COUNTIF($E15:K15,"²")+COUNTIF($E15:K15,"µ")+COUNTIF($E15:K15,1),ColDescriptionCourte))&gt;1,
HYPERLINK("#Roadmap!C"&amp; MATCH($E15,Roadmap!$D:$D,0)+COUNTIF($E15:K15,"u")+COUNTIF($E15:K15,"t")+COUNTIF($E15:K15,"¶")+COUNTIF($E15:K15,"²")+COUNTIF($E15:K15,"µ")+COUNTIF($E15:K15,1)-1,INDEX(Roadmap!$D:$K,MATCH($E15,Roadmap!$D:$D,0)-1+COUNTIF($E15:K15,"u")+COUNTIF($E15:K15,"t")+COUNTIF($E15:K15,"¶")+COUNTIF($E15:K15,"²")+COUNTIF($E15:K15,"µ")+COUNTIF($E15:K15,1),ColDescriptionCourte)),""),
  "")),"")</f>
        <v/>
      </c>
      <c r="M15" s="40" t="str">
        <f ca="1">IFERROR(IF(AND(
  INDEX(Roadmap!$D:$K,MATCH($E15,Roadmap!$D:$D,0)+COUNTIF($E15:L15,"u")+COUNTIF($E15:L15,"t")+COUNTIF($E15:L15,"¶")+COUNTIF($E15:L15,"²")+COUNTIF($E15:L15,"µ")+COUNTIF($E15:L15,1),ColLivraison)=M$6,
  VLOOKUP($E15,INDIRECT("tri!"&amp; CHAR(64+ C0Col) &amp;":"&amp; CHAR(65+C0Col)),2,FALSE)&gt;COUNTIF($E15:L15,"u")+COUNTIF($E15:L15,"t")+COUNTIF($E15:L15,"¶")+COUNTIF($E15:L15,"²")+COUNTIF($E15:L15,"µ")+COUNTIF($E15:L15,1)),
HYPERLINK("#Roadmap!C"&amp; MATCH($E15,Roadmap!$D:$D,0)+COUNTIF($E15:L15,"u")+COUNTIF($E15:L15,"t"),
     INDEX(Roadmap!$D:$K,MATCH($E15,Roadmap!$D:$D,0)+COUNTIF($E15:L15,"u")+COUNTIF($E15:L15,"t")+COUNTIF($E15:L15,"¶")+COUNTIF($E15:L15,"²")+COUNTIF($E15:L15,"µ")+COUNTIF($E15:L15,1),ColTypeEcheance)),
  IF(LEN(L15)=1,
  IF(LEN(INDEX(Roadmap!$D:$K,MATCH($E15,Roadmap!$D:$D,0)-1+COUNTIF($E15:L15,"u")+COUNTIF($E15:L15,"t")+COUNTIF($E15:L15,"¶")+COUNTIF($E15:L15,"²")+COUNTIF($E15:L15,"µ")+COUNTIF($E15:L15,1),ColDescriptionCourte))&gt;1,
HYPERLINK("#Roadmap!C"&amp; MATCH($E15,Roadmap!$D:$D,0)+COUNTIF($E15:L15,"u")+COUNTIF($E15:L15,"t")+COUNTIF($E15:L15,"¶")+COUNTIF($E15:L15,"²")+COUNTIF($E15:L15,"µ")+COUNTIF($E15:L15,1)-1,INDEX(Roadmap!$D:$K,MATCH($E15,Roadmap!$D:$D,0)-1+COUNTIF($E15:L15,"u")+COUNTIF($E15:L15,"t")+COUNTIF($E15:L15,"¶")+COUNTIF($E15:L15,"²")+COUNTIF($E15:L15,"µ")+COUNTIF($E15:L15,1),ColDescriptionCourte)),""),
  "")),"")</f>
        <v/>
      </c>
      <c r="N15" s="40" t="str">
        <f ca="1">IFERROR(IF(AND(
  INDEX(Roadmap!$D:$K,MATCH($E15,Roadmap!$D:$D,0)+COUNTIF($E15:M15,"u")+COUNTIF($E15:M15,"t")+COUNTIF($E15:M15,"¶")+COUNTIF($E15:M15,"²")+COUNTIF($E15:M15,"µ")+COUNTIF($E15:M15,1),ColLivraison)=N$6,
  VLOOKUP($E15,INDIRECT("tri!"&amp; CHAR(64+ C0Col) &amp;":"&amp; CHAR(65+C0Col)),2,FALSE)&gt;COUNTIF($E15:M15,"u")+COUNTIF($E15:M15,"t")+COUNTIF($E15:M15,"¶")+COUNTIF($E15:M15,"²")+COUNTIF($E15:M15,"µ")+COUNTIF($E15:M15,1)),
HYPERLINK("#Roadmap!C"&amp; MATCH($E15,Roadmap!$D:$D,0)+COUNTIF($E15:M15,"u")+COUNTIF($E15:M15,"t"),
     INDEX(Roadmap!$D:$K,MATCH($E15,Roadmap!$D:$D,0)+COUNTIF($E15:M15,"u")+COUNTIF($E15:M15,"t")+COUNTIF($E15:M15,"¶")+COUNTIF($E15:M15,"²")+COUNTIF($E15:M15,"µ")+COUNTIF($E15:M15,1),ColTypeEcheance)),
  IF(LEN(M15)=1,
  IF(LEN(INDEX(Roadmap!$D:$K,MATCH($E15,Roadmap!$D:$D,0)-1+COUNTIF($E15:M15,"u")+COUNTIF($E15:M15,"t")+COUNTIF($E15:M15,"¶")+COUNTIF($E15:M15,"²")+COUNTIF($E15:M15,"µ")+COUNTIF($E15:M15,1),ColDescriptionCourte))&gt;1,
HYPERLINK("#Roadmap!C"&amp; MATCH($E15,Roadmap!$D:$D,0)+COUNTIF($E15:M15,"u")+COUNTIF($E15:M15,"t")+COUNTIF($E15:M15,"¶")+COUNTIF($E15:M15,"²")+COUNTIF($E15:M15,"µ")+COUNTIF($E15:M15,1)-1,INDEX(Roadmap!$D:$K,MATCH($E15,Roadmap!$D:$D,0)-1+COUNTIF($E15:M15,"u")+COUNTIF($E15:M15,"t")+COUNTIF($E15:M15,"¶")+COUNTIF($E15:M15,"²")+COUNTIF($E15:M15,"µ")+COUNTIF($E15:M15,1),ColDescriptionCourte)),""),
  "")),"")</f>
        <v/>
      </c>
      <c r="O15" s="40" t="str">
        <f ca="1">IFERROR(IF(AND(
  INDEX(Roadmap!$D:$K,MATCH($E15,Roadmap!$D:$D,0)+COUNTIF($E15:N15,"u")+COUNTIF($E15:N15,"t")+COUNTIF($E15:N15,"¶")+COUNTIF($E15:N15,"²")+COUNTIF($E15:N15,"µ")+COUNTIF($E15:N15,1),ColLivraison)=O$6,
  VLOOKUP($E15,INDIRECT("tri!"&amp; CHAR(64+ C0Col) &amp;":"&amp; CHAR(65+C0Col)),2,FALSE)&gt;COUNTIF($E15:N15,"u")+COUNTIF($E15:N15,"t")+COUNTIF($E15:N15,"¶")+COUNTIF($E15:N15,"²")+COUNTIF($E15:N15,"µ")+COUNTIF($E15:N15,1)),
HYPERLINK("#Roadmap!C"&amp; MATCH($E15,Roadmap!$D:$D,0)+COUNTIF($E15:N15,"u")+COUNTIF($E15:N15,"t"),
     INDEX(Roadmap!$D:$K,MATCH($E15,Roadmap!$D:$D,0)+COUNTIF($E15:N15,"u")+COUNTIF($E15:N15,"t")+COUNTIF($E15:N15,"¶")+COUNTIF($E15:N15,"²")+COUNTIF($E15:N15,"µ")+COUNTIF($E15:N15,1),ColTypeEcheance)),
  IF(LEN(N15)=1,
  IF(LEN(INDEX(Roadmap!$D:$K,MATCH($E15,Roadmap!$D:$D,0)-1+COUNTIF($E15:N15,"u")+COUNTIF($E15:N15,"t")+COUNTIF($E15:N15,"¶")+COUNTIF($E15:N15,"²")+COUNTIF($E15:N15,"µ")+COUNTIF($E15:N15,1),ColDescriptionCourte))&gt;1,
HYPERLINK("#Roadmap!C"&amp; MATCH($E15,Roadmap!$D:$D,0)+COUNTIF($E15:N15,"u")+COUNTIF($E15:N15,"t")+COUNTIF($E15:N15,"¶")+COUNTIF($E15:N15,"²")+COUNTIF($E15:N15,"µ")+COUNTIF($E15:N15,1)-1,INDEX(Roadmap!$D:$K,MATCH($E15,Roadmap!$D:$D,0)-1+COUNTIF($E15:N15,"u")+COUNTIF($E15:N15,"t")+COUNTIF($E15:N15,"¶")+COUNTIF($E15:N15,"²")+COUNTIF($E15:N15,"µ")+COUNTIF($E15:N15,1),ColDescriptionCourte)),""),
  "")),"")</f>
        <v/>
      </c>
      <c r="P15" s="40" t="str">
        <f ca="1">IFERROR(IF(AND(
  INDEX(Roadmap!$D:$K,MATCH($E15,Roadmap!$D:$D,0)+COUNTIF($E15:O15,"u")+COUNTIF($E15:O15,"t")+COUNTIF($E15:O15,"¶")+COUNTIF($E15:O15,"²")+COUNTIF($E15:O15,"µ")+COUNTIF($E15:O15,1),ColLivraison)=P$6,
  VLOOKUP($E15,INDIRECT("tri!"&amp; CHAR(64+ C0Col) &amp;":"&amp; CHAR(65+C0Col)),2,FALSE)&gt;COUNTIF($E15:O15,"u")+COUNTIF($E15:O15,"t")+COUNTIF($E15:O15,"¶")+COUNTIF($E15:O15,"²")+COUNTIF($E15:O15,"µ")+COUNTIF($E15:O15,1)),
HYPERLINK("#Roadmap!C"&amp; MATCH($E15,Roadmap!$D:$D,0)+COUNTIF($E15:O15,"u")+COUNTIF($E15:O15,"t"),
     INDEX(Roadmap!$D:$K,MATCH($E15,Roadmap!$D:$D,0)+COUNTIF($E15:O15,"u")+COUNTIF($E15:O15,"t")+COUNTIF($E15:O15,"¶")+COUNTIF($E15:O15,"²")+COUNTIF($E15:O15,"µ")+COUNTIF($E15:O15,1),ColTypeEcheance)),
  IF(LEN(O15)=1,
  IF(LEN(INDEX(Roadmap!$D:$K,MATCH($E15,Roadmap!$D:$D,0)-1+COUNTIF($E15:O15,"u")+COUNTIF($E15:O15,"t")+COUNTIF($E15:O15,"¶")+COUNTIF($E15:O15,"²")+COUNTIF($E15:O15,"µ")+COUNTIF($E15:O15,1),ColDescriptionCourte))&gt;1,
HYPERLINK("#Roadmap!C"&amp; MATCH($E15,Roadmap!$D:$D,0)+COUNTIF($E15:O15,"u")+COUNTIF($E15:O15,"t")+COUNTIF($E15:O15,"¶")+COUNTIF($E15:O15,"²")+COUNTIF($E15:O15,"µ")+COUNTIF($E15:O15,1)-1,INDEX(Roadmap!$D:$K,MATCH($E15,Roadmap!$D:$D,0)-1+COUNTIF($E15:O15,"u")+COUNTIF($E15:O15,"t")+COUNTIF($E15:O15,"¶")+COUNTIF($E15:O15,"²")+COUNTIF($E15:O15,"µ")+COUNTIF($E15:O15,1),ColDescriptionCourte)),""),
  "")),"")</f>
        <v/>
      </c>
      <c r="Q15" s="40" t="str">
        <f ca="1">IFERROR(IF(AND(
  INDEX(Roadmap!$D:$K,MATCH($E15,Roadmap!$D:$D,0)+COUNTIF($E15:P15,"u")+COUNTIF($E15:P15,"t")+COUNTIF($E15:P15,"¶")+COUNTIF($E15:P15,"²")+COUNTIF($E15:P15,"µ")+COUNTIF($E15:P15,1),ColLivraison)=Q$6,
  VLOOKUP($E15,INDIRECT("tri!"&amp; CHAR(64+ C0Col) &amp;":"&amp; CHAR(65+C0Col)),2,FALSE)&gt;COUNTIF($E15:P15,"u")+COUNTIF($E15:P15,"t")+COUNTIF($E15:P15,"¶")+COUNTIF($E15:P15,"²")+COUNTIF($E15:P15,"µ")+COUNTIF($E15:P15,1)),
HYPERLINK("#Roadmap!C"&amp; MATCH($E15,Roadmap!$D:$D,0)+COUNTIF($E15:P15,"u")+COUNTIF($E15:P15,"t"),
     INDEX(Roadmap!$D:$K,MATCH($E15,Roadmap!$D:$D,0)+COUNTIF($E15:P15,"u")+COUNTIF($E15:P15,"t")+COUNTIF($E15:P15,"¶")+COUNTIF($E15:P15,"²")+COUNTIF($E15:P15,"µ")+COUNTIF($E15:P15,1),ColTypeEcheance)),
  IF(LEN(P15)=1,
  IF(LEN(INDEX(Roadmap!$D:$K,MATCH($E15,Roadmap!$D:$D,0)-1+COUNTIF($E15:P15,"u")+COUNTIF($E15:P15,"t")+COUNTIF($E15:P15,"¶")+COUNTIF($E15:P15,"²")+COUNTIF($E15:P15,"µ")+COUNTIF($E15:P15,1),ColDescriptionCourte))&gt;1,
HYPERLINK("#Roadmap!C"&amp; MATCH($E15,Roadmap!$D:$D,0)+COUNTIF($E15:P15,"u")+COUNTIF($E15:P15,"t")+COUNTIF($E15:P15,"¶")+COUNTIF($E15:P15,"²")+COUNTIF($E15:P15,"µ")+COUNTIF($E15:P15,1)-1,INDEX(Roadmap!$D:$K,MATCH($E15,Roadmap!$D:$D,0)-1+COUNTIF($E15:P15,"u")+COUNTIF($E15:P15,"t")+COUNTIF($E15:P15,"¶")+COUNTIF($E15:P15,"²")+COUNTIF($E15:P15,"µ")+COUNTIF($E15:P15,1),ColDescriptionCourte)),""),
  "")),"")</f>
        <v/>
      </c>
      <c r="R15" s="40" t="str">
        <f ca="1">IFERROR(IF(AND(
  INDEX(Roadmap!$D:$K,MATCH($E15,Roadmap!$D:$D,0)+COUNTIF($E15:Q15,"u")+COUNTIF($E15:Q15,"t")+COUNTIF($E15:Q15,"¶")+COUNTIF($E15:Q15,"²")+COUNTIF($E15:Q15,"µ")+COUNTIF($E15:Q15,1),ColLivraison)=R$6,
  VLOOKUP($E15,INDIRECT("tri!"&amp; CHAR(64+ C0Col) &amp;":"&amp; CHAR(65+C0Col)),2,FALSE)&gt;COUNTIF($E15:Q15,"u")+COUNTIF($E15:Q15,"t")+COUNTIF($E15:Q15,"¶")+COUNTIF($E15:Q15,"²")+COUNTIF($E15:Q15,"µ")+COUNTIF($E15:Q15,1)),
HYPERLINK("#Roadmap!C"&amp; MATCH($E15,Roadmap!$D:$D,0)+COUNTIF($E15:Q15,"u")+COUNTIF($E15:Q15,"t"),
     INDEX(Roadmap!$D:$K,MATCH($E15,Roadmap!$D:$D,0)+COUNTIF($E15:Q15,"u")+COUNTIF($E15:Q15,"t")+COUNTIF($E15:Q15,"¶")+COUNTIF($E15:Q15,"²")+COUNTIF($E15:Q15,"µ")+COUNTIF($E15:Q15,1),ColTypeEcheance)),
  IF(LEN(Q15)=1,
  IF(LEN(INDEX(Roadmap!$D:$K,MATCH($E15,Roadmap!$D:$D,0)-1+COUNTIF($E15:Q15,"u")+COUNTIF($E15:Q15,"t")+COUNTIF($E15:Q15,"¶")+COUNTIF($E15:Q15,"²")+COUNTIF($E15:Q15,"µ")+COUNTIF($E15:Q15,1),ColDescriptionCourte))&gt;1,
HYPERLINK("#Roadmap!C"&amp; MATCH($E15,Roadmap!$D:$D,0)+COUNTIF($E15:Q15,"u")+COUNTIF($E15:Q15,"t")+COUNTIF($E15:Q15,"¶")+COUNTIF($E15:Q15,"²")+COUNTIF($E15:Q15,"µ")+COUNTIF($E15:Q15,1)-1,INDEX(Roadmap!$D:$K,MATCH($E15,Roadmap!$D:$D,0)-1+COUNTIF($E15:Q15,"u")+COUNTIF($E15:Q15,"t")+COUNTIF($E15:Q15,"¶")+COUNTIF($E15:Q15,"²")+COUNTIF($E15:Q15,"µ")+COUNTIF($E15:Q15,1),ColDescriptionCourte)),""),
  "")),"")</f>
        <v/>
      </c>
      <c r="S15" s="40" t="str">
        <f ca="1">IFERROR(IF(AND(
  INDEX(Roadmap!$D:$K,MATCH($E15,Roadmap!$D:$D,0)+COUNTIF($E15:R15,"u")+COUNTIF($E15:R15,"t")+COUNTIF($E15:R15,"¶")+COUNTIF($E15:R15,"²")+COUNTIF($E15:R15,"µ")+COUNTIF($E15:R15,1),ColLivraison)=S$6,
  VLOOKUP($E15,INDIRECT("tri!"&amp; CHAR(64+ C0Col) &amp;":"&amp; CHAR(65+C0Col)),2,FALSE)&gt;COUNTIF($E15:R15,"u")+COUNTIF($E15:R15,"t")+COUNTIF($E15:R15,"¶")+COUNTIF($E15:R15,"²")+COUNTIF($E15:R15,"µ")+COUNTIF($E15:R15,1)),
HYPERLINK("#Roadmap!C"&amp; MATCH($E15,Roadmap!$D:$D,0)+COUNTIF($E15:R15,"u")+COUNTIF($E15:R15,"t"),
     INDEX(Roadmap!$D:$K,MATCH($E15,Roadmap!$D:$D,0)+COUNTIF($E15:R15,"u")+COUNTIF($E15:R15,"t")+COUNTIF($E15:R15,"¶")+COUNTIF($E15:R15,"²")+COUNTIF($E15:R15,"µ")+COUNTIF($E15:R15,1),ColTypeEcheance)),
  IF(LEN(R15)=1,
  IF(LEN(INDEX(Roadmap!$D:$K,MATCH($E15,Roadmap!$D:$D,0)-1+COUNTIF($E15:R15,"u")+COUNTIF($E15:R15,"t")+COUNTIF($E15:R15,"¶")+COUNTIF($E15:R15,"²")+COUNTIF($E15:R15,"µ")+COUNTIF($E15:R15,1),ColDescriptionCourte))&gt;1,
HYPERLINK("#Roadmap!C"&amp; MATCH($E15,Roadmap!$D:$D,0)+COUNTIF($E15:R15,"u")+COUNTIF($E15:R15,"t")+COUNTIF($E15:R15,"¶")+COUNTIF($E15:R15,"²")+COUNTIF($E15:R15,"µ")+COUNTIF($E15:R15,1)-1,INDEX(Roadmap!$D:$K,MATCH($E15,Roadmap!$D:$D,0)-1+COUNTIF($E15:R15,"u")+COUNTIF($E15:R15,"t")+COUNTIF($E15:R15,"¶")+COUNTIF($E15:R15,"²")+COUNTIF($E15:R15,"µ")+COUNTIF($E15:R15,1),ColDescriptionCourte)),""),
  "")),"")</f>
        <v/>
      </c>
      <c r="T15" s="40" t="str">
        <f ca="1">IFERROR(IF(AND(
  INDEX(Roadmap!$D:$K,MATCH($E15,Roadmap!$D:$D,0)+COUNTIF($E15:S15,"u")+COUNTIF($E15:S15,"t")+COUNTIF($E15:S15,"¶")+COUNTIF($E15:S15,"²")+COUNTIF($E15:S15,"µ")+COUNTIF($E15:S15,1),ColLivraison)=T$6,
  VLOOKUP($E15,INDIRECT("tri!"&amp; CHAR(64+ C0Col) &amp;":"&amp; CHAR(65+C0Col)),2,FALSE)&gt;COUNTIF($E15:S15,"u")+COUNTIF($E15:S15,"t")+COUNTIF($E15:S15,"¶")+COUNTIF($E15:S15,"²")+COUNTIF($E15:S15,"µ")+COUNTIF($E15:S15,1)),
HYPERLINK("#Roadmap!C"&amp; MATCH($E15,Roadmap!$D:$D,0)+COUNTIF($E15:S15,"u")+COUNTIF($E15:S15,"t"),
     INDEX(Roadmap!$D:$K,MATCH($E15,Roadmap!$D:$D,0)+COUNTIF($E15:S15,"u")+COUNTIF($E15:S15,"t")+COUNTIF($E15:S15,"¶")+COUNTIF($E15:S15,"²")+COUNTIF($E15:S15,"µ")+COUNTIF($E15:S15,1),ColTypeEcheance)),
  IF(LEN(S15)=1,
  IF(LEN(INDEX(Roadmap!$D:$K,MATCH($E15,Roadmap!$D:$D,0)-1+COUNTIF($E15:S15,"u")+COUNTIF($E15:S15,"t")+COUNTIF($E15:S15,"¶")+COUNTIF($E15:S15,"²")+COUNTIF($E15:S15,"µ")+COUNTIF($E15:S15,1),ColDescriptionCourte))&gt;1,
HYPERLINK("#Roadmap!C"&amp; MATCH($E15,Roadmap!$D:$D,0)+COUNTIF($E15:S15,"u")+COUNTIF($E15:S15,"t")+COUNTIF($E15:S15,"¶")+COUNTIF($E15:S15,"²")+COUNTIF($E15:S15,"µ")+COUNTIF($E15:S15,1)-1,INDEX(Roadmap!$D:$K,MATCH($E15,Roadmap!$D:$D,0)-1+COUNTIF($E15:S15,"u")+COUNTIF($E15:S15,"t")+COUNTIF($E15:S15,"¶")+COUNTIF($E15:S15,"²")+COUNTIF($E15:S15,"µ")+COUNTIF($E15:S15,1),ColDescriptionCourte)),""),
  "")),"")</f>
        <v/>
      </c>
      <c r="U15" s="40" t="str">
        <f ca="1">IFERROR(IF(AND(
  INDEX(Roadmap!$D:$K,MATCH($E15,Roadmap!$D:$D,0)+COUNTIF($E15:T15,"u")+COUNTIF($E15:T15,"t")+COUNTIF($E15:T15,"¶")+COUNTIF($E15:T15,"²")+COUNTIF($E15:T15,"µ")+COUNTIF($E15:T15,1),ColLivraison)=U$6,
  VLOOKUP($E15,INDIRECT("tri!"&amp; CHAR(64+ C0Col) &amp;":"&amp; CHAR(65+C0Col)),2,FALSE)&gt;COUNTIF($E15:T15,"u")+COUNTIF($E15:T15,"t")+COUNTIF($E15:T15,"¶")+COUNTIF($E15:T15,"²")+COUNTIF($E15:T15,"µ")+COUNTIF($E15:T15,1)),
HYPERLINK("#Roadmap!C"&amp; MATCH($E15,Roadmap!$D:$D,0)+COUNTIF($E15:T15,"u")+COUNTIF($E15:T15,"t"),
     INDEX(Roadmap!$D:$K,MATCH($E15,Roadmap!$D:$D,0)+COUNTIF($E15:T15,"u")+COUNTIF($E15:T15,"t")+COUNTIF($E15:T15,"¶")+COUNTIF($E15:T15,"²")+COUNTIF($E15:T15,"µ")+COUNTIF($E15:T15,1),ColTypeEcheance)),
  IF(LEN(T15)=1,
  IF(LEN(INDEX(Roadmap!$D:$K,MATCH($E15,Roadmap!$D:$D,0)-1+COUNTIF($E15:T15,"u")+COUNTIF($E15:T15,"t")+COUNTIF($E15:T15,"¶")+COUNTIF($E15:T15,"²")+COUNTIF($E15:T15,"µ")+COUNTIF($E15:T15,1),ColDescriptionCourte))&gt;1,
HYPERLINK("#Roadmap!C"&amp; MATCH($E15,Roadmap!$D:$D,0)+COUNTIF($E15:T15,"u")+COUNTIF($E15:T15,"t")+COUNTIF($E15:T15,"¶")+COUNTIF($E15:T15,"²")+COUNTIF($E15:T15,"µ")+COUNTIF($E15:T15,1)-1,INDEX(Roadmap!$D:$K,MATCH($E15,Roadmap!$D:$D,0)-1+COUNTIF($E15:T15,"u")+COUNTIF($E15:T15,"t")+COUNTIF($E15:T15,"¶")+COUNTIF($E15:T15,"²")+COUNTIF($E15:T15,"µ")+COUNTIF($E15:T15,1),ColDescriptionCourte)),""),
  "")),"")</f>
        <v/>
      </c>
      <c r="V15" s="40" t="str">
        <f ca="1">IFERROR(IF(AND(
  INDEX(Roadmap!$D:$K,MATCH($E15,Roadmap!$D:$D,0)+COUNTIF($E15:U15,"u")+COUNTIF($E15:U15,"t")+COUNTIF($E15:U15,"¶")+COUNTIF($E15:U15,"²")+COUNTIF($E15:U15,"µ")+COUNTIF($E15:U15,1),ColLivraison)=V$6,
  VLOOKUP($E15,INDIRECT("tri!"&amp; CHAR(64+ C0Col) &amp;":"&amp; CHAR(65+C0Col)),2,FALSE)&gt;COUNTIF($E15:U15,"u")+COUNTIF($E15:U15,"t")+COUNTIF($E15:U15,"¶")+COUNTIF($E15:U15,"²")+COUNTIF($E15:U15,"µ")+COUNTIF($E15:U15,1)),
HYPERLINK("#Roadmap!C"&amp; MATCH($E15,Roadmap!$D:$D,0)+COUNTIF($E15:U15,"u")+COUNTIF($E15:U15,"t"),
     INDEX(Roadmap!$D:$K,MATCH($E15,Roadmap!$D:$D,0)+COUNTIF($E15:U15,"u")+COUNTIF($E15:U15,"t")+COUNTIF($E15:U15,"¶")+COUNTIF($E15:U15,"²")+COUNTIF($E15:U15,"µ")+COUNTIF($E15:U15,1),ColTypeEcheance)),
  IF(LEN(U15)=1,
  IF(LEN(INDEX(Roadmap!$D:$K,MATCH($E15,Roadmap!$D:$D,0)-1+COUNTIF($E15:U15,"u")+COUNTIF($E15:U15,"t")+COUNTIF($E15:U15,"¶")+COUNTIF($E15:U15,"²")+COUNTIF($E15:U15,"µ")+COUNTIF($E15:U15,1),ColDescriptionCourte))&gt;1,
HYPERLINK("#Roadmap!C"&amp; MATCH($E15,Roadmap!$D:$D,0)+COUNTIF($E15:U15,"u")+COUNTIF($E15:U15,"t")+COUNTIF($E15:U15,"¶")+COUNTIF($E15:U15,"²")+COUNTIF($E15:U15,"µ")+COUNTIF($E15:U15,1)-1,INDEX(Roadmap!$D:$K,MATCH($E15,Roadmap!$D:$D,0)-1+COUNTIF($E15:U15,"u")+COUNTIF($E15:U15,"t")+COUNTIF($E15:U15,"¶")+COUNTIF($E15:U15,"²")+COUNTIF($E15:U15,"µ")+COUNTIF($E15:U15,1),ColDescriptionCourte)),""),
  "")),"")</f>
        <v/>
      </c>
      <c r="W15" s="40" t="str">
        <f ca="1">IFERROR(IF(AND(
  INDEX(Roadmap!$D:$K,MATCH($E15,Roadmap!$D:$D,0)+COUNTIF($E15:V15,"u")+COUNTIF($E15:V15,"t")+COUNTIF($E15:V15,"¶")+COUNTIF($E15:V15,"²")+COUNTIF($E15:V15,"µ")+COUNTIF($E15:V15,1),ColLivraison)=W$6,
  VLOOKUP($E15,INDIRECT("tri!"&amp; CHAR(64+ C0Col) &amp;":"&amp; CHAR(65+C0Col)),2,FALSE)&gt;COUNTIF($E15:V15,"u")+COUNTIF($E15:V15,"t")+COUNTIF($E15:V15,"¶")+COUNTIF($E15:V15,"²")+COUNTIF($E15:V15,"µ")+COUNTIF($E15:V15,1)),
HYPERLINK("#Roadmap!C"&amp; MATCH($E15,Roadmap!$D:$D,0)+COUNTIF($E15:V15,"u")+COUNTIF($E15:V15,"t"),
     INDEX(Roadmap!$D:$K,MATCH($E15,Roadmap!$D:$D,0)+COUNTIF($E15:V15,"u")+COUNTIF($E15:V15,"t")+COUNTIF($E15:V15,"¶")+COUNTIF($E15:V15,"²")+COUNTIF($E15:V15,"µ")+COUNTIF($E15:V15,1),ColTypeEcheance)),
  IF(LEN(V15)=1,
  IF(LEN(INDEX(Roadmap!$D:$K,MATCH($E15,Roadmap!$D:$D,0)-1+COUNTIF($E15:V15,"u")+COUNTIF($E15:V15,"t")+COUNTIF($E15:V15,"¶")+COUNTIF($E15:V15,"²")+COUNTIF($E15:V15,"µ")+COUNTIF($E15:V15,1),ColDescriptionCourte))&gt;1,
HYPERLINK("#Roadmap!C"&amp; MATCH($E15,Roadmap!$D:$D,0)+COUNTIF($E15:V15,"u")+COUNTIF($E15:V15,"t")+COUNTIF($E15:V15,"¶")+COUNTIF($E15:V15,"²")+COUNTIF($E15:V15,"µ")+COUNTIF($E15:V15,1)-1,INDEX(Roadmap!$D:$K,MATCH($E15,Roadmap!$D:$D,0)-1+COUNTIF($E15:V15,"u")+COUNTIF($E15:V15,"t")+COUNTIF($E15:V15,"¶")+COUNTIF($E15:V15,"²")+COUNTIF($E15:V15,"µ")+COUNTIF($E15:V15,1),ColDescriptionCourte)),""),
  "")),"")</f>
        <v/>
      </c>
      <c r="X15" s="40" t="str">
        <f ca="1">IFERROR(IF(AND(
  INDEX(Roadmap!$D:$K,MATCH($E15,Roadmap!$D:$D,0)+COUNTIF($E15:W15,"u")+COUNTIF($E15:W15,"t")+COUNTIF($E15:W15,"¶")+COUNTIF($E15:W15,"²")+COUNTIF($E15:W15,"µ")+COUNTIF($E15:W15,1),ColLivraison)=X$6,
  VLOOKUP($E15,INDIRECT("tri!"&amp; CHAR(64+ C0Col) &amp;":"&amp; CHAR(65+C0Col)),2,FALSE)&gt;COUNTIF($E15:W15,"u")+COUNTIF($E15:W15,"t")+COUNTIF($E15:W15,"¶")+COUNTIF($E15:W15,"²")+COUNTIF($E15:W15,"µ")+COUNTIF($E15:W15,1)),
HYPERLINK("#Roadmap!C"&amp; MATCH($E15,Roadmap!$D:$D,0)+COUNTIF($E15:W15,"u")+COUNTIF($E15:W15,"t"),
     INDEX(Roadmap!$D:$K,MATCH($E15,Roadmap!$D:$D,0)+COUNTIF($E15:W15,"u")+COUNTIF($E15:W15,"t")+COUNTIF($E15:W15,"¶")+COUNTIF($E15:W15,"²")+COUNTIF($E15:W15,"µ")+COUNTIF($E15:W15,1),ColTypeEcheance)),
  IF(LEN(W15)=1,
  IF(LEN(INDEX(Roadmap!$D:$K,MATCH($E15,Roadmap!$D:$D,0)-1+COUNTIF($E15:W15,"u")+COUNTIF($E15:W15,"t")+COUNTIF($E15:W15,"¶")+COUNTIF($E15:W15,"²")+COUNTIF($E15:W15,"µ")+COUNTIF($E15:W15,1),ColDescriptionCourte))&gt;1,
HYPERLINK("#Roadmap!C"&amp; MATCH($E15,Roadmap!$D:$D,0)+COUNTIF($E15:W15,"u")+COUNTIF($E15:W15,"t")+COUNTIF($E15:W15,"¶")+COUNTIF($E15:W15,"²")+COUNTIF($E15:W15,"µ")+COUNTIF($E15:W15,1)-1,INDEX(Roadmap!$D:$K,MATCH($E15,Roadmap!$D:$D,0)-1+COUNTIF($E15:W15,"u")+COUNTIF($E15:W15,"t")+COUNTIF($E15:W15,"¶")+COUNTIF($E15:W15,"²")+COUNTIF($E15:W15,"µ")+COUNTIF($E15:W15,1),ColDescriptionCourte)),""),
  "")),"")</f>
        <v/>
      </c>
      <c r="Y15" s="40" t="str">
        <f ca="1">IFERROR(IF(AND(
  INDEX(Roadmap!$D:$K,MATCH($E15,Roadmap!$D:$D,0)+COUNTIF($E15:X15,"u")+COUNTIF($E15:X15,"t")+COUNTIF($E15:X15,"¶")+COUNTIF($E15:X15,"²")+COUNTIF($E15:X15,"µ")+COUNTIF($E15:X15,1),ColLivraison)=Y$6,
  VLOOKUP($E15,INDIRECT("tri!"&amp; CHAR(64+ C0Col) &amp;":"&amp; CHAR(65+C0Col)),2,FALSE)&gt;COUNTIF($E15:X15,"u")+COUNTIF($E15:X15,"t")+COUNTIF($E15:X15,"¶")+COUNTIF($E15:X15,"²")+COUNTIF($E15:X15,"µ")+COUNTIF($E15:X15,1)),
HYPERLINK("#Roadmap!C"&amp; MATCH($E15,Roadmap!$D:$D,0)+COUNTIF($E15:X15,"u")+COUNTIF($E15:X15,"t"),
     INDEX(Roadmap!$D:$K,MATCH($E15,Roadmap!$D:$D,0)+COUNTIF($E15:X15,"u")+COUNTIF($E15:X15,"t")+COUNTIF($E15:X15,"¶")+COUNTIF($E15:X15,"²")+COUNTIF($E15:X15,"µ")+COUNTIF($E15:X15,1),ColTypeEcheance)),
  IF(LEN(X15)=1,
  IF(LEN(INDEX(Roadmap!$D:$K,MATCH($E15,Roadmap!$D:$D,0)-1+COUNTIF($E15:X15,"u")+COUNTIF($E15:X15,"t")+COUNTIF($E15:X15,"¶")+COUNTIF($E15:X15,"²")+COUNTIF($E15:X15,"µ")+COUNTIF($E15:X15,1),ColDescriptionCourte))&gt;1,
HYPERLINK("#Roadmap!C"&amp; MATCH($E15,Roadmap!$D:$D,0)+COUNTIF($E15:X15,"u")+COUNTIF($E15:X15,"t")+COUNTIF($E15:X15,"¶")+COUNTIF($E15:X15,"²")+COUNTIF($E15:X15,"µ")+COUNTIF($E15:X15,1)-1,INDEX(Roadmap!$D:$K,MATCH($E15,Roadmap!$D:$D,0)-1+COUNTIF($E15:X15,"u")+COUNTIF($E15:X15,"t")+COUNTIF($E15:X15,"¶")+COUNTIF($E15:X15,"²")+COUNTIF($E15:X15,"µ")+COUNTIF($E15:X15,1),ColDescriptionCourte)),""),
  "")),"")</f>
        <v/>
      </c>
      <c r="Z15" s="40" t="str">
        <f ca="1">IFERROR(IF(AND(
  INDEX(Roadmap!$D:$K,MATCH($E15,Roadmap!$D:$D,0)+COUNTIF($E15:Y15,"u")+COUNTIF($E15:Y15,"t")+COUNTIF($E15:Y15,"¶")+COUNTIF($E15:Y15,"²")+COUNTIF($E15:Y15,"µ")+COUNTIF($E15:Y15,1),ColLivraison)=Z$6,
  VLOOKUP($E15,INDIRECT("tri!"&amp; CHAR(64+ C0Col) &amp;":"&amp; CHAR(65+C0Col)),2,FALSE)&gt;COUNTIF($E15:Y15,"u")+COUNTIF($E15:Y15,"t")+COUNTIF($E15:Y15,"¶")+COUNTIF($E15:Y15,"²")+COUNTIF($E15:Y15,"µ")+COUNTIF($E15:Y15,1)),
HYPERLINK("#Roadmap!C"&amp; MATCH($E15,Roadmap!$D:$D,0)+COUNTIF($E15:Y15,"u")+COUNTIF($E15:Y15,"t"),
     INDEX(Roadmap!$D:$K,MATCH($E15,Roadmap!$D:$D,0)+COUNTIF($E15:Y15,"u")+COUNTIF($E15:Y15,"t")+COUNTIF($E15:Y15,"¶")+COUNTIF($E15:Y15,"²")+COUNTIF($E15:Y15,"µ")+COUNTIF($E15:Y15,1),ColTypeEcheance)),
  IF(LEN(Y15)=1,
  IF(LEN(INDEX(Roadmap!$D:$K,MATCH($E15,Roadmap!$D:$D,0)-1+COUNTIF($E15:Y15,"u")+COUNTIF($E15:Y15,"t")+COUNTIF($E15:Y15,"¶")+COUNTIF($E15:Y15,"²")+COUNTIF($E15:Y15,"µ")+COUNTIF($E15:Y15,1),ColDescriptionCourte))&gt;1,
HYPERLINK("#Roadmap!C"&amp; MATCH($E15,Roadmap!$D:$D,0)+COUNTIF($E15:Y15,"u")+COUNTIF($E15:Y15,"t")+COUNTIF($E15:Y15,"¶")+COUNTIF($E15:Y15,"²")+COUNTIF($E15:Y15,"µ")+COUNTIF($E15:Y15,1)-1,INDEX(Roadmap!$D:$K,MATCH($E15,Roadmap!$D:$D,0)-1+COUNTIF($E15:Y15,"u")+COUNTIF($E15:Y15,"t")+COUNTIF($E15:Y15,"¶")+COUNTIF($E15:Y15,"²")+COUNTIF($E15:Y15,"µ")+COUNTIF($E15:Y15,1),ColDescriptionCourte)),""),
  "")),"")</f>
        <v/>
      </c>
      <c r="AA15" s="40" t="str">
        <f ca="1">IFERROR(IF(AND(
  INDEX(Roadmap!$D:$K,MATCH($E15,Roadmap!$D:$D,0)+COUNTIF($E15:Z15,"u")+COUNTIF($E15:Z15,"t")+COUNTIF($E15:Z15,"¶")+COUNTIF($E15:Z15,"²")+COUNTIF($E15:Z15,"µ")+COUNTIF($E15:Z15,1),ColLivraison)=AA$6,
  VLOOKUP($E15,INDIRECT("tri!"&amp; CHAR(64+ C0Col) &amp;":"&amp; CHAR(65+C0Col)),2,FALSE)&gt;COUNTIF($E15:Z15,"u")+COUNTIF($E15:Z15,"t")+COUNTIF($E15:Z15,"¶")+COUNTIF($E15:Z15,"²")+COUNTIF($E15:Z15,"µ")+COUNTIF($E15:Z15,1)),
HYPERLINK("#Roadmap!C"&amp; MATCH($E15,Roadmap!$D:$D,0)+COUNTIF($E15:Z15,"u")+COUNTIF($E15:Z15,"t"),
     INDEX(Roadmap!$D:$K,MATCH($E15,Roadmap!$D:$D,0)+COUNTIF($E15:Z15,"u")+COUNTIF($E15:Z15,"t")+COUNTIF($E15:Z15,"¶")+COUNTIF($E15:Z15,"²")+COUNTIF($E15:Z15,"µ")+COUNTIF($E15:Z15,1),ColTypeEcheance)),
  IF(LEN(Z15)=1,
  IF(LEN(INDEX(Roadmap!$D:$K,MATCH($E15,Roadmap!$D:$D,0)-1+COUNTIF($E15:Z15,"u")+COUNTIF($E15:Z15,"t")+COUNTIF($E15:Z15,"¶")+COUNTIF($E15:Z15,"²")+COUNTIF($E15:Z15,"µ")+COUNTIF($E15:Z15,1),ColDescriptionCourte))&gt;1,
HYPERLINK("#Roadmap!C"&amp; MATCH($E15,Roadmap!$D:$D,0)+COUNTIF($E15:Z15,"u")+COUNTIF($E15:Z15,"t")+COUNTIF($E15:Z15,"¶")+COUNTIF($E15:Z15,"²")+COUNTIF($E15:Z15,"µ")+COUNTIF($E15:Z15,1)-1,INDEX(Roadmap!$D:$K,MATCH($E15,Roadmap!$D:$D,0)-1+COUNTIF($E15:Z15,"u")+COUNTIF($E15:Z15,"t")+COUNTIF($E15:Z15,"¶")+COUNTIF($E15:Z15,"²")+COUNTIF($E15:Z15,"µ")+COUNTIF($E15:Z15,1),ColDescriptionCourte)),""),
  "")),"")</f>
        <v/>
      </c>
      <c r="AB15" s="40" t="str">
        <f ca="1">IFERROR(IF(AND(
  INDEX(Roadmap!$D:$K,MATCH($E15,Roadmap!$D:$D,0)+COUNTIF($E15:AA15,"u")+COUNTIF($E15:AA15,"t")+COUNTIF($E15:AA15,"¶")+COUNTIF($E15:AA15,"²")+COUNTIF($E15:AA15,"µ")+COUNTIF($E15:AA15,1),ColLivraison)=AB$6,
  VLOOKUP($E15,INDIRECT("tri!"&amp; CHAR(64+ C0Col) &amp;":"&amp; CHAR(65+C0Col)),2,FALSE)&gt;COUNTIF($E15:AA15,"u")+COUNTIF($E15:AA15,"t")+COUNTIF($E15:AA15,"¶")+COUNTIF($E15:AA15,"²")+COUNTIF($E15:AA15,"µ")+COUNTIF($E15:AA15,1)),
HYPERLINK("#Roadmap!C"&amp; MATCH($E15,Roadmap!$D:$D,0)+COUNTIF($E15:AA15,"u")+COUNTIF($E15:AA15,"t"),
     INDEX(Roadmap!$D:$K,MATCH($E15,Roadmap!$D:$D,0)+COUNTIF($E15:AA15,"u")+COUNTIF($E15:AA15,"t")+COUNTIF($E15:AA15,"¶")+COUNTIF($E15:AA15,"²")+COUNTIF($E15:AA15,"µ")+COUNTIF($E15:AA15,1),ColTypeEcheance)),
  IF(LEN(AA15)=1,
  IF(LEN(INDEX(Roadmap!$D:$K,MATCH($E15,Roadmap!$D:$D,0)-1+COUNTIF($E15:AA15,"u")+COUNTIF($E15:AA15,"t")+COUNTIF($E15:AA15,"¶")+COUNTIF($E15:AA15,"²")+COUNTIF($E15:AA15,"µ")+COUNTIF($E15:AA15,1),ColDescriptionCourte))&gt;1,
HYPERLINK("#Roadmap!C"&amp; MATCH($E15,Roadmap!$D:$D,0)+COUNTIF($E15:AA15,"u")+COUNTIF($E15:AA15,"t")+COUNTIF($E15:AA15,"¶")+COUNTIF($E15:AA15,"²")+COUNTIF($E15:AA15,"µ")+COUNTIF($E15:AA15,1)-1,INDEX(Roadmap!$D:$K,MATCH($E15,Roadmap!$D:$D,0)-1+COUNTIF($E15:AA15,"u")+COUNTIF($E15:AA15,"t")+COUNTIF($E15:AA15,"¶")+COUNTIF($E15:AA15,"²")+COUNTIF($E15:AA15,"µ")+COUNTIF($E15:AA15,1),ColDescriptionCourte)),""),
  "")),"")</f>
        <v/>
      </c>
      <c r="AC15" s="40" t="str">
        <f ca="1">IFERROR(IF(AND(
  INDEX(Roadmap!$D:$K,MATCH($E15,Roadmap!$D:$D,0)+COUNTIF($E15:AB15,"u")+COUNTIF($E15:AB15,"t")+COUNTIF($E15:AB15,"¶")+COUNTIF($E15:AB15,"²")+COUNTIF($E15:AB15,"µ")+COUNTIF($E15:AB15,1),ColLivraison)=AC$6,
  VLOOKUP($E15,INDIRECT("tri!"&amp; CHAR(64+ C0Col) &amp;":"&amp; CHAR(65+C0Col)),2,FALSE)&gt;COUNTIF($E15:AB15,"u")+COUNTIF($E15:AB15,"t")+COUNTIF($E15:AB15,"¶")+COUNTIF($E15:AB15,"²")+COUNTIF($E15:AB15,"µ")+COUNTIF($E15:AB15,1)),
HYPERLINK("#Roadmap!C"&amp; MATCH($E15,Roadmap!$D:$D,0)+COUNTIF($E15:AB15,"u")+COUNTIF($E15:AB15,"t"),
     INDEX(Roadmap!$D:$K,MATCH($E15,Roadmap!$D:$D,0)+COUNTIF($E15:AB15,"u")+COUNTIF($E15:AB15,"t")+COUNTIF($E15:AB15,"¶")+COUNTIF($E15:AB15,"²")+COUNTIF($E15:AB15,"µ")+COUNTIF($E15:AB15,1),ColTypeEcheance)),
  IF(LEN(AB15)=1,
  IF(LEN(INDEX(Roadmap!$D:$K,MATCH($E15,Roadmap!$D:$D,0)-1+COUNTIF($E15:AB15,"u")+COUNTIF($E15:AB15,"t")+COUNTIF($E15:AB15,"¶")+COUNTIF($E15:AB15,"²")+COUNTIF($E15:AB15,"µ")+COUNTIF($E15:AB15,1),ColDescriptionCourte))&gt;1,
HYPERLINK("#Roadmap!C"&amp; MATCH($E15,Roadmap!$D:$D,0)+COUNTIF($E15:AB15,"u")+COUNTIF($E15:AB15,"t")+COUNTIF($E15:AB15,"¶")+COUNTIF($E15:AB15,"²")+COUNTIF($E15:AB15,"µ")+COUNTIF($E15:AB15,1)-1,INDEX(Roadmap!$D:$K,MATCH($E15,Roadmap!$D:$D,0)-1+COUNTIF($E15:AB15,"u")+COUNTIF($E15:AB15,"t")+COUNTIF($E15:AB15,"¶")+COUNTIF($E15:AB15,"²")+COUNTIF($E15:AB15,"µ")+COUNTIF($E15:AB15,1),ColDescriptionCourte)),""),
  "")),"")</f>
        <v/>
      </c>
      <c r="AD15" s="17" t="str">
        <f ca="1">IFERROR(IF(AND(
  INDEX(Roadmap!$D:$K,MATCH($E15,Roadmap!$D:$D,0)+COUNTIF($E15:AC15,"u")+COUNTIF($E15:AC15,"t")+COUNTIF($E15:AC15,"¶")+COUNTIF($E15:AC15,"²")+COUNTIF($E15:AC15,"µ")+COUNTIF($E15:AC15,1),ColLivraison)=AD$6,
  VLOOKUP($E15,INDIRECT("tri!"&amp; CHAR(64+ C0Col) &amp;":"&amp; CHAR(65+C0Col)),2,FALSE)&gt;COUNTIF($E15:AC15,"u")+COUNTIF($E15:AC15,"t")+COUNTIF($E15:AC15,"¶")+COUNTIF($E15:AC15,"²")+COUNTIF($E15:AC15,"µ")+COUNTIF($E15:AC15,1)),
HYPERLINK("#Roadmap!C"&amp; MATCH($E15,Roadmap!$D:$D,0)+COUNTIF($E15:AC15,"u")+COUNTIF($E15:AC15,"t"),
     INDEX(Roadmap!$D:$K,MATCH($E15,Roadmap!$D:$D,0)+COUNTIF($E15:AC15,"u")+COUNTIF($E15:AC15,"t")+COUNTIF($E15:AC15,"¶")+COUNTIF($E15:AC15,"²")+COUNTIF($E15:AC15,"µ")+COUNTIF($E15:AC15,1),ColTypeEcheance)),
  IF(LEN(AC15)=1,
  IF(LEN(INDEX(Roadmap!$D:$K,MATCH($E15,Roadmap!$D:$D,0)-1+COUNTIF($E15:AC15,"u")+COUNTIF($E15:AC15,"t")+COUNTIF($E15:AC15,"¶")+COUNTIF($E15:AC15,"²")+COUNTIF($E15:AC15,"µ")+COUNTIF($E15:AC15,1),ColDescriptionCourte))&gt;1,
HYPERLINK("#Roadmap!C"&amp; MATCH($E15,Roadmap!$D:$D,0)+COUNTIF($E15:AC15,"u")+COUNTIF($E15:AC15,"t")+COUNTIF($E15:AC15,"¶")+COUNTIF($E15:AC15,"²")+COUNTIF($E15:AC15,"µ")+COUNTIF($E15:AC15,1)-1,INDEX(Roadmap!$D:$K,MATCH($E15,Roadmap!$D:$D,0)-1+COUNTIF($E15:AC15,"u")+COUNTIF($E15:AC15,"t")+COUNTIF($E15:AC15,"¶")+COUNTIF($E15:AC15,"²")+COUNTIF($E15:AC15,"µ")+COUNTIF($E15:AC15,1),ColDescriptionCourte)),""),
  "")),"")</f>
        <v>t</v>
      </c>
      <c r="AE15" s="40" t="str">
        <f ca="1">IFERROR(IF(AND(
  INDEX(Roadmap!$D:$K,MATCH($E15,Roadmap!$D:$D,0)+COUNTIF($E15:AD15,"u")+COUNTIF($E15:AD15,"t")+COUNTIF($E15:AD15,"¶")+COUNTIF($E15:AD15,"²")+COUNTIF($E15:AD15,"µ")+COUNTIF($E15:AD15,1),ColLivraison)=AE$6,
  VLOOKUP($E15,INDIRECT("tri!"&amp; CHAR(64+ C0Col) &amp;":"&amp; CHAR(65+C0Col)),2,FALSE)&gt;COUNTIF($E15:AD15,"u")+COUNTIF($E15:AD15,"t")+COUNTIF($E15:AD15,"¶")+COUNTIF($E15:AD15,"²")+COUNTIF($E15:AD15,"µ")+COUNTIF($E15:AD15,1)),
HYPERLINK("#Roadmap!C"&amp; MATCH($E15,Roadmap!$D:$D,0)+COUNTIF($E15:AD15,"u")+COUNTIF($E15:AD15,"t"),
     INDEX(Roadmap!$D:$K,MATCH($E15,Roadmap!$D:$D,0)+COUNTIF($E15:AD15,"u")+COUNTIF($E15:AD15,"t")+COUNTIF($E15:AD15,"¶")+COUNTIF($E15:AD15,"²")+COUNTIF($E15:AD15,"µ")+COUNTIF($E15:AD15,1),ColTypeEcheance)),
  IF(LEN(AD15)=1,
  IF(LEN(INDEX(Roadmap!$D:$K,MATCH($E15,Roadmap!$D:$D,0)-1+COUNTIF($E15:AD15,"u")+COUNTIF($E15:AD15,"t")+COUNTIF($E15:AD15,"¶")+COUNTIF($E15:AD15,"²")+COUNTIF($E15:AD15,"µ")+COUNTIF($E15:AD15,1),ColDescriptionCourte))&gt;1,
HYPERLINK("#Roadmap!C"&amp; MATCH($E15,Roadmap!$D:$D,0)+COUNTIF($E15:AD15,"u")+COUNTIF($E15:AD15,"t")+COUNTIF($E15:AD15,"¶")+COUNTIF($E15:AD15,"²")+COUNTIF($E15:AD15,"µ")+COUNTIF($E15:AD15,1)-1,INDEX(Roadmap!$D:$K,MATCH($E15,Roadmap!$D:$D,0)-1+COUNTIF($E15:AD15,"u")+COUNTIF($E15:AD15,"t")+COUNTIF($E15:AD15,"¶")+COUNTIF($E15:AD15,"²")+COUNTIF($E15:AD15,"µ")+COUNTIF($E15:AD15,1),ColDescriptionCourte)),""),
  "")),"")</f>
        <v/>
      </c>
      <c r="AF15" s="40" t="str">
        <f ca="1">IFERROR(IF(AND(
  INDEX(Roadmap!$D:$K,MATCH($E15,Roadmap!$D:$D,0)+COUNTIF($E15:AE15,"u")+COUNTIF($E15:AE15,"t")+COUNTIF($E15:AE15,"¶")+COUNTIF($E15:AE15,"²")+COUNTIF($E15:AE15,"µ")+COUNTIF($E15:AE15,1),ColLivraison)=AF$6,
  VLOOKUP($E15,INDIRECT("tri!"&amp; CHAR(64+ C0Col) &amp;":"&amp; CHAR(65+C0Col)),2,FALSE)&gt;COUNTIF($E15:AE15,"u")+COUNTIF($E15:AE15,"t")+COUNTIF($E15:AE15,"¶")+COUNTIF($E15:AE15,"²")+COUNTIF($E15:AE15,"µ")+COUNTIF($E15:AE15,1)),
HYPERLINK("#Roadmap!C"&amp; MATCH($E15,Roadmap!$D:$D,0)+COUNTIF($E15:AE15,"u")+COUNTIF($E15:AE15,"t"),
     INDEX(Roadmap!$D:$K,MATCH($E15,Roadmap!$D:$D,0)+COUNTIF($E15:AE15,"u")+COUNTIF($E15:AE15,"t")+COUNTIF($E15:AE15,"¶")+COUNTIF($E15:AE15,"²")+COUNTIF($E15:AE15,"µ")+COUNTIF($E15:AE15,1),ColTypeEcheance)),
  IF(LEN(AE15)=1,
  IF(LEN(INDEX(Roadmap!$D:$K,MATCH($E15,Roadmap!$D:$D,0)-1+COUNTIF($E15:AE15,"u")+COUNTIF($E15:AE15,"t")+COUNTIF($E15:AE15,"¶")+COUNTIF($E15:AE15,"²")+COUNTIF($E15:AE15,"µ")+COUNTIF($E15:AE15,1),ColDescriptionCourte))&gt;1,
HYPERLINK("#Roadmap!C"&amp; MATCH($E15,Roadmap!$D:$D,0)+COUNTIF($E15:AE15,"u")+COUNTIF($E15:AE15,"t")+COUNTIF($E15:AE15,"¶")+COUNTIF($E15:AE15,"²")+COUNTIF($E15:AE15,"µ")+COUNTIF($E15:AE15,1)-1,INDEX(Roadmap!$D:$K,MATCH($E15,Roadmap!$D:$D,0)-1+COUNTIF($E15:AE15,"u")+COUNTIF($E15:AE15,"t")+COUNTIF($E15:AE15,"¶")+COUNTIF($E15:AE15,"²")+COUNTIF($E15:AE15,"µ")+COUNTIF($E15:AE15,1),ColDescriptionCourte)),""),
  "")),"")</f>
        <v/>
      </c>
      <c r="AG15" s="40" t="str">
        <f ca="1">IFERROR(IF(AND(
  INDEX(Roadmap!$D:$K,MATCH($E15,Roadmap!$D:$D,0)+COUNTIF($E15:AF15,"u")+COUNTIF($E15:AF15,"t")+COUNTIF($E15:AF15,"¶")+COUNTIF($E15:AF15,"²")+COUNTIF($E15:AF15,"µ")+COUNTIF($E15:AF15,1),ColLivraison)=AG$6,
  VLOOKUP($E15,INDIRECT("tri!"&amp; CHAR(64+ C0Col) &amp;":"&amp; CHAR(65+C0Col)),2,FALSE)&gt;COUNTIF($E15:AF15,"u")+COUNTIF($E15:AF15,"t")+COUNTIF($E15:AF15,"¶")+COUNTIF($E15:AF15,"²")+COUNTIF($E15:AF15,"µ")+COUNTIF($E15:AF15,1)),
HYPERLINK("#Roadmap!C"&amp; MATCH($E15,Roadmap!$D:$D,0)+COUNTIF($E15:AF15,"u")+COUNTIF($E15:AF15,"t"),
     INDEX(Roadmap!$D:$K,MATCH($E15,Roadmap!$D:$D,0)+COUNTIF($E15:AF15,"u")+COUNTIF($E15:AF15,"t")+COUNTIF($E15:AF15,"¶")+COUNTIF($E15:AF15,"²")+COUNTIF($E15:AF15,"µ")+COUNTIF($E15:AF15,1),ColTypeEcheance)),
  IF(LEN(AF15)=1,
  IF(LEN(INDEX(Roadmap!$D:$K,MATCH($E15,Roadmap!$D:$D,0)-1+COUNTIF($E15:AF15,"u")+COUNTIF($E15:AF15,"t")+COUNTIF($E15:AF15,"¶")+COUNTIF($E15:AF15,"²")+COUNTIF($E15:AF15,"µ")+COUNTIF($E15:AF15,1),ColDescriptionCourte))&gt;1,
HYPERLINK("#Roadmap!C"&amp; MATCH($E15,Roadmap!$D:$D,0)+COUNTIF($E15:AF15,"u")+COUNTIF($E15:AF15,"t")+COUNTIF($E15:AF15,"¶")+COUNTIF($E15:AF15,"²")+COUNTIF($E15:AF15,"µ")+COUNTIF($E15:AF15,1)-1,INDEX(Roadmap!$D:$K,MATCH($E15,Roadmap!$D:$D,0)-1+COUNTIF($E15:AF15,"u")+COUNTIF($E15:AF15,"t")+COUNTIF($E15:AF15,"¶")+COUNTIF($E15:AF15,"²")+COUNTIF($E15:AF15,"µ")+COUNTIF($E15:AF15,1),ColDescriptionCourte)),""),
  "")),"")</f>
        <v/>
      </c>
    </row>
    <row r="16" spans="3:35" ht="14.25" customHeight="1">
      <c r="C16" s="1" t="str">
        <f t="shared" ca="1" si="42"/>
        <v/>
      </c>
      <c r="D16" s="1" t="str">
        <f t="shared" ca="1" si="43"/>
        <v/>
      </c>
      <c r="E16" s="35" t="str">
        <f t="shared" ca="1" si="33"/>
        <v>Projet BY</v>
      </c>
      <c r="F16" s="39" t="str">
        <f ca="1">IFERROR(IF(AND(
  INDEX(Roadmap!$D:$K,MATCH($E16,Roadmap!$D:$D,0)+COUNTIF($E16:E16,"u")+COUNTIF($E16:E16,"t")+COUNTIF($E16:E16,"¶")+COUNTIF($E16:E16,"²")+COUNTIF($E16:E16,"µ")+COUNTIF($E16:E16,1),ColLivraison)=F$6,
  VLOOKUP($E16,INDIRECT("tri!"&amp; CHAR(64+ C0Col) &amp;":"&amp; CHAR(65+C0Col)),2,FALSE)&gt;COUNTIF($E16:E16,"u")+COUNTIF($E16:E16,"t")+COUNTIF($E16:E16,"¶")+COUNTIF($E16:E16,"²")+COUNTIF($E16:E16,"µ")+COUNTIF($E16:E16,1)),
HYPERLINK("#Roadmap!C"&amp; MATCH($E16,Roadmap!$D:$D,0)+COUNTIF($E16:E16,"u")+COUNTIF($E16:E16,"t"),
     INDEX(Roadmap!$D:$K,MATCH($E16,Roadmap!$D:$D,0)+COUNTIF($E16:E16,"u")+COUNTIF($E16:E16,"t")+COUNTIF($E16:E16,"¶")+COUNTIF($E16:E16,"²")+COUNTIF($E16:E16,"µ")+COUNTIF($E16:E16,1),ColTypeEcheance)),
  IF(LEN(E16)=1,
  IF(LEN(INDEX(Roadmap!$D:$K,MATCH($E16,Roadmap!$D:$D,0)-1+COUNTIF($E16:E16,"u")+COUNTIF($E16:E16,"t")+COUNTIF($E16:E16,"¶")+COUNTIF($E16:E16,"²")+COUNTIF($E16:E16,"µ")+COUNTIF($E16:E16,1),ColDescriptionCourte))&gt;1,
HYPERLINK("#Roadmap!C"&amp; MATCH($E16,Roadmap!$D:$D,0)+COUNTIF($E16:E16,"u")+COUNTIF($E16:E16,"t")+COUNTIF($E16:E16,"¶")+COUNTIF($E16:E16,"²")+COUNTIF($E16:E16,"µ")+COUNTIF($E16:E16,1)-1,INDEX(Roadmap!$D:$K,MATCH($E16,Roadmap!$D:$D,0)-1+COUNTIF($E16:E16,"u")+COUNTIF($E16:E16,"t")+COUNTIF($E16:E16,"¶")+COUNTIF($E16:E16,"²")+COUNTIF($E16:E16,"µ")+COUNTIF($E16:E16,1),ColDescriptionCourte)),""),
  "")),"")</f>
        <v/>
      </c>
      <c r="G16" s="40" t="str">
        <f ca="1">IFERROR(IF(AND(
  INDEX(Roadmap!$D:$K,MATCH($E16,Roadmap!$D:$D,0)+COUNTIF($E16:F16,"u")+COUNTIF($E16:F16,"t")+COUNTIF($E16:F16,"¶")+COUNTIF($E16:F16,"²")+COUNTIF($E16:F16,"µ")+COUNTIF($E16:F16,1),ColLivraison)=G$6,
  VLOOKUP($E16,INDIRECT("tri!"&amp; CHAR(64+ C0Col) &amp;":"&amp; CHAR(65+C0Col)),2,FALSE)&gt;COUNTIF($E16:F16,"u")+COUNTIF($E16:F16,"t")+COUNTIF($E16:F16,"¶")+COUNTIF($E16:F16,"²")+COUNTIF($E16:F16,"µ")+COUNTIF($E16:F16,1)),
HYPERLINK("#Roadmap!C"&amp; MATCH($E16,Roadmap!$D:$D,0)+COUNTIF($E16:F16,"u")+COUNTIF($E16:F16,"t"),
     INDEX(Roadmap!$D:$K,MATCH($E16,Roadmap!$D:$D,0)+COUNTIF($E16:F16,"u")+COUNTIF($E16:F16,"t")+COUNTIF($E16:F16,"¶")+COUNTIF($E16:F16,"²")+COUNTIF($E16:F16,"µ")+COUNTIF($E16:F16,1),ColTypeEcheance)),
  IF(LEN(F16)=1,
  IF(LEN(INDEX(Roadmap!$D:$K,MATCH($E16,Roadmap!$D:$D,0)-1+COUNTIF($E16:F16,"u")+COUNTIF($E16:F16,"t")+COUNTIF($E16:F16,"¶")+COUNTIF($E16:F16,"²")+COUNTIF($E16:F16,"µ")+COUNTIF($E16:F16,1),ColDescriptionCourte))&gt;1,
HYPERLINK("#Roadmap!C"&amp; MATCH($E16,Roadmap!$D:$D,0)+COUNTIF($E16:F16,"u")+COUNTIF($E16:F16,"t")+COUNTIF($E16:F16,"¶")+COUNTIF($E16:F16,"²")+COUNTIF($E16:F16,"µ")+COUNTIF($E16:F16,1)-1,INDEX(Roadmap!$D:$K,MATCH($E16,Roadmap!$D:$D,0)-1+COUNTIF($E16:F16,"u")+COUNTIF($E16:F16,"t")+COUNTIF($E16:F16,"¶")+COUNTIF($E16:F16,"²")+COUNTIF($E16:F16,"µ")+COUNTIF($E16:F16,1),ColDescriptionCourte)),""),
  "")),"")</f>
        <v/>
      </c>
      <c r="H16" s="17" t="str">
        <f ca="1">IFERROR(IF(AND(
  INDEX(Roadmap!$D:$K,MATCH($E16,Roadmap!$D:$D,0)+COUNTIF($E16:G16,"u")+COUNTIF($E16:G16,"t")+COUNTIF($E16:G16,"¶")+COUNTIF($E16:G16,"²")+COUNTIF($E16:G16,"µ")+COUNTIF($E16:G16,1),ColLivraison)=H$6,
  VLOOKUP($E16,INDIRECT("tri!"&amp; CHAR(64+ C0Col) &amp;":"&amp; CHAR(65+C0Col)),2,FALSE)&gt;COUNTIF($E16:G16,"u")+COUNTIF($E16:G16,"t")+COUNTIF($E16:G16,"¶")+COUNTIF($E16:G16,"²")+COUNTIF($E16:G16,"µ")+COUNTIF($E16:G16,1)),
HYPERLINK("#Roadmap!C"&amp; MATCH($E16,Roadmap!$D:$D,0)+COUNTIF($E16:G16,"u")+COUNTIF($E16:G16,"t"),
     INDEX(Roadmap!$D:$K,MATCH($E16,Roadmap!$D:$D,0)+COUNTIF($E16:G16,"u")+COUNTIF($E16:G16,"t")+COUNTIF($E16:G16,"¶")+COUNTIF($E16:G16,"²")+COUNTIF($E16:G16,"µ")+COUNTIF($E16:G16,1),ColTypeEcheance)),
  IF(LEN(G16)=1,
  IF(LEN(INDEX(Roadmap!$D:$K,MATCH($E16,Roadmap!$D:$D,0)-1+COUNTIF($E16:G16,"u")+COUNTIF($E16:G16,"t")+COUNTIF($E16:G16,"¶")+COUNTIF($E16:G16,"²")+COUNTIF($E16:G16,"µ")+COUNTIF($E16:G16,1),ColDescriptionCourte))&gt;1,
HYPERLINK("#Roadmap!C"&amp; MATCH($E16,Roadmap!$D:$D,0)+COUNTIF($E16:G16,"u")+COUNTIF($E16:G16,"t")+COUNTIF($E16:G16,"¶")+COUNTIF($E16:G16,"²")+COUNTIF($E16:G16,"µ")+COUNTIF($E16:G16,1)-1,INDEX(Roadmap!$D:$K,MATCH($E16,Roadmap!$D:$D,0)-1+COUNTIF($E16:G16,"u")+COUNTIF($E16:G16,"t")+COUNTIF($E16:G16,"¶")+COUNTIF($E16:G16,"²")+COUNTIF($E16:G16,"µ")+COUNTIF($E16:G16,1),ColDescriptionCourte)),""),
  "")),"")</f>
        <v>t</v>
      </c>
      <c r="I16" s="17" t="str">
        <f ca="1">IFERROR(IF(AND(
  INDEX(Roadmap!$D:$K,MATCH($E16,Roadmap!$D:$D,0)+COUNTIF($E16:H16,"u")+COUNTIF($E16:H16,"t")+COUNTIF($E16:H16,"¶")+COUNTIF($E16:H16,"²")+COUNTIF($E16:H16,"µ")+COUNTIF($E16:H16,1),ColLivraison)=I$6,
  VLOOKUP($E16,INDIRECT("tri!"&amp; CHAR(64+ C0Col) &amp;":"&amp; CHAR(65+C0Col)),2,FALSE)&gt;COUNTIF($E16:H16,"u")+COUNTIF($E16:H16,"t")+COUNTIF($E16:H16,"¶")+COUNTIF($E16:H16,"²")+COUNTIF($E16:H16,"µ")+COUNTIF($E16:H16,1)),
HYPERLINK("#Roadmap!C"&amp; MATCH($E16,Roadmap!$D:$D,0)+COUNTIF($E16:H16,"u")+COUNTIF($E16:H16,"t"),
     INDEX(Roadmap!$D:$K,MATCH($E16,Roadmap!$D:$D,0)+COUNTIF($E16:H16,"u")+COUNTIF($E16:H16,"t")+COUNTIF($E16:H16,"¶")+COUNTIF($E16:H16,"²")+COUNTIF($E16:H16,"µ")+COUNTIF($E16:H16,1),ColTypeEcheance)),
  IF(LEN(H16)=1,
  IF(LEN(INDEX(Roadmap!$D:$K,MATCH($E16,Roadmap!$D:$D,0)-1+COUNTIF($E16:H16,"u")+COUNTIF($E16:H16,"t")+COUNTIF($E16:H16,"¶")+COUNTIF($E16:H16,"²")+COUNTIF($E16:H16,"µ")+COUNTIF($E16:H16,1),ColDescriptionCourte))&gt;1,
HYPERLINK("#Roadmap!C"&amp; MATCH($E16,Roadmap!$D:$D,0)+COUNTIF($E16:H16,"u")+COUNTIF($E16:H16,"t")+COUNTIF($E16:H16,"¶")+COUNTIF($E16:H16,"²")+COUNTIF($E16:H16,"µ")+COUNTIF($E16:H16,1)-1,INDEX(Roadmap!$D:$K,MATCH($E16,Roadmap!$D:$D,0)-1+COUNTIF($E16:H16,"u")+COUNTIF($E16:H16,"t")+COUNTIF($E16:H16,"¶")+COUNTIF($E16:H16,"²")+COUNTIF($E16:H16,"µ")+COUNTIF($E16:H16,1),ColDescriptionCourte)),""),
  "")),"")</f>
        <v>t</v>
      </c>
      <c r="J16" s="17" t="str">
        <f ca="1">IFERROR(IF(AND(
  INDEX(Roadmap!$D:$K,MATCH($E16,Roadmap!$D:$D,0)+COUNTIF($E16:I16,"u")+COUNTIF($E16:I16,"t")+COUNTIF($E16:I16,"¶")+COUNTIF($E16:I16,"²")+COUNTIF($E16:I16,"µ")+COUNTIF($E16:I16,1),ColLivraison)=J$6,
  VLOOKUP($E16,INDIRECT("tri!"&amp; CHAR(64+ C0Col) &amp;":"&amp; CHAR(65+C0Col)),2,FALSE)&gt;COUNTIF($E16:I16,"u")+COUNTIF($E16:I16,"t")+COUNTIF($E16:I16,"¶")+COUNTIF($E16:I16,"²")+COUNTIF($E16:I16,"µ")+COUNTIF($E16:I16,1)),
HYPERLINK("#Roadmap!C"&amp; MATCH($E16,Roadmap!$D:$D,0)+COUNTIF($E16:I16,"u")+COUNTIF($E16:I16,"t"),
     INDEX(Roadmap!$D:$K,MATCH($E16,Roadmap!$D:$D,0)+COUNTIF($E16:I16,"u")+COUNTIF($E16:I16,"t")+COUNTIF($E16:I16,"¶")+COUNTIF($E16:I16,"²")+COUNTIF($E16:I16,"µ")+COUNTIF($E16:I16,1),ColTypeEcheance)),
  IF(LEN(I16)=1,
  IF(LEN(INDEX(Roadmap!$D:$K,MATCH($E16,Roadmap!$D:$D,0)-1+COUNTIF($E16:I16,"u")+COUNTIF($E16:I16,"t")+COUNTIF($E16:I16,"¶")+COUNTIF($E16:I16,"²")+COUNTIF($E16:I16,"µ")+COUNTIF($E16:I16,1),ColDescriptionCourte))&gt;1,
HYPERLINK("#Roadmap!C"&amp; MATCH($E16,Roadmap!$D:$D,0)+COUNTIF($E16:I16,"u")+COUNTIF($E16:I16,"t")+COUNTIF($E16:I16,"¶")+COUNTIF($E16:I16,"²")+COUNTIF($E16:I16,"µ")+COUNTIF($E16:I16,1)-1,INDEX(Roadmap!$D:$K,MATCH($E16,Roadmap!$D:$D,0)-1+COUNTIF($E16:I16,"u")+COUNTIF($E16:I16,"t")+COUNTIF($E16:I16,"¶")+COUNTIF($E16:I16,"²")+COUNTIF($E16:I16,"µ")+COUNTIF($E16:I16,1),ColDescriptionCourte)),""),
  "")),"")</f>
        <v>u</v>
      </c>
      <c r="K16" s="40" t="str">
        <f ca="1">IFERROR(IF(AND(
  INDEX(Roadmap!$D:$K,MATCH($E16,Roadmap!$D:$D,0)+COUNTIF($E16:J16,"u")+COUNTIF($E16:J16,"t")+COUNTIF($E16:J16,"¶")+COUNTIF($E16:J16,"²")+COUNTIF($E16:J16,"µ")+COUNTIF($E16:J16,1),ColLivraison)=K$6,
  VLOOKUP($E16,INDIRECT("tri!"&amp; CHAR(64+ C0Col) &amp;":"&amp; CHAR(65+C0Col)),2,FALSE)&gt;COUNTIF($E16:J16,"u")+COUNTIF($E16:J16,"t")+COUNTIF($E16:J16,"¶")+COUNTIF($E16:J16,"²")+COUNTIF($E16:J16,"µ")+COUNTIF($E16:J16,1)),
HYPERLINK("#Roadmap!C"&amp; MATCH($E16,Roadmap!$D:$D,0)+COUNTIF($E16:J16,"u")+COUNTIF($E16:J16,"t"),
     INDEX(Roadmap!$D:$K,MATCH($E16,Roadmap!$D:$D,0)+COUNTIF($E16:J16,"u")+COUNTIF($E16:J16,"t")+COUNTIF($E16:J16,"¶")+COUNTIF($E16:J16,"²")+COUNTIF($E16:J16,"µ")+COUNTIF($E16:J16,1),ColTypeEcheance)),
  IF(LEN(J16)=1,
  IF(LEN(INDEX(Roadmap!$D:$K,MATCH($E16,Roadmap!$D:$D,0)-1+COUNTIF($E16:J16,"u")+COUNTIF($E16:J16,"t")+COUNTIF($E16:J16,"¶")+COUNTIF($E16:J16,"²")+COUNTIF($E16:J16,"µ")+COUNTIF($E16:J16,1),ColDescriptionCourte))&gt;1,
HYPERLINK("#Roadmap!C"&amp; MATCH($E16,Roadmap!$D:$D,0)+COUNTIF($E16:J16,"u")+COUNTIF($E16:J16,"t")+COUNTIF($E16:J16,"¶")+COUNTIF($E16:J16,"²")+COUNTIF($E16:J16,"µ")+COUNTIF($E16:J16,1)-1,INDEX(Roadmap!$D:$K,MATCH($E16,Roadmap!$D:$D,0)-1+COUNTIF($E16:J16,"u")+COUNTIF($E16:J16,"t")+COUNTIF($E16:J16,"¶")+COUNTIF($E16:J16,"²")+COUNTIF($E16:J16,"µ")+COUNTIF($E16:J16,1),ColDescriptionCourte)),""),
  "")),"")</f>
        <v>V45</v>
      </c>
      <c r="L16" s="39" t="str">
        <f ca="1">IFERROR(IF(AND(
  INDEX(Roadmap!$D:$K,MATCH($E16,Roadmap!$D:$D,0)+COUNTIF($E16:K16,"u")+COUNTIF($E16:K16,"t")+COUNTIF($E16:K16,"¶")+COUNTIF($E16:K16,"²")+COUNTIF($E16:K16,"µ")+COUNTIF($E16:K16,1),ColLivraison)=L$6,
  VLOOKUP($E16,INDIRECT("tri!"&amp; CHAR(64+ C0Col) &amp;":"&amp; CHAR(65+C0Col)),2,FALSE)&gt;COUNTIF($E16:K16,"u")+COUNTIF($E16:K16,"t")+COUNTIF($E16:K16,"¶")+COUNTIF($E16:K16,"²")+COUNTIF($E16:K16,"µ")+COUNTIF($E16:K16,1)),
HYPERLINK("#Roadmap!C"&amp; MATCH($E16,Roadmap!$D:$D,0)+COUNTIF($E16:K16,"u")+COUNTIF($E16:K16,"t"),
     INDEX(Roadmap!$D:$K,MATCH($E16,Roadmap!$D:$D,0)+COUNTIF($E16:K16,"u")+COUNTIF($E16:K16,"t")+COUNTIF($E16:K16,"¶")+COUNTIF($E16:K16,"²")+COUNTIF($E16:K16,"µ")+COUNTIF($E16:K16,1),ColTypeEcheance)),
  IF(LEN(K16)=1,
  IF(LEN(INDEX(Roadmap!$D:$K,MATCH($E16,Roadmap!$D:$D,0)-1+COUNTIF($E16:K16,"u")+COUNTIF($E16:K16,"t")+COUNTIF($E16:K16,"¶")+COUNTIF($E16:K16,"²")+COUNTIF($E16:K16,"µ")+COUNTIF($E16:K16,1),ColDescriptionCourte))&gt;1,
HYPERLINK("#Roadmap!C"&amp; MATCH($E16,Roadmap!$D:$D,0)+COUNTIF($E16:K16,"u")+COUNTIF($E16:K16,"t")+COUNTIF($E16:K16,"¶")+COUNTIF($E16:K16,"²")+COUNTIF($E16:K16,"µ")+COUNTIF($E16:K16,1)-1,INDEX(Roadmap!$D:$K,MATCH($E16,Roadmap!$D:$D,0)-1+COUNTIF($E16:K16,"u")+COUNTIF($E16:K16,"t")+COUNTIF($E16:K16,"¶")+COUNTIF($E16:K16,"²")+COUNTIF($E16:K16,"µ")+COUNTIF($E16:K16,1),ColDescriptionCourte)),""),
  "")),"")</f>
        <v/>
      </c>
      <c r="M16" s="17" t="str">
        <f ca="1">IFERROR(IF(AND(
  INDEX(Roadmap!$D:$K,MATCH($E16,Roadmap!$D:$D,0)+COUNTIF($E16:L16,"u")+COUNTIF($E16:L16,"t")+COUNTIF($E16:L16,"¶")+COUNTIF($E16:L16,"²")+COUNTIF($E16:L16,"µ")+COUNTIF($E16:L16,1),ColLivraison)=M$6,
  VLOOKUP($E16,INDIRECT("tri!"&amp; CHAR(64+ C0Col) &amp;":"&amp; CHAR(65+C0Col)),2,FALSE)&gt;COUNTIF($E16:L16,"u")+COUNTIF($E16:L16,"t")+COUNTIF($E16:L16,"¶")+COUNTIF($E16:L16,"²")+COUNTIF($E16:L16,"µ")+COUNTIF($E16:L16,1)),
HYPERLINK("#Roadmap!C"&amp; MATCH($E16,Roadmap!$D:$D,0)+COUNTIF($E16:L16,"u")+COUNTIF($E16:L16,"t"),
     INDEX(Roadmap!$D:$K,MATCH($E16,Roadmap!$D:$D,0)+COUNTIF($E16:L16,"u")+COUNTIF($E16:L16,"t")+COUNTIF($E16:L16,"¶")+COUNTIF($E16:L16,"²")+COUNTIF($E16:L16,"µ")+COUNTIF($E16:L16,1),ColTypeEcheance)),
  IF(LEN(L16)=1,
  IF(LEN(INDEX(Roadmap!$D:$K,MATCH($E16,Roadmap!$D:$D,0)-1+COUNTIF($E16:L16,"u")+COUNTIF($E16:L16,"t")+COUNTIF($E16:L16,"¶")+COUNTIF($E16:L16,"²")+COUNTIF($E16:L16,"µ")+COUNTIF($E16:L16,1),ColDescriptionCourte))&gt;1,
HYPERLINK("#Roadmap!C"&amp; MATCH($E16,Roadmap!$D:$D,0)+COUNTIF($E16:L16,"u")+COUNTIF($E16:L16,"t")+COUNTIF($E16:L16,"¶")+COUNTIF($E16:L16,"²")+COUNTIF($E16:L16,"µ")+COUNTIF($E16:L16,1)-1,INDEX(Roadmap!$D:$K,MATCH($E16,Roadmap!$D:$D,0)-1+COUNTIF($E16:L16,"u")+COUNTIF($E16:L16,"t")+COUNTIF($E16:L16,"¶")+COUNTIF($E16:L16,"²")+COUNTIF($E16:L16,"µ")+COUNTIF($E16:L16,1),ColDescriptionCourte)),""),
  "")),"")</f>
        <v>t</v>
      </c>
      <c r="N16" s="17" t="str">
        <f ca="1">IFERROR(IF(AND(
  INDEX(Roadmap!$D:$K,MATCH($E16,Roadmap!$D:$D,0)+COUNTIF($E16:M16,"u")+COUNTIF($E16:M16,"t")+COUNTIF($E16:M16,"¶")+COUNTIF($E16:M16,"²")+COUNTIF($E16:M16,"µ")+COUNTIF($E16:M16,1),ColLivraison)=N$6,
  VLOOKUP($E16,INDIRECT("tri!"&amp; CHAR(64+ C0Col) &amp;":"&amp; CHAR(65+C0Col)),2,FALSE)&gt;COUNTIF($E16:M16,"u")+COUNTIF($E16:M16,"t")+COUNTIF($E16:M16,"¶")+COUNTIF($E16:M16,"²")+COUNTIF($E16:M16,"µ")+COUNTIF($E16:M16,1)),
HYPERLINK("#Roadmap!C"&amp; MATCH($E16,Roadmap!$D:$D,0)+COUNTIF($E16:M16,"u")+COUNTIF($E16:M16,"t"),
     INDEX(Roadmap!$D:$K,MATCH($E16,Roadmap!$D:$D,0)+COUNTIF($E16:M16,"u")+COUNTIF($E16:M16,"t")+COUNTIF($E16:M16,"¶")+COUNTIF($E16:M16,"²")+COUNTIF($E16:M16,"µ")+COUNTIF($E16:M16,1),ColTypeEcheance)),
  IF(LEN(M16)=1,
  IF(LEN(INDEX(Roadmap!$D:$K,MATCH($E16,Roadmap!$D:$D,0)-1+COUNTIF($E16:M16,"u")+COUNTIF($E16:M16,"t")+COUNTIF($E16:M16,"¶")+COUNTIF($E16:M16,"²")+COUNTIF($E16:M16,"µ")+COUNTIF($E16:M16,1),ColDescriptionCourte))&gt;1,
HYPERLINK("#Roadmap!C"&amp; MATCH($E16,Roadmap!$D:$D,0)+COUNTIF($E16:M16,"u")+COUNTIF($E16:M16,"t")+COUNTIF($E16:M16,"¶")+COUNTIF($E16:M16,"²")+COUNTIF($E16:M16,"µ")+COUNTIF($E16:M16,1)-1,INDEX(Roadmap!$D:$K,MATCH($E16,Roadmap!$D:$D,0)-1+COUNTIF($E16:M16,"u")+COUNTIF($E16:M16,"t")+COUNTIF($E16:M16,"¶")+COUNTIF($E16:M16,"²")+COUNTIF($E16:M16,"µ")+COUNTIF($E16:M16,1),ColDescriptionCourte)),""),
  "")),"")</f>
        <v>t</v>
      </c>
      <c r="O16" s="40" t="str">
        <f ca="1">IFERROR(IF(AND(
  INDEX(Roadmap!$D:$K,MATCH($E16,Roadmap!$D:$D,0)+COUNTIF($E16:N16,"u")+COUNTIF($E16:N16,"t")+COUNTIF($E16:N16,"¶")+COUNTIF($E16:N16,"²")+COUNTIF($E16:N16,"µ")+COUNTIF($E16:N16,1),ColLivraison)=O$6,
  VLOOKUP($E16,INDIRECT("tri!"&amp; CHAR(64+ C0Col) &amp;":"&amp; CHAR(65+C0Col)),2,FALSE)&gt;COUNTIF($E16:N16,"u")+COUNTIF($E16:N16,"t")+COUNTIF($E16:N16,"¶")+COUNTIF($E16:N16,"²")+COUNTIF($E16:N16,"µ")+COUNTIF($E16:N16,1)),
HYPERLINK("#Roadmap!C"&amp; MATCH($E16,Roadmap!$D:$D,0)+COUNTIF($E16:N16,"u")+COUNTIF($E16:N16,"t"),
     INDEX(Roadmap!$D:$K,MATCH($E16,Roadmap!$D:$D,0)+COUNTIF($E16:N16,"u")+COUNTIF($E16:N16,"t")+COUNTIF($E16:N16,"¶")+COUNTIF($E16:N16,"²")+COUNTIF($E16:N16,"µ")+COUNTIF($E16:N16,1),ColTypeEcheance)),
  IF(LEN(N16)=1,
  IF(LEN(INDEX(Roadmap!$D:$K,MATCH($E16,Roadmap!$D:$D,0)-1+COUNTIF($E16:N16,"u")+COUNTIF($E16:N16,"t")+COUNTIF($E16:N16,"¶")+COUNTIF($E16:N16,"²")+COUNTIF($E16:N16,"µ")+COUNTIF($E16:N16,1),ColDescriptionCourte))&gt;1,
HYPERLINK("#Roadmap!C"&amp; MATCH($E16,Roadmap!$D:$D,0)+COUNTIF($E16:N16,"u")+COUNTIF($E16:N16,"t")+COUNTIF($E16:N16,"¶")+COUNTIF($E16:N16,"²")+COUNTIF($E16:N16,"µ")+COUNTIF($E16:N16,1)-1,INDEX(Roadmap!$D:$K,MATCH($E16,Roadmap!$D:$D,0)-1+COUNTIF($E16:N16,"u")+COUNTIF($E16:N16,"t")+COUNTIF($E16:N16,"¶")+COUNTIF($E16:N16,"²")+COUNTIF($E16:N16,"µ")+COUNTIF($E16:N16,1),ColDescriptionCourte)),""),
  "")),"")</f>
        <v>doc</v>
      </c>
      <c r="P16" s="40" t="str">
        <f ca="1">IFERROR(IF(AND(
  INDEX(Roadmap!$D:$K,MATCH($E16,Roadmap!$D:$D,0)+COUNTIF($E16:O16,"u")+COUNTIF($E16:O16,"t")+COUNTIF($E16:O16,"¶")+COUNTIF($E16:O16,"²")+COUNTIF($E16:O16,"µ")+COUNTIF($E16:O16,1),ColLivraison)=P$6,
  VLOOKUP($E16,INDIRECT("tri!"&amp; CHAR(64+ C0Col) &amp;":"&amp; CHAR(65+C0Col)),2,FALSE)&gt;COUNTIF($E16:O16,"u")+COUNTIF($E16:O16,"t")+COUNTIF($E16:O16,"¶")+COUNTIF($E16:O16,"²")+COUNTIF($E16:O16,"µ")+COUNTIF($E16:O16,1)),
HYPERLINK("#Roadmap!C"&amp; MATCH($E16,Roadmap!$D:$D,0)+COUNTIF($E16:O16,"u")+COUNTIF($E16:O16,"t"),
     INDEX(Roadmap!$D:$K,MATCH($E16,Roadmap!$D:$D,0)+COUNTIF($E16:O16,"u")+COUNTIF($E16:O16,"t")+COUNTIF($E16:O16,"¶")+COUNTIF($E16:O16,"²")+COUNTIF($E16:O16,"µ")+COUNTIF($E16:O16,1),ColTypeEcheance)),
  IF(LEN(O16)=1,
  IF(LEN(INDEX(Roadmap!$D:$K,MATCH($E16,Roadmap!$D:$D,0)-1+COUNTIF($E16:O16,"u")+COUNTIF($E16:O16,"t")+COUNTIF($E16:O16,"¶")+COUNTIF($E16:O16,"²")+COUNTIF($E16:O16,"µ")+COUNTIF($E16:O16,1),ColDescriptionCourte))&gt;1,
HYPERLINK("#Roadmap!C"&amp; MATCH($E16,Roadmap!$D:$D,0)+COUNTIF($E16:O16,"u")+COUNTIF($E16:O16,"t")+COUNTIF($E16:O16,"¶")+COUNTIF($E16:O16,"²")+COUNTIF($E16:O16,"µ")+COUNTIF($E16:O16,1)-1,INDEX(Roadmap!$D:$K,MATCH($E16,Roadmap!$D:$D,0)-1+COUNTIF($E16:O16,"u")+COUNTIF($E16:O16,"t")+COUNTIF($E16:O16,"¶")+COUNTIF($E16:O16,"²")+COUNTIF($E16:O16,"µ")+COUNTIF($E16:O16,1),ColDescriptionCourte)),""),
  "")),"")</f>
        <v/>
      </c>
      <c r="Q16" s="40" t="str">
        <f ca="1">IFERROR(IF(AND(
  INDEX(Roadmap!$D:$K,MATCH($E16,Roadmap!$D:$D,0)+COUNTIF($E16:P16,"u")+COUNTIF($E16:P16,"t")+COUNTIF($E16:P16,"¶")+COUNTIF($E16:P16,"²")+COUNTIF($E16:P16,"µ")+COUNTIF($E16:P16,1),ColLivraison)=Q$6,
  VLOOKUP($E16,INDIRECT("tri!"&amp; CHAR(64+ C0Col) &amp;":"&amp; CHAR(65+C0Col)),2,FALSE)&gt;COUNTIF($E16:P16,"u")+COUNTIF($E16:P16,"t")+COUNTIF($E16:P16,"¶")+COUNTIF($E16:P16,"²")+COUNTIF($E16:P16,"µ")+COUNTIF($E16:P16,1)),
HYPERLINK("#Roadmap!C"&amp; MATCH($E16,Roadmap!$D:$D,0)+COUNTIF($E16:P16,"u")+COUNTIF($E16:P16,"t"),
     INDEX(Roadmap!$D:$K,MATCH($E16,Roadmap!$D:$D,0)+COUNTIF($E16:P16,"u")+COUNTIF($E16:P16,"t")+COUNTIF($E16:P16,"¶")+COUNTIF($E16:P16,"²")+COUNTIF($E16:P16,"µ")+COUNTIF($E16:P16,1),ColTypeEcheance)),
  IF(LEN(P16)=1,
  IF(LEN(INDEX(Roadmap!$D:$K,MATCH($E16,Roadmap!$D:$D,0)-1+COUNTIF($E16:P16,"u")+COUNTIF($E16:P16,"t")+COUNTIF($E16:P16,"¶")+COUNTIF($E16:P16,"²")+COUNTIF($E16:P16,"µ")+COUNTIF($E16:P16,1),ColDescriptionCourte))&gt;1,
HYPERLINK("#Roadmap!C"&amp; MATCH($E16,Roadmap!$D:$D,0)+COUNTIF($E16:P16,"u")+COUNTIF($E16:P16,"t")+COUNTIF($E16:P16,"¶")+COUNTIF($E16:P16,"²")+COUNTIF($E16:P16,"µ")+COUNTIF($E16:P16,1)-1,INDEX(Roadmap!$D:$K,MATCH($E16,Roadmap!$D:$D,0)-1+COUNTIF($E16:P16,"u")+COUNTIF($E16:P16,"t")+COUNTIF($E16:P16,"¶")+COUNTIF($E16:P16,"²")+COUNTIF($E16:P16,"µ")+COUNTIF($E16:P16,1),ColDescriptionCourte)),""),
  "")),"")</f>
        <v/>
      </c>
      <c r="R16" s="17" t="str">
        <f ca="1">IFERROR(IF(AND(
  INDEX(Roadmap!$D:$K,MATCH($E16,Roadmap!$D:$D,0)+COUNTIF($E16:Q16,"u")+COUNTIF($E16:Q16,"t")+COUNTIF($E16:Q16,"¶")+COUNTIF($E16:Q16,"²")+COUNTIF($E16:Q16,"µ")+COUNTIF($E16:Q16,1),ColLivraison)=R$6,
  VLOOKUP($E16,INDIRECT("tri!"&amp; CHAR(64+ C0Col) &amp;":"&amp; CHAR(65+C0Col)),2,FALSE)&gt;COUNTIF($E16:Q16,"u")+COUNTIF($E16:Q16,"t")+COUNTIF($E16:Q16,"¶")+COUNTIF($E16:Q16,"²")+COUNTIF($E16:Q16,"µ")+COUNTIF($E16:Q16,1)),
HYPERLINK("#Roadmap!C"&amp; MATCH($E16,Roadmap!$D:$D,0)+COUNTIF($E16:Q16,"u")+COUNTIF($E16:Q16,"t"),
     INDEX(Roadmap!$D:$K,MATCH($E16,Roadmap!$D:$D,0)+COUNTIF($E16:Q16,"u")+COUNTIF($E16:Q16,"t")+COUNTIF($E16:Q16,"¶")+COUNTIF($E16:Q16,"²")+COUNTIF($E16:Q16,"µ")+COUNTIF($E16:Q16,1),ColTypeEcheance)),
  IF(LEN(Q16)=1,
  IF(LEN(INDEX(Roadmap!$D:$K,MATCH($E16,Roadmap!$D:$D,0)-1+COUNTIF($E16:Q16,"u")+COUNTIF($E16:Q16,"t")+COUNTIF($E16:Q16,"¶")+COUNTIF($E16:Q16,"²")+COUNTIF($E16:Q16,"µ")+COUNTIF($E16:Q16,1),ColDescriptionCourte))&gt;1,
HYPERLINK("#Roadmap!C"&amp; MATCH($E16,Roadmap!$D:$D,0)+COUNTIF($E16:Q16,"u")+COUNTIF($E16:Q16,"t")+COUNTIF($E16:Q16,"¶")+COUNTIF($E16:Q16,"²")+COUNTIF($E16:Q16,"µ")+COUNTIF($E16:Q16,1)-1,INDEX(Roadmap!$D:$K,MATCH($E16,Roadmap!$D:$D,0)-1+COUNTIF($E16:Q16,"u")+COUNTIF($E16:Q16,"t")+COUNTIF($E16:Q16,"¶")+COUNTIF($E16:Q16,"²")+COUNTIF($E16:Q16,"µ")+COUNTIF($E16:Q16,1),ColDescriptionCourte)),""),
  "")),"")</f>
        <v>t</v>
      </c>
      <c r="S16" s="40" t="str">
        <f ca="1">IFERROR(IF(AND(
  INDEX(Roadmap!$D:$K,MATCH($E16,Roadmap!$D:$D,0)+COUNTIF($E16:R16,"u")+COUNTIF($E16:R16,"t")+COUNTIF($E16:R16,"¶")+COUNTIF($E16:R16,"²")+COUNTIF($E16:R16,"µ")+COUNTIF($E16:R16,1),ColLivraison)=S$6,
  VLOOKUP($E16,INDIRECT("tri!"&amp; CHAR(64+ C0Col) &amp;":"&amp; CHAR(65+C0Col)),2,FALSE)&gt;COUNTIF($E16:R16,"u")+COUNTIF($E16:R16,"t")+COUNTIF($E16:R16,"¶")+COUNTIF($E16:R16,"²")+COUNTIF($E16:R16,"µ")+COUNTIF($E16:R16,1)),
HYPERLINK("#Roadmap!C"&amp; MATCH($E16,Roadmap!$D:$D,0)+COUNTIF($E16:R16,"u")+COUNTIF($E16:R16,"t"),
     INDEX(Roadmap!$D:$K,MATCH($E16,Roadmap!$D:$D,0)+COUNTIF($E16:R16,"u")+COUNTIF($E16:R16,"t")+COUNTIF($E16:R16,"¶")+COUNTIF($E16:R16,"²")+COUNTIF($E16:R16,"µ")+COUNTIF($E16:R16,1),ColTypeEcheance)),
  IF(LEN(R16)=1,
  IF(LEN(INDEX(Roadmap!$D:$K,MATCH($E16,Roadmap!$D:$D,0)-1+COUNTIF($E16:R16,"u")+COUNTIF($E16:R16,"t")+COUNTIF($E16:R16,"¶")+COUNTIF($E16:R16,"²")+COUNTIF($E16:R16,"µ")+COUNTIF($E16:R16,1),ColDescriptionCourte))&gt;1,
HYPERLINK("#Roadmap!C"&amp; MATCH($E16,Roadmap!$D:$D,0)+COUNTIF($E16:R16,"u")+COUNTIF($E16:R16,"t")+COUNTIF($E16:R16,"¶")+COUNTIF($E16:R16,"²")+COUNTIF($E16:R16,"µ")+COUNTIF($E16:R16,1)-1,INDEX(Roadmap!$D:$K,MATCH($E16,Roadmap!$D:$D,0)-1+COUNTIF($E16:R16,"u")+COUNTIF($E16:R16,"t")+COUNTIF($E16:R16,"¶")+COUNTIF($E16:R16,"²")+COUNTIF($E16:R16,"µ")+COUNTIF($E16:R16,1),ColDescriptionCourte)),""),
  "")),"")</f>
        <v>Pil.</v>
      </c>
      <c r="T16" s="40" t="str">
        <f ca="1">IFERROR(IF(AND(
  INDEX(Roadmap!$D:$K,MATCH($E16,Roadmap!$D:$D,0)+COUNTIF($E16:S16,"u")+COUNTIF($E16:S16,"t")+COUNTIF($E16:S16,"¶")+COUNTIF($E16:S16,"²")+COUNTIF($E16:S16,"µ")+COUNTIF($E16:S16,1),ColLivraison)=T$6,
  VLOOKUP($E16,INDIRECT("tri!"&amp; CHAR(64+ C0Col) &amp;":"&amp; CHAR(65+C0Col)),2,FALSE)&gt;COUNTIF($E16:S16,"u")+COUNTIF($E16:S16,"t")+COUNTIF($E16:S16,"¶")+COUNTIF($E16:S16,"²")+COUNTIF($E16:S16,"µ")+COUNTIF($E16:S16,1)),
HYPERLINK("#Roadmap!C"&amp; MATCH($E16,Roadmap!$D:$D,0)+COUNTIF($E16:S16,"u")+COUNTIF($E16:S16,"t"),
     INDEX(Roadmap!$D:$K,MATCH($E16,Roadmap!$D:$D,0)+COUNTIF($E16:S16,"u")+COUNTIF($E16:S16,"t")+COUNTIF($E16:S16,"¶")+COUNTIF($E16:S16,"²")+COUNTIF($E16:S16,"µ")+COUNTIF($E16:S16,1),ColTypeEcheance)),
  IF(LEN(S16)=1,
  IF(LEN(INDEX(Roadmap!$D:$K,MATCH($E16,Roadmap!$D:$D,0)-1+COUNTIF($E16:S16,"u")+COUNTIF($E16:S16,"t")+COUNTIF($E16:S16,"¶")+COUNTIF($E16:S16,"²")+COUNTIF($E16:S16,"µ")+COUNTIF($E16:S16,1),ColDescriptionCourte))&gt;1,
HYPERLINK("#Roadmap!C"&amp; MATCH($E16,Roadmap!$D:$D,0)+COUNTIF($E16:S16,"u")+COUNTIF($E16:S16,"t")+COUNTIF($E16:S16,"¶")+COUNTIF($E16:S16,"²")+COUNTIF($E16:S16,"µ")+COUNTIF($E16:S16,1)-1,INDEX(Roadmap!$D:$K,MATCH($E16,Roadmap!$D:$D,0)-1+COUNTIF($E16:S16,"u")+COUNTIF($E16:S16,"t")+COUNTIF($E16:S16,"¶")+COUNTIF($E16:S16,"²")+COUNTIF($E16:S16,"µ")+COUNTIF($E16:S16,1),ColDescriptionCourte)),""),
  "")),"")</f>
        <v/>
      </c>
      <c r="U16" s="40" t="str">
        <f ca="1">IFERROR(IF(AND(
  INDEX(Roadmap!$D:$K,MATCH($E16,Roadmap!$D:$D,0)+COUNTIF($E16:T16,"u")+COUNTIF($E16:T16,"t")+COUNTIF($E16:T16,"¶")+COUNTIF($E16:T16,"²")+COUNTIF($E16:T16,"µ")+COUNTIF($E16:T16,1),ColLivraison)=U$6,
  VLOOKUP($E16,INDIRECT("tri!"&amp; CHAR(64+ C0Col) &amp;":"&amp; CHAR(65+C0Col)),2,FALSE)&gt;COUNTIF($E16:T16,"u")+COUNTIF($E16:T16,"t")+COUNTIF($E16:T16,"¶")+COUNTIF($E16:T16,"²")+COUNTIF($E16:T16,"µ")+COUNTIF($E16:T16,1)),
HYPERLINK("#Roadmap!C"&amp; MATCH($E16,Roadmap!$D:$D,0)+COUNTIF($E16:T16,"u")+COUNTIF($E16:T16,"t"),
     INDEX(Roadmap!$D:$K,MATCH($E16,Roadmap!$D:$D,0)+COUNTIF($E16:T16,"u")+COUNTIF($E16:T16,"t")+COUNTIF($E16:T16,"¶")+COUNTIF($E16:T16,"²")+COUNTIF($E16:T16,"µ")+COUNTIF($E16:T16,1),ColTypeEcheance)),
  IF(LEN(T16)=1,
  IF(LEN(INDEX(Roadmap!$D:$K,MATCH($E16,Roadmap!$D:$D,0)-1+COUNTIF($E16:T16,"u")+COUNTIF($E16:T16,"t")+COUNTIF($E16:T16,"¶")+COUNTIF($E16:T16,"²")+COUNTIF($E16:T16,"µ")+COUNTIF($E16:T16,1),ColDescriptionCourte))&gt;1,
HYPERLINK("#Roadmap!C"&amp; MATCH($E16,Roadmap!$D:$D,0)+COUNTIF($E16:T16,"u")+COUNTIF($E16:T16,"t")+COUNTIF($E16:T16,"¶")+COUNTIF($E16:T16,"²")+COUNTIF($E16:T16,"µ")+COUNTIF($E16:T16,1)-1,INDEX(Roadmap!$D:$K,MATCH($E16,Roadmap!$D:$D,0)-1+COUNTIF($E16:T16,"u")+COUNTIF($E16:T16,"t")+COUNTIF($E16:T16,"¶")+COUNTIF($E16:T16,"²")+COUNTIF($E16:T16,"µ")+COUNTIF($E16:T16,1),ColDescriptionCourte)),""),
  "")),"")</f>
        <v/>
      </c>
      <c r="V16" s="40" t="str">
        <f ca="1">IFERROR(IF(AND(
  INDEX(Roadmap!$D:$K,MATCH($E16,Roadmap!$D:$D,0)+COUNTIF($E16:U16,"u")+COUNTIF($E16:U16,"t")+COUNTIF($E16:U16,"¶")+COUNTIF($E16:U16,"²")+COUNTIF($E16:U16,"µ")+COUNTIF($E16:U16,1),ColLivraison)=V$6,
  VLOOKUP($E16,INDIRECT("tri!"&amp; CHAR(64+ C0Col) &amp;":"&amp; CHAR(65+C0Col)),2,FALSE)&gt;COUNTIF($E16:U16,"u")+COUNTIF($E16:U16,"t")+COUNTIF($E16:U16,"¶")+COUNTIF($E16:U16,"²")+COUNTIF($E16:U16,"µ")+COUNTIF($E16:U16,1)),
HYPERLINK("#Roadmap!C"&amp; MATCH($E16,Roadmap!$D:$D,0)+COUNTIF($E16:U16,"u")+COUNTIF($E16:U16,"t"),
     INDEX(Roadmap!$D:$K,MATCH($E16,Roadmap!$D:$D,0)+COUNTIF($E16:U16,"u")+COUNTIF($E16:U16,"t")+COUNTIF($E16:U16,"¶")+COUNTIF($E16:U16,"²")+COUNTIF($E16:U16,"µ")+COUNTIF($E16:U16,1),ColTypeEcheance)),
  IF(LEN(U16)=1,
  IF(LEN(INDEX(Roadmap!$D:$K,MATCH($E16,Roadmap!$D:$D,0)-1+COUNTIF($E16:U16,"u")+COUNTIF($E16:U16,"t")+COUNTIF($E16:U16,"¶")+COUNTIF($E16:U16,"²")+COUNTIF($E16:U16,"µ")+COUNTIF($E16:U16,1),ColDescriptionCourte))&gt;1,
HYPERLINK("#Roadmap!C"&amp; MATCH($E16,Roadmap!$D:$D,0)+COUNTIF($E16:U16,"u")+COUNTIF($E16:U16,"t")+COUNTIF($E16:U16,"¶")+COUNTIF($E16:U16,"²")+COUNTIF($E16:U16,"µ")+COUNTIF($E16:U16,1)-1,INDEX(Roadmap!$D:$K,MATCH($E16,Roadmap!$D:$D,0)-1+COUNTIF($E16:U16,"u")+COUNTIF($E16:U16,"t")+COUNTIF($E16:U16,"¶")+COUNTIF($E16:U16,"²")+COUNTIF($E16:U16,"µ")+COUNTIF($E16:U16,1),ColDescriptionCourte)),""),
  "")),"")</f>
        <v/>
      </c>
      <c r="W16" s="40" t="str">
        <f ca="1">IFERROR(IF(AND(
  INDEX(Roadmap!$D:$K,MATCH($E16,Roadmap!$D:$D,0)+COUNTIF($E16:V16,"u")+COUNTIF($E16:V16,"t")+COUNTIF($E16:V16,"¶")+COUNTIF($E16:V16,"²")+COUNTIF($E16:V16,"µ")+COUNTIF($E16:V16,1),ColLivraison)=W$6,
  VLOOKUP($E16,INDIRECT("tri!"&amp; CHAR(64+ C0Col) &amp;":"&amp; CHAR(65+C0Col)),2,FALSE)&gt;COUNTIF($E16:V16,"u")+COUNTIF($E16:V16,"t")+COUNTIF($E16:V16,"¶")+COUNTIF($E16:V16,"²")+COUNTIF($E16:V16,"µ")+COUNTIF($E16:V16,1)),
HYPERLINK("#Roadmap!C"&amp; MATCH($E16,Roadmap!$D:$D,0)+COUNTIF($E16:V16,"u")+COUNTIF($E16:V16,"t"),
     INDEX(Roadmap!$D:$K,MATCH($E16,Roadmap!$D:$D,0)+COUNTIF($E16:V16,"u")+COUNTIF($E16:V16,"t")+COUNTIF($E16:V16,"¶")+COUNTIF($E16:V16,"²")+COUNTIF($E16:V16,"µ")+COUNTIF($E16:V16,1),ColTypeEcheance)),
  IF(LEN(V16)=1,
  IF(LEN(INDEX(Roadmap!$D:$K,MATCH($E16,Roadmap!$D:$D,0)-1+COUNTIF($E16:V16,"u")+COUNTIF($E16:V16,"t")+COUNTIF($E16:V16,"¶")+COUNTIF($E16:V16,"²")+COUNTIF($E16:V16,"µ")+COUNTIF($E16:V16,1),ColDescriptionCourte))&gt;1,
HYPERLINK("#Roadmap!C"&amp; MATCH($E16,Roadmap!$D:$D,0)+COUNTIF($E16:V16,"u")+COUNTIF($E16:V16,"t")+COUNTIF($E16:V16,"¶")+COUNTIF($E16:V16,"²")+COUNTIF($E16:V16,"µ")+COUNTIF($E16:V16,1)-1,INDEX(Roadmap!$D:$K,MATCH($E16,Roadmap!$D:$D,0)-1+COUNTIF($E16:V16,"u")+COUNTIF($E16:V16,"t")+COUNTIF($E16:V16,"¶")+COUNTIF($E16:V16,"²")+COUNTIF($E16:V16,"µ")+COUNTIF($E16:V16,1),ColDescriptionCourte)),""),
  "")),"")</f>
        <v/>
      </c>
      <c r="X16" s="40" t="str">
        <f ca="1">IFERROR(IF(AND(
  INDEX(Roadmap!$D:$K,MATCH($E16,Roadmap!$D:$D,0)+COUNTIF($E16:W16,"u")+COUNTIF($E16:W16,"t")+COUNTIF($E16:W16,"¶")+COUNTIF($E16:W16,"²")+COUNTIF($E16:W16,"µ")+COUNTIF($E16:W16,1),ColLivraison)=X$6,
  VLOOKUP($E16,INDIRECT("tri!"&amp; CHAR(64+ C0Col) &amp;":"&amp; CHAR(65+C0Col)),2,FALSE)&gt;COUNTIF($E16:W16,"u")+COUNTIF($E16:W16,"t")+COUNTIF($E16:W16,"¶")+COUNTIF($E16:W16,"²")+COUNTIF($E16:W16,"µ")+COUNTIF($E16:W16,1)),
HYPERLINK("#Roadmap!C"&amp; MATCH($E16,Roadmap!$D:$D,0)+COUNTIF($E16:W16,"u")+COUNTIF($E16:W16,"t"),
     INDEX(Roadmap!$D:$K,MATCH($E16,Roadmap!$D:$D,0)+COUNTIF($E16:W16,"u")+COUNTIF($E16:W16,"t")+COUNTIF($E16:W16,"¶")+COUNTIF($E16:W16,"²")+COUNTIF($E16:W16,"µ")+COUNTIF($E16:W16,1),ColTypeEcheance)),
  IF(LEN(W16)=1,
  IF(LEN(INDEX(Roadmap!$D:$K,MATCH($E16,Roadmap!$D:$D,0)-1+COUNTIF($E16:W16,"u")+COUNTIF($E16:W16,"t")+COUNTIF($E16:W16,"¶")+COUNTIF($E16:W16,"²")+COUNTIF($E16:W16,"µ")+COUNTIF($E16:W16,1),ColDescriptionCourte))&gt;1,
HYPERLINK("#Roadmap!C"&amp; MATCH($E16,Roadmap!$D:$D,0)+COUNTIF($E16:W16,"u")+COUNTIF($E16:W16,"t")+COUNTIF($E16:W16,"¶")+COUNTIF($E16:W16,"²")+COUNTIF($E16:W16,"µ")+COUNTIF($E16:W16,1)-1,INDEX(Roadmap!$D:$K,MATCH($E16,Roadmap!$D:$D,0)-1+COUNTIF($E16:W16,"u")+COUNTIF($E16:W16,"t")+COUNTIF($E16:W16,"¶")+COUNTIF($E16:W16,"²")+COUNTIF($E16:W16,"µ")+COUNTIF($E16:W16,1),ColDescriptionCourte)),""),
  "")),"")</f>
        <v/>
      </c>
      <c r="Y16" s="40" t="str">
        <f ca="1">IFERROR(IF(AND(
  INDEX(Roadmap!$D:$K,MATCH($E16,Roadmap!$D:$D,0)+COUNTIF($E16:X16,"u")+COUNTIF($E16:X16,"t")+COUNTIF($E16:X16,"¶")+COUNTIF($E16:X16,"²")+COUNTIF($E16:X16,"µ")+COUNTIF($E16:X16,1),ColLivraison)=Y$6,
  VLOOKUP($E16,INDIRECT("tri!"&amp; CHAR(64+ C0Col) &amp;":"&amp; CHAR(65+C0Col)),2,FALSE)&gt;COUNTIF($E16:X16,"u")+COUNTIF($E16:X16,"t")+COUNTIF($E16:X16,"¶")+COUNTIF($E16:X16,"²")+COUNTIF($E16:X16,"µ")+COUNTIF($E16:X16,1)),
HYPERLINK("#Roadmap!C"&amp; MATCH($E16,Roadmap!$D:$D,0)+COUNTIF($E16:X16,"u")+COUNTIF($E16:X16,"t"),
     INDEX(Roadmap!$D:$K,MATCH($E16,Roadmap!$D:$D,0)+COUNTIF($E16:X16,"u")+COUNTIF($E16:X16,"t")+COUNTIF($E16:X16,"¶")+COUNTIF($E16:X16,"²")+COUNTIF($E16:X16,"µ")+COUNTIF($E16:X16,1),ColTypeEcheance)),
  IF(LEN(X16)=1,
  IF(LEN(INDEX(Roadmap!$D:$K,MATCH($E16,Roadmap!$D:$D,0)-1+COUNTIF($E16:X16,"u")+COUNTIF($E16:X16,"t")+COUNTIF($E16:X16,"¶")+COUNTIF($E16:X16,"²")+COUNTIF($E16:X16,"µ")+COUNTIF($E16:X16,1),ColDescriptionCourte))&gt;1,
HYPERLINK("#Roadmap!C"&amp; MATCH($E16,Roadmap!$D:$D,0)+COUNTIF($E16:X16,"u")+COUNTIF($E16:X16,"t")+COUNTIF($E16:X16,"¶")+COUNTIF($E16:X16,"²")+COUNTIF($E16:X16,"µ")+COUNTIF($E16:X16,1)-1,INDEX(Roadmap!$D:$K,MATCH($E16,Roadmap!$D:$D,0)-1+COUNTIF($E16:X16,"u")+COUNTIF($E16:X16,"t")+COUNTIF($E16:X16,"¶")+COUNTIF($E16:X16,"²")+COUNTIF($E16:X16,"µ")+COUNTIF($E16:X16,1),ColDescriptionCourte)),""),
  "")),"")</f>
        <v/>
      </c>
      <c r="Z16" s="40" t="str">
        <f ca="1">IFERROR(IF(AND(
  INDEX(Roadmap!$D:$K,MATCH($E16,Roadmap!$D:$D,0)+COUNTIF($E16:Y16,"u")+COUNTIF($E16:Y16,"t")+COUNTIF($E16:Y16,"¶")+COUNTIF($E16:Y16,"²")+COUNTIF($E16:Y16,"µ")+COUNTIF($E16:Y16,1),ColLivraison)=Z$6,
  VLOOKUP($E16,INDIRECT("tri!"&amp; CHAR(64+ C0Col) &amp;":"&amp; CHAR(65+C0Col)),2,FALSE)&gt;COUNTIF($E16:Y16,"u")+COUNTIF($E16:Y16,"t")+COUNTIF($E16:Y16,"¶")+COUNTIF($E16:Y16,"²")+COUNTIF($E16:Y16,"µ")+COUNTIF($E16:Y16,1)),
HYPERLINK("#Roadmap!C"&amp; MATCH($E16,Roadmap!$D:$D,0)+COUNTIF($E16:Y16,"u")+COUNTIF($E16:Y16,"t"),
     INDEX(Roadmap!$D:$K,MATCH($E16,Roadmap!$D:$D,0)+COUNTIF($E16:Y16,"u")+COUNTIF($E16:Y16,"t")+COUNTIF($E16:Y16,"¶")+COUNTIF($E16:Y16,"²")+COUNTIF($E16:Y16,"µ")+COUNTIF($E16:Y16,1),ColTypeEcheance)),
  IF(LEN(Y16)=1,
  IF(LEN(INDEX(Roadmap!$D:$K,MATCH($E16,Roadmap!$D:$D,0)-1+COUNTIF($E16:Y16,"u")+COUNTIF($E16:Y16,"t")+COUNTIF($E16:Y16,"¶")+COUNTIF($E16:Y16,"²")+COUNTIF($E16:Y16,"µ")+COUNTIF($E16:Y16,1),ColDescriptionCourte))&gt;1,
HYPERLINK("#Roadmap!C"&amp; MATCH($E16,Roadmap!$D:$D,0)+COUNTIF($E16:Y16,"u")+COUNTIF($E16:Y16,"t")+COUNTIF($E16:Y16,"¶")+COUNTIF($E16:Y16,"²")+COUNTIF($E16:Y16,"µ")+COUNTIF($E16:Y16,1)-1,INDEX(Roadmap!$D:$K,MATCH($E16,Roadmap!$D:$D,0)-1+COUNTIF($E16:Y16,"u")+COUNTIF($E16:Y16,"t")+COUNTIF($E16:Y16,"¶")+COUNTIF($E16:Y16,"²")+COUNTIF($E16:Y16,"µ")+COUNTIF($E16:Y16,1),ColDescriptionCourte)),""),
  "")),"")</f>
        <v/>
      </c>
      <c r="AA16" s="40" t="str">
        <f ca="1">IFERROR(IF(AND(
  INDEX(Roadmap!$D:$K,MATCH($E16,Roadmap!$D:$D,0)+COUNTIF($E16:Z16,"u")+COUNTIF($E16:Z16,"t")+COUNTIF($E16:Z16,"¶")+COUNTIF($E16:Z16,"²")+COUNTIF($E16:Z16,"µ")+COUNTIF($E16:Z16,1),ColLivraison)=AA$6,
  VLOOKUP($E16,INDIRECT("tri!"&amp; CHAR(64+ C0Col) &amp;":"&amp; CHAR(65+C0Col)),2,FALSE)&gt;COUNTIF($E16:Z16,"u")+COUNTIF($E16:Z16,"t")+COUNTIF($E16:Z16,"¶")+COUNTIF($E16:Z16,"²")+COUNTIF($E16:Z16,"µ")+COUNTIF($E16:Z16,1)),
HYPERLINK("#Roadmap!C"&amp; MATCH($E16,Roadmap!$D:$D,0)+COUNTIF($E16:Z16,"u")+COUNTIF($E16:Z16,"t"),
     INDEX(Roadmap!$D:$K,MATCH($E16,Roadmap!$D:$D,0)+COUNTIF($E16:Z16,"u")+COUNTIF($E16:Z16,"t")+COUNTIF($E16:Z16,"¶")+COUNTIF($E16:Z16,"²")+COUNTIF($E16:Z16,"µ")+COUNTIF($E16:Z16,1),ColTypeEcheance)),
  IF(LEN(Z16)=1,
  IF(LEN(INDEX(Roadmap!$D:$K,MATCH($E16,Roadmap!$D:$D,0)-1+COUNTIF($E16:Z16,"u")+COUNTIF($E16:Z16,"t")+COUNTIF($E16:Z16,"¶")+COUNTIF($E16:Z16,"²")+COUNTIF($E16:Z16,"µ")+COUNTIF($E16:Z16,1),ColDescriptionCourte))&gt;1,
HYPERLINK("#Roadmap!C"&amp; MATCH($E16,Roadmap!$D:$D,0)+COUNTIF($E16:Z16,"u")+COUNTIF($E16:Z16,"t")+COUNTIF($E16:Z16,"¶")+COUNTIF($E16:Z16,"²")+COUNTIF($E16:Z16,"µ")+COUNTIF($E16:Z16,1)-1,INDEX(Roadmap!$D:$K,MATCH($E16,Roadmap!$D:$D,0)-1+COUNTIF($E16:Z16,"u")+COUNTIF($E16:Z16,"t")+COUNTIF($E16:Z16,"¶")+COUNTIF($E16:Z16,"²")+COUNTIF($E16:Z16,"µ")+COUNTIF($E16:Z16,1),ColDescriptionCourte)),""),
  "")),"")</f>
        <v/>
      </c>
      <c r="AB16" s="40" t="str">
        <f ca="1">IFERROR(IF(AND(
  INDEX(Roadmap!$D:$K,MATCH($E16,Roadmap!$D:$D,0)+COUNTIF($E16:AA16,"u")+COUNTIF($E16:AA16,"t")+COUNTIF($E16:AA16,"¶")+COUNTIF($E16:AA16,"²")+COUNTIF($E16:AA16,"µ")+COUNTIF($E16:AA16,1),ColLivraison)=AB$6,
  VLOOKUP($E16,INDIRECT("tri!"&amp; CHAR(64+ C0Col) &amp;":"&amp; CHAR(65+C0Col)),2,FALSE)&gt;COUNTIF($E16:AA16,"u")+COUNTIF($E16:AA16,"t")+COUNTIF($E16:AA16,"¶")+COUNTIF($E16:AA16,"²")+COUNTIF($E16:AA16,"µ")+COUNTIF($E16:AA16,1)),
HYPERLINK("#Roadmap!C"&amp; MATCH($E16,Roadmap!$D:$D,0)+COUNTIF($E16:AA16,"u")+COUNTIF($E16:AA16,"t"),
     INDEX(Roadmap!$D:$K,MATCH($E16,Roadmap!$D:$D,0)+COUNTIF($E16:AA16,"u")+COUNTIF($E16:AA16,"t")+COUNTIF($E16:AA16,"¶")+COUNTIF($E16:AA16,"²")+COUNTIF($E16:AA16,"µ")+COUNTIF($E16:AA16,1),ColTypeEcheance)),
  IF(LEN(AA16)=1,
  IF(LEN(INDEX(Roadmap!$D:$K,MATCH($E16,Roadmap!$D:$D,0)-1+COUNTIF($E16:AA16,"u")+COUNTIF($E16:AA16,"t")+COUNTIF($E16:AA16,"¶")+COUNTIF($E16:AA16,"²")+COUNTIF($E16:AA16,"µ")+COUNTIF($E16:AA16,1),ColDescriptionCourte))&gt;1,
HYPERLINK("#Roadmap!C"&amp; MATCH($E16,Roadmap!$D:$D,0)+COUNTIF($E16:AA16,"u")+COUNTIF($E16:AA16,"t")+COUNTIF($E16:AA16,"¶")+COUNTIF($E16:AA16,"²")+COUNTIF($E16:AA16,"µ")+COUNTIF($E16:AA16,1)-1,INDEX(Roadmap!$D:$K,MATCH($E16,Roadmap!$D:$D,0)-1+COUNTIF($E16:AA16,"u")+COUNTIF($E16:AA16,"t")+COUNTIF($E16:AA16,"¶")+COUNTIF($E16:AA16,"²")+COUNTIF($E16:AA16,"µ")+COUNTIF($E16:AA16,1),ColDescriptionCourte)),""),
  "")),"")</f>
        <v/>
      </c>
      <c r="AC16" s="40" t="str">
        <f ca="1">IFERROR(IF(AND(
  INDEX(Roadmap!$D:$K,MATCH($E16,Roadmap!$D:$D,0)+COUNTIF($E16:AB16,"u")+COUNTIF($E16:AB16,"t")+COUNTIF($E16:AB16,"¶")+COUNTIF($E16:AB16,"²")+COUNTIF($E16:AB16,"µ")+COUNTIF($E16:AB16,1),ColLivraison)=AC$6,
  VLOOKUP($E16,INDIRECT("tri!"&amp; CHAR(64+ C0Col) &amp;":"&amp; CHAR(65+C0Col)),2,FALSE)&gt;COUNTIF($E16:AB16,"u")+COUNTIF($E16:AB16,"t")+COUNTIF($E16:AB16,"¶")+COUNTIF($E16:AB16,"²")+COUNTIF($E16:AB16,"µ")+COUNTIF($E16:AB16,1)),
HYPERLINK("#Roadmap!C"&amp; MATCH($E16,Roadmap!$D:$D,0)+COUNTIF($E16:AB16,"u")+COUNTIF($E16:AB16,"t"),
     INDEX(Roadmap!$D:$K,MATCH($E16,Roadmap!$D:$D,0)+COUNTIF($E16:AB16,"u")+COUNTIF($E16:AB16,"t")+COUNTIF($E16:AB16,"¶")+COUNTIF($E16:AB16,"²")+COUNTIF($E16:AB16,"µ")+COUNTIF($E16:AB16,1),ColTypeEcheance)),
  IF(LEN(AB16)=1,
  IF(LEN(INDEX(Roadmap!$D:$K,MATCH($E16,Roadmap!$D:$D,0)-1+COUNTIF($E16:AB16,"u")+COUNTIF($E16:AB16,"t")+COUNTIF($E16:AB16,"¶")+COUNTIF($E16:AB16,"²")+COUNTIF($E16:AB16,"µ")+COUNTIF($E16:AB16,1),ColDescriptionCourte))&gt;1,
HYPERLINK("#Roadmap!C"&amp; MATCH($E16,Roadmap!$D:$D,0)+COUNTIF($E16:AB16,"u")+COUNTIF($E16:AB16,"t")+COUNTIF($E16:AB16,"¶")+COUNTIF($E16:AB16,"²")+COUNTIF($E16:AB16,"µ")+COUNTIF($E16:AB16,1)-1,INDEX(Roadmap!$D:$K,MATCH($E16,Roadmap!$D:$D,0)-1+COUNTIF($E16:AB16,"u")+COUNTIF($E16:AB16,"t")+COUNTIF($E16:AB16,"¶")+COUNTIF($E16:AB16,"²")+COUNTIF($E16:AB16,"µ")+COUNTIF($E16:AB16,1),ColDescriptionCourte)),""),
  "")),"")</f>
        <v/>
      </c>
      <c r="AD16" s="40" t="str">
        <f ca="1">IFERROR(IF(AND(
  INDEX(Roadmap!$D:$K,MATCH($E16,Roadmap!$D:$D,0)+COUNTIF($E16:AC16,"u")+COUNTIF($E16:AC16,"t")+COUNTIF($E16:AC16,"¶")+COUNTIF($E16:AC16,"²")+COUNTIF($E16:AC16,"µ")+COUNTIF($E16:AC16,1),ColLivraison)=AD$6,
  VLOOKUP($E16,INDIRECT("tri!"&amp; CHAR(64+ C0Col) &amp;":"&amp; CHAR(65+C0Col)),2,FALSE)&gt;COUNTIF($E16:AC16,"u")+COUNTIF($E16:AC16,"t")+COUNTIF($E16:AC16,"¶")+COUNTIF($E16:AC16,"²")+COUNTIF($E16:AC16,"µ")+COUNTIF($E16:AC16,1)),
HYPERLINK("#Roadmap!C"&amp; MATCH($E16,Roadmap!$D:$D,0)+COUNTIF($E16:AC16,"u")+COUNTIF($E16:AC16,"t"),
     INDEX(Roadmap!$D:$K,MATCH($E16,Roadmap!$D:$D,0)+COUNTIF($E16:AC16,"u")+COUNTIF($E16:AC16,"t")+COUNTIF($E16:AC16,"¶")+COUNTIF($E16:AC16,"²")+COUNTIF($E16:AC16,"µ")+COUNTIF($E16:AC16,1),ColTypeEcheance)),
  IF(LEN(AC16)=1,
  IF(LEN(INDEX(Roadmap!$D:$K,MATCH($E16,Roadmap!$D:$D,0)-1+COUNTIF($E16:AC16,"u")+COUNTIF($E16:AC16,"t")+COUNTIF($E16:AC16,"¶")+COUNTIF($E16:AC16,"²")+COUNTIF($E16:AC16,"µ")+COUNTIF($E16:AC16,1),ColDescriptionCourte))&gt;1,
HYPERLINK("#Roadmap!C"&amp; MATCH($E16,Roadmap!$D:$D,0)+COUNTIF($E16:AC16,"u")+COUNTIF($E16:AC16,"t")+COUNTIF($E16:AC16,"¶")+COUNTIF($E16:AC16,"²")+COUNTIF($E16:AC16,"µ")+COUNTIF($E16:AC16,1)-1,INDEX(Roadmap!$D:$K,MATCH($E16,Roadmap!$D:$D,0)-1+COUNTIF($E16:AC16,"u")+COUNTIF($E16:AC16,"t")+COUNTIF($E16:AC16,"¶")+COUNTIF($E16:AC16,"²")+COUNTIF($E16:AC16,"µ")+COUNTIF($E16:AC16,1),ColDescriptionCourte)),""),
  "")),"")</f>
        <v/>
      </c>
      <c r="AE16" s="40" t="str">
        <f ca="1">IFERROR(IF(AND(
  INDEX(Roadmap!$D:$K,MATCH($E16,Roadmap!$D:$D,0)+COUNTIF($E16:AD16,"u")+COUNTIF($E16:AD16,"t")+COUNTIF($E16:AD16,"¶")+COUNTIF($E16:AD16,"²")+COUNTIF($E16:AD16,"µ")+COUNTIF($E16:AD16,1),ColLivraison)=AE$6,
  VLOOKUP($E16,INDIRECT("tri!"&amp; CHAR(64+ C0Col) &amp;":"&amp; CHAR(65+C0Col)),2,FALSE)&gt;COUNTIF($E16:AD16,"u")+COUNTIF($E16:AD16,"t")+COUNTIF($E16:AD16,"¶")+COUNTIF($E16:AD16,"²")+COUNTIF($E16:AD16,"µ")+COUNTIF($E16:AD16,1)),
HYPERLINK("#Roadmap!C"&amp; MATCH($E16,Roadmap!$D:$D,0)+COUNTIF($E16:AD16,"u")+COUNTIF($E16:AD16,"t"),
     INDEX(Roadmap!$D:$K,MATCH($E16,Roadmap!$D:$D,0)+COUNTIF($E16:AD16,"u")+COUNTIF($E16:AD16,"t")+COUNTIF($E16:AD16,"¶")+COUNTIF($E16:AD16,"²")+COUNTIF($E16:AD16,"µ")+COUNTIF($E16:AD16,1),ColTypeEcheance)),
  IF(LEN(AD16)=1,
  IF(LEN(INDEX(Roadmap!$D:$K,MATCH($E16,Roadmap!$D:$D,0)-1+COUNTIF($E16:AD16,"u")+COUNTIF($E16:AD16,"t")+COUNTIF($E16:AD16,"¶")+COUNTIF($E16:AD16,"²")+COUNTIF($E16:AD16,"µ")+COUNTIF($E16:AD16,1),ColDescriptionCourte))&gt;1,
HYPERLINK("#Roadmap!C"&amp; MATCH($E16,Roadmap!$D:$D,0)+COUNTIF($E16:AD16,"u")+COUNTIF($E16:AD16,"t")+COUNTIF($E16:AD16,"¶")+COUNTIF($E16:AD16,"²")+COUNTIF($E16:AD16,"µ")+COUNTIF($E16:AD16,1)-1,INDEX(Roadmap!$D:$K,MATCH($E16,Roadmap!$D:$D,0)-1+COUNTIF($E16:AD16,"u")+COUNTIF($E16:AD16,"t")+COUNTIF($E16:AD16,"¶")+COUNTIF($E16:AD16,"²")+COUNTIF($E16:AD16,"µ")+COUNTIF($E16:AD16,1),ColDescriptionCourte)),""),
  "")),"")</f>
        <v/>
      </c>
      <c r="AF16" s="40" t="str">
        <f ca="1">IFERROR(IF(AND(
  INDEX(Roadmap!$D:$K,MATCH($E16,Roadmap!$D:$D,0)+COUNTIF($E16:AE16,"u")+COUNTIF($E16:AE16,"t")+COUNTIF($E16:AE16,"¶")+COUNTIF($E16:AE16,"²")+COUNTIF($E16:AE16,"µ")+COUNTIF($E16:AE16,1),ColLivraison)=AF$6,
  VLOOKUP($E16,INDIRECT("tri!"&amp; CHAR(64+ C0Col) &amp;":"&amp; CHAR(65+C0Col)),2,FALSE)&gt;COUNTIF($E16:AE16,"u")+COUNTIF($E16:AE16,"t")+COUNTIF($E16:AE16,"¶")+COUNTIF($E16:AE16,"²")+COUNTIF($E16:AE16,"µ")+COUNTIF($E16:AE16,1)),
HYPERLINK("#Roadmap!C"&amp; MATCH($E16,Roadmap!$D:$D,0)+COUNTIF($E16:AE16,"u")+COUNTIF($E16:AE16,"t"),
     INDEX(Roadmap!$D:$K,MATCH($E16,Roadmap!$D:$D,0)+COUNTIF($E16:AE16,"u")+COUNTIF($E16:AE16,"t")+COUNTIF($E16:AE16,"¶")+COUNTIF($E16:AE16,"²")+COUNTIF($E16:AE16,"µ")+COUNTIF($E16:AE16,1),ColTypeEcheance)),
  IF(LEN(AE16)=1,
  IF(LEN(INDEX(Roadmap!$D:$K,MATCH($E16,Roadmap!$D:$D,0)-1+COUNTIF($E16:AE16,"u")+COUNTIF($E16:AE16,"t")+COUNTIF($E16:AE16,"¶")+COUNTIF($E16:AE16,"²")+COUNTIF($E16:AE16,"µ")+COUNTIF($E16:AE16,1),ColDescriptionCourte))&gt;1,
HYPERLINK("#Roadmap!C"&amp; MATCH($E16,Roadmap!$D:$D,0)+COUNTIF($E16:AE16,"u")+COUNTIF($E16:AE16,"t")+COUNTIF($E16:AE16,"¶")+COUNTIF($E16:AE16,"²")+COUNTIF($E16:AE16,"µ")+COUNTIF($E16:AE16,1)-1,INDEX(Roadmap!$D:$K,MATCH($E16,Roadmap!$D:$D,0)-1+COUNTIF($E16:AE16,"u")+COUNTIF($E16:AE16,"t")+COUNTIF($E16:AE16,"¶")+COUNTIF($E16:AE16,"²")+COUNTIF($E16:AE16,"µ")+COUNTIF($E16:AE16,1),ColDescriptionCourte)),""),
  "")),"")</f>
        <v/>
      </c>
      <c r="AG16" s="40" t="str">
        <f ca="1">IFERROR(IF(AND(
  INDEX(Roadmap!$D:$K,MATCH($E16,Roadmap!$D:$D,0)+COUNTIF($E16:AF16,"u")+COUNTIF($E16:AF16,"t")+COUNTIF($E16:AF16,"¶")+COUNTIF($E16:AF16,"²")+COUNTIF($E16:AF16,"µ")+COUNTIF($E16:AF16,1),ColLivraison)=AG$6,
  VLOOKUP($E16,INDIRECT("tri!"&amp; CHAR(64+ C0Col) &amp;":"&amp; CHAR(65+C0Col)),2,FALSE)&gt;COUNTIF($E16:AF16,"u")+COUNTIF($E16:AF16,"t")+COUNTIF($E16:AF16,"¶")+COUNTIF($E16:AF16,"²")+COUNTIF($E16:AF16,"µ")+COUNTIF($E16:AF16,1)),
HYPERLINK("#Roadmap!C"&amp; MATCH($E16,Roadmap!$D:$D,0)+COUNTIF($E16:AF16,"u")+COUNTIF($E16:AF16,"t"),
     INDEX(Roadmap!$D:$K,MATCH($E16,Roadmap!$D:$D,0)+COUNTIF($E16:AF16,"u")+COUNTIF($E16:AF16,"t")+COUNTIF($E16:AF16,"¶")+COUNTIF($E16:AF16,"²")+COUNTIF($E16:AF16,"µ")+COUNTIF($E16:AF16,1),ColTypeEcheance)),
  IF(LEN(AF16)=1,
  IF(LEN(INDEX(Roadmap!$D:$K,MATCH($E16,Roadmap!$D:$D,0)-1+COUNTIF($E16:AF16,"u")+COUNTIF($E16:AF16,"t")+COUNTIF($E16:AF16,"¶")+COUNTIF($E16:AF16,"²")+COUNTIF($E16:AF16,"µ")+COUNTIF($E16:AF16,1),ColDescriptionCourte))&gt;1,
HYPERLINK("#Roadmap!C"&amp; MATCH($E16,Roadmap!$D:$D,0)+COUNTIF($E16:AF16,"u")+COUNTIF($E16:AF16,"t")+COUNTIF($E16:AF16,"¶")+COUNTIF($E16:AF16,"²")+COUNTIF($E16:AF16,"µ")+COUNTIF($E16:AF16,1)-1,INDEX(Roadmap!$D:$K,MATCH($E16,Roadmap!$D:$D,0)-1+COUNTIF($E16:AF16,"u")+COUNTIF($E16:AF16,"t")+COUNTIF($E16:AF16,"¶")+COUNTIF($E16:AF16,"²")+COUNTIF($E16:AF16,"µ")+COUNTIF($E16:AF16,1),ColDescriptionCourte)),""),
  "")),"")</f>
        <v/>
      </c>
    </row>
    <row r="17" spans="3:33" ht="14.25" customHeight="1">
      <c r="C17" s="1" t="str">
        <f t="shared" ca="1" si="42"/>
        <v/>
      </c>
      <c r="D17" s="1" t="str">
        <f t="shared" ca="1" si="43"/>
        <v/>
      </c>
      <c r="E17" s="35" t="str">
        <f t="shared" ca="1" si="33"/>
        <v/>
      </c>
      <c r="F17" s="39" t="str">
        <f ca="1">IFERROR(IF(AND(
  INDEX(Roadmap!$D:$K,MATCH($E17,Roadmap!$D:$D,0)+COUNTIF($E17:E17,"u")+COUNTIF($E17:E17,"t")+COUNTIF($E17:E17,"¶")+COUNTIF($E17:E17,"²")+COUNTIF($E17:E17,"µ")+COUNTIF($E17:E17,1),ColLivraison)=F$6,
  VLOOKUP($E17,INDIRECT("tri!"&amp; CHAR(64+ C0Col) &amp;":"&amp; CHAR(65+C0Col)),2,FALSE)&gt;COUNTIF($E17:E17,"u")+COUNTIF($E17:E17,"t")+COUNTIF($E17:E17,"¶")+COUNTIF($E17:E17,"²")+COUNTIF($E17:E17,"µ")+COUNTIF($E17:E17,1)),
HYPERLINK("#Roadmap!C"&amp; MATCH($E17,Roadmap!$D:$D,0)+COUNTIF($E17:E17,"u")+COUNTIF($E17:E17,"t"),
     INDEX(Roadmap!$D:$K,MATCH($E17,Roadmap!$D:$D,0)+COUNTIF($E17:E17,"u")+COUNTIF($E17:E17,"t")+COUNTIF($E17:E17,"¶")+COUNTIF($E17:E17,"²")+COUNTIF($E17:E17,"µ")+COUNTIF($E17:E17,1),ColTypeEcheance)),
  IF(LEN(E17)=1,
  IF(LEN(INDEX(Roadmap!$D:$K,MATCH($E17,Roadmap!$D:$D,0)-1+COUNTIF($E17:E17,"u")+COUNTIF($E17:E17,"t")+COUNTIF($E17:E17,"¶")+COUNTIF($E17:E17,"²")+COUNTIF($E17:E17,"µ")+COUNTIF($E17:E17,1),ColDescriptionCourte))&gt;1,
HYPERLINK("#Roadmap!C"&amp; MATCH($E17,Roadmap!$D:$D,0)+COUNTIF($E17:E17,"u")+COUNTIF($E17:E17,"t")+COUNTIF($E17:E17,"¶")+COUNTIF($E17:E17,"²")+COUNTIF($E17:E17,"µ")+COUNTIF($E17:E17,1)-1,INDEX(Roadmap!$D:$K,MATCH($E17,Roadmap!$D:$D,0)-1+COUNTIF($E17:E17,"u")+COUNTIF($E17:E17,"t")+COUNTIF($E17:E17,"¶")+COUNTIF($E17:E17,"²")+COUNTIF($E17:E17,"µ")+COUNTIF($E17:E17,1),ColDescriptionCourte)),""),
  "")),"")</f>
        <v/>
      </c>
      <c r="G17" s="40" t="str">
        <f ca="1">IFERROR(IF(AND(
  INDEX(Roadmap!$D:$K,MATCH($E17,Roadmap!$D:$D,0)+COUNTIF($E17:F17,"u")+COUNTIF($E17:F17,"t")+COUNTIF($E17:F17,"¶")+COUNTIF($E17:F17,"²")+COUNTIF($E17:F17,"µ")+COUNTIF($E17:F17,1),ColLivraison)=G$6,
  VLOOKUP($E17,INDIRECT("tri!"&amp; CHAR(64+ C0Col) &amp;":"&amp; CHAR(65+C0Col)),2,FALSE)&gt;COUNTIF($E17:F17,"u")+COUNTIF($E17:F17,"t")+COUNTIF($E17:F17,"¶")+COUNTIF($E17:F17,"²")+COUNTIF($E17:F17,"µ")+COUNTIF($E17:F17,1)),
HYPERLINK("#Roadmap!C"&amp; MATCH($E17,Roadmap!$D:$D,0)+COUNTIF($E17:F17,"u")+COUNTIF($E17:F17,"t"),
     INDEX(Roadmap!$D:$K,MATCH($E17,Roadmap!$D:$D,0)+COUNTIF($E17:F17,"u")+COUNTIF($E17:F17,"t")+COUNTIF($E17:F17,"¶")+COUNTIF($E17:F17,"²")+COUNTIF($E17:F17,"µ")+COUNTIF($E17:F17,1),ColTypeEcheance)),
  IF(LEN(F17)=1,
  IF(LEN(INDEX(Roadmap!$D:$K,MATCH($E17,Roadmap!$D:$D,0)-1+COUNTIF($E17:F17,"u")+COUNTIF($E17:F17,"t")+COUNTIF($E17:F17,"¶")+COUNTIF($E17:F17,"²")+COUNTIF($E17:F17,"µ")+COUNTIF($E17:F17,1),ColDescriptionCourte))&gt;1,
HYPERLINK("#Roadmap!C"&amp; MATCH($E17,Roadmap!$D:$D,0)+COUNTIF($E17:F17,"u")+COUNTIF($E17:F17,"t")+COUNTIF($E17:F17,"¶")+COUNTIF($E17:F17,"²")+COUNTIF($E17:F17,"µ")+COUNTIF($E17:F17,1)-1,INDEX(Roadmap!$D:$K,MATCH($E17,Roadmap!$D:$D,0)-1+COUNTIF($E17:F17,"u")+COUNTIF($E17:F17,"t")+COUNTIF($E17:F17,"¶")+COUNTIF($E17:F17,"²")+COUNTIF($E17:F17,"µ")+COUNTIF($E17:F17,1),ColDescriptionCourte)),""),
  "")),"")</f>
        <v/>
      </c>
      <c r="H17" s="40" t="str">
        <f ca="1">IFERROR(IF(AND(
  INDEX(Roadmap!$D:$K,MATCH($E17,Roadmap!$D:$D,0)+COUNTIF($E17:G17,"u")+COUNTIF($E17:G17,"t")+COUNTIF($E17:G17,"¶")+COUNTIF($E17:G17,"²")+COUNTIF($E17:G17,"µ")+COUNTIF($E17:G17,1),ColLivraison)=H$6,
  VLOOKUP($E17,INDIRECT("tri!"&amp; CHAR(64+ C0Col) &amp;":"&amp; CHAR(65+C0Col)),2,FALSE)&gt;COUNTIF($E17:G17,"u")+COUNTIF($E17:G17,"t")+COUNTIF($E17:G17,"¶")+COUNTIF($E17:G17,"²")+COUNTIF($E17:G17,"µ")+COUNTIF($E17:G17,1)),
HYPERLINK("#Roadmap!C"&amp; MATCH($E17,Roadmap!$D:$D,0)+COUNTIF($E17:G17,"u")+COUNTIF($E17:G17,"t"),
     INDEX(Roadmap!$D:$K,MATCH($E17,Roadmap!$D:$D,0)+COUNTIF($E17:G17,"u")+COUNTIF($E17:G17,"t")+COUNTIF($E17:G17,"¶")+COUNTIF($E17:G17,"²")+COUNTIF($E17:G17,"µ")+COUNTIF($E17:G17,1),ColTypeEcheance)),
  IF(LEN(G17)=1,
  IF(LEN(INDEX(Roadmap!$D:$K,MATCH($E17,Roadmap!$D:$D,0)-1+COUNTIF($E17:G17,"u")+COUNTIF($E17:G17,"t")+COUNTIF($E17:G17,"¶")+COUNTIF($E17:G17,"²")+COUNTIF($E17:G17,"µ")+COUNTIF($E17:G17,1),ColDescriptionCourte))&gt;1,
HYPERLINK("#Roadmap!C"&amp; MATCH($E17,Roadmap!$D:$D,0)+COUNTIF($E17:G17,"u")+COUNTIF($E17:G17,"t")+COUNTIF($E17:G17,"¶")+COUNTIF($E17:G17,"²")+COUNTIF($E17:G17,"µ")+COUNTIF($E17:G17,1)-1,INDEX(Roadmap!$D:$K,MATCH($E17,Roadmap!$D:$D,0)-1+COUNTIF($E17:G17,"u")+COUNTIF($E17:G17,"t")+COUNTIF($E17:G17,"¶")+COUNTIF($E17:G17,"²")+COUNTIF($E17:G17,"µ")+COUNTIF($E17:G17,1),ColDescriptionCourte)),""),
  "")),"")</f>
        <v/>
      </c>
      <c r="I17" s="40" t="str">
        <f ca="1">IFERROR(IF(AND(
  INDEX(Roadmap!$D:$K,MATCH($E17,Roadmap!$D:$D,0)+COUNTIF($E17:H17,"u")+COUNTIF($E17:H17,"t")+COUNTIF($E17:H17,"¶")+COUNTIF($E17:H17,"²")+COUNTIF($E17:H17,"µ")+COUNTIF($E17:H17,1),ColLivraison)=I$6,
  VLOOKUP($E17,INDIRECT("tri!"&amp; CHAR(64+ C0Col) &amp;":"&amp; CHAR(65+C0Col)),2,FALSE)&gt;COUNTIF($E17:H17,"u")+COUNTIF($E17:H17,"t")+COUNTIF($E17:H17,"¶")+COUNTIF($E17:H17,"²")+COUNTIF($E17:H17,"µ")+COUNTIF($E17:H17,1)),
HYPERLINK("#Roadmap!C"&amp; MATCH($E17,Roadmap!$D:$D,0)+COUNTIF($E17:H17,"u")+COUNTIF($E17:H17,"t"),
     INDEX(Roadmap!$D:$K,MATCH($E17,Roadmap!$D:$D,0)+COUNTIF($E17:H17,"u")+COUNTIF($E17:H17,"t")+COUNTIF($E17:H17,"¶")+COUNTIF($E17:H17,"²")+COUNTIF($E17:H17,"µ")+COUNTIF($E17:H17,1),ColTypeEcheance)),
  IF(LEN(H17)=1,
  IF(LEN(INDEX(Roadmap!$D:$K,MATCH($E17,Roadmap!$D:$D,0)-1+COUNTIF($E17:H17,"u")+COUNTIF($E17:H17,"t")+COUNTIF($E17:H17,"¶")+COUNTIF($E17:H17,"²")+COUNTIF($E17:H17,"µ")+COUNTIF($E17:H17,1),ColDescriptionCourte))&gt;1,
HYPERLINK("#Roadmap!C"&amp; MATCH($E17,Roadmap!$D:$D,0)+COUNTIF($E17:H17,"u")+COUNTIF($E17:H17,"t")+COUNTIF($E17:H17,"¶")+COUNTIF($E17:H17,"²")+COUNTIF($E17:H17,"µ")+COUNTIF($E17:H17,1)-1,INDEX(Roadmap!$D:$K,MATCH($E17,Roadmap!$D:$D,0)-1+COUNTIF($E17:H17,"u")+COUNTIF($E17:H17,"t")+COUNTIF($E17:H17,"¶")+COUNTIF($E17:H17,"²")+COUNTIF($E17:H17,"µ")+COUNTIF($E17:H17,1),ColDescriptionCourte)),""),
  "")),"")</f>
        <v/>
      </c>
      <c r="J17" s="40" t="str">
        <f ca="1">IFERROR(IF(AND(
  INDEX(Roadmap!$D:$K,MATCH($E17,Roadmap!$D:$D,0)+COUNTIF($E17:I17,"u")+COUNTIF($E17:I17,"t")+COUNTIF($E17:I17,"¶")+COUNTIF($E17:I17,"²")+COUNTIF($E17:I17,"µ")+COUNTIF($E17:I17,1),ColLivraison)=J$6,
  VLOOKUP($E17,INDIRECT("tri!"&amp; CHAR(64+ C0Col) &amp;":"&amp; CHAR(65+C0Col)),2,FALSE)&gt;COUNTIF($E17:I17,"u")+COUNTIF($E17:I17,"t")+COUNTIF($E17:I17,"¶")+COUNTIF($E17:I17,"²")+COUNTIF($E17:I17,"µ")+COUNTIF($E17:I17,1)),
HYPERLINK("#Roadmap!C"&amp; MATCH($E17,Roadmap!$D:$D,0)+COUNTIF($E17:I17,"u")+COUNTIF($E17:I17,"t"),
     INDEX(Roadmap!$D:$K,MATCH($E17,Roadmap!$D:$D,0)+COUNTIF($E17:I17,"u")+COUNTIF($E17:I17,"t")+COUNTIF($E17:I17,"¶")+COUNTIF($E17:I17,"²")+COUNTIF($E17:I17,"µ")+COUNTIF($E17:I17,1),ColTypeEcheance)),
  IF(LEN(I17)=1,
  IF(LEN(INDEX(Roadmap!$D:$K,MATCH($E17,Roadmap!$D:$D,0)-1+COUNTIF($E17:I17,"u")+COUNTIF($E17:I17,"t")+COUNTIF($E17:I17,"¶")+COUNTIF($E17:I17,"²")+COUNTIF($E17:I17,"µ")+COUNTIF($E17:I17,1),ColDescriptionCourte))&gt;1,
HYPERLINK("#Roadmap!C"&amp; MATCH($E17,Roadmap!$D:$D,0)+COUNTIF($E17:I17,"u")+COUNTIF($E17:I17,"t")+COUNTIF($E17:I17,"¶")+COUNTIF($E17:I17,"²")+COUNTIF($E17:I17,"µ")+COUNTIF($E17:I17,1)-1,INDEX(Roadmap!$D:$K,MATCH($E17,Roadmap!$D:$D,0)-1+COUNTIF($E17:I17,"u")+COUNTIF($E17:I17,"t")+COUNTIF($E17:I17,"¶")+COUNTIF($E17:I17,"²")+COUNTIF($E17:I17,"µ")+COUNTIF($E17:I17,1),ColDescriptionCourte)),""),
  "")),"")</f>
        <v/>
      </c>
      <c r="K17" s="40" t="str">
        <f ca="1">IFERROR(IF(AND(
  INDEX(Roadmap!$D:$K,MATCH($E17,Roadmap!$D:$D,0)+COUNTIF($E17:J17,"u")+COUNTIF($E17:J17,"t")+COUNTIF($E17:J17,"¶")+COUNTIF($E17:J17,"²")+COUNTIF($E17:J17,"µ")+COUNTIF($E17:J17,1),ColLivraison)=K$6,
  VLOOKUP($E17,INDIRECT("tri!"&amp; CHAR(64+ C0Col) &amp;":"&amp; CHAR(65+C0Col)),2,FALSE)&gt;COUNTIF($E17:J17,"u")+COUNTIF($E17:J17,"t")+COUNTIF($E17:J17,"¶")+COUNTIF($E17:J17,"²")+COUNTIF($E17:J17,"µ")+COUNTIF($E17:J17,1)),
HYPERLINK("#Roadmap!C"&amp; MATCH($E17,Roadmap!$D:$D,0)+COUNTIF($E17:J17,"u")+COUNTIF($E17:J17,"t"),
     INDEX(Roadmap!$D:$K,MATCH($E17,Roadmap!$D:$D,0)+COUNTIF($E17:J17,"u")+COUNTIF($E17:J17,"t")+COUNTIF($E17:J17,"¶")+COUNTIF($E17:J17,"²")+COUNTIF($E17:J17,"µ")+COUNTIF($E17:J17,1),ColTypeEcheance)),
  IF(LEN(J17)=1,
  IF(LEN(INDEX(Roadmap!$D:$K,MATCH($E17,Roadmap!$D:$D,0)-1+COUNTIF($E17:J17,"u")+COUNTIF($E17:J17,"t")+COUNTIF($E17:J17,"¶")+COUNTIF($E17:J17,"²")+COUNTIF($E17:J17,"µ")+COUNTIF($E17:J17,1),ColDescriptionCourte))&gt;1,
HYPERLINK("#Roadmap!C"&amp; MATCH($E17,Roadmap!$D:$D,0)+COUNTIF($E17:J17,"u")+COUNTIF($E17:J17,"t")+COUNTIF($E17:J17,"¶")+COUNTIF($E17:J17,"²")+COUNTIF($E17:J17,"µ")+COUNTIF($E17:J17,1)-1,INDEX(Roadmap!$D:$K,MATCH($E17,Roadmap!$D:$D,0)-1+COUNTIF($E17:J17,"u")+COUNTIF($E17:J17,"t")+COUNTIF($E17:J17,"¶")+COUNTIF($E17:J17,"²")+COUNTIF($E17:J17,"µ")+COUNTIF($E17:J17,1),ColDescriptionCourte)),""),
  "")),"")</f>
        <v/>
      </c>
      <c r="L17" s="39" t="str">
        <f ca="1">IFERROR(IF(AND(
  INDEX(Roadmap!$D:$K,MATCH($E17,Roadmap!$D:$D,0)+COUNTIF($E17:K17,"u")+COUNTIF($E17:K17,"t")+COUNTIF($E17:K17,"¶")+COUNTIF($E17:K17,"²")+COUNTIF($E17:K17,"µ")+COUNTIF($E17:K17,1),ColLivraison)=L$6,
  VLOOKUP($E17,INDIRECT("tri!"&amp; CHAR(64+ C0Col) &amp;":"&amp; CHAR(65+C0Col)),2,FALSE)&gt;COUNTIF($E17:K17,"u")+COUNTIF($E17:K17,"t")+COUNTIF($E17:K17,"¶")+COUNTIF($E17:K17,"²")+COUNTIF($E17:K17,"µ")+COUNTIF($E17:K17,1)),
HYPERLINK("#Roadmap!C"&amp; MATCH($E17,Roadmap!$D:$D,0)+COUNTIF($E17:K17,"u")+COUNTIF($E17:K17,"t"),
     INDEX(Roadmap!$D:$K,MATCH($E17,Roadmap!$D:$D,0)+COUNTIF($E17:K17,"u")+COUNTIF($E17:K17,"t")+COUNTIF($E17:K17,"¶")+COUNTIF($E17:K17,"²")+COUNTIF($E17:K17,"µ")+COUNTIF($E17:K17,1),ColTypeEcheance)),
  IF(LEN(K17)=1,
  IF(LEN(INDEX(Roadmap!$D:$K,MATCH($E17,Roadmap!$D:$D,0)-1+COUNTIF($E17:K17,"u")+COUNTIF($E17:K17,"t")+COUNTIF($E17:K17,"¶")+COUNTIF($E17:K17,"²")+COUNTIF($E17:K17,"µ")+COUNTIF($E17:K17,1),ColDescriptionCourte))&gt;1,
HYPERLINK("#Roadmap!C"&amp; MATCH($E17,Roadmap!$D:$D,0)+COUNTIF($E17:K17,"u")+COUNTIF($E17:K17,"t")+COUNTIF($E17:K17,"¶")+COUNTIF($E17:K17,"²")+COUNTIF($E17:K17,"µ")+COUNTIF($E17:K17,1)-1,INDEX(Roadmap!$D:$K,MATCH($E17,Roadmap!$D:$D,0)-1+COUNTIF($E17:K17,"u")+COUNTIF($E17:K17,"t")+COUNTIF($E17:K17,"¶")+COUNTIF($E17:K17,"²")+COUNTIF($E17:K17,"µ")+COUNTIF($E17:K17,1),ColDescriptionCourte)),""),
  "")),"")</f>
        <v/>
      </c>
      <c r="M17" s="40" t="str">
        <f ca="1">IFERROR(IF(AND(
  INDEX(Roadmap!$D:$K,MATCH($E17,Roadmap!$D:$D,0)+COUNTIF($E17:L17,"u")+COUNTIF($E17:L17,"t")+COUNTIF($E17:L17,"¶")+COUNTIF($E17:L17,"²")+COUNTIF($E17:L17,"µ")+COUNTIF($E17:L17,1),ColLivraison)=M$6,
  VLOOKUP($E17,INDIRECT("tri!"&amp; CHAR(64+ C0Col) &amp;":"&amp; CHAR(65+C0Col)),2,FALSE)&gt;COUNTIF($E17:L17,"u")+COUNTIF($E17:L17,"t")+COUNTIF($E17:L17,"¶")+COUNTIF($E17:L17,"²")+COUNTIF($E17:L17,"µ")+COUNTIF($E17:L17,1)),
HYPERLINK("#Roadmap!C"&amp; MATCH($E17,Roadmap!$D:$D,0)+COUNTIF($E17:L17,"u")+COUNTIF($E17:L17,"t"),
     INDEX(Roadmap!$D:$K,MATCH($E17,Roadmap!$D:$D,0)+COUNTIF($E17:L17,"u")+COUNTIF($E17:L17,"t")+COUNTIF($E17:L17,"¶")+COUNTIF($E17:L17,"²")+COUNTIF($E17:L17,"µ")+COUNTIF($E17:L17,1),ColTypeEcheance)),
  IF(LEN(L17)=1,
  IF(LEN(INDEX(Roadmap!$D:$K,MATCH($E17,Roadmap!$D:$D,0)-1+COUNTIF($E17:L17,"u")+COUNTIF($E17:L17,"t")+COUNTIF($E17:L17,"¶")+COUNTIF($E17:L17,"²")+COUNTIF($E17:L17,"µ")+COUNTIF($E17:L17,1),ColDescriptionCourte))&gt;1,
HYPERLINK("#Roadmap!C"&amp; MATCH($E17,Roadmap!$D:$D,0)+COUNTIF($E17:L17,"u")+COUNTIF($E17:L17,"t")+COUNTIF($E17:L17,"¶")+COUNTIF($E17:L17,"²")+COUNTIF($E17:L17,"µ")+COUNTIF($E17:L17,1)-1,INDEX(Roadmap!$D:$K,MATCH($E17,Roadmap!$D:$D,0)-1+COUNTIF($E17:L17,"u")+COUNTIF($E17:L17,"t")+COUNTIF($E17:L17,"¶")+COUNTIF($E17:L17,"²")+COUNTIF($E17:L17,"µ")+COUNTIF($E17:L17,1),ColDescriptionCourte)),""),
  "")),"")</f>
        <v/>
      </c>
      <c r="N17" s="40" t="str">
        <f ca="1">IFERROR(IF(AND(
  INDEX(Roadmap!$D:$K,MATCH($E17,Roadmap!$D:$D,0)+COUNTIF($E17:M17,"u")+COUNTIF($E17:M17,"t")+COUNTIF($E17:M17,"¶")+COUNTIF($E17:M17,"²")+COUNTIF($E17:M17,"µ")+COUNTIF($E17:M17,1),ColLivraison)=N$6,
  VLOOKUP($E17,INDIRECT("tri!"&amp; CHAR(64+ C0Col) &amp;":"&amp; CHAR(65+C0Col)),2,FALSE)&gt;COUNTIF($E17:M17,"u")+COUNTIF($E17:M17,"t")+COUNTIF($E17:M17,"¶")+COUNTIF($E17:M17,"²")+COUNTIF($E17:M17,"µ")+COUNTIF($E17:M17,1)),
HYPERLINK("#Roadmap!C"&amp; MATCH($E17,Roadmap!$D:$D,0)+COUNTIF($E17:M17,"u")+COUNTIF($E17:M17,"t"),
     INDEX(Roadmap!$D:$K,MATCH($E17,Roadmap!$D:$D,0)+COUNTIF($E17:M17,"u")+COUNTIF($E17:M17,"t")+COUNTIF($E17:M17,"¶")+COUNTIF($E17:M17,"²")+COUNTIF($E17:M17,"µ")+COUNTIF($E17:M17,1),ColTypeEcheance)),
  IF(LEN(M17)=1,
  IF(LEN(INDEX(Roadmap!$D:$K,MATCH($E17,Roadmap!$D:$D,0)-1+COUNTIF($E17:M17,"u")+COUNTIF($E17:M17,"t")+COUNTIF($E17:M17,"¶")+COUNTIF($E17:M17,"²")+COUNTIF($E17:M17,"µ")+COUNTIF($E17:M17,1),ColDescriptionCourte))&gt;1,
HYPERLINK("#Roadmap!C"&amp; MATCH($E17,Roadmap!$D:$D,0)+COUNTIF($E17:M17,"u")+COUNTIF($E17:M17,"t")+COUNTIF($E17:M17,"¶")+COUNTIF($E17:M17,"²")+COUNTIF($E17:M17,"µ")+COUNTIF($E17:M17,1)-1,INDEX(Roadmap!$D:$K,MATCH($E17,Roadmap!$D:$D,0)-1+COUNTIF($E17:M17,"u")+COUNTIF($E17:M17,"t")+COUNTIF($E17:M17,"¶")+COUNTIF($E17:M17,"²")+COUNTIF($E17:M17,"µ")+COUNTIF($E17:M17,1),ColDescriptionCourte)),""),
  "")),"")</f>
        <v/>
      </c>
      <c r="O17" s="40" t="str">
        <f ca="1">IFERROR(IF(AND(
  INDEX(Roadmap!$D:$K,MATCH($E17,Roadmap!$D:$D,0)+COUNTIF($E17:N17,"u")+COUNTIF($E17:N17,"t")+COUNTIF($E17:N17,"¶")+COUNTIF($E17:N17,"²")+COUNTIF($E17:N17,"µ")+COUNTIF($E17:N17,1),ColLivraison)=O$6,
  VLOOKUP($E17,INDIRECT("tri!"&amp; CHAR(64+ C0Col) &amp;":"&amp; CHAR(65+C0Col)),2,FALSE)&gt;COUNTIF($E17:N17,"u")+COUNTIF($E17:N17,"t")+COUNTIF($E17:N17,"¶")+COUNTIF($E17:N17,"²")+COUNTIF($E17:N17,"µ")+COUNTIF($E17:N17,1)),
HYPERLINK("#Roadmap!C"&amp; MATCH($E17,Roadmap!$D:$D,0)+COUNTIF($E17:N17,"u")+COUNTIF($E17:N17,"t"),
     INDEX(Roadmap!$D:$K,MATCH($E17,Roadmap!$D:$D,0)+COUNTIF($E17:N17,"u")+COUNTIF($E17:N17,"t")+COUNTIF($E17:N17,"¶")+COUNTIF($E17:N17,"²")+COUNTIF($E17:N17,"µ")+COUNTIF($E17:N17,1),ColTypeEcheance)),
  IF(LEN(N17)=1,
  IF(LEN(INDEX(Roadmap!$D:$K,MATCH($E17,Roadmap!$D:$D,0)-1+COUNTIF($E17:N17,"u")+COUNTIF($E17:N17,"t")+COUNTIF($E17:N17,"¶")+COUNTIF($E17:N17,"²")+COUNTIF($E17:N17,"µ")+COUNTIF($E17:N17,1),ColDescriptionCourte))&gt;1,
HYPERLINK("#Roadmap!C"&amp; MATCH($E17,Roadmap!$D:$D,0)+COUNTIF($E17:N17,"u")+COUNTIF($E17:N17,"t")+COUNTIF($E17:N17,"¶")+COUNTIF($E17:N17,"²")+COUNTIF($E17:N17,"µ")+COUNTIF($E17:N17,1)-1,INDEX(Roadmap!$D:$K,MATCH($E17,Roadmap!$D:$D,0)-1+COUNTIF($E17:N17,"u")+COUNTIF($E17:N17,"t")+COUNTIF($E17:N17,"¶")+COUNTIF($E17:N17,"²")+COUNTIF($E17:N17,"µ")+COUNTIF($E17:N17,1),ColDescriptionCourte)),""),
  "")),"")</f>
        <v/>
      </c>
      <c r="P17" s="40" t="str">
        <f ca="1">IFERROR(IF(AND(
  INDEX(Roadmap!$D:$K,MATCH($E17,Roadmap!$D:$D,0)+COUNTIF($E17:O17,"u")+COUNTIF($E17:O17,"t")+COUNTIF($E17:O17,"¶")+COUNTIF($E17:O17,"²")+COUNTIF($E17:O17,"µ")+COUNTIF($E17:O17,1),ColLivraison)=P$6,
  VLOOKUP($E17,INDIRECT("tri!"&amp; CHAR(64+ C0Col) &amp;":"&amp; CHAR(65+C0Col)),2,FALSE)&gt;COUNTIF($E17:O17,"u")+COUNTIF($E17:O17,"t")+COUNTIF($E17:O17,"¶")+COUNTIF($E17:O17,"²")+COUNTIF($E17:O17,"µ")+COUNTIF($E17:O17,1)),
HYPERLINK("#Roadmap!C"&amp; MATCH($E17,Roadmap!$D:$D,0)+COUNTIF($E17:O17,"u")+COUNTIF($E17:O17,"t"),
     INDEX(Roadmap!$D:$K,MATCH($E17,Roadmap!$D:$D,0)+COUNTIF($E17:O17,"u")+COUNTIF($E17:O17,"t")+COUNTIF($E17:O17,"¶")+COUNTIF($E17:O17,"²")+COUNTIF($E17:O17,"µ")+COUNTIF($E17:O17,1),ColTypeEcheance)),
  IF(LEN(O17)=1,
  IF(LEN(INDEX(Roadmap!$D:$K,MATCH($E17,Roadmap!$D:$D,0)-1+COUNTIF($E17:O17,"u")+COUNTIF($E17:O17,"t")+COUNTIF($E17:O17,"¶")+COUNTIF($E17:O17,"²")+COUNTIF($E17:O17,"µ")+COUNTIF($E17:O17,1),ColDescriptionCourte))&gt;1,
HYPERLINK("#Roadmap!C"&amp; MATCH($E17,Roadmap!$D:$D,0)+COUNTIF($E17:O17,"u")+COUNTIF($E17:O17,"t")+COUNTIF($E17:O17,"¶")+COUNTIF($E17:O17,"²")+COUNTIF($E17:O17,"µ")+COUNTIF($E17:O17,1)-1,INDEX(Roadmap!$D:$K,MATCH($E17,Roadmap!$D:$D,0)-1+COUNTIF($E17:O17,"u")+COUNTIF($E17:O17,"t")+COUNTIF($E17:O17,"¶")+COUNTIF($E17:O17,"²")+COUNTIF($E17:O17,"µ")+COUNTIF($E17:O17,1),ColDescriptionCourte)),""),
  "")),"")</f>
        <v/>
      </c>
      <c r="Q17" s="40" t="str">
        <f ca="1">IFERROR(IF(AND(
  INDEX(Roadmap!$D:$K,MATCH($E17,Roadmap!$D:$D,0)+COUNTIF($E17:P17,"u")+COUNTIF($E17:P17,"t")+COUNTIF($E17:P17,"¶")+COUNTIF($E17:P17,"²")+COUNTIF($E17:P17,"µ")+COUNTIF($E17:P17,1),ColLivraison)=Q$6,
  VLOOKUP($E17,INDIRECT("tri!"&amp; CHAR(64+ C0Col) &amp;":"&amp; CHAR(65+C0Col)),2,FALSE)&gt;COUNTIF($E17:P17,"u")+COUNTIF($E17:P17,"t")+COUNTIF($E17:P17,"¶")+COUNTIF($E17:P17,"²")+COUNTIF($E17:P17,"µ")+COUNTIF($E17:P17,1)),
HYPERLINK("#Roadmap!C"&amp; MATCH($E17,Roadmap!$D:$D,0)+COUNTIF($E17:P17,"u")+COUNTIF($E17:P17,"t"),
     INDEX(Roadmap!$D:$K,MATCH($E17,Roadmap!$D:$D,0)+COUNTIF($E17:P17,"u")+COUNTIF($E17:P17,"t")+COUNTIF($E17:P17,"¶")+COUNTIF($E17:P17,"²")+COUNTIF($E17:P17,"µ")+COUNTIF($E17:P17,1),ColTypeEcheance)),
  IF(LEN(P17)=1,
  IF(LEN(INDEX(Roadmap!$D:$K,MATCH($E17,Roadmap!$D:$D,0)-1+COUNTIF($E17:P17,"u")+COUNTIF($E17:P17,"t")+COUNTIF($E17:P17,"¶")+COUNTIF($E17:P17,"²")+COUNTIF($E17:P17,"µ")+COUNTIF($E17:P17,1),ColDescriptionCourte))&gt;1,
HYPERLINK("#Roadmap!C"&amp; MATCH($E17,Roadmap!$D:$D,0)+COUNTIF($E17:P17,"u")+COUNTIF($E17:P17,"t")+COUNTIF($E17:P17,"¶")+COUNTIF($E17:P17,"²")+COUNTIF($E17:P17,"µ")+COUNTIF($E17:P17,1)-1,INDEX(Roadmap!$D:$K,MATCH($E17,Roadmap!$D:$D,0)-1+COUNTIF($E17:P17,"u")+COUNTIF($E17:P17,"t")+COUNTIF($E17:P17,"¶")+COUNTIF($E17:P17,"²")+COUNTIF($E17:P17,"µ")+COUNTIF($E17:P17,1),ColDescriptionCourte)),""),
  "")),"")</f>
        <v/>
      </c>
      <c r="R17" s="40" t="str">
        <f ca="1">IFERROR(IF(AND(
  INDEX(Roadmap!$D:$K,MATCH($E17,Roadmap!$D:$D,0)+COUNTIF($E17:Q17,"u")+COUNTIF($E17:Q17,"t")+COUNTIF($E17:Q17,"¶")+COUNTIF($E17:Q17,"²")+COUNTIF($E17:Q17,"µ")+COUNTIF($E17:Q17,1),ColLivraison)=R$6,
  VLOOKUP($E17,INDIRECT("tri!"&amp; CHAR(64+ C0Col) &amp;":"&amp; CHAR(65+C0Col)),2,FALSE)&gt;COUNTIF($E17:Q17,"u")+COUNTIF($E17:Q17,"t")+COUNTIF($E17:Q17,"¶")+COUNTIF($E17:Q17,"²")+COUNTIF($E17:Q17,"µ")+COUNTIF($E17:Q17,1)),
HYPERLINK("#Roadmap!C"&amp; MATCH($E17,Roadmap!$D:$D,0)+COUNTIF($E17:Q17,"u")+COUNTIF($E17:Q17,"t"),
     INDEX(Roadmap!$D:$K,MATCH($E17,Roadmap!$D:$D,0)+COUNTIF($E17:Q17,"u")+COUNTIF($E17:Q17,"t")+COUNTIF($E17:Q17,"¶")+COUNTIF($E17:Q17,"²")+COUNTIF($E17:Q17,"µ")+COUNTIF($E17:Q17,1),ColTypeEcheance)),
  IF(LEN(Q17)=1,
  IF(LEN(INDEX(Roadmap!$D:$K,MATCH($E17,Roadmap!$D:$D,0)-1+COUNTIF($E17:Q17,"u")+COUNTIF($E17:Q17,"t")+COUNTIF($E17:Q17,"¶")+COUNTIF($E17:Q17,"²")+COUNTIF($E17:Q17,"µ")+COUNTIF($E17:Q17,1),ColDescriptionCourte))&gt;1,
HYPERLINK("#Roadmap!C"&amp; MATCH($E17,Roadmap!$D:$D,0)+COUNTIF($E17:Q17,"u")+COUNTIF($E17:Q17,"t")+COUNTIF($E17:Q17,"¶")+COUNTIF($E17:Q17,"²")+COUNTIF($E17:Q17,"µ")+COUNTIF($E17:Q17,1)-1,INDEX(Roadmap!$D:$K,MATCH($E17,Roadmap!$D:$D,0)-1+COUNTIF($E17:Q17,"u")+COUNTIF($E17:Q17,"t")+COUNTIF($E17:Q17,"¶")+COUNTIF($E17:Q17,"²")+COUNTIF($E17:Q17,"µ")+COUNTIF($E17:Q17,1),ColDescriptionCourte)),""),
  "")),"")</f>
        <v/>
      </c>
      <c r="S17" s="40" t="str">
        <f ca="1">IFERROR(IF(AND(
  INDEX(Roadmap!$D:$K,MATCH($E17,Roadmap!$D:$D,0)+COUNTIF($E17:R17,"u")+COUNTIF($E17:R17,"t")+COUNTIF($E17:R17,"¶")+COUNTIF($E17:R17,"²")+COUNTIF($E17:R17,"µ")+COUNTIF($E17:R17,1),ColLivraison)=S$6,
  VLOOKUP($E17,INDIRECT("tri!"&amp; CHAR(64+ C0Col) &amp;":"&amp; CHAR(65+C0Col)),2,FALSE)&gt;COUNTIF($E17:R17,"u")+COUNTIF($E17:R17,"t")+COUNTIF($E17:R17,"¶")+COUNTIF($E17:R17,"²")+COUNTIF($E17:R17,"µ")+COUNTIF($E17:R17,1)),
HYPERLINK("#Roadmap!C"&amp; MATCH($E17,Roadmap!$D:$D,0)+COUNTIF($E17:R17,"u")+COUNTIF($E17:R17,"t"),
     INDEX(Roadmap!$D:$K,MATCH($E17,Roadmap!$D:$D,0)+COUNTIF($E17:R17,"u")+COUNTIF($E17:R17,"t")+COUNTIF($E17:R17,"¶")+COUNTIF($E17:R17,"²")+COUNTIF($E17:R17,"µ")+COUNTIF($E17:R17,1),ColTypeEcheance)),
  IF(LEN(R17)=1,
  IF(LEN(INDEX(Roadmap!$D:$K,MATCH($E17,Roadmap!$D:$D,0)-1+COUNTIF($E17:R17,"u")+COUNTIF($E17:R17,"t")+COUNTIF($E17:R17,"¶")+COUNTIF($E17:R17,"²")+COUNTIF($E17:R17,"µ")+COUNTIF($E17:R17,1),ColDescriptionCourte))&gt;1,
HYPERLINK("#Roadmap!C"&amp; MATCH($E17,Roadmap!$D:$D,0)+COUNTIF($E17:R17,"u")+COUNTIF($E17:R17,"t")+COUNTIF($E17:R17,"¶")+COUNTIF($E17:R17,"²")+COUNTIF($E17:R17,"µ")+COUNTIF($E17:R17,1)-1,INDEX(Roadmap!$D:$K,MATCH($E17,Roadmap!$D:$D,0)-1+COUNTIF($E17:R17,"u")+COUNTIF($E17:R17,"t")+COUNTIF($E17:R17,"¶")+COUNTIF($E17:R17,"²")+COUNTIF($E17:R17,"µ")+COUNTIF($E17:R17,1),ColDescriptionCourte)),""),
  "")),"")</f>
        <v/>
      </c>
      <c r="T17" s="40" t="str">
        <f ca="1">IFERROR(IF(AND(
  INDEX(Roadmap!$D:$K,MATCH($E17,Roadmap!$D:$D,0)+COUNTIF($E17:S17,"u")+COUNTIF($E17:S17,"t")+COUNTIF($E17:S17,"¶")+COUNTIF($E17:S17,"²")+COUNTIF($E17:S17,"µ")+COUNTIF($E17:S17,1),ColLivraison)=T$6,
  VLOOKUP($E17,INDIRECT("tri!"&amp; CHAR(64+ C0Col) &amp;":"&amp; CHAR(65+C0Col)),2,FALSE)&gt;COUNTIF($E17:S17,"u")+COUNTIF($E17:S17,"t")+COUNTIF($E17:S17,"¶")+COUNTIF($E17:S17,"²")+COUNTIF($E17:S17,"µ")+COUNTIF($E17:S17,1)),
HYPERLINK("#Roadmap!C"&amp; MATCH($E17,Roadmap!$D:$D,0)+COUNTIF($E17:S17,"u")+COUNTIF($E17:S17,"t"),
     INDEX(Roadmap!$D:$K,MATCH($E17,Roadmap!$D:$D,0)+COUNTIF($E17:S17,"u")+COUNTIF($E17:S17,"t")+COUNTIF($E17:S17,"¶")+COUNTIF($E17:S17,"²")+COUNTIF($E17:S17,"µ")+COUNTIF($E17:S17,1),ColTypeEcheance)),
  IF(LEN(S17)=1,
  IF(LEN(INDEX(Roadmap!$D:$K,MATCH($E17,Roadmap!$D:$D,0)-1+COUNTIF($E17:S17,"u")+COUNTIF($E17:S17,"t")+COUNTIF($E17:S17,"¶")+COUNTIF($E17:S17,"²")+COUNTIF($E17:S17,"µ")+COUNTIF($E17:S17,1),ColDescriptionCourte))&gt;1,
HYPERLINK("#Roadmap!C"&amp; MATCH($E17,Roadmap!$D:$D,0)+COUNTIF($E17:S17,"u")+COUNTIF($E17:S17,"t")+COUNTIF($E17:S17,"¶")+COUNTIF($E17:S17,"²")+COUNTIF($E17:S17,"µ")+COUNTIF($E17:S17,1)-1,INDEX(Roadmap!$D:$K,MATCH($E17,Roadmap!$D:$D,0)-1+COUNTIF($E17:S17,"u")+COUNTIF($E17:S17,"t")+COUNTIF($E17:S17,"¶")+COUNTIF($E17:S17,"²")+COUNTIF($E17:S17,"µ")+COUNTIF($E17:S17,1),ColDescriptionCourte)),""),
  "")),"")</f>
        <v/>
      </c>
      <c r="U17" s="40" t="str">
        <f ca="1">IFERROR(IF(AND(
  INDEX(Roadmap!$D:$K,MATCH($E17,Roadmap!$D:$D,0)+COUNTIF($E17:T17,"u")+COUNTIF($E17:T17,"t")+COUNTIF($E17:T17,"¶")+COUNTIF($E17:T17,"²")+COUNTIF($E17:T17,"µ")+COUNTIF($E17:T17,1),ColLivraison)=U$6,
  VLOOKUP($E17,INDIRECT("tri!"&amp; CHAR(64+ C0Col) &amp;":"&amp; CHAR(65+C0Col)),2,FALSE)&gt;COUNTIF($E17:T17,"u")+COUNTIF($E17:T17,"t")+COUNTIF($E17:T17,"¶")+COUNTIF($E17:T17,"²")+COUNTIF($E17:T17,"µ")+COUNTIF($E17:T17,1)),
HYPERLINK("#Roadmap!C"&amp; MATCH($E17,Roadmap!$D:$D,0)+COUNTIF($E17:T17,"u")+COUNTIF($E17:T17,"t"),
     INDEX(Roadmap!$D:$K,MATCH($E17,Roadmap!$D:$D,0)+COUNTIF($E17:T17,"u")+COUNTIF($E17:T17,"t")+COUNTIF($E17:T17,"¶")+COUNTIF($E17:T17,"²")+COUNTIF($E17:T17,"µ")+COUNTIF($E17:T17,1),ColTypeEcheance)),
  IF(LEN(T17)=1,
  IF(LEN(INDEX(Roadmap!$D:$K,MATCH($E17,Roadmap!$D:$D,0)-1+COUNTIF($E17:T17,"u")+COUNTIF($E17:T17,"t")+COUNTIF($E17:T17,"¶")+COUNTIF($E17:T17,"²")+COUNTIF($E17:T17,"µ")+COUNTIF($E17:T17,1),ColDescriptionCourte))&gt;1,
HYPERLINK("#Roadmap!C"&amp; MATCH($E17,Roadmap!$D:$D,0)+COUNTIF($E17:T17,"u")+COUNTIF($E17:T17,"t")+COUNTIF($E17:T17,"¶")+COUNTIF($E17:T17,"²")+COUNTIF($E17:T17,"µ")+COUNTIF($E17:T17,1)-1,INDEX(Roadmap!$D:$K,MATCH($E17,Roadmap!$D:$D,0)-1+COUNTIF($E17:T17,"u")+COUNTIF($E17:T17,"t")+COUNTIF($E17:T17,"¶")+COUNTIF($E17:T17,"²")+COUNTIF($E17:T17,"µ")+COUNTIF($E17:T17,1),ColDescriptionCourte)),""),
  "")),"")</f>
        <v/>
      </c>
      <c r="V17" s="40" t="str">
        <f ca="1">IFERROR(IF(AND(
  INDEX(Roadmap!$D:$K,MATCH($E17,Roadmap!$D:$D,0)+COUNTIF($E17:U17,"u")+COUNTIF($E17:U17,"t")+COUNTIF($E17:U17,"¶")+COUNTIF($E17:U17,"²")+COUNTIF($E17:U17,"µ")+COUNTIF($E17:U17,1),ColLivraison)=V$6,
  VLOOKUP($E17,INDIRECT("tri!"&amp; CHAR(64+ C0Col) &amp;":"&amp; CHAR(65+C0Col)),2,FALSE)&gt;COUNTIF($E17:U17,"u")+COUNTIF($E17:U17,"t")+COUNTIF($E17:U17,"¶")+COUNTIF($E17:U17,"²")+COUNTIF($E17:U17,"µ")+COUNTIF($E17:U17,1)),
HYPERLINK("#Roadmap!C"&amp; MATCH($E17,Roadmap!$D:$D,0)+COUNTIF($E17:U17,"u")+COUNTIF($E17:U17,"t"),
     INDEX(Roadmap!$D:$K,MATCH($E17,Roadmap!$D:$D,0)+COUNTIF($E17:U17,"u")+COUNTIF($E17:U17,"t")+COUNTIF($E17:U17,"¶")+COUNTIF($E17:U17,"²")+COUNTIF($E17:U17,"µ")+COUNTIF($E17:U17,1),ColTypeEcheance)),
  IF(LEN(U17)=1,
  IF(LEN(INDEX(Roadmap!$D:$K,MATCH($E17,Roadmap!$D:$D,0)-1+COUNTIF($E17:U17,"u")+COUNTIF($E17:U17,"t")+COUNTIF($E17:U17,"¶")+COUNTIF($E17:U17,"²")+COUNTIF($E17:U17,"µ")+COUNTIF($E17:U17,1),ColDescriptionCourte))&gt;1,
HYPERLINK("#Roadmap!C"&amp; MATCH($E17,Roadmap!$D:$D,0)+COUNTIF($E17:U17,"u")+COUNTIF($E17:U17,"t")+COUNTIF($E17:U17,"¶")+COUNTIF($E17:U17,"²")+COUNTIF($E17:U17,"µ")+COUNTIF($E17:U17,1)-1,INDEX(Roadmap!$D:$K,MATCH($E17,Roadmap!$D:$D,0)-1+COUNTIF($E17:U17,"u")+COUNTIF($E17:U17,"t")+COUNTIF($E17:U17,"¶")+COUNTIF($E17:U17,"²")+COUNTIF($E17:U17,"µ")+COUNTIF($E17:U17,1),ColDescriptionCourte)),""),
  "")),"")</f>
        <v/>
      </c>
      <c r="W17" s="40" t="str">
        <f ca="1">IFERROR(IF(AND(
  INDEX(Roadmap!$D:$K,MATCH($E17,Roadmap!$D:$D,0)+COUNTIF($E17:V17,"u")+COUNTIF($E17:V17,"t")+COUNTIF($E17:V17,"¶")+COUNTIF($E17:V17,"²")+COUNTIF($E17:V17,"µ")+COUNTIF($E17:V17,1),ColLivraison)=W$6,
  VLOOKUP($E17,INDIRECT("tri!"&amp; CHAR(64+ C0Col) &amp;":"&amp; CHAR(65+C0Col)),2,FALSE)&gt;COUNTIF($E17:V17,"u")+COUNTIF($E17:V17,"t")+COUNTIF($E17:V17,"¶")+COUNTIF($E17:V17,"²")+COUNTIF($E17:V17,"µ")+COUNTIF($E17:V17,1)),
HYPERLINK("#Roadmap!C"&amp; MATCH($E17,Roadmap!$D:$D,0)+COUNTIF($E17:V17,"u")+COUNTIF($E17:V17,"t"),
     INDEX(Roadmap!$D:$K,MATCH($E17,Roadmap!$D:$D,0)+COUNTIF($E17:V17,"u")+COUNTIF($E17:V17,"t")+COUNTIF($E17:V17,"¶")+COUNTIF($E17:V17,"²")+COUNTIF($E17:V17,"µ")+COUNTIF($E17:V17,1),ColTypeEcheance)),
  IF(LEN(V17)=1,
  IF(LEN(INDEX(Roadmap!$D:$K,MATCH($E17,Roadmap!$D:$D,0)-1+COUNTIF($E17:V17,"u")+COUNTIF($E17:V17,"t")+COUNTIF($E17:V17,"¶")+COUNTIF($E17:V17,"²")+COUNTIF($E17:V17,"µ")+COUNTIF($E17:V17,1),ColDescriptionCourte))&gt;1,
HYPERLINK("#Roadmap!C"&amp; MATCH($E17,Roadmap!$D:$D,0)+COUNTIF($E17:V17,"u")+COUNTIF($E17:V17,"t")+COUNTIF($E17:V17,"¶")+COUNTIF($E17:V17,"²")+COUNTIF($E17:V17,"µ")+COUNTIF($E17:V17,1)-1,INDEX(Roadmap!$D:$K,MATCH($E17,Roadmap!$D:$D,0)-1+COUNTIF($E17:V17,"u")+COUNTIF($E17:V17,"t")+COUNTIF($E17:V17,"¶")+COUNTIF($E17:V17,"²")+COUNTIF($E17:V17,"µ")+COUNTIF($E17:V17,1),ColDescriptionCourte)),""),
  "")),"")</f>
        <v/>
      </c>
      <c r="X17" s="40" t="str">
        <f ca="1">IFERROR(IF(AND(
  INDEX(Roadmap!$D:$K,MATCH($E17,Roadmap!$D:$D,0)+COUNTIF($E17:W17,"u")+COUNTIF($E17:W17,"t")+COUNTIF($E17:W17,"¶")+COUNTIF($E17:W17,"²")+COUNTIF($E17:W17,"µ")+COUNTIF($E17:W17,1),ColLivraison)=X$6,
  VLOOKUP($E17,INDIRECT("tri!"&amp; CHAR(64+ C0Col) &amp;":"&amp; CHAR(65+C0Col)),2,FALSE)&gt;COUNTIF($E17:W17,"u")+COUNTIF($E17:W17,"t")+COUNTIF($E17:W17,"¶")+COUNTIF($E17:W17,"²")+COUNTIF($E17:W17,"µ")+COUNTIF($E17:W17,1)),
HYPERLINK("#Roadmap!C"&amp; MATCH($E17,Roadmap!$D:$D,0)+COUNTIF($E17:W17,"u")+COUNTIF($E17:W17,"t"),
     INDEX(Roadmap!$D:$K,MATCH($E17,Roadmap!$D:$D,0)+COUNTIF($E17:W17,"u")+COUNTIF($E17:W17,"t")+COUNTIF($E17:W17,"¶")+COUNTIF($E17:W17,"²")+COUNTIF($E17:W17,"µ")+COUNTIF($E17:W17,1),ColTypeEcheance)),
  IF(LEN(W17)=1,
  IF(LEN(INDEX(Roadmap!$D:$K,MATCH($E17,Roadmap!$D:$D,0)-1+COUNTIF($E17:W17,"u")+COUNTIF($E17:W17,"t")+COUNTIF($E17:W17,"¶")+COUNTIF($E17:W17,"²")+COUNTIF($E17:W17,"µ")+COUNTIF($E17:W17,1),ColDescriptionCourte))&gt;1,
HYPERLINK("#Roadmap!C"&amp; MATCH($E17,Roadmap!$D:$D,0)+COUNTIF($E17:W17,"u")+COUNTIF($E17:W17,"t")+COUNTIF($E17:W17,"¶")+COUNTIF($E17:W17,"²")+COUNTIF($E17:W17,"µ")+COUNTIF($E17:W17,1)-1,INDEX(Roadmap!$D:$K,MATCH($E17,Roadmap!$D:$D,0)-1+COUNTIF($E17:W17,"u")+COUNTIF($E17:W17,"t")+COUNTIF($E17:W17,"¶")+COUNTIF($E17:W17,"²")+COUNTIF($E17:W17,"µ")+COUNTIF($E17:W17,1),ColDescriptionCourte)),""),
  "")),"")</f>
        <v/>
      </c>
      <c r="Y17" s="40" t="str">
        <f ca="1">IFERROR(IF(AND(
  INDEX(Roadmap!$D:$K,MATCH($E17,Roadmap!$D:$D,0)+COUNTIF($E17:X17,"u")+COUNTIF($E17:X17,"t")+COUNTIF($E17:X17,"¶")+COUNTIF($E17:X17,"²")+COUNTIF($E17:X17,"µ")+COUNTIF($E17:X17,1),ColLivraison)=Y$6,
  VLOOKUP($E17,INDIRECT("tri!"&amp; CHAR(64+ C0Col) &amp;":"&amp; CHAR(65+C0Col)),2,FALSE)&gt;COUNTIF($E17:X17,"u")+COUNTIF($E17:X17,"t")+COUNTIF($E17:X17,"¶")+COUNTIF($E17:X17,"²")+COUNTIF($E17:X17,"µ")+COUNTIF($E17:X17,1)),
HYPERLINK("#Roadmap!C"&amp; MATCH($E17,Roadmap!$D:$D,0)+COUNTIF($E17:X17,"u")+COUNTIF($E17:X17,"t"),
     INDEX(Roadmap!$D:$K,MATCH($E17,Roadmap!$D:$D,0)+COUNTIF($E17:X17,"u")+COUNTIF($E17:X17,"t")+COUNTIF($E17:X17,"¶")+COUNTIF($E17:X17,"²")+COUNTIF($E17:X17,"µ")+COUNTIF($E17:X17,1),ColTypeEcheance)),
  IF(LEN(X17)=1,
  IF(LEN(INDEX(Roadmap!$D:$K,MATCH($E17,Roadmap!$D:$D,0)-1+COUNTIF($E17:X17,"u")+COUNTIF($E17:X17,"t")+COUNTIF($E17:X17,"¶")+COUNTIF($E17:X17,"²")+COUNTIF($E17:X17,"µ")+COUNTIF($E17:X17,1),ColDescriptionCourte))&gt;1,
HYPERLINK("#Roadmap!C"&amp; MATCH($E17,Roadmap!$D:$D,0)+COUNTIF($E17:X17,"u")+COUNTIF($E17:X17,"t")+COUNTIF($E17:X17,"¶")+COUNTIF($E17:X17,"²")+COUNTIF($E17:X17,"µ")+COUNTIF($E17:X17,1)-1,INDEX(Roadmap!$D:$K,MATCH($E17,Roadmap!$D:$D,0)-1+COUNTIF($E17:X17,"u")+COUNTIF($E17:X17,"t")+COUNTIF($E17:X17,"¶")+COUNTIF($E17:X17,"²")+COUNTIF($E17:X17,"µ")+COUNTIF($E17:X17,1),ColDescriptionCourte)),""),
  "")),"")</f>
        <v/>
      </c>
      <c r="Z17" s="40" t="str">
        <f ca="1">IFERROR(IF(AND(
  INDEX(Roadmap!$D:$K,MATCH($E17,Roadmap!$D:$D,0)+COUNTIF($E17:Y17,"u")+COUNTIF($E17:Y17,"t")+COUNTIF($E17:Y17,"¶")+COUNTIF($E17:Y17,"²")+COUNTIF($E17:Y17,"µ")+COUNTIF($E17:Y17,1),ColLivraison)=Z$6,
  VLOOKUP($E17,INDIRECT("tri!"&amp; CHAR(64+ C0Col) &amp;":"&amp; CHAR(65+C0Col)),2,FALSE)&gt;COUNTIF($E17:Y17,"u")+COUNTIF($E17:Y17,"t")+COUNTIF($E17:Y17,"¶")+COUNTIF($E17:Y17,"²")+COUNTIF($E17:Y17,"µ")+COUNTIF($E17:Y17,1)),
HYPERLINK("#Roadmap!C"&amp; MATCH($E17,Roadmap!$D:$D,0)+COUNTIF($E17:Y17,"u")+COUNTIF($E17:Y17,"t"),
     INDEX(Roadmap!$D:$K,MATCH($E17,Roadmap!$D:$D,0)+COUNTIF($E17:Y17,"u")+COUNTIF($E17:Y17,"t")+COUNTIF($E17:Y17,"¶")+COUNTIF($E17:Y17,"²")+COUNTIF($E17:Y17,"µ")+COUNTIF($E17:Y17,1),ColTypeEcheance)),
  IF(LEN(Y17)=1,
  IF(LEN(INDEX(Roadmap!$D:$K,MATCH($E17,Roadmap!$D:$D,0)-1+COUNTIF($E17:Y17,"u")+COUNTIF($E17:Y17,"t")+COUNTIF($E17:Y17,"¶")+COUNTIF($E17:Y17,"²")+COUNTIF($E17:Y17,"µ")+COUNTIF($E17:Y17,1),ColDescriptionCourte))&gt;1,
HYPERLINK("#Roadmap!C"&amp; MATCH($E17,Roadmap!$D:$D,0)+COUNTIF($E17:Y17,"u")+COUNTIF($E17:Y17,"t")+COUNTIF($E17:Y17,"¶")+COUNTIF($E17:Y17,"²")+COUNTIF($E17:Y17,"µ")+COUNTIF($E17:Y17,1)-1,INDEX(Roadmap!$D:$K,MATCH($E17,Roadmap!$D:$D,0)-1+COUNTIF($E17:Y17,"u")+COUNTIF($E17:Y17,"t")+COUNTIF($E17:Y17,"¶")+COUNTIF($E17:Y17,"²")+COUNTIF($E17:Y17,"µ")+COUNTIF($E17:Y17,1),ColDescriptionCourte)),""),
  "")),"")</f>
        <v/>
      </c>
      <c r="AA17" s="40" t="str">
        <f ca="1">IFERROR(IF(AND(
  INDEX(Roadmap!$D:$K,MATCH($E17,Roadmap!$D:$D,0)+COUNTIF($E17:Z17,"u")+COUNTIF($E17:Z17,"t")+COUNTIF($E17:Z17,"¶")+COUNTIF($E17:Z17,"²")+COUNTIF($E17:Z17,"µ")+COUNTIF($E17:Z17,1),ColLivraison)=AA$6,
  VLOOKUP($E17,INDIRECT("tri!"&amp; CHAR(64+ C0Col) &amp;":"&amp; CHAR(65+C0Col)),2,FALSE)&gt;COUNTIF($E17:Z17,"u")+COUNTIF($E17:Z17,"t")+COUNTIF($E17:Z17,"¶")+COUNTIF($E17:Z17,"²")+COUNTIF($E17:Z17,"µ")+COUNTIF($E17:Z17,1)),
HYPERLINK("#Roadmap!C"&amp; MATCH($E17,Roadmap!$D:$D,0)+COUNTIF($E17:Z17,"u")+COUNTIF($E17:Z17,"t"),
     INDEX(Roadmap!$D:$K,MATCH($E17,Roadmap!$D:$D,0)+COUNTIF($E17:Z17,"u")+COUNTIF($E17:Z17,"t")+COUNTIF($E17:Z17,"¶")+COUNTIF($E17:Z17,"²")+COUNTIF($E17:Z17,"µ")+COUNTIF($E17:Z17,1),ColTypeEcheance)),
  IF(LEN(Z17)=1,
  IF(LEN(INDEX(Roadmap!$D:$K,MATCH($E17,Roadmap!$D:$D,0)-1+COUNTIF($E17:Z17,"u")+COUNTIF($E17:Z17,"t")+COUNTIF($E17:Z17,"¶")+COUNTIF($E17:Z17,"²")+COUNTIF($E17:Z17,"µ")+COUNTIF($E17:Z17,1),ColDescriptionCourte))&gt;1,
HYPERLINK("#Roadmap!C"&amp; MATCH($E17,Roadmap!$D:$D,0)+COUNTIF($E17:Z17,"u")+COUNTIF($E17:Z17,"t")+COUNTIF($E17:Z17,"¶")+COUNTIF($E17:Z17,"²")+COUNTIF($E17:Z17,"µ")+COUNTIF($E17:Z17,1)-1,INDEX(Roadmap!$D:$K,MATCH($E17,Roadmap!$D:$D,0)-1+COUNTIF($E17:Z17,"u")+COUNTIF($E17:Z17,"t")+COUNTIF($E17:Z17,"¶")+COUNTIF($E17:Z17,"²")+COUNTIF($E17:Z17,"µ")+COUNTIF($E17:Z17,1),ColDescriptionCourte)),""),
  "")),"")</f>
        <v/>
      </c>
      <c r="AB17" s="40" t="str">
        <f ca="1">IFERROR(IF(AND(
  INDEX(Roadmap!$D:$K,MATCH($E17,Roadmap!$D:$D,0)+COUNTIF($E17:AA17,"u")+COUNTIF($E17:AA17,"t")+COUNTIF($E17:AA17,"¶")+COUNTIF($E17:AA17,"²")+COUNTIF($E17:AA17,"µ")+COUNTIF($E17:AA17,1),ColLivraison)=AB$6,
  VLOOKUP($E17,INDIRECT("tri!"&amp; CHAR(64+ C0Col) &amp;":"&amp; CHAR(65+C0Col)),2,FALSE)&gt;COUNTIF($E17:AA17,"u")+COUNTIF($E17:AA17,"t")+COUNTIF($E17:AA17,"¶")+COUNTIF($E17:AA17,"²")+COUNTIF($E17:AA17,"µ")+COUNTIF($E17:AA17,1)),
HYPERLINK("#Roadmap!C"&amp; MATCH($E17,Roadmap!$D:$D,0)+COUNTIF($E17:AA17,"u")+COUNTIF($E17:AA17,"t"),
     INDEX(Roadmap!$D:$K,MATCH($E17,Roadmap!$D:$D,0)+COUNTIF($E17:AA17,"u")+COUNTIF($E17:AA17,"t")+COUNTIF($E17:AA17,"¶")+COUNTIF($E17:AA17,"²")+COUNTIF($E17:AA17,"µ")+COUNTIF($E17:AA17,1),ColTypeEcheance)),
  IF(LEN(AA17)=1,
  IF(LEN(INDEX(Roadmap!$D:$K,MATCH($E17,Roadmap!$D:$D,0)-1+COUNTIF($E17:AA17,"u")+COUNTIF($E17:AA17,"t")+COUNTIF($E17:AA17,"¶")+COUNTIF($E17:AA17,"²")+COUNTIF($E17:AA17,"µ")+COUNTIF($E17:AA17,1),ColDescriptionCourte))&gt;1,
HYPERLINK("#Roadmap!C"&amp; MATCH($E17,Roadmap!$D:$D,0)+COUNTIF($E17:AA17,"u")+COUNTIF($E17:AA17,"t")+COUNTIF($E17:AA17,"¶")+COUNTIF($E17:AA17,"²")+COUNTIF($E17:AA17,"µ")+COUNTIF($E17:AA17,1)-1,INDEX(Roadmap!$D:$K,MATCH($E17,Roadmap!$D:$D,0)-1+COUNTIF($E17:AA17,"u")+COUNTIF($E17:AA17,"t")+COUNTIF($E17:AA17,"¶")+COUNTIF($E17:AA17,"²")+COUNTIF($E17:AA17,"µ")+COUNTIF($E17:AA17,1),ColDescriptionCourte)),""),
  "")),"")</f>
        <v/>
      </c>
      <c r="AC17" s="40" t="str">
        <f ca="1">IFERROR(IF(AND(
  INDEX(Roadmap!$D:$K,MATCH($E17,Roadmap!$D:$D,0)+COUNTIF($E17:AB17,"u")+COUNTIF($E17:AB17,"t")+COUNTIF($E17:AB17,"¶")+COUNTIF($E17:AB17,"²")+COUNTIF($E17:AB17,"µ")+COUNTIF($E17:AB17,1),ColLivraison)=AC$6,
  VLOOKUP($E17,INDIRECT("tri!"&amp; CHAR(64+ C0Col) &amp;":"&amp; CHAR(65+C0Col)),2,FALSE)&gt;COUNTIF($E17:AB17,"u")+COUNTIF($E17:AB17,"t")+COUNTIF($E17:AB17,"¶")+COUNTIF($E17:AB17,"²")+COUNTIF($E17:AB17,"µ")+COUNTIF($E17:AB17,1)),
HYPERLINK("#Roadmap!C"&amp; MATCH($E17,Roadmap!$D:$D,0)+COUNTIF($E17:AB17,"u")+COUNTIF($E17:AB17,"t"),
     INDEX(Roadmap!$D:$K,MATCH($E17,Roadmap!$D:$D,0)+COUNTIF($E17:AB17,"u")+COUNTIF($E17:AB17,"t")+COUNTIF($E17:AB17,"¶")+COUNTIF($E17:AB17,"²")+COUNTIF($E17:AB17,"µ")+COUNTIF($E17:AB17,1),ColTypeEcheance)),
  IF(LEN(AB17)=1,
  IF(LEN(INDEX(Roadmap!$D:$K,MATCH($E17,Roadmap!$D:$D,0)-1+COUNTIF($E17:AB17,"u")+COUNTIF($E17:AB17,"t")+COUNTIF($E17:AB17,"¶")+COUNTIF($E17:AB17,"²")+COUNTIF($E17:AB17,"µ")+COUNTIF($E17:AB17,1),ColDescriptionCourte))&gt;1,
HYPERLINK("#Roadmap!C"&amp; MATCH($E17,Roadmap!$D:$D,0)+COUNTIF($E17:AB17,"u")+COUNTIF($E17:AB17,"t")+COUNTIF($E17:AB17,"¶")+COUNTIF($E17:AB17,"²")+COUNTIF($E17:AB17,"µ")+COUNTIF($E17:AB17,1)-1,INDEX(Roadmap!$D:$K,MATCH($E17,Roadmap!$D:$D,0)-1+COUNTIF($E17:AB17,"u")+COUNTIF($E17:AB17,"t")+COUNTIF($E17:AB17,"¶")+COUNTIF($E17:AB17,"²")+COUNTIF($E17:AB17,"µ")+COUNTIF($E17:AB17,1),ColDescriptionCourte)),""),
  "")),"")</f>
        <v/>
      </c>
      <c r="AD17" s="40" t="str">
        <f ca="1">IFERROR(IF(AND(
  INDEX(Roadmap!$D:$K,MATCH($E17,Roadmap!$D:$D,0)+COUNTIF($E17:AC17,"u")+COUNTIF($E17:AC17,"t")+COUNTIF($E17:AC17,"¶")+COUNTIF($E17:AC17,"²")+COUNTIF($E17:AC17,"µ")+COUNTIF($E17:AC17,1),ColLivraison)=AD$6,
  VLOOKUP($E17,INDIRECT("tri!"&amp; CHAR(64+ C0Col) &amp;":"&amp; CHAR(65+C0Col)),2,FALSE)&gt;COUNTIF($E17:AC17,"u")+COUNTIF($E17:AC17,"t")+COUNTIF($E17:AC17,"¶")+COUNTIF($E17:AC17,"²")+COUNTIF($E17:AC17,"µ")+COUNTIF($E17:AC17,1)),
HYPERLINK("#Roadmap!C"&amp; MATCH($E17,Roadmap!$D:$D,0)+COUNTIF($E17:AC17,"u")+COUNTIF($E17:AC17,"t"),
     INDEX(Roadmap!$D:$K,MATCH($E17,Roadmap!$D:$D,0)+COUNTIF($E17:AC17,"u")+COUNTIF($E17:AC17,"t")+COUNTIF($E17:AC17,"¶")+COUNTIF($E17:AC17,"²")+COUNTIF($E17:AC17,"µ")+COUNTIF($E17:AC17,1),ColTypeEcheance)),
  IF(LEN(AC17)=1,
  IF(LEN(INDEX(Roadmap!$D:$K,MATCH($E17,Roadmap!$D:$D,0)-1+COUNTIF($E17:AC17,"u")+COUNTIF($E17:AC17,"t")+COUNTIF($E17:AC17,"¶")+COUNTIF($E17:AC17,"²")+COUNTIF($E17:AC17,"µ")+COUNTIF($E17:AC17,1),ColDescriptionCourte))&gt;1,
HYPERLINK("#Roadmap!C"&amp; MATCH($E17,Roadmap!$D:$D,0)+COUNTIF($E17:AC17,"u")+COUNTIF($E17:AC17,"t")+COUNTIF($E17:AC17,"¶")+COUNTIF($E17:AC17,"²")+COUNTIF($E17:AC17,"µ")+COUNTIF($E17:AC17,1)-1,INDEX(Roadmap!$D:$K,MATCH($E17,Roadmap!$D:$D,0)-1+COUNTIF($E17:AC17,"u")+COUNTIF($E17:AC17,"t")+COUNTIF($E17:AC17,"¶")+COUNTIF($E17:AC17,"²")+COUNTIF($E17:AC17,"µ")+COUNTIF($E17:AC17,1),ColDescriptionCourte)),""),
  "")),"")</f>
        <v/>
      </c>
      <c r="AE17" s="40" t="str">
        <f ca="1">IFERROR(IF(AND(
  INDEX(Roadmap!$D:$K,MATCH($E17,Roadmap!$D:$D,0)+COUNTIF($E17:AD17,"u")+COUNTIF($E17:AD17,"t")+COUNTIF($E17:AD17,"¶")+COUNTIF($E17:AD17,"²")+COUNTIF($E17:AD17,"µ")+COUNTIF($E17:AD17,1),ColLivraison)=AE$6,
  VLOOKUP($E17,INDIRECT("tri!"&amp; CHAR(64+ C0Col) &amp;":"&amp; CHAR(65+C0Col)),2,FALSE)&gt;COUNTIF($E17:AD17,"u")+COUNTIF($E17:AD17,"t")+COUNTIF($E17:AD17,"¶")+COUNTIF($E17:AD17,"²")+COUNTIF($E17:AD17,"µ")+COUNTIF($E17:AD17,1)),
HYPERLINK("#Roadmap!C"&amp; MATCH($E17,Roadmap!$D:$D,0)+COUNTIF($E17:AD17,"u")+COUNTIF($E17:AD17,"t"),
     INDEX(Roadmap!$D:$K,MATCH($E17,Roadmap!$D:$D,0)+COUNTIF($E17:AD17,"u")+COUNTIF($E17:AD17,"t")+COUNTIF($E17:AD17,"¶")+COUNTIF($E17:AD17,"²")+COUNTIF($E17:AD17,"µ")+COUNTIF($E17:AD17,1),ColTypeEcheance)),
  IF(LEN(AD17)=1,
  IF(LEN(INDEX(Roadmap!$D:$K,MATCH($E17,Roadmap!$D:$D,0)-1+COUNTIF($E17:AD17,"u")+COUNTIF($E17:AD17,"t")+COUNTIF($E17:AD17,"¶")+COUNTIF($E17:AD17,"²")+COUNTIF($E17:AD17,"µ")+COUNTIF($E17:AD17,1),ColDescriptionCourte))&gt;1,
HYPERLINK("#Roadmap!C"&amp; MATCH($E17,Roadmap!$D:$D,0)+COUNTIF($E17:AD17,"u")+COUNTIF($E17:AD17,"t")+COUNTIF($E17:AD17,"¶")+COUNTIF($E17:AD17,"²")+COUNTIF($E17:AD17,"µ")+COUNTIF($E17:AD17,1)-1,INDEX(Roadmap!$D:$K,MATCH($E17,Roadmap!$D:$D,0)-1+COUNTIF($E17:AD17,"u")+COUNTIF($E17:AD17,"t")+COUNTIF($E17:AD17,"¶")+COUNTIF($E17:AD17,"²")+COUNTIF($E17:AD17,"µ")+COUNTIF($E17:AD17,1),ColDescriptionCourte)),""),
  "")),"")</f>
        <v/>
      </c>
      <c r="AF17" s="40" t="str">
        <f ca="1">IFERROR(IF(AND(
  INDEX(Roadmap!$D:$K,MATCH($E17,Roadmap!$D:$D,0)+COUNTIF($E17:AE17,"u")+COUNTIF($E17:AE17,"t")+COUNTIF($E17:AE17,"¶")+COUNTIF($E17:AE17,"²")+COUNTIF($E17:AE17,"µ")+COUNTIF($E17:AE17,1),ColLivraison)=AF$6,
  VLOOKUP($E17,INDIRECT("tri!"&amp; CHAR(64+ C0Col) &amp;":"&amp; CHAR(65+C0Col)),2,FALSE)&gt;COUNTIF($E17:AE17,"u")+COUNTIF($E17:AE17,"t")+COUNTIF($E17:AE17,"¶")+COUNTIF($E17:AE17,"²")+COUNTIF($E17:AE17,"µ")+COUNTIF($E17:AE17,1)),
HYPERLINK("#Roadmap!C"&amp; MATCH($E17,Roadmap!$D:$D,0)+COUNTIF($E17:AE17,"u")+COUNTIF($E17:AE17,"t"),
     INDEX(Roadmap!$D:$K,MATCH($E17,Roadmap!$D:$D,0)+COUNTIF($E17:AE17,"u")+COUNTIF($E17:AE17,"t")+COUNTIF($E17:AE17,"¶")+COUNTIF($E17:AE17,"²")+COUNTIF($E17:AE17,"µ")+COUNTIF($E17:AE17,1),ColTypeEcheance)),
  IF(LEN(AE17)=1,
  IF(LEN(INDEX(Roadmap!$D:$K,MATCH($E17,Roadmap!$D:$D,0)-1+COUNTIF($E17:AE17,"u")+COUNTIF($E17:AE17,"t")+COUNTIF($E17:AE17,"¶")+COUNTIF($E17:AE17,"²")+COUNTIF($E17:AE17,"µ")+COUNTIF($E17:AE17,1),ColDescriptionCourte))&gt;1,
HYPERLINK("#Roadmap!C"&amp; MATCH($E17,Roadmap!$D:$D,0)+COUNTIF($E17:AE17,"u")+COUNTIF($E17:AE17,"t")+COUNTIF($E17:AE17,"¶")+COUNTIF($E17:AE17,"²")+COUNTIF($E17:AE17,"µ")+COUNTIF($E17:AE17,1)-1,INDEX(Roadmap!$D:$K,MATCH($E17,Roadmap!$D:$D,0)-1+COUNTIF($E17:AE17,"u")+COUNTIF($E17:AE17,"t")+COUNTIF($E17:AE17,"¶")+COUNTIF($E17:AE17,"²")+COUNTIF($E17:AE17,"µ")+COUNTIF($E17:AE17,1),ColDescriptionCourte)),""),
  "")),"")</f>
        <v/>
      </c>
      <c r="AG17" s="40" t="str">
        <f ca="1">IFERROR(IF(AND(
  INDEX(Roadmap!$D:$K,MATCH($E17,Roadmap!$D:$D,0)+COUNTIF($E17:AF17,"u")+COUNTIF($E17:AF17,"t")+COUNTIF($E17:AF17,"¶")+COUNTIF($E17:AF17,"²")+COUNTIF($E17:AF17,"µ")+COUNTIF($E17:AF17,1),ColLivraison)=AG$6,
  VLOOKUP($E17,INDIRECT("tri!"&amp; CHAR(64+ C0Col) &amp;":"&amp; CHAR(65+C0Col)),2,FALSE)&gt;COUNTIF($E17:AF17,"u")+COUNTIF($E17:AF17,"t")+COUNTIF($E17:AF17,"¶")+COUNTIF($E17:AF17,"²")+COUNTIF($E17:AF17,"µ")+COUNTIF($E17:AF17,1)),
HYPERLINK("#Roadmap!C"&amp; MATCH($E17,Roadmap!$D:$D,0)+COUNTIF($E17:AF17,"u")+COUNTIF($E17:AF17,"t"),
     INDEX(Roadmap!$D:$K,MATCH($E17,Roadmap!$D:$D,0)+COUNTIF($E17:AF17,"u")+COUNTIF($E17:AF17,"t")+COUNTIF($E17:AF17,"¶")+COUNTIF($E17:AF17,"²")+COUNTIF($E17:AF17,"µ")+COUNTIF($E17:AF17,1),ColTypeEcheance)),
  IF(LEN(AF17)=1,
  IF(LEN(INDEX(Roadmap!$D:$K,MATCH($E17,Roadmap!$D:$D,0)-1+COUNTIF($E17:AF17,"u")+COUNTIF($E17:AF17,"t")+COUNTIF($E17:AF17,"¶")+COUNTIF($E17:AF17,"²")+COUNTIF($E17:AF17,"µ")+COUNTIF($E17:AF17,1),ColDescriptionCourte))&gt;1,
HYPERLINK("#Roadmap!C"&amp; MATCH($E17,Roadmap!$D:$D,0)+COUNTIF($E17:AF17,"u")+COUNTIF($E17:AF17,"t")+COUNTIF($E17:AF17,"¶")+COUNTIF($E17:AF17,"²")+COUNTIF($E17:AF17,"µ")+COUNTIF($E17:AF17,1)-1,INDEX(Roadmap!$D:$K,MATCH($E17,Roadmap!$D:$D,0)-1+COUNTIF($E17:AF17,"u")+COUNTIF($E17:AF17,"t")+COUNTIF($E17:AF17,"¶")+COUNTIF($E17:AF17,"²")+COUNTIF($E17:AF17,"µ")+COUNTIF($E17:AF17,1),ColDescriptionCourte)),""),
  "")),"")</f>
        <v/>
      </c>
    </row>
    <row r="18" spans="3:33" ht="14.25" customHeight="1">
      <c r="C18" s="1" t="str">
        <f t="shared" ca="1" si="42"/>
        <v/>
      </c>
      <c r="D18" s="1" t="str">
        <f t="shared" ca="1" si="43"/>
        <v/>
      </c>
      <c r="E18" s="35" t="str">
        <f t="shared" ca="1" si="33"/>
        <v/>
      </c>
      <c r="F18" s="39" t="str">
        <f ca="1">IFERROR(IF(AND(
  INDEX(Roadmap!$D:$K,MATCH($E18,Roadmap!$D:$D,0)+COUNTIF($E18:E18,"u")+COUNTIF($E18:E18,"t")+COUNTIF($E18:E18,"¶")+COUNTIF($E18:E18,"²")+COUNTIF($E18:E18,"µ")+COUNTIF($E18:E18,1),ColLivraison)=F$6,
  VLOOKUP($E18,INDIRECT("tri!"&amp; CHAR(64+ C0Col) &amp;":"&amp; CHAR(65+C0Col)),2,FALSE)&gt;COUNTIF($E18:E18,"u")+COUNTIF($E18:E18,"t")+COUNTIF($E18:E18,"¶")+COUNTIF($E18:E18,"²")+COUNTIF($E18:E18,"µ")+COUNTIF($E18:E18,1)),
HYPERLINK("#Roadmap!C"&amp; MATCH($E18,Roadmap!$D:$D,0)+COUNTIF($E18:E18,"u")+COUNTIF($E18:E18,"t"),
     INDEX(Roadmap!$D:$K,MATCH($E18,Roadmap!$D:$D,0)+COUNTIF($E18:E18,"u")+COUNTIF($E18:E18,"t")+COUNTIF($E18:E18,"¶")+COUNTIF($E18:E18,"²")+COUNTIF($E18:E18,"µ")+COUNTIF($E18:E18,1),ColTypeEcheance)),
  IF(LEN(E18)=1,
  IF(LEN(INDEX(Roadmap!$D:$K,MATCH($E18,Roadmap!$D:$D,0)-1+COUNTIF($E18:E18,"u")+COUNTIF($E18:E18,"t")+COUNTIF($E18:E18,"¶")+COUNTIF($E18:E18,"²")+COUNTIF($E18:E18,"µ")+COUNTIF($E18:E18,1),ColDescriptionCourte))&gt;1,
HYPERLINK("#Roadmap!C"&amp; MATCH($E18,Roadmap!$D:$D,0)+COUNTIF($E18:E18,"u")+COUNTIF($E18:E18,"t")+COUNTIF($E18:E18,"¶")+COUNTIF($E18:E18,"²")+COUNTIF($E18:E18,"µ")+COUNTIF($E18:E18,1)-1,INDEX(Roadmap!$D:$K,MATCH($E18,Roadmap!$D:$D,0)-1+COUNTIF($E18:E18,"u")+COUNTIF($E18:E18,"t")+COUNTIF($E18:E18,"¶")+COUNTIF($E18:E18,"²")+COUNTIF($E18:E18,"µ")+COUNTIF($E18:E18,1),ColDescriptionCourte)),""),
  "")),"")</f>
        <v/>
      </c>
      <c r="G18" s="40" t="str">
        <f ca="1">IFERROR(IF(AND(
  INDEX(Roadmap!$D:$K,MATCH($E18,Roadmap!$D:$D,0)+COUNTIF($E18:F18,"u")+COUNTIF($E18:F18,"t")+COUNTIF($E18:F18,"¶")+COUNTIF($E18:F18,"²")+COUNTIF($E18:F18,"µ")+COUNTIF($E18:F18,1),ColLivraison)=G$6,
  VLOOKUP($E18,INDIRECT("tri!"&amp; CHAR(64+ C0Col) &amp;":"&amp; CHAR(65+C0Col)),2,FALSE)&gt;COUNTIF($E18:F18,"u")+COUNTIF($E18:F18,"t")+COUNTIF($E18:F18,"¶")+COUNTIF($E18:F18,"²")+COUNTIF($E18:F18,"µ")+COUNTIF($E18:F18,1)),
HYPERLINK("#Roadmap!C"&amp; MATCH($E18,Roadmap!$D:$D,0)+COUNTIF($E18:F18,"u")+COUNTIF($E18:F18,"t"),
     INDEX(Roadmap!$D:$K,MATCH($E18,Roadmap!$D:$D,0)+COUNTIF($E18:F18,"u")+COUNTIF($E18:F18,"t")+COUNTIF($E18:F18,"¶")+COUNTIF($E18:F18,"²")+COUNTIF($E18:F18,"µ")+COUNTIF($E18:F18,1),ColTypeEcheance)),
  IF(LEN(F18)=1,
  IF(LEN(INDEX(Roadmap!$D:$K,MATCH($E18,Roadmap!$D:$D,0)-1+COUNTIF($E18:F18,"u")+COUNTIF($E18:F18,"t")+COUNTIF($E18:F18,"¶")+COUNTIF($E18:F18,"²")+COUNTIF($E18:F18,"µ")+COUNTIF($E18:F18,1),ColDescriptionCourte))&gt;1,
HYPERLINK("#Roadmap!C"&amp; MATCH($E18,Roadmap!$D:$D,0)+COUNTIF($E18:F18,"u")+COUNTIF($E18:F18,"t")+COUNTIF($E18:F18,"¶")+COUNTIF($E18:F18,"²")+COUNTIF($E18:F18,"µ")+COUNTIF($E18:F18,1)-1,INDEX(Roadmap!$D:$K,MATCH($E18,Roadmap!$D:$D,0)-1+COUNTIF($E18:F18,"u")+COUNTIF($E18:F18,"t")+COUNTIF($E18:F18,"¶")+COUNTIF($E18:F18,"²")+COUNTIF($E18:F18,"µ")+COUNTIF($E18:F18,1),ColDescriptionCourte)),""),
  "")),"")</f>
        <v/>
      </c>
      <c r="H18" s="40" t="str">
        <f ca="1">IFERROR(IF(AND(
  INDEX(Roadmap!$D:$K,MATCH($E18,Roadmap!$D:$D,0)+COUNTIF($E18:G18,"u")+COUNTIF($E18:G18,"t")+COUNTIF($E18:G18,"¶")+COUNTIF($E18:G18,"²")+COUNTIF($E18:G18,"µ")+COUNTIF($E18:G18,1),ColLivraison)=H$6,
  VLOOKUP($E18,INDIRECT("tri!"&amp; CHAR(64+ C0Col) &amp;":"&amp; CHAR(65+C0Col)),2,FALSE)&gt;COUNTIF($E18:G18,"u")+COUNTIF($E18:G18,"t")+COUNTIF($E18:G18,"¶")+COUNTIF($E18:G18,"²")+COUNTIF($E18:G18,"µ")+COUNTIF($E18:G18,1)),
HYPERLINK("#Roadmap!C"&amp; MATCH($E18,Roadmap!$D:$D,0)+COUNTIF($E18:G18,"u")+COUNTIF($E18:G18,"t"),
     INDEX(Roadmap!$D:$K,MATCH($E18,Roadmap!$D:$D,0)+COUNTIF($E18:G18,"u")+COUNTIF($E18:G18,"t")+COUNTIF($E18:G18,"¶")+COUNTIF($E18:G18,"²")+COUNTIF($E18:G18,"µ")+COUNTIF($E18:G18,1),ColTypeEcheance)),
  IF(LEN(G18)=1,
  IF(LEN(INDEX(Roadmap!$D:$K,MATCH($E18,Roadmap!$D:$D,0)-1+COUNTIF($E18:G18,"u")+COUNTIF($E18:G18,"t")+COUNTIF($E18:G18,"¶")+COUNTIF($E18:G18,"²")+COUNTIF($E18:G18,"µ")+COUNTIF($E18:G18,1),ColDescriptionCourte))&gt;1,
HYPERLINK("#Roadmap!C"&amp; MATCH($E18,Roadmap!$D:$D,0)+COUNTIF($E18:G18,"u")+COUNTIF($E18:G18,"t")+COUNTIF($E18:G18,"¶")+COUNTIF($E18:G18,"²")+COUNTIF($E18:G18,"µ")+COUNTIF($E18:G18,1)-1,INDEX(Roadmap!$D:$K,MATCH($E18,Roadmap!$D:$D,0)-1+COUNTIF($E18:G18,"u")+COUNTIF($E18:G18,"t")+COUNTIF($E18:G18,"¶")+COUNTIF($E18:G18,"²")+COUNTIF($E18:G18,"µ")+COUNTIF($E18:G18,1),ColDescriptionCourte)),""),
  "")),"")</f>
        <v/>
      </c>
      <c r="I18" s="40" t="str">
        <f ca="1">IFERROR(IF(AND(
  INDEX(Roadmap!$D:$K,MATCH($E18,Roadmap!$D:$D,0)+COUNTIF($E18:H18,"u")+COUNTIF($E18:H18,"t")+COUNTIF($E18:H18,"¶")+COUNTIF($E18:H18,"²")+COUNTIF($E18:H18,"µ")+COUNTIF($E18:H18,1),ColLivraison)=I$6,
  VLOOKUP($E18,INDIRECT("tri!"&amp; CHAR(64+ C0Col) &amp;":"&amp; CHAR(65+C0Col)),2,FALSE)&gt;COUNTIF($E18:H18,"u")+COUNTIF($E18:H18,"t")+COUNTIF($E18:H18,"¶")+COUNTIF($E18:H18,"²")+COUNTIF($E18:H18,"µ")+COUNTIF($E18:H18,1)),
HYPERLINK("#Roadmap!C"&amp; MATCH($E18,Roadmap!$D:$D,0)+COUNTIF($E18:H18,"u")+COUNTIF($E18:H18,"t"),
     INDEX(Roadmap!$D:$K,MATCH($E18,Roadmap!$D:$D,0)+COUNTIF($E18:H18,"u")+COUNTIF($E18:H18,"t")+COUNTIF($E18:H18,"¶")+COUNTIF($E18:H18,"²")+COUNTIF($E18:H18,"µ")+COUNTIF($E18:H18,1),ColTypeEcheance)),
  IF(LEN(H18)=1,
  IF(LEN(INDEX(Roadmap!$D:$K,MATCH($E18,Roadmap!$D:$D,0)-1+COUNTIF($E18:H18,"u")+COUNTIF($E18:H18,"t")+COUNTIF($E18:H18,"¶")+COUNTIF($E18:H18,"²")+COUNTIF($E18:H18,"µ")+COUNTIF($E18:H18,1),ColDescriptionCourte))&gt;1,
HYPERLINK("#Roadmap!C"&amp; MATCH($E18,Roadmap!$D:$D,0)+COUNTIF($E18:H18,"u")+COUNTIF($E18:H18,"t")+COUNTIF($E18:H18,"¶")+COUNTIF($E18:H18,"²")+COUNTIF($E18:H18,"µ")+COUNTIF($E18:H18,1)-1,INDEX(Roadmap!$D:$K,MATCH($E18,Roadmap!$D:$D,0)-1+COUNTIF($E18:H18,"u")+COUNTIF($E18:H18,"t")+COUNTIF($E18:H18,"¶")+COUNTIF($E18:H18,"²")+COUNTIF($E18:H18,"µ")+COUNTIF($E18:H18,1),ColDescriptionCourte)),""),
  "")),"")</f>
        <v/>
      </c>
      <c r="J18" s="40" t="str">
        <f ca="1">IFERROR(IF(AND(
  INDEX(Roadmap!$D:$K,MATCH($E18,Roadmap!$D:$D,0)+COUNTIF($E18:I18,"u")+COUNTIF($E18:I18,"t")+COUNTIF($E18:I18,"¶")+COUNTIF($E18:I18,"²")+COUNTIF($E18:I18,"µ")+COUNTIF($E18:I18,1),ColLivraison)=J$6,
  VLOOKUP($E18,INDIRECT("tri!"&amp; CHAR(64+ C0Col) &amp;":"&amp; CHAR(65+C0Col)),2,FALSE)&gt;COUNTIF($E18:I18,"u")+COUNTIF($E18:I18,"t")+COUNTIF($E18:I18,"¶")+COUNTIF($E18:I18,"²")+COUNTIF($E18:I18,"µ")+COUNTIF($E18:I18,1)),
HYPERLINK("#Roadmap!C"&amp; MATCH($E18,Roadmap!$D:$D,0)+COUNTIF($E18:I18,"u")+COUNTIF($E18:I18,"t"),
     INDEX(Roadmap!$D:$K,MATCH($E18,Roadmap!$D:$D,0)+COUNTIF($E18:I18,"u")+COUNTIF($E18:I18,"t")+COUNTIF($E18:I18,"¶")+COUNTIF($E18:I18,"²")+COUNTIF($E18:I18,"µ")+COUNTIF($E18:I18,1),ColTypeEcheance)),
  IF(LEN(I18)=1,
  IF(LEN(INDEX(Roadmap!$D:$K,MATCH($E18,Roadmap!$D:$D,0)-1+COUNTIF($E18:I18,"u")+COUNTIF($E18:I18,"t")+COUNTIF($E18:I18,"¶")+COUNTIF($E18:I18,"²")+COUNTIF($E18:I18,"µ")+COUNTIF($E18:I18,1),ColDescriptionCourte))&gt;1,
HYPERLINK("#Roadmap!C"&amp; MATCH($E18,Roadmap!$D:$D,0)+COUNTIF($E18:I18,"u")+COUNTIF($E18:I18,"t")+COUNTIF($E18:I18,"¶")+COUNTIF($E18:I18,"²")+COUNTIF($E18:I18,"µ")+COUNTIF($E18:I18,1)-1,INDEX(Roadmap!$D:$K,MATCH($E18,Roadmap!$D:$D,0)-1+COUNTIF($E18:I18,"u")+COUNTIF($E18:I18,"t")+COUNTIF($E18:I18,"¶")+COUNTIF($E18:I18,"²")+COUNTIF($E18:I18,"µ")+COUNTIF($E18:I18,1),ColDescriptionCourte)),""),
  "")),"")</f>
        <v/>
      </c>
      <c r="K18" s="40" t="str">
        <f ca="1">IFERROR(IF(AND(
  INDEX(Roadmap!$D:$K,MATCH($E18,Roadmap!$D:$D,0)+COUNTIF($E18:J18,"u")+COUNTIF($E18:J18,"t")+COUNTIF($E18:J18,"¶")+COUNTIF($E18:J18,"²")+COUNTIF($E18:J18,"µ")+COUNTIF($E18:J18,1),ColLivraison)=K$6,
  VLOOKUP($E18,INDIRECT("tri!"&amp; CHAR(64+ C0Col) &amp;":"&amp; CHAR(65+C0Col)),2,FALSE)&gt;COUNTIF($E18:J18,"u")+COUNTIF($E18:J18,"t")+COUNTIF($E18:J18,"¶")+COUNTIF($E18:J18,"²")+COUNTIF($E18:J18,"µ")+COUNTIF($E18:J18,1)),
HYPERLINK("#Roadmap!C"&amp; MATCH($E18,Roadmap!$D:$D,0)+COUNTIF($E18:J18,"u")+COUNTIF($E18:J18,"t"),
     INDEX(Roadmap!$D:$K,MATCH($E18,Roadmap!$D:$D,0)+COUNTIF($E18:J18,"u")+COUNTIF($E18:J18,"t")+COUNTIF($E18:J18,"¶")+COUNTIF($E18:J18,"²")+COUNTIF($E18:J18,"µ")+COUNTIF($E18:J18,1),ColTypeEcheance)),
  IF(LEN(J18)=1,
  IF(LEN(INDEX(Roadmap!$D:$K,MATCH($E18,Roadmap!$D:$D,0)-1+COUNTIF($E18:J18,"u")+COUNTIF($E18:J18,"t")+COUNTIF($E18:J18,"¶")+COUNTIF($E18:J18,"²")+COUNTIF($E18:J18,"µ")+COUNTIF($E18:J18,1),ColDescriptionCourte))&gt;1,
HYPERLINK("#Roadmap!C"&amp; MATCH($E18,Roadmap!$D:$D,0)+COUNTIF($E18:J18,"u")+COUNTIF($E18:J18,"t")+COUNTIF($E18:J18,"¶")+COUNTIF($E18:J18,"²")+COUNTIF($E18:J18,"µ")+COUNTIF($E18:J18,1)-1,INDEX(Roadmap!$D:$K,MATCH($E18,Roadmap!$D:$D,0)-1+COUNTIF($E18:J18,"u")+COUNTIF($E18:J18,"t")+COUNTIF($E18:J18,"¶")+COUNTIF($E18:J18,"²")+COUNTIF($E18:J18,"µ")+COUNTIF($E18:J18,1),ColDescriptionCourte)),""),
  "")),"")</f>
        <v/>
      </c>
      <c r="L18" s="39" t="str">
        <f ca="1">IFERROR(IF(AND(
  INDEX(Roadmap!$D:$K,MATCH($E18,Roadmap!$D:$D,0)+COUNTIF($E18:K18,"u")+COUNTIF($E18:K18,"t")+COUNTIF($E18:K18,"¶")+COUNTIF($E18:K18,"²")+COUNTIF($E18:K18,"µ")+COUNTIF($E18:K18,1),ColLivraison)=L$6,
  VLOOKUP($E18,INDIRECT("tri!"&amp; CHAR(64+ C0Col) &amp;":"&amp; CHAR(65+C0Col)),2,FALSE)&gt;COUNTIF($E18:K18,"u")+COUNTIF($E18:K18,"t")+COUNTIF($E18:K18,"¶")+COUNTIF($E18:K18,"²")+COUNTIF($E18:K18,"µ")+COUNTIF($E18:K18,1)),
HYPERLINK("#Roadmap!C"&amp; MATCH($E18,Roadmap!$D:$D,0)+COUNTIF($E18:K18,"u")+COUNTIF($E18:K18,"t"),
     INDEX(Roadmap!$D:$K,MATCH($E18,Roadmap!$D:$D,0)+COUNTIF($E18:K18,"u")+COUNTIF($E18:K18,"t")+COUNTIF($E18:K18,"¶")+COUNTIF($E18:K18,"²")+COUNTIF($E18:K18,"µ")+COUNTIF($E18:K18,1),ColTypeEcheance)),
  IF(LEN(K18)=1,
  IF(LEN(INDEX(Roadmap!$D:$K,MATCH($E18,Roadmap!$D:$D,0)-1+COUNTIF($E18:K18,"u")+COUNTIF($E18:K18,"t")+COUNTIF($E18:K18,"¶")+COUNTIF($E18:K18,"²")+COUNTIF($E18:K18,"µ")+COUNTIF($E18:K18,1),ColDescriptionCourte))&gt;1,
HYPERLINK("#Roadmap!C"&amp; MATCH($E18,Roadmap!$D:$D,0)+COUNTIF($E18:K18,"u")+COUNTIF($E18:K18,"t")+COUNTIF($E18:K18,"¶")+COUNTIF($E18:K18,"²")+COUNTIF($E18:K18,"µ")+COUNTIF($E18:K18,1)-1,INDEX(Roadmap!$D:$K,MATCH($E18,Roadmap!$D:$D,0)-1+COUNTIF($E18:K18,"u")+COUNTIF($E18:K18,"t")+COUNTIF($E18:K18,"¶")+COUNTIF($E18:K18,"²")+COUNTIF($E18:K18,"µ")+COUNTIF($E18:K18,1),ColDescriptionCourte)),""),
  "")),"")</f>
        <v/>
      </c>
      <c r="M18" s="40" t="str">
        <f ca="1">IFERROR(IF(AND(
  INDEX(Roadmap!$D:$K,MATCH($E18,Roadmap!$D:$D,0)+COUNTIF($E18:L18,"u")+COUNTIF($E18:L18,"t")+COUNTIF($E18:L18,"¶")+COUNTIF($E18:L18,"²")+COUNTIF($E18:L18,"µ")+COUNTIF($E18:L18,1),ColLivraison)=M$6,
  VLOOKUP($E18,INDIRECT("tri!"&amp; CHAR(64+ C0Col) &amp;":"&amp; CHAR(65+C0Col)),2,FALSE)&gt;COUNTIF($E18:L18,"u")+COUNTIF($E18:L18,"t")+COUNTIF($E18:L18,"¶")+COUNTIF($E18:L18,"²")+COUNTIF($E18:L18,"µ")+COUNTIF($E18:L18,1)),
HYPERLINK("#Roadmap!C"&amp; MATCH($E18,Roadmap!$D:$D,0)+COUNTIF($E18:L18,"u")+COUNTIF($E18:L18,"t"),
     INDEX(Roadmap!$D:$K,MATCH($E18,Roadmap!$D:$D,0)+COUNTIF($E18:L18,"u")+COUNTIF($E18:L18,"t")+COUNTIF($E18:L18,"¶")+COUNTIF($E18:L18,"²")+COUNTIF($E18:L18,"µ")+COUNTIF($E18:L18,1),ColTypeEcheance)),
  IF(LEN(L18)=1,
  IF(LEN(INDEX(Roadmap!$D:$K,MATCH($E18,Roadmap!$D:$D,0)-1+COUNTIF($E18:L18,"u")+COUNTIF($E18:L18,"t")+COUNTIF($E18:L18,"¶")+COUNTIF($E18:L18,"²")+COUNTIF($E18:L18,"µ")+COUNTIF($E18:L18,1),ColDescriptionCourte))&gt;1,
HYPERLINK("#Roadmap!C"&amp; MATCH($E18,Roadmap!$D:$D,0)+COUNTIF($E18:L18,"u")+COUNTIF($E18:L18,"t")+COUNTIF($E18:L18,"¶")+COUNTIF($E18:L18,"²")+COUNTIF($E18:L18,"µ")+COUNTIF($E18:L18,1)-1,INDEX(Roadmap!$D:$K,MATCH($E18,Roadmap!$D:$D,0)-1+COUNTIF($E18:L18,"u")+COUNTIF($E18:L18,"t")+COUNTIF($E18:L18,"¶")+COUNTIF($E18:L18,"²")+COUNTIF($E18:L18,"µ")+COUNTIF($E18:L18,1),ColDescriptionCourte)),""),
  "")),"")</f>
        <v/>
      </c>
      <c r="N18" s="40" t="str">
        <f ca="1">IFERROR(IF(AND(
  INDEX(Roadmap!$D:$K,MATCH($E18,Roadmap!$D:$D,0)+COUNTIF($E18:M18,"u")+COUNTIF($E18:M18,"t")+COUNTIF($E18:M18,"¶")+COUNTIF($E18:M18,"²")+COUNTIF($E18:M18,"µ")+COUNTIF($E18:M18,1),ColLivraison)=N$6,
  VLOOKUP($E18,INDIRECT("tri!"&amp; CHAR(64+ C0Col) &amp;":"&amp; CHAR(65+C0Col)),2,FALSE)&gt;COUNTIF($E18:M18,"u")+COUNTIF($E18:M18,"t")+COUNTIF($E18:M18,"¶")+COUNTIF($E18:M18,"²")+COUNTIF($E18:M18,"µ")+COUNTIF($E18:M18,1)),
HYPERLINK("#Roadmap!C"&amp; MATCH($E18,Roadmap!$D:$D,0)+COUNTIF($E18:M18,"u")+COUNTIF($E18:M18,"t"),
     INDEX(Roadmap!$D:$K,MATCH($E18,Roadmap!$D:$D,0)+COUNTIF($E18:M18,"u")+COUNTIF($E18:M18,"t")+COUNTIF($E18:M18,"¶")+COUNTIF($E18:M18,"²")+COUNTIF($E18:M18,"µ")+COUNTIF($E18:M18,1),ColTypeEcheance)),
  IF(LEN(M18)=1,
  IF(LEN(INDEX(Roadmap!$D:$K,MATCH($E18,Roadmap!$D:$D,0)-1+COUNTIF($E18:M18,"u")+COUNTIF($E18:M18,"t")+COUNTIF($E18:M18,"¶")+COUNTIF($E18:M18,"²")+COUNTIF($E18:M18,"µ")+COUNTIF($E18:M18,1),ColDescriptionCourte))&gt;1,
HYPERLINK("#Roadmap!C"&amp; MATCH($E18,Roadmap!$D:$D,0)+COUNTIF($E18:M18,"u")+COUNTIF($E18:M18,"t")+COUNTIF($E18:M18,"¶")+COUNTIF($E18:M18,"²")+COUNTIF($E18:M18,"µ")+COUNTIF($E18:M18,1)-1,INDEX(Roadmap!$D:$K,MATCH($E18,Roadmap!$D:$D,0)-1+COUNTIF($E18:M18,"u")+COUNTIF($E18:M18,"t")+COUNTIF($E18:M18,"¶")+COUNTIF($E18:M18,"²")+COUNTIF($E18:M18,"µ")+COUNTIF($E18:M18,1),ColDescriptionCourte)),""),
  "")),"")</f>
        <v/>
      </c>
      <c r="O18" s="40" t="str">
        <f ca="1">IFERROR(IF(AND(
  INDEX(Roadmap!$D:$K,MATCH($E18,Roadmap!$D:$D,0)+COUNTIF($E18:N18,"u")+COUNTIF($E18:N18,"t")+COUNTIF($E18:N18,"¶")+COUNTIF($E18:N18,"²")+COUNTIF($E18:N18,"µ")+COUNTIF($E18:N18,1),ColLivraison)=O$6,
  VLOOKUP($E18,INDIRECT("tri!"&amp; CHAR(64+ C0Col) &amp;":"&amp; CHAR(65+C0Col)),2,FALSE)&gt;COUNTIF($E18:N18,"u")+COUNTIF($E18:N18,"t")+COUNTIF($E18:N18,"¶")+COUNTIF($E18:N18,"²")+COUNTIF($E18:N18,"µ")+COUNTIF($E18:N18,1)),
HYPERLINK("#Roadmap!C"&amp; MATCH($E18,Roadmap!$D:$D,0)+COUNTIF($E18:N18,"u")+COUNTIF($E18:N18,"t"),
     INDEX(Roadmap!$D:$K,MATCH($E18,Roadmap!$D:$D,0)+COUNTIF($E18:N18,"u")+COUNTIF($E18:N18,"t")+COUNTIF($E18:N18,"¶")+COUNTIF($E18:N18,"²")+COUNTIF($E18:N18,"µ")+COUNTIF($E18:N18,1),ColTypeEcheance)),
  IF(LEN(N18)=1,
  IF(LEN(INDEX(Roadmap!$D:$K,MATCH($E18,Roadmap!$D:$D,0)-1+COUNTIF($E18:N18,"u")+COUNTIF($E18:N18,"t")+COUNTIF($E18:N18,"¶")+COUNTIF($E18:N18,"²")+COUNTIF($E18:N18,"µ")+COUNTIF($E18:N18,1),ColDescriptionCourte))&gt;1,
HYPERLINK("#Roadmap!C"&amp; MATCH($E18,Roadmap!$D:$D,0)+COUNTIF($E18:N18,"u")+COUNTIF($E18:N18,"t")+COUNTIF($E18:N18,"¶")+COUNTIF($E18:N18,"²")+COUNTIF($E18:N18,"µ")+COUNTIF($E18:N18,1)-1,INDEX(Roadmap!$D:$K,MATCH($E18,Roadmap!$D:$D,0)-1+COUNTIF($E18:N18,"u")+COUNTIF($E18:N18,"t")+COUNTIF($E18:N18,"¶")+COUNTIF($E18:N18,"²")+COUNTIF($E18:N18,"µ")+COUNTIF($E18:N18,1),ColDescriptionCourte)),""),
  "")),"")</f>
        <v/>
      </c>
      <c r="P18" s="40" t="str">
        <f ca="1">IFERROR(IF(AND(
  INDEX(Roadmap!$D:$K,MATCH($E18,Roadmap!$D:$D,0)+COUNTIF($E18:O18,"u")+COUNTIF($E18:O18,"t")+COUNTIF($E18:O18,"¶")+COUNTIF($E18:O18,"²")+COUNTIF($E18:O18,"µ")+COUNTIF($E18:O18,1),ColLivraison)=P$6,
  VLOOKUP($E18,INDIRECT("tri!"&amp; CHAR(64+ C0Col) &amp;":"&amp; CHAR(65+C0Col)),2,FALSE)&gt;COUNTIF($E18:O18,"u")+COUNTIF($E18:O18,"t")+COUNTIF($E18:O18,"¶")+COUNTIF($E18:O18,"²")+COUNTIF($E18:O18,"µ")+COUNTIF($E18:O18,1)),
HYPERLINK("#Roadmap!C"&amp; MATCH($E18,Roadmap!$D:$D,0)+COUNTIF($E18:O18,"u")+COUNTIF($E18:O18,"t"),
     INDEX(Roadmap!$D:$K,MATCH($E18,Roadmap!$D:$D,0)+COUNTIF($E18:O18,"u")+COUNTIF($E18:O18,"t")+COUNTIF($E18:O18,"¶")+COUNTIF($E18:O18,"²")+COUNTIF($E18:O18,"µ")+COUNTIF($E18:O18,1),ColTypeEcheance)),
  IF(LEN(O18)=1,
  IF(LEN(INDEX(Roadmap!$D:$K,MATCH($E18,Roadmap!$D:$D,0)-1+COUNTIF($E18:O18,"u")+COUNTIF($E18:O18,"t")+COUNTIF($E18:O18,"¶")+COUNTIF($E18:O18,"²")+COUNTIF($E18:O18,"µ")+COUNTIF($E18:O18,1),ColDescriptionCourte))&gt;1,
HYPERLINK("#Roadmap!C"&amp; MATCH($E18,Roadmap!$D:$D,0)+COUNTIF($E18:O18,"u")+COUNTIF($E18:O18,"t")+COUNTIF($E18:O18,"¶")+COUNTIF($E18:O18,"²")+COUNTIF($E18:O18,"µ")+COUNTIF($E18:O18,1)-1,INDEX(Roadmap!$D:$K,MATCH($E18,Roadmap!$D:$D,0)-1+COUNTIF($E18:O18,"u")+COUNTIF($E18:O18,"t")+COUNTIF($E18:O18,"¶")+COUNTIF($E18:O18,"²")+COUNTIF($E18:O18,"µ")+COUNTIF($E18:O18,1),ColDescriptionCourte)),""),
  "")),"")</f>
        <v/>
      </c>
      <c r="Q18" s="40" t="str">
        <f ca="1">IFERROR(IF(AND(
  INDEX(Roadmap!$D:$K,MATCH($E18,Roadmap!$D:$D,0)+COUNTIF($E18:P18,"u")+COUNTIF($E18:P18,"t")+COUNTIF($E18:P18,"¶")+COUNTIF($E18:P18,"²")+COUNTIF($E18:P18,"µ")+COUNTIF($E18:P18,1),ColLivraison)=Q$6,
  VLOOKUP($E18,INDIRECT("tri!"&amp; CHAR(64+ C0Col) &amp;":"&amp; CHAR(65+C0Col)),2,FALSE)&gt;COUNTIF($E18:P18,"u")+COUNTIF($E18:P18,"t")+COUNTIF($E18:P18,"¶")+COUNTIF($E18:P18,"²")+COUNTIF($E18:P18,"µ")+COUNTIF($E18:P18,1)),
HYPERLINK("#Roadmap!C"&amp; MATCH($E18,Roadmap!$D:$D,0)+COUNTIF($E18:P18,"u")+COUNTIF($E18:P18,"t"),
     INDEX(Roadmap!$D:$K,MATCH($E18,Roadmap!$D:$D,0)+COUNTIF($E18:P18,"u")+COUNTIF($E18:P18,"t")+COUNTIF($E18:P18,"¶")+COUNTIF($E18:P18,"²")+COUNTIF($E18:P18,"µ")+COUNTIF($E18:P18,1),ColTypeEcheance)),
  IF(LEN(P18)=1,
  IF(LEN(INDEX(Roadmap!$D:$K,MATCH($E18,Roadmap!$D:$D,0)-1+COUNTIF($E18:P18,"u")+COUNTIF($E18:P18,"t")+COUNTIF($E18:P18,"¶")+COUNTIF($E18:P18,"²")+COUNTIF($E18:P18,"µ")+COUNTIF($E18:P18,1),ColDescriptionCourte))&gt;1,
HYPERLINK("#Roadmap!C"&amp; MATCH($E18,Roadmap!$D:$D,0)+COUNTIF($E18:P18,"u")+COUNTIF($E18:P18,"t")+COUNTIF($E18:P18,"¶")+COUNTIF($E18:P18,"²")+COUNTIF($E18:P18,"µ")+COUNTIF($E18:P18,1)-1,INDEX(Roadmap!$D:$K,MATCH($E18,Roadmap!$D:$D,0)-1+COUNTIF($E18:P18,"u")+COUNTIF($E18:P18,"t")+COUNTIF($E18:P18,"¶")+COUNTIF($E18:P18,"²")+COUNTIF($E18:P18,"µ")+COUNTIF($E18:P18,1),ColDescriptionCourte)),""),
  "")),"")</f>
        <v/>
      </c>
      <c r="R18" s="40" t="str">
        <f ca="1">IFERROR(IF(AND(
  INDEX(Roadmap!$D:$K,MATCH($E18,Roadmap!$D:$D,0)+COUNTIF($E18:Q18,"u")+COUNTIF($E18:Q18,"t")+COUNTIF($E18:Q18,"¶")+COUNTIF($E18:Q18,"²")+COUNTIF($E18:Q18,"µ")+COUNTIF($E18:Q18,1),ColLivraison)=R$6,
  VLOOKUP($E18,INDIRECT("tri!"&amp; CHAR(64+ C0Col) &amp;":"&amp; CHAR(65+C0Col)),2,FALSE)&gt;COUNTIF($E18:Q18,"u")+COUNTIF($E18:Q18,"t")+COUNTIF($E18:Q18,"¶")+COUNTIF($E18:Q18,"²")+COUNTIF($E18:Q18,"µ")+COUNTIF($E18:Q18,1)),
HYPERLINK("#Roadmap!C"&amp; MATCH($E18,Roadmap!$D:$D,0)+COUNTIF($E18:Q18,"u")+COUNTIF($E18:Q18,"t"),
     INDEX(Roadmap!$D:$K,MATCH($E18,Roadmap!$D:$D,0)+COUNTIF($E18:Q18,"u")+COUNTIF($E18:Q18,"t")+COUNTIF($E18:Q18,"¶")+COUNTIF($E18:Q18,"²")+COUNTIF($E18:Q18,"µ")+COUNTIF($E18:Q18,1),ColTypeEcheance)),
  IF(LEN(Q18)=1,
  IF(LEN(INDEX(Roadmap!$D:$K,MATCH($E18,Roadmap!$D:$D,0)-1+COUNTIF($E18:Q18,"u")+COUNTIF($E18:Q18,"t")+COUNTIF($E18:Q18,"¶")+COUNTIF($E18:Q18,"²")+COUNTIF($E18:Q18,"µ")+COUNTIF($E18:Q18,1),ColDescriptionCourte))&gt;1,
HYPERLINK("#Roadmap!C"&amp; MATCH($E18,Roadmap!$D:$D,0)+COUNTIF($E18:Q18,"u")+COUNTIF($E18:Q18,"t")+COUNTIF($E18:Q18,"¶")+COUNTIF($E18:Q18,"²")+COUNTIF($E18:Q18,"µ")+COUNTIF($E18:Q18,1)-1,INDEX(Roadmap!$D:$K,MATCH($E18,Roadmap!$D:$D,0)-1+COUNTIF($E18:Q18,"u")+COUNTIF($E18:Q18,"t")+COUNTIF($E18:Q18,"¶")+COUNTIF($E18:Q18,"²")+COUNTIF($E18:Q18,"µ")+COUNTIF($E18:Q18,1),ColDescriptionCourte)),""),
  "")),"")</f>
        <v/>
      </c>
      <c r="S18" s="40" t="str">
        <f ca="1">IFERROR(IF(AND(
  INDEX(Roadmap!$D:$K,MATCH($E18,Roadmap!$D:$D,0)+COUNTIF($E18:R18,"u")+COUNTIF($E18:R18,"t")+COUNTIF($E18:R18,"¶")+COUNTIF($E18:R18,"²")+COUNTIF($E18:R18,"µ")+COUNTIF($E18:R18,1),ColLivraison)=S$6,
  VLOOKUP($E18,INDIRECT("tri!"&amp; CHAR(64+ C0Col) &amp;":"&amp; CHAR(65+C0Col)),2,FALSE)&gt;COUNTIF($E18:R18,"u")+COUNTIF($E18:R18,"t")+COUNTIF($E18:R18,"¶")+COUNTIF($E18:R18,"²")+COUNTIF($E18:R18,"µ")+COUNTIF($E18:R18,1)),
HYPERLINK("#Roadmap!C"&amp; MATCH($E18,Roadmap!$D:$D,0)+COUNTIF($E18:R18,"u")+COUNTIF($E18:R18,"t"),
     INDEX(Roadmap!$D:$K,MATCH($E18,Roadmap!$D:$D,0)+COUNTIF($E18:R18,"u")+COUNTIF($E18:R18,"t")+COUNTIF($E18:R18,"¶")+COUNTIF($E18:R18,"²")+COUNTIF($E18:R18,"µ")+COUNTIF($E18:R18,1),ColTypeEcheance)),
  IF(LEN(R18)=1,
  IF(LEN(INDEX(Roadmap!$D:$K,MATCH($E18,Roadmap!$D:$D,0)-1+COUNTIF($E18:R18,"u")+COUNTIF($E18:R18,"t")+COUNTIF($E18:R18,"¶")+COUNTIF($E18:R18,"²")+COUNTIF($E18:R18,"µ")+COUNTIF($E18:R18,1),ColDescriptionCourte))&gt;1,
HYPERLINK("#Roadmap!C"&amp; MATCH($E18,Roadmap!$D:$D,0)+COUNTIF($E18:R18,"u")+COUNTIF($E18:R18,"t")+COUNTIF($E18:R18,"¶")+COUNTIF($E18:R18,"²")+COUNTIF($E18:R18,"µ")+COUNTIF($E18:R18,1)-1,INDEX(Roadmap!$D:$K,MATCH($E18,Roadmap!$D:$D,0)-1+COUNTIF($E18:R18,"u")+COUNTIF($E18:R18,"t")+COUNTIF($E18:R18,"¶")+COUNTIF($E18:R18,"²")+COUNTIF($E18:R18,"µ")+COUNTIF($E18:R18,1),ColDescriptionCourte)),""),
  "")),"")</f>
        <v/>
      </c>
      <c r="T18" s="40" t="str">
        <f ca="1">IFERROR(IF(AND(
  INDEX(Roadmap!$D:$K,MATCH($E18,Roadmap!$D:$D,0)+COUNTIF($E18:S18,"u")+COUNTIF($E18:S18,"t")+COUNTIF($E18:S18,"¶")+COUNTIF($E18:S18,"²")+COUNTIF($E18:S18,"µ")+COUNTIF($E18:S18,1),ColLivraison)=T$6,
  VLOOKUP($E18,INDIRECT("tri!"&amp; CHAR(64+ C0Col) &amp;":"&amp; CHAR(65+C0Col)),2,FALSE)&gt;COUNTIF($E18:S18,"u")+COUNTIF($E18:S18,"t")+COUNTIF($E18:S18,"¶")+COUNTIF($E18:S18,"²")+COUNTIF($E18:S18,"µ")+COUNTIF($E18:S18,1)),
HYPERLINK("#Roadmap!C"&amp; MATCH($E18,Roadmap!$D:$D,0)+COUNTIF($E18:S18,"u")+COUNTIF($E18:S18,"t"),
     INDEX(Roadmap!$D:$K,MATCH($E18,Roadmap!$D:$D,0)+COUNTIF($E18:S18,"u")+COUNTIF($E18:S18,"t")+COUNTIF($E18:S18,"¶")+COUNTIF($E18:S18,"²")+COUNTIF($E18:S18,"µ")+COUNTIF($E18:S18,1),ColTypeEcheance)),
  IF(LEN(S18)=1,
  IF(LEN(INDEX(Roadmap!$D:$K,MATCH($E18,Roadmap!$D:$D,0)-1+COUNTIF($E18:S18,"u")+COUNTIF($E18:S18,"t")+COUNTIF($E18:S18,"¶")+COUNTIF($E18:S18,"²")+COUNTIF($E18:S18,"µ")+COUNTIF($E18:S18,1),ColDescriptionCourte))&gt;1,
HYPERLINK("#Roadmap!C"&amp; MATCH($E18,Roadmap!$D:$D,0)+COUNTIF($E18:S18,"u")+COUNTIF($E18:S18,"t")+COUNTIF($E18:S18,"¶")+COUNTIF($E18:S18,"²")+COUNTIF($E18:S18,"µ")+COUNTIF($E18:S18,1)-1,INDEX(Roadmap!$D:$K,MATCH($E18,Roadmap!$D:$D,0)-1+COUNTIF($E18:S18,"u")+COUNTIF($E18:S18,"t")+COUNTIF($E18:S18,"¶")+COUNTIF($E18:S18,"²")+COUNTIF($E18:S18,"µ")+COUNTIF($E18:S18,1),ColDescriptionCourte)),""),
  "")),"")</f>
        <v/>
      </c>
      <c r="U18" s="40" t="str">
        <f ca="1">IFERROR(IF(AND(
  INDEX(Roadmap!$D:$K,MATCH($E18,Roadmap!$D:$D,0)+COUNTIF($E18:T18,"u")+COUNTIF($E18:T18,"t")+COUNTIF($E18:T18,"¶")+COUNTIF($E18:T18,"²")+COUNTIF($E18:T18,"µ")+COUNTIF($E18:T18,1),ColLivraison)=U$6,
  VLOOKUP($E18,INDIRECT("tri!"&amp; CHAR(64+ C0Col) &amp;":"&amp; CHAR(65+C0Col)),2,FALSE)&gt;COUNTIF($E18:T18,"u")+COUNTIF($E18:T18,"t")+COUNTIF($E18:T18,"¶")+COUNTIF($E18:T18,"²")+COUNTIF($E18:T18,"µ")+COUNTIF($E18:T18,1)),
HYPERLINK("#Roadmap!C"&amp; MATCH($E18,Roadmap!$D:$D,0)+COUNTIF($E18:T18,"u")+COUNTIF($E18:T18,"t"),
     INDEX(Roadmap!$D:$K,MATCH($E18,Roadmap!$D:$D,0)+COUNTIF($E18:T18,"u")+COUNTIF($E18:T18,"t")+COUNTIF($E18:T18,"¶")+COUNTIF($E18:T18,"²")+COUNTIF($E18:T18,"µ")+COUNTIF($E18:T18,1),ColTypeEcheance)),
  IF(LEN(T18)=1,
  IF(LEN(INDEX(Roadmap!$D:$K,MATCH($E18,Roadmap!$D:$D,0)-1+COUNTIF($E18:T18,"u")+COUNTIF($E18:T18,"t")+COUNTIF($E18:T18,"¶")+COUNTIF($E18:T18,"²")+COUNTIF($E18:T18,"µ")+COUNTIF($E18:T18,1),ColDescriptionCourte))&gt;1,
HYPERLINK("#Roadmap!C"&amp; MATCH($E18,Roadmap!$D:$D,0)+COUNTIF($E18:T18,"u")+COUNTIF($E18:T18,"t")+COUNTIF($E18:T18,"¶")+COUNTIF($E18:T18,"²")+COUNTIF($E18:T18,"µ")+COUNTIF($E18:T18,1)-1,INDEX(Roadmap!$D:$K,MATCH($E18,Roadmap!$D:$D,0)-1+COUNTIF($E18:T18,"u")+COUNTIF($E18:T18,"t")+COUNTIF($E18:T18,"¶")+COUNTIF($E18:T18,"²")+COUNTIF($E18:T18,"µ")+COUNTIF($E18:T18,1),ColDescriptionCourte)),""),
  "")),"")</f>
        <v/>
      </c>
      <c r="V18" s="40" t="str">
        <f ca="1">IFERROR(IF(AND(
  INDEX(Roadmap!$D:$K,MATCH($E18,Roadmap!$D:$D,0)+COUNTIF($E18:U18,"u")+COUNTIF($E18:U18,"t")+COUNTIF($E18:U18,"¶")+COUNTIF($E18:U18,"²")+COUNTIF($E18:U18,"µ")+COUNTIF($E18:U18,1),ColLivraison)=V$6,
  VLOOKUP($E18,INDIRECT("tri!"&amp; CHAR(64+ C0Col) &amp;":"&amp; CHAR(65+C0Col)),2,FALSE)&gt;COUNTIF($E18:U18,"u")+COUNTIF($E18:U18,"t")+COUNTIF($E18:U18,"¶")+COUNTIF($E18:U18,"²")+COUNTIF($E18:U18,"µ")+COUNTIF($E18:U18,1)),
HYPERLINK("#Roadmap!C"&amp; MATCH($E18,Roadmap!$D:$D,0)+COUNTIF($E18:U18,"u")+COUNTIF($E18:U18,"t"),
     INDEX(Roadmap!$D:$K,MATCH($E18,Roadmap!$D:$D,0)+COUNTIF($E18:U18,"u")+COUNTIF($E18:U18,"t")+COUNTIF($E18:U18,"¶")+COUNTIF($E18:U18,"²")+COUNTIF($E18:U18,"µ")+COUNTIF($E18:U18,1),ColTypeEcheance)),
  IF(LEN(U18)=1,
  IF(LEN(INDEX(Roadmap!$D:$K,MATCH($E18,Roadmap!$D:$D,0)-1+COUNTIF($E18:U18,"u")+COUNTIF($E18:U18,"t")+COUNTIF($E18:U18,"¶")+COUNTIF($E18:U18,"²")+COUNTIF($E18:U18,"µ")+COUNTIF($E18:U18,1),ColDescriptionCourte))&gt;1,
HYPERLINK("#Roadmap!C"&amp; MATCH($E18,Roadmap!$D:$D,0)+COUNTIF($E18:U18,"u")+COUNTIF($E18:U18,"t")+COUNTIF($E18:U18,"¶")+COUNTIF($E18:U18,"²")+COUNTIF($E18:U18,"µ")+COUNTIF($E18:U18,1)-1,INDEX(Roadmap!$D:$K,MATCH($E18,Roadmap!$D:$D,0)-1+COUNTIF($E18:U18,"u")+COUNTIF($E18:U18,"t")+COUNTIF($E18:U18,"¶")+COUNTIF($E18:U18,"²")+COUNTIF($E18:U18,"µ")+COUNTIF($E18:U18,1),ColDescriptionCourte)),""),
  "")),"")</f>
        <v/>
      </c>
      <c r="W18" s="40" t="str">
        <f ca="1">IFERROR(IF(AND(
  INDEX(Roadmap!$D:$K,MATCH($E18,Roadmap!$D:$D,0)+COUNTIF($E18:V18,"u")+COUNTIF($E18:V18,"t")+COUNTIF($E18:V18,"¶")+COUNTIF($E18:V18,"²")+COUNTIF($E18:V18,"µ")+COUNTIF($E18:V18,1),ColLivraison)=W$6,
  VLOOKUP($E18,INDIRECT("tri!"&amp; CHAR(64+ C0Col) &amp;":"&amp; CHAR(65+C0Col)),2,FALSE)&gt;COUNTIF($E18:V18,"u")+COUNTIF($E18:V18,"t")+COUNTIF($E18:V18,"¶")+COUNTIF($E18:V18,"²")+COUNTIF($E18:V18,"µ")+COUNTIF($E18:V18,1)),
HYPERLINK("#Roadmap!C"&amp; MATCH($E18,Roadmap!$D:$D,0)+COUNTIF($E18:V18,"u")+COUNTIF($E18:V18,"t"),
     INDEX(Roadmap!$D:$K,MATCH($E18,Roadmap!$D:$D,0)+COUNTIF($E18:V18,"u")+COUNTIF($E18:V18,"t")+COUNTIF($E18:V18,"¶")+COUNTIF($E18:V18,"²")+COUNTIF($E18:V18,"µ")+COUNTIF($E18:V18,1),ColTypeEcheance)),
  IF(LEN(V18)=1,
  IF(LEN(INDEX(Roadmap!$D:$K,MATCH($E18,Roadmap!$D:$D,0)-1+COUNTIF($E18:V18,"u")+COUNTIF($E18:V18,"t")+COUNTIF($E18:V18,"¶")+COUNTIF($E18:V18,"²")+COUNTIF($E18:V18,"µ")+COUNTIF($E18:V18,1),ColDescriptionCourte))&gt;1,
HYPERLINK("#Roadmap!C"&amp; MATCH($E18,Roadmap!$D:$D,0)+COUNTIF($E18:V18,"u")+COUNTIF($E18:V18,"t")+COUNTIF($E18:V18,"¶")+COUNTIF($E18:V18,"²")+COUNTIF($E18:V18,"µ")+COUNTIF($E18:V18,1)-1,INDEX(Roadmap!$D:$K,MATCH($E18,Roadmap!$D:$D,0)-1+COUNTIF($E18:V18,"u")+COUNTIF($E18:V18,"t")+COUNTIF($E18:V18,"¶")+COUNTIF($E18:V18,"²")+COUNTIF($E18:V18,"µ")+COUNTIF($E18:V18,1),ColDescriptionCourte)),""),
  "")),"")</f>
        <v/>
      </c>
      <c r="X18" s="40" t="str">
        <f ca="1">IFERROR(IF(AND(
  INDEX(Roadmap!$D:$K,MATCH($E18,Roadmap!$D:$D,0)+COUNTIF($E18:W18,"u")+COUNTIF($E18:W18,"t")+COUNTIF($E18:W18,"¶")+COUNTIF($E18:W18,"²")+COUNTIF($E18:W18,"µ")+COUNTIF($E18:W18,1),ColLivraison)=X$6,
  VLOOKUP($E18,INDIRECT("tri!"&amp; CHAR(64+ C0Col) &amp;":"&amp; CHAR(65+C0Col)),2,FALSE)&gt;COUNTIF($E18:W18,"u")+COUNTIF($E18:W18,"t")+COUNTIF($E18:W18,"¶")+COUNTIF($E18:W18,"²")+COUNTIF($E18:W18,"µ")+COUNTIF($E18:W18,1)),
HYPERLINK("#Roadmap!C"&amp; MATCH($E18,Roadmap!$D:$D,0)+COUNTIF($E18:W18,"u")+COUNTIF($E18:W18,"t"),
     INDEX(Roadmap!$D:$K,MATCH($E18,Roadmap!$D:$D,0)+COUNTIF($E18:W18,"u")+COUNTIF($E18:W18,"t")+COUNTIF($E18:W18,"¶")+COUNTIF($E18:W18,"²")+COUNTIF($E18:W18,"µ")+COUNTIF($E18:W18,1),ColTypeEcheance)),
  IF(LEN(W18)=1,
  IF(LEN(INDEX(Roadmap!$D:$K,MATCH($E18,Roadmap!$D:$D,0)-1+COUNTIF($E18:W18,"u")+COUNTIF($E18:W18,"t")+COUNTIF($E18:W18,"¶")+COUNTIF($E18:W18,"²")+COUNTIF($E18:W18,"µ")+COUNTIF($E18:W18,1),ColDescriptionCourte))&gt;1,
HYPERLINK("#Roadmap!C"&amp; MATCH($E18,Roadmap!$D:$D,0)+COUNTIF($E18:W18,"u")+COUNTIF($E18:W18,"t")+COUNTIF($E18:W18,"¶")+COUNTIF($E18:W18,"²")+COUNTIF($E18:W18,"µ")+COUNTIF($E18:W18,1)-1,INDEX(Roadmap!$D:$K,MATCH($E18,Roadmap!$D:$D,0)-1+COUNTIF($E18:W18,"u")+COUNTIF($E18:W18,"t")+COUNTIF($E18:W18,"¶")+COUNTIF($E18:W18,"²")+COUNTIF($E18:W18,"µ")+COUNTIF($E18:W18,1),ColDescriptionCourte)),""),
  "")),"")</f>
        <v/>
      </c>
      <c r="Y18" s="40" t="str">
        <f ca="1">IFERROR(IF(AND(
  INDEX(Roadmap!$D:$K,MATCH($E18,Roadmap!$D:$D,0)+COUNTIF($E18:X18,"u")+COUNTIF($E18:X18,"t")+COUNTIF($E18:X18,"¶")+COUNTIF($E18:X18,"²")+COUNTIF($E18:X18,"µ")+COUNTIF($E18:X18,1),ColLivraison)=Y$6,
  VLOOKUP($E18,INDIRECT("tri!"&amp; CHAR(64+ C0Col) &amp;":"&amp; CHAR(65+C0Col)),2,FALSE)&gt;COUNTIF($E18:X18,"u")+COUNTIF($E18:X18,"t")+COUNTIF($E18:X18,"¶")+COUNTIF($E18:X18,"²")+COUNTIF($E18:X18,"µ")+COUNTIF($E18:X18,1)),
HYPERLINK("#Roadmap!C"&amp; MATCH($E18,Roadmap!$D:$D,0)+COUNTIF($E18:X18,"u")+COUNTIF($E18:X18,"t"),
     INDEX(Roadmap!$D:$K,MATCH($E18,Roadmap!$D:$D,0)+COUNTIF($E18:X18,"u")+COUNTIF($E18:X18,"t")+COUNTIF($E18:X18,"¶")+COUNTIF($E18:X18,"²")+COUNTIF($E18:X18,"µ")+COUNTIF($E18:X18,1),ColTypeEcheance)),
  IF(LEN(X18)=1,
  IF(LEN(INDEX(Roadmap!$D:$K,MATCH($E18,Roadmap!$D:$D,0)-1+COUNTIF($E18:X18,"u")+COUNTIF($E18:X18,"t")+COUNTIF($E18:X18,"¶")+COUNTIF($E18:X18,"²")+COUNTIF($E18:X18,"µ")+COUNTIF($E18:X18,1),ColDescriptionCourte))&gt;1,
HYPERLINK("#Roadmap!C"&amp; MATCH($E18,Roadmap!$D:$D,0)+COUNTIF($E18:X18,"u")+COUNTIF($E18:X18,"t")+COUNTIF($E18:X18,"¶")+COUNTIF($E18:X18,"²")+COUNTIF($E18:X18,"µ")+COUNTIF($E18:X18,1)-1,INDEX(Roadmap!$D:$K,MATCH($E18,Roadmap!$D:$D,0)-1+COUNTIF($E18:X18,"u")+COUNTIF($E18:X18,"t")+COUNTIF($E18:X18,"¶")+COUNTIF($E18:X18,"²")+COUNTIF($E18:X18,"µ")+COUNTIF($E18:X18,1),ColDescriptionCourte)),""),
  "")),"")</f>
        <v/>
      </c>
      <c r="Z18" s="40" t="str">
        <f ca="1">IFERROR(IF(AND(
  INDEX(Roadmap!$D:$K,MATCH($E18,Roadmap!$D:$D,0)+COUNTIF($E18:Y18,"u")+COUNTIF($E18:Y18,"t")+COUNTIF($E18:Y18,"¶")+COUNTIF($E18:Y18,"²")+COUNTIF($E18:Y18,"µ")+COUNTIF($E18:Y18,1),ColLivraison)=Z$6,
  VLOOKUP($E18,INDIRECT("tri!"&amp; CHAR(64+ C0Col) &amp;":"&amp; CHAR(65+C0Col)),2,FALSE)&gt;COUNTIF($E18:Y18,"u")+COUNTIF($E18:Y18,"t")+COUNTIF($E18:Y18,"¶")+COUNTIF($E18:Y18,"²")+COUNTIF($E18:Y18,"µ")+COUNTIF($E18:Y18,1)),
HYPERLINK("#Roadmap!C"&amp; MATCH($E18,Roadmap!$D:$D,0)+COUNTIF($E18:Y18,"u")+COUNTIF($E18:Y18,"t"),
     INDEX(Roadmap!$D:$K,MATCH($E18,Roadmap!$D:$D,0)+COUNTIF($E18:Y18,"u")+COUNTIF($E18:Y18,"t")+COUNTIF($E18:Y18,"¶")+COUNTIF($E18:Y18,"²")+COUNTIF($E18:Y18,"µ")+COUNTIF($E18:Y18,1),ColTypeEcheance)),
  IF(LEN(Y18)=1,
  IF(LEN(INDEX(Roadmap!$D:$K,MATCH($E18,Roadmap!$D:$D,0)-1+COUNTIF($E18:Y18,"u")+COUNTIF($E18:Y18,"t")+COUNTIF($E18:Y18,"¶")+COUNTIF($E18:Y18,"²")+COUNTIF($E18:Y18,"µ")+COUNTIF($E18:Y18,1),ColDescriptionCourte))&gt;1,
HYPERLINK("#Roadmap!C"&amp; MATCH($E18,Roadmap!$D:$D,0)+COUNTIF($E18:Y18,"u")+COUNTIF($E18:Y18,"t")+COUNTIF($E18:Y18,"¶")+COUNTIF($E18:Y18,"²")+COUNTIF($E18:Y18,"µ")+COUNTIF($E18:Y18,1)-1,INDEX(Roadmap!$D:$K,MATCH($E18,Roadmap!$D:$D,0)-1+COUNTIF($E18:Y18,"u")+COUNTIF($E18:Y18,"t")+COUNTIF($E18:Y18,"¶")+COUNTIF($E18:Y18,"²")+COUNTIF($E18:Y18,"µ")+COUNTIF($E18:Y18,1),ColDescriptionCourte)),""),
  "")),"")</f>
        <v/>
      </c>
      <c r="AA18" s="40" t="str">
        <f ca="1">IFERROR(IF(AND(
  INDEX(Roadmap!$D:$K,MATCH($E18,Roadmap!$D:$D,0)+COUNTIF($E18:Z18,"u")+COUNTIF($E18:Z18,"t")+COUNTIF($E18:Z18,"¶")+COUNTIF($E18:Z18,"²")+COUNTIF($E18:Z18,"µ")+COUNTIF($E18:Z18,1),ColLivraison)=AA$6,
  VLOOKUP($E18,INDIRECT("tri!"&amp; CHAR(64+ C0Col) &amp;":"&amp; CHAR(65+C0Col)),2,FALSE)&gt;COUNTIF($E18:Z18,"u")+COUNTIF($E18:Z18,"t")+COUNTIF($E18:Z18,"¶")+COUNTIF($E18:Z18,"²")+COUNTIF($E18:Z18,"µ")+COUNTIF($E18:Z18,1)),
HYPERLINK("#Roadmap!C"&amp; MATCH($E18,Roadmap!$D:$D,0)+COUNTIF($E18:Z18,"u")+COUNTIF($E18:Z18,"t"),
     INDEX(Roadmap!$D:$K,MATCH($E18,Roadmap!$D:$D,0)+COUNTIF($E18:Z18,"u")+COUNTIF($E18:Z18,"t")+COUNTIF($E18:Z18,"¶")+COUNTIF($E18:Z18,"²")+COUNTIF($E18:Z18,"µ")+COUNTIF($E18:Z18,1),ColTypeEcheance)),
  IF(LEN(Z18)=1,
  IF(LEN(INDEX(Roadmap!$D:$K,MATCH($E18,Roadmap!$D:$D,0)-1+COUNTIF($E18:Z18,"u")+COUNTIF($E18:Z18,"t")+COUNTIF($E18:Z18,"¶")+COUNTIF($E18:Z18,"²")+COUNTIF($E18:Z18,"µ")+COUNTIF($E18:Z18,1),ColDescriptionCourte))&gt;1,
HYPERLINK("#Roadmap!C"&amp; MATCH($E18,Roadmap!$D:$D,0)+COUNTIF($E18:Z18,"u")+COUNTIF($E18:Z18,"t")+COUNTIF($E18:Z18,"¶")+COUNTIF($E18:Z18,"²")+COUNTIF($E18:Z18,"µ")+COUNTIF($E18:Z18,1)-1,INDEX(Roadmap!$D:$K,MATCH($E18,Roadmap!$D:$D,0)-1+COUNTIF($E18:Z18,"u")+COUNTIF($E18:Z18,"t")+COUNTIF($E18:Z18,"¶")+COUNTIF($E18:Z18,"²")+COUNTIF($E18:Z18,"µ")+COUNTIF($E18:Z18,1),ColDescriptionCourte)),""),
  "")),"")</f>
        <v/>
      </c>
      <c r="AB18" s="40" t="str">
        <f ca="1">IFERROR(IF(AND(
  INDEX(Roadmap!$D:$K,MATCH($E18,Roadmap!$D:$D,0)+COUNTIF($E18:AA18,"u")+COUNTIF($E18:AA18,"t")+COUNTIF($E18:AA18,"¶")+COUNTIF($E18:AA18,"²")+COUNTIF($E18:AA18,"µ")+COUNTIF($E18:AA18,1),ColLivraison)=AB$6,
  VLOOKUP($E18,INDIRECT("tri!"&amp; CHAR(64+ C0Col) &amp;":"&amp; CHAR(65+C0Col)),2,FALSE)&gt;COUNTIF($E18:AA18,"u")+COUNTIF($E18:AA18,"t")+COUNTIF($E18:AA18,"¶")+COUNTIF($E18:AA18,"²")+COUNTIF($E18:AA18,"µ")+COUNTIF($E18:AA18,1)),
HYPERLINK("#Roadmap!C"&amp; MATCH($E18,Roadmap!$D:$D,0)+COUNTIF($E18:AA18,"u")+COUNTIF($E18:AA18,"t"),
     INDEX(Roadmap!$D:$K,MATCH($E18,Roadmap!$D:$D,0)+COUNTIF($E18:AA18,"u")+COUNTIF($E18:AA18,"t")+COUNTIF($E18:AA18,"¶")+COUNTIF($E18:AA18,"²")+COUNTIF($E18:AA18,"µ")+COUNTIF($E18:AA18,1),ColTypeEcheance)),
  IF(LEN(AA18)=1,
  IF(LEN(INDEX(Roadmap!$D:$K,MATCH($E18,Roadmap!$D:$D,0)-1+COUNTIF($E18:AA18,"u")+COUNTIF($E18:AA18,"t")+COUNTIF($E18:AA18,"¶")+COUNTIF($E18:AA18,"²")+COUNTIF($E18:AA18,"µ")+COUNTIF($E18:AA18,1),ColDescriptionCourte))&gt;1,
HYPERLINK("#Roadmap!C"&amp; MATCH($E18,Roadmap!$D:$D,0)+COUNTIF($E18:AA18,"u")+COUNTIF($E18:AA18,"t")+COUNTIF($E18:AA18,"¶")+COUNTIF($E18:AA18,"²")+COUNTIF($E18:AA18,"µ")+COUNTIF($E18:AA18,1)-1,INDEX(Roadmap!$D:$K,MATCH($E18,Roadmap!$D:$D,0)-1+COUNTIF($E18:AA18,"u")+COUNTIF($E18:AA18,"t")+COUNTIF($E18:AA18,"¶")+COUNTIF($E18:AA18,"²")+COUNTIF($E18:AA18,"µ")+COUNTIF($E18:AA18,1),ColDescriptionCourte)),""),
  "")),"")</f>
        <v/>
      </c>
      <c r="AC18" s="40" t="str">
        <f ca="1">IFERROR(IF(AND(
  INDEX(Roadmap!$D:$K,MATCH($E18,Roadmap!$D:$D,0)+COUNTIF($E18:AB18,"u")+COUNTIF($E18:AB18,"t")+COUNTIF($E18:AB18,"¶")+COUNTIF($E18:AB18,"²")+COUNTIF($E18:AB18,"µ")+COUNTIF($E18:AB18,1),ColLivraison)=AC$6,
  VLOOKUP($E18,INDIRECT("tri!"&amp; CHAR(64+ C0Col) &amp;":"&amp; CHAR(65+C0Col)),2,FALSE)&gt;COUNTIF($E18:AB18,"u")+COUNTIF($E18:AB18,"t")+COUNTIF($E18:AB18,"¶")+COUNTIF($E18:AB18,"²")+COUNTIF($E18:AB18,"µ")+COUNTIF($E18:AB18,1)),
HYPERLINK("#Roadmap!C"&amp; MATCH($E18,Roadmap!$D:$D,0)+COUNTIF($E18:AB18,"u")+COUNTIF($E18:AB18,"t"),
     INDEX(Roadmap!$D:$K,MATCH($E18,Roadmap!$D:$D,0)+COUNTIF($E18:AB18,"u")+COUNTIF($E18:AB18,"t")+COUNTIF($E18:AB18,"¶")+COUNTIF($E18:AB18,"²")+COUNTIF($E18:AB18,"µ")+COUNTIF($E18:AB18,1),ColTypeEcheance)),
  IF(LEN(AB18)=1,
  IF(LEN(INDEX(Roadmap!$D:$K,MATCH($E18,Roadmap!$D:$D,0)-1+COUNTIF($E18:AB18,"u")+COUNTIF($E18:AB18,"t")+COUNTIF($E18:AB18,"¶")+COUNTIF($E18:AB18,"²")+COUNTIF($E18:AB18,"µ")+COUNTIF($E18:AB18,1),ColDescriptionCourte))&gt;1,
HYPERLINK("#Roadmap!C"&amp; MATCH($E18,Roadmap!$D:$D,0)+COUNTIF($E18:AB18,"u")+COUNTIF($E18:AB18,"t")+COUNTIF($E18:AB18,"¶")+COUNTIF($E18:AB18,"²")+COUNTIF($E18:AB18,"µ")+COUNTIF($E18:AB18,1)-1,INDEX(Roadmap!$D:$K,MATCH($E18,Roadmap!$D:$D,0)-1+COUNTIF($E18:AB18,"u")+COUNTIF($E18:AB18,"t")+COUNTIF($E18:AB18,"¶")+COUNTIF($E18:AB18,"²")+COUNTIF($E18:AB18,"µ")+COUNTIF($E18:AB18,1),ColDescriptionCourte)),""),
  "")),"")</f>
        <v/>
      </c>
      <c r="AD18" s="40" t="str">
        <f ca="1">IFERROR(IF(AND(
  INDEX(Roadmap!$D:$K,MATCH($E18,Roadmap!$D:$D,0)+COUNTIF($E18:AC18,"u")+COUNTIF($E18:AC18,"t")+COUNTIF($E18:AC18,"¶")+COUNTIF($E18:AC18,"²")+COUNTIF($E18:AC18,"µ")+COUNTIF($E18:AC18,1),ColLivraison)=AD$6,
  VLOOKUP($E18,INDIRECT("tri!"&amp; CHAR(64+ C0Col) &amp;":"&amp; CHAR(65+C0Col)),2,FALSE)&gt;COUNTIF($E18:AC18,"u")+COUNTIF($E18:AC18,"t")+COUNTIF($E18:AC18,"¶")+COUNTIF($E18:AC18,"²")+COUNTIF($E18:AC18,"µ")+COUNTIF($E18:AC18,1)),
HYPERLINK("#Roadmap!C"&amp; MATCH($E18,Roadmap!$D:$D,0)+COUNTIF($E18:AC18,"u")+COUNTIF($E18:AC18,"t"),
     INDEX(Roadmap!$D:$K,MATCH($E18,Roadmap!$D:$D,0)+COUNTIF($E18:AC18,"u")+COUNTIF($E18:AC18,"t")+COUNTIF($E18:AC18,"¶")+COUNTIF($E18:AC18,"²")+COUNTIF($E18:AC18,"µ")+COUNTIF($E18:AC18,1),ColTypeEcheance)),
  IF(LEN(AC18)=1,
  IF(LEN(INDEX(Roadmap!$D:$K,MATCH($E18,Roadmap!$D:$D,0)-1+COUNTIF($E18:AC18,"u")+COUNTIF($E18:AC18,"t")+COUNTIF($E18:AC18,"¶")+COUNTIF($E18:AC18,"²")+COUNTIF($E18:AC18,"µ")+COUNTIF($E18:AC18,1),ColDescriptionCourte))&gt;1,
HYPERLINK("#Roadmap!C"&amp; MATCH($E18,Roadmap!$D:$D,0)+COUNTIF($E18:AC18,"u")+COUNTIF($E18:AC18,"t")+COUNTIF($E18:AC18,"¶")+COUNTIF($E18:AC18,"²")+COUNTIF($E18:AC18,"µ")+COUNTIF($E18:AC18,1)-1,INDEX(Roadmap!$D:$K,MATCH($E18,Roadmap!$D:$D,0)-1+COUNTIF($E18:AC18,"u")+COUNTIF($E18:AC18,"t")+COUNTIF($E18:AC18,"¶")+COUNTIF($E18:AC18,"²")+COUNTIF($E18:AC18,"µ")+COUNTIF($E18:AC18,1),ColDescriptionCourte)),""),
  "")),"")</f>
        <v/>
      </c>
      <c r="AE18" s="40" t="str">
        <f ca="1">IFERROR(IF(AND(
  INDEX(Roadmap!$D:$K,MATCH($E18,Roadmap!$D:$D,0)+COUNTIF($E18:AD18,"u")+COUNTIF($E18:AD18,"t")+COUNTIF($E18:AD18,"¶")+COUNTIF($E18:AD18,"²")+COUNTIF($E18:AD18,"µ")+COUNTIF($E18:AD18,1),ColLivraison)=AE$6,
  VLOOKUP($E18,INDIRECT("tri!"&amp; CHAR(64+ C0Col) &amp;":"&amp; CHAR(65+C0Col)),2,FALSE)&gt;COUNTIF($E18:AD18,"u")+COUNTIF($E18:AD18,"t")+COUNTIF($E18:AD18,"¶")+COUNTIF($E18:AD18,"²")+COUNTIF($E18:AD18,"µ")+COUNTIF($E18:AD18,1)),
HYPERLINK("#Roadmap!C"&amp; MATCH($E18,Roadmap!$D:$D,0)+COUNTIF($E18:AD18,"u")+COUNTIF($E18:AD18,"t"),
     INDEX(Roadmap!$D:$K,MATCH($E18,Roadmap!$D:$D,0)+COUNTIF($E18:AD18,"u")+COUNTIF($E18:AD18,"t")+COUNTIF($E18:AD18,"¶")+COUNTIF($E18:AD18,"²")+COUNTIF($E18:AD18,"µ")+COUNTIF($E18:AD18,1),ColTypeEcheance)),
  IF(LEN(AD18)=1,
  IF(LEN(INDEX(Roadmap!$D:$K,MATCH($E18,Roadmap!$D:$D,0)-1+COUNTIF($E18:AD18,"u")+COUNTIF($E18:AD18,"t")+COUNTIF($E18:AD18,"¶")+COUNTIF($E18:AD18,"²")+COUNTIF($E18:AD18,"µ")+COUNTIF($E18:AD18,1),ColDescriptionCourte))&gt;1,
HYPERLINK("#Roadmap!C"&amp; MATCH($E18,Roadmap!$D:$D,0)+COUNTIF($E18:AD18,"u")+COUNTIF($E18:AD18,"t")+COUNTIF($E18:AD18,"¶")+COUNTIF($E18:AD18,"²")+COUNTIF($E18:AD18,"µ")+COUNTIF($E18:AD18,1)-1,INDEX(Roadmap!$D:$K,MATCH($E18,Roadmap!$D:$D,0)-1+COUNTIF($E18:AD18,"u")+COUNTIF($E18:AD18,"t")+COUNTIF($E18:AD18,"¶")+COUNTIF($E18:AD18,"²")+COUNTIF($E18:AD18,"µ")+COUNTIF($E18:AD18,1),ColDescriptionCourte)),""),
  "")),"")</f>
        <v/>
      </c>
      <c r="AF18" s="40" t="str">
        <f ca="1">IFERROR(IF(AND(
  INDEX(Roadmap!$D:$K,MATCH($E18,Roadmap!$D:$D,0)+COUNTIF($E18:AE18,"u")+COUNTIF($E18:AE18,"t")+COUNTIF($E18:AE18,"¶")+COUNTIF($E18:AE18,"²")+COUNTIF($E18:AE18,"µ")+COUNTIF($E18:AE18,1),ColLivraison)=AF$6,
  VLOOKUP($E18,INDIRECT("tri!"&amp; CHAR(64+ C0Col) &amp;":"&amp; CHAR(65+C0Col)),2,FALSE)&gt;COUNTIF($E18:AE18,"u")+COUNTIF($E18:AE18,"t")+COUNTIF($E18:AE18,"¶")+COUNTIF($E18:AE18,"²")+COUNTIF($E18:AE18,"µ")+COUNTIF($E18:AE18,1)),
HYPERLINK("#Roadmap!C"&amp; MATCH($E18,Roadmap!$D:$D,0)+COUNTIF($E18:AE18,"u")+COUNTIF($E18:AE18,"t"),
     INDEX(Roadmap!$D:$K,MATCH($E18,Roadmap!$D:$D,0)+COUNTIF($E18:AE18,"u")+COUNTIF($E18:AE18,"t")+COUNTIF($E18:AE18,"¶")+COUNTIF($E18:AE18,"²")+COUNTIF($E18:AE18,"µ")+COUNTIF($E18:AE18,1),ColTypeEcheance)),
  IF(LEN(AE18)=1,
  IF(LEN(INDEX(Roadmap!$D:$K,MATCH($E18,Roadmap!$D:$D,0)-1+COUNTIF($E18:AE18,"u")+COUNTIF($E18:AE18,"t")+COUNTIF($E18:AE18,"¶")+COUNTIF($E18:AE18,"²")+COUNTIF($E18:AE18,"µ")+COUNTIF($E18:AE18,1),ColDescriptionCourte))&gt;1,
HYPERLINK("#Roadmap!C"&amp; MATCH($E18,Roadmap!$D:$D,0)+COUNTIF($E18:AE18,"u")+COUNTIF($E18:AE18,"t")+COUNTIF($E18:AE18,"¶")+COUNTIF($E18:AE18,"²")+COUNTIF($E18:AE18,"µ")+COUNTIF($E18:AE18,1)-1,INDEX(Roadmap!$D:$K,MATCH($E18,Roadmap!$D:$D,0)-1+COUNTIF($E18:AE18,"u")+COUNTIF($E18:AE18,"t")+COUNTIF($E18:AE18,"¶")+COUNTIF($E18:AE18,"²")+COUNTIF($E18:AE18,"µ")+COUNTIF($E18:AE18,1),ColDescriptionCourte)),""),
  "")),"")</f>
        <v/>
      </c>
      <c r="AG18" s="40" t="str">
        <f ca="1">IFERROR(IF(AND(
  INDEX(Roadmap!$D:$K,MATCH($E18,Roadmap!$D:$D,0)+COUNTIF($E18:AF18,"u")+COUNTIF($E18:AF18,"t")+COUNTIF($E18:AF18,"¶")+COUNTIF($E18:AF18,"²")+COUNTIF($E18:AF18,"µ")+COUNTIF($E18:AF18,1),ColLivraison)=AG$6,
  VLOOKUP($E18,INDIRECT("tri!"&amp; CHAR(64+ C0Col) &amp;":"&amp; CHAR(65+C0Col)),2,FALSE)&gt;COUNTIF($E18:AF18,"u")+COUNTIF($E18:AF18,"t")+COUNTIF($E18:AF18,"¶")+COUNTIF($E18:AF18,"²")+COUNTIF($E18:AF18,"µ")+COUNTIF($E18:AF18,1)),
HYPERLINK("#Roadmap!C"&amp; MATCH($E18,Roadmap!$D:$D,0)+COUNTIF($E18:AF18,"u")+COUNTIF($E18:AF18,"t"),
     INDEX(Roadmap!$D:$K,MATCH($E18,Roadmap!$D:$D,0)+COUNTIF($E18:AF18,"u")+COUNTIF($E18:AF18,"t")+COUNTIF($E18:AF18,"¶")+COUNTIF($E18:AF18,"²")+COUNTIF($E18:AF18,"µ")+COUNTIF($E18:AF18,1),ColTypeEcheance)),
  IF(LEN(AF18)=1,
  IF(LEN(INDEX(Roadmap!$D:$K,MATCH($E18,Roadmap!$D:$D,0)-1+COUNTIF($E18:AF18,"u")+COUNTIF($E18:AF18,"t")+COUNTIF($E18:AF18,"¶")+COUNTIF($E18:AF18,"²")+COUNTIF($E18:AF18,"µ")+COUNTIF($E18:AF18,1),ColDescriptionCourte))&gt;1,
HYPERLINK("#Roadmap!C"&amp; MATCH($E18,Roadmap!$D:$D,0)+COUNTIF($E18:AF18,"u")+COUNTIF($E18:AF18,"t")+COUNTIF($E18:AF18,"¶")+COUNTIF($E18:AF18,"²")+COUNTIF($E18:AF18,"µ")+COUNTIF($E18:AF18,1)-1,INDEX(Roadmap!$D:$K,MATCH($E18,Roadmap!$D:$D,0)-1+COUNTIF($E18:AF18,"u")+COUNTIF($E18:AF18,"t")+COUNTIF($E18:AF18,"¶")+COUNTIF($E18:AF18,"²")+COUNTIF($E18:AF18,"µ")+COUNTIF($E18:AF18,1),ColDescriptionCourte)),""),
  "")),"")</f>
        <v/>
      </c>
    </row>
    <row r="19" spans="3:33" ht="14.25" customHeight="1">
      <c r="C19" s="1" t="str">
        <f t="shared" ca="1" si="42"/>
        <v/>
      </c>
      <c r="D19" s="1" t="str">
        <f t="shared" ca="1" si="43"/>
        <v/>
      </c>
      <c r="E19" s="35" t="str">
        <f t="shared" ca="1" si="33"/>
        <v/>
      </c>
      <c r="F19" s="39" t="str">
        <f ca="1">IFERROR(IF(AND(
  INDEX(Roadmap!$D:$K,MATCH($E19,Roadmap!$D:$D,0)+COUNTIF($E19:E19,"u")+COUNTIF($E19:E19,"t")+COUNTIF($E19:E19,"¶")+COUNTIF($E19:E19,"²")+COUNTIF($E19:E19,"µ")+COUNTIF($E19:E19,1),ColLivraison)=F$6,
  VLOOKUP($E19,INDIRECT("tri!"&amp; CHAR(64+ C0Col) &amp;":"&amp; CHAR(65+C0Col)),2,FALSE)&gt;COUNTIF($E19:E19,"u")+COUNTIF($E19:E19,"t")+COUNTIF($E19:E19,"¶")+COUNTIF($E19:E19,"²")+COUNTIF($E19:E19,"µ")+COUNTIF($E19:E19,1)),
HYPERLINK("#Roadmap!C"&amp; MATCH($E19,Roadmap!$D:$D,0)+COUNTIF($E19:E19,"u")+COUNTIF($E19:E19,"t"),
     INDEX(Roadmap!$D:$K,MATCH($E19,Roadmap!$D:$D,0)+COUNTIF($E19:E19,"u")+COUNTIF($E19:E19,"t")+COUNTIF($E19:E19,"¶")+COUNTIF($E19:E19,"²")+COUNTIF($E19:E19,"µ")+COUNTIF($E19:E19,1),ColTypeEcheance)),
  IF(LEN(E19)=1,
  IF(LEN(INDEX(Roadmap!$D:$K,MATCH($E19,Roadmap!$D:$D,0)-1+COUNTIF($E19:E19,"u")+COUNTIF($E19:E19,"t")+COUNTIF($E19:E19,"¶")+COUNTIF($E19:E19,"²")+COUNTIF($E19:E19,"µ")+COUNTIF($E19:E19,1),ColDescriptionCourte))&gt;1,
HYPERLINK("#Roadmap!C"&amp; MATCH($E19,Roadmap!$D:$D,0)+COUNTIF($E19:E19,"u")+COUNTIF($E19:E19,"t")+COUNTIF($E19:E19,"¶")+COUNTIF($E19:E19,"²")+COUNTIF($E19:E19,"µ")+COUNTIF($E19:E19,1)-1,INDEX(Roadmap!$D:$K,MATCH($E19,Roadmap!$D:$D,0)-1+COUNTIF($E19:E19,"u")+COUNTIF($E19:E19,"t")+COUNTIF($E19:E19,"¶")+COUNTIF($E19:E19,"²")+COUNTIF($E19:E19,"µ")+COUNTIF($E19:E19,1),ColDescriptionCourte)),""),
  "")),"")</f>
        <v/>
      </c>
      <c r="G19" s="40" t="str">
        <f ca="1">IFERROR(IF(AND(
  INDEX(Roadmap!$D:$K,MATCH($E19,Roadmap!$D:$D,0)+COUNTIF($E19:F19,"u")+COUNTIF($E19:F19,"t")+COUNTIF($E19:F19,"¶")+COUNTIF($E19:F19,"²")+COUNTIF($E19:F19,"µ")+COUNTIF($E19:F19,1),ColLivraison)=G$6,
  VLOOKUP($E19,INDIRECT("tri!"&amp; CHAR(64+ C0Col) &amp;":"&amp; CHAR(65+C0Col)),2,FALSE)&gt;COUNTIF($E19:F19,"u")+COUNTIF($E19:F19,"t")+COUNTIF($E19:F19,"¶")+COUNTIF($E19:F19,"²")+COUNTIF($E19:F19,"µ")+COUNTIF($E19:F19,1)),
HYPERLINK("#Roadmap!C"&amp; MATCH($E19,Roadmap!$D:$D,0)+COUNTIF($E19:F19,"u")+COUNTIF($E19:F19,"t"),
     INDEX(Roadmap!$D:$K,MATCH($E19,Roadmap!$D:$D,0)+COUNTIF($E19:F19,"u")+COUNTIF($E19:F19,"t")+COUNTIF($E19:F19,"¶")+COUNTIF($E19:F19,"²")+COUNTIF($E19:F19,"µ")+COUNTIF($E19:F19,1),ColTypeEcheance)),
  IF(LEN(F19)=1,
  IF(LEN(INDEX(Roadmap!$D:$K,MATCH($E19,Roadmap!$D:$D,0)-1+COUNTIF($E19:F19,"u")+COUNTIF($E19:F19,"t")+COUNTIF($E19:F19,"¶")+COUNTIF($E19:F19,"²")+COUNTIF($E19:F19,"µ")+COUNTIF($E19:F19,1),ColDescriptionCourte))&gt;1,
HYPERLINK("#Roadmap!C"&amp; MATCH($E19,Roadmap!$D:$D,0)+COUNTIF($E19:F19,"u")+COUNTIF($E19:F19,"t")+COUNTIF($E19:F19,"¶")+COUNTIF($E19:F19,"²")+COUNTIF($E19:F19,"µ")+COUNTIF($E19:F19,1)-1,INDEX(Roadmap!$D:$K,MATCH($E19,Roadmap!$D:$D,0)-1+COUNTIF($E19:F19,"u")+COUNTIF($E19:F19,"t")+COUNTIF($E19:F19,"¶")+COUNTIF($E19:F19,"²")+COUNTIF($E19:F19,"µ")+COUNTIF($E19:F19,1),ColDescriptionCourte)),""),
  "")),"")</f>
        <v/>
      </c>
      <c r="H19" s="40" t="str">
        <f ca="1">IFERROR(IF(AND(
  INDEX(Roadmap!$D:$K,MATCH($E19,Roadmap!$D:$D,0)+COUNTIF($E19:G19,"u")+COUNTIF($E19:G19,"t")+COUNTIF($E19:G19,"¶")+COUNTIF($E19:G19,"²")+COUNTIF($E19:G19,"µ")+COUNTIF($E19:G19,1),ColLivraison)=H$6,
  VLOOKUP($E19,INDIRECT("tri!"&amp; CHAR(64+ C0Col) &amp;":"&amp; CHAR(65+C0Col)),2,FALSE)&gt;COUNTIF($E19:G19,"u")+COUNTIF($E19:G19,"t")+COUNTIF($E19:G19,"¶")+COUNTIF($E19:G19,"²")+COUNTIF($E19:G19,"µ")+COUNTIF($E19:G19,1)),
HYPERLINK("#Roadmap!C"&amp; MATCH($E19,Roadmap!$D:$D,0)+COUNTIF($E19:G19,"u")+COUNTIF($E19:G19,"t"),
     INDEX(Roadmap!$D:$K,MATCH($E19,Roadmap!$D:$D,0)+COUNTIF($E19:G19,"u")+COUNTIF($E19:G19,"t")+COUNTIF($E19:G19,"¶")+COUNTIF($E19:G19,"²")+COUNTIF($E19:G19,"µ")+COUNTIF($E19:G19,1),ColTypeEcheance)),
  IF(LEN(G19)=1,
  IF(LEN(INDEX(Roadmap!$D:$K,MATCH($E19,Roadmap!$D:$D,0)-1+COUNTIF($E19:G19,"u")+COUNTIF($E19:G19,"t")+COUNTIF($E19:G19,"¶")+COUNTIF($E19:G19,"²")+COUNTIF($E19:G19,"µ")+COUNTIF($E19:G19,1),ColDescriptionCourte))&gt;1,
HYPERLINK("#Roadmap!C"&amp; MATCH($E19,Roadmap!$D:$D,0)+COUNTIF($E19:G19,"u")+COUNTIF($E19:G19,"t")+COUNTIF($E19:G19,"¶")+COUNTIF($E19:G19,"²")+COUNTIF($E19:G19,"µ")+COUNTIF($E19:G19,1)-1,INDEX(Roadmap!$D:$K,MATCH($E19,Roadmap!$D:$D,0)-1+COUNTIF($E19:G19,"u")+COUNTIF($E19:G19,"t")+COUNTIF($E19:G19,"¶")+COUNTIF($E19:G19,"²")+COUNTIF($E19:G19,"µ")+COUNTIF($E19:G19,1),ColDescriptionCourte)),""),
  "")),"")</f>
        <v/>
      </c>
      <c r="I19" s="40" t="str">
        <f ca="1">IFERROR(IF(AND(
  INDEX(Roadmap!$D:$K,MATCH($E19,Roadmap!$D:$D,0)+COUNTIF($E19:H19,"u")+COUNTIF($E19:H19,"t")+COUNTIF($E19:H19,"¶")+COUNTIF($E19:H19,"²")+COUNTIF($E19:H19,"µ")+COUNTIF($E19:H19,1),ColLivraison)=I$6,
  VLOOKUP($E19,INDIRECT("tri!"&amp; CHAR(64+ C0Col) &amp;":"&amp; CHAR(65+C0Col)),2,FALSE)&gt;COUNTIF($E19:H19,"u")+COUNTIF($E19:H19,"t")+COUNTIF($E19:H19,"¶")+COUNTIF($E19:H19,"²")+COUNTIF($E19:H19,"µ")+COUNTIF($E19:H19,1)),
HYPERLINK("#Roadmap!C"&amp; MATCH($E19,Roadmap!$D:$D,0)+COUNTIF($E19:H19,"u")+COUNTIF($E19:H19,"t"),
     INDEX(Roadmap!$D:$K,MATCH($E19,Roadmap!$D:$D,0)+COUNTIF($E19:H19,"u")+COUNTIF($E19:H19,"t")+COUNTIF($E19:H19,"¶")+COUNTIF($E19:H19,"²")+COUNTIF($E19:H19,"µ")+COUNTIF($E19:H19,1),ColTypeEcheance)),
  IF(LEN(H19)=1,
  IF(LEN(INDEX(Roadmap!$D:$K,MATCH($E19,Roadmap!$D:$D,0)-1+COUNTIF($E19:H19,"u")+COUNTIF($E19:H19,"t")+COUNTIF($E19:H19,"¶")+COUNTIF($E19:H19,"²")+COUNTIF($E19:H19,"µ")+COUNTIF($E19:H19,1),ColDescriptionCourte))&gt;1,
HYPERLINK("#Roadmap!C"&amp; MATCH($E19,Roadmap!$D:$D,0)+COUNTIF($E19:H19,"u")+COUNTIF($E19:H19,"t")+COUNTIF($E19:H19,"¶")+COUNTIF($E19:H19,"²")+COUNTIF($E19:H19,"µ")+COUNTIF($E19:H19,1)-1,INDEX(Roadmap!$D:$K,MATCH($E19,Roadmap!$D:$D,0)-1+COUNTIF($E19:H19,"u")+COUNTIF($E19:H19,"t")+COUNTIF($E19:H19,"¶")+COUNTIF($E19:H19,"²")+COUNTIF($E19:H19,"µ")+COUNTIF($E19:H19,1),ColDescriptionCourte)),""),
  "")),"")</f>
        <v/>
      </c>
      <c r="J19" s="40" t="str">
        <f ca="1">IFERROR(IF(AND(
  INDEX(Roadmap!$D:$K,MATCH($E19,Roadmap!$D:$D,0)+COUNTIF($E19:I19,"u")+COUNTIF($E19:I19,"t")+COUNTIF($E19:I19,"¶")+COUNTIF($E19:I19,"²")+COUNTIF($E19:I19,"µ")+COUNTIF($E19:I19,1),ColLivraison)=J$6,
  VLOOKUP($E19,INDIRECT("tri!"&amp; CHAR(64+ C0Col) &amp;":"&amp; CHAR(65+C0Col)),2,FALSE)&gt;COUNTIF($E19:I19,"u")+COUNTIF($E19:I19,"t")+COUNTIF($E19:I19,"¶")+COUNTIF($E19:I19,"²")+COUNTIF($E19:I19,"µ")+COUNTIF($E19:I19,1)),
HYPERLINK("#Roadmap!C"&amp; MATCH($E19,Roadmap!$D:$D,0)+COUNTIF($E19:I19,"u")+COUNTIF($E19:I19,"t"),
     INDEX(Roadmap!$D:$K,MATCH($E19,Roadmap!$D:$D,0)+COUNTIF($E19:I19,"u")+COUNTIF($E19:I19,"t")+COUNTIF($E19:I19,"¶")+COUNTIF($E19:I19,"²")+COUNTIF($E19:I19,"µ")+COUNTIF($E19:I19,1),ColTypeEcheance)),
  IF(LEN(I19)=1,
  IF(LEN(INDEX(Roadmap!$D:$K,MATCH($E19,Roadmap!$D:$D,0)-1+COUNTIF($E19:I19,"u")+COUNTIF($E19:I19,"t")+COUNTIF($E19:I19,"¶")+COUNTIF($E19:I19,"²")+COUNTIF($E19:I19,"µ")+COUNTIF($E19:I19,1),ColDescriptionCourte))&gt;1,
HYPERLINK("#Roadmap!C"&amp; MATCH($E19,Roadmap!$D:$D,0)+COUNTIF($E19:I19,"u")+COUNTIF($E19:I19,"t")+COUNTIF($E19:I19,"¶")+COUNTIF($E19:I19,"²")+COUNTIF($E19:I19,"µ")+COUNTIF($E19:I19,1)-1,INDEX(Roadmap!$D:$K,MATCH($E19,Roadmap!$D:$D,0)-1+COUNTIF($E19:I19,"u")+COUNTIF($E19:I19,"t")+COUNTIF($E19:I19,"¶")+COUNTIF($E19:I19,"²")+COUNTIF($E19:I19,"µ")+COUNTIF($E19:I19,1),ColDescriptionCourte)),""),
  "")),"")</f>
        <v/>
      </c>
      <c r="K19" s="40" t="str">
        <f ca="1">IFERROR(IF(AND(
  INDEX(Roadmap!$D:$K,MATCH($E19,Roadmap!$D:$D,0)+COUNTIF($E19:J19,"u")+COUNTIF($E19:J19,"t")+COUNTIF($E19:J19,"¶")+COUNTIF($E19:J19,"²")+COUNTIF($E19:J19,"µ")+COUNTIF($E19:J19,1),ColLivraison)=K$6,
  VLOOKUP($E19,INDIRECT("tri!"&amp; CHAR(64+ C0Col) &amp;":"&amp; CHAR(65+C0Col)),2,FALSE)&gt;COUNTIF($E19:J19,"u")+COUNTIF($E19:J19,"t")+COUNTIF($E19:J19,"¶")+COUNTIF($E19:J19,"²")+COUNTIF($E19:J19,"µ")+COUNTIF($E19:J19,1)),
HYPERLINK("#Roadmap!C"&amp; MATCH($E19,Roadmap!$D:$D,0)+COUNTIF($E19:J19,"u")+COUNTIF($E19:J19,"t"),
     INDEX(Roadmap!$D:$K,MATCH($E19,Roadmap!$D:$D,0)+COUNTIF($E19:J19,"u")+COUNTIF($E19:J19,"t")+COUNTIF($E19:J19,"¶")+COUNTIF($E19:J19,"²")+COUNTIF($E19:J19,"µ")+COUNTIF($E19:J19,1),ColTypeEcheance)),
  IF(LEN(J19)=1,
  IF(LEN(INDEX(Roadmap!$D:$K,MATCH($E19,Roadmap!$D:$D,0)-1+COUNTIF($E19:J19,"u")+COUNTIF($E19:J19,"t")+COUNTIF($E19:J19,"¶")+COUNTIF($E19:J19,"²")+COUNTIF($E19:J19,"µ")+COUNTIF($E19:J19,1),ColDescriptionCourte))&gt;1,
HYPERLINK("#Roadmap!C"&amp; MATCH($E19,Roadmap!$D:$D,0)+COUNTIF($E19:J19,"u")+COUNTIF($E19:J19,"t")+COUNTIF($E19:J19,"¶")+COUNTIF($E19:J19,"²")+COUNTIF($E19:J19,"µ")+COUNTIF($E19:J19,1)-1,INDEX(Roadmap!$D:$K,MATCH($E19,Roadmap!$D:$D,0)-1+COUNTIF($E19:J19,"u")+COUNTIF($E19:J19,"t")+COUNTIF($E19:J19,"¶")+COUNTIF($E19:J19,"²")+COUNTIF($E19:J19,"µ")+COUNTIF($E19:J19,1),ColDescriptionCourte)),""),
  "")),"")</f>
        <v/>
      </c>
      <c r="L19" s="39" t="str">
        <f ca="1">IFERROR(IF(AND(
  INDEX(Roadmap!$D:$K,MATCH($E19,Roadmap!$D:$D,0)+COUNTIF($E19:K19,"u")+COUNTIF($E19:K19,"t")+COUNTIF($E19:K19,"¶")+COUNTIF($E19:K19,"²")+COUNTIF($E19:K19,"µ")+COUNTIF($E19:K19,1),ColLivraison)=L$6,
  VLOOKUP($E19,INDIRECT("tri!"&amp; CHAR(64+ C0Col) &amp;":"&amp; CHAR(65+C0Col)),2,FALSE)&gt;COUNTIF($E19:K19,"u")+COUNTIF($E19:K19,"t")+COUNTIF($E19:K19,"¶")+COUNTIF($E19:K19,"²")+COUNTIF($E19:K19,"µ")+COUNTIF($E19:K19,1)),
HYPERLINK("#Roadmap!C"&amp; MATCH($E19,Roadmap!$D:$D,0)+COUNTIF($E19:K19,"u")+COUNTIF($E19:K19,"t"),
     INDEX(Roadmap!$D:$K,MATCH($E19,Roadmap!$D:$D,0)+COUNTIF($E19:K19,"u")+COUNTIF($E19:K19,"t")+COUNTIF($E19:K19,"¶")+COUNTIF($E19:K19,"²")+COUNTIF($E19:K19,"µ")+COUNTIF($E19:K19,1),ColTypeEcheance)),
  IF(LEN(K19)=1,
  IF(LEN(INDEX(Roadmap!$D:$K,MATCH($E19,Roadmap!$D:$D,0)-1+COUNTIF($E19:K19,"u")+COUNTIF($E19:K19,"t")+COUNTIF($E19:K19,"¶")+COUNTIF($E19:K19,"²")+COUNTIF($E19:K19,"µ")+COUNTIF($E19:K19,1),ColDescriptionCourte))&gt;1,
HYPERLINK("#Roadmap!C"&amp; MATCH($E19,Roadmap!$D:$D,0)+COUNTIF($E19:K19,"u")+COUNTIF($E19:K19,"t")+COUNTIF($E19:K19,"¶")+COUNTIF($E19:K19,"²")+COUNTIF($E19:K19,"µ")+COUNTIF($E19:K19,1)-1,INDEX(Roadmap!$D:$K,MATCH($E19,Roadmap!$D:$D,0)-1+COUNTIF($E19:K19,"u")+COUNTIF($E19:K19,"t")+COUNTIF($E19:K19,"¶")+COUNTIF($E19:K19,"²")+COUNTIF($E19:K19,"µ")+COUNTIF($E19:K19,1),ColDescriptionCourte)),""),
  "")),"")</f>
        <v/>
      </c>
      <c r="M19" s="40" t="str">
        <f ca="1">IFERROR(IF(AND(
  INDEX(Roadmap!$D:$K,MATCH($E19,Roadmap!$D:$D,0)+COUNTIF($E19:L19,"u")+COUNTIF($E19:L19,"t")+COUNTIF($E19:L19,"¶")+COUNTIF($E19:L19,"²")+COUNTIF($E19:L19,"µ")+COUNTIF($E19:L19,1),ColLivraison)=M$6,
  VLOOKUP($E19,INDIRECT("tri!"&amp; CHAR(64+ C0Col) &amp;":"&amp; CHAR(65+C0Col)),2,FALSE)&gt;COUNTIF($E19:L19,"u")+COUNTIF($E19:L19,"t")+COUNTIF($E19:L19,"¶")+COUNTIF($E19:L19,"²")+COUNTIF($E19:L19,"µ")+COUNTIF($E19:L19,1)),
HYPERLINK("#Roadmap!C"&amp; MATCH($E19,Roadmap!$D:$D,0)+COUNTIF($E19:L19,"u")+COUNTIF($E19:L19,"t"),
     INDEX(Roadmap!$D:$K,MATCH($E19,Roadmap!$D:$D,0)+COUNTIF($E19:L19,"u")+COUNTIF($E19:L19,"t")+COUNTIF($E19:L19,"¶")+COUNTIF($E19:L19,"²")+COUNTIF($E19:L19,"µ")+COUNTIF($E19:L19,1),ColTypeEcheance)),
  IF(LEN(L19)=1,
  IF(LEN(INDEX(Roadmap!$D:$K,MATCH($E19,Roadmap!$D:$D,0)-1+COUNTIF($E19:L19,"u")+COUNTIF($E19:L19,"t")+COUNTIF($E19:L19,"¶")+COUNTIF($E19:L19,"²")+COUNTIF($E19:L19,"µ")+COUNTIF($E19:L19,1),ColDescriptionCourte))&gt;1,
HYPERLINK("#Roadmap!C"&amp; MATCH($E19,Roadmap!$D:$D,0)+COUNTIF($E19:L19,"u")+COUNTIF($E19:L19,"t")+COUNTIF($E19:L19,"¶")+COUNTIF($E19:L19,"²")+COUNTIF($E19:L19,"µ")+COUNTIF($E19:L19,1)-1,INDEX(Roadmap!$D:$K,MATCH($E19,Roadmap!$D:$D,0)-1+COUNTIF($E19:L19,"u")+COUNTIF($E19:L19,"t")+COUNTIF($E19:L19,"¶")+COUNTIF($E19:L19,"²")+COUNTIF($E19:L19,"µ")+COUNTIF($E19:L19,1),ColDescriptionCourte)),""),
  "")),"")</f>
        <v/>
      </c>
      <c r="N19" s="40" t="str">
        <f ca="1">IFERROR(IF(AND(
  INDEX(Roadmap!$D:$K,MATCH($E19,Roadmap!$D:$D,0)+COUNTIF($E19:M19,"u")+COUNTIF($E19:M19,"t")+COUNTIF($E19:M19,"¶")+COUNTIF($E19:M19,"²")+COUNTIF($E19:M19,"µ")+COUNTIF($E19:M19,1),ColLivraison)=N$6,
  VLOOKUP($E19,INDIRECT("tri!"&amp; CHAR(64+ C0Col) &amp;":"&amp; CHAR(65+C0Col)),2,FALSE)&gt;COUNTIF($E19:M19,"u")+COUNTIF($E19:M19,"t")+COUNTIF($E19:M19,"¶")+COUNTIF($E19:M19,"²")+COUNTIF($E19:M19,"µ")+COUNTIF($E19:M19,1)),
HYPERLINK("#Roadmap!C"&amp; MATCH($E19,Roadmap!$D:$D,0)+COUNTIF($E19:M19,"u")+COUNTIF($E19:M19,"t"),
     INDEX(Roadmap!$D:$K,MATCH($E19,Roadmap!$D:$D,0)+COUNTIF($E19:M19,"u")+COUNTIF($E19:M19,"t")+COUNTIF($E19:M19,"¶")+COUNTIF($E19:M19,"²")+COUNTIF($E19:M19,"µ")+COUNTIF($E19:M19,1),ColTypeEcheance)),
  IF(LEN(M19)=1,
  IF(LEN(INDEX(Roadmap!$D:$K,MATCH($E19,Roadmap!$D:$D,0)-1+COUNTIF($E19:M19,"u")+COUNTIF($E19:M19,"t")+COUNTIF($E19:M19,"¶")+COUNTIF($E19:M19,"²")+COUNTIF($E19:M19,"µ")+COUNTIF($E19:M19,1),ColDescriptionCourte))&gt;1,
HYPERLINK("#Roadmap!C"&amp; MATCH($E19,Roadmap!$D:$D,0)+COUNTIF($E19:M19,"u")+COUNTIF($E19:M19,"t")+COUNTIF($E19:M19,"¶")+COUNTIF($E19:M19,"²")+COUNTIF($E19:M19,"µ")+COUNTIF($E19:M19,1)-1,INDEX(Roadmap!$D:$K,MATCH($E19,Roadmap!$D:$D,0)-1+COUNTIF($E19:M19,"u")+COUNTIF($E19:M19,"t")+COUNTIF($E19:M19,"¶")+COUNTIF($E19:M19,"²")+COUNTIF($E19:M19,"µ")+COUNTIF($E19:M19,1),ColDescriptionCourte)),""),
  "")),"")</f>
        <v/>
      </c>
      <c r="O19" s="40" t="str">
        <f ca="1">IFERROR(IF(AND(
  INDEX(Roadmap!$D:$K,MATCH($E19,Roadmap!$D:$D,0)+COUNTIF($E19:N19,"u")+COUNTIF($E19:N19,"t")+COUNTIF($E19:N19,"¶")+COUNTIF($E19:N19,"²")+COUNTIF($E19:N19,"µ")+COUNTIF($E19:N19,1),ColLivraison)=O$6,
  VLOOKUP($E19,INDIRECT("tri!"&amp; CHAR(64+ C0Col) &amp;":"&amp; CHAR(65+C0Col)),2,FALSE)&gt;COUNTIF($E19:N19,"u")+COUNTIF($E19:N19,"t")+COUNTIF($E19:N19,"¶")+COUNTIF($E19:N19,"²")+COUNTIF($E19:N19,"µ")+COUNTIF($E19:N19,1)),
HYPERLINK("#Roadmap!C"&amp; MATCH($E19,Roadmap!$D:$D,0)+COUNTIF($E19:N19,"u")+COUNTIF($E19:N19,"t"),
     INDEX(Roadmap!$D:$K,MATCH($E19,Roadmap!$D:$D,0)+COUNTIF($E19:N19,"u")+COUNTIF($E19:N19,"t")+COUNTIF($E19:N19,"¶")+COUNTIF($E19:N19,"²")+COUNTIF($E19:N19,"µ")+COUNTIF($E19:N19,1),ColTypeEcheance)),
  IF(LEN(N19)=1,
  IF(LEN(INDEX(Roadmap!$D:$K,MATCH($E19,Roadmap!$D:$D,0)-1+COUNTIF($E19:N19,"u")+COUNTIF($E19:N19,"t")+COUNTIF($E19:N19,"¶")+COUNTIF($E19:N19,"²")+COUNTIF($E19:N19,"µ")+COUNTIF($E19:N19,1),ColDescriptionCourte))&gt;1,
HYPERLINK("#Roadmap!C"&amp; MATCH($E19,Roadmap!$D:$D,0)+COUNTIF($E19:N19,"u")+COUNTIF($E19:N19,"t")+COUNTIF($E19:N19,"¶")+COUNTIF($E19:N19,"²")+COUNTIF($E19:N19,"µ")+COUNTIF($E19:N19,1)-1,INDEX(Roadmap!$D:$K,MATCH($E19,Roadmap!$D:$D,0)-1+COUNTIF($E19:N19,"u")+COUNTIF($E19:N19,"t")+COUNTIF($E19:N19,"¶")+COUNTIF($E19:N19,"²")+COUNTIF($E19:N19,"µ")+COUNTIF($E19:N19,1),ColDescriptionCourte)),""),
  "")),"")</f>
        <v/>
      </c>
      <c r="P19" s="40" t="str">
        <f ca="1">IFERROR(IF(AND(
  INDEX(Roadmap!$D:$K,MATCH($E19,Roadmap!$D:$D,0)+COUNTIF($E19:O19,"u")+COUNTIF($E19:O19,"t")+COUNTIF($E19:O19,"¶")+COUNTIF($E19:O19,"²")+COUNTIF($E19:O19,"µ")+COUNTIF($E19:O19,1),ColLivraison)=P$6,
  VLOOKUP($E19,INDIRECT("tri!"&amp; CHAR(64+ C0Col) &amp;":"&amp; CHAR(65+C0Col)),2,FALSE)&gt;COUNTIF($E19:O19,"u")+COUNTIF($E19:O19,"t")+COUNTIF($E19:O19,"¶")+COUNTIF($E19:O19,"²")+COUNTIF($E19:O19,"µ")+COUNTIF($E19:O19,1)),
HYPERLINK("#Roadmap!C"&amp; MATCH($E19,Roadmap!$D:$D,0)+COUNTIF($E19:O19,"u")+COUNTIF($E19:O19,"t"),
     INDEX(Roadmap!$D:$K,MATCH($E19,Roadmap!$D:$D,0)+COUNTIF($E19:O19,"u")+COUNTIF($E19:O19,"t")+COUNTIF($E19:O19,"¶")+COUNTIF($E19:O19,"²")+COUNTIF($E19:O19,"µ")+COUNTIF($E19:O19,1),ColTypeEcheance)),
  IF(LEN(O19)=1,
  IF(LEN(INDEX(Roadmap!$D:$K,MATCH($E19,Roadmap!$D:$D,0)-1+COUNTIF($E19:O19,"u")+COUNTIF($E19:O19,"t")+COUNTIF($E19:O19,"¶")+COUNTIF($E19:O19,"²")+COUNTIF($E19:O19,"µ")+COUNTIF($E19:O19,1),ColDescriptionCourte))&gt;1,
HYPERLINK("#Roadmap!C"&amp; MATCH($E19,Roadmap!$D:$D,0)+COUNTIF($E19:O19,"u")+COUNTIF($E19:O19,"t")+COUNTIF($E19:O19,"¶")+COUNTIF($E19:O19,"²")+COUNTIF($E19:O19,"µ")+COUNTIF($E19:O19,1)-1,INDEX(Roadmap!$D:$K,MATCH($E19,Roadmap!$D:$D,0)-1+COUNTIF($E19:O19,"u")+COUNTIF($E19:O19,"t")+COUNTIF($E19:O19,"¶")+COUNTIF($E19:O19,"²")+COUNTIF($E19:O19,"µ")+COUNTIF($E19:O19,1),ColDescriptionCourte)),""),
  "")),"")</f>
        <v/>
      </c>
      <c r="Q19" s="40" t="str">
        <f ca="1">IFERROR(IF(AND(
  INDEX(Roadmap!$D:$K,MATCH($E19,Roadmap!$D:$D,0)+COUNTIF($E19:P19,"u")+COUNTIF($E19:P19,"t")+COUNTIF($E19:P19,"¶")+COUNTIF($E19:P19,"²")+COUNTIF($E19:P19,"µ")+COUNTIF($E19:P19,1),ColLivraison)=Q$6,
  VLOOKUP($E19,INDIRECT("tri!"&amp; CHAR(64+ C0Col) &amp;":"&amp; CHAR(65+C0Col)),2,FALSE)&gt;COUNTIF($E19:P19,"u")+COUNTIF($E19:P19,"t")+COUNTIF($E19:P19,"¶")+COUNTIF($E19:P19,"²")+COUNTIF($E19:P19,"µ")+COUNTIF($E19:P19,1)),
HYPERLINK("#Roadmap!C"&amp; MATCH($E19,Roadmap!$D:$D,0)+COUNTIF($E19:P19,"u")+COUNTIF($E19:P19,"t"),
     INDEX(Roadmap!$D:$K,MATCH($E19,Roadmap!$D:$D,0)+COUNTIF($E19:P19,"u")+COUNTIF($E19:P19,"t")+COUNTIF($E19:P19,"¶")+COUNTIF($E19:P19,"²")+COUNTIF($E19:P19,"µ")+COUNTIF($E19:P19,1),ColTypeEcheance)),
  IF(LEN(P19)=1,
  IF(LEN(INDEX(Roadmap!$D:$K,MATCH($E19,Roadmap!$D:$D,0)-1+COUNTIF($E19:P19,"u")+COUNTIF($E19:P19,"t")+COUNTIF($E19:P19,"¶")+COUNTIF($E19:P19,"²")+COUNTIF($E19:P19,"µ")+COUNTIF($E19:P19,1),ColDescriptionCourte))&gt;1,
HYPERLINK("#Roadmap!C"&amp; MATCH($E19,Roadmap!$D:$D,0)+COUNTIF($E19:P19,"u")+COUNTIF($E19:P19,"t")+COUNTIF($E19:P19,"¶")+COUNTIF($E19:P19,"²")+COUNTIF($E19:P19,"µ")+COUNTIF($E19:P19,1)-1,INDEX(Roadmap!$D:$K,MATCH($E19,Roadmap!$D:$D,0)-1+COUNTIF($E19:P19,"u")+COUNTIF($E19:P19,"t")+COUNTIF($E19:P19,"¶")+COUNTIF($E19:P19,"²")+COUNTIF($E19:P19,"µ")+COUNTIF($E19:P19,1),ColDescriptionCourte)),""),
  "")),"")</f>
        <v/>
      </c>
      <c r="R19" s="40" t="str">
        <f ca="1">IFERROR(IF(AND(
  INDEX(Roadmap!$D:$K,MATCH($E19,Roadmap!$D:$D,0)+COUNTIF($E19:Q19,"u")+COUNTIF($E19:Q19,"t")+COUNTIF($E19:Q19,"¶")+COUNTIF($E19:Q19,"²")+COUNTIF($E19:Q19,"µ")+COUNTIF($E19:Q19,1),ColLivraison)=R$6,
  VLOOKUP($E19,INDIRECT("tri!"&amp; CHAR(64+ C0Col) &amp;":"&amp; CHAR(65+C0Col)),2,FALSE)&gt;COUNTIF($E19:Q19,"u")+COUNTIF($E19:Q19,"t")+COUNTIF($E19:Q19,"¶")+COUNTIF($E19:Q19,"²")+COUNTIF($E19:Q19,"µ")+COUNTIF($E19:Q19,1)),
HYPERLINK("#Roadmap!C"&amp; MATCH($E19,Roadmap!$D:$D,0)+COUNTIF($E19:Q19,"u")+COUNTIF($E19:Q19,"t"),
     INDEX(Roadmap!$D:$K,MATCH($E19,Roadmap!$D:$D,0)+COUNTIF($E19:Q19,"u")+COUNTIF($E19:Q19,"t")+COUNTIF($E19:Q19,"¶")+COUNTIF($E19:Q19,"²")+COUNTIF($E19:Q19,"µ")+COUNTIF($E19:Q19,1),ColTypeEcheance)),
  IF(LEN(Q19)=1,
  IF(LEN(INDEX(Roadmap!$D:$K,MATCH($E19,Roadmap!$D:$D,0)-1+COUNTIF($E19:Q19,"u")+COUNTIF($E19:Q19,"t")+COUNTIF($E19:Q19,"¶")+COUNTIF($E19:Q19,"²")+COUNTIF($E19:Q19,"µ")+COUNTIF($E19:Q19,1),ColDescriptionCourte))&gt;1,
HYPERLINK("#Roadmap!C"&amp; MATCH($E19,Roadmap!$D:$D,0)+COUNTIF($E19:Q19,"u")+COUNTIF($E19:Q19,"t")+COUNTIF($E19:Q19,"¶")+COUNTIF($E19:Q19,"²")+COUNTIF($E19:Q19,"µ")+COUNTIF($E19:Q19,1)-1,INDEX(Roadmap!$D:$K,MATCH($E19,Roadmap!$D:$D,0)-1+COUNTIF($E19:Q19,"u")+COUNTIF($E19:Q19,"t")+COUNTIF($E19:Q19,"¶")+COUNTIF($E19:Q19,"²")+COUNTIF($E19:Q19,"µ")+COUNTIF($E19:Q19,1),ColDescriptionCourte)),""),
  "")),"")</f>
        <v/>
      </c>
      <c r="S19" s="40" t="str">
        <f ca="1">IFERROR(IF(AND(
  INDEX(Roadmap!$D:$K,MATCH($E19,Roadmap!$D:$D,0)+COUNTIF($E19:R19,"u")+COUNTIF($E19:R19,"t")+COUNTIF($E19:R19,"¶")+COUNTIF($E19:R19,"²")+COUNTIF($E19:R19,"µ")+COUNTIF($E19:R19,1),ColLivraison)=S$6,
  VLOOKUP($E19,INDIRECT("tri!"&amp; CHAR(64+ C0Col) &amp;":"&amp; CHAR(65+C0Col)),2,FALSE)&gt;COUNTIF($E19:R19,"u")+COUNTIF($E19:R19,"t")+COUNTIF($E19:R19,"¶")+COUNTIF($E19:R19,"²")+COUNTIF($E19:R19,"µ")+COUNTIF($E19:R19,1)),
HYPERLINK("#Roadmap!C"&amp; MATCH($E19,Roadmap!$D:$D,0)+COUNTIF($E19:R19,"u")+COUNTIF($E19:R19,"t"),
     INDEX(Roadmap!$D:$K,MATCH($E19,Roadmap!$D:$D,0)+COUNTIF($E19:R19,"u")+COUNTIF($E19:R19,"t")+COUNTIF($E19:R19,"¶")+COUNTIF($E19:R19,"²")+COUNTIF($E19:R19,"µ")+COUNTIF($E19:R19,1),ColTypeEcheance)),
  IF(LEN(R19)=1,
  IF(LEN(INDEX(Roadmap!$D:$K,MATCH($E19,Roadmap!$D:$D,0)-1+COUNTIF($E19:R19,"u")+COUNTIF($E19:R19,"t")+COUNTIF($E19:R19,"¶")+COUNTIF($E19:R19,"²")+COUNTIF($E19:R19,"µ")+COUNTIF($E19:R19,1),ColDescriptionCourte))&gt;1,
HYPERLINK("#Roadmap!C"&amp; MATCH($E19,Roadmap!$D:$D,0)+COUNTIF($E19:R19,"u")+COUNTIF($E19:R19,"t")+COUNTIF($E19:R19,"¶")+COUNTIF($E19:R19,"²")+COUNTIF($E19:R19,"µ")+COUNTIF($E19:R19,1)-1,INDEX(Roadmap!$D:$K,MATCH($E19,Roadmap!$D:$D,0)-1+COUNTIF($E19:R19,"u")+COUNTIF($E19:R19,"t")+COUNTIF($E19:R19,"¶")+COUNTIF($E19:R19,"²")+COUNTIF($E19:R19,"µ")+COUNTIF($E19:R19,1),ColDescriptionCourte)),""),
  "")),"")</f>
        <v/>
      </c>
      <c r="T19" s="40" t="str">
        <f ca="1">IFERROR(IF(AND(
  INDEX(Roadmap!$D:$K,MATCH($E19,Roadmap!$D:$D,0)+COUNTIF($E19:S19,"u")+COUNTIF($E19:S19,"t")+COUNTIF($E19:S19,"¶")+COUNTIF($E19:S19,"²")+COUNTIF($E19:S19,"µ")+COUNTIF($E19:S19,1),ColLivraison)=T$6,
  VLOOKUP($E19,INDIRECT("tri!"&amp; CHAR(64+ C0Col) &amp;":"&amp; CHAR(65+C0Col)),2,FALSE)&gt;COUNTIF($E19:S19,"u")+COUNTIF($E19:S19,"t")+COUNTIF($E19:S19,"¶")+COUNTIF($E19:S19,"²")+COUNTIF($E19:S19,"µ")+COUNTIF($E19:S19,1)),
HYPERLINK("#Roadmap!C"&amp; MATCH($E19,Roadmap!$D:$D,0)+COUNTIF($E19:S19,"u")+COUNTIF($E19:S19,"t"),
     INDEX(Roadmap!$D:$K,MATCH($E19,Roadmap!$D:$D,0)+COUNTIF($E19:S19,"u")+COUNTIF($E19:S19,"t")+COUNTIF($E19:S19,"¶")+COUNTIF($E19:S19,"²")+COUNTIF($E19:S19,"µ")+COUNTIF($E19:S19,1),ColTypeEcheance)),
  IF(LEN(S19)=1,
  IF(LEN(INDEX(Roadmap!$D:$K,MATCH($E19,Roadmap!$D:$D,0)-1+COUNTIF($E19:S19,"u")+COUNTIF($E19:S19,"t")+COUNTIF($E19:S19,"¶")+COUNTIF($E19:S19,"²")+COUNTIF($E19:S19,"µ")+COUNTIF($E19:S19,1),ColDescriptionCourte))&gt;1,
HYPERLINK("#Roadmap!C"&amp; MATCH($E19,Roadmap!$D:$D,0)+COUNTIF($E19:S19,"u")+COUNTIF($E19:S19,"t")+COUNTIF($E19:S19,"¶")+COUNTIF($E19:S19,"²")+COUNTIF($E19:S19,"µ")+COUNTIF($E19:S19,1)-1,INDEX(Roadmap!$D:$K,MATCH($E19,Roadmap!$D:$D,0)-1+COUNTIF($E19:S19,"u")+COUNTIF($E19:S19,"t")+COUNTIF($E19:S19,"¶")+COUNTIF($E19:S19,"²")+COUNTIF($E19:S19,"µ")+COUNTIF($E19:S19,1),ColDescriptionCourte)),""),
  "")),"")</f>
        <v/>
      </c>
      <c r="U19" s="40" t="str">
        <f ca="1">IFERROR(IF(AND(
  INDEX(Roadmap!$D:$K,MATCH($E19,Roadmap!$D:$D,0)+COUNTIF($E19:T19,"u")+COUNTIF($E19:T19,"t")+COUNTIF($E19:T19,"¶")+COUNTIF($E19:T19,"²")+COUNTIF($E19:T19,"µ")+COUNTIF($E19:T19,1),ColLivraison)=U$6,
  VLOOKUP($E19,INDIRECT("tri!"&amp; CHAR(64+ C0Col) &amp;":"&amp; CHAR(65+C0Col)),2,FALSE)&gt;COUNTIF($E19:T19,"u")+COUNTIF($E19:T19,"t")+COUNTIF($E19:T19,"¶")+COUNTIF($E19:T19,"²")+COUNTIF($E19:T19,"µ")+COUNTIF($E19:T19,1)),
HYPERLINK("#Roadmap!C"&amp; MATCH($E19,Roadmap!$D:$D,0)+COUNTIF($E19:T19,"u")+COUNTIF($E19:T19,"t"),
     INDEX(Roadmap!$D:$K,MATCH($E19,Roadmap!$D:$D,0)+COUNTIF($E19:T19,"u")+COUNTIF($E19:T19,"t")+COUNTIF($E19:T19,"¶")+COUNTIF($E19:T19,"²")+COUNTIF($E19:T19,"µ")+COUNTIF($E19:T19,1),ColTypeEcheance)),
  IF(LEN(T19)=1,
  IF(LEN(INDEX(Roadmap!$D:$K,MATCH($E19,Roadmap!$D:$D,0)-1+COUNTIF($E19:T19,"u")+COUNTIF($E19:T19,"t")+COUNTIF($E19:T19,"¶")+COUNTIF($E19:T19,"²")+COUNTIF($E19:T19,"µ")+COUNTIF($E19:T19,1),ColDescriptionCourte))&gt;1,
HYPERLINK("#Roadmap!C"&amp; MATCH($E19,Roadmap!$D:$D,0)+COUNTIF($E19:T19,"u")+COUNTIF($E19:T19,"t")+COUNTIF($E19:T19,"¶")+COUNTIF($E19:T19,"²")+COUNTIF($E19:T19,"µ")+COUNTIF($E19:T19,1)-1,INDEX(Roadmap!$D:$K,MATCH($E19,Roadmap!$D:$D,0)-1+COUNTIF($E19:T19,"u")+COUNTIF($E19:T19,"t")+COUNTIF($E19:T19,"¶")+COUNTIF($E19:T19,"²")+COUNTIF($E19:T19,"µ")+COUNTIF($E19:T19,1),ColDescriptionCourte)),""),
  "")),"")</f>
        <v/>
      </c>
      <c r="V19" s="40" t="str">
        <f ca="1">IFERROR(IF(AND(
  INDEX(Roadmap!$D:$K,MATCH($E19,Roadmap!$D:$D,0)+COUNTIF($E19:U19,"u")+COUNTIF($E19:U19,"t")+COUNTIF($E19:U19,"¶")+COUNTIF($E19:U19,"²")+COUNTIF($E19:U19,"µ")+COUNTIF($E19:U19,1),ColLivraison)=V$6,
  VLOOKUP($E19,INDIRECT("tri!"&amp; CHAR(64+ C0Col) &amp;":"&amp; CHAR(65+C0Col)),2,FALSE)&gt;COUNTIF($E19:U19,"u")+COUNTIF($E19:U19,"t")+COUNTIF($E19:U19,"¶")+COUNTIF($E19:U19,"²")+COUNTIF($E19:U19,"µ")+COUNTIF($E19:U19,1)),
HYPERLINK("#Roadmap!C"&amp; MATCH($E19,Roadmap!$D:$D,0)+COUNTIF($E19:U19,"u")+COUNTIF($E19:U19,"t"),
     INDEX(Roadmap!$D:$K,MATCH($E19,Roadmap!$D:$D,0)+COUNTIF($E19:U19,"u")+COUNTIF($E19:U19,"t")+COUNTIF($E19:U19,"¶")+COUNTIF($E19:U19,"²")+COUNTIF($E19:U19,"µ")+COUNTIF($E19:U19,1),ColTypeEcheance)),
  IF(LEN(U19)=1,
  IF(LEN(INDEX(Roadmap!$D:$K,MATCH($E19,Roadmap!$D:$D,0)-1+COUNTIF($E19:U19,"u")+COUNTIF($E19:U19,"t")+COUNTIF($E19:U19,"¶")+COUNTIF($E19:U19,"²")+COUNTIF($E19:U19,"µ")+COUNTIF($E19:U19,1),ColDescriptionCourte))&gt;1,
HYPERLINK("#Roadmap!C"&amp; MATCH($E19,Roadmap!$D:$D,0)+COUNTIF($E19:U19,"u")+COUNTIF($E19:U19,"t")+COUNTIF($E19:U19,"¶")+COUNTIF($E19:U19,"²")+COUNTIF($E19:U19,"µ")+COUNTIF($E19:U19,1)-1,INDEX(Roadmap!$D:$K,MATCH($E19,Roadmap!$D:$D,0)-1+COUNTIF($E19:U19,"u")+COUNTIF($E19:U19,"t")+COUNTIF($E19:U19,"¶")+COUNTIF($E19:U19,"²")+COUNTIF($E19:U19,"µ")+COUNTIF($E19:U19,1),ColDescriptionCourte)),""),
  "")),"")</f>
        <v/>
      </c>
      <c r="W19" s="40" t="str">
        <f ca="1">IFERROR(IF(AND(
  INDEX(Roadmap!$D:$K,MATCH($E19,Roadmap!$D:$D,0)+COUNTIF($E19:V19,"u")+COUNTIF($E19:V19,"t")+COUNTIF($E19:V19,"¶")+COUNTIF($E19:V19,"²")+COUNTIF($E19:V19,"µ")+COUNTIF($E19:V19,1),ColLivraison)=W$6,
  VLOOKUP($E19,INDIRECT("tri!"&amp; CHAR(64+ C0Col) &amp;":"&amp; CHAR(65+C0Col)),2,FALSE)&gt;COUNTIF($E19:V19,"u")+COUNTIF($E19:V19,"t")+COUNTIF($E19:V19,"¶")+COUNTIF($E19:V19,"²")+COUNTIF($E19:V19,"µ")+COUNTIF($E19:V19,1)),
HYPERLINK("#Roadmap!C"&amp; MATCH($E19,Roadmap!$D:$D,0)+COUNTIF($E19:V19,"u")+COUNTIF($E19:V19,"t"),
     INDEX(Roadmap!$D:$K,MATCH($E19,Roadmap!$D:$D,0)+COUNTIF($E19:V19,"u")+COUNTIF($E19:V19,"t")+COUNTIF($E19:V19,"¶")+COUNTIF($E19:V19,"²")+COUNTIF($E19:V19,"µ")+COUNTIF($E19:V19,1),ColTypeEcheance)),
  IF(LEN(V19)=1,
  IF(LEN(INDEX(Roadmap!$D:$K,MATCH($E19,Roadmap!$D:$D,0)-1+COUNTIF($E19:V19,"u")+COUNTIF($E19:V19,"t")+COUNTIF($E19:V19,"¶")+COUNTIF($E19:V19,"²")+COUNTIF($E19:V19,"µ")+COUNTIF($E19:V19,1),ColDescriptionCourte))&gt;1,
HYPERLINK("#Roadmap!C"&amp; MATCH($E19,Roadmap!$D:$D,0)+COUNTIF($E19:V19,"u")+COUNTIF($E19:V19,"t")+COUNTIF($E19:V19,"¶")+COUNTIF($E19:V19,"²")+COUNTIF($E19:V19,"µ")+COUNTIF($E19:V19,1)-1,INDEX(Roadmap!$D:$K,MATCH($E19,Roadmap!$D:$D,0)-1+COUNTIF($E19:V19,"u")+COUNTIF($E19:V19,"t")+COUNTIF($E19:V19,"¶")+COUNTIF($E19:V19,"²")+COUNTIF($E19:V19,"µ")+COUNTIF($E19:V19,1),ColDescriptionCourte)),""),
  "")),"")</f>
        <v/>
      </c>
      <c r="X19" s="40" t="str">
        <f ca="1">IFERROR(IF(AND(
  INDEX(Roadmap!$D:$K,MATCH($E19,Roadmap!$D:$D,0)+COUNTIF($E19:W19,"u")+COUNTIF($E19:W19,"t")+COUNTIF($E19:W19,"¶")+COUNTIF($E19:W19,"²")+COUNTIF($E19:W19,"µ")+COUNTIF($E19:W19,1),ColLivraison)=X$6,
  VLOOKUP($E19,INDIRECT("tri!"&amp; CHAR(64+ C0Col) &amp;":"&amp; CHAR(65+C0Col)),2,FALSE)&gt;COUNTIF($E19:W19,"u")+COUNTIF($E19:W19,"t")+COUNTIF($E19:W19,"¶")+COUNTIF($E19:W19,"²")+COUNTIF($E19:W19,"µ")+COUNTIF($E19:W19,1)),
HYPERLINK("#Roadmap!C"&amp; MATCH($E19,Roadmap!$D:$D,0)+COUNTIF($E19:W19,"u")+COUNTIF($E19:W19,"t"),
     INDEX(Roadmap!$D:$K,MATCH($E19,Roadmap!$D:$D,0)+COUNTIF($E19:W19,"u")+COUNTIF($E19:W19,"t")+COUNTIF($E19:W19,"¶")+COUNTIF($E19:W19,"²")+COUNTIF($E19:W19,"µ")+COUNTIF($E19:W19,1),ColTypeEcheance)),
  IF(LEN(W19)=1,
  IF(LEN(INDEX(Roadmap!$D:$K,MATCH($E19,Roadmap!$D:$D,0)-1+COUNTIF($E19:W19,"u")+COUNTIF($E19:W19,"t")+COUNTIF($E19:W19,"¶")+COUNTIF($E19:W19,"²")+COUNTIF($E19:W19,"µ")+COUNTIF($E19:W19,1),ColDescriptionCourte))&gt;1,
HYPERLINK("#Roadmap!C"&amp; MATCH($E19,Roadmap!$D:$D,0)+COUNTIF($E19:W19,"u")+COUNTIF($E19:W19,"t")+COUNTIF($E19:W19,"¶")+COUNTIF($E19:W19,"²")+COUNTIF($E19:W19,"µ")+COUNTIF($E19:W19,1)-1,INDEX(Roadmap!$D:$K,MATCH($E19,Roadmap!$D:$D,0)-1+COUNTIF($E19:W19,"u")+COUNTIF($E19:W19,"t")+COUNTIF($E19:W19,"¶")+COUNTIF($E19:W19,"²")+COUNTIF($E19:W19,"µ")+COUNTIF($E19:W19,1),ColDescriptionCourte)),""),
  "")),"")</f>
        <v/>
      </c>
      <c r="Y19" s="40" t="str">
        <f ca="1">IFERROR(IF(AND(
  INDEX(Roadmap!$D:$K,MATCH($E19,Roadmap!$D:$D,0)+COUNTIF($E19:X19,"u")+COUNTIF($E19:X19,"t")+COUNTIF($E19:X19,"¶")+COUNTIF($E19:X19,"²")+COUNTIF($E19:X19,"µ")+COUNTIF($E19:X19,1),ColLivraison)=Y$6,
  VLOOKUP($E19,INDIRECT("tri!"&amp; CHAR(64+ C0Col) &amp;":"&amp; CHAR(65+C0Col)),2,FALSE)&gt;COUNTIF($E19:X19,"u")+COUNTIF($E19:X19,"t")+COUNTIF($E19:X19,"¶")+COUNTIF($E19:X19,"²")+COUNTIF($E19:X19,"µ")+COUNTIF($E19:X19,1)),
HYPERLINK("#Roadmap!C"&amp; MATCH($E19,Roadmap!$D:$D,0)+COUNTIF($E19:X19,"u")+COUNTIF($E19:X19,"t"),
     INDEX(Roadmap!$D:$K,MATCH($E19,Roadmap!$D:$D,0)+COUNTIF($E19:X19,"u")+COUNTIF($E19:X19,"t")+COUNTIF($E19:X19,"¶")+COUNTIF($E19:X19,"²")+COUNTIF($E19:X19,"µ")+COUNTIF($E19:X19,1),ColTypeEcheance)),
  IF(LEN(X19)=1,
  IF(LEN(INDEX(Roadmap!$D:$K,MATCH($E19,Roadmap!$D:$D,0)-1+COUNTIF($E19:X19,"u")+COUNTIF($E19:X19,"t")+COUNTIF($E19:X19,"¶")+COUNTIF($E19:X19,"²")+COUNTIF($E19:X19,"µ")+COUNTIF($E19:X19,1),ColDescriptionCourte))&gt;1,
HYPERLINK("#Roadmap!C"&amp; MATCH($E19,Roadmap!$D:$D,0)+COUNTIF($E19:X19,"u")+COUNTIF($E19:X19,"t")+COUNTIF($E19:X19,"¶")+COUNTIF($E19:X19,"²")+COUNTIF($E19:X19,"µ")+COUNTIF($E19:X19,1)-1,INDEX(Roadmap!$D:$K,MATCH($E19,Roadmap!$D:$D,0)-1+COUNTIF($E19:X19,"u")+COUNTIF($E19:X19,"t")+COUNTIF($E19:X19,"¶")+COUNTIF($E19:X19,"²")+COUNTIF($E19:X19,"µ")+COUNTIF($E19:X19,1),ColDescriptionCourte)),""),
  "")),"")</f>
        <v/>
      </c>
      <c r="Z19" s="40" t="str">
        <f ca="1">IFERROR(IF(AND(
  INDEX(Roadmap!$D:$K,MATCH($E19,Roadmap!$D:$D,0)+COUNTIF($E19:Y19,"u")+COUNTIF($E19:Y19,"t")+COUNTIF($E19:Y19,"¶")+COUNTIF($E19:Y19,"²")+COUNTIF($E19:Y19,"µ")+COUNTIF($E19:Y19,1),ColLivraison)=Z$6,
  VLOOKUP($E19,INDIRECT("tri!"&amp; CHAR(64+ C0Col) &amp;":"&amp; CHAR(65+C0Col)),2,FALSE)&gt;COUNTIF($E19:Y19,"u")+COUNTIF($E19:Y19,"t")+COUNTIF($E19:Y19,"¶")+COUNTIF($E19:Y19,"²")+COUNTIF($E19:Y19,"µ")+COUNTIF($E19:Y19,1)),
HYPERLINK("#Roadmap!C"&amp; MATCH($E19,Roadmap!$D:$D,0)+COUNTIF($E19:Y19,"u")+COUNTIF($E19:Y19,"t"),
     INDEX(Roadmap!$D:$K,MATCH($E19,Roadmap!$D:$D,0)+COUNTIF($E19:Y19,"u")+COUNTIF($E19:Y19,"t")+COUNTIF($E19:Y19,"¶")+COUNTIF($E19:Y19,"²")+COUNTIF($E19:Y19,"µ")+COUNTIF($E19:Y19,1),ColTypeEcheance)),
  IF(LEN(Y19)=1,
  IF(LEN(INDEX(Roadmap!$D:$K,MATCH($E19,Roadmap!$D:$D,0)-1+COUNTIF($E19:Y19,"u")+COUNTIF($E19:Y19,"t")+COUNTIF($E19:Y19,"¶")+COUNTIF($E19:Y19,"²")+COUNTIF($E19:Y19,"µ")+COUNTIF($E19:Y19,1),ColDescriptionCourte))&gt;1,
HYPERLINK("#Roadmap!C"&amp; MATCH($E19,Roadmap!$D:$D,0)+COUNTIF($E19:Y19,"u")+COUNTIF($E19:Y19,"t")+COUNTIF($E19:Y19,"¶")+COUNTIF($E19:Y19,"²")+COUNTIF($E19:Y19,"µ")+COUNTIF($E19:Y19,1)-1,INDEX(Roadmap!$D:$K,MATCH($E19,Roadmap!$D:$D,0)-1+COUNTIF($E19:Y19,"u")+COUNTIF($E19:Y19,"t")+COUNTIF($E19:Y19,"¶")+COUNTIF($E19:Y19,"²")+COUNTIF($E19:Y19,"µ")+COUNTIF($E19:Y19,1),ColDescriptionCourte)),""),
  "")),"")</f>
        <v/>
      </c>
      <c r="AA19" s="40" t="str">
        <f ca="1">IFERROR(IF(AND(
  INDEX(Roadmap!$D:$K,MATCH($E19,Roadmap!$D:$D,0)+COUNTIF($E19:Z19,"u")+COUNTIF($E19:Z19,"t")+COUNTIF($E19:Z19,"¶")+COUNTIF($E19:Z19,"²")+COUNTIF($E19:Z19,"µ")+COUNTIF($E19:Z19,1),ColLivraison)=AA$6,
  VLOOKUP($E19,INDIRECT("tri!"&amp; CHAR(64+ C0Col) &amp;":"&amp; CHAR(65+C0Col)),2,FALSE)&gt;COUNTIF($E19:Z19,"u")+COUNTIF($E19:Z19,"t")+COUNTIF($E19:Z19,"¶")+COUNTIF($E19:Z19,"²")+COUNTIF($E19:Z19,"µ")+COUNTIF($E19:Z19,1)),
HYPERLINK("#Roadmap!C"&amp; MATCH($E19,Roadmap!$D:$D,0)+COUNTIF($E19:Z19,"u")+COUNTIF($E19:Z19,"t"),
     INDEX(Roadmap!$D:$K,MATCH($E19,Roadmap!$D:$D,0)+COUNTIF($E19:Z19,"u")+COUNTIF($E19:Z19,"t")+COUNTIF($E19:Z19,"¶")+COUNTIF($E19:Z19,"²")+COUNTIF($E19:Z19,"µ")+COUNTIF($E19:Z19,1),ColTypeEcheance)),
  IF(LEN(Z19)=1,
  IF(LEN(INDEX(Roadmap!$D:$K,MATCH($E19,Roadmap!$D:$D,0)-1+COUNTIF($E19:Z19,"u")+COUNTIF($E19:Z19,"t")+COUNTIF($E19:Z19,"¶")+COUNTIF($E19:Z19,"²")+COUNTIF($E19:Z19,"µ")+COUNTIF($E19:Z19,1),ColDescriptionCourte))&gt;1,
HYPERLINK("#Roadmap!C"&amp; MATCH($E19,Roadmap!$D:$D,0)+COUNTIF($E19:Z19,"u")+COUNTIF($E19:Z19,"t")+COUNTIF($E19:Z19,"¶")+COUNTIF($E19:Z19,"²")+COUNTIF($E19:Z19,"µ")+COUNTIF($E19:Z19,1)-1,INDEX(Roadmap!$D:$K,MATCH($E19,Roadmap!$D:$D,0)-1+COUNTIF($E19:Z19,"u")+COUNTIF($E19:Z19,"t")+COUNTIF($E19:Z19,"¶")+COUNTIF($E19:Z19,"²")+COUNTIF($E19:Z19,"µ")+COUNTIF($E19:Z19,1),ColDescriptionCourte)),""),
  "")),"")</f>
        <v/>
      </c>
      <c r="AB19" s="40" t="str">
        <f ca="1">IFERROR(IF(AND(
  INDEX(Roadmap!$D:$K,MATCH($E19,Roadmap!$D:$D,0)+COUNTIF($E19:AA19,"u")+COUNTIF($E19:AA19,"t")+COUNTIF($E19:AA19,"¶")+COUNTIF($E19:AA19,"²")+COUNTIF($E19:AA19,"µ")+COUNTIF($E19:AA19,1),ColLivraison)=AB$6,
  VLOOKUP($E19,INDIRECT("tri!"&amp; CHAR(64+ C0Col) &amp;":"&amp; CHAR(65+C0Col)),2,FALSE)&gt;COUNTIF($E19:AA19,"u")+COUNTIF($E19:AA19,"t")+COUNTIF($E19:AA19,"¶")+COUNTIF($E19:AA19,"²")+COUNTIF($E19:AA19,"µ")+COUNTIF($E19:AA19,1)),
HYPERLINK("#Roadmap!C"&amp; MATCH($E19,Roadmap!$D:$D,0)+COUNTIF($E19:AA19,"u")+COUNTIF($E19:AA19,"t"),
     INDEX(Roadmap!$D:$K,MATCH($E19,Roadmap!$D:$D,0)+COUNTIF($E19:AA19,"u")+COUNTIF($E19:AA19,"t")+COUNTIF($E19:AA19,"¶")+COUNTIF($E19:AA19,"²")+COUNTIF($E19:AA19,"µ")+COUNTIF($E19:AA19,1),ColTypeEcheance)),
  IF(LEN(AA19)=1,
  IF(LEN(INDEX(Roadmap!$D:$K,MATCH($E19,Roadmap!$D:$D,0)-1+COUNTIF($E19:AA19,"u")+COUNTIF($E19:AA19,"t")+COUNTIF($E19:AA19,"¶")+COUNTIF($E19:AA19,"²")+COUNTIF($E19:AA19,"µ")+COUNTIF($E19:AA19,1),ColDescriptionCourte))&gt;1,
HYPERLINK("#Roadmap!C"&amp; MATCH($E19,Roadmap!$D:$D,0)+COUNTIF($E19:AA19,"u")+COUNTIF($E19:AA19,"t")+COUNTIF($E19:AA19,"¶")+COUNTIF($E19:AA19,"²")+COUNTIF($E19:AA19,"µ")+COUNTIF($E19:AA19,1)-1,INDEX(Roadmap!$D:$K,MATCH($E19,Roadmap!$D:$D,0)-1+COUNTIF($E19:AA19,"u")+COUNTIF($E19:AA19,"t")+COUNTIF($E19:AA19,"¶")+COUNTIF($E19:AA19,"²")+COUNTIF($E19:AA19,"µ")+COUNTIF($E19:AA19,1),ColDescriptionCourte)),""),
  "")),"")</f>
        <v/>
      </c>
      <c r="AC19" s="40" t="str">
        <f ca="1">IFERROR(IF(AND(
  INDEX(Roadmap!$D:$K,MATCH($E19,Roadmap!$D:$D,0)+COUNTIF($E19:AB19,"u")+COUNTIF($E19:AB19,"t")+COUNTIF($E19:AB19,"¶")+COUNTIF($E19:AB19,"²")+COUNTIF($E19:AB19,"µ")+COUNTIF($E19:AB19,1),ColLivraison)=AC$6,
  VLOOKUP($E19,INDIRECT("tri!"&amp; CHAR(64+ C0Col) &amp;":"&amp; CHAR(65+C0Col)),2,FALSE)&gt;COUNTIF($E19:AB19,"u")+COUNTIF($E19:AB19,"t")+COUNTIF($E19:AB19,"¶")+COUNTIF($E19:AB19,"²")+COUNTIF($E19:AB19,"µ")+COUNTIF($E19:AB19,1)),
HYPERLINK("#Roadmap!C"&amp; MATCH($E19,Roadmap!$D:$D,0)+COUNTIF($E19:AB19,"u")+COUNTIF($E19:AB19,"t"),
     INDEX(Roadmap!$D:$K,MATCH($E19,Roadmap!$D:$D,0)+COUNTIF($E19:AB19,"u")+COUNTIF($E19:AB19,"t")+COUNTIF($E19:AB19,"¶")+COUNTIF($E19:AB19,"²")+COUNTIF($E19:AB19,"µ")+COUNTIF($E19:AB19,1),ColTypeEcheance)),
  IF(LEN(AB19)=1,
  IF(LEN(INDEX(Roadmap!$D:$K,MATCH($E19,Roadmap!$D:$D,0)-1+COUNTIF($E19:AB19,"u")+COUNTIF($E19:AB19,"t")+COUNTIF($E19:AB19,"¶")+COUNTIF($E19:AB19,"²")+COUNTIF($E19:AB19,"µ")+COUNTIF($E19:AB19,1),ColDescriptionCourte))&gt;1,
HYPERLINK("#Roadmap!C"&amp; MATCH($E19,Roadmap!$D:$D,0)+COUNTIF($E19:AB19,"u")+COUNTIF($E19:AB19,"t")+COUNTIF($E19:AB19,"¶")+COUNTIF($E19:AB19,"²")+COUNTIF($E19:AB19,"µ")+COUNTIF($E19:AB19,1)-1,INDEX(Roadmap!$D:$K,MATCH($E19,Roadmap!$D:$D,0)-1+COUNTIF($E19:AB19,"u")+COUNTIF($E19:AB19,"t")+COUNTIF($E19:AB19,"¶")+COUNTIF($E19:AB19,"²")+COUNTIF($E19:AB19,"µ")+COUNTIF($E19:AB19,1),ColDescriptionCourte)),""),
  "")),"")</f>
        <v/>
      </c>
      <c r="AD19" s="40" t="str">
        <f ca="1">IFERROR(IF(AND(
  INDEX(Roadmap!$D:$K,MATCH($E19,Roadmap!$D:$D,0)+COUNTIF($E19:AC19,"u")+COUNTIF($E19:AC19,"t")+COUNTIF($E19:AC19,"¶")+COUNTIF($E19:AC19,"²")+COUNTIF($E19:AC19,"µ")+COUNTIF($E19:AC19,1),ColLivraison)=AD$6,
  VLOOKUP($E19,INDIRECT("tri!"&amp; CHAR(64+ C0Col) &amp;":"&amp; CHAR(65+C0Col)),2,FALSE)&gt;COUNTIF($E19:AC19,"u")+COUNTIF($E19:AC19,"t")+COUNTIF($E19:AC19,"¶")+COUNTIF($E19:AC19,"²")+COUNTIF($E19:AC19,"µ")+COUNTIF($E19:AC19,1)),
HYPERLINK("#Roadmap!C"&amp; MATCH($E19,Roadmap!$D:$D,0)+COUNTIF($E19:AC19,"u")+COUNTIF($E19:AC19,"t"),
     INDEX(Roadmap!$D:$K,MATCH($E19,Roadmap!$D:$D,0)+COUNTIF($E19:AC19,"u")+COUNTIF($E19:AC19,"t")+COUNTIF($E19:AC19,"¶")+COUNTIF($E19:AC19,"²")+COUNTIF($E19:AC19,"µ")+COUNTIF($E19:AC19,1),ColTypeEcheance)),
  IF(LEN(AC19)=1,
  IF(LEN(INDEX(Roadmap!$D:$K,MATCH($E19,Roadmap!$D:$D,0)-1+COUNTIF($E19:AC19,"u")+COUNTIF($E19:AC19,"t")+COUNTIF($E19:AC19,"¶")+COUNTIF($E19:AC19,"²")+COUNTIF($E19:AC19,"µ")+COUNTIF($E19:AC19,1),ColDescriptionCourte))&gt;1,
HYPERLINK("#Roadmap!C"&amp; MATCH($E19,Roadmap!$D:$D,0)+COUNTIF($E19:AC19,"u")+COUNTIF($E19:AC19,"t")+COUNTIF($E19:AC19,"¶")+COUNTIF($E19:AC19,"²")+COUNTIF($E19:AC19,"µ")+COUNTIF($E19:AC19,1)-1,INDEX(Roadmap!$D:$K,MATCH($E19,Roadmap!$D:$D,0)-1+COUNTIF($E19:AC19,"u")+COUNTIF($E19:AC19,"t")+COUNTIF($E19:AC19,"¶")+COUNTIF($E19:AC19,"²")+COUNTIF($E19:AC19,"µ")+COUNTIF($E19:AC19,1),ColDescriptionCourte)),""),
  "")),"")</f>
        <v/>
      </c>
      <c r="AE19" s="40" t="str">
        <f ca="1">IFERROR(IF(AND(
  INDEX(Roadmap!$D:$K,MATCH($E19,Roadmap!$D:$D,0)+COUNTIF($E19:AD19,"u")+COUNTIF($E19:AD19,"t")+COUNTIF($E19:AD19,"¶")+COUNTIF($E19:AD19,"²")+COUNTIF($E19:AD19,"µ")+COUNTIF($E19:AD19,1),ColLivraison)=AE$6,
  VLOOKUP($E19,INDIRECT("tri!"&amp; CHAR(64+ C0Col) &amp;":"&amp; CHAR(65+C0Col)),2,FALSE)&gt;COUNTIF($E19:AD19,"u")+COUNTIF($E19:AD19,"t")+COUNTIF($E19:AD19,"¶")+COUNTIF($E19:AD19,"²")+COUNTIF($E19:AD19,"µ")+COUNTIF($E19:AD19,1)),
HYPERLINK("#Roadmap!C"&amp; MATCH($E19,Roadmap!$D:$D,0)+COUNTIF($E19:AD19,"u")+COUNTIF($E19:AD19,"t"),
     INDEX(Roadmap!$D:$K,MATCH($E19,Roadmap!$D:$D,0)+COUNTIF($E19:AD19,"u")+COUNTIF($E19:AD19,"t")+COUNTIF($E19:AD19,"¶")+COUNTIF($E19:AD19,"²")+COUNTIF($E19:AD19,"µ")+COUNTIF($E19:AD19,1),ColTypeEcheance)),
  IF(LEN(AD19)=1,
  IF(LEN(INDEX(Roadmap!$D:$K,MATCH($E19,Roadmap!$D:$D,0)-1+COUNTIF($E19:AD19,"u")+COUNTIF($E19:AD19,"t")+COUNTIF($E19:AD19,"¶")+COUNTIF($E19:AD19,"²")+COUNTIF($E19:AD19,"µ")+COUNTIF($E19:AD19,1),ColDescriptionCourte))&gt;1,
HYPERLINK("#Roadmap!C"&amp; MATCH($E19,Roadmap!$D:$D,0)+COUNTIF($E19:AD19,"u")+COUNTIF($E19:AD19,"t")+COUNTIF($E19:AD19,"¶")+COUNTIF($E19:AD19,"²")+COUNTIF($E19:AD19,"µ")+COUNTIF($E19:AD19,1)-1,INDEX(Roadmap!$D:$K,MATCH($E19,Roadmap!$D:$D,0)-1+COUNTIF($E19:AD19,"u")+COUNTIF($E19:AD19,"t")+COUNTIF($E19:AD19,"¶")+COUNTIF($E19:AD19,"²")+COUNTIF($E19:AD19,"µ")+COUNTIF($E19:AD19,1),ColDescriptionCourte)),""),
  "")),"")</f>
        <v/>
      </c>
      <c r="AF19" s="40" t="str">
        <f ca="1">IFERROR(IF(AND(
  INDEX(Roadmap!$D:$K,MATCH($E19,Roadmap!$D:$D,0)+COUNTIF($E19:AE19,"u")+COUNTIF($E19:AE19,"t")+COUNTIF($E19:AE19,"¶")+COUNTIF($E19:AE19,"²")+COUNTIF($E19:AE19,"µ")+COUNTIF($E19:AE19,1),ColLivraison)=AF$6,
  VLOOKUP($E19,INDIRECT("tri!"&amp; CHAR(64+ C0Col) &amp;":"&amp; CHAR(65+C0Col)),2,FALSE)&gt;COUNTIF($E19:AE19,"u")+COUNTIF($E19:AE19,"t")+COUNTIF($E19:AE19,"¶")+COUNTIF($E19:AE19,"²")+COUNTIF($E19:AE19,"µ")+COUNTIF($E19:AE19,1)),
HYPERLINK("#Roadmap!C"&amp; MATCH($E19,Roadmap!$D:$D,0)+COUNTIF($E19:AE19,"u")+COUNTIF($E19:AE19,"t"),
     INDEX(Roadmap!$D:$K,MATCH($E19,Roadmap!$D:$D,0)+COUNTIF($E19:AE19,"u")+COUNTIF($E19:AE19,"t")+COUNTIF($E19:AE19,"¶")+COUNTIF($E19:AE19,"²")+COUNTIF($E19:AE19,"µ")+COUNTIF($E19:AE19,1),ColTypeEcheance)),
  IF(LEN(AE19)=1,
  IF(LEN(INDEX(Roadmap!$D:$K,MATCH($E19,Roadmap!$D:$D,0)-1+COUNTIF($E19:AE19,"u")+COUNTIF($E19:AE19,"t")+COUNTIF($E19:AE19,"¶")+COUNTIF($E19:AE19,"²")+COUNTIF($E19:AE19,"µ")+COUNTIF($E19:AE19,1),ColDescriptionCourte))&gt;1,
HYPERLINK("#Roadmap!C"&amp; MATCH($E19,Roadmap!$D:$D,0)+COUNTIF($E19:AE19,"u")+COUNTIF($E19:AE19,"t")+COUNTIF($E19:AE19,"¶")+COUNTIF($E19:AE19,"²")+COUNTIF($E19:AE19,"µ")+COUNTIF($E19:AE19,1)-1,INDEX(Roadmap!$D:$K,MATCH($E19,Roadmap!$D:$D,0)-1+COUNTIF($E19:AE19,"u")+COUNTIF($E19:AE19,"t")+COUNTIF($E19:AE19,"¶")+COUNTIF($E19:AE19,"²")+COUNTIF($E19:AE19,"µ")+COUNTIF($E19:AE19,1),ColDescriptionCourte)),""),
  "")),"")</f>
        <v/>
      </c>
      <c r="AG19" s="40" t="str">
        <f ca="1">IFERROR(IF(AND(
  INDEX(Roadmap!$D:$K,MATCH($E19,Roadmap!$D:$D,0)+COUNTIF($E19:AF19,"u")+COUNTIF($E19:AF19,"t")+COUNTIF($E19:AF19,"¶")+COUNTIF($E19:AF19,"²")+COUNTIF($E19:AF19,"µ")+COUNTIF($E19:AF19,1),ColLivraison)=AG$6,
  VLOOKUP($E19,INDIRECT("tri!"&amp; CHAR(64+ C0Col) &amp;":"&amp; CHAR(65+C0Col)),2,FALSE)&gt;COUNTIF($E19:AF19,"u")+COUNTIF($E19:AF19,"t")+COUNTIF($E19:AF19,"¶")+COUNTIF($E19:AF19,"²")+COUNTIF($E19:AF19,"µ")+COUNTIF($E19:AF19,1)),
HYPERLINK("#Roadmap!C"&amp; MATCH($E19,Roadmap!$D:$D,0)+COUNTIF($E19:AF19,"u")+COUNTIF($E19:AF19,"t"),
     INDEX(Roadmap!$D:$K,MATCH($E19,Roadmap!$D:$D,0)+COUNTIF($E19:AF19,"u")+COUNTIF($E19:AF19,"t")+COUNTIF($E19:AF19,"¶")+COUNTIF($E19:AF19,"²")+COUNTIF($E19:AF19,"µ")+COUNTIF($E19:AF19,1),ColTypeEcheance)),
  IF(LEN(AF19)=1,
  IF(LEN(INDEX(Roadmap!$D:$K,MATCH($E19,Roadmap!$D:$D,0)-1+COUNTIF($E19:AF19,"u")+COUNTIF($E19:AF19,"t")+COUNTIF($E19:AF19,"¶")+COUNTIF($E19:AF19,"²")+COUNTIF($E19:AF19,"µ")+COUNTIF($E19:AF19,1),ColDescriptionCourte))&gt;1,
HYPERLINK("#Roadmap!C"&amp; MATCH($E19,Roadmap!$D:$D,0)+COUNTIF($E19:AF19,"u")+COUNTIF($E19:AF19,"t")+COUNTIF($E19:AF19,"¶")+COUNTIF($E19:AF19,"²")+COUNTIF($E19:AF19,"µ")+COUNTIF($E19:AF19,1)-1,INDEX(Roadmap!$D:$K,MATCH($E19,Roadmap!$D:$D,0)-1+COUNTIF($E19:AF19,"u")+COUNTIF($E19:AF19,"t")+COUNTIF($E19:AF19,"¶")+COUNTIF($E19:AF19,"²")+COUNTIF($E19:AF19,"µ")+COUNTIF($E19:AF19,1),ColDescriptionCourte)),""),
  "")),"")</f>
        <v/>
      </c>
    </row>
    <row r="20" spans="3:33" ht="14.25" customHeight="1">
      <c r="C20" s="1" t="str">
        <f t="shared" ca="1" si="42"/>
        <v/>
      </c>
      <c r="D20" s="1" t="str">
        <f t="shared" ca="1" si="43"/>
        <v/>
      </c>
      <c r="E20" s="35" t="str">
        <f t="shared" ca="1" si="33"/>
        <v/>
      </c>
      <c r="F20" s="39" t="str">
        <f ca="1">IFERROR(IF(AND(
  INDEX(Roadmap!$D:$K,MATCH($E20,Roadmap!$D:$D,0)+COUNTIF($E20:E20,"u")+COUNTIF($E20:E20,"t")+COUNTIF($E20:E20,"¶")+COUNTIF($E20:E20,"²")+COUNTIF($E20:E20,"µ")+COUNTIF($E20:E20,1),ColLivraison)=F$6,
  VLOOKUP($E20,INDIRECT("tri!"&amp; CHAR(64+ C0Col) &amp;":"&amp; CHAR(65+C0Col)),2,FALSE)&gt;COUNTIF($E20:E20,"u")+COUNTIF($E20:E20,"t")+COUNTIF($E20:E20,"¶")+COUNTIF($E20:E20,"²")+COUNTIF($E20:E20,"µ")+COUNTIF($E20:E20,1)),
HYPERLINK("#Roadmap!C"&amp; MATCH($E20,Roadmap!$D:$D,0)+COUNTIF($E20:E20,"u")+COUNTIF($E20:E20,"t"),
     INDEX(Roadmap!$D:$K,MATCH($E20,Roadmap!$D:$D,0)+COUNTIF($E20:E20,"u")+COUNTIF($E20:E20,"t")+COUNTIF($E20:E20,"¶")+COUNTIF($E20:E20,"²")+COUNTIF($E20:E20,"µ")+COUNTIF($E20:E20,1),ColTypeEcheance)),
  IF(LEN(E20)=1,
  IF(LEN(INDEX(Roadmap!$D:$K,MATCH($E20,Roadmap!$D:$D,0)-1+COUNTIF($E20:E20,"u")+COUNTIF($E20:E20,"t")+COUNTIF($E20:E20,"¶")+COUNTIF($E20:E20,"²")+COUNTIF($E20:E20,"µ")+COUNTIF($E20:E20,1),ColDescriptionCourte))&gt;1,
HYPERLINK("#Roadmap!C"&amp; MATCH($E20,Roadmap!$D:$D,0)+COUNTIF($E20:E20,"u")+COUNTIF($E20:E20,"t")+COUNTIF($E20:E20,"¶")+COUNTIF($E20:E20,"²")+COUNTIF($E20:E20,"µ")+COUNTIF($E20:E20,1)-1,INDEX(Roadmap!$D:$K,MATCH($E20,Roadmap!$D:$D,0)-1+COUNTIF($E20:E20,"u")+COUNTIF($E20:E20,"t")+COUNTIF($E20:E20,"¶")+COUNTIF($E20:E20,"²")+COUNTIF($E20:E20,"µ")+COUNTIF($E20:E20,1),ColDescriptionCourte)),""),
  "")),"")</f>
        <v/>
      </c>
      <c r="G20" s="40" t="str">
        <f ca="1">IFERROR(IF(AND(
  INDEX(Roadmap!$D:$K,MATCH($E20,Roadmap!$D:$D,0)+COUNTIF($E20:F20,"u")+COUNTIF($E20:F20,"t")+COUNTIF($E20:F20,"¶")+COUNTIF($E20:F20,"²")+COUNTIF($E20:F20,"µ")+COUNTIF($E20:F20,1),ColLivraison)=G$6,
  VLOOKUP($E20,INDIRECT("tri!"&amp; CHAR(64+ C0Col) &amp;":"&amp; CHAR(65+C0Col)),2,FALSE)&gt;COUNTIF($E20:F20,"u")+COUNTIF($E20:F20,"t")+COUNTIF($E20:F20,"¶")+COUNTIF($E20:F20,"²")+COUNTIF($E20:F20,"µ")+COUNTIF($E20:F20,1)),
HYPERLINK("#Roadmap!C"&amp; MATCH($E20,Roadmap!$D:$D,0)+COUNTIF($E20:F20,"u")+COUNTIF($E20:F20,"t"),
     INDEX(Roadmap!$D:$K,MATCH($E20,Roadmap!$D:$D,0)+COUNTIF($E20:F20,"u")+COUNTIF($E20:F20,"t")+COUNTIF($E20:F20,"¶")+COUNTIF($E20:F20,"²")+COUNTIF($E20:F20,"µ")+COUNTIF($E20:F20,1),ColTypeEcheance)),
  IF(LEN(F20)=1,
  IF(LEN(INDEX(Roadmap!$D:$K,MATCH($E20,Roadmap!$D:$D,0)-1+COUNTIF($E20:F20,"u")+COUNTIF($E20:F20,"t")+COUNTIF($E20:F20,"¶")+COUNTIF($E20:F20,"²")+COUNTIF($E20:F20,"µ")+COUNTIF($E20:F20,1),ColDescriptionCourte))&gt;1,
HYPERLINK("#Roadmap!C"&amp; MATCH($E20,Roadmap!$D:$D,0)+COUNTIF($E20:F20,"u")+COUNTIF($E20:F20,"t")+COUNTIF($E20:F20,"¶")+COUNTIF($E20:F20,"²")+COUNTIF($E20:F20,"µ")+COUNTIF($E20:F20,1)-1,INDEX(Roadmap!$D:$K,MATCH($E20,Roadmap!$D:$D,0)-1+COUNTIF($E20:F20,"u")+COUNTIF($E20:F20,"t")+COUNTIF($E20:F20,"¶")+COUNTIF($E20:F20,"²")+COUNTIF($E20:F20,"µ")+COUNTIF($E20:F20,1),ColDescriptionCourte)),""),
  "")),"")</f>
        <v/>
      </c>
      <c r="H20" s="40" t="str">
        <f ca="1">IFERROR(IF(AND(
  INDEX(Roadmap!$D:$K,MATCH($E20,Roadmap!$D:$D,0)+COUNTIF($E20:G20,"u")+COUNTIF($E20:G20,"t")+COUNTIF($E20:G20,"¶")+COUNTIF($E20:G20,"²")+COUNTIF($E20:G20,"µ")+COUNTIF($E20:G20,1),ColLivraison)=H$6,
  VLOOKUP($E20,INDIRECT("tri!"&amp; CHAR(64+ C0Col) &amp;":"&amp; CHAR(65+C0Col)),2,FALSE)&gt;COUNTIF($E20:G20,"u")+COUNTIF($E20:G20,"t")+COUNTIF($E20:G20,"¶")+COUNTIF($E20:G20,"²")+COUNTIF($E20:G20,"µ")+COUNTIF($E20:G20,1)),
HYPERLINK("#Roadmap!C"&amp; MATCH($E20,Roadmap!$D:$D,0)+COUNTIF($E20:G20,"u")+COUNTIF($E20:G20,"t"),
     INDEX(Roadmap!$D:$K,MATCH($E20,Roadmap!$D:$D,0)+COUNTIF($E20:G20,"u")+COUNTIF($E20:G20,"t")+COUNTIF($E20:G20,"¶")+COUNTIF($E20:G20,"²")+COUNTIF($E20:G20,"µ")+COUNTIF($E20:G20,1),ColTypeEcheance)),
  IF(LEN(G20)=1,
  IF(LEN(INDEX(Roadmap!$D:$K,MATCH($E20,Roadmap!$D:$D,0)-1+COUNTIF($E20:G20,"u")+COUNTIF($E20:G20,"t")+COUNTIF($E20:G20,"¶")+COUNTIF($E20:G20,"²")+COUNTIF($E20:G20,"µ")+COUNTIF($E20:G20,1),ColDescriptionCourte))&gt;1,
HYPERLINK("#Roadmap!C"&amp; MATCH($E20,Roadmap!$D:$D,0)+COUNTIF($E20:G20,"u")+COUNTIF($E20:G20,"t")+COUNTIF($E20:G20,"¶")+COUNTIF($E20:G20,"²")+COUNTIF($E20:G20,"µ")+COUNTIF($E20:G20,1)-1,INDEX(Roadmap!$D:$K,MATCH($E20,Roadmap!$D:$D,0)-1+COUNTIF($E20:G20,"u")+COUNTIF($E20:G20,"t")+COUNTIF($E20:G20,"¶")+COUNTIF($E20:G20,"²")+COUNTIF($E20:G20,"µ")+COUNTIF($E20:G20,1),ColDescriptionCourte)),""),
  "")),"")</f>
        <v/>
      </c>
      <c r="I20" s="40" t="str">
        <f ca="1">IFERROR(IF(AND(
  INDEX(Roadmap!$D:$K,MATCH($E20,Roadmap!$D:$D,0)+COUNTIF($E20:H20,"u")+COUNTIF($E20:H20,"t")+COUNTIF($E20:H20,"¶")+COUNTIF($E20:H20,"²")+COUNTIF($E20:H20,"µ")+COUNTIF($E20:H20,1),ColLivraison)=I$6,
  VLOOKUP($E20,INDIRECT("tri!"&amp; CHAR(64+ C0Col) &amp;":"&amp; CHAR(65+C0Col)),2,FALSE)&gt;COUNTIF($E20:H20,"u")+COUNTIF($E20:H20,"t")+COUNTIF($E20:H20,"¶")+COUNTIF($E20:H20,"²")+COUNTIF($E20:H20,"µ")+COUNTIF($E20:H20,1)),
HYPERLINK("#Roadmap!C"&amp; MATCH($E20,Roadmap!$D:$D,0)+COUNTIF($E20:H20,"u")+COUNTIF($E20:H20,"t"),
     INDEX(Roadmap!$D:$K,MATCH($E20,Roadmap!$D:$D,0)+COUNTIF($E20:H20,"u")+COUNTIF($E20:H20,"t")+COUNTIF($E20:H20,"¶")+COUNTIF($E20:H20,"²")+COUNTIF($E20:H20,"µ")+COUNTIF($E20:H20,1),ColTypeEcheance)),
  IF(LEN(H20)=1,
  IF(LEN(INDEX(Roadmap!$D:$K,MATCH($E20,Roadmap!$D:$D,0)-1+COUNTIF($E20:H20,"u")+COUNTIF($E20:H20,"t")+COUNTIF($E20:H20,"¶")+COUNTIF($E20:H20,"²")+COUNTIF($E20:H20,"µ")+COUNTIF($E20:H20,1),ColDescriptionCourte))&gt;1,
HYPERLINK("#Roadmap!C"&amp; MATCH($E20,Roadmap!$D:$D,0)+COUNTIF($E20:H20,"u")+COUNTIF($E20:H20,"t")+COUNTIF($E20:H20,"¶")+COUNTIF($E20:H20,"²")+COUNTIF($E20:H20,"µ")+COUNTIF($E20:H20,1)-1,INDEX(Roadmap!$D:$K,MATCH($E20,Roadmap!$D:$D,0)-1+COUNTIF($E20:H20,"u")+COUNTIF($E20:H20,"t")+COUNTIF($E20:H20,"¶")+COUNTIF($E20:H20,"²")+COUNTIF($E20:H20,"µ")+COUNTIF($E20:H20,1),ColDescriptionCourte)),""),
  "")),"")</f>
        <v/>
      </c>
      <c r="J20" s="40" t="str">
        <f ca="1">IFERROR(IF(AND(
  INDEX(Roadmap!$D:$K,MATCH($E20,Roadmap!$D:$D,0)+COUNTIF($E20:I20,"u")+COUNTIF($E20:I20,"t")+COUNTIF($E20:I20,"¶")+COUNTIF($E20:I20,"²")+COUNTIF($E20:I20,"µ")+COUNTIF($E20:I20,1),ColLivraison)=J$6,
  VLOOKUP($E20,INDIRECT("tri!"&amp; CHAR(64+ C0Col) &amp;":"&amp; CHAR(65+C0Col)),2,FALSE)&gt;COUNTIF($E20:I20,"u")+COUNTIF($E20:I20,"t")+COUNTIF($E20:I20,"¶")+COUNTIF($E20:I20,"²")+COUNTIF($E20:I20,"µ")+COUNTIF($E20:I20,1)),
HYPERLINK("#Roadmap!C"&amp; MATCH($E20,Roadmap!$D:$D,0)+COUNTIF($E20:I20,"u")+COUNTIF($E20:I20,"t"),
     INDEX(Roadmap!$D:$K,MATCH($E20,Roadmap!$D:$D,0)+COUNTIF($E20:I20,"u")+COUNTIF($E20:I20,"t")+COUNTIF($E20:I20,"¶")+COUNTIF($E20:I20,"²")+COUNTIF($E20:I20,"µ")+COUNTIF($E20:I20,1),ColTypeEcheance)),
  IF(LEN(I20)=1,
  IF(LEN(INDEX(Roadmap!$D:$K,MATCH($E20,Roadmap!$D:$D,0)-1+COUNTIF($E20:I20,"u")+COUNTIF($E20:I20,"t")+COUNTIF($E20:I20,"¶")+COUNTIF($E20:I20,"²")+COUNTIF($E20:I20,"µ")+COUNTIF($E20:I20,1),ColDescriptionCourte))&gt;1,
HYPERLINK("#Roadmap!C"&amp; MATCH($E20,Roadmap!$D:$D,0)+COUNTIF($E20:I20,"u")+COUNTIF($E20:I20,"t")+COUNTIF($E20:I20,"¶")+COUNTIF($E20:I20,"²")+COUNTIF($E20:I20,"µ")+COUNTIF($E20:I20,1)-1,INDEX(Roadmap!$D:$K,MATCH($E20,Roadmap!$D:$D,0)-1+COUNTIF($E20:I20,"u")+COUNTIF($E20:I20,"t")+COUNTIF($E20:I20,"¶")+COUNTIF($E20:I20,"²")+COUNTIF($E20:I20,"µ")+COUNTIF($E20:I20,1),ColDescriptionCourte)),""),
  "")),"")</f>
        <v/>
      </c>
      <c r="K20" s="40" t="str">
        <f ca="1">IFERROR(IF(AND(
  INDEX(Roadmap!$D:$K,MATCH($E20,Roadmap!$D:$D,0)+COUNTIF($E20:J20,"u")+COUNTIF($E20:J20,"t")+COUNTIF($E20:J20,"¶")+COUNTIF($E20:J20,"²")+COUNTIF($E20:J20,"µ")+COUNTIF($E20:J20,1),ColLivraison)=K$6,
  VLOOKUP($E20,INDIRECT("tri!"&amp; CHAR(64+ C0Col) &amp;":"&amp; CHAR(65+C0Col)),2,FALSE)&gt;COUNTIF($E20:J20,"u")+COUNTIF($E20:J20,"t")+COUNTIF($E20:J20,"¶")+COUNTIF($E20:J20,"²")+COUNTIF($E20:J20,"µ")+COUNTIF($E20:J20,1)),
HYPERLINK("#Roadmap!C"&amp; MATCH($E20,Roadmap!$D:$D,0)+COUNTIF($E20:J20,"u")+COUNTIF($E20:J20,"t"),
     INDEX(Roadmap!$D:$K,MATCH($E20,Roadmap!$D:$D,0)+COUNTIF($E20:J20,"u")+COUNTIF($E20:J20,"t")+COUNTIF($E20:J20,"¶")+COUNTIF($E20:J20,"²")+COUNTIF($E20:J20,"µ")+COUNTIF($E20:J20,1),ColTypeEcheance)),
  IF(LEN(J20)=1,
  IF(LEN(INDEX(Roadmap!$D:$K,MATCH($E20,Roadmap!$D:$D,0)-1+COUNTIF($E20:J20,"u")+COUNTIF($E20:J20,"t")+COUNTIF($E20:J20,"¶")+COUNTIF($E20:J20,"²")+COUNTIF($E20:J20,"µ")+COUNTIF($E20:J20,1),ColDescriptionCourte))&gt;1,
HYPERLINK("#Roadmap!C"&amp; MATCH($E20,Roadmap!$D:$D,0)+COUNTIF($E20:J20,"u")+COUNTIF($E20:J20,"t")+COUNTIF($E20:J20,"¶")+COUNTIF($E20:J20,"²")+COUNTIF($E20:J20,"µ")+COUNTIF($E20:J20,1)-1,INDEX(Roadmap!$D:$K,MATCH($E20,Roadmap!$D:$D,0)-1+COUNTIF($E20:J20,"u")+COUNTIF($E20:J20,"t")+COUNTIF($E20:J20,"¶")+COUNTIF($E20:J20,"²")+COUNTIF($E20:J20,"µ")+COUNTIF($E20:J20,1),ColDescriptionCourte)),""),
  "")),"")</f>
        <v/>
      </c>
      <c r="L20" s="39" t="str">
        <f ca="1">IFERROR(IF(AND(
  INDEX(Roadmap!$D:$K,MATCH($E20,Roadmap!$D:$D,0)+COUNTIF($E20:K20,"u")+COUNTIF($E20:K20,"t")+COUNTIF($E20:K20,"¶")+COUNTIF($E20:K20,"²")+COUNTIF($E20:K20,"µ")+COUNTIF($E20:K20,1),ColLivraison)=L$6,
  VLOOKUP($E20,INDIRECT("tri!"&amp; CHAR(64+ C0Col) &amp;":"&amp; CHAR(65+C0Col)),2,FALSE)&gt;COUNTIF($E20:K20,"u")+COUNTIF($E20:K20,"t")+COUNTIF($E20:K20,"¶")+COUNTIF($E20:K20,"²")+COUNTIF($E20:K20,"µ")+COUNTIF($E20:K20,1)),
HYPERLINK("#Roadmap!C"&amp; MATCH($E20,Roadmap!$D:$D,0)+COUNTIF($E20:K20,"u")+COUNTIF($E20:K20,"t"),
     INDEX(Roadmap!$D:$K,MATCH($E20,Roadmap!$D:$D,0)+COUNTIF($E20:K20,"u")+COUNTIF($E20:K20,"t")+COUNTIF($E20:K20,"¶")+COUNTIF($E20:K20,"²")+COUNTIF($E20:K20,"µ")+COUNTIF($E20:K20,1),ColTypeEcheance)),
  IF(LEN(K20)=1,
  IF(LEN(INDEX(Roadmap!$D:$K,MATCH($E20,Roadmap!$D:$D,0)-1+COUNTIF($E20:K20,"u")+COUNTIF($E20:K20,"t")+COUNTIF($E20:K20,"¶")+COUNTIF($E20:K20,"²")+COUNTIF($E20:K20,"µ")+COUNTIF($E20:K20,1),ColDescriptionCourte))&gt;1,
HYPERLINK("#Roadmap!C"&amp; MATCH($E20,Roadmap!$D:$D,0)+COUNTIF($E20:K20,"u")+COUNTIF($E20:K20,"t")+COUNTIF($E20:K20,"¶")+COUNTIF($E20:K20,"²")+COUNTIF($E20:K20,"µ")+COUNTIF($E20:K20,1)-1,INDEX(Roadmap!$D:$K,MATCH($E20,Roadmap!$D:$D,0)-1+COUNTIF($E20:K20,"u")+COUNTIF($E20:K20,"t")+COUNTIF($E20:K20,"¶")+COUNTIF($E20:K20,"²")+COUNTIF($E20:K20,"µ")+COUNTIF($E20:K20,1),ColDescriptionCourte)),""),
  "")),"")</f>
        <v/>
      </c>
      <c r="M20" s="40" t="str">
        <f ca="1">IFERROR(IF(AND(
  INDEX(Roadmap!$D:$K,MATCH($E20,Roadmap!$D:$D,0)+COUNTIF($E20:L20,"u")+COUNTIF($E20:L20,"t")+COUNTIF($E20:L20,"¶")+COUNTIF($E20:L20,"²")+COUNTIF($E20:L20,"µ")+COUNTIF($E20:L20,1),ColLivraison)=M$6,
  VLOOKUP($E20,INDIRECT("tri!"&amp; CHAR(64+ C0Col) &amp;":"&amp; CHAR(65+C0Col)),2,FALSE)&gt;COUNTIF($E20:L20,"u")+COUNTIF($E20:L20,"t")+COUNTIF($E20:L20,"¶")+COUNTIF($E20:L20,"²")+COUNTIF($E20:L20,"µ")+COUNTIF($E20:L20,1)),
HYPERLINK("#Roadmap!C"&amp; MATCH($E20,Roadmap!$D:$D,0)+COUNTIF($E20:L20,"u")+COUNTIF($E20:L20,"t"),
     INDEX(Roadmap!$D:$K,MATCH($E20,Roadmap!$D:$D,0)+COUNTIF($E20:L20,"u")+COUNTIF($E20:L20,"t")+COUNTIF($E20:L20,"¶")+COUNTIF($E20:L20,"²")+COUNTIF($E20:L20,"µ")+COUNTIF($E20:L20,1),ColTypeEcheance)),
  IF(LEN(L20)=1,
  IF(LEN(INDEX(Roadmap!$D:$K,MATCH($E20,Roadmap!$D:$D,0)-1+COUNTIF($E20:L20,"u")+COUNTIF($E20:L20,"t")+COUNTIF($E20:L20,"¶")+COUNTIF($E20:L20,"²")+COUNTIF($E20:L20,"µ")+COUNTIF($E20:L20,1),ColDescriptionCourte))&gt;1,
HYPERLINK("#Roadmap!C"&amp; MATCH($E20,Roadmap!$D:$D,0)+COUNTIF($E20:L20,"u")+COUNTIF($E20:L20,"t")+COUNTIF($E20:L20,"¶")+COUNTIF($E20:L20,"²")+COUNTIF($E20:L20,"µ")+COUNTIF($E20:L20,1)-1,INDEX(Roadmap!$D:$K,MATCH($E20,Roadmap!$D:$D,0)-1+COUNTIF($E20:L20,"u")+COUNTIF($E20:L20,"t")+COUNTIF($E20:L20,"¶")+COUNTIF($E20:L20,"²")+COUNTIF($E20:L20,"µ")+COUNTIF($E20:L20,1),ColDescriptionCourte)),""),
  "")),"")</f>
        <v/>
      </c>
      <c r="N20" s="40" t="str">
        <f ca="1">IFERROR(IF(AND(
  INDEX(Roadmap!$D:$K,MATCH($E20,Roadmap!$D:$D,0)+COUNTIF($E20:M20,"u")+COUNTIF($E20:M20,"t")+COUNTIF($E20:M20,"¶")+COUNTIF($E20:M20,"²")+COUNTIF($E20:M20,"µ")+COUNTIF($E20:M20,1),ColLivraison)=N$6,
  VLOOKUP($E20,INDIRECT("tri!"&amp; CHAR(64+ C0Col) &amp;":"&amp; CHAR(65+C0Col)),2,FALSE)&gt;COUNTIF($E20:M20,"u")+COUNTIF($E20:M20,"t")+COUNTIF($E20:M20,"¶")+COUNTIF($E20:M20,"²")+COUNTIF($E20:M20,"µ")+COUNTIF($E20:M20,1)),
HYPERLINK("#Roadmap!C"&amp; MATCH($E20,Roadmap!$D:$D,0)+COUNTIF($E20:M20,"u")+COUNTIF($E20:M20,"t"),
     INDEX(Roadmap!$D:$K,MATCH($E20,Roadmap!$D:$D,0)+COUNTIF($E20:M20,"u")+COUNTIF($E20:M20,"t")+COUNTIF($E20:M20,"¶")+COUNTIF($E20:M20,"²")+COUNTIF($E20:M20,"µ")+COUNTIF($E20:M20,1),ColTypeEcheance)),
  IF(LEN(M20)=1,
  IF(LEN(INDEX(Roadmap!$D:$K,MATCH($E20,Roadmap!$D:$D,0)-1+COUNTIF($E20:M20,"u")+COUNTIF($E20:M20,"t")+COUNTIF($E20:M20,"¶")+COUNTIF($E20:M20,"²")+COUNTIF($E20:M20,"µ")+COUNTIF($E20:M20,1),ColDescriptionCourte))&gt;1,
HYPERLINK("#Roadmap!C"&amp; MATCH($E20,Roadmap!$D:$D,0)+COUNTIF($E20:M20,"u")+COUNTIF($E20:M20,"t")+COUNTIF($E20:M20,"¶")+COUNTIF($E20:M20,"²")+COUNTIF($E20:M20,"µ")+COUNTIF($E20:M20,1)-1,INDEX(Roadmap!$D:$K,MATCH($E20,Roadmap!$D:$D,0)-1+COUNTIF($E20:M20,"u")+COUNTIF($E20:M20,"t")+COUNTIF($E20:M20,"¶")+COUNTIF($E20:M20,"²")+COUNTIF($E20:M20,"µ")+COUNTIF($E20:M20,1),ColDescriptionCourte)),""),
  "")),"")</f>
        <v/>
      </c>
      <c r="O20" s="40" t="str">
        <f ca="1">IFERROR(IF(AND(
  INDEX(Roadmap!$D:$K,MATCH($E20,Roadmap!$D:$D,0)+COUNTIF($E20:N20,"u")+COUNTIF($E20:N20,"t")+COUNTIF($E20:N20,"¶")+COUNTIF($E20:N20,"²")+COUNTIF($E20:N20,"µ")+COUNTIF($E20:N20,1),ColLivraison)=O$6,
  VLOOKUP($E20,INDIRECT("tri!"&amp; CHAR(64+ C0Col) &amp;":"&amp; CHAR(65+C0Col)),2,FALSE)&gt;COUNTIF($E20:N20,"u")+COUNTIF($E20:N20,"t")+COUNTIF($E20:N20,"¶")+COUNTIF($E20:N20,"²")+COUNTIF($E20:N20,"µ")+COUNTIF($E20:N20,1)),
HYPERLINK("#Roadmap!C"&amp; MATCH($E20,Roadmap!$D:$D,0)+COUNTIF($E20:N20,"u")+COUNTIF($E20:N20,"t"),
     INDEX(Roadmap!$D:$K,MATCH($E20,Roadmap!$D:$D,0)+COUNTIF($E20:N20,"u")+COUNTIF($E20:N20,"t")+COUNTIF($E20:N20,"¶")+COUNTIF($E20:N20,"²")+COUNTIF($E20:N20,"µ")+COUNTIF($E20:N20,1),ColTypeEcheance)),
  IF(LEN(N20)=1,
  IF(LEN(INDEX(Roadmap!$D:$K,MATCH($E20,Roadmap!$D:$D,0)-1+COUNTIF($E20:N20,"u")+COUNTIF($E20:N20,"t")+COUNTIF($E20:N20,"¶")+COUNTIF($E20:N20,"²")+COUNTIF($E20:N20,"µ")+COUNTIF($E20:N20,1),ColDescriptionCourte))&gt;1,
HYPERLINK("#Roadmap!C"&amp; MATCH($E20,Roadmap!$D:$D,0)+COUNTIF($E20:N20,"u")+COUNTIF($E20:N20,"t")+COUNTIF($E20:N20,"¶")+COUNTIF($E20:N20,"²")+COUNTIF($E20:N20,"µ")+COUNTIF($E20:N20,1)-1,INDEX(Roadmap!$D:$K,MATCH($E20,Roadmap!$D:$D,0)-1+COUNTIF($E20:N20,"u")+COUNTIF($E20:N20,"t")+COUNTIF($E20:N20,"¶")+COUNTIF($E20:N20,"²")+COUNTIF($E20:N20,"µ")+COUNTIF($E20:N20,1),ColDescriptionCourte)),""),
  "")),"")</f>
        <v/>
      </c>
      <c r="P20" s="40" t="str">
        <f ca="1">IFERROR(IF(AND(
  INDEX(Roadmap!$D:$K,MATCH($E20,Roadmap!$D:$D,0)+COUNTIF($E20:O20,"u")+COUNTIF($E20:O20,"t")+COUNTIF($E20:O20,"¶")+COUNTIF($E20:O20,"²")+COUNTIF($E20:O20,"µ")+COUNTIF($E20:O20,1),ColLivraison)=P$6,
  VLOOKUP($E20,INDIRECT("tri!"&amp; CHAR(64+ C0Col) &amp;":"&amp; CHAR(65+C0Col)),2,FALSE)&gt;COUNTIF($E20:O20,"u")+COUNTIF($E20:O20,"t")+COUNTIF($E20:O20,"¶")+COUNTIF($E20:O20,"²")+COUNTIF($E20:O20,"µ")+COUNTIF($E20:O20,1)),
HYPERLINK("#Roadmap!C"&amp; MATCH($E20,Roadmap!$D:$D,0)+COUNTIF($E20:O20,"u")+COUNTIF($E20:O20,"t"),
     INDEX(Roadmap!$D:$K,MATCH($E20,Roadmap!$D:$D,0)+COUNTIF($E20:O20,"u")+COUNTIF($E20:O20,"t")+COUNTIF($E20:O20,"¶")+COUNTIF($E20:O20,"²")+COUNTIF($E20:O20,"µ")+COUNTIF($E20:O20,1),ColTypeEcheance)),
  IF(LEN(O20)=1,
  IF(LEN(INDEX(Roadmap!$D:$K,MATCH($E20,Roadmap!$D:$D,0)-1+COUNTIF($E20:O20,"u")+COUNTIF($E20:O20,"t")+COUNTIF($E20:O20,"¶")+COUNTIF($E20:O20,"²")+COUNTIF($E20:O20,"µ")+COUNTIF($E20:O20,1),ColDescriptionCourte))&gt;1,
HYPERLINK("#Roadmap!C"&amp; MATCH($E20,Roadmap!$D:$D,0)+COUNTIF($E20:O20,"u")+COUNTIF($E20:O20,"t")+COUNTIF($E20:O20,"¶")+COUNTIF($E20:O20,"²")+COUNTIF($E20:O20,"µ")+COUNTIF($E20:O20,1)-1,INDEX(Roadmap!$D:$K,MATCH($E20,Roadmap!$D:$D,0)-1+COUNTIF($E20:O20,"u")+COUNTIF($E20:O20,"t")+COUNTIF($E20:O20,"¶")+COUNTIF($E20:O20,"²")+COUNTIF($E20:O20,"µ")+COUNTIF($E20:O20,1),ColDescriptionCourte)),""),
  "")),"")</f>
        <v/>
      </c>
      <c r="Q20" s="40" t="str">
        <f ca="1">IFERROR(IF(AND(
  INDEX(Roadmap!$D:$K,MATCH($E20,Roadmap!$D:$D,0)+COUNTIF($E20:P20,"u")+COUNTIF($E20:P20,"t")+COUNTIF($E20:P20,"¶")+COUNTIF($E20:P20,"²")+COUNTIF($E20:P20,"µ")+COUNTIF($E20:P20,1),ColLivraison)=Q$6,
  VLOOKUP($E20,INDIRECT("tri!"&amp; CHAR(64+ C0Col) &amp;":"&amp; CHAR(65+C0Col)),2,FALSE)&gt;COUNTIF($E20:P20,"u")+COUNTIF($E20:P20,"t")+COUNTIF($E20:P20,"¶")+COUNTIF($E20:P20,"²")+COUNTIF($E20:P20,"µ")+COUNTIF($E20:P20,1)),
HYPERLINK("#Roadmap!C"&amp; MATCH($E20,Roadmap!$D:$D,0)+COUNTIF($E20:P20,"u")+COUNTIF($E20:P20,"t"),
     INDEX(Roadmap!$D:$K,MATCH($E20,Roadmap!$D:$D,0)+COUNTIF($E20:P20,"u")+COUNTIF($E20:P20,"t")+COUNTIF($E20:P20,"¶")+COUNTIF($E20:P20,"²")+COUNTIF($E20:P20,"µ")+COUNTIF($E20:P20,1),ColTypeEcheance)),
  IF(LEN(P20)=1,
  IF(LEN(INDEX(Roadmap!$D:$K,MATCH($E20,Roadmap!$D:$D,0)-1+COUNTIF($E20:P20,"u")+COUNTIF($E20:P20,"t")+COUNTIF($E20:P20,"¶")+COUNTIF($E20:P20,"²")+COUNTIF($E20:P20,"µ")+COUNTIF($E20:P20,1),ColDescriptionCourte))&gt;1,
HYPERLINK("#Roadmap!C"&amp; MATCH($E20,Roadmap!$D:$D,0)+COUNTIF($E20:P20,"u")+COUNTIF($E20:P20,"t")+COUNTIF($E20:P20,"¶")+COUNTIF($E20:P20,"²")+COUNTIF($E20:P20,"µ")+COUNTIF($E20:P20,1)-1,INDEX(Roadmap!$D:$K,MATCH($E20,Roadmap!$D:$D,0)-1+COUNTIF($E20:P20,"u")+COUNTIF($E20:P20,"t")+COUNTIF($E20:P20,"¶")+COUNTIF($E20:P20,"²")+COUNTIF($E20:P20,"µ")+COUNTIF($E20:P20,1),ColDescriptionCourte)),""),
  "")),"")</f>
        <v/>
      </c>
      <c r="R20" s="40" t="str">
        <f ca="1">IFERROR(IF(AND(
  INDEX(Roadmap!$D:$K,MATCH($E20,Roadmap!$D:$D,0)+COUNTIF($E20:Q20,"u")+COUNTIF($E20:Q20,"t")+COUNTIF($E20:Q20,"¶")+COUNTIF($E20:Q20,"²")+COUNTIF($E20:Q20,"µ")+COUNTIF($E20:Q20,1),ColLivraison)=R$6,
  VLOOKUP($E20,INDIRECT("tri!"&amp; CHAR(64+ C0Col) &amp;":"&amp; CHAR(65+C0Col)),2,FALSE)&gt;COUNTIF($E20:Q20,"u")+COUNTIF($E20:Q20,"t")+COUNTIF($E20:Q20,"¶")+COUNTIF($E20:Q20,"²")+COUNTIF($E20:Q20,"µ")+COUNTIF($E20:Q20,1)),
HYPERLINK("#Roadmap!C"&amp; MATCH($E20,Roadmap!$D:$D,0)+COUNTIF($E20:Q20,"u")+COUNTIF($E20:Q20,"t"),
     INDEX(Roadmap!$D:$K,MATCH($E20,Roadmap!$D:$D,0)+COUNTIF($E20:Q20,"u")+COUNTIF($E20:Q20,"t")+COUNTIF($E20:Q20,"¶")+COUNTIF($E20:Q20,"²")+COUNTIF($E20:Q20,"µ")+COUNTIF($E20:Q20,1),ColTypeEcheance)),
  IF(LEN(Q20)=1,
  IF(LEN(INDEX(Roadmap!$D:$K,MATCH($E20,Roadmap!$D:$D,0)-1+COUNTIF($E20:Q20,"u")+COUNTIF($E20:Q20,"t")+COUNTIF($E20:Q20,"¶")+COUNTIF($E20:Q20,"²")+COUNTIF($E20:Q20,"µ")+COUNTIF($E20:Q20,1),ColDescriptionCourte))&gt;1,
HYPERLINK("#Roadmap!C"&amp; MATCH($E20,Roadmap!$D:$D,0)+COUNTIF($E20:Q20,"u")+COUNTIF($E20:Q20,"t")+COUNTIF($E20:Q20,"¶")+COUNTIF($E20:Q20,"²")+COUNTIF($E20:Q20,"µ")+COUNTIF($E20:Q20,1)-1,INDEX(Roadmap!$D:$K,MATCH($E20,Roadmap!$D:$D,0)-1+COUNTIF($E20:Q20,"u")+COUNTIF($E20:Q20,"t")+COUNTIF($E20:Q20,"¶")+COUNTIF($E20:Q20,"²")+COUNTIF($E20:Q20,"µ")+COUNTIF($E20:Q20,1),ColDescriptionCourte)),""),
  "")),"")</f>
        <v/>
      </c>
      <c r="S20" s="40" t="str">
        <f ca="1">IFERROR(IF(AND(
  INDEX(Roadmap!$D:$K,MATCH($E20,Roadmap!$D:$D,0)+COUNTIF($E20:R20,"u")+COUNTIF($E20:R20,"t")+COUNTIF($E20:R20,"¶")+COUNTIF($E20:R20,"²")+COUNTIF($E20:R20,"µ")+COUNTIF($E20:R20,1),ColLivraison)=S$6,
  VLOOKUP($E20,INDIRECT("tri!"&amp; CHAR(64+ C0Col) &amp;":"&amp; CHAR(65+C0Col)),2,FALSE)&gt;COUNTIF($E20:R20,"u")+COUNTIF($E20:R20,"t")+COUNTIF($E20:R20,"¶")+COUNTIF($E20:R20,"²")+COUNTIF($E20:R20,"µ")+COUNTIF($E20:R20,1)),
HYPERLINK("#Roadmap!C"&amp; MATCH($E20,Roadmap!$D:$D,0)+COUNTIF($E20:R20,"u")+COUNTIF($E20:R20,"t"),
     INDEX(Roadmap!$D:$K,MATCH($E20,Roadmap!$D:$D,0)+COUNTIF($E20:R20,"u")+COUNTIF($E20:R20,"t")+COUNTIF($E20:R20,"¶")+COUNTIF($E20:R20,"²")+COUNTIF($E20:R20,"µ")+COUNTIF($E20:R20,1),ColTypeEcheance)),
  IF(LEN(R20)=1,
  IF(LEN(INDEX(Roadmap!$D:$K,MATCH($E20,Roadmap!$D:$D,0)-1+COUNTIF($E20:R20,"u")+COUNTIF($E20:R20,"t")+COUNTIF($E20:R20,"¶")+COUNTIF($E20:R20,"²")+COUNTIF($E20:R20,"µ")+COUNTIF($E20:R20,1),ColDescriptionCourte))&gt;1,
HYPERLINK("#Roadmap!C"&amp; MATCH($E20,Roadmap!$D:$D,0)+COUNTIF($E20:R20,"u")+COUNTIF($E20:R20,"t")+COUNTIF($E20:R20,"¶")+COUNTIF($E20:R20,"²")+COUNTIF($E20:R20,"µ")+COUNTIF($E20:R20,1)-1,INDEX(Roadmap!$D:$K,MATCH($E20,Roadmap!$D:$D,0)-1+COUNTIF($E20:R20,"u")+COUNTIF($E20:R20,"t")+COUNTIF($E20:R20,"¶")+COUNTIF($E20:R20,"²")+COUNTIF($E20:R20,"µ")+COUNTIF($E20:R20,1),ColDescriptionCourte)),""),
  "")),"")</f>
        <v/>
      </c>
      <c r="T20" s="40" t="str">
        <f ca="1">IFERROR(IF(AND(
  INDEX(Roadmap!$D:$K,MATCH($E20,Roadmap!$D:$D,0)+COUNTIF($E20:S20,"u")+COUNTIF($E20:S20,"t")+COUNTIF($E20:S20,"¶")+COUNTIF($E20:S20,"²")+COUNTIF($E20:S20,"µ")+COUNTIF($E20:S20,1),ColLivraison)=T$6,
  VLOOKUP($E20,INDIRECT("tri!"&amp; CHAR(64+ C0Col) &amp;":"&amp; CHAR(65+C0Col)),2,FALSE)&gt;COUNTIF($E20:S20,"u")+COUNTIF($E20:S20,"t")+COUNTIF($E20:S20,"¶")+COUNTIF($E20:S20,"²")+COUNTIF($E20:S20,"µ")+COUNTIF($E20:S20,1)),
HYPERLINK("#Roadmap!C"&amp; MATCH($E20,Roadmap!$D:$D,0)+COUNTIF($E20:S20,"u")+COUNTIF($E20:S20,"t"),
     INDEX(Roadmap!$D:$K,MATCH($E20,Roadmap!$D:$D,0)+COUNTIF($E20:S20,"u")+COUNTIF($E20:S20,"t")+COUNTIF($E20:S20,"¶")+COUNTIF($E20:S20,"²")+COUNTIF($E20:S20,"µ")+COUNTIF($E20:S20,1),ColTypeEcheance)),
  IF(LEN(S20)=1,
  IF(LEN(INDEX(Roadmap!$D:$K,MATCH($E20,Roadmap!$D:$D,0)-1+COUNTIF($E20:S20,"u")+COUNTIF($E20:S20,"t")+COUNTIF($E20:S20,"¶")+COUNTIF($E20:S20,"²")+COUNTIF($E20:S20,"µ")+COUNTIF($E20:S20,1),ColDescriptionCourte))&gt;1,
HYPERLINK("#Roadmap!C"&amp; MATCH($E20,Roadmap!$D:$D,0)+COUNTIF($E20:S20,"u")+COUNTIF($E20:S20,"t")+COUNTIF($E20:S20,"¶")+COUNTIF($E20:S20,"²")+COUNTIF($E20:S20,"µ")+COUNTIF($E20:S20,1)-1,INDEX(Roadmap!$D:$K,MATCH($E20,Roadmap!$D:$D,0)-1+COUNTIF($E20:S20,"u")+COUNTIF($E20:S20,"t")+COUNTIF($E20:S20,"¶")+COUNTIF($E20:S20,"²")+COUNTIF($E20:S20,"µ")+COUNTIF($E20:S20,1),ColDescriptionCourte)),""),
  "")),"")</f>
        <v/>
      </c>
      <c r="U20" s="40" t="str">
        <f ca="1">IFERROR(IF(AND(
  INDEX(Roadmap!$D:$K,MATCH($E20,Roadmap!$D:$D,0)+COUNTIF($E20:T20,"u")+COUNTIF($E20:T20,"t")+COUNTIF($E20:T20,"¶")+COUNTIF($E20:T20,"²")+COUNTIF($E20:T20,"µ")+COUNTIF($E20:T20,1),ColLivraison)=U$6,
  VLOOKUP($E20,INDIRECT("tri!"&amp; CHAR(64+ C0Col) &amp;":"&amp; CHAR(65+C0Col)),2,FALSE)&gt;COUNTIF($E20:T20,"u")+COUNTIF($E20:T20,"t")+COUNTIF($E20:T20,"¶")+COUNTIF($E20:T20,"²")+COUNTIF($E20:T20,"µ")+COUNTIF($E20:T20,1)),
HYPERLINK("#Roadmap!C"&amp; MATCH($E20,Roadmap!$D:$D,0)+COUNTIF($E20:T20,"u")+COUNTIF($E20:T20,"t"),
     INDEX(Roadmap!$D:$K,MATCH($E20,Roadmap!$D:$D,0)+COUNTIF($E20:T20,"u")+COUNTIF($E20:T20,"t")+COUNTIF($E20:T20,"¶")+COUNTIF($E20:T20,"²")+COUNTIF($E20:T20,"µ")+COUNTIF($E20:T20,1),ColTypeEcheance)),
  IF(LEN(T20)=1,
  IF(LEN(INDEX(Roadmap!$D:$K,MATCH($E20,Roadmap!$D:$D,0)-1+COUNTIF($E20:T20,"u")+COUNTIF($E20:T20,"t")+COUNTIF($E20:T20,"¶")+COUNTIF($E20:T20,"²")+COUNTIF($E20:T20,"µ")+COUNTIF($E20:T20,1),ColDescriptionCourte))&gt;1,
HYPERLINK("#Roadmap!C"&amp; MATCH($E20,Roadmap!$D:$D,0)+COUNTIF($E20:T20,"u")+COUNTIF($E20:T20,"t")+COUNTIF($E20:T20,"¶")+COUNTIF($E20:T20,"²")+COUNTIF($E20:T20,"µ")+COUNTIF($E20:T20,1)-1,INDEX(Roadmap!$D:$K,MATCH($E20,Roadmap!$D:$D,0)-1+COUNTIF($E20:T20,"u")+COUNTIF($E20:T20,"t")+COUNTIF($E20:T20,"¶")+COUNTIF($E20:T20,"²")+COUNTIF($E20:T20,"µ")+COUNTIF($E20:T20,1),ColDescriptionCourte)),""),
  "")),"")</f>
        <v/>
      </c>
      <c r="V20" s="40" t="str">
        <f ca="1">IFERROR(IF(AND(
  INDEX(Roadmap!$D:$K,MATCH($E20,Roadmap!$D:$D,0)+COUNTIF($E20:U20,"u")+COUNTIF($E20:U20,"t")+COUNTIF($E20:U20,"¶")+COUNTIF($E20:U20,"²")+COUNTIF($E20:U20,"µ")+COUNTIF($E20:U20,1),ColLivraison)=V$6,
  VLOOKUP($E20,INDIRECT("tri!"&amp; CHAR(64+ C0Col) &amp;":"&amp; CHAR(65+C0Col)),2,FALSE)&gt;COUNTIF($E20:U20,"u")+COUNTIF($E20:U20,"t")+COUNTIF($E20:U20,"¶")+COUNTIF($E20:U20,"²")+COUNTIF($E20:U20,"µ")+COUNTIF($E20:U20,1)),
HYPERLINK("#Roadmap!C"&amp; MATCH($E20,Roadmap!$D:$D,0)+COUNTIF($E20:U20,"u")+COUNTIF($E20:U20,"t"),
     INDEX(Roadmap!$D:$K,MATCH($E20,Roadmap!$D:$D,0)+COUNTIF($E20:U20,"u")+COUNTIF($E20:U20,"t")+COUNTIF($E20:U20,"¶")+COUNTIF($E20:U20,"²")+COUNTIF($E20:U20,"µ")+COUNTIF($E20:U20,1),ColTypeEcheance)),
  IF(LEN(U20)=1,
  IF(LEN(INDEX(Roadmap!$D:$K,MATCH($E20,Roadmap!$D:$D,0)-1+COUNTIF($E20:U20,"u")+COUNTIF($E20:U20,"t")+COUNTIF($E20:U20,"¶")+COUNTIF($E20:U20,"²")+COUNTIF($E20:U20,"µ")+COUNTIF($E20:U20,1),ColDescriptionCourte))&gt;1,
HYPERLINK("#Roadmap!C"&amp; MATCH($E20,Roadmap!$D:$D,0)+COUNTIF($E20:U20,"u")+COUNTIF($E20:U20,"t")+COUNTIF($E20:U20,"¶")+COUNTIF($E20:U20,"²")+COUNTIF($E20:U20,"µ")+COUNTIF($E20:U20,1)-1,INDEX(Roadmap!$D:$K,MATCH($E20,Roadmap!$D:$D,0)-1+COUNTIF($E20:U20,"u")+COUNTIF($E20:U20,"t")+COUNTIF($E20:U20,"¶")+COUNTIF($E20:U20,"²")+COUNTIF($E20:U20,"µ")+COUNTIF($E20:U20,1),ColDescriptionCourte)),""),
  "")),"")</f>
        <v/>
      </c>
      <c r="W20" s="40" t="str">
        <f ca="1">IFERROR(IF(AND(
  INDEX(Roadmap!$D:$K,MATCH($E20,Roadmap!$D:$D,0)+COUNTIF($E20:V20,"u")+COUNTIF($E20:V20,"t")+COUNTIF($E20:V20,"¶")+COUNTIF($E20:V20,"²")+COUNTIF($E20:V20,"µ")+COUNTIF($E20:V20,1),ColLivraison)=W$6,
  VLOOKUP($E20,INDIRECT("tri!"&amp; CHAR(64+ C0Col) &amp;":"&amp; CHAR(65+C0Col)),2,FALSE)&gt;COUNTIF($E20:V20,"u")+COUNTIF($E20:V20,"t")+COUNTIF($E20:V20,"¶")+COUNTIF($E20:V20,"²")+COUNTIF($E20:V20,"µ")+COUNTIF($E20:V20,1)),
HYPERLINK("#Roadmap!C"&amp; MATCH($E20,Roadmap!$D:$D,0)+COUNTIF($E20:V20,"u")+COUNTIF($E20:V20,"t"),
     INDEX(Roadmap!$D:$K,MATCH($E20,Roadmap!$D:$D,0)+COUNTIF($E20:V20,"u")+COUNTIF($E20:V20,"t")+COUNTIF($E20:V20,"¶")+COUNTIF($E20:V20,"²")+COUNTIF($E20:V20,"µ")+COUNTIF($E20:V20,1),ColTypeEcheance)),
  IF(LEN(V20)=1,
  IF(LEN(INDEX(Roadmap!$D:$K,MATCH($E20,Roadmap!$D:$D,0)-1+COUNTIF($E20:V20,"u")+COUNTIF($E20:V20,"t")+COUNTIF($E20:V20,"¶")+COUNTIF($E20:V20,"²")+COUNTIF($E20:V20,"µ")+COUNTIF($E20:V20,1),ColDescriptionCourte))&gt;1,
HYPERLINK("#Roadmap!C"&amp; MATCH($E20,Roadmap!$D:$D,0)+COUNTIF($E20:V20,"u")+COUNTIF($E20:V20,"t")+COUNTIF($E20:V20,"¶")+COUNTIF($E20:V20,"²")+COUNTIF($E20:V20,"µ")+COUNTIF($E20:V20,1)-1,INDEX(Roadmap!$D:$K,MATCH($E20,Roadmap!$D:$D,0)-1+COUNTIF($E20:V20,"u")+COUNTIF($E20:V20,"t")+COUNTIF($E20:V20,"¶")+COUNTIF($E20:V20,"²")+COUNTIF($E20:V20,"µ")+COUNTIF($E20:V20,1),ColDescriptionCourte)),""),
  "")),"")</f>
        <v/>
      </c>
      <c r="X20" s="40" t="str">
        <f ca="1">IFERROR(IF(AND(
  INDEX(Roadmap!$D:$K,MATCH($E20,Roadmap!$D:$D,0)+COUNTIF($E20:W20,"u")+COUNTIF($E20:W20,"t")+COUNTIF($E20:W20,"¶")+COUNTIF($E20:W20,"²")+COUNTIF($E20:W20,"µ")+COUNTIF($E20:W20,1),ColLivraison)=X$6,
  VLOOKUP($E20,INDIRECT("tri!"&amp; CHAR(64+ C0Col) &amp;":"&amp; CHAR(65+C0Col)),2,FALSE)&gt;COUNTIF($E20:W20,"u")+COUNTIF($E20:W20,"t")+COUNTIF($E20:W20,"¶")+COUNTIF($E20:W20,"²")+COUNTIF($E20:W20,"µ")+COUNTIF($E20:W20,1)),
HYPERLINK("#Roadmap!C"&amp; MATCH($E20,Roadmap!$D:$D,0)+COUNTIF($E20:W20,"u")+COUNTIF($E20:W20,"t"),
     INDEX(Roadmap!$D:$K,MATCH($E20,Roadmap!$D:$D,0)+COUNTIF($E20:W20,"u")+COUNTIF($E20:W20,"t")+COUNTIF($E20:W20,"¶")+COUNTIF($E20:W20,"²")+COUNTIF($E20:W20,"µ")+COUNTIF($E20:W20,1),ColTypeEcheance)),
  IF(LEN(W20)=1,
  IF(LEN(INDEX(Roadmap!$D:$K,MATCH($E20,Roadmap!$D:$D,0)-1+COUNTIF($E20:W20,"u")+COUNTIF($E20:W20,"t")+COUNTIF($E20:W20,"¶")+COUNTIF($E20:W20,"²")+COUNTIF($E20:W20,"µ")+COUNTIF($E20:W20,1),ColDescriptionCourte))&gt;1,
HYPERLINK("#Roadmap!C"&amp; MATCH($E20,Roadmap!$D:$D,0)+COUNTIF($E20:W20,"u")+COUNTIF($E20:W20,"t")+COUNTIF($E20:W20,"¶")+COUNTIF($E20:W20,"²")+COUNTIF($E20:W20,"µ")+COUNTIF($E20:W20,1)-1,INDEX(Roadmap!$D:$K,MATCH($E20,Roadmap!$D:$D,0)-1+COUNTIF($E20:W20,"u")+COUNTIF($E20:W20,"t")+COUNTIF($E20:W20,"¶")+COUNTIF($E20:W20,"²")+COUNTIF($E20:W20,"µ")+COUNTIF($E20:W20,1),ColDescriptionCourte)),""),
  "")),"")</f>
        <v/>
      </c>
      <c r="Y20" s="40" t="str">
        <f ca="1">IFERROR(IF(AND(
  INDEX(Roadmap!$D:$K,MATCH($E20,Roadmap!$D:$D,0)+COUNTIF($E20:X20,"u")+COUNTIF($E20:X20,"t")+COUNTIF($E20:X20,"¶")+COUNTIF($E20:X20,"²")+COUNTIF($E20:X20,"µ")+COUNTIF($E20:X20,1),ColLivraison)=Y$6,
  VLOOKUP($E20,INDIRECT("tri!"&amp; CHAR(64+ C0Col) &amp;":"&amp; CHAR(65+C0Col)),2,FALSE)&gt;COUNTIF($E20:X20,"u")+COUNTIF($E20:X20,"t")+COUNTIF($E20:X20,"¶")+COUNTIF($E20:X20,"²")+COUNTIF($E20:X20,"µ")+COUNTIF($E20:X20,1)),
HYPERLINK("#Roadmap!C"&amp; MATCH($E20,Roadmap!$D:$D,0)+COUNTIF($E20:X20,"u")+COUNTIF($E20:X20,"t"),
     INDEX(Roadmap!$D:$K,MATCH($E20,Roadmap!$D:$D,0)+COUNTIF($E20:X20,"u")+COUNTIF($E20:X20,"t")+COUNTIF($E20:X20,"¶")+COUNTIF($E20:X20,"²")+COUNTIF($E20:X20,"µ")+COUNTIF($E20:X20,1),ColTypeEcheance)),
  IF(LEN(X20)=1,
  IF(LEN(INDEX(Roadmap!$D:$K,MATCH($E20,Roadmap!$D:$D,0)-1+COUNTIF($E20:X20,"u")+COUNTIF($E20:X20,"t")+COUNTIF($E20:X20,"¶")+COUNTIF($E20:X20,"²")+COUNTIF($E20:X20,"µ")+COUNTIF($E20:X20,1),ColDescriptionCourte))&gt;1,
HYPERLINK("#Roadmap!C"&amp; MATCH($E20,Roadmap!$D:$D,0)+COUNTIF($E20:X20,"u")+COUNTIF($E20:X20,"t")+COUNTIF($E20:X20,"¶")+COUNTIF($E20:X20,"²")+COUNTIF($E20:X20,"µ")+COUNTIF($E20:X20,1)-1,INDEX(Roadmap!$D:$K,MATCH($E20,Roadmap!$D:$D,0)-1+COUNTIF($E20:X20,"u")+COUNTIF($E20:X20,"t")+COUNTIF($E20:X20,"¶")+COUNTIF($E20:X20,"²")+COUNTIF($E20:X20,"µ")+COUNTIF($E20:X20,1),ColDescriptionCourte)),""),
  "")),"")</f>
        <v/>
      </c>
      <c r="Z20" s="40" t="str">
        <f ca="1">IFERROR(IF(AND(
  INDEX(Roadmap!$D:$K,MATCH($E20,Roadmap!$D:$D,0)+COUNTIF($E20:Y20,"u")+COUNTIF($E20:Y20,"t")+COUNTIF($E20:Y20,"¶")+COUNTIF($E20:Y20,"²")+COUNTIF($E20:Y20,"µ")+COUNTIF($E20:Y20,1),ColLivraison)=Z$6,
  VLOOKUP($E20,INDIRECT("tri!"&amp; CHAR(64+ C0Col) &amp;":"&amp; CHAR(65+C0Col)),2,FALSE)&gt;COUNTIF($E20:Y20,"u")+COUNTIF($E20:Y20,"t")+COUNTIF($E20:Y20,"¶")+COUNTIF($E20:Y20,"²")+COUNTIF($E20:Y20,"µ")+COUNTIF($E20:Y20,1)),
HYPERLINK("#Roadmap!C"&amp; MATCH($E20,Roadmap!$D:$D,0)+COUNTIF($E20:Y20,"u")+COUNTIF($E20:Y20,"t"),
     INDEX(Roadmap!$D:$K,MATCH($E20,Roadmap!$D:$D,0)+COUNTIF($E20:Y20,"u")+COUNTIF($E20:Y20,"t")+COUNTIF($E20:Y20,"¶")+COUNTIF($E20:Y20,"²")+COUNTIF($E20:Y20,"µ")+COUNTIF($E20:Y20,1),ColTypeEcheance)),
  IF(LEN(Y20)=1,
  IF(LEN(INDEX(Roadmap!$D:$K,MATCH($E20,Roadmap!$D:$D,0)-1+COUNTIF($E20:Y20,"u")+COUNTIF($E20:Y20,"t")+COUNTIF($E20:Y20,"¶")+COUNTIF($E20:Y20,"²")+COUNTIF($E20:Y20,"µ")+COUNTIF($E20:Y20,1),ColDescriptionCourte))&gt;1,
HYPERLINK("#Roadmap!C"&amp; MATCH($E20,Roadmap!$D:$D,0)+COUNTIF($E20:Y20,"u")+COUNTIF($E20:Y20,"t")+COUNTIF($E20:Y20,"¶")+COUNTIF($E20:Y20,"²")+COUNTIF($E20:Y20,"µ")+COUNTIF($E20:Y20,1)-1,INDEX(Roadmap!$D:$K,MATCH($E20,Roadmap!$D:$D,0)-1+COUNTIF($E20:Y20,"u")+COUNTIF($E20:Y20,"t")+COUNTIF($E20:Y20,"¶")+COUNTIF($E20:Y20,"²")+COUNTIF($E20:Y20,"µ")+COUNTIF($E20:Y20,1),ColDescriptionCourte)),""),
  "")),"")</f>
        <v/>
      </c>
      <c r="AA20" s="40" t="str">
        <f ca="1">IFERROR(IF(AND(
  INDEX(Roadmap!$D:$K,MATCH($E20,Roadmap!$D:$D,0)+COUNTIF($E20:Z20,"u")+COUNTIF($E20:Z20,"t")+COUNTIF($E20:Z20,"¶")+COUNTIF($E20:Z20,"²")+COUNTIF($E20:Z20,"µ")+COUNTIF($E20:Z20,1),ColLivraison)=AA$6,
  VLOOKUP($E20,INDIRECT("tri!"&amp; CHAR(64+ C0Col) &amp;":"&amp; CHAR(65+C0Col)),2,FALSE)&gt;COUNTIF($E20:Z20,"u")+COUNTIF($E20:Z20,"t")+COUNTIF($E20:Z20,"¶")+COUNTIF($E20:Z20,"²")+COUNTIF($E20:Z20,"µ")+COUNTIF($E20:Z20,1)),
HYPERLINK("#Roadmap!C"&amp; MATCH($E20,Roadmap!$D:$D,0)+COUNTIF($E20:Z20,"u")+COUNTIF($E20:Z20,"t"),
     INDEX(Roadmap!$D:$K,MATCH($E20,Roadmap!$D:$D,0)+COUNTIF($E20:Z20,"u")+COUNTIF($E20:Z20,"t")+COUNTIF($E20:Z20,"¶")+COUNTIF($E20:Z20,"²")+COUNTIF($E20:Z20,"µ")+COUNTIF($E20:Z20,1),ColTypeEcheance)),
  IF(LEN(Z20)=1,
  IF(LEN(INDEX(Roadmap!$D:$K,MATCH($E20,Roadmap!$D:$D,0)-1+COUNTIF($E20:Z20,"u")+COUNTIF($E20:Z20,"t")+COUNTIF($E20:Z20,"¶")+COUNTIF($E20:Z20,"²")+COUNTIF($E20:Z20,"µ")+COUNTIF($E20:Z20,1),ColDescriptionCourte))&gt;1,
HYPERLINK("#Roadmap!C"&amp; MATCH($E20,Roadmap!$D:$D,0)+COUNTIF($E20:Z20,"u")+COUNTIF($E20:Z20,"t")+COUNTIF($E20:Z20,"¶")+COUNTIF($E20:Z20,"²")+COUNTIF($E20:Z20,"µ")+COUNTIF($E20:Z20,1)-1,INDEX(Roadmap!$D:$K,MATCH($E20,Roadmap!$D:$D,0)-1+COUNTIF($E20:Z20,"u")+COUNTIF($E20:Z20,"t")+COUNTIF($E20:Z20,"¶")+COUNTIF($E20:Z20,"²")+COUNTIF($E20:Z20,"µ")+COUNTIF($E20:Z20,1),ColDescriptionCourte)),""),
  "")),"")</f>
        <v/>
      </c>
      <c r="AB20" s="40" t="str">
        <f ca="1">IFERROR(IF(AND(
  INDEX(Roadmap!$D:$K,MATCH($E20,Roadmap!$D:$D,0)+COUNTIF($E20:AA20,"u")+COUNTIF($E20:AA20,"t")+COUNTIF($E20:AA20,"¶")+COUNTIF($E20:AA20,"²")+COUNTIF($E20:AA20,"µ")+COUNTIF($E20:AA20,1),ColLivraison)=AB$6,
  VLOOKUP($E20,INDIRECT("tri!"&amp; CHAR(64+ C0Col) &amp;":"&amp; CHAR(65+C0Col)),2,FALSE)&gt;COUNTIF($E20:AA20,"u")+COUNTIF($E20:AA20,"t")+COUNTIF($E20:AA20,"¶")+COUNTIF($E20:AA20,"²")+COUNTIF($E20:AA20,"µ")+COUNTIF($E20:AA20,1)),
HYPERLINK("#Roadmap!C"&amp; MATCH($E20,Roadmap!$D:$D,0)+COUNTIF($E20:AA20,"u")+COUNTIF($E20:AA20,"t"),
     INDEX(Roadmap!$D:$K,MATCH($E20,Roadmap!$D:$D,0)+COUNTIF($E20:AA20,"u")+COUNTIF($E20:AA20,"t")+COUNTIF($E20:AA20,"¶")+COUNTIF($E20:AA20,"²")+COUNTIF($E20:AA20,"µ")+COUNTIF($E20:AA20,1),ColTypeEcheance)),
  IF(LEN(AA20)=1,
  IF(LEN(INDEX(Roadmap!$D:$K,MATCH($E20,Roadmap!$D:$D,0)-1+COUNTIF($E20:AA20,"u")+COUNTIF($E20:AA20,"t")+COUNTIF($E20:AA20,"¶")+COUNTIF($E20:AA20,"²")+COUNTIF($E20:AA20,"µ")+COUNTIF($E20:AA20,1),ColDescriptionCourte))&gt;1,
HYPERLINK("#Roadmap!C"&amp; MATCH($E20,Roadmap!$D:$D,0)+COUNTIF($E20:AA20,"u")+COUNTIF($E20:AA20,"t")+COUNTIF($E20:AA20,"¶")+COUNTIF($E20:AA20,"²")+COUNTIF($E20:AA20,"µ")+COUNTIF($E20:AA20,1)-1,INDEX(Roadmap!$D:$K,MATCH($E20,Roadmap!$D:$D,0)-1+COUNTIF($E20:AA20,"u")+COUNTIF($E20:AA20,"t")+COUNTIF($E20:AA20,"¶")+COUNTIF($E20:AA20,"²")+COUNTIF($E20:AA20,"µ")+COUNTIF($E20:AA20,1),ColDescriptionCourte)),""),
  "")),"")</f>
        <v/>
      </c>
      <c r="AC20" s="40" t="str">
        <f ca="1">IFERROR(IF(AND(
  INDEX(Roadmap!$D:$K,MATCH($E20,Roadmap!$D:$D,0)+COUNTIF($E20:AB20,"u")+COUNTIF($E20:AB20,"t")+COUNTIF($E20:AB20,"¶")+COUNTIF($E20:AB20,"²")+COUNTIF($E20:AB20,"µ")+COUNTIF($E20:AB20,1),ColLivraison)=AC$6,
  VLOOKUP($E20,INDIRECT("tri!"&amp; CHAR(64+ C0Col) &amp;":"&amp; CHAR(65+C0Col)),2,FALSE)&gt;COUNTIF($E20:AB20,"u")+COUNTIF($E20:AB20,"t")+COUNTIF($E20:AB20,"¶")+COUNTIF($E20:AB20,"²")+COUNTIF($E20:AB20,"µ")+COUNTIF($E20:AB20,1)),
HYPERLINK("#Roadmap!C"&amp; MATCH($E20,Roadmap!$D:$D,0)+COUNTIF($E20:AB20,"u")+COUNTIF($E20:AB20,"t"),
     INDEX(Roadmap!$D:$K,MATCH($E20,Roadmap!$D:$D,0)+COUNTIF($E20:AB20,"u")+COUNTIF($E20:AB20,"t")+COUNTIF($E20:AB20,"¶")+COUNTIF($E20:AB20,"²")+COUNTIF($E20:AB20,"µ")+COUNTIF($E20:AB20,1),ColTypeEcheance)),
  IF(LEN(AB20)=1,
  IF(LEN(INDEX(Roadmap!$D:$K,MATCH($E20,Roadmap!$D:$D,0)-1+COUNTIF($E20:AB20,"u")+COUNTIF($E20:AB20,"t")+COUNTIF($E20:AB20,"¶")+COUNTIF($E20:AB20,"²")+COUNTIF($E20:AB20,"µ")+COUNTIF($E20:AB20,1),ColDescriptionCourte))&gt;1,
HYPERLINK("#Roadmap!C"&amp; MATCH($E20,Roadmap!$D:$D,0)+COUNTIF($E20:AB20,"u")+COUNTIF($E20:AB20,"t")+COUNTIF($E20:AB20,"¶")+COUNTIF($E20:AB20,"²")+COUNTIF($E20:AB20,"µ")+COUNTIF($E20:AB20,1)-1,INDEX(Roadmap!$D:$K,MATCH($E20,Roadmap!$D:$D,0)-1+COUNTIF($E20:AB20,"u")+COUNTIF($E20:AB20,"t")+COUNTIF($E20:AB20,"¶")+COUNTIF($E20:AB20,"²")+COUNTIF($E20:AB20,"µ")+COUNTIF($E20:AB20,1),ColDescriptionCourte)),""),
  "")),"")</f>
        <v/>
      </c>
      <c r="AD20" s="40" t="str">
        <f ca="1">IFERROR(IF(AND(
  INDEX(Roadmap!$D:$K,MATCH($E20,Roadmap!$D:$D,0)+COUNTIF($E20:AC20,"u")+COUNTIF($E20:AC20,"t")+COUNTIF($E20:AC20,"¶")+COUNTIF($E20:AC20,"²")+COUNTIF($E20:AC20,"µ")+COUNTIF($E20:AC20,1),ColLivraison)=AD$6,
  VLOOKUP($E20,INDIRECT("tri!"&amp; CHAR(64+ C0Col) &amp;":"&amp; CHAR(65+C0Col)),2,FALSE)&gt;COUNTIF($E20:AC20,"u")+COUNTIF($E20:AC20,"t")+COUNTIF($E20:AC20,"¶")+COUNTIF($E20:AC20,"²")+COUNTIF($E20:AC20,"µ")+COUNTIF($E20:AC20,1)),
HYPERLINK("#Roadmap!C"&amp; MATCH($E20,Roadmap!$D:$D,0)+COUNTIF($E20:AC20,"u")+COUNTIF($E20:AC20,"t"),
     INDEX(Roadmap!$D:$K,MATCH($E20,Roadmap!$D:$D,0)+COUNTIF($E20:AC20,"u")+COUNTIF($E20:AC20,"t")+COUNTIF($E20:AC20,"¶")+COUNTIF($E20:AC20,"²")+COUNTIF($E20:AC20,"µ")+COUNTIF($E20:AC20,1),ColTypeEcheance)),
  IF(LEN(AC20)=1,
  IF(LEN(INDEX(Roadmap!$D:$K,MATCH($E20,Roadmap!$D:$D,0)-1+COUNTIF($E20:AC20,"u")+COUNTIF($E20:AC20,"t")+COUNTIF($E20:AC20,"¶")+COUNTIF($E20:AC20,"²")+COUNTIF($E20:AC20,"µ")+COUNTIF($E20:AC20,1),ColDescriptionCourte))&gt;1,
HYPERLINK("#Roadmap!C"&amp; MATCH($E20,Roadmap!$D:$D,0)+COUNTIF($E20:AC20,"u")+COUNTIF($E20:AC20,"t")+COUNTIF($E20:AC20,"¶")+COUNTIF($E20:AC20,"²")+COUNTIF($E20:AC20,"µ")+COUNTIF($E20:AC20,1)-1,INDEX(Roadmap!$D:$K,MATCH($E20,Roadmap!$D:$D,0)-1+COUNTIF($E20:AC20,"u")+COUNTIF($E20:AC20,"t")+COUNTIF($E20:AC20,"¶")+COUNTIF($E20:AC20,"²")+COUNTIF($E20:AC20,"µ")+COUNTIF($E20:AC20,1),ColDescriptionCourte)),""),
  "")),"")</f>
        <v/>
      </c>
      <c r="AE20" s="40" t="str">
        <f ca="1">IFERROR(IF(AND(
  INDEX(Roadmap!$D:$K,MATCH($E20,Roadmap!$D:$D,0)+COUNTIF($E20:AD20,"u")+COUNTIF($E20:AD20,"t")+COUNTIF($E20:AD20,"¶")+COUNTIF($E20:AD20,"²")+COUNTIF($E20:AD20,"µ")+COUNTIF($E20:AD20,1),ColLivraison)=AE$6,
  VLOOKUP($E20,INDIRECT("tri!"&amp; CHAR(64+ C0Col) &amp;":"&amp; CHAR(65+C0Col)),2,FALSE)&gt;COUNTIF($E20:AD20,"u")+COUNTIF($E20:AD20,"t")+COUNTIF($E20:AD20,"¶")+COUNTIF($E20:AD20,"²")+COUNTIF($E20:AD20,"µ")+COUNTIF($E20:AD20,1)),
HYPERLINK("#Roadmap!C"&amp; MATCH($E20,Roadmap!$D:$D,0)+COUNTIF($E20:AD20,"u")+COUNTIF($E20:AD20,"t"),
     INDEX(Roadmap!$D:$K,MATCH($E20,Roadmap!$D:$D,0)+COUNTIF($E20:AD20,"u")+COUNTIF($E20:AD20,"t")+COUNTIF($E20:AD20,"¶")+COUNTIF($E20:AD20,"²")+COUNTIF($E20:AD20,"µ")+COUNTIF($E20:AD20,1),ColTypeEcheance)),
  IF(LEN(AD20)=1,
  IF(LEN(INDEX(Roadmap!$D:$K,MATCH($E20,Roadmap!$D:$D,0)-1+COUNTIF($E20:AD20,"u")+COUNTIF($E20:AD20,"t")+COUNTIF($E20:AD20,"¶")+COUNTIF($E20:AD20,"²")+COUNTIF($E20:AD20,"µ")+COUNTIF($E20:AD20,1),ColDescriptionCourte))&gt;1,
HYPERLINK("#Roadmap!C"&amp; MATCH($E20,Roadmap!$D:$D,0)+COUNTIF($E20:AD20,"u")+COUNTIF($E20:AD20,"t")+COUNTIF($E20:AD20,"¶")+COUNTIF($E20:AD20,"²")+COUNTIF($E20:AD20,"µ")+COUNTIF($E20:AD20,1)-1,INDEX(Roadmap!$D:$K,MATCH($E20,Roadmap!$D:$D,0)-1+COUNTIF($E20:AD20,"u")+COUNTIF($E20:AD20,"t")+COUNTIF($E20:AD20,"¶")+COUNTIF($E20:AD20,"²")+COUNTIF($E20:AD20,"µ")+COUNTIF($E20:AD20,1),ColDescriptionCourte)),""),
  "")),"")</f>
        <v/>
      </c>
      <c r="AF20" s="40" t="str">
        <f ca="1">IFERROR(IF(AND(
  INDEX(Roadmap!$D:$K,MATCH($E20,Roadmap!$D:$D,0)+COUNTIF($E20:AE20,"u")+COUNTIF($E20:AE20,"t")+COUNTIF($E20:AE20,"¶")+COUNTIF($E20:AE20,"²")+COUNTIF($E20:AE20,"µ")+COUNTIF($E20:AE20,1),ColLivraison)=AF$6,
  VLOOKUP($E20,INDIRECT("tri!"&amp; CHAR(64+ C0Col) &amp;":"&amp; CHAR(65+C0Col)),2,FALSE)&gt;COUNTIF($E20:AE20,"u")+COUNTIF($E20:AE20,"t")+COUNTIF($E20:AE20,"¶")+COUNTIF($E20:AE20,"²")+COUNTIF($E20:AE20,"µ")+COUNTIF($E20:AE20,1)),
HYPERLINK("#Roadmap!C"&amp; MATCH($E20,Roadmap!$D:$D,0)+COUNTIF($E20:AE20,"u")+COUNTIF($E20:AE20,"t"),
     INDEX(Roadmap!$D:$K,MATCH($E20,Roadmap!$D:$D,0)+COUNTIF($E20:AE20,"u")+COUNTIF($E20:AE20,"t")+COUNTIF($E20:AE20,"¶")+COUNTIF($E20:AE20,"²")+COUNTIF($E20:AE20,"µ")+COUNTIF($E20:AE20,1),ColTypeEcheance)),
  IF(LEN(AE20)=1,
  IF(LEN(INDEX(Roadmap!$D:$K,MATCH($E20,Roadmap!$D:$D,0)-1+COUNTIF($E20:AE20,"u")+COUNTIF($E20:AE20,"t")+COUNTIF($E20:AE20,"¶")+COUNTIF($E20:AE20,"²")+COUNTIF($E20:AE20,"µ")+COUNTIF($E20:AE20,1),ColDescriptionCourte))&gt;1,
HYPERLINK("#Roadmap!C"&amp; MATCH($E20,Roadmap!$D:$D,0)+COUNTIF($E20:AE20,"u")+COUNTIF($E20:AE20,"t")+COUNTIF($E20:AE20,"¶")+COUNTIF($E20:AE20,"²")+COUNTIF($E20:AE20,"µ")+COUNTIF($E20:AE20,1)-1,INDEX(Roadmap!$D:$K,MATCH($E20,Roadmap!$D:$D,0)-1+COUNTIF($E20:AE20,"u")+COUNTIF($E20:AE20,"t")+COUNTIF($E20:AE20,"¶")+COUNTIF($E20:AE20,"²")+COUNTIF($E20:AE20,"µ")+COUNTIF($E20:AE20,1),ColDescriptionCourte)),""),
  "")),"")</f>
        <v/>
      </c>
      <c r="AG20" s="40" t="str">
        <f ca="1">IFERROR(IF(AND(
  INDEX(Roadmap!$D:$K,MATCH($E20,Roadmap!$D:$D,0)+COUNTIF($E20:AF20,"u")+COUNTIF($E20:AF20,"t")+COUNTIF($E20:AF20,"¶")+COUNTIF($E20:AF20,"²")+COUNTIF($E20:AF20,"µ")+COUNTIF($E20:AF20,1),ColLivraison)=AG$6,
  VLOOKUP($E20,INDIRECT("tri!"&amp; CHAR(64+ C0Col) &amp;":"&amp; CHAR(65+C0Col)),2,FALSE)&gt;COUNTIF($E20:AF20,"u")+COUNTIF($E20:AF20,"t")+COUNTIF($E20:AF20,"¶")+COUNTIF($E20:AF20,"²")+COUNTIF($E20:AF20,"µ")+COUNTIF($E20:AF20,1)),
HYPERLINK("#Roadmap!C"&amp; MATCH($E20,Roadmap!$D:$D,0)+COUNTIF($E20:AF20,"u")+COUNTIF($E20:AF20,"t"),
     INDEX(Roadmap!$D:$K,MATCH($E20,Roadmap!$D:$D,0)+COUNTIF($E20:AF20,"u")+COUNTIF($E20:AF20,"t")+COUNTIF($E20:AF20,"¶")+COUNTIF($E20:AF20,"²")+COUNTIF($E20:AF20,"µ")+COUNTIF($E20:AF20,1),ColTypeEcheance)),
  IF(LEN(AF20)=1,
  IF(LEN(INDEX(Roadmap!$D:$K,MATCH($E20,Roadmap!$D:$D,0)-1+COUNTIF($E20:AF20,"u")+COUNTIF($E20:AF20,"t")+COUNTIF($E20:AF20,"¶")+COUNTIF($E20:AF20,"²")+COUNTIF($E20:AF20,"µ")+COUNTIF($E20:AF20,1),ColDescriptionCourte))&gt;1,
HYPERLINK("#Roadmap!C"&amp; MATCH($E20,Roadmap!$D:$D,0)+COUNTIF($E20:AF20,"u")+COUNTIF($E20:AF20,"t")+COUNTIF($E20:AF20,"¶")+COUNTIF($E20:AF20,"²")+COUNTIF($E20:AF20,"µ")+COUNTIF($E20:AF20,1)-1,INDEX(Roadmap!$D:$K,MATCH($E20,Roadmap!$D:$D,0)-1+COUNTIF($E20:AF20,"u")+COUNTIF($E20:AF20,"t")+COUNTIF($E20:AF20,"¶")+COUNTIF($E20:AF20,"²")+COUNTIF($E20:AF20,"µ")+COUNTIF($E20:AF20,1),ColDescriptionCourte)),""),
  "")),"")</f>
        <v/>
      </c>
    </row>
    <row r="21" spans="3:33" ht="14.25" customHeight="1">
      <c r="C21" s="1" t="str">
        <f t="shared" ca="1" si="42"/>
        <v/>
      </c>
      <c r="D21" s="1" t="str">
        <f t="shared" ca="1" si="43"/>
        <v/>
      </c>
      <c r="E21" s="35" t="str">
        <f t="shared" ca="1" si="33"/>
        <v/>
      </c>
      <c r="F21" s="39" t="str">
        <f ca="1">IFERROR(IF(AND(
  INDEX(Roadmap!$D:$K,MATCH($E21,Roadmap!$D:$D,0)+COUNTIF($E21:E21,"u")+COUNTIF($E21:E21,"t")+COUNTIF($E21:E21,"¶")+COUNTIF($E21:E21,"²")+COUNTIF($E21:E21,"µ")+COUNTIF($E21:E21,1),ColLivraison)=F$6,
  VLOOKUP($E21,INDIRECT("tri!"&amp; CHAR(64+ C0Col) &amp;":"&amp; CHAR(65+C0Col)),2,FALSE)&gt;COUNTIF($E21:E21,"u")+COUNTIF($E21:E21,"t")+COUNTIF($E21:E21,"¶")+COUNTIF($E21:E21,"²")+COUNTIF($E21:E21,"µ")+COUNTIF($E21:E21,1)),
HYPERLINK("#Roadmap!C"&amp; MATCH($E21,Roadmap!$D:$D,0)+COUNTIF($E21:E21,"u")+COUNTIF($E21:E21,"t"),
     INDEX(Roadmap!$D:$K,MATCH($E21,Roadmap!$D:$D,0)+COUNTIF($E21:E21,"u")+COUNTIF($E21:E21,"t")+COUNTIF($E21:E21,"¶")+COUNTIF($E21:E21,"²")+COUNTIF($E21:E21,"µ")+COUNTIF($E21:E21,1),ColTypeEcheance)),
  IF(LEN(E21)=1,
  IF(LEN(INDEX(Roadmap!$D:$K,MATCH($E21,Roadmap!$D:$D,0)-1+COUNTIF($E21:E21,"u")+COUNTIF($E21:E21,"t")+COUNTIF($E21:E21,"¶")+COUNTIF($E21:E21,"²")+COUNTIF($E21:E21,"µ")+COUNTIF($E21:E21,1),ColDescriptionCourte))&gt;1,
HYPERLINK("#Roadmap!C"&amp; MATCH($E21,Roadmap!$D:$D,0)+COUNTIF($E21:E21,"u")+COUNTIF($E21:E21,"t")+COUNTIF($E21:E21,"¶")+COUNTIF($E21:E21,"²")+COUNTIF($E21:E21,"µ")+COUNTIF($E21:E21,1)-1,INDEX(Roadmap!$D:$K,MATCH($E21,Roadmap!$D:$D,0)-1+COUNTIF($E21:E21,"u")+COUNTIF($E21:E21,"t")+COUNTIF($E21:E21,"¶")+COUNTIF($E21:E21,"²")+COUNTIF($E21:E21,"µ")+COUNTIF($E21:E21,1),ColDescriptionCourte)),""),
  "")),"")</f>
        <v/>
      </c>
      <c r="G21" s="40" t="str">
        <f ca="1">IFERROR(IF(AND(
  INDEX(Roadmap!$D:$K,MATCH($E21,Roadmap!$D:$D,0)+COUNTIF($E21:F21,"u")+COUNTIF($E21:F21,"t")+COUNTIF($E21:F21,"¶")+COUNTIF($E21:F21,"²")+COUNTIF($E21:F21,"µ")+COUNTIF($E21:F21,1),ColLivraison)=G$6,
  VLOOKUP($E21,INDIRECT("tri!"&amp; CHAR(64+ C0Col) &amp;":"&amp; CHAR(65+C0Col)),2,FALSE)&gt;COUNTIF($E21:F21,"u")+COUNTIF($E21:F21,"t")+COUNTIF($E21:F21,"¶")+COUNTIF($E21:F21,"²")+COUNTIF($E21:F21,"µ")+COUNTIF($E21:F21,1)),
HYPERLINK("#Roadmap!C"&amp; MATCH($E21,Roadmap!$D:$D,0)+COUNTIF($E21:F21,"u")+COUNTIF($E21:F21,"t"),
     INDEX(Roadmap!$D:$K,MATCH($E21,Roadmap!$D:$D,0)+COUNTIF($E21:F21,"u")+COUNTIF($E21:F21,"t")+COUNTIF($E21:F21,"¶")+COUNTIF($E21:F21,"²")+COUNTIF($E21:F21,"µ")+COUNTIF($E21:F21,1),ColTypeEcheance)),
  IF(LEN(F21)=1,
  IF(LEN(INDEX(Roadmap!$D:$K,MATCH($E21,Roadmap!$D:$D,0)-1+COUNTIF($E21:F21,"u")+COUNTIF($E21:F21,"t")+COUNTIF($E21:F21,"¶")+COUNTIF($E21:F21,"²")+COUNTIF($E21:F21,"µ")+COUNTIF($E21:F21,1),ColDescriptionCourte))&gt;1,
HYPERLINK("#Roadmap!C"&amp; MATCH($E21,Roadmap!$D:$D,0)+COUNTIF($E21:F21,"u")+COUNTIF($E21:F21,"t")+COUNTIF($E21:F21,"¶")+COUNTIF($E21:F21,"²")+COUNTIF($E21:F21,"µ")+COUNTIF($E21:F21,1)-1,INDEX(Roadmap!$D:$K,MATCH($E21,Roadmap!$D:$D,0)-1+COUNTIF($E21:F21,"u")+COUNTIF($E21:F21,"t")+COUNTIF($E21:F21,"¶")+COUNTIF($E21:F21,"²")+COUNTIF($E21:F21,"µ")+COUNTIF($E21:F21,1),ColDescriptionCourte)),""),
  "")),"")</f>
        <v/>
      </c>
      <c r="H21" s="40" t="str">
        <f ca="1">IFERROR(IF(AND(
  INDEX(Roadmap!$D:$K,MATCH($E21,Roadmap!$D:$D,0)+COUNTIF($E21:G21,"u")+COUNTIF($E21:G21,"t")+COUNTIF($E21:G21,"¶")+COUNTIF($E21:G21,"²")+COUNTIF($E21:G21,"µ")+COUNTIF($E21:G21,1),ColLivraison)=H$6,
  VLOOKUP($E21,INDIRECT("tri!"&amp; CHAR(64+ C0Col) &amp;":"&amp; CHAR(65+C0Col)),2,FALSE)&gt;COUNTIF($E21:G21,"u")+COUNTIF($E21:G21,"t")+COUNTIF($E21:G21,"¶")+COUNTIF($E21:G21,"²")+COUNTIF($E21:G21,"µ")+COUNTIF($E21:G21,1)),
HYPERLINK("#Roadmap!C"&amp; MATCH($E21,Roadmap!$D:$D,0)+COUNTIF($E21:G21,"u")+COUNTIF($E21:G21,"t"),
     INDEX(Roadmap!$D:$K,MATCH($E21,Roadmap!$D:$D,0)+COUNTIF($E21:G21,"u")+COUNTIF($E21:G21,"t")+COUNTIF($E21:G21,"¶")+COUNTIF($E21:G21,"²")+COUNTIF($E21:G21,"µ")+COUNTIF($E21:G21,1),ColTypeEcheance)),
  IF(LEN(G21)=1,
  IF(LEN(INDEX(Roadmap!$D:$K,MATCH($E21,Roadmap!$D:$D,0)-1+COUNTIF($E21:G21,"u")+COUNTIF($E21:G21,"t")+COUNTIF($E21:G21,"¶")+COUNTIF($E21:G21,"²")+COUNTIF($E21:G21,"µ")+COUNTIF($E21:G21,1),ColDescriptionCourte))&gt;1,
HYPERLINK("#Roadmap!C"&amp; MATCH($E21,Roadmap!$D:$D,0)+COUNTIF($E21:G21,"u")+COUNTIF($E21:G21,"t")+COUNTIF($E21:G21,"¶")+COUNTIF($E21:G21,"²")+COUNTIF($E21:G21,"µ")+COUNTIF($E21:G21,1)-1,INDEX(Roadmap!$D:$K,MATCH($E21,Roadmap!$D:$D,0)-1+COUNTIF($E21:G21,"u")+COUNTIF($E21:G21,"t")+COUNTIF($E21:G21,"¶")+COUNTIF($E21:G21,"²")+COUNTIF($E21:G21,"µ")+COUNTIF($E21:G21,1),ColDescriptionCourte)),""),
  "")),"")</f>
        <v/>
      </c>
      <c r="I21" s="40" t="str">
        <f ca="1">IFERROR(IF(AND(
  INDEX(Roadmap!$D:$K,MATCH($E21,Roadmap!$D:$D,0)+COUNTIF($E21:H21,"u")+COUNTIF($E21:H21,"t")+COUNTIF($E21:H21,"¶")+COUNTIF($E21:H21,"²")+COUNTIF($E21:H21,"µ")+COUNTIF($E21:H21,1),ColLivraison)=I$6,
  VLOOKUP($E21,INDIRECT("tri!"&amp; CHAR(64+ C0Col) &amp;":"&amp; CHAR(65+C0Col)),2,FALSE)&gt;COUNTIF($E21:H21,"u")+COUNTIF($E21:H21,"t")+COUNTIF($E21:H21,"¶")+COUNTIF($E21:H21,"²")+COUNTIF($E21:H21,"µ")+COUNTIF($E21:H21,1)),
HYPERLINK("#Roadmap!C"&amp; MATCH($E21,Roadmap!$D:$D,0)+COUNTIF($E21:H21,"u")+COUNTIF($E21:H21,"t"),
     INDEX(Roadmap!$D:$K,MATCH($E21,Roadmap!$D:$D,0)+COUNTIF($E21:H21,"u")+COUNTIF($E21:H21,"t")+COUNTIF($E21:H21,"¶")+COUNTIF($E21:H21,"²")+COUNTIF($E21:H21,"µ")+COUNTIF($E21:H21,1),ColTypeEcheance)),
  IF(LEN(H21)=1,
  IF(LEN(INDEX(Roadmap!$D:$K,MATCH($E21,Roadmap!$D:$D,0)-1+COUNTIF($E21:H21,"u")+COUNTIF($E21:H21,"t")+COUNTIF($E21:H21,"¶")+COUNTIF($E21:H21,"²")+COUNTIF($E21:H21,"µ")+COUNTIF($E21:H21,1),ColDescriptionCourte))&gt;1,
HYPERLINK("#Roadmap!C"&amp; MATCH($E21,Roadmap!$D:$D,0)+COUNTIF($E21:H21,"u")+COUNTIF($E21:H21,"t")+COUNTIF($E21:H21,"¶")+COUNTIF($E21:H21,"²")+COUNTIF($E21:H21,"µ")+COUNTIF($E21:H21,1)-1,INDEX(Roadmap!$D:$K,MATCH($E21,Roadmap!$D:$D,0)-1+COUNTIF($E21:H21,"u")+COUNTIF($E21:H21,"t")+COUNTIF($E21:H21,"¶")+COUNTIF($E21:H21,"²")+COUNTIF($E21:H21,"µ")+COUNTIF($E21:H21,1),ColDescriptionCourte)),""),
  "")),"")</f>
        <v/>
      </c>
      <c r="J21" s="40" t="str">
        <f ca="1">IFERROR(IF(AND(
  INDEX(Roadmap!$D:$K,MATCH($E21,Roadmap!$D:$D,0)+COUNTIF($E21:I21,"u")+COUNTIF($E21:I21,"t")+COUNTIF($E21:I21,"¶")+COUNTIF($E21:I21,"²")+COUNTIF($E21:I21,"µ")+COUNTIF($E21:I21,1),ColLivraison)=J$6,
  VLOOKUP($E21,INDIRECT("tri!"&amp; CHAR(64+ C0Col) &amp;":"&amp; CHAR(65+C0Col)),2,FALSE)&gt;COUNTIF($E21:I21,"u")+COUNTIF($E21:I21,"t")+COUNTIF($E21:I21,"¶")+COUNTIF($E21:I21,"²")+COUNTIF($E21:I21,"µ")+COUNTIF($E21:I21,1)),
HYPERLINK("#Roadmap!C"&amp; MATCH($E21,Roadmap!$D:$D,0)+COUNTIF($E21:I21,"u")+COUNTIF($E21:I21,"t"),
     INDEX(Roadmap!$D:$K,MATCH($E21,Roadmap!$D:$D,0)+COUNTIF($E21:I21,"u")+COUNTIF($E21:I21,"t")+COUNTIF($E21:I21,"¶")+COUNTIF($E21:I21,"²")+COUNTIF($E21:I21,"µ")+COUNTIF($E21:I21,1),ColTypeEcheance)),
  IF(LEN(I21)=1,
  IF(LEN(INDEX(Roadmap!$D:$K,MATCH($E21,Roadmap!$D:$D,0)-1+COUNTIF($E21:I21,"u")+COUNTIF($E21:I21,"t")+COUNTIF($E21:I21,"¶")+COUNTIF($E21:I21,"²")+COUNTIF($E21:I21,"µ")+COUNTIF($E21:I21,1),ColDescriptionCourte))&gt;1,
HYPERLINK("#Roadmap!C"&amp; MATCH($E21,Roadmap!$D:$D,0)+COUNTIF($E21:I21,"u")+COUNTIF($E21:I21,"t")+COUNTIF($E21:I21,"¶")+COUNTIF($E21:I21,"²")+COUNTIF($E21:I21,"µ")+COUNTIF($E21:I21,1)-1,INDEX(Roadmap!$D:$K,MATCH($E21,Roadmap!$D:$D,0)-1+COUNTIF($E21:I21,"u")+COUNTIF($E21:I21,"t")+COUNTIF($E21:I21,"¶")+COUNTIF($E21:I21,"²")+COUNTIF($E21:I21,"µ")+COUNTIF($E21:I21,1),ColDescriptionCourte)),""),
  "")),"")</f>
        <v/>
      </c>
      <c r="K21" s="40" t="str">
        <f ca="1">IFERROR(IF(AND(
  INDEX(Roadmap!$D:$K,MATCH($E21,Roadmap!$D:$D,0)+COUNTIF($E21:J21,"u")+COUNTIF($E21:J21,"t")+COUNTIF($E21:J21,"¶")+COUNTIF($E21:J21,"²")+COUNTIF($E21:J21,"µ")+COUNTIF($E21:J21,1),ColLivraison)=K$6,
  VLOOKUP($E21,INDIRECT("tri!"&amp; CHAR(64+ C0Col) &amp;":"&amp; CHAR(65+C0Col)),2,FALSE)&gt;COUNTIF($E21:J21,"u")+COUNTIF($E21:J21,"t")+COUNTIF($E21:J21,"¶")+COUNTIF($E21:J21,"²")+COUNTIF($E21:J21,"µ")+COUNTIF($E21:J21,1)),
HYPERLINK("#Roadmap!C"&amp; MATCH($E21,Roadmap!$D:$D,0)+COUNTIF($E21:J21,"u")+COUNTIF($E21:J21,"t"),
     INDEX(Roadmap!$D:$K,MATCH($E21,Roadmap!$D:$D,0)+COUNTIF($E21:J21,"u")+COUNTIF($E21:J21,"t")+COUNTIF($E21:J21,"¶")+COUNTIF($E21:J21,"²")+COUNTIF($E21:J21,"µ")+COUNTIF($E21:J21,1),ColTypeEcheance)),
  IF(LEN(J21)=1,
  IF(LEN(INDEX(Roadmap!$D:$K,MATCH($E21,Roadmap!$D:$D,0)-1+COUNTIF($E21:J21,"u")+COUNTIF($E21:J21,"t")+COUNTIF($E21:J21,"¶")+COUNTIF($E21:J21,"²")+COUNTIF($E21:J21,"µ")+COUNTIF($E21:J21,1),ColDescriptionCourte))&gt;1,
HYPERLINK("#Roadmap!C"&amp; MATCH($E21,Roadmap!$D:$D,0)+COUNTIF($E21:J21,"u")+COUNTIF($E21:J21,"t")+COUNTIF($E21:J21,"¶")+COUNTIF($E21:J21,"²")+COUNTIF($E21:J21,"µ")+COUNTIF($E21:J21,1)-1,INDEX(Roadmap!$D:$K,MATCH($E21,Roadmap!$D:$D,0)-1+COUNTIF($E21:J21,"u")+COUNTIF($E21:J21,"t")+COUNTIF($E21:J21,"¶")+COUNTIF($E21:J21,"²")+COUNTIF($E21:J21,"µ")+COUNTIF($E21:J21,1),ColDescriptionCourte)),""),
  "")),"")</f>
        <v/>
      </c>
      <c r="L21" s="39" t="str">
        <f ca="1">IFERROR(IF(AND(
  INDEX(Roadmap!$D:$K,MATCH($E21,Roadmap!$D:$D,0)+COUNTIF($E21:K21,"u")+COUNTIF($E21:K21,"t")+COUNTIF($E21:K21,"¶")+COUNTIF($E21:K21,"²")+COUNTIF($E21:K21,"µ")+COUNTIF($E21:K21,1),ColLivraison)=L$6,
  VLOOKUP($E21,INDIRECT("tri!"&amp; CHAR(64+ C0Col) &amp;":"&amp; CHAR(65+C0Col)),2,FALSE)&gt;COUNTIF($E21:K21,"u")+COUNTIF($E21:K21,"t")+COUNTIF($E21:K21,"¶")+COUNTIF($E21:K21,"²")+COUNTIF($E21:K21,"µ")+COUNTIF($E21:K21,1)),
HYPERLINK("#Roadmap!C"&amp; MATCH($E21,Roadmap!$D:$D,0)+COUNTIF($E21:K21,"u")+COUNTIF($E21:K21,"t"),
     INDEX(Roadmap!$D:$K,MATCH($E21,Roadmap!$D:$D,0)+COUNTIF($E21:K21,"u")+COUNTIF($E21:K21,"t")+COUNTIF($E21:K21,"¶")+COUNTIF($E21:K21,"²")+COUNTIF($E21:K21,"µ")+COUNTIF($E21:K21,1),ColTypeEcheance)),
  IF(LEN(K21)=1,
  IF(LEN(INDEX(Roadmap!$D:$K,MATCH($E21,Roadmap!$D:$D,0)-1+COUNTIF($E21:K21,"u")+COUNTIF($E21:K21,"t")+COUNTIF($E21:K21,"¶")+COUNTIF($E21:K21,"²")+COUNTIF($E21:K21,"µ")+COUNTIF($E21:K21,1),ColDescriptionCourte))&gt;1,
HYPERLINK("#Roadmap!C"&amp; MATCH($E21,Roadmap!$D:$D,0)+COUNTIF($E21:K21,"u")+COUNTIF($E21:K21,"t")+COUNTIF($E21:K21,"¶")+COUNTIF($E21:K21,"²")+COUNTIF($E21:K21,"µ")+COUNTIF($E21:K21,1)-1,INDEX(Roadmap!$D:$K,MATCH($E21,Roadmap!$D:$D,0)-1+COUNTIF($E21:K21,"u")+COUNTIF($E21:K21,"t")+COUNTIF($E21:K21,"¶")+COUNTIF($E21:K21,"²")+COUNTIF($E21:K21,"µ")+COUNTIF($E21:K21,1),ColDescriptionCourte)),""),
  "")),"")</f>
        <v/>
      </c>
      <c r="M21" s="40" t="str">
        <f ca="1">IFERROR(IF(AND(
  INDEX(Roadmap!$D:$K,MATCH($E21,Roadmap!$D:$D,0)+COUNTIF($E21:L21,"u")+COUNTIF($E21:L21,"t")+COUNTIF($E21:L21,"¶")+COUNTIF($E21:L21,"²")+COUNTIF($E21:L21,"µ")+COUNTIF($E21:L21,1),ColLivraison)=M$6,
  VLOOKUP($E21,INDIRECT("tri!"&amp; CHAR(64+ C0Col) &amp;":"&amp; CHAR(65+C0Col)),2,FALSE)&gt;COUNTIF($E21:L21,"u")+COUNTIF($E21:L21,"t")+COUNTIF($E21:L21,"¶")+COUNTIF($E21:L21,"²")+COUNTIF($E21:L21,"µ")+COUNTIF($E21:L21,1)),
HYPERLINK("#Roadmap!C"&amp; MATCH($E21,Roadmap!$D:$D,0)+COUNTIF($E21:L21,"u")+COUNTIF($E21:L21,"t"),
     INDEX(Roadmap!$D:$K,MATCH($E21,Roadmap!$D:$D,0)+COUNTIF($E21:L21,"u")+COUNTIF($E21:L21,"t")+COUNTIF($E21:L21,"¶")+COUNTIF($E21:L21,"²")+COUNTIF($E21:L21,"µ")+COUNTIF($E21:L21,1),ColTypeEcheance)),
  IF(LEN(L21)=1,
  IF(LEN(INDEX(Roadmap!$D:$K,MATCH($E21,Roadmap!$D:$D,0)-1+COUNTIF($E21:L21,"u")+COUNTIF($E21:L21,"t")+COUNTIF($E21:L21,"¶")+COUNTIF($E21:L21,"²")+COUNTIF($E21:L21,"µ")+COUNTIF($E21:L21,1),ColDescriptionCourte))&gt;1,
HYPERLINK("#Roadmap!C"&amp; MATCH($E21,Roadmap!$D:$D,0)+COUNTIF($E21:L21,"u")+COUNTIF($E21:L21,"t")+COUNTIF($E21:L21,"¶")+COUNTIF($E21:L21,"²")+COUNTIF($E21:L21,"µ")+COUNTIF($E21:L21,1)-1,INDEX(Roadmap!$D:$K,MATCH($E21,Roadmap!$D:$D,0)-1+COUNTIF($E21:L21,"u")+COUNTIF($E21:L21,"t")+COUNTIF($E21:L21,"¶")+COUNTIF($E21:L21,"²")+COUNTIF($E21:L21,"µ")+COUNTIF($E21:L21,1),ColDescriptionCourte)),""),
  "")),"")</f>
        <v/>
      </c>
      <c r="N21" s="40" t="str">
        <f ca="1">IFERROR(IF(AND(
  INDEX(Roadmap!$D:$K,MATCH($E21,Roadmap!$D:$D,0)+COUNTIF($E21:M21,"u")+COUNTIF($E21:M21,"t")+COUNTIF($E21:M21,"¶")+COUNTIF($E21:M21,"²")+COUNTIF($E21:M21,"µ")+COUNTIF($E21:M21,1),ColLivraison)=N$6,
  VLOOKUP($E21,INDIRECT("tri!"&amp; CHAR(64+ C0Col) &amp;":"&amp; CHAR(65+C0Col)),2,FALSE)&gt;COUNTIF($E21:M21,"u")+COUNTIF($E21:M21,"t")+COUNTIF($E21:M21,"¶")+COUNTIF($E21:M21,"²")+COUNTIF($E21:M21,"µ")+COUNTIF($E21:M21,1)),
HYPERLINK("#Roadmap!C"&amp; MATCH($E21,Roadmap!$D:$D,0)+COUNTIF($E21:M21,"u")+COUNTIF($E21:M21,"t"),
     INDEX(Roadmap!$D:$K,MATCH($E21,Roadmap!$D:$D,0)+COUNTIF($E21:M21,"u")+COUNTIF($E21:M21,"t")+COUNTIF($E21:M21,"¶")+COUNTIF($E21:M21,"²")+COUNTIF($E21:M21,"µ")+COUNTIF($E21:M21,1),ColTypeEcheance)),
  IF(LEN(M21)=1,
  IF(LEN(INDEX(Roadmap!$D:$K,MATCH($E21,Roadmap!$D:$D,0)-1+COUNTIF($E21:M21,"u")+COUNTIF($E21:M21,"t")+COUNTIF($E21:M21,"¶")+COUNTIF($E21:M21,"²")+COUNTIF($E21:M21,"µ")+COUNTIF($E21:M21,1),ColDescriptionCourte))&gt;1,
HYPERLINK("#Roadmap!C"&amp; MATCH($E21,Roadmap!$D:$D,0)+COUNTIF($E21:M21,"u")+COUNTIF($E21:M21,"t")+COUNTIF($E21:M21,"¶")+COUNTIF($E21:M21,"²")+COUNTIF($E21:M21,"µ")+COUNTIF($E21:M21,1)-1,INDEX(Roadmap!$D:$K,MATCH($E21,Roadmap!$D:$D,0)-1+COUNTIF($E21:M21,"u")+COUNTIF($E21:M21,"t")+COUNTIF($E21:M21,"¶")+COUNTIF($E21:M21,"²")+COUNTIF($E21:M21,"µ")+COUNTIF($E21:M21,1),ColDescriptionCourte)),""),
  "")),"")</f>
        <v/>
      </c>
      <c r="O21" s="40" t="str">
        <f ca="1">IFERROR(IF(AND(
  INDEX(Roadmap!$D:$K,MATCH($E21,Roadmap!$D:$D,0)+COUNTIF($E21:N21,"u")+COUNTIF($E21:N21,"t")+COUNTIF($E21:N21,"¶")+COUNTIF($E21:N21,"²")+COUNTIF($E21:N21,"µ")+COUNTIF($E21:N21,1),ColLivraison)=O$6,
  VLOOKUP($E21,INDIRECT("tri!"&amp; CHAR(64+ C0Col) &amp;":"&amp; CHAR(65+C0Col)),2,FALSE)&gt;COUNTIF($E21:N21,"u")+COUNTIF($E21:N21,"t")+COUNTIF($E21:N21,"¶")+COUNTIF($E21:N21,"²")+COUNTIF($E21:N21,"µ")+COUNTIF($E21:N21,1)),
HYPERLINK("#Roadmap!C"&amp; MATCH($E21,Roadmap!$D:$D,0)+COUNTIF($E21:N21,"u")+COUNTIF($E21:N21,"t"),
     INDEX(Roadmap!$D:$K,MATCH($E21,Roadmap!$D:$D,0)+COUNTIF($E21:N21,"u")+COUNTIF($E21:N21,"t")+COUNTIF($E21:N21,"¶")+COUNTIF($E21:N21,"²")+COUNTIF($E21:N21,"µ")+COUNTIF($E21:N21,1),ColTypeEcheance)),
  IF(LEN(N21)=1,
  IF(LEN(INDEX(Roadmap!$D:$K,MATCH($E21,Roadmap!$D:$D,0)-1+COUNTIF($E21:N21,"u")+COUNTIF($E21:N21,"t")+COUNTIF($E21:N21,"¶")+COUNTIF($E21:N21,"²")+COUNTIF($E21:N21,"µ")+COUNTIF($E21:N21,1),ColDescriptionCourte))&gt;1,
HYPERLINK("#Roadmap!C"&amp; MATCH($E21,Roadmap!$D:$D,0)+COUNTIF($E21:N21,"u")+COUNTIF($E21:N21,"t")+COUNTIF($E21:N21,"¶")+COUNTIF($E21:N21,"²")+COUNTIF($E21:N21,"µ")+COUNTIF($E21:N21,1)-1,INDEX(Roadmap!$D:$K,MATCH($E21,Roadmap!$D:$D,0)-1+COUNTIF($E21:N21,"u")+COUNTIF($E21:N21,"t")+COUNTIF($E21:N21,"¶")+COUNTIF($E21:N21,"²")+COUNTIF($E21:N21,"µ")+COUNTIF($E21:N21,1),ColDescriptionCourte)),""),
  "")),"")</f>
        <v/>
      </c>
      <c r="P21" s="40" t="str">
        <f ca="1">IFERROR(IF(AND(
  INDEX(Roadmap!$D:$K,MATCH($E21,Roadmap!$D:$D,0)+COUNTIF($E21:O21,"u")+COUNTIF($E21:O21,"t")+COUNTIF($E21:O21,"¶")+COUNTIF($E21:O21,"²")+COUNTIF($E21:O21,"µ")+COUNTIF($E21:O21,1),ColLivraison)=P$6,
  VLOOKUP($E21,INDIRECT("tri!"&amp; CHAR(64+ C0Col) &amp;":"&amp; CHAR(65+C0Col)),2,FALSE)&gt;COUNTIF($E21:O21,"u")+COUNTIF($E21:O21,"t")+COUNTIF($E21:O21,"¶")+COUNTIF($E21:O21,"²")+COUNTIF($E21:O21,"µ")+COUNTIF($E21:O21,1)),
HYPERLINK("#Roadmap!C"&amp; MATCH($E21,Roadmap!$D:$D,0)+COUNTIF($E21:O21,"u")+COUNTIF($E21:O21,"t"),
     INDEX(Roadmap!$D:$K,MATCH($E21,Roadmap!$D:$D,0)+COUNTIF($E21:O21,"u")+COUNTIF($E21:O21,"t")+COUNTIF($E21:O21,"¶")+COUNTIF($E21:O21,"²")+COUNTIF($E21:O21,"µ")+COUNTIF($E21:O21,1),ColTypeEcheance)),
  IF(LEN(O21)=1,
  IF(LEN(INDEX(Roadmap!$D:$K,MATCH($E21,Roadmap!$D:$D,0)-1+COUNTIF($E21:O21,"u")+COUNTIF($E21:O21,"t")+COUNTIF($E21:O21,"¶")+COUNTIF($E21:O21,"²")+COUNTIF($E21:O21,"µ")+COUNTIF($E21:O21,1),ColDescriptionCourte))&gt;1,
HYPERLINK("#Roadmap!C"&amp; MATCH($E21,Roadmap!$D:$D,0)+COUNTIF($E21:O21,"u")+COUNTIF($E21:O21,"t")+COUNTIF($E21:O21,"¶")+COUNTIF($E21:O21,"²")+COUNTIF($E21:O21,"µ")+COUNTIF($E21:O21,1)-1,INDEX(Roadmap!$D:$K,MATCH($E21,Roadmap!$D:$D,0)-1+COUNTIF($E21:O21,"u")+COUNTIF($E21:O21,"t")+COUNTIF($E21:O21,"¶")+COUNTIF($E21:O21,"²")+COUNTIF($E21:O21,"µ")+COUNTIF($E21:O21,1),ColDescriptionCourte)),""),
  "")),"")</f>
        <v/>
      </c>
      <c r="Q21" s="40" t="str">
        <f ca="1">IFERROR(IF(AND(
  INDEX(Roadmap!$D:$K,MATCH($E21,Roadmap!$D:$D,0)+COUNTIF($E21:P21,"u")+COUNTIF($E21:P21,"t")+COUNTIF($E21:P21,"¶")+COUNTIF($E21:P21,"²")+COUNTIF($E21:P21,"µ")+COUNTIF($E21:P21,1),ColLivraison)=Q$6,
  VLOOKUP($E21,INDIRECT("tri!"&amp; CHAR(64+ C0Col) &amp;":"&amp; CHAR(65+C0Col)),2,FALSE)&gt;COUNTIF($E21:P21,"u")+COUNTIF($E21:P21,"t")+COUNTIF($E21:P21,"¶")+COUNTIF($E21:P21,"²")+COUNTIF($E21:P21,"µ")+COUNTIF($E21:P21,1)),
HYPERLINK("#Roadmap!C"&amp; MATCH($E21,Roadmap!$D:$D,0)+COUNTIF($E21:P21,"u")+COUNTIF($E21:P21,"t"),
     INDEX(Roadmap!$D:$K,MATCH($E21,Roadmap!$D:$D,0)+COUNTIF($E21:P21,"u")+COUNTIF($E21:P21,"t")+COUNTIF($E21:P21,"¶")+COUNTIF($E21:P21,"²")+COUNTIF($E21:P21,"µ")+COUNTIF($E21:P21,1),ColTypeEcheance)),
  IF(LEN(P21)=1,
  IF(LEN(INDEX(Roadmap!$D:$K,MATCH($E21,Roadmap!$D:$D,0)-1+COUNTIF($E21:P21,"u")+COUNTIF($E21:P21,"t")+COUNTIF($E21:P21,"¶")+COUNTIF($E21:P21,"²")+COUNTIF($E21:P21,"µ")+COUNTIF($E21:P21,1),ColDescriptionCourte))&gt;1,
HYPERLINK("#Roadmap!C"&amp; MATCH($E21,Roadmap!$D:$D,0)+COUNTIF($E21:P21,"u")+COUNTIF($E21:P21,"t")+COUNTIF($E21:P21,"¶")+COUNTIF($E21:P21,"²")+COUNTIF($E21:P21,"µ")+COUNTIF($E21:P21,1)-1,INDEX(Roadmap!$D:$K,MATCH($E21,Roadmap!$D:$D,0)-1+COUNTIF($E21:P21,"u")+COUNTIF($E21:P21,"t")+COUNTIF($E21:P21,"¶")+COUNTIF($E21:P21,"²")+COUNTIF($E21:P21,"µ")+COUNTIF($E21:P21,1),ColDescriptionCourte)),""),
  "")),"")</f>
        <v/>
      </c>
      <c r="R21" s="40" t="str">
        <f ca="1">IFERROR(IF(AND(
  INDEX(Roadmap!$D:$K,MATCH($E21,Roadmap!$D:$D,0)+COUNTIF($E21:Q21,"u")+COUNTIF($E21:Q21,"t")+COUNTIF($E21:Q21,"¶")+COUNTIF($E21:Q21,"²")+COUNTIF($E21:Q21,"µ")+COUNTIF($E21:Q21,1),ColLivraison)=R$6,
  VLOOKUP($E21,INDIRECT("tri!"&amp; CHAR(64+ C0Col) &amp;":"&amp; CHAR(65+C0Col)),2,FALSE)&gt;COUNTIF($E21:Q21,"u")+COUNTIF($E21:Q21,"t")+COUNTIF($E21:Q21,"¶")+COUNTIF($E21:Q21,"²")+COUNTIF($E21:Q21,"µ")+COUNTIF($E21:Q21,1)),
HYPERLINK("#Roadmap!C"&amp; MATCH($E21,Roadmap!$D:$D,0)+COUNTIF($E21:Q21,"u")+COUNTIF($E21:Q21,"t"),
     INDEX(Roadmap!$D:$K,MATCH($E21,Roadmap!$D:$D,0)+COUNTIF($E21:Q21,"u")+COUNTIF($E21:Q21,"t")+COUNTIF($E21:Q21,"¶")+COUNTIF($E21:Q21,"²")+COUNTIF($E21:Q21,"µ")+COUNTIF($E21:Q21,1),ColTypeEcheance)),
  IF(LEN(Q21)=1,
  IF(LEN(INDEX(Roadmap!$D:$K,MATCH($E21,Roadmap!$D:$D,0)-1+COUNTIF($E21:Q21,"u")+COUNTIF($E21:Q21,"t")+COUNTIF($E21:Q21,"¶")+COUNTIF($E21:Q21,"²")+COUNTIF($E21:Q21,"µ")+COUNTIF($E21:Q21,1),ColDescriptionCourte))&gt;1,
HYPERLINK("#Roadmap!C"&amp; MATCH($E21,Roadmap!$D:$D,0)+COUNTIF($E21:Q21,"u")+COUNTIF($E21:Q21,"t")+COUNTIF($E21:Q21,"¶")+COUNTIF($E21:Q21,"²")+COUNTIF($E21:Q21,"µ")+COUNTIF($E21:Q21,1)-1,INDEX(Roadmap!$D:$K,MATCH($E21,Roadmap!$D:$D,0)-1+COUNTIF($E21:Q21,"u")+COUNTIF($E21:Q21,"t")+COUNTIF($E21:Q21,"¶")+COUNTIF($E21:Q21,"²")+COUNTIF($E21:Q21,"µ")+COUNTIF($E21:Q21,1),ColDescriptionCourte)),""),
  "")),"")</f>
        <v/>
      </c>
      <c r="S21" s="40" t="str">
        <f ca="1">IFERROR(IF(AND(
  INDEX(Roadmap!$D:$K,MATCH($E21,Roadmap!$D:$D,0)+COUNTIF($E21:R21,"u")+COUNTIF($E21:R21,"t")+COUNTIF($E21:R21,"¶")+COUNTIF($E21:R21,"²")+COUNTIF($E21:R21,"µ")+COUNTIF($E21:R21,1),ColLivraison)=S$6,
  VLOOKUP($E21,INDIRECT("tri!"&amp; CHAR(64+ C0Col) &amp;":"&amp; CHAR(65+C0Col)),2,FALSE)&gt;COUNTIF($E21:R21,"u")+COUNTIF($E21:R21,"t")+COUNTIF($E21:R21,"¶")+COUNTIF($E21:R21,"²")+COUNTIF($E21:R21,"µ")+COUNTIF($E21:R21,1)),
HYPERLINK("#Roadmap!C"&amp; MATCH($E21,Roadmap!$D:$D,0)+COUNTIF($E21:R21,"u")+COUNTIF($E21:R21,"t"),
     INDEX(Roadmap!$D:$K,MATCH($E21,Roadmap!$D:$D,0)+COUNTIF($E21:R21,"u")+COUNTIF($E21:R21,"t")+COUNTIF($E21:R21,"¶")+COUNTIF($E21:R21,"²")+COUNTIF($E21:R21,"µ")+COUNTIF($E21:R21,1),ColTypeEcheance)),
  IF(LEN(R21)=1,
  IF(LEN(INDEX(Roadmap!$D:$K,MATCH($E21,Roadmap!$D:$D,0)-1+COUNTIF($E21:R21,"u")+COUNTIF($E21:R21,"t")+COUNTIF($E21:R21,"¶")+COUNTIF($E21:R21,"²")+COUNTIF($E21:R21,"µ")+COUNTIF($E21:R21,1),ColDescriptionCourte))&gt;1,
HYPERLINK("#Roadmap!C"&amp; MATCH($E21,Roadmap!$D:$D,0)+COUNTIF($E21:R21,"u")+COUNTIF($E21:R21,"t")+COUNTIF($E21:R21,"¶")+COUNTIF($E21:R21,"²")+COUNTIF($E21:R21,"µ")+COUNTIF($E21:R21,1)-1,INDEX(Roadmap!$D:$K,MATCH($E21,Roadmap!$D:$D,0)-1+COUNTIF($E21:R21,"u")+COUNTIF($E21:R21,"t")+COUNTIF($E21:R21,"¶")+COUNTIF($E21:R21,"²")+COUNTIF($E21:R21,"µ")+COUNTIF($E21:R21,1),ColDescriptionCourte)),""),
  "")),"")</f>
        <v/>
      </c>
      <c r="T21" s="40" t="str">
        <f ca="1">IFERROR(IF(AND(
  INDEX(Roadmap!$D:$K,MATCH($E21,Roadmap!$D:$D,0)+COUNTIF($E21:S21,"u")+COUNTIF($E21:S21,"t")+COUNTIF($E21:S21,"¶")+COUNTIF($E21:S21,"²")+COUNTIF($E21:S21,"µ")+COUNTIF($E21:S21,1),ColLivraison)=T$6,
  VLOOKUP($E21,INDIRECT("tri!"&amp; CHAR(64+ C0Col) &amp;":"&amp; CHAR(65+C0Col)),2,FALSE)&gt;COUNTIF($E21:S21,"u")+COUNTIF($E21:S21,"t")+COUNTIF($E21:S21,"¶")+COUNTIF($E21:S21,"²")+COUNTIF($E21:S21,"µ")+COUNTIF($E21:S21,1)),
HYPERLINK("#Roadmap!C"&amp; MATCH($E21,Roadmap!$D:$D,0)+COUNTIF($E21:S21,"u")+COUNTIF($E21:S21,"t"),
     INDEX(Roadmap!$D:$K,MATCH($E21,Roadmap!$D:$D,0)+COUNTIF($E21:S21,"u")+COUNTIF($E21:S21,"t")+COUNTIF($E21:S21,"¶")+COUNTIF($E21:S21,"²")+COUNTIF($E21:S21,"µ")+COUNTIF($E21:S21,1),ColTypeEcheance)),
  IF(LEN(S21)=1,
  IF(LEN(INDEX(Roadmap!$D:$K,MATCH($E21,Roadmap!$D:$D,0)-1+COUNTIF($E21:S21,"u")+COUNTIF($E21:S21,"t")+COUNTIF($E21:S21,"¶")+COUNTIF($E21:S21,"²")+COUNTIF($E21:S21,"µ")+COUNTIF($E21:S21,1),ColDescriptionCourte))&gt;1,
HYPERLINK("#Roadmap!C"&amp; MATCH($E21,Roadmap!$D:$D,0)+COUNTIF($E21:S21,"u")+COUNTIF($E21:S21,"t")+COUNTIF($E21:S21,"¶")+COUNTIF($E21:S21,"²")+COUNTIF($E21:S21,"µ")+COUNTIF($E21:S21,1)-1,INDEX(Roadmap!$D:$K,MATCH($E21,Roadmap!$D:$D,0)-1+COUNTIF($E21:S21,"u")+COUNTIF($E21:S21,"t")+COUNTIF($E21:S21,"¶")+COUNTIF($E21:S21,"²")+COUNTIF($E21:S21,"µ")+COUNTIF($E21:S21,1),ColDescriptionCourte)),""),
  "")),"")</f>
        <v/>
      </c>
      <c r="U21" s="40" t="str">
        <f ca="1">IFERROR(IF(AND(
  INDEX(Roadmap!$D:$K,MATCH($E21,Roadmap!$D:$D,0)+COUNTIF($E21:T21,"u")+COUNTIF($E21:T21,"t")+COUNTIF($E21:T21,"¶")+COUNTIF($E21:T21,"²")+COUNTIF($E21:T21,"µ")+COUNTIF($E21:T21,1),ColLivraison)=U$6,
  VLOOKUP($E21,INDIRECT("tri!"&amp; CHAR(64+ C0Col) &amp;":"&amp; CHAR(65+C0Col)),2,FALSE)&gt;COUNTIF($E21:T21,"u")+COUNTIF($E21:T21,"t")+COUNTIF($E21:T21,"¶")+COUNTIF($E21:T21,"²")+COUNTIF($E21:T21,"µ")+COUNTIF($E21:T21,1)),
HYPERLINK("#Roadmap!C"&amp; MATCH($E21,Roadmap!$D:$D,0)+COUNTIF($E21:T21,"u")+COUNTIF($E21:T21,"t"),
     INDEX(Roadmap!$D:$K,MATCH($E21,Roadmap!$D:$D,0)+COUNTIF($E21:T21,"u")+COUNTIF($E21:T21,"t")+COUNTIF($E21:T21,"¶")+COUNTIF($E21:T21,"²")+COUNTIF($E21:T21,"µ")+COUNTIF($E21:T21,1),ColTypeEcheance)),
  IF(LEN(T21)=1,
  IF(LEN(INDEX(Roadmap!$D:$K,MATCH($E21,Roadmap!$D:$D,0)-1+COUNTIF($E21:T21,"u")+COUNTIF($E21:T21,"t")+COUNTIF($E21:T21,"¶")+COUNTIF($E21:T21,"²")+COUNTIF($E21:T21,"µ")+COUNTIF($E21:T21,1),ColDescriptionCourte))&gt;1,
HYPERLINK("#Roadmap!C"&amp; MATCH($E21,Roadmap!$D:$D,0)+COUNTIF($E21:T21,"u")+COUNTIF($E21:T21,"t")+COUNTIF($E21:T21,"¶")+COUNTIF($E21:T21,"²")+COUNTIF($E21:T21,"µ")+COUNTIF($E21:T21,1)-1,INDEX(Roadmap!$D:$K,MATCH($E21,Roadmap!$D:$D,0)-1+COUNTIF($E21:T21,"u")+COUNTIF($E21:T21,"t")+COUNTIF($E21:T21,"¶")+COUNTIF($E21:T21,"²")+COUNTIF($E21:T21,"µ")+COUNTIF($E21:T21,1),ColDescriptionCourte)),""),
  "")),"")</f>
        <v/>
      </c>
      <c r="V21" s="40" t="str">
        <f ca="1">IFERROR(IF(AND(
  INDEX(Roadmap!$D:$K,MATCH($E21,Roadmap!$D:$D,0)+COUNTIF($E21:U21,"u")+COUNTIF($E21:U21,"t")+COUNTIF($E21:U21,"¶")+COUNTIF($E21:U21,"²")+COUNTIF($E21:U21,"µ")+COUNTIF($E21:U21,1),ColLivraison)=V$6,
  VLOOKUP($E21,INDIRECT("tri!"&amp; CHAR(64+ C0Col) &amp;":"&amp; CHAR(65+C0Col)),2,FALSE)&gt;COUNTIF($E21:U21,"u")+COUNTIF($E21:U21,"t")+COUNTIF($E21:U21,"¶")+COUNTIF($E21:U21,"²")+COUNTIF($E21:U21,"µ")+COUNTIF($E21:U21,1)),
HYPERLINK("#Roadmap!C"&amp; MATCH($E21,Roadmap!$D:$D,0)+COUNTIF($E21:U21,"u")+COUNTIF($E21:U21,"t"),
     INDEX(Roadmap!$D:$K,MATCH($E21,Roadmap!$D:$D,0)+COUNTIF($E21:U21,"u")+COUNTIF($E21:U21,"t")+COUNTIF($E21:U21,"¶")+COUNTIF($E21:U21,"²")+COUNTIF($E21:U21,"µ")+COUNTIF($E21:U21,1),ColTypeEcheance)),
  IF(LEN(U21)=1,
  IF(LEN(INDEX(Roadmap!$D:$K,MATCH($E21,Roadmap!$D:$D,0)-1+COUNTIF($E21:U21,"u")+COUNTIF($E21:U21,"t")+COUNTIF($E21:U21,"¶")+COUNTIF($E21:U21,"²")+COUNTIF($E21:U21,"µ")+COUNTIF($E21:U21,1),ColDescriptionCourte))&gt;1,
HYPERLINK("#Roadmap!C"&amp; MATCH($E21,Roadmap!$D:$D,0)+COUNTIF($E21:U21,"u")+COUNTIF($E21:U21,"t")+COUNTIF($E21:U21,"¶")+COUNTIF($E21:U21,"²")+COUNTIF($E21:U21,"µ")+COUNTIF($E21:U21,1)-1,INDEX(Roadmap!$D:$K,MATCH($E21,Roadmap!$D:$D,0)-1+COUNTIF($E21:U21,"u")+COUNTIF($E21:U21,"t")+COUNTIF($E21:U21,"¶")+COUNTIF($E21:U21,"²")+COUNTIF($E21:U21,"µ")+COUNTIF($E21:U21,1),ColDescriptionCourte)),""),
  "")),"")</f>
        <v/>
      </c>
      <c r="W21" s="40" t="str">
        <f ca="1">IFERROR(IF(AND(
  INDEX(Roadmap!$D:$K,MATCH($E21,Roadmap!$D:$D,0)+COUNTIF($E21:V21,"u")+COUNTIF($E21:V21,"t")+COUNTIF($E21:V21,"¶")+COUNTIF($E21:V21,"²")+COUNTIF($E21:V21,"µ")+COUNTIF($E21:V21,1),ColLivraison)=W$6,
  VLOOKUP($E21,INDIRECT("tri!"&amp; CHAR(64+ C0Col) &amp;":"&amp; CHAR(65+C0Col)),2,FALSE)&gt;COUNTIF($E21:V21,"u")+COUNTIF($E21:V21,"t")+COUNTIF($E21:V21,"¶")+COUNTIF($E21:V21,"²")+COUNTIF($E21:V21,"µ")+COUNTIF($E21:V21,1)),
HYPERLINK("#Roadmap!C"&amp; MATCH($E21,Roadmap!$D:$D,0)+COUNTIF($E21:V21,"u")+COUNTIF($E21:V21,"t"),
     INDEX(Roadmap!$D:$K,MATCH($E21,Roadmap!$D:$D,0)+COUNTIF($E21:V21,"u")+COUNTIF($E21:V21,"t")+COUNTIF($E21:V21,"¶")+COUNTIF($E21:V21,"²")+COUNTIF($E21:V21,"µ")+COUNTIF($E21:V21,1),ColTypeEcheance)),
  IF(LEN(V21)=1,
  IF(LEN(INDEX(Roadmap!$D:$K,MATCH($E21,Roadmap!$D:$D,0)-1+COUNTIF($E21:V21,"u")+COUNTIF($E21:V21,"t")+COUNTIF($E21:V21,"¶")+COUNTIF($E21:V21,"²")+COUNTIF($E21:V21,"µ")+COUNTIF($E21:V21,1),ColDescriptionCourte))&gt;1,
HYPERLINK("#Roadmap!C"&amp; MATCH($E21,Roadmap!$D:$D,0)+COUNTIF($E21:V21,"u")+COUNTIF($E21:V21,"t")+COUNTIF($E21:V21,"¶")+COUNTIF($E21:V21,"²")+COUNTIF($E21:V21,"µ")+COUNTIF($E21:V21,1)-1,INDEX(Roadmap!$D:$K,MATCH($E21,Roadmap!$D:$D,0)-1+COUNTIF($E21:V21,"u")+COUNTIF($E21:V21,"t")+COUNTIF($E21:V21,"¶")+COUNTIF($E21:V21,"²")+COUNTIF($E21:V21,"µ")+COUNTIF($E21:V21,1),ColDescriptionCourte)),""),
  "")),"")</f>
        <v/>
      </c>
      <c r="X21" s="40" t="str">
        <f ca="1">IFERROR(IF(AND(
  INDEX(Roadmap!$D:$K,MATCH($E21,Roadmap!$D:$D,0)+COUNTIF($E21:W21,"u")+COUNTIF($E21:W21,"t")+COUNTIF($E21:W21,"¶")+COUNTIF($E21:W21,"²")+COUNTIF($E21:W21,"µ")+COUNTIF($E21:W21,1),ColLivraison)=X$6,
  VLOOKUP($E21,INDIRECT("tri!"&amp; CHAR(64+ C0Col) &amp;":"&amp; CHAR(65+C0Col)),2,FALSE)&gt;COUNTIF($E21:W21,"u")+COUNTIF($E21:W21,"t")+COUNTIF($E21:W21,"¶")+COUNTIF($E21:W21,"²")+COUNTIF($E21:W21,"µ")+COUNTIF($E21:W21,1)),
HYPERLINK("#Roadmap!C"&amp; MATCH($E21,Roadmap!$D:$D,0)+COUNTIF($E21:W21,"u")+COUNTIF($E21:W21,"t"),
     INDEX(Roadmap!$D:$K,MATCH($E21,Roadmap!$D:$D,0)+COUNTIF($E21:W21,"u")+COUNTIF($E21:W21,"t")+COUNTIF($E21:W21,"¶")+COUNTIF($E21:W21,"²")+COUNTIF($E21:W21,"µ")+COUNTIF($E21:W21,1),ColTypeEcheance)),
  IF(LEN(W21)=1,
  IF(LEN(INDEX(Roadmap!$D:$K,MATCH($E21,Roadmap!$D:$D,0)-1+COUNTIF($E21:W21,"u")+COUNTIF($E21:W21,"t")+COUNTIF($E21:W21,"¶")+COUNTIF($E21:W21,"²")+COUNTIF($E21:W21,"µ")+COUNTIF($E21:W21,1),ColDescriptionCourte))&gt;1,
HYPERLINK("#Roadmap!C"&amp; MATCH($E21,Roadmap!$D:$D,0)+COUNTIF($E21:W21,"u")+COUNTIF($E21:W21,"t")+COUNTIF($E21:W21,"¶")+COUNTIF($E21:W21,"²")+COUNTIF($E21:W21,"µ")+COUNTIF($E21:W21,1)-1,INDEX(Roadmap!$D:$K,MATCH($E21,Roadmap!$D:$D,0)-1+COUNTIF($E21:W21,"u")+COUNTIF($E21:W21,"t")+COUNTIF($E21:W21,"¶")+COUNTIF($E21:W21,"²")+COUNTIF($E21:W21,"µ")+COUNTIF($E21:W21,1),ColDescriptionCourte)),""),
  "")),"")</f>
        <v/>
      </c>
      <c r="Y21" s="40" t="str">
        <f ca="1">IFERROR(IF(AND(
  INDEX(Roadmap!$D:$K,MATCH($E21,Roadmap!$D:$D,0)+COUNTIF($E21:X21,"u")+COUNTIF($E21:X21,"t")+COUNTIF($E21:X21,"¶")+COUNTIF($E21:X21,"²")+COUNTIF($E21:X21,"µ")+COUNTIF($E21:X21,1),ColLivraison)=Y$6,
  VLOOKUP($E21,INDIRECT("tri!"&amp; CHAR(64+ C0Col) &amp;":"&amp; CHAR(65+C0Col)),2,FALSE)&gt;COUNTIF($E21:X21,"u")+COUNTIF($E21:X21,"t")+COUNTIF($E21:X21,"¶")+COUNTIF($E21:X21,"²")+COUNTIF($E21:X21,"µ")+COUNTIF($E21:X21,1)),
HYPERLINK("#Roadmap!C"&amp; MATCH($E21,Roadmap!$D:$D,0)+COUNTIF($E21:X21,"u")+COUNTIF($E21:X21,"t"),
     INDEX(Roadmap!$D:$K,MATCH($E21,Roadmap!$D:$D,0)+COUNTIF($E21:X21,"u")+COUNTIF($E21:X21,"t")+COUNTIF($E21:X21,"¶")+COUNTIF($E21:X21,"²")+COUNTIF($E21:X21,"µ")+COUNTIF($E21:X21,1),ColTypeEcheance)),
  IF(LEN(X21)=1,
  IF(LEN(INDEX(Roadmap!$D:$K,MATCH($E21,Roadmap!$D:$D,0)-1+COUNTIF($E21:X21,"u")+COUNTIF($E21:X21,"t")+COUNTIF($E21:X21,"¶")+COUNTIF($E21:X21,"²")+COUNTIF($E21:X21,"µ")+COUNTIF($E21:X21,1),ColDescriptionCourte))&gt;1,
HYPERLINK("#Roadmap!C"&amp; MATCH($E21,Roadmap!$D:$D,0)+COUNTIF($E21:X21,"u")+COUNTIF($E21:X21,"t")+COUNTIF($E21:X21,"¶")+COUNTIF($E21:X21,"²")+COUNTIF($E21:X21,"µ")+COUNTIF($E21:X21,1)-1,INDEX(Roadmap!$D:$K,MATCH($E21,Roadmap!$D:$D,0)-1+COUNTIF($E21:X21,"u")+COUNTIF($E21:X21,"t")+COUNTIF($E21:X21,"¶")+COUNTIF($E21:X21,"²")+COUNTIF($E21:X21,"µ")+COUNTIF($E21:X21,1),ColDescriptionCourte)),""),
  "")),"")</f>
        <v/>
      </c>
      <c r="Z21" s="40" t="str">
        <f ca="1">IFERROR(IF(AND(
  INDEX(Roadmap!$D:$K,MATCH($E21,Roadmap!$D:$D,0)+COUNTIF($E21:Y21,"u")+COUNTIF($E21:Y21,"t")+COUNTIF($E21:Y21,"¶")+COUNTIF($E21:Y21,"²")+COUNTIF($E21:Y21,"µ")+COUNTIF($E21:Y21,1),ColLivraison)=Z$6,
  VLOOKUP($E21,INDIRECT("tri!"&amp; CHAR(64+ C0Col) &amp;":"&amp; CHAR(65+C0Col)),2,FALSE)&gt;COUNTIF($E21:Y21,"u")+COUNTIF($E21:Y21,"t")+COUNTIF($E21:Y21,"¶")+COUNTIF($E21:Y21,"²")+COUNTIF($E21:Y21,"µ")+COUNTIF($E21:Y21,1)),
HYPERLINK("#Roadmap!C"&amp; MATCH($E21,Roadmap!$D:$D,0)+COUNTIF($E21:Y21,"u")+COUNTIF($E21:Y21,"t"),
     INDEX(Roadmap!$D:$K,MATCH($E21,Roadmap!$D:$D,0)+COUNTIF($E21:Y21,"u")+COUNTIF($E21:Y21,"t")+COUNTIF($E21:Y21,"¶")+COUNTIF($E21:Y21,"²")+COUNTIF($E21:Y21,"µ")+COUNTIF($E21:Y21,1),ColTypeEcheance)),
  IF(LEN(Y21)=1,
  IF(LEN(INDEX(Roadmap!$D:$K,MATCH($E21,Roadmap!$D:$D,0)-1+COUNTIF($E21:Y21,"u")+COUNTIF($E21:Y21,"t")+COUNTIF($E21:Y21,"¶")+COUNTIF($E21:Y21,"²")+COUNTIF($E21:Y21,"µ")+COUNTIF($E21:Y21,1),ColDescriptionCourte))&gt;1,
HYPERLINK("#Roadmap!C"&amp; MATCH($E21,Roadmap!$D:$D,0)+COUNTIF($E21:Y21,"u")+COUNTIF($E21:Y21,"t")+COUNTIF($E21:Y21,"¶")+COUNTIF($E21:Y21,"²")+COUNTIF($E21:Y21,"µ")+COUNTIF($E21:Y21,1)-1,INDEX(Roadmap!$D:$K,MATCH($E21,Roadmap!$D:$D,0)-1+COUNTIF($E21:Y21,"u")+COUNTIF($E21:Y21,"t")+COUNTIF($E21:Y21,"¶")+COUNTIF($E21:Y21,"²")+COUNTIF($E21:Y21,"µ")+COUNTIF($E21:Y21,1),ColDescriptionCourte)),""),
  "")),"")</f>
        <v/>
      </c>
      <c r="AA21" s="40" t="str">
        <f ca="1">IFERROR(IF(AND(
  INDEX(Roadmap!$D:$K,MATCH($E21,Roadmap!$D:$D,0)+COUNTIF($E21:Z21,"u")+COUNTIF($E21:Z21,"t")+COUNTIF($E21:Z21,"¶")+COUNTIF($E21:Z21,"²")+COUNTIF($E21:Z21,"µ")+COUNTIF($E21:Z21,1),ColLivraison)=AA$6,
  VLOOKUP($E21,INDIRECT("tri!"&amp; CHAR(64+ C0Col) &amp;":"&amp; CHAR(65+C0Col)),2,FALSE)&gt;COUNTIF($E21:Z21,"u")+COUNTIF($E21:Z21,"t")+COUNTIF($E21:Z21,"¶")+COUNTIF($E21:Z21,"²")+COUNTIF($E21:Z21,"µ")+COUNTIF($E21:Z21,1)),
HYPERLINK("#Roadmap!C"&amp; MATCH($E21,Roadmap!$D:$D,0)+COUNTIF($E21:Z21,"u")+COUNTIF($E21:Z21,"t"),
     INDEX(Roadmap!$D:$K,MATCH($E21,Roadmap!$D:$D,0)+COUNTIF($E21:Z21,"u")+COUNTIF($E21:Z21,"t")+COUNTIF($E21:Z21,"¶")+COUNTIF($E21:Z21,"²")+COUNTIF($E21:Z21,"µ")+COUNTIF($E21:Z21,1),ColTypeEcheance)),
  IF(LEN(Z21)=1,
  IF(LEN(INDEX(Roadmap!$D:$K,MATCH($E21,Roadmap!$D:$D,0)-1+COUNTIF($E21:Z21,"u")+COUNTIF($E21:Z21,"t")+COUNTIF($E21:Z21,"¶")+COUNTIF($E21:Z21,"²")+COUNTIF($E21:Z21,"µ")+COUNTIF($E21:Z21,1),ColDescriptionCourte))&gt;1,
HYPERLINK("#Roadmap!C"&amp; MATCH($E21,Roadmap!$D:$D,0)+COUNTIF($E21:Z21,"u")+COUNTIF($E21:Z21,"t")+COUNTIF($E21:Z21,"¶")+COUNTIF($E21:Z21,"²")+COUNTIF($E21:Z21,"µ")+COUNTIF($E21:Z21,1)-1,INDEX(Roadmap!$D:$K,MATCH($E21,Roadmap!$D:$D,0)-1+COUNTIF($E21:Z21,"u")+COUNTIF($E21:Z21,"t")+COUNTIF($E21:Z21,"¶")+COUNTIF($E21:Z21,"²")+COUNTIF($E21:Z21,"µ")+COUNTIF($E21:Z21,1),ColDescriptionCourte)),""),
  "")),"")</f>
        <v/>
      </c>
      <c r="AB21" s="40" t="str">
        <f ca="1">IFERROR(IF(AND(
  INDEX(Roadmap!$D:$K,MATCH($E21,Roadmap!$D:$D,0)+COUNTIF($E21:AA21,"u")+COUNTIF($E21:AA21,"t")+COUNTIF($E21:AA21,"¶")+COUNTIF($E21:AA21,"²")+COUNTIF($E21:AA21,"µ")+COUNTIF($E21:AA21,1),ColLivraison)=AB$6,
  VLOOKUP($E21,INDIRECT("tri!"&amp; CHAR(64+ C0Col) &amp;":"&amp; CHAR(65+C0Col)),2,FALSE)&gt;COUNTIF($E21:AA21,"u")+COUNTIF($E21:AA21,"t")+COUNTIF($E21:AA21,"¶")+COUNTIF($E21:AA21,"²")+COUNTIF($E21:AA21,"µ")+COUNTIF($E21:AA21,1)),
HYPERLINK("#Roadmap!C"&amp; MATCH($E21,Roadmap!$D:$D,0)+COUNTIF($E21:AA21,"u")+COUNTIF($E21:AA21,"t"),
     INDEX(Roadmap!$D:$K,MATCH($E21,Roadmap!$D:$D,0)+COUNTIF($E21:AA21,"u")+COUNTIF($E21:AA21,"t")+COUNTIF($E21:AA21,"¶")+COUNTIF($E21:AA21,"²")+COUNTIF($E21:AA21,"µ")+COUNTIF($E21:AA21,1),ColTypeEcheance)),
  IF(LEN(AA21)=1,
  IF(LEN(INDEX(Roadmap!$D:$K,MATCH($E21,Roadmap!$D:$D,0)-1+COUNTIF($E21:AA21,"u")+COUNTIF($E21:AA21,"t")+COUNTIF($E21:AA21,"¶")+COUNTIF($E21:AA21,"²")+COUNTIF($E21:AA21,"µ")+COUNTIF($E21:AA21,1),ColDescriptionCourte))&gt;1,
HYPERLINK("#Roadmap!C"&amp; MATCH($E21,Roadmap!$D:$D,0)+COUNTIF($E21:AA21,"u")+COUNTIF($E21:AA21,"t")+COUNTIF($E21:AA21,"¶")+COUNTIF($E21:AA21,"²")+COUNTIF($E21:AA21,"µ")+COUNTIF($E21:AA21,1)-1,INDEX(Roadmap!$D:$K,MATCH($E21,Roadmap!$D:$D,0)-1+COUNTIF($E21:AA21,"u")+COUNTIF($E21:AA21,"t")+COUNTIF($E21:AA21,"¶")+COUNTIF($E21:AA21,"²")+COUNTIF($E21:AA21,"µ")+COUNTIF($E21:AA21,1),ColDescriptionCourte)),""),
  "")),"")</f>
        <v/>
      </c>
      <c r="AC21" s="40" t="str">
        <f ca="1">IFERROR(IF(AND(
  INDEX(Roadmap!$D:$K,MATCH($E21,Roadmap!$D:$D,0)+COUNTIF($E21:AB21,"u")+COUNTIF($E21:AB21,"t")+COUNTIF($E21:AB21,"¶")+COUNTIF($E21:AB21,"²")+COUNTIF($E21:AB21,"µ")+COUNTIF($E21:AB21,1),ColLivraison)=AC$6,
  VLOOKUP($E21,INDIRECT("tri!"&amp; CHAR(64+ C0Col) &amp;":"&amp; CHAR(65+C0Col)),2,FALSE)&gt;COUNTIF($E21:AB21,"u")+COUNTIF($E21:AB21,"t")+COUNTIF($E21:AB21,"¶")+COUNTIF($E21:AB21,"²")+COUNTIF($E21:AB21,"µ")+COUNTIF($E21:AB21,1)),
HYPERLINK("#Roadmap!C"&amp; MATCH($E21,Roadmap!$D:$D,0)+COUNTIF($E21:AB21,"u")+COUNTIF($E21:AB21,"t"),
     INDEX(Roadmap!$D:$K,MATCH($E21,Roadmap!$D:$D,0)+COUNTIF($E21:AB21,"u")+COUNTIF($E21:AB21,"t")+COUNTIF($E21:AB21,"¶")+COUNTIF($E21:AB21,"²")+COUNTIF($E21:AB21,"µ")+COUNTIF($E21:AB21,1),ColTypeEcheance)),
  IF(LEN(AB21)=1,
  IF(LEN(INDEX(Roadmap!$D:$K,MATCH($E21,Roadmap!$D:$D,0)-1+COUNTIF($E21:AB21,"u")+COUNTIF($E21:AB21,"t")+COUNTIF($E21:AB21,"¶")+COUNTIF($E21:AB21,"²")+COUNTIF($E21:AB21,"µ")+COUNTIF($E21:AB21,1),ColDescriptionCourte))&gt;1,
HYPERLINK("#Roadmap!C"&amp; MATCH($E21,Roadmap!$D:$D,0)+COUNTIF($E21:AB21,"u")+COUNTIF($E21:AB21,"t")+COUNTIF($E21:AB21,"¶")+COUNTIF($E21:AB21,"²")+COUNTIF($E21:AB21,"µ")+COUNTIF($E21:AB21,1)-1,INDEX(Roadmap!$D:$K,MATCH($E21,Roadmap!$D:$D,0)-1+COUNTIF($E21:AB21,"u")+COUNTIF($E21:AB21,"t")+COUNTIF($E21:AB21,"¶")+COUNTIF($E21:AB21,"²")+COUNTIF($E21:AB21,"µ")+COUNTIF($E21:AB21,1),ColDescriptionCourte)),""),
  "")),"")</f>
        <v/>
      </c>
      <c r="AD21" s="40" t="str">
        <f ca="1">IFERROR(IF(AND(
  INDEX(Roadmap!$D:$K,MATCH($E21,Roadmap!$D:$D,0)+COUNTIF($E21:AC21,"u")+COUNTIF($E21:AC21,"t")+COUNTIF($E21:AC21,"¶")+COUNTIF($E21:AC21,"²")+COUNTIF($E21:AC21,"µ")+COUNTIF($E21:AC21,1),ColLivraison)=AD$6,
  VLOOKUP($E21,INDIRECT("tri!"&amp; CHAR(64+ C0Col) &amp;":"&amp; CHAR(65+C0Col)),2,FALSE)&gt;COUNTIF($E21:AC21,"u")+COUNTIF($E21:AC21,"t")+COUNTIF($E21:AC21,"¶")+COUNTIF($E21:AC21,"²")+COUNTIF($E21:AC21,"µ")+COUNTIF($E21:AC21,1)),
HYPERLINK("#Roadmap!C"&amp; MATCH($E21,Roadmap!$D:$D,0)+COUNTIF($E21:AC21,"u")+COUNTIF($E21:AC21,"t"),
     INDEX(Roadmap!$D:$K,MATCH($E21,Roadmap!$D:$D,0)+COUNTIF($E21:AC21,"u")+COUNTIF($E21:AC21,"t")+COUNTIF($E21:AC21,"¶")+COUNTIF($E21:AC21,"²")+COUNTIF($E21:AC21,"µ")+COUNTIF($E21:AC21,1),ColTypeEcheance)),
  IF(LEN(AC21)=1,
  IF(LEN(INDEX(Roadmap!$D:$K,MATCH($E21,Roadmap!$D:$D,0)-1+COUNTIF($E21:AC21,"u")+COUNTIF($E21:AC21,"t")+COUNTIF($E21:AC21,"¶")+COUNTIF($E21:AC21,"²")+COUNTIF($E21:AC21,"µ")+COUNTIF($E21:AC21,1),ColDescriptionCourte))&gt;1,
HYPERLINK("#Roadmap!C"&amp; MATCH($E21,Roadmap!$D:$D,0)+COUNTIF($E21:AC21,"u")+COUNTIF($E21:AC21,"t")+COUNTIF($E21:AC21,"¶")+COUNTIF($E21:AC21,"²")+COUNTIF($E21:AC21,"µ")+COUNTIF($E21:AC21,1)-1,INDEX(Roadmap!$D:$K,MATCH($E21,Roadmap!$D:$D,0)-1+COUNTIF($E21:AC21,"u")+COUNTIF($E21:AC21,"t")+COUNTIF($E21:AC21,"¶")+COUNTIF($E21:AC21,"²")+COUNTIF($E21:AC21,"µ")+COUNTIF($E21:AC21,1),ColDescriptionCourte)),""),
  "")),"")</f>
        <v/>
      </c>
      <c r="AE21" s="40" t="str">
        <f ca="1">IFERROR(IF(AND(
  INDEX(Roadmap!$D:$K,MATCH($E21,Roadmap!$D:$D,0)+COUNTIF($E21:AD21,"u")+COUNTIF($E21:AD21,"t")+COUNTIF($E21:AD21,"¶")+COUNTIF($E21:AD21,"²")+COUNTIF($E21:AD21,"µ")+COUNTIF($E21:AD21,1),ColLivraison)=AE$6,
  VLOOKUP($E21,INDIRECT("tri!"&amp; CHAR(64+ C0Col) &amp;":"&amp; CHAR(65+C0Col)),2,FALSE)&gt;COUNTIF($E21:AD21,"u")+COUNTIF($E21:AD21,"t")+COUNTIF($E21:AD21,"¶")+COUNTIF($E21:AD21,"²")+COUNTIF($E21:AD21,"µ")+COUNTIF($E21:AD21,1)),
HYPERLINK("#Roadmap!C"&amp; MATCH($E21,Roadmap!$D:$D,0)+COUNTIF($E21:AD21,"u")+COUNTIF($E21:AD21,"t"),
     INDEX(Roadmap!$D:$K,MATCH($E21,Roadmap!$D:$D,0)+COUNTIF($E21:AD21,"u")+COUNTIF($E21:AD21,"t")+COUNTIF($E21:AD21,"¶")+COUNTIF($E21:AD21,"²")+COUNTIF($E21:AD21,"µ")+COUNTIF($E21:AD21,1),ColTypeEcheance)),
  IF(LEN(AD21)=1,
  IF(LEN(INDEX(Roadmap!$D:$K,MATCH($E21,Roadmap!$D:$D,0)-1+COUNTIF($E21:AD21,"u")+COUNTIF($E21:AD21,"t")+COUNTIF($E21:AD21,"¶")+COUNTIF($E21:AD21,"²")+COUNTIF($E21:AD21,"µ")+COUNTIF($E21:AD21,1),ColDescriptionCourte))&gt;1,
HYPERLINK("#Roadmap!C"&amp; MATCH($E21,Roadmap!$D:$D,0)+COUNTIF($E21:AD21,"u")+COUNTIF($E21:AD21,"t")+COUNTIF($E21:AD21,"¶")+COUNTIF($E21:AD21,"²")+COUNTIF($E21:AD21,"µ")+COUNTIF($E21:AD21,1)-1,INDEX(Roadmap!$D:$K,MATCH($E21,Roadmap!$D:$D,0)-1+COUNTIF($E21:AD21,"u")+COUNTIF($E21:AD21,"t")+COUNTIF($E21:AD21,"¶")+COUNTIF($E21:AD21,"²")+COUNTIF($E21:AD21,"µ")+COUNTIF($E21:AD21,1),ColDescriptionCourte)),""),
  "")),"")</f>
        <v/>
      </c>
      <c r="AF21" s="40" t="str">
        <f ca="1">IFERROR(IF(AND(
  INDEX(Roadmap!$D:$K,MATCH($E21,Roadmap!$D:$D,0)+COUNTIF($E21:AE21,"u")+COUNTIF($E21:AE21,"t")+COUNTIF($E21:AE21,"¶")+COUNTIF($E21:AE21,"²")+COUNTIF($E21:AE21,"µ")+COUNTIF($E21:AE21,1),ColLivraison)=AF$6,
  VLOOKUP($E21,INDIRECT("tri!"&amp; CHAR(64+ C0Col) &amp;":"&amp; CHAR(65+C0Col)),2,FALSE)&gt;COUNTIF($E21:AE21,"u")+COUNTIF($E21:AE21,"t")+COUNTIF($E21:AE21,"¶")+COUNTIF($E21:AE21,"²")+COUNTIF($E21:AE21,"µ")+COUNTIF($E21:AE21,1)),
HYPERLINK("#Roadmap!C"&amp; MATCH($E21,Roadmap!$D:$D,0)+COUNTIF($E21:AE21,"u")+COUNTIF($E21:AE21,"t"),
     INDEX(Roadmap!$D:$K,MATCH($E21,Roadmap!$D:$D,0)+COUNTIF($E21:AE21,"u")+COUNTIF($E21:AE21,"t")+COUNTIF($E21:AE21,"¶")+COUNTIF($E21:AE21,"²")+COUNTIF($E21:AE21,"µ")+COUNTIF($E21:AE21,1),ColTypeEcheance)),
  IF(LEN(AE21)=1,
  IF(LEN(INDEX(Roadmap!$D:$K,MATCH($E21,Roadmap!$D:$D,0)-1+COUNTIF($E21:AE21,"u")+COUNTIF($E21:AE21,"t")+COUNTIF($E21:AE21,"¶")+COUNTIF($E21:AE21,"²")+COUNTIF($E21:AE21,"µ")+COUNTIF($E21:AE21,1),ColDescriptionCourte))&gt;1,
HYPERLINK("#Roadmap!C"&amp; MATCH($E21,Roadmap!$D:$D,0)+COUNTIF($E21:AE21,"u")+COUNTIF($E21:AE21,"t")+COUNTIF($E21:AE21,"¶")+COUNTIF($E21:AE21,"²")+COUNTIF($E21:AE21,"µ")+COUNTIF($E21:AE21,1)-1,INDEX(Roadmap!$D:$K,MATCH($E21,Roadmap!$D:$D,0)-1+COUNTIF($E21:AE21,"u")+COUNTIF($E21:AE21,"t")+COUNTIF($E21:AE21,"¶")+COUNTIF($E21:AE21,"²")+COUNTIF($E21:AE21,"µ")+COUNTIF($E21:AE21,1),ColDescriptionCourte)),""),
  "")),"")</f>
        <v/>
      </c>
      <c r="AG21" s="40" t="str">
        <f ca="1">IFERROR(IF(AND(
  INDEX(Roadmap!$D:$K,MATCH($E21,Roadmap!$D:$D,0)+COUNTIF($E21:AF21,"u")+COUNTIF($E21:AF21,"t")+COUNTIF($E21:AF21,"¶")+COUNTIF($E21:AF21,"²")+COUNTIF($E21:AF21,"µ")+COUNTIF($E21:AF21,1),ColLivraison)=AG$6,
  VLOOKUP($E21,INDIRECT("tri!"&amp; CHAR(64+ C0Col) &amp;":"&amp; CHAR(65+C0Col)),2,FALSE)&gt;COUNTIF($E21:AF21,"u")+COUNTIF($E21:AF21,"t")+COUNTIF($E21:AF21,"¶")+COUNTIF($E21:AF21,"²")+COUNTIF($E21:AF21,"µ")+COUNTIF($E21:AF21,1)),
HYPERLINK("#Roadmap!C"&amp; MATCH($E21,Roadmap!$D:$D,0)+COUNTIF($E21:AF21,"u")+COUNTIF($E21:AF21,"t"),
     INDEX(Roadmap!$D:$K,MATCH($E21,Roadmap!$D:$D,0)+COUNTIF($E21:AF21,"u")+COUNTIF($E21:AF21,"t")+COUNTIF($E21:AF21,"¶")+COUNTIF($E21:AF21,"²")+COUNTIF($E21:AF21,"µ")+COUNTIF($E21:AF21,1),ColTypeEcheance)),
  IF(LEN(AF21)=1,
  IF(LEN(INDEX(Roadmap!$D:$K,MATCH($E21,Roadmap!$D:$D,0)-1+COUNTIF($E21:AF21,"u")+COUNTIF($E21:AF21,"t")+COUNTIF($E21:AF21,"¶")+COUNTIF($E21:AF21,"²")+COUNTIF($E21:AF21,"µ")+COUNTIF($E21:AF21,1),ColDescriptionCourte))&gt;1,
HYPERLINK("#Roadmap!C"&amp; MATCH($E21,Roadmap!$D:$D,0)+COUNTIF($E21:AF21,"u")+COUNTIF($E21:AF21,"t")+COUNTIF($E21:AF21,"¶")+COUNTIF($E21:AF21,"²")+COUNTIF($E21:AF21,"µ")+COUNTIF($E21:AF21,1)-1,INDEX(Roadmap!$D:$K,MATCH($E21,Roadmap!$D:$D,0)-1+COUNTIF($E21:AF21,"u")+COUNTIF($E21:AF21,"t")+COUNTIF($E21:AF21,"¶")+COUNTIF($E21:AF21,"²")+COUNTIF($E21:AF21,"µ")+COUNTIF($E21:AF21,1),ColDescriptionCourte)),""),
  "")),"")</f>
        <v/>
      </c>
    </row>
    <row r="22" spans="3:33" ht="14.25" customHeight="1">
      <c r="C22" s="1" t="str">
        <f t="shared" ca="1" si="42"/>
        <v/>
      </c>
      <c r="D22" s="1" t="str">
        <f t="shared" ca="1" si="43"/>
        <v/>
      </c>
      <c r="E22" s="35" t="str">
        <f t="shared" ca="1" si="33"/>
        <v/>
      </c>
      <c r="F22" s="39" t="str">
        <f ca="1">IFERROR(IF(AND(
  INDEX(Roadmap!$D:$K,MATCH($E22,Roadmap!$D:$D,0)+COUNTIF($E22:E22,"u")+COUNTIF($E22:E22,"t")+COUNTIF($E22:E22,"¶")+COUNTIF($E22:E22,"²")+COUNTIF($E22:E22,"µ")+COUNTIF($E22:E22,1),ColLivraison)=F$6,
  VLOOKUP($E22,INDIRECT("tri!"&amp; CHAR(64+ C0Col) &amp;":"&amp; CHAR(65+C0Col)),2,FALSE)&gt;COUNTIF($E22:E22,"u")+COUNTIF($E22:E22,"t")+COUNTIF($E22:E22,"¶")+COUNTIF($E22:E22,"²")+COUNTIF($E22:E22,"µ")+COUNTIF($E22:E22,1)),
HYPERLINK("#Roadmap!C"&amp; MATCH($E22,Roadmap!$D:$D,0)+COUNTIF($E22:E22,"u")+COUNTIF($E22:E22,"t"),
     INDEX(Roadmap!$D:$K,MATCH($E22,Roadmap!$D:$D,0)+COUNTIF($E22:E22,"u")+COUNTIF($E22:E22,"t")+COUNTIF($E22:E22,"¶")+COUNTIF($E22:E22,"²")+COUNTIF($E22:E22,"µ")+COUNTIF($E22:E22,1),ColTypeEcheance)),
  IF(LEN(E22)=1,
  IF(LEN(INDEX(Roadmap!$D:$K,MATCH($E22,Roadmap!$D:$D,0)-1+COUNTIF($E22:E22,"u")+COUNTIF($E22:E22,"t")+COUNTIF($E22:E22,"¶")+COUNTIF($E22:E22,"²")+COUNTIF($E22:E22,"µ")+COUNTIF($E22:E22,1),ColDescriptionCourte))&gt;1,
HYPERLINK("#Roadmap!C"&amp; MATCH($E22,Roadmap!$D:$D,0)+COUNTIF($E22:E22,"u")+COUNTIF($E22:E22,"t")+COUNTIF($E22:E22,"¶")+COUNTIF($E22:E22,"²")+COUNTIF($E22:E22,"µ")+COUNTIF($E22:E22,1)-1,INDEX(Roadmap!$D:$K,MATCH($E22,Roadmap!$D:$D,0)-1+COUNTIF($E22:E22,"u")+COUNTIF($E22:E22,"t")+COUNTIF($E22:E22,"¶")+COUNTIF($E22:E22,"²")+COUNTIF($E22:E22,"µ")+COUNTIF($E22:E22,1),ColDescriptionCourte)),""),
  "")),"")</f>
        <v/>
      </c>
      <c r="G22" s="40" t="str">
        <f ca="1">IFERROR(IF(AND(
  INDEX(Roadmap!$D:$K,MATCH($E22,Roadmap!$D:$D,0)+COUNTIF($E22:F22,"u")+COUNTIF($E22:F22,"t")+COUNTIF($E22:F22,"¶")+COUNTIF($E22:F22,"²")+COUNTIF($E22:F22,"µ")+COUNTIF($E22:F22,1),ColLivraison)=G$6,
  VLOOKUP($E22,INDIRECT("tri!"&amp; CHAR(64+ C0Col) &amp;":"&amp; CHAR(65+C0Col)),2,FALSE)&gt;COUNTIF($E22:F22,"u")+COUNTIF($E22:F22,"t")+COUNTIF($E22:F22,"¶")+COUNTIF($E22:F22,"²")+COUNTIF($E22:F22,"µ")+COUNTIF($E22:F22,1)),
HYPERLINK("#Roadmap!C"&amp; MATCH($E22,Roadmap!$D:$D,0)+COUNTIF($E22:F22,"u")+COUNTIF($E22:F22,"t"),
     INDEX(Roadmap!$D:$K,MATCH($E22,Roadmap!$D:$D,0)+COUNTIF($E22:F22,"u")+COUNTIF($E22:F22,"t")+COUNTIF($E22:F22,"¶")+COUNTIF($E22:F22,"²")+COUNTIF($E22:F22,"µ")+COUNTIF($E22:F22,1),ColTypeEcheance)),
  IF(LEN(F22)=1,
  IF(LEN(INDEX(Roadmap!$D:$K,MATCH($E22,Roadmap!$D:$D,0)-1+COUNTIF($E22:F22,"u")+COUNTIF($E22:F22,"t")+COUNTIF($E22:F22,"¶")+COUNTIF($E22:F22,"²")+COUNTIF($E22:F22,"µ")+COUNTIF($E22:F22,1),ColDescriptionCourte))&gt;1,
HYPERLINK("#Roadmap!C"&amp; MATCH($E22,Roadmap!$D:$D,0)+COUNTIF($E22:F22,"u")+COUNTIF($E22:F22,"t")+COUNTIF($E22:F22,"¶")+COUNTIF($E22:F22,"²")+COUNTIF($E22:F22,"µ")+COUNTIF($E22:F22,1)-1,INDEX(Roadmap!$D:$K,MATCH($E22,Roadmap!$D:$D,0)-1+COUNTIF($E22:F22,"u")+COUNTIF($E22:F22,"t")+COUNTIF($E22:F22,"¶")+COUNTIF($E22:F22,"²")+COUNTIF($E22:F22,"µ")+COUNTIF($E22:F22,1),ColDescriptionCourte)),""),
  "")),"")</f>
        <v/>
      </c>
      <c r="H22" s="40" t="str">
        <f ca="1">IFERROR(IF(AND(
  INDEX(Roadmap!$D:$K,MATCH($E22,Roadmap!$D:$D,0)+COUNTIF($E22:G22,"u")+COUNTIF($E22:G22,"t")+COUNTIF($E22:G22,"¶")+COUNTIF($E22:G22,"²")+COUNTIF($E22:G22,"µ")+COUNTIF($E22:G22,1),ColLivraison)=H$6,
  VLOOKUP($E22,INDIRECT("tri!"&amp; CHAR(64+ C0Col) &amp;":"&amp; CHAR(65+C0Col)),2,FALSE)&gt;COUNTIF($E22:G22,"u")+COUNTIF($E22:G22,"t")+COUNTIF($E22:G22,"¶")+COUNTIF($E22:G22,"²")+COUNTIF($E22:G22,"µ")+COUNTIF($E22:G22,1)),
HYPERLINK("#Roadmap!C"&amp; MATCH($E22,Roadmap!$D:$D,0)+COUNTIF($E22:G22,"u")+COUNTIF($E22:G22,"t"),
     INDEX(Roadmap!$D:$K,MATCH($E22,Roadmap!$D:$D,0)+COUNTIF($E22:G22,"u")+COUNTIF($E22:G22,"t")+COUNTIF($E22:G22,"¶")+COUNTIF($E22:G22,"²")+COUNTIF($E22:G22,"µ")+COUNTIF($E22:G22,1),ColTypeEcheance)),
  IF(LEN(G22)=1,
  IF(LEN(INDEX(Roadmap!$D:$K,MATCH($E22,Roadmap!$D:$D,0)-1+COUNTIF($E22:G22,"u")+COUNTIF($E22:G22,"t")+COUNTIF($E22:G22,"¶")+COUNTIF($E22:G22,"²")+COUNTIF($E22:G22,"µ")+COUNTIF($E22:G22,1),ColDescriptionCourte))&gt;1,
HYPERLINK("#Roadmap!C"&amp; MATCH($E22,Roadmap!$D:$D,0)+COUNTIF($E22:G22,"u")+COUNTIF($E22:G22,"t")+COUNTIF($E22:G22,"¶")+COUNTIF($E22:G22,"²")+COUNTIF($E22:G22,"µ")+COUNTIF($E22:G22,1)-1,INDEX(Roadmap!$D:$K,MATCH($E22,Roadmap!$D:$D,0)-1+COUNTIF($E22:G22,"u")+COUNTIF($E22:G22,"t")+COUNTIF($E22:G22,"¶")+COUNTIF($E22:G22,"²")+COUNTIF($E22:G22,"µ")+COUNTIF($E22:G22,1),ColDescriptionCourte)),""),
  "")),"")</f>
        <v/>
      </c>
      <c r="I22" s="40" t="str">
        <f ca="1">IFERROR(IF(AND(
  INDEX(Roadmap!$D:$K,MATCH($E22,Roadmap!$D:$D,0)+COUNTIF($E22:H22,"u")+COUNTIF($E22:H22,"t")+COUNTIF($E22:H22,"¶")+COUNTIF($E22:H22,"²")+COUNTIF($E22:H22,"µ")+COUNTIF($E22:H22,1),ColLivraison)=I$6,
  VLOOKUP($E22,INDIRECT("tri!"&amp; CHAR(64+ C0Col) &amp;":"&amp; CHAR(65+C0Col)),2,FALSE)&gt;COUNTIF($E22:H22,"u")+COUNTIF($E22:H22,"t")+COUNTIF($E22:H22,"¶")+COUNTIF($E22:H22,"²")+COUNTIF($E22:H22,"µ")+COUNTIF($E22:H22,1)),
HYPERLINK("#Roadmap!C"&amp; MATCH($E22,Roadmap!$D:$D,0)+COUNTIF($E22:H22,"u")+COUNTIF($E22:H22,"t"),
     INDEX(Roadmap!$D:$K,MATCH($E22,Roadmap!$D:$D,0)+COUNTIF($E22:H22,"u")+COUNTIF($E22:H22,"t")+COUNTIF($E22:H22,"¶")+COUNTIF($E22:H22,"²")+COUNTIF($E22:H22,"µ")+COUNTIF($E22:H22,1),ColTypeEcheance)),
  IF(LEN(H22)=1,
  IF(LEN(INDEX(Roadmap!$D:$K,MATCH($E22,Roadmap!$D:$D,0)-1+COUNTIF($E22:H22,"u")+COUNTIF($E22:H22,"t")+COUNTIF($E22:H22,"¶")+COUNTIF($E22:H22,"²")+COUNTIF($E22:H22,"µ")+COUNTIF($E22:H22,1),ColDescriptionCourte))&gt;1,
HYPERLINK("#Roadmap!C"&amp; MATCH($E22,Roadmap!$D:$D,0)+COUNTIF($E22:H22,"u")+COUNTIF($E22:H22,"t")+COUNTIF($E22:H22,"¶")+COUNTIF($E22:H22,"²")+COUNTIF($E22:H22,"µ")+COUNTIF($E22:H22,1)-1,INDEX(Roadmap!$D:$K,MATCH($E22,Roadmap!$D:$D,0)-1+COUNTIF($E22:H22,"u")+COUNTIF($E22:H22,"t")+COUNTIF($E22:H22,"¶")+COUNTIF($E22:H22,"²")+COUNTIF($E22:H22,"µ")+COUNTIF($E22:H22,1),ColDescriptionCourte)),""),
  "")),"")</f>
        <v/>
      </c>
      <c r="J22" s="40" t="str">
        <f ca="1">IFERROR(IF(AND(
  INDEX(Roadmap!$D:$K,MATCH($E22,Roadmap!$D:$D,0)+COUNTIF($E22:I22,"u")+COUNTIF($E22:I22,"t")+COUNTIF($E22:I22,"¶")+COUNTIF($E22:I22,"²")+COUNTIF($E22:I22,"µ")+COUNTIF($E22:I22,1),ColLivraison)=J$6,
  VLOOKUP($E22,INDIRECT("tri!"&amp; CHAR(64+ C0Col) &amp;":"&amp; CHAR(65+C0Col)),2,FALSE)&gt;COUNTIF($E22:I22,"u")+COUNTIF($E22:I22,"t")+COUNTIF($E22:I22,"¶")+COUNTIF($E22:I22,"²")+COUNTIF($E22:I22,"µ")+COUNTIF($E22:I22,1)),
HYPERLINK("#Roadmap!C"&amp; MATCH($E22,Roadmap!$D:$D,0)+COUNTIF($E22:I22,"u")+COUNTIF($E22:I22,"t"),
     INDEX(Roadmap!$D:$K,MATCH($E22,Roadmap!$D:$D,0)+COUNTIF($E22:I22,"u")+COUNTIF($E22:I22,"t")+COUNTIF($E22:I22,"¶")+COUNTIF($E22:I22,"²")+COUNTIF($E22:I22,"µ")+COUNTIF($E22:I22,1),ColTypeEcheance)),
  IF(LEN(I22)=1,
  IF(LEN(INDEX(Roadmap!$D:$K,MATCH($E22,Roadmap!$D:$D,0)-1+COUNTIF($E22:I22,"u")+COUNTIF($E22:I22,"t")+COUNTIF($E22:I22,"¶")+COUNTIF($E22:I22,"²")+COUNTIF($E22:I22,"µ")+COUNTIF($E22:I22,1),ColDescriptionCourte))&gt;1,
HYPERLINK("#Roadmap!C"&amp; MATCH($E22,Roadmap!$D:$D,0)+COUNTIF($E22:I22,"u")+COUNTIF($E22:I22,"t")+COUNTIF($E22:I22,"¶")+COUNTIF($E22:I22,"²")+COUNTIF($E22:I22,"µ")+COUNTIF($E22:I22,1)-1,INDEX(Roadmap!$D:$K,MATCH($E22,Roadmap!$D:$D,0)-1+COUNTIF($E22:I22,"u")+COUNTIF($E22:I22,"t")+COUNTIF($E22:I22,"¶")+COUNTIF($E22:I22,"²")+COUNTIF($E22:I22,"µ")+COUNTIF($E22:I22,1),ColDescriptionCourte)),""),
  "")),"")</f>
        <v/>
      </c>
      <c r="K22" s="40" t="str">
        <f ca="1">IFERROR(IF(AND(
  INDEX(Roadmap!$D:$K,MATCH($E22,Roadmap!$D:$D,0)+COUNTIF($E22:J22,"u")+COUNTIF($E22:J22,"t")+COUNTIF($E22:J22,"¶")+COUNTIF($E22:J22,"²")+COUNTIF($E22:J22,"µ")+COUNTIF($E22:J22,1),ColLivraison)=K$6,
  VLOOKUP($E22,INDIRECT("tri!"&amp; CHAR(64+ C0Col) &amp;":"&amp; CHAR(65+C0Col)),2,FALSE)&gt;COUNTIF($E22:J22,"u")+COUNTIF($E22:J22,"t")+COUNTIF($E22:J22,"¶")+COUNTIF($E22:J22,"²")+COUNTIF($E22:J22,"µ")+COUNTIF($E22:J22,1)),
HYPERLINK("#Roadmap!C"&amp; MATCH($E22,Roadmap!$D:$D,0)+COUNTIF($E22:J22,"u")+COUNTIF($E22:J22,"t"),
     INDEX(Roadmap!$D:$K,MATCH($E22,Roadmap!$D:$D,0)+COUNTIF($E22:J22,"u")+COUNTIF($E22:J22,"t")+COUNTIF($E22:J22,"¶")+COUNTIF($E22:J22,"²")+COUNTIF($E22:J22,"µ")+COUNTIF($E22:J22,1),ColTypeEcheance)),
  IF(LEN(J22)=1,
  IF(LEN(INDEX(Roadmap!$D:$K,MATCH($E22,Roadmap!$D:$D,0)-1+COUNTIF($E22:J22,"u")+COUNTIF($E22:J22,"t")+COUNTIF($E22:J22,"¶")+COUNTIF($E22:J22,"²")+COUNTIF($E22:J22,"µ")+COUNTIF($E22:J22,1),ColDescriptionCourte))&gt;1,
HYPERLINK("#Roadmap!C"&amp; MATCH($E22,Roadmap!$D:$D,0)+COUNTIF($E22:J22,"u")+COUNTIF($E22:J22,"t")+COUNTIF($E22:J22,"¶")+COUNTIF($E22:J22,"²")+COUNTIF($E22:J22,"µ")+COUNTIF($E22:J22,1)-1,INDEX(Roadmap!$D:$K,MATCH($E22,Roadmap!$D:$D,0)-1+COUNTIF($E22:J22,"u")+COUNTIF($E22:J22,"t")+COUNTIF($E22:J22,"¶")+COUNTIF($E22:J22,"²")+COUNTIF($E22:J22,"µ")+COUNTIF($E22:J22,1),ColDescriptionCourte)),""),
  "")),"")</f>
        <v/>
      </c>
      <c r="L22" s="39" t="str">
        <f ca="1">IFERROR(IF(AND(
  INDEX(Roadmap!$D:$K,MATCH($E22,Roadmap!$D:$D,0)+COUNTIF($E22:K22,"u")+COUNTIF($E22:K22,"t")+COUNTIF($E22:K22,"¶")+COUNTIF($E22:K22,"²")+COUNTIF($E22:K22,"µ")+COUNTIF($E22:K22,1),ColLivraison)=L$6,
  VLOOKUP($E22,INDIRECT("tri!"&amp; CHAR(64+ C0Col) &amp;":"&amp; CHAR(65+C0Col)),2,FALSE)&gt;COUNTIF($E22:K22,"u")+COUNTIF($E22:K22,"t")+COUNTIF($E22:K22,"¶")+COUNTIF($E22:K22,"²")+COUNTIF($E22:K22,"µ")+COUNTIF($E22:K22,1)),
HYPERLINK("#Roadmap!C"&amp; MATCH($E22,Roadmap!$D:$D,0)+COUNTIF($E22:K22,"u")+COUNTIF($E22:K22,"t"),
     INDEX(Roadmap!$D:$K,MATCH($E22,Roadmap!$D:$D,0)+COUNTIF($E22:K22,"u")+COUNTIF($E22:K22,"t")+COUNTIF($E22:K22,"¶")+COUNTIF($E22:K22,"²")+COUNTIF($E22:K22,"µ")+COUNTIF($E22:K22,1),ColTypeEcheance)),
  IF(LEN(K22)=1,
  IF(LEN(INDEX(Roadmap!$D:$K,MATCH($E22,Roadmap!$D:$D,0)-1+COUNTIF($E22:K22,"u")+COUNTIF($E22:K22,"t")+COUNTIF($E22:K22,"¶")+COUNTIF($E22:K22,"²")+COUNTIF($E22:K22,"µ")+COUNTIF($E22:K22,1),ColDescriptionCourte))&gt;1,
HYPERLINK("#Roadmap!C"&amp; MATCH($E22,Roadmap!$D:$D,0)+COUNTIF($E22:K22,"u")+COUNTIF($E22:K22,"t")+COUNTIF($E22:K22,"¶")+COUNTIF($E22:K22,"²")+COUNTIF($E22:K22,"µ")+COUNTIF($E22:K22,1)-1,INDEX(Roadmap!$D:$K,MATCH($E22,Roadmap!$D:$D,0)-1+COUNTIF($E22:K22,"u")+COUNTIF($E22:K22,"t")+COUNTIF($E22:K22,"¶")+COUNTIF($E22:K22,"²")+COUNTIF($E22:K22,"µ")+COUNTIF($E22:K22,1),ColDescriptionCourte)),""),
  "")),"")</f>
        <v/>
      </c>
      <c r="M22" s="40" t="str">
        <f ca="1">IFERROR(IF(AND(
  INDEX(Roadmap!$D:$K,MATCH($E22,Roadmap!$D:$D,0)+COUNTIF($E22:L22,"u")+COUNTIF($E22:L22,"t")+COUNTIF($E22:L22,"¶")+COUNTIF($E22:L22,"²")+COUNTIF($E22:L22,"µ")+COUNTIF($E22:L22,1),ColLivraison)=M$6,
  VLOOKUP($E22,INDIRECT("tri!"&amp; CHAR(64+ C0Col) &amp;":"&amp; CHAR(65+C0Col)),2,FALSE)&gt;COUNTIF($E22:L22,"u")+COUNTIF($E22:L22,"t")+COUNTIF($E22:L22,"¶")+COUNTIF($E22:L22,"²")+COUNTIF($E22:L22,"µ")+COUNTIF($E22:L22,1)),
HYPERLINK("#Roadmap!C"&amp; MATCH($E22,Roadmap!$D:$D,0)+COUNTIF($E22:L22,"u")+COUNTIF($E22:L22,"t"),
     INDEX(Roadmap!$D:$K,MATCH($E22,Roadmap!$D:$D,0)+COUNTIF($E22:L22,"u")+COUNTIF($E22:L22,"t")+COUNTIF($E22:L22,"¶")+COUNTIF($E22:L22,"²")+COUNTIF($E22:L22,"µ")+COUNTIF($E22:L22,1),ColTypeEcheance)),
  IF(LEN(L22)=1,
  IF(LEN(INDEX(Roadmap!$D:$K,MATCH($E22,Roadmap!$D:$D,0)-1+COUNTIF($E22:L22,"u")+COUNTIF($E22:L22,"t")+COUNTIF($E22:L22,"¶")+COUNTIF($E22:L22,"²")+COUNTIF($E22:L22,"µ")+COUNTIF($E22:L22,1),ColDescriptionCourte))&gt;1,
HYPERLINK("#Roadmap!C"&amp; MATCH($E22,Roadmap!$D:$D,0)+COUNTIF($E22:L22,"u")+COUNTIF($E22:L22,"t")+COUNTIF($E22:L22,"¶")+COUNTIF($E22:L22,"²")+COUNTIF($E22:L22,"µ")+COUNTIF($E22:L22,1)-1,INDEX(Roadmap!$D:$K,MATCH($E22,Roadmap!$D:$D,0)-1+COUNTIF($E22:L22,"u")+COUNTIF($E22:L22,"t")+COUNTIF($E22:L22,"¶")+COUNTIF($E22:L22,"²")+COUNTIF($E22:L22,"µ")+COUNTIF($E22:L22,1),ColDescriptionCourte)),""),
  "")),"")</f>
        <v/>
      </c>
      <c r="N22" s="40" t="str">
        <f ca="1">IFERROR(IF(AND(
  INDEX(Roadmap!$D:$K,MATCH($E22,Roadmap!$D:$D,0)+COUNTIF($E22:M22,"u")+COUNTIF($E22:M22,"t")+COUNTIF($E22:M22,"¶")+COUNTIF($E22:M22,"²")+COUNTIF($E22:M22,"µ")+COUNTIF($E22:M22,1),ColLivraison)=N$6,
  VLOOKUP($E22,INDIRECT("tri!"&amp; CHAR(64+ C0Col) &amp;":"&amp; CHAR(65+C0Col)),2,FALSE)&gt;COUNTIF($E22:M22,"u")+COUNTIF($E22:M22,"t")+COUNTIF($E22:M22,"¶")+COUNTIF($E22:M22,"²")+COUNTIF($E22:M22,"µ")+COUNTIF($E22:M22,1)),
HYPERLINK("#Roadmap!C"&amp; MATCH($E22,Roadmap!$D:$D,0)+COUNTIF($E22:M22,"u")+COUNTIF($E22:M22,"t"),
     INDEX(Roadmap!$D:$K,MATCH($E22,Roadmap!$D:$D,0)+COUNTIF($E22:M22,"u")+COUNTIF($E22:M22,"t")+COUNTIF($E22:M22,"¶")+COUNTIF($E22:M22,"²")+COUNTIF($E22:M22,"µ")+COUNTIF($E22:M22,1),ColTypeEcheance)),
  IF(LEN(M22)=1,
  IF(LEN(INDEX(Roadmap!$D:$K,MATCH($E22,Roadmap!$D:$D,0)-1+COUNTIF($E22:M22,"u")+COUNTIF($E22:M22,"t")+COUNTIF($E22:M22,"¶")+COUNTIF($E22:M22,"²")+COUNTIF($E22:M22,"µ")+COUNTIF($E22:M22,1),ColDescriptionCourte))&gt;1,
HYPERLINK("#Roadmap!C"&amp; MATCH($E22,Roadmap!$D:$D,0)+COUNTIF($E22:M22,"u")+COUNTIF($E22:M22,"t")+COUNTIF($E22:M22,"¶")+COUNTIF($E22:M22,"²")+COUNTIF($E22:M22,"µ")+COUNTIF($E22:M22,1)-1,INDEX(Roadmap!$D:$K,MATCH($E22,Roadmap!$D:$D,0)-1+COUNTIF($E22:M22,"u")+COUNTIF($E22:M22,"t")+COUNTIF($E22:M22,"¶")+COUNTIF($E22:M22,"²")+COUNTIF($E22:M22,"µ")+COUNTIF($E22:M22,1),ColDescriptionCourte)),""),
  "")),"")</f>
        <v/>
      </c>
      <c r="O22" s="40" t="str">
        <f ca="1">IFERROR(IF(AND(
  INDEX(Roadmap!$D:$K,MATCH($E22,Roadmap!$D:$D,0)+COUNTIF($E22:N22,"u")+COUNTIF($E22:N22,"t")+COUNTIF($E22:N22,"¶")+COUNTIF($E22:N22,"²")+COUNTIF($E22:N22,"µ")+COUNTIF($E22:N22,1),ColLivraison)=O$6,
  VLOOKUP($E22,INDIRECT("tri!"&amp; CHAR(64+ C0Col) &amp;":"&amp; CHAR(65+C0Col)),2,FALSE)&gt;COUNTIF($E22:N22,"u")+COUNTIF($E22:N22,"t")+COUNTIF($E22:N22,"¶")+COUNTIF($E22:N22,"²")+COUNTIF($E22:N22,"µ")+COUNTIF($E22:N22,1)),
HYPERLINK("#Roadmap!C"&amp; MATCH($E22,Roadmap!$D:$D,0)+COUNTIF($E22:N22,"u")+COUNTIF($E22:N22,"t"),
     INDEX(Roadmap!$D:$K,MATCH($E22,Roadmap!$D:$D,0)+COUNTIF($E22:N22,"u")+COUNTIF($E22:N22,"t")+COUNTIF($E22:N22,"¶")+COUNTIF($E22:N22,"²")+COUNTIF($E22:N22,"µ")+COUNTIF($E22:N22,1),ColTypeEcheance)),
  IF(LEN(N22)=1,
  IF(LEN(INDEX(Roadmap!$D:$K,MATCH($E22,Roadmap!$D:$D,0)-1+COUNTIF($E22:N22,"u")+COUNTIF($E22:N22,"t")+COUNTIF($E22:N22,"¶")+COUNTIF($E22:N22,"²")+COUNTIF($E22:N22,"µ")+COUNTIF($E22:N22,1),ColDescriptionCourte))&gt;1,
HYPERLINK("#Roadmap!C"&amp; MATCH($E22,Roadmap!$D:$D,0)+COUNTIF($E22:N22,"u")+COUNTIF($E22:N22,"t")+COUNTIF($E22:N22,"¶")+COUNTIF($E22:N22,"²")+COUNTIF($E22:N22,"µ")+COUNTIF($E22:N22,1)-1,INDEX(Roadmap!$D:$K,MATCH($E22,Roadmap!$D:$D,0)-1+COUNTIF($E22:N22,"u")+COUNTIF($E22:N22,"t")+COUNTIF($E22:N22,"¶")+COUNTIF($E22:N22,"²")+COUNTIF($E22:N22,"µ")+COUNTIF($E22:N22,1),ColDescriptionCourte)),""),
  "")),"")</f>
        <v/>
      </c>
      <c r="P22" s="40" t="str">
        <f ca="1">IFERROR(IF(AND(
  INDEX(Roadmap!$D:$K,MATCH($E22,Roadmap!$D:$D,0)+COUNTIF($E22:O22,"u")+COUNTIF($E22:O22,"t")+COUNTIF($E22:O22,"¶")+COUNTIF($E22:O22,"²")+COUNTIF($E22:O22,"µ")+COUNTIF($E22:O22,1),ColLivraison)=P$6,
  VLOOKUP($E22,INDIRECT("tri!"&amp; CHAR(64+ C0Col) &amp;":"&amp; CHAR(65+C0Col)),2,FALSE)&gt;COUNTIF($E22:O22,"u")+COUNTIF($E22:O22,"t")+COUNTIF($E22:O22,"¶")+COUNTIF($E22:O22,"²")+COUNTIF($E22:O22,"µ")+COUNTIF($E22:O22,1)),
HYPERLINK("#Roadmap!C"&amp; MATCH($E22,Roadmap!$D:$D,0)+COUNTIF($E22:O22,"u")+COUNTIF($E22:O22,"t"),
     INDEX(Roadmap!$D:$K,MATCH($E22,Roadmap!$D:$D,0)+COUNTIF($E22:O22,"u")+COUNTIF($E22:O22,"t")+COUNTIF($E22:O22,"¶")+COUNTIF($E22:O22,"²")+COUNTIF($E22:O22,"µ")+COUNTIF($E22:O22,1),ColTypeEcheance)),
  IF(LEN(O22)=1,
  IF(LEN(INDEX(Roadmap!$D:$K,MATCH($E22,Roadmap!$D:$D,0)-1+COUNTIF($E22:O22,"u")+COUNTIF($E22:O22,"t")+COUNTIF($E22:O22,"¶")+COUNTIF($E22:O22,"²")+COUNTIF($E22:O22,"µ")+COUNTIF($E22:O22,1),ColDescriptionCourte))&gt;1,
HYPERLINK("#Roadmap!C"&amp; MATCH($E22,Roadmap!$D:$D,0)+COUNTIF($E22:O22,"u")+COUNTIF($E22:O22,"t")+COUNTIF($E22:O22,"¶")+COUNTIF($E22:O22,"²")+COUNTIF($E22:O22,"µ")+COUNTIF($E22:O22,1)-1,INDEX(Roadmap!$D:$K,MATCH($E22,Roadmap!$D:$D,0)-1+COUNTIF($E22:O22,"u")+COUNTIF($E22:O22,"t")+COUNTIF($E22:O22,"¶")+COUNTIF($E22:O22,"²")+COUNTIF($E22:O22,"µ")+COUNTIF($E22:O22,1),ColDescriptionCourte)),""),
  "")),"")</f>
        <v/>
      </c>
      <c r="Q22" s="40" t="str">
        <f ca="1">IFERROR(IF(AND(
  INDEX(Roadmap!$D:$K,MATCH($E22,Roadmap!$D:$D,0)+COUNTIF($E22:P22,"u")+COUNTIF($E22:P22,"t")+COUNTIF($E22:P22,"¶")+COUNTIF($E22:P22,"²")+COUNTIF($E22:P22,"µ")+COUNTIF($E22:P22,1),ColLivraison)=Q$6,
  VLOOKUP($E22,INDIRECT("tri!"&amp; CHAR(64+ C0Col) &amp;":"&amp; CHAR(65+C0Col)),2,FALSE)&gt;COUNTIF($E22:P22,"u")+COUNTIF($E22:P22,"t")+COUNTIF($E22:P22,"¶")+COUNTIF($E22:P22,"²")+COUNTIF($E22:P22,"µ")+COUNTIF($E22:P22,1)),
HYPERLINK("#Roadmap!C"&amp; MATCH($E22,Roadmap!$D:$D,0)+COUNTIF($E22:P22,"u")+COUNTIF($E22:P22,"t"),
     INDEX(Roadmap!$D:$K,MATCH($E22,Roadmap!$D:$D,0)+COUNTIF($E22:P22,"u")+COUNTIF($E22:P22,"t")+COUNTIF($E22:P22,"¶")+COUNTIF($E22:P22,"²")+COUNTIF($E22:P22,"µ")+COUNTIF($E22:P22,1),ColTypeEcheance)),
  IF(LEN(P22)=1,
  IF(LEN(INDEX(Roadmap!$D:$K,MATCH($E22,Roadmap!$D:$D,0)-1+COUNTIF($E22:P22,"u")+COUNTIF($E22:P22,"t")+COUNTIF($E22:P22,"¶")+COUNTIF($E22:P22,"²")+COUNTIF($E22:P22,"µ")+COUNTIF($E22:P22,1),ColDescriptionCourte))&gt;1,
HYPERLINK("#Roadmap!C"&amp; MATCH($E22,Roadmap!$D:$D,0)+COUNTIF($E22:P22,"u")+COUNTIF($E22:P22,"t")+COUNTIF($E22:P22,"¶")+COUNTIF($E22:P22,"²")+COUNTIF($E22:P22,"µ")+COUNTIF($E22:P22,1)-1,INDEX(Roadmap!$D:$K,MATCH($E22,Roadmap!$D:$D,0)-1+COUNTIF($E22:P22,"u")+COUNTIF($E22:P22,"t")+COUNTIF($E22:P22,"¶")+COUNTIF($E22:P22,"²")+COUNTIF($E22:P22,"µ")+COUNTIF($E22:P22,1),ColDescriptionCourte)),""),
  "")),"")</f>
        <v/>
      </c>
      <c r="R22" s="40" t="str">
        <f ca="1">IFERROR(IF(AND(
  INDEX(Roadmap!$D:$K,MATCH($E22,Roadmap!$D:$D,0)+COUNTIF($E22:Q22,"u")+COUNTIF($E22:Q22,"t")+COUNTIF($E22:Q22,"¶")+COUNTIF($E22:Q22,"²")+COUNTIF($E22:Q22,"µ")+COUNTIF($E22:Q22,1),ColLivraison)=R$6,
  VLOOKUP($E22,INDIRECT("tri!"&amp; CHAR(64+ C0Col) &amp;":"&amp; CHAR(65+C0Col)),2,FALSE)&gt;COUNTIF($E22:Q22,"u")+COUNTIF($E22:Q22,"t")+COUNTIF($E22:Q22,"¶")+COUNTIF($E22:Q22,"²")+COUNTIF($E22:Q22,"µ")+COUNTIF($E22:Q22,1)),
HYPERLINK("#Roadmap!C"&amp; MATCH($E22,Roadmap!$D:$D,0)+COUNTIF($E22:Q22,"u")+COUNTIF($E22:Q22,"t"),
     INDEX(Roadmap!$D:$K,MATCH($E22,Roadmap!$D:$D,0)+COUNTIF($E22:Q22,"u")+COUNTIF($E22:Q22,"t")+COUNTIF($E22:Q22,"¶")+COUNTIF($E22:Q22,"²")+COUNTIF($E22:Q22,"µ")+COUNTIF($E22:Q22,1),ColTypeEcheance)),
  IF(LEN(Q22)=1,
  IF(LEN(INDEX(Roadmap!$D:$K,MATCH($E22,Roadmap!$D:$D,0)-1+COUNTIF($E22:Q22,"u")+COUNTIF($E22:Q22,"t")+COUNTIF($E22:Q22,"¶")+COUNTIF($E22:Q22,"²")+COUNTIF($E22:Q22,"µ")+COUNTIF($E22:Q22,1),ColDescriptionCourte))&gt;1,
HYPERLINK("#Roadmap!C"&amp; MATCH($E22,Roadmap!$D:$D,0)+COUNTIF($E22:Q22,"u")+COUNTIF($E22:Q22,"t")+COUNTIF($E22:Q22,"¶")+COUNTIF($E22:Q22,"²")+COUNTIF($E22:Q22,"µ")+COUNTIF($E22:Q22,1)-1,INDEX(Roadmap!$D:$K,MATCH($E22,Roadmap!$D:$D,0)-1+COUNTIF($E22:Q22,"u")+COUNTIF($E22:Q22,"t")+COUNTIF($E22:Q22,"¶")+COUNTIF($E22:Q22,"²")+COUNTIF($E22:Q22,"µ")+COUNTIF($E22:Q22,1),ColDescriptionCourte)),""),
  "")),"")</f>
        <v/>
      </c>
      <c r="S22" s="40" t="str">
        <f ca="1">IFERROR(IF(AND(
  INDEX(Roadmap!$D:$K,MATCH($E22,Roadmap!$D:$D,0)+COUNTIF($E22:R22,"u")+COUNTIF($E22:R22,"t")+COUNTIF($E22:R22,"¶")+COUNTIF($E22:R22,"²")+COUNTIF($E22:R22,"µ")+COUNTIF($E22:R22,1),ColLivraison)=S$6,
  VLOOKUP($E22,INDIRECT("tri!"&amp; CHAR(64+ C0Col) &amp;":"&amp; CHAR(65+C0Col)),2,FALSE)&gt;COUNTIF($E22:R22,"u")+COUNTIF($E22:R22,"t")+COUNTIF($E22:R22,"¶")+COUNTIF($E22:R22,"²")+COUNTIF($E22:R22,"µ")+COUNTIF($E22:R22,1)),
HYPERLINK("#Roadmap!C"&amp; MATCH($E22,Roadmap!$D:$D,0)+COUNTIF($E22:R22,"u")+COUNTIF($E22:R22,"t"),
     INDEX(Roadmap!$D:$K,MATCH($E22,Roadmap!$D:$D,0)+COUNTIF($E22:R22,"u")+COUNTIF($E22:R22,"t")+COUNTIF($E22:R22,"¶")+COUNTIF($E22:R22,"²")+COUNTIF($E22:R22,"µ")+COUNTIF($E22:R22,1),ColTypeEcheance)),
  IF(LEN(R22)=1,
  IF(LEN(INDEX(Roadmap!$D:$K,MATCH($E22,Roadmap!$D:$D,0)-1+COUNTIF($E22:R22,"u")+COUNTIF($E22:R22,"t")+COUNTIF($E22:R22,"¶")+COUNTIF($E22:R22,"²")+COUNTIF($E22:R22,"µ")+COUNTIF($E22:R22,1),ColDescriptionCourte))&gt;1,
HYPERLINK("#Roadmap!C"&amp; MATCH($E22,Roadmap!$D:$D,0)+COUNTIF($E22:R22,"u")+COUNTIF($E22:R22,"t")+COUNTIF($E22:R22,"¶")+COUNTIF($E22:R22,"²")+COUNTIF($E22:R22,"µ")+COUNTIF($E22:R22,1)-1,INDEX(Roadmap!$D:$K,MATCH($E22,Roadmap!$D:$D,0)-1+COUNTIF($E22:R22,"u")+COUNTIF($E22:R22,"t")+COUNTIF($E22:R22,"¶")+COUNTIF($E22:R22,"²")+COUNTIF($E22:R22,"µ")+COUNTIF($E22:R22,1),ColDescriptionCourte)),""),
  "")),"")</f>
        <v/>
      </c>
      <c r="T22" s="40" t="str">
        <f ca="1">IFERROR(IF(AND(
  INDEX(Roadmap!$D:$K,MATCH($E22,Roadmap!$D:$D,0)+COUNTIF($E22:S22,"u")+COUNTIF($E22:S22,"t")+COUNTIF($E22:S22,"¶")+COUNTIF($E22:S22,"²")+COUNTIF($E22:S22,"µ")+COUNTIF($E22:S22,1),ColLivraison)=T$6,
  VLOOKUP($E22,INDIRECT("tri!"&amp; CHAR(64+ C0Col) &amp;":"&amp; CHAR(65+C0Col)),2,FALSE)&gt;COUNTIF($E22:S22,"u")+COUNTIF($E22:S22,"t")+COUNTIF($E22:S22,"¶")+COUNTIF($E22:S22,"²")+COUNTIF($E22:S22,"µ")+COUNTIF($E22:S22,1)),
HYPERLINK("#Roadmap!C"&amp; MATCH($E22,Roadmap!$D:$D,0)+COUNTIF($E22:S22,"u")+COUNTIF($E22:S22,"t"),
     INDEX(Roadmap!$D:$K,MATCH($E22,Roadmap!$D:$D,0)+COUNTIF($E22:S22,"u")+COUNTIF($E22:S22,"t")+COUNTIF($E22:S22,"¶")+COUNTIF($E22:S22,"²")+COUNTIF($E22:S22,"µ")+COUNTIF($E22:S22,1),ColTypeEcheance)),
  IF(LEN(S22)=1,
  IF(LEN(INDEX(Roadmap!$D:$K,MATCH($E22,Roadmap!$D:$D,0)-1+COUNTIF($E22:S22,"u")+COUNTIF($E22:S22,"t")+COUNTIF($E22:S22,"¶")+COUNTIF($E22:S22,"²")+COUNTIF($E22:S22,"µ")+COUNTIF($E22:S22,1),ColDescriptionCourte))&gt;1,
HYPERLINK("#Roadmap!C"&amp; MATCH($E22,Roadmap!$D:$D,0)+COUNTIF($E22:S22,"u")+COUNTIF($E22:S22,"t")+COUNTIF($E22:S22,"¶")+COUNTIF($E22:S22,"²")+COUNTIF($E22:S22,"µ")+COUNTIF($E22:S22,1)-1,INDEX(Roadmap!$D:$K,MATCH($E22,Roadmap!$D:$D,0)-1+COUNTIF($E22:S22,"u")+COUNTIF($E22:S22,"t")+COUNTIF($E22:S22,"¶")+COUNTIF($E22:S22,"²")+COUNTIF($E22:S22,"µ")+COUNTIF($E22:S22,1),ColDescriptionCourte)),""),
  "")),"")</f>
        <v/>
      </c>
      <c r="U22" s="40" t="str">
        <f ca="1">IFERROR(IF(AND(
  INDEX(Roadmap!$D:$K,MATCH($E22,Roadmap!$D:$D,0)+COUNTIF($E22:T22,"u")+COUNTIF($E22:T22,"t")+COUNTIF($E22:T22,"¶")+COUNTIF($E22:T22,"²")+COUNTIF($E22:T22,"µ")+COUNTIF($E22:T22,1),ColLivraison)=U$6,
  VLOOKUP($E22,INDIRECT("tri!"&amp; CHAR(64+ C0Col) &amp;":"&amp; CHAR(65+C0Col)),2,FALSE)&gt;COUNTIF($E22:T22,"u")+COUNTIF($E22:T22,"t")+COUNTIF($E22:T22,"¶")+COUNTIF($E22:T22,"²")+COUNTIF($E22:T22,"µ")+COUNTIF($E22:T22,1)),
HYPERLINK("#Roadmap!C"&amp; MATCH($E22,Roadmap!$D:$D,0)+COUNTIF($E22:T22,"u")+COUNTIF($E22:T22,"t"),
     INDEX(Roadmap!$D:$K,MATCH($E22,Roadmap!$D:$D,0)+COUNTIF($E22:T22,"u")+COUNTIF($E22:T22,"t")+COUNTIF($E22:T22,"¶")+COUNTIF($E22:T22,"²")+COUNTIF($E22:T22,"µ")+COUNTIF($E22:T22,1),ColTypeEcheance)),
  IF(LEN(T22)=1,
  IF(LEN(INDEX(Roadmap!$D:$K,MATCH($E22,Roadmap!$D:$D,0)-1+COUNTIF($E22:T22,"u")+COUNTIF($E22:T22,"t")+COUNTIF($E22:T22,"¶")+COUNTIF($E22:T22,"²")+COUNTIF($E22:T22,"µ")+COUNTIF($E22:T22,1),ColDescriptionCourte))&gt;1,
HYPERLINK("#Roadmap!C"&amp; MATCH($E22,Roadmap!$D:$D,0)+COUNTIF($E22:T22,"u")+COUNTIF($E22:T22,"t")+COUNTIF($E22:T22,"¶")+COUNTIF($E22:T22,"²")+COUNTIF($E22:T22,"µ")+COUNTIF($E22:T22,1)-1,INDEX(Roadmap!$D:$K,MATCH($E22,Roadmap!$D:$D,0)-1+COUNTIF($E22:T22,"u")+COUNTIF($E22:T22,"t")+COUNTIF($E22:T22,"¶")+COUNTIF($E22:T22,"²")+COUNTIF($E22:T22,"µ")+COUNTIF($E22:T22,1),ColDescriptionCourte)),""),
  "")),"")</f>
        <v/>
      </c>
      <c r="V22" s="40" t="str">
        <f ca="1">IFERROR(IF(AND(
  INDEX(Roadmap!$D:$K,MATCH($E22,Roadmap!$D:$D,0)+COUNTIF($E22:U22,"u")+COUNTIF($E22:U22,"t")+COUNTIF($E22:U22,"¶")+COUNTIF($E22:U22,"²")+COUNTIF($E22:U22,"µ")+COUNTIF($E22:U22,1),ColLivraison)=V$6,
  VLOOKUP($E22,INDIRECT("tri!"&amp; CHAR(64+ C0Col) &amp;":"&amp; CHAR(65+C0Col)),2,FALSE)&gt;COUNTIF($E22:U22,"u")+COUNTIF($E22:U22,"t")+COUNTIF($E22:U22,"¶")+COUNTIF($E22:U22,"²")+COUNTIF($E22:U22,"µ")+COUNTIF($E22:U22,1)),
HYPERLINK("#Roadmap!C"&amp; MATCH($E22,Roadmap!$D:$D,0)+COUNTIF($E22:U22,"u")+COUNTIF($E22:U22,"t"),
     INDEX(Roadmap!$D:$K,MATCH($E22,Roadmap!$D:$D,0)+COUNTIF($E22:U22,"u")+COUNTIF($E22:U22,"t")+COUNTIF($E22:U22,"¶")+COUNTIF($E22:U22,"²")+COUNTIF($E22:U22,"µ")+COUNTIF($E22:U22,1),ColTypeEcheance)),
  IF(LEN(U22)=1,
  IF(LEN(INDEX(Roadmap!$D:$K,MATCH($E22,Roadmap!$D:$D,0)-1+COUNTIF($E22:U22,"u")+COUNTIF($E22:U22,"t")+COUNTIF($E22:U22,"¶")+COUNTIF($E22:U22,"²")+COUNTIF($E22:U22,"µ")+COUNTIF($E22:U22,1),ColDescriptionCourte))&gt;1,
HYPERLINK("#Roadmap!C"&amp; MATCH($E22,Roadmap!$D:$D,0)+COUNTIF($E22:U22,"u")+COUNTIF($E22:U22,"t")+COUNTIF($E22:U22,"¶")+COUNTIF($E22:U22,"²")+COUNTIF($E22:U22,"µ")+COUNTIF($E22:U22,1)-1,INDEX(Roadmap!$D:$K,MATCH($E22,Roadmap!$D:$D,0)-1+COUNTIF($E22:U22,"u")+COUNTIF($E22:U22,"t")+COUNTIF($E22:U22,"¶")+COUNTIF($E22:U22,"²")+COUNTIF($E22:U22,"µ")+COUNTIF($E22:U22,1),ColDescriptionCourte)),""),
  "")),"")</f>
        <v/>
      </c>
      <c r="W22" s="40" t="str">
        <f ca="1">IFERROR(IF(AND(
  INDEX(Roadmap!$D:$K,MATCH($E22,Roadmap!$D:$D,0)+COUNTIF($E22:V22,"u")+COUNTIF($E22:V22,"t")+COUNTIF($E22:V22,"¶")+COUNTIF($E22:V22,"²")+COUNTIF($E22:V22,"µ")+COUNTIF($E22:V22,1),ColLivraison)=W$6,
  VLOOKUP($E22,INDIRECT("tri!"&amp; CHAR(64+ C0Col) &amp;":"&amp; CHAR(65+C0Col)),2,FALSE)&gt;COUNTIF($E22:V22,"u")+COUNTIF($E22:V22,"t")+COUNTIF($E22:V22,"¶")+COUNTIF($E22:V22,"²")+COUNTIF($E22:V22,"µ")+COUNTIF($E22:V22,1)),
HYPERLINK("#Roadmap!C"&amp; MATCH($E22,Roadmap!$D:$D,0)+COUNTIF($E22:V22,"u")+COUNTIF($E22:V22,"t"),
     INDEX(Roadmap!$D:$K,MATCH($E22,Roadmap!$D:$D,0)+COUNTIF($E22:V22,"u")+COUNTIF($E22:V22,"t")+COUNTIF($E22:V22,"¶")+COUNTIF($E22:V22,"²")+COUNTIF($E22:V22,"µ")+COUNTIF($E22:V22,1),ColTypeEcheance)),
  IF(LEN(V22)=1,
  IF(LEN(INDEX(Roadmap!$D:$K,MATCH($E22,Roadmap!$D:$D,0)-1+COUNTIF($E22:V22,"u")+COUNTIF($E22:V22,"t")+COUNTIF($E22:V22,"¶")+COUNTIF($E22:V22,"²")+COUNTIF($E22:V22,"µ")+COUNTIF($E22:V22,1),ColDescriptionCourte))&gt;1,
HYPERLINK("#Roadmap!C"&amp; MATCH($E22,Roadmap!$D:$D,0)+COUNTIF($E22:V22,"u")+COUNTIF($E22:V22,"t")+COUNTIF($E22:V22,"¶")+COUNTIF($E22:V22,"²")+COUNTIF($E22:V22,"µ")+COUNTIF($E22:V22,1)-1,INDEX(Roadmap!$D:$K,MATCH($E22,Roadmap!$D:$D,0)-1+COUNTIF($E22:V22,"u")+COUNTIF($E22:V22,"t")+COUNTIF($E22:V22,"¶")+COUNTIF($E22:V22,"²")+COUNTIF($E22:V22,"µ")+COUNTIF($E22:V22,1),ColDescriptionCourte)),""),
  "")),"")</f>
        <v/>
      </c>
      <c r="X22" s="40" t="str">
        <f ca="1">IFERROR(IF(AND(
  INDEX(Roadmap!$D:$K,MATCH($E22,Roadmap!$D:$D,0)+COUNTIF($E22:W22,"u")+COUNTIF($E22:W22,"t")+COUNTIF($E22:W22,"¶")+COUNTIF($E22:W22,"²")+COUNTIF($E22:W22,"µ")+COUNTIF($E22:W22,1),ColLivraison)=X$6,
  VLOOKUP($E22,INDIRECT("tri!"&amp; CHAR(64+ C0Col) &amp;":"&amp; CHAR(65+C0Col)),2,FALSE)&gt;COUNTIF($E22:W22,"u")+COUNTIF($E22:W22,"t")+COUNTIF($E22:W22,"¶")+COUNTIF($E22:W22,"²")+COUNTIF($E22:W22,"µ")+COUNTIF($E22:W22,1)),
HYPERLINK("#Roadmap!C"&amp; MATCH($E22,Roadmap!$D:$D,0)+COUNTIF($E22:W22,"u")+COUNTIF($E22:W22,"t"),
     INDEX(Roadmap!$D:$K,MATCH($E22,Roadmap!$D:$D,0)+COUNTIF($E22:W22,"u")+COUNTIF($E22:W22,"t")+COUNTIF($E22:W22,"¶")+COUNTIF($E22:W22,"²")+COUNTIF($E22:W22,"µ")+COUNTIF($E22:W22,1),ColTypeEcheance)),
  IF(LEN(W22)=1,
  IF(LEN(INDEX(Roadmap!$D:$K,MATCH($E22,Roadmap!$D:$D,0)-1+COUNTIF($E22:W22,"u")+COUNTIF($E22:W22,"t")+COUNTIF($E22:W22,"¶")+COUNTIF($E22:W22,"²")+COUNTIF($E22:W22,"µ")+COUNTIF($E22:W22,1),ColDescriptionCourte))&gt;1,
HYPERLINK("#Roadmap!C"&amp; MATCH($E22,Roadmap!$D:$D,0)+COUNTIF($E22:W22,"u")+COUNTIF($E22:W22,"t")+COUNTIF($E22:W22,"¶")+COUNTIF($E22:W22,"²")+COUNTIF($E22:W22,"µ")+COUNTIF($E22:W22,1)-1,INDEX(Roadmap!$D:$K,MATCH($E22,Roadmap!$D:$D,0)-1+COUNTIF($E22:W22,"u")+COUNTIF($E22:W22,"t")+COUNTIF($E22:W22,"¶")+COUNTIF($E22:W22,"²")+COUNTIF($E22:W22,"µ")+COUNTIF($E22:W22,1),ColDescriptionCourte)),""),
  "")),"")</f>
        <v/>
      </c>
      <c r="Y22" s="40" t="str">
        <f ca="1">IFERROR(IF(AND(
  INDEX(Roadmap!$D:$K,MATCH($E22,Roadmap!$D:$D,0)+COUNTIF($E22:X22,"u")+COUNTIF($E22:X22,"t")+COUNTIF($E22:X22,"¶")+COUNTIF($E22:X22,"²")+COUNTIF($E22:X22,"µ")+COUNTIF($E22:X22,1),ColLivraison)=Y$6,
  VLOOKUP($E22,INDIRECT("tri!"&amp; CHAR(64+ C0Col) &amp;":"&amp; CHAR(65+C0Col)),2,FALSE)&gt;COUNTIF($E22:X22,"u")+COUNTIF($E22:X22,"t")+COUNTIF($E22:X22,"¶")+COUNTIF($E22:X22,"²")+COUNTIF($E22:X22,"µ")+COUNTIF($E22:X22,1)),
HYPERLINK("#Roadmap!C"&amp; MATCH($E22,Roadmap!$D:$D,0)+COUNTIF($E22:X22,"u")+COUNTIF($E22:X22,"t"),
     INDEX(Roadmap!$D:$K,MATCH($E22,Roadmap!$D:$D,0)+COUNTIF($E22:X22,"u")+COUNTIF($E22:X22,"t")+COUNTIF($E22:X22,"¶")+COUNTIF($E22:X22,"²")+COUNTIF($E22:X22,"µ")+COUNTIF($E22:X22,1),ColTypeEcheance)),
  IF(LEN(X22)=1,
  IF(LEN(INDEX(Roadmap!$D:$K,MATCH($E22,Roadmap!$D:$D,0)-1+COUNTIF($E22:X22,"u")+COUNTIF($E22:X22,"t")+COUNTIF($E22:X22,"¶")+COUNTIF($E22:X22,"²")+COUNTIF($E22:X22,"µ")+COUNTIF($E22:X22,1),ColDescriptionCourte))&gt;1,
HYPERLINK("#Roadmap!C"&amp; MATCH($E22,Roadmap!$D:$D,0)+COUNTIF($E22:X22,"u")+COUNTIF($E22:X22,"t")+COUNTIF($E22:X22,"¶")+COUNTIF($E22:X22,"²")+COUNTIF($E22:X22,"µ")+COUNTIF($E22:X22,1)-1,INDEX(Roadmap!$D:$K,MATCH($E22,Roadmap!$D:$D,0)-1+COUNTIF($E22:X22,"u")+COUNTIF($E22:X22,"t")+COUNTIF($E22:X22,"¶")+COUNTIF($E22:X22,"²")+COUNTIF($E22:X22,"µ")+COUNTIF($E22:X22,1),ColDescriptionCourte)),""),
  "")),"")</f>
        <v/>
      </c>
      <c r="Z22" s="40" t="str">
        <f ca="1">IFERROR(IF(AND(
  INDEX(Roadmap!$D:$K,MATCH($E22,Roadmap!$D:$D,0)+COUNTIF($E22:Y22,"u")+COUNTIF($E22:Y22,"t")+COUNTIF($E22:Y22,"¶")+COUNTIF($E22:Y22,"²")+COUNTIF($E22:Y22,"µ")+COUNTIF($E22:Y22,1),ColLivraison)=Z$6,
  VLOOKUP($E22,INDIRECT("tri!"&amp; CHAR(64+ C0Col) &amp;":"&amp; CHAR(65+C0Col)),2,FALSE)&gt;COUNTIF($E22:Y22,"u")+COUNTIF($E22:Y22,"t")+COUNTIF($E22:Y22,"¶")+COUNTIF($E22:Y22,"²")+COUNTIF($E22:Y22,"µ")+COUNTIF($E22:Y22,1)),
HYPERLINK("#Roadmap!C"&amp; MATCH($E22,Roadmap!$D:$D,0)+COUNTIF($E22:Y22,"u")+COUNTIF($E22:Y22,"t"),
     INDEX(Roadmap!$D:$K,MATCH($E22,Roadmap!$D:$D,0)+COUNTIF($E22:Y22,"u")+COUNTIF($E22:Y22,"t")+COUNTIF($E22:Y22,"¶")+COUNTIF($E22:Y22,"²")+COUNTIF($E22:Y22,"µ")+COUNTIF($E22:Y22,1),ColTypeEcheance)),
  IF(LEN(Y22)=1,
  IF(LEN(INDEX(Roadmap!$D:$K,MATCH($E22,Roadmap!$D:$D,0)-1+COUNTIF($E22:Y22,"u")+COUNTIF($E22:Y22,"t")+COUNTIF($E22:Y22,"¶")+COUNTIF($E22:Y22,"²")+COUNTIF($E22:Y22,"µ")+COUNTIF($E22:Y22,1),ColDescriptionCourte))&gt;1,
HYPERLINK("#Roadmap!C"&amp; MATCH($E22,Roadmap!$D:$D,0)+COUNTIF($E22:Y22,"u")+COUNTIF($E22:Y22,"t")+COUNTIF($E22:Y22,"¶")+COUNTIF($E22:Y22,"²")+COUNTIF($E22:Y22,"µ")+COUNTIF($E22:Y22,1)-1,INDEX(Roadmap!$D:$K,MATCH($E22,Roadmap!$D:$D,0)-1+COUNTIF($E22:Y22,"u")+COUNTIF($E22:Y22,"t")+COUNTIF($E22:Y22,"¶")+COUNTIF($E22:Y22,"²")+COUNTIF($E22:Y22,"µ")+COUNTIF($E22:Y22,1),ColDescriptionCourte)),""),
  "")),"")</f>
        <v/>
      </c>
      <c r="AA22" s="40" t="str">
        <f ca="1">IFERROR(IF(AND(
  INDEX(Roadmap!$D:$K,MATCH($E22,Roadmap!$D:$D,0)+COUNTIF($E22:Z22,"u")+COUNTIF($E22:Z22,"t")+COUNTIF($E22:Z22,"¶")+COUNTIF($E22:Z22,"²")+COUNTIF($E22:Z22,"µ")+COUNTIF($E22:Z22,1),ColLivraison)=AA$6,
  VLOOKUP($E22,INDIRECT("tri!"&amp; CHAR(64+ C0Col) &amp;":"&amp; CHAR(65+C0Col)),2,FALSE)&gt;COUNTIF($E22:Z22,"u")+COUNTIF($E22:Z22,"t")+COUNTIF($E22:Z22,"¶")+COUNTIF($E22:Z22,"²")+COUNTIF($E22:Z22,"µ")+COUNTIF($E22:Z22,1)),
HYPERLINK("#Roadmap!C"&amp; MATCH($E22,Roadmap!$D:$D,0)+COUNTIF($E22:Z22,"u")+COUNTIF($E22:Z22,"t"),
     INDEX(Roadmap!$D:$K,MATCH($E22,Roadmap!$D:$D,0)+COUNTIF($E22:Z22,"u")+COUNTIF($E22:Z22,"t")+COUNTIF($E22:Z22,"¶")+COUNTIF($E22:Z22,"²")+COUNTIF($E22:Z22,"µ")+COUNTIF($E22:Z22,1),ColTypeEcheance)),
  IF(LEN(Z22)=1,
  IF(LEN(INDEX(Roadmap!$D:$K,MATCH($E22,Roadmap!$D:$D,0)-1+COUNTIF($E22:Z22,"u")+COUNTIF($E22:Z22,"t")+COUNTIF($E22:Z22,"¶")+COUNTIF($E22:Z22,"²")+COUNTIF($E22:Z22,"µ")+COUNTIF($E22:Z22,1),ColDescriptionCourte))&gt;1,
HYPERLINK("#Roadmap!C"&amp; MATCH($E22,Roadmap!$D:$D,0)+COUNTIF($E22:Z22,"u")+COUNTIF($E22:Z22,"t")+COUNTIF($E22:Z22,"¶")+COUNTIF($E22:Z22,"²")+COUNTIF($E22:Z22,"µ")+COUNTIF($E22:Z22,1)-1,INDEX(Roadmap!$D:$K,MATCH($E22,Roadmap!$D:$D,0)-1+COUNTIF($E22:Z22,"u")+COUNTIF($E22:Z22,"t")+COUNTIF($E22:Z22,"¶")+COUNTIF($E22:Z22,"²")+COUNTIF($E22:Z22,"µ")+COUNTIF($E22:Z22,1),ColDescriptionCourte)),""),
  "")),"")</f>
        <v/>
      </c>
      <c r="AB22" s="40" t="str">
        <f ca="1">IFERROR(IF(AND(
  INDEX(Roadmap!$D:$K,MATCH($E22,Roadmap!$D:$D,0)+COUNTIF($E22:AA22,"u")+COUNTIF($E22:AA22,"t")+COUNTIF($E22:AA22,"¶")+COUNTIF($E22:AA22,"²")+COUNTIF($E22:AA22,"µ")+COUNTIF($E22:AA22,1),ColLivraison)=AB$6,
  VLOOKUP($E22,INDIRECT("tri!"&amp; CHAR(64+ C0Col) &amp;":"&amp; CHAR(65+C0Col)),2,FALSE)&gt;COUNTIF($E22:AA22,"u")+COUNTIF($E22:AA22,"t")+COUNTIF($E22:AA22,"¶")+COUNTIF($E22:AA22,"²")+COUNTIF($E22:AA22,"µ")+COUNTIF($E22:AA22,1)),
HYPERLINK("#Roadmap!C"&amp; MATCH($E22,Roadmap!$D:$D,0)+COUNTIF($E22:AA22,"u")+COUNTIF($E22:AA22,"t"),
     INDEX(Roadmap!$D:$K,MATCH($E22,Roadmap!$D:$D,0)+COUNTIF($E22:AA22,"u")+COUNTIF($E22:AA22,"t")+COUNTIF($E22:AA22,"¶")+COUNTIF($E22:AA22,"²")+COUNTIF($E22:AA22,"µ")+COUNTIF($E22:AA22,1),ColTypeEcheance)),
  IF(LEN(AA22)=1,
  IF(LEN(INDEX(Roadmap!$D:$K,MATCH($E22,Roadmap!$D:$D,0)-1+COUNTIF($E22:AA22,"u")+COUNTIF($E22:AA22,"t")+COUNTIF($E22:AA22,"¶")+COUNTIF($E22:AA22,"²")+COUNTIF($E22:AA22,"µ")+COUNTIF($E22:AA22,1),ColDescriptionCourte))&gt;1,
HYPERLINK("#Roadmap!C"&amp; MATCH($E22,Roadmap!$D:$D,0)+COUNTIF($E22:AA22,"u")+COUNTIF($E22:AA22,"t")+COUNTIF($E22:AA22,"¶")+COUNTIF($E22:AA22,"²")+COUNTIF($E22:AA22,"µ")+COUNTIF($E22:AA22,1)-1,INDEX(Roadmap!$D:$K,MATCH($E22,Roadmap!$D:$D,0)-1+COUNTIF($E22:AA22,"u")+COUNTIF($E22:AA22,"t")+COUNTIF($E22:AA22,"¶")+COUNTIF($E22:AA22,"²")+COUNTIF($E22:AA22,"µ")+COUNTIF($E22:AA22,1),ColDescriptionCourte)),""),
  "")),"")</f>
        <v/>
      </c>
      <c r="AC22" s="40" t="str">
        <f ca="1">IFERROR(IF(AND(
  INDEX(Roadmap!$D:$K,MATCH($E22,Roadmap!$D:$D,0)+COUNTIF($E22:AB22,"u")+COUNTIF($E22:AB22,"t")+COUNTIF($E22:AB22,"¶")+COUNTIF($E22:AB22,"²")+COUNTIF($E22:AB22,"µ")+COUNTIF($E22:AB22,1),ColLivraison)=AC$6,
  VLOOKUP($E22,INDIRECT("tri!"&amp; CHAR(64+ C0Col) &amp;":"&amp; CHAR(65+C0Col)),2,FALSE)&gt;COUNTIF($E22:AB22,"u")+COUNTIF($E22:AB22,"t")+COUNTIF($E22:AB22,"¶")+COUNTIF($E22:AB22,"²")+COUNTIF($E22:AB22,"µ")+COUNTIF($E22:AB22,1)),
HYPERLINK("#Roadmap!C"&amp; MATCH($E22,Roadmap!$D:$D,0)+COUNTIF($E22:AB22,"u")+COUNTIF($E22:AB22,"t"),
     INDEX(Roadmap!$D:$K,MATCH($E22,Roadmap!$D:$D,0)+COUNTIF($E22:AB22,"u")+COUNTIF($E22:AB22,"t")+COUNTIF($E22:AB22,"¶")+COUNTIF($E22:AB22,"²")+COUNTIF($E22:AB22,"µ")+COUNTIF($E22:AB22,1),ColTypeEcheance)),
  IF(LEN(AB22)=1,
  IF(LEN(INDEX(Roadmap!$D:$K,MATCH($E22,Roadmap!$D:$D,0)-1+COUNTIF($E22:AB22,"u")+COUNTIF($E22:AB22,"t")+COUNTIF($E22:AB22,"¶")+COUNTIF($E22:AB22,"²")+COUNTIF($E22:AB22,"µ")+COUNTIF($E22:AB22,1),ColDescriptionCourte))&gt;1,
HYPERLINK("#Roadmap!C"&amp; MATCH($E22,Roadmap!$D:$D,0)+COUNTIF($E22:AB22,"u")+COUNTIF($E22:AB22,"t")+COUNTIF($E22:AB22,"¶")+COUNTIF($E22:AB22,"²")+COUNTIF($E22:AB22,"µ")+COUNTIF($E22:AB22,1)-1,INDEX(Roadmap!$D:$K,MATCH($E22,Roadmap!$D:$D,0)-1+COUNTIF($E22:AB22,"u")+COUNTIF($E22:AB22,"t")+COUNTIF($E22:AB22,"¶")+COUNTIF($E22:AB22,"²")+COUNTIF($E22:AB22,"µ")+COUNTIF($E22:AB22,1),ColDescriptionCourte)),""),
  "")),"")</f>
        <v/>
      </c>
      <c r="AD22" s="40" t="str">
        <f ca="1">IFERROR(IF(AND(
  INDEX(Roadmap!$D:$K,MATCH($E22,Roadmap!$D:$D,0)+COUNTIF($E22:AC22,"u")+COUNTIF($E22:AC22,"t")+COUNTIF($E22:AC22,"¶")+COUNTIF($E22:AC22,"²")+COUNTIF($E22:AC22,"µ")+COUNTIF($E22:AC22,1),ColLivraison)=AD$6,
  VLOOKUP($E22,INDIRECT("tri!"&amp; CHAR(64+ C0Col) &amp;":"&amp; CHAR(65+C0Col)),2,FALSE)&gt;COUNTIF($E22:AC22,"u")+COUNTIF($E22:AC22,"t")+COUNTIF($E22:AC22,"¶")+COUNTIF($E22:AC22,"²")+COUNTIF($E22:AC22,"µ")+COUNTIF($E22:AC22,1)),
HYPERLINK("#Roadmap!C"&amp; MATCH($E22,Roadmap!$D:$D,0)+COUNTIF($E22:AC22,"u")+COUNTIF($E22:AC22,"t"),
     INDEX(Roadmap!$D:$K,MATCH($E22,Roadmap!$D:$D,0)+COUNTIF($E22:AC22,"u")+COUNTIF($E22:AC22,"t")+COUNTIF($E22:AC22,"¶")+COUNTIF($E22:AC22,"²")+COUNTIF($E22:AC22,"µ")+COUNTIF($E22:AC22,1),ColTypeEcheance)),
  IF(LEN(AC22)=1,
  IF(LEN(INDEX(Roadmap!$D:$K,MATCH($E22,Roadmap!$D:$D,0)-1+COUNTIF($E22:AC22,"u")+COUNTIF($E22:AC22,"t")+COUNTIF($E22:AC22,"¶")+COUNTIF($E22:AC22,"²")+COUNTIF($E22:AC22,"µ")+COUNTIF($E22:AC22,1),ColDescriptionCourte))&gt;1,
HYPERLINK("#Roadmap!C"&amp; MATCH($E22,Roadmap!$D:$D,0)+COUNTIF($E22:AC22,"u")+COUNTIF($E22:AC22,"t")+COUNTIF($E22:AC22,"¶")+COUNTIF($E22:AC22,"²")+COUNTIF($E22:AC22,"µ")+COUNTIF($E22:AC22,1)-1,INDEX(Roadmap!$D:$K,MATCH($E22,Roadmap!$D:$D,0)-1+COUNTIF($E22:AC22,"u")+COUNTIF($E22:AC22,"t")+COUNTIF($E22:AC22,"¶")+COUNTIF($E22:AC22,"²")+COUNTIF($E22:AC22,"µ")+COUNTIF($E22:AC22,1),ColDescriptionCourte)),""),
  "")),"")</f>
        <v/>
      </c>
      <c r="AE22" s="40" t="str">
        <f ca="1">IFERROR(IF(AND(
  INDEX(Roadmap!$D:$K,MATCH($E22,Roadmap!$D:$D,0)+COUNTIF($E22:AD22,"u")+COUNTIF($E22:AD22,"t")+COUNTIF($E22:AD22,"¶")+COUNTIF($E22:AD22,"²")+COUNTIF($E22:AD22,"µ")+COUNTIF($E22:AD22,1),ColLivraison)=AE$6,
  VLOOKUP($E22,INDIRECT("tri!"&amp; CHAR(64+ C0Col) &amp;":"&amp; CHAR(65+C0Col)),2,FALSE)&gt;COUNTIF($E22:AD22,"u")+COUNTIF($E22:AD22,"t")+COUNTIF($E22:AD22,"¶")+COUNTIF($E22:AD22,"²")+COUNTIF($E22:AD22,"µ")+COUNTIF($E22:AD22,1)),
HYPERLINK("#Roadmap!C"&amp; MATCH($E22,Roadmap!$D:$D,0)+COUNTIF($E22:AD22,"u")+COUNTIF($E22:AD22,"t"),
     INDEX(Roadmap!$D:$K,MATCH($E22,Roadmap!$D:$D,0)+COUNTIF($E22:AD22,"u")+COUNTIF($E22:AD22,"t")+COUNTIF($E22:AD22,"¶")+COUNTIF($E22:AD22,"²")+COUNTIF($E22:AD22,"µ")+COUNTIF($E22:AD22,1),ColTypeEcheance)),
  IF(LEN(AD22)=1,
  IF(LEN(INDEX(Roadmap!$D:$K,MATCH($E22,Roadmap!$D:$D,0)-1+COUNTIF($E22:AD22,"u")+COUNTIF($E22:AD22,"t")+COUNTIF($E22:AD22,"¶")+COUNTIF($E22:AD22,"²")+COUNTIF($E22:AD22,"µ")+COUNTIF($E22:AD22,1),ColDescriptionCourte))&gt;1,
HYPERLINK("#Roadmap!C"&amp; MATCH($E22,Roadmap!$D:$D,0)+COUNTIF($E22:AD22,"u")+COUNTIF($E22:AD22,"t")+COUNTIF($E22:AD22,"¶")+COUNTIF($E22:AD22,"²")+COUNTIF($E22:AD22,"µ")+COUNTIF($E22:AD22,1)-1,INDEX(Roadmap!$D:$K,MATCH($E22,Roadmap!$D:$D,0)-1+COUNTIF($E22:AD22,"u")+COUNTIF($E22:AD22,"t")+COUNTIF($E22:AD22,"¶")+COUNTIF($E22:AD22,"²")+COUNTIF($E22:AD22,"µ")+COUNTIF($E22:AD22,1),ColDescriptionCourte)),""),
  "")),"")</f>
        <v/>
      </c>
      <c r="AF22" s="40" t="str">
        <f ca="1">IFERROR(IF(AND(
  INDEX(Roadmap!$D:$K,MATCH($E22,Roadmap!$D:$D,0)+COUNTIF($E22:AE22,"u")+COUNTIF($E22:AE22,"t")+COUNTIF($E22:AE22,"¶")+COUNTIF($E22:AE22,"²")+COUNTIF($E22:AE22,"µ")+COUNTIF($E22:AE22,1),ColLivraison)=AF$6,
  VLOOKUP($E22,INDIRECT("tri!"&amp; CHAR(64+ C0Col) &amp;":"&amp; CHAR(65+C0Col)),2,FALSE)&gt;COUNTIF($E22:AE22,"u")+COUNTIF($E22:AE22,"t")+COUNTIF($E22:AE22,"¶")+COUNTIF($E22:AE22,"²")+COUNTIF($E22:AE22,"µ")+COUNTIF($E22:AE22,1)),
HYPERLINK("#Roadmap!C"&amp; MATCH($E22,Roadmap!$D:$D,0)+COUNTIF($E22:AE22,"u")+COUNTIF($E22:AE22,"t"),
     INDEX(Roadmap!$D:$K,MATCH($E22,Roadmap!$D:$D,0)+COUNTIF($E22:AE22,"u")+COUNTIF($E22:AE22,"t")+COUNTIF($E22:AE22,"¶")+COUNTIF($E22:AE22,"²")+COUNTIF($E22:AE22,"µ")+COUNTIF($E22:AE22,1),ColTypeEcheance)),
  IF(LEN(AE22)=1,
  IF(LEN(INDEX(Roadmap!$D:$K,MATCH($E22,Roadmap!$D:$D,0)-1+COUNTIF($E22:AE22,"u")+COUNTIF($E22:AE22,"t")+COUNTIF($E22:AE22,"¶")+COUNTIF($E22:AE22,"²")+COUNTIF($E22:AE22,"µ")+COUNTIF($E22:AE22,1),ColDescriptionCourte))&gt;1,
HYPERLINK("#Roadmap!C"&amp; MATCH($E22,Roadmap!$D:$D,0)+COUNTIF($E22:AE22,"u")+COUNTIF($E22:AE22,"t")+COUNTIF($E22:AE22,"¶")+COUNTIF($E22:AE22,"²")+COUNTIF($E22:AE22,"µ")+COUNTIF($E22:AE22,1)-1,INDEX(Roadmap!$D:$K,MATCH($E22,Roadmap!$D:$D,0)-1+COUNTIF($E22:AE22,"u")+COUNTIF($E22:AE22,"t")+COUNTIF($E22:AE22,"¶")+COUNTIF($E22:AE22,"²")+COUNTIF($E22:AE22,"µ")+COUNTIF($E22:AE22,1),ColDescriptionCourte)),""),
  "")),"")</f>
        <v/>
      </c>
      <c r="AG22" s="40" t="str">
        <f ca="1">IFERROR(IF(AND(
  INDEX(Roadmap!$D:$K,MATCH($E22,Roadmap!$D:$D,0)+COUNTIF($E22:AF22,"u")+COUNTIF($E22:AF22,"t")+COUNTIF($E22:AF22,"¶")+COUNTIF($E22:AF22,"²")+COUNTIF($E22:AF22,"µ")+COUNTIF($E22:AF22,1),ColLivraison)=AG$6,
  VLOOKUP($E22,INDIRECT("tri!"&amp; CHAR(64+ C0Col) &amp;":"&amp; CHAR(65+C0Col)),2,FALSE)&gt;COUNTIF($E22:AF22,"u")+COUNTIF($E22:AF22,"t")+COUNTIF($E22:AF22,"¶")+COUNTIF($E22:AF22,"²")+COUNTIF($E22:AF22,"µ")+COUNTIF($E22:AF22,1)),
HYPERLINK("#Roadmap!C"&amp; MATCH($E22,Roadmap!$D:$D,0)+COUNTIF($E22:AF22,"u")+COUNTIF($E22:AF22,"t"),
     INDEX(Roadmap!$D:$K,MATCH($E22,Roadmap!$D:$D,0)+COUNTIF($E22:AF22,"u")+COUNTIF($E22:AF22,"t")+COUNTIF($E22:AF22,"¶")+COUNTIF($E22:AF22,"²")+COUNTIF($E22:AF22,"µ")+COUNTIF($E22:AF22,1),ColTypeEcheance)),
  IF(LEN(AF22)=1,
  IF(LEN(INDEX(Roadmap!$D:$K,MATCH($E22,Roadmap!$D:$D,0)-1+COUNTIF($E22:AF22,"u")+COUNTIF($E22:AF22,"t")+COUNTIF($E22:AF22,"¶")+COUNTIF($E22:AF22,"²")+COUNTIF($E22:AF22,"µ")+COUNTIF($E22:AF22,1),ColDescriptionCourte))&gt;1,
HYPERLINK("#Roadmap!C"&amp; MATCH($E22,Roadmap!$D:$D,0)+COUNTIF($E22:AF22,"u")+COUNTIF($E22:AF22,"t")+COUNTIF($E22:AF22,"¶")+COUNTIF($E22:AF22,"²")+COUNTIF($E22:AF22,"µ")+COUNTIF($E22:AF22,1)-1,INDEX(Roadmap!$D:$K,MATCH($E22,Roadmap!$D:$D,0)-1+COUNTIF($E22:AF22,"u")+COUNTIF($E22:AF22,"t")+COUNTIF($E22:AF22,"¶")+COUNTIF($E22:AF22,"²")+COUNTIF($E22:AF22,"µ")+COUNTIF($E22:AF22,1),ColDescriptionCourte)),""),
  "")),"")</f>
        <v/>
      </c>
    </row>
    <row r="23" spans="3:33" ht="14.25" customHeight="1">
      <c r="C23" s="1" t="str">
        <f t="shared" ca="1" si="42"/>
        <v/>
      </c>
      <c r="D23" s="1" t="str">
        <f t="shared" ca="1" si="43"/>
        <v/>
      </c>
      <c r="E23" s="35" t="str">
        <f t="shared" ca="1" si="33"/>
        <v/>
      </c>
      <c r="F23" s="39" t="str">
        <f ca="1">IFERROR(IF(AND(
  INDEX(Roadmap!$D:$K,MATCH($E23,Roadmap!$D:$D,0)+COUNTIF($E23:E23,"u")+COUNTIF($E23:E23,"t")+COUNTIF($E23:E23,"¶")+COUNTIF($E23:E23,"²")+COUNTIF($E23:E23,"µ")+COUNTIF($E23:E23,1),ColLivraison)=F$6,
  VLOOKUP($E23,INDIRECT("tri!"&amp; CHAR(64+ C0Col) &amp;":"&amp; CHAR(65+C0Col)),2,FALSE)&gt;COUNTIF($E23:E23,"u")+COUNTIF($E23:E23,"t")+COUNTIF($E23:E23,"¶")+COUNTIF($E23:E23,"²")+COUNTIF($E23:E23,"µ")+COUNTIF($E23:E23,1)),
HYPERLINK("#Roadmap!C"&amp; MATCH($E23,Roadmap!$D:$D,0)+COUNTIF($E23:E23,"u")+COUNTIF($E23:E23,"t"),
     INDEX(Roadmap!$D:$K,MATCH($E23,Roadmap!$D:$D,0)+COUNTIF($E23:E23,"u")+COUNTIF($E23:E23,"t")+COUNTIF($E23:E23,"¶")+COUNTIF($E23:E23,"²")+COUNTIF($E23:E23,"µ")+COUNTIF($E23:E23,1),ColTypeEcheance)),
  IF(LEN(E23)=1,
  IF(LEN(INDEX(Roadmap!$D:$K,MATCH($E23,Roadmap!$D:$D,0)-1+COUNTIF($E23:E23,"u")+COUNTIF($E23:E23,"t")+COUNTIF($E23:E23,"¶")+COUNTIF($E23:E23,"²")+COUNTIF($E23:E23,"µ")+COUNTIF($E23:E23,1),ColDescriptionCourte))&gt;1,
HYPERLINK("#Roadmap!C"&amp; MATCH($E23,Roadmap!$D:$D,0)+COUNTIF($E23:E23,"u")+COUNTIF($E23:E23,"t")+COUNTIF($E23:E23,"¶")+COUNTIF($E23:E23,"²")+COUNTIF($E23:E23,"µ")+COUNTIF($E23:E23,1)-1,INDEX(Roadmap!$D:$K,MATCH($E23,Roadmap!$D:$D,0)-1+COUNTIF($E23:E23,"u")+COUNTIF($E23:E23,"t")+COUNTIF($E23:E23,"¶")+COUNTIF($E23:E23,"²")+COUNTIF($E23:E23,"µ")+COUNTIF($E23:E23,1),ColDescriptionCourte)),""),
  "")),"")</f>
        <v/>
      </c>
      <c r="G23" s="40" t="str">
        <f ca="1">IFERROR(IF(AND(
  INDEX(Roadmap!$D:$K,MATCH($E23,Roadmap!$D:$D,0)+COUNTIF($E23:F23,"u")+COUNTIF($E23:F23,"t")+COUNTIF($E23:F23,"¶")+COUNTIF($E23:F23,"²")+COUNTIF($E23:F23,"µ")+COUNTIF($E23:F23,1),ColLivraison)=G$6,
  VLOOKUP($E23,INDIRECT("tri!"&amp; CHAR(64+ C0Col) &amp;":"&amp; CHAR(65+C0Col)),2,FALSE)&gt;COUNTIF($E23:F23,"u")+COUNTIF($E23:F23,"t")+COUNTIF($E23:F23,"¶")+COUNTIF($E23:F23,"²")+COUNTIF($E23:F23,"µ")+COUNTIF($E23:F23,1)),
HYPERLINK("#Roadmap!C"&amp; MATCH($E23,Roadmap!$D:$D,0)+COUNTIF($E23:F23,"u")+COUNTIF($E23:F23,"t"),
     INDEX(Roadmap!$D:$K,MATCH($E23,Roadmap!$D:$D,0)+COUNTIF($E23:F23,"u")+COUNTIF($E23:F23,"t")+COUNTIF($E23:F23,"¶")+COUNTIF($E23:F23,"²")+COUNTIF($E23:F23,"µ")+COUNTIF($E23:F23,1),ColTypeEcheance)),
  IF(LEN(F23)=1,
  IF(LEN(INDEX(Roadmap!$D:$K,MATCH($E23,Roadmap!$D:$D,0)-1+COUNTIF($E23:F23,"u")+COUNTIF($E23:F23,"t")+COUNTIF($E23:F23,"¶")+COUNTIF($E23:F23,"²")+COUNTIF($E23:F23,"µ")+COUNTIF($E23:F23,1),ColDescriptionCourte))&gt;1,
HYPERLINK("#Roadmap!C"&amp; MATCH($E23,Roadmap!$D:$D,0)+COUNTIF($E23:F23,"u")+COUNTIF($E23:F23,"t")+COUNTIF($E23:F23,"¶")+COUNTIF($E23:F23,"²")+COUNTIF($E23:F23,"µ")+COUNTIF($E23:F23,1)-1,INDEX(Roadmap!$D:$K,MATCH($E23,Roadmap!$D:$D,0)-1+COUNTIF($E23:F23,"u")+COUNTIF($E23:F23,"t")+COUNTIF($E23:F23,"¶")+COUNTIF($E23:F23,"²")+COUNTIF($E23:F23,"µ")+COUNTIF($E23:F23,1),ColDescriptionCourte)),""),
  "")),"")</f>
        <v/>
      </c>
      <c r="H23" s="40" t="str">
        <f ca="1">IFERROR(IF(AND(
  INDEX(Roadmap!$D:$K,MATCH($E23,Roadmap!$D:$D,0)+COUNTIF($E23:G23,"u")+COUNTIF($E23:G23,"t")+COUNTIF($E23:G23,"¶")+COUNTIF($E23:G23,"²")+COUNTIF($E23:G23,"µ")+COUNTIF($E23:G23,1),ColLivraison)=H$6,
  VLOOKUP($E23,INDIRECT("tri!"&amp; CHAR(64+ C0Col) &amp;":"&amp; CHAR(65+C0Col)),2,FALSE)&gt;COUNTIF($E23:G23,"u")+COUNTIF($E23:G23,"t")+COUNTIF($E23:G23,"¶")+COUNTIF($E23:G23,"²")+COUNTIF($E23:G23,"µ")+COUNTIF($E23:G23,1)),
HYPERLINK("#Roadmap!C"&amp; MATCH($E23,Roadmap!$D:$D,0)+COUNTIF($E23:G23,"u")+COUNTIF($E23:G23,"t"),
     INDEX(Roadmap!$D:$K,MATCH($E23,Roadmap!$D:$D,0)+COUNTIF($E23:G23,"u")+COUNTIF($E23:G23,"t")+COUNTIF($E23:G23,"¶")+COUNTIF($E23:G23,"²")+COUNTIF($E23:G23,"µ")+COUNTIF($E23:G23,1),ColTypeEcheance)),
  IF(LEN(G23)=1,
  IF(LEN(INDEX(Roadmap!$D:$K,MATCH($E23,Roadmap!$D:$D,0)-1+COUNTIF($E23:G23,"u")+COUNTIF($E23:G23,"t")+COUNTIF($E23:G23,"¶")+COUNTIF($E23:G23,"²")+COUNTIF($E23:G23,"µ")+COUNTIF($E23:G23,1),ColDescriptionCourte))&gt;1,
HYPERLINK("#Roadmap!C"&amp; MATCH($E23,Roadmap!$D:$D,0)+COUNTIF($E23:G23,"u")+COUNTIF($E23:G23,"t")+COUNTIF($E23:G23,"¶")+COUNTIF($E23:G23,"²")+COUNTIF($E23:G23,"µ")+COUNTIF($E23:G23,1)-1,INDEX(Roadmap!$D:$K,MATCH($E23,Roadmap!$D:$D,0)-1+COUNTIF($E23:G23,"u")+COUNTIF($E23:G23,"t")+COUNTIF($E23:G23,"¶")+COUNTIF($E23:G23,"²")+COUNTIF($E23:G23,"µ")+COUNTIF($E23:G23,1),ColDescriptionCourte)),""),
  "")),"")</f>
        <v/>
      </c>
      <c r="I23" s="40" t="str">
        <f ca="1">IFERROR(IF(AND(
  INDEX(Roadmap!$D:$K,MATCH($E23,Roadmap!$D:$D,0)+COUNTIF($E23:H23,"u")+COUNTIF($E23:H23,"t")+COUNTIF($E23:H23,"¶")+COUNTIF($E23:H23,"²")+COUNTIF($E23:H23,"µ")+COUNTIF($E23:H23,1),ColLivraison)=I$6,
  VLOOKUP($E23,INDIRECT("tri!"&amp; CHAR(64+ C0Col) &amp;":"&amp; CHAR(65+C0Col)),2,FALSE)&gt;COUNTIF($E23:H23,"u")+COUNTIF($E23:H23,"t")+COUNTIF($E23:H23,"¶")+COUNTIF($E23:H23,"²")+COUNTIF($E23:H23,"µ")+COUNTIF($E23:H23,1)),
HYPERLINK("#Roadmap!C"&amp; MATCH($E23,Roadmap!$D:$D,0)+COUNTIF($E23:H23,"u")+COUNTIF($E23:H23,"t"),
     INDEX(Roadmap!$D:$K,MATCH($E23,Roadmap!$D:$D,0)+COUNTIF($E23:H23,"u")+COUNTIF($E23:H23,"t")+COUNTIF($E23:H23,"¶")+COUNTIF($E23:H23,"²")+COUNTIF($E23:H23,"µ")+COUNTIF($E23:H23,1),ColTypeEcheance)),
  IF(LEN(H23)=1,
  IF(LEN(INDEX(Roadmap!$D:$K,MATCH($E23,Roadmap!$D:$D,0)-1+COUNTIF($E23:H23,"u")+COUNTIF($E23:H23,"t")+COUNTIF($E23:H23,"¶")+COUNTIF($E23:H23,"²")+COUNTIF($E23:H23,"µ")+COUNTIF($E23:H23,1),ColDescriptionCourte))&gt;1,
HYPERLINK("#Roadmap!C"&amp; MATCH($E23,Roadmap!$D:$D,0)+COUNTIF($E23:H23,"u")+COUNTIF($E23:H23,"t")+COUNTIF($E23:H23,"¶")+COUNTIF($E23:H23,"²")+COUNTIF($E23:H23,"µ")+COUNTIF($E23:H23,1)-1,INDEX(Roadmap!$D:$K,MATCH($E23,Roadmap!$D:$D,0)-1+COUNTIF($E23:H23,"u")+COUNTIF($E23:H23,"t")+COUNTIF($E23:H23,"¶")+COUNTIF($E23:H23,"²")+COUNTIF($E23:H23,"µ")+COUNTIF($E23:H23,1),ColDescriptionCourte)),""),
  "")),"")</f>
        <v/>
      </c>
      <c r="J23" s="40" t="str">
        <f ca="1">IFERROR(IF(AND(
  INDEX(Roadmap!$D:$K,MATCH($E23,Roadmap!$D:$D,0)+COUNTIF($E23:I23,"u")+COUNTIF($E23:I23,"t")+COUNTIF($E23:I23,"¶")+COUNTIF($E23:I23,"²")+COUNTIF($E23:I23,"µ")+COUNTIF($E23:I23,1),ColLivraison)=J$6,
  VLOOKUP($E23,INDIRECT("tri!"&amp; CHAR(64+ C0Col) &amp;":"&amp; CHAR(65+C0Col)),2,FALSE)&gt;COUNTIF($E23:I23,"u")+COUNTIF($E23:I23,"t")+COUNTIF($E23:I23,"¶")+COUNTIF($E23:I23,"²")+COUNTIF($E23:I23,"µ")+COUNTIF($E23:I23,1)),
HYPERLINK("#Roadmap!C"&amp; MATCH($E23,Roadmap!$D:$D,0)+COUNTIF($E23:I23,"u")+COUNTIF($E23:I23,"t"),
     INDEX(Roadmap!$D:$K,MATCH($E23,Roadmap!$D:$D,0)+COUNTIF($E23:I23,"u")+COUNTIF($E23:I23,"t")+COUNTIF($E23:I23,"¶")+COUNTIF($E23:I23,"²")+COUNTIF($E23:I23,"µ")+COUNTIF($E23:I23,1),ColTypeEcheance)),
  IF(LEN(I23)=1,
  IF(LEN(INDEX(Roadmap!$D:$K,MATCH($E23,Roadmap!$D:$D,0)-1+COUNTIF($E23:I23,"u")+COUNTIF($E23:I23,"t")+COUNTIF($E23:I23,"¶")+COUNTIF($E23:I23,"²")+COUNTIF($E23:I23,"µ")+COUNTIF($E23:I23,1),ColDescriptionCourte))&gt;1,
HYPERLINK("#Roadmap!C"&amp; MATCH($E23,Roadmap!$D:$D,0)+COUNTIF($E23:I23,"u")+COUNTIF($E23:I23,"t")+COUNTIF($E23:I23,"¶")+COUNTIF($E23:I23,"²")+COUNTIF($E23:I23,"µ")+COUNTIF($E23:I23,1)-1,INDEX(Roadmap!$D:$K,MATCH($E23,Roadmap!$D:$D,0)-1+COUNTIF($E23:I23,"u")+COUNTIF($E23:I23,"t")+COUNTIF($E23:I23,"¶")+COUNTIF($E23:I23,"²")+COUNTIF($E23:I23,"µ")+COUNTIF($E23:I23,1),ColDescriptionCourte)),""),
  "")),"")</f>
        <v/>
      </c>
      <c r="K23" s="40" t="str">
        <f ca="1">IFERROR(IF(AND(
  INDEX(Roadmap!$D:$K,MATCH($E23,Roadmap!$D:$D,0)+COUNTIF($E23:J23,"u")+COUNTIF($E23:J23,"t")+COUNTIF($E23:J23,"¶")+COUNTIF($E23:J23,"²")+COUNTIF($E23:J23,"µ")+COUNTIF($E23:J23,1),ColLivraison)=K$6,
  VLOOKUP($E23,INDIRECT("tri!"&amp; CHAR(64+ C0Col) &amp;":"&amp; CHAR(65+C0Col)),2,FALSE)&gt;COUNTIF($E23:J23,"u")+COUNTIF($E23:J23,"t")+COUNTIF($E23:J23,"¶")+COUNTIF($E23:J23,"²")+COUNTIF($E23:J23,"µ")+COUNTIF($E23:J23,1)),
HYPERLINK("#Roadmap!C"&amp; MATCH($E23,Roadmap!$D:$D,0)+COUNTIF($E23:J23,"u")+COUNTIF($E23:J23,"t"),
     INDEX(Roadmap!$D:$K,MATCH($E23,Roadmap!$D:$D,0)+COUNTIF($E23:J23,"u")+COUNTIF($E23:J23,"t")+COUNTIF($E23:J23,"¶")+COUNTIF($E23:J23,"²")+COUNTIF($E23:J23,"µ")+COUNTIF($E23:J23,1),ColTypeEcheance)),
  IF(LEN(J23)=1,
  IF(LEN(INDEX(Roadmap!$D:$K,MATCH($E23,Roadmap!$D:$D,0)-1+COUNTIF($E23:J23,"u")+COUNTIF($E23:J23,"t")+COUNTIF($E23:J23,"¶")+COUNTIF($E23:J23,"²")+COUNTIF($E23:J23,"µ")+COUNTIF($E23:J23,1),ColDescriptionCourte))&gt;1,
HYPERLINK("#Roadmap!C"&amp; MATCH($E23,Roadmap!$D:$D,0)+COUNTIF($E23:J23,"u")+COUNTIF($E23:J23,"t")+COUNTIF($E23:J23,"¶")+COUNTIF($E23:J23,"²")+COUNTIF($E23:J23,"µ")+COUNTIF($E23:J23,1)-1,INDEX(Roadmap!$D:$K,MATCH($E23,Roadmap!$D:$D,0)-1+COUNTIF($E23:J23,"u")+COUNTIF($E23:J23,"t")+COUNTIF($E23:J23,"¶")+COUNTIF($E23:J23,"²")+COUNTIF($E23:J23,"µ")+COUNTIF($E23:J23,1),ColDescriptionCourte)),""),
  "")),"")</f>
        <v/>
      </c>
      <c r="L23" s="39" t="str">
        <f ca="1">IFERROR(IF(AND(
  INDEX(Roadmap!$D:$K,MATCH($E23,Roadmap!$D:$D,0)+COUNTIF($E23:K23,"u")+COUNTIF($E23:K23,"t")+COUNTIF($E23:K23,"¶")+COUNTIF($E23:K23,"²")+COUNTIF($E23:K23,"µ")+COUNTIF($E23:K23,1),ColLivraison)=L$6,
  VLOOKUP($E23,INDIRECT("tri!"&amp; CHAR(64+ C0Col) &amp;":"&amp; CHAR(65+C0Col)),2,FALSE)&gt;COUNTIF($E23:K23,"u")+COUNTIF($E23:K23,"t")+COUNTIF($E23:K23,"¶")+COUNTIF($E23:K23,"²")+COUNTIF($E23:K23,"µ")+COUNTIF($E23:K23,1)),
HYPERLINK("#Roadmap!C"&amp; MATCH($E23,Roadmap!$D:$D,0)+COUNTIF($E23:K23,"u")+COUNTIF($E23:K23,"t"),
     INDEX(Roadmap!$D:$K,MATCH($E23,Roadmap!$D:$D,0)+COUNTIF($E23:K23,"u")+COUNTIF($E23:K23,"t")+COUNTIF($E23:K23,"¶")+COUNTIF($E23:K23,"²")+COUNTIF($E23:K23,"µ")+COUNTIF($E23:K23,1),ColTypeEcheance)),
  IF(LEN(K23)=1,
  IF(LEN(INDEX(Roadmap!$D:$K,MATCH($E23,Roadmap!$D:$D,0)-1+COUNTIF($E23:K23,"u")+COUNTIF($E23:K23,"t")+COUNTIF($E23:K23,"¶")+COUNTIF($E23:K23,"²")+COUNTIF($E23:K23,"µ")+COUNTIF($E23:K23,1),ColDescriptionCourte))&gt;1,
HYPERLINK("#Roadmap!C"&amp; MATCH($E23,Roadmap!$D:$D,0)+COUNTIF($E23:K23,"u")+COUNTIF($E23:K23,"t")+COUNTIF($E23:K23,"¶")+COUNTIF($E23:K23,"²")+COUNTIF($E23:K23,"µ")+COUNTIF($E23:K23,1)-1,INDEX(Roadmap!$D:$K,MATCH($E23,Roadmap!$D:$D,0)-1+COUNTIF($E23:K23,"u")+COUNTIF($E23:K23,"t")+COUNTIF($E23:K23,"¶")+COUNTIF($E23:K23,"²")+COUNTIF($E23:K23,"µ")+COUNTIF($E23:K23,1),ColDescriptionCourte)),""),
  "")),"")</f>
        <v/>
      </c>
      <c r="M23" s="40" t="str">
        <f ca="1">IFERROR(IF(AND(
  INDEX(Roadmap!$D:$K,MATCH($E23,Roadmap!$D:$D,0)+COUNTIF($E23:L23,"u")+COUNTIF($E23:L23,"t")+COUNTIF($E23:L23,"¶")+COUNTIF($E23:L23,"²")+COUNTIF($E23:L23,"µ")+COUNTIF($E23:L23,1),ColLivraison)=M$6,
  VLOOKUP($E23,INDIRECT("tri!"&amp; CHAR(64+ C0Col) &amp;":"&amp; CHAR(65+C0Col)),2,FALSE)&gt;COUNTIF($E23:L23,"u")+COUNTIF($E23:L23,"t")+COUNTIF($E23:L23,"¶")+COUNTIF($E23:L23,"²")+COUNTIF($E23:L23,"µ")+COUNTIF($E23:L23,1)),
HYPERLINK("#Roadmap!C"&amp; MATCH($E23,Roadmap!$D:$D,0)+COUNTIF($E23:L23,"u")+COUNTIF($E23:L23,"t"),
     INDEX(Roadmap!$D:$K,MATCH($E23,Roadmap!$D:$D,0)+COUNTIF($E23:L23,"u")+COUNTIF($E23:L23,"t")+COUNTIF($E23:L23,"¶")+COUNTIF($E23:L23,"²")+COUNTIF($E23:L23,"µ")+COUNTIF($E23:L23,1),ColTypeEcheance)),
  IF(LEN(L23)=1,
  IF(LEN(INDEX(Roadmap!$D:$K,MATCH($E23,Roadmap!$D:$D,0)-1+COUNTIF($E23:L23,"u")+COUNTIF($E23:L23,"t")+COUNTIF($E23:L23,"¶")+COUNTIF($E23:L23,"²")+COUNTIF($E23:L23,"µ")+COUNTIF($E23:L23,1),ColDescriptionCourte))&gt;1,
HYPERLINK("#Roadmap!C"&amp; MATCH($E23,Roadmap!$D:$D,0)+COUNTIF($E23:L23,"u")+COUNTIF($E23:L23,"t")+COUNTIF($E23:L23,"¶")+COUNTIF($E23:L23,"²")+COUNTIF($E23:L23,"µ")+COUNTIF($E23:L23,1)-1,INDEX(Roadmap!$D:$K,MATCH($E23,Roadmap!$D:$D,0)-1+COUNTIF($E23:L23,"u")+COUNTIF($E23:L23,"t")+COUNTIF($E23:L23,"¶")+COUNTIF($E23:L23,"²")+COUNTIF($E23:L23,"µ")+COUNTIF($E23:L23,1),ColDescriptionCourte)),""),
  "")),"")</f>
        <v/>
      </c>
      <c r="N23" s="40" t="str">
        <f ca="1">IFERROR(IF(AND(
  INDEX(Roadmap!$D:$K,MATCH($E23,Roadmap!$D:$D,0)+COUNTIF($E23:M23,"u")+COUNTIF($E23:M23,"t")+COUNTIF($E23:M23,"¶")+COUNTIF($E23:M23,"²")+COUNTIF($E23:M23,"µ")+COUNTIF($E23:M23,1),ColLivraison)=N$6,
  VLOOKUP($E23,INDIRECT("tri!"&amp; CHAR(64+ C0Col) &amp;":"&amp; CHAR(65+C0Col)),2,FALSE)&gt;COUNTIF($E23:M23,"u")+COUNTIF($E23:M23,"t")+COUNTIF($E23:M23,"¶")+COUNTIF($E23:M23,"²")+COUNTIF($E23:M23,"µ")+COUNTIF($E23:M23,1)),
HYPERLINK("#Roadmap!C"&amp; MATCH($E23,Roadmap!$D:$D,0)+COUNTIF($E23:M23,"u")+COUNTIF($E23:M23,"t"),
     INDEX(Roadmap!$D:$K,MATCH($E23,Roadmap!$D:$D,0)+COUNTIF($E23:M23,"u")+COUNTIF($E23:M23,"t")+COUNTIF($E23:M23,"¶")+COUNTIF($E23:M23,"²")+COUNTIF($E23:M23,"µ")+COUNTIF($E23:M23,1),ColTypeEcheance)),
  IF(LEN(M23)=1,
  IF(LEN(INDEX(Roadmap!$D:$K,MATCH($E23,Roadmap!$D:$D,0)-1+COUNTIF($E23:M23,"u")+COUNTIF($E23:M23,"t")+COUNTIF($E23:M23,"¶")+COUNTIF($E23:M23,"²")+COUNTIF($E23:M23,"µ")+COUNTIF($E23:M23,1),ColDescriptionCourte))&gt;1,
HYPERLINK("#Roadmap!C"&amp; MATCH($E23,Roadmap!$D:$D,0)+COUNTIF($E23:M23,"u")+COUNTIF($E23:M23,"t")+COUNTIF($E23:M23,"¶")+COUNTIF($E23:M23,"²")+COUNTIF($E23:M23,"µ")+COUNTIF($E23:M23,1)-1,INDEX(Roadmap!$D:$K,MATCH($E23,Roadmap!$D:$D,0)-1+COUNTIF($E23:M23,"u")+COUNTIF($E23:M23,"t")+COUNTIF($E23:M23,"¶")+COUNTIF($E23:M23,"²")+COUNTIF($E23:M23,"µ")+COUNTIF($E23:M23,1),ColDescriptionCourte)),""),
  "")),"")</f>
        <v/>
      </c>
      <c r="O23" s="40" t="str">
        <f ca="1">IFERROR(IF(AND(
  INDEX(Roadmap!$D:$K,MATCH($E23,Roadmap!$D:$D,0)+COUNTIF($E23:N23,"u")+COUNTIF($E23:N23,"t")+COUNTIF($E23:N23,"¶")+COUNTIF($E23:N23,"²")+COUNTIF($E23:N23,"µ")+COUNTIF($E23:N23,1),ColLivraison)=O$6,
  VLOOKUP($E23,INDIRECT("tri!"&amp; CHAR(64+ C0Col) &amp;":"&amp; CHAR(65+C0Col)),2,FALSE)&gt;COUNTIF($E23:N23,"u")+COUNTIF($E23:N23,"t")+COUNTIF($E23:N23,"¶")+COUNTIF($E23:N23,"²")+COUNTIF($E23:N23,"µ")+COUNTIF($E23:N23,1)),
HYPERLINK("#Roadmap!C"&amp; MATCH($E23,Roadmap!$D:$D,0)+COUNTIF($E23:N23,"u")+COUNTIF($E23:N23,"t"),
     INDEX(Roadmap!$D:$K,MATCH($E23,Roadmap!$D:$D,0)+COUNTIF($E23:N23,"u")+COUNTIF($E23:N23,"t")+COUNTIF($E23:N23,"¶")+COUNTIF($E23:N23,"²")+COUNTIF($E23:N23,"µ")+COUNTIF($E23:N23,1),ColTypeEcheance)),
  IF(LEN(N23)=1,
  IF(LEN(INDEX(Roadmap!$D:$K,MATCH($E23,Roadmap!$D:$D,0)-1+COUNTIF($E23:N23,"u")+COUNTIF($E23:N23,"t")+COUNTIF($E23:N23,"¶")+COUNTIF($E23:N23,"²")+COUNTIF($E23:N23,"µ")+COUNTIF($E23:N23,1),ColDescriptionCourte))&gt;1,
HYPERLINK("#Roadmap!C"&amp; MATCH($E23,Roadmap!$D:$D,0)+COUNTIF($E23:N23,"u")+COUNTIF($E23:N23,"t")+COUNTIF($E23:N23,"¶")+COUNTIF($E23:N23,"²")+COUNTIF($E23:N23,"µ")+COUNTIF($E23:N23,1)-1,INDEX(Roadmap!$D:$K,MATCH($E23,Roadmap!$D:$D,0)-1+COUNTIF($E23:N23,"u")+COUNTIF($E23:N23,"t")+COUNTIF($E23:N23,"¶")+COUNTIF($E23:N23,"²")+COUNTIF($E23:N23,"µ")+COUNTIF($E23:N23,1),ColDescriptionCourte)),""),
  "")),"")</f>
        <v/>
      </c>
      <c r="P23" s="40" t="str">
        <f ca="1">IFERROR(IF(AND(
  INDEX(Roadmap!$D:$K,MATCH($E23,Roadmap!$D:$D,0)+COUNTIF($E23:O23,"u")+COUNTIF($E23:O23,"t")+COUNTIF($E23:O23,"¶")+COUNTIF($E23:O23,"²")+COUNTIF($E23:O23,"µ")+COUNTIF($E23:O23,1),ColLivraison)=P$6,
  VLOOKUP($E23,INDIRECT("tri!"&amp; CHAR(64+ C0Col) &amp;":"&amp; CHAR(65+C0Col)),2,FALSE)&gt;COUNTIF($E23:O23,"u")+COUNTIF($E23:O23,"t")+COUNTIF($E23:O23,"¶")+COUNTIF($E23:O23,"²")+COUNTIF($E23:O23,"µ")+COUNTIF($E23:O23,1)),
HYPERLINK("#Roadmap!C"&amp; MATCH($E23,Roadmap!$D:$D,0)+COUNTIF($E23:O23,"u")+COUNTIF($E23:O23,"t"),
     INDEX(Roadmap!$D:$K,MATCH($E23,Roadmap!$D:$D,0)+COUNTIF($E23:O23,"u")+COUNTIF($E23:O23,"t")+COUNTIF($E23:O23,"¶")+COUNTIF($E23:O23,"²")+COUNTIF($E23:O23,"µ")+COUNTIF($E23:O23,1),ColTypeEcheance)),
  IF(LEN(O23)=1,
  IF(LEN(INDEX(Roadmap!$D:$K,MATCH($E23,Roadmap!$D:$D,0)-1+COUNTIF($E23:O23,"u")+COUNTIF($E23:O23,"t")+COUNTIF($E23:O23,"¶")+COUNTIF($E23:O23,"²")+COUNTIF($E23:O23,"µ")+COUNTIF($E23:O23,1),ColDescriptionCourte))&gt;1,
HYPERLINK("#Roadmap!C"&amp; MATCH($E23,Roadmap!$D:$D,0)+COUNTIF($E23:O23,"u")+COUNTIF($E23:O23,"t")+COUNTIF($E23:O23,"¶")+COUNTIF($E23:O23,"²")+COUNTIF($E23:O23,"µ")+COUNTIF($E23:O23,1)-1,INDEX(Roadmap!$D:$K,MATCH($E23,Roadmap!$D:$D,0)-1+COUNTIF($E23:O23,"u")+COUNTIF($E23:O23,"t")+COUNTIF($E23:O23,"¶")+COUNTIF($E23:O23,"²")+COUNTIF($E23:O23,"µ")+COUNTIF($E23:O23,1),ColDescriptionCourte)),""),
  "")),"")</f>
        <v/>
      </c>
      <c r="Q23" s="40" t="str">
        <f ca="1">IFERROR(IF(AND(
  INDEX(Roadmap!$D:$K,MATCH($E23,Roadmap!$D:$D,0)+COUNTIF($E23:P23,"u")+COUNTIF($E23:P23,"t")+COUNTIF($E23:P23,"¶")+COUNTIF($E23:P23,"²")+COUNTIF($E23:P23,"µ")+COUNTIF($E23:P23,1),ColLivraison)=Q$6,
  VLOOKUP($E23,INDIRECT("tri!"&amp; CHAR(64+ C0Col) &amp;":"&amp; CHAR(65+C0Col)),2,FALSE)&gt;COUNTIF($E23:P23,"u")+COUNTIF($E23:P23,"t")+COUNTIF($E23:P23,"¶")+COUNTIF($E23:P23,"²")+COUNTIF($E23:P23,"µ")+COUNTIF($E23:P23,1)),
HYPERLINK("#Roadmap!C"&amp; MATCH($E23,Roadmap!$D:$D,0)+COUNTIF($E23:P23,"u")+COUNTIF($E23:P23,"t"),
     INDEX(Roadmap!$D:$K,MATCH($E23,Roadmap!$D:$D,0)+COUNTIF($E23:P23,"u")+COUNTIF($E23:P23,"t")+COUNTIF($E23:P23,"¶")+COUNTIF($E23:P23,"²")+COUNTIF($E23:P23,"µ")+COUNTIF($E23:P23,1),ColTypeEcheance)),
  IF(LEN(P23)=1,
  IF(LEN(INDEX(Roadmap!$D:$K,MATCH($E23,Roadmap!$D:$D,0)-1+COUNTIF($E23:P23,"u")+COUNTIF($E23:P23,"t")+COUNTIF($E23:P23,"¶")+COUNTIF($E23:P23,"²")+COUNTIF($E23:P23,"µ")+COUNTIF($E23:P23,1),ColDescriptionCourte))&gt;1,
HYPERLINK("#Roadmap!C"&amp; MATCH($E23,Roadmap!$D:$D,0)+COUNTIF($E23:P23,"u")+COUNTIF($E23:P23,"t")+COUNTIF($E23:P23,"¶")+COUNTIF($E23:P23,"²")+COUNTIF($E23:P23,"µ")+COUNTIF($E23:P23,1)-1,INDEX(Roadmap!$D:$K,MATCH($E23,Roadmap!$D:$D,0)-1+COUNTIF($E23:P23,"u")+COUNTIF($E23:P23,"t")+COUNTIF($E23:P23,"¶")+COUNTIF($E23:P23,"²")+COUNTIF($E23:P23,"µ")+COUNTIF($E23:P23,1),ColDescriptionCourte)),""),
  "")),"")</f>
        <v/>
      </c>
      <c r="R23" s="40" t="str">
        <f ca="1">IFERROR(IF(AND(
  INDEX(Roadmap!$D:$K,MATCH($E23,Roadmap!$D:$D,0)+COUNTIF($E23:Q23,"u")+COUNTIF($E23:Q23,"t")+COUNTIF($E23:Q23,"¶")+COUNTIF($E23:Q23,"²")+COUNTIF($E23:Q23,"µ")+COUNTIF($E23:Q23,1),ColLivraison)=R$6,
  VLOOKUP($E23,INDIRECT("tri!"&amp; CHAR(64+ C0Col) &amp;":"&amp; CHAR(65+C0Col)),2,FALSE)&gt;COUNTIF($E23:Q23,"u")+COUNTIF($E23:Q23,"t")+COUNTIF($E23:Q23,"¶")+COUNTIF($E23:Q23,"²")+COUNTIF($E23:Q23,"µ")+COUNTIF($E23:Q23,1)),
HYPERLINK("#Roadmap!C"&amp; MATCH($E23,Roadmap!$D:$D,0)+COUNTIF($E23:Q23,"u")+COUNTIF($E23:Q23,"t"),
     INDEX(Roadmap!$D:$K,MATCH($E23,Roadmap!$D:$D,0)+COUNTIF($E23:Q23,"u")+COUNTIF($E23:Q23,"t")+COUNTIF($E23:Q23,"¶")+COUNTIF($E23:Q23,"²")+COUNTIF($E23:Q23,"µ")+COUNTIF($E23:Q23,1),ColTypeEcheance)),
  IF(LEN(Q23)=1,
  IF(LEN(INDEX(Roadmap!$D:$K,MATCH($E23,Roadmap!$D:$D,0)-1+COUNTIF($E23:Q23,"u")+COUNTIF($E23:Q23,"t")+COUNTIF($E23:Q23,"¶")+COUNTIF($E23:Q23,"²")+COUNTIF($E23:Q23,"µ")+COUNTIF($E23:Q23,1),ColDescriptionCourte))&gt;1,
HYPERLINK("#Roadmap!C"&amp; MATCH($E23,Roadmap!$D:$D,0)+COUNTIF($E23:Q23,"u")+COUNTIF($E23:Q23,"t")+COUNTIF($E23:Q23,"¶")+COUNTIF($E23:Q23,"²")+COUNTIF($E23:Q23,"µ")+COUNTIF($E23:Q23,1)-1,INDEX(Roadmap!$D:$K,MATCH($E23,Roadmap!$D:$D,0)-1+COUNTIF($E23:Q23,"u")+COUNTIF($E23:Q23,"t")+COUNTIF($E23:Q23,"¶")+COUNTIF($E23:Q23,"²")+COUNTIF($E23:Q23,"µ")+COUNTIF($E23:Q23,1),ColDescriptionCourte)),""),
  "")),"")</f>
        <v/>
      </c>
      <c r="S23" s="40" t="str">
        <f ca="1">IFERROR(IF(AND(
  INDEX(Roadmap!$D:$K,MATCH($E23,Roadmap!$D:$D,0)+COUNTIF($E23:R23,"u")+COUNTIF($E23:R23,"t")+COUNTIF($E23:R23,"¶")+COUNTIF($E23:R23,"²")+COUNTIF($E23:R23,"µ")+COUNTIF($E23:R23,1),ColLivraison)=S$6,
  VLOOKUP($E23,INDIRECT("tri!"&amp; CHAR(64+ C0Col) &amp;":"&amp; CHAR(65+C0Col)),2,FALSE)&gt;COUNTIF($E23:R23,"u")+COUNTIF($E23:R23,"t")+COUNTIF($E23:R23,"¶")+COUNTIF($E23:R23,"²")+COUNTIF($E23:R23,"µ")+COUNTIF($E23:R23,1)),
HYPERLINK("#Roadmap!C"&amp; MATCH($E23,Roadmap!$D:$D,0)+COUNTIF($E23:R23,"u")+COUNTIF($E23:R23,"t"),
     INDEX(Roadmap!$D:$K,MATCH($E23,Roadmap!$D:$D,0)+COUNTIF($E23:R23,"u")+COUNTIF($E23:R23,"t")+COUNTIF($E23:R23,"¶")+COUNTIF($E23:R23,"²")+COUNTIF($E23:R23,"µ")+COUNTIF($E23:R23,1),ColTypeEcheance)),
  IF(LEN(R23)=1,
  IF(LEN(INDEX(Roadmap!$D:$K,MATCH($E23,Roadmap!$D:$D,0)-1+COUNTIF($E23:R23,"u")+COUNTIF($E23:R23,"t")+COUNTIF($E23:R23,"¶")+COUNTIF($E23:R23,"²")+COUNTIF($E23:R23,"µ")+COUNTIF($E23:R23,1),ColDescriptionCourte))&gt;1,
HYPERLINK("#Roadmap!C"&amp; MATCH($E23,Roadmap!$D:$D,0)+COUNTIF($E23:R23,"u")+COUNTIF($E23:R23,"t")+COUNTIF($E23:R23,"¶")+COUNTIF($E23:R23,"²")+COUNTIF($E23:R23,"µ")+COUNTIF($E23:R23,1)-1,INDEX(Roadmap!$D:$K,MATCH($E23,Roadmap!$D:$D,0)-1+COUNTIF($E23:R23,"u")+COUNTIF($E23:R23,"t")+COUNTIF($E23:R23,"¶")+COUNTIF($E23:R23,"²")+COUNTIF($E23:R23,"µ")+COUNTIF($E23:R23,1),ColDescriptionCourte)),""),
  "")),"")</f>
        <v/>
      </c>
      <c r="T23" s="40" t="str">
        <f ca="1">IFERROR(IF(AND(
  INDEX(Roadmap!$D:$K,MATCH($E23,Roadmap!$D:$D,0)+COUNTIF($E23:S23,"u")+COUNTIF($E23:S23,"t")+COUNTIF($E23:S23,"¶")+COUNTIF($E23:S23,"²")+COUNTIF($E23:S23,"µ")+COUNTIF($E23:S23,1),ColLivraison)=T$6,
  VLOOKUP($E23,INDIRECT("tri!"&amp; CHAR(64+ C0Col) &amp;":"&amp; CHAR(65+C0Col)),2,FALSE)&gt;COUNTIF($E23:S23,"u")+COUNTIF($E23:S23,"t")+COUNTIF($E23:S23,"¶")+COUNTIF($E23:S23,"²")+COUNTIF($E23:S23,"µ")+COUNTIF($E23:S23,1)),
HYPERLINK("#Roadmap!C"&amp; MATCH($E23,Roadmap!$D:$D,0)+COUNTIF($E23:S23,"u")+COUNTIF($E23:S23,"t"),
     INDEX(Roadmap!$D:$K,MATCH($E23,Roadmap!$D:$D,0)+COUNTIF($E23:S23,"u")+COUNTIF($E23:S23,"t")+COUNTIF($E23:S23,"¶")+COUNTIF($E23:S23,"²")+COUNTIF($E23:S23,"µ")+COUNTIF($E23:S23,1),ColTypeEcheance)),
  IF(LEN(S23)=1,
  IF(LEN(INDEX(Roadmap!$D:$K,MATCH($E23,Roadmap!$D:$D,0)-1+COUNTIF($E23:S23,"u")+COUNTIF($E23:S23,"t")+COUNTIF($E23:S23,"¶")+COUNTIF($E23:S23,"²")+COUNTIF($E23:S23,"µ")+COUNTIF($E23:S23,1),ColDescriptionCourte))&gt;1,
HYPERLINK("#Roadmap!C"&amp; MATCH($E23,Roadmap!$D:$D,0)+COUNTIF($E23:S23,"u")+COUNTIF($E23:S23,"t")+COUNTIF($E23:S23,"¶")+COUNTIF($E23:S23,"²")+COUNTIF($E23:S23,"µ")+COUNTIF($E23:S23,1)-1,INDEX(Roadmap!$D:$K,MATCH($E23,Roadmap!$D:$D,0)-1+COUNTIF($E23:S23,"u")+COUNTIF($E23:S23,"t")+COUNTIF($E23:S23,"¶")+COUNTIF($E23:S23,"²")+COUNTIF($E23:S23,"µ")+COUNTIF($E23:S23,1),ColDescriptionCourte)),""),
  "")),"")</f>
        <v/>
      </c>
      <c r="U23" s="40" t="str">
        <f ca="1">IFERROR(IF(AND(
  INDEX(Roadmap!$D:$K,MATCH($E23,Roadmap!$D:$D,0)+COUNTIF($E23:T23,"u")+COUNTIF($E23:T23,"t")+COUNTIF($E23:T23,"¶")+COUNTIF($E23:T23,"²")+COUNTIF($E23:T23,"µ")+COUNTIF($E23:T23,1),ColLivraison)=U$6,
  VLOOKUP($E23,INDIRECT("tri!"&amp; CHAR(64+ C0Col) &amp;":"&amp; CHAR(65+C0Col)),2,FALSE)&gt;COUNTIF($E23:T23,"u")+COUNTIF($E23:T23,"t")+COUNTIF($E23:T23,"¶")+COUNTIF($E23:T23,"²")+COUNTIF($E23:T23,"µ")+COUNTIF($E23:T23,1)),
HYPERLINK("#Roadmap!C"&amp; MATCH($E23,Roadmap!$D:$D,0)+COUNTIF($E23:T23,"u")+COUNTIF($E23:T23,"t"),
     INDEX(Roadmap!$D:$K,MATCH($E23,Roadmap!$D:$D,0)+COUNTIF($E23:T23,"u")+COUNTIF($E23:T23,"t")+COUNTIF($E23:T23,"¶")+COUNTIF($E23:T23,"²")+COUNTIF($E23:T23,"µ")+COUNTIF($E23:T23,1),ColTypeEcheance)),
  IF(LEN(T23)=1,
  IF(LEN(INDEX(Roadmap!$D:$K,MATCH($E23,Roadmap!$D:$D,0)-1+COUNTIF($E23:T23,"u")+COUNTIF($E23:T23,"t")+COUNTIF($E23:T23,"¶")+COUNTIF($E23:T23,"²")+COUNTIF($E23:T23,"µ")+COUNTIF($E23:T23,1),ColDescriptionCourte))&gt;1,
HYPERLINK("#Roadmap!C"&amp; MATCH($E23,Roadmap!$D:$D,0)+COUNTIF($E23:T23,"u")+COUNTIF($E23:T23,"t")+COUNTIF($E23:T23,"¶")+COUNTIF($E23:T23,"²")+COUNTIF($E23:T23,"µ")+COUNTIF($E23:T23,1)-1,INDEX(Roadmap!$D:$K,MATCH($E23,Roadmap!$D:$D,0)-1+COUNTIF($E23:T23,"u")+COUNTIF($E23:T23,"t")+COUNTIF($E23:T23,"¶")+COUNTIF($E23:T23,"²")+COUNTIF($E23:T23,"µ")+COUNTIF($E23:T23,1),ColDescriptionCourte)),""),
  "")),"")</f>
        <v/>
      </c>
      <c r="V23" s="40" t="str">
        <f ca="1">IFERROR(IF(AND(
  INDEX(Roadmap!$D:$K,MATCH($E23,Roadmap!$D:$D,0)+COUNTIF($E23:U23,"u")+COUNTIF($E23:U23,"t")+COUNTIF($E23:U23,"¶")+COUNTIF($E23:U23,"²")+COUNTIF($E23:U23,"µ")+COUNTIF($E23:U23,1),ColLivraison)=V$6,
  VLOOKUP($E23,INDIRECT("tri!"&amp; CHAR(64+ C0Col) &amp;":"&amp; CHAR(65+C0Col)),2,FALSE)&gt;COUNTIF($E23:U23,"u")+COUNTIF($E23:U23,"t")+COUNTIF($E23:U23,"¶")+COUNTIF($E23:U23,"²")+COUNTIF($E23:U23,"µ")+COUNTIF($E23:U23,1)),
HYPERLINK("#Roadmap!C"&amp; MATCH($E23,Roadmap!$D:$D,0)+COUNTIF($E23:U23,"u")+COUNTIF($E23:U23,"t"),
     INDEX(Roadmap!$D:$K,MATCH($E23,Roadmap!$D:$D,0)+COUNTIF($E23:U23,"u")+COUNTIF($E23:U23,"t")+COUNTIF($E23:U23,"¶")+COUNTIF($E23:U23,"²")+COUNTIF($E23:U23,"µ")+COUNTIF($E23:U23,1),ColTypeEcheance)),
  IF(LEN(U23)=1,
  IF(LEN(INDEX(Roadmap!$D:$K,MATCH($E23,Roadmap!$D:$D,0)-1+COUNTIF($E23:U23,"u")+COUNTIF($E23:U23,"t")+COUNTIF($E23:U23,"¶")+COUNTIF($E23:U23,"²")+COUNTIF($E23:U23,"µ")+COUNTIF($E23:U23,1),ColDescriptionCourte))&gt;1,
HYPERLINK("#Roadmap!C"&amp; MATCH($E23,Roadmap!$D:$D,0)+COUNTIF($E23:U23,"u")+COUNTIF($E23:U23,"t")+COUNTIF($E23:U23,"¶")+COUNTIF($E23:U23,"²")+COUNTIF($E23:U23,"µ")+COUNTIF($E23:U23,1)-1,INDEX(Roadmap!$D:$K,MATCH($E23,Roadmap!$D:$D,0)-1+COUNTIF($E23:U23,"u")+COUNTIF($E23:U23,"t")+COUNTIF($E23:U23,"¶")+COUNTIF($E23:U23,"²")+COUNTIF($E23:U23,"µ")+COUNTIF($E23:U23,1),ColDescriptionCourte)),""),
  "")),"")</f>
        <v/>
      </c>
      <c r="W23" s="40" t="str">
        <f ca="1">IFERROR(IF(AND(
  INDEX(Roadmap!$D:$K,MATCH($E23,Roadmap!$D:$D,0)+COUNTIF($E23:V23,"u")+COUNTIF($E23:V23,"t")+COUNTIF($E23:V23,"¶")+COUNTIF($E23:V23,"²")+COUNTIF($E23:V23,"µ")+COUNTIF($E23:V23,1),ColLivraison)=W$6,
  VLOOKUP($E23,INDIRECT("tri!"&amp; CHAR(64+ C0Col) &amp;":"&amp; CHAR(65+C0Col)),2,FALSE)&gt;COUNTIF($E23:V23,"u")+COUNTIF($E23:V23,"t")+COUNTIF($E23:V23,"¶")+COUNTIF($E23:V23,"²")+COUNTIF($E23:V23,"µ")+COUNTIF($E23:V23,1)),
HYPERLINK("#Roadmap!C"&amp; MATCH($E23,Roadmap!$D:$D,0)+COUNTIF($E23:V23,"u")+COUNTIF($E23:V23,"t"),
     INDEX(Roadmap!$D:$K,MATCH($E23,Roadmap!$D:$D,0)+COUNTIF($E23:V23,"u")+COUNTIF($E23:V23,"t")+COUNTIF($E23:V23,"¶")+COUNTIF($E23:V23,"²")+COUNTIF($E23:V23,"µ")+COUNTIF($E23:V23,1),ColTypeEcheance)),
  IF(LEN(V23)=1,
  IF(LEN(INDEX(Roadmap!$D:$K,MATCH($E23,Roadmap!$D:$D,0)-1+COUNTIF($E23:V23,"u")+COUNTIF($E23:V23,"t")+COUNTIF($E23:V23,"¶")+COUNTIF($E23:V23,"²")+COUNTIF($E23:V23,"µ")+COUNTIF($E23:V23,1),ColDescriptionCourte))&gt;1,
HYPERLINK("#Roadmap!C"&amp; MATCH($E23,Roadmap!$D:$D,0)+COUNTIF($E23:V23,"u")+COUNTIF($E23:V23,"t")+COUNTIF($E23:V23,"¶")+COUNTIF($E23:V23,"²")+COUNTIF($E23:V23,"µ")+COUNTIF($E23:V23,1)-1,INDEX(Roadmap!$D:$K,MATCH($E23,Roadmap!$D:$D,0)-1+COUNTIF($E23:V23,"u")+COUNTIF($E23:V23,"t")+COUNTIF($E23:V23,"¶")+COUNTIF($E23:V23,"²")+COUNTIF($E23:V23,"µ")+COUNTIF($E23:V23,1),ColDescriptionCourte)),""),
  "")),"")</f>
        <v/>
      </c>
      <c r="X23" s="40" t="str">
        <f ca="1">IFERROR(IF(AND(
  INDEX(Roadmap!$D:$K,MATCH($E23,Roadmap!$D:$D,0)+COUNTIF($E23:W23,"u")+COUNTIF($E23:W23,"t")+COUNTIF($E23:W23,"¶")+COUNTIF($E23:W23,"²")+COUNTIF($E23:W23,"µ")+COUNTIF($E23:W23,1),ColLivraison)=X$6,
  VLOOKUP($E23,INDIRECT("tri!"&amp; CHAR(64+ C0Col) &amp;":"&amp; CHAR(65+C0Col)),2,FALSE)&gt;COUNTIF($E23:W23,"u")+COUNTIF($E23:W23,"t")+COUNTIF($E23:W23,"¶")+COUNTIF($E23:W23,"²")+COUNTIF($E23:W23,"µ")+COUNTIF($E23:W23,1)),
HYPERLINK("#Roadmap!C"&amp; MATCH($E23,Roadmap!$D:$D,0)+COUNTIF($E23:W23,"u")+COUNTIF($E23:W23,"t"),
     INDEX(Roadmap!$D:$K,MATCH($E23,Roadmap!$D:$D,0)+COUNTIF($E23:W23,"u")+COUNTIF($E23:W23,"t")+COUNTIF($E23:W23,"¶")+COUNTIF($E23:W23,"²")+COUNTIF($E23:W23,"µ")+COUNTIF($E23:W23,1),ColTypeEcheance)),
  IF(LEN(W23)=1,
  IF(LEN(INDEX(Roadmap!$D:$K,MATCH($E23,Roadmap!$D:$D,0)-1+COUNTIF($E23:W23,"u")+COUNTIF($E23:W23,"t")+COUNTIF($E23:W23,"¶")+COUNTIF($E23:W23,"²")+COUNTIF($E23:W23,"µ")+COUNTIF($E23:W23,1),ColDescriptionCourte))&gt;1,
HYPERLINK("#Roadmap!C"&amp; MATCH($E23,Roadmap!$D:$D,0)+COUNTIF($E23:W23,"u")+COUNTIF($E23:W23,"t")+COUNTIF($E23:W23,"¶")+COUNTIF($E23:W23,"²")+COUNTIF($E23:W23,"µ")+COUNTIF($E23:W23,1)-1,INDEX(Roadmap!$D:$K,MATCH($E23,Roadmap!$D:$D,0)-1+COUNTIF($E23:W23,"u")+COUNTIF($E23:W23,"t")+COUNTIF($E23:W23,"¶")+COUNTIF($E23:W23,"²")+COUNTIF($E23:W23,"µ")+COUNTIF($E23:W23,1),ColDescriptionCourte)),""),
  "")),"")</f>
        <v/>
      </c>
      <c r="Y23" s="40" t="str">
        <f ca="1">IFERROR(IF(AND(
  INDEX(Roadmap!$D:$K,MATCH($E23,Roadmap!$D:$D,0)+COUNTIF($E23:X23,"u")+COUNTIF($E23:X23,"t")+COUNTIF($E23:X23,"¶")+COUNTIF($E23:X23,"²")+COUNTIF($E23:X23,"µ")+COUNTIF($E23:X23,1),ColLivraison)=Y$6,
  VLOOKUP($E23,INDIRECT("tri!"&amp; CHAR(64+ C0Col) &amp;":"&amp; CHAR(65+C0Col)),2,FALSE)&gt;COUNTIF($E23:X23,"u")+COUNTIF($E23:X23,"t")+COUNTIF($E23:X23,"¶")+COUNTIF($E23:X23,"²")+COUNTIF($E23:X23,"µ")+COUNTIF($E23:X23,1)),
HYPERLINK("#Roadmap!C"&amp; MATCH($E23,Roadmap!$D:$D,0)+COUNTIF($E23:X23,"u")+COUNTIF($E23:X23,"t"),
     INDEX(Roadmap!$D:$K,MATCH($E23,Roadmap!$D:$D,0)+COUNTIF($E23:X23,"u")+COUNTIF($E23:X23,"t")+COUNTIF($E23:X23,"¶")+COUNTIF($E23:X23,"²")+COUNTIF($E23:X23,"µ")+COUNTIF($E23:X23,1),ColTypeEcheance)),
  IF(LEN(X23)=1,
  IF(LEN(INDEX(Roadmap!$D:$K,MATCH($E23,Roadmap!$D:$D,0)-1+COUNTIF($E23:X23,"u")+COUNTIF($E23:X23,"t")+COUNTIF($E23:X23,"¶")+COUNTIF($E23:X23,"²")+COUNTIF($E23:X23,"µ")+COUNTIF($E23:X23,1),ColDescriptionCourte))&gt;1,
HYPERLINK("#Roadmap!C"&amp; MATCH($E23,Roadmap!$D:$D,0)+COUNTIF($E23:X23,"u")+COUNTIF($E23:X23,"t")+COUNTIF($E23:X23,"¶")+COUNTIF($E23:X23,"²")+COUNTIF($E23:X23,"µ")+COUNTIF($E23:X23,1)-1,INDEX(Roadmap!$D:$K,MATCH($E23,Roadmap!$D:$D,0)-1+COUNTIF($E23:X23,"u")+COUNTIF($E23:X23,"t")+COUNTIF($E23:X23,"¶")+COUNTIF($E23:X23,"²")+COUNTIF($E23:X23,"µ")+COUNTIF($E23:X23,1),ColDescriptionCourte)),""),
  "")),"")</f>
        <v/>
      </c>
      <c r="Z23" s="40" t="str">
        <f ca="1">IFERROR(IF(AND(
  INDEX(Roadmap!$D:$K,MATCH($E23,Roadmap!$D:$D,0)+COUNTIF($E23:Y23,"u")+COUNTIF($E23:Y23,"t")+COUNTIF($E23:Y23,"¶")+COUNTIF($E23:Y23,"²")+COUNTIF($E23:Y23,"µ")+COUNTIF($E23:Y23,1),ColLivraison)=Z$6,
  VLOOKUP($E23,INDIRECT("tri!"&amp; CHAR(64+ C0Col) &amp;":"&amp; CHAR(65+C0Col)),2,FALSE)&gt;COUNTIF($E23:Y23,"u")+COUNTIF($E23:Y23,"t")+COUNTIF($E23:Y23,"¶")+COUNTIF($E23:Y23,"²")+COUNTIF($E23:Y23,"µ")+COUNTIF($E23:Y23,1)),
HYPERLINK("#Roadmap!C"&amp; MATCH($E23,Roadmap!$D:$D,0)+COUNTIF($E23:Y23,"u")+COUNTIF($E23:Y23,"t"),
     INDEX(Roadmap!$D:$K,MATCH($E23,Roadmap!$D:$D,0)+COUNTIF($E23:Y23,"u")+COUNTIF($E23:Y23,"t")+COUNTIF($E23:Y23,"¶")+COUNTIF($E23:Y23,"²")+COUNTIF($E23:Y23,"µ")+COUNTIF($E23:Y23,1),ColTypeEcheance)),
  IF(LEN(Y23)=1,
  IF(LEN(INDEX(Roadmap!$D:$K,MATCH($E23,Roadmap!$D:$D,0)-1+COUNTIF($E23:Y23,"u")+COUNTIF($E23:Y23,"t")+COUNTIF($E23:Y23,"¶")+COUNTIF($E23:Y23,"²")+COUNTIF($E23:Y23,"µ")+COUNTIF($E23:Y23,1),ColDescriptionCourte))&gt;1,
HYPERLINK("#Roadmap!C"&amp; MATCH($E23,Roadmap!$D:$D,0)+COUNTIF($E23:Y23,"u")+COUNTIF($E23:Y23,"t")+COUNTIF($E23:Y23,"¶")+COUNTIF($E23:Y23,"²")+COUNTIF($E23:Y23,"µ")+COUNTIF($E23:Y23,1)-1,INDEX(Roadmap!$D:$K,MATCH($E23,Roadmap!$D:$D,0)-1+COUNTIF($E23:Y23,"u")+COUNTIF($E23:Y23,"t")+COUNTIF($E23:Y23,"¶")+COUNTIF($E23:Y23,"²")+COUNTIF($E23:Y23,"µ")+COUNTIF($E23:Y23,1),ColDescriptionCourte)),""),
  "")),"")</f>
        <v/>
      </c>
      <c r="AA23" s="40" t="str">
        <f ca="1">IFERROR(IF(AND(
  INDEX(Roadmap!$D:$K,MATCH($E23,Roadmap!$D:$D,0)+COUNTIF($E23:Z23,"u")+COUNTIF($E23:Z23,"t")+COUNTIF($E23:Z23,"¶")+COUNTIF($E23:Z23,"²")+COUNTIF($E23:Z23,"µ")+COUNTIF($E23:Z23,1),ColLivraison)=AA$6,
  VLOOKUP($E23,INDIRECT("tri!"&amp; CHAR(64+ C0Col) &amp;":"&amp; CHAR(65+C0Col)),2,FALSE)&gt;COUNTIF($E23:Z23,"u")+COUNTIF($E23:Z23,"t")+COUNTIF($E23:Z23,"¶")+COUNTIF($E23:Z23,"²")+COUNTIF($E23:Z23,"µ")+COUNTIF($E23:Z23,1)),
HYPERLINK("#Roadmap!C"&amp; MATCH($E23,Roadmap!$D:$D,0)+COUNTIF($E23:Z23,"u")+COUNTIF($E23:Z23,"t"),
     INDEX(Roadmap!$D:$K,MATCH($E23,Roadmap!$D:$D,0)+COUNTIF($E23:Z23,"u")+COUNTIF($E23:Z23,"t")+COUNTIF($E23:Z23,"¶")+COUNTIF($E23:Z23,"²")+COUNTIF($E23:Z23,"µ")+COUNTIF($E23:Z23,1),ColTypeEcheance)),
  IF(LEN(Z23)=1,
  IF(LEN(INDEX(Roadmap!$D:$K,MATCH($E23,Roadmap!$D:$D,0)-1+COUNTIF($E23:Z23,"u")+COUNTIF($E23:Z23,"t")+COUNTIF($E23:Z23,"¶")+COUNTIF($E23:Z23,"²")+COUNTIF($E23:Z23,"µ")+COUNTIF($E23:Z23,1),ColDescriptionCourte))&gt;1,
HYPERLINK("#Roadmap!C"&amp; MATCH($E23,Roadmap!$D:$D,0)+COUNTIF($E23:Z23,"u")+COUNTIF($E23:Z23,"t")+COUNTIF($E23:Z23,"¶")+COUNTIF($E23:Z23,"²")+COUNTIF($E23:Z23,"µ")+COUNTIF($E23:Z23,1)-1,INDEX(Roadmap!$D:$K,MATCH($E23,Roadmap!$D:$D,0)-1+COUNTIF($E23:Z23,"u")+COUNTIF($E23:Z23,"t")+COUNTIF($E23:Z23,"¶")+COUNTIF($E23:Z23,"²")+COUNTIF($E23:Z23,"µ")+COUNTIF($E23:Z23,1),ColDescriptionCourte)),""),
  "")),"")</f>
        <v/>
      </c>
      <c r="AB23" s="40" t="str">
        <f ca="1">IFERROR(IF(AND(
  INDEX(Roadmap!$D:$K,MATCH($E23,Roadmap!$D:$D,0)+COUNTIF($E23:AA23,"u")+COUNTIF($E23:AA23,"t")+COUNTIF($E23:AA23,"¶")+COUNTIF($E23:AA23,"²")+COUNTIF($E23:AA23,"µ")+COUNTIF($E23:AA23,1),ColLivraison)=AB$6,
  VLOOKUP($E23,INDIRECT("tri!"&amp; CHAR(64+ C0Col) &amp;":"&amp; CHAR(65+C0Col)),2,FALSE)&gt;COUNTIF($E23:AA23,"u")+COUNTIF($E23:AA23,"t")+COUNTIF($E23:AA23,"¶")+COUNTIF($E23:AA23,"²")+COUNTIF($E23:AA23,"µ")+COUNTIF($E23:AA23,1)),
HYPERLINK("#Roadmap!C"&amp; MATCH($E23,Roadmap!$D:$D,0)+COUNTIF($E23:AA23,"u")+COUNTIF($E23:AA23,"t"),
     INDEX(Roadmap!$D:$K,MATCH($E23,Roadmap!$D:$D,0)+COUNTIF($E23:AA23,"u")+COUNTIF($E23:AA23,"t")+COUNTIF($E23:AA23,"¶")+COUNTIF($E23:AA23,"²")+COUNTIF($E23:AA23,"µ")+COUNTIF($E23:AA23,1),ColTypeEcheance)),
  IF(LEN(AA23)=1,
  IF(LEN(INDEX(Roadmap!$D:$K,MATCH($E23,Roadmap!$D:$D,0)-1+COUNTIF($E23:AA23,"u")+COUNTIF($E23:AA23,"t")+COUNTIF($E23:AA23,"¶")+COUNTIF($E23:AA23,"²")+COUNTIF($E23:AA23,"µ")+COUNTIF($E23:AA23,1),ColDescriptionCourte))&gt;1,
HYPERLINK("#Roadmap!C"&amp; MATCH($E23,Roadmap!$D:$D,0)+COUNTIF($E23:AA23,"u")+COUNTIF($E23:AA23,"t")+COUNTIF($E23:AA23,"¶")+COUNTIF($E23:AA23,"²")+COUNTIF($E23:AA23,"µ")+COUNTIF($E23:AA23,1)-1,INDEX(Roadmap!$D:$K,MATCH($E23,Roadmap!$D:$D,0)-1+COUNTIF($E23:AA23,"u")+COUNTIF($E23:AA23,"t")+COUNTIF($E23:AA23,"¶")+COUNTIF($E23:AA23,"²")+COUNTIF($E23:AA23,"µ")+COUNTIF($E23:AA23,1),ColDescriptionCourte)),""),
  "")),"")</f>
        <v/>
      </c>
      <c r="AC23" s="40" t="str">
        <f ca="1">IFERROR(IF(AND(
  INDEX(Roadmap!$D:$K,MATCH($E23,Roadmap!$D:$D,0)+COUNTIF($E23:AB23,"u")+COUNTIF($E23:AB23,"t")+COUNTIF($E23:AB23,"¶")+COUNTIF($E23:AB23,"²")+COUNTIF($E23:AB23,"µ")+COUNTIF($E23:AB23,1),ColLivraison)=AC$6,
  VLOOKUP($E23,INDIRECT("tri!"&amp; CHAR(64+ C0Col) &amp;":"&amp; CHAR(65+C0Col)),2,FALSE)&gt;COUNTIF($E23:AB23,"u")+COUNTIF($E23:AB23,"t")+COUNTIF($E23:AB23,"¶")+COUNTIF($E23:AB23,"²")+COUNTIF($E23:AB23,"µ")+COUNTIF($E23:AB23,1)),
HYPERLINK("#Roadmap!C"&amp; MATCH($E23,Roadmap!$D:$D,0)+COUNTIF($E23:AB23,"u")+COUNTIF($E23:AB23,"t"),
     INDEX(Roadmap!$D:$K,MATCH($E23,Roadmap!$D:$D,0)+COUNTIF($E23:AB23,"u")+COUNTIF($E23:AB23,"t")+COUNTIF($E23:AB23,"¶")+COUNTIF($E23:AB23,"²")+COUNTIF($E23:AB23,"µ")+COUNTIF($E23:AB23,1),ColTypeEcheance)),
  IF(LEN(AB23)=1,
  IF(LEN(INDEX(Roadmap!$D:$K,MATCH($E23,Roadmap!$D:$D,0)-1+COUNTIF($E23:AB23,"u")+COUNTIF($E23:AB23,"t")+COUNTIF($E23:AB23,"¶")+COUNTIF($E23:AB23,"²")+COUNTIF($E23:AB23,"µ")+COUNTIF($E23:AB23,1),ColDescriptionCourte))&gt;1,
HYPERLINK("#Roadmap!C"&amp; MATCH($E23,Roadmap!$D:$D,0)+COUNTIF($E23:AB23,"u")+COUNTIF($E23:AB23,"t")+COUNTIF($E23:AB23,"¶")+COUNTIF($E23:AB23,"²")+COUNTIF($E23:AB23,"µ")+COUNTIF($E23:AB23,1)-1,INDEX(Roadmap!$D:$K,MATCH($E23,Roadmap!$D:$D,0)-1+COUNTIF($E23:AB23,"u")+COUNTIF($E23:AB23,"t")+COUNTIF($E23:AB23,"¶")+COUNTIF($E23:AB23,"²")+COUNTIF($E23:AB23,"µ")+COUNTIF($E23:AB23,1),ColDescriptionCourte)),""),
  "")),"")</f>
        <v/>
      </c>
      <c r="AD23" s="40" t="str">
        <f ca="1">IFERROR(IF(AND(
  INDEX(Roadmap!$D:$K,MATCH($E23,Roadmap!$D:$D,0)+COUNTIF($E23:AC23,"u")+COUNTIF($E23:AC23,"t")+COUNTIF($E23:AC23,"¶")+COUNTIF($E23:AC23,"²")+COUNTIF($E23:AC23,"µ")+COUNTIF($E23:AC23,1),ColLivraison)=AD$6,
  VLOOKUP($E23,INDIRECT("tri!"&amp; CHAR(64+ C0Col) &amp;":"&amp; CHAR(65+C0Col)),2,FALSE)&gt;COUNTIF($E23:AC23,"u")+COUNTIF($E23:AC23,"t")+COUNTIF($E23:AC23,"¶")+COUNTIF($E23:AC23,"²")+COUNTIF($E23:AC23,"µ")+COUNTIF($E23:AC23,1)),
HYPERLINK("#Roadmap!C"&amp; MATCH($E23,Roadmap!$D:$D,0)+COUNTIF($E23:AC23,"u")+COUNTIF($E23:AC23,"t"),
     INDEX(Roadmap!$D:$K,MATCH($E23,Roadmap!$D:$D,0)+COUNTIF($E23:AC23,"u")+COUNTIF($E23:AC23,"t")+COUNTIF($E23:AC23,"¶")+COUNTIF($E23:AC23,"²")+COUNTIF($E23:AC23,"µ")+COUNTIF($E23:AC23,1),ColTypeEcheance)),
  IF(LEN(AC23)=1,
  IF(LEN(INDEX(Roadmap!$D:$K,MATCH($E23,Roadmap!$D:$D,0)-1+COUNTIF($E23:AC23,"u")+COUNTIF($E23:AC23,"t")+COUNTIF($E23:AC23,"¶")+COUNTIF($E23:AC23,"²")+COUNTIF($E23:AC23,"µ")+COUNTIF($E23:AC23,1),ColDescriptionCourte))&gt;1,
HYPERLINK("#Roadmap!C"&amp; MATCH($E23,Roadmap!$D:$D,0)+COUNTIF($E23:AC23,"u")+COUNTIF($E23:AC23,"t")+COUNTIF($E23:AC23,"¶")+COUNTIF($E23:AC23,"²")+COUNTIF($E23:AC23,"µ")+COUNTIF($E23:AC23,1)-1,INDEX(Roadmap!$D:$K,MATCH($E23,Roadmap!$D:$D,0)-1+COUNTIF($E23:AC23,"u")+COUNTIF($E23:AC23,"t")+COUNTIF($E23:AC23,"¶")+COUNTIF($E23:AC23,"²")+COUNTIF($E23:AC23,"µ")+COUNTIF($E23:AC23,1),ColDescriptionCourte)),""),
  "")),"")</f>
        <v/>
      </c>
      <c r="AE23" s="40" t="str">
        <f ca="1">IFERROR(IF(AND(
  INDEX(Roadmap!$D:$K,MATCH($E23,Roadmap!$D:$D,0)+COUNTIF($E23:AD23,"u")+COUNTIF($E23:AD23,"t")+COUNTIF($E23:AD23,"¶")+COUNTIF($E23:AD23,"²")+COUNTIF($E23:AD23,"µ")+COUNTIF($E23:AD23,1),ColLivraison)=AE$6,
  VLOOKUP($E23,INDIRECT("tri!"&amp; CHAR(64+ C0Col) &amp;":"&amp; CHAR(65+C0Col)),2,FALSE)&gt;COUNTIF($E23:AD23,"u")+COUNTIF($E23:AD23,"t")+COUNTIF($E23:AD23,"¶")+COUNTIF($E23:AD23,"²")+COUNTIF($E23:AD23,"µ")+COUNTIF($E23:AD23,1)),
HYPERLINK("#Roadmap!C"&amp; MATCH($E23,Roadmap!$D:$D,0)+COUNTIF($E23:AD23,"u")+COUNTIF($E23:AD23,"t"),
     INDEX(Roadmap!$D:$K,MATCH($E23,Roadmap!$D:$D,0)+COUNTIF($E23:AD23,"u")+COUNTIF($E23:AD23,"t")+COUNTIF($E23:AD23,"¶")+COUNTIF($E23:AD23,"²")+COUNTIF($E23:AD23,"µ")+COUNTIF($E23:AD23,1),ColTypeEcheance)),
  IF(LEN(AD23)=1,
  IF(LEN(INDEX(Roadmap!$D:$K,MATCH($E23,Roadmap!$D:$D,0)-1+COUNTIF($E23:AD23,"u")+COUNTIF($E23:AD23,"t")+COUNTIF($E23:AD23,"¶")+COUNTIF($E23:AD23,"²")+COUNTIF($E23:AD23,"µ")+COUNTIF($E23:AD23,1),ColDescriptionCourte))&gt;1,
HYPERLINK("#Roadmap!C"&amp; MATCH($E23,Roadmap!$D:$D,0)+COUNTIF($E23:AD23,"u")+COUNTIF($E23:AD23,"t")+COUNTIF($E23:AD23,"¶")+COUNTIF($E23:AD23,"²")+COUNTIF($E23:AD23,"µ")+COUNTIF($E23:AD23,1)-1,INDEX(Roadmap!$D:$K,MATCH($E23,Roadmap!$D:$D,0)-1+COUNTIF($E23:AD23,"u")+COUNTIF($E23:AD23,"t")+COUNTIF($E23:AD23,"¶")+COUNTIF($E23:AD23,"²")+COUNTIF($E23:AD23,"µ")+COUNTIF($E23:AD23,1),ColDescriptionCourte)),""),
  "")),"")</f>
        <v/>
      </c>
      <c r="AF23" s="40" t="str">
        <f ca="1">IFERROR(IF(AND(
  INDEX(Roadmap!$D:$K,MATCH($E23,Roadmap!$D:$D,0)+COUNTIF($E23:AE23,"u")+COUNTIF($E23:AE23,"t")+COUNTIF($E23:AE23,"¶")+COUNTIF($E23:AE23,"²")+COUNTIF($E23:AE23,"µ")+COUNTIF($E23:AE23,1),ColLivraison)=AF$6,
  VLOOKUP($E23,INDIRECT("tri!"&amp; CHAR(64+ C0Col) &amp;":"&amp; CHAR(65+C0Col)),2,FALSE)&gt;COUNTIF($E23:AE23,"u")+COUNTIF($E23:AE23,"t")+COUNTIF($E23:AE23,"¶")+COUNTIF($E23:AE23,"²")+COUNTIF($E23:AE23,"µ")+COUNTIF($E23:AE23,1)),
HYPERLINK("#Roadmap!C"&amp; MATCH($E23,Roadmap!$D:$D,0)+COUNTIF($E23:AE23,"u")+COUNTIF($E23:AE23,"t"),
     INDEX(Roadmap!$D:$K,MATCH($E23,Roadmap!$D:$D,0)+COUNTIF($E23:AE23,"u")+COUNTIF($E23:AE23,"t")+COUNTIF($E23:AE23,"¶")+COUNTIF($E23:AE23,"²")+COUNTIF($E23:AE23,"µ")+COUNTIF($E23:AE23,1),ColTypeEcheance)),
  IF(LEN(AE23)=1,
  IF(LEN(INDEX(Roadmap!$D:$K,MATCH($E23,Roadmap!$D:$D,0)-1+COUNTIF($E23:AE23,"u")+COUNTIF($E23:AE23,"t")+COUNTIF($E23:AE23,"¶")+COUNTIF($E23:AE23,"²")+COUNTIF($E23:AE23,"µ")+COUNTIF($E23:AE23,1),ColDescriptionCourte))&gt;1,
HYPERLINK("#Roadmap!C"&amp; MATCH($E23,Roadmap!$D:$D,0)+COUNTIF($E23:AE23,"u")+COUNTIF($E23:AE23,"t")+COUNTIF($E23:AE23,"¶")+COUNTIF($E23:AE23,"²")+COUNTIF($E23:AE23,"µ")+COUNTIF($E23:AE23,1)-1,INDEX(Roadmap!$D:$K,MATCH($E23,Roadmap!$D:$D,0)-1+COUNTIF($E23:AE23,"u")+COUNTIF($E23:AE23,"t")+COUNTIF($E23:AE23,"¶")+COUNTIF($E23:AE23,"²")+COUNTIF($E23:AE23,"µ")+COUNTIF($E23:AE23,1),ColDescriptionCourte)),""),
  "")),"")</f>
        <v/>
      </c>
      <c r="AG23" s="40" t="str">
        <f ca="1">IFERROR(IF(AND(
  INDEX(Roadmap!$D:$K,MATCH($E23,Roadmap!$D:$D,0)+COUNTIF($E23:AF23,"u")+COUNTIF($E23:AF23,"t")+COUNTIF($E23:AF23,"¶")+COUNTIF($E23:AF23,"²")+COUNTIF($E23:AF23,"µ")+COUNTIF($E23:AF23,1),ColLivraison)=AG$6,
  VLOOKUP($E23,INDIRECT("tri!"&amp; CHAR(64+ C0Col) &amp;":"&amp; CHAR(65+C0Col)),2,FALSE)&gt;COUNTIF($E23:AF23,"u")+COUNTIF($E23:AF23,"t")+COUNTIF($E23:AF23,"¶")+COUNTIF($E23:AF23,"²")+COUNTIF($E23:AF23,"µ")+COUNTIF($E23:AF23,1)),
HYPERLINK("#Roadmap!C"&amp; MATCH($E23,Roadmap!$D:$D,0)+COUNTIF($E23:AF23,"u")+COUNTIF($E23:AF23,"t"),
     INDEX(Roadmap!$D:$K,MATCH($E23,Roadmap!$D:$D,0)+COUNTIF($E23:AF23,"u")+COUNTIF($E23:AF23,"t")+COUNTIF($E23:AF23,"¶")+COUNTIF($E23:AF23,"²")+COUNTIF($E23:AF23,"µ")+COUNTIF($E23:AF23,1),ColTypeEcheance)),
  IF(LEN(AF23)=1,
  IF(LEN(INDEX(Roadmap!$D:$K,MATCH($E23,Roadmap!$D:$D,0)-1+COUNTIF($E23:AF23,"u")+COUNTIF($E23:AF23,"t")+COUNTIF($E23:AF23,"¶")+COUNTIF($E23:AF23,"²")+COUNTIF($E23:AF23,"µ")+COUNTIF($E23:AF23,1),ColDescriptionCourte))&gt;1,
HYPERLINK("#Roadmap!C"&amp; MATCH($E23,Roadmap!$D:$D,0)+COUNTIF($E23:AF23,"u")+COUNTIF($E23:AF23,"t")+COUNTIF($E23:AF23,"¶")+COUNTIF($E23:AF23,"²")+COUNTIF($E23:AF23,"µ")+COUNTIF($E23:AF23,1)-1,INDEX(Roadmap!$D:$K,MATCH($E23,Roadmap!$D:$D,0)-1+COUNTIF($E23:AF23,"u")+COUNTIF($E23:AF23,"t")+COUNTIF($E23:AF23,"¶")+COUNTIF($E23:AF23,"²")+COUNTIF($E23:AF23,"µ")+COUNTIF($E23:AF23,1),ColDescriptionCourte)),""),
  "")),"")</f>
        <v/>
      </c>
    </row>
    <row r="24" spans="3:33" ht="14.25" customHeight="1">
      <c r="C24" s="1" t="str">
        <f t="shared" ca="1" si="42"/>
        <v/>
      </c>
      <c r="D24" s="1" t="str">
        <f t="shared" ca="1" si="43"/>
        <v/>
      </c>
      <c r="E24" s="35" t="str">
        <f t="shared" ca="1" si="33"/>
        <v/>
      </c>
      <c r="F24" s="39" t="str">
        <f ca="1">IFERROR(IF(AND(
  INDEX(Roadmap!$D:$K,MATCH($E24,Roadmap!$D:$D,0)+COUNTIF($E24:E24,"u")+COUNTIF($E24:E24,"t")+COUNTIF($E24:E24,"¶")+COUNTIF($E24:E24,"²")+COUNTIF($E24:E24,"µ")+COUNTIF($E24:E24,1),ColLivraison)=F$6,
  VLOOKUP($E24,INDIRECT("tri!"&amp; CHAR(64+ C0Col) &amp;":"&amp; CHAR(65+C0Col)),2,FALSE)&gt;COUNTIF($E24:E24,"u")+COUNTIF($E24:E24,"t")+COUNTIF($E24:E24,"¶")+COUNTIF($E24:E24,"²")+COUNTIF($E24:E24,"µ")+COUNTIF($E24:E24,1)),
HYPERLINK("#Roadmap!C"&amp; MATCH($E24,Roadmap!$D:$D,0)+COUNTIF($E24:E24,"u")+COUNTIF($E24:E24,"t"),
     INDEX(Roadmap!$D:$K,MATCH($E24,Roadmap!$D:$D,0)+COUNTIF($E24:E24,"u")+COUNTIF($E24:E24,"t")+COUNTIF($E24:E24,"¶")+COUNTIF($E24:E24,"²")+COUNTIF($E24:E24,"µ")+COUNTIF($E24:E24,1),ColTypeEcheance)),
  IF(LEN(E24)=1,
  IF(LEN(INDEX(Roadmap!$D:$K,MATCH($E24,Roadmap!$D:$D,0)-1+COUNTIF($E24:E24,"u")+COUNTIF($E24:E24,"t")+COUNTIF($E24:E24,"¶")+COUNTIF($E24:E24,"²")+COUNTIF($E24:E24,"µ")+COUNTIF($E24:E24,1),ColDescriptionCourte))&gt;1,
HYPERLINK("#Roadmap!C"&amp; MATCH($E24,Roadmap!$D:$D,0)+COUNTIF($E24:E24,"u")+COUNTIF($E24:E24,"t")+COUNTIF($E24:E24,"¶")+COUNTIF($E24:E24,"²")+COUNTIF($E24:E24,"µ")+COUNTIF($E24:E24,1)-1,INDEX(Roadmap!$D:$K,MATCH($E24,Roadmap!$D:$D,0)-1+COUNTIF($E24:E24,"u")+COUNTIF($E24:E24,"t")+COUNTIF($E24:E24,"¶")+COUNTIF($E24:E24,"²")+COUNTIF($E24:E24,"µ")+COUNTIF($E24:E24,1),ColDescriptionCourte)),""),
  "")),"")</f>
        <v/>
      </c>
      <c r="G24" s="40" t="str">
        <f ca="1">IFERROR(IF(AND(
  INDEX(Roadmap!$D:$K,MATCH($E24,Roadmap!$D:$D,0)+COUNTIF($E24:F24,"u")+COUNTIF($E24:F24,"t")+COUNTIF($E24:F24,"¶")+COUNTIF($E24:F24,"²")+COUNTIF($E24:F24,"µ")+COUNTIF($E24:F24,1),ColLivraison)=G$6,
  VLOOKUP($E24,INDIRECT("tri!"&amp; CHAR(64+ C0Col) &amp;":"&amp; CHAR(65+C0Col)),2,FALSE)&gt;COUNTIF($E24:F24,"u")+COUNTIF($E24:F24,"t")+COUNTIF($E24:F24,"¶")+COUNTIF($E24:F24,"²")+COUNTIF($E24:F24,"µ")+COUNTIF($E24:F24,1)),
HYPERLINK("#Roadmap!C"&amp; MATCH($E24,Roadmap!$D:$D,0)+COUNTIF($E24:F24,"u")+COUNTIF($E24:F24,"t"),
     INDEX(Roadmap!$D:$K,MATCH($E24,Roadmap!$D:$D,0)+COUNTIF($E24:F24,"u")+COUNTIF($E24:F24,"t")+COUNTIF($E24:F24,"¶")+COUNTIF($E24:F24,"²")+COUNTIF($E24:F24,"µ")+COUNTIF($E24:F24,1),ColTypeEcheance)),
  IF(LEN(F24)=1,
  IF(LEN(INDEX(Roadmap!$D:$K,MATCH($E24,Roadmap!$D:$D,0)-1+COUNTIF($E24:F24,"u")+COUNTIF($E24:F24,"t")+COUNTIF($E24:F24,"¶")+COUNTIF($E24:F24,"²")+COUNTIF($E24:F24,"µ")+COUNTIF($E24:F24,1),ColDescriptionCourte))&gt;1,
HYPERLINK("#Roadmap!C"&amp; MATCH($E24,Roadmap!$D:$D,0)+COUNTIF($E24:F24,"u")+COUNTIF($E24:F24,"t")+COUNTIF($E24:F24,"¶")+COUNTIF($E24:F24,"²")+COUNTIF($E24:F24,"µ")+COUNTIF($E24:F24,1)-1,INDEX(Roadmap!$D:$K,MATCH($E24,Roadmap!$D:$D,0)-1+COUNTIF($E24:F24,"u")+COUNTIF($E24:F24,"t")+COUNTIF($E24:F24,"¶")+COUNTIF($E24:F24,"²")+COUNTIF($E24:F24,"µ")+COUNTIF($E24:F24,1),ColDescriptionCourte)),""),
  "")),"")</f>
        <v/>
      </c>
      <c r="H24" s="40" t="str">
        <f ca="1">IFERROR(IF(AND(
  INDEX(Roadmap!$D:$K,MATCH($E24,Roadmap!$D:$D,0)+COUNTIF($E24:G24,"u")+COUNTIF($E24:G24,"t")+COUNTIF($E24:G24,"¶")+COUNTIF($E24:G24,"²")+COUNTIF($E24:G24,"µ")+COUNTIF($E24:G24,1),ColLivraison)=H$6,
  VLOOKUP($E24,INDIRECT("tri!"&amp; CHAR(64+ C0Col) &amp;":"&amp; CHAR(65+C0Col)),2,FALSE)&gt;COUNTIF($E24:G24,"u")+COUNTIF($E24:G24,"t")+COUNTIF($E24:G24,"¶")+COUNTIF($E24:G24,"²")+COUNTIF($E24:G24,"µ")+COUNTIF($E24:G24,1)),
HYPERLINK("#Roadmap!C"&amp; MATCH($E24,Roadmap!$D:$D,0)+COUNTIF($E24:G24,"u")+COUNTIF($E24:G24,"t"),
     INDEX(Roadmap!$D:$K,MATCH($E24,Roadmap!$D:$D,0)+COUNTIF($E24:G24,"u")+COUNTIF($E24:G24,"t")+COUNTIF($E24:G24,"¶")+COUNTIF($E24:G24,"²")+COUNTIF($E24:G24,"µ")+COUNTIF($E24:G24,1),ColTypeEcheance)),
  IF(LEN(G24)=1,
  IF(LEN(INDEX(Roadmap!$D:$K,MATCH($E24,Roadmap!$D:$D,0)-1+COUNTIF($E24:G24,"u")+COUNTIF($E24:G24,"t")+COUNTIF($E24:G24,"¶")+COUNTIF($E24:G24,"²")+COUNTIF($E24:G24,"µ")+COUNTIF($E24:G24,1),ColDescriptionCourte))&gt;1,
HYPERLINK("#Roadmap!C"&amp; MATCH($E24,Roadmap!$D:$D,0)+COUNTIF($E24:G24,"u")+COUNTIF($E24:G24,"t")+COUNTIF($E24:G24,"¶")+COUNTIF($E24:G24,"²")+COUNTIF($E24:G24,"µ")+COUNTIF($E24:G24,1)-1,INDEX(Roadmap!$D:$K,MATCH($E24,Roadmap!$D:$D,0)-1+COUNTIF($E24:G24,"u")+COUNTIF($E24:G24,"t")+COUNTIF($E24:G24,"¶")+COUNTIF($E24:G24,"²")+COUNTIF($E24:G24,"µ")+COUNTIF($E24:G24,1),ColDescriptionCourte)),""),
  "")),"")</f>
        <v/>
      </c>
      <c r="I24" s="40" t="str">
        <f ca="1">IFERROR(IF(AND(
  INDEX(Roadmap!$D:$K,MATCH($E24,Roadmap!$D:$D,0)+COUNTIF($E24:H24,"u")+COUNTIF($E24:H24,"t")+COUNTIF($E24:H24,"¶")+COUNTIF($E24:H24,"²")+COUNTIF($E24:H24,"µ")+COUNTIF($E24:H24,1),ColLivraison)=I$6,
  VLOOKUP($E24,INDIRECT("tri!"&amp; CHAR(64+ C0Col) &amp;":"&amp; CHAR(65+C0Col)),2,FALSE)&gt;COUNTIF($E24:H24,"u")+COUNTIF($E24:H24,"t")+COUNTIF($E24:H24,"¶")+COUNTIF($E24:H24,"²")+COUNTIF($E24:H24,"µ")+COUNTIF($E24:H24,1)),
HYPERLINK("#Roadmap!C"&amp; MATCH($E24,Roadmap!$D:$D,0)+COUNTIF($E24:H24,"u")+COUNTIF($E24:H24,"t"),
     INDEX(Roadmap!$D:$K,MATCH($E24,Roadmap!$D:$D,0)+COUNTIF($E24:H24,"u")+COUNTIF($E24:H24,"t")+COUNTIF($E24:H24,"¶")+COUNTIF($E24:H24,"²")+COUNTIF($E24:H24,"µ")+COUNTIF($E24:H24,1),ColTypeEcheance)),
  IF(LEN(H24)=1,
  IF(LEN(INDEX(Roadmap!$D:$K,MATCH($E24,Roadmap!$D:$D,0)-1+COUNTIF($E24:H24,"u")+COUNTIF($E24:H24,"t")+COUNTIF($E24:H24,"¶")+COUNTIF($E24:H24,"²")+COUNTIF($E24:H24,"µ")+COUNTIF($E24:H24,1),ColDescriptionCourte))&gt;1,
HYPERLINK("#Roadmap!C"&amp; MATCH($E24,Roadmap!$D:$D,0)+COUNTIF($E24:H24,"u")+COUNTIF($E24:H24,"t")+COUNTIF($E24:H24,"¶")+COUNTIF($E24:H24,"²")+COUNTIF($E24:H24,"µ")+COUNTIF($E24:H24,1)-1,INDEX(Roadmap!$D:$K,MATCH($E24,Roadmap!$D:$D,0)-1+COUNTIF($E24:H24,"u")+COUNTIF($E24:H24,"t")+COUNTIF($E24:H24,"¶")+COUNTIF($E24:H24,"²")+COUNTIF($E24:H24,"µ")+COUNTIF($E24:H24,1),ColDescriptionCourte)),""),
  "")),"")</f>
        <v/>
      </c>
      <c r="J24" s="40" t="str">
        <f ca="1">IFERROR(IF(AND(
  INDEX(Roadmap!$D:$K,MATCH($E24,Roadmap!$D:$D,0)+COUNTIF($E24:I24,"u")+COUNTIF($E24:I24,"t")+COUNTIF($E24:I24,"¶")+COUNTIF($E24:I24,"²")+COUNTIF($E24:I24,"µ")+COUNTIF($E24:I24,1),ColLivraison)=J$6,
  VLOOKUP($E24,INDIRECT("tri!"&amp; CHAR(64+ C0Col) &amp;":"&amp; CHAR(65+C0Col)),2,FALSE)&gt;COUNTIF($E24:I24,"u")+COUNTIF($E24:I24,"t")+COUNTIF($E24:I24,"¶")+COUNTIF($E24:I24,"²")+COUNTIF($E24:I24,"µ")+COUNTIF($E24:I24,1)),
HYPERLINK("#Roadmap!C"&amp; MATCH($E24,Roadmap!$D:$D,0)+COUNTIF($E24:I24,"u")+COUNTIF($E24:I24,"t"),
     INDEX(Roadmap!$D:$K,MATCH($E24,Roadmap!$D:$D,0)+COUNTIF($E24:I24,"u")+COUNTIF($E24:I24,"t")+COUNTIF($E24:I24,"¶")+COUNTIF($E24:I24,"²")+COUNTIF($E24:I24,"µ")+COUNTIF($E24:I24,1),ColTypeEcheance)),
  IF(LEN(I24)=1,
  IF(LEN(INDEX(Roadmap!$D:$K,MATCH($E24,Roadmap!$D:$D,0)-1+COUNTIF($E24:I24,"u")+COUNTIF($E24:I24,"t")+COUNTIF($E24:I24,"¶")+COUNTIF($E24:I24,"²")+COUNTIF($E24:I24,"µ")+COUNTIF($E24:I24,1),ColDescriptionCourte))&gt;1,
HYPERLINK("#Roadmap!C"&amp; MATCH($E24,Roadmap!$D:$D,0)+COUNTIF($E24:I24,"u")+COUNTIF($E24:I24,"t")+COUNTIF($E24:I24,"¶")+COUNTIF($E24:I24,"²")+COUNTIF($E24:I24,"µ")+COUNTIF($E24:I24,1)-1,INDEX(Roadmap!$D:$K,MATCH($E24,Roadmap!$D:$D,0)-1+COUNTIF($E24:I24,"u")+COUNTIF($E24:I24,"t")+COUNTIF($E24:I24,"¶")+COUNTIF($E24:I24,"²")+COUNTIF($E24:I24,"µ")+COUNTIF($E24:I24,1),ColDescriptionCourte)),""),
  "")),"")</f>
        <v/>
      </c>
      <c r="K24" s="40" t="str">
        <f ca="1">IFERROR(IF(AND(
  INDEX(Roadmap!$D:$K,MATCH($E24,Roadmap!$D:$D,0)+COUNTIF($E24:J24,"u")+COUNTIF($E24:J24,"t")+COUNTIF($E24:J24,"¶")+COUNTIF($E24:J24,"²")+COUNTIF($E24:J24,"µ")+COUNTIF($E24:J24,1),ColLivraison)=K$6,
  VLOOKUP($E24,INDIRECT("tri!"&amp; CHAR(64+ C0Col) &amp;":"&amp; CHAR(65+C0Col)),2,FALSE)&gt;COUNTIF($E24:J24,"u")+COUNTIF($E24:J24,"t")+COUNTIF($E24:J24,"¶")+COUNTIF($E24:J24,"²")+COUNTIF($E24:J24,"µ")+COUNTIF($E24:J24,1)),
HYPERLINK("#Roadmap!C"&amp; MATCH($E24,Roadmap!$D:$D,0)+COUNTIF($E24:J24,"u")+COUNTIF($E24:J24,"t"),
     INDEX(Roadmap!$D:$K,MATCH($E24,Roadmap!$D:$D,0)+COUNTIF($E24:J24,"u")+COUNTIF($E24:J24,"t")+COUNTIF($E24:J24,"¶")+COUNTIF($E24:J24,"²")+COUNTIF($E24:J24,"µ")+COUNTIF($E24:J24,1),ColTypeEcheance)),
  IF(LEN(J24)=1,
  IF(LEN(INDEX(Roadmap!$D:$K,MATCH($E24,Roadmap!$D:$D,0)-1+COUNTIF($E24:J24,"u")+COUNTIF($E24:J24,"t")+COUNTIF($E24:J24,"¶")+COUNTIF($E24:J24,"²")+COUNTIF($E24:J24,"µ")+COUNTIF($E24:J24,1),ColDescriptionCourte))&gt;1,
HYPERLINK("#Roadmap!C"&amp; MATCH($E24,Roadmap!$D:$D,0)+COUNTIF($E24:J24,"u")+COUNTIF($E24:J24,"t")+COUNTIF($E24:J24,"¶")+COUNTIF($E24:J24,"²")+COUNTIF($E24:J24,"µ")+COUNTIF($E24:J24,1)-1,INDEX(Roadmap!$D:$K,MATCH($E24,Roadmap!$D:$D,0)-1+COUNTIF($E24:J24,"u")+COUNTIF($E24:J24,"t")+COUNTIF($E24:J24,"¶")+COUNTIF($E24:J24,"²")+COUNTIF($E24:J24,"µ")+COUNTIF($E24:J24,1),ColDescriptionCourte)),""),
  "")),"")</f>
        <v/>
      </c>
      <c r="L24" s="39" t="str">
        <f ca="1">IFERROR(IF(AND(
  INDEX(Roadmap!$D:$K,MATCH($E24,Roadmap!$D:$D,0)+COUNTIF($E24:K24,"u")+COUNTIF($E24:K24,"t")+COUNTIF($E24:K24,"¶")+COUNTIF($E24:K24,"²")+COUNTIF($E24:K24,"µ")+COUNTIF($E24:K24,1),ColLivraison)=L$6,
  VLOOKUP($E24,INDIRECT("tri!"&amp; CHAR(64+ C0Col) &amp;":"&amp; CHAR(65+C0Col)),2,FALSE)&gt;COUNTIF($E24:K24,"u")+COUNTIF($E24:K24,"t")+COUNTIF($E24:K24,"¶")+COUNTIF($E24:K24,"²")+COUNTIF($E24:K24,"µ")+COUNTIF($E24:K24,1)),
HYPERLINK("#Roadmap!C"&amp; MATCH($E24,Roadmap!$D:$D,0)+COUNTIF($E24:K24,"u")+COUNTIF($E24:K24,"t"),
     INDEX(Roadmap!$D:$K,MATCH($E24,Roadmap!$D:$D,0)+COUNTIF($E24:K24,"u")+COUNTIF($E24:K24,"t")+COUNTIF($E24:K24,"¶")+COUNTIF($E24:K24,"²")+COUNTIF($E24:K24,"µ")+COUNTIF($E24:K24,1),ColTypeEcheance)),
  IF(LEN(K24)=1,
  IF(LEN(INDEX(Roadmap!$D:$K,MATCH($E24,Roadmap!$D:$D,0)-1+COUNTIF($E24:K24,"u")+COUNTIF($E24:K24,"t")+COUNTIF($E24:K24,"¶")+COUNTIF($E24:K24,"²")+COUNTIF($E24:K24,"µ")+COUNTIF($E24:K24,1),ColDescriptionCourte))&gt;1,
HYPERLINK("#Roadmap!C"&amp; MATCH($E24,Roadmap!$D:$D,0)+COUNTIF($E24:K24,"u")+COUNTIF($E24:K24,"t")+COUNTIF($E24:K24,"¶")+COUNTIF($E24:K24,"²")+COUNTIF($E24:K24,"µ")+COUNTIF($E24:K24,1)-1,INDEX(Roadmap!$D:$K,MATCH($E24,Roadmap!$D:$D,0)-1+COUNTIF($E24:K24,"u")+COUNTIF($E24:K24,"t")+COUNTIF($E24:K24,"¶")+COUNTIF($E24:K24,"²")+COUNTIF($E24:K24,"µ")+COUNTIF($E24:K24,1),ColDescriptionCourte)),""),
  "")),"")</f>
        <v/>
      </c>
      <c r="M24" s="40" t="str">
        <f ca="1">IFERROR(IF(AND(
  INDEX(Roadmap!$D:$K,MATCH($E24,Roadmap!$D:$D,0)+COUNTIF($E24:L24,"u")+COUNTIF($E24:L24,"t")+COUNTIF($E24:L24,"¶")+COUNTIF($E24:L24,"²")+COUNTIF($E24:L24,"µ")+COUNTIF($E24:L24,1),ColLivraison)=M$6,
  VLOOKUP($E24,INDIRECT("tri!"&amp; CHAR(64+ C0Col) &amp;":"&amp; CHAR(65+C0Col)),2,FALSE)&gt;COUNTIF($E24:L24,"u")+COUNTIF($E24:L24,"t")+COUNTIF($E24:L24,"¶")+COUNTIF($E24:L24,"²")+COUNTIF($E24:L24,"µ")+COUNTIF($E24:L24,1)),
HYPERLINK("#Roadmap!C"&amp; MATCH($E24,Roadmap!$D:$D,0)+COUNTIF($E24:L24,"u")+COUNTIF($E24:L24,"t"),
     INDEX(Roadmap!$D:$K,MATCH($E24,Roadmap!$D:$D,0)+COUNTIF($E24:L24,"u")+COUNTIF($E24:L24,"t")+COUNTIF($E24:L24,"¶")+COUNTIF($E24:L24,"²")+COUNTIF($E24:L24,"µ")+COUNTIF($E24:L24,1),ColTypeEcheance)),
  IF(LEN(L24)=1,
  IF(LEN(INDEX(Roadmap!$D:$K,MATCH($E24,Roadmap!$D:$D,0)-1+COUNTIF($E24:L24,"u")+COUNTIF($E24:L24,"t")+COUNTIF($E24:L24,"¶")+COUNTIF($E24:L24,"²")+COUNTIF($E24:L24,"µ")+COUNTIF($E24:L24,1),ColDescriptionCourte))&gt;1,
HYPERLINK("#Roadmap!C"&amp; MATCH($E24,Roadmap!$D:$D,0)+COUNTIF($E24:L24,"u")+COUNTIF($E24:L24,"t")+COUNTIF($E24:L24,"¶")+COUNTIF($E24:L24,"²")+COUNTIF($E24:L24,"µ")+COUNTIF($E24:L24,1)-1,INDEX(Roadmap!$D:$K,MATCH($E24,Roadmap!$D:$D,0)-1+COUNTIF($E24:L24,"u")+COUNTIF($E24:L24,"t")+COUNTIF($E24:L24,"¶")+COUNTIF($E24:L24,"²")+COUNTIF($E24:L24,"µ")+COUNTIF($E24:L24,1),ColDescriptionCourte)),""),
  "")),"")</f>
        <v/>
      </c>
      <c r="N24" s="40" t="str">
        <f ca="1">IFERROR(IF(AND(
  INDEX(Roadmap!$D:$K,MATCH($E24,Roadmap!$D:$D,0)+COUNTIF($E24:M24,"u")+COUNTIF($E24:M24,"t")+COUNTIF($E24:M24,"¶")+COUNTIF($E24:M24,"²")+COUNTIF($E24:M24,"µ")+COUNTIF($E24:M24,1),ColLivraison)=N$6,
  VLOOKUP($E24,INDIRECT("tri!"&amp; CHAR(64+ C0Col) &amp;":"&amp; CHAR(65+C0Col)),2,FALSE)&gt;COUNTIF($E24:M24,"u")+COUNTIF($E24:M24,"t")+COUNTIF($E24:M24,"¶")+COUNTIF($E24:M24,"²")+COUNTIF($E24:M24,"µ")+COUNTIF($E24:M24,1)),
HYPERLINK("#Roadmap!C"&amp; MATCH($E24,Roadmap!$D:$D,0)+COUNTIF($E24:M24,"u")+COUNTIF($E24:M24,"t"),
     INDEX(Roadmap!$D:$K,MATCH($E24,Roadmap!$D:$D,0)+COUNTIF($E24:M24,"u")+COUNTIF($E24:M24,"t")+COUNTIF($E24:M24,"¶")+COUNTIF($E24:M24,"²")+COUNTIF($E24:M24,"µ")+COUNTIF($E24:M24,1),ColTypeEcheance)),
  IF(LEN(M24)=1,
  IF(LEN(INDEX(Roadmap!$D:$K,MATCH($E24,Roadmap!$D:$D,0)-1+COUNTIF($E24:M24,"u")+COUNTIF($E24:M24,"t")+COUNTIF($E24:M24,"¶")+COUNTIF($E24:M24,"²")+COUNTIF($E24:M24,"µ")+COUNTIF($E24:M24,1),ColDescriptionCourte))&gt;1,
HYPERLINK("#Roadmap!C"&amp; MATCH($E24,Roadmap!$D:$D,0)+COUNTIF($E24:M24,"u")+COUNTIF($E24:M24,"t")+COUNTIF($E24:M24,"¶")+COUNTIF($E24:M24,"²")+COUNTIF($E24:M24,"µ")+COUNTIF($E24:M24,1)-1,INDEX(Roadmap!$D:$K,MATCH($E24,Roadmap!$D:$D,0)-1+COUNTIF($E24:M24,"u")+COUNTIF($E24:M24,"t")+COUNTIF($E24:M24,"¶")+COUNTIF($E24:M24,"²")+COUNTIF($E24:M24,"µ")+COUNTIF($E24:M24,1),ColDescriptionCourte)),""),
  "")),"")</f>
        <v/>
      </c>
      <c r="O24" s="40" t="str">
        <f ca="1">IFERROR(IF(AND(
  INDEX(Roadmap!$D:$K,MATCH($E24,Roadmap!$D:$D,0)+COUNTIF($E24:N24,"u")+COUNTIF($E24:N24,"t")+COUNTIF($E24:N24,"¶")+COUNTIF($E24:N24,"²")+COUNTIF($E24:N24,"µ")+COUNTIF($E24:N24,1),ColLivraison)=O$6,
  VLOOKUP($E24,INDIRECT("tri!"&amp; CHAR(64+ C0Col) &amp;":"&amp; CHAR(65+C0Col)),2,FALSE)&gt;COUNTIF($E24:N24,"u")+COUNTIF($E24:N24,"t")+COUNTIF($E24:N24,"¶")+COUNTIF($E24:N24,"²")+COUNTIF($E24:N24,"µ")+COUNTIF($E24:N24,1)),
HYPERLINK("#Roadmap!C"&amp; MATCH($E24,Roadmap!$D:$D,0)+COUNTIF($E24:N24,"u")+COUNTIF($E24:N24,"t"),
     INDEX(Roadmap!$D:$K,MATCH($E24,Roadmap!$D:$D,0)+COUNTIF($E24:N24,"u")+COUNTIF($E24:N24,"t")+COUNTIF($E24:N24,"¶")+COUNTIF($E24:N24,"²")+COUNTIF($E24:N24,"µ")+COUNTIF($E24:N24,1),ColTypeEcheance)),
  IF(LEN(N24)=1,
  IF(LEN(INDEX(Roadmap!$D:$K,MATCH($E24,Roadmap!$D:$D,0)-1+COUNTIF($E24:N24,"u")+COUNTIF($E24:N24,"t")+COUNTIF($E24:N24,"¶")+COUNTIF($E24:N24,"²")+COUNTIF($E24:N24,"µ")+COUNTIF($E24:N24,1),ColDescriptionCourte))&gt;1,
HYPERLINK("#Roadmap!C"&amp; MATCH($E24,Roadmap!$D:$D,0)+COUNTIF($E24:N24,"u")+COUNTIF($E24:N24,"t")+COUNTIF($E24:N24,"¶")+COUNTIF($E24:N24,"²")+COUNTIF($E24:N24,"µ")+COUNTIF($E24:N24,1)-1,INDEX(Roadmap!$D:$K,MATCH($E24,Roadmap!$D:$D,0)-1+COUNTIF($E24:N24,"u")+COUNTIF($E24:N24,"t")+COUNTIF($E24:N24,"¶")+COUNTIF($E24:N24,"²")+COUNTIF($E24:N24,"µ")+COUNTIF($E24:N24,1),ColDescriptionCourte)),""),
  "")),"")</f>
        <v/>
      </c>
      <c r="P24" s="40" t="str">
        <f ca="1">IFERROR(IF(AND(
  INDEX(Roadmap!$D:$K,MATCH($E24,Roadmap!$D:$D,0)+COUNTIF($E24:O24,"u")+COUNTIF($E24:O24,"t")+COUNTIF($E24:O24,"¶")+COUNTIF($E24:O24,"²")+COUNTIF($E24:O24,"µ")+COUNTIF($E24:O24,1),ColLivraison)=P$6,
  VLOOKUP($E24,INDIRECT("tri!"&amp; CHAR(64+ C0Col) &amp;":"&amp; CHAR(65+C0Col)),2,FALSE)&gt;COUNTIF($E24:O24,"u")+COUNTIF($E24:O24,"t")+COUNTIF($E24:O24,"¶")+COUNTIF($E24:O24,"²")+COUNTIF($E24:O24,"µ")+COUNTIF($E24:O24,1)),
HYPERLINK("#Roadmap!C"&amp; MATCH($E24,Roadmap!$D:$D,0)+COUNTIF($E24:O24,"u")+COUNTIF($E24:O24,"t"),
     INDEX(Roadmap!$D:$K,MATCH($E24,Roadmap!$D:$D,0)+COUNTIF($E24:O24,"u")+COUNTIF($E24:O24,"t")+COUNTIF($E24:O24,"¶")+COUNTIF($E24:O24,"²")+COUNTIF($E24:O24,"µ")+COUNTIF($E24:O24,1),ColTypeEcheance)),
  IF(LEN(O24)=1,
  IF(LEN(INDEX(Roadmap!$D:$K,MATCH($E24,Roadmap!$D:$D,0)-1+COUNTIF($E24:O24,"u")+COUNTIF($E24:O24,"t")+COUNTIF($E24:O24,"¶")+COUNTIF($E24:O24,"²")+COUNTIF($E24:O24,"µ")+COUNTIF($E24:O24,1),ColDescriptionCourte))&gt;1,
HYPERLINK("#Roadmap!C"&amp; MATCH($E24,Roadmap!$D:$D,0)+COUNTIF($E24:O24,"u")+COUNTIF($E24:O24,"t")+COUNTIF($E24:O24,"¶")+COUNTIF($E24:O24,"²")+COUNTIF($E24:O24,"µ")+COUNTIF($E24:O24,1)-1,INDEX(Roadmap!$D:$K,MATCH($E24,Roadmap!$D:$D,0)-1+COUNTIF($E24:O24,"u")+COUNTIF($E24:O24,"t")+COUNTIF($E24:O24,"¶")+COUNTIF($E24:O24,"²")+COUNTIF($E24:O24,"µ")+COUNTIF($E24:O24,1),ColDescriptionCourte)),""),
  "")),"")</f>
        <v/>
      </c>
      <c r="Q24" s="40" t="str">
        <f ca="1">IFERROR(IF(AND(
  INDEX(Roadmap!$D:$K,MATCH($E24,Roadmap!$D:$D,0)+COUNTIF($E24:P24,"u")+COUNTIF($E24:P24,"t")+COUNTIF($E24:P24,"¶")+COUNTIF($E24:P24,"²")+COUNTIF($E24:P24,"µ")+COUNTIF($E24:P24,1),ColLivraison)=Q$6,
  VLOOKUP($E24,INDIRECT("tri!"&amp; CHAR(64+ C0Col) &amp;":"&amp; CHAR(65+C0Col)),2,FALSE)&gt;COUNTIF($E24:P24,"u")+COUNTIF($E24:P24,"t")+COUNTIF($E24:P24,"¶")+COUNTIF($E24:P24,"²")+COUNTIF($E24:P24,"µ")+COUNTIF($E24:P24,1)),
HYPERLINK("#Roadmap!C"&amp; MATCH($E24,Roadmap!$D:$D,0)+COUNTIF($E24:P24,"u")+COUNTIF($E24:P24,"t"),
     INDEX(Roadmap!$D:$K,MATCH($E24,Roadmap!$D:$D,0)+COUNTIF($E24:P24,"u")+COUNTIF($E24:P24,"t")+COUNTIF($E24:P24,"¶")+COUNTIF($E24:P24,"²")+COUNTIF($E24:P24,"µ")+COUNTIF($E24:P24,1),ColTypeEcheance)),
  IF(LEN(P24)=1,
  IF(LEN(INDEX(Roadmap!$D:$K,MATCH($E24,Roadmap!$D:$D,0)-1+COUNTIF($E24:P24,"u")+COUNTIF($E24:P24,"t")+COUNTIF($E24:P24,"¶")+COUNTIF($E24:P24,"²")+COUNTIF($E24:P24,"µ")+COUNTIF($E24:P24,1),ColDescriptionCourte))&gt;1,
HYPERLINK("#Roadmap!C"&amp; MATCH($E24,Roadmap!$D:$D,0)+COUNTIF($E24:P24,"u")+COUNTIF($E24:P24,"t")+COUNTIF($E24:P24,"¶")+COUNTIF($E24:P24,"²")+COUNTIF($E24:P24,"µ")+COUNTIF($E24:P24,1)-1,INDEX(Roadmap!$D:$K,MATCH($E24,Roadmap!$D:$D,0)-1+COUNTIF($E24:P24,"u")+COUNTIF($E24:P24,"t")+COUNTIF($E24:P24,"¶")+COUNTIF($E24:P24,"²")+COUNTIF($E24:P24,"µ")+COUNTIF($E24:P24,1),ColDescriptionCourte)),""),
  "")),"")</f>
        <v/>
      </c>
      <c r="R24" s="40" t="str">
        <f ca="1">IFERROR(IF(AND(
  INDEX(Roadmap!$D:$K,MATCH($E24,Roadmap!$D:$D,0)+COUNTIF($E24:Q24,"u")+COUNTIF($E24:Q24,"t")+COUNTIF($E24:Q24,"¶")+COUNTIF($E24:Q24,"²")+COUNTIF($E24:Q24,"µ")+COUNTIF($E24:Q24,1),ColLivraison)=R$6,
  VLOOKUP($E24,INDIRECT("tri!"&amp; CHAR(64+ C0Col) &amp;":"&amp; CHAR(65+C0Col)),2,FALSE)&gt;COUNTIF($E24:Q24,"u")+COUNTIF($E24:Q24,"t")+COUNTIF($E24:Q24,"¶")+COUNTIF($E24:Q24,"²")+COUNTIF($E24:Q24,"µ")+COUNTIF($E24:Q24,1)),
HYPERLINK("#Roadmap!C"&amp; MATCH($E24,Roadmap!$D:$D,0)+COUNTIF($E24:Q24,"u")+COUNTIF($E24:Q24,"t"),
     INDEX(Roadmap!$D:$K,MATCH($E24,Roadmap!$D:$D,0)+COUNTIF($E24:Q24,"u")+COUNTIF($E24:Q24,"t")+COUNTIF($E24:Q24,"¶")+COUNTIF($E24:Q24,"²")+COUNTIF($E24:Q24,"µ")+COUNTIF($E24:Q24,1),ColTypeEcheance)),
  IF(LEN(Q24)=1,
  IF(LEN(INDEX(Roadmap!$D:$K,MATCH($E24,Roadmap!$D:$D,0)-1+COUNTIF($E24:Q24,"u")+COUNTIF($E24:Q24,"t")+COUNTIF($E24:Q24,"¶")+COUNTIF($E24:Q24,"²")+COUNTIF($E24:Q24,"µ")+COUNTIF($E24:Q24,1),ColDescriptionCourte))&gt;1,
HYPERLINK("#Roadmap!C"&amp; MATCH($E24,Roadmap!$D:$D,0)+COUNTIF($E24:Q24,"u")+COUNTIF($E24:Q24,"t")+COUNTIF($E24:Q24,"¶")+COUNTIF($E24:Q24,"²")+COUNTIF($E24:Q24,"µ")+COUNTIF($E24:Q24,1)-1,INDEX(Roadmap!$D:$K,MATCH($E24,Roadmap!$D:$D,0)-1+COUNTIF($E24:Q24,"u")+COUNTIF($E24:Q24,"t")+COUNTIF($E24:Q24,"¶")+COUNTIF($E24:Q24,"²")+COUNTIF($E24:Q24,"µ")+COUNTIF($E24:Q24,1),ColDescriptionCourte)),""),
  "")),"")</f>
        <v/>
      </c>
      <c r="S24" s="40" t="str">
        <f ca="1">IFERROR(IF(AND(
  INDEX(Roadmap!$D:$K,MATCH($E24,Roadmap!$D:$D,0)+COUNTIF($E24:R24,"u")+COUNTIF($E24:R24,"t")+COUNTIF($E24:R24,"¶")+COUNTIF($E24:R24,"²")+COUNTIF($E24:R24,"µ")+COUNTIF($E24:R24,1),ColLivraison)=S$6,
  VLOOKUP($E24,INDIRECT("tri!"&amp; CHAR(64+ C0Col) &amp;":"&amp; CHAR(65+C0Col)),2,FALSE)&gt;COUNTIF($E24:R24,"u")+COUNTIF($E24:R24,"t")+COUNTIF($E24:R24,"¶")+COUNTIF($E24:R24,"²")+COUNTIF($E24:R24,"µ")+COUNTIF($E24:R24,1)),
HYPERLINK("#Roadmap!C"&amp; MATCH($E24,Roadmap!$D:$D,0)+COUNTIF($E24:R24,"u")+COUNTIF($E24:R24,"t"),
     INDEX(Roadmap!$D:$K,MATCH($E24,Roadmap!$D:$D,0)+COUNTIF($E24:R24,"u")+COUNTIF($E24:R24,"t")+COUNTIF($E24:R24,"¶")+COUNTIF($E24:R24,"²")+COUNTIF($E24:R24,"µ")+COUNTIF($E24:R24,1),ColTypeEcheance)),
  IF(LEN(R24)=1,
  IF(LEN(INDEX(Roadmap!$D:$K,MATCH($E24,Roadmap!$D:$D,0)-1+COUNTIF($E24:R24,"u")+COUNTIF($E24:R24,"t")+COUNTIF($E24:R24,"¶")+COUNTIF($E24:R24,"²")+COUNTIF($E24:R24,"µ")+COUNTIF($E24:R24,1),ColDescriptionCourte))&gt;1,
HYPERLINK("#Roadmap!C"&amp; MATCH($E24,Roadmap!$D:$D,0)+COUNTIF($E24:R24,"u")+COUNTIF($E24:R24,"t")+COUNTIF($E24:R24,"¶")+COUNTIF($E24:R24,"²")+COUNTIF($E24:R24,"µ")+COUNTIF($E24:R24,1)-1,INDEX(Roadmap!$D:$K,MATCH($E24,Roadmap!$D:$D,0)-1+COUNTIF($E24:R24,"u")+COUNTIF($E24:R24,"t")+COUNTIF($E24:R24,"¶")+COUNTIF($E24:R24,"²")+COUNTIF($E24:R24,"µ")+COUNTIF($E24:R24,1),ColDescriptionCourte)),""),
  "")),"")</f>
        <v/>
      </c>
      <c r="T24" s="40" t="str">
        <f ca="1">IFERROR(IF(AND(
  INDEX(Roadmap!$D:$K,MATCH($E24,Roadmap!$D:$D,0)+COUNTIF($E24:S24,"u")+COUNTIF($E24:S24,"t")+COUNTIF($E24:S24,"¶")+COUNTIF($E24:S24,"²")+COUNTIF($E24:S24,"µ")+COUNTIF($E24:S24,1),ColLivraison)=T$6,
  VLOOKUP($E24,INDIRECT("tri!"&amp; CHAR(64+ C0Col) &amp;":"&amp; CHAR(65+C0Col)),2,FALSE)&gt;COUNTIF($E24:S24,"u")+COUNTIF($E24:S24,"t")+COUNTIF($E24:S24,"¶")+COUNTIF($E24:S24,"²")+COUNTIF($E24:S24,"µ")+COUNTIF($E24:S24,1)),
HYPERLINK("#Roadmap!C"&amp; MATCH($E24,Roadmap!$D:$D,0)+COUNTIF($E24:S24,"u")+COUNTIF($E24:S24,"t"),
     INDEX(Roadmap!$D:$K,MATCH($E24,Roadmap!$D:$D,0)+COUNTIF($E24:S24,"u")+COUNTIF($E24:S24,"t")+COUNTIF($E24:S24,"¶")+COUNTIF($E24:S24,"²")+COUNTIF($E24:S24,"µ")+COUNTIF($E24:S24,1),ColTypeEcheance)),
  IF(LEN(S24)=1,
  IF(LEN(INDEX(Roadmap!$D:$K,MATCH($E24,Roadmap!$D:$D,0)-1+COUNTIF($E24:S24,"u")+COUNTIF($E24:S24,"t")+COUNTIF($E24:S24,"¶")+COUNTIF($E24:S24,"²")+COUNTIF($E24:S24,"µ")+COUNTIF($E24:S24,1),ColDescriptionCourte))&gt;1,
HYPERLINK("#Roadmap!C"&amp; MATCH($E24,Roadmap!$D:$D,0)+COUNTIF($E24:S24,"u")+COUNTIF($E24:S24,"t")+COUNTIF($E24:S24,"¶")+COUNTIF($E24:S24,"²")+COUNTIF($E24:S24,"µ")+COUNTIF($E24:S24,1)-1,INDEX(Roadmap!$D:$K,MATCH($E24,Roadmap!$D:$D,0)-1+COUNTIF($E24:S24,"u")+COUNTIF($E24:S24,"t")+COUNTIF($E24:S24,"¶")+COUNTIF($E24:S24,"²")+COUNTIF($E24:S24,"µ")+COUNTIF($E24:S24,1),ColDescriptionCourte)),""),
  "")),"")</f>
        <v/>
      </c>
      <c r="U24" s="40" t="str">
        <f ca="1">IFERROR(IF(AND(
  INDEX(Roadmap!$D:$K,MATCH($E24,Roadmap!$D:$D,0)+COUNTIF($E24:T24,"u")+COUNTIF($E24:T24,"t")+COUNTIF($E24:T24,"¶")+COUNTIF($E24:T24,"²")+COUNTIF($E24:T24,"µ")+COUNTIF($E24:T24,1),ColLivraison)=U$6,
  VLOOKUP($E24,INDIRECT("tri!"&amp; CHAR(64+ C0Col) &amp;":"&amp; CHAR(65+C0Col)),2,FALSE)&gt;COUNTIF($E24:T24,"u")+COUNTIF($E24:T24,"t")+COUNTIF($E24:T24,"¶")+COUNTIF($E24:T24,"²")+COUNTIF($E24:T24,"µ")+COUNTIF($E24:T24,1)),
HYPERLINK("#Roadmap!C"&amp; MATCH($E24,Roadmap!$D:$D,0)+COUNTIF($E24:T24,"u")+COUNTIF($E24:T24,"t"),
     INDEX(Roadmap!$D:$K,MATCH($E24,Roadmap!$D:$D,0)+COUNTIF($E24:T24,"u")+COUNTIF($E24:T24,"t")+COUNTIF($E24:T24,"¶")+COUNTIF($E24:T24,"²")+COUNTIF($E24:T24,"µ")+COUNTIF($E24:T24,1),ColTypeEcheance)),
  IF(LEN(T24)=1,
  IF(LEN(INDEX(Roadmap!$D:$K,MATCH($E24,Roadmap!$D:$D,0)-1+COUNTIF($E24:T24,"u")+COUNTIF($E24:T24,"t")+COUNTIF($E24:T24,"¶")+COUNTIF($E24:T24,"²")+COUNTIF($E24:T24,"µ")+COUNTIF($E24:T24,1),ColDescriptionCourte))&gt;1,
HYPERLINK("#Roadmap!C"&amp; MATCH($E24,Roadmap!$D:$D,0)+COUNTIF($E24:T24,"u")+COUNTIF($E24:T24,"t")+COUNTIF($E24:T24,"¶")+COUNTIF($E24:T24,"²")+COUNTIF($E24:T24,"µ")+COUNTIF($E24:T24,1)-1,INDEX(Roadmap!$D:$K,MATCH($E24,Roadmap!$D:$D,0)-1+COUNTIF($E24:T24,"u")+COUNTIF($E24:T24,"t")+COUNTIF($E24:T24,"¶")+COUNTIF($E24:T24,"²")+COUNTIF($E24:T24,"µ")+COUNTIF($E24:T24,1),ColDescriptionCourte)),""),
  "")),"")</f>
        <v/>
      </c>
      <c r="V24" s="40" t="str">
        <f ca="1">IFERROR(IF(AND(
  INDEX(Roadmap!$D:$K,MATCH($E24,Roadmap!$D:$D,0)+COUNTIF($E24:U24,"u")+COUNTIF($E24:U24,"t")+COUNTIF($E24:U24,"¶")+COUNTIF($E24:U24,"²")+COUNTIF($E24:U24,"µ")+COUNTIF($E24:U24,1),ColLivraison)=V$6,
  VLOOKUP($E24,INDIRECT("tri!"&amp; CHAR(64+ C0Col) &amp;":"&amp; CHAR(65+C0Col)),2,FALSE)&gt;COUNTIF($E24:U24,"u")+COUNTIF($E24:U24,"t")+COUNTIF($E24:U24,"¶")+COUNTIF($E24:U24,"²")+COUNTIF($E24:U24,"µ")+COUNTIF($E24:U24,1)),
HYPERLINK("#Roadmap!C"&amp; MATCH($E24,Roadmap!$D:$D,0)+COUNTIF($E24:U24,"u")+COUNTIF($E24:U24,"t"),
     INDEX(Roadmap!$D:$K,MATCH($E24,Roadmap!$D:$D,0)+COUNTIF($E24:U24,"u")+COUNTIF($E24:U24,"t")+COUNTIF($E24:U24,"¶")+COUNTIF($E24:U24,"²")+COUNTIF($E24:U24,"µ")+COUNTIF($E24:U24,1),ColTypeEcheance)),
  IF(LEN(U24)=1,
  IF(LEN(INDEX(Roadmap!$D:$K,MATCH($E24,Roadmap!$D:$D,0)-1+COUNTIF($E24:U24,"u")+COUNTIF($E24:U24,"t")+COUNTIF($E24:U24,"¶")+COUNTIF($E24:U24,"²")+COUNTIF($E24:U24,"µ")+COUNTIF($E24:U24,1),ColDescriptionCourte))&gt;1,
HYPERLINK("#Roadmap!C"&amp; MATCH($E24,Roadmap!$D:$D,0)+COUNTIF($E24:U24,"u")+COUNTIF($E24:U24,"t")+COUNTIF($E24:U24,"¶")+COUNTIF($E24:U24,"²")+COUNTIF($E24:U24,"µ")+COUNTIF($E24:U24,1)-1,INDEX(Roadmap!$D:$K,MATCH($E24,Roadmap!$D:$D,0)-1+COUNTIF($E24:U24,"u")+COUNTIF($E24:U24,"t")+COUNTIF($E24:U24,"¶")+COUNTIF($E24:U24,"²")+COUNTIF($E24:U24,"µ")+COUNTIF($E24:U24,1),ColDescriptionCourte)),""),
  "")),"")</f>
        <v/>
      </c>
      <c r="W24" s="40" t="str">
        <f ca="1">IFERROR(IF(AND(
  INDEX(Roadmap!$D:$K,MATCH($E24,Roadmap!$D:$D,0)+COUNTIF($E24:V24,"u")+COUNTIF($E24:V24,"t")+COUNTIF($E24:V24,"¶")+COUNTIF($E24:V24,"²")+COUNTIF($E24:V24,"µ")+COUNTIF($E24:V24,1),ColLivraison)=W$6,
  VLOOKUP($E24,INDIRECT("tri!"&amp; CHAR(64+ C0Col) &amp;":"&amp; CHAR(65+C0Col)),2,FALSE)&gt;COUNTIF($E24:V24,"u")+COUNTIF($E24:V24,"t")+COUNTIF($E24:V24,"¶")+COUNTIF($E24:V24,"²")+COUNTIF($E24:V24,"µ")+COUNTIF($E24:V24,1)),
HYPERLINK("#Roadmap!C"&amp; MATCH($E24,Roadmap!$D:$D,0)+COUNTIF($E24:V24,"u")+COUNTIF($E24:V24,"t"),
     INDEX(Roadmap!$D:$K,MATCH($E24,Roadmap!$D:$D,0)+COUNTIF($E24:V24,"u")+COUNTIF($E24:V24,"t")+COUNTIF($E24:V24,"¶")+COUNTIF($E24:V24,"²")+COUNTIF($E24:V24,"µ")+COUNTIF($E24:V24,1),ColTypeEcheance)),
  IF(LEN(V24)=1,
  IF(LEN(INDEX(Roadmap!$D:$K,MATCH($E24,Roadmap!$D:$D,0)-1+COUNTIF($E24:V24,"u")+COUNTIF($E24:V24,"t")+COUNTIF($E24:V24,"¶")+COUNTIF($E24:V24,"²")+COUNTIF($E24:V24,"µ")+COUNTIF($E24:V24,1),ColDescriptionCourte))&gt;1,
HYPERLINK("#Roadmap!C"&amp; MATCH($E24,Roadmap!$D:$D,0)+COUNTIF($E24:V24,"u")+COUNTIF($E24:V24,"t")+COUNTIF($E24:V24,"¶")+COUNTIF($E24:V24,"²")+COUNTIF($E24:V24,"µ")+COUNTIF($E24:V24,1)-1,INDEX(Roadmap!$D:$K,MATCH($E24,Roadmap!$D:$D,0)-1+COUNTIF($E24:V24,"u")+COUNTIF($E24:V24,"t")+COUNTIF($E24:V24,"¶")+COUNTIF($E24:V24,"²")+COUNTIF($E24:V24,"µ")+COUNTIF($E24:V24,1),ColDescriptionCourte)),""),
  "")),"")</f>
        <v/>
      </c>
      <c r="X24" s="40" t="str">
        <f ca="1">IFERROR(IF(AND(
  INDEX(Roadmap!$D:$K,MATCH($E24,Roadmap!$D:$D,0)+COUNTIF($E24:W24,"u")+COUNTIF($E24:W24,"t")+COUNTIF($E24:W24,"¶")+COUNTIF($E24:W24,"²")+COUNTIF($E24:W24,"µ")+COUNTIF($E24:W24,1),ColLivraison)=X$6,
  VLOOKUP($E24,INDIRECT("tri!"&amp; CHAR(64+ C0Col) &amp;":"&amp; CHAR(65+C0Col)),2,FALSE)&gt;COUNTIF($E24:W24,"u")+COUNTIF($E24:W24,"t")+COUNTIF($E24:W24,"¶")+COUNTIF($E24:W24,"²")+COUNTIF($E24:W24,"µ")+COUNTIF($E24:W24,1)),
HYPERLINK("#Roadmap!C"&amp; MATCH($E24,Roadmap!$D:$D,0)+COUNTIF($E24:W24,"u")+COUNTIF($E24:W24,"t"),
     INDEX(Roadmap!$D:$K,MATCH($E24,Roadmap!$D:$D,0)+COUNTIF($E24:W24,"u")+COUNTIF($E24:W24,"t")+COUNTIF($E24:W24,"¶")+COUNTIF($E24:W24,"²")+COUNTIF($E24:W24,"µ")+COUNTIF($E24:W24,1),ColTypeEcheance)),
  IF(LEN(W24)=1,
  IF(LEN(INDEX(Roadmap!$D:$K,MATCH($E24,Roadmap!$D:$D,0)-1+COUNTIF($E24:W24,"u")+COUNTIF($E24:W24,"t")+COUNTIF($E24:W24,"¶")+COUNTIF($E24:W24,"²")+COUNTIF($E24:W24,"µ")+COUNTIF($E24:W24,1),ColDescriptionCourte))&gt;1,
HYPERLINK("#Roadmap!C"&amp; MATCH($E24,Roadmap!$D:$D,0)+COUNTIF($E24:W24,"u")+COUNTIF($E24:W24,"t")+COUNTIF($E24:W24,"¶")+COUNTIF($E24:W24,"²")+COUNTIF($E24:W24,"µ")+COUNTIF($E24:W24,1)-1,INDEX(Roadmap!$D:$K,MATCH($E24,Roadmap!$D:$D,0)-1+COUNTIF($E24:W24,"u")+COUNTIF($E24:W24,"t")+COUNTIF($E24:W24,"¶")+COUNTIF($E24:W24,"²")+COUNTIF($E24:W24,"µ")+COUNTIF($E24:W24,1),ColDescriptionCourte)),""),
  "")),"")</f>
        <v/>
      </c>
      <c r="Y24" s="40" t="str">
        <f ca="1">IFERROR(IF(AND(
  INDEX(Roadmap!$D:$K,MATCH($E24,Roadmap!$D:$D,0)+COUNTIF($E24:X24,"u")+COUNTIF($E24:X24,"t")+COUNTIF($E24:X24,"¶")+COUNTIF($E24:X24,"²")+COUNTIF($E24:X24,"µ")+COUNTIF($E24:X24,1),ColLivraison)=Y$6,
  VLOOKUP($E24,INDIRECT("tri!"&amp; CHAR(64+ C0Col) &amp;":"&amp; CHAR(65+C0Col)),2,FALSE)&gt;COUNTIF($E24:X24,"u")+COUNTIF($E24:X24,"t")+COUNTIF($E24:X24,"¶")+COUNTIF($E24:X24,"²")+COUNTIF($E24:X24,"µ")+COUNTIF($E24:X24,1)),
HYPERLINK("#Roadmap!C"&amp; MATCH($E24,Roadmap!$D:$D,0)+COUNTIF($E24:X24,"u")+COUNTIF($E24:X24,"t"),
     INDEX(Roadmap!$D:$K,MATCH($E24,Roadmap!$D:$D,0)+COUNTIF($E24:X24,"u")+COUNTIF($E24:X24,"t")+COUNTIF($E24:X24,"¶")+COUNTIF($E24:X24,"²")+COUNTIF($E24:X24,"µ")+COUNTIF($E24:X24,1),ColTypeEcheance)),
  IF(LEN(X24)=1,
  IF(LEN(INDEX(Roadmap!$D:$K,MATCH($E24,Roadmap!$D:$D,0)-1+COUNTIF($E24:X24,"u")+COUNTIF($E24:X24,"t")+COUNTIF($E24:X24,"¶")+COUNTIF($E24:X24,"²")+COUNTIF($E24:X24,"µ")+COUNTIF($E24:X24,1),ColDescriptionCourte))&gt;1,
HYPERLINK("#Roadmap!C"&amp; MATCH($E24,Roadmap!$D:$D,0)+COUNTIF($E24:X24,"u")+COUNTIF($E24:X24,"t")+COUNTIF($E24:X24,"¶")+COUNTIF($E24:X24,"²")+COUNTIF($E24:X24,"µ")+COUNTIF($E24:X24,1)-1,INDEX(Roadmap!$D:$K,MATCH($E24,Roadmap!$D:$D,0)-1+COUNTIF($E24:X24,"u")+COUNTIF($E24:X24,"t")+COUNTIF($E24:X24,"¶")+COUNTIF($E24:X24,"²")+COUNTIF($E24:X24,"µ")+COUNTIF($E24:X24,1),ColDescriptionCourte)),""),
  "")),"")</f>
        <v/>
      </c>
      <c r="Z24" s="40" t="str">
        <f ca="1">IFERROR(IF(AND(
  INDEX(Roadmap!$D:$K,MATCH($E24,Roadmap!$D:$D,0)+COUNTIF($E24:Y24,"u")+COUNTIF($E24:Y24,"t")+COUNTIF($E24:Y24,"¶")+COUNTIF($E24:Y24,"²")+COUNTIF($E24:Y24,"µ")+COUNTIF($E24:Y24,1),ColLivraison)=Z$6,
  VLOOKUP($E24,INDIRECT("tri!"&amp; CHAR(64+ C0Col) &amp;":"&amp; CHAR(65+C0Col)),2,FALSE)&gt;COUNTIF($E24:Y24,"u")+COUNTIF($E24:Y24,"t")+COUNTIF($E24:Y24,"¶")+COUNTIF($E24:Y24,"²")+COUNTIF($E24:Y24,"µ")+COUNTIF($E24:Y24,1)),
HYPERLINK("#Roadmap!C"&amp; MATCH($E24,Roadmap!$D:$D,0)+COUNTIF($E24:Y24,"u")+COUNTIF($E24:Y24,"t"),
     INDEX(Roadmap!$D:$K,MATCH($E24,Roadmap!$D:$D,0)+COUNTIF($E24:Y24,"u")+COUNTIF($E24:Y24,"t")+COUNTIF($E24:Y24,"¶")+COUNTIF($E24:Y24,"²")+COUNTIF($E24:Y24,"µ")+COUNTIF($E24:Y24,1),ColTypeEcheance)),
  IF(LEN(Y24)=1,
  IF(LEN(INDEX(Roadmap!$D:$K,MATCH($E24,Roadmap!$D:$D,0)-1+COUNTIF($E24:Y24,"u")+COUNTIF($E24:Y24,"t")+COUNTIF($E24:Y24,"¶")+COUNTIF($E24:Y24,"²")+COUNTIF($E24:Y24,"µ")+COUNTIF($E24:Y24,1),ColDescriptionCourte))&gt;1,
HYPERLINK("#Roadmap!C"&amp; MATCH($E24,Roadmap!$D:$D,0)+COUNTIF($E24:Y24,"u")+COUNTIF($E24:Y24,"t")+COUNTIF($E24:Y24,"¶")+COUNTIF($E24:Y24,"²")+COUNTIF($E24:Y24,"µ")+COUNTIF($E24:Y24,1)-1,INDEX(Roadmap!$D:$K,MATCH($E24,Roadmap!$D:$D,0)-1+COUNTIF($E24:Y24,"u")+COUNTIF($E24:Y24,"t")+COUNTIF($E24:Y24,"¶")+COUNTIF($E24:Y24,"²")+COUNTIF($E24:Y24,"µ")+COUNTIF($E24:Y24,1),ColDescriptionCourte)),""),
  "")),"")</f>
        <v/>
      </c>
      <c r="AA24" s="40" t="str">
        <f ca="1">IFERROR(IF(AND(
  INDEX(Roadmap!$D:$K,MATCH($E24,Roadmap!$D:$D,0)+COUNTIF($E24:Z24,"u")+COUNTIF($E24:Z24,"t")+COUNTIF($E24:Z24,"¶")+COUNTIF($E24:Z24,"²")+COUNTIF($E24:Z24,"µ")+COUNTIF($E24:Z24,1),ColLivraison)=AA$6,
  VLOOKUP($E24,INDIRECT("tri!"&amp; CHAR(64+ C0Col) &amp;":"&amp; CHAR(65+C0Col)),2,FALSE)&gt;COUNTIF($E24:Z24,"u")+COUNTIF($E24:Z24,"t")+COUNTIF($E24:Z24,"¶")+COUNTIF($E24:Z24,"²")+COUNTIF($E24:Z24,"µ")+COUNTIF($E24:Z24,1)),
HYPERLINK("#Roadmap!C"&amp; MATCH($E24,Roadmap!$D:$D,0)+COUNTIF($E24:Z24,"u")+COUNTIF($E24:Z24,"t"),
     INDEX(Roadmap!$D:$K,MATCH($E24,Roadmap!$D:$D,0)+COUNTIF($E24:Z24,"u")+COUNTIF($E24:Z24,"t")+COUNTIF($E24:Z24,"¶")+COUNTIF($E24:Z24,"²")+COUNTIF($E24:Z24,"µ")+COUNTIF($E24:Z24,1),ColTypeEcheance)),
  IF(LEN(Z24)=1,
  IF(LEN(INDEX(Roadmap!$D:$K,MATCH($E24,Roadmap!$D:$D,0)-1+COUNTIF($E24:Z24,"u")+COUNTIF($E24:Z24,"t")+COUNTIF($E24:Z24,"¶")+COUNTIF($E24:Z24,"²")+COUNTIF($E24:Z24,"µ")+COUNTIF($E24:Z24,1),ColDescriptionCourte))&gt;1,
HYPERLINK("#Roadmap!C"&amp; MATCH($E24,Roadmap!$D:$D,0)+COUNTIF($E24:Z24,"u")+COUNTIF($E24:Z24,"t")+COUNTIF($E24:Z24,"¶")+COUNTIF($E24:Z24,"²")+COUNTIF($E24:Z24,"µ")+COUNTIF($E24:Z24,1)-1,INDEX(Roadmap!$D:$K,MATCH($E24,Roadmap!$D:$D,0)-1+COUNTIF($E24:Z24,"u")+COUNTIF($E24:Z24,"t")+COUNTIF($E24:Z24,"¶")+COUNTIF($E24:Z24,"²")+COUNTIF($E24:Z24,"µ")+COUNTIF($E24:Z24,1),ColDescriptionCourte)),""),
  "")),"")</f>
        <v/>
      </c>
      <c r="AB24" s="40" t="str">
        <f ca="1">IFERROR(IF(AND(
  INDEX(Roadmap!$D:$K,MATCH($E24,Roadmap!$D:$D,0)+COUNTIF($E24:AA24,"u")+COUNTIF($E24:AA24,"t")+COUNTIF($E24:AA24,"¶")+COUNTIF($E24:AA24,"²")+COUNTIF($E24:AA24,"µ")+COUNTIF($E24:AA24,1),ColLivraison)=AB$6,
  VLOOKUP($E24,INDIRECT("tri!"&amp; CHAR(64+ C0Col) &amp;":"&amp; CHAR(65+C0Col)),2,FALSE)&gt;COUNTIF($E24:AA24,"u")+COUNTIF($E24:AA24,"t")+COUNTIF($E24:AA24,"¶")+COUNTIF($E24:AA24,"²")+COUNTIF($E24:AA24,"µ")+COUNTIF($E24:AA24,1)),
HYPERLINK("#Roadmap!C"&amp; MATCH($E24,Roadmap!$D:$D,0)+COUNTIF($E24:AA24,"u")+COUNTIF($E24:AA24,"t"),
     INDEX(Roadmap!$D:$K,MATCH($E24,Roadmap!$D:$D,0)+COUNTIF($E24:AA24,"u")+COUNTIF($E24:AA24,"t")+COUNTIF($E24:AA24,"¶")+COUNTIF($E24:AA24,"²")+COUNTIF($E24:AA24,"µ")+COUNTIF($E24:AA24,1),ColTypeEcheance)),
  IF(LEN(AA24)=1,
  IF(LEN(INDEX(Roadmap!$D:$K,MATCH($E24,Roadmap!$D:$D,0)-1+COUNTIF($E24:AA24,"u")+COUNTIF($E24:AA24,"t")+COUNTIF($E24:AA24,"¶")+COUNTIF($E24:AA24,"²")+COUNTIF($E24:AA24,"µ")+COUNTIF($E24:AA24,1),ColDescriptionCourte))&gt;1,
HYPERLINK("#Roadmap!C"&amp; MATCH($E24,Roadmap!$D:$D,0)+COUNTIF($E24:AA24,"u")+COUNTIF($E24:AA24,"t")+COUNTIF($E24:AA24,"¶")+COUNTIF($E24:AA24,"²")+COUNTIF($E24:AA24,"µ")+COUNTIF($E24:AA24,1)-1,INDEX(Roadmap!$D:$K,MATCH($E24,Roadmap!$D:$D,0)-1+COUNTIF($E24:AA24,"u")+COUNTIF($E24:AA24,"t")+COUNTIF($E24:AA24,"¶")+COUNTIF($E24:AA24,"²")+COUNTIF($E24:AA24,"µ")+COUNTIF($E24:AA24,1),ColDescriptionCourte)),""),
  "")),"")</f>
        <v/>
      </c>
      <c r="AC24" s="40" t="str">
        <f ca="1">IFERROR(IF(AND(
  INDEX(Roadmap!$D:$K,MATCH($E24,Roadmap!$D:$D,0)+COUNTIF($E24:AB24,"u")+COUNTIF($E24:AB24,"t")+COUNTIF($E24:AB24,"¶")+COUNTIF($E24:AB24,"²")+COUNTIF($E24:AB24,"µ")+COUNTIF($E24:AB24,1),ColLivraison)=AC$6,
  VLOOKUP($E24,INDIRECT("tri!"&amp; CHAR(64+ C0Col) &amp;":"&amp; CHAR(65+C0Col)),2,FALSE)&gt;COUNTIF($E24:AB24,"u")+COUNTIF($E24:AB24,"t")+COUNTIF($E24:AB24,"¶")+COUNTIF($E24:AB24,"²")+COUNTIF($E24:AB24,"µ")+COUNTIF($E24:AB24,1)),
HYPERLINK("#Roadmap!C"&amp; MATCH($E24,Roadmap!$D:$D,0)+COUNTIF($E24:AB24,"u")+COUNTIF($E24:AB24,"t"),
     INDEX(Roadmap!$D:$K,MATCH($E24,Roadmap!$D:$D,0)+COUNTIF($E24:AB24,"u")+COUNTIF($E24:AB24,"t")+COUNTIF($E24:AB24,"¶")+COUNTIF($E24:AB24,"²")+COUNTIF($E24:AB24,"µ")+COUNTIF($E24:AB24,1),ColTypeEcheance)),
  IF(LEN(AB24)=1,
  IF(LEN(INDEX(Roadmap!$D:$K,MATCH($E24,Roadmap!$D:$D,0)-1+COUNTIF($E24:AB24,"u")+COUNTIF($E24:AB24,"t")+COUNTIF($E24:AB24,"¶")+COUNTIF($E24:AB24,"²")+COUNTIF($E24:AB24,"µ")+COUNTIF($E24:AB24,1),ColDescriptionCourte))&gt;1,
HYPERLINK("#Roadmap!C"&amp; MATCH($E24,Roadmap!$D:$D,0)+COUNTIF($E24:AB24,"u")+COUNTIF($E24:AB24,"t")+COUNTIF($E24:AB24,"¶")+COUNTIF($E24:AB24,"²")+COUNTIF($E24:AB24,"µ")+COUNTIF($E24:AB24,1)-1,INDEX(Roadmap!$D:$K,MATCH($E24,Roadmap!$D:$D,0)-1+COUNTIF($E24:AB24,"u")+COUNTIF($E24:AB24,"t")+COUNTIF($E24:AB24,"¶")+COUNTIF($E24:AB24,"²")+COUNTIF($E24:AB24,"µ")+COUNTIF($E24:AB24,1),ColDescriptionCourte)),""),
  "")),"")</f>
        <v/>
      </c>
      <c r="AD24" s="40" t="str">
        <f ca="1">IFERROR(IF(AND(
  INDEX(Roadmap!$D:$K,MATCH($E24,Roadmap!$D:$D,0)+COUNTIF($E24:AC24,"u")+COUNTIF($E24:AC24,"t")+COUNTIF($E24:AC24,"¶")+COUNTIF($E24:AC24,"²")+COUNTIF($E24:AC24,"µ")+COUNTIF($E24:AC24,1),ColLivraison)=AD$6,
  VLOOKUP($E24,INDIRECT("tri!"&amp; CHAR(64+ C0Col) &amp;":"&amp; CHAR(65+C0Col)),2,FALSE)&gt;COUNTIF($E24:AC24,"u")+COUNTIF($E24:AC24,"t")+COUNTIF($E24:AC24,"¶")+COUNTIF($E24:AC24,"²")+COUNTIF($E24:AC24,"µ")+COUNTIF($E24:AC24,1)),
HYPERLINK("#Roadmap!C"&amp; MATCH($E24,Roadmap!$D:$D,0)+COUNTIF($E24:AC24,"u")+COUNTIF($E24:AC24,"t"),
     INDEX(Roadmap!$D:$K,MATCH($E24,Roadmap!$D:$D,0)+COUNTIF($E24:AC24,"u")+COUNTIF($E24:AC24,"t")+COUNTIF($E24:AC24,"¶")+COUNTIF($E24:AC24,"²")+COUNTIF($E24:AC24,"µ")+COUNTIF($E24:AC24,1),ColTypeEcheance)),
  IF(LEN(AC24)=1,
  IF(LEN(INDEX(Roadmap!$D:$K,MATCH($E24,Roadmap!$D:$D,0)-1+COUNTIF($E24:AC24,"u")+COUNTIF($E24:AC24,"t")+COUNTIF($E24:AC24,"¶")+COUNTIF($E24:AC24,"²")+COUNTIF($E24:AC24,"µ")+COUNTIF($E24:AC24,1),ColDescriptionCourte))&gt;1,
HYPERLINK("#Roadmap!C"&amp; MATCH($E24,Roadmap!$D:$D,0)+COUNTIF($E24:AC24,"u")+COUNTIF($E24:AC24,"t")+COUNTIF($E24:AC24,"¶")+COUNTIF($E24:AC24,"²")+COUNTIF($E24:AC24,"µ")+COUNTIF($E24:AC24,1)-1,INDEX(Roadmap!$D:$K,MATCH($E24,Roadmap!$D:$D,0)-1+COUNTIF($E24:AC24,"u")+COUNTIF($E24:AC24,"t")+COUNTIF($E24:AC24,"¶")+COUNTIF($E24:AC24,"²")+COUNTIF($E24:AC24,"µ")+COUNTIF($E24:AC24,1),ColDescriptionCourte)),""),
  "")),"")</f>
        <v/>
      </c>
      <c r="AE24" s="40" t="str">
        <f ca="1">IFERROR(IF(AND(
  INDEX(Roadmap!$D:$K,MATCH($E24,Roadmap!$D:$D,0)+COUNTIF($E24:AD24,"u")+COUNTIF($E24:AD24,"t")+COUNTIF($E24:AD24,"¶")+COUNTIF($E24:AD24,"²")+COUNTIF($E24:AD24,"µ")+COUNTIF($E24:AD24,1),ColLivraison)=AE$6,
  VLOOKUP($E24,INDIRECT("tri!"&amp; CHAR(64+ C0Col) &amp;":"&amp; CHAR(65+C0Col)),2,FALSE)&gt;COUNTIF($E24:AD24,"u")+COUNTIF($E24:AD24,"t")+COUNTIF($E24:AD24,"¶")+COUNTIF($E24:AD24,"²")+COUNTIF($E24:AD24,"µ")+COUNTIF($E24:AD24,1)),
HYPERLINK("#Roadmap!C"&amp; MATCH($E24,Roadmap!$D:$D,0)+COUNTIF($E24:AD24,"u")+COUNTIF($E24:AD24,"t"),
     INDEX(Roadmap!$D:$K,MATCH($E24,Roadmap!$D:$D,0)+COUNTIF($E24:AD24,"u")+COUNTIF($E24:AD24,"t")+COUNTIF($E24:AD24,"¶")+COUNTIF($E24:AD24,"²")+COUNTIF($E24:AD24,"µ")+COUNTIF($E24:AD24,1),ColTypeEcheance)),
  IF(LEN(AD24)=1,
  IF(LEN(INDEX(Roadmap!$D:$K,MATCH($E24,Roadmap!$D:$D,0)-1+COUNTIF($E24:AD24,"u")+COUNTIF($E24:AD24,"t")+COUNTIF($E24:AD24,"¶")+COUNTIF($E24:AD24,"²")+COUNTIF($E24:AD24,"µ")+COUNTIF($E24:AD24,1),ColDescriptionCourte))&gt;1,
HYPERLINK("#Roadmap!C"&amp; MATCH($E24,Roadmap!$D:$D,0)+COUNTIF($E24:AD24,"u")+COUNTIF($E24:AD24,"t")+COUNTIF($E24:AD24,"¶")+COUNTIF($E24:AD24,"²")+COUNTIF($E24:AD24,"µ")+COUNTIF($E24:AD24,1)-1,INDEX(Roadmap!$D:$K,MATCH($E24,Roadmap!$D:$D,0)-1+COUNTIF($E24:AD24,"u")+COUNTIF($E24:AD24,"t")+COUNTIF($E24:AD24,"¶")+COUNTIF($E24:AD24,"²")+COUNTIF($E24:AD24,"µ")+COUNTIF($E24:AD24,1),ColDescriptionCourte)),""),
  "")),"")</f>
        <v/>
      </c>
      <c r="AF24" s="40" t="str">
        <f ca="1">IFERROR(IF(AND(
  INDEX(Roadmap!$D:$K,MATCH($E24,Roadmap!$D:$D,0)+COUNTIF($E24:AE24,"u")+COUNTIF($E24:AE24,"t")+COUNTIF($E24:AE24,"¶")+COUNTIF($E24:AE24,"²")+COUNTIF($E24:AE24,"µ")+COUNTIF($E24:AE24,1),ColLivraison)=AF$6,
  VLOOKUP($E24,INDIRECT("tri!"&amp; CHAR(64+ C0Col) &amp;":"&amp; CHAR(65+C0Col)),2,FALSE)&gt;COUNTIF($E24:AE24,"u")+COUNTIF($E24:AE24,"t")+COUNTIF($E24:AE24,"¶")+COUNTIF($E24:AE24,"²")+COUNTIF($E24:AE24,"µ")+COUNTIF($E24:AE24,1)),
HYPERLINK("#Roadmap!C"&amp; MATCH($E24,Roadmap!$D:$D,0)+COUNTIF($E24:AE24,"u")+COUNTIF($E24:AE24,"t"),
     INDEX(Roadmap!$D:$K,MATCH($E24,Roadmap!$D:$D,0)+COUNTIF($E24:AE24,"u")+COUNTIF($E24:AE24,"t")+COUNTIF($E24:AE24,"¶")+COUNTIF($E24:AE24,"²")+COUNTIF($E24:AE24,"µ")+COUNTIF($E24:AE24,1),ColTypeEcheance)),
  IF(LEN(AE24)=1,
  IF(LEN(INDEX(Roadmap!$D:$K,MATCH($E24,Roadmap!$D:$D,0)-1+COUNTIF($E24:AE24,"u")+COUNTIF($E24:AE24,"t")+COUNTIF($E24:AE24,"¶")+COUNTIF($E24:AE24,"²")+COUNTIF($E24:AE24,"µ")+COUNTIF($E24:AE24,1),ColDescriptionCourte))&gt;1,
HYPERLINK("#Roadmap!C"&amp; MATCH($E24,Roadmap!$D:$D,0)+COUNTIF($E24:AE24,"u")+COUNTIF($E24:AE24,"t")+COUNTIF($E24:AE24,"¶")+COUNTIF($E24:AE24,"²")+COUNTIF($E24:AE24,"µ")+COUNTIF($E24:AE24,1)-1,INDEX(Roadmap!$D:$K,MATCH($E24,Roadmap!$D:$D,0)-1+COUNTIF($E24:AE24,"u")+COUNTIF($E24:AE24,"t")+COUNTIF($E24:AE24,"¶")+COUNTIF($E24:AE24,"²")+COUNTIF($E24:AE24,"µ")+COUNTIF($E24:AE24,1),ColDescriptionCourte)),""),
  "")),"")</f>
        <v/>
      </c>
      <c r="AG24" s="40" t="str">
        <f ca="1">IFERROR(IF(AND(
  INDEX(Roadmap!$D:$K,MATCH($E24,Roadmap!$D:$D,0)+COUNTIF($E24:AF24,"u")+COUNTIF($E24:AF24,"t")+COUNTIF($E24:AF24,"¶")+COUNTIF($E24:AF24,"²")+COUNTIF($E24:AF24,"µ")+COUNTIF($E24:AF24,1),ColLivraison)=AG$6,
  VLOOKUP($E24,INDIRECT("tri!"&amp; CHAR(64+ C0Col) &amp;":"&amp; CHAR(65+C0Col)),2,FALSE)&gt;COUNTIF($E24:AF24,"u")+COUNTIF($E24:AF24,"t")+COUNTIF($E24:AF24,"¶")+COUNTIF($E24:AF24,"²")+COUNTIF($E24:AF24,"µ")+COUNTIF($E24:AF24,1)),
HYPERLINK("#Roadmap!C"&amp; MATCH($E24,Roadmap!$D:$D,0)+COUNTIF($E24:AF24,"u")+COUNTIF($E24:AF24,"t"),
     INDEX(Roadmap!$D:$K,MATCH($E24,Roadmap!$D:$D,0)+COUNTIF($E24:AF24,"u")+COUNTIF($E24:AF24,"t")+COUNTIF($E24:AF24,"¶")+COUNTIF($E24:AF24,"²")+COUNTIF($E24:AF24,"µ")+COUNTIF($E24:AF24,1),ColTypeEcheance)),
  IF(LEN(AF24)=1,
  IF(LEN(INDEX(Roadmap!$D:$K,MATCH($E24,Roadmap!$D:$D,0)-1+COUNTIF($E24:AF24,"u")+COUNTIF($E24:AF24,"t")+COUNTIF($E24:AF24,"¶")+COUNTIF($E24:AF24,"²")+COUNTIF($E24:AF24,"µ")+COUNTIF($E24:AF24,1),ColDescriptionCourte))&gt;1,
HYPERLINK("#Roadmap!C"&amp; MATCH($E24,Roadmap!$D:$D,0)+COUNTIF($E24:AF24,"u")+COUNTIF($E24:AF24,"t")+COUNTIF($E24:AF24,"¶")+COUNTIF($E24:AF24,"²")+COUNTIF($E24:AF24,"µ")+COUNTIF($E24:AF24,1)-1,INDEX(Roadmap!$D:$K,MATCH($E24,Roadmap!$D:$D,0)-1+COUNTIF($E24:AF24,"u")+COUNTIF($E24:AF24,"t")+COUNTIF($E24:AF24,"¶")+COUNTIF($E24:AF24,"²")+COUNTIF($E24:AF24,"µ")+COUNTIF($E24:AF24,1),ColDescriptionCourte)),""),
  "")),"")</f>
        <v/>
      </c>
    </row>
    <row r="25" spans="3:33" ht="14.25" customHeight="1">
      <c r="C25" s="1" t="str">
        <f t="shared" ca="1" si="42"/>
        <v/>
      </c>
      <c r="D25" s="1" t="str">
        <f t="shared" ca="1" si="43"/>
        <v/>
      </c>
      <c r="E25" s="35" t="str">
        <f t="shared" ca="1" si="33"/>
        <v/>
      </c>
      <c r="F25" s="39" t="str">
        <f ca="1">IFERROR(IF(AND(
  INDEX(Roadmap!$D:$K,MATCH($E25,Roadmap!$D:$D,0)+COUNTIF($E25:E25,"u")+COUNTIF($E25:E25,"t")+COUNTIF($E25:E25,"¶")+COUNTIF($E25:E25,"²")+COUNTIF($E25:E25,"µ")+COUNTIF($E25:E25,1),ColLivraison)=F$6,
  VLOOKUP($E25,INDIRECT("tri!"&amp; CHAR(64+ C0Col) &amp;":"&amp; CHAR(65+C0Col)),2,FALSE)&gt;COUNTIF($E25:E25,"u")+COUNTIF($E25:E25,"t")+COUNTIF($E25:E25,"¶")+COUNTIF($E25:E25,"²")+COUNTIF($E25:E25,"µ")+COUNTIF($E25:E25,1)),
HYPERLINK("#Roadmap!C"&amp; MATCH($E25,Roadmap!$D:$D,0)+COUNTIF($E25:E25,"u")+COUNTIF($E25:E25,"t"),
     INDEX(Roadmap!$D:$K,MATCH($E25,Roadmap!$D:$D,0)+COUNTIF($E25:E25,"u")+COUNTIF($E25:E25,"t")+COUNTIF($E25:E25,"¶")+COUNTIF($E25:E25,"²")+COUNTIF($E25:E25,"µ")+COUNTIF($E25:E25,1),ColTypeEcheance)),
  IF(LEN(E25)=1,
  IF(LEN(INDEX(Roadmap!$D:$K,MATCH($E25,Roadmap!$D:$D,0)-1+COUNTIF($E25:E25,"u")+COUNTIF($E25:E25,"t")+COUNTIF($E25:E25,"¶")+COUNTIF($E25:E25,"²")+COUNTIF($E25:E25,"µ")+COUNTIF($E25:E25,1),ColDescriptionCourte))&gt;1,
HYPERLINK("#Roadmap!C"&amp; MATCH($E25,Roadmap!$D:$D,0)+COUNTIF($E25:E25,"u")+COUNTIF($E25:E25,"t")+COUNTIF($E25:E25,"¶")+COUNTIF($E25:E25,"²")+COUNTIF($E25:E25,"µ")+COUNTIF($E25:E25,1)-1,INDEX(Roadmap!$D:$K,MATCH($E25,Roadmap!$D:$D,0)-1+COUNTIF($E25:E25,"u")+COUNTIF($E25:E25,"t")+COUNTIF($E25:E25,"¶")+COUNTIF($E25:E25,"²")+COUNTIF($E25:E25,"µ")+COUNTIF($E25:E25,1),ColDescriptionCourte)),""),
  "")),"")</f>
        <v/>
      </c>
      <c r="G25" s="40" t="str">
        <f ca="1">IFERROR(IF(AND(
  INDEX(Roadmap!$D:$K,MATCH($E25,Roadmap!$D:$D,0)+COUNTIF($E25:F25,"u")+COUNTIF($E25:F25,"t")+COUNTIF($E25:F25,"¶")+COUNTIF($E25:F25,"²")+COUNTIF($E25:F25,"µ")+COUNTIF($E25:F25,1),ColLivraison)=G$6,
  VLOOKUP($E25,INDIRECT("tri!"&amp; CHAR(64+ C0Col) &amp;":"&amp; CHAR(65+C0Col)),2,FALSE)&gt;COUNTIF($E25:F25,"u")+COUNTIF($E25:F25,"t")+COUNTIF($E25:F25,"¶")+COUNTIF($E25:F25,"²")+COUNTIF($E25:F25,"µ")+COUNTIF($E25:F25,1)),
HYPERLINK("#Roadmap!C"&amp; MATCH($E25,Roadmap!$D:$D,0)+COUNTIF($E25:F25,"u")+COUNTIF($E25:F25,"t"),
     INDEX(Roadmap!$D:$K,MATCH($E25,Roadmap!$D:$D,0)+COUNTIF($E25:F25,"u")+COUNTIF($E25:F25,"t")+COUNTIF($E25:F25,"¶")+COUNTIF($E25:F25,"²")+COUNTIF($E25:F25,"µ")+COUNTIF($E25:F25,1),ColTypeEcheance)),
  IF(LEN(F25)=1,
  IF(LEN(INDEX(Roadmap!$D:$K,MATCH($E25,Roadmap!$D:$D,0)-1+COUNTIF($E25:F25,"u")+COUNTIF($E25:F25,"t")+COUNTIF($E25:F25,"¶")+COUNTIF($E25:F25,"²")+COUNTIF($E25:F25,"µ")+COUNTIF($E25:F25,1),ColDescriptionCourte))&gt;1,
HYPERLINK("#Roadmap!C"&amp; MATCH($E25,Roadmap!$D:$D,0)+COUNTIF($E25:F25,"u")+COUNTIF($E25:F25,"t")+COUNTIF($E25:F25,"¶")+COUNTIF($E25:F25,"²")+COUNTIF($E25:F25,"µ")+COUNTIF($E25:F25,1)-1,INDEX(Roadmap!$D:$K,MATCH($E25,Roadmap!$D:$D,0)-1+COUNTIF($E25:F25,"u")+COUNTIF($E25:F25,"t")+COUNTIF($E25:F25,"¶")+COUNTIF($E25:F25,"²")+COUNTIF($E25:F25,"µ")+COUNTIF($E25:F25,1),ColDescriptionCourte)),""),
  "")),"")</f>
        <v/>
      </c>
      <c r="H25" s="40" t="str">
        <f ca="1">IFERROR(IF(AND(
  INDEX(Roadmap!$D:$K,MATCH($E25,Roadmap!$D:$D,0)+COUNTIF($E25:G25,"u")+COUNTIF($E25:G25,"t")+COUNTIF($E25:G25,"¶")+COUNTIF($E25:G25,"²")+COUNTIF($E25:G25,"µ")+COUNTIF($E25:G25,1),ColLivraison)=H$6,
  VLOOKUP($E25,INDIRECT("tri!"&amp; CHAR(64+ C0Col) &amp;":"&amp; CHAR(65+C0Col)),2,FALSE)&gt;COUNTIF($E25:G25,"u")+COUNTIF($E25:G25,"t")+COUNTIF($E25:G25,"¶")+COUNTIF($E25:G25,"²")+COUNTIF($E25:G25,"µ")+COUNTIF($E25:G25,1)),
HYPERLINK("#Roadmap!C"&amp; MATCH($E25,Roadmap!$D:$D,0)+COUNTIF($E25:G25,"u")+COUNTIF($E25:G25,"t"),
     INDEX(Roadmap!$D:$K,MATCH($E25,Roadmap!$D:$D,0)+COUNTIF($E25:G25,"u")+COUNTIF($E25:G25,"t")+COUNTIF($E25:G25,"¶")+COUNTIF($E25:G25,"²")+COUNTIF($E25:G25,"µ")+COUNTIF($E25:G25,1),ColTypeEcheance)),
  IF(LEN(G25)=1,
  IF(LEN(INDEX(Roadmap!$D:$K,MATCH($E25,Roadmap!$D:$D,0)-1+COUNTIF($E25:G25,"u")+COUNTIF($E25:G25,"t")+COUNTIF($E25:G25,"¶")+COUNTIF($E25:G25,"²")+COUNTIF($E25:G25,"µ")+COUNTIF($E25:G25,1),ColDescriptionCourte))&gt;1,
HYPERLINK("#Roadmap!C"&amp; MATCH($E25,Roadmap!$D:$D,0)+COUNTIF($E25:G25,"u")+COUNTIF($E25:G25,"t")+COUNTIF($E25:G25,"¶")+COUNTIF($E25:G25,"²")+COUNTIF($E25:G25,"µ")+COUNTIF($E25:G25,1)-1,INDEX(Roadmap!$D:$K,MATCH($E25,Roadmap!$D:$D,0)-1+COUNTIF($E25:G25,"u")+COUNTIF($E25:G25,"t")+COUNTIF($E25:G25,"¶")+COUNTIF($E25:G25,"²")+COUNTIF($E25:G25,"µ")+COUNTIF($E25:G25,1),ColDescriptionCourte)),""),
  "")),"")</f>
        <v/>
      </c>
      <c r="I25" s="40" t="str">
        <f ca="1">IFERROR(IF(AND(
  INDEX(Roadmap!$D:$K,MATCH($E25,Roadmap!$D:$D,0)+COUNTIF($E25:H25,"u")+COUNTIF($E25:H25,"t")+COUNTIF($E25:H25,"¶")+COUNTIF($E25:H25,"²")+COUNTIF($E25:H25,"µ")+COUNTIF($E25:H25,1),ColLivraison)=I$6,
  VLOOKUP($E25,INDIRECT("tri!"&amp; CHAR(64+ C0Col) &amp;":"&amp; CHAR(65+C0Col)),2,FALSE)&gt;COUNTIF($E25:H25,"u")+COUNTIF($E25:H25,"t")+COUNTIF($E25:H25,"¶")+COUNTIF($E25:H25,"²")+COUNTIF($E25:H25,"µ")+COUNTIF($E25:H25,1)),
HYPERLINK("#Roadmap!C"&amp; MATCH($E25,Roadmap!$D:$D,0)+COUNTIF($E25:H25,"u")+COUNTIF($E25:H25,"t"),
     INDEX(Roadmap!$D:$K,MATCH($E25,Roadmap!$D:$D,0)+COUNTIF($E25:H25,"u")+COUNTIF($E25:H25,"t")+COUNTIF($E25:H25,"¶")+COUNTIF($E25:H25,"²")+COUNTIF($E25:H25,"µ")+COUNTIF($E25:H25,1),ColTypeEcheance)),
  IF(LEN(H25)=1,
  IF(LEN(INDEX(Roadmap!$D:$K,MATCH($E25,Roadmap!$D:$D,0)-1+COUNTIF($E25:H25,"u")+COUNTIF($E25:H25,"t")+COUNTIF($E25:H25,"¶")+COUNTIF($E25:H25,"²")+COUNTIF($E25:H25,"µ")+COUNTIF($E25:H25,1),ColDescriptionCourte))&gt;1,
HYPERLINK("#Roadmap!C"&amp; MATCH($E25,Roadmap!$D:$D,0)+COUNTIF($E25:H25,"u")+COUNTIF($E25:H25,"t")+COUNTIF($E25:H25,"¶")+COUNTIF($E25:H25,"²")+COUNTIF($E25:H25,"µ")+COUNTIF($E25:H25,1)-1,INDEX(Roadmap!$D:$K,MATCH($E25,Roadmap!$D:$D,0)-1+COUNTIF($E25:H25,"u")+COUNTIF($E25:H25,"t")+COUNTIF($E25:H25,"¶")+COUNTIF($E25:H25,"²")+COUNTIF($E25:H25,"µ")+COUNTIF($E25:H25,1),ColDescriptionCourte)),""),
  "")),"")</f>
        <v/>
      </c>
      <c r="J25" s="40" t="str">
        <f ca="1">IFERROR(IF(AND(
  INDEX(Roadmap!$D:$K,MATCH($E25,Roadmap!$D:$D,0)+COUNTIF($E25:I25,"u")+COUNTIF($E25:I25,"t")+COUNTIF($E25:I25,"¶")+COUNTIF($E25:I25,"²")+COUNTIF($E25:I25,"µ")+COUNTIF($E25:I25,1),ColLivraison)=J$6,
  VLOOKUP($E25,INDIRECT("tri!"&amp; CHAR(64+ C0Col) &amp;":"&amp; CHAR(65+C0Col)),2,FALSE)&gt;COUNTIF($E25:I25,"u")+COUNTIF($E25:I25,"t")+COUNTIF($E25:I25,"¶")+COUNTIF($E25:I25,"²")+COUNTIF($E25:I25,"µ")+COUNTIF($E25:I25,1)),
HYPERLINK("#Roadmap!C"&amp; MATCH($E25,Roadmap!$D:$D,0)+COUNTIF($E25:I25,"u")+COUNTIF($E25:I25,"t"),
     INDEX(Roadmap!$D:$K,MATCH($E25,Roadmap!$D:$D,0)+COUNTIF($E25:I25,"u")+COUNTIF($E25:I25,"t")+COUNTIF($E25:I25,"¶")+COUNTIF($E25:I25,"²")+COUNTIF($E25:I25,"µ")+COUNTIF($E25:I25,1),ColTypeEcheance)),
  IF(LEN(I25)=1,
  IF(LEN(INDEX(Roadmap!$D:$K,MATCH($E25,Roadmap!$D:$D,0)-1+COUNTIF($E25:I25,"u")+COUNTIF($E25:I25,"t")+COUNTIF($E25:I25,"¶")+COUNTIF($E25:I25,"²")+COUNTIF($E25:I25,"µ")+COUNTIF($E25:I25,1),ColDescriptionCourte))&gt;1,
HYPERLINK("#Roadmap!C"&amp; MATCH($E25,Roadmap!$D:$D,0)+COUNTIF($E25:I25,"u")+COUNTIF($E25:I25,"t")+COUNTIF($E25:I25,"¶")+COUNTIF($E25:I25,"²")+COUNTIF($E25:I25,"µ")+COUNTIF($E25:I25,1)-1,INDEX(Roadmap!$D:$K,MATCH($E25,Roadmap!$D:$D,0)-1+COUNTIF($E25:I25,"u")+COUNTIF($E25:I25,"t")+COUNTIF($E25:I25,"¶")+COUNTIF($E25:I25,"²")+COUNTIF($E25:I25,"µ")+COUNTIF($E25:I25,1),ColDescriptionCourte)),""),
  "")),"")</f>
        <v/>
      </c>
      <c r="K25" s="40" t="str">
        <f ca="1">IFERROR(IF(AND(
  INDEX(Roadmap!$D:$K,MATCH($E25,Roadmap!$D:$D,0)+COUNTIF($E25:J25,"u")+COUNTIF($E25:J25,"t")+COUNTIF($E25:J25,"¶")+COUNTIF($E25:J25,"²")+COUNTIF($E25:J25,"µ")+COUNTIF($E25:J25,1),ColLivraison)=K$6,
  VLOOKUP($E25,INDIRECT("tri!"&amp; CHAR(64+ C0Col) &amp;":"&amp; CHAR(65+C0Col)),2,FALSE)&gt;COUNTIF($E25:J25,"u")+COUNTIF($E25:J25,"t")+COUNTIF($E25:J25,"¶")+COUNTIF($E25:J25,"²")+COUNTIF($E25:J25,"µ")+COUNTIF($E25:J25,1)),
HYPERLINK("#Roadmap!C"&amp; MATCH($E25,Roadmap!$D:$D,0)+COUNTIF($E25:J25,"u")+COUNTIF($E25:J25,"t"),
     INDEX(Roadmap!$D:$K,MATCH($E25,Roadmap!$D:$D,0)+COUNTIF($E25:J25,"u")+COUNTIF($E25:J25,"t")+COUNTIF($E25:J25,"¶")+COUNTIF($E25:J25,"²")+COUNTIF($E25:J25,"µ")+COUNTIF($E25:J25,1),ColTypeEcheance)),
  IF(LEN(J25)=1,
  IF(LEN(INDEX(Roadmap!$D:$K,MATCH($E25,Roadmap!$D:$D,0)-1+COUNTIF($E25:J25,"u")+COUNTIF($E25:J25,"t")+COUNTIF($E25:J25,"¶")+COUNTIF($E25:J25,"²")+COUNTIF($E25:J25,"µ")+COUNTIF($E25:J25,1),ColDescriptionCourte))&gt;1,
HYPERLINK("#Roadmap!C"&amp; MATCH($E25,Roadmap!$D:$D,0)+COUNTIF($E25:J25,"u")+COUNTIF($E25:J25,"t")+COUNTIF($E25:J25,"¶")+COUNTIF($E25:J25,"²")+COUNTIF($E25:J25,"µ")+COUNTIF($E25:J25,1)-1,INDEX(Roadmap!$D:$K,MATCH($E25,Roadmap!$D:$D,0)-1+COUNTIF($E25:J25,"u")+COUNTIF($E25:J25,"t")+COUNTIF($E25:J25,"¶")+COUNTIF($E25:J25,"²")+COUNTIF($E25:J25,"µ")+COUNTIF($E25:J25,1),ColDescriptionCourte)),""),
  "")),"")</f>
        <v/>
      </c>
      <c r="L25" s="39" t="str">
        <f ca="1">IFERROR(IF(AND(
  INDEX(Roadmap!$D:$K,MATCH($E25,Roadmap!$D:$D,0)+COUNTIF($E25:K25,"u")+COUNTIF($E25:K25,"t")+COUNTIF($E25:K25,"¶")+COUNTIF($E25:K25,"²")+COUNTIF($E25:K25,"µ")+COUNTIF($E25:K25,1),ColLivraison)=L$6,
  VLOOKUP($E25,INDIRECT("tri!"&amp; CHAR(64+ C0Col) &amp;":"&amp; CHAR(65+C0Col)),2,FALSE)&gt;COUNTIF($E25:K25,"u")+COUNTIF($E25:K25,"t")+COUNTIF($E25:K25,"¶")+COUNTIF($E25:K25,"²")+COUNTIF($E25:K25,"µ")+COUNTIF($E25:K25,1)),
HYPERLINK("#Roadmap!C"&amp; MATCH($E25,Roadmap!$D:$D,0)+COUNTIF($E25:K25,"u")+COUNTIF($E25:K25,"t"),
     INDEX(Roadmap!$D:$K,MATCH($E25,Roadmap!$D:$D,0)+COUNTIF($E25:K25,"u")+COUNTIF($E25:K25,"t")+COUNTIF($E25:K25,"¶")+COUNTIF($E25:K25,"²")+COUNTIF($E25:K25,"µ")+COUNTIF($E25:K25,1),ColTypeEcheance)),
  IF(LEN(K25)=1,
  IF(LEN(INDEX(Roadmap!$D:$K,MATCH($E25,Roadmap!$D:$D,0)-1+COUNTIF($E25:K25,"u")+COUNTIF($E25:K25,"t")+COUNTIF($E25:K25,"¶")+COUNTIF($E25:K25,"²")+COUNTIF($E25:K25,"µ")+COUNTIF($E25:K25,1),ColDescriptionCourte))&gt;1,
HYPERLINK("#Roadmap!C"&amp; MATCH($E25,Roadmap!$D:$D,0)+COUNTIF($E25:K25,"u")+COUNTIF($E25:K25,"t")+COUNTIF($E25:K25,"¶")+COUNTIF($E25:K25,"²")+COUNTIF($E25:K25,"µ")+COUNTIF($E25:K25,1)-1,INDEX(Roadmap!$D:$K,MATCH($E25,Roadmap!$D:$D,0)-1+COUNTIF($E25:K25,"u")+COUNTIF($E25:K25,"t")+COUNTIF($E25:K25,"¶")+COUNTIF($E25:K25,"²")+COUNTIF($E25:K25,"µ")+COUNTIF($E25:K25,1),ColDescriptionCourte)),""),
  "")),"")</f>
        <v/>
      </c>
      <c r="M25" s="40" t="str">
        <f ca="1">IFERROR(IF(AND(
  INDEX(Roadmap!$D:$K,MATCH($E25,Roadmap!$D:$D,0)+COUNTIF($E25:L25,"u")+COUNTIF($E25:L25,"t")+COUNTIF($E25:L25,"¶")+COUNTIF($E25:L25,"²")+COUNTIF($E25:L25,"µ")+COUNTIF($E25:L25,1),ColLivraison)=M$6,
  VLOOKUP($E25,INDIRECT("tri!"&amp; CHAR(64+ C0Col) &amp;":"&amp; CHAR(65+C0Col)),2,FALSE)&gt;COUNTIF($E25:L25,"u")+COUNTIF($E25:L25,"t")+COUNTIF($E25:L25,"¶")+COUNTIF($E25:L25,"²")+COUNTIF($E25:L25,"µ")+COUNTIF($E25:L25,1)),
HYPERLINK("#Roadmap!C"&amp; MATCH($E25,Roadmap!$D:$D,0)+COUNTIF($E25:L25,"u")+COUNTIF($E25:L25,"t"),
     INDEX(Roadmap!$D:$K,MATCH($E25,Roadmap!$D:$D,0)+COUNTIF($E25:L25,"u")+COUNTIF($E25:L25,"t")+COUNTIF($E25:L25,"¶")+COUNTIF($E25:L25,"²")+COUNTIF($E25:L25,"µ")+COUNTIF($E25:L25,1),ColTypeEcheance)),
  IF(LEN(L25)=1,
  IF(LEN(INDEX(Roadmap!$D:$K,MATCH($E25,Roadmap!$D:$D,0)-1+COUNTIF($E25:L25,"u")+COUNTIF($E25:L25,"t")+COUNTIF($E25:L25,"¶")+COUNTIF($E25:L25,"²")+COUNTIF($E25:L25,"µ")+COUNTIF($E25:L25,1),ColDescriptionCourte))&gt;1,
HYPERLINK("#Roadmap!C"&amp; MATCH($E25,Roadmap!$D:$D,0)+COUNTIF($E25:L25,"u")+COUNTIF($E25:L25,"t")+COUNTIF($E25:L25,"¶")+COUNTIF($E25:L25,"²")+COUNTIF($E25:L25,"µ")+COUNTIF($E25:L25,1)-1,INDEX(Roadmap!$D:$K,MATCH($E25,Roadmap!$D:$D,0)-1+COUNTIF($E25:L25,"u")+COUNTIF($E25:L25,"t")+COUNTIF($E25:L25,"¶")+COUNTIF($E25:L25,"²")+COUNTIF($E25:L25,"µ")+COUNTIF($E25:L25,1),ColDescriptionCourte)),""),
  "")),"")</f>
        <v/>
      </c>
      <c r="N25" s="40" t="str">
        <f ca="1">IFERROR(IF(AND(
  INDEX(Roadmap!$D:$K,MATCH($E25,Roadmap!$D:$D,0)+COUNTIF($E25:M25,"u")+COUNTIF($E25:M25,"t")+COUNTIF($E25:M25,"¶")+COUNTIF($E25:M25,"²")+COUNTIF($E25:M25,"µ")+COUNTIF($E25:M25,1),ColLivraison)=N$6,
  VLOOKUP($E25,INDIRECT("tri!"&amp; CHAR(64+ C0Col) &amp;":"&amp; CHAR(65+C0Col)),2,FALSE)&gt;COUNTIF($E25:M25,"u")+COUNTIF($E25:M25,"t")+COUNTIF($E25:M25,"¶")+COUNTIF($E25:M25,"²")+COUNTIF($E25:M25,"µ")+COUNTIF($E25:M25,1)),
HYPERLINK("#Roadmap!C"&amp; MATCH($E25,Roadmap!$D:$D,0)+COUNTIF($E25:M25,"u")+COUNTIF($E25:M25,"t"),
     INDEX(Roadmap!$D:$K,MATCH($E25,Roadmap!$D:$D,0)+COUNTIF($E25:M25,"u")+COUNTIF($E25:M25,"t")+COUNTIF($E25:M25,"¶")+COUNTIF($E25:M25,"²")+COUNTIF($E25:M25,"µ")+COUNTIF($E25:M25,1),ColTypeEcheance)),
  IF(LEN(M25)=1,
  IF(LEN(INDEX(Roadmap!$D:$K,MATCH($E25,Roadmap!$D:$D,0)-1+COUNTIF($E25:M25,"u")+COUNTIF($E25:M25,"t")+COUNTIF($E25:M25,"¶")+COUNTIF($E25:M25,"²")+COUNTIF($E25:M25,"µ")+COUNTIF($E25:M25,1),ColDescriptionCourte))&gt;1,
HYPERLINK("#Roadmap!C"&amp; MATCH($E25,Roadmap!$D:$D,0)+COUNTIF($E25:M25,"u")+COUNTIF($E25:M25,"t")+COUNTIF($E25:M25,"¶")+COUNTIF($E25:M25,"²")+COUNTIF($E25:M25,"µ")+COUNTIF($E25:M25,1)-1,INDEX(Roadmap!$D:$K,MATCH($E25,Roadmap!$D:$D,0)-1+COUNTIF($E25:M25,"u")+COUNTIF($E25:M25,"t")+COUNTIF($E25:M25,"¶")+COUNTIF($E25:M25,"²")+COUNTIF($E25:M25,"µ")+COUNTIF($E25:M25,1),ColDescriptionCourte)),""),
  "")),"")</f>
        <v/>
      </c>
      <c r="O25" s="40" t="str">
        <f ca="1">IFERROR(IF(AND(
  INDEX(Roadmap!$D:$K,MATCH($E25,Roadmap!$D:$D,0)+COUNTIF($E25:N25,"u")+COUNTIF($E25:N25,"t")+COUNTIF($E25:N25,"¶")+COUNTIF($E25:N25,"²")+COUNTIF($E25:N25,"µ")+COUNTIF($E25:N25,1),ColLivraison)=O$6,
  VLOOKUP($E25,INDIRECT("tri!"&amp; CHAR(64+ C0Col) &amp;":"&amp; CHAR(65+C0Col)),2,FALSE)&gt;COUNTIF($E25:N25,"u")+COUNTIF($E25:N25,"t")+COUNTIF($E25:N25,"¶")+COUNTIF($E25:N25,"²")+COUNTIF($E25:N25,"µ")+COUNTIF($E25:N25,1)),
HYPERLINK("#Roadmap!C"&amp; MATCH($E25,Roadmap!$D:$D,0)+COUNTIF($E25:N25,"u")+COUNTIF($E25:N25,"t"),
     INDEX(Roadmap!$D:$K,MATCH($E25,Roadmap!$D:$D,0)+COUNTIF($E25:N25,"u")+COUNTIF($E25:N25,"t")+COUNTIF($E25:N25,"¶")+COUNTIF($E25:N25,"²")+COUNTIF($E25:N25,"µ")+COUNTIF($E25:N25,1),ColTypeEcheance)),
  IF(LEN(N25)=1,
  IF(LEN(INDEX(Roadmap!$D:$K,MATCH($E25,Roadmap!$D:$D,0)-1+COUNTIF($E25:N25,"u")+COUNTIF($E25:N25,"t")+COUNTIF($E25:N25,"¶")+COUNTIF($E25:N25,"²")+COUNTIF($E25:N25,"µ")+COUNTIF($E25:N25,1),ColDescriptionCourte))&gt;1,
HYPERLINK("#Roadmap!C"&amp; MATCH($E25,Roadmap!$D:$D,0)+COUNTIF($E25:N25,"u")+COUNTIF($E25:N25,"t")+COUNTIF($E25:N25,"¶")+COUNTIF($E25:N25,"²")+COUNTIF($E25:N25,"µ")+COUNTIF($E25:N25,1)-1,INDEX(Roadmap!$D:$K,MATCH($E25,Roadmap!$D:$D,0)-1+COUNTIF($E25:N25,"u")+COUNTIF($E25:N25,"t")+COUNTIF($E25:N25,"¶")+COUNTIF($E25:N25,"²")+COUNTIF($E25:N25,"µ")+COUNTIF($E25:N25,1),ColDescriptionCourte)),""),
  "")),"")</f>
        <v/>
      </c>
      <c r="P25" s="40" t="str">
        <f ca="1">IFERROR(IF(AND(
  INDEX(Roadmap!$D:$K,MATCH($E25,Roadmap!$D:$D,0)+COUNTIF($E25:O25,"u")+COUNTIF($E25:O25,"t")+COUNTIF($E25:O25,"¶")+COUNTIF($E25:O25,"²")+COUNTIF($E25:O25,"µ")+COUNTIF($E25:O25,1),ColLivraison)=P$6,
  VLOOKUP($E25,INDIRECT("tri!"&amp; CHAR(64+ C0Col) &amp;":"&amp; CHAR(65+C0Col)),2,FALSE)&gt;COUNTIF($E25:O25,"u")+COUNTIF($E25:O25,"t")+COUNTIF($E25:O25,"¶")+COUNTIF($E25:O25,"²")+COUNTIF($E25:O25,"µ")+COUNTIF($E25:O25,1)),
HYPERLINK("#Roadmap!C"&amp; MATCH($E25,Roadmap!$D:$D,0)+COUNTIF($E25:O25,"u")+COUNTIF($E25:O25,"t"),
     INDEX(Roadmap!$D:$K,MATCH($E25,Roadmap!$D:$D,0)+COUNTIF($E25:O25,"u")+COUNTIF($E25:O25,"t")+COUNTIF($E25:O25,"¶")+COUNTIF($E25:O25,"²")+COUNTIF($E25:O25,"µ")+COUNTIF($E25:O25,1),ColTypeEcheance)),
  IF(LEN(O25)=1,
  IF(LEN(INDEX(Roadmap!$D:$K,MATCH($E25,Roadmap!$D:$D,0)-1+COUNTIF($E25:O25,"u")+COUNTIF($E25:O25,"t")+COUNTIF($E25:O25,"¶")+COUNTIF($E25:O25,"²")+COUNTIF($E25:O25,"µ")+COUNTIF($E25:O25,1),ColDescriptionCourte))&gt;1,
HYPERLINK("#Roadmap!C"&amp; MATCH($E25,Roadmap!$D:$D,0)+COUNTIF($E25:O25,"u")+COUNTIF($E25:O25,"t")+COUNTIF($E25:O25,"¶")+COUNTIF($E25:O25,"²")+COUNTIF($E25:O25,"µ")+COUNTIF($E25:O25,1)-1,INDEX(Roadmap!$D:$K,MATCH($E25,Roadmap!$D:$D,0)-1+COUNTIF($E25:O25,"u")+COUNTIF($E25:O25,"t")+COUNTIF($E25:O25,"¶")+COUNTIF($E25:O25,"²")+COUNTIF($E25:O25,"µ")+COUNTIF($E25:O25,1),ColDescriptionCourte)),""),
  "")),"")</f>
        <v/>
      </c>
      <c r="Q25" s="40" t="str">
        <f ca="1">IFERROR(IF(AND(
  INDEX(Roadmap!$D:$K,MATCH($E25,Roadmap!$D:$D,0)+COUNTIF($E25:P25,"u")+COUNTIF($E25:P25,"t")+COUNTIF($E25:P25,"¶")+COUNTIF($E25:P25,"²")+COUNTIF($E25:P25,"µ")+COUNTIF($E25:P25,1),ColLivraison)=Q$6,
  VLOOKUP($E25,INDIRECT("tri!"&amp; CHAR(64+ C0Col) &amp;":"&amp; CHAR(65+C0Col)),2,FALSE)&gt;COUNTIF($E25:P25,"u")+COUNTIF($E25:P25,"t")+COUNTIF($E25:P25,"¶")+COUNTIF($E25:P25,"²")+COUNTIF($E25:P25,"µ")+COUNTIF($E25:P25,1)),
HYPERLINK("#Roadmap!C"&amp; MATCH($E25,Roadmap!$D:$D,0)+COUNTIF($E25:P25,"u")+COUNTIF($E25:P25,"t"),
     INDEX(Roadmap!$D:$K,MATCH($E25,Roadmap!$D:$D,0)+COUNTIF($E25:P25,"u")+COUNTIF($E25:P25,"t")+COUNTIF($E25:P25,"¶")+COUNTIF($E25:P25,"²")+COUNTIF($E25:P25,"µ")+COUNTIF($E25:P25,1),ColTypeEcheance)),
  IF(LEN(P25)=1,
  IF(LEN(INDEX(Roadmap!$D:$K,MATCH($E25,Roadmap!$D:$D,0)-1+COUNTIF($E25:P25,"u")+COUNTIF($E25:P25,"t")+COUNTIF($E25:P25,"¶")+COUNTIF($E25:P25,"²")+COUNTIF($E25:P25,"µ")+COUNTIF($E25:P25,1),ColDescriptionCourte))&gt;1,
HYPERLINK("#Roadmap!C"&amp; MATCH($E25,Roadmap!$D:$D,0)+COUNTIF($E25:P25,"u")+COUNTIF($E25:P25,"t")+COUNTIF($E25:P25,"¶")+COUNTIF($E25:P25,"²")+COUNTIF($E25:P25,"µ")+COUNTIF($E25:P25,1)-1,INDEX(Roadmap!$D:$K,MATCH($E25,Roadmap!$D:$D,0)-1+COUNTIF($E25:P25,"u")+COUNTIF($E25:P25,"t")+COUNTIF($E25:P25,"¶")+COUNTIF($E25:P25,"²")+COUNTIF($E25:P25,"µ")+COUNTIF($E25:P25,1),ColDescriptionCourte)),""),
  "")),"")</f>
        <v/>
      </c>
      <c r="R25" s="40" t="str">
        <f ca="1">IFERROR(IF(AND(
  INDEX(Roadmap!$D:$K,MATCH($E25,Roadmap!$D:$D,0)+COUNTIF($E25:Q25,"u")+COUNTIF($E25:Q25,"t")+COUNTIF($E25:Q25,"¶")+COUNTIF($E25:Q25,"²")+COUNTIF($E25:Q25,"µ")+COUNTIF($E25:Q25,1),ColLivraison)=R$6,
  VLOOKUP($E25,INDIRECT("tri!"&amp; CHAR(64+ C0Col) &amp;":"&amp; CHAR(65+C0Col)),2,FALSE)&gt;COUNTIF($E25:Q25,"u")+COUNTIF($E25:Q25,"t")+COUNTIF($E25:Q25,"¶")+COUNTIF($E25:Q25,"²")+COUNTIF($E25:Q25,"µ")+COUNTIF($E25:Q25,1)),
HYPERLINK("#Roadmap!C"&amp; MATCH($E25,Roadmap!$D:$D,0)+COUNTIF($E25:Q25,"u")+COUNTIF($E25:Q25,"t"),
     INDEX(Roadmap!$D:$K,MATCH($E25,Roadmap!$D:$D,0)+COUNTIF($E25:Q25,"u")+COUNTIF($E25:Q25,"t")+COUNTIF($E25:Q25,"¶")+COUNTIF($E25:Q25,"²")+COUNTIF($E25:Q25,"µ")+COUNTIF($E25:Q25,1),ColTypeEcheance)),
  IF(LEN(Q25)=1,
  IF(LEN(INDEX(Roadmap!$D:$K,MATCH($E25,Roadmap!$D:$D,0)-1+COUNTIF($E25:Q25,"u")+COUNTIF($E25:Q25,"t")+COUNTIF($E25:Q25,"¶")+COUNTIF($E25:Q25,"²")+COUNTIF($E25:Q25,"µ")+COUNTIF($E25:Q25,1),ColDescriptionCourte))&gt;1,
HYPERLINK("#Roadmap!C"&amp; MATCH($E25,Roadmap!$D:$D,0)+COUNTIF($E25:Q25,"u")+COUNTIF($E25:Q25,"t")+COUNTIF($E25:Q25,"¶")+COUNTIF($E25:Q25,"²")+COUNTIF($E25:Q25,"µ")+COUNTIF($E25:Q25,1)-1,INDEX(Roadmap!$D:$K,MATCH($E25,Roadmap!$D:$D,0)-1+COUNTIF($E25:Q25,"u")+COUNTIF($E25:Q25,"t")+COUNTIF($E25:Q25,"¶")+COUNTIF($E25:Q25,"²")+COUNTIF($E25:Q25,"µ")+COUNTIF($E25:Q25,1),ColDescriptionCourte)),""),
  "")),"")</f>
        <v/>
      </c>
      <c r="S25" s="40" t="str">
        <f ca="1">IFERROR(IF(AND(
  INDEX(Roadmap!$D:$K,MATCH($E25,Roadmap!$D:$D,0)+COUNTIF($E25:R25,"u")+COUNTIF($E25:R25,"t")+COUNTIF($E25:R25,"¶")+COUNTIF($E25:R25,"²")+COUNTIF($E25:R25,"µ")+COUNTIF($E25:R25,1),ColLivraison)=S$6,
  VLOOKUP($E25,INDIRECT("tri!"&amp; CHAR(64+ C0Col) &amp;":"&amp; CHAR(65+C0Col)),2,FALSE)&gt;COUNTIF($E25:R25,"u")+COUNTIF($E25:R25,"t")+COUNTIF($E25:R25,"¶")+COUNTIF($E25:R25,"²")+COUNTIF($E25:R25,"µ")+COUNTIF($E25:R25,1)),
HYPERLINK("#Roadmap!C"&amp; MATCH($E25,Roadmap!$D:$D,0)+COUNTIF($E25:R25,"u")+COUNTIF($E25:R25,"t"),
     INDEX(Roadmap!$D:$K,MATCH($E25,Roadmap!$D:$D,0)+COUNTIF($E25:R25,"u")+COUNTIF($E25:R25,"t")+COUNTIF($E25:R25,"¶")+COUNTIF($E25:R25,"²")+COUNTIF($E25:R25,"µ")+COUNTIF($E25:R25,1),ColTypeEcheance)),
  IF(LEN(R25)=1,
  IF(LEN(INDEX(Roadmap!$D:$K,MATCH($E25,Roadmap!$D:$D,0)-1+COUNTIF($E25:R25,"u")+COUNTIF($E25:R25,"t")+COUNTIF($E25:R25,"¶")+COUNTIF($E25:R25,"²")+COUNTIF($E25:R25,"µ")+COUNTIF($E25:R25,1),ColDescriptionCourte))&gt;1,
HYPERLINK("#Roadmap!C"&amp; MATCH($E25,Roadmap!$D:$D,0)+COUNTIF($E25:R25,"u")+COUNTIF($E25:R25,"t")+COUNTIF($E25:R25,"¶")+COUNTIF($E25:R25,"²")+COUNTIF($E25:R25,"µ")+COUNTIF($E25:R25,1)-1,INDEX(Roadmap!$D:$K,MATCH($E25,Roadmap!$D:$D,0)-1+COUNTIF($E25:R25,"u")+COUNTIF($E25:R25,"t")+COUNTIF($E25:R25,"¶")+COUNTIF($E25:R25,"²")+COUNTIF($E25:R25,"µ")+COUNTIF($E25:R25,1),ColDescriptionCourte)),""),
  "")),"")</f>
        <v/>
      </c>
      <c r="T25" s="40" t="str">
        <f ca="1">IFERROR(IF(AND(
  INDEX(Roadmap!$D:$K,MATCH($E25,Roadmap!$D:$D,0)+COUNTIF($E25:S25,"u")+COUNTIF($E25:S25,"t")+COUNTIF($E25:S25,"¶")+COUNTIF($E25:S25,"²")+COUNTIF($E25:S25,"µ")+COUNTIF($E25:S25,1),ColLivraison)=T$6,
  VLOOKUP($E25,INDIRECT("tri!"&amp; CHAR(64+ C0Col) &amp;":"&amp; CHAR(65+C0Col)),2,FALSE)&gt;COUNTIF($E25:S25,"u")+COUNTIF($E25:S25,"t")+COUNTIF($E25:S25,"¶")+COUNTIF($E25:S25,"²")+COUNTIF($E25:S25,"µ")+COUNTIF($E25:S25,1)),
HYPERLINK("#Roadmap!C"&amp; MATCH($E25,Roadmap!$D:$D,0)+COUNTIF($E25:S25,"u")+COUNTIF($E25:S25,"t"),
     INDEX(Roadmap!$D:$K,MATCH($E25,Roadmap!$D:$D,0)+COUNTIF($E25:S25,"u")+COUNTIF($E25:S25,"t")+COUNTIF($E25:S25,"¶")+COUNTIF($E25:S25,"²")+COUNTIF($E25:S25,"µ")+COUNTIF($E25:S25,1),ColTypeEcheance)),
  IF(LEN(S25)=1,
  IF(LEN(INDEX(Roadmap!$D:$K,MATCH($E25,Roadmap!$D:$D,0)-1+COUNTIF($E25:S25,"u")+COUNTIF($E25:S25,"t")+COUNTIF($E25:S25,"¶")+COUNTIF($E25:S25,"²")+COUNTIF($E25:S25,"µ")+COUNTIF($E25:S25,1),ColDescriptionCourte))&gt;1,
HYPERLINK("#Roadmap!C"&amp; MATCH($E25,Roadmap!$D:$D,0)+COUNTIF($E25:S25,"u")+COUNTIF($E25:S25,"t")+COUNTIF($E25:S25,"¶")+COUNTIF($E25:S25,"²")+COUNTIF($E25:S25,"µ")+COUNTIF($E25:S25,1)-1,INDEX(Roadmap!$D:$K,MATCH($E25,Roadmap!$D:$D,0)-1+COUNTIF($E25:S25,"u")+COUNTIF($E25:S25,"t")+COUNTIF($E25:S25,"¶")+COUNTIF($E25:S25,"²")+COUNTIF($E25:S25,"µ")+COUNTIF($E25:S25,1),ColDescriptionCourte)),""),
  "")),"")</f>
        <v/>
      </c>
      <c r="U25" s="40" t="str">
        <f ca="1">IFERROR(IF(AND(
  INDEX(Roadmap!$D:$K,MATCH($E25,Roadmap!$D:$D,0)+COUNTIF($E25:T25,"u")+COUNTIF($E25:T25,"t")+COUNTIF($E25:T25,"¶")+COUNTIF($E25:T25,"²")+COUNTIF($E25:T25,"µ")+COUNTIF($E25:T25,1),ColLivraison)=U$6,
  VLOOKUP($E25,INDIRECT("tri!"&amp; CHAR(64+ C0Col) &amp;":"&amp; CHAR(65+C0Col)),2,FALSE)&gt;COUNTIF($E25:T25,"u")+COUNTIF($E25:T25,"t")+COUNTIF($E25:T25,"¶")+COUNTIF($E25:T25,"²")+COUNTIF($E25:T25,"µ")+COUNTIF($E25:T25,1)),
HYPERLINK("#Roadmap!C"&amp; MATCH($E25,Roadmap!$D:$D,0)+COUNTIF($E25:T25,"u")+COUNTIF($E25:T25,"t"),
     INDEX(Roadmap!$D:$K,MATCH($E25,Roadmap!$D:$D,0)+COUNTIF($E25:T25,"u")+COUNTIF($E25:T25,"t")+COUNTIF($E25:T25,"¶")+COUNTIF($E25:T25,"²")+COUNTIF($E25:T25,"µ")+COUNTIF($E25:T25,1),ColTypeEcheance)),
  IF(LEN(T25)=1,
  IF(LEN(INDEX(Roadmap!$D:$K,MATCH($E25,Roadmap!$D:$D,0)-1+COUNTIF($E25:T25,"u")+COUNTIF($E25:T25,"t")+COUNTIF($E25:T25,"¶")+COUNTIF($E25:T25,"²")+COUNTIF($E25:T25,"µ")+COUNTIF($E25:T25,1),ColDescriptionCourte))&gt;1,
HYPERLINK("#Roadmap!C"&amp; MATCH($E25,Roadmap!$D:$D,0)+COUNTIF($E25:T25,"u")+COUNTIF($E25:T25,"t")+COUNTIF($E25:T25,"¶")+COUNTIF($E25:T25,"²")+COUNTIF($E25:T25,"µ")+COUNTIF($E25:T25,1)-1,INDEX(Roadmap!$D:$K,MATCH($E25,Roadmap!$D:$D,0)-1+COUNTIF($E25:T25,"u")+COUNTIF($E25:T25,"t")+COUNTIF($E25:T25,"¶")+COUNTIF($E25:T25,"²")+COUNTIF($E25:T25,"µ")+COUNTIF($E25:T25,1),ColDescriptionCourte)),""),
  "")),"")</f>
        <v/>
      </c>
      <c r="V25" s="40" t="str">
        <f ca="1">IFERROR(IF(AND(
  INDEX(Roadmap!$D:$K,MATCH($E25,Roadmap!$D:$D,0)+COUNTIF($E25:U25,"u")+COUNTIF($E25:U25,"t")+COUNTIF($E25:U25,"¶")+COUNTIF($E25:U25,"²")+COUNTIF($E25:U25,"µ")+COUNTIF($E25:U25,1),ColLivraison)=V$6,
  VLOOKUP($E25,INDIRECT("tri!"&amp; CHAR(64+ C0Col) &amp;":"&amp; CHAR(65+C0Col)),2,FALSE)&gt;COUNTIF($E25:U25,"u")+COUNTIF($E25:U25,"t")+COUNTIF($E25:U25,"¶")+COUNTIF($E25:U25,"²")+COUNTIF($E25:U25,"µ")+COUNTIF($E25:U25,1)),
HYPERLINK("#Roadmap!C"&amp; MATCH($E25,Roadmap!$D:$D,0)+COUNTIF($E25:U25,"u")+COUNTIF($E25:U25,"t"),
     INDEX(Roadmap!$D:$K,MATCH($E25,Roadmap!$D:$D,0)+COUNTIF($E25:U25,"u")+COUNTIF($E25:U25,"t")+COUNTIF($E25:U25,"¶")+COUNTIF($E25:U25,"²")+COUNTIF($E25:U25,"µ")+COUNTIF($E25:U25,1),ColTypeEcheance)),
  IF(LEN(U25)=1,
  IF(LEN(INDEX(Roadmap!$D:$K,MATCH($E25,Roadmap!$D:$D,0)-1+COUNTIF($E25:U25,"u")+COUNTIF($E25:U25,"t")+COUNTIF($E25:U25,"¶")+COUNTIF($E25:U25,"²")+COUNTIF($E25:U25,"µ")+COUNTIF($E25:U25,1),ColDescriptionCourte))&gt;1,
HYPERLINK("#Roadmap!C"&amp; MATCH($E25,Roadmap!$D:$D,0)+COUNTIF($E25:U25,"u")+COUNTIF($E25:U25,"t")+COUNTIF($E25:U25,"¶")+COUNTIF($E25:U25,"²")+COUNTIF($E25:U25,"µ")+COUNTIF($E25:U25,1)-1,INDEX(Roadmap!$D:$K,MATCH($E25,Roadmap!$D:$D,0)-1+COUNTIF($E25:U25,"u")+COUNTIF($E25:U25,"t")+COUNTIF($E25:U25,"¶")+COUNTIF($E25:U25,"²")+COUNTIF($E25:U25,"µ")+COUNTIF($E25:U25,1),ColDescriptionCourte)),""),
  "")),"")</f>
        <v/>
      </c>
      <c r="W25" s="40" t="str">
        <f ca="1">IFERROR(IF(AND(
  INDEX(Roadmap!$D:$K,MATCH($E25,Roadmap!$D:$D,0)+COUNTIF($E25:V25,"u")+COUNTIF($E25:V25,"t")+COUNTIF($E25:V25,"¶")+COUNTIF($E25:V25,"²")+COUNTIF($E25:V25,"µ")+COUNTIF($E25:V25,1),ColLivraison)=W$6,
  VLOOKUP($E25,INDIRECT("tri!"&amp; CHAR(64+ C0Col) &amp;":"&amp; CHAR(65+C0Col)),2,FALSE)&gt;COUNTIF($E25:V25,"u")+COUNTIF($E25:V25,"t")+COUNTIF($E25:V25,"¶")+COUNTIF($E25:V25,"²")+COUNTIF($E25:V25,"µ")+COUNTIF($E25:V25,1)),
HYPERLINK("#Roadmap!C"&amp; MATCH($E25,Roadmap!$D:$D,0)+COUNTIF($E25:V25,"u")+COUNTIF($E25:V25,"t"),
     INDEX(Roadmap!$D:$K,MATCH($E25,Roadmap!$D:$D,0)+COUNTIF($E25:V25,"u")+COUNTIF($E25:V25,"t")+COUNTIF($E25:V25,"¶")+COUNTIF($E25:V25,"²")+COUNTIF($E25:V25,"µ")+COUNTIF($E25:V25,1),ColTypeEcheance)),
  IF(LEN(V25)=1,
  IF(LEN(INDEX(Roadmap!$D:$K,MATCH($E25,Roadmap!$D:$D,0)-1+COUNTIF($E25:V25,"u")+COUNTIF($E25:V25,"t")+COUNTIF($E25:V25,"¶")+COUNTIF($E25:V25,"²")+COUNTIF($E25:V25,"µ")+COUNTIF($E25:V25,1),ColDescriptionCourte))&gt;1,
HYPERLINK("#Roadmap!C"&amp; MATCH($E25,Roadmap!$D:$D,0)+COUNTIF($E25:V25,"u")+COUNTIF($E25:V25,"t")+COUNTIF($E25:V25,"¶")+COUNTIF($E25:V25,"²")+COUNTIF($E25:V25,"µ")+COUNTIF($E25:V25,1)-1,INDEX(Roadmap!$D:$K,MATCH($E25,Roadmap!$D:$D,0)-1+COUNTIF($E25:V25,"u")+COUNTIF($E25:V25,"t")+COUNTIF($E25:V25,"¶")+COUNTIF($E25:V25,"²")+COUNTIF($E25:V25,"µ")+COUNTIF($E25:V25,1),ColDescriptionCourte)),""),
  "")),"")</f>
        <v/>
      </c>
      <c r="X25" s="40" t="str">
        <f ca="1">IFERROR(IF(AND(
  INDEX(Roadmap!$D:$K,MATCH($E25,Roadmap!$D:$D,0)+COUNTIF($E25:W25,"u")+COUNTIF($E25:W25,"t")+COUNTIF($E25:W25,"¶")+COUNTIF($E25:W25,"²")+COUNTIF($E25:W25,"µ")+COUNTIF($E25:W25,1),ColLivraison)=X$6,
  VLOOKUP($E25,INDIRECT("tri!"&amp; CHAR(64+ C0Col) &amp;":"&amp; CHAR(65+C0Col)),2,FALSE)&gt;COUNTIF($E25:W25,"u")+COUNTIF($E25:W25,"t")+COUNTIF($E25:W25,"¶")+COUNTIF($E25:W25,"²")+COUNTIF($E25:W25,"µ")+COUNTIF($E25:W25,1)),
HYPERLINK("#Roadmap!C"&amp; MATCH($E25,Roadmap!$D:$D,0)+COUNTIF($E25:W25,"u")+COUNTIF($E25:W25,"t"),
     INDEX(Roadmap!$D:$K,MATCH($E25,Roadmap!$D:$D,0)+COUNTIF($E25:W25,"u")+COUNTIF($E25:W25,"t")+COUNTIF($E25:W25,"¶")+COUNTIF($E25:W25,"²")+COUNTIF($E25:W25,"µ")+COUNTIF($E25:W25,1),ColTypeEcheance)),
  IF(LEN(W25)=1,
  IF(LEN(INDEX(Roadmap!$D:$K,MATCH($E25,Roadmap!$D:$D,0)-1+COUNTIF($E25:W25,"u")+COUNTIF($E25:W25,"t")+COUNTIF($E25:W25,"¶")+COUNTIF($E25:W25,"²")+COUNTIF($E25:W25,"µ")+COUNTIF($E25:W25,1),ColDescriptionCourte))&gt;1,
HYPERLINK("#Roadmap!C"&amp; MATCH($E25,Roadmap!$D:$D,0)+COUNTIF($E25:W25,"u")+COUNTIF($E25:W25,"t")+COUNTIF($E25:W25,"¶")+COUNTIF($E25:W25,"²")+COUNTIF($E25:W25,"µ")+COUNTIF($E25:W25,1)-1,INDEX(Roadmap!$D:$K,MATCH($E25,Roadmap!$D:$D,0)-1+COUNTIF($E25:W25,"u")+COUNTIF($E25:W25,"t")+COUNTIF($E25:W25,"¶")+COUNTIF($E25:W25,"²")+COUNTIF($E25:W25,"µ")+COUNTIF($E25:W25,1),ColDescriptionCourte)),""),
  "")),"")</f>
        <v/>
      </c>
      <c r="Y25" s="40" t="str">
        <f ca="1">IFERROR(IF(AND(
  INDEX(Roadmap!$D:$K,MATCH($E25,Roadmap!$D:$D,0)+COUNTIF($E25:X25,"u")+COUNTIF($E25:X25,"t")+COUNTIF($E25:X25,"¶")+COUNTIF($E25:X25,"²")+COUNTIF($E25:X25,"µ")+COUNTIF($E25:X25,1),ColLivraison)=Y$6,
  VLOOKUP($E25,INDIRECT("tri!"&amp; CHAR(64+ C0Col) &amp;":"&amp; CHAR(65+C0Col)),2,FALSE)&gt;COUNTIF($E25:X25,"u")+COUNTIF($E25:X25,"t")+COUNTIF($E25:X25,"¶")+COUNTIF($E25:X25,"²")+COUNTIF($E25:X25,"µ")+COUNTIF($E25:X25,1)),
HYPERLINK("#Roadmap!C"&amp; MATCH($E25,Roadmap!$D:$D,0)+COUNTIF($E25:X25,"u")+COUNTIF($E25:X25,"t"),
     INDEX(Roadmap!$D:$K,MATCH($E25,Roadmap!$D:$D,0)+COUNTIF($E25:X25,"u")+COUNTIF($E25:X25,"t")+COUNTIF($E25:X25,"¶")+COUNTIF($E25:X25,"²")+COUNTIF($E25:X25,"µ")+COUNTIF($E25:X25,1),ColTypeEcheance)),
  IF(LEN(X25)=1,
  IF(LEN(INDEX(Roadmap!$D:$K,MATCH($E25,Roadmap!$D:$D,0)-1+COUNTIF($E25:X25,"u")+COUNTIF($E25:X25,"t")+COUNTIF($E25:X25,"¶")+COUNTIF($E25:X25,"²")+COUNTIF($E25:X25,"µ")+COUNTIF($E25:X25,1),ColDescriptionCourte))&gt;1,
HYPERLINK("#Roadmap!C"&amp; MATCH($E25,Roadmap!$D:$D,0)+COUNTIF($E25:X25,"u")+COUNTIF($E25:X25,"t")+COUNTIF($E25:X25,"¶")+COUNTIF($E25:X25,"²")+COUNTIF($E25:X25,"µ")+COUNTIF($E25:X25,1)-1,INDEX(Roadmap!$D:$K,MATCH($E25,Roadmap!$D:$D,0)-1+COUNTIF($E25:X25,"u")+COUNTIF($E25:X25,"t")+COUNTIF($E25:X25,"¶")+COUNTIF($E25:X25,"²")+COUNTIF($E25:X25,"µ")+COUNTIF($E25:X25,1),ColDescriptionCourte)),""),
  "")),"")</f>
        <v/>
      </c>
      <c r="Z25" s="40" t="str">
        <f ca="1">IFERROR(IF(AND(
  INDEX(Roadmap!$D:$K,MATCH($E25,Roadmap!$D:$D,0)+COUNTIF($E25:Y25,"u")+COUNTIF($E25:Y25,"t")+COUNTIF($E25:Y25,"¶")+COUNTIF($E25:Y25,"²")+COUNTIF($E25:Y25,"µ")+COUNTIF($E25:Y25,1),ColLivraison)=Z$6,
  VLOOKUP($E25,INDIRECT("tri!"&amp; CHAR(64+ C0Col) &amp;":"&amp; CHAR(65+C0Col)),2,FALSE)&gt;COUNTIF($E25:Y25,"u")+COUNTIF($E25:Y25,"t")+COUNTIF($E25:Y25,"¶")+COUNTIF($E25:Y25,"²")+COUNTIF($E25:Y25,"µ")+COUNTIF($E25:Y25,1)),
HYPERLINK("#Roadmap!C"&amp; MATCH($E25,Roadmap!$D:$D,0)+COUNTIF($E25:Y25,"u")+COUNTIF($E25:Y25,"t"),
     INDEX(Roadmap!$D:$K,MATCH($E25,Roadmap!$D:$D,0)+COUNTIF($E25:Y25,"u")+COUNTIF($E25:Y25,"t")+COUNTIF($E25:Y25,"¶")+COUNTIF($E25:Y25,"²")+COUNTIF($E25:Y25,"µ")+COUNTIF($E25:Y25,1),ColTypeEcheance)),
  IF(LEN(Y25)=1,
  IF(LEN(INDEX(Roadmap!$D:$K,MATCH($E25,Roadmap!$D:$D,0)-1+COUNTIF($E25:Y25,"u")+COUNTIF($E25:Y25,"t")+COUNTIF($E25:Y25,"¶")+COUNTIF($E25:Y25,"²")+COUNTIF($E25:Y25,"µ")+COUNTIF($E25:Y25,1),ColDescriptionCourte))&gt;1,
HYPERLINK("#Roadmap!C"&amp; MATCH($E25,Roadmap!$D:$D,0)+COUNTIF($E25:Y25,"u")+COUNTIF($E25:Y25,"t")+COUNTIF($E25:Y25,"¶")+COUNTIF($E25:Y25,"²")+COUNTIF($E25:Y25,"µ")+COUNTIF($E25:Y25,1)-1,INDEX(Roadmap!$D:$K,MATCH($E25,Roadmap!$D:$D,0)-1+COUNTIF($E25:Y25,"u")+COUNTIF($E25:Y25,"t")+COUNTIF($E25:Y25,"¶")+COUNTIF($E25:Y25,"²")+COUNTIF($E25:Y25,"µ")+COUNTIF($E25:Y25,1),ColDescriptionCourte)),""),
  "")),"")</f>
        <v/>
      </c>
      <c r="AA25" s="40" t="str">
        <f ca="1">IFERROR(IF(AND(
  INDEX(Roadmap!$D:$K,MATCH($E25,Roadmap!$D:$D,0)+COUNTIF($E25:Z25,"u")+COUNTIF($E25:Z25,"t")+COUNTIF($E25:Z25,"¶")+COUNTIF($E25:Z25,"²")+COUNTIF($E25:Z25,"µ")+COUNTIF($E25:Z25,1),ColLivraison)=AA$6,
  VLOOKUP($E25,INDIRECT("tri!"&amp; CHAR(64+ C0Col) &amp;":"&amp; CHAR(65+C0Col)),2,FALSE)&gt;COUNTIF($E25:Z25,"u")+COUNTIF($E25:Z25,"t")+COUNTIF($E25:Z25,"¶")+COUNTIF($E25:Z25,"²")+COUNTIF($E25:Z25,"µ")+COUNTIF($E25:Z25,1)),
HYPERLINK("#Roadmap!C"&amp; MATCH($E25,Roadmap!$D:$D,0)+COUNTIF($E25:Z25,"u")+COUNTIF($E25:Z25,"t"),
     INDEX(Roadmap!$D:$K,MATCH($E25,Roadmap!$D:$D,0)+COUNTIF($E25:Z25,"u")+COUNTIF($E25:Z25,"t")+COUNTIF($E25:Z25,"¶")+COUNTIF($E25:Z25,"²")+COUNTIF($E25:Z25,"µ")+COUNTIF($E25:Z25,1),ColTypeEcheance)),
  IF(LEN(Z25)=1,
  IF(LEN(INDEX(Roadmap!$D:$K,MATCH($E25,Roadmap!$D:$D,0)-1+COUNTIF($E25:Z25,"u")+COUNTIF($E25:Z25,"t")+COUNTIF($E25:Z25,"¶")+COUNTIF($E25:Z25,"²")+COUNTIF($E25:Z25,"µ")+COUNTIF($E25:Z25,1),ColDescriptionCourte))&gt;1,
HYPERLINK("#Roadmap!C"&amp; MATCH($E25,Roadmap!$D:$D,0)+COUNTIF($E25:Z25,"u")+COUNTIF($E25:Z25,"t")+COUNTIF($E25:Z25,"¶")+COUNTIF($E25:Z25,"²")+COUNTIF($E25:Z25,"µ")+COUNTIF($E25:Z25,1)-1,INDEX(Roadmap!$D:$K,MATCH($E25,Roadmap!$D:$D,0)-1+COUNTIF($E25:Z25,"u")+COUNTIF($E25:Z25,"t")+COUNTIF($E25:Z25,"¶")+COUNTIF($E25:Z25,"²")+COUNTIF($E25:Z25,"µ")+COUNTIF($E25:Z25,1),ColDescriptionCourte)),""),
  "")),"")</f>
        <v/>
      </c>
      <c r="AB25" s="40" t="str">
        <f ca="1">IFERROR(IF(AND(
  INDEX(Roadmap!$D:$K,MATCH($E25,Roadmap!$D:$D,0)+COUNTIF($E25:AA25,"u")+COUNTIF($E25:AA25,"t")+COUNTIF($E25:AA25,"¶")+COUNTIF($E25:AA25,"²")+COUNTIF($E25:AA25,"µ")+COUNTIF($E25:AA25,1),ColLivraison)=AB$6,
  VLOOKUP($E25,INDIRECT("tri!"&amp; CHAR(64+ C0Col) &amp;":"&amp; CHAR(65+C0Col)),2,FALSE)&gt;COUNTIF($E25:AA25,"u")+COUNTIF($E25:AA25,"t")+COUNTIF($E25:AA25,"¶")+COUNTIF($E25:AA25,"²")+COUNTIF($E25:AA25,"µ")+COUNTIF($E25:AA25,1)),
HYPERLINK("#Roadmap!C"&amp; MATCH($E25,Roadmap!$D:$D,0)+COUNTIF($E25:AA25,"u")+COUNTIF($E25:AA25,"t"),
     INDEX(Roadmap!$D:$K,MATCH($E25,Roadmap!$D:$D,0)+COUNTIF($E25:AA25,"u")+COUNTIF($E25:AA25,"t")+COUNTIF($E25:AA25,"¶")+COUNTIF($E25:AA25,"²")+COUNTIF($E25:AA25,"µ")+COUNTIF($E25:AA25,1),ColTypeEcheance)),
  IF(LEN(AA25)=1,
  IF(LEN(INDEX(Roadmap!$D:$K,MATCH($E25,Roadmap!$D:$D,0)-1+COUNTIF($E25:AA25,"u")+COUNTIF($E25:AA25,"t")+COUNTIF($E25:AA25,"¶")+COUNTIF($E25:AA25,"²")+COUNTIF($E25:AA25,"µ")+COUNTIF($E25:AA25,1),ColDescriptionCourte))&gt;1,
HYPERLINK("#Roadmap!C"&amp; MATCH($E25,Roadmap!$D:$D,0)+COUNTIF($E25:AA25,"u")+COUNTIF($E25:AA25,"t")+COUNTIF($E25:AA25,"¶")+COUNTIF($E25:AA25,"²")+COUNTIF($E25:AA25,"µ")+COUNTIF($E25:AA25,1)-1,INDEX(Roadmap!$D:$K,MATCH($E25,Roadmap!$D:$D,0)-1+COUNTIF($E25:AA25,"u")+COUNTIF($E25:AA25,"t")+COUNTIF($E25:AA25,"¶")+COUNTIF($E25:AA25,"²")+COUNTIF($E25:AA25,"µ")+COUNTIF($E25:AA25,1),ColDescriptionCourte)),""),
  "")),"")</f>
        <v/>
      </c>
      <c r="AC25" s="40" t="str">
        <f ca="1">IFERROR(IF(AND(
  INDEX(Roadmap!$D:$K,MATCH($E25,Roadmap!$D:$D,0)+COUNTIF($E25:AB25,"u")+COUNTIF($E25:AB25,"t")+COUNTIF($E25:AB25,"¶")+COUNTIF($E25:AB25,"²")+COUNTIF($E25:AB25,"µ")+COUNTIF($E25:AB25,1),ColLivraison)=AC$6,
  VLOOKUP($E25,INDIRECT("tri!"&amp; CHAR(64+ C0Col) &amp;":"&amp; CHAR(65+C0Col)),2,FALSE)&gt;COUNTIF($E25:AB25,"u")+COUNTIF($E25:AB25,"t")+COUNTIF($E25:AB25,"¶")+COUNTIF($E25:AB25,"²")+COUNTIF($E25:AB25,"µ")+COUNTIF($E25:AB25,1)),
HYPERLINK("#Roadmap!C"&amp; MATCH($E25,Roadmap!$D:$D,0)+COUNTIF($E25:AB25,"u")+COUNTIF($E25:AB25,"t"),
     INDEX(Roadmap!$D:$K,MATCH($E25,Roadmap!$D:$D,0)+COUNTIF($E25:AB25,"u")+COUNTIF($E25:AB25,"t")+COUNTIF($E25:AB25,"¶")+COUNTIF($E25:AB25,"²")+COUNTIF($E25:AB25,"µ")+COUNTIF($E25:AB25,1),ColTypeEcheance)),
  IF(LEN(AB25)=1,
  IF(LEN(INDEX(Roadmap!$D:$K,MATCH($E25,Roadmap!$D:$D,0)-1+COUNTIF($E25:AB25,"u")+COUNTIF($E25:AB25,"t")+COUNTIF($E25:AB25,"¶")+COUNTIF($E25:AB25,"²")+COUNTIF($E25:AB25,"µ")+COUNTIF($E25:AB25,1),ColDescriptionCourte))&gt;1,
HYPERLINK("#Roadmap!C"&amp; MATCH($E25,Roadmap!$D:$D,0)+COUNTIF($E25:AB25,"u")+COUNTIF($E25:AB25,"t")+COUNTIF($E25:AB25,"¶")+COUNTIF($E25:AB25,"²")+COUNTIF($E25:AB25,"µ")+COUNTIF($E25:AB25,1)-1,INDEX(Roadmap!$D:$K,MATCH($E25,Roadmap!$D:$D,0)-1+COUNTIF($E25:AB25,"u")+COUNTIF($E25:AB25,"t")+COUNTIF($E25:AB25,"¶")+COUNTIF($E25:AB25,"²")+COUNTIF($E25:AB25,"µ")+COUNTIF($E25:AB25,1),ColDescriptionCourte)),""),
  "")),"")</f>
        <v/>
      </c>
      <c r="AD25" s="40" t="str">
        <f ca="1">IFERROR(IF(AND(
  INDEX(Roadmap!$D:$K,MATCH($E25,Roadmap!$D:$D,0)+COUNTIF($E25:AC25,"u")+COUNTIF($E25:AC25,"t")+COUNTIF($E25:AC25,"¶")+COUNTIF($E25:AC25,"²")+COUNTIF($E25:AC25,"µ")+COUNTIF($E25:AC25,1),ColLivraison)=AD$6,
  VLOOKUP($E25,INDIRECT("tri!"&amp; CHAR(64+ C0Col) &amp;":"&amp; CHAR(65+C0Col)),2,FALSE)&gt;COUNTIF($E25:AC25,"u")+COUNTIF($E25:AC25,"t")+COUNTIF($E25:AC25,"¶")+COUNTIF($E25:AC25,"²")+COUNTIF($E25:AC25,"µ")+COUNTIF($E25:AC25,1)),
HYPERLINK("#Roadmap!C"&amp; MATCH($E25,Roadmap!$D:$D,0)+COUNTIF($E25:AC25,"u")+COUNTIF($E25:AC25,"t"),
     INDEX(Roadmap!$D:$K,MATCH($E25,Roadmap!$D:$D,0)+COUNTIF($E25:AC25,"u")+COUNTIF($E25:AC25,"t")+COUNTIF($E25:AC25,"¶")+COUNTIF($E25:AC25,"²")+COUNTIF($E25:AC25,"µ")+COUNTIF($E25:AC25,1),ColTypeEcheance)),
  IF(LEN(AC25)=1,
  IF(LEN(INDEX(Roadmap!$D:$K,MATCH($E25,Roadmap!$D:$D,0)-1+COUNTIF($E25:AC25,"u")+COUNTIF($E25:AC25,"t")+COUNTIF($E25:AC25,"¶")+COUNTIF($E25:AC25,"²")+COUNTIF($E25:AC25,"µ")+COUNTIF($E25:AC25,1),ColDescriptionCourte))&gt;1,
HYPERLINK("#Roadmap!C"&amp; MATCH($E25,Roadmap!$D:$D,0)+COUNTIF($E25:AC25,"u")+COUNTIF($E25:AC25,"t")+COUNTIF($E25:AC25,"¶")+COUNTIF($E25:AC25,"²")+COUNTIF($E25:AC25,"µ")+COUNTIF($E25:AC25,1)-1,INDEX(Roadmap!$D:$K,MATCH($E25,Roadmap!$D:$D,0)-1+COUNTIF($E25:AC25,"u")+COUNTIF($E25:AC25,"t")+COUNTIF($E25:AC25,"¶")+COUNTIF($E25:AC25,"²")+COUNTIF($E25:AC25,"µ")+COUNTIF($E25:AC25,1),ColDescriptionCourte)),""),
  "")),"")</f>
        <v/>
      </c>
      <c r="AE25" s="40" t="str">
        <f ca="1">IFERROR(IF(AND(
  INDEX(Roadmap!$D:$K,MATCH($E25,Roadmap!$D:$D,0)+COUNTIF($E25:AD25,"u")+COUNTIF($E25:AD25,"t")+COUNTIF($E25:AD25,"¶")+COUNTIF($E25:AD25,"²")+COUNTIF($E25:AD25,"µ")+COUNTIF($E25:AD25,1),ColLivraison)=AE$6,
  VLOOKUP($E25,INDIRECT("tri!"&amp; CHAR(64+ C0Col) &amp;":"&amp; CHAR(65+C0Col)),2,FALSE)&gt;COUNTIF($E25:AD25,"u")+COUNTIF($E25:AD25,"t")+COUNTIF($E25:AD25,"¶")+COUNTIF($E25:AD25,"²")+COUNTIF($E25:AD25,"µ")+COUNTIF($E25:AD25,1)),
HYPERLINK("#Roadmap!C"&amp; MATCH($E25,Roadmap!$D:$D,0)+COUNTIF($E25:AD25,"u")+COUNTIF($E25:AD25,"t"),
     INDEX(Roadmap!$D:$K,MATCH($E25,Roadmap!$D:$D,0)+COUNTIF($E25:AD25,"u")+COUNTIF($E25:AD25,"t")+COUNTIF($E25:AD25,"¶")+COUNTIF($E25:AD25,"²")+COUNTIF($E25:AD25,"µ")+COUNTIF($E25:AD25,1),ColTypeEcheance)),
  IF(LEN(AD25)=1,
  IF(LEN(INDEX(Roadmap!$D:$K,MATCH($E25,Roadmap!$D:$D,0)-1+COUNTIF($E25:AD25,"u")+COUNTIF($E25:AD25,"t")+COUNTIF($E25:AD25,"¶")+COUNTIF($E25:AD25,"²")+COUNTIF($E25:AD25,"µ")+COUNTIF($E25:AD25,1),ColDescriptionCourte))&gt;1,
HYPERLINK("#Roadmap!C"&amp; MATCH($E25,Roadmap!$D:$D,0)+COUNTIF($E25:AD25,"u")+COUNTIF($E25:AD25,"t")+COUNTIF($E25:AD25,"¶")+COUNTIF($E25:AD25,"²")+COUNTIF($E25:AD25,"µ")+COUNTIF($E25:AD25,1)-1,INDEX(Roadmap!$D:$K,MATCH($E25,Roadmap!$D:$D,0)-1+COUNTIF($E25:AD25,"u")+COUNTIF($E25:AD25,"t")+COUNTIF($E25:AD25,"¶")+COUNTIF($E25:AD25,"²")+COUNTIF($E25:AD25,"µ")+COUNTIF($E25:AD25,1),ColDescriptionCourte)),""),
  "")),"")</f>
        <v/>
      </c>
      <c r="AF25" s="40" t="str">
        <f ca="1">IFERROR(IF(AND(
  INDEX(Roadmap!$D:$K,MATCH($E25,Roadmap!$D:$D,0)+COUNTIF($E25:AE25,"u")+COUNTIF($E25:AE25,"t")+COUNTIF($E25:AE25,"¶")+COUNTIF($E25:AE25,"²")+COUNTIF($E25:AE25,"µ")+COUNTIF($E25:AE25,1),ColLivraison)=AF$6,
  VLOOKUP($E25,INDIRECT("tri!"&amp; CHAR(64+ C0Col) &amp;":"&amp; CHAR(65+C0Col)),2,FALSE)&gt;COUNTIF($E25:AE25,"u")+COUNTIF($E25:AE25,"t")+COUNTIF($E25:AE25,"¶")+COUNTIF($E25:AE25,"²")+COUNTIF($E25:AE25,"µ")+COUNTIF($E25:AE25,1)),
HYPERLINK("#Roadmap!C"&amp; MATCH($E25,Roadmap!$D:$D,0)+COUNTIF($E25:AE25,"u")+COUNTIF($E25:AE25,"t"),
     INDEX(Roadmap!$D:$K,MATCH($E25,Roadmap!$D:$D,0)+COUNTIF($E25:AE25,"u")+COUNTIF($E25:AE25,"t")+COUNTIF($E25:AE25,"¶")+COUNTIF($E25:AE25,"²")+COUNTIF($E25:AE25,"µ")+COUNTIF($E25:AE25,1),ColTypeEcheance)),
  IF(LEN(AE25)=1,
  IF(LEN(INDEX(Roadmap!$D:$K,MATCH($E25,Roadmap!$D:$D,0)-1+COUNTIF($E25:AE25,"u")+COUNTIF($E25:AE25,"t")+COUNTIF($E25:AE25,"¶")+COUNTIF($E25:AE25,"²")+COUNTIF($E25:AE25,"µ")+COUNTIF($E25:AE25,1),ColDescriptionCourte))&gt;1,
HYPERLINK("#Roadmap!C"&amp; MATCH($E25,Roadmap!$D:$D,0)+COUNTIF($E25:AE25,"u")+COUNTIF($E25:AE25,"t")+COUNTIF($E25:AE25,"¶")+COUNTIF($E25:AE25,"²")+COUNTIF($E25:AE25,"µ")+COUNTIF($E25:AE25,1)-1,INDEX(Roadmap!$D:$K,MATCH($E25,Roadmap!$D:$D,0)-1+COUNTIF($E25:AE25,"u")+COUNTIF($E25:AE25,"t")+COUNTIF($E25:AE25,"¶")+COUNTIF($E25:AE25,"²")+COUNTIF($E25:AE25,"µ")+COUNTIF($E25:AE25,1),ColDescriptionCourte)),""),
  "")),"")</f>
        <v/>
      </c>
      <c r="AG25" s="40" t="str">
        <f ca="1">IFERROR(IF(AND(
  INDEX(Roadmap!$D:$K,MATCH($E25,Roadmap!$D:$D,0)+COUNTIF($E25:AF25,"u")+COUNTIF($E25:AF25,"t")+COUNTIF($E25:AF25,"¶")+COUNTIF($E25:AF25,"²")+COUNTIF($E25:AF25,"µ")+COUNTIF($E25:AF25,1),ColLivraison)=AG$6,
  VLOOKUP($E25,INDIRECT("tri!"&amp; CHAR(64+ C0Col) &amp;":"&amp; CHAR(65+C0Col)),2,FALSE)&gt;COUNTIF($E25:AF25,"u")+COUNTIF($E25:AF25,"t")+COUNTIF($E25:AF25,"¶")+COUNTIF($E25:AF25,"²")+COUNTIF($E25:AF25,"µ")+COUNTIF($E25:AF25,1)),
HYPERLINK("#Roadmap!C"&amp; MATCH($E25,Roadmap!$D:$D,0)+COUNTIF($E25:AF25,"u")+COUNTIF($E25:AF25,"t"),
     INDEX(Roadmap!$D:$K,MATCH($E25,Roadmap!$D:$D,0)+COUNTIF($E25:AF25,"u")+COUNTIF($E25:AF25,"t")+COUNTIF($E25:AF25,"¶")+COUNTIF($E25:AF25,"²")+COUNTIF($E25:AF25,"µ")+COUNTIF($E25:AF25,1),ColTypeEcheance)),
  IF(LEN(AF25)=1,
  IF(LEN(INDEX(Roadmap!$D:$K,MATCH($E25,Roadmap!$D:$D,0)-1+COUNTIF($E25:AF25,"u")+COUNTIF($E25:AF25,"t")+COUNTIF($E25:AF25,"¶")+COUNTIF($E25:AF25,"²")+COUNTIF($E25:AF25,"µ")+COUNTIF($E25:AF25,1),ColDescriptionCourte))&gt;1,
HYPERLINK("#Roadmap!C"&amp; MATCH($E25,Roadmap!$D:$D,0)+COUNTIF($E25:AF25,"u")+COUNTIF($E25:AF25,"t")+COUNTIF($E25:AF25,"¶")+COUNTIF($E25:AF25,"²")+COUNTIF($E25:AF25,"µ")+COUNTIF($E25:AF25,1)-1,INDEX(Roadmap!$D:$K,MATCH($E25,Roadmap!$D:$D,0)-1+COUNTIF($E25:AF25,"u")+COUNTIF($E25:AF25,"t")+COUNTIF($E25:AF25,"¶")+COUNTIF($E25:AF25,"²")+COUNTIF($E25:AF25,"µ")+COUNTIF($E25:AF25,1),ColDescriptionCourte)),""),
  "")),"")</f>
        <v/>
      </c>
    </row>
    <row r="26" spans="3:33" ht="14.25" customHeight="1">
      <c r="C26" s="1" t="str">
        <f t="shared" ca="1" si="42"/>
        <v/>
      </c>
      <c r="D26" s="1" t="str">
        <f t="shared" ca="1" si="43"/>
        <v/>
      </c>
      <c r="E26" s="35" t="str">
        <f t="shared" ca="1" si="33"/>
        <v/>
      </c>
      <c r="F26" s="39" t="str">
        <f ca="1">IFERROR(IF(AND(
  INDEX(Roadmap!$D:$K,MATCH($E26,Roadmap!$D:$D,0)+COUNTIF($E26:E26,"u")+COUNTIF($E26:E26,"t")+COUNTIF($E26:E26,"¶")+COUNTIF($E26:E26,"²")+COUNTIF($E26:E26,"µ")+COUNTIF($E26:E26,1),ColLivraison)=F$6,
  VLOOKUP($E26,INDIRECT("tri!"&amp; CHAR(64+ C0Col) &amp;":"&amp; CHAR(65+C0Col)),2,FALSE)&gt;COUNTIF($E26:E26,"u")+COUNTIF($E26:E26,"t")+COUNTIF($E26:E26,"¶")+COUNTIF($E26:E26,"²")+COUNTIF($E26:E26,"µ")+COUNTIF($E26:E26,1)),
HYPERLINK("#Roadmap!C"&amp; MATCH($E26,Roadmap!$D:$D,0)+COUNTIF($E26:E26,"u")+COUNTIF($E26:E26,"t"),
     INDEX(Roadmap!$D:$K,MATCH($E26,Roadmap!$D:$D,0)+COUNTIF($E26:E26,"u")+COUNTIF($E26:E26,"t")+COUNTIF($E26:E26,"¶")+COUNTIF($E26:E26,"²")+COUNTIF($E26:E26,"µ")+COUNTIF($E26:E26,1),ColTypeEcheance)),
  IF(LEN(E26)=1,
  IF(LEN(INDEX(Roadmap!$D:$K,MATCH($E26,Roadmap!$D:$D,0)-1+COUNTIF($E26:E26,"u")+COUNTIF($E26:E26,"t")+COUNTIF($E26:E26,"¶")+COUNTIF($E26:E26,"²")+COUNTIF($E26:E26,"µ")+COUNTIF($E26:E26,1),ColDescriptionCourte))&gt;1,
HYPERLINK("#Roadmap!C"&amp; MATCH($E26,Roadmap!$D:$D,0)+COUNTIF($E26:E26,"u")+COUNTIF($E26:E26,"t")+COUNTIF($E26:E26,"¶")+COUNTIF($E26:E26,"²")+COUNTIF($E26:E26,"µ")+COUNTIF($E26:E26,1)-1,INDEX(Roadmap!$D:$K,MATCH($E26,Roadmap!$D:$D,0)-1+COUNTIF($E26:E26,"u")+COUNTIF($E26:E26,"t")+COUNTIF($E26:E26,"¶")+COUNTIF($E26:E26,"²")+COUNTIF($E26:E26,"µ")+COUNTIF($E26:E26,1),ColDescriptionCourte)),""),
  "")),"")</f>
        <v/>
      </c>
      <c r="G26" s="40" t="str">
        <f ca="1">IFERROR(IF(AND(
  INDEX(Roadmap!$D:$K,MATCH($E26,Roadmap!$D:$D,0)+COUNTIF($E26:F26,"u")+COUNTIF($E26:F26,"t")+COUNTIF($E26:F26,"¶")+COUNTIF($E26:F26,"²")+COUNTIF($E26:F26,"µ")+COUNTIF($E26:F26,1),ColLivraison)=G$6,
  VLOOKUP($E26,INDIRECT("tri!"&amp; CHAR(64+ C0Col) &amp;":"&amp; CHAR(65+C0Col)),2,FALSE)&gt;COUNTIF($E26:F26,"u")+COUNTIF($E26:F26,"t")+COUNTIF($E26:F26,"¶")+COUNTIF($E26:F26,"²")+COUNTIF($E26:F26,"µ")+COUNTIF($E26:F26,1)),
HYPERLINK("#Roadmap!C"&amp; MATCH($E26,Roadmap!$D:$D,0)+COUNTIF($E26:F26,"u")+COUNTIF($E26:F26,"t"),
     INDEX(Roadmap!$D:$K,MATCH($E26,Roadmap!$D:$D,0)+COUNTIF($E26:F26,"u")+COUNTIF($E26:F26,"t")+COUNTIF($E26:F26,"¶")+COUNTIF($E26:F26,"²")+COUNTIF($E26:F26,"µ")+COUNTIF($E26:F26,1),ColTypeEcheance)),
  IF(LEN(F26)=1,
  IF(LEN(INDEX(Roadmap!$D:$K,MATCH($E26,Roadmap!$D:$D,0)-1+COUNTIF($E26:F26,"u")+COUNTIF($E26:F26,"t")+COUNTIF($E26:F26,"¶")+COUNTIF($E26:F26,"²")+COUNTIF($E26:F26,"µ")+COUNTIF($E26:F26,1),ColDescriptionCourte))&gt;1,
HYPERLINK("#Roadmap!C"&amp; MATCH($E26,Roadmap!$D:$D,0)+COUNTIF($E26:F26,"u")+COUNTIF($E26:F26,"t")+COUNTIF($E26:F26,"¶")+COUNTIF($E26:F26,"²")+COUNTIF($E26:F26,"µ")+COUNTIF($E26:F26,1)-1,INDEX(Roadmap!$D:$K,MATCH($E26,Roadmap!$D:$D,0)-1+COUNTIF($E26:F26,"u")+COUNTIF($E26:F26,"t")+COUNTIF($E26:F26,"¶")+COUNTIF($E26:F26,"²")+COUNTIF($E26:F26,"µ")+COUNTIF($E26:F26,1),ColDescriptionCourte)),""),
  "")),"")</f>
        <v/>
      </c>
      <c r="H26" s="40" t="str">
        <f ca="1">IFERROR(IF(AND(
  INDEX(Roadmap!$D:$K,MATCH($E26,Roadmap!$D:$D,0)+COUNTIF($E26:G26,"u")+COUNTIF($E26:G26,"t")+COUNTIF($E26:G26,"¶")+COUNTIF($E26:G26,"²")+COUNTIF($E26:G26,"µ")+COUNTIF($E26:G26,1),ColLivraison)=H$6,
  VLOOKUP($E26,INDIRECT("tri!"&amp; CHAR(64+ C0Col) &amp;":"&amp; CHAR(65+C0Col)),2,FALSE)&gt;COUNTIF($E26:G26,"u")+COUNTIF($E26:G26,"t")+COUNTIF($E26:G26,"¶")+COUNTIF($E26:G26,"²")+COUNTIF($E26:G26,"µ")+COUNTIF($E26:G26,1)),
HYPERLINK("#Roadmap!C"&amp; MATCH($E26,Roadmap!$D:$D,0)+COUNTIF($E26:G26,"u")+COUNTIF($E26:G26,"t"),
     INDEX(Roadmap!$D:$K,MATCH($E26,Roadmap!$D:$D,0)+COUNTIF($E26:G26,"u")+COUNTIF($E26:G26,"t")+COUNTIF($E26:G26,"¶")+COUNTIF($E26:G26,"²")+COUNTIF($E26:G26,"µ")+COUNTIF($E26:G26,1),ColTypeEcheance)),
  IF(LEN(G26)=1,
  IF(LEN(INDEX(Roadmap!$D:$K,MATCH($E26,Roadmap!$D:$D,0)-1+COUNTIF($E26:G26,"u")+COUNTIF($E26:G26,"t")+COUNTIF($E26:G26,"¶")+COUNTIF($E26:G26,"²")+COUNTIF($E26:G26,"µ")+COUNTIF($E26:G26,1),ColDescriptionCourte))&gt;1,
HYPERLINK("#Roadmap!C"&amp; MATCH($E26,Roadmap!$D:$D,0)+COUNTIF($E26:G26,"u")+COUNTIF($E26:G26,"t")+COUNTIF($E26:G26,"¶")+COUNTIF($E26:G26,"²")+COUNTIF($E26:G26,"µ")+COUNTIF($E26:G26,1)-1,INDEX(Roadmap!$D:$K,MATCH($E26,Roadmap!$D:$D,0)-1+COUNTIF($E26:G26,"u")+COUNTIF($E26:G26,"t")+COUNTIF($E26:G26,"¶")+COUNTIF($E26:G26,"²")+COUNTIF($E26:G26,"µ")+COUNTIF($E26:G26,1),ColDescriptionCourte)),""),
  "")),"")</f>
        <v/>
      </c>
      <c r="I26" s="40" t="str">
        <f ca="1">IFERROR(IF(AND(
  INDEX(Roadmap!$D:$K,MATCH($E26,Roadmap!$D:$D,0)+COUNTIF($E26:H26,"u")+COUNTIF($E26:H26,"t")+COUNTIF($E26:H26,"¶")+COUNTIF($E26:H26,"²")+COUNTIF($E26:H26,"µ")+COUNTIF($E26:H26,1),ColLivraison)=I$6,
  VLOOKUP($E26,INDIRECT("tri!"&amp; CHAR(64+ C0Col) &amp;":"&amp; CHAR(65+C0Col)),2,FALSE)&gt;COUNTIF($E26:H26,"u")+COUNTIF($E26:H26,"t")+COUNTIF($E26:H26,"¶")+COUNTIF($E26:H26,"²")+COUNTIF($E26:H26,"µ")+COUNTIF($E26:H26,1)),
HYPERLINK("#Roadmap!C"&amp; MATCH($E26,Roadmap!$D:$D,0)+COUNTIF($E26:H26,"u")+COUNTIF($E26:H26,"t"),
     INDEX(Roadmap!$D:$K,MATCH($E26,Roadmap!$D:$D,0)+COUNTIF($E26:H26,"u")+COUNTIF($E26:H26,"t")+COUNTIF($E26:H26,"¶")+COUNTIF($E26:H26,"²")+COUNTIF($E26:H26,"µ")+COUNTIF($E26:H26,1),ColTypeEcheance)),
  IF(LEN(H26)=1,
  IF(LEN(INDEX(Roadmap!$D:$K,MATCH($E26,Roadmap!$D:$D,0)-1+COUNTIF($E26:H26,"u")+COUNTIF($E26:H26,"t")+COUNTIF($E26:H26,"¶")+COUNTIF($E26:H26,"²")+COUNTIF($E26:H26,"µ")+COUNTIF($E26:H26,1),ColDescriptionCourte))&gt;1,
HYPERLINK("#Roadmap!C"&amp; MATCH($E26,Roadmap!$D:$D,0)+COUNTIF($E26:H26,"u")+COUNTIF($E26:H26,"t")+COUNTIF($E26:H26,"¶")+COUNTIF($E26:H26,"²")+COUNTIF($E26:H26,"µ")+COUNTIF($E26:H26,1)-1,INDEX(Roadmap!$D:$K,MATCH($E26,Roadmap!$D:$D,0)-1+COUNTIF($E26:H26,"u")+COUNTIF($E26:H26,"t")+COUNTIF($E26:H26,"¶")+COUNTIF($E26:H26,"²")+COUNTIF($E26:H26,"µ")+COUNTIF($E26:H26,1),ColDescriptionCourte)),""),
  "")),"")</f>
        <v/>
      </c>
      <c r="J26" s="40" t="str">
        <f ca="1">IFERROR(IF(AND(
  INDEX(Roadmap!$D:$K,MATCH($E26,Roadmap!$D:$D,0)+COUNTIF($E26:I26,"u")+COUNTIF($E26:I26,"t")+COUNTIF($E26:I26,"¶")+COUNTIF($E26:I26,"²")+COUNTIF($E26:I26,"µ")+COUNTIF($E26:I26,1),ColLivraison)=J$6,
  VLOOKUP($E26,INDIRECT("tri!"&amp; CHAR(64+ C0Col) &amp;":"&amp; CHAR(65+C0Col)),2,FALSE)&gt;COUNTIF($E26:I26,"u")+COUNTIF($E26:I26,"t")+COUNTIF($E26:I26,"¶")+COUNTIF($E26:I26,"²")+COUNTIF($E26:I26,"µ")+COUNTIF($E26:I26,1)),
HYPERLINK("#Roadmap!C"&amp; MATCH($E26,Roadmap!$D:$D,0)+COUNTIF($E26:I26,"u")+COUNTIF($E26:I26,"t"),
     INDEX(Roadmap!$D:$K,MATCH($E26,Roadmap!$D:$D,0)+COUNTIF($E26:I26,"u")+COUNTIF($E26:I26,"t")+COUNTIF($E26:I26,"¶")+COUNTIF($E26:I26,"²")+COUNTIF($E26:I26,"µ")+COUNTIF($E26:I26,1),ColTypeEcheance)),
  IF(LEN(I26)=1,
  IF(LEN(INDEX(Roadmap!$D:$K,MATCH($E26,Roadmap!$D:$D,0)-1+COUNTIF($E26:I26,"u")+COUNTIF($E26:I26,"t")+COUNTIF($E26:I26,"¶")+COUNTIF($E26:I26,"²")+COUNTIF($E26:I26,"µ")+COUNTIF($E26:I26,1),ColDescriptionCourte))&gt;1,
HYPERLINK("#Roadmap!C"&amp; MATCH($E26,Roadmap!$D:$D,0)+COUNTIF($E26:I26,"u")+COUNTIF($E26:I26,"t")+COUNTIF($E26:I26,"¶")+COUNTIF($E26:I26,"²")+COUNTIF($E26:I26,"µ")+COUNTIF($E26:I26,1)-1,INDEX(Roadmap!$D:$K,MATCH($E26,Roadmap!$D:$D,0)-1+COUNTIF($E26:I26,"u")+COUNTIF($E26:I26,"t")+COUNTIF($E26:I26,"¶")+COUNTIF($E26:I26,"²")+COUNTIF($E26:I26,"µ")+COUNTIF($E26:I26,1),ColDescriptionCourte)),""),
  "")),"")</f>
        <v/>
      </c>
      <c r="K26" s="40" t="str">
        <f ca="1">IFERROR(IF(AND(
  INDEX(Roadmap!$D:$K,MATCH($E26,Roadmap!$D:$D,0)+COUNTIF($E26:J26,"u")+COUNTIF($E26:J26,"t")+COUNTIF($E26:J26,"¶")+COUNTIF($E26:J26,"²")+COUNTIF($E26:J26,"µ")+COUNTIF($E26:J26,1),ColLivraison)=K$6,
  VLOOKUP($E26,INDIRECT("tri!"&amp; CHAR(64+ C0Col) &amp;":"&amp; CHAR(65+C0Col)),2,FALSE)&gt;COUNTIF($E26:J26,"u")+COUNTIF($E26:J26,"t")+COUNTIF($E26:J26,"¶")+COUNTIF($E26:J26,"²")+COUNTIF($E26:J26,"µ")+COUNTIF($E26:J26,1)),
HYPERLINK("#Roadmap!C"&amp; MATCH($E26,Roadmap!$D:$D,0)+COUNTIF($E26:J26,"u")+COUNTIF($E26:J26,"t"),
     INDEX(Roadmap!$D:$K,MATCH($E26,Roadmap!$D:$D,0)+COUNTIF($E26:J26,"u")+COUNTIF($E26:J26,"t")+COUNTIF($E26:J26,"¶")+COUNTIF($E26:J26,"²")+COUNTIF($E26:J26,"µ")+COUNTIF($E26:J26,1),ColTypeEcheance)),
  IF(LEN(J26)=1,
  IF(LEN(INDEX(Roadmap!$D:$K,MATCH($E26,Roadmap!$D:$D,0)-1+COUNTIF($E26:J26,"u")+COUNTIF($E26:J26,"t")+COUNTIF($E26:J26,"¶")+COUNTIF($E26:J26,"²")+COUNTIF($E26:J26,"µ")+COUNTIF($E26:J26,1),ColDescriptionCourte))&gt;1,
HYPERLINK("#Roadmap!C"&amp; MATCH($E26,Roadmap!$D:$D,0)+COUNTIF($E26:J26,"u")+COUNTIF($E26:J26,"t")+COUNTIF($E26:J26,"¶")+COUNTIF($E26:J26,"²")+COUNTIF($E26:J26,"µ")+COUNTIF($E26:J26,1)-1,INDEX(Roadmap!$D:$K,MATCH($E26,Roadmap!$D:$D,0)-1+COUNTIF($E26:J26,"u")+COUNTIF($E26:J26,"t")+COUNTIF($E26:J26,"¶")+COUNTIF($E26:J26,"²")+COUNTIF($E26:J26,"µ")+COUNTIF($E26:J26,1),ColDescriptionCourte)),""),
  "")),"")</f>
        <v/>
      </c>
      <c r="L26" s="39" t="str">
        <f ca="1">IFERROR(IF(AND(
  INDEX(Roadmap!$D:$K,MATCH($E26,Roadmap!$D:$D,0)+COUNTIF($E26:K26,"u")+COUNTIF($E26:K26,"t")+COUNTIF($E26:K26,"¶")+COUNTIF($E26:K26,"²")+COUNTIF($E26:K26,"µ")+COUNTIF($E26:K26,1),ColLivraison)=L$6,
  VLOOKUP($E26,INDIRECT("tri!"&amp; CHAR(64+ C0Col) &amp;":"&amp; CHAR(65+C0Col)),2,FALSE)&gt;COUNTIF($E26:K26,"u")+COUNTIF($E26:K26,"t")+COUNTIF($E26:K26,"¶")+COUNTIF($E26:K26,"²")+COUNTIF($E26:K26,"µ")+COUNTIF($E26:K26,1)),
HYPERLINK("#Roadmap!C"&amp; MATCH($E26,Roadmap!$D:$D,0)+COUNTIF($E26:K26,"u")+COUNTIF($E26:K26,"t"),
     INDEX(Roadmap!$D:$K,MATCH($E26,Roadmap!$D:$D,0)+COUNTIF($E26:K26,"u")+COUNTIF($E26:K26,"t")+COUNTIF($E26:K26,"¶")+COUNTIF($E26:K26,"²")+COUNTIF($E26:K26,"µ")+COUNTIF($E26:K26,1),ColTypeEcheance)),
  IF(LEN(K26)=1,
  IF(LEN(INDEX(Roadmap!$D:$K,MATCH($E26,Roadmap!$D:$D,0)-1+COUNTIF($E26:K26,"u")+COUNTIF($E26:K26,"t")+COUNTIF($E26:K26,"¶")+COUNTIF($E26:K26,"²")+COUNTIF($E26:K26,"µ")+COUNTIF($E26:K26,1),ColDescriptionCourte))&gt;1,
HYPERLINK("#Roadmap!C"&amp; MATCH($E26,Roadmap!$D:$D,0)+COUNTIF($E26:K26,"u")+COUNTIF($E26:K26,"t")+COUNTIF($E26:K26,"¶")+COUNTIF($E26:K26,"²")+COUNTIF($E26:K26,"µ")+COUNTIF($E26:K26,1)-1,INDEX(Roadmap!$D:$K,MATCH($E26,Roadmap!$D:$D,0)-1+COUNTIF($E26:K26,"u")+COUNTIF($E26:K26,"t")+COUNTIF($E26:K26,"¶")+COUNTIF($E26:K26,"²")+COUNTIF($E26:K26,"µ")+COUNTIF($E26:K26,1),ColDescriptionCourte)),""),
  "")),"")</f>
        <v/>
      </c>
      <c r="M26" s="40" t="str">
        <f ca="1">IFERROR(IF(AND(
  INDEX(Roadmap!$D:$K,MATCH($E26,Roadmap!$D:$D,0)+COUNTIF($E26:L26,"u")+COUNTIF($E26:L26,"t")+COUNTIF($E26:L26,"¶")+COUNTIF($E26:L26,"²")+COUNTIF($E26:L26,"µ")+COUNTIF($E26:L26,1),ColLivraison)=M$6,
  VLOOKUP($E26,INDIRECT("tri!"&amp; CHAR(64+ C0Col) &amp;":"&amp; CHAR(65+C0Col)),2,FALSE)&gt;COUNTIF($E26:L26,"u")+COUNTIF($E26:L26,"t")+COUNTIF($E26:L26,"¶")+COUNTIF($E26:L26,"²")+COUNTIF($E26:L26,"µ")+COUNTIF($E26:L26,1)),
HYPERLINK("#Roadmap!C"&amp; MATCH($E26,Roadmap!$D:$D,0)+COUNTIF($E26:L26,"u")+COUNTIF($E26:L26,"t"),
     INDEX(Roadmap!$D:$K,MATCH($E26,Roadmap!$D:$D,0)+COUNTIF($E26:L26,"u")+COUNTIF($E26:L26,"t")+COUNTIF($E26:L26,"¶")+COUNTIF($E26:L26,"²")+COUNTIF($E26:L26,"µ")+COUNTIF($E26:L26,1),ColTypeEcheance)),
  IF(LEN(L26)=1,
  IF(LEN(INDEX(Roadmap!$D:$K,MATCH($E26,Roadmap!$D:$D,0)-1+COUNTIF($E26:L26,"u")+COUNTIF($E26:L26,"t")+COUNTIF($E26:L26,"¶")+COUNTIF($E26:L26,"²")+COUNTIF($E26:L26,"µ")+COUNTIF($E26:L26,1),ColDescriptionCourte))&gt;1,
HYPERLINK("#Roadmap!C"&amp; MATCH($E26,Roadmap!$D:$D,0)+COUNTIF($E26:L26,"u")+COUNTIF($E26:L26,"t")+COUNTIF($E26:L26,"¶")+COUNTIF($E26:L26,"²")+COUNTIF($E26:L26,"µ")+COUNTIF($E26:L26,1)-1,INDEX(Roadmap!$D:$K,MATCH($E26,Roadmap!$D:$D,0)-1+COUNTIF($E26:L26,"u")+COUNTIF($E26:L26,"t")+COUNTIF($E26:L26,"¶")+COUNTIF($E26:L26,"²")+COUNTIF($E26:L26,"µ")+COUNTIF($E26:L26,1),ColDescriptionCourte)),""),
  "")),"")</f>
        <v/>
      </c>
      <c r="N26" s="40" t="str">
        <f ca="1">IFERROR(IF(AND(
  INDEX(Roadmap!$D:$K,MATCH($E26,Roadmap!$D:$D,0)+COUNTIF($E26:M26,"u")+COUNTIF($E26:M26,"t")+COUNTIF($E26:M26,"¶")+COUNTIF($E26:M26,"²")+COUNTIF($E26:M26,"µ")+COUNTIF($E26:M26,1),ColLivraison)=N$6,
  VLOOKUP($E26,INDIRECT("tri!"&amp; CHAR(64+ C0Col) &amp;":"&amp; CHAR(65+C0Col)),2,FALSE)&gt;COUNTIF($E26:M26,"u")+COUNTIF($E26:M26,"t")+COUNTIF($E26:M26,"¶")+COUNTIF($E26:M26,"²")+COUNTIF($E26:M26,"µ")+COUNTIF($E26:M26,1)),
HYPERLINK("#Roadmap!C"&amp; MATCH($E26,Roadmap!$D:$D,0)+COUNTIF($E26:M26,"u")+COUNTIF($E26:M26,"t"),
     INDEX(Roadmap!$D:$K,MATCH($E26,Roadmap!$D:$D,0)+COUNTIF($E26:M26,"u")+COUNTIF($E26:M26,"t")+COUNTIF($E26:M26,"¶")+COUNTIF($E26:M26,"²")+COUNTIF($E26:M26,"µ")+COUNTIF($E26:M26,1),ColTypeEcheance)),
  IF(LEN(M26)=1,
  IF(LEN(INDEX(Roadmap!$D:$K,MATCH($E26,Roadmap!$D:$D,0)-1+COUNTIF($E26:M26,"u")+COUNTIF($E26:M26,"t")+COUNTIF($E26:M26,"¶")+COUNTIF($E26:M26,"²")+COUNTIF($E26:M26,"µ")+COUNTIF($E26:M26,1),ColDescriptionCourte))&gt;1,
HYPERLINK("#Roadmap!C"&amp; MATCH($E26,Roadmap!$D:$D,0)+COUNTIF($E26:M26,"u")+COUNTIF($E26:M26,"t")+COUNTIF($E26:M26,"¶")+COUNTIF($E26:M26,"²")+COUNTIF($E26:M26,"µ")+COUNTIF($E26:M26,1)-1,INDEX(Roadmap!$D:$K,MATCH($E26,Roadmap!$D:$D,0)-1+COUNTIF($E26:M26,"u")+COUNTIF($E26:M26,"t")+COUNTIF($E26:M26,"¶")+COUNTIF($E26:M26,"²")+COUNTIF($E26:M26,"µ")+COUNTIF($E26:M26,1),ColDescriptionCourte)),""),
  "")),"")</f>
        <v/>
      </c>
      <c r="O26" s="40" t="str">
        <f ca="1">IFERROR(IF(AND(
  INDEX(Roadmap!$D:$K,MATCH($E26,Roadmap!$D:$D,0)+COUNTIF($E26:N26,"u")+COUNTIF($E26:N26,"t")+COUNTIF($E26:N26,"¶")+COUNTIF($E26:N26,"²")+COUNTIF($E26:N26,"µ")+COUNTIF($E26:N26,1),ColLivraison)=O$6,
  VLOOKUP($E26,INDIRECT("tri!"&amp; CHAR(64+ C0Col) &amp;":"&amp; CHAR(65+C0Col)),2,FALSE)&gt;COUNTIF($E26:N26,"u")+COUNTIF($E26:N26,"t")+COUNTIF($E26:N26,"¶")+COUNTIF($E26:N26,"²")+COUNTIF($E26:N26,"µ")+COUNTIF($E26:N26,1)),
HYPERLINK("#Roadmap!C"&amp; MATCH($E26,Roadmap!$D:$D,0)+COUNTIF($E26:N26,"u")+COUNTIF($E26:N26,"t"),
     INDEX(Roadmap!$D:$K,MATCH($E26,Roadmap!$D:$D,0)+COUNTIF($E26:N26,"u")+COUNTIF($E26:N26,"t")+COUNTIF($E26:N26,"¶")+COUNTIF($E26:N26,"²")+COUNTIF($E26:N26,"µ")+COUNTIF($E26:N26,1),ColTypeEcheance)),
  IF(LEN(N26)=1,
  IF(LEN(INDEX(Roadmap!$D:$K,MATCH($E26,Roadmap!$D:$D,0)-1+COUNTIF($E26:N26,"u")+COUNTIF($E26:N26,"t")+COUNTIF($E26:N26,"¶")+COUNTIF($E26:N26,"²")+COUNTIF($E26:N26,"µ")+COUNTIF($E26:N26,1),ColDescriptionCourte))&gt;1,
HYPERLINK("#Roadmap!C"&amp; MATCH($E26,Roadmap!$D:$D,0)+COUNTIF($E26:N26,"u")+COUNTIF($E26:N26,"t")+COUNTIF($E26:N26,"¶")+COUNTIF($E26:N26,"²")+COUNTIF($E26:N26,"µ")+COUNTIF($E26:N26,1)-1,INDEX(Roadmap!$D:$K,MATCH($E26,Roadmap!$D:$D,0)-1+COUNTIF($E26:N26,"u")+COUNTIF($E26:N26,"t")+COUNTIF($E26:N26,"¶")+COUNTIF($E26:N26,"²")+COUNTIF($E26:N26,"µ")+COUNTIF($E26:N26,1),ColDescriptionCourte)),""),
  "")),"")</f>
        <v/>
      </c>
      <c r="P26" s="40" t="str">
        <f ca="1">IFERROR(IF(AND(
  INDEX(Roadmap!$D:$K,MATCH($E26,Roadmap!$D:$D,0)+COUNTIF($E26:O26,"u")+COUNTIF($E26:O26,"t")+COUNTIF($E26:O26,"¶")+COUNTIF($E26:O26,"²")+COUNTIF($E26:O26,"µ")+COUNTIF($E26:O26,1),ColLivraison)=P$6,
  VLOOKUP($E26,INDIRECT("tri!"&amp; CHAR(64+ C0Col) &amp;":"&amp; CHAR(65+C0Col)),2,FALSE)&gt;COUNTIF($E26:O26,"u")+COUNTIF($E26:O26,"t")+COUNTIF($E26:O26,"¶")+COUNTIF($E26:O26,"²")+COUNTIF($E26:O26,"µ")+COUNTIF($E26:O26,1)),
HYPERLINK("#Roadmap!C"&amp; MATCH($E26,Roadmap!$D:$D,0)+COUNTIF($E26:O26,"u")+COUNTIF($E26:O26,"t"),
     INDEX(Roadmap!$D:$K,MATCH($E26,Roadmap!$D:$D,0)+COUNTIF($E26:O26,"u")+COUNTIF($E26:O26,"t")+COUNTIF($E26:O26,"¶")+COUNTIF($E26:O26,"²")+COUNTIF($E26:O26,"µ")+COUNTIF($E26:O26,1),ColTypeEcheance)),
  IF(LEN(O26)=1,
  IF(LEN(INDEX(Roadmap!$D:$K,MATCH($E26,Roadmap!$D:$D,0)-1+COUNTIF($E26:O26,"u")+COUNTIF($E26:O26,"t")+COUNTIF($E26:O26,"¶")+COUNTIF($E26:O26,"²")+COUNTIF($E26:O26,"µ")+COUNTIF($E26:O26,1),ColDescriptionCourte))&gt;1,
HYPERLINK("#Roadmap!C"&amp; MATCH($E26,Roadmap!$D:$D,0)+COUNTIF($E26:O26,"u")+COUNTIF($E26:O26,"t")+COUNTIF($E26:O26,"¶")+COUNTIF($E26:O26,"²")+COUNTIF($E26:O26,"µ")+COUNTIF($E26:O26,1)-1,INDEX(Roadmap!$D:$K,MATCH($E26,Roadmap!$D:$D,0)-1+COUNTIF($E26:O26,"u")+COUNTIF($E26:O26,"t")+COUNTIF($E26:O26,"¶")+COUNTIF($E26:O26,"²")+COUNTIF($E26:O26,"µ")+COUNTIF($E26:O26,1),ColDescriptionCourte)),""),
  "")),"")</f>
        <v/>
      </c>
      <c r="Q26" s="40" t="str">
        <f ca="1">IFERROR(IF(AND(
  INDEX(Roadmap!$D:$K,MATCH($E26,Roadmap!$D:$D,0)+COUNTIF($E26:P26,"u")+COUNTIF($E26:P26,"t")+COUNTIF($E26:P26,"¶")+COUNTIF($E26:P26,"²")+COUNTIF($E26:P26,"µ")+COUNTIF($E26:P26,1),ColLivraison)=Q$6,
  VLOOKUP($E26,INDIRECT("tri!"&amp; CHAR(64+ C0Col) &amp;":"&amp; CHAR(65+C0Col)),2,FALSE)&gt;COUNTIF($E26:P26,"u")+COUNTIF($E26:P26,"t")+COUNTIF($E26:P26,"¶")+COUNTIF($E26:P26,"²")+COUNTIF($E26:P26,"µ")+COUNTIF($E26:P26,1)),
HYPERLINK("#Roadmap!C"&amp; MATCH($E26,Roadmap!$D:$D,0)+COUNTIF($E26:P26,"u")+COUNTIF($E26:P26,"t"),
     INDEX(Roadmap!$D:$K,MATCH($E26,Roadmap!$D:$D,0)+COUNTIF($E26:P26,"u")+COUNTIF($E26:P26,"t")+COUNTIF($E26:P26,"¶")+COUNTIF($E26:P26,"²")+COUNTIF($E26:P26,"µ")+COUNTIF($E26:P26,1),ColTypeEcheance)),
  IF(LEN(P26)=1,
  IF(LEN(INDEX(Roadmap!$D:$K,MATCH($E26,Roadmap!$D:$D,0)-1+COUNTIF($E26:P26,"u")+COUNTIF($E26:P26,"t")+COUNTIF($E26:P26,"¶")+COUNTIF($E26:P26,"²")+COUNTIF($E26:P26,"µ")+COUNTIF($E26:P26,1),ColDescriptionCourte))&gt;1,
HYPERLINK("#Roadmap!C"&amp; MATCH($E26,Roadmap!$D:$D,0)+COUNTIF($E26:P26,"u")+COUNTIF($E26:P26,"t")+COUNTIF($E26:P26,"¶")+COUNTIF($E26:P26,"²")+COUNTIF($E26:P26,"µ")+COUNTIF($E26:P26,1)-1,INDEX(Roadmap!$D:$K,MATCH($E26,Roadmap!$D:$D,0)-1+COUNTIF($E26:P26,"u")+COUNTIF($E26:P26,"t")+COUNTIF($E26:P26,"¶")+COUNTIF($E26:P26,"²")+COUNTIF($E26:P26,"µ")+COUNTIF($E26:P26,1),ColDescriptionCourte)),""),
  "")),"")</f>
        <v/>
      </c>
      <c r="R26" s="40" t="str">
        <f ca="1">IFERROR(IF(AND(
  INDEX(Roadmap!$D:$K,MATCH($E26,Roadmap!$D:$D,0)+COUNTIF($E26:Q26,"u")+COUNTIF($E26:Q26,"t")+COUNTIF($E26:Q26,"¶")+COUNTIF($E26:Q26,"²")+COUNTIF($E26:Q26,"µ")+COUNTIF($E26:Q26,1),ColLivraison)=R$6,
  VLOOKUP($E26,INDIRECT("tri!"&amp; CHAR(64+ C0Col) &amp;":"&amp; CHAR(65+C0Col)),2,FALSE)&gt;COUNTIF($E26:Q26,"u")+COUNTIF($E26:Q26,"t")+COUNTIF($E26:Q26,"¶")+COUNTIF($E26:Q26,"²")+COUNTIF($E26:Q26,"µ")+COUNTIF($E26:Q26,1)),
HYPERLINK("#Roadmap!C"&amp; MATCH($E26,Roadmap!$D:$D,0)+COUNTIF($E26:Q26,"u")+COUNTIF($E26:Q26,"t"),
     INDEX(Roadmap!$D:$K,MATCH($E26,Roadmap!$D:$D,0)+COUNTIF($E26:Q26,"u")+COUNTIF($E26:Q26,"t")+COUNTIF($E26:Q26,"¶")+COUNTIF($E26:Q26,"²")+COUNTIF($E26:Q26,"µ")+COUNTIF($E26:Q26,1),ColTypeEcheance)),
  IF(LEN(Q26)=1,
  IF(LEN(INDEX(Roadmap!$D:$K,MATCH($E26,Roadmap!$D:$D,0)-1+COUNTIF($E26:Q26,"u")+COUNTIF($E26:Q26,"t")+COUNTIF($E26:Q26,"¶")+COUNTIF($E26:Q26,"²")+COUNTIF($E26:Q26,"µ")+COUNTIF($E26:Q26,1),ColDescriptionCourte))&gt;1,
HYPERLINK("#Roadmap!C"&amp; MATCH($E26,Roadmap!$D:$D,0)+COUNTIF($E26:Q26,"u")+COUNTIF($E26:Q26,"t")+COUNTIF($E26:Q26,"¶")+COUNTIF($E26:Q26,"²")+COUNTIF($E26:Q26,"µ")+COUNTIF($E26:Q26,1)-1,INDEX(Roadmap!$D:$K,MATCH($E26,Roadmap!$D:$D,0)-1+COUNTIF($E26:Q26,"u")+COUNTIF($E26:Q26,"t")+COUNTIF($E26:Q26,"¶")+COUNTIF($E26:Q26,"²")+COUNTIF($E26:Q26,"µ")+COUNTIF($E26:Q26,1),ColDescriptionCourte)),""),
  "")),"")</f>
        <v/>
      </c>
      <c r="S26" s="40" t="str">
        <f ca="1">IFERROR(IF(AND(
  INDEX(Roadmap!$D:$K,MATCH($E26,Roadmap!$D:$D,0)+COUNTIF($E26:R26,"u")+COUNTIF($E26:R26,"t")+COUNTIF($E26:R26,"¶")+COUNTIF($E26:R26,"²")+COUNTIF($E26:R26,"µ")+COUNTIF($E26:R26,1),ColLivraison)=S$6,
  VLOOKUP($E26,INDIRECT("tri!"&amp; CHAR(64+ C0Col) &amp;":"&amp; CHAR(65+C0Col)),2,FALSE)&gt;COUNTIF($E26:R26,"u")+COUNTIF($E26:R26,"t")+COUNTIF($E26:R26,"¶")+COUNTIF($E26:R26,"²")+COUNTIF($E26:R26,"µ")+COUNTIF($E26:R26,1)),
HYPERLINK("#Roadmap!C"&amp; MATCH($E26,Roadmap!$D:$D,0)+COUNTIF($E26:R26,"u")+COUNTIF($E26:R26,"t"),
     INDEX(Roadmap!$D:$K,MATCH($E26,Roadmap!$D:$D,0)+COUNTIF($E26:R26,"u")+COUNTIF($E26:R26,"t")+COUNTIF($E26:R26,"¶")+COUNTIF($E26:R26,"²")+COUNTIF($E26:R26,"µ")+COUNTIF($E26:R26,1),ColTypeEcheance)),
  IF(LEN(R26)=1,
  IF(LEN(INDEX(Roadmap!$D:$K,MATCH($E26,Roadmap!$D:$D,0)-1+COUNTIF($E26:R26,"u")+COUNTIF($E26:R26,"t")+COUNTIF($E26:R26,"¶")+COUNTIF($E26:R26,"²")+COUNTIF($E26:R26,"µ")+COUNTIF($E26:R26,1),ColDescriptionCourte))&gt;1,
HYPERLINK("#Roadmap!C"&amp; MATCH($E26,Roadmap!$D:$D,0)+COUNTIF($E26:R26,"u")+COUNTIF($E26:R26,"t")+COUNTIF($E26:R26,"¶")+COUNTIF($E26:R26,"²")+COUNTIF($E26:R26,"µ")+COUNTIF($E26:R26,1)-1,INDEX(Roadmap!$D:$K,MATCH($E26,Roadmap!$D:$D,0)-1+COUNTIF($E26:R26,"u")+COUNTIF($E26:R26,"t")+COUNTIF($E26:R26,"¶")+COUNTIF($E26:R26,"²")+COUNTIF($E26:R26,"µ")+COUNTIF($E26:R26,1),ColDescriptionCourte)),""),
  "")),"")</f>
        <v/>
      </c>
      <c r="T26" s="40" t="str">
        <f ca="1">IFERROR(IF(AND(
  INDEX(Roadmap!$D:$K,MATCH($E26,Roadmap!$D:$D,0)+COUNTIF($E26:S26,"u")+COUNTIF($E26:S26,"t")+COUNTIF($E26:S26,"¶")+COUNTIF($E26:S26,"²")+COUNTIF($E26:S26,"µ")+COUNTIF($E26:S26,1),ColLivraison)=T$6,
  VLOOKUP($E26,INDIRECT("tri!"&amp; CHAR(64+ C0Col) &amp;":"&amp; CHAR(65+C0Col)),2,FALSE)&gt;COUNTIF($E26:S26,"u")+COUNTIF($E26:S26,"t")+COUNTIF($E26:S26,"¶")+COUNTIF($E26:S26,"²")+COUNTIF($E26:S26,"µ")+COUNTIF($E26:S26,1)),
HYPERLINK("#Roadmap!C"&amp; MATCH($E26,Roadmap!$D:$D,0)+COUNTIF($E26:S26,"u")+COUNTIF($E26:S26,"t"),
     INDEX(Roadmap!$D:$K,MATCH($E26,Roadmap!$D:$D,0)+COUNTIF($E26:S26,"u")+COUNTIF($E26:S26,"t")+COUNTIF($E26:S26,"¶")+COUNTIF($E26:S26,"²")+COUNTIF($E26:S26,"µ")+COUNTIF($E26:S26,1),ColTypeEcheance)),
  IF(LEN(S26)=1,
  IF(LEN(INDEX(Roadmap!$D:$K,MATCH($E26,Roadmap!$D:$D,0)-1+COUNTIF($E26:S26,"u")+COUNTIF($E26:S26,"t")+COUNTIF($E26:S26,"¶")+COUNTIF($E26:S26,"²")+COUNTIF($E26:S26,"µ")+COUNTIF($E26:S26,1),ColDescriptionCourte))&gt;1,
HYPERLINK("#Roadmap!C"&amp; MATCH($E26,Roadmap!$D:$D,0)+COUNTIF($E26:S26,"u")+COUNTIF($E26:S26,"t")+COUNTIF($E26:S26,"¶")+COUNTIF($E26:S26,"²")+COUNTIF($E26:S26,"µ")+COUNTIF($E26:S26,1)-1,INDEX(Roadmap!$D:$K,MATCH($E26,Roadmap!$D:$D,0)-1+COUNTIF($E26:S26,"u")+COUNTIF($E26:S26,"t")+COUNTIF($E26:S26,"¶")+COUNTIF($E26:S26,"²")+COUNTIF($E26:S26,"µ")+COUNTIF($E26:S26,1),ColDescriptionCourte)),""),
  "")),"")</f>
        <v/>
      </c>
      <c r="U26" s="40" t="str">
        <f ca="1">IFERROR(IF(AND(
  INDEX(Roadmap!$D:$K,MATCH($E26,Roadmap!$D:$D,0)+COUNTIF($E26:T26,"u")+COUNTIF($E26:T26,"t")+COUNTIF($E26:T26,"¶")+COUNTIF($E26:T26,"²")+COUNTIF($E26:T26,"µ")+COUNTIF($E26:T26,1),ColLivraison)=U$6,
  VLOOKUP($E26,INDIRECT("tri!"&amp; CHAR(64+ C0Col) &amp;":"&amp; CHAR(65+C0Col)),2,FALSE)&gt;COUNTIF($E26:T26,"u")+COUNTIF($E26:T26,"t")+COUNTIF($E26:T26,"¶")+COUNTIF($E26:T26,"²")+COUNTIF($E26:T26,"µ")+COUNTIF($E26:T26,1)),
HYPERLINK("#Roadmap!C"&amp; MATCH($E26,Roadmap!$D:$D,0)+COUNTIF($E26:T26,"u")+COUNTIF($E26:T26,"t"),
     INDEX(Roadmap!$D:$K,MATCH($E26,Roadmap!$D:$D,0)+COUNTIF($E26:T26,"u")+COUNTIF($E26:T26,"t")+COUNTIF($E26:T26,"¶")+COUNTIF($E26:T26,"²")+COUNTIF($E26:T26,"µ")+COUNTIF($E26:T26,1),ColTypeEcheance)),
  IF(LEN(T26)=1,
  IF(LEN(INDEX(Roadmap!$D:$K,MATCH($E26,Roadmap!$D:$D,0)-1+COUNTIF($E26:T26,"u")+COUNTIF($E26:T26,"t")+COUNTIF($E26:T26,"¶")+COUNTIF($E26:T26,"²")+COUNTIF($E26:T26,"µ")+COUNTIF($E26:T26,1),ColDescriptionCourte))&gt;1,
HYPERLINK("#Roadmap!C"&amp; MATCH($E26,Roadmap!$D:$D,0)+COUNTIF($E26:T26,"u")+COUNTIF($E26:T26,"t")+COUNTIF($E26:T26,"¶")+COUNTIF($E26:T26,"²")+COUNTIF($E26:T26,"µ")+COUNTIF($E26:T26,1)-1,INDEX(Roadmap!$D:$K,MATCH($E26,Roadmap!$D:$D,0)-1+COUNTIF($E26:T26,"u")+COUNTIF($E26:T26,"t")+COUNTIF($E26:T26,"¶")+COUNTIF($E26:T26,"²")+COUNTIF($E26:T26,"µ")+COUNTIF($E26:T26,1),ColDescriptionCourte)),""),
  "")),"")</f>
        <v/>
      </c>
      <c r="V26" s="40" t="str">
        <f ca="1">IFERROR(IF(AND(
  INDEX(Roadmap!$D:$K,MATCH($E26,Roadmap!$D:$D,0)+COUNTIF($E26:U26,"u")+COUNTIF($E26:U26,"t")+COUNTIF($E26:U26,"¶")+COUNTIF($E26:U26,"²")+COUNTIF($E26:U26,"µ")+COUNTIF($E26:U26,1),ColLivraison)=V$6,
  VLOOKUP($E26,INDIRECT("tri!"&amp; CHAR(64+ C0Col) &amp;":"&amp; CHAR(65+C0Col)),2,FALSE)&gt;COUNTIF($E26:U26,"u")+COUNTIF($E26:U26,"t")+COUNTIF($E26:U26,"¶")+COUNTIF($E26:U26,"²")+COUNTIF($E26:U26,"µ")+COUNTIF($E26:U26,1)),
HYPERLINK("#Roadmap!C"&amp; MATCH($E26,Roadmap!$D:$D,0)+COUNTIF($E26:U26,"u")+COUNTIF($E26:U26,"t"),
     INDEX(Roadmap!$D:$K,MATCH($E26,Roadmap!$D:$D,0)+COUNTIF($E26:U26,"u")+COUNTIF($E26:U26,"t")+COUNTIF($E26:U26,"¶")+COUNTIF($E26:U26,"²")+COUNTIF($E26:U26,"µ")+COUNTIF($E26:U26,1),ColTypeEcheance)),
  IF(LEN(U26)=1,
  IF(LEN(INDEX(Roadmap!$D:$K,MATCH($E26,Roadmap!$D:$D,0)-1+COUNTIF($E26:U26,"u")+COUNTIF($E26:U26,"t")+COUNTIF($E26:U26,"¶")+COUNTIF($E26:U26,"²")+COUNTIF($E26:U26,"µ")+COUNTIF($E26:U26,1),ColDescriptionCourte))&gt;1,
HYPERLINK("#Roadmap!C"&amp; MATCH($E26,Roadmap!$D:$D,0)+COUNTIF($E26:U26,"u")+COUNTIF($E26:U26,"t")+COUNTIF($E26:U26,"¶")+COUNTIF($E26:U26,"²")+COUNTIF($E26:U26,"µ")+COUNTIF($E26:U26,1)-1,INDEX(Roadmap!$D:$K,MATCH($E26,Roadmap!$D:$D,0)-1+COUNTIF($E26:U26,"u")+COUNTIF($E26:U26,"t")+COUNTIF($E26:U26,"¶")+COUNTIF($E26:U26,"²")+COUNTIF($E26:U26,"µ")+COUNTIF($E26:U26,1),ColDescriptionCourte)),""),
  "")),"")</f>
        <v/>
      </c>
      <c r="W26" s="40" t="str">
        <f ca="1">IFERROR(IF(AND(
  INDEX(Roadmap!$D:$K,MATCH($E26,Roadmap!$D:$D,0)+COUNTIF($E26:V26,"u")+COUNTIF($E26:V26,"t")+COUNTIF($E26:V26,"¶")+COUNTIF($E26:V26,"²")+COUNTIF($E26:V26,"µ")+COUNTIF($E26:V26,1),ColLivraison)=W$6,
  VLOOKUP($E26,INDIRECT("tri!"&amp; CHAR(64+ C0Col) &amp;":"&amp; CHAR(65+C0Col)),2,FALSE)&gt;COUNTIF($E26:V26,"u")+COUNTIF($E26:V26,"t")+COUNTIF($E26:V26,"¶")+COUNTIF($E26:V26,"²")+COUNTIF($E26:V26,"µ")+COUNTIF($E26:V26,1)),
HYPERLINK("#Roadmap!C"&amp; MATCH($E26,Roadmap!$D:$D,0)+COUNTIF($E26:V26,"u")+COUNTIF($E26:V26,"t"),
     INDEX(Roadmap!$D:$K,MATCH($E26,Roadmap!$D:$D,0)+COUNTIF($E26:V26,"u")+COUNTIF($E26:V26,"t")+COUNTIF($E26:V26,"¶")+COUNTIF($E26:V26,"²")+COUNTIF($E26:V26,"µ")+COUNTIF($E26:V26,1),ColTypeEcheance)),
  IF(LEN(V26)=1,
  IF(LEN(INDEX(Roadmap!$D:$K,MATCH($E26,Roadmap!$D:$D,0)-1+COUNTIF($E26:V26,"u")+COUNTIF($E26:V26,"t")+COUNTIF($E26:V26,"¶")+COUNTIF($E26:V26,"²")+COUNTIF($E26:V26,"µ")+COUNTIF($E26:V26,1),ColDescriptionCourte))&gt;1,
HYPERLINK("#Roadmap!C"&amp; MATCH($E26,Roadmap!$D:$D,0)+COUNTIF($E26:V26,"u")+COUNTIF($E26:V26,"t")+COUNTIF($E26:V26,"¶")+COUNTIF($E26:V26,"²")+COUNTIF($E26:V26,"µ")+COUNTIF($E26:V26,1)-1,INDEX(Roadmap!$D:$K,MATCH($E26,Roadmap!$D:$D,0)-1+COUNTIF($E26:V26,"u")+COUNTIF($E26:V26,"t")+COUNTIF($E26:V26,"¶")+COUNTIF($E26:V26,"²")+COUNTIF($E26:V26,"µ")+COUNTIF($E26:V26,1),ColDescriptionCourte)),""),
  "")),"")</f>
        <v/>
      </c>
      <c r="X26" s="40" t="str">
        <f ca="1">IFERROR(IF(AND(
  INDEX(Roadmap!$D:$K,MATCH($E26,Roadmap!$D:$D,0)+COUNTIF($E26:W26,"u")+COUNTIF($E26:W26,"t")+COUNTIF($E26:W26,"¶")+COUNTIF($E26:W26,"²")+COUNTIF($E26:W26,"µ")+COUNTIF($E26:W26,1),ColLivraison)=X$6,
  VLOOKUP($E26,INDIRECT("tri!"&amp; CHAR(64+ C0Col) &amp;":"&amp; CHAR(65+C0Col)),2,FALSE)&gt;COUNTIF($E26:W26,"u")+COUNTIF($E26:W26,"t")+COUNTIF($E26:W26,"¶")+COUNTIF($E26:W26,"²")+COUNTIF($E26:W26,"µ")+COUNTIF($E26:W26,1)),
HYPERLINK("#Roadmap!C"&amp; MATCH($E26,Roadmap!$D:$D,0)+COUNTIF($E26:W26,"u")+COUNTIF($E26:W26,"t"),
     INDEX(Roadmap!$D:$K,MATCH($E26,Roadmap!$D:$D,0)+COUNTIF($E26:W26,"u")+COUNTIF($E26:W26,"t")+COUNTIF($E26:W26,"¶")+COUNTIF($E26:W26,"²")+COUNTIF($E26:W26,"µ")+COUNTIF($E26:W26,1),ColTypeEcheance)),
  IF(LEN(W26)=1,
  IF(LEN(INDEX(Roadmap!$D:$K,MATCH($E26,Roadmap!$D:$D,0)-1+COUNTIF($E26:W26,"u")+COUNTIF($E26:W26,"t")+COUNTIF($E26:W26,"¶")+COUNTIF($E26:W26,"²")+COUNTIF($E26:W26,"µ")+COUNTIF($E26:W26,1),ColDescriptionCourte))&gt;1,
HYPERLINK("#Roadmap!C"&amp; MATCH($E26,Roadmap!$D:$D,0)+COUNTIF($E26:W26,"u")+COUNTIF($E26:W26,"t")+COUNTIF($E26:W26,"¶")+COUNTIF($E26:W26,"²")+COUNTIF($E26:W26,"µ")+COUNTIF($E26:W26,1)-1,INDEX(Roadmap!$D:$K,MATCH($E26,Roadmap!$D:$D,0)-1+COUNTIF($E26:W26,"u")+COUNTIF($E26:W26,"t")+COUNTIF($E26:W26,"¶")+COUNTIF($E26:W26,"²")+COUNTIF($E26:W26,"µ")+COUNTIF($E26:W26,1),ColDescriptionCourte)),""),
  "")),"")</f>
        <v/>
      </c>
      <c r="Y26" s="40" t="str">
        <f ca="1">IFERROR(IF(AND(
  INDEX(Roadmap!$D:$K,MATCH($E26,Roadmap!$D:$D,0)+COUNTIF($E26:X26,"u")+COUNTIF($E26:X26,"t")+COUNTIF($E26:X26,"¶")+COUNTIF($E26:X26,"²")+COUNTIF($E26:X26,"µ")+COUNTIF($E26:X26,1),ColLivraison)=Y$6,
  VLOOKUP($E26,INDIRECT("tri!"&amp; CHAR(64+ C0Col) &amp;":"&amp; CHAR(65+C0Col)),2,FALSE)&gt;COUNTIF($E26:X26,"u")+COUNTIF($E26:X26,"t")+COUNTIF($E26:X26,"¶")+COUNTIF($E26:X26,"²")+COUNTIF($E26:X26,"µ")+COUNTIF($E26:X26,1)),
HYPERLINK("#Roadmap!C"&amp; MATCH($E26,Roadmap!$D:$D,0)+COUNTIF($E26:X26,"u")+COUNTIF($E26:X26,"t"),
     INDEX(Roadmap!$D:$K,MATCH($E26,Roadmap!$D:$D,0)+COUNTIF($E26:X26,"u")+COUNTIF($E26:X26,"t")+COUNTIF($E26:X26,"¶")+COUNTIF($E26:X26,"²")+COUNTIF($E26:X26,"µ")+COUNTIF($E26:X26,1),ColTypeEcheance)),
  IF(LEN(X26)=1,
  IF(LEN(INDEX(Roadmap!$D:$K,MATCH($E26,Roadmap!$D:$D,0)-1+COUNTIF($E26:X26,"u")+COUNTIF($E26:X26,"t")+COUNTIF($E26:X26,"¶")+COUNTIF($E26:X26,"²")+COUNTIF($E26:X26,"µ")+COUNTIF($E26:X26,1),ColDescriptionCourte))&gt;1,
HYPERLINK("#Roadmap!C"&amp; MATCH($E26,Roadmap!$D:$D,0)+COUNTIF($E26:X26,"u")+COUNTIF($E26:X26,"t")+COUNTIF($E26:X26,"¶")+COUNTIF($E26:X26,"²")+COUNTIF($E26:X26,"µ")+COUNTIF($E26:X26,1)-1,INDEX(Roadmap!$D:$K,MATCH($E26,Roadmap!$D:$D,0)-1+COUNTIF($E26:X26,"u")+COUNTIF($E26:X26,"t")+COUNTIF($E26:X26,"¶")+COUNTIF($E26:X26,"²")+COUNTIF($E26:X26,"µ")+COUNTIF($E26:X26,1),ColDescriptionCourte)),""),
  "")),"")</f>
        <v/>
      </c>
      <c r="Z26" s="40" t="str">
        <f ca="1">IFERROR(IF(AND(
  INDEX(Roadmap!$D:$K,MATCH($E26,Roadmap!$D:$D,0)+COUNTIF($E26:Y26,"u")+COUNTIF($E26:Y26,"t")+COUNTIF($E26:Y26,"¶")+COUNTIF($E26:Y26,"²")+COUNTIF($E26:Y26,"µ")+COUNTIF($E26:Y26,1),ColLivraison)=Z$6,
  VLOOKUP($E26,INDIRECT("tri!"&amp; CHAR(64+ C0Col) &amp;":"&amp; CHAR(65+C0Col)),2,FALSE)&gt;COUNTIF($E26:Y26,"u")+COUNTIF($E26:Y26,"t")+COUNTIF($E26:Y26,"¶")+COUNTIF($E26:Y26,"²")+COUNTIF($E26:Y26,"µ")+COUNTIF($E26:Y26,1)),
HYPERLINK("#Roadmap!C"&amp; MATCH($E26,Roadmap!$D:$D,0)+COUNTIF($E26:Y26,"u")+COUNTIF($E26:Y26,"t"),
     INDEX(Roadmap!$D:$K,MATCH($E26,Roadmap!$D:$D,0)+COUNTIF($E26:Y26,"u")+COUNTIF($E26:Y26,"t")+COUNTIF($E26:Y26,"¶")+COUNTIF($E26:Y26,"²")+COUNTIF($E26:Y26,"µ")+COUNTIF($E26:Y26,1),ColTypeEcheance)),
  IF(LEN(Y26)=1,
  IF(LEN(INDEX(Roadmap!$D:$K,MATCH($E26,Roadmap!$D:$D,0)-1+COUNTIF($E26:Y26,"u")+COUNTIF($E26:Y26,"t")+COUNTIF($E26:Y26,"¶")+COUNTIF($E26:Y26,"²")+COUNTIF($E26:Y26,"µ")+COUNTIF($E26:Y26,1),ColDescriptionCourte))&gt;1,
HYPERLINK("#Roadmap!C"&amp; MATCH($E26,Roadmap!$D:$D,0)+COUNTIF($E26:Y26,"u")+COUNTIF($E26:Y26,"t")+COUNTIF($E26:Y26,"¶")+COUNTIF($E26:Y26,"²")+COUNTIF($E26:Y26,"µ")+COUNTIF($E26:Y26,1)-1,INDEX(Roadmap!$D:$K,MATCH($E26,Roadmap!$D:$D,0)-1+COUNTIF($E26:Y26,"u")+COUNTIF($E26:Y26,"t")+COUNTIF($E26:Y26,"¶")+COUNTIF($E26:Y26,"²")+COUNTIF($E26:Y26,"µ")+COUNTIF($E26:Y26,1),ColDescriptionCourte)),""),
  "")),"")</f>
        <v/>
      </c>
      <c r="AA26" s="40" t="str">
        <f ca="1">IFERROR(IF(AND(
  INDEX(Roadmap!$D:$K,MATCH($E26,Roadmap!$D:$D,0)+COUNTIF($E26:Z26,"u")+COUNTIF($E26:Z26,"t")+COUNTIF($E26:Z26,"¶")+COUNTIF($E26:Z26,"²")+COUNTIF($E26:Z26,"µ")+COUNTIF($E26:Z26,1),ColLivraison)=AA$6,
  VLOOKUP($E26,INDIRECT("tri!"&amp; CHAR(64+ C0Col) &amp;":"&amp; CHAR(65+C0Col)),2,FALSE)&gt;COUNTIF($E26:Z26,"u")+COUNTIF($E26:Z26,"t")+COUNTIF($E26:Z26,"¶")+COUNTIF($E26:Z26,"²")+COUNTIF($E26:Z26,"µ")+COUNTIF($E26:Z26,1)),
HYPERLINK("#Roadmap!C"&amp; MATCH($E26,Roadmap!$D:$D,0)+COUNTIF($E26:Z26,"u")+COUNTIF($E26:Z26,"t"),
     INDEX(Roadmap!$D:$K,MATCH($E26,Roadmap!$D:$D,0)+COUNTIF($E26:Z26,"u")+COUNTIF($E26:Z26,"t")+COUNTIF($E26:Z26,"¶")+COUNTIF($E26:Z26,"²")+COUNTIF($E26:Z26,"µ")+COUNTIF($E26:Z26,1),ColTypeEcheance)),
  IF(LEN(Z26)=1,
  IF(LEN(INDEX(Roadmap!$D:$K,MATCH($E26,Roadmap!$D:$D,0)-1+COUNTIF($E26:Z26,"u")+COUNTIF($E26:Z26,"t")+COUNTIF($E26:Z26,"¶")+COUNTIF($E26:Z26,"²")+COUNTIF($E26:Z26,"µ")+COUNTIF($E26:Z26,1),ColDescriptionCourte))&gt;1,
HYPERLINK("#Roadmap!C"&amp; MATCH($E26,Roadmap!$D:$D,0)+COUNTIF($E26:Z26,"u")+COUNTIF($E26:Z26,"t")+COUNTIF($E26:Z26,"¶")+COUNTIF($E26:Z26,"²")+COUNTIF($E26:Z26,"µ")+COUNTIF($E26:Z26,1)-1,INDEX(Roadmap!$D:$K,MATCH($E26,Roadmap!$D:$D,0)-1+COUNTIF($E26:Z26,"u")+COUNTIF($E26:Z26,"t")+COUNTIF($E26:Z26,"¶")+COUNTIF($E26:Z26,"²")+COUNTIF($E26:Z26,"µ")+COUNTIF($E26:Z26,1),ColDescriptionCourte)),""),
  "")),"")</f>
        <v/>
      </c>
      <c r="AB26" s="40" t="str">
        <f ca="1">IFERROR(IF(AND(
  INDEX(Roadmap!$D:$K,MATCH($E26,Roadmap!$D:$D,0)+COUNTIF($E26:AA26,"u")+COUNTIF($E26:AA26,"t")+COUNTIF($E26:AA26,"¶")+COUNTIF($E26:AA26,"²")+COUNTIF($E26:AA26,"µ")+COUNTIF($E26:AA26,1),ColLivraison)=AB$6,
  VLOOKUP($E26,INDIRECT("tri!"&amp; CHAR(64+ C0Col) &amp;":"&amp; CHAR(65+C0Col)),2,FALSE)&gt;COUNTIF($E26:AA26,"u")+COUNTIF($E26:AA26,"t")+COUNTIF($E26:AA26,"¶")+COUNTIF($E26:AA26,"²")+COUNTIF($E26:AA26,"µ")+COUNTIF($E26:AA26,1)),
HYPERLINK("#Roadmap!C"&amp; MATCH($E26,Roadmap!$D:$D,0)+COUNTIF($E26:AA26,"u")+COUNTIF($E26:AA26,"t"),
     INDEX(Roadmap!$D:$K,MATCH($E26,Roadmap!$D:$D,0)+COUNTIF($E26:AA26,"u")+COUNTIF($E26:AA26,"t")+COUNTIF($E26:AA26,"¶")+COUNTIF($E26:AA26,"²")+COUNTIF($E26:AA26,"µ")+COUNTIF($E26:AA26,1),ColTypeEcheance)),
  IF(LEN(AA26)=1,
  IF(LEN(INDEX(Roadmap!$D:$K,MATCH($E26,Roadmap!$D:$D,0)-1+COUNTIF($E26:AA26,"u")+COUNTIF($E26:AA26,"t")+COUNTIF($E26:AA26,"¶")+COUNTIF($E26:AA26,"²")+COUNTIF($E26:AA26,"µ")+COUNTIF($E26:AA26,1),ColDescriptionCourte))&gt;1,
HYPERLINK("#Roadmap!C"&amp; MATCH($E26,Roadmap!$D:$D,0)+COUNTIF($E26:AA26,"u")+COUNTIF($E26:AA26,"t")+COUNTIF($E26:AA26,"¶")+COUNTIF($E26:AA26,"²")+COUNTIF($E26:AA26,"µ")+COUNTIF($E26:AA26,1)-1,INDEX(Roadmap!$D:$K,MATCH($E26,Roadmap!$D:$D,0)-1+COUNTIF($E26:AA26,"u")+COUNTIF($E26:AA26,"t")+COUNTIF($E26:AA26,"¶")+COUNTIF($E26:AA26,"²")+COUNTIF($E26:AA26,"µ")+COUNTIF($E26:AA26,1),ColDescriptionCourte)),""),
  "")),"")</f>
        <v/>
      </c>
      <c r="AC26" s="40" t="str">
        <f ca="1">IFERROR(IF(AND(
  INDEX(Roadmap!$D:$K,MATCH($E26,Roadmap!$D:$D,0)+COUNTIF($E26:AB26,"u")+COUNTIF($E26:AB26,"t")+COUNTIF($E26:AB26,"¶")+COUNTIF($E26:AB26,"²")+COUNTIF($E26:AB26,"µ")+COUNTIF($E26:AB26,1),ColLivraison)=AC$6,
  VLOOKUP($E26,INDIRECT("tri!"&amp; CHAR(64+ C0Col) &amp;":"&amp; CHAR(65+C0Col)),2,FALSE)&gt;COUNTIF($E26:AB26,"u")+COUNTIF($E26:AB26,"t")+COUNTIF($E26:AB26,"¶")+COUNTIF($E26:AB26,"²")+COUNTIF($E26:AB26,"µ")+COUNTIF($E26:AB26,1)),
HYPERLINK("#Roadmap!C"&amp; MATCH($E26,Roadmap!$D:$D,0)+COUNTIF($E26:AB26,"u")+COUNTIF($E26:AB26,"t"),
     INDEX(Roadmap!$D:$K,MATCH($E26,Roadmap!$D:$D,0)+COUNTIF($E26:AB26,"u")+COUNTIF($E26:AB26,"t")+COUNTIF($E26:AB26,"¶")+COUNTIF($E26:AB26,"²")+COUNTIF($E26:AB26,"µ")+COUNTIF($E26:AB26,1),ColTypeEcheance)),
  IF(LEN(AB26)=1,
  IF(LEN(INDEX(Roadmap!$D:$K,MATCH($E26,Roadmap!$D:$D,0)-1+COUNTIF($E26:AB26,"u")+COUNTIF($E26:AB26,"t")+COUNTIF($E26:AB26,"¶")+COUNTIF($E26:AB26,"²")+COUNTIF($E26:AB26,"µ")+COUNTIF($E26:AB26,1),ColDescriptionCourte))&gt;1,
HYPERLINK("#Roadmap!C"&amp; MATCH($E26,Roadmap!$D:$D,0)+COUNTIF($E26:AB26,"u")+COUNTIF($E26:AB26,"t")+COUNTIF($E26:AB26,"¶")+COUNTIF($E26:AB26,"²")+COUNTIF($E26:AB26,"µ")+COUNTIF($E26:AB26,1)-1,INDEX(Roadmap!$D:$K,MATCH($E26,Roadmap!$D:$D,0)-1+COUNTIF($E26:AB26,"u")+COUNTIF($E26:AB26,"t")+COUNTIF($E26:AB26,"¶")+COUNTIF($E26:AB26,"²")+COUNTIF($E26:AB26,"µ")+COUNTIF($E26:AB26,1),ColDescriptionCourte)),""),
  "")),"")</f>
        <v/>
      </c>
      <c r="AD26" s="40" t="str">
        <f ca="1">IFERROR(IF(AND(
  INDEX(Roadmap!$D:$K,MATCH($E26,Roadmap!$D:$D,0)+COUNTIF($E26:AC26,"u")+COUNTIF($E26:AC26,"t")+COUNTIF($E26:AC26,"¶")+COUNTIF($E26:AC26,"²")+COUNTIF($E26:AC26,"µ")+COUNTIF($E26:AC26,1),ColLivraison)=AD$6,
  VLOOKUP($E26,INDIRECT("tri!"&amp; CHAR(64+ C0Col) &amp;":"&amp; CHAR(65+C0Col)),2,FALSE)&gt;COUNTIF($E26:AC26,"u")+COUNTIF($E26:AC26,"t")+COUNTIF($E26:AC26,"¶")+COUNTIF($E26:AC26,"²")+COUNTIF($E26:AC26,"µ")+COUNTIF($E26:AC26,1)),
HYPERLINK("#Roadmap!C"&amp; MATCH($E26,Roadmap!$D:$D,0)+COUNTIF($E26:AC26,"u")+COUNTIF($E26:AC26,"t"),
     INDEX(Roadmap!$D:$K,MATCH($E26,Roadmap!$D:$D,0)+COUNTIF($E26:AC26,"u")+COUNTIF($E26:AC26,"t")+COUNTIF($E26:AC26,"¶")+COUNTIF($E26:AC26,"²")+COUNTIF($E26:AC26,"µ")+COUNTIF($E26:AC26,1),ColTypeEcheance)),
  IF(LEN(AC26)=1,
  IF(LEN(INDEX(Roadmap!$D:$K,MATCH($E26,Roadmap!$D:$D,0)-1+COUNTIF($E26:AC26,"u")+COUNTIF($E26:AC26,"t")+COUNTIF($E26:AC26,"¶")+COUNTIF($E26:AC26,"²")+COUNTIF($E26:AC26,"µ")+COUNTIF($E26:AC26,1),ColDescriptionCourte))&gt;1,
HYPERLINK("#Roadmap!C"&amp; MATCH($E26,Roadmap!$D:$D,0)+COUNTIF($E26:AC26,"u")+COUNTIF($E26:AC26,"t")+COUNTIF($E26:AC26,"¶")+COUNTIF($E26:AC26,"²")+COUNTIF($E26:AC26,"µ")+COUNTIF($E26:AC26,1)-1,INDEX(Roadmap!$D:$K,MATCH($E26,Roadmap!$D:$D,0)-1+COUNTIF($E26:AC26,"u")+COUNTIF($E26:AC26,"t")+COUNTIF($E26:AC26,"¶")+COUNTIF($E26:AC26,"²")+COUNTIF($E26:AC26,"µ")+COUNTIF($E26:AC26,1),ColDescriptionCourte)),""),
  "")),"")</f>
        <v/>
      </c>
      <c r="AE26" s="40" t="str">
        <f ca="1">IFERROR(IF(AND(
  INDEX(Roadmap!$D:$K,MATCH($E26,Roadmap!$D:$D,0)+COUNTIF($E26:AD26,"u")+COUNTIF($E26:AD26,"t")+COUNTIF($E26:AD26,"¶")+COUNTIF($E26:AD26,"²")+COUNTIF($E26:AD26,"µ")+COUNTIF($E26:AD26,1),ColLivraison)=AE$6,
  VLOOKUP($E26,INDIRECT("tri!"&amp; CHAR(64+ C0Col) &amp;":"&amp; CHAR(65+C0Col)),2,FALSE)&gt;COUNTIF($E26:AD26,"u")+COUNTIF($E26:AD26,"t")+COUNTIF($E26:AD26,"¶")+COUNTIF($E26:AD26,"²")+COUNTIF($E26:AD26,"µ")+COUNTIF($E26:AD26,1)),
HYPERLINK("#Roadmap!C"&amp; MATCH($E26,Roadmap!$D:$D,0)+COUNTIF($E26:AD26,"u")+COUNTIF($E26:AD26,"t"),
     INDEX(Roadmap!$D:$K,MATCH($E26,Roadmap!$D:$D,0)+COUNTIF($E26:AD26,"u")+COUNTIF($E26:AD26,"t")+COUNTIF($E26:AD26,"¶")+COUNTIF($E26:AD26,"²")+COUNTIF($E26:AD26,"µ")+COUNTIF($E26:AD26,1),ColTypeEcheance)),
  IF(LEN(AD26)=1,
  IF(LEN(INDEX(Roadmap!$D:$K,MATCH($E26,Roadmap!$D:$D,0)-1+COUNTIF($E26:AD26,"u")+COUNTIF($E26:AD26,"t")+COUNTIF($E26:AD26,"¶")+COUNTIF($E26:AD26,"²")+COUNTIF($E26:AD26,"µ")+COUNTIF($E26:AD26,1),ColDescriptionCourte))&gt;1,
HYPERLINK("#Roadmap!C"&amp; MATCH($E26,Roadmap!$D:$D,0)+COUNTIF($E26:AD26,"u")+COUNTIF($E26:AD26,"t")+COUNTIF($E26:AD26,"¶")+COUNTIF($E26:AD26,"²")+COUNTIF($E26:AD26,"µ")+COUNTIF($E26:AD26,1)-1,INDEX(Roadmap!$D:$K,MATCH($E26,Roadmap!$D:$D,0)-1+COUNTIF($E26:AD26,"u")+COUNTIF($E26:AD26,"t")+COUNTIF($E26:AD26,"¶")+COUNTIF($E26:AD26,"²")+COUNTIF($E26:AD26,"µ")+COUNTIF($E26:AD26,1),ColDescriptionCourte)),""),
  "")),"")</f>
        <v/>
      </c>
      <c r="AF26" s="40" t="str">
        <f ca="1">IFERROR(IF(AND(
  INDEX(Roadmap!$D:$K,MATCH($E26,Roadmap!$D:$D,0)+COUNTIF($E26:AE26,"u")+COUNTIF($E26:AE26,"t")+COUNTIF($E26:AE26,"¶")+COUNTIF($E26:AE26,"²")+COUNTIF($E26:AE26,"µ")+COUNTIF($E26:AE26,1),ColLivraison)=AF$6,
  VLOOKUP($E26,INDIRECT("tri!"&amp; CHAR(64+ C0Col) &amp;":"&amp; CHAR(65+C0Col)),2,FALSE)&gt;COUNTIF($E26:AE26,"u")+COUNTIF($E26:AE26,"t")+COUNTIF($E26:AE26,"¶")+COUNTIF($E26:AE26,"²")+COUNTIF($E26:AE26,"µ")+COUNTIF($E26:AE26,1)),
HYPERLINK("#Roadmap!C"&amp; MATCH($E26,Roadmap!$D:$D,0)+COUNTIF($E26:AE26,"u")+COUNTIF($E26:AE26,"t"),
     INDEX(Roadmap!$D:$K,MATCH($E26,Roadmap!$D:$D,0)+COUNTIF($E26:AE26,"u")+COUNTIF($E26:AE26,"t")+COUNTIF($E26:AE26,"¶")+COUNTIF($E26:AE26,"²")+COUNTIF($E26:AE26,"µ")+COUNTIF($E26:AE26,1),ColTypeEcheance)),
  IF(LEN(AE26)=1,
  IF(LEN(INDEX(Roadmap!$D:$K,MATCH($E26,Roadmap!$D:$D,0)-1+COUNTIF($E26:AE26,"u")+COUNTIF($E26:AE26,"t")+COUNTIF($E26:AE26,"¶")+COUNTIF($E26:AE26,"²")+COUNTIF($E26:AE26,"µ")+COUNTIF($E26:AE26,1),ColDescriptionCourte))&gt;1,
HYPERLINK("#Roadmap!C"&amp; MATCH($E26,Roadmap!$D:$D,0)+COUNTIF($E26:AE26,"u")+COUNTIF($E26:AE26,"t")+COUNTIF($E26:AE26,"¶")+COUNTIF($E26:AE26,"²")+COUNTIF($E26:AE26,"µ")+COUNTIF($E26:AE26,1)-1,INDEX(Roadmap!$D:$K,MATCH($E26,Roadmap!$D:$D,0)-1+COUNTIF($E26:AE26,"u")+COUNTIF($E26:AE26,"t")+COUNTIF($E26:AE26,"¶")+COUNTIF($E26:AE26,"²")+COUNTIF($E26:AE26,"µ")+COUNTIF($E26:AE26,1),ColDescriptionCourte)),""),
  "")),"")</f>
        <v/>
      </c>
      <c r="AG26" s="40" t="str">
        <f ca="1">IFERROR(IF(AND(
  INDEX(Roadmap!$D:$K,MATCH($E26,Roadmap!$D:$D,0)+COUNTIF($E26:AF26,"u")+COUNTIF($E26:AF26,"t")+COUNTIF($E26:AF26,"¶")+COUNTIF($E26:AF26,"²")+COUNTIF($E26:AF26,"µ")+COUNTIF($E26:AF26,1),ColLivraison)=AG$6,
  VLOOKUP($E26,INDIRECT("tri!"&amp; CHAR(64+ C0Col) &amp;":"&amp; CHAR(65+C0Col)),2,FALSE)&gt;COUNTIF($E26:AF26,"u")+COUNTIF($E26:AF26,"t")+COUNTIF($E26:AF26,"¶")+COUNTIF($E26:AF26,"²")+COUNTIF($E26:AF26,"µ")+COUNTIF($E26:AF26,1)),
HYPERLINK("#Roadmap!C"&amp; MATCH($E26,Roadmap!$D:$D,0)+COUNTIF($E26:AF26,"u")+COUNTIF($E26:AF26,"t"),
     INDEX(Roadmap!$D:$K,MATCH($E26,Roadmap!$D:$D,0)+COUNTIF($E26:AF26,"u")+COUNTIF($E26:AF26,"t")+COUNTIF($E26:AF26,"¶")+COUNTIF($E26:AF26,"²")+COUNTIF($E26:AF26,"µ")+COUNTIF($E26:AF26,1),ColTypeEcheance)),
  IF(LEN(AF26)=1,
  IF(LEN(INDEX(Roadmap!$D:$K,MATCH($E26,Roadmap!$D:$D,0)-1+COUNTIF($E26:AF26,"u")+COUNTIF($E26:AF26,"t")+COUNTIF($E26:AF26,"¶")+COUNTIF($E26:AF26,"²")+COUNTIF($E26:AF26,"µ")+COUNTIF($E26:AF26,1),ColDescriptionCourte))&gt;1,
HYPERLINK("#Roadmap!C"&amp; MATCH($E26,Roadmap!$D:$D,0)+COUNTIF($E26:AF26,"u")+COUNTIF($E26:AF26,"t")+COUNTIF($E26:AF26,"¶")+COUNTIF($E26:AF26,"²")+COUNTIF($E26:AF26,"µ")+COUNTIF($E26:AF26,1)-1,INDEX(Roadmap!$D:$K,MATCH($E26,Roadmap!$D:$D,0)-1+COUNTIF($E26:AF26,"u")+COUNTIF($E26:AF26,"t")+COUNTIF($E26:AF26,"¶")+COUNTIF($E26:AF26,"²")+COUNTIF($E26:AF26,"µ")+COUNTIF($E26:AF26,1),ColDescriptionCourte)),""),
  "")),"")</f>
        <v/>
      </c>
    </row>
    <row r="27" spans="3:33" ht="14.25" customHeight="1">
      <c r="C27" s="1" t="str">
        <f t="shared" ca="1" si="42"/>
        <v/>
      </c>
      <c r="D27" s="1" t="str">
        <f t="shared" ca="1" si="43"/>
        <v/>
      </c>
      <c r="E27" s="35" t="str">
        <f t="shared" ca="1" si="33"/>
        <v/>
      </c>
      <c r="F27" s="39" t="str">
        <f ca="1">IFERROR(IF(AND(
  INDEX(Roadmap!$D:$K,MATCH($E27,Roadmap!$D:$D,0)+COUNTIF($E27:E27,"u")+COUNTIF($E27:E27,"t")+COUNTIF($E27:E27,"¶")+COUNTIF($E27:E27,"²")+COUNTIF($E27:E27,"µ")+COUNTIF($E27:E27,1),ColLivraison)=F$6,
  VLOOKUP($E27,INDIRECT("tri!"&amp; CHAR(64+ C0Col) &amp;":"&amp; CHAR(65+C0Col)),2,FALSE)&gt;COUNTIF($E27:E27,"u")+COUNTIF($E27:E27,"t")+COUNTIF($E27:E27,"¶")+COUNTIF($E27:E27,"²")+COUNTIF($E27:E27,"µ")+COUNTIF($E27:E27,1)),
HYPERLINK("#Roadmap!C"&amp; MATCH($E27,Roadmap!$D:$D,0)+COUNTIF($E27:E27,"u")+COUNTIF($E27:E27,"t"),
     INDEX(Roadmap!$D:$K,MATCH($E27,Roadmap!$D:$D,0)+COUNTIF($E27:E27,"u")+COUNTIF($E27:E27,"t")+COUNTIF($E27:E27,"¶")+COUNTIF($E27:E27,"²")+COUNTIF($E27:E27,"µ")+COUNTIF($E27:E27,1),ColTypeEcheance)),
  IF(LEN(E27)=1,
  IF(LEN(INDEX(Roadmap!$D:$K,MATCH($E27,Roadmap!$D:$D,0)-1+COUNTIF($E27:E27,"u")+COUNTIF($E27:E27,"t")+COUNTIF($E27:E27,"¶")+COUNTIF($E27:E27,"²")+COUNTIF($E27:E27,"µ")+COUNTIF($E27:E27,1),ColDescriptionCourte))&gt;1,
HYPERLINK("#Roadmap!C"&amp; MATCH($E27,Roadmap!$D:$D,0)+COUNTIF($E27:E27,"u")+COUNTIF($E27:E27,"t")+COUNTIF($E27:E27,"¶")+COUNTIF($E27:E27,"²")+COUNTIF($E27:E27,"µ")+COUNTIF($E27:E27,1)-1,INDEX(Roadmap!$D:$K,MATCH($E27,Roadmap!$D:$D,0)-1+COUNTIF($E27:E27,"u")+COUNTIF($E27:E27,"t")+COUNTIF($E27:E27,"¶")+COUNTIF($E27:E27,"²")+COUNTIF($E27:E27,"µ")+COUNTIF($E27:E27,1),ColDescriptionCourte)),""),
  "")),"")</f>
        <v/>
      </c>
      <c r="G27" s="40" t="str">
        <f ca="1">IFERROR(IF(AND(
  INDEX(Roadmap!$D:$K,MATCH($E27,Roadmap!$D:$D,0)+COUNTIF($E27:F27,"u")+COUNTIF($E27:F27,"t")+COUNTIF($E27:F27,"¶")+COUNTIF($E27:F27,"²")+COUNTIF($E27:F27,"µ")+COUNTIF($E27:F27,1),ColLivraison)=G$6,
  VLOOKUP($E27,INDIRECT("tri!"&amp; CHAR(64+ C0Col) &amp;":"&amp; CHAR(65+C0Col)),2,FALSE)&gt;COUNTIF($E27:F27,"u")+COUNTIF($E27:F27,"t")+COUNTIF($E27:F27,"¶")+COUNTIF($E27:F27,"²")+COUNTIF($E27:F27,"µ")+COUNTIF($E27:F27,1)),
HYPERLINK("#Roadmap!C"&amp; MATCH($E27,Roadmap!$D:$D,0)+COUNTIF($E27:F27,"u")+COUNTIF($E27:F27,"t"),
     INDEX(Roadmap!$D:$K,MATCH($E27,Roadmap!$D:$D,0)+COUNTIF($E27:F27,"u")+COUNTIF($E27:F27,"t")+COUNTIF($E27:F27,"¶")+COUNTIF($E27:F27,"²")+COUNTIF($E27:F27,"µ")+COUNTIF($E27:F27,1),ColTypeEcheance)),
  IF(LEN(F27)=1,
  IF(LEN(INDEX(Roadmap!$D:$K,MATCH($E27,Roadmap!$D:$D,0)-1+COUNTIF($E27:F27,"u")+COUNTIF($E27:F27,"t")+COUNTIF($E27:F27,"¶")+COUNTIF($E27:F27,"²")+COUNTIF($E27:F27,"µ")+COUNTIF($E27:F27,1),ColDescriptionCourte))&gt;1,
HYPERLINK("#Roadmap!C"&amp; MATCH($E27,Roadmap!$D:$D,0)+COUNTIF($E27:F27,"u")+COUNTIF($E27:F27,"t")+COUNTIF($E27:F27,"¶")+COUNTIF($E27:F27,"²")+COUNTIF($E27:F27,"µ")+COUNTIF($E27:F27,1)-1,INDEX(Roadmap!$D:$K,MATCH($E27,Roadmap!$D:$D,0)-1+COUNTIF($E27:F27,"u")+COUNTIF($E27:F27,"t")+COUNTIF($E27:F27,"¶")+COUNTIF($E27:F27,"²")+COUNTIF($E27:F27,"µ")+COUNTIF($E27:F27,1),ColDescriptionCourte)),""),
  "")),"")</f>
        <v/>
      </c>
      <c r="H27" s="40" t="str">
        <f ca="1">IFERROR(IF(AND(
  INDEX(Roadmap!$D:$K,MATCH($E27,Roadmap!$D:$D,0)+COUNTIF($E27:G27,"u")+COUNTIF($E27:G27,"t")+COUNTIF($E27:G27,"¶")+COUNTIF($E27:G27,"²")+COUNTIF($E27:G27,"µ")+COUNTIF($E27:G27,1),ColLivraison)=H$6,
  VLOOKUP($E27,INDIRECT("tri!"&amp; CHAR(64+ C0Col) &amp;":"&amp; CHAR(65+C0Col)),2,FALSE)&gt;COUNTIF($E27:G27,"u")+COUNTIF($E27:G27,"t")+COUNTIF($E27:G27,"¶")+COUNTIF($E27:G27,"²")+COUNTIF($E27:G27,"µ")+COUNTIF($E27:G27,1)),
HYPERLINK("#Roadmap!C"&amp; MATCH($E27,Roadmap!$D:$D,0)+COUNTIF($E27:G27,"u")+COUNTIF($E27:G27,"t"),
     INDEX(Roadmap!$D:$K,MATCH($E27,Roadmap!$D:$D,0)+COUNTIF($E27:G27,"u")+COUNTIF($E27:G27,"t")+COUNTIF($E27:G27,"¶")+COUNTIF($E27:G27,"²")+COUNTIF($E27:G27,"µ")+COUNTIF($E27:G27,1),ColTypeEcheance)),
  IF(LEN(G27)=1,
  IF(LEN(INDEX(Roadmap!$D:$K,MATCH($E27,Roadmap!$D:$D,0)-1+COUNTIF($E27:G27,"u")+COUNTIF($E27:G27,"t")+COUNTIF($E27:G27,"¶")+COUNTIF($E27:G27,"²")+COUNTIF($E27:G27,"µ")+COUNTIF($E27:G27,1),ColDescriptionCourte))&gt;1,
HYPERLINK("#Roadmap!C"&amp; MATCH($E27,Roadmap!$D:$D,0)+COUNTIF($E27:G27,"u")+COUNTIF($E27:G27,"t")+COUNTIF($E27:G27,"¶")+COUNTIF($E27:G27,"²")+COUNTIF($E27:G27,"µ")+COUNTIF($E27:G27,1)-1,INDEX(Roadmap!$D:$K,MATCH($E27,Roadmap!$D:$D,0)-1+COUNTIF($E27:G27,"u")+COUNTIF($E27:G27,"t")+COUNTIF($E27:G27,"¶")+COUNTIF($E27:G27,"²")+COUNTIF($E27:G27,"µ")+COUNTIF($E27:G27,1),ColDescriptionCourte)),""),
  "")),"")</f>
        <v/>
      </c>
      <c r="I27" s="40" t="str">
        <f ca="1">IFERROR(IF(AND(
  INDEX(Roadmap!$D:$K,MATCH($E27,Roadmap!$D:$D,0)+COUNTIF($E27:H27,"u")+COUNTIF($E27:H27,"t")+COUNTIF($E27:H27,"¶")+COUNTIF($E27:H27,"²")+COUNTIF($E27:H27,"µ")+COUNTIF($E27:H27,1),ColLivraison)=I$6,
  VLOOKUP($E27,INDIRECT("tri!"&amp; CHAR(64+ C0Col) &amp;":"&amp; CHAR(65+C0Col)),2,FALSE)&gt;COUNTIF($E27:H27,"u")+COUNTIF($E27:H27,"t")+COUNTIF($E27:H27,"¶")+COUNTIF($E27:H27,"²")+COUNTIF($E27:H27,"µ")+COUNTIF($E27:H27,1)),
HYPERLINK("#Roadmap!C"&amp; MATCH($E27,Roadmap!$D:$D,0)+COUNTIF($E27:H27,"u")+COUNTIF($E27:H27,"t"),
     INDEX(Roadmap!$D:$K,MATCH($E27,Roadmap!$D:$D,0)+COUNTIF($E27:H27,"u")+COUNTIF($E27:H27,"t")+COUNTIF($E27:H27,"¶")+COUNTIF($E27:H27,"²")+COUNTIF($E27:H27,"µ")+COUNTIF($E27:H27,1),ColTypeEcheance)),
  IF(LEN(H27)=1,
  IF(LEN(INDEX(Roadmap!$D:$K,MATCH($E27,Roadmap!$D:$D,0)-1+COUNTIF($E27:H27,"u")+COUNTIF($E27:H27,"t")+COUNTIF($E27:H27,"¶")+COUNTIF($E27:H27,"²")+COUNTIF($E27:H27,"µ")+COUNTIF($E27:H27,1),ColDescriptionCourte))&gt;1,
HYPERLINK("#Roadmap!C"&amp; MATCH($E27,Roadmap!$D:$D,0)+COUNTIF($E27:H27,"u")+COUNTIF($E27:H27,"t")+COUNTIF($E27:H27,"¶")+COUNTIF($E27:H27,"²")+COUNTIF($E27:H27,"µ")+COUNTIF($E27:H27,1)-1,INDEX(Roadmap!$D:$K,MATCH($E27,Roadmap!$D:$D,0)-1+COUNTIF($E27:H27,"u")+COUNTIF($E27:H27,"t")+COUNTIF($E27:H27,"¶")+COUNTIF($E27:H27,"²")+COUNTIF($E27:H27,"µ")+COUNTIF($E27:H27,1),ColDescriptionCourte)),""),
  "")),"")</f>
        <v/>
      </c>
      <c r="J27" s="40" t="str">
        <f ca="1">IFERROR(IF(AND(
  INDEX(Roadmap!$D:$K,MATCH($E27,Roadmap!$D:$D,0)+COUNTIF($E27:I27,"u")+COUNTIF($E27:I27,"t")+COUNTIF($E27:I27,"¶")+COUNTIF($E27:I27,"²")+COUNTIF($E27:I27,"µ")+COUNTIF($E27:I27,1),ColLivraison)=J$6,
  VLOOKUP($E27,INDIRECT("tri!"&amp; CHAR(64+ C0Col) &amp;":"&amp; CHAR(65+C0Col)),2,FALSE)&gt;COUNTIF($E27:I27,"u")+COUNTIF($E27:I27,"t")+COUNTIF($E27:I27,"¶")+COUNTIF($E27:I27,"²")+COUNTIF($E27:I27,"µ")+COUNTIF($E27:I27,1)),
HYPERLINK("#Roadmap!C"&amp; MATCH($E27,Roadmap!$D:$D,0)+COUNTIF($E27:I27,"u")+COUNTIF($E27:I27,"t"),
     INDEX(Roadmap!$D:$K,MATCH($E27,Roadmap!$D:$D,0)+COUNTIF($E27:I27,"u")+COUNTIF($E27:I27,"t")+COUNTIF($E27:I27,"¶")+COUNTIF($E27:I27,"²")+COUNTIF($E27:I27,"µ")+COUNTIF($E27:I27,1),ColTypeEcheance)),
  IF(LEN(I27)=1,
  IF(LEN(INDEX(Roadmap!$D:$K,MATCH($E27,Roadmap!$D:$D,0)-1+COUNTIF($E27:I27,"u")+COUNTIF($E27:I27,"t")+COUNTIF($E27:I27,"¶")+COUNTIF($E27:I27,"²")+COUNTIF($E27:I27,"µ")+COUNTIF($E27:I27,1),ColDescriptionCourte))&gt;1,
HYPERLINK("#Roadmap!C"&amp; MATCH($E27,Roadmap!$D:$D,0)+COUNTIF($E27:I27,"u")+COUNTIF($E27:I27,"t")+COUNTIF($E27:I27,"¶")+COUNTIF($E27:I27,"²")+COUNTIF($E27:I27,"µ")+COUNTIF($E27:I27,1)-1,INDEX(Roadmap!$D:$K,MATCH($E27,Roadmap!$D:$D,0)-1+COUNTIF($E27:I27,"u")+COUNTIF($E27:I27,"t")+COUNTIF($E27:I27,"¶")+COUNTIF($E27:I27,"²")+COUNTIF($E27:I27,"µ")+COUNTIF($E27:I27,1),ColDescriptionCourte)),""),
  "")),"")</f>
        <v/>
      </c>
      <c r="K27" s="40" t="str">
        <f ca="1">IFERROR(IF(AND(
  INDEX(Roadmap!$D:$K,MATCH($E27,Roadmap!$D:$D,0)+COUNTIF($E27:J27,"u")+COUNTIF($E27:J27,"t")+COUNTIF($E27:J27,"¶")+COUNTIF($E27:J27,"²")+COUNTIF($E27:J27,"µ")+COUNTIF($E27:J27,1),ColLivraison)=K$6,
  VLOOKUP($E27,INDIRECT("tri!"&amp; CHAR(64+ C0Col) &amp;":"&amp; CHAR(65+C0Col)),2,FALSE)&gt;COUNTIF($E27:J27,"u")+COUNTIF($E27:J27,"t")+COUNTIF($E27:J27,"¶")+COUNTIF($E27:J27,"²")+COUNTIF($E27:J27,"µ")+COUNTIF($E27:J27,1)),
HYPERLINK("#Roadmap!C"&amp; MATCH($E27,Roadmap!$D:$D,0)+COUNTIF($E27:J27,"u")+COUNTIF($E27:J27,"t"),
     INDEX(Roadmap!$D:$K,MATCH($E27,Roadmap!$D:$D,0)+COUNTIF($E27:J27,"u")+COUNTIF($E27:J27,"t")+COUNTIF($E27:J27,"¶")+COUNTIF($E27:J27,"²")+COUNTIF($E27:J27,"µ")+COUNTIF($E27:J27,1),ColTypeEcheance)),
  IF(LEN(J27)=1,
  IF(LEN(INDEX(Roadmap!$D:$K,MATCH($E27,Roadmap!$D:$D,0)-1+COUNTIF($E27:J27,"u")+COUNTIF($E27:J27,"t")+COUNTIF($E27:J27,"¶")+COUNTIF($E27:J27,"²")+COUNTIF($E27:J27,"µ")+COUNTIF($E27:J27,1),ColDescriptionCourte))&gt;1,
HYPERLINK("#Roadmap!C"&amp; MATCH($E27,Roadmap!$D:$D,0)+COUNTIF($E27:J27,"u")+COUNTIF($E27:J27,"t")+COUNTIF($E27:J27,"¶")+COUNTIF($E27:J27,"²")+COUNTIF($E27:J27,"µ")+COUNTIF($E27:J27,1)-1,INDEX(Roadmap!$D:$K,MATCH($E27,Roadmap!$D:$D,0)-1+COUNTIF($E27:J27,"u")+COUNTIF($E27:J27,"t")+COUNTIF($E27:J27,"¶")+COUNTIF($E27:J27,"²")+COUNTIF($E27:J27,"µ")+COUNTIF($E27:J27,1),ColDescriptionCourte)),""),
  "")),"")</f>
        <v/>
      </c>
      <c r="L27" s="39" t="str">
        <f ca="1">IFERROR(IF(AND(
  INDEX(Roadmap!$D:$K,MATCH($E27,Roadmap!$D:$D,0)+COUNTIF($E27:K27,"u")+COUNTIF($E27:K27,"t")+COUNTIF($E27:K27,"¶")+COUNTIF($E27:K27,"²")+COUNTIF($E27:K27,"µ")+COUNTIF($E27:K27,1),ColLivraison)=L$6,
  VLOOKUP($E27,INDIRECT("tri!"&amp; CHAR(64+ C0Col) &amp;":"&amp; CHAR(65+C0Col)),2,FALSE)&gt;COUNTIF($E27:K27,"u")+COUNTIF($E27:K27,"t")+COUNTIF($E27:K27,"¶")+COUNTIF($E27:K27,"²")+COUNTIF($E27:K27,"µ")+COUNTIF($E27:K27,1)),
HYPERLINK("#Roadmap!C"&amp; MATCH($E27,Roadmap!$D:$D,0)+COUNTIF($E27:K27,"u")+COUNTIF($E27:K27,"t"),
     INDEX(Roadmap!$D:$K,MATCH($E27,Roadmap!$D:$D,0)+COUNTIF($E27:K27,"u")+COUNTIF($E27:K27,"t")+COUNTIF($E27:K27,"¶")+COUNTIF($E27:K27,"²")+COUNTIF($E27:K27,"µ")+COUNTIF($E27:K27,1),ColTypeEcheance)),
  IF(LEN(K27)=1,
  IF(LEN(INDEX(Roadmap!$D:$K,MATCH($E27,Roadmap!$D:$D,0)-1+COUNTIF($E27:K27,"u")+COUNTIF($E27:K27,"t")+COUNTIF($E27:K27,"¶")+COUNTIF($E27:K27,"²")+COUNTIF($E27:K27,"µ")+COUNTIF($E27:K27,1),ColDescriptionCourte))&gt;1,
HYPERLINK("#Roadmap!C"&amp; MATCH($E27,Roadmap!$D:$D,0)+COUNTIF($E27:K27,"u")+COUNTIF($E27:K27,"t")+COUNTIF($E27:K27,"¶")+COUNTIF($E27:K27,"²")+COUNTIF($E27:K27,"µ")+COUNTIF($E27:K27,1)-1,INDEX(Roadmap!$D:$K,MATCH($E27,Roadmap!$D:$D,0)-1+COUNTIF($E27:K27,"u")+COUNTIF($E27:K27,"t")+COUNTIF($E27:K27,"¶")+COUNTIF($E27:K27,"²")+COUNTIF($E27:K27,"µ")+COUNTIF($E27:K27,1),ColDescriptionCourte)),""),
  "")),"")</f>
        <v/>
      </c>
      <c r="M27" s="40" t="str">
        <f ca="1">IFERROR(IF(AND(
  INDEX(Roadmap!$D:$K,MATCH($E27,Roadmap!$D:$D,0)+COUNTIF($E27:L27,"u")+COUNTIF($E27:L27,"t")+COUNTIF($E27:L27,"¶")+COUNTIF($E27:L27,"²")+COUNTIF($E27:L27,"µ")+COUNTIF($E27:L27,1),ColLivraison)=M$6,
  VLOOKUP($E27,INDIRECT("tri!"&amp; CHAR(64+ C0Col) &amp;":"&amp; CHAR(65+C0Col)),2,FALSE)&gt;COUNTIF($E27:L27,"u")+COUNTIF($E27:L27,"t")+COUNTIF($E27:L27,"¶")+COUNTIF($E27:L27,"²")+COUNTIF($E27:L27,"µ")+COUNTIF($E27:L27,1)),
HYPERLINK("#Roadmap!C"&amp; MATCH($E27,Roadmap!$D:$D,0)+COUNTIF($E27:L27,"u")+COUNTIF($E27:L27,"t"),
     INDEX(Roadmap!$D:$K,MATCH($E27,Roadmap!$D:$D,0)+COUNTIF($E27:L27,"u")+COUNTIF($E27:L27,"t")+COUNTIF($E27:L27,"¶")+COUNTIF($E27:L27,"²")+COUNTIF($E27:L27,"µ")+COUNTIF($E27:L27,1),ColTypeEcheance)),
  IF(LEN(L27)=1,
  IF(LEN(INDEX(Roadmap!$D:$K,MATCH($E27,Roadmap!$D:$D,0)-1+COUNTIF($E27:L27,"u")+COUNTIF($E27:L27,"t")+COUNTIF($E27:L27,"¶")+COUNTIF($E27:L27,"²")+COUNTIF($E27:L27,"µ")+COUNTIF($E27:L27,1),ColDescriptionCourte))&gt;1,
HYPERLINK("#Roadmap!C"&amp; MATCH($E27,Roadmap!$D:$D,0)+COUNTIF($E27:L27,"u")+COUNTIF($E27:L27,"t")+COUNTIF($E27:L27,"¶")+COUNTIF($E27:L27,"²")+COUNTIF($E27:L27,"µ")+COUNTIF($E27:L27,1)-1,INDEX(Roadmap!$D:$K,MATCH($E27,Roadmap!$D:$D,0)-1+COUNTIF($E27:L27,"u")+COUNTIF($E27:L27,"t")+COUNTIF($E27:L27,"¶")+COUNTIF($E27:L27,"²")+COUNTIF($E27:L27,"µ")+COUNTIF($E27:L27,1),ColDescriptionCourte)),""),
  "")),"")</f>
        <v/>
      </c>
      <c r="N27" s="40" t="str">
        <f ca="1">IFERROR(IF(AND(
  INDEX(Roadmap!$D:$K,MATCH($E27,Roadmap!$D:$D,0)+COUNTIF($E27:M27,"u")+COUNTIF($E27:M27,"t")+COUNTIF($E27:M27,"¶")+COUNTIF($E27:M27,"²")+COUNTIF($E27:M27,"µ")+COUNTIF($E27:M27,1),ColLivraison)=N$6,
  VLOOKUP($E27,INDIRECT("tri!"&amp; CHAR(64+ C0Col) &amp;":"&amp; CHAR(65+C0Col)),2,FALSE)&gt;COUNTIF($E27:M27,"u")+COUNTIF($E27:M27,"t")+COUNTIF($E27:M27,"¶")+COUNTIF($E27:M27,"²")+COUNTIF($E27:M27,"µ")+COUNTIF($E27:M27,1)),
HYPERLINK("#Roadmap!C"&amp; MATCH($E27,Roadmap!$D:$D,0)+COUNTIF($E27:M27,"u")+COUNTIF($E27:M27,"t"),
     INDEX(Roadmap!$D:$K,MATCH($E27,Roadmap!$D:$D,0)+COUNTIF($E27:M27,"u")+COUNTIF($E27:M27,"t")+COUNTIF($E27:M27,"¶")+COUNTIF($E27:M27,"²")+COUNTIF($E27:M27,"µ")+COUNTIF($E27:M27,1),ColTypeEcheance)),
  IF(LEN(M27)=1,
  IF(LEN(INDEX(Roadmap!$D:$K,MATCH($E27,Roadmap!$D:$D,0)-1+COUNTIF($E27:M27,"u")+COUNTIF($E27:M27,"t")+COUNTIF($E27:M27,"¶")+COUNTIF($E27:M27,"²")+COUNTIF($E27:M27,"µ")+COUNTIF($E27:M27,1),ColDescriptionCourte))&gt;1,
HYPERLINK("#Roadmap!C"&amp; MATCH($E27,Roadmap!$D:$D,0)+COUNTIF($E27:M27,"u")+COUNTIF($E27:M27,"t")+COUNTIF($E27:M27,"¶")+COUNTIF($E27:M27,"²")+COUNTIF($E27:M27,"µ")+COUNTIF($E27:M27,1)-1,INDEX(Roadmap!$D:$K,MATCH($E27,Roadmap!$D:$D,0)-1+COUNTIF($E27:M27,"u")+COUNTIF($E27:M27,"t")+COUNTIF($E27:M27,"¶")+COUNTIF($E27:M27,"²")+COUNTIF($E27:M27,"µ")+COUNTIF($E27:M27,1),ColDescriptionCourte)),""),
  "")),"")</f>
        <v/>
      </c>
      <c r="O27" s="40" t="str">
        <f ca="1">IFERROR(IF(AND(
  INDEX(Roadmap!$D:$K,MATCH($E27,Roadmap!$D:$D,0)+COUNTIF($E27:N27,"u")+COUNTIF($E27:N27,"t")+COUNTIF($E27:N27,"¶")+COUNTIF($E27:N27,"²")+COUNTIF($E27:N27,"µ")+COUNTIF($E27:N27,1),ColLivraison)=O$6,
  VLOOKUP($E27,INDIRECT("tri!"&amp; CHAR(64+ C0Col) &amp;":"&amp; CHAR(65+C0Col)),2,FALSE)&gt;COUNTIF($E27:N27,"u")+COUNTIF($E27:N27,"t")+COUNTIF($E27:N27,"¶")+COUNTIF($E27:N27,"²")+COUNTIF($E27:N27,"µ")+COUNTIF($E27:N27,1)),
HYPERLINK("#Roadmap!C"&amp; MATCH($E27,Roadmap!$D:$D,0)+COUNTIF($E27:N27,"u")+COUNTIF($E27:N27,"t"),
     INDEX(Roadmap!$D:$K,MATCH($E27,Roadmap!$D:$D,0)+COUNTIF($E27:N27,"u")+COUNTIF($E27:N27,"t")+COUNTIF($E27:N27,"¶")+COUNTIF($E27:N27,"²")+COUNTIF($E27:N27,"µ")+COUNTIF($E27:N27,1),ColTypeEcheance)),
  IF(LEN(N27)=1,
  IF(LEN(INDEX(Roadmap!$D:$K,MATCH($E27,Roadmap!$D:$D,0)-1+COUNTIF($E27:N27,"u")+COUNTIF($E27:N27,"t")+COUNTIF($E27:N27,"¶")+COUNTIF($E27:N27,"²")+COUNTIF($E27:N27,"µ")+COUNTIF($E27:N27,1),ColDescriptionCourte))&gt;1,
HYPERLINK("#Roadmap!C"&amp; MATCH($E27,Roadmap!$D:$D,0)+COUNTIF($E27:N27,"u")+COUNTIF($E27:N27,"t")+COUNTIF($E27:N27,"¶")+COUNTIF($E27:N27,"²")+COUNTIF($E27:N27,"µ")+COUNTIF($E27:N27,1)-1,INDEX(Roadmap!$D:$K,MATCH($E27,Roadmap!$D:$D,0)-1+COUNTIF($E27:N27,"u")+COUNTIF($E27:N27,"t")+COUNTIF($E27:N27,"¶")+COUNTIF($E27:N27,"²")+COUNTIF($E27:N27,"µ")+COUNTIF($E27:N27,1),ColDescriptionCourte)),""),
  "")),"")</f>
        <v/>
      </c>
      <c r="P27" s="40" t="str">
        <f ca="1">IFERROR(IF(AND(
  INDEX(Roadmap!$D:$K,MATCH($E27,Roadmap!$D:$D,0)+COUNTIF($E27:O27,"u")+COUNTIF($E27:O27,"t")+COUNTIF($E27:O27,"¶")+COUNTIF($E27:O27,"²")+COUNTIF($E27:O27,"µ")+COUNTIF($E27:O27,1),ColLivraison)=P$6,
  VLOOKUP($E27,INDIRECT("tri!"&amp; CHAR(64+ C0Col) &amp;":"&amp; CHAR(65+C0Col)),2,FALSE)&gt;COUNTIF($E27:O27,"u")+COUNTIF($E27:O27,"t")+COUNTIF($E27:O27,"¶")+COUNTIF($E27:O27,"²")+COUNTIF($E27:O27,"µ")+COUNTIF($E27:O27,1)),
HYPERLINK("#Roadmap!C"&amp; MATCH($E27,Roadmap!$D:$D,0)+COUNTIF($E27:O27,"u")+COUNTIF($E27:O27,"t"),
     INDEX(Roadmap!$D:$K,MATCH($E27,Roadmap!$D:$D,0)+COUNTIF($E27:O27,"u")+COUNTIF($E27:O27,"t")+COUNTIF($E27:O27,"¶")+COUNTIF($E27:O27,"²")+COUNTIF($E27:O27,"µ")+COUNTIF($E27:O27,1),ColTypeEcheance)),
  IF(LEN(O27)=1,
  IF(LEN(INDEX(Roadmap!$D:$K,MATCH($E27,Roadmap!$D:$D,0)-1+COUNTIF($E27:O27,"u")+COUNTIF($E27:O27,"t")+COUNTIF($E27:O27,"¶")+COUNTIF($E27:O27,"²")+COUNTIF($E27:O27,"µ")+COUNTIF($E27:O27,1),ColDescriptionCourte))&gt;1,
HYPERLINK("#Roadmap!C"&amp; MATCH($E27,Roadmap!$D:$D,0)+COUNTIF($E27:O27,"u")+COUNTIF($E27:O27,"t")+COUNTIF($E27:O27,"¶")+COUNTIF($E27:O27,"²")+COUNTIF($E27:O27,"µ")+COUNTIF($E27:O27,1)-1,INDEX(Roadmap!$D:$K,MATCH($E27,Roadmap!$D:$D,0)-1+COUNTIF($E27:O27,"u")+COUNTIF($E27:O27,"t")+COUNTIF($E27:O27,"¶")+COUNTIF($E27:O27,"²")+COUNTIF($E27:O27,"µ")+COUNTIF($E27:O27,1),ColDescriptionCourte)),""),
  "")),"")</f>
        <v/>
      </c>
      <c r="Q27" s="40" t="str">
        <f ca="1">IFERROR(IF(AND(
  INDEX(Roadmap!$D:$K,MATCH($E27,Roadmap!$D:$D,0)+COUNTIF($E27:P27,"u")+COUNTIF($E27:P27,"t")+COUNTIF($E27:P27,"¶")+COUNTIF($E27:P27,"²")+COUNTIF($E27:P27,"µ")+COUNTIF($E27:P27,1),ColLivraison)=Q$6,
  VLOOKUP($E27,INDIRECT("tri!"&amp; CHAR(64+ C0Col) &amp;":"&amp; CHAR(65+C0Col)),2,FALSE)&gt;COUNTIF($E27:P27,"u")+COUNTIF($E27:P27,"t")+COUNTIF($E27:P27,"¶")+COUNTIF($E27:P27,"²")+COUNTIF($E27:P27,"µ")+COUNTIF($E27:P27,1)),
HYPERLINK("#Roadmap!C"&amp; MATCH($E27,Roadmap!$D:$D,0)+COUNTIF($E27:P27,"u")+COUNTIF($E27:P27,"t"),
     INDEX(Roadmap!$D:$K,MATCH($E27,Roadmap!$D:$D,0)+COUNTIF($E27:P27,"u")+COUNTIF($E27:P27,"t")+COUNTIF($E27:P27,"¶")+COUNTIF($E27:P27,"²")+COUNTIF($E27:P27,"µ")+COUNTIF($E27:P27,1),ColTypeEcheance)),
  IF(LEN(P27)=1,
  IF(LEN(INDEX(Roadmap!$D:$K,MATCH($E27,Roadmap!$D:$D,0)-1+COUNTIF($E27:P27,"u")+COUNTIF($E27:P27,"t")+COUNTIF($E27:P27,"¶")+COUNTIF($E27:P27,"²")+COUNTIF($E27:P27,"µ")+COUNTIF($E27:P27,1),ColDescriptionCourte))&gt;1,
HYPERLINK("#Roadmap!C"&amp; MATCH($E27,Roadmap!$D:$D,0)+COUNTIF($E27:P27,"u")+COUNTIF($E27:P27,"t")+COUNTIF($E27:P27,"¶")+COUNTIF($E27:P27,"²")+COUNTIF($E27:P27,"µ")+COUNTIF($E27:P27,1)-1,INDEX(Roadmap!$D:$K,MATCH($E27,Roadmap!$D:$D,0)-1+COUNTIF($E27:P27,"u")+COUNTIF($E27:P27,"t")+COUNTIF($E27:P27,"¶")+COUNTIF($E27:P27,"²")+COUNTIF($E27:P27,"µ")+COUNTIF($E27:P27,1),ColDescriptionCourte)),""),
  "")),"")</f>
        <v/>
      </c>
      <c r="R27" s="40" t="str">
        <f ca="1">IFERROR(IF(AND(
  INDEX(Roadmap!$D:$K,MATCH($E27,Roadmap!$D:$D,0)+COUNTIF($E27:Q27,"u")+COUNTIF($E27:Q27,"t")+COUNTIF($E27:Q27,"¶")+COUNTIF($E27:Q27,"²")+COUNTIF($E27:Q27,"µ")+COUNTIF($E27:Q27,1),ColLivraison)=R$6,
  VLOOKUP($E27,INDIRECT("tri!"&amp; CHAR(64+ C0Col) &amp;":"&amp; CHAR(65+C0Col)),2,FALSE)&gt;COUNTIF($E27:Q27,"u")+COUNTIF($E27:Q27,"t")+COUNTIF($E27:Q27,"¶")+COUNTIF($E27:Q27,"²")+COUNTIF($E27:Q27,"µ")+COUNTIF($E27:Q27,1)),
HYPERLINK("#Roadmap!C"&amp; MATCH($E27,Roadmap!$D:$D,0)+COUNTIF($E27:Q27,"u")+COUNTIF($E27:Q27,"t"),
     INDEX(Roadmap!$D:$K,MATCH($E27,Roadmap!$D:$D,0)+COUNTIF($E27:Q27,"u")+COUNTIF($E27:Q27,"t")+COUNTIF($E27:Q27,"¶")+COUNTIF($E27:Q27,"²")+COUNTIF($E27:Q27,"µ")+COUNTIF($E27:Q27,1),ColTypeEcheance)),
  IF(LEN(Q27)=1,
  IF(LEN(INDEX(Roadmap!$D:$K,MATCH($E27,Roadmap!$D:$D,0)-1+COUNTIF($E27:Q27,"u")+COUNTIF($E27:Q27,"t")+COUNTIF($E27:Q27,"¶")+COUNTIF($E27:Q27,"²")+COUNTIF($E27:Q27,"µ")+COUNTIF($E27:Q27,1),ColDescriptionCourte))&gt;1,
HYPERLINK("#Roadmap!C"&amp; MATCH($E27,Roadmap!$D:$D,0)+COUNTIF($E27:Q27,"u")+COUNTIF($E27:Q27,"t")+COUNTIF($E27:Q27,"¶")+COUNTIF($E27:Q27,"²")+COUNTIF($E27:Q27,"µ")+COUNTIF($E27:Q27,1)-1,INDEX(Roadmap!$D:$K,MATCH($E27,Roadmap!$D:$D,0)-1+COUNTIF($E27:Q27,"u")+COUNTIF($E27:Q27,"t")+COUNTIF($E27:Q27,"¶")+COUNTIF($E27:Q27,"²")+COUNTIF($E27:Q27,"µ")+COUNTIF($E27:Q27,1),ColDescriptionCourte)),""),
  "")),"")</f>
        <v/>
      </c>
      <c r="S27" s="40" t="str">
        <f ca="1">IFERROR(IF(AND(
  INDEX(Roadmap!$D:$K,MATCH($E27,Roadmap!$D:$D,0)+COUNTIF($E27:R27,"u")+COUNTIF($E27:R27,"t")+COUNTIF($E27:R27,"¶")+COUNTIF($E27:R27,"²")+COUNTIF($E27:R27,"µ")+COUNTIF($E27:R27,1),ColLivraison)=S$6,
  VLOOKUP($E27,INDIRECT("tri!"&amp; CHAR(64+ C0Col) &amp;":"&amp; CHAR(65+C0Col)),2,FALSE)&gt;COUNTIF($E27:R27,"u")+COUNTIF($E27:R27,"t")+COUNTIF($E27:R27,"¶")+COUNTIF($E27:R27,"²")+COUNTIF($E27:R27,"µ")+COUNTIF($E27:R27,1)),
HYPERLINK("#Roadmap!C"&amp; MATCH($E27,Roadmap!$D:$D,0)+COUNTIF($E27:R27,"u")+COUNTIF($E27:R27,"t"),
     INDEX(Roadmap!$D:$K,MATCH($E27,Roadmap!$D:$D,0)+COUNTIF($E27:R27,"u")+COUNTIF($E27:R27,"t")+COUNTIF($E27:R27,"¶")+COUNTIF($E27:R27,"²")+COUNTIF($E27:R27,"µ")+COUNTIF($E27:R27,1),ColTypeEcheance)),
  IF(LEN(R27)=1,
  IF(LEN(INDEX(Roadmap!$D:$K,MATCH($E27,Roadmap!$D:$D,0)-1+COUNTIF($E27:R27,"u")+COUNTIF($E27:R27,"t")+COUNTIF($E27:R27,"¶")+COUNTIF($E27:R27,"²")+COUNTIF($E27:R27,"µ")+COUNTIF($E27:R27,1),ColDescriptionCourte))&gt;1,
HYPERLINK("#Roadmap!C"&amp; MATCH($E27,Roadmap!$D:$D,0)+COUNTIF($E27:R27,"u")+COUNTIF($E27:R27,"t")+COUNTIF($E27:R27,"¶")+COUNTIF($E27:R27,"²")+COUNTIF($E27:R27,"µ")+COUNTIF($E27:R27,1)-1,INDEX(Roadmap!$D:$K,MATCH($E27,Roadmap!$D:$D,0)-1+COUNTIF($E27:R27,"u")+COUNTIF($E27:R27,"t")+COUNTIF($E27:R27,"¶")+COUNTIF($E27:R27,"²")+COUNTIF($E27:R27,"µ")+COUNTIF($E27:R27,1),ColDescriptionCourte)),""),
  "")),"")</f>
        <v/>
      </c>
      <c r="T27" s="40" t="str">
        <f ca="1">IFERROR(IF(AND(
  INDEX(Roadmap!$D:$K,MATCH($E27,Roadmap!$D:$D,0)+COUNTIF($E27:S27,"u")+COUNTIF($E27:S27,"t")+COUNTIF($E27:S27,"¶")+COUNTIF($E27:S27,"²")+COUNTIF($E27:S27,"µ")+COUNTIF($E27:S27,1),ColLivraison)=T$6,
  VLOOKUP($E27,INDIRECT("tri!"&amp; CHAR(64+ C0Col) &amp;":"&amp; CHAR(65+C0Col)),2,FALSE)&gt;COUNTIF($E27:S27,"u")+COUNTIF($E27:S27,"t")+COUNTIF($E27:S27,"¶")+COUNTIF($E27:S27,"²")+COUNTIF($E27:S27,"µ")+COUNTIF($E27:S27,1)),
HYPERLINK("#Roadmap!C"&amp; MATCH($E27,Roadmap!$D:$D,0)+COUNTIF($E27:S27,"u")+COUNTIF($E27:S27,"t"),
     INDEX(Roadmap!$D:$K,MATCH($E27,Roadmap!$D:$D,0)+COUNTIF($E27:S27,"u")+COUNTIF($E27:S27,"t")+COUNTIF($E27:S27,"¶")+COUNTIF($E27:S27,"²")+COUNTIF($E27:S27,"µ")+COUNTIF($E27:S27,1),ColTypeEcheance)),
  IF(LEN(S27)=1,
  IF(LEN(INDEX(Roadmap!$D:$K,MATCH($E27,Roadmap!$D:$D,0)-1+COUNTIF($E27:S27,"u")+COUNTIF($E27:S27,"t")+COUNTIF($E27:S27,"¶")+COUNTIF($E27:S27,"²")+COUNTIF($E27:S27,"µ")+COUNTIF($E27:S27,1),ColDescriptionCourte))&gt;1,
HYPERLINK("#Roadmap!C"&amp; MATCH($E27,Roadmap!$D:$D,0)+COUNTIF($E27:S27,"u")+COUNTIF($E27:S27,"t")+COUNTIF($E27:S27,"¶")+COUNTIF($E27:S27,"²")+COUNTIF($E27:S27,"µ")+COUNTIF($E27:S27,1)-1,INDEX(Roadmap!$D:$K,MATCH($E27,Roadmap!$D:$D,0)-1+COUNTIF($E27:S27,"u")+COUNTIF($E27:S27,"t")+COUNTIF($E27:S27,"¶")+COUNTIF($E27:S27,"²")+COUNTIF($E27:S27,"µ")+COUNTIF($E27:S27,1),ColDescriptionCourte)),""),
  "")),"")</f>
        <v/>
      </c>
      <c r="U27" s="40" t="str">
        <f ca="1">IFERROR(IF(AND(
  INDEX(Roadmap!$D:$K,MATCH($E27,Roadmap!$D:$D,0)+COUNTIF($E27:T27,"u")+COUNTIF($E27:T27,"t")+COUNTIF($E27:T27,"¶")+COUNTIF($E27:T27,"²")+COUNTIF($E27:T27,"µ")+COUNTIF($E27:T27,1),ColLivraison)=U$6,
  VLOOKUP($E27,INDIRECT("tri!"&amp; CHAR(64+ C0Col) &amp;":"&amp; CHAR(65+C0Col)),2,FALSE)&gt;COUNTIF($E27:T27,"u")+COUNTIF($E27:T27,"t")+COUNTIF($E27:T27,"¶")+COUNTIF($E27:T27,"²")+COUNTIF($E27:T27,"µ")+COUNTIF($E27:T27,1)),
HYPERLINK("#Roadmap!C"&amp; MATCH($E27,Roadmap!$D:$D,0)+COUNTIF($E27:T27,"u")+COUNTIF($E27:T27,"t"),
     INDEX(Roadmap!$D:$K,MATCH($E27,Roadmap!$D:$D,0)+COUNTIF($E27:T27,"u")+COUNTIF($E27:T27,"t")+COUNTIF($E27:T27,"¶")+COUNTIF($E27:T27,"²")+COUNTIF($E27:T27,"µ")+COUNTIF($E27:T27,1),ColTypeEcheance)),
  IF(LEN(T27)=1,
  IF(LEN(INDEX(Roadmap!$D:$K,MATCH($E27,Roadmap!$D:$D,0)-1+COUNTIF($E27:T27,"u")+COUNTIF($E27:T27,"t")+COUNTIF($E27:T27,"¶")+COUNTIF($E27:T27,"²")+COUNTIF($E27:T27,"µ")+COUNTIF($E27:T27,1),ColDescriptionCourte))&gt;1,
HYPERLINK("#Roadmap!C"&amp; MATCH($E27,Roadmap!$D:$D,0)+COUNTIF($E27:T27,"u")+COUNTIF($E27:T27,"t")+COUNTIF($E27:T27,"¶")+COUNTIF($E27:T27,"²")+COUNTIF($E27:T27,"µ")+COUNTIF($E27:T27,1)-1,INDEX(Roadmap!$D:$K,MATCH($E27,Roadmap!$D:$D,0)-1+COUNTIF($E27:T27,"u")+COUNTIF($E27:T27,"t")+COUNTIF($E27:T27,"¶")+COUNTIF($E27:T27,"²")+COUNTIF($E27:T27,"µ")+COUNTIF($E27:T27,1),ColDescriptionCourte)),""),
  "")),"")</f>
        <v/>
      </c>
      <c r="V27" s="40" t="str">
        <f ca="1">IFERROR(IF(AND(
  INDEX(Roadmap!$D:$K,MATCH($E27,Roadmap!$D:$D,0)+COUNTIF($E27:U27,"u")+COUNTIF($E27:U27,"t")+COUNTIF($E27:U27,"¶")+COUNTIF($E27:U27,"²")+COUNTIF($E27:U27,"µ")+COUNTIF($E27:U27,1),ColLivraison)=V$6,
  VLOOKUP($E27,INDIRECT("tri!"&amp; CHAR(64+ C0Col) &amp;":"&amp; CHAR(65+C0Col)),2,FALSE)&gt;COUNTIF($E27:U27,"u")+COUNTIF($E27:U27,"t")+COUNTIF($E27:U27,"¶")+COUNTIF($E27:U27,"²")+COUNTIF($E27:U27,"µ")+COUNTIF($E27:U27,1)),
HYPERLINK("#Roadmap!C"&amp; MATCH($E27,Roadmap!$D:$D,0)+COUNTIF($E27:U27,"u")+COUNTIF($E27:U27,"t"),
     INDEX(Roadmap!$D:$K,MATCH($E27,Roadmap!$D:$D,0)+COUNTIF($E27:U27,"u")+COUNTIF($E27:U27,"t")+COUNTIF($E27:U27,"¶")+COUNTIF($E27:U27,"²")+COUNTIF($E27:U27,"µ")+COUNTIF($E27:U27,1),ColTypeEcheance)),
  IF(LEN(U27)=1,
  IF(LEN(INDEX(Roadmap!$D:$K,MATCH($E27,Roadmap!$D:$D,0)-1+COUNTIF($E27:U27,"u")+COUNTIF($E27:U27,"t")+COUNTIF($E27:U27,"¶")+COUNTIF($E27:U27,"²")+COUNTIF($E27:U27,"µ")+COUNTIF($E27:U27,1),ColDescriptionCourte))&gt;1,
HYPERLINK("#Roadmap!C"&amp; MATCH($E27,Roadmap!$D:$D,0)+COUNTIF($E27:U27,"u")+COUNTIF($E27:U27,"t")+COUNTIF($E27:U27,"¶")+COUNTIF($E27:U27,"²")+COUNTIF($E27:U27,"µ")+COUNTIF($E27:U27,1)-1,INDEX(Roadmap!$D:$K,MATCH($E27,Roadmap!$D:$D,0)-1+COUNTIF($E27:U27,"u")+COUNTIF($E27:U27,"t")+COUNTIF($E27:U27,"¶")+COUNTIF($E27:U27,"²")+COUNTIF($E27:U27,"µ")+COUNTIF($E27:U27,1),ColDescriptionCourte)),""),
  "")),"")</f>
        <v/>
      </c>
      <c r="W27" s="40" t="str">
        <f ca="1">IFERROR(IF(AND(
  INDEX(Roadmap!$D:$K,MATCH($E27,Roadmap!$D:$D,0)+COUNTIF($E27:V27,"u")+COUNTIF($E27:V27,"t")+COUNTIF($E27:V27,"¶")+COUNTIF($E27:V27,"²")+COUNTIF($E27:V27,"µ")+COUNTIF($E27:V27,1),ColLivraison)=W$6,
  VLOOKUP($E27,INDIRECT("tri!"&amp; CHAR(64+ C0Col) &amp;":"&amp; CHAR(65+C0Col)),2,FALSE)&gt;COUNTIF($E27:V27,"u")+COUNTIF($E27:V27,"t")+COUNTIF($E27:V27,"¶")+COUNTIF($E27:V27,"²")+COUNTIF($E27:V27,"µ")+COUNTIF($E27:V27,1)),
HYPERLINK("#Roadmap!C"&amp; MATCH($E27,Roadmap!$D:$D,0)+COUNTIF($E27:V27,"u")+COUNTIF($E27:V27,"t"),
     INDEX(Roadmap!$D:$K,MATCH($E27,Roadmap!$D:$D,0)+COUNTIF($E27:V27,"u")+COUNTIF($E27:V27,"t")+COUNTIF($E27:V27,"¶")+COUNTIF($E27:V27,"²")+COUNTIF($E27:V27,"µ")+COUNTIF($E27:V27,1),ColTypeEcheance)),
  IF(LEN(V27)=1,
  IF(LEN(INDEX(Roadmap!$D:$K,MATCH($E27,Roadmap!$D:$D,0)-1+COUNTIF($E27:V27,"u")+COUNTIF($E27:V27,"t")+COUNTIF($E27:V27,"¶")+COUNTIF($E27:V27,"²")+COUNTIF($E27:V27,"µ")+COUNTIF($E27:V27,1),ColDescriptionCourte))&gt;1,
HYPERLINK("#Roadmap!C"&amp; MATCH($E27,Roadmap!$D:$D,0)+COUNTIF($E27:V27,"u")+COUNTIF($E27:V27,"t")+COUNTIF($E27:V27,"¶")+COUNTIF($E27:V27,"²")+COUNTIF($E27:V27,"µ")+COUNTIF($E27:V27,1)-1,INDEX(Roadmap!$D:$K,MATCH($E27,Roadmap!$D:$D,0)-1+COUNTIF($E27:V27,"u")+COUNTIF($E27:V27,"t")+COUNTIF($E27:V27,"¶")+COUNTIF($E27:V27,"²")+COUNTIF($E27:V27,"µ")+COUNTIF($E27:V27,1),ColDescriptionCourte)),""),
  "")),"")</f>
        <v/>
      </c>
      <c r="X27" s="40" t="str">
        <f ca="1">IFERROR(IF(AND(
  INDEX(Roadmap!$D:$K,MATCH($E27,Roadmap!$D:$D,0)+COUNTIF($E27:W27,"u")+COUNTIF($E27:W27,"t")+COUNTIF($E27:W27,"¶")+COUNTIF($E27:W27,"²")+COUNTIF($E27:W27,"µ")+COUNTIF($E27:W27,1),ColLivraison)=X$6,
  VLOOKUP($E27,INDIRECT("tri!"&amp; CHAR(64+ C0Col) &amp;":"&amp; CHAR(65+C0Col)),2,FALSE)&gt;COUNTIF($E27:W27,"u")+COUNTIF($E27:W27,"t")+COUNTIF($E27:W27,"¶")+COUNTIF($E27:W27,"²")+COUNTIF($E27:W27,"µ")+COUNTIF($E27:W27,1)),
HYPERLINK("#Roadmap!C"&amp; MATCH($E27,Roadmap!$D:$D,0)+COUNTIF($E27:W27,"u")+COUNTIF($E27:W27,"t"),
     INDEX(Roadmap!$D:$K,MATCH($E27,Roadmap!$D:$D,0)+COUNTIF($E27:W27,"u")+COUNTIF($E27:W27,"t")+COUNTIF($E27:W27,"¶")+COUNTIF($E27:W27,"²")+COUNTIF($E27:W27,"µ")+COUNTIF($E27:W27,1),ColTypeEcheance)),
  IF(LEN(W27)=1,
  IF(LEN(INDEX(Roadmap!$D:$K,MATCH($E27,Roadmap!$D:$D,0)-1+COUNTIF($E27:W27,"u")+COUNTIF($E27:W27,"t")+COUNTIF($E27:W27,"¶")+COUNTIF($E27:W27,"²")+COUNTIF($E27:W27,"µ")+COUNTIF($E27:W27,1),ColDescriptionCourte))&gt;1,
HYPERLINK("#Roadmap!C"&amp; MATCH($E27,Roadmap!$D:$D,0)+COUNTIF($E27:W27,"u")+COUNTIF($E27:W27,"t")+COUNTIF($E27:W27,"¶")+COUNTIF($E27:W27,"²")+COUNTIF($E27:W27,"µ")+COUNTIF($E27:W27,1)-1,INDEX(Roadmap!$D:$K,MATCH($E27,Roadmap!$D:$D,0)-1+COUNTIF($E27:W27,"u")+COUNTIF($E27:W27,"t")+COUNTIF($E27:W27,"¶")+COUNTIF($E27:W27,"²")+COUNTIF($E27:W27,"µ")+COUNTIF($E27:W27,1),ColDescriptionCourte)),""),
  "")),"")</f>
        <v/>
      </c>
      <c r="Y27" s="40" t="str">
        <f ca="1">IFERROR(IF(AND(
  INDEX(Roadmap!$D:$K,MATCH($E27,Roadmap!$D:$D,0)+COUNTIF($E27:X27,"u")+COUNTIF($E27:X27,"t")+COUNTIF($E27:X27,"¶")+COUNTIF($E27:X27,"²")+COUNTIF($E27:X27,"µ")+COUNTIF($E27:X27,1),ColLivraison)=Y$6,
  VLOOKUP($E27,INDIRECT("tri!"&amp; CHAR(64+ C0Col) &amp;":"&amp; CHAR(65+C0Col)),2,FALSE)&gt;COUNTIF($E27:X27,"u")+COUNTIF($E27:X27,"t")+COUNTIF($E27:X27,"¶")+COUNTIF($E27:X27,"²")+COUNTIF($E27:X27,"µ")+COUNTIF($E27:X27,1)),
HYPERLINK("#Roadmap!C"&amp; MATCH($E27,Roadmap!$D:$D,0)+COUNTIF($E27:X27,"u")+COUNTIF($E27:X27,"t"),
     INDEX(Roadmap!$D:$K,MATCH($E27,Roadmap!$D:$D,0)+COUNTIF($E27:X27,"u")+COUNTIF($E27:X27,"t")+COUNTIF($E27:X27,"¶")+COUNTIF($E27:X27,"²")+COUNTIF($E27:X27,"µ")+COUNTIF($E27:X27,1),ColTypeEcheance)),
  IF(LEN(X27)=1,
  IF(LEN(INDEX(Roadmap!$D:$K,MATCH($E27,Roadmap!$D:$D,0)-1+COUNTIF($E27:X27,"u")+COUNTIF($E27:X27,"t")+COUNTIF($E27:X27,"¶")+COUNTIF($E27:X27,"²")+COUNTIF($E27:X27,"µ")+COUNTIF($E27:X27,1),ColDescriptionCourte))&gt;1,
HYPERLINK("#Roadmap!C"&amp; MATCH($E27,Roadmap!$D:$D,0)+COUNTIF($E27:X27,"u")+COUNTIF($E27:X27,"t")+COUNTIF($E27:X27,"¶")+COUNTIF($E27:X27,"²")+COUNTIF($E27:X27,"µ")+COUNTIF($E27:X27,1)-1,INDEX(Roadmap!$D:$K,MATCH($E27,Roadmap!$D:$D,0)-1+COUNTIF($E27:X27,"u")+COUNTIF($E27:X27,"t")+COUNTIF($E27:X27,"¶")+COUNTIF($E27:X27,"²")+COUNTIF($E27:X27,"µ")+COUNTIF($E27:X27,1),ColDescriptionCourte)),""),
  "")),"")</f>
        <v/>
      </c>
      <c r="Z27" s="40" t="str">
        <f ca="1">IFERROR(IF(AND(
  INDEX(Roadmap!$D:$K,MATCH($E27,Roadmap!$D:$D,0)+COUNTIF($E27:Y27,"u")+COUNTIF($E27:Y27,"t")+COUNTIF($E27:Y27,"¶")+COUNTIF($E27:Y27,"²")+COUNTIF($E27:Y27,"µ")+COUNTIF($E27:Y27,1),ColLivraison)=Z$6,
  VLOOKUP($E27,INDIRECT("tri!"&amp; CHAR(64+ C0Col) &amp;":"&amp; CHAR(65+C0Col)),2,FALSE)&gt;COUNTIF($E27:Y27,"u")+COUNTIF($E27:Y27,"t")+COUNTIF($E27:Y27,"¶")+COUNTIF($E27:Y27,"²")+COUNTIF($E27:Y27,"µ")+COUNTIF($E27:Y27,1)),
HYPERLINK("#Roadmap!C"&amp; MATCH($E27,Roadmap!$D:$D,0)+COUNTIF($E27:Y27,"u")+COUNTIF($E27:Y27,"t"),
     INDEX(Roadmap!$D:$K,MATCH($E27,Roadmap!$D:$D,0)+COUNTIF($E27:Y27,"u")+COUNTIF($E27:Y27,"t")+COUNTIF($E27:Y27,"¶")+COUNTIF($E27:Y27,"²")+COUNTIF($E27:Y27,"µ")+COUNTIF($E27:Y27,1),ColTypeEcheance)),
  IF(LEN(Y27)=1,
  IF(LEN(INDEX(Roadmap!$D:$K,MATCH($E27,Roadmap!$D:$D,0)-1+COUNTIF($E27:Y27,"u")+COUNTIF($E27:Y27,"t")+COUNTIF($E27:Y27,"¶")+COUNTIF($E27:Y27,"²")+COUNTIF($E27:Y27,"µ")+COUNTIF($E27:Y27,1),ColDescriptionCourte))&gt;1,
HYPERLINK("#Roadmap!C"&amp; MATCH($E27,Roadmap!$D:$D,0)+COUNTIF($E27:Y27,"u")+COUNTIF($E27:Y27,"t")+COUNTIF($E27:Y27,"¶")+COUNTIF($E27:Y27,"²")+COUNTIF($E27:Y27,"µ")+COUNTIF($E27:Y27,1)-1,INDEX(Roadmap!$D:$K,MATCH($E27,Roadmap!$D:$D,0)-1+COUNTIF($E27:Y27,"u")+COUNTIF($E27:Y27,"t")+COUNTIF($E27:Y27,"¶")+COUNTIF($E27:Y27,"²")+COUNTIF($E27:Y27,"µ")+COUNTIF($E27:Y27,1),ColDescriptionCourte)),""),
  "")),"")</f>
        <v/>
      </c>
      <c r="AA27" s="40" t="str">
        <f ca="1">IFERROR(IF(AND(
  INDEX(Roadmap!$D:$K,MATCH($E27,Roadmap!$D:$D,0)+COUNTIF($E27:Z27,"u")+COUNTIF($E27:Z27,"t")+COUNTIF($E27:Z27,"¶")+COUNTIF($E27:Z27,"²")+COUNTIF($E27:Z27,"µ")+COUNTIF($E27:Z27,1),ColLivraison)=AA$6,
  VLOOKUP($E27,INDIRECT("tri!"&amp; CHAR(64+ C0Col) &amp;":"&amp; CHAR(65+C0Col)),2,FALSE)&gt;COUNTIF($E27:Z27,"u")+COUNTIF($E27:Z27,"t")+COUNTIF($E27:Z27,"¶")+COUNTIF($E27:Z27,"²")+COUNTIF($E27:Z27,"µ")+COUNTIF($E27:Z27,1)),
HYPERLINK("#Roadmap!C"&amp; MATCH($E27,Roadmap!$D:$D,0)+COUNTIF($E27:Z27,"u")+COUNTIF($E27:Z27,"t"),
     INDEX(Roadmap!$D:$K,MATCH($E27,Roadmap!$D:$D,0)+COUNTIF($E27:Z27,"u")+COUNTIF($E27:Z27,"t")+COUNTIF($E27:Z27,"¶")+COUNTIF($E27:Z27,"²")+COUNTIF($E27:Z27,"µ")+COUNTIF($E27:Z27,1),ColTypeEcheance)),
  IF(LEN(Z27)=1,
  IF(LEN(INDEX(Roadmap!$D:$K,MATCH($E27,Roadmap!$D:$D,0)-1+COUNTIF($E27:Z27,"u")+COUNTIF($E27:Z27,"t")+COUNTIF($E27:Z27,"¶")+COUNTIF($E27:Z27,"²")+COUNTIF($E27:Z27,"µ")+COUNTIF($E27:Z27,1),ColDescriptionCourte))&gt;1,
HYPERLINK("#Roadmap!C"&amp; MATCH($E27,Roadmap!$D:$D,0)+COUNTIF($E27:Z27,"u")+COUNTIF($E27:Z27,"t")+COUNTIF($E27:Z27,"¶")+COUNTIF($E27:Z27,"²")+COUNTIF($E27:Z27,"µ")+COUNTIF($E27:Z27,1)-1,INDEX(Roadmap!$D:$K,MATCH($E27,Roadmap!$D:$D,0)-1+COUNTIF($E27:Z27,"u")+COUNTIF($E27:Z27,"t")+COUNTIF($E27:Z27,"¶")+COUNTIF($E27:Z27,"²")+COUNTIF($E27:Z27,"µ")+COUNTIF($E27:Z27,1),ColDescriptionCourte)),""),
  "")),"")</f>
        <v/>
      </c>
      <c r="AB27" s="40" t="str">
        <f ca="1">IFERROR(IF(AND(
  INDEX(Roadmap!$D:$K,MATCH($E27,Roadmap!$D:$D,0)+COUNTIF($E27:AA27,"u")+COUNTIF($E27:AA27,"t")+COUNTIF($E27:AA27,"¶")+COUNTIF($E27:AA27,"²")+COUNTIF($E27:AA27,"µ")+COUNTIF($E27:AA27,1),ColLivraison)=AB$6,
  VLOOKUP($E27,INDIRECT("tri!"&amp; CHAR(64+ C0Col) &amp;":"&amp; CHAR(65+C0Col)),2,FALSE)&gt;COUNTIF($E27:AA27,"u")+COUNTIF($E27:AA27,"t")+COUNTIF($E27:AA27,"¶")+COUNTIF($E27:AA27,"²")+COUNTIF($E27:AA27,"µ")+COUNTIF($E27:AA27,1)),
HYPERLINK("#Roadmap!C"&amp; MATCH($E27,Roadmap!$D:$D,0)+COUNTIF($E27:AA27,"u")+COUNTIF($E27:AA27,"t"),
     INDEX(Roadmap!$D:$K,MATCH($E27,Roadmap!$D:$D,0)+COUNTIF($E27:AA27,"u")+COUNTIF($E27:AA27,"t")+COUNTIF($E27:AA27,"¶")+COUNTIF($E27:AA27,"²")+COUNTIF($E27:AA27,"µ")+COUNTIF($E27:AA27,1),ColTypeEcheance)),
  IF(LEN(AA27)=1,
  IF(LEN(INDEX(Roadmap!$D:$K,MATCH($E27,Roadmap!$D:$D,0)-1+COUNTIF($E27:AA27,"u")+COUNTIF($E27:AA27,"t")+COUNTIF($E27:AA27,"¶")+COUNTIF($E27:AA27,"²")+COUNTIF($E27:AA27,"µ")+COUNTIF($E27:AA27,1),ColDescriptionCourte))&gt;1,
HYPERLINK("#Roadmap!C"&amp; MATCH($E27,Roadmap!$D:$D,0)+COUNTIF($E27:AA27,"u")+COUNTIF($E27:AA27,"t")+COUNTIF($E27:AA27,"¶")+COUNTIF($E27:AA27,"²")+COUNTIF($E27:AA27,"µ")+COUNTIF($E27:AA27,1)-1,INDEX(Roadmap!$D:$K,MATCH($E27,Roadmap!$D:$D,0)-1+COUNTIF($E27:AA27,"u")+COUNTIF($E27:AA27,"t")+COUNTIF($E27:AA27,"¶")+COUNTIF($E27:AA27,"²")+COUNTIF($E27:AA27,"µ")+COUNTIF($E27:AA27,1),ColDescriptionCourte)),""),
  "")),"")</f>
        <v/>
      </c>
      <c r="AC27" s="40" t="str">
        <f ca="1">IFERROR(IF(AND(
  INDEX(Roadmap!$D:$K,MATCH($E27,Roadmap!$D:$D,0)+COUNTIF($E27:AB27,"u")+COUNTIF($E27:AB27,"t")+COUNTIF($E27:AB27,"¶")+COUNTIF($E27:AB27,"²")+COUNTIF($E27:AB27,"µ")+COUNTIF($E27:AB27,1),ColLivraison)=AC$6,
  VLOOKUP($E27,INDIRECT("tri!"&amp; CHAR(64+ C0Col) &amp;":"&amp; CHAR(65+C0Col)),2,FALSE)&gt;COUNTIF($E27:AB27,"u")+COUNTIF($E27:AB27,"t")+COUNTIF($E27:AB27,"¶")+COUNTIF($E27:AB27,"²")+COUNTIF($E27:AB27,"µ")+COUNTIF($E27:AB27,1)),
HYPERLINK("#Roadmap!C"&amp; MATCH($E27,Roadmap!$D:$D,0)+COUNTIF($E27:AB27,"u")+COUNTIF($E27:AB27,"t"),
     INDEX(Roadmap!$D:$K,MATCH($E27,Roadmap!$D:$D,0)+COUNTIF($E27:AB27,"u")+COUNTIF($E27:AB27,"t")+COUNTIF($E27:AB27,"¶")+COUNTIF($E27:AB27,"²")+COUNTIF($E27:AB27,"µ")+COUNTIF($E27:AB27,1),ColTypeEcheance)),
  IF(LEN(AB27)=1,
  IF(LEN(INDEX(Roadmap!$D:$K,MATCH($E27,Roadmap!$D:$D,0)-1+COUNTIF($E27:AB27,"u")+COUNTIF($E27:AB27,"t")+COUNTIF($E27:AB27,"¶")+COUNTIF($E27:AB27,"²")+COUNTIF($E27:AB27,"µ")+COUNTIF($E27:AB27,1),ColDescriptionCourte))&gt;1,
HYPERLINK("#Roadmap!C"&amp; MATCH($E27,Roadmap!$D:$D,0)+COUNTIF($E27:AB27,"u")+COUNTIF($E27:AB27,"t")+COUNTIF($E27:AB27,"¶")+COUNTIF($E27:AB27,"²")+COUNTIF($E27:AB27,"µ")+COUNTIF($E27:AB27,1)-1,INDEX(Roadmap!$D:$K,MATCH($E27,Roadmap!$D:$D,0)-1+COUNTIF($E27:AB27,"u")+COUNTIF($E27:AB27,"t")+COUNTIF($E27:AB27,"¶")+COUNTIF($E27:AB27,"²")+COUNTIF($E27:AB27,"µ")+COUNTIF($E27:AB27,1),ColDescriptionCourte)),""),
  "")),"")</f>
        <v/>
      </c>
      <c r="AD27" s="40" t="str">
        <f ca="1">IFERROR(IF(AND(
  INDEX(Roadmap!$D:$K,MATCH($E27,Roadmap!$D:$D,0)+COUNTIF($E27:AC27,"u")+COUNTIF($E27:AC27,"t")+COUNTIF($E27:AC27,"¶")+COUNTIF($E27:AC27,"²")+COUNTIF($E27:AC27,"µ")+COUNTIF($E27:AC27,1),ColLivraison)=AD$6,
  VLOOKUP($E27,INDIRECT("tri!"&amp; CHAR(64+ C0Col) &amp;":"&amp; CHAR(65+C0Col)),2,FALSE)&gt;COUNTIF($E27:AC27,"u")+COUNTIF($E27:AC27,"t")+COUNTIF($E27:AC27,"¶")+COUNTIF($E27:AC27,"²")+COUNTIF($E27:AC27,"µ")+COUNTIF($E27:AC27,1)),
HYPERLINK("#Roadmap!C"&amp; MATCH($E27,Roadmap!$D:$D,0)+COUNTIF($E27:AC27,"u")+COUNTIF($E27:AC27,"t"),
     INDEX(Roadmap!$D:$K,MATCH($E27,Roadmap!$D:$D,0)+COUNTIF($E27:AC27,"u")+COUNTIF($E27:AC27,"t")+COUNTIF($E27:AC27,"¶")+COUNTIF($E27:AC27,"²")+COUNTIF($E27:AC27,"µ")+COUNTIF($E27:AC27,1),ColTypeEcheance)),
  IF(LEN(AC27)=1,
  IF(LEN(INDEX(Roadmap!$D:$K,MATCH($E27,Roadmap!$D:$D,0)-1+COUNTIF($E27:AC27,"u")+COUNTIF($E27:AC27,"t")+COUNTIF($E27:AC27,"¶")+COUNTIF($E27:AC27,"²")+COUNTIF($E27:AC27,"µ")+COUNTIF($E27:AC27,1),ColDescriptionCourte))&gt;1,
HYPERLINK("#Roadmap!C"&amp; MATCH($E27,Roadmap!$D:$D,0)+COUNTIF($E27:AC27,"u")+COUNTIF($E27:AC27,"t")+COUNTIF($E27:AC27,"¶")+COUNTIF($E27:AC27,"²")+COUNTIF($E27:AC27,"µ")+COUNTIF($E27:AC27,1)-1,INDEX(Roadmap!$D:$K,MATCH($E27,Roadmap!$D:$D,0)-1+COUNTIF($E27:AC27,"u")+COUNTIF($E27:AC27,"t")+COUNTIF($E27:AC27,"¶")+COUNTIF($E27:AC27,"²")+COUNTIF($E27:AC27,"µ")+COUNTIF($E27:AC27,1),ColDescriptionCourte)),""),
  "")),"")</f>
        <v/>
      </c>
      <c r="AE27" s="40" t="str">
        <f ca="1">IFERROR(IF(AND(
  INDEX(Roadmap!$D:$K,MATCH($E27,Roadmap!$D:$D,0)+COUNTIF($E27:AD27,"u")+COUNTIF($E27:AD27,"t")+COUNTIF($E27:AD27,"¶")+COUNTIF($E27:AD27,"²")+COUNTIF($E27:AD27,"µ")+COUNTIF($E27:AD27,1),ColLivraison)=AE$6,
  VLOOKUP($E27,INDIRECT("tri!"&amp; CHAR(64+ C0Col) &amp;":"&amp; CHAR(65+C0Col)),2,FALSE)&gt;COUNTIF($E27:AD27,"u")+COUNTIF($E27:AD27,"t")+COUNTIF($E27:AD27,"¶")+COUNTIF($E27:AD27,"²")+COUNTIF($E27:AD27,"µ")+COUNTIF($E27:AD27,1)),
HYPERLINK("#Roadmap!C"&amp; MATCH($E27,Roadmap!$D:$D,0)+COUNTIF($E27:AD27,"u")+COUNTIF($E27:AD27,"t"),
     INDEX(Roadmap!$D:$K,MATCH($E27,Roadmap!$D:$D,0)+COUNTIF($E27:AD27,"u")+COUNTIF($E27:AD27,"t")+COUNTIF($E27:AD27,"¶")+COUNTIF($E27:AD27,"²")+COUNTIF($E27:AD27,"µ")+COUNTIF($E27:AD27,1),ColTypeEcheance)),
  IF(LEN(AD27)=1,
  IF(LEN(INDEX(Roadmap!$D:$K,MATCH($E27,Roadmap!$D:$D,0)-1+COUNTIF($E27:AD27,"u")+COUNTIF($E27:AD27,"t")+COUNTIF($E27:AD27,"¶")+COUNTIF($E27:AD27,"²")+COUNTIF($E27:AD27,"µ")+COUNTIF($E27:AD27,1),ColDescriptionCourte))&gt;1,
HYPERLINK("#Roadmap!C"&amp; MATCH($E27,Roadmap!$D:$D,0)+COUNTIF($E27:AD27,"u")+COUNTIF($E27:AD27,"t")+COUNTIF($E27:AD27,"¶")+COUNTIF($E27:AD27,"²")+COUNTIF($E27:AD27,"µ")+COUNTIF($E27:AD27,1)-1,INDEX(Roadmap!$D:$K,MATCH($E27,Roadmap!$D:$D,0)-1+COUNTIF($E27:AD27,"u")+COUNTIF($E27:AD27,"t")+COUNTIF($E27:AD27,"¶")+COUNTIF($E27:AD27,"²")+COUNTIF($E27:AD27,"µ")+COUNTIF($E27:AD27,1),ColDescriptionCourte)),""),
  "")),"")</f>
        <v/>
      </c>
      <c r="AF27" s="40" t="str">
        <f ca="1">IFERROR(IF(AND(
  INDEX(Roadmap!$D:$K,MATCH($E27,Roadmap!$D:$D,0)+COUNTIF($E27:AE27,"u")+COUNTIF($E27:AE27,"t")+COUNTIF($E27:AE27,"¶")+COUNTIF($E27:AE27,"²")+COUNTIF($E27:AE27,"µ")+COUNTIF($E27:AE27,1),ColLivraison)=AF$6,
  VLOOKUP($E27,INDIRECT("tri!"&amp; CHAR(64+ C0Col) &amp;":"&amp; CHAR(65+C0Col)),2,FALSE)&gt;COUNTIF($E27:AE27,"u")+COUNTIF($E27:AE27,"t")+COUNTIF($E27:AE27,"¶")+COUNTIF($E27:AE27,"²")+COUNTIF($E27:AE27,"µ")+COUNTIF($E27:AE27,1)),
HYPERLINK("#Roadmap!C"&amp; MATCH($E27,Roadmap!$D:$D,0)+COUNTIF($E27:AE27,"u")+COUNTIF($E27:AE27,"t"),
     INDEX(Roadmap!$D:$K,MATCH($E27,Roadmap!$D:$D,0)+COUNTIF($E27:AE27,"u")+COUNTIF($E27:AE27,"t")+COUNTIF($E27:AE27,"¶")+COUNTIF($E27:AE27,"²")+COUNTIF($E27:AE27,"µ")+COUNTIF($E27:AE27,1),ColTypeEcheance)),
  IF(LEN(AE27)=1,
  IF(LEN(INDEX(Roadmap!$D:$K,MATCH($E27,Roadmap!$D:$D,0)-1+COUNTIF($E27:AE27,"u")+COUNTIF($E27:AE27,"t")+COUNTIF($E27:AE27,"¶")+COUNTIF($E27:AE27,"²")+COUNTIF($E27:AE27,"µ")+COUNTIF($E27:AE27,1),ColDescriptionCourte))&gt;1,
HYPERLINK("#Roadmap!C"&amp; MATCH($E27,Roadmap!$D:$D,0)+COUNTIF($E27:AE27,"u")+COUNTIF($E27:AE27,"t")+COUNTIF($E27:AE27,"¶")+COUNTIF($E27:AE27,"²")+COUNTIF($E27:AE27,"µ")+COUNTIF($E27:AE27,1)-1,INDEX(Roadmap!$D:$K,MATCH($E27,Roadmap!$D:$D,0)-1+COUNTIF($E27:AE27,"u")+COUNTIF($E27:AE27,"t")+COUNTIF($E27:AE27,"¶")+COUNTIF($E27:AE27,"²")+COUNTIF($E27:AE27,"µ")+COUNTIF($E27:AE27,1),ColDescriptionCourte)),""),
  "")),"")</f>
        <v/>
      </c>
      <c r="AG27" s="40" t="str">
        <f ca="1">IFERROR(IF(AND(
  INDEX(Roadmap!$D:$K,MATCH($E27,Roadmap!$D:$D,0)+COUNTIF($E27:AF27,"u")+COUNTIF($E27:AF27,"t")+COUNTIF($E27:AF27,"¶")+COUNTIF($E27:AF27,"²")+COUNTIF($E27:AF27,"µ")+COUNTIF($E27:AF27,1),ColLivraison)=AG$6,
  VLOOKUP($E27,INDIRECT("tri!"&amp; CHAR(64+ C0Col) &amp;":"&amp; CHAR(65+C0Col)),2,FALSE)&gt;COUNTIF($E27:AF27,"u")+COUNTIF($E27:AF27,"t")+COUNTIF($E27:AF27,"¶")+COUNTIF($E27:AF27,"²")+COUNTIF($E27:AF27,"µ")+COUNTIF($E27:AF27,1)),
HYPERLINK("#Roadmap!C"&amp; MATCH($E27,Roadmap!$D:$D,0)+COUNTIF($E27:AF27,"u")+COUNTIF($E27:AF27,"t"),
     INDEX(Roadmap!$D:$K,MATCH($E27,Roadmap!$D:$D,0)+COUNTIF($E27:AF27,"u")+COUNTIF($E27:AF27,"t")+COUNTIF($E27:AF27,"¶")+COUNTIF($E27:AF27,"²")+COUNTIF($E27:AF27,"µ")+COUNTIF($E27:AF27,1),ColTypeEcheance)),
  IF(LEN(AF27)=1,
  IF(LEN(INDEX(Roadmap!$D:$K,MATCH($E27,Roadmap!$D:$D,0)-1+COUNTIF($E27:AF27,"u")+COUNTIF($E27:AF27,"t")+COUNTIF($E27:AF27,"¶")+COUNTIF($E27:AF27,"²")+COUNTIF($E27:AF27,"µ")+COUNTIF($E27:AF27,1),ColDescriptionCourte))&gt;1,
HYPERLINK("#Roadmap!C"&amp; MATCH($E27,Roadmap!$D:$D,0)+COUNTIF($E27:AF27,"u")+COUNTIF($E27:AF27,"t")+COUNTIF($E27:AF27,"¶")+COUNTIF($E27:AF27,"²")+COUNTIF($E27:AF27,"µ")+COUNTIF($E27:AF27,1)-1,INDEX(Roadmap!$D:$K,MATCH($E27,Roadmap!$D:$D,0)-1+COUNTIF($E27:AF27,"u")+COUNTIF($E27:AF27,"t")+COUNTIF($E27:AF27,"¶")+COUNTIF($E27:AF27,"²")+COUNTIF($E27:AF27,"µ")+COUNTIF($E27:AF27,1),ColDescriptionCourte)),""),
  "")),"")</f>
        <v/>
      </c>
    </row>
    <row r="28" spans="3:33" ht="14.25" customHeight="1">
      <c r="C28" s="1" t="str">
        <f t="shared" ca="1" si="42"/>
        <v/>
      </c>
      <c r="D28" s="1" t="str">
        <f t="shared" ca="1" si="43"/>
        <v/>
      </c>
      <c r="E28" s="35" t="str">
        <f t="shared" ca="1" si="33"/>
        <v/>
      </c>
      <c r="F28" s="39" t="str">
        <f ca="1">IFERROR(IF(AND(
  INDEX(Roadmap!$D:$K,MATCH($E28,Roadmap!$D:$D,0)+COUNTIF($E28:E28,"u")+COUNTIF($E28:E28,"t")+COUNTIF($E28:E28,"¶")+COUNTIF($E28:E28,"²")+COUNTIF($E28:E28,"µ")+COUNTIF($E28:E28,1),ColLivraison)=F$6,
  VLOOKUP($E28,INDIRECT("tri!"&amp; CHAR(64+ C0Col) &amp;":"&amp; CHAR(65+C0Col)),2,FALSE)&gt;COUNTIF($E28:E28,"u")+COUNTIF($E28:E28,"t")+COUNTIF($E28:E28,"¶")+COUNTIF($E28:E28,"²")+COUNTIF($E28:E28,"µ")+COUNTIF($E28:E28,1)),
HYPERLINK("#Roadmap!C"&amp; MATCH($E28,Roadmap!$D:$D,0)+COUNTIF($E28:E28,"u")+COUNTIF($E28:E28,"t"),
     INDEX(Roadmap!$D:$K,MATCH($E28,Roadmap!$D:$D,0)+COUNTIF($E28:E28,"u")+COUNTIF($E28:E28,"t")+COUNTIF($E28:E28,"¶")+COUNTIF($E28:E28,"²")+COUNTIF($E28:E28,"µ")+COUNTIF($E28:E28,1),ColTypeEcheance)),
  IF(LEN(E28)=1,
  IF(LEN(INDEX(Roadmap!$D:$K,MATCH($E28,Roadmap!$D:$D,0)-1+COUNTIF($E28:E28,"u")+COUNTIF($E28:E28,"t")+COUNTIF($E28:E28,"¶")+COUNTIF($E28:E28,"²")+COUNTIF($E28:E28,"µ")+COUNTIF($E28:E28,1),ColDescriptionCourte))&gt;1,
HYPERLINK("#Roadmap!C"&amp; MATCH($E28,Roadmap!$D:$D,0)+COUNTIF($E28:E28,"u")+COUNTIF($E28:E28,"t")+COUNTIF($E28:E28,"¶")+COUNTIF($E28:E28,"²")+COUNTIF($E28:E28,"µ")+COUNTIF($E28:E28,1)-1,INDEX(Roadmap!$D:$K,MATCH($E28,Roadmap!$D:$D,0)-1+COUNTIF($E28:E28,"u")+COUNTIF($E28:E28,"t")+COUNTIF($E28:E28,"¶")+COUNTIF($E28:E28,"²")+COUNTIF($E28:E28,"µ")+COUNTIF($E28:E28,1),ColDescriptionCourte)),""),
  "")),"")</f>
        <v/>
      </c>
      <c r="G28" s="40" t="str">
        <f ca="1">IFERROR(IF(AND(
  INDEX(Roadmap!$D:$K,MATCH($E28,Roadmap!$D:$D,0)+COUNTIF($E28:F28,"u")+COUNTIF($E28:F28,"t")+COUNTIF($E28:F28,"¶")+COUNTIF($E28:F28,"²")+COUNTIF($E28:F28,"µ")+COUNTIF($E28:F28,1),ColLivraison)=G$6,
  VLOOKUP($E28,INDIRECT("tri!"&amp; CHAR(64+ C0Col) &amp;":"&amp; CHAR(65+C0Col)),2,FALSE)&gt;COUNTIF($E28:F28,"u")+COUNTIF($E28:F28,"t")+COUNTIF($E28:F28,"¶")+COUNTIF($E28:F28,"²")+COUNTIF($E28:F28,"µ")+COUNTIF($E28:F28,1)),
HYPERLINK("#Roadmap!C"&amp; MATCH($E28,Roadmap!$D:$D,0)+COUNTIF($E28:F28,"u")+COUNTIF($E28:F28,"t"),
     INDEX(Roadmap!$D:$K,MATCH($E28,Roadmap!$D:$D,0)+COUNTIF($E28:F28,"u")+COUNTIF($E28:F28,"t")+COUNTIF($E28:F28,"¶")+COUNTIF($E28:F28,"²")+COUNTIF($E28:F28,"µ")+COUNTIF($E28:F28,1),ColTypeEcheance)),
  IF(LEN(F28)=1,
  IF(LEN(INDEX(Roadmap!$D:$K,MATCH($E28,Roadmap!$D:$D,0)-1+COUNTIF($E28:F28,"u")+COUNTIF($E28:F28,"t")+COUNTIF($E28:F28,"¶")+COUNTIF($E28:F28,"²")+COUNTIF($E28:F28,"µ")+COUNTIF($E28:F28,1),ColDescriptionCourte))&gt;1,
HYPERLINK("#Roadmap!C"&amp; MATCH($E28,Roadmap!$D:$D,0)+COUNTIF($E28:F28,"u")+COUNTIF($E28:F28,"t")+COUNTIF($E28:F28,"¶")+COUNTIF($E28:F28,"²")+COUNTIF($E28:F28,"µ")+COUNTIF($E28:F28,1)-1,INDEX(Roadmap!$D:$K,MATCH($E28,Roadmap!$D:$D,0)-1+COUNTIF($E28:F28,"u")+COUNTIF($E28:F28,"t")+COUNTIF($E28:F28,"¶")+COUNTIF($E28:F28,"²")+COUNTIF($E28:F28,"µ")+COUNTIF($E28:F28,1),ColDescriptionCourte)),""),
  "")),"")</f>
        <v/>
      </c>
      <c r="H28" s="40" t="str">
        <f ca="1">IFERROR(IF(AND(
  INDEX(Roadmap!$D:$K,MATCH($E28,Roadmap!$D:$D,0)+COUNTIF($E28:G28,"u")+COUNTIF($E28:G28,"t")+COUNTIF($E28:G28,"¶")+COUNTIF($E28:G28,"²")+COUNTIF($E28:G28,"µ")+COUNTIF($E28:G28,1),ColLivraison)=H$6,
  VLOOKUP($E28,INDIRECT("tri!"&amp; CHAR(64+ C0Col) &amp;":"&amp; CHAR(65+C0Col)),2,FALSE)&gt;COUNTIF($E28:G28,"u")+COUNTIF($E28:G28,"t")+COUNTIF($E28:G28,"¶")+COUNTIF($E28:G28,"²")+COUNTIF($E28:G28,"µ")+COUNTIF($E28:G28,1)),
HYPERLINK("#Roadmap!C"&amp; MATCH($E28,Roadmap!$D:$D,0)+COUNTIF($E28:G28,"u")+COUNTIF($E28:G28,"t"),
     INDEX(Roadmap!$D:$K,MATCH($E28,Roadmap!$D:$D,0)+COUNTIF($E28:G28,"u")+COUNTIF($E28:G28,"t")+COUNTIF($E28:G28,"¶")+COUNTIF($E28:G28,"²")+COUNTIF($E28:G28,"µ")+COUNTIF($E28:G28,1),ColTypeEcheance)),
  IF(LEN(G28)=1,
  IF(LEN(INDEX(Roadmap!$D:$K,MATCH($E28,Roadmap!$D:$D,0)-1+COUNTIF($E28:G28,"u")+COUNTIF($E28:G28,"t")+COUNTIF($E28:G28,"¶")+COUNTIF($E28:G28,"²")+COUNTIF($E28:G28,"µ")+COUNTIF($E28:G28,1),ColDescriptionCourte))&gt;1,
HYPERLINK("#Roadmap!C"&amp; MATCH($E28,Roadmap!$D:$D,0)+COUNTIF($E28:G28,"u")+COUNTIF($E28:G28,"t")+COUNTIF($E28:G28,"¶")+COUNTIF($E28:G28,"²")+COUNTIF($E28:G28,"µ")+COUNTIF($E28:G28,1)-1,INDEX(Roadmap!$D:$K,MATCH($E28,Roadmap!$D:$D,0)-1+COUNTIF($E28:G28,"u")+COUNTIF($E28:G28,"t")+COUNTIF($E28:G28,"¶")+COUNTIF($E28:G28,"²")+COUNTIF($E28:G28,"µ")+COUNTIF($E28:G28,1),ColDescriptionCourte)),""),
  "")),"")</f>
        <v/>
      </c>
      <c r="I28" s="40" t="str">
        <f ca="1">IFERROR(IF(AND(
  INDEX(Roadmap!$D:$K,MATCH($E28,Roadmap!$D:$D,0)+COUNTIF($E28:H28,"u")+COUNTIF($E28:H28,"t")+COUNTIF($E28:H28,"¶")+COUNTIF($E28:H28,"²")+COUNTIF($E28:H28,"µ")+COUNTIF($E28:H28,1),ColLivraison)=I$6,
  VLOOKUP($E28,INDIRECT("tri!"&amp; CHAR(64+ C0Col) &amp;":"&amp; CHAR(65+C0Col)),2,FALSE)&gt;COUNTIF($E28:H28,"u")+COUNTIF($E28:H28,"t")+COUNTIF($E28:H28,"¶")+COUNTIF($E28:H28,"²")+COUNTIF($E28:H28,"µ")+COUNTIF($E28:H28,1)),
HYPERLINK("#Roadmap!C"&amp; MATCH($E28,Roadmap!$D:$D,0)+COUNTIF($E28:H28,"u")+COUNTIF($E28:H28,"t"),
     INDEX(Roadmap!$D:$K,MATCH($E28,Roadmap!$D:$D,0)+COUNTIF($E28:H28,"u")+COUNTIF($E28:H28,"t")+COUNTIF($E28:H28,"¶")+COUNTIF($E28:H28,"²")+COUNTIF($E28:H28,"µ")+COUNTIF($E28:H28,1),ColTypeEcheance)),
  IF(LEN(H28)=1,
  IF(LEN(INDEX(Roadmap!$D:$K,MATCH($E28,Roadmap!$D:$D,0)-1+COUNTIF($E28:H28,"u")+COUNTIF($E28:H28,"t")+COUNTIF($E28:H28,"¶")+COUNTIF($E28:H28,"²")+COUNTIF($E28:H28,"µ")+COUNTIF($E28:H28,1),ColDescriptionCourte))&gt;1,
HYPERLINK("#Roadmap!C"&amp; MATCH($E28,Roadmap!$D:$D,0)+COUNTIF($E28:H28,"u")+COUNTIF($E28:H28,"t")+COUNTIF($E28:H28,"¶")+COUNTIF($E28:H28,"²")+COUNTIF($E28:H28,"µ")+COUNTIF($E28:H28,1)-1,INDEX(Roadmap!$D:$K,MATCH($E28,Roadmap!$D:$D,0)-1+COUNTIF($E28:H28,"u")+COUNTIF($E28:H28,"t")+COUNTIF($E28:H28,"¶")+COUNTIF($E28:H28,"²")+COUNTIF($E28:H28,"µ")+COUNTIF($E28:H28,1),ColDescriptionCourte)),""),
  "")),"")</f>
        <v/>
      </c>
      <c r="J28" s="40" t="str">
        <f ca="1">IFERROR(IF(AND(
  INDEX(Roadmap!$D:$K,MATCH($E28,Roadmap!$D:$D,0)+COUNTIF($E28:I28,"u")+COUNTIF($E28:I28,"t")+COUNTIF($E28:I28,"¶")+COUNTIF($E28:I28,"²")+COUNTIF($E28:I28,"µ")+COUNTIF($E28:I28,1),ColLivraison)=J$6,
  VLOOKUP($E28,INDIRECT("tri!"&amp; CHAR(64+ C0Col) &amp;":"&amp; CHAR(65+C0Col)),2,FALSE)&gt;COUNTIF($E28:I28,"u")+COUNTIF($E28:I28,"t")+COUNTIF($E28:I28,"¶")+COUNTIF($E28:I28,"²")+COUNTIF($E28:I28,"µ")+COUNTIF($E28:I28,1)),
HYPERLINK("#Roadmap!C"&amp; MATCH($E28,Roadmap!$D:$D,0)+COUNTIF($E28:I28,"u")+COUNTIF($E28:I28,"t"),
     INDEX(Roadmap!$D:$K,MATCH($E28,Roadmap!$D:$D,0)+COUNTIF($E28:I28,"u")+COUNTIF($E28:I28,"t")+COUNTIF($E28:I28,"¶")+COUNTIF($E28:I28,"²")+COUNTIF($E28:I28,"µ")+COUNTIF($E28:I28,1),ColTypeEcheance)),
  IF(LEN(I28)=1,
  IF(LEN(INDEX(Roadmap!$D:$K,MATCH($E28,Roadmap!$D:$D,0)-1+COUNTIF($E28:I28,"u")+COUNTIF($E28:I28,"t")+COUNTIF($E28:I28,"¶")+COUNTIF($E28:I28,"²")+COUNTIF($E28:I28,"µ")+COUNTIF($E28:I28,1),ColDescriptionCourte))&gt;1,
HYPERLINK("#Roadmap!C"&amp; MATCH($E28,Roadmap!$D:$D,0)+COUNTIF($E28:I28,"u")+COUNTIF($E28:I28,"t")+COUNTIF($E28:I28,"¶")+COUNTIF($E28:I28,"²")+COUNTIF($E28:I28,"µ")+COUNTIF($E28:I28,1)-1,INDEX(Roadmap!$D:$K,MATCH($E28,Roadmap!$D:$D,0)-1+COUNTIF($E28:I28,"u")+COUNTIF($E28:I28,"t")+COUNTIF($E28:I28,"¶")+COUNTIF($E28:I28,"²")+COUNTIF($E28:I28,"µ")+COUNTIF($E28:I28,1),ColDescriptionCourte)),""),
  "")),"")</f>
        <v/>
      </c>
      <c r="K28" s="40" t="str">
        <f ca="1">IFERROR(IF(AND(
  INDEX(Roadmap!$D:$K,MATCH($E28,Roadmap!$D:$D,0)+COUNTIF($E28:J28,"u")+COUNTIF($E28:J28,"t")+COUNTIF($E28:J28,"¶")+COUNTIF($E28:J28,"²")+COUNTIF($E28:J28,"µ")+COUNTIF($E28:J28,1),ColLivraison)=K$6,
  VLOOKUP($E28,INDIRECT("tri!"&amp; CHAR(64+ C0Col) &amp;":"&amp; CHAR(65+C0Col)),2,FALSE)&gt;COUNTIF($E28:J28,"u")+COUNTIF($E28:J28,"t")+COUNTIF($E28:J28,"¶")+COUNTIF($E28:J28,"²")+COUNTIF($E28:J28,"µ")+COUNTIF($E28:J28,1)),
HYPERLINK("#Roadmap!C"&amp; MATCH($E28,Roadmap!$D:$D,0)+COUNTIF($E28:J28,"u")+COUNTIF($E28:J28,"t"),
     INDEX(Roadmap!$D:$K,MATCH($E28,Roadmap!$D:$D,0)+COUNTIF($E28:J28,"u")+COUNTIF($E28:J28,"t")+COUNTIF($E28:J28,"¶")+COUNTIF($E28:J28,"²")+COUNTIF($E28:J28,"µ")+COUNTIF($E28:J28,1),ColTypeEcheance)),
  IF(LEN(J28)=1,
  IF(LEN(INDEX(Roadmap!$D:$K,MATCH($E28,Roadmap!$D:$D,0)-1+COUNTIF($E28:J28,"u")+COUNTIF($E28:J28,"t")+COUNTIF($E28:J28,"¶")+COUNTIF($E28:J28,"²")+COUNTIF($E28:J28,"µ")+COUNTIF($E28:J28,1),ColDescriptionCourte))&gt;1,
HYPERLINK("#Roadmap!C"&amp; MATCH($E28,Roadmap!$D:$D,0)+COUNTIF($E28:J28,"u")+COUNTIF($E28:J28,"t")+COUNTIF($E28:J28,"¶")+COUNTIF($E28:J28,"²")+COUNTIF($E28:J28,"µ")+COUNTIF($E28:J28,1)-1,INDEX(Roadmap!$D:$K,MATCH($E28,Roadmap!$D:$D,0)-1+COUNTIF($E28:J28,"u")+COUNTIF($E28:J28,"t")+COUNTIF($E28:J28,"¶")+COUNTIF($E28:J28,"²")+COUNTIF($E28:J28,"µ")+COUNTIF($E28:J28,1),ColDescriptionCourte)),""),
  "")),"")</f>
        <v/>
      </c>
      <c r="L28" s="39" t="str">
        <f ca="1">IFERROR(IF(AND(
  INDEX(Roadmap!$D:$K,MATCH($E28,Roadmap!$D:$D,0)+COUNTIF($E28:K28,"u")+COUNTIF($E28:K28,"t")+COUNTIF($E28:K28,"¶")+COUNTIF($E28:K28,"²")+COUNTIF($E28:K28,"µ")+COUNTIF($E28:K28,1),ColLivraison)=L$6,
  VLOOKUP($E28,INDIRECT("tri!"&amp; CHAR(64+ C0Col) &amp;":"&amp; CHAR(65+C0Col)),2,FALSE)&gt;COUNTIF($E28:K28,"u")+COUNTIF($E28:K28,"t")+COUNTIF($E28:K28,"¶")+COUNTIF($E28:K28,"²")+COUNTIF($E28:K28,"µ")+COUNTIF($E28:K28,1)),
HYPERLINK("#Roadmap!C"&amp; MATCH($E28,Roadmap!$D:$D,0)+COUNTIF($E28:K28,"u")+COUNTIF($E28:K28,"t"),
     INDEX(Roadmap!$D:$K,MATCH($E28,Roadmap!$D:$D,0)+COUNTIF($E28:K28,"u")+COUNTIF($E28:K28,"t")+COUNTIF($E28:K28,"¶")+COUNTIF($E28:K28,"²")+COUNTIF($E28:K28,"µ")+COUNTIF($E28:K28,1),ColTypeEcheance)),
  IF(LEN(K28)=1,
  IF(LEN(INDEX(Roadmap!$D:$K,MATCH($E28,Roadmap!$D:$D,0)-1+COUNTIF($E28:K28,"u")+COUNTIF($E28:K28,"t")+COUNTIF($E28:K28,"¶")+COUNTIF($E28:K28,"²")+COUNTIF($E28:K28,"µ")+COUNTIF($E28:K28,1),ColDescriptionCourte))&gt;1,
HYPERLINK("#Roadmap!C"&amp; MATCH($E28,Roadmap!$D:$D,0)+COUNTIF($E28:K28,"u")+COUNTIF($E28:K28,"t")+COUNTIF($E28:K28,"¶")+COUNTIF($E28:K28,"²")+COUNTIF($E28:K28,"µ")+COUNTIF($E28:K28,1)-1,INDEX(Roadmap!$D:$K,MATCH($E28,Roadmap!$D:$D,0)-1+COUNTIF($E28:K28,"u")+COUNTIF($E28:K28,"t")+COUNTIF($E28:K28,"¶")+COUNTIF($E28:K28,"²")+COUNTIF($E28:K28,"µ")+COUNTIF($E28:K28,1),ColDescriptionCourte)),""),
  "")),"")</f>
        <v/>
      </c>
      <c r="M28" s="40" t="str">
        <f ca="1">IFERROR(IF(AND(
  INDEX(Roadmap!$D:$K,MATCH($E28,Roadmap!$D:$D,0)+COUNTIF($E28:L28,"u")+COUNTIF($E28:L28,"t")+COUNTIF($E28:L28,"¶")+COUNTIF($E28:L28,"²")+COUNTIF($E28:L28,"µ")+COUNTIF($E28:L28,1),ColLivraison)=M$6,
  VLOOKUP($E28,INDIRECT("tri!"&amp; CHAR(64+ C0Col) &amp;":"&amp; CHAR(65+C0Col)),2,FALSE)&gt;COUNTIF($E28:L28,"u")+COUNTIF($E28:L28,"t")+COUNTIF($E28:L28,"¶")+COUNTIF($E28:L28,"²")+COUNTIF($E28:L28,"µ")+COUNTIF($E28:L28,1)),
HYPERLINK("#Roadmap!C"&amp; MATCH($E28,Roadmap!$D:$D,0)+COUNTIF($E28:L28,"u")+COUNTIF($E28:L28,"t"),
     INDEX(Roadmap!$D:$K,MATCH($E28,Roadmap!$D:$D,0)+COUNTIF($E28:L28,"u")+COUNTIF($E28:L28,"t")+COUNTIF($E28:L28,"¶")+COUNTIF($E28:L28,"²")+COUNTIF($E28:L28,"µ")+COUNTIF($E28:L28,1),ColTypeEcheance)),
  IF(LEN(L28)=1,
  IF(LEN(INDEX(Roadmap!$D:$K,MATCH($E28,Roadmap!$D:$D,0)-1+COUNTIF($E28:L28,"u")+COUNTIF($E28:L28,"t")+COUNTIF($E28:L28,"¶")+COUNTIF($E28:L28,"²")+COUNTIF($E28:L28,"µ")+COUNTIF($E28:L28,1),ColDescriptionCourte))&gt;1,
HYPERLINK("#Roadmap!C"&amp; MATCH($E28,Roadmap!$D:$D,0)+COUNTIF($E28:L28,"u")+COUNTIF($E28:L28,"t")+COUNTIF($E28:L28,"¶")+COUNTIF($E28:L28,"²")+COUNTIF($E28:L28,"µ")+COUNTIF($E28:L28,1)-1,INDEX(Roadmap!$D:$K,MATCH($E28,Roadmap!$D:$D,0)-1+COUNTIF($E28:L28,"u")+COUNTIF($E28:L28,"t")+COUNTIF($E28:L28,"¶")+COUNTIF($E28:L28,"²")+COUNTIF($E28:L28,"µ")+COUNTIF($E28:L28,1),ColDescriptionCourte)),""),
  "")),"")</f>
        <v/>
      </c>
      <c r="N28" s="40" t="str">
        <f ca="1">IFERROR(IF(AND(
  INDEX(Roadmap!$D:$K,MATCH($E28,Roadmap!$D:$D,0)+COUNTIF($E28:M28,"u")+COUNTIF($E28:M28,"t")+COUNTIF($E28:M28,"¶")+COUNTIF($E28:M28,"²")+COUNTIF($E28:M28,"µ")+COUNTIF($E28:M28,1),ColLivraison)=N$6,
  VLOOKUP($E28,INDIRECT("tri!"&amp; CHAR(64+ C0Col) &amp;":"&amp; CHAR(65+C0Col)),2,FALSE)&gt;COUNTIF($E28:M28,"u")+COUNTIF($E28:M28,"t")+COUNTIF($E28:M28,"¶")+COUNTIF($E28:M28,"²")+COUNTIF($E28:M28,"µ")+COUNTIF($E28:M28,1)),
HYPERLINK("#Roadmap!C"&amp; MATCH($E28,Roadmap!$D:$D,0)+COUNTIF($E28:M28,"u")+COUNTIF($E28:M28,"t"),
     INDEX(Roadmap!$D:$K,MATCH($E28,Roadmap!$D:$D,0)+COUNTIF($E28:M28,"u")+COUNTIF($E28:M28,"t")+COUNTIF($E28:M28,"¶")+COUNTIF($E28:M28,"²")+COUNTIF($E28:M28,"µ")+COUNTIF($E28:M28,1),ColTypeEcheance)),
  IF(LEN(M28)=1,
  IF(LEN(INDEX(Roadmap!$D:$K,MATCH($E28,Roadmap!$D:$D,0)-1+COUNTIF($E28:M28,"u")+COUNTIF($E28:M28,"t")+COUNTIF($E28:M28,"¶")+COUNTIF($E28:M28,"²")+COUNTIF($E28:M28,"µ")+COUNTIF($E28:M28,1),ColDescriptionCourte))&gt;1,
HYPERLINK("#Roadmap!C"&amp; MATCH($E28,Roadmap!$D:$D,0)+COUNTIF($E28:M28,"u")+COUNTIF($E28:M28,"t")+COUNTIF($E28:M28,"¶")+COUNTIF($E28:M28,"²")+COUNTIF($E28:M28,"µ")+COUNTIF($E28:M28,1)-1,INDEX(Roadmap!$D:$K,MATCH($E28,Roadmap!$D:$D,0)-1+COUNTIF($E28:M28,"u")+COUNTIF($E28:M28,"t")+COUNTIF($E28:M28,"¶")+COUNTIF($E28:M28,"²")+COUNTIF($E28:M28,"µ")+COUNTIF($E28:M28,1),ColDescriptionCourte)),""),
  "")),"")</f>
        <v/>
      </c>
      <c r="O28" s="40" t="str">
        <f ca="1">IFERROR(IF(AND(
  INDEX(Roadmap!$D:$K,MATCH($E28,Roadmap!$D:$D,0)+COUNTIF($E28:N28,"u")+COUNTIF($E28:N28,"t")+COUNTIF($E28:N28,"¶")+COUNTIF($E28:N28,"²")+COUNTIF($E28:N28,"µ")+COUNTIF($E28:N28,1),ColLivraison)=O$6,
  VLOOKUP($E28,INDIRECT("tri!"&amp; CHAR(64+ C0Col) &amp;":"&amp; CHAR(65+C0Col)),2,FALSE)&gt;COUNTIF($E28:N28,"u")+COUNTIF($E28:N28,"t")+COUNTIF($E28:N28,"¶")+COUNTIF($E28:N28,"²")+COUNTIF($E28:N28,"µ")+COUNTIF($E28:N28,1)),
HYPERLINK("#Roadmap!C"&amp; MATCH($E28,Roadmap!$D:$D,0)+COUNTIF($E28:N28,"u")+COUNTIF($E28:N28,"t"),
     INDEX(Roadmap!$D:$K,MATCH($E28,Roadmap!$D:$D,0)+COUNTIF($E28:N28,"u")+COUNTIF($E28:N28,"t")+COUNTIF($E28:N28,"¶")+COUNTIF($E28:N28,"²")+COUNTIF($E28:N28,"µ")+COUNTIF($E28:N28,1),ColTypeEcheance)),
  IF(LEN(N28)=1,
  IF(LEN(INDEX(Roadmap!$D:$K,MATCH($E28,Roadmap!$D:$D,0)-1+COUNTIF($E28:N28,"u")+COUNTIF($E28:N28,"t")+COUNTIF($E28:N28,"¶")+COUNTIF($E28:N28,"²")+COUNTIF($E28:N28,"µ")+COUNTIF($E28:N28,1),ColDescriptionCourte))&gt;1,
HYPERLINK("#Roadmap!C"&amp; MATCH($E28,Roadmap!$D:$D,0)+COUNTIF($E28:N28,"u")+COUNTIF($E28:N28,"t")+COUNTIF($E28:N28,"¶")+COUNTIF($E28:N28,"²")+COUNTIF($E28:N28,"µ")+COUNTIF($E28:N28,1)-1,INDEX(Roadmap!$D:$K,MATCH($E28,Roadmap!$D:$D,0)-1+COUNTIF($E28:N28,"u")+COUNTIF($E28:N28,"t")+COUNTIF($E28:N28,"¶")+COUNTIF($E28:N28,"²")+COUNTIF($E28:N28,"µ")+COUNTIF($E28:N28,1),ColDescriptionCourte)),""),
  "")),"")</f>
        <v/>
      </c>
      <c r="P28" s="40" t="str">
        <f ca="1">IFERROR(IF(AND(
  INDEX(Roadmap!$D:$K,MATCH($E28,Roadmap!$D:$D,0)+COUNTIF($E28:O28,"u")+COUNTIF($E28:O28,"t")+COUNTIF($E28:O28,"¶")+COUNTIF($E28:O28,"²")+COUNTIF($E28:O28,"µ")+COUNTIF($E28:O28,1),ColLivraison)=P$6,
  VLOOKUP($E28,INDIRECT("tri!"&amp; CHAR(64+ C0Col) &amp;":"&amp; CHAR(65+C0Col)),2,FALSE)&gt;COUNTIF($E28:O28,"u")+COUNTIF($E28:O28,"t")+COUNTIF($E28:O28,"¶")+COUNTIF($E28:O28,"²")+COUNTIF($E28:O28,"µ")+COUNTIF($E28:O28,1)),
HYPERLINK("#Roadmap!C"&amp; MATCH($E28,Roadmap!$D:$D,0)+COUNTIF($E28:O28,"u")+COUNTIF($E28:O28,"t"),
     INDEX(Roadmap!$D:$K,MATCH($E28,Roadmap!$D:$D,0)+COUNTIF($E28:O28,"u")+COUNTIF($E28:O28,"t")+COUNTIF($E28:O28,"¶")+COUNTIF($E28:O28,"²")+COUNTIF($E28:O28,"µ")+COUNTIF($E28:O28,1),ColTypeEcheance)),
  IF(LEN(O28)=1,
  IF(LEN(INDEX(Roadmap!$D:$K,MATCH($E28,Roadmap!$D:$D,0)-1+COUNTIF($E28:O28,"u")+COUNTIF($E28:O28,"t")+COUNTIF($E28:O28,"¶")+COUNTIF($E28:O28,"²")+COUNTIF($E28:O28,"µ")+COUNTIF($E28:O28,1),ColDescriptionCourte))&gt;1,
HYPERLINK("#Roadmap!C"&amp; MATCH($E28,Roadmap!$D:$D,0)+COUNTIF($E28:O28,"u")+COUNTIF($E28:O28,"t")+COUNTIF($E28:O28,"¶")+COUNTIF($E28:O28,"²")+COUNTIF($E28:O28,"µ")+COUNTIF($E28:O28,1)-1,INDEX(Roadmap!$D:$K,MATCH($E28,Roadmap!$D:$D,0)-1+COUNTIF($E28:O28,"u")+COUNTIF($E28:O28,"t")+COUNTIF($E28:O28,"¶")+COUNTIF($E28:O28,"²")+COUNTIF($E28:O28,"µ")+COUNTIF($E28:O28,1),ColDescriptionCourte)),""),
  "")),"")</f>
        <v/>
      </c>
      <c r="Q28" s="40" t="str">
        <f ca="1">IFERROR(IF(AND(
  INDEX(Roadmap!$D:$K,MATCH($E28,Roadmap!$D:$D,0)+COUNTIF($E28:P28,"u")+COUNTIF($E28:P28,"t")+COUNTIF($E28:P28,"¶")+COUNTIF($E28:P28,"²")+COUNTIF($E28:P28,"µ")+COUNTIF($E28:P28,1),ColLivraison)=Q$6,
  VLOOKUP($E28,INDIRECT("tri!"&amp; CHAR(64+ C0Col) &amp;":"&amp; CHAR(65+C0Col)),2,FALSE)&gt;COUNTIF($E28:P28,"u")+COUNTIF($E28:P28,"t")+COUNTIF($E28:P28,"¶")+COUNTIF($E28:P28,"²")+COUNTIF($E28:P28,"µ")+COUNTIF($E28:P28,1)),
HYPERLINK("#Roadmap!C"&amp; MATCH($E28,Roadmap!$D:$D,0)+COUNTIF($E28:P28,"u")+COUNTIF($E28:P28,"t"),
     INDEX(Roadmap!$D:$K,MATCH($E28,Roadmap!$D:$D,0)+COUNTIF($E28:P28,"u")+COUNTIF($E28:P28,"t")+COUNTIF($E28:P28,"¶")+COUNTIF($E28:P28,"²")+COUNTIF($E28:P28,"µ")+COUNTIF($E28:P28,1),ColTypeEcheance)),
  IF(LEN(P28)=1,
  IF(LEN(INDEX(Roadmap!$D:$K,MATCH($E28,Roadmap!$D:$D,0)-1+COUNTIF($E28:P28,"u")+COUNTIF($E28:P28,"t")+COUNTIF($E28:P28,"¶")+COUNTIF($E28:P28,"²")+COUNTIF($E28:P28,"µ")+COUNTIF($E28:P28,1),ColDescriptionCourte))&gt;1,
HYPERLINK("#Roadmap!C"&amp; MATCH($E28,Roadmap!$D:$D,0)+COUNTIF($E28:P28,"u")+COUNTIF($E28:P28,"t")+COUNTIF($E28:P28,"¶")+COUNTIF($E28:P28,"²")+COUNTIF($E28:P28,"µ")+COUNTIF($E28:P28,1)-1,INDEX(Roadmap!$D:$K,MATCH($E28,Roadmap!$D:$D,0)-1+COUNTIF($E28:P28,"u")+COUNTIF($E28:P28,"t")+COUNTIF($E28:P28,"¶")+COUNTIF($E28:P28,"²")+COUNTIF($E28:P28,"µ")+COUNTIF($E28:P28,1),ColDescriptionCourte)),""),
  "")),"")</f>
        <v/>
      </c>
      <c r="R28" s="40" t="str">
        <f ca="1">IFERROR(IF(AND(
  INDEX(Roadmap!$D:$K,MATCH($E28,Roadmap!$D:$D,0)+COUNTIF($E28:Q28,"u")+COUNTIF($E28:Q28,"t")+COUNTIF($E28:Q28,"¶")+COUNTIF($E28:Q28,"²")+COUNTIF($E28:Q28,"µ")+COUNTIF($E28:Q28,1),ColLivraison)=R$6,
  VLOOKUP($E28,INDIRECT("tri!"&amp; CHAR(64+ C0Col) &amp;":"&amp; CHAR(65+C0Col)),2,FALSE)&gt;COUNTIF($E28:Q28,"u")+COUNTIF($E28:Q28,"t")+COUNTIF($E28:Q28,"¶")+COUNTIF($E28:Q28,"²")+COUNTIF($E28:Q28,"µ")+COUNTIF($E28:Q28,1)),
HYPERLINK("#Roadmap!C"&amp; MATCH($E28,Roadmap!$D:$D,0)+COUNTIF($E28:Q28,"u")+COUNTIF($E28:Q28,"t"),
     INDEX(Roadmap!$D:$K,MATCH($E28,Roadmap!$D:$D,0)+COUNTIF($E28:Q28,"u")+COUNTIF($E28:Q28,"t")+COUNTIF($E28:Q28,"¶")+COUNTIF($E28:Q28,"²")+COUNTIF($E28:Q28,"µ")+COUNTIF($E28:Q28,1),ColTypeEcheance)),
  IF(LEN(Q28)=1,
  IF(LEN(INDEX(Roadmap!$D:$K,MATCH($E28,Roadmap!$D:$D,0)-1+COUNTIF($E28:Q28,"u")+COUNTIF($E28:Q28,"t")+COUNTIF($E28:Q28,"¶")+COUNTIF($E28:Q28,"²")+COUNTIF($E28:Q28,"µ")+COUNTIF($E28:Q28,1),ColDescriptionCourte))&gt;1,
HYPERLINK("#Roadmap!C"&amp; MATCH($E28,Roadmap!$D:$D,0)+COUNTIF($E28:Q28,"u")+COUNTIF($E28:Q28,"t")+COUNTIF($E28:Q28,"¶")+COUNTIF($E28:Q28,"²")+COUNTIF($E28:Q28,"µ")+COUNTIF($E28:Q28,1)-1,INDEX(Roadmap!$D:$K,MATCH($E28,Roadmap!$D:$D,0)-1+COUNTIF($E28:Q28,"u")+COUNTIF($E28:Q28,"t")+COUNTIF($E28:Q28,"¶")+COUNTIF($E28:Q28,"²")+COUNTIF($E28:Q28,"µ")+COUNTIF($E28:Q28,1),ColDescriptionCourte)),""),
  "")),"")</f>
        <v/>
      </c>
      <c r="S28" s="40" t="str">
        <f ca="1">IFERROR(IF(AND(
  INDEX(Roadmap!$D:$K,MATCH($E28,Roadmap!$D:$D,0)+COUNTIF($E28:R28,"u")+COUNTIF($E28:R28,"t")+COUNTIF($E28:R28,"¶")+COUNTIF($E28:R28,"²")+COUNTIF($E28:R28,"µ")+COUNTIF($E28:R28,1),ColLivraison)=S$6,
  VLOOKUP($E28,INDIRECT("tri!"&amp; CHAR(64+ C0Col) &amp;":"&amp; CHAR(65+C0Col)),2,FALSE)&gt;COUNTIF($E28:R28,"u")+COUNTIF($E28:R28,"t")+COUNTIF($E28:R28,"¶")+COUNTIF($E28:R28,"²")+COUNTIF($E28:R28,"µ")+COUNTIF($E28:R28,1)),
HYPERLINK("#Roadmap!C"&amp; MATCH($E28,Roadmap!$D:$D,0)+COUNTIF($E28:R28,"u")+COUNTIF($E28:R28,"t"),
     INDEX(Roadmap!$D:$K,MATCH($E28,Roadmap!$D:$D,0)+COUNTIF($E28:R28,"u")+COUNTIF($E28:R28,"t")+COUNTIF($E28:R28,"¶")+COUNTIF($E28:R28,"²")+COUNTIF($E28:R28,"µ")+COUNTIF($E28:R28,1),ColTypeEcheance)),
  IF(LEN(R28)=1,
  IF(LEN(INDEX(Roadmap!$D:$K,MATCH($E28,Roadmap!$D:$D,0)-1+COUNTIF($E28:R28,"u")+COUNTIF($E28:R28,"t")+COUNTIF($E28:R28,"¶")+COUNTIF($E28:R28,"²")+COUNTIF($E28:R28,"µ")+COUNTIF($E28:R28,1),ColDescriptionCourte))&gt;1,
HYPERLINK("#Roadmap!C"&amp; MATCH($E28,Roadmap!$D:$D,0)+COUNTIF($E28:R28,"u")+COUNTIF($E28:R28,"t")+COUNTIF($E28:R28,"¶")+COUNTIF($E28:R28,"²")+COUNTIF($E28:R28,"µ")+COUNTIF($E28:R28,1)-1,INDEX(Roadmap!$D:$K,MATCH($E28,Roadmap!$D:$D,0)-1+COUNTIF($E28:R28,"u")+COUNTIF($E28:R28,"t")+COUNTIF($E28:R28,"¶")+COUNTIF($E28:R28,"²")+COUNTIF($E28:R28,"µ")+COUNTIF($E28:R28,1),ColDescriptionCourte)),""),
  "")),"")</f>
        <v/>
      </c>
      <c r="T28" s="40" t="str">
        <f ca="1">IFERROR(IF(AND(
  INDEX(Roadmap!$D:$K,MATCH($E28,Roadmap!$D:$D,0)+COUNTIF($E28:S28,"u")+COUNTIF($E28:S28,"t")+COUNTIF($E28:S28,"¶")+COUNTIF($E28:S28,"²")+COUNTIF($E28:S28,"µ")+COUNTIF($E28:S28,1),ColLivraison)=T$6,
  VLOOKUP($E28,INDIRECT("tri!"&amp; CHAR(64+ C0Col) &amp;":"&amp; CHAR(65+C0Col)),2,FALSE)&gt;COUNTIF($E28:S28,"u")+COUNTIF($E28:S28,"t")+COUNTIF($E28:S28,"¶")+COUNTIF($E28:S28,"²")+COUNTIF($E28:S28,"µ")+COUNTIF($E28:S28,1)),
HYPERLINK("#Roadmap!C"&amp; MATCH($E28,Roadmap!$D:$D,0)+COUNTIF($E28:S28,"u")+COUNTIF($E28:S28,"t"),
     INDEX(Roadmap!$D:$K,MATCH($E28,Roadmap!$D:$D,0)+COUNTIF($E28:S28,"u")+COUNTIF($E28:S28,"t")+COUNTIF($E28:S28,"¶")+COUNTIF($E28:S28,"²")+COUNTIF($E28:S28,"µ")+COUNTIF($E28:S28,1),ColTypeEcheance)),
  IF(LEN(S28)=1,
  IF(LEN(INDEX(Roadmap!$D:$K,MATCH($E28,Roadmap!$D:$D,0)-1+COUNTIF($E28:S28,"u")+COUNTIF($E28:S28,"t")+COUNTIF($E28:S28,"¶")+COUNTIF($E28:S28,"²")+COUNTIF($E28:S28,"µ")+COUNTIF($E28:S28,1),ColDescriptionCourte))&gt;1,
HYPERLINK("#Roadmap!C"&amp; MATCH($E28,Roadmap!$D:$D,0)+COUNTIF($E28:S28,"u")+COUNTIF($E28:S28,"t")+COUNTIF($E28:S28,"¶")+COUNTIF($E28:S28,"²")+COUNTIF($E28:S28,"µ")+COUNTIF($E28:S28,1)-1,INDEX(Roadmap!$D:$K,MATCH($E28,Roadmap!$D:$D,0)-1+COUNTIF($E28:S28,"u")+COUNTIF($E28:S28,"t")+COUNTIF($E28:S28,"¶")+COUNTIF($E28:S28,"²")+COUNTIF($E28:S28,"µ")+COUNTIF($E28:S28,1),ColDescriptionCourte)),""),
  "")),"")</f>
        <v/>
      </c>
      <c r="U28" s="40" t="str">
        <f ca="1">IFERROR(IF(AND(
  INDEX(Roadmap!$D:$K,MATCH($E28,Roadmap!$D:$D,0)+COUNTIF($E28:T28,"u")+COUNTIF($E28:T28,"t")+COUNTIF($E28:T28,"¶")+COUNTIF($E28:T28,"²")+COUNTIF($E28:T28,"µ")+COUNTIF($E28:T28,1),ColLivraison)=U$6,
  VLOOKUP($E28,INDIRECT("tri!"&amp; CHAR(64+ C0Col) &amp;":"&amp; CHAR(65+C0Col)),2,FALSE)&gt;COUNTIF($E28:T28,"u")+COUNTIF($E28:T28,"t")+COUNTIF($E28:T28,"¶")+COUNTIF($E28:T28,"²")+COUNTIF($E28:T28,"µ")+COUNTIF($E28:T28,1)),
HYPERLINK("#Roadmap!C"&amp; MATCH($E28,Roadmap!$D:$D,0)+COUNTIF($E28:T28,"u")+COUNTIF($E28:T28,"t"),
     INDEX(Roadmap!$D:$K,MATCH($E28,Roadmap!$D:$D,0)+COUNTIF($E28:T28,"u")+COUNTIF($E28:T28,"t")+COUNTIF($E28:T28,"¶")+COUNTIF($E28:T28,"²")+COUNTIF($E28:T28,"µ")+COUNTIF($E28:T28,1),ColTypeEcheance)),
  IF(LEN(T28)=1,
  IF(LEN(INDEX(Roadmap!$D:$K,MATCH($E28,Roadmap!$D:$D,0)-1+COUNTIF($E28:T28,"u")+COUNTIF($E28:T28,"t")+COUNTIF($E28:T28,"¶")+COUNTIF($E28:T28,"²")+COUNTIF($E28:T28,"µ")+COUNTIF($E28:T28,1),ColDescriptionCourte))&gt;1,
HYPERLINK("#Roadmap!C"&amp; MATCH($E28,Roadmap!$D:$D,0)+COUNTIF($E28:T28,"u")+COUNTIF($E28:T28,"t")+COUNTIF($E28:T28,"¶")+COUNTIF($E28:T28,"²")+COUNTIF($E28:T28,"µ")+COUNTIF($E28:T28,1)-1,INDEX(Roadmap!$D:$K,MATCH($E28,Roadmap!$D:$D,0)-1+COUNTIF($E28:T28,"u")+COUNTIF($E28:T28,"t")+COUNTIF($E28:T28,"¶")+COUNTIF($E28:T28,"²")+COUNTIF($E28:T28,"µ")+COUNTIF($E28:T28,1),ColDescriptionCourte)),""),
  "")),"")</f>
        <v/>
      </c>
      <c r="V28" s="40" t="str">
        <f ca="1">IFERROR(IF(AND(
  INDEX(Roadmap!$D:$K,MATCH($E28,Roadmap!$D:$D,0)+COUNTIF($E28:U28,"u")+COUNTIF($E28:U28,"t")+COUNTIF($E28:U28,"¶")+COUNTIF($E28:U28,"²")+COUNTIF($E28:U28,"µ")+COUNTIF($E28:U28,1),ColLivraison)=V$6,
  VLOOKUP($E28,INDIRECT("tri!"&amp; CHAR(64+ C0Col) &amp;":"&amp; CHAR(65+C0Col)),2,FALSE)&gt;COUNTIF($E28:U28,"u")+COUNTIF($E28:U28,"t")+COUNTIF($E28:U28,"¶")+COUNTIF($E28:U28,"²")+COUNTIF($E28:U28,"µ")+COUNTIF($E28:U28,1)),
HYPERLINK("#Roadmap!C"&amp; MATCH($E28,Roadmap!$D:$D,0)+COUNTIF($E28:U28,"u")+COUNTIF($E28:U28,"t"),
     INDEX(Roadmap!$D:$K,MATCH($E28,Roadmap!$D:$D,0)+COUNTIF($E28:U28,"u")+COUNTIF($E28:U28,"t")+COUNTIF($E28:U28,"¶")+COUNTIF($E28:U28,"²")+COUNTIF($E28:U28,"µ")+COUNTIF($E28:U28,1),ColTypeEcheance)),
  IF(LEN(U28)=1,
  IF(LEN(INDEX(Roadmap!$D:$K,MATCH($E28,Roadmap!$D:$D,0)-1+COUNTIF($E28:U28,"u")+COUNTIF($E28:U28,"t")+COUNTIF($E28:U28,"¶")+COUNTIF($E28:U28,"²")+COUNTIF($E28:U28,"µ")+COUNTIF($E28:U28,1),ColDescriptionCourte))&gt;1,
HYPERLINK("#Roadmap!C"&amp; MATCH($E28,Roadmap!$D:$D,0)+COUNTIF($E28:U28,"u")+COUNTIF($E28:U28,"t")+COUNTIF($E28:U28,"¶")+COUNTIF($E28:U28,"²")+COUNTIF($E28:U28,"µ")+COUNTIF($E28:U28,1)-1,INDEX(Roadmap!$D:$K,MATCH($E28,Roadmap!$D:$D,0)-1+COUNTIF($E28:U28,"u")+COUNTIF($E28:U28,"t")+COUNTIF($E28:U28,"¶")+COUNTIF($E28:U28,"²")+COUNTIF($E28:U28,"µ")+COUNTIF($E28:U28,1),ColDescriptionCourte)),""),
  "")),"")</f>
        <v/>
      </c>
      <c r="W28" s="40" t="str">
        <f ca="1">IFERROR(IF(AND(
  INDEX(Roadmap!$D:$K,MATCH($E28,Roadmap!$D:$D,0)+COUNTIF($E28:V28,"u")+COUNTIF($E28:V28,"t")+COUNTIF($E28:V28,"¶")+COUNTIF($E28:V28,"²")+COUNTIF($E28:V28,"µ")+COUNTIF($E28:V28,1),ColLivraison)=W$6,
  VLOOKUP($E28,INDIRECT("tri!"&amp; CHAR(64+ C0Col) &amp;":"&amp; CHAR(65+C0Col)),2,FALSE)&gt;COUNTIF($E28:V28,"u")+COUNTIF($E28:V28,"t")+COUNTIF($E28:V28,"¶")+COUNTIF($E28:V28,"²")+COUNTIF($E28:V28,"µ")+COUNTIF($E28:V28,1)),
HYPERLINK("#Roadmap!C"&amp; MATCH($E28,Roadmap!$D:$D,0)+COUNTIF($E28:V28,"u")+COUNTIF($E28:V28,"t"),
     INDEX(Roadmap!$D:$K,MATCH($E28,Roadmap!$D:$D,0)+COUNTIF($E28:V28,"u")+COUNTIF($E28:V28,"t")+COUNTIF($E28:V28,"¶")+COUNTIF($E28:V28,"²")+COUNTIF($E28:V28,"µ")+COUNTIF($E28:V28,1),ColTypeEcheance)),
  IF(LEN(V28)=1,
  IF(LEN(INDEX(Roadmap!$D:$K,MATCH($E28,Roadmap!$D:$D,0)-1+COUNTIF($E28:V28,"u")+COUNTIF($E28:V28,"t")+COUNTIF($E28:V28,"¶")+COUNTIF($E28:V28,"²")+COUNTIF($E28:V28,"µ")+COUNTIF($E28:V28,1),ColDescriptionCourte))&gt;1,
HYPERLINK("#Roadmap!C"&amp; MATCH($E28,Roadmap!$D:$D,0)+COUNTIF($E28:V28,"u")+COUNTIF($E28:V28,"t")+COUNTIF($E28:V28,"¶")+COUNTIF($E28:V28,"²")+COUNTIF($E28:V28,"µ")+COUNTIF($E28:V28,1)-1,INDEX(Roadmap!$D:$K,MATCH($E28,Roadmap!$D:$D,0)-1+COUNTIF($E28:V28,"u")+COUNTIF($E28:V28,"t")+COUNTIF($E28:V28,"¶")+COUNTIF($E28:V28,"²")+COUNTIF($E28:V28,"µ")+COUNTIF($E28:V28,1),ColDescriptionCourte)),""),
  "")),"")</f>
        <v/>
      </c>
      <c r="X28" s="40" t="str">
        <f ca="1">IFERROR(IF(AND(
  INDEX(Roadmap!$D:$K,MATCH($E28,Roadmap!$D:$D,0)+COUNTIF($E28:W28,"u")+COUNTIF($E28:W28,"t")+COUNTIF($E28:W28,"¶")+COUNTIF($E28:W28,"²")+COUNTIF($E28:W28,"µ")+COUNTIF($E28:W28,1),ColLivraison)=X$6,
  VLOOKUP($E28,INDIRECT("tri!"&amp; CHAR(64+ C0Col) &amp;":"&amp; CHAR(65+C0Col)),2,FALSE)&gt;COUNTIF($E28:W28,"u")+COUNTIF($E28:W28,"t")+COUNTIF($E28:W28,"¶")+COUNTIF($E28:W28,"²")+COUNTIF($E28:W28,"µ")+COUNTIF($E28:W28,1)),
HYPERLINK("#Roadmap!C"&amp; MATCH($E28,Roadmap!$D:$D,0)+COUNTIF($E28:W28,"u")+COUNTIF($E28:W28,"t"),
     INDEX(Roadmap!$D:$K,MATCH($E28,Roadmap!$D:$D,0)+COUNTIF($E28:W28,"u")+COUNTIF($E28:W28,"t")+COUNTIF($E28:W28,"¶")+COUNTIF($E28:W28,"²")+COUNTIF($E28:W28,"µ")+COUNTIF($E28:W28,1),ColTypeEcheance)),
  IF(LEN(W28)=1,
  IF(LEN(INDEX(Roadmap!$D:$K,MATCH($E28,Roadmap!$D:$D,0)-1+COUNTIF($E28:W28,"u")+COUNTIF($E28:W28,"t")+COUNTIF($E28:W28,"¶")+COUNTIF($E28:W28,"²")+COUNTIF($E28:W28,"µ")+COUNTIF($E28:W28,1),ColDescriptionCourte))&gt;1,
HYPERLINK("#Roadmap!C"&amp; MATCH($E28,Roadmap!$D:$D,0)+COUNTIF($E28:W28,"u")+COUNTIF($E28:W28,"t")+COUNTIF($E28:W28,"¶")+COUNTIF($E28:W28,"²")+COUNTIF($E28:W28,"µ")+COUNTIF($E28:W28,1)-1,INDEX(Roadmap!$D:$K,MATCH($E28,Roadmap!$D:$D,0)-1+COUNTIF($E28:W28,"u")+COUNTIF($E28:W28,"t")+COUNTIF($E28:W28,"¶")+COUNTIF($E28:W28,"²")+COUNTIF($E28:W28,"µ")+COUNTIF($E28:W28,1),ColDescriptionCourte)),""),
  "")),"")</f>
        <v/>
      </c>
      <c r="Y28" s="40" t="str">
        <f ca="1">IFERROR(IF(AND(
  INDEX(Roadmap!$D:$K,MATCH($E28,Roadmap!$D:$D,0)+COUNTIF($E28:X28,"u")+COUNTIF($E28:X28,"t")+COUNTIF($E28:X28,"¶")+COUNTIF($E28:X28,"²")+COUNTIF($E28:X28,"µ")+COUNTIF($E28:X28,1),ColLivraison)=Y$6,
  VLOOKUP($E28,INDIRECT("tri!"&amp; CHAR(64+ C0Col) &amp;":"&amp; CHAR(65+C0Col)),2,FALSE)&gt;COUNTIF($E28:X28,"u")+COUNTIF($E28:X28,"t")+COUNTIF($E28:X28,"¶")+COUNTIF($E28:X28,"²")+COUNTIF($E28:X28,"µ")+COUNTIF($E28:X28,1)),
HYPERLINK("#Roadmap!C"&amp; MATCH($E28,Roadmap!$D:$D,0)+COUNTIF($E28:X28,"u")+COUNTIF($E28:X28,"t"),
     INDEX(Roadmap!$D:$K,MATCH($E28,Roadmap!$D:$D,0)+COUNTIF($E28:X28,"u")+COUNTIF($E28:X28,"t")+COUNTIF($E28:X28,"¶")+COUNTIF($E28:X28,"²")+COUNTIF($E28:X28,"µ")+COUNTIF($E28:X28,1),ColTypeEcheance)),
  IF(LEN(X28)=1,
  IF(LEN(INDEX(Roadmap!$D:$K,MATCH($E28,Roadmap!$D:$D,0)-1+COUNTIF($E28:X28,"u")+COUNTIF($E28:X28,"t")+COUNTIF($E28:X28,"¶")+COUNTIF($E28:X28,"²")+COUNTIF($E28:X28,"µ")+COUNTIF($E28:X28,1),ColDescriptionCourte))&gt;1,
HYPERLINK("#Roadmap!C"&amp; MATCH($E28,Roadmap!$D:$D,0)+COUNTIF($E28:X28,"u")+COUNTIF($E28:X28,"t")+COUNTIF($E28:X28,"¶")+COUNTIF($E28:X28,"²")+COUNTIF($E28:X28,"µ")+COUNTIF($E28:X28,1)-1,INDEX(Roadmap!$D:$K,MATCH($E28,Roadmap!$D:$D,0)-1+COUNTIF($E28:X28,"u")+COUNTIF($E28:X28,"t")+COUNTIF($E28:X28,"¶")+COUNTIF($E28:X28,"²")+COUNTIF($E28:X28,"µ")+COUNTIF($E28:X28,1),ColDescriptionCourte)),""),
  "")),"")</f>
        <v/>
      </c>
      <c r="Z28" s="40" t="str">
        <f ca="1">IFERROR(IF(AND(
  INDEX(Roadmap!$D:$K,MATCH($E28,Roadmap!$D:$D,0)+COUNTIF($E28:Y28,"u")+COUNTIF($E28:Y28,"t")+COUNTIF($E28:Y28,"¶")+COUNTIF($E28:Y28,"²")+COUNTIF($E28:Y28,"µ")+COUNTIF($E28:Y28,1),ColLivraison)=Z$6,
  VLOOKUP($E28,INDIRECT("tri!"&amp; CHAR(64+ C0Col) &amp;":"&amp; CHAR(65+C0Col)),2,FALSE)&gt;COUNTIF($E28:Y28,"u")+COUNTIF($E28:Y28,"t")+COUNTIF($E28:Y28,"¶")+COUNTIF($E28:Y28,"²")+COUNTIF($E28:Y28,"µ")+COUNTIF($E28:Y28,1)),
HYPERLINK("#Roadmap!C"&amp; MATCH($E28,Roadmap!$D:$D,0)+COUNTIF($E28:Y28,"u")+COUNTIF($E28:Y28,"t"),
     INDEX(Roadmap!$D:$K,MATCH($E28,Roadmap!$D:$D,0)+COUNTIF($E28:Y28,"u")+COUNTIF($E28:Y28,"t")+COUNTIF($E28:Y28,"¶")+COUNTIF($E28:Y28,"²")+COUNTIF($E28:Y28,"µ")+COUNTIF($E28:Y28,1),ColTypeEcheance)),
  IF(LEN(Y28)=1,
  IF(LEN(INDEX(Roadmap!$D:$K,MATCH($E28,Roadmap!$D:$D,0)-1+COUNTIF($E28:Y28,"u")+COUNTIF($E28:Y28,"t")+COUNTIF($E28:Y28,"¶")+COUNTIF($E28:Y28,"²")+COUNTIF($E28:Y28,"µ")+COUNTIF($E28:Y28,1),ColDescriptionCourte))&gt;1,
HYPERLINK("#Roadmap!C"&amp; MATCH($E28,Roadmap!$D:$D,0)+COUNTIF($E28:Y28,"u")+COUNTIF($E28:Y28,"t")+COUNTIF($E28:Y28,"¶")+COUNTIF($E28:Y28,"²")+COUNTIF($E28:Y28,"µ")+COUNTIF($E28:Y28,1)-1,INDEX(Roadmap!$D:$K,MATCH($E28,Roadmap!$D:$D,0)-1+COUNTIF($E28:Y28,"u")+COUNTIF($E28:Y28,"t")+COUNTIF($E28:Y28,"¶")+COUNTIF($E28:Y28,"²")+COUNTIF($E28:Y28,"µ")+COUNTIF($E28:Y28,1),ColDescriptionCourte)),""),
  "")),"")</f>
        <v/>
      </c>
      <c r="AA28" s="40" t="str">
        <f ca="1">IFERROR(IF(AND(
  INDEX(Roadmap!$D:$K,MATCH($E28,Roadmap!$D:$D,0)+COUNTIF($E28:Z28,"u")+COUNTIF($E28:Z28,"t")+COUNTIF($E28:Z28,"¶")+COUNTIF($E28:Z28,"²")+COUNTIF($E28:Z28,"µ")+COUNTIF($E28:Z28,1),ColLivraison)=AA$6,
  VLOOKUP($E28,INDIRECT("tri!"&amp; CHAR(64+ C0Col) &amp;":"&amp; CHAR(65+C0Col)),2,FALSE)&gt;COUNTIF($E28:Z28,"u")+COUNTIF($E28:Z28,"t")+COUNTIF($E28:Z28,"¶")+COUNTIF($E28:Z28,"²")+COUNTIF($E28:Z28,"µ")+COUNTIF($E28:Z28,1)),
HYPERLINK("#Roadmap!C"&amp; MATCH($E28,Roadmap!$D:$D,0)+COUNTIF($E28:Z28,"u")+COUNTIF($E28:Z28,"t"),
     INDEX(Roadmap!$D:$K,MATCH($E28,Roadmap!$D:$D,0)+COUNTIF($E28:Z28,"u")+COUNTIF($E28:Z28,"t")+COUNTIF($E28:Z28,"¶")+COUNTIF($E28:Z28,"²")+COUNTIF($E28:Z28,"µ")+COUNTIF($E28:Z28,1),ColTypeEcheance)),
  IF(LEN(Z28)=1,
  IF(LEN(INDEX(Roadmap!$D:$K,MATCH($E28,Roadmap!$D:$D,0)-1+COUNTIF($E28:Z28,"u")+COUNTIF($E28:Z28,"t")+COUNTIF($E28:Z28,"¶")+COUNTIF($E28:Z28,"²")+COUNTIF($E28:Z28,"µ")+COUNTIF($E28:Z28,1),ColDescriptionCourte))&gt;1,
HYPERLINK("#Roadmap!C"&amp; MATCH($E28,Roadmap!$D:$D,0)+COUNTIF($E28:Z28,"u")+COUNTIF($E28:Z28,"t")+COUNTIF($E28:Z28,"¶")+COUNTIF($E28:Z28,"²")+COUNTIF($E28:Z28,"µ")+COUNTIF($E28:Z28,1)-1,INDEX(Roadmap!$D:$K,MATCH($E28,Roadmap!$D:$D,0)-1+COUNTIF($E28:Z28,"u")+COUNTIF($E28:Z28,"t")+COUNTIF($E28:Z28,"¶")+COUNTIF($E28:Z28,"²")+COUNTIF($E28:Z28,"µ")+COUNTIF($E28:Z28,1),ColDescriptionCourte)),""),
  "")),"")</f>
        <v/>
      </c>
      <c r="AB28" s="40" t="str">
        <f ca="1">IFERROR(IF(AND(
  INDEX(Roadmap!$D:$K,MATCH($E28,Roadmap!$D:$D,0)+COUNTIF($E28:AA28,"u")+COUNTIF($E28:AA28,"t")+COUNTIF($E28:AA28,"¶")+COUNTIF($E28:AA28,"²")+COUNTIF($E28:AA28,"µ")+COUNTIF($E28:AA28,1),ColLivraison)=AB$6,
  VLOOKUP($E28,INDIRECT("tri!"&amp; CHAR(64+ C0Col) &amp;":"&amp; CHAR(65+C0Col)),2,FALSE)&gt;COUNTIF($E28:AA28,"u")+COUNTIF($E28:AA28,"t")+COUNTIF($E28:AA28,"¶")+COUNTIF($E28:AA28,"²")+COUNTIF($E28:AA28,"µ")+COUNTIF($E28:AA28,1)),
HYPERLINK("#Roadmap!C"&amp; MATCH($E28,Roadmap!$D:$D,0)+COUNTIF($E28:AA28,"u")+COUNTIF($E28:AA28,"t"),
     INDEX(Roadmap!$D:$K,MATCH($E28,Roadmap!$D:$D,0)+COUNTIF($E28:AA28,"u")+COUNTIF($E28:AA28,"t")+COUNTIF($E28:AA28,"¶")+COUNTIF($E28:AA28,"²")+COUNTIF($E28:AA28,"µ")+COUNTIF($E28:AA28,1),ColTypeEcheance)),
  IF(LEN(AA28)=1,
  IF(LEN(INDEX(Roadmap!$D:$K,MATCH($E28,Roadmap!$D:$D,0)-1+COUNTIF($E28:AA28,"u")+COUNTIF($E28:AA28,"t")+COUNTIF($E28:AA28,"¶")+COUNTIF($E28:AA28,"²")+COUNTIF($E28:AA28,"µ")+COUNTIF($E28:AA28,1),ColDescriptionCourte))&gt;1,
HYPERLINK("#Roadmap!C"&amp; MATCH($E28,Roadmap!$D:$D,0)+COUNTIF($E28:AA28,"u")+COUNTIF($E28:AA28,"t")+COUNTIF($E28:AA28,"¶")+COUNTIF($E28:AA28,"²")+COUNTIF($E28:AA28,"µ")+COUNTIF($E28:AA28,1)-1,INDEX(Roadmap!$D:$K,MATCH($E28,Roadmap!$D:$D,0)-1+COUNTIF($E28:AA28,"u")+COUNTIF($E28:AA28,"t")+COUNTIF($E28:AA28,"¶")+COUNTIF($E28:AA28,"²")+COUNTIF($E28:AA28,"µ")+COUNTIF($E28:AA28,1),ColDescriptionCourte)),""),
  "")),"")</f>
        <v/>
      </c>
      <c r="AC28" s="40" t="str">
        <f ca="1">IFERROR(IF(AND(
  INDEX(Roadmap!$D:$K,MATCH($E28,Roadmap!$D:$D,0)+COUNTIF($E28:AB28,"u")+COUNTIF($E28:AB28,"t")+COUNTIF($E28:AB28,"¶")+COUNTIF($E28:AB28,"²")+COUNTIF($E28:AB28,"µ")+COUNTIF($E28:AB28,1),ColLivraison)=AC$6,
  VLOOKUP($E28,INDIRECT("tri!"&amp; CHAR(64+ C0Col) &amp;":"&amp; CHAR(65+C0Col)),2,FALSE)&gt;COUNTIF($E28:AB28,"u")+COUNTIF($E28:AB28,"t")+COUNTIF($E28:AB28,"¶")+COUNTIF($E28:AB28,"²")+COUNTIF($E28:AB28,"µ")+COUNTIF($E28:AB28,1)),
HYPERLINK("#Roadmap!C"&amp; MATCH($E28,Roadmap!$D:$D,0)+COUNTIF($E28:AB28,"u")+COUNTIF($E28:AB28,"t"),
     INDEX(Roadmap!$D:$K,MATCH($E28,Roadmap!$D:$D,0)+COUNTIF($E28:AB28,"u")+COUNTIF($E28:AB28,"t")+COUNTIF($E28:AB28,"¶")+COUNTIF($E28:AB28,"²")+COUNTIF($E28:AB28,"µ")+COUNTIF($E28:AB28,1),ColTypeEcheance)),
  IF(LEN(AB28)=1,
  IF(LEN(INDEX(Roadmap!$D:$K,MATCH($E28,Roadmap!$D:$D,0)-1+COUNTIF($E28:AB28,"u")+COUNTIF($E28:AB28,"t")+COUNTIF($E28:AB28,"¶")+COUNTIF($E28:AB28,"²")+COUNTIF($E28:AB28,"µ")+COUNTIF($E28:AB28,1),ColDescriptionCourte))&gt;1,
HYPERLINK("#Roadmap!C"&amp; MATCH($E28,Roadmap!$D:$D,0)+COUNTIF($E28:AB28,"u")+COUNTIF($E28:AB28,"t")+COUNTIF($E28:AB28,"¶")+COUNTIF($E28:AB28,"²")+COUNTIF($E28:AB28,"µ")+COUNTIF($E28:AB28,1)-1,INDEX(Roadmap!$D:$K,MATCH($E28,Roadmap!$D:$D,0)-1+COUNTIF($E28:AB28,"u")+COUNTIF($E28:AB28,"t")+COUNTIF($E28:AB28,"¶")+COUNTIF($E28:AB28,"²")+COUNTIF($E28:AB28,"µ")+COUNTIF($E28:AB28,1),ColDescriptionCourte)),""),
  "")),"")</f>
        <v/>
      </c>
      <c r="AD28" s="40" t="str">
        <f ca="1">IFERROR(IF(AND(
  INDEX(Roadmap!$D:$K,MATCH($E28,Roadmap!$D:$D,0)+COUNTIF($E28:AC28,"u")+COUNTIF($E28:AC28,"t")+COUNTIF($E28:AC28,"¶")+COUNTIF($E28:AC28,"²")+COUNTIF($E28:AC28,"µ")+COUNTIF($E28:AC28,1),ColLivraison)=AD$6,
  VLOOKUP($E28,INDIRECT("tri!"&amp; CHAR(64+ C0Col) &amp;":"&amp; CHAR(65+C0Col)),2,FALSE)&gt;COUNTIF($E28:AC28,"u")+COUNTIF($E28:AC28,"t")+COUNTIF($E28:AC28,"¶")+COUNTIF($E28:AC28,"²")+COUNTIF($E28:AC28,"µ")+COUNTIF($E28:AC28,1)),
HYPERLINK("#Roadmap!C"&amp; MATCH($E28,Roadmap!$D:$D,0)+COUNTIF($E28:AC28,"u")+COUNTIF($E28:AC28,"t"),
     INDEX(Roadmap!$D:$K,MATCH($E28,Roadmap!$D:$D,0)+COUNTIF($E28:AC28,"u")+COUNTIF($E28:AC28,"t")+COUNTIF($E28:AC28,"¶")+COUNTIF($E28:AC28,"²")+COUNTIF($E28:AC28,"µ")+COUNTIF($E28:AC28,1),ColTypeEcheance)),
  IF(LEN(AC28)=1,
  IF(LEN(INDEX(Roadmap!$D:$K,MATCH($E28,Roadmap!$D:$D,0)-1+COUNTIF($E28:AC28,"u")+COUNTIF($E28:AC28,"t")+COUNTIF($E28:AC28,"¶")+COUNTIF($E28:AC28,"²")+COUNTIF($E28:AC28,"µ")+COUNTIF($E28:AC28,1),ColDescriptionCourte))&gt;1,
HYPERLINK("#Roadmap!C"&amp; MATCH($E28,Roadmap!$D:$D,0)+COUNTIF($E28:AC28,"u")+COUNTIF($E28:AC28,"t")+COUNTIF($E28:AC28,"¶")+COUNTIF($E28:AC28,"²")+COUNTIF($E28:AC28,"µ")+COUNTIF($E28:AC28,1)-1,INDEX(Roadmap!$D:$K,MATCH($E28,Roadmap!$D:$D,0)-1+COUNTIF($E28:AC28,"u")+COUNTIF($E28:AC28,"t")+COUNTIF($E28:AC28,"¶")+COUNTIF($E28:AC28,"²")+COUNTIF($E28:AC28,"µ")+COUNTIF($E28:AC28,1),ColDescriptionCourte)),""),
  "")),"")</f>
        <v/>
      </c>
      <c r="AE28" s="40" t="str">
        <f ca="1">IFERROR(IF(AND(
  INDEX(Roadmap!$D:$K,MATCH($E28,Roadmap!$D:$D,0)+COUNTIF($E28:AD28,"u")+COUNTIF($E28:AD28,"t")+COUNTIF($E28:AD28,"¶")+COUNTIF($E28:AD28,"²")+COUNTIF($E28:AD28,"µ")+COUNTIF($E28:AD28,1),ColLivraison)=AE$6,
  VLOOKUP($E28,INDIRECT("tri!"&amp; CHAR(64+ C0Col) &amp;":"&amp; CHAR(65+C0Col)),2,FALSE)&gt;COUNTIF($E28:AD28,"u")+COUNTIF($E28:AD28,"t")+COUNTIF($E28:AD28,"¶")+COUNTIF($E28:AD28,"²")+COUNTIF($E28:AD28,"µ")+COUNTIF($E28:AD28,1)),
HYPERLINK("#Roadmap!C"&amp; MATCH($E28,Roadmap!$D:$D,0)+COUNTIF($E28:AD28,"u")+COUNTIF($E28:AD28,"t"),
     INDEX(Roadmap!$D:$K,MATCH($E28,Roadmap!$D:$D,0)+COUNTIF($E28:AD28,"u")+COUNTIF($E28:AD28,"t")+COUNTIF($E28:AD28,"¶")+COUNTIF($E28:AD28,"²")+COUNTIF($E28:AD28,"µ")+COUNTIF($E28:AD28,1),ColTypeEcheance)),
  IF(LEN(AD28)=1,
  IF(LEN(INDEX(Roadmap!$D:$K,MATCH($E28,Roadmap!$D:$D,0)-1+COUNTIF($E28:AD28,"u")+COUNTIF($E28:AD28,"t")+COUNTIF($E28:AD28,"¶")+COUNTIF($E28:AD28,"²")+COUNTIF($E28:AD28,"µ")+COUNTIF($E28:AD28,1),ColDescriptionCourte))&gt;1,
HYPERLINK("#Roadmap!C"&amp; MATCH($E28,Roadmap!$D:$D,0)+COUNTIF($E28:AD28,"u")+COUNTIF($E28:AD28,"t")+COUNTIF($E28:AD28,"¶")+COUNTIF($E28:AD28,"²")+COUNTIF($E28:AD28,"µ")+COUNTIF($E28:AD28,1)-1,INDEX(Roadmap!$D:$K,MATCH($E28,Roadmap!$D:$D,0)-1+COUNTIF($E28:AD28,"u")+COUNTIF($E28:AD28,"t")+COUNTIF($E28:AD28,"¶")+COUNTIF($E28:AD28,"²")+COUNTIF($E28:AD28,"µ")+COUNTIF($E28:AD28,1),ColDescriptionCourte)),""),
  "")),"")</f>
        <v/>
      </c>
      <c r="AF28" s="40" t="str">
        <f ca="1">IFERROR(IF(AND(
  INDEX(Roadmap!$D:$K,MATCH($E28,Roadmap!$D:$D,0)+COUNTIF($E28:AE28,"u")+COUNTIF($E28:AE28,"t")+COUNTIF($E28:AE28,"¶")+COUNTIF($E28:AE28,"²")+COUNTIF($E28:AE28,"µ")+COUNTIF($E28:AE28,1),ColLivraison)=AF$6,
  VLOOKUP($E28,INDIRECT("tri!"&amp; CHAR(64+ C0Col) &amp;":"&amp; CHAR(65+C0Col)),2,FALSE)&gt;COUNTIF($E28:AE28,"u")+COUNTIF($E28:AE28,"t")+COUNTIF($E28:AE28,"¶")+COUNTIF($E28:AE28,"²")+COUNTIF($E28:AE28,"µ")+COUNTIF($E28:AE28,1)),
HYPERLINK("#Roadmap!C"&amp; MATCH($E28,Roadmap!$D:$D,0)+COUNTIF($E28:AE28,"u")+COUNTIF($E28:AE28,"t"),
     INDEX(Roadmap!$D:$K,MATCH($E28,Roadmap!$D:$D,0)+COUNTIF($E28:AE28,"u")+COUNTIF($E28:AE28,"t")+COUNTIF($E28:AE28,"¶")+COUNTIF($E28:AE28,"²")+COUNTIF($E28:AE28,"µ")+COUNTIF($E28:AE28,1),ColTypeEcheance)),
  IF(LEN(AE28)=1,
  IF(LEN(INDEX(Roadmap!$D:$K,MATCH($E28,Roadmap!$D:$D,0)-1+COUNTIF($E28:AE28,"u")+COUNTIF($E28:AE28,"t")+COUNTIF($E28:AE28,"¶")+COUNTIF($E28:AE28,"²")+COUNTIF($E28:AE28,"µ")+COUNTIF($E28:AE28,1),ColDescriptionCourte))&gt;1,
HYPERLINK("#Roadmap!C"&amp; MATCH($E28,Roadmap!$D:$D,0)+COUNTIF($E28:AE28,"u")+COUNTIF($E28:AE28,"t")+COUNTIF($E28:AE28,"¶")+COUNTIF($E28:AE28,"²")+COUNTIF($E28:AE28,"µ")+COUNTIF($E28:AE28,1)-1,INDEX(Roadmap!$D:$K,MATCH($E28,Roadmap!$D:$D,0)-1+COUNTIF($E28:AE28,"u")+COUNTIF($E28:AE28,"t")+COUNTIF($E28:AE28,"¶")+COUNTIF($E28:AE28,"²")+COUNTIF($E28:AE28,"µ")+COUNTIF($E28:AE28,1),ColDescriptionCourte)),""),
  "")),"")</f>
        <v/>
      </c>
      <c r="AG28" s="40" t="str">
        <f ca="1">IFERROR(IF(AND(
  INDEX(Roadmap!$D:$K,MATCH($E28,Roadmap!$D:$D,0)+COUNTIF($E28:AF28,"u")+COUNTIF($E28:AF28,"t")+COUNTIF($E28:AF28,"¶")+COUNTIF($E28:AF28,"²")+COUNTIF($E28:AF28,"µ")+COUNTIF($E28:AF28,1),ColLivraison)=AG$6,
  VLOOKUP($E28,INDIRECT("tri!"&amp; CHAR(64+ C0Col) &amp;":"&amp; CHAR(65+C0Col)),2,FALSE)&gt;COUNTIF($E28:AF28,"u")+COUNTIF($E28:AF28,"t")+COUNTIF($E28:AF28,"¶")+COUNTIF($E28:AF28,"²")+COUNTIF($E28:AF28,"µ")+COUNTIF($E28:AF28,1)),
HYPERLINK("#Roadmap!C"&amp; MATCH($E28,Roadmap!$D:$D,0)+COUNTIF($E28:AF28,"u")+COUNTIF($E28:AF28,"t"),
     INDEX(Roadmap!$D:$K,MATCH($E28,Roadmap!$D:$D,0)+COUNTIF($E28:AF28,"u")+COUNTIF($E28:AF28,"t")+COUNTIF($E28:AF28,"¶")+COUNTIF($E28:AF28,"²")+COUNTIF($E28:AF28,"µ")+COUNTIF($E28:AF28,1),ColTypeEcheance)),
  IF(LEN(AF28)=1,
  IF(LEN(INDEX(Roadmap!$D:$K,MATCH($E28,Roadmap!$D:$D,0)-1+COUNTIF($E28:AF28,"u")+COUNTIF($E28:AF28,"t")+COUNTIF($E28:AF28,"¶")+COUNTIF($E28:AF28,"²")+COUNTIF($E28:AF28,"µ")+COUNTIF($E28:AF28,1),ColDescriptionCourte))&gt;1,
HYPERLINK("#Roadmap!C"&amp; MATCH($E28,Roadmap!$D:$D,0)+COUNTIF($E28:AF28,"u")+COUNTIF($E28:AF28,"t")+COUNTIF($E28:AF28,"¶")+COUNTIF($E28:AF28,"²")+COUNTIF($E28:AF28,"µ")+COUNTIF($E28:AF28,1)-1,INDEX(Roadmap!$D:$K,MATCH($E28,Roadmap!$D:$D,0)-1+COUNTIF($E28:AF28,"u")+COUNTIF($E28:AF28,"t")+COUNTIF($E28:AF28,"¶")+COUNTIF($E28:AF28,"²")+COUNTIF($E28:AF28,"µ")+COUNTIF($E28:AF28,1),ColDescriptionCourte)),""),
  "")),"")</f>
        <v/>
      </c>
    </row>
    <row r="29" spans="3:33" ht="14.25" customHeight="1">
      <c r="C29" s="1" t="str">
        <f t="shared" ca="1" si="42"/>
        <v/>
      </c>
      <c r="D29" s="1" t="str">
        <f t="shared" ca="1" si="43"/>
        <v/>
      </c>
      <c r="E29" s="35" t="str">
        <f t="shared" ca="1" si="33"/>
        <v/>
      </c>
      <c r="F29" s="39" t="str">
        <f ca="1">IFERROR(IF(AND(
  INDEX(Roadmap!$D:$K,MATCH($E29,Roadmap!$D:$D,0)+COUNTIF($E29:E29,"u")+COUNTIF($E29:E29,"t")+COUNTIF($E29:E29,"¶")+COUNTIF($E29:E29,"²")+COUNTIF($E29:E29,"µ")+COUNTIF($E29:E29,1),ColLivraison)=F$6,
  VLOOKUP($E29,INDIRECT("tri!"&amp; CHAR(64+ C0Col) &amp;":"&amp; CHAR(65+C0Col)),2,FALSE)&gt;COUNTIF($E29:E29,"u")+COUNTIF($E29:E29,"t")+COUNTIF($E29:E29,"¶")+COUNTIF($E29:E29,"²")+COUNTIF($E29:E29,"µ")+COUNTIF($E29:E29,1)),
HYPERLINK("#Roadmap!C"&amp; MATCH($E29,Roadmap!$D:$D,0)+COUNTIF($E29:E29,"u")+COUNTIF($E29:E29,"t"),
     INDEX(Roadmap!$D:$K,MATCH($E29,Roadmap!$D:$D,0)+COUNTIF($E29:E29,"u")+COUNTIF($E29:E29,"t")+COUNTIF($E29:E29,"¶")+COUNTIF($E29:E29,"²")+COUNTIF($E29:E29,"µ")+COUNTIF($E29:E29,1),ColTypeEcheance)),
  IF(LEN(E29)=1,
  IF(LEN(INDEX(Roadmap!$D:$K,MATCH($E29,Roadmap!$D:$D,0)-1+COUNTIF($E29:E29,"u")+COUNTIF($E29:E29,"t")+COUNTIF($E29:E29,"¶")+COUNTIF($E29:E29,"²")+COUNTIF($E29:E29,"µ")+COUNTIF($E29:E29,1),ColDescriptionCourte))&gt;1,
HYPERLINK("#Roadmap!C"&amp; MATCH($E29,Roadmap!$D:$D,0)+COUNTIF($E29:E29,"u")+COUNTIF($E29:E29,"t")+COUNTIF($E29:E29,"¶")+COUNTIF($E29:E29,"²")+COUNTIF($E29:E29,"µ")+COUNTIF($E29:E29,1)-1,INDEX(Roadmap!$D:$K,MATCH($E29,Roadmap!$D:$D,0)-1+COUNTIF($E29:E29,"u")+COUNTIF($E29:E29,"t")+COUNTIF($E29:E29,"¶")+COUNTIF($E29:E29,"²")+COUNTIF($E29:E29,"µ")+COUNTIF($E29:E29,1),ColDescriptionCourte)),""),
  "")),"")</f>
        <v/>
      </c>
      <c r="G29" s="40" t="str">
        <f ca="1">IFERROR(IF(AND(
  INDEX(Roadmap!$D:$K,MATCH($E29,Roadmap!$D:$D,0)+COUNTIF($E29:F29,"u")+COUNTIF($E29:F29,"t")+COUNTIF($E29:F29,"¶")+COUNTIF($E29:F29,"²")+COUNTIF($E29:F29,"µ")+COUNTIF($E29:F29,1),ColLivraison)=G$6,
  VLOOKUP($E29,INDIRECT("tri!"&amp; CHAR(64+ C0Col) &amp;":"&amp; CHAR(65+C0Col)),2,FALSE)&gt;COUNTIF($E29:F29,"u")+COUNTIF($E29:F29,"t")+COUNTIF($E29:F29,"¶")+COUNTIF($E29:F29,"²")+COUNTIF($E29:F29,"µ")+COUNTIF($E29:F29,1)),
HYPERLINK("#Roadmap!C"&amp; MATCH($E29,Roadmap!$D:$D,0)+COUNTIF($E29:F29,"u")+COUNTIF($E29:F29,"t"),
     INDEX(Roadmap!$D:$K,MATCH($E29,Roadmap!$D:$D,0)+COUNTIF($E29:F29,"u")+COUNTIF($E29:F29,"t")+COUNTIF($E29:F29,"¶")+COUNTIF($E29:F29,"²")+COUNTIF($E29:F29,"µ")+COUNTIF($E29:F29,1),ColTypeEcheance)),
  IF(LEN(F29)=1,
  IF(LEN(INDEX(Roadmap!$D:$K,MATCH($E29,Roadmap!$D:$D,0)-1+COUNTIF($E29:F29,"u")+COUNTIF($E29:F29,"t")+COUNTIF($E29:F29,"¶")+COUNTIF($E29:F29,"²")+COUNTIF($E29:F29,"µ")+COUNTIF($E29:F29,1),ColDescriptionCourte))&gt;1,
HYPERLINK("#Roadmap!C"&amp; MATCH($E29,Roadmap!$D:$D,0)+COUNTIF($E29:F29,"u")+COUNTIF($E29:F29,"t")+COUNTIF($E29:F29,"¶")+COUNTIF($E29:F29,"²")+COUNTIF($E29:F29,"µ")+COUNTIF($E29:F29,1)-1,INDEX(Roadmap!$D:$K,MATCH($E29,Roadmap!$D:$D,0)-1+COUNTIF($E29:F29,"u")+COUNTIF($E29:F29,"t")+COUNTIF($E29:F29,"¶")+COUNTIF($E29:F29,"²")+COUNTIF($E29:F29,"µ")+COUNTIF($E29:F29,1),ColDescriptionCourte)),""),
  "")),"")</f>
        <v/>
      </c>
      <c r="H29" s="40" t="str">
        <f ca="1">IFERROR(IF(AND(
  INDEX(Roadmap!$D:$K,MATCH($E29,Roadmap!$D:$D,0)+COUNTIF($E29:G29,"u")+COUNTIF($E29:G29,"t")+COUNTIF($E29:G29,"¶")+COUNTIF($E29:G29,"²")+COUNTIF($E29:G29,"µ")+COUNTIF($E29:G29,1),ColLivraison)=H$6,
  VLOOKUP($E29,INDIRECT("tri!"&amp; CHAR(64+ C0Col) &amp;":"&amp; CHAR(65+C0Col)),2,FALSE)&gt;COUNTIF($E29:G29,"u")+COUNTIF($E29:G29,"t")+COUNTIF($E29:G29,"¶")+COUNTIF($E29:G29,"²")+COUNTIF($E29:G29,"µ")+COUNTIF($E29:G29,1)),
HYPERLINK("#Roadmap!C"&amp; MATCH($E29,Roadmap!$D:$D,0)+COUNTIF($E29:G29,"u")+COUNTIF($E29:G29,"t"),
     INDEX(Roadmap!$D:$K,MATCH($E29,Roadmap!$D:$D,0)+COUNTIF($E29:G29,"u")+COUNTIF($E29:G29,"t")+COUNTIF($E29:G29,"¶")+COUNTIF($E29:G29,"²")+COUNTIF($E29:G29,"µ")+COUNTIF($E29:G29,1),ColTypeEcheance)),
  IF(LEN(G29)=1,
  IF(LEN(INDEX(Roadmap!$D:$K,MATCH($E29,Roadmap!$D:$D,0)-1+COUNTIF($E29:G29,"u")+COUNTIF($E29:G29,"t")+COUNTIF($E29:G29,"¶")+COUNTIF($E29:G29,"²")+COUNTIF($E29:G29,"µ")+COUNTIF($E29:G29,1),ColDescriptionCourte))&gt;1,
HYPERLINK("#Roadmap!C"&amp; MATCH($E29,Roadmap!$D:$D,0)+COUNTIF($E29:G29,"u")+COUNTIF($E29:G29,"t")+COUNTIF($E29:G29,"¶")+COUNTIF($E29:G29,"²")+COUNTIF($E29:G29,"µ")+COUNTIF($E29:G29,1)-1,INDEX(Roadmap!$D:$K,MATCH($E29,Roadmap!$D:$D,0)-1+COUNTIF($E29:G29,"u")+COUNTIF($E29:G29,"t")+COUNTIF($E29:G29,"¶")+COUNTIF($E29:G29,"²")+COUNTIF($E29:G29,"µ")+COUNTIF($E29:G29,1),ColDescriptionCourte)),""),
  "")),"")</f>
        <v/>
      </c>
      <c r="I29" s="40" t="str">
        <f ca="1">IFERROR(IF(AND(
  INDEX(Roadmap!$D:$K,MATCH($E29,Roadmap!$D:$D,0)+COUNTIF($E29:H29,"u")+COUNTIF($E29:H29,"t")+COUNTIF($E29:H29,"¶")+COUNTIF($E29:H29,"²")+COUNTIF($E29:H29,"µ")+COUNTIF($E29:H29,1),ColLivraison)=I$6,
  VLOOKUP($E29,INDIRECT("tri!"&amp; CHAR(64+ C0Col) &amp;":"&amp; CHAR(65+C0Col)),2,FALSE)&gt;COUNTIF($E29:H29,"u")+COUNTIF($E29:H29,"t")+COUNTIF($E29:H29,"¶")+COUNTIF($E29:H29,"²")+COUNTIF($E29:H29,"µ")+COUNTIF($E29:H29,1)),
HYPERLINK("#Roadmap!C"&amp; MATCH($E29,Roadmap!$D:$D,0)+COUNTIF($E29:H29,"u")+COUNTIF($E29:H29,"t"),
     INDEX(Roadmap!$D:$K,MATCH($E29,Roadmap!$D:$D,0)+COUNTIF($E29:H29,"u")+COUNTIF($E29:H29,"t")+COUNTIF($E29:H29,"¶")+COUNTIF($E29:H29,"²")+COUNTIF($E29:H29,"µ")+COUNTIF($E29:H29,1),ColTypeEcheance)),
  IF(LEN(H29)=1,
  IF(LEN(INDEX(Roadmap!$D:$K,MATCH($E29,Roadmap!$D:$D,0)-1+COUNTIF($E29:H29,"u")+COUNTIF($E29:H29,"t")+COUNTIF($E29:H29,"¶")+COUNTIF($E29:H29,"²")+COUNTIF($E29:H29,"µ")+COUNTIF($E29:H29,1),ColDescriptionCourte))&gt;1,
HYPERLINK("#Roadmap!C"&amp; MATCH($E29,Roadmap!$D:$D,0)+COUNTIF($E29:H29,"u")+COUNTIF($E29:H29,"t")+COUNTIF($E29:H29,"¶")+COUNTIF($E29:H29,"²")+COUNTIF($E29:H29,"µ")+COUNTIF($E29:H29,1)-1,INDEX(Roadmap!$D:$K,MATCH($E29,Roadmap!$D:$D,0)-1+COUNTIF($E29:H29,"u")+COUNTIF($E29:H29,"t")+COUNTIF($E29:H29,"¶")+COUNTIF($E29:H29,"²")+COUNTIF($E29:H29,"µ")+COUNTIF($E29:H29,1),ColDescriptionCourte)),""),
  "")),"")</f>
        <v/>
      </c>
      <c r="J29" s="40" t="str">
        <f ca="1">IFERROR(IF(AND(
  INDEX(Roadmap!$D:$K,MATCH($E29,Roadmap!$D:$D,0)+COUNTIF($E29:I29,"u")+COUNTIF($E29:I29,"t")+COUNTIF($E29:I29,"¶")+COUNTIF($E29:I29,"²")+COUNTIF($E29:I29,"µ")+COUNTIF($E29:I29,1),ColLivraison)=J$6,
  VLOOKUP($E29,INDIRECT("tri!"&amp; CHAR(64+ C0Col) &amp;":"&amp; CHAR(65+C0Col)),2,FALSE)&gt;COUNTIF($E29:I29,"u")+COUNTIF($E29:I29,"t")+COUNTIF($E29:I29,"¶")+COUNTIF($E29:I29,"²")+COUNTIF($E29:I29,"µ")+COUNTIF($E29:I29,1)),
HYPERLINK("#Roadmap!C"&amp; MATCH($E29,Roadmap!$D:$D,0)+COUNTIF($E29:I29,"u")+COUNTIF($E29:I29,"t"),
     INDEX(Roadmap!$D:$K,MATCH($E29,Roadmap!$D:$D,0)+COUNTIF($E29:I29,"u")+COUNTIF($E29:I29,"t")+COUNTIF($E29:I29,"¶")+COUNTIF($E29:I29,"²")+COUNTIF($E29:I29,"µ")+COUNTIF($E29:I29,1),ColTypeEcheance)),
  IF(LEN(I29)=1,
  IF(LEN(INDEX(Roadmap!$D:$K,MATCH($E29,Roadmap!$D:$D,0)-1+COUNTIF($E29:I29,"u")+COUNTIF($E29:I29,"t")+COUNTIF($E29:I29,"¶")+COUNTIF($E29:I29,"²")+COUNTIF($E29:I29,"µ")+COUNTIF($E29:I29,1),ColDescriptionCourte))&gt;1,
HYPERLINK("#Roadmap!C"&amp; MATCH($E29,Roadmap!$D:$D,0)+COUNTIF($E29:I29,"u")+COUNTIF($E29:I29,"t")+COUNTIF($E29:I29,"¶")+COUNTIF($E29:I29,"²")+COUNTIF($E29:I29,"µ")+COUNTIF($E29:I29,1)-1,INDEX(Roadmap!$D:$K,MATCH($E29,Roadmap!$D:$D,0)-1+COUNTIF($E29:I29,"u")+COUNTIF($E29:I29,"t")+COUNTIF($E29:I29,"¶")+COUNTIF($E29:I29,"²")+COUNTIF($E29:I29,"µ")+COUNTIF($E29:I29,1),ColDescriptionCourte)),""),
  "")),"")</f>
        <v/>
      </c>
      <c r="K29" s="40" t="str">
        <f ca="1">IFERROR(IF(AND(
  INDEX(Roadmap!$D:$K,MATCH($E29,Roadmap!$D:$D,0)+COUNTIF($E29:J29,"u")+COUNTIF($E29:J29,"t")+COUNTIF($E29:J29,"¶")+COUNTIF($E29:J29,"²")+COUNTIF($E29:J29,"µ")+COUNTIF($E29:J29,1),ColLivraison)=K$6,
  VLOOKUP($E29,INDIRECT("tri!"&amp; CHAR(64+ C0Col) &amp;":"&amp; CHAR(65+C0Col)),2,FALSE)&gt;COUNTIF($E29:J29,"u")+COUNTIF($E29:J29,"t")+COUNTIF($E29:J29,"¶")+COUNTIF($E29:J29,"²")+COUNTIF($E29:J29,"µ")+COUNTIF($E29:J29,1)),
HYPERLINK("#Roadmap!C"&amp; MATCH($E29,Roadmap!$D:$D,0)+COUNTIF($E29:J29,"u")+COUNTIF($E29:J29,"t"),
     INDEX(Roadmap!$D:$K,MATCH($E29,Roadmap!$D:$D,0)+COUNTIF($E29:J29,"u")+COUNTIF($E29:J29,"t")+COUNTIF($E29:J29,"¶")+COUNTIF($E29:J29,"²")+COUNTIF($E29:J29,"µ")+COUNTIF($E29:J29,1),ColTypeEcheance)),
  IF(LEN(J29)=1,
  IF(LEN(INDEX(Roadmap!$D:$K,MATCH($E29,Roadmap!$D:$D,0)-1+COUNTIF($E29:J29,"u")+COUNTIF($E29:J29,"t")+COUNTIF($E29:J29,"¶")+COUNTIF($E29:J29,"²")+COUNTIF($E29:J29,"µ")+COUNTIF($E29:J29,1),ColDescriptionCourte))&gt;1,
HYPERLINK("#Roadmap!C"&amp; MATCH($E29,Roadmap!$D:$D,0)+COUNTIF($E29:J29,"u")+COUNTIF($E29:J29,"t")+COUNTIF($E29:J29,"¶")+COUNTIF($E29:J29,"²")+COUNTIF($E29:J29,"µ")+COUNTIF($E29:J29,1)-1,INDEX(Roadmap!$D:$K,MATCH($E29,Roadmap!$D:$D,0)-1+COUNTIF($E29:J29,"u")+COUNTIF($E29:J29,"t")+COUNTIF($E29:J29,"¶")+COUNTIF($E29:J29,"²")+COUNTIF($E29:J29,"µ")+COUNTIF($E29:J29,1),ColDescriptionCourte)),""),
  "")),"")</f>
        <v/>
      </c>
      <c r="L29" s="39" t="str">
        <f ca="1">IFERROR(IF(AND(
  INDEX(Roadmap!$D:$K,MATCH($E29,Roadmap!$D:$D,0)+COUNTIF($E29:K29,"u")+COUNTIF($E29:K29,"t")+COUNTIF($E29:K29,"¶")+COUNTIF($E29:K29,"²")+COUNTIF($E29:K29,"µ")+COUNTIF($E29:K29,1),ColLivraison)=L$6,
  VLOOKUP($E29,INDIRECT("tri!"&amp; CHAR(64+ C0Col) &amp;":"&amp; CHAR(65+C0Col)),2,FALSE)&gt;COUNTIF($E29:K29,"u")+COUNTIF($E29:K29,"t")+COUNTIF($E29:K29,"¶")+COUNTIF($E29:K29,"²")+COUNTIF($E29:K29,"µ")+COUNTIF($E29:K29,1)),
HYPERLINK("#Roadmap!C"&amp; MATCH($E29,Roadmap!$D:$D,0)+COUNTIF($E29:K29,"u")+COUNTIF($E29:K29,"t"),
     INDEX(Roadmap!$D:$K,MATCH($E29,Roadmap!$D:$D,0)+COUNTIF($E29:K29,"u")+COUNTIF($E29:K29,"t")+COUNTIF($E29:K29,"¶")+COUNTIF($E29:K29,"²")+COUNTIF($E29:K29,"µ")+COUNTIF($E29:K29,1),ColTypeEcheance)),
  IF(LEN(K29)=1,
  IF(LEN(INDEX(Roadmap!$D:$K,MATCH($E29,Roadmap!$D:$D,0)-1+COUNTIF($E29:K29,"u")+COUNTIF($E29:K29,"t")+COUNTIF($E29:K29,"¶")+COUNTIF($E29:K29,"²")+COUNTIF($E29:K29,"µ")+COUNTIF($E29:K29,1),ColDescriptionCourte))&gt;1,
HYPERLINK("#Roadmap!C"&amp; MATCH($E29,Roadmap!$D:$D,0)+COUNTIF($E29:K29,"u")+COUNTIF($E29:K29,"t")+COUNTIF($E29:K29,"¶")+COUNTIF($E29:K29,"²")+COUNTIF($E29:K29,"µ")+COUNTIF($E29:K29,1)-1,INDEX(Roadmap!$D:$K,MATCH($E29,Roadmap!$D:$D,0)-1+COUNTIF($E29:K29,"u")+COUNTIF($E29:K29,"t")+COUNTIF($E29:K29,"¶")+COUNTIF($E29:K29,"²")+COUNTIF($E29:K29,"µ")+COUNTIF($E29:K29,1),ColDescriptionCourte)),""),
  "")),"")</f>
        <v/>
      </c>
      <c r="M29" s="40" t="str">
        <f ca="1">IFERROR(IF(AND(
  INDEX(Roadmap!$D:$K,MATCH($E29,Roadmap!$D:$D,0)+COUNTIF($E29:L29,"u")+COUNTIF($E29:L29,"t")+COUNTIF($E29:L29,"¶")+COUNTIF($E29:L29,"²")+COUNTIF($E29:L29,"µ")+COUNTIF($E29:L29,1),ColLivraison)=M$6,
  VLOOKUP($E29,INDIRECT("tri!"&amp; CHAR(64+ C0Col) &amp;":"&amp; CHAR(65+C0Col)),2,FALSE)&gt;COUNTIF($E29:L29,"u")+COUNTIF($E29:L29,"t")+COUNTIF($E29:L29,"¶")+COUNTIF($E29:L29,"²")+COUNTIF($E29:L29,"µ")+COUNTIF($E29:L29,1)),
HYPERLINK("#Roadmap!C"&amp; MATCH($E29,Roadmap!$D:$D,0)+COUNTIF($E29:L29,"u")+COUNTIF($E29:L29,"t"),
     INDEX(Roadmap!$D:$K,MATCH($E29,Roadmap!$D:$D,0)+COUNTIF($E29:L29,"u")+COUNTIF($E29:L29,"t")+COUNTIF($E29:L29,"¶")+COUNTIF($E29:L29,"²")+COUNTIF($E29:L29,"µ")+COUNTIF($E29:L29,1),ColTypeEcheance)),
  IF(LEN(L29)=1,
  IF(LEN(INDEX(Roadmap!$D:$K,MATCH($E29,Roadmap!$D:$D,0)-1+COUNTIF($E29:L29,"u")+COUNTIF($E29:L29,"t")+COUNTIF($E29:L29,"¶")+COUNTIF($E29:L29,"²")+COUNTIF($E29:L29,"µ")+COUNTIF($E29:L29,1),ColDescriptionCourte))&gt;1,
HYPERLINK("#Roadmap!C"&amp; MATCH($E29,Roadmap!$D:$D,0)+COUNTIF($E29:L29,"u")+COUNTIF($E29:L29,"t")+COUNTIF($E29:L29,"¶")+COUNTIF($E29:L29,"²")+COUNTIF($E29:L29,"µ")+COUNTIF($E29:L29,1)-1,INDEX(Roadmap!$D:$K,MATCH($E29,Roadmap!$D:$D,0)-1+COUNTIF($E29:L29,"u")+COUNTIF($E29:L29,"t")+COUNTIF($E29:L29,"¶")+COUNTIF($E29:L29,"²")+COUNTIF($E29:L29,"µ")+COUNTIF($E29:L29,1),ColDescriptionCourte)),""),
  "")),"")</f>
        <v/>
      </c>
      <c r="N29" s="40" t="str">
        <f ca="1">IFERROR(IF(AND(
  INDEX(Roadmap!$D:$K,MATCH($E29,Roadmap!$D:$D,0)+COUNTIF($E29:M29,"u")+COUNTIF($E29:M29,"t")+COUNTIF($E29:M29,"¶")+COUNTIF($E29:M29,"²")+COUNTIF($E29:M29,"µ")+COUNTIF($E29:M29,1),ColLivraison)=N$6,
  VLOOKUP($E29,INDIRECT("tri!"&amp; CHAR(64+ C0Col) &amp;":"&amp; CHAR(65+C0Col)),2,FALSE)&gt;COUNTIF($E29:M29,"u")+COUNTIF($E29:M29,"t")+COUNTIF($E29:M29,"¶")+COUNTIF($E29:M29,"²")+COUNTIF($E29:M29,"µ")+COUNTIF($E29:M29,1)),
HYPERLINK("#Roadmap!C"&amp; MATCH($E29,Roadmap!$D:$D,0)+COUNTIF($E29:M29,"u")+COUNTIF($E29:M29,"t"),
     INDEX(Roadmap!$D:$K,MATCH($E29,Roadmap!$D:$D,0)+COUNTIF($E29:M29,"u")+COUNTIF($E29:M29,"t")+COUNTIF($E29:M29,"¶")+COUNTIF($E29:M29,"²")+COUNTIF($E29:M29,"µ")+COUNTIF($E29:M29,1),ColTypeEcheance)),
  IF(LEN(M29)=1,
  IF(LEN(INDEX(Roadmap!$D:$K,MATCH($E29,Roadmap!$D:$D,0)-1+COUNTIF($E29:M29,"u")+COUNTIF($E29:M29,"t")+COUNTIF($E29:M29,"¶")+COUNTIF($E29:M29,"²")+COUNTIF($E29:M29,"µ")+COUNTIF($E29:M29,1),ColDescriptionCourte))&gt;1,
HYPERLINK("#Roadmap!C"&amp; MATCH($E29,Roadmap!$D:$D,0)+COUNTIF($E29:M29,"u")+COUNTIF($E29:M29,"t")+COUNTIF($E29:M29,"¶")+COUNTIF($E29:M29,"²")+COUNTIF($E29:M29,"µ")+COUNTIF($E29:M29,1)-1,INDEX(Roadmap!$D:$K,MATCH($E29,Roadmap!$D:$D,0)-1+COUNTIF($E29:M29,"u")+COUNTIF($E29:M29,"t")+COUNTIF($E29:M29,"¶")+COUNTIF($E29:M29,"²")+COUNTIF($E29:M29,"µ")+COUNTIF($E29:M29,1),ColDescriptionCourte)),""),
  "")),"")</f>
        <v/>
      </c>
      <c r="O29" s="40" t="str">
        <f ca="1">IFERROR(IF(AND(
  INDEX(Roadmap!$D:$K,MATCH($E29,Roadmap!$D:$D,0)+COUNTIF($E29:N29,"u")+COUNTIF($E29:N29,"t")+COUNTIF($E29:N29,"¶")+COUNTIF($E29:N29,"²")+COUNTIF($E29:N29,"µ")+COUNTIF($E29:N29,1),ColLivraison)=O$6,
  VLOOKUP($E29,INDIRECT("tri!"&amp; CHAR(64+ C0Col) &amp;":"&amp; CHAR(65+C0Col)),2,FALSE)&gt;COUNTIF($E29:N29,"u")+COUNTIF($E29:N29,"t")+COUNTIF($E29:N29,"¶")+COUNTIF($E29:N29,"²")+COUNTIF($E29:N29,"µ")+COUNTIF($E29:N29,1)),
HYPERLINK("#Roadmap!C"&amp; MATCH($E29,Roadmap!$D:$D,0)+COUNTIF($E29:N29,"u")+COUNTIF($E29:N29,"t"),
     INDEX(Roadmap!$D:$K,MATCH($E29,Roadmap!$D:$D,0)+COUNTIF($E29:N29,"u")+COUNTIF($E29:N29,"t")+COUNTIF($E29:N29,"¶")+COUNTIF($E29:N29,"²")+COUNTIF($E29:N29,"µ")+COUNTIF($E29:N29,1),ColTypeEcheance)),
  IF(LEN(N29)=1,
  IF(LEN(INDEX(Roadmap!$D:$K,MATCH($E29,Roadmap!$D:$D,0)-1+COUNTIF($E29:N29,"u")+COUNTIF($E29:N29,"t")+COUNTIF($E29:N29,"¶")+COUNTIF($E29:N29,"²")+COUNTIF($E29:N29,"µ")+COUNTIF($E29:N29,1),ColDescriptionCourte))&gt;1,
HYPERLINK("#Roadmap!C"&amp; MATCH($E29,Roadmap!$D:$D,0)+COUNTIF($E29:N29,"u")+COUNTIF($E29:N29,"t")+COUNTIF($E29:N29,"¶")+COUNTIF($E29:N29,"²")+COUNTIF($E29:N29,"µ")+COUNTIF($E29:N29,1)-1,INDEX(Roadmap!$D:$K,MATCH($E29,Roadmap!$D:$D,0)-1+COUNTIF($E29:N29,"u")+COUNTIF($E29:N29,"t")+COUNTIF($E29:N29,"¶")+COUNTIF($E29:N29,"²")+COUNTIF($E29:N29,"µ")+COUNTIF($E29:N29,1),ColDescriptionCourte)),""),
  "")),"")</f>
        <v/>
      </c>
      <c r="P29" s="40" t="str">
        <f ca="1">IFERROR(IF(AND(
  INDEX(Roadmap!$D:$K,MATCH($E29,Roadmap!$D:$D,0)+COUNTIF($E29:O29,"u")+COUNTIF($E29:O29,"t")+COUNTIF($E29:O29,"¶")+COUNTIF($E29:O29,"²")+COUNTIF($E29:O29,"µ")+COUNTIF($E29:O29,1),ColLivraison)=P$6,
  VLOOKUP($E29,INDIRECT("tri!"&amp; CHAR(64+ C0Col) &amp;":"&amp; CHAR(65+C0Col)),2,FALSE)&gt;COUNTIF($E29:O29,"u")+COUNTIF($E29:O29,"t")+COUNTIF($E29:O29,"¶")+COUNTIF($E29:O29,"²")+COUNTIF($E29:O29,"µ")+COUNTIF($E29:O29,1)),
HYPERLINK("#Roadmap!C"&amp; MATCH($E29,Roadmap!$D:$D,0)+COUNTIF($E29:O29,"u")+COUNTIF($E29:O29,"t"),
     INDEX(Roadmap!$D:$K,MATCH($E29,Roadmap!$D:$D,0)+COUNTIF($E29:O29,"u")+COUNTIF($E29:O29,"t")+COUNTIF($E29:O29,"¶")+COUNTIF($E29:O29,"²")+COUNTIF($E29:O29,"µ")+COUNTIF($E29:O29,1),ColTypeEcheance)),
  IF(LEN(O29)=1,
  IF(LEN(INDEX(Roadmap!$D:$K,MATCH($E29,Roadmap!$D:$D,0)-1+COUNTIF($E29:O29,"u")+COUNTIF($E29:O29,"t")+COUNTIF($E29:O29,"¶")+COUNTIF($E29:O29,"²")+COUNTIF($E29:O29,"µ")+COUNTIF($E29:O29,1),ColDescriptionCourte))&gt;1,
HYPERLINK("#Roadmap!C"&amp; MATCH($E29,Roadmap!$D:$D,0)+COUNTIF($E29:O29,"u")+COUNTIF($E29:O29,"t")+COUNTIF($E29:O29,"¶")+COUNTIF($E29:O29,"²")+COUNTIF($E29:O29,"µ")+COUNTIF($E29:O29,1)-1,INDEX(Roadmap!$D:$K,MATCH($E29,Roadmap!$D:$D,0)-1+COUNTIF($E29:O29,"u")+COUNTIF($E29:O29,"t")+COUNTIF($E29:O29,"¶")+COUNTIF($E29:O29,"²")+COUNTIF($E29:O29,"µ")+COUNTIF($E29:O29,1),ColDescriptionCourte)),""),
  "")),"")</f>
        <v/>
      </c>
      <c r="Q29" s="40" t="str">
        <f ca="1">IFERROR(IF(AND(
  INDEX(Roadmap!$D:$K,MATCH($E29,Roadmap!$D:$D,0)+COUNTIF($E29:P29,"u")+COUNTIF($E29:P29,"t")+COUNTIF($E29:P29,"¶")+COUNTIF($E29:P29,"²")+COUNTIF($E29:P29,"µ")+COUNTIF($E29:P29,1),ColLivraison)=Q$6,
  VLOOKUP($E29,INDIRECT("tri!"&amp; CHAR(64+ C0Col) &amp;":"&amp; CHAR(65+C0Col)),2,FALSE)&gt;COUNTIF($E29:P29,"u")+COUNTIF($E29:P29,"t")+COUNTIF($E29:P29,"¶")+COUNTIF($E29:P29,"²")+COUNTIF($E29:P29,"µ")+COUNTIF($E29:P29,1)),
HYPERLINK("#Roadmap!C"&amp; MATCH($E29,Roadmap!$D:$D,0)+COUNTIF($E29:P29,"u")+COUNTIF($E29:P29,"t"),
     INDEX(Roadmap!$D:$K,MATCH($E29,Roadmap!$D:$D,0)+COUNTIF($E29:P29,"u")+COUNTIF($E29:P29,"t")+COUNTIF($E29:P29,"¶")+COUNTIF($E29:P29,"²")+COUNTIF($E29:P29,"µ")+COUNTIF($E29:P29,1),ColTypeEcheance)),
  IF(LEN(P29)=1,
  IF(LEN(INDEX(Roadmap!$D:$K,MATCH($E29,Roadmap!$D:$D,0)-1+COUNTIF($E29:P29,"u")+COUNTIF($E29:P29,"t")+COUNTIF($E29:P29,"¶")+COUNTIF($E29:P29,"²")+COUNTIF($E29:P29,"µ")+COUNTIF($E29:P29,1),ColDescriptionCourte))&gt;1,
HYPERLINK("#Roadmap!C"&amp; MATCH($E29,Roadmap!$D:$D,0)+COUNTIF($E29:P29,"u")+COUNTIF($E29:P29,"t")+COUNTIF($E29:P29,"¶")+COUNTIF($E29:P29,"²")+COUNTIF($E29:P29,"µ")+COUNTIF($E29:P29,1)-1,INDEX(Roadmap!$D:$K,MATCH($E29,Roadmap!$D:$D,0)-1+COUNTIF($E29:P29,"u")+COUNTIF($E29:P29,"t")+COUNTIF($E29:P29,"¶")+COUNTIF($E29:P29,"²")+COUNTIF($E29:P29,"µ")+COUNTIF($E29:P29,1),ColDescriptionCourte)),""),
  "")),"")</f>
        <v/>
      </c>
      <c r="R29" s="40" t="str">
        <f ca="1">IFERROR(IF(AND(
  INDEX(Roadmap!$D:$K,MATCH($E29,Roadmap!$D:$D,0)+COUNTIF($E29:Q29,"u")+COUNTIF($E29:Q29,"t")+COUNTIF($E29:Q29,"¶")+COUNTIF($E29:Q29,"²")+COUNTIF($E29:Q29,"µ")+COUNTIF($E29:Q29,1),ColLivraison)=R$6,
  VLOOKUP($E29,INDIRECT("tri!"&amp; CHAR(64+ C0Col) &amp;":"&amp; CHAR(65+C0Col)),2,FALSE)&gt;COUNTIF($E29:Q29,"u")+COUNTIF($E29:Q29,"t")+COUNTIF($E29:Q29,"¶")+COUNTIF($E29:Q29,"²")+COUNTIF($E29:Q29,"µ")+COUNTIF($E29:Q29,1)),
HYPERLINK("#Roadmap!C"&amp; MATCH($E29,Roadmap!$D:$D,0)+COUNTIF($E29:Q29,"u")+COUNTIF($E29:Q29,"t"),
     INDEX(Roadmap!$D:$K,MATCH($E29,Roadmap!$D:$D,0)+COUNTIF($E29:Q29,"u")+COUNTIF($E29:Q29,"t")+COUNTIF($E29:Q29,"¶")+COUNTIF($E29:Q29,"²")+COUNTIF($E29:Q29,"µ")+COUNTIF($E29:Q29,1),ColTypeEcheance)),
  IF(LEN(Q29)=1,
  IF(LEN(INDEX(Roadmap!$D:$K,MATCH($E29,Roadmap!$D:$D,0)-1+COUNTIF($E29:Q29,"u")+COUNTIF($E29:Q29,"t")+COUNTIF($E29:Q29,"¶")+COUNTIF($E29:Q29,"²")+COUNTIF($E29:Q29,"µ")+COUNTIF($E29:Q29,1),ColDescriptionCourte))&gt;1,
HYPERLINK("#Roadmap!C"&amp; MATCH($E29,Roadmap!$D:$D,0)+COUNTIF($E29:Q29,"u")+COUNTIF($E29:Q29,"t")+COUNTIF($E29:Q29,"¶")+COUNTIF($E29:Q29,"²")+COUNTIF($E29:Q29,"µ")+COUNTIF($E29:Q29,1)-1,INDEX(Roadmap!$D:$K,MATCH($E29,Roadmap!$D:$D,0)-1+COUNTIF($E29:Q29,"u")+COUNTIF($E29:Q29,"t")+COUNTIF($E29:Q29,"¶")+COUNTIF($E29:Q29,"²")+COUNTIF($E29:Q29,"µ")+COUNTIF($E29:Q29,1),ColDescriptionCourte)),""),
  "")),"")</f>
        <v/>
      </c>
      <c r="S29" s="40" t="str">
        <f ca="1">IFERROR(IF(AND(
  INDEX(Roadmap!$D:$K,MATCH($E29,Roadmap!$D:$D,0)+COUNTIF($E29:R29,"u")+COUNTIF($E29:R29,"t")+COUNTIF($E29:R29,"¶")+COUNTIF($E29:R29,"²")+COUNTIF($E29:R29,"µ")+COUNTIF($E29:R29,1),ColLivraison)=S$6,
  VLOOKUP($E29,INDIRECT("tri!"&amp; CHAR(64+ C0Col) &amp;":"&amp; CHAR(65+C0Col)),2,FALSE)&gt;COUNTIF($E29:R29,"u")+COUNTIF($E29:R29,"t")+COUNTIF($E29:R29,"¶")+COUNTIF($E29:R29,"²")+COUNTIF($E29:R29,"µ")+COUNTIF($E29:R29,1)),
HYPERLINK("#Roadmap!C"&amp; MATCH($E29,Roadmap!$D:$D,0)+COUNTIF($E29:R29,"u")+COUNTIF($E29:R29,"t"),
     INDEX(Roadmap!$D:$K,MATCH($E29,Roadmap!$D:$D,0)+COUNTIF($E29:R29,"u")+COUNTIF($E29:R29,"t")+COUNTIF($E29:R29,"¶")+COUNTIF($E29:R29,"²")+COUNTIF($E29:R29,"µ")+COUNTIF($E29:R29,1),ColTypeEcheance)),
  IF(LEN(R29)=1,
  IF(LEN(INDEX(Roadmap!$D:$K,MATCH($E29,Roadmap!$D:$D,0)-1+COUNTIF($E29:R29,"u")+COUNTIF($E29:R29,"t")+COUNTIF($E29:R29,"¶")+COUNTIF($E29:R29,"²")+COUNTIF($E29:R29,"µ")+COUNTIF($E29:R29,1),ColDescriptionCourte))&gt;1,
HYPERLINK("#Roadmap!C"&amp; MATCH($E29,Roadmap!$D:$D,0)+COUNTIF($E29:R29,"u")+COUNTIF($E29:R29,"t")+COUNTIF($E29:R29,"¶")+COUNTIF($E29:R29,"²")+COUNTIF($E29:R29,"µ")+COUNTIF($E29:R29,1)-1,INDEX(Roadmap!$D:$K,MATCH($E29,Roadmap!$D:$D,0)-1+COUNTIF($E29:R29,"u")+COUNTIF($E29:R29,"t")+COUNTIF($E29:R29,"¶")+COUNTIF($E29:R29,"²")+COUNTIF($E29:R29,"µ")+COUNTIF($E29:R29,1),ColDescriptionCourte)),""),
  "")),"")</f>
        <v/>
      </c>
      <c r="T29" s="40" t="str">
        <f ca="1">IFERROR(IF(AND(
  INDEX(Roadmap!$D:$K,MATCH($E29,Roadmap!$D:$D,0)+COUNTIF($E29:S29,"u")+COUNTIF($E29:S29,"t")+COUNTIF($E29:S29,"¶")+COUNTIF($E29:S29,"²")+COUNTIF($E29:S29,"µ")+COUNTIF($E29:S29,1),ColLivraison)=T$6,
  VLOOKUP($E29,INDIRECT("tri!"&amp; CHAR(64+ C0Col) &amp;":"&amp; CHAR(65+C0Col)),2,FALSE)&gt;COUNTIF($E29:S29,"u")+COUNTIF($E29:S29,"t")+COUNTIF($E29:S29,"¶")+COUNTIF($E29:S29,"²")+COUNTIF($E29:S29,"µ")+COUNTIF($E29:S29,1)),
HYPERLINK("#Roadmap!C"&amp; MATCH($E29,Roadmap!$D:$D,0)+COUNTIF($E29:S29,"u")+COUNTIF($E29:S29,"t"),
     INDEX(Roadmap!$D:$K,MATCH($E29,Roadmap!$D:$D,0)+COUNTIF($E29:S29,"u")+COUNTIF($E29:S29,"t")+COUNTIF($E29:S29,"¶")+COUNTIF($E29:S29,"²")+COUNTIF($E29:S29,"µ")+COUNTIF($E29:S29,1),ColTypeEcheance)),
  IF(LEN(S29)=1,
  IF(LEN(INDEX(Roadmap!$D:$K,MATCH($E29,Roadmap!$D:$D,0)-1+COUNTIF($E29:S29,"u")+COUNTIF($E29:S29,"t")+COUNTIF($E29:S29,"¶")+COUNTIF($E29:S29,"²")+COUNTIF($E29:S29,"µ")+COUNTIF($E29:S29,1),ColDescriptionCourte))&gt;1,
HYPERLINK("#Roadmap!C"&amp; MATCH($E29,Roadmap!$D:$D,0)+COUNTIF($E29:S29,"u")+COUNTIF($E29:S29,"t")+COUNTIF($E29:S29,"¶")+COUNTIF($E29:S29,"²")+COUNTIF($E29:S29,"µ")+COUNTIF($E29:S29,1)-1,INDEX(Roadmap!$D:$K,MATCH($E29,Roadmap!$D:$D,0)-1+COUNTIF($E29:S29,"u")+COUNTIF($E29:S29,"t")+COUNTIF($E29:S29,"¶")+COUNTIF($E29:S29,"²")+COUNTIF($E29:S29,"µ")+COUNTIF($E29:S29,1),ColDescriptionCourte)),""),
  "")),"")</f>
        <v/>
      </c>
      <c r="U29" s="40" t="str">
        <f ca="1">IFERROR(IF(AND(
  INDEX(Roadmap!$D:$K,MATCH($E29,Roadmap!$D:$D,0)+COUNTIF($E29:T29,"u")+COUNTIF($E29:T29,"t")+COUNTIF($E29:T29,"¶")+COUNTIF($E29:T29,"²")+COUNTIF($E29:T29,"µ")+COUNTIF($E29:T29,1),ColLivraison)=U$6,
  VLOOKUP($E29,INDIRECT("tri!"&amp; CHAR(64+ C0Col) &amp;":"&amp; CHAR(65+C0Col)),2,FALSE)&gt;COUNTIF($E29:T29,"u")+COUNTIF($E29:T29,"t")+COUNTIF($E29:T29,"¶")+COUNTIF($E29:T29,"²")+COUNTIF($E29:T29,"µ")+COUNTIF($E29:T29,1)),
HYPERLINK("#Roadmap!C"&amp; MATCH($E29,Roadmap!$D:$D,0)+COUNTIF($E29:T29,"u")+COUNTIF($E29:T29,"t"),
     INDEX(Roadmap!$D:$K,MATCH($E29,Roadmap!$D:$D,0)+COUNTIF($E29:T29,"u")+COUNTIF($E29:T29,"t")+COUNTIF($E29:T29,"¶")+COUNTIF($E29:T29,"²")+COUNTIF($E29:T29,"µ")+COUNTIF($E29:T29,1),ColTypeEcheance)),
  IF(LEN(T29)=1,
  IF(LEN(INDEX(Roadmap!$D:$K,MATCH($E29,Roadmap!$D:$D,0)-1+COUNTIF($E29:T29,"u")+COUNTIF($E29:T29,"t")+COUNTIF($E29:T29,"¶")+COUNTIF($E29:T29,"²")+COUNTIF($E29:T29,"µ")+COUNTIF($E29:T29,1),ColDescriptionCourte))&gt;1,
HYPERLINK("#Roadmap!C"&amp; MATCH($E29,Roadmap!$D:$D,0)+COUNTIF($E29:T29,"u")+COUNTIF($E29:T29,"t")+COUNTIF($E29:T29,"¶")+COUNTIF($E29:T29,"²")+COUNTIF($E29:T29,"µ")+COUNTIF($E29:T29,1)-1,INDEX(Roadmap!$D:$K,MATCH($E29,Roadmap!$D:$D,0)-1+COUNTIF($E29:T29,"u")+COUNTIF($E29:T29,"t")+COUNTIF($E29:T29,"¶")+COUNTIF($E29:T29,"²")+COUNTIF($E29:T29,"µ")+COUNTIF($E29:T29,1),ColDescriptionCourte)),""),
  "")),"")</f>
        <v/>
      </c>
      <c r="V29" s="40" t="str">
        <f ca="1">IFERROR(IF(AND(
  INDEX(Roadmap!$D:$K,MATCH($E29,Roadmap!$D:$D,0)+COUNTIF($E29:U29,"u")+COUNTIF($E29:U29,"t")+COUNTIF($E29:U29,"¶")+COUNTIF($E29:U29,"²")+COUNTIF($E29:U29,"µ")+COUNTIF($E29:U29,1),ColLivraison)=V$6,
  VLOOKUP($E29,INDIRECT("tri!"&amp; CHAR(64+ C0Col) &amp;":"&amp; CHAR(65+C0Col)),2,FALSE)&gt;COUNTIF($E29:U29,"u")+COUNTIF($E29:U29,"t")+COUNTIF($E29:U29,"¶")+COUNTIF($E29:U29,"²")+COUNTIF($E29:U29,"µ")+COUNTIF($E29:U29,1)),
HYPERLINK("#Roadmap!C"&amp; MATCH($E29,Roadmap!$D:$D,0)+COUNTIF($E29:U29,"u")+COUNTIF($E29:U29,"t"),
     INDEX(Roadmap!$D:$K,MATCH($E29,Roadmap!$D:$D,0)+COUNTIF($E29:U29,"u")+COUNTIF($E29:U29,"t")+COUNTIF($E29:U29,"¶")+COUNTIF($E29:U29,"²")+COUNTIF($E29:U29,"µ")+COUNTIF($E29:U29,1),ColTypeEcheance)),
  IF(LEN(U29)=1,
  IF(LEN(INDEX(Roadmap!$D:$K,MATCH($E29,Roadmap!$D:$D,0)-1+COUNTIF($E29:U29,"u")+COUNTIF($E29:U29,"t")+COUNTIF($E29:U29,"¶")+COUNTIF($E29:U29,"²")+COUNTIF($E29:U29,"µ")+COUNTIF($E29:U29,1),ColDescriptionCourte))&gt;1,
HYPERLINK("#Roadmap!C"&amp; MATCH($E29,Roadmap!$D:$D,0)+COUNTIF($E29:U29,"u")+COUNTIF($E29:U29,"t")+COUNTIF($E29:U29,"¶")+COUNTIF($E29:U29,"²")+COUNTIF($E29:U29,"µ")+COUNTIF($E29:U29,1)-1,INDEX(Roadmap!$D:$K,MATCH($E29,Roadmap!$D:$D,0)-1+COUNTIF($E29:U29,"u")+COUNTIF($E29:U29,"t")+COUNTIF($E29:U29,"¶")+COUNTIF($E29:U29,"²")+COUNTIF($E29:U29,"µ")+COUNTIF($E29:U29,1),ColDescriptionCourte)),""),
  "")),"")</f>
        <v/>
      </c>
      <c r="W29" s="40" t="str">
        <f ca="1">IFERROR(IF(AND(
  INDEX(Roadmap!$D:$K,MATCH($E29,Roadmap!$D:$D,0)+COUNTIF($E29:V29,"u")+COUNTIF($E29:V29,"t")+COUNTIF($E29:V29,"¶")+COUNTIF($E29:V29,"²")+COUNTIF($E29:V29,"µ")+COUNTIF($E29:V29,1),ColLivraison)=W$6,
  VLOOKUP($E29,INDIRECT("tri!"&amp; CHAR(64+ C0Col) &amp;":"&amp; CHAR(65+C0Col)),2,FALSE)&gt;COUNTIF($E29:V29,"u")+COUNTIF($E29:V29,"t")+COUNTIF($E29:V29,"¶")+COUNTIF($E29:V29,"²")+COUNTIF($E29:V29,"µ")+COUNTIF($E29:V29,1)),
HYPERLINK("#Roadmap!C"&amp; MATCH($E29,Roadmap!$D:$D,0)+COUNTIF($E29:V29,"u")+COUNTIF($E29:V29,"t"),
     INDEX(Roadmap!$D:$K,MATCH($E29,Roadmap!$D:$D,0)+COUNTIF($E29:V29,"u")+COUNTIF($E29:V29,"t")+COUNTIF($E29:V29,"¶")+COUNTIF($E29:V29,"²")+COUNTIF($E29:V29,"µ")+COUNTIF($E29:V29,1),ColTypeEcheance)),
  IF(LEN(V29)=1,
  IF(LEN(INDEX(Roadmap!$D:$K,MATCH($E29,Roadmap!$D:$D,0)-1+COUNTIF($E29:V29,"u")+COUNTIF($E29:V29,"t")+COUNTIF($E29:V29,"¶")+COUNTIF($E29:V29,"²")+COUNTIF($E29:V29,"µ")+COUNTIF($E29:V29,1),ColDescriptionCourte))&gt;1,
HYPERLINK("#Roadmap!C"&amp; MATCH($E29,Roadmap!$D:$D,0)+COUNTIF($E29:V29,"u")+COUNTIF($E29:V29,"t")+COUNTIF($E29:V29,"¶")+COUNTIF($E29:V29,"²")+COUNTIF($E29:V29,"µ")+COUNTIF($E29:V29,1)-1,INDEX(Roadmap!$D:$K,MATCH($E29,Roadmap!$D:$D,0)-1+COUNTIF($E29:V29,"u")+COUNTIF($E29:V29,"t")+COUNTIF($E29:V29,"¶")+COUNTIF($E29:V29,"²")+COUNTIF($E29:V29,"µ")+COUNTIF($E29:V29,1),ColDescriptionCourte)),""),
  "")),"")</f>
        <v/>
      </c>
      <c r="X29" s="40" t="str">
        <f ca="1">IFERROR(IF(AND(
  INDEX(Roadmap!$D:$K,MATCH($E29,Roadmap!$D:$D,0)+COUNTIF($E29:W29,"u")+COUNTIF($E29:W29,"t")+COUNTIF($E29:W29,"¶")+COUNTIF($E29:W29,"²")+COUNTIF($E29:W29,"µ")+COUNTIF($E29:W29,1),ColLivraison)=X$6,
  VLOOKUP($E29,INDIRECT("tri!"&amp; CHAR(64+ C0Col) &amp;":"&amp; CHAR(65+C0Col)),2,FALSE)&gt;COUNTIF($E29:W29,"u")+COUNTIF($E29:W29,"t")+COUNTIF($E29:W29,"¶")+COUNTIF($E29:W29,"²")+COUNTIF($E29:W29,"µ")+COUNTIF($E29:W29,1)),
HYPERLINK("#Roadmap!C"&amp; MATCH($E29,Roadmap!$D:$D,0)+COUNTIF($E29:W29,"u")+COUNTIF($E29:W29,"t"),
     INDEX(Roadmap!$D:$K,MATCH($E29,Roadmap!$D:$D,0)+COUNTIF($E29:W29,"u")+COUNTIF($E29:W29,"t")+COUNTIF($E29:W29,"¶")+COUNTIF($E29:W29,"²")+COUNTIF($E29:W29,"µ")+COUNTIF($E29:W29,1),ColTypeEcheance)),
  IF(LEN(W29)=1,
  IF(LEN(INDEX(Roadmap!$D:$K,MATCH($E29,Roadmap!$D:$D,0)-1+COUNTIF($E29:W29,"u")+COUNTIF($E29:W29,"t")+COUNTIF($E29:W29,"¶")+COUNTIF($E29:W29,"²")+COUNTIF($E29:W29,"µ")+COUNTIF($E29:W29,1),ColDescriptionCourte))&gt;1,
HYPERLINK("#Roadmap!C"&amp; MATCH($E29,Roadmap!$D:$D,0)+COUNTIF($E29:W29,"u")+COUNTIF($E29:W29,"t")+COUNTIF($E29:W29,"¶")+COUNTIF($E29:W29,"²")+COUNTIF($E29:W29,"µ")+COUNTIF($E29:W29,1)-1,INDEX(Roadmap!$D:$K,MATCH($E29,Roadmap!$D:$D,0)-1+COUNTIF($E29:W29,"u")+COUNTIF($E29:W29,"t")+COUNTIF($E29:W29,"¶")+COUNTIF($E29:W29,"²")+COUNTIF($E29:W29,"µ")+COUNTIF($E29:W29,1),ColDescriptionCourte)),""),
  "")),"")</f>
        <v/>
      </c>
      <c r="Y29" s="40" t="str">
        <f ca="1">IFERROR(IF(AND(
  INDEX(Roadmap!$D:$K,MATCH($E29,Roadmap!$D:$D,0)+COUNTIF($E29:X29,"u")+COUNTIF($E29:X29,"t")+COUNTIF($E29:X29,"¶")+COUNTIF($E29:X29,"²")+COUNTIF($E29:X29,"µ")+COUNTIF($E29:X29,1),ColLivraison)=Y$6,
  VLOOKUP($E29,INDIRECT("tri!"&amp; CHAR(64+ C0Col) &amp;":"&amp; CHAR(65+C0Col)),2,FALSE)&gt;COUNTIF($E29:X29,"u")+COUNTIF($E29:X29,"t")+COUNTIF($E29:X29,"¶")+COUNTIF($E29:X29,"²")+COUNTIF($E29:X29,"µ")+COUNTIF($E29:X29,1)),
HYPERLINK("#Roadmap!C"&amp; MATCH($E29,Roadmap!$D:$D,0)+COUNTIF($E29:X29,"u")+COUNTIF($E29:X29,"t"),
     INDEX(Roadmap!$D:$K,MATCH($E29,Roadmap!$D:$D,0)+COUNTIF($E29:X29,"u")+COUNTIF($E29:X29,"t")+COUNTIF($E29:X29,"¶")+COUNTIF($E29:X29,"²")+COUNTIF($E29:X29,"µ")+COUNTIF($E29:X29,1),ColTypeEcheance)),
  IF(LEN(X29)=1,
  IF(LEN(INDEX(Roadmap!$D:$K,MATCH($E29,Roadmap!$D:$D,0)-1+COUNTIF($E29:X29,"u")+COUNTIF($E29:X29,"t")+COUNTIF($E29:X29,"¶")+COUNTIF($E29:X29,"²")+COUNTIF($E29:X29,"µ")+COUNTIF($E29:X29,1),ColDescriptionCourte))&gt;1,
HYPERLINK("#Roadmap!C"&amp; MATCH($E29,Roadmap!$D:$D,0)+COUNTIF($E29:X29,"u")+COUNTIF($E29:X29,"t")+COUNTIF($E29:X29,"¶")+COUNTIF($E29:X29,"²")+COUNTIF($E29:X29,"µ")+COUNTIF($E29:X29,1)-1,INDEX(Roadmap!$D:$K,MATCH($E29,Roadmap!$D:$D,0)-1+COUNTIF($E29:X29,"u")+COUNTIF($E29:X29,"t")+COUNTIF($E29:X29,"¶")+COUNTIF($E29:X29,"²")+COUNTIF($E29:X29,"µ")+COUNTIF($E29:X29,1),ColDescriptionCourte)),""),
  "")),"")</f>
        <v/>
      </c>
      <c r="Z29" s="40" t="str">
        <f ca="1">IFERROR(IF(AND(
  INDEX(Roadmap!$D:$K,MATCH($E29,Roadmap!$D:$D,0)+COUNTIF($E29:Y29,"u")+COUNTIF($E29:Y29,"t")+COUNTIF($E29:Y29,"¶")+COUNTIF($E29:Y29,"²")+COUNTIF($E29:Y29,"µ")+COUNTIF($E29:Y29,1),ColLivraison)=Z$6,
  VLOOKUP($E29,INDIRECT("tri!"&amp; CHAR(64+ C0Col) &amp;":"&amp; CHAR(65+C0Col)),2,FALSE)&gt;COUNTIF($E29:Y29,"u")+COUNTIF($E29:Y29,"t")+COUNTIF($E29:Y29,"¶")+COUNTIF($E29:Y29,"²")+COUNTIF($E29:Y29,"µ")+COUNTIF($E29:Y29,1)),
HYPERLINK("#Roadmap!C"&amp; MATCH($E29,Roadmap!$D:$D,0)+COUNTIF($E29:Y29,"u")+COUNTIF($E29:Y29,"t"),
     INDEX(Roadmap!$D:$K,MATCH($E29,Roadmap!$D:$D,0)+COUNTIF($E29:Y29,"u")+COUNTIF($E29:Y29,"t")+COUNTIF($E29:Y29,"¶")+COUNTIF($E29:Y29,"²")+COUNTIF($E29:Y29,"µ")+COUNTIF($E29:Y29,1),ColTypeEcheance)),
  IF(LEN(Y29)=1,
  IF(LEN(INDEX(Roadmap!$D:$K,MATCH($E29,Roadmap!$D:$D,0)-1+COUNTIF($E29:Y29,"u")+COUNTIF($E29:Y29,"t")+COUNTIF($E29:Y29,"¶")+COUNTIF($E29:Y29,"²")+COUNTIF($E29:Y29,"µ")+COUNTIF($E29:Y29,1),ColDescriptionCourte))&gt;1,
HYPERLINK("#Roadmap!C"&amp; MATCH($E29,Roadmap!$D:$D,0)+COUNTIF($E29:Y29,"u")+COUNTIF($E29:Y29,"t")+COUNTIF($E29:Y29,"¶")+COUNTIF($E29:Y29,"²")+COUNTIF($E29:Y29,"µ")+COUNTIF($E29:Y29,1)-1,INDEX(Roadmap!$D:$K,MATCH($E29,Roadmap!$D:$D,0)-1+COUNTIF($E29:Y29,"u")+COUNTIF($E29:Y29,"t")+COUNTIF($E29:Y29,"¶")+COUNTIF($E29:Y29,"²")+COUNTIF($E29:Y29,"µ")+COUNTIF($E29:Y29,1),ColDescriptionCourte)),""),
  "")),"")</f>
        <v/>
      </c>
      <c r="AA29" s="40" t="str">
        <f ca="1">IFERROR(IF(AND(
  INDEX(Roadmap!$D:$K,MATCH($E29,Roadmap!$D:$D,0)+COUNTIF($E29:Z29,"u")+COUNTIF($E29:Z29,"t")+COUNTIF($E29:Z29,"¶")+COUNTIF($E29:Z29,"²")+COUNTIF($E29:Z29,"µ")+COUNTIF($E29:Z29,1),ColLivraison)=AA$6,
  VLOOKUP($E29,INDIRECT("tri!"&amp; CHAR(64+ C0Col) &amp;":"&amp; CHAR(65+C0Col)),2,FALSE)&gt;COUNTIF($E29:Z29,"u")+COUNTIF($E29:Z29,"t")+COUNTIF($E29:Z29,"¶")+COUNTIF($E29:Z29,"²")+COUNTIF($E29:Z29,"µ")+COUNTIF($E29:Z29,1)),
HYPERLINK("#Roadmap!C"&amp; MATCH($E29,Roadmap!$D:$D,0)+COUNTIF($E29:Z29,"u")+COUNTIF($E29:Z29,"t"),
     INDEX(Roadmap!$D:$K,MATCH($E29,Roadmap!$D:$D,0)+COUNTIF($E29:Z29,"u")+COUNTIF($E29:Z29,"t")+COUNTIF($E29:Z29,"¶")+COUNTIF($E29:Z29,"²")+COUNTIF($E29:Z29,"µ")+COUNTIF($E29:Z29,1),ColTypeEcheance)),
  IF(LEN(Z29)=1,
  IF(LEN(INDEX(Roadmap!$D:$K,MATCH($E29,Roadmap!$D:$D,0)-1+COUNTIF($E29:Z29,"u")+COUNTIF($E29:Z29,"t")+COUNTIF($E29:Z29,"¶")+COUNTIF($E29:Z29,"²")+COUNTIF($E29:Z29,"µ")+COUNTIF($E29:Z29,1),ColDescriptionCourte))&gt;1,
HYPERLINK("#Roadmap!C"&amp; MATCH($E29,Roadmap!$D:$D,0)+COUNTIF($E29:Z29,"u")+COUNTIF($E29:Z29,"t")+COUNTIF($E29:Z29,"¶")+COUNTIF($E29:Z29,"²")+COUNTIF($E29:Z29,"µ")+COUNTIF($E29:Z29,1)-1,INDEX(Roadmap!$D:$K,MATCH($E29,Roadmap!$D:$D,0)-1+COUNTIF($E29:Z29,"u")+COUNTIF($E29:Z29,"t")+COUNTIF($E29:Z29,"¶")+COUNTIF($E29:Z29,"²")+COUNTIF($E29:Z29,"µ")+COUNTIF($E29:Z29,1),ColDescriptionCourte)),""),
  "")),"")</f>
        <v/>
      </c>
      <c r="AB29" s="40" t="str">
        <f ca="1">IFERROR(IF(AND(
  INDEX(Roadmap!$D:$K,MATCH($E29,Roadmap!$D:$D,0)+COUNTIF($E29:AA29,"u")+COUNTIF($E29:AA29,"t")+COUNTIF($E29:AA29,"¶")+COUNTIF($E29:AA29,"²")+COUNTIF($E29:AA29,"µ")+COUNTIF($E29:AA29,1),ColLivraison)=AB$6,
  VLOOKUP($E29,INDIRECT("tri!"&amp; CHAR(64+ C0Col) &amp;":"&amp; CHAR(65+C0Col)),2,FALSE)&gt;COUNTIF($E29:AA29,"u")+COUNTIF($E29:AA29,"t")+COUNTIF($E29:AA29,"¶")+COUNTIF($E29:AA29,"²")+COUNTIF($E29:AA29,"µ")+COUNTIF($E29:AA29,1)),
HYPERLINK("#Roadmap!C"&amp; MATCH($E29,Roadmap!$D:$D,0)+COUNTIF($E29:AA29,"u")+COUNTIF($E29:AA29,"t"),
     INDEX(Roadmap!$D:$K,MATCH($E29,Roadmap!$D:$D,0)+COUNTIF($E29:AA29,"u")+COUNTIF($E29:AA29,"t")+COUNTIF($E29:AA29,"¶")+COUNTIF($E29:AA29,"²")+COUNTIF($E29:AA29,"µ")+COUNTIF($E29:AA29,1),ColTypeEcheance)),
  IF(LEN(AA29)=1,
  IF(LEN(INDEX(Roadmap!$D:$K,MATCH($E29,Roadmap!$D:$D,0)-1+COUNTIF($E29:AA29,"u")+COUNTIF($E29:AA29,"t")+COUNTIF($E29:AA29,"¶")+COUNTIF($E29:AA29,"²")+COUNTIF($E29:AA29,"µ")+COUNTIF($E29:AA29,1),ColDescriptionCourte))&gt;1,
HYPERLINK("#Roadmap!C"&amp; MATCH($E29,Roadmap!$D:$D,0)+COUNTIF($E29:AA29,"u")+COUNTIF($E29:AA29,"t")+COUNTIF($E29:AA29,"¶")+COUNTIF($E29:AA29,"²")+COUNTIF($E29:AA29,"µ")+COUNTIF($E29:AA29,1)-1,INDEX(Roadmap!$D:$K,MATCH($E29,Roadmap!$D:$D,0)-1+COUNTIF($E29:AA29,"u")+COUNTIF($E29:AA29,"t")+COUNTIF($E29:AA29,"¶")+COUNTIF($E29:AA29,"²")+COUNTIF($E29:AA29,"µ")+COUNTIF($E29:AA29,1),ColDescriptionCourte)),""),
  "")),"")</f>
        <v/>
      </c>
      <c r="AC29" s="40" t="str">
        <f ca="1">IFERROR(IF(AND(
  INDEX(Roadmap!$D:$K,MATCH($E29,Roadmap!$D:$D,0)+COUNTIF($E29:AB29,"u")+COUNTIF($E29:AB29,"t")+COUNTIF($E29:AB29,"¶")+COUNTIF($E29:AB29,"²")+COUNTIF($E29:AB29,"µ")+COUNTIF($E29:AB29,1),ColLivraison)=AC$6,
  VLOOKUP($E29,INDIRECT("tri!"&amp; CHAR(64+ C0Col) &amp;":"&amp; CHAR(65+C0Col)),2,FALSE)&gt;COUNTIF($E29:AB29,"u")+COUNTIF($E29:AB29,"t")+COUNTIF($E29:AB29,"¶")+COUNTIF($E29:AB29,"²")+COUNTIF($E29:AB29,"µ")+COUNTIF($E29:AB29,1)),
HYPERLINK("#Roadmap!C"&amp; MATCH($E29,Roadmap!$D:$D,0)+COUNTIF($E29:AB29,"u")+COUNTIF($E29:AB29,"t"),
     INDEX(Roadmap!$D:$K,MATCH($E29,Roadmap!$D:$D,0)+COUNTIF($E29:AB29,"u")+COUNTIF($E29:AB29,"t")+COUNTIF($E29:AB29,"¶")+COUNTIF($E29:AB29,"²")+COUNTIF($E29:AB29,"µ")+COUNTIF($E29:AB29,1),ColTypeEcheance)),
  IF(LEN(AB29)=1,
  IF(LEN(INDEX(Roadmap!$D:$K,MATCH($E29,Roadmap!$D:$D,0)-1+COUNTIF($E29:AB29,"u")+COUNTIF($E29:AB29,"t")+COUNTIF($E29:AB29,"¶")+COUNTIF($E29:AB29,"²")+COUNTIF($E29:AB29,"µ")+COUNTIF($E29:AB29,1),ColDescriptionCourte))&gt;1,
HYPERLINK("#Roadmap!C"&amp; MATCH($E29,Roadmap!$D:$D,0)+COUNTIF($E29:AB29,"u")+COUNTIF($E29:AB29,"t")+COUNTIF($E29:AB29,"¶")+COUNTIF($E29:AB29,"²")+COUNTIF($E29:AB29,"µ")+COUNTIF($E29:AB29,1)-1,INDEX(Roadmap!$D:$K,MATCH($E29,Roadmap!$D:$D,0)-1+COUNTIF($E29:AB29,"u")+COUNTIF($E29:AB29,"t")+COUNTIF($E29:AB29,"¶")+COUNTIF($E29:AB29,"²")+COUNTIF($E29:AB29,"µ")+COUNTIF($E29:AB29,1),ColDescriptionCourte)),""),
  "")),"")</f>
        <v/>
      </c>
      <c r="AD29" s="40" t="str">
        <f ca="1">IFERROR(IF(AND(
  INDEX(Roadmap!$D:$K,MATCH($E29,Roadmap!$D:$D,0)+COUNTIF($E29:AC29,"u")+COUNTIF($E29:AC29,"t")+COUNTIF($E29:AC29,"¶")+COUNTIF($E29:AC29,"²")+COUNTIF($E29:AC29,"µ")+COUNTIF($E29:AC29,1),ColLivraison)=AD$6,
  VLOOKUP($E29,INDIRECT("tri!"&amp; CHAR(64+ C0Col) &amp;":"&amp; CHAR(65+C0Col)),2,FALSE)&gt;COUNTIF($E29:AC29,"u")+COUNTIF($E29:AC29,"t")+COUNTIF($E29:AC29,"¶")+COUNTIF($E29:AC29,"²")+COUNTIF($E29:AC29,"µ")+COUNTIF($E29:AC29,1)),
HYPERLINK("#Roadmap!C"&amp; MATCH($E29,Roadmap!$D:$D,0)+COUNTIF($E29:AC29,"u")+COUNTIF($E29:AC29,"t"),
     INDEX(Roadmap!$D:$K,MATCH($E29,Roadmap!$D:$D,0)+COUNTIF($E29:AC29,"u")+COUNTIF($E29:AC29,"t")+COUNTIF($E29:AC29,"¶")+COUNTIF($E29:AC29,"²")+COUNTIF($E29:AC29,"µ")+COUNTIF($E29:AC29,1),ColTypeEcheance)),
  IF(LEN(AC29)=1,
  IF(LEN(INDEX(Roadmap!$D:$K,MATCH($E29,Roadmap!$D:$D,0)-1+COUNTIF($E29:AC29,"u")+COUNTIF($E29:AC29,"t")+COUNTIF($E29:AC29,"¶")+COUNTIF($E29:AC29,"²")+COUNTIF($E29:AC29,"µ")+COUNTIF($E29:AC29,1),ColDescriptionCourte))&gt;1,
HYPERLINK("#Roadmap!C"&amp; MATCH($E29,Roadmap!$D:$D,0)+COUNTIF($E29:AC29,"u")+COUNTIF($E29:AC29,"t")+COUNTIF($E29:AC29,"¶")+COUNTIF($E29:AC29,"²")+COUNTIF($E29:AC29,"µ")+COUNTIF($E29:AC29,1)-1,INDEX(Roadmap!$D:$K,MATCH($E29,Roadmap!$D:$D,0)-1+COUNTIF($E29:AC29,"u")+COUNTIF($E29:AC29,"t")+COUNTIF($E29:AC29,"¶")+COUNTIF($E29:AC29,"²")+COUNTIF($E29:AC29,"µ")+COUNTIF($E29:AC29,1),ColDescriptionCourte)),""),
  "")),"")</f>
        <v/>
      </c>
      <c r="AE29" s="40" t="str">
        <f ca="1">IFERROR(IF(AND(
  INDEX(Roadmap!$D:$K,MATCH($E29,Roadmap!$D:$D,0)+COUNTIF($E29:AD29,"u")+COUNTIF($E29:AD29,"t")+COUNTIF($E29:AD29,"¶")+COUNTIF($E29:AD29,"²")+COUNTIF($E29:AD29,"µ")+COUNTIF($E29:AD29,1),ColLivraison)=AE$6,
  VLOOKUP($E29,INDIRECT("tri!"&amp; CHAR(64+ C0Col) &amp;":"&amp; CHAR(65+C0Col)),2,FALSE)&gt;COUNTIF($E29:AD29,"u")+COUNTIF($E29:AD29,"t")+COUNTIF($E29:AD29,"¶")+COUNTIF($E29:AD29,"²")+COUNTIF($E29:AD29,"µ")+COUNTIF($E29:AD29,1)),
HYPERLINK("#Roadmap!C"&amp; MATCH($E29,Roadmap!$D:$D,0)+COUNTIF($E29:AD29,"u")+COUNTIF($E29:AD29,"t"),
     INDEX(Roadmap!$D:$K,MATCH($E29,Roadmap!$D:$D,0)+COUNTIF($E29:AD29,"u")+COUNTIF($E29:AD29,"t")+COUNTIF($E29:AD29,"¶")+COUNTIF($E29:AD29,"²")+COUNTIF($E29:AD29,"µ")+COUNTIF($E29:AD29,1),ColTypeEcheance)),
  IF(LEN(AD29)=1,
  IF(LEN(INDEX(Roadmap!$D:$K,MATCH($E29,Roadmap!$D:$D,0)-1+COUNTIF($E29:AD29,"u")+COUNTIF($E29:AD29,"t")+COUNTIF($E29:AD29,"¶")+COUNTIF($E29:AD29,"²")+COUNTIF($E29:AD29,"µ")+COUNTIF($E29:AD29,1),ColDescriptionCourte))&gt;1,
HYPERLINK("#Roadmap!C"&amp; MATCH($E29,Roadmap!$D:$D,0)+COUNTIF($E29:AD29,"u")+COUNTIF($E29:AD29,"t")+COUNTIF($E29:AD29,"¶")+COUNTIF($E29:AD29,"²")+COUNTIF($E29:AD29,"µ")+COUNTIF($E29:AD29,1)-1,INDEX(Roadmap!$D:$K,MATCH($E29,Roadmap!$D:$D,0)-1+COUNTIF($E29:AD29,"u")+COUNTIF($E29:AD29,"t")+COUNTIF($E29:AD29,"¶")+COUNTIF($E29:AD29,"²")+COUNTIF($E29:AD29,"µ")+COUNTIF($E29:AD29,1),ColDescriptionCourte)),""),
  "")),"")</f>
        <v/>
      </c>
      <c r="AF29" s="40" t="str">
        <f ca="1">IFERROR(IF(AND(
  INDEX(Roadmap!$D:$K,MATCH($E29,Roadmap!$D:$D,0)+COUNTIF($E29:AE29,"u")+COUNTIF($E29:AE29,"t")+COUNTIF($E29:AE29,"¶")+COUNTIF($E29:AE29,"²")+COUNTIF($E29:AE29,"µ")+COUNTIF($E29:AE29,1),ColLivraison)=AF$6,
  VLOOKUP($E29,INDIRECT("tri!"&amp; CHAR(64+ C0Col) &amp;":"&amp; CHAR(65+C0Col)),2,FALSE)&gt;COUNTIF($E29:AE29,"u")+COUNTIF($E29:AE29,"t")+COUNTIF($E29:AE29,"¶")+COUNTIF($E29:AE29,"²")+COUNTIF($E29:AE29,"µ")+COUNTIF($E29:AE29,1)),
HYPERLINK("#Roadmap!C"&amp; MATCH($E29,Roadmap!$D:$D,0)+COUNTIF($E29:AE29,"u")+COUNTIF($E29:AE29,"t"),
     INDEX(Roadmap!$D:$K,MATCH($E29,Roadmap!$D:$D,0)+COUNTIF($E29:AE29,"u")+COUNTIF($E29:AE29,"t")+COUNTIF($E29:AE29,"¶")+COUNTIF($E29:AE29,"²")+COUNTIF($E29:AE29,"µ")+COUNTIF($E29:AE29,1),ColTypeEcheance)),
  IF(LEN(AE29)=1,
  IF(LEN(INDEX(Roadmap!$D:$K,MATCH($E29,Roadmap!$D:$D,0)-1+COUNTIF($E29:AE29,"u")+COUNTIF($E29:AE29,"t")+COUNTIF($E29:AE29,"¶")+COUNTIF($E29:AE29,"²")+COUNTIF($E29:AE29,"µ")+COUNTIF($E29:AE29,1),ColDescriptionCourte))&gt;1,
HYPERLINK("#Roadmap!C"&amp; MATCH($E29,Roadmap!$D:$D,0)+COUNTIF($E29:AE29,"u")+COUNTIF($E29:AE29,"t")+COUNTIF($E29:AE29,"¶")+COUNTIF($E29:AE29,"²")+COUNTIF($E29:AE29,"µ")+COUNTIF($E29:AE29,1)-1,INDEX(Roadmap!$D:$K,MATCH($E29,Roadmap!$D:$D,0)-1+COUNTIF($E29:AE29,"u")+COUNTIF($E29:AE29,"t")+COUNTIF($E29:AE29,"¶")+COUNTIF($E29:AE29,"²")+COUNTIF($E29:AE29,"µ")+COUNTIF($E29:AE29,1),ColDescriptionCourte)),""),
  "")),"")</f>
        <v/>
      </c>
      <c r="AG29" s="40" t="str">
        <f ca="1">IFERROR(IF(AND(
  INDEX(Roadmap!$D:$K,MATCH($E29,Roadmap!$D:$D,0)+COUNTIF($E29:AF29,"u")+COUNTIF($E29:AF29,"t")+COUNTIF($E29:AF29,"¶")+COUNTIF($E29:AF29,"²")+COUNTIF($E29:AF29,"µ")+COUNTIF($E29:AF29,1),ColLivraison)=AG$6,
  VLOOKUP($E29,INDIRECT("tri!"&amp; CHAR(64+ C0Col) &amp;":"&amp; CHAR(65+C0Col)),2,FALSE)&gt;COUNTIF($E29:AF29,"u")+COUNTIF($E29:AF29,"t")+COUNTIF($E29:AF29,"¶")+COUNTIF($E29:AF29,"²")+COUNTIF($E29:AF29,"µ")+COUNTIF($E29:AF29,1)),
HYPERLINK("#Roadmap!C"&amp; MATCH($E29,Roadmap!$D:$D,0)+COUNTIF($E29:AF29,"u")+COUNTIF($E29:AF29,"t"),
     INDEX(Roadmap!$D:$K,MATCH($E29,Roadmap!$D:$D,0)+COUNTIF($E29:AF29,"u")+COUNTIF($E29:AF29,"t")+COUNTIF($E29:AF29,"¶")+COUNTIF($E29:AF29,"²")+COUNTIF($E29:AF29,"µ")+COUNTIF($E29:AF29,1),ColTypeEcheance)),
  IF(LEN(AF29)=1,
  IF(LEN(INDEX(Roadmap!$D:$K,MATCH($E29,Roadmap!$D:$D,0)-1+COUNTIF($E29:AF29,"u")+COUNTIF($E29:AF29,"t")+COUNTIF($E29:AF29,"¶")+COUNTIF($E29:AF29,"²")+COUNTIF($E29:AF29,"µ")+COUNTIF($E29:AF29,1),ColDescriptionCourte))&gt;1,
HYPERLINK("#Roadmap!C"&amp; MATCH($E29,Roadmap!$D:$D,0)+COUNTIF($E29:AF29,"u")+COUNTIF($E29:AF29,"t")+COUNTIF($E29:AF29,"¶")+COUNTIF($E29:AF29,"²")+COUNTIF($E29:AF29,"µ")+COUNTIF($E29:AF29,1)-1,INDEX(Roadmap!$D:$K,MATCH($E29,Roadmap!$D:$D,0)-1+COUNTIF($E29:AF29,"u")+COUNTIF($E29:AF29,"t")+COUNTIF($E29:AF29,"¶")+COUNTIF($E29:AF29,"²")+COUNTIF($E29:AF29,"µ")+COUNTIF($E29:AF29,1),ColDescriptionCourte)),""),
  "")),"")</f>
        <v/>
      </c>
    </row>
    <row r="30" spans="3:33" ht="14.25" customHeight="1">
      <c r="C30" s="1" t="str">
        <f t="shared" ca="1" si="42"/>
        <v/>
      </c>
      <c r="D30" s="1" t="str">
        <f t="shared" ca="1" si="43"/>
        <v/>
      </c>
      <c r="E30" s="35" t="str">
        <f t="shared" ca="1" si="33"/>
        <v/>
      </c>
      <c r="F30" s="39" t="str">
        <f ca="1">IFERROR(IF(AND(
  INDEX(Roadmap!$D:$K,MATCH($E30,Roadmap!$D:$D,0)+COUNTIF($E30:E30,"u")+COUNTIF($E30:E30,"t")+COUNTIF($E30:E30,"¶")+COUNTIF($E30:E30,"²")+COUNTIF($E30:E30,"µ")+COUNTIF($E30:E30,1),ColLivraison)=F$6,
  VLOOKUP($E30,INDIRECT("tri!"&amp; CHAR(64+ C0Col) &amp;":"&amp; CHAR(65+C0Col)),2,FALSE)&gt;COUNTIF($E30:E30,"u")+COUNTIF($E30:E30,"t")+COUNTIF($E30:E30,"¶")+COUNTIF($E30:E30,"²")+COUNTIF($E30:E30,"µ")+COUNTIF($E30:E30,1)),
HYPERLINK("#Roadmap!C"&amp; MATCH($E30,Roadmap!$D:$D,0)+COUNTIF($E30:E30,"u")+COUNTIF($E30:E30,"t"),
     INDEX(Roadmap!$D:$K,MATCH($E30,Roadmap!$D:$D,0)+COUNTIF($E30:E30,"u")+COUNTIF($E30:E30,"t")+COUNTIF($E30:E30,"¶")+COUNTIF($E30:E30,"²")+COUNTIF($E30:E30,"µ")+COUNTIF($E30:E30,1),ColTypeEcheance)),
  IF(LEN(E30)=1,
  IF(LEN(INDEX(Roadmap!$D:$K,MATCH($E30,Roadmap!$D:$D,0)-1+COUNTIF($E30:E30,"u")+COUNTIF($E30:E30,"t")+COUNTIF($E30:E30,"¶")+COUNTIF($E30:E30,"²")+COUNTIF($E30:E30,"µ")+COUNTIF($E30:E30,1),ColDescriptionCourte))&gt;1,
HYPERLINK("#Roadmap!C"&amp; MATCH($E30,Roadmap!$D:$D,0)+COUNTIF($E30:E30,"u")+COUNTIF($E30:E30,"t")+COUNTIF($E30:E30,"¶")+COUNTIF($E30:E30,"²")+COUNTIF($E30:E30,"µ")+COUNTIF($E30:E30,1)-1,INDEX(Roadmap!$D:$K,MATCH($E30,Roadmap!$D:$D,0)-1+COUNTIF($E30:E30,"u")+COUNTIF($E30:E30,"t")+COUNTIF($E30:E30,"¶")+COUNTIF($E30:E30,"²")+COUNTIF($E30:E30,"µ")+COUNTIF($E30:E30,1),ColDescriptionCourte)),""),
  "")),"")</f>
        <v/>
      </c>
      <c r="G30" s="40" t="str">
        <f ca="1">IFERROR(IF(AND(
  INDEX(Roadmap!$D:$K,MATCH($E30,Roadmap!$D:$D,0)+COUNTIF($E30:F30,"u")+COUNTIF($E30:F30,"t")+COUNTIF($E30:F30,"¶")+COUNTIF($E30:F30,"²")+COUNTIF($E30:F30,"µ")+COUNTIF($E30:F30,1),ColLivraison)=G$6,
  VLOOKUP($E30,INDIRECT("tri!"&amp; CHAR(64+ C0Col) &amp;":"&amp; CHAR(65+C0Col)),2,FALSE)&gt;COUNTIF($E30:F30,"u")+COUNTIF($E30:F30,"t")+COUNTIF($E30:F30,"¶")+COUNTIF($E30:F30,"²")+COUNTIF($E30:F30,"µ")+COUNTIF($E30:F30,1)),
HYPERLINK("#Roadmap!C"&amp; MATCH($E30,Roadmap!$D:$D,0)+COUNTIF($E30:F30,"u")+COUNTIF($E30:F30,"t"),
     INDEX(Roadmap!$D:$K,MATCH($E30,Roadmap!$D:$D,0)+COUNTIF($E30:F30,"u")+COUNTIF($E30:F30,"t")+COUNTIF($E30:F30,"¶")+COUNTIF($E30:F30,"²")+COUNTIF($E30:F30,"µ")+COUNTIF($E30:F30,1),ColTypeEcheance)),
  IF(LEN(F30)=1,
  IF(LEN(INDEX(Roadmap!$D:$K,MATCH($E30,Roadmap!$D:$D,0)-1+COUNTIF($E30:F30,"u")+COUNTIF($E30:F30,"t")+COUNTIF($E30:F30,"¶")+COUNTIF($E30:F30,"²")+COUNTIF($E30:F30,"µ")+COUNTIF($E30:F30,1),ColDescriptionCourte))&gt;1,
HYPERLINK("#Roadmap!C"&amp; MATCH($E30,Roadmap!$D:$D,0)+COUNTIF($E30:F30,"u")+COUNTIF($E30:F30,"t")+COUNTIF($E30:F30,"¶")+COUNTIF($E30:F30,"²")+COUNTIF($E30:F30,"µ")+COUNTIF($E30:F30,1)-1,INDEX(Roadmap!$D:$K,MATCH($E30,Roadmap!$D:$D,0)-1+COUNTIF($E30:F30,"u")+COUNTIF($E30:F30,"t")+COUNTIF($E30:F30,"¶")+COUNTIF($E30:F30,"²")+COUNTIF($E30:F30,"µ")+COUNTIF($E30:F30,1),ColDescriptionCourte)),""),
  "")),"")</f>
        <v/>
      </c>
      <c r="H30" s="40" t="str">
        <f ca="1">IFERROR(IF(AND(
  INDEX(Roadmap!$D:$K,MATCH($E30,Roadmap!$D:$D,0)+COUNTIF($E30:G30,"u")+COUNTIF($E30:G30,"t")+COUNTIF($E30:G30,"¶")+COUNTIF($E30:G30,"²")+COUNTIF($E30:G30,"µ")+COUNTIF($E30:G30,1),ColLivraison)=H$6,
  VLOOKUP($E30,INDIRECT("tri!"&amp; CHAR(64+ C0Col) &amp;":"&amp; CHAR(65+C0Col)),2,FALSE)&gt;COUNTIF($E30:G30,"u")+COUNTIF($E30:G30,"t")+COUNTIF($E30:G30,"¶")+COUNTIF($E30:G30,"²")+COUNTIF($E30:G30,"µ")+COUNTIF($E30:G30,1)),
HYPERLINK("#Roadmap!C"&amp; MATCH($E30,Roadmap!$D:$D,0)+COUNTIF($E30:G30,"u")+COUNTIF($E30:G30,"t"),
     INDEX(Roadmap!$D:$K,MATCH($E30,Roadmap!$D:$D,0)+COUNTIF($E30:G30,"u")+COUNTIF($E30:G30,"t")+COUNTIF($E30:G30,"¶")+COUNTIF($E30:G30,"²")+COUNTIF($E30:G30,"µ")+COUNTIF($E30:G30,1),ColTypeEcheance)),
  IF(LEN(G30)=1,
  IF(LEN(INDEX(Roadmap!$D:$K,MATCH($E30,Roadmap!$D:$D,0)-1+COUNTIF($E30:G30,"u")+COUNTIF($E30:G30,"t")+COUNTIF($E30:G30,"¶")+COUNTIF($E30:G30,"²")+COUNTIF($E30:G30,"µ")+COUNTIF($E30:G30,1),ColDescriptionCourte))&gt;1,
HYPERLINK("#Roadmap!C"&amp; MATCH($E30,Roadmap!$D:$D,0)+COUNTIF($E30:G30,"u")+COUNTIF($E30:G30,"t")+COUNTIF($E30:G30,"¶")+COUNTIF($E30:G30,"²")+COUNTIF($E30:G30,"µ")+COUNTIF($E30:G30,1)-1,INDEX(Roadmap!$D:$K,MATCH($E30,Roadmap!$D:$D,0)-1+COUNTIF($E30:G30,"u")+COUNTIF($E30:G30,"t")+COUNTIF($E30:G30,"¶")+COUNTIF($E30:G30,"²")+COUNTIF($E30:G30,"µ")+COUNTIF($E30:G30,1),ColDescriptionCourte)),""),
  "")),"")</f>
        <v/>
      </c>
      <c r="I30" s="40" t="str">
        <f ca="1">IFERROR(IF(AND(
  INDEX(Roadmap!$D:$K,MATCH($E30,Roadmap!$D:$D,0)+COUNTIF($E30:H30,"u")+COUNTIF($E30:H30,"t")+COUNTIF($E30:H30,"¶")+COUNTIF($E30:H30,"²")+COUNTIF($E30:H30,"µ")+COUNTIF($E30:H30,1),ColLivraison)=I$6,
  VLOOKUP($E30,INDIRECT("tri!"&amp; CHAR(64+ C0Col) &amp;":"&amp; CHAR(65+C0Col)),2,FALSE)&gt;COUNTIF($E30:H30,"u")+COUNTIF($E30:H30,"t")+COUNTIF($E30:H30,"¶")+COUNTIF($E30:H30,"²")+COUNTIF($E30:H30,"µ")+COUNTIF($E30:H30,1)),
HYPERLINK("#Roadmap!C"&amp; MATCH($E30,Roadmap!$D:$D,0)+COUNTIF($E30:H30,"u")+COUNTIF($E30:H30,"t"),
     INDEX(Roadmap!$D:$K,MATCH($E30,Roadmap!$D:$D,0)+COUNTIF($E30:H30,"u")+COUNTIF($E30:H30,"t")+COUNTIF($E30:H30,"¶")+COUNTIF($E30:H30,"²")+COUNTIF($E30:H30,"µ")+COUNTIF($E30:H30,1),ColTypeEcheance)),
  IF(LEN(H30)=1,
  IF(LEN(INDEX(Roadmap!$D:$K,MATCH($E30,Roadmap!$D:$D,0)-1+COUNTIF($E30:H30,"u")+COUNTIF($E30:H30,"t")+COUNTIF($E30:H30,"¶")+COUNTIF($E30:H30,"²")+COUNTIF($E30:H30,"µ")+COUNTIF($E30:H30,1),ColDescriptionCourte))&gt;1,
HYPERLINK("#Roadmap!C"&amp; MATCH($E30,Roadmap!$D:$D,0)+COUNTIF($E30:H30,"u")+COUNTIF($E30:H30,"t")+COUNTIF($E30:H30,"¶")+COUNTIF($E30:H30,"²")+COUNTIF($E30:H30,"µ")+COUNTIF($E30:H30,1)-1,INDEX(Roadmap!$D:$K,MATCH($E30,Roadmap!$D:$D,0)-1+COUNTIF($E30:H30,"u")+COUNTIF($E30:H30,"t")+COUNTIF($E30:H30,"¶")+COUNTIF($E30:H30,"²")+COUNTIF($E30:H30,"µ")+COUNTIF($E30:H30,1),ColDescriptionCourte)),""),
  "")),"")</f>
        <v/>
      </c>
      <c r="J30" s="40" t="str">
        <f ca="1">IFERROR(IF(AND(
  INDEX(Roadmap!$D:$K,MATCH($E30,Roadmap!$D:$D,0)+COUNTIF($E30:I30,"u")+COUNTIF($E30:I30,"t")+COUNTIF($E30:I30,"¶")+COUNTIF($E30:I30,"²")+COUNTIF($E30:I30,"µ")+COUNTIF($E30:I30,1),ColLivraison)=J$6,
  VLOOKUP($E30,INDIRECT("tri!"&amp; CHAR(64+ C0Col) &amp;":"&amp; CHAR(65+C0Col)),2,FALSE)&gt;COUNTIF($E30:I30,"u")+COUNTIF($E30:I30,"t")+COUNTIF($E30:I30,"¶")+COUNTIF($E30:I30,"²")+COUNTIF($E30:I30,"µ")+COUNTIF($E30:I30,1)),
HYPERLINK("#Roadmap!C"&amp; MATCH($E30,Roadmap!$D:$D,0)+COUNTIF($E30:I30,"u")+COUNTIF($E30:I30,"t"),
     INDEX(Roadmap!$D:$K,MATCH($E30,Roadmap!$D:$D,0)+COUNTIF($E30:I30,"u")+COUNTIF($E30:I30,"t")+COUNTIF($E30:I30,"¶")+COUNTIF($E30:I30,"²")+COUNTIF($E30:I30,"µ")+COUNTIF($E30:I30,1),ColTypeEcheance)),
  IF(LEN(I30)=1,
  IF(LEN(INDEX(Roadmap!$D:$K,MATCH($E30,Roadmap!$D:$D,0)-1+COUNTIF($E30:I30,"u")+COUNTIF($E30:I30,"t")+COUNTIF($E30:I30,"¶")+COUNTIF($E30:I30,"²")+COUNTIF($E30:I30,"µ")+COUNTIF($E30:I30,1),ColDescriptionCourte))&gt;1,
HYPERLINK("#Roadmap!C"&amp; MATCH($E30,Roadmap!$D:$D,0)+COUNTIF($E30:I30,"u")+COUNTIF($E30:I30,"t")+COUNTIF($E30:I30,"¶")+COUNTIF($E30:I30,"²")+COUNTIF($E30:I30,"µ")+COUNTIF($E30:I30,1)-1,INDEX(Roadmap!$D:$K,MATCH($E30,Roadmap!$D:$D,0)-1+COUNTIF($E30:I30,"u")+COUNTIF($E30:I30,"t")+COUNTIF($E30:I30,"¶")+COUNTIF($E30:I30,"²")+COUNTIF($E30:I30,"µ")+COUNTIF($E30:I30,1),ColDescriptionCourte)),""),
  "")),"")</f>
        <v/>
      </c>
      <c r="K30" s="40" t="str">
        <f ca="1">IFERROR(IF(AND(
  INDEX(Roadmap!$D:$K,MATCH($E30,Roadmap!$D:$D,0)+COUNTIF($E30:J30,"u")+COUNTIF($E30:J30,"t")+COUNTIF($E30:J30,"¶")+COUNTIF($E30:J30,"²")+COUNTIF($E30:J30,"µ")+COUNTIF($E30:J30,1),ColLivraison)=K$6,
  VLOOKUP($E30,INDIRECT("tri!"&amp; CHAR(64+ C0Col) &amp;":"&amp; CHAR(65+C0Col)),2,FALSE)&gt;COUNTIF($E30:J30,"u")+COUNTIF($E30:J30,"t")+COUNTIF($E30:J30,"¶")+COUNTIF($E30:J30,"²")+COUNTIF($E30:J30,"µ")+COUNTIF($E30:J30,1)),
HYPERLINK("#Roadmap!C"&amp; MATCH($E30,Roadmap!$D:$D,0)+COUNTIF($E30:J30,"u")+COUNTIF($E30:J30,"t"),
     INDEX(Roadmap!$D:$K,MATCH($E30,Roadmap!$D:$D,0)+COUNTIF($E30:J30,"u")+COUNTIF($E30:J30,"t")+COUNTIF($E30:J30,"¶")+COUNTIF($E30:J30,"²")+COUNTIF($E30:J30,"µ")+COUNTIF($E30:J30,1),ColTypeEcheance)),
  IF(LEN(J30)=1,
  IF(LEN(INDEX(Roadmap!$D:$K,MATCH($E30,Roadmap!$D:$D,0)-1+COUNTIF($E30:J30,"u")+COUNTIF($E30:J30,"t")+COUNTIF($E30:J30,"¶")+COUNTIF($E30:J30,"²")+COUNTIF($E30:J30,"µ")+COUNTIF($E30:J30,1),ColDescriptionCourte))&gt;1,
HYPERLINK("#Roadmap!C"&amp; MATCH($E30,Roadmap!$D:$D,0)+COUNTIF($E30:J30,"u")+COUNTIF($E30:J30,"t")+COUNTIF($E30:J30,"¶")+COUNTIF($E30:J30,"²")+COUNTIF($E30:J30,"µ")+COUNTIF($E30:J30,1)-1,INDEX(Roadmap!$D:$K,MATCH($E30,Roadmap!$D:$D,0)-1+COUNTIF($E30:J30,"u")+COUNTIF($E30:J30,"t")+COUNTIF($E30:J30,"¶")+COUNTIF($E30:J30,"²")+COUNTIF($E30:J30,"µ")+COUNTIF($E30:J30,1),ColDescriptionCourte)),""),
  "")),"")</f>
        <v/>
      </c>
      <c r="L30" s="39" t="str">
        <f ca="1">IFERROR(IF(AND(
  INDEX(Roadmap!$D:$K,MATCH($E30,Roadmap!$D:$D,0)+COUNTIF($E30:K30,"u")+COUNTIF($E30:K30,"t")+COUNTIF($E30:K30,"¶")+COUNTIF($E30:K30,"²")+COUNTIF($E30:K30,"µ")+COUNTIF($E30:K30,1),ColLivraison)=L$6,
  VLOOKUP($E30,INDIRECT("tri!"&amp; CHAR(64+ C0Col) &amp;":"&amp; CHAR(65+C0Col)),2,FALSE)&gt;COUNTIF($E30:K30,"u")+COUNTIF($E30:K30,"t")+COUNTIF($E30:K30,"¶")+COUNTIF($E30:K30,"²")+COUNTIF($E30:K30,"µ")+COUNTIF($E30:K30,1)),
HYPERLINK("#Roadmap!C"&amp; MATCH($E30,Roadmap!$D:$D,0)+COUNTIF($E30:K30,"u")+COUNTIF($E30:K30,"t"),
     INDEX(Roadmap!$D:$K,MATCH($E30,Roadmap!$D:$D,0)+COUNTIF($E30:K30,"u")+COUNTIF($E30:K30,"t")+COUNTIF($E30:K30,"¶")+COUNTIF($E30:K30,"²")+COUNTIF($E30:K30,"µ")+COUNTIF($E30:K30,1),ColTypeEcheance)),
  IF(LEN(K30)=1,
  IF(LEN(INDEX(Roadmap!$D:$K,MATCH($E30,Roadmap!$D:$D,0)-1+COUNTIF($E30:K30,"u")+COUNTIF($E30:K30,"t")+COUNTIF($E30:K30,"¶")+COUNTIF($E30:K30,"²")+COUNTIF($E30:K30,"µ")+COUNTIF($E30:K30,1),ColDescriptionCourte))&gt;1,
HYPERLINK("#Roadmap!C"&amp; MATCH($E30,Roadmap!$D:$D,0)+COUNTIF($E30:K30,"u")+COUNTIF($E30:K30,"t")+COUNTIF($E30:K30,"¶")+COUNTIF($E30:K30,"²")+COUNTIF($E30:K30,"µ")+COUNTIF($E30:K30,1)-1,INDEX(Roadmap!$D:$K,MATCH($E30,Roadmap!$D:$D,0)-1+COUNTIF($E30:K30,"u")+COUNTIF($E30:K30,"t")+COUNTIF($E30:K30,"¶")+COUNTIF($E30:K30,"²")+COUNTIF($E30:K30,"µ")+COUNTIF($E30:K30,1),ColDescriptionCourte)),""),
  "")),"")</f>
        <v/>
      </c>
      <c r="M30" s="40" t="str">
        <f ca="1">IFERROR(IF(AND(
  INDEX(Roadmap!$D:$K,MATCH($E30,Roadmap!$D:$D,0)+COUNTIF($E30:L30,"u")+COUNTIF($E30:L30,"t")+COUNTIF($E30:L30,"¶")+COUNTIF($E30:L30,"²")+COUNTIF($E30:L30,"µ")+COUNTIF($E30:L30,1),ColLivraison)=M$6,
  VLOOKUP($E30,INDIRECT("tri!"&amp; CHAR(64+ C0Col) &amp;":"&amp; CHAR(65+C0Col)),2,FALSE)&gt;COUNTIF($E30:L30,"u")+COUNTIF($E30:L30,"t")+COUNTIF($E30:L30,"¶")+COUNTIF($E30:L30,"²")+COUNTIF($E30:L30,"µ")+COUNTIF($E30:L30,1)),
HYPERLINK("#Roadmap!C"&amp; MATCH($E30,Roadmap!$D:$D,0)+COUNTIF($E30:L30,"u")+COUNTIF($E30:L30,"t"),
     INDEX(Roadmap!$D:$K,MATCH($E30,Roadmap!$D:$D,0)+COUNTIF($E30:L30,"u")+COUNTIF($E30:L30,"t")+COUNTIF($E30:L30,"¶")+COUNTIF($E30:L30,"²")+COUNTIF($E30:L30,"µ")+COUNTIF($E30:L30,1),ColTypeEcheance)),
  IF(LEN(L30)=1,
  IF(LEN(INDEX(Roadmap!$D:$K,MATCH($E30,Roadmap!$D:$D,0)-1+COUNTIF($E30:L30,"u")+COUNTIF($E30:L30,"t")+COUNTIF($E30:L30,"¶")+COUNTIF($E30:L30,"²")+COUNTIF($E30:L30,"µ")+COUNTIF($E30:L30,1),ColDescriptionCourte))&gt;1,
HYPERLINK("#Roadmap!C"&amp; MATCH($E30,Roadmap!$D:$D,0)+COUNTIF($E30:L30,"u")+COUNTIF($E30:L30,"t")+COUNTIF($E30:L30,"¶")+COUNTIF($E30:L30,"²")+COUNTIF($E30:L30,"µ")+COUNTIF($E30:L30,1)-1,INDEX(Roadmap!$D:$K,MATCH($E30,Roadmap!$D:$D,0)-1+COUNTIF($E30:L30,"u")+COUNTIF($E30:L30,"t")+COUNTIF($E30:L30,"¶")+COUNTIF($E30:L30,"²")+COUNTIF($E30:L30,"µ")+COUNTIF($E30:L30,1),ColDescriptionCourte)),""),
  "")),"")</f>
        <v/>
      </c>
      <c r="N30" s="40" t="str">
        <f ca="1">IFERROR(IF(AND(
  INDEX(Roadmap!$D:$K,MATCH($E30,Roadmap!$D:$D,0)+COUNTIF($E30:M30,"u")+COUNTIF($E30:M30,"t")+COUNTIF($E30:M30,"¶")+COUNTIF($E30:M30,"²")+COUNTIF($E30:M30,"µ")+COUNTIF($E30:M30,1),ColLivraison)=N$6,
  VLOOKUP($E30,INDIRECT("tri!"&amp; CHAR(64+ C0Col) &amp;":"&amp; CHAR(65+C0Col)),2,FALSE)&gt;COUNTIF($E30:M30,"u")+COUNTIF($E30:M30,"t")+COUNTIF($E30:M30,"¶")+COUNTIF($E30:M30,"²")+COUNTIF($E30:M30,"µ")+COUNTIF($E30:M30,1)),
HYPERLINK("#Roadmap!C"&amp; MATCH($E30,Roadmap!$D:$D,0)+COUNTIF($E30:M30,"u")+COUNTIF($E30:M30,"t"),
     INDEX(Roadmap!$D:$K,MATCH($E30,Roadmap!$D:$D,0)+COUNTIF($E30:M30,"u")+COUNTIF($E30:M30,"t")+COUNTIF($E30:M30,"¶")+COUNTIF($E30:M30,"²")+COUNTIF($E30:M30,"µ")+COUNTIF($E30:M30,1),ColTypeEcheance)),
  IF(LEN(M30)=1,
  IF(LEN(INDEX(Roadmap!$D:$K,MATCH($E30,Roadmap!$D:$D,0)-1+COUNTIF($E30:M30,"u")+COUNTIF($E30:M30,"t")+COUNTIF($E30:M30,"¶")+COUNTIF($E30:M30,"²")+COUNTIF($E30:M30,"µ")+COUNTIF($E30:M30,1),ColDescriptionCourte))&gt;1,
HYPERLINK("#Roadmap!C"&amp; MATCH($E30,Roadmap!$D:$D,0)+COUNTIF($E30:M30,"u")+COUNTIF($E30:M30,"t")+COUNTIF($E30:M30,"¶")+COUNTIF($E30:M30,"²")+COUNTIF($E30:M30,"µ")+COUNTIF($E30:M30,1)-1,INDEX(Roadmap!$D:$K,MATCH($E30,Roadmap!$D:$D,0)-1+COUNTIF($E30:M30,"u")+COUNTIF($E30:M30,"t")+COUNTIF($E30:M30,"¶")+COUNTIF($E30:M30,"²")+COUNTIF($E30:M30,"µ")+COUNTIF($E30:M30,1),ColDescriptionCourte)),""),
  "")),"")</f>
        <v/>
      </c>
      <c r="O30" s="40" t="str">
        <f ca="1">IFERROR(IF(AND(
  INDEX(Roadmap!$D:$K,MATCH($E30,Roadmap!$D:$D,0)+COUNTIF($E30:N30,"u")+COUNTIF($E30:N30,"t")+COUNTIF($E30:N30,"¶")+COUNTIF($E30:N30,"²")+COUNTIF($E30:N30,"µ")+COUNTIF($E30:N30,1),ColLivraison)=O$6,
  VLOOKUP($E30,INDIRECT("tri!"&amp; CHAR(64+ C0Col) &amp;":"&amp; CHAR(65+C0Col)),2,FALSE)&gt;COUNTIF($E30:N30,"u")+COUNTIF($E30:N30,"t")+COUNTIF($E30:N30,"¶")+COUNTIF($E30:N30,"²")+COUNTIF($E30:N30,"µ")+COUNTIF($E30:N30,1)),
HYPERLINK("#Roadmap!C"&amp; MATCH($E30,Roadmap!$D:$D,0)+COUNTIF($E30:N30,"u")+COUNTIF($E30:N30,"t"),
     INDEX(Roadmap!$D:$K,MATCH($E30,Roadmap!$D:$D,0)+COUNTIF($E30:N30,"u")+COUNTIF($E30:N30,"t")+COUNTIF($E30:N30,"¶")+COUNTIF($E30:N30,"²")+COUNTIF($E30:N30,"µ")+COUNTIF($E30:N30,1),ColTypeEcheance)),
  IF(LEN(N30)=1,
  IF(LEN(INDEX(Roadmap!$D:$K,MATCH($E30,Roadmap!$D:$D,0)-1+COUNTIF($E30:N30,"u")+COUNTIF($E30:N30,"t")+COUNTIF($E30:N30,"¶")+COUNTIF($E30:N30,"²")+COUNTIF($E30:N30,"µ")+COUNTIF($E30:N30,1),ColDescriptionCourte))&gt;1,
HYPERLINK("#Roadmap!C"&amp; MATCH($E30,Roadmap!$D:$D,0)+COUNTIF($E30:N30,"u")+COUNTIF($E30:N30,"t")+COUNTIF($E30:N30,"¶")+COUNTIF($E30:N30,"²")+COUNTIF($E30:N30,"µ")+COUNTIF($E30:N30,1)-1,INDEX(Roadmap!$D:$K,MATCH($E30,Roadmap!$D:$D,0)-1+COUNTIF($E30:N30,"u")+COUNTIF($E30:N30,"t")+COUNTIF($E30:N30,"¶")+COUNTIF($E30:N30,"²")+COUNTIF($E30:N30,"µ")+COUNTIF($E30:N30,1),ColDescriptionCourte)),""),
  "")),"")</f>
        <v/>
      </c>
      <c r="P30" s="40" t="str">
        <f ca="1">IFERROR(IF(AND(
  INDEX(Roadmap!$D:$K,MATCH($E30,Roadmap!$D:$D,0)+COUNTIF($E30:O30,"u")+COUNTIF($E30:O30,"t")+COUNTIF($E30:O30,"¶")+COUNTIF($E30:O30,"²")+COUNTIF($E30:O30,"µ")+COUNTIF($E30:O30,1),ColLivraison)=P$6,
  VLOOKUP($E30,INDIRECT("tri!"&amp; CHAR(64+ C0Col) &amp;":"&amp; CHAR(65+C0Col)),2,FALSE)&gt;COUNTIF($E30:O30,"u")+COUNTIF($E30:O30,"t")+COUNTIF($E30:O30,"¶")+COUNTIF($E30:O30,"²")+COUNTIF($E30:O30,"µ")+COUNTIF($E30:O30,1)),
HYPERLINK("#Roadmap!C"&amp; MATCH($E30,Roadmap!$D:$D,0)+COUNTIF($E30:O30,"u")+COUNTIF($E30:O30,"t"),
     INDEX(Roadmap!$D:$K,MATCH($E30,Roadmap!$D:$D,0)+COUNTIF($E30:O30,"u")+COUNTIF($E30:O30,"t")+COUNTIF($E30:O30,"¶")+COUNTIF($E30:O30,"²")+COUNTIF($E30:O30,"µ")+COUNTIF($E30:O30,1),ColTypeEcheance)),
  IF(LEN(O30)=1,
  IF(LEN(INDEX(Roadmap!$D:$K,MATCH($E30,Roadmap!$D:$D,0)-1+COUNTIF($E30:O30,"u")+COUNTIF($E30:O30,"t")+COUNTIF($E30:O30,"¶")+COUNTIF($E30:O30,"²")+COUNTIF($E30:O30,"µ")+COUNTIF($E30:O30,1),ColDescriptionCourte))&gt;1,
HYPERLINK("#Roadmap!C"&amp; MATCH($E30,Roadmap!$D:$D,0)+COUNTIF($E30:O30,"u")+COUNTIF($E30:O30,"t")+COUNTIF($E30:O30,"¶")+COUNTIF($E30:O30,"²")+COUNTIF($E30:O30,"µ")+COUNTIF($E30:O30,1)-1,INDEX(Roadmap!$D:$K,MATCH($E30,Roadmap!$D:$D,0)-1+COUNTIF($E30:O30,"u")+COUNTIF($E30:O30,"t")+COUNTIF($E30:O30,"¶")+COUNTIF($E30:O30,"²")+COUNTIF($E30:O30,"µ")+COUNTIF($E30:O30,1),ColDescriptionCourte)),""),
  "")),"")</f>
        <v/>
      </c>
      <c r="Q30" s="40" t="str">
        <f ca="1">IFERROR(IF(AND(
  INDEX(Roadmap!$D:$K,MATCH($E30,Roadmap!$D:$D,0)+COUNTIF($E30:P30,"u")+COUNTIF($E30:P30,"t")+COUNTIF($E30:P30,"¶")+COUNTIF($E30:P30,"²")+COUNTIF($E30:P30,"µ")+COUNTIF($E30:P30,1),ColLivraison)=Q$6,
  VLOOKUP($E30,INDIRECT("tri!"&amp; CHAR(64+ C0Col) &amp;":"&amp; CHAR(65+C0Col)),2,FALSE)&gt;COUNTIF($E30:P30,"u")+COUNTIF($E30:P30,"t")+COUNTIF($E30:P30,"¶")+COUNTIF($E30:P30,"²")+COUNTIF($E30:P30,"µ")+COUNTIF($E30:P30,1)),
HYPERLINK("#Roadmap!C"&amp; MATCH($E30,Roadmap!$D:$D,0)+COUNTIF($E30:P30,"u")+COUNTIF($E30:P30,"t"),
     INDEX(Roadmap!$D:$K,MATCH($E30,Roadmap!$D:$D,0)+COUNTIF($E30:P30,"u")+COUNTIF($E30:P30,"t")+COUNTIF($E30:P30,"¶")+COUNTIF($E30:P30,"²")+COUNTIF($E30:P30,"µ")+COUNTIF($E30:P30,1),ColTypeEcheance)),
  IF(LEN(P30)=1,
  IF(LEN(INDEX(Roadmap!$D:$K,MATCH($E30,Roadmap!$D:$D,0)-1+COUNTIF($E30:P30,"u")+COUNTIF($E30:P30,"t")+COUNTIF($E30:P30,"¶")+COUNTIF($E30:P30,"²")+COUNTIF($E30:P30,"µ")+COUNTIF($E30:P30,1),ColDescriptionCourte))&gt;1,
HYPERLINK("#Roadmap!C"&amp; MATCH($E30,Roadmap!$D:$D,0)+COUNTIF($E30:P30,"u")+COUNTIF($E30:P30,"t")+COUNTIF($E30:P30,"¶")+COUNTIF($E30:P30,"²")+COUNTIF($E30:P30,"µ")+COUNTIF($E30:P30,1)-1,INDEX(Roadmap!$D:$K,MATCH($E30,Roadmap!$D:$D,0)-1+COUNTIF($E30:P30,"u")+COUNTIF($E30:P30,"t")+COUNTIF($E30:P30,"¶")+COUNTIF($E30:P30,"²")+COUNTIF($E30:P30,"µ")+COUNTIF($E30:P30,1),ColDescriptionCourte)),""),
  "")),"")</f>
        <v/>
      </c>
      <c r="R30" s="40" t="str">
        <f ca="1">IFERROR(IF(AND(
  INDEX(Roadmap!$D:$K,MATCH($E30,Roadmap!$D:$D,0)+COUNTIF($E30:Q30,"u")+COUNTIF($E30:Q30,"t")+COUNTIF($E30:Q30,"¶")+COUNTIF($E30:Q30,"²")+COUNTIF($E30:Q30,"µ")+COUNTIF($E30:Q30,1),ColLivraison)=R$6,
  VLOOKUP($E30,INDIRECT("tri!"&amp; CHAR(64+ C0Col) &amp;":"&amp; CHAR(65+C0Col)),2,FALSE)&gt;COUNTIF($E30:Q30,"u")+COUNTIF($E30:Q30,"t")+COUNTIF($E30:Q30,"¶")+COUNTIF($E30:Q30,"²")+COUNTIF($E30:Q30,"µ")+COUNTIF($E30:Q30,1)),
HYPERLINK("#Roadmap!C"&amp; MATCH($E30,Roadmap!$D:$D,0)+COUNTIF($E30:Q30,"u")+COUNTIF($E30:Q30,"t"),
     INDEX(Roadmap!$D:$K,MATCH($E30,Roadmap!$D:$D,0)+COUNTIF($E30:Q30,"u")+COUNTIF($E30:Q30,"t")+COUNTIF($E30:Q30,"¶")+COUNTIF($E30:Q30,"²")+COUNTIF($E30:Q30,"µ")+COUNTIF($E30:Q30,1),ColTypeEcheance)),
  IF(LEN(Q30)=1,
  IF(LEN(INDEX(Roadmap!$D:$K,MATCH($E30,Roadmap!$D:$D,0)-1+COUNTIF($E30:Q30,"u")+COUNTIF($E30:Q30,"t")+COUNTIF($E30:Q30,"¶")+COUNTIF($E30:Q30,"²")+COUNTIF($E30:Q30,"µ")+COUNTIF($E30:Q30,1),ColDescriptionCourte))&gt;1,
HYPERLINK("#Roadmap!C"&amp; MATCH($E30,Roadmap!$D:$D,0)+COUNTIF($E30:Q30,"u")+COUNTIF($E30:Q30,"t")+COUNTIF($E30:Q30,"¶")+COUNTIF($E30:Q30,"²")+COUNTIF($E30:Q30,"µ")+COUNTIF($E30:Q30,1)-1,INDEX(Roadmap!$D:$K,MATCH($E30,Roadmap!$D:$D,0)-1+COUNTIF($E30:Q30,"u")+COUNTIF($E30:Q30,"t")+COUNTIF($E30:Q30,"¶")+COUNTIF($E30:Q30,"²")+COUNTIF($E30:Q30,"µ")+COUNTIF($E30:Q30,1),ColDescriptionCourte)),""),
  "")),"")</f>
        <v/>
      </c>
      <c r="S30" s="40" t="str">
        <f ca="1">IFERROR(IF(AND(
  INDEX(Roadmap!$D:$K,MATCH($E30,Roadmap!$D:$D,0)+COUNTIF($E30:R30,"u")+COUNTIF($E30:R30,"t")+COUNTIF($E30:R30,"¶")+COUNTIF($E30:R30,"²")+COUNTIF($E30:R30,"µ")+COUNTIF($E30:R30,1),ColLivraison)=S$6,
  VLOOKUP($E30,INDIRECT("tri!"&amp; CHAR(64+ C0Col) &amp;":"&amp; CHAR(65+C0Col)),2,FALSE)&gt;COUNTIF($E30:R30,"u")+COUNTIF($E30:R30,"t")+COUNTIF($E30:R30,"¶")+COUNTIF($E30:R30,"²")+COUNTIF($E30:R30,"µ")+COUNTIF($E30:R30,1)),
HYPERLINK("#Roadmap!C"&amp; MATCH($E30,Roadmap!$D:$D,0)+COUNTIF($E30:R30,"u")+COUNTIF($E30:R30,"t"),
     INDEX(Roadmap!$D:$K,MATCH($E30,Roadmap!$D:$D,0)+COUNTIF($E30:R30,"u")+COUNTIF($E30:R30,"t")+COUNTIF($E30:R30,"¶")+COUNTIF($E30:R30,"²")+COUNTIF($E30:R30,"µ")+COUNTIF($E30:R30,1),ColTypeEcheance)),
  IF(LEN(R30)=1,
  IF(LEN(INDEX(Roadmap!$D:$K,MATCH($E30,Roadmap!$D:$D,0)-1+COUNTIF($E30:R30,"u")+COUNTIF($E30:R30,"t")+COUNTIF($E30:R30,"¶")+COUNTIF($E30:R30,"²")+COUNTIF($E30:R30,"µ")+COUNTIF($E30:R30,1),ColDescriptionCourte))&gt;1,
HYPERLINK("#Roadmap!C"&amp; MATCH($E30,Roadmap!$D:$D,0)+COUNTIF($E30:R30,"u")+COUNTIF($E30:R30,"t")+COUNTIF($E30:R30,"¶")+COUNTIF($E30:R30,"²")+COUNTIF($E30:R30,"µ")+COUNTIF($E30:R30,1)-1,INDEX(Roadmap!$D:$K,MATCH($E30,Roadmap!$D:$D,0)-1+COUNTIF($E30:R30,"u")+COUNTIF($E30:R30,"t")+COUNTIF($E30:R30,"¶")+COUNTIF($E30:R30,"²")+COUNTIF($E30:R30,"µ")+COUNTIF($E30:R30,1),ColDescriptionCourte)),""),
  "")),"")</f>
        <v/>
      </c>
      <c r="T30" s="40" t="str">
        <f ca="1">IFERROR(IF(AND(
  INDEX(Roadmap!$D:$K,MATCH($E30,Roadmap!$D:$D,0)+COUNTIF($E30:S30,"u")+COUNTIF($E30:S30,"t")+COUNTIF($E30:S30,"¶")+COUNTIF($E30:S30,"²")+COUNTIF($E30:S30,"µ")+COUNTIF($E30:S30,1),ColLivraison)=T$6,
  VLOOKUP($E30,INDIRECT("tri!"&amp; CHAR(64+ C0Col) &amp;":"&amp; CHAR(65+C0Col)),2,FALSE)&gt;COUNTIF($E30:S30,"u")+COUNTIF($E30:S30,"t")+COUNTIF($E30:S30,"¶")+COUNTIF($E30:S30,"²")+COUNTIF($E30:S30,"µ")+COUNTIF($E30:S30,1)),
HYPERLINK("#Roadmap!C"&amp; MATCH($E30,Roadmap!$D:$D,0)+COUNTIF($E30:S30,"u")+COUNTIF($E30:S30,"t"),
     INDEX(Roadmap!$D:$K,MATCH($E30,Roadmap!$D:$D,0)+COUNTIF($E30:S30,"u")+COUNTIF($E30:S30,"t")+COUNTIF($E30:S30,"¶")+COUNTIF($E30:S30,"²")+COUNTIF($E30:S30,"µ")+COUNTIF($E30:S30,1),ColTypeEcheance)),
  IF(LEN(S30)=1,
  IF(LEN(INDEX(Roadmap!$D:$K,MATCH($E30,Roadmap!$D:$D,0)-1+COUNTIF($E30:S30,"u")+COUNTIF($E30:S30,"t")+COUNTIF($E30:S30,"¶")+COUNTIF($E30:S30,"²")+COUNTIF($E30:S30,"µ")+COUNTIF($E30:S30,1),ColDescriptionCourte))&gt;1,
HYPERLINK("#Roadmap!C"&amp; MATCH($E30,Roadmap!$D:$D,0)+COUNTIF($E30:S30,"u")+COUNTIF($E30:S30,"t")+COUNTIF($E30:S30,"¶")+COUNTIF($E30:S30,"²")+COUNTIF($E30:S30,"µ")+COUNTIF($E30:S30,1)-1,INDEX(Roadmap!$D:$K,MATCH($E30,Roadmap!$D:$D,0)-1+COUNTIF($E30:S30,"u")+COUNTIF($E30:S30,"t")+COUNTIF($E30:S30,"¶")+COUNTIF($E30:S30,"²")+COUNTIF($E30:S30,"µ")+COUNTIF($E30:S30,1),ColDescriptionCourte)),""),
  "")),"")</f>
        <v/>
      </c>
      <c r="U30" s="40" t="str">
        <f ca="1">IFERROR(IF(AND(
  INDEX(Roadmap!$D:$K,MATCH($E30,Roadmap!$D:$D,0)+COUNTIF($E30:T30,"u")+COUNTIF($E30:T30,"t")+COUNTIF($E30:T30,"¶")+COUNTIF($E30:T30,"²")+COUNTIF($E30:T30,"µ")+COUNTIF($E30:T30,1),ColLivraison)=U$6,
  VLOOKUP($E30,INDIRECT("tri!"&amp; CHAR(64+ C0Col) &amp;":"&amp; CHAR(65+C0Col)),2,FALSE)&gt;COUNTIF($E30:T30,"u")+COUNTIF($E30:T30,"t")+COUNTIF($E30:T30,"¶")+COUNTIF($E30:T30,"²")+COUNTIF($E30:T30,"µ")+COUNTIF($E30:T30,1)),
HYPERLINK("#Roadmap!C"&amp; MATCH($E30,Roadmap!$D:$D,0)+COUNTIF($E30:T30,"u")+COUNTIF($E30:T30,"t"),
     INDEX(Roadmap!$D:$K,MATCH($E30,Roadmap!$D:$D,0)+COUNTIF($E30:T30,"u")+COUNTIF($E30:T30,"t")+COUNTIF($E30:T30,"¶")+COUNTIF($E30:T30,"²")+COUNTIF($E30:T30,"µ")+COUNTIF($E30:T30,1),ColTypeEcheance)),
  IF(LEN(T30)=1,
  IF(LEN(INDEX(Roadmap!$D:$K,MATCH($E30,Roadmap!$D:$D,0)-1+COUNTIF($E30:T30,"u")+COUNTIF($E30:T30,"t")+COUNTIF($E30:T30,"¶")+COUNTIF($E30:T30,"²")+COUNTIF($E30:T30,"µ")+COUNTIF($E30:T30,1),ColDescriptionCourte))&gt;1,
HYPERLINK("#Roadmap!C"&amp; MATCH($E30,Roadmap!$D:$D,0)+COUNTIF($E30:T30,"u")+COUNTIF($E30:T30,"t")+COUNTIF($E30:T30,"¶")+COUNTIF($E30:T30,"²")+COUNTIF($E30:T30,"µ")+COUNTIF($E30:T30,1)-1,INDEX(Roadmap!$D:$K,MATCH($E30,Roadmap!$D:$D,0)-1+COUNTIF($E30:T30,"u")+COUNTIF($E30:T30,"t")+COUNTIF($E30:T30,"¶")+COUNTIF($E30:T30,"²")+COUNTIF($E30:T30,"µ")+COUNTIF($E30:T30,1),ColDescriptionCourte)),""),
  "")),"")</f>
        <v/>
      </c>
      <c r="V30" s="40" t="str">
        <f ca="1">IFERROR(IF(AND(
  INDEX(Roadmap!$D:$K,MATCH($E30,Roadmap!$D:$D,0)+COUNTIF($E30:U30,"u")+COUNTIF($E30:U30,"t")+COUNTIF($E30:U30,"¶")+COUNTIF($E30:U30,"²")+COUNTIF($E30:U30,"µ")+COUNTIF($E30:U30,1),ColLivraison)=V$6,
  VLOOKUP($E30,INDIRECT("tri!"&amp; CHAR(64+ C0Col) &amp;":"&amp; CHAR(65+C0Col)),2,FALSE)&gt;COUNTIF($E30:U30,"u")+COUNTIF($E30:U30,"t")+COUNTIF($E30:U30,"¶")+COUNTIF($E30:U30,"²")+COUNTIF($E30:U30,"µ")+COUNTIF($E30:U30,1)),
HYPERLINK("#Roadmap!C"&amp; MATCH($E30,Roadmap!$D:$D,0)+COUNTIF($E30:U30,"u")+COUNTIF($E30:U30,"t"),
     INDEX(Roadmap!$D:$K,MATCH($E30,Roadmap!$D:$D,0)+COUNTIF($E30:U30,"u")+COUNTIF($E30:U30,"t")+COUNTIF($E30:U30,"¶")+COUNTIF($E30:U30,"²")+COUNTIF($E30:U30,"µ")+COUNTIF($E30:U30,1),ColTypeEcheance)),
  IF(LEN(U30)=1,
  IF(LEN(INDEX(Roadmap!$D:$K,MATCH($E30,Roadmap!$D:$D,0)-1+COUNTIF($E30:U30,"u")+COUNTIF($E30:U30,"t")+COUNTIF($E30:U30,"¶")+COUNTIF($E30:U30,"²")+COUNTIF($E30:U30,"µ")+COUNTIF($E30:U30,1),ColDescriptionCourte))&gt;1,
HYPERLINK("#Roadmap!C"&amp; MATCH($E30,Roadmap!$D:$D,0)+COUNTIF($E30:U30,"u")+COUNTIF($E30:U30,"t")+COUNTIF($E30:U30,"¶")+COUNTIF($E30:U30,"²")+COUNTIF($E30:U30,"µ")+COUNTIF($E30:U30,1)-1,INDEX(Roadmap!$D:$K,MATCH($E30,Roadmap!$D:$D,0)-1+COUNTIF($E30:U30,"u")+COUNTIF($E30:U30,"t")+COUNTIF($E30:U30,"¶")+COUNTIF($E30:U30,"²")+COUNTIF($E30:U30,"µ")+COUNTIF($E30:U30,1),ColDescriptionCourte)),""),
  "")),"")</f>
        <v/>
      </c>
      <c r="W30" s="40" t="str">
        <f ca="1">IFERROR(IF(AND(
  INDEX(Roadmap!$D:$K,MATCH($E30,Roadmap!$D:$D,0)+COUNTIF($E30:V30,"u")+COUNTIF($E30:V30,"t")+COUNTIF($E30:V30,"¶")+COUNTIF($E30:V30,"²")+COUNTIF($E30:V30,"µ")+COUNTIF($E30:V30,1),ColLivraison)=W$6,
  VLOOKUP($E30,INDIRECT("tri!"&amp; CHAR(64+ C0Col) &amp;":"&amp; CHAR(65+C0Col)),2,FALSE)&gt;COUNTIF($E30:V30,"u")+COUNTIF($E30:V30,"t")+COUNTIF($E30:V30,"¶")+COUNTIF($E30:V30,"²")+COUNTIF($E30:V30,"µ")+COUNTIF($E30:V30,1)),
HYPERLINK("#Roadmap!C"&amp; MATCH($E30,Roadmap!$D:$D,0)+COUNTIF($E30:V30,"u")+COUNTIF($E30:V30,"t"),
     INDEX(Roadmap!$D:$K,MATCH($E30,Roadmap!$D:$D,0)+COUNTIF($E30:V30,"u")+COUNTIF($E30:V30,"t")+COUNTIF($E30:V30,"¶")+COUNTIF($E30:V30,"²")+COUNTIF($E30:V30,"µ")+COUNTIF($E30:V30,1),ColTypeEcheance)),
  IF(LEN(V30)=1,
  IF(LEN(INDEX(Roadmap!$D:$K,MATCH($E30,Roadmap!$D:$D,0)-1+COUNTIF($E30:V30,"u")+COUNTIF($E30:V30,"t")+COUNTIF($E30:V30,"¶")+COUNTIF($E30:V30,"²")+COUNTIF($E30:V30,"µ")+COUNTIF($E30:V30,1),ColDescriptionCourte))&gt;1,
HYPERLINK("#Roadmap!C"&amp; MATCH($E30,Roadmap!$D:$D,0)+COUNTIF($E30:V30,"u")+COUNTIF($E30:V30,"t")+COUNTIF($E30:V30,"¶")+COUNTIF($E30:V30,"²")+COUNTIF($E30:V30,"µ")+COUNTIF($E30:V30,1)-1,INDEX(Roadmap!$D:$K,MATCH($E30,Roadmap!$D:$D,0)-1+COUNTIF($E30:V30,"u")+COUNTIF($E30:V30,"t")+COUNTIF($E30:V30,"¶")+COUNTIF($E30:V30,"²")+COUNTIF($E30:V30,"µ")+COUNTIF($E30:V30,1),ColDescriptionCourte)),""),
  "")),"")</f>
        <v/>
      </c>
      <c r="X30" s="40" t="str">
        <f ca="1">IFERROR(IF(AND(
  INDEX(Roadmap!$D:$K,MATCH($E30,Roadmap!$D:$D,0)+COUNTIF($E30:W30,"u")+COUNTIF($E30:W30,"t")+COUNTIF($E30:W30,"¶")+COUNTIF($E30:W30,"²")+COUNTIF($E30:W30,"µ")+COUNTIF($E30:W30,1),ColLivraison)=X$6,
  VLOOKUP($E30,INDIRECT("tri!"&amp; CHAR(64+ C0Col) &amp;":"&amp; CHAR(65+C0Col)),2,FALSE)&gt;COUNTIF($E30:W30,"u")+COUNTIF($E30:W30,"t")+COUNTIF($E30:W30,"¶")+COUNTIF($E30:W30,"²")+COUNTIF($E30:W30,"µ")+COUNTIF($E30:W30,1)),
HYPERLINK("#Roadmap!C"&amp; MATCH($E30,Roadmap!$D:$D,0)+COUNTIF($E30:W30,"u")+COUNTIF($E30:W30,"t"),
     INDEX(Roadmap!$D:$K,MATCH($E30,Roadmap!$D:$D,0)+COUNTIF($E30:W30,"u")+COUNTIF($E30:W30,"t")+COUNTIF($E30:W30,"¶")+COUNTIF($E30:W30,"²")+COUNTIF($E30:W30,"µ")+COUNTIF($E30:W30,1),ColTypeEcheance)),
  IF(LEN(W30)=1,
  IF(LEN(INDEX(Roadmap!$D:$K,MATCH($E30,Roadmap!$D:$D,0)-1+COUNTIF($E30:W30,"u")+COUNTIF($E30:W30,"t")+COUNTIF($E30:W30,"¶")+COUNTIF($E30:W30,"²")+COUNTIF($E30:W30,"µ")+COUNTIF($E30:W30,1),ColDescriptionCourte))&gt;1,
HYPERLINK("#Roadmap!C"&amp; MATCH($E30,Roadmap!$D:$D,0)+COUNTIF($E30:W30,"u")+COUNTIF($E30:W30,"t")+COUNTIF($E30:W30,"¶")+COUNTIF($E30:W30,"²")+COUNTIF($E30:W30,"µ")+COUNTIF($E30:W30,1)-1,INDEX(Roadmap!$D:$K,MATCH($E30,Roadmap!$D:$D,0)-1+COUNTIF($E30:W30,"u")+COUNTIF($E30:W30,"t")+COUNTIF($E30:W30,"¶")+COUNTIF($E30:W30,"²")+COUNTIF($E30:W30,"µ")+COUNTIF($E30:W30,1),ColDescriptionCourte)),""),
  "")),"")</f>
        <v/>
      </c>
      <c r="Y30" s="40" t="str">
        <f ca="1">IFERROR(IF(AND(
  INDEX(Roadmap!$D:$K,MATCH($E30,Roadmap!$D:$D,0)+COUNTIF($E30:X30,"u")+COUNTIF($E30:X30,"t")+COUNTIF($E30:X30,"¶")+COUNTIF($E30:X30,"²")+COUNTIF($E30:X30,"µ")+COUNTIF($E30:X30,1),ColLivraison)=Y$6,
  VLOOKUP($E30,INDIRECT("tri!"&amp; CHAR(64+ C0Col) &amp;":"&amp; CHAR(65+C0Col)),2,FALSE)&gt;COUNTIF($E30:X30,"u")+COUNTIF($E30:X30,"t")+COUNTIF($E30:X30,"¶")+COUNTIF($E30:X30,"²")+COUNTIF($E30:X30,"µ")+COUNTIF($E30:X30,1)),
HYPERLINK("#Roadmap!C"&amp; MATCH($E30,Roadmap!$D:$D,0)+COUNTIF($E30:X30,"u")+COUNTIF($E30:X30,"t"),
     INDEX(Roadmap!$D:$K,MATCH($E30,Roadmap!$D:$D,0)+COUNTIF($E30:X30,"u")+COUNTIF($E30:X30,"t")+COUNTIF($E30:X30,"¶")+COUNTIF($E30:X30,"²")+COUNTIF($E30:X30,"µ")+COUNTIF($E30:X30,1),ColTypeEcheance)),
  IF(LEN(X30)=1,
  IF(LEN(INDEX(Roadmap!$D:$K,MATCH($E30,Roadmap!$D:$D,0)-1+COUNTIF($E30:X30,"u")+COUNTIF($E30:X30,"t")+COUNTIF($E30:X30,"¶")+COUNTIF($E30:X30,"²")+COUNTIF($E30:X30,"µ")+COUNTIF($E30:X30,1),ColDescriptionCourte))&gt;1,
HYPERLINK("#Roadmap!C"&amp; MATCH($E30,Roadmap!$D:$D,0)+COUNTIF($E30:X30,"u")+COUNTIF($E30:X30,"t")+COUNTIF($E30:X30,"¶")+COUNTIF($E30:X30,"²")+COUNTIF($E30:X30,"µ")+COUNTIF($E30:X30,1)-1,INDEX(Roadmap!$D:$K,MATCH($E30,Roadmap!$D:$D,0)-1+COUNTIF($E30:X30,"u")+COUNTIF($E30:X30,"t")+COUNTIF($E30:X30,"¶")+COUNTIF($E30:X30,"²")+COUNTIF($E30:X30,"µ")+COUNTIF($E30:X30,1),ColDescriptionCourte)),""),
  "")),"")</f>
        <v/>
      </c>
      <c r="Z30" s="40" t="str">
        <f ca="1">IFERROR(IF(AND(
  INDEX(Roadmap!$D:$K,MATCH($E30,Roadmap!$D:$D,0)+COUNTIF($E30:Y30,"u")+COUNTIF($E30:Y30,"t")+COUNTIF($E30:Y30,"¶")+COUNTIF($E30:Y30,"²")+COUNTIF($E30:Y30,"µ")+COUNTIF($E30:Y30,1),ColLivraison)=Z$6,
  VLOOKUP($E30,INDIRECT("tri!"&amp; CHAR(64+ C0Col) &amp;":"&amp; CHAR(65+C0Col)),2,FALSE)&gt;COUNTIF($E30:Y30,"u")+COUNTIF($E30:Y30,"t")+COUNTIF($E30:Y30,"¶")+COUNTIF($E30:Y30,"²")+COUNTIF($E30:Y30,"µ")+COUNTIF($E30:Y30,1)),
HYPERLINK("#Roadmap!C"&amp; MATCH($E30,Roadmap!$D:$D,0)+COUNTIF($E30:Y30,"u")+COUNTIF($E30:Y30,"t"),
     INDEX(Roadmap!$D:$K,MATCH($E30,Roadmap!$D:$D,0)+COUNTIF($E30:Y30,"u")+COUNTIF($E30:Y30,"t")+COUNTIF($E30:Y30,"¶")+COUNTIF($E30:Y30,"²")+COUNTIF($E30:Y30,"µ")+COUNTIF($E30:Y30,1),ColTypeEcheance)),
  IF(LEN(Y30)=1,
  IF(LEN(INDEX(Roadmap!$D:$K,MATCH($E30,Roadmap!$D:$D,0)-1+COUNTIF($E30:Y30,"u")+COUNTIF($E30:Y30,"t")+COUNTIF($E30:Y30,"¶")+COUNTIF($E30:Y30,"²")+COUNTIF($E30:Y30,"µ")+COUNTIF($E30:Y30,1),ColDescriptionCourte))&gt;1,
HYPERLINK("#Roadmap!C"&amp; MATCH($E30,Roadmap!$D:$D,0)+COUNTIF($E30:Y30,"u")+COUNTIF($E30:Y30,"t")+COUNTIF($E30:Y30,"¶")+COUNTIF($E30:Y30,"²")+COUNTIF($E30:Y30,"µ")+COUNTIF($E30:Y30,1)-1,INDEX(Roadmap!$D:$K,MATCH($E30,Roadmap!$D:$D,0)-1+COUNTIF($E30:Y30,"u")+COUNTIF($E30:Y30,"t")+COUNTIF($E30:Y30,"¶")+COUNTIF($E30:Y30,"²")+COUNTIF($E30:Y30,"µ")+COUNTIF($E30:Y30,1),ColDescriptionCourte)),""),
  "")),"")</f>
        <v/>
      </c>
      <c r="AA30" s="40" t="str">
        <f ca="1">IFERROR(IF(AND(
  INDEX(Roadmap!$D:$K,MATCH($E30,Roadmap!$D:$D,0)+COUNTIF($E30:Z30,"u")+COUNTIF($E30:Z30,"t")+COUNTIF($E30:Z30,"¶")+COUNTIF($E30:Z30,"²")+COUNTIF($E30:Z30,"µ")+COUNTIF($E30:Z30,1),ColLivraison)=AA$6,
  VLOOKUP($E30,INDIRECT("tri!"&amp; CHAR(64+ C0Col) &amp;":"&amp; CHAR(65+C0Col)),2,FALSE)&gt;COUNTIF($E30:Z30,"u")+COUNTIF($E30:Z30,"t")+COUNTIF($E30:Z30,"¶")+COUNTIF($E30:Z30,"²")+COUNTIF($E30:Z30,"µ")+COUNTIF($E30:Z30,1)),
HYPERLINK("#Roadmap!C"&amp; MATCH($E30,Roadmap!$D:$D,0)+COUNTIF($E30:Z30,"u")+COUNTIF($E30:Z30,"t"),
     INDEX(Roadmap!$D:$K,MATCH($E30,Roadmap!$D:$D,0)+COUNTIF($E30:Z30,"u")+COUNTIF($E30:Z30,"t")+COUNTIF($E30:Z30,"¶")+COUNTIF($E30:Z30,"²")+COUNTIF($E30:Z30,"µ")+COUNTIF($E30:Z30,1),ColTypeEcheance)),
  IF(LEN(Z30)=1,
  IF(LEN(INDEX(Roadmap!$D:$K,MATCH($E30,Roadmap!$D:$D,0)-1+COUNTIF($E30:Z30,"u")+COUNTIF($E30:Z30,"t")+COUNTIF($E30:Z30,"¶")+COUNTIF($E30:Z30,"²")+COUNTIF($E30:Z30,"µ")+COUNTIF($E30:Z30,1),ColDescriptionCourte))&gt;1,
HYPERLINK("#Roadmap!C"&amp; MATCH($E30,Roadmap!$D:$D,0)+COUNTIF($E30:Z30,"u")+COUNTIF($E30:Z30,"t")+COUNTIF($E30:Z30,"¶")+COUNTIF($E30:Z30,"²")+COUNTIF($E30:Z30,"µ")+COUNTIF($E30:Z30,1)-1,INDEX(Roadmap!$D:$K,MATCH($E30,Roadmap!$D:$D,0)-1+COUNTIF($E30:Z30,"u")+COUNTIF($E30:Z30,"t")+COUNTIF($E30:Z30,"¶")+COUNTIF($E30:Z30,"²")+COUNTIF($E30:Z30,"µ")+COUNTIF($E30:Z30,1),ColDescriptionCourte)),""),
  "")),"")</f>
        <v/>
      </c>
      <c r="AB30" s="40" t="str">
        <f ca="1">IFERROR(IF(AND(
  INDEX(Roadmap!$D:$K,MATCH($E30,Roadmap!$D:$D,0)+COUNTIF($E30:AA30,"u")+COUNTIF($E30:AA30,"t")+COUNTIF($E30:AA30,"¶")+COUNTIF($E30:AA30,"²")+COUNTIF($E30:AA30,"µ")+COUNTIF($E30:AA30,1),ColLivraison)=AB$6,
  VLOOKUP($E30,INDIRECT("tri!"&amp; CHAR(64+ C0Col) &amp;":"&amp; CHAR(65+C0Col)),2,FALSE)&gt;COUNTIF($E30:AA30,"u")+COUNTIF($E30:AA30,"t")+COUNTIF($E30:AA30,"¶")+COUNTIF($E30:AA30,"²")+COUNTIF($E30:AA30,"µ")+COUNTIF($E30:AA30,1)),
HYPERLINK("#Roadmap!C"&amp; MATCH($E30,Roadmap!$D:$D,0)+COUNTIF($E30:AA30,"u")+COUNTIF($E30:AA30,"t"),
     INDEX(Roadmap!$D:$K,MATCH($E30,Roadmap!$D:$D,0)+COUNTIF($E30:AA30,"u")+COUNTIF($E30:AA30,"t")+COUNTIF($E30:AA30,"¶")+COUNTIF($E30:AA30,"²")+COUNTIF($E30:AA30,"µ")+COUNTIF($E30:AA30,1),ColTypeEcheance)),
  IF(LEN(AA30)=1,
  IF(LEN(INDEX(Roadmap!$D:$K,MATCH($E30,Roadmap!$D:$D,0)-1+COUNTIF($E30:AA30,"u")+COUNTIF($E30:AA30,"t")+COUNTIF($E30:AA30,"¶")+COUNTIF($E30:AA30,"²")+COUNTIF($E30:AA30,"µ")+COUNTIF($E30:AA30,1),ColDescriptionCourte))&gt;1,
HYPERLINK("#Roadmap!C"&amp; MATCH($E30,Roadmap!$D:$D,0)+COUNTIF($E30:AA30,"u")+COUNTIF($E30:AA30,"t")+COUNTIF($E30:AA30,"¶")+COUNTIF($E30:AA30,"²")+COUNTIF($E30:AA30,"µ")+COUNTIF($E30:AA30,1)-1,INDEX(Roadmap!$D:$K,MATCH($E30,Roadmap!$D:$D,0)-1+COUNTIF($E30:AA30,"u")+COUNTIF($E30:AA30,"t")+COUNTIF($E30:AA30,"¶")+COUNTIF($E30:AA30,"²")+COUNTIF($E30:AA30,"µ")+COUNTIF($E30:AA30,1),ColDescriptionCourte)),""),
  "")),"")</f>
        <v/>
      </c>
      <c r="AC30" s="40" t="str">
        <f ca="1">IFERROR(IF(AND(
  INDEX(Roadmap!$D:$K,MATCH($E30,Roadmap!$D:$D,0)+COUNTIF($E30:AB30,"u")+COUNTIF($E30:AB30,"t")+COUNTIF($E30:AB30,"¶")+COUNTIF($E30:AB30,"²")+COUNTIF($E30:AB30,"µ")+COUNTIF($E30:AB30,1),ColLivraison)=AC$6,
  VLOOKUP($E30,INDIRECT("tri!"&amp; CHAR(64+ C0Col) &amp;":"&amp; CHAR(65+C0Col)),2,FALSE)&gt;COUNTIF($E30:AB30,"u")+COUNTIF($E30:AB30,"t")+COUNTIF($E30:AB30,"¶")+COUNTIF($E30:AB30,"²")+COUNTIF($E30:AB30,"µ")+COUNTIF($E30:AB30,1)),
HYPERLINK("#Roadmap!C"&amp; MATCH($E30,Roadmap!$D:$D,0)+COUNTIF($E30:AB30,"u")+COUNTIF($E30:AB30,"t"),
     INDEX(Roadmap!$D:$K,MATCH($E30,Roadmap!$D:$D,0)+COUNTIF($E30:AB30,"u")+COUNTIF($E30:AB30,"t")+COUNTIF($E30:AB30,"¶")+COUNTIF($E30:AB30,"²")+COUNTIF($E30:AB30,"µ")+COUNTIF($E30:AB30,1),ColTypeEcheance)),
  IF(LEN(AB30)=1,
  IF(LEN(INDEX(Roadmap!$D:$K,MATCH($E30,Roadmap!$D:$D,0)-1+COUNTIF($E30:AB30,"u")+COUNTIF($E30:AB30,"t")+COUNTIF($E30:AB30,"¶")+COUNTIF($E30:AB30,"²")+COUNTIF($E30:AB30,"µ")+COUNTIF($E30:AB30,1),ColDescriptionCourte))&gt;1,
HYPERLINK("#Roadmap!C"&amp; MATCH($E30,Roadmap!$D:$D,0)+COUNTIF($E30:AB30,"u")+COUNTIF($E30:AB30,"t")+COUNTIF($E30:AB30,"¶")+COUNTIF($E30:AB30,"²")+COUNTIF($E30:AB30,"µ")+COUNTIF($E30:AB30,1)-1,INDEX(Roadmap!$D:$K,MATCH($E30,Roadmap!$D:$D,0)-1+COUNTIF($E30:AB30,"u")+COUNTIF($E30:AB30,"t")+COUNTIF($E30:AB30,"¶")+COUNTIF($E30:AB30,"²")+COUNTIF($E30:AB30,"µ")+COUNTIF($E30:AB30,1),ColDescriptionCourte)),""),
  "")),"")</f>
        <v/>
      </c>
      <c r="AD30" s="40" t="str">
        <f ca="1">IFERROR(IF(AND(
  INDEX(Roadmap!$D:$K,MATCH($E30,Roadmap!$D:$D,0)+COUNTIF($E30:AC30,"u")+COUNTIF($E30:AC30,"t")+COUNTIF($E30:AC30,"¶")+COUNTIF($E30:AC30,"²")+COUNTIF($E30:AC30,"µ")+COUNTIF($E30:AC30,1),ColLivraison)=AD$6,
  VLOOKUP($E30,INDIRECT("tri!"&amp; CHAR(64+ C0Col) &amp;":"&amp; CHAR(65+C0Col)),2,FALSE)&gt;COUNTIF($E30:AC30,"u")+COUNTIF($E30:AC30,"t")+COUNTIF($E30:AC30,"¶")+COUNTIF($E30:AC30,"²")+COUNTIF($E30:AC30,"µ")+COUNTIF($E30:AC30,1)),
HYPERLINK("#Roadmap!C"&amp; MATCH($E30,Roadmap!$D:$D,0)+COUNTIF($E30:AC30,"u")+COUNTIF($E30:AC30,"t"),
     INDEX(Roadmap!$D:$K,MATCH($E30,Roadmap!$D:$D,0)+COUNTIF($E30:AC30,"u")+COUNTIF($E30:AC30,"t")+COUNTIF($E30:AC30,"¶")+COUNTIF($E30:AC30,"²")+COUNTIF($E30:AC30,"µ")+COUNTIF($E30:AC30,1),ColTypeEcheance)),
  IF(LEN(AC30)=1,
  IF(LEN(INDEX(Roadmap!$D:$K,MATCH($E30,Roadmap!$D:$D,0)-1+COUNTIF($E30:AC30,"u")+COUNTIF($E30:AC30,"t")+COUNTIF($E30:AC30,"¶")+COUNTIF($E30:AC30,"²")+COUNTIF($E30:AC30,"µ")+COUNTIF($E30:AC30,1),ColDescriptionCourte))&gt;1,
HYPERLINK("#Roadmap!C"&amp; MATCH($E30,Roadmap!$D:$D,0)+COUNTIF($E30:AC30,"u")+COUNTIF($E30:AC30,"t")+COUNTIF($E30:AC30,"¶")+COUNTIF($E30:AC30,"²")+COUNTIF($E30:AC30,"µ")+COUNTIF($E30:AC30,1)-1,INDEX(Roadmap!$D:$K,MATCH($E30,Roadmap!$D:$D,0)-1+COUNTIF($E30:AC30,"u")+COUNTIF($E30:AC30,"t")+COUNTIF($E30:AC30,"¶")+COUNTIF($E30:AC30,"²")+COUNTIF($E30:AC30,"µ")+COUNTIF($E30:AC30,1),ColDescriptionCourte)),""),
  "")),"")</f>
        <v/>
      </c>
      <c r="AE30" s="40" t="str">
        <f ca="1">IFERROR(IF(AND(
  INDEX(Roadmap!$D:$K,MATCH($E30,Roadmap!$D:$D,0)+COUNTIF($E30:AD30,"u")+COUNTIF($E30:AD30,"t")+COUNTIF($E30:AD30,"¶")+COUNTIF($E30:AD30,"²")+COUNTIF($E30:AD30,"µ")+COUNTIF($E30:AD30,1),ColLivraison)=AE$6,
  VLOOKUP($E30,INDIRECT("tri!"&amp; CHAR(64+ C0Col) &amp;":"&amp; CHAR(65+C0Col)),2,FALSE)&gt;COUNTIF($E30:AD30,"u")+COUNTIF($E30:AD30,"t")+COUNTIF($E30:AD30,"¶")+COUNTIF($E30:AD30,"²")+COUNTIF($E30:AD30,"µ")+COUNTIF($E30:AD30,1)),
HYPERLINK("#Roadmap!C"&amp; MATCH($E30,Roadmap!$D:$D,0)+COUNTIF($E30:AD30,"u")+COUNTIF($E30:AD30,"t"),
     INDEX(Roadmap!$D:$K,MATCH($E30,Roadmap!$D:$D,0)+COUNTIF($E30:AD30,"u")+COUNTIF($E30:AD30,"t")+COUNTIF($E30:AD30,"¶")+COUNTIF($E30:AD30,"²")+COUNTIF($E30:AD30,"µ")+COUNTIF($E30:AD30,1),ColTypeEcheance)),
  IF(LEN(AD30)=1,
  IF(LEN(INDEX(Roadmap!$D:$K,MATCH($E30,Roadmap!$D:$D,0)-1+COUNTIF($E30:AD30,"u")+COUNTIF($E30:AD30,"t")+COUNTIF($E30:AD30,"¶")+COUNTIF($E30:AD30,"²")+COUNTIF($E30:AD30,"µ")+COUNTIF($E30:AD30,1),ColDescriptionCourte))&gt;1,
HYPERLINK("#Roadmap!C"&amp; MATCH($E30,Roadmap!$D:$D,0)+COUNTIF($E30:AD30,"u")+COUNTIF($E30:AD30,"t")+COUNTIF($E30:AD30,"¶")+COUNTIF($E30:AD30,"²")+COUNTIF($E30:AD30,"µ")+COUNTIF($E30:AD30,1)-1,INDEX(Roadmap!$D:$K,MATCH($E30,Roadmap!$D:$D,0)-1+COUNTIF($E30:AD30,"u")+COUNTIF($E30:AD30,"t")+COUNTIF($E30:AD30,"¶")+COUNTIF($E30:AD30,"²")+COUNTIF($E30:AD30,"µ")+COUNTIF($E30:AD30,1),ColDescriptionCourte)),""),
  "")),"")</f>
        <v/>
      </c>
      <c r="AF30" s="40" t="str">
        <f ca="1">IFERROR(IF(AND(
  INDEX(Roadmap!$D:$K,MATCH($E30,Roadmap!$D:$D,0)+COUNTIF($E30:AE30,"u")+COUNTIF($E30:AE30,"t")+COUNTIF($E30:AE30,"¶")+COUNTIF($E30:AE30,"²")+COUNTIF($E30:AE30,"µ")+COUNTIF($E30:AE30,1),ColLivraison)=AF$6,
  VLOOKUP($E30,INDIRECT("tri!"&amp; CHAR(64+ C0Col) &amp;":"&amp; CHAR(65+C0Col)),2,FALSE)&gt;COUNTIF($E30:AE30,"u")+COUNTIF($E30:AE30,"t")+COUNTIF($E30:AE30,"¶")+COUNTIF($E30:AE30,"²")+COUNTIF($E30:AE30,"µ")+COUNTIF($E30:AE30,1)),
HYPERLINK("#Roadmap!C"&amp; MATCH($E30,Roadmap!$D:$D,0)+COUNTIF($E30:AE30,"u")+COUNTIF($E30:AE30,"t"),
     INDEX(Roadmap!$D:$K,MATCH($E30,Roadmap!$D:$D,0)+COUNTIF($E30:AE30,"u")+COUNTIF($E30:AE30,"t")+COUNTIF($E30:AE30,"¶")+COUNTIF($E30:AE30,"²")+COUNTIF($E30:AE30,"µ")+COUNTIF($E30:AE30,1),ColTypeEcheance)),
  IF(LEN(AE30)=1,
  IF(LEN(INDEX(Roadmap!$D:$K,MATCH($E30,Roadmap!$D:$D,0)-1+COUNTIF($E30:AE30,"u")+COUNTIF($E30:AE30,"t")+COUNTIF($E30:AE30,"¶")+COUNTIF($E30:AE30,"²")+COUNTIF($E30:AE30,"µ")+COUNTIF($E30:AE30,1),ColDescriptionCourte))&gt;1,
HYPERLINK("#Roadmap!C"&amp; MATCH($E30,Roadmap!$D:$D,0)+COUNTIF($E30:AE30,"u")+COUNTIF($E30:AE30,"t")+COUNTIF($E30:AE30,"¶")+COUNTIF($E30:AE30,"²")+COUNTIF($E30:AE30,"µ")+COUNTIF($E30:AE30,1)-1,INDEX(Roadmap!$D:$K,MATCH($E30,Roadmap!$D:$D,0)-1+COUNTIF($E30:AE30,"u")+COUNTIF($E30:AE30,"t")+COUNTIF($E30:AE30,"¶")+COUNTIF($E30:AE30,"²")+COUNTIF($E30:AE30,"µ")+COUNTIF($E30:AE30,1),ColDescriptionCourte)),""),
  "")),"")</f>
        <v/>
      </c>
      <c r="AG30" s="40" t="str">
        <f ca="1">IFERROR(IF(AND(
  INDEX(Roadmap!$D:$K,MATCH($E30,Roadmap!$D:$D,0)+COUNTIF($E30:AF30,"u")+COUNTIF($E30:AF30,"t")+COUNTIF($E30:AF30,"¶")+COUNTIF($E30:AF30,"²")+COUNTIF($E30:AF30,"µ")+COUNTIF($E30:AF30,1),ColLivraison)=AG$6,
  VLOOKUP($E30,INDIRECT("tri!"&amp; CHAR(64+ C0Col) &amp;":"&amp; CHAR(65+C0Col)),2,FALSE)&gt;COUNTIF($E30:AF30,"u")+COUNTIF($E30:AF30,"t")+COUNTIF($E30:AF30,"¶")+COUNTIF($E30:AF30,"²")+COUNTIF($E30:AF30,"µ")+COUNTIF($E30:AF30,1)),
HYPERLINK("#Roadmap!C"&amp; MATCH($E30,Roadmap!$D:$D,0)+COUNTIF($E30:AF30,"u")+COUNTIF($E30:AF30,"t"),
     INDEX(Roadmap!$D:$K,MATCH($E30,Roadmap!$D:$D,0)+COUNTIF($E30:AF30,"u")+COUNTIF($E30:AF30,"t")+COUNTIF($E30:AF30,"¶")+COUNTIF($E30:AF30,"²")+COUNTIF($E30:AF30,"µ")+COUNTIF($E30:AF30,1),ColTypeEcheance)),
  IF(LEN(AF30)=1,
  IF(LEN(INDEX(Roadmap!$D:$K,MATCH($E30,Roadmap!$D:$D,0)-1+COUNTIF($E30:AF30,"u")+COUNTIF($E30:AF30,"t")+COUNTIF($E30:AF30,"¶")+COUNTIF($E30:AF30,"²")+COUNTIF($E30:AF30,"µ")+COUNTIF($E30:AF30,1),ColDescriptionCourte))&gt;1,
HYPERLINK("#Roadmap!C"&amp; MATCH($E30,Roadmap!$D:$D,0)+COUNTIF($E30:AF30,"u")+COUNTIF($E30:AF30,"t")+COUNTIF($E30:AF30,"¶")+COUNTIF($E30:AF30,"²")+COUNTIF($E30:AF30,"µ")+COUNTIF($E30:AF30,1)-1,INDEX(Roadmap!$D:$K,MATCH($E30,Roadmap!$D:$D,0)-1+COUNTIF($E30:AF30,"u")+COUNTIF($E30:AF30,"t")+COUNTIF($E30:AF30,"¶")+COUNTIF($E30:AF30,"²")+COUNTIF($E30:AF30,"µ")+COUNTIF($E30:AF30,1),ColDescriptionCourte)),""),
  "")),"")</f>
        <v/>
      </c>
    </row>
    <row r="31" spans="3:33" ht="14.25" customHeight="1">
      <c r="C31" s="1" t="str">
        <f t="shared" ca="1" si="42"/>
        <v/>
      </c>
      <c r="D31" s="1" t="str">
        <f t="shared" ca="1" si="43"/>
        <v/>
      </c>
      <c r="E31" s="35" t="str">
        <f t="shared" ca="1" si="33"/>
        <v/>
      </c>
      <c r="F31" s="39" t="str">
        <f ca="1">IFERROR(IF(AND(
  INDEX(Roadmap!$D:$K,MATCH($E31,Roadmap!$D:$D,0)+COUNTIF($E31:E31,"u")+COUNTIF($E31:E31,"t")+COUNTIF($E31:E31,"¶")+COUNTIF($E31:E31,"²")+COUNTIF($E31:E31,"µ")+COUNTIF($E31:E31,1),ColLivraison)=F$6,
  VLOOKUP($E31,INDIRECT("tri!"&amp; CHAR(64+ C0Col) &amp;":"&amp; CHAR(65+C0Col)),2,FALSE)&gt;COUNTIF($E31:E31,"u")+COUNTIF($E31:E31,"t")+COUNTIF($E31:E31,"¶")+COUNTIF($E31:E31,"²")+COUNTIF($E31:E31,"µ")+COUNTIF($E31:E31,1)),
HYPERLINK("#Roadmap!C"&amp; MATCH($E31,Roadmap!$D:$D,0)+COUNTIF($E31:E31,"u")+COUNTIF($E31:E31,"t"),
     INDEX(Roadmap!$D:$K,MATCH($E31,Roadmap!$D:$D,0)+COUNTIF($E31:E31,"u")+COUNTIF($E31:E31,"t")+COUNTIF($E31:E31,"¶")+COUNTIF($E31:E31,"²")+COUNTIF($E31:E31,"µ")+COUNTIF($E31:E31,1),ColTypeEcheance)),
  IF(LEN(E31)=1,
  IF(LEN(INDEX(Roadmap!$D:$K,MATCH($E31,Roadmap!$D:$D,0)-1+COUNTIF($E31:E31,"u")+COUNTIF($E31:E31,"t")+COUNTIF($E31:E31,"¶")+COUNTIF($E31:E31,"²")+COUNTIF($E31:E31,"µ")+COUNTIF($E31:E31,1),ColDescriptionCourte))&gt;1,
HYPERLINK("#Roadmap!C"&amp; MATCH($E31,Roadmap!$D:$D,0)+COUNTIF($E31:E31,"u")+COUNTIF($E31:E31,"t")+COUNTIF($E31:E31,"¶")+COUNTIF($E31:E31,"²")+COUNTIF($E31:E31,"µ")+COUNTIF($E31:E31,1)-1,INDEX(Roadmap!$D:$K,MATCH($E31,Roadmap!$D:$D,0)-1+COUNTIF($E31:E31,"u")+COUNTIF($E31:E31,"t")+COUNTIF($E31:E31,"¶")+COUNTIF($E31:E31,"²")+COUNTIF($E31:E31,"µ")+COUNTIF($E31:E31,1),ColDescriptionCourte)),""),
  "")),"")</f>
        <v/>
      </c>
      <c r="G31" s="40" t="str">
        <f ca="1">IFERROR(IF(AND(
  INDEX(Roadmap!$D:$K,MATCH($E31,Roadmap!$D:$D,0)+COUNTIF($E31:F31,"u")+COUNTIF($E31:F31,"t")+COUNTIF($E31:F31,"¶")+COUNTIF($E31:F31,"²")+COUNTIF($E31:F31,"µ")+COUNTIF($E31:F31,1),ColLivraison)=G$6,
  VLOOKUP($E31,INDIRECT("tri!"&amp; CHAR(64+ C0Col) &amp;":"&amp; CHAR(65+C0Col)),2,FALSE)&gt;COUNTIF($E31:F31,"u")+COUNTIF($E31:F31,"t")+COUNTIF($E31:F31,"¶")+COUNTIF($E31:F31,"²")+COUNTIF($E31:F31,"µ")+COUNTIF($E31:F31,1)),
HYPERLINK("#Roadmap!C"&amp; MATCH($E31,Roadmap!$D:$D,0)+COUNTIF($E31:F31,"u")+COUNTIF($E31:F31,"t"),
     INDEX(Roadmap!$D:$K,MATCH($E31,Roadmap!$D:$D,0)+COUNTIF($E31:F31,"u")+COUNTIF($E31:F31,"t")+COUNTIF($E31:F31,"¶")+COUNTIF($E31:F31,"²")+COUNTIF($E31:F31,"µ")+COUNTIF($E31:F31,1),ColTypeEcheance)),
  IF(LEN(F31)=1,
  IF(LEN(INDEX(Roadmap!$D:$K,MATCH($E31,Roadmap!$D:$D,0)-1+COUNTIF($E31:F31,"u")+COUNTIF($E31:F31,"t")+COUNTIF($E31:F31,"¶")+COUNTIF($E31:F31,"²")+COUNTIF($E31:F31,"µ")+COUNTIF($E31:F31,1),ColDescriptionCourte))&gt;1,
HYPERLINK("#Roadmap!C"&amp; MATCH($E31,Roadmap!$D:$D,0)+COUNTIF($E31:F31,"u")+COUNTIF($E31:F31,"t")+COUNTIF($E31:F31,"¶")+COUNTIF($E31:F31,"²")+COUNTIF($E31:F31,"µ")+COUNTIF($E31:F31,1)-1,INDEX(Roadmap!$D:$K,MATCH($E31,Roadmap!$D:$D,0)-1+COUNTIF($E31:F31,"u")+COUNTIF($E31:F31,"t")+COUNTIF($E31:F31,"¶")+COUNTIF($E31:F31,"²")+COUNTIF($E31:F31,"µ")+COUNTIF($E31:F31,1),ColDescriptionCourte)),""),
  "")),"")</f>
        <v/>
      </c>
      <c r="H31" s="40" t="str">
        <f ca="1">IFERROR(IF(AND(
  INDEX(Roadmap!$D:$K,MATCH($E31,Roadmap!$D:$D,0)+COUNTIF($E31:G31,"u")+COUNTIF($E31:G31,"t")+COUNTIF($E31:G31,"¶")+COUNTIF($E31:G31,"²")+COUNTIF($E31:G31,"µ")+COUNTIF($E31:G31,1),ColLivraison)=H$6,
  VLOOKUP($E31,INDIRECT("tri!"&amp; CHAR(64+ C0Col) &amp;":"&amp; CHAR(65+C0Col)),2,FALSE)&gt;COUNTIF($E31:G31,"u")+COUNTIF($E31:G31,"t")+COUNTIF($E31:G31,"¶")+COUNTIF($E31:G31,"²")+COUNTIF($E31:G31,"µ")+COUNTIF($E31:G31,1)),
HYPERLINK("#Roadmap!C"&amp; MATCH($E31,Roadmap!$D:$D,0)+COUNTIF($E31:G31,"u")+COUNTIF($E31:G31,"t"),
     INDEX(Roadmap!$D:$K,MATCH($E31,Roadmap!$D:$D,0)+COUNTIF($E31:G31,"u")+COUNTIF($E31:G31,"t")+COUNTIF($E31:G31,"¶")+COUNTIF($E31:G31,"²")+COUNTIF($E31:G31,"µ")+COUNTIF($E31:G31,1),ColTypeEcheance)),
  IF(LEN(G31)=1,
  IF(LEN(INDEX(Roadmap!$D:$K,MATCH($E31,Roadmap!$D:$D,0)-1+COUNTIF($E31:G31,"u")+COUNTIF($E31:G31,"t")+COUNTIF($E31:G31,"¶")+COUNTIF($E31:G31,"²")+COUNTIF($E31:G31,"µ")+COUNTIF($E31:G31,1),ColDescriptionCourte))&gt;1,
HYPERLINK("#Roadmap!C"&amp; MATCH($E31,Roadmap!$D:$D,0)+COUNTIF($E31:G31,"u")+COUNTIF($E31:G31,"t")+COUNTIF($E31:G31,"¶")+COUNTIF($E31:G31,"²")+COUNTIF($E31:G31,"µ")+COUNTIF($E31:G31,1)-1,INDEX(Roadmap!$D:$K,MATCH($E31,Roadmap!$D:$D,0)-1+COUNTIF($E31:G31,"u")+COUNTIF($E31:G31,"t")+COUNTIF($E31:G31,"¶")+COUNTIF($E31:G31,"²")+COUNTIF($E31:G31,"µ")+COUNTIF($E31:G31,1),ColDescriptionCourte)),""),
  "")),"")</f>
        <v/>
      </c>
      <c r="I31" s="40" t="str">
        <f ca="1">IFERROR(IF(AND(
  INDEX(Roadmap!$D:$K,MATCH($E31,Roadmap!$D:$D,0)+COUNTIF($E31:H31,"u")+COUNTIF($E31:H31,"t")+COUNTIF($E31:H31,"¶")+COUNTIF($E31:H31,"²")+COUNTIF($E31:H31,"µ")+COUNTIF($E31:H31,1),ColLivraison)=I$6,
  VLOOKUP($E31,INDIRECT("tri!"&amp; CHAR(64+ C0Col) &amp;":"&amp; CHAR(65+C0Col)),2,FALSE)&gt;COUNTIF($E31:H31,"u")+COUNTIF($E31:H31,"t")+COUNTIF($E31:H31,"¶")+COUNTIF($E31:H31,"²")+COUNTIF($E31:H31,"µ")+COUNTIF($E31:H31,1)),
HYPERLINK("#Roadmap!C"&amp; MATCH($E31,Roadmap!$D:$D,0)+COUNTIF($E31:H31,"u")+COUNTIF($E31:H31,"t"),
     INDEX(Roadmap!$D:$K,MATCH($E31,Roadmap!$D:$D,0)+COUNTIF($E31:H31,"u")+COUNTIF($E31:H31,"t")+COUNTIF($E31:H31,"¶")+COUNTIF($E31:H31,"²")+COUNTIF($E31:H31,"µ")+COUNTIF($E31:H31,1),ColTypeEcheance)),
  IF(LEN(H31)=1,
  IF(LEN(INDEX(Roadmap!$D:$K,MATCH($E31,Roadmap!$D:$D,0)-1+COUNTIF($E31:H31,"u")+COUNTIF($E31:H31,"t")+COUNTIF($E31:H31,"¶")+COUNTIF($E31:H31,"²")+COUNTIF($E31:H31,"µ")+COUNTIF($E31:H31,1),ColDescriptionCourte))&gt;1,
HYPERLINK("#Roadmap!C"&amp; MATCH($E31,Roadmap!$D:$D,0)+COUNTIF($E31:H31,"u")+COUNTIF($E31:H31,"t")+COUNTIF($E31:H31,"¶")+COUNTIF($E31:H31,"²")+COUNTIF($E31:H31,"µ")+COUNTIF($E31:H31,1)-1,INDEX(Roadmap!$D:$K,MATCH($E31,Roadmap!$D:$D,0)-1+COUNTIF($E31:H31,"u")+COUNTIF($E31:H31,"t")+COUNTIF($E31:H31,"¶")+COUNTIF($E31:H31,"²")+COUNTIF($E31:H31,"µ")+COUNTIF($E31:H31,1),ColDescriptionCourte)),""),
  "")),"")</f>
        <v/>
      </c>
      <c r="J31" s="40" t="str">
        <f ca="1">IFERROR(IF(AND(
  INDEX(Roadmap!$D:$K,MATCH($E31,Roadmap!$D:$D,0)+COUNTIF($E31:I31,"u")+COUNTIF($E31:I31,"t")+COUNTIF($E31:I31,"¶")+COUNTIF($E31:I31,"²")+COUNTIF($E31:I31,"µ")+COUNTIF($E31:I31,1),ColLivraison)=J$6,
  VLOOKUP($E31,INDIRECT("tri!"&amp; CHAR(64+ C0Col) &amp;":"&amp; CHAR(65+C0Col)),2,FALSE)&gt;COUNTIF($E31:I31,"u")+COUNTIF($E31:I31,"t")+COUNTIF($E31:I31,"¶")+COUNTIF($E31:I31,"²")+COUNTIF($E31:I31,"µ")+COUNTIF($E31:I31,1)),
HYPERLINK("#Roadmap!C"&amp; MATCH($E31,Roadmap!$D:$D,0)+COUNTIF($E31:I31,"u")+COUNTIF($E31:I31,"t"),
     INDEX(Roadmap!$D:$K,MATCH($E31,Roadmap!$D:$D,0)+COUNTIF($E31:I31,"u")+COUNTIF($E31:I31,"t")+COUNTIF($E31:I31,"¶")+COUNTIF($E31:I31,"²")+COUNTIF($E31:I31,"µ")+COUNTIF($E31:I31,1),ColTypeEcheance)),
  IF(LEN(I31)=1,
  IF(LEN(INDEX(Roadmap!$D:$K,MATCH($E31,Roadmap!$D:$D,0)-1+COUNTIF($E31:I31,"u")+COUNTIF($E31:I31,"t")+COUNTIF($E31:I31,"¶")+COUNTIF($E31:I31,"²")+COUNTIF($E31:I31,"µ")+COUNTIF($E31:I31,1),ColDescriptionCourte))&gt;1,
HYPERLINK("#Roadmap!C"&amp; MATCH($E31,Roadmap!$D:$D,0)+COUNTIF($E31:I31,"u")+COUNTIF($E31:I31,"t")+COUNTIF($E31:I31,"¶")+COUNTIF($E31:I31,"²")+COUNTIF($E31:I31,"µ")+COUNTIF($E31:I31,1)-1,INDEX(Roadmap!$D:$K,MATCH($E31,Roadmap!$D:$D,0)-1+COUNTIF($E31:I31,"u")+COUNTIF($E31:I31,"t")+COUNTIF($E31:I31,"¶")+COUNTIF($E31:I31,"²")+COUNTIF($E31:I31,"µ")+COUNTIF($E31:I31,1),ColDescriptionCourte)),""),
  "")),"")</f>
        <v/>
      </c>
      <c r="K31" s="40" t="str">
        <f ca="1">IFERROR(IF(AND(
  INDEX(Roadmap!$D:$K,MATCH($E31,Roadmap!$D:$D,0)+COUNTIF($E31:J31,"u")+COUNTIF($E31:J31,"t")+COUNTIF($E31:J31,"¶")+COUNTIF($E31:J31,"²")+COUNTIF($E31:J31,"µ")+COUNTIF($E31:J31,1),ColLivraison)=K$6,
  VLOOKUP($E31,INDIRECT("tri!"&amp; CHAR(64+ C0Col) &amp;":"&amp; CHAR(65+C0Col)),2,FALSE)&gt;COUNTIF($E31:J31,"u")+COUNTIF($E31:J31,"t")+COUNTIF($E31:J31,"¶")+COUNTIF($E31:J31,"²")+COUNTIF($E31:J31,"µ")+COUNTIF($E31:J31,1)),
HYPERLINK("#Roadmap!C"&amp; MATCH($E31,Roadmap!$D:$D,0)+COUNTIF($E31:J31,"u")+COUNTIF($E31:J31,"t"),
     INDEX(Roadmap!$D:$K,MATCH($E31,Roadmap!$D:$D,0)+COUNTIF($E31:J31,"u")+COUNTIF($E31:J31,"t")+COUNTIF($E31:J31,"¶")+COUNTIF($E31:J31,"²")+COUNTIF($E31:J31,"µ")+COUNTIF($E31:J31,1),ColTypeEcheance)),
  IF(LEN(J31)=1,
  IF(LEN(INDEX(Roadmap!$D:$K,MATCH($E31,Roadmap!$D:$D,0)-1+COUNTIF($E31:J31,"u")+COUNTIF($E31:J31,"t")+COUNTIF($E31:J31,"¶")+COUNTIF($E31:J31,"²")+COUNTIF($E31:J31,"µ")+COUNTIF($E31:J31,1),ColDescriptionCourte))&gt;1,
HYPERLINK("#Roadmap!C"&amp; MATCH($E31,Roadmap!$D:$D,0)+COUNTIF($E31:J31,"u")+COUNTIF($E31:J31,"t")+COUNTIF($E31:J31,"¶")+COUNTIF($E31:J31,"²")+COUNTIF($E31:J31,"µ")+COUNTIF($E31:J31,1)-1,INDEX(Roadmap!$D:$K,MATCH($E31,Roadmap!$D:$D,0)-1+COUNTIF($E31:J31,"u")+COUNTIF($E31:J31,"t")+COUNTIF($E31:J31,"¶")+COUNTIF($E31:J31,"²")+COUNTIF($E31:J31,"µ")+COUNTIF($E31:J31,1),ColDescriptionCourte)),""),
  "")),"")</f>
        <v/>
      </c>
      <c r="L31" s="39" t="str">
        <f ca="1">IFERROR(IF(AND(
  INDEX(Roadmap!$D:$K,MATCH($E31,Roadmap!$D:$D,0)+COUNTIF($E31:K31,"u")+COUNTIF($E31:K31,"t")+COUNTIF($E31:K31,"¶")+COUNTIF($E31:K31,"²")+COUNTIF($E31:K31,"µ")+COUNTIF($E31:K31,1),ColLivraison)=L$6,
  VLOOKUP($E31,INDIRECT("tri!"&amp; CHAR(64+ C0Col) &amp;":"&amp; CHAR(65+C0Col)),2,FALSE)&gt;COUNTIF($E31:K31,"u")+COUNTIF($E31:K31,"t")+COUNTIF($E31:K31,"¶")+COUNTIF($E31:K31,"²")+COUNTIF($E31:K31,"µ")+COUNTIF($E31:K31,1)),
HYPERLINK("#Roadmap!C"&amp; MATCH($E31,Roadmap!$D:$D,0)+COUNTIF($E31:K31,"u")+COUNTIF($E31:K31,"t"),
     INDEX(Roadmap!$D:$K,MATCH($E31,Roadmap!$D:$D,0)+COUNTIF($E31:K31,"u")+COUNTIF($E31:K31,"t")+COUNTIF($E31:K31,"¶")+COUNTIF($E31:K31,"²")+COUNTIF($E31:K31,"µ")+COUNTIF($E31:K31,1),ColTypeEcheance)),
  IF(LEN(K31)=1,
  IF(LEN(INDEX(Roadmap!$D:$K,MATCH($E31,Roadmap!$D:$D,0)-1+COUNTIF($E31:K31,"u")+COUNTIF($E31:K31,"t")+COUNTIF($E31:K31,"¶")+COUNTIF($E31:K31,"²")+COUNTIF($E31:K31,"µ")+COUNTIF($E31:K31,1),ColDescriptionCourte))&gt;1,
HYPERLINK("#Roadmap!C"&amp; MATCH($E31,Roadmap!$D:$D,0)+COUNTIF($E31:K31,"u")+COUNTIF($E31:K31,"t")+COUNTIF($E31:K31,"¶")+COUNTIF($E31:K31,"²")+COUNTIF($E31:K31,"µ")+COUNTIF($E31:K31,1)-1,INDEX(Roadmap!$D:$K,MATCH($E31,Roadmap!$D:$D,0)-1+COUNTIF($E31:K31,"u")+COUNTIF($E31:K31,"t")+COUNTIF($E31:K31,"¶")+COUNTIF($E31:K31,"²")+COUNTIF($E31:K31,"µ")+COUNTIF($E31:K31,1),ColDescriptionCourte)),""),
  "")),"")</f>
        <v/>
      </c>
      <c r="M31" s="40" t="str">
        <f ca="1">IFERROR(IF(AND(
  INDEX(Roadmap!$D:$K,MATCH($E31,Roadmap!$D:$D,0)+COUNTIF($E31:L31,"u")+COUNTIF($E31:L31,"t")+COUNTIF($E31:L31,"¶")+COUNTIF($E31:L31,"²")+COUNTIF($E31:L31,"µ")+COUNTIF($E31:L31,1),ColLivraison)=M$6,
  VLOOKUP($E31,INDIRECT("tri!"&amp; CHAR(64+ C0Col) &amp;":"&amp; CHAR(65+C0Col)),2,FALSE)&gt;COUNTIF($E31:L31,"u")+COUNTIF($E31:L31,"t")+COUNTIF($E31:L31,"¶")+COUNTIF($E31:L31,"²")+COUNTIF($E31:L31,"µ")+COUNTIF($E31:L31,1)),
HYPERLINK("#Roadmap!C"&amp; MATCH($E31,Roadmap!$D:$D,0)+COUNTIF($E31:L31,"u")+COUNTIF($E31:L31,"t"),
     INDEX(Roadmap!$D:$K,MATCH($E31,Roadmap!$D:$D,0)+COUNTIF($E31:L31,"u")+COUNTIF($E31:L31,"t")+COUNTIF($E31:L31,"¶")+COUNTIF($E31:L31,"²")+COUNTIF($E31:L31,"µ")+COUNTIF($E31:L31,1),ColTypeEcheance)),
  IF(LEN(L31)=1,
  IF(LEN(INDEX(Roadmap!$D:$K,MATCH($E31,Roadmap!$D:$D,0)-1+COUNTIF($E31:L31,"u")+COUNTIF($E31:L31,"t")+COUNTIF($E31:L31,"¶")+COUNTIF($E31:L31,"²")+COUNTIF($E31:L31,"µ")+COUNTIF($E31:L31,1),ColDescriptionCourte))&gt;1,
HYPERLINK("#Roadmap!C"&amp; MATCH($E31,Roadmap!$D:$D,0)+COUNTIF($E31:L31,"u")+COUNTIF($E31:L31,"t")+COUNTIF($E31:L31,"¶")+COUNTIF($E31:L31,"²")+COUNTIF($E31:L31,"µ")+COUNTIF($E31:L31,1)-1,INDEX(Roadmap!$D:$K,MATCH($E31,Roadmap!$D:$D,0)-1+COUNTIF($E31:L31,"u")+COUNTIF($E31:L31,"t")+COUNTIF($E31:L31,"¶")+COUNTIF($E31:L31,"²")+COUNTIF($E31:L31,"µ")+COUNTIF($E31:L31,1),ColDescriptionCourte)),""),
  "")),"")</f>
        <v/>
      </c>
      <c r="N31" s="40" t="str">
        <f ca="1">IFERROR(IF(AND(
  INDEX(Roadmap!$D:$K,MATCH($E31,Roadmap!$D:$D,0)+COUNTIF($E31:M31,"u")+COUNTIF($E31:M31,"t")+COUNTIF($E31:M31,"¶")+COUNTIF($E31:M31,"²")+COUNTIF($E31:M31,"µ")+COUNTIF($E31:M31,1),ColLivraison)=N$6,
  VLOOKUP($E31,INDIRECT("tri!"&amp; CHAR(64+ C0Col) &amp;":"&amp; CHAR(65+C0Col)),2,FALSE)&gt;COUNTIF($E31:M31,"u")+COUNTIF($E31:M31,"t")+COUNTIF($E31:M31,"¶")+COUNTIF($E31:M31,"²")+COUNTIF($E31:M31,"µ")+COUNTIF($E31:M31,1)),
HYPERLINK("#Roadmap!C"&amp; MATCH($E31,Roadmap!$D:$D,0)+COUNTIF($E31:M31,"u")+COUNTIF($E31:M31,"t"),
     INDEX(Roadmap!$D:$K,MATCH($E31,Roadmap!$D:$D,0)+COUNTIF($E31:M31,"u")+COUNTIF($E31:M31,"t")+COUNTIF($E31:M31,"¶")+COUNTIF($E31:M31,"²")+COUNTIF($E31:M31,"µ")+COUNTIF($E31:M31,1),ColTypeEcheance)),
  IF(LEN(M31)=1,
  IF(LEN(INDEX(Roadmap!$D:$K,MATCH($E31,Roadmap!$D:$D,0)-1+COUNTIF($E31:M31,"u")+COUNTIF($E31:M31,"t")+COUNTIF($E31:M31,"¶")+COUNTIF($E31:M31,"²")+COUNTIF($E31:M31,"µ")+COUNTIF($E31:M31,1),ColDescriptionCourte))&gt;1,
HYPERLINK("#Roadmap!C"&amp; MATCH($E31,Roadmap!$D:$D,0)+COUNTIF($E31:M31,"u")+COUNTIF($E31:M31,"t")+COUNTIF($E31:M31,"¶")+COUNTIF($E31:M31,"²")+COUNTIF($E31:M31,"µ")+COUNTIF($E31:M31,1)-1,INDEX(Roadmap!$D:$K,MATCH($E31,Roadmap!$D:$D,0)-1+COUNTIF($E31:M31,"u")+COUNTIF($E31:M31,"t")+COUNTIF($E31:M31,"¶")+COUNTIF($E31:M31,"²")+COUNTIF($E31:M31,"µ")+COUNTIF($E31:M31,1),ColDescriptionCourte)),""),
  "")),"")</f>
        <v/>
      </c>
      <c r="O31" s="40" t="str">
        <f ca="1">IFERROR(IF(AND(
  INDEX(Roadmap!$D:$K,MATCH($E31,Roadmap!$D:$D,0)+COUNTIF($E31:N31,"u")+COUNTIF($E31:N31,"t")+COUNTIF($E31:N31,"¶")+COUNTIF($E31:N31,"²")+COUNTIF($E31:N31,"µ")+COUNTIF($E31:N31,1),ColLivraison)=O$6,
  VLOOKUP($E31,INDIRECT("tri!"&amp; CHAR(64+ C0Col) &amp;":"&amp; CHAR(65+C0Col)),2,FALSE)&gt;COUNTIF($E31:N31,"u")+COUNTIF($E31:N31,"t")+COUNTIF($E31:N31,"¶")+COUNTIF($E31:N31,"²")+COUNTIF($E31:N31,"µ")+COUNTIF($E31:N31,1)),
HYPERLINK("#Roadmap!C"&amp; MATCH($E31,Roadmap!$D:$D,0)+COUNTIF($E31:N31,"u")+COUNTIF($E31:N31,"t"),
     INDEX(Roadmap!$D:$K,MATCH($E31,Roadmap!$D:$D,0)+COUNTIF($E31:N31,"u")+COUNTIF($E31:N31,"t")+COUNTIF($E31:N31,"¶")+COUNTIF($E31:N31,"²")+COUNTIF($E31:N31,"µ")+COUNTIF($E31:N31,1),ColTypeEcheance)),
  IF(LEN(N31)=1,
  IF(LEN(INDEX(Roadmap!$D:$K,MATCH($E31,Roadmap!$D:$D,0)-1+COUNTIF($E31:N31,"u")+COUNTIF($E31:N31,"t")+COUNTIF($E31:N31,"¶")+COUNTIF($E31:N31,"²")+COUNTIF($E31:N31,"µ")+COUNTIF($E31:N31,1),ColDescriptionCourte))&gt;1,
HYPERLINK("#Roadmap!C"&amp; MATCH($E31,Roadmap!$D:$D,0)+COUNTIF($E31:N31,"u")+COUNTIF($E31:N31,"t")+COUNTIF($E31:N31,"¶")+COUNTIF($E31:N31,"²")+COUNTIF($E31:N31,"µ")+COUNTIF($E31:N31,1)-1,INDEX(Roadmap!$D:$K,MATCH($E31,Roadmap!$D:$D,0)-1+COUNTIF($E31:N31,"u")+COUNTIF($E31:N31,"t")+COUNTIF($E31:N31,"¶")+COUNTIF($E31:N31,"²")+COUNTIF($E31:N31,"µ")+COUNTIF($E31:N31,1),ColDescriptionCourte)),""),
  "")),"")</f>
        <v/>
      </c>
      <c r="P31" s="40" t="str">
        <f ca="1">IFERROR(IF(AND(
  INDEX(Roadmap!$D:$K,MATCH($E31,Roadmap!$D:$D,0)+COUNTIF($E31:O31,"u")+COUNTIF($E31:O31,"t")+COUNTIF($E31:O31,"¶")+COUNTIF($E31:O31,"²")+COUNTIF($E31:O31,"µ")+COUNTIF($E31:O31,1),ColLivraison)=P$6,
  VLOOKUP($E31,INDIRECT("tri!"&amp; CHAR(64+ C0Col) &amp;":"&amp; CHAR(65+C0Col)),2,FALSE)&gt;COUNTIF($E31:O31,"u")+COUNTIF($E31:O31,"t")+COUNTIF($E31:O31,"¶")+COUNTIF($E31:O31,"²")+COUNTIF($E31:O31,"µ")+COUNTIF($E31:O31,1)),
HYPERLINK("#Roadmap!C"&amp; MATCH($E31,Roadmap!$D:$D,0)+COUNTIF($E31:O31,"u")+COUNTIF($E31:O31,"t"),
     INDEX(Roadmap!$D:$K,MATCH($E31,Roadmap!$D:$D,0)+COUNTIF($E31:O31,"u")+COUNTIF($E31:O31,"t")+COUNTIF($E31:O31,"¶")+COUNTIF($E31:O31,"²")+COUNTIF($E31:O31,"µ")+COUNTIF($E31:O31,1),ColTypeEcheance)),
  IF(LEN(O31)=1,
  IF(LEN(INDEX(Roadmap!$D:$K,MATCH($E31,Roadmap!$D:$D,0)-1+COUNTIF($E31:O31,"u")+COUNTIF($E31:O31,"t")+COUNTIF($E31:O31,"¶")+COUNTIF($E31:O31,"²")+COUNTIF($E31:O31,"µ")+COUNTIF($E31:O31,1),ColDescriptionCourte))&gt;1,
HYPERLINK("#Roadmap!C"&amp; MATCH($E31,Roadmap!$D:$D,0)+COUNTIF($E31:O31,"u")+COUNTIF($E31:O31,"t")+COUNTIF($E31:O31,"¶")+COUNTIF($E31:O31,"²")+COUNTIF($E31:O31,"µ")+COUNTIF($E31:O31,1)-1,INDEX(Roadmap!$D:$K,MATCH($E31,Roadmap!$D:$D,0)-1+COUNTIF($E31:O31,"u")+COUNTIF($E31:O31,"t")+COUNTIF($E31:O31,"¶")+COUNTIF($E31:O31,"²")+COUNTIF($E31:O31,"µ")+COUNTIF($E31:O31,1),ColDescriptionCourte)),""),
  "")),"")</f>
        <v/>
      </c>
      <c r="Q31" s="40" t="str">
        <f ca="1">IFERROR(IF(AND(
  INDEX(Roadmap!$D:$K,MATCH($E31,Roadmap!$D:$D,0)+COUNTIF($E31:P31,"u")+COUNTIF($E31:P31,"t")+COUNTIF($E31:P31,"¶")+COUNTIF($E31:P31,"²")+COUNTIF($E31:P31,"µ")+COUNTIF($E31:P31,1),ColLivraison)=Q$6,
  VLOOKUP($E31,INDIRECT("tri!"&amp; CHAR(64+ C0Col) &amp;":"&amp; CHAR(65+C0Col)),2,FALSE)&gt;COUNTIF($E31:P31,"u")+COUNTIF($E31:P31,"t")+COUNTIF($E31:P31,"¶")+COUNTIF($E31:P31,"²")+COUNTIF($E31:P31,"µ")+COUNTIF($E31:P31,1)),
HYPERLINK("#Roadmap!C"&amp; MATCH($E31,Roadmap!$D:$D,0)+COUNTIF($E31:P31,"u")+COUNTIF($E31:P31,"t"),
     INDEX(Roadmap!$D:$K,MATCH($E31,Roadmap!$D:$D,0)+COUNTIF($E31:P31,"u")+COUNTIF($E31:P31,"t")+COUNTIF($E31:P31,"¶")+COUNTIF($E31:P31,"²")+COUNTIF($E31:P31,"µ")+COUNTIF($E31:P31,1),ColTypeEcheance)),
  IF(LEN(P31)=1,
  IF(LEN(INDEX(Roadmap!$D:$K,MATCH($E31,Roadmap!$D:$D,0)-1+COUNTIF($E31:P31,"u")+COUNTIF($E31:P31,"t")+COUNTIF($E31:P31,"¶")+COUNTIF($E31:P31,"²")+COUNTIF($E31:P31,"µ")+COUNTIF($E31:P31,1),ColDescriptionCourte))&gt;1,
HYPERLINK("#Roadmap!C"&amp; MATCH($E31,Roadmap!$D:$D,0)+COUNTIF($E31:P31,"u")+COUNTIF($E31:P31,"t")+COUNTIF($E31:P31,"¶")+COUNTIF($E31:P31,"²")+COUNTIF($E31:P31,"µ")+COUNTIF($E31:P31,1)-1,INDEX(Roadmap!$D:$K,MATCH($E31,Roadmap!$D:$D,0)-1+COUNTIF($E31:P31,"u")+COUNTIF($E31:P31,"t")+COUNTIF($E31:P31,"¶")+COUNTIF($E31:P31,"²")+COUNTIF($E31:P31,"µ")+COUNTIF($E31:P31,1),ColDescriptionCourte)),""),
  "")),"")</f>
        <v/>
      </c>
      <c r="R31" s="40" t="str">
        <f ca="1">IFERROR(IF(AND(
  INDEX(Roadmap!$D:$K,MATCH($E31,Roadmap!$D:$D,0)+COUNTIF($E31:Q31,"u")+COUNTIF($E31:Q31,"t")+COUNTIF($E31:Q31,"¶")+COUNTIF($E31:Q31,"²")+COUNTIF($E31:Q31,"µ")+COUNTIF($E31:Q31,1),ColLivraison)=R$6,
  VLOOKUP($E31,INDIRECT("tri!"&amp; CHAR(64+ C0Col) &amp;":"&amp; CHAR(65+C0Col)),2,FALSE)&gt;COUNTIF($E31:Q31,"u")+COUNTIF($E31:Q31,"t")+COUNTIF($E31:Q31,"¶")+COUNTIF($E31:Q31,"²")+COUNTIF($E31:Q31,"µ")+COUNTIF($E31:Q31,1)),
HYPERLINK("#Roadmap!C"&amp; MATCH($E31,Roadmap!$D:$D,0)+COUNTIF($E31:Q31,"u")+COUNTIF($E31:Q31,"t"),
     INDEX(Roadmap!$D:$K,MATCH($E31,Roadmap!$D:$D,0)+COUNTIF($E31:Q31,"u")+COUNTIF($E31:Q31,"t")+COUNTIF($E31:Q31,"¶")+COUNTIF($E31:Q31,"²")+COUNTIF($E31:Q31,"µ")+COUNTIF($E31:Q31,1),ColTypeEcheance)),
  IF(LEN(Q31)=1,
  IF(LEN(INDEX(Roadmap!$D:$K,MATCH($E31,Roadmap!$D:$D,0)-1+COUNTIF($E31:Q31,"u")+COUNTIF($E31:Q31,"t")+COUNTIF($E31:Q31,"¶")+COUNTIF($E31:Q31,"²")+COUNTIF($E31:Q31,"µ")+COUNTIF($E31:Q31,1),ColDescriptionCourte))&gt;1,
HYPERLINK("#Roadmap!C"&amp; MATCH($E31,Roadmap!$D:$D,0)+COUNTIF($E31:Q31,"u")+COUNTIF($E31:Q31,"t")+COUNTIF($E31:Q31,"¶")+COUNTIF($E31:Q31,"²")+COUNTIF($E31:Q31,"µ")+COUNTIF($E31:Q31,1)-1,INDEX(Roadmap!$D:$K,MATCH($E31,Roadmap!$D:$D,0)-1+COUNTIF($E31:Q31,"u")+COUNTIF($E31:Q31,"t")+COUNTIF($E31:Q31,"¶")+COUNTIF($E31:Q31,"²")+COUNTIF($E31:Q31,"µ")+COUNTIF($E31:Q31,1),ColDescriptionCourte)),""),
  "")),"")</f>
        <v/>
      </c>
      <c r="S31" s="40" t="str">
        <f ca="1">IFERROR(IF(AND(
  INDEX(Roadmap!$D:$K,MATCH($E31,Roadmap!$D:$D,0)+COUNTIF($E31:R31,"u")+COUNTIF($E31:R31,"t")+COUNTIF($E31:R31,"¶")+COUNTIF($E31:R31,"²")+COUNTIF($E31:R31,"µ")+COUNTIF($E31:R31,1),ColLivraison)=S$6,
  VLOOKUP($E31,INDIRECT("tri!"&amp; CHAR(64+ C0Col) &amp;":"&amp; CHAR(65+C0Col)),2,FALSE)&gt;COUNTIF($E31:R31,"u")+COUNTIF($E31:R31,"t")+COUNTIF($E31:R31,"¶")+COUNTIF($E31:R31,"²")+COUNTIF($E31:R31,"µ")+COUNTIF($E31:R31,1)),
HYPERLINK("#Roadmap!C"&amp; MATCH($E31,Roadmap!$D:$D,0)+COUNTIF($E31:R31,"u")+COUNTIF($E31:R31,"t"),
     INDEX(Roadmap!$D:$K,MATCH($E31,Roadmap!$D:$D,0)+COUNTIF($E31:R31,"u")+COUNTIF($E31:R31,"t")+COUNTIF($E31:R31,"¶")+COUNTIF($E31:R31,"²")+COUNTIF($E31:R31,"µ")+COUNTIF($E31:R31,1),ColTypeEcheance)),
  IF(LEN(R31)=1,
  IF(LEN(INDEX(Roadmap!$D:$K,MATCH($E31,Roadmap!$D:$D,0)-1+COUNTIF($E31:R31,"u")+COUNTIF($E31:R31,"t")+COUNTIF($E31:R31,"¶")+COUNTIF($E31:R31,"²")+COUNTIF($E31:R31,"µ")+COUNTIF($E31:R31,1),ColDescriptionCourte))&gt;1,
HYPERLINK("#Roadmap!C"&amp; MATCH($E31,Roadmap!$D:$D,0)+COUNTIF($E31:R31,"u")+COUNTIF($E31:R31,"t")+COUNTIF($E31:R31,"¶")+COUNTIF($E31:R31,"²")+COUNTIF($E31:R31,"µ")+COUNTIF($E31:R31,1)-1,INDEX(Roadmap!$D:$K,MATCH($E31,Roadmap!$D:$D,0)-1+COUNTIF($E31:R31,"u")+COUNTIF($E31:R31,"t")+COUNTIF($E31:R31,"¶")+COUNTIF($E31:R31,"²")+COUNTIF($E31:R31,"µ")+COUNTIF($E31:R31,1),ColDescriptionCourte)),""),
  "")),"")</f>
        <v/>
      </c>
      <c r="T31" s="40" t="str">
        <f ca="1">IFERROR(IF(AND(
  INDEX(Roadmap!$D:$K,MATCH($E31,Roadmap!$D:$D,0)+COUNTIF($E31:S31,"u")+COUNTIF($E31:S31,"t")+COUNTIF($E31:S31,"¶")+COUNTIF($E31:S31,"²")+COUNTIF($E31:S31,"µ")+COUNTIF($E31:S31,1),ColLivraison)=T$6,
  VLOOKUP($E31,INDIRECT("tri!"&amp; CHAR(64+ C0Col) &amp;":"&amp; CHAR(65+C0Col)),2,FALSE)&gt;COUNTIF($E31:S31,"u")+COUNTIF($E31:S31,"t")+COUNTIF($E31:S31,"¶")+COUNTIF($E31:S31,"²")+COUNTIF($E31:S31,"µ")+COUNTIF($E31:S31,1)),
HYPERLINK("#Roadmap!C"&amp; MATCH($E31,Roadmap!$D:$D,0)+COUNTIF($E31:S31,"u")+COUNTIF($E31:S31,"t"),
     INDEX(Roadmap!$D:$K,MATCH($E31,Roadmap!$D:$D,0)+COUNTIF($E31:S31,"u")+COUNTIF($E31:S31,"t")+COUNTIF($E31:S31,"¶")+COUNTIF($E31:S31,"²")+COUNTIF($E31:S31,"µ")+COUNTIF($E31:S31,1),ColTypeEcheance)),
  IF(LEN(S31)=1,
  IF(LEN(INDEX(Roadmap!$D:$K,MATCH($E31,Roadmap!$D:$D,0)-1+COUNTIF($E31:S31,"u")+COUNTIF($E31:S31,"t")+COUNTIF($E31:S31,"¶")+COUNTIF($E31:S31,"²")+COUNTIF($E31:S31,"µ")+COUNTIF($E31:S31,1),ColDescriptionCourte))&gt;1,
HYPERLINK("#Roadmap!C"&amp; MATCH($E31,Roadmap!$D:$D,0)+COUNTIF($E31:S31,"u")+COUNTIF($E31:S31,"t")+COUNTIF($E31:S31,"¶")+COUNTIF($E31:S31,"²")+COUNTIF($E31:S31,"µ")+COUNTIF($E31:S31,1)-1,INDEX(Roadmap!$D:$K,MATCH($E31,Roadmap!$D:$D,0)-1+COUNTIF($E31:S31,"u")+COUNTIF($E31:S31,"t")+COUNTIF($E31:S31,"¶")+COUNTIF($E31:S31,"²")+COUNTIF($E31:S31,"µ")+COUNTIF($E31:S31,1),ColDescriptionCourte)),""),
  "")),"")</f>
        <v/>
      </c>
      <c r="U31" s="40" t="str">
        <f ca="1">IFERROR(IF(AND(
  INDEX(Roadmap!$D:$K,MATCH($E31,Roadmap!$D:$D,0)+COUNTIF($E31:T31,"u")+COUNTIF($E31:T31,"t")+COUNTIF($E31:T31,"¶")+COUNTIF($E31:T31,"²")+COUNTIF($E31:T31,"µ")+COUNTIF($E31:T31,1),ColLivraison)=U$6,
  VLOOKUP($E31,INDIRECT("tri!"&amp; CHAR(64+ C0Col) &amp;":"&amp; CHAR(65+C0Col)),2,FALSE)&gt;COUNTIF($E31:T31,"u")+COUNTIF($E31:T31,"t")+COUNTIF($E31:T31,"¶")+COUNTIF($E31:T31,"²")+COUNTIF($E31:T31,"µ")+COUNTIF($E31:T31,1)),
HYPERLINK("#Roadmap!C"&amp; MATCH($E31,Roadmap!$D:$D,0)+COUNTIF($E31:T31,"u")+COUNTIF($E31:T31,"t"),
     INDEX(Roadmap!$D:$K,MATCH($E31,Roadmap!$D:$D,0)+COUNTIF($E31:T31,"u")+COUNTIF($E31:T31,"t")+COUNTIF($E31:T31,"¶")+COUNTIF($E31:T31,"²")+COUNTIF($E31:T31,"µ")+COUNTIF($E31:T31,1),ColTypeEcheance)),
  IF(LEN(T31)=1,
  IF(LEN(INDEX(Roadmap!$D:$K,MATCH($E31,Roadmap!$D:$D,0)-1+COUNTIF($E31:T31,"u")+COUNTIF($E31:T31,"t")+COUNTIF($E31:T31,"¶")+COUNTIF($E31:T31,"²")+COUNTIF($E31:T31,"µ")+COUNTIF($E31:T31,1),ColDescriptionCourte))&gt;1,
HYPERLINK("#Roadmap!C"&amp; MATCH($E31,Roadmap!$D:$D,0)+COUNTIF($E31:T31,"u")+COUNTIF($E31:T31,"t")+COUNTIF($E31:T31,"¶")+COUNTIF($E31:T31,"²")+COUNTIF($E31:T31,"µ")+COUNTIF($E31:T31,1)-1,INDEX(Roadmap!$D:$K,MATCH($E31,Roadmap!$D:$D,0)-1+COUNTIF($E31:T31,"u")+COUNTIF($E31:T31,"t")+COUNTIF($E31:T31,"¶")+COUNTIF($E31:T31,"²")+COUNTIF($E31:T31,"µ")+COUNTIF($E31:T31,1),ColDescriptionCourte)),""),
  "")),"")</f>
        <v/>
      </c>
      <c r="V31" s="40" t="str">
        <f ca="1">IFERROR(IF(AND(
  INDEX(Roadmap!$D:$K,MATCH($E31,Roadmap!$D:$D,0)+COUNTIF($E31:U31,"u")+COUNTIF($E31:U31,"t")+COUNTIF($E31:U31,"¶")+COUNTIF($E31:U31,"²")+COUNTIF($E31:U31,"µ")+COUNTIF($E31:U31,1),ColLivraison)=V$6,
  VLOOKUP($E31,INDIRECT("tri!"&amp; CHAR(64+ C0Col) &amp;":"&amp; CHAR(65+C0Col)),2,FALSE)&gt;COUNTIF($E31:U31,"u")+COUNTIF($E31:U31,"t")+COUNTIF($E31:U31,"¶")+COUNTIF($E31:U31,"²")+COUNTIF($E31:U31,"µ")+COUNTIF($E31:U31,1)),
HYPERLINK("#Roadmap!C"&amp; MATCH($E31,Roadmap!$D:$D,0)+COUNTIF($E31:U31,"u")+COUNTIF($E31:U31,"t"),
     INDEX(Roadmap!$D:$K,MATCH($E31,Roadmap!$D:$D,0)+COUNTIF($E31:U31,"u")+COUNTIF($E31:U31,"t")+COUNTIF($E31:U31,"¶")+COUNTIF($E31:U31,"²")+COUNTIF($E31:U31,"µ")+COUNTIF($E31:U31,1),ColTypeEcheance)),
  IF(LEN(U31)=1,
  IF(LEN(INDEX(Roadmap!$D:$K,MATCH($E31,Roadmap!$D:$D,0)-1+COUNTIF($E31:U31,"u")+COUNTIF($E31:U31,"t")+COUNTIF($E31:U31,"¶")+COUNTIF($E31:U31,"²")+COUNTIF($E31:U31,"µ")+COUNTIF($E31:U31,1),ColDescriptionCourte))&gt;1,
HYPERLINK("#Roadmap!C"&amp; MATCH($E31,Roadmap!$D:$D,0)+COUNTIF($E31:U31,"u")+COUNTIF($E31:U31,"t")+COUNTIF($E31:U31,"¶")+COUNTIF($E31:U31,"²")+COUNTIF($E31:U31,"µ")+COUNTIF($E31:U31,1)-1,INDEX(Roadmap!$D:$K,MATCH($E31,Roadmap!$D:$D,0)-1+COUNTIF($E31:U31,"u")+COUNTIF($E31:U31,"t")+COUNTIF($E31:U31,"¶")+COUNTIF($E31:U31,"²")+COUNTIF($E31:U31,"µ")+COUNTIF($E31:U31,1),ColDescriptionCourte)),""),
  "")),"")</f>
        <v/>
      </c>
      <c r="W31" s="40" t="str">
        <f ca="1">IFERROR(IF(AND(
  INDEX(Roadmap!$D:$K,MATCH($E31,Roadmap!$D:$D,0)+COUNTIF($E31:V31,"u")+COUNTIF($E31:V31,"t")+COUNTIF($E31:V31,"¶")+COUNTIF($E31:V31,"²")+COUNTIF($E31:V31,"µ")+COUNTIF($E31:V31,1),ColLivraison)=W$6,
  VLOOKUP($E31,INDIRECT("tri!"&amp; CHAR(64+ C0Col) &amp;":"&amp; CHAR(65+C0Col)),2,FALSE)&gt;COUNTIF($E31:V31,"u")+COUNTIF($E31:V31,"t")+COUNTIF($E31:V31,"¶")+COUNTIF($E31:V31,"²")+COUNTIF($E31:V31,"µ")+COUNTIF($E31:V31,1)),
HYPERLINK("#Roadmap!C"&amp; MATCH($E31,Roadmap!$D:$D,0)+COUNTIF($E31:V31,"u")+COUNTIF($E31:V31,"t"),
     INDEX(Roadmap!$D:$K,MATCH($E31,Roadmap!$D:$D,0)+COUNTIF($E31:V31,"u")+COUNTIF($E31:V31,"t")+COUNTIF($E31:V31,"¶")+COUNTIF($E31:V31,"²")+COUNTIF($E31:V31,"µ")+COUNTIF($E31:V31,1),ColTypeEcheance)),
  IF(LEN(V31)=1,
  IF(LEN(INDEX(Roadmap!$D:$K,MATCH($E31,Roadmap!$D:$D,0)-1+COUNTIF($E31:V31,"u")+COUNTIF($E31:V31,"t")+COUNTIF($E31:V31,"¶")+COUNTIF($E31:V31,"²")+COUNTIF($E31:V31,"µ")+COUNTIF($E31:V31,1),ColDescriptionCourte))&gt;1,
HYPERLINK("#Roadmap!C"&amp; MATCH($E31,Roadmap!$D:$D,0)+COUNTIF($E31:V31,"u")+COUNTIF($E31:V31,"t")+COUNTIF($E31:V31,"¶")+COUNTIF($E31:V31,"²")+COUNTIF($E31:V31,"µ")+COUNTIF($E31:V31,1)-1,INDEX(Roadmap!$D:$K,MATCH($E31,Roadmap!$D:$D,0)-1+COUNTIF($E31:V31,"u")+COUNTIF($E31:V31,"t")+COUNTIF($E31:V31,"¶")+COUNTIF($E31:V31,"²")+COUNTIF($E31:V31,"µ")+COUNTIF($E31:V31,1),ColDescriptionCourte)),""),
  "")),"")</f>
        <v/>
      </c>
      <c r="X31" s="40" t="str">
        <f ca="1">IFERROR(IF(AND(
  INDEX(Roadmap!$D:$K,MATCH($E31,Roadmap!$D:$D,0)+COUNTIF($E31:W31,"u")+COUNTIF($E31:W31,"t")+COUNTIF($E31:W31,"¶")+COUNTIF($E31:W31,"²")+COUNTIF($E31:W31,"µ")+COUNTIF($E31:W31,1),ColLivraison)=X$6,
  VLOOKUP($E31,INDIRECT("tri!"&amp; CHAR(64+ C0Col) &amp;":"&amp; CHAR(65+C0Col)),2,FALSE)&gt;COUNTIF($E31:W31,"u")+COUNTIF($E31:W31,"t")+COUNTIF($E31:W31,"¶")+COUNTIF($E31:W31,"²")+COUNTIF($E31:W31,"µ")+COUNTIF($E31:W31,1)),
HYPERLINK("#Roadmap!C"&amp; MATCH($E31,Roadmap!$D:$D,0)+COUNTIF($E31:W31,"u")+COUNTIF($E31:W31,"t"),
     INDEX(Roadmap!$D:$K,MATCH($E31,Roadmap!$D:$D,0)+COUNTIF($E31:W31,"u")+COUNTIF($E31:W31,"t")+COUNTIF($E31:W31,"¶")+COUNTIF($E31:W31,"²")+COUNTIF($E31:W31,"µ")+COUNTIF($E31:W31,1),ColTypeEcheance)),
  IF(LEN(W31)=1,
  IF(LEN(INDEX(Roadmap!$D:$K,MATCH($E31,Roadmap!$D:$D,0)-1+COUNTIF($E31:W31,"u")+COUNTIF($E31:W31,"t")+COUNTIF($E31:W31,"¶")+COUNTIF($E31:W31,"²")+COUNTIF($E31:W31,"µ")+COUNTIF($E31:W31,1),ColDescriptionCourte))&gt;1,
HYPERLINK("#Roadmap!C"&amp; MATCH($E31,Roadmap!$D:$D,0)+COUNTIF($E31:W31,"u")+COUNTIF($E31:W31,"t")+COUNTIF($E31:W31,"¶")+COUNTIF($E31:W31,"²")+COUNTIF($E31:W31,"µ")+COUNTIF($E31:W31,1)-1,INDEX(Roadmap!$D:$K,MATCH($E31,Roadmap!$D:$D,0)-1+COUNTIF($E31:W31,"u")+COUNTIF($E31:W31,"t")+COUNTIF($E31:W31,"¶")+COUNTIF($E31:W31,"²")+COUNTIF($E31:W31,"µ")+COUNTIF($E31:W31,1),ColDescriptionCourte)),""),
  "")),"")</f>
        <v/>
      </c>
      <c r="Y31" s="40" t="str">
        <f ca="1">IFERROR(IF(AND(
  INDEX(Roadmap!$D:$K,MATCH($E31,Roadmap!$D:$D,0)+COUNTIF($E31:X31,"u")+COUNTIF($E31:X31,"t")+COUNTIF($E31:X31,"¶")+COUNTIF($E31:X31,"²")+COUNTIF($E31:X31,"µ")+COUNTIF($E31:X31,1),ColLivraison)=Y$6,
  VLOOKUP($E31,INDIRECT("tri!"&amp; CHAR(64+ C0Col) &amp;":"&amp; CHAR(65+C0Col)),2,FALSE)&gt;COUNTIF($E31:X31,"u")+COUNTIF($E31:X31,"t")+COUNTIF($E31:X31,"¶")+COUNTIF($E31:X31,"²")+COUNTIF($E31:X31,"µ")+COUNTIF($E31:X31,1)),
HYPERLINK("#Roadmap!C"&amp; MATCH($E31,Roadmap!$D:$D,0)+COUNTIF($E31:X31,"u")+COUNTIF($E31:X31,"t"),
     INDEX(Roadmap!$D:$K,MATCH($E31,Roadmap!$D:$D,0)+COUNTIF($E31:X31,"u")+COUNTIF($E31:X31,"t")+COUNTIF($E31:X31,"¶")+COUNTIF($E31:X31,"²")+COUNTIF($E31:X31,"µ")+COUNTIF($E31:X31,1),ColTypeEcheance)),
  IF(LEN(X31)=1,
  IF(LEN(INDEX(Roadmap!$D:$K,MATCH($E31,Roadmap!$D:$D,0)-1+COUNTIF($E31:X31,"u")+COUNTIF($E31:X31,"t")+COUNTIF($E31:X31,"¶")+COUNTIF($E31:X31,"²")+COUNTIF($E31:X31,"µ")+COUNTIF($E31:X31,1),ColDescriptionCourte))&gt;1,
HYPERLINK("#Roadmap!C"&amp; MATCH($E31,Roadmap!$D:$D,0)+COUNTIF($E31:X31,"u")+COUNTIF($E31:X31,"t")+COUNTIF($E31:X31,"¶")+COUNTIF($E31:X31,"²")+COUNTIF($E31:X31,"µ")+COUNTIF($E31:X31,1)-1,INDEX(Roadmap!$D:$K,MATCH($E31,Roadmap!$D:$D,0)-1+COUNTIF($E31:X31,"u")+COUNTIF($E31:X31,"t")+COUNTIF($E31:X31,"¶")+COUNTIF($E31:X31,"²")+COUNTIF($E31:X31,"µ")+COUNTIF($E31:X31,1),ColDescriptionCourte)),""),
  "")),"")</f>
        <v/>
      </c>
      <c r="Z31" s="40" t="str">
        <f ca="1">IFERROR(IF(AND(
  INDEX(Roadmap!$D:$K,MATCH($E31,Roadmap!$D:$D,0)+COUNTIF($E31:Y31,"u")+COUNTIF($E31:Y31,"t")+COUNTIF($E31:Y31,"¶")+COUNTIF($E31:Y31,"²")+COUNTIF($E31:Y31,"µ")+COUNTIF($E31:Y31,1),ColLivraison)=Z$6,
  VLOOKUP($E31,INDIRECT("tri!"&amp; CHAR(64+ C0Col) &amp;":"&amp; CHAR(65+C0Col)),2,FALSE)&gt;COUNTIF($E31:Y31,"u")+COUNTIF($E31:Y31,"t")+COUNTIF($E31:Y31,"¶")+COUNTIF($E31:Y31,"²")+COUNTIF($E31:Y31,"µ")+COUNTIF($E31:Y31,1)),
HYPERLINK("#Roadmap!C"&amp; MATCH($E31,Roadmap!$D:$D,0)+COUNTIF($E31:Y31,"u")+COUNTIF($E31:Y31,"t"),
     INDEX(Roadmap!$D:$K,MATCH($E31,Roadmap!$D:$D,0)+COUNTIF($E31:Y31,"u")+COUNTIF($E31:Y31,"t")+COUNTIF($E31:Y31,"¶")+COUNTIF($E31:Y31,"²")+COUNTIF($E31:Y31,"µ")+COUNTIF($E31:Y31,1),ColTypeEcheance)),
  IF(LEN(Y31)=1,
  IF(LEN(INDEX(Roadmap!$D:$K,MATCH($E31,Roadmap!$D:$D,0)-1+COUNTIF($E31:Y31,"u")+COUNTIF($E31:Y31,"t")+COUNTIF($E31:Y31,"¶")+COUNTIF($E31:Y31,"²")+COUNTIF($E31:Y31,"µ")+COUNTIF($E31:Y31,1),ColDescriptionCourte))&gt;1,
HYPERLINK("#Roadmap!C"&amp; MATCH($E31,Roadmap!$D:$D,0)+COUNTIF($E31:Y31,"u")+COUNTIF($E31:Y31,"t")+COUNTIF($E31:Y31,"¶")+COUNTIF($E31:Y31,"²")+COUNTIF($E31:Y31,"µ")+COUNTIF($E31:Y31,1)-1,INDEX(Roadmap!$D:$K,MATCH($E31,Roadmap!$D:$D,0)-1+COUNTIF($E31:Y31,"u")+COUNTIF($E31:Y31,"t")+COUNTIF($E31:Y31,"¶")+COUNTIF($E31:Y31,"²")+COUNTIF($E31:Y31,"µ")+COUNTIF($E31:Y31,1),ColDescriptionCourte)),""),
  "")),"")</f>
        <v/>
      </c>
      <c r="AA31" s="40" t="str">
        <f ca="1">IFERROR(IF(AND(
  INDEX(Roadmap!$D:$K,MATCH($E31,Roadmap!$D:$D,0)+COUNTIF($E31:Z31,"u")+COUNTIF($E31:Z31,"t")+COUNTIF($E31:Z31,"¶")+COUNTIF($E31:Z31,"²")+COUNTIF($E31:Z31,"µ")+COUNTIF($E31:Z31,1),ColLivraison)=AA$6,
  VLOOKUP($E31,INDIRECT("tri!"&amp; CHAR(64+ C0Col) &amp;":"&amp; CHAR(65+C0Col)),2,FALSE)&gt;COUNTIF($E31:Z31,"u")+COUNTIF($E31:Z31,"t")+COUNTIF($E31:Z31,"¶")+COUNTIF($E31:Z31,"²")+COUNTIF($E31:Z31,"µ")+COUNTIF($E31:Z31,1)),
HYPERLINK("#Roadmap!C"&amp; MATCH($E31,Roadmap!$D:$D,0)+COUNTIF($E31:Z31,"u")+COUNTIF($E31:Z31,"t"),
     INDEX(Roadmap!$D:$K,MATCH($E31,Roadmap!$D:$D,0)+COUNTIF($E31:Z31,"u")+COUNTIF($E31:Z31,"t")+COUNTIF($E31:Z31,"¶")+COUNTIF($E31:Z31,"²")+COUNTIF($E31:Z31,"µ")+COUNTIF($E31:Z31,1),ColTypeEcheance)),
  IF(LEN(Z31)=1,
  IF(LEN(INDEX(Roadmap!$D:$K,MATCH($E31,Roadmap!$D:$D,0)-1+COUNTIF($E31:Z31,"u")+COUNTIF($E31:Z31,"t")+COUNTIF($E31:Z31,"¶")+COUNTIF($E31:Z31,"²")+COUNTIF($E31:Z31,"µ")+COUNTIF($E31:Z31,1),ColDescriptionCourte))&gt;1,
HYPERLINK("#Roadmap!C"&amp; MATCH($E31,Roadmap!$D:$D,0)+COUNTIF($E31:Z31,"u")+COUNTIF($E31:Z31,"t")+COUNTIF($E31:Z31,"¶")+COUNTIF($E31:Z31,"²")+COUNTIF($E31:Z31,"µ")+COUNTIF($E31:Z31,1)-1,INDEX(Roadmap!$D:$K,MATCH($E31,Roadmap!$D:$D,0)-1+COUNTIF($E31:Z31,"u")+COUNTIF($E31:Z31,"t")+COUNTIF($E31:Z31,"¶")+COUNTIF($E31:Z31,"²")+COUNTIF($E31:Z31,"µ")+COUNTIF($E31:Z31,1),ColDescriptionCourte)),""),
  "")),"")</f>
        <v/>
      </c>
      <c r="AB31" s="40" t="str">
        <f ca="1">IFERROR(IF(AND(
  INDEX(Roadmap!$D:$K,MATCH($E31,Roadmap!$D:$D,0)+COUNTIF($E31:AA31,"u")+COUNTIF($E31:AA31,"t")+COUNTIF($E31:AA31,"¶")+COUNTIF($E31:AA31,"²")+COUNTIF($E31:AA31,"µ")+COUNTIF($E31:AA31,1),ColLivraison)=AB$6,
  VLOOKUP($E31,INDIRECT("tri!"&amp; CHAR(64+ C0Col) &amp;":"&amp; CHAR(65+C0Col)),2,FALSE)&gt;COUNTIF($E31:AA31,"u")+COUNTIF($E31:AA31,"t")+COUNTIF($E31:AA31,"¶")+COUNTIF($E31:AA31,"²")+COUNTIF($E31:AA31,"µ")+COUNTIF($E31:AA31,1)),
HYPERLINK("#Roadmap!C"&amp; MATCH($E31,Roadmap!$D:$D,0)+COUNTIF($E31:AA31,"u")+COUNTIF($E31:AA31,"t"),
     INDEX(Roadmap!$D:$K,MATCH($E31,Roadmap!$D:$D,0)+COUNTIF($E31:AA31,"u")+COUNTIF($E31:AA31,"t")+COUNTIF($E31:AA31,"¶")+COUNTIF($E31:AA31,"²")+COUNTIF($E31:AA31,"µ")+COUNTIF($E31:AA31,1),ColTypeEcheance)),
  IF(LEN(AA31)=1,
  IF(LEN(INDEX(Roadmap!$D:$K,MATCH($E31,Roadmap!$D:$D,0)-1+COUNTIF($E31:AA31,"u")+COUNTIF($E31:AA31,"t")+COUNTIF($E31:AA31,"¶")+COUNTIF($E31:AA31,"²")+COUNTIF($E31:AA31,"µ")+COUNTIF($E31:AA31,1),ColDescriptionCourte))&gt;1,
HYPERLINK("#Roadmap!C"&amp; MATCH($E31,Roadmap!$D:$D,0)+COUNTIF($E31:AA31,"u")+COUNTIF($E31:AA31,"t")+COUNTIF($E31:AA31,"¶")+COUNTIF($E31:AA31,"²")+COUNTIF($E31:AA31,"µ")+COUNTIF($E31:AA31,1)-1,INDEX(Roadmap!$D:$K,MATCH($E31,Roadmap!$D:$D,0)-1+COUNTIF($E31:AA31,"u")+COUNTIF($E31:AA31,"t")+COUNTIF($E31:AA31,"¶")+COUNTIF($E31:AA31,"²")+COUNTIF($E31:AA31,"µ")+COUNTIF($E31:AA31,1),ColDescriptionCourte)),""),
  "")),"")</f>
        <v/>
      </c>
      <c r="AC31" s="40" t="str">
        <f ca="1">IFERROR(IF(AND(
  INDEX(Roadmap!$D:$K,MATCH($E31,Roadmap!$D:$D,0)+COUNTIF($E31:AB31,"u")+COUNTIF($E31:AB31,"t")+COUNTIF($E31:AB31,"¶")+COUNTIF($E31:AB31,"²")+COUNTIF($E31:AB31,"µ")+COUNTIF($E31:AB31,1),ColLivraison)=AC$6,
  VLOOKUP($E31,INDIRECT("tri!"&amp; CHAR(64+ C0Col) &amp;":"&amp; CHAR(65+C0Col)),2,FALSE)&gt;COUNTIF($E31:AB31,"u")+COUNTIF($E31:AB31,"t")+COUNTIF($E31:AB31,"¶")+COUNTIF($E31:AB31,"²")+COUNTIF($E31:AB31,"µ")+COUNTIF($E31:AB31,1)),
HYPERLINK("#Roadmap!C"&amp; MATCH($E31,Roadmap!$D:$D,0)+COUNTIF($E31:AB31,"u")+COUNTIF($E31:AB31,"t"),
     INDEX(Roadmap!$D:$K,MATCH($E31,Roadmap!$D:$D,0)+COUNTIF($E31:AB31,"u")+COUNTIF($E31:AB31,"t")+COUNTIF($E31:AB31,"¶")+COUNTIF($E31:AB31,"²")+COUNTIF($E31:AB31,"µ")+COUNTIF($E31:AB31,1),ColTypeEcheance)),
  IF(LEN(AB31)=1,
  IF(LEN(INDEX(Roadmap!$D:$K,MATCH($E31,Roadmap!$D:$D,0)-1+COUNTIF($E31:AB31,"u")+COUNTIF($E31:AB31,"t")+COUNTIF($E31:AB31,"¶")+COUNTIF($E31:AB31,"²")+COUNTIF($E31:AB31,"µ")+COUNTIF($E31:AB31,1),ColDescriptionCourte))&gt;1,
HYPERLINK("#Roadmap!C"&amp; MATCH($E31,Roadmap!$D:$D,0)+COUNTIF($E31:AB31,"u")+COUNTIF($E31:AB31,"t")+COUNTIF($E31:AB31,"¶")+COUNTIF($E31:AB31,"²")+COUNTIF($E31:AB31,"µ")+COUNTIF($E31:AB31,1)-1,INDEX(Roadmap!$D:$K,MATCH($E31,Roadmap!$D:$D,0)-1+COUNTIF($E31:AB31,"u")+COUNTIF($E31:AB31,"t")+COUNTIF($E31:AB31,"¶")+COUNTIF($E31:AB31,"²")+COUNTIF($E31:AB31,"µ")+COUNTIF($E31:AB31,1),ColDescriptionCourte)),""),
  "")),"")</f>
        <v/>
      </c>
      <c r="AD31" s="40" t="str">
        <f ca="1">IFERROR(IF(AND(
  INDEX(Roadmap!$D:$K,MATCH($E31,Roadmap!$D:$D,0)+COUNTIF($E31:AC31,"u")+COUNTIF($E31:AC31,"t")+COUNTIF($E31:AC31,"¶")+COUNTIF($E31:AC31,"²")+COUNTIF($E31:AC31,"µ")+COUNTIF($E31:AC31,1),ColLivraison)=AD$6,
  VLOOKUP($E31,INDIRECT("tri!"&amp; CHAR(64+ C0Col) &amp;":"&amp; CHAR(65+C0Col)),2,FALSE)&gt;COUNTIF($E31:AC31,"u")+COUNTIF($E31:AC31,"t")+COUNTIF($E31:AC31,"¶")+COUNTIF($E31:AC31,"²")+COUNTIF($E31:AC31,"µ")+COUNTIF($E31:AC31,1)),
HYPERLINK("#Roadmap!C"&amp; MATCH($E31,Roadmap!$D:$D,0)+COUNTIF($E31:AC31,"u")+COUNTIF($E31:AC31,"t"),
     INDEX(Roadmap!$D:$K,MATCH($E31,Roadmap!$D:$D,0)+COUNTIF($E31:AC31,"u")+COUNTIF($E31:AC31,"t")+COUNTIF($E31:AC31,"¶")+COUNTIF($E31:AC31,"²")+COUNTIF($E31:AC31,"µ")+COUNTIF($E31:AC31,1),ColTypeEcheance)),
  IF(LEN(AC31)=1,
  IF(LEN(INDEX(Roadmap!$D:$K,MATCH($E31,Roadmap!$D:$D,0)-1+COUNTIF($E31:AC31,"u")+COUNTIF($E31:AC31,"t")+COUNTIF($E31:AC31,"¶")+COUNTIF($E31:AC31,"²")+COUNTIF($E31:AC31,"µ")+COUNTIF($E31:AC31,1),ColDescriptionCourte))&gt;1,
HYPERLINK("#Roadmap!C"&amp; MATCH($E31,Roadmap!$D:$D,0)+COUNTIF($E31:AC31,"u")+COUNTIF($E31:AC31,"t")+COUNTIF($E31:AC31,"¶")+COUNTIF($E31:AC31,"²")+COUNTIF($E31:AC31,"µ")+COUNTIF($E31:AC31,1)-1,INDEX(Roadmap!$D:$K,MATCH($E31,Roadmap!$D:$D,0)-1+COUNTIF($E31:AC31,"u")+COUNTIF($E31:AC31,"t")+COUNTIF($E31:AC31,"¶")+COUNTIF($E31:AC31,"²")+COUNTIF($E31:AC31,"µ")+COUNTIF($E31:AC31,1),ColDescriptionCourte)),""),
  "")),"")</f>
        <v/>
      </c>
      <c r="AE31" s="40" t="str">
        <f ca="1">IFERROR(IF(AND(
  INDEX(Roadmap!$D:$K,MATCH($E31,Roadmap!$D:$D,0)+COUNTIF($E31:AD31,"u")+COUNTIF($E31:AD31,"t")+COUNTIF($E31:AD31,"¶")+COUNTIF($E31:AD31,"²")+COUNTIF($E31:AD31,"µ")+COUNTIF($E31:AD31,1),ColLivraison)=AE$6,
  VLOOKUP($E31,INDIRECT("tri!"&amp; CHAR(64+ C0Col) &amp;":"&amp; CHAR(65+C0Col)),2,FALSE)&gt;COUNTIF($E31:AD31,"u")+COUNTIF($E31:AD31,"t")+COUNTIF($E31:AD31,"¶")+COUNTIF($E31:AD31,"²")+COUNTIF($E31:AD31,"µ")+COUNTIF($E31:AD31,1)),
HYPERLINK("#Roadmap!C"&amp; MATCH($E31,Roadmap!$D:$D,0)+COUNTIF($E31:AD31,"u")+COUNTIF($E31:AD31,"t"),
     INDEX(Roadmap!$D:$K,MATCH($E31,Roadmap!$D:$D,0)+COUNTIF($E31:AD31,"u")+COUNTIF($E31:AD31,"t")+COUNTIF($E31:AD31,"¶")+COUNTIF($E31:AD31,"²")+COUNTIF($E31:AD31,"µ")+COUNTIF($E31:AD31,1),ColTypeEcheance)),
  IF(LEN(AD31)=1,
  IF(LEN(INDEX(Roadmap!$D:$K,MATCH($E31,Roadmap!$D:$D,0)-1+COUNTIF($E31:AD31,"u")+COUNTIF($E31:AD31,"t")+COUNTIF($E31:AD31,"¶")+COUNTIF($E31:AD31,"²")+COUNTIF($E31:AD31,"µ")+COUNTIF($E31:AD31,1),ColDescriptionCourte))&gt;1,
HYPERLINK("#Roadmap!C"&amp; MATCH($E31,Roadmap!$D:$D,0)+COUNTIF($E31:AD31,"u")+COUNTIF($E31:AD31,"t")+COUNTIF($E31:AD31,"¶")+COUNTIF($E31:AD31,"²")+COUNTIF($E31:AD31,"µ")+COUNTIF($E31:AD31,1)-1,INDEX(Roadmap!$D:$K,MATCH($E31,Roadmap!$D:$D,0)-1+COUNTIF($E31:AD31,"u")+COUNTIF($E31:AD31,"t")+COUNTIF($E31:AD31,"¶")+COUNTIF($E31:AD31,"²")+COUNTIF($E31:AD31,"µ")+COUNTIF($E31:AD31,1),ColDescriptionCourte)),""),
  "")),"")</f>
        <v/>
      </c>
      <c r="AF31" s="40" t="str">
        <f ca="1">IFERROR(IF(AND(
  INDEX(Roadmap!$D:$K,MATCH($E31,Roadmap!$D:$D,0)+COUNTIF($E31:AE31,"u")+COUNTIF($E31:AE31,"t")+COUNTIF($E31:AE31,"¶")+COUNTIF($E31:AE31,"²")+COUNTIF($E31:AE31,"µ")+COUNTIF($E31:AE31,1),ColLivraison)=AF$6,
  VLOOKUP($E31,INDIRECT("tri!"&amp; CHAR(64+ C0Col) &amp;":"&amp; CHAR(65+C0Col)),2,FALSE)&gt;COUNTIF($E31:AE31,"u")+COUNTIF($E31:AE31,"t")+COUNTIF($E31:AE31,"¶")+COUNTIF($E31:AE31,"²")+COUNTIF($E31:AE31,"µ")+COUNTIF($E31:AE31,1)),
HYPERLINK("#Roadmap!C"&amp; MATCH($E31,Roadmap!$D:$D,0)+COUNTIF($E31:AE31,"u")+COUNTIF($E31:AE31,"t"),
     INDEX(Roadmap!$D:$K,MATCH($E31,Roadmap!$D:$D,0)+COUNTIF($E31:AE31,"u")+COUNTIF($E31:AE31,"t")+COUNTIF($E31:AE31,"¶")+COUNTIF($E31:AE31,"²")+COUNTIF($E31:AE31,"µ")+COUNTIF($E31:AE31,1),ColTypeEcheance)),
  IF(LEN(AE31)=1,
  IF(LEN(INDEX(Roadmap!$D:$K,MATCH($E31,Roadmap!$D:$D,0)-1+COUNTIF($E31:AE31,"u")+COUNTIF($E31:AE31,"t")+COUNTIF($E31:AE31,"¶")+COUNTIF($E31:AE31,"²")+COUNTIF($E31:AE31,"µ")+COUNTIF($E31:AE31,1),ColDescriptionCourte))&gt;1,
HYPERLINK("#Roadmap!C"&amp; MATCH($E31,Roadmap!$D:$D,0)+COUNTIF($E31:AE31,"u")+COUNTIF($E31:AE31,"t")+COUNTIF($E31:AE31,"¶")+COUNTIF($E31:AE31,"²")+COUNTIF($E31:AE31,"µ")+COUNTIF($E31:AE31,1)-1,INDEX(Roadmap!$D:$K,MATCH($E31,Roadmap!$D:$D,0)-1+COUNTIF($E31:AE31,"u")+COUNTIF($E31:AE31,"t")+COUNTIF($E31:AE31,"¶")+COUNTIF($E31:AE31,"²")+COUNTIF($E31:AE31,"µ")+COUNTIF($E31:AE31,1),ColDescriptionCourte)),""),
  "")),"")</f>
        <v/>
      </c>
      <c r="AG31" s="40" t="str">
        <f ca="1">IFERROR(IF(AND(
  INDEX(Roadmap!$D:$K,MATCH($E31,Roadmap!$D:$D,0)+COUNTIF($E31:AF31,"u")+COUNTIF($E31:AF31,"t")+COUNTIF($E31:AF31,"¶")+COUNTIF($E31:AF31,"²")+COUNTIF($E31:AF31,"µ")+COUNTIF($E31:AF31,1),ColLivraison)=AG$6,
  VLOOKUP($E31,INDIRECT("tri!"&amp; CHAR(64+ C0Col) &amp;":"&amp; CHAR(65+C0Col)),2,FALSE)&gt;COUNTIF($E31:AF31,"u")+COUNTIF($E31:AF31,"t")+COUNTIF($E31:AF31,"¶")+COUNTIF($E31:AF31,"²")+COUNTIF($E31:AF31,"µ")+COUNTIF($E31:AF31,1)),
HYPERLINK("#Roadmap!C"&amp; MATCH($E31,Roadmap!$D:$D,0)+COUNTIF($E31:AF31,"u")+COUNTIF($E31:AF31,"t"),
     INDEX(Roadmap!$D:$K,MATCH($E31,Roadmap!$D:$D,0)+COUNTIF($E31:AF31,"u")+COUNTIF($E31:AF31,"t")+COUNTIF($E31:AF31,"¶")+COUNTIF($E31:AF31,"²")+COUNTIF($E31:AF31,"µ")+COUNTIF($E31:AF31,1),ColTypeEcheance)),
  IF(LEN(AF31)=1,
  IF(LEN(INDEX(Roadmap!$D:$K,MATCH($E31,Roadmap!$D:$D,0)-1+COUNTIF($E31:AF31,"u")+COUNTIF($E31:AF31,"t")+COUNTIF($E31:AF31,"¶")+COUNTIF($E31:AF31,"²")+COUNTIF($E31:AF31,"µ")+COUNTIF($E31:AF31,1),ColDescriptionCourte))&gt;1,
HYPERLINK("#Roadmap!C"&amp; MATCH($E31,Roadmap!$D:$D,0)+COUNTIF($E31:AF31,"u")+COUNTIF($E31:AF31,"t")+COUNTIF($E31:AF31,"¶")+COUNTIF($E31:AF31,"²")+COUNTIF($E31:AF31,"µ")+COUNTIF($E31:AF31,1)-1,INDEX(Roadmap!$D:$K,MATCH($E31,Roadmap!$D:$D,0)-1+COUNTIF($E31:AF31,"u")+COUNTIF($E31:AF31,"t")+COUNTIF($E31:AF31,"¶")+COUNTIF($E31:AF31,"²")+COUNTIF($E31:AF31,"µ")+COUNTIF($E31:AF31,1),ColDescriptionCourte)),""),
  "")),"")</f>
        <v/>
      </c>
    </row>
    <row r="32" spans="3:33" ht="14.25" customHeight="1">
      <c r="C32" s="1" t="str">
        <f t="shared" ca="1" si="42"/>
        <v/>
      </c>
      <c r="D32" s="1" t="str">
        <f t="shared" ca="1" si="43"/>
        <v/>
      </c>
      <c r="E32" s="35" t="str">
        <f t="shared" ca="1" si="33"/>
        <v/>
      </c>
      <c r="F32" s="39" t="str">
        <f ca="1">IFERROR(IF(AND(
  INDEX(Roadmap!$D:$K,MATCH($E32,Roadmap!$D:$D,0)+COUNTIF($E32:E32,"u")+COUNTIF($E32:E32,"t")+COUNTIF($E32:E32,"¶")+COUNTIF($E32:E32,"²")+COUNTIF($E32:E32,"µ")+COUNTIF($E32:E32,1),ColLivraison)=F$6,
  VLOOKUP($E32,INDIRECT("tri!"&amp; CHAR(64+ C0Col) &amp;":"&amp; CHAR(65+C0Col)),2,FALSE)&gt;COUNTIF($E32:E32,"u")+COUNTIF($E32:E32,"t")+COUNTIF($E32:E32,"¶")+COUNTIF($E32:E32,"²")+COUNTIF($E32:E32,"µ")+COUNTIF($E32:E32,1)),
HYPERLINK("#Roadmap!C"&amp; MATCH($E32,Roadmap!$D:$D,0)+COUNTIF($E32:E32,"u")+COUNTIF($E32:E32,"t"),
     INDEX(Roadmap!$D:$K,MATCH($E32,Roadmap!$D:$D,0)+COUNTIF($E32:E32,"u")+COUNTIF($E32:E32,"t")+COUNTIF($E32:E32,"¶")+COUNTIF($E32:E32,"²")+COUNTIF($E32:E32,"µ")+COUNTIF($E32:E32,1),ColTypeEcheance)),
  IF(LEN(E32)=1,
  IF(LEN(INDEX(Roadmap!$D:$K,MATCH($E32,Roadmap!$D:$D,0)-1+COUNTIF($E32:E32,"u")+COUNTIF($E32:E32,"t")+COUNTIF($E32:E32,"¶")+COUNTIF($E32:E32,"²")+COUNTIF($E32:E32,"µ")+COUNTIF($E32:E32,1),ColDescriptionCourte))&gt;1,
HYPERLINK("#Roadmap!C"&amp; MATCH($E32,Roadmap!$D:$D,0)+COUNTIF($E32:E32,"u")+COUNTIF($E32:E32,"t")+COUNTIF($E32:E32,"¶")+COUNTIF($E32:E32,"²")+COUNTIF($E32:E32,"µ")+COUNTIF($E32:E32,1)-1,INDEX(Roadmap!$D:$K,MATCH($E32,Roadmap!$D:$D,0)-1+COUNTIF($E32:E32,"u")+COUNTIF($E32:E32,"t")+COUNTIF($E32:E32,"¶")+COUNTIF($E32:E32,"²")+COUNTIF($E32:E32,"µ")+COUNTIF($E32:E32,1),ColDescriptionCourte)),""),
  "")),"")</f>
        <v/>
      </c>
      <c r="G32" s="40" t="str">
        <f ca="1">IFERROR(IF(AND(
  INDEX(Roadmap!$D:$K,MATCH($E32,Roadmap!$D:$D,0)+COUNTIF($E32:F32,"u")+COUNTIF($E32:F32,"t")+COUNTIF($E32:F32,"¶")+COUNTIF($E32:F32,"²")+COUNTIF($E32:F32,"µ")+COUNTIF($E32:F32,1),ColLivraison)=G$6,
  VLOOKUP($E32,INDIRECT("tri!"&amp; CHAR(64+ C0Col) &amp;":"&amp; CHAR(65+C0Col)),2,FALSE)&gt;COUNTIF($E32:F32,"u")+COUNTIF($E32:F32,"t")+COUNTIF($E32:F32,"¶")+COUNTIF($E32:F32,"²")+COUNTIF($E32:F32,"µ")+COUNTIF($E32:F32,1)),
HYPERLINK("#Roadmap!C"&amp; MATCH($E32,Roadmap!$D:$D,0)+COUNTIF($E32:F32,"u")+COUNTIF($E32:F32,"t"),
     INDEX(Roadmap!$D:$K,MATCH($E32,Roadmap!$D:$D,0)+COUNTIF($E32:F32,"u")+COUNTIF($E32:F32,"t")+COUNTIF($E32:F32,"¶")+COUNTIF($E32:F32,"²")+COUNTIF($E32:F32,"µ")+COUNTIF($E32:F32,1),ColTypeEcheance)),
  IF(LEN(F32)=1,
  IF(LEN(INDEX(Roadmap!$D:$K,MATCH($E32,Roadmap!$D:$D,0)-1+COUNTIF($E32:F32,"u")+COUNTIF($E32:F32,"t")+COUNTIF($E32:F32,"¶")+COUNTIF($E32:F32,"²")+COUNTIF($E32:F32,"µ")+COUNTIF($E32:F32,1),ColDescriptionCourte))&gt;1,
HYPERLINK("#Roadmap!C"&amp; MATCH($E32,Roadmap!$D:$D,0)+COUNTIF($E32:F32,"u")+COUNTIF($E32:F32,"t")+COUNTIF($E32:F32,"¶")+COUNTIF($E32:F32,"²")+COUNTIF($E32:F32,"µ")+COUNTIF($E32:F32,1)-1,INDEX(Roadmap!$D:$K,MATCH($E32,Roadmap!$D:$D,0)-1+COUNTIF($E32:F32,"u")+COUNTIF($E32:F32,"t")+COUNTIF($E32:F32,"¶")+COUNTIF($E32:F32,"²")+COUNTIF($E32:F32,"µ")+COUNTIF($E32:F32,1),ColDescriptionCourte)),""),
  "")),"")</f>
        <v/>
      </c>
      <c r="H32" s="40" t="str">
        <f ca="1">IFERROR(IF(AND(
  INDEX(Roadmap!$D:$K,MATCH($E32,Roadmap!$D:$D,0)+COUNTIF($E32:G32,"u")+COUNTIF($E32:G32,"t")+COUNTIF($E32:G32,"¶")+COUNTIF($E32:G32,"²")+COUNTIF($E32:G32,"µ")+COUNTIF($E32:G32,1),ColLivraison)=H$6,
  VLOOKUP($E32,INDIRECT("tri!"&amp; CHAR(64+ C0Col) &amp;":"&amp; CHAR(65+C0Col)),2,FALSE)&gt;COUNTIF($E32:G32,"u")+COUNTIF($E32:G32,"t")+COUNTIF($E32:G32,"¶")+COUNTIF($E32:G32,"²")+COUNTIF($E32:G32,"µ")+COUNTIF($E32:G32,1)),
HYPERLINK("#Roadmap!C"&amp; MATCH($E32,Roadmap!$D:$D,0)+COUNTIF($E32:G32,"u")+COUNTIF($E32:G32,"t"),
     INDEX(Roadmap!$D:$K,MATCH($E32,Roadmap!$D:$D,0)+COUNTIF($E32:G32,"u")+COUNTIF($E32:G32,"t")+COUNTIF($E32:G32,"¶")+COUNTIF($E32:G32,"²")+COUNTIF($E32:G32,"µ")+COUNTIF($E32:G32,1),ColTypeEcheance)),
  IF(LEN(G32)=1,
  IF(LEN(INDEX(Roadmap!$D:$K,MATCH($E32,Roadmap!$D:$D,0)-1+COUNTIF($E32:G32,"u")+COUNTIF($E32:G32,"t")+COUNTIF($E32:G32,"¶")+COUNTIF($E32:G32,"²")+COUNTIF($E32:G32,"µ")+COUNTIF($E32:G32,1),ColDescriptionCourte))&gt;1,
HYPERLINK("#Roadmap!C"&amp; MATCH($E32,Roadmap!$D:$D,0)+COUNTIF($E32:G32,"u")+COUNTIF($E32:G32,"t")+COUNTIF($E32:G32,"¶")+COUNTIF($E32:G32,"²")+COUNTIF($E32:G32,"µ")+COUNTIF($E32:G32,1)-1,INDEX(Roadmap!$D:$K,MATCH($E32,Roadmap!$D:$D,0)-1+COUNTIF($E32:G32,"u")+COUNTIF($E32:G32,"t")+COUNTIF($E32:G32,"¶")+COUNTIF($E32:G32,"²")+COUNTIF($E32:G32,"µ")+COUNTIF($E32:G32,1),ColDescriptionCourte)),""),
  "")),"")</f>
        <v/>
      </c>
      <c r="I32" s="40" t="str">
        <f ca="1">IFERROR(IF(AND(
  INDEX(Roadmap!$D:$K,MATCH($E32,Roadmap!$D:$D,0)+COUNTIF($E32:H32,"u")+COUNTIF($E32:H32,"t")+COUNTIF($E32:H32,"¶")+COUNTIF($E32:H32,"²")+COUNTIF($E32:H32,"µ")+COUNTIF($E32:H32,1),ColLivraison)=I$6,
  VLOOKUP($E32,INDIRECT("tri!"&amp; CHAR(64+ C0Col) &amp;":"&amp; CHAR(65+C0Col)),2,FALSE)&gt;COUNTIF($E32:H32,"u")+COUNTIF($E32:H32,"t")+COUNTIF($E32:H32,"¶")+COUNTIF($E32:H32,"²")+COUNTIF($E32:H32,"µ")+COUNTIF($E32:H32,1)),
HYPERLINK("#Roadmap!C"&amp; MATCH($E32,Roadmap!$D:$D,0)+COUNTIF($E32:H32,"u")+COUNTIF($E32:H32,"t"),
     INDEX(Roadmap!$D:$K,MATCH($E32,Roadmap!$D:$D,0)+COUNTIF($E32:H32,"u")+COUNTIF($E32:H32,"t")+COUNTIF($E32:H32,"¶")+COUNTIF($E32:H32,"²")+COUNTIF($E32:H32,"µ")+COUNTIF($E32:H32,1),ColTypeEcheance)),
  IF(LEN(H32)=1,
  IF(LEN(INDEX(Roadmap!$D:$K,MATCH($E32,Roadmap!$D:$D,0)-1+COUNTIF($E32:H32,"u")+COUNTIF($E32:H32,"t")+COUNTIF($E32:H32,"¶")+COUNTIF($E32:H32,"²")+COUNTIF($E32:H32,"µ")+COUNTIF($E32:H32,1),ColDescriptionCourte))&gt;1,
HYPERLINK("#Roadmap!C"&amp; MATCH($E32,Roadmap!$D:$D,0)+COUNTIF($E32:H32,"u")+COUNTIF($E32:H32,"t")+COUNTIF($E32:H32,"¶")+COUNTIF($E32:H32,"²")+COUNTIF($E32:H32,"µ")+COUNTIF($E32:H32,1)-1,INDEX(Roadmap!$D:$K,MATCH($E32,Roadmap!$D:$D,0)-1+COUNTIF($E32:H32,"u")+COUNTIF($E32:H32,"t")+COUNTIF($E32:H32,"¶")+COUNTIF($E32:H32,"²")+COUNTIF($E32:H32,"µ")+COUNTIF($E32:H32,1),ColDescriptionCourte)),""),
  "")),"")</f>
        <v/>
      </c>
      <c r="J32" s="40" t="str">
        <f ca="1">IFERROR(IF(AND(
  INDEX(Roadmap!$D:$K,MATCH($E32,Roadmap!$D:$D,0)+COUNTIF($E32:I32,"u")+COUNTIF($E32:I32,"t")+COUNTIF($E32:I32,"¶")+COUNTIF($E32:I32,"²")+COUNTIF($E32:I32,"µ")+COUNTIF($E32:I32,1),ColLivraison)=J$6,
  VLOOKUP($E32,INDIRECT("tri!"&amp; CHAR(64+ C0Col) &amp;":"&amp; CHAR(65+C0Col)),2,FALSE)&gt;COUNTIF($E32:I32,"u")+COUNTIF($E32:I32,"t")+COUNTIF($E32:I32,"¶")+COUNTIF($E32:I32,"²")+COUNTIF($E32:I32,"µ")+COUNTIF($E32:I32,1)),
HYPERLINK("#Roadmap!C"&amp; MATCH($E32,Roadmap!$D:$D,0)+COUNTIF($E32:I32,"u")+COUNTIF($E32:I32,"t"),
     INDEX(Roadmap!$D:$K,MATCH($E32,Roadmap!$D:$D,0)+COUNTIF($E32:I32,"u")+COUNTIF($E32:I32,"t")+COUNTIF($E32:I32,"¶")+COUNTIF($E32:I32,"²")+COUNTIF($E32:I32,"µ")+COUNTIF($E32:I32,1),ColTypeEcheance)),
  IF(LEN(I32)=1,
  IF(LEN(INDEX(Roadmap!$D:$K,MATCH($E32,Roadmap!$D:$D,0)-1+COUNTIF($E32:I32,"u")+COUNTIF($E32:I32,"t")+COUNTIF($E32:I32,"¶")+COUNTIF($E32:I32,"²")+COUNTIF($E32:I32,"µ")+COUNTIF($E32:I32,1),ColDescriptionCourte))&gt;1,
HYPERLINK("#Roadmap!C"&amp; MATCH($E32,Roadmap!$D:$D,0)+COUNTIF($E32:I32,"u")+COUNTIF($E32:I32,"t")+COUNTIF($E32:I32,"¶")+COUNTIF($E32:I32,"²")+COUNTIF($E32:I32,"µ")+COUNTIF($E32:I32,1)-1,INDEX(Roadmap!$D:$K,MATCH($E32,Roadmap!$D:$D,0)-1+COUNTIF($E32:I32,"u")+COUNTIF($E32:I32,"t")+COUNTIF($E32:I32,"¶")+COUNTIF($E32:I32,"²")+COUNTIF($E32:I32,"µ")+COUNTIF($E32:I32,1),ColDescriptionCourte)),""),
  "")),"")</f>
        <v/>
      </c>
      <c r="K32" s="40" t="str">
        <f ca="1">IFERROR(IF(AND(
  INDEX(Roadmap!$D:$K,MATCH($E32,Roadmap!$D:$D,0)+COUNTIF($E32:J32,"u")+COUNTIF($E32:J32,"t")+COUNTIF($E32:J32,"¶")+COUNTIF($E32:J32,"²")+COUNTIF($E32:J32,"µ")+COUNTIF($E32:J32,1),ColLivraison)=K$6,
  VLOOKUP($E32,INDIRECT("tri!"&amp; CHAR(64+ C0Col) &amp;":"&amp; CHAR(65+C0Col)),2,FALSE)&gt;COUNTIF($E32:J32,"u")+COUNTIF($E32:J32,"t")+COUNTIF($E32:J32,"¶")+COUNTIF($E32:J32,"²")+COUNTIF($E32:J32,"µ")+COUNTIF($E32:J32,1)),
HYPERLINK("#Roadmap!C"&amp; MATCH($E32,Roadmap!$D:$D,0)+COUNTIF($E32:J32,"u")+COUNTIF($E32:J32,"t"),
     INDEX(Roadmap!$D:$K,MATCH($E32,Roadmap!$D:$D,0)+COUNTIF($E32:J32,"u")+COUNTIF($E32:J32,"t")+COUNTIF($E32:J32,"¶")+COUNTIF($E32:J32,"²")+COUNTIF($E32:J32,"µ")+COUNTIF($E32:J32,1),ColTypeEcheance)),
  IF(LEN(J32)=1,
  IF(LEN(INDEX(Roadmap!$D:$K,MATCH($E32,Roadmap!$D:$D,0)-1+COUNTIF($E32:J32,"u")+COUNTIF($E32:J32,"t")+COUNTIF($E32:J32,"¶")+COUNTIF($E32:J32,"²")+COUNTIF($E32:J32,"µ")+COUNTIF($E32:J32,1),ColDescriptionCourte))&gt;1,
HYPERLINK("#Roadmap!C"&amp; MATCH($E32,Roadmap!$D:$D,0)+COUNTIF($E32:J32,"u")+COUNTIF($E32:J32,"t")+COUNTIF($E32:J32,"¶")+COUNTIF($E32:J32,"²")+COUNTIF($E32:J32,"µ")+COUNTIF($E32:J32,1)-1,INDEX(Roadmap!$D:$K,MATCH($E32,Roadmap!$D:$D,0)-1+COUNTIF($E32:J32,"u")+COUNTIF($E32:J32,"t")+COUNTIF($E32:J32,"¶")+COUNTIF($E32:J32,"²")+COUNTIF($E32:J32,"µ")+COUNTIF($E32:J32,1),ColDescriptionCourte)),""),
  "")),"")</f>
        <v/>
      </c>
      <c r="L32" s="39" t="str">
        <f ca="1">IFERROR(IF(AND(
  INDEX(Roadmap!$D:$K,MATCH($E32,Roadmap!$D:$D,0)+COUNTIF($E32:K32,"u")+COUNTIF($E32:K32,"t")+COUNTIF($E32:K32,"¶")+COUNTIF($E32:K32,"²")+COUNTIF($E32:K32,"µ")+COUNTIF($E32:K32,1),ColLivraison)=L$6,
  VLOOKUP($E32,INDIRECT("tri!"&amp; CHAR(64+ C0Col) &amp;":"&amp; CHAR(65+C0Col)),2,FALSE)&gt;COUNTIF($E32:K32,"u")+COUNTIF($E32:K32,"t")+COUNTIF($E32:K32,"¶")+COUNTIF($E32:K32,"²")+COUNTIF($E32:K32,"µ")+COUNTIF($E32:K32,1)),
HYPERLINK("#Roadmap!C"&amp; MATCH($E32,Roadmap!$D:$D,0)+COUNTIF($E32:K32,"u")+COUNTIF($E32:K32,"t"),
     INDEX(Roadmap!$D:$K,MATCH($E32,Roadmap!$D:$D,0)+COUNTIF($E32:K32,"u")+COUNTIF($E32:K32,"t")+COUNTIF($E32:K32,"¶")+COUNTIF($E32:K32,"²")+COUNTIF($E32:K32,"µ")+COUNTIF($E32:K32,1),ColTypeEcheance)),
  IF(LEN(K32)=1,
  IF(LEN(INDEX(Roadmap!$D:$K,MATCH($E32,Roadmap!$D:$D,0)-1+COUNTIF($E32:K32,"u")+COUNTIF($E32:K32,"t")+COUNTIF($E32:K32,"¶")+COUNTIF($E32:K32,"²")+COUNTIF($E32:K32,"µ")+COUNTIF($E32:K32,1),ColDescriptionCourte))&gt;1,
HYPERLINK("#Roadmap!C"&amp; MATCH($E32,Roadmap!$D:$D,0)+COUNTIF($E32:K32,"u")+COUNTIF($E32:K32,"t")+COUNTIF($E32:K32,"¶")+COUNTIF($E32:K32,"²")+COUNTIF($E32:K32,"µ")+COUNTIF($E32:K32,1)-1,INDEX(Roadmap!$D:$K,MATCH($E32,Roadmap!$D:$D,0)-1+COUNTIF($E32:K32,"u")+COUNTIF($E32:K32,"t")+COUNTIF($E32:K32,"¶")+COUNTIF($E32:K32,"²")+COUNTIF($E32:K32,"µ")+COUNTIF($E32:K32,1),ColDescriptionCourte)),""),
  "")),"")</f>
        <v/>
      </c>
      <c r="M32" s="40" t="str">
        <f ca="1">IFERROR(IF(AND(
  INDEX(Roadmap!$D:$K,MATCH($E32,Roadmap!$D:$D,0)+COUNTIF($E32:L32,"u")+COUNTIF($E32:L32,"t")+COUNTIF($E32:L32,"¶")+COUNTIF($E32:L32,"²")+COUNTIF($E32:L32,"µ")+COUNTIF($E32:L32,1),ColLivraison)=M$6,
  VLOOKUP($E32,INDIRECT("tri!"&amp; CHAR(64+ C0Col) &amp;":"&amp; CHAR(65+C0Col)),2,FALSE)&gt;COUNTIF($E32:L32,"u")+COUNTIF($E32:L32,"t")+COUNTIF($E32:L32,"¶")+COUNTIF($E32:L32,"²")+COUNTIF($E32:L32,"µ")+COUNTIF($E32:L32,1)),
HYPERLINK("#Roadmap!C"&amp; MATCH($E32,Roadmap!$D:$D,0)+COUNTIF($E32:L32,"u")+COUNTIF($E32:L32,"t"),
     INDEX(Roadmap!$D:$K,MATCH($E32,Roadmap!$D:$D,0)+COUNTIF($E32:L32,"u")+COUNTIF($E32:L32,"t")+COUNTIF($E32:L32,"¶")+COUNTIF($E32:L32,"²")+COUNTIF($E32:L32,"µ")+COUNTIF($E32:L32,1),ColTypeEcheance)),
  IF(LEN(L32)=1,
  IF(LEN(INDEX(Roadmap!$D:$K,MATCH($E32,Roadmap!$D:$D,0)-1+COUNTIF($E32:L32,"u")+COUNTIF($E32:L32,"t")+COUNTIF($E32:L32,"¶")+COUNTIF($E32:L32,"²")+COUNTIF($E32:L32,"µ")+COUNTIF($E32:L32,1),ColDescriptionCourte))&gt;1,
HYPERLINK("#Roadmap!C"&amp; MATCH($E32,Roadmap!$D:$D,0)+COUNTIF($E32:L32,"u")+COUNTIF($E32:L32,"t")+COUNTIF($E32:L32,"¶")+COUNTIF($E32:L32,"²")+COUNTIF($E32:L32,"µ")+COUNTIF($E32:L32,1)-1,INDEX(Roadmap!$D:$K,MATCH($E32,Roadmap!$D:$D,0)-1+COUNTIF($E32:L32,"u")+COUNTIF($E32:L32,"t")+COUNTIF($E32:L32,"¶")+COUNTIF($E32:L32,"²")+COUNTIF($E32:L32,"µ")+COUNTIF($E32:L32,1),ColDescriptionCourte)),""),
  "")),"")</f>
        <v/>
      </c>
      <c r="N32" s="40" t="str">
        <f ca="1">IFERROR(IF(AND(
  INDEX(Roadmap!$D:$K,MATCH($E32,Roadmap!$D:$D,0)+COUNTIF($E32:M32,"u")+COUNTIF($E32:M32,"t")+COUNTIF($E32:M32,"¶")+COUNTIF($E32:M32,"²")+COUNTIF($E32:M32,"µ")+COUNTIF($E32:M32,1),ColLivraison)=N$6,
  VLOOKUP($E32,INDIRECT("tri!"&amp; CHAR(64+ C0Col) &amp;":"&amp; CHAR(65+C0Col)),2,FALSE)&gt;COUNTIF($E32:M32,"u")+COUNTIF($E32:M32,"t")+COUNTIF($E32:M32,"¶")+COUNTIF($E32:M32,"²")+COUNTIF($E32:M32,"µ")+COUNTIF($E32:M32,1)),
HYPERLINK("#Roadmap!C"&amp; MATCH($E32,Roadmap!$D:$D,0)+COUNTIF($E32:M32,"u")+COUNTIF($E32:M32,"t"),
     INDEX(Roadmap!$D:$K,MATCH($E32,Roadmap!$D:$D,0)+COUNTIF($E32:M32,"u")+COUNTIF($E32:M32,"t")+COUNTIF($E32:M32,"¶")+COUNTIF($E32:M32,"²")+COUNTIF($E32:M32,"µ")+COUNTIF($E32:M32,1),ColTypeEcheance)),
  IF(LEN(M32)=1,
  IF(LEN(INDEX(Roadmap!$D:$K,MATCH($E32,Roadmap!$D:$D,0)-1+COUNTIF($E32:M32,"u")+COUNTIF($E32:M32,"t")+COUNTIF($E32:M32,"¶")+COUNTIF($E32:M32,"²")+COUNTIF($E32:M32,"µ")+COUNTIF($E32:M32,1),ColDescriptionCourte))&gt;1,
HYPERLINK("#Roadmap!C"&amp; MATCH($E32,Roadmap!$D:$D,0)+COUNTIF($E32:M32,"u")+COUNTIF($E32:M32,"t")+COUNTIF($E32:M32,"¶")+COUNTIF($E32:M32,"²")+COUNTIF($E32:M32,"µ")+COUNTIF($E32:M32,1)-1,INDEX(Roadmap!$D:$K,MATCH($E32,Roadmap!$D:$D,0)-1+COUNTIF($E32:M32,"u")+COUNTIF($E32:M32,"t")+COUNTIF($E32:M32,"¶")+COUNTIF($E32:M32,"²")+COUNTIF($E32:M32,"µ")+COUNTIF($E32:M32,1),ColDescriptionCourte)),""),
  "")),"")</f>
        <v/>
      </c>
      <c r="O32" s="40" t="str">
        <f ca="1">IFERROR(IF(AND(
  INDEX(Roadmap!$D:$K,MATCH($E32,Roadmap!$D:$D,0)+COUNTIF($E32:N32,"u")+COUNTIF($E32:N32,"t")+COUNTIF($E32:N32,"¶")+COUNTIF($E32:N32,"²")+COUNTIF($E32:N32,"µ")+COUNTIF($E32:N32,1),ColLivraison)=O$6,
  VLOOKUP($E32,INDIRECT("tri!"&amp; CHAR(64+ C0Col) &amp;":"&amp; CHAR(65+C0Col)),2,FALSE)&gt;COUNTIF($E32:N32,"u")+COUNTIF($E32:N32,"t")+COUNTIF($E32:N32,"¶")+COUNTIF($E32:N32,"²")+COUNTIF($E32:N32,"µ")+COUNTIF($E32:N32,1)),
HYPERLINK("#Roadmap!C"&amp; MATCH($E32,Roadmap!$D:$D,0)+COUNTIF($E32:N32,"u")+COUNTIF($E32:N32,"t"),
     INDEX(Roadmap!$D:$K,MATCH($E32,Roadmap!$D:$D,0)+COUNTIF($E32:N32,"u")+COUNTIF($E32:N32,"t")+COUNTIF($E32:N32,"¶")+COUNTIF($E32:N32,"²")+COUNTIF($E32:N32,"µ")+COUNTIF($E32:N32,1),ColTypeEcheance)),
  IF(LEN(N32)=1,
  IF(LEN(INDEX(Roadmap!$D:$K,MATCH($E32,Roadmap!$D:$D,0)-1+COUNTIF($E32:N32,"u")+COUNTIF($E32:N32,"t")+COUNTIF($E32:N32,"¶")+COUNTIF($E32:N32,"²")+COUNTIF($E32:N32,"µ")+COUNTIF($E32:N32,1),ColDescriptionCourte))&gt;1,
HYPERLINK("#Roadmap!C"&amp; MATCH($E32,Roadmap!$D:$D,0)+COUNTIF($E32:N32,"u")+COUNTIF($E32:N32,"t")+COUNTIF($E32:N32,"¶")+COUNTIF($E32:N32,"²")+COUNTIF($E32:N32,"µ")+COUNTIF($E32:N32,1)-1,INDEX(Roadmap!$D:$K,MATCH($E32,Roadmap!$D:$D,0)-1+COUNTIF($E32:N32,"u")+COUNTIF($E32:N32,"t")+COUNTIF($E32:N32,"¶")+COUNTIF($E32:N32,"²")+COUNTIF($E32:N32,"µ")+COUNTIF($E32:N32,1),ColDescriptionCourte)),""),
  "")),"")</f>
        <v/>
      </c>
      <c r="P32" s="40" t="str">
        <f ca="1">IFERROR(IF(AND(
  INDEX(Roadmap!$D:$K,MATCH($E32,Roadmap!$D:$D,0)+COUNTIF($E32:O32,"u")+COUNTIF($E32:O32,"t")+COUNTIF($E32:O32,"¶")+COUNTIF($E32:O32,"²")+COUNTIF($E32:O32,"µ")+COUNTIF($E32:O32,1),ColLivraison)=P$6,
  VLOOKUP($E32,INDIRECT("tri!"&amp; CHAR(64+ C0Col) &amp;":"&amp; CHAR(65+C0Col)),2,FALSE)&gt;COUNTIF($E32:O32,"u")+COUNTIF($E32:O32,"t")+COUNTIF($E32:O32,"¶")+COUNTIF($E32:O32,"²")+COUNTIF($E32:O32,"µ")+COUNTIF($E32:O32,1)),
HYPERLINK("#Roadmap!C"&amp; MATCH($E32,Roadmap!$D:$D,0)+COUNTIF($E32:O32,"u")+COUNTIF($E32:O32,"t"),
     INDEX(Roadmap!$D:$K,MATCH($E32,Roadmap!$D:$D,0)+COUNTIF($E32:O32,"u")+COUNTIF($E32:O32,"t")+COUNTIF($E32:O32,"¶")+COUNTIF($E32:O32,"²")+COUNTIF($E32:O32,"µ")+COUNTIF($E32:O32,1),ColTypeEcheance)),
  IF(LEN(O32)=1,
  IF(LEN(INDEX(Roadmap!$D:$K,MATCH($E32,Roadmap!$D:$D,0)-1+COUNTIF($E32:O32,"u")+COUNTIF($E32:O32,"t")+COUNTIF($E32:O32,"¶")+COUNTIF($E32:O32,"²")+COUNTIF($E32:O32,"µ")+COUNTIF($E32:O32,1),ColDescriptionCourte))&gt;1,
HYPERLINK("#Roadmap!C"&amp; MATCH($E32,Roadmap!$D:$D,0)+COUNTIF($E32:O32,"u")+COUNTIF($E32:O32,"t")+COUNTIF($E32:O32,"¶")+COUNTIF($E32:O32,"²")+COUNTIF($E32:O32,"µ")+COUNTIF($E32:O32,1)-1,INDEX(Roadmap!$D:$K,MATCH($E32,Roadmap!$D:$D,0)-1+COUNTIF($E32:O32,"u")+COUNTIF($E32:O32,"t")+COUNTIF($E32:O32,"¶")+COUNTIF($E32:O32,"²")+COUNTIF($E32:O32,"µ")+COUNTIF($E32:O32,1),ColDescriptionCourte)),""),
  "")),"")</f>
        <v/>
      </c>
      <c r="Q32" s="40" t="str">
        <f ca="1">IFERROR(IF(AND(
  INDEX(Roadmap!$D:$K,MATCH($E32,Roadmap!$D:$D,0)+COUNTIF($E32:P32,"u")+COUNTIF($E32:P32,"t")+COUNTIF($E32:P32,"¶")+COUNTIF($E32:P32,"²")+COUNTIF($E32:P32,"µ")+COUNTIF($E32:P32,1),ColLivraison)=Q$6,
  VLOOKUP($E32,INDIRECT("tri!"&amp; CHAR(64+ C0Col) &amp;":"&amp; CHAR(65+C0Col)),2,FALSE)&gt;COUNTIF($E32:P32,"u")+COUNTIF($E32:P32,"t")+COUNTIF($E32:P32,"¶")+COUNTIF($E32:P32,"²")+COUNTIF($E32:P32,"µ")+COUNTIF($E32:P32,1)),
HYPERLINK("#Roadmap!C"&amp; MATCH($E32,Roadmap!$D:$D,0)+COUNTIF($E32:P32,"u")+COUNTIF($E32:P32,"t"),
     INDEX(Roadmap!$D:$K,MATCH($E32,Roadmap!$D:$D,0)+COUNTIF($E32:P32,"u")+COUNTIF($E32:P32,"t")+COUNTIF($E32:P32,"¶")+COUNTIF($E32:P32,"²")+COUNTIF($E32:P32,"µ")+COUNTIF($E32:P32,1),ColTypeEcheance)),
  IF(LEN(P32)=1,
  IF(LEN(INDEX(Roadmap!$D:$K,MATCH($E32,Roadmap!$D:$D,0)-1+COUNTIF($E32:P32,"u")+COUNTIF($E32:P32,"t")+COUNTIF($E32:P32,"¶")+COUNTIF($E32:P32,"²")+COUNTIF($E32:P32,"µ")+COUNTIF($E32:P32,1),ColDescriptionCourte))&gt;1,
HYPERLINK("#Roadmap!C"&amp; MATCH($E32,Roadmap!$D:$D,0)+COUNTIF($E32:P32,"u")+COUNTIF($E32:P32,"t")+COUNTIF($E32:P32,"¶")+COUNTIF($E32:P32,"²")+COUNTIF($E32:P32,"µ")+COUNTIF($E32:P32,1)-1,INDEX(Roadmap!$D:$K,MATCH($E32,Roadmap!$D:$D,0)-1+COUNTIF($E32:P32,"u")+COUNTIF($E32:P32,"t")+COUNTIF($E32:P32,"¶")+COUNTIF($E32:P32,"²")+COUNTIF($E32:P32,"µ")+COUNTIF($E32:P32,1),ColDescriptionCourte)),""),
  "")),"")</f>
        <v/>
      </c>
      <c r="R32" s="40" t="str">
        <f ca="1">IFERROR(IF(AND(
  INDEX(Roadmap!$D:$K,MATCH($E32,Roadmap!$D:$D,0)+COUNTIF($E32:Q32,"u")+COUNTIF($E32:Q32,"t")+COUNTIF($E32:Q32,"¶")+COUNTIF($E32:Q32,"²")+COUNTIF($E32:Q32,"µ")+COUNTIF($E32:Q32,1),ColLivraison)=R$6,
  VLOOKUP($E32,INDIRECT("tri!"&amp; CHAR(64+ C0Col) &amp;":"&amp; CHAR(65+C0Col)),2,FALSE)&gt;COUNTIF($E32:Q32,"u")+COUNTIF($E32:Q32,"t")+COUNTIF($E32:Q32,"¶")+COUNTIF($E32:Q32,"²")+COUNTIF($E32:Q32,"µ")+COUNTIF($E32:Q32,1)),
HYPERLINK("#Roadmap!C"&amp; MATCH($E32,Roadmap!$D:$D,0)+COUNTIF($E32:Q32,"u")+COUNTIF($E32:Q32,"t"),
     INDEX(Roadmap!$D:$K,MATCH($E32,Roadmap!$D:$D,0)+COUNTIF($E32:Q32,"u")+COUNTIF($E32:Q32,"t")+COUNTIF($E32:Q32,"¶")+COUNTIF($E32:Q32,"²")+COUNTIF($E32:Q32,"µ")+COUNTIF($E32:Q32,1),ColTypeEcheance)),
  IF(LEN(Q32)=1,
  IF(LEN(INDEX(Roadmap!$D:$K,MATCH($E32,Roadmap!$D:$D,0)-1+COUNTIF($E32:Q32,"u")+COUNTIF($E32:Q32,"t")+COUNTIF($E32:Q32,"¶")+COUNTIF($E32:Q32,"²")+COUNTIF($E32:Q32,"µ")+COUNTIF($E32:Q32,1),ColDescriptionCourte))&gt;1,
HYPERLINK("#Roadmap!C"&amp; MATCH($E32,Roadmap!$D:$D,0)+COUNTIF($E32:Q32,"u")+COUNTIF($E32:Q32,"t")+COUNTIF($E32:Q32,"¶")+COUNTIF($E32:Q32,"²")+COUNTIF($E32:Q32,"µ")+COUNTIF($E32:Q32,1)-1,INDEX(Roadmap!$D:$K,MATCH($E32,Roadmap!$D:$D,0)-1+COUNTIF($E32:Q32,"u")+COUNTIF($E32:Q32,"t")+COUNTIF($E32:Q32,"¶")+COUNTIF($E32:Q32,"²")+COUNTIF($E32:Q32,"µ")+COUNTIF($E32:Q32,1),ColDescriptionCourte)),""),
  "")),"")</f>
        <v/>
      </c>
      <c r="S32" s="40" t="str">
        <f ca="1">IFERROR(IF(AND(
  INDEX(Roadmap!$D:$K,MATCH($E32,Roadmap!$D:$D,0)+COUNTIF($E32:R32,"u")+COUNTIF($E32:R32,"t")+COUNTIF($E32:R32,"¶")+COUNTIF($E32:R32,"²")+COUNTIF($E32:R32,"µ")+COUNTIF($E32:R32,1),ColLivraison)=S$6,
  VLOOKUP($E32,INDIRECT("tri!"&amp; CHAR(64+ C0Col) &amp;":"&amp; CHAR(65+C0Col)),2,FALSE)&gt;COUNTIF($E32:R32,"u")+COUNTIF($E32:R32,"t")+COUNTIF($E32:R32,"¶")+COUNTIF($E32:R32,"²")+COUNTIF($E32:R32,"µ")+COUNTIF($E32:R32,1)),
HYPERLINK("#Roadmap!C"&amp; MATCH($E32,Roadmap!$D:$D,0)+COUNTIF($E32:R32,"u")+COUNTIF($E32:R32,"t"),
     INDEX(Roadmap!$D:$K,MATCH($E32,Roadmap!$D:$D,0)+COUNTIF($E32:R32,"u")+COUNTIF($E32:R32,"t")+COUNTIF($E32:R32,"¶")+COUNTIF($E32:R32,"²")+COUNTIF($E32:R32,"µ")+COUNTIF($E32:R32,1),ColTypeEcheance)),
  IF(LEN(R32)=1,
  IF(LEN(INDEX(Roadmap!$D:$K,MATCH($E32,Roadmap!$D:$D,0)-1+COUNTIF($E32:R32,"u")+COUNTIF($E32:R32,"t")+COUNTIF($E32:R32,"¶")+COUNTIF($E32:R32,"²")+COUNTIF($E32:R32,"µ")+COUNTIF($E32:R32,1),ColDescriptionCourte))&gt;1,
HYPERLINK("#Roadmap!C"&amp; MATCH($E32,Roadmap!$D:$D,0)+COUNTIF($E32:R32,"u")+COUNTIF($E32:R32,"t")+COUNTIF($E32:R32,"¶")+COUNTIF($E32:R32,"²")+COUNTIF($E32:R32,"µ")+COUNTIF($E32:R32,1)-1,INDEX(Roadmap!$D:$K,MATCH($E32,Roadmap!$D:$D,0)-1+COUNTIF($E32:R32,"u")+COUNTIF($E32:R32,"t")+COUNTIF($E32:R32,"¶")+COUNTIF($E32:R32,"²")+COUNTIF($E32:R32,"µ")+COUNTIF($E32:R32,1),ColDescriptionCourte)),""),
  "")),"")</f>
        <v/>
      </c>
      <c r="T32" s="40" t="str">
        <f ca="1">IFERROR(IF(AND(
  INDEX(Roadmap!$D:$K,MATCH($E32,Roadmap!$D:$D,0)+COUNTIF($E32:S32,"u")+COUNTIF($E32:S32,"t")+COUNTIF($E32:S32,"¶")+COUNTIF($E32:S32,"²")+COUNTIF($E32:S32,"µ")+COUNTIF($E32:S32,1),ColLivraison)=T$6,
  VLOOKUP($E32,INDIRECT("tri!"&amp; CHAR(64+ C0Col) &amp;":"&amp; CHAR(65+C0Col)),2,FALSE)&gt;COUNTIF($E32:S32,"u")+COUNTIF($E32:S32,"t")+COUNTIF($E32:S32,"¶")+COUNTIF($E32:S32,"²")+COUNTIF($E32:S32,"µ")+COUNTIF($E32:S32,1)),
HYPERLINK("#Roadmap!C"&amp; MATCH($E32,Roadmap!$D:$D,0)+COUNTIF($E32:S32,"u")+COUNTIF($E32:S32,"t"),
     INDEX(Roadmap!$D:$K,MATCH($E32,Roadmap!$D:$D,0)+COUNTIF($E32:S32,"u")+COUNTIF($E32:S32,"t")+COUNTIF($E32:S32,"¶")+COUNTIF($E32:S32,"²")+COUNTIF($E32:S32,"µ")+COUNTIF($E32:S32,1),ColTypeEcheance)),
  IF(LEN(S32)=1,
  IF(LEN(INDEX(Roadmap!$D:$K,MATCH($E32,Roadmap!$D:$D,0)-1+COUNTIF($E32:S32,"u")+COUNTIF($E32:S32,"t")+COUNTIF($E32:S32,"¶")+COUNTIF($E32:S32,"²")+COUNTIF($E32:S32,"µ")+COUNTIF($E32:S32,1),ColDescriptionCourte))&gt;1,
HYPERLINK("#Roadmap!C"&amp; MATCH($E32,Roadmap!$D:$D,0)+COUNTIF($E32:S32,"u")+COUNTIF($E32:S32,"t")+COUNTIF($E32:S32,"¶")+COUNTIF($E32:S32,"²")+COUNTIF($E32:S32,"µ")+COUNTIF($E32:S32,1)-1,INDEX(Roadmap!$D:$K,MATCH($E32,Roadmap!$D:$D,0)-1+COUNTIF($E32:S32,"u")+COUNTIF($E32:S32,"t")+COUNTIF($E32:S32,"¶")+COUNTIF($E32:S32,"²")+COUNTIF($E32:S32,"µ")+COUNTIF($E32:S32,1),ColDescriptionCourte)),""),
  "")),"")</f>
        <v/>
      </c>
      <c r="U32" s="40" t="str">
        <f ca="1">IFERROR(IF(AND(
  INDEX(Roadmap!$D:$K,MATCH($E32,Roadmap!$D:$D,0)+COUNTIF($E32:T32,"u")+COUNTIF($E32:T32,"t")+COUNTIF($E32:T32,"¶")+COUNTIF($E32:T32,"²")+COUNTIF($E32:T32,"µ")+COUNTIF($E32:T32,1),ColLivraison)=U$6,
  VLOOKUP($E32,INDIRECT("tri!"&amp; CHAR(64+ C0Col) &amp;":"&amp; CHAR(65+C0Col)),2,FALSE)&gt;COUNTIF($E32:T32,"u")+COUNTIF($E32:T32,"t")+COUNTIF($E32:T32,"¶")+COUNTIF($E32:T32,"²")+COUNTIF($E32:T32,"µ")+COUNTIF($E32:T32,1)),
HYPERLINK("#Roadmap!C"&amp; MATCH($E32,Roadmap!$D:$D,0)+COUNTIF($E32:T32,"u")+COUNTIF($E32:T32,"t"),
     INDEX(Roadmap!$D:$K,MATCH($E32,Roadmap!$D:$D,0)+COUNTIF($E32:T32,"u")+COUNTIF($E32:T32,"t")+COUNTIF($E32:T32,"¶")+COUNTIF($E32:T32,"²")+COUNTIF($E32:T32,"µ")+COUNTIF($E32:T32,1),ColTypeEcheance)),
  IF(LEN(T32)=1,
  IF(LEN(INDEX(Roadmap!$D:$K,MATCH($E32,Roadmap!$D:$D,0)-1+COUNTIF($E32:T32,"u")+COUNTIF($E32:T32,"t")+COUNTIF($E32:T32,"¶")+COUNTIF($E32:T32,"²")+COUNTIF($E32:T32,"µ")+COUNTIF($E32:T32,1),ColDescriptionCourte))&gt;1,
HYPERLINK("#Roadmap!C"&amp; MATCH($E32,Roadmap!$D:$D,0)+COUNTIF($E32:T32,"u")+COUNTIF($E32:T32,"t")+COUNTIF($E32:T32,"¶")+COUNTIF($E32:T32,"²")+COUNTIF($E32:T32,"µ")+COUNTIF($E32:T32,1)-1,INDEX(Roadmap!$D:$K,MATCH($E32,Roadmap!$D:$D,0)-1+COUNTIF($E32:T32,"u")+COUNTIF($E32:T32,"t")+COUNTIF($E32:T32,"¶")+COUNTIF($E32:T32,"²")+COUNTIF($E32:T32,"µ")+COUNTIF($E32:T32,1),ColDescriptionCourte)),""),
  "")),"")</f>
        <v/>
      </c>
      <c r="V32" s="40" t="str">
        <f ca="1">IFERROR(IF(AND(
  INDEX(Roadmap!$D:$K,MATCH($E32,Roadmap!$D:$D,0)+COUNTIF($E32:U32,"u")+COUNTIF($E32:U32,"t")+COUNTIF($E32:U32,"¶")+COUNTIF($E32:U32,"²")+COUNTIF($E32:U32,"µ")+COUNTIF($E32:U32,1),ColLivraison)=V$6,
  VLOOKUP($E32,INDIRECT("tri!"&amp; CHAR(64+ C0Col) &amp;":"&amp; CHAR(65+C0Col)),2,FALSE)&gt;COUNTIF($E32:U32,"u")+COUNTIF($E32:U32,"t")+COUNTIF($E32:U32,"¶")+COUNTIF($E32:U32,"²")+COUNTIF($E32:U32,"µ")+COUNTIF($E32:U32,1)),
HYPERLINK("#Roadmap!C"&amp; MATCH($E32,Roadmap!$D:$D,0)+COUNTIF($E32:U32,"u")+COUNTIF($E32:U32,"t"),
     INDEX(Roadmap!$D:$K,MATCH($E32,Roadmap!$D:$D,0)+COUNTIF($E32:U32,"u")+COUNTIF($E32:U32,"t")+COUNTIF($E32:U32,"¶")+COUNTIF($E32:U32,"²")+COUNTIF($E32:U32,"µ")+COUNTIF($E32:U32,1),ColTypeEcheance)),
  IF(LEN(U32)=1,
  IF(LEN(INDEX(Roadmap!$D:$K,MATCH($E32,Roadmap!$D:$D,0)-1+COUNTIF($E32:U32,"u")+COUNTIF($E32:U32,"t")+COUNTIF($E32:U32,"¶")+COUNTIF($E32:U32,"²")+COUNTIF($E32:U32,"µ")+COUNTIF($E32:U32,1),ColDescriptionCourte))&gt;1,
HYPERLINK("#Roadmap!C"&amp; MATCH($E32,Roadmap!$D:$D,0)+COUNTIF($E32:U32,"u")+COUNTIF($E32:U32,"t")+COUNTIF($E32:U32,"¶")+COUNTIF($E32:U32,"²")+COUNTIF($E32:U32,"µ")+COUNTIF($E32:U32,1)-1,INDEX(Roadmap!$D:$K,MATCH($E32,Roadmap!$D:$D,0)-1+COUNTIF($E32:U32,"u")+COUNTIF($E32:U32,"t")+COUNTIF($E32:U32,"¶")+COUNTIF($E32:U32,"²")+COUNTIF($E32:U32,"µ")+COUNTIF($E32:U32,1),ColDescriptionCourte)),""),
  "")),"")</f>
        <v/>
      </c>
      <c r="W32" s="40" t="str">
        <f ca="1">IFERROR(IF(AND(
  INDEX(Roadmap!$D:$K,MATCH($E32,Roadmap!$D:$D,0)+COUNTIF($E32:V32,"u")+COUNTIF($E32:V32,"t")+COUNTIF($E32:V32,"¶")+COUNTIF($E32:V32,"²")+COUNTIF($E32:V32,"µ")+COUNTIF($E32:V32,1),ColLivraison)=W$6,
  VLOOKUP($E32,INDIRECT("tri!"&amp; CHAR(64+ C0Col) &amp;":"&amp; CHAR(65+C0Col)),2,FALSE)&gt;COUNTIF($E32:V32,"u")+COUNTIF($E32:V32,"t")+COUNTIF($E32:V32,"¶")+COUNTIF($E32:V32,"²")+COUNTIF($E32:V32,"µ")+COUNTIF($E32:V32,1)),
HYPERLINK("#Roadmap!C"&amp; MATCH($E32,Roadmap!$D:$D,0)+COUNTIF($E32:V32,"u")+COUNTIF($E32:V32,"t"),
     INDEX(Roadmap!$D:$K,MATCH($E32,Roadmap!$D:$D,0)+COUNTIF($E32:V32,"u")+COUNTIF($E32:V32,"t")+COUNTIF($E32:V32,"¶")+COUNTIF($E32:V32,"²")+COUNTIF($E32:V32,"µ")+COUNTIF($E32:V32,1),ColTypeEcheance)),
  IF(LEN(V32)=1,
  IF(LEN(INDEX(Roadmap!$D:$K,MATCH($E32,Roadmap!$D:$D,0)-1+COUNTIF($E32:V32,"u")+COUNTIF($E32:V32,"t")+COUNTIF($E32:V32,"¶")+COUNTIF($E32:V32,"²")+COUNTIF($E32:V32,"µ")+COUNTIF($E32:V32,1),ColDescriptionCourte))&gt;1,
HYPERLINK("#Roadmap!C"&amp; MATCH($E32,Roadmap!$D:$D,0)+COUNTIF($E32:V32,"u")+COUNTIF($E32:V32,"t")+COUNTIF($E32:V32,"¶")+COUNTIF($E32:V32,"²")+COUNTIF($E32:V32,"µ")+COUNTIF($E32:V32,1)-1,INDEX(Roadmap!$D:$K,MATCH($E32,Roadmap!$D:$D,0)-1+COUNTIF($E32:V32,"u")+COUNTIF($E32:V32,"t")+COUNTIF($E32:V32,"¶")+COUNTIF($E32:V32,"²")+COUNTIF($E32:V32,"µ")+COUNTIF($E32:V32,1),ColDescriptionCourte)),""),
  "")),"")</f>
        <v/>
      </c>
      <c r="X32" s="40" t="str">
        <f ca="1">IFERROR(IF(AND(
  INDEX(Roadmap!$D:$K,MATCH($E32,Roadmap!$D:$D,0)+COUNTIF($E32:W32,"u")+COUNTIF($E32:W32,"t")+COUNTIF($E32:W32,"¶")+COUNTIF($E32:W32,"²")+COUNTIF($E32:W32,"µ")+COUNTIF($E32:W32,1),ColLivraison)=X$6,
  VLOOKUP($E32,INDIRECT("tri!"&amp; CHAR(64+ C0Col) &amp;":"&amp; CHAR(65+C0Col)),2,FALSE)&gt;COUNTIF($E32:W32,"u")+COUNTIF($E32:W32,"t")+COUNTIF($E32:W32,"¶")+COUNTIF($E32:W32,"²")+COUNTIF($E32:W32,"µ")+COUNTIF($E32:W32,1)),
HYPERLINK("#Roadmap!C"&amp; MATCH($E32,Roadmap!$D:$D,0)+COUNTIF($E32:W32,"u")+COUNTIF($E32:W32,"t"),
     INDEX(Roadmap!$D:$K,MATCH($E32,Roadmap!$D:$D,0)+COUNTIF($E32:W32,"u")+COUNTIF($E32:W32,"t")+COUNTIF($E32:W32,"¶")+COUNTIF($E32:W32,"²")+COUNTIF($E32:W32,"µ")+COUNTIF($E32:W32,1),ColTypeEcheance)),
  IF(LEN(W32)=1,
  IF(LEN(INDEX(Roadmap!$D:$K,MATCH($E32,Roadmap!$D:$D,0)-1+COUNTIF($E32:W32,"u")+COUNTIF($E32:W32,"t")+COUNTIF($E32:W32,"¶")+COUNTIF($E32:W32,"²")+COUNTIF($E32:W32,"µ")+COUNTIF($E32:W32,1),ColDescriptionCourte))&gt;1,
HYPERLINK("#Roadmap!C"&amp; MATCH($E32,Roadmap!$D:$D,0)+COUNTIF($E32:W32,"u")+COUNTIF($E32:W32,"t")+COUNTIF($E32:W32,"¶")+COUNTIF($E32:W32,"²")+COUNTIF($E32:W32,"µ")+COUNTIF($E32:W32,1)-1,INDEX(Roadmap!$D:$K,MATCH($E32,Roadmap!$D:$D,0)-1+COUNTIF($E32:W32,"u")+COUNTIF($E32:W32,"t")+COUNTIF($E32:W32,"¶")+COUNTIF($E32:W32,"²")+COUNTIF($E32:W32,"µ")+COUNTIF($E32:W32,1),ColDescriptionCourte)),""),
  "")),"")</f>
        <v/>
      </c>
      <c r="Y32" s="40" t="str">
        <f ca="1">IFERROR(IF(AND(
  INDEX(Roadmap!$D:$K,MATCH($E32,Roadmap!$D:$D,0)+COUNTIF($E32:X32,"u")+COUNTIF($E32:X32,"t")+COUNTIF($E32:X32,"¶")+COUNTIF($E32:X32,"²")+COUNTIF($E32:X32,"µ")+COUNTIF($E32:X32,1),ColLivraison)=Y$6,
  VLOOKUP($E32,INDIRECT("tri!"&amp; CHAR(64+ C0Col) &amp;":"&amp; CHAR(65+C0Col)),2,FALSE)&gt;COUNTIF($E32:X32,"u")+COUNTIF($E32:X32,"t")+COUNTIF($E32:X32,"¶")+COUNTIF($E32:X32,"²")+COUNTIF($E32:X32,"µ")+COUNTIF($E32:X32,1)),
HYPERLINK("#Roadmap!C"&amp; MATCH($E32,Roadmap!$D:$D,0)+COUNTIF($E32:X32,"u")+COUNTIF($E32:X32,"t"),
     INDEX(Roadmap!$D:$K,MATCH($E32,Roadmap!$D:$D,0)+COUNTIF($E32:X32,"u")+COUNTIF($E32:X32,"t")+COUNTIF($E32:X32,"¶")+COUNTIF($E32:X32,"²")+COUNTIF($E32:X32,"µ")+COUNTIF($E32:X32,1),ColTypeEcheance)),
  IF(LEN(X32)=1,
  IF(LEN(INDEX(Roadmap!$D:$K,MATCH($E32,Roadmap!$D:$D,0)-1+COUNTIF($E32:X32,"u")+COUNTIF($E32:X32,"t")+COUNTIF($E32:X32,"¶")+COUNTIF($E32:X32,"²")+COUNTIF($E32:X32,"µ")+COUNTIF($E32:X32,1),ColDescriptionCourte))&gt;1,
HYPERLINK("#Roadmap!C"&amp; MATCH($E32,Roadmap!$D:$D,0)+COUNTIF($E32:X32,"u")+COUNTIF($E32:X32,"t")+COUNTIF($E32:X32,"¶")+COUNTIF($E32:X32,"²")+COUNTIF($E32:X32,"µ")+COUNTIF($E32:X32,1)-1,INDEX(Roadmap!$D:$K,MATCH($E32,Roadmap!$D:$D,0)-1+COUNTIF($E32:X32,"u")+COUNTIF($E32:X32,"t")+COUNTIF($E32:X32,"¶")+COUNTIF($E32:X32,"²")+COUNTIF($E32:X32,"µ")+COUNTIF($E32:X32,1),ColDescriptionCourte)),""),
  "")),"")</f>
        <v/>
      </c>
      <c r="Z32" s="40" t="str">
        <f ca="1">IFERROR(IF(AND(
  INDEX(Roadmap!$D:$K,MATCH($E32,Roadmap!$D:$D,0)+COUNTIF($E32:Y32,"u")+COUNTIF($E32:Y32,"t")+COUNTIF($E32:Y32,"¶")+COUNTIF($E32:Y32,"²")+COUNTIF($E32:Y32,"µ")+COUNTIF($E32:Y32,1),ColLivraison)=Z$6,
  VLOOKUP($E32,INDIRECT("tri!"&amp; CHAR(64+ C0Col) &amp;":"&amp; CHAR(65+C0Col)),2,FALSE)&gt;COUNTIF($E32:Y32,"u")+COUNTIF($E32:Y32,"t")+COUNTIF($E32:Y32,"¶")+COUNTIF($E32:Y32,"²")+COUNTIF($E32:Y32,"µ")+COUNTIF($E32:Y32,1)),
HYPERLINK("#Roadmap!C"&amp; MATCH($E32,Roadmap!$D:$D,0)+COUNTIF($E32:Y32,"u")+COUNTIF($E32:Y32,"t"),
     INDEX(Roadmap!$D:$K,MATCH($E32,Roadmap!$D:$D,0)+COUNTIF($E32:Y32,"u")+COUNTIF($E32:Y32,"t")+COUNTIF($E32:Y32,"¶")+COUNTIF($E32:Y32,"²")+COUNTIF($E32:Y32,"µ")+COUNTIF($E32:Y32,1),ColTypeEcheance)),
  IF(LEN(Y32)=1,
  IF(LEN(INDEX(Roadmap!$D:$K,MATCH($E32,Roadmap!$D:$D,0)-1+COUNTIF($E32:Y32,"u")+COUNTIF($E32:Y32,"t")+COUNTIF($E32:Y32,"¶")+COUNTIF($E32:Y32,"²")+COUNTIF($E32:Y32,"µ")+COUNTIF($E32:Y32,1),ColDescriptionCourte))&gt;1,
HYPERLINK("#Roadmap!C"&amp; MATCH($E32,Roadmap!$D:$D,0)+COUNTIF($E32:Y32,"u")+COUNTIF($E32:Y32,"t")+COUNTIF($E32:Y32,"¶")+COUNTIF($E32:Y32,"²")+COUNTIF($E32:Y32,"µ")+COUNTIF($E32:Y32,1)-1,INDEX(Roadmap!$D:$K,MATCH($E32,Roadmap!$D:$D,0)-1+COUNTIF($E32:Y32,"u")+COUNTIF($E32:Y32,"t")+COUNTIF($E32:Y32,"¶")+COUNTIF($E32:Y32,"²")+COUNTIF($E32:Y32,"µ")+COUNTIF($E32:Y32,1),ColDescriptionCourte)),""),
  "")),"")</f>
        <v/>
      </c>
      <c r="AA32" s="40" t="str">
        <f ca="1">IFERROR(IF(AND(
  INDEX(Roadmap!$D:$K,MATCH($E32,Roadmap!$D:$D,0)+COUNTIF($E32:Z32,"u")+COUNTIF($E32:Z32,"t")+COUNTIF($E32:Z32,"¶")+COUNTIF($E32:Z32,"²")+COUNTIF($E32:Z32,"µ")+COUNTIF($E32:Z32,1),ColLivraison)=AA$6,
  VLOOKUP($E32,INDIRECT("tri!"&amp; CHAR(64+ C0Col) &amp;":"&amp; CHAR(65+C0Col)),2,FALSE)&gt;COUNTIF($E32:Z32,"u")+COUNTIF($E32:Z32,"t")+COUNTIF($E32:Z32,"¶")+COUNTIF($E32:Z32,"²")+COUNTIF($E32:Z32,"µ")+COUNTIF($E32:Z32,1)),
HYPERLINK("#Roadmap!C"&amp; MATCH($E32,Roadmap!$D:$D,0)+COUNTIF($E32:Z32,"u")+COUNTIF($E32:Z32,"t"),
     INDEX(Roadmap!$D:$K,MATCH($E32,Roadmap!$D:$D,0)+COUNTIF($E32:Z32,"u")+COUNTIF($E32:Z32,"t")+COUNTIF($E32:Z32,"¶")+COUNTIF($E32:Z32,"²")+COUNTIF($E32:Z32,"µ")+COUNTIF($E32:Z32,1),ColTypeEcheance)),
  IF(LEN(Z32)=1,
  IF(LEN(INDEX(Roadmap!$D:$K,MATCH($E32,Roadmap!$D:$D,0)-1+COUNTIF($E32:Z32,"u")+COUNTIF($E32:Z32,"t")+COUNTIF($E32:Z32,"¶")+COUNTIF($E32:Z32,"²")+COUNTIF($E32:Z32,"µ")+COUNTIF($E32:Z32,1),ColDescriptionCourte))&gt;1,
HYPERLINK("#Roadmap!C"&amp; MATCH($E32,Roadmap!$D:$D,0)+COUNTIF($E32:Z32,"u")+COUNTIF($E32:Z32,"t")+COUNTIF($E32:Z32,"¶")+COUNTIF($E32:Z32,"²")+COUNTIF($E32:Z32,"µ")+COUNTIF($E32:Z32,1)-1,INDEX(Roadmap!$D:$K,MATCH($E32,Roadmap!$D:$D,0)-1+COUNTIF($E32:Z32,"u")+COUNTIF($E32:Z32,"t")+COUNTIF($E32:Z32,"¶")+COUNTIF($E32:Z32,"²")+COUNTIF($E32:Z32,"µ")+COUNTIF($E32:Z32,1),ColDescriptionCourte)),""),
  "")),"")</f>
        <v/>
      </c>
      <c r="AB32" s="40" t="str">
        <f ca="1">IFERROR(IF(AND(
  INDEX(Roadmap!$D:$K,MATCH($E32,Roadmap!$D:$D,0)+COUNTIF($E32:AA32,"u")+COUNTIF($E32:AA32,"t")+COUNTIF($E32:AA32,"¶")+COUNTIF($E32:AA32,"²")+COUNTIF($E32:AA32,"µ")+COUNTIF($E32:AA32,1),ColLivraison)=AB$6,
  VLOOKUP($E32,INDIRECT("tri!"&amp; CHAR(64+ C0Col) &amp;":"&amp; CHAR(65+C0Col)),2,FALSE)&gt;COUNTIF($E32:AA32,"u")+COUNTIF($E32:AA32,"t")+COUNTIF($E32:AA32,"¶")+COUNTIF($E32:AA32,"²")+COUNTIF($E32:AA32,"µ")+COUNTIF($E32:AA32,1)),
HYPERLINK("#Roadmap!C"&amp; MATCH($E32,Roadmap!$D:$D,0)+COUNTIF($E32:AA32,"u")+COUNTIF($E32:AA32,"t"),
     INDEX(Roadmap!$D:$K,MATCH($E32,Roadmap!$D:$D,0)+COUNTIF($E32:AA32,"u")+COUNTIF($E32:AA32,"t")+COUNTIF($E32:AA32,"¶")+COUNTIF($E32:AA32,"²")+COUNTIF($E32:AA32,"µ")+COUNTIF($E32:AA32,1),ColTypeEcheance)),
  IF(LEN(AA32)=1,
  IF(LEN(INDEX(Roadmap!$D:$K,MATCH($E32,Roadmap!$D:$D,0)-1+COUNTIF($E32:AA32,"u")+COUNTIF($E32:AA32,"t")+COUNTIF($E32:AA32,"¶")+COUNTIF($E32:AA32,"²")+COUNTIF($E32:AA32,"µ")+COUNTIF($E32:AA32,1),ColDescriptionCourte))&gt;1,
HYPERLINK("#Roadmap!C"&amp; MATCH($E32,Roadmap!$D:$D,0)+COUNTIF($E32:AA32,"u")+COUNTIF($E32:AA32,"t")+COUNTIF($E32:AA32,"¶")+COUNTIF($E32:AA32,"²")+COUNTIF($E32:AA32,"µ")+COUNTIF($E32:AA32,1)-1,INDEX(Roadmap!$D:$K,MATCH($E32,Roadmap!$D:$D,0)-1+COUNTIF($E32:AA32,"u")+COUNTIF($E32:AA32,"t")+COUNTIF($E32:AA32,"¶")+COUNTIF($E32:AA32,"²")+COUNTIF($E32:AA32,"µ")+COUNTIF($E32:AA32,1),ColDescriptionCourte)),""),
  "")),"")</f>
        <v/>
      </c>
      <c r="AC32" s="40" t="str">
        <f ca="1">IFERROR(IF(AND(
  INDEX(Roadmap!$D:$K,MATCH($E32,Roadmap!$D:$D,0)+COUNTIF($E32:AB32,"u")+COUNTIF($E32:AB32,"t")+COUNTIF($E32:AB32,"¶")+COUNTIF($E32:AB32,"²")+COUNTIF($E32:AB32,"µ")+COUNTIF($E32:AB32,1),ColLivraison)=AC$6,
  VLOOKUP($E32,INDIRECT("tri!"&amp; CHAR(64+ C0Col) &amp;":"&amp; CHAR(65+C0Col)),2,FALSE)&gt;COUNTIF($E32:AB32,"u")+COUNTIF($E32:AB32,"t")+COUNTIF($E32:AB32,"¶")+COUNTIF($E32:AB32,"²")+COUNTIF($E32:AB32,"µ")+COUNTIF($E32:AB32,1)),
HYPERLINK("#Roadmap!C"&amp; MATCH($E32,Roadmap!$D:$D,0)+COUNTIF($E32:AB32,"u")+COUNTIF($E32:AB32,"t"),
     INDEX(Roadmap!$D:$K,MATCH($E32,Roadmap!$D:$D,0)+COUNTIF($E32:AB32,"u")+COUNTIF($E32:AB32,"t")+COUNTIF($E32:AB32,"¶")+COUNTIF($E32:AB32,"²")+COUNTIF($E32:AB32,"µ")+COUNTIF($E32:AB32,1),ColTypeEcheance)),
  IF(LEN(AB32)=1,
  IF(LEN(INDEX(Roadmap!$D:$K,MATCH($E32,Roadmap!$D:$D,0)-1+COUNTIF($E32:AB32,"u")+COUNTIF($E32:AB32,"t")+COUNTIF($E32:AB32,"¶")+COUNTIF($E32:AB32,"²")+COUNTIF($E32:AB32,"µ")+COUNTIF($E32:AB32,1),ColDescriptionCourte))&gt;1,
HYPERLINK("#Roadmap!C"&amp; MATCH($E32,Roadmap!$D:$D,0)+COUNTIF($E32:AB32,"u")+COUNTIF($E32:AB32,"t")+COUNTIF($E32:AB32,"¶")+COUNTIF($E32:AB32,"²")+COUNTIF($E32:AB32,"µ")+COUNTIF($E32:AB32,1)-1,INDEX(Roadmap!$D:$K,MATCH($E32,Roadmap!$D:$D,0)-1+COUNTIF($E32:AB32,"u")+COUNTIF($E32:AB32,"t")+COUNTIF($E32:AB32,"¶")+COUNTIF($E32:AB32,"²")+COUNTIF($E32:AB32,"µ")+COUNTIF($E32:AB32,1),ColDescriptionCourte)),""),
  "")),"")</f>
        <v/>
      </c>
      <c r="AD32" s="40" t="str">
        <f ca="1">IFERROR(IF(AND(
  INDEX(Roadmap!$D:$K,MATCH($E32,Roadmap!$D:$D,0)+COUNTIF($E32:AC32,"u")+COUNTIF($E32:AC32,"t")+COUNTIF($E32:AC32,"¶")+COUNTIF($E32:AC32,"²")+COUNTIF($E32:AC32,"µ")+COUNTIF($E32:AC32,1),ColLivraison)=AD$6,
  VLOOKUP($E32,INDIRECT("tri!"&amp; CHAR(64+ C0Col) &amp;":"&amp; CHAR(65+C0Col)),2,FALSE)&gt;COUNTIF($E32:AC32,"u")+COUNTIF($E32:AC32,"t")+COUNTIF($E32:AC32,"¶")+COUNTIF($E32:AC32,"²")+COUNTIF($E32:AC32,"µ")+COUNTIF($E32:AC32,1)),
HYPERLINK("#Roadmap!C"&amp; MATCH($E32,Roadmap!$D:$D,0)+COUNTIF($E32:AC32,"u")+COUNTIF($E32:AC32,"t"),
     INDEX(Roadmap!$D:$K,MATCH($E32,Roadmap!$D:$D,0)+COUNTIF($E32:AC32,"u")+COUNTIF($E32:AC32,"t")+COUNTIF($E32:AC32,"¶")+COUNTIF($E32:AC32,"²")+COUNTIF($E32:AC32,"µ")+COUNTIF($E32:AC32,1),ColTypeEcheance)),
  IF(LEN(AC32)=1,
  IF(LEN(INDEX(Roadmap!$D:$K,MATCH($E32,Roadmap!$D:$D,0)-1+COUNTIF($E32:AC32,"u")+COUNTIF($E32:AC32,"t")+COUNTIF($E32:AC32,"¶")+COUNTIF($E32:AC32,"²")+COUNTIF($E32:AC32,"µ")+COUNTIF($E32:AC32,1),ColDescriptionCourte))&gt;1,
HYPERLINK("#Roadmap!C"&amp; MATCH($E32,Roadmap!$D:$D,0)+COUNTIF($E32:AC32,"u")+COUNTIF($E32:AC32,"t")+COUNTIF($E32:AC32,"¶")+COUNTIF($E32:AC32,"²")+COUNTIF($E32:AC32,"µ")+COUNTIF($E32:AC32,1)-1,INDEX(Roadmap!$D:$K,MATCH($E32,Roadmap!$D:$D,0)-1+COUNTIF($E32:AC32,"u")+COUNTIF($E32:AC32,"t")+COUNTIF($E32:AC32,"¶")+COUNTIF($E32:AC32,"²")+COUNTIF($E32:AC32,"µ")+COUNTIF($E32:AC32,1),ColDescriptionCourte)),""),
  "")),"")</f>
        <v/>
      </c>
      <c r="AE32" s="40" t="str">
        <f ca="1">IFERROR(IF(AND(
  INDEX(Roadmap!$D:$K,MATCH($E32,Roadmap!$D:$D,0)+COUNTIF($E32:AD32,"u")+COUNTIF($E32:AD32,"t")+COUNTIF($E32:AD32,"¶")+COUNTIF($E32:AD32,"²")+COUNTIF($E32:AD32,"µ")+COUNTIF($E32:AD32,1),ColLivraison)=AE$6,
  VLOOKUP($E32,INDIRECT("tri!"&amp; CHAR(64+ C0Col) &amp;":"&amp; CHAR(65+C0Col)),2,FALSE)&gt;COUNTIF($E32:AD32,"u")+COUNTIF($E32:AD32,"t")+COUNTIF($E32:AD32,"¶")+COUNTIF($E32:AD32,"²")+COUNTIF($E32:AD32,"µ")+COUNTIF($E32:AD32,1)),
HYPERLINK("#Roadmap!C"&amp; MATCH($E32,Roadmap!$D:$D,0)+COUNTIF($E32:AD32,"u")+COUNTIF($E32:AD32,"t"),
     INDEX(Roadmap!$D:$K,MATCH($E32,Roadmap!$D:$D,0)+COUNTIF($E32:AD32,"u")+COUNTIF($E32:AD32,"t")+COUNTIF($E32:AD32,"¶")+COUNTIF($E32:AD32,"²")+COUNTIF($E32:AD32,"µ")+COUNTIF($E32:AD32,1),ColTypeEcheance)),
  IF(LEN(AD32)=1,
  IF(LEN(INDEX(Roadmap!$D:$K,MATCH($E32,Roadmap!$D:$D,0)-1+COUNTIF($E32:AD32,"u")+COUNTIF($E32:AD32,"t")+COUNTIF($E32:AD32,"¶")+COUNTIF($E32:AD32,"²")+COUNTIF($E32:AD32,"µ")+COUNTIF($E32:AD32,1),ColDescriptionCourte))&gt;1,
HYPERLINK("#Roadmap!C"&amp; MATCH($E32,Roadmap!$D:$D,0)+COUNTIF($E32:AD32,"u")+COUNTIF($E32:AD32,"t")+COUNTIF($E32:AD32,"¶")+COUNTIF($E32:AD32,"²")+COUNTIF($E32:AD32,"µ")+COUNTIF($E32:AD32,1)-1,INDEX(Roadmap!$D:$K,MATCH($E32,Roadmap!$D:$D,0)-1+COUNTIF($E32:AD32,"u")+COUNTIF($E32:AD32,"t")+COUNTIF($E32:AD32,"¶")+COUNTIF($E32:AD32,"²")+COUNTIF($E32:AD32,"µ")+COUNTIF($E32:AD32,1),ColDescriptionCourte)),""),
  "")),"")</f>
        <v/>
      </c>
      <c r="AF32" s="40" t="str">
        <f ca="1">IFERROR(IF(AND(
  INDEX(Roadmap!$D:$K,MATCH($E32,Roadmap!$D:$D,0)+COUNTIF($E32:AE32,"u")+COUNTIF($E32:AE32,"t")+COUNTIF($E32:AE32,"¶")+COUNTIF($E32:AE32,"²")+COUNTIF($E32:AE32,"µ")+COUNTIF($E32:AE32,1),ColLivraison)=AF$6,
  VLOOKUP($E32,INDIRECT("tri!"&amp; CHAR(64+ C0Col) &amp;":"&amp; CHAR(65+C0Col)),2,FALSE)&gt;COUNTIF($E32:AE32,"u")+COUNTIF($E32:AE32,"t")+COUNTIF($E32:AE32,"¶")+COUNTIF($E32:AE32,"²")+COUNTIF($E32:AE32,"µ")+COUNTIF($E32:AE32,1)),
HYPERLINK("#Roadmap!C"&amp; MATCH($E32,Roadmap!$D:$D,0)+COUNTIF($E32:AE32,"u")+COUNTIF($E32:AE32,"t"),
     INDEX(Roadmap!$D:$K,MATCH($E32,Roadmap!$D:$D,0)+COUNTIF($E32:AE32,"u")+COUNTIF($E32:AE32,"t")+COUNTIF($E32:AE32,"¶")+COUNTIF($E32:AE32,"²")+COUNTIF($E32:AE32,"µ")+COUNTIF($E32:AE32,1),ColTypeEcheance)),
  IF(LEN(AE32)=1,
  IF(LEN(INDEX(Roadmap!$D:$K,MATCH($E32,Roadmap!$D:$D,0)-1+COUNTIF($E32:AE32,"u")+COUNTIF($E32:AE32,"t")+COUNTIF($E32:AE32,"¶")+COUNTIF($E32:AE32,"²")+COUNTIF($E32:AE32,"µ")+COUNTIF($E32:AE32,1),ColDescriptionCourte))&gt;1,
HYPERLINK("#Roadmap!C"&amp; MATCH($E32,Roadmap!$D:$D,0)+COUNTIF($E32:AE32,"u")+COUNTIF($E32:AE32,"t")+COUNTIF($E32:AE32,"¶")+COUNTIF($E32:AE32,"²")+COUNTIF($E32:AE32,"µ")+COUNTIF($E32:AE32,1)-1,INDEX(Roadmap!$D:$K,MATCH($E32,Roadmap!$D:$D,0)-1+COUNTIF($E32:AE32,"u")+COUNTIF($E32:AE32,"t")+COUNTIF($E32:AE32,"¶")+COUNTIF($E32:AE32,"²")+COUNTIF($E32:AE32,"µ")+COUNTIF($E32:AE32,1),ColDescriptionCourte)),""),
  "")),"")</f>
        <v/>
      </c>
      <c r="AG32" s="40" t="str">
        <f ca="1">IFERROR(IF(AND(
  INDEX(Roadmap!$D:$K,MATCH($E32,Roadmap!$D:$D,0)+COUNTIF($E32:AF32,"u")+COUNTIF($E32:AF32,"t")+COUNTIF($E32:AF32,"¶")+COUNTIF($E32:AF32,"²")+COUNTIF($E32:AF32,"µ")+COUNTIF($E32:AF32,1),ColLivraison)=AG$6,
  VLOOKUP($E32,INDIRECT("tri!"&amp; CHAR(64+ C0Col) &amp;":"&amp; CHAR(65+C0Col)),2,FALSE)&gt;COUNTIF($E32:AF32,"u")+COUNTIF($E32:AF32,"t")+COUNTIF($E32:AF32,"¶")+COUNTIF($E32:AF32,"²")+COUNTIF($E32:AF32,"µ")+COUNTIF($E32:AF32,1)),
HYPERLINK("#Roadmap!C"&amp; MATCH($E32,Roadmap!$D:$D,0)+COUNTIF($E32:AF32,"u")+COUNTIF($E32:AF32,"t"),
     INDEX(Roadmap!$D:$K,MATCH($E32,Roadmap!$D:$D,0)+COUNTIF($E32:AF32,"u")+COUNTIF($E32:AF32,"t")+COUNTIF($E32:AF32,"¶")+COUNTIF($E32:AF32,"²")+COUNTIF($E32:AF32,"µ")+COUNTIF($E32:AF32,1),ColTypeEcheance)),
  IF(LEN(AF32)=1,
  IF(LEN(INDEX(Roadmap!$D:$K,MATCH($E32,Roadmap!$D:$D,0)-1+COUNTIF($E32:AF32,"u")+COUNTIF($E32:AF32,"t")+COUNTIF($E32:AF32,"¶")+COUNTIF($E32:AF32,"²")+COUNTIF($E32:AF32,"µ")+COUNTIF($E32:AF32,1),ColDescriptionCourte))&gt;1,
HYPERLINK("#Roadmap!C"&amp; MATCH($E32,Roadmap!$D:$D,0)+COUNTIF($E32:AF32,"u")+COUNTIF($E32:AF32,"t")+COUNTIF($E32:AF32,"¶")+COUNTIF($E32:AF32,"²")+COUNTIF($E32:AF32,"µ")+COUNTIF($E32:AF32,1)-1,INDEX(Roadmap!$D:$K,MATCH($E32,Roadmap!$D:$D,0)-1+COUNTIF($E32:AF32,"u")+COUNTIF($E32:AF32,"t")+COUNTIF($E32:AF32,"¶")+COUNTIF($E32:AF32,"²")+COUNTIF($E32:AF32,"µ")+COUNTIF($E32:AF32,1),ColDescriptionCourte)),""),
  "")),"")</f>
        <v/>
      </c>
    </row>
    <row r="33" spans="3:33" ht="14.25" customHeight="1">
      <c r="C33" s="1" t="str">
        <f t="shared" ca="1" si="42"/>
        <v/>
      </c>
      <c r="D33" s="1" t="str">
        <f t="shared" ca="1" si="43"/>
        <v/>
      </c>
      <c r="E33" s="35" t="str">
        <f t="shared" ca="1" si="33"/>
        <v/>
      </c>
      <c r="F33" s="39" t="str">
        <f ca="1">IFERROR(IF(AND(
  INDEX(Roadmap!$D:$K,MATCH($E33,Roadmap!$D:$D,0)+COUNTIF($E33:E33,"u")+COUNTIF($E33:E33,"t")+COUNTIF($E33:E33,"¶")+COUNTIF($E33:E33,"²")+COUNTIF($E33:E33,"µ")+COUNTIF($E33:E33,1),ColLivraison)=F$6,
  VLOOKUP($E33,INDIRECT("tri!"&amp; CHAR(64+ C0Col) &amp;":"&amp; CHAR(65+C0Col)),2,FALSE)&gt;COUNTIF($E33:E33,"u")+COUNTIF($E33:E33,"t")+COUNTIF($E33:E33,"¶")+COUNTIF($E33:E33,"²")+COUNTIF($E33:E33,"µ")+COUNTIF($E33:E33,1)),
HYPERLINK("#Roadmap!C"&amp; MATCH($E33,Roadmap!$D:$D,0)+COUNTIF($E33:E33,"u")+COUNTIF($E33:E33,"t"),
     INDEX(Roadmap!$D:$K,MATCH($E33,Roadmap!$D:$D,0)+COUNTIF($E33:E33,"u")+COUNTIF($E33:E33,"t")+COUNTIF($E33:E33,"¶")+COUNTIF($E33:E33,"²")+COUNTIF($E33:E33,"µ")+COUNTIF($E33:E33,1),ColTypeEcheance)),
  IF(LEN(E33)=1,
  IF(LEN(INDEX(Roadmap!$D:$K,MATCH($E33,Roadmap!$D:$D,0)-1+COUNTIF($E33:E33,"u")+COUNTIF($E33:E33,"t")+COUNTIF($E33:E33,"¶")+COUNTIF($E33:E33,"²")+COUNTIF($E33:E33,"µ")+COUNTIF($E33:E33,1),ColDescriptionCourte))&gt;1,
HYPERLINK("#Roadmap!C"&amp; MATCH($E33,Roadmap!$D:$D,0)+COUNTIF($E33:E33,"u")+COUNTIF($E33:E33,"t")+COUNTIF($E33:E33,"¶")+COUNTIF($E33:E33,"²")+COUNTIF($E33:E33,"µ")+COUNTIF($E33:E33,1)-1,INDEX(Roadmap!$D:$K,MATCH($E33,Roadmap!$D:$D,0)-1+COUNTIF($E33:E33,"u")+COUNTIF($E33:E33,"t")+COUNTIF($E33:E33,"¶")+COUNTIF($E33:E33,"²")+COUNTIF($E33:E33,"µ")+COUNTIF($E33:E33,1),ColDescriptionCourte)),""),
  "")),"")</f>
        <v/>
      </c>
      <c r="G33" s="40" t="str">
        <f ca="1">IFERROR(IF(AND(
  INDEX(Roadmap!$D:$K,MATCH($E33,Roadmap!$D:$D,0)+COUNTIF($E33:F33,"u")+COUNTIF($E33:F33,"t")+COUNTIF($E33:F33,"¶")+COUNTIF($E33:F33,"²")+COUNTIF($E33:F33,"µ")+COUNTIF($E33:F33,1),ColLivraison)=G$6,
  VLOOKUP($E33,INDIRECT("tri!"&amp; CHAR(64+ C0Col) &amp;":"&amp; CHAR(65+C0Col)),2,FALSE)&gt;COUNTIF($E33:F33,"u")+COUNTIF($E33:F33,"t")+COUNTIF($E33:F33,"¶")+COUNTIF($E33:F33,"²")+COUNTIF($E33:F33,"µ")+COUNTIF($E33:F33,1)),
HYPERLINK("#Roadmap!C"&amp; MATCH($E33,Roadmap!$D:$D,0)+COUNTIF($E33:F33,"u")+COUNTIF($E33:F33,"t"),
     INDEX(Roadmap!$D:$K,MATCH($E33,Roadmap!$D:$D,0)+COUNTIF($E33:F33,"u")+COUNTIF($E33:F33,"t")+COUNTIF($E33:F33,"¶")+COUNTIF($E33:F33,"²")+COUNTIF($E33:F33,"µ")+COUNTIF($E33:F33,1),ColTypeEcheance)),
  IF(LEN(F33)=1,
  IF(LEN(INDEX(Roadmap!$D:$K,MATCH($E33,Roadmap!$D:$D,0)-1+COUNTIF($E33:F33,"u")+COUNTIF($E33:F33,"t")+COUNTIF($E33:F33,"¶")+COUNTIF($E33:F33,"²")+COUNTIF($E33:F33,"µ")+COUNTIF($E33:F33,1),ColDescriptionCourte))&gt;1,
HYPERLINK("#Roadmap!C"&amp; MATCH($E33,Roadmap!$D:$D,0)+COUNTIF($E33:F33,"u")+COUNTIF($E33:F33,"t")+COUNTIF($E33:F33,"¶")+COUNTIF($E33:F33,"²")+COUNTIF($E33:F33,"µ")+COUNTIF($E33:F33,1)-1,INDEX(Roadmap!$D:$K,MATCH($E33,Roadmap!$D:$D,0)-1+COUNTIF($E33:F33,"u")+COUNTIF($E33:F33,"t")+COUNTIF($E33:F33,"¶")+COUNTIF($E33:F33,"²")+COUNTIF($E33:F33,"µ")+COUNTIF($E33:F33,1),ColDescriptionCourte)),""),
  "")),"")</f>
        <v/>
      </c>
      <c r="H33" s="40" t="str">
        <f ca="1">IFERROR(IF(AND(
  INDEX(Roadmap!$D:$K,MATCH($E33,Roadmap!$D:$D,0)+COUNTIF($E33:G33,"u")+COUNTIF($E33:G33,"t")+COUNTIF($E33:G33,"¶")+COUNTIF($E33:G33,"²")+COUNTIF($E33:G33,"µ")+COUNTIF($E33:G33,1),ColLivraison)=H$6,
  VLOOKUP($E33,INDIRECT("tri!"&amp; CHAR(64+ C0Col) &amp;":"&amp; CHAR(65+C0Col)),2,FALSE)&gt;COUNTIF($E33:G33,"u")+COUNTIF($E33:G33,"t")+COUNTIF($E33:G33,"¶")+COUNTIF($E33:G33,"²")+COUNTIF($E33:G33,"µ")+COUNTIF($E33:G33,1)),
HYPERLINK("#Roadmap!C"&amp; MATCH($E33,Roadmap!$D:$D,0)+COUNTIF($E33:G33,"u")+COUNTIF($E33:G33,"t"),
     INDEX(Roadmap!$D:$K,MATCH($E33,Roadmap!$D:$D,0)+COUNTIF($E33:G33,"u")+COUNTIF($E33:G33,"t")+COUNTIF($E33:G33,"¶")+COUNTIF($E33:G33,"²")+COUNTIF($E33:G33,"µ")+COUNTIF($E33:G33,1),ColTypeEcheance)),
  IF(LEN(G33)=1,
  IF(LEN(INDEX(Roadmap!$D:$K,MATCH($E33,Roadmap!$D:$D,0)-1+COUNTIF($E33:G33,"u")+COUNTIF($E33:G33,"t")+COUNTIF($E33:G33,"¶")+COUNTIF($E33:G33,"²")+COUNTIF($E33:G33,"µ")+COUNTIF($E33:G33,1),ColDescriptionCourte))&gt;1,
HYPERLINK("#Roadmap!C"&amp; MATCH($E33,Roadmap!$D:$D,0)+COUNTIF($E33:G33,"u")+COUNTIF($E33:G33,"t")+COUNTIF($E33:G33,"¶")+COUNTIF($E33:G33,"²")+COUNTIF($E33:G33,"µ")+COUNTIF($E33:G33,1)-1,INDEX(Roadmap!$D:$K,MATCH($E33,Roadmap!$D:$D,0)-1+COUNTIF($E33:G33,"u")+COUNTIF($E33:G33,"t")+COUNTIF($E33:G33,"¶")+COUNTIF($E33:G33,"²")+COUNTIF($E33:G33,"µ")+COUNTIF($E33:G33,1),ColDescriptionCourte)),""),
  "")),"")</f>
        <v/>
      </c>
      <c r="I33" s="40" t="str">
        <f ca="1">IFERROR(IF(AND(
  INDEX(Roadmap!$D:$K,MATCH($E33,Roadmap!$D:$D,0)+COUNTIF($E33:H33,"u")+COUNTIF($E33:H33,"t")+COUNTIF($E33:H33,"¶")+COUNTIF($E33:H33,"²")+COUNTIF($E33:H33,"µ")+COUNTIF($E33:H33,1),ColLivraison)=I$6,
  VLOOKUP($E33,INDIRECT("tri!"&amp; CHAR(64+ C0Col) &amp;":"&amp; CHAR(65+C0Col)),2,FALSE)&gt;COUNTIF($E33:H33,"u")+COUNTIF($E33:H33,"t")+COUNTIF($E33:H33,"¶")+COUNTIF($E33:H33,"²")+COUNTIF($E33:H33,"µ")+COUNTIF($E33:H33,1)),
HYPERLINK("#Roadmap!C"&amp; MATCH($E33,Roadmap!$D:$D,0)+COUNTIF($E33:H33,"u")+COUNTIF($E33:H33,"t"),
     INDEX(Roadmap!$D:$K,MATCH($E33,Roadmap!$D:$D,0)+COUNTIF($E33:H33,"u")+COUNTIF($E33:H33,"t")+COUNTIF($E33:H33,"¶")+COUNTIF($E33:H33,"²")+COUNTIF($E33:H33,"µ")+COUNTIF($E33:H33,1),ColTypeEcheance)),
  IF(LEN(H33)=1,
  IF(LEN(INDEX(Roadmap!$D:$K,MATCH($E33,Roadmap!$D:$D,0)-1+COUNTIF($E33:H33,"u")+COUNTIF($E33:H33,"t")+COUNTIF($E33:H33,"¶")+COUNTIF($E33:H33,"²")+COUNTIF($E33:H33,"µ")+COUNTIF($E33:H33,1),ColDescriptionCourte))&gt;1,
HYPERLINK("#Roadmap!C"&amp; MATCH($E33,Roadmap!$D:$D,0)+COUNTIF($E33:H33,"u")+COUNTIF($E33:H33,"t")+COUNTIF($E33:H33,"¶")+COUNTIF($E33:H33,"²")+COUNTIF($E33:H33,"µ")+COUNTIF($E33:H33,1)-1,INDEX(Roadmap!$D:$K,MATCH($E33,Roadmap!$D:$D,0)-1+COUNTIF($E33:H33,"u")+COUNTIF($E33:H33,"t")+COUNTIF($E33:H33,"¶")+COUNTIF($E33:H33,"²")+COUNTIF($E33:H33,"µ")+COUNTIF($E33:H33,1),ColDescriptionCourte)),""),
  "")),"")</f>
        <v/>
      </c>
      <c r="J33" s="40" t="str">
        <f ca="1">IFERROR(IF(AND(
  INDEX(Roadmap!$D:$K,MATCH($E33,Roadmap!$D:$D,0)+COUNTIF($E33:I33,"u")+COUNTIF($E33:I33,"t")+COUNTIF($E33:I33,"¶")+COUNTIF($E33:I33,"²")+COUNTIF($E33:I33,"µ")+COUNTIF($E33:I33,1),ColLivraison)=J$6,
  VLOOKUP($E33,INDIRECT("tri!"&amp; CHAR(64+ C0Col) &amp;":"&amp; CHAR(65+C0Col)),2,FALSE)&gt;COUNTIF($E33:I33,"u")+COUNTIF($E33:I33,"t")+COUNTIF($E33:I33,"¶")+COUNTIF($E33:I33,"²")+COUNTIF($E33:I33,"µ")+COUNTIF($E33:I33,1)),
HYPERLINK("#Roadmap!C"&amp; MATCH($E33,Roadmap!$D:$D,0)+COUNTIF($E33:I33,"u")+COUNTIF($E33:I33,"t"),
     INDEX(Roadmap!$D:$K,MATCH($E33,Roadmap!$D:$D,0)+COUNTIF($E33:I33,"u")+COUNTIF($E33:I33,"t")+COUNTIF($E33:I33,"¶")+COUNTIF($E33:I33,"²")+COUNTIF($E33:I33,"µ")+COUNTIF($E33:I33,1),ColTypeEcheance)),
  IF(LEN(I33)=1,
  IF(LEN(INDEX(Roadmap!$D:$K,MATCH($E33,Roadmap!$D:$D,0)-1+COUNTIF($E33:I33,"u")+COUNTIF($E33:I33,"t")+COUNTIF($E33:I33,"¶")+COUNTIF($E33:I33,"²")+COUNTIF($E33:I33,"µ")+COUNTIF($E33:I33,1),ColDescriptionCourte))&gt;1,
HYPERLINK("#Roadmap!C"&amp; MATCH($E33,Roadmap!$D:$D,0)+COUNTIF($E33:I33,"u")+COUNTIF($E33:I33,"t")+COUNTIF($E33:I33,"¶")+COUNTIF($E33:I33,"²")+COUNTIF($E33:I33,"µ")+COUNTIF($E33:I33,1)-1,INDEX(Roadmap!$D:$K,MATCH($E33,Roadmap!$D:$D,0)-1+COUNTIF($E33:I33,"u")+COUNTIF($E33:I33,"t")+COUNTIF($E33:I33,"¶")+COUNTIF($E33:I33,"²")+COUNTIF($E33:I33,"µ")+COUNTIF($E33:I33,1),ColDescriptionCourte)),""),
  "")),"")</f>
        <v/>
      </c>
      <c r="K33" s="40" t="str">
        <f ca="1">IFERROR(IF(AND(
  INDEX(Roadmap!$D:$K,MATCH($E33,Roadmap!$D:$D,0)+COUNTIF($E33:J33,"u")+COUNTIF($E33:J33,"t")+COUNTIF($E33:J33,"¶")+COUNTIF($E33:J33,"²")+COUNTIF($E33:J33,"µ")+COUNTIF($E33:J33,1),ColLivraison)=K$6,
  VLOOKUP($E33,INDIRECT("tri!"&amp; CHAR(64+ C0Col) &amp;":"&amp; CHAR(65+C0Col)),2,FALSE)&gt;COUNTIF($E33:J33,"u")+COUNTIF($E33:J33,"t")+COUNTIF($E33:J33,"¶")+COUNTIF($E33:J33,"²")+COUNTIF($E33:J33,"µ")+COUNTIF($E33:J33,1)),
HYPERLINK("#Roadmap!C"&amp; MATCH($E33,Roadmap!$D:$D,0)+COUNTIF($E33:J33,"u")+COUNTIF($E33:J33,"t"),
     INDEX(Roadmap!$D:$K,MATCH($E33,Roadmap!$D:$D,0)+COUNTIF($E33:J33,"u")+COUNTIF($E33:J33,"t")+COUNTIF($E33:J33,"¶")+COUNTIF($E33:J33,"²")+COUNTIF($E33:J33,"µ")+COUNTIF($E33:J33,1),ColTypeEcheance)),
  IF(LEN(J33)=1,
  IF(LEN(INDEX(Roadmap!$D:$K,MATCH($E33,Roadmap!$D:$D,0)-1+COUNTIF($E33:J33,"u")+COUNTIF($E33:J33,"t")+COUNTIF($E33:J33,"¶")+COUNTIF($E33:J33,"²")+COUNTIF($E33:J33,"µ")+COUNTIF($E33:J33,1),ColDescriptionCourte))&gt;1,
HYPERLINK("#Roadmap!C"&amp; MATCH($E33,Roadmap!$D:$D,0)+COUNTIF($E33:J33,"u")+COUNTIF($E33:J33,"t")+COUNTIF($E33:J33,"¶")+COUNTIF($E33:J33,"²")+COUNTIF($E33:J33,"µ")+COUNTIF($E33:J33,1)-1,INDEX(Roadmap!$D:$K,MATCH($E33,Roadmap!$D:$D,0)-1+COUNTIF($E33:J33,"u")+COUNTIF($E33:J33,"t")+COUNTIF($E33:J33,"¶")+COUNTIF($E33:J33,"²")+COUNTIF($E33:J33,"µ")+COUNTIF($E33:J33,1),ColDescriptionCourte)),""),
  "")),"")</f>
        <v/>
      </c>
      <c r="L33" s="39" t="str">
        <f ca="1">IFERROR(IF(AND(
  INDEX(Roadmap!$D:$K,MATCH($E33,Roadmap!$D:$D,0)+COUNTIF($E33:K33,"u")+COUNTIF($E33:K33,"t")+COUNTIF($E33:K33,"¶")+COUNTIF($E33:K33,"²")+COUNTIF($E33:K33,"µ")+COUNTIF($E33:K33,1),ColLivraison)=L$6,
  VLOOKUP($E33,INDIRECT("tri!"&amp; CHAR(64+ C0Col) &amp;":"&amp; CHAR(65+C0Col)),2,FALSE)&gt;COUNTIF($E33:K33,"u")+COUNTIF($E33:K33,"t")+COUNTIF($E33:K33,"¶")+COUNTIF($E33:K33,"²")+COUNTIF($E33:K33,"µ")+COUNTIF($E33:K33,1)),
HYPERLINK("#Roadmap!C"&amp; MATCH($E33,Roadmap!$D:$D,0)+COUNTIF($E33:K33,"u")+COUNTIF($E33:K33,"t"),
     INDEX(Roadmap!$D:$K,MATCH($E33,Roadmap!$D:$D,0)+COUNTIF($E33:K33,"u")+COUNTIF($E33:K33,"t")+COUNTIF($E33:K33,"¶")+COUNTIF($E33:K33,"²")+COUNTIF($E33:K33,"µ")+COUNTIF($E33:K33,1),ColTypeEcheance)),
  IF(LEN(K33)=1,
  IF(LEN(INDEX(Roadmap!$D:$K,MATCH($E33,Roadmap!$D:$D,0)-1+COUNTIF($E33:K33,"u")+COUNTIF($E33:K33,"t")+COUNTIF($E33:K33,"¶")+COUNTIF($E33:K33,"²")+COUNTIF($E33:K33,"µ")+COUNTIF($E33:K33,1),ColDescriptionCourte))&gt;1,
HYPERLINK("#Roadmap!C"&amp; MATCH($E33,Roadmap!$D:$D,0)+COUNTIF($E33:K33,"u")+COUNTIF($E33:K33,"t")+COUNTIF($E33:K33,"¶")+COUNTIF($E33:K33,"²")+COUNTIF($E33:K33,"µ")+COUNTIF($E33:K33,1)-1,INDEX(Roadmap!$D:$K,MATCH($E33,Roadmap!$D:$D,0)-1+COUNTIF($E33:K33,"u")+COUNTIF($E33:K33,"t")+COUNTIF($E33:K33,"¶")+COUNTIF($E33:K33,"²")+COUNTIF($E33:K33,"µ")+COUNTIF($E33:K33,1),ColDescriptionCourte)),""),
  "")),"")</f>
        <v/>
      </c>
      <c r="M33" s="40" t="str">
        <f ca="1">IFERROR(IF(AND(
  INDEX(Roadmap!$D:$K,MATCH($E33,Roadmap!$D:$D,0)+COUNTIF($E33:L33,"u")+COUNTIF($E33:L33,"t")+COUNTIF($E33:L33,"¶")+COUNTIF($E33:L33,"²")+COUNTIF($E33:L33,"µ")+COUNTIF($E33:L33,1),ColLivraison)=M$6,
  VLOOKUP($E33,INDIRECT("tri!"&amp; CHAR(64+ C0Col) &amp;":"&amp; CHAR(65+C0Col)),2,FALSE)&gt;COUNTIF($E33:L33,"u")+COUNTIF($E33:L33,"t")+COUNTIF($E33:L33,"¶")+COUNTIF($E33:L33,"²")+COUNTIF($E33:L33,"µ")+COUNTIF($E33:L33,1)),
HYPERLINK("#Roadmap!C"&amp; MATCH($E33,Roadmap!$D:$D,0)+COUNTIF($E33:L33,"u")+COUNTIF($E33:L33,"t"),
     INDEX(Roadmap!$D:$K,MATCH($E33,Roadmap!$D:$D,0)+COUNTIF($E33:L33,"u")+COUNTIF($E33:L33,"t")+COUNTIF($E33:L33,"¶")+COUNTIF($E33:L33,"²")+COUNTIF($E33:L33,"µ")+COUNTIF($E33:L33,1),ColTypeEcheance)),
  IF(LEN(L33)=1,
  IF(LEN(INDEX(Roadmap!$D:$K,MATCH($E33,Roadmap!$D:$D,0)-1+COUNTIF($E33:L33,"u")+COUNTIF($E33:L33,"t")+COUNTIF($E33:L33,"¶")+COUNTIF($E33:L33,"²")+COUNTIF($E33:L33,"µ")+COUNTIF($E33:L33,1),ColDescriptionCourte))&gt;1,
HYPERLINK("#Roadmap!C"&amp; MATCH($E33,Roadmap!$D:$D,0)+COUNTIF($E33:L33,"u")+COUNTIF($E33:L33,"t")+COUNTIF($E33:L33,"¶")+COUNTIF($E33:L33,"²")+COUNTIF($E33:L33,"µ")+COUNTIF($E33:L33,1)-1,INDEX(Roadmap!$D:$K,MATCH($E33,Roadmap!$D:$D,0)-1+COUNTIF($E33:L33,"u")+COUNTIF($E33:L33,"t")+COUNTIF($E33:L33,"¶")+COUNTIF($E33:L33,"²")+COUNTIF($E33:L33,"µ")+COUNTIF($E33:L33,1),ColDescriptionCourte)),""),
  "")),"")</f>
        <v/>
      </c>
      <c r="N33" s="40" t="str">
        <f ca="1">IFERROR(IF(AND(
  INDEX(Roadmap!$D:$K,MATCH($E33,Roadmap!$D:$D,0)+COUNTIF($E33:M33,"u")+COUNTIF($E33:M33,"t")+COUNTIF($E33:M33,"¶")+COUNTIF($E33:M33,"²")+COUNTIF($E33:M33,"µ")+COUNTIF($E33:M33,1),ColLivraison)=N$6,
  VLOOKUP($E33,INDIRECT("tri!"&amp; CHAR(64+ C0Col) &amp;":"&amp; CHAR(65+C0Col)),2,FALSE)&gt;COUNTIF($E33:M33,"u")+COUNTIF($E33:M33,"t")+COUNTIF($E33:M33,"¶")+COUNTIF($E33:M33,"²")+COUNTIF($E33:M33,"µ")+COUNTIF($E33:M33,1)),
HYPERLINK("#Roadmap!C"&amp; MATCH($E33,Roadmap!$D:$D,0)+COUNTIF($E33:M33,"u")+COUNTIF($E33:M33,"t"),
     INDEX(Roadmap!$D:$K,MATCH($E33,Roadmap!$D:$D,0)+COUNTIF($E33:M33,"u")+COUNTIF($E33:M33,"t")+COUNTIF($E33:M33,"¶")+COUNTIF($E33:M33,"²")+COUNTIF($E33:M33,"µ")+COUNTIF($E33:M33,1),ColTypeEcheance)),
  IF(LEN(M33)=1,
  IF(LEN(INDEX(Roadmap!$D:$K,MATCH($E33,Roadmap!$D:$D,0)-1+COUNTIF($E33:M33,"u")+COUNTIF($E33:M33,"t")+COUNTIF($E33:M33,"¶")+COUNTIF($E33:M33,"²")+COUNTIF($E33:M33,"µ")+COUNTIF($E33:M33,1),ColDescriptionCourte))&gt;1,
HYPERLINK("#Roadmap!C"&amp; MATCH($E33,Roadmap!$D:$D,0)+COUNTIF($E33:M33,"u")+COUNTIF($E33:M33,"t")+COUNTIF($E33:M33,"¶")+COUNTIF($E33:M33,"²")+COUNTIF($E33:M33,"µ")+COUNTIF($E33:M33,1)-1,INDEX(Roadmap!$D:$K,MATCH($E33,Roadmap!$D:$D,0)-1+COUNTIF($E33:M33,"u")+COUNTIF($E33:M33,"t")+COUNTIF($E33:M33,"¶")+COUNTIF($E33:M33,"²")+COUNTIF($E33:M33,"µ")+COUNTIF($E33:M33,1),ColDescriptionCourte)),""),
  "")),"")</f>
        <v/>
      </c>
      <c r="O33" s="40" t="str">
        <f ca="1">IFERROR(IF(AND(
  INDEX(Roadmap!$D:$K,MATCH($E33,Roadmap!$D:$D,0)+COUNTIF($E33:N33,"u")+COUNTIF($E33:N33,"t")+COUNTIF($E33:N33,"¶")+COUNTIF($E33:N33,"²")+COUNTIF($E33:N33,"µ")+COUNTIF($E33:N33,1),ColLivraison)=O$6,
  VLOOKUP($E33,INDIRECT("tri!"&amp; CHAR(64+ C0Col) &amp;":"&amp; CHAR(65+C0Col)),2,FALSE)&gt;COUNTIF($E33:N33,"u")+COUNTIF($E33:N33,"t")+COUNTIF($E33:N33,"¶")+COUNTIF($E33:N33,"²")+COUNTIF($E33:N33,"µ")+COUNTIF($E33:N33,1)),
HYPERLINK("#Roadmap!C"&amp; MATCH($E33,Roadmap!$D:$D,0)+COUNTIF($E33:N33,"u")+COUNTIF($E33:N33,"t"),
     INDEX(Roadmap!$D:$K,MATCH($E33,Roadmap!$D:$D,0)+COUNTIF($E33:N33,"u")+COUNTIF($E33:N33,"t")+COUNTIF($E33:N33,"¶")+COUNTIF($E33:N33,"²")+COUNTIF($E33:N33,"µ")+COUNTIF($E33:N33,1),ColTypeEcheance)),
  IF(LEN(N33)=1,
  IF(LEN(INDEX(Roadmap!$D:$K,MATCH($E33,Roadmap!$D:$D,0)-1+COUNTIF($E33:N33,"u")+COUNTIF($E33:N33,"t")+COUNTIF($E33:N33,"¶")+COUNTIF($E33:N33,"²")+COUNTIF($E33:N33,"µ")+COUNTIF($E33:N33,1),ColDescriptionCourte))&gt;1,
HYPERLINK("#Roadmap!C"&amp; MATCH($E33,Roadmap!$D:$D,0)+COUNTIF($E33:N33,"u")+COUNTIF($E33:N33,"t")+COUNTIF($E33:N33,"¶")+COUNTIF($E33:N33,"²")+COUNTIF($E33:N33,"µ")+COUNTIF($E33:N33,1)-1,INDEX(Roadmap!$D:$K,MATCH($E33,Roadmap!$D:$D,0)-1+COUNTIF($E33:N33,"u")+COUNTIF($E33:N33,"t")+COUNTIF($E33:N33,"¶")+COUNTIF($E33:N33,"²")+COUNTIF($E33:N33,"µ")+COUNTIF($E33:N33,1),ColDescriptionCourte)),""),
  "")),"")</f>
        <v/>
      </c>
      <c r="P33" s="40" t="str">
        <f ca="1">IFERROR(IF(AND(
  INDEX(Roadmap!$D:$K,MATCH($E33,Roadmap!$D:$D,0)+COUNTIF($E33:O33,"u")+COUNTIF($E33:O33,"t")+COUNTIF($E33:O33,"¶")+COUNTIF($E33:O33,"²")+COUNTIF($E33:O33,"µ")+COUNTIF($E33:O33,1),ColLivraison)=P$6,
  VLOOKUP($E33,INDIRECT("tri!"&amp; CHAR(64+ C0Col) &amp;":"&amp; CHAR(65+C0Col)),2,FALSE)&gt;COUNTIF($E33:O33,"u")+COUNTIF($E33:O33,"t")+COUNTIF($E33:O33,"¶")+COUNTIF($E33:O33,"²")+COUNTIF($E33:O33,"µ")+COUNTIF($E33:O33,1)),
HYPERLINK("#Roadmap!C"&amp; MATCH($E33,Roadmap!$D:$D,0)+COUNTIF($E33:O33,"u")+COUNTIF($E33:O33,"t"),
     INDEX(Roadmap!$D:$K,MATCH($E33,Roadmap!$D:$D,0)+COUNTIF($E33:O33,"u")+COUNTIF($E33:O33,"t")+COUNTIF($E33:O33,"¶")+COUNTIF($E33:O33,"²")+COUNTIF($E33:O33,"µ")+COUNTIF($E33:O33,1),ColTypeEcheance)),
  IF(LEN(O33)=1,
  IF(LEN(INDEX(Roadmap!$D:$K,MATCH($E33,Roadmap!$D:$D,0)-1+COUNTIF($E33:O33,"u")+COUNTIF($E33:O33,"t")+COUNTIF($E33:O33,"¶")+COUNTIF($E33:O33,"²")+COUNTIF($E33:O33,"µ")+COUNTIF($E33:O33,1),ColDescriptionCourte))&gt;1,
HYPERLINK("#Roadmap!C"&amp; MATCH($E33,Roadmap!$D:$D,0)+COUNTIF($E33:O33,"u")+COUNTIF($E33:O33,"t")+COUNTIF($E33:O33,"¶")+COUNTIF($E33:O33,"²")+COUNTIF($E33:O33,"µ")+COUNTIF($E33:O33,1)-1,INDEX(Roadmap!$D:$K,MATCH($E33,Roadmap!$D:$D,0)-1+COUNTIF($E33:O33,"u")+COUNTIF($E33:O33,"t")+COUNTIF($E33:O33,"¶")+COUNTIF($E33:O33,"²")+COUNTIF($E33:O33,"µ")+COUNTIF($E33:O33,1),ColDescriptionCourte)),""),
  "")),"")</f>
        <v/>
      </c>
      <c r="Q33" s="40" t="str">
        <f ca="1">IFERROR(IF(AND(
  INDEX(Roadmap!$D:$K,MATCH($E33,Roadmap!$D:$D,0)+COUNTIF($E33:P33,"u")+COUNTIF($E33:P33,"t")+COUNTIF($E33:P33,"¶")+COUNTIF($E33:P33,"²")+COUNTIF($E33:P33,"µ")+COUNTIF($E33:P33,1),ColLivraison)=Q$6,
  VLOOKUP($E33,INDIRECT("tri!"&amp; CHAR(64+ C0Col) &amp;":"&amp; CHAR(65+C0Col)),2,FALSE)&gt;COUNTIF($E33:P33,"u")+COUNTIF($E33:P33,"t")+COUNTIF($E33:P33,"¶")+COUNTIF($E33:P33,"²")+COUNTIF($E33:P33,"µ")+COUNTIF($E33:P33,1)),
HYPERLINK("#Roadmap!C"&amp; MATCH($E33,Roadmap!$D:$D,0)+COUNTIF($E33:P33,"u")+COUNTIF($E33:P33,"t"),
     INDEX(Roadmap!$D:$K,MATCH($E33,Roadmap!$D:$D,0)+COUNTIF($E33:P33,"u")+COUNTIF($E33:P33,"t")+COUNTIF($E33:P33,"¶")+COUNTIF($E33:P33,"²")+COUNTIF($E33:P33,"µ")+COUNTIF($E33:P33,1),ColTypeEcheance)),
  IF(LEN(P33)=1,
  IF(LEN(INDEX(Roadmap!$D:$K,MATCH($E33,Roadmap!$D:$D,0)-1+COUNTIF($E33:P33,"u")+COUNTIF($E33:P33,"t")+COUNTIF($E33:P33,"¶")+COUNTIF($E33:P33,"²")+COUNTIF($E33:P33,"µ")+COUNTIF($E33:P33,1),ColDescriptionCourte))&gt;1,
HYPERLINK("#Roadmap!C"&amp; MATCH($E33,Roadmap!$D:$D,0)+COUNTIF($E33:P33,"u")+COUNTIF($E33:P33,"t")+COUNTIF($E33:P33,"¶")+COUNTIF($E33:P33,"²")+COUNTIF($E33:P33,"µ")+COUNTIF($E33:P33,1)-1,INDEX(Roadmap!$D:$K,MATCH($E33,Roadmap!$D:$D,0)-1+COUNTIF($E33:P33,"u")+COUNTIF($E33:P33,"t")+COUNTIF($E33:P33,"¶")+COUNTIF($E33:P33,"²")+COUNTIF($E33:P33,"µ")+COUNTIF($E33:P33,1),ColDescriptionCourte)),""),
  "")),"")</f>
        <v/>
      </c>
      <c r="R33" s="40" t="str">
        <f ca="1">IFERROR(IF(AND(
  INDEX(Roadmap!$D:$K,MATCH($E33,Roadmap!$D:$D,0)+COUNTIF($E33:Q33,"u")+COUNTIF($E33:Q33,"t")+COUNTIF($E33:Q33,"¶")+COUNTIF($E33:Q33,"²")+COUNTIF($E33:Q33,"µ")+COUNTIF($E33:Q33,1),ColLivraison)=R$6,
  VLOOKUP($E33,INDIRECT("tri!"&amp; CHAR(64+ C0Col) &amp;":"&amp; CHAR(65+C0Col)),2,FALSE)&gt;COUNTIF($E33:Q33,"u")+COUNTIF($E33:Q33,"t")+COUNTIF($E33:Q33,"¶")+COUNTIF($E33:Q33,"²")+COUNTIF($E33:Q33,"µ")+COUNTIF($E33:Q33,1)),
HYPERLINK("#Roadmap!C"&amp; MATCH($E33,Roadmap!$D:$D,0)+COUNTIF($E33:Q33,"u")+COUNTIF($E33:Q33,"t"),
     INDEX(Roadmap!$D:$K,MATCH($E33,Roadmap!$D:$D,0)+COUNTIF($E33:Q33,"u")+COUNTIF($E33:Q33,"t")+COUNTIF($E33:Q33,"¶")+COUNTIF($E33:Q33,"²")+COUNTIF($E33:Q33,"µ")+COUNTIF($E33:Q33,1),ColTypeEcheance)),
  IF(LEN(Q33)=1,
  IF(LEN(INDEX(Roadmap!$D:$K,MATCH($E33,Roadmap!$D:$D,0)-1+COUNTIF($E33:Q33,"u")+COUNTIF($E33:Q33,"t")+COUNTIF($E33:Q33,"¶")+COUNTIF($E33:Q33,"²")+COUNTIF($E33:Q33,"µ")+COUNTIF($E33:Q33,1),ColDescriptionCourte))&gt;1,
HYPERLINK("#Roadmap!C"&amp; MATCH($E33,Roadmap!$D:$D,0)+COUNTIF($E33:Q33,"u")+COUNTIF($E33:Q33,"t")+COUNTIF($E33:Q33,"¶")+COUNTIF($E33:Q33,"²")+COUNTIF($E33:Q33,"µ")+COUNTIF($E33:Q33,1)-1,INDEX(Roadmap!$D:$K,MATCH($E33,Roadmap!$D:$D,0)-1+COUNTIF($E33:Q33,"u")+COUNTIF($E33:Q33,"t")+COUNTIF($E33:Q33,"¶")+COUNTIF($E33:Q33,"²")+COUNTIF($E33:Q33,"µ")+COUNTIF($E33:Q33,1),ColDescriptionCourte)),""),
  "")),"")</f>
        <v/>
      </c>
      <c r="S33" s="40" t="str">
        <f ca="1">IFERROR(IF(AND(
  INDEX(Roadmap!$D:$K,MATCH($E33,Roadmap!$D:$D,0)+COUNTIF($E33:R33,"u")+COUNTIF($E33:R33,"t")+COUNTIF($E33:R33,"¶")+COUNTIF($E33:R33,"²")+COUNTIF($E33:R33,"µ")+COUNTIF($E33:R33,1),ColLivraison)=S$6,
  VLOOKUP($E33,INDIRECT("tri!"&amp; CHAR(64+ C0Col) &amp;":"&amp; CHAR(65+C0Col)),2,FALSE)&gt;COUNTIF($E33:R33,"u")+COUNTIF($E33:R33,"t")+COUNTIF($E33:R33,"¶")+COUNTIF($E33:R33,"²")+COUNTIF($E33:R33,"µ")+COUNTIF($E33:R33,1)),
HYPERLINK("#Roadmap!C"&amp; MATCH($E33,Roadmap!$D:$D,0)+COUNTIF($E33:R33,"u")+COUNTIF($E33:R33,"t"),
     INDEX(Roadmap!$D:$K,MATCH($E33,Roadmap!$D:$D,0)+COUNTIF($E33:R33,"u")+COUNTIF($E33:R33,"t")+COUNTIF($E33:R33,"¶")+COUNTIF($E33:R33,"²")+COUNTIF($E33:R33,"µ")+COUNTIF($E33:R33,1),ColTypeEcheance)),
  IF(LEN(R33)=1,
  IF(LEN(INDEX(Roadmap!$D:$K,MATCH($E33,Roadmap!$D:$D,0)-1+COUNTIF($E33:R33,"u")+COUNTIF($E33:R33,"t")+COUNTIF($E33:R33,"¶")+COUNTIF($E33:R33,"²")+COUNTIF($E33:R33,"µ")+COUNTIF($E33:R33,1),ColDescriptionCourte))&gt;1,
HYPERLINK("#Roadmap!C"&amp; MATCH($E33,Roadmap!$D:$D,0)+COUNTIF($E33:R33,"u")+COUNTIF($E33:R33,"t")+COUNTIF($E33:R33,"¶")+COUNTIF($E33:R33,"²")+COUNTIF($E33:R33,"µ")+COUNTIF($E33:R33,1)-1,INDEX(Roadmap!$D:$K,MATCH($E33,Roadmap!$D:$D,0)-1+COUNTIF($E33:R33,"u")+COUNTIF($E33:R33,"t")+COUNTIF($E33:R33,"¶")+COUNTIF($E33:R33,"²")+COUNTIF($E33:R33,"µ")+COUNTIF($E33:R33,1),ColDescriptionCourte)),""),
  "")),"")</f>
        <v/>
      </c>
      <c r="T33" s="40" t="str">
        <f ca="1">IFERROR(IF(AND(
  INDEX(Roadmap!$D:$K,MATCH($E33,Roadmap!$D:$D,0)+COUNTIF($E33:S33,"u")+COUNTIF($E33:S33,"t")+COUNTIF($E33:S33,"¶")+COUNTIF($E33:S33,"²")+COUNTIF($E33:S33,"µ")+COUNTIF($E33:S33,1),ColLivraison)=T$6,
  VLOOKUP($E33,INDIRECT("tri!"&amp; CHAR(64+ C0Col) &amp;":"&amp; CHAR(65+C0Col)),2,FALSE)&gt;COUNTIF($E33:S33,"u")+COUNTIF($E33:S33,"t")+COUNTIF($E33:S33,"¶")+COUNTIF($E33:S33,"²")+COUNTIF($E33:S33,"µ")+COUNTIF($E33:S33,1)),
HYPERLINK("#Roadmap!C"&amp; MATCH($E33,Roadmap!$D:$D,0)+COUNTIF($E33:S33,"u")+COUNTIF($E33:S33,"t"),
     INDEX(Roadmap!$D:$K,MATCH($E33,Roadmap!$D:$D,0)+COUNTIF($E33:S33,"u")+COUNTIF($E33:S33,"t")+COUNTIF($E33:S33,"¶")+COUNTIF($E33:S33,"²")+COUNTIF($E33:S33,"µ")+COUNTIF($E33:S33,1),ColTypeEcheance)),
  IF(LEN(S33)=1,
  IF(LEN(INDEX(Roadmap!$D:$K,MATCH($E33,Roadmap!$D:$D,0)-1+COUNTIF($E33:S33,"u")+COUNTIF($E33:S33,"t")+COUNTIF($E33:S33,"¶")+COUNTIF($E33:S33,"²")+COUNTIF($E33:S33,"µ")+COUNTIF($E33:S33,1),ColDescriptionCourte))&gt;1,
HYPERLINK("#Roadmap!C"&amp; MATCH($E33,Roadmap!$D:$D,0)+COUNTIF($E33:S33,"u")+COUNTIF($E33:S33,"t")+COUNTIF($E33:S33,"¶")+COUNTIF($E33:S33,"²")+COUNTIF($E33:S33,"µ")+COUNTIF($E33:S33,1)-1,INDEX(Roadmap!$D:$K,MATCH($E33,Roadmap!$D:$D,0)-1+COUNTIF($E33:S33,"u")+COUNTIF($E33:S33,"t")+COUNTIF($E33:S33,"¶")+COUNTIF($E33:S33,"²")+COUNTIF($E33:S33,"µ")+COUNTIF($E33:S33,1),ColDescriptionCourte)),""),
  "")),"")</f>
        <v/>
      </c>
      <c r="U33" s="40" t="str">
        <f ca="1">IFERROR(IF(AND(
  INDEX(Roadmap!$D:$K,MATCH($E33,Roadmap!$D:$D,0)+COUNTIF($E33:T33,"u")+COUNTIF($E33:T33,"t")+COUNTIF($E33:T33,"¶")+COUNTIF($E33:T33,"²")+COUNTIF($E33:T33,"µ")+COUNTIF($E33:T33,1),ColLivraison)=U$6,
  VLOOKUP($E33,INDIRECT("tri!"&amp; CHAR(64+ C0Col) &amp;":"&amp; CHAR(65+C0Col)),2,FALSE)&gt;COUNTIF($E33:T33,"u")+COUNTIF($E33:T33,"t")+COUNTIF($E33:T33,"¶")+COUNTIF($E33:T33,"²")+COUNTIF($E33:T33,"µ")+COUNTIF($E33:T33,1)),
HYPERLINK("#Roadmap!C"&amp; MATCH($E33,Roadmap!$D:$D,0)+COUNTIF($E33:T33,"u")+COUNTIF($E33:T33,"t"),
     INDEX(Roadmap!$D:$K,MATCH($E33,Roadmap!$D:$D,0)+COUNTIF($E33:T33,"u")+COUNTIF($E33:T33,"t")+COUNTIF($E33:T33,"¶")+COUNTIF($E33:T33,"²")+COUNTIF($E33:T33,"µ")+COUNTIF($E33:T33,1),ColTypeEcheance)),
  IF(LEN(T33)=1,
  IF(LEN(INDEX(Roadmap!$D:$K,MATCH($E33,Roadmap!$D:$D,0)-1+COUNTIF($E33:T33,"u")+COUNTIF($E33:T33,"t")+COUNTIF($E33:T33,"¶")+COUNTIF($E33:T33,"²")+COUNTIF($E33:T33,"µ")+COUNTIF($E33:T33,1),ColDescriptionCourte))&gt;1,
HYPERLINK("#Roadmap!C"&amp; MATCH($E33,Roadmap!$D:$D,0)+COUNTIF($E33:T33,"u")+COUNTIF($E33:T33,"t")+COUNTIF($E33:T33,"¶")+COUNTIF($E33:T33,"²")+COUNTIF($E33:T33,"µ")+COUNTIF($E33:T33,1)-1,INDEX(Roadmap!$D:$K,MATCH($E33,Roadmap!$D:$D,0)-1+COUNTIF($E33:T33,"u")+COUNTIF($E33:T33,"t")+COUNTIF($E33:T33,"¶")+COUNTIF($E33:T33,"²")+COUNTIF($E33:T33,"µ")+COUNTIF($E33:T33,1),ColDescriptionCourte)),""),
  "")),"")</f>
        <v/>
      </c>
      <c r="V33" s="40" t="str">
        <f ca="1">IFERROR(IF(AND(
  INDEX(Roadmap!$D:$K,MATCH($E33,Roadmap!$D:$D,0)+COUNTIF($E33:U33,"u")+COUNTIF($E33:U33,"t")+COUNTIF($E33:U33,"¶")+COUNTIF($E33:U33,"²")+COUNTIF($E33:U33,"µ")+COUNTIF($E33:U33,1),ColLivraison)=V$6,
  VLOOKUP($E33,INDIRECT("tri!"&amp; CHAR(64+ C0Col) &amp;":"&amp; CHAR(65+C0Col)),2,FALSE)&gt;COUNTIF($E33:U33,"u")+COUNTIF($E33:U33,"t")+COUNTIF($E33:U33,"¶")+COUNTIF($E33:U33,"²")+COUNTIF($E33:U33,"µ")+COUNTIF($E33:U33,1)),
HYPERLINK("#Roadmap!C"&amp; MATCH($E33,Roadmap!$D:$D,0)+COUNTIF($E33:U33,"u")+COUNTIF($E33:U33,"t"),
     INDEX(Roadmap!$D:$K,MATCH($E33,Roadmap!$D:$D,0)+COUNTIF($E33:U33,"u")+COUNTIF($E33:U33,"t")+COUNTIF($E33:U33,"¶")+COUNTIF($E33:U33,"²")+COUNTIF($E33:U33,"µ")+COUNTIF($E33:U33,1),ColTypeEcheance)),
  IF(LEN(U33)=1,
  IF(LEN(INDEX(Roadmap!$D:$K,MATCH($E33,Roadmap!$D:$D,0)-1+COUNTIF($E33:U33,"u")+COUNTIF($E33:U33,"t")+COUNTIF($E33:U33,"¶")+COUNTIF($E33:U33,"²")+COUNTIF($E33:U33,"µ")+COUNTIF($E33:U33,1),ColDescriptionCourte))&gt;1,
HYPERLINK("#Roadmap!C"&amp; MATCH($E33,Roadmap!$D:$D,0)+COUNTIF($E33:U33,"u")+COUNTIF($E33:U33,"t")+COUNTIF($E33:U33,"¶")+COUNTIF($E33:U33,"²")+COUNTIF($E33:U33,"µ")+COUNTIF($E33:U33,1)-1,INDEX(Roadmap!$D:$K,MATCH($E33,Roadmap!$D:$D,0)-1+COUNTIF($E33:U33,"u")+COUNTIF($E33:U33,"t")+COUNTIF($E33:U33,"¶")+COUNTIF($E33:U33,"²")+COUNTIF($E33:U33,"µ")+COUNTIF($E33:U33,1),ColDescriptionCourte)),""),
  "")),"")</f>
        <v/>
      </c>
      <c r="W33" s="40" t="str">
        <f ca="1">IFERROR(IF(AND(
  INDEX(Roadmap!$D:$K,MATCH($E33,Roadmap!$D:$D,0)+COUNTIF($E33:V33,"u")+COUNTIF($E33:V33,"t")+COUNTIF($E33:V33,"¶")+COUNTIF($E33:V33,"²")+COUNTIF($E33:V33,"µ")+COUNTIF($E33:V33,1),ColLivraison)=W$6,
  VLOOKUP($E33,INDIRECT("tri!"&amp; CHAR(64+ C0Col) &amp;":"&amp; CHAR(65+C0Col)),2,FALSE)&gt;COUNTIF($E33:V33,"u")+COUNTIF($E33:V33,"t")+COUNTIF($E33:V33,"¶")+COUNTIF($E33:V33,"²")+COUNTIF($E33:V33,"µ")+COUNTIF($E33:V33,1)),
HYPERLINK("#Roadmap!C"&amp; MATCH($E33,Roadmap!$D:$D,0)+COUNTIF($E33:V33,"u")+COUNTIF($E33:V33,"t"),
     INDEX(Roadmap!$D:$K,MATCH($E33,Roadmap!$D:$D,0)+COUNTIF($E33:V33,"u")+COUNTIF($E33:V33,"t")+COUNTIF($E33:V33,"¶")+COUNTIF($E33:V33,"²")+COUNTIF($E33:V33,"µ")+COUNTIF($E33:V33,1),ColTypeEcheance)),
  IF(LEN(V33)=1,
  IF(LEN(INDEX(Roadmap!$D:$K,MATCH($E33,Roadmap!$D:$D,0)-1+COUNTIF($E33:V33,"u")+COUNTIF($E33:V33,"t")+COUNTIF($E33:V33,"¶")+COUNTIF($E33:V33,"²")+COUNTIF($E33:V33,"µ")+COUNTIF($E33:V33,1),ColDescriptionCourte))&gt;1,
HYPERLINK("#Roadmap!C"&amp; MATCH($E33,Roadmap!$D:$D,0)+COUNTIF($E33:V33,"u")+COUNTIF($E33:V33,"t")+COUNTIF($E33:V33,"¶")+COUNTIF($E33:V33,"²")+COUNTIF($E33:V33,"µ")+COUNTIF($E33:V33,1)-1,INDEX(Roadmap!$D:$K,MATCH($E33,Roadmap!$D:$D,0)-1+COUNTIF($E33:V33,"u")+COUNTIF($E33:V33,"t")+COUNTIF($E33:V33,"¶")+COUNTIF($E33:V33,"²")+COUNTIF($E33:V33,"µ")+COUNTIF($E33:V33,1),ColDescriptionCourte)),""),
  "")),"")</f>
        <v/>
      </c>
      <c r="X33" s="40" t="str">
        <f ca="1">IFERROR(IF(AND(
  INDEX(Roadmap!$D:$K,MATCH($E33,Roadmap!$D:$D,0)+COUNTIF($E33:W33,"u")+COUNTIF($E33:W33,"t")+COUNTIF($E33:W33,"¶")+COUNTIF($E33:W33,"²")+COUNTIF($E33:W33,"µ")+COUNTIF($E33:W33,1),ColLivraison)=X$6,
  VLOOKUP($E33,INDIRECT("tri!"&amp; CHAR(64+ C0Col) &amp;":"&amp; CHAR(65+C0Col)),2,FALSE)&gt;COUNTIF($E33:W33,"u")+COUNTIF($E33:W33,"t")+COUNTIF($E33:W33,"¶")+COUNTIF($E33:W33,"²")+COUNTIF($E33:W33,"µ")+COUNTIF($E33:W33,1)),
HYPERLINK("#Roadmap!C"&amp; MATCH($E33,Roadmap!$D:$D,0)+COUNTIF($E33:W33,"u")+COUNTIF($E33:W33,"t"),
     INDEX(Roadmap!$D:$K,MATCH($E33,Roadmap!$D:$D,0)+COUNTIF($E33:W33,"u")+COUNTIF($E33:W33,"t")+COUNTIF($E33:W33,"¶")+COUNTIF($E33:W33,"²")+COUNTIF($E33:W33,"µ")+COUNTIF($E33:W33,1),ColTypeEcheance)),
  IF(LEN(W33)=1,
  IF(LEN(INDEX(Roadmap!$D:$K,MATCH($E33,Roadmap!$D:$D,0)-1+COUNTIF($E33:W33,"u")+COUNTIF($E33:W33,"t")+COUNTIF($E33:W33,"¶")+COUNTIF($E33:W33,"²")+COUNTIF($E33:W33,"µ")+COUNTIF($E33:W33,1),ColDescriptionCourte))&gt;1,
HYPERLINK("#Roadmap!C"&amp; MATCH($E33,Roadmap!$D:$D,0)+COUNTIF($E33:W33,"u")+COUNTIF($E33:W33,"t")+COUNTIF($E33:W33,"¶")+COUNTIF($E33:W33,"²")+COUNTIF($E33:W33,"µ")+COUNTIF($E33:W33,1)-1,INDEX(Roadmap!$D:$K,MATCH($E33,Roadmap!$D:$D,0)-1+COUNTIF($E33:W33,"u")+COUNTIF($E33:W33,"t")+COUNTIF($E33:W33,"¶")+COUNTIF($E33:W33,"²")+COUNTIF($E33:W33,"µ")+COUNTIF($E33:W33,1),ColDescriptionCourte)),""),
  "")),"")</f>
        <v/>
      </c>
      <c r="Y33" s="40" t="str">
        <f ca="1">IFERROR(IF(AND(
  INDEX(Roadmap!$D:$K,MATCH($E33,Roadmap!$D:$D,0)+COUNTIF($E33:X33,"u")+COUNTIF($E33:X33,"t")+COUNTIF($E33:X33,"¶")+COUNTIF($E33:X33,"²")+COUNTIF($E33:X33,"µ")+COUNTIF($E33:X33,1),ColLivraison)=Y$6,
  VLOOKUP($E33,INDIRECT("tri!"&amp; CHAR(64+ C0Col) &amp;":"&amp; CHAR(65+C0Col)),2,FALSE)&gt;COUNTIF($E33:X33,"u")+COUNTIF($E33:X33,"t")+COUNTIF($E33:X33,"¶")+COUNTIF($E33:X33,"²")+COUNTIF($E33:X33,"µ")+COUNTIF($E33:X33,1)),
HYPERLINK("#Roadmap!C"&amp; MATCH($E33,Roadmap!$D:$D,0)+COUNTIF($E33:X33,"u")+COUNTIF($E33:X33,"t"),
     INDEX(Roadmap!$D:$K,MATCH($E33,Roadmap!$D:$D,0)+COUNTIF($E33:X33,"u")+COUNTIF($E33:X33,"t")+COUNTIF($E33:X33,"¶")+COUNTIF($E33:X33,"²")+COUNTIF($E33:X33,"µ")+COUNTIF($E33:X33,1),ColTypeEcheance)),
  IF(LEN(X33)=1,
  IF(LEN(INDEX(Roadmap!$D:$K,MATCH($E33,Roadmap!$D:$D,0)-1+COUNTIF($E33:X33,"u")+COUNTIF($E33:X33,"t")+COUNTIF($E33:X33,"¶")+COUNTIF($E33:X33,"²")+COUNTIF($E33:X33,"µ")+COUNTIF($E33:X33,1),ColDescriptionCourte))&gt;1,
HYPERLINK("#Roadmap!C"&amp; MATCH($E33,Roadmap!$D:$D,0)+COUNTIF($E33:X33,"u")+COUNTIF($E33:X33,"t")+COUNTIF($E33:X33,"¶")+COUNTIF($E33:X33,"²")+COUNTIF($E33:X33,"µ")+COUNTIF($E33:X33,1)-1,INDEX(Roadmap!$D:$K,MATCH($E33,Roadmap!$D:$D,0)-1+COUNTIF($E33:X33,"u")+COUNTIF($E33:X33,"t")+COUNTIF($E33:X33,"¶")+COUNTIF($E33:X33,"²")+COUNTIF($E33:X33,"µ")+COUNTIF($E33:X33,1),ColDescriptionCourte)),""),
  "")),"")</f>
        <v/>
      </c>
      <c r="Z33" s="40" t="str">
        <f ca="1">IFERROR(IF(AND(
  INDEX(Roadmap!$D:$K,MATCH($E33,Roadmap!$D:$D,0)+COUNTIF($E33:Y33,"u")+COUNTIF($E33:Y33,"t")+COUNTIF($E33:Y33,"¶")+COUNTIF($E33:Y33,"²")+COUNTIF($E33:Y33,"µ")+COUNTIF($E33:Y33,1),ColLivraison)=Z$6,
  VLOOKUP($E33,INDIRECT("tri!"&amp; CHAR(64+ C0Col) &amp;":"&amp; CHAR(65+C0Col)),2,FALSE)&gt;COUNTIF($E33:Y33,"u")+COUNTIF($E33:Y33,"t")+COUNTIF($E33:Y33,"¶")+COUNTIF($E33:Y33,"²")+COUNTIF($E33:Y33,"µ")+COUNTIF($E33:Y33,1)),
HYPERLINK("#Roadmap!C"&amp; MATCH($E33,Roadmap!$D:$D,0)+COUNTIF($E33:Y33,"u")+COUNTIF($E33:Y33,"t"),
     INDEX(Roadmap!$D:$K,MATCH($E33,Roadmap!$D:$D,0)+COUNTIF($E33:Y33,"u")+COUNTIF($E33:Y33,"t")+COUNTIF($E33:Y33,"¶")+COUNTIF($E33:Y33,"²")+COUNTIF($E33:Y33,"µ")+COUNTIF($E33:Y33,1),ColTypeEcheance)),
  IF(LEN(Y33)=1,
  IF(LEN(INDEX(Roadmap!$D:$K,MATCH($E33,Roadmap!$D:$D,0)-1+COUNTIF($E33:Y33,"u")+COUNTIF($E33:Y33,"t")+COUNTIF($E33:Y33,"¶")+COUNTIF($E33:Y33,"²")+COUNTIF($E33:Y33,"µ")+COUNTIF($E33:Y33,1),ColDescriptionCourte))&gt;1,
HYPERLINK("#Roadmap!C"&amp; MATCH($E33,Roadmap!$D:$D,0)+COUNTIF($E33:Y33,"u")+COUNTIF($E33:Y33,"t")+COUNTIF($E33:Y33,"¶")+COUNTIF($E33:Y33,"²")+COUNTIF($E33:Y33,"µ")+COUNTIF($E33:Y33,1)-1,INDEX(Roadmap!$D:$K,MATCH($E33,Roadmap!$D:$D,0)-1+COUNTIF($E33:Y33,"u")+COUNTIF($E33:Y33,"t")+COUNTIF($E33:Y33,"¶")+COUNTIF($E33:Y33,"²")+COUNTIF($E33:Y33,"µ")+COUNTIF($E33:Y33,1),ColDescriptionCourte)),""),
  "")),"")</f>
        <v/>
      </c>
      <c r="AA33" s="40" t="str">
        <f ca="1">IFERROR(IF(AND(
  INDEX(Roadmap!$D:$K,MATCH($E33,Roadmap!$D:$D,0)+COUNTIF($E33:Z33,"u")+COUNTIF($E33:Z33,"t")+COUNTIF($E33:Z33,"¶")+COUNTIF($E33:Z33,"²")+COUNTIF($E33:Z33,"µ")+COUNTIF($E33:Z33,1),ColLivraison)=AA$6,
  VLOOKUP($E33,INDIRECT("tri!"&amp; CHAR(64+ C0Col) &amp;":"&amp; CHAR(65+C0Col)),2,FALSE)&gt;COUNTIF($E33:Z33,"u")+COUNTIF($E33:Z33,"t")+COUNTIF($E33:Z33,"¶")+COUNTIF($E33:Z33,"²")+COUNTIF($E33:Z33,"µ")+COUNTIF($E33:Z33,1)),
HYPERLINK("#Roadmap!C"&amp; MATCH($E33,Roadmap!$D:$D,0)+COUNTIF($E33:Z33,"u")+COUNTIF($E33:Z33,"t"),
     INDEX(Roadmap!$D:$K,MATCH($E33,Roadmap!$D:$D,0)+COUNTIF($E33:Z33,"u")+COUNTIF($E33:Z33,"t")+COUNTIF($E33:Z33,"¶")+COUNTIF($E33:Z33,"²")+COUNTIF($E33:Z33,"µ")+COUNTIF($E33:Z33,1),ColTypeEcheance)),
  IF(LEN(Z33)=1,
  IF(LEN(INDEX(Roadmap!$D:$K,MATCH($E33,Roadmap!$D:$D,0)-1+COUNTIF($E33:Z33,"u")+COUNTIF($E33:Z33,"t")+COUNTIF($E33:Z33,"¶")+COUNTIF($E33:Z33,"²")+COUNTIF($E33:Z33,"µ")+COUNTIF($E33:Z33,1),ColDescriptionCourte))&gt;1,
HYPERLINK("#Roadmap!C"&amp; MATCH($E33,Roadmap!$D:$D,0)+COUNTIF($E33:Z33,"u")+COUNTIF($E33:Z33,"t")+COUNTIF($E33:Z33,"¶")+COUNTIF($E33:Z33,"²")+COUNTIF($E33:Z33,"µ")+COUNTIF($E33:Z33,1)-1,INDEX(Roadmap!$D:$K,MATCH($E33,Roadmap!$D:$D,0)-1+COUNTIF($E33:Z33,"u")+COUNTIF($E33:Z33,"t")+COUNTIF($E33:Z33,"¶")+COUNTIF($E33:Z33,"²")+COUNTIF($E33:Z33,"µ")+COUNTIF($E33:Z33,1),ColDescriptionCourte)),""),
  "")),"")</f>
        <v/>
      </c>
      <c r="AB33" s="40" t="str">
        <f ca="1">IFERROR(IF(AND(
  INDEX(Roadmap!$D:$K,MATCH($E33,Roadmap!$D:$D,0)+COUNTIF($E33:AA33,"u")+COUNTIF($E33:AA33,"t")+COUNTIF($E33:AA33,"¶")+COUNTIF($E33:AA33,"²")+COUNTIF($E33:AA33,"µ")+COUNTIF($E33:AA33,1),ColLivraison)=AB$6,
  VLOOKUP($E33,INDIRECT("tri!"&amp; CHAR(64+ C0Col) &amp;":"&amp; CHAR(65+C0Col)),2,FALSE)&gt;COUNTIF($E33:AA33,"u")+COUNTIF($E33:AA33,"t")+COUNTIF($E33:AA33,"¶")+COUNTIF($E33:AA33,"²")+COUNTIF($E33:AA33,"µ")+COUNTIF($E33:AA33,1)),
HYPERLINK("#Roadmap!C"&amp; MATCH($E33,Roadmap!$D:$D,0)+COUNTIF($E33:AA33,"u")+COUNTIF($E33:AA33,"t"),
     INDEX(Roadmap!$D:$K,MATCH($E33,Roadmap!$D:$D,0)+COUNTIF($E33:AA33,"u")+COUNTIF($E33:AA33,"t")+COUNTIF($E33:AA33,"¶")+COUNTIF($E33:AA33,"²")+COUNTIF($E33:AA33,"µ")+COUNTIF($E33:AA33,1),ColTypeEcheance)),
  IF(LEN(AA33)=1,
  IF(LEN(INDEX(Roadmap!$D:$K,MATCH($E33,Roadmap!$D:$D,0)-1+COUNTIF($E33:AA33,"u")+COUNTIF($E33:AA33,"t")+COUNTIF($E33:AA33,"¶")+COUNTIF($E33:AA33,"²")+COUNTIF($E33:AA33,"µ")+COUNTIF($E33:AA33,1),ColDescriptionCourte))&gt;1,
HYPERLINK("#Roadmap!C"&amp; MATCH($E33,Roadmap!$D:$D,0)+COUNTIF($E33:AA33,"u")+COUNTIF($E33:AA33,"t")+COUNTIF($E33:AA33,"¶")+COUNTIF($E33:AA33,"²")+COUNTIF($E33:AA33,"µ")+COUNTIF($E33:AA33,1)-1,INDEX(Roadmap!$D:$K,MATCH($E33,Roadmap!$D:$D,0)-1+COUNTIF($E33:AA33,"u")+COUNTIF($E33:AA33,"t")+COUNTIF($E33:AA33,"¶")+COUNTIF($E33:AA33,"²")+COUNTIF($E33:AA33,"µ")+COUNTIF($E33:AA33,1),ColDescriptionCourte)),""),
  "")),"")</f>
        <v/>
      </c>
      <c r="AC33" s="40" t="str">
        <f ca="1">IFERROR(IF(AND(
  INDEX(Roadmap!$D:$K,MATCH($E33,Roadmap!$D:$D,0)+COUNTIF($E33:AB33,"u")+COUNTIF($E33:AB33,"t")+COUNTIF($E33:AB33,"¶")+COUNTIF($E33:AB33,"²")+COUNTIF($E33:AB33,"µ")+COUNTIF($E33:AB33,1),ColLivraison)=AC$6,
  VLOOKUP($E33,INDIRECT("tri!"&amp; CHAR(64+ C0Col) &amp;":"&amp; CHAR(65+C0Col)),2,FALSE)&gt;COUNTIF($E33:AB33,"u")+COUNTIF($E33:AB33,"t")+COUNTIF($E33:AB33,"¶")+COUNTIF($E33:AB33,"²")+COUNTIF($E33:AB33,"µ")+COUNTIF($E33:AB33,1)),
HYPERLINK("#Roadmap!C"&amp; MATCH($E33,Roadmap!$D:$D,0)+COUNTIF($E33:AB33,"u")+COUNTIF($E33:AB33,"t"),
     INDEX(Roadmap!$D:$K,MATCH($E33,Roadmap!$D:$D,0)+COUNTIF($E33:AB33,"u")+COUNTIF($E33:AB33,"t")+COUNTIF($E33:AB33,"¶")+COUNTIF($E33:AB33,"²")+COUNTIF($E33:AB33,"µ")+COUNTIF($E33:AB33,1),ColTypeEcheance)),
  IF(LEN(AB33)=1,
  IF(LEN(INDEX(Roadmap!$D:$K,MATCH($E33,Roadmap!$D:$D,0)-1+COUNTIF($E33:AB33,"u")+COUNTIF($E33:AB33,"t")+COUNTIF($E33:AB33,"¶")+COUNTIF($E33:AB33,"²")+COUNTIF($E33:AB33,"µ")+COUNTIF($E33:AB33,1),ColDescriptionCourte))&gt;1,
HYPERLINK("#Roadmap!C"&amp; MATCH($E33,Roadmap!$D:$D,0)+COUNTIF($E33:AB33,"u")+COUNTIF($E33:AB33,"t")+COUNTIF($E33:AB33,"¶")+COUNTIF($E33:AB33,"²")+COUNTIF($E33:AB33,"µ")+COUNTIF($E33:AB33,1)-1,INDEX(Roadmap!$D:$K,MATCH($E33,Roadmap!$D:$D,0)-1+COUNTIF($E33:AB33,"u")+COUNTIF($E33:AB33,"t")+COUNTIF($E33:AB33,"¶")+COUNTIF($E33:AB33,"²")+COUNTIF($E33:AB33,"µ")+COUNTIF($E33:AB33,1),ColDescriptionCourte)),""),
  "")),"")</f>
        <v/>
      </c>
      <c r="AD33" s="40" t="str">
        <f ca="1">IFERROR(IF(AND(
  INDEX(Roadmap!$D:$K,MATCH($E33,Roadmap!$D:$D,0)+COUNTIF($E33:AC33,"u")+COUNTIF($E33:AC33,"t")+COUNTIF($E33:AC33,"¶")+COUNTIF($E33:AC33,"²")+COUNTIF($E33:AC33,"µ")+COUNTIF($E33:AC33,1),ColLivraison)=AD$6,
  VLOOKUP($E33,INDIRECT("tri!"&amp; CHAR(64+ C0Col) &amp;":"&amp; CHAR(65+C0Col)),2,FALSE)&gt;COUNTIF($E33:AC33,"u")+COUNTIF($E33:AC33,"t")+COUNTIF($E33:AC33,"¶")+COUNTIF($E33:AC33,"²")+COUNTIF($E33:AC33,"µ")+COUNTIF($E33:AC33,1)),
HYPERLINK("#Roadmap!C"&amp; MATCH($E33,Roadmap!$D:$D,0)+COUNTIF($E33:AC33,"u")+COUNTIF($E33:AC33,"t"),
     INDEX(Roadmap!$D:$K,MATCH($E33,Roadmap!$D:$D,0)+COUNTIF($E33:AC33,"u")+COUNTIF($E33:AC33,"t")+COUNTIF($E33:AC33,"¶")+COUNTIF($E33:AC33,"²")+COUNTIF($E33:AC33,"µ")+COUNTIF($E33:AC33,1),ColTypeEcheance)),
  IF(LEN(AC33)=1,
  IF(LEN(INDEX(Roadmap!$D:$K,MATCH($E33,Roadmap!$D:$D,0)-1+COUNTIF($E33:AC33,"u")+COUNTIF($E33:AC33,"t")+COUNTIF($E33:AC33,"¶")+COUNTIF($E33:AC33,"²")+COUNTIF($E33:AC33,"µ")+COUNTIF($E33:AC33,1),ColDescriptionCourte))&gt;1,
HYPERLINK("#Roadmap!C"&amp; MATCH($E33,Roadmap!$D:$D,0)+COUNTIF($E33:AC33,"u")+COUNTIF($E33:AC33,"t")+COUNTIF($E33:AC33,"¶")+COUNTIF($E33:AC33,"²")+COUNTIF($E33:AC33,"µ")+COUNTIF($E33:AC33,1)-1,INDEX(Roadmap!$D:$K,MATCH($E33,Roadmap!$D:$D,0)-1+COUNTIF($E33:AC33,"u")+COUNTIF($E33:AC33,"t")+COUNTIF($E33:AC33,"¶")+COUNTIF($E33:AC33,"²")+COUNTIF($E33:AC33,"µ")+COUNTIF($E33:AC33,1),ColDescriptionCourte)),""),
  "")),"")</f>
        <v/>
      </c>
      <c r="AE33" s="40" t="str">
        <f ca="1">IFERROR(IF(AND(
  INDEX(Roadmap!$D:$K,MATCH($E33,Roadmap!$D:$D,0)+COUNTIF($E33:AD33,"u")+COUNTIF($E33:AD33,"t")+COUNTIF($E33:AD33,"¶")+COUNTIF($E33:AD33,"²")+COUNTIF($E33:AD33,"µ")+COUNTIF($E33:AD33,1),ColLivraison)=AE$6,
  VLOOKUP($E33,INDIRECT("tri!"&amp; CHAR(64+ C0Col) &amp;":"&amp; CHAR(65+C0Col)),2,FALSE)&gt;COUNTIF($E33:AD33,"u")+COUNTIF($E33:AD33,"t")+COUNTIF($E33:AD33,"¶")+COUNTIF($E33:AD33,"²")+COUNTIF($E33:AD33,"µ")+COUNTIF($E33:AD33,1)),
HYPERLINK("#Roadmap!C"&amp; MATCH($E33,Roadmap!$D:$D,0)+COUNTIF($E33:AD33,"u")+COUNTIF($E33:AD33,"t"),
     INDEX(Roadmap!$D:$K,MATCH($E33,Roadmap!$D:$D,0)+COUNTIF($E33:AD33,"u")+COUNTIF($E33:AD33,"t")+COUNTIF($E33:AD33,"¶")+COUNTIF($E33:AD33,"²")+COUNTIF($E33:AD33,"µ")+COUNTIF($E33:AD33,1),ColTypeEcheance)),
  IF(LEN(AD33)=1,
  IF(LEN(INDEX(Roadmap!$D:$K,MATCH($E33,Roadmap!$D:$D,0)-1+COUNTIF($E33:AD33,"u")+COUNTIF($E33:AD33,"t")+COUNTIF($E33:AD33,"¶")+COUNTIF($E33:AD33,"²")+COUNTIF($E33:AD33,"µ")+COUNTIF($E33:AD33,1),ColDescriptionCourte))&gt;1,
HYPERLINK("#Roadmap!C"&amp; MATCH($E33,Roadmap!$D:$D,0)+COUNTIF($E33:AD33,"u")+COUNTIF($E33:AD33,"t")+COUNTIF($E33:AD33,"¶")+COUNTIF($E33:AD33,"²")+COUNTIF($E33:AD33,"µ")+COUNTIF($E33:AD33,1)-1,INDEX(Roadmap!$D:$K,MATCH($E33,Roadmap!$D:$D,0)-1+COUNTIF($E33:AD33,"u")+COUNTIF($E33:AD33,"t")+COUNTIF($E33:AD33,"¶")+COUNTIF($E33:AD33,"²")+COUNTIF($E33:AD33,"µ")+COUNTIF($E33:AD33,1),ColDescriptionCourte)),""),
  "")),"")</f>
        <v/>
      </c>
      <c r="AF33" s="40" t="str">
        <f ca="1">IFERROR(IF(AND(
  INDEX(Roadmap!$D:$K,MATCH($E33,Roadmap!$D:$D,0)+COUNTIF($E33:AE33,"u")+COUNTIF($E33:AE33,"t")+COUNTIF($E33:AE33,"¶")+COUNTIF($E33:AE33,"²")+COUNTIF($E33:AE33,"µ")+COUNTIF($E33:AE33,1),ColLivraison)=AF$6,
  VLOOKUP($E33,INDIRECT("tri!"&amp; CHAR(64+ C0Col) &amp;":"&amp; CHAR(65+C0Col)),2,FALSE)&gt;COUNTIF($E33:AE33,"u")+COUNTIF($E33:AE33,"t")+COUNTIF($E33:AE33,"¶")+COUNTIF($E33:AE33,"²")+COUNTIF($E33:AE33,"µ")+COUNTIF($E33:AE33,1)),
HYPERLINK("#Roadmap!C"&amp; MATCH($E33,Roadmap!$D:$D,0)+COUNTIF($E33:AE33,"u")+COUNTIF($E33:AE33,"t"),
     INDEX(Roadmap!$D:$K,MATCH($E33,Roadmap!$D:$D,0)+COUNTIF($E33:AE33,"u")+COUNTIF($E33:AE33,"t")+COUNTIF($E33:AE33,"¶")+COUNTIF($E33:AE33,"²")+COUNTIF($E33:AE33,"µ")+COUNTIF($E33:AE33,1),ColTypeEcheance)),
  IF(LEN(AE33)=1,
  IF(LEN(INDEX(Roadmap!$D:$K,MATCH($E33,Roadmap!$D:$D,0)-1+COUNTIF($E33:AE33,"u")+COUNTIF($E33:AE33,"t")+COUNTIF($E33:AE33,"¶")+COUNTIF($E33:AE33,"²")+COUNTIF($E33:AE33,"µ")+COUNTIF($E33:AE33,1),ColDescriptionCourte))&gt;1,
HYPERLINK("#Roadmap!C"&amp; MATCH($E33,Roadmap!$D:$D,0)+COUNTIF($E33:AE33,"u")+COUNTIF($E33:AE33,"t")+COUNTIF($E33:AE33,"¶")+COUNTIF($E33:AE33,"²")+COUNTIF($E33:AE33,"µ")+COUNTIF($E33:AE33,1)-1,INDEX(Roadmap!$D:$K,MATCH($E33,Roadmap!$D:$D,0)-1+COUNTIF($E33:AE33,"u")+COUNTIF($E33:AE33,"t")+COUNTIF($E33:AE33,"¶")+COUNTIF($E33:AE33,"²")+COUNTIF($E33:AE33,"µ")+COUNTIF($E33:AE33,1),ColDescriptionCourte)),""),
  "")),"")</f>
        <v/>
      </c>
      <c r="AG33" s="40" t="str">
        <f ca="1">IFERROR(IF(AND(
  INDEX(Roadmap!$D:$K,MATCH($E33,Roadmap!$D:$D,0)+COUNTIF($E33:AF33,"u")+COUNTIF($E33:AF33,"t")+COUNTIF($E33:AF33,"¶")+COUNTIF($E33:AF33,"²")+COUNTIF($E33:AF33,"µ")+COUNTIF($E33:AF33,1),ColLivraison)=AG$6,
  VLOOKUP($E33,INDIRECT("tri!"&amp; CHAR(64+ C0Col) &amp;":"&amp; CHAR(65+C0Col)),2,FALSE)&gt;COUNTIF($E33:AF33,"u")+COUNTIF($E33:AF33,"t")+COUNTIF($E33:AF33,"¶")+COUNTIF($E33:AF33,"²")+COUNTIF($E33:AF33,"µ")+COUNTIF($E33:AF33,1)),
HYPERLINK("#Roadmap!C"&amp; MATCH($E33,Roadmap!$D:$D,0)+COUNTIF($E33:AF33,"u")+COUNTIF($E33:AF33,"t"),
     INDEX(Roadmap!$D:$K,MATCH($E33,Roadmap!$D:$D,0)+COUNTIF($E33:AF33,"u")+COUNTIF($E33:AF33,"t")+COUNTIF($E33:AF33,"¶")+COUNTIF($E33:AF33,"²")+COUNTIF($E33:AF33,"µ")+COUNTIF($E33:AF33,1),ColTypeEcheance)),
  IF(LEN(AF33)=1,
  IF(LEN(INDEX(Roadmap!$D:$K,MATCH($E33,Roadmap!$D:$D,0)-1+COUNTIF($E33:AF33,"u")+COUNTIF($E33:AF33,"t")+COUNTIF($E33:AF33,"¶")+COUNTIF($E33:AF33,"²")+COUNTIF($E33:AF33,"µ")+COUNTIF($E33:AF33,1),ColDescriptionCourte))&gt;1,
HYPERLINK("#Roadmap!C"&amp; MATCH($E33,Roadmap!$D:$D,0)+COUNTIF($E33:AF33,"u")+COUNTIF($E33:AF33,"t")+COUNTIF($E33:AF33,"¶")+COUNTIF($E33:AF33,"²")+COUNTIF($E33:AF33,"µ")+COUNTIF($E33:AF33,1)-1,INDEX(Roadmap!$D:$K,MATCH($E33,Roadmap!$D:$D,0)-1+COUNTIF($E33:AF33,"u")+COUNTIF($E33:AF33,"t")+COUNTIF($E33:AF33,"¶")+COUNTIF($E33:AF33,"²")+COUNTIF($E33:AF33,"µ")+COUNTIF($E33:AF33,1),ColDescriptionCourte)),""),
  "")),"")</f>
        <v/>
      </c>
    </row>
    <row r="34" spans="3:33" ht="14.25" customHeight="1">
      <c r="C34" s="1" t="str">
        <f t="shared" ca="1" si="42"/>
        <v/>
      </c>
      <c r="D34" s="1" t="str">
        <f t="shared" ca="1" si="43"/>
        <v/>
      </c>
      <c r="E34" s="35" t="str">
        <f t="shared" ca="1" si="33"/>
        <v/>
      </c>
      <c r="F34" s="39" t="str">
        <f ca="1">IFERROR(IF(AND(
  INDEX(Roadmap!$D:$K,MATCH($E34,Roadmap!$D:$D,0)+COUNTIF($E34:E34,"u")+COUNTIF($E34:E34,"t")+COUNTIF($E34:E34,"¶")+COUNTIF($E34:E34,"²")+COUNTIF($E34:E34,"µ")+COUNTIF($E34:E34,1),ColLivraison)=F$6,
  VLOOKUP($E34,INDIRECT("tri!"&amp; CHAR(64+ C0Col) &amp;":"&amp; CHAR(65+C0Col)),2,FALSE)&gt;COUNTIF($E34:E34,"u")+COUNTIF($E34:E34,"t")+COUNTIF($E34:E34,"¶")+COUNTIF($E34:E34,"²")+COUNTIF($E34:E34,"µ")+COUNTIF($E34:E34,1)),
HYPERLINK("#Roadmap!C"&amp; MATCH($E34,Roadmap!$D:$D,0)+COUNTIF($E34:E34,"u")+COUNTIF($E34:E34,"t"),
     INDEX(Roadmap!$D:$K,MATCH($E34,Roadmap!$D:$D,0)+COUNTIF($E34:E34,"u")+COUNTIF($E34:E34,"t")+COUNTIF($E34:E34,"¶")+COUNTIF($E34:E34,"²")+COUNTIF($E34:E34,"µ")+COUNTIF($E34:E34,1),ColTypeEcheance)),
  IF(LEN(E34)=1,
  IF(LEN(INDEX(Roadmap!$D:$K,MATCH($E34,Roadmap!$D:$D,0)-1+COUNTIF($E34:E34,"u")+COUNTIF($E34:E34,"t")+COUNTIF($E34:E34,"¶")+COUNTIF($E34:E34,"²")+COUNTIF($E34:E34,"µ")+COUNTIF($E34:E34,1),ColDescriptionCourte))&gt;1,
HYPERLINK("#Roadmap!C"&amp; MATCH($E34,Roadmap!$D:$D,0)+COUNTIF($E34:E34,"u")+COUNTIF($E34:E34,"t")+COUNTIF($E34:E34,"¶")+COUNTIF($E34:E34,"²")+COUNTIF($E34:E34,"µ")+COUNTIF($E34:E34,1)-1,INDEX(Roadmap!$D:$K,MATCH($E34,Roadmap!$D:$D,0)-1+COUNTIF($E34:E34,"u")+COUNTIF($E34:E34,"t")+COUNTIF($E34:E34,"¶")+COUNTIF($E34:E34,"²")+COUNTIF($E34:E34,"µ")+COUNTIF($E34:E34,1),ColDescriptionCourte)),""),
  "")),"")</f>
        <v/>
      </c>
      <c r="G34" s="40" t="str">
        <f ca="1">IFERROR(IF(AND(
  INDEX(Roadmap!$D:$K,MATCH($E34,Roadmap!$D:$D,0)+COUNTIF($E34:F34,"u")+COUNTIF($E34:F34,"t")+COUNTIF($E34:F34,"¶")+COUNTIF($E34:F34,"²")+COUNTIF($E34:F34,"µ")+COUNTIF($E34:F34,1),ColLivraison)=G$6,
  VLOOKUP($E34,INDIRECT("tri!"&amp; CHAR(64+ C0Col) &amp;":"&amp; CHAR(65+C0Col)),2,FALSE)&gt;COUNTIF($E34:F34,"u")+COUNTIF($E34:F34,"t")+COUNTIF($E34:F34,"¶")+COUNTIF($E34:F34,"²")+COUNTIF($E34:F34,"µ")+COUNTIF($E34:F34,1)),
HYPERLINK("#Roadmap!C"&amp; MATCH($E34,Roadmap!$D:$D,0)+COUNTIF($E34:F34,"u")+COUNTIF($E34:F34,"t"),
     INDEX(Roadmap!$D:$K,MATCH($E34,Roadmap!$D:$D,0)+COUNTIF($E34:F34,"u")+COUNTIF($E34:F34,"t")+COUNTIF($E34:F34,"¶")+COUNTIF($E34:F34,"²")+COUNTIF($E34:F34,"µ")+COUNTIF($E34:F34,1),ColTypeEcheance)),
  IF(LEN(F34)=1,
  IF(LEN(INDEX(Roadmap!$D:$K,MATCH($E34,Roadmap!$D:$D,0)-1+COUNTIF($E34:F34,"u")+COUNTIF($E34:F34,"t")+COUNTIF($E34:F34,"¶")+COUNTIF($E34:F34,"²")+COUNTIF($E34:F34,"µ")+COUNTIF($E34:F34,1),ColDescriptionCourte))&gt;1,
HYPERLINK("#Roadmap!C"&amp; MATCH($E34,Roadmap!$D:$D,0)+COUNTIF($E34:F34,"u")+COUNTIF($E34:F34,"t")+COUNTIF($E34:F34,"¶")+COUNTIF($E34:F34,"²")+COUNTIF($E34:F34,"µ")+COUNTIF($E34:F34,1)-1,INDEX(Roadmap!$D:$K,MATCH($E34,Roadmap!$D:$D,0)-1+COUNTIF($E34:F34,"u")+COUNTIF($E34:F34,"t")+COUNTIF($E34:F34,"¶")+COUNTIF($E34:F34,"²")+COUNTIF($E34:F34,"µ")+COUNTIF($E34:F34,1),ColDescriptionCourte)),""),
  "")),"")</f>
        <v/>
      </c>
      <c r="H34" s="40" t="str">
        <f ca="1">IFERROR(IF(AND(
  INDEX(Roadmap!$D:$K,MATCH($E34,Roadmap!$D:$D,0)+COUNTIF($E34:G34,"u")+COUNTIF($E34:G34,"t")+COUNTIF($E34:G34,"¶")+COUNTIF($E34:G34,"²")+COUNTIF($E34:G34,"µ")+COUNTIF($E34:G34,1),ColLivraison)=H$6,
  VLOOKUP($E34,INDIRECT("tri!"&amp; CHAR(64+ C0Col) &amp;":"&amp; CHAR(65+C0Col)),2,FALSE)&gt;COUNTIF($E34:G34,"u")+COUNTIF($E34:G34,"t")+COUNTIF($E34:G34,"¶")+COUNTIF($E34:G34,"²")+COUNTIF($E34:G34,"µ")+COUNTIF($E34:G34,1)),
HYPERLINK("#Roadmap!C"&amp; MATCH($E34,Roadmap!$D:$D,0)+COUNTIF($E34:G34,"u")+COUNTIF($E34:G34,"t"),
     INDEX(Roadmap!$D:$K,MATCH($E34,Roadmap!$D:$D,0)+COUNTIF($E34:G34,"u")+COUNTIF($E34:G34,"t")+COUNTIF($E34:G34,"¶")+COUNTIF($E34:G34,"²")+COUNTIF($E34:G34,"µ")+COUNTIF($E34:G34,1),ColTypeEcheance)),
  IF(LEN(G34)=1,
  IF(LEN(INDEX(Roadmap!$D:$K,MATCH($E34,Roadmap!$D:$D,0)-1+COUNTIF($E34:G34,"u")+COUNTIF($E34:G34,"t")+COUNTIF($E34:G34,"¶")+COUNTIF($E34:G34,"²")+COUNTIF($E34:G34,"µ")+COUNTIF($E34:G34,1),ColDescriptionCourte))&gt;1,
HYPERLINK("#Roadmap!C"&amp; MATCH($E34,Roadmap!$D:$D,0)+COUNTIF($E34:G34,"u")+COUNTIF($E34:G34,"t")+COUNTIF($E34:G34,"¶")+COUNTIF($E34:G34,"²")+COUNTIF($E34:G34,"µ")+COUNTIF($E34:G34,1)-1,INDEX(Roadmap!$D:$K,MATCH($E34,Roadmap!$D:$D,0)-1+COUNTIF($E34:G34,"u")+COUNTIF($E34:G34,"t")+COUNTIF($E34:G34,"¶")+COUNTIF($E34:G34,"²")+COUNTIF($E34:G34,"µ")+COUNTIF($E34:G34,1),ColDescriptionCourte)),""),
  "")),"")</f>
        <v/>
      </c>
      <c r="I34" s="40" t="str">
        <f ca="1">IFERROR(IF(AND(
  INDEX(Roadmap!$D:$K,MATCH($E34,Roadmap!$D:$D,0)+COUNTIF($E34:H34,"u")+COUNTIF($E34:H34,"t")+COUNTIF($E34:H34,"¶")+COUNTIF($E34:H34,"²")+COUNTIF($E34:H34,"µ")+COUNTIF($E34:H34,1),ColLivraison)=I$6,
  VLOOKUP($E34,INDIRECT("tri!"&amp; CHAR(64+ C0Col) &amp;":"&amp; CHAR(65+C0Col)),2,FALSE)&gt;COUNTIF($E34:H34,"u")+COUNTIF($E34:H34,"t")+COUNTIF($E34:H34,"¶")+COUNTIF($E34:H34,"²")+COUNTIF($E34:H34,"µ")+COUNTIF($E34:H34,1)),
HYPERLINK("#Roadmap!C"&amp; MATCH($E34,Roadmap!$D:$D,0)+COUNTIF($E34:H34,"u")+COUNTIF($E34:H34,"t"),
     INDEX(Roadmap!$D:$K,MATCH($E34,Roadmap!$D:$D,0)+COUNTIF($E34:H34,"u")+COUNTIF($E34:H34,"t")+COUNTIF($E34:H34,"¶")+COUNTIF($E34:H34,"²")+COUNTIF($E34:H34,"µ")+COUNTIF($E34:H34,1),ColTypeEcheance)),
  IF(LEN(H34)=1,
  IF(LEN(INDEX(Roadmap!$D:$K,MATCH($E34,Roadmap!$D:$D,0)-1+COUNTIF($E34:H34,"u")+COUNTIF($E34:H34,"t")+COUNTIF($E34:H34,"¶")+COUNTIF($E34:H34,"²")+COUNTIF($E34:H34,"µ")+COUNTIF($E34:H34,1),ColDescriptionCourte))&gt;1,
HYPERLINK("#Roadmap!C"&amp; MATCH($E34,Roadmap!$D:$D,0)+COUNTIF($E34:H34,"u")+COUNTIF($E34:H34,"t")+COUNTIF($E34:H34,"¶")+COUNTIF($E34:H34,"²")+COUNTIF($E34:H34,"µ")+COUNTIF($E34:H34,1)-1,INDEX(Roadmap!$D:$K,MATCH($E34,Roadmap!$D:$D,0)-1+COUNTIF($E34:H34,"u")+COUNTIF($E34:H34,"t")+COUNTIF($E34:H34,"¶")+COUNTIF($E34:H34,"²")+COUNTIF($E34:H34,"µ")+COUNTIF($E34:H34,1),ColDescriptionCourte)),""),
  "")),"")</f>
        <v/>
      </c>
      <c r="J34" s="40" t="str">
        <f ca="1">IFERROR(IF(AND(
  INDEX(Roadmap!$D:$K,MATCH($E34,Roadmap!$D:$D,0)+COUNTIF($E34:I34,"u")+COUNTIF($E34:I34,"t")+COUNTIF($E34:I34,"¶")+COUNTIF($E34:I34,"²")+COUNTIF($E34:I34,"µ")+COUNTIF($E34:I34,1),ColLivraison)=J$6,
  VLOOKUP($E34,INDIRECT("tri!"&amp; CHAR(64+ C0Col) &amp;":"&amp; CHAR(65+C0Col)),2,FALSE)&gt;COUNTIF($E34:I34,"u")+COUNTIF($E34:I34,"t")+COUNTIF($E34:I34,"¶")+COUNTIF($E34:I34,"²")+COUNTIF($E34:I34,"µ")+COUNTIF($E34:I34,1)),
HYPERLINK("#Roadmap!C"&amp; MATCH($E34,Roadmap!$D:$D,0)+COUNTIF($E34:I34,"u")+COUNTIF($E34:I34,"t"),
     INDEX(Roadmap!$D:$K,MATCH($E34,Roadmap!$D:$D,0)+COUNTIF($E34:I34,"u")+COUNTIF($E34:I34,"t")+COUNTIF($E34:I34,"¶")+COUNTIF($E34:I34,"²")+COUNTIF($E34:I34,"µ")+COUNTIF($E34:I34,1),ColTypeEcheance)),
  IF(LEN(I34)=1,
  IF(LEN(INDEX(Roadmap!$D:$K,MATCH($E34,Roadmap!$D:$D,0)-1+COUNTIF($E34:I34,"u")+COUNTIF($E34:I34,"t")+COUNTIF($E34:I34,"¶")+COUNTIF($E34:I34,"²")+COUNTIF($E34:I34,"µ")+COUNTIF($E34:I34,1),ColDescriptionCourte))&gt;1,
HYPERLINK("#Roadmap!C"&amp; MATCH($E34,Roadmap!$D:$D,0)+COUNTIF($E34:I34,"u")+COUNTIF($E34:I34,"t")+COUNTIF($E34:I34,"¶")+COUNTIF($E34:I34,"²")+COUNTIF($E34:I34,"µ")+COUNTIF($E34:I34,1)-1,INDEX(Roadmap!$D:$K,MATCH($E34,Roadmap!$D:$D,0)-1+COUNTIF($E34:I34,"u")+COUNTIF($E34:I34,"t")+COUNTIF($E34:I34,"¶")+COUNTIF($E34:I34,"²")+COUNTIF($E34:I34,"µ")+COUNTIF($E34:I34,1),ColDescriptionCourte)),""),
  "")),"")</f>
        <v/>
      </c>
      <c r="K34" s="40" t="str">
        <f ca="1">IFERROR(IF(AND(
  INDEX(Roadmap!$D:$K,MATCH($E34,Roadmap!$D:$D,0)+COUNTIF($E34:J34,"u")+COUNTIF($E34:J34,"t")+COUNTIF($E34:J34,"¶")+COUNTIF($E34:J34,"²")+COUNTIF($E34:J34,"µ")+COUNTIF($E34:J34,1),ColLivraison)=K$6,
  VLOOKUP($E34,INDIRECT("tri!"&amp; CHAR(64+ C0Col) &amp;":"&amp; CHAR(65+C0Col)),2,FALSE)&gt;COUNTIF($E34:J34,"u")+COUNTIF($E34:J34,"t")+COUNTIF($E34:J34,"¶")+COUNTIF($E34:J34,"²")+COUNTIF($E34:J34,"µ")+COUNTIF($E34:J34,1)),
HYPERLINK("#Roadmap!C"&amp; MATCH($E34,Roadmap!$D:$D,0)+COUNTIF($E34:J34,"u")+COUNTIF($E34:J34,"t"),
     INDEX(Roadmap!$D:$K,MATCH($E34,Roadmap!$D:$D,0)+COUNTIF($E34:J34,"u")+COUNTIF($E34:J34,"t")+COUNTIF($E34:J34,"¶")+COUNTIF($E34:J34,"²")+COUNTIF($E34:J34,"µ")+COUNTIF($E34:J34,1),ColTypeEcheance)),
  IF(LEN(J34)=1,
  IF(LEN(INDEX(Roadmap!$D:$K,MATCH($E34,Roadmap!$D:$D,0)-1+COUNTIF($E34:J34,"u")+COUNTIF($E34:J34,"t")+COUNTIF($E34:J34,"¶")+COUNTIF($E34:J34,"²")+COUNTIF($E34:J34,"µ")+COUNTIF($E34:J34,1),ColDescriptionCourte))&gt;1,
HYPERLINK("#Roadmap!C"&amp; MATCH($E34,Roadmap!$D:$D,0)+COUNTIF($E34:J34,"u")+COUNTIF($E34:J34,"t")+COUNTIF($E34:J34,"¶")+COUNTIF($E34:J34,"²")+COUNTIF($E34:J34,"µ")+COUNTIF($E34:J34,1)-1,INDEX(Roadmap!$D:$K,MATCH($E34,Roadmap!$D:$D,0)-1+COUNTIF($E34:J34,"u")+COUNTIF($E34:J34,"t")+COUNTIF($E34:J34,"¶")+COUNTIF($E34:J34,"²")+COUNTIF($E34:J34,"µ")+COUNTIF($E34:J34,1),ColDescriptionCourte)),""),
  "")),"")</f>
        <v/>
      </c>
      <c r="L34" s="39" t="str">
        <f ca="1">IFERROR(IF(AND(
  INDEX(Roadmap!$D:$K,MATCH($E34,Roadmap!$D:$D,0)+COUNTIF($E34:K34,"u")+COUNTIF($E34:K34,"t")+COUNTIF($E34:K34,"¶")+COUNTIF($E34:K34,"²")+COUNTIF($E34:K34,"µ")+COUNTIF($E34:K34,1),ColLivraison)=L$6,
  VLOOKUP($E34,INDIRECT("tri!"&amp; CHAR(64+ C0Col) &amp;":"&amp; CHAR(65+C0Col)),2,FALSE)&gt;COUNTIF($E34:K34,"u")+COUNTIF($E34:K34,"t")+COUNTIF($E34:K34,"¶")+COUNTIF($E34:K34,"²")+COUNTIF($E34:K34,"µ")+COUNTIF($E34:K34,1)),
HYPERLINK("#Roadmap!C"&amp; MATCH($E34,Roadmap!$D:$D,0)+COUNTIF($E34:K34,"u")+COUNTIF($E34:K34,"t"),
     INDEX(Roadmap!$D:$K,MATCH($E34,Roadmap!$D:$D,0)+COUNTIF($E34:K34,"u")+COUNTIF($E34:K34,"t")+COUNTIF($E34:K34,"¶")+COUNTIF($E34:K34,"²")+COUNTIF($E34:K34,"µ")+COUNTIF($E34:K34,1),ColTypeEcheance)),
  IF(LEN(K34)=1,
  IF(LEN(INDEX(Roadmap!$D:$K,MATCH($E34,Roadmap!$D:$D,0)-1+COUNTIF($E34:K34,"u")+COUNTIF($E34:K34,"t")+COUNTIF($E34:K34,"¶")+COUNTIF($E34:K34,"²")+COUNTIF($E34:K34,"µ")+COUNTIF($E34:K34,1),ColDescriptionCourte))&gt;1,
HYPERLINK("#Roadmap!C"&amp; MATCH($E34,Roadmap!$D:$D,0)+COUNTIF($E34:K34,"u")+COUNTIF($E34:K34,"t")+COUNTIF($E34:K34,"¶")+COUNTIF($E34:K34,"²")+COUNTIF($E34:K34,"µ")+COUNTIF($E34:K34,1)-1,INDEX(Roadmap!$D:$K,MATCH($E34,Roadmap!$D:$D,0)-1+COUNTIF($E34:K34,"u")+COUNTIF($E34:K34,"t")+COUNTIF($E34:K34,"¶")+COUNTIF($E34:K34,"²")+COUNTIF($E34:K34,"µ")+COUNTIF($E34:K34,1),ColDescriptionCourte)),""),
  "")),"")</f>
        <v/>
      </c>
      <c r="M34" s="40" t="str">
        <f ca="1">IFERROR(IF(AND(
  INDEX(Roadmap!$D:$K,MATCH($E34,Roadmap!$D:$D,0)+COUNTIF($E34:L34,"u")+COUNTIF($E34:L34,"t")+COUNTIF($E34:L34,"¶")+COUNTIF($E34:L34,"²")+COUNTIF($E34:L34,"µ")+COUNTIF($E34:L34,1),ColLivraison)=M$6,
  VLOOKUP($E34,INDIRECT("tri!"&amp; CHAR(64+ C0Col) &amp;":"&amp; CHAR(65+C0Col)),2,FALSE)&gt;COUNTIF($E34:L34,"u")+COUNTIF($E34:L34,"t")+COUNTIF($E34:L34,"¶")+COUNTIF($E34:L34,"²")+COUNTIF($E34:L34,"µ")+COUNTIF($E34:L34,1)),
HYPERLINK("#Roadmap!C"&amp; MATCH($E34,Roadmap!$D:$D,0)+COUNTIF($E34:L34,"u")+COUNTIF($E34:L34,"t"),
     INDEX(Roadmap!$D:$K,MATCH($E34,Roadmap!$D:$D,0)+COUNTIF($E34:L34,"u")+COUNTIF($E34:L34,"t")+COUNTIF($E34:L34,"¶")+COUNTIF($E34:L34,"²")+COUNTIF($E34:L34,"µ")+COUNTIF($E34:L34,1),ColTypeEcheance)),
  IF(LEN(L34)=1,
  IF(LEN(INDEX(Roadmap!$D:$K,MATCH($E34,Roadmap!$D:$D,0)-1+COUNTIF($E34:L34,"u")+COUNTIF($E34:L34,"t")+COUNTIF($E34:L34,"¶")+COUNTIF($E34:L34,"²")+COUNTIF($E34:L34,"µ")+COUNTIF($E34:L34,1),ColDescriptionCourte))&gt;1,
HYPERLINK("#Roadmap!C"&amp; MATCH($E34,Roadmap!$D:$D,0)+COUNTIF($E34:L34,"u")+COUNTIF($E34:L34,"t")+COUNTIF($E34:L34,"¶")+COUNTIF($E34:L34,"²")+COUNTIF($E34:L34,"µ")+COUNTIF($E34:L34,1)-1,INDEX(Roadmap!$D:$K,MATCH($E34,Roadmap!$D:$D,0)-1+COUNTIF($E34:L34,"u")+COUNTIF($E34:L34,"t")+COUNTIF($E34:L34,"¶")+COUNTIF($E34:L34,"²")+COUNTIF($E34:L34,"µ")+COUNTIF($E34:L34,1),ColDescriptionCourte)),""),
  "")),"")</f>
        <v/>
      </c>
      <c r="N34" s="40" t="str">
        <f ca="1">IFERROR(IF(AND(
  INDEX(Roadmap!$D:$K,MATCH($E34,Roadmap!$D:$D,0)+COUNTIF($E34:M34,"u")+COUNTIF($E34:M34,"t")+COUNTIF($E34:M34,"¶")+COUNTIF($E34:M34,"²")+COUNTIF($E34:M34,"µ")+COUNTIF($E34:M34,1),ColLivraison)=N$6,
  VLOOKUP($E34,INDIRECT("tri!"&amp; CHAR(64+ C0Col) &amp;":"&amp; CHAR(65+C0Col)),2,FALSE)&gt;COUNTIF($E34:M34,"u")+COUNTIF($E34:M34,"t")+COUNTIF($E34:M34,"¶")+COUNTIF($E34:M34,"²")+COUNTIF($E34:M34,"µ")+COUNTIF($E34:M34,1)),
HYPERLINK("#Roadmap!C"&amp; MATCH($E34,Roadmap!$D:$D,0)+COUNTIF($E34:M34,"u")+COUNTIF($E34:M34,"t"),
     INDEX(Roadmap!$D:$K,MATCH($E34,Roadmap!$D:$D,0)+COUNTIF($E34:M34,"u")+COUNTIF($E34:M34,"t")+COUNTIF($E34:M34,"¶")+COUNTIF($E34:M34,"²")+COUNTIF($E34:M34,"µ")+COUNTIF($E34:M34,1),ColTypeEcheance)),
  IF(LEN(M34)=1,
  IF(LEN(INDEX(Roadmap!$D:$K,MATCH($E34,Roadmap!$D:$D,0)-1+COUNTIF($E34:M34,"u")+COUNTIF($E34:M34,"t")+COUNTIF($E34:M34,"¶")+COUNTIF($E34:M34,"²")+COUNTIF($E34:M34,"µ")+COUNTIF($E34:M34,1),ColDescriptionCourte))&gt;1,
HYPERLINK("#Roadmap!C"&amp; MATCH($E34,Roadmap!$D:$D,0)+COUNTIF($E34:M34,"u")+COUNTIF($E34:M34,"t")+COUNTIF($E34:M34,"¶")+COUNTIF($E34:M34,"²")+COUNTIF($E34:M34,"µ")+COUNTIF($E34:M34,1)-1,INDEX(Roadmap!$D:$K,MATCH($E34,Roadmap!$D:$D,0)-1+COUNTIF($E34:M34,"u")+COUNTIF($E34:M34,"t")+COUNTIF($E34:M34,"¶")+COUNTIF($E34:M34,"²")+COUNTIF($E34:M34,"µ")+COUNTIF($E34:M34,1),ColDescriptionCourte)),""),
  "")),"")</f>
        <v/>
      </c>
      <c r="O34" s="40" t="str">
        <f ca="1">IFERROR(IF(AND(
  INDEX(Roadmap!$D:$K,MATCH($E34,Roadmap!$D:$D,0)+COUNTIF($E34:N34,"u")+COUNTIF($E34:N34,"t")+COUNTIF($E34:N34,"¶")+COUNTIF($E34:N34,"²")+COUNTIF($E34:N34,"µ")+COUNTIF($E34:N34,1),ColLivraison)=O$6,
  VLOOKUP($E34,INDIRECT("tri!"&amp; CHAR(64+ C0Col) &amp;":"&amp; CHAR(65+C0Col)),2,FALSE)&gt;COUNTIF($E34:N34,"u")+COUNTIF($E34:N34,"t")+COUNTIF($E34:N34,"¶")+COUNTIF($E34:N34,"²")+COUNTIF($E34:N34,"µ")+COUNTIF($E34:N34,1)),
HYPERLINK("#Roadmap!C"&amp; MATCH($E34,Roadmap!$D:$D,0)+COUNTIF($E34:N34,"u")+COUNTIF($E34:N34,"t"),
     INDEX(Roadmap!$D:$K,MATCH($E34,Roadmap!$D:$D,0)+COUNTIF($E34:N34,"u")+COUNTIF($E34:N34,"t")+COUNTIF($E34:N34,"¶")+COUNTIF($E34:N34,"²")+COUNTIF($E34:N34,"µ")+COUNTIF($E34:N34,1),ColTypeEcheance)),
  IF(LEN(N34)=1,
  IF(LEN(INDEX(Roadmap!$D:$K,MATCH($E34,Roadmap!$D:$D,0)-1+COUNTIF($E34:N34,"u")+COUNTIF($E34:N34,"t")+COUNTIF($E34:N34,"¶")+COUNTIF($E34:N34,"²")+COUNTIF($E34:N34,"µ")+COUNTIF($E34:N34,1),ColDescriptionCourte))&gt;1,
HYPERLINK("#Roadmap!C"&amp; MATCH($E34,Roadmap!$D:$D,0)+COUNTIF($E34:N34,"u")+COUNTIF($E34:N34,"t")+COUNTIF($E34:N34,"¶")+COUNTIF($E34:N34,"²")+COUNTIF($E34:N34,"µ")+COUNTIF($E34:N34,1)-1,INDEX(Roadmap!$D:$K,MATCH($E34,Roadmap!$D:$D,0)-1+COUNTIF($E34:N34,"u")+COUNTIF($E34:N34,"t")+COUNTIF($E34:N34,"¶")+COUNTIF($E34:N34,"²")+COUNTIF($E34:N34,"µ")+COUNTIF($E34:N34,1),ColDescriptionCourte)),""),
  "")),"")</f>
        <v/>
      </c>
      <c r="P34" s="40" t="str">
        <f ca="1">IFERROR(IF(AND(
  INDEX(Roadmap!$D:$K,MATCH($E34,Roadmap!$D:$D,0)+COUNTIF($E34:O34,"u")+COUNTIF($E34:O34,"t")+COUNTIF($E34:O34,"¶")+COUNTIF($E34:O34,"²")+COUNTIF($E34:O34,"µ")+COUNTIF($E34:O34,1),ColLivraison)=P$6,
  VLOOKUP($E34,INDIRECT("tri!"&amp; CHAR(64+ C0Col) &amp;":"&amp; CHAR(65+C0Col)),2,FALSE)&gt;COUNTIF($E34:O34,"u")+COUNTIF($E34:O34,"t")+COUNTIF($E34:O34,"¶")+COUNTIF($E34:O34,"²")+COUNTIF($E34:O34,"µ")+COUNTIF($E34:O34,1)),
HYPERLINK("#Roadmap!C"&amp; MATCH($E34,Roadmap!$D:$D,0)+COUNTIF($E34:O34,"u")+COUNTIF($E34:O34,"t"),
     INDEX(Roadmap!$D:$K,MATCH($E34,Roadmap!$D:$D,0)+COUNTIF($E34:O34,"u")+COUNTIF($E34:O34,"t")+COUNTIF($E34:O34,"¶")+COUNTIF($E34:O34,"²")+COUNTIF($E34:O34,"µ")+COUNTIF($E34:O34,1),ColTypeEcheance)),
  IF(LEN(O34)=1,
  IF(LEN(INDEX(Roadmap!$D:$K,MATCH($E34,Roadmap!$D:$D,0)-1+COUNTIF($E34:O34,"u")+COUNTIF($E34:O34,"t")+COUNTIF($E34:O34,"¶")+COUNTIF($E34:O34,"²")+COUNTIF($E34:O34,"µ")+COUNTIF($E34:O34,1),ColDescriptionCourte))&gt;1,
HYPERLINK("#Roadmap!C"&amp; MATCH($E34,Roadmap!$D:$D,0)+COUNTIF($E34:O34,"u")+COUNTIF($E34:O34,"t")+COUNTIF($E34:O34,"¶")+COUNTIF($E34:O34,"²")+COUNTIF($E34:O34,"µ")+COUNTIF($E34:O34,1)-1,INDEX(Roadmap!$D:$K,MATCH($E34,Roadmap!$D:$D,0)-1+COUNTIF($E34:O34,"u")+COUNTIF($E34:O34,"t")+COUNTIF($E34:O34,"¶")+COUNTIF($E34:O34,"²")+COUNTIF($E34:O34,"µ")+COUNTIF($E34:O34,1),ColDescriptionCourte)),""),
  "")),"")</f>
        <v/>
      </c>
      <c r="Q34" s="40" t="str">
        <f ca="1">IFERROR(IF(AND(
  INDEX(Roadmap!$D:$K,MATCH($E34,Roadmap!$D:$D,0)+COUNTIF($E34:P34,"u")+COUNTIF($E34:P34,"t")+COUNTIF($E34:P34,"¶")+COUNTIF($E34:P34,"²")+COUNTIF($E34:P34,"µ")+COUNTIF($E34:P34,1),ColLivraison)=Q$6,
  VLOOKUP($E34,INDIRECT("tri!"&amp; CHAR(64+ C0Col) &amp;":"&amp; CHAR(65+C0Col)),2,FALSE)&gt;COUNTIF($E34:P34,"u")+COUNTIF($E34:P34,"t")+COUNTIF($E34:P34,"¶")+COUNTIF($E34:P34,"²")+COUNTIF($E34:P34,"µ")+COUNTIF($E34:P34,1)),
HYPERLINK("#Roadmap!C"&amp; MATCH($E34,Roadmap!$D:$D,0)+COUNTIF($E34:P34,"u")+COUNTIF($E34:P34,"t"),
     INDEX(Roadmap!$D:$K,MATCH($E34,Roadmap!$D:$D,0)+COUNTIF($E34:P34,"u")+COUNTIF($E34:P34,"t")+COUNTIF($E34:P34,"¶")+COUNTIF($E34:P34,"²")+COUNTIF($E34:P34,"µ")+COUNTIF($E34:P34,1),ColTypeEcheance)),
  IF(LEN(P34)=1,
  IF(LEN(INDEX(Roadmap!$D:$K,MATCH($E34,Roadmap!$D:$D,0)-1+COUNTIF($E34:P34,"u")+COUNTIF($E34:P34,"t")+COUNTIF($E34:P34,"¶")+COUNTIF($E34:P34,"²")+COUNTIF($E34:P34,"µ")+COUNTIF($E34:P34,1),ColDescriptionCourte))&gt;1,
HYPERLINK("#Roadmap!C"&amp; MATCH($E34,Roadmap!$D:$D,0)+COUNTIF($E34:P34,"u")+COUNTIF($E34:P34,"t")+COUNTIF($E34:P34,"¶")+COUNTIF($E34:P34,"²")+COUNTIF($E34:P34,"µ")+COUNTIF($E34:P34,1)-1,INDEX(Roadmap!$D:$K,MATCH($E34,Roadmap!$D:$D,0)-1+COUNTIF($E34:P34,"u")+COUNTIF($E34:P34,"t")+COUNTIF($E34:P34,"¶")+COUNTIF($E34:P34,"²")+COUNTIF($E34:P34,"µ")+COUNTIF($E34:P34,1),ColDescriptionCourte)),""),
  "")),"")</f>
        <v/>
      </c>
      <c r="R34" s="40" t="str">
        <f ca="1">IFERROR(IF(AND(
  INDEX(Roadmap!$D:$K,MATCH($E34,Roadmap!$D:$D,0)+COUNTIF($E34:Q34,"u")+COUNTIF($E34:Q34,"t")+COUNTIF($E34:Q34,"¶")+COUNTIF($E34:Q34,"²")+COUNTIF($E34:Q34,"µ")+COUNTIF($E34:Q34,1),ColLivraison)=R$6,
  VLOOKUP($E34,INDIRECT("tri!"&amp; CHAR(64+ C0Col) &amp;":"&amp; CHAR(65+C0Col)),2,FALSE)&gt;COUNTIF($E34:Q34,"u")+COUNTIF($E34:Q34,"t")+COUNTIF($E34:Q34,"¶")+COUNTIF($E34:Q34,"²")+COUNTIF($E34:Q34,"µ")+COUNTIF($E34:Q34,1)),
HYPERLINK("#Roadmap!C"&amp; MATCH($E34,Roadmap!$D:$D,0)+COUNTIF($E34:Q34,"u")+COUNTIF($E34:Q34,"t"),
     INDEX(Roadmap!$D:$K,MATCH($E34,Roadmap!$D:$D,0)+COUNTIF($E34:Q34,"u")+COUNTIF($E34:Q34,"t")+COUNTIF($E34:Q34,"¶")+COUNTIF($E34:Q34,"²")+COUNTIF($E34:Q34,"µ")+COUNTIF($E34:Q34,1),ColTypeEcheance)),
  IF(LEN(Q34)=1,
  IF(LEN(INDEX(Roadmap!$D:$K,MATCH($E34,Roadmap!$D:$D,0)-1+COUNTIF($E34:Q34,"u")+COUNTIF($E34:Q34,"t")+COUNTIF($E34:Q34,"¶")+COUNTIF($E34:Q34,"²")+COUNTIF($E34:Q34,"µ")+COUNTIF($E34:Q34,1),ColDescriptionCourte))&gt;1,
HYPERLINK("#Roadmap!C"&amp; MATCH($E34,Roadmap!$D:$D,0)+COUNTIF($E34:Q34,"u")+COUNTIF($E34:Q34,"t")+COUNTIF($E34:Q34,"¶")+COUNTIF($E34:Q34,"²")+COUNTIF($E34:Q34,"µ")+COUNTIF($E34:Q34,1)-1,INDEX(Roadmap!$D:$K,MATCH($E34,Roadmap!$D:$D,0)-1+COUNTIF($E34:Q34,"u")+COUNTIF($E34:Q34,"t")+COUNTIF($E34:Q34,"¶")+COUNTIF($E34:Q34,"²")+COUNTIF($E34:Q34,"µ")+COUNTIF($E34:Q34,1),ColDescriptionCourte)),""),
  "")),"")</f>
        <v/>
      </c>
      <c r="S34" s="40" t="str">
        <f ca="1">IFERROR(IF(AND(
  INDEX(Roadmap!$D:$K,MATCH($E34,Roadmap!$D:$D,0)+COUNTIF($E34:R34,"u")+COUNTIF($E34:R34,"t")+COUNTIF($E34:R34,"¶")+COUNTIF($E34:R34,"²")+COUNTIF($E34:R34,"µ")+COUNTIF($E34:R34,1),ColLivraison)=S$6,
  VLOOKUP($E34,INDIRECT("tri!"&amp; CHAR(64+ C0Col) &amp;":"&amp; CHAR(65+C0Col)),2,FALSE)&gt;COUNTIF($E34:R34,"u")+COUNTIF($E34:R34,"t")+COUNTIF($E34:R34,"¶")+COUNTIF($E34:R34,"²")+COUNTIF($E34:R34,"µ")+COUNTIF($E34:R34,1)),
HYPERLINK("#Roadmap!C"&amp; MATCH($E34,Roadmap!$D:$D,0)+COUNTIF($E34:R34,"u")+COUNTIF($E34:R34,"t"),
     INDEX(Roadmap!$D:$K,MATCH($E34,Roadmap!$D:$D,0)+COUNTIF($E34:R34,"u")+COUNTIF($E34:R34,"t")+COUNTIF($E34:R34,"¶")+COUNTIF($E34:R34,"²")+COUNTIF($E34:R34,"µ")+COUNTIF($E34:R34,1),ColTypeEcheance)),
  IF(LEN(R34)=1,
  IF(LEN(INDEX(Roadmap!$D:$K,MATCH($E34,Roadmap!$D:$D,0)-1+COUNTIF($E34:R34,"u")+COUNTIF($E34:R34,"t")+COUNTIF($E34:R34,"¶")+COUNTIF($E34:R34,"²")+COUNTIF($E34:R34,"µ")+COUNTIF($E34:R34,1),ColDescriptionCourte))&gt;1,
HYPERLINK("#Roadmap!C"&amp; MATCH($E34,Roadmap!$D:$D,0)+COUNTIF($E34:R34,"u")+COUNTIF($E34:R34,"t")+COUNTIF($E34:R34,"¶")+COUNTIF($E34:R34,"²")+COUNTIF($E34:R34,"µ")+COUNTIF($E34:R34,1)-1,INDEX(Roadmap!$D:$K,MATCH($E34,Roadmap!$D:$D,0)-1+COUNTIF($E34:R34,"u")+COUNTIF($E34:R34,"t")+COUNTIF($E34:R34,"¶")+COUNTIF($E34:R34,"²")+COUNTIF($E34:R34,"µ")+COUNTIF($E34:R34,1),ColDescriptionCourte)),""),
  "")),"")</f>
        <v/>
      </c>
      <c r="T34" s="40" t="str">
        <f ca="1">IFERROR(IF(AND(
  INDEX(Roadmap!$D:$K,MATCH($E34,Roadmap!$D:$D,0)+COUNTIF($E34:S34,"u")+COUNTIF($E34:S34,"t")+COUNTIF($E34:S34,"¶")+COUNTIF($E34:S34,"²")+COUNTIF($E34:S34,"µ")+COUNTIF($E34:S34,1),ColLivraison)=T$6,
  VLOOKUP($E34,INDIRECT("tri!"&amp; CHAR(64+ C0Col) &amp;":"&amp; CHAR(65+C0Col)),2,FALSE)&gt;COUNTIF($E34:S34,"u")+COUNTIF($E34:S34,"t")+COUNTIF($E34:S34,"¶")+COUNTIF($E34:S34,"²")+COUNTIF($E34:S34,"µ")+COUNTIF($E34:S34,1)),
HYPERLINK("#Roadmap!C"&amp; MATCH($E34,Roadmap!$D:$D,0)+COUNTIF($E34:S34,"u")+COUNTIF($E34:S34,"t"),
     INDEX(Roadmap!$D:$K,MATCH($E34,Roadmap!$D:$D,0)+COUNTIF($E34:S34,"u")+COUNTIF($E34:S34,"t")+COUNTIF($E34:S34,"¶")+COUNTIF($E34:S34,"²")+COUNTIF($E34:S34,"µ")+COUNTIF($E34:S34,1),ColTypeEcheance)),
  IF(LEN(S34)=1,
  IF(LEN(INDEX(Roadmap!$D:$K,MATCH($E34,Roadmap!$D:$D,0)-1+COUNTIF($E34:S34,"u")+COUNTIF($E34:S34,"t")+COUNTIF($E34:S34,"¶")+COUNTIF($E34:S34,"²")+COUNTIF($E34:S34,"µ")+COUNTIF($E34:S34,1),ColDescriptionCourte))&gt;1,
HYPERLINK("#Roadmap!C"&amp; MATCH($E34,Roadmap!$D:$D,0)+COUNTIF($E34:S34,"u")+COUNTIF($E34:S34,"t")+COUNTIF($E34:S34,"¶")+COUNTIF($E34:S34,"²")+COUNTIF($E34:S34,"µ")+COUNTIF($E34:S34,1)-1,INDEX(Roadmap!$D:$K,MATCH($E34,Roadmap!$D:$D,0)-1+COUNTIF($E34:S34,"u")+COUNTIF($E34:S34,"t")+COUNTIF($E34:S34,"¶")+COUNTIF($E34:S34,"²")+COUNTIF($E34:S34,"µ")+COUNTIF($E34:S34,1),ColDescriptionCourte)),""),
  "")),"")</f>
        <v/>
      </c>
      <c r="U34" s="40" t="str">
        <f ca="1">IFERROR(IF(AND(
  INDEX(Roadmap!$D:$K,MATCH($E34,Roadmap!$D:$D,0)+COUNTIF($E34:T34,"u")+COUNTIF($E34:T34,"t")+COUNTIF($E34:T34,"¶")+COUNTIF($E34:T34,"²")+COUNTIF($E34:T34,"µ")+COUNTIF($E34:T34,1),ColLivraison)=U$6,
  VLOOKUP($E34,INDIRECT("tri!"&amp; CHAR(64+ C0Col) &amp;":"&amp; CHAR(65+C0Col)),2,FALSE)&gt;COUNTIF($E34:T34,"u")+COUNTIF($E34:T34,"t")+COUNTIF($E34:T34,"¶")+COUNTIF($E34:T34,"²")+COUNTIF($E34:T34,"µ")+COUNTIF($E34:T34,1)),
HYPERLINK("#Roadmap!C"&amp; MATCH($E34,Roadmap!$D:$D,0)+COUNTIF($E34:T34,"u")+COUNTIF($E34:T34,"t"),
     INDEX(Roadmap!$D:$K,MATCH($E34,Roadmap!$D:$D,0)+COUNTIF($E34:T34,"u")+COUNTIF($E34:T34,"t")+COUNTIF($E34:T34,"¶")+COUNTIF($E34:T34,"²")+COUNTIF($E34:T34,"µ")+COUNTIF($E34:T34,1),ColTypeEcheance)),
  IF(LEN(T34)=1,
  IF(LEN(INDEX(Roadmap!$D:$K,MATCH($E34,Roadmap!$D:$D,0)-1+COUNTIF($E34:T34,"u")+COUNTIF($E34:T34,"t")+COUNTIF($E34:T34,"¶")+COUNTIF($E34:T34,"²")+COUNTIF($E34:T34,"µ")+COUNTIF($E34:T34,1),ColDescriptionCourte))&gt;1,
HYPERLINK("#Roadmap!C"&amp; MATCH($E34,Roadmap!$D:$D,0)+COUNTIF($E34:T34,"u")+COUNTIF($E34:T34,"t")+COUNTIF($E34:T34,"¶")+COUNTIF($E34:T34,"²")+COUNTIF($E34:T34,"µ")+COUNTIF($E34:T34,1)-1,INDEX(Roadmap!$D:$K,MATCH($E34,Roadmap!$D:$D,0)-1+COUNTIF($E34:T34,"u")+COUNTIF($E34:T34,"t")+COUNTIF($E34:T34,"¶")+COUNTIF($E34:T34,"²")+COUNTIF($E34:T34,"µ")+COUNTIF($E34:T34,1),ColDescriptionCourte)),""),
  "")),"")</f>
        <v/>
      </c>
      <c r="V34" s="40" t="str">
        <f ca="1">IFERROR(IF(AND(
  INDEX(Roadmap!$D:$K,MATCH($E34,Roadmap!$D:$D,0)+COUNTIF($E34:U34,"u")+COUNTIF($E34:U34,"t")+COUNTIF($E34:U34,"¶")+COUNTIF($E34:U34,"²")+COUNTIF($E34:U34,"µ")+COUNTIF($E34:U34,1),ColLivraison)=V$6,
  VLOOKUP($E34,INDIRECT("tri!"&amp; CHAR(64+ C0Col) &amp;":"&amp; CHAR(65+C0Col)),2,FALSE)&gt;COUNTIF($E34:U34,"u")+COUNTIF($E34:U34,"t")+COUNTIF($E34:U34,"¶")+COUNTIF($E34:U34,"²")+COUNTIF($E34:U34,"µ")+COUNTIF($E34:U34,1)),
HYPERLINK("#Roadmap!C"&amp; MATCH($E34,Roadmap!$D:$D,0)+COUNTIF($E34:U34,"u")+COUNTIF($E34:U34,"t"),
     INDEX(Roadmap!$D:$K,MATCH($E34,Roadmap!$D:$D,0)+COUNTIF($E34:U34,"u")+COUNTIF($E34:U34,"t")+COUNTIF($E34:U34,"¶")+COUNTIF($E34:U34,"²")+COUNTIF($E34:U34,"µ")+COUNTIF($E34:U34,1),ColTypeEcheance)),
  IF(LEN(U34)=1,
  IF(LEN(INDEX(Roadmap!$D:$K,MATCH($E34,Roadmap!$D:$D,0)-1+COUNTIF($E34:U34,"u")+COUNTIF($E34:U34,"t")+COUNTIF($E34:U34,"¶")+COUNTIF($E34:U34,"²")+COUNTIF($E34:U34,"µ")+COUNTIF($E34:U34,1),ColDescriptionCourte))&gt;1,
HYPERLINK("#Roadmap!C"&amp; MATCH($E34,Roadmap!$D:$D,0)+COUNTIF($E34:U34,"u")+COUNTIF($E34:U34,"t")+COUNTIF($E34:U34,"¶")+COUNTIF($E34:U34,"²")+COUNTIF($E34:U34,"µ")+COUNTIF($E34:U34,1)-1,INDEX(Roadmap!$D:$K,MATCH($E34,Roadmap!$D:$D,0)-1+COUNTIF($E34:U34,"u")+COUNTIF($E34:U34,"t")+COUNTIF($E34:U34,"¶")+COUNTIF($E34:U34,"²")+COUNTIF($E34:U34,"µ")+COUNTIF($E34:U34,1),ColDescriptionCourte)),""),
  "")),"")</f>
        <v/>
      </c>
      <c r="W34" s="40" t="str">
        <f ca="1">IFERROR(IF(AND(
  INDEX(Roadmap!$D:$K,MATCH($E34,Roadmap!$D:$D,0)+COUNTIF($E34:V34,"u")+COUNTIF($E34:V34,"t")+COUNTIF($E34:V34,"¶")+COUNTIF($E34:V34,"²")+COUNTIF($E34:V34,"µ")+COUNTIF($E34:V34,1),ColLivraison)=W$6,
  VLOOKUP($E34,INDIRECT("tri!"&amp; CHAR(64+ C0Col) &amp;":"&amp; CHAR(65+C0Col)),2,FALSE)&gt;COUNTIF($E34:V34,"u")+COUNTIF($E34:V34,"t")+COUNTIF($E34:V34,"¶")+COUNTIF($E34:V34,"²")+COUNTIF($E34:V34,"µ")+COUNTIF($E34:V34,1)),
HYPERLINK("#Roadmap!C"&amp; MATCH($E34,Roadmap!$D:$D,0)+COUNTIF($E34:V34,"u")+COUNTIF($E34:V34,"t"),
     INDEX(Roadmap!$D:$K,MATCH($E34,Roadmap!$D:$D,0)+COUNTIF($E34:V34,"u")+COUNTIF($E34:V34,"t")+COUNTIF($E34:V34,"¶")+COUNTIF($E34:V34,"²")+COUNTIF($E34:V34,"µ")+COUNTIF($E34:V34,1),ColTypeEcheance)),
  IF(LEN(V34)=1,
  IF(LEN(INDEX(Roadmap!$D:$K,MATCH($E34,Roadmap!$D:$D,0)-1+COUNTIF($E34:V34,"u")+COUNTIF($E34:V34,"t")+COUNTIF($E34:V34,"¶")+COUNTIF($E34:V34,"²")+COUNTIF($E34:V34,"µ")+COUNTIF($E34:V34,1),ColDescriptionCourte))&gt;1,
HYPERLINK("#Roadmap!C"&amp; MATCH($E34,Roadmap!$D:$D,0)+COUNTIF($E34:V34,"u")+COUNTIF($E34:V34,"t")+COUNTIF($E34:V34,"¶")+COUNTIF($E34:V34,"²")+COUNTIF($E34:V34,"µ")+COUNTIF($E34:V34,1)-1,INDEX(Roadmap!$D:$K,MATCH($E34,Roadmap!$D:$D,0)-1+COUNTIF($E34:V34,"u")+COUNTIF($E34:V34,"t")+COUNTIF($E34:V34,"¶")+COUNTIF($E34:V34,"²")+COUNTIF($E34:V34,"µ")+COUNTIF($E34:V34,1),ColDescriptionCourte)),""),
  "")),"")</f>
        <v/>
      </c>
      <c r="X34" s="40" t="str">
        <f ca="1">IFERROR(IF(AND(
  INDEX(Roadmap!$D:$K,MATCH($E34,Roadmap!$D:$D,0)+COUNTIF($E34:W34,"u")+COUNTIF($E34:W34,"t")+COUNTIF($E34:W34,"¶")+COUNTIF($E34:W34,"²")+COUNTIF($E34:W34,"µ")+COUNTIF($E34:W34,1),ColLivraison)=X$6,
  VLOOKUP($E34,INDIRECT("tri!"&amp; CHAR(64+ C0Col) &amp;":"&amp; CHAR(65+C0Col)),2,FALSE)&gt;COUNTIF($E34:W34,"u")+COUNTIF($E34:W34,"t")+COUNTIF($E34:W34,"¶")+COUNTIF($E34:W34,"²")+COUNTIF($E34:W34,"µ")+COUNTIF($E34:W34,1)),
HYPERLINK("#Roadmap!C"&amp; MATCH($E34,Roadmap!$D:$D,0)+COUNTIF($E34:W34,"u")+COUNTIF($E34:W34,"t"),
     INDEX(Roadmap!$D:$K,MATCH($E34,Roadmap!$D:$D,0)+COUNTIF($E34:W34,"u")+COUNTIF($E34:W34,"t")+COUNTIF($E34:W34,"¶")+COUNTIF($E34:W34,"²")+COUNTIF($E34:W34,"µ")+COUNTIF($E34:W34,1),ColTypeEcheance)),
  IF(LEN(W34)=1,
  IF(LEN(INDEX(Roadmap!$D:$K,MATCH($E34,Roadmap!$D:$D,0)-1+COUNTIF($E34:W34,"u")+COUNTIF($E34:W34,"t")+COUNTIF($E34:W34,"¶")+COUNTIF($E34:W34,"²")+COUNTIF($E34:W34,"µ")+COUNTIF($E34:W34,1),ColDescriptionCourte))&gt;1,
HYPERLINK("#Roadmap!C"&amp; MATCH($E34,Roadmap!$D:$D,0)+COUNTIF($E34:W34,"u")+COUNTIF($E34:W34,"t")+COUNTIF($E34:W34,"¶")+COUNTIF($E34:W34,"²")+COUNTIF($E34:W34,"µ")+COUNTIF($E34:W34,1)-1,INDEX(Roadmap!$D:$K,MATCH($E34,Roadmap!$D:$D,0)-1+COUNTIF($E34:W34,"u")+COUNTIF($E34:W34,"t")+COUNTIF($E34:W34,"¶")+COUNTIF($E34:W34,"²")+COUNTIF($E34:W34,"µ")+COUNTIF($E34:W34,1),ColDescriptionCourte)),""),
  "")),"")</f>
        <v/>
      </c>
      <c r="Y34" s="40" t="str">
        <f ca="1">IFERROR(IF(AND(
  INDEX(Roadmap!$D:$K,MATCH($E34,Roadmap!$D:$D,0)+COUNTIF($E34:X34,"u")+COUNTIF($E34:X34,"t")+COUNTIF($E34:X34,"¶")+COUNTIF($E34:X34,"²")+COUNTIF($E34:X34,"µ")+COUNTIF($E34:X34,1),ColLivraison)=Y$6,
  VLOOKUP($E34,INDIRECT("tri!"&amp; CHAR(64+ C0Col) &amp;":"&amp; CHAR(65+C0Col)),2,FALSE)&gt;COUNTIF($E34:X34,"u")+COUNTIF($E34:X34,"t")+COUNTIF($E34:X34,"¶")+COUNTIF($E34:X34,"²")+COUNTIF($E34:X34,"µ")+COUNTIF($E34:X34,1)),
HYPERLINK("#Roadmap!C"&amp; MATCH($E34,Roadmap!$D:$D,0)+COUNTIF($E34:X34,"u")+COUNTIF($E34:X34,"t"),
     INDEX(Roadmap!$D:$K,MATCH($E34,Roadmap!$D:$D,0)+COUNTIF($E34:X34,"u")+COUNTIF($E34:X34,"t")+COUNTIF($E34:X34,"¶")+COUNTIF($E34:X34,"²")+COUNTIF($E34:X34,"µ")+COUNTIF($E34:X34,1),ColTypeEcheance)),
  IF(LEN(X34)=1,
  IF(LEN(INDEX(Roadmap!$D:$K,MATCH($E34,Roadmap!$D:$D,0)-1+COUNTIF($E34:X34,"u")+COUNTIF($E34:X34,"t")+COUNTIF($E34:X34,"¶")+COUNTIF($E34:X34,"²")+COUNTIF($E34:X34,"µ")+COUNTIF($E34:X34,1),ColDescriptionCourte))&gt;1,
HYPERLINK("#Roadmap!C"&amp; MATCH($E34,Roadmap!$D:$D,0)+COUNTIF($E34:X34,"u")+COUNTIF($E34:X34,"t")+COUNTIF($E34:X34,"¶")+COUNTIF($E34:X34,"²")+COUNTIF($E34:X34,"µ")+COUNTIF($E34:X34,1)-1,INDEX(Roadmap!$D:$K,MATCH($E34,Roadmap!$D:$D,0)-1+COUNTIF($E34:X34,"u")+COUNTIF($E34:X34,"t")+COUNTIF($E34:X34,"¶")+COUNTIF($E34:X34,"²")+COUNTIF($E34:X34,"µ")+COUNTIF($E34:X34,1),ColDescriptionCourte)),""),
  "")),"")</f>
        <v/>
      </c>
      <c r="Z34" s="40" t="str">
        <f ca="1">IFERROR(IF(AND(
  INDEX(Roadmap!$D:$K,MATCH($E34,Roadmap!$D:$D,0)+COUNTIF($E34:Y34,"u")+COUNTIF($E34:Y34,"t")+COUNTIF($E34:Y34,"¶")+COUNTIF($E34:Y34,"²")+COUNTIF($E34:Y34,"µ")+COUNTIF($E34:Y34,1),ColLivraison)=Z$6,
  VLOOKUP($E34,INDIRECT("tri!"&amp; CHAR(64+ C0Col) &amp;":"&amp; CHAR(65+C0Col)),2,FALSE)&gt;COUNTIF($E34:Y34,"u")+COUNTIF($E34:Y34,"t")+COUNTIF($E34:Y34,"¶")+COUNTIF($E34:Y34,"²")+COUNTIF($E34:Y34,"µ")+COUNTIF($E34:Y34,1)),
HYPERLINK("#Roadmap!C"&amp; MATCH($E34,Roadmap!$D:$D,0)+COUNTIF($E34:Y34,"u")+COUNTIF($E34:Y34,"t"),
     INDEX(Roadmap!$D:$K,MATCH($E34,Roadmap!$D:$D,0)+COUNTIF($E34:Y34,"u")+COUNTIF($E34:Y34,"t")+COUNTIF($E34:Y34,"¶")+COUNTIF($E34:Y34,"²")+COUNTIF($E34:Y34,"µ")+COUNTIF($E34:Y34,1),ColTypeEcheance)),
  IF(LEN(Y34)=1,
  IF(LEN(INDEX(Roadmap!$D:$K,MATCH($E34,Roadmap!$D:$D,0)-1+COUNTIF($E34:Y34,"u")+COUNTIF($E34:Y34,"t")+COUNTIF($E34:Y34,"¶")+COUNTIF($E34:Y34,"²")+COUNTIF($E34:Y34,"µ")+COUNTIF($E34:Y34,1),ColDescriptionCourte))&gt;1,
HYPERLINK("#Roadmap!C"&amp; MATCH($E34,Roadmap!$D:$D,0)+COUNTIF($E34:Y34,"u")+COUNTIF($E34:Y34,"t")+COUNTIF($E34:Y34,"¶")+COUNTIF($E34:Y34,"²")+COUNTIF($E34:Y34,"µ")+COUNTIF($E34:Y34,1)-1,INDEX(Roadmap!$D:$K,MATCH($E34,Roadmap!$D:$D,0)-1+COUNTIF($E34:Y34,"u")+COUNTIF($E34:Y34,"t")+COUNTIF($E34:Y34,"¶")+COUNTIF($E34:Y34,"²")+COUNTIF($E34:Y34,"µ")+COUNTIF($E34:Y34,1),ColDescriptionCourte)),""),
  "")),"")</f>
        <v/>
      </c>
      <c r="AA34" s="40" t="str">
        <f ca="1">IFERROR(IF(AND(
  INDEX(Roadmap!$D:$K,MATCH($E34,Roadmap!$D:$D,0)+COUNTIF($E34:Z34,"u")+COUNTIF($E34:Z34,"t")+COUNTIF($E34:Z34,"¶")+COUNTIF($E34:Z34,"²")+COUNTIF($E34:Z34,"µ")+COUNTIF($E34:Z34,1),ColLivraison)=AA$6,
  VLOOKUP($E34,INDIRECT("tri!"&amp; CHAR(64+ C0Col) &amp;":"&amp; CHAR(65+C0Col)),2,FALSE)&gt;COUNTIF($E34:Z34,"u")+COUNTIF($E34:Z34,"t")+COUNTIF($E34:Z34,"¶")+COUNTIF($E34:Z34,"²")+COUNTIF($E34:Z34,"µ")+COUNTIF($E34:Z34,1)),
HYPERLINK("#Roadmap!C"&amp; MATCH($E34,Roadmap!$D:$D,0)+COUNTIF($E34:Z34,"u")+COUNTIF($E34:Z34,"t"),
     INDEX(Roadmap!$D:$K,MATCH($E34,Roadmap!$D:$D,0)+COUNTIF($E34:Z34,"u")+COUNTIF($E34:Z34,"t")+COUNTIF($E34:Z34,"¶")+COUNTIF($E34:Z34,"²")+COUNTIF($E34:Z34,"µ")+COUNTIF($E34:Z34,1),ColTypeEcheance)),
  IF(LEN(Z34)=1,
  IF(LEN(INDEX(Roadmap!$D:$K,MATCH($E34,Roadmap!$D:$D,0)-1+COUNTIF($E34:Z34,"u")+COUNTIF($E34:Z34,"t")+COUNTIF($E34:Z34,"¶")+COUNTIF($E34:Z34,"²")+COUNTIF($E34:Z34,"µ")+COUNTIF($E34:Z34,1),ColDescriptionCourte))&gt;1,
HYPERLINK("#Roadmap!C"&amp; MATCH($E34,Roadmap!$D:$D,0)+COUNTIF($E34:Z34,"u")+COUNTIF($E34:Z34,"t")+COUNTIF($E34:Z34,"¶")+COUNTIF($E34:Z34,"²")+COUNTIF($E34:Z34,"µ")+COUNTIF($E34:Z34,1)-1,INDEX(Roadmap!$D:$K,MATCH($E34,Roadmap!$D:$D,0)-1+COUNTIF($E34:Z34,"u")+COUNTIF($E34:Z34,"t")+COUNTIF($E34:Z34,"¶")+COUNTIF($E34:Z34,"²")+COUNTIF($E34:Z34,"µ")+COUNTIF($E34:Z34,1),ColDescriptionCourte)),""),
  "")),"")</f>
        <v/>
      </c>
      <c r="AB34" s="40" t="str">
        <f ca="1">IFERROR(IF(AND(
  INDEX(Roadmap!$D:$K,MATCH($E34,Roadmap!$D:$D,0)+COUNTIF($E34:AA34,"u")+COUNTIF($E34:AA34,"t")+COUNTIF($E34:AA34,"¶")+COUNTIF($E34:AA34,"²")+COUNTIF($E34:AA34,"µ")+COUNTIF($E34:AA34,1),ColLivraison)=AB$6,
  VLOOKUP($E34,INDIRECT("tri!"&amp; CHAR(64+ C0Col) &amp;":"&amp; CHAR(65+C0Col)),2,FALSE)&gt;COUNTIF($E34:AA34,"u")+COUNTIF($E34:AA34,"t")+COUNTIF($E34:AA34,"¶")+COUNTIF($E34:AA34,"²")+COUNTIF($E34:AA34,"µ")+COUNTIF($E34:AA34,1)),
HYPERLINK("#Roadmap!C"&amp; MATCH($E34,Roadmap!$D:$D,0)+COUNTIF($E34:AA34,"u")+COUNTIF($E34:AA34,"t"),
     INDEX(Roadmap!$D:$K,MATCH($E34,Roadmap!$D:$D,0)+COUNTIF($E34:AA34,"u")+COUNTIF($E34:AA34,"t")+COUNTIF($E34:AA34,"¶")+COUNTIF($E34:AA34,"²")+COUNTIF($E34:AA34,"µ")+COUNTIF($E34:AA34,1),ColTypeEcheance)),
  IF(LEN(AA34)=1,
  IF(LEN(INDEX(Roadmap!$D:$K,MATCH($E34,Roadmap!$D:$D,0)-1+COUNTIF($E34:AA34,"u")+COUNTIF($E34:AA34,"t")+COUNTIF($E34:AA34,"¶")+COUNTIF($E34:AA34,"²")+COUNTIF($E34:AA34,"µ")+COUNTIF($E34:AA34,1),ColDescriptionCourte))&gt;1,
HYPERLINK("#Roadmap!C"&amp; MATCH($E34,Roadmap!$D:$D,0)+COUNTIF($E34:AA34,"u")+COUNTIF($E34:AA34,"t")+COUNTIF($E34:AA34,"¶")+COUNTIF($E34:AA34,"²")+COUNTIF($E34:AA34,"µ")+COUNTIF($E34:AA34,1)-1,INDEX(Roadmap!$D:$K,MATCH($E34,Roadmap!$D:$D,0)-1+COUNTIF($E34:AA34,"u")+COUNTIF($E34:AA34,"t")+COUNTIF($E34:AA34,"¶")+COUNTIF($E34:AA34,"²")+COUNTIF($E34:AA34,"µ")+COUNTIF($E34:AA34,1),ColDescriptionCourte)),""),
  "")),"")</f>
        <v/>
      </c>
      <c r="AC34" s="40" t="str">
        <f ca="1">IFERROR(IF(AND(
  INDEX(Roadmap!$D:$K,MATCH($E34,Roadmap!$D:$D,0)+COUNTIF($E34:AB34,"u")+COUNTIF($E34:AB34,"t")+COUNTIF($E34:AB34,"¶")+COUNTIF($E34:AB34,"²")+COUNTIF($E34:AB34,"µ")+COUNTIF($E34:AB34,1),ColLivraison)=AC$6,
  VLOOKUP($E34,INDIRECT("tri!"&amp; CHAR(64+ C0Col) &amp;":"&amp; CHAR(65+C0Col)),2,FALSE)&gt;COUNTIF($E34:AB34,"u")+COUNTIF($E34:AB34,"t")+COUNTIF($E34:AB34,"¶")+COUNTIF($E34:AB34,"²")+COUNTIF($E34:AB34,"µ")+COUNTIF($E34:AB34,1)),
HYPERLINK("#Roadmap!C"&amp; MATCH($E34,Roadmap!$D:$D,0)+COUNTIF($E34:AB34,"u")+COUNTIF($E34:AB34,"t"),
     INDEX(Roadmap!$D:$K,MATCH($E34,Roadmap!$D:$D,0)+COUNTIF($E34:AB34,"u")+COUNTIF($E34:AB34,"t")+COUNTIF($E34:AB34,"¶")+COUNTIF($E34:AB34,"²")+COUNTIF($E34:AB34,"µ")+COUNTIF($E34:AB34,1),ColTypeEcheance)),
  IF(LEN(AB34)=1,
  IF(LEN(INDEX(Roadmap!$D:$K,MATCH($E34,Roadmap!$D:$D,0)-1+COUNTIF($E34:AB34,"u")+COUNTIF($E34:AB34,"t")+COUNTIF($E34:AB34,"¶")+COUNTIF($E34:AB34,"²")+COUNTIF($E34:AB34,"µ")+COUNTIF($E34:AB34,1),ColDescriptionCourte))&gt;1,
HYPERLINK("#Roadmap!C"&amp; MATCH($E34,Roadmap!$D:$D,0)+COUNTIF($E34:AB34,"u")+COUNTIF($E34:AB34,"t")+COUNTIF($E34:AB34,"¶")+COUNTIF($E34:AB34,"²")+COUNTIF($E34:AB34,"µ")+COUNTIF($E34:AB34,1)-1,INDEX(Roadmap!$D:$K,MATCH($E34,Roadmap!$D:$D,0)-1+COUNTIF($E34:AB34,"u")+COUNTIF($E34:AB34,"t")+COUNTIF($E34:AB34,"¶")+COUNTIF($E34:AB34,"²")+COUNTIF($E34:AB34,"µ")+COUNTIF($E34:AB34,1),ColDescriptionCourte)),""),
  "")),"")</f>
        <v/>
      </c>
      <c r="AD34" s="40" t="str">
        <f ca="1">IFERROR(IF(AND(
  INDEX(Roadmap!$D:$K,MATCH($E34,Roadmap!$D:$D,0)+COUNTIF($E34:AC34,"u")+COUNTIF($E34:AC34,"t")+COUNTIF($E34:AC34,"¶")+COUNTIF($E34:AC34,"²")+COUNTIF($E34:AC34,"µ")+COUNTIF($E34:AC34,1),ColLivraison)=AD$6,
  VLOOKUP($E34,INDIRECT("tri!"&amp; CHAR(64+ C0Col) &amp;":"&amp; CHAR(65+C0Col)),2,FALSE)&gt;COUNTIF($E34:AC34,"u")+COUNTIF($E34:AC34,"t")+COUNTIF($E34:AC34,"¶")+COUNTIF($E34:AC34,"²")+COUNTIF($E34:AC34,"µ")+COUNTIF($E34:AC34,1)),
HYPERLINK("#Roadmap!C"&amp; MATCH($E34,Roadmap!$D:$D,0)+COUNTIF($E34:AC34,"u")+COUNTIF($E34:AC34,"t"),
     INDEX(Roadmap!$D:$K,MATCH($E34,Roadmap!$D:$D,0)+COUNTIF($E34:AC34,"u")+COUNTIF($E34:AC34,"t")+COUNTIF($E34:AC34,"¶")+COUNTIF($E34:AC34,"²")+COUNTIF($E34:AC34,"µ")+COUNTIF($E34:AC34,1),ColTypeEcheance)),
  IF(LEN(AC34)=1,
  IF(LEN(INDEX(Roadmap!$D:$K,MATCH($E34,Roadmap!$D:$D,0)-1+COUNTIF($E34:AC34,"u")+COUNTIF($E34:AC34,"t")+COUNTIF($E34:AC34,"¶")+COUNTIF($E34:AC34,"²")+COUNTIF($E34:AC34,"µ")+COUNTIF($E34:AC34,1),ColDescriptionCourte))&gt;1,
HYPERLINK("#Roadmap!C"&amp; MATCH($E34,Roadmap!$D:$D,0)+COUNTIF($E34:AC34,"u")+COUNTIF($E34:AC34,"t")+COUNTIF($E34:AC34,"¶")+COUNTIF($E34:AC34,"²")+COUNTIF($E34:AC34,"µ")+COUNTIF($E34:AC34,1)-1,INDEX(Roadmap!$D:$K,MATCH($E34,Roadmap!$D:$D,0)-1+COUNTIF($E34:AC34,"u")+COUNTIF($E34:AC34,"t")+COUNTIF($E34:AC34,"¶")+COUNTIF($E34:AC34,"²")+COUNTIF($E34:AC34,"µ")+COUNTIF($E34:AC34,1),ColDescriptionCourte)),""),
  "")),"")</f>
        <v/>
      </c>
      <c r="AE34" s="40" t="str">
        <f ca="1">IFERROR(IF(AND(
  INDEX(Roadmap!$D:$K,MATCH($E34,Roadmap!$D:$D,0)+COUNTIF($E34:AD34,"u")+COUNTIF($E34:AD34,"t")+COUNTIF($E34:AD34,"¶")+COUNTIF($E34:AD34,"²")+COUNTIF($E34:AD34,"µ")+COUNTIF($E34:AD34,1),ColLivraison)=AE$6,
  VLOOKUP($E34,INDIRECT("tri!"&amp; CHAR(64+ C0Col) &amp;":"&amp; CHAR(65+C0Col)),2,FALSE)&gt;COUNTIF($E34:AD34,"u")+COUNTIF($E34:AD34,"t")+COUNTIF($E34:AD34,"¶")+COUNTIF($E34:AD34,"²")+COUNTIF($E34:AD34,"µ")+COUNTIF($E34:AD34,1)),
HYPERLINK("#Roadmap!C"&amp; MATCH($E34,Roadmap!$D:$D,0)+COUNTIF($E34:AD34,"u")+COUNTIF($E34:AD34,"t"),
     INDEX(Roadmap!$D:$K,MATCH($E34,Roadmap!$D:$D,0)+COUNTIF($E34:AD34,"u")+COUNTIF($E34:AD34,"t")+COUNTIF($E34:AD34,"¶")+COUNTIF($E34:AD34,"²")+COUNTIF($E34:AD34,"µ")+COUNTIF($E34:AD34,1),ColTypeEcheance)),
  IF(LEN(AD34)=1,
  IF(LEN(INDEX(Roadmap!$D:$K,MATCH($E34,Roadmap!$D:$D,0)-1+COUNTIF($E34:AD34,"u")+COUNTIF($E34:AD34,"t")+COUNTIF($E34:AD34,"¶")+COUNTIF($E34:AD34,"²")+COUNTIF($E34:AD34,"µ")+COUNTIF($E34:AD34,1),ColDescriptionCourte))&gt;1,
HYPERLINK("#Roadmap!C"&amp; MATCH($E34,Roadmap!$D:$D,0)+COUNTIF($E34:AD34,"u")+COUNTIF($E34:AD34,"t")+COUNTIF($E34:AD34,"¶")+COUNTIF($E34:AD34,"²")+COUNTIF($E34:AD34,"µ")+COUNTIF($E34:AD34,1)-1,INDEX(Roadmap!$D:$K,MATCH($E34,Roadmap!$D:$D,0)-1+COUNTIF($E34:AD34,"u")+COUNTIF($E34:AD34,"t")+COUNTIF($E34:AD34,"¶")+COUNTIF($E34:AD34,"²")+COUNTIF($E34:AD34,"µ")+COUNTIF($E34:AD34,1),ColDescriptionCourte)),""),
  "")),"")</f>
        <v/>
      </c>
      <c r="AF34" s="40" t="str">
        <f ca="1">IFERROR(IF(AND(
  INDEX(Roadmap!$D:$K,MATCH($E34,Roadmap!$D:$D,0)+COUNTIF($E34:AE34,"u")+COUNTIF($E34:AE34,"t")+COUNTIF($E34:AE34,"¶")+COUNTIF($E34:AE34,"²")+COUNTIF($E34:AE34,"µ")+COUNTIF($E34:AE34,1),ColLivraison)=AF$6,
  VLOOKUP($E34,INDIRECT("tri!"&amp; CHAR(64+ C0Col) &amp;":"&amp; CHAR(65+C0Col)),2,FALSE)&gt;COUNTIF($E34:AE34,"u")+COUNTIF($E34:AE34,"t")+COUNTIF($E34:AE34,"¶")+COUNTIF($E34:AE34,"²")+COUNTIF($E34:AE34,"µ")+COUNTIF($E34:AE34,1)),
HYPERLINK("#Roadmap!C"&amp; MATCH($E34,Roadmap!$D:$D,0)+COUNTIF($E34:AE34,"u")+COUNTIF($E34:AE34,"t"),
     INDEX(Roadmap!$D:$K,MATCH($E34,Roadmap!$D:$D,0)+COUNTIF($E34:AE34,"u")+COUNTIF($E34:AE34,"t")+COUNTIF($E34:AE34,"¶")+COUNTIF($E34:AE34,"²")+COUNTIF($E34:AE34,"µ")+COUNTIF($E34:AE34,1),ColTypeEcheance)),
  IF(LEN(AE34)=1,
  IF(LEN(INDEX(Roadmap!$D:$K,MATCH($E34,Roadmap!$D:$D,0)-1+COUNTIF($E34:AE34,"u")+COUNTIF($E34:AE34,"t")+COUNTIF($E34:AE34,"¶")+COUNTIF($E34:AE34,"²")+COUNTIF($E34:AE34,"µ")+COUNTIF($E34:AE34,1),ColDescriptionCourte))&gt;1,
HYPERLINK("#Roadmap!C"&amp; MATCH($E34,Roadmap!$D:$D,0)+COUNTIF($E34:AE34,"u")+COUNTIF($E34:AE34,"t")+COUNTIF($E34:AE34,"¶")+COUNTIF($E34:AE34,"²")+COUNTIF($E34:AE34,"µ")+COUNTIF($E34:AE34,1)-1,INDEX(Roadmap!$D:$K,MATCH($E34,Roadmap!$D:$D,0)-1+COUNTIF($E34:AE34,"u")+COUNTIF($E34:AE34,"t")+COUNTIF($E34:AE34,"¶")+COUNTIF($E34:AE34,"²")+COUNTIF($E34:AE34,"µ")+COUNTIF($E34:AE34,1),ColDescriptionCourte)),""),
  "")),"")</f>
        <v/>
      </c>
      <c r="AG34" s="40" t="str">
        <f ca="1">IFERROR(IF(AND(
  INDEX(Roadmap!$D:$K,MATCH($E34,Roadmap!$D:$D,0)+COUNTIF($E34:AF34,"u")+COUNTIF($E34:AF34,"t")+COUNTIF($E34:AF34,"¶")+COUNTIF($E34:AF34,"²")+COUNTIF($E34:AF34,"µ")+COUNTIF($E34:AF34,1),ColLivraison)=AG$6,
  VLOOKUP($E34,INDIRECT("tri!"&amp; CHAR(64+ C0Col) &amp;":"&amp; CHAR(65+C0Col)),2,FALSE)&gt;COUNTIF($E34:AF34,"u")+COUNTIF($E34:AF34,"t")+COUNTIF($E34:AF34,"¶")+COUNTIF($E34:AF34,"²")+COUNTIF($E34:AF34,"µ")+COUNTIF($E34:AF34,1)),
HYPERLINK("#Roadmap!C"&amp; MATCH($E34,Roadmap!$D:$D,0)+COUNTIF($E34:AF34,"u")+COUNTIF($E34:AF34,"t"),
     INDEX(Roadmap!$D:$K,MATCH($E34,Roadmap!$D:$D,0)+COUNTIF($E34:AF34,"u")+COUNTIF($E34:AF34,"t")+COUNTIF($E34:AF34,"¶")+COUNTIF($E34:AF34,"²")+COUNTIF($E34:AF34,"µ")+COUNTIF($E34:AF34,1),ColTypeEcheance)),
  IF(LEN(AF34)=1,
  IF(LEN(INDEX(Roadmap!$D:$K,MATCH($E34,Roadmap!$D:$D,0)-1+COUNTIF($E34:AF34,"u")+COUNTIF($E34:AF34,"t")+COUNTIF($E34:AF34,"¶")+COUNTIF($E34:AF34,"²")+COUNTIF($E34:AF34,"µ")+COUNTIF($E34:AF34,1),ColDescriptionCourte))&gt;1,
HYPERLINK("#Roadmap!C"&amp; MATCH($E34,Roadmap!$D:$D,0)+COUNTIF($E34:AF34,"u")+COUNTIF($E34:AF34,"t")+COUNTIF($E34:AF34,"¶")+COUNTIF($E34:AF34,"²")+COUNTIF($E34:AF34,"µ")+COUNTIF($E34:AF34,1)-1,INDEX(Roadmap!$D:$K,MATCH($E34,Roadmap!$D:$D,0)-1+COUNTIF($E34:AF34,"u")+COUNTIF($E34:AF34,"t")+COUNTIF($E34:AF34,"¶")+COUNTIF($E34:AF34,"²")+COUNTIF($E34:AF34,"µ")+COUNTIF($E34:AF34,1),ColDescriptionCourte)),""),
  "")),"")</f>
        <v/>
      </c>
    </row>
    <row r="35" spans="3:33" ht="14.25" customHeight="1">
      <c r="C35" s="1" t="str">
        <f t="shared" ca="1" si="42"/>
        <v/>
      </c>
      <c r="D35" s="1" t="str">
        <f t="shared" ca="1" si="43"/>
        <v/>
      </c>
      <c r="E35" s="35" t="str">
        <f t="shared" ca="1" si="33"/>
        <v/>
      </c>
      <c r="F35" s="39" t="str">
        <f ca="1">IFERROR(IF(AND(
  INDEX(Roadmap!$D:$K,MATCH($E35,Roadmap!$D:$D,0)+COUNTIF($E35:E35,"u")+COUNTIF($E35:E35,"t")+COUNTIF($E35:E35,"¶")+COUNTIF($E35:E35,"²")+COUNTIF($E35:E35,"µ")+COUNTIF($E35:E35,1),ColLivraison)=F$6,
  VLOOKUP($E35,INDIRECT("tri!"&amp; CHAR(64+ C0Col) &amp;":"&amp; CHAR(65+C0Col)),2,FALSE)&gt;COUNTIF($E35:E35,"u")+COUNTIF($E35:E35,"t")+COUNTIF($E35:E35,"¶")+COUNTIF($E35:E35,"²")+COUNTIF($E35:E35,"µ")+COUNTIF($E35:E35,1)),
HYPERLINK("#Roadmap!C"&amp; MATCH($E35,Roadmap!$D:$D,0)+COUNTIF($E35:E35,"u")+COUNTIF($E35:E35,"t"),
     INDEX(Roadmap!$D:$K,MATCH($E35,Roadmap!$D:$D,0)+COUNTIF($E35:E35,"u")+COUNTIF($E35:E35,"t")+COUNTIF($E35:E35,"¶")+COUNTIF($E35:E35,"²")+COUNTIF($E35:E35,"µ")+COUNTIF($E35:E35,1),ColTypeEcheance)),
  IF(LEN(E35)=1,
  IF(LEN(INDEX(Roadmap!$D:$K,MATCH($E35,Roadmap!$D:$D,0)-1+COUNTIF($E35:E35,"u")+COUNTIF($E35:E35,"t")+COUNTIF($E35:E35,"¶")+COUNTIF($E35:E35,"²")+COUNTIF($E35:E35,"µ")+COUNTIF($E35:E35,1),ColDescriptionCourte))&gt;1,
HYPERLINK("#Roadmap!C"&amp; MATCH($E35,Roadmap!$D:$D,0)+COUNTIF($E35:E35,"u")+COUNTIF($E35:E35,"t")+COUNTIF($E35:E35,"¶")+COUNTIF($E35:E35,"²")+COUNTIF($E35:E35,"µ")+COUNTIF($E35:E35,1)-1,INDEX(Roadmap!$D:$K,MATCH($E35,Roadmap!$D:$D,0)-1+COUNTIF($E35:E35,"u")+COUNTIF($E35:E35,"t")+COUNTIF($E35:E35,"¶")+COUNTIF($E35:E35,"²")+COUNTIF($E35:E35,"µ")+COUNTIF($E35:E35,1),ColDescriptionCourte)),""),
  "")),"")</f>
        <v/>
      </c>
      <c r="G35" s="40" t="str">
        <f ca="1">IFERROR(IF(AND(
  INDEX(Roadmap!$D:$K,MATCH($E35,Roadmap!$D:$D,0)+COUNTIF($E35:F35,"u")+COUNTIF($E35:F35,"t")+COUNTIF($E35:F35,"¶")+COUNTIF($E35:F35,"²")+COUNTIF($E35:F35,"µ")+COUNTIF($E35:F35,1),ColLivraison)=G$6,
  VLOOKUP($E35,INDIRECT("tri!"&amp; CHAR(64+ C0Col) &amp;":"&amp; CHAR(65+C0Col)),2,FALSE)&gt;COUNTIF($E35:F35,"u")+COUNTIF($E35:F35,"t")+COUNTIF($E35:F35,"¶")+COUNTIF($E35:F35,"²")+COUNTIF($E35:F35,"µ")+COUNTIF($E35:F35,1)),
HYPERLINK("#Roadmap!C"&amp; MATCH($E35,Roadmap!$D:$D,0)+COUNTIF($E35:F35,"u")+COUNTIF($E35:F35,"t"),
     INDEX(Roadmap!$D:$K,MATCH($E35,Roadmap!$D:$D,0)+COUNTIF($E35:F35,"u")+COUNTIF($E35:F35,"t")+COUNTIF($E35:F35,"¶")+COUNTIF($E35:F35,"²")+COUNTIF($E35:F35,"µ")+COUNTIF($E35:F35,1),ColTypeEcheance)),
  IF(LEN(F35)=1,
  IF(LEN(INDEX(Roadmap!$D:$K,MATCH($E35,Roadmap!$D:$D,0)-1+COUNTIF($E35:F35,"u")+COUNTIF($E35:F35,"t")+COUNTIF($E35:F35,"¶")+COUNTIF($E35:F35,"²")+COUNTIF($E35:F35,"µ")+COUNTIF($E35:F35,1),ColDescriptionCourte))&gt;1,
HYPERLINK("#Roadmap!C"&amp; MATCH($E35,Roadmap!$D:$D,0)+COUNTIF($E35:F35,"u")+COUNTIF($E35:F35,"t")+COUNTIF($E35:F35,"¶")+COUNTIF($E35:F35,"²")+COUNTIF($E35:F35,"µ")+COUNTIF($E35:F35,1)-1,INDEX(Roadmap!$D:$K,MATCH($E35,Roadmap!$D:$D,0)-1+COUNTIF($E35:F35,"u")+COUNTIF($E35:F35,"t")+COUNTIF($E35:F35,"¶")+COUNTIF($E35:F35,"²")+COUNTIF($E35:F35,"µ")+COUNTIF($E35:F35,1),ColDescriptionCourte)),""),
  "")),"")</f>
        <v/>
      </c>
      <c r="H35" s="40" t="str">
        <f ca="1">IFERROR(IF(AND(
  INDEX(Roadmap!$D:$K,MATCH($E35,Roadmap!$D:$D,0)+COUNTIF($E35:G35,"u")+COUNTIF($E35:G35,"t")+COUNTIF($E35:G35,"¶")+COUNTIF($E35:G35,"²")+COUNTIF($E35:G35,"µ")+COUNTIF($E35:G35,1),ColLivraison)=H$6,
  VLOOKUP($E35,INDIRECT("tri!"&amp; CHAR(64+ C0Col) &amp;":"&amp; CHAR(65+C0Col)),2,FALSE)&gt;COUNTIF($E35:G35,"u")+COUNTIF($E35:G35,"t")+COUNTIF($E35:G35,"¶")+COUNTIF($E35:G35,"²")+COUNTIF($E35:G35,"µ")+COUNTIF($E35:G35,1)),
HYPERLINK("#Roadmap!C"&amp; MATCH($E35,Roadmap!$D:$D,0)+COUNTIF($E35:G35,"u")+COUNTIF($E35:G35,"t"),
     INDEX(Roadmap!$D:$K,MATCH($E35,Roadmap!$D:$D,0)+COUNTIF($E35:G35,"u")+COUNTIF($E35:G35,"t")+COUNTIF($E35:G35,"¶")+COUNTIF($E35:G35,"²")+COUNTIF($E35:G35,"µ")+COUNTIF($E35:G35,1),ColTypeEcheance)),
  IF(LEN(G35)=1,
  IF(LEN(INDEX(Roadmap!$D:$K,MATCH($E35,Roadmap!$D:$D,0)-1+COUNTIF($E35:G35,"u")+COUNTIF($E35:G35,"t")+COUNTIF($E35:G35,"¶")+COUNTIF($E35:G35,"²")+COUNTIF($E35:G35,"µ")+COUNTIF($E35:G35,1),ColDescriptionCourte))&gt;1,
HYPERLINK("#Roadmap!C"&amp; MATCH($E35,Roadmap!$D:$D,0)+COUNTIF($E35:G35,"u")+COUNTIF($E35:G35,"t")+COUNTIF($E35:G35,"¶")+COUNTIF($E35:G35,"²")+COUNTIF($E35:G35,"µ")+COUNTIF($E35:G35,1)-1,INDEX(Roadmap!$D:$K,MATCH($E35,Roadmap!$D:$D,0)-1+COUNTIF($E35:G35,"u")+COUNTIF($E35:G35,"t")+COUNTIF($E35:G35,"¶")+COUNTIF($E35:G35,"²")+COUNTIF($E35:G35,"µ")+COUNTIF($E35:G35,1),ColDescriptionCourte)),""),
  "")),"")</f>
        <v/>
      </c>
      <c r="I35" s="40" t="str">
        <f ca="1">IFERROR(IF(AND(
  INDEX(Roadmap!$D:$K,MATCH($E35,Roadmap!$D:$D,0)+COUNTIF($E35:H35,"u")+COUNTIF($E35:H35,"t")+COUNTIF($E35:H35,"¶")+COUNTIF($E35:H35,"²")+COUNTIF($E35:H35,"µ")+COUNTIF($E35:H35,1),ColLivraison)=I$6,
  VLOOKUP($E35,INDIRECT("tri!"&amp; CHAR(64+ C0Col) &amp;":"&amp; CHAR(65+C0Col)),2,FALSE)&gt;COUNTIF($E35:H35,"u")+COUNTIF($E35:H35,"t")+COUNTIF($E35:H35,"¶")+COUNTIF($E35:H35,"²")+COUNTIF($E35:H35,"µ")+COUNTIF($E35:H35,1)),
HYPERLINK("#Roadmap!C"&amp; MATCH($E35,Roadmap!$D:$D,0)+COUNTIF($E35:H35,"u")+COUNTIF($E35:H35,"t"),
     INDEX(Roadmap!$D:$K,MATCH($E35,Roadmap!$D:$D,0)+COUNTIF($E35:H35,"u")+COUNTIF($E35:H35,"t")+COUNTIF($E35:H35,"¶")+COUNTIF($E35:H35,"²")+COUNTIF($E35:H35,"µ")+COUNTIF($E35:H35,1),ColTypeEcheance)),
  IF(LEN(H35)=1,
  IF(LEN(INDEX(Roadmap!$D:$K,MATCH($E35,Roadmap!$D:$D,0)-1+COUNTIF($E35:H35,"u")+COUNTIF($E35:H35,"t")+COUNTIF($E35:H35,"¶")+COUNTIF($E35:H35,"²")+COUNTIF($E35:H35,"µ")+COUNTIF($E35:H35,1),ColDescriptionCourte))&gt;1,
HYPERLINK("#Roadmap!C"&amp; MATCH($E35,Roadmap!$D:$D,0)+COUNTIF($E35:H35,"u")+COUNTIF($E35:H35,"t")+COUNTIF($E35:H35,"¶")+COUNTIF($E35:H35,"²")+COUNTIF($E35:H35,"µ")+COUNTIF($E35:H35,1)-1,INDEX(Roadmap!$D:$K,MATCH($E35,Roadmap!$D:$D,0)-1+COUNTIF($E35:H35,"u")+COUNTIF($E35:H35,"t")+COUNTIF($E35:H35,"¶")+COUNTIF($E35:H35,"²")+COUNTIF($E35:H35,"µ")+COUNTIF($E35:H35,1),ColDescriptionCourte)),""),
  "")),"")</f>
        <v/>
      </c>
      <c r="J35" s="40" t="str">
        <f ca="1">IFERROR(IF(AND(
  INDEX(Roadmap!$D:$K,MATCH($E35,Roadmap!$D:$D,0)+COUNTIF($E35:I35,"u")+COUNTIF($E35:I35,"t")+COUNTIF($E35:I35,"¶")+COUNTIF($E35:I35,"²")+COUNTIF($E35:I35,"µ")+COUNTIF($E35:I35,1),ColLivraison)=J$6,
  VLOOKUP($E35,INDIRECT("tri!"&amp; CHAR(64+ C0Col) &amp;":"&amp; CHAR(65+C0Col)),2,FALSE)&gt;COUNTIF($E35:I35,"u")+COUNTIF($E35:I35,"t")+COUNTIF($E35:I35,"¶")+COUNTIF($E35:I35,"²")+COUNTIF($E35:I35,"µ")+COUNTIF($E35:I35,1)),
HYPERLINK("#Roadmap!C"&amp; MATCH($E35,Roadmap!$D:$D,0)+COUNTIF($E35:I35,"u")+COUNTIF($E35:I35,"t"),
     INDEX(Roadmap!$D:$K,MATCH($E35,Roadmap!$D:$D,0)+COUNTIF($E35:I35,"u")+COUNTIF($E35:I35,"t")+COUNTIF($E35:I35,"¶")+COUNTIF($E35:I35,"²")+COUNTIF($E35:I35,"µ")+COUNTIF($E35:I35,1),ColTypeEcheance)),
  IF(LEN(I35)=1,
  IF(LEN(INDEX(Roadmap!$D:$K,MATCH($E35,Roadmap!$D:$D,0)-1+COUNTIF($E35:I35,"u")+COUNTIF($E35:I35,"t")+COUNTIF($E35:I35,"¶")+COUNTIF($E35:I35,"²")+COUNTIF($E35:I35,"µ")+COUNTIF($E35:I35,1),ColDescriptionCourte))&gt;1,
HYPERLINK("#Roadmap!C"&amp; MATCH($E35,Roadmap!$D:$D,0)+COUNTIF($E35:I35,"u")+COUNTIF($E35:I35,"t")+COUNTIF($E35:I35,"¶")+COUNTIF($E35:I35,"²")+COUNTIF($E35:I35,"µ")+COUNTIF($E35:I35,1)-1,INDEX(Roadmap!$D:$K,MATCH($E35,Roadmap!$D:$D,0)-1+COUNTIF($E35:I35,"u")+COUNTIF($E35:I35,"t")+COUNTIF($E35:I35,"¶")+COUNTIF($E35:I35,"²")+COUNTIF($E35:I35,"µ")+COUNTIF($E35:I35,1),ColDescriptionCourte)),""),
  "")),"")</f>
        <v/>
      </c>
      <c r="K35" s="40" t="str">
        <f ca="1">IFERROR(IF(AND(
  INDEX(Roadmap!$D:$K,MATCH($E35,Roadmap!$D:$D,0)+COUNTIF($E35:J35,"u")+COUNTIF($E35:J35,"t")+COUNTIF($E35:J35,"¶")+COUNTIF($E35:J35,"²")+COUNTIF($E35:J35,"µ")+COUNTIF($E35:J35,1),ColLivraison)=K$6,
  VLOOKUP($E35,INDIRECT("tri!"&amp; CHAR(64+ C0Col) &amp;":"&amp; CHAR(65+C0Col)),2,FALSE)&gt;COUNTIF($E35:J35,"u")+COUNTIF($E35:J35,"t")+COUNTIF($E35:J35,"¶")+COUNTIF($E35:J35,"²")+COUNTIF($E35:J35,"µ")+COUNTIF($E35:J35,1)),
HYPERLINK("#Roadmap!C"&amp; MATCH($E35,Roadmap!$D:$D,0)+COUNTIF($E35:J35,"u")+COUNTIF($E35:J35,"t"),
     INDEX(Roadmap!$D:$K,MATCH($E35,Roadmap!$D:$D,0)+COUNTIF($E35:J35,"u")+COUNTIF($E35:J35,"t")+COUNTIF($E35:J35,"¶")+COUNTIF($E35:J35,"²")+COUNTIF($E35:J35,"µ")+COUNTIF($E35:J35,1),ColTypeEcheance)),
  IF(LEN(J35)=1,
  IF(LEN(INDEX(Roadmap!$D:$K,MATCH($E35,Roadmap!$D:$D,0)-1+COUNTIF($E35:J35,"u")+COUNTIF($E35:J35,"t")+COUNTIF($E35:J35,"¶")+COUNTIF($E35:J35,"²")+COUNTIF($E35:J35,"µ")+COUNTIF($E35:J35,1),ColDescriptionCourte))&gt;1,
HYPERLINK("#Roadmap!C"&amp; MATCH($E35,Roadmap!$D:$D,0)+COUNTIF($E35:J35,"u")+COUNTIF($E35:J35,"t")+COUNTIF($E35:J35,"¶")+COUNTIF($E35:J35,"²")+COUNTIF($E35:J35,"µ")+COUNTIF($E35:J35,1)-1,INDEX(Roadmap!$D:$K,MATCH($E35,Roadmap!$D:$D,0)-1+COUNTIF($E35:J35,"u")+COUNTIF($E35:J35,"t")+COUNTIF($E35:J35,"¶")+COUNTIF($E35:J35,"²")+COUNTIF($E35:J35,"µ")+COUNTIF($E35:J35,1),ColDescriptionCourte)),""),
  "")),"")</f>
        <v/>
      </c>
      <c r="L35" s="39" t="str">
        <f ca="1">IFERROR(IF(AND(
  INDEX(Roadmap!$D:$K,MATCH($E35,Roadmap!$D:$D,0)+COUNTIF($E35:K35,"u")+COUNTIF($E35:K35,"t")+COUNTIF($E35:K35,"¶")+COUNTIF($E35:K35,"²")+COUNTIF($E35:K35,"µ")+COUNTIF($E35:K35,1),ColLivraison)=L$6,
  VLOOKUP($E35,INDIRECT("tri!"&amp; CHAR(64+ C0Col) &amp;":"&amp; CHAR(65+C0Col)),2,FALSE)&gt;COUNTIF($E35:K35,"u")+COUNTIF($E35:K35,"t")+COUNTIF($E35:K35,"¶")+COUNTIF($E35:K35,"²")+COUNTIF($E35:K35,"µ")+COUNTIF($E35:K35,1)),
HYPERLINK("#Roadmap!C"&amp; MATCH($E35,Roadmap!$D:$D,0)+COUNTIF($E35:K35,"u")+COUNTIF($E35:K35,"t"),
     INDEX(Roadmap!$D:$K,MATCH($E35,Roadmap!$D:$D,0)+COUNTIF($E35:K35,"u")+COUNTIF($E35:K35,"t")+COUNTIF($E35:K35,"¶")+COUNTIF($E35:K35,"²")+COUNTIF($E35:K35,"µ")+COUNTIF($E35:K35,1),ColTypeEcheance)),
  IF(LEN(K35)=1,
  IF(LEN(INDEX(Roadmap!$D:$K,MATCH($E35,Roadmap!$D:$D,0)-1+COUNTIF($E35:K35,"u")+COUNTIF($E35:K35,"t")+COUNTIF($E35:K35,"¶")+COUNTIF($E35:K35,"²")+COUNTIF($E35:K35,"µ")+COUNTIF($E35:K35,1),ColDescriptionCourte))&gt;1,
HYPERLINK("#Roadmap!C"&amp; MATCH($E35,Roadmap!$D:$D,0)+COUNTIF($E35:K35,"u")+COUNTIF($E35:K35,"t")+COUNTIF($E35:K35,"¶")+COUNTIF($E35:K35,"²")+COUNTIF($E35:K35,"µ")+COUNTIF($E35:K35,1)-1,INDEX(Roadmap!$D:$K,MATCH($E35,Roadmap!$D:$D,0)-1+COUNTIF($E35:K35,"u")+COUNTIF($E35:K35,"t")+COUNTIF($E35:K35,"¶")+COUNTIF($E35:K35,"²")+COUNTIF($E35:K35,"µ")+COUNTIF($E35:K35,1),ColDescriptionCourte)),""),
  "")),"")</f>
        <v/>
      </c>
      <c r="M35" s="40" t="str">
        <f ca="1">IFERROR(IF(AND(
  INDEX(Roadmap!$D:$K,MATCH($E35,Roadmap!$D:$D,0)+COUNTIF($E35:L35,"u")+COUNTIF($E35:L35,"t")+COUNTIF($E35:L35,"¶")+COUNTIF($E35:L35,"²")+COUNTIF($E35:L35,"µ")+COUNTIF($E35:L35,1),ColLivraison)=M$6,
  VLOOKUP($E35,INDIRECT("tri!"&amp; CHAR(64+ C0Col) &amp;":"&amp; CHAR(65+C0Col)),2,FALSE)&gt;COUNTIF($E35:L35,"u")+COUNTIF($E35:L35,"t")+COUNTIF($E35:L35,"¶")+COUNTIF($E35:L35,"²")+COUNTIF($E35:L35,"µ")+COUNTIF($E35:L35,1)),
HYPERLINK("#Roadmap!C"&amp; MATCH($E35,Roadmap!$D:$D,0)+COUNTIF($E35:L35,"u")+COUNTIF($E35:L35,"t"),
     INDEX(Roadmap!$D:$K,MATCH($E35,Roadmap!$D:$D,0)+COUNTIF($E35:L35,"u")+COUNTIF($E35:L35,"t")+COUNTIF($E35:L35,"¶")+COUNTIF($E35:L35,"²")+COUNTIF($E35:L35,"µ")+COUNTIF($E35:L35,1),ColTypeEcheance)),
  IF(LEN(L35)=1,
  IF(LEN(INDEX(Roadmap!$D:$K,MATCH($E35,Roadmap!$D:$D,0)-1+COUNTIF($E35:L35,"u")+COUNTIF($E35:L35,"t")+COUNTIF($E35:L35,"¶")+COUNTIF($E35:L35,"²")+COUNTIF($E35:L35,"µ")+COUNTIF($E35:L35,1),ColDescriptionCourte))&gt;1,
HYPERLINK("#Roadmap!C"&amp; MATCH($E35,Roadmap!$D:$D,0)+COUNTIF($E35:L35,"u")+COUNTIF($E35:L35,"t")+COUNTIF($E35:L35,"¶")+COUNTIF($E35:L35,"²")+COUNTIF($E35:L35,"µ")+COUNTIF($E35:L35,1)-1,INDEX(Roadmap!$D:$K,MATCH($E35,Roadmap!$D:$D,0)-1+COUNTIF($E35:L35,"u")+COUNTIF($E35:L35,"t")+COUNTIF($E35:L35,"¶")+COUNTIF($E35:L35,"²")+COUNTIF($E35:L35,"µ")+COUNTIF($E35:L35,1),ColDescriptionCourte)),""),
  "")),"")</f>
        <v/>
      </c>
      <c r="N35" s="40" t="str">
        <f ca="1">IFERROR(IF(AND(
  INDEX(Roadmap!$D:$K,MATCH($E35,Roadmap!$D:$D,0)+COUNTIF($E35:M35,"u")+COUNTIF($E35:M35,"t")+COUNTIF($E35:M35,"¶")+COUNTIF($E35:M35,"²")+COUNTIF($E35:M35,"µ")+COUNTIF($E35:M35,1),ColLivraison)=N$6,
  VLOOKUP($E35,INDIRECT("tri!"&amp; CHAR(64+ C0Col) &amp;":"&amp; CHAR(65+C0Col)),2,FALSE)&gt;COUNTIF($E35:M35,"u")+COUNTIF($E35:M35,"t")+COUNTIF($E35:M35,"¶")+COUNTIF($E35:M35,"²")+COUNTIF($E35:M35,"µ")+COUNTIF($E35:M35,1)),
HYPERLINK("#Roadmap!C"&amp; MATCH($E35,Roadmap!$D:$D,0)+COUNTIF($E35:M35,"u")+COUNTIF($E35:M35,"t"),
     INDEX(Roadmap!$D:$K,MATCH($E35,Roadmap!$D:$D,0)+COUNTIF($E35:M35,"u")+COUNTIF($E35:M35,"t")+COUNTIF($E35:M35,"¶")+COUNTIF($E35:M35,"²")+COUNTIF($E35:M35,"µ")+COUNTIF($E35:M35,1),ColTypeEcheance)),
  IF(LEN(M35)=1,
  IF(LEN(INDEX(Roadmap!$D:$K,MATCH($E35,Roadmap!$D:$D,0)-1+COUNTIF($E35:M35,"u")+COUNTIF($E35:M35,"t")+COUNTIF($E35:M35,"¶")+COUNTIF($E35:M35,"²")+COUNTIF($E35:M35,"µ")+COUNTIF($E35:M35,1),ColDescriptionCourte))&gt;1,
HYPERLINK("#Roadmap!C"&amp; MATCH($E35,Roadmap!$D:$D,0)+COUNTIF($E35:M35,"u")+COUNTIF($E35:M35,"t")+COUNTIF($E35:M35,"¶")+COUNTIF($E35:M35,"²")+COUNTIF($E35:M35,"µ")+COUNTIF($E35:M35,1)-1,INDEX(Roadmap!$D:$K,MATCH($E35,Roadmap!$D:$D,0)-1+COUNTIF($E35:M35,"u")+COUNTIF($E35:M35,"t")+COUNTIF($E35:M35,"¶")+COUNTIF($E35:M35,"²")+COUNTIF($E35:M35,"µ")+COUNTIF($E35:M35,1),ColDescriptionCourte)),""),
  "")),"")</f>
        <v/>
      </c>
      <c r="O35" s="40" t="str">
        <f ca="1">IFERROR(IF(AND(
  INDEX(Roadmap!$D:$K,MATCH($E35,Roadmap!$D:$D,0)+COUNTIF($E35:N35,"u")+COUNTIF($E35:N35,"t")+COUNTIF($E35:N35,"¶")+COUNTIF($E35:N35,"²")+COUNTIF($E35:N35,"µ")+COUNTIF($E35:N35,1),ColLivraison)=O$6,
  VLOOKUP($E35,INDIRECT("tri!"&amp; CHAR(64+ C0Col) &amp;":"&amp; CHAR(65+C0Col)),2,FALSE)&gt;COUNTIF($E35:N35,"u")+COUNTIF($E35:N35,"t")+COUNTIF($E35:N35,"¶")+COUNTIF($E35:N35,"²")+COUNTIF($E35:N35,"µ")+COUNTIF($E35:N35,1)),
HYPERLINK("#Roadmap!C"&amp; MATCH($E35,Roadmap!$D:$D,0)+COUNTIF($E35:N35,"u")+COUNTIF($E35:N35,"t"),
     INDEX(Roadmap!$D:$K,MATCH($E35,Roadmap!$D:$D,0)+COUNTIF($E35:N35,"u")+COUNTIF($E35:N35,"t")+COUNTIF($E35:N35,"¶")+COUNTIF($E35:N35,"²")+COUNTIF($E35:N35,"µ")+COUNTIF($E35:N35,1),ColTypeEcheance)),
  IF(LEN(N35)=1,
  IF(LEN(INDEX(Roadmap!$D:$K,MATCH($E35,Roadmap!$D:$D,0)-1+COUNTIF($E35:N35,"u")+COUNTIF($E35:N35,"t")+COUNTIF($E35:N35,"¶")+COUNTIF($E35:N35,"²")+COUNTIF($E35:N35,"µ")+COUNTIF($E35:N35,1),ColDescriptionCourte))&gt;1,
HYPERLINK("#Roadmap!C"&amp; MATCH($E35,Roadmap!$D:$D,0)+COUNTIF($E35:N35,"u")+COUNTIF($E35:N35,"t")+COUNTIF($E35:N35,"¶")+COUNTIF($E35:N35,"²")+COUNTIF($E35:N35,"µ")+COUNTIF($E35:N35,1)-1,INDEX(Roadmap!$D:$K,MATCH($E35,Roadmap!$D:$D,0)-1+COUNTIF($E35:N35,"u")+COUNTIF($E35:N35,"t")+COUNTIF($E35:N35,"¶")+COUNTIF($E35:N35,"²")+COUNTIF($E35:N35,"µ")+COUNTIF($E35:N35,1),ColDescriptionCourte)),""),
  "")),"")</f>
        <v/>
      </c>
      <c r="P35" s="40" t="str">
        <f ca="1">IFERROR(IF(AND(
  INDEX(Roadmap!$D:$K,MATCH($E35,Roadmap!$D:$D,0)+COUNTIF($E35:O35,"u")+COUNTIF($E35:O35,"t")+COUNTIF($E35:O35,"¶")+COUNTIF($E35:O35,"²")+COUNTIF($E35:O35,"µ")+COUNTIF($E35:O35,1),ColLivraison)=P$6,
  VLOOKUP($E35,INDIRECT("tri!"&amp; CHAR(64+ C0Col) &amp;":"&amp; CHAR(65+C0Col)),2,FALSE)&gt;COUNTIF($E35:O35,"u")+COUNTIF($E35:O35,"t")+COUNTIF($E35:O35,"¶")+COUNTIF($E35:O35,"²")+COUNTIF($E35:O35,"µ")+COUNTIF($E35:O35,1)),
HYPERLINK("#Roadmap!C"&amp; MATCH($E35,Roadmap!$D:$D,0)+COUNTIF($E35:O35,"u")+COUNTIF($E35:O35,"t"),
     INDEX(Roadmap!$D:$K,MATCH($E35,Roadmap!$D:$D,0)+COUNTIF($E35:O35,"u")+COUNTIF($E35:O35,"t")+COUNTIF($E35:O35,"¶")+COUNTIF($E35:O35,"²")+COUNTIF($E35:O35,"µ")+COUNTIF($E35:O35,1),ColTypeEcheance)),
  IF(LEN(O35)=1,
  IF(LEN(INDEX(Roadmap!$D:$K,MATCH($E35,Roadmap!$D:$D,0)-1+COUNTIF($E35:O35,"u")+COUNTIF($E35:O35,"t")+COUNTIF($E35:O35,"¶")+COUNTIF($E35:O35,"²")+COUNTIF($E35:O35,"µ")+COUNTIF($E35:O35,1),ColDescriptionCourte))&gt;1,
HYPERLINK("#Roadmap!C"&amp; MATCH($E35,Roadmap!$D:$D,0)+COUNTIF($E35:O35,"u")+COUNTIF($E35:O35,"t")+COUNTIF($E35:O35,"¶")+COUNTIF($E35:O35,"²")+COUNTIF($E35:O35,"µ")+COUNTIF($E35:O35,1)-1,INDEX(Roadmap!$D:$K,MATCH($E35,Roadmap!$D:$D,0)-1+COUNTIF($E35:O35,"u")+COUNTIF($E35:O35,"t")+COUNTIF($E35:O35,"¶")+COUNTIF($E35:O35,"²")+COUNTIF($E35:O35,"µ")+COUNTIF($E35:O35,1),ColDescriptionCourte)),""),
  "")),"")</f>
        <v/>
      </c>
      <c r="Q35" s="40" t="str">
        <f ca="1">IFERROR(IF(AND(
  INDEX(Roadmap!$D:$K,MATCH($E35,Roadmap!$D:$D,0)+COUNTIF($E35:P35,"u")+COUNTIF($E35:P35,"t")+COUNTIF($E35:P35,"¶")+COUNTIF($E35:P35,"²")+COUNTIF($E35:P35,"µ")+COUNTIF($E35:P35,1),ColLivraison)=Q$6,
  VLOOKUP($E35,INDIRECT("tri!"&amp; CHAR(64+ C0Col) &amp;":"&amp; CHAR(65+C0Col)),2,FALSE)&gt;COUNTIF($E35:P35,"u")+COUNTIF($E35:P35,"t")+COUNTIF($E35:P35,"¶")+COUNTIF($E35:P35,"²")+COUNTIF($E35:P35,"µ")+COUNTIF($E35:P35,1)),
HYPERLINK("#Roadmap!C"&amp; MATCH($E35,Roadmap!$D:$D,0)+COUNTIF($E35:P35,"u")+COUNTIF($E35:P35,"t"),
     INDEX(Roadmap!$D:$K,MATCH($E35,Roadmap!$D:$D,0)+COUNTIF($E35:P35,"u")+COUNTIF($E35:P35,"t")+COUNTIF($E35:P35,"¶")+COUNTIF($E35:P35,"²")+COUNTIF($E35:P35,"µ")+COUNTIF($E35:P35,1),ColTypeEcheance)),
  IF(LEN(P35)=1,
  IF(LEN(INDEX(Roadmap!$D:$K,MATCH($E35,Roadmap!$D:$D,0)-1+COUNTIF($E35:P35,"u")+COUNTIF($E35:P35,"t")+COUNTIF($E35:P35,"¶")+COUNTIF($E35:P35,"²")+COUNTIF($E35:P35,"µ")+COUNTIF($E35:P35,1),ColDescriptionCourte))&gt;1,
HYPERLINK("#Roadmap!C"&amp; MATCH($E35,Roadmap!$D:$D,0)+COUNTIF($E35:P35,"u")+COUNTIF($E35:P35,"t")+COUNTIF($E35:P35,"¶")+COUNTIF($E35:P35,"²")+COUNTIF($E35:P35,"µ")+COUNTIF($E35:P35,1)-1,INDEX(Roadmap!$D:$K,MATCH($E35,Roadmap!$D:$D,0)-1+COUNTIF($E35:P35,"u")+COUNTIF($E35:P35,"t")+COUNTIF($E35:P35,"¶")+COUNTIF($E35:P35,"²")+COUNTIF($E35:P35,"µ")+COUNTIF($E35:P35,1),ColDescriptionCourte)),""),
  "")),"")</f>
        <v/>
      </c>
      <c r="R35" s="40" t="str">
        <f ca="1">IFERROR(IF(AND(
  INDEX(Roadmap!$D:$K,MATCH($E35,Roadmap!$D:$D,0)+COUNTIF($E35:Q35,"u")+COUNTIF($E35:Q35,"t")+COUNTIF($E35:Q35,"¶")+COUNTIF($E35:Q35,"²")+COUNTIF($E35:Q35,"µ")+COUNTIF($E35:Q35,1),ColLivraison)=R$6,
  VLOOKUP($E35,INDIRECT("tri!"&amp; CHAR(64+ C0Col) &amp;":"&amp; CHAR(65+C0Col)),2,FALSE)&gt;COUNTIF($E35:Q35,"u")+COUNTIF($E35:Q35,"t")+COUNTIF($E35:Q35,"¶")+COUNTIF($E35:Q35,"²")+COUNTIF($E35:Q35,"µ")+COUNTIF($E35:Q35,1)),
HYPERLINK("#Roadmap!C"&amp; MATCH($E35,Roadmap!$D:$D,0)+COUNTIF($E35:Q35,"u")+COUNTIF($E35:Q35,"t"),
     INDEX(Roadmap!$D:$K,MATCH($E35,Roadmap!$D:$D,0)+COUNTIF($E35:Q35,"u")+COUNTIF($E35:Q35,"t")+COUNTIF($E35:Q35,"¶")+COUNTIF($E35:Q35,"²")+COUNTIF($E35:Q35,"µ")+COUNTIF($E35:Q35,1),ColTypeEcheance)),
  IF(LEN(Q35)=1,
  IF(LEN(INDEX(Roadmap!$D:$K,MATCH($E35,Roadmap!$D:$D,0)-1+COUNTIF($E35:Q35,"u")+COUNTIF($E35:Q35,"t")+COUNTIF($E35:Q35,"¶")+COUNTIF($E35:Q35,"²")+COUNTIF($E35:Q35,"µ")+COUNTIF($E35:Q35,1),ColDescriptionCourte))&gt;1,
HYPERLINK("#Roadmap!C"&amp; MATCH($E35,Roadmap!$D:$D,0)+COUNTIF($E35:Q35,"u")+COUNTIF($E35:Q35,"t")+COUNTIF($E35:Q35,"¶")+COUNTIF($E35:Q35,"²")+COUNTIF($E35:Q35,"µ")+COUNTIF($E35:Q35,1)-1,INDEX(Roadmap!$D:$K,MATCH($E35,Roadmap!$D:$D,0)-1+COUNTIF($E35:Q35,"u")+COUNTIF($E35:Q35,"t")+COUNTIF($E35:Q35,"¶")+COUNTIF($E35:Q35,"²")+COUNTIF($E35:Q35,"µ")+COUNTIF($E35:Q35,1),ColDescriptionCourte)),""),
  "")),"")</f>
        <v/>
      </c>
      <c r="S35" s="40" t="str">
        <f ca="1">IFERROR(IF(AND(
  INDEX(Roadmap!$D:$K,MATCH($E35,Roadmap!$D:$D,0)+COUNTIF($E35:R35,"u")+COUNTIF($E35:R35,"t")+COUNTIF($E35:R35,"¶")+COUNTIF($E35:R35,"²")+COUNTIF($E35:R35,"µ")+COUNTIF($E35:R35,1),ColLivraison)=S$6,
  VLOOKUP($E35,INDIRECT("tri!"&amp; CHAR(64+ C0Col) &amp;":"&amp; CHAR(65+C0Col)),2,FALSE)&gt;COUNTIF($E35:R35,"u")+COUNTIF($E35:R35,"t")+COUNTIF($E35:R35,"¶")+COUNTIF($E35:R35,"²")+COUNTIF($E35:R35,"µ")+COUNTIF($E35:R35,1)),
HYPERLINK("#Roadmap!C"&amp; MATCH($E35,Roadmap!$D:$D,0)+COUNTIF($E35:R35,"u")+COUNTIF($E35:R35,"t"),
     INDEX(Roadmap!$D:$K,MATCH($E35,Roadmap!$D:$D,0)+COUNTIF($E35:R35,"u")+COUNTIF($E35:R35,"t")+COUNTIF($E35:R35,"¶")+COUNTIF($E35:R35,"²")+COUNTIF($E35:R35,"µ")+COUNTIF($E35:R35,1),ColTypeEcheance)),
  IF(LEN(R35)=1,
  IF(LEN(INDEX(Roadmap!$D:$K,MATCH($E35,Roadmap!$D:$D,0)-1+COUNTIF($E35:R35,"u")+COUNTIF($E35:R35,"t")+COUNTIF($E35:R35,"¶")+COUNTIF($E35:R35,"²")+COUNTIF($E35:R35,"µ")+COUNTIF($E35:R35,1),ColDescriptionCourte))&gt;1,
HYPERLINK("#Roadmap!C"&amp; MATCH($E35,Roadmap!$D:$D,0)+COUNTIF($E35:R35,"u")+COUNTIF($E35:R35,"t")+COUNTIF($E35:R35,"¶")+COUNTIF($E35:R35,"²")+COUNTIF($E35:R35,"µ")+COUNTIF($E35:R35,1)-1,INDEX(Roadmap!$D:$K,MATCH($E35,Roadmap!$D:$D,0)-1+COUNTIF($E35:R35,"u")+COUNTIF($E35:R35,"t")+COUNTIF($E35:R35,"¶")+COUNTIF($E35:R35,"²")+COUNTIF($E35:R35,"µ")+COUNTIF($E35:R35,1),ColDescriptionCourte)),""),
  "")),"")</f>
        <v/>
      </c>
      <c r="T35" s="40" t="str">
        <f ca="1">IFERROR(IF(AND(
  INDEX(Roadmap!$D:$K,MATCH($E35,Roadmap!$D:$D,0)+COUNTIF($E35:S35,"u")+COUNTIF($E35:S35,"t")+COUNTIF($E35:S35,"¶")+COUNTIF($E35:S35,"²")+COUNTIF($E35:S35,"µ")+COUNTIF($E35:S35,1),ColLivraison)=T$6,
  VLOOKUP($E35,INDIRECT("tri!"&amp; CHAR(64+ C0Col) &amp;":"&amp; CHAR(65+C0Col)),2,FALSE)&gt;COUNTIF($E35:S35,"u")+COUNTIF($E35:S35,"t")+COUNTIF($E35:S35,"¶")+COUNTIF($E35:S35,"²")+COUNTIF($E35:S35,"µ")+COUNTIF($E35:S35,1)),
HYPERLINK("#Roadmap!C"&amp; MATCH($E35,Roadmap!$D:$D,0)+COUNTIF($E35:S35,"u")+COUNTIF($E35:S35,"t"),
     INDEX(Roadmap!$D:$K,MATCH($E35,Roadmap!$D:$D,0)+COUNTIF($E35:S35,"u")+COUNTIF($E35:S35,"t")+COUNTIF($E35:S35,"¶")+COUNTIF($E35:S35,"²")+COUNTIF($E35:S35,"µ")+COUNTIF($E35:S35,1),ColTypeEcheance)),
  IF(LEN(S35)=1,
  IF(LEN(INDEX(Roadmap!$D:$K,MATCH($E35,Roadmap!$D:$D,0)-1+COUNTIF($E35:S35,"u")+COUNTIF($E35:S35,"t")+COUNTIF($E35:S35,"¶")+COUNTIF($E35:S35,"²")+COUNTIF($E35:S35,"µ")+COUNTIF($E35:S35,1),ColDescriptionCourte))&gt;1,
HYPERLINK("#Roadmap!C"&amp; MATCH($E35,Roadmap!$D:$D,0)+COUNTIF($E35:S35,"u")+COUNTIF($E35:S35,"t")+COUNTIF($E35:S35,"¶")+COUNTIF($E35:S35,"²")+COUNTIF($E35:S35,"µ")+COUNTIF($E35:S35,1)-1,INDEX(Roadmap!$D:$K,MATCH($E35,Roadmap!$D:$D,0)-1+COUNTIF($E35:S35,"u")+COUNTIF($E35:S35,"t")+COUNTIF($E35:S35,"¶")+COUNTIF($E35:S35,"²")+COUNTIF($E35:S35,"µ")+COUNTIF($E35:S35,1),ColDescriptionCourte)),""),
  "")),"")</f>
        <v/>
      </c>
      <c r="U35" s="40" t="str">
        <f ca="1">IFERROR(IF(AND(
  INDEX(Roadmap!$D:$K,MATCH($E35,Roadmap!$D:$D,0)+COUNTIF($E35:T35,"u")+COUNTIF($E35:T35,"t")+COUNTIF($E35:T35,"¶")+COUNTIF($E35:T35,"²")+COUNTIF($E35:T35,"µ")+COUNTIF($E35:T35,1),ColLivraison)=U$6,
  VLOOKUP($E35,INDIRECT("tri!"&amp; CHAR(64+ C0Col) &amp;":"&amp; CHAR(65+C0Col)),2,FALSE)&gt;COUNTIF($E35:T35,"u")+COUNTIF($E35:T35,"t")+COUNTIF($E35:T35,"¶")+COUNTIF($E35:T35,"²")+COUNTIF($E35:T35,"µ")+COUNTIF($E35:T35,1)),
HYPERLINK("#Roadmap!C"&amp; MATCH($E35,Roadmap!$D:$D,0)+COUNTIF($E35:T35,"u")+COUNTIF($E35:T35,"t"),
     INDEX(Roadmap!$D:$K,MATCH($E35,Roadmap!$D:$D,0)+COUNTIF($E35:T35,"u")+COUNTIF($E35:T35,"t")+COUNTIF($E35:T35,"¶")+COUNTIF($E35:T35,"²")+COUNTIF($E35:T35,"µ")+COUNTIF($E35:T35,1),ColTypeEcheance)),
  IF(LEN(T35)=1,
  IF(LEN(INDEX(Roadmap!$D:$K,MATCH($E35,Roadmap!$D:$D,0)-1+COUNTIF($E35:T35,"u")+COUNTIF($E35:T35,"t")+COUNTIF($E35:T35,"¶")+COUNTIF($E35:T35,"²")+COUNTIF($E35:T35,"µ")+COUNTIF($E35:T35,1),ColDescriptionCourte))&gt;1,
HYPERLINK("#Roadmap!C"&amp; MATCH($E35,Roadmap!$D:$D,0)+COUNTIF($E35:T35,"u")+COUNTIF($E35:T35,"t")+COUNTIF($E35:T35,"¶")+COUNTIF($E35:T35,"²")+COUNTIF($E35:T35,"µ")+COUNTIF($E35:T35,1)-1,INDEX(Roadmap!$D:$K,MATCH($E35,Roadmap!$D:$D,0)-1+COUNTIF($E35:T35,"u")+COUNTIF($E35:T35,"t")+COUNTIF($E35:T35,"¶")+COUNTIF($E35:T35,"²")+COUNTIF($E35:T35,"µ")+COUNTIF($E35:T35,1),ColDescriptionCourte)),""),
  "")),"")</f>
        <v/>
      </c>
      <c r="V35" s="40" t="str">
        <f ca="1">IFERROR(IF(AND(
  INDEX(Roadmap!$D:$K,MATCH($E35,Roadmap!$D:$D,0)+COUNTIF($E35:U35,"u")+COUNTIF($E35:U35,"t")+COUNTIF($E35:U35,"¶")+COUNTIF($E35:U35,"²")+COUNTIF($E35:U35,"µ")+COUNTIF($E35:U35,1),ColLivraison)=V$6,
  VLOOKUP($E35,INDIRECT("tri!"&amp; CHAR(64+ C0Col) &amp;":"&amp; CHAR(65+C0Col)),2,FALSE)&gt;COUNTIF($E35:U35,"u")+COUNTIF($E35:U35,"t")+COUNTIF($E35:U35,"¶")+COUNTIF($E35:U35,"²")+COUNTIF($E35:U35,"µ")+COUNTIF($E35:U35,1)),
HYPERLINK("#Roadmap!C"&amp; MATCH($E35,Roadmap!$D:$D,0)+COUNTIF($E35:U35,"u")+COUNTIF($E35:U35,"t"),
     INDEX(Roadmap!$D:$K,MATCH($E35,Roadmap!$D:$D,0)+COUNTIF($E35:U35,"u")+COUNTIF($E35:U35,"t")+COUNTIF($E35:U35,"¶")+COUNTIF($E35:U35,"²")+COUNTIF($E35:U35,"µ")+COUNTIF($E35:U35,1),ColTypeEcheance)),
  IF(LEN(U35)=1,
  IF(LEN(INDEX(Roadmap!$D:$K,MATCH($E35,Roadmap!$D:$D,0)-1+COUNTIF($E35:U35,"u")+COUNTIF($E35:U35,"t")+COUNTIF($E35:U35,"¶")+COUNTIF($E35:U35,"²")+COUNTIF($E35:U35,"µ")+COUNTIF($E35:U35,1),ColDescriptionCourte))&gt;1,
HYPERLINK("#Roadmap!C"&amp; MATCH($E35,Roadmap!$D:$D,0)+COUNTIF($E35:U35,"u")+COUNTIF($E35:U35,"t")+COUNTIF($E35:U35,"¶")+COUNTIF($E35:U35,"²")+COUNTIF($E35:U35,"µ")+COUNTIF($E35:U35,1)-1,INDEX(Roadmap!$D:$K,MATCH($E35,Roadmap!$D:$D,0)-1+COUNTIF($E35:U35,"u")+COUNTIF($E35:U35,"t")+COUNTIF($E35:U35,"¶")+COUNTIF($E35:U35,"²")+COUNTIF($E35:U35,"µ")+COUNTIF($E35:U35,1),ColDescriptionCourte)),""),
  "")),"")</f>
        <v/>
      </c>
      <c r="W35" s="40" t="str">
        <f ca="1">IFERROR(IF(AND(
  INDEX(Roadmap!$D:$K,MATCH($E35,Roadmap!$D:$D,0)+COUNTIF($E35:V35,"u")+COUNTIF($E35:V35,"t")+COUNTIF($E35:V35,"¶")+COUNTIF($E35:V35,"²")+COUNTIF($E35:V35,"µ")+COUNTIF($E35:V35,1),ColLivraison)=W$6,
  VLOOKUP($E35,INDIRECT("tri!"&amp; CHAR(64+ C0Col) &amp;":"&amp; CHAR(65+C0Col)),2,FALSE)&gt;COUNTIF($E35:V35,"u")+COUNTIF($E35:V35,"t")+COUNTIF($E35:V35,"¶")+COUNTIF($E35:V35,"²")+COUNTIF($E35:V35,"µ")+COUNTIF($E35:V35,1)),
HYPERLINK("#Roadmap!C"&amp; MATCH($E35,Roadmap!$D:$D,0)+COUNTIF($E35:V35,"u")+COUNTIF($E35:V35,"t"),
     INDEX(Roadmap!$D:$K,MATCH($E35,Roadmap!$D:$D,0)+COUNTIF($E35:V35,"u")+COUNTIF($E35:V35,"t")+COUNTIF($E35:V35,"¶")+COUNTIF($E35:V35,"²")+COUNTIF($E35:V35,"µ")+COUNTIF($E35:V35,1),ColTypeEcheance)),
  IF(LEN(V35)=1,
  IF(LEN(INDEX(Roadmap!$D:$K,MATCH($E35,Roadmap!$D:$D,0)-1+COUNTIF($E35:V35,"u")+COUNTIF($E35:V35,"t")+COUNTIF($E35:V35,"¶")+COUNTIF($E35:V35,"²")+COUNTIF($E35:V35,"µ")+COUNTIF($E35:V35,1),ColDescriptionCourte))&gt;1,
HYPERLINK("#Roadmap!C"&amp; MATCH($E35,Roadmap!$D:$D,0)+COUNTIF($E35:V35,"u")+COUNTIF($E35:V35,"t")+COUNTIF($E35:V35,"¶")+COUNTIF($E35:V35,"²")+COUNTIF($E35:V35,"µ")+COUNTIF($E35:V35,1)-1,INDEX(Roadmap!$D:$K,MATCH($E35,Roadmap!$D:$D,0)-1+COUNTIF($E35:V35,"u")+COUNTIF($E35:V35,"t")+COUNTIF($E35:V35,"¶")+COUNTIF($E35:V35,"²")+COUNTIF($E35:V35,"µ")+COUNTIF($E35:V35,1),ColDescriptionCourte)),""),
  "")),"")</f>
        <v/>
      </c>
      <c r="X35" s="40" t="str">
        <f ca="1">IFERROR(IF(AND(
  INDEX(Roadmap!$D:$K,MATCH($E35,Roadmap!$D:$D,0)+COUNTIF($E35:W35,"u")+COUNTIF($E35:W35,"t")+COUNTIF($E35:W35,"¶")+COUNTIF($E35:W35,"²")+COUNTIF($E35:W35,"µ")+COUNTIF($E35:W35,1),ColLivraison)=X$6,
  VLOOKUP($E35,INDIRECT("tri!"&amp; CHAR(64+ C0Col) &amp;":"&amp; CHAR(65+C0Col)),2,FALSE)&gt;COUNTIF($E35:W35,"u")+COUNTIF($E35:W35,"t")+COUNTIF($E35:W35,"¶")+COUNTIF($E35:W35,"²")+COUNTIF($E35:W35,"µ")+COUNTIF($E35:W35,1)),
HYPERLINK("#Roadmap!C"&amp; MATCH($E35,Roadmap!$D:$D,0)+COUNTIF($E35:W35,"u")+COUNTIF($E35:W35,"t"),
     INDEX(Roadmap!$D:$K,MATCH($E35,Roadmap!$D:$D,0)+COUNTIF($E35:W35,"u")+COUNTIF($E35:W35,"t")+COUNTIF($E35:W35,"¶")+COUNTIF($E35:W35,"²")+COUNTIF($E35:W35,"µ")+COUNTIF($E35:W35,1),ColTypeEcheance)),
  IF(LEN(W35)=1,
  IF(LEN(INDEX(Roadmap!$D:$K,MATCH($E35,Roadmap!$D:$D,0)-1+COUNTIF($E35:W35,"u")+COUNTIF($E35:W35,"t")+COUNTIF($E35:W35,"¶")+COUNTIF($E35:W35,"²")+COUNTIF($E35:W35,"µ")+COUNTIF($E35:W35,1),ColDescriptionCourte))&gt;1,
HYPERLINK("#Roadmap!C"&amp; MATCH($E35,Roadmap!$D:$D,0)+COUNTIF($E35:W35,"u")+COUNTIF($E35:W35,"t")+COUNTIF($E35:W35,"¶")+COUNTIF($E35:W35,"²")+COUNTIF($E35:W35,"µ")+COUNTIF($E35:W35,1)-1,INDEX(Roadmap!$D:$K,MATCH($E35,Roadmap!$D:$D,0)-1+COUNTIF($E35:W35,"u")+COUNTIF($E35:W35,"t")+COUNTIF($E35:W35,"¶")+COUNTIF($E35:W35,"²")+COUNTIF($E35:W35,"µ")+COUNTIF($E35:W35,1),ColDescriptionCourte)),""),
  "")),"")</f>
        <v/>
      </c>
      <c r="Y35" s="40" t="str">
        <f ca="1">IFERROR(IF(AND(
  INDEX(Roadmap!$D:$K,MATCH($E35,Roadmap!$D:$D,0)+COUNTIF($E35:X35,"u")+COUNTIF($E35:X35,"t")+COUNTIF($E35:X35,"¶")+COUNTIF($E35:X35,"²")+COUNTIF($E35:X35,"µ")+COUNTIF($E35:X35,1),ColLivraison)=Y$6,
  VLOOKUP($E35,INDIRECT("tri!"&amp; CHAR(64+ C0Col) &amp;":"&amp; CHAR(65+C0Col)),2,FALSE)&gt;COUNTIF($E35:X35,"u")+COUNTIF($E35:X35,"t")+COUNTIF($E35:X35,"¶")+COUNTIF($E35:X35,"²")+COUNTIF($E35:X35,"µ")+COUNTIF($E35:X35,1)),
HYPERLINK("#Roadmap!C"&amp; MATCH($E35,Roadmap!$D:$D,0)+COUNTIF($E35:X35,"u")+COUNTIF($E35:X35,"t"),
     INDEX(Roadmap!$D:$K,MATCH($E35,Roadmap!$D:$D,0)+COUNTIF($E35:X35,"u")+COUNTIF($E35:X35,"t")+COUNTIF($E35:X35,"¶")+COUNTIF($E35:X35,"²")+COUNTIF($E35:X35,"µ")+COUNTIF($E35:X35,1),ColTypeEcheance)),
  IF(LEN(X35)=1,
  IF(LEN(INDEX(Roadmap!$D:$K,MATCH($E35,Roadmap!$D:$D,0)-1+COUNTIF($E35:X35,"u")+COUNTIF($E35:X35,"t")+COUNTIF($E35:X35,"¶")+COUNTIF($E35:X35,"²")+COUNTIF($E35:X35,"µ")+COUNTIF($E35:X35,1),ColDescriptionCourte))&gt;1,
HYPERLINK("#Roadmap!C"&amp; MATCH($E35,Roadmap!$D:$D,0)+COUNTIF($E35:X35,"u")+COUNTIF($E35:X35,"t")+COUNTIF($E35:X35,"¶")+COUNTIF($E35:X35,"²")+COUNTIF($E35:X35,"µ")+COUNTIF($E35:X35,1)-1,INDEX(Roadmap!$D:$K,MATCH($E35,Roadmap!$D:$D,0)-1+COUNTIF($E35:X35,"u")+COUNTIF($E35:X35,"t")+COUNTIF($E35:X35,"¶")+COUNTIF($E35:X35,"²")+COUNTIF($E35:X35,"µ")+COUNTIF($E35:X35,1),ColDescriptionCourte)),""),
  "")),"")</f>
        <v/>
      </c>
      <c r="Z35" s="40" t="str">
        <f ca="1">IFERROR(IF(AND(
  INDEX(Roadmap!$D:$K,MATCH($E35,Roadmap!$D:$D,0)+COUNTIF($E35:Y35,"u")+COUNTIF($E35:Y35,"t")+COUNTIF($E35:Y35,"¶")+COUNTIF($E35:Y35,"²")+COUNTIF($E35:Y35,"µ")+COUNTIF($E35:Y35,1),ColLivraison)=Z$6,
  VLOOKUP($E35,INDIRECT("tri!"&amp; CHAR(64+ C0Col) &amp;":"&amp; CHAR(65+C0Col)),2,FALSE)&gt;COUNTIF($E35:Y35,"u")+COUNTIF($E35:Y35,"t")+COUNTIF($E35:Y35,"¶")+COUNTIF($E35:Y35,"²")+COUNTIF($E35:Y35,"µ")+COUNTIF($E35:Y35,1)),
HYPERLINK("#Roadmap!C"&amp; MATCH($E35,Roadmap!$D:$D,0)+COUNTIF($E35:Y35,"u")+COUNTIF($E35:Y35,"t"),
     INDEX(Roadmap!$D:$K,MATCH($E35,Roadmap!$D:$D,0)+COUNTIF($E35:Y35,"u")+COUNTIF($E35:Y35,"t")+COUNTIF($E35:Y35,"¶")+COUNTIF($E35:Y35,"²")+COUNTIF($E35:Y35,"µ")+COUNTIF($E35:Y35,1),ColTypeEcheance)),
  IF(LEN(Y35)=1,
  IF(LEN(INDEX(Roadmap!$D:$K,MATCH($E35,Roadmap!$D:$D,0)-1+COUNTIF($E35:Y35,"u")+COUNTIF($E35:Y35,"t")+COUNTIF($E35:Y35,"¶")+COUNTIF($E35:Y35,"²")+COUNTIF($E35:Y35,"µ")+COUNTIF($E35:Y35,1),ColDescriptionCourte))&gt;1,
HYPERLINK("#Roadmap!C"&amp; MATCH($E35,Roadmap!$D:$D,0)+COUNTIF($E35:Y35,"u")+COUNTIF($E35:Y35,"t")+COUNTIF($E35:Y35,"¶")+COUNTIF($E35:Y35,"²")+COUNTIF($E35:Y35,"µ")+COUNTIF($E35:Y35,1)-1,INDEX(Roadmap!$D:$K,MATCH($E35,Roadmap!$D:$D,0)-1+COUNTIF($E35:Y35,"u")+COUNTIF($E35:Y35,"t")+COUNTIF($E35:Y35,"¶")+COUNTIF($E35:Y35,"²")+COUNTIF($E35:Y35,"µ")+COUNTIF($E35:Y35,1),ColDescriptionCourte)),""),
  "")),"")</f>
        <v/>
      </c>
      <c r="AA35" s="40" t="str">
        <f ca="1">IFERROR(IF(AND(
  INDEX(Roadmap!$D:$K,MATCH($E35,Roadmap!$D:$D,0)+COUNTIF($E35:Z35,"u")+COUNTIF($E35:Z35,"t")+COUNTIF($E35:Z35,"¶")+COUNTIF($E35:Z35,"²")+COUNTIF($E35:Z35,"µ")+COUNTIF($E35:Z35,1),ColLivraison)=AA$6,
  VLOOKUP($E35,INDIRECT("tri!"&amp; CHAR(64+ C0Col) &amp;":"&amp; CHAR(65+C0Col)),2,FALSE)&gt;COUNTIF($E35:Z35,"u")+COUNTIF($E35:Z35,"t")+COUNTIF($E35:Z35,"¶")+COUNTIF($E35:Z35,"²")+COUNTIF($E35:Z35,"µ")+COUNTIF($E35:Z35,1)),
HYPERLINK("#Roadmap!C"&amp; MATCH($E35,Roadmap!$D:$D,0)+COUNTIF($E35:Z35,"u")+COUNTIF($E35:Z35,"t"),
     INDEX(Roadmap!$D:$K,MATCH($E35,Roadmap!$D:$D,0)+COUNTIF($E35:Z35,"u")+COUNTIF($E35:Z35,"t")+COUNTIF($E35:Z35,"¶")+COUNTIF($E35:Z35,"²")+COUNTIF($E35:Z35,"µ")+COUNTIF($E35:Z35,1),ColTypeEcheance)),
  IF(LEN(Z35)=1,
  IF(LEN(INDEX(Roadmap!$D:$K,MATCH($E35,Roadmap!$D:$D,0)-1+COUNTIF($E35:Z35,"u")+COUNTIF($E35:Z35,"t")+COUNTIF($E35:Z35,"¶")+COUNTIF($E35:Z35,"²")+COUNTIF($E35:Z35,"µ")+COUNTIF($E35:Z35,1),ColDescriptionCourte))&gt;1,
HYPERLINK("#Roadmap!C"&amp; MATCH($E35,Roadmap!$D:$D,0)+COUNTIF($E35:Z35,"u")+COUNTIF($E35:Z35,"t")+COUNTIF($E35:Z35,"¶")+COUNTIF($E35:Z35,"²")+COUNTIF($E35:Z35,"µ")+COUNTIF($E35:Z35,1)-1,INDEX(Roadmap!$D:$K,MATCH($E35,Roadmap!$D:$D,0)-1+COUNTIF($E35:Z35,"u")+COUNTIF($E35:Z35,"t")+COUNTIF($E35:Z35,"¶")+COUNTIF($E35:Z35,"²")+COUNTIF($E35:Z35,"µ")+COUNTIF($E35:Z35,1),ColDescriptionCourte)),""),
  "")),"")</f>
        <v/>
      </c>
      <c r="AB35" s="40" t="str">
        <f ca="1">IFERROR(IF(AND(
  INDEX(Roadmap!$D:$K,MATCH($E35,Roadmap!$D:$D,0)+COUNTIF($E35:AA35,"u")+COUNTIF($E35:AA35,"t")+COUNTIF($E35:AA35,"¶")+COUNTIF($E35:AA35,"²")+COUNTIF($E35:AA35,"µ")+COUNTIF($E35:AA35,1),ColLivraison)=AB$6,
  VLOOKUP($E35,INDIRECT("tri!"&amp; CHAR(64+ C0Col) &amp;":"&amp; CHAR(65+C0Col)),2,FALSE)&gt;COUNTIF($E35:AA35,"u")+COUNTIF($E35:AA35,"t")+COUNTIF($E35:AA35,"¶")+COUNTIF($E35:AA35,"²")+COUNTIF($E35:AA35,"µ")+COUNTIF($E35:AA35,1)),
HYPERLINK("#Roadmap!C"&amp; MATCH($E35,Roadmap!$D:$D,0)+COUNTIF($E35:AA35,"u")+COUNTIF($E35:AA35,"t"),
     INDEX(Roadmap!$D:$K,MATCH($E35,Roadmap!$D:$D,0)+COUNTIF($E35:AA35,"u")+COUNTIF($E35:AA35,"t")+COUNTIF($E35:AA35,"¶")+COUNTIF($E35:AA35,"²")+COUNTIF($E35:AA35,"µ")+COUNTIF($E35:AA35,1),ColTypeEcheance)),
  IF(LEN(AA35)=1,
  IF(LEN(INDEX(Roadmap!$D:$K,MATCH($E35,Roadmap!$D:$D,0)-1+COUNTIF($E35:AA35,"u")+COUNTIF($E35:AA35,"t")+COUNTIF($E35:AA35,"¶")+COUNTIF($E35:AA35,"²")+COUNTIF($E35:AA35,"µ")+COUNTIF($E35:AA35,1),ColDescriptionCourte))&gt;1,
HYPERLINK("#Roadmap!C"&amp; MATCH($E35,Roadmap!$D:$D,0)+COUNTIF($E35:AA35,"u")+COUNTIF($E35:AA35,"t")+COUNTIF($E35:AA35,"¶")+COUNTIF($E35:AA35,"²")+COUNTIF($E35:AA35,"µ")+COUNTIF($E35:AA35,1)-1,INDEX(Roadmap!$D:$K,MATCH($E35,Roadmap!$D:$D,0)-1+COUNTIF($E35:AA35,"u")+COUNTIF($E35:AA35,"t")+COUNTIF($E35:AA35,"¶")+COUNTIF($E35:AA35,"²")+COUNTIF($E35:AA35,"µ")+COUNTIF($E35:AA35,1),ColDescriptionCourte)),""),
  "")),"")</f>
        <v/>
      </c>
      <c r="AC35" s="40" t="str">
        <f ca="1">IFERROR(IF(AND(
  INDEX(Roadmap!$D:$K,MATCH($E35,Roadmap!$D:$D,0)+COUNTIF($E35:AB35,"u")+COUNTIF($E35:AB35,"t")+COUNTIF($E35:AB35,"¶")+COUNTIF($E35:AB35,"²")+COUNTIF($E35:AB35,"µ")+COUNTIF($E35:AB35,1),ColLivraison)=AC$6,
  VLOOKUP($E35,INDIRECT("tri!"&amp; CHAR(64+ C0Col) &amp;":"&amp; CHAR(65+C0Col)),2,FALSE)&gt;COUNTIF($E35:AB35,"u")+COUNTIF($E35:AB35,"t")+COUNTIF($E35:AB35,"¶")+COUNTIF($E35:AB35,"²")+COUNTIF($E35:AB35,"µ")+COUNTIF($E35:AB35,1)),
HYPERLINK("#Roadmap!C"&amp; MATCH($E35,Roadmap!$D:$D,0)+COUNTIF($E35:AB35,"u")+COUNTIF($E35:AB35,"t"),
     INDEX(Roadmap!$D:$K,MATCH($E35,Roadmap!$D:$D,0)+COUNTIF($E35:AB35,"u")+COUNTIF($E35:AB35,"t")+COUNTIF($E35:AB35,"¶")+COUNTIF($E35:AB35,"²")+COUNTIF($E35:AB35,"µ")+COUNTIF($E35:AB35,1),ColTypeEcheance)),
  IF(LEN(AB35)=1,
  IF(LEN(INDEX(Roadmap!$D:$K,MATCH($E35,Roadmap!$D:$D,0)-1+COUNTIF($E35:AB35,"u")+COUNTIF($E35:AB35,"t")+COUNTIF($E35:AB35,"¶")+COUNTIF($E35:AB35,"²")+COUNTIF($E35:AB35,"µ")+COUNTIF($E35:AB35,1),ColDescriptionCourte))&gt;1,
HYPERLINK("#Roadmap!C"&amp; MATCH($E35,Roadmap!$D:$D,0)+COUNTIF($E35:AB35,"u")+COUNTIF($E35:AB35,"t")+COUNTIF($E35:AB35,"¶")+COUNTIF($E35:AB35,"²")+COUNTIF($E35:AB35,"µ")+COUNTIF($E35:AB35,1)-1,INDEX(Roadmap!$D:$K,MATCH($E35,Roadmap!$D:$D,0)-1+COUNTIF($E35:AB35,"u")+COUNTIF($E35:AB35,"t")+COUNTIF($E35:AB35,"¶")+COUNTIF($E35:AB35,"²")+COUNTIF($E35:AB35,"µ")+COUNTIF($E35:AB35,1),ColDescriptionCourte)),""),
  "")),"")</f>
        <v/>
      </c>
      <c r="AD35" s="40" t="str">
        <f ca="1">IFERROR(IF(AND(
  INDEX(Roadmap!$D:$K,MATCH($E35,Roadmap!$D:$D,0)+COUNTIF($E35:AC35,"u")+COUNTIF($E35:AC35,"t")+COUNTIF($E35:AC35,"¶")+COUNTIF($E35:AC35,"²")+COUNTIF($E35:AC35,"µ")+COUNTIF($E35:AC35,1),ColLivraison)=AD$6,
  VLOOKUP($E35,INDIRECT("tri!"&amp; CHAR(64+ C0Col) &amp;":"&amp; CHAR(65+C0Col)),2,FALSE)&gt;COUNTIF($E35:AC35,"u")+COUNTIF($E35:AC35,"t")+COUNTIF($E35:AC35,"¶")+COUNTIF($E35:AC35,"²")+COUNTIF($E35:AC35,"µ")+COUNTIF($E35:AC35,1)),
HYPERLINK("#Roadmap!C"&amp; MATCH($E35,Roadmap!$D:$D,0)+COUNTIF($E35:AC35,"u")+COUNTIF($E35:AC35,"t"),
     INDEX(Roadmap!$D:$K,MATCH($E35,Roadmap!$D:$D,0)+COUNTIF($E35:AC35,"u")+COUNTIF($E35:AC35,"t")+COUNTIF($E35:AC35,"¶")+COUNTIF($E35:AC35,"²")+COUNTIF($E35:AC35,"µ")+COUNTIF($E35:AC35,1),ColTypeEcheance)),
  IF(LEN(AC35)=1,
  IF(LEN(INDEX(Roadmap!$D:$K,MATCH($E35,Roadmap!$D:$D,0)-1+COUNTIF($E35:AC35,"u")+COUNTIF($E35:AC35,"t")+COUNTIF($E35:AC35,"¶")+COUNTIF($E35:AC35,"²")+COUNTIF($E35:AC35,"µ")+COUNTIF($E35:AC35,1),ColDescriptionCourte))&gt;1,
HYPERLINK("#Roadmap!C"&amp; MATCH($E35,Roadmap!$D:$D,0)+COUNTIF($E35:AC35,"u")+COUNTIF($E35:AC35,"t")+COUNTIF($E35:AC35,"¶")+COUNTIF($E35:AC35,"²")+COUNTIF($E35:AC35,"µ")+COUNTIF($E35:AC35,1)-1,INDEX(Roadmap!$D:$K,MATCH($E35,Roadmap!$D:$D,0)-1+COUNTIF($E35:AC35,"u")+COUNTIF($E35:AC35,"t")+COUNTIF($E35:AC35,"¶")+COUNTIF($E35:AC35,"²")+COUNTIF($E35:AC35,"µ")+COUNTIF($E35:AC35,1),ColDescriptionCourte)),""),
  "")),"")</f>
        <v/>
      </c>
      <c r="AE35" s="40" t="str">
        <f ca="1">IFERROR(IF(AND(
  INDEX(Roadmap!$D:$K,MATCH($E35,Roadmap!$D:$D,0)+COUNTIF($E35:AD35,"u")+COUNTIF($E35:AD35,"t")+COUNTIF($E35:AD35,"¶")+COUNTIF($E35:AD35,"²")+COUNTIF($E35:AD35,"µ")+COUNTIF($E35:AD35,1),ColLivraison)=AE$6,
  VLOOKUP($E35,INDIRECT("tri!"&amp; CHAR(64+ C0Col) &amp;":"&amp; CHAR(65+C0Col)),2,FALSE)&gt;COUNTIF($E35:AD35,"u")+COUNTIF($E35:AD35,"t")+COUNTIF($E35:AD35,"¶")+COUNTIF($E35:AD35,"²")+COUNTIF($E35:AD35,"µ")+COUNTIF($E35:AD35,1)),
HYPERLINK("#Roadmap!C"&amp; MATCH($E35,Roadmap!$D:$D,0)+COUNTIF($E35:AD35,"u")+COUNTIF($E35:AD35,"t"),
     INDEX(Roadmap!$D:$K,MATCH($E35,Roadmap!$D:$D,0)+COUNTIF($E35:AD35,"u")+COUNTIF($E35:AD35,"t")+COUNTIF($E35:AD35,"¶")+COUNTIF($E35:AD35,"²")+COUNTIF($E35:AD35,"µ")+COUNTIF($E35:AD35,1),ColTypeEcheance)),
  IF(LEN(AD35)=1,
  IF(LEN(INDEX(Roadmap!$D:$K,MATCH($E35,Roadmap!$D:$D,0)-1+COUNTIF($E35:AD35,"u")+COUNTIF($E35:AD35,"t")+COUNTIF($E35:AD35,"¶")+COUNTIF($E35:AD35,"²")+COUNTIF($E35:AD35,"µ")+COUNTIF($E35:AD35,1),ColDescriptionCourte))&gt;1,
HYPERLINK("#Roadmap!C"&amp; MATCH($E35,Roadmap!$D:$D,0)+COUNTIF($E35:AD35,"u")+COUNTIF($E35:AD35,"t")+COUNTIF($E35:AD35,"¶")+COUNTIF($E35:AD35,"²")+COUNTIF($E35:AD35,"µ")+COUNTIF($E35:AD35,1)-1,INDEX(Roadmap!$D:$K,MATCH($E35,Roadmap!$D:$D,0)-1+COUNTIF($E35:AD35,"u")+COUNTIF($E35:AD35,"t")+COUNTIF($E35:AD35,"¶")+COUNTIF($E35:AD35,"²")+COUNTIF($E35:AD35,"µ")+COUNTIF($E35:AD35,1),ColDescriptionCourte)),""),
  "")),"")</f>
        <v/>
      </c>
      <c r="AF35" s="40" t="str">
        <f ca="1">IFERROR(IF(AND(
  INDEX(Roadmap!$D:$K,MATCH($E35,Roadmap!$D:$D,0)+COUNTIF($E35:AE35,"u")+COUNTIF($E35:AE35,"t")+COUNTIF($E35:AE35,"¶")+COUNTIF($E35:AE35,"²")+COUNTIF($E35:AE35,"µ")+COUNTIF($E35:AE35,1),ColLivraison)=AF$6,
  VLOOKUP($E35,INDIRECT("tri!"&amp; CHAR(64+ C0Col) &amp;":"&amp; CHAR(65+C0Col)),2,FALSE)&gt;COUNTIF($E35:AE35,"u")+COUNTIF($E35:AE35,"t")+COUNTIF($E35:AE35,"¶")+COUNTIF($E35:AE35,"²")+COUNTIF($E35:AE35,"µ")+COUNTIF($E35:AE35,1)),
HYPERLINK("#Roadmap!C"&amp; MATCH($E35,Roadmap!$D:$D,0)+COUNTIF($E35:AE35,"u")+COUNTIF($E35:AE35,"t"),
     INDEX(Roadmap!$D:$K,MATCH($E35,Roadmap!$D:$D,0)+COUNTIF($E35:AE35,"u")+COUNTIF($E35:AE35,"t")+COUNTIF($E35:AE35,"¶")+COUNTIF($E35:AE35,"²")+COUNTIF($E35:AE35,"µ")+COUNTIF($E35:AE35,1),ColTypeEcheance)),
  IF(LEN(AE35)=1,
  IF(LEN(INDEX(Roadmap!$D:$K,MATCH($E35,Roadmap!$D:$D,0)-1+COUNTIF($E35:AE35,"u")+COUNTIF($E35:AE35,"t")+COUNTIF($E35:AE35,"¶")+COUNTIF($E35:AE35,"²")+COUNTIF($E35:AE35,"µ")+COUNTIF($E35:AE35,1),ColDescriptionCourte))&gt;1,
HYPERLINK("#Roadmap!C"&amp; MATCH($E35,Roadmap!$D:$D,0)+COUNTIF($E35:AE35,"u")+COUNTIF($E35:AE35,"t")+COUNTIF($E35:AE35,"¶")+COUNTIF($E35:AE35,"²")+COUNTIF($E35:AE35,"µ")+COUNTIF($E35:AE35,1)-1,INDEX(Roadmap!$D:$K,MATCH($E35,Roadmap!$D:$D,0)-1+COUNTIF($E35:AE35,"u")+COUNTIF($E35:AE35,"t")+COUNTIF($E35:AE35,"¶")+COUNTIF($E35:AE35,"²")+COUNTIF($E35:AE35,"µ")+COUNTIF($E35:AE35,1),ColDescriptionCourte)),""),
  "")),"")</f>
        <v/>
      </c>
      <c r="AG35" s="40" t="str">
        <f ca="1">IFERROR(IF(AND(
  INDEX(Roadmap!$D:$K,MATCH($E35,Roadmap!$D:$D,0)+COUNTIF($E35:AF35,"u")+COUNTIF($E35:AF35,"t")+COUNTIF($E35:AF35,"¶")+COUNTIF($E35:AF35,"²")+COUNTIF($E35:AF35,"µ")+COUNTIF($E35:AF35,1),ColLivraison)=AG$6,
  VLOOKUP($E35,INDIRECT("tri!"&amp; CHAR(64+ C0Col) &amp;":"&amp; CHAR(65+C0Col)),2,FALSE)&gt;COUNTIF($E35:AF35,"u")+COUNTIF($E35:AF35,"t")+COUNTIF($E35:AF35,"¶")+COUNTIF($E35:AF35,"²")+COUNTIF($E35:AF35,"µ")+COUNTIF($E35:AF35,1)),
HYPERLINK("#Roadmap!C"&amp; MATCH($E35,Roadmap!$D:$D,0)+COUNTIF($E35:AF35,"u")+COUNTIF($E35:AF35,"t"),
     INDEX(Roadmap!$D:$K,MATCH($E35,Roadmap!$D:$D,0)+COUNTIF($E35:AF35,"u")+COUNTIF($E35:AF35,"t")+COUNTIF($E35:AF35,"¶")+COUNTIF($E35:AF35,"²")+COUNTIF($E35:AF35,"µ")+COUNTIF($E35:AF35,1),ColTypeEcheance)),
  IF(LEN(AF35)=1,
  IF(LEN(INDEX(Roadmap!$D:$K,MATCH($E35,Roadmap!$D:$D,0)-1+COUNTIF($E35:AF35,"u")+COUNTIF($E35:AF35,"t")+COUNTIF($E35:AF35,"¶")+COUNTIF($E35:AF35,"²")+COUNTIF($E35:AF35,"µ")+COUNTIF($E35:AF35,1),ColDescriptionCourte))&gt;1,
HYPERLINK("#Roadmap!C"&amp; MATCH($E35,Roadmap!$D:$D,0)+COUNTIF($E35:AF35,"u")+COUNTIF($E35:AF35,"t")+COUNTIF($E35:AF35,"¶")+COUNTIF($E35:AF35,"²")+COUNTIF($E35:AF35,"µ")+COUNTIF($E35:AF35,1)-1,INDEX(Roadmap!$D:$K,MATCH($E35,Roadmap!$D:$D,0)-1+COUNTIF($E35:AF35,"u")+COUNTIF($E35:AF35,"t")+COUNTIF($E35:AF35,"¶")+COUNTIF($E35:AF35,"²")+COUNTIF($E35:AF35,"µ")+COUNTIF($E35:AF35,1),ColDescriptionCourte)),""),
  "")),"")</f>
        <v/>
      </c>
    </row>
    <row r="36" spans="3:33" ht="14.25" customHeight="1">
      <c r="C36" s="1" t="str">
        <f t="shared" ca="1" si="42"/>
        <v/>
      </c>
      <c r="D36" s="1" t="str">
        <f t="shared" ca="1" si="43"/>
        <v/>
      </c>
      <c r="E36" s="35" t="str">
        <f t="shared" ca="1" si="33"/>
        <v/>
      </c>
      <c r="F36" s="39" t="str">
        <f ca="1">IFERROR(IF(AND(
  INDEX(Roadmap!$D:$K,MATCH($E36,Roadmap!$D:$D,0)+COUNTIF($E36:E36,"u")+COUNTIF($E36:E36,"t")+COUNTIF($E36:E36,"¶")+COUNTIF($E36:E36,"²")+COUNTIF($E36:E36,"µ")+COUNTIF($E36:E36,1),ColLivraison)=F$6,
  VLOOKUP($E36,INDIRECT("tri!"&amp; CHAR(64+ C0Col) &amp;":"&amp; CHAR(65+C0Col)),2,FALSE)&gt;COUNTIF($E36:E36,"u")+COUNTIF($E36:E36,"t")+COUNTIF($E36:E36,"¶")+COUNTIF($E36:E36,"²")+COUNTIF($E36:E36,"µ")+COUNTIF($E36:E36,1)),
HYPERLINK("#Roadmap!C"&amp; MATCH($E36,Roadmap!$D:$D,0)+COUNTIF($E36:E36,"u")+COUNTIF($E36:E36,"t"),
     INDEX(Roadmap!$D:$K,MATCH($E36,Roadmap!$D:$D,0)+COUNTIF($E36:E36,"u")+COUNTIF($E36:E36,"t")+COUNTIF($E36:E36,"¶")+COUNTIF($E36:E36,"²")+COUNTIF($E36:E36,"µ")+COUNTIF($E36:E36,1),ColTypeEcheance)),
  IF(LEN(E36)=1,
  IF(LEN(INDEX(Roadmap!$D:$K,MATCH($E36,Roadmap!$D:$D,0)-1+COUNTIF($E36:E36,"u")+COUNTIF($E36:E36,"t")+COUNTIF($E36:E36,"¶")+COUNTIF($E36:E36,"²")+COUNTIF($E36:E36,"µ")+COUNTIF($E36:E36,1),ColDescriptionCourte))&gt;1,
HYPERLINK("#Roadmap!C"&amp; MATCH($E36,Roadmap!$D:$D,0)+COUNTIF($E36:E36,"u")+COUNTIF($E36:E36,"t")+COUNTIF($E36:E36,"¶")+COUNTIF($E36:E36,"²")+COUNTIF($E36:E36,"µ")+COUNTIF($E36:E36,1)-1,INDEX(Roadmap!$D:$K,MATCH($E36,Roadmap!$D:$D,0)-1+COUNTIF($E36:E36,"u")+COUNTIF($E36:E36,"t")+COUNTIF($E36:E36,"¶")+COUNTIF($E36:E36,"²")+COUNTIF($E36:E36,"µ")+COUNTIF($E36:E36,1),ColDescriptionCourte)),""),
  "")),"")</f>
        <v/>
      </c>
      <c r="G36" s="40" t="str">
        <f ca="1">IFERROR(IF(AND(
  INDEX(Roadmap!$D:$K,MATCH($E36,Roadmap!$D:$D,0)+COUNTIF($E36:F36,"u")+COUNTIF($E36:F36,"t")+COUNTIF($E36:F36,"¶")+COUNTIF($E36:F36,"²")+COUNTIF($E36:F36,"µ")+COUNTIF($E36:F36,1),ColLivraison)=G$6,
  VLOOKUP($E36,INDIRECT("tri!"&amp; CHAR(64+ C0Col) &amp;":"&amp; CHAR(65+C0Col)),2,FALSE)&gt;COUNTIF($E36:F36,"u")+COUNTIF($E36:F36,"t")+COUNTIF($E36:F36,"¶")+COUNTIF($E36:F36,"²")+COUNTIF($E36:F36,"µ")+COUNTIF($E36:F36,1)),
HYPERLINK("#Roadmap!C"&amp; MATCH($E36,Roadmap!$D:$D,0)+COUNTIF($E36:F36,"u")+COUNTIF($E36:F36,"t"),
     INDEX(Roadmap!$D:$K,MATCH($E36,Roadmap!$D:$D,0)+COUNTIF($E36:F36,"u")+COUNTIF($E36:F36,"t")+COUNTIF($E36:F36,"¶")+COUNTIF($E36:F36,"²")+COUNTIF($E36:F36,"µ")+COUNTIF($E36:F36,1),ColTypeEcheance)),
  IF(LEN(F36)=1,
  IF(LEN(INDEX(Roadmap!$D:$K,MATCH($E36,Roadmap!$D:$D,0)-1+COUNTIF($E36:F36,"u")+COUNTIF($E36:F36,"t")+COUNTIF($E36:F36,"¶")+COUNTIF($E36:F36,"²")+COUNTIF($E36:F36,"µ")+COUNTIF($E36:F36,1),ColDescriptionCourte))&gt;1,
HYPERLINK("#Roadmap!C"&amp; MATCH($E36,Roadmap!$D:$D,0)+COUNTIF($E36:F36,"u")+COUNTIF($E36:F36,"t")+COUNTIF($E36:F36,"¶")+COUNTIF($E36:F36,"²")+COUNTIF($E36:F36,"µ")+COUNTIF($E36:F36,1)-1,INDEX(Roadmap!$D:$K,MATCH($E36,Roadmap!$D:$D,0)-1+COUNTIF($E36:F36,"u")+COUNTIF($E36:F36,"t")+COUNTIF($E36:F36,"¶")+COUNTIF($E36:F36,"²")+COUNTIF($E36:F36,"µ")+COUNTIF($E36:F36,1),ColDescriptionCourte)),""),
  "")),"")</f>
        <v/>
      </c>
      <c r="H36" s="40" t="str">
        <f ca="1">IFERROR(IF(AND(
  INDEX(Roadmap!$D:$K,MATCH($E36,Roadmap!$D:$D,0)+COUNTIF($E36:G36,"u")+COUNTIF($E36:G36,"t")+COUNTIF($E36:G36,"¶")+COUNTIF($E36:G36,"²")+COUNTIF($E36:G36,"µ")+COUNTIF($E36:G36,1),ColLivraison)=H$6,
  VLOOKUP($E36,INDIRECT("tri!"&amp; CHAR(64+ C0Col) &amp;":"&amp; CHAR(65+C0Col)),2,FALSE)&gt;COUNTIF($E36:G36,"u")+COUNTIF($E36:G36,"t")+COUNTIF($E36:G36,"¶")+COUNTIF($E36:G36,"²")+COUNTIF($E36:G36,"µ")+COUNTIF($E36:G36,1)),
HYPERLINK("#Roadmap!C"&amp; MATCH($E36,Roadmap!$D:$D,0)+COUNTIF($E36:G36,"u")+COUNTIF($E36:G36,"t"),
     INDEX(Roadmap!$D:$K,MATCH($E36,Roadmap!$D:$D,0)+COUNTIF($E36:G36,"u")+COUNTIF($E36:G36,"t")+COUNTIF($E36:G36,"¶")+COUNTIF($E36:G36,"²")+COUNTIF($E36:G36,"µ")+COUNTIF($E36:G36,1),ColTypeEcheance)),
  IF(LEN(G36)=1,
  IF(LEN(INDEX(Roadmap!$D:$K,MATCH($E36,Roadmap!$D:$D,0)-1+COUNTIF($E36:G36,"u")+COUNTIF($E36:G36,"t")+COUNTIF($E36:G36,"¶")+COUNTIF($E36:G36,"²")+COUNTIF($E36:G36,"µ")+COUNTIF($E36:G36,1),ColDescriptionCourte))&gt;1,
HYPERLINK("#Roadmap!C"&amp; MATCH($E36,Roadmap!$D:$D,0)+COUNTIF($E36:G36,"u")+COUNTIF($E36:G36,"t")+COUNTIF($E36:G36,"¶")+COUNTIF($E36:G36,"²")+COUNTIF($E36:G36,"µ")+COUNTIF($E36:G36,1)-1,INDEX(Roadmap!$D:$K,MATCH($E36,Roadmap!$D:$D,0)-1+COUNTIF($E36:G36,"u")+COUNTIF($E36:G36,"t")+COUNTIF($E36:G36,"¶")+COUNTIF($E36:G36,"²")+COUNTIF($E36:G36,"µ")+COUNTIF($E36:G36,1),ColDescriptionCourte)),""),
  "")),"")</f>
        <v/>
      </c>
      <c r="I36" s="40" t="str">
        <f ca="1">IFERROR(IF(AND(
  INDEX(Roadmap!$D:$K,MATCH($E36,Roadmap!$D:$D,0)+COUNTIF($E36:H36,"u")+COUNTIF($E36:H36,"t")+COUNTIF($E36:H36,"¶")+COUNTIF($E36:H36,"²")+COUNTIF($E36:H36,"µ")+COUNTIF($E36:H36,1),ColLivraison)=I$6,
  VLOOKUP($E36,INDIRECT("tri!"&amp; CHAR(64+ C0Col) &amp;":"&amp; CHAR(65+C0Col)),2,FALSE)&gt;COUNTIF($E36:H36,"u")+COUNTIF($E36:H36,"t")+COUNTIF($E36:H36,"¶")+COUNTIF($E36:H36,"²")+COUNTIF($E36:H36,"µ")+COUNTIF($E36:H36,1)),
HYPERLINK("#Roadmap!C"&amp; MATCH($E36,Roadmap!$D:$D,0)+COUNTIF($E36:H36,"u")+COUNTIF($E36:H36,"t"),
     INDEX(Roadmap!$D:$K,MATCH($E36,Roadmap!$D:$D,0)+COUNTIF($E36:H36,"u")+COUNTIF($E36:H36,"t")+COUNTIF($E36:H36,"¶")+COUNTIF($E36:H36,"²")+COUNTIF($E36:H36,"µ")+COUNTIF($E36:H36,1),ColTypeEcheance)),
  IF(LEN(H36)=1,
  IF(LEN(INDEX(Roadmap!$D:$K,MATCH($E36,Roadmap!$D:$D,0)-1+COUNTIF($E36:H36,"u")+COUNTIF($E36:H36,"t")+COUNTIF($E36:H36,"¶")+COUNTIF($E36:H36,"²")+COUNTIF($E36:H36,"µ")+COUNTIF($E36:H36,1),ColDescriptionCourte))&gt;1,
HYPERLINK("#Roadmap!C"&amp; MATCH($E36,Roadmap!$D:$D,0)+COUNTIF($E36:H36,"u")+COUNTIF($E36:H36,"t")+COUNTIF($E36:H36,"¶")+COUNTIF($E36:H36,"²")+COUNTIF($E36:H36,"µ")+COUNTIF($E36:H36,1)-1,INDEX(Roadmap!$D:$K,MATCH($E36,Roadmap!$D:$D,0)-1+COUNTIF($E36:H36,"u")+COUNTIF($E36:H36,"t")+COUNTIF($E36:H36,"¶")+COUNTIF($E36:H36,"²")+COUNTIF($E36:H36,"µ")+COUNTIF($E36:H36,1),ColDescriptionCourte)),""),
  "")),"")</f>
        <v/>
      </c>
      <c r="J36" s="40" t="str">
        <f ca="1">IFERROR(IF(AND(
  INDEX(Roadmap!$D:$K,MATCH($E36,Roadmap!$D:$D,0)+COUNTIF($E36:I36,"u")+COUNTIF($E36:I36,"t")+COUNTIF($E36:I36,"¶")+COUNTIF($E36:I36,"²")+COUNTIF($E36:I36,"µ")+COUNTIF($E36:I36,1),ColLivraison)=J$6,
  VLOOKUP($E36,INDIRECT("tri!"&amp; CHAR(64+ C0Col) &amp;":"&amp; CHAR(65+C0Col)),2,FALSE)&gt;COUNTIF($E36:I36,"u")+COUNTIF($E36:I36,"t")+COUNTIF($E36:I36,"¶")+COUNTIF($E36:I36,"²")+COUNTIF($E36:I36,"µ")+COUNTIF($E36:I36,1)),
HYPERLINK("#Roadmap!C"&amp; MATCH($E36,Roadmap!$D:$D,0)+COUNTIF($E36:I36,"u")+COUNTIF($E36:I36,"t"),
     INDEX(Roadmap!$D:$K,MATCH($E36,Roadmap!$D:$D,0)+COUNTIF($E36:I36,"u")+COUNTIF($E36:I36,"t")+COUNTIF($E36:I36,"¶")+COUNTIF($E36:I36,"²")+COUNTIF($E36:I36,"µ")+COUNTIF($E36:I36,1),ColTypeEcheance)),
  IF(LEN(I36)=1,
  IF(LEN(INDEX(Roadmap!$D:$K,MATCH($E36,Roadmap!$D:$D,0)-1+COUNTIF($E36:I36,"u")+COUNTIF($E36:I36,"t")+COUNTIF($E36:I36,"¶")+COUNTIF($E36:I36,"²")+COUNTIF($E36:I36,"µ")+COUNTIF($E36:I36,1),ColDescriptionCourte))&gt;1,
HYPERLINK("#Roadmap!C"&amp; MATCH($E36,Roadmap!$D:$D,0)+COUNTIF($E36:I36,"u")+COUNTIF($E36:I36,"t")+COUNTIF($E36:I36,"¶")+COUNTIF($E36:I36,"²")+COUNTIF($E36:I36,"µ")+COUNTIF($E36:I36,1)-1,INDEX(Roadmap!$D:$K,MATCH($E36,Roadmap!$D:$D,0)-1+COUNTIF($E36:I36,"u")+COUNTIF($E36:I36,"t")+COUNTIF($E36:I36,"¶")+COUNTIF($E36:I36,"²")+COUNTIF($E36:I36,"µ")+COUNTIF($E36:I36,1),ColDescriptionCourte)),""),
  "")),"")</f>
        <v/>
      </c>
      <c r="K36" s="40" t="str">
        <f ca="1">IFERROR(IF(AND(
  INDEX(Roadmap!$D:$K,MATCH($E36,Roadmap!$D:$D,0)+COUNTIF($E36:J36,"u")+COUNTIF($E36:J36,"t")+COUNTIF($E36:J36,"¶")+COUNTIF($E36:J36,"²")+COUNTIF($E36:J36,"µ")+COUNTIF($E36:J36,1),ColLivraison)=K$6,
  VLOOKUP($E36,INDIRECT("tri!"&amp; CHAR(64+ C0Col) &amp;":"&amp; CHAR(65+C0Col)),2,FALSE)&gt;COUNTIF($E36:J36,"u")+COUNTIF($E36:J36,"t")+COUNTIF($E36:J36,"¶")+COUNTIF($E36:J36,"²")+COUNTIF($E36:J36,"µ")+COUNTIF($E36:J36,1)),
HYPERLINK("#Roadmap!C"&amp; MATCH($E36,Roadmap!$D:$D,0)+COUNTIF($E36:J36,"u")+COUNTIF($E36:J36,"t"),
     INDEX(Roadmap!$D:$K,MATCH($E36,Roadmap!$D:$D,0)+COUNTIF($E36:J36,"u")+COUNTIF($E36:J36,"t")+COUNTIF($E36:J36,"¶")+COUNTIF($E36:J36,"²")+COUNTIF($E36:J36,"µ")+COUNTIF($E36:J36,1),ColTypeEcheance)),
  IF(LEN(J36)=1,
  IF(LEN(INDEX(Roadmap!$D:$K,MATCH($E36,Roadmap!$D:$D,0)-1+COUNTIF($E36:J36,"u")+COUNTIF($E36:J36,"t")+COUNTIF($E36:J36,"¶")+COUNTIF($E36:J36,"²")+COUNTIF($E36:J36,"µ")+COUNTIF($E36:J36,1),ColDescriptionCourte))&gt;1,
HYPERLINK("#Roadmap!C"&amp; MATCH($E36,Roadmap!$D:$D,0)+COUNTIF($E36:J36,"u")+COUNTIF($E36:J36,"t")+COUNTIF($E36:J36,"¶")+COUNTIF($E36:J36,"²")+COUNTIF($E36:J36,"µ")+COUNTIF($E36:J36,1)-1,INDEX(Roadmap!$D:$K,MATCH($E36,Roadmap!$D:$D,0)-1+COUNTIF($E36:J36,"u")+COUNTIF($E36:J36,"t")+COUNTIF($E36:J36,"¶")+COUNTIF($E36:J36,"²")+COUNTIF($E36:J36,"µ")+COUNTIF($E36:J36,1),ColDescriptionCourte)),""),
  "")),"")</f>
        <v/>
      </c>
      <c r="L36" s="39" t="str">
        <f ca="1">IFERROR(IF(AND(
  INDEX(Roadmap!$D:$K,MATCH($E36,Roadmap!$D:$D,0)+COUNTIF($E36:K36,"u")+COUNTIF($E36:K36,"t")+COUNTIF($E36:K36,"¶")+COUNTIF($E36:K36,"²")+COUNTIF($E36:K36,"µ")+COUNTIF($E36:K36,1),ColLivraison)=L$6,
  VLOOKUP($E36,INDIRECT("tri!"&amp; CHAR(64+ C0Col) &amp;":"&amp; CHAR(65+C0Col)),2,FALSE)&gt;COUNTIF($E36:K36,"u")+COUNTIF($E36:K36,"t")+COUNTIF($E36:K36,"¶")+COUNTIF($E36:K36,"²")+COUNTIF($E36:K36,"µ")+COUNTIF($E36:K36,1)),
HYPERLINK("#Roadmap!C"&amp; MATCH($E36,Roadmap!$D:$D,0)+COUNTIF($E36:K36,"u")+COUNTIF($E36:K36,"t"),
     INDEX(Roadmap!$D:$K,MATCH($E36,Roadmap!$D:$D,0)+COUNTIF($E36:K36,"u")+COUNTIF($E36:K36,"t")+COUNTIF($E36:K36,"¶")+COUNTIF($E36:K36,"²")+COUNTIF($E36:K36,"µ")+COUNTIF($E36:K36,1),ColTypeEcheance)),
  IF(LEN(K36)=1,
  IF(LEN(INDEX(Roadmap!$D:$K,MATCH($E36,Roadmap!$D:$D,0)-1+COUNTIF($E36:K36,"u")+COUNTIF($E36:K36,"t")+COUNTIF($E36:K36,"¶")+COUNTIF($E36:K36,"²")+COUNTIF($E36:K36,"µ")+COUNTIF($E36:K36,1),ColDescriptionCourte))&gt;1,
HYPERLINK("#Roadmap!C"&amp; MATCH($E36,Roadmap!$D:$D,0)+COUNTIF($E36:K36,"u")+COUNTIF($E36:K36,"t")+COUNTIF($E36:K36,"¶")+COUNTIF($E36:K36,"²")+COUNTIF($E36:K36,"µ")+COUNTIF($E36:K36,1)-1,INDEX(Roadmap!$D:$K,MATCH($E36,Roadmap!$D:$D,0)-1+COUNTIF($E36:K36,"u")+COUNTIF($E36:K36,"t")+COUNTIF($E36:K36,"¶")+COUNTIF($E36:K36,"²")+COUNTIF($E36:K36,"µ")+COUNTIF($E36:K36,1),ColDescriptionCourte)),""),
  "")),"")</f>
        <v/>
      </c>
      <c r="M36" s="40" t="str">
        <f ca="1">IFERROR(IF(AND(
  INDEX(Roadmap!$D:$K,MATCH($E36,Roadmap!$D:$D,0)+COUNTIF($E36:L36,"u")+COUNTIF($E36:L36,"t")+COUNTIF($E36:L36,"¶")+COUNTIF($E36:L36,"²")+COUNTIF($E36:L36,"µ")+COUNTIF($E36:L36,1),ColLivraison)=M$6,
  VLOOKUP($E36,INDIRECT("tri!"&amp; CHAR(64+ C0Col) &amp;":"&amp; CHAR(65+C0Col)),2,FALSE)&gt;COUNTIF($E36:L36,"u")+COUNTIF($E36:L36,"t")+COUNTIF($E36:L36,"¶")+COUNTIF($E36:L36,"²")+COUNTIF($E36:L36,"µ")+COUNTIF($E36:L36,1)),
HYPERLINK("#Roadmap!C"&amp; MATCH($E36,Roadmap!$D:$D,0)+COUNTIF($E36:L36,"u")+COUNTIF($E36:L36,"t"),
     INDEX(Roadmap!$D:$K,MATCH($E36,Roadmap!$D:$D,0)+COUNTIF($E36:L36,"u")+COUNTIF($E36:L36,"t")+COUNTIF($E36:L36,"¶")+COUNTIF($E36:L36,"²")+COUNTIF($E36:L36,"µ")+COUNTIF($E36:L36,1),ColTypeEcheance)),
  IF(LEN(L36)=1,
  IF(LEN(INDEX(Roadmap!$D:$K,MATCH($E36,Roadmap!$D:$D,0)-1+COUNTIF($E36:L36,"u")+COUNTIF($E36:L36,"t")+COUNTIF($E36:L36,"¶")+COUNTIF($E36:L36,"²")+COUNTIF($E36:L36,"µ")+COUNTIF($E36:L36,1),ColDescriptionCourte))&gt;1,
HYPERLINK("#Roadmap!C"&amp; MATCH($E36,Roadmap!$D:$D,0)+COUNTIF($E36:L36,"u")+COUNTIF($E36:L36,"t")+COUNTIF($E36:L36,"¶")+COUNTIF($E36:L36,"²")+COUNTIF($E36:L36,"µ")+COUNTIF($E36:L36,1)-1,INDEX(Roadmap!$D:$K,MATCH($E36,Roadmap!$D:$D,0)-1+COUNTIF($E36:L36,"u")+COUNTIF($E36:L36,"t")+COUNTIF($E36:L36,"¶")+COUNTIF($E36:L36,"²")+COUNTIF($E36:L36,"µ")+COUNTIF($E36:L36,1),ColDescriptionCourte)),""),
  "")),"")</f>
        <v/>
      </c>
      <c r="N36" s="40" t="str">
        <f ca="1">IFERROR(IF(AND(
  INDEX(Roadmap!$D:$K,MATCH($E36,Roadmap!$D:$D,0)+COUNTIF($E36:M36,"u")+COUNTIF($E36:M36,"t")+COUNTIF($E36:M36,"¶")+COUNTIF($E36:M36,"²")+COUNTIF($E36:M36,"µ")+COUNTIF($E36:M36,1),ColLivraison)=N$6,
  VLOOKUP($E36,INDIRECT("tri!"&amp; CHAR(64+ C0Col) &amp;":"&amp; CHAR(65+C0Col)),2,FALSE)&gt;COUNTIF($E36:M36,"u")+COUNTIF($E36:M36,"t")+COUNTIF($E36:M36,"¶")+COUNTIF($E36:M36,"²")+COUNTIF($E36:M36,"µ")+COUNTIF($E36:M36,1)),
HYPERLINK("#Roadmap!C"&amp; MATCH($E36,Roadmap!$D:$D,0)+COUNTIF($E36:M36,"u")+COUNTIF($E36:M36,"t"),
     INDEX(Roadmap!$D:$K,MATCH($E36,Roadmap!$D:$D,0)+COUNTIF($E36:M36,"u")+COUNTIF($E36:M36,"t")+COUNTIF($E36:M36,"¶")+COUNTIF($E36:M36,"²")+COUNTIF($E36:M36,"µ")+COUNTIF($E36:M36,1),ColTypeEcheance)),
  IF(LEN(M36)=1,
  IF(LEN(INDEX(Roadmap!$D:$K,MATCH($E36,Roadmap!$D:$D,0)-1+COUNTIF($E36:M36,"u")+COUNTIF($E36:M36,"t")+COUNTIF($E36:M36,"¶")+COUNTIF($E36:M36,"²")+COUNTIF($E36:M36,"µ")+COUNTIF($E36:M36,1),ColDescriptionCourte))&gt;1,
HYPERLINK("#Roadmap!C"&amp; MATCH($E36,Roadmap!$D:$D,0)+COUNTIF($E36:M36,"u")+COUNTIF($E36:M36,"t")+COUNTIF($E36:M36,"¶")+COUNTIF($E36:M36,"²")+COUNTIF($E36:M36,"µ")+COUNTIF($E36:M36,1)-1,INDEX(Roadmap!$D:$K,MATCH($E36,Roadmap!$D:$D,0)-1+COUNTIF($E36:M36,"u")+COUNTIF($E36:M36,"t")+COUNTIF($E36:M36,"¶")+COUNTIF($E36:M36,"²")+COUNTIF($E36:M36,"µ")+COUNTIF($E36:M36,1),ColDescriptionCourte)),""),
  "")),"")</f>
        <v/>
      </c>
      <c r="O36" s="40" t="str">
        <f ca="1">IFERROR(IF(AND(
  INDEX(Roadmap!$D:$K,MATCH($E36,Roadmap!$D:$D,0)+COUNTIF($E36:N36,"u")+COUNTIF($E36:N36,"t")+COUNTIF($E36:N36,"¶")+COUNTIF($E36:N36,"²")+COUNTIF($E36:N36,"µ")+COUNTIF($E36:N36,1),ColLivraison)=O$6,
  VLOOKUP($E36,INDIRECT("tri!"&amp; CHAR(64+ C0Col) &amp;":"&amp; CHAR(65+C0Col)),2,FALSE)&gt;COUNTIF($E36:N36,"u")+COUNTIF($E36:N36,"t")+COUNTIF($E36:N36,"¶")+COUNTIF($E36:N36,"²")+COUNTIF($E36:N36,"µ")+COUNTIF($E36:N36,1)),
HYPERLINK("#Roadmap!C"&amp; MATCH($E36,Roadmap!$D:$D,0)+COUNTIF($E36:N36,"u")+COUNTIF($E36:N36,"t"),
     INDEX(Roadmap!$D:$K,MATCH($E36,Roadmap!$D:$D,0)+COUNTIF($E36:N36,"u")+COUNTIF($E36:N36,"t")+COUNTIF($E36:N36,"¶")+COUNTIF($E36:N36,"²")+COUNTIF($E36:N36,"µ")+COUNTIF($E36:N36,1),ColTypeEcheance)),
  IF(LEN(N36)=1,
  IF(LEN(INDEX(Roadmap!$D:$K,MATCH($E36,Roadmap!$D:$D,0)-1+COUNTIF($E36:N36,"u")+COUNTIF($E36:N36,"t")+COUNTIF($E36:N36,"¶")+COUNTIF($E36:N36,"²")+COUNTIF($E36:N36,"µ")+COUNTIF($E36:N36,1),ColDescriptionCourte))&gt;1,
HYPERLINK("#Roadmap!C"&amp; MATCH($E36,Roadmap!$D:$D,0)+COUNTIF($E36:N36,"u")+COUNTIF($E36:N36,"t")+COUNTIF($E36:N36,"¶")+COUNTIF($E36:N36,"²")+COUNTIF($E36:N36,"µ")+COUNTIF($E36:N36,1)-1,INDEX(Roadmap!$D:$K,MATCH($E36,Roadmap!$D:$D,0)-1+COUNTIF($E36:N36,"u")+COUNTIF($E36:N36,"t")+COUNTIF($E36:N36,"¶")+COUNTIF($E36:N36,"²")+COUNTIF($E36:N36,"µ")+COUNTIF($E36:N36,1),ColDescriptionCourte)),""),
  "")),"")</f>
        <v/>
      </c>
      <c r="P36" s="40" t="str">
        <f ca="1">IFERROR(IF(AND(
  INDEX(Roadmap!$D:$K,MATCH($E36,Roadmap!$D:$D,0)+COUNTIF($E36:O36,"u")+COUNTIF($E36:O36,"t")+COUNTIF($E36:O36,"¶")+COUNTIF($E36:O36,"²")+COUNTIF($E36:O36,"µ")+COUNTIF($E36:O36,1),ColLivraison)=P$6,
  VLOOKUP($E36,INDIRECT("tri!"&amp; CHAR(64+ C0Col) &amp;":"&amp; CHAR(65+C0Col)),2,FALSE)&gt;COUNTIF($E36:O36,"u")+COUNTIF($E36:O36,"t")+COUNTIF($E36:O36,"¶")+COUNTIF($E36:O36,"²")+COUNTIF($E36:O36,"µ")+COUNTIF($E36:O36,1)),
HYPERLINK("#Roadmap!C"&amp; MATCH($E36,Roadmap!$D:$D,0)+COUNTIF($E36:O36,"u")+COUNTIF($E36:O36,"t"),
     INDEX(Roadmap!$D:$K,MATCH($E36,Roadmap!$D:$D,0)+COUNTIF($E36:O36,"u")+COUNTIF($E36:O36,"t")+COUNTIF($E36:O36,"¶")+COUNTIF($E36:O36,"²")+COUNTIF($E36:O36,"µ")+COUNTIF($E36:O36,1),ColTypeEcheance)),
  IF(LEN(O36)=1,
  IF(LEN(INDEX(Roadmap!$D:$K,MATCH($E36,Roadmap!$D:$D,0)-1+COUNTIF($E36:O36,"u")+COUNTIF($E36:O36,"t")+COUNTIF($E36:O36,"¶")+COUNTIF($E36:O36,"²")+COUNTIF($E36:O36,"µ")+COUNTIF($E36:O36,1),ColDescriptionCourte))&gt;1,
HYPERLINK("#Roadmap!C"&amp; MATCH($E36,Roadmap!$D:$D,0)+COUNTIF($E36:O36,"u")+COUNTIF($E36:O36,"t")+COUNTIF($E36:O36,"¶")+COUNTIF($E36:O36,"²")+COUNTIF($E36:O36,"µ")+COUNTIF($E36:O36,1)-1,INDEX(Roadmap!$D:$K,MATCH($E36,Roadmap!$D:$D,0)-1+COUNTIF($E36:O36,"u")+COUNTIF($E36:O36,"t")+COUNTIF($E36:O36,"¶")+COUNTIF($E36:O36,"²")+COUNTIF($E36:O36,"µ")+COUNTIF($E36:O36,1),ColDescriptionCourte)),""),
  "")),"")</f>
        <v/>
      </c>
      <c r="Q36" s="40" t="str">
        <f ca="1">IFERROR(IF(AND(
  INDEX(Roadmap!$D:$K,MATCH($E36,Roadmap!$D:$D,0)+COUNTIF($E36:P36,"u")+COUNTIF($E36:P36,"t")+COUNTIF($E36:P36,"¶")+COUNTIF($E36:P36,"²")+COUNTIF($E36:P36,"µ")+COUNTIF($E36:P36,1),ColLivraison)=Q$6,
  VLOOKUP($E36,INDIRECT("tri!"&amp; CHAR(64+ C0Col) &amp;":"&amp; CHAR(65+C0Col)),2,FALSE)&gt;COUNTIF($E36:P36,"u")+COUNTIF($E36:P36,"t")+COUNTIF($E36:P36,"¶")+COUNTIF($E36:P36,"²")+COUNTIF($E36:P36,"µ")+COUNTIF($E36:P36,1)),
HYPERLINK("#Roadmap!C"&amp; MATCH($E36,Roadmap!$D:$D,0)+COUNTIF($E36:P36,"u")+COUNTIF($E36:P36,"t"),
     INDEX(Roadmap!$D:$K,MATCH($E36,Roadmap!$D:$D,0)+COUNTIF($E36:P36,"u")+COUNTIF($E36:P36,"t")+COUNTIF($E36:P36,"¶")+COUNTIF($E36:P36,"²")+COUNTIF($E36:P36,"µ")+COUNTIF($E36:P36,1),ColTypeEcheance)),
  IF(LEN(P36)=1,
  IF(LEN(INDEX(Roadmap!$D:$K,MATCH($E36,Roadmap!$D:$D,0)-1+COUNTIF($E36:P36,"u")+COUNTIF($E36:P36,"t")+COUNTIF($E36:P36,"¶")+COUNTIF($E36:P36,"²")+COUNTIF($E36:P36,"µ")+COUNTIF($E36:P36,1),ColDescriptionCourte))&gt;1,
HYPERLINK("#Roadmap!C"&amp; MATCH($E36,Roadmap!$D:$D,0)+COUNTIF($E36:P36,"u")+COUNTIF($E36:P36,"t")+COUNTIF($E36:P36,"¶")+COUNTIF($E36:P36,"²")+COUNTIF($E36:P36,"µ")+COUNTIF($E36:P36,1)-1,INDEX(Roadmap!$D:$K,MATCH($E36,Roadmap!$D:$D,0)-1+COUNTIF($E36:P36,"u")+COUNTIF($E36:P36,"t")+COUNTIF($E36:P36,"¶")+COUNTIF($E36:P36,"²")+COUNTIF($E36:P36,"µ")+COUNTIF($E36:P36,1),ColDescriptionCourte)),""),
  "")),"")</f>
        <v/>
      </c>
      <c r="R36" s="40" t="str">
        <f ca="1">IFERROR(IF(AND(
  INDEX(Roadmap!$D:$K,MATCH($E36,Roadmap!$D:$D,0)+COUNTIF($E36:Q36,"u")+COUNTIF($E36:Q36,"t")+COUNTIF($E36:Q36,"¶")+COUNTIF($E36:Q36,"²")+COUNTIF($E36:Q36,"µ")+COUNTIF($E36:Q36,1),ColLivraison)=R$6,
  VLOOKUP($E36,INDIRECT("tri!"&amp; CHAR(64+ C0Col) &amp;":"&amp; CHAR(65+C0Col)),2,FALSE)&gt;COUNTIF($E36:Q36,"u")+COUNTIF($E36:Q36,"t")+COUNTIF($E36:Q36,"¶")+COUNTIF($E36:Q36,"²")+COUNTIF($E36:Q36,"µ")+COUNTIF($E36:Q36,1)),
HYPERLINK("#Roadmap!C"&amp; MATCH($E36,Roadmap!$D:$D,0)+COUNTIF($E36:Q36,"u")+COUNTIF($E36:Q36,"t"),
     INDEX(Roadmap!$D:$K,MATCH($E36,Roadmap!$D:$D,0)+COUNTIF($E36:Q36,"u")+COUNTIF($E36:Q36,"t")+COUNTIF($E36:Q36,"¶")+COUNTIF($E36:Q36,"²")+COUNTIF($E36:Q36,"µ")+COUNTIF($E36:Q36,1),ColTypeEcheance)),
  IF(LEN(Q36)=1,
  IF(LEN(INDEX(Roadmap!$D:$K,MATCH($E36,Roadmap!$D:$D,0)-1+COUNTIF($E36:Q36,"u")+COUNTIF($E36:Q36,"t")+COUNTIF($E36:Q36,"¶")+COUNTIF($E36:Q36,"²")+COUNTIF($E36:Q36,"µ")+COUNTIF($E36:Q36,1),ColDescriptionCourte))&gt;1,
HYPERLINK("#Roadmap!C"&amp; MATCH($E36,Roadmap!$D:$D,0)+COUNTIF($E36:Q36,"u")+COUNTIF($E36:Q36,"t")+COUNTIF($E36:Q36,"¶")+COUNTIF($E36:Q36,"²")+COUNTIF($E36:Q36,"µ")+COUNTIF($E36:Q36,1)-1,INDEX(Roadmap!$D:$K,MATCH($E36,Roadmap!$D:$D,0)-1+COUNTIF($E36:Q36,"u")+COUNTIF($E36:Q36,"t")+COUNTIF($E36:Q36,"¶")+COUNTIF($E36:Q36,"²")+COUNTIF($E36:Q36,"µ")+COUNTIF($E36:Q36,1),ColDescriptionCourte)),""),
  "")),"")</f>
        <v/>
      </c>
      <c r="S36" s="40" t="str">
        <f ca="1">IFERROR(IF(AND(
  INDEX(Roadmap!$D:$K,MATCH($E36,Roadmap!$D:$D,0)+COUNTIF($E36:R36,"u")+COUNTIF($E36:R36,"t")+COUNTIF($E36:R36,"¶")+COUNTIF($E36:R36,"²")+COUNTIF($E36:R36,"µ")+COUNTIF($E36:R36,1),ColLivraison)=S$6,
  VLOOKUP($E36,INDIRECT("tri!"&amp; CHAR(64+ C0Col) &amp;":"&amp; CHAR(65+C0Col)),2,FALSE)&gt;COUNTIF($E36:R36,"u")+COUNTIF($E36:R36,"t")+COUNTIF($E36:R36,"¶")+COUNTIF($E36:R36,"²")+COUNTIF($E36:R36,"µ")+COUNTIF($E36:R36,1)),
HYPERLINK("#Roadmap!C"&amp; MATCH($E36,Roadmap!$D:$D,0)+COUNTIF($E36:R36,"u")+COUNTIF($E36:R36,"t"),
     INDEX(Roadmap!$D:$K,MATCH($E36,Roadmap!$D:$D,0)+COUNTIF($E36:R36,"u")+COUNTIF($E36:R36,"t")+COUNTIF($E36:R36,"¶")+COUNTIF($E36:R36,"²")+COUNTIF($E36:R36,"µ")+COUNTIF($E36:R36,1),ColTypeEcheance)),
  IF(LEN(R36)=1,
  IF(LEN(INDEX(Roadmap!$D:$K,MATCH($E36,Roadmap!$D:$D,0)-1+COUNTIF($E36:R36,"u")+COUNTIF($E36:R36,"t")+COUNTIF($E36:R36,"¶")+COUNTIF($E36:R36,"²")+COUNTIF($E36:R36,"µ")+COUNTIF($E36:R36,1),ColDescriptionCourte))&gt;1,
HYPERLINK("#Roadmap!C"&amp; MATCH($E36,Roadmap!$D:$D,0)+COUNTIF($E36:R36,"u")+COUNTIF($E36:R36,"t")+COUNTIF($E36:R36,"¶")+COUNTIF($E36:R36,"²")+COUNTIF($E36:R36,"µ")+COUNTIF($E36:R36,1)-1,INDEX(Roadmap!$D:$K,MATCH($E36,Roadmap!$D:$D,0)-1+COUNTIF($E36:R36,"u")+COUNTIF($E36:R36,"t")+COUNTIF($E36:R36,"¶")+COUNTIF($E36:R36,"²")+COUNTIF($E36:R36,"µ")+COUNTIF($E36:R36,1),ColDescriptionCourte)),""),
  "")),"")</f>
        <v/>
      </c>
      <c r="T36" s="40" t="str">
        <f ca="1">IFERROR(IF(AND(
  INDEX(Roadmap!$D:$K,MATCH($E36,Roadmap!$D:$D,0)+COUNTIF($E36:S36,"u")+COUNTIF($E36:S36,"t")+COUNTIF($E36:S36,"¶")+COUNTIF($E36:S36,"²")+COUNTIF($E36:S36,"µ")+COUNTIF($E36:S36,1),ColLivraison)=T$6,
  VLOOKUP($E36,INDIRECT("tri!"&amp; CHAR(64+ C0Col) &amp;":"&amp; CHAR(65+C0Col)),2,FALSE)&gt;COUNTIF($E36:S36,"u")+COUNTIF($E36:S36,"t")+COUNTIF($E36:S36,"¶")+COUNTIF($E36:S36,"²")+COUNTIF($E36:S36,"µ")+COUNTIF($E36:S36,1)),
HYPERLINK("#Roadmap!C"&amp; MATCH($E36,Roadmap!$D:$D,0)+COUNTIF($E36:S36,"u")+COUNTIF($E36:S36,"t"),
     INDEX(Roadmap!$D:$K,MATCH($E36,Roadmap!$D:$D,0)+COUNTIF($E36:S36,"u")+COUNTIF($E36:S36,"t")+COUNTIF($E36:S36,"¶")+COUNTIF($E36:S36,"²")+COUNTIF($E36:S36,"µ")+COUNTIF($E36:S36,1),ColTypeEcheance)),
  IF(LEN(S36)=1,
  IF(LEN(INDEX(Roadmap!$D:$K,MATCH($E36,Roadmap!$D:$D,0)-1+COUNTIF($E36:S36,"u")+COUNTIF($E36:S36,"t")+COUNTIF($E36:S36,"¶")+COUNTIF($E36:S36,"²")+COUNTIF($E36:S36,"µ")+COUNTIF($E36:S36,1),ColDescriptionCourte))&gt;1,
HYPERLINK("#Roadmap!C"&amp; MATCH($E36,Roadmap!$D:$D,0)+COUNTIF($E36:S36,"u")+COUNTIF($E36:S36,"t")+COUNTIF($E36:S36,"¶")+COUNTIF($E36:S36,"²")+COUNTIF($E36:S36,"µ")+COUNTIF($E36:S36,1)-1,INDEX(Roadmap!$D:$K,MATCH($E36,Roadmap!$D:$D,0)-1+COUNTIF($E36:S36,"u")+COUNTIF($E36:S36,"t")+COUNTIF($E36:S36,"¶")+COUNTIF($E36:S36,"²")+COUNTIF($E36:S36,"µ")+COUNTIF($E36:S36,1),ColDescriptionCourte)),""),
  "")),"")</f>
        <v/>
      </c>
      <c r="U36" s="40" t="str">
        <f ca="1">IFERROR(IF(AND(
  INDEX(Roadmap!$D:$K,MATCH($E36,Roadmap!$D:$D,0)+COUNTIF($E36:T36,"u")+COUNTIF($E36:T36,"t")+COUNTIF($E36:T36,"¶")+COUNTIF($E36:T36,"²")+COUNTIF($E36:T36,"µ")+COUNTIF($E36:T36,1),ColLivraison)=U$6,
  VLOOKUP($E36,INDIRECT("tri!"&amp; CHAR(64+ C0Col) &amp;":"&amp; CHAR(65+C0Col)),2,FALSE)&gt;COUNTIF($E36:T36,"u")+COUNTIF($E36:T36,"t")+COUNTIF($E36:T36,"¶")+COUNTIF($E36:T36,"²")+COUNTIF($E36:T36,"µ")+COUNTIF($E36:T36,1)),
HYPERLINK("#Roadmap!C"&amp; MATCH($E36,Roadmap!$D:$D,0)+COUNTIF($E36:T36,"u")+COUNTIF($E36:T36,"t"),
     INDEX(Roadmap!$D:$K,MATCH($E36,Roadmap!$D:$D,0)+COUNTIF($E36:T36,"u")+COUNTIF($E36:T36,"t")+COUNTIF($E36:T36,"¶")+COUNTIF($E36:T36,"²")+COUNTIF($E36:T36,"µ")+COUNTIF($E36:T36,1),ColTypeEcheance)),
  IF(LEN(T36)=1,
  IF(LEN(INDEX(Roadmap!$D:$K,MATCH($E36,Roadmap!$D:$D,0)-1+COUNTIF($E36:T36,"u")+COUNTIF($E36:T36,"t")+COUNTIF($E36:T36,"¶")+COUNTIF($E36:T36,"²")+COUNTIF($E36:T36,"µ")+COUNTIF($E36:T36,1),ColDescriptionCourte))&gt;1,
HYPERLINK("#Roadmap!C"&amp; MATCH($E36,Roadmap!$D:$D,0)+COUNTIF($E36:T36,"u")+COUNTIF($E36:T36,"t")+COUNTIF($E36:T36,"¶")+COUNTIF($E36:T36,"²")+COUNTIF($E36:T36,"µ")+COUNTIF($E36:T36,1)-1,INDEX(Roadmap!$D:$K,MATCH($E36,Roadmap!$D:$D,0)-1+COUNTIF($E36:T36,"u")+COUNTIF($E36:T36,"t")+COUNTIF($E36:T36,"¶")+COUNTIF($E36:T36,"²")+COUNTIF($E36:T36,"µ")+COUNTIF($E36:T36,1),ColDescriptionCourte)),""),
  "")),"")</f>
        <v/>
      </c>
      <c r="V36" s="40" t="str">
        <f ca="1">IFERROR(IF(AND(
  INDEX(Roadmap!$D:$K,MATCH($E36,Roadmap!$D:$D,0)+COUNTIF($E36:U36,"u")+COUNTIF($E36:U36,"t")+COUNTIF($E36:U36,"¶")+COUNTIF($E36:U36,"²")+COUNTIF($E36:U36,"µ")+COUNTIF($E36:U36,1),ColLivraison)=V$6,
  VLOOKUP($E36,INDIRECT("tri!"&amp; CHAR(64+ C0Col) &amp;":"&amp; CHAR(65+C0Col)),2,FALSE)&gt;COUNTIF($E36:U36,"u")+COUNTIF($E36:U36,"t")+COUNTIF($E36:U36,"¶")+COUNTIF($E36:U36,"²")+COUNTIF($E36:U36,"µ")+COUNTIF($E36:U36,1)),
HYPERLINK("#Roadmap!C"&amp; MATCH($E36,Roadmap!$D:$D,0)+COUNTIF($E36:U36,"u")+COUNTIF($E36:U36,"t"),
     INDEX(Roadmap!$D:$K,MATCH($E36,Roadmap!$D:$D,0)+COUNTIF($E36:U36,"u")+COUNTIF($E36:U36,"t")+COUNTIF($E36:U36,"¶")+COUNTIF($E36:U36,"²")+COUNTIF($E36:U36,"µ")+COUNTIF($E36:U36,1),ColTypeEcheance)),
  IF(LEN(U36)=1,
  IF(LEN(INDEX(Roadmap!$D:$K,MATCH($E36,Roadmap!$D:$D,0)-1+COUNTIF($E36:U36,"u")+COUNTIF($E36:U36,"t")+COUNTIF($E36:U36,"¶")+COUNTIF($E36:U36,"²")+COUNTIF($E36:U36,"µ")+COUNTIF($E36:U36,1),ColDescriptionCourte))&gt;1,
HYPERLINK("#Roadmap!C"&amp; MATCH($E36,Roadmap!$D:$D,0)+COUNTIF($E36:U36,"u")+COUNTIF($E36:U36,"t")+COUNTIF($E36:U36,"¶")+COUNTIF($E36:U36,"²")+COUNTIF($E36:U36,"µ")+COUNTIF($E36:U36,1)-1,INDEX(Roadmap!$D:$K,MATCH($E36,Roadmap!$D:$D,0)-1+COUNTIF($E36:U36,"u")+COUNTIF($E36:U36,"t")+COUNTIF($E36:U36,"¶")+COUNTIF($E36:U36,"²")+COUNTIF($E36:U36,"µ")+COUNTIF($E36:U36,1),ColDescriptionCourte)),""),
  "")),"")</f>
        <v/>
      </c>
      <c r="W36" s="40" t="str">
        <f ca="1">IFERROR(IF(AND(
  INDEX(Roadmap!$D:$K,MATCH($E36,Roadmap!$D:$D,0)+COUNTIF($E36:V36,"u")+COUNTIF($E36:V36,"t")+COUNTIF($E36:V36,"¶")+COUNTIF($E36:V36,"²")+COUNTIF($E36:V36,"µ")+COUNTIF($E36:V36,1),ColLivraison)=W$6,
  VLOOKUP($E36,INDIRECT("tri!"&amp; CHAR(64+ C0Col) &amp;":"&amp; CHAR(65+C0Col)),2,FALSE)&gt;COUNTIF($E36:V36,"u")+COUNTIF($E36:V36,"t")+COUNTIF($E36:V36,"¶")+COUNTIF($E36:V36,"²")+COUNTIF($E36:V36,"µ")+COUNTIF($E36:V36,1)),
HYPERLINK("#Roadmap!C"&amp; MATCH($E36,Roadmap!$D:$D,0)+COUNTIF($E36:V36,"u")+COUNTIF($E36:V36,"t"),
     INDEX(Roadmap!$D:$K,MATCH($E36,Roadmap!$D:$D,0)+COUNTIF($E36:V36,"u")+COUNTIF($E36:V36,"t")+COUNTIF($E36:V36,"¶")+COUNTIF($E36:V36,"²")+COUNTIF($E36:V36,"µ")+COUNTIF($E36:V36,1),ColTypeEcheance)),
  IF(LEN(V36)=1,
  IF(LEN(INDEX(Roadmap!$D:$K,MATCH($E36,Roadmap!$D:$D,0)-1+COUNTIF($E36:V36,"u")+COUNTIF($E36:V36,"t")+COUNTIF($E36:V36,"¶")+COUNTIF($E36:V36,"²")+COUNTIF($E36:V36,"µ")+COUNTIF($E36:V36,1),ColDescriptionCourte))&gt;1,
HYPERLINK("#Roadmap!C"&amp; MATCH($E36,Roadmap!$D:$D,0)+COUNTIF($E36:V36,"u")+COUNTIF($E36:V36,"t")+COUNTIF($E36:V36,"¶")+COUNTIF($E36:V36,"²")+COUNTIF($E36:V36,"µ")+COUNTIF($E36:V36,1)-1,INDEX(Roadmap!$D:$K,MATCH($E36,Roadmap!$D:$D,0)-1+COUNTIF($E36:V36,"u")+COUNTIF($E36:V36,"t")+COUNTIF($E36:V36,"¶")+COUNTIF($E36:V36,"²")+COUNTIF($E36:V36,"µ")+COUNTIF($E36:V36,1),ColDescriptionCourte)),""),
  "")),"")</f>
        <v/>
      </c>
      <c r="X36" s="40" t="str">
        <f ca="1">IFERROR(IF(AND(
  INDEX(Roadmap!$D:$K,MATCH($E36,Roadmap!$D:$D,0)+COUNTIF($E36:W36,"u")+COUNTIF($E36:W36,"t")+COUNTIF($E36:W36,"¶")+COUNTIF($E36:W36,"²")+COUNTIF($E36:W36,"µ")+COUNTIF($E36:W36,1),ColLivraison)=X$6,
  VLOOKUP($E36,INDIRECT("tri!"&amp; CHAR(64+ C0Col) &amp;":"&amp; CHAR(65+C0Col)),2,FALSE)&gt;COUNTIF($E36:W36,"u")+COUNTIF($E36:W36,"t")+COUNTIF($E36:W36,"¶")+COUNTIF($E36:W36,"²")+COUNTIF($E36:W36,"µ")+COUNTIF($E36:W36,1)),
HYPERLINK("#Roadmap!C"&amp; MATCH($E36,Roadmap!$D:$D,0)+COUNTIF($E36:W36,"u")+COUNTIF($E36:W36,"t"),
     INDEX(Roadmap!$D:$K,MATCH($E36,Roadmap!$D:$D,0)+COUNTIF($E36:W36,"u")+COUNTIF($E36:W36,"t")+COUNTIF($E36:W36,"¶")+COUNTIF($E36:W36,"²")+COUNTIF($E36:W36,"µ")+COUNTIF($E36:W36,1),ColTypeEcheance)),
  IF(LEN(W36)=1,
  IF(LEN(INDEX(Roadmap!$D:$K,MATCH($E36,Roadmap!$D:$D,0)-1+COUNTIF($E36:W36,"u")+COUNTIF($E36:W36,"t")+COUNTIF($E36:W36,"¶")+COUNTIF($E36:W36,"²")+COUNTIF($E36:W36,"µ")+COUNTIF($E36:W36,1),ColDescriptionCourte))&gt;1,
HYPERLINK("#Roadmap!C"&amp; MATCH($E36,Roadmap!$D:$D,0)+COUNTIF($E36:W36,"u")+COUNTIF($E36:W36,"t")+COUNTIF($E36:W36,"¶")+COUNTIF($E36:W36,"²")+COUNTIF($E36:W36,"µ")+COUNTIF($E36:W36,1)-1,INDEX(Roadmap!$D:$K,MATCH($E36,Roadmap!$D:$D,0)-1+COUNTIF($E36:W36,"u")+COUNTIF($E36:W36,"t")+COUNTIF($E36:W36,"¶")+COUNTIF($E36:W36,"²")+COUNTIF($E36:W36,"µ")+COUNTIF($E36:W36,1),ColDescriptionCourte)),""),
  "")),"")</f>
        <v/>
      </c>
      <c r="Y36" s="40" t="str">
        <f ca="1">IFERROR(IF(AND(
  INDEX(Roadmap!$D:$K,MATCH($E36,Roadmap!$D:$D,0)+COUNTIF($E36:X36,"u")+COUNTIF($E36:X36,"t")+COUNTIF($E36:X36,"¶")+COUNTIF($E36:X36,"²")+COUNTIF($E36:X36,"µ")+COUNTIF($E36:X36,1),ColLivraison)=Y$6,
  VLOOKUP($E36,INDIRECT("tri!"&amp; CHAR(64+ C0Col) &amp;":"&amp; CHAR(65+C0Col)),2,FALSE)&gt;COUNTIF($E36:X36,"u")+COUNTIF($E36:X36,"t")+COUNTIF($E36:X36,"¶")+COUNTIF($E36:X36,"²")+COUNTIF($E36:X36,"µ")+COUNTIF($E36:X36,1)),
HYPERLINK("#Roadmap!C"&amp; MATCH($E36,Roadmap!$D:$D,0)+COUNTIF($E36:X36,"u")+COUNTIF($E36:X36,"t"),
     INDEX(Roadmap!$D:$K,MATCH($E36,Roadmap!$D:$D,0)+COUNTIF($E36:X36,"u")+COUNTIF($E36:X36,"t")+COUNTIF($E36:X36,"¶")+COUNTIF($E36:X36,"²")+COUNTIF($E36:X36,"µ")+COUNTIF($E36:X36,1),ColTypeEcheance)),
  IF(LEN(X36)=1,
  IF(LEN(INDEX(Roadmap!$D:$K,MATCH($E36,Roadmap!$D:$D,0)-1+COUNTIF($E36:X36,"u")+COUNTIF($E36:X36,"t")+COUNTIF($E36:X36,"¶")+COUNTIF($E36:X36,"²")+COUNTIF($E36:X36,"µ")+COUNTIF($E36:X36,1),ColDescriptionCourte))&gt;1,
HYPERLINK("#Roadmap!C"&amp; MATCH($E36,Roadmap!$D:$D,0)+COUNTIF($E36:X36,"u")+COUNTIF($E36:X36,"t")+COUNTIF($E36:X36,"¶")+COUNTIF($E36:X36,"²")+COUNTIF($E36:X36,"µ")+COUNTIF($E36:X36,1)-1,INDEX(Roadmap!$D:$K,MATCH($E36,Roadmap!$D:$D,0)-1+COUNTIF($E36:X36,"u")+COUNTIF($E36:X36,"t")+COUNTIF($E36:X36,"¶")+COUNTIF($E36:X36,"²")+COUNTIF($E36:X36,"µ")+COUNTIF($E36:X36,1),ColDescriptionCourte)),""),
  "")),"")</f>
        <v/>
      </c>
      <c r="Z36" s="40" t="str">
        <f ca="1">IFERROR(IF(AND(
  INDEX(Roadmap!$D:$K,MATCH($E36,Roadmap!$D:$D,0)+COUNTIF($E36:Y36,"u")+COUNTIF($E36:Y36,"t")+COUNTIF($E36:Y36,"¶")+COUNTIF($E36:Y36,"²")+COUNTIF($E36:Y36,"µ")+COUNTIF($E36:Y36,1),ColLivraison)=Z$6,
  VLOOKUP($E36,INDIRECT("tri!"&amp; CHAR(64+ C0Col) &amp;":"&amp; CHAR(65+C0Col)),2,FALSE)&gt;COUNTIF($E36:Y36,"u")+COUNTIF($E36:Y36,"t")+COUNTIF($E36:Y36,"¶")+COUNTIF($E36:Y36,"²")+COUNTIF($E36:Y36,"µ")+COUNTIF($E36:Y36,1)),
HYPERLINK("#Roadmap!C"&amp; MATCH($E36,Roadmap!$D:$D,0)+COUNTIF($E36:Y36,"u")+COUNTIF($E36:Y36,"t"),
     INDEX(Roadmap!$D:$K,MATCH($E36,Roadmap!$D:$D,0)+COUNTIF($E36:Y36,"u")+COUNTIF($E36:Y36,"t")+COUNTIF($E36:Y36,"¶")+COUNTIF($E36:Y36,"²")+COUNTIF($E36:Y36,"µ")+COUNTIF($E36:Y36,1),ColTypeEcheance)),
  IF(LEN(Y36)=1,
  IF(LEN(INDEX(Roadmap!$D:$K,MATCH($E36,Roadmap!$D:$D,0)-1+COUNTIF($E36:Y36,"u")+COUNTIF($E36:Y36,"t")+COUNTIF($E36:Y36,"¶")+COUNTIF($E36:Y36,"²")+COUNTIF($E36:Y36,"µ")+COUNTIF($E36:Y36,1),ColDescriptionCourte))&gt;1,
HYPERLINK("#Roadmap!C"&amp; MATCH($E36,Roadmap!$D:$D,0)+COUNTIF($E36:Y36,"u")+COUNTIF($E36:Y36,"t")+COUNTIF($E36:Y36,"¶")+COUNTIF($E36:Y36,"²")+COUNTIF($E36:Y36,"µ")+COUNTIF($E36:Y36,1)-1,INDEX(Roadmap!$D:$K,MATCH($E36,Roadmap!$D:$D,0)-1+COUNTIF($E36:Y36,"u")+COUNTIF($E36:Y36,"t")+COUNTIF($E36:Y36,"¶")+COUNTIF($E36:Y36,"²")+COUNTIF($E36:Y36,"µ")+COUNTIF($E36:Y36,1),ColDescriptionCourte)),""),
  "")),"")</f>
        <v/>
      </c>
      <c r="AA36" s="40" t="str">
        <f ca="1">IFERROR(IF(AND(
  INDEX(Roadmap!$D:$K,MATCH($E36,Roadmap!$D:$D,0)+COUNTIF($E36:Z36,"u")+COUNTIF($E36:Z36,"t")+COUNTIF($E36:Z36,"¶")+COUNTIF($E36:Z36,"²")+COUNTIF($E36:Z36,"µ")+COUNTIF($E36:Z36,1),ColLivraison)=AA$6,
  VLOOKUP($E36,INDIRECT("tri!"&amp; CHAR(64+ C0Col) &amp;":"&amp; CHAR(65+C0Col)),2,FALSE)&gt;COUNTIF($E36:Z36,"u")+COUNTIF($E36:Z36,"t")+COUNTIF($E36:Z36,"¶")+COUNTIF($E36:Z36,"²")+COUNTIF($E36:Z36,"µ")+COUNTIF($E36:Z36,1)),
HYPERLINK("#Roadmap!C"&amp; MATCH($E36,Roadmap!$D:$D,0)+COUNTIF($E36:Z36,"u")+COUNTIF($E36:Z36,"t"),
     INDEX(Roadmap!$D:$K,MATCH($E36,Roadmap!$D:$D,0)+COUNTIF($E36:Z36,"u")+COUNTIF($E36:Z36,"t")+COUNTIF($E36:Z36,"¶")+COUNTIF($E36:Z36,"²")+COUNTIF($E36:Z36,"µ")+COUNTIF($E36:Z36,1),ColTypeEcheance)),
  IF(LEN(Z36)=1,
  IF(LEN(INDEX(Roadmap!$D:$K,MATCH($E36,Roadmap!$D:$D,0)-1+COUNTIF($E36:Z36,"u")+COUNTIF($E36:Z36,"t")+COUNTIF($E36:Z36,"¶")+COUNTIF($E36:Z36,"²")+COUNTIF($E36:Z36,"µ")+COUNTIF($E36:Z36,1),ColDescriptionCourte))&gt;1,
HYPERLINK("#Roadmap!C"&amp; MATCH($E36,Roadmap!$D:$D,0)+COUNTIF($E36:Z36,"u")+COUNTIF($E36:Z36,"t")+COUNTIF($E36:Z36,"¶")+COUNTIF($E36:Z36,"²")+COUNTIF($E36:Z36,"µ")+COUNTIF($E36:Z36,1)-1,INDEX(Roadmap!$D:$K,MATCH($E36,Roadmap!$D:$D,0)-1+COUNTIF($E36:Z36,"u")+COUNTIF($E36:Z36,"t")+COUNTIF($E36:Z36,"¶")+COUNTIF($E36:Z36,"²")+COUNTIF($E36:Z36,"µ")+COUNTIF($E36:Z36,1),ColDescriptionCourte)),""),
  "")),"")</f>
        <v/>
      </c>
      <c r="AB36" s="40" t="str">
        <f ca="1">IFERROR(IF(AND(
  INDEX(Roadmap!$D:$K,MATCH($E36,Roadmap!$D:$D,0)+COUNTIF($E36:AA36,"u")+COUNTIF($E36:AA36,"t")+COUNTIF($E36:AA36,"¶")+COUNTIF($E36:AA36,"²")+COUNTIF($E36:AA36,"µ")+COUNTIF($E36:AA36,1),ColLivraison)=AB$6,
  VLOOKUP($E36,INDIRECT("tri!"&amp; CHAR(64+ C0Col) &amp;":"&amp; CHAR(65+C0Col)),2,FALSE)&gt;COUNTIF($E36:AA36,"u")+COUNTIF($E36:AA36,"t")+COUNTIF($E36:AA36,"¶")+COUNTIF($E36:AA36,"²")+COUNTIF($E36:AA36,"µ")+COUNTIF($E36:AA36,1)),
HYPERLINK("#Roadmap!C"&amp; MATCH($E36,Roadmap!$D:$D,0)+COUNTIF($E36:AA36,"u")+COUNTIF($E36:AA36,"t"),
     INDEX(Roadmap!$D:$K,MATCH($E36,Roadmap!$D:$D,0)+COUNTIF($E36:AA36,"u")+COUNTIF($E36:AA36,"t")+COUNTIF($E36:AA36,"¶")+COUNTIF($E36:AA36,"²")+COUNTIF($E36:AA36,"µ")+COUNTIF($E36:AA36,1),ColTypeEcheance)),
  IF(LEN(AA36)=1,
  IF(LEN(INDEX(Roadmap!$D:$K,MATCH($E36,Roadmap!$D:$D,0)-1+COUNTIF($E36:AA36,"u")+COUNTIF($E36:AA36,"t")+COUNTIF($E36:AA36,"¶")+COUNTIF($E36:AA36,"²")+COUNTIF($E36:AA36,"µ")+COUNTIF($E36:AA36,1),ColDescriptionCourte))&gt;1,
HYPERLINK("#Roadmap!C"&amp; MATCH($E36,Roadmap!$D:$D,0)+COUNTIF($E36:AA36,"u")+COUNTIF($E36:AA36,"t")+COUNTIF($E36:AA36,"¶")+COUNTIF($E36:AA36,"²")+COUNTIF($E36:AA36,"µ")+COUNTIF($E36:AA36,1)-1,INDEX(Roadmap!$D:$K,MATCH($E36,Roadmap!$D:$D,0)-1+COUNTIF($E36:AA36,"u")+COUNTIF($E36:AA36,"t")+COUNTIF($E36:AA36,"¶")+COUNTIF($E36:AA36,"²")+COUNTIF($E36:AA36,"µ")+COUNTIF($E36:AA36,1),ColDescriptionCourte)),""),
  "")),"")</f>
        <v/>
      </c>
      <c r="AC36" s="40" t="str">
        <f ca="1">IFERROR(IF(AND(
  INDEX(Roadmap!$D:$K,MATCH($E36,Roadmap!$D:$D,0)+COUNTIF($E36:AB36,"u")+COUNTIF($E36:AB36,"t")+COUNTIF($E36:AB36,"¶")+COUNTIF($E36:AB36,"²")+COUNTIF($E36:AB36,"µ")+COUNTIF($E36:AB36,1),ColLivraison)=AC$6,
  VLOOKUP($E36,INDIRECT("tri!"&amp; CHAR(64+ C0Col) &amp;":"&amp; CHAR(65+C0Col)),2,FALSE)&gt;COUNTIF($E36:AB36,"u")+COUNTIF($E36:AB36,"t")+COUNTIF($E36:AB36,"¶")+COUNTIF($E36:AB36,"²")+COUNTIF($E36:AB36,"µ")+COUNTIF($E36:AB36,1)),
HYPERLINK("#Roadmap!C"&amp; MATCH($E36,Roadmap!$D:$D,0)+COUNTIF($E36:AB36,"u")+COUNTIF($E36:AB36,"t"),
     INDEX(Roadmap!$D:$K,MATCH($E36,Roadmap!$D:$D,0)+COUNTIF($E36:AB36,"u")+COUNTIF($E36:AB36,"t")+COUNTIF($E36:AB36,"¶")+COUNTIF($E36:AB36,"²")+COUNTIF($E36:AB36,"µ")+COUNTIF($E36:AB36,1),ColTypeEcheance)),
  IF(LEN(AB36)=1,
  IF(LEN(INDEX(Roadmap!$D:$K,MATCH($E36,Roadmap!$D:$D,0)-1+COUNTIF($E36:AB36,"u")+COUNTIF($E36:AB36,"t")+COUNTIF($E36:AB36,"¶")+COUNTIF($E36:AB36,"²")+COUNTIF($E36:AB36,"µ")+COUNTIF($E36:AB36,1),ColDescriptionCourte))&gt;1,
HYPERLINK("#Roadmap!C"&amp; MATCH($E36,Roadmap!$D:$D,0)+COUNTIF($E36:AB36,"u")+COUNTIF($E36:AB36,"t")+COUNTIF($E36:AB36,"¶")+COUNTIF($E36:AB36,"²")+COUNTIF($E36:AB36,"µ")+COUNTIF($E36:AB36,1)-1,INDEX(Roadmap!$D:$K,MATCH($E36,Roadmap!$D:$D,0)-1+COUNTIF($E36:AB36,"u")+COUNTIF($E36:AB36,"t")+COUNTIF($E36:AB36,"¶")+COUNTIF($E36:AB36,"²")+COUNTIF($E36:AB36,"µ")+COUNTIF($E36:AB36,1),ColDescriptionCourte)),""),
  "")),"")</f>
        <v/>
      </c>
      <c r="AD36" s="40" t="str">
        <f ca="1">IFERROR(IF(AND(
  INDEX(Roadmap!$D:$K,MATCH($E36,Roadmap!$D:$D,0)+COUNTIF($E36:AC36,"u")+COUNTIF($E36:AC36,"t")+COUNTIF($E36:AC36,"¶")+COUNTIF($E36:AC36,"²")+COUNTIF($E36:AC36,"µ")+COUNTIF($E36:AC36,1),ColLivraison)=AD$6,
  VLOOKUP($E36,INDIRECT("tri!"&amp; CHAR(64+ C0Col) &amp;":"&amp; CHAR(65+C0Col)),2,FALSE)&gt;COUNTIF($E36:AC36,"u")+COUNTIF($E36:AC36,"t")+COUNTIF($E36:AC36,"¶")+COUNTIF($E36:AC36,"²")+COUNTIF($E36:AC36,"µ")+COUNTIF($E36:AC36,1)),
HYPERLINK("#Roadmap!C"&amp; MATCH($E36,Roadmap!$D:$D,0)+COUNTIF($E36:AC36,"u")+COUNTIF($E36:AC36,"t"),
     INDEX(Roadmap!$D:$K,MATCH($E36,Roadmap!$D:$D,0)+COUNTIF($E36:AC36,"u")+COUNTIF($E36:AC36,"t")+COUNTIF($E36:AC36,"¶")+COUNTIF($E36:AC36,"²")+COUNTIF($E36:AC36,"µ")+COUNTIF($E36:AC36,1),ColTypeEcheance)),
  IF(LEN(AC36)=1,
  IF(LEN(INDEX(Roadmap!$D:$K,MATCH($E36,Roadmap!$D:$D,0)-1+COUNTIF($E36:AC36,"u")+COUNTIF($E36:AC36,"t")+COUNTIF($E36:AC36,"¶")+COUNTIF($E36:AC36,"²")+COUNTIF($E36:AC36,"µ")+COUNTIF($E36:AC36,1),ColDescriptionCourte))&gt;1,
HYPERLINK("#Roadmap!C"&amp; MATCH($E36,Roadmap!$D:$D,0)+COUNTIF($E36:AC36,"u")+COUNTIF($E36:AC36,"t")+COUNTIF($E36:AC36,"¶")+COUNTIF($E36:AC36,"²")+COUNTIF($E36:AC36,"µ")+COUNTIF($E36:AC36,1)-1,INDEX(Roadmap!$D:$K,MATCH($E36,Roadmap!$D:$D,0)-1+COUNTIF($E36:AC36,"u")+COUNTIF($E36:AC36,"t")+COUNTIF($E36:AC36,"¶")+COUNTIF($E36:AC36,"²")+COUNTIF($E36:AC36,"µ")+COUNTIF($E36:AC36,1),ColDescriptionCourte)),""),
  "")),"")</f>
        <v/>
      </c>
      <c r="AE36" s="40" t="str">
        <f ca="1">IFERROR(IF(AND(
  INDEX(Roadmap!$D:$K,MATCH($E36,Roadmap!$D:$D,0)+COUNTIF($E36:AD36,"u")+COUNTIF($E36:AD36,"t")+COUNTIF($E36:AD36,"¶")+COUNTIF($E36:AD36,"²")+COUNTIF($E36:AD36,"µ")+COUNTIF($E36:AD36,1),ColLivraison)=AE$6,
  VLOOKUP($E36,INDIRECT("tri!"&amp; CHAR(64+ C0Col) &amp;":"&amp; CHAR(65+C0Col)),2,FALSE)&gt;COUNTIF($E36:AD36,"u")+COUNTIF($E36:AD36,"t")+COUNTIF($E36:AD36,"¶")+COUNTIF($E36:AD36,"²")+COUNTIF($E36:AD36,"µ")+COUNTIF($E36:AD36,1)),
HYPERLINK("#Roadmap!C"&amp; MATCH($E36,Roadmap!$D:$D,0)+COUNTIF($E36:AD36,"u")+COUNTIF($E36:AD36,"t"),
     INDEX(Roadmap!$D:$K,MATCH($E36,Roadmap!$D:$D,0)+COUNTIF($E36:AD36,"u")+COUNTIF($E36:AD36,"t")+COUNTIF($E36:AD36,"¶")+COUNTIF($E36:AD36,"²")+COUNTIF($E36:AD36,"µ")+COUNTIF($E36:AD36,1),ColTypeEcheance)),
  IF(LEN(AD36)=1,
  IF(LEN(INDEX(Roadmap!$D:$K,MATCH($E36,Roadmap!$D:$D,0)-1+COUNTIF($E36:AD36,"u")+COUNTIF($E36:AD36,"t")+COUNTIF($E36:AD36,"¶")+COUNTIF($E36:AD36,"²")+COUNTIF($E36:AD36,"µ")+COUNTIF($E36:AD36,1),ColDescriptionCourte))&gt;1,
HYPERLINK("#Roadmap!C"&amp; MATCH($E36,Roadmap!$D:$D,0)+COUNTIF($E36:AD36,"u")+COUNTIF($E36:AD36,"t")+COUNTIF($E36:AD36,"¶")+COUNTIF($E36:AD36,"²")+COUNTIF($E36:AD36,"µ")+COUNTIF($E36:AD36,1)-1,INDEX(Roadmap!$D:$K,MATCH($E36,Roadmap!$D:$D,0)-1+COUNTIF($E36:AD36,"u")+COUNTIF($E36:AD36,"t")+COUNTIF($E36:AD36,"¶")+COUNTIF($E36:AD36,"²")+COUNTIF($E36:AD36,"µ")+COUNTIF($E36:AD36,1),ColDescriptionCourte)),""),
  "")),"")</f>
        <v/>
      </c>
      <c r="AF36" s="40" t="str">
        <f ca="1">IFERROR(IF(AND(
  INDEX(Roadmap!$D:$K,MATCH($E36,Roadmap!$D:$D,0)+COUNTIF($E36:AE36,"u")+COUNTIF($E36:AE36,"t")+COUNTIF($E36:AE36,"¶")+COUNTIF($E36:AE36,"²")+COUNTIF($E36:AE36,"µ")+COUNTIF($E36:AE36,1),ColLivraison)=AF$6,
  VLOOKUP($E36,INDIRECT("tri!"&amp; CHAR(64+ C0Col) &amp;":"&amp; CHAR(65+C0Col)),2,FALSE)&gt;COUNTIF($E36:AE36,"u")+COUNTIF($E36:AE36,"t")+COUNTIF($E36:AE36,"¶")+COUNTIF($E36:AE36,"²")+COUNTIF($E36:AE36,"µ")+COUNTIF($E36:AE36,1)),
HYPERLINK("#Roadmap!C"&amp; MATCH($E36,Roadmap!$D:$D,0)+COUNTIF($E36:AE36,"u")+COUNTIF($E36:AE36,"t"),
     INDEX(Roadmap!$D:$K,MATCH($E36,Roadmap!$D:$D,0)+COUNTIF($E36:AE36,"u")+COUNTIF($E36:AE36,"t")+COUNTIF($E36:AE36,"¶")+COUNTIF($E36:AE36,"²")+COUNTIF($E36:AE36,"µ")+COUNTIF($E36:AE36,1),ColTypeEcheance)),
  IF(LEN(AE36)=1,
  IF(LEN(INDEX(Roadmap!$D:$K,MATCH($E36,Roadmap!$D:$D,0)-1+COUNTIF($E36:AE36,"u")+COUNTIF($E36:AE36,"t")+COUNTIF($E36:AE36,"¶")+COUNTIF($E36:AE36,"²")+COUNTIF($E36:AE36,"µ")+COUNTIF($E36:AE36,1),ColDescriptionCourte))&gt;1,
HYPERLINK("#Roadmap!C"&amp; MATCH($E36,Roadmap!$D:$D,0)+COUNTIF($E36:AE36,"u")+COUNTIF($E36:AE36,"t")+COUNTIF($E36:AE36,"¶")+COUNTIF($E36:AE36,"²")+COUNTIF($E36:AE36,"µ")+COUNTIF($E36:AE36,1)-1,INDEX(Roadmap!$D:$K,MATCH($E36,Roadmap!$D:$D,0)-1+COUNTIF($E36:AE36,"u")+COUNTIF($E36:AE36,"t")+COUNTIF($E36:AE36,"¶")+COUNTIF($E36:AE36,"²")+COUNTIF($E36:AE36,"µ")+COUNTIF($E36:AE36,1),ColDescriptionCourte)),""),
  "")),"")</f>
        <v/>
      </c>
      <c r="AG36" s="40" t="str">
        <f ca="1">IFERROR(IF(AND(
  INDEX(Roadmap!$D:$K,MATCH($E36,Roadmap!$D:$D,0)+COUNTIF($E36:AF36,"u")+COUNTIF($E36:AF36,"t")+COUNTIF($E36:AF36,"¶")+COUNTIF($E36:AF36,"²")+COUNTIF($E36:AF36,"µ")+COUNTIF($E36:AF36,1),ColLivraison)=AG$6,
  VLOOKUP($E36,INDIRECT("tri!"&amp; CHAR(64+ C0Col) &amp;":"&amp; CHAR(65+C0Col)),2,FALSE)&gt;COUNTIF($E36:AF36,"u")+COUNTIF($E36:AF36,"t")+COUNTIF($E36:AF36,"¶")+COUNTIF($E36:AF36,"²")+COUNTIF($E36:AF36,"µ")+COUNTIF($E36:AF36,1)),
HYPERLINK("#Roadmap!C"&amp; MATCH($E36,Roadmap!$D:$D,0)+COUNTIF($E36:AF36,"u")+COUNTIF($E36:AF36,"t"),
     INDEX(Roadmap!$D:$K,MATCH($E36,Roadmap!$D:$D,0)+COUNTIF($E36:AF36,"u")+COUNTIF($E36:AF36,"t")+COUNTIF($E36:AF36,"¶")+COUNTIF($E36:AF36,"²")+COUNTIF($E36:AF36,"µ")+COUNTIF($E36:AF36,1),ColTypeEcheance)),
  IF(LEN(AF36)=1,
  IF(LEN(INDEX(Roadmap!$D:$K,MATCH($E36,Roadmap!$D:$D,0)-1+COUNTIF($E36:AF36,"u")+COUNTIF($E36:AF36,"t")+COUNTIF($E36:AF36,"¶")+COUNTIF($E36:AF36,"²")+COUNTIF($E36:AF36,"µ")+COUNTIF($E36:AF36,1),ColDescriptionCourte))&gt;1,
HYPERLINK("#Roadmap!C"&amp; MATCH($E36,Roadmap!$D:$D,0)+COUNTIF($E36:AF36,"u")+COUNTIF($E36:AF36,"t")+COUNTIF($E36:AF36,"¶")+COUNTIF($E36:AF36,"²")+COUNTIF($E36:AF36,"µ")+COUNTIF($E36:AF36,1)-1,INDEX(Roadmap!$D:$K,MATCH($E36,Roadmap!$D:$D,0)-1+COUNTIF($E36:AF36,"u")+COUNTIF($E36:AF36,"t")+COUNTIF($E36:AF36,"¶")+COUNTIF($E36:AF36,"²")+COUNTIF($E36:AF36,"µ")+COUNTIF($E36:AF36,1),ColDescriptionCourte)),""),
  "")),"")</f>
        <v/>
      </c>
    </row>
    <row r="37" spans="3:33" ht="14.25" customHeight="1">
      <c r="C37" s="1" t="str">
        <f t="shared" ca="1" si="42"/>
        <v/>
      </c>
      <c r="D37" s="1" t="str">
        <f t="shared" ca="1" si="43"/>
        <v/>
      </c>
      <c r="E37" s="35" t="str">
        <f t="shared" ca="1" si="33"/>
        <v/>
      </c>
      <c r="F37" s="39" t="str">
        <f ca="1">IFERROR(IF(AND(
  INDEX(Roadmap!$D:$K,MATCH($E37,Roadmap!$D:$D,0)+COUNTIF($E37:E37,"u")+COUNTIF($E37:E37,"t")+COUNTIF($E37:E37,"¶")+COUNTIF($E37:E37,"²")+COUNTIF($E37:E37,"µ")+COUNTIF($E37:E37,1),ColLivraison)=F$6,
  VLOOKUP($E37,INDIRECT("tri!"&amp; CHAR(64+ C0Col) &amp;":"&amp; CHAR(65+C0Col)),2,FALSE)&gt;COUNTIF($E37:E37,"u")+COUNTIF($E37:E37,"t")+COUNTIF($E37:E37,"¶")+COUNTIF($E37:E37,"²")+COUNTIF($E37:E37,"µ")+COUNTIF($E37:E37,1)),
HYPERLINK("#Roadmap!C"&amp; MATCH($E37,Roadmap!$D:$D,0)+COUNTIF($E37:E37,"u")+COUNTIF($E37:E37,"t"),
     INDEX(Roadmap!$D:$K,MATCH($E37,Roadmap!$D:$D,0)+COUNTIF($E37:E37,"u")+COUNTIF($E37:E37,"t")+COUNTIF($E37:E37,"¶")+COUNTIF($E37:E37,"²")+COUNTIF($E37:E37,"µ")+COUNTIF($E37:E37,1),ColTypeEcheance)),
  IF(LEN(E37)=1,
  IF(LEN(INDEX(Roadmap!$D:$K,MATCH($E37,Roadmap!$D:$D,0)-1+COUNTIF($E37:E37,"u")+COUNTIF($E37:E37,"t")+COUNTIF($E37:E37,"¶")+COUNTIF($E37:E37,"²")+COUNTIF($E37:E37,"µ")+COUNTIF($E37:E37,1),ColDescriptionCourte))&gt;1,
HYPERLINK("#Roadmap!C"&amp; MATCH($E37,Roadmap!$D:$D,0)+COUNTIF($E37:E37,"u")+COUNTIF($E37:E37,"t")+COUNTIF($E37:E37,"¶")+COUNTIF($E37:E37,"²")+COUNTIF($E37:E37,"µ")+COUNTIF($E37:E37,1)-1,INDEX(Roadmap!$D:$K,MATCH($E37,Roadmap!$D:$D,0)-1+COUNTIF($E37:E37,"u")+COUNTIF($E37:E37,"t")+COUNTIF($E37:E37,"¶")+COUNTIF($E37:E37,"²")+COUNTIF($E37:E37,"µ")+COUNTIF($E37:E37,1),ColDescriptionCourte)),""),
  "")),"")</f>
        <v/>
      </c>
      <c r="G37" s="40" t="str">
        <f ca="1">IFERROR(IF(AND(
  INDEX(Roadmap!$D:$K,MATCH($E37,Roadmap!$D:$D,0)+COUNTIF($E37:F37,"u")+COUNTIF($E37:F37,"t")+COUNTIF($E37:F37,"¶")+COUNTIF($E37:F37,"²")+COUNTIF($E37:F37,"µ")+COUNTIF($E37:F37,1),ColLivraison)=G$6,
  VLOOKUP($E37,INDIRECT("tri!"&amp; CHAR(64+ C0Col) &amp;":"&amp; CHAR(65+C0Col)),2,FALSE)&gt;COUNTIF($E37:F37,"u")+COUNTIF($E37:F37,"t")+COUNTIF($E37:F37,"¶")+COUNTIF($E37:F37,"²")+COUNTIF($E37:F37,"µ")+COUNTIF($E37:F37,1)),
HYPERLINK("#Roadmap!C"&amp; MATCH($E37,Roadmap!$D:$D,0)+COUNTIF($E37:F37,"u")+COUNTIF($E37:F37,"t"),
     INDEX(Roadmap!$D:$K,MATCH($E37,Roadmap!$D:$D,0)+COUNTIF($E37:F37,"u")+COUNTIF($E37:F37,"t")+COUNTIF($E37:F37,"¶")+COUNTIF($E37:F37,"²")+COUNTIF($E37:F37,"µ")+COUNTIF($E37:F37,1),ColTypeEcheance)),
  IF(LEN(F37)=1,
  IF(LEN(INDEX(Roadmap!$D:$K,MATCH($E37,Roadmap!$D:$D,0)-1+COUNTIF($E37:F37,"u")+COUNTIF($E37:F37,"t")+COUNTIF($E37:F37,"¶")+COUNTIF($E37:F37,"²")+COUNTIF($E37:F37,"µ")+COUNTIF($E37:F37,1),ColDescriptionCourte))&gt;1,
HYPERLINK("#Roadmap!C"&amp; MATCH($E37,Roadmap!$D:$D,0)+COUNTIF($E37:F37,"u")+COUNTIF($E37:F37,"t")+COUNTIF($E37:F37,"¶")+COUNTIF($E37:F37,"²")+COUNTIF($E37:F37,"µ")+COUNTIF($E37:F37,1)-1,INDEX(Roadmap!$D:$K,MATCH($E37,Roadmap!$D:$D,0)-1+COUNTIF($E37:F37,"u")+COUNTIF($E37:F37,"t")+COUNTIF($E37:F37,"¶")+COUNTIF($E37:F37,"²")+COUNTIF($E37:F37,"µ")+COUNTIF($E37:F37,1),ColDescriptionCourte)),""),
  "")),"")</f>
        <v/>
      </c>
      <c r="H37" s="40" t="str">
        <f ca="1">IFERROR(IF(AND(
  INDEX(Roadmap!$D:$K,MATCH($E37,Roadmap!$D:$D,0)+COUNTIF($E37:G37,"u")+COUNTIF($E37:G37,"t")+COUNTIF($E37:G37,"¶")+COUNTIF($E37:G37,"²")+COUNTIF($E37:G37,"µ")+COUNTIF($E37:G37,1),ColLivraison)=H$6,
  VLOOKUP($E37,INDIRECT("tri!"&amp; CHAR(64+ C0Col) &amp;":"&amp; CHAR(65+C0Col)),2,FALSE)&gt;COUNTIF($E37:G37,"u")+COUNTIF($E37:G37,"t")+COUNTIF($E37:G37,"¶")+COUNTIF($E37:G37,"²")+COUNTIF($E37:G37,"µ")+COUNTIF($E37:G37,1)),
HYPERLINK("#Roadmap!C"&amp; MATCH($E37,Roadmap!$D:$D,0)+COUNTIF($E37:G37,"u")+COUNTIF($E37:G37,"t"),
     INDEX(Roadmap!$D:$K,MATCH($E37,Roadmap!$D:$D,0)+COUNTIF($E37:G37,"u")+COUNTIF($E37:G37,"t")+COUNTIF($E37:G37,"¶")+COUNTIF($E37:G37,"²")+COUNTIF($E37:G37,"µ")+COUNTIF($E37:G37,1),ColTypeEcheance)),
  IF(LEN(G37)=1,
  IF(LEN(INDEX(Roadmap!$D:$K,MATCH($E37,Roadmap!$D:$D,0)-1+COUNTIF($E37:G37,"u")+COUNTIF($E37:G37,"t")+COUNTIF($E37:G37,"¶")+COUNTIF($E37:G37,"²")+COUNTIF($E37:G37,"µ")+COUNTIF($E37:G37,1),ColDescriptionCourte))&gt;1,
HYPERLINK("#Roadmap!C"&amp; MATCH($E37,Roadmap!$D:$D,0)+COUNTIF($E37:G37,"u")+COUNTIF($E37:G37,"t")+COUNTIF($E37:G37,"¶")+COUNTIF($E37:G37,"²")+COUNTIF($E37:G37,"µ")+COUNTIF($E37:G37,1)-1,INDEX(Roadmap!$D:$K,MATCH($E37,Roadmap!$D:$D,0)-1+COUNTIF($E37:G37,"u")+COUNTIF($E37:G37,"t")+COUNTIF($E37:G37,"¶")+COUNTIF($E37:G37,"²")+COUNTIF($E37:G37,"µ")+COUNTIF($E37:G37,1),ColDescriptionCourte)),""),
  "")),"")</f>
        <v/>
      </c>
      <c r="I37" s="40" t="str">
        <f ca="1">IFERROR(IF(AND(
  INDEX(Roadmap!$D:$K,MATCH($E37,Roadmap!$D:$D,0)+COUNTIF($E37:H37,"u")+COUNTIF($E37:H37,"t")+COUNTIF($E37:H37,"¶")+COUNTIF($E37:H37,"²")+COUNTIF($E37:H37,"µ")+COUNTIF($E37:H37,1),ColLivraison)=I$6,
  VLOOKUP($E37,INDIRECT("tri!"&amp; CHAR(64+ C0Col) &amp;":"&amp; CHAR(65+C0Col)),2,FALSE)&gt;COUNTIF($E37:H37,"u")+COUNTIF($E37:H37,"t")+COUNTIF($E37:H37,"¶")+COUNTIF($E37:H37,"²")+COUNTIF($E37:H37,"µ")+COUNTIF($E37:H37,1)),
HYPERLINK("#Roadmap!C"&amp; MATCH($E37,Roadmap!$D:$D,0)+COUNTIF($E37:H37,"u")+COUNTIF($E37:H37,"t"),
     INDEX(Roadmap!$D:$K,MATCH($E37,Roadmap!$D:$D,0)+COUNTIF($E37:H37,"u")+COUNTIF($E37:H37,"t")+COUNTIF($E37:H37,"¶")+COUNTIF($E37:H37,"²")+COUNTIF($E37:H37,"µ")+COUNTIF($E37:H37,1),ColTypeEcheance)),
  IF(LEN(H37)=1,
  IF(LEN(INDEX(Roadmap!$D:$K,MATCH($E37,Roadmap!$D:$D,0)-1+COUNTIF($E37:H37,"u")+COUNTIF($E37:H37,"t")+COUNTIF($E37:H37,"¶")+COUNTIF($E37:H37,"²")+COUNTIF($E37:H37,"µ")+COUNTIF($E37:H37,1),ColDescriptionCourte))&gt;1,
HYPERLINK("#Roadmap!C"&amp; MATCH($E37,Roadmap!$D:$D,0)+COUNTIF($E37:H37,"u")+COUNTIF($E37:H37,"t")+COUNTIF($E37:H37,"¶")+COUNTIF($E37:H37,"²")+COUNTIF($E37:H37,"µ")+COUNTIF($E37:H37,1)-1,INDEX(Roadmap!$D:$K,MATCH($E37,Roadmap!$D:$D,0)-1+COUNTIF($E37:H37,"u")+COUNTIF($E37:H37,"t")+COUNTIF($E37:H37,"¶")+COUNTIF($E37:H37,"²")+COUNTIF($E37:H37,"µ")+COUNTIF($E37:H37,1),ColDescriptionCourte)),""),
  "")),"")</f>
        <v/>
      </c>
      <c r="J37" s="40" t="str">
        <f ca="1">IFERROR(IF(AND(
  INDEX(Roadmap!$D:$K,MATCH($E37,Roadmap!$D:$D,0)+COUNTIF($E37:I37,"u")+COUNTIF($E37:I37,"t")+COUNTIF($E37:I37,"¶")+COUNTIF($E37:I37,"²")+COUNTIF($E37:I37,"µ")+COUNTIF($E37:I37,1),ColLivraison)=J$6,
  VLOOKUP($E37,INDIRECT("tri!"&amp; CHAR(64+ C0Col) &amp;":"&amp; CHAR(65+C0Col)),2,FALSE)&gt;COUNTIF($E37:I37,"u")+COUNTIF($E37:I37,"t")+COUNTIF($E37:I37,"¶")+COUNTIF($E37:I37,"²")+COUNTIF($E37:I37,"µ")+COUNTIF($E37:I37,1)),
HYPERLINK("#Roadmap!C"&amp; MATCH($E37,Roadmap!$D:$D,0)+COUNTIF($E37:I37,"u")+COUNTIF($E37:I37,"t"),
     INDEX(Roadmap!$D:$K,MATCH($E37,Roadmap!$D:$D,0)+COUNTIF($E37:I37,"u")+COUNTIF($E37:I37,"t")+COUNTIF($E37:I37,"¶")+COUNTIF($E37:I37,"²")+COUNTIF($E37:I37,"µ")+COUNTIF($E37:I37,1),ColTypeEcheance)),
  IF(LEN(I37)=1,
  IF(LEN(INDEX(Roadmap!$D:$K,MATCH($E37,Roadmap!$D:$D,0)-1+COUNTIF($E37:I37,"u")+COUNTIF($E37:I37,"t")+COUNTIF($E37:I37,"¶")+COUNTIF($E37:I37,"²")+COUNTIF($E37:I37,"µ")+COUNTIF($E37:I37,1),ColDescriptionCourte))&gt;1,
HYPERLINK("#Roadmap!C"&amp; MATCH($E37,Roadmap!$D:$D,0)+COUNTIF($E37:I37,"u")+COUNTIF($E37:I37,"t")+COUNTIF($E37:I37,"¶")+COUNTIF($E37:I37,"²")+COUNTIF($E37:I37,"µ")+COUNTIF($E37:I37,1)-1,INDEX(Roadmap!$D:$K,MATCH($E37,Roadmap!$D:$D,0)-1+COUNTIF($E37:I37,"u")+COUNTIF($E37:I37,"t")+COUNTIF($E37:I37,"¶")+COUNTIF($E37:I37,"²")+COUNTIF($E37:I37,"µ")+COUNTIF($E37:I37,1),ColDescriptionCourte)),""),
  "")),"")</f>
        <v/>
      </c>
      <c r="K37" s="40" t="str">
        <f ca="1">IFERROR(IF(AND(
  INDEX(Roadmap!$D:$K,MATCH($E37,Roadmap!$D:$D,0)+COUNTIF($E37:J37,"u")+COUNTIF($E37:J37,"t")+COUNTIF($E37:J37,"¶")+COUNTIF($E37:J37,"²")+COUNTIF($E37:J37,"µ")+COUNTIF($E37:J37,1),ColLivraison)=K$6,
  VLOOKUP($E37,INDIRECT("tri!"&amp; CHAR(64+ C0Col) &amp;":"&amp; CHAR(65+C0Col)),2,FALSE)&gt;COUNTIF($E37:J37,"u")+COUNTIF($E37:J37,"t")+COUNTIF($E37:J37,"¶")+COUNTIF($E37:J37,"²")+COUNTIF($E37:J37,"µ")+COUNTIF($E37:J37,1)),
HYPERLINK("#Roadmap!C"&amp; MATCH($E37,Roadmap!$D:$D,0)+COUNTIF($E37:J37,"u")+COUNTIF($E37:J37,"t"),
     INDEX(Roadmap!$D:$K,MATCH($E37,Roadmap!$D:$D,0)+COUNTIF($E37:J37,"u")+COUNTIF($E37:J37,"t")+COUNTIF($E37:J37,"¶")+COUNTIF($E37:J37,"²")+COUNTIF($E37:J37,"µ")+COUNTIF($E37:J37,1),ColTypeEcheance)),
  IF(LEN(J37)=1,
  IF(LEN(INDEX(Roadmap!$D:$K,MATCH($E37,Roadmap!$D:$D,0)-1+COUNTIF($E37:J37,"u")+COUNTIF($E37:J37,"t")+COUNTIF($E37:J37,"¶")+COUNTIF($E37:J37,"²")+COUNTIF($E37:J37,"µ")+COUNTIF($E37:J37,1),ColDescriptionCourte))&gt;1,
HYPERLINK("#Roadmap!C"&amp; MATCH($E37,Roadmap!$D:$D,0)+COUNTIF($E37:J37,"u")+COUNTIF($E37:J37,"t")+COUNTIF($E37:J37,"¶")+COUNTIF($E37:J37,"²")+COUNTIF($E37:J37,"µ")+COUNTIF($E37:J37,1)-1,INDEX(Roadmap!$D:$K,MATCH($E37,Roadmap!$D:$D,0)-1+COUNTIF($E37:J37,"u")+COUNTIF($E37:J37,"t")+COUNTIF($E37:J37,"¶")+COUNTIF($E37:J37,"²")+COUNTIF($E37:J37,"µ")+COUNTIF($E37:J37,1),ColDescriptionCourte)),""),
  "")),"")</f>
        <v/>
      </c>
      <c r="L37" s="39" t="str">
        <f ca="1">IFERROR(IF(AND(
  INDEX(Roadmap!$D:$K,MATCH($E37,Roadmap!$D:$D,0)+COUNTIF($E37:K37,"u")+COUNTIF($E37:K37,"t")+COUNTIF($E37:K37,"¶")+COUNTIF($E37:K37,"²")+COUNTIF($E37:K37,"µ")+COUNTIF($E37:K37,1),ColLivraison)=L$6,
  VLOOKUP($E37,INDIRECT("tri!"&amp; CHAR(64+ C0Col) &amp;":"&amp; CHAR(65+C0Col)),2,FALSE)&gt;COUNTIF($E37:K37,"u")+COUNTIF($E37:K37,"t")+COUNTIF($E37:K37,"¶")+COUNTIF($E37:K37,"²")+COUNTIF($E37:K37,"µ")+COUNTIF($E37:K37,1)),
HYPERLINK("#Roadmap!C"&amp; MATCH($E37,Roadmap!$D:$D,0)+COUNTIF($E37:K37,"u")+COUNTIF($E37:K37,"t"),
     INDEX(Roadmap!$D:$K,MATCH($E37,Roadmap!$D:$D,0)+COUNTIF($E37:K37,"u")+COUNTIF($E37:K37,"t")+COUNTIF($E37:K37,"¶")+COUNTIF($E37:K37,"²")+COUNTIF($E37:K37,"µ")+COUNTIF($E37:K37,1),ColTypeEcheance)),
  IF(LEN(K37)=1,
  IF(LEN(INDEX(Roadmap!$D:$K,MATCH($E37,Roadmap!$D:$D,0)-1+COUNTIF($E37:K37,"u")+COUNTIF($E37:K37,"t")+COUNTIF($E37:K37,"¶")+COUNTIF($E37:K37,"²")+COUNTIF($E37:K37,"µ")+COUNTIF($E37:K37,1),ColDescriptionCourte))&gt;1,
HYPERLINK("#Roadmap!C"&amp; MATCH($E37,Roadmap!$D:$D,0)+COUNTIF($E37:K37,"u")+COUNTIF($E37:K37,"t")+COUNTIF($E37:K37,"¶")+COUNTIF($E37:K37,"²")+COUNTIF($E37:K37,"µ")+COUNTIF($E37:K37,1)-1,INDEX(Roadmap!$D:$K,MATCH($E37,Roadmap!$D:$D,0)-1+COUNTIF($E37:K37,"u")+COUNTIF($E37:K37,"t")+COUNTIF($E37:K37,"¶")+COUNTIF($E37:K37,"²")+COUNTIF($E37:K37,"µ")+COUNTIF($E37:K37,1),ColDescriptionCourte)),""),
  "")),"")</f>
        <v/>
      </c>
      <c r="M37" s="40" t="str">
        <f ca="1">IFERROR(IF(AND(
  INDEX(Roadmap!$D:$K,MATCH($E37,Roadmap!$D:$D,0)+COUNTIF($E37:L37,"u")+COUNTIF($E37:L37,"t")+COUNTIF($E37:L37,"¶")+COUNTIF($E37:L37,"²")+COUNTIF($E37:L37,"µ")+COUNTIF($E37:L37,1),ColLivraison)=M$6,
  VLOOKUP($E37,INDIRECT("tri!"&amp; CHAR(64+ C0Col) &amp;":"&amp; CHAR(65+C0Col)),2,FALSE)&gt;COUNTIF($E37:L37,"u")+COUNTIF($E37:L37,"t")+COUNTIF($E37:L37,"¶")+COUNTIF($E37:L37,"²")+COUNTIF($E37:L37,"µ")+COUNTIF($E37:L37,1)),
HYPERLINK("#Roadmap!C"&amp; MATCH($E37,Roadmap!$D:$D,0)+COUNTIF($E37:L37,"u")+COUNTIF($E37:L37,"t"),
     INDEX(Roadmap!$D:$K,MATCH($E37,Roadmap!$D:$D,0)+COUNTIF($E37:L37,"u")+COUNTIF($E37:L37,"t")+COUNTIF($E37:L37,"¶")+COUNTIF($E37:L37,"²")+COUNTIF($E37:L37,"µ")+COUNTIF($E37:L37,1),ColTypeEcheance)),
  IF(LEN(L37)=1,
  IF(LEN(INDEX(Roadmap!$D:$K,MATCH($E37,Roadmap!$D:$D,0)-1+COUNTIF($E37:L37,"u")+COUNTIF($E37:L37,"t")+COUNTIF($E37:L37,"¶")+COUNTIF($E37:L37,"²")+COUNTIF($E37:L37,"µ")+COUNTIF($E37:L37,1),ColDescriptionCourte))&gt;1,
HYPERLINK("#Roadmap!C"&amp; MATCH($E37,Roadmap!$D:$D,0)+COUNTIF($E37:L37,"u")+COUNTIF($E37:L37,"t")+COUNTIF($E37:L37,"¶")+COUNTIF($E37:L37,"²")+COUNTIF($E37:L37,"µ")+COUNTIF($E37:L37,1)-1,INDEX(Roadmap!$D:$K,MATCH($E37,Roadmap!$D:$D,0)-1+COUNTIF($E37:L37,"u")+COUNTIF($E37:L37,"t")+COUNTIF($E37:L37,"¶")+COUNTIF($E37:L37,"²")+COUNTIF($E37:L37,"µ")+COUNTIF($E37:L37,1),ColDescriptionCourte)),""),
  "")),"")</f>
        <v/>
      </c>
      <c r="N37" s="40" t="str">
        <f ca="1">IFERROR(IF(AND(
  INDEX(Roadmap!$D:$K,MATCH($E37,Roadmap!$D:$D,0)+COUNTIF($E37:M37,"u")+COUNTIF($E37:M37,"t")+COUNTIF($E37:M37,"¶")+COUNTIF($E37:M37,"²")+COUNTIF($E37:M37,"µ")+COUNTIF($E37:M37,1),ColLivraison)=N$6,
  VLOOKUP($E37,INDIRECT("tri!"&amp; CHAR(64+ C0Col) &amp;":"&amp; CHAR(65+C0Col)),2,FALSE)&gt;COUNTIF($E37:M37,"u")+COUNTIF($E37:M37,"t")+COUNTIF($E37:M37,"¶")+COUNTIF($E37:M37,"²")+COUNTIF($E37:M37,"µ")+COUNTIF($E37:M37,1)),
HYPERLINK("#Roadmap!C"&amp; MATCH($E37,Roadmap!$D:$D,0)+COUNTIF($E37:M37,"u")+COUNTIF($E37:M37,"t"),
     INDEX(Roadmap!$D:$K,MATCH($E37,Roadmap!$D:$D,0)+COUNTIF($E37:M37,"u")+COUNTIF($E37:M37,"t")+COUNTIF($E37:M37,"¶")+COUNTIF($E37:M37,"²")+COUNTIF($E37:M37,"µ")+COUNTIF($E37:M37,1),ColTypeEcheance)),
  IF(LEN(M37)=1,
  IF(LEN(INDEX(Roadmap!$D:$K,MATCH($E37,Roadmap!$D:$D,0)-1+COUNTIF($E37:M37,"u")+COUNTIF($E37:M37,"t")+COUNTIF($E37:M37,"¶")+COUNTIF($E37:M37,"²")+COUNTIF($E37:M37,"µ")+COUNTIF($E37:M37,1),ColDescriptionCourte))&gt;1,
HYPERLINK("#Roadmap!C"&amp; MATCH($E37,Roadmap!$D:$D,0)+COUNTIF($E37:M37,"u")+COUNTIF($E37:M37,"t")+COUNTIF($E37:M37,"¶")+COUNTIF($E37:M37,"²")+COUNTIF($E37:M37,"µ")+COUNTIF($E37:M37,1)-1,INDEX(Roadmap!$D:$K,MATCH($E37,Roadmap!$D:$D,0)-1+COUNTIF($E37:M37,"u")+COUNTIF($E37:M37,"t")+COUNTIF($E37:M37,"¶")+COUNTIF($E37:M37,"²")+COUNTIF($E37:M37,"µ")+COUNTIF($E37:M37,1),ColDescriptionCourte)),""),
  "")),"")</f>
        <v/>
      </c>
      <c r="O37" s="40" t="str">
        <f ca="1">IFERROR(IF(AND(
  INDEX(Roadmap!$D:$K,MATCH($E37,Roadmap!$D:$D,0)+COUNTIF($E37:N37,"u")+COUNTIF($E37:N37,"t")+COUNTIF($E37:N37,"¶")+COUNTIF($E37:N37,"²")+COUNTIF($E37:N37,"µ")+COUNTIF($E37:N37,1),ColLivraison)=O$6,
  VLOOKUP($E37,INDIRECT("tri!"&amp; CHAR(64+ C0Col) &amp;":"&amp; CHAR(65+C0Col)),2,FALSE)&gt;COUNTIF($E37:N37,"u")+COUNTIF($E37:N37,"t")+COUNTIF($E37:N37,"¶")+COUNTIF($E37:N37,"²")+COUNTIF($E37:N37,"µ")+COUNTIF($E37:N37,1)),
HYPERLINK("#Roadmap!C"&amp; MATCH($E37,Roadmap!$D:$D,0)+COUNTIF($E37:N37,"u")+COUNTIF($E37:N37,"t"),
     INDEX(Roadmap!$D:$K,MATCH($E37,Roadmap!$D:$D,0)+COUNTIF($E37:N37,"u")+COUNTIF($E37:N37,"t")+COUNTIF($E37:N37,"¶")+COUNTIF($E37:N37,"²")+COUNTIF($E37:N37,"µ")+COUNTIF($E37:N37,1),ColTypeEcheance)),
  IF(LEN(N37)=1,
  IF(LEN(INDEX(Roadmap!$D:$K,MATCH($E37,Roadmap!$D:$D,0)-1+COUNTIF($E37:N37,"u")+COUNTIF($E37:N37,"t")+COUNTIF($E37:N37,"¶")+COUNTIF($E37:N37,"²")+COUNTIF($E37:N37,"µ")+COUNTIF($E37:N37,1),ColDescriptionCourte))&gt;1,
HYPERLINK("#Roadmap!C"&amp; MATCH($E37,Roadmap!$D:$D,0)+COUNTIF($E37:N37,"u")+COUNTIF($E37:N37,"t")+COUNTIF($E37:N37,"¶")+COUNTIF($E37:N37,"²")+COUNTIF($E37:N37,"µ")+COUNTIF($E37:N37,1)-1,INDEX(Roadmap!$D:$K,MATCH($E37,Roadmap!$D:$D,0)-1+COUNTIF($E37:N37,"u")+COUNTIF($E37:N37,"t")+COUNTIF($E37:N37,"¶")+COUNTIF($E37:N37,"²")+COUNTIF($E37:N37,"µ")+COUNTIF($E37:N37,1),ColDescriptionCourte)),""),
  "")),"")</f>
        <v/>
      </c>
      <c r="P37" s="40" t="str">
        <f ca="1">IFERROR(IF(AND(
  INDEX(Roadmap!$D:$K,MATCH($E37,Roadmap!$D:$D,0)+COUNTIF($E37:O37,"u")+COUNTIF($E37:O37,"t")+COUNTIF($E37:O37,"¶")+COUNTIF($E37:O37,"²")+COUNTIF($E37:O37,"µ")+COUNTIF($E37:O37,1),ColLivraison)=P$6,
  VLOOKUP($E37,INDIRECT("tri!"&amp; CHAR(64+ C0Col) &amp;":"&amp; CHAR(65+C0Col)),2,FALSE)&gt;COUNTIF($E37:O37,"u")+COUNTIF($E37:O37,"t")+COUNTIF($E37:O37,"¶")+COUNTIF($E37:O37,"²")+COUNTIF($E37:O37,"µ")+COUNTIF($E37:O37,1)),
HYPERLINK("#Roadmap!C"&amp; MATCH($E37,Roadmap!$D:$D,0)+COUNTIF($E37:O37,"u")+COUNTIF($E37:O37,"t"),
     INDEX(Roadmap!$D:$K,MATCH($E37,Roadmap!$D:$D,0)+COUNTIF($E37:O37,"u")+COUNTIF($E37:O37,"t")+COUNTIF($E37:O37,"¶")+COUNTIF($E37:O37,"²")+COUNTIF($E37:O37,"µ")+COUNTIF($E37:O37,1),ColTypeEcheance)),
  IF(LEN(O37)=1,
  IF(LEN(INDEX(Roadmap!$D:$K,MATCH($E37,Roadmap!$D:$D,0)-1+COUNTIF($E37:O37,"u")+COUNTIF($E37:O37,"t")+COUNTIF($E37:O37,"¶")+COUNTIF($E37:O37,"²")+COUNTIF($E37:O37,"µ")+COUNTIF($E37:O37,1),ColDescriptionCourte))&gt;1,
HYPERLINK("#Roadmap!C"&amp; MATCH($E37,Roadmap!$D:$D,0)+COUNTIF($E37:O37,"u")+COUNTIF($E37:O37,"t")+COUNTIF($E37:O37,"¶")+COUNTIF($E37:O37,"²")+COUNTIF($E37:O37,"µ")+COUNTIF($E37:O37,1)-1,INDEX(Roadmap!$D:$K,MATCH($E37,Roadmap!$D:$D,0)-1+COUNTIF($E37:O37,"u")+COUNTIF($E37:O37,"t")+COUNTIF($E37:O37,"¶")+COUNTIF($E37:O37,"²")+COUNTIF($E37:O37,"µ")+COUNTIF($E37:O37,1),ColDescriptionCourte)),""),
  "")),"")</f>
        <v/>
      </c>
      <c r="Q37" s="40" t="str">
        <f ca="1">IFERROR(IF(AND(
  INDEX(Roadmap!$D:$K,MATCH($E37,Roadmap!$D:$D,0)+COUNTIF($E37:P37,"u")+COUNTIF($E37:P37,"t")+COUNTIF($E37:P37,"¶")+COUNTIF($E37:P37,"²")+COUNTIF($E37:P37,"µ")+COUNTIF($E37:P37,1),ColLivraison)=Q$6,
  VLOOKUP($E37,INDIRECT("tri!"&amp; CHAR(64+ C0Col) &amp;":"&amp; CHAR(65+C0Col)),2,FALSE)&gt;COUNTIF($E37:P37,"u")+COUNTIF($E37:P37,"t")+COUNTIF($E37:P37,"¶")+COUNTIF($E37:P37,"²")+COUNTIF($E37:P37,"µ")+COUNTIF($E37:P37,1)),
HYPERLINK("#Roadmap!C"&amp; MATCH($E37,Roadmap!$D:$D,0)+COUNTIF($E37:P37,"u")+COUNTIF($E37:P37,"t"),
     INDEX(Roadmap!$D:$K,MATCH($E37,Roadmap!$D:$D,0)+COUNTIF($E37:P37,"u")+COUNTIF($E37:P37,"t")+COUNTIF($E37:P37,"¶")+COUNTIF($E37:P37,"²")+COUNTIF($E37:P37,"µ")+COUNTIF($E37:P37,1),ColTypeEcheance)),
  IF(LEN(P37)=1,
  IF(LEN(INDEX(Roadmap!$D:$K,MATCH($E37,Roadmap!$D:$D,0)-1+COUNTIF($E37:P37,"u")+COUNTIF($E37:P37,"t")+COUNTIF($E37:P37,"¶")+COUNTIF($E37:P37,"²")+COUNTIF($E37:P37,"µ")+COUNTIF($E37:P37,1),ColDescriptionCourte))&gt;1,
HYPERLINK("#Roadmap!C"&amp; MATCH($E37,Roadmap!$D:$D,0)+COUNTIF($E37:P37,"u")+COUNTIF($E37:P37,"t")+COUNTIF($E37:P37,"¶")+COUNTIF($E37:P37,"²")+COUNTIF($E37:P37,"µ")+COUNTIF($E37:P37,1)-1,INDEX(Roadmap!$D:$K,MATCH($E37,Roadmap!$D:$D,0)-1+COUNTIF($E37:P37,"u")+COUNTIF($E37:P37,"t")+COUNTIF($E37:P37,"¶")+COUNTIF($E37:P37,"²")+COUNTIF($E37:P37,"µ")+COUNTIF($E37:P37,1),ColDescriptionCourte)),""),
  "")),"")</f>
        <v/>
      </c>
      <c r="R37" s="40" t="str">
        <f ca="1">IFERROR(IF(AND(
  INDEX(Roadmap!$D:$K,MATCH($E37,Roadmap!$D:$D,0)+COUNTIF($E37:Q37,"u")+COUNTIF($E37:Q37,"t")+COUNTIF($E37:Q37,"¶")+COUNTIF($E37:Q37,"²")+COUNTIF($E37:Q37,"µ")+COUNTIF($E37:Q37,1),ColLivraison)=R$6,
  VLOOKUP($E37,INDIRECT("tri!"&amp; CHAR(64+ C0Col) &amp;":"&amp; CHAR(65+C0Col)),2,FALSE)&gt;COUNTIF($E37:Q37,"u")+COUNTIF($E37:Q37,"t")+COUNTIF($E37:Q37,"¶")+COUNTIF($E37:Q37,"²")+COUNTIF($E37:Q37,"µ")+COUNTIF($E37:Q37,1)),
HYPERLINK("#Roadmap!C"&amp; MATCH($E37,Roadmap!$D:$D,0)+COUNTIF($E37:Q37,"u")+COUNTIF($E37:Q37,"t"),
     INDEX(Roadmap!$D:$K,MATCH($E37,Roadmap!$D:$D,0)+COUNTIF($E37:Q37,"u")+COUNTIF($E37:Q37,"t")+COUNTIF($E37:Q37,"¶")+COUNTIF($E37:Q37,"²")+COUNTIF($E37:Q37,"µ")+COUNTIF($E37:Q37,1),ColTypeEcheance)),
  IF(LEN(Q37)=1,
  IF(LEN(INDEX(Roadmap!$D:$K,MATCH($E37,Roadmap!$D:$D,0)-1+COUNTIF($E37:Q37,"u")+COUNTIF($E37:Q37,"t")+COUNTIF($E37:Q37,"¶")+COUNTIF($E37:Q37,"²")+COUNTIF($E37:Q37,"µ")+COUNTIF($E37:Q37,1),ColDescriptionCourte))&gt;1,
HYPERLINK("#Roadmap!C"&amp; MATCH($E37,Roadmap!$D:$D,0)+COUNTIF($E37:Q37,"u")+COUNTIF($E37:Q37,"t")+COUNTIF($E37:Q37,"¶")+COUNTIF($E37:Q37,"²")+COUNTIF($E37:Q37,"µ")+COUNTIF($E37:Q37,1)-1,INDEX(Roadmap!$D:$K,MATCH($E37,Roadmap!$D:$D,0)-1+COUNTIF($E37:Q37,"u")+COUNTIF($E37:Q37,"t")+COUNTIF($E37:Q37,"¶")+COUNTIF($E37:Q37,"²")+COUNTIF($E37:Q37,"µ")+COUNTIF($E37:Q37,1),ColDescriptionCourte)),""),
  "")),"")</f>
        <v/>
      </c>
      <c r="S37" s="40" t="str">
        <f ca="1">IFERROR(IF(AND(
  INDEX(Roadmap!$D:$K,MATCH($E37,Roadmap!$D:$D,0)+COUNTIF($E37:R37,"u")+COUNTIF($E37:R37,"t")+COUNTIF($E37:R37,"¶")+COUNTIF($E37:R37,"²")+COUNTIF($E37:R37,"µ")+COUNTIF($E37:R37,1),ColLivraison)=S$6,
  VLOOKUP($E37,INDIRECT("tri!"&amp; CHAR(64+ C0Col) &amp;":"&amp; CHAR(65+C0Col)),2,FALSE)&gt;COUNTIF($E37:R37,"u")+COUNTIF($E37:R37,"t")+COUNTIF($E37:R37,"¶")+COUNTIF($E37:R37,"²")+COUNTIF($E37:R37,"µ")+COUNTIF($E37:R37,1)),
HYPERLINK("#Roadmap!C"&amp; MATCH($E37,Roadmap!$D:$D,0)+COUNTIF($E37:R37,"u")+COUNTIF($E37:R37,"t"),
     INDEX(Roadmap!$D:$K,MATCH($E37,Roadmap!$D:$D,0)+COUNTIF($E37:R37,"u")+COUNTIF($E37:R37,"t")+COUNTIF($E37:R37,"¶")+COUNTIF($E37:R37,"²")+COUNTIF($E37:R37,"µ")+COUNTIF($E37:R37,1),ColTypeEcheance)),
  IF(LEN(R37)=1,
  IF(LEN(INDEX(Roadmap!$D:$K,MATCH($E37,Roadmap!$D:$D,0)-1+COUNTIF($E37:R37,"u")+COUNTIF($E37:R37,"t")+COUNTIF($E37:R37,"¶")+COUNTIF($E37:R37,"²")+COUNTIF($E37:R37,"µ")+COUNTIF($E37:R37,1),ColDescriptionCourte))&gt;1,
HYPERLINK("#Roadmap!C"&amp; MATCH($E37,Roadmap!$D:$D,0)+COUNTIF($E37:R37,"u")+COUNTIF($E37:R37,"t")+COUNTIF($E37:R37,"¶")+COUNTIF($E37:R37,"²")+COUNTIF($E37:R37,"µ")+COUNTIF($E37:R37,1)-1,INDEX(Roadmap!$D:$K,MATCH($E37,Roadmap!$D:$D,0)-1+COUNTIF($E37:R37,"u")+COUNTIF($E37:R37,"t")+COUNTIF($E37:R37,"¶")+COUNTIF($E37:R37,"²")+COUNTIF($E37:R37,"µ")+COUNTIF($E37:R37,1),ColDescriptionCourte)),""),
  "")),"")</f>
        <v/>
      </c>
      <c r="T37" s="40" t="str">
        <f ca="1">IFERROR(IF(AND(
  INDEX(Roadmap!$D:$K,MATCH($E37,Roadmap!$D:$D,0)+COUNTIF($E37:S37,"u")+COUNTIF($E37:S37,"t")+COUNTIF($E37:S37,"¶")+COUNTIF($E37:S37,"²")+COUNTIF($E37:S37,"µ")+COUNTIF($E37:S37,1),ColLivraison)=T$6,
  VLOOKUP($E37,INDIRECT("tri!"&amp; CHAR(64+ C0Col) &amp;":"&amp; CHAR(65+C0Col)),2,FALSE)&gt;COUNTIF($E37:S37,"u")+COUNTIF($E37:S37,"t")+COUNTIF($E37:S37,"¶")+COUNTIF($E37:S37,"²")+COUNTIF($E37:S37,"µ")+COUNTIF($E37:S37,1)),
HYPERLINK("#Roadmap!C"&amp; MATCH($E37,Roadmap!$D:$D,0)+COUNTIF($E37:S37,"u")+COUNTIF($E37:S37,"t"),
     INDEX(Roadmap!$D:$K,MATCH($E37,Roadmap!$D:$D,0)+COUNTIF($E37:S37,"u")+COUNTIF($E37:S37,"t")+COUNTIF($E37:S37,"¶")+COUNTIF($E37:S37,"²")+COUNTIF($E37:S37,"µ")+COUNTIF($E37:S37,1),ColTypeEcheance)),
  IF(LEN(S37)=1,
  IF(LEN(INDEX(Roadmap!$D:$K,MATCH($E37,Roadmap!$D:$D,0)-1+COUNTIF($E37:S37,"u")+COUNTIF($E37:S37,"t")+COUNTIF($E37:S37,"¶")+COUNTIF($E37:S37,"²")+COUNTIF($E37:S37,"µ")+COUNTIF($E37:S37,1),ColDescriptionCourte))&gt;1,
HYPERLINK("#Roadmap!C"&amp; MATCH($E37,Roadmap!$D:$D,0)+COUNTIF($E37:S37,"u")+COUNTIF($E37:S37,"t")+COUNTIF($E37:S37,"¶")+COUNTIF($E37:S37,"²")+COUNTIF($E37:S37,"µ")+COUNTIF($E37:S37,1)-1,INDEX(Roadmap!$D:$K,MATCH($E37,Roadmap!$D:$D,0)-1+COUNTIF($E37:S37,"u")+COUNTIF($E37:S37,"t")+COUNTIF($E37:S37,"¶")+COUNTIF($E37:S37,"²")+COUNTIF($E37:S37,"µ")+COUNTIF($E37:S37,1),ColDescriptionCourte)),""),
  "")),"")</f>
        <v/>
      </c>
      <c r="U37" s="40" t="str">
        <f ca="1">IFERROR(IF(AND(
  INDEX(Roadmap!$D:$K,MATCH($E37,Roadmap!$D:$D,0)+COUNTIF($E37:T37,"u")+COUNTIF($E37:T37,"t")+COUNTIF($E37:T37,"¶")+COUNTIF($E37:T37,"²")+COUNTIF($E37:T37,"µ")+COUNTIF($E37:T37,1),ColLivraison)=U$6,
  VLOOKUP($E37,INDIRECT("tri!"&amp; CHAR(64+ C0Col) &amp;":"&amp; CHAR(65+C0Col)),2,FALSE)&gt;COUNTIF($E37:T37,"u")+COUNTIF($E37:T37,"t")+COUNTIF($E37:T37,"¶")+COUNTIF($E37:T37,"²")+COUNTIF($E37:T37,"µ")+COUNTIF($E37:T37,1)),
HYPERLINK("#Roadmap!C"&amp; MATCH($E37,Roadmap!$D:$D,0)+COUNTIF($E37:T37,"u")+COUNTIF($E37:T37,"t"),
     INDEX(Roadmap!$D:$K,MATCH($E37,Roadmap!$D:$D,0)+COUNTIF($E37:T37,"u")+COUNTIF($E37:T37,"t")+COUNTIF($E37:T37,"¶")+COUNTIF($E37:T37,"²")+COUNTIF($E37:T37,"µ")+COUNTIF($E37:T37,1),ColTypeEcheance)),
  IF(LEN(T37)=1,
  IF(LEN(INDEX(Roadmap!$D:$K,MATCH($E37,Roadmap!$D:$D,0)-1+COUNTIF($E37:T37,"u")+COUNTIF($E37:T37,"t")+COUNTIF($E37:T37,"¶")+COUNTIF($E37:T37,"²")+COUNTIF($E37:T37,"µ")+COUNTIF($E37:T37,1),ColDescriptionCourte))&gt;1,
HYPERLINK("#Roadmap!C"&amp; MATCH($E37,Roadmap!$D:$D,0)+COUNTIF($E37:T37,"u")+COUNTIF($E37:T37,"t")+COUNTIF($E37:T37,"¶")+COUNTIF($E37:T37,"²")+COUNTIF($E37:T37,"µ")+COUNTIF($E37:T37,1)-1,INDEX(Roadmap!$D:$K,MATCH($E37,Roadmap!$D:$D,0)-1+COUNTIF($E37:T37,"u")+COUNTIF($E37:T37,"t")+COUNTIF($E37:T37,"¶")+COUNTIF($E37:T37,"²")+COUNTIF($E37:T37,"µ")+COUNTIF($E37:T37,1),ColDescriptionCourte)),""),
  "")),"")</f>
        <v/>
      </c>
      <c r="V37" s="40" t="str">
        <f ca="1">IFERROR(IF(AND(
  INDEX(Roadmap!$D:$K,MATCH($E37,Roadmap!$D:$D,0)+COUNTIF($E37:U37,"u")+COUNTIF($E37:U37,"t")+COUNTIF($E37:U37,"¶")+COUNTIF($E37:U37,"²")+COUNTIF($E37:U37,"µ")+COUNTIF($E37:U37,1),ColLivraison)=V$6,
  VLOOKUP($E37,INDIRECT("tri!"&amp; CHAR(64+ C0Col) &amp;":"&amp; CHAR(65+C0Col)),2,FALSE)&gt;COUNTIF($E37:U37,"u")+COUNTIF($E37:U37,"t")+COUNTIF($E37:U37,"¶")+COUNTIF($E37:U37,"²")+COUNTIF($E37:U37,"µ")+COUNTIF($E37:U37,1)),
HYPERLINK("#Roadmap!C"&amp; MATCH($E37,Roadmap!$D:$D,0)+COUNTIF($E37:U37,"u")+COUNTIF($E37:U37,"t"),
     INDEX(Roadmap!$D:$K,MATCH($E37,Roadmap!$D:$D,0)+COUNTIF($E37:U37,"u")+COUNTIF($E37:U37,"t")+COUNTIF($E37:U37,"¶")+COUNTIF($E37:U37,"²")+COUNTIF($E37:U37,"µ")+COUNTIF($E37:U37,1),ColTypeEcheance)),
  IF(LEN(U37)=1,
  IF(LEN(INDEX(Roadmap!$D:$K,MATCH($E37,Roadmap!$D:$D,0)-1+COUNTIF($E37:U37,"u")+COUNTIF($E37:U37,"t")+COUNTIF($E37:U37,"¶")+COUNTIF($E37:U37,"²")+COUNTIF($E37:U37,"µ")+COUNTIF($E37:U37,1),ColDescriptionCourte))&gt;1,
HYPERLINK("#Roadmap!C"&amp; MATCH($E37,Roadmap!$D:$D,0)+COUNTIF($E37:U37,"u")+COUNTIF($E37:U37,"t")+COUNTIF($E37:U37,"¶")+COUNTIF($E37:U37,"²")+COUNTIF($E37:U37,"µ")+COUNTIF($E37:U37,1)-1,INDEX(Roadmap!$D:$K,MATCH($E37,Roadmap!$D:$D,0)-1+COUNTIF($E37:U37,"u")+COUNTIF($E37:U37,"t")+COUNTIF($E37:U37,"¶")+COUNTIF($E37:U37,"²")+COUNTIF($E37:U37,"µ")+COUNTIF($E37:U37,1),ColDescriptionCourte)),""),
  "")),"")</f>
        <v/>
      </c>
      <c r="W37" s="40" t="str">
        <f ca="1">IFERROR(IF(AND(
  INDEX(Roadmap!$D:$K,MATCH($E37,Roadmap!$D:$D,0)+COUNTIF($E37:V37,"u")+COUNTIF($E37:V37,"t")+COUNTIF($E37:V37,"¶")+COUNTIF($E37:V37,"²")+COUNTIF($E37:V37,"µ")+COUNTIF($E37:V37,1),ColLivraison)=W$6,
  VLOOKUP($E37,INDIRECT("tri!"&amp; CHAR(64+ C0Col) &amp;":"&amp; CHAR(65+C0Col)),2,FALSE)&gt;COUNTIF($E37:V37,"u")+COUNTIF($E37:V37,"t")+COUNTIF($E37:V37,"¶")+COUNTIF($E37:V37,"²")+COUNTIF($E37:V37,"µ")+COUNTIF($E37:V37,1)),
HYPERLINK("#Roadmap!C"&amp; MATCH($E37,Roadmap!$D:$D,0)+COUNTIF($E37:V37,"u")+COUNTIF($E37:V37,"t"),
     INDEX(Roadmap!$D:$K,MATCH($E37,Roadmap!$D:$D,0)+COUNTIF($E37:V37,"u")+COUNTIF($E37:V37,"t")+COUNTIF($E37:V37,"¶")+COUNTIF($E37:V37,"²")+COUNTIF($E37:V37,"µ")+COUNTIF($E37:V37,1),ColTypeEcheance)),
  IF(LEN(V37)=1,
  IF(LEN(INDEX(Roadmap!$D:$K,MATCH($E37,Roadmap!$D:$D,0)-1+COUNTIF($E37:V37,"u")+COUNTIF($E37:V37,"t")+COUNTIF($E37:V37,"¶")+COUNTIF($E37:V37,"²")+COUNTIF($E37:V37,"µ")+COUNTIF($E37:V37,1),ColDescriptionCourte))&gt;1,
HYPERLINK("#Roadmap!C"&amp; MATCH($E37,Roadmap!$D:$D,0)+COUNTIF($E37:V37,"u")+COUNTIF($E37:V37,"t")+COUNTIF($E37:V37,"¶")+COUNTIF($E37:V37,"²")+COUNTIF($E37:V37,"µ")+COUNTIF($E37:V37,1)-1,INDEX(Roadmap!$D:$K,MATCH($E37,Roadmap!$D:$D,0)-1+COUNTIF($E37:V37,"u")+COUNTIF($E37:V37,"t")+COUNTIF($E37:V37,"¶")+COUNTIF($E37:V37,"²")+COUNTIF($E37:V37,"µ")+COUNTIF($E37:V37,1),ColDescriptionCourte)),""),
  "")),"")</f>
        <v/>
      </c>
      <c r="X37" s="40" t="str">
        <f ca="1">IFERROR(IF(AND(
  INDEX(Roadmap!$D:$K,MATCH($E37,Roadmap!$D:$D,0)+COUNTIF($E37:W37,"u")+COUNTIF($E37:W37,"t")+COUNTIF($E37:W37,"¶")+COUNTIF($E37:W37,"²")+COUNTIF($E37:W37,"µ")+COUNTIF($E37:W37,1),ColLivraison)=X$6,
  VLOOKUP($E37,INDIRECT("tri!"&amp; CHAR(64+ C0Col) &amp;":"&amp; CHAR(65+C0Col)),2,FALSE)&gt;COUNTIF($E37:W37,"u")+COUNTIF($E37:W37,"t")+COUNTIF($E37:W37,"¶")+COUNTIF($E37:W37,"²")+COUNTIF($E37:W37,"µ")+COUNTIF($E37:W37,1)),
HYPERLINK("#Roadmap!C"&amp; MATCH($E37,Roadmap!$D:$D,0)+COUNTIF($E37:W37,"u")+COUNTIF($E37:W37,"t"),
     INDEX(Roadmap!$D:$K,MATCH($E37,Roadmap!$D:$D,0)+COUNTIF($E37:W37,"u")+COUNTIF($E37:W37,"t")+COUNTIF($E37:W37,"¶")+COUNTIF($E37:W37,"²")+COUNTIF($E37:W37,"µ")+COUNTIF($E37:W37,1),ColTypeEcheance)),
  IF(LEN(W37)=1,
  IF(LEN(INDEX(Roadmap!$D:$K,MATCH($E37,Roadmap!$D:$D,0)-1+COUNTIF($E37:W37,"u")+COUNTIF($E37:W37,"t")+COUNTIF($E37:W37,"¶")+COUNTIF($E37:W37,"²")+COUNTIF($E37:W37,"µ")+COUNTIF($E37:W37,1),ColDescriptionCourte))&gt;1,
HYPERLINK("#Roadmap!C"&amp; MATCH($E37,Roadmap!$D:$D,0)+COUNTIF($E37:W37,"u")+COUNTIF($E37:W37,"t")+COUNTIF($E37:W37,"¶")+COUNTIF($E37:W37,"²")+COUNTIF($E37:W37,"µ")+COUNTIF($E37:W37,1)-1,INDEX(Roadmap!$D:$K,MATCH($E37,Roadmap!$D:$D,0)-1+COUNTIF($E37:W37,"u")+COUNTIF($E37:W37,"t")+COUNTIF($E37:W37,"¶")+COUNTIF($E37:W37,"²")+COUNTIF($E37:W37,"µ")+COUNTIF($E37:W37,1),ColDescriptionCourte)),""),
  "")),"")</f>
        <v/>
      </c>
      <c r="Y37" s="40" t="str">
        <f ca="1">IFERROR(IF(AND(
  INDEX(Roadmap!$D:$K,MATCH($E37,Roadmap!$D:$D,0)+COUNTIF($E37:X37,"u")+COUNTIF($E37:X37,"t")+COUNTIF($E37:X37,"¶")+COUNTIF($E37:X37,"²")+COUNTIF($E37:X37,"µ")+COUNTIF($E37:X37,1),ColLivraison)=Y$6,
  VLOOKUP($E37,INDIRECT("tri!"&amp; CHAR(64+ C0Col) &amp;":"&amp; CHAR(65+C0Col)),2,FALSE)&gt;COUNTIF($E37:X37,"u")+COUNTIF($E37:X37,"t")+COUNTIF($E37:X37,"¶")+COUNTIF($E37:X37,"²")+COUNTIF($E37:X37,"µ")+COUNTIF($E37:X37,1)),
HYPERLINK("#Roadmap!C"&amp; MATCH($E37,Roadmap!$D:$D,0)+COUNTIF($E37:X37,"u")+COUNTIF($E37:X37,"t"),
     INDEX(Roadmap!$D:$K,MATCH($E37,Roadmap!$D:$D,0)+COUNTIF($E37:X37,"u")+COUNTIF($E37:X37,"t")+COUNTIF($E37:X37,"¶")+COUNTIF($E37:X37,"²")+COUNTIF($E37:X37,"µ")+COUNTIF($E37:X37,1),ColTypeEcheance)),
  IF(LEN(X37)=1,
  IF(LEN(INDEX(Roadmap!$D:$K,MATCH($E37,Roadmap!$D:$D,0)-1+COUNTIF($E37:X37,"u")+COUNTIF($E37:X37,"t")+COUNTIF($E37:X37,"¶")+COUNTIF($E37:X37,"²")+COUNTIF($E37:X37,"µ")+COUNTIF($E37:X37,1),ColDescriptionCourte))&gt;1,
HYPERLINK("#Roadmap!C"&amp; MATCH($E37,Roadmap!$D:$D,0)+COUNTIF($E37:X37,"u")+COUNTIF($E37:X37,"t")+COUNTIF($E37:X37,"¶")+COUNTIF($E37:X37,"²")+COUNTIF($E37:X37,"µ")+COUNTIF($E37:X37,1)-1,INDEX(Roadmap!$D:$K,MATCH($E37,Roadmap!$D:$D,0)-1+COUNTIF($E37:X37,"u")+COUNTIF($E37:X37,"t")+COUNTIF($E37:X37,"¶")+COUNTIF($E37:X37,"²")+COUNTIF($E37:X37,"µ")+COUNTIF($E37:X37,1),ColDescriptionCourte)),""),
  "")),"")</f>
        <v/>
      </c>
      <c r="Z37" s="40" t="str">
        <f ca="1">IFERROR(IF(AND(
  INDEX(Roadmap!$D:$K,MATCH($E37,Roadmap!$D:$D,0)+COUNTIF($E37:Y37,"u")+COUNTIF($E37:Y37,"t")+COUNTIF($E37:Y37,"¶")+COUNTIF($E37:Y37,"²")+COUNTIF($E37:Y37,"µ")+COUNTIF($E37:Y37,1),ColLivraison)=Z$6,
  VLOOKUP($E37,INDIRECT("tri!"&amp; CHAR(64+ C0Col) &amp;":"&amp; CHAR(65+C0Col)),2,FALSE)&gt;COUNTIF($E37:Y37,"u")+COUNTIF($E37:Y37,"t")+COUNTIF($E37:Y37,"¶")+COUNTIF($E37:Y37,"²")+COUNTIF($E37:Y37,"µ")+COUNTIF($E37:Y37,1)),
HYPERLINK("#Roadmap!C"&amp; MATCH($E37,Roadmap!$D:$D,0)+COUNTIF($E37:Y37,"u")+COUNTIF($E37:Y37,"t"),
     INDEX(Roadmap!$D:$K,MATCH($E37,Roadmap!$D:$D,0)+COUNTIF($E37:Y37,"u")+COUNTIF($E37:Y37,"t")+COUNTIF($E37:Y37,"¶")+COUNTIF($E37:Y37,"²")+COUNTIF($E37:Y37,"µ")+COUNTIF($E37:Y37,1),ColTypeEcheance)),
  IF(LEN(Y37)=1,
  IF(LEN(INDEX(Roadmap!$D:$K,MATCH($E37,Roadmap!$D:$D,0)-1+COUNTIF($E37:Y37,"u")+COUNTIF($E37:Y37,"t")+COUNTIF($E37:Y37,"¶")+COUNTIF($E37:Y37,"²")+COUNTIF($E37:Y37,"µ")+COUNTIF($E37:Y37,1),ColDescriptionCourte))&gt;1,
HYPERLINK("#Roadmap!C"&amp; MATCH($E37,Roadmap!$D:$D,0)+COUNTIF($E37:Y37,"u")+COUNTIF($E37:Y37,"t")+COUNTIF($E37:Y37,"¶")+COUNTIF($E37:Y37,"²")+COUNTIF($E37:Y37,"µ")+COUNTIF($E37:Y37,1)-1,INDEX(Roadmap!$D:$K,MATCH($E37,Roadmap!$D:$D,0)-1+COUNTIF($E37:Y37,"u")+COUNTIF($E37:Y37,"t")+COUNTIF($E37:Y37,"¶")+COUNTIF($E37:Y37,"²")+COUNTIF($E37:Y37,"µ")+COUNTIF($E37:Y37,1),ColDescriptionCourte)),""),
  "")),"")</f>
        <v/>
      </c>
      <c r="AA37" s="40" t="str">
        <f ca="1">IFERROR(IF(AND(
  INDEX(Roadmap!$D:$K,MATCH($E37,Roadmap!$D:$D,0)+COUNTIF($E37:Z37,"u")+COUNTIF($E37:Z37,"t")+COUNTIF($E37:Z37,"¶")+COUNTIF($E37:Z37,"²")+COUNTIF($E37:Z37,"µ")+COUNTIF($E37:Z37,1),ColLivraison)=AA$6,
  VLOOKUP($E37,INDIRECT("tri!"&amp; CHAR(64+ C0Col) &amp;":"&amp; CHAR(65+C0Col)),2,FALSE)&gt;COUNTIF($E37:Z37,"u")+COUNTIF($E37:Z37,"t")+COUNTIF($E37:Z37,"¶")+COUNTIF($E37:Z37,"²")+COUNTIF($E37:Z37,"µ")+COUNTIF($E37:Z37,1)),
HYPERLINK("#Roadmap!C"&amp; MATCH($E37,Roadmap!$D:$D,0)+COUNTIF($E37:Z37,"u")+COUNTIF($E37:Z37,"t"),
     INDEX(Roadmap!$D:$K,MATCH($E37,Roadmap!$D:$D,0)+COUNTIF($E37:Z37,"u")+COUNTIF($E37:Z37,"t")+COUNTIF($E37:Z37,"¶")+COUNTIF($E37:Z37,"²")+COUNTIF($E37:Z37,"µ")+COUNTIF($E37:Z37,1),ColTypeEcheance)),
  IF(LEN(Z37)=1,
  IF(LEN(INDEX(Roadmap!$D:$K,MATCH($E37,Roadmap!$D:$D,0)-1+COUNTIF($E37:Z37,"u")+COUNTIF($E37:Z37,"t")+COUNTIF($E37:Z37,"¶")+COUNTIF($E37:Z37,"²")+COUNTIF($E37:Z37,"µ")+COUNTIF($E37:Z37,1),ColDescriptionCourte))&gt;1,
HYPERLINK("#Roadmap!C"&amp; MATCH($E37,Roadmap!$D:$D,0)+COUNTIF($E37:Z37,"u")+COUNTIF($E37:Z37,"t")+COUNTIF($E37:Z37,"¶")+COUNTIF($E37:Z37,"²")+COUNTIF($E37:Z37,"µ")+COUNTIF($E37:Z37,1)-1,INDEX(Roadmap!$D:$K,MATCH($E37,Roadmap!$D:$D,0)-1+COUNTIF($E37:Z37,"u")+COUNTIF($E37:Z37,"t")+COUNTIF($E37:Z37,"¶")+COUNTIF($E37:Z37,"²")+COUNTIF($E37:Z37,"µ")+COUNTIF($E37:Z37,1),ColDescriptionCourte)),""),
  "")),"")</f>
        <v/>
      </c>
      <c r="AB37" s="40" t="str">
        <f ca="1">IFERROR(IF(AND(
  INDEX(Roadmap!$D:$K,MATCH($E37,Roadmap!$D:$D,0)+COUNTIF($E37:AA37,"u")+COUNTIF($E37:AA37,"t")+COUNTIF($E37:AA37,"¶")+COUNTIF($E37:AA37,"²")+COUNTIF($E37:AA37,"µ")+COUNTIF($E37:AA37,1),ColLivraison)=AB$6,
  VLOOKUP($E37,INDIRECT("tri!"&amp; CHAR(64+ C0Col) &amp;":"&amp; CHAR(65+C0Col)),2,FALSE)&gt;COUNTIF($E37:AA37,"u")+COUNTIF($E37:AA37,"t")+COUNTIF($E37:AA37,"¶")+COUNTIF($E37:AA37,"²")+COUNTIF($E37:AA37,"µ")+COUNTIF($E37:AA37,1)),
HYPERLINK("#Roadmap!C"&amp; MATCH($E37,Roadmap!$D:$D,0)+COUNTIF($E37:AA37,"u")+COUNTIF($E37:AA37,"t"),
     INDEX(Roadmap!$D:$K,MATCH($E37,Roadmap!$D:$D,0)+COUNTIF($E37:AA37,"u")+COUNTIF($E37:AA37,"t")+COUNTIF($E37:AA37,"¶")+COUNTIF($E37:AA37,"²")+COUNTIF($E37:AA37,"µ")+COUNTIF($E37:AA37,1),ColTypeEcheance)),
  IF(LEN(AA37)=1,
  IF(LEN(INDEX(Roadmap!$D:$K,MATCH($E37,Roadmap!$D:$D,0)-1+COUNTIF($E37:AA37,"u")+COUNTIF($E37:AA37,"t")+COUNTIF($E37:AA37,"¶")+COUNTIF($E37:AA37,"²")+COUNTIF($E37:AA37,"µ")+COUNTIF($E37:AA37,1),ColDescriptionCourte))&gt;1,
HYPERLINK("#Roadmap!C"&amp; MATCH($E37,Roadmap!$D:$D,0)+COUNTIF($E37:AA37,"u")+COUNTIF($E37:AA37,"t")+COUNTIF($E37:AA37,"¶")+COUNTIF($E37:AA37,"²")+COUNTIF($E37:AA37,"µ")+COUNTIF($E37:AA37,1)-1,INDEX(Roadmap!$D:$K,MATCH($E37,Roadmap!$D:$D,0)-1+COUNTIF($E37:AA37,"u")+COUNTIF($E37:AA37,"t")+COUNTIF($E37:AA37,"¶")+COUNTIF($E37:AA37,"²")+COUNTIF($E37:AA37,"µ")+COUNTIF($E37:AA37,1),ColDescriptionCourte)),""),
  "")),"")</f>
        <v/>
      </c>
      <c r="AC37" s="40" t="str">
        <f ca="1">IFERROR(IF(AND(
  INDEX(Roadmap!$D:$K,MATCH($E37,Roadmap!$D:$D,0)+COUNTIF($E37:AB37,"u")+COUNTIF($E37:AB37,"t")+COUNTIF($E37:AB37,"¶")+COUNTIF($E37:AB37,"²")+COUNTIF($E37:AB37,"µ")+COUNTIF($E37:AB37,1),ColLivraison)=AC$6,
  VLOOKUP($E37,INDIRECT("tri!"&amp; CHAR(64+ C0Col) &amp;":"&amp; CHAR(65+C0Col)),2,FALSE)&gt;COUNTIF($E37:AB37,"u")+COUNTIF($E37:AB37,"t")+COUNTIF($E37:AB37,"¶")+COUNTIF($E37:AB37,"²")+COUNTIF($E37:AB37,"µ")+COUNTIF($E37:AB37,1)),
HYPERLINK("#Roadmap!C"&amp; MATCH($E37,Roadmap!$D:$D,0)+COUNTIF($E37:AB37,"u")+COUNTIF($E37:AB37,"t"),
     INDEX(Roadmap!$D:$K,MATCH($E37,Roadmap!$D:$D,0)+COUNTIF($E37:AB37,"u")+COUNTIF($E37:AB37,"t")+COUNTIF($E37:AB37,"¶")+COUNTIF($E37:AB37,"²")+COUNTIF($E37:AB37,"µ")+COUNTIF($E37:AB37,1),ColTypeEcheance)),
  IF(LEN(AB37)=1,
  IF(LEN(INDEX(Roadmap!$D:$K,MATCH($E37,Roadmap!$D:$D,0)-1+COUNTIF($E37:AB37,"u")+COUNTIF($E37:AB37,"t")+COUNTIF($E37:AB37,"¶")+COUNTIF($E37:AB37,"²")+COUNTIF($E37:AB37,"µ")+COUNTIF($E37:AB37,1),ColDescriptionCourte))&gt;1,
HYPERLINK("#Roadmap!C"&amp; MATCH($E37,Roadmap!$D:$D,0)+COUNTIF($E37:AB37,"u")+COUNTIF($E37:AB37,"t")+COUNTIF($E37:AB37,"¶")+COUNTIF($E37:AB37,"²")+COUNTIF($E37:AB37,"µ")+COUNTIF($E37:AB37,1)-1,INDEX(Roadmap!$D:$K,MATCH($E37,Roadmap!$D:$D,0)-1+COUNTIF($E37:AB37,"u")+COUNTIF($E37:AB37,"t")+COUNTIF($E37:AB37,"¶")+COUNTIF($E37:AB37,"²")+COUNTIF($E37:AB37,"µ")+COUNTIF($E37:AB37,1),ColDescriptionCourte)),""),
  "")),"")</f>
        <v/>
      </c>
      <c r="AD37" s="40" t="str">
        <f ca="1">IFERROR(IF(AND(
  INDEX(Roadmap!$D:$K,MATCH($E37,Roadmap!$D:$D,0)+COUNTIF($E37:AC37,"u")+COUNTIF($E37:AC37,"t")+COUNTIF($E37:AC37,"¶")+COUNTIF($E37:AC37,"²")+COUNTIF($E37:AC37,"µ")+COUNTIF($E37:AC37,1),ColLivraison)=AD$6,
  VLOOKUP($E37,INDIRECT("tri!"&amp; CHAR(64+ C0Col) &amp;":"&amp; CHAR(65+C0Col)),2,FALSE)&gt;COUNTIF($E37:AC37,"u")+COUNTIF($E37:AC37,"t")+COUNTIF($E37:AC37,"¶")+COUNTIF($E37:AC37,"²")+COUNTIF($E37:AC37,"µ")+COUNTIF($E37:AC37,1)),
HYPERLINK("#Roadmap!C"&amp; MATCH($E37,Roadmap!$D:$D,0)+COUNTIF($E37:AC37,"u")+COUNTIF($E37:AC37,"t"),
     INDEX(Roadmap!$D:$K,MATCH($E37,Roadmap!$D:$D,0)+COUNTIF($E37:AC37,"u")+COUNTIF($E37:AC37,"t")+COUNTIF($E37:AC37,"¶")+COUNTIF($E37:AC37,"²")+COUNTIF($E37:AC37,"µ")+COUNTIF($E37:AC37,1),ColTypeEcheance)),
  IF(LEN(AC37)=1,
  IF(LEN(INDEX(Roadmap!$D:$K,MATCH($E37,Roadmap!$D:$D,0)-1+COUNTIF($E37:AC37,"u")+COUNTIF($E37:AC37,"t")+COUNTIF($E37:AC37,"¶")+COUNTIF($E37:AC37,"²")+COUNTIF($E37:AC37,"µ")+COUNTIF($E37:AC37,1),ColDescriptionCourte))&gt;1,
HYPERLINK("#Roadmap!C"&amp; MATCH($E37,Roadmap!$D:$D,0)+COUNTIF($E37:AC37,"u")+COUNTIF($E37:AC37,"t")+COUNTIF($E37:AC37,"¶")+COUNTIF($E37:AC37,"²")+COUNTIF($E37:AC37,"µ")+COUNTIF($E37:AC37,1)-1,INDEX(Roadmap!$D:$K,MATCH($E37,Roadmap!$D:$D,0)-1+COUNTIF($E37:AC37,"u")+COUNTIF($E37:AC37,"t")+COUNTIF($E37:AC37,"¶")+COUNTIF($E37:AC37,"²")+COUNTIF($E37:AC37,"µ")+COUNTIF($E37:AC37,1),ColDescriptionCourte)),""),
  "")),"")</f>
        <v/>
      </c>
      <c r="AE37" s="40" t="str">
        <f ca="1">IFERROR(IF(AND(
  INDEX(Roadmap!$D:$K,MATCH($E37,Roadmap!$D:$D,0)+COUNTIF($E37:AD37,"u")+COUNTIF($E37:AD37,"t")+COUNTIF($E37:AD37,"¶")+COUNTIF($E37:AD37,"²")+COUNTIF($E37:AD37,"µ")+COUNTIF($E37:AD37,1),ColLivraison)=AE$6,
  VLOOKUP($E37,INDIRECT("tri!"&amp; CHAR(64+ C0Col) &amp;":"&amp; CHAR(65+C0Col)),2,FALSE)&gt;COUNTIF($E37:AD37,"u")+COUNTIF($E37:AD37,"t")+COUNTIF($E37:AD37,"¶")+COUNTIF($E37:AD37,"²")+COUNTIF($E37:AD37,"µ")+COUNTIF($E37:AD37,1)),
HYPERLINK("#Roadmap!C"&amp; MATCH($E37,Roadmap!$D:$D,0)+COUNTIF($E37:AD37,"u")+COUNTIF($E37:AD37,"t"),
     INDEX(Roadmap!$D:$K,MATCH($E37,Roadmap!$D:$D,0)+COUNTIF($E37:AD37,"u")+COUNTIF($E37:AD37,"t")+COUNTIF($E37:AD37,"¶")+COUNTIF($E37:AD37,"²")+COUNTIF($E37:AD37,"µ")+COUNTIF($E37:AD37,1),ColTypeEcheance)),
  IF(LEN(AD37)=1,
  IF(LEN(INDEX(Roadmap!$D:$K,MATCH($E37,Roadmap!$D:$D,0)-1+COUNTIF($E37:AD37,"u")+COUNTIF($E37:AD37,"t")+COUNTIF($E37:AD37,"¶")+COUNTIF($E37:AD37,"²")+COUNTIF($E37:AD37,"µ")+COUNTIF($E37:AD37,1),ColDescriptionCourte))&gt;1,
HYPERLINK("#Roadmap!C"&amp; MATCH($E37,Roadmap!$D:$D,0)+COUNTIF($E37:AD37,"u")+COUNTIF($E37:AD37,"t")+COUNTIF($E37:AD37,"¶")+COUNTIF($E37:AD37,"²")+COUNTIF($E37:AD37,"µ")+COUNTIF($E37:AD37,1)-1,INDEX(Roadmap!$D:$K,MATCH($E37,Roadmap!$D:$D,0)-1+COUNTIF($E37:AD37,"u")+COUNTIF($E37:AD37,"t")+COUNTIF($E37:AD37,"¶")+COUNTIF($E37:AD37,"²")+COUNTIF($E37:AD37,"µ")+COUNTIF($E37:AD37,1),ColDescriptionCourte)),""),
  "")),"")</f>
        <v/>
      </c>
      <c r="AF37" s="40" t="str">
        <f ca="1">IFERROR(IF(AND(
  INDEX(Roadmap!$D:$K,MATCH($E37,Roadmap!$D:$D,0)+COUNTIF($E37:AE37,"u")+COUNTIF($E37:AE37,"t")+COUNTIF($E37:AE37,"¶")+COUNTIF($E37:AE37,"²")+COUNTIF($E37:AE37,"µ")+COUNTIF($E37:AE37,1),ColLivraison)=AF$6,
  VLOOKUP($E37,INDIRECT("tri!"&amp; CHAR(64+ C0Col) &amp;":"&amp; CHAR(65+C0Col)),2,FALSE)&gt;COUNTIF($E37:AE37,"u")+COUNTIF($E37:AE37,"t")+COUNTIF($E37:AE37,"¶")+COUNTIF($E37:AE37,"²")+COUNTIF($E37:AE37,"µ")+COUNTIF($E37:AE37,1)),
HYPERLINK("#Roadmap!C"&amp; MATCH($E37,Roadmap!$D:$D,0)+COUNTIF($E37:AE37,"u")+COUNTIF($E37:AE37,"t"),
     INDEX(Roadmap!$D:$K,MATCH($E37,Roadmap!$D:$D,0)+COUNTIF($E37:AE37,"u")+COUNTIF($E37:AE37,"t")+COUNTIF($E37:AE37,"¶")+COUNTIF($E37:AE37,"²")+COUNTIF($E37:AE37,"µ")+COUNTIF($E37:AE37,1),ColTypeEcheance)),
  IF(LEN(AE37)=1,
  IF(LEN(INDEX(Roadmap!$D:$K,MATCH($E37,Roadmap!$D:$D,0)-1+COUNTIF($E37:AE37,"u")+COUNTIF($E37:AE37,"t")+COUNTIF($E37:AE37,"¶")+COUNTIF($E37:AE37,"²")+COUNTIF($E37:AE37,"µ")+COUNTIF($E37:AE37,1),ColDescriptionCourte))&gt;1,
HYPERLINK("#Roadmap!C"&amp; MATCH($E37,Roadmap!$D:$D,0)+COUNTIF($E37:AE37,"u")+COUNTIF($E37:AE37,"t")+COUNTIF($E37:AE37,"¶")+COUNTIF($E37:AE37,"²")+COUNTIF($E37:AE37,"µ")+COUNTIF($E37:AE37,1)-1,INDEX(Roadmap!$D:$K,MATCH($E37,Roadmap!$D:$D,0)-1+COUNTIF($E37:AE37,"u")+COUNTIF($E37:AE37,"t")+COUNTIF($E37:AE37,"¶")+COUNTIF($E37:AE37,"²")+COUNTIF($E37:AE37,"µ")+COUNTIF($E37:AE37,1),ColDescriptionCourte)),""),
  "")),"")</f>
        <v/>
      </c>
      <c r="AG37" s="40" t="str">
        <f ca="1">IFERROR(IF(AND(
  INDEX(Roadmap!$D:$K,MATCH($E37,Roadmap!$D:$D,0)+COUNTIF($E37:AF37,"u")+COUNTIF($E37:AF37,"t")+COUNTIF($E37:AF37,"¶")+COUNTIF($E37:AF37,"²")+COUNTIF($E37:AF37,"µ")+COUNTIF($E37:AF37,1),ColLivraison)=AG$6,
  VLOOKUP($E37,INDIRECT("tri!"&amp; CHAR(64+ C0Col) &amp;":"&amp; CHAR(65+C0Col)),2,FALSE)&gt;COUNTIF($E37:AF37,"u")+COUNTIF($E37:AF37,"t")+COUNTIF($E37:AF37,"¶")+COUNTIF($E37:AF37,"²")+COUNTIF($E37:AF37,"µ")+COUNTIF($E37:AF37,1)),
HYPERLINK("#Roadmap!C"&amp; MATCH($E37,Roadmap!$D:$D,0)+COUNTIF($E37:AF37,"u")+COUNTIF($E37:AF37,"t"),
     INDEX(Roadmap!$D:$K,MATCH($E37,Roadmap!$D:$D,0)+COUNTIF($E37:AF37,"u")+COUNTIF($E37:AF37,"t")+COUNTIF($E37:AF37,"¶")+COUNTIF($E37:AF37,"²")+COUNTIF($E37:AF37,"µ")+COUNTIF($E37:AF37,1),ColTypeEcheance)),
  IF(LEN(AF37)=1,
  IF(LEN(INDEX(Roadmap!$D:$K,MATCH($E37,Roadmap!$D:$D,0)-1+COUNTIF($E37:AF37,"u")+COUNTIF($E37:AF37,"t")+COUNTIF($E37:AF37,"¶")+COUNTIF($E37:AF37,"²")+COUNTIF($E37:AF37,"µ")+COUNTIF($E37:AF37,1),ColDescriptionCourte))&gt;1,
HYPERLINK("#Roadmap!C"&amp; MATCH($E37,Roadmap!$D:$D,0)+COUNTIF($E37:AF37,"u")+COUNTIF($E37:AF37,"t")+COUNTIF($E37:AF37,"¶")+COUNTIF($E37:AF37,"²")+COUNTIF($E37:AF37,"µ")+COUNTIF($E37:AF37,1)-1,INDEX(Roadmap!$D:$K,MATCH($E37,Roadmap!$D:$D,0)-1+COUNTIF($E37:AF37,"u")+COUNTIF($E37:AF37,"t")+COUNTIF($E37:AF37,"¶")+COUNTIF($E37:AF37,"²")+COUNTIF($E37:AF37,"µ")+COUNTIF($E37:AF37,1),ColDescriptionCourte)),""),
  "")),"")</f>
        <v/>
      </c>
    </row>
    <row r="38" spans="3:33" ht="14.25" customHeight="1">
      <c r="C38" s="1" t="str">
        <f t="shared" ca="1" si="42"/>
        <v/>
      </c>
      <c r="D38" s="1" t="str">
        <f t="shared" ca="1" si="43"/>
        <v/>
      </c>
      <c r="E38" s="35" t="str">
        <f t="shared" ca="1" si="33"/>
        <v/>
      </c>
      <c r="F38" s="39" t="str">
        <f ca="1">IFERROR(IF(AND(
  INDEX(Roadmap!$D:$K,MATCH($E38,Roadmap!$D:$D,0)+COUNTIF($E38:E38,"u")+COUNTIF($E38:E38,"t")+COUNTIF($E38:E38,"¶")+COUNTIF($E38:E38,"²")+COUNTIF($E38:E38,"µ")+COUNTIF($E38:E38,1),ColLivraison)=F$6,
  VLOOKUP($E38,INDIRECT("tri!"&amp; CHAR(64+ C0Col) &amp;":"&amp; CHAR(65+C0Col)),2,FALSE)&gt;COUNTIF($E38:E38,"u")+COUNTIF($E38:E38,"t")+COUNTIF($E38:E38,"¶")+COUNTIF($E38:E38,"²")+COUNTIF($E38:E38,"µ")+COUNTIF($E38:E38,1)),
HYPERLINK("#Roadmap!C"&amp; MATCH($E38,Roadmap!$D:$D,0)+COUNTIF($E38:E38,"u")+COUNTIF($E38:E38,"t"),
     INDEX(Roadmap!$D:$K,MATCH($E38,Roadmap!$D:$D,0)+COUNTIF($E38:E38,"u")+COUNTIF($E38:E38,"t")+COUNTIF($E38:E38,"¶")+COUNTIF($E38:E38,"²")+COUNTIF($E38:E38,"µ")+COUNTIF($E38:E38,1),ColTypeEcheance)),
  IF(LEN(E38)=1,
  IF(LEN(INDEX(Roadmap!$D:$K,MATCH($E38,Roadmap!$D:$D,0)-1+COUNTIF($E38:E38,"u")+COUNTIF($E38:E38,"t")+COUNTIF($E38:E38,"¶")+COUNTIF($E38:E38,"²")+COUNTIF($E38:E38,"µ")+COUNTIF($E38:E38,1),ColDescriptionCourte))&gt;1,
HYPERLINK("#Roadmap!C"&amp; MATCH($E38,Roadmap!$D:$D,0)+COUNTIF($E38:E38,"u")+COUNTIF($E38:E38,"t")+COUNTIF($E38:E38,"¶")+COUNTIF($E38:E38,"²")+COUNTIF($E38:E38,"µ")+COUNTIF($E38:E38,1)-1,INDEX(Roadmap!$D:$K,MATCH($E38,Roadmap!$D:$D,0)-1+COUNTIF($E38:E38,"u")+COUNTIF($E38:E38,"t")+COUNTIF($E38:E38,"¶")+COUNTIF($E38:E38,"²")+COUNTIF($E38:E38,"µ")+COUNTIF($E38:E38,1),ColDescriptionCourte)),""),
  "")),"")</f>
        <v/>
      </c>
      <c r="G38" s="40" t="str">
        <f ca="1">IFERROR(IF(AND(
  INDEX(Roadmap!$D:$K,MATCH($E38,Roadmap!$D:$D,0)+COUNTIF($E38:F38,"u")+COUNTIF($E38:F38,"t")+COUNTIF($E38:F38,"¶")+COUNTIF($E38:F38,"²")+COUNTIF($E38:F38,"µ")+COUNTIF($E38:F38,1),ColLivraison)=G$6,
  VLOOKUP($E38,INDIRECT("tri!"&amp; CHAR(64+ C0Col) &amp;":"&amp; CHAR(65+C0Col)),2,FALSE)&gt;COUNTIF($E38:F38,"u")+COUNTIF($E38:F38,"t")+COUNTIF($E38:F38,"¶")+COUNTIF($E38:F38,"²")+COUNTIF($E38:F38,"µ")+COUNTIF($E38:F38,1)),
HYPERLINK("#Roadmap!C"&amp; MATCH($E38,Roadmap!$D:$D,0)+COUNTIF($E38:F38,"u")+COUNTIF($E38:F38,"t"),
     INDEX(Roadmap!$D:$K,MATCH($E38,Roadmap!$D:$D,0)+COUNTIF($E38:F38,"u")+COUNTIF($E38:F38,"t")+COUNTIF($E38:F38,"¶")+COUNTIF($E38:F38,"²")+COUNTIF($E38:F38,"µ")+COUNTIF($E38:F38,1),ColTypeEcheance)),
  IF(LEN(F38)=1,
  IF(LEN(INDEX(Roadmap!$D:$K,MATCH($E38,Roadmap!$D:$D,0)-1+COUNTIF($E38:F38,"u")+COUNTIF($E38:F38,"t")+COUNTIF($E38:F38,"¶")+COUNTIF($E38:F38,"²")+COUNTIF($E38:F38,"µ")+COUNTIF($E38:F38,1),ColDescriptionCourte))&gt;1,
HYPERLINK("#Roadmap!C"&amp; MATCH($E38,Roadmap!$D:$D,0)+COUNTIF($E38:F38,"u")+COUNTIF($E38:F38,"t")+COUNTIF($E38:F38,"¶")+COUNTIF($E38:F38,"²")+COUNTIF($E38:F38,"µ")+COUNTIF($E38:F38,1)-1,INDEX(Roadmap!$D:$K,MATCH($E38,Roadmap!$D:$D,0)-1+COUNTIF($E38:F38,"u")+COUNTIF($E38:F38,"t")+COUNTIF($E38:F38,"¶")+COUNTIF($E38:F38,"²")+COUNTIF($E38:F38,"µ")+COUNTIF($E38:F38,1),ColDescriptionCourte)),""),
  "")),"")</f>
        <v/>
      </c>
      <c r="H38" s="40" t="str">
        <f ca="1">IFERROR(IF(AND(
  INDEX(Roadmap!$D:$K,MATCH($E38,Roadmap!$D:$D,0)+COUNTIF($E38:G38,"u")+COUNTIF($E38:G38,"t")+COUNTIF($E38:G38,"¶")+COUNTIF($E38:G38,"²")+COUNTIF($E38:G38,"µ")+COUNTIF($E38:G38,1),ColLivraison)=H$6,
  VLOOKUP($E38,INDIRECT("tri!"&amp; CHAR(64+ C0Col) &amp;":"&amp; CHAR(65+C0Col)),2,FALSE)&gt;COUNTIF($E38:G38,"u")+COUNTIF($E38:G38,"t")+COUNTIF($E38:G38,"¶")+COUNTIF($E38:G38,"²")+COUNTIF($E38:G38,"µ")+COUNTIF($E38:G38,1)),
HYPERLINK("#Roadmap!C"&amp; MATCH($E38,Roadmap!$D:$D,0)+COUNTIF($E38:G38,"u")+COUNTIF($E38:G38,"t"),
     INDEX(Roadmap!$D:$K,MATCH($E38,Roadmap!$D:$D,0)+COUNTIF($E38:G38,"u")+COUNTIF($E38:G38,"t")+COUNTIF($E38:G38,"¶")+COUNTIF($E38:G38,"²")+COUNTIF($E38:G38,"µ")+COUNTIF($E38:G38,1),ColTypeEcheance)),
  IF(LEN(G38)=1,
  IF(LEN(INDEX(Roadmap!$D:$K,MATCH($E38,Roadmap!$D:$D,0)-1+COUNTIF($E38:G38,"u")+COUNTIF($E38:G38,"t")+COUNTIF($E38:G38,"¶")+COUNTIF($E38:G38,"²")+COUNTIF($E38:G38,"µ")+COUNTIF($E38:G38,1),ColDescriptionCourte))&gt;1,
HYPERLINK("#Roadmap!C"&amp; MATCH($E38,Roadmap!$D:$D,0)+COUNTIF($E38:G38,"u")+COUNTIF($E38:G38,"t")+COUNTIF($E38:G38,"¶")+COUNTIF($E38:G38,"²")+COUNTIF($E38:G38,"µ")+COUNTIF($E38:G38,1)-1,INDEX(Roadmap!$D:$K,MATCH($E38,Roadmap!$D:$D,0)-1+COUNTIF($E38:G38,"u")+COUNTIF($E38:G38,"t")+COUNTIF($E38:G38,"¶")+COUNTIF($E38:G38,"²")+COUNTIF($E38:G38,"µ")+COUNTIF($E38:G38,1),ColDescriptionCourte)),""),
  "")),"")</f>
        <v/>
      </c>
      <c r="I38" s="40" t="str">
        <f ca="1">IFERROR(IF(AND(
  INDEX(Roadmap!$D:$K,MATCH($E38,Roadmap!$D:$D,0)+COUNTIF($E38:H38,"u")+COUNTIF($E38:H38,"t")+COUNTIF($E38:H38,"¶")+COUNTIF($E38:H38,"²")+COUNTIF($E38:H38,"µ")+COUNTIF($E38:H38,1),ColLivraison)=I$6,
  VLOOKUP($E38,INDIRECT("tri!"&amp; CHAR(64+ C0Col) &amp;":"&amp; CHAR(65+C0Col)),2,FALSE)&gt;COUNTIF($E38:H38,"u")+COUNTIF($E38:H38,"t")+COUNTIF($E38:H38,"¶")+COUNTIF($E38:H38,"²")+COUNTIF($E38:H38,"µ")+COUNTIF($E38:H38,1)),
HYPERLINK("#Roadmap!C"&amp; MATCH($E38,Roadmap!$D:$D,0)+COUNTIF($E38:H38,"u")+COUNTIF($E38:H38,"t"),
     INDEX(Roadmap!$D:$K,MATCH($E38,Roadmap!$D:$D,0)+COUNTIF($E38:H38,"u")+COUNTIF($E38:H38,"t")+COUNTIF($E38:H38,"¶")+COUNTIF($E38:H38,"²")+COUNTIF($E38:H38,"µ")+COUNTIF($E38:H38,1),ColTypeEcheance)),
  IF(LEN(H38)=1,
  IF(LEN(INDEX(Roadmap!$D:$K,MATCH($E38,Roadmap!$D:$D,0)-1+COUNTIF($E38:H38,"u")+COUNTIF($E38:H38,"t")+COUNTIF($E38:H38,"¶")+COUNTIF($E38:H38,"²")+COUNTIF($E38:H38,"µ")+COUNTIF($E38:H38,1),ColDescriptionCourte))&gt;1,
HYPERLINK("#Roadmap!C"&amp; MATCH($E38,Roadmap!$D:$D,0)+COUNTIF($E38:H38,"u")+COUNTIF($E38:H38,"t")+COUNTIF($E38:H38,"¶")+COUNTIF($E38:H38,"²")+COUNTIF($E38:H38,"µ")+COUNTIF($E38:H38,1)-1,INDEX(Roadmap!$D:$K,MATCH($E38,Roadmap!$D:$D,0)-1+COUNTIF($E38:H38,"u")+COUNTIF($E38:H38,"t")+COUNTIF($E38:H38,"¶")+COUNTIF($E38:H38,"²")+COUNTIF($E38:H38,"µ")+COUNTIF($E38:H38,1),ColDescriptionCourte)),""),
  "")),"")</f>
        <v/>
      </c>
      <c r="J38" s="40" t="str">
        <f ca="1">IFERROR(IF(AND(
  INDEX(Roadmap!$D:$K,MATCH($E38,Roadmap!$D:$D,0)+COUNTIF($E38:I38,"u")+COUNTIF($E38:I38,"t")+COUNTIF($E38:I38,"¶")+COUNTIF($E38:I38,"²")+COUNTIF($E38:I38,"µ")+COUNTIF($E38:I38,1),ColLivraison)=J$6,
  VLOOKUP($E38,INDIRECT("tri!"&amp; CHAR(64+ C0Col) &amp;":"&amp; CHAR(65+C0Col)),2,FALSE)&gt;COUNTIF($E38:I38,"u")+COUNTIF($E38:I38,"t")+COUNTIF($E38:I38,"¶")+COUNTIF($E38:I38,"²")+COUNTIF($E38:I38,"µ")+COUNTIF($E38:I38,1)),
HYPERLINK("#Roadmap!C"&amp; MATCH($E38,Roadmap!$D:$D,0)+COUNTIF($E38:I38,"u")+COUNTIF($E38:I38,"t"),
     INDEX(Roadmap!$D:$K,MATCH($E38,Roadmap!$D:$D,0)+COUNTIF($E38:I38,"u")+COUNTIF($E38:I38,"t")+COUNTIF($E38:I38,"¶")+COUNTIF($E38:I38,"²")+COUNTIF($E38:I38,"µ")+COUNTIF($E38:I38,1),ColTypeEcheance)),
  IF(LEN(I38)=1,
  IF(LEN(INDEX(Roadmap!$D:$K,MATCH($E38,Roadmap!$D:$D,0)-1+COUNTIF($E38:I38,"u")+COUNTIF($E38:I38,"t")+COUNTIF($E38:I38,"¶")+COUNTIF($E38:I38,"²")+COUNTIF($E38:I38,"µ")+COUNTIF($E38:I38,1),ColDescriptionCourte))&gt;1,
HYPERLINK("#Roadmap!C"&amp; MATCH($E38,Roadmap!$D:$D,0)+COUNTIF($E38:I38,"u")+COUNTIF($E38:I38,"t")+COUNTIF($E38:I38,"¶")+COUNTIF($E38:I38,"²")+COUNTIF($E38:I38,"µ")+COUNTIF($E38:I38,1)-1,INDEX(Roadmap!$D:$K,MATCH($E38,Roadmap!$D:$D,0)-1+COUNTIF($E38:I38,"u")+COUNTIF($E38:I38,"t")+COUNTIF($E38:I38,"¶")+COUNTIF($E38:I38,"²")+COUNTIF($E38:I38,"µ")+COUNTIF($E38:I38,1),ColDescriptionCourte)),""),
  "")),"")</f>
        <v/>
      </c>
      <c r="K38" s="40" t="str">
        <f ca="1">IFERROR(IF(AND(
  INDEX(Roadmap!$D:$K,MATCH($E38,Roadmap!$D:$D,0)+COUNTIF($E38:J38,"u")+COUNTIF($E38:J38,"t")+COUNTIF($E38:J38,"¶")+COUNTIF($E38:J38,"²")+COUNTIF($E38:J38,"µ")+COUNTIF($E38:J38,1),ColLivraison)=K$6,
  VLOOKUP($E38,INDIRECT("tri!"&amp; CHAR(64+ C0Col) &amp;":"&amp; CHAR(65+C0Col)),2,FALSE)&gt;COUNTIF($E38:J38,"u")+COUNTIF($E38:J38,"t")+COUNTIF($E38:J38,"¶")+COUNTIF($E38:J38,"²")+COUNTIF($E38:J38,"µ")+COUNTIF($E38:J38,1)),
HYPERLINK("#Roadmap!C"&amp; MATCH($E38,Roadmap!$D:$D,0)+COUNTIF($E38:J38,"u")+COUNTIF($E38:J38,"t"),
     INDEX(Roadmap!$D:$K,MATCH($E38,Roadmap!$D:$D,0)+COUNTIF($E38:J38,"u")+COUNTIF($E38:J38,"t")+COUNTIF($E38:J38,"¶")+COUNTIF($E38:J38,"²")+COUNTIF($E38:J38,"µ")+COUNTIF($E38:J38,1),ColTypeEcheance)),
  IF(LEN(J38)=1,
  IF(LEN(INDEX(Roadmap!$D:$K,MATCH($E38,Roadmap!$D:$D,0)-1+COUNTIF($E38:J38,"u")+COUNTIF($E38:J38,"t")+COUNTIF($E38:J38,"¶")+COUNTIF($E38:J38,"²")+COUNTIF($E38:J38,"µ")+COUNTIF($E38:J38,1),ColDescriptionCourte))&gt;1,
HYPERLINK("#Roadmap!C"&amp; MATCH($E38,Roadmap!$D:$D,0)+COUNTIF($E38:J38,"u")+COUNTIF($E38:J38,"t")+COUNTIF($E38:J38,"¶")+COUNTIF($E38:J38,"²")+COUNTIF($E38:J38,"µ")+COUNTIF($E38:J38,1)-1,INDEX(Roadmap!$D:$K,MATCH($E38,Roadmap!$D:$D,0)-1+COUNTIF($E38:J38,"u")+COUNTIF($E38:J38,"t")+COUNTIF($E38:J38,"¶")+COUNTIF($E38:J38,"²")+COUNTIF($E38:J38,"µ")+COUNTIF($E38:J38,1),ColDescriptionCourte)),""),
  "")),"")</f>
        <v/>
      </c>
      <c r="L38" s="39" t="str">
        <f ca="1">IFERROR(IF(AND(
  INDEX(Roadmap!$D:$K,MATCH($E38,Roadmap!$D:$D,0)+COUNTIF($E38:K38,"u")+COUNTIF($E38:K38,"t")+COUNTIF($E38:K38,"¶")+COUNTIF($E38:K38,"²")+COUNTIF($E38:K38,"µ")+COUNTIF($E38:K38,1),ColLivraison)=L$6,
  VLOOKUP($E38,INDIRECT("tri!"&amp; CHAR(64+ C0Col) &amp;":"&amp; CHAR(65+C0Col)),2,FALSE)&gt;COUNTIF($E38:K38,"u")+COUNTIF($E38:K38,"t")+COUNTIF($E38:K38,"¶")+COUNTIF($E38:K38,"²")+COUNTIF($E38:K38,"µ")+COUNTIF($E38:K38,1)),
HYPERLINK("#Roadmap!C"&amp; MATCH($E38,Roadmap!$D:$D,0)+COUNTIF($E38:K38,"u")+COUNTIF($E38:K38,"t"),
     INDEX(Roadmap!$D:$K,MATCH($E38,Roadmap!$D:$D,0)+COUNTIF($E38:K38,"u")+COUNTIF($E38:K38,"t")+COUNTIF($E38:K38,"¶")+COUNTIF($E38:K38,"²")+COUNTIF($E38:K38,"µ")+COUNTIF($E38:K38,1),ColTypeEcheance)),
  IF(LEN(K38)=1,
  IF(LEN(INDEX(Roadmap!$D:$K,MATCH($E38,Roadmap!$D:$D,0)-1+COUNTIF($E38:K38,"u")+COUNTIF($E38:K38,"t")+COUNTIF($E38:K38,"¶")+COUNTIF($E38:K38,"²")+COUNTIF($E38:K38,"µ")+COUNTIF($E38:K38,1),ColDescriptionCourte))&gt;1,
HYPERLINK("#Roadmap!C"&amp; MATCH($E38,Roadmap!$D:$D,0)+COUNTIF($E38:K38,"u")+COUNTIF($E38:K38,"t")+COUNTIF($E38:K38,"¶")+COUNTIF($E38:K38,"²")+COUNTIF($E38:K38,"µ")+COUNTIF($E38:K38,1)-1,INDEX(Roadmap!$D:$K,MATCH($E38,Roadmap!$D:$D,0)-1+COUNTIF($E38:K38,"u")+COUNTIF($E38:K38,"t")+COUNTIF($E38:K38,"¶")+COUNTIF($E38:K38,"²")+COUNTIF($E38:K38,"µ")+COUNTIF($E38:K38,1),ColDescriptionCourte)),""),
  "")),"")</f>
        <v/>
      </c>
      <c r="M38" s="40" t="str">
        <f ca="1">IFERROR(IF(AND(
  INDEX(Roadmap!$D:$K,MATCH($E38,Roadmap!$D:$D,0)+COUNTIF($E38:L38,"u")+COUNTIF($E38:L38,"t")+COUNTIF($E38:L38,"¶")+COUNTIF($E38:L38,"²")+COUNTIF($E38:L38,"µ")+COUNTIF($E38:L38,1),ColLivraison)=M$6,
  VLOOKUP($E38,INDIRECT("tri!"&amp; CHAR(64+ C0Col) &amp;":"&amp; CHAR(65+C0Col)),2,FALSE)&gt;COUNTIF($E38:L38,"u")+COUNTIF($E38:L38,"t")+COUNTIF($E38:L38,"¶")+COUNTIF($E38:L38,"²")+COUNTIF($E38:L38,"µ")+COUNTIF($E38:L38,1)),
HYPERLINK("#Roadmap!C"&amp; MATCH($E38,Roadmap!$D:$D,0)+COUNTIF($E38:L38,"u")+COUNTIF($E38:L38,"t"),
     INDEX(Roadmap!$D:$K,MATCH($E38,Roadmap!$D:$D,0)+COUNTIF($E38:L38,"u")+COUNTIF($E38:L38,"t")+COUNTIF($E38:L38,"¶")+COUNTIF($E38:L38,"²")+COUNTIF($E38:L38,"µ")+COUNTIF($E38:L38,1),ColTypeEcheance)),
  IF(LEN(L38)=1,
  IF(LEN(INDEX(Roadmap!$D:$K,MATCH($E38,Roadmap!$D:$D,0)-1+COUNTIF($E38:L38,"u")+COUNTIF($E38:L38,"t")+COUNTIF($E38:L38,"¶")+COUNTIF($E38:L38,"²")+COUNTIF($E38:L38,"µ")+COUNTIF($E38:L38,1),ColDescriptionCourte))&gt;1,
HYPERLINK("#Roadmap!C"&amp; MATCH($E38,Roadmap!$D:$D,0)+COUNTIF($E38:L38,"u")+COUNTIF($E38:L38,"t")+COUNTIF($E38:L38,"¶")+COUNTIF($E38:L38,"²")+COUNTIF($E38:L38,"µ")+COUNTIF($E38:L38,1)-1,INDEX(Roadmap!$D:$K,MATCH($E38,Roadmap!$D:$D,0)-1+COUNTIF($E38:L38,"u")+COUNTIF($E38:L38,"t")+COUNTIF($E38:L38,"¶")+COUNTIF($E38:L38,"²")+COUNTIF($E38:L38,"µ")+COUNTIF($E38:L38,1),ColDescriptionCourte)),""),
  "")),"")</f>
        <v/>
      </c>
      <c r="N38" s="40" t="str">
        <f ca="1">IFERROR(IF(AND(
  INDEX(Roadmap!$D:$K,MATCH($E38,Roadmap!$D:$D,0)+COUNTIF($E38:M38,"u")+COUNTIF($E38:M38,"t")+COUNTIF($E38:M38,"¶")+COUNTIF($E38:M38,"²")+COUNTIF($E38:M38,"µ")+COUNTIF($E38:M38,1),ColLivraison)=N$6,
  VLOOKUP($E38,INDIRECT("tri!"&amp; CHAR(64+ C0Col) &amp;":"&amp; CHAR(65+C0Col)),2,FALSE)&gt;COUNTIF($E38:M38,"u")+COUNTIF($E38:M38,"t")+COUNTIF($E38:M38,"¶")+COUNTIF($E38:M38,"²")+COUNTIF($E38:M38,"µ")+COUNTIF($E38:M38,1)),
HYPERLINK("#Roadmap!C"&amp; MATCH($E38,Roadmap!$D:$D,0)+COUNTIF($E38:M38,"u")+COUNTIF($E38:M38,"t"),
     INDEX(Roadmap!$D:$K,MATCH($E38,Roadmap!$D:$D,0)+COUNTIF($E38:M38,"u")+COUNTIF($E38:M38,"t")+COUNTIF($E38:M38,"¶")+COUNTIF($E38:M38,"²")+COUNTIF($E38:M38,"µ")+COUNTIF($E38:M38,1),ColTypeEcheance)),
  IF(LEN(M38)=1,
  IF(LEN(INDEX(Roadmap!$D:$K,MATCH($E38,Roadmap!$D:$D,0)-1+COUNTIF($E38:M38,"u")+COUNTIF($E38:M38,"t")+COUNTIF($E38:M38,"¶")+COUNTIF($E38:M38,"²")+COUNTIF($E38:M38,"µ")+COUNTIF($E38:M38,1),ColDescriptionCourte))&gt;1,
HYPERLINK("#Roadmap!C"&amp; MATCH($E38,Roadmap!$D:$D,0)+COUNTIF($E38:M38,"u")+COUNTIF($E38:M38,"t")+COUNTIF($E38:M38,"¶")+COUNTIF($E38:M38,"²")+COUNTIF($E38:M38,"µ")+COUNTIF($E38:M38,1)-1,INDEX(Roadmap!$D:$K,MATCH($E38,Roadmap!$D:$D,0)-1+COUNTIF($E38:M38,"u")+COUNTIF($E38:M38,"t")+COUNTIF($E38:M38,"¶")+COUNTIF($E38:M38,"²")+COUNTIF($E38:M38,"µ")+COUNTIF($E38:M38,1),ColDescriptionCourte)),""),
  "")),"")</f>
        <v/>
      </c>
      <c r="O38" s="40" t="str">
        <f ca="1">IFERROR(IF(AND(
  INDEX(Roadmap!$D:$K,MATCH($E38,Roadmap!$D:$D,0)+COUNTIF($E38:N38,"u")+COUNTIF($E38:N38,"t")+COUNTIF($E38:N38,"¶")+COUNTIF($E38:N38,"²")+COUNTIF($E38:N38,"µ")+COUNTIF($E38:N38,1),ColLivraison)=O$6,
  VLOOKUP($E38,INDIRECT("tri!"&amp; CHAR(64+ C0Col) &amp;":"&amp; CHAR(65+C0Col)),2,FALSE)&gt;COUNTIF($E38:N38,"u")+COUNTIF($E38:N38,"t")+COUNTIF($E38:N38,"¶")+COUNTIF($E38:N38,"²")+COUNTIF($E38:N38,"µ")+COUNTIF($E38:N38,1)),
HYPERLINK("#Roadmap!C"&amp; MATCH($E38,Roadmap!$D:$D,0)+COUNTIF($E38:N38,"u")+COUNTIF($E38:N38,"t"),
     INDEX(Roadmap!$D:$K,MATCH($E38,Roadmap!$D:$D,0)+COUNTIF($E38:N38,"u")+COUNTIF($E38:N38,"t")+COUNTIF($E38:N38,"¶")+COUNTIF($E38:N38,"²")+COUNTIF($E38:N38,"µ")+COUNTIF($E38:N38,1),ColTypeEcheance)),
  IF(LEN(N38)=1,
  IF(LEN(INDEX(Roadmap!$D:$K,MATCH($E38,Roadmap!$D:$D,0)-1+COUNTIF($E38:N38,"u")+COUNTIF($E38:N38,"t")+COUNTIF($E38:N38,"¶")+COUNTIF($E38:N38,"²")+COUNTIF($E38:N38,"µ")+COUNTIF($E38:N38,1),ColDescriptionCourte))&gt;1,
HYPERLINK("#Roadmap!C"&amp; MATCH($E38,Roadmap!$D:$D,0)+COUNTIF($E38:N38,"u")+COUNTIF($E38:N38,"t")+COUNTIF($E38:N38,"¶")+COUNTIF($E38:N38,"²")+COUNTIF($E38:N38,"µ")+COUNTIF($E38:N38,1)-1,INDEX(Roadmap!$D:$K,MATCH($E38,Roadmap!$D:$D,0)-1+COUNTIF($E38:N38,"u")+COUNTIF($E38:N38,"t")+COUNTIF($E38:N38,"¶")+COUNTIF($E38:N38,"²")+COUNTIF($E38:N38,"µ")+COUNTIF($E38:N38,1),ColDescriptionCourte)),""),
  "")),"")</f>
        <v/>
      </c>
      <c r="P38" s="40" t="str">
        <f ca="1">IFERROR(IF(AND(
  INDEX(Roadmap!$D:$K,MATCH($E38,Roadmap!$D:$D,0)+COUNTIF($E38:O38,"u")+COUNTIF($E38:O38,"t")+COUNTIF($E38:O38,"¶")+COUNTIF($E38:O38,"²")+COUNTIF($E38:O38,"µ")+COUNTIF($E38:O38,1),ColLivraison)=P$6,
  VLOOKUP($E38,INDIRECT("tri!"&amp; CHAR(64+ C0Col) &amp;":"&amp; CHAR(65+C0Col)),2,FALSE)&gt;COUNTIF($E38:O38,"u")+COUNTIF($E38:O38,"t")+COUNTIF($E38:O38,"¶")+COUNTIF($E38:O38,"²")+COUNTIF($E38:O38,"µ")+COUNTIF($E38:O38,1)),
HYPERLINK("#Roadmap!C"&amp; MATCH($E38,Roadmap!$D:$D,0)+COUNTIF($E38:O38,"u")+COUNTIF($E38:O38,"t"),
     INDEX(Roadmap!$D:$K,MATCH($E38,Roadmap!$D:$D,0)+COUNTIF($E38:O38,"u")+COUNTIF($E38:O38,"t")+COUNTIF($E38:O38,"¶")+COUNTIF($E38:O38,"²")+COUNTIF($E38:O38,"µ")+COUNTIF($E38:O38,1),ColTypeEcheance)),
  IF(LEN(O38)=1,
  IF(LEN(INDEX(Roadmap!$D:$K,MATCH($E38,Roadmap!$D:$D,0)-1+COUNTIF($E38:O38,"u")+COUNTIF($E38:O38,"t")+COUNTIF($E38:O38,"¶")+COUNTIF($E38:O38,"²")+COUNTIF($E38:O38,"µ")+COUNTIF($E38:O38,1),ColDescriptionCourte))&gt;1,
HYPERLINK("#Roadmap!C"&amp; MATCH($E38,Roadmap!$D:$D,0)+COUNTIF($E38:O38,"u")+COUNTIF($E38:O38,"t")+COUNTIF($E38:O38,"¶")+COUNTIF($E38:O38,"²")+COUNTIF($E38:O38,"µ")+COUNTIF($E38:O38,1)-1,INDEX(Roadmap!$D:$K,MATCH($E38,Roadmap!$D:$D,0)-1+COUNTIF($E38:O38,"u")+COUNTIF($E38:O38,"t")+COUNTIF($E38:O38,"¶")+COUNTIF($E38:O38,"²")+COUNTIF($E38:O38,"µ")+COUNTIF($E38:O38,1),ColDescriptionCourte)),""),
  "")),"")</f>
        <v/>
      </c>
      <c r="Q38" s="40" t="str">
        <f ca="1">IFERROR(IF(AND(
  INDEX(Roadmap!$D:$K,MATCH($E38,Roadmap!$D:$D,0)+COUNTIF($E38:P38,"u")+COUNTIF($E38:P38,"t")+COUNTIF($E38:P38,"¶")+COUNTIF($E38:P38,"²")+COUNTIF($E38:P38,"µ")+COUNTIF($E38:P38,1),ColLivraison)=Q$6,
  VLOOKUP($E38,INDIRECT("tri!"&amp; CHAR(64+ C0Col) &amp;":"&amp; CHAR(65+C0Col)),2,FALSE)&gt;COUNTIF($E38:P38,"u")+COUNTIF($E38:P38,"t")+COUNTIF($E38:P38,"¶")+COUNTIF($E38:P38,"²")+COUNTIF($E38:P38,"µ")+COUNTIF($E38:P38,1)),
HYPERLINK("#Roadmap!C"&amp; MATCH($E38,Roadmap!$D:$D,0)+COUNTIF($E38:P38,"u")+COUNTIF($E38:P38,"t"),
     INDEX(Roadmap!$D:$K,MATCH($E38,Roadmap!$D:$D,0)+COUNTIF($E38:P38,"u")+COUNTIF($E38:P38,"t")+COUNTIF($E38:P38,"¶")+COUNTIF($E38:P38,"²")+COUNTIF($E38:P38,"µ")+COUNTIF($E38:P38,1),ColTypeEcheance)),
  IF(LEN(P38)=1,
  IF(LEN(INDEX(Roadmap!$D:$K,MATCH($E38,Roadmap!$D:$D,0)-1+COUNTIF($E38:P38,"u")+COUNTIF($E38:P38,"t")+COUNTIF($E38:P38,"¶")+COUNTIF($E38:P38,"²")+COUNTIF($E38:P38,"µ")+COUNTIF($E38:P38,1),ColDescriptionCourte))&gt;1,
HYPERLINK("#Roadmap!C"&amp; MATCH($E38,Roadmap!$D:$D,0)+COUNTIF($E38:P38,"u")+COUNTIF($E38:P38,"t")+COUNTIF($E38:P38,"¶")+COUNTIF($E38:P38,"²")+COUNTIF($E38:P38,"µ")+COUNTIF($E38:P38,1)-1,INDEX(Roadmap!$D:$K,MATCH($E38,Roadmap!$D:$D,0)-1+COUNTIF($E38:P38,"u")+COUNTIF($E38:P38,"t")+COUNTIF($E38:P38,"¶")+COUNTIF($E38:P38,"²")+COUNTIF($E38:P38,"µ")+COUNTIF($E38:P38,1),ColDescriptionCourte)),""),
  "")),"")</f>
        <v/>
      </c>
      <c r="R38" s="40" t="str">
        <f ca="1">IFERROR(IF(AND(
  INDEX(Roadmap!$D:$K,MATCH($E38,Roadmap!$D:$D,0)+COUNTIF($E38:Q38,"u")+COUNTIF($E38:Q38,"t")+COUNTIF($E38:Q38,"¶")+COUNTIF($E38:Q38,"²")+COUNTIF($E38:Q38,"µ")+COUNTIF($E38:Q38,1),ColLivraison)=R$6,
  VLOOKUP($E38,INDIRECT("tri!"&amp; CHAR(64+ C0Col) &amp;":"&amp; CHAR(65+C0Col)),2,FALSE)&gt;COUNTIF($E38:Q38,"u")+COUNTIF($E38:Q38,"t")+COUNTIF($E38:Q38,"¶")+COUNTIF($E38:Q38,"²")+COUNTIF($E38:Q38,"µ")+COUNTIF($E38:Q38,1)),
HYPERLINK("#Roadmap!C"&amp; MATCH($E38,Roadmap!$D:$D,0)+COUNTIF($E38:Q38,"u")+COUNTIF($E38:Q38,"t"),
     INDEX(Roadmap!$D:$K,MATCH($E38,Roadmap!$D:$D,0)+COUNTIF($E38:Q38,"u")+COUNTIF($E38:Q38,"t")+COUNTIF($E38:Q38,"¶")+COUNTIF($E38:Q38,"²")+COUNTIF($E38:Q38,"µ")+COUNTIF($E38:Q38,1),ColTypeEcheance)),
  IF(LEN(Q38)=1,
  IF(LEN(INDEX(Roadmap!$D:$K,MATCH($E38,Roadmap!$D:$D,0)-1+COUNTIF($E38:Q38,"u")+COUNTIF($E38:Q38,"t")+COUNTIF($E38:Q38,"¶")+COUNTIF($E38:Q38,"²")+COUNTIF($E38:Q38,"µ")+COUNTIF($E38:Q38,1),ColDescriptionCourte))&gt;1,
HYPERLINK("#Roadmap!C"&amp; MATCH($E38,Roadmap!$D:$D,0)+COUNTIF($E38:Q38,"u")+COUNTIF($E38:Q38,"t")+COUNTIF($E38:Q38,"¶")+COUNTIF($E38:Q38,"²")+COUNTIF($E38:Q38,"µ")+COUNTIF($E38:Q38,1)-1,INDEX(Roadmap!$D:$K,MATCH($E38,Roadmap!$D:$D,0)-1+COUNTIF($E38:Q38,"u")+COUNTIF($E38:Q38,"t")+COUNTIF($E38:Q38,"¶")+COUNTIF($E38:Q38,"²")+COUNTIF($E38:Q38,"µ")+COUNTIF($E38:Q38,1),ColDescriptionCourte)),""),
  "")),"")</f>
        <v/>
      </c>
      <c r="S38" s="40" t="str">
        <f ca="1">IFERROR(IF(AND(
  INDEX(Roadmap!$D:$K,MATCH($E38,Roadmap!$D:$D,0)+COUNTIF($E38:R38,"u")+COUNTIF($E38:R38,"t")+COUNTIF($E38:R38,"¶")+COUNTIF($E38:R38,"²")+COUNTIF($E38:R38,"µ")+COUNTIF($E38:R38,1),ColLivraison)=S$6,
  VLOOKUP($E38,INDIRECT("tri!"&amp; CHAR(64+ C0Col) &amp;":"&amp; CHAR(65+C0Col)),2,FALSE)&gt;COUNTIF($E38:R38,"u")+COUNTIF($E38:R38,"t")+COUNTIF($E38:R38,"¶")+COUNTIF($E38:R38,"²")+COUNTIF($E38:R38,"µ")+COUNTIF($E38:R38,1)),
HYPERLINK("#Roadmap!C"&amp; MATCH($E38,Roadmap!$D:$D,0)+COUNTIF($E38:R38,"u")+COUNTIF($E38:R38,"t"),
     INDEX(Roadmap!$D:$K,MATCH($E38,Roadmap!$D:$D,0)+COUNTIF($E38:R38,"u")+COUNTIF($E38:R38,"t")+COUNTIF($E38:R38,"¶")+COUNTIF($E38:R38,"²")+COUNTIF($E38:R38,"µ")+COUNTIF($E38:R38,1),ColTypeEcheance)),
  IF(LEN(R38)=1,
  IF(LEN(INDEX(Roadmap!$D:$K,MATCH($E38,Roadmap!$D:$D,0)-1+COUNTIF($E38:R38,"u")+COUNTIF($E38:R38,"t")+COUNTIF($E38:R38,"¶")+COUNTIF($E38:R38,"²")+COUNTIF($E38:R38,"µ")+COUNTIF($E38:R38,1),ColDescriptionCourte))&gt;1,
HYPERLINK("#Roadmap!C"&amp; MATCH($E38,Roadmap!$D:$D,0)+COUNTIF($E38:R38,"u")+COUNTIF($E38:R38,"t")+COUNTIF($E38:R38,"¶")+COUNTIF($E38:R38,"²")+COUNTIF($E38:R38,"µ")+COUNTIF($E38:R38,1)-1,INDEX(Roadmap!$D:$K,MATCH($E38,Roadmap!$D:$D,0)-1+COUNTIF($E38:R38,"u")+COUNTIF($E38:R38,"t")+COUNTIF($E38:R38,"¶")+COUNTIF($E38:R38,"²")+COUNTIF($E38:R38,"µ")+COUNTIF($E38:R38,1),ColDescriptionCourte)),""),
  "")),"")</f>
        <v/>
      </c>
      <c r="T38" s="40" t="str">
        <f ca="1">IFERROR(IF(AND(
  INDEX(Roadmap!$D:$K,MATCH($E38,Roadmap!$D:$D,0)+COUNTIF($E38:S38,"u")+COUNTIF($E38:S38,"t")+COUNTIF($E38:S38,"¶")+COUNTIF($E38:S38,"²")+COUNTIF($E38:S38,"µ")+COUNTIF($E38:S38,1),ColLivraison)=T$6,
  VLOOKUP($E38,INDIRECT("tri!"&amp; CHAR(64+ C0Col) &amp;":"&amp; CHAR(65+C0Col)),2,FALSE)&gt;COUNTIF($E38:S38,"u")+COUNTIF($E38:S38,"t")+COUNTIF($E38:S38,"¶")+COUNTIF($E38:S38,"²")+COUNTIF($E38:S38,"µ")+COUNTIF($E38:S38,1)),
HYPERLINK("#Roadmap!C"&amp; MATCH($E38,Roadmap!$D:$D,0)+COUNTIF($E38:S38,"u")+COUNTIF($E38:S38,"t"),
     INDEX(Roadmap!$D:$K,MATCH($E38,Roadmap!$D:$D,0)+COUNTIF($E38:S38,"u")+COUNTIF($E38:S38,"t")+COUNTIF($E38:S38,"¶")+COUNTIF($E38:S38,"²")+COUNTIF($E38:S38,"µ")+COUNTIF($E38:S38,1),ColTypeEcheance)),
  IF(LEN(S38)=1,
  IF(LEN(INDEX(Roadmap!$D:$K,MATCH($E38,Roadmap!$D:$D,0)-1+COUNTIF($E38:S38,"u")+COUNTIF($E38:S38,"t")+COUNTIF($E38:S38,"¶")+COUNTIF($E38:S38,"²")+COUNTIF($E38:S38,"µ")+COUNTIF($E38:S38,1),ColDescriptionCourte))&gt;1,
HYPERLINK("#Roadmap!C"&amp; MATCH($E38,Roadmap!$D:$D,0)+COUNTIF($E38:S38,"u")+COUNTIF($E38:S38,"t")+COUNTIF($E38:S38,"¶")+COUNTIF($E38:S38,"²")+COUNTIF($E38:S38,"µ")+COUNTIF($E38:S38,1)-1,INDEX(Roadmap!$D:$K,MATCH($E38,Roadmap!$D:$D,0)-1+COUNTIF($E38:S38,"u")+COUNTIF($E38:S38,"t")+COUNTIF($E38:S38,"¶")+COUNTIF($E38:S38,"²")+COUNTIF($E38:S38,"µ")+COUNTIF($E38:S38,1),ColDescriptionCourte)),""),
  "")),"")</f>
        <v/>
      </c>
      <c r="U38" s="40" t="str">
        <f ca="1">IFERROR(IF(AND(
  INDEX(Roadmap!$D:$K,MATCH($E38,Roadmap!$D:$D,0)+COUNTIF($E38:T38,"u")+COUNTIF($E38:T38,"t")+COUNTIF($E38:T38,"¶")+COUNTIF($E38:T38,"²")+COUNTIF($E38:T38,"µ")+COUNTIF($E38:T38,1),ColLivraison)=U$6,
  VLOOKUP($E38,INDIRECT("tri!"&amp; CHAR(64+ C0Col) &amp;":"&amp; CHAR(65+C0Col)),2,FALSE)&gt;COUNTIF($E38:T38,"u")+COUNTIF($E38:T38,"t")+COUNTIF($E38:T38,"¶")+COUNTIF($E38:T38,"²")+COUNTIF($E38:T38,"µ")+COUNTIF($E38:T38,1)),
HYPERLINK("#Roadmap!C"&amp; MATCH($E38,Roadmap!$D:$D,0)+COUNTIF($E38:T38,"u")+COUNTIF($E38:T38,"t"),
     INDEX(Roadmap!$D:$K,MATCH($E38,Roadmap!$D:$D,0)+COUNTIF($E38:T38,"u")+COUNTIF($E38:T38,"t")+COUNTIF($E38:T38,"¶")+COUNTIF($E38:T38,"²")+COUNTIF($E38:T38,"µ")+COUNTIF($E38:T38,1),ColTypeEcheance)),
  IF(LEN(T38)=1,
  IF(LEN(INDEX(Roadmap!$D:$K,MATCH($E38,Roadmap!$D:$D,0)-1+COUNTIF($E38:T38,"u")+COUNTIF($E38:T38,"t")+COUNTIF($E38:T38,"¶")+COUNTIF($E38:T38,"²")+COUNTIF($E38:T38,"µ")+COUNTIF($E38:T38,1),ColDescriptionCourte))&gt;1,
HYPERLINK("#Roadmap!C"&amp; MATCH($E38,Roadmap!$D:$D,0)+COUNTIF($E38:T38,"u")+COUNTIF($E38:T38,"t")+COUNTIF($E38:T38,"¶")+COUNTIF($E38:T38,"²")+COUNTIF($E38:T38,"µ")+COUNTIF($E38:T38,1)-1,INDEX(Roadmap!$D:$K,MATCH($E38,Roadmap!$D:$D,0)-1+COUNTIF($E38:T38,"u")+COUNTIF($E38:T38,"t")+COUNTIF($E38:T38,"¶")+COUNTIF($E38:T38,"²")+COUNTIF($E38:T38,"µ")+COUNTIF($E38:T38,1),ColDescriptionCourte)),""),
  "")),"")</f>
        <v/>
      </c>
      <c r="V38" s="40" t="str">
        <f ca="1">IFERROR(IF(AND(
  INDEX(Roadmap!$D:$K,MATCH($E38,Roadmap!$D:$D,0)+COUNTIF($E38:U38,"u")+COUNTIF($E38:U38,"t")+COUNTIF($E38:U38,"¶")+COUNTIF($E38:U38,"²")+COUNTIF($E38:U38,"µ")+COUNTIF($E38:U38,1),ColLivraison)=V$6,
  VLOOKUP($E38,INDIRECT("tri!"&amp; CHAR(64+ C0Col) &amp;":"&amp; CHAR(65+C0Col)),2,FALSE)&gt;COUNTIF($E38:U38,"u")+COUNTIF($E38:U38,"t")+COUNTIF($E38:U38,"¶")+COUNTIF($E38:U38,"²")+COUNTIF($E38:U38,"µ")+COUNTIF($E38:U38,1)),
HYPERLINK("#Roadmap!C"&amp; MATCH($E38,Roadmap!$D:$D,0)+COUNTIF($E38:U38,"u")+COUNTIF($E38:U38,"t"),
     INDEX(Roadmap!$D:$K,MATCH($E38,Roadmap!$D:$D,0)+COUNTIF($E38:U38,"u")+COUNTIF($E38:U38,"t")+COUNTIF($E38:U38,"¶")+COUNTIF($E38:U38,"²")+COUNTIF($E38:U38,"µ")+COUNTIF($E38:U38,1),ColTypeEcheance)),
  IF(LEN(U38)=1,
  IF(LEN(INDEX(Roadmap!$D:$K,MATCH($E38,Roadmap!$D:$D,0)-1+COUNTIF($E38:U38,"u")+COUNTIF($E38:U38,"t")+COUNTIF($E38:U38,"¶")+COUNTIF($E38:U38,"²")+COUNTIF($E38:U38,"µ")+COUNTIF($E38:U38,1),ColDescriptionCourte))&gt;1,
HYPERLINK("#Roadmap!C"&amp; MATCH($E38,Roadmap!$D:$D,0)+COUNTIF($E38:U38,"u")+COUNTIF($E38:U38,"t")+COUNTIF($E38:U38,"¶")+COUNTIF($E38:U38,"²")+COUNTIF($E38:U38,"µ")+COUNTIF($E38:U38,1)-1,INDEX(Roadmap!$D:$K,MATCH($E38,Roadmap!$D:$D,0)-1+COUNTIF($E38:U38,"u")+COUNTIF($E38:U38,"t")+COUNTIF($E38:U38,"¶")+COUNTIF($E38:U38,"²")+COUNTIF($E38:U38,"µ")+COUNTIF($E38:U38,1),ColDescriptionCourte)),""),
  "")),"")</f>
        <v/>
      </c>
      <c r="W38" s="40" t="str">
        <f ca="1">IFERROR(IF(AND(
  INDEX(Roadmap!$D:$K,MATCH($E38,Roadmap!$D:$D,0)+COUNTIF($E38:V38,"u")+COUNTIF($E38:V38,"t")+COUNTIF($E38:V38,"¶")+COUNTIF($E38:V38,"²")+COUNTIF($E38:V38,"µ")+COUNTIF($E38:V38,1),ColLivraison)=W$6,
  VLOOKUP($E38,INDIRECT("tri!"&amp; CHAR(64+ C0Col) &amp;":"&amp; CHAR(65+C0Col)),2,FALSE)&gt;COUNTIF($E38:V38,"u")+COUNTIF($E38:V38,"t")+COUNTIF($E38:V38,"¶")+COUNTIF($E38:V38,"²")+COUNTIF($E38:V38,"µ")+COUNTIF($E38:V38,1)),
HYPERLINK("#Roadmap!C"&amp; MATCH($E38,Roadmap!$D:$D,0)+COUNTIF($E38:V38,"u")+COUNTIF($E38:V38,"t"),
     INDEX(Roadmap!$D:$K,MATCH($E38,Roadmap!$D:$D,0)+COUNTIF($E38:V38,"u")+COUNTIF($E38:V38,"t")+COUNTIF($E38:V38,"¶")+COUNTIF($E38:V38,"²")+COUNTIF($E38:V38,"µ")+COUNTIF($E38:V38,1),ColTypeEcheance)),
  IF(LEN(V38)=1,
  IF(LEN(INDEX(Roadmap!$D:$K,MATCH($E38,Roadmap!$D:$D,0)-1+COUNTIF($E38:V38,"u")+COUNTIF($E38:V38,"t")+COUNTIF($E38:V38,"¶")+COUNTIF($E38:V38,"²")+COUNTIF($E38:V38,"µ")+COUNTIF($E38:V38,1),ColDescriptionCourte))&gt;1,
HYPERLINK("#Roadmap!C"&amp; MATCH($E38,Roadmap!$D:$D,0)+COUNTIF($E38:V38,"u")+COUNTIF($E38:V38,"t")+COUNTIF($E38:V38,"¶")+COUNTIF($E38:V38,"²")+COUNTIF($E38:V38,"µ")+COUNTIF($E38:V38,1)-1,INDEX(Roadmap!$D:$K,MATCH($E38,Roadmap!$D:$D,0)-1+COUNTIF($E38:V38,"u")+COUNTIF($E38:V38,"t")+COUNTIF($E38:V38,"¶")+COUNTIF($E38:V38,"²")+COUNTIF($E38:V38,"µ")+COUNTIF($E38:V38,1),ColDescriptionCourte)),""),
  "")),"")</f>
        <v/>
      </c>
      <c r="X38" s="40" t="str">
        <f ca="1">IFERROR(IF(AND(
  INDEX(Roadmap!$D:$K,MATCH($E38,Roadmap!$D:$D,0)+COUNTIF($E38:W38,"u")+COUNTIF($E38:W38,"t")+COUNTIF($E38:W38,"¶")+COUNTIF($E38:W38,"²")+COUNTIF($E38:W38,"µ")+COUNTIF($E38:W38,1),ColLivraison)=X$6,
  VLOOKUP($E38,INDIRECT("tri!"&amp; CHAR(64+ C0Col) &amp;":"&amp; CHAR(65+C0Col)),2,FALSE)&gt;COUNTIF($E38:W38,"u")+COUNTIF($E38:W38,"t")+COUNTIF($E38:W38,"¶")+COUNTIF($E38:W38,"²")+COUNTIF($E38:W38,"µ")+COUNTIF($E38:W38,1)),
HYPERLINK("#Roadmap!C"&amp; MATCH($E38,Roadmap!$D:$D,0)+COUNTIF($E38:W38,"u")+COUNTIF($E38:W38,"t"),
     INDEX(Roadmap!$D:$K,MATCH($E38,Roadmap!$D:$D,0)+COUNTIF($E38:W38,"u")+COUNTIF($E38:W38,"t")+COUNTIF($E38:W38,"¶")+COUNTIF($E38:W38,"²")+COUNTIF($E38:W38,"µ")+COUNTIF($E38:W38,1),ColTypeEcheance)),
  IF(LEN(W38)=1,
  IF(LEN(INDEX(Roadmap!$D:$K,MATCH($E38,Roadmap!$D:$D,0)-1+COUNTIF($E38:W38,"u")+COUNTIF($E38:W38,"t")+COUNTIF($E38:W38,"¶")+COUNTIF($E38:W38,"²")+COUNTIF($E38:W38,"µ")+COUNTIF($E38:W38,1),ColDescriptionCourte))&gt;1,
HYPERLINK("#Roadmap!C"&amp; MATCH($E38,Roadmap!$D:$D,0)+COUNTIF($E38:W38,"u")+COUNTIF($E38:W38,"t")+COUNTIF($E38:W38,"¶")+COUNTIF($E38:W38,"²")+COUNTIF($E38:W38,"µ")+COUNTIF($E38:W38,1)-1,INDEX(Roadmap!$D:$K,MATCH($E38,Roadmap!$D:$D,0)-1+COUNTIF($E38:W38,"u")+COUNTIF($E38:W38,"t")+COUNTIF($E38:W38,"¶")+COUNTIF($E38:W38,"²")+COUNTIF($E38:W38,"µ")+COUNTIF($E38:W38,1),ColDescriptionCourte)),""),
  "")),"")</f>
        <v/>
      </c>
      <c r="Y38" s="40" t="str">
        <f ca="1">IFERROR(IF(AND(
  INDEX(Roadmap!$D:$K,MATCH($E38,Roadmap!$D:$D,0)+COUNTIF($E38:X38,"u")+COUNTIF($E38:X38,"t")+COUNTIF($E38:X38,"¶")+COUNTIF($E38:X38,"²")+COUNTIF($E38:X38,"µ")+COUNTIF($E38:X38,1),ColLivraison)=Y$6,
  VLOOKUP($E38,INDIRECT("tri!"&amp; CHAR(64+ C0Col) &amp;":"&amp; CHAR(65+C0Col)),2,FALSE)&gt;COUNTIF($E38:X38,"u")+COUNTIF($E38:X38,"t")+COUNTIF($E38:X38,"¶")+COUNTIF($E38:X38,"²")+COUNTIF($E38:X38,"µ")+COUNTIF($E38:X38,1)),
HYPERLINK("#Roadmap!C"&amp; MATCH($E38,Roadmap!$D:$D,0)+COUNTIF($E38:X38,"u")+COUNTIF($E38:X38,"t"),
     INDEX(Roadmap!$D:$K,MATCH($E38,Roadmap!$D:$D,0)+COUNTIF($E38:X38,"u")+COUNTIF($E38:X38,"t")+COUNTIF($E38:X38,"¶")+COUNTIF($E38:X38,"²")+COUNTIF($E38:X38,"µ")+COUNTIF($E38:X38,1),ColTypeEcheance)),
  IF(LEN(X38)=1,
  IF(LEN(INDEX(Roadmap!$D:$K,MATCH($E38,Roadmap!$D:$D,0)-1+COUNTIF($E38:X38,"u")+COUNTIF($E38:X38,"t")+COUNTIF($E38:X38,"¶")+COUNTIF($E38:X38,"²")+COUNTIF($E38:X38,"µ")+COUNTIF($E38:X38,1),ColDescriptionCourte))&gt;1,
HYPERLINK("#Roadmap!C"&amp; MATCH($E38,Roadmap!$D:$D,0)+COUNTIF($E38:X38,"u")+COUNTIF($E38:X38,"t")+COUNTIF($E38:X38,"¶")+COUNTIF($E38:X38,"²")+COUNTIF($E38:X38,"µ")+COUNTIF($E38:X38,1)-1,INDEX(Roadmap!$D:$K,MATCH($E38,Roadmap!$D:$D,0)-1+COUNTIF($E38:X38,"u")+COUNTIF($E38:X38,"t")+COUNTIF($E38:X38,"¶")+COUNTIF($E38:X38,"²")+COUNTIF($E38:X38,"µ")+COUNTIF($E38:X38,1),ColDescriptionCourte)),""),
  "")),"")</f>
        <v/>
      </c>
      <c r="Z38" s="40" t="str">
        <f ca="1">IFERROR(IF(AND(
  INDEX(Roadmap!$D:$K,MATCH($E38,Roadmap!$D:$D,0)+COUNTIF($E38:Y38,"u")+COUNTIF($E38:Y38,"t")+COUNTIF($E38:Y38,"¶")+COUNTIF($E38:Y38,"²")+COUNTIF($E38:Y38,"µ")+COUNTIF($E38:Y38,1),ColLivraison)=Z$6,
  VLOOKUP($E38,INDIRECT("tri!"&amp; CHAR(64+ C0Col) &amp;":"&amp; CHAR(65+C0Col)),2,FALSE)&gt;COUNTIF($E38:Y38,"u")+COUNTIF($E38:Y38,"t")+COUNTIF($E38:Y38,"¶")+COUNTIF($E38:Y38,"²")+COUNTIF($E38:Y38,"µ")+COUNTIF($E38:Y38,1)),
HYPERLINK("#Roadmap!C"&amp; MATCH($E38,Roadmap!$D:$D,0)+COUNTIF($E38:Y38,"u")+COUNTIF($E38:Y38,"t"),
     INDEX(Roadmap!$D:$K,MATCH($E38,Roadmap!$D:$D,0)+COUNTIF($E38:Y38,"u")+COUNTIF($E38:Y38,"t")+COUNTIF($E38:Y38,"¶")+COUNTIF($E38:Y38,"²")+COUNTIF($E38:Y38,"µ")+COUNTIF($E38:Y38,1),ColTypeEcheance)),
  IF(LEN(Y38)=1,
  IF(LEN(INDEX(Roadmap!$D:$K,MATCH($E38,Roadmap!$D:$D,0)-1+COUNTIF($E38:Y38,"u")+COUNTIF($E38:Y38,"t")+COUNTIF($E38:Y38,"¶")+COUNTIF($E38:Y38,"²")+COUNTIF($E38:Y38,"µ")+COUNTIF($E38:Y38,1),ColDescriptionCourte))&gt;1,
HYPERLINK("#Roadmap!C"&amp; MATCH($E38,Roadmap!$D:$D,0)+COUNTIF($E38:Y38,"u")+COUNTIF($E38:Y38,"t")+COUNTIF($E38:Y38,"¶")+COUNTIF($E38:Y38,"²")+COUNTIF($E38:Y38,"µ")+COUNTIF($E38:Y38,1)-1,INDEX(Roadmap!$D:$K,MATCH($E38,Roadmap!$D:$D,0)-1+COUNTIF($E38:Y38,"u")+COUNTIF($E38:Y38,"t")+COUNTIF($E38:Y38,"¶")+COUNTIF($E38:Y38,"²")+COUNTIF($E38:Y38,"µ")+COUNTIF($E38:Y38,1),ColDescriptionCourte)),""),
  "")),"")</f>
        <v/>
      </c>
      <c r="AA38" s="40" t="str">
        <f ca="1">IFERROR(IF(AND(
  INDEX(Roadmap!$D:$K,MATCH($E38,Roadmap!$D:$D,0)+COUNTIF($E38:Z38,"u")+COUNTIF($E38:Z38,"t")+COUNTIF($E38:Z38,"¶")+COUNTIF($E38:Z38,"²")+COUNTIF($E38:Z38,"µ")+COUNTIF($E38:Z38,1),ColLivraison)=AA$6,
  VLOOKUP($E38,INDIRECT("tri!"&amp; CHAR(64+ C0Col) &amp;":"&amp; CHAR(65+C0Col)),2,FALSE)&gt;COUNTIF($E38:Z38,"u")+COUNTIF($E38:Z38,"t")+COUNTIF($E38:Z38,"¶")+COUNTIF($E38:Z38,"²")+COUNTIF($E38:Z38,"µ")+COUNTIF($E38:Z38,1)),
HYPERLINK("#Roadmap!C"&amp; MATCH($E38,Roadmap!$D:$D,0)+COUNTIF($E38:Z38,"u")+COUNTIF($E38:Z38,"t"),
     INDEX(Roadmap!$D:$K,MATCH($E38,Roadmap!$D:$D,0)+COUNTIF($E38:Z38,"u")+COUNTIF($E38:Z38,"t")+COUNTIF($E38:Z38,"¶")+COUNTIF($E38:Z38,"²")+COUNTIF($E38:Z38,"µ")+COUNTIF($E38:Z38,1),ColTypeEcheance)),
  IF(LEN(Z38)=1,
  IF(LEN(INDEX(Roadmap!$D:$K,MATCH($E38,Roadmap!$D:$D,0)-1+COUNTIF($E38:Z38,"u")+COUNTIF($E38:Z38,"t")+COUNTIF($E38:Z38,"¶")+COUNTIF($E38:Z38,"²")+COUNTIF($E38:Z38,"µ")+COUNTIF($E38:Z38,1),ColDescriptionCourte))&gt;1,
HYPERLINK("#Roadmap!C"&amp; MATCH($E38,Roadmap!$D:$D,0)+COUNTIF($E38:Z38,"u")+COUNTIF($E38:Z38,"t")+COUNTIF($E38:Z38,"¶")+COUNTIF($E38:Z38,"²")+COUNTIF($E38:Z38,"µ")+COUNTIF($E38:Z38,1)-1,INDEX(Roadmap!$D:$K,MATCH($E38,Roadmap!$D:$D,0)-1+COUNTIF($E38:Z38,"u")+COUNTIF($E38:Z38,"t")+COUNTIF($E38:Z38,"¶")+COUNTIF($E38:Z38,"²")+COUNTIF($E38:Z38,"µ")+COUNTIF($E38:Z38,1),ColDescriptionCourte)),""),
  "")),"")</f>
        <v/>
      </c>
      <c r="AB38" s="40" t="str">
        <f ca="1">IFERROR(IF(AND(
  INDEX(Roadmap!$D:$K,MATCH($E38,Roadmap!$D:$D,0)+COUNTIF($E38:AA38,"u")+COUNTIF($E38:AA38,"t")+COUNTIF($E38:AA38,"¶")+COUNTIF($E38:AA38,"²")+COUNTIF($E38:AA38,"µ")+COUNTIF($E38:AA38,1),ColLivraison)=AB$6,
  VLOOKUP($E38,INDIRECT("tri!"&amp; CHAR(64+ C0Col) &amp;":"&amp; CHAR(65+C0Col)),2,FALSE)&gt;COUNTIF($E38:AA38,"u")+COUNTIF($E38:AA38,"t")+COUNTIF($E38:AA38,"¶")+COUNTIF($E38:AA38,"²")+COUNTIF($E38:AA38,"µ")+COUNTIF($E38:AA38,1)),
HYPERLINK("#Roadmap!C"&amp; MATCH($E38,Roadmap!$D:$D,0)+COUNTIF($E38:AA38,"u")+COUNTIF($E38:AA38,"t"),
     INDEX(Roadmap!$D:$K,MATCH($E38,Roadmap!$D:$D,0)+COUNTIF($E38:AA38,"u")+COUNTIF($E38:AA38,"t")+COUNTIF($E38:AA38,"¶")+COUNTIF($E38:AA38,"²")+COUNTIF($E38:AA38,"µ")+COUNTIF($E38:AA38,1),ColTypeEcheance)),
  IF(LEN(AA38)=1,
  IF(LEN(INDEX(Roadmap!$D:$K,MATCH($E38,Roadmap!$D:$D,0)-1+COUNTIF($E38:AA38,"u")+COUNTIF($E38:AA38,"t")+COUNTIF($E38:AA38,"¶")+COUNTIF($E38:AA38,"²")+COUNTIF($E38:AA38,"µ")+COUNTIF($E38:AA38,1),ColDescriptionCourte))&gt;1,
HYPERLINK("#Roadmap!C"&amp; MATCH($E38,Roadmap!$D:$D,0)+COUNTIF($E38:AA38,"u")+COUNTIF($E38:AA38,"t")+COUNTIF($E38:AA38,"¶")+COUNTIF($E38:AA38,"²")+COUNTIF($E38:AA38,"µ")+COUNTIF($E38:AA38,1)-1,INDEX(Roadmap!$D:$K,MATCH($E38,Roadmap!$D:$D,0)-1+COUNTIF($E38:AA38,"u")+COUNTIF($E38:AA38,"t")+COUNTIF($E38:AA38,"¶")+COUNTIF($E38:AA38,"²")+COUNTIF($E38:AA38,"µ")+COUNTIF($E38:AA38,1),ColDescriptionCourte)),""),
  "")),"")</f>
        <v/>
      </c>
      <c r="AC38" s="40" t="str">
        <f ca="1">IFERROR(IF(AND(
  INDEX(Roadmap!$D:$K,MATCH($E38,Roadmap!$D:$D,0)+COUNTIF($E38:AB38,"u")+COUNTIF($E38:AB38,"t")+COUNTIF($E38:AB38,"¶")+COUNTIF($E38:AB38,"²")+COUNTIF($E38:AB38,"µ")+COUNTIF($E38:AB38,1),ColLivraison)=AC$6,
  VLOOKUP($E38,INDIRECT("tri!"&amp; CHAR(64+ C0Col) &amp;":"&amp; CHAR(65+C0Col)),2,FALSE)&gt;COUNTIF($E38:AB38,"u")+COUNTIF($E38:AB38,"t")+COUNTIF($E38:AB38,"¶")+COUNTIF($E38:AB38,"²")+COUNTIF($E38:AB38,"µ")+COUNTIF($E38:AB38,1)),
HYPERLINK("#Roadmap!C"&amp; MATCH($E38,Roadmap!$D:$D,0)+COUNTIF($E38:AB38,"u")+COUNTIF($E38:AB38,"t"),
     INDEX(Roadmap!$D:$K,MATCH($E38,Roadmap!$D:$D,0)+COUNTIF($E38:AB38,"u")+COUNTIF($E38:AB38,"t")+COUNTIF($E38:AB38,"¶")+COUNTIF($E38:AB38,"²")+COUNTIF($E38:AB38,"µ")+COUNTIF($E38:AB38,1),ColTypeEcheance)),
  IF(LEN(AB38)=1,
  IF(LEN(INDEX(Roadmap!$D:$K,MATCH($E38,Roadmap!$D:$D,0)-1+COUNTIF($E38:AB38,"u")+COUNTIF($E38:AB38,"t")+COUNTIF($E38:AB38,"¶")+COUNTIF($E38:AB38,"²")+COUNTIF($E38:AB38,"µ")+COUNTIF($E38:AB38,1),ColDescriptionCourte))&gt;1,
HYPERLINK("#Roadmap!C"&amp; MATCH($E38,Roadmap!$D:$D,0)+COUNTIF($E38:AB38,"u")+COUNTIF($E38:AB38,"t")+COUNTIF($E38:AB38,"¶")+COUNTIF($E38:AB38,"²")+COUNTIF($E38:AB38,"µ")+COUNTIF($E38:AB38,1)-1,INDEX(Roadmap!$D:$K,MATCH($E38,Roadmap!$D:$D,0)-1+COUNTIF($E38:AB38,"u")+COUNTIF($E38:AB38,"t")+COUNTIF($E38:AB38,"¶")+COUNTIF($E38:AB38,"²")+COUNTIF($E38:AB38,"µ")+COUNTIF($E38:AB38,1),ColDescriptionCourte)),""),
  "")),"")</f>
        <v/>
      </c>
      <c r="AD38" s="40" t="str">
        <f ca="1">IFERROR(IF(AND(
  INDEX(Roadmap!$D:$K,MATCH($E38,Roadmap!$D:$D,0)+COUNTIF($E38:AC38,"u")+COUNTIF($E38:AC38,"t")+COUNTIF($E38:AC38,"¶")+COUNTIF($E38:AC38,"²")+COUNTIF($E38:AC38,"µ")+COUNTIF($E38:AC38,1),ColLivraison)=AD$6,
  VLOOKUP($E38,INDIRECT("tri!"&amp; CHAR(64+ C0Col) &amp;":"&amp; CHAR(65+C0Col)),2,FALSE)&gt;COUNTIF($E38:AC38,"u")+COUNTIF($E38:AC38,"t")+COUNTIF($E38:AC38,"¶")+COUNTIF($E38:AC38,"²")+COUNTIF($E38:AC38,"µ")+COUNTIF($E38:AC38,1)),
HYPERLINK("#Roadmap!C"&amp; MATCH($E38,Roadmap!$D:$D,0)+COUNTIF($E38:AC38,"u")+COUNTIF($E38:AC38,"t"),
     INDEX(Roadmap!$D:$K,MATCH($E38,Roadmap!$D:$D,0)+COUNTIF($E38:AC38,"u")+COUNTIF($E38:AC38,"t")+COUNTIF($E38:AC38,"¶")+COUNTIF($E38:AC38,"²")+COUNTIF($E38:AC38,"µ")+COUNTIF($E38:AC38,1),ColTypeEcheance)),
  IF(LEN(AC38)=1,
  IF(LEN(INDEX(Roadmap!$D:$K,MATCH($E38,Roadmap!$D:$D,0)-1+COUNTIF($E38:AC38,"u")+COUNTIF($E38:AC38,"t")+COUNTIF($E38:AC38,"¶")+COUNTIF($E38:AC38,"²")+COUNTIF($E38:AC38,"µ")+COUNTIF($E38:AC38,1),ColDescriptionCourte))&gt;1,
HYPERLINK("#Roadmap!C"&amp; MATCH($E38,Roadmap!$D:$D,0)+COUNTIF($E38:AC38,"u")+COUNTIF($E38:AC38,"t")+COUNTIF($E38:AC38,"¶")+COUNTIF($E38:AC38,"²")+COUNTIF($E38:AC38,"µ")+COUNTIF($E38:AC38,1)-1,INDEX(Roadmap!$D:$K,MATCH($E38,Roadmap!$D:$D,0)-1+COUNTIF($E38:AC38,"u")+COUNTIF($E38:AC38,"t")+COUNTIF($E38:AC38,"¶")+COUNTIF($E38:AC38,"²")+COUNTIF($E38:AC38,"µ")+COUNTIF($E38:AC38,1),ColDescriptionCourte)),""),
  "")),"")</f>
        <v/>
      </c>
      <c r="AE38" s="40" t="str">
        <f ca="1">IFERROR(IF(AND(
  INDEX(Roadmap!$D:$K,MATCH($E38,Roadmap!$D:$D,0)+COUNTIF($E38:AD38,"u")+COUNTIF($E38:AD38,"t")+COUNTIF($E38:AD38,"¶")+COUNTIF($E38:AD38,"²")+COUNTIF($E38:AD38,"µ")+COUNTIF($E38:AD38,1),ColLivraison)=AE$6,
  VLOOKUP($E38,INDIRECT("tri!"&amp; CHAR(64+ C0Col) &amp;":"&amp; CHAR(65+C0Col)),2,FALSE)&gt;COUNTIF($E38:AD38,"u")+COUNTIF($E38:AD38,"t")+COUNTIF($E38:AD38,"¶")+COUNTIF($E38:AD38,"²")+COUNTIF($E38:AD38,"µ")+COUNTIF($E38:AD38,1)),
HYPERLINK("#Roadmap!C"&amp; MATCH($E38,Roadmap!$D:$D,0)+COUNTIF($E38:AD38,"u")+COUNTIF($E38:AD38,"t"),
     INDEX(Roadmap!$D:$K,MATCH($E38,Roadmap!$D:$D,0)+COUNTIF($E38:AD38,"u")+COUNTIF($E38:AD38,"t")+COUNTIF($E38:AD38,"¶")+COUNTIF($E38:AD38,"²")+COUNTIF($E38:AD38,"µ")+COUNTIF($E38:AD38,1),ColTypeEcheance)),
  IF(LEN(AD38)=1,
  IF(LEN(INDEX(Roadmap!$D:$K,MATCH($E38,Roadmap!$D:$D,0)-1+COUNTIF($E38:AD38,"u")+COUNTIF($E38:AD38,"t")+COUNTIF($E38:AD38,"¶")+COUNTIF($E38:AD38,"²")+COUNTIF($E38:AD38,"µ")+COUNTIF($E38:AD38,1),ColDescriptionCourte))&gt;1,
HYPERLINK("#Roadmap!C"&amp; MATCH($E38,Roadmap!$D:$D,0)+COUNTIF($E38:AD38,"u")+COUNTIF($E38:AD38,"t")+COUNTIF($E38:AD38,"¶")+COUNTIF($E38:AD38,"²")+COUNTIF($E38:AD38,"µ")+COUNTIF($E38:AD38,1)-1,INDEX(Roadmap!$D:$K,MATCH($E38,Roadmap!$D:$D,0)-1+COUNTIF($E38:AD38,"u")+COUNTIF($E38:AD38,"t")+COUNTIF($E38:AD38,"¶")+COUNTIF($E38:AD38,"²")+COUNTIF($E38:AD38,"µ")+COUNTIF($E38:AD38,1),ColDescriptionCourte)),""),
  "")),"")</f>
        <v/>
      </c>
      <c r="AF38" s="40" t="str">
        <f ca="1">IFERROR(IF(AND(
  INDEX(Roadmap!$D:$K,MATCH($E38,Roadmap!$D:$D,0)+COUNTIF($E38:AE38,"u")+COUNTIF($E38:AE38,"t")+COUNTIF($E38:AE38,"¶")+COUNTIF($E38:AE38,"²")+COUNTIF($E38:AE38,"µ")+COUNTIF($E38:AE38,1),ColLivraison)=AF$6,
  VLOOKUP($E38,INDIRECT("tri!"&amp; CHAR(64+ C0Col) &amp;":"&amp; CHAR(65+C0Col)),2,FALSE)&gt;COUNTIF($E38:AE38,"u")+COUNTIF($E38:AE38,"t")+COUNTIF($E38:AE38,"¶")+COUNTIF($E38:AE38,"²")+COUNTIF($E38:AE38,"µ")+COUNTIF($E38:AE38,1)),
HYPERLINK("#Roadmap!C"&amp; MATCH($E38,Roadmap!$D:$D,0)+COUNTIF($E38:AE38,"u")+COUNTIF($E38:AE38,"t"),
     INDEX(Roadmap!$D:$K,MATCH($E38,Roadmap!$D:$D,0)+COUNTIF($E38:AE38,"u")+COUNTIF($E38:AE38,"t")+COUNTIF($E38:AE38,"¶")+COUNTIF($E38:AE38,"²")+COUNTIF($E38:AE38,"µ")+COUNTIF($E38:AE38,1),ColTypeEcheance)),
  IF(LEN(AE38)=1,
  IF(LEN(INDEX(Roadmap!$D:$K,MATCH($E38,Roadmap!$D:$D,0)-1+COUNTIF($E38:AE38,"u")+COUNTIF($E38:AE38,"t")+COUNTIF($E38:AE38,"¶")+COUNTIF($E38:AE38,"²")+COUNTIF($E38:AE38,"µ")+COUNTIF($E38:AE38,1),ColDescriptionCourte))&gt;1,
HYPERLINK("#Roadmap!C"&amp; MATCH($E38,Roadmap!$D:$D,0)+COUNTIF($E38:AE38,"u")+COUNTIF($E38:AE38,"t")+COUNTIF($E38:AE38,"¶")+COUNTIF($E38:AE38,"²")+COUNTIF($E38:AE38,"µ")+COUNTIF($E38:AE38,1)-1,INDEX(Roadmap!$D:$K,MATCH($E38,Roadmap!$D:$D,0)-1+COUNTIF($E38:AE38,"u")+COUNTIF($E38:AE38,"t")+COUNTIF($E38:AE38,"¶")+COUNTIF($E38:AE38,"²")+COUNTIF($E38:AE38,"µ")+COUNTIF($E38:AE38,1),ColDescriptionCourte)),""),
  "")),"")</f>
        <v/>
      </c>
      <c r="AG38" s="40" t="str">
        <f ca="1">IFERROR(IF(AND(
  INDEX(Roadmap!$D:$K,MATCH($E38,Roadmap!$D:$D,0)+COUNTIF($E38:AF38,"u")+COUNTIF($E38:AF38,"t")+COUNTIF($E38:AF38,"¶")+COUNTIF($E38:AF38,"²")+COUNTIF($E38:AF38,"µ")+COUNTIF($E38:AF38,1),ColLivraison)=AG$6,
  VLOOKUP($E38,INDIRECT("tri!"&amp; CHAR(64+ C0Col) &amp;":"&amp; CHAR(65+C0Col)),2,FALSE)&gt;COUNTIF($E38:AF38,"u")+COUNTIF($E38:AF38,"t")+COUNTIF($E38:AF38,"¶")+COUNTIF($E38:AF38,"²")+COUNTIF($E38:AF38,"µ")+COUNTIF($E38:AF38,1)),
HYPERLINK("#Roadmap!C"&amp; MATCH($E38,Roadmap!$D:$D,0)+COUNTIF($E38:AF38,"u")+COUNTIF($E38:AF38,"t"),
     INDEX(Roadmap!$D:$K,MATCH($E38,Roadmap!$D:$D,0)+COUNTIF($E38:AF38,"u")+COUNTIF($E38:AF38,"t")+COUNTIF($E38:AF38,"¶")+COUNTIF($E38:AF38,"²")+COUNTIF($E38:AF38,"µ")+COUNTIF($E38:AF38,1),ColTypeEcheance)),
  IF(LEN(AF38)=1,
  IF(LEN(INDEX(Roadmap!$D:$K,MATCH($E38,Roadmap!$D:$D,0)-1+COUNTIF($E38:AF38,"u")+COUNTIF($E38:AF38,"t")+COUNTIF($E38:AF38,"¶")+COUNTIF($E38:AF38,"²")+COUNTIF($E38:AF38,"µ")+COUNTIF($E38:AF38,1),ColDescriptionCourte))&gt;1,
HYPERLINK("#Roadmap!C"&amp; MATCH($E38,Roadmap!$D:$D,0)+COUNTIF($E38:AF38,"u")+COUNTIF($E38:AF38,"t")+COUNTIF($E38:AF38,"¶")+COUNTIF($E38:AF38,"²")+COUNTIF($E38:AF38,"µ")+COUNTIF($E38:AF38,1)-1,INDEX(Roadmap!$D:$K,MATCH($E38,Roadmap!$D:$D,0)-1+COUNTIF($E38:AF38,"u")+COUNTIF($E38:AF38,"t")+COUNTIF($E38:AF38,"¶")+COUNTIF($E38:AF38,"²")+COUNTIF($E38:AF38,"µ")+COUNTIF($E38:AF38,1),ColDescriptionCourte)),""),
  "")),"")</f>
        <v/>
      </c>
    </row>
    <row r="39" spans="3:33" ht="14.25" customHeight="1">
      <c r="C39" s="1" t="str">
        <f t="shared" ref="C39:C70" ca="1" si="44">IFERROR(IF(LEN(INDIRECT(ADDRESS(C0Ligne+ROW()-MaquetteLigne0,C0Col-2,1,1,"Tri")))&lt;2,"",IF(LEFT(INDIRECT(ADDRESS(C0Ligne+ROW()-MaquetteLigne0,C0Col-2,1,1,"Tri")),5)="Total","",INDIRECT(ADDRESS(C0Ligne+ROW()-MaquetteLigne0,C0Col-2,1,1,"Tri")))),"")</f>
        <v/>
      </c>
      <c r="D39" s="1" t="str">
        <f t="shared" ref="D39:D70" ca="1" si="45">IFERROR(IF(LEN(INDIRECT(ADDRESS(C0Ligne+ROW()-MaquetteLigne0,C0Col-1,1,1,"Tri")))&lt;2,"",IF(LEFT(INDIRECT(ADDRESS(C0Ligne+ROW()-MaquetteLigne0,C0Col-1,1,1,"Tri")),5)="Total","",INDIRECT(ADDRESS(C0Ligne+ROW()-MaquetteLigne0,C0Col-1,1,1,"Tri")))),"")</f>
        <v/>
      </c>
      <c r="E39" s="35" t="str">
        <f t="shared" ca="1" si="33"/>
        <v/>
      </c>
      <c r="F39" s="39" t="str">
        <f ca="1">IFERROR(IF(AND(
  INDEX(Roadmap!$D:$K,MATCH($E39,Roadmap!$D:$D,0)+COUNTIF($E39:E39,"u")+COUNTIF($E39:E39,"t")+COUNTIF($E39:E39,"¶")+COUNTIF($E39:E39,"²")+COUNTIF($E39:E39,"µ")+COUNTIF($E39:E39,1),ColLivraison)=F$6,
  VLOOKUP($E39,INDIRECT("tri!"&amp; CHAR(64+ C0Col) &amp;":"&amp; CHAR(65+C0Col)),2,FALSE)&gt;COUNTIF($E39:E39,"u")+COUNTIF($E39:E39,"t")+COUNTIF($E39:E39,"¶")+COUNTIF($E39:E39,"²")+COUNTIF($E39:E39,"µ")+COUNTIF($E39:E39,1)),
HYPERLINK("#Roadmap!C"&amp; MATCH($E39,Roadmap!$D:$D,0)+COUNTIF($E39:E39,"u")+COUNTIF($E39:E39,"t"),
     INDEX(Roadmap!$D:$K,MATCH($E39,Roadmap!$D:$D,0)+COUNTIF($E39:E39,"u")+COUNTIF($E39:E39,"t")+COUNTIF($E39:E39,"¶")+COUNTIF($E39:E39,"²")+COUNTIF($E39:E39,"µ")+COUNTIF($E39:E39,1),ColTypeEcheance)),
  IF(LEN(E39)=1,
  IF(LEN(INDEX(Roadmap!$D:$K,MATCH($E39,Roadmap!$D:$D,0)-1+COUNTIF($E39:E39,"u")+COUNTIF($E39:E39,"t")+COUNTIF($E39:E39,"¶")+COUNTIF($E39:E39,"²")+COUNTIF($E39:E39,"µ")+COUNTIF($E39:E39,1),ColDescriptionCourte))&gt;1,
HYPERLINK("#Roadmap!C"&amp; MATCH($E39,Roadmap!$D:$D,0)+COUNTIF($E39:E39,"u")+COUNTIF($E39:E39,"t")+COUNTIF($E39:E39,"¶")+COUNTIF($E39:E39,"²")+COUNTIF($E39:E39,"µ")+COUNTIF($E39:E39,1)-1,INDEX(Roadmap!$D:$K,MATCH($E39,Roadmap!$D:$D,0)-1+COUNTIF($E39:E39,"u")+COUNTIF($E39:E39,"t")+COUNTIF($E39:E39,"¶")+COUNTIF($E39:E39,"²")+COUNTIF($E39:E39,"µ")+COUNTIF($E39:E39,1),ColDescriptionCourte)),""),
  "")),"")</f>
        <v/>
      </c>
      <c r="G39" s="40" t="str">
        <f ca="1">IFERROR(IF(AND(
  INDEX(Roadmap!$D:$K,MATCH($E39,Roadmap!$D:$D,0)+COUNTIF($E39:F39,"u")+COUNTIF($E39:F39,"t")+COUNTIF($E39:F39,"¶")+COUNTIF($E39:F39,"²")+COUNTIF($E39:F39,"µ")+COUNTIF($E39:F39,1),ColLivraison)=G$6,
  VLOOKUP($E39,INDIRECT("tri!"&amp; CHAR(64+ C0Col) &amp;":"&amp; CHAR(65+C0Col)),2,FALSE)&gt;COUNTIF($E39:F39,"u")+COUNTIF($E39:F39,"t")+COUNTIF($E39:F39,"¶")+COUNTIF($E39:F39,"²")+COUNTIF($E39:F39,"µ")+COUNTIF($E39:F39,1)),
HYPERLINK("#Roadmap!C"&amp; MATCH($E39,Roadmap!$D:$D,0)+COUNTIF($E39:F39,"u")+COUNTIF($E39:F39,"t"),
     INDEX(Roadmap!$D:$K,MATCH($E39,Roadmap!$D:$D,0)+COUNTIF($E39:F39,"u")+COUNTIF($E39:F39,"t")+COUNTIF($E39:F39,"¶")+COUNTIF($E39:F39,"²")+COUNTIF($E39:F39,"µ")+COUNTIF($E39:F39,1),ColTypeEcheance)),
  IF(LEN(F39)=1,
  IF(LEN(INDEX(Roadmap!$D:$K,MATCH($E39,Roadmap!$D:$D,0)-1+COUNTIF($E39:F39,"u")+COUNTIF($E39:F39,"t")+COUNTIF($E39:F39,"¶")+COUNTIF($E39:F39,"²")+COUNTIF($E39:F39,"µ")+COUNTIF($E39:F39,1),ColDescriptionCourte))&gt;1,
HYPERLINK("#Roadmap!C"&amp; MATCH($E39,Roadmap!$D:$D,0)+COUNTIF($E39:F39,"u")+COUNTIF($E39:F39,"t")+COUNTIF($E39:F39,"¶")+COUNTIF($E39:F39,"²")+COUNTIF($E39:F39,"µ")+COUNTIF($E39:F39,1)-1,INDEX(Roadmap!$D:$K,MATCH($E39,Roadmap!$D:$D,0)-1+COUNTIF($E39:F39,"u")+COUNTIF($E39:F39,"t")+COUNTIF($E39:F39,"¶")+COUNTIF($E39:F39,"²")+COUNTIF($E39:F39,"µ")+COUNTIF($E39:F39,1),ColDescriptionCourte)),""),
  "")),"")</f>
        <v/>
      </c>
      <c r="H39" s="40" t="str">
        <f ca="1">IFERROR(IF(AND(
  INDEX(Roadmap!$D:$K,MATCH($E39,Roadmap!$D:$D,0)+COUNTIF($E39:G39,"u")+COUNTIF($E39:G39,"t")+COUNTIF($E39:G39,"¶")+COUNTIF($E39:G39,"²")+COUNTIF($E39:G39,"µ")+COUNTIF($E39:G39,1),ColLivraison)=H$6,
  VLOOKUP($E39,INDIRECT("tri!"&amp; CHAR(64+ C0Col) &amp;":"&amp; CHAR(65+C0Col)),2,FALSE)&gt;COUNTIF($E39:G39,"u")+COUNTIF($E39:G39,"t")+COUNTIF($E39:G39,"¶")+COUNTIF($E39:G39,"²")+COUNTIF($E39:G39,"µ")+COUNTIF($E39:G39,1)),
HYPERLINK("#Roadmap!C"&amp; MATCH($E39,Roadmap!$D:$D,0)+COUNTIF($E39:G39,"u")+COUNTIF($E39:G39,"t"),
     INDEX(Roadmap!$D:$K,MATCH($E39,Roadmap!$D:$D,0)+COUNTIF($E39:G39,"u")+COUNTIF($E39:G39,"t")+COUNTIF($E39:G39,"¶")+COUNTIF($E39:G39,"²")+COUNTIF($E39:G39,"µ")+COUNTIF($E39:G39,1),ColTypeEcheance)),
  IF(LEN(G39)=1,
  IF(LEN(INDEX(Roadmap!$D:$K,MATCH($E39,Roadmap!$D:$D,0)-1+COUNTIF($E39:G39,"u")+COUNTIF($E39:G39,"t")+COUNTIF($E39:G39,"¶")+COUNTIF($E39:G39,"²")+COUNTIF($E39:G39,"µ")+COUNTIF($E39:G39,1),ColDescriptionCourte))&gt;1,
HYPERLINK("#Roadmap!C"&amp; MATCH($E39,Roadmap!$D:$D,0)+COUNTIF($E39:G39,"u")+COUNTIF($E39:G39,"t")+COUNTIF($E39:G39,"¶")+COUNTIF($E39:G39,"²")+COUNTIF($E39:G39,"µ")+COUNTIF($E39:G39,1)-1,INDEX(Roadmap!$D:$K,MATCH($E39,Roadmap!$D:$D,0)-1+COUNTIF($E39:G39,"u")+COUNTIF($E39:G39,"t")+COUNTIF($E39:G39,"¶")+COUNTIF($E39:G39,"²")+COUNTIF($E39:G39,"µ")+COUNTIF($E39:G39,1),ColDescriptionCourte)),""),
  "")),"")</f>
        <v/>
      </c>
      <c r="I39" s="40" t="str">
        <f ca="1">IFERROR(IF(AND(
  INDEX(Roadmap!$D:$K,MATCH($E39,Roadmap!$D:$D,0)+COUNTIF($E39:H39,"u")+COUNTIF($E39:H39,"t")+COUNTIF($E39:H39,"¶")+COUNTIF($E39:H39,"²")+COUNTIF($E39:H39,"µ")+COUNTIF($E39:H39,1),ColLivraison)=I$6,
  VLOOKUP($E39,INDIRECT("tri!"&amp; CHAR(64+ C0Col) &amp;":"&amp; CHAR(65+C0Col)),2,FALSE)&gt;COUNTIF($E39:H39,"u")+COUNTIF($E39:H39,"t")+COUNTIF($E39:H39,"¶")+COUNTIF($E39:H39,"²")+COUNTIF($E39:H39,"µ")+COUNTIF($E39:H39,1)),
HYPERLINK("#Roadmap!C"&amp; MATCH($E39,Roadmap!$D:$D,0)+COUNTIF($E39:H39,"u")+COUNTIF($E39:H39,"t"),
     INDEX(Roadmap!$D:$K,MATCH($E39,Roadmap!$D:$D,0)+COUNTIF($E39:H39,"u")+COUNTIF($E39:H39,"t")+COUNTIF($E39:H39,"¶")+COUNTIF($E39:H39,"²")+COUNTIF($E39:H39,"µ")+COUNTIF($E39:H39,1),ColTypeEcheance)),
  IF(LEN(H39)=1,
  IF(LEN(INDEX(Roadmap!$D:$K,MATCH($E39,Roadmap!$D:$D,0)-1+COUNTIF($E39:H39,"u")+COUNTIF($E39:H39,"t")+COUNTIF($E39:H39,"¶")+COUNTIF($E39:H39,"²")+COUNTIF($E39:H39,"µ")+COUNTIF($E39:H39,1),ColDescriptionCourte))&gt;1,
HYPERLINK("#Roadmap!C"&amp; MATCH($E39,Roadmap!$D:$D,0)+COUNTIF($E39:H39,"u")+COUNTIF($E39:H39,"t")+COUNTIF($E39:H39,"¶")+COUNTIF($E39:H39,"²")+COUNTIF($E39:H39,"µ")+COUNTIF($E39:H39,1)-1,INDEX(Roadmap!$D:$K,MATCH($E39,Roadmap!$D:$D,0)-1+COUNTIF($E39:H39,"u")+COUNTIF($E39:H39,"t")+COUNTIF($E39:H39,"¶")+COUNTIF($E39:H39,"²")+COUNTIF($E39:H39,"µ")+COUNTIF($E39:H39,1),ColDescriptionCourte)),""),
  "")),"")</f>
        <v/>
      </c>
      <c r="J39" s="40" t="str">
        <f ca="1">IFERROR(IF(AND(
  INDEX(Roadmap!$D:$K,MATCH($E39,Roadmap!$D:$D,0)+COUNTIF($E39:I39,"u")+COUNTIF($E39:I39,"t")+COUNTIF($E39:I39,"¶")+COUNTIF($E39:I39,"²")+COUNTIF($E39:I39,"µ")+COUNTIF($E39:I39,1),ColLivraison)=J$6,
  VLOOKUP($E39,INDIRECT("tri!"&amp; CHAR(64+ C0Col) &amp;":"&amp; CHAR(65+C0Col)),2,FALSE)&gt;COUNTIF($E39:I39,"u")+COUNTIF($E39:I39,"t")+COUNTIF($E39:I39,"¶")+COUNTIF($E39:I39,"²")+COUNTIF($E39:I39,"µ")+COUNTIF($E39:I39,1)),
HYPERLINK("#Roadmap!C"&amp; MATCH($E39,Roadmap!$D:$D,0)+COUNTIF($E39:I39,"u")+COUNTIF($E39:I39,"t"),
     INDEX(Roadmap!$D:$K,MATCH($E39,Roadmap!$D:$D,0)+COUNTIF($E39:I39,"u")+COUNTIF($E39:I39,"t")+COUNTIF($E39:I39,"¶")+COUNTIF($E39:I39,"²")+COUNTIF($E39:I39,"µ")+COUNTIF($E39:I39,1),ColTypeEcheance)),
  IF(LEN(I39)=1,
  IF(LEN(INDEX(Roadmap!$D:$K,MATCH($E39,Roadmap!$D:$D,0)-1+COUNTIF($E39:I39,"u")+COUNTIF($E39:I39,"t")+COUNTIF($E39:I39,"¶")+COUNTIF($E39:I39,"²")+COUNTIF($E39:I39,"µ")+COUNTIF($E39:I39,1),ColDescriptionCourte))&gt;1,
HYPERLINK("#Roadmap!C"&amp; MATCH($E39,Roadmap!$D:$D,0)+COUNTIF($E39:I39,"u")+COUNTIF($E39:I39,"t")+COUNTIF($E39:I39,"¶")+COUNTIF($E39:I39,"²")+COUNTIF($E39:I39,"µ")+COUNTIF($E39:I39,1)-1,INDEX(Roadmap!$D:$K,MATCH($E39,Roadmap!$D:$D,0)-1+COUNTIF($E39:I39,"u")+COUNTIF($E39:I39,"t")+COUNTIF($E39:I39,"¶")+COUNTIF($E39:I39,"²")+COUNTIF($E39:I39,"µ")+COUNTIF($E39:I39,1),ColDescriptionCourte)),""),
  "")),"")</f>
        <v/>
      </c>
      <c r="K39" s="40" t="str">
        <f ca="1">IFERROR(IF(AND(
  INDEX(Roadmap!$D:$K,MATCH($E39,Roadmap!$D:$D,0)+COUNTIF($E39:J39,"u")+COUNTIF($E39:J39,"t")+COUNTIF($E39:J39,"¶")+COUNTIF($E39:J39,"²")+COUNTIF($E39:J39,"µ")+COUNTIF($E39:J39,1),ColLivraison)=K$6,
  VLOOKUP($E39,INDIRECT("tri!"&amp; CHAR(64+ C0Col) &amp;":"&amp; CHAR(65+C0Col)),2,FALSE)&gt;COUNTIF($E39:J39,"u")+COUNTIF($E39:J39,"t")+COUNTIF($E39:J39,"¶")+COUNTIF($E39:J39,"²")+COUNTIF($E39:J39,"µ")+COUNTIF($E39:J39,1)),
HYPERLINK("#Roadmap!C"&amp; MATCH($E39,Roadmap!$D:$D,0)+COUNTIF($E39:J39,"u")+COUNTIF($E39:J39,"t"),
     INDEX(Roadmap!$D:$K,MATCH($E39,Roadmap!$D:$D,0)+COUNTIF($E39:J39,"u")+COUNTIF($E39:J39,"t")+COUNTIF($E39:J39,"¶")+COUNTIF($E39:J39,"²")+COUNTIF($E39:J39,"µ")+COUNTIF($E39:J39,1),ColTypeEcheance)),
  IF(LEN(J39)=1,
  IF(LEN(INDEX(Roadmap!$D:$K,MATCH($E39,Roadmap!$D:$D,0)-1+COUNTIF($E39:J39,"u")+COUNTIF($E39:J39,"t")+COUNTIF($E39:J39,"¶")+COUNTIF($E39:J39,"²")+COUNTIF($E39:J39,"µ")+COUNTIF($E39:J39,1),ColDescriptionCourte))&gt;1,
HYPERLINK("#Roadmap!C"&amp; MATCH($E39,Roadmap!$D:$D,0)+COUNTIF($E39:J39,"u")+COUNTIF($E39:J39,"t")+COUNTIF($E39:J39,"¶")+COUNTIF($E39:J39,"²")+COUNTIF($E39:J39,"µ")+COUNTIF($E39:J39,1)-1,INDEX(Roadmap!$D:$K,MATCH($E39,Roadmap!$D:$D,0)-1+COUNTIF($E39:J39,"u")+COUNTIF($E39:J39,"t")+COUNTIF($E39:J39,"¶")+COUNTIF($E39:J39,"²")+COUNTIF($E39:J39,"µ")+COUNTIF($E39:J39,1),ColDescriptionCourte)),""),
  "")),"")</f>
        <v/>
      </c>
      <c r="L39" s="39" t="str">
        <f ca="1">IFERROR(IF(AND(
  INDEX(Roadmap!$D:$K,MATCH($E39,Roadmap!$D:$D,0)+COUNTIF($E39:K39,"u")+COUNTIF($E39:K39,"t")+COUNTIF($E39:K39,"¶")+COUNTIF($E39:K39,"²")+COUNTIF($E39:K39,"µ")+COUNTIF($E39:K39,1),ColLivraison)=L$6,
  VLOOKUP($E39,INDIRECT("tri!"&amp; CHAR(64+ C0Col) &amp;":"&amp; CHAR(65+C0Col)),2,FALSE)&gt;COUNTIF($E39:K39,"u")+COUNTIF($E39:K39,"t")+COUNTIF($E39:K39,"¶")+COUNTIF($E39:K39,"²")+COUNTIF($E39:K39,"µ")+COUNTIF($E39:K39,1)),
HYPERLINK("#Roadmap!C"&amp; MATCH($E39,Roadmap!$D:$D,0)+COUNTIF($E39:K39,"u")+COUNTIF($E39:K39,"t"),
     INDEX(Roadmap!$D:$K,MATCH($E39,Roadmap!$D:$D,0)+COUNTIF($E39:K39,"u")+COUNTIF($E39:K39,"t")+COUNTIF($E39:K39,"¶")+COUNTIF($E39:K39,"²")+COUNTIF($E39:K39,"µ")+COUNTIF($E39:K39,1),ColTypeEcheance)),
  IF(LEN(K39)=1,
  IF(LEN(INDEX(Roadmap!$D:$K,MATCH($E39,Roadmap!$D:$D,0)-1+COUNTIF($E39:K39,"u")+COUNTIF($E39:K39,"t")+COUNTIF($E39:K39,"¶")+COUNTIF($E39:K39,"²")+COUNTIF($E39:K39,"µ")+COUNTIF($E39:K39,1),ColDescriptionCourte))&gt;1,
HYPERLINK("#Roadmap!C"&amp; MATCH($E39,Roadmap!$D:$D,0)+COUNTIF($E39:K39,"u")+COUNTIF($E39:K39,"t")+COUNTIF($E39:K39,"¶")+COUNTIF($E39:K39,"²")+COUNTIF($E39:K39,"µ")+COUNTIF($E39:K39,1)-1,INDEX(Roadmap!$D:$K,MATCH($E39,Roadmap!$D:$D,0)-1+COUNTIF($E39:K39,"u")+COUNTIF($E39:K39,"t")+COUNTIF($E39:K39,"¶")+COUNTIF($E39:K39,"²")+COUNTIF($E39:K39,"µ")+COUNTIF($E39:K39,1),ColDescriptionCourte)),""),
  "")),"")</f>
        <v/>
      </c>
      <c r="M39" s="40" t="str">
        <f ca="1">IFERROR(IF(AND(
  INDEX(Roadmap!$D:$K,MATCH($E39,Roadmap!$D:$D,0)+COUNTIF($E39:L39,"u")+COUNTIF($E39:L39,"t")+COUNTIF($E39:L39,"¶")+COUNTIF($E39:L39,"²")+COUNTIF($E39:L39,"µ")+COUNTIF($E39:L39,1),ColLivraison)=M$6,
  VLOOKUP($E39,INDIRECT("tri!"&amp; CHAR(64+ C0Col) &amp;":"&amp; CHAR(65+C0Col)),2,FALSE)&gt;COUNTIF($E39:L39,"u")+COUNTIF($E39:L39,"t")+COUNTIF($E39:L39,"¶")+COUNTIF($E39:L39,"²")+COUNTIF($E39:L39,"µ")+COUNTIF($E39:L39,1)),
HYPERLINK("#Roadmap!C"&amp; MATCH($E39,Roadmap!$D:$D,0)+COUNTIF($E39:L39,"u")+COUNTIF($E39:L39,"t"),
     INDEX(Roadmap!$D:$K,MATCH($E39,Roadmap!$D:$D,0)+COUNTIF($E39:L39,"u")+COUNTIF($E39:L39,"t")+COUNTIF($E39:L39,"¶")+COUNTIF($E39:L39,"²")+COUNTIF($E39:L39,"µ")+COUNTIF($E39:L39,1),ColTypeEcheance)),
  IF(LEN(L39)=1,
  IF(LEN(INDEX(Roadmap!$D:$K,MATCH($E39,Roadmap!$D:$D,0)-1+COUNTIF($E39:L39,"u")+COUNTIF($E39:L39,"t")+COUNTIF($E39:L39,"¶")+COUNTIF($E39:L39,"²")+COUNTIF($E39:L39,"µ")+COUNTIF($E39:L39,1),ColDescriptionCourte))&gt;1,
HYPERLINK("#Roadmap!C"&amp; MATCH($E39,Roadmap!$D:$D,0)+COUNTIF($E39:L39,"u")+COUNTIF($E39:L39,"t")+COUNTIF($E39:L39,"¶")+COUNTIF($E39:L39,"²")+COUNTIF($E39:L39,"µ")+COUNTIF($E39:L39,1)-1,INDEX(Roadmap!$D:$K,MATCH($E39,Roadmap!$D:$D,0)-1+COUNTIF($E39:L39,"u")+COUNTIF($E39:L39,"t")+COUNTIF($E39:L39,"¶")+COUNTIF($E39:L39,"²")+COUNTIF($E39:L39,"µ")+COUNTIF($E39:L39,1),ColDescriptionCourte)),""),
  "")),"")</f>
        <v/>
      </c>
      <c r="N39" s="40" t="str">
        <f ca="1">IFERROR(IF(AND(
  INDEX(Roadmap!$D:$K,MATCH($E39,Roadmap!$D:$D,0)+COUNTIF($E39:M39,"u")+COUNTIF($E39:M39,"t")+COUNTIF($E39:M39,"¶")+COUNTIF($E39:M39,"²")+COUNTIF($E39:M39,"µ")+COUNTIF($E39:M39,1),ColLivraison)=N$6,
  VLOOKUP($E39,INDIRECT("tri!"&amp; CHAR(64+ C0Col) &amp;":"&amp; CHAR(65+C0Col)),2,FALSE)&gt;COUNTIF($E39:M39,"u")+COUNTIF($E39:M39,"t")+COUNTIF($E39:M39,"¶")+COUNTIF($E39:M39,"²")+COUNTIF($E39:M39,"µ")+COUNTIF($E39:M39,1)),
HYPERLINK("#Roadmap!C"&amp; MATCH($E39,Roadmap!$D:$D,0)+COUNTIF($E39:M39,"u")+COUNTIF($E39:M39,"t"),
     INDEX(Roadmap!$D:$K,MATCH($E39,Roadmap!$D:$D,0)+COUNTIF($E39:M39,"u")+COUNTIF($E39:M39,"t")+COUNTIF($E39:M39,"¶")+COUNTIF($E39:M39,"²")+COUNTIF($E39:M39,"µ")+COUNTIF($E39:M39,1),ColTypeEcheance)),
  IF(LEN(M39)=1,
  IF(LEN(INDEX(Roadmap!$D:$K,MATCH($E39,Roadmap!$D:$D,0)-1+COUNTIF($E39:M39,"u")+COUNTIF($E39:M39,"t")+COUNTIF($E39:M39,"¶")+COUNTIF($E39:M39,"²")+COUNTIF($E39:M39,"µ")+COUNTIF($E39:M39,1),ColDescriptionCourte))&gt;1,
HYPERLINK("#Roadmap!C"&amp; MATCH($E39,Roadmap!$D:$D,0)+COUNTIF($E39:M39,"u")+COUNTIF($E39:M39,"t")+COUNTIF($E39:M39,"¶")+COUNTIF($E39:M39,"²")+COUNTIF($E39:M39,"µ")+COUNTIF($E39:M39,1)-1,INDEX(Roadmap!$D:$K,MATCH($E39,Roadmap!$D:$D,0)-1+COUNTIF($E39:M39,"u")+COUNTIF($E39:M39,"t")+COUNTIF($E39:M39,"¶")+COUNTIF($E39:M39,"²")+COUNTIF($E39:M39,"µ")+COUNTIF($E39:M39,1),ColDescriptionCourte)),""),
  "")),"")</f>
        <v/>
      </c>
      <c r="O39" s="40" t="str">
        <f ca="1">IFERROR(IF(AND(
  INDEX(Roadmap!$D:$K,MATCH($E39,Roadmap!$D:$D,0)+COUNTIF($E39:N39,"u")+COUNTIF($E39:N39,"t")+COUNTIF($E39:N39,"¶")+COUNTIF($E39:N39,"²")+COUNTIF($E39:N39,"µ")+COUNTIF($E39:N39,1),ColLivraison)=O$6,
  VLOOKUP($E39,INDIRECT("tri!"&amp; CHAR(64+ C0Col) &amp;":"&amp; CHAR(65+C0Col)),2,FALSE)&gt;COUNTIF($E39:N39,"u")+COUNTIF($E39:N39,"t")+COUNTIF($E39:N39,"¶")+COUNTIF($E39:N39,"²")+COUNTIF($E39:N39,"µ")+COUNTIF($E39:N39,1)),
HYPERLINK("#Roadmap!C"&amp; MATCH($E39,Roadmap!$D:$D,0)+COUNTIF($E39:N39,"u")+COUNTIF($E39:N39,"t"),
     INDEX(Roadmap!$D:$K,MATCH($E39,Roadmap!$D:$D,0)+COUNTIF($E39:N39,"u")+COUNTIF($E39:N39,"t")+COUNTIF($E39:N39,"¶")+COUNTIF($E39:N39,"²")+COUNTIF($E39:N39,"µ")+COUNTIF($E39:N39,1),ColTypeEcheance)),
  IF(LEN(N39)=1,
  IF(LEN(INDEX(Roadmap!$D:$K,MATCH($E39,Roadmap!$D:$D,0)-1+COUNTIF($E39:N39,"u")+COUNTIF($E39:N39,"t")+COUNTIF($E39:N39,"¶")+COUNTIF($E39:N39,"²")+COUNTIF($E39:N39,"µ")+COUNTIF($E39:N39,1),ColDescriptionCourte))&gt;1,
HYPERLINK("#Roadmap!C"&amp; MATCH($E39,Roadmap!$D:$D,0)+COUNTIF($E39:N39,"u")+COUNTIF($E39:N39,"t")+COUNTIF($E39:N39,"¶")+COUNTIF($E39:N39,"²")+COUNTIF($E39:N39,"µ")+COUNTIF($E39:N39,1)-1,INDEX(Roadmap!$D:$K,MATCH($E39,Roadmap!$D:$D,0)-1+COUNTIF($E39:N39,"u")+COUNTIF($E39:N39,"t")+COUNTIF($E39:N39,"¶")+COUNTIF($E39:N39,"²")+COUNTIF($E39:N39,"µ")+COUNTIF($E39:N39,1),ColDescriptionCourte)),""),
  "")),"")</f>
        <v/>
      </c>
      <c r="P39" s="40" t="str">
        <f ca="1">IFERROR(IF(AND(
  INDEX(Roadmap!$D:$K,MATCH($E39,Roadmap!$D:$D,0)+COUNTIF($E39:O39,"u")+COUNTIF($E39:O39,"t")+COUNTIF($E39:O39,"¶")+COUNTIF($E39:O39,"²")+COUNTIF($E39:O39,"µ")+COUNTIF($E39:O39,1),ColLivraison)=P$6,
  VLOOKUP($E39,INDIRECT("tri!"&amp; CHAR(64+ C0Col) &amp;":"&amp; CHAR(65+C0Col)),2,FALSE)&gt;COUNTIF($E39:O39,"u")+COUNTIF($E39:O39,"t")+COUNTIF($E39:O39,"¶")+COUNTIF($E39:O39,"²")+COUNTIF($E39:O39,"µ")+COUNTIF($E39:O39,1)),
HYPERLINK("#Roadmap!C"&amp; MATCH($E39,Roadmap!$D:$D,0)+COUNTIF($E39:O39,"u")+COUNTIF($E39:O39,"t"),
     INDEX(Roadmap!$D:$K,MATCH($E39,Roadmap!$D:$D,0)+COUNTIF($E39:O39,"u")+COUNTIF($E39:O39,"t")+COUNTIF($E39:O39,"¶")+COUNTIF($E39:O39,"²")+COUNTIF($E39:O39,"µ")+COUNTIF($E39:O39,1),ColTypeEcheance)),
  IF(LEN(O39)=1,
  IF(LEN(INDEX(Roadmap!$D:$K,MATCH($E39,Roadmap!$D:$D,0)-1+COUNTIF($E39:O39,"u")+COUNTIF($E39:O39,"t")+COUNTIF($E39:O39,"¶")+COUNTIF($E39:O39,"²")+COUNTIF($E39:O39,"µ")+COUNTIF($E39:O39,1),ColDescriptionCourte))&gt;1,
HYPERLINK("#Roadmap!C"&amp; MATCH($E39,Roadmap!$D:$D,0)+COUNTIF($E39:O39,"u")+COUNTIF($E39:O39,"t")+COUNTIF($E39:O39,"¶")+COUNTIF($E39:O39,"²")+COUNTIF($E39:O39,"µ")+COUNTIF($E39:O39,1)-1,INDEX(Roadmap!$D:$K,MATCH($E39,Roadmap!$D:$D,0)-1+COUNTIF($E39:O39,"u")+COUNTIF($E39:O39,"t")+COUNTIF($E39:O39,"¶")+COUNTIF($E39:O39,"²")+COUNTIF($E39:O39,"µ")+COUNTIF($E39:O39,1),ColDescriptionCourte)),""),
  "")),"")</f>
        <v/>
      </c>
      <c r="Q39" s="40" t="str">
        <f ca="1">IFERROR(IF(AND(
  INDEX(Roadmap!$D:$K,MATCH($E39,Roadmap!$D:$D,0)+COUNTIF($E39:P39,"u")+COUNTIF($E39:P39,"t")+COUNTIF($E39:P39,"¶")+COUNTIF($E39:P39,"²")+COUNTIF($E39:P39,"µ")+COUNTIF($E39:P39,1),ColLivraison)=Q$6,
  VLOOKUP($E39,INDIRECT("tri!"&amp; CHAR(64+ C0Col) &amp;":"&amp; CHAR(65+C0Col)),2,FALSE)&gt;COUNTIF($E39:P39,"u")+COUNTIF($E39:P39,"t")+COUNTIF($E39:P39,"¶")+COUNTIF($E39:P39,"²")+COUNTIF($E39:P39,"µ")+COUNTIF($E39:P39,1)),
HYPERLINK("#Roadmap!C"&amp; MATCH($E39,Roadmap!$D:$D,0)+COUNTIF($E39:P39,"u")+COUNTIF($E39:P39,"t"),
     INDEX(Roadmap!$D:$K,MATCH($E39,Roadmap!$D:$D,0)+COUNTIF($E39:P39,"u")+COUNTIF($E39:P39,"t")+COUNTIF($E39:P39,"¶")+COUNTIF($E39:P39,"²")+COUNTIF($E39:P39,"µ")+COUNTIF($E39:P39,1),ColTypeEcheance)),
  IF(LEN(P39)=1,
  IF(LEN(INDEX(Roadmap!$D:$K,MATCH($E39,Roadmap!$D:$D,0)-1+COUNTIF($E39:P39,"u")+COUNTIF($E39:P39,"t")+COUNTIF($E39:P39,"¶")+COUNTIF($E39:P39,"²")+COUNTIF($E39:P39,"µ")+COUNTIF($E39:P39,1),ColDescriptionCourte))&gt;1,
HYPERLINK("#Roadmap!C"&amp; MATCH($E39,Roadmap!$D:$D,0)+COUNTIF($E39:P39,"u")+COUNTIF($E39:P39,"t")+COUNTIF($E39:P39,"¶")+COUNTIF($E39:P39,"²")+COUNTIF($E39:P39,"µ")+COUNTIF($E39:P39,1)-1,INDEX(Roadmap!$D:$K,MATCH($E39,Roadmap!$D:$D,0)-1+COUNTIF($E39:P39,"u")+COUNTIF($E39:P39,"t")+COUNTIF($E39:P39,"¶")+COUNTIF($E39:P39,"²")+COUNTIF($E39:P39,"µ")+COUNTIF($E39:P39,1),ColDescriptionCourte)),""),
  "")),"")</f>
        <v/>
      </c>
      <c r="R39" s="40" t="str">
        <f ca="1">IFERROR(IF(AND(
  INDEX(Roadmap!$D:$K,MATCH($E39,Roadmap!$D:$D,0)+COUNTIF($E39:Q39,"u")+COUNTIF($E39:Q39,"t")+COUNTIF($E39:Q39,"¶")+COUNTIF($E39:Q39,"²")+COUNTIF($E39:Q39,"µ")+COUNTIF($E39:Q39,1),ColLivraison)=R$6,
  VLOOKUP($E39,INDIRECT("tri!"&amp; CHAR(64+ C0Col) &amp;":"&amp; CHAR(65+C0Col)),2,FALSE)&gt;COUNTIF($E39:Q39,"u")+COUNTIF($E39:Q39,"t")+COUNTIF($E39:Q39,"¶")+COUNTIF($E39:Q39,"²")+COUNTIF($E39:Q39,"µ")+COUNTIF($E39:Q39,1)),
HYPERLINK("#Roadmap!C"&amp; MATCH($E39,Roadmap!$D:$D,0)+COUNTIF($E39:Q39,"u")+COUNTIF($E39:Q39,"t"),
     INDEX(Roadmap!$D:$K,MATCH($E39,Roadmap!$D:$D,0)+COUNTIF($E39:Q39,"u")+COUNTIF($E39:Q39,"t")+COUNTIF($E39:Q39,"¶")+COUNTIF($E39:Q39,"²")+COUNTIF($E39:Q39,"µ")+COUNTIF($E39:Q39,1),ColTypeEcheance)),
  IF(LEN(Q39)=1,
  IF(LEN(INDEX(Roadmap!$D:$K,MATCH($E39,Roadmap!$D:$D,0)-1+COUNTIF($E39:Q39,"u")+COUNTIF($E39:Q39,"t")+COUNTIF($E39:Q39,"¶")+COUNTIF($E39:Q39,"²")+COUNTIF($E39:Q39,"µ")+COUNTIF($E39:Q39,1),ColDescriptionCourte))&gt;1,
HYPERLINK("#Roadmap!C"&amp; MATCH($E39,Roadmap!$D:$D,0)+COUNTIF($E39:Q39,"u")+COUNTIF($E39:Q39,"t")+COUNTIF($E39:Q39,"¶")+COUNTIF($E39:Q39,"²")+COUNTIF($E39:Q39,"µ")+COUNTIF($E39:Q39,1)-1,INDEX(Roadmap!$D:$K,MATCH($E39,Roadmap!$D:$D,0)-1+COUNTIF($E39:Q39,"u")+COUNTIF($E39:Q39,"t")+COUNTIF($E39:Q39,"¶")+COUNTIF($E39:Q39,"²")+COUNTIF($E39:Q39,"µ")+COUNTIF($E39:Q39,1),ColDescriptionCourte)),""),
  "")),"")</f>
        <v/>
      </c>
      <c r="S39" s="40" t="str">
        <f ca="1">IFERROR(IF(AND(
  INDEX(Roadmap!$D:$K,MATCH($E39,Roadmap!$D:$D,0)+COUNTIF($E39:R39,"u")+COUNTIF($E39:R39,"t")+COUNTIF($E39:R39,"¶")+COUNTIF($E39:R39,"²")+COUNTIF($E39:R39,"µ")+COUNTIF($E39:R39,1),ColLivraison)=S$6,
  VLOOKUP($E39,INDIRECT("tri!"&amp; CHAR(64+ C0Col) &amp;":"&amp; CHAR(65+C0Col)),2,FALSE)&gt;COUNTIF($E39:R39,"u")+COUNTIF($E39:R39,"t")+COUNTIF($E39:R39,"¶")+COUNTIF($E39:R39,"²")+COUNTIF($E39:R39,"µ")+COUNTIF($E39:R39,1)),
HYPERLINK("#Roadmap!C"&amp; MATCH($E39,Roadmap!$D:$D,0)+COUNTIF($E39:R39,"u")+COUNTIF($E39:R39,"t"),
     INDEX(Roadmap!$D:$K,MATCH($E39,Roadmap!$D:$D,0)+COUNTIF($E39:R39,"u")+COUNTIF($E39:R39,"t")+COUNTIF($E39:R39,"¶")+COUNTIF($E39:R39,"²")+COUNTIF($E39:R39,"µ")+COUNTIF($E39:R39,1),ColTypeEcheance)),
  IF(LEN(R39)=1,
  IF(LEN(INDEX(Roadmap!$D:$K,MATCH($E39,Roadmap!$D:$D,0)-1+COUNTIF($E39:R39,"u")+COUNTIF($E39:R39,"t")+COUNTIF($E39:R39,"¶")+COUNTIF($E39:R39,"²")+COUNTIF($E39:R39,"µ")+COUNTIF($E39:R39,1),ColDescriptionCourte))&gt;1,
HYPERLINK("#Roadmap!C"&amp; MATCH($E39,Roadmap!$D:$D,0)+COUNTIF($E39:R39,"u")+COUNTIF($E39:R39,"t")+COUNTIF($E39:R39,"¶")+COUNTIF($E39:R39,"²")+COUNTIF($E39:R39,"µ")+COUNTIF($E39:R39,1)-1,INDEX(Roadmap!$D:$K,MATCH($E39,Roadmap!$D:$D,0)-1+COUNTIF($E39:R39,"u")+COUNTIF($E39:R39,"t")+COUNTIF($E39:R39,"¶")+COUNTIF($E39:R39,"²")+COUNTIF($E39:R39,"µ")+COUNTIF($E39:R39,1),ColDescriptionCourte)),""),
  "")),"")</f>
        <v/>
      </c>
      <c r="T39" s="40" t="str">
        <f ca="1">IFERROR(IF(AND(
  INDEX(Roadmap!$D:$K,MATCH($E39,Roadmap!$D:$D,0)+COUNTIF($E39:S39,"u")+COUNTIF($E39:S39,"t")+COUNTIF($E39:S39,"¶")+COUNTIF($E39:S39,"²")+COUNTIF($E39:S39,"µ")+COUNTIF($E39:S39,1),ColLivraison)=T$6,
  VLOOKUP($E39,INDIRECT("tri!"&amp; CHAR(64+ C0Col) &amp;":"&amp; CHAR(65+C0Col)),2,FALSE)&gt;COUNTIF($E39:S39,"u")+COUNTIF($E39:S39,"t")+COUNTIF($E39:S39,"¶")+COUNTIF($E39:S39,"²")+COUNTIF($E39:S39,"µ")+COUNTIF($E39:S39,1)),
HYPERLINK("#Roadmap!C"&amp; MATCH($E39,Roadmap!$D:$D,0)+COUNTIF($E39:S39,"u")+COUNTIF($E39:S39,"t"),
     INDEX(Roadmap!$D:$K,MATCH($E39,Roadmap!$D:$D,0)+COUNTIF($E39:S39,"u")+COUNTIF($E39:S39,"t")+COUNTIF($E39:S39,"¶")+COUNTIF($E39:S39,"²")+COUNTIF($E39:S39,"µ")+COUNTIF($E39:S39,1),ColTypeEcheance)),
  IF(LEN(S39)=1,
  IF(LEN(INDEX(Roadmap!$D:$K,MATCH($E39,Roadmap!$D:$D,0)-1+COUNTIF($E39:S39,"u")+COUNTIF($E39:S39,"t")+COUNTIF($E39:S39,"¶")+COUNTIF($E39:S39,"²")+COUNTIF($E39:S39,"µ")+COUNTIF($E39:S39,1),ColDescriptionCourte))&gt;1,
HYPERLINK("#Roadmap!C"&amp; MATCH($E39,Roadmap!$D:$D,0)+COUNTIF($E39:S39,"u")+COUNTIF($E39:S39,"t")+COUNTIF($E39:S39,"¶")+COUNTIF($E39:S39,"²")+COUNTIF($E39:S39,"µ")+COUNTIF($E39:S39,1)-1,INDEX(Roadmap!$D:$K,MATCH($E39,Roadmap!$D:$D,0)-1+COUNTIF($E39:S39,"u")+COUNTIF($E39:S39,"t")+COUNTIF($E39:S39,"¶")+COUNTIF($E39:S39,"²")+COUNTIF($E39:S39,"µ")+COUNTIF($E39:S39,1),ColDescriptionCourte)),""),
  "")),"")</f>
        <v/>
      </c>
      <c r="U39" s="40" t="str">
        <f ca="1">IFERROR(IF(AND(
  INDEX(Roadmap!$D:$K,MATCH($E39,Roadmap!$D:$D,0)+COUNTIF($E39:T39,"u")+COUNTIF($E39:T39,"t")+COUNTIF($E39:T39,"¶")+COUNTIF($E39:T39,"²")+COUNTIF($E39:T39,"µ")+COUNTIF($E39:T39,1),ColLivraison)=U$6,
  VLOOKUP($E39,INDIRECT("tri!"&amp; CHAR(64+ C0Col) &amp;":"&amp; CHAR(65+C0Col)),2,FALSE)&gt;COUNTIF($E39:T39,"u")+COUNTIF($E39:T39,"t")+COUNTIF($E39:T39,"¶")+COUNTIF($E39:T39,"²")+COUNTIF($E39:T39,"µ")+COUNTIF($E39:T39,1)),
HYPERLINK("#Roadmap!C"&amp; MATCH($E39,Roadmap!$D:$D,0)+COUNTIF($E39:T39,"u")+COUNTIF($E39:T39,"t"),
     INDEX(Roadmap!$D:$K,MATCH($E39,Roadmap!$D:$D,0)+COUNTIF($E39:T39,"u")+COUNTIF($E39:T39,"t")+COUNTIF($E39:T39,"¶")+COUNTIF($E39:T39,"²")+COUNTIF($E39:T39,"µ")+COUNTIF($E39:T39,1),ColTypeEcheance)),
  IF(LEN(T39)=1,
  IF(LEN(INDEX(Roadmap!$D:$K,MATCH($E39,Roadmap!$D:$D,0)-1+COUNTIF($E39:T39,"u")+COUNTIF($E39:T39,"t")+COUNTIF($E39:T39,"¶")+COUNTIF($E39:T39,"²")+COUNTIF($E39:T39,"µ")+COUNTIF($E39:T39,1),ColDescriptionCourte))&gt;1,
HYPERLINK("#Roadmap!C"&amp; MATCH($E39,Roadmap!$D:$D,0)+COUNTIF($E39:T39,"u")+COUNTIF($E39:T39,"t")+COUNTIF($E39:T39,"¶")+COUNTIF($E39:T39,"²")+COUNTIF($E39:T39,"µ")+COUNTIF($E39:T39,1)-1,INDEX(Roadmap!$D:$K,MATCH($E39,Roadmap!$D:$D,0)-1+COUNTIF($E39:T39,"u")+COUNTIF($E39:T39,"t")+COUNTIF($E39:T39,"¶")+COUNTIF($E39:T39,"²")+COUNTIF($E39:T39,"µ")+COUNTIF($E39:T39,1),ColDescriptionCourte)),""),
  "")),"")</f>
        <v/>
      </c>
      <c r="V39" s="40" t="str">
        <f ca="1">IFERROR(IF(AND(
  INDEX(Roadmap!$D:$K,MATCH($E39,Roadmap!$D:$D,0)+COUNTIF($E39:U39,"u")+COUNTIF($E39:U39,"t")+COUNTIF($E39:U39,"¶")+COUNTIF($E39:U39,"²")+COUNTIF($E39:U39,"µ")+COUNTIF($E39:U39,1),ColLivraison)=V$6,
  VLOOKUP($E39,INDIRECT("tri!"&amp; CHAR(64+ C0Col) &amp;":"&amp; CHAR(65+C0Col)),2,FALSE)&gt;COUNTIF($E39:U39,"u")+COUNTIF($E39:U39,"t")+COUNTIF($E39:U39,"¶")+COUNTIF($E39:U39,"²")+COUNTIF($E39:U39,"µ")+COUNTIF($E39:U39,1)),
HYPERLINK("#Roadmap!C"&amp; MATCH($E39,Roadmap!$D:$D,0)+COUNTIF($E39:U39,"u")+COUNTIF($E39:U39,"t"),
     INDEX(Roadmap!$D:$K,MATCH($E39,Roadmap!$D:$D,0)+COUNTIF($E39:U39,"u")+COUNTIF($E39:U39,"t")+COUNTIF($E39:U39,"¶")+COUNTIF($E39:U39,"²")+COUNTIF($E39:U39,"µ")+COUNTIF($E39:U39,1),ColTypeEcheance)),
  IF(LEN(U39)=1,
  IF(LEN(INDEX(Roadmap!$D:$K,MATCH($E39,Roadmap!$D:$D,0)-1+COUNTIF($E39:U39,"u")+COUNTIF($E39:U39,"t")+COUNTIF($E39:U39,"¶")+COUNTIF($E39:U39,"²")+COUNTIF($E39:U39,"µ")+COUNTIF($E39:U39,1),ColDescriptionCourte))&gt;1,
HYPERLINK("#Roadmap!C"&amp; MATCH($E39,Roadmap!$D:$D,0)+COUNTIF($E39:U39,"u")+COUNTIF($E39:U39,"t")+COUNTIF($E39:U39,"¶")+COUNTIF($E39:U39,"²")+COUNTIF($E39:U39,"µ")+COUNTIF($E39:U39,1)-1,INDEX(Roadmap!$D:$K,MATCH($E39,Roadmap!$D:$D,0)-1+COUNTIF($E39:U39,"u")+COUNTIF($E39:U39,"t")+COUNTIF($E39:U39,"¶")+COUNTIF($E39:U39,"²")+COUNTIF($E39:U39,"µ")+COUNTIF($E39:U39,1),ColDescriptionCourte)),""),
  "")),"")</f>
        <v/>
      </c>
      <c r="W39" s="40" t="str">
        <f ca="1">IFERROR(IF(AND(
  INDEX(Roadmap!$D:$K,MATCH($E39,Roadmap!$D:$D,0)+COUNTIF($E39:V39,"u")+COUNTIF($E39:V39,"t")+COUNTIF($E39:V39,"¶")+COUNTIF($E39:V39,"²")+COUNTIF($E39:V39,"µ")+COUNTIF($E39:V39,1),ColLivraison)=W$6,
  VLOOKUP($E39,INDIRECT("tri!"&amp; CHAR(64+ C0Col) &amp;":"&amp; CHAR(65+C0Col)),2,FALSE)&gt;COUNTIF($E39:V39,"u")+COUNTIF($E39:V39,"t")+COUNTIF($E39:V39,"¶")+COUNTIF($E39:V39,"²")+COUNTIF($E39:V39,"µ")+COUNTIF($E39:V39,1)),
HYPERLINK("#Roadmap!C"&amp; MATCH($E39,Roadmap!$D:$D,0)+COUNTIF($E39:V39,"u")+COUNTIF($E39:V39,"t"),
     INDEX(Roadmap!$D:$K,MATCH($E39,Roadmap!$D:$D,0)+COUNTIF($E39:V39,"u")+COUNTIF($E39:V39,"t")+COUNTIF($E39:V39,"¶")+COUNTIF($E39:V39,"²")+COUNTIF($E39:V39,"µ")+COUNTIF($E39:V39,1),ColTypeEcheance)),
  IF(LEN(V39)=1,
  IF(LEN(INDEX(Roadmap!$D:$K,MATCH($E39,Roadmap!$D:$D,0)-1+COUNTIF($E39:V39,"u")+COUNTIF($E39:V39,"t")+COUNTIF($E39:V39,"¶")+COUNTIF($E39:V39,"²")+COUNTIF($E39:V39,"µ")+COUNTIF($E39:V39,1),ColDescriptionCourte))&gt;1,
HYPERLINK("#Roadmap!C"&amp; MATCH($E39,Roadmap!$D:$D,0)+COUNTIF($E39:V39,"u")+COUNTIF($E39:V39,"t")+COUNTIF($E39:V39,"¶")+COUNTIF($E39:V39,"²")+COUNTIF($E39:V39,"µ")+COUNTIF($E39:V39,1)-1,INDEX(Roadmap!$D:$K,MATCH($E39,Roadmap!$D:$D,0)-1+COUNTIF($E39:V39,"u")+COUNTIF($E39:V39,"t")+COUNTIF($E39:V39,"¶")+COUNTIF($E39:V39,"²")+COUNTIF($E39:V39,"µ")+COUNTIF($E39:V39,1),ColDescriptionCourte)),""),
  "")),"")</f>
        <v/>
      </c>
      <c r="X39" s="40" t="str">
        <f ca="1">IFERROR(IF(AND(
  INDEX(Roadmap!$D:$K,MATCH($E39,Roadmap!$D:$D,0)+COUNTIF($E39:W39,"u")+COUNTIF($E39:W39,"t")+COUNTIF($E39:W39,"¶")+COUNTIF($E39:W39,"²")+COUNTIF($E39:W39,"µ")+COUNTIF($E39:W39,1),ColLivraison)=X$6,
  VLOOKUP($E39,INDIRECT("tri!"&amp; CHAR(64+ C0Col) &amp;":"&amp; CHAR(65+C0Col)),2,FALSE)&gt;COUNTIF($E39:W39,"u")+COUNTIF($E39:W39,"t")+COUNTIF($E39:W39,"¶")+COUNTIF($E39:W39,"²")+COUNTIF($E39:W39,"µ")+COUNTIF($E39:W39,1)),
HYPERLINK("#Roadmap!C"&amp; MATCH($E39,Roadmap!$D:$D,0)+COUNTIF($E39:W39,"u")+COUNTIF($E39:W39,"t"),
     INDEX(Roadmap!$D:$K,MATCH($E39,Roadmap!$D:$D,0)+COUNTIF($E39:W39,"u")+COUNTIF($E39:W39,"t")+COUNTIF($E39:W39,"¶")+COUNTIF($E39:W39,"²")+COUNTIF($E39:W39,"µ")+COUNTIF($E39:W39,1),ColTypeEcheance)),
  IF(LEN(W39)=1,
  IF(LEN(INDEX(Roadmap!$D:$K,MATCH($E39,Roadmap!$D:$D,0)-1+COUNTIF($E39:W39,"u")+COUNTIF($E39:W39,"t")+COUNTIF($E39:W39,"¶")+COUNTIF($E39:W39,"²")+COUNTIF($E39:W39,"µ")+COUNTIF($E39:W39,1),ColDescriptionCourte))&gt;1,
HYPERLINK("#Roadmap!C"&amp; MATCH($E39,Roadmap!$D:$D,0)+COUNTIF($E39:W39,"u")+COUNTIF($E39:W39,"t")+COUNTIF($E39:W39,"¶")+COUNTIF($E39:W39,"²")+COUNTIF($E39:W39,"µ")+COUNTIF($E39:W39,1)-1,INDEX(Roadmap!$D:$K,MATCH($E39,Roadmap!$D:$D,0)-1+COUNTIF($E39:W39,"u")+COUNTIF($E39:W39,"t")+COUNTIF($E39:W39,"¶")+COUNTIF($E39:W39,"²")+COUNTIF($E39:W39,"µ")+COUNTIF($E39:W39,1),ColDescriptionCourte)),""),
  "")),"")</f>
        <v/>
      </c>
      <c r="Y39" s="40" t="str">
        <f ca="1">IFERROR(IF(AND(
  INDEX(Roadmap!$D:$K,MATCH($E39,Roadmap!$D:$D,0)+COUNTIF($E39:X39,"u")+COUNTIF($E39:X39,"t")+COUNTIF($E39:X39,"¶")+COUNTIF($E39:X39,"²")+COUNTIF($E39:X39,"µ")+COUNTIF($E39:X39,1),ColLivraison)=Y$6,
  VLOOKUP($E39,INDIRECT("tri!"&amp; CHAR(64+ C0Col) &amp;":"&amp; CHAR(65+C0Col)),2,FALSE)&gt;COUNTIF($E39:X39,"u")+COUNTIF($E39:X39,"t")+COUNTIF($E39:X39,"¶")+COUNTIF($E39:X39,"²")+COUNTIF($E39:X39,"µ")+COUNTIF($E39:X39,1)),
HYPERLINK("#Roadmap!C"&amp; MATCH($E39,Roadmap!$D:$D,0)+COUNTIF($E39:X39,"u")+COUNTIF($E39:X39,"t"),
     INDEX(Roadmap!$D:$K,MATCH($E39,Roadmap!$D:$D,0)+COUNTIF($E39:X39,"u")+COUNTIF($E39:X39,"t")+COUNTIF($E39:X39,"¶")+COUNTIF($E39:X39,"²")+COUNTIF($E39:X39,"µ")+COUNTIF($E39:X39,1),ColTypeEcheance)),
  IF(LEN(X39)=1,
  IF(LEN(INDEX(Roadmap!$D:$K,MATCH($E39,Roadmap!$D:$D,0)-1+COUNTIF($E39:X39,"u")+COUNTIF($E39:X39,"t")+COUNTIF($E39:X39,"¶")+COUNTIF($E39:X39,"²")+COUNTIF($E39:X39,"µ")+COUNTIF($E39:X39,1),ColDescriptionCourte))&gt;1,
HYPERLINK("#Roadmap!C"&amp; MATCH($E39,Roadmap!$D:$D,0)+COUNTIF($E39:X39,"u")+COUNTIF($E39:X39,"t")+COUNTIF($E39:X39,"¶")+COUNTIF($E39:X39,"²")+COUNTIF($E39:X39,"µ")+COUNTIF($E39:X39,1)-1,INDEX(Roadmap!$D:$K,MATCH($E39,Roadmap!$D:$D,0)-1+COUNTIF($E39:X39,"u")+COUNTIF($E39:X39,"t")+COUNTIF($E39:X39,"¶")+COUNTIF($E39:X39,"²")+COUNTIF($E39:X39,"µ")+COUNTIF($E39:X39,1),ColDescriptionCourte)),""),
  "")),"")</f>
        <v/>
      </c>
      <c r="Z39" s="40" t="str">
        <f ca="1">IFERROR(IF(AND(
  INDEX(Roadmap!$D:$K,MATCH($E39,Roadmap!$D:$D,0)+COUNTIF($E39:Y39,"u")+COUNTIF($E39:Y39,"t")+COUNTIF($E39:Y39,"¶")+COUNTIF($E39:Y39,"²")+COUNTIF($E39:Y39,"µ")+COUNTIF($E39:Y39,1),ColLivraison)=Z$6,
  VLOOKUP($E39,INDIRECT("tri!"&amp; CHAR(64+ C0Col) &amp;":"&amp; CHAR(65+C0Col)),2,FALSE)&gt;COUNTIF($E39:Y39,"u")+COUNTIF($E39:Y39,"t")+COUNTIF($E39:Y39,"¶")+COUNTIF($E39:Y39,"²")+COUNTIF($E39:Y39,"µ")+COUNTIF($E39:Y39,1)),
HYPERLINK("#Roadmap!C"&amp; MATCH($E39,Roadmap!$D:$D,0)+COUNTIF($E39:Y39,"u")+COUNTIF($E39:Y39,"t"),
     INDEX(Roadmap!$D:$K,MATCH($E39,Roadmap!$D:$D,0)+COUNTIF($E39:Y39,"u")+COUNTIF($E39:Y39,"t")+COUNTIF($E39:Y39,"¶")+COUNTIF($E39:Y39,"²")+COUNTIF($E39:Y39,"µ")+COUNTIF($E39:Y39,1),ColTypeEcheance)),
  IF(LEN(Y39)=1,
  IF(LEN(INDEX(Roadmap!$D:$K,MATCH($E39,Roadmap!$D:$D,0)-1+COUNTIF($E39:Y39,"u")+COUNTIF($E39:Y39,"t")+COUNTIF($E39:Y39,"¶")+COUNTIF($E39:Y39,"²")+COUNTIF($E39:Y39,"µ")+COUNTIF($E39:Y39,1),ColDescriptionCourte))&gt;1,
HYPERLINK("#Roadmap!C"&amp; MATCH($E39,Roadmap!$D:$D,0)+COUNTIF($E39:Y39,"u")+COUNTIF($E39:Y39,"t")+COUNTIF($E39:Y39,"¶")+COUNTIF($E39:Y39,"²")+COUNTIF($E39:Y39,"µ")+COUNTIF($E39:Y39,1)-1,INDEX(Roadmap!$D:$K,MATCH($E39,Roadmap!$D:$D,0)-1+COUNTIF($E39:Y39,"u")+COUNTIF($E39:Y39,"t")+COUNTIF($E39:Y39,"¶")+COUNTIF($E39:Y39,"²")+COUNTIF($E39:Y39,"µ")+COUNTIF($E39:Y39,1),ColDescriptionCourte)),""),
  "")),"")</f>
        <v/>
      </c>
      <c r="AA39" s="40" t="str">
        <f ca="1">IFERROR(IF(AND(
  INDEX(Roadmap!$D:$K,MATCH($E39,Roadmap!$D:$D,0)+COUNTIF($E39:Z39,"u")+COUNTIF($E39:Z39,"t")+COUNTIF($E39:Z39,"¶")+COUNTIF($E39:Z39,"²")+COUNTIF($E39:Z39,"µ")+COUNTIF($E39:Z39,1),ColLivraison)=AA$6,
  VLOOKUP($E39,INDIRECT("tri!"&amp; CHAR(64+ C0Col) &amp;":"&amp; CHAR(65+C0Col)),2,FALSE)&gt;COUNTIF($E39:Z39,"u")+COUNTIF($E39:Z39,"t")+COUNTIF($E39:Z39,"¶")+COUNTIF($E39:Z39,"²")+COUNTIF($E39:Z39,"µ")+COUNTIF($E39:Z39,1)),
HYPERLINK("#Roadmap!C"&amp; MATCH($E39,Roadmap!$D:$D,0)+COUNTIF($E39:Z39,"u")+COUNTIF($E39:Z39,"t"),
     INDEX(Roadmap!$D:$K,MATCH($E39,Roadmap!$D:$D,0)+COUNTIF($E39:Z39,"u")+COUNTIF($E39:Z39,"t")+COUNTIF($E39:Z39,"¶")+COUNTIF($E39:Z39,"²")+COUNTIF($E39:Z39,"µ")+COUNTIF($E39:Z39,1),ColTypeEcheance)),
  IF(LEN(Z39)=1,
  IF(LEN(INDEX(Roadmap!$D:$K,MATCH($E39,Roadmap!$D:$D,0)-1+COUNTIF($E39:Z39,"u")+COUNTIF($E39:Z39,"t")+COUNTIF($E39:Z39,"¶")+COUNTIF($E39:Z39,"²")+COUNTIF($E39:Z39,"µ")+COUNTIF($E39:Z39,1),ColDescriptionCourte))&gt;1,
HYPERLINK("#Roadmap!C"&amp; MATCH($E39,Roadmap!$D:$D,0)+COUNTIF($E39:Z39,"u")+COUNTIF($E39:Z39,"t")+COUNTIF($E39:Z39,"¶")+COUNTIF($E39:Z39,"²")+COUNTIF($E39:Z39,"µ")+COUNTIF($E39:Z39,1)-1,INDEX(Roadmap!$D:$K,MATCH($E39,Roadmap!$D:$D,0)-1+COUNTIF($E39:Z39,"u")+COUNTIF($E39:Z39,"t")+COUNTIF($E39:Z39,"¶")+COUNTIF($E39:Z39,"²")+COUNTIF($E39:Z39,"µ")+COUNTIF($E39:Z39,1),ColDescriptionCourte)),""),
  "")),"")</f>
        <v/>
      </c>
      <c r="AB39" s="40" t="str">
        <f ca="1">IFERROR(IF(AND(
  INDEX(Roadmap!$D:$K,MATCH($E39,Roadmap!$D:$D,0)+COUNTIF($E39:AA39,"u")+COUNTIF($E39:AA39,"t")+COUNTIF($E39:AA39,"¶")+COUNTIF($E39:AA39,"²")+COUNTIF($E39:AA39,"µ")+COUNTIF($E39:AA39,1),ColLivraison)=AB$6,
  VLOOKUP($E39,INDIRECT("tri!"&amp; CHAR(64+ C0Col) &amp;":"&amp; CHAR(65+C0Col)),2,FALSE)&gt;COUNTIF($E39:AA39,"u")+COUNTIF($E39:AA39,"t")+COUNTIF($E39:AA39,"¶")+COUNTIF($E39:AA39,"²")+COUNTIF($E39:AA39,"µ")+COUNTIF($E39:AA39,1)),
HYPERLINK("#Roadmap!C"&amp; MATCH($E39,Roadmap!$D:$D,0)+COUNTIF($E39:AA39,"u")+COUNTIF($E39:AA39,"t"),
     INDEX(Roadmap!$D:$K,MATCH($E39,Roadmap!$D:$D,0)+COUNTIF($E39:AA39,"u")+COUNTIF($E39:AA39,"t")+COUNTIF($E39:AA39,"¶")+COUNTIF($E39:AA39,"²")+COUNTIF($E39:AA39,"µ")+COUNTIF($E39:AA39,1),ColTypeEcheance)),
  IF(LEN(AA39)=1,
  IF(LEN(INDEX(Roadmap!$D:$K,MATCH($E39,Roadmap!$D:$D,0)-1+COUNTIF($E39:AA39,"u")+COUNTIF($E39:AA39,"t")+COUNTIF($E39:AA39,"¶")+COUNTIF($E39:AA39,"²")+COUNTIF($E39:AA39,"µ")+COUNTIF($E39:AA39,1),ColDescriptionCourte))&gt;1,
HYPERLINK("#Roadmap!C"&amp; MATCH($E39,Roadmap!$D:$D,0)+COUNTIF($E39:AA39,"u")+COUNTIF($E39:AA39,"t")+COUNTIF($E39:AA39,"¶")+COUNTIF($E39:AA39,"²")+COUNTIF($E39:AA39,"µ")+COUNTIF($E39:AA39,1)-1,INDEX(Roadmap!$D:$K,MATCH($E39,Roadmap!$D:$D,0)-1+COUNTIF($E39:AA39,"u")+COUNTIF($E39:AA39,"t")+COUNTIF($E39:AA39,"¶")+COUNTIF($E39:AA39,"²")+COUNTIF($E39:AA39,"µ")+COUNTIF($E39:AA39,1),ColDescriptionCourte)),""),
  "")),"")</f>
        <v/>
      </c>
      <c r="AC39" s="40" t="str">
        <f ca="1">IFERROR(IF(AND(
  INDEX(Roadmap!$D:$K,MATCH($E39,Roadmap!$D:$D,0)+COUNTIF($E39:AB39,"u")+COUNTIF($E39:AB39,"t")+COUNTIF($E39:AB39,"¶")+COUNTIF($E39:AB39,"²")+COUNTIF($E39:AB39,"µ")+COUNTIF($E39:AB39,1),ColLivraison)=AC$6,
  VLOOKUP($E39,INDIRECT("tri!"&amp; CHAR(64+ C0Col) &amp;":"&amp; CHAR(65+C0Col)),2,FALSE)&gt;COUNTIF($E39:AB39,"u")+COUNTIF($E39:AB39,"t")+COUNTIF($E39:AB39,"¶")+COUNTIF($E39:AB39,"²")+COUNTIF($E39:AB39,"µ")+COUNTIF($E39:AB39,1)),
HYPERLINK("#Roadmap!C"&amp; MATCH($E39,Roadmap!$D:$D,0)+COUNTIF($E39:AB39,"u")+COUNTIF($E39:AB39,"t"),
     INDEX(Roadmap!$D:$K,MATCH($E39,Roadmap!$D:$D,0)+COUNTIF($E39:AB39,"u")+COUNTIF($E39:AB39,"t")+COUNTIF($E39:AB39,"¶")+COUNTIF($E39:AB39,"²")+COUNTIF($E39:AB39,"µ")+COUNTIF($E39:AB39,1),ColTypeEcheance)),
  IF(LEN(AB39)=1,
  IF(LEN(INDEX(Roadmap!$D:$K,MATCH($E39,Roadmap!$D:$D,0)-1+COUNTIF($E39:AB39,"u")+COUNTIF($E39:AB39,"t")+COUNTIF($E39:AB39,"¶")+COUNTIF($E39:AB39,"²")+COUNTIF($E39:AB39,"µ")+COUNTIF($E39:AB39,1),ColDescriptionCourte))&gt;1,
HYPERLINK("#Roadmap!C"&amp; MATCH($E39,Roadmap!$D:$D,0)+COUNTIF($E39:AB39,"u")+COUNTIF($E39:AB39,"t")+COUNTIF($E39:AB39,"¶")+COUNTIF($E39:AB39,"²")+COUNTIF($E39:AB39,"µ")+COUNTIF($E39:AB39,1)-1,INDEX(Roadmap!$D:$K,MATCH($E39,Roadmap!$D:$D,0)-1+COUNTIF($E39:AB39,"u")+COUNTIF($E39:AB39,"t")+COUNTIF($E39:AB39,"¶")+COUNTIF($E39:AB39,"²")+COUNTIF($E39:AB39,"µ")+COUNTIF($E39:AB39,1),ColDescriptionCourte)),""),
  "")),"")</f>
        <v/>
      </c>
      <c r="AD39" s="40" t="str">
        <f ca="1">IFERROR(IF(AND(
  INDEX(Roadmap!$D:$K,MATCH($E39,Roadmap!$D:$D,0)+COUNTIF($E39:AC39,"u")+COUNTIF($E39:AC39,"t")+COUNTIF($E39:AC39,"¶")+COUNTIF($E39:AC39,"²")+COUNTIF($E39:AC39,"µ")+COUNTIF($E39:AC39,1),ColLivraison)=AD$6,
  VLOOKUP($E39,INDIRECT("tri!"&amp; CHAR(64+ C0Col) &amp;":"&amp; CHAR(65+C0Col)),2,FALSE)&gt;COUNTIF($E39:AC39,"u")+COUNTIF($E39:AC39,"t")+COUNTIF($E39:AC39,"¶")+COUNTIF($E39:AC39,"²")+COUNTIF($E39:AC39,"µ")+COUNTIF($E39:AC39,1)),
HYPERLINK("#Roadmap!C"&amp; MATCH($E39,Roadmap!$D:$D,0)+COUNTIF($E39:AC39,"u")+COUNTIF($E39:AC39,"t"),
     INDEX(Roadmap!$D:$K,MATCH($E39,Roadmap!$D:$D,0)+COUNTIF($E39:AC39,"u")+COUNTIF($E39:AC39,"t")+COUNTIF($E39:AC39,"¶")+COUNTIF($E39:AC39,"²")+COUNTIF($E39:AC39,"µ")+COUNTIF($E39:AC39,1),ColTypeEcheance)),
  IF(LEN(AC39)=1,
  IF(LEN(INDEX(Roadmap!$D:$K,MATCH($E39,Roadmap!$D:$D,0)-1+COUNTIF($E39:AC39,"u")+COUNTIF($E39:AC39,"t")+COUNTIF($E39:AC39,"¶")+COUNTIF($E39:AC39,"²")+COUNTIF($E39:AC39,"µ")+COUNTIF($E39:AC39,1),ColDescriptionCourte))&gt;1,
HYPERLINK("#Roadmap!C"&amp; MATCH($E39,Roadmap!$D:$D,0)+COUNTIF($E39:AC39,"u")+COUNTIF($E39:AC39,"t")+COUNTIF($E39:AC39,"¶")+COUNTIF($E39:AC39,"²")+COUNTIF($E39:AC39,"µ")+COUNTIF($E39:AC39,1)-1,INDEX(Roadmap!$D:$K,MATCH($E39,Roadmap!$D:$D,0)-1+COUNTIF($E39:AC39,"u")+COUNTIF($E39:AC39,"t")+COUNTIF($E39:AC39,"¶")+COUNTIF($E39:AC39,"²")+COUNTIF($E39:AC39,"µ")+COUNTIF($E39:AC39,1),ColDescriptionCourte)),""),
  "")),"")</f>
        <v/>
      </c>
      <c r="AE39" s="40" t="str">
        <f ca="1">IFERROR(IF(AND(
  INDEX(Roadmap!$D:$K,MATCH($E39,Roadmap!$D:$D,0)+COUNTIF($E39:AD39,"u")+COUNTIF($E39:AD39,"t")+COUNTIF($E39:AD39,"¶")+COUNTIF($E39:AD39,"²")+COUNTIF($E39:AD39,"µ")+COUNTIF($E39:AD39,1),ColLivraison)=AE$6,
  VLOOKUP($E39,INDIRECT("tri!"&amp; CHAR(64+ C0Col) &amp;":"&amp; CHAR(65+C0Col)),2,FALSE)&gt;COUNTIF($E39:AD39,"u")+COUNTIF($E39:AD39,"t")+COUNTIF($E39:AD39,"¶")+COUNTIF($E39:AD39,"²")+COUNTIF($E39:AD39,"µ")+COUNTIF($E39:AD39,1)),
HYPERLINK("#Roadmap!C"&amp; MATCH($E39,Roadmap!$D:$D,0)+COUNTIF($E39:AD39,"u")+COUNTIF($E39:AD39,"t"),
     INDEX(Roadmap!$D:$K,MATCH($E39,Roadmap!$D:$D,0)+COUNTIF($E39:AD39,"u")+COUNTIF($E39:AD39,"t")+COUNTIF($E39:AD39,"¶")+COUNTIF($E39:AD39,"²")+COUNTIF($E39:AD39,"µ")+COUNTIF($E39:AD39,1),ColTypeEcheance)),
  IF(LEN(AD39)=1,
  IF(LEN(INDEX(Roadmap!$D:$K,MATCH($E39,Roadmap!$D:$D,0)-1+COUNTIF($E39:AD39,"u")+COUNTIF($E39:AD39,"t")+COUNTIF($E39:AD39,"¶")+COUNTIF($E39:AD39,"²")+COUNTIF($E39:AD39,"µ")+COUNTIF($E39:AD39,1),ColDescriptionCourte))&gt;1,
HYPERLINK("#Roadmap!C"&amp; MATCH($E39,Roadmap!$D:$D,0)+COUNTIF($E39:AD39,"u")+COUNTIF($E39:AD39,"t")+COUNTIF($E39:AD39,"¶")+COUNTIF($E39:AD39,"²")+COUNTIF($E39:AD39,"µ")+COUNTIF($E39:AD39,1)-1,INDEX(Roadmap!$D:$K,MATCH($E39,Roadmap!$D:$D,0)-1+COUNTIF($E39:AD39,"u")+COUNTIF($E39:AD39,"t")+COUNTIF($E39:AD39,"¶")+COUNTIF($E39:AD39,"²")+COUNTIF($E39:AD39,"µ")+COUNTIF($E39:AD39,1),ColDescriptionCourte)),""),
  "")),"")</f>
        <v/>
      </c>
      <c r="AF39" s="40" t="str">
        <f ca="1">IFERROR(IF(AND(
  INDEX(Roadmap!$D:$K,MATCH($E39,Roadmap!$D:$D,0)+COUNTIF($E39:AE39,"u")+COUNTIF($E39:AE39,"t")+COUNTIF($E39:AE39,"¶")+COUNTIF($E39:AE39,"²")+COUNTIF($E39:AE39,"µ")+COUNTIF($E39:AE39,1),ColLivraison)=AF$6,
  VLOOKUP($E39,INDIRECT("tri!"&amp; CHAR(64+ C0Col) &amp;":"&amp; CHAR(65+C0Col)),2,FALSE)&gt;COUNTIF($E39:AE39,"u")+COUNTIF($E39:AE39,"t")+COUNTIF($E39:AE39,"¶")+COUNTIF($E39:AE39,"²")+COUNTIF($E39:AE39,"µ")+COUNTIF($E39:AE39,1)),
HYPERLINK("#Roadmap!C"&amp; MATCH($E39,Roadmap!$D:$D,0)+COUNTIF($E39:AE39,"u")+COUNTIF($E39:AE39,"t"),
     INDEX(Roadmap!$D:$K,MATCH($E39,Roadmap!$D:$D,0)+COUNTIF($E39:AE39,"u")+COUNTIF($E39:AE39,"t")+COUNTIF($E39:AE39,"¶")+COUNTIF($E39:AE39,"²")+COUNTIF($E39:AE39,"µ")+COUNTIF($E39:AE39,1),ColTypeEcheance)),
  IF(LEN(AE39)=1,
  IF(LEN(INDEX(Roadmap!$D:$K,MATCH($E39,Roadmap!$D:$D,0)-1+COUNTIF($E39:AE39,"u")+COUNTIF($E39:AE39,"t")+COUNTIF($E39:AE39,"¶")+COUNTIF($E39:AE39,"²")+COUNTIF($E39:AE39,"µ")+COUNTIF($E39:AE39,1),ColDescriptionCourte))&gt;1,
HYPERLINK("#Roadmap!C"&amp; MATCH($E39,Roadmap!$D:$D,0)+COUNTIF($E39:AE39,"u")+COUNTIF($E39:AE39,"t")+COUNTIF($E39:AE39,"¶")+COUNTIF($E39:AE39,"²")+COUNTIF($E39:AE39,"µ")+COUNTIF($E39:AE39,1)-1,INDEX(Roadmap!$D:$K,MATCH($E39,Roadmap!$D:$D,0)-1+COUNTIF($E39:AE39,"u")+COUNTIF($E39:AE39,"t")+COUNTIF($E39:AE39,"¶")+COUNTIF($E39:AE39,"²")+COUNTIF($E39:AE39,"µ")+COUNTIF($E39:AE39,1),ColDescriptionCourte)),""),
  "")),"")</f>
        <v/>
      </c>
      <c r="AG39" s="40" t="str">
        <f ca="1">IFERROR(IF(AND(
  INDEX(Roadmap!$D:$K,MATCH($E39,Roadmap!$D:$D,0)+COUNTIF($E39:AF39,"u")+COUNTIF($E39:AF39,"t")+COUNTIF($E39:AF39,"¶")+COUNTIF($E39:AF39,"²")+COUNTIF($E39:AF39,"µ")+COUNTIF($E39:AF39,1),ColLivraison)=AG$6,
  VLOOKUP($E39,INDIRECT("tri!"&amp; CHAR(64+ C0Col) &amp;":"&amp; CHAR(65+C0Col)),2,FALSE)&gt;COUNTIF($E39:AF39,"u")+COUNTIF($E39:AF39,"t")+COUNTIF($E39:AF39,"¶")+COUNTIF($E39:AF39,"²")+COUNTIF($E39:AF39,"µ")+COUNTIF($E39:AF39,1)),
HYPERLINK("#Roadmap!C"&amp; MATCH($E39,Roadmap!$D:$D,0)+COUNTIF($E39:AF39,"u")+COUNTIF($E39:AF39,"t"),
     INDEX(Roadmap!$D:$K,MATCH($E39,Roadmap!$D:$D,0)+COUNTIF($E39:AF39,"u")+COUNTIF($E39:AF39,"t")+COUNTIF($E39:AF39,"¶")+COUNTIF($E39:AF39,"²")+COUNTIF($E39:AF39,"µ")+COUNTIF($E39:AF39,1),ColTypeEcheance)),
  IF(LEN(AF39)=1,
  IF(LEN(INDEX(Roadmap!$D:$K,MATCH($E39,Roadmap!$D:$D,0)-1+COUNTIF($E39:AF39,"u")+COUNTIF($E39:AF39,"t")+COUNTIF($E39:AF39,"¶")+COUNTIF($E39:AF39,"²")+COUNTIF($E39:AF39,"µ")+COUNTIF($E39:AF39,1),ColDescriptionCourte))&gt;1,
HYPERLINK("#Roadmap!C"&amp; MATCH($E39,Roadmap!$D:$D,0)+COUNTIF($E39:AF39,"u")+COUNTIF($E39:AF39,"t")+COUNTIF($E39:AF39,"¶")+COUNTIF($E39:AF39,"²")+COUNTIF($E39:AF39,"µ")+COUNTIF($E39:AF39,1)-1,INDEX(Roadmap!$D:$K,MATCH($E39,Roadmap!$D:$D,0)-1+COUNTIF($E39:AF39,"u")+COUNTIF($E39:AF39,"t")+COUNTIF($E39:AF39,"¶")+COUNTIF($E39:AF39,"²")+COUNTIF($E39:AF39,"µ")+COUNTIF($E39:AF39,1),ColDescriptionCourte)),""),
  "")),"")</f>
        <v/>
      </c>
    </row>
    <row r="40" spans="3:33" ht="14.25" customHeight="1">
      <c r="C40" s="1" t="str">
        <f t="shared" ca="1" si="44"/>
        <v/>
      </c>
      <c r="D40" s="1" t="str">
        <f t="shared" ca="1" si="45"/>
        <v/>
      </c>
      <c r="E40" s="35" t="str">
        <f t="shared" ca="1" si="33"/>
        <v/>
      </c>
      <c r="F40" s="39" t="str">
        <f ca="1">IFERROR(IF(AND(
  INDEX(Roadmap!$D:$K,MATCH($E40,Roadmap!$D:$D,0)+COUNTIF($E40:E40,"u")+COUNTIF($E40:E40,"t")+COUNTIF($E40:E40,"¶")+COUNTIF($E40:E40,"²")+COUNTIF($E40:E40,"µ")+COUNTIF($E40:E40,1),ColLivraison)=F$6,
  VLOOKUP($E40,INDIRECT("tri!"&amp; CHAR(64+ C0Col) &amp;":"&amp; CHAR(65+C0Col)),2,FALSE)&gt;COUNTIF($E40:E40,"u")+COUNTIF($E40:E40,"t")+COUNTIF($E40:E40,"¶")+COUNTIF($E40:E40,"²")+COUNTIF($E40:E40,"µ")+COUNTIF($E40:E40,1)),
HYPERLINK("#Roadmap!C"&amp; MATCH($E40,Roadmap!$D:$D,0)+COUNTIF($E40:E40,"u")+COUNTIF($E40:E40,"t"),
     INDEX(Roadmap!$D:$K,MATCH($E40,Roadmap!$D:$D,0)+COUNTIF($E40:E40,"u")+COUNTIF($E40:E40,"t")+COUNTIF($E40:E40,"¶")+COUNTIF($E40:E40,"²")+COUNTIF($E40:E40,"µ")+COUNTIF($E40:E40,1),ColTypeEcheance)),
  IF(LEN(E40)=1,
  IF(LEN(INDEX(Roadmap!$D:$K,MATCH($E40,Roadmap!$D:$D,0)-1+COUNTIF($E40:E40,"u")+COUNTIF($E40:E40,"t")+COUNTIF($E40:E40,"¶")+COUNTIF($E40:E40,"²")+COUNTIF($E40:E40,"µ")+COUNTIF($E40:E40,1),ColDescriptionCourte))&gt;1,
HYPERLINK("#Roadmap!C"&amp; MATCH($E40,Roadmap!$D:$D,0)+COUNTIF($E40:E40,"u")+COUNTIF($E40:E40,"t")+COUNTIF($E40:E40,"¶")+COUNTIF($E40:E40,"²")+COUNTIF($E40:E40,"µ")+COUNTIF($E40:E40,1)-1,INDEX(Roadmap!$D:$K,MATCH($E40,Roadmap!$D:$D,0)-1+COUNTIF($E40:E40,"u")+COUNTIF($E40:E40,"t")+COUNTIF($E40:E40,"¶")+COUNTIF($E40:E40,"²")+COUNTIF($E40:E40,"µ")+COUNTIF($E40:E40,1),ColDescriptionCourte)),""),
  "")),"")</f>
        <v/>
      </c>
      <c r="G40" s="40" t="str">
        <f ca="1">IFERROR(IF(AND(
  INDEX(Roadmap!$D:$K,MATCH($E40,Roadmap!$D:$D,0)+COUNTIF($E40:F40,"u")+COUNTIF($E40:F40,"t")+COUNTIF($E40:F40,"¶")+COUNTIF($E40:F40,"²")+COUNTIF($E40:F40,"µ")+COUNTIF($E40:F40,1),ColLivraison)=G$6,
  VLOOKUP($E40,INDIRECT("tri!"&amp; CHAR(64+ C0Col) &amp;":"&amp; CHAR(65+C0Col)),2,FALSE)&gt;COUNTIF($E40:F40,"u")+COUNTIF($E40:F40,"t")+COUNTIF($E40:F40,"¶")+COUNTIF($E40:F40,"²")+COUNTIF($E40:F40,"µ")+COUNTIF($E40:F40,1)),
HYPERLINK("#Roadmap!C"&amp; MATCH($E40,Roadmap!$D:$D,0)+COUNTIF($E40:F40,"u")+COUNTIF($E40:F40,"t"),
     INDEX(Roadmap!$D:$K,MATCH($E40,Roadmap!$D:$D,0)+COUNTIF($E40:F40,"u")+COUNTIF($E40:F40,"t")+COUNTIF($E40:F40,"¶")+COUNTIF($E40:F40,"²")+COUNTIF($E40:F40,"µ")+COUNTIF($E40:F40,1),ColTypeEcheance)),
  IF(LEN(F40)=1,
  IF(LEN(INDEX(Roadmap!$D:$K,MATCH($E40,Roadmap!$D:$D,0)-1+COUNTIF($E40:F40,"u")+COUNTIF($E40:F40,"t")+COUNTIF($E40:F40,"¶")+COUNTIF($E40:F40,"²")+COUNTIF($E40:F40,"µ")+COUNTIF($E40:F40,1),ColDescriptionCourte))&gt;1,
HYPERLINK("#Roadmap!C"&amp; MATCH($E40,Roadmap!$D:$D,0)+COUNTIF($E40:F40,"u")+COUNTIF($E40:F40,"t")+COUNTIF($E40:F40,"¶")+COUNTIF($E40:F40,"²")+COUNTIF($E40:F40,"µ")+COUNTIF($E40:F40,1)-1,INDEX(Roadmap!$D:$K,MATCH($E40,Roadmap!$D:$D,0)-1+COUNTIF($E40:F40,"u")+COUNTIF($E40:F40,"t")+COUNTIF($E40:F40,"¶")+COUNTIF($E40:F40,"²")+COUNTIF($E40:F40,"µ")+COUNTIF($E40:F40,1),ColDescriptionCourte)),""),
  "")),"")</f>
        <v/>
      </c>
      <c r="H40" s="40" t="str">
        <f ca="1">IFERROR(IF(AND(
  INDEX(Roadmap!$D:$K,MATCH($E40,Roadmap!$D:$D,0)+COUNTIF($E40:G40,"u")+COUNTIF($E40:G40,"t")+COUNTIF($E40:G40,"¶")+COUNTIF($E40:G40,"²")+COUNTIF($E40:G40,"µ")+COUNTIF($E40:G40,1),ColLivraison)=H$6,
  VLOOKUP($E40,INDIRECT("tri!"&amp; CHAR(64+ C0Col) &amp;":"&amp; CHAR(65+C0Col)),2,FALSE)&gt;COUNTIF($E40:G40,"u")+COUNTIF($E40:G40,"t")+COUNTIF($E40:G40,"¶")+COUNTIF($E40:G40,"²")+COUNTIF($E40:G40,"µ")+COUNTIF($E40:G40,1)),
HYPERLINK("#Roadmap!C"&amp; MATCH($E40,Roadmap!$D:$D,0)+COUNTIF($E40:G40,"u")+COUNTIF($E40:G40,"t"),
     INDEX(Roadmap!$D:$K,MATCH($E40,Roadmap!$D:$D,0)+COUNTIF($E40:G40,"u")+COUNTIF($E40:G40,"t")+COUNTIF($E40:G40,"¶")+COUNTIF($E40:G40,"²")+COUNTIF($E40:G40,"µ")+COUNTIF($E40:G40,1),ColTypeEcheance)),
  IF(LEN(G40)=1,
  IF(LEN(INDEX(Roadmap!$D:$K,MATCH($E40,Roadmap!$D:$D,0)-1+COUNTIF($E40:G40,"u")+COUNTIF($E40:G40,"t")+COUNTIF($E40:G40,"¶")+COUNTIF($E40:G40,"²")+COUNTIF($E40:G40,"µ")+COUNTIF($E40:G40,1),ColDescriptionCourte))&gt;1,
HYPERLINK("#Roadmap!C"&amp; MATCH($E40,Roadmap!$D:$D,0)+COUNTIF($E40:G40,"u")+COUNTIF($E40:G40,"t")+COUNTIF($E40:G40,"¶")+COUNTIF($E40:G40,"²")+COUNTIF($E40:G40,"µ")+COUNTIF($E40:G40,1)-1,INDEX(Roadmap!$D:$K,MATCH($E40,Roadmap!$D:$D,0)-1+COUNTIF($E40:G40,"u")+COUNTIF($E40:G40,"t")+COUNTIF($E40:G40,"¶")+COUNTIF($E40:G40,"²")+COUNTIF($E40:G40,"µ")+COUNTIF($E40:G40,1),ColDescriptionCourte)),""),
  "")),"")</f>
        <v/>
      </c>
      <c r="I40" s="40" t="str">
        <f ca="1">IFERROR(IF(AND(
  INDEX(Roadmap!$D:$K,MATCH($E40,Roadmap!$D:$D,0)+COUNTIF($E40:H40,"u")+COUNTIF($E40:H40,"t")+COUNTIF($E40:H40,"¶")+COUNTIF($E40:H40,"²")+COUNTIF($E40:H40,"µ")+COUNTIF($E40:H40,1),ColLivraison)=I$6,
  VLOOKUP($E40,INDIRECT("tri!"&amp; CHAR(64+ C0Col) &amp;":"&amp; CHAR(65+C0Col)),2,FALSE)&gt;COUNTIF($E40:H40,"u")+COUNTIF($E40:H40,"t")+COUNTIF($E40:H40,"¶")+COUNTIF($E40:H40,"²")+COUNTIF($E40:H40,"µ")+COUNTIF($E40:H40,1)),
HYPERLINK("#Roadmap!C"&amp; MATCH($E40,Roadmap!$D:$D,0)+COUNTIF($E40:H40,"u")+COUNTIF($E40:H40,"t"),
     INDEX(Roadmap!$D:$K,MATCH($E40,Roadmap!$D:$D,0)+COUNTIF($E40:H40,"u")+COUNTIF($E40:H40,"t")+COUNTIF($E40:H40,"¶")+COUNTIF($E40:H40,"²")+COUNTIF($E40:H40,"µ")+COUNTIF($E40:H40,1),ColTypeEcheance)),
  IF(LEN(H40)=1,
  IF(LEN(INDEX(Roadmap!$D:$K,MATCH($E40,Roadmap!$D:$D,0)-1+COUNTIF($E40:H40,"u")+COUNTIF($E40:H40,"t")+COUNTIF($E40:H40,"¶")+COUNTIF($E40:H40,"²")+COUNTIF($E40:H40,"µ")+COUNTIF($E40:H40,1),ColDescriptionCourte))&gt;1,
HYPERLINK("#Roadmap!C"&amp; MATCH($E40,Roadmap!$D:$D,0)+COUNTIF($E40:H40,"u")+COUNTIF($E40:H40,"t")+COUNTIF($E40:H40,"¶")+COUNTIF($E40:H40,"²")+COUNTIF($E40:H40,"µ")+COUNTIF($E40:H40,1)-1,INDEX(Roadmap!$D:$K,MATCH($E40,Roadmap!$D:$D,0)-1+COUNTIF($E40:H40,"u")+COUNTIF($E40:H40,"t")+COUNTIF($E40:H40,"¶")+COUNTIF($E40:H40,"²")+COUNTIF($E40:H40,"µ")+COUNTIF($E40:H40,1),ColDescriptionCourte)),""),
  "")),"")</f>
        <v/>
      </c>
      <c r="J40" s="40" t="str">
        <f ca="1">IFERROR(IF(AND(
  INDEX(Roadmap!$D:$K,MATCH($E40,Roadmap!$D:$D,0)+COUNTIF($E40:I40,"u")+COUNTIF($E40:I40,"t")+COUNTIF($E40:I40,"¶")+COUNTIF($E40:I40,"²")+COUNTIF($E40:I40,"µ")+COUNTIF($E40:I40,1),ColLivraison)=J$6,
  VLOOKUP($E40,INDIRECT("tri!"&amp; CHAR(64+ C0Col) &amp;":"&amp; CHAR(65+C0Col)),2,FALSE)&gt;COUNTIF($E40:I40,"u")+COUNTIF($E40:I40,"t")+COUNTIF($E40:I40,"¶")+COUNTIF($E40:I40,"²")+COUNTIF($E40:I40,"µ")+COUNTIF($E40:I40,1)),
HYPERLINK("#Roadmap!C"&amp; MATCH($E40,Roadmap!$D:$D,0)+COUNTIF($E40:I40,"u")+COUNTIF($E40:I40,"t"),
     INDEX(Roadmap!$D:$K,MATCH($E40,Roadmap!$D:$D,0)+COUNTIF($E40:I40,"u")+COUNTIF($E40:I40,"t")+COUNTIF($E40:I40,"¶")+COUNTIF($E40:I40,"²")+COUNTIF($E40:I40,"µ")+COUNTIF($E40:I40,1),ColTypeEcheance)),
  IF(LEN(I40)=1,
  IF(LEN(INDEX(Roadmap!$D:$K,MATCH($E40,Roadmap!$D:$D,0)-1+COUNTIF($E40:I40,"u")+COUNTIF($E40:I40,"t")+COUNTIF($E40:I40,"¶")+COUNTIF($E40:I40,"²")+COUNTIF($E40:I40,"µ")+COUNTIF($E40:I40,1),ColDescriptionCourte))&gt;1,
HYPERLINK("#Roadmap!C"&amp; MATCH($E40,Roadmap!$D:$D,0)+COUNTIF($E40:I40,"u")+COUNTIF($E40:I40,"t")+COUNTIF($E40:I40,"¶")+COUNTIF($E40:I40,"²")+COUNTIF($E40:I40,"µ")+COUNTIF($E40:I40,1)-1,INDEX(Roadmap!$D:$K,MATCH($E40,Roadmap!$D:$D,0)-1+COUNTIF($E40:I40,"u")+COUNTIF($E40:I40,"t")+COUNTIF($E40:I40,"¶")+COUNTIF($E40:I40,"²")+COUNTIF($E40:I40,"µ")+COUNTIF($E40:I40,1),ColDescriptionCourte)),""),
  "")),"")</f>
        <v/>
      </c>
      <c r="K40" s="40" t="str">
        <f ca="1">IFERROR(IF(AND(
  INDEX(Roadmap!$D:$K,MATCH($E40,Roadmap!$D:$D,0)+COUNTIF($E40:J40,"u")+COUNTIF($E40:J40,"t")+COUNTIF($E40:J40,"¶")+COUNTIF($E40:J40,"²")+COUNTIF($E40:J40,"µ")+COUNTIF($E40:J40,1),ColLivraison)=K$6,
  VLOOKUP($E40,INDIRECT("tri!"&amp; CHAR(64+ C0Col) &amp;":"&amp; CHAR(65+C0Col)),2,FALSE)&gt;COUNTIF($E40:J40,"u")+COUNTIF($E40:J40,"t")+COUNTIF($E40:J40,"¶")+COUNTIF($E40:J40,"²")+COUNTIF($E40:J40,"µ")+COUNTIF($E40:J40,1)),
HYPERLINK("#Roadmap!C"&amp; MATCH($E40,Roadmap!$D:$D,0)+COUNTIF($E40:J40,"u")+COUNTIF($E40:J40,"t"),
     INDEX(Roadmap!$D:$K,MATCH($E40,Roadmap!$D:$D,0)+COUNTIF($E40:J40,"u")+COUNTIF($E40:J40,"t")+COUNTIF($E40:J40,"¶")+COUNTIF($E40:J40,"²")+COUNTIF($E40:J40,"µ")+COUNTIF($E40:J40,1),ColTypeEcheance)),
  IF(LEN(J40)=1,
  IF(LEN(INDEX(Roadmap!$D:$K,MATCH($E40,Roadmap!$D:$D,0)-1+COUNTIF($E40:J40,"u")+COUNTIF($E40:J40,"t")+COUNTIF($E40:J40,"¶")+COUNTIF($E40:J40,"²")+COUNTIF($E40:J40,"µ")+COUNTIF($E40:J40,1),ColDescriptionCourte))&gt;1,
HYPERLINK("#Roadmap!C"&amp; MATCH($E40,Roadmap!$D:$D,0)+COUNTIF($E40:J40,"u")+COUNTIF($E40:J40,"t")+COUNTIF($E40:J40,"¶")+COUNTIF($E40:J40,"²")+COUNTIF($E40:J40,"µ")+COUNTIF($E40:J40,1)-1,INDEX(Roadmap!$D:$K,MATCH($E40,Roadmap!$D:$D,0)-1+COUNTIF($E40:J40,"u")+COUNTIF($E40:J40,"t")+COUNTIF($E40:J40,"¶")+COUNTIF($E40:J40,"²")+COUNTIF($E40:J40,"µ")+COUNTIF($E40:J40,1),ColDescriptionCourte)),""),
  "")),"")</f>
        <v/>
      </c>
      <c r="L40" s="39" t="str">
        <f ca="1">IFERROR(IF(AND(
  INDEX(Roadmap!$D:$K,MATCH($E40,Roadmap!$D:$D,0)+COUNTIF($E40:K40,"u")+COUNTIF($E40:K40,"t")+COUNTIF($E40:K40,"¶")+COUNTIF($E40:K40,"²")+COUNTIF($E40:K40,"µ")+COUNTIF($E40:K40,1),ColLivraison)=L$6,
  VLOOKUP($E40,INDIRECT("tri!"&amp; CHAR(64+ C0Col) &amp;":"&amp; CHAR(65+C0Col)),2,FALSE)&gt;COUNTIF($E40:K40,"u")+COUNTIF($E40:K40,"t")+COUNTIF($E40:K40,"¶")+COUNTIF($E40:K40,"²")+COUNTIF($E40:K40,"µ")+COUNTIF($E40:K40,1)),
HYPERLINK("#Roadmap!C"&amp; MATCH($E40,Roadmap!$D:$D,0)+COUNTIF($E40:K40,"u")+COUNTIF($E40:K40,"t"),
     INDEX(Roadmap!$D:$K,MATCH($E40,Roadmap!$D:$D,0)+COUNTIF($E40:K40,"u")+COUNTIF($E40:K40,"t")+COUNTIF($E40:K40,"¶")+COUNTIF($E40:K40,"²")+COUNTIF($E40:K40,"µ")+COUNTIF($E40:K40,1),ColTypeEcheance)),
  IF(LEN(K40)=1,
  IF(LEN(INDEX(Roadmap!$D:$K,MATCH($E40,Roadmap!$D:$D,0)-1+COUNTIF($E40:K40,"u")+COUNTIF($E40:K40,"t")+COUNTIF($E40:K40,"¶")+COUNTIF($E40:K40,"²")+COUNTIF($E40:K40,"µ")+COUNTIF($E40:K40,1),ColDescriptionCourte))&gt;1,
HYPERLINK("#Roadmap!C"&amp; MATCH($E40,Roadmap!$D:$D,0)+COUNTIF($E40:K40,"u")+COUNTIF($E40:K40,"t")+COUNTIF($E40:K40,"¶")+COUNTIF($E40:K40,"²")+COUNTIF($E40:K40,"µ")+COUNTIF($E40:K40,1)-1,INDEX(Roadmap!$D:$K,MATCH($E40,Roadmap!$D:$D,0)-1+COUNTIF($E40:K40,"u")+COUNTIF($E40:K40,"t")+COUNTIF($E40:K40,"¶")+COUNTIF($E40:K40,"²")+COUNTIF($E40:K40,"µ")+COUNTIF($E40:K40,1),ColDescriptionCourte)),""),
  "")),"")</f>
        <v/>
      </c>
      <c r="M40" s="40" t="str">
        <f ca="1">IFERROR(IF(AND(
  INDEX(Roadmap!$D:$K,MATCH($E40,Roadmap!$D:$D,0)+COUNTIF($E40:L40,"u")+COUNTIF($E40:L40,"t")+COUNTIF($E40:L40,"¶")+COUNTIF($E40:L40,"²")+COUNTIF($E40:L40,"µ")+COUNTIF($E40:L40,1),ColLivraison)=M$6,
  VLOOKUP($E40,INDIRECT("tri!"&amp; CHAR(64+ C0Col) &amp;":"&amp; CHAR(65+C0Col)),2,FALSE)&gt;COUNTIF($E40:L40,"u")+COUNTIF($E40:L40,"t")+COUNTIF($E40:L40,"¶")+COUNTIF($E40:L40,"²")+COUNTIF($E40:L40,"µ")+COUNTIF($E40:L40,1)),
HYPERLINK("#Roadmap!C"&amp; MATCH($E40,Roadmap!$D:$D,0)+COUNTIF($E40:L40,"u")+COUNTIF($E40:L40,"t"),
     INDEX(Roadmap!$D:$K,MATCH($E40,Roadmap!$D:$D,0)+COUNTIF($E40:L40,"u")+COUNTIF($E40:L40,"t")+COUNTIF($E40:L40,"¶")+COUNTIF($E40:L40,"²")+COUNTIF($E40:L40,"µ")+COUNTIF($E40:L40,1),ColTypeEcheance)),
  IF(LEN(L40)=1,
  IF(LEN(INDEX(Roadmap!$D:$K,MATCH($E40,Roadmap!$D:$D,0)-1+COUNTIF($E40:L40,"u")+COUNTIF($E40:L40,"t")+COUNTIF($E40:L40,"¶")+COUNTIF($E40:L40,"²")+COUNTIF($E40:L40,"µ")+COUNTIF($E40:L40,1),ColDescriptionCourte))&gt;1,
HYPERLINK("#Roadmap!C"&amp; MATCH($E40,Roadmap!$D:$D,0)+COUNTIF($E40:L40,"u")+COUNTIF($E40:L40,"t")+COUNTIF($E40:L40,"¶")+COUNTIF($E40:L40,"²")+COUNTIF($E40:L40,"µ")+COUNTIF($E40:L40,1)-1,INDEX(Roadmap!$D:$K,MATCH($E40,Roadmap!$D:$D,0)-1+COUNTIF($E40:L40,"u")+COUNTIF($E40:L40,"t")+COUNTIF($E40:L40,"¶")+COUNTIF($E40:L40,"²")+COUNTIF($E40:L40,"µ")+COUNTIF($E40:L40,1),ColDescriptionCourte)),""),
  "")),"")</f>
        <v/>
      </c>
      <c r="N40" s="40" t="str">
        <f ca="1">IFERROR(IF(AND(
  INDEX(Roadmap!$D:$K,MATCH($E40,Roadmap!$D:$D,0)+COUNTIF($E40:M40,"u")+COUNTIF($E40:M40,"t")+COUNTIF($E40:M40,"¶")+COUNTIF($E40:M40,"²")+COUNTIF($E40:M40,"µ")+COUNTIF($E40:M40,1),ColLivraison)=N$6,
  VLOOKUP($E40,INDIRECT("tri!"&amp; CHAR(64+ C0Col) &amp;":"&amp; CHAR(65+C0Col)),2,FALSE)&gt;COUNTIF($E40:M40,"u")+COUNTIF($E40:M40,"t")+COUNTIF($E40:M40,"¶")+COUNTIF($E40:M40,"²")+COUNTIF($E40:M40,"µ")+COUNTIF($E40:M40,1)),
HYPERLINK("#Roadmap!C"&amp; MATCH($E40,Roadmap!$D:$D,0)+COUNTIF($E40:M40,"u")+COUNTIF($E40:M40,"t"),
     INDEX(Roadmap!$D:$K,MATCH($E40,Roadmap!$D:$D,0)+COUNTIF($E40:M40,"u")+COUNTIF($E40:M40,"t")+COUNTIF($E40:M40,"¶")+COUNTIF($E40:M40,"²")+COUNTIF($E40:M40,"µ")+COUNTIF($E40:M40,1),ColTypeEcheance)),
  IF(LEN(M40)=1,
  IF(LEN(INDEX(Roadmap!$D:$K,MATCH($E40,Roadmap!$D:$D,0)-1+COUNTIF($E40:M40,"u")+COUNTIF($E40:M40,"t")+COUNTIF($E40:M40,"¶")+COUNTIF($E40:M40,"²")+COUNTIF($E40:M40,"µ")+COUNTIF($E40:M40,1),ColDescriptionCourte))&gt;1,
HYPERLINK("#Roadmap!C"&amp; MATCH($E40,Roadmap!$D:$D,0)+COUNTIF($E40:M40,"u")+COUNTIF($E40:M40,"t")+COUNTIF($E40:M40,"¶")+COUNTIF($E40:M40,"²")+COUNTIF($E40:M40,"µ")+COUNTIF($E40:M40,1)-1,INDEX(Roadmap!$D:$K,MATCH($E40,Roadmap!$D:$D,0)-1+COUNTIF($E40:M40,"u")+COUNTIF($E40:M40,"t")+COUNTIF($E40:M40,"¶")+COUNTIF($E40:M40,"²")+COUNTIF($E40:M40,"µ")+COUNTIF($E40:M40,1),ColDescriptionCourte)),""),
  "")),"")</f>
        <v/>
      </c>
      <c r="O40" s="40" t="str">
        <f ca="1">IFERROR(IF(AND(
  INDEX(Roadmap!$D:$K,MATCH($E40,Roadmap!$D:$D,0)+COUNTIF($E40:N40,"u")+COUNTIF($E40:N40,"t")+COUNTIF($E40:N40,"¶")+COUNTIF($E40:N40,"²")+COUNTIF($E40:N40,"µ")+COUNTIF($E40:N40,1),ColLivraison)=O$6,
  VLOOKUP($E40,INDIRECT("tri!"&amp; CHAR(64+ C0Col) &amp;":"&amp; CHAR(65+C0Col)),2,FALSE)&gt;COUNTIF($E40:N40,"u")+COUNTIF($E40:N40,"t")+COUNTIF($E40:N40,"¶")+COUNTIF($E40:N40,"²")+COUNTIF($E40:N40,"µ")+COUNTIF($E40:N40,1)),
HYPERLINK("#Roadmap!C"&amp; MATCH($E40,Roadmap!$D:$D,0)+COUNTIF($E40:N40,"u")+COUNTIF($E40:N40,"t"),
     INDEX(Roadmap!$D:$K,MATCH($E40,Roadmap!$D:$D,0)+COUNTIF($E40:N40,"u")+COUNTIF($E40:N40,"t")+COUNTIF($E40:N40,"¶")+COUNTIF($E40:N40,"²")+COUNTIF($E40:N40,"µ")+COUNTIF($E40:N40,1),ColTypeEcheance)),
  IF(LEN(N40)=1,
  IF(LEN(INDEX(Roadmap!$D:$K,MATCH($E40,Roadmap!$D:$D,0)-1+COUNTIF($E40:N40,"u")+COUNTIF($E40:N40,"t")+COUNTIF($E40:N40,"¶")+COUNTIF($E40:N40,"²")+COUNTIF($E40:N40,"µ")+COUNTIF($E40:N40,1),ColDescriptionCourte))&gt;1,
HYPERLINK("#Roadmap!C"&amp; MATCH($E40,Roadmap!$D:$D,0)+COUNTIF($E40:N40,"u")+COUNTIF($E40:N40,"t")+COUNTIF($E40:N40,"¶")+COUNTIF($E40:N40,"²")+COUNTIF($E40:N40,"µ")+COUNTIF($E40:N40,1)-1,INDEX(Roadmap!$D:$K,MATCH($E40,Roadmap!$D:$D,0)-1+COUNTIF($E40:N40,"u")+COUNTIF($E40:N40,"t")+COUNTIF($E40:N40,"¶")+COUNTIF($E40:N40,"²")+COUNTIF($E40:N40,"µ")+COUNTIF($E40:N40,1),ColDescriptionCourte)),""),
  "")),"")</f>
        <v/>
      </c>
      <c r="P40" s="40" t="str">
        <f ca="1">IFERROR(IF(AND(
  INDEX(Roadmap!$D:$K,MATCH($E40,Roadmap!$D:$D,0)+COUNTIF($E40:O40,"u")+COUNTIF($E40:O40,"t")+COUNTIF($E40:O40,"¶")+COUNTIF($E40:O40,"²")+COUNTIF($E40:O40,"µ")+COUNTIF($E40:O40,1),ColLivraison)=P$6,
  VLOOKUP($E40,INDIRECT("tri!"&amp; CHAR(64+ C0Col) &amp;":"&amp; CHAR(65+C0Col)),2,FALSE)&gt;COUNTIF($E40:O40,"u")+COUNTIF($E40:O40,"t")+COUNTIF($E40:O40,"¶")+COUNTIF($E40:O40,"²")+COUNTIF($E40:O40,"µ")+COUNTIF($E40:O40,1)),
HYPERLINK("#Roadmap!C"&amp; MATCH($E40,Roadmap!$D:$D,0)+COUNTIF($E40:O40,"u")+COUNTIF($E40:O40,"t"),
     INDEX(Roadmap!$D:$K,MATCH($E40,Roadmap!$D:$D,0)+COUNTIF($E40:O40,"u")+COUNTIF($E40:O40,"t")+COUNTIF($E40:O40,"¶")+COUNTIF($E40:O40,"²")+COUNTIF($E40:O40,"µ")+COUNTIF($E40:O40,1),ColTypeEcheance)),
  IF(LEN(O40)=1,
  IF(LEN(INDEX(Roadmap!$D:$K,MATCH($E40,Roadmap!$D:$D,0)-1+COUNTIF($E40:O40,"u")+COUNTIF($E40:O40,"t")+COUNTIF($E40:O40,"¶")+COUNTIF($E40:O40,"²")+COUNTIF($E40:O40,"µ")+COUNTIF($E40:O40,1),ColDescriptionCourte))&gt;1,
HYPERLINK("#Roadmap!C"&amp; MATCH($E40,Roadmap!$D:$D,0)+COUNTIF($E40:O40,"u")+COUNTIF($E40:O40,"t")+COUNTIF($E40:O40,"¶")+COUNTIF($E40:O40,"²")+COUNTIF($E40:O40,"µ")+COUNTIF($E40:O40,1)-1,INDEX(Roadmap!$D:$K,MATCH($E40,Roadmap!$D:$D,0)-1+COUNTIF($E40:O40,"u")+COUNTIF($E40:O40,"t")+COUNTIF($E40:O40,"¶")+COUNTIF($E40:O40,"²")+COUNTIF($E40:O40,"µ")+COUNTIF($E40:O40,1),ColDescriptionCourte)),""),
  "")),"")</f>
        <v/>
      </c>
      <c r="Q40" s="40" t="str">
        <f ca="1">IFERROR(IF(AND(
  INDEX(Roadmap!$D:$K,MATCH($E40,Roadmap!$D:$D,0)+COUNTIF($E40:P40,"u")+COUNTIF($E40:P40,"t")+COUNTIF($E40:P40,"¶")+COUNTIF($E40:P40,"²")+COUNTIF($E40:P40,"µ")+COUNTIF($E40:P40,1),ColLivraison)=Q$6,
  VLOOKUP($E40,INDIRECT("tri!"&amp; CHAR(64+ C0Col) &amp;":"&amp; CHAR(65+C0Col)),2,FALSE)&gt;COUNTIF($E40:P40,"u")+COUNTIF($E40:P40,"t")+COUNTIF($E40:P40,"¶")+COUNTIF($E40:P40,"²")+COUNTIF($E40:P40,"µ")+COUNTIF($E40:P40,1)),
HYPERLINK("#Roadmap!C"&amp; MATCH($E40,Roadmap!$D:$D,0)+COUNTIF($E40:P40,"u")+COUNTIF($E40:P40,"t"),
     INDEX(Roadmap!$D:$K,MATCH($E40,Roadmap!$D:$D,0)+COUNTIF($E40:P40,"u")+COUNTIF($E40:P40,"t")+COUNTIF($E40:P40,"¶")+COUNTIF($E40:P40,"²")+COUNTIF($E40:P40,"µ")+COUNTIF($E40:P40,1),ColTypeEcheance)),
  IF(LEN(P40)=1,
  IF(LEN(INDEX(Roadmap!$D:$K,MATCH($E40,Roadmap!$D:$D,0)-1+COUNTIF($E40:P40,"u")+COUNTIF($E40:P40,"t")+COUNTIF($E40:P40,"¶")+COUNTIF($E40:P40,"²")+COUNTIF($E40:P40,"µ")+COUNTIF($E40:P40,1),ColDescriptionCourte))&gt;1,
HYPERLINK("#Roadmap!C"&amp; MATCH($E40,Roadmap!$D:$D,0)+COUNTIF($E40:P40,"u")+COUNTIF($E40:P40,"t")+COUNTIF($E40:P40,"¶")+COUNTIF($E40:P40,"²")+COUNTIF($E40:P40,"µ")+COUNTIF($E40:P40,1)-1,INDEX(Roadmap!$D:$K,MATCH($E40,Roadmap!$D:$D,0)-1+COUNTIF($E40:P40,"u")+COUNTIF($E40:P40,"t")+COUNTIF($E40:P40,"¶")+COUNTIF($E40:P40,"²")+COUNTIF($E40:P40,"µ")+COUNTIF($E40:P40,1),ColDescriptionCourte)),""),
  "")),"")</f>
        <v/>
      </c>
      <c r="R40" s="40" t="str">
        <f ca="1">IFERROR(IF(AND(
  INDEX(Roadmap!$D:$K,MATCH($E40,Roadmap!$D:$D,0)+COUNTIF($E40:Q40,"u")+COUNTIF($E40:Q40,"t")+COUNTIF($E40:Q40,"¶")+COUNTIF($E40:Q40,"²")+COUNTIF($E40:Q40,"µ")+COUNTIF($E40:Q40,1),ColLivraison)=R$6,
  VLOOKUP($E40,INDIRECT("tri!"&amp; CHAR(64+ C0Col) &amp;":"&amp; CHAR(65+C0Col)),2,FALSE)&gt;COUNTIF($E40:Q40,"u")+COUNTIF($E40:Q40,"t")+COUNTIF($E40:Q40,"¶")+COUNTIF($E40:Q40,"²")+COUNTIF($E40:Q40,"µ")+COUNTIF($E40:Q40,1)),
HYPERLINK("#Roadmap!C"&amp; MATCH($E40,Roadmap!$D:$D,0)+COUNTIF($E40:Q40,"u")+COUNTIF($E40:Q40,"t"),
     INDEX(Roadmap!$D:$K,MATCH($E40,Roadmap!$D:$D,0)+COUNTIF($E40:Q40,"u")+COUNTIF($E40:Q40,"t")+COUNTIF($E40:Q40,"¶")+COUNTIF($E40:Q40,"²")+COUNTIF($E40:Q40,"µ")+COUNTIF($E40:Q40,1),ColTypeEcheance)),
  IF(LEN(Q40)=1,
  IF(LEN(INDEX(Roadmap!$D:$K,MATCH($E40,Roadmap!$D:$D,0)-1+COUNTIF($E40:Q40,"u")+COUNTIF($E40:Q40,"t")+COUNTIF($E40:Q40,"¶")+COUNTIF($E40:Q40,"²")+COUNTIF($E40:Q40,"µ")+COUNTIF($E40:Q40,1),ColDescriptionCourte))&gt;1,
HYPERLINK("#Roadmap!C"&amp; MATCH($E40,Roadmap!$D:$D,0)+COUNTIF($E40:Q40,"u")+COUNTIF($E40:Q40,"t")+COUNTIF($E40:Q40,"¶")+COUNTIF($E40:Q40,"²")+COUNTIF($E40:Q40,"µ")+COUNTIF($E40:Q40,1)-1,INDEX(Roadmap!$D:$K,MATCH($E40,Roadmap!$D:$D,0)-1+COUNTIF($E40:Q40,"u")+COUNTIF($E40:Q40,"t")+COUNTIF($E40:Q40,"¶")+COUNTIF($E40:Q40,"²")+COUNTIF($E40:Q40,"µ")+COUNTIF($E40:Q40,1),ColDescriptionCourte)),""),
  "")),"")</f>
        <v/>
      </c>
      <c r="S40" s="40" t="str">
        <f ca="1">IFERROR(IF(AND(
  INDEX(Roadmap!$D:$K,MATCH($E40,Roadmap!$D:$D,0)+COUNTIF($E40:R40,"u")+COUNTIF($E40:R40,"t")+COUNTIF($E40:R40,"¶")+COUNTIF($E40:R40,"²")+COUNTIF($E40:R40,"µ")+COUNTIF($E40:R40,1),ColLivraison)=S$6,
  VLOOKUP($E40,INDIRECT("tri!"&amp; CHAR(64+ C0Col) &amp;":"&amp; CHAR(65+C0Col)),2,FALSE)&gt;COUNTIF($E40:R40,"u")+COUNTIF($E40:R40,"t")+COUNTIF($E40:R40,"¶")+COUNTIF($E40:R40,"²")+COUNTIF($E40:R40,"µ")+COUNTIF($E40:R40,1)),
HYPERLINK("#Roadmap!C"&amp; MATCH($E40,Roadmap!$D:$D,0)+COUNTIF($E40:R40,"u")+COUNTIF($E40:R40,"t"),
     INDEX(Roadmap!$D:$K,MATCH($E40,Roadmap!$D:$D,0)+COUNTIF($E40:R40,"u")+COUNTIF($E40:R40,"t")+COUNTIF($E40:R40,"¶")+COUNTIF($E40:R40,"²")+COUNTIF($E40:R40,"µ")+COUNTIF($E40:R40,1),ColTypeEcheance)),
  IF(LEN(R40)=1,
  IF(LEN(INDEX(Roadmap!$D:$K,MATCH($E40,Roadmap!$D:$D,0)-1+COUNTIF($E40:R40,"u")+COUNTIF($E40:R40,"t")+COUNTIF($E40:R40,"¶")+COUNTIF($E40:R40,"²")+COUNTIF($E40:R40,"µ")+COUNTIF($E40:R40,1),ColDescriptionCourte))&gt;1,
HYPERLINK("#Roadmap!C"&amp; MATCH($E40,Roadmap!$D:$D,0)+COUNTIF($E40:R40,"u")+COUNTIF($E40:R40,"t")+COUNTIF($E40:R40,"¶")+COUNTIF($E40:R40,"²")+COUNTIF($E40:R40,"µ")+COUNTIF($E40:R40,1)-1,INDEX(Roadmap!$D:$K,MATCH($E40,Roadmap!$D:$D,0)-1+COUNTIF($E40:R40,"u")+COUNTIF($E40:R40,"t")+COUNTIF($E40:R40,"¶")+COUNTIF($E40:R40,"²")+COUNTIF($E40:R40,"µ")+COUNTIF($E40:R40,1),ColDescriptionCourte)),""),
  "")),"")</f>
        <v/>
      </c>
      <c r="T40" s="40" t="str">
        <f ca="1">IFERROR(IF(AND(
  INDEX(Roadmap!$D:$K,MATCH($E40,Roadmap!$D:$D,0)+COUNTIF($E40:S40,"u")+COUNTIF($E40:S40,"t")+COUNTIF($E40:S40,"¶")+COUNTIF($E40:S40,"²")+COUNTIF($E40:S40,"µ")+COUNTIF($E40:S40,1),ColLivraison)=T$6,
  VLOOKUP($E40,INDIRECT("tri!"&amp; CHAR(64+ C0Col) &amp;":"&amp; CHAR(65+C0Col)),2,FALSE)&gt;COUNTIF($E40:S40,"u")+COUNTIF($E40:S40,"t")+COUNTIF($E40:S40,"¶")+COUNTIF($E40:S40,"²")+COUNTIF($E40:S40,"µ")+COUNTIF($E40:S40,1)),
HYPERLINK("#Roadmap!C"&amp; MATCH($E40,Roadmap!$D:$D,0)+COUNTIF($E40:S40,"u")+COUNTIF($E40:S40,"t"),
     INDEX(Roadmap!$D:$K,MATCH($E40,Roadmap!$D:$D,0)+COUNTIF($E40:S40,"u")+COUNTIF($E40:S40,"t")+COUNTIF($E40:S40,"¶")+COUNTIF($E40:S40,"²")+COUNTIF($E40:S40,"µ")+COUNTIF($E40:S40,1),ColTypeEcheance)),
  IF(LEN(S40)=1,
  IF(LEN(INDEX(Roadmap!$D:$K,MATCH($E40,Roadmap!$D:$D,0)-1+COUNTIF($E40:S40,"u")+COUNTIF($E40:S40,"t")+COUNTIF($E40:S40,"¶")+COUNTIF($E40:S40,"²")+COUNTIF($E40:S40,"µ")+COUNTIF($E40:S40,1),ColDescriptionCourte))&gt;1,
HYPERLINK("#Roadmap!C"&amp; MATCH($E40,Roadmap!$D:$D,0)+COUNTIF($E40:S40,"u")+COUNTIF($E40:S40,"t")+COUNTIF($E40:S40,"¶")+COUNTIF($E40:S40,"²")+COUNTIF($E40:S40,"µ")+COUNTIF($E40:S40,1)-1,INDEX(Roadmap!$D:$K,MATCH($E40,Roadmap!$D:$D,0)-1+COUNTIF($E40:S40,"u")+COUNTIF($E40:S40,"t")+COUNTIF($E40:S40,"¶")+COUNTIF($E40:S40,"²")+COUNTIF($E40:S40,"µ")+COUNTIF($E40:S40,1),ColDescriptionCourte)),""),
  "")),"")</f>
        <v/>
      </c>
      <c r="U40" s="40" t="str">
        <f ca="1">IFERROR(IF(AND(
  INDEX(Roadmap!$D:$K,MATCH($E40,Roadmap!$D:$D,0)+COUNTIF($E40:T40,"u")+COUNTIF($E40:T40,"t")+COUNTIF($E40:T40,"¶")+COUNTIF($E40:T40,"²")+COUNTIF($E40:T40,"µ")+COUNTIF($E40:T40,1),ColLivraison)=U$6,
  VLOOKUP($E40,INDIRECT("tri!"&amp; CHAR(64+ C0Col) &amp;":"&amp; CHAR(65+C0Col)),2,FALSE)&gt;COUNTIF($E40:T40,"u")+COUNTIF($E40:T40,"t")+COUNTIF($E40:T40,"¶")+COUNTIF($E40:T40,"²")+COUNTIF($E40:T40,"µ")+COUNTIF($E40:T40,1)),
HYPERLINK("#Roadmap!C"&amp; MATCH($E40,Roadmap!$D:$D,0)+COUNTIF($E40:T40,"u")+COUNTIF($E40:T40,"t"),
     INDEX(Roadmap!$D:$K,MATCH($E40,Roadmap!$D:$D,0)+COUNTIF($E40:T40,"u")+COUNTIF($E40:T40,"t")+COUNTIF($E40:T40,"¶")+COUNTIF($E40:T40,"²")+COUNTIF($E40:T40,"µ")+COUNTIF($E40:T40,1),ColTypeEcheance)),
  IF(LEN(T40)=1,
  IF(LEN(INDEX(Roadmap!$D:$K,MATCH($E40,Roadmap!$D:$D,0)-1+COUNTIF($E40:T40,"u")+COUNTIF($E40:T40,"t")+COUNTIF($E40:T40,"¶")+COUNTIF($E40:T40,"²")+COUNTIF($E40:T40,"µ")+COUNTIF($E40:T40,1),ColDescriptionCourte))&gt;1,
HYPERLINK("#Roadmap!C"&amp; MATCH($E40,Roadmap!$D:$D,0)+COUNTIF($E40:T40,"u")+COUNTIF($E40:T40,"t")+COUNTIF($E40:T40,"¶")+COUNTIF($E40:T40,"²")+COUNTIF($E40:T40,"µ")+COUNTIF($E40:T40,1)-1,INDEX(Roadmap!$D:$K,MATCH($E40,Roadmap!$D:$D,0)-1+COUNTIF($E40:T40,"u")+COUNTIF($E40:T40,"t")+COUNTIF($E40:T40,"¶")+COUNTIF($E40:T40,"²")+COUNTIF($E40:T40,"µ")+COUNTIF($E40:T40,1),ColDescriptionCourte)),""),
  "")),"")</f>
        <v/>
      </c>
      <c r="V40" s="40" t="str">
        <f ca="1">IFERROR(IF(AND(
  INDEX(Roadmap!$D:$K,MATCH($E40,Roadmap!$D:$D,0)+COUNTIF($E40:U40,"u")+COUNTIF($E40:U40,"t")+COUNTIF($E40:U40,"¶")+COUNTIF($E40:U40,"²")+COUNTIF($E40:U40,"µ")+COUNTIF($E40:U40,1),ColLivraison)=V$6,
  VLOOKUP($E40,INDIRECT("tri!"&amp; CHAR(64+ C0Col) &amp;":"&amp; CHAR(65+C0Col)),2,FALSE)&gt;COUNTIF($E40:U40,"u")+COUNTIF($E40:U40,"t")+COUNTIF($E40:U40,"¶")+COUNTIF($E40:U40,"²")+COUNTIF($E40:U40,"µ")+COUNTIF($E40:U40,1)),
HYPERLINK("#Roadmap!C"&amp; MATCH($E40,Roadmap!$D:$D,0)+COUNTIF($E40:U40,"u")+COUNTIF($E40:U40,"t"),
     INDEX(Roadmap!$D:$K,MATCH($E40,Roadmap!$D:$D,0)+COUNTIF($E40:U40,"u")+COUNTIF($E40:U40,"t")+COUNTIF($E40:U40,"¶")+COUNTIF($E40:U40,"²")+COUNTIF($E40:U40,"µ")+COUNTIF($E40:U40,1),ColTypeEcheance)),
  IF(LEN(U40)=1,
  IF(LEN(INDEX(Roadmap!$D:$K,MATCH($E40,Roadmap!$D:$D,0)-1+COUNTIF($E40:U40,"u")+COUNTIF($E40:U40,"t")+COUNTIF($E40:U40,"¶")+COUNTIF($E40:U40,"²")+COUNTIF($E40:U40,"µ")+COUNTIF($E40:U40,1),ColDescriptionCourte))&gt;1,
HYPERLINK("#Roadmap!C"&amp; MATCH($E40,Roadmap!$D:$D,0)+COUNTIF($E40:U40,"u")+COUNTIF($E40:U40,"t")+COUNTIF($E40:U40,"¶")+COUNTIF($E40:U40,"²")+COUNTIF($E40:U40,"µ")+COUNTIF($E40:U40,1)-1,INDEX(Roadmap!$D:$K,MATCH($E40,Roadmap!$D:$D,0)-1+COUNTIF($E40:U40,"u")+COUNTIF($E40:U40,"t")+COUNTIF($E40:U40,"¶")+COUNTIF($E40:U40,"²")+COUNTIF($E40:U40,"µ")+COUNTIF($E40:U40,1),ColDescriptionCourte)),""),
  "")),"")</f>
        <v/>
      </c>
      <c r="W40" s="40" t="str">
        <f ca="1">IFERROR(IF(AND(
  INDEX(Roadmap!$D:$K,MATCH($E40,Roadmap!$D:$D,0)+COUNTIF($E40:V40,"u")+COUNTIF($E40:V40,"t")+COUNTIF($E40:V40,"¶")+COUNTIF($E40:V40,"²")+COUNTIF($E40:V40,"µ")+COUNTIF($E40:V40,1),ColLivraison)=W$6,
  VLOOKUP($E40,INDIRECT("tri!"&amp; CHAR(64+ C0Col) &amp;":"&amp; CHAR(65+C0Col)),2,FALSE)&gt;COUNTIF($E40:V40,"u")+COUNTIF($E40:V40,"t")+COUNTIF($E40:V40,"¶")+COUNTIF($E40:V40,"²")+COUNTIF($E40:V40,"µ")+COUNTIF($E40:V40,1)),
HYPERLINK("#Roadmap!C"&amp; MATCH($E40,Roadmap!$D:$D,0)+COUNTIF($E40:V40,"u")+COUNTIF($E40:V40,"t"),
     INDEX(Roadmap!$D:$K,MATCH($E40,Roadmap!$D:$D,0)+COUNTIF($E40:V40,"u")+COUNTIF($E40:V40,"t")+COUNTIF($E40:V40,"¶")+COUNTIF($E40:V40,"²")+COUNTIF($E40:V40,"µ")+COUNTIF($E40:V40,1),ColTypeEcheance)),
  IF(LEN(V40)=1,
  IF(LEN(INDEX(Roadmap!$D:$K,MATCH($E40,Roadmap!$D:$D,0)-1+COUNTIF($E40:V40,"u")+COUNTIF($E40:V40,"t")+COUNTIF($E40:V40,"¶")+COUNTIF($E40:V40,"²")+COUNTIF($E40:V40,"µ")+COUNTIF($E40:V40,1),ColDescriptionCourte))&gt;1,
HYPERLINK("#Roadmap!C"&amp; MATCH($E40,Roadmap!$D:$D,0)+COUNTIF($E40:V40,"u")+COUNTIF($E40:V40,"t")+COUNTIF($E40:V40,"¶")+COUNTIF($E40:V40,"²")+COUNTIF($E40:V40,"µ")+COUNTIF($E40:V40,1)-1,INDEX(Roadmap!$D:$K,MATCH($E40,Roadmap!$D:$D,0)-1+COUNTIF($E40:V40,"u")+COUNTIF($E40:V40,"t")+COUNTIF($E40:V40,"¶")+COUNTIF($E40:V40,"²")+COUNTIF($E40:V40,"µ")+COUNTIF($E40:V40,1),ColDescriptionCourte)),""),
  "")),"")</f>
        <v/>
      </c>
      <c r="X40" s="40" t="str">
        <f ca="1">IFERROR(IF(AND(
  INDEX(Roadmap!$D:$K,MATCH($E40,Roadmap!$D:$D,0)+COUNTIF($E40:W40,"u")+COUNTIF($E40:W40,"t")+COUNTIF($E40:W40,"¶")+COUNTIF($E40:W40,"²")+COUNTIF($E40:W40,"µ")+COUNTIF($E40:W40,1),ColLivraison)=X$6,
  VLOOKUP($E40,INDIRECT("tri!"&amp; CHAR(64+ C0Col) &amp;":"&amp; CHAR(65+C0Col)),2,FALSE)&gt;COUNTIF($E40:W40,"u")+COUNTIF($E40:W40,"t")+COUNTIF($E40:W40,"¶")+COUNTIF($E40:W40,"²")+COUNTIF($E40:W40,"µ")+COUNTIF($E40:W40,1)),
HYPERLINK("#Roadmap!C"&amp; MATCH($E40,Roadmap!$D:$D,0)+COUNTIF($E40:W40,"u")+COUNTIF($E40:W40,"t"),
     INDEX(Roadmap!$D:$K,MATCH($E40,Roadmap!$D:$D,0)+COUNTIF($E40:W40,"u")+COUNTIF($E40:W40,"t")+COUNTIF($E40:W40,"¶")+COUNTIF($E40:W40,"²")+COUNTIF($E40:W40,"µ")+COUNTIF($E40:W40,1),ColTypeEcheance)),
  IF(LEN(W40)=1,
  IF(LEN(INDEX(Roadmap!$D:$K,MATCH($E40,Roadmap!$D:$D,0)-1+COUNTIF($E40:W40,"u")+COUNTIF($E40:W40,"t")+COUNTIF($E40:W40,"¶")+COUNTIF($E40:W40,"²")+COUNTIF($E40:W40,"µ")+COUNTIF($E40:W40,1),ColDescriptionCourte))&gt;1,
HYPERLINK("#Roadmap!C"&amp; MATCH($E40,Roadmap!$D:$D,0)+COUNTIF($E40:W40,"u")+COUNTIF($E40:W40,"t")+COUNTIF($E40:W40,"¶")+COUNTIF($E40:W40,"²")+COUNTIF($E40:W40,"µ")+COUNTIF($E40:W40,1)-1,INDEX(Roadmap!$D:$K,MATCH($E40,Roadmap!$D:$D,0)-1+COUNTIF($E40:W40,"u")+COUNTIF($E40:W40,"t")+COUNTIF($E40:W40,"¶")+COUNTIF($E40:W40,"²")+COUNTIF($E40:W40,"µ")+COUNTIF($E40:W40,1),ColDescriptionCourte)),""),
  "")),"")</f>
        <v/>
      </c>
      <c r="Y40" s="40" t="str">
        <f ca="1">IFERROR(IF(AND(
  INDEX(Roadmap!$D:$K,MATCH($E40,Roadmap!$D:$D,0)+COUNTIF($E40:X40,"u")+COUNTIF($E40:X40,"t")+COUNTIF($E40:X40,"¶")+COUNTIF($E40:X40,"²")+COUNTIF($E40:X40,"µ")+COUNTIF($E40:X40,1),ColLivraison)=Y$6,
  VLOOKUP($E40,INDIRECT("tri!"&amp; CHAR(64+ C0Col) &amp;":"&amp; CHAR(65+C0Col)),2,FALSE)&gt;COUNTIF($E40:X40,"u")+COUNTIF($E40:X40,"t")+COUNTIF($E40:X40,"¶")+COUNTIF($E40:X40,"²")+COUNTIF($E40:X40,"µ")+COUNTIF($E40:X40,1)),
HYPERLINK("#Roadmap!C"&amp; MATCH($E40,Roadmap!$D:$D,0)+COUNTIF($E40:X40,"u")+COUNTIF($E40:X40,"t"),
     INDEX(Roadmap!$D:$K,MATCH($E40,Roadmap!$D:$D,0)+COUNTIF($E40:X40,"u")+COUNTIF($E40:X40,"t")+COUNTIF($E40:X40,"¶")+COUNTIF($E40:X40,"²")+COUNTIF($E40:X40,"µ")+COUNTIF($E40:X40,1),ColTypeEcheance)),
  IF(LEN(X40)=1,
  IF(LEN(INDEX(Roadmap!$D:$K,MATCH($E40,Roadmap!$D:$D,0)-1+COUNTIF($E40:X40,"u")+COUNTIF($E40:X40,"t")+COUNTIF($E40:X40,"¶")+COUNTIF($E40:X40,"²")+COUNTIF($E40:X40,"µ")+COUNTIF($E40:X40,1),ColDescriptionCourte))&gt;1,
HYPERLINK("#Roadmap!C"&amp; MATCH($E40,Roadmap!$D:$D,0)+COUNTIF($E40:X40,"u")+COUNTIF($E40:X40,"t")+COUNTIF($E40:X40,"¶")+COUNTIF($E40:X40,"²")+COUNTIF($E40:X40,"µ")+COUNTIF($E40:X40,1)-1,INDEX(Roadmap!$D:$K,MATCH($E40,Roadmap!$D:$D,0)-1+COUNTIF($E40:X40,"u")+COUNTIF($E40:X40,"t")+COUNTIF($E40:X40,"¶")+COUNTIF($E40:X40,"²")+COUNTIF($E40:X40,"µ")+COUNTIF($E40:X40,1),ColDescriptionCourte)),""),
  "")),"")</f>
        <v/>
      </c>
      <c r="Z40" s="40" t="str">
        <f ca="1">IFERROR(IF(AND(
  INDEX(Roadmap!$D:$K,MATCH($E40,Roadmap!$D:$D,0)+COUNTIF($E40:Y40,"u")+COUNTIF($E40:Y40,"t")+COUNTIF($E40:Y40,"¶")+COUNTIF($E40:Y40,"²")+COUNTIF($E40:Y40,"µ")+COUNTIF($E40:Y40,1),ColLivraison)=Z$6,
  VLOOKUP($E40,INDIRECT("tri!"&amp; CHAR(64+ C0Col) &amp;":"&amp; CHAR(65+C0Col)),2,FALSE)&gt;COUNTIF($E40:Y40,"u")+COUNTIF($E40:Y40,"t")+COUNTIF($E40:Y40,"¶")+COUNTIF($E40:Y40,"²")+COUNTIF($E40:Y40,"µ")+COUNTIF($E40:Y40,1)),
HYPERLINK("#Roadmap!C"&amp; MATCH($E40,Roadmap!$D:$D,0)+COUNTIF($E40:Y40,"u")+COUNTIF($E40:Y40,"t"),
     INDEX(Roadmap!$D:$K,MATCH($E40,Roadmap!$D:$D,0)+COUNTIF($E40:Y40,"u")+COUNTIF($E40:Y40,"t")+COUNTIF($E40:Y40,"¶")+COUNTIF($E40:Y40,"²")+COUNTIF($E40:Y40,"µ")+COUNTIF($E40:Y40,1),ColTypeEcheance)),
  IF(LEN(Y40)=1,
  IF(LEN(INDEX(Roadmap!$D:$K,MATCH($E40,Roadmap!$D:$D,0)-1+COUNTIF($E40:Y40,"u")+COUNTIF($E40:Y40,"t")+COUNTIF($E40:Y40,"¶")+COUNTIF($E40:Y40,"²")+COUNTIF($E40:Y40,"µ")+COUNTIF($E40:Y40,1),ColDescriptionCourte))&gt;1,
HYPERLINK("#Roadmap!C"&amp; MATCH($E40,Roadmap!$D:$D,0)+COUNTIF($E40:Y40,"u")+COUNTIF($E40:Y40,"t")+COUNTIF($E40:Y40,"¶")+COUNTIF($E40:Y40,"²")+COUNTIF($E40:Y40,"µ")+COUNTIF($E40:Y40,1)-1,INDEX(Roadmap!$D:$K,MATCH($E40,Roadmap!$D:$D,0)-1+COUNTIF($E40:Y40,"u")+COUNTIF($E40:Y40,"t")+COUNTIF($E40:Y40,"¶")+COUNTIF($E40:Y40,"²")+COUNTIF($E40:Y40,"µ")+COUNTIF($E40:Y40,1),ColDescriptionCourte)),""),
  "")),"")</f>
        <v/>
      </c>
      <c r="AA40" s="40" t="str">
        <f ca="1">IFERROR(IF(AND(
  INDEX(Roadmap!$D:$K,MATCH($E40,Roadmap!$D:$D,0)+COUNTIF($E40:Z40,"u")+COUNTIF($E40:Z40,"t")+COUNTIF($E40:Z40,"¶")+COUNTIF($E40:Z40,"²")+COUNTIF($E40:Z40,"µ")+COUNTIF($E40:Z40,1),ColLivraison)=AA$6,
  VLOOKUP($E40,INDIRECT("tri!"&amp; CHAR(64+ C0Col) &amp;":"&amp; CHAR(65+C0Col)),2,FALSE)&gt;COUNTIF($E40:Z40,"u")+COUNTIF($E40:Z40,"t")+COUNTIF($E40:Z40,"¶")+COUNTIF($E40:Z40,"²")+COUNTIF($E40:Z40,"µ")+COUNTIF($E40:Z40,1)),
HYPERLINK("#Roadmap!C"&amp; MATCH($E40,Roadmap!$D:$D,0)+COUNTIF($E40:Z40,"u")+COUNTIF($E40:Z40,"t"),
     INDEX(Roadmap!$D:$K,MATCH($E40,Roadmap!$D:$D,0)+COUNTIF($E40:Z40,"u")+COUNTIF($E40:Z40,"t")+COUNTIF($E40:Z40,"¶")+COUNTIF($E40:Z40,"²")+COUNTIF($E40:Z40,"µ")+COUNTIF($E40:Z40,1),ColTypeEcheance)),
  IF(LEN(Z40)=1,
  IF(LEN(INDEX(Roadmap!$D:$K,MATCH($E40,Roadmap!$D:$D,0)-1+COUNTIF($E40:Z40,"u")+COUNTIF($E40:Z40,"t")+COUNTIF($E40:Z40,"¶")+COUNTIF($E40:Z40,"²")+COUNTIF($E40:Z40,"µ")+COUNTIF($E40:Z40,1),ColDescriptionCourte))&gt;1,
HYPERLINK("#Roadmap!C"&amp; MATCH($E40,Roadmap!$D:$D,0)+COUNTIF($E40:Z40,"u")+COUNTIF($E40:Z40,"t")+COUNTIF($E40:Z40,"¶")+COUNTIF($E40:Z40,"²")+COUNTIF($E40:Z40,"µ")+COUNTIF($E40:Z40,1)-1,INDEX(Roadmap!$D:$K,MATCH($E40,Roadmap!$D:$D,0)-1+COUNTIF($E40:Z40,"u")+COUNTIF($E40:Z40,"t")+COUNTIF($E40:Z40,"¶")+COUNTIF($E40:Z40,"²")+COUNTIF($E40:Z40,"µ")+COUNTIF($E40:Z40,1),ColDescriptionCourte)),""),
  "")),"")</f>
        <v/>
      </c>
      <c r="AB40" s="40" t="str">
        <f ca="1">IFERROR(IF(AND(
  INDEX(Roadmap!$D:$K,MATCH($E40,Roadmap!$D:$D,0)+COUNTIF($E40:AA40,"u")+COUNTIF($E40:AA40,"t")+COUNTIF($E40:AA40,"¶")+COUNTIF($E40:AA40,"²")+COUNTIF($E40:AA40,"µ")+COUNTIF($E40:AA40,1),ColLivraison)=AB$6,
  VLOOKUP($E40,INDIRECT("tri!"&amp; CHAR(64+ C0Col) &amp;":"&amp; CHAR(65+C0Col)),2,FALSE)&gt;COUNTIF($E40:AA40,"u")+COUNTIF($E40:AA40,"t")+COUNTIF($E40:AA40,"¶")+COUNTIF($E40:AA40,"²")+COUNTIF($E40:AA40,"µ")+COUNTIF($E40:AA40,1)),
HYPERLINK("#Roadmap!C"&amp; MATCH($E40,Roadmap!$D:$D,0)+COUNTIF($E40:AA40,"u")+COUNTIF($E40:AA40,"t"),
     INDEX(Roadmap!$D:$K,MATCH($E40,Roadmap!$D:$D,0)+COUNTIF($E40:AA40,"u")+COUNTIF($E40:AA40,"t")+COUNTIF($E40:AA40,"¶")+COUNTIF($E40:AA40,"²")+COUNTIF($E40:AA40,"µ")+COUNTIF($E40:AA40,1),ColTypeEcheance)),
  IF(LEN(AA40)=1,
  IF(LEN(INDEX(Roadmap!$D:$K,MATCH($E40,Roadmap!$D:$D,0)-1+COUNTIF($E40:AA40,"u")+COUNTIF($E40:AA40,"t")+COUNTIF($E40:AA40,"¶")+COUNTIF($E40:AA40,"²")+COUNTIF($E40:AA40,"µ")+COUNTIF($E40:AA40,1),ColDescriptionCourte))&gt;1,
HYPERLINK("#Roadmap!C"&amp; MATCH($E40,Roadmap!$D:$D,0)+COUNTIF($E40:AA40,"u")+COUNTIF($E40:AA40,"t")+COUNTIF($E40:AA40,"¶")+COUNTIF($E40:AA40,"²")+COUNTIF($E40:AA40,"µ")+COUNTIF($E40:AA40,1)-1,INDEX(Roadmap!$D:$K,MATCH($E40,Roadmap!$D:$D,0)-1+COUNTIF($E40:AA40,"u")+COUNTIF($E40:AA40,"t")+COUNTIF($E40:AA40,"¶")+COUNTIF($E40:AA40,"²")+COUNTIF($E40:AA40,"µ")+COUNTIF($E40:AA40,1),ColDescriptionCourte)),""),
  "")),"")</f>
        <v/>
      </c>
      <c r="AC40" s="40" t="str">
        <f ca="1">IFERROR(IF(AND(
  INDEX(Roadmap!$D:$K,MATCH($E40,Roadmap!$D:$D,0)+COUNTIF($E40:AB40,"u")+COUNTIF($E40:AB40,"t")+COUNTIF($E40:AB40,"¶")+COUNTIF($E40:AB40,"²")+COUNTIF($E40:AB40,"µ")+COUNTIF($E40:AB40,1),ColLivraison)=AC$6,
  VLOOKUP($E40,INDIRECT("tri!"&amp; CHAR(64+ C0Col) &amp;":"&amp; CHAR(65+C0Col)),2,FALSE)&gt;COUNTIF($E40:AB40,"u")+COUNTIF($E40:AB40,"t")+COUNTIF($E40:AB40,"¶")+COUNTIF($E40:AB40,"²")+COUNTIF($E40:AB40,"µ")+COUNTIF($E40:AB40,1)),
HYPERLINK("#Roadmap!C"&amp; MATCH($E40,Roadmap!$D:$D,0)+COUNTIF($E40:AB40,"u")+COUNTIF($E40:AB40,"t"),
     INDEX(Roadmap!$D:$K,MATCH($E40,Roadmap!$D:$D,0)+COUNTIF($E40:AB40,"u")+COUNTIF($E40:AB40,"t")+COUNTIF($E40:AB40,"¶")+COUNTIF($E40:AB40,"²")+COUNTIF($E40:AB40,"µ")+COUNTIF($E40:AB40,1),ColTypeEcheance)),
  IF(LEN(AB40)=1,
  IF(LEN(INDEX(Roadmap!$D:$K,MATCH($E40,Roadmap!$D:$D,0)-1+COUNTIF($E40:AB40,"u")+COUNTIF($E40:AB40,"t")+COUNTIF($E40:AB40,"¶")+COUNTIF($E40:AB40,"²")+COUNTIF($E40:AB40,"µ")+COUNTIF($E40:AB40,1),ColDescriptionCourte))&gt;1,
HYPERLINK("#Roadmap!C"&amp; MATCH($E40,Roadmap!$D:$D,0)+COUNTIF($E40:AB40,"u")+COUNTIF($E40:AB40,"t")+COUNTIF($E40:AB40,"¶")+COUNTIF($E40:AB40,"²")+COUNTIF($E40:AB40,"µ")+COUNTIF($E40:AB40,1)-1,INDEX(Roadmap!$D:$K,MATCH($E40,Roadmap!$D:$D,0)-1+COUNTIF($E40:AB40,"u")+COUNTIF($E40:AB40,"t")+COUNTIF($E40:AB40,"¶")+COUNTIF($E40:AB40,"²")+COUNTIF($E40:AB40,"µ")+COUNTIF($E40:AB40,1),ColDescriptionCourte)),""),
  "")),"")</f>
        <v/>
      </c>
      <c r="AD40" s="40" t="str">
        <f ca="1">IFERROR(IF(AND(
  INDEX(Roadmap!$D:$K,MATCH($E40,Roadmap!$D:$D,0)+COUNTIF($E40:AC40,"u")+COUNTIF($E40:AC40,"t")+COUNTIF($E40:AC40,"¶")+COUNTIF($E40:AC40,"²")+COUNTIF($E40:AC40,"µ")+COUNTIF($E40:AC40,1),ColLivraison)=AD$6,
  VLOOKUP($E40,INDIRECT("tri!"&amp; CHAR(64+ C0Col) &amp;":"&amp; CHAR(65+C0Col)),2,FALSE)&gt;COUNTIF($E40:AC40,"u")+COUNTIF($E40:AC40,"t")+COUNTIF($E40:AC40,"¶")+COUNTIF($E40:AC40,"²")+COUNTIF($E40:AC40,"µ")+COUNTIF($E40:AC40,1)),
HYPERLINK("#Roadmap!C"&amp; MATCH($E40,Roadmap!$D:$D,0)+COUNTIF($E40:AC40,"u")+COUNTIF($E40:AC40,"t"),
     INDEX(Roadmap!$D:$K,MATCH($E40,Roadmap!$D:$D,0)+COUNTIF($E40:AC40,"u")+COUNTIF($E40:AC40,"t")+COUNTIF($E40:AC40,"¶")+COUNTIF($E40:AC40,"²")+COUNTIF($E40:AC40,"µ")+COUNTIF($E40:AC40,1),ColTypeEcheance)),
  IF(LEN(AC40)=1,
  IF(LEN(INDEX(Roadmap!$D:$K,MATCH($E40,Roadmap!$D:$D,0)-1+COUNTIF($E40:AC40,"u")+COUNTIF($E40:AC40,"t")+COUNTIF($E40:AC40,"¶")+COUNTIF($E40:AC40,"²")+COUNTIF($E40:AC40,"µ")+COUNTIF($E40:AC40,1),ColDescriptionCourte))&gt;1,
HYPERLINK("#Roadmap!C"&amp; MATCH($E40,Roadmap!$D:$D,0)+COUNTIF($E40:AC40,"u")+COUNTIF($E40:AC40,"t")+COUNTIF($E40:AC40,"¶")+COUNTIF($E40:AC40,"²")+COUNTIF($E40:AC40,"µ")+COUNTIF($E40:AC40,1)-1,INDEX(Roadmap!$D:$K,MATCH($E40,Roadmap!$D:$D,0)-1+COUNTIF($E40:AC40,"u")+COUNTIF($E40:AC40,"t")+COUNTIF($E40:AC40,"¶")+COUNTIF($E40:AC40,"²")+COUNTIF($E40:AC40,"µ")+COUNTIF($E40:AC40,1),ColDescriptionCourte)),""),
  "")),"")</f>
        <v/>
      </c>
      <c r="AE40" s="40" t="str">
        <f ca="1">IFERROR(IF(AND(
  INDEX(Roadmap!$D:$K,MATCH($E40,Roadmap!$D:$D,0)+COUNTIF($E40:AD40,"u")+COUNTIF($E40:AD40,"t")+COUNTIF($E40:AD40,"¶")+COUNTIF($E40:AD40,"²")+COUNTIF($E40:AD40,"µ")+COUNTIF($E40:AD40,1),ColLivraison)=AE$6,
  VLOOKUP($E40,INDIRECT("tri!"&amp; CHAR(64+ C0Col) &amp;":"&amp; CHAR(65+C0Col)),2,FALSE)&gt;COUNTIF($E40:AD40,"u")+COUNTIF($E40:AD40,"t")+COUNTIF($E40:AD40,"¶")+COUNTIF($E40:AD40,"²")+COUNTIF($E40:AD40,"µ")+COUNTIF($E40:AD40,1)),
HYPERLINK("#Roadmap!C"&amp; MATCH($E40,Roadmap!$D:$D,0)+COUNTIF($E40:AD40,"u")+COUNTIF($E40:AD40,"t"),
     INDEX(Roadmap!$D:$K,MATCH($E40,Roadmap!$D:$D,0)+COUNTIF($E40:AD40,"u")+COUNTIF($E40:AD40,"t")+COUNTIF($E40:AD40,"¶")+COUNTIF($E40:AD40,"²")+COUNTIF($E40:AD40,"µ")+COUNTIF($E40:AD40,1),ColTypeEcheance)),
  IF(LEN(AD40)=1,
  IF(LEN(INDEX(Roadmap!$D:$K,MATCH($E40,Roadmap!$D:$D,0)-1+COUNTIF($E40:AD40,"u")+COUNTIF($E40:AD40,"t")+COUNTIF($E40:AD40,"¶")+COUNTIF($E40:AD40,"²")+COUNTIF($E40:AD40,"µ")+COUNTIF($E40:AD40,1),ColDescriptionCourte))&gt;1,
HYPERLINK("#Roadmap!C"&amp; MATCH($E40,Roadmap!$D:$D,0)+COUNTIF($E40:AD40,"u")+COUNTIF($E40:AD40,"t")+COUNTIF($E40:AD40,"¶")+COUNTIF($E40:AD40,"²")+COUNTIF($E40:AD40,"µ")+COUNTIF($E40:AD40,1)-1,INDEX(Roadmap!$D:$K,MATCH($E40,Roadmap!$D:$D,0)-1+COUNTIF($E40:AD40,"u")+COUNTIF($E40:AD40,"t")+COUNTIF($E40:AD40,"¶")+COUNTIF($E40:AD40,"²")+COUNTIF($E40:AD40,"µ")+COUNTIF($E40:AD40,1),ColDescriptionCourte)),""),
  "")),"")</f>
        <v/>
      </c>
      <c r="AF40" s="40" t="str">
        <f ca="1">IFERROR(IF(AND(
  INDEX(Roadmap!$D:$K,MATCH($E40,Roadmap!$D:$D,0)+COUNTIF($E40:AE40,"u")+COUNTIF($E40:AE40,"t")+COUNTIF($E40:AE40,"¶")+COUNTIF($E40:AE40,"²")+COUNTIF($E40:AE40,"µ")+COUNTIF($E40:AE40,1),ColLivraison)=AF$6,
  VLOOKUP($E40,INDIRECT("tri!"&amp; CHAR(64+ C0Col) &amp;":"&amp; CHAR(65+C0Col)),2,FALSE)&gt;COUNTIF($E40:AE40,"u")+COUNTIF($E40:AE40,"t")+COUNTIF($E40:AE40,"¶")+COUNTIF($E40:AE40,"²")+COUNTIF($E40:AE40,"µ")+COUNTIF($E40:AE40,1)),
HYPERLINK("#Roadmap!C"&amp; MATCH($E40,Roadmap!$D:$D,0)+COUNTIF($E40:AE40,"u")+COUNTIF($E40:AE40,"t"),
     INDEX(Roadmap!$D:$K,MATCH($E40,Roadmap!$D:$D,0)+COUNTIF($E40:AE40,"u")+COUNTIF($E40:AE40,"t")+COUNTIF($E40:AE40,"¶")+COUNTIF($E40:AE40,"²")+COUNTIF($E40:AE40,"µ")+COUNTIF($E40:AE40,1),ColTypeEcheance)),
  IF(LEN(AE40)=1,
  IF(LEN(INDEX(Roadmap!$D:$K,MATCH($E40,Roadmap!$D:$D,0)-1+COUNTIF($E40:AE40,"u")+COUNTIF($E40:AE40,"t")+COUNTIF($E40:AE40,"¶")+COUNTIF($E40:AE40,"²")+COUNTIF($E40:AE40,"µ")+COUNTIF($E40:AE40,1),ColDescriptionCourte))&gt;1,
HYPERLINK("#Roadmap!C"&amp; MATCH($E40,Roadmap!$D:$D,0)+COUNTIF($E40:AE40,"u")+COUNTIF($E40:AE40,"t")+COUNTIF($E40:AE40,"¶")+COUNTIF($E40:AE40,"²")+COUNTIF($E40:AE40,"µ")+COUNTIF($E40:AE40,1)-1,INDEX(Roadmap!$D:$K,MATCH($E40,Roadmap!$D:$D,0)-1+COUNTIF($E40:AE40,"u")+COUNTIF($E40:AE40,"t")+COUNTIF($E40:AE40,"¶")+COUNTIF($E40:AE40,"²")+COUNTIF($E40:AE40,"µ")+COUNTIF($E40:AE40,1),ColDescriptionCourte)),""),
  "")),"")</f>
        <v/>
      </c>
      <c r="AG40" s="40" t="str">
        <f ca="1">IFERROR(IF(AND(
  INDEX(Roadmap!$D:$K,MATCH($E40,Roadmap!$D:$D,0)+COUNTIF($E40:AF40,"u")+COUNTIF($E40:AF40,"t")+COUNTIF($E40:AF40,"¶")+COUNTIF($E40:AF40,"²")+COUNTIF($E40:AF40,"µ")+COUNTIF($E40:AF40,1),ColLivraison)=AG$6,
  VLOOKUP($E40,INDIRECT("tri!"&amp; CHAR(64+ C0Col) &amp;":"&amp; CHAR(65+C0Col)),2,FALSE)&gt;COUNTIF($E40:AF40,"u")+COUNTIF($E40:AF40,"t")+COUNTIF($E40:AF40,"¶")+COUNTIF($E40:AF40,"²")+COUNTIF($E40:AF40,"µ")+COUNTIF($E40:AF40,1)),
HYPERLINK("#Roadmap!C"&amp; MATCH($E40,Roadmap!$D:$D,0)+COUNTIF($E40:AF40,"u")+COUNTIF($E40:AF40,"t"),
     INDEX(Roadmap!$D:$K,MATCH($E40,Roadmap!$D:$D,0)+COUNTIF($E40:AF40,"u")+COUNTIF($E40:AF40,"t")+COUNTIF($E40:AF40,"¶")+COUNTIF($E40:AF40,"²")+COUNTIF($E40:AF40,"µ")+COUNTIF($E40:AF40,1),ColTypeEcheance)),
  IF(LEN(AF40)=1,
  IF(LEN(INDEX(Roadmap!$D:$K,MATCH($E40,Roadmap!$D:$D,0)-1+COUNTIF($E40:AF40,"u")+COUNTIF($E40:AF40,"t")+COUNTIF($E40:AF40,"¶")+COUNTIF($E40:AF40,"²")+COUNTIF($E40:AF40,"µ")+COUNTIF($E40:AF40,1),ColDescriptionCourte))&gt;1,
HYPERLINK("#Roadmap!C"&amp; MATCH($E40,Roadmap!$D:$D,0)+COUNTIF($E40:AF40,"u")+COUNTIF($E40:AF40,"t")+COUNTIF($E40:AF40,"¶")+COUNTIF($E40:AF40,"²")+COUNTIF($E40:AF40,"µ")+COUNTIF($E40:AF40,1)-1,INDEX(Roadmap!$D:$K,MATCH($E40,Roadmap!$D:$D,0)-1+COUNTIF($E40:AF40,"u")+COUNTIF($E40:AF40,"t")+COUNTIF($E40:AF40,"¶")+COUNTIF($E40:AF40,"²")+COUNTIF($E40:AF40,"µ")+COUNTIF($E40:AF40,1),ColDescriptionCourte)),""),
  "")),"")</f>
        <v/>
      </c>
    </row>
    <row r="41" spans="3:33" ht="14.25" customHeight="1">
      <c r="C41" s="1" t="str">
        <f t="shared" ca="1" si="44"/>
        <v/>
      </c>
      <c r="D41" s="1" t="str">
        <f t="shared" ca="1" si="45"/>
        <v/>
      </c>
      <c r="E41" s="35" t="str">
        <f t="shared" ca="1" si="33"/>
        <v/>
      </c>
      <c r="F41" s="39" t="str">
        <f ca="1">IFERROR(IF(AND(
  INDEX(Roadmap!$D:$K,MATCH($E41,Roadmap!$D:$D,0)+COUNTIF($E41:E41,"u")+COUNTIF($E41:E41,"t")+COUNTIF($E41:E41,"¶")+COUNTIF($E41:E41,"²")+COUNTIF($E41:E41,"µ")+COUNTIF($E41:E41,1),ColLivraison)=F$6,
  VLOOKUP($E41,INDIRECT("tri!"&amp; CHAR(64+ C0Col) &amp;":"&amp; CHAR(65+C0Col)),2,FALSE)&gt;COUNTIF($E41:E41,"u")+COUNTIF($E41:E41,"t")+COUNTIF($E41:E41,"¶")+COUNTIF($E41:E41,"²")+COUNTIF($E41:E41,"µ")+COUNTIF($E41:E41,1)),
HYPERLINK("#Roadmap!C"&amp; MATCH($E41,Roadmap!$D:$D,0)+COUNTIF($E41:E41,"u")+COUNTIF($E41:E41,"t"),
     INDEX(Roadmap!$D:$K,MATCH($E41,Roadmap!$D:$D,0)+COUNTIF($E41:E41,"u")+COUNTIF($E41:E41,"t")+COUNTIF($E41:E41,"¶")+COUNTIF($E41:E41,"²")+COUNTIF($E41:E41,"µ")+COUNTIF($E41:E41,1),ColTypeEcheance)),
  IF(LEN(E41)=1,
  IF(LEN(INDEX(Roadmap!$D:$K,MATCH($E41,Roadmap!$D:$D,0)-1+COUNTIF($E41:E41,"u")+COUNTIF($E41:E41,"t")+COUNTIF($E41:E41,"¶")+COUNTIF($E41:E41,"²")+COUNTIF($E41:E41,"µ")+COUNTIF($E41:E41,1),ColDescriptionCourte))&gt;1,
HYPERLINK("#Roadmap!C"&amp; MATCH($E41,Roadmap!$D:$D,0)+COUNTIF($E41:E41,"u")+COUNTIF($E41:E41,"t")+COUNTIF($E41:E41,"¶")+COUNTIF($E41:E41,"²")+COUNTIF($E41:E41,"µ")+COUNTIF($E41:E41,1)-1,INDEX(Roadmap!$D:$K,MATCH($E41,Roadmap!$D:$D,0)-1+COUNTIF($E41:E41,"u")+COUNTIF($E41:E41,"t")+COUNTIF($E41:E41,"¶")+COUNTIF($E41:E41,"²")+COUNTIF($E41:E41,"µ")+COUNTIF($E41:E41,1),ColDescriptionCourte)),""),
  "")),"")</f>
        <v/>
      </c>
      <c r="G41" s="40" t="str">
        <f ca="1">IFERROR(IF(AND(
  INDEX(Roadmap!$D:$K,MATCH($E41,Roadmap!$D:$D,0)+COUNTIF($E41:F41,"u")+COUNTIF($E41:F41,"t")+COUNTIF($E41:F41,"¶")+COUNTIF($E41:F41,"²")+COUNTIF($E41:F41,"µ")+COUNTIF($E41:F41,1),ColLivraison)=G$6,
  VLOOKUP($E41,INDIRECT("tri!"&amp; CHAR(64+ C0Col) &amp;":"&amp; CHAR(65+C0Col)),2,FALSE)&gt;COUNTIF($E41:F41,"u")+COUNTIF($E41:F41,"t")+COUNTIF($E41:F41,"¶")+COUNTIF($E41:F41,"²")+COUNTIF($E41:F41,"µ")+COUNTIF($E41:F41,1)),
HYPERLINK("#Roadmap!C"&amp; MATCH($E41,Roadmap!$D:$D,0)+COUNTIF($E41:F41,"u")+COUNTIF($E41:F41,"t"),
     INDEX(Roadmap!$D:$K,MATCH($E41,Roadmap!$D:$D,0)+COUNTIF($E41:F41,"u")+COUNTIF($E41:F41,"t")+COUNTIF($E41:F41,"¶")+COUNTIF($E41:F41,"²")+COUNTIF($E41:F41,"µ")+COUNTIF($E41:F41,1),ColTypeEcheance)),
  IF(LEN(F41)=1,
  IF(LEN(INDEX(Roadmap!$D:$K,MATCH($E41,Roadmap!$D:$D,0)-1+COUNTIF($E41:F41,"u")+COUNTIF($E41:F41,"t")+COUNTIF($E41:F41,"¶")+COUNTIF($E41:F41,"²")+COUNTIF($E41:F41,"µ")+COUNTIF($E41:F41,1),ColDescriptionCourte))&gt;1,
HYPERLINK("#Roadmap!C"&amp; MATCH($E41,Roadmap!$D:$D,0)+COUNTIF($E41:F41,"u")+COUNTIF($E41:F41,"t")+COUNTIF($E41:F41,"¶")+COUNTIF($E41:F41,"²")+COUNTIF($E41:F41,"µ")+COUNTIF($E41:F41,1)-1,INDEX(Roadmap!$D:$K,MATCH($E41,Roadmap!$D:$D,0)-1+COUNTIF($E41:F41,"u")+COUNTIF($E41:F41,"t")+COUNTIF($E41:F41,"¶")+COUNTIF($E41:F41,"²")+COUNTIF($E41:F41,"µ")+COUNTIF($E41:F41,1),ColDescriptionCourte)),""),
  "")),"")</f>
        <v/>
      </c>
      <c r="H41" s="40" t="str">
        <f ca="1">IFERROR(IF(AND(
  INDEX(Roadmap!$D:$K,MATCH($E41,Roadmap!$D:$D,0)+COUNTIF($E41:G41,"u")+COUNTIF($E41:G41,"t")+COUNTIF($E41:G41,"¶")+COUNTIF($E41:G41,"²")+COUNTIF($E41:G41,"µ")+COUNTIF($E41:G41,1),ColLivraison)=H$6,
  VLOOKUP($E41,INDIRECT("tri!"&amp; CHAR(64+ C0Col) &amp;":"&amp; CHAR(65+C0Col)),2,FALSE)&gt;COUNTIF($E41:G41,"u")+COUNTIF($E41:G41,"t")+COUNTIF($E41:G41,"¶")+COUNTIF($E41:G41,"²")+COUNTIF($E41:G41,"µ")+COUNTIF($E41:G41,1)),
HYPERLINK("#Roadmap!C"&amp; MATCH($E41,Roadmap!$D:$D,0)+COUNTIF($E41:G41,"u")+COUNTIF($E41:G41,"t"),
     INDEX(Roadmap!$D:$K,MATCH($E41,Roadmap!$D:$D,0)+COUNTIF($E41:G41,"u")+COUNTIF($E41:G41,"t")+COUNTIF($E41:G41,"¶")+COUNTIF($E41:G41,"²")+COUNTIF($E41:G41,"µ")+COUNTIF($E41:G41,1),ColTypeEcheance)),
  IF(LEN(G41)=1,
  IF(LEN(INDEX(Roadmap!$D:$K,MATCH($E41,Roadmap!$D:$D,0)-1+COUNTIF($E41:G41,"u")+COUNTIF($E41:G41,"t")+COUNTIF($E41:G41,"¶")+COUNTIF($E41:G41,"²")+COUNTIF($E41:G41,"µ")+COUNTIF($E41:G41,1),ColDescriptionCourte))&gt;1,
HYPERLINK("#Roadmap!C"&amp; MATCH($E41,Roadmap!$D:$D,0)+COUNTIF($E41:G41,"u")+COUNTIF($E41:G41,"t")+COUNTIF($E41:G41,"¶")+COUNTIF($E41:G41,"²")+COUNTIF($E41:G41,"µ")+COUNTIF($E41:G41,1)-1,INDEX(Roadmap!$D:$K,MATCH($E41,Roadmap!$D:$D,0)-1+COUNTIF($E41:G41,"u")+COUNTIF($E41:G41,"t")+COUNTIF($E41:G41,"¶")+COUNTIF($E41:G41,"²")+COUNTIF($E41:G41,"µ")+COUNTIF($E41:G41,1),ColDescriptionCourte)),""),
  "")),"")</f>
        <v/>
      </c>
      <c r="I41" s="40" t="str">
        <f ca="1">IFERROR(IF(AND(
  INDEX(Roadmap!$D:$K,MATCH($E41,Roadmap!$D:$D,0)+COUNTIF($E41:H41,"u")+COUNTIF($E41:H41,"t")+COUNTIF($E41:H41,"¶")+COUNTIF($E41:H41,"²")+COUNTIF($E41:H41,"µ")+COUNTIF($E41:H41,1),ColLivraison)=I$6,
  VLOOKUP($E41,INDIRECT("tri!"&amp; CHAR(64+ C0Col) &amp;":"&amp; CHAR(65+C0Col)),2,FALSE)&gt;COUNTIF($E41:H41,"u")+COUNTIF($E41:H41,"t")+COUNTIF($E41:H41,"¶")+COUNTIF($E41:H41,"²")+COUNTIF($E41:H41,"µ")+COUNTIF($E41:H41,1)),
HYPERLINK("#Roadmap!C"&amp; MATCH($E41,Roadmap!$D:$D,0)+COUNTIF($E41:H41,"u")+COUNTIF($E41:H41,"t"),
     INDEX(Roadmap!$D:$K,MATCH($E41,Roadmap!$D:$D,0)+COUNTIF($E41:H41,"u")+COUNTIF($E41:H41,"t")+COUNTIF($E41:H41,"¶")+COUNTIF($E41:H41,"²")+COUNTIF($E41:H41,"µ")+COUNTIF($E41:H41,1),ColTypeEcheance)),
  IF(LEN(H41)=1,
  IF(LEN(INDEX(Roadmap!$D:$K,MATCH($E41,Roadmap!$D:$D,0)-1+COUNTIF($E41:H41,"u")+COUNTIF($E41:H41,"t")+COUNTIF($E41:H41,"¶")+COUNTIF($E41:H41,"²")+COUNTIF($E41:H41,"µ")+COUNTIF($E41:H41,1),ColDescriptionCourte))&gt;1,
HYPERLINK("#Roadmap!C"&amp; MATCH($E41,Roadmap!$D:$D,0)+COUNTIF($E41:H41,"u")+COUNTIF($E41:H41,"t")+COUNTIF($E41:H41,"¶")+COUNTIF($E41:H41,"²")+COUNTIF($E41:H41,"µ")+COUNTIF($E41:H41,1)-1,INDEX(Roadmap!$D:$K,MATCH($E41,Roadmap!$D:$D,0)-1+COUNTIF($E41:H41,"u")+COUNTIF($E41:H41,"t")+COUNTIF($E41:H41,"¶")+COUNTIF($E41:H41,"²")+COUNTIF($E41:H41,"µ")+COUNTIF($E41:H41,1),ColDescriptionCourte)),""),
  "")),"")</f>
        <v/>
      </c>
      <c r="J41" s="40" t="str">
        <f ca="1">IFERROR(IF(AND(
  INDEX(Roadmap!$D:$K,MATCH($E41,Roadmap!$D:$D,0)+COUNTIF($E41:I41,"u")+COUNTIF($E41:I41,"t")+COUNTIF($E41:I41,"¶")+COUNTIF($E41:I41,"²")+COUNTIF($E41:I41,"µ")+COUNTIF($E41:I41,1),ColLivraison)=J$6,
  VLOOKUP($E41,INDIRECT("tri!"&amp; CHAR(64+ C0Col) &amp;":"&amp; CHAR(65+C0Col)),2,FALSE)&gt;COUNTIF($E41:I41,"u")+COUNTIF($E41:I41,"t")+COUNTIF($E41:I41,"¶")+COUNTIF($E41:I41,"²")+COUNTIF($E41:I41,"µ")+COUNTIF($E41:I41,1)),
HYPERLINK("#Roadmap!C"&amp; MATCH($E41,Roadmap!$D:$D,0)+COUNTIF($E41:I41,"u")+COUNTIF($E41:I41,"t"),
     INDEX(Roadmap!$D:$K,MATCH($E41,Roadmap!$D:$D,0)+COUNTIF($E41:I41,"u")+COUNTIF($E41:I41,"t")+COUNTIF($E41:I41,"¶")+COUNTIF($E41:I41,"²")+COUNTIF($E41:I41,"µ")+COUNTIF($E41:I41,1),ColTypeEcheance)),
  IF(LEN(I41)=1,
  IF(LEN(INDEX(Roadmap!$D:$K,MATCH($E41,Roadmap!$D:$D,0)-1+COUNTIF($E41:I41,"u")+COUNTIF($E41:I41,"t")+COUNTIF($E41:I41,"¶")+COUNTIF($E41:I41,"²")+COUNTIF($E41:I41,"µ")+COUNTIF($E41:I41,1),ColDescriptionCourte))&gt;1,
HYPERLINK("#Roadmap!C"&amp; MATCH($E41,Roadmap!$D:$D,0)+COUNTIF($E41:I41,"u")+COUNTIF($E41:I41,"t")+COUNTIF($E41:I41,"¶")+COUNTIF($E41:I41,"²")+COUNTIF($E41:I41,"µ")+COUNTIF($E41:I41,1)-1,INDEX(Roadmap!$D:$K,MATCH($E41,Roadmap!$D:$D,0)-1+COUNTIF($E41:I41,"u")+COUNTIF($E41:I41,"t")+COUNTIF($E41:I41,"¶")+COUNTIF($E41:I41,"²")+COUNTIF($E41:I41,"µ")+COUNTIF($E41:I41,1),ColDescriptionCourte)),""),
  "")),"")</f>
        <v/>
      </c>
      <c r="K41" s="40" t="str">
        <f ca="1">IFERROR(IF(AND(
  INDEX(Roadmap!$D:$K,MATCH($E41,Roadmap!$D:$D,0)+COUNTIF($E41:J41,"u")+COUNTIF($E41:J41,"t")+COUNTIF($E41:J41,"¶")+COUNTIF($E41:J41,"²")+COUNTIF($E41:J41,"µ")+COUNTIF($E41:J41,1),ColLivraison)=K$6,
  VLOOKUP($E41,INDIRECT("tri!"&amp; CHAR(64+ C0Col) &amp;":"&amp; CHAR(65+C0Col)),2,FALSE)&gt;COUNTIF($E41:J41,"u")+COUNTIF($E41:J41,"t")+COUNTIF($E41:J41,"¶")+COUNTIF($E41:J41,"²")+COUNTIF($E41:J41,"µ")+COUNTIF($E41:J41,1)),
HYPERLINK("#Roadmap!C"&amp; MATCH($E41,Roadmap!$D:$D,0)+COUNTIF($E41:J41,"u")+COUNTIF($E41:J41,"t"),
     INDEX(Roadmap!$D:$K,MATCH($E41,Roadmap!$D:$D,0)+COUNTIF($E41:J41,"u")+COUNTIF($E41:J41,"t")+COUNTIF($E41:J41,"¶")+COUNTIF($E41:J41,"²")+COUNTIF($E41:J41,"µ")+COUNTIF($E41:J41,1),ColTypeEcheance)),
  IF(LEN(J41)=1,
  IF(LEN(INDEX(Roadmap!$D:$K,MATCH($E41,Roadmap!$D:$D,0)-1+COUNTIF($E41:J41,"u")+COUNTIF($E41:J41,"t")+COUNTIF($E41:J41,"¶")+COUNTIF($E41:J41,"²")+COUNTIF($E41:J41,"µ")+COUNTIF($E41:J41,1),ColDescriptionCourte))&gt;1,
HYPERLINK("#Roadmap!C"&amp; MATCH($E41,Roadmap!$D:$D,0)+COUNTIF($E41:J41,"u")+COUNTIF($E41:J41,"t")+COUNTIF($E41:J41,"¶")+COUNTIF($E41:J41,"²")+COUNTIF($E41:J41,"µ")+COUNTIF($E41:J41,1)-1,INDEX(Roadmap!$D:$K,MATCH($E41,Roadmap!$D:$D,0)-1+COUNTIF($E41:J41,"u")+COUNTIF($E41:J41,"t")+COUNTIF($E41:J41,"¶")+COUNTIF($E41:J41,"²")+COUNTIF($E41:J41,"µ")+COUNTIF($E41:J41,1),ColDescriptionCourte)),""),
  "")),"")</f>
        <v/>
      </c>
      <c r="L41" s="39" t="str">
        <f ca="1">IFERROR(IF(AND(
  INDEX(Roadmap!$D:$K,MATCH($E41,Roadmap!$D:$D,0)+COUNTIF($E41:K41,"u")+COUNTIF($E41:K41,"t")+COUNTIF($E41:K41,"¶")+COUNTIF($E41:K41,"²")+COUNTIF($E41:K41,"µ")+COUNTIF($E41:K41,1),ColLivraison)=L$6,
  VLOOKUP($E41,INDIRECT("tri!"&amp; CHAR(64+ C0Col) &amp;":"&amp; CHAR(65+C0Col)),2,FALSE)&gt;COUNTIF($E41:K41,"u")+COUNTIF($E41:K41,"t")+COUNTIF($E41:K41,"¶")+COUNTIF($E41:K41,"²")+COUNTIF($E41:K41,"µ")+COUNTIF($E41:K41,1)),
HYPERLINK("#Roadmap!C"&amp; MATCH($E41,Roadmap!$D:$D,0)+COUNTIF($E41:K41,"u")+COUNTIF($E41:K41,"t"),
     INDEX(Roadmap!$D:$K,MATCH($E41,Roadmap!$D:$D,0)+COUNTIF($E41:K41,"u")+COUNTIF($E41:K41,"t")+COUNTIF($E41:K41,"¶")+COUNTIF($E41:K41,"²")+COUNTIF($E41:K41,"µ")+COUNTIF($E41:K41,1),ColTypeEcheance)),
  IF(LEN(K41)=1,
  IF(LEN(INDEX(Roadmap!$D:$K,MATCH($E41,Roadmap!$D:$D,0)-1+COUNTIF($E41:K41,"u")+COUNTIF($E41:K41,"t")+COUNTIF($E41:K41,"¶")+COUNTIF($E41:K41,"²")+COUNTIF($E41:K41,"µ")+COUNTIF($E41:K41,1),ColDescriptionCourte))&gt;1,
HYPERLINK("#Roadmap!C"&amp; MATCH($E41,Roadmap!$D:$D,0)+COUNTIF($E41:K41,"u")+COUNTIF($E41:K41,"t")+COUNTIF($E41:K41,"¶")+COUNTIF($E41:K41,"²")+COUNTIF($E41:K41,"µ")+COUNTIF($E41:K41,1)-1,INDEX(Roadmap!$D:$K,MATCH($E41,Roadmap!$D:$D,0)-1+COUNTIF($E41:K41,"u")+COUNTIF($E41:K41,"t")+COUNTIF($E41:K41,"¶")+COUNTIF($E41:K41,"²")+COUNTIF($E41:K41,"µ")+COUNTIF($E41:K41,1),ColDescriptionCourte)),""),
  "")),"")</f>
        <v/>
      </c>
      <c r="M41" s="40" t="str">
        <f ca="1">IFERROR(IF(AND(
  INDEX(Roadmap!$D:$K,MATCH($E41,Roadmap!$D:$D,0)+COUNTIF($E41:L41,"u")+COUNTIF($E41:L41,"t")+COUNTIF($E41:L41,"¶")+COUNTIF($E41:L41,"²")+COUNTIF($E41:L41,"µ")+COUNTIF($E41:L41,1),ColLivraison)=M$6,
  VLOOKUP($E41,INDIRECT("tri!"&amp; CHAR(64+ C0Col) &amp;":"&amp; CHAR(65+C0Col)),2,FALSE)&gt;COUNTIF($E41:L41,"u")+COUNTIF($E41:L41,"t")+COUNTIF($E41:L41,"¶")+COUNTIF($E41:L41,"²")+COUNTIF($E41:L41,"µ")+COUNTIF($E41:L41,1)),
HYPERLINK("#Roadmap!C"&amp; MATCH($E41,Roadmap!$D:$D,0)+COUNTIF($E41:L41,"u")+COUNTIF($E41:L41,"t"),
     INDEX(Roadmap!$D:$K,MATCH($E41,Roadmap!$D:$D,0)+COUNTIF($E41:L41,"u")+COUNTIF($E41:L41,"t")+COUNTIF($E41:L41,"¶")+COUNTIF($E41:L41,"²")+COUNTIF($E41:L41,"µ")+COUNTIF($E41:L41,1),ColTypeEcheance)),
  IF(LEN(L41)=1,
  IF(LEN(INDEX(Roadmap!$D:$K,MATCH($E41,Roadmap!$D:$D,0)-1+COUNTIF($E41:L41,"u")+COUNTIF($E41:L41,"t")+COUNTIF($E41:L41,"¶")+COUNTIF($E41:L41,"²")+COUNTIF($E41:L41,"µ")+COUNTIF($E41:L41,1),ColDescriptionCourte))&gt;1,
HYPERLINK("#Roadmap!C"&amp; MATCH($E41,Roadmap!$D:$D,0)+COUNTIF($E41:L41,"u")+COUNTIF($E41:L41,"t")+COUNTIF($E41:L41,"¶")+COUNTIF($E41:L41,"²")+COUNTIF($E41:L41,"µ")+COUNTIF($E41:L41,1)-1,INDEX(Roadmap!$D:$K,MATCH($E41,Roadmap!$D:$D,0)-1+COUNTIF($E41:L41,"u")+COUNTIF($E41:L41,"t")+COUNTIF($E41:L41,"¶")+COUNTIF($E41:L41,"²")+COUNTIF($E41:L41,"µ")+COUNTIF($E41:L41,1),ColDescriptionCourte)),""),
  "")),"")</f>
        <v/>
      </c>
      <c r="N41" s="40" t="str">
        <f ca="1">IFERROR(IF(AND(
  INDEX(Roadmap!$D:$K,MATCH($E41,Roadmap!$D:$D,0)+COUNTIF($E41:M41,"u")+COUNTIF($E41:M41,"t")+COUNTIF($E41:M41,"¶")+COUNTIF($E41:M41,"²")+COUNTIF($E41:M41,"µ")+COUNTIF($E41:M41,1),ColLivraison)=N$6,
  VLOOKUP($E41,INDIRECT("tri!"&amp; CHAR(64+ C0Col) &amp;":"&amp; CHAR(65+C0Col)),2,FALSE)&gt;COUNTIF($E41:M41,"u")+COUNTIF($E41:M41,"t")+COUNTIF($E41:M41,"¶")+COUNTIF($E41:M41,"²")+COUNTIF($E41:M41,"µ")+COUNTIF($E41:M41,1)),
HYPERLINK("#Roadmap!C"&amp; MATCH($E41,Roadmap!$D:$D,0)+COUNTIF($E41:M41,"u")+COUNTIF($E41:M41,"t"),
     INDEX(Roadmap!$D:$K,MATCH($E41,Roadmap!$D:$D,0)+COUNTIF($E41:M41,"u")+COUNTIF($E41:M41,"t")+COUNTIF($E41:M41,"¶")+COUNTIF($E41:M41,"²")+COUNTIF($E41:M41,"µ")+COUNTIF($E41:M41,1),ColTypeEcheance)),
  IF(LEN(M41)=1,
  IF(LEN(INDEX(Roadmap!$D:$K,MATCH($E41,Roadmap!$D:$D,0)-1+COUNTIF($E41:M41,"u")+COUNTIF($E41:M41,"t")+COUNTIF($E41:M41,"¶")+COUNTIF($E41:M41,"²")+COUNTIF($E41:M41,"µ")+COUNTIF($E41:M41,1),ColDescriptionCourte))&gt;1,
HYPERLINK("#Roadmap!C"&amp; MATCH($E41,Roadmap!$D:$D,0)+COUNTIF($E41:M41,"u")+COUNTIF($E41:M41,"t")+COUNTIF($E41:M41,"¶")+COUNTIF($E41:M41,"²")+COUNTIF($E41:M41,"µ")+COUNTIF($E41:M41,1)-1,INDEX(Roadmap!$D:$K,MATCH($E41,Roadmap!$D:$D,0)-1+COUNTIF($E41:M41,"u")+COUNTIF($E41:M41,"t")+COUNTIF($E41:M41,"¶")+COUNTIF($E41:M41,"²")+COUNTIF($E41:M41,"µ")+COUNTIF($E41:M41,1),ColDescriptionCourte)),""),
  "")),"")</f>
        <v/>
      </c>
      <c r="O41" s="40" t="str">
        <f ca="1">IFERROR(IF(AND(
  INDEX(Roadmap!$D:$K,MATCH($E41,Roadmap!$D:$D,0)+COUNTIF($E41:N41,"u")+COUNTIF($E41:N41,"t")+COUNTIF($E41:N41,"¶")+COUNTIF($E41:N41,"²")+COUNTIF($E41:N41,"µ")+COUNTIF($E41:N41,1),ColLivraison)=O$6,
  VLOOKUP($E41,INDIRECT("tri!"&amp; CHAR(64+ C0Col) &amp;":"&amp; CHAR(65+C0Col)),2,FALSE)&gt;COUNTIF($E41:N41,"u")+COUNTIF($E41:N41,"t")+COUNTIF($E41:N41,"¶")+COUNTIF($E41:N41,"²")+COUNTIF($E41:N41,"µ")+COUNTIF($E41:N41,1)),
HYPERLINK("#Roadmap!C"&amp; MATCH($E41,Roadmap!$D:$D,0)+COUNTIF($E41:N41,"u")+COUNTIF($E41:N41,"t"),
     INDEX(Roadmap!$D:$K,MATCH($E41,Roadmap!$D:$D,0)+COUNTIF($E41:N41,"u")+COUNTIF($E41:N41,"t")+COUNTIF($E41:N41,"¶")+COUNTIF($E41:N41,"²")+COUNTIF($E41:N41,"µ")+COUNTIF($E41:N41,1),ColTypeEcheance)),
  IF(LEN(N41)=1,
  IF(LEN(INDEX(Roadmap!$D:$K,MATCH($E41,Roadmap!$D:$D,0)-1+COUNTIF($E41:N41,"u")+COUNTIF($E41:N41,"t")+COUNTIF($E41:N41,"¶")+COUNTIF($E41:N41,"²")+COUNTIF($E41:N41,"µ")+COUNTIF($E41:N41,1),ColDescriptionCourte))&gt;1,
HYPERLINK("#Roadmap!C"&amp; MATCH($E41,Roadmap!$D:$D,0)+COUNTIF($E41:N41,"u")+COUNTIF($E41:N41,"t")+COUNTIF($E41:N41,"¶")+COUNTIF($E41:N41,"²")+COUNTIF($E41:N41,"µ")+COUNTIF($E41:N41,1)-1,INDEX(Roadmap!$D:$K,MATCH($E41,Roadmap!$D:$D,0)-1+COUNTIF($E41:N41,"u")+COUNTIF($E41:N41,"t")+COUNTIF($E41:N41,"¶")+COUNTIF($E41:N41,"²")+COUNTIF($E41:N41,"µ")+COUNTIF($E41:N41,1),ColDescriptionCourte)),""),
  "")),"")</f>
        <v/>
      </c>
      <c r="P41" s="40" t="str">
        <f ca="1">IFERROR(IF(AND(
  INDEX(Roadmap!$D:$K,MATCH($E41,Roadmap!$D:$D,0)+COUNTIF($E41:O41,"u")+COUNTIF($E41:O41,"t")+COUNTIF($E41:O41,"¶")+COUNTIF($E41:O41,"²")+COUNTIF($E41:O41,"µ")+COUNTIF($E41:O41,1),ColLivraison)=P$6,
  VLOOKUP($E41,INDIRECT("tri!"&amp; CHAR(64+ C0Col) &amp;":"&amp; CHAR(65+C0Col)),2,FALSE)&gt;COUNTIF($E41:O41,"u")+COUNTIF($E41:O41,"t")+COUNTIF($E41:O41,"¶")+COUNTIF($E41:O41,"²")+COUNTIF($E41:O41,"µ")+COUNTIF($E41:O41,1)),
HYPERLINK("#Roadmap!C"&amp; MATCH($E41,Roadmap!$D:$D,0)+COUNTIF($E41:O41,"u")+COUNTIF($E41:O41,"t"),
     INDEX(Roadmap!$D:$K,MATCH($E41,Roadmap!$D:$D,0)+COUNTIF($E41:O41,"u")+COUNTIF($E41:O41,"t")+COUNTIF($E41:O41,"¶")+COUNTIF($E41:O41,"²")+COUNTIF($E41:O41,"µ")+COUNTIF($E41:O41,1),ColTypeEcheance)),
  IF(LEN(O41)=1,
  IF(LEN(INDEX(Roadmap!$D:$K,MATCH($E41,Roadmap!$D:$D,0)-1+COUNTIF($E41:O41,"u")+COUNTIF($E41:O41,"t")+COUNTIF($E41:O41,"¶")+COUNTIF($E41:O41,"²")+COUNTIF($E41:O41,"µ")+COUNTIF($E41:O41,1),ColDescriptionCourte))&gt;1,
HYPERLINK("#Roadmap!C"&amp; MATCH($E41,Roadmap!$D:$D,0)+COUNTIF($E41:O41,"u")+COUNTIF($E41:O41,"t")+COUNTIF($E41:O41,"¶")+COUNTIF($E41:O41,"²")+COUNTIF($E41:O41,"µ")+COUNTIF($E41:O41,1)-1,INDEX(Roadmap!$D:$K,MATCH($E41,Roadmap!$D:$D,0)-1+COUNTIF($E41:O41,"u")+COUNTIF($E41:O41,"t")+COUNTIF($E41:O41,"¶")+COUNTIF($E41:O41,"²")+COUNTIF($E41:O41,"µ")+COUNTIF($E41:O41,1),ColDescriptionCourte)),""),
  "")),"")</f>
        <v/>
      </c>
      <c r="Q41" s="40" t="str">
        <f ca="1">IFERROR(IF(AND(
  INDEX(Roadmap!$D:$K,MATCH($E41,Roadmap!$D:$D,0)+COUNTIF($E41:P41,"u")+COUNTIF($E41:P41,"t")+COUNTIF($E41:P41,"¶")+COUNTIF($E41:P41,"²")+COUNTIF($E41:P41,"µ")+COUNTIF($E41:P41,1),ColLivraison)=Q$6,
  VLOOKUP($E41,INDIRECT("tri!"&amp; CHAR(64+ C0Col) &amp;":"&amp; CHAR(65+C0Col)),2,FALSE)&gt;COUNTIF($E41:P41,"u")+COUNTIF($E41:P41,"t")+COUNTIF($E41:P41,"¶")+COUNTIF($E41:P41,"²")+COUNTIF($E41:P41,"µ")+COUNTIF($E41:P41,1)),
HYPERLINK("#Roadmap!C"&amp; MATCH($E41,Roadmap!$D:$D,0)+COUNTIF($E41:P41,"u")+COUNTIF($E41:P41,"t"),
     INDEX(Roadmap!$D:$K,MATCH($E41,Roadmap!$D:$D,0)+COUNTIF($E41:P41,"u")+COUNTIF($E41:P41,"t")+COUNTIF($E41:P41,"¶")+COUNTIF($E41:P41,"²")+COUNTIF($E41:P41,"µ")+COUNTIF($E41:P41,1),ColTypeEcheance)),
  IF(LEN(P41)=1,
  IF(LEN(INDEX(Roadmap!$D:$K,MATCH($E41,Roadmap!$D:$D,0)-1+COUNTIF($E41:P41,"u")+COUNTIF($E41:P41,"t")+COUNTIF($E41:P41,"¶")+COUNTIF($E41:P41,"²")+COUNTIF($E41:P41,"µ")+COUNTIF($E41:P41,1),ColDescriptionCourte))&gt;1,
HYPERLINK("#Roadmap!C"&amp; MATCH($E41,Roadmap!$D:$D,0)+COUNTIF($E41:P41,"u")+COUNTIF($E41:P41,"t")+COUNTIF($E41:P41,"¶")+COUNTIF($E41:P41,"²")+COUNTIF($E41:P41,"µ")+COUNTIF($E41:P41,1)-1,INDEX(Roadmap!$D:$K,MATCH($E41,Roadmap!$D:$D,0)-1+COUNTIF($E41:P41,"u")+COUNTIF($E41:P41,"t")+COUNTIF($E41:P41,"¶")+COUNTIF($E41:P41,"²")+COUNTIF($E41:P41,"µ")+COUNTIF($E41:P41,1),ColDescriptionCourte)),""),
  "")),"")</f>
        <v/>
      </c>
      <c r="R41" s="40" t="str">
        <f ca="1">IFERROR(IF(AND(
  INDEX(Roadmap!$D:$K,MATCH($E41,Roadmap!$D:$D,0)+COUNTIF($E41:Q41,"u")+COUNTIF($E41:Q41,"t")+COUNTIF($E41:Q41,"¶")+COUNTIF($E41:Q41,"²")+COUNTIF($E41:Q41,"µ")+COUNTIF($E41:Q41,1),ColLivraison)=R$6,
  VLOOKUP($E41,INDIRECT("tri!"&amp; CHAR(64+ C0Col) &amp;":"&amp; CHAR(65+C0Col)),2,FALSE)&gt;COUNTIF($E41:Q41,"u")+COUNTIF($E41:Q41,"t")+COUNTIF($E41:Q41,"¶")+COUNTIF($E41:Q41,"²")+COUNTIF($E41:Q41,"µ")+COUNTIF($E41:Q41,1)),
HYPERLINK("#Roadmap!C"&amp; MATCH($E41,Roadmap!$D:$D,0)+COUNTIF($E41:Q41,"u")+COUNTIF($E41:Q41,"t"),
     INDEX(Roadmap!$D:$K,MATCH($E41,Roadmap!$D:$D,0)+COUNTIF($E41:Q41,"u")+COUNTIF($E41:Q41,"t")+COUNTIF($E41:Q41,"¶")+COUNTIF($E41:Q41,"²")+COUNTIF($E41:Q41,"µ")+COUNTIF($E41:Q41,1),ColTypeEcheance)),
  IF(LEN(Q41)=1,
  IF(LEN(INDEX(Roadmap!$D:$K,MATCH($E41,Roadmap!$D:$D,0)-1+COUNTIF($E41:Q41,"u")+COUNTIF($E41:Q41,"t")+COUNTIF($E41:Q41,"¶")+COUNTIF($E41:Q41,"²")+COUNTIF($E41:Q41,"µ")+COUNTIF($E41:Q41,1),ColDescriptionCourte))&gt;1,
HYPERLINK("#Roadmap!C"&amp; MATCH($E41,Roadmap!$D:$D,0)+COUNTIF($E41:Q41,"u")+COUNTIF($E41:Q41,"t")+COUNTIF($E41:Q41,"¶")+COUNTIF($E41:Q41,"²")+COUNTIF($E41:Q41,"µ")+COUNTIF($E41:Q41,1)-1,INDEX(Roadmap!$D:$K,MATCH($E41,Roadmap!$D:$D,0)-1+COUNTIF($E41:Q41,"u")+COUNTIF($E41:Q41,"t")+COUNTIF($E41:Q41,"¶")+COUNTIF($E41:Q41,"²")+COUNTIF($E41:Q41,"µ")+COUNTIF($E41:Q41,1),ColDescriptionCourte)),""),
  "")),"")</f>
        <v/>
      </c>
      <c r="S41" s="40" t="str">
        <f ca="1">IFERROR(IF(AND(
  INDEX(Roadmap!$D:$K,MATCH($E41,Roadmap!$D:$D,0)+COUNTIF($E41:R41,"u")+COUNTIF($E41:R41,"t")+COUNTIF($E41:R41,"¶")+COUNTIF($E41:R41,"²")+COUNTIF($E41:R41,"µ")+COUNTIF($E41:R41,1),ColLivraison)=S$6,
  VLOOKUP($E41,INDIRECT("tri!"&amp; CHAR(64+ C0Col) &amp;":"&amp; CHAR(65+C0Col)),2,FALSE)&gt;COUNTIF($E41:R41,"u")+COUNTIF($E41:R41,"t")+COUNTIF($E41:R41,"¶")+COUNTIF($E41:R41,"²")+COUNTIF($E41:R41,"µ")+COUNTIF($E41:R41,1)),
HYPERLINK("#Roadmap!C"&amp; MATCH($E41,Roadmap!$D:$D,0)+COUNTIF($E41:R41,"u")+COUNTIF($E41:R41,"t"),
     INDEX(Roadmap!$D:$K,MATCH($E41,Roadmap!$D:$D,0)+COUNTIF($E41:R41,"u")+COUNTIF($E41:R41,"t")+COUNTIF($E41:R41,"¶")+COUNTIF($E41:R41,"²")+COUNTIF($E41:R41,"µ")+COUNTIF($E41:R41,1),ColTypeEcheance)),
  IF(LEN(R41)=1,
  IF(LEN(INDEX(Roadmap!$D:$K,MATCH($E41,Roadmap!$D:$D,0)-1+COUNTIF($E41:R41,"u")+COUNTIF($E41:R41,"t")+COUNTIF($E41:R41,"¶")+COUNTIF($E41:R41,"²")+COUNTIF($E41:R41,"µ")+COUNTIF($E41:R41,1),ColDescriptionCourte))&gt;1,
HYPERLINK("#Roadmap!C"&amp; MATCH($E41,Roadmap!$D:$D,0)+COUNTIF($E41:R41,"u")+COUNTIF($E41:R41,"t")+COUNTIF($E41:R41,"¶")+COUNTIF($E41:R41,"²")+COUNTIF($E41:R41,"µ")+COUNTIF($E41:R41,1)-1,INDEX(Roadmap!$D:$K,MATCH($E41,Roadmap!$D:$D,0)-1+COUNTIF($E41:R41,"u")+COUNTIF($E41:R41,"t")+COUNTIF($E41:R41,"¶")+COUNTIF($E41:R41,"²")+COUNTIF($E41:R41,"µ")+COUNTIF($E41:R41,1),ColDescriptionCourte)),""),
  "")),"")</f>
        <v/>
      </c>
      <c r="T41" s="40" t="str">
        <f ca="1">IFERROR(IF(AND(
  INDEX(Roadmap!$D:$K,MATCH($E41,Roadmap!$D:$D,0)+COUNTIF($E41:S41,"u")+COUNTIF($E41:S41,"t")+COUNTIF($E41:S41,"¶")+COUNTIF($E41:S41,"²")+COUNTIF($E41:S41,"µ")+COUNTIF($E41:S41,1),ColLivraison)=T$6,
  VLOOKUP($E41,INDIRECT("tri!"&amp; CHAR(64+ C0Col) &amp;":"&amp; CHAR(65+C0Col)),2,FALSE)&gt;COUNTIF($E41:S41,"u")+COUNTIF($E41:S41,"t")+COUNTIF($E41:S41,"¶")+COUNTIF($E41:S41,"²")+COUNTIF($E41:S41,"µ")+COUNTIF($E41:S41,1)),
HYPERLINK("#Roadmap!C"&amp; MATCH($E41,Roadmap!$D:$D,0)+COUNTIF($E41:S41,"u")+COUNTIF($E41:S41,"t"),
     INDEX(Roadmap!$D:$K,MATCH($E41,Roadmap!$D:$D,0)+COUNTIF($E41:S41,"u")+COUNTIF($E41:S41,"t")+COUNTIF($E41:S41,"¶")+COUNTIF($E41:S41,"²")+COUNTIF($E41:S41,"µ")+COUNTIF($E41:S41,1),ColTypeEcheance)),
  IF(LEN(S41)=1,
  IF(LEN(INDEX(Roadmap!$D:$K,MATCH($E41,Roadmap!$D:$D,0)-1+COUNTIF($E41:S41,"u")+COUNTIF($E41:S41,"t")+COUNTIF($E41:S41,"¶")+COUNTIF($E41:S41,"²")+COUNTIF($E41:S41,"µ")+COUNTIF($E41:S41,1),ColDescriptionCourte))&gt;1,
HYPERLINK("#Roadmap!C"&amp; MATCH($E41,Roadmap!$D:$D,0)+COUNTIF($E41:S41,"u")+COUNTIF($E41:S41,"t")+COUNTIF($E41:S41,"¶")+COUNTIF($E41:S41,"²")+COUNTIF($E41:S41,"µ")+COUNTIF($E41:S41,1)-1,INDEX(Roadmap!$D:$K,MATCH($E41,Roadmap!$D:$D,0)-1+COUNTIF($E41:S41,"u")+COUNTIF($E41:S41,"t")+COUNTIF($E41:S41,"¶")+COUNTIF($E41:S41,"²")+COUNTIF($E41:S41,"µ")+COUNTIF($E41:S41,1),ColDescriptionCourte)),""),
  "")),"")</f>
        <v/>
      </c>
      <c r="U41" s="40" t="str">
        <f ca="1">IFERROR(IF(AND(
  INDEX(Roadmap!$D:$K,MATCH($E41,Roadmap!$D:$D,0)+COUNTIF($E41:T41,"u")+COUNTIF($E41:T41,"t")+COUNTIF($E41:T41,"¶")+COUNTIF($E41:T41,"²")+COUNTIF($E41:T41,"µ")+COUNTIF($E41:T41,1),ColLivraison)=U$6,
  VLOOKUP($E41,INDIRECT("tri!"&amp; CHAR(64+ C0Col) &amp;":"&amp; CHAR(65+C0Col)),2,FALSE)&gt;COUNTIF($E41:T41,"u")+COUNTIF($E41:T41,"t")+COUNTIF($E41:T41,"¶")+COUNTIF($E41:T41,"²")+COUNTIF($E41:T41,"µ")+COUNTIF($E41:T41,1)),
HYPERLINK("#Roadmap!C"&amp; MATCH($E41,Roadmap!$D:$D,0)+COUNTIF($E41:T41,"u")+COUNTIF($E41:T41,"t"),
     INDEX(Roadmap!$D:$K,MATCH($E41,Roadmap!$D:$D,0)+COUNTIF($E41:T41,"u")+COUNTIF($E41:T41,"t")+COUNTIF($E41:T41,"¶")+COUNTIF($E41:T41,"²")+COUNTIF($E41:T41,"µ")+COUNTIF($E41:T41,1),ColTypeEcheance)),
  IF(LEN(T41)=1,
  IF(LEN(INDEX(Roadmap!$D:$K,MATCH($E41,Roadmap!$D:$D,0)-1+COUNTIF($E41:T41,"u")+COUNTIF($E41:T41,"t")+COUNTIF($E41:T41,"¶")+COUNTIF($E41:T41,"²")+COUNTIF($E41:T41,"µ")+COUNTIF($E41:T41,1),ColDescriptionCourte))&gt;1,
HYPERLINK("#Roadmap!C"&amp; MATCH($E41,Roadmap!$D:$D,0)+COUNTIF($E41:T41,"u")+COUNTIF($E41:T41,"t")+COUNTIF($E41:T41,"¶")+COUNTIF($E41:T41,"²")+COUNTIF($E41:T41,"µ")+COUNTIF($E41:T41,1)-1,INDEX(Roadmap!$D:$K,MATCH($E41,Roadmap!$D:$D,0)-1+COUNTIF($E41:T41,"u")+COUNTIF($E41:T41,"t")+COUNTIF($E41:T41,"¶")+COUNTIF($E41:T41,"²")+COUNTIF($E41:T41,"µ")+COUNTIF($E41:T41,1),ColDescriptionCourte)),""),
  "")),"")</f>
        <v/>
      </c>
      <c r="V41" s="40" t="str">
        <f ca="1">IFERROR(IF(AND(
  INDEX(Roadmap!$D:$K,MATCH($E41,Roadmap!$D:$D,0)+COUNTIF($E41:U41,"u")+COUNTIF($E41:U41,"t")+COUNTIF($E41:U41,"¶")+COUNTIF($E41:U41,"²")+COUNTIF($E41:U41,"µ")+COUNTIF($E41:U41,1),ColLivraison)=V$6,
  VLOOKUP($E41,INDIRECT("tri!"&amp; CHAR(64+ C0Col) &amp;":"&amp; CHAR(65+C0Col)),2,FALSE)&gt;COUNTIF($E41:U41,"u")+COUNTIF($E41:U41,"t")+COUNTIF($E41:U41,"¶")+COUNTIF($E41:U41,"²")+COUNTIF($E41:U41,"µ")+COUNTIF($E41:U41,1)),
HYPERLINK("#Roadmap!C"&amp; MATCH($E41,Roadmap!$D:$D,0)+COUNTIF($E41:U41,"u")+COUNTIF($E41:U41,"t"),
     INDEX(Roadmap!$D:$K,MATCH($E41,Roadmap!$D:$D,0)+COUNTIF($E41:U41,"u")+COUNTIF($E41:U41,"t")+COUNTIF($E41:U41,"¶")+COUNTIF($E41:U41,"²")+COUNTIF($E41:U41,"µ")+COUNTIF($E41:U41,1),ColTypeEcheance)),
  IF(LEN(U41)=1,
  IF(LEN(INDEX(Roadmap!$D:$K,MATCH($E41,Roadmap!$D:$D,0)-1+COUNTIF($E41:U41,"u")+COUNTIF($E41:U41,"t")+COUNTIF($E41:U41,"¶")+COUNTIF($E41:U41,"²")+COUNTIF($E41:U41,"µ")+COUNTIF($E41:U41,1),ColDescriptionCourte))&gt;1,
HYPERLINK("#Roadmap!C"&amp; MATCH($E41,Roadmap!$D:$D,0)+COUNTIF($E41:U41,"u")+COUNTIF($E41:U41,"t")+COUNTIF($E41:U41,"¶")+COUNTIF($E41:U41,"²")+COUNTIF($E41:U41,"µ")+COUNTIF($E41:U41,1)-1,INDEX(Roadmap!$D:$K,MATCH($E41,Roadmap!$D:$D,0)-1+COUNTIF($E41:U41,"u")+COUNTIF($E41:U41,"t")+COUNTIF($E41:U41,"¶")+COUNTIF($E41:U41,"²")+COUNTIF($E41:U41,"µ")+COUNTIF($E41:U41,1),ColDescriptionCourte)),""),
  "")),"")</f>
        <v/>
      </c>
      <c r="W41" s="40" t="str">
        <f ca="1">IFERROR(IF(AND(
  INDEX(Roadmap!$D:$K,MATCH($E41,Roadmap!$D:$D,0)+COUNTIF($E41:V41,"u")+COUNTIF($E41:V41,"t")+COUNTIF($E41:V41,"¶")+COUNTIF($E41:V41,"²")+COUNTIF($E41:V41,"µ")+COUNTIF($E41:V41,1),ColLivraison)=W$6,
  VLOOKUP($E41,INDIRECT("tri!"&amp; CHAR(64+ C0Col) &amp;":"&amp; CHAR(65+C0Col)),2,FALSE)&gt;COUNTIF($E41:V41,"u")+COUNTIF($E41:V41,"t")+COUNTIF($E41:V41,"¶")+COUNTIF($E41:V41,"²")+COUNTIF($E41:V41,"µ")+COUNTIF($E41:V41,1)),
HYPERLINK("#Roadmap!C"&amp; MATCH($E41,Roadmap!$D:$D,0)+COUNTIF($E41:V41,"u")+COUNTIF($E41:V41,"t"),
     INDEX(Roadmap!$D:$K,MATCH($E41,Roadmap!$D:$D,0)+COUNTIF($E41:V41,"u")+COUNTIF($E41:V41,"t")+COUNTIF($E41:V41,"¶")+COUNTIF($E41:V41,"²")+COUNTIF($E41:V41,"µ")+COUNTIF($E41:V41,1),ColTypeEcheance)),
  IF(LEN(V41)=1,
  IF(LEN(INDEX(Roadmap!$D:$K,MATCH($E41,Roadmap!$D:$D,0)-1+COUNTIF($E41:V41,"u")+COUNTIF($E41:V41,"t")+COUNTIF($E41:V41,"¶")+COUNTIF($E41:V41,"²")+COUNTIF($E41:V41,"µ")+COUNTIF($E41:V41,1),ColDescriptionCourte))&gt;1,
HYPERLINK("#Roadmap!C"&amp; MATCH($E41,Roadmap!$D:$D,0)+COUNTIF($E41:V41,"u")+COUNTIF($E41:V41,"t")+COUNTIF($E41:V41,"¶")+COUNTIF($E41:V41,"²")+COUNTIF($E41:V41,"µ")+COUNTIF($E41:V41,1)-1,INDEX(Roadmap!$D:$K,MATCH($E41,Roadmap!$D:$D,0)-1+COUNTIF($E41:V41,"u")+COUNTIF($E41:V41,"t")+COUNTIF($E41:V41,"¶")+COUNTIF($E41:V41,"²")+COUNTIF($E41:V41,"µ")+COUNTIF($E41:V41,1),ColDescriptionCourte)),""),
  "")),"")</f>
        <v/>
      </c>
      <c r="X41" s="40" t="str">
        <f ca="1">IFERROR(IF(AND(
  INDEX(Roadmap!$D:$K,MATCH($E41,Roadmap!$D:$D,0)+COUNTIF($E41:W41,"u")+COUNTIF($E41:W41,"t")+COUNTIF($E41:W41,"¶")+COUNTIF($E41:W41,"²")+COUNTIF($E41:W41,"µ")+COUNTIF($E41:W41,1),ColLivraison)=X$6,
  VLOOKUP($E41,INDIRECT("tri!"&amp; CHAR(64+ C0Col) &amp;":"&amp; CHAR(65+C0Col)),2,FALSE)&gt;COUNTIF($E41:W41,"u")+COUNTIF($E41:W41,"t")+COUNTIF($E41:W41,"¶")+COUNTIF($E41:W41,"²")+COUNTIF($E41:W41,"µ")+COUNTIF($E41:W41,1)),
HYPERLINK("#Roadmap!C"&amp; MATCH($E41,Roadmap!$D:$D,0)+COUNTIF($E41:W41,"u")+COUNTIF($E41:W41,"t"),
     INDEX(Roadmap!$D:$K,MATCH($E41,Roadmap!$D:$D,0)+COUNTIF($E41:W41,"u")+COUNTIF($E41:W41,"t")+COUNTIF($E41:W41,"¶")+COUNTIF($E41:W41,"²")+COUNTIF($E41:W41,"µ")+COUNTIF($E41:W41,1),ColTypeEcheance)),
  IF(LEN(W41)=1,
  IF(LEN(INDEX(Roadmap!$D:$K,MATCH($E41,Roadmap!$D:$D,0)-1+COUNTIF($E41:W41,"u")+COUNTIF($E41:W41,"t")+COUNTIF($E41:W41,"¶")+COUNTIF($E41:W41,"²")+COUNTIF($E41:W41,"µ")+COUNTIF($E41:W41,1),ColDescriptionCourte))&gt;1,
HYPERLINK("#Roadmap!C"&amp; MATCH($E41,Roadmap!$D:$D,0)+COUNTIF($E41:W41,"u")+COUNTIF($E41:W41,"t")+COUNTIF($E41:W41,"¶")+COUNTIF($E41:W41,"²")+COUNTIF($E41:W41,"µ")+COUNTIF($E41:W41,1)-1,INDEX(Roadmap!$D:$K,MATCH($E41,Roadmap!$D:$D,0)-1+COUNTIF($E41:W41,"u")+COUNTIF($E41:W41,"t")+COUNTIF($E41:W41,"¶")+COUNTIF($E41:W41,"²")+COUNTIF($E41:W41,"µ")+COUNTIF($E41:W41,1),ColDescriptionCourte)),""),
  "")),"")</f>
        <v/>
      </c>
      <c r="Y41" s="40" t="str">
        <f ca="1">IFERROR(IF(AND(
  INDEX(Roadmap!$D:$K,MATCH($E41,Roadmap!$D:$D,0)+COUNTIF($E41:X41,"u")+COUNTIF($E41:X41,"t")+COUNTIF($E41:X41,"¶")+COUNTIF($E41:X41,"²")+COUNTIF($E41:X41,"µ")+COUNTIF($E41:X41,1),ColLivraison)=Y$6,
  VLOOKUP($E41,INDIRECT("tri!"&amp; CHAR(64+ C0Col) &amp;":"&amp; CHAR(65+C0Col)),2,FALSE)&gt;COUNTIF($E41:X41,"u")+COUNTIF($E41:X41,"t")+COUNTIF($E41:X41,"¶")+COUNTIF($E41:X41,"²")+COUNTIF($E41:X41,"µ")+COUNTIF($E41:X41,1)),
HYPERLINK("#Roadmap!C"&amp; MATCH($E41,Roadmap!$D:$D,0)+COUNTIF($E41:X41,"u")+COUNTIF($E41:X41,"t"),
     INDEX(Roadmap!$D:$K,MATCH($E41,Roadmap!$D:$D,0)+COUNTIF($E41:X41,"u")+COUNTIF($E41:X41,"t")+COUNTIF($E41:X41,"¶")+COUNTIF($E41:X41,"²")+COUNTIF($E41:X41,"µ")+COUNTIF($E41:X41,1),ColTypeEcheance)),
  IF(LEN(X41)=1,
  IF(LEN(INDEX(Roadmap!$D:$K,MATCH($E41,Roadmap!$D:$D,0)-1+COUNTIF($E41:X41,"u")+COUNTIF($E41:X41,"t")+COUNTIF($E41:X41,"¶")+COUNTIF($E41:X41,"²")+COUNTIF($E41:X41,"µ")+COUNTIF($E41:X41,1),ColDescriptionCourte))&gt;1,
HYPERLINK("#Roadmap!C"&amp; MATCH($E41,Roadmap!$D:$D,0)+COUNTIF($E41:X41,"u")+COUNTIF($E41:X41,"t")+COUNTIF($E41:X41,"¶")+COUNTIF($E41:X41,"²")+COUNTIF($E41:X41,"µ")+COUNTIF($E41:X41,1)-1,INDEX(Roadmap!$D:$K,MATCH($E41,Roadmap!$D:$D,0)-1+COUNTIF($E41:X41,"u")+COUNTIF($E41:X41,"t")+COUNTIF($E41:X41,"¶")+COUNTIF($E41:X41,"²")+COUNTIF($E41:X41,"µ")+COUNTIF($E41:X41,1),ColDescriptionCourte)),""),
  "")),"")</f>
        <v/>
      </c>
      <c r="Z41" s="40" t="str">
        <f ca="1">IFERROR(IF(AND(
  INDEX(Roadmap!$D:$K,MATCH($E41,Roadmap!$D:$D,0)+COUNTIF($E41:Y41,"u")+COUNTIF($E41:Y41,"t")+COUNTIF($E41:Y41,"¶")+COUNTIF($E41:Y41,"²")+COUNTIF($E41:Y41,"µ")+COUNTIF($E41:Y41,1),ColLivraison)=Z$6,
  VLOOKUP($E41,INDIRECT("tri!"&amp; CHAR(64+ C0Col) &amp;":"&amp; CHAR(65+C0Col)),2,FALSE)&gt;COUNTIF($E41:Y41,"u")+COUNTIF($E41:Y41,"t")+COUNTIF($E41:Y41,"¶")+COUNTIF($E41:Y41,"²")+COUNTIF($E41:Y41,"µ")+COUNTIF($E41:Y41,1)),
HYPERLINK("#Roadmap!C"&amp; MATCH($E41,Roadmap!$D:$D,0)+COUNTIF($E41:Y41,"u")+COUNTIF($E41:Y41,"t"),
     INDEX(Roadmap!$D:$K,MATCH($E41,Roadmap!$D:$D,0)+COUNTIF($E41:Y41,"u")+COUNTIF($E41:Y41,"t")+COUNTIF($E41:Y41,"¶")+COUNTIF($E41:Y41,"²")+COUNTIF($E41:Y41,"µ")+COUNTIF($E41:Y41,1),ColTypeEcheance)),
  IF(LEN(Y41)=1,
  IF(LEN(INDEX(Roadmap!$D:$K,MATCH($E41,Roadmap!$D:$D,0)-1+COUNTIF($E41:Y41,"u")+COUNTIF($E41:Y41,"t")+COUNTIF($E41:Y41,"¶")+COUNTIF($E41:Y41,"²")+COUNTIF($E41:Y41,"µ")+COUNTIF($E41:Y41,1),ColDescriptionCourte))&gt;1,
HYPERLINK("#Roadmap!C"&amp; MATCH($E41,Roadmap!$D:$D,0)+COUNTIF($E41:Y41,"u")+COUNTIF($E41:Y41,"t")+COUNTIF($E41:Y41,"¶")+COUNTIF($E41:Y41,"²")+COUNTIF($E41:Y41,"µ")+COUNTIF($E41:Y41,1)-1,INDEX(Roadmap!$D:$K,MATCH($E41,Roadmap!$D:$D,0)-1+COUNTIF($E41:Y41,"u")+COUNTIF($E41:Y41,"t")+COUNTIF($E41:Y41,"¶")+COUNTIF($E41:Y41,"²")+COUNTIF($E41:Y41,"µ")+COUNTIF($E41:Y41,1),ColDescriptionCourte)),""),
  "")),"")</f>
        <v/>
      </c>
      <c r="AA41" s="40" t="str">
        <f ca="1">IFERROR(IF(AND(
  INDEX(Roadmap!$D:$K,MATCH($E41,Roadmap!$D:$D,0)+COUNTIF($E41:Z41,"u")+COUNTIF($E41:Z41,"t")+COUNTIF($E41:Z41,"¶")+COUNTIF($E41:Z41,"²")+COUNTIF($E41:Z41,"µ")+COUNTIF($E41:Z41,1),ColLivraison)=AA$6,
  VLOOKUP($E41,INDIRECT("tri!"&amp; CHAR(64+ C0Col) &amp;":"&amp; CHAR(65+C0Col)),2,FALSE)&gt;COUNTIF($E41:Z41,"u")+COUNTIF($E41:Z41,"t")+COUNTIF($E41:Z41,"¶")+COUNTIF($E41:Z41,"²")+COUNTIF($E41:Z41,"µ")+COUNTIF($E41:Z41,1)),
HYPERLINK("#Roadmap!C"&amp; MATCH($E41,Roadmap!$D:$D,0)+COUNTIF($E41:Z41,"u")+COUNTIF($E41:Z41,"t"),
     INDEX(Roadmap!$D:$K,MATCH($E41,Roadmap!$D:$D,0)+COUNTIF($E41:Z41,"u")+COUNTIF($E41:Z41,"t")+COUNTIF($E41:Z41,"¶")+COUNTIF($E41:Z41,"²")+COUNTIF($E41:Z41,"µ")+COUNTIF($E41:Z41,1),ColTypeEcheance)),
  IF(LEN(Z41)=1,
  IF(LEN(INDEX(Roadmap!$D:$K,MATCH($E41,Roadmap!$D:$D,0)-1+COUNTIF($E41:Z41,"u")+COUNTIF($E41:Z41,"t")+COUNTIF($E41:Z41,"¶")+COUNTIF($E41:Z41,"²")+COUNTIF($E41:Z41,"µ")+COUNTIF($E41:Z41,1),ColDescriptionCourte))&gt;1,
HYPERLINK("#Roadmap!C"&amp; MATCH($E41,Roadmap!$D:$D,0)+COUNTIF($E41:Z41,"u")+COUNTIF($E41:Z41,"t")+COUNTIF($E41:Z41,"¶")+COUNTIF($E41:Z41,"²")+COUNTIF($E41:Z41,"µ")+COUNTIF($E41:Z41,1)-1,INDEX(Roadmap!$D:$K,MATCH($E41,Roadmap!$D:$D,0)-1+COUNTIF($E41:Z41,"u")+COUNTIF($E41:Z41,"t")+COUNTIF($E41:Z41,"¶")+COUNTIF($E41:Z41,"²")+COUNTIF($E41:Z41,"µ")+COUNTIF($E41:Z41,1),ColDescriptionCourte)),""),
  "")),"")</f>
        <v/>
      </c>
      <c r="AB41" s="40" t="str">
        <f ca="1">IFERROR(IF(AND(
  INDEX(Roadmap!$D:$K,MATCH($E41,Roadmap!$D:$D,0)+COUNTIF($E41:AA41,"u")+COUNTIF($E41:AA41,"t")+COUNTIF($E41:AA41,"¶")+COUNTIF($E41:AA41,"²")+COUNTIF($E41:AA41,"µ")+COUNTIF($E41:AA41,1),ColLivraison)=AB$6,
  VLOOKUP($E41,INDIRECT("tri!"&amp; CHAR(64+ C0Col) &amp;":"&amp; CHAR(65+C0Col)),2,FALSE)&gt;COUNTIF($E41:AA41,"u")+COUNTIF($E41:AA41,"t")+COUNTIF($E41:AA41,"¶")+COUNTIF($E41:AA41,"²")+COUNTIF($E41:AA41,"µ")+COUNTIF($E41:AA41,1)),
HYPERLINK("#Roadmap!C"&amp; MATCH($E41,Roadmap!$D:$D,0)+COUNTIF($E41:AA41,"u")+COUNTIF($E41:AA41,"t"),
     INDEX(Roadmap!$D:$K,MATCH($E41,Roadmap!$D:$D,0)+COUNTIF($E41:AA41,"u")+COUNTIF($E41:AA41,"t")+COUNTIF($E41:AA41,"¶")+COUNTIF($E41:AA41,"²")+COUNTIF($E41:AA41,"µ")+COUNTIF($E41:AA41,1),ColTypeEcheance)),
  IF(LEN(AA41)=1,
  IF(LEN(INDEX(Roadmap!$D:$K,MATCH($E41,Roadmap!$D:$D,0)-1+COUNTIF($E41:AA41,"u")+COUNTIF($E41:AA41,"t")+COUNTIF($E41:AA41,"¶")+COUNTIF($E41:AA41,"²")+COUNTIF($E41:AA41,"µ")+COUNTIF($E41:AA41,1),ColDescriptionCourte))&gt;1,
HYPERLINK("#Roadmap!C"&amp; MATCH($E41,Roadmap!$D:$D,0)+COUNTIF($E41:AA41,"u")+COUNTIF($E41:AA41,"t")+COUNTIF($E41:AA41,"¶")+COUNTIF($E41:AA41,"²")+COUNTIF($E41:AA41,"µ")+COUNTIF($E41:AA41,1)-1,INDEX(Roadmap!$D:$K,MATCH($E41,Roadmap!$D:$D,0)-1+COUNTIF($E41:AA41,"u")+COUNTIF($E41:AA41,"t")+COUNTIF($E41:AA41,"¶")+COUNTIF($E41:AA41,"²")+COUNTIF($E41:AA41,"µ")+COUNTIF($E41:AA41,1),ColDescriptionCourte)),""),
  "")),"")</f>
        <v/>
      </c>
      <c r="AC41" s="40" t="str">
        <f ca="1">IFERROR(IF(AND(
  INDEX(Roadmap!$D:$K,MATCH($E41,Roadmap!$D:$D,0)+COUNTIF($E41:AB41,"u")+COUNTIF($E41:AB41,"t")+COUNTIF($E41:AB41,"¶")+COUNTIF($E41:AB41,"²")+COUNTIF($E41:AB41,"µ")+COUNTIF($E41:AB41,1),ColLivraison)=AC$6,
  VLOOKUP($E41,INDIRECT("tri!"&amp; CHAR(64+ C0Col) &amp;":"&amp; CHAR(65+C0Col)),2,FALSE)&gt;COUNTIF($E41:AB41,"u")+COUNTIF($E41:AB41,"t")+COUNTIF($E41:AB41,"¶")+COUNTIF($E41:AB41,"²")+COUNTIF($E41:AB41,"µ")+COUNTIF($E41:AB41,1)),
HYPERLINK("#Roadmap!C"&amp; MATCH($E41,Roadmap!$D:$D,0)+COUNTIF($E41:AB41,"u")+COUNTIF($E41:AB41,"t"),
     INDEX(Roadmap!$D:$K,MATCH($E41,Roadmap!$D:$D,0)+COUNTIF($E41:AB41,"u")+COUNTIF($E41:AB41,"t")+COUNTIF($E41:AB41,"¶")+COUNTIF($E41:AB41,"²")+COUNTIF($E41:AB41,"µ")+COUNTIF($E41:AB41,1),ColTypeEcheance)),
  IF(LEN(AB41)=1,
  IF(LEN(INDEX(Roadmap!$D:$K,MATCH($E41,Roadmap!$D:$D,0)-1+COUNTIF($E41:AB41,"u")+COUNTIF($E41:AB41,"t")+COUNTIF($E41:AB41,"¶")+COUNTIF($E41:AB41,"²")+COUNTIF($E41:AB41,"µ")+COUNTIF($E41:AB41,1),ColDescriptionCourte))&gt;1,
HYPERLINK("#Roadmap!C"&amp; MATCH($E41,Roadmap!$D:$D,0)+COUNTIF($E41:AB41,"u")+COUNTIF($E41:AB41,"t")+COUNTIF($E41:AB41,"¶")+COUNTIF($E41:AB41,"²")+COUNTIF($E41:AB41,"µ")+COUNTIF($E41:AB41,1)-1,INDEX(Roadmap!$D:$K,MATCH($E41,Roadmap!$D:$D,0)-1+COUNTIF($E41:AB41,"u")+COUNTIF($E41:AB41,"t")+COUNTIF($E41:AB41,"¶")+COUNTIF($E41:AB41,"²")+COUNTIF($E41:AB41,"µ")+COUNTIF($E41:AB41,1),ColDescriptionCourte)),""),
  "")),"")</f>
        <v/>
      </c>
      <c r="AD41" s="40" t="str">
        <f ca="1">IFERROR(IF(AND(
  INDEX(Roadmap!$D:$K,MATCH($E41,Roadmap!$D:$D,0)+COUNTIF($E41:AC41,"u")+COUNTIF($E41:AC41,"t")+COUNTIF($E41:AC41,"¶")+COUNTIF($E41:AC41,"²")+COUNTIF($E41:AC41,"µ")+COUNTIF($E41:AC41,1),ColLivraison)=AD$6,
  VLOOKUP($E41,INDIRECT("tri!"&amp; CHAR(64+ C0Col) &amp;":"&amp; CHAR(65+C0Col)),2,FALSE)&gt;COUNTIF($E41:AC41,"u")+COUNTIF($E41:AC41,"t")+COUNTIF($E41:AC41,"¶")+COUNTIF($E41:AC41,"²")+COUNTIF($E41:AC41,"µ")+COUNTIF($E41:AC41,1)),
HYPERLINK("#Roadmap!C"&amp; MATCH($E41,Roadmap!$D:$D,0)+COUNTIF($E41:AC41,"u")+COUNTIF($E41:AC41,"t"),
     INDEX(Roadmap!$D:$K,MATCH($E41,Roadmap!$D:$D,0)+COUNTIF($E41:AC41,"u")+COUNTIF($E41:AC41,"t")+COUNTIF($E41:AC41,"¶")+COUNTIF($E41:AC41,"²")+COUNTIF($E41:AC41,"µ")+COUNTIF($E41:AC41,1),ColTypeEcheance)),
  IF(LEN(AC41)=1,
  IF(LEN(INDEX(Roadmap!$D:$K,MATCH($E41,Roadmap!$D:$D,0)-1+COUNTIF($E41:AC41,"u")+COUNTIF($E41:AC41,"t")+COUNTIF($E41:AC41,"¶")+COUNTIF($E41:AC41,"²")+COUNTIF($E41:AC41,"µ")+COUNTIF($E41:AC41,1),ColDescriptionCourte))&gt;1,
HYPERLINK("#Roadmap!C"&amp; MATCH($E41,Roadmap!$D:$D,0)+COUNTIF($E41:AC41,"u")+COUNTIF($E41:AC41,"t")+COUNTIF($E41:AC41,"¶")+COUNTIF($E41:AC41,"²")+COUNTIF($E41:AC41,"µ")+COUNTIF($E41:AC41,1)-1,INDEX(Roadmap!$D:$K,MATCH($E41,Roadmap!$D:$D,0)-1+COUNTIF($E41:AC41,"u")+COUNTIF($E41:AC41,"t")+COUNTIF($E41:AC41,"¶")+COUNTIF($E41:AC41,"²")+COUNTIF($E41:AC41,"µ")+COUNTIF($E41:AC41,1),ColDescriptionCourte)),""),
  "")),"")</f>
        <v/>
      </c>
      <c r="AE41" s="40" t="str">
        <f ca="1">IFERROR(IF(AND(
  INDEX(Roadmap!$D:$K,MATCH($E41,Roadmap!$D:$D,0)+COUNTIF($E41:AD41,"u")+COUNTIF($E41:AD41,"t")+COUNTIF($E41:AD41,"¶")+COUNTIF($E41:AD41,"²")+COUNTIF($E41:AD41,"µ")+COUNTIF($E41:AD41,1),ColLivraison)=AE$6,
  VLOOKUP($E41,INDIRECT("tri!"&amp; CHAR(64+ C0Col) &amp;":"&amp; CHAR(65+C0Col)),2,FALSE)&gt;COUNTIF($E41:AD41,"u")+COUNTIF($E41:AD41,"t")+COUNTIF($E41:AD41,"¶")+COUNTIF($E41:AD41,"²")+COUNTIF($E41:AD41,"µ")+COUNTIF($E41:AD41,1)),
HYPERLINK("#Roadmap!C"&amp; MATCH($E41,Roadmap!$D:$D,0)+COUNTIF($E41:AD41,"u")+COUNTIF($E41:AD41,"t"),
     INDEX(Roadmap!$D:$K,MATCH($E41,Roadmap!$D:$D,0)+COUNTIF($E41:AD41,"u")+COUNTIF($E41:AD41,"t")+COUNTIF($E41:AD41,"¶")+COUNTIF($E41:AD41,"²")+COUNTIF($E41:AD41,"µ")+COUNTIF($E41:AD41,1),ColTypeEcheance)),
  IF(LEN(AD41)=1,
  IF(LEN(INDEX(Roadmap!$D:$K,MATCH($E41,Roadmap!$D:$D,0)-1+COUNTIF($E41:AD41,"u")+COUNTIF($E41:AD41,"t")+COUNTIF($E41:AD41,"¶")+COUNTIF($E41:AD41,"²")+COUNTIF($E41:AD41,"µ")+COUNTIF($E41:AD41,1),ColDescriptionCourte))&gt;1,
HYPERLINK("#Roadmap!C"&amp; MATCH($E41,Roadmap!$D:$D,0)+COUNTIF($E41:AD41,"u")+COUNTIF($E41:AD41,"t")+COUNTIF($E41:AD41,"¶")+COUNTIF($E41:AD41,"²")+COUNTIF($E41:AD41,"µ")+COUNTIF($E41:AD41,1)-1,INDEX(Roadmap!$D:$K,MATCH($E41,Roadmap!$D:$D,0)-1+COUNTIF($E41:AD41,"u")+COUNTIF($E41:AD41,"t")+COUNTIF($E41:AD41,"¶")+COUNTIF($E41:AD41,"²")+COUNTIF($E41:AD41,"µ")+COUNTIF($E41:AD41,1),ColDescriptionCourte)),""),
  "")),"")</f>
        <v/>
      </c>
      <c r="AF41" s="40" t="str">
        <f ca="1">IFERROR(IF(AND(
  INDEX(Roadmap!$D:$K,MATCH($E41,Roadmap!$D:$D,0)+COUNTIF($E41:AE41,"u")+COUNTIF($E41:AE41,"t")+COUNTIF($E41:AE41,"¶")+COUNTIF($E41:AE41,"²")+COUNTIF($E41:AE41,"µ")+COUNTIF($E41:AE41,1),ColLivraison)=AF$6,
  VLOOKUP($E41,INDIRECT("tri!"&amp; CHAR(64+ C0Col) &amp;":"&amp; CHAR(65+C0Col)),2,FALSE)&gt;COUNTIF($E41:AE41,"u")+COUNTIF($E41:AE41,"t")+COUNTIF($E41:AE41,"¶")+COUNTIF($E41:AE41,"²")+COUNTIF($E41:AE41,"µ")+COUNTIF($E41:AE41,1)),
HYPERLINK("#Roadmap!C"&amp; MATCH($E41,Roadmap!$D:$D,0)+COUNTIF($E41:AE41,"u")+COUNTIF($E41:AE41,"t"),
     INDEX(Roadmap!$D:$K,MATCH($E41,Roadmap!$D:$D,0)+COUNTIF($E41:AE41,"u")+COUNTIF($E41:AE41,"t")+COUNTIF($E41:AE41,"¶")+COUNTIF($E41:AE41,"²")+COUNTIF($E41:AE41,"µ")+COUNTIF($E41:AE41,1),ColTypeEcheance)),
  IF(LEN(AE41)=1,
  IF(LEN(INDEX(Roadmap!$D:$K,MATCH($E41,Roadmap!$D:$D,0)-1+COUNTIF($E41:AE41,"u")+COUNTIF($E41:AE41,"t")+COUNTIF($E41:AE41,"¶")+COUNTIF($E41:AE41,"²")+COUNTIF($E41:AE41,"µ")+COUNTIF($E41:AE41,1),ColDescriptionCourte))&gt;1,
HYPERLINK("#Roadmap!C"&amp; MATCH($E41,Roadmap!$D:$D,0)+COUNTIF($E41:AE41,"u")+COUNTIF($E41:AE41,"t")+COUNTIF($E41:AE41,"¶")+COUNTIF($E41:AE41,"²")+COUNTIF($E41:AE41,"µ")+COUNTIF($E41:AE41,1)-1,INDEX(Roadmap!$D:$K,MATCH($E41,Roadmap!$D:$D,0)-1+COUNTIF($E41:AE41,"u")+COUNTIF($E41:AE41,"t")+COUNTIF($E41:AE41,"¶")+COUNTIF($E41:AE41,"²")+COUNTIF($E41:AE41,"µ")+COUNTIF($E41:AE41,1),ColDescriptionCourte)),""),
  "")),"")</f>
        <v/>
      </c>
      <c r="AG41" s="40" t="str">
        <f ca="1">IFERROR(IF(AND(
  INDEX(Roadmap!$D:$K,MATCH($E41,Roadmap!$D:$D,0)+COUNTIF($E41:AF41,"u")+COUNTIF($E41:AF41,"t")+COUNTIF($E41:AF41,"¶")+COUNTIF($E41:AF41,"²")+COUNTIF($E41:AF41,"µ")+COUNTIF($E41:AF41,1),ColLivraison)=AG$6,
  VLOOKUP($E41,INDIRECT("tri!"&amp; CHAR(64+ C0Col) &amp;":"&amp; CHAR(65+C0Col)),2,FALSE)&gt;COUNTIF($E41:AF41,"u")+COUNTIF($E41:AF41,"t")+COUNTIF($E41:AF41,"¶")+COUNTIF($E41:AF41,"²")+COUNTIF($E41:AF41,"µ")+COUNTIF($E41:AF41,1)),
HYPERLINK("#Roadmap!C"&amp; MATCH($E41,Roadmap!$D:$D,0)+COUNTIF($E41:AF41,"u")+COUNTIF($E41:AF41,"t"),
     INDEX(Roadmap!$D:$K,MATCH($E41,Roadmap!$D:$D,0)+COUNTIF($E41:AF41,"u")+COUNTIF($E41:AF41,"t")+COUNTIF($E41:AF41,"¶")+COUNTIF($E41:AF41,"²")+COUNTIF($E41:AF41,"µ")+COUNTIF($E41:AF41,1),ColTypeEcheance)),
  IF(LEN(AF41)=1,
  IF(LEN(INDEX(Roadmap!$D:$K,MATCH($E41,Roadmap!$D:$D,0)-1+COUNTIF($E41:AF41,"u")+COUNTIF($E41:AF41,"t")+COUNTIF($E41:AF41,"¶")+COUNTIF($E41:AF41,"²")+COUNTIF($E41:AF41,"µ")+COUNTIF($E41:AF41,1),ColDescriptionCourte))&gt;1,
HYPERLINK("#Roadmap!C"&amp; MATCH($E41,Roadmap!$D:$D,0)+COUNTIF($E41:AF41,"u")+COUNTIF($E41:AF41,"t")+COUNTIF($E41:AF41,"¶")+COUNTIF($E41:AF41,"²")+COUNTIF($E41:AF41,"µ")+COUNTIF($E41:AF41,1)-1,INDEX(Roadmap!$D:$K,MATCH($E41,Roadmap!$D:$D,0)-1+COUNTIF($E41:AF41,"u")+COUNTIF($E41:AF41,"t")+COUNTIF($E41:AF41,"¶")+COUNTIF($E41:AF41,"²")+COUNTIF($E41:AF41,"µ")+COUNTIF($E41:AF41,1),ColDescriptionCourte)),""),
  "")),"")</f>
        <v/>
      </c>
    </row>
    <row r="42" spans="3:33" ht="14.25" customHeight="1">
      <c r="C42" s="1" t="str">
        <f t="shared" ca="1" si="44"/>
        <v/>
      </c>
      <c r="D42" s="1" t="str">
        <f t="shared" ca="1" si="45"/>
        <v/>
      </c>
      <c r="E42" s="35" t="str">
        <f t="shared" ca="1" si="33"/>
        <v/>
      </c>
      <c r="F42" s="39" t="str">
        <f ca="1">IFERROR(IF(AND(
  INDEX(Roadmap!$D:$K,MATCH($E42,Roadmap!$D:$D,0)+COUNTIF($E42:E42,"u")+COUNTIF($E42:E42,"t")+COUNTIF($E42:E42,"¶")+COUNTIF($E42:E42,"²")+COUNTIF($E42:E42,"µ")+COUNTIF($E42:E42,1),ColLivraison)=F$6,
  VLOOKUP($E42,INDIRECT("tri!"&amp; CHAR(64+ C0Col) &amp;":"&amp; CHAR(65+C0Col)),2,FALSE)&gt;COUNTIF($E42:E42,"u")+COUNTIF($E42:E42,"t")+COUNTIF($E42:E42,"¶")+COUNTIF($E42:E42,"²")+COUNTIF($E42:E42,"µ")+COUNTIF($E42:E42,1)),
HYPERLINK("#Roadmap!C"&amp; MATCH($E42,Roadmap!$D:$D,0)+COUNTIF($E42:E42,"u")+COUNTIF($E42:E42,"t"),
     INDEX(Roadmap!$D:$K,MATCH($E42,Roadmap!$D:$D,0)+COUNTIF($E42:E42,"u")+COUNTIF($E42:E42,"t")+COUNTIF($E42:E42,"¶")+COUNTIF($E42:E42,"²")+COUNTIF($E42:E42,"µ")+COUNTIF($E42:E42,1),ColTypeEcheance)),
  IF(LEN(E42)=1,
  IF(LEN(INDEX(Roadmap!$D:$K,MATCH($E42,Roadmap!$D:$D,0)-1+COUNTIF($E42:E42,"u")+COUNTIF($E42:E42,"t")+COUNTIF($E42:E42,"¶")+COUNTIF($E42:E42,"²")+COUNTIF($E42:E42,"µ")+COUNTIF($E42:E42,1),ColDescriptionCourte))&gt;1,
HYPERLINK("#Roadmap!C"&amp; MATCH($E42,Roadmap!$D:$D,0)+COUNTIF($E42:E42,"u")+COUNTIF($E42:E42,"t")+COUNTIF($E42:E42,"¶")+COUNTIF($E42:E42,"²")+COUNTIF($E42:E42,"µ")+COUNTIF($E42:E42,1)-1,INDEX(Roadmap!$D:$K,MATCH($E42,Roadmap!$D:$D,0)-1+COUNTIF($E42:E42,"u")+COUNTIF($E42:E42,"t")+COUNTIF($E42:E42,"¶")+COUNTIF($E42:E42,"²")+COUNTIF($E42:E42,"µ")+COUNTIF($E42:E42,1),ColDescriptionCourte)),""),
  "")),"")</f>
        <v/>
      </c>
      <c r="G42" s="40" t="str">
        <f ca="1">IFERROR(IF(AND(
  INDEX(Roadmap!$D:$K,MATCH($E42,Roadmap!$D:$D,0)+COUNTIF($E42:F42,"u")+COUNTIF($E42:F42,"t")+COUNTIF($E42:F42,"¶")+COUNTIF($E42:F42,"²")+COUNTIF($E42:F42,"µ")+COUNTIF($E42:F42,1),ColLivraison)=G$6,
  VLOOKUP($E42,INDIRECT("tri!"&amp; CHAR(64+ C0Col) &amp;":"&amp; CHAR(65+C0Col)),2,FALSE)&gt;COUNTIF($E42:F42,"u")+COUNTIF($E42:F42,"t")+COUNTIF($E42:F42,"¶")+COUNTIF($E42:F42,"²")+COUNTIF($E42:F42,"µ")+COUNTIF($E42:F42,1)),
HYPERLINK("#Roadmap!C"&amp; MATCH($E42,Roadmap!$D:$D,0)+COUNTIF($E42:F42,"u")+COUNTIF($E42:F42,"t"),
     INDEX(Roadmap!$D:$K,MATCH($E42,Roadmap!$D:$D,0)+COUNTIF($E42:F42,"u")+COUNTIF($E42:F42,"t")+COUNTIF($E42:F42,"¶")+COUNTIF($E42:F42,"²")+COUNTIF($E42:F42,"µ")+COUNTIF($E42:F42,1),ColTypeEcheance)),
  IF(LEN(F42)=1,
  IF(LEN(INDEX(Roadmap!$D:$K,MATCH($E42,Roadmap!$D:$D,0)-1+COUNTIF($E42:F42,"u")+COUNTIF($E42:F42,"t")+COUNTIF($E42:F42,"¶")+COUNTIF($E42:F42,"²")+COUNTIF($E42:F42,"µ")+COUNTIF($E42:F42,1),ColDescriptionCourte))&gt;1,
HYPERLINK("#Roadmap!C"&amp; MATCH($E42,Roadmap!$D:$D,0)+COUNTIF($E42:F42,"u")+COUNTIF($E42:F42,"t")+COUNTIF($E42:F42,"¶")+COUNTIF($E42:F42,"²")+COUNTIF($E42:F42,"µ")+COUNTIF($E42:F42,1)-1,INDEX(Roadmap!$D:$K,MATCH($E42,Roadmap!$D:$D,0)-1+COUNTIF($E42:F42,"u")+COUNTIF($E42:F42,"t")+COUNTIF($E42:F42,"¶")+COUNTIF($E42:F42,"²")+COUNTIF($E42:F42,"µ")+COUNTIF($E42:F42,1),ColDescriptionCourte)),""),
  "")),"")</f>
        <v/>
      </c>
      <c r="H42" s="40" t="str">
        <f ca="1">IFERROR(IF(AND(
  INDEX(Roadmap!$D:$K,MATCH($E42,Roadmap!$D:$D,0)+COUNTIF($E42:G42,"u")+COUNTIF($E42:G42,"t")+COUNTIF($E42:G42,"¶")+COUNTIF($E42:G42,"²")+COUNTIF($E42:G42,"µ")+COUNTIF($E42:G42,1),ColLivraison)=H$6,
  VLOOKUP($E42,INDIRECT("tri!"&amp; CHAR(64+ C0Col) &amp;":"&amp; CHAR(65+C0Col)),2,FALSE)&gt;COUNTIF($E42:G42,"u")+COUNTIF($E42:G42,"t")+COUNTIF($E42:G42,"¶")+COUNTIF($E42:G42,"²")+COUNTIF($E42:G42,"µ")+COUNTIF($E42:G42,1)),
HYPERLINK("#Roadmap!C"&amp; MATCH($E42,Roadmap!$D:$D,0)+COUNTIF($E42:G42,"u")+COUNTIF($E42:G42,"t"),
     INDEX(Roadmap!$D:$K,MATCH($E42,Roadmap!$D:$D,0)+COUNTIF($E42:G42,"u")+COUNTIF($E42:G42,"t")+COUNTIF($E42:G42,"¶")+COUNTIF($E42:G42,"²")+COUNTIF($E42:G42,"µ")+COUNTIF($E42:G42,1),ColTypeEcheance)),
  IF(LEN(G42)=1,
  IF(LEN(INDEX(Roadmap!$D:$K,MATCH($E42,Roadmap!$D:$D,0)-1+COUNTIF($E42:G42,"u")+COUNTIF($E42:G42,"t")+COUNTIF($E42:G42,"¶")+COUNTIF($E42:G42,"²")+COUNTIF($E42:G42,"µ")+COUNTIF($E42:G42,1),ColDescriptionCourte))&gt;1,
HYPERLINK("#Roadmap!C"&amp; MATCH($E42,Roadmap!$D:$D,0)+COUNTIF($E42:G42,"u")+COUNTIF($E42:G42,"t")+COUNTIF($E42:G42,"¶")+COUNTIF($E42:G42,"²")+COUNTIF($E42:G42,"µ")+COUNTIF($E42:G42,1)-1,INDEX(Roadmap!$D:$K,MATCH($E42,Roadmap!$D:$D,0)-1+COUNTIF($E42:G42,"u")+COUNTIF($E42:G42,"t")+COUNTIF($E42:G42,"¶")+COUNTIF($E42:G42,"²")+COUNTIF($E42:G42,"µ")+COUNTIF($E42:G42,1),ColDescriptionCourte)),""),
  "")),"")</f>
        <v/>
      </c>
      <c r="I42" s="40" t="str">
        <f ca="1">IFERROR(IF(AND(
  INDEX(Roadmap!$D:$K,MATCH($E42,Roadmap!$D:$D,0)+COUNTIF($E42:H42,"u")+COUNTIF($E42:H42,"t")+COUNTIF($E42:H42,"¶")+COUNTIF($E42:H42,"²")+COUNTIF($E42:H42,"µ")+COUNTIF($E42:H42,1),ColLivraison)=I$6,
  VLOOKUP($E42,INDIRECT("tri!"&amp; CHAR(64+ C0Col) &amp;":"&amp; CHAR(65+C0Col)),2,FALSE)&gt;COUNTIF($E42:H42,"u")+COUNTIF($E42:H42,"t")+COUNTIF($E42:H42,"¶")+COUNTIF($E42:H42,"²")+COUNTIF($E42:H42,"µ")+COUNTIF($E42:H42,1)),
HYPERLINK("#Roadmap!C"&amp; MATCH($E42,Roadmap!$D:$D,0)+COUNTIF($E42:H42,"u")+COUNTIF($E42:H42,"t"),
     INDEX(Roadmap!$D:$K,MATCH($E42,Roadmap!$D:$D,0)+COUNTIF($E42:H42,"u")+COUNTIF($E42:H42,"t")+COUNTIF($E42:H42,"¶")+COUNTIF($E42:H42,"²")+COUNTIF($E42:H42,"µ")+COUNTIF($E42:H42,1),ColTypeEcheance)),
  IF(LEN(H42)=1,
  IF(LEN(INDEX(Roadmap!$D:$K,MATCH($E42,Roadmap!$D:$D,0)-1+COUNTIF($E42:H42,"u")+COUNTIF($E42:H42,"t")+COUNTIF($E42:H42,"¶")+COUNTIF($E42:H42,"²")+COUNTIF($E42:H42,"µ")+COUNTIF($E42:H42,1),ColDescriptionCourte))&gt;1,
HYPERLINK("#Roadmap!C"&amp; MATCH($E42,Roadmap!$D:$D,0)+COUNTIF($E42:H42,"u")+COUNTIF($E42:H42,"t")+COUNTIF($E42:H42,"¶")+COUNTIF($E42:H42,"²")+COUNTIF($E42:H42,"µ")+COUNTIF($E42:H42,1)-1,INDEX(Roadmap!$D:$K,MATCH($E42,Roadmap!$D:$D,0)-1+COUNTIF($E42:H42,"u")+COUNTIF($E42:H42,"t")+COUNTIF($E42:H42,"¶")+COUNTIF($E42:H42,"²")+COUNTIF($E42:H42,"µ")+COUNTIF($E42:H42,1),ColDescriptionCourte)),""),
  "")),"")</f>
        <v/>
      </c>
      <c r="J42" s="40" t="str">
        <f ca="1">IFERROR(IF(AND(
  INDEX(Roadmap!$D:$K,MATCH($E42,Roadmap!$D:$D,0)+COUNTIF($E42:I42,"u")+COUNTIF($E42:I42,"t")+COUNTIF($E42:I42,"¶")+COUNTIF($E42:I42,"²")+COUNTIF($E42:I42,"µ")+COUNTIF($E42:I42,1),ColLivraison)=J$6,
  VLOOKUP($E42,INDIRECT("tri!"&amp; CHAR(64+ C0Col) &amp;":"&amp; CHAR(65+C0Col)),2,FALSE)&gt;COUNTIF($E42:I42,"u")+COUNTIF($E42:I42,"t")+COUNTIF($E42:I42,"¶")+COUNTIF($E42:I42,"²")+COUNTIF($E42:I42,"µ")+COUNTIF($E42:I42,1)),
HYPERLINK("#Roadmap!C"&amp; MATCH($E42,Roadmap!$D:$D,0)+COUNTIF($E42:I42,"u")+COUNTIF($E42:I42,"t"),
     INDEX(Roadmap!$D:$K,MATCH($E42,Roadmap!$D:$D,0)+COUNTIF($E42:I42,"u")+COUNTIF($E42:I42,"t")+COUNTIF($E42:I42,"¶")+COUNTIF($E42:I42,"²")+COUNTIF($E42:I42,"µ")+COUNTIF($E42:I42,1),ColTypeEcheance)),
  IF(LEN(I42)=1,
  IF(LEN(INDEX(Roadmap!$D:$K,MATCH($E42,Roadmap!$D:$D,0)-1+COUNTIF($E42:I42,"u")+COUNTIF($E42:I42,"t")+COUNTIF($E42:I42,"¶")+COUNTIF($E42:I42,"²")+COUNTIF($E42:I42,"µ")+COUNTIF($E42:I42,1),ColDescriptionCourte))&gt;1,
HYPERLINK("#Roadmap!C"&amp; MATCH($E42,Roadmap!$D:$D,0)+COUNTIF($E42:I42,"u")+COUNTIF($E42:I42,"t")+COUNTIF($E42:I42,"¶")+COUNTIF($E42:I42,"²")+COUNTIF($E42:I42,"µ")+COUNTIF($E42:I42,1)-1,INDEX(Roadmap!$D:$K,MATCH($E42,Roadmap!$D:$D,0)-1+COUNTIF($E42:I42,"u")+COUNTIF($E42:I42,"t")+COUNTIF($E42:I42,"¶")+COUNTIF($E42:I42,"²")+COUNTIF($E42:I42,"µ")+COUNTIF($E42:I42,1),ColDescriptionCourte)),""),
  "")),"")</f>
        <v/>
      </c>
      <c r="K42" s="40" t="str">
        <f ca="1">IFERROR(IF(AND(
  INDEX(Roadmap!$D:$K,MATCH($E42,Roadmap!$D:$D,0)+COUNTIF($E42:J42,"u")+COUNTIF($E42:J42,"t")+COUNTIF($E42:J42,"¶")+COUNTIF($E42:J42,"²")+COUNTIF($E42:J42,"µ")+COUNTIF($E42:J42,1),ColLivraison)=K$6,
  VLOOKUP($E42,INDIRECT("tri!"&amp; CHAR(64+ C0Col) &amp;":"&amp; CHAR(65+C0Col)),2,FALSE)&gt;COUNTIF($E42:J42,"u")+COUNTIF($E42:J42,"t")+COUNTIF($E42:J42,"¶")+COUNTIF($E42:J42,"²")+COUNTIF($E42:J42,"µ")+COUNTIF($E42:J42,1)),
HYPERLINK("#Roadmap!C"&amp; MATCH($E42,Roadmap!$D:$D,0)+COUNTIF($E42:J42,"u")+COUNTIF($E42:J42,"t"),
     INDEX(Roadmap!$D:$K,MATCH($E42,Roadmap!$D:$D,0)+COUNTIF($E42:J42,"u")+COUNTIF($E42:J42,"t")+COUNTIF($E42:J42,"¶")+COUNTIF($E42:J42,"²")+COUNTIF($E42:J42,"µ")+COUNTIF($E42:J42,1),ColTypeEcheance)),
  IF(LEN(J42)=1,
  IF(LEN(INDEX(Roadmap!$D:$K,MATCH($E42,Roadmap!$D:$D,0)-1+COUNTIF($E42:J42,"u")+COUNTIF($E42:J42,"t")+COUNTIF($E42:J42,"¶")+COUNTIF($E42:J42,"²")+COUNTIF($E42:J42,"µ")+COUNTIF($E42:J42,1),ColDescriptionCourte))&gt;1,
HYPERLINK("#Roadmap!C"&amp; MATCH($E42,Roadmap!$D:$D,0)+COUNTIF($E42:J42,"u")+COUNTIF($E42:J42,"t")+COUNTIF($E42:J42,"¶")+COUNTIF($E42:J42,"²")+COUNTIF($E42:J42,"µ")+COUNTIF($E42:J42,1)-1,INDEX(Roadmap!$D:$K,MATCH($E42,Roadmap!$D:$D,0)-1+COUNTIF($E42:J42,"u")+COUNTIF($E42:J42,"t")+COUNTIF($E42:J42,"¶")+COUNTIF($E42:J42,"²")+COUNTIF($E42:J42,"µ")+COUNTIF($E42:J42,1),ColDescriptionCourte)),""),
  "")),"")</f>
        <v/>
      </c>
      <c r="L42" s="39" t="str">
        <f ca="1">IFERROR(IF(AND(
  INDEX(Roadmap!$D:$K,MATCH($E42,Roadmap!$D:$D,0)+COUNTIF($E42:K42,"u")+COUNTIF($E42:K42,"t")+COUNTIF($E42:K42,"¶")+COUNTIF($E42:K42,"²")+COUNTIF($E42:K42,"µ")+COUNTIF($E42:K42,1),ColLivraison)=L$6,
  VLOOKUP($E42,INDIRECT("tri!"&amp; CHAR(64+ C0Col) &amp;":"&amp; CHAR(65+C0Col)),2,FALSE)&gt;COUNTIF($E42:K42,"u")+COUNTIF($E42:K42,"t")+COUNTIF($E42:K42,"¶")+COUNTIF($E42:K42,"²")+COUNTIF($E42:K42,"µ")+COUNTIF($E42:K42,1)),
HYPERLINK("#Roadmap!C"&amp; MATCH($E42,Roadmap!$D:$D,0)+COUNTIF($E42:K42,"u")+COUNTIF($E42:K42,"t"),
     INDEX(Roadmap!$D:$K,MATCH($E42,Roadmap!$D:$D,0)+COUNTIF($E42:K42,"u")+COUNTIF($E42:K42,"t")+COUNTIF($E42:K42,"¶")+COUNTIF($E42:K42,"²")+COUNTIF($E42:K42,"µ")+COUNTIF($E42:K42,1),ColTypeEcheance)),
  IF(LEN(K42)=1,
  IF(LEN(INDEX(Roadmap!$D:$K,MATCH($E42,Roadmap!$D:$D,0)-1+COUNTIF($E42:K42,"u")+COUNTIF($E42:K42,"t")+COUNTIF($E42:K42,"¶")+COUNTIF($E42:K42,"²")+COUNTIF($E42:K42,"µ")+COUNTIF($E42:K42,1),ColDescriptionCourte))&gt;1,
HYPERLINK("#Roadmap!C"&amp; MATCH($E42,Roadmap!$D:$D,0)+COUNTIF($E42:K42,"u")+COUNTIF($E42:K42,"t")+COUNTIF($E42:K42,"¶")+COUNTIF($E42:K42,"²")+COUNTIF($E42:K42,"µ")+COUNTIF($E42:K42,1)-1,INDEX(Roadmap!$D:$K,MATCH($E42,Roadmap!$D:$D,0)-1+COUNTIF($E42:K42,"u")+COUNTIF($E42:K42,"t")+COUNTIF($E42:K42,"¶")+COUNTIF($E42:K42,"²")+COUNTIF($E42:K42,"µ")+COUNTIF($E42:K42,1),ColDescriptionCourte)),""),
  "")),"")</f>
        <v/>
      </c>
      <c r="M42" s="40" t="str">
        <f ca="1">IFERROR(IF(AND(
  INDEX(Roadmap!$D:$K,MATCH($E42,Roadmap!$D:$D,0)+COUNTIF($E42:L42,"u")+COUNTIF($E42:L42,"t")+COUNTIF($E42:L42,"¶")+COUNTIF($E42:L42,"²")+COUNTIF($E42:L42,"µ")+COUNTIF($E42:L42,1),ColLivraison)=M$6,
  VLOOKUP($E42,INDIRECT("tri!"&amp; CHAR(64+ C0Col) &amp;":"&amp; CHAR(65+C0Col)),2,FALSE)&gt;COUNTIF($E42:L42,"u")+COUNTIF($E42:L42,"t")+COUNTIF($E42:L42,"¶")+COUNTIF($E42:L42,"²")+COUNTIF($E42:L42,"µ")+COUNTIF($E42:L42,1)),
HYPERLINK("#Roadmap!C"&amp; MATCH($E42,Roadmap!$D:$D,0)+COUNTIF($E42:L42,"u")+COUNTIF($E42:L42,"t"),
     INDEX(Roadmap!$D:$K,MATCH($E42,Roadmap!$D:$D,0)+COUNTIF($E42:L42,"u")+COUNTIF($E42:L42,"t")+COUNTIF($E42:L42,"¶")+COUNTIF($E42:L42,"²")+COUNTIF($E42:L42,"µ")+COUNTIF($E42:L42,1),ColTypeEcheance)),
  IF(LEN(L42)=1,
  IF(LEN(INDEX(Roadmap!$D:$K,MATCH($E42,Roadmap!$D:$D,0)-1+COUNTIF($E42:L42,"u")+COUNTIF($E42:L42,"t")+COUNTIF($E42:L42,"¶")+COUNTIF($E42:L42,"²")+COUNTIF($E42:L42,"µ")+COUNTIF($E42:L42,1),ColDescriptionCourte))&gt;1,
HYPERLINK("#Roadmap!C"&amp; MATCH($E42,Roadmap!$D:$D,0)+COUNTIF($E42:L42,"u")+COUNTIF($E42:L42,"t")+COUNTIF($E42:L42,"¶")+COUNTIF($E42:L42,"²")+COUNTIF($E42:L42,"µ")+COUNTIF($E42:L42,1)-1,INDEX(Roadmap!$D:$K,MATCH($E42,Roadmap!$D:$D,0)-1+COUNTIF($E42:L42,"u")+COUNTIF($E42:L42,"t")+COUNTIF($E42:L42,"¶")+COUNTIF($E42:L42,"²")+COUNTIF($E42:L42,"µ")+COUNTIF($E42:L42,1),ColDescriptionCourte)),""),
  "")),"")</f>
        <v/>
      </c>
      <c r="N42" s="40" t="str">
        <f ca="1">IFERROR(IF(AND(
  INDEX(Roadmap!$D:$K,MATCH($E42,Roadmap!$D:$D,0)+COUNTIF($E42:M42,"u")+COUNTIF($E42:M42,"t")+COUNTIF($E42:M42,"¶")+COUNTIF($E42:M42,"²")+COUNTIF($E42:M42,"µ")+COUNTIF($E42:M42,1),ColLivraison)=N$6,
  VLOOKUP($E42,INDIRECT("tri!"&amp; CHAR(64+ C0Col) &amp;":"&amp; CHAR(65+C0Col)),2,FALSE)&gt;COUNTIF($E42:M42,"u")+COUNTIF($E42:M42,"t")+COUNTIF($E42:M42,"¶")+COUNTIF($E42:M42,"²")+COUNTIF($E42:M42,"µ")+COUNTIF($E42:M42,1)),
HYPERLINK("#Roadmap!C"&amp; MATCH($E42,Roadmap!$D:$D,0)+COUNTIF($E42:M42,"u")+COUNTIF($E42:M42,"t"),
     INDEX(Roadmap!$D:$K,MATCH($E42,Roadmap!$D:$D,0)+COUNTIF($E42:M42,"u")+COUNTIF($E42:M42,"t")+COUNTIF($E42:M42,"¶")+COUNTIF($E42:M42,"²")+COUNTIF($E42:M42,"µ")+COUNTIF($E42:M42,1),ColTypeEcheance)),
  IF(LEN(M42)=1,
  IF(LEN(INDEX(Roadmap!$D:$K,MATCH($E42,Roadmap!$D:$D,0)-1+COUNTIF($E42:M42,"u")+COUNTIF($E42:M42,"t")+COUNTIF($E42:M42,"¶")+COUNTIF($E42:M42,"²")+COUNTIF($E42:M42,"µ")+COUNTIF($E42:M42,1),ColDescriptionCourte))&gt;1,
HYPERLINK("#Roadmap!C"&amp; MATCH($E42,Roadmap!$D:$D,0)+COUNTIF($E42:M42,"u")+COUNTIF($E42:M42,"t")+COUNTIF($E42:M42,"¶")+COUNTIF($E42:M42,"²")+COUNTIF($E42:M42,"µ")+COUNTIF($E42:M42,1)-1,INDEX(Roadmap!$D:$K,MATCH($E42,Roadmap!$D:$D,0)-1+COUNTIF($E42:M42,"u")+COUNTIF($E42:M42,"t")+COUNTIF($E42:M42,"¶")+COUNTIF($E42:M42,"²")+COUNTIF($E42:M42,"µ")+COUNTIF($E42:M42,1),ColDescriptionCourte)),""),
  "")),"")</f>
        <v/>
      </c>
      <c r="O42" s="40" t="str">
        <f ca="1">IFERROR(IF(AND(
  INDEX(Roadmap!$D:$K,MATCH($E42,Roadmap!$D:$D,0)+COUNTIF($E42:N42,"u")+COUNTIF($E42:N42,"t")+COUNTIF($E42:N42,"¶")+COUNTIF($E42:N42,"²")+COUNTIF($E42:N42,"µ")+COUNTIF($E42:N42,1),ColLivraison)=O$6,
  VLOOKUP($E42,INDIRECT("tri!"&amp; CHAR(64+ C0Col) &amp;":"&amp; CHAR(65+C0Col)),2,FALSE)&gt;COUNTIF($E42:N42,"u")+COUNTIF($E42:N42,"t")+COUNTIF($E42:N42,"¶")+COUNTIF($E42:N42,"²")+COUNTIF($E42:N42,"µ")+COUNTIF($E42:N42,1)),
HYPERLINK("#Roadmap!C"&amp; MATCH($E42,Roadmap!$D:$D,0)+COUNTIF($E42:N42,"u")+COUNTIF($E42:N42,"t"),
     INDEX(Roadmap!$D:$K,MATCH($E42,Roadmap!$D:$D,0)+COUNTIF($E42:N42,"u")+COUNTIF($E42:N42,"t")+COUNTIF($E42:N42,"¶")+COUNTIF($E42:N42,"²")+COUNTIF($E42:N42,"µ")+COUNTIF($E42:N42,1),ColTypeEcheance)),
  IF(LEN(N42)=1,
  IF(LEN(INDEX(Roadmap!$D:$K,MATCH($E42,Roadmap!$D:$D,0)-1+COUNTIF($E42:N42,"u")+COUNTIF($E42:N42,"t")+COUNTIF($E42:N42,"¶")+COUNTIF($E42:N42,"²")+COUNTIF($E42:N42,"µ")+COUNTIF($E42:N42,1),ColDescriptionCourte))&gt;1,
HYPERLINK("#Roadmap!C"&amp; MATCH($E42,Roadmap!$D:$D,0)+COUNTIF($E42:N42,"u")+COUNTIF($E42:N42,"t")+COUNTIF($E42:N42,"¶")+COUNTIF($E42:N42,"²")+COUNTIF($E42:N42,"µ")+COUNTIF($E42:N42,1)-1,INDEX(Roadmap!$D:$K,MATCH($E42,Roadmap!$D:$D,0)-1+COUNTIF($E42:N42,"u")+COUNTIF($E42:N42,"t")+COUNTIF($E42:N42,"¶")+COUNTIF($E42:N42,"²")+COUNTIF($E42:N42,"µ")+COUNTIF($E42:N42,1),ColDescriptionCourte)),""),
  "")),"")</f>
        <v/>
      </c>
      <c r="P42" s="40" t="str">
        <f ca="1">IFERROR(IF(AND(
  INDEX(Roadmap!$D:$K,MATCH($E42,Roadmap!$D:$D,0)+COUNTIF($E42:O42,"u")+COUNTIF($E42:O42,"t")+COUNTIF($E42:O42,"¶")+COUNTIF($E42:O42,"²")+COUNTIF($E42:O42,"µ")+COUNTIF($E42:O42,1),ColLivraison)=P$6,
  VLOOKUP($E42,INDIRECT("tri!"&amp; CHAR(64+ C0Col) &amp;":"&amp; CHAR(65+C0Col)),2,FALSE)&gt;COUNTIF($E42:O42,"u")+COUNTIF($E42:O42,"t")+COUNTIF($E42:O42,"¶")+COUNTIF($E42:O42,"²")+COUNTIF($E42:O42,"µ")+COUNTIF($E42:O42,1)),
HYPERLINK("#Roadmap!C"&amp; MATCH($E42,Roadmap!$D:$D,0)+COUNTIF($E42:O42,"u")+COUNTIF($E42:O42,"t"),
     INDEX(Roadmap!$D:$K,MATCH($E42,Roadmap!$D:$D,0)+COUNTIF($E42:O42,"u")+COUNTIF($E42:O42,"t")+COUNTIF($E42:O42,"¶")+COUNTIF($E42:O42,"²")+COUNTIF($E42:O42,"µ")+COUNTIF($E42:O42,1),ColTypeEcheance)),
  IF(LEN(O42)=1,
  IF(LEN(INDEX(Roadmap!$D:$K,MATCH($E42,Roadmap!$D:$D,0)-1+COUNTIF($E42:O42,"u")+COUNTIF($E42:O42,"t")+COUNTIF($E42:O42,"¶")+COUNTIF($E42:O42,"²")+COUNTIF($E42:O42,"µ")+COUNTIF($E42:O42,1),ColDescriptionCourte))&gt;1,
HYPERLINK("#Roadmap!C"&amp; MATCH($E42,Roadmap!$D:$D,0)+COUNTIF($E42:O42,"u")+COUNTIF($E42:O42,"t")+COUNTIF($E42:O42,"¶")+COUNTIF($E42:O42,"²")+COUNTIF($E42:O42,"µ")+COUNTIF($E42:O42,1)-1,INDEX(Roadmap!$D:$K,MATCH($E42,Roadmap!$D:$D,0)-1+COUNTIF($E42:O42,"u")+COUNTIF($E42:O42,"t")+COUNTIF($E42:O42,"¶")+COUNTIF($E42:O42,"²")+COUNTIF($E42:O42,"µ")+COUNTIF($E42:O42,1),ColDescriptionCourte)),""),
  "")),"")</f>
        <v/>
      </c>
      <c r="Q42" s="40" t="str">
        <f ca="1">IFERROR(IF(AND(
  INDEX(Roadmap!$D:$K,MATCH($E42,Roadmap!$D:$D,0)+COUNTIF($E42:P42,"u")+COUNTIF($E42:P42,"t")+COUNTIF($E42:P42,"¶")+COUNTIF($E42:P42,"²")+COUNTIF($E42:P42,"µ")+COUNTIF($E42:P42,1),ColLivraison)=Q$6,
  VLOOKUP($E42,INDIRECT("tri!"&amp; CHAR(64+ C0Col) &amp;":"&amp; CHAR(65+C0Col)),2,FALSE)&gt;COUNTIF($E42:P42,"u")+COUNTIF($E42:P42,"t")+COUNTIF($E42:P42,"¶")+COUNTIF($E42:P42,"²")+COUNTIF($E42:P42,"µ")+COUNTIF($E42:P42,1)),
HYPERLINK("#Roadmap!C"&amp; MATCH($E42,Roadmap!$D:$D,0)+COUNTIF($E42:P42,"u")+COUNTIF($E42:P42,"t"),
     INDEX(Roadmap!$D:$K,MATCH($E42,Roadmap!$D:$D,0)+COUNTIF($E42:P42,"u")+COUNTIF($E42:P42,"t")+COUNTIF($E42:P42,"¶")+COUNTIF($E42:P42,"²")+COUNTIF($E42:P42,"µ")+COUNTIF($E42:P42,1),ColTypeEcheance)),
  IF(LEN(P42)=1,
  IF(LEN(INDEX(Roadmap!$D:$K,MATCH($E42,Roadmap!$D:$D,0)-1+COUNTIF($E42:P42,"u")+COUNTIF($E42:P42,"t")+COUNTIF($E42:P42,"¶")+COUNTIF($E42:P42,"²")+COUNTIF($E42:P42,"µ")+COUNTIF($E42:P42,1),ColDescriptionCourte))&gt;1,
HYPERLINK("#Roadmap!C"&amp; MATCH($E42,Roadmap!$D:$D,0)+COUNTIF($E42:P42,"u")+COUNTIF($E42:P42,"t")+COUNTIF($E42:P42,"¶")+COUNTIF($E42:P42,"²")+COUNTIF($E42:P42,"µ")+COUNTIF($E42:P42,1)-1,INDEX(Roadmap!$D:$K,MATCH($E42,Roadmap!$D:$D,0)-1+COUNTIF($E42:P42,"u")+COUNTIF($E42:P42,"t")+COUNTIF($E42:P42,"¶")+COUNTIF($E42:P42,"²")+COUNTIF($E42:P42,"µ")+COUNTIF($E42:P42,1),ColDescriptionCourte)),""),
  "")),"")</f>
        <v/>
      </c>
      <c r="R42" s="40" t="str">
        <f ca="1">IFERROR(IF(AND(
  INDEX(Roadmap!$D:$K,MATCH($E42,Roadmap!$D:$D,0)+COUNTIF($E42:Q42,"u")+COUNTIF($E42:Q42,"t")+COUNTIF($E42:Q42,"¶")+COUNTIF($E42:Q42,"²")+COUNTIF($E42:Q42,"µ")+COUNTIF($E42:Q42,1),ColLivraison)=R$6,
  VLOOKUP($E42,INDIRECT("tri!"&amp; CHAR(64+ C0Col) &amp;":"&amp; CHAR(65+C0Col)),2,FALSE)&gt;COUNTIF($E42:Q42,"u")+COUNTIF($E42:Q42,"t")+COUNTIF($E42:Q42,"¶")+COUNTIF($E42:Q42,"²")+COUNTIF($E42:Q42,"µ")+COUNTIF($E42:Q42,1)),
HYPERLINK("#Roadmap!C"&amp; MATCH($E42,Roadmap!$D:$D,0)+COUNTIF($E42:Q42,"u")+COUNTIF($E42:Q42,"t"),
     INDEX(Roadmap!$D:$K,MATCH($E42,Roadmap!$D:$D,0)+COUNTIF($E42:Q42,"u")+COUNTIF($E42:Q42,"t")+COUNTIF($E42:Q42,"¶")+COUNTIF($E42:Q42,"²")+COUNTIF($E42:Q42,"µ")+COUNTIF($E42:Q42,1),ColTypeEcheance)),
  IF(LEN(Q42)=1,
  IF(LEN(INDEX(Roadmap!$D:$K,MATCH($E42,Roadmap!$D:$D,0)-1+COUNTIF($E42:Q42,"u")+COUNTIF($E42:Q42,"t")+COUNTIF($E42:Q42,"¶")+COUNTIF($E42:Q42,"²")+COUNTIF($E42:Q42,"µ")+COUNTIF($E42:Q42,1),ColDescriptionCourte))&gt;1,
HYPERLINK("#Roadmap!C"&amp; MATCH($E42,Roadmap!$D:$D,0)+COUNTIF($E42:Q42,"u")+COUNTIF($E42:Q42,"t")+COUNTIF($E42:Q42,"¶")+COUNTIF($E42:Q42,"²")+COUNTIF($E42:Q42,"µ")+COUNTIF($E42:Q42,1)-1,INDEX(Roadmap!$D:$K,MATCH($E42,Roadmap!$D:$D,0)-1+COUNTIF($E42:Q42,"u")+COUNTIF($E42:Q42,"t")+COUNTIF($E42:Q42,"¶")+COUNTIF($E42:Q42,"²")+COUNTIF($E42:Q42,"µ")+COUNTIF($E42:Q42,1),ColDescriptionCourte)),""),
  "")),"")</f>
        <v/>
      </c>
      <c r="S42" s="40" t="str">
        <f ca="1">IFERROR(IF(AND(
  INDEX(Roadmap!$D:$K,MATCH($E42,Roadmap!$D:$D,0)+COUNTIF($E42:R42,"u")+COUNTIF($E42:R42,"t")+COUNTIF($E42:R42,"¶")+COUNTIF($E42:R42,"²")+COUNTIF($E42:R42,"µ")+COUNTIF($E42:R42,1),ColLivraison)=S$6,
  VLOOKUP($E42,INDIRECT("tri!"&amp; CHAR(64+ C0Col) &amp;":"&amp; CHAR(65+C0Col)),2,FALSE)&gt;COUNTIF($E42:R42,"u")+COUNTIF($E42:R42,"t")+COUNTIF($E42:R42,"¶")+COUNTIF($E42:R42,"²")+COUNTIF($E42:R42,"µ")+COUNTIF($E42:R42,1)),
HYPERLINK("#Roadmap!C"&amp; MATCH($E42,Roadmap!$D:$D,0)+COUNTIF($E42:R42,"u")+COUNTIF($E42:R42,"t"),
     INDEX(Roadmap!$D:$K,MATCH($E42,Roadmap!$D:$D,0)+COUNTIF($E42:R42,"u")+COUNTIF($E42:R42,"t")+COUNTIF($E42:R42,"¶")+COUNTIF($E42:R42,"²")+COUNTIF($E42:R42,"µ")+COUNTIF($E42:R42,1),ColTypeEcheance)),
  IF(LEN(R42)=1,
  IF(LEN(INDEX(Roadmap!$D:$K,MATCH($E42,Roadmap!$D:$D,0)-1+COUNTIF($E42:R42,"u")+COUNTIF($E42:R42,"t")+COUNTIF($E42:R42,"¶")+COUNTIF($E42:R42,"²")+COUNTIF($E42:R42,"µ")+COUNTIF($E42:R42,1),ColDescriptionCourte))&gt;1,
HYPERLINK("#Roadmap!C"&amp; MATCH($E42,Roadmap!$D:$D,0)+COUNTIF($E42:R42,"u")+COUNTIF($E42:R42,"t")+COUNTIF($E42:R42,"¶")+COUNTIF($E42:R42,"²")+COUNTIF($E42:R42,"µ")+COUNTIF($E42:R42,1)-1,INDEX(Roadmap!$D:$K,MATCH($E42,Roadmap!$D:$D,0)-1+COUNTIF($E42:R42,"u")+COUNTIF($E42:R42,"t")+COUNTIF($E42:R42,"¶")+COUNTIF($E42:R42,"²")+COUNTIF($E42:R42,"µ")+COUNTIF($E42:R42,1),ColDescriptionCourte)),""),
  "")),"")</f>
        <v/>
      </c>
      <c r="T42" s="40" t="str">
        <f ca="1">IFERROR(IF(AND(
  INDEX(Roadmap!$D:$K,MATCH($E42,Roadmap!$D:$D,0)+COUNTIF($E42:S42,"u")+COUNTIF($E42:S42,"t")+COUNTIF($E42:S42,"¶")+COUNTIF($E42:S42,"²")+COUNTIF($E42:S42,"µ")+COUNTIF($E42:S42,1),ColLivraison)=T$6,
  VLOOKUP($E42,INDIRECT("tri!"&amp; CHAR(64+ C0Col) &amp;":"&amp; CHAR(65+C0Col)),2,FALSE)&gt;COUNTIF($E42:S42,"u")+COUNTIF($E42:S42,"t")+COUNTIF($E42:S42,"¶")+COUNTIF($E42:S42,"²")+COUNTIF($E42:S42,"µ")+COUNTIF($E42:S42,1)),
HYPERLINK("#Roadmap!C"&amp; MATCH($E42,Roadmap!$D:$D,0)+COUNTIF($E42:S42,"u")+COUNTIF($E42:S42,"t"),
     INDEX(Roadmap!$D:$K,MATCH($E42,Roadmap!$D:$D,0)+COUNTIF($E42:S42,"u")+COUNTIF($E42:S42,"t")+COUNTIF($E42:S42,"¶")+COUNTIF($E42:S42,"²")+COUNTIF($E42:S42,"µ")+COUNTIF($E42:S42,1),ColTypeEcheance)),
  IF(LEN(S42)=1,
  IF(LEN(INDEX(Roadmap!$D:$K,MATCH($E42,Roadmap!$D:$D,0)-1+COUNTIF($E42:S42,"u")+COUNTIF($E42:S42,"t")+COUNTIF($E42:S42,"¶")+COUNTIF($E42:S42,"²")+COUNTIF($E42:S42,"µ")+COUNTIF($E42:S42,1),ColDescriptionCourte))&gt;1,
HYPERLINK("#Roadmap!C"&amp; MATCH($E42,Roadmap!$D:$D,0)+COUNTIF($E42:S42,"u")+COUNTIF($E42:S42,"t")+COUNTIF($E42:S42,"¶")+COUNTIF($E42:S42,"²")+COUNTIF($E42:S42,"µ")+COUNTIF($E42:S42,1)-1,INDEX(Roadmap!$D:$K,MATCH($E42,Roadmap!$D:$D,0)-1+COUNTIF($E42:S42,"u")+COUNTIF($E42:S42,"t")+COUNTIF($E42:S42,"¶")+COUNTIF($E42:S42,"²")+COUNTIF($E42:S42,"µ")+COUNTIF($E42:S42,1),ColDescriptionCourte)),""),
  "")),"")</f>
        <v/>
      </c>
      <c r="U42" s="40" t="str">
        <f ca="1">IFERROR(IF(AND(
  INDEX(Roadmap!$D:$K,MATCH($E42,Roadmap!$D:$D,0)+COUNTIF($E42:T42,"u")+COUNTIF($E42:T42,"t")+COUNTIF($E42:T42,"¶")+COUNTIF($E42:T42,"²")+COUNTIF($E42:T42,"µ")+COUNTIF($E42:T42,1),ColLivraison)=U$6,
  VLOOKUP($E42,INDIRECT("tri!"&amp; CHAR(64+ C0Col) &amp;":"&amp; CHAR(65+C0Col)),2,FALSE)&gt;COUNTIF($E42:T42,"u")+COUNTIF($E42:T42,"t")+COUNTIF($E42:T42,"¶")+COUNTIF($E42:T42,"²")+COUNTIF($E42:T42,"µ")+COUNTIF($E42:T42,1)),
HYPERLINK("#Roadmap!C"&amp; MATCH($E42,Roadmap!$D:$D,0)+COUNTIF($E42:T42,"u")+COUNTIF($E42:T42,"t"),
     INDEX(Roadmap!$D:$K,MATCH($E42,Roadmap!$D:$D,0)+COUNTIF($E42:T42,"u")+COUNTIF($E42:T42,"t")+COUNTIF($E42:T42,"¶")+COUNTIF($E42:T42,"²")+COUNTIF($E42:T42,"µ")+COUNTIF($E42:T42,1),ColTypeEcheance)),
  IF(LEN(T42)=1,
  IF(LEN(INDEX(Roadmap!$D:$K,MATCH($E42,Roadmap!$D:$D,0)-1+COUNTIF($E42:T42,"u")+COUNTIF($E42:T42,"t")+COUNTIF($E42:T42,"¶")+COUNTIF($E42:T42,"²")+COUNTIF($E42:T42,"µ")+COUNTIF($E42:T42,1),ColDescriptionCourte))&gt;1,
HYPERLINK("#Roadmap!C"&amp; MATCH($E42,Roadmap!$D:$D,0)+COUNTIF($E42:T42,"u")+COUNTIF($E42:T42,"t")+COUNTIF($E42:T42,"¶")+COUNTIF($E42:T42,"²")+COUNTIF($E42:T42,"µ")+COUNTIF($E42:T42,1)-1,INDEX(Roadmap!$D:$K,MATCH($E42,Roadmap!$D:$D,0)-1+COUNTIF($E42:T42,"u")+COUNTIF($E42:T42,"t")+COUNTIF($E42:T42,"¶")+COUNTIF($E42:T42,"²")+COUNTIF($E42:T42,"µ")+COUNTIF($E42:T42,1),ColDescriptionCourte)),""),
  "")),"")</f>
        <v/>
      </c>
      <c r="V42" s="40" t="str">
        <f ca="1">IFERROR(IF(AND(
  INDEX(Roadmap!$D:$K,MATCH($E42,Roadmap!$D:$D,0)+COUNTIF($E42:U42,"u")+COUNTIF($E42:U42,"t")+COUNTIF($E42:U42,"¶")+COUNTIF($E42:U42,"²")+COUNTIF($E42:U42,"µ")+COUNTIF($E42:U42,1),ColLivraison)=V$6,
  VLOOKUP($E42,INDIRECT("tri!"&amp; CHAR(64+ C0Col) &amp;":"&amp; CHAR(65+C0Col)),2,FALSE)&gt;COUNTIF($E42:U42,"u")+COUNTIF($E42:U42,"t")+COUNTIF($E42:U42,"¶")+COUNTIF($E42:U42,"²")+COUNTIF($E42:U42,"µ")+COUNTIF($E42:U42,1)),
HYPERLINK("#Roadmap!C"&amp; MATCH($E42,Roadmap!$D:$D,0)+COUNTIF($E42:U42,"u")+COUNTIF($E42:U42,"t"),
     INDEX(Roadmap!$D:$K,MATCH($E42,Roadmap!$D:$D,0)+COUNTIF($E42:U42,"u")+COUNTIF($E42:U42,"t")+COUNTIF($E42:U42,"¶")+COUNTIF($E42:U42,"²")+COUNTIF($E42:U42,"µ")+COUNTIF($E42:U42,1),ColTypeEcheance)),
  IF(LEN(U42)=1,
  IF(LEN(INDEX(Roadmap!$D:$K,MATCH($E42,Roadmap!$D:$D,0)-1+COUNTIF($E42:U42,"u")+COUNTIF($E42:U42,"t")+COUNTIF($E42:U42,"¶")+COUNTIF($E42:U42,"²")+COUNTIF($E42:U42,"µ")+COUNTIF($E42:U42,1),ColDescriptionCourte))&gt;1,
HYPERLINK("#Roadmap!C"&amp; MATCH($E42,Roadmap!$D:$D,0)+COUNTIF($E42:U42,"u")+COUNTIF($E42:U42,"t")+COUNTIF($E42:U42,"¶")+COUNTIF($E42:U42,"²")+COUNTIF($E42:U42,"µ")+COUNTIF($E42:U42,1)-1,INDEX(Roadmap!$D:$K,MATCH($E42,Roadmap!$D:$D,0)-1+COUNTIF($E42:U42,"u")+COUNTIF($E42:U42,"t")+COUNTIF($E42:U42,"¶")+COUNTIF($E42:U42,"²")+COUNTIF($E42:U42,"µ")+COUNTIF($E42:U42,1),ColDescriptionCourte)),""),
  "")),"")</f>
        <v/>
      </c>
      <c r="W42" s="40" t="str">
        <f ca="1">IFERROR(IF(AND(
  INDEX(Roadmap!$D:$K,MATCH($E42,Roadmap!$D:$D,0)+COUNTIF($E42:V42,"u")+COUNTIF($E42:V42,"t")+COUNTIF($E42:V42,"¶")+COUNTIF($E42:V42,"²")+COUNTIF($E42:V42,"µ")+COUNTIF($E42:V42,1),ColLivraison)=W$6,
  VLOOKUP($E42,INDIRECT("tri!"&amp; CHAR(64+ C0Col) &amp;":"&amp; CHAR(65+C0Col)),2,FALSE)&gt;COUNTIF($E42:V42,"u")+COUNTIF($E42:V42,"t")+COUNTIF($E42:V42,"¶")+COUNTIF($E42:V42,"²")+COUNTIF($E42:V42,"µ")+COUNTIF($E42:V42,1)),
HYPERLINK("#Roadmap!C"&amp; MATCH($E42,Roadmap!$D:$D,0)+COUNTIF($E42:V42,"u")+COUNTIF($E42:V42,"t"),
     INDEX(Roadmap!$D:$K,MATCH($E42,Roadmap!$D:$D,0)+COUNTIF($E42:V42,"u")+COUNTIF($E42:V42,"t")+COUNTIF($E42:V42,"¶")+COUNTIF($E42:V42,"²")+COUNTIF($E42:V42,"µ")+COUNTIF($E42:V42,1),ColTypeEcheance)),
  IF(LEN(V42)=1,
  IF(LEN(INDEX(Roadmap!$D:$K,MATCH($E42,Roadmap!$D:$D,0)-1+COUNTIF($E42:V42,"u")+COUNTIF($E42:V42,"t")+COUNTIF($E42:V42,"¶")+COUNTIF($E42:V42,"²")+COUNTIF($E42:V42,"µ")+COUNTIF($E42:V42,1),ColDescriptionCourte))&gt;1,
HYPERLINK("#Roadmap!C"&amp; MATCH($E42,Roadmap!$D:$D,0)+COUNTIF($E42:V42,"u")+COUNTIF($E42:V42,"t")+COUNTIF($E42:V42,"¶")+COUNTIF($E42:V42,"²")+COUNTIF($E42:V42,"µ")+COUNTIF($E42:V42,1)-1,INDEX(Roadmap!$D:$K,MATCH($E42,Roadmap!$D:$D,0)-1+COUNTIF($E42:V42,"u")+COUNTIF($E42:V42,"t")+COUNTIF($E42:V42,"¶")+COUNTIF($E42:V42,"²")+COUNTIF($E42:V42,"µ")+COUNTIF($E42:V42,1),ColDescriptionCourte)),""),
  "")),"")</f>
        <v/>
      </c>
      <c r="X42" s="40" t="str">
        <f ca="1">IFERROR(IF(AND(
  INDEX(Roadmap!$D:$K,MATCH($E42,Roadmap!$D:$D,0)+COUNTIF($E42:W42,"u")+COUNTIF($E42:W42,"t")+COUNTIF($E42:W42,"¶")+COUNTIF($E42:W42,"²")+COUNTIF($E42:W42,"µ")+COUNTIF($E42:W42,1),ColLivraison)=X$6,
  VLOOKUP($E42,INDIRECT("tri!"&amp; CHAR(64+ C0Col) &amp;":"&amp; CHAR(65+C0Col)),2,FALSE)&gt;COUNTIF($E42:W42,"u")+COUNTIF($E42:W42,"t")+COUNTIF($E42:W42,"¶")+COUNTIF($E42:W42,"²")+COUNTIF($E42:W42,"µ")+COUNTIF($E42:W42,1)),
HYPERLINK("#Roadmap!C"&amp; MATCH($E42,Roadmap!$D:$D,0)+COUNTIF($E42:W42,"u")+COUNTIF($E42:W42,"t"),
     INDEX(Roadmap!$D:$K,MATCH($E42,Roadmap!$D:$D,0)+COUNTIF($E42:W42,"u")+COUNTIF($E42:W42,"t")+COUNTIF($E42:W42,"¶")+COUNTIF($E42:W42,"²")+COUNTIF($E42:W42,"µ")+COUNTIF($E42:W42,1),ColTypeEcheance)),
  IF(LEN(W42)=1,
  IF(LEN(INDEX(Roadmap!$D:$K,MATCH($E42,Roadmap!$D:$D,0)-1+COUNTIF($E42:W42,"u")+COUNTIF($E42:W42,"t")+COUNTIF($E42:W42,"¶")+COUNTIF($E42:W42,"²")+COUNTIF($E42:W42,"µ")+COUNTIF($E42:W42,1),ColDescriptionCourte))&gt;1,
HYPERLINK("#Roadmap!C"&amp; MATCH($E42,Roadmap!$D:$D,0)+COUNTIF($E42:W42,"u")+COUNTIF($E42:W42,"t")+COUNTIF($E42:W42,"¶")+COUNTIF($E42:W42,"²")+COUNTIF($E42:W42,"µ")+COUNTIF($E42:W42,1)-1,INDEX(Roadmap!$D:$K,MATCH($E42,Roadmap!$D:$D,0)-1+COUNTIF($E42:W42,"u")+COUNTIF($E42:W42,"t")+COUNTIF($E42:W42,"¶")+COUNTIF($E42:W42,"²")+COUNTIF($E42:W42,"µ")+COUNTIF($E42:W42,1),ColDescriptionCourte)),""),
  "")),"")</f>
        <v/>
      </c>
      <c r="Y42" s="40" t="str">
        <f ca="1">IFERROR(IF(AND(
  INDEX(Roadmap!$D:$K,MATCH($E42,Roadmap!$D:$D,0)+COUNTIF($E42:X42,"u")+COUNTIF($E42:X42,"t")+COUNTIF($E42:X42,"¶")+COUNTIF($E42:X42,"²")+COUNTIF($E42:X42,"µ")+COUNTIF($E42:X42,1),ColLivraison)=Y$6,
  VLOOKUP($E42,INDIRECT("tri!"&amp; CHAR(64+ C0Col) &amp;":"&amp; CHAR(65+C0Col)),2,FALSE)&gt;COUNTIF($E42:X42,"u")+COUNTIF($E42:X42,"t")+COUNTIF($E42:X42,"¶")+COUNTIF($E42:X42,"²")+COUNTIF($E42:X42,"µ")+COUNTIF($E42:X42,1)),
HYPERLINK("#Roadmap!C"&amp; MATCH($E42,Roadmap!$D:$D,0)+COUNTIF($E42:X42,"u")+COUNTIF($E42:X42,"t"),
     INDEX(Roadmap!$D:$K,MATCH($E42,Roadmap!$D:$D,0)+COUNTIF($E42:X42,"u")+COUNTIF($E42:X42,"t")+COUNTIF($E42:X42,"¶")+COUNTIF($E42:X42,"²")+COUNTIF($E42:X42,"µ")+COUNTIF($E42:X42,1),ColTypeEcheance)),
  IF(LEN(X42)=1,
  IF(LEN(INDEX(Roadmap!$D:$K,MATCH($E42,Roadmap!$D:$D,0)-1+COUNTIF($E42:X42,"u")+COUNTIF($E42:X42,"t")+COUNTIF($E42:X42,"¶")+COUNTIF($E42:X42,"²")+COUNTIF($E42:X42,"µ")+COUNTIF($E42:X42,1),ColDescriptionCourte))&gt;1,
HYPERLINK("#Roadmap!C"&amp; MATCH($E42,Roadmap!$D:$D,0)+COUNTIF($E42:X42,"u")+COUNTIF($E42:X42,"t")+COUNTIF($E42:X42,"¶")+COUNTIF($E42:X42,"²")+COUNTIF($E42:X42,"µ")+COUNTIF($E42:X42,1)-1,INDEX(Roadmap!$D:$K,MATCH($E42,Roadmap!$D:$D,0)-1+COUNTIF($E42:X42,"u")+COUNTIF($E42:X42,"t")+COUNTIF($E42:X42,"¶")+COUNTIF($E42:X42,"²")+COUNTIF($E42:X42,"µ")+COUNTIF($E42:X42,1),ColDescriptionCourte)),""),
  "")),"")</f>
        <v/>
      </c>
      <c r="Z42" s="40" t="str">
        <f ca="1">IFERROR(IF(AND(
  INDEX(Roadmap!$D:$K,MATCH($E42,Roadmap!$D:$D,0)+COUNTIF($E42:Y42,"u")+COUNTIF($E42:Y42,"t")+COUNTIF($E42:Y42,"¶")+COUNTIF($E42:Y42,"²")+COUNTIF($E42:Y42,"µ")+COUNTIF($E42:Y42,1),ColLivraison)=Z$6,
  VLOOKUP($E42,INDIRECT("tri!"&amp; CHAR(64+ C0Col) &amp;":"&amp; CHAR(65+C0Col)),2,FALSE)&gt;COUNTIF($E42:Y42,"u")+COUNTIF($E42:Y42,"t")+COUNTIF($E42:Y42,"¶")+COUNTIF($E42:Y42,"²")+COUNTIF($E42:Y42,"µ")+COUNTIF($E42:Y42,1)),
HYPERLINK("#Roadmap!C"&amp; MATCH($E42,Roadmap!$D:$D,0)+COUNTIF($E42:Y42,"u")+COUNTIF($E42:Y42,"t"),
     INDEX(Roadmap!$D:$K,MATCH($E42,Roadmap!$D:$D,0)+COUNTIF($E42:Y42,"u")+COUNTIF($E42:Y42,"t")+COUNTIF($E42:Y42,"¶")+COUNTIF($E42:Y42,"²")+COUNTIF($E42:Y42,"µ")+COUNTIF($E42:Y42,1),ColTypeEcheance)),
  IF(LEN(Y42)=1,
  IF(LEN(INDEX(Roadmap!$D:$K,MATCH($E42,Roadmap!$D:$D,0)-1+COUNTIF($E42:Y42,"u")+COUNTIF($E42:Y42,"t")+COUNTIF($E42:Y42,"¶")+COUNTIF($E42:Y42,"²")+COUNTIF($E42:Y42,"µ")+COUNTIF($E42:Y42,1),ColDescriptionCourte))&gt;1,
HYPERLINK("#Roadmap!C"&amp; MATCH($E42,Roadmap!$D:$D,0)+COUNTIF($E42:Y42,"u")+COUNTIF($E42:Y42,"t")+COUNTIF($E42:Y42,"¶")+COUNTIF($E42:Y42,"²")+COUNTIF($E42:Y42,"µ")+COUNTIF($E42:Y42,1)-1,INDEX(Roadmap!$D:$K,MATCH($E42,Roadmap!$D:$D,0)-1+COUNTIF($E42:Y42,"u")+COUNTIF($E42:Y42,"t")+COUNTIF($E42:Y42,"¶")+COUNTIF($E42:Y42,"²")+COUNTIF($E42:Y42,"µ")+COUNTIF($E42:Y42,1),ColDescriptionCourte)),""),
  "")),"")</f>
        <v/>
      </c>
      <c r="AA42" s="40" t="str">
        <f ca="1">IFERROR(IF(AND(
  INDEX(Roadmap!$D:$K,MATCH($E42,Roadmap!$D:$D,0)+COUNTIF($E42:Z42,"u")+COUNTIF($E42:Z42,"t")+COUNTIF($E42:Z42,"¶")+COUNTIF($E42:Z42,"²")+COUNTIF($E42:Z42,"µ")+COUNTIF($E42:Z42,1),ColLivraison)=AA$6,
  VLOOKUP($E42,INDIRECT("tri!"&amp; CHAR(64+ C0Col) &amp;":"&amp; CHAR(65+C0Col)),2,FALSE)&gt;COUNTIF($E42:Z42,"u")+COUNTIF($E42:Z42,"t")+COUNTIF($E42:Z42,"¶")+COUNTIF($E42:Z42,"²")+COUNTIF($E42:Z42,"µ")+COUNTIF($E42:Z42,1)),
HYPERLINK("#Roadmap!C"&amp; MATCH($E42,Roadmap!$D:$D,0)+COUNTIF($E42:Z42,"u")+COUNTIF($E42:Z42,"t"),
     INDEX(Roadmap!$D:$K,MATCH($E42,Roadmap!$D:$D,0)+COUNTIF($E42:Z42,"u")+COUNTIF($E42:Z42,"t")+COUNTIF($E42:Z42,"¶")+COUNTIF($E42:Z42,"²")+COUNTIF($E42:Z42,"µ")+COUNTIF($E42:Z42,1),ColTypeEcheance)),
  IF(LEN(Z42)=1,
  IF(LEN(INDEX(Roadmap!$D:$K,MATCH($E42,Roadmap!$D:$D,0)-1+COUNTIF($E42:Z42,"u")+COUNTIF($E42:Z42,"t")+COUNTIF($E42:Z42,"¶")+COUNTIF($E42:Z42,"²")+COUNTIF($E42:Z42,"µ")+COUNTIF($E42:Z42,1),ColDescriptionCourte))&gt;1,
HYPERLINK("#Roadmap!C"&amp; MATCH($E42,Roadmap!$D:$D,0)+COUNTIF($E42:Z42,"u")+COUNTIF($E42:Z42,"t")+COUNTIF($E42:Z42,"¶")+COUNTIF($E42:Z42,"²")+COUNTIF($E42:Z42,"µ")+COUNTIF($E42:Z42,1)-1,INDEX(Roadmap!$D:$K,MATCH($E42,Roadmap!$D:$D,0)-1+COUNTIF($E42:Z42,"u")+COUNTIF($E42:Z42,"t")+COUNTIF($E42:Z42,"¶")+COUNTIF($E42:Z42,"²")+COUNTIF($E42:Z42,"µ")+COUNTIF($E42:Z42,1),ColDescriptionCourte)),""),
  "")),"")</f>
        <v/>
      </c>
      <c r="AB42" s="40" t="str">
        <f ca="1">IFERROR(IF(AND(
  INDEX(Roadmap!$D:$K,MATCH($E42,Roadmap!$D:$D,0)+COUNTIF($E42:AA42,"u")+COUNTIF($E42:AA42,"t")+COUNTIF($E42:AA42,"¶")+COUNTIF($E42:AA42,"²")+COUNTIF($E42:AA42,"µ")+COUNTIF($E42:AA42,1),ColLivraison)=AB$6,
  VLOOKUP($E42,INDIRECT("tri!"&amp; CHAR(64+ C0Col) &amp;":"&amp; CHAR(65+C0Col)),2,FALSE)&gt;COUNTIF($E42:AA42,"u")+COUNTIF($E42:AA42,"t")+COUNTIF($E42:AA42,"¶")+COUNTIF($E42:AA42,"²")+COUNTIF($E42:AA42,"µ")+COUNTIF($E42:AA42,1)),
HYPERLINK("#Roadmap!C"&amp; MATCH($E42,Roadmap!$D:$D,0)+COUNTIF($E42:AA42,"u")+COUNTIF($E42:AA42,"t"),
     INDEX(Roadmap!$D:$K,MATCH($E42,Roadmap!$D:$D,0)+COUNTIF($E42:AA42,"u")+COUNTIF($E42:AA42,"t")+COUNTIF($E42:AA42,"¶")+COUNTIF($E42:AA42,"²")+COUNTIF($E42:AA42,"µ")+COUNTIF($E42:AA42,1),ColTypeEcheance)),
  IF(LEN(AA42)=1,
  IF(LEN(INDEX(Roadmap!$D:$K,MATCH($E42,Roadmap!$D:$D,0)-1+COUNTIF($E42:AA42,"u")+COUNTIF($E42:AA42,"t")+COUNTIF($E42:AA42,"¶")+COUNTIF($E42:AA42,"²")+COUNTIF($E42:AA42,"µ")+COUNTIF($E42:AA42,1),ColDescriptionCourte))&gt;1,
HYPERLINK("#Roadmap!C"&amp; MATCH($E42,Roadmap!$D:$D,0)+COUNTIF($E42:AA42,"u")+COUNTIF($E42:AA42,"t")+COUNTIF($E42:AA42,"¶")+COUNTIF($E42:AA42,"²")+COUNTIF($E42:AA42,"µ")+COUNTIF($E42:AA42,1)-1,INDEX(Roadmap!$D:$K,MATCH($E42,Roadmap!$D:$D,0)-1+COUNTIF($E42:AA42,"u")+COUNTIF($E42:AA42,"t")+COUNTIF($E42:AA42,"¶")+COUNTIF($E42:AA42,"²")+COUNTIF($E42:AA42,"µ")+COUNTIF($E42:AA42,1),ColDescriptionCourte)),""),
  "")),"")</f>
        <v/>
      </c>
      <c r="AC42" s="40" t="str">
        <f ca="1">IFERROR(IF(AND(
  INDEX(Roadmap!$D:$K,MATCH($E42,Roadmap!$D:$D,0)+COUNTIF($E42:AB42,"u")+COUNTIF($E42:AB42,"t")+COUNTIF($E42:AB42,"¶")+COUNTIF($E42:AB42,"²")+COUNTIF($E42:AB42,"µ")+COUNTIF($E42:AB42,1),ColLivraison)=AC$6,
  VLOOKUP($E42,INDIRECT("tri!"&amp; CHAR(64+ C0Col) &amp;":"&amp; CHAR(65+C0Col)),2,FALSE)&gt;COUNTIF($E42:AB42,"u")+COUNTIF($E42:AB42,"t")+COUNTIF($E42:AB42,"¶")+COUNTIF($E42:AB42,"²")+COUNTIF($E42:AB42,"µ")+COUNTIF($E42:AB42,1)),
HYPERLINK("#Roadmap!C"&amp; MATCH($E42,Roadmap!$D:$D,0)+COUNTIF($E42:AB42,"u")+COUNTIF($E42:AB42,"t"),
     INDEX(Roadmap!$D:$K,MATCH($E42,Roadmap!$D:$D,0)+COUNTIF($E42:AB42,"u")+COUNTIF($E42:AB42,"t")+COUNTIF($E42:AB42,"¶")+COUNTIF($E42:AB42,"²")+COUNTIF($E42:AB42,"µ")+COUNTIF($E42:AB42,1),ColTypeEcheance)),
  IF(LEN(AB42)=1,
  IF(LEN(INDEX(Roadmap!$D:$K,MATCH($E42,Roadmap!$D:$D,0)-1+COUNTIF($E42:AB42,"u")+COUNTIF($E42:AB42,"t")+COUNTIF($E42:AB42,"¶")+COUNTIF($E42:AB42,"²")+COUNTIF($E42:AB42,"µ")+COUNTIF($E42:AB42,1),ColDescriptionCourte))&gt;1,
HYPERLINK("#Roadmap!C"&amp; MATCH($E42,Roadmap!$D:$D,0)+COUNTIF($E42:AB42,"u")+COUNTIF($E42:AB42,"t")+COUNTIF($E42:AB42,"¶")+COUNTIF($E42:AB42,"²")+COUNTIF($E42:AB42,"µ")+COUNTIF($E42:AB42,1)-1,INDEX(Roadmap!$D:$K,MATCH($E42,Roadmap!$D:$D,0)-1+COUNTIF($E42:AB42,"u")+COUNTIF($E42:AB42,"t")+COUNTIF($E42:AB42,"¶")+COUNTIF($E42:AB42,"²")+COUNTIF($E42:AB42,"µ")+COUNTIF($E42:AB42,1),ColDescriptionCourte)),""),
  "")),"")</f>
        <v/>
      </c>
      <c r="AD42" s="40" t="str">
        <f ca="1">IFERROR(IF(AND(
  INDEX(Roadmap!$D:$K,MATCH($E42,Roadmap!$D:$D,0)+COUNTIF($E42:AC42,"u")+COUNTIF($E42:AC42,"t")+COUNTIF($E42:AC42,"¶")+COUNTIF($E42:AC42,"²")+COUNTIF($E42:AC42,"µ")+COUNTIF($E42:AC42,1),ColLivraison)=AD$6,
  VLOOKUP($E42,INDIRECT("tri!"&amp; CHAR(64+ C0Col) &amp;":"&amp; CHAR(65+C0Col)),2,FALSE)&gt;COUNTIF($E42:AC42,"u")+COUNTIF($E42:AC42,"t")+COUNTIF($E42:AC42,"¶")+COUNTIF($E42:AC42,"²")+COUNTIF($E42:AC42,"µ")+COUNTIF($E42:AC42,1)),
HYPERLINK("#Roadmap!C"&amp; MATCH($E42,Roadmap!$D:$D,0)+COUNTIF($E42:AC42,"u")+COUNTIF($E42:AC42,"t"),
     INDEX(Roadmap!$D:$K,MATCH($E42,Roadmap!$D:$D,0)+COUNTIF($E42:AC42,"u")+COUNTIF($E42:AC42,"t")+COUNTIF($E42:AC42,"¶")+COUNTIF($E42:AC42,"²")+COUNTIF($E42:AC42,"µ")+COUNTIF($E42:AC42,1),ColTypeEcheance)),
  IF(LEN(AC42)=1,
  IF(LEN(INDEX(Roadmap!$D:$K,MATCH($E42,Roadmap!$D:$D,0)-1+COUNTIF($E42:AC42,"u")+COUNTIF($E42:AC42,"t")+COUNTIF($E42:AC42,"¶")+COUNTIF($E42:AC42,"²")+COUNTIF($E42:AC42,"µ")+COUNTIF($E42:AC42,1),ColDescriptionCourte))&gt;1,
HYPERLINK("#Roadmap!C"&amp; MATCH($E42,Roadmap!$D:$D,0)+COUNTIF($E42:AC42,"u")+COUNTIF($E42:AC42,"t")+COUNTIF($E42:AC42,"¶")+COUNTIF($E42:AC42,"²")+COUNTIF($E42:AC42,"µ")+COUNTIF($E42:AC42,1)-1,INDEX(Roadmap!$D:$K,MATCH($E42,Roadmap!$D:$D,0)-1+COUNTIF($E42:AC42,"u")+COUNTIF($E42:AC42,"t")+COUNTIF($E42:AC42,"¶")+COUNTIF($E42:AC42,"²")+COUNTIF($E42:AC42,"µ")+COUNTIF($E42:AC42,1),ColDescriptionCourte)),""),
  "")),"")</f>
        <v/>
      </c>
      <c r="AE42" s="40" t="str">
        <f ca="1">IFERROR(IF(AND(
  INDEX(Roadmap!$D:$K,MATCH($E42,Roadmap!$D:$D,0)+COUNTIF($E42:AD42,"u")+COUNTIF($E42:AD42,"t")+COUNTIF($E42:AD42,"¶")+COUNTIF($E42:AD42,"²")+COUNTIF($E42:AD42,"µ")+COUNTIF($E42:AD42,1),ColLivraison)=AE$6,
  VLOOKUP($E42,INDIRECT("tri!"&amp; CHAR(64+ C0Col) &amp;":"&amp; CHAR(65+C0Col)),2,FALSE)&gt;COUNTIF($E42:AD42,"u")+COUNTIF($E42:AD42,"t")+COUNTIF($E42:AD42,"¶")+COUNTIF($E42:AD42,"²")+COUNTIF($E42:AD42,"µ")+COUNTIF($E42:AD42,1)),
HYPERLINK("#Roadmap!C"&amp; MATCH($E42,Roadmap!$D:$D,0)+COUNTIF($E42:AD42,"u")+COUNTIF($E42:AD42,"t"),
     INDEX(Roadmap!$D:$K,MATCH($E42,Roadmap!$D:$D,0)+COUNTIF($E42:AD42,"u")+COUNTIF($E42:AD42,"t")+COUNTIF($E42:AD42,"¶")+COUNTIF($E42:AD42,"²")+COUNTIF($E42:AD42,"µ")+COUNTIF($E42:AD42,1),ColTypeEcheance)),
  IF(LEN(AD42)=1,
  IF(LEN(INDEX(Roadmap!$D:$K,MATCH($E42,Roadmap!$D:$D,0)-1+COUNTIF($E42:AD42,"u")+COUNTIF($E42:AD42,"t")+COUNTIF($E42:AD42,"¶")+COUNTIF($E42:AD42,"²")+COUNTIF($E42:AD42,"µ")+COUNTIF($E42:AD42,1),ColDescriptionCourte))&gt;1,
HYPERLINK("#Roadmap!C"&amp; MATCH($E42,Roadmap!$D:$D,0)+COUNTIF($E42:AD42,"u")+COUNTIF($E42:AD42,"t")+COUNTIF($E42:AD42,"¶")+COUNTIF($E42:AD42,"²")+COUNTIF($E42:AD42,"µ")+COUNTIF($E42:AD42,1)-1,INDEX(Roadmap!$D:$K,MATCH($E42,Roadmap!$D:$D,0)-1+COUNTIF($E42:AD42,"u")+COUNTIF($E42:AD42,"t")+COUNTIF($E42:AD42,"¶")+COUNTIF($E42:AD42,"²")+COUNTIF($E42:AD42,"µ")+COUNTIF($E42:AD42,1),ColDescriptionCourte)),""),
  "")),"")</f>
        <v/>
      </c>
      <c r="AF42" s="40" t="str">
        <f ca="1">IFERROR(IF(AND(
  INDEX(Roadmap!$D:$K,MATCH($E42,Roadmap!$D:$D,0)+COUNTIF($E42:AE42,"u")+COUNTIF($E42:AE42,"t")+COUNTIF($E42:AE42,"¶")+COUNTIF($E42:AE42,"²")+COUNTIF($E42:AE42,"µ")+COUNTIF($E42:AE42,1),ColLivraison)=AF$6,
  VLOOKUP($E42,INDIRECT("tri!"&amp; CHAR(64+ C0Col) &amp;":"&amp; CHAR(65+C0Col)),2,FALSE)&gt;COUNTIF($E42:AE42,"u")+COUNTIF($E42:AE42,"t")+COUNTIF($E42:AE42,"¶")+COUNTIF($E42:AE42,"²")+COUNTIF($E42:AE42,"µ")+COUNTIF($E42:AE42,1)),
HYPERLINK("#Roadmap!C"&amp; MATCH($E42,Roadmap!$D:$D,0)+COUNTIF($E42:AE42,"u")+COUNTIF($E42:AE42,"t"),
     INDEX(Roadmap!$D:$K,MATCH($E42,Roadmap!$D:$D,0)+COUNTIF($E42:AE42,"u")+COUNTIF($E42:AE42,"t")+COUNTIF($E42:AE42,"¶")+COUNTIF($E42:AE42,"²")+COUNTIF($E42:AE42,"µ")+COUNTIF($E42:AE42,1),ColTypeEcheance)),
  IF(LEN(AE42)=1,
  IF(LEN(INDEX(Roadmap!$D:$K,MATCH($E42,Roadmap!$D:$D,0)-1+COUNTIF($E42:AE42,"u")+COUNTIF($E42:AE42,"t")+COUNTIF($E42:AE42,"¶")+COUNTIF($E42:AE42,"²")+COUNTIF($E42:AE42,"µ")+COUNTIF($E42:AE42,1),ColDescriptionCourte))&gt;1,
HYPERLINK("#Roadmap!C"&amp; MATCH($E42,Roadmap!$D:$D,0)+COUNTIF($E42:AE42,"u")+COUNTIF($E42:AE42,"t")+COUNTIF($E42:AE42,"¶")+COUNTIF($E42:AE42,"²")+COUNTIF($E42:AE42,"µ")+COUNTIF($E42:AE42,1)-1,INDEX(Roadmap!$D:$K,MATCH($E42,Roadmap!$D:$D,0)-1+COUNTIF($E42:AE42,"u")+COUNTIF($E42:AE42,"t")+COUNTIF($E42:AE42,"¶")+COUNTIF($E42:AE42,"²")+COUNTIF($E42:AE42,"µ")+COUNTIF($E42:AE42,1),ColDescriptionCourte)),""),
  "")),"")</f>
        <v/>
      </c>
      <c r="AG42" s="40" t="str">
        <f ca="1">IFERROR(IF(AND(
  INDEX(Roadmap!$D:$K,MATCH($E42,Roadmap!$D:$D,0)+COUNTIF($E42:AF42,"u")+COUNTIF($E42:AF42,"t")+COUNTIF($E42:AF42,"¶")+COUNTIF($E42:AF42,"²")+COUNTIF($E42:AF42,"µ")+COUNTIF($E42:AF42,1),ColLivraison)=AG$6,
  VLOOKUP($E42,INDIRECT("tri!"&amp; CHAR(64+ C0Col) &amp;":"&amp; CHAR(65+C0Col)),2,FALSE)&gt;COUNTIF($E42:AF42,"u")+COUNTIF($E42:AF42,"t")+COUNTIF($E42:AF42,"¶")+COUNTIF($E42:AF42,"²")+COUNTIF($E42:AF42,"µ")+COUNTIF($E42:AF42,1)),
HYPERLINK("#Roadmap!C"&amp; MATCH($E42,Roadmap!$D:$D,0)+COUNTIF($E42:AF42,"u")+COUNTIF($E42:AF42,"t"),
     INDEX(Roadmap!$D:$K,MATCH($E42,Roadmap!$D:$D,0)+COUNTIF($E42:AF42,"u")+COUNTIF($E42:AF42,"t")+COUNTIF($E42:AF42,"¶")+COUNTIF($E42:AF42,"²")+COUNTIF($E42:AF42,"µ")+COUNTIF($E42:AF42,1),ColTypeEcheance)),
  IF(LEN(AF42)=1,
  IF(LEN(INDEX(Roadmap!$D:$K,MATCH($E42,Roadmap!$D:$D,0)-1+COUNTIF($E42:AF42,"u")+COUNTIF($E42:AF42,"t")+COUNTIF($E42:AF42,"¶")+COUNTIF($E42:AF42,"²")+COUNTIF($E42:AF42,"µ")+COUNTIF($E42:AF42,1),ColDescriptionCourte))&gt;1,
HYPERLINK("#Roadmap!C"&amp; MATCH($E42,Roadmap!$D:$D,0)+COUNTIF($E42:AF42,"u")+COUNTIF($E42:AF42,"t")+COUNTIF($E42:AF42,"¶")+COUNTIF($E42:AF42,"²")+COUNTIF($E42:AF42,"µ")+COUNTIF($E42:AF42,1)-1,INDEX(Roadmap!$D:$K,MATCH($E42,Roadmap!$D:$D,0)-1+COUNTIF($E42:AF42,"u")+COUNTIF($E42:AF42,"t")+COUNTIF($E42:AF42,"¶")+COUNTIF($E42:AF42,"²")+COUNTIF($E42:AF42,"µ")+COUNTIF($E42:AF42,1),ColDescriptionCourte)),""),
  "")),"")</f>
        <v/>
      </c>
    </row>
    <row r="43" spans="3:33" ht="14.25" customHeight="1">
      <c r="C43" s="1" t="str">
        <f t="shared" ca="1" si="44"/>
        <v/>
      </c>
      <c r="D43" s="1" t="str">
        <f t="shared" ca="1" si="45"/>
        <v/>
      </c>
      <c r="E43" s="35" t="str">
        <f t="shared" ca="1" si="33"/>
        <v/>
      </c>
      <c r="F43" s="39" t="str">
        <f ca="1">IFERROR(IF(AND(
  INDEX(Roadmap!$D:$K,MATCH($E43,Roadmap!$D:$D,0)+COUNTIF($E43:E43,"u")+COUNTIF($E43:E43,"t")+COUNTIF($E43:E43,"¶")+COUNTIF($E43:E43,"²")+COUNTIF($E43:E43,"µ")+COUNTIF($E43:E43,1),ColLivraison)=F$6,
  VLOOKUP($E43,INDIRECT("tri!"&amp; CHAR(64+ C0Col) &amp;":"&amp; CHAR(65+C0Col)),2,FALSE)&gt;COUNTIF($E43:E43,"u")+COUNTIF($E43:E43,"t")+COUNTIF($E43:E43,"¶")+COUNTIF($E43:E43,"²")+COUNTIF($E43:E43,"µ")+COUNTIF($E43:E43,1)),
HYPERLINK("#Roadmap!C"&amp; MATCH($E43,Roadmap!$D:$D,0)+COUNTIF($E43:E43,"u")+COUNTIF($E43:E43,"t"),
     INDEX(Roadmap!$D:$K,MATCH($E43,Roadmap!$D:$D,0)+COUNTIF($E43:E43,"u")+COUNTIF($E43:E43,"t")+COUNTIF($E43:E43,"¶")+COUNTIF($E43:E43,"²")+COUNTIF($E43:E43,"µ")+COUNTIF($E43:E43,1),ColTypeEcheance)),
  IF(LEN(E43)=1,
  IF(LEN(INDEX(Roadmap!$D:$K,MATCH($E43,Roadmap!$D:$D,0)-1+COUNTIF($E43:E43,"u")+COUNTIF($E43:E43,"t")+COUNTIF($E43:E43,"¶")+COUNTIF($E43:E43,"²")+COUNTIF($E43:E43,"µ")+COUNTIF($E43:E43,1),ColDescriptionCourte))&gt;1,
HYPERLINK("#Roadmap!C"&amp; MATCH($E43,Roadmap!$D:$D,0)+COUNTIF($E43:E43,"u")+COUNTIF($E43:E43,"t")+COUNTIF($E43:E43,"¶")+COUNTIF($E43:E43,"²")+COUNTIF($E43:E43,"µ")+COUNTIF($E43:E43,1)-1,INDEX(Roadmap!$D:$K,MATCH($E43,Roadmap!$D:$D,0)-1+COUNTIF($E43:E43,"u")+COUNTIF($E43:E43,"t")+COUNTIF($E43:E43,"¶")+COUNTIF($E43:E43,"²")+COUNTIF($E43:E43,"µ")+COUNTIF($E43:E43,1),ColDescriptionCourte)),""),
  "")),"")</f>
        <v/>
      </c>
      <c r="G43" s="40" t="str">
        <f ca="1">IFERROR(IF(AND(
  INDEX(Roadmap!$D:$K,MATCH($E43,Roadmap!$D:$D,0)+COUNTIF($E43:F43,"u")+COUNTIF($E43:F43,"t")+COUNTIF($E43:F43,"¶")+COUNTIF($E43:F43,"²")+COUNTIF($E43:F43,"µ")+COUNTIF($E43:F43,1),ColLivraison)=G$6,
  VLOOKUP($E43,INDIRECT("tri!"&amp; CHAR(64+ C0Col) &amp;":"&amp; CHAR(65+C0Col)),2,FALSE)&gt;COUNTIF($E43:F43,"u")+COUNTIF($E43:F43,"t")+COUNTIF($E43:F43,"¶")+COUNTIF($E43:F43,"²")+COUNTIF($E43:F43,"µ")+COUNTIF($E43:F43,1)),
HYPERLINK("#Roadmap!C"&amp; MATCH($E43,Roadmap!$D:$D,0)+COUNTIF($E43:F43,"u")+COUNTIF($E43:F43,"t"),
     INDEX(Roadmap!$D:$K,MATCH($E43,Roadmap!$D:$D,0)+COUNTIF($E43:F43,"u")+COUNTIF($E43:F43,"t")+COUNTIF($E43:F43,"¶")+COUNTIF($E43:F43,"²")+COUNTIF($E43:F43,"µ")+COUNTIF($E43:F43,1),ColTypeEcheance)),
  IF(LEN(F43)=1,
  IF(LEN(INDEX(Roadmap!$D:$K,MATCH($E43,Roadmap!$D:$D,0)-1+COUNTIF($E43:F43,"u")+COUNTIF($E43:F43,"t")+COUNTIF($E43:F43,"¶")+COUNTIF($E43:F43,"²")+COUNTIF($E43:F43,"µ")+COUNTIF($E43:F43,1),ColDescriptionCourte))&gt;1,
HYPERLINK("#Roadmap!C"&amp; MATCH($E43,Roadmap!$D:$D,0)+COUNTIF($E43:F43,"u")+COUNTIF($E43:F43,"t")+COUNTIF($E43:F43,"¶")+COUNTIF($E43:F43,"²")+COUNTIF($E43:F43,"µ")+COUNTIF($E43:F43,1)-1,INDEX(Roadmap!$D:$K,MATCH($E43,Roadmap!$D:$D,0)-1+COUNTIF($E43:F43,"u")+COUNTIF($E43:F43,"t")+COUNTIF($E43:F43,"¶")+COUNTIF($E43:F43,"²")+COUNTIF($E43:F43,"µ")+COUNTIF($E43:F43,1),ColDescriptionCourte)),""),
  "")),"")</f>
        <v/>
      </c>
      <c r="H43" s="40" t="str">
        <f ca="1">IFERROR(IF(AND(
  INDEX(Roadmap!$D:$K,MATCH($E43,Roadmap!$D:$D,0)+COUNTIF($E43:G43,"u")+COUNTIF($E43:G43,"t")+COUNTIF($E43:G43,"¶")+COUNTIF($E43:G43,"²")+COUNTIF($E43:G43,"µ")+COUNTIF($E43:G43,1),ColLivraison)=H$6,
  VLOOKUP($E43,INDIRECT("tri!"&amp; CHAR(64+ C0Col) &amp;":"&amp; CHAR(65+C0Col)),2,FALSE)&gt;COUNTIF($E43:G43,"u")+COUNTIF($E43:G43,"t")+COUNTIF($E43:G43,"¶")+COUNTIF($E43:G43,"²")+COUNTIF($E43:G43,"µ")+COUNTIF($E43:G43,1)),
HYPERLINK("#Roadmap!C"&amp; MATCH($E43,Roadmap!$D:$D,0)+COUNTIF($E43:G43,"u")+COUNTIF($E43:G43,"t"),
     INDEX(Roadmap!$D:$K,MATCH($E43,Roadmap!$D:$D,0)+COUNTIF($E43:G43,"u")+COUNTIF($E43:G43,"t")+COUNTIF($E43:G43,"¶")+COUNTIF($E43:G43,"²")+COUNTIF($E43:G43,"µ")+COUNTIF($E43:G43,1),ColTypeEcheance)),
  IF(LEN(G43)=1,
  IF(LEN(INDEX(Roadmap!$D:$K,MATCH($E43,Roadmap!$D:$D,0)-1+COUNTIF($E43:G43,"u")+COUNTIF($E43:G43,"t")+COUNTIF($E43:G43,"¶")+COUNTIF($E43:G43,"²")+COUNTIF($E43:G43,"µ")+COUNTIF($E43:G43,1),ColDescriptionCourte))&gt;1,
HYPERLINK("#Roadmap!C"&amp; MATCH($E43,Roadmap!$D:$D,0)+COUNTIF($E43:G43,"u")+COUNTIF($E43:G43,"t")+COUNTIF($E43:G43,"¶")+COUNTIF($E43:G43,"²")+COUNTIF($E43:G43,"µ")+COUNTIF($E43:G43,1)-1,INDEX(Roadmap!$D:$K,MATCH($E43,Roadmap!$D:$D,0)-1+COUNTIF($E43:G43,"u")+COUNTIF($E43:G43,"t")+COUNTIF($E43:G43,"¶")+COUNTIF($E43:G43,"²")+COUNTIF($E43:G43,"µ")+COUNTIF($E43:G43,1),ColDescriptionCourte)),""),
  "")),"")</f>
        <v/>
      </c>
      <c r="I43" s="40" t="str">
        <f ca="1">IFERROR(IF(AND(
  INDEX(Roadmap!$D:$K,MATCH($E43,Roadmap!$D:$D,0)+COUNTIF($E43:H43,"u")+COUNTIF($E43:H43,"t")+COUNTIF($E43:H43,"¶")+COUNTIF($E43:H43,"²")+COUNTIF($E43:H43,"µ")+COUNTIF($E43:H43,1),ColLivraison)=I$6,
  VLOOKUP($E43,INDIRECT("tri!"&amp; CHAR(64+ C0Col) &amp;":"&amp; CHAR(65+C0Col)),2,FALSE)&gt;COUNTIF($E43:H43,"u")+COUNTIF($E43:H43,"t")+COUNTIF($E43:H43,"¶")+COUNTIF($E43:H43,"²")+COUNTIF($E43:H43,"µ")+COUNTIF($E43:H43,1)),
HYPERLINK("#Roadmap!C"&amp; MATCH($E43,Roadmap!$D:$D,0)+COUNTIF($E43:H43,"u")+COUNTIF($E43:H43,"t"),
     INDEX(Roadmap!$D:$K,MATCH($E43,Roadmap!$D:$D,0)+COUNTIF($E43:H43,"u")+COUNTIF($E43:H43,"t")+COUNTIF($E43:H43,"¶")+COUNTIF($E43:H43,"²")+COUNTIF($E43:H43,"µ")+COUNTIF($E43:H43,1),ColTypeEcheance)),
  IF(LEN(H43)=1,
  IF(LEN(INDEX(Roadmap!$D:$K,MATCH($E43,Roadmap!$D:$D,0)-1+COUNTIF($E43:H43,"u")+COUNTIF($E43:H43,"t")+COUNTIF($E43:H43,"¶")+COUNTIF($E43:H43,"²")+COUNTIF($E43:H43,"µ")+COUNTIF($E43:H43,1),ColDescriptionCourte))&gt;1,
HYPERLINK("#Roadmap!C"&amp; MATCH($E43,Roadmap!$D:$D,0)+COUNTIF($E43:H43,"u")+COUNTIF($E43:H43,"t")+COUNTIF($E43:H43,"¶")+COUNTIF($E43:H43,"²")+COUNTIF($E43:H43,"µ")+COUNTIF($E43:H43,1)-1,INDEX(Roadmap!$D:$K,MATCH($E43,Roadmap!$D:$D,0)-1+COUNTIF($E43:H43,"u")+COUNTIF($E43:H43,"t")+COUNTIF($E43:H43,"¶")+COUNTIF($E43:H43,"²")+COUNTIF($E43:H43,"µ")+COUNTIF($E43:H43,1),ColDescriptionCourte)),""),
  "")),"")</f>
        <v/>
      </c>
      <c r="J43" s="40" t="str">
        <f ca="1">IFERROR(IF(AND(
  INDEX(Roadmap!$D:$K,MATCH($E43,Roadmap!$D:$D,0)+COUNTIF($E43:I43,"u")+COUNTIF($E43:I43,"t")+COUNTIF($E43:I43,"¶")+COUNTIF($E43:I43,"²")+COUNTIF($E43:I43,"µ")+COUNTIF($E43:I43,1),ColLivraison)=J$6,
  VLOOKUP($E43,INDIRECT("tri!"&amp; CHAR(64+ C0Col) &amp;":"&amp; CHAR(65+C0Col)),2,FALSE)&gt;COUNTIF($E43:I43,"u")+COUNTIF($E43:I43,"t")+COUNTIF($E43:I43,"¶")+COUNTIF($E43:I43,"²")+COUNTIF($E43:I43,"µ")+COUNTIF($E43:I43,1)),
HYPERLINK("#Roadmap!C"&amp; MATCH($E43,Roadmap!$D:$D,0)+COUNTIF($E43:I43,"u")+COUNTIF($E43:I43,"t"),
     INDEX(Roadmap!$D:$K,MATCH($E43,Roadmap!$D:$D,0)+COUNTIF($E43:I43,"u")+COUNTIF($E43:I43,"t")+COUNTIF($E43:I43,"¶")+COUNTIF($E43:I43,"²")+COUNTIF($E43:I43,"µ")+COUNTIF($E43:I43,1),ColTypeEcheance)),
  IF(LEN(I43)=1,
  IF(LEN(INDEX(Roadmap!$D:$K,MATCH($E43,Roadmap!$D:$D,0)-1+COUNTIF($E43:I43,"u")+COUNTIF($E43:I43,"t")+COUNTIF($E43:I43,"¶")+COUNTIF($E43:I43,"²")+COUNTIF($E43:I43,"µ")+COUNTIF($E43:I43,1),ColDescriptionCourte))&gt;1,
HYPERLINK("#Roadmap!C"&amp; MATCH($E43,Roadmap!$D:$D,0)+COUNTIF($E43:I43,"u")+COUNTIF($E43:I43,"t")+COUNTIF($E43:I43,"¶")+COUNTIF($E43:I43,"²")+COUNTIF($E43:I43,"µ")+COUNTIF($E43:I43,1)-1,INDEX(Roadmap!$D:$K,MATCH($E43,Roadmap!$D:$D,0)-1+COUNTIF($E43:I43,"u")+COUNTIF($E43:I43,"t")+COUNTIF($E43:I43,"¶")+COUNTIF($E43:I43,"²")+COUNTIF($E43:I43,"µ")+COUNTIF($E43:I43,1),ColDescriptionCourte)),""),
  "")),"")</f>
        <v/>
      </c>
      <c r="K43" s="40" t="str">
        <f ca="1">IFERROR(IF(AND(
  INDEX(Roadmap!$D:$K,MATCH($E43,Roadmap!$D:$D,0)+COUNTIF($E43:J43,"u")+COUNTIF($E43:J43,"t")+COUNTIF($E43:J43,"¶")+COUNTIF($E43:J43,"²")+COUNTIF($E43:J43,"µ")+COUNTIF($E43:J43,1),ColLivraison)=K$6,
  VLOOKUP($E43,INDIRECT("tri!"&amp; CHAR(64+ C0Col) &amp;":"&amp; CHAR(65+C0Col)),2,FALSE)&gt;COUNTIF($E43:J43,"u")+COUNTIF($E43:J43,"t")+COUNTIF($E43:J43,"¶")+COUNTIF($E43:J43,"²")+COUNTIF($E43:J43,"µ")+COUNTIF($E43:J43,1)),
HYPERLINK("#Roadmap!C"&amp; MATCH($E43,Roadmap!$D:$D,0)+COUNTIF($E43:J43,"u")+COUNTIF($E43:J43,"t"),
     INDEX(Roadmap!$D:$K,MATCH($E43,Roadmap!$D:$D,0)+COUNTIF($E43:J43,"u")+COUNTIF($E43:J43,"t")+COUNTIF($E43:J43,"¶")+COUNTIF($E43:J43,"²")+COUNTIF($E43:J43,"µ")+COUNTIF($E43:J43,1),ColTypeEcheance)),
  IF(LEN(J43)=1,
  IF(LEN(INDEX(Roadmap!$D:$K,MATCH($E43,Roadmap!$D:$D,0)-1+COUNTIF($E43:J43,"u")+COUNTIF($E43:J43,"t")+COUNTIF($E43:J43,"¶")+COUNTIF($E43:J43,"²")+COUNTIF($E43:J43,"µ")+COUNTIF($E43:J43,1),ColDescriptionCourte))&gt;1,
HYPERLINK("#Roadmap!C"&amp; MATCH($E43,Roadmap!$D:$D,0)+COUNTIF($E43:J43,"u")+COUNTIF($E43:J43,"t")+COUNTIF($E43:J43,"¶")+COUNTIF($E43:J43,"²")+COUNTIF($E43:J43,"µ")+COUNTIF($E43:J43,1)-1,INDEX(Roadmap!$D:$K,MATCH($E43,Roadmap!$D:$D,0)-1+COUNTIF($E43:J43,"u")+COUNTIF($E43:J43,"t")+COUNTIF($E43:J43,"¶")+COUNTIF($E43:J43,"²")+COUNTIF($E43:J43,"µ")+COUNTIF($E43:J43,1),ColDescriptionCourte)),""),
  "")),"")</f>
        <v/>
      </c>
      <c r="L43" s="39" t="str">
        <f ca="1">IFERROR(IF(AND(
  INDEX(Roadmap!$D:$K,MATCH($E43,Roadmap!$D:$D,0)+COUNTIF($E43:K43,"u")+COUNTIF($E43:K43,"t")+COUNTIF($E43:K43,"¶")+COUNTIF($E43:K43,"²")+COUNTIF($E43:K43,"µ")+COUNTIF($E43:K43,1),ColLivraison)=L$6,
  VLOOKUP($E43,INDIRECT("tri!"&amp; CHAR(64+ C0Col) &amp;":"&amp; CHAR(65+C0Col)),2,FALSE)&gt;COUNTIF($E43:K43,"u")+COUNTIF($E43:K43,"t")+COUNTIF($E43:K43,"¶")+COUNTIF($E43:K43,"²")+COUNTIF($E43:K43,"µ")+COUNTIF($E43:K43,1)),
HYPERLINK("#Roadmap!C"&amp; MATCH($E43,Roadmap!$D:$D,0)+COUNTIF($E43:K43,"u")+COUNTIF($E43:K43,"t"),
     INDEX(Roadmap!$D:$K,MATCH($E43,Roadmap!$D:$D,0)+COUNTIF($E43:K43,"u")+COUNTIF($E43:K43,"t")+COUNTIF($E43:K43,"¶")+COUNTIF($E43:K43,"²")+COUNTIF($E43:K43,"µ")+COUNTIF($E43:K43,1),ColTypeEcheance)),
  IF(LEN(K43)=1,
  IF(LEN(INDEX(Roadmap!$D:$K,MATCH($E43,Roadmap!$D:$D,0)-1+COUNTIF($E43:K43,"u")+COUNTIF($E43:K43,"t")+COUNTIF($E43:K43,"¶")+COUNTIF($E43:K43,"²")+COUNTIF($E43:K43,"µ")+COUNTIF($E43:K43,1),ColDescriptionCourte))&gt;1,
HYPERLINK("#Roadmap!C"&amp; MATCH($E43,Roadmap!$D:$D,0)+COUNTIF($E43:K43,"u")+COUNTIF($E43:K43,"t")+COUNTIF($E43:K43,"¶")+COUNTIF($E43:K43,"²")+COUNTIF($E43:K43,"µ")+COUNTIF($E43:K43,1)-1,INDEX(Roadmap!$D:$K,MATCH($E43,Roadmap!$D:$D,0)-1+COUNTIF($E43:K43,"u")+COUNTIF($E43:K43,"t")+COUNTIF($E43:K43,"¶")+COUNTIF($E43:K43,"²")+COUNTIF($E43:K43,"µ")+COUNTIF($E43:K43,1),ColDescriptionCourte)),""),
  "")),"")</f>
        <v/>
      </c>
      <c r="M43" s="40" t="str">
        <f ca="1">IFERROR(IF(AND(
  INDEX(Roadmap!$D:$K,MATCH($E43,Roadmap!$D:$D,0)+COUNTIF($E43:L43,"u")+COUNTIF($E43:L43,"t")+COUNTIF($E43:L43,"¶")+COUNTIF($E43:L43,"²")+COUNTIF($E43:L43,"µ")+COUNTIF($E43:L43,1),ColLivraison)=M$6,
  VLOOKUP($E43,INDIRECT("tri!"&amp; CHAR(64+ C0Col) &amp;":"&amp; CHAR(65+C0Col)),2,FALSE)&gt;COUNTIF($E43:L43,"u")+COUNTIF($E43:L43,"t")+COUNTIF($E43:L43,"¶")+COUNTIF($E43:L43,"²")+COUNTIF($E43:L43,"µ")+COUNTIF($E43:L43,1)),
HYPERLINK("#Roadmap!C"&amp; MATCH($E43,Roadmap!$D:$D,0)+COUNTIF($E43:L43,"u")+COUNTIF($E43:L43,"t"),
     INDEX(Roadmap!$D:$K,MATCH($E43,Roadmap!$D:$D,0)+COUNTIF($E43:L43,"u")+COUNTIF($E43:L43,"t")+COUNTIF($E43:L43,"¶")+COUNTIF($E43:L43,"²")+COUNTIF($E43:L43,"µ")+COUNTIF($E43:L43,1),ColTypeEcheance)),
  IF(LEN(L43)=1,
  IF(LEN(INDEX(Roadmap!$D:$K,MATCH($E43,Roadmap!$D:$D,0)-1+COUNTIF($E43:L43,"u")+COUNTIF($E43:L43,"t")+COUNTIF($E43:L43,"¶")+COUNTIF($E43:L43,"²")+COUNTIF($E43:L43,"µ")+COUNTIF($E43:L43,1),ColDescriptionCourte))&gt;1,
HYPERLINK("#Roadmap!C"&amp; MATCH($E43,Roadmap!$D:$D,0)+COUNTIF($E43:L43,"u")+COUNTIF($E43:L43,"t")+COUNTIF($E43:L43,"¶")+COUNTIF($E43:L43,"²")+COUNTIF($E43:L43,"µ")+COUNTIF($E43:L43,1)-1,INDEX(Roadmap!$D:$K,MATCH($E43,Roadmap!$D:$D,0)-1+COUNTIF($E43:L43,"u")+COUNTIF($E43:L43,"t")+COUNTIF($E43:L43,"¶")+COUNTIF($E43:L43,"²")+COUNTIF($E43:L43,"µ")+COUNTIF($E43:L43,1),ColDescriptionCourte)),""),
  "")),"")</f>
        <v/>
      </c>
      <c r="N43" s="40" t="str">
        <f ca="1">IFERROR(IF(AND(
  INDEX(Roadmap!$D:$K,MATCH($E43,Roadmap!$D:$D,0)+COUNTIF($E43:M43,"u")+COUNTIF($E43:M43,"t")+COUNTIF($E43:M43,"¶")+COUNTIF($E43:M43,"²")+COUNTIF($E43:M43,"µ")+COUNTIF($E43:M43,1),ColLivraison)=N$6,
  VLOOKUP($E43,INDIRECT("tri!"&amp; CHAR(64+ C0Col) &amp;":"&amp; CHAR(65+C0Col)),2,FALSE)&gt;COUNTIF($E43:M43,"u")+COUNTIF($E43:M43,"t")+COUNTIF($E43:M43,"¶")+COUNTIF($E43:M43,"²")+COUNTIF($E43:M43,"µ")+COUNTIF($E43:M43,1)),
HYPERLINK("#Roadmap!C"&amp; MATCH($E43,Roadmap!$D:$D,0)+COUNTIF($E43:M43,"u")+COUNTIF($E43:M43,"t"),
     INDEX(Roadmap!$D:$K,MATCH($E43,Roadmap!$D:$D,0)+COUNTIF($E43:M43,"u")+COUNTIF($E43:M43,"t")+COUNTIF($E43:M43,"¶")+COUNTIF($E43:M43,"²")+COUNTIF($E43:M43,"µ")+COUNTIF($E43:M43,1),ColTypeEcheance)),
  IF(LEN(M43)=1,
  IF(LEN(INDEX(Roadmap!$D:$K,MATCH($E43,Roadmap!$D:$D,0)-1+COUNTIF($E43:M43,"u")+COUNTIF($E43:M43,"t")+COUNTIF($E43:M43,"¶")+COUNTIF($E43:M43,"²")+COUNTIF($E43:M43,"µ")+COUNTIF($E43:M43,1),ColDescriptionCourte))&gt;1,
HYPERLINK("#Roadmap!C"&amp; MATCH($E43,Roadmap!$D:$D,0)+COUNTIF($E43:M43,"u")+COUNTIF($E43:M43,"t")+COUNTIF($E43:M43,"¶")+COUNTIF($E43:M43,"²")+COUNTIF($E43:M43,"µ")+COUNTIF($E43:M43,1)-1,INDEX(Roadmap!$D:$K,MATCH($E43,Roadmap!$D:$D,0)-1+COUNTIF($E43:M43,"u")+COUNTIF($E43:M43,"t")+COUNTIF($E43:M43,"¶")+COUNTIF($E43:M43,"²")+COUNTIF($E43:M43,"µ")+COUNTIF($E43:M43,1),ColDescriptionCourte)),""),
  "")),"")</f>
        <v/>
      </c>
      <c r="O43" s="40" t="str">
        <f ca="1">IFERROR(IF(AND(
  INDEX(Roadmap!$D:$K,MATCH($E43,Roadmap!$D:$D,0)+COUNTIF($E43:N43,"u")+COUNTIF($E43:N43,"t")+COUNTIF($E43:N43,"¶")+COUNTIF($E43:N43,"²")+COUNTIF($E43:N43,"µ")+COUNTIF($E43:N43,1),ColLivraison)=O$6,
  VLOOKUP($E43,INDIRECT("tri!"&amp; CHAR(64+ C0Col) &amp;":"&amp; CHAR(65+C0Col)),2,FALSE)&gt;COUNTIF($E43:N43,"u")+COUNTIF($E43:N43,"t")+COUNTIF($E43:N43,"¶")+COUNTIF($E43:N43,"²")+COUNTIF($E43:N43,"µ")+COUNTIF($E43:N43,1)),
HYPERLINK("#Roadmap!C"&amp; MATCH($E43,Roadmap!$D:$D,0)+COUNTIF($E43:N43,"u")+COUNTIF($E43:N43,"t"),
     INDEX(Roadmap!$D:$K,MATCH($E43,Roadmap!$D:$D,0)+COUNTIF($E43:N43,"u")+COUNTIF($E43:N43,"t")+COUNTIF($E43:N43,"¶")+COUNTIF($E43:N43,"²")+COUNTIF($E43:N43,"µ")+COUNTIF($E43:N43,1),ColTypeEcheance)),
  IF(LEN(N43)=1,
  IF(LEN(INDEX(Roadmap!$D:$K,MATCH($E43,Roadmap!$D:$D,0)-1+COUNTIF($E43:N43,"u")+COUNTIF($E43:N43,"t")+COUNTIF($E43:N43,"¶")+COUNTIF($E43:N43,"²")+COUNTIF($E43:N43,"µ")+COUNTIF($E43:N43,1),ColDescriptionCourte))&gt;1,
HYPERLINK("#Roadmap!C"&amp; MATCH($E43,Roadmap!$D:$D,0)+COUNTIF($E43:N43,"u")+COUNTIF($E43:N43,"t")+COUNTIF($E43:N43,"¶")+COUNTIF($E43:N43,"²")+COUNTIF($E43:N43,"µ")+COUNTIF($E43:N43,1)-1,INDEX(Roadmap!$D:$K,MATCH($E43,Roadmap!$D:$D,0)-1+COUNTIF($E43:N43,"u")+COUNTIF($E43:N43,"t")+COUNTIF($E43:N43,"¶")+COUNTIF($E43:N43,"²")+COUNTIF($E43:N43,"µ")+COUNTIF($E43:N43,1),ColDescriptionCourte)),""),
  "")),"")</f>
        <v/>
      </c>
      <c r="P43" s="40" t="str">
        <f ca="1">IFERROR(IF(AND(
  INDEX(Roadmap!$D:$K,MATCH($E43,Roadmap!$D:$D,0)+COUNTIF($E43:O43,"u")+COUNTIF($E43:O43,"t")+COUNTIF($E43:O43,"¶")+COUNTIF($E43:O43,"²")+COUNTIF($E43:O43,"µ")+COUNTIF($E43:O43,1),ColLivraison)=P$6,
  VLOOKUP($E43,INDIRECT("tri!"&amp; CHAR(64+ C0Col) &amp;":"&amp; CHAR(65+C0Col)),2,FALSE)&gt;COUNTIF($E43:O43,"u")+COUNTIF($E43:O43,"t")+COUNTIF($E43:O43,"¶")+COUNTIF($E43:O43,"²")+COUNTIF($E43:O43,"µ")+COUNTIF($E43:O43,1)),
HYPERLINK("#Roadmap!C"&amp; MATCH($E43,Roadmap!$D:$D,0)+COUNTIF($E43:O43,"u")+COUNTIF($E43:O43,"t"),
     INDEX(Roadmap!$D:$K,MATCH($E43,Roadmap!$D:$D,0)+COUNTIF($E43:O43,"u")+COUNTIF($E43:O43,"t")+COUNTIF($E43:O43,"¶")+COUNTIF($E43:O43,"²")+COUNTIF($E43:O43,"µ")+COUNTIF($E43:O43,1),ColTypeEcheance)),
  IF(LEN(O43)=1,
  IF(LEN(INDEX(Roadmap!$D:$K,MATCH($E43,Roadmap!$D:$D,0)-1+COUNTIF($E43:O43,"u")+COUNTIF($E43:O43,"t")+COUNTIF($E43:O43,"¶")+COUNTIF($E43:O43,"²")+COUNTIF($E43:O43,"µ")+COUNTIF($E43:O43,1),ColDescriptionCourte))&gt;1,
HYPERLINK("#Roadmap!C"&amp; MATCH($E43,Roadmap!$D:$D,0)+COUNTIF($E43:O43,"u")+COUNTIF($E43:O43,"t")+COUNTIF($E43:O43,"¶")+COUNTIF($E43:O43,"²")+COUNTIF($E43:O43,"µ")+COUNTIF($E43:O43,1)-1,INDEX(Roadmap!$D:$K,MATCH($E43,Roadmap!$D:$D,0)-1+COUNTIF($E43:O43,"u")+COUNTIF($E43:O43,"t")+COUNTIF($E43:O43,"¶")+COUNTIF($E43:O43,"²")+COUNTIF($E43:O43,"µ")+COUNTIF($E43:O43,1),ColDescriptionCourte)),""),
  "")),"")</f>
        <v/>
      </c>
      <c r="Q43" s="40" t="str">
        <f ca="1">IFERROR(IF(AND(
  INDEX(Roadmap!$D:$K,MATCH($E43,Roadmap!$D:$D,0)+COUNTIF($E43:P43,"u")+COUNTIF($E43:P43,"t")+COUNTIF($E43:P43,"¶")+COUNTIF($E43:P43,"²")+COUNTIF($E43:P43,"µ")+COUNTIF($E43:P43,1),ColLivraison)=Q$6,
  VLOOKUP($E43,INDIRECT("tri!"&amp; CHAR(64+ C0Col) &amp;":"&amp; CHAR(65+C0Col)),2,FALSE)&gt;COUNTIF($E43:P43,"u")+COUNTIF($E43:P43,"t")+COUNTIF($E43:P43,"¶")+COUNTIF($E43:P43,"²")+COUNTIF($E43:P43,"µ")+COUNTIF($E43:P43,1)),
HYPERLINK("#Roadmap!C"&amp; MATCH($E43,Roadmap!$D:$D,0)+COUNTIF($E43:P43,"u")+COUNTIF($E43:P43,"t"),
     INDEX(Roadmap!$D:$K,MATCH($E43,Roadmap!$D:$D,0)+COUNTIF($E43:P43,"u")+COUNTIF($E43:P43,"t")+COUNTIF($E43:P43,"¶")+COUNTIF($E43:P43,"²")+COUNTIF($E43:P43,"µ")+COUNTIF($E43:P43,1),ColTypeEcheance)),
  IF(LEN(P43)=1,
  IF(LEN(INDEX(Roadmap!$D:$K,MATCH($E43,Roadmap!$D:$D,0)-1+COUNTIF($E43:P43,"u")+COUNTIF($E43:P43,"t")+COUNTIF($E43:P43,"¶")+COUNTIF($E43:P43,"²")+COUNTIF($E43:P43,"µ")+COUNTIF($E43:P43,1),ColDescriptionCourte))&gt;1,
HYPERLINK("#Roadmap!C"&amp; MATCH($E43,Roadmap!$D:$D,0)+COUNTIF($E43:P43,"u")+COUNTIF($E43:P43,"t")+COUNTIF($E43:P43,"¶")+COUNTIF($E43:P43,"²")+COUNTIF($E43:P43,"µ")+COUNTIF($E43:P43,1)-1,INDEX(Roadmap!$D:$K,MATCH($E43,Roadmap!$D:$D,0)-1+COUNTIF($E43:P43,"u")+COUNTIF($E43:P43,"t")+COUNTIF($E43:P43,"¶")+COUNTIF($E43:P43,"²")+COUNTIF($E43:P43,"µ")+COUNTIF($E43:P43,1),ColDescriptionCourte)),""),
  "")),"")</f>
        <v/>
      </c>
      <c r="R43" s="40" t="str">
        <f ca="1">IFERROR(IF(AND(
  INDEX(Roadmap!$D:$K,MATCH($E43,Roadmap!$D:$D,0)+COUNTIF($E43:Q43,"u")+COUNTIF($E43:Q43,"t")+COUNTIF($E43:Q43,"¶")+COUNTIF($E43:Q43,"²")+COUNTIF($E43:Q43,"µ")+COUNTIF($E43:Q43,1),ColLivraison)=R$6,
  VLOOKUP($E43,INDIRECT("tri!"&amp; CHAR(64+ C0Col) &amp;":"&amp; CHAR(65+C0Col)),2,FALSE)&gt;COUNTIF($E43:Q43,"u")+COUNTIF($E43:Q43,"t")+COUNTIF($E43:Q43,"¶")+COUNTIF($E43:Q43,"²")+COUNTIF($E43:Q43,"µ")+COUNTIF($E43:Q43,1)),
HYPERLINK("#Roadmap!C"&amp; MATCH($E43,Roadmap!$D:$D,0)+COUNTIF($E43:Q43,"u")+COUNTIF($E43:Q43,"t"),
     INDEX(Roadmap!$D:$K,MATCH($E43,Roadmap!$D:$D,0)+COUNTIF($E43:Q43,"u")+COUNTIF($E43:Q43,"t")+COUNTIF($E43:Q43,"¶")+COUNTIF($E43:Q43,"²")+COUNTIF($E43:Q43,"µ")+COUNTIF($E43:Q43,1),ColTypeEcheance)),
  IF(LEN(Q43)=1,
  IF(LEN(INDEX(Roadmap!$D:$K,MATCH($E43,Roadmap!$D:$D,0)-1+COUNTIF($E43:Q43,"u")+COUNTIF($E43:Q43,"t")+COUNTIF($E43:Q43,"¶")+COUNTIF($E43:Q43,"²")+COUNTIF($E43:Q43,"µ")+COUNTIF($E43:Q43,1),ColDescriptionCourte))&gt;1,
HYPERLINK("#Roadmap!C"&amp; MATCH($E43,Roadmap!$D:$D,0)+COUNTIF($E43:Q43,"u")+COUNTIF($E43:Q43,"t")+COUNTIF($E43:Q43,"¶")+COUNTIF($E43:Q43,"²")+COUNTIF($E43:Q43,"µ")+COUNTIF($E43:Q43,1)-1,INDEX(Roadmap!$D:$K,MATCH($E43,Roadmap!$D:$D,0)-1+COUNTIF($E43:Q43,"u")+COUNTIF($E43:Q43,"t")+COUNTIF($E43:Q43,"¶")+COUNTIF($E43:Q43,"²")+COUNTIF($E43:Q43,"µ")+COUNTIF($E43:Q43,1),ColDescriptionCourte)),""),
  "")),"")</f>
        <v/>
      </c>
      <c r="S43" s="40" t="str">
        <f ca="1">IFERROR(IF(AND(
  INDEX(Roadmap!$D:$K,MATCH($E43,Roadmap!$D:$D,0)+COUNTIF($E43:R43,"u")+COUNTIF($E43:R43,"t")+COUNTIF($E43:R43,"¶")+COUNTIF($E43:R43,"²")+COUNTIF($E43:R43,"µ")+COUNTIF($E43:R43,1),ColLivraison)=S$6,
  VLOOKUP($E43,INDIRECT("tri!"&amp; CHAR(64+ C0Col) &amp;":"&amp; CHAR(65+C0Col)),2,FALSE)&gt;COUNTIF($E43:R43,"u")+COUNTIF($E43:R43,"t")+COUNTIF($E43:R43,"¶")+COUNTIF($E43:R43,"²")+COUNTIF($E43:R43,"µ")+COUNTIF($E43:R43,1)),
HYPERLINK("#Roadmap!C"&amp; MATCH($E43,Roadmap!$D:$D,0)+COUNTIF($E43:R43,"u")+COUNTIF($E43:R43,"t"),
     INDEX(Roadmap!$D:$K,MATCH($E43,Roadmap!$D:$D,0)+COUNTIF($E43:R43,"u")+COUNTIF($E43:R43,"t")+COUNTIF($E43:R43,"¶")+COUNTIF($E43:R43,"²")+COUNTIF($E43:R43,"µ")+COUNTIF($E43:R43,1),ColTypeEcheance)),
  IF(LEN(R43)=1,
  IF(LEN(INDEX(Roadmap!$D:$K,MATCH($E43,Roadmap!$D:$D,0)-1+COUNTIF($E43:R43,"u")+COUNTIF($E43:R43,"t")+COUNTIF($E43:R43,"¶")+COUNTIF($E43:R43,"²")+COUNTIF($E43:R43,"µ")+COUNTIF($E43:R43,1),ColDescriptionCourte))&gt;1,
HYPERLINK("#Roadmap!C"&amp; MATCH($E43,Roadmap!$D:$D,0)+COUNTIF($E43:R43,"u")+COUNTIF($E43:R43,"t")+COUNTIF($E43:R43,"¶")+COUNTIF($E43:R43,"²")+COUNTIF($E43:R43,"µ")+COUNTIF($E43:R43,1)-1,INDEX(Roadmap!$D:$K,MATCH($E43,Roadmap!$D:$D,0)-1+COUNTIF($E43:R43,"u")+COUNTIF($E43:R43,"t")+COUNTIF($E43:R43,"¶")+COUNTIF($E43:R43,"²")+COUNTIF($E43:R43,"µ")+COUNTIF($E43:R43,1),ColDescriptionCourte)),""),
  "")),"")</f>
        <v/>
      </c>
      <c r="T43" s="40" t="str">
        <f ca="1">IFERROR(IF(AND(
  INDEX(Roadmap!$D:$K,MATCH($E43,Roadmap!$D:$D,0)+COUNTIF($E43:S43,"u")+COUNTIF($E43:S43,"t")+COUNTIF($E43:S43,"¶")+COUNTIF($E43:S43,"²")+COUNTIF($E43:S43,"µ")+COUNTIF($E43:S43,1),ColLivraison)=T$6,
  VLOOKUP($E43,INDIRECT("tri!"&amp; CHAR(64+ C0Col) &amp;":"&amp; CHAR(65+C0Col)),2,FALSE)&gt;COUNTIF($E43:S43,"u")+COUNTIF($E43:S43,"t")+COUNTIF($E43:S43,"¶")+COUNTIF($E43:S43,"²")+COUNTIF($E43:S43,"µ")+COUNTIF($E43:S43,1)),
HYPERLINK("#Roadmap!C"&amp; MATCH($E43,Roadmap!$D:$D,0)+COUNTIF($E43:S43,"u")+COUNTIF($E43:S43,"t"),
     INDEX(Roadmap!$D:$K,MATCH($E43,Roadmap!$D:$D,0)+COUNTIF($E43:S43,"u")+COUNTIF($E43:S43,"t")+COUNTIF($E43:S43,"¶")+COUNTIF($E43:S43,"²")+COUNTIF($E43:S43,"µ")+COUNTIF($E43:S43,1),ColTypeEcheance)),
  IF(LEN(S43)=1,
  IF(LEN(INDEX(Roadmap!$D:$K,MATCH($E43,Roadmap!$D:$D,0)-1+COUNTIF($E43:S43,"u")+COUNTIF($E43:S43,"t")+COUNTIF($E43:S43,"¶")+COUNTIF($E43:S43,"²")+COUNTIF($E43:S43,"µ")+COUNTIF($E43:S43,1),ColDescriptionCourte))&gt;1,
HYPERLINK("#Roadmap!C"&amp; MATCH($E43,Roadmap!$D:$D,0)+COUNTIF($E43:S43,"u")+COUNTIF($E43:S43,"t")+COUNTIF($E43:S43,"¶")+COUNTIF($E43:S43,"²")+COUNTIF($E43:S43,"µ")+COUNTIF($E43:S43,1)-1,INDEX(Roadmap!$D:$K,MATCH($E43,Roadmap!$D:$D,0)-1+COUNTIF($E43:S43,"u")+COUNTIF($E43:S43,"t")+COUNTIF($E43:S43,"¶")+COUNTIF($E43:S43,"²")+COUNTIF($E43:S43,"µ")+COUNTIF($E43:S43,1),ColDescriptionCourte)),""),
  "")),"")</f>
        <v/>
      </c>
      <c r="U43" s="40" t="str">
        <f ca="1">IFERROR(IF(AND(
  INDEX(Roadmap!$D:$K,MATCH($E43,Roadmap!$D:$D,0)+COUNTIF($E43:T43,"u")+COUNTIF($E43:T43,"t")+COUNTIF($E43:T43,"¶")+COUNTIF($E43:T43,"²")+COUNTIF($E43:T43,"µ")+COUNTIF($E43:T43,1),ColLivraison)=U$6,
  VLOOKUP($E43,INDIRECT("tri!"&amp; CHAR(64+ C0Col) &amp;":"&amp; CHAR(65+C0Col)),2,FALSE)&gt;COUNTIF($E43:T43,"u")+COUNTIF($E43:T43,"t")+COUNTIF($E43:T43,"¶")+COUNTIF($E43:T43,"²")+COUNTIF($E43:T43,"µ")+COUNTIF($E43:T43,1)),
HYPERLINK("#Roadmap!C"&amp; MATCH($E43,Roadmap!$D:$D,0)+COUNTIF($E43:T43,"u")+COUNTIF($E43:T43,"t"),
     INDEX(Roadmap!$D:$K,MATCH($E43,Roadmap!$D:$D,0)+COUNTIF($E43:T43,"u")+COUNTIF($E43:T43,"t")+COUNTIF($E43:T43,"¶")+COUNTIF($E43:T43,"²")+COUNTIF($E43:T43,"µ")+COUNTIF($E43:T43,1),ColTypeEcheance)),
  IF(LEN(T43)=1,
  IF(LEN(INDEX(Roadmap!$D:$K,MATCH($E43,Roadmap!$D:$D,0)-1+COUNTIF($E43:T43,"u")+COUNTIF($E43:T43,"t")+COUNTIF($E43:T43,"¶")+COUNTIF($E43:T43,"²")+COUNTIF($E43:T43,"µ")+COUNTIF($E43:T43,1),ColDescriptionCourte))&gt;1,
HYPERLINK("#Roadmap!C"&amp; MATCH($E43,Roadmap!$D:$D,0)+COUNTIF($E43:T43,"u")+COUNTIF($E43:T43,"t")+COUNTIF($E43:T43,"¶")+COUNTIF($E43:T43,"²")+COUNTIF($E43:T43,"µ")+COUNTIF($E43:T43,1)-1,INDEX(Roadmap!$D:$K,MATCH($E43,Roadmap!$D:$D,0)-1+COUNTIF($E43:T43,"u")+COUNTIF($E43:T43,"t")+COUNTIF($E43:T43,"¶")+COUNTIF($E43:T43,"²")+COUNTIF($E43:T43,"µ")+COUNTIF($E43:T43,1),ColDescriptionCourte)),""),
  "")),"")</f>
        <v/>
      </c>
      <c r="V43" s="40" t="str">
        <f ca="1">IFERROR(IF(AND(
  INDEX(Roadmap!$D:$K,MATCH($E43,Roadmap!$D:$D,0)+COUNTIF($E43:U43,"u")+COUNTIF($E43:U43,"t")+COUNTIF($E43:U43,"¶")+COUNTIF($E43:U43,"²")+COUNTIF($E43:U43,"µ")+COUNTIF($E43:U43,1),ColLivraison)=V$6,
  VLOOKUP($E43,INDIRECT("tri!"&amp; CHAR(64+ C0Col) &amp;":"&amp; CHAR(65+C0Col)),2,FALSE)&gt;COUNTIF($E43:U43,"u")+COUNTIF($E43:U43,"t")+COUNTIF($E43:U43,"¶")+COUNTIF($E43:U43,"²")+COUNTIF($E43:U43,"µ")+COUNTIF($E43:U43,1)),
HYPERLINK("#Roadmap!C"&amp; MATCH($E43,Roadmap!$D:$D,0)+COUNTIF($E43:U43,"u")+COUNTIF($E43:U43,"t"),
     INDEX(Roadmap!$D:$K,MATCH($E43,Roadmap!$D:$D,0)+COUNTIF($E43:U43,"u")+COUNTIF($E43:U43,"t")+COUNTIF($E43:U43,"¶")+COUNTIF($E43:U43,"²")+COUNTIF($E43:U43,"µ")+COUNTIF($E43:U43,1),ColTypeEcheance)),
  IF(LEN(U43)=1,
  IF(LEN(INDEX(Roadmap!$D:$K,MATCH($E43,Roadmap!$D:$D,0)-1+COUNTIF($E43:U43,"u")+COUNTIF($E43:U43,"t")+COUNTIF($E43:U43,"¶")+COUNTIF($E43:U43,"²")+COUNTIF($E43:U43,"µ")+COUNTIF($E43:U43,1),ColDescriptionCourte))&gt;1,
HYPERLINK("#Roadmap!C"&amp; MATCH($E43,Roadmap!$D:$D,0)+COUNTIF($E43:U43,"u")+COUNTIF($E43:U43,"t")+COUNTIF($E43:U43,"¶")+COUNTIF($E43:U43,"²")+COUNTIF($E43:U43,"µ")+COUNTIF($E43:U43,1)-1,INDEX(Roadmap!$D:$K,MATCH($E43,Roadmap!$D:$D,0)-1+COUNTIF($E43:U43,"u")+COUNTIF($E43:U43,"t")+COUNTIF($E43:U43,"¶")+COUNTIF($E43:U43,"²")+COUNTIF($E43:U43,"µ")+COUNTIF($E43:U43,1),ColDescriptionCourte)),""),
  "")),"")</f>
        <v/>
      </c>
      <c r="W43" s="40" t="str">
        <f ca="1">IFERROR(IF(AND(
  INDEX(Roadmap!$D:$K,MATCH($E43,Roadmap!$D:$D,0)+COUNTIF($E43:V43,"u")+COUNTIF($E43:V43,"t")+COUNTIF($E43:V43,"¶")+COUNTIF($E43:V43,"²")+COUNTIF($E43:V43,"µ")+COUNTIF($E43:V43,1),ColLivraison)=W$6,
  VLOOKUP($E43,INDIRECT("tri!"&amp; CHAR(64+ C0Col) &amp;":"&amp; CHAR(65+C0Col)),2,FALSE)&gt;COUNTIF($E43:V43,"u")+COUNTIF($E43:V43,"t")+COUNTIF($E43:V43,"¶")+COUNTIF($E43:V43,"²")+COUNTIF($E43:V43,"µ")+COUNTIF($E43:V43,1)),
HYPERLINK("#Roadmap!C"&amp; MATCH($E43,Roadmap!$D:$D,0)+COUNTIF($E43:V43,"u")+COUNTIF($E43:V43,"t"),
     INDEX(Roadmap!$D:$K,MATCH($E43,Roadmap!$D:$D,0)+COUNTIF($E43:V43,"u")+COUNTIF($E43:V43,"t")+COUNTIF($E43:V43,"¶")+COUNTIF($E43:V43,"²")+COUNTIF($E43:V43,"µ")+COUNTIF($E43:V43,1),ColTypeEcheance)),
  IF(LEN(V43)=1,
  IF(LEN(INDEX(Roadmap!$D:$K,MATCH($E43,Roadmap!$D:$D,0)-1+COUNTIF($E43:V43,"u")+COUNTIF($E43:V43,"t")+COUNTIF($E43:V43,"¶")+COUNTIF($E43:V43,"²")+COUNTIF($E43:V43,"µ")+COUNTIF($E43:V43,1),ColDescriptionCourte))&gt;1,
HYPERLINK("#Roadmap!C"&amp; MATCH($E43,Roadmap!$D:$D,0)+COUNTIF($E43:V43,"u")+COUNTIF($E43:V43,"t")+COUNTIF($E43:V43,"¶")+COUNTIF($E43:V43,"²")+COUNTIF($E43:V43,"µ")+COUNTIF($E43:V43,1)-1,INDEX(Roadmap!$D:$K,MATCH($E43,Roadmap!$D:$D,0)-1+COUNTIF($E43:V43,"u")+COUNTIF($E43:V43,"t")+COUNTIF($E43:V43,"¶")+COUNTIF($E43:V43,"²")+COUNTIF($E43:V43,"µ")+COUNTIF($E43:V43,1),ColDescriptionCourte)),""),
  "")),"")</f>
        <v/>
      </c>
      <c r="X43" s="40" t="str">
        <f ca="1">IFERROR(IF(AND(
  INDEX(Roadmap!$D:$K,MATCH($E43,Roadmap!$D:$D,0)+COUNTIF($E43:W43,"u")+COUNTIF($E43:W43,"t")+COUNTIF($E43:W43,"¶")+COUNTIF($E43:W43,"²")+COUNTIF($E43:W43,"µ")+COUNTIF($E43:W43,1),ColLivraison)=X$6,
  VLOOKUP($E43,INDIRECT("tri!"&amp; CHAR(64+ C0Col) &amp;":"&amp; CHAR(65+C0Col)),2,FALSE)&gt;COUNTIF($E43:W43,"u")+COUNTIF($E43:W43,"t")+COUNTIF($E43:W43,"¶")+COUNTIF($E43:W43,"²")+COUNTIF($E43:W43,"µ")+COUNTIF($E43:W43,1)),
HYPERLINK("#Roadmap!C"&amp; MATCH($E43,Roadmap!$D:$D,0)+COUNTIF($E43:W43,"u")+COUNTIF($E43:W43,"t"),
     INDEX(Roadmap!$D:$K,MATCH($E43,Roadmap!$D:$D,0)+COUNTIF($E43:W43,"u")+COUNTIF($E43:W43,"t")+COUNTIF($E43:W43,"¶")+COUNTIF($E43:W43,"²")+COUNTIF($E43:W43,"µ")+COUNTIF($E43:W43,1),ColTypeEcheance)),
  IF(LEN(W43)=1,
  IF(LEN(INDEX(Roadmap!$D:$K,MATCH($E43,Roadmap!$D:$D,0)-1+COUNTIF($E43:W43,"u")+COUNTIF($E43:W43,"t")+COUNTIF($E43:W43,"¶")+COUNTIF($E43:W43,"²")+COUNTIF($E43:W43,"µ")+COUNTIF($E43:W43,1),ColDescriptionCourte))&gt;1,
HYPERLINK("#Roadmap!C"&amp; MATCH($E43,Roadmap!$D:$D,0)+COUNTIF($E43:W43,"u")+COUNTIF($E43:W43,"t")+COUNTIF($E43:W43,"¶")+COUNTIF($E43:W43,"²")+COUNTIF($E43:W43,"µ")+COUNTIF($E43:W43,1)-1,INDEX(Roadmap!$D:$K,MATCH($E43,Roadmap!$D:$D,0)-1+COUNTIF($E43:W43,"u")+COUNTIF($E43:W43,"t")+COUNTIF($E43:W43,"¶")+COUNTIF($E43:W43,"²")+COUNTIF($E43:W43,"µ")+COUNTIF($E43:W43,1),ColDescriptionCourte)),""),
  "")),"")</f>
        <v/>
      </c>
      <c r="Y43" s="40" t="str">
        <f ca="1">IFERROR(IF(AND(
  INDEX(Roadmap!$D:$K,MATCH($E43,Roadmap!$D:$D,0)+COUNTIF($E43:X43,"u")+COUNTIF($E43:X43,"t")+COUNTIF($E43:X43,"¶")+COUNTIF($E43:X43,"²")+COUNTIF($E43:X43,"µ")+COUNTIF($E43:X43,1),ColLivraison)=Y$6,
  VLOOKUP($E43,INDIRECT("tri!"&amp; CHAR(64+ C0Col) &amp;":"&amp; CHAR(65+C0Col)),2,FALSE)&gt;COUNTIF($E43:X43,"u")+COUNTIF($E43:X43,"t")+COUNTIF($E43:X43,"¶")+COUNTIF($E43:X43,"²")+COUNTIF($E43:X43,"µ")+COUNTIF($E43:X43,1)),
HYPERLINK("#Roadmap!C"&amp; MATCH($E43,Roadmap!$D:$D,0)+COUNTIF($E43:X43,"u")+COUNTIF($E43:X43,"t"),
     INDEX(Roadmap!$D:$K,MATCH($E43,Roadmap!$D:$D,0)+COUNTIF($E43:X43,"u")+COUNTIF($E43:X43,"t")+COUNTIF($E43:X43,"¶")+COUNTIF($E43:X43,"²")+COUNTIF($E43:X43,"µ")+COUNTIF($E43:X43,1),ColTypeEcheance)),
  IF(LEN(X43)=1,
  IF(LEN(INDEX(Roadmap!$D:$K,MATCH($E43,Roadmap!$D:$D,0)-1+COUNTIF($E43:X43,"u")+COUNTIF($E43:X43,"t")+COUNTIF($E43:X43,"¶")+COUNTIF($E43:X43,"²")+COUNTIF($E43:X43,"µ")+COUNTIF($E43:X43,1),ColDescriptionCourte))&gt;1,
HYPERLINK("#Roadmap!C"&amp; MATCH($E43,Roadmap!$D:$D,0)+COUNTIF($E43:X43,"u")+COUNTIF($E43:X43,"t")+COUNTIF($E43:X43,"¶")+COUNTIF($E43:X43,"²")+COUNTIF($E43:X43,"µ")+COUNTIF($E43:X43,1)-1,INDEX(Roadmap!$D:$K,MATCH($E43,Roadmap!$D:$D,0)-1+COUNTIF($E43:X43,"u")+COUNTIF($E43:X43,"t")+COUNTIF($E43:X43,"¶")+COUNTIF($E43:X43,"²")+COUNTIF($E43:X43,"µ")+COUNTIF($E43:X43,1),ColDescriptionCourte)),""),
  "")),"")</f>
        <v/>
      </c>
      <c r="Z43" s="40" t="str">
        <f ca="1">IFERROR(IF(AND(
  INDEX(Roadmap!$D:$K,MATCH($E43,Roadmap!$D:$D,0)+COUNTIF($E43:Y43,"u")+COUNTIF($E43:Y43,"t")+COUNTIF($E43:Y43,"¶")+COUNTIF($E43:Y43,"²")+COUNTIF($E43:Y43,"µ")+COUNTIF($E43:Y43,1),ColLivraison)=Z$6,
  VLOOKUP($E43,INDIRECT("tri!"&amp; CHAR(64+ C0Col) &amp;":"&amp; CHAR(65+C0Col)),2,FALSE)&gt;COUNTIF($E43:Y43,"u")+COUNTIF($E43:Y43,"t")+COUNTIF($E43:Y43,"¶")+COUNTIF($E43:Y43,"²")+COUNTIF($E43:Y43,"µ")+COUNTIF($E43:Y43,1)),
HYPERLINK("#Roadmap!C"&amp; MATCH($E43,Roadmap!$D:$D,0)+COUNTIF($E43:Y43,"u")+COUNTIF($E43:Y43,"t"),
     INDEX(Roadmap!$D:$K,MATCH($E43,Roadmap!$D:$D,0)+COUNTIF($E43:Y43,"u")+COUNTIF($E43:Y43,"t")+COUNTIF($E43:Y43,"¶")+COUNTIF($E43:Y43,"²")+COUNTIF($E43:Y43,"µ")+COUNTIF($E43:Y43,1),ColTypeEcheance)),
  IF(LEN(Y43)=1,
  IF(LEN(INDEX(Roadmap!$D:$K,MATCH($E43,Roadmap!$D:$D,0)-1+COUNTIF($E43:Y43,"u")+COUNTIF($E43:Y43,"t")+COUNTIF($E43:Y43,"¶")+COUNTIF($E43:Y43,"²")+COUNTIF($E43:Y43,"µ")+COUNTIF($E43:Y43,1),ColDescriptionCourte))&gt;1,
HYPERLINK("#Roadmap!C"&amp; MATCH($E43,Roadmap!$D:$D,0)+COUNTIF($E43:Y43,"u")+COUNTIF($E43:Y43,"t")+COUNTIF($E43:Y43,"¶")+COUNTIF($E43:Y43,"²")+COUNTIF($E43:Y43,"µ")+COUNTIF($E43:Y43,1)-1,INDEX(Roadmap!$D:$K,MATCH($E43,Roadmap!$D:$D,0)-1+COUNTIF($E43:Y43,"u")+COUNTIF($E43:Y43,"t")+COUNTIF($E43:Y43,"¶")+COUNTIF($E43:Y43,"²")+COUNTIF($E43:Y43,"µ")+COUNTIF($E43:Y43,1),ColDescriptionCourte)),""),
  "")),"")</f>
        <v/>
      </c>
      <c r="AA43" s="40" t="str">
        <f ca="1">IFERROR(IF(AND(
  INDEX(Roadmap!$D:$K,MATCH($E43,Roadmap!$D:$D,0)+COUNTIF($E43:Z43,"u")+COUNTIF($E43:Z43,"t")+COUNTIF($E43:Z43,"¶")+COUNTIF($E43:Z43,"²")+COUNTIF($E43:Z43,"µ")+COUNTIF($E43:Z43,1),ColLivraison)=AA$6,
  VLOOKUP($E43,INDIRECT("tri!"&amp; CHAR(64+ C0Col) &amp;":"&amp; CHAR(65+C0Col)),2,FALSE)&gt;COUNTIF($E43:Z43,"u")+COUNTIF($E43:Z43,"t")+COUNTIF($E43:Z43,"¶")+COUNTIF($E43:Z43,"²")+COUNTIF($E43:Z43,"µ")+COUNTIF($E43:Z43,1)),
HYPERLINK("#Roadmap!C"&amp; MATCH($E43,Roadmap!$D:$D,0)+COUNTIF($E43:Z43,"u")+COUNTIF($E43:Z43,"t"),
     INDEX(Roadmap!$D:$K,MATCH($E43,Roadmap!$D:$D,0)+COUNTIF($E43:Z43,"u")+COUNTIF($E43:Z43,"t")+COUNTIF($E43:Z43,"¶")+COUNTIF($E43:Z43,"²")+COUNTIF($E43:Z43,"µ")+COUNTIF($E43:Z43,1),ColTypeEcheance)),
  IF(LEN(Z43)=1,
  IF(LEN(INDEX(Roadmap!$D:$K,MATCH($E43,Roadmap!$D:$D,0)-1+COUNTIF($E43:Z43,"u")+COUNTIF($E43:Z43,"t")+COUNTIF($E43:Z43,"¶")+COUNTIF($E43:Z43,"²")+COUNTIF($E43:Z43,"µ")+COUNTIF($E43:Z43,1),ColDescriptionCourte))&gt;1,
HYPERLINK("#Roadmap!C"&amp; MATCH($E43,Roadmap!$D:$D,0)+COUNTIF($E43:Z43,"u")+COUNTIF($E43:Z43,"t")+COUNTIF($E43:Z43,"¶")+COUNTIF($E43:Z43,"²")+COUNTIF($E43:Z43,"µ")+COUNTIF($E43:Z43,1)-1,INDEX(Roadmap!$D:$K,MATCH($E43,Roadmap!$D:$D,0)-1+COUNTIF($E43:Z43,"u")+COUNTIF($E43:Z43,"t")+COUNTIF($E43:Z43,"¶")+COUNTIF($E43:Z43,"²")+COUNTIF($E43:Z43,"µ")+COUNTIF($E43:Z43,1),ColDescriptionCourte)),""),
  "")),"")</f>
        <v/>
      </c>
      <c r="AB43" s="40" t="str">
        <f ca="1">IFERROR(IF(AND(
  INDEX(Roadmap!$D:$K,MATCH($E43,Roadmap!$D:$D,0)+COUNTIF($E43:AA43,"u")+COUNTIF($E43:AA43,"t")+COUNTIF($E43:AA43,"¶")+COUNTIF($E43:AA43,"²")+COUNTIF($E43:AA43,"µ")+COUNTIF($E43:AA43,1),ColLivraison)=AB$6,
  VLOOKUP($E43,INDIRECT("tri!"&amp; CHAR(64+ C0Col) &amp;":"&amp; CHAR(65+C0Col)),2,FALSE)&gt;COUNTIF($E43:AA43,"u")+COUNTIF($E43:AA43,"t")+COUNTIF($E43:AA43,"¶")+COUNTIF($E43:AA43,"²")+COUNTIF($E43:AA43,"µ")+COUNTIF($E43:AA43,1)),
HYPERLINK("#Roadmap!C"&amp; MATCH($E43,Roadmap!$D:$D,0)+COUNTIF($E43:AA43,"u")+COUNTIF($E43:AA43,"t"),
     INDEX(Roadmap!$D:$K,MATCH($E43,Roadmap!$D:$D,0)+COUNTIF($E43:AA43,"u")+COUNTIF($E43:AA43,"t")+COUNTIF($E43:AA43,"¶")+COUNTIF($E43:AA43,"²")+COUNTIF($E43:AA43,"µ")+COUNTIF($E43:AA43,1),ColTypeEcheance)),
  IF(LEN(AA43)=1,
  IF(LEN(INDEX(Roadmap!$D:$K,MATCH($E43,Roadmap!$D:$D,0)-1+COUNTIF($E43:AA43,"u")+COUNTIF($E43:AA43,"t")+COUNTIF($E43:AA43,"¶")+COUNTIF($E43:AA43,"²")+COUNTIF($E43:AA43,"µ")+COUNTIF($E43:AA43,1),ColDescriptionCourte))&gt;1,
HYPERLINK("#Roadmap!C"&amp; MATCH($E43,Roadmap!$D:$D,0)+COUNTIF($E43:AA43,"u")+COUNTIF($E43:AA43,"t")+COUNTIF($E43:AA43,"¶")+COUNTIF($E43:AA43,"²")+COUNTIF($E43:AA43,"µ")+COUNTIF($E43:AA43,1)-1,INDEX(Roadmap!$D:$K,MATCH($E43,Roadmap!$D:$D,0)-1+COUNTIF($E43:AA43,"u")+COUNTIF($E43:AA43,"t")+COUNTIF($E43:AA43,"¶")+COUNTIF($E43:AA43,"²")+COUNTIF($E43:AA43,"µ")+COUNTIF($E43:AA43,1),ColDescriptionCourte)),""),
  "")),"")</f>
        <v/>
      </c>
      <c r="AC43" s="40" t="str">
        <f ca="1">IFERROR(IF(AND(
  INDEX(Roadmap!$D:$K,MATCH($E43,Roadmap!$D:$D,0)+COUNTIF($E43:AB43,"u")+COUNTIF($E43:AB43,"t")+COUNTIF($E43:AB43,"¶")+COUNTIF($E43:AB43,"²")+COUNTIF($E43:AB43,"µ")+COUNTIF($E43:AB43,1),ColLivraison)=AC$6,
  VLOOKUP($E43,INDIRECT("tri!"&amp; CHAR(64+ C0Col) &amp;":"&amp; CHAR(65+C0Col)),2,FALSE)&gt;COUNTIF($E43:AB43,"u")+COUNTIF($E43:AB43,"t")+COUNTIF($E43:AB43,"¶")+COUNTIF($E43:AB43,"²")+COUNTIF($E43:AB43,"µ")+COUNTIF($E43:AB43,1)),
HYPERLINK("#Roadmap!C"&amp; MATCH($E43,Roadmap!$D:$D,0)+COUNTIF($E43:AB43,"u")+COUNTIF($E43:AB43,"t"),
     INDEX(Roadmap!$D:$K,MATCH($E43,Roadmap!$D:$D,0)+COUNTIF($E43:AB43,"u")+COUNTIF($E43:AB43,"t")+COUNTIF($E43:AB43,"¶")+COUNTIF($E43:AB43,"²")+COUNTIF($E43:AB43,"µ")+COUNTIF($E43:AB43,1),ColTypeEcheance)),
  IF(LEN(AB43)=1,
  IF(LEN(INDEX(Roadmap!$D:$K,MATCH($E43,Roadmap!$D:$D,0)-1+COUNTIF($E43:AB43,"u")+COUNTIF($E43:AB43,"t")+COUNTIF($E43:AB43,"¶")+COUNTIF($E43:AB43,"²")+COUNTIF($E43:AB43,"µ")+COUNTIF($E43:AB43,1),ColDescriptionCourte))&gt;1,
HYPERLINK("#Roadmap!C"&amp; MATCH($E43,Roadmap!$D:$D,0)+COUNTIF($E43:AB43,"u")+COUNTIF($E43:AB43,"t")+COUNTIF($E43:AB43,"¶")+COUNTIF($E43:AB43,"²")+COUNTIF($E43:AB43,"µ")+COUNTIF($E43:AB43,1)-1,INDEX(Roadmap!$D:$K,MATCH($E43,Roadmap!$D:$D,0)-1+COUNTIF($E43:AB43,"u")+COUNTIF($E43:AB43,"t")+COUNTIF($E43:AB43,"¶")+COUNTIF($E43:AB43,"²")+COUNTIF($E43:AB43,"µ")+COUNTIF($E43:AB43,1),ColDescriptionCourte)),""),
  "")),"")</f>
        <v/>
      </c>
      <c r="AD43" s="40" t="str">
        <f ca="1">IFERROR(IF(AND(
  INDEX(Roadmap!$D:$K,MATCH($E43,Roadmap!$D:$D,0)+COUNTIF($E43:AC43,"u")+COUNTIF($E43:AC43,"t")+COUNTIF($E43:AC43,"¶")+COUNTIF($E43:AC43,"²")+COUNTIF($E43:AC43,"µ")+COUNTIF($E43:AC43,1),ColLivraison)=AD$6,
  VLOOKUP($E43,INDIRECT("tri!"&amp; CHAR(64+ C0Col) &amp;":"&amp; CHAR(65+C0Col)),2,FALSE)&gt;COUNTIF($E43:AC43,"u")+COUNTIF($E43:AC43,"t")+COUNTIF($E43:AC43,"¶")+COUNTIF($E43:AC43,"²")+COUNTIF($E43:AC43,"µ")+COUNTIF($E43:AC43,1)),
HYPERLINK("#Roadmap!C"&amp; MATCH($E43,Roadmap!$D:$D,0)+COUNTIF($E43:AC43,"u")+COUNTIF($E43:AC43,"t"),
     INDEX(Roadmap!$D:$K,MATCH($E43,Roadmap!$D:$D,0)+COUNTIF($E43:AC43,"u")+COUNTIF($E43:AC43,"t")+COUNTIF($E43:AC43,"¶")+COUNTIF($E43:AC43,"²")+COUNTIF($E43:AC43,"µ")+COUNTIF($E43:AC43,1),ColTypeEcheance)),
  IF(LEN(AC43)=1,
  IF(LEN(INDEX(Roadmap!$D:$K,MATCH($E43,Roadmap!$D:$D,0)-1+COUNTIF($E43:AC43,"u")+COUNTIF($E43:AC43,"t")+COUNTIF($E43:AC43,"¶")+COUNTIF($E43:AC43,"²")+COUNTIF($E43:AC43,"µ")+COUNTIF($E43:AC43,1),ColDescriptionCourte))&gt;1,
HYPERLINK("#Roadmap!C"&amp; MATCH($E43,Roadmap!$D:$D,0)+COUNTIF($E43:AC43,"u")+COUNTIF($E43:AC43,"t")+COUNTIF($E43:AC43,"¶")+COUNTIF($E43:AC43,"²")+COUNTIF($E43:AC43,"µ")+COUNTIF($E43:AC43,1)-1,INDEX(Roadmap!$D:$K,MATCH($E43,Roadmap!$D:$D,0)-1+COUNTIF($E43:AC43,"u")+COUNTIF($E43:AC43,"t")+COUNTIF($E43:AC43,"¶")+COUNTIF($E43:AC43,"²")+COUNTIF($E43:AC43,"µ")+COUNTIF($E43:AC43,1),ColDescriptionCourte)),""),
  "")),"")</f>
        <v/>
      </c>
      <c r="AE43" s="40" t="str">
        <f ca="1">IFERROR(IF(AND(
  INDEX(Roadmap!$D:$K,MATCH($E43,Roadmap!$D:$D,0)+COUNTIF($E43:AD43,"u")+COUNTIF($E43:AD43,"t")+COUNTIF($E43:AD43,"¶")+COUNTIF($E43:AD43,"²")+COUNTIF($E43:AD43,"µ")+COUNTIF($E43:AD43,1),ColLivraison)=AE$6,
  VLOOKUP($E43,INDIRECT("tri!"&amp; CHAR(64+ C0Col) &amp;":"&amp; CHAR(65+C0Col)),2,FALSE)&gt;COUNTIF($E43:AD43,"u")+COUNTIF($E43:AD43,"t")+COUNTIF($E43:AD43,"¶")+COUNTIF($E43:AD43,"²")+COUNTIF($E43:AD43,"µ")+COUNTIF($E43:AD43,1)),
HYPERLINK("#Roadmap!C"&amp; MATCH($E43,Roadmap!$D:$D,0)+COUNTIF($E43:AD43,"u")+COUNTIF($E43:AD43,"t"),
     INDEX(Roadmap!$D:$K,MATCH($E43,Roadmap!$D:$D,0)+COUNTIF($E43:AD43,"u")+COUNTIF($E43:AD43,"t")+COUNTIF($E43:AD43,"¶")+COUNTIF($E43:AD43,"²")+COUNTIF($E43:AD43,"µ")+COUNTIF($E43:AD43,1),ColTypeEcheance)),
  IF(LEN(AD43)=1,
  IF(LEN(INDEX(Roadmap!$D:$K,MATCH($E43,Roadmap!$D:$D,0)-1+COUNTIF($E43:AD43,"u")+COUNTIF($E43:AD43,"t")+COUNTIF($E43:AD43,"¶")+COUNTIF($E43:AD43,"²")+COUNTIF($E43:AD43,"µ")+COUNTIF($E43:AD43,1),ColDescriptionCourte))&gt;1,
HYPERLINK("#Roadmap!C"&amp; MATCH($E43,Roadmap!$D:$D,0)+COUNTIF($E43:AD43,"u")+COUNTIF($E43:AD43,"t")+COUNTIF($E43:AD43,"¶")+COUNTIF($E43:AD43,"²")+COUNTIF($E43:AD43,"µ")+COUNTIF($E43:AD43,1)-1,INDEX(Roadmap!$D:$K,MATCH($E43,Roadmap!$D:$D,0)-1+COUNTIF($E43:AD43,"u")+COUNTIF($E43:AD43,"t")+COUNTIF($E43:AD43,"¶")+COUNTIF($E43:AD43,"²")+COUNTIF($E43:AD43,"µ")+COUNTIF($E43:AD43,1),ColDescriptionCourte)),""),
  "")),"")</f>
        <v/>
      </c>
      <c r="AF43" s="40" t="str">
        <f ca="1">IFERROR(IF(AND(
  INDEX(Roadmap!$D:$K,MATCH($E43,Roadmap!$D:$D,0)+COUNTIF($E43:AE43,"u")+COUNTIF($E43:AE43,"t")+COUNTIF($E43:AE43,"¶")+COUNTIF($E43:AE43,"²")+COUNTIF($E43:AE43,"µ")+COUNTIF($E43:AE43,1),ColLivraison)=AF$6,
  VLOOKUP($E43,INDIRECT("tri!"&amp; CHAR(64+ C0Col) &amp;":"&amp; CHAR(65+C0Col)),2,FALSE)&gt;COUNTIF($E43:AE43,"u")+COUNTIF($E43:AE43,"t")+COUNTIF($E43:AE43,"¶")+COUNTIF($E43:AE43,"²")+COUNTIF($E43:AE43,"µ")+COUNTIF($E43:AE43,1)),
HYPERLINK("#Roadmap!C"&amp; MATCH($E43,Roadmap!$D:$D,0)+COUNTIF($E43:AE43,"u")+COUNTIF($E43:AE43,"t"),
     INDEX(Roadmap!$D:$K,MATCH($E43,Roadmap!$D:$D,0)+COUNTIF($E43:AE43,"u")+COUNTIF($E43:AE43,"t")+COUNTIF($E43:AE43,"¶")+COUNTIF($E43:AE43,"²")+COUNTIF($E43:AE43,"µ")+COUNTIF($E43:AE43,1),ColTypeEcheance)),
  IF(LEN(AE43)=1,
  IF(LEN(INDEX(Roadmap!$D:$K,MATCH($E43,Roadmap!$D:$D,0)-1+COUNTIF($E43:AE43,"u")+COUNTIF($E43:AE43,"t")+COUNTIF($E43:AE43,"¶")+COUNTIF($E43:AE43,"²")+COUNTIF($E43:AE43,"µ")+COUNTIF($E43:AE43,1),ColDescriptionCourte))&gt;1,
HYPERLINK("#Roadmap!C"&amp; MATCH($E43,Roadmap!$D:$D,0)+COUNTIF($E43:AE43,"u")+COUNTIF($E43:AE43,"t")+COUNTIF($E43:AE43,"¶")+COUNTIF($E43:AE43,"²")+COUNTIF($E43:AE43,"µ")+COUNTIF($E43:AE43,1)-1,INDEX(Roadmap!$D:$K,MATCH($E43,Roadmap!$D:$D,0)-1+COUNTIF($E43:AE43,"u")+COUNTIF($E43:AE43,"t")+COUNTIF($E43:AE43,"¶")+COUNTIF($E43:AE43,"²")+COUNTIF($E43:AE43,"µ")+COUNTIF($E43:AE43,1),ColDescriptionCourte)),""),
  "")),"")</f>
        <v/>
      </c>
      <c r="AG43" s="40" t="str">
        <f ca="1">IFERROR(IF(AND(
  INDEX(Roadmap!$D:$K,MATCH($E43,Roadmap!$D:$D,0)+COUNTIF($E43:AF43,"u")+COUNTIF($E43:AF43,"t")+COUNTIF($E43:AF43,"¶")+COUNTIF($E43:AF43,"²")+COUNTIF($E43:AF43,"µ")+COUNTIF($E43:AF43,1),ColLivraison)=AG$6,
  VLOOKUP($E43,INDIRECT("tri!"&amp; CHAR(64+ C0Col) &amp;":"&amp; CHAR(65+C0Col)),2,FALSE)&gt;COUNTIF($E43:AF43,"u")+COUNTIF($E43:AF43,"t")+COUNTIF($E43:AF43,"¶")+COUNTIF($E43:AF43,"²")+COUNTIF($E43:AF43,"µ")+COUNTIF($E43:AF43,1)),
HYPERLINK("#Roadmap!C"&amp; MATCH($E43,Roadmap!$D:$D,0)+COUNTIF($E43:AF43,"u")+COUNTIF($E43:AF43,"t"),
     INDEX(Roadmap!$D:$K,MATCH($E43,Roadmap!$D:$D,0)+COUNTIF($E43:AF43,"u")+COUNTIF($E43:AF43,"t")+COUNTIF($E43:AF43,"¶")+COUNTIF($E43:AF43,"²")+COUNTIF($E43:AF43,"µ")+COUNTIF($E43:AF43,1),ColTypeEcheance)),
  IF(LEN(AF43)=1,
  IF(LEN(INDEX(Roadmap!$D:$K,MATCH($E43,Roadmap!$D:$D,0)-1+COUNTIF($E43:AF43,"u")+COUNTIF($E43:AF43,"t")+COUNTIF($E43:AF43,"¶")+COUNTIF($E43:AF43,"²")+COUNTIF($E43:AF43,"µ")+COUNTIF($E43:AF43,1),ColDescriptionCourte))&gt;1,
HYPERLINK("#Roadmap!C"&amp; MATCH($E43,Roadmap!$D:$D,0)+COUNTIF($E43:AF43,"u")+COUNTIF($E43:AF43,"t")+COUNTIF($E43:AF43,"¶")+COUNTIF($E43:AF43,"²")+COUNTIF($E43:AF43,"µ")+COUNTIF($E43:AF43,1)-1,INDEX(Roadmap!$D:$K,MATCH($E43,Roadmap!$D:$D,0)-1+COUNTIF($E43:AF43,"u")+COUNTIF($E43:AF43,"t")+COUNTIF($E43:AF43,"¶")+COUNTIF($E43:AF43,"²")+COUNTIF($E43:AF43,"µ")+COUNTIF($E43:AF43,1),ColDescriptionCourte)),""),
  "")),"")</f>
        <v/>
      </c>
    </row>
    <row r="44" spans="3:33" ht="14.25" customHeight="1">
      <c r="C44" s="1" t="str">
        <f t="shared" ca="1" si="44"/>
        <v/>
      </c>
      <c r="D44" s="1" t="str">
        <f t="shared" ca="1" si="45"/>
        <v/>
      </c>
      <c r="E44" s="35" t="str">
        <f t="shared" ca="1" si="33"/>
        <v/>
      </c>
      <c r="F44" s="39" t="str">
        <f ca="1">IFERROR(IF(AND(
  INDEX(Roadmap!$D:$K,MATCH($E44,Roadmap!$D:$D,0)+COUNTIF($E44:E44,"u")+COUNTIF($E44:E44,"t")+COUNTIF($E44:E44,"¶")+COUNTIF($E44:E44,"²")+COUNTIF($E44:E44,"µ")+COUNTIF($E44:E44,1),ColLivraison)=F$6,
  VLOOKUP($E44,INDIRECT("tri!"&amp; CHAR(64+ C0Col) &amp;":"&amp; CHAR(65+C0Col)),2,FALSE)&gt;COUNTIF($E44:E44,"u")+COUNTIF($E44:E44,"t")+COUNTIF($E44:E44,"¶")+COUNTIF($E44:E44,"²")+COUNTIF($E44:E44,"µ")+COUNTIF($E44:E44,1)),
HYPERLINK("#Roadmap!C"&amp; MATCH($E44,Roadmap!$D:$D,0)+COUNTIF($E44:E44,"u")+COUNTIF($E44:E44,"t"),
     INDEX(Roadmap!$D:$K,MATCH($E44,Roadmap!$D:$D,0)+COUNTIF($E44:E44,"u")+COUNTIF($E44:E44,"t")+COUNTIF($E44:E44,"¶")+COUNTIF($E44:E44,"²")+COUNTIF($E44:E44,"µ")+COUNTIF($E44:E44,1),ColTypeEcheance)),
  IF(LEN(E44)=1,
  IF(LEN(INDEX(Roadmap!$D:$K,MATCH($E44,Roadmap!$D:$D,0)-1+COUNTIF($E44:E44,"u")+COUNTIF($E44:E44,"t")+COUNTIF($E44:E44,"¶")+COUNTIF($E44:E44,"²")+COUNTIF($E44:E44,"µ")+COUNTIF($E44:E44,1),ColDescriptionCourte))&gt;1,
HYPERLINK("#Roadmap!C"&amp; MATCH($E44,Roadmap!$D:$D,0)+COUNTIF($E44:E44,"u")+COUNTIF($E44:E44,"t")+COUNTIF($E44:E44,"¶")+COUNTIF($E44:E44,"²")+COUNTIF($E44:E44,"µ")+COUNTIF($E44:E44,1)-1,INDEX(Roadmap!$D:$K,MATCH($E44,Roadmap!$D:$D,0)-1+COUNTIF($E44:E44,"u")+COUNTIF($E44:E44,"t")+COUNTIF($E44:E44,"¶")+COUNTIF($E44:E44,"²")+COUNTIF($E44:E44,"µ")+COUNTIF($E44:E44,1),ColDescriptionCourte)),""),
  "")),"")</f>
        <v/>
      </c>
      <c r="G44" s="40" t="str">
        <f ca="1">IFERROR(IF(AND(
  INDEX(Roadmap!$D:$K,MATCH($E44,Roadmap!$D:$D,0)+COUNTIF($E44:F44,"u")+COUNTIF($E44:F44,"t")+COUNTIF($E44:F44,"¶")+COUNTIF($E44:F44,"²")+COUNTIF($E44:F44,"µ")+COUNTIF($E44:F44,1),ColLivraison)=G$6,
  VLOOKUP($E44,INDIRECT("tri!"&amp; CHAR(64+ C0Col) &amp;":"&amp; CHAR(65+C0Col)),2,FALSE)&gt;COUNTIF($E44:F44,"u")+COUNTIF($E44:F44,"t")+COUNTIF($E44:F44,"¶")+COUNTIF($E44:F44,"²")+COUNTIF($E44:F44,"µ")+COUNTIF($E44:F44,1)),
HYPERLINK("#Roadmap!C"&amp; MATCH($E44,Roadmap!$D:$D,0)+COUNTIF($E44:F44,"u")+COUNTIF($E44:F44,"t"),
     INDEX(Roadmap!$D:$K,MATCH($E44,Roadmap!$D:$D,0)+COUNTIF($E44:F44,"u")+COUNTIF($E44:F44,"t")+COUNTIF($E44:F44,"¶")+COUNTIF($E44:F44,"²")+COUNTIF($E44:F44,"µ")+COUNTIF($E44:F44,1),ColTypeEcheance)),
  IF(LEN(F44)=1,
  IF(LEN(INDEX(Roadmap!$D:$K,MATCH($E44,Roadmap!$D:$D,0)-1+COUNTIF($E44:F44,"u")+COUNTIF($E44:F44,"t")+COUNTIF($E44:F44,"¶")+COUNTIF($E44:F44,"²")+COUNTIF($E44:F44,"µ")+COUNTIF($E44:F44,1),ColDescriptionCourte))&gt;1,
HYPERLINK("#Roadmap!C"&amp; MATCH($E44,Roadmap!$D:$D,0)+COUNTIF($E44:F44,"u")+COUNTIF($E44:F44,"t")+COUNTIF($E44:F44,"¶")+COUNTIF($E44:F44,"²")+COUNTIF($E44:F44,"µ")+COUNTIF($E44:F44,1)-1,INDEX(Roadmap!$D:$K,MATCH($E44,Roadmap!$D:$D,0)-1+COUNTIF($E44:F44,"u")+COUNTIF($E44:F44,"t")+COUNTIF($E44:F44,"¶")+COUNTIF($E44:F44,"²")+COUNTIF($E44:F44,"µ")+COUNTIF($E44:F44,1),ColDescriptionCourte)),""),
  "")),"")</f>
        <v/>
      </c>
      <c r="H44" s="40" t="str">
        <f ca="1">IFERROR(IF(AND(
  INDEX(Roadmap!$D:$K,MATCH($E44,Roadmap!$D:$D,0)+COUNTIF($E44:G44,"u")+COUNTIF($E44:G44,"t")+COUNTIF($E44:G44,"¶")+COUNTIF($E44:G44,"²")+COUNTIF($E44:G44,"µ")+COUNTIF($E44:G44,1),ColLivraison)=H$6,
  VLOOKUP($E44,INDIRECT("tri!"&amp; CHAR(64+ C0Col) &amp;":"&amp; CHAR(65+C0Col)),2,FALSE)&gt;COUNTIF($E44:G44,"u")+COUNTIF($E44:G44,"t")+COUNTIF($E44:G44,"¶")+COUNTIF($E44:G44,"²")+COUNTIF($E44:G44,"µ")+COUNTIF($E44:G44,1)),
HYPERLINK("#Roadmap!C"&amp; MATCH($E44,Roadmap!$D:$D,0)+COUNTIF($E44:G44,"u")+COUNTIF($E44:G44,"t"),
     INDEX(Roadmap!$D:$K,MATCH($E44,Roadmap!$D:$D,0)+COUNTIF($E44:G44,"u")+COUNTIF($E44:G44,"t")+COUNTIF($E44:G44,"¶")+COUNTIF($E44:G44,"²")+COUNTIF($E44:G44,"µ")+COUNTIF($E44:G44,1),ColTypeEcheance)),
  IF(LEN(G44)=1,
  IF(LEN(INDEX(Roadmap!$D:$K,MATCH($E44,Roadmap!$D:$D,0)-1+COUNTIF($E44:G44,"u")+COUNTIF($E44:G44,"t")+COUNTIF($E44:G44,"¶")+COUNTIF($E44:G44,"²")+COUNTIF($E44:G44,"µ")+COUNTIF($E44:G44,1),ColDescriptionCourte))&gt;1,
HYPERLINK("#Roadmap!C"&amp; MATCH($E44,Roadmap!$D:$D,0)+COUNTIF($E44:G44,"u")+COUNTIF($E44:G44,"t")+COUNTIF($E44:G44,"¶")+COUNTIF($E44:G44,"²")+COUNTIF($E44:G44,"µ")+COUNTIF($E44:G44,1)-1,INDEX(Roadmap!$D:$K,MATCH($E44,Roadmap!$D:$D,0)-1+COUNTIF($E44:G44,"u")+COUNTIF($E44:G44,"t")+COUNTIF($E44:G44,"¶")+COUNTIF($E44:G44,"²")+COUNTIF($E44:G44,"µ")+COUNTIF($E44:G44,1),ColDescriptionCourte)),""),
  "")),"")</f>
        <v/>
      </c>
      <c r="I44" s="40" t="str">
        <f ca="1">IFERROR(IF(AND(
  INDEX(Roadmap!$D:$K,MATCH($E44,Roadmap!$D:$D,0)+COUNTIF($E44:H44,"u")+COUNTIF($E44:H44,"t")+COUNTIF($E44:H44,"¶")+COUNTIF($E44:H44,"²")+COUNTIF($E44:H44,"µ")+COUNTIF($E44:H44,1),ColLivraison)=I$6,
  VLOOKUP($E44,INDIRECT("tri!"&amp; CHAR(64+ C0Col) &amp;":"&amp; CHAR(65+C0Col)),2,FALSE)&gt;COUNTIF($E44:H44,"u")+COUNTIF($E44:H44,"t")+COUNTIF($E44:H44,"¶")+COUNTIF($E44:H44,"²")+COUNTIF($E44:H44,"µ")+COUNTIF($E44:H44,1)),
HYPERLINK("#Roadmap!C"&amp; MATCH($E44,Roadmap!$D:$D,0)+COUNTIF($E44:H44,"u")+COUNTIF($E44:H44,"t"),
     INDEX(Roadmap!$D:$K,MATCH($E44,Roadmap!$D:$D,0)+COUNTIF($E44:H44,"u")+COUNTIF($E44:H44,"t")+COUNTIF($E44:H44,"¶")+COUNTIF($E44:H44,"²")+COUNTIF($E44:H44,"µ")+COUNTIF($E44:H44,1),ColTypeEcheance)),
  IF(LEN(H44)=1,
  IF(LEN(INDEX(Roadmap!$D:$K,MATCH($E44,Roadmap!$D:$D,0)-1+COUNTIF($E44:H44,"u")+COUNTIF($E44:H44,"t")+COUNTIF($E44:H44,"¶")+COUNTIF($E44:H44,"²")+COUNTIF($E44:H44,"µ")+COUNTIF($E44:H44,1),ColDescriptionCourte))&gt;1,
HYPERLINK("#Roadmap!C"&amp; MATCH($E44,Roadmap!$D:$D,0)+COUNTIF($E44:H44,"u")+COUNTIF($E44:H44,"t")+COUNTIF($E44:H44,"¶")+COUNTIF($E44:H44,"²")+COUNTIF($E44:H44,"µ")+COUNTIF($E44:H44,1)-1,INDEX(Roadmap!$D:$K,MATCH($E44,Roadmap!$D:$D,0)-1+COUNTIF($E44:H44,"u")+COUNTIF($E44:H44,"t")+COUNTIF($E44:H44,"¶")+COUNTIF($E44:H44,"²")+COUNTIF($E44:H44,"µ")+COUNTIF($E44:H44,1),ColDescriptionCourte)),""),
  "")),"")</f>
        <v/>
      </c>
      <c r="J44" s="40" t="str">
        <f ca="1">IFERROR(IF(AND(
  INDEX(Roadmap!$D:$K,MATCH($E44,Roadmap!$D:$D,0)+COUNTIF($E44:I44,"u")+COUNTIF($E44:I44,"t")+COUNTIF($E44:I44,"¶")+COUNTIF($E44:I44,"²")+COUNTIF($E44:I44,"µ")+COUNTIF($E44:I44,1),ColLivraison)=J$6,
  VLOOKUP($E44,INDIRECT("tri!"&amp; CHAR(64+ C0Col) &amp;":"&amp; CHAR(65+C0Col)),2,FALSE)&gt;COUNTIF($E44:I44,"u")+COUNTIF($E44:I44,"t")+COUNTIF($E44:I44,"¶")+COUNTIF($E44:I44,"²")+COUNTIF($E44:I44,"µ")+COUNTIF($E44:I44,1)),
HYPERLINK("#Roadmap!C"&amp; MATCH($E44,Roadmap!$D:$D,0)+COUNTIF($E44:I44,"u")+COUNTIF($E44:I44,"t"),
     INDEX(Roadmap!$D:$K,MATCH($E44,Roadmap!$D:$D,0)+COUNTIF($E44:I44,"u")+COUNTIF($E44:I44,"t")+COUNTIF($E44:I44,"¶")+COUNTIF($E44:I44,"²")+COUNTIF($E44:I44,"µ")+COUNTIF($E44:I44,1),ColTypeEcheance)),
  IF(LEN(I44)=1,
  IF(LEN(INDEX(Roadmap!$D:$K,MATCH($E44,Roadmap!$D:$D,0)-1+COUNTIF($E44:I44,"u")+COUNTIF($E44:I44,"t")+COUNTIF($E44:I44,"¶")+COUNTIF($E44:I44,"²")+COUNTIF($E44:I44,"µ")+COUNTIF($E44:I44,1),ColDescriptionCourte))&gt;1,
HYPERLINK("#Roadmap!C"&amp; MATCH($E44,Roadmap!$D:$D,0)+COUNTIF($E44:I44,"u")+COUNTIF($E44:I44,"t")+COUNTIF($E44:I44,"¶")+COUNTIF($E44:I44,"²")+COUNTIF($E44:I44,"µ")+COUNTIF($E44:I44,1)-1,INDEX(Roadmap!$D:$K,MATCH($E44,Roadmap!$D:$D,0)-1+COUNTIF($E44:I44,"u")+COUNTIF($E44:I44,"t")+COUNTIF($E44:I44,"¶")+COUNTIF($E44:I44,"²")+COUNTIF($E44:I44,"µ")+COUNTIF($E44:I44,1),ColDescriptionCourte)),""),
  "")),"")</f>
        <v/>
      </c>
      <c r="K44" s="40" t="str">
        <f ca="1">IFERROR(IF(AND(
  INDEX(Roadmap!$D:$K,MATCH($E44,Roadmap!$D:$D,0)+COUNTIF($E44:J44,"u")+COUNTIF($E44:J44,"t")+COUNTIF($E44:J44,"¶")+COUNTIF($E44:J44,"²")+COUNTIF($E44:J44,"µ")+COUNTIF($E44:J44,1),ColLivraison)=K$6,
  VLOOKUP($E44,INDIRECT("tri!"&amp; CHAR(64+ C0Col) &amp;":"&amp; CHAR(65+C0Col)),2,FALSE)&gt;COUNTIF($E44:J44,"u")+COUNTIF($E44:J44,"t")+COUNTIF($E44:J44,"¶")+COUNTIF($E44:J44,"²")+COUNTIF($E44:J44,"µ")+COUNTIF($E44:J44,1)),
HYPERLINK("#Roadmap!C"&amp; MATCH($E44,Roadmap!$D:$D,0)+COUNTIF($E44:J44,"u")+COUNTIF($E44:J44,"t"),
     INDEX(Roadmap!$D:$K,MATCH($E44,Roadmap!$D:$D,0)+COUNTIF($E44:J44,"u")+COUNTIF($E44:J44,"t")+COUNTIF($E44:J44,"¶")+COUNTIF($E44:J44,"²")+COUNTIF($E44:J44,"µ")+COUNTIF($E44:J44,1),ColTypeEcheance)),
  IF(LEN(J44)=1,
  IF(LEN(INDEX(Roadmap!$D:$K,MATCH($E44,Roadmap!$D:$D,0)-1+COUNTIF($E44:J44,"u")+COUNTIF($E44:J44,"t")+COUNTIF($E44:J44,"¶")+COUNTIF($E44:J44,"²")+COUNTIF($E44:J44,"µ")+COUNTIF($E44:J44,1),ColDescriptionCourte))&gt;1,
HYPERLINK("#Roadmap!C"&amp; MATCH($E44,Roadmap!$D:$D,0)+COUNTIF($E44:J44,"u")+COUNTIF($E44:J44,"t")+COUNTIF($E44:J44,"¶")+COUNTIF($E44:J44,"²")+COUNTIF($E44:J44,"µ")+COUNTIF($E44:J44,1)-1,INDEX(Roadmap!$D:$K,MATCH($E44,Roadmap!$D:$D,0)-1+COUNTIF($E44:J44,"u")+COUNTIF($E44:J44,"t")+COUNTIF($E44:J44,"¶")+COUNTIF($E44:J44,"²")+COUNTIF($E44:J44,"µ")+COUNTIF($E44:J44,1),ColDescriptionCourte)),""),
  "")),"")</f>
        <v/>
      </c>
      <c r="L44" s="39" t="str">
        <f ca="1">IFERROR(IF(AND(
  INDEX(Roadmap!$D:$K,MATCH($E44,Roadmap!$D:$D,0)+COUNTIF($E44:K44,"u")+COUNTIF($E44:K44,"t")+COUNTIF($E44:K44,"¶")+COUNTIF($E44:K44,"²")+COUNTIF($E44:K44,"µ")+COUNTIF($E44:K44,1),ColLivraison)=L$6,
  VLOOKUP($E44,INDIRECT("tri!"&amp; CHAR(64+ C0Col) &amp;":"&amp; CHAR(65+C0Col)),2,FALSE)&gt;COUNTIF($E44:K44,"u")+COUNTIF($E44:K44,"t")+COUNTIF($E44:K44,"¶")+COUNTIF($E44:K44,"²")+COUNTIF($E44:K44,"µ")+COUNTIF($E44:K44,1)),
HYPERLINK("#Roadmap!C"&amp; MATCH($E44,Roadmap!$D:$D,0)+COUNTIF($E44:K44,"u")+COUNTIF($E44:K44,"t"),
     INDEX(Roadmap!$D:$K,MATCH($E44,Roadmap!$D:$D,0)+COUNTIF($E44:K44,"u")+COUNTIF($E44:K44,"t")+COUNTIF($E44:K44,"¶")+COUNTIF($E44:K44,"²")+COUNTIF($E44:K44,"µ")+COUNTIF($E44:K44,1),ColTypeEcheance)),
  IF(LEN(K44)=1,
  IF(LEN(INDEX(Roadmap!$D:$K,MATCH($E44,Roadmap!$D:$D,0)-1+COUNTIF($E44:K44,"u")+COUNTIF($E44:K44,"t")+COUNTIF($E44:K44,"¶")+COUNTIF($E44:K44,"²")+COUNTIF($E44:K44,"µ")+COUNTIF($E44:K44,1),ColDescriptionCourte))&gt;1,
HYPERLINK("#Roadmap!C"&amp; MATCH($E44,Roadmap!$D:$D,0)+COUNTIF($E44:K44,"u")+COUNTIF($E44:K44,"t")+COUNTIF($E44:K44,"¶")+COUNTIF($E44:K44,"²")+COUNTIF($E44:K44,"µ")+COUNTIF($E44:K44,1)-1,INDEX(Roadmap!$D:$K,MATCH($E44,Roadmap!$D:$D,0)-1+COUNTIF($E44:K44,"u")+COUNTIF($E44:K44,"t")+COUNTIF($E44:K44,"¶")+COUNTIF($E44:K44,"²")+COUNTIF($E44:K44,"µ")+COUNTIF($E44:K44,1),ColDescriptionCourte)),""),
  "")),"")</f>
        <v/>
      </c>
      <c r="M44" s="40" t="str">
        <f ca="1">IFERROR(IF(AND(
  INDEX(Roadmap!$D:$K,MATCH($E44,Roadmap!$D:$D,0)+COUNTIF($E44:L44,"u")+COUNTIF($E44:L44,"t")+COUNTIF($E44:L44,"¶")+COUNTIF($E44:L44,"²")+COUNTIF($E44:L44,"µ")+COUNTIF($E44:L44,1),ColLivraison)=M$6,
  VLOOKUP($E44,INDIRECT("tri!"&amp; CHAR(64+ C0Col) &amp;":"&amp; CHAR(65+C0Col)),2,FALSE)&gt;COUNTIF($E44:L44,"u")+COUNTIF($E44:L44,"t")+COUNTIF($E44:L44,"¶")+COUNTIF($E44:L44,"²")+COUNTIF($E44:L44,"µ")+COUNTIF($E44:L44,1)),
HYPERLINK("#Roadmap!C"&amp; MATCH($E44,Roadmap!$D:$D,0)+COUNTIF($E44:L44,"u")+COUNTIF($E44:L44,"t"),
     INDEX(Roadmap!$D:$K,MATCH($E44,Roadmap!$D:$D,0)+COUNTIF($E44:L44,"u")+COUNTIF($E44:L44,"t")+COUNTIF($E44:L44,"¶")+COUNTIF($E44:L44,"²")+COUNTIF($E44:L44,"µ")+COUNTIF($E44:L44,1),ColTypeEcheance)),
  IF(LEN(L44)=1,
  IF(LEN(INDEX(Roadmap!$D:$K,MATCH($E44,Roadmap!$D:$D,0)-1+COUNTIF($E44:L44,"u")+COUNTIF($E44:L44,"t")+COUNTIF($E44:L44,"¶")+COUNTIF($E44:L44,"²")+COUNTIF($E44:L44,"µ")+COUNTIF($E44:L44,1),ColDescriptionCourte))&gt;1,
HYPERLINK("#Roadmap!C"&amp; MATCH($E44,Roadmap!$D:$D,0)+COUNTIF($E44:L44,"u")+COUNTIF($E44:L44,"t")+COUNTIF($E44:L44,"¶")+COUNTIF($E44:L44,"²")+COUNTIF($E44:L44,"µ")+COUNTIF($E44:L44,1)-1,INDEX(Roadmap!$D:$K,MATCH($E44,Roadmap!$D:$D,0)-1+COUNTIF($E44:L44,"u")+COUNTIF($E44:L44,"t")+COUNTIF($E44:L44,"¶")+COUNTIF($E44:L44,"²")+COUNTIF($E44:L44,"µ")+COUNTIF($E44:L44,1),ColDescriptionCourte)),""),
  "")),"")</f>
        <v/>
      </c>
      <c r="N44" s="40" t="str">
        <f ca="1">IFERROR(IF(AND(
  INDEX(Roadmap!$D:$K,MATCH($E44,Roadmap!$D:$D,0)+COUNTIF($E44:M44,"u")+COUNTIF($E44:M44,"t")+COUNTIF($E44:M44,"¶")+COUNTIF($E44:M44,"²")+COUNTIF($E44:M44,"µ")+COUNTIF($E44:M44,1),ColLivraison)=N$6,
  VLOOKUP($E44,INDIRECT("tri!"&amp; CHAR(64+ C0Col) &amp;":"&amp; CHAR(65+C0Col)),2,FALSE)&gt;COUNTIF($E44:M44,"u")+COUNTIF($E44:M44,"t")+COUNTIF($E44:M44,"¶")+COUNTIF($E44:M44,"²")+COUNTIF($E44:M44,"µ")+COUNTIF($E44:M44,1)),
HYPERLINK("#Roadmap!C"&amp; MATCH($E44,Roadmap!$D:$D,0)+COUNTIF($E44:M44,"u")+COUNTIF($E44:M44,"t"),
     INDEX(Roadmap!$D:$K,MATCH($E44,Roadmap!$D:$D,0)+COUNTIF($E44:M44,"u")+COUNTIF($E44:M44,"t")+COUNTIF($E44:M44,"¶")+COUNTIF($E44:M44,"²")+COUNTIF($E44:M44,"µ")+COUNTIF($E44:M44,1),ColTypeEcheance)),
  IF(LEN(M44)=1,
  IF(LEN(INDEX(Roadmap!$D:$K,MATCH($E44,Roadmap!$D:$D,0)-1+COUNTIF($E44:M44,"u")+COUNTIF($E44:M44,"t")+COUNTIF($E44:M44,"¶")+COUNTIF($E44:M44,"²")+COUNTIF($E44:M44,"µ")+COUNTIF($E44:M44,1),ColDescriptionCourte))&gt;1,
HYPERLINK("#Roadmap!C"&amp; MATCH($E44,Roadmap!$D:$D,0)+COUNTIF($E44:M44,"u")+COUNTIF($E44:M44,"t")+COUNTIF($E44:M44,"¶")+COUNTIF($E44:M44,"²")+COUNTIF($E44:M44,"µ")+COUNTIF($E44:M44,1)-1,INDEX(Roadmap!$D:$K,MATCH($E44,Roadmap!$D:$D,0)-1+COUNTIF($E44:M44,"u")+COUNTIF($E44:M44,"t")+COUNTIF($E44:M44,"¶")+COUNTIF($E44:M44,"²")+COUNTIF($E44:M44,"µ")+COUNTIF($E44:M44,1),ColDescriptionCourte)),""),
  "")),"")</f>
        <v/>
      </c>
      <c r="O44" s="40" t="str">
        <f ca="1">IFERROR(IF(AND(
  INDEX(Roadmap!$D:$K,MATCH($E44,Roadmap!$D:$D,0)+COUNTIF($E44:N44,"u")+COUNTIF($E44:N44,"t")+COUNTIF($E44:N44,"¶")+COUNTIF($E44:N44,"²")+COUNTIF($E44:N44,"µ")+COUNTIF($E44:N44,1),ColLivraison)=O$6,
  VLOOKUP($E44,INDIRECT("tri!"&amp; CHAR(64+ C0Col) &amp;":"&amp; CHAR(65+C0Col)),2,FALSE)&gt;COUNTIF($E44:N44,"u")+COUNTIF($E44:N44,"t")+COUNTIF($E44:N44,"¶")+COUNTIF($E44:N44,"²")+COUNTIF($E44:N44,"µ")+COUNTIF($E44:N44,1)),
HYPERLINK("#Roadmap!C"&amp; MATCH($E44,Roadmap!$D:$D,0)+COUNTIF($E44:N44,"u")+COUNTIF($E44:N44,"t"),
     INDEX(Roadmap!$D:$K,MATCH($E44,Roadmap!$D:$D,0)+COUNTIF($E44:N44,"u")+COUNTIF($E44:N44,"t")+COUNTIF($E44:N44,"¶")+COUNTIF($E44:N44,"²")+COUNTIF($E44:N44,"µ")+COUNTIF($E44:N44,1),ColTypeEcheance)),
  IF(LEN(N44)=1,
  IF(LEN(INDEX(Roadmap!$D:$K,MATCH($E44,Roadmap!$D:$D,0)-1+COUNTIF($E44:N44,"u")+COUNTIF($E44:N44,"t")+COUNTIF($E44:N44,"¶")+COUNTIF($E44:N44,"²")+COUNTIF($E44:N44,"µ")+COUNTIF($E44:N44,1),ColDescriptionCourte))&gt;1,
HYPERLINK("#Roadmap!C"&amp; MATCH($E44,Roadmap!$D:$D,0)+COUNTIF($E44:N44,"u")+COUNTIF($E44:N44,"t")+COUNTIF($E44:N44,"¶")+COUNTIF($E44:N44,"²")+COUNTIF($E44:N44,"µ")+COUNTIF($E44:N44,1)-1,INDEX(Roadmap!$D:$K,MATCH($E44,Roadmap!$D:$D,0)-1+COUNTIF($E44:N44,"u")+COUNTIF($E44:N44,"t")+COUNTIF($E44:N44,"¶")+COUNTIF($E44:N44,"²")+COUNTIF($E44:N44,"µ")+COUNTIF($E44:N44,1),ColDescriptionCourte)),""),
  "")),"")</f>
        <v/>
      </c>
      <c r="P44" s="40" t="str">
        <f ca="1">IFERROR(IF(AND(
  INDEX(Roadmap!$D:$K,MATCH($E44,Roadmap!$D:$D,0)+COUNTIF($E44:O44,"u")+COUNTIF($E44:O44,"t")+COUNTIF($E44:O44,"¶")+COUNTIF($E44:O44,"²")+COUNTIF($E44:O44,"µ")+COUNTIF($E44:O44,1),ColLivraison)=P$6,
  VLOOKUP($E44,INDIRECT("tri!"&amp; CHAR(64+ C0Col) &amp;":"&amp; CHAR(65+C0Col)),2,FALSE)&gt;COUNTIF($E44:O44,"u")+COUNTIF($E44:O44,"t")+COUNTIF($E44:O44,"¶")+COUNTIF($E44:O44,"²")+COUNTIF($E44:O44,"µ")+COUNTIF($E44:O44,1)),
HYPERLINK("#Roadmap!C"&amp; MATCH($E44,Roadmap!$D:$D,0)+COUNTIF($E44:O44,"u")+COUNTIF($E44:O44,"t"),
     INDEX(Roadmap!$D:$K,MATCH($E44,Roadmap!$D:$D,0)+COUNTIF($E44:O44,"u")+COUNTIF($E44:O44,"t")+COUNTIF($E44:O44,"¶")+COUNTIF($E44:O44,"²")+COUNTIF($E44:O44,"µ")+COUNTIF($E44:O44,1),ColTypeEcheance)),
  IF(LEN(O44)=1,
  IF(LEN(INDEX(Roadmap!$D:$K,MATCH($E44,Roadmap!$D:$D,0)-1+COUNTIF($E44:O44,"u")+COUNTIF($E44:O44,"t")+COUNTIF($E44:O44,"¶")+COUNTIF($E44:O44,"²")+COUNTIF($E44:O44,"µ")+COUNTIF($E44:O44,1),ColDescriptionCourte))&gt;1,
HYPERLINK("#Roadmap!C"&amp; MATCH($E44,Roadmap!$D:$D,0)+COUNTIF($E44:O44,"u")+COUNTIF($E44:O44,"t")+COUNTIF($E44:O44,"¶")+COUNTIF($E44:O44,"²")+COUNTIF($E44:O44,"µ")+COUNTIF($E44:O44,1)-1,INDEX(Roadmap!$D:$K,MATCH($E44,Roadmap!$D:$D,0)-1+COUNTIF($E44:O44,"u")+COUNTIF($E44:O44,"t")+COUNTIF($E44:O44,"¶")+COUNTIF($E44:O44,"²")+COUNTIF($E44:O44,"µ")+COUNTIF($E44:O44,1),ColDescriptionCourte)),""),
  "")),"")</f>
        <v/>
      </c>
      <c r="Q44" s="40" t="str">
        <f ca="1">IFERROR(IF(AND(
  INDEX(Roadmap!$D:$K,MATCH($E44,Roadmap!$D:$D,0)+COUNTIF($E44:P44,"u")+COUNTIF($E44:P44,"t")+COUNTIF($E44:P44,"¶")+COUNTIF($E44:P44,"²")+COUNTIF($E44:P44,"µ")+COUNTIF($E44:P44,1),ColLivraison)=Q$6,
  VLOOKUP($E44,INDIRECT("tri!"&amp; CHAR(64+ C0Col) &amp;":"&amp; CHAR(65+C0Col)),2,FALSE)&gt;COUNTIF($E44:P44,"u")+COUNTIF($E44:P44,"t")+COUNTIF($E44:P44,"¶")+COUNTIF($E44:P44,"²")+COUNTIF($E44:P44,"µ")+COUNTIF($E44:P44,1)),
HYPERLINK("#Roadmap!C"&amp; MATCH($E44,Roadmap!$D:$D,0)+COUNTIF($E44:P44,"u")+COUNTIF($E44:P44,"t"),
     INDEX(Roadmap!$D:$K,MATCH($E44,Roadmap!$D:$D,0)+COUNTIF($E44:P44,"u")+COUNTIF($E44:P44,"t")+COUNTIF($E44:P44,"¶")+COUNTIF($E44:P44,"²")+COUNTIF($E44:P44,"µ")+COUNTIF($E44:P44,1),ColTypeEcheance)),
  IF(LEN(P44)=1,
  IF(LEN(INDEX(Roadmap!$D:$K,MATCH($E44,Roadmap!$D:$D,0)-1+COUNTIF($E44:P44,"u")+COUNTIF($E44:P44,"t")+COUNTIF($E44:P44,"¶")+COUNTIF($E44:P44,"²")+COUNTIF($E44:P44,"µ")+COUNTIF($E44:P44,1),ColDescriptionCourte))&gt;1,
HYPERLINK("#Roadmap!C"&amp; MATCH($E44,Roadmap!$D:$D,0)+COUNTIF($E44:P44,"u")+COUNTIF($E44:P44,"t")+COUNTIF($E44:P44,"¶")+COUNTIF($E44:P44,"²")+COUNTIF($E44:P44,"µ")+COUNTIF($E44:P44,1)-1,INDEX(Roadmap!$D:$K,MATCH($E44,Roadmap!$D:$D,0)-1+COUNTIF($E44:P44,"u")+COUNTIF($E44:P44,"t")+COUNTIF($E44:P44,"¶")+COUNTIF($E44:P44,"²")+COUNTIF($E44:P44,"µ")+COUNTIF($E44:P44,1),ColDescriptionCourte)),""),
  "")),"")</f>
        <v/>
      </c>
      <c r="R44" s="40" t="str">
        <f ca="1">IFERROR(IF(AND(
  INDEX(Roadmap!$D:$K,MATCH($E44,Roadmap!$D:$D,0)+COUNTIF($E44:Q44,"u")+COUNTIF($E44:Q44,"t")+COUNTIF($E44:Q44,"¶")+COUNTIF($E44:Q44,"²")+COUNTIF($E44:Q44,"µ")+COUNTIF($E44:Q44,1),ColLivraison)=R$6,
  VLOOKUP($E44,INDIRECT("tri!"&amp; CHAR(64+ C0Col) &amp;":"&amp; CHAR(65+C0Col)),2,FALSE)&gt;COUNTIF($E44:Q44,"u")+COUNTIF($E44:Q44,"t")+COUNTIF($E44:Q44,"¶")+COUNTIF($E44:Q44,"²")+COUNTIF($E44:Q44,"µ")+COUNTIF($E44:Q44,1)),
HYPERLINK("#Roadmap!C"&amp; MATCH($E44,Roadmap!$D:$D,0)+COUNTIF($E44:Q44,"u")+COUNTIF($E44:Q44,"t"),
     INDEX(Roadmap!$D:$K,MATCH($E44,Roadmap!$D:$D,0)+COUNTIF($E44:Q44,"u")+COUNTIF($E44:Q44,"t")+COUNTIF($E44:Q44,"¶")+COUNTIF($E44:Q44,"²")+COUNTIF($E44:Q44,"µ")+COUNTIF($E44:Q44,1),ColTypeEcheance)),
  IF(LEN(Q44)=1,
  IF(LEN(INDEX(Roadmap!$D:$K,MATCH($E44,Roadmap!$D:$D,0)-1+COUNTIF($E44:Q44,"u")+COUNTIF($E44:Q44,"t")+COUNTIF($E44:Q44,"¶")+COUNTIF($E44:Q44,"²")+COUNTIF($E44:Q44,"µ")+COUNTIF($E44:Q44,1),ColDescriptionCourte))&gt;1,
HYPERLINK("#Roadmap!C"&amp; MATCH($E44,Roadmap!$D:$D,0)+COUNTIF($E44:Q44,"u")+COUNTIF($E44:Q44,"t")+COUNTIF($E44:Q44,"¶")+COUNTIF($E44:Q44,"²")+COUNTIF($E44:Q44,"µ")+COUNTIF($E44:Q44,1)-1,INDEX(Roadmap!$D:$K,MATCH($E44,Roadmap!$D:$D,0)-1+COUNTIF($E44:Q44,"u")+COUNTIF($E44:Q44,"t")+COUNTIF($E44:Q44,"¶")+COUNTIF($E44:Q44,"²")+COUNTIF($E44:Q44,"µ")+COUNTIF($E44:Q44,1),ColDescriptionCourte)),""),
  "")),"")</f>
        <v/>
      </c>
      <c r="S44" s="40" t="str">
        <f ca="1">IFERROR(IF(AND(
  INDEX(Roadmap!$D:$K,MATCH($E44,Roadmap!$D:$D,0)+COUNTIF($E44:R44,"u")+COUNTIF($E44:R44,"t")+COUNTIF($E44:R44,"¶")+COUNTIF($E44:R44,"²")+COUNTIF($E44:R44,"µ")+COUNTIF($E44:R44,1),ColLivraison)=S$6,
  VLOOKUP($E44,INDIRECT("tri!"&amp; CHAR(64+ C0Col) &amp;":"&amp; CHAR(65+C0Col)),2,FALSE)&gt;COUNTIF($E44:R44,"u")+COUNTIF($E44:R44,"t")+COUNTIF($E44:R44,"¶")+COUNTIF($E44:R44,"²")+COUNTIF($E44:R44,"µ")+COUNTIF($E44:R44,1)),
HYPERLINK("#Roadmap!C"&amp; MATCH($E44,Roadmap!$D:$D,0)+COUNTIF($E44:R44,"u")+COUNTIF($E44:R44,"t"),
     INDEX(Roadmap!$D:$K,MATCH($E44,Roadmap!$D:$D,0)+COUNTIF($E44:R44,"u")+COUNTIF($E44:R44,"t")+COUNTIF($E44:R44,"¶")+COUNTIF($E44:R44,"²")+COUNTIF($E44:R44,"µ")+COUNTIF($E44:R44,1),ColTypeEcheance)),
  IF(LEN(R44)=1,
  IF(LEN(INDEX(Roadmap!$D:$K,MATCH($E44,Roadmap!$D:$D,0)-1+COUNTIF($E44:R44,"u")+COUNTIF($E44:R44,"t")+COUNTIF($E44:R44,"¶")+COUNTIF($E44:R44,"²")+COUNTIF($E44:R44,"µ")+COUNTIF($E44:R44,1),ColDescriptionCourte))&gt;1,
HYPERLINK("#Roadmap!C"&amp; MATCH($E44,Roadmap!$D:$D,0)+COUNTIF($E44:R44,"u")+COUNTIF($E44:R44,"t")+COUNTIF($E44:R44,"¶")+COUNTIF($E44:R44,"²")+COUNTIF($E44:R44,"µ")+COUNTIF($E44:R44,1)-1,INDEX(Roadmap!$D:$K,MATCH($E44,Roadmap!$D:$D,0)-1+COUNTIF($E44:R44,"u")+COUNTIF($E44:R44,"t")+COUNTIF($E44:R44,"¶")+COUNTIF($E44:R44,"²")+COUNTIF($E44:R44,"µ")+COUNTIF($E44:R44,1),ColDescriptionCourte)),""),
  "")),"")</f>
        <v/>
      </c>
      <c r="T44" s="40" t="str">
        <f ca="1">IFERROR(IF(AND(
  INDEX(Roadmap!$D:$K,MATCH($E44,Roadmap!$D:$D,0)+COUNTIF($E44:S44,"u")+COUNTIF($E44:S44,"t")+COUNTIF($E44:S44,"¶")+COUNTIF($E44:S44,"²")+COUNTIF($E44:S44,"µ")+COUNTIF($E44:S44,1),ColLivraison)=T$6,
  VLOOKUP($E44,INDIRECT("tri!"&amp; CHAR(64+ C0Col) &amp;":"&amp; CHAR(65+C0Col)),2,FALSE)&gt;COUNTIF($E44:S44,"u")+COUNTIF($E44:S44,"t")+COUNTIF($E44:S44,"¶")+COUNTIF($E44:S44,"²")+COUNTIF($E44:S44,"µ")+COUNTIF($E44:S44,1)),
HYPERLINK("#Roadmap!C"&amp; MATCH($E44,Roadmap!$D:$D,0)+COUNTIF($E44:S44,"u")+COUNTIF($E44:S44,"t"),
     INDEX(Roadmap!$D:$K,MATCH($E44,Roadmap!$D:$D,0)+COUNTIF($E44:S44,"u")+COUNTIF($E44:S44,"t")+COUNTIF($E44:S44,"¶")+COUNTIF($E44:S44,"²")+COUNTIF($E44:S44,"µ")+COUNTIF($E44:S44,1),ColTypeEcheance)),
  IF(LEN(S44)=1,
  IF(LEN(INDEX(Roadmap!$D:$K,MATCH($E44,Roadmap!$D:$D,0)-1+COUNTIF($E44:S44,"u")+COUNTIF($E44:S44,"t")+COUNTIF($E44:S44,"¶")+COUNTIF($E44:S44,"²")+COUNTIF($E44:S44,"µ")+COUNTIF($E44:S44,1),ColDescriptionCourte))&gt;1,
HYPERLINK("#Roadmap!C"&amp; MATCH($E44,Roadmap!$D:$D,0)+COUNTIF($E44:S44,"u")+COUNTIF($E44:S44,"t")+COUNTIF($E44:S44,"¶")+COUNTIF($E44:S44,"²")+COUNTIF($E44:S44,"µ")+COUNTIF($E44:S44,1)-1,INDEX(Roadmap!$D:$K,MATCH($E44,Roadmap!$D:$D,0)-1+COUNTIF($E44:S44,"u")+COUNTIF($E44:S44,"t")+COUNTIF($E44:S44,"¶")+COUNTIF($E44:S44,"²")+COUNTIF($E44:S44,"µ")+COUNTIF($E44:S44,1),ColDescriptionCourte)),""),
  "")),"")</f>
        <v/>
      </c>
      <c r="U44" s="40" t="str">
        <f ca="1">IFERROR(IF(AND(
  INDEX(Roadmap!$D:$K,MATCH($E44,Roadmap!$D:$D,0)+COUNTIF($E44:T44,"u")+COUNTIF($E44:T44,"t")+COUNTIF($E44:T44,"¶")+COUNTIF($E44:T44,"²")+COUNTIF($E44:T44,"µ")+COUNTIF($E44:T44,1),ColLivraison)=U$6,
  VLOOKUP($E44,INDIRECT("tri!"&amp; CHAR(64+ C0Col) &amp;":"&amp; CHAR(65+C0Col)),2,FALSE)&gt;COUNTIF($E44:T44,"u")+COUNTIF($E44:T44,"t")+COUNTIF($E44:T44,"¶")+COUNTIF($E44:T44,"²")+COUNTIF($E44:T44,"µ")+COUNTIF($E44:T44,1)),
HYPERLINK("#Roadmap!C"&amp; MATCH($E44,Roadmap!$D:$D,0)+COUNTIF($E44:T44,"u")+COUNTIF($E44:T44,"t"),
     INDEX(Roadmap!$D:$K,MATCH($E44,Roadmap!$D:$D,0)+COUNTIF($E44:T44,"u")+COUNTIF($E44:T44,"t")+COUNTIF($E44:T44,"¶")+COUNTIF($E44:T44,"²")+COUNTIF($E44:T44,"µ")+COUNTIF($E44:T44,1),ColTypeEcheance)),
  IF(LEN(T44)=1,
  IF(LEN(INDEX(Roadmap!$D:$K,MATCH($E44,Roadmap!$D:$D,0)-1+COUNTIF($E44:T44,"u")+COUNTIF($E44:T44,"t")+COUNTIF($E44:T44,"¶")+COUNTIF($E44:T44,"²")+COUNTIF($E44:T44,"µ")+COUNTIF($E44:T44,1),ColDescriptionCourte))&gt;1,
HYPERLINK("#Roadmap!C"&amp; MATCH($E44,Roadmap!$D:$D,0)+COUNTIF($E44:T44,"u")+COUNTIF($E44:T44,"t")+COUNTIF($E44:T44,"¶")+COUNTIF($E44:T44,"²")+COUNTIF($E44:T44,"µ")+COUNTIF($E44:T44,1)-1,INDEX(Roadmap!$D:$K,MATCH($E44,Roadmap!$D:$D,0)-1+COUNTIF($E44:T44,"u")+COUNTIF($E44:T44,"t")+COUNTIF($E44:T44,"¶")+COUNTIF($E44:T44,"²")+COUNTIF($E44:T44,"µ")+COUNTIF($E44:T44,1),ColDescriptionCourte)),""),
  "")),"")</f>
        <v/>
      </c>
      <c r="V44" s="40" t="str">
        <f ca="1">IFERROR(IF(AND(
  INDEX(Roadmap!$D:$K,MATCH($E44,Roadmap!$D:$D,0)+COUNTIF($E44:U44,"u")+COUNTIF($E44:U44,"t")+COUNTIF($E44:U44,"¶")+COUNTIF($E44:U44,"²")+COUNTIF($E44:U44,"µ")+COUNTIF($E44:U44,1),ColLivraison)=V$6,
  VLOOKUP($E44,INDIRECT("tri!"&amp; CHAR(64+ C0Col) &amp;":"&amp; CHAR(65+C0Col)),2,FALSE)&gt;COUNTIF($E44:U44,"u")+COUNTIF($E44:U44,"t")+COUNTIF($E44:U44,"¶")+COUNTIF($E44:U44,"²")+COUNTIF($E44:U44,"µ")+COUNTIF($E44:U44,1)),
HYPERLINK("#Roadmap!C"&amp; MATCH($E44,Roadmap!$D:$D,0)+COUNTIF($E44:U44,"u")+COUNTIF($E44:U44,"t"),
     INDEX(Roadmap!$D:$K,MATCH($E44,Roadmap!$D:$D,0)+COUNTIF($E44:U44,"u")+COUNTIF($E44:U44,"t")+COUNTIF($E44:U44,"¶")+COUNTIF($E44:U44,"²")+COUNTIF($E44:U44,"µ")+COUNTIF($E44:U44,1),ColTypeEcheance)),
  IF(LEN(U44)=1,
  IF(LEN(INDEX(Roadmap!$D:$K,MATCH($E44,Roadmap!$D:$D,0)-1+COUNTIF($E44:U44,"u")+COUNTIF($E44:U44,"t")+COUNTIF($E44:U44,"¶")+COUNTIF($E44:U44,"²")+COUNTIF($E44:U44,"µ")+COUNTIF($E44:U44,1),ColDescriptionCourte))&gt;1,
HYPERLINK("#Roadmap!C"&amp; MATCH($E44,Roadmap!$D:$D,0)+COUNTIF($E44:U44,"u")+COUNTIF($E44:U44,"t")+COUNTIF($E44:U44,"¶")+COUNTIF($E44:U44,"²")+COUNTIF($E44:U44,"µ")+COUNTIF($E44:U44,1)-1,INDEX(Roadmap!$D:$K,MATCH($E44,Roadmap!$D:$D,0)-1+COUNTIF($E44:U44,"u")+COUNTIF($E44:U44,"t")+COUNTIF($E44:U44,"¶")+COUNTIF($E44:U44,"²")+COUNTIF($E44:U44,"µ")+COUNTIF($E44:U44,1),ColDescriptionCourte)),""),
  "")),"")</f>
        <v/>
      </c>
      <c r="W44" s="40" t="str">
        <f ca="1">IFERROR(IF(AND(
  INDEX(Roadmap!$D:$K,MATCH($E44,Roadmap!$D:$D,0)+COUNTIF($E44:V44,"u")+COUNTIF($E44:V44,"t")+COUNTIF($E44:V44,"¶")+COUNTIF($E44:V44,"²")+COUNTIF($E44:V44,"µ")+COUNTIF($E44:V44,1),ColLivraison)=W$6,
  VLOOKUP($E44,INDIRECT("tri!"&amp; CHAR(64+ C0Col) &amp;":"&amp; CHAR(65+C0Col)),2,FALSE)&gt;COUNTIF($E44:V44,"u")+COUNTIF($E44:V44,"t")+COUNTIF($E44:V44,"¶")+COUNTIF($E44:V44,"²")+COUNTIF($E44:V44,"µ")+COUNTIF($E44:V44,1)),
HYPERLINK("#Roadmap!C"&amp; MATCH($E44,Roadmap!$D:$D,0)+COUNTIF($E44:V44,"u")+COUNTIF($E44:V44,"t"),
     INDEX(Roadmap!$D:$K,MATCH($E44,Roadmap!$D:$D,0)+COUNTIF($E44:V44,"u")+COUNTIF($E44:V44,"t")+COUNTIF($E44:V44,"¶")+COUNTIF($E44:V44,"²")+COUNTIF($E44:V44,"µ")+COUNTIF($E44:V44,1),ColTypeEcheance)),
  IF(LEN(V44)=1,
  IF(LEN(INDEX(Roadmap!$D:$K,MATCH($E44,Roadmap!$D:$D,0)-1+COUNTIF($E44:V44,"u")+COUNTIF($E44:V44,"t")+COUNTIF($E44:V44,"¶")+COUNTIF($E44:V44,"²")+COUNTIF($E44:V44,"µ")+COUNTIF($E44:V44,1),ColDescriptionCourte))&gt;1,
HYPERLINK("#Roadmap!C"&amp; MATCH($E44,Roadmap!$D:$D,0)+COUNTIF($E44:V44,"u")+COUNTIF($E44:V44,"t")+COUNTIF($E44:V44,"¶")+COUNTIF($E44:V44,"²")+COUNTIF($E44:V44,"µ")+COUNTIF($E44:V44,1)-1,INDEX(Roadmap!$D:$K,MATCH($E44,Roadmap!$D:$D,0)-1+COUNTIF($E44:V44,"u")+COUNTIF($E44:V44,"t")+COUNTIF($E44:V44,"¶")+COUNTIF($E44:V44,"²")+COUNTIF($E44:V44,"µ")+COUNTIF($E44:V44,1),ColDescriptionCourte)),""),
  "")),"")</f>
        <v/>
      </c>
      <c r="X44" s="40" t="str">
        <f ca="1">IFERROR(IF(AND(
  INDEX(Roadmap!$D:$K,MATCH($E44,Roadmap!$D:$D,0)+COUNTIF($E44:W44,"u")+COUNTIF($E44:W44,"t")+COUNTIF($E44:W44,"¶")+COUNTIF($E44:W44,"²")+COUNTIF($E44:W44,"µ")+COUNTIF($E44:W44,1),ColLivraison)=X$6,
  VLOOKUP($E44,INDIRECT("tri!"&amp; CHAR(64+ C0Col) &amp;":"&amp; CHAR(65+C0Col)),2,FALSE)&gt;COUNTIF($E44:W44,"u")+COUNTIF($E44:W44,"t")+COUNTIF($E44:W44,"¶")+COUNTIF($E44:W44,"²")+COUNTIF($E44:W44,"µ")+COUNTIF($E44:W44,1)),
HYPERLINK("#Roadmap!C"&amp; MATCH($E44,Roadmap!$D:$D,0)+COUNTIF($E44:W44,"u")+COUNTIF($E44:W44,"t"),
     INDEX(Roadmap!$D:$K,MATCH($E44,Roadmap!$D:$D,0)+COUNTIF($E44:W44,"u")+COUNTIF($E44:W44,"t")+COUNTIF($E44:W44,"¶")+COUNTIF($E44:W44,"²")+COUNTIF($E44:W44,"µ")+COUNTIF($E44:W44,1),ColTypeEcheance)),
  IF(LEN(W44)=1,
  IF(LEN(INDEX(Roadmap!$D:$K,MATCH($E44,Roadmap!$D:$D,0)-1+COUNTIF($E44:W44,"u")+COUNTIF($E44:W44,"t")+COUNTIF($E44:W44,"¶")+COUNTIF($E44:W44,"²")+COUNTIF($E44:W44,"µ")+COUNTIF($E44:W44,1),ColDescriptionCourte))&gt;1,
HYPERLINK("#Roadmap!C"&amp; MATCH($E44,Roadmap!$D:$D,0)+COUNTIF($E44:W44,"u")+COUNTIF($E44:W44,"t")+COUNTIF($E44:W44,"¶")+COUNTIF($E44:W44,"²")+COUNTIF($E44:W44,"µ")+COUNTIF($E44:W44,1)-1,INDEX(Roadmap!$D:$K,MATCH($E44,Roadmap!$D:$D,0)-1+COUNTIF($E44:W44,"u")+COUNTIF($E44:W44,"t")+COUNTIF($E44:W44,"¶")+COUNTIF($E44:W44,"²")+COUNTIF($E44:W44,"µ")+COUNTIF($E44:W44,1),ColDescriptionCourte)),""),
  "")),"")</f>
        <v/>
      </c>
      <c r="Y44" s="40" t="str">
        <f ca="1">IFERROR(IF(AND(
  INDEX(Roadmap!$D:$K,MATCH($E44,Roadmap!$D:$D,0)+COUNTIF($E44:X44,"u")+COUNTIF($E44:X44,"t")+COUNTIF($E44:X44,"¶")+COUNTIF($E44:X44,"²")+COUNTIF($E44:X44,"µ")+COUNTIF($E44:X44,1),ColLivraison)=Y$6,
  VLOOKUP($E44,INDIRECT("tri!"&amp; CHAR(64+ C0Col) &amp;":"&amp; CHAR(65+C0Col)),2,FALSE)&gt;COUNTIF($E44:X44,"u")+COUNTIF($E44:X44,"t")+COUNTIF($E44:X44,"¶")+COUNTIF($E44:X44,"²")+COUNTIF($E44:X44,"µ")+COUNTIF($E44:X44,1)),
HYPERLINK("#Roadmap!C"&amp; MATCH($E44,Roadmap!$D:$D,0)+COUNTIF($E44:X44,"u")+COUNTIF($E44:X44,"t"),
     INDEX(Roadmap!$D:$K,MATCH($E44,Roadmap!$D:$D,0)+COUNTIF($E44:X44,"u")+COUNTIF($E44:X44,"t")+COUNTIF($E44:X44,"¶")+COUNTIF($E44:X44,"²")+COUNTIF($E44:X44,"µ")+COUNTIF($E44:X44,1),ColTypeEcheance)),
  IF(LEN(X44)=1,
  IF(LEN(INDEX(Roadmap!$D:$K,MATCH($E44,Roadmap!$D:$D,0)-1+COUNTIF($E44:X44,"u")+COUNTIF($E44:X44,"t")+COUNTIF($E44:X44,"¶")+COUNTIF($E44:X44,"²")+COUNTIF($E44:X44,"µ")+COUNTIF($E44:X44,1),ColDescriptionCourte))&gt;1,
HYPERLINK("#Roadmap!C"&amp; MATCH($E44,Roadmap!$D:$D,0)+COUNTIF($E44:X44,"u")+COUNTIF($E44:X44,"t")+COUNTIF($E44:X44,"¶")+COUNTIF($E44:X44,"²")+COUNTIF($E44:X44,"µ")+COUNTIF($E44:X44,1)-1,INDEX(Roadmap!$D:$K,MATCH($E44,Roadmap!$D:$D,0)-1+COUNTIF($E44:X44,"u")+COUNTIF($E44:X44,"t")+COUNTIF($E44:X44,"¶")+COUNTIF($E44:X44,"²")+COUNTIF($E44:X44,"µ")+COUNTIF($E44:X44,1),ColDescriptionCourte)),""),
  "")),"")</f>
        <v/>
      </c>
      <c r="Z44" s="40" t="str">
        <f ca="1">IFERROR(IF(AND(
  INDEX(Roadmap!$D:$K,MATCH($E44,Roadmap!$D:$D,0)+COUNTIF($E44:Y44,"u")+COUNTIF($E44:Y44,"t")+COUNTIF($E44:Y44,"¶")+COUNTIF($E44:Y44,"²")+COUNTIF($E44:Y44,"µ")+COUNTIF($E44:Y44,1),ColLivraison)=Z$6,
  VLOOKUP($E44,INDIRECT("tri!"&amp; CHAR(64+ C0Col) &amp;":"&amp; CHAR(65+C0Col)),2,FALSE)&gt;COUNTIF($E44:Y44,"u")+COUNTIF($E44:Y44,"t")+COUNTIF($E44:Y44,"¶")+COUNTIF($E44:Y44,"²")+COUNTIF($E44:Y44,"µ")+COUNTIF($E44:Y44,1)),
HYPERLINK("#Roadmap!C"&amp; MATCH($E44,Roadmap!$D:$D,0)+COUNTIF($E44:Y44,"u")+COUNTIF($E44:Y44,"t"),
     INDEX(Roadmap!$D:$K,MATCH($E44,Roadmap!$D:$D,0)+COUNTIF($E44:Y44,"u")+COUNTIF($E44:Y44,"t")+COUNTIF($E44:Y44,"¶")+COUNTIF($E44:Y44,"²")+COUNTIF($E44:Y44,"µ")+COUNTIF($E44:Y44,1),ColTypeEcheance)),
  IF(LEN(Y44)=1,
  IF(LEN(INDEX(Roadmap!$D:$K,MATCH($E44,Roadmap!$D:$D,0)-1+COUNTIF($E44:Y44,"u")+COUNTIF($E44:Y44,"t")+COUNTIF($E44:Y44,"¶")+COUNTIF($E44:Y44,"²")+COUNTIF($E44:Y44,"µ")+COUNTIF($E44:Y44,1),ColDescriptionCourte))&gt;1,
HYPERLINK("#Roadmap!C"&amp; MATCH($E44,Roadmap!$D:$D,0)+COUNTIF($E44:Y44,"u")+COUNTIF($E44:Y44,"t")+COUNTIF($E44:Y44,"¶")+COUNTIF($E44:Y44,"²")+COUNTIF($E44:Y44,"µ")+COUNTIF($E44:Y44,1)-1,INDEX(Roadmap!$D:$K,MATCH($E44,Roadmap!$D:$D,0)-1+COUNTIF($E44:Y44,"u")+COUNTIF($E44:Y44,"t")+COUNTIF($E44:Y44,"¶")+COUNTIF($E44:Y44,"²")+COUNTIF($E44:Y44,"µ")+COUNTIF($E44:Y44,1),ColDescriptionCourte)),""),
  "")),"")</f>
        <v/>
      </c>
      <c r="AA44" s="40" t="str">
        <f ca="1">IFERROR(IF(AND(
  INDEX(Roadmap!$D:$K,MATCH($E44,Roadmap!$D:$D,0)+COUNTIF($E44:Z44,"u")+COUNTIF($E44:Z44,"t")+COUNTIF($E44:Z44,"¶")+COUNTIF($E44:Z44,"²")+COUNTIF($E44:Z44,"µ")+COUNTIF($E44:Z44,1),ColLivraison)=AA$6,
  VLOOKUP($E44,INDIRECT("tri!"&amp; CHAR(64+ C0Col) &amp;":"&amp; CHAR(65+C0Col)),2,FALSE)&gt;COUNTIF($E44:Z44,"u")+COUNTIF($E44:Z44,"t")+COUNTIF($E44:Z44,"¶")+COUNTIF($E44:Z44,"²")+COUNTIF($E44:Z44,"µ")+COUNTIF($E44:Z44,1)),
HYPERLINK("#Roadmap!C"&amp; MATCH($E44,Roadmap!$D:$D,0)+COUNTIF($E44:Z44,"u")+COUNTIF($E44:Z44,"t"),
     INDEX(Roadmap!$D:$K,MATCH($E44,Roadmap!$D:$D,0)+COUNTIF($E44:Z44,"u")+COUNTIF($E44:Z44,"t")+COUNTIF($E44:Z44,"¶")+COUNTIF($E44:Z44,"²")+COUNTIF($E44:Z44,"µ")+COUNTIF($E44:Z44,1),ColTypeEcheance)),
  IF(LEN(Z44)=1,
  IF(LEN(INDEX(Roadmap!$D:$K,MATCH($E44,Roadmap!$D:$D,0)-1+COUNTIF($E44:Z44,"u")+COUNTIF($E44:Z44,"t")+COUNTIF($E44:Z44,"¶")+COUNTIF($E44:Z44,"²")+COUNTIF($E44:Z44,"µ")+COUNTIF($E44:Z44,1),ColDescriptionCourte))&gt;1,
HYPERLINK("#Roadmap!C"&amp; MATCH($E44,Roadmap!$D:$D,0)+COUNTIF($E44:Z44,"u")+COUNTIF($E44:Z44,"t")+COUNTIF($E44:Z44,"¶")+COUNTIF($E44:Z44,"²")+COUNTIF($E44:Z44,"µ")+COUNTIF($E44:Z44,1)-1,INDEX(Roadmap!$D:$K,MATCH($E44,Roadmap!$D:$D,0)-1+COUNTIF($E44:Z44,"u")+COUNTIF($E44:Z44,"t")+COUNTIF($E44:Z44,"¶")+COUNTIF($E44:Z44,"²")+COUNTIF($E44:Z44,"µ")+COUNTIF($E44:Z44,1),ColDescriptionCourte)),""),
  "")),"")</f>
        <v/>
      </c>
      <c r="AB44" s="40" t="str">
        <f ca="1">IFERROR(IF(AND(
  INDEX(Roadmap!$D:$K,MATCH($E44,Roadmap!$D:$D,0)+COUNTIF($E44:AA44,"u")+COUNTIF($E44:AA44,"t")+COUNTIF($E44:AA44,"¶")+COUNTIF($E44:AA44,"²")+COUNTIF($E44:AA44,"µ")+COUNTIF($E44:AA44,1),ColLivraison)=AB$6,
  VLOOKUP($E44,INDIRECT("tri!"&amp; CHAR(64+ C0Col) &amp;":"&amp; CHAR(65+C0Col)),2,FALSE)&gt;COUNTIF($E44:AA44,"u")+COUNTIF($E44:AA44,"t")+COUNTIF($E44:AA44,"¶")+COUNTIF($E44:AA44,"²")+COUNTIF($E44:AA44,"µ")+COUNTIF($E44:AA44,1)),
HYPERLINK("#Roadmap!C"&amp; MATCH($E44,Roadmap!$D:$D,0)+COUNTIF($E44:AA44,"u")+COUNTIF($E44:AA44,"t"),
     INDEX(Roadmap!$D:$K,MATCH($E44,Roadmap!$D:$D,0)+COUNTIF($E44:AA44,"u")+COUNTIF($E44:AA44,"t")+COUNTIF($E44:AA44,"¶")+COUNTIF($E44:AA44,"²")+COUNTIF($E44:AA44,"µ")+COUNTIF($E44:AA44,1),ColTypeEcheance)),
  IF(LEN(AA44)=1,
  IF(LEN(INDEX(Roadmap!$D:$K,MATCH($E44,Roadmap!$D:$D,0)-1+COUNTIF($E44:AA44,"u")+COUNTIF($E44:AA44,"t")+COUNTIF($E44:AA44,"¶")+COUNTIF($E44:AA44,"²")+COUNTIF($E44:AA44,"µ")+COUNTIF($E44:AA44,1),ColDescriptionCourte))&gt;1,
HYPERLINK("#Roadmap!C"&amp; MATCH($E44,Roadmap!$D:$D,0)+COUNTIF($E44:AA44,"u")+COUNTIF($E44:AA44,"t")+COUNTIF($E44:AA44,"¶")+COUNTIF($E44:AA44,"²")+COUNTIF($E44:AA44,"µ")+COUNTIF($E44:AA44,1)-1,INDEX(Roadmap!$D:$K,MATCH($E44,Roadmap!$D:$D,0)-1+COUNTIF($E44:AA44,"u")+COUNTIF($E44:AA44,"t")+COUNTIF($E44:AA44,"¶")+COUNTIF($E44:AA44,"²")+COUNTIF($E44:AA44,"µ")+COUNTIF($E44:AA44,1),ColDescriptionCourte)),""),
  "")),"")</f>
        <v/>
      </c>
      <c r="AC44" s="40" t="str">
        <f ca="1">IFERROR(IF(AND(
  INDEX(Roadmap!$D:$K,MATCH($E44,Roadmap!$D:$D,0)+COUNTIF($E44:AB44,"u")+COUNTIF($E44:AB44,"t")+COUNTIF($E44:AB44,"¶")+COUNTIF($E44:AB44,"²")+COUNTIF($E44:AB44,"µ")+COUNTIF($E44:AB44,1),ColLivraison)=AC$6,
  VLOOKUP($E44,INDIRECT("tri!"&amp; CHAR(64+ C0Col) &amp;":"&amp; CHAR(65+C0Col)),2,FALSE)&gt;COUNTIF($E44:AB44,"u")+COUNTIF($E44:AB44,"t")+COUNTIF($E44:AB44,"¶")+COUNTIF($E44:AB44,"²")+COUNTIF($E44:AB44,"µ")+COUNTIF($E44:AB44,1)),
HYPERLINK("#Roadmap!C"&amp; MATCH($E44,Roadmap!$D:$D,0)+COUNTIF($E44:AB44,"u")+COUNTIF($E44:AB44,"t"),
     INDEX(Roadmap!$D:$K,MATCH($E44,Roadmap!$D:$D,0)+COUNTIF($E44:AB44,"u")+COUNTIF($E44:AB44,"t")+COUNTIF($E44:AB44,"¶")+COUNTIF($E44:AB44,"²")+COUNTIF($E44:AB44,"µ")+COUNTIF($E44:AB44,1),ColTypeEcheance)),
  IF(LEN(AB44)=1,
  IF(LEN(INDEX(Roadmap!$D:$K,MATCH($E44,Roadmap!$D:$D,0)-1+COUNTIF($E44:AB44,"u")+COUNTIF($E44:AB44,"t")+COUNTIF($E44:AB44,"¶")+COUNTIF($E44:AB44,"²")+COUNTIF($E44:AB44,"µ")+COUNTIF($E44:AB44,1),ColDescriptionCourte))&gt;1,
HYPERLINK("#Roadmap!C"&amp; MATCH($E44,Roadmap!$D:$D,0)+COUNTIF($E44:AB44,"u")+COUNTIF($E44:AB44,"t")+COUNTIF($E44:AB44,"¶")+COUNTIF($E44:AB44,"²")+COUNTIF($E44:AB44,"µ")+COUNTIF($E44:AB44,1)-1,INDEX(Roadmap!$D:$K,MATCH($E44,Roadmap!$D:$D,0)-1+COUNTIF($E44:AB44,"u")+COUNTIF($E44:AB44,"t")+COUNTIF($E44:AB44,"¶")+COUNTIF($E44:AB44,"²")+COUNTIF($E44:AB44,"µ")+COUNTIF($E44:AB44,1),ColDescriptionCourte)),""),
  "")),"")</f>
        <v/>
      </c>
      <c r="AD44" s="40" t="str">
        <f ca="1">IFERROR(IF(AND(
  INDEX(Roadmap!$D:$K,MATCH($E44,Roadmap!$D:$D,0)+COUNTIF($E44:AC44,"u")+COUNTIF($E44:AC44,"t")+COUNTIF($E44:AC44,"¶")+COUNTIF($E44:AC44,"²")+COUNTIF($E44:AC44,"µ")+COUNTIF($E44:AC44,1),ColLivraison)=AD$6,
  VLOOKUP($E44,INDIRECT("tri!"&amp; CHAR(64+ C0Col) &amp;":"&amp; CHAR(65+C0Col)),2,FALSE)&gt;COUNTIF($E44:AC44,"u")+COUNTIF($E44:AC44,"t")+COUNTIF($E44:AC44,"¶")+COUNTIF($E44:AC44,"²")+COUNTIF($E44:AC44,"µ")+COUNTIF($E44:AC44,1)),
HYPERLINK("#Roadmap!C"&amp; MATCH($E44,Roadmap!$D:$D,0)+COUNTIF($E44:AC44,"u")+COUNTIF($E44:AC44,"t"),
     INDEX(Roadmap!$D:$K,MATCH($E44,Roadmap!$D:$D,0)+COUNTIF($E44:AC44,"u")+COUNTIF($E44:AC44,"t")+COUNTIF($E44:AC44,"¶")+COUNTIF($E44:AC44,"²")+COUNTIF($E44:AC44,"µ")+COUNTIF($E44:AC44,1),ColTypeEcheance)),
  IF(LEN(AC44)=1,
  IF(LEN(INDEX(Roadmap!$D:$K,MATCH($E44,Roadmap!$D:$D,0)-1+COUNTIF($E44:AC44,"u")+COUNTIF($E44:AC44,"t")+COUNTIF($E44:AC44,"¶")+COUNTIF($E44:AC44,"²")+COUNTIF($E44:AC44,"µ")+COUNTIF($E44:AC44,1),ColDescriptionCourte))&gt;1,
HYPERLINK("#Roadmap!C"&amp; MATCH($E44,Roadmap!$D:$D,0)+COUNTIF($E44:AC44,"u")+COUNTIF($E44:AC44,"t")+COUNTIF($E44:AC44,"¶")+COUNTIF($E44:AC44,"²")+COUNTIF($E44:AC44,"µ")+COUNTIF($E44:AC44,1)-1,INDEX(Roadmap!$D:$K,MATCH($E44,Roadmap!$D:$D,0)-1+COUNTIF($E44:AC44,"u")+COUNTIF($E44:AC44,"t")+COUNTIF($E44:AC44,"¶")+COUNTIF($E44:AC44,"²")+COUNTIF($E44:AC44,"µ")+COUNTIF($E44:AC44,1),ColDescriptionCourte)),""),
  "")),"")</f>
        <v/>
      </c>
      <c r="AE44" s="40" t="str">
        <f ca="1">IFERROR(IF(AND(
  INDEX(Roadmap!$D:$K,MATCH($E44,Roadmap!$D:$D,0)+COUNTIF($E44:AD44,"u")+COUNTIF($E44:AD44,"t")+COUNTIF($E44:AD44,"¶")+COUNTIF($E44:AD44,"²")+COUNTIF($E44:AD44,"µ")+COUNTIF($E44:AD44,1),ColLivraison)=AE$6,
  VLOOKUP($E44,INDIRECT("tri!"&amp; CHAR(64+ C0Col) &amp;":"&amp; CHAR(65+C0Col)),2,FALSE)&gt;COUNTIF($E44:AD44,"u")+COUNTIF($E44:AD44,"t")+COUNTIF($E44:AD44,"¶")+COUNTIF($E44:AD44,"²")+COUNTIF($E44:AD44,"µ")+COUNTIF($E44:AD44,1)),
HYPERLINK("#Roadmap!C"&amp; MATCH($E44,Roadmap!$D:$D,0)+COUNTIF($E44:AD44,"u")+COUNTIF($E44:AD44,"t"),
     INDEX(Roadmap!$D:$K,MATCH($E44,Roadmap!$D:$D,0)+COUNTIF($E44:AD44,"u")+COUNTIF($E44:AD44,"t")+COUNTIF($E44:AD44,"¶")+COUNTIF($E44:AD44,"²")+COUNTIF($E44:AD44,"µ")+COUNTIF($E44:AD44,1),ColTypeEcheance)),
  IF(LEN(AD44)=1,
  IF(LEN(INDEX(Roadmap!$D:$K,MATCH($E44,Roadmap!$D:$D,0)-1+COUNTIF($E44:AD44,"u")+COUNTIF($E44:AD44,"t")+COUNTIF($E44:AD44,"¶")+COUNTIF($E44:AD44,"²")+COUNTIF($E44:AD44,"µ")+COUNTIF($E44:AD44,1),ColDescriptionCourte))&gt;1,
HYPERLINK("#Roadmap!C"&amp; MATCH($E44,Roadmap!$D:$D,0)+COUNTIF($E44:AD44,"u")+COUNTIF($E44:AD44,"t")+COUNTIF($E44:AD44,"¶")+COUNTIF($E44:AD44,"²")+COUNTIF($E44:AD44,"µ")+COUNTIF($E44:AD44,1)-1,INDEX(Roadmap!$D:$K,MATCH($E44,Roadmap!$D:$D,0)-1+COUNTIF($E44:AD44,"u")+COUNTIF($E44:AD44,"t")+COUNTIF($E44:AD44,"¶")+COUNTIF($E44:AD44,"²")+COUNTIF($E44:AD44,"µ")+COUNTIF($E44:AD44,1),ColDescriptionCourte)),""),
  "")),"")</f>
        <v/>
      </c>
      <c r="AF44" s="40" t="str">
        <f ca="1">IFERROR(IF(AND(
  INDEX(Roadmap!$D:$K,MATCH($E44,Roadmap!$D:$D,0)+COUNTIF($E44:AE44,"u")+COUNTIF($E44:AE44,"t")+COUNTIF($E44:AE44,"¶")+COUNTIF($E44:AE44,"²")+COUNTIF($E44:AE44,"µ")+COUNTIF($E44:AE44,1),ColLivraison)=AF$6,
  VLOOKUP($E44,INDIRECT("tri!"&amp; CHAR(64+ C0Col) &amp;":"&amp; CHAR(65+C0Col)),2,FALSE)&gt;COUNTIF($E44:AE44,"u")+COUNTIF($E44:AE44,"t")+COUNTIF($E44:AE44,"¶")+COUNTIF($E44:AE44,"²")+COUNTIF($E44:AE44,"µ")+COUNTIF($E44:AE44,1)),
HYPERLINK("#Roadmap!C"&amp; MATCH($E44,Roadmap!$D:$D,0)+COUNTIF($E44:AE44,"u")+COUNTIF($E44:AE44,"t"),
     INDEX(Roadmap!$D:$K,MATCH($E44,Roadmap!$D:$D,0)+COUNTIF($E44:AE44,"u")+COUNTIF($E44:AE44,"t")+COUNTIF($E44:AE44,"¶")+COUNTIF($E44:AE44,"²")+COUNTIF($E44:AE44,"µ")+COUNTIF($E44:AE44,1),ColTypeEcheance)),
  IF(LEN(AE44)=1,
  IF(LEN(INDEX(Roadmap!$D:$K,MATCH($E44,Roadmap!$D:$D,0)-1+COUNTIF($E44:AE44,"u")+COUNTIF($E44:AE44,"t")+COUNTIF($E44:AE44,"¶")+COUNTIF($E44:AE44,"²")+COUNTIF($E44:AE44,"µ")+COUNTIF($E44:AE44,1),ColDescriptionCourte))&gt;1,
HYPERLINK("#Roadmap!C"&amp; MATCH($E44,Roadmap!$D:$D,0)+COUNTIF($E44:AE44,"u")+COUNTIF($E44:AE44,"t")+COUNTIF($E44:AE44,"¶")+COUNTIF($E44:AE44,"²")+COUNTIF($E44:AE44,"µ")+COUNTIF($E44:AE44,1)-1,INDEX(Roadmap!$D:$K,MATCH($E44,Roadmap!$D:$D,0)-1+COUNTIF($E44:AE44,"u")+COUNTIF($E44:AE44,"t")+COUNTIF($E44:AE44,"¶")+COUNTIF($E44:AE44,"²")+COUNTIF($E44:AE44,"µ")+COUNTIF($E44:AE44,1),ColDescriptionCourte)),""),
  "")),"")</f>
        <v/>
      </c>
      <c r="AG44" s="40" t="str">
        <f ca="1">IFERROR(IF(AND(
  INDEX(Roadmap!$D:$K,MATCH($E44,Roadmap!$D:$D,0)+COUNTIF($E44:AF44,"u")+COUNTIF($E44:AF44,"t")+COUNTIF($E44:AF44,"¶")+COUNTIF($E44:AF44,"²")+COUNTIF($E44:AF44,"µ")+COUNTIF($E44:AF44,1),ColLivraison)=AG$6,
  VLOOKUP($E44,INDIRECT("tri!"&amp; CHAR(64+ C0Col) &amp;":"&amp; CHAR(65+C0Col)),2,FALSE)&gt;COUNTIF($E44:AF44,"u")+COUNTIF($E44:AF44,"t")+COUNTIF($E44:AF44,"¶")+COUNTIF($E44:AF44,"²")+COUNTIF($E44:AF44,"µ")+COUNTIF($E44:AF44,1)),
HYPERLINK("#Roadmap!C"&amp; MATCH($E44,Roadmap!$D:$D,0)+COUNTIF($E44:AF44,"u")+COUNTIF($E44:AF44,"t"),
     INDEX(Roadmap!$D:$K,MATCH($E44,Roadmap!$D:$D,0)+COUNTIF($E44:AF44,"u")+COUNTIF($E44:AF44,"t")+COUNTIF($E44:AF44,"¶")+COUNTIF($E44:AF44,"²")+COUNTIF($E44:AF44,"µ")+COUNTIF($E44:AF44,1),ColTypeEcheance)),
  IF(LEN(AF44)=1,
  IF(LEN(INDEX(Roadmap!$D:$K,MATCH($E44,Roadmap!$D:$D,0)-1+COUNTIF($E44:AF44,"u")+COUNTIF($E44:AF44,"t")+COUNTIF($E44:AF44,"¶")+COUNTIF($E44:AF44,"²")+COUNTIF($E44:AF44,"µ")+COUNTIF($E44:AF44,1),ColDescriptionCourte))&gt;1,
HYPERLINK("#Roadmap!C"&amp; MATCH($E44,Roadmap!$D:$D,0)+COUNTIF($E44:AF44,"u")+COUNTIF($E44:AF44,"t")+COUNTIF($E44:AF44,"¶")+COUNTIF($E44:AF44,"²")+COUNTIF($E44:AF44,"µ")+COUNTIF($E44:AF44,1)-1,INDEX(Roadmap!$D:$K,MATCH($E44,Roadmap!$D:$D,0)-1+COUNTIF($E44:AF44,"u")+COUNTIF($E44:AF44,"t")+COUNTIF($E44:AF44,"¶")+COUNTIF($E44:AF44,"²")+COUNTIF($E44:AF44,"µ")+COUNTIF($E44:AF44,1),ColDescriptionCourte)),""),
  "")),"")</f>
        <v/>
      </c>
    </row>
    <row r="45" spans="3:33" ht="14.25" customHeight="1">
      <c r="C45" s="1" t="str">
        <f t="shared" ca="1" si="44"/>
        <v/>
      </c>
      <c r="D45" s="1" t="str">
        <f t="shared" ca="1" si="45"/>
        <v/>
      </c>
      <c r="E45" s="35" t="str">
        <f t="shared" ca="1" si="33"/>
        <v/>
      </c>
      <c r="F45" s="39" t="str">
        <f ca="1">IFERROR(IF(AND(
  INDEX(Roadmap!$D:$K,MATCH($E45,Roadmap!$D:$D,0)+COUNTIF($E45:E45,"u")+COUNTIF($E45:E45,"t")+COUNTIF($E45:E45,"¶")+COUNTIF($E45:E45,"²")+COUNTIF($E45:E45,"µ")+COUNTIF($E45:E45,1),ColLivraison)=F$6,
  VLOOKUP($E45,INDIRECT("tri!"&amp; CHAR(64+ C0Col) &amp;":"&amp; CHAR(65+C0Col)),2,FALSE)&gt;COUNTIF($E45:E45,"u")+COUNTIF($E45:E45,"t")+COUNTIF($E45:E45,"¶")+COUNTIF($E45:E45,"²")+COUNTIF($E45:E45,"µ")+COUNTIF($E45:E45,1)),
HYPERLINK("#Roadmap!C"&amp; MATCH($E45,Roadmap!$D:$D,0)+COUNTIF($E45:E45,"u")+COUNTIF($E45:E45,"t"),
     INDEX(Roadmap!$D:$K,MATCH($E45,Roadmap!$D:$D,0)+COUNTIF($E45:E45,"u")+COUNTIF($E45:E45,"t")+COUNTIF($E45:E45,"¶")+COUNTIF($E45:E45,"²")+COUNTIF($E45:E45,"µ")+COUNTIF($E45:E45,1),ColTypeEcheance)),
  IF(LEN(E45)=1,
  IF(LEN(INDEX(Roadmap!$D:$K,MATCH($E45,Roadmap!$D:$D,0)-1+COUNTIF($E45:E45,"u")+COUNTIF($E45:E45,"t")+COUNTIF($E45:E45,"¶")+COUNTIF($E45:E45,"²")+COUNTIF($E45:E45,"µ")+COUNTIF($E45:E45,1),ColDescriptionCourte))&gt;1,
HYPERLINK("#Roadmap!C"&amp; MATCH($E45,Roadmap!$D:$D,0)+COUNTIF($E45:E45,"u")+COUNTIF($E45:E45,"t")+COUNTIF($E45:E45,"¶")+COUNTIF($E45:E45,"²")+COUNTIF($E45:E45,"µ")+COUNTIF($E45:E45,1)-1,INDEX(Roadmap!$D:$K,MATCH($E45,Roadmap!$D:$D,0)-1+COUNTIF($E45:E45,"u")+COUNTIF($E45:E45,"t")+COUNTIF($E45:E45,"¶")+COUNTIF($E45:E45,"²")+COUNTIF($E45:E45,"µ")+COUNTIF($E45:E45,1),ColDescriptionCourte)),""),
  "")),"")</f>
        <v/>
      </c>
      <c r="G45" s="40" t="str">
        <f ca="1">IFERROR(IF(AND(
  INDEX(Roadmap!$D:$K,MATCH($E45,Roadmap!$D:$D,0)+COUNTIF($E45:F45,"u")+COUNTIF($E45:F45,"t")+COUNTIF($E45:F45,"¶")+COUNTIF($E45:F45,"²")+COUNTIF($E45:F45,"µ")+COUNTIF($E45:F45,1),ColLivraison)=G$6,
  VLOOKUP($E45,INDIRECT("tri!"&amp; CHAR(64+ C0Col) &amp;":"&amp; CHAR(65+C0Col)),2,FALSE)&gt;COUNTIF($E45:F45,"u")+COUNTIF($E45:F45,"t")+COUNTIF($E45:F45,"¶")+COUNTIF($E45:F45,"²")+COUNTIF($E45:F45,"µ")+COUNTIF($E45:F45,1)),
HYPERLINK("#Roadmap!C"&amp; MATCH($E45,Roadmap!$D:$D,0)+COUNTIF($E45:F45,"u")+COUNTIF($E45:F45,"t"),
     INDEX(Roadmap!$D:$K,MATCH($E45,Roadmap!$D:$D,0)+COUNTIF($E45:F45,"u")+COUNTIF($E45:F45,"t")+COUNTIF($E45:F45,"¶")+COUNTIF($E45:F45,"²")+COUNTIF($E45:F45,"µ")+COUNTIF($E45:F45,1),ColTypeEcheance)),
  IF(LEN(F45)=1,
  IF(LEN(INDEX(Roadmap!$D:$K,MATCH($E45,Roadmap!$D:$D,0)-1+COUNTIF($E45:F45,"u")+COUNTIF($E45:F45,"t")+COUNTIF($E45:F45,"¶")+COUNTIF($E45:F45,"²")+COUNTIF($E45:F45,"µ")+COUNTIF($E45:F45,1),ColDescriptionCourte))&gt;1,
HYPERLINK("#Roadmap!C"&amp; MATCH($E45,Roadmap!$D:$D,0)+COUNTIF($E45:F45,"u")+COUNTIF($E45:F45,"t")+COUNTIF($E45:F45,"¶")+COUNTIF($E45:F45,"²")+COUNTIF($E45:F45,"µ")+COUNTIF($E45:F45,1)-1,INDEX(Roadmap!$D:$K,MATCH($E45,Roadmap!$D:$D,0)-1+COUNTIF($E45:F45,"u")+COUNTIF($E45:F45,"t")+COUNTIF($E45:F45,"¶")+COUNTIF($E45:F45,"²")+COUNTIF($E45:F45,"µ")+COUNTIF($E45:F45,1),ColDescriptionCourte)),""),
  "")),"")</f>
        <v/>
      </c>
      <c r="H45" s="40" t="str">
        <f ca="1">IFERROR(IF(AND(
  INDEX(Roadmap!$D:$K,MATCH($E45,Roadmap!$D:$D,0)+COUNTIF($E45:G45,"u")+COUNTIF($E45:G45,"t")+COUNTIF($E45:G45,"¶")+COUNTIF($E45:G45,"²")+COUNTIF($E45:G45,"µ")+COUNTIF($E45:G45,1),ColLivraison)=H$6,
  VLOOKUP($E45,INDIRECT("tri!"&amp; CHAR(64+ C0Col) &amp;":"&amp; CHAR(65+C0Col)),2,FALSE)&gt;COUNTIF($E45:G45,"u")+COUNTIF($E45:G45,"t")+COUNTIF($E45:G45,"¶")+COUNTIF($E45:G45,"²")+COUNTIF($E45:G45,"µ")+COUNTIF($E45:G45,1)),
HYPERLINK("#Roadmap!C"&amp; MATCH($E45,Roadmap!$D:$D,0)+COUNTIF($E45:G45,"u")+COUNTIF($E45:G45,"t"),
     INDEX(Roadmap!$D:$K,MATCH($E45,Roadmap!$D:$D,0)+COUNTIF($E45:G45,"u")+COUNTIF($E45:G45,"t")+COUNTIF($E45:G45,"¶")+COUNTIF($E45:G45,"²")+COUNTIF($E45:G45,"µ")+COUNTIF($E45:G45,1),ColTypeEcheance)),
  IF(LEN(G45)=1,
  IF(LEN(INDEX(Roadmap!$D:$K,MATCH($E45,Roadmap!$D:$D,0)-1+COUNTIF($E45:G45,"u")+COUNTIF($E45:G45,"t")+COUNTIF($E45:G45,"¶")+COUNTIF($E45:G45,"²")+COUNTIF($E45:G45,"µ")+COUNTIF($E45:G45,1),ColDescriptionCourte))&gt;1,
HYPERLINK("#Roadmap!C"&amp; MATCH($E45,Roadmap!$D:$D,0)+COUNTIF($E45:G45,"u")+COUNTIF($E45:G45,"t")+COUNTIF($E45:G45,"¶")+COUNTIF($E45:G45,"²")+COUNTIF($E45:G45,"µ")+COUNTIF($E45:G45,1)-1,INDEX(Roadmap!$D:$K,MATCH($E45,Roadmap!$D:$D,0)-1+COUNTIF($E45:G45,"u")+COUNTIF($E45:G45,"t")+COUNTIF($E45:G45,"¶")+COUNTIF($E45:G45,"²")+COUNTIF($E45:G45,"µ")+COUNTIF($E45:G45,1),ColDescriptionCourte)),""),
  "")),"")</f>
        <v/>
      </c>
      <c r="I45" s="40" t="str">
        <f ca="1">IFERROR(IF(AND(
  INDEX(Roadmap!$D:$K,MATCH($E45,Roadmap!$D:$D,0)+COUNTIF($E45:H45,"u")+COUNTIF($E45:H45,"t")+COUNTIF($E45:H45,"¶")+COUNTIF($E45:H45,"²")+COUNTIF($E45:H45,"µ")+COUNTIF($E45:H45,1),ColLivraison)=I$6,
  VLOOKUP($E45,INDIRECT("tri!"&amp; CHAR(64+ C0Col) &amp;":"&amp; CHAR(65+C0Col)),2,FALSE)&gt;COUNTIF($E45:H45,"u")+COUNTIF($E45:H45,"t")+COUNTIF($E45:H45,"¶")+COUNTIF($E45:H45,"²")+COUNTIF($E45:H45,"µ")+COUNTIF($E45:H45,1)),
HYPERLINK("#Roadmap!C"&amp; MATCH($E45,Roadmap!$D:$D,0)+COUNTIF($E45:H45,"u")+COUNTIF($E45:H45,"t"),
     INDEX(Roadmap!$D:$K,MATCH($E45,Roadmap!$D:$D,0)+COUNTIF($E45:H45,"u")+COUNTIF($E45:H45,"t")+COUNTIF($E45:H45,"¶")+COUNTIF($E45:H45,"²")+COUNTIF($E45:H45,"µ")+COUNTIF($E45:H45,1),ColTypeEcheance)),
  IF(LEN(H45)=1,
  IF(LEN(INDEX(Roadmap!$D:$K,MATCH($E45,Roadmap!$D:$D,0)-1+COUNTIF($E45:H45,"u")+COUNTIF($E45:H45,"t")+COUNTIF($E45:H45,"¶")+COUNTIF($E45:H45,"²")+COUNTIF($E45:H45,"µ")+COUNTIF($E45:H45,1),ColDescriptionCourte))&gt;1,
HYPERLINK("#Roadmap!C"&amp; MATCH($E45,Roadmap!$D:$D,0)+COUNTIF($E45:H45,"u")+COUNTIF($E45:H45,"t")+COUNTIF($E45:H45,"¶")+COUNTIF($E45:H45,"²")+COUNTIF($E45:H45,"µ")+COUNTIF($E45:H45,1)-1,INDEX(Roadmap!$D:$K,MATCH($E45,Roadmap!$D:$D,0)-1+COUNTIF($E45:H45,"u")+COUNTIF($E45:H45,"t")+COUNTIF($E45:H45,"¶")+COUNTIF($E45:H45,"²")+COUNTIF($E45:H45,"µ")+COUNTIF($E45:H45,1),ColDescriptionCourte)),""),
  "")),"")</f>
        <v/>
      </c>
      <c r="J45" s="40" t="str">
        <f ca="1">IFERROR(IF(AND(
  INDEX(Roadmap!$D:$K,MATCH($E45,Roadmap!$D:$D,0)+COUNTIF($E45:I45,"u")+COUNTIF($E45:I45,"t")+COUNTIF($E45:I45,"¶")+COUNTIF($E45:I45,"²")+COUNTIF($E45:I45,"µ")+COUNTIF($E45:I45,1),ColLivraison)=J$6,
  VLOOKUP($E45,INDIRECT("tri!"&amp; CHAR(64+ C0Col) &amp;":"&amp; CHAR(65+C0Col)),2,FALSE)&gt;COUNTIF($E45:I45,"u")+COUNTIF($E45:I45,"t")+COUNTIF($E45:I45,"¶")+COUNTIF($E45:I45,"²")+COUNTIF($E45:I45,"µ")+COUNTIF($E45:I45,1)),
HYPERLINK("#Roadmap!C"&amp; MATCH($E45,Roadmap!$D:$D,0)+COUNTIF($E45:I45,"u")+COUNTIF($E45:I45,"t"),
     INDEX(Roadmap!$D:$K,MATCH($E45,Roadmap!$D:$D,0)+COUNTIF($E45:I45,"u")+COUNTIF($E45:I45,"t")+COUNTIF($E45:I45,"¶")+COUNTIF($E45:I45,"²")+COUNTIF($E45:I45,"µ")+COUNTIF($E45:I45,1),ColTypeEcheance)),
  IF(LEN(I45)=1,
  IF(LEN(INDEX(Roadmap!$D:$K,MATCH($E45,Roadmap!$D:$D,0)-1+COUNTIF($E45:I45,"u")+COUNTIF($E45:I45,"t")+COUNTIF($E45:I45,"¶")+COUNTIF($E45:I45,"²")+COUNTIF($E45:I45,"µ")+COUNTIF($E45:I45,1),ColDescriptionCourte))&gt;1,
HYPERLINK("#Roadmap!C"&amp; MATCH($E45,Roadmap!$D:$D,0)+COUNTIF($E45:I45,"u")+COUNTIF($E45:I45,"t")+COUNTIF($E45:I45,"¶")+COUNTIF($E45:I45,"²")+COUNTIF($E45:I45,"µ")+COUNTIF($E45:I45,1)-1,INDEX(Roadmap!$D:$K,MATCH($E45,Roadmap!$D:$D,0)-1+COUNTIF($E45:I45,"u")+COUNTIF($E45:I45,"t")+COUNTIF($E45:I45,"¶")+COUNTIF($E45:I45,"²")+COUNTIF($E45:I45,"µ")+COUNTIF($E45:I45,1),ColDescriptionCourte)),""),
  "")),"")</f>
        <v/>
      </c>
      <c r="K45" s="40" t="str">
        <f ca="1">IFERROR(IF(AND(
  INDEX(Roadmap!$D:$K,MATCH($E45,Roadmap!$D:$D,0)+COUNTIF($E45:J45,"u")+COUNTIF($E45:J45,"t")+COUNTIF($E45:J45,"¶")+COUNTIF($E45:J45,"²")+COUNTIF($E45:J45,"µ")+COUNTIF($E45:J45,1),ColLivraison)=K$6,
  VLOOKUP($E45,INDIRECT("tri!"&amp; CHAR(64+ C0Col) &amp;":"&amp; CHAR(65+C0Col)),2,FALSE)&gt;COUNTIF($E45:J45,"u")+COUNTIF($E45:J45,"t")+COUNTIF($E45:J45,"¶")+COUNTIF($E45:J45,"²")+COUNTIF($E45:J45,"µ")+COUNTIF($E45:J45,1)),
HYPERLINK("#Roadmap!C"&amp; MATCH($E45,Roadmap!$D:$D,0)+COUNTIF($E45:J45,"u")+COUNTIF($E45:J45,"t"),
     INDEX(Roadmap!$D:$K,MATCH($E45,Roadmap!$D:$D,0)+COUNTIF($E45:J45,"u")+COUNTIF($E45:J45,"t")+COUNTIF($E45:J45,"¶")+COUNTIF($E45:J45,"²")+COUNTIF($E45:J45,"µ")+COUNTIF($E45:J45,1),ColTypeEcheance)),
  IF(LEN(J45)=1,
  IF(LEN(INDEX(Roadmap!$D:$K,MATCH($E45,Roadmap!$D:$D,0)-1+COUNTIF($E45:J45,"u")+COUNTIF($E45:J45,"t")+COUNTIF($E45:J45,"¶")+COUNTIF($E45:J45,"²")+COUNTIF($E45:J45,"µ")+COUNTIF($E45:J45,1),ColDescriptionCourte))&gt;1,
HYPERLINK("#Roadmap!C"&amp; MATCH($E45,Roadmap!$D:$D,0)+COUNTIF($E45:J45,"u")+COUNTIF($E45:J45,"t")+COUNTIF($E45:J45,"¶")+COUNTIF($E45:J45,"²")+COUNTIF($E45:J45,"µ")+COUNTIF($E45:J45,1)-1,INDEX(Roadmap!$D:$K,MATCH($E45,Roadmap!$D:$D,0)-1+COUNTIF($E45:J45,"u")+COUNTIF($E45:J45,"t")+COUNTIF($E45:J45,"¶")+COUNTIF($E45:J45,"²")+COUNTIF($E45:J45,"µ")+COUNTIF($E45:J45,1),ColDescriptionCourte)),""),
  "")),"")</f>
        <v/>
      </c>
      <c r="L45" s="39" t="str">
        <f ca="1">IFERROR(IF(AND(
  INDEX(Roadmap!$D:$K,MATCH($E45,Roadmap!$D:$D,0)+COUNTIF($E45:K45,"u")+COUNTIF($E45:K45,"t")+COUNTIF($E45:K45,"¶")+COUNTIF($E45:K45,"²")+COUNTIF($E45:K45,"µ")+COUNTIF($E45:K45,1),ColLivraison)=L$6,
  VLOOKUP($E45,INDIRECT("tri!"&amp; CHAR(64+ C0Col) &amp;":"&amp; CHAR(65+C0Col)),2,FALSE)&gt;COUNTIF($E45:K45,"u")+COUNTIF($E45:K45,"t")+COUNTIF($E45:K45,"¶")+COUNTIF($E45:K45,"²")+COUNTIF($E45:K45,"µ")+COUNTIF($E45:K45,1)),
HYPERLINK("#Roadmap!C"&amp; MATCH($E45,Roadmap!$D:$D,0)+COUNTIF($E45:K45,"u")+COUNTIF($E45:K45,"t"),
     INDEX(Roadmap!$D:$K,MATCH($E45,Roadmap!$D:$D,0)+COUNTIF($E45:K45,"u")+COUNTIF($E45:K45,"t")+COUNTIF($E45:K45,"¶")+COUNTIF($E45:K45,"²")+COUNTIF($E45:K45,"µ")+COUNTIF($E45:K45,1),ColTypeEcheance)),
  IF(LEN(K45)=1,
  IF(LEN(INDEX(Roadmap!$D:$K,MATCH($E45,Roadmap!$D:$D,0)-1+COUNTIF($E45:K45,"u")+COUNTIF($E45:K45,"t")+COUNTIF($E45:K45,"¶")+COUNTIF($E45:K45,"²")+COUNTIF($E45:K45,"µ")+COUNTIF($E45:K45,1),ColDescriptionCourte))&gt;1,
HYPERLINK("#Roadmap!C"&amp; MATCH($E45,Roadmap!$D:$D,0)+COUNTIF($E45:K45,"u")+COUNTIF($E45:K45,"t")+COUNTIF($E45:K45,"¶")+COUNTIF($E45:K45,"²")+COUNTIF($E45:K45,"µ")+COUNTIF($E45:K45,1)-1,INDEX(Roadmap!$D:$K,MATCH($E45,Roadmap!$D:$D,0)-1+COUNTIF($E45:K45,"u")+COUNTIF($E45:K45,"t")+COUNTIF($E45:K45,"¶")+COUNTIF($E45:K45,"²")+COUNTIF($E45:K45,"µ")+COUNTIF($E45:K45,1),ColDescriptionCourte)),""),
  "")),"")</f>
        <v/>
      </c>
      <c r="M45" s="40" t="str">
        <f ca="1">IFERROR(IF(AND(
  INDEX(Roadmap!$D:$K,MATCH($E45,Roadmap!$D:$D,0)+COUNTIF($E45:L45,"u")+COUNTIF($E45:L45,"t")+COUNTIF($E45:L45,"¶")+COUNTIF($E45:L45,"²")+COUNTIF($E45:L45,"µ")+COUNTIF($E45:L45,1),ColLivraison)=M$6,
  VLOOKUP($E45,INDIRECT("tri!"&amp; CHAR(64+ C0Col) &amp;":"&amp; CHAR(65+C0Col)),2,FALSE)&gt;COUNTIF($E45:L45,"u")+COUNTIF($E45:L45,"t")+COUNTIF($E45:L45,"¶")+COUNTIF($E45:L45,"²")+COUNTIF($E45:L45,"µ")+COUNTIF($E45:L45,1)),
HYPERLINK("#Roadmap!C"&amp; MATCH($E45,Roadmap!$D:$D,0)+COUNTIF($E45:L45,"u")+COUNTIF($E45:L45,"t"),
     INDEX(Roadmap!$D:$K,MATCH($E45,Roadmap!$D:$D,0)+COUNTIF($E45:L45,"u")+COUNTIF($E45:L45,"t")+COUNTIF($E45:L45,"¶")+COUNTIF($E45:L45,"²")+COUNTIF($E45:L45,"µ")+COUNTIF($E45:L45,1),ColTypeEcheance)),
  IF(LEN(L45)=1,
  IF(LEN(INDEX(Roadmap!$D:$K,MATCH($E45,Roadmap!$D:$D,0)-1+COUNTIF($E45:L45,"u")+COUNTIF($E45:L45,"t")+COUNTIF($E45:L45,"¶")+COUNTIF($E45:L45,"²")+COUNTIF($E45:L45,"µ")+COUNTIF($E45:L45,1),ColDescriptionCourte))&gt;1,
HYPERLINK("#Roadmap!C"&amp; MATCH($E45,Roadmap!$D:$D,0)+COUNTIF($E45:L45,"u")+COUNTIF($E45:L45,"t")+COUNTIF($E45:L45,"¶")+COUNTIF($E45:L45,"²")+COUNTIF($E45:L45,"µ")+COUNTIF($E45:L45,1)-1,INDEX(Roadmap!$D:$K,MATCH($E45,Roadmap!$D:$D,0)-1+COUNTIF($E45:L45,"u")+COUNTIF($E45:L45,"t")+COUNTIF($E45:L45,"¶")+COUNTIF($E45:L45,"²")+COUNTIF($E45:L45,"µ")+COUNTIF($E45:L45,1),ColDescriptionCourte)),""),
  "")),"")</f>
        <v/>
      </c>
      <c r="N45" s="40" t="str">
        <f ca="1">IFERROR(IF(AND(
  INDEX(Roadmap!$D:$K,MATCH($E45,Roadmap!$D:$D,0)+COUNTIF($E45:M45,"u")+COUNTIF($E45:M45,"t")+COUNTIF($E45:M45,"¶")+COUNTIF($E45:M45,"²")+COUNTIF($E45:M45,"µ")+COUNTIF($E45:M45,1),ColLivraison)=N$6,
  VLOOKUP($E45,INDIRECT("tri!"&amp; CHAR(64+ C0Col) &amp;":"&amp; CHAR(65+C0Col)),2,FALSE)&gt;COUNTIF($E45:M45,"u")+COUNTIF($E45:M45,"t")+COUNTIF($E45:M45,"¶")+COUNTIF($E45:M45,"²")+COUNTIF($E45:M45,"µ")+COUNTIF($E45:M45,1)),
HYPERLINK("#Roadmap!C"&amp; MATCH($E45,Roadmap!$D:$D,0)+COUNTIF($E45:M45,"u")+COUNTIF($E45:M45,"t"),
     INDEX(Roadmap!$D:$K,MATCH($E45,Roadmap!$D:$D,0)+COUNTIF($E45:M45,"u")+COUNTIF($E45:M45,"t")+COUNTIF($E45:M45,"¶")+COUNTIF($E45:M45,"²")+COUNTIF($E45:M45,"µ")+COUNTIF($E45:M45,1),ColTypeEcheance)),
  IF(LEN(M45)=1,
  IF(LEN(INDEX(Roadmap!$D:$K,MATCH($E45,Roadmap!$D:$D,0)-1+COUNTIF($E45:M45,"u")+COUNTIF($E45:M45,"t")+COUNTIF($E45:M45,"¶")+COUNTIF($E45:M45,"²")+COUNTIF($E45:M45,"µ")+COUNTIF($E45:M45,1),ColDescriptionCourte))&gt;1,
HYPERLINK("#Roadmap!C"&amp; MATCH($E45,Roadmap!$D:$D,0)+COUNTIF($E45:M45,"u")+COUNTIF($E45:M45,"t")+COUNTIF($E45:M45,"¶")+COUNTIF($E45:M45,"²")+COUNTIF($E45:M45,"µ")+COUNTIF($E45:M45,1)-1,INDEX(Roadmap!$D:$K,MATCH($E45,Roadmap!$D:$D,0)-1+COUNTIF($E45:M45,"u")+COUNTIF($E45:M45,"t")+COUNTIF($E45:M45,"¶")+COUNTIF($E45:M45,"²")+COUNTIF($E45:M45,"µ")+COUNTIF($E45:M45,1),ColDescriptionCourte)),""),
  "")),"")</f>
        <v/>
      </c>
      <c r="O45" s="40" t="str">
        <f ca="1">IFERROR(IF(AND(
  INDEX(Roadmap!$D:$K,MATCH($E45,Roadmap!$D:$D,0)+COUNTIF($E45:N45,"u")+COUNTIF($E45:N45,"t")+COUNTIF($E45:N45,"¶")+COUNTIF($E45:N45,"²")+COUNTIF($E45:N45,"µ")+COUNTIF($E45:N45,1),ColLivraison)=O$6,
  VLOOKUP($E45,INDIRECT("tri!"&amp; CHAR(64+ C0Col) &amp;":"&amp; CHAR(65+C0Col)),2,FALSE)&gt;COUNTIF($E45:N45,"u")+COUNTIF($E45:N45,"t")+COUNTIF($E45:N45,"¶")+COUNTIF($E45:N45,"²")+COUNTIF($E45:N45,"µ")+COUNTIF($E45:N45,1)),
HYPERLINK("#Roadmap!C"&amp; MATCH($E45,Roadmap!$D:$D,0)+COUNTIF($E45:N45,"u")+COUNTIF($E45:N45,"t"),
     INDEX(Roadmap!$D:$K,MATCH($E45,Roadmap!$D:$D,0)+COUNTIF($E45:N45,"u")+COUNTIF($E45:N45,"t")+COUNTIF($E45:N45,"¶")+COUNTIF($E45:N45,"²")+COUNTIF($E45:N45,"µ")+COUNTIF($E45:N45,1),ColTypeEcheance)),
  IF(LEN(N45)=1,
  IF(LEN(INDEX(Roadmap!$D:$K,MATCH($E45,Roadmap!$D:$D,0)-1+COUNTIF($E45:N45,"u")+COUNTIF($E45:N45,"t")+COUNTIF($E45:N45,"¶")+COUNTIF($E45:N45,"²")+COUNTIF($E45:N45,"µ")+COUNTIF($E45:N45,1),ColDescriptionCourte))&gt;1,
HYPERLINK("#Roadmap!C"&amp; MATCH($E45,Roadmap!$D:$D,0)+COUNTIF($E45:N45,"u")+COUNTIF($E45:N45,"t")+COUNTIF($E45:N45,"¶")+COUNTIF($E45:N45,"²")+COUNTIF($E45:N45,"µ")+COUNTIF($E45:N45,1)-1,INDEX(Roadmap!$D:$K,MATCH($E45,Roadmap!$D:$D,0)-1+COUNTIF($E45:N45,"u")+COUNTIF($E45:N45,"t")+COUNTIF($E45:N45,"¶")+COUNTIF($E45:N45,"²")+COUNTIF($E45:N45,"µ")+COUNTIF($E45:N45,1),ColDescriptionCourte)),""),
  "")),"")</f>
        <v/>
      </c>
      <c r="P45" s="40" t="str">
        <f ca="1">IFERROR(IF(AND(
  INDEX(Roadmap!$D:$K,MATCH($E45,Roadmap!$D:$D,0)+COUNTIF($E45:O45,"u")+COUNTIF($E45:O45,"t")+COUNTIF($E45:O45,"¶")+COUNTIF($E45:O45,"²")+COUNTIF($E45:O45,"µ")+COUNTIF($E45:O45,1),ColLivraison)=P$6,
  VLOOKUP($E45,INDIRECT("tri!"&amp; CHAR(64+ C0Col) &amp;":"&amp; CHAR(65+C0Col)),2,FALSE)&gt;COUNTIF($E45:O45,"u")+COUNTIF($E45:O45,"t")+COUNTIF($E45:O45,"¶")+COUNTIF($E45:O45,"²")+COUNTIF($E45:O45,"µ")+COUNTIF($E45:O45,1)),
HYPERLINK("#Roadmap!C"&amp; MATCH($E45,Roadmap!$D:$D,0)+COUNTIF($E45:O45,"u")+COUNTIF($E45:O45,"t"),
     INDEX(Roadmap!$D:$K,MATCH($E45,Roadmap!$D:$D,0)+COUNTIF($E45:O45,"u")+COUNTIF($E45:O45,"t")+COUNTIF($E45:O45,"¶")+COUNTIF($E45:O45,"²")+COUNTIF($E45:O45,"µ")+COUNTIF($E45:O45,1),ColTypeEcheance)),
  IF(LEN(O45)=1,
  IF(LEN(INDEX(Roadmap!$D:$K,MATCH($E45,Roadmap!$D:$D,0)-1+COUNTIF($E45:O45,"u")+COUNTIF($E45:O45,"t")+COUNTIF($E45:O45,"¶")+COUNTIF($E45:O45,"²")+COUNTIF($E45:O45,"µ")+COUNTIF($E45:O45,1),ColDescriptionCourte))&gt;1,
HYPERLINK("#Roadmap!C"&amp; MATCH($E45,Roadmap!$D:$D,0)+COUNTIF($E45:O45,"u")+COUNTIF($E45:O45,"t")+COUNTIF($E45:O45,"¶")+COUNTIF($E45:O45,"²")+COUNTIF($E45:O45,"µ")+COUNTIF($E45:O45,1)-1,INDEX(Roadmap!$D:$K,MATCH($E45,Roadmap!$D:$D,0)-1+COUNTIF($E45:O45,"u")+COUNTIF($E45:O45,"t")+COUNTIF($E45:O45,"¶")+COUNTIF($E45:O45,"²")+COUNTIF($E45:O45,"µ")+COUNTIF($E45:O45,1),ColDescriptionCourte)),""),
  "")),"")</f>
        <v/>
      </c>
      <c r="Q45" s="40" t="str">
        <f ca="1">IFERROR(IF(AND(
  INDEX(Roadmap!$D:$K,MATCH($E45,Roadmap!$D:$D,0)+COUNTIF($E45:P45,"u")+COUNTIF($E45:P45,"t")+COUNTIF($E45:P45,"¶")+COUNTIF($E45:P45,"²")+COUNTIF($E45:P45,"µ")+COUNTIF($E45:P45,1),ColLivraison)=Q$6,
  VLOOKUP($E45,INDIRECT("tri!"&amp; CHAR(64+ C0Col) &amp;":"&amp; CHAR(65+C0Col)),2,FALSE)&gt;COUNTIF($E45:P45,"u")+COUNTIF($E45:P45,"t")+COUNTIF($E45:P45,"¶")+COUNTIF($E45:P45,"²")+COUNTIF($E45:P45,"µ")+COUNTIF($E45:P45,1)),
HYPERLINK("#Roadmap!C"&amp; MATCH($E45,Roadmap!$D:$D,0)+COUNTIF($E45:P45,"u")+COUNTIF($E45:P45,"t"),
     INDEX(Roadmap!$D:$K,MATCH($E45,Roadmap!$D:$D,0)+COUNTIF($E45:P45,"u")+COUNTIF($E45:P45,"t")+COUNTIF($E45:P45,"¶")+COUNTIF($E45:P45,"²")+COUNTIF($E45:P45,"µ")+COUNTIF($E45:P45,1),ColTypeEcheance)),
  IF(LEN(P45)=1,
  IF(LEN(INDEX(Roadmap!$D:$K,MATCH($E45,Roadmap!$D:$D,0)-1+COUNTIF($E45:P45,"u")+COUNTIF($E45:P45,"t")+COUNTIF($E45:P45,"¶")+COUNTIF($E45:P45,"²")+COUNTIF($E45:P45,"µ")+COUNTIF($E45:P45,1),ColDescriptionCourte))&gt;1,
HYPERLINK("#Roadmap!C"&amp; MATCH($E45,Roadmap!$D:$D,0)+COUNTIF($E45:P45,"u")+COUNTIF($E45:P45,"t")+COUNTIF($E45:P45,"¶")+COUNTIF($E45:P45,"²")+COUNTIF($E45:P45,"µ")+COUNTIF($E45:P45,1)-1,INDEX(Roadmap!$D:$K,MATCH($E45,Roadmap!$D:$D,0)-1+COUNTIF($E45:P45,"u")+COUNTIF($E45:P45,"t")+COUNTIF($E45:P45,"¶")+COUNTIF($E45:P45,"²")+COUNTIF($E45:P45,"µ")+COUNTIF($E45:P45,1),ColDescriptionCourte)),""),
  "")),"")</f>
        <v/>
      </c>
      <c r="R45" s="40" t="str">
        <f ca="1">IFERROR(IF(AND(
  INDEX(Roadmap!$D:$K,MATCH($E45,Roadmap!$D:$D,0)+COUNTIF($E45:Q45,"u")+COUNTIF($E45:Q45,"t")+COUNTIF($E45:Q45,"¶")+COUNTIF($E45:Q45,"²")+COUNTIF($E45:Q45,"µ")+COUNTIF($E45:Q45,1),ColLivraison)=R$6,
  VLOOKUP($E45,INDIRECT("tri!"&amp; CHAR(64+ C0Col) &amp;":"&amp; CHAR(65+C0Col)),2,FALSE)&gt;COUNTIF($E45:Q45,"u")+COUNTIF($E45:Q45,"t")+COUNTIF($E45:Q45,"¶")+COUNTIF($E45:Q45,"²")+COUNTIF($E45:Q45,"µ")+COUNTIF($E45:Q45,1)),
HYPERLINK("#Roadmap!C"&amp; MATCH($E45,Roadmap!$D:$D,0)+COUNTIF($E45:Q45,"u")+COUNTIF($E45:Q45,"t"),
     INDEX(Roadmap!$D:$K,MATCH($E45,Roadmap!$D:$D,0)+COUNTIF($E45:Q45,"u")+COUNTIF($E45:Q45,"t")+COUNTIF($E45:Q45,"¶")+COUNTIF($E45:Q45,"²")+COUNTIF($E45:Q45,"µ")+COUNTIF($E45:Q45,1),ColTypeEcheance)),
  IF(LEN(Q45)=1,
  IF(LEN(INDEX(Roadmap!$D:$K,MATCH($E45,Roadmap!$D:$D,0)-1+COUNTIF($E45:Q45,"u")+COUNTIF($E45:Q45,"t")+COUNTIF($E45:Q45,"¶")+COUNTIF($E45:Q45,"²")+COUNTIF($E45:Q45,"µ")+COUNTIF($E45:Q45,1),ColDescriptionCourte))&gt;1,
HYPERLINK("#Roadmap!C"&amp; MATCH($E45,Roadmap!$D:$D,0)+COUNTIF($E45:Q45,"u")+COUNTIF($E45:Q45,"t")+COUNTIF($E45:Q45,"¶")+COUNTIF($E45:Q45,"²")+COUNTIF($E45:Q45,"µ")+COUNTIF($E45:Q45,1)-1,INDEX(Roadmap!$D:$K,MATCH($E45,Roadmap!$D:$D,0)-1+COUNTIF($E45:Q45,"u")+COUNTIF($E45:Q45,"t")+COUNTIF($E45:Q45,"¶")+COUNTIF($E45:Q45,"²")+COUNTIF($E45:Q45,"µ")+COUNTIF($E45:Q45,1),ColDescriptionCourte)),""),
  "")),"")</f>
        <v/>
      </c>
      <c r="S45" s="40" t="str">
        <f ca="1">IFERROR(IF(AND(
  INDEX(Roadmap!$D:$K,MATCH($E45,Roadmap!$D:$D,0)+COUNTIF($E45:R45,"u")+COUNTIF($E45:R45,"t")+COUNTIF($E45:R45,"¶")+COUNTIF($E45:R45,"²")+COUNTIF($E45:R45,"µ")+COUNTIF($E45:R45,1),ColLivraison)=S$6,
  VLOOKUP($E45,INDIRECT("tri!"&amp; CHAR(64+ C0Col) &amp;":"&amp; CHAR(65+C0Col)),2,FALSE)&gt;COUNTIF($E45:R45,"u")+COUNTIF($E45:R45,"t")+COUNTIF($E45:R45,"¶")+COUNTIF($E45:R45,"²")+COUNTIF($E45:R45,"µ")+COUNTIF($E45:R45,1)),
HYPERLINK("#Roadmap!C"&amp; MATCH($E45,Roadmap!$D:$D,0)+COUNTIF($E45:R45,"u")+COUNTIF($E45:R45,"t"),
     INDEX(Roadmap!$D:$K,MATCH($E45,Roadmap!$D:$D,0)+COUNTIF($E45:R45,"u")+COUNTIF($E45:R45,"t")+COUNTIF($E45:R45,"¶")+COUNTIF($E45:R45,"²")+COUNTIF($E45:R45,"µ")+COUNTIF($E45:R45,1),ColTypeEcheance)),
  IF(LEN(R45)=1,
  IF(LEN(INDEX(Roadmap!$D:$K,MATCH($E45,Roadmap!$D:$D,0)-1+COUNTIF($E45:R45,"u")+COUNTIF($E45:R45,"t")+COUNTIF($E45:R45,"¶")+COUNTIF($E45:R45,"²")+COUNTIF($E45:R45,"µ")+COUNTIF($E45:R45,1),ColDescriptionCourte))&gt;1,
HYPERLINK("#Roadmap!C"&amp; MATCH($E45,Roadmap!$D:$D,0)+COUNTIF($E45:R45,"u")+COUNTIF($E45:R45,"t")+COUNTIF($E45:R45,"¶")+COUNTIF($E45:R45,"²")+COUNTIF($E45:R45,"µ")+COUNTIF($E45:R45,1)-1,INDEX(Roadmap!$D:$K,MATCH($E45,Roadmap!$D:$D,0)-1+COUNTIF($E45:R45,"u")+COUNTIF($E45:R45,"t")+COUNTIF($E45:R45,"¶")+COUNTIF($E45:R45,"²")+COUNTIF($E45:R45,"µ")+COUNTIF($E45:R45,1),ColDescriptionCourte)),""),
  "")),"")</f>
        <v/>
      </c>
      <c r="T45" s="40" t="str">
        <f ca="1">IFERROR(IF(AND(
  INDEX(Roadmap!$D:$K,MATCH($E45,Roadmap!$D:$D,0)+COUNTIF($E45:S45,"u")+COUNTIF($E45:S45,"t")+COUNTIF($E45:S45,"¶")+COUNTIF($E45:S45,"²")+COUNTIF($E45:S45,"µ")+COUNTIF($E45:S45,1),ColLivraison)=T$6,
  VLOOKUP($E45,INDIRECT("tri!"&amp; CHAR(64+ C0Col) &amp;":"&amp; CHAR(65+C0Col)),2,FALSE)&gt;COUNTIF($E45:S45,"u")+COUNTIF($E45:S45,"t")+COUNTIF($E45:S45,"¶")+COUNTIF($E45:S45,"²")+COUNTIF($E45:S45,"µ")+COUNTIF($E45:S45,1)),
HYPERLINK("#Roadmap!C"&amp; MATCH($E45,Roadmap!$D:$D,0)+COUNTIF($E45:S45,"u")+COUNTIF($E45:S45,"t"),
     INDEX(Roadmap!$D:$K,MATCH($E45,Roadmap!$D:$D,0)+COUNTIF($E45:S45,"u")+COUNTIF($E45:S45,"t")+COUNTIF($E45:S45,"¶")+COUNTIF($E45:S45,"²")+COUNTIF($E45:S45,"µ")+COUNTIF($E45:S45,1),ColTypeEcheance)),
  IF(LEN(S45)=1,
  IF(LEN(INDEX(Roadmap!$D:$K,MATCH($E45,Roadmap!$D:$D,0)-1+COUNTIF($E45:S45,"u")+COUNTIF($E45:S45,"t")+COUNTIF($E45:S45,"¶")+COUNTIF($E45:S45,"²")+COUNTIF($E45:S45,"µ")+COUNTIF($E45:S45,1),ColDescriptionCourte))&gt;1,
HYPERLINK("#Roadmap!C"&amp; MATCH($E45,Roadmap!$D:$D,0)+COUNTIF($E45:S45,"u")+COUNTIF($E45:S45,"t")+COUNTIF($E45:S45,"¶")+COUNTIF($E45:S45,"²")+COUNTIF($E45:S45,"µ")+COUNTIF($E45:S45,1)-1,INDEX(Roadmap!$D:$K,MATCH($E45,Roadmap!$D:$D,0)-1+COUNTIF($E45:S45,"u")+COUNTIF($E45:S45,"t")+COUNTIF($E45:S45,"¶")+COUNTIF($E45:S45,"²")+COUNTIF($E45:S45,"µ")+COUNTIF($E45:S45,1),ColDescriptionCourte)),""),
  "")),"")</f>
        <v/>
      </c>
      <c r="U45" s="40" t="str">
        <f ca="1">IFERROR(IF(AND(
  INDEX(Roadmap!$D:$K,MATCH($E45,Roadmap!$D:$D,0)+COUNTIF($E45:T45,"u")+COUNTIF($E45:T45,"t")+COUNTIF($E45:T45,"¶")+COUNTIF($E45:T45,"²")+COUNTIF($E45:T45,"µ")+COUNTIF($E45:T45,1),ColLivraison)=U$6,
  VLOOKUP($E45,INDIRECT("tri!"&amp; CHAR(64+ C0Col) &amp;":"&amp; CHAR(65+C0Col)),2,FALSE)&gt;COUNTIF($E45:T45,"u")+COUNTIF($E45:T45,"t")+COUNTIF($E45:T45,"¶")+COUNTIF($E45:T45,"²")+COUNTIF($E45:T45,"µ")+COUNTIF($E45:T45,1)),
HYPERLINK("#Roadmap!C"&amp; MATCH($E45,Roadmap!$D:$D,0)+COUNTIF($E45:T45,"u")+COUNTIF($E45:T45,"t"),
     INDEX(Roadmap!$D:$K,MATCH($E45,Roadmap!$D:$D,0)+COUNTIF($E45:T45,"u")+COUNTIF($E45:T45,"t")+COUNTIF($E45:T45,"¶")+COUNTIF($E45:T45,"²")+COUNTIF($E45:T45,"µ")+COUNTIF($E45:T45,1),ColTypeEcheance)),
  IF(LEN(T45)=1,
  IF(LEN(INDEX(Roadmap!$D:$K,MATCH($E45,Roadmap!$D:$D,0)-1+COUNTIF($E45:T45,"u")+COUNTIF($E45:T45,"t")+COUNTIF($E45:T45,"¶")+COUNTIF($E45:T45,"²")+COUNTIF($E45:T45,"µ")+COUNTIF($E45:T45,1),ColDescriptionCourte))&gt;1,
HYPERLINK("#Roadmap!C"&amp; MATCH($E45,Roadmap!$D:$D,0)+COUNTIF($E45:T45,"u")+COUNTIF($E45:T45,"t")+COUNTIF($E45:T45,"¶")+COUNTIF($E45:T45,"²")+COUNTIF($E45:T45,"µ")+COUNTIF($E45:T45,1)-1,INDEX(Roadmap!$D:$K,MATCH($E45,Roadmap!$D:$D,0)-1+COUNTIF($E45:T45,"u")+COUNTIF($E45:T45,"t")+COUNTIF($E45:T45,"¶")+COUNTIF($E45:T45,"²")+COUNTIF($E45:T45,"µ")+COUNTIF($E45:T45,1),ColDescriptionCourte)),""),
  "")),"")</f>
        <v/>
      </c>
      <c r="V45" s="40" t="str">
        <f ca="1">IFERROR(IF(AND(
  INDEX(Roadmap!$D:$K,MATCH($E45,Roadmap!$D:$D,0)+COUNTIF($E45:U45,"u")+COUNTIF($E45:U45,"t")+COUNTIF($E45:U45,"¶")+COUNTIF($E45:U45,"²")+COUNTIF($E45:U45,"µ")+COUNTIF($E45:U45,1),ColLivraison)=V$6,
  VLOOKUP($E45,INDIRECT("tri!"&amp; CHAR(64+ C0Col) &amp;":"&amp; CHAR(65+C0Col)),2,FALSE)&gt;COUNTIF($E45:U45,"u")+COUNTIF($E45:U45,"t")+COUNTIF($E45:U45,"¶")+COUNTIF($E45:U45,"²")+COUNTIF($E45:U45,"µ")+COUNTIF($E45:U45,1)),
HYPERLINK("#Roadmap!C"&amp; MATCH($E45,Roadmap!$D:$D,0)+COUNTIF($E45:U45,"u")+COUNTIF($E45:U45,"t"),
     INDEX(Roadmap!$D:$K,MATCH($E45,Roadmap!$D:$D,0)+COUNTIF($E45:U45,"u")+COUNTIF($E45:U45,"t")+COUNTIF($E45:U45,"¶")+COUNTIF($E45:U45,"²")+COUNTIF($E45:U45,"µ")+COUNTIF($E45:U45,1),ColTypeEcheance)),
  IF(LEN(U45)=1,
  IF(LEN(INDEX(Roadmap!$D:$K,MATCH($E45,Roadmap!$D:$D,0)-1+COUNTIF($E45:U45,"u")+COUNTIF($E45:U45,"t")+COUNTIF($E45:U45,"¶")+COUNTIF($E45:U45,"²")+COUNTIF($E45:U45,"µ")+COUNTIF($E45:U45,1),ColDescriptionCourte))&gt;1,
HYPERLINK("#Roadmap!C"&amp; MATCH($E45,Roadmap!$D:$D,0)+COUNTIF($E45:U45,"u")+COUNTIF($E45:U45,"t")+COUNTIF($E45:U45,"¶")+COUNTIF($E45:U45,"²")+COUNTIF($E45:U45,"µ")+COUNTIF($E45:U45,1)-1,INDEX(Roadmap!$D:$K,MATCH($E45,Roadmap!$D:$D,0)-1+COUNTIF($E45:U45,"u")+COUNTIF($E45:U45,"t")+COUNTIF($E45:U45,"¶")+COUNTIF($E45:U45,"²")+COUNTIF($E45:U45,"µ")+COUNTIF($E45:U45,1),ColDescriptionCourte)),""),
  "")),"")</f>
        <v/>
      </c>
      <c r="W45" s="40" t="str">
        <f ca="1">IFERROR(IF(AND(
  INDEX(Roadmap!$D:$K,MATCH($E45,Roadmap!$D:$D,0)+COUNTIF($E45:V45,"u")+COUNTIF($E45:V45,"t")+COUNTIF($E45:V45,"¶")+COUNTIF($E45:V45,"²")+COUNTIF($E45:V45,"µ")+COUNTIF($E45:V45,1),ColLivraison)=W$6,
  VLOOKUP($E45,INDIRECT("tri!"&amp; CHAR(64+ C0Col) &amp;":"&amp; CHAR(65+C0Col)),2,FALSE)&gt;COUNTIF($E45:V45,"u")+COUNTIF($E45:V45,"t")+COUNTIF($E45:V45,"¶")+COUNTIF($E45:V45,"²")+COUNTIF($E45:V45,"µ")+COUNTIF($E45:V45,1)),
HYPERLINK("#Roadmap!C"&amp; MATCH($E45,Roadmap!$D:$D,0)+COUNTIF($E45:V45,"u")+COUNTIF($E45:V45,"t"),
     INDEX(Roadmap!$D:$K,MATCH($E45,Roadmap!$D:$D,0)+COUNTIF($E45:V45,"u")+COUNTIF($E45:V45,"t")+COUNTIF($E45:V45,"¶")+COUNTIF($E45:V45,"²")+COUNTIF($E45:V45,"µ")+COUNTIF($E45:V45,1),ColTypeEcheance)),
  IF(LEN(V45)=1,
  IF(LEN(INDEX(Roadmap!$D:$K,MATCH($E45,Roadmap!$D:$D,0)-1+COUNTIF($E45:V45,"u")+COUNTIF($E45:V45,"t")+COUNTIF($E45:V45,"¶")+COUNTIF($E45:V45,"²")+COUNTIF($E45:V45,"µ")+COUNTIF($E45:V45,1),ColDescriptionCourte))&gt;1,
HYPERLINK("#Roadmap!C"&amp; MATCH($E45,Roadmap!$D:$D,0)+COUNTIF($E45:V45,"u")+COUNTIF($E45:V45,"t")+COUNTIF($E45:V45,"¶")+COUNTIF($E45:V45,"²")+COUNTIF($E45:V45,"µ")+COUNTIF($E45:V45,1)-1,INDEX(Roadmap!$D:$K,MATCH($E45,Roadmap!$D:$D,0)-1+COUNTIF($E45:V45,"u")+COUNTIF($E45:V45,"t")+COUNTIF($E45:V45,"¶")+COUNTIF($E45:V45,"²")+COUNTIF($E45:V45,"µ")+COUNTIF($E45:V45,1),ColDescriptionCourte)),""),
  "")),"")</f>
        <v/>
      </c>
      <c r="X45" s="40" t="str">
        <f ca="1">IFERROR(IF(AND(
  INDEX(Roadmap!$D:$K,MATCH($E45,Roadmap!$D:$D,0)+COUNTIF($E45:W45,"u")+COUNTIF($E45:W45,"t")+COUNTIF($E45:W45,"¶")+COUNTIF($E45:W45,"²")+COUNTIF($E45:W45,"µ")+COUNTIF($E45:W45,1),ColLivraison)=X$6,
  VLOOKUP($E45,INDIRECT("tri!"&amp; CHAR(64+ C0Col) &amp;":"&amp; CHAR(65+C0Col)),2,FALSE)&gt;COUNTIF($E45:W45,"u")+COUNTIF($E45:W45,"t")+COUNTIF($E45:W45,"¶")+COUNTIF($E45:W45,"²")+COUNTIF($E45:W45,"µ")+COUNTIF($E45:W45,1)),
HYPERLINK("#Roadmap!C"&amp; MATCH($E45,Roadmap!$D:$D,0)+COUNTIF($E45:W45,"u")+COUNTIF($E45:W45,"t"),
     INDEX(Roadmap!$D:$K,MATCH($E45,Roadmap!$D:$D,0)+COUNTIF($E45:W45,"u")+COUNTIF($E45:W45,"t")+COUNTIF($E45:W45,"¶")+COUNTIF($E45:W45,"²")+COUNTIF($E45:W45,"µ")+COUNTIF($E45:W45,1),ColTypeEcheance)),
  IF(LEN(W45)=1,
  IF(LEN(INDEX(Roadmap!$D:$K,MATCH($E45,Roadmap!$D:$D,0)-1+COUNTIF($E45:W45,"u")+COUNTIF($E45:W45,"t")+COUNTIF($E45:W45,"¶")+COUNTIF($E45:W45,"²")+COUNTIF($E45:W45,"µ")+COUNTIF($E45:W45,1),ColDescriptionCourte))&gt;1,
HYPERLINK("#Roadmap!C"&amp; MATCH($E45,Roadmap!$D:$D,0)+COUNTIF($E45:W45,"u")+COUNTIF($E45:W45,"t")+COUNTIF($E45:W45,"¶")+COUNTIF($E45:W45,"²")+COUNTIF($E45:W45,"µ")+COUNTIF($E45:W45,1)-1,INDEX(Roadmap!$D:$K,MATCH($E45,Roadmap!$D:$D,0)-1+COUNTIF($E45:W45,"u")+COUNTIF($E45:W45,"t")+COUNTIF($E45:W45,"¶")+COUNTIF($E45:W45,"²")+COUNTIF($E45:W45,"µ")+COUNTIF($E45:W45,1),ColDescriptionCourte)),""),
  "")),"")</f>
        <v/>
      </c>
      <c r="Y45" s="40" t="str">
        <f ca="1">IFERROR(IF(AND(
  INDEX(Roadmap!$D:$K,MATCH($E45,Roadmap!$D:$D,0)+COUNTIF($E45:X45,"u")+COUNTIF($E45:X45,"t")+COUNTIF($E45:X45,"¶")+COUNTIF($E45:X45,"²")+COUNTIF($E45:X45,"µ")+COUNTIF($E45:X45,1),ColLivraison)=Y$6,
  VLOOKUP($E45,INDIRECT("tri!"&amp; CHAR(64+ C0Col) &amp;":"&amp; CHAR(65+C0Col)),2,FALSE)&gt;COUNTIF($E45:X45,"u")+COUNTIF($E45:X45,"t")+COUNTIF($E45:X45,"¶")+COUNTIF($E45:X45,"²")+COUNTIF($E45:X45,"µ")+COUNTIF($E45:X45,1)),
HYPERLINK("#Roadmap!C"&amp; MATCH($E45,Roadmap!$D:$D,0)+COUNTIF($E45:X45,"u")+COUNTIF($E45:X45,"t"),
     INDEX(Roadmap!$D:$K,MATCH($E45,Roadmap!$D:$D,0)+COUNTIF($E45:X45,"u")+COUNTIF($E45:X45,"t")+COUNTIF($E45:X45,"¶")+COUNTIF($E45:X45,"²")+COUNTIF($E45:X45,"µ")+COUNTIF($E45:X45,1),ColTypeEcheance)),
  IF(LEN(X45)=1,
  IF(LEN(INDEX(Roadmap!$D:$K,MATCH($E45,Roadmap!$D:$D,0)-1+COUNTIF($E45:X45,"u")+COUNTIF($E45:X45,"t")+COUNTIF($E45:X45,"¶")+COUNTIF($E45:X45,"²")+COUNTIF($E45:X45,"µ")+COUNTIF($E45:X45,1),ColDescriptionCourte))&gt;1,
HYPERLINK("#Roadmap!C"&amp; MATCH($E45,Roadmap!$D:$D,0)+COUNTIF($E45:X45,"u")+COUNTIF($E45:X45,"t")+COUNTIF($E45:X45,"¶")+COUNTIF($E45:X45,"²")+COUNTIF($E45:X45,"µ")+COUNTIF($E45:X45,1)-1,INDEX(Roadmap!$D:$K,MATCH($E45,Roadmap!$D:$D,0)-1+COUNTIF($E45:X45,"u")+COUNTIF($E45:X45,"t")+COUNTIF($E45:X45,"¶")+COUNTIF($E45:X45,"²")+COUNTIF($E45:X45,"µ")+COUNTIF($E45:X45,1),ColDescriptionCourte)),""),
  "")),"")</f>
        <v/>
      </c>
      <c r="Z45" s="40" t="str">
        <f ca="1">IFERROR(IF(AND(
  INDEX(Roadmap!$D:$K,MATCH($E45,Roadmap!$D:$D,0)+COUNTIF($E45:Y45,"u")+COUNTIF($E45:Y45,"t")+COUNTIF($E45:Y45,"¶")+COUNTIF($E45:Y45,"²")+COUNTIF($E45:Y45,"µ")+COUNTIF($E45:Y45,1),ColLivraison)=Z$6,
  VLOOKUP($E45,INDIRECT("tri!"&amp; CHAR(64+ C0Col) &amp;":"&amp; CHAR(65+C0Col)),2,FALSE)&gt;COUNTIF($E45:Y45,"u")+COUNTIF($E45:Y45,"t")+COUNTIF($E45:Y45,"¶")+COUNTIF($E45:Y45,"²")+COUNTIF($E45:Y45,"µ")+COUNTIF($E45:Y45,1)),
HYPERLINK("#Roadmap!C"&amp; MATCH($E45,Roadmap!$D:$D,0)+COUNTIF($E45:Y45,"u")+COUNTIF($E45:Y45,"t"),
     INDEX(Roadmap!$D:$K,MATCH($E45,Roadmap!$D:$D,0)+COUNTIF($E45:Y45,"u")+COUNTIF($E45:Y45,"t")+COUNTIF($E45:Y45,"¶")+COUNTIF($E45:Y45,"²")+COUNTIF($E45:Y45,"µ")+COUNTIF($E45:Y45,1),ColTypeEcheance)),
  IF(LEN(Y45)=1,
  IF(LEN(INDEX(Roadmap!$D:$K,MATCH($E45,Roadmap!$D:$D,0)-1+COUNTIF($E45:Y45,"u")+COUNTIF($E45:Y45,"t")+COUNTIF($E45:Y45,"¶")+COUNTIF($E45:Y45,"²")+COUNTIF($E45:Y45,"µ")+COUNTIF($E45:Y45,1),ColDescriptionCourte))&gt;1,
HYPERLINK("#Roadmap!C"&amp; MATCH($E45,Roadmap!$D:$D,0)+COUNTIF($E45:Y45,"u")+COUNTIF($E45:Y45,"t")+COUNTIF($E45:Y45,"¶")+COUNTIF($E45:Y45,"²")+COUNTIF($E45:Y45,"µ")+COUNTIF($E45:Y45,1)-1,INDEX(Roadmap!$D:$K,MATCH($E45,Roadmap!$D:$D,0)-1+COUNTIF($E45:Y45,"u")+COUNTIF($E45:Y45,"t")+COUNTIF($E45:Y45,"¶")+COUNTIF($E45:Y45,"²")+COUNTIF($E45:Y45,"µ")+COUNTIF($E45:Y45,1),ColDescriptionCourte)),""),
  "")),"")</f>
        <v/>
      </c>
      <c r="AA45" s="40" t="str">
        <f ca="1">IFERROR(IF(AND(
  INDEX(Roadmap!$D:$K,MATCH($E45,Roadmap!$D:$D,0)+COUNTIF($E45:Z45,"u")+COUNTIF($E45:Z45,"t")+COUNTIF($E45:Z45,"¶")+COUNTIF($E45:Z45,"²")+COUNTIF($E45:Z45,"µ")+COUNTIF($E45:Z45,1),ColLivraison)=AA$6,
  VLOOKUP($E45,INDIRECT("tri!"&amp; CHAR(64+ C0Col) &amp;":"&amp; CHAR(65+C0Col)),2,FALSE)&gt;COUNTIF($E45:Z45,"u")+COUNTIF($E45:Z45,"t")+COUNTIF($E45:Z45,"¶")+COUNTIF($E45:Z45,"²")+COUNTIF($E45:Z45,"µ")+COUNTIF($E45:Z45,1)),
HYPERLINK("#Roadmap!C"&amp; MATCH($E45,Roadmap!$D:$D,0)+COUNTIF($E45:Z45,"u")+COUNTIF($E45:Z45,"t"),
     INDEX(Roadmap!$D:$K,MATCH($E45,Roadmap!$D:$D,0)+COUNTIF($E45:Z45,"u")+COUNTIF($E45:Z45,"t")+COUNTIF($E45:Z45,"¶")+COUNTIF($E45:Z45,"²")+COUNTIF($E45:Z45,"µ")+COUNTIF($E45:Z45,1),ColTypeEcheance)),
  IF(LEN(Z45)=1,
  IF(LEN(INDEX(Roadmap!$D:$K,MATCH($E45,Roadmap!$D:$D,0)-1+COUNTIF($E45:Z45,"u")+COUNTIF($E45:Z45,"t")+COUNTIF($E45:Z45,"¶")+COUNTIF($E45:Z45,"²")+COUNTIF($E45:Z45,"µ")+COUNTIF($E45:Z45,1),ColDescriptionCourte))&gt;1,
HYPERLINK("#Roadmap!C"&amp; MATCH($E45,Roadmap!$D:$D,0)+COUNTIF($E45:Z45,"u")+COUNTIF($E45:Z45,"t")+COUNTIF($E45:Z45,"¶")+COUNTIF($E45:Z45,"²")+COUNTIF($E45:Z45,"µ")+COUNTIF($E45:Z45,1)-1,INDEX(Roadmap!$D:$K,MATCH($E45,Roadmap!$D:$D,0)-1+COUNTIF($E45:Z45,"u")+COUNTIF($E45:Z45,"t")+COUNTIF($E45:Z45,"¶")+COUNTIF($E45:Z45,"²")+COUNTIF($E45:Z45,"µ")+COUNTIF($E45:Z45,1),ColDescriptionCourte)),""),
  "")),"")</f>
        <v/>
      </c>
      <c r="AB45" s="40" t="str">
        <f ca="1">IFERROR(IF(AND(
  INDEX(Roadmap!$D:$K,MATCH($E45,Roadmap!$D:$D,0)+COUNTIF($E45:AA45,"u")+COUNTIF($E45:AA45,"t")+COUNTIF($E45:AA45,"¶")+COUNTIF($E45:AA45,"²")+COUNTIF($E45:AA45,"µ")+COUNTIF($E45:AA45,1),ColLivraison)=AB$6,
  VLOOKUP($E45,INDIRECT("tri!"&amp; CHAR(64+ C0Col) &amp;":"&amp; CHAR(65+C0Col)),2,FALSE)&gt;COUNTIF($E45:AA45,"u")+COUNTIF($E45:AA45,"t")+COUNTIF($E45:AA45,"¶")+COUNTIF($E45:AA45,"²")+COUNTIF($E45:AA45,"µ")+COUNTIF($E45:AA45,1)),
HYPERLINK("#Roadmap!C"&amp; MATCH($E45,Roadmap!$D:$D,0)+COUNTIF($E45:AA45,"u")+COUNTIF($E45:AA45,"t"),
     INDEX(Roadmap!$D:$K,MATCH($E45,Roadmap!$D:$D,0)+COUNTIF($E45:AA45,"u")+COUNTIF($E45:AA45,"t")+COUNTIF($E45:AA45,"¶")+COUNTIF($E45:AA45,"²")+COUNTIF($E45:AA45,"µ")+COUNTIF($E45:AA45,1),ColTypeEcheance)),
  IF(LEN(AA45)=1,
  IF(LEN(INDEX(Roadmap!$D:$K,MATCH($E45,Roadmap!$D:$D,0)-1+COUNTIF($E45:AA45,"u")+COUNTIF($E45:AA45,"t")+COUNTIF($E45:AA45,"¶")+COUNTIF($E45:AA45,"²")+COUNTIF($E45:AA45,"µ")+COUNTIF($E45:AA45,1),ColDescriptionCourte))&gt;1,
HYPERLINK("#Roadmap!C"&amp; MATCH($E45,Roadmap!$D:$D,0)+COUNTIF($E45:AA45,"u")+COUNTIF($E45:AA45,"t")+COUNTIF($E45:AA45,"¶")+COUNTIF($E45:AA45,"²")+COUNTIF($E45:AA45,"µ")+COUNTIF($E45:AA45,1)-1,INDEX(Roadmap!$D:$K,MATCH($E45,Roadmap!$D:$D,0)-1+COUNTIF($E45:AA45,"u")+COUNTIF($E45:AA45,"t")+COUNTIF($E45:AA45,"¶")+COUNTIF($E45:AA45,"²")+COUNTIF($E45:AA45,"µ")+COUNTIF($E45:AA45,1),ColDescriptionCourte)),""),
  "")),"")</f>
        <v/>
      </c>
      <c r="AC45" s="40" t="str">
        <f ca="1">IFERROR(IF(AND(
  INDEX(Roadmap!$D:$K,MATCH($E45,Roadmap!$D:$D,0)+COUNTIF($E45:AB45,"u")+COUNTIF($E45:AB45,"t")+COUNTIF($E45:AB45,"¶")+COUNTIF($E45:AB45,"²")+COUNTIF($E45:AB45,"µ")+COUNTIF($E45:AB45,1),ColLivraison)=AC$6,
  VLOOKUP($E45,INDIRECT("tri!"&amp; CHAR(64+ C0Col) &amp;":"&amp; CHAR(65+C0Col)),2,FALSE)&gt;COUNTIF($E45:AB45,"u")+COUNTIF($E45:AB45,"t")+COUNTIF($E45:AB45,"¶")+COUNTIF($E45:AB45,"²")+COUNTIF($E45:AB45,"µ")+COUNTIF($E45:AB45,1)),
HYPERLINK("#Roadmap!C"&amp; MATCH($E45,Roadmap!$D:$D,0)+COUNTIF($E45:AB45,"u")+COUNTIF($E45:AB45,"t"),
     INDEX(Roadmap!$D:$K,MATCH($E45,Roadmap!$D:$D,0)+COUNTIF($E45:AB45,"u")+COUNTIF($E45:AB45,"t")+COUNTIF($E45:AB45,"¶")+COUNTIF($E45:AB45,"²")+COUNTIF($E45:AB45,"µ")+COUNTIF($E45:AB45,1),ColTypeEcheance)),
  IF(LEN(AB45)=1,
  IF(LEN(INDEX(Roadmap!$D:$K,MATCH($E45,Roadmap!$D:$D,0)-1+COUNTIF($E45:AB45,"u")+COUNTIF($E45:AB45,"t")+COUNTIF($E45:AB45,"¶")+COUNTIF($E45:AB45,"²")+COUNTIF($E45:AB45,"µ")+COUNTIF($E45:AB45,1),ColDescriptionCourte))&gt;1,
HYPERLINK("#Roadmap!C"&amp; MATCH($E45,Roadmap!$D:$D,0)+COUNTIF($E45:AB45,"u")+COUNTIF($E45:AB45,"t")+COUNTIF($E45:AB45,"¶")+COUNTIF($E45:AB45,"²")+COUNTIF($E45:AB45,"µ")+COUNTIF($E45:AB45,1)-1,INDEX(Roadmap!$D:$K,MATCH($E45,Roadmap!$D:$D,0)-1+COUNTIF($E45:AB45,"u")+COUNTIF($E45:AB45,"t")+COUNTIF($E45:AB45,"¶")+COUNTIF($E45:AB45,"²")+COUNTIF($E45:AB45,"µ")+COUNTIF($E45:AB45,1),ColDescriptionCourte)),""),
  "")),"")</f>
        <v/>
      </c>
      <c r="AD45" s="40" t="str">
        <f ca="1">IFERROR(IF(AND(
  INDEX(Roadmap!$D:$K,MATCH($E45,Roadmap!$D:$D,0)+COUNTIF($E45:AC45,"u")+COUNTIF($E45:AC45,"t")+COUNTIF($E45:AC45,"¶")+COUNTIF($E45:AC45,"²")+COUNTIF($E45:AC45,"µ")+COUNTIF($E45:AC45,1),ColLivraison)=AD$6,
  VLOOKUP($E45,INDIRECT("tri!"&amp; CHAR(64+ C0Col) &amp;":"&amp; CHAR(65+C0Col)),2,FALSE)&gt;COUNTIF($E45:AC45,"u")+COUNTIF($E45:AC45,"t")+COUNTIF($E45:AC45,"¶")+COUNTIF($E45:AC45,"²")+COUNTIF($E45:AC45,"µ")+COUNTIF($E45:AC45,1)),
HYPERLINK("#Roadmap!C"&amp; MATCH($E45,Roadmap!$D:$D,0)+COUNTIF($E45:AC45,"u")+COUNTIF($E45:AC45,"t"),
     INDEX(Roadmap!$D:$K,MATCH($E45,Roadmap!$D:$D,0)+COUNTIF($E45:AC45,"u")+COUNTIF($E45:AC45,"t")+COUNTIF($E45:AC45,"¶")+COUNTIF($E45:AC45,"²")+COUNTIF($E45:AC45,"µ")+COUNTIF($E45:AC45,1),ColTypeEcheance)),
  IF(LEN(AC45)=1,
  IF(LEN(INDEX(Roadmap!$D:$K,MATCH($E45,Roadmap!$D:$D,0)-1+COUNTIF($E45:AC45,"u")+COUNTIF($E45:AC45,"t")+COUNTIF($E45:AC45,"¶")+COUNTIF($E45:AC45,"²")+COUNTIF($E45:AC45,"µ")+COUNTIF($E45:AC45,1),ColDescriptionCourte))&gt;1,
HYPERLINK("#Roadmap!C"&amp; MATCH($E45,Roadmap!$D:$D,0)+COUNTIF($E45:AC45,"u")+COUNTIF($E45:AC45,"t")+COUNTIF($E45:AC45,"¶")+COUNTIF($E45:AC45,"²")+COUNTIF($E45:AC45,"µ")+COUNTIF($E45:AC45,1)-1,INDEX(Roadmap!$D:$K,MATCH($E45,Roadmap!$D:$D,0)-1+COUNTIF($E45:AC45,"u")+COUNTIF($E45:AC45,"t")+COUNTIF($E45:AC45,"¶")+COUNTIF($E45:AC45,"²")+COUNTIF($E45:AC45,"µ")+COUNTIF($E45:AC45,1),ColDescriptionCourte)),""),
  "")),"")</f>
        <v/>
      </c>
      <c r="AE45" s="40" t="str">
        <f ca="1">IFERROR(IF(AND(
  INDEX(Roadmap!$D:$K,MATCH($E45,Roadmap!$D:$D,0)+COUNTIF($E45:AD45,"u")+COUNTIF($E45:AD45,"t")+COUNTIF($E45:AD45,"¶")+COUNTIF($E45:AD45,"²")+COUNTIF($E45:AD45,"µ")+COUNTIF($E45:AD45,1),ColLivraison)=AE$6,
  VLOOKUP($E45,INDIRECT("tri!"&amp; CHAR(64+ C0Col) &amp;":"&amp; CHAR(65+C0Col)),2,FALSE)&gt;COUNTIF($E45:AD45,"u")+COUNTIF($E45:AD45,"t")+COUNTIF($E45:AD45,"¶")+COUNTIF($E45:AD45,"²")+COUNTIF($E45:AD45,"µ")+COUNTIF($E45:AD45,1)),
HYPERLINK("#Roadmap!C"&amp; MATCH($E45,Roadmap!$D:$D,0)+COUNTIF($E45:AD45,"u")+COUNTIF($E45:AD45,"t"),
     INDEX(Roadmap!$D:$K,MATCH($E45,Roadmap!$D:$D,0)+COUNTIF($E45:AD45,"u")+COUNTIF($E45:AD45,"t")+COUNTIF($E45:AD45,"¶")+COUNTIF($E45:AD45,"²")+COUNTIF($E45:AD45,"µ")+COUNTIF($E45:AD45,1),ColTypeEcheance)),
  IF(LEN(AD45)=1,
  IF(LEN(INDEX(Roadmap!$D:$K,MATCH($E45,Roadmap!$D:$D,0)-1+COUNTIF($E45:AD45,"u")+COUNTIF($E45:AD45,"t")+COUNTIF($E45:AD45,"¶")+COUNTIF($E45:AD45,"²")+COUNTIF($E45:AD45,"µ")+COUNTIF($E45:AD45,1),ColDescriptionCourte))&gt;1,
HYPERLINK("#Roadmap!C"&amp; MATCH($E45,Roadmap!$D:$D,0)+COUNTIF($E45:AD45,"u")+COUNTIF($E45:AD45,"t")+COUNTIF($E45:AD45,"¶")+COUNTIF($E45:AD45,"²")+COUNTIF($E45:AD45,"µ")+COUNTIF($E45:AD45,1)-1,INDEX(Roadmap!$D:$K,MATCH($E45,Roadmap!$D:$D,0)-1+COUNTIF($E45:AD45,"u")+COUNTIF($E45:AD45,"t")+COUNTIF($E45:AD45,"¶")+COUNTIF($E45:AD45,"²")+COUNTIF($E45:AD45,"µ")+COUNTIF($E45:AD45,1),ColDescriptionCourte)),""),
  "")),"")</f>
        <v/>
      </c>
      <c r="AF45" s="40" t="str">
        <f ca="1">IFERROR(IF(AND(
  INDEX(Roadmap!$D:$K,MATCH($E45,Roadmap!$D:$D,0)+COUNTIF($E45:AE45,"u")+COUNTIF($E45:AE45,"t")+COUNTIF($E45:AE45,"¶")+COUNTIF($E45:AE45,"²")+COUNTIF($E45:AE45,"µ")+COUNTIF($E45:AE45,1),ColLivraison)=AF$6,
  VLOOKUP($E45,INDIRECT("tri!"&amp; CHAR(64+ C0Col) &amp;":"&amp; CHAR(65+C0Col)),2,FALSE)&gt;COUNTIF($E45:AE45,"u")+COUNTIF($E45:AE45,"t")+COUNTIF($E45:AE45,"¶")+COUNTIF($E45:AE45,"²")+COUNTIF($E45:AE45,"µ")+COUNTIF($E45:AE45,1)),
HYPERLINK("#Roadmap!C"&amp; MATCH($E45,Roadmap!$D:$D,0)+COUNTIF($E45:AE45,"u")+COUNTIF($E45:AE45,"t"),
     INDEX(Roadmap!$D:$K,MATCH($E45,Roadmap!$D:$D,0)+COUNTIF($E45:AE45,"u")+COUNTIF($E45:AE45,"t")+COUNTIF($E45:AE45,"¶")+COUNTIF($E45:AE45,"²")+COUNTIF($E45:AE45,"µ")+COUNTIF($E45:AE45,1),ColTypeEcheance)),
  IF(LEN(AE45)=1,
  IF(LEN(INDEX(Roadmap!$D:$K,MATCH($E45,Roadmap!$D:$D,0)-1+COUNTIF($E45:AE45,"u")+COUNTIF($E45:AE45,"t")+COUNTIF($E45:AE45,"¶")+COUNTIF($E45:AE45,"²")+COUNTIF($E45:AE45,"µ")+COUNTIF($E45:AE45,1),ColDescriptionCourte))&gt;1,
HYPERLINK("#Roadmap!C"&amp; MATCH($E45,Roadmap!$D:$D,0)+COUNTIF($E45:AE45,"u")+COUNTIF($E45:AE45,"t")+COUNTIF($E45:AE45,"¶")+COUNTIF($E45:AE45,"²")+COUNTIF($E45:AE45,"µ")+COUNTIF($E45:AE45,1)-1,INDEX(Roadmap!$D:$K,MATCH($E45,Roadmap!$D:$D,0)-1+COUNTIF($E45:AE45,"u")+COUNTIF($E45:AE45,"t")+COUNTIF($E45:AE45,"¶")+COUNTIF($E45:AE45,"²")+COUNTIF($E45:AE45,"µ")+COUNTIF($E45:AE45,1),ColDescriptionCourte)),""),
  "")),"")</f>
        <v/>
      </c>
      <c r="AG45" s="40" t="str">
        <f ca="1">IFERROR(IF(AND(
  INDEX(Roadmap!$D:$K,MATCH($E45,Roadmap!$D:$D,0)+COUNTIF($E45:AF45,"u")+COUNTIF($E45:AF45,"t")+COUNTIF($E45:AF45,"¶")+COUNTIF($E45:AF45,"²")+COUNTIF($E45:AF45,"µ")+COUNTIF($E45:AF45,1),ColLivraison)=AG$6,
  VLOOKUP($E45,INDIRECT("tri!"&amp; CHAR(64+ C0Col) &amp;":"&amp; CHAR(65+C0Col)),2,FALSE)&gt;COUNTIF($E45:AF45,"u")+COUNTIF($E45:AF45,"t")+COUNTIF($E45:AF45,"¶")+COUNTIF($E45:AF45,"²")+COUNTIF($E45:AF45,"µ")+COUNTIF($E45:AF45,1)),
HYPERLINK("#Roadmap!C"&amp; MATCH($E45,Roadmap!$D:$D,0)+COUNTIF($E45:AF45,"u")+COUNTIF($E45:AF45,"t"),
     INDEX(Roadmap!$D:$K,MATCH($E45,Roadmap!$D:$D,0)+COUNTIF($E45:AF45,"u")+COUNTIF($E45:AF45,"t")+COUNTIF($E45:AF45,"¶")+COUNTIF($E45:AF45,"²")+COUNTIF($E45:AF45,"µ")+COUNTIF($E45:AF45,1),ColTypeEcheance)),
  IF(LEN(AF45)=1,
  IF(LEN(INDEX(Roadmap!$D:$K,MATCH($E45,Roadmap!$D:$D,0)-1+COUNTIF($E45:AF45,"u")+COUNTIF($E45:AF45,"t")+COUNTIF($E45:AF45,"¶")+COUNTIF($E45:AF45,"²")+COUNTIF($E45:AF45,"µ")+COUNTIF($E45:AF45,1),ColDescriptionCourte))&gt;1,
HYPERLINK("#Roadmap!C"&amp; MATCH($E45,Roadmap!$D:$D,0)+COUNTIF($E45:AF45,"u")+COUNTIF($E45:AF45,"t")+COUNTIF($E45:AF45,"¶")+COUNTIF($E45:AF45,"²")+COUNTIF($E45:AF45,"µ")+COUNTIF($E45:AF45,1)-1,INDEX(Roadmap!$D:$K,MATCH($E45,Roadmap!$D:$D,0)-1+COUNTIF($E45:AF45,"u")+COUNTIF($E45:AF45,"t")+COUNTIF($E45:AF45,"¶")+COUNTIF($E45:AF45,"²")+COUNTIF($E45:AF45,"µ")+COUNTIF($E45:AF45,1),ColDescriptionCourte)),""),
  "")),"")</f>
        <v/>
      </c>
    </row>
    <row r="46" spans="3:33" ht="14.25" customHeight="1">
      <c r="C46" s="1" t="str">
        <f t="shared" ca="1" si="44"/>
        <v/>
      </c>
      <c r="D46" s="1" t="str">
        <f t="shared" ca="1" si="45"/>
        <v/>
      </c>
      <c r="E46" s="35" t="str">
        <f t="shared" ca="1" si="33"/>
        <v/>
      </c>
      <c r="F46" s="39" t="str">
        <f ca="1">IFERROR(IF(AND(
  INDEX(Roadmap!$D:$K,MATCH($E46,Roadmap!$D:$D,0)+COUNTIF($E46:E46,"u")+COUNTIF($E46:E46,"t")+COUNTIF($E46:E46,"¶")+COUNTIF($E46:E46,"²")+COUNTIF($E46:E46,"µ")+COUNTIF($E46:E46,1),ColLivraison)=F$6,
  VLOOKUP($E46,INDIRECT("tri!"&amp; CHAR(64+ C0Col) &amp;":"&amp; CHAR(65+C0Col)),2,FALSE)&gt;COUNTIF($E46:E46,"u")+COUNTIF($E46:E46,"t")+COUNTIF($E46:E46,"¶")+COUNTIF($E46:E46,"²")+COUNTIF($E46:E46,"µ")+COUNTIF($E46:E46,1)),
HYPERLINK("#Roadmap!C"&amp; MATCH($E46,Roadmap!$D:$D,0)+COUNTIF($E46:E46,"u")+COUNTIF($E46:E46,"t"),
     INDEX(Roadmap!$D:$K,MATCH($E46,Roadmap!$D:$D,0)+COUNTIF($E46:E46,"u")+COUNTIF($E46:E46,"t")+COUNTIF($E46:E46,"¶")+COUNTIF($E46:E46,"²")+COUNTIF($E46:E46,"µ")+COUNTIF($E46:E46,1),ColTypeEcheance)),
  IF(LEN(E46)=1,
  IF(LEN(INDEX(Roadmap!$D:$K,MATCH($E46,Roadmap!$D:$D,0)-1+COUNTIF($E46:E46,"u")+COUNTIF($E46:E46,"t")+COUNTIF($E46:E46,"¶")+COUNTIF($E46:E46,"²")+COUNTIF($E46:E46,"µ")+COUNTIF($E46:E46,1),ColDescriptionCourte))&gt;1,
HYPERLINK("#Roadmap!C"&amp; MATCH($E46,Roadmap!$D:$D,0)+COUNTIF($E46:E46,"u")+COUNTIF($E46:E46,"t")+COUNTIF($E46:E46,"¶")+COUNTIF($E46:E46,"²")+COUNTIF($E46:E46,"µ")+COUNTIF($E46:E46,1)-1,INDEX(Roadmap!$D:$K,MATCH($E46,Roadmap!$D:$D,0)-1+COUNTIF($E46:E46,"u")+COUNTIF($E46:E46,"t")+COUNTIF($E46:E46,"¶")+COUNTIF($E46:E46,"²")+COUNTIF($E46:E46,"µ")+COUNTIF($E46:E46,1),ColDescriptionCourte)),""),
  "")),"")</f>
        <v/>
      </c>
      <c r="G46" s="40" t="str">
        <f ca="1">IFERROR(IF(AND(
  INDEX(Roadmap!$D:$K,MATCH($E46,Roadmap!$D:$D,0)+COUNTIF($E46:F46,"u")+COUNTIF($E46:F46,"t")+COUNTIF($E46:F46,"¶")+COUNTIF($E46:F46,"²")+COUNTIF($E46:F46,"µ")+COUNTIF($E46:F46,1),ColLivraison)=G$6,
  VLOOKUP($E46,INDIRECT("tri!"&amp; CHAR(64+ C0Col) &amp;":"&amp; CHAR(65+C0Col)),2,FALSE)&gt;COUNTIF($E46:F46,"u")+COUNTIF($E46:F46,"t")+COUNTIF($E46:F46,"¶")+COUNTIF($E46:F46,"²")+COUNTIF($E46:F46,"µ")+COUNTIF($E46:F46,1)),
HYPERLINK("#Roadmap!C"&amp; MATCH($E46,Roadmap!$D:$D,0)+COUNTIF($E46:F46,"u")+COUNTIF($E46:F46,"t"),
     INDEX(Roadmap!$D:$K,MATCH($E46,Roadmap!$D:$D,0)+COUNTIF($E46:F46,"u")+COUNTIF($E46:F46,"t")+COUNTIF($E46:F46,"¶")+COUNTIF($E46:F46,"²")+COUNTIF($E46:F46,"µ")+COUNTIF($E46:F46,1),ColTypeEcheance)),
  IF(LEN(F46)=1,
  IF(LEN(INDEX(Roadmap!$D:$K,MATCH($E46,Roadmap!$D:$D,0)-1+COUNTIF($E46:F46,"u")+COUNTIF($E46:F46,"t")+COUNTIF($E46:F46,"¶")+COUNTIF($E46:F46,"²")+COUNTIF($E46:F46,"µ")+COUNTIF($E46:F46,1),ColDescriptionCourte))&gt;1,
HYPERLINK("#Roadmap!C"&amp; MATCH($E46,Roadmap!$D:$D,0)+COUNTIF($E46:F46,"u")+COUNTIF($E46:F46,"t")+COUNTIF($E46:F46,"¶")+COUNTIF($E46:F46,"²")+COUNTIF($E46:F46,"µ")+COUNTIF($E46:F46,1)-1,INDEX(Roadmap!$D:$K,MATCH($E46,Roadmap!$D:$D,0)-1+COUNTIF($E46:F46,"u")+COUNTIF($E46:F46,"t")+COUNTIF($E46:F46,"¶")+COUNTIF($E46:F46,"²")+COUNTIF($E46:F46,"µ")+COUNTIF($E46:F46,1),ColDescriptionCourte)),""),
  "")),"")</f>
        <v/>
      </c>
      <c r="H46" s="40" t="str">
        <f ca="1">IFERROR(IF(AND(
  INDEX(Roadmap!$D:$K,MATCH($E46,Roadmap!$D:$D,0)+COUNTIF($E46:G46,"u")+COUNTIF($E46:G46,"t")+COUNTIF($E46:G46,"¶")+COUNTIF($E46:G46,"²")+COUNTIF($E46:G46,"µ")+COUNTIF($E46:G46,1),ColLivraison)=H$6,
  VLOOKUP($E46,INDIRECT("tri!"&amp; CHAR(64+ C0Col) &amp;":"&amp; CHAR(65+C0Col)),2,FALSE)&gt;COUNTIF($E46:G46,"u")+COUNTIF($E46:G46,"t")+COUNTIF($E46:G46,"¶")+COUNTIF($E46:G46,"²")+COUNTIF($E46:G46,"µ")+COUNTIF($E46:G46,1)),
HYPERLINK("#Roadmap!C"&amp; MATCH($E46,Roadmap!$D:$D,0)+COUNTIF($E46:G46,"u")+COUNTIF($E46:G46,"t"),
     INDEX(Roadmap!$D:$K,MATCH($E46,Roadmap!$D:$D,0)+COUNTIF($E46:G46,"u")+COUNTIF($E46:G46,"t")+COUNTIF($E46:G46,"¶")+COUNTIF($E46:G46,"²")+COUNTIF($E46:G46,"µ")+COUNTIF($E46:G46,1),ColTypeEcheance)),
  IF(LEN(G46)=1,
  IF(LEN(INDEX(Roadmap!$D:$K,MATCH($E46,Roadmap!$D:$D,0)-1+COUNTIF($E46:G46,"u")+COUNTIF($E46:G46,"t")+COUNTIF($E46:G46,"¶")+COUNTIF($E46:G46,"²")+COUNTIF($E46:G46,"µ")+COUNTIF($E46:G46,1),ColDescriptionCourte))&gt;1,
HYPERLINK("#Roadmap!C"&amp; MATCH($E46,Roadmap!$D:$D,0)+COUNTIF($E46:G46,"u")+COUNTIF($E46:G46,"t")+COUNTIF($E46:G46,"¶")+COUNTIF($E46:G46,"²")+COUNTIF($E46:G46,"µ")+COUNTIF($E46:G46,1)-1,INDEX(Roadmap!$D:$K,MATCH($E46,Roadmap!$D:$D,0)-1+COUNTIF($E46:G46,"u")+COUNTIF($E46:G46,"t")+COUNTIF($E46:G46,"¶")+COUNTIF($E46:G46,"²")+COUNTIF($E46:G46,"µ")+COUNTIF($E46:G46,1),ColDescriptionCourte)),""),
  "")),"")</f>
        <v/>
      </c>
      <c r="I46" s="40" t="str">
        <f ca="1">IFERROR(IF(AND(
  INDEX(Roadmap!$D:$K,MATCH($E46,Roadmap!$D:$D,0)+COUNTIF($E46:H46,"u")+COUNTIF($E46:H46,"t")+COUNTIF($E46:H46,"¶")+COUNTIF($E46:H46,"²")+COUNTIF($E46:H46,"µ")+COUNTIF($E46:H46,1),ColLivraison)=I$6,
  VLOOKUP($E46,INDIRECT("tri!"&amp; CHAR(64+ C0Col) &amp;":"&amp; CHAR(65+C0Col)),2,FALSE)&gt;COUNTIF($E46:H46,"u")+COUNTIF($E46:H46,"t")+COUNTIF($E46:H46,"¶")+COUNTIF($E46:H46,"²")+COUNTIF($E46:H46,"µ")+COUNTIF($E46:H46,1)),
HYPERLINK("#Roadmap!C"&amp; MATCH($E46,Roadmap!$D:$D,0)+COUNTIF($E46:H46,"u")+COUNTIF($E46:H46,"t"),
     INDEX(Roadmap!$D:$K,MATCH($E46,Roadmap!$D:$D,0)+COUNTIF($E46:H46,"u")+COUNTIF($E46:H46,"t")+COUNTIF($E46:H46,"¶")+COUNTIF($E46:H46,"²")+COUNTIF($E46:H46,"µ")+COUNTIF($E46:H46,1),ColTypeEcheance)),
  IF(LEN(H46)=1,
  IF(LEN(INDEX(Roadmap!$D:$K,MATCH($E46,Roadmap!$D:$D,0)-1+COUNTIF($E46:H46,"u")+COUNTIF($E46:H46,"t")+COUNTIF($E46:H46,"¶")+COUNTIF($E46:H46,"²")+COUNTIF($E46:H46,"µ")+COUNTIF($E46:H46,1),ColDescriptionCourte))&gt;1,
HYPERLINK("#Roadmap!C"&amp; MATCH($E46,Roadmap!$D:$D,0)+COUNTIF($E46:H46,"u")+COUNTIF($E46:H46,"t")+COUNTIF($E46:H46,"¶")+COUNTIF($E46:H46,"²")+COUNTIF($E46:H46,"µ")+COUNTIF($E46:H46,1)-1,INDEX(Roadmap!$D:$K,MATCH($E46,Roadmap!$D:$D,0)-1+COUNTIF($E46:H46,"u")+COUNTIF($E46:H46,"t")+COUNTIF($E46:H46,"¶")+COUNTIF($E46:H46,"²")+COUNTIF($E46:H46,"µ")+COUNTIF($E46:H46,1),ColDescriptionCourte)),""),
  "")),"")</f>
        <v/>
      </c>
      <c r="J46" s="40" t="str">
        <f ca="1">IFERROR(IF(AND(
  INDEX(Roadmap!$D:$K,MATCH($E46,Roadmap!$D:$D,0)+COUNTIF($E46:I46,"u")+COUNTIF($E46:I46,"t")+COUNTIF($E46:I46,"¶")+COUNTIF($E46:I46,"²")+COUNTIF($E46:I46,"µ")+COUNTIF($E46:I46,1),ColLivraison)=J$6,
  VLOOKUP($E46,INDIRECT("tri!"&amp; CHAR(64+ C0Col) &amp;":"&amp; CHAR(65+C0Col)),2,FALSE)&gt;COUNTIF($E46:I46,"u")+COUNTIF($E46:I46,"t")+COUNTIF($E46:I46,"¶")+COUNTIF($E46:I46,"²")+COUNTIF($E46:I46,"µ")+COUNTIF($E46:I46,1)),
HYPERLINK("#Roadmap!C"&amp; MATCH($E46,Roadmap!$D:$D,0)+COUNTIF($E46:I46,"u")+COUNTIF($E46:I46,"t"),
     INDEX(Roadmap!$D:$K,MATCH($E46,Roadmap!$D:$D,0)+COUNTIF($E46:I46,"u")+COUNTIF($E46:I46,"t")+COUNTIF($E46:I46,"¶")+COUNTIF($E46:I46,"²")+COUNTIF($E46:I46,"µ")+COUNTIF($E46:I46,1),ColTypeEcheance)),
  IF(LEN(I46)=1,
  IF(LEN(INDEX(Roadmap!$D:$K,MATCH($E46,Roadmap!$D:$D,0)-1+COUNTIF($E46:I46,"u")+COUNTIF($E46:I46,"t")+COUNTIF($E46:I46,"¶")+COUNTIF($E46:I46,"²")+COUNTIF($E46:I46,"µ")+COUNTIF($E46:I46,1),ColDescriptionCourte))&gt;1,
HYPERLINK("#Roadmap!C"&amp; MATCH($E46,Roadmap!$D:$D,0)+COUNTIF($E46:I46,"u")+COUNTIF($E46:I46,"t")+COUNTIF($E46:I46,"¶")+COUNTIF($E46:I46,"²")+COUNTIF($E46:I46,"µ")+COUNTIF($E46:I46,1)-1,INDEX(Roadmap!$D:$K,MATCH($E46,Roadmap!$D:$D,0)-1+COUNTIF($E46:I46,"u")+COUNTIF($E46:I46,"t")+COUNTIF($E46:I46,"¶")+COUNTIF($E46:I46,"²")+COUNTIF($E46:I46,"µ")+COUNTIF($E46:I46,1),ColDescriptionCourte)),""),
  "")),"")</f>
        <v/>
      </c>
      <c r="K46" s="40" t="str">
        <f ca="1">IFERROR(IF(AND(
  INDEX(Roadmap!$D:$K,MATCH($E46,Roadmap!$D:$D,0)+COUNTIF($E46:J46,"u")+COUNTIF($E46:J46,"t")+COUNTIF($E46:J46,"¶")+COUNTIF($E46:J46,"²")+COUNTIF($E46:J46,"µ")+COUNTIF($E46:J46,1),ColLivraison)=K$6,
  VLOOKUP($E46,INDIRECT("tri!"&amp; CHAR(64+ C0Col) &amp;":"&amp; CHAR(65+C0Col)),2,FALSE)&gt;COUNTIF($E46:J46,"u")+COUNTIF($E46:J46,"t")+COUNTIF($E46:J46,"¶")+COUNTIF($E46:J46,"²")+COUNTIF($E46:J46,"µ")+COUNTIF($E46:J46,1)),
HYPERLINK("#Roadmap!C"&amp; MATCH($E46,Roadmap!$D:$D,0)+COUNTIF($E46:J46,"u")+COUNTIF($E46:J46,"t"),
     INDEX(Roadmap!$D:$K,MATCH($E46,Roadmap!$D:$D,0)+COUNTIF($E46:J46,"u")+COUNTIF($E46:J46,"t")+COUNTIF($E46:J46,"¶")+COUNTIF($E46:J46,"²")+COUNTIF($E46:J46,"µ")+COUNTIF($E46:J46,1),ColTypeEcheance)),
  IF(LEN(J46)=1,
  IF(LEN(INDEX(Roadmap!$D:$K,MATCH($E46,Roadmap!$D:$D,0)-1+COUNTIF($E46:J46,"u")+COUNTIF($E46:J46,"t")+COUNTIF($E46:J46,"¶")+COUNTIF($E46:J46,"²")+COUNTIF($E46:J46,"µ")+COUNTIF($E46:J46,1),ColDescriptionCourte))&gt;1,
HYPERLINK("#Roadmap!C"&amp; MATCH($E46,Roadmap!$D:$D,0)+COUNTIF($E46:J46,"u")+COUNTIF($E46:J46,"t")+COUNTIF($E46:J46,"¶")+COUNTIF($E46:J46,"²")+COUNTIF($E46:J46,"µ")+COUNTIF($E46:J46,1)-1,INDEX(Roadmap!$D:$K,MATCH($E46,Roadmap!$D:$D,0)-1+COUNTIF($E46:J46,"u")+COUNTIF($E46:J46,"t")+COUNTIF($E46:J46,"¶")+COUNTIF($E46:J46,"²")+COUNTIF($E46:J46,"µ")+COUNTIF($E46:J46,1),ColDescriptionCourte)),""),
  "")),"")</f>
        <v/>
      </c>
      <c r="L46" s="39" t="str">
        <f ca="1">IFERROR(IF(AND(
  INDEX(Roadmap!$D:$K,MATCH($E46,Roadmap!$D:$D,0)+COUNTIF($E46:K46,"u")+COUNTIF($E46:K46,"t")+COUNTIF($E46:K46,"¶")+COUNTIF($E46:K46,"²")+COUNTIF($E46:K46,"µ")+COUNTIF($E46:K46,1),ColLivraison)=L$6,
  VLOOKUP($E46,INDIRECT("tri!"&amp; CHAR(64+ C0Col) &amp;":"&amp; CHAR(65+C0Col)),2,FALSE)&gt;COUNTIF($E46:K46,"u")+COUNTIF($E46:K46,"t")+COUNTIF($E46:K46,"¶")+COUNTIF($E46:K46,"²")+COUNTIF($E46:K46,"µ")+COUNTIF($E46:K46,1)),
HYPERLINK("#Roadmap!C"&amp; MATCH($E46,Roadmap!$D:$D,0)+COUNTIF($E46:K46,"u")+COUNTIF($E46:K46,"t"),
     INDEX(Roadmap!$D:$K,MATCH($E46,Roadmap!$D:$D,0)+COUNTIF($E46:K46,"u")+COUNTIF($E46:K46,"t")+COUNTIF($E46:K46,"¶")+COUNTIF($E46:K46,"²")+COUNTIF($E46:K46,"µ")+COUNTIF($E46:K46,1),ColTypeEcheance)),
  IF(LEN(K46)=1,
  IF(LEN(INDEX(Roadmap!$D:$K,MATCH($E46,Roadmap!$D:$D,0)-1+COUNTIF($E46:K46,"u")+COUNTIF($E46:K46,"t")+COUNTIF($E46:K46,"¶")+COUNTIF($E46:K46,"²")+COUNTIF($E46:K46,"µ")+COUNTIF($E46:K46,1),ColDescriptionCourte))&gt;1,
HYPERLINK("#Roadmap!C"&amp; MATCH($E46,Roadmap!$D:$D,0)+COUNTIF($E46:K46,"u")+COUNTIF($E46:K46,"t")+COUNTIF($E46:K46,"¶")+COUNTIF($E46:K46,"²")+COUNTIF($E46:K46,"µ")+COUNTIF($E46:K46,1)-1,INDEX(Roadmap!$D:$K,MATCH($E46,Roadmap!$D:$D,0)-1+COUNTIF($E46:K46,"u")+COUNTIF($E46:K46,"t")+COUNTIF($E46:K46,"¶")+COUNTIF($E46:K46,"²")+COUNTIF($E46:K46,"µ")+COUNTIF($E46:K46,1),ColDescriptionCourte)),""),
  "")),"")</f>
        <v/>
      </c>
      <c r="M46" s="40" t="str">
        <f ca="1">IFERROR(IF(AND(
  INDEX(Roadmap!$D:$K,MATCH($E46,Roadmap!$D:$D,0)+COUNTIF($E46:L46,"u")+COUNTIF($E46:L46,"t")+COUNTIF($E46:L46,"¶")+COUNTIF($E46:L46,"²")+COUNTIF($E46:L46,"µ")+COUNTIF($E46:L46,1),ColLivraison)=M$6,
  VLOOKUP($E46,INDIRECT("tri!"&amp; CHAR(64+ C0Col) &amp;":"&amp; CHAR(65+C0Col)),2,FALSE)&gt;COUNTIF($E46:L46,"u")+COUNTIF($E46:L46,"t")+COUNTIF($E46:L46,"¶")+COUNTIF($E46:L46,"²")+COUNTIF($E46:L46,"µ")+COUNTIF($E46:L46,1)),
HYPERLINK("#Roadmap!C"&amp; MATCH($E46,Roadmap!$D:$D,0)+COUNTIF($E46:L46,"u")+COUNTIF($E46:L46,"t"),
     INDEX(Roadmap!$D:$K,MATCH($E46,Roadmap!$D:$D,0)+COUNTIF($E46:L46,"u")+COUNTIF($E46:L46,"t")+COUNTIF($E46:L46,"¶")+COUNTIF($E46:L46,"²")+COUNTIF($E46:L46,"µ")+COUNTIF($E46:L46,1),ColTypeEcheance)),
  IF(LEN(L46)=1,
  IF(LEN(INDEX(Roadmap!$D:$K,MATCH($E46,Roadmap!$D:$D,0)-1+COUNTIF($E46:L46,"u")+COUNTIF($E46:L46,"t")+COUNTIF($E46:L46,"¶")+COUNTIF($E46:L46,"²")+COUNTIF($E46:L46,"µ")+COUNTIF($E46:L46,1),ColDescriptionCourte))&gt;1,
HYPERLINK("#Roadmap!C"&amp; MATCH($E46,Roadmap!$D:$D,0)+COUNTIF($E46:L46,"u")+COUNTIF($E46:L46,"t")+COUNTIF($E46:L46,"¶")+COUNTIF($E46:L46,"²")+COUNTIF($E46:L46,"µ")+COUNTIF($E46:L46,1)-1,INDEX(Roadmap!$D:$K,MATCH($E46,Roadmap!$D:$D,0)-1+COUNTIF($E46:L46,"u")+COUNTIF($E46:L46,"t")+COUNTIF($E46:L46,"¶")+COUNTIF($E46:L46,"²")+COUNTIF($E46:L46,"µ")+COUNTIF($E46:L46,1),ColDescriptionCourte)),""),
  "")),"")</f>
        <v/>
      </c>
      <c r="N46" s="40" t="str">
        <f ca="1">IFERROR(IF(AND(
  INDEX(Roadmap!$D:$K,MATCH($E46,Roadmap!$D:$D,0)+COUNTIF($E46:M46,"u")+COUNTIF($E46:M46,"t")+COUNTIF($E46:M46,"¶")+COUNTIF($E46:M46,"²")+COUNTIF($E46:M46,"µ")+COUNTIF($E46:M46,1),ColLivraison)=N$6,
  VLOOKUP($E46,INDIRECT("tri!"&amp; CHAR(64+ C0Col) &amp;":"&amp; CHAR(65+C0Col)),2,FALSE)&gt;COUNTIF($E46:M46,"u")+COUNTIF($E46:M46,"t")+COUNTIF($E46:M46,"¶")+COUNTIF($E46:M46,"²")+COUNTIF($E46:M46,"µ")+COUNTIF($E46:M46,1)),
HYPERLINK("#Roadmap!C"&amp; MATCH($E46,Roadmap!$D:$D,0)+COUNTIF($E46:M46,"u")+COUNTIF($E46:M46,"t"),
     INDEX(Roadmap!$D:$K,MATCH($E46,Roadmap!$D:$D,0)+COUNTIF($E46:M46,"u")+COUNTIF($E46:M46,"t")+COUNTIF($E46:M46,"¶")+COUNTIF($E46:M46,"²")+COUNTIF($E46:M46,"µ")+COUNTIF($E46:M46,1),ColTypeEcheance)),
  IF(LEN(M46)=1,
  IF(LEN(INDEX(Roadmap!$D:$K,MATCH($E46,Roadmap!$D:$D,0)-1+COUNTIF($E46:M46,"u")+COUNTIF($E46:M46,"t")+COUNTIF($E46:M46,"¶")+COUNTIF($E46:M46,"²")+COUNTIF($E46:M46,"µ")+COUNTIF($E46:M46,1),ColDescriptionCourte))&gt;1,
HYPERLINK("#Roadmap!C"&amp; MATCH($E46,Roadmap!$D:$D,0)+COUNTIF($E46:M46,"u")+COUNTIF($E46:M46,"t")+COUNTIF($E46:M46,"¶")+COUNTIF($E46:M46,"²")+COUNTIF($E46:M46,"µ")+COUNTIF($E46:M46,1)-1,INDEX(Roadmap!$D:$K,MATCH($E46,Roadmap!$D:$D,0)-1+COUNTIF($E46:M46,"u")+COUNTIF($E46:M46,"t")+COUNTIF($E46:M46,"¶")+COUNTIF($E46:M46,"²")+COUNTIF($E46:M46,"µ")+COUNTIF($E46:M46,1),ColDescriptionCourte)),""),
  "")),"")</f>
        <v/>
      </c>
      <c r="O46" s="40" t="str">
        <f ca="1">IFERROR(IF(AND(
  INDEX(Roadmap!$D:$K,MATCH($E46,Roadmap!$D:$D,0)+COUNTIF($E46:N46,"u")+COUNTIF($E46:N46,"t")+COUNTIF($E46:N46,"¶")+COUNTIF($E46:N46,"²")+COUNTIF($E46:N46,"µ")+COUNTIF($E46:N46,1),ColLivraison)=O$6,
  VLOOKUP($E46,INDIRECT("tri!"&amp; CHAR(64+ C0Col) &amp;":"&amp; CHAR(65+C0Col)),2,FALSE)&gt;COUNTIF($E46:N46,"u")+COUNTIF($E46:N46,"t")+COUNTIF($E46:N46,"¶")+COUNTIF($E46:N46,"²")+COUNTIF($E46:N46,"µ")+COUNTIF($E46:N46,1)),
HYPERLINK("#Roadmap!C"&amp; MATCH($E46,Roadmap!$D:$D,0)+COUNTIF($E46:N46,"u")+COUNTIF($E46:N46,"t"),
     INDEX(Roadmap!$D:$K,MATCH($E46,Roadmap!$D:$D,0)+COUNTIF($E46:N46,"u")+COUNTIF($E46:N46,"t")+COUNTIF($E46:N46,"¶")+COUNTIF($E46:N46,"²")+COUNTIF($E46:N46,"µ")+COUNTIF($E46:N46,1),ColTypeEcheance)),
  IF(LEN(N46)=1,
  IF(LEN(INDEX(Roadmap!$D:$K,MATCH($E46,Roadmap!$D:$D,0)-1+COUNTIF($E46:N46,"u")+COUNTIF($E46:N46,"t")+COUNTIF($E46:N46,"¶")+COUNTIF($E46:N46,"²")+COUNTIF($E46:N46,"µ")+COUNTIF($E46:N46,1),ColDescriptionCourte))&gt;1,
HYPERLINK("#Roadmap!C"&amp; MATCH($E46,Roadmap!$D:$D,0)+COUNTIF($E46:N46,"u")+COUNTIF($E46:N46,"t")+COUNTIF($E46:N46,"¶")+COUNTIF($E46:N46,"²")+COUNTIF($E46:N46,"µ")+COUNTIF($E46:N46,1)-1,INDEX(Roadmap!$D:$K,MATCH($E46,Roadmap!$D:$D,0)-1+COUNTIF($E46:N46,"u")+COUNTIF($E46:N46,"t")+COUNTIF($E46:N46,"¶")+COUNTIF($E46:N46,"²")+COUNTIF($E46:N46,"µ")+COUNTIF($E46:N46,1),ColDescriptionCourte)),""),
  "")),"")</f>
        <v/>
      </c>
      <c r="P46" s="40" t="str">
        <f ca="1">IFERROR(IF(AND(
  INDEX(Roadmap!$D:$K,MATCH($E46,Roadmap!$D:$D,0)+COUNTIF($E46:O46,"u")+COUNTIF($E46:O46,"t")+COUNTIF($E46:O46,"¶")+COUNTIF($E46:O46,"²")+COUNTIF($E46:O46,"µ")+COUNTIF($E46:O46,1),ColLivraison)=P$6,
  VLOOKUP($E46,INDIRECT("tri!"&amp; CHAR(64+ C0Col) &amp;":"&amp; CHAR(65+C0Col)),2,FALSE)&gt;COUNTIF($E46:O46,"u")+COUNTIF($E46:O46,"t")+COUNTIF($E46:O46,"¶")+COUNTIF($E46:O46,"²")+COUNTIF($E46:O46,"µ")+COUNTIF($E46:O46,1)),
HYPERLINK("#Roadmap!C"&amp; MATCH($E46,Roadmap!$D:$D,0)+COUNTIF($E46:O46,"u")+COUNTIF($E46:O46,"t"),
     INDEX(Roadmap!$D:$K,MATCH($E46,Roadmap!$D:$D,0)+COUNTIF($E46:O46,"u")+COUNTIF($E46:O46,"t")+COUNTIF($E46:O46,"¶")+COUNTIF($E46:O46,"²")+COUNTIF($E46:O46,"µ")+COUNTIF($E46:O46,1),ColTypeEcheance)),
  IF(LEN(O46)=1,
  IF(LEN(INDEX(Roadmap!$D:$K,MATCH($E46,Roadmap!$D:$D,0)-1+COUNTIF($E46:O46,"u")+COUNTIF($E46:O46,"t")+COUNTIF($E46:O46,"¶")+COUNTIF($E46:O46,"²")+COUNTIF($E46:O46,"µ")+COUNTIF($E46:O46,1),ColDescriptionCourte))&gt;1,
HYPERLINK("#Roadmap!C"&amp; MATCH($E46,Roadmap!$D:$D,0)+COUNTIF($E46:O46,"u")+COUNTIF($E46:O46,"t")+COUNTIF($E46:O46,"¶")+COUNTIF($E46:O46,"²")+COUNTIF($E46:O46,"µ")+COUNTIF($E46:O46,1)-1,INDEX(Roadmap!$D:$K,MATCH($E46,Roadmap!$D:$D,0)-1+COUNTIF($E46:O46,"u")+COUNTIF($E46:O46,"t")+COUNTIF($E46:O46,"¶")+COUNTIF($E46:O46,"²")+COUNTIF($E46:O46,"µ")+COUNTIF($E46:O46,1),ColDescriptionCourte)),""),
  "")),"")</f>
        <v/>
      </c>
      <c r="Q46" s="40" t="str">
        <f ca="1">IFERROR(IF(AND(
  INDEX(Roadmap!$D:$K,MATCH($E46,Roadmap!$D:$D,0)+COUNTIF($E46:P46,"u")+COUNTIF($E46:P46,"t")+COUNTIF($E46:P46,"¶")+COUNTIF($E46:P46,"²")+COUNTIF($E46:P46,"µ")+COUNTIF($E46:P46,1),ColLivraison)=Q$6,
  VLOOKUP($E46,INDIRECT("tri!"&amp; CHAR(64+ C0Col) &amp;":"&amp; CHAR(65+C0Col)),2,FALSE)&gt;COUNTIF($E46:P46,"u")+COUNTIF($E46:P46,"t")+COUNTIF($E46:P46,"¶")+COUNTIF($E46:P46,"²")+COUNTIF($E46:P46,"µ")+COUNTIF($E46:P46,1)),
HYPERLINK("#Roadmap!C"&amp; MATCH($E46,Roadmap!$D:$D,0)+COUNTIF($E46:P46,"u")+COUNTIF($E46:P46,"t"),
     INDEX(Roadmap!$D:$K,MATCH($E46,Roadmap!$D:$D,0)+COUNTIF($E46:P46,"u")+COUNTIF($E46:P46,"t")+COUNTIF($E46:P46,"¶")+COUNTIF($E46:P46,"²")+COUNTIF($E46:P46,"µ")+COUNTIF($E46:P46,1),ColTypeEcheance)),
  IF(LEN(P46)=1,
  IF(LEN(INDEX(Roadmap!$D:$K,MATCH($E46,Roadmap!$D:$D,0)-1+COUNTIF($E46:P46,"u")+COUNTIF($E46:P46,"t")+COUNTIF($E46:P46,"¶")+COUNTIF($E46:P46,"²")+COUNTIF($E46:P46,"µ")+COUNTIF($E46:P46,1),ColDescriptionCourte))&gt;1,
HYPERLINK("#Roadmap!C"&amp; MATCH($E46,Roadmap!$D:$D,0)+COUNTIF($E46:P46,"u")+COUNTIF($E46:P46,"t")+COUNTIF($E46:P46,"¶")+COUNTIF($E46:P46,"²")+COUNTIF($E46:P46,"µ")+COUNTIF($E46:P46,1)-1,INDEX(Roadmap!$D:$K,MATCH($E46,Roadmap!$D:$D,0)-1+COUNTIF($E46:P46,"u")+COUNTIF($E46:P46,"t")+COUNTIF($E46:P46,"¶")+COUNTIF($E46:P46,"²")+COUNTIF($E46:P46,"µ")+COUNTIF($E46:P46,1),ColDescriptionCourte)),""),
  "")),"")</f>
        <v/>
      </c>
      <c r="R46" s="40" t="str">
        <f ca="1">IFERROR(IF(AND(
  INDEX(Roadmap!$D:$K,MATCH($E46,Roadmap!$D:$D,0)+COUNTIF($E46:Q46,"u")+COUNTIF($E46:Q46,"t")+COUNTIF($E46:Q46,"¶")+COUNTIF($E46:Q46,"²")+COUNTIF($E46:Q46,"µ")+COUNTIF($E46:Q46,1),ColLivraison)=R$6,
  VLOOKUP($E46,INDIRECT("tri!"&amp; CHAR(64+ C0Col) &amp;":"&amp; CHAR(65+C0Col)),2,FALSE)&gt;COUNTIF($E46:Q46,"u")+COUNTIF($E46:Q46,"t")+COUNTIF($E46:Q46,"¶")+COUNTIF($E46:Q46,"²")+COUNTIF($E46:Q46,"µ")+COUNTIF($E46:Q46,1)),
HYPERLINK("#Roadmap!C"&amp; MATCH($E46,Roadmap!$D:$D,0)+COUNTIF($E46:Q46,"u")+COUNTIF($E46:Q46,"t"),
     INDEX(Roadmap!$D:$K,MATCH($E46,Roadmap!$D:$D,0)+COUNTIF($E46:Q46,"u")+COUNTIF($E46:Q46,"t")+COUNTIF($E46:Q46,"¶")+COUNTIF($E46:Q46,"²")+COUNTIF($E46:Q46,"µ")+COUNTIF($E46:Q46,1),ColTypeEcheance)),
  IF(LEN(Q46)=1,
  IF(LEN(INDEX(Roadmap!$D:$K,MATCH($E46,Roadmap!$D:$D,0)-1+COUNTIF($E46:Q46,"u")+COUNTIF($E46:Q46,"t")+COUNTIF($E46:Q46,"¶")+COUNTIF($E46:Q46,"²")+COUNTIF($E46:Q46,"µ")+COUNTIF($E46:Q46,1),ColDescriptionCourte))&gt;1,
HYPERLINK("#Roadmap!C"&amp; MATCH($E46,Roadmap!$D:$D,0)+COUNTIF($E46:Q46,"u")+COUNTIF($E46:Q46,"t")+COUNTIF($E46:Q46,"¶")+COUNTIF($E46:Q46,"²")+COUNTIF($E46:Q46,"µ")+COUNTIF($E46:Q46,1)-1,INDEX(Roadmap!$D:$K,MATCH($E46,Roadmap!$D:$D,0)-1+COUNTIF($E46:Q46,"u")+COUNTIF($E46:Q46,"t")+COUNTIF($E46:Q46,"¶")+COUNTIF($E46:Q46,"²")+COUNTIF($E46:Q46,"µ")+COUNTIF($E46:Q46,1),ColDescriptionCourte)),""),
  "")),"")</f>
        <v/>
      </c>
      <c r="S46" s="40" t="str">
        <f ca="1">IFERROR(IF(AND(
  INDEX(Roadmap!$D:$K,MATCH($E46,Roadmap!$D:$D,0)+COUNTIF($E46:R46,"u")+COUNTIF($E46:R46,"t")+COUNTIF($E46:R46,"¶")+COUNTIF($E46:R46,"²")+COUNTIF($E46:R46,"µ")+COUNTIF($E46:R46,1),ColLivraison)=S$6,
  VLOOKUP($E46,INDIRECT("tri!"&amp; CHAR(64+ C0Col) &amp;":"&amp; CHAR(65+C0Col)),2,FALSE)&gt;COUNTIF($E46:R46,"u")+COUNTIF($E46:R46,"t")+COUNTIF($E46:R46,"¶")+COUNTIF($E46:R46,"²")+COUNTIF($E46:R46,"µ")+COUNTIF($E46:R46,1)),
HYPERLINK("#Roadmap!C"&amp; MATCH($E46,Roadmap!$D:$D,0)+COUNTIF($E46:R46,"u")+COUNTIF($E46:R46,"t"),
     INDEX(Roadmap!$D:$K,MATCH($E46,Roadmap!$D:$D,0)+COUNTIF($E46:R46,"u")+COUNTIF($E46:R46,"t")+COUNTIF($E46:R46,"¶")+COUNTIF($E46:R46,"²")+COUNTIF($E46:R46,"µ")+COUNTIF($E46:R46,1),ColTypeEcheance)),
  IF(LEN(R46)=1,
  IF(LEN(INDEX(Roadmap!$D:$K,MATCH($E46,Roadmap!$D:$D,0)-1+COUNTIF($E46:R46,"u")+COUNTIF($E46:R46,"t")+COUNTIF($E46:R46,"¶")+COUNTIF($E46:R46,"²")+COUNTIF($E46:R46,"µ")+COUNTIF($E46:R46,1),ColDescriptionCourte))&gt;1,
HYPERLINK("#Roadmap!C"&amp; MATCH($E46,Roadmap!$D:$D,0)+COUNTIF($E46:R46,"u")+COUNTIF($E46:R46,"t")+COUNTIF($E46:R46,"¶")+COUNTIF($E46:R46,"²")+COUNTIF($E46:R46,"µ")+COUNTIF($E46:R46,1)-1,INDEX(Roadmap!$D:$K,MATCH($E46,Roadmap!$D:$D,0)-1+COUNTIF($E46:R46,"u")+COUNTIF($E46:R46,"t")+COUNTIF($E46:R46,"¶")+COUNTIF($E46:R46,"²")+COUNTIF($E46:R46,"µ")+COUNTIF($E46:R46,1),ColDescriptionCourte)),""),
  "")),"")</f>
        <v/>
      </c>
      <c r="T46" s="40" t="str">
        <f ca="1">IFERROR(IF(AND(
  INDEX(Roadmap!$D:$K,MATCH($E46,Roadmap!$D:$D,0)+COUNTIF($E46:S46,"u")+COUNTIF($E46:S46,"t")+COUNTIF($E46:S46,"¶")+COUNTIF($E46:S46,"²")+COUNTIF($E46:S46,"µ")+COUNTIF($E46:S46,1),ColLivraison)=T$6,
  VLOOKUP($E46,INDIRECT("tri!"&amp; CHAR(64+ C0Col) &amp;":"&amp; CHAR(65+C0Col)),2,FALSE)&gt;COUNTIF($E46:S46,"u")+COUNTIF($E46:S46,"t")+COUNTIF($E46:S46,"¶")+COUNTIF($E46:S46,"²")+COUNTIF($E46:S46,"µ")+COUNTIF($E46:S46,1)),
HYPERLINK("#Roadmap!C"&amp; MATCH($E46,Roadmap!$D:$D,0)+COUNTIF($E46:S46,"u")+COUNTIF($E46:S46,"t"),
     INDEX(Roadmap!$D:$K,MATCH($E46,Roadmap!$D:$D,0)+COUNTIF($E46:S46,"u")+COUNTIF($E46:S46,"t")+COUNTIF($E46:S46,"¶")+COUNTIF($E46:S46,"²")+COUNTIF($E46:S46,"µ")+COUNTIF($E46:S46,1),ColTypeEcheance)),
  IF(LEN(S46)=1,
  IF(LEN(INDEX(Roadmap!$D:$K,MATCH($E46,Roadmap!$D:$D,0)-1+COUNTIF($E46:S46,"u")+COUNTIF($E46:S46,"t")+COUNTIF($E46:S46,"¶")+COUNTIF($E46:S46,"²")+COUNTIF($E46:S46,"µ")+COUNTIF($E46:S46,1),ColDescriptionCourte))&gt;1,
HYPERLINK("#Roadmap!C"&amp; MATCH($E46,Roadmap!$D:$D,0)+COUNTIF($E46:S46,"u")+COUNTIF($E46:S46,"t")+COUNTIF($E46:S46,"¶")+COUNTIF($E46:S46,"²")+COUNTIF($E46:S46,"µ")+COUNTIF($E46:S46,1)-1,INDEX(Roadmap!$D:$K,MATCH($E46,Roadmap!$D:$D,0)-1+COUNTIF($E46:S46,"u")+COUNTIF($E46:S46,"t")+COUNTIF($E46:S46,"¶")+COUNTIF($E46:S46,"²")+COUNTIF($E46:S46,"µ")+COUNTIF($E46:S46,1),ColDescriptionCourte)),""),
  "")),"")</f>
        <v/>
      </c>
      <c r="U46" s="40" t="str">
        <f ca="1">IFERROR(IF(AND(
  INDEX(Roadmap!$D:$K,MATCH($E46,Roadmap!$D:$D,0)+COUNTIF($E46:T46,"u")+COUNTIF($E46:T46,"t")+COUNTIF($E46:T46,"¶")+COUNTIF($E46:T46,"²")+COUNTIF($E46:T46,"µ")+COUNTIF($E46:T46,1),ColLivraison)=U$6,
  VLOOKUP($E46,INDIRECT("tri!"&amp; CHAR(64+ C0Col) &amp;":"&amp; CHAR(65+C0Col)),2,FALSE)&gt;COUNTIF($E46:T46,"u")+COUNTIF($E46:T46,"t")+COUNTIF($E46:T46,"¶")+COUNTIF($E46:T46,"²")+COUNTIF($E46:T46,"µ")+COUNTIF($E46:T46,1)),
HYPERLINK("#Roadmap!C"&amp; MATCH($E46,Roadmap!$D:$D,0)+COUNTIF($E46:T46,"u")+COUNTIF($E46:T46,"t"),
     INDEX(Roadmap!$D:$K,MATCH($E46,Roadmap!$D:$D,0)+COUNTIF($E46:T46,"u")+COUNTIF($E46:T46,"t")+COUNTIF($E46:T46,"¶")+COUNTIF($E46:T46,"²")+COUNTIF($E46:T46,"µ")+COUNTIF($E46:T46,1),ColTypeEcheance)),
  IF(LEN(T46)=1,
  IF(LEN(INDEX(Roadmap!$D:$K,MATCH($E46,Roadmap!$D:$D,0)-1+COUNTIF($E46:T46,"u")+COUNTIF($E46:T46,"t")+COUNTIF($E46:T46,"¶")+COUNTIF($E46:T46,"²")+COUNTIF($E46:T46,"µ")+COUNTIF($E46:T46,1),ColDescriptionCourte))&gt;1,
HYPERLINK("#Roadmap!C"&amp; MATCH($E46,Roadmap!$D:$D,0)+COUNTIF($E46:T46,"u")+COUNTIF($E46:T46,"t")+COUNTIF($E46:T46,"¶")+COUNTIF($E46:T46,"²")+COUNTIF($E46:T46,"µ")+COUNTIF($E46:T46,1)-1,INDEX(Roadmap!$D:$K,MATCH($E46,Roadmap!$D:$D,0)-1+COUNTIF($E46:T46,"u")+COUNTIF($E46:T46,"t")+COUNTIF($E46:T46,"¶")+COUNTIF($E46:T46,"²")+COUNTIF($E46:T46,"µ")+COUNTIF($E46:T46,1),ColDescriptionCourte)),""),
  "")),"")</f>
        <v/>
      </c>
      <c r="V46" s="40" t="str">
        <f ca="1">IFERROR(IF(AND(
  INDEX(Roadmap!$D:$K,MATCH($E46,Roadmap!$D:$D,0)+COUNTIF($E46:U46,"u")+COUNTIF($E46:U46,"t")+COUNTIF($E46:U46,"¶")+COUNTIF($E46:U46,"²")+COUNTIF($E46:U46,"µ")+COUNTIF($E46:U46,1),ColLivraison)=V$6,
  VLOOKUP($E46,INDIRECT("tri!"&amp; CHAR(64+ C0Col) &amp;":"&amp; CHAR(65+C0Col)),2,FALSE)&gt;COUNTIF($E46:U46,"u")+COUNTIF($E46:U46,"t")+COUNTIF($E46:U46,"¶")+COUNTIF($E46:U46,"²")+COUNTIF($E46:U46,"µ")+COUNTIF($E46:U46,1)),
HYPERLINK("#Roadmap!C"&amp; MATCH($E46,Roadmap!$D:$D,0)+COUNTIF($E46:U46,"u")+COUNTIF($E46:U46,"t"),
     INDEX(Roadmap!$D:$K,MATCH($E46,Roadmap!$D:$D,0)+COUNTIF($E46:U46,"u")+COUNTIF($E46:U46,"t")+COUNTIF($E46:U46,"¶")+COUNTIF($E46:U46,"²")+COUNTIF($E46:U46,"µ")+COUNTIF($E46:U46,1),ColTypeEcheance)),
  IF(LEN(U46)=1,
  IF(LEN(INDEX(Roadmap!$D:$K,MATCH($E46,Roadmap!$D:$D,0)-1+COUNTIF($E46:U46,"u")+COUNTIF($E46:U46,"t")+COUNTIF($E46:U46,"¶")+COUNTIF($E46:U46,"²")+COUNTIF($E46:U46,"µ")+COUNTIF($E46:U46,1),ColDescriptionCourte))&gt;1,
HYPERLINK("#Roadmap!C"&amp; MATCH($E46,Roadmap!$D:$D,0)+COUNTIF($E46:U46,"u")+COUNTIF($E46:U46,"t")+COUNTIF($E46:U46,"¶")+COUNTIF($E46:U46,"²")+COUNTIF($E46:U46,"µ")+COUNTIF($E46:U46,1)-1,INDEX(Roadmap!$D:$K,MATCH($E46,Roadmap!$D:$D,0)-1+COUNTIF($E46:U46,"u")+COUNTIF($E46:U46,"t")+COUNTIF($E46:U46,"¶")+COUNTIF($E46:U46,"²")+COUNTIF($E46:U46,"µ")+COUNTIF($E46:U46,1),ColDescriptionCourte)),""),
  "")),"")</f>
        <v/>
      </c>
      <c r="W46" s="40" t="str">
        <f ca="1">IFERROR(IF(AND(
  INDEX(Roadmap!$D:$K,MATCH($E46,Roadmap!$D:$D,0)+COUNTIF($E46:V46,"u")+COUNTIF($E46:V46,"t")+COUNTIF($E46:V46,"¶")+COUNTIF($E46:V46,"²")+COUNTIF($E46:V46,"µ")+COUNTIF($E46:V46,1),ColLivraison)=W$6,
  VLOOKUP($E46,INDIRECT("tri!"&amp; CHAR(64+ C0Col) &amp;":"&amp; CHAR(65+C0Col)),2,FALSE)&gt;COUNTIF($E46:V46,"u")+COUNTIF($E46:V46,"t")+COUNTIF($E46:V46,"¶")+COUNTIF($E46:V46,"²")+COUNTIF($E46:V46,"µ")+COUNTIF($E46:V46,1)),
HYPERLINK("#Roadmap!C"&amp; MATCH($E46,Roadmap!$D:$D,0)+COUNTIF($E46:V46,"u")+COUNTIF($E46:V46,"t"),
     INDEX(Roadmap!$D:$K,MATCH($E46,Roadmap!$D:$D,0)+COUNTIF($E46:V46,"u")+COUNTIF($E46:V46,"t")+COUNTIF($E46:V46,"¶")+COUNTIF($E46:V46,"²")+COUNTIF($E46:V46,"µ")+COUNTIF($E46:V46,1),ColTypeEcheance)),
  IF(LEN(V46)=1,
  IF(LEN(INDEX(Roadmap!$D:$K,MATCH($E46,Roadmap!$D:$D,0)-1+COUNTIF($E46:V46,"u")+COUNTIF($E46:V46,"t")+COUNTIF($E46:V46,"¶")+COUNTIF($E46:V46,"²")+COUNTIF($E46:V46,"µ")+COUNTIF($E46:V46,1),ColDescriptionCourte))&gt;1,
HYPERLINK("#Roadmap!C"&amp; MATCH($E46,Roadmap!$D:$D,0)+COUNTIF($E46:V46,"u")+COUNTIF($E46:V46,"t")+COUNTIF($E46:V46,"¶")+COUNTIF($E46:V46,"²")+COUNTIF($E46:V46,"µ")+COUNTIF($E46:V46,1)-1,INDEX(Roadmap!$D:$K,MATCH($E46,Roadmap!$D:$D,0)-1+COUNTIF($E46:V46,"u")+COUNTIF($E46:V46,"t")+COUNTIF($E46:V46,"¶")+COUNTIF($E46:V46,"²")+COUNTIF($E46:V46,"µ")+COUNTIF($E46:V46,1),ColDescriptionCourte)),""),
  "")),"")</f>
        <v/>
      </c>
      <c r="X46" s="40" t="str">
        <f ca="1">IFERROR(IF(AND(
  INDEX(Roadmap!$D:$K,MATCH($E46,Roadmap!$D:$D,0)+COUNTIF($E46:W46,"u")+COUNTIF($E46:W46,"t")+COUNTIF($E46:W46,"¶")+COUNTIF($E46:W46,"²")+COUNTIF($E46:W46,"µ")+COUNTIF($E46:W46,1),ColLivraison)=X$6,
  VLOOKUP($E46,INDIRECT("tri!"&amp; CHAR(64+ C0Col) &amp;":"&amp; CHAR(65+C0Col)),2,FALSE)&gt;COUNTIF($E46:W46,"u")+COUNTIF($E46:W46,"t")+COUNTIF($E46:W46,"¶")+COUNTIF($E46:W46,"²")+COUNTIF($E46:W46,"µ")+COUNTIF($E46:W46,1)),
HYPERLINK("#Roadmap!C"&amp; MATCH($E46,Roadmap!$D:$D,0)+COUNTIF($E46:W46,"u")+COUNTIF($E46:W46,"t"),
     INDEX(Roadmap!$D:$K,MATCH($E46,Roadmap!$D:$D,0)+COUNTIF($E46:W46,"u")+COUNTIF($E46:W46,"t")+COUNTIF($E46:W46,"¶")+COUNTIF($E46:W46,"²")+COUNTIF($E46:W46,"µ")+COUNTIF($E46:W46,1),ColTypeEcheance)),
  IF(LEN(W46)=1,
  IF(LEN(INDEX(Roadmap!$D:$K,MATCH($E46,Roadmap!$D:$D,0)-1+COUNTIF($E46:W46,"u")+COUNTIF($E46:W46,"t")+COUNTIF($E46:W46,"¶")+COUNTIF($E46:W46,"²")+COUNTIF($E46:W46,"µ")+COUNTIF($E46:W46,1),ColDescriptionCourte))&gt;1,
HYPERLINK("#Roadmap!C"&amp; MATCH($E46,Roadmap!$D:$D,0)+COUNTIF($E46:W46,"u")+COUNTIF($E46:W46,"t")+COUNTIF($E46:W46,"¶")+COUNTIF($E46:W46,"²")+COUNTIF($E46:W46,"µ")+COUNTIF($E46:W46,1)-1,INDEX(Roadmap!$D:$K,MATCH($E46,Roadmap!$D:$D,0)-1+COUNTIF($E46:W46,"u")+COUNTIF($E46:W46,"t")+COUNTIF($E46:W46,"¶")+COUNTIF($E46:W46,"²")+COUNTIF($E46:W46,"µ")+COUNTIF($E46:W46,1),ColDescriptionCourte)),""),
  "")),"")</f>
        <v/>
      </c>
      <c r="Y46" s="40" t="str">
        <f ca="1">IFERROR(IF(AND(
  INDEX(Roadmap!$D:$K,MATCH($E46,Roadmap!$D:$D,0)+COUNTIF($E46:X46,"u")+COUNTIF($E46:X46,"t")+COUNTIF($E46:X46,"¶")+COUNTIF($E46:X46,"²")+COUNTIF($E46:X46,"µ")+COUNTIF($E46:X46,1),ColLivraison)=Y$6,
  VLOOKUP($E46,INDIRECT("tri!"&amp; CHAR(64+ C0Col) &amp;":"&amp; CHAR(65+C0Col)),2,FALSE)&gt;COUNTIF($E46:X46,"u")+COUNTIF($E46:X46,"t")+COUNTIF($E46:X46,"¶")+COUNTIF($E46:X46,"²")+COUNTIF($E46:X46,"µ")+COUNTIF($E46:X46,1)),
HYPERLINK("#Roadmap!C"&amp; MATCH($E46,Roadmap!$D:$D,0)+COUNTIF($E46:X46,"u")+COUNTIF($E46:X46,"t"),
     INDEX(Roadmap!$D:$K,MATCH($E46,Roadmap!$D:$D,0)+COUNTIF($E46:X46,"u")+COUNTIF($E46:X46,"t")+COUNTIF($E46:X46,"¶")+COUNTIF($E46:X46,"²")+COUNTIF($E46:X46,"µ")+COUNTIF($E46:X46,1),ColTypeEcheance)),
  IF(LEN(X46)=1,
  IF(LEN(INDEX(Roadmap!$D:$K,MATCH($E46,Roadmap!$D:$D,0)-1+COUNTIF($E46:X46,"u")+COUNTIF($E46:X46,"t")+COUNTIF($E46:X46,"¶")+COUNTIF($E46:X46,"²")+COUNTIF($E46:X46,"µ")+COUNTIF($E46:X46,1),ColDescriptionCourte))&gt;1,
HYPERLINK("#Roadmap!C"&amp; MATCH($E46,Roadmap!$D:$D,0)+COUNTIF($E46:X46,"u")+COUNTIF($E46:X46,"t")+COUNTIF($E46:X46,"¶")+COUNTIF($E46:X46,"²")+COUNTIF($E46:X46,"µ")+COUNTIF($E46:X46,1)-1,INDEX(Roadmap!$D:$K,MATCH($E46,Roadmap!$D:$D,0)-1+COUNTIF($E46:X46,"u")+COUNTIF($E46:X46,"t")+COUNTIF($E46:X46,"¶")+COUNTIF($E46:X46,"²")+COUNTIF($E46:X46,"µ")+COUNTIF($E46:X46,1),ColDescriptionCourte)),""),
  "")),"")</f>
        <v/>
      </c>
      <c r="Z46" s="40" t="str">
        <f ca="1">IFERROR(IF(AND(
  INDEX(Roadmap!$D:$K,MATCH($E46,Roadmap!$D:$D,0)+COUNTIF($E46:Y46,"u")+COUNTIF($E46:Y46,"t")+COUNTIF($E46:Y46,"¶")+COUNTIF($E46:Y46,"²")+COUNTIF($E46:Y46,"µ")+COUNTIF($E46:Y46,1),ColLivraison)=Z$6,
  VLOOKUP($E46,INDIRECT("tri!"&amp; CHAR(64+ C0Col) &amp;":"&amp; CHAR(65+C0Col)),2,FALSE)&gt;COUNTIF($E46:Y46,"u")+COUNTIF($E46:Y46,"t")+COUNTIF($E46:Y46,"¶")+COUNTIF($E46:Y46,"²")+COUNTIF($E46:Y46,"µ")+COUNTIF($E46:Y46,1)),
HYPERLINK("#Roadmap!C"&amp; MATCH($E46,Roadmap!$D:$D,0)+COUNTIF($E46:Y46,"u")+COUNTIF($E46:Y46,"t"),
     INDEX(Roadmap!$D:$K,MATCH($E46,Roadmap!$D:$D,0)+COUNTIF($E46:Y46,"u")+COUNTIF($E46:Y46,"t")+COUNTIF($E46:Y46,"¶")+COUNTIF($E46:Y46,"²")+COUNTIF($E46:Y46,"µ")+COUNTIF($E46:Y46,1),ColTypeEcheance)),
  IF(LEN(Y46)=1,
  IF(LEN(INDEX(Roadmap!$D:$K,MATCH($E46,Roadmap!$D:$D,0)-1+COUNTIF($E46:Y46,"u")+COUNTIF($E46:Y46,"t")+COUNTIF($E46:Y46,"¶")+COUNTIF($E46:Y46,"²")+COUNTIF($E46:Y46,"µ")+COUNTIF($E46:Y46,1),ColDescriptionCourte))&gt;1,
HYPERLINK("#Roadmap!C"&amp; MATCH($E46,Roadmap!$D:$D,0)+COUNTIF($E46:Y46,"u")+COUNTIF($E46:Y46,"t")+COUNTIF($E46:Y46,"¶")+COUNTIF($E46:Y46,"²")+COUNTIF($E46:Y46,"µ")+COUNTIF($E46:Y46,1)-1,INDEX(Roadmap!$D:$K,MATCH($E46,Roadmap!$D:$D,0)-1+COUNTIF($E46:Y46,"u")+COUNTIF($E46:Y46,"t")+COUNTIF($E46:Y46,"¶")+COUNTIF($E46:Y46,"²")+COUNTIF($E46:Y46,"µ")+COUNTIF($E46:Y46,1),ColDescriptionCourte)),""),
  "")),"")</f>
        <v/>
      </c>
      <c r="AA46" s="40" t="str">
        <f ca="1">IFERROR(IF(AND(
  INDEX(Roadmap!$D:$K,MATCH($E46,Roadmap!$D:$D,0)+COUNTIF($E46:Z46,"u")+COUNTIF($E46:Z46,"t")+COUNTIF($E46:Z46,"¶")+COUNTIF($E46:Z46,"²")+COUNTIF($E46:Z46,"µ")+COUNTIF($E46:Z46,1),ColLivraison)=AA$6,
  VLOOKUP($E46,INDIRECT("tri!"&amp; CHAR(64+ C0Col) &amp;":"&amp; CHAR(65+C0Col)),2,FALSE)&gt;COUNTIF($E46:Z46,"u")+COUNTIF($E46:Z46,"t")+COUNTIF($E46:Z46,"¶")+COUNTIF($E46:Z46,"²")+COUNTIF($E46:Z46,"µ")+COUNTIF($E46:Z46,1)),
HYPERLINK("#Roadmap!C"&amp; MATCH($E46,Roadmap!$D:$D,0)+COUNTIF($E46:Z46,"u")+COUNTIF($E46:Z46,"t"),
     INDEX(Roadmap!$D:$K,MATCH($E46,Roadmap!$D:$D,0)+COUNTIF($E46:Z46,"u")+COUNTIF($E46:Z46,"t")+COUNTIF($E46:Z46,"¶")+COUNTIF($E46:Z46,"²")+COUNTIF($E46:Z46,"µ")+COUNTIF($E46:Z46,1),ColTypeEcheance)),
  IF(LEN(Z46)=1,
  IF(LEN(INDEX(Roadmap!$D:$K,MATCH($E46,Roadmap!$D:$D,0)-1+COUNTIF($E46:Z46,"u")+COUNTIF($E46:Z46,"t")+COUNTIF($E46:Z46,"¶")+COUNTIF($E46:Z46,"²")+COUNTIF($E46:Z46,"µ")+COUNTIF($E46:Z46,1),ColDescriptionCourte))&gt;1,
HYPERLINK("#Roadmap!C"&amp; MATCH($E46,Roadmap!$D:$D,0)+COUNTIF($E46:Z46,"u")+COUNTIF($E46:Z46,"t")+COUNTIF($E46:Z46,"¶")+COUNTIF($E46:Z46,"²")+COUNTIF($E46:Z46,"µ")+COUNTIF($E46:Z46,1)-1,INDEX(Roadmap!$D:$K,MATCH($E46,Roadmap!$D:$D,0)-1+COUNTIF($E46:Z46,"u")+COUNTIF($E46:Z46,"t")+COUNTIF($E46:Z46,"¶")+COUNTIF($E46:Z46,"²")+COUNTIF($E46:Z46,"µ")+COUNTIF($E46:Z46,1),ColDescriptionCourte)),""),
  "")),"")</f>
        <v/>
      </c>
      <c r="AB46" s="40" t="str">
        <f ca="1">IFERROR(IF(AND(
  INDEX(Roadmap!$D:$K,MATCH($E46,Roadmap!$D:$D,0)+COUNTIF($E46:AA46,"u")+COUNTIF($E46:AA46,"t")+COUNTIF($E46:AA46,"¶")+COUNTIF($E46:AA46,"²")+COUNTIF($E46:AA46,"µ")+COUNTIF($E46:AA46,1),ColLivraison)=AB$6,
  VLOOKUP($E46,INDIRECT("tri!"&amp; CHAR(64+ C0Col) &amp;":"&amp; CHAR(65+C0Col)),2,FALSE)&gt;COUNTIF($E46:AA46,"u")+COUNTIF($E46:AA46,"t")+COUNTIF($E46:AA46,"¶")+COUNTIF($E46:AA46,"²")+COUNTIF($E46:AA46,"µ")+COUNTIF($E46:AA46,1)),
HYPERLINK("#Roadmap!C"&amp; MATCH($E46,Roadmap!$D:$D,0)+COUNTIF($E46:AA46,"u")+COUNTIF($E46:AA46,"t"),
     INDEX(Roadmap!$D:$K,MATCH($E46,Roadmap!$D:$D,0)+COUNTIF($E46:AA46,"u")+COUNTIF($E46:AA46,"t")+COUNTIF($E46:AA46,"¶")+COUNTIF($E46:AA46,"²")+COUNTIF($E46:AA46,"µ")+COUNTIF($E46:AA46,1),ColTypeEcheance)),
  IF(LEN(AA46)=1,
  IF(LEN(INDEX(Roadmap!$D:$K,MATCH($E46,Roadmap!$D:$D,0)-1+COUNTIF($E46:AA46,"u")+COUNTIF($E46:AA46,"t")+COUNTIF($E46:AA46,"¶")+COUNTIF($E46:AA46,"²")+COUNTIF($E46:AA46,"µ")+COUNTIF($E46:AA46,1),ColDescriptionCourte))&gt;1,
HYPERLINK("#Roadmap!C"&amp; MATCH($E46,Roadmap!$D:$D,0)+COUNTIF($E46:AA46,"u")+COUNTIF($E46:AA46,"t")+COUNTIF($E46:AA46,"¶")+COUNTIF($E46:AA46,"²")+COUNTIF($E46:AA46,"µ")+COUNTIF($E46:AA46,1)-1,INDEX(Roadmap!$D:$K,MATCH($E46,Roadmap!$D:$D,0)-1+COUNTIF($E46:AA46,"u")+COUNTIF($E46:AA46,"t")+COUNTIF($E46:AA46,"¶")+COUNTIF($E46:AA46,"²")+COUNTIF($E46:AA46,"µ")+COUNTIF($E46:AA46,1),ColDescriptionCourte)),""),
  "")),"")</f>
        <v/>
      </c>
      <c r="AC46" s="40" t="str">
        <f ca="1">IFERROR(IF(AND(
  INDEX(Roadmap!$D:$K,MATCH($E46,Roadmap!$D:$D,0)+COUNTIF($E46:AB46,"u")+COUNTIF($E46:AB46,"t")+COUNTIF($E46:AB46,"¶")+COUNTIF($E46:AB46,"²")+COUNTIF($E46:AB46,"µ")+COUNTIF($E46:AB46,1),ColLivraison)=AC$6,
  VLOOKUP($E46,INDIRECT("tri!"&amp; CHAR(64+ C0Col) &amp;":"&amp; CHAR(65+C0Col)),2,FALSE)&gt;COUNTIF($E46:AB46,"u")+COUNTIF($E46:AB46,"t")+COUNTIF($E46:AB46,"¶")+COUNTIF($E46:AB46,"²")+COUNTIF($E46:AB46,"µ")+COUNTIF($E46:AB46,1)),
HYPERLINK("#Roadmap!C"&amp; MATCH($E46,Roadmap!$D:$D,0)+COUNTIF($E46:AB46,"u")+COUNTIF($E46:AB46,"t"),
     INDEX(Roadmap!$D:$K,MATCH($E46,Roadmap!$D:$D,0)+COUNTIF($E46:AB46,"u")+COUNTIF($E46:AB46,"t")+COUNTIF($E46:AB46,"¶")+COUNTIF($E46:AB46,"²")+COUNTIF($E46:AB46,"µ")+COUNTIF($E46:AB46,1),ColTypeEcheance)),
  IF(LEN(AB46)=1,
  IF(LEN(INDEX(Roadmap!$D:$K,MATCH($E46,Roadmap!$D:$D,0)-1+COUNTIF($E46:AB46,"u")+COUNTIF($E46:AB46,"t")+COUNTIF($E46:AB46,"¶")+COUNTIF($E46:AB46,"²")+COUNTIF($E46:AB46,"µ")+COUNTIF($E46:AB46,1),ColDescriptionCourte))&gt;1,
HYPERLINK("#Roadmap!C"&amp; MATCH($E46,Roadmap!$D:$D,0)+COUNTIF($E46:AB46,"u")+COUNTIF($E46:AB46,"t")+COUNTIF($E46:AB46,"¶")+COUNTIF($E46:AB46,"²")+COUNTIF($E46:AB46,"µ")+COUNTIF($E46:AB46,1)-1,INDEX(Roadmap!$D:$K,MATCH($E46,Roadmap!$D:$D,0)-1+COUNTIF($E46:AB46,"u")+COUNTIF($E46:AB46,"t")+COUNTIF($E46:AB46,"¶")+COUNTIF($E46:AB46,"²")+COUNTIF($E46:AB46,"µ")+COUNTIF($E46:AB46,1),ColDescriptionCourte)),""),
  "")),"")</f>
        <v/>
      </c>
      <c r="AD46" s="40" t="str">
        <f ca="1">IFERROR(IF(AND(
  INDEX(Roadmap!$D:$K,MATCH($E46,Roadmap!$D:$D,0)+COUNTIF($E46:AC46,"u")+COUNTIF($E46:AC46,"t")+COUNTIF($E46:AC46,"¶")+COUNTIF($E46:AC46,"²")+COUNTIF($E46:AC46,"µ")+COUNTIF($E46:AC46,1),ColLivraison)=AD$6,
  VLOOKUP($E46,INDIRECT("tri!"&amp; CHAR(64+ C0Col) &amp;":"&amp; CHAR(65+C0Col)),2,FALSE)&gt;COUNTIF($E46:AC46,"u")+COUNTIF($E46:AC46,"t")+COUNTIF($E46:AC46,"¶")+COUNTIF($E46:AC46,"²")+COUNTIF($E46:AC46,"µ")+COUNTIF($E46:AC46,1)),
HYPERLINK("#Roadmap!C"&amp; MATCH($E46,Roadmap!$D:$D,0)+COUNTIF($E46:AC46,"u")+COUNTIF($E46:AC46,"t"),
     INDEX(Roadmap!$D:$K,MATCH($E46,Roadmap!$D:$D,0)+COUNTIF($E46:AC46,"u")+COUNTIF($E46:AC46,"t")+COUNTIF($E46:AC46,"¶")+COUNTIF($E46:AC46,"²")+COUNTIF($E46:AC46,"µ")+COUNTIF($E46:AC46,1),ColTypeEcheance)),
  IF(LEN(AC46)=1,
  IF(LEN(INDEX(Roadmap!$D:$K,MATCH($E46,Roadmap!$D:$D,0)-1+COUNTIF($E46:AC46,"u")+COUNTIF($E46:AC46,"t")+COUNTIF($E46:AC46,"¶")+COUNTIF($E46:AC46,"²")+COUNTIF($E46:AC46,"µ")+COUNTIF($E46:AC46,1),ColDescriptionCourte))&gt;1,
HYPERLINK("#Roadmap!C"&amp; MATCH($E46,Roadmap!$D:$D,0)+COUNTIF($E46:AC46,"u")+COUNTIF($E46:AC46,"t")+COUNTIF($E46:AC46,"¶")+COUNTIF($E46:AC46,"²")+COUNTIF($E46:AC46,"µ")+COUNTIF($E46:AC46,1)-1,INDEX(Roadmap!$D:$K,MATCH($E46,Roadmap!$D:$D,0)-1+COUNTIF($E46:AC46,"u")+COUNTIF($E46:AC46,"t")+COUNTIF($E46:AC46,"¶")+COUNTIF($E46:AC46,"²")+COUNTIF($E46:AC46,"µ")+COUNTIF($E46:AC46,1),ColDescriptionCourte)),""),
  "")),"")</f>
        <v/>
      </c>
      <c r="AE46" s="40" t="str">
        <f ca="1">IFERROR(IF(AND(
  INDEX(Roadmap!$D:$K,MATCH($E46,Roadmap!$D:$D,0)+COUNTIF($E46:AD46,"u")+COUNTIF($E46:AD46,"t")+COUNTIF($E46:AD46,"¶")+COUNTIF($E46:AD46,"²")+COUNTIF($E46:AD46,"µ")+COUNTIF($E46:AD46,1),ColLivraison)=AE$6,
  VLOOKUP($E46,INDIRECT("tri!"&amp; CHAR(64+ C0Col) &amp;":"&amp; CHAR(65+C0Col)),2,FALSE)&gt;COUNTIF($E46:AD46,"u")+COUNTIF($E46:AD46,"t")+COUNTIF($E46:AD46,"¶")+COUNTIF($E46:AD46,"²")+COUNTIF($E46:AD46,"µ")+COUNTIF($E46:AD46,1)),
HYPERLINK("#Roadmap!C"&amp; MATCH($E46,Roadmap!$D:$D,0)+COUNTIF($E46:AD46,"u")+COUNTIF($E46:AD46,"t"),
     INDEX(Roadmap!$D:$K,MATCH($E46,Roadmap!$D:$D,0)+COUNTIF($E46:AD46,"u")+COUNTIF($E46:AD46,"t")+COUNTIF($E46:AD46,"¶")+COUNTIF($E46:AD46,"²")+COUNTIF($E46:AD46,"µ")+COUNTIF($E46:AD46,1),ColTypeEcheance)),
  IF(LEN(AD46)=1,
  IF(LEN(INDEX(Roadmap!$D:$K,MATCH($E46,Roadmap!$D:$D,0)-1+COUNTIF($E46:AD46,"u")+COUNTIF($E46:AD46,"t")+COUNTIF($E46:AD46,"¶")+COUNTIF($E46:AD46,"²")+COUNTIF($E46:AD46,"µ")+COUNTIF($E46:AD46,1),ColDescriptionCourte))&gt;1,
HYPERLINK("#Roadmap!C"&amp; MATCH($E46,Roadmap!$D:$D,0)+COUNTIF($E46:AD46,"u")+COUNTIF($E46:AD46,"t")+COUNTIF($E46:AD46,"¶")+COUNTIF($E46:AD46,"²")+COUNTIF($E46:AD46,"µ")+COUNTIF($E46:AD46,1)-1,INDEX(Roadmap!$D:$K,MATCH($E46,Roadmap!$D:$D,0)-1+COUNTIF($E46:AD46,"u")+COUNTIF($E46:AD46,"t")+COUNTIF($E46:AD46,"¶")+COUNTIF($E46:AD46,"²")+COUNTIF($E46:AD46,"µ")+COUNTIF($E46:AD46,1),ColDescriptionCourte)),""),
  "")),"")</f>
        <v/>
      </c>
      <c r="AF46" s="40" t="str">
        <f ca="1">IFERROR(IF(AND(
  INDEX(Roadmap!$D:$K,MATCH($E46,Roadmap!$D:$D,0)+COUNTIF($E46:AE46,"u")+COUNTIF($E46:AE46,"t")+COUNTIF($E46:AE46,"¶")+COUNTIF($E46:AE46,"²")+COUNTIF($E46:AE46,"µ")+COUNTIF($E46:AE46,1),ColLivraison)=AF$6,
  VLOOKUP($E46,INDIRECT("tri!"&amp; CHAR(64+ C0Col) &amp;":"&amp; CHAR(65+C0Col)),2,FALSE)&gt;COUNTIF($E46:AE46,"u")+COUNTIF($E46:AE46,"t")+COUNTIF($E46:AE46,"¶")+COUNTIF($E46:AE46,"²")+COUNTIF($E46:AE46,"µ")+COUNTIF($E46:AE46,1)),
HYPERLINK("#Roadmap!C"&amp; MATCH($E46,Roadmap!$D:$D,0)+COUNTIF($E46:AE46,"u")+COUNTIF($E46:AE46,"t"),
     INDEX(Roadmap!$D:$K,MATCH($E46,Roadmap!$D:$D,0)+COUNTIF($E46:AE46,"u")+COUNTIF($E46:AE46,"t")+COUNTIF($E46:AE46,"¶")+COUNTIF($E46:AE46,"²")+COUNTIF($E46:AE46,"µ")+COUNTIF($E46:AE46,1),ColTypeEcheance)),
  IF(LEN(AE46)=1,
  IF(LEN(INDEX(Roadmap!$D:$K,MATCH($E46,Roadmap!$D:$D,0)-1+COUNTIF($E46:AE46,"u")+COUNTIF($E46:AE46,"t")+COUNTIF($E46:AE46,"¶")+COUNTIF($E46:AE46,"²")+COUNTIF($E46:AE46,"µ")+COUNTIF($E46:AE46,1),ColDescriptionCourte))&gt;1,
HYPERLINK("#Roadmap!C"&amp; MATCH($E46,Roadmap!$D:$D,0)+COUNTIF($E46:AE46,"u")+COUNTIF($E46:AE46,"t")+COUNTIF($E46:AE46,"¶")+COUNTIF($E46:AE46,"²")+COUNTIF($E46:AE46,"µ")+COUNTIF($E46:AE46,1)-1,INDEX(Roadmap!$D:$K,MATCH($E46,Roadmap!$D:$D,0)-1+COUNTIF($E46:AE46,"u")+COUNTIF($E46:AE46,"t")+COUNTIF($E46:AE46,"¶")+COUNTIF($E46:AE46,"²")+COUNTIF($E46:AE46,"µ")+COUNTIF($E46:AE46,1),ColDescriptionCourte)),""),
  "")),"")</f>
        <v/>
      </c>
      <c r="AG46" s="40" t="str">
        <f ca="1">IFERROR(IF(AND(
  INDEX(Roadmap!$D:$K,MATCH($E46,Roadmap!$D:$D,0)+COUNTIF($E46:AF46,"u")+COUNTIF($E46:AF46,"t")+COUNTIF($E46:AF46,"¶")+COUNTIF($E46:AF46,"²")+COUNTIF($E46:AF46,"µ")+COUNTIF($E46:AF46,1),ColLivraison)=AG$6,
  VLOOKUP($E46,INDIRECT("tri!"&amp; CHAR(64+ C0Col) &amp;":"&amp; CHAR(65+C0Col)),2,FALSE)&gt;COUNTIF($E46:AF46,"u")+COUNTIF($E46:AF46,"t")+COUNTIF($E46:AF46,"¶")+COUNTIF($E46:AF46,"²")+COUNTIF($E46:AF46,"µ")+COUNTIF($E46:AF46,1)),
HYPERLINK("#Roadmap!C"&amp; MATCH($E46,Roadmap!$D:$D,0)+COUNTIF($E46:AF46,"u")+COUNTIF($E46:AF46,"t"),
     INDEX(Roadmap!$D:$K,MATCH($E46,Roadmap!$D:$D,0)+COUNTIF($E46:AF46,"u")+COUNTIF($E46:AF46,"t")+COUNTIF($E46:AF46,"¶")+COUNTIF($E46:AF46,"²")+COUNTIF($E46:AF46,"µ")+COUNTIF($E46:AF46,1),ColTypeEcheance)),
  IF(LEN(AF46)=1,
  IF(LEN(INDEX(Roadmap!$D:$K,MATCH($E46,Roadmap!$D:$D,0)-1+COUNTIF($E46:AF46,"u")+COUNTIF($E46:AF46,"t")+COUNTIF($E46:AF46,"¶")+COUNTIF($E46:AF46,"²")+COUNTIF($E46:AF46,"µ")+COUNTIF($E46:AF46,1),ColDescriptionCourte))&gt;1,
HYPERLINK("#Roadmap!C"&amp; MATCH($E46,Roadmap!$D:$D,0)+COUNTIF($E46:AF46,"u")+COUNTIF($E46:AF46,"t")+COUNTIF($E46:AF46,"¶")+COUNTIF($E46:AF46,"²")+COUNTIF($E46:AF46,"µ")+COUNTIF($E46:AF46,1)-1,INDEX(Roadmap!$D:$K,MATCH($E46,Roadmap!$D:$D,0)-1+COUNTIF($E46:AF46,"u")+COUNTIF($E46:AF46,"t")+COUNTIF($E46:AF46,"¶")+COUNTIF($E46:AF46,"²")+COUNTIF($E46:AF46,"µ")+COUNTIF($E46:AF46,1),ColDescriptionCourte)),""),
  "")),"")</f>
        <v/>
      </c>
    </row>
    <row r="47" spans="3:33" ht="14.25" customHeight="1">
      <c r="C47" s="1" t="str">
        <f t="shared" ca="1" si="44"/>
        <v/>
      </c>
      <c r="D47" s="1" t="str">
        <f t="shared" ca="1" si="45"/>
        <v/>
      </c>
      <c r="E47" s="35" t="str">
        <f t="shared" ca="1" si="33"/>
        <v/>
      </c>
      <c r="F47" s="39" t="str">
        <f ca="1">IFERROR(IF(AND(
  INDEX(Roadmap!$D:$K,MATCH($E47,Roadmap!$D:$D,0)+COUNTIF($E47:E47,"u")+COUNTIF($E47:E47,"t")+COUNTIF($E47:E47,"¶")+COUNTIF($E47:E47,"²")+COUNTIF($E47:E47,"µ")+COUNTIF($E47:E47,1),ColLivraison)=F$6,
  VLOOKUP($E47,INDIRECT("tri!"&amp; CHAR(64+ C0Col) &amp;":"&amp; CHAR(65+C0Col)),2,FALSE)&gt;COUNTIF($E47:E47,"u")+COUNTIF($E47:E47,"t")+COUNTIF($E47:E47,"¶")+COUNTIF($E47:E47,"²")+COUNTIF($E47:E47,"µ")+COUNTIF($E47:E47,1)),
HYPERLINK("#Roadmap!C"&amp; MATCH($E47,Roadmap!$D:$D,0)+COUNTIF($E47:E47,"u")+COUNTIF($E47:E47,"t"),
     INDEX(Roadmap!$D:$K,MATCH($E47,Roadmap!$D:$D,0)+COUNTIF($E47:E47,"u")+COUNTIF($E47:E47,"t")+COUNTIF($E47:E47,"¶")+COUNTIF($E47:E47,"²")+COUNTIF($E47:E47,"µ")+COUNTIF($E47:E47,1),ColTypeEcheance)),
  IF(LEN(E47)=1,
  IF(LEN(INDEX(Roadmap!$D:$K,MATCH($E47,Roadmap!$D:$D,0)-1+COUNTIF($E47:E47,"u")+COUNTIF($E47:E47,"t")+COUNTIF($E47:E47,"¶")+COUNTIF($E47:E47,"²")+COUNTIF($E47:E47,"µ")+COUNTIF($E47:E47,1),ColDescriptionCourte))&gt;1,
HYPERLINK("#Roadmap!C"&amp; MATCH($E47,Roadmap!$D:$D,0)+COUNTIF($E47:E47,"u")+COUNTIF($E47:E47,"t")+COUNTIF($E47:E47,"¶")+COUNTIF($E47:E47,"²")+COUNTIF($E47:E47,"µ")+COUNTIF($E47:E47,1)-1,INDEX(Roadmap!$D:$K,MATCH($E47,Roadmap!$D:$D,0)-1+COUNTIF($E47:E47,"u")+COUNTIF($E47:E47,"t")+COUNTIF($E47:E47,"¶")+COUNTIF($E47:E47,"²")+COUNTIF($E47:E47,"µ")+COUNTIF($E47:E47,1),ColDescriptionCourte)),""),
  "")),"")</f>
        <v/>
      </c>
      <c r="G47" s="40" t="str">
        <f ca="1">IFERROR(IF(AND(
  INDEX(Roadmap!$D:$K,MATCH($E47,Roadmap!$D:$D,0)+COUNTIF($E47:F47,"u")+COUNTIF($E47:F47,"t")+COUNTIF($E47:F47,"¶")+COUNTIF($E47:F47,"²")+COUNTIF($E47:F47,"µ")+COUNTIF($E47:F47,1),ColLivraison)=G$6,
  VLOOKUP($E47,INDIRECT("tri!"&amp; CHAR(64+ C0Col) &amp;":"&amp; CHAR(65+C0Col)),2,FALSE)&gt;COUNTIF($E47:F47,"u")+COUNTIF($E47:F47,"t")+COUNTIF($E47:F47,"¶")+COUNTIF($E47:F47,"²")+COUNTIF($E47:F47,"µ")+COUNTIF($E47:F47,1)),
HYPERLINK("#Roadmap!C"&amp; MATCH($E47,Roadmap!$D:$D,0)+COUNTIF($E47:F47,"u")+COUNTIF($E47:F47,"t"),
     INDEX(Roadmap!$D:$K,MATCH($E47,Roadmap!$D:$D,0)+COUNTIF($E47:F47,"u")+COUNTIF($E47:F47,"t")+COUNTIF($E47:F47,"¶")+COUNTIF($E47:F47,"²")+COUNTIF($E47:F47,"µ")+COUNTIF($E47:F47,1),ColTypeEcheance)),
  IF(LEN(F47)=1,
  IF(LEN(INDEX(Roadmap!$D:$K,MATCH($E47,Roadmap!$D:$D,0)-1+COUNTIF($E47:F47,"u")+COUNTIF($E47:F47,"t")+COUNTIF($E47:F47,"¶")+COUNTIF($E47:F47,"²")+COUNTIF($E47:F47,"µ")+COUNTIF($E47:F47,1),ColDescriptionCourte))&gt;1,
HYPERLINK("#Roadmap!C"&amp; MATCH($E47,Roadmap!$D:$D,0)+COUNTIF($E47:F47,"u")+COUNTIF($E47:F47,"t")+COUNTIF($E47:F47,"¶")+COUNTIF($E47:F47,"²")+COUNTIF($E47:F47,"µ")+COUNTIF($E47:F47,1)-1,INDEX(Roadmap!$D:$K,MATCH($E47,Roadmap!$D:$D,0)-1+COUNTIF($E47:F47,"u")+COUNTIF($E47:F47,"t")+COUNTIF($E47:F47,"¶")+COUNTIF($E47:F47,"²")+COUNTIF($E47:F47,"µ")+COUNTIF($E47:F47,1),ColDescriptionCourte)),""),
  "")),"")</f>
        <v/>
      </c>
      <c r="H47" s="40" t="str">
        <f ca="1">IFERROR(IF(AND(
  INDEX(Roadmap!$D:$K,MATCH($E47,Roadmap!$D:$D,0)+COUNTIF($E47:G47,"u")+COUNTIF($E47:G47,"t")+COUNTIF($E47:G47,"¶")+COUNTIF($E47:G47,"²")+COUNTIF($E47:G47,"µ")+COUNTIF($E47:G47,1),ColLivraison)=H$6,
  VLOOKUP($E47,INDIRECT("tri!"&amp; CHAR(64+ C0Col) &amp;":"&amp; CHAR(65+C0Col)),2,FALSE)&gt;COUNTIF($E47:G47,"u")+COUNTIF($E47:G47,"t")+COUNTIF($E47:G47,"¶")+COUNTIF($E47:G47,"²")+COUNTIF($E47:G47,"µ")+COUNTIF($E47:G47,1)),
HYPERLINK("#Roadmap!C"&amp; MATCH($E47,Roadmap!$D:$D,0)+COUNTIF($E47:G47,"u")+COUNTIF($E47:G47,"t"),
     INDEX(Roadmap!$D:$K,MATCH($E47,Roadmap!$D:$D,0)+COUNTIF($E47:G47,"u")+COUNTIF($E47:G47,"t")+COUNTIF($E47:G47,"¶")+COUNTIF($E47:G47,"²")+COUNTIF($E47:G47,"µ")+COUNTIF($E47:G47,1),ColTypeEcheance)),
  IF(LEN(G47)=1,
  IF(LEN(INDEX(Roadmap!$D:$K,MATCH($E47,Roadmap!$D:$D,0)-1+COUNTIF($E47:G47,"u")+COUNTIF($E47:G47,"t")+COUNTIF($E47:G47,"¶")+COUNTIF($E47:G47,"²")+COUNTIF($E47:G47,"µ")+COUNTIF($E47:G47,1),ColDescriptionCourte))&gt;1,
HYPERLINK("#Roadmap!C"&amp; MATCH($E47,Roadmap!$D:$D,0)+COUNTIF($E47:G47,"u")+COUNTIF($E47:G47,"t")+COUNTIF($E47:G47,"¶")+COUNTIF($E47:G47,"²")+COUNTIF($E47:G47,"µ")+COUNTIF($E47:G47,1)-1,INDEX(Roadmap!$D:$K,MATCH($E47,Roadmap!$D:$D,0)-1+COUNTIF($E47:G47,"u")+COUNTIF($E47:G47,"t")+COUNTIF($E47:G47,"¶")+COUNTIF($E47:G47,"²")+COUNTIF($E47:G47,"µ")+COUNTIF($E47:G47,1),ColDescriptionCourte)),""),
  "")),"")</f>
        <v/>
      </c>
      <c r="I47" s="40" t="str">
        <f ca="1">IFERROR(IF(AND(
  INDEX(Roadmap!$D:$K,MATCH($E47,Roadmap!$D:$D,0)+COUNTIF($E47:H47,"u")+COUNTIF($E47:H47,"t")+COUNTIF($E47:H47,"¶")+COUNTIF($E47:H47,"²")+COUNTIF($E47:H47,"µ")+COUNTIF($E47:H47,1),ColLivraison)=I$6,
  VLOOKUP($E47,INDIRECT("tri!"&amp; CHAR(64+ C0Col) &amp;":"&amp; CHAR(65+C0Col)),2,FALSE)&gt;COUNTIF($E47:H47,"u")+COUNTIF($E47:H47,"t")+COUNTIF($E47:H47,"¶")+COUNTIF($E47:H47,"²")+COUNTIF($E47:H47,"µ")+COUNTIF($E47:H47,1)),
HYPERLINK("#Roadmap!C"&amp; MATCH($E47,Roadmap!$D:$D,0)+COUNTIF($E47:H47,"u")+COUNTIF($E47:H47,"t"),
     INDEX(Roadmap!$D:$K,MATCH($E47,Roadmap!$D:$D,0)+COUNTIF($E47:H47,"u")+COUNTIF($E47:H47,"t")+COUNTIF($E47:H47,"¶")+COUNTIF($E47:H47,"²")+COUNTIF($E47:H47,"µ")+COUNTIF($E47:H47,1),ColTypeEcheance)),
  IF(LEN(H47)=1,
  IF(LEN(INDEX(Roadmap!$D:$K,MATCH($E47,Roadmap!$D:$D,0)-1+COUNTIF($E47:H47,"u")+COUNTIF($E47:H47,"t")+COUNTIF($E47:H47,"¶")+COUNTIF($E47:H47,"²")+COUNTIF($E47:H47,"µ")+COUNTIF($E47:H47,1),ColDescriptionCourte))&gt;1,
HYPERLINK("#Roadmap!C"&amp; MATCH($E47,Roadmap!$D:$D,0)+COUNTIF($E47:H47,"u")+COUNTIF($E47:H47,"t")+COUNTIF($E47:H47,"¶")+COUNTIF($E47:H47,"²")+COUNTIF($E47:H47,"µ")+COUNTIF($E47:H47,1)-1,INDEX(Roadmap!$D:$K,MATCH($E47,Roadmap!$D:$D,0)-1+COUNTIF($E47:H47,"u")+COUNTIF($E47:H47,"t")+COUNTIF($E47:H47,"¶")+COUNTIF($E47:H47,"²")+COUNTIF($E47:H47,"µ")+COUNTIF($E47:H47,1),ColDescriptionCourte)),""),
  "")),"")</f>
        <v/>
      </c>
      <c r="J47" s="40" t="str">
        <f ca="1">IFERROR(IF(AND(
  INDEX(Roadmap!$D:$K,MATCH($E47,Roadmap!$D:$D,0)+COUNTIF($E47:I47,"u")+COUNTIF($E47:I47,"t")+COUNTIF($E47:I47,"¶")+COUNTIF($E47:I47,"²")+COUNTIF($E47:I47,"µ")+COUNTIF($E47:I47,1),ColLivraison)=J$6,
  VLOOKUP($E47,INDIRECT("tri!"&amp; CHAR(64+ C0Col) &amp;":"&amp; CHAR(65+C0Col)),2,FALSE)&gt;COUNTIF($E47:I47,"u")+COUNTIF($E47:I47,"t")+COUNTIF($E47:I47,"¶")+COUNTIF($E47:I47,"²")+COUNTIF($E47:I47,"µ")+COUNTIF($E47:I47,1)),
HYPERLINK("#Roadmap!C"&amp; MATCH($E47,Roadmap!$D:$D,0)+COUNTIF($E47:I47,"u")+COUNTIF($E47:I47,"t"),
     INDEX(Roadmap!$D:$K,MATCH($E47,Roadmap!$D:$D,0)+COUNTIF($E47:I47,"u")+COUNTIF($E47:I47,"t")+COUNTIF($E47:I47,"¶")+COUNTIF($E47:I47,"²")+COUNTIF($E47:I47,"µ")+COUNTIF($E47:I47,1),ColTypeEcheance)),
  IF(LEN(I47)=1,
  IF(LEN(INDEX(Roadmap!$D:$K,MATCH($E47,Roadmap!$D:$D,0)-1+COUNTIF($E47:I47,"u")+COUNTIF($E47:I47,"t")+COUNTIF($E47:I47,"¶")+COUNTIF($E47:I47,"²")+COUNTIF($E47:I47,"µ")+COUNTIF($E47:I47,1),ColDescriptionCourte))&gt;1,
HYPERLINK("#Roadmap!C"&amp; MATCH($E47,Roadmap!$D:$D,0)+COUNTIF($E47:I47,"u")+COUNTIF($E47:I47,"t")+COUNTIF($E47:I47,"¶")+COUNTIF($E47:I47,"²")+COUNTIF($E47:I47,"µ")+COUNTIF($E47:I47,1)-1,INDEX(Roadmap!$D:$K,MATCH($E47,Roadmap!$D:$D,0)-1+COUNTIF($E47:I47,"u")+COUNTIF($E47:I47,"t")+COUNTIF($E47:I47,"¶")+COUNTIF($E47:I47,"²")+COUNTIF($E47:I47,"µ")+COUNTIF($E47:I47,1),ColDescriptionCourte)),""),
  "")),"")</f>
        <v/>
      </c>
      <c r="K47" s="40" t="str">
        <f ca="1">IFERROR(IF(AND(
  INDEX(Roadmap!$D:$K,MATCH($E47,Roadmap!$D:$D,0)+COUNTIF($E47:J47,"u")+COUNTIF($E47:J47,"t")+COUNTIF($E47:J47,"¶")+COUNTIF($E47:J47,"²")+COUNTIF($E47:J47,"µ")+COUNTIF($E47:J47,1),ColLivraison)=K$6,
  VLOOKUP($E47,INDIRECT("tri!"&amp; CHAR(64+ C0Col) &amp;":"&amp; CHAR(65+C0Col)),2,FALSE)&gt;COUNTIF($E47:J47,"u")+COUNTIF($E47:J47,"t")+COUNTIF($E47:J47,"¶")+COUNTIF($E47:J47,"²")+COUNTIF($E47:J47,"µ")+COUNTIF($E47:J47,1)),
HYPERLINK("#Roadmap!C"&amp; MATCH($E47,Roadmap!$D:$D,0)+COUNTIF($E47:J47,"u")+COUNTIF($E47:J47,"t"),
     INDEX(Roadmap!$D:$K,MATCH($E47,Roadmap!$D:$D,0)+COUNTIF($E47:J47,"u")+COUNTIF($E47:J47,"t")+COUNTIF($E47:J47,"¶")+COUNTIF($E47:J47,"²")+COUNTIF($E47:J47,"µ")+COUNTIF($E47:J47,1),ColTypeEcheance)),
  IF(LEN(J47)=1,
  IF(LEN(INDEX(Roadmap!$D:$K,MATCH($E47,Roadmap!$D:$D,0)-1+COUNTIF($E47:J47,"u")+COUNTIF($E47:J47,"t")+COUNTIF($E47:J47,"¶")+COUNTIF($E47:J47,"²")+COUNTIF($E47:J47,"µ")+COUNTIF($E47:J47,1),ColDescriptionCourte))&gt;1,
HYPERLINK("#Roadmap!C"&amp; MATCH($E47,Roadmap!$D:$D,0)+COUNTIF($E47:J47,"u")+COUNTIF($E47:J47,"t")+COUNTIF($E47:J47,"¶")+COUNTIF($E47:J47,"²")+COUNTIF($E47:J47,"µ")+COUNTIF($E47:J47,1)-1,INDEX(Roadmap!$D:$K,MATCH($E47,Roadmap!$D:$D,0)-1+COUNTIF($E47:J47,"u")+COUNTIF($E47:J47,"t")+COUNTIF($E47:J47,"¶")+COUNTIF($E47:J47,"²")+COUNTIF($E47:J47,"µ")+COUNTIF($E47:J47,1),ColDescriptionCourte)),""),
  "")),"")</f>
        <v/>
      </c>
      <c r="L47" s="39" t="str">
        <f ca="1">IFERROR(IF(AND(
  INDEX(Roadmap!$D:$K,MATCH($E47,Roadmap!$D:$D,0)+COUNTIF($E47:K47,"u")+COUNTIF($E47:K47,"t")+COUNTIF($E47:K47,"¶")+COUNTIF($E47:K47,"²")+COUNTIF($E47:K47,"µ")+COUNTIF($E47:K47,1),ColLivraison)=L$6,
  VLOOKUP($E47,INDIRECT("tri!"&amp; CHAR(64+ C0Col) &amp;":"&amp; CHAR(65+C0Col)),2,FALSE)&gt;COUNTIF($E47:K47,"u")+COUNTIF($E47:K47,"t")+COUNTIF($E47:K47,"¶")+COUNTIF($E47:K47,"²")+COUNTIF($E47:K47,"µ")+COUNTIF($E47:K47,1)),
HYPERLINK("#Roadmap!C"&amp; MATCH($E47,Roadmap!$D:$D,0)+COUNTIF($E47:K47,"u")+COUNTIF($E47:K47,"t"),
     INDEX(Roadmap!$D:$K,MATCH($E47,Roadmap!$D:$D,0)+COUNTIF($E47:K47,"u")+COUNTIF($E47:K47,"t")+COUNTIF($E47:K47,"¶")+COUNTIF($E47:K47,"²")+COUNTIF($E47:K47,"µ")+COUNTIF($E47:K47,1),ColTypeEcheance)),
  IF(LEN(K47)=1,
  IF(LEN(INDEX(Roadmap!$D:$K,MATCH($E47,Roadmap!$D:$D,0)-1+COUNTIF($E47:K47,"u")+COUNTIF($E47:K47,"t")+COUNTIF($E47:K47,"¶")+COUNTIF($E47:K47,"²")+COUNTIF($E47:K47,"µ")+COUNTIF($E47:K47,1),ColDescriptionCourte))&gt;1,
HYPERLINK("#Roadmap!C"&amp; MATCH($E47,Roadmap!$D:$D,0)+COUNTIF($E47:K47,"u")+COUNTIF($E47:K47,"t")+COUNTIF($E47:K47,"¶")+COUNTIF($E47:K47,"²")+COUNTIF($E47:K47,"µ")+COUNTIF($E47:K47,1)-1,INDEX(Roadmap!$D:$K,MATCH($E47,Roadmap!$D:$D,0)-1+COUNTIF($E47:K47,"u")+COUNTIF($E47:K47,"t")+COUNTIF($E47:K47,"¶")+COUNTIF($E47:K47,"²")+COUNTIF($E47:K47,"µ")+COUNTIF($E47:K47,1),ColDescriptionCourte)),""),
  "")),"")</f>
        <v/>
      </c>
      <c r="M47" s="40" t="str">
        <f ca="1">IFERROR(IF(AND(
  INDEX(Roadmap!$D:$K,MATCH($E47,Roadmap!$D:$D,0)+COUNTIF($E47:L47,"u")+COUNTIF($E47:L47,"t")+COUNTIF($E47:L47,"¶")+COUNTIF($E47:L47,"²")+COUNTIF($E47:L47,"µ")+COUNTIF($E47:L47,1),ColLivraison)=M$6,
  VLOOKUP($E47,INDIRECT("tri!"&amp; CHAR(64+ C0Col) &amp;":"&amp; CHAR(65+C0Col)),2,FALSE)&gt;COUNTIF($E47:L47,"u")+COUNTIF($E47:L47,"t")+COUNTIF($E47:L47,"¶")+COUNTIF($E47:L47,"²")+COUNTIF($E47:L47,"µ")+COUNTIF($E47:L47,1)),
HYPERLINK("#Roadmap!C"&amp; MATCH($E47,Roadmap!$D:$D,0)+COUNTIF($E47:L47,"u")+COUNTIF($E47:L47,"t"),
     INDEX(Roadmap!$D:$K,MATCH($E47,Roadmap!$D:$D,0)+COUNTIF($E47:L47,"u")+COUNTIF($E47:L47,"t")+COUNTIF($E47:L47,"¶")+COUNTIF($E47:L47,"²")+COUNTIF($E47:L47,"µ")+COUNTIF($E47:L47,1),ColTypeEcheance)),
  IF(LEN(L47)=1,
  IF(LEN(INDEX(Roadmap!$D:$K,MATCH($E47,Roadmap!$D:$D,0)-1+COUNTIF($E47:L47,"u")+COUNTIF($E47:L47,"t")+COUNTIF($E47:L47,"¶")+COUNTIF($E47:L47,"²")+COUNTIF($E47:L47,"µ")+COUNTIF($E47:L47,1),ColDescriptionCourte))&gt;1,
HYPERLINK("#Roadmap!C"&amp; MATCH($E47,Roadmap!$D:$D,0)+COUNTIF($E47:L47,"u")+COUNTIF($E47:L47,"t")+COUNTIF($E47:L47,"¶")+COUNTIF($E47:L47,"²")+COUNTIF($E47:L47,"µ")+COUNTIF($E47:L47,1)-1,INDEX(Roadmap!$D:$K,MATCH($E47,Roadmap!$D:$D,0)-1+COUNTIF($E47:L47,"u")+COUNTIF($E47:L47,"t")+COUNTIF($E47:L47,"¶")+COUNTIF($E47:L47,"²")+COUNTIF($E47:L47,"µ")+COUNTIF($E47:L47,1),ColDescriptionCourte)),""),
  "")),"")</f>
        <v/>
      </c>
      <c r="N47" s="40" t="str">
        <f ca="1">IFERROR(IF(AND(
  INDEX(Roadmap!$D:$K,MATCH($E47,Roadmap!$D:$D,0)+COUNTIF($E47:M47,"u")+COUNTIF($E47:M47,"t")+COUNTIF($E47:M47,"¶")+COUNTIF($E47:M47,"²")+COUNTIF($E47:M47,"µ")+COUNTIF($E47:M47,1),ColLivraison)=N$6,
  VLOOKUP($E47,INDIRECT("tri!"&amp; CHAR(64+ C0Col) &amp;":"&amp; CHAR(65+C0Col)),2,FALSE)&gt;COUNTIF($E47:M47,"u")+COUNTIF($E47:M47,"t")+COUNTIF($E47:M47,"¶")+COUNTIF($E47:M47,"²")+COUNTIF($E47:M47,"µ")+COUNTIF($E47:M47,1)),
HYPERLINK("#Roadmap!C"&amp; MATCH($E47,Roadmap!$D:$D,0)+COUNTIF($E47:M47,"u")+COUNTIF($E47:M47,"t"),
     INDEX(Roadmap!$D:$K,MATCH($E47,Roadmap!$D:$D,0)+COUNTIF($E47:M47,"u")+COUNTIF($E47:M47,"t")+COUNTIF($E47:M47,"¶")+COUNTIF($E47:M47,"²")+COUNTIF($E47:M47,"µ")+COUNTIF($E47:M47,1),ColTypeEcheance)),
  IF(LEN(M47)=1,
  IF(LEN(INDEX(Roadmap!$D:$K,MATCH($E47,Roadmap!$D:$D,0)-1+COUNTIF($E47:M47,"u")+COUNTIF($E47:M47,"t")+COUNTIF($E47:M47,"¶")+COUNTIF($E47:M47,"²")+COUNTIF($E47:M47,"µ")+COUNTIF($E47:M47,1),ColDescriptionCourte))&gt;1,
HYPERLINK("#Roadmap!C"&amp; MATCH($E47,Roadmap!$D:$D,0)+COUNTIF($E47:M47,"u")+COUNTIF($E47:M47,"t")+COUNTIF($E47:M47,"¶")+COUNTIF($E47:M47,"²")+COUNTIF($E47:M47,"µ")+COUNTIF($E47:M47,1)-1,INDEX(Roadmap!$D:$K,MATCH($E47,Roadmap!$D:$D,0)-1+COUNTIF($E47:M47,"u")+COUNTIF($E47:M47,"t")+COUNTIF($E47:M47,"¶")+COUNTIF($E47:M47,"²")+COUNTIF($E47:M47,"µ")+COUNTIF($E47:M47,1),ColDescriptionCourte)),""),
  "")),"")</f>
        <v/>
      </c>
      <c r="O47" s="40" t="str">
        <f ca="1">IFERROR(IF(AND(
  INDEX(Roadmap!$D:$K,MATCH($E47,Roadmap!$D:$D,0)+COUNTIF($E47:N47,"u")+COUNTIF($E47:N47,"t")+COUNTIF($E47:N47,"¶")+COUNTIF($E47:N47,"²")+COUNTIF($E47:N47,"µ")+COUNTIF($E47:N47,1),ColLivraison)=O$6,
  VLOOKUP($E47,INDIRECT("tri!"&amp; CHAR(64+ C0Col) &amp;":"&amp; CHAR(65+C0Col)),2,FALSE)&gt;COUNTIF($E47:N47,"u")+COUNTIF($E47:N47,"t")+COUNTIF($E47:N47,"¶")+COUNTIF($E47:N47,"²")+COUNTIF($E47:N47,"µ")+COUNTIF($E47:N47,1)),
HYPERLINK("#Roadmap!C"&amp; MATCH($E47,Roadmap!$D:$D,0)+COUNTIF($E47:N47,"u")+COUNTIF($E47:N47,"t"),
     INDEX(Roadmap!$D:$K,MATCH($E47,Roadmap!$D:$D,0)+COUNTIF($E47:N47,"u")+COUNTIF($E47:N47,"t")+COUNTIF($E47:N47,"¶")+COUNTIF($E47:N47,"²")+COUNTIF($E47:N47,"µ")+COUNTIF($E47:N47,1),ColTypeEcheance)),
  IF(LEN(N47)=1,
  IF(LEN(INDEX(Roadmap!$D:$K,MATCH($E47,Roadmap!$D:$D,0)-1+COUNTIF($E47:N47,"u")+COUNTIF($E47:N47,"t")+COUNTIF($E47:N47,"¶")+COUNTIF($E47:N47,"²")+COUNTIF($E47:N47,"µ")+COUNTIF($E47:N47,1),ColDescriptionCourte))&gt;1,
HYPERLINK("#Roadmap!C"&amp; MATCH($E47,Roadmap!$D:$D,0)+COUNTIF($E47:N47,"u")+COUNTIF($E47:N47,"t")+COUNTIF($E47:N47,"¶")+COUNTIF($E47:N47,"²")+COUNTIF($E47:N47,"µ")+COUNTIF($E47:N47,1)-1,INDEX(Roadmap!$D:$K,MATCH($E47,Roadmap!$D:$D,0)-1+COUNTIF($E47:N47,"u")+COUNTIF($E47:N47,"t")+COUNTIF($E47:N47,"¶")+COUNTIF($E47:N47,"²")+COUNTIF($E47:N47,"µ")+COUNTIF($E47:N47,1),ColDescriptionCourte)),""),
  "")),"")</f>
        <v/>
      </c>
      <c r="P47" s="40" t="str">
        <f ca="1">IFERROR(IF(AND(
  INDEX(Roadmap!$D:$K,MATCH($E47,Roadmap!$D:$D,0)+COUNTIF($E47:O47,"u")+COUNTIF($E47:O47,"t")+COUNTIF($E47:O47,"¶")+COUNTIF($E47:O47,"²")+COUNTIF($E47:O47,"µ")+COUNTIF($E47:O47,1),ColLivraison)=P$6,
  VLOOKUP($E47,INDIRECT("tri!"&amp; CHAR(64+ C0Col) &amp;":"&amp; CHAR(65+C0Col)),2,FALSE)&gt;COUNTIF($E47:O47,"u")+COUNTIF($E47:O47,"t")+COUNTIF($E47:O47,"¶")+COUNTIF($E47:O47,"²")+COUNTIF($E47:O47,"µ")+COUNTIF($E47:O47,1)),
HYPERLINK("#Roadmap!C"&amp; MATCH($E47,Roadmap!$D:$D,0)+COUNTIF($E47:O47,"u")+COUNTIF($E47:O47,"t"),
     INDEX(Roadmap!$D:$K,MATCH($E47,Roadmap!$D:$D,0)+COUNTIF($E47:O47,"u")+COUNTIF($E47:O47,"t")+COUNTIF($E47:O47,"¶")+COUNTIF($E47:O47,"²")+COUNTIF($E47:O47,"µ")+COUNTIF($E47:O47,1),ColTypeEcheance)),
  IF(LEN(O47)=1,
  IF(LEN(INDEX(Roadmap!$D:$K,MATCH($E47,Roadmap!$D:$D,0)-1+COUNTIF($E47:O47,"u")+COUNTIF($E47:O47,"t")+COUNTIF($E47:O47,"¶")+COUNTIF($E47:O47,"²")+COUNTIF($E47:O47,"µ")+COUNTIF($E47:O47,1),ColDescriptionCourte))&gt;1,
HYPERLINK("#Roadmap!C"&amp; MATCH($E47,Roadmap!$D:$D,0)+COUNTIF($E47:O47,"u")+COUNTIF($E47:O47,"t")+COUNTIF($E47:O47,"¶")+COUNTIF($E47:O47,"²")+COUNTIF($E47:O47,"µ")+COUNTIF($E47:O47,1)-1,INDEX(Roadmap!$D:$K,MATCH($E47,Roadmap!$D:$D,0)-1+COUNTIF($E47:O47,"u")+COUNTIF($E47:O47,"t")+COUNTIF($E47:O47,"¶")+COUNTIF($E47:O47,"²")+COUNTIF($E47:O47,"µ")+COUNTIF($E47:O47,1),ColDescriptionCourte)),""),
  "")),"")</f>
        <v/>
      </c>
      <c r="Q47" s="40" t="str">
        <f ca="1">IFERROR(IF(AND(
  INDEX(Roadmap!$D:$K,MATCH($E47,Roadmap!$D:$D,0)+COUNTIF($E47:P47,"u")+COUNTIF($E47:P47,"t")+COUNTIF($E47:P47,"¶")+COUNTIF($E47:P47,"²")+COUNTIF($E47:P47,"µ")+COUNTIF($E47:P47,1),ColLivraison)=Q$6,
  VLOOKUP($E47,INDIRECT("tri!"&amp; CHAR(64+ C0Col) &amp;":"&amp; CHAR(65+C0Col)),2,FALSE)&gt;COUNTIF($E47:P47,"u")+COUNTIF($E47:P47,"t")+COUNTIF($E47:P47,"¶")+COUNTIF($E47:P47,"²")+COUNTIF($E47:P47,"µ")+COUNTIF($E47:P47,1)),
HYPERLINK("#Roadmap!C"&amp; MATCH($E47,Roadmap!$D:$D,0)+COUNTIF($E47:P47,"u")+COUNTIF($E47:P47,"t"),
     INDEX(Roadmap!$D:$K,MATCH($E47,Roadmap!$D:$D,0)+COUNTIF($E47:P47,"u")+COUNTIF($E47:P47,"t")+COUNTIF($E47:P47,"¶")+COUNTIF($E47:P47,"²")+COUNTIF($E47:P47,"µ")+COUNTIF($E47:P47,1),ColTypeEcheance)),
  IF(LEN(P47)=1,
  IF(LEN(INDEX(Roadmap!$D:$K,MATCH($E47,Roadmap!$D:$D,0)-1+COUNTIF($E47:P47,"u")+COUNTIF($E47:P47,"t")+COUNTIF($E47:P47,"¶")+COUNTIF($E47:P47,"²")+COUNTIF($E47:P47,"µ")+COUNTIF($E47:P47,1),ColDescriptionCourte))&gt;1,
HYPERLINK("#Roadmap!C"&amp; MATCH($E47,Roadmap!$D:$D,0)+COUNTIF($E47:P47,"u")+COUNTIF($E47:P47,"t")+COUNTIF($E47:P47,"¶")+COUNTIF($E47:P47,"²")+COUNTIF($E47:P47,"µ")+COUNTIF($E47:P47,1)-1,INDEX(Roadmap!$D:$K,MATCH($E47,Roadmap!$D:$D,0)-1+COUNTIF($E47:P47,"u")+COUNTIF($E47:P47,"t")+COUNTIF($E47:P47,"¶")+COUNTIF($E47:P47,"²")+COUNTIF($E47:P47,"µ")+COUNTIF($E47:P47,1),ColDescriptionCourte)),""),
  "")),"")</f>
        <v/>
      </c>
      <c r="R47" s="40" t="str">
        <f ca="1">IFERROR(IF(AND(
  INDEX(Roadmap!$D:$K,MATCH($E47,Roadmap!$D:$D,0)+COUNTIF($E47:Q47,"u")+COUNTIF($E47:Q47,"t")+COUNTIF($E47:Q47,"¶")+COUNTIF($E47:Q47,"²")+COUNTIF($E47:Q47,"µ")+COUNTIF($E47:Q47,1),ColLivraison)=R$6,
  VLOOKUP($E47,INDIRECT("tri!"&amp; CHAR(64+ C0Col) &amp;":"&amp; CHAR(65+C0Col)),2,FALSE)&gt;COUNTIF($E47:Q47,"u")+COUNTIF($E47:Q47,"t")+COUNTIF($E47:Q47,"¶")+COUNTIF($E47:Q47,"²")+COUNTIF($E47:Q47,"µ")+COUNTIF($E47:Q47,1)),
HYPERLINK("#Roadmap!C"&amp; MATCH($E47,Roadmap!$D:$D,0)+COUNTIF($E47:Q47,"u")+COUNTIF($E47:Q47,"t"),
     INDEX(Roadmap!$D:$K,MATCH($E47,Roadmap!$D:$D,0)+COUNTIF($E47:Q47,"u")+COUNTIF($E47:Q47,"t")+COUNTIF($E47:Q47,"¶")+COUNTIF($E47:Q47,"²")+COUNTIF($E47:Q47,"µ")+COUNTIF($E47:Q47,1),ColTypeEcheance)),
  IF(LEN(Q47)=1,
  IF(LEN(INDEX(Roadmap!$D:$K,MATCH($E47,Roadmap!$D:$D,0)-1+COUNTIF($E47:Q47,"u")+COUNTIF($E47:Q47,"t")+COUNTIF($E47:Q47,"¶")+COUNTIF($E47:Q47,"²")+COUNTIF($E47:Q47,"µ")+COUNTIF($E47:Q47,1),ColDescriptionCourte))&gt;1,
HYPERLINK("#Roadmap!C"&amp; MATCH($E47,Roadmap!$D:$D,0)+COUNTIF($E47:Q47,"u")+COUNTIF($E47:Q47,"t")+COUNTIF($E47:Q47,"¶")+COUNTIF($E47:Q47,"²")+COUNTIF($E47:Q47,"µ")+COUNTIF($E47:Q47,1)-1,INDEX(Roadmap!$D:$K,MATCH($E47,Roadmap!$D:$D,0)-1+COUNTIF($E47:Q47,"u")+COUNTIF($E47:Q47,"t")+COUNTIF($E47:Q47,"¶")+COUNTIF($E47:Q47,"²")+COUNTIF($E47:Q47,"µ")+COUNTIF($E47:Q47,1),ColDescriptionCourte)),""),
  "")),"")</f>
        <v/>
      </c>
      <c r="S47" s="40" t="str">
        <f ca="1">IFERROR(IF(AND(
  INDEX(Roadmap!$D:$K,MATCH($E47,Roadmap!$D:$D,0)+COUNTIF($E47:R47,"u")+COUNTIF($E47:R47,"t")+COUNTIF($E47:R47,"¶")+COUNTIF($E47:R47,"²")+COUNTIF($E47:R47,"µ")+COUNTIF($E47:R47,1),ColLivraison)=S$6,
  VLOOKUP($E47,INDIRECT("tri!"&amp; CHAR(64+ C0Col) &amp;":"&amp; CHAR(65+C0Col)),2,FALSE)&gt;COUNTIF($E47:R47,"u")+COUNTIF($E47:R47,"t")+COUNTIF($E47:R47,"¶")+COUNTIF($E47:R47,"²")+COUNTIF($E47:R47,"µ")+COUNTIF($E47:R47,1)),
HYPERLINK("#Roadmap!C"&amp; MATCH($E47,Roadmap!$D:$D,0)+COUNTIF($E47:R47,"u")+COUNTIF($E47:R47,"t"),
     INDEX(Roadmap!$D:$K,MATCH($E47,Roadmap!$D:$D,0)+COUNTIF($E47:R47,"u")+COUNTIF($E47:R47,"t")+COUNTIF($E47:R47,"¶")+COUNTIF($E47:R47,"²")+COUNTIF($E47:R47,"µ")+COUNTIF($E47:R47,1),ColTypeEcheance)),
  IF(LEN(R47)=1,
  IF(LEN(INDEX(Roadmap!$D:$K,MATCH($E47,Roadmap!$D:$D,0)-1+COUNTIF($E47:R47,"u")+COUNTIF($E47:R47,"t")+COUNTIF($E47:R47,"¶")+COUNTIF($E47:R47,"²")+COUNTIF($E47:R47,"µ")+COUNTIF($E47:R47,1),ColDescriptionCourte))&gt;1,
HYPERLINK("#Roadmap!C"&amp; MATCH($E47,Roadmap!$D:$D,0)+COUNTIF($E47:R47,"u")+COUNTIF($E47:R47,"t")+COUNTIF($E47:R47,"¶")+COUNTIF($E47:R47,"²")+COUNTIF($E47:R47,"µ")+COUNTIF($E47:R47,1)-1,INDEX(Roadmap!$D:$K,MATCH($E47,Roadmap!$D:$D,0)-1+COUNTIF($E47:R47,"u")+COUNTIF($E47:R47,"t")+COUNTIF($E47:R47,"¶")+COUNTIF($E47:R47,"²")+COUNTIF($E47:R47,"µ")+COUNTIF($E47:R47,1),ColDescriptionCourte)),""),
  "")),"")</f>
        <v/>
      </c>
      <c r="T47" s="40" t="str">
        <f ca="1">IFERROR(IF(AND(
  INDEX(Roadmap!$D:$K,MATCH($E47,Roadmap!$D:$D,0)+COUNTIF($E47:S47,"u")+COUNTIF($E47:S47,"t")+COUNTIF($E47:S47,"¶")+COUNTIF($E47:S47,"²")+COUNTIF($E47:S47,"µ")+COUNTIF($E47:S47,1),ColLivraison)=T$6,
  VLOOKUP($E47,INDIRECT("tri!"&amp; CHAR(64+ C0Col) &amp;":"&amp; CHAR(65+C0Col)),2,FALSE)&gt;COUNTIF($E47:S47,"u")+COUNTIF($E47:S47,"t")+COUNTIF($E47:S47,"¶")+COUNTIF($E47:S47,"²")+COUNTIF($E47:S47,"µ")+COUNTIF($E47:S47,1)),
HYPERLINK("#Roadmap!C"&amp; MATCH($E47,Roadmap!$D:$D,0)+COUNTIF($E47:S47,"u")+COUNTIF($E47:S47,"t"),
     INDEX(Roadmap!$D:$K,MATCH($E47,Roadmap!$D:$D,0)+COUNTIF($E47:S47,"u")+COUNTIF($E47:S47,"t")+COUNTIF($E47:S47,"¶")+COUNTIF($E47:S47,"²")+COUNTIF($E47:S47,"µ")+COUNTIF($E47:S47,1),ColTypeEcheance)),
  IF(LEN(S47)=1,
  IF(LEN(INDEX(Roadmap!$D:$K,MATCH($E47,Roadmap!$D:$D,0)-1+COUNTIF($E47:S47,"u")+COUNTIF($E47:S47,"t")+COUNTIF($E47:S47,"¶")+COUNTIF($E47:S47,"²")+COUNTIF($E47:S47,"µ")+COUNTIF($E47:S47,1),ColDescriptionCourte))&gt;1,
HYPERLINK("#Roadmap!C"&amp; MATCH($E47,Roadmap!$D:$D,0)+COUNTIF($E47:S47,"u")+COUNTIF($E47:S47,"t")+COUNTIF($E47:S47,"¶")+COUNTIF($E47:S47,"²")+COUNTIF($E47:S47,"µ")+COUNTIF($E47:S47,1)-1,INDEX(Roadmap!$D:$K,MATCH($E47,Roadmap!$D:$D,0)-1+COUNTIF($E47:S47,"u")+COUNTIF($E47:S47,"t")+COUNTIF($E47:S47,"¶")+COUNTIF($E47:S47,"²")+COUNTIF($E47:S47,"µ")+COUNTIF($E47:S47,1),ColDescriptionCourte)),""),
  "")),"")</f>
        <v/>
      </c>
      <c r="U47" s="40" t="str">
        <f ca="1">IFERROR(IF(AND(
  INDEX(Roadmap!$D:$K,MATCH($E47,Roadmap!$D:$D,0)+COUNTIF($E47:T47,"u")+COUNTIF($E47:T47,"t")+COUNTIF($E47:T47,"¶")+COUNTIF($E47:T47,"²")+COUNTIF($E47:T47,"µ")+COUNTIF($E47:T47,1),ColLivraison)=U$6,
  VLOOKUP($E47,INDIRECT("tri!"&amp; CHAR(64+ C0Col) &amp;":"&amp; CHAR(65+C0Col)),2,FALSE)&gt;COUNTIF($E47:T47,"u")+COUNTIF($E47:T47,"t")+COUNTIF($E47:T47,"¶")+COUNTIF($E47:T47,"²")+COUNTIF($E47:T47,"µ")+COUNTIF($E47:T47,1)),
HYPERLINK("#Roadmap!C"&amp; MATCH($E47,Roadmap!$D:$D,0)+COUNTIF($E47:T47,"u")+COUNTIF($E47:T47,"t"),
     INDEX(Roadmap!$D:$K,MATCH($E47,Roadmap!$D:$D,0)+COUNTIF($E47:T47,"u")+COUNTIF($E47:T47,"t")+COUNTIF($E47:T47,"¶")+COUNTIF($E47:T47,"²")+COUNTIF($E47:T47,"µ")+COUNTIF($E47:T47,1),ColTypeEcheance)),
  IF(LEN(T47)=1,
  IF(LEN(INDEX(Roadmap!$D:$K,MATCH($E47,Roadmap!$D:$D,0)-1+COUNTIF($E47:T47,"u")+COUNTIF($E47:T47,"t")+COUNTIF($E47:T47,"¶")+COUNTIF($E47:T47,"²")+COUNTIF($E47:T47,"µ")+COUNTIF($E47:T47,1),ColDescriptionCourte))&gt;1,
HYPERLINK("#Roadmap!C"&amp; MATCH($E47,Roadmap!$D:$D,0)+COUNTIF($E47:T47,"u")+COUNTIF($E47:T47,"t")+COUNTIF($E47:T47,"¶")+COUNTIF($E47:T47,"²")+COUNTIF($E47:T47,"µ")+COUNTIF($E47:T47,1)-1,INDEX(Roadmap!$D:$K,MATCH($E47,Roadmap!$D:$D,0)-1+COUNTIF($E47:T47,"u")+COUNTIF($E47:T47,"t")+COUNTIF($E47:T47,"¶")+COUNTIF($E47:T47,"²")+COUNTIF($E47:T47,"µ")+COUNTIF($E47:T47,1),ColDescriptionCourte)),""),
  "")),"")</f>
        <v/>
      </c>
      <c r="V47" s="40" t="str">
        <f ca="1">IFERROR(IF(AND(
  INDEX(Roadmap!$D:$K,MATCH($E47,Roadmap!$D:$D,0)+COUNTIF($E47:U47,"u")+COUNTIF($E47:U47,"t")+COUNTIF($E47:U47,"¶")+COUNTIF($E47:U47,"²")+COUNTIF($E47:U47,"µ")+COUNTIF($E47:U47,1),ColLivraison)=V$6,
  VLOOKUP($E47,INDIRECT("tri!"&amp; CHAR(64+ C0Col) &amp;":"&amp; CHAR(65+C0Col)),2,FALSE)&gt;COUNTIF($E47:U47,"u")+COUNTIF($E47:U47,"t")+COUNTIF($E47:U47,"¶")+COUNTIF($E47:U47,"²")+COUNTIF($E47:U47,"µ")+COUNTIF($E47:U47,1)),
HYPERLINK("#Roadmap!C"&amp; MATCH($E47,Roadmap!$D:$D,0)+COUNTIF($E47:U47,"u")+COUNTIF($E47:U47,"t"),
     INDEX(Roadmap!$D:$K,MATCH($E47,Roadmap!$D:$D,0)+COUNTIF($E47:U47,"u")+COUNTIF($E47:U47,"t")+COUNTIF($E47:U47,"¶")+COUNTIF($E47:U47,"²")+COUNTIF($E47:U47,"µ")+COUNTIF($E47:U47,1),ColTypeEcheance)),
  IF(LEN(U47)=1,
  IF(LEN(INDEX(Roadmap!$D:$K,MATCH($E47,Roadmap!$D:$D,0)-1+COUNTIF($E47:U47,"u")+COUNTIF($E47:U47,"t")+COUNTIF($E47:U47,"¶")+COUNTIF($E47:U47,"²")+COUNTIF($E47:U47,"µ")+COUNTIF($E47:U47,1),ColDescriptionCourte))&gt;1,
HYPERLINK("#Roadmap!C"&amp; MATCH($E47,Roadmap!$D:$D,0)+COUNTIF($E47:U47,"u")+COUNTIF($E47:U47,"t")+COUNTIF($E47:U47,"¶")+COUNTIF($E47:U47,"²")+COUNTIF($E47:U47,"µ")+COUNTIF($E47:U47,1)-1,INDEX(Roadmap!$D:$K,MATCH($E47,Roadmap!$D:$D,0)-1+COUNTIF($E47:U47,"u")+COUNTIF($E47:U47,"t")+COUNTIF($E47:U47,"¶")+COUNTIF($E47:U47,"²")+COUNTIF($E47:U47,"µ")+COUNTIF($E47:U47,1),ColDescriptionCourte)),""),
  "")),"")</f>
        <v/>
      </c>
      <c r="W47" s="40" t="str">
        <f ca="1">IFERROR(IF(AND(
  INDEX(Roadmap!$D:$K,MATCH($E47,Roadmap!$D:$D,0)+COUNTIF($E47:V47,"u")+COUNTIF($E47:V47,"t")+COUNTIF($E47:V47,"¶")+COUNTIF($E47:V47,"²")+COUNTIF($E47:V47,"µ")+COUNTIF($E47:V47,1),ColLivraison)=W$6,
  VLOOKUP($E47,INDIRECT("tri!"&amp; CHAR(64+ C0Col) &amp;":"&amp; CHAR(65+C0Col)),2,FALSE)&gt;COUNTIF($E47:V47,"u")+COUNTIF($E47:V47,"t")+COUNTIF($E47:V47,"¶")+COUNTIF($E47:V47,"²")+COUNTIF($E47:V47,"µ")+COUNTIF($E47:V47,1)),
HYPERLINK("#Roadmap!C"&amp; MATCH($E47,Roadmap!$D:$D,0)+COUNTIF($E47:V47,"u")+COUNTIF($E47:V47,"t"),
     INDEX(Roadmap!$D:$K,MATCH($E47,Roadmap!$D:$D,0)+COUNTIF($E47:V47,"u")+COUNTIF($E47:V47,"t")+COUNTIF($E47:V47,"¶")+COUNTIF($E47:V47,"²")+COUNTIF($E47:V47,"µ")+COUNTIF($E47:V47,1),ColTypeEcheance)),
  IF(LEN(V47)=1,
  IF(LEN(INDEX(Roadmap!$D:$K,MATCH($E47,Roadmap!$D:$D,0)-1+COUNTIF($E47:V47,"u")+COUNTIF($E47:V47,"t")+COUNTIF($E47:V47,"¶")+COUNTIF($E47:V47,"²")+COUNTIF($E47:V47,"µ")+COUNTIF($E47:V47,1),ColDescriptionCourte))&gt;1,
HYPERLINK("#Roadmap!C"&amp; MATCH($E47,Roadmap!$D:$D,0)+COUNTIF($E47:V47,"u")+COUNTIF($E47:V47,"t")+COUNTIF($E47:V47,"¶")+COUNTIF($E47:V47,"²")+COUNTIF($E47:V47,"µ")+COUNTIF($E47:V47,1)-1,INDEX(Roadmap!$D:$K,MATCH($E47,Roadmap!$D:$D,0)-1+COUNTIF($E47:V47,"u")+COUNTIF($E47:V47,"t")+COUNTIF($E47:V47,"¶")+COUNTIF($E47:V47,"²")+COUNTIF($E47:V47,"µ")+COUNTIF($E47:V47,1),ColDescriptionCourte)),""),
  "")),"")</f>
        <v/>
      </c>
      <c r="X47" s="40" t="str">
        <f ca="1">IFERROR(IF(AND(
  INDEX(Roadmap!$D:$K,MATCH($E47,Roadmap!$D:$D,0)+COUNTIF($E47:W47,"u")+COUNTIF($E47:W47,"t")+COUNTIF($E47:W47,"¶")+COUNTIF($E47:W47,"²")+COUNTIF($E47:W47,"µ")+COUNTIF($E47:W47,1),ColLivraison)=X$6,
  VLOOKUP($E47,INDIRECT("tri!"&amp; CHAR(64+ C0Col) &amp;":"&amp; CHAR(65+C0Col)),2,FALSE)&gt;COUNTIF($E47:W47,"u")+COUNTIF($E47:W47,"t")+COUNTIF($E47:W47,"¶")+COUNTIF($E47:W47,"²")+COUNTIF($E47:W47,"µ")+COUNTIF($E47:W47,1)),
HYPERLINK("#Roadmap!C"&amp; MATCH($E47,Roadmap!$D:$D,0)+COUNTIF($E47:W47,"u")+COUNTIF($E47:W47,"t"),
     INDEX(Roadmap!$D:$K,MATCH($E47,Roadmap!$D:$D,0)+COUNTIF($E47:W47,"u")+COUNTIF($E47:W47,"t")+COUNTIF($E47:W47,"¶")+COUNTIF($E47:W47,"²")+COUNTIF($E47:W47,"µ")+COUNTIF($E47:W47,1),ColTypeEcheance)),
  IF(LEN(W47)=1,
  IF(LEN(INDEX(Roadmap!$D:$K,MATCH($E47,Roadmap!$D:$D,0)-1+COUNTIF($E47:W47,"u")+COUNTIF($E47:W47,"t")+COUNTIF($E47:W47,"¶")+COUNTIF($E47:W47,"²")+COUNTIF($E47:W47,"µ")+COUNTIF($E47:W47,1),ColDescriptionCourte))&gt;1,
HYPERLINK("#Roadmap!C"&amp; MATCH($E47,Roadmap!$D:$D,0)+COUNTIF($E47:W47,"u")+COUNTIF($E47:W47,"t")+COUNTIF($E47:W47,"¶")+COUNTIF($E47:W47,"²")+COUNTIF($E47:W47,"µ")+COUNTIF($E47:W47,1)-1,INDEX(Roadmap!$D:$K,MATCH($E47,Roadmap!$D:$D,0)-1+COUNTIF($E47:W47,"u")+COUNTIF($E47:W47,"t")+COUNTIF($E47:W47,"¶")+COUNTIF($E47:W47,"²")+COUNTIF($E47:W47,"µ")+COUNTIF($E47:W47,1),ColDescriptionCourte)),""),
  "")),"")</f>
        <v/>
      </c>
      <c r="Y47" s="40" t="str">
        <f ca="1">IFERROR(IF(AND(
  INDEX(Roadmap!$D:$K,MATCH($E47,Roadmap!$D:$D,0)+COUNTIF($E47:X47,"u")+COUNTIF($E47:X47,"t")+COUNTIF($E47:X47,"¶")+COUNTIF($E47:X47,"²")+COUNTIF($E47:X47,"µ")+COUNTIF($E47:X47,1),ColLivraison)=Y$6,
  VLOOKUP($E47,INDIRECT("tri!"&amp; CHAR(64+ C0Col) &amp;":"&amp; CHAR(65+C0Col)),2,FALSE)&gt;COUNTIF($E47:X47,"u")+COUNTIF($E47:X47,"t")+COUNTIF($E47:X47,"¶")+COUNTIF($E47:X47,"²")+COUNTIF($E47:X47,"µ")+COUNTIF($E47:X47,1)),
HYPERLINK("#Roadmap!C"&amp; MATCH($E47,Roadmap!$D:$D,0)+COUNTIF($E47:X47,"u")+COUNTIF($E47:X47,"t"),
     INDEX(Roadmap!$D:$K,MATCH($E47,Roadmap!$D:$D,0)+COUNTIF($E47:X47,"u")+COUNTIF($E47:X47,"t")+COUNTIF($E47:X47,"¶")+COUNTIF($E47:X47,"²")+COUNTIF($E47:X47,"µ")+COUNTIF($E47:X47,1),ColTypeEcheance)),
  IF(LEN(X47)=1,
  IF(LEN(INDEX(Roadmap!$D:$K,MATCH($E47,Roadmap!$D:$D,0)-1+COUNTIF($E47:X47,"u")+COUNTIF($E47:X47,"t")+COUNTIF($E47:X47,"¶")+COUNTIF($E47:X47,"²")+COUNTIF($E47:X47,"µ")+COUNTIF($E47:X47,1),ColDescriptionCourte))&gt;1,
HYPERLINK("#Roadmap!C"&amp; MATCH($E47,Roadmap!$D:$D,0)+COUNTIF($E47:X47,"u")+COUNTIF($E47:X47,"t")+COUNTIF($E47:X47,"¶")+COUNTIF($E47:X47,"²")+COUNTIF($E47:X47,"µ")+COUNTIF($E47:X47,1)-1,INDEX(Roadmap!$D:$K,MATCH($E47,Roadmap!$D:$D,0)-1+COUNTIF($E47:X47,"u")+COUNTIF($E47:X47,"t")+COUNTIF($E47:X47,"¶")+COUNTIF($E47:X47,"²")+COUNTIF($E47:X47,"µ")+COUNTIF($E47:X47,1),ColDescriptionCourte)),""),
  "")),"")</f>
        <v/>
      </c>
      <c r="Z47" s="40" t="str">
        <f ca="1">IFERROR(IF(AND(
  INDEX(Roadmap!$D:$K,MATCH($E47,Roadmap!$D:$D,0)+COUNTIF($E47:Y47,"u")+COUNTIF($E47:Y47,"t")+COUNTIF($E47:Y47,"¶")+COUNTIF($E47:Y47,"²")+COUNTIF($E47:Y47,"µ")+COUNTIF($E47:Y47,1),ColLivraison)=Z$6,
  VLOOKUP($E47,INDIRECT("tri!"&amp; CHAR(64+ C0Col) &amp;":"&amp; CHAR(65+C0Col)),2,FALSE)&gt;COUNTIF($E47:Y47,"u")+COUNTIF($E47:Y47,"t")+COUNTIF($E47:Y47,"¶")+COUNTIF($E47:Y47,"²")+COUNTIF($E47:Y47,"µ")+COUNTIF($E47:Y47,1)),
HYPERLINK("#Roadmap!C"&amp; MATCH($E47,Roadmap!$D:$D,0)+COUNTIF($E47:Y47,"u")+COUNTIF($E47:Y47,"t"),
     INDEX(Roadmap!$D:$K,MATCH($E47,Roadmap!$D:$D,0)+COUNTIF($E47:Y47,"u")+COUNTIF($E47:Y47,"t")+COUNTIF($E47:Y47,"¶")+COUNTIF($E47:Y47,"²")+COUNTIF($E47:Y47,"µ")+COUNTIF($E47:Y47,1),ColTypeEcheance)),
  IF(LEN(Y47)=1,
  IF(LEN(INDEX(Roadmap!$D:$K,MATCH($E47,Roadmap!$D:$D,0)-1+COUNTIF($E47:Y47,"u")+COUNTIF($E47:Y47,"t")+COUNTIF($E47:Y47,"¶")+COUNTIF($E47:Y47,"²")+COUNTIF($E47:Y47,"µ")+COUNTIF($E47:Y47,1),ColDescriptionCourte))&gt;1,
HYPERLINK("#Roadmap!C"&amp; MATCH($E47,Roadmap!$D:$D,0)+COUNTIF($E47:Y47,"u")+COUNTIF($E47:Y47,"t")+COUNTIF($E47:Y47,"¶")+COUNTIF($E47:Y47,"²")+COUNTIF($E47:Y47,"µ")+COUNTIF($E47:Y47,1)-1,INDEX(Roadmap!$D:$K,MATCH($E47,Roadmap!$D:$D,0)-1+COUNTIF($E47:Y47,"u")+COUNTIF($E47:Y47,"t")+COUNTIF($E47:Y47,"¶")+COUNTIF($E47:Y47,"²")+COUNTIF($E47:Y47,"µ")+COUNTIF($E47:Y47,1),ColDescriptionCourte)),""),
  "")),"")</f>
        <v/>
      </c>
      <c r="AA47" s="40" t="str">
        <f ca="1">IFERROR(IF(AND(
  INDEX(Roadmap!$D:$K,MATCH($E47,Roadmap!$D:$D,0)+COUNTIF($E47:Z47,"u")+COUNTIF($E47:Z47,"t")+COUNTIF($E47:Z47,"¶")+COUNTIF($E47:Z47,"²")+COUNTIF($E47:Z47,"µ")+COUNTIF($E47:Z47,1),ColLivraison)=AA$6,
  VLOOKUP($E47,INDIRECT("tri!"&amp; CHAR(64+ C0Col) &amp;":"&amp; CHAR(65+C0Col)),2,FALSE)&gt;COUNTIF($E47:Z47,"u")+COUNTIF($E47:Z47,"t")+COUNTIF($E47:Z47,"¶")+COUNTIF($E47:Z47,"²")+COUNTIF($E47:Z47,"µ")+COUNTIF($E47:Z47,1)),
HYPERLINK("#Roadmap!C"&amp; MATCH($E47,Roadmap!$D:$D,0)+COUNTIF($E47:Z47,"u")+COUNTIF($E47:Z47,"t"),
     INDEX(Roadmap!$D:$K,MATCH($E47,Roadmap!$D:$D,0)+COUNTIF($E47:Z47,"u")+COUNTIF($E47:Z47,"t")+COUNTIF($E47:Z47,"¶")+COUNTIF($E47:Z47,"²")+COUNTIF($E47:Z47,"µ")+COUNTIF($E47:Z47,1),ColTypeEcheance)),
  IF(LEN(Z47)=1,
  IF(LEN(INDEX(Roadmap!$D:$K,MATCH($E47,Roadmap!$D:$D,0)-1+COUNTIF($E47:Z47,"u")+COUNTIF($E47:Z47,"t")+COUNTIF($E47:Z47,"¶")+COUNTIF($E47:Z47,"²")+COUNTIF($E47:Z47,"µ")+COUNTIF($E47:Z47,1),ColDescriptionCourte))&gt;1,
HYPERLINK("#Roadmap!C"&amp; MATCH($E47,Roadmap!$D:$D,0)+COUNTIF($E47:Z47,"u")+COUNTIF($E47:Z47,"t")+COUNTIF($E47:Z47,"¶")+COUNTIF($E47:Z47,"²")+COUNTIF($E47:Z47,"µ")+COUNTIF($E47:Z47,1)-1,INDEX(Roadmap!$D:$K,MATCH($E47,Roadmap!$D:$D,0)-1+COUNTIF($E47:Z47,"u")+COUNTIF($E47:Z47,"t")+COUNTIF($E47:Z47,"¶")+COUNTIF($E47:Z47,"²")+COUNTIF($E47:Z47,"µ")+COUNTIF($E47:Z47,1),ColDescriptionCourte)),""),
  "")),"")</f>
        <v/>
      </c>
      <c r="AB47" s="40" t="str">
        <f ca="1">IFERROR(IF(AND(
  INDEX(Roadmap!$D:$K,MATCH($E47,Roadmap!$D:$D,0)+COUNTIF($E47:AA47,"u")+COUNTIF($E47:AA47,"t")+COUNTIF($E47:AA47,"¶")+COUNTIF($E47:AA47,"²")+COUNTIF($E47:AA47,"µ")+COUNTIF($E47:AA47,1),ColLivraison)=AB$6,
  VLOOKUP($E47,INDIRECT("tri!"&amp; CHAR(64+ C0Col) &amp;":"&amp; CHAR(65+C0Col)),2,FALSE)&gt;COUNTIF($E47:AA47,"u")+COUNTIF($E47:AA47,"t")+COUNTIF($E47:AA47,"¶")+COUNTIF($E47:AA47,"²")+COUNTIF($E47:AA47,"µ")+COUNTIF($E47:AA47,1)),
HYPERLINK("#Roadmap!C"&amp; MATCH($E47,Roadmap!$D:$D,0)+COUNTIF($E47:AA47,"u")+COUNTIF($E47:AA47,"t"),
     INDEX(Roadmap!$D:$K,MATCH($E47,Roadmap!$D:$D,0)+COUNTIF($E47:AA47,"u")+COUNTIF($E47:AA47,"t")+COUNTIF($E47:AA47,"¶")+COUNTIF($E47:AA47,"²")+COUNTIF($E47:AA47,"µ")+COUNTIF($E47:AA47,1),ColTypeEcheance)),
  IF(LEN(AA47)=1,
  IF(LEN(INDEX(Roadmap!$D:$K,MATCH($E47,Roadmap!$D:$D,0)-1+COUNTIF($E47:AA47,"u")+COUNTIF($E47:AA47,"t")+COUNTIF($E47:AA47,"¶")+COUNTIF($E47:AA47,"²")+COUNTIF($E47:AA47,"µ")+COUNTIF($E47:AA47,1),ColDescriptionCourte))&gt;1,
HYPERLINK("#Roadmap!C"&amp; MATCH($E47,Roadmap!$D:$D,0)+COUNTIF($E47:AA47,"u")+COUNTIF($E47:AA47,"t")+COUNTIF($E47:AA47,"¶")+COUNTIF($E47:AA47,"²")+COUNTIF($E47:AA47,"µ")+COUNTIF($E47:AA47,1)-1,INDEX(Roadmap!$D:$K,MATCH($E47,Roadmap!$D:$D,0)-1+COUNTIF($E47:AA47,"u")+COUNTIF($E47:AA47,"t")+COUNTIF($E47:AA47,"¶")+COUNTIF($E47:AA47,"²")+COUNTIF($E47:AA47,"µ")+COUNTIF($E47:AA47,1),ColDescriptionCourte)),""),
  "")),"")</f>
        <v/>
      </c>
      <c r="AC47" s="40" t="str">
        <f ca="1">IFERROR(IF(AND(
  INDEX(Roadmap!$D:$K,MATCH($E47,Roadmap!$D:$D,0)+COUNTIF($E47:AB47,"u")+COUNTIF($E47:AB47,"t")+COUNTIF($E47:AB47,"¶")+COUNTIF($E47:AB47,"²")+COUNTIF($E47:AB47,"µ")+COUNTIF($E47:AB47,1),ColLivraison)=AC$6,
  VLOOKUP($E47,INDIRECT("tri!"&amp; CHAR(64+ C0Col) &amp;":"&amp; CHAR(65+C0Col)),2,FALSE)&gt;COUNTIF($E47:AB47,"u")+COUNTIF($E47:AB47,"t")+COUNTIF($E47:AB47,"¶")+COUNTIF($E47:AB47,"²")+COUNTIF($E47:AB47,"µ")+COUNTIF($E47:AB47,1)),
HYPERLINK("#Roadmap!C"&amp; MATCH($E47,Roadmap!$D:$D,0)+COUNTIF($E47:AB47,"u")+COUNTIF($E47:AB47,"t"),
     INDEX(Roadmap!$D:$K,MATCH($E47,Roadmap!$D:$D,0)+COUNTIF($E47:AB47,"u")+COUNTIF($E47:AB47,"t")+COUNTIF($E47:AB47,"¶")+COUNTIF($E47:AB47,"²")+COUNTIF($E47:AB47,"µ")+COUNTIF($E47:AB47,1),ColTypeEcheance)),
  IF(LEN(AB47)=1,
  IF(LEN(INDEX(Roadmap!$D:$K,MATCH($E47,Roadmap!$D:$D,0)-1+COUNTIF($E47:AB47,"u")+COUNTIF($E47:AB47,"t")+COUNTIF($E47:AB47,"¶")+COUNTIF($E47:AB47,"²")+COUNTIF($E47:AB47,"µ")+COUNTIF($E47:AB47,1),ColDescriptionCourte))&gt;1,
HYPERLINK("#Roadmap!C"&amp; MATCH($E47,Roadmap!$D:$D,0)+COUNTIF($E47:AB47,"u")+COUNTIF($E47:AB47,"t")+COUNTIF($E47:AB47,"¶")+COUNTIF($E47:AB47,"²")+COUNTIF($E47:AB47,"µ")+COUNTIF($E47:AB47,1)-1,INDEX(Roadmap!$D:$K,MATCH($E47,Roadmap!$D:$D,0)-1+COUNTIF($E47:AB47,"u")+COUNTIF($E47:AB47,"t")+COUNTIF($E47:AB47,"¶")+COUNTIF($E47:AB47,"²")+COUNTIF($E47:AB47,"µ")+COUNTIF($E47:AB47,1),ColDescriptionCourte)),""),
  "")),"")</f>
        <v/>
      </c>
      <c r="AD47" s="40" t="str">
        <f ca="1">IFERROR(IF(AND(
  INDEX(Roadmap!$D:$K,MATCH($E47,Roadmap!$D:$D,0)+COUNTIF($E47:AC47,"u")+COUNTIF($E47:AC47,"t")+COUNTIF($E47:AC47,"¶")+COUNTIF($E47:AC47,"²")+COUNTIF($E47:AC47,"µ")+COUNTIF($E47:AC47,1),ColLivraison)=AD$6,
  VLOOKUP($E47,INDIRECT("tri!"&amp; CHAR(64+ C0Col) &amp;":"&amp; CHAR(65+C0Col)),2,FALSE)&gt;COUNTIF($E47:AC47,"u")+COUNTIF($E47:AC47,"t")+COUNTIF($E47:AC47,"¶")+COUNTIF($E47:AC47,"²")+COUNTIF($E47:AC47,"µ")+COUNTIF($E47:AC47,1)),
HYPERLINK("#Roadmap!C"&amp; MATCH($E47,Roadmap!$D:$D,0)+COUNTIF($E47:AC47,"u")+COUNTIF($E47:AC47,"t"),
     INDEX(Roadmap!$D:$K,MATCH($E47,Roadmap!$D:$D,0)+COUNTIF($E47:AC47,"u")+COUNTIF($E47:AC47,"t")+COUNTIF($E47:AC47,"¶")+COUNTIF($E47:AC47,"²")+COUNTIF($E47:AC47,"µ")+COUNTIF($E47:AC47,1),ColTypeEcheance)),
  IF(LEN(AC47)=1,
  IF(LEN(INDEX(Roadmap!$D:$K,MATCH($E47,Roadmap!$D:$D,0)-1+COUNTIF($E47:AC47,"u")+COUNTIF($E47:AC47,"t")+COUNTIF($E47:AC47,"¶")+COUNTIF($E47:AC47,"²")+COUNTIF($E47:AC47,"µ")+COUNTIF($E47:AC47,1),ColDescriptionCourte))&gt;1,
HYPERLINK("#Roadmap!C"&amp; MATCH($E47,Roadmap!$D:$D,0)+COUNTIF($E47:AC47,"u")+COUNTIF($E47:AC47,"t")+COUNTIF($E47:AC47,"¶")+COUNTIF($E47:AC47,"²")+COUNTIF($E47:AC47,"µ")+COUNTIF($E47:AC47,1)-1,INDEX(Roadmap!$D:$K,MATCH($E47,Roadmap!$D:$D,0)-1+COUNTIF($E47:AC47,"u")+COUNTIF($E47:AC47,"t")+COUNTIF($E47:AC47,"¶")+COUNTIF($E47:AC47,"²")+COUNTIF($E47:AC47,"µ")+COUNTIF($E47:AC47,1),ColDescriptionCourte)),""),
  "")),"")</f>
        <v/>
      </c>
      <c r="AE47" s="40" t="str">
        <f ca="1">IFERROR(IF(AND(
  INDEX(Roadmap!$D:$K,MATCH($E47,Roadmap!$D:$D,0)+COUNTIF($E47:AD47,"u")+COUNTIF($E47:AD47,"t")+COUNTIF($E47:AD47,"¶")+COUNTIF($E47:AD47,"²")+COUNTIF($E47:AD47,"µ")+COUNTIF($E47:AD47,1),ColLivraison)=AE$6,
  VLOOKUP($E47,INDIRECT("tri!"&amp; CHAR(64+ C0Col) &amp;":"&amp; CHAR(65+C0Col)),2,FALSE)&gt;COUNTIF($E47:AD47,"u")+COUNTIF($E47:AD47,"t")+COUNTIF($E47:AD47,"¶")+COUNTIF($E47:AD47,"²")+COUNTIF($E47:AD47,"µ")+COUNTIF($E47:AD47,1)),
HYPERLINK("#Roadmap!C"&amp; MATCH($E47,Roadmap!$D:$D,0)+COUNTIF($E47:AD47,"u")+COUNTIF($E47:AD47,"t"),
     INDEX(Roadmap!$D:$K,MATCH($E47,Roadmap!$D:$D,0)+COUNTIF($E47:AD47,"u")+COUNTIF($E47:AD47,"t")+COUNTIF($E47:AD47,"¶")+COUNTIF($E47:AD47,"²")+COUNTIF($E47:AD47,"µ")+COUNTIF($E47:AD47,1),ColTypeEcheance)),
  IF(LEN(AD47)=1,
  IF(LEN(INDEX(Roadmap!$D:$K,MATCH($E47,Roadmap!$D:$D,0)-1+COUNTIF($E47:AD47,"u")+COUNTIF($E47:AD47,"t")+COUNTIF($E47:AD47,"¶")+COUNTIF($E47:AD47,"²")+COUNTIF($E47:AD47,"µ")+COUNTIF($E47:AD47,1),ColDescriptionCourte))&gt;1,
HYPERLINK("#Roadmap!C"&amp; MATCH($E47,Roadmap!$D:$D,0)+COUNTIF($E47:AD47,"u")+COUNTIF($E47:AD47,"t")+COUNTIF($E47:AD47,"¶")+COUNTIF($E47:AD47,"²")+COUNTIF($E47:AD47,"µ")+COUNTIF($E47:AD47,1)-1,INDEX(Roadmap!$D:$K,MATCH($E47,Roadmap!$D:$D,0)-1+COUNTIF($E47:AD47,"u")+COUNTIF($E47:AD47,"t")+COUNTIF($E47:AD47,"¶")+COUNTIF($E47:AD47,"²")+COUNTIF($E47:AD47,"µ")+COUNTIF($E47:AD47,1),ColDescriptionCourte)),""),
  "")),"")</f>
        <v/>
      </c>
      <c r="AF47" s="40" t="str">
        <f ca="1">IFERROR(IF(AND(
  INDEX(Roadmap!$D:$K,MATCH($E47,Roadmap!$D:$D,0)+COUNTIF($E47:AE47,"u")+COUNTIF($E47:AE47,"t")+COUNTIF($E47:AE47,"¶")+COUNTIF($E47:AE47,"²")+COUNTIF($E47:AE47,"µ")+COUNTIF($E47:AE47,1),ColLivraison)=AF$6,
  VLOOKUP($E47,INDIRECT("tri!"&amp; CHAR(64+ C0Col) &amp;":"&amp; CHAR(65+C0Col)),2,FALSE)&gt;COUNTIF($E47:AE47,"u")+COUNTIF($E47:AE47,"t")+COUNTIF($E47:AE47,"¶")+COUNTIF($E47:AE47,"²")+COUNTIF($E47:AE47,"µ")+COUNTIF($E47:AE47,1)),
HYPERLINK("#Roadmap!C"&amp; MATCH($E47,Roadmap!$D:$D,0)+COUNTIF($E47:AE47,"u")+COUNTIF($E47:AE47,"t"),
     INDEX(Roadmap!$D:$K,MATCH($E47,Roadmap!$D:$D,0)+COUNTIF($E47:AE47,"u")+COUNTIF($E47:AE47,"t")+COUNTIF($E47:AE47,"¶")+COUNTIF($E47:AE47,"²")+COUNTIF($E47:AE47,"µ")+COUNTIF($E47:AE47,1),ColTypeEcheance)),
  IF(LEN(AE47)=1,
  IF(LEN(INDEX(Roadmap!$D:$K,MATCH($E47,Roadmap!$D:$D,0)-1+COUNTIF($E47:AE47,"u")+COUNTIF($E47:AE47,"t")+COUNTIF($E47:AE47,"¶")+COUNTIF($E47:AE47,"²")+COUNTIF($E47:AE47,"µ")+COUNTIF($E47:AE47,1),ColDescriptionCourte))&gt;1,
HYPERLINK("#Roadmap!C"&amp; MATCH($E47,Roadmap!$D:$D,0)+COUNTIF($E47:AE47,"u")+COUNTIF($E47:AE47,"t")+COUNTIF($E47:AE47,"¶")+COUNTIF($E47:AE47,"²")+COUNTIF($E47:AE47,"µ")+COUNTIF($E47:AE47,1)-1,INDEX(Roadmap!$D:$K,MATCH($E47,Roadmap!$D:$D,0)-1+COUNTIF($E47:AE47,"u")+COUNTIF($E47:AE47,"t")+COUNTIF($E47:AE47,"¶")+COUNTIF($E47:AE47,"²")+COUNTIF($E47:AE47,"µ")+COUNTIF($E47:AE47,1),ColDescriptionCourte)),""),
  "")),"")</f>
        <v/>
      </c>
      <c r="AG47" s="40" t="str">
        <f ca="1">IFERROR(IF(AND(
  INDEX(Roadmap!$D:$K,MATCH($E47,Roadmap!$D:$D,0)+COUNTIF($E47:AF47,"u")+COUNTIF($E47:AF47,"t")+COUNTIF($E47:AF47,"¶")+COUNTIF($E47:AF47,"²")+COUNTIF($E47:AF47,"µ")+COUNTIF($E47:AF47,1),ColLivraison)=AG$6,
  VLOOKUP($E47,INDIRECT("tri!"&amp; CHAR(64+ C0Col) &amp;":"&amp; CHAR(65+C0Col)),2,FALSE)&gt;COUNTIF($E47:AF47,"u")+COUNTIF($E47:AF47,"t")+COUNTIF($E47:AF47,"¶")+COUNTIF($E47:AF47,"²")+COUNTIF($E47:AF47,"µ")+COUNTIF($E47:AF47,1)),
HYPERLINK("#Roadmap!C"&amp; MATCH($E47,Roadmap!$D:$D,0)+COUNTIF($E47:AF47,"u")+COUNTIF($E47:AF47,"t"),
     INDEX(Roadmap!$D:$K,MATCH($E47,Roadmap!$D:$D,0)+COUNTIF($E47:AF47,"u")+COUNTIF($E47:AF47,"t")+COUNTIF($E47:AF47,"¶")+COUNTIF($E47:AF47,"²")+COUNTIF($E47:AF47,"µ")+COUNTIF($E47:AF47,1),ColTypeEcheance)),
  IF(LEN(AF47)=1,
  IF(LEN(INDEX(Roadmap!$D:$K,MATCH($E47,Roadmap!$D:$D,0)-1+COUNTIF($E47:AF47,"u")+COUNTIF($E47:AF47,"t")+COUNTIF($E47:AF47,"¶")+COUNTIF($E47:AF47,"²")+COUNTIF($E47:AF47,"µ")+COUNTIF($E47:AF47,1),ColDescriptionCourte))&gt;1,
HYPERLINK("#Roadmap!C"&amp; MATCH($E47,Roadmap!$D:$D,0)+COUNTIF($E47:AF47,"u")+COUNTIF($E47:AF47,"t")+COUNTIF($E47:AF47,"¶")+COUNTIF($E47:AF47,"²")+COUNTIF($E47:AF47,"µ")+COUNTIF($E47:AF47,1)-1,INDEX(Roadmap!$D:$K,MATCH($E47,Roadmap!$D:$D,0)-1+COUNTIF($E47:AF47,"u")+COUNTIF($E47:AF47,"t")+COUNTIF($E47:AF47,"¶")+COUNTIF($E47:AF47,"²")+COUNTIF($E47:AF47,"µ")+COUNTIF($E47:AF47,1),ColDescriptionCourte)),""),
  "")),"")</f>
        <v/>
      </c>
    </row>
    <row r="48" spans="3:33" ht="14.25" customHeight="1">
      <c r="C48" s="1" t="str">
        <f t="shared" ca="1" si="44"/>
        <v/>
      </c>
      <c r="D48" s="1" t="str">
        <f t="shared" ca="1" si="45"/>
        <v/>
      </c>
      <c r="E48" s="35" t="str">
        <f t="shared" ca="1" si="33"/>
        <v/>
      </c>
      <c r="F48" s="39" t="str">
        <f ca="1">IFERROR(IF(AND(
  INDEX(Roadmap!$D:$K,MATCH($E48,Roadmap!$D:$D,0)+COUNTIF($E48:E48,"u")+COUNTIF($E48:E48,"t")+COUNTIF($E48:E48,"¶")+COUNTIF($E48:E48,"²")+COUNTIF($E48:E48,"µ")+COUNTIF($E48:E48,1),ColLivraison)=F$6,
  VLOOKUP($E48,INDIRECT("tri!"&amp; CHAR(64+ C0Col) &amp;":"&amp; CHAR(65+C0Col)),2,FALSE)&gt;COUNTIF($E48:E48,"u")+COUNTIF($E48:E48,"t")+COUNTIF($E48:E48,"¶")+COUNTIF($E48:E48,"²")+COUNTIF($E48:E48,"µ")+COUNTIF($E48:E48,1)),
HYPERLINK("#Roadmap!C"&amp; MATCH($E48,Roadmap!$D:$D,0)+COUNTIF($E48:E48,"u")+COUNTIF($E48:E48,"t"),
     INDEX(Roadmap!$D:$K,MATCH($E48,Roadmap!$D:$D,0)+COUNTIF($E48:E48,"u")+COUNTIF($E48:E48,"t")+COUNTIF($E48:E48,"¶")+COUNTIF($E48:E48,"²")+COUNTIF($E48:E48,"µ")+COUNTIF($E48:E48,1),ColTypeEcheance)),
  IF(LEN(E48)=1,
  IF(LEN(INDEX(Roadmap!$D:$K,MATCH($E48,Roadmap!$D:$D,0)-1+COUNTIF($E48:E48,"u")+COUNTIF($E48:E48,"t")+COUNTIF($E48:E48,"¶")+COUNTIF($E48:E48,"²")+COUNTIF($E48:E48,"µ")+COUNTIF($E48:E48,1),ColDescriptionCourte))&gt;1,
HYPERLINK("#Roadmap!C"&amp; MATCH($E48,Roadmap!$D:$D,0)+COUNTIF($E48:E48,"u")+COUNTIF($E48:E48,"t")+COUNTIF($E48:E48,"¶")+COUNTIF($E48:E48,"²")+COUNTIF($E48:E48,"µ")+COUNTIF($E48:E48,1)-1,INDEX(Roadmap!$D:$K,MATCH($E48,Roadmap!$D:$D,0)-1+COUNTIF($E48:E48,"u")+COUNTIF($E48:E48,"t")+COUNTIF($E48:E48,"¶")+COUNTIF($E48:E48,"²")+COUNTIF($E48:E48,"µ")+COUNTIF($E48:E48,1),ColDescriptionCourte)),""),
  "")),"")</f>
        <v/>
      </c>
      <c r="G48" s="40" t="str">
        <f ca="1">IFERROR(IF(AND(
  INDEX(Roadmap!$D:$K,MATCH($E48,Roadmap!$D:$D,0)+COUNTIF($E48:F48,"u")+COUNTIF($E48:F48,"t")+COUNTIF($E48:F48,"¶")+COUNTIF($E48:F48,"²")+COUNTIF($E48:F48,"µ")+COUNTIF($E48:F48,1),ColLivraison)=G$6,
  VLOOKUP($E48,INDIRECT("tri!"&amp; CHAR(64+ C0Col) &amp;":"&amp; CHAR(65+C0Col)),2,FALSE)&gt;COUNTIF($E48:F48,"u")+COUNTIF($E48:F48,"t")+COUNTIF($E48:F48,"¶")+COUNTIF($E48:F48,"²")+COUNTIF($E48:F48,"µ")+COUNTIF($E48:F48,1)),
HYPERLINK("#Roadmap!C"&amp; MATCH($E48,Roadmap!$D:$D,0)+COUNTIF($E48:F48,"u")+COUNTIF($E48:F48,"t"),
     INDEX(Roadmap!$D:$K,MATCH($E48,Roadmap!$D:$D,0)+COUNTIF($E48:F48,"u")+COUNTIF($E48:F48,"t")+COUNTIF($E48:F48,"¶")+COUNTIF($E48:F48,"²")+COUNTIF($E48:F48,"µ")+COUNTIF($E48:F48,1),ColTypeEcheance)),
  IF(LEN(F48)=1,
  IF(LEN(INDEX(Roadmap!$D:$K,MATCH($E48,Roadmap!$D:$D,0)-1+COUNTIF($E48:F48,"u")+COUNTIF($E48:F48,"t")+COUNTIF($E48:F48,"¶")+COUNTIF($E48:F48,"²")+COUNTIF($E48:F48,"µ")+COUNTIF($E48:F48,1),ColDescriptionCourte))&gt;1,
HYPERLINK("#Roadmap!C"&amp; MATCH($E48,Roadmap!$D:$D,0)+COUNTIF($E48:F48,"u")+COUNTIF($E48:F48,"t")+COUNTIF($E48:F48,"¶")+COUNTIF($E48:F48,"²")+COUNTIF($E48:F48,"µ")+COUNTIF($E48:F48,1)-1,INDEX(Roadmap!$D:$K,MATCH($E48,Roadmap!$D:$D,0)-1+COUNTIF($E48:F48,"u")+COUNTIF($E48:F48,"t")+COUNTIF($E48:F48,"¶")+COUNTIF($E48:F48,"²")+COUNTIF($E48:F48,"µ")+COUNTIF($E48:F48,1),ColDescriptionCourte)),""),
  "")),"")</f>
        <v/>
      </c>
      <c r="H48" s="40" t="str">
        <f ca="1">IFERROR(IF(AND(
  INDEX(Roadmap!$D:$K,MATCH($E48,Roadmap!$D:$D,0)+COUNTIF($E48:G48,"u")+COUNTIF($E48:G48,"t")+COUNTIF($E48:G48,"¶")+COUNTIF($E48:G48,"²")+COUNTIF($E48:G48,"µ")+COUNTIF($E48:G48,1),ColLivraison)=H$6,
  VLOOKUP($E48,INDIRECT("tri!"&amp; CHAR(64+ C0Col) &amp;":"&amp; CHAR(65+C0Col)),2,FALSE)&gt;COUNTIF($E48:G48,"u")+COUNTIF($E48:G48,"t")+COUNTIF($E48:G48,"¶")+COUNTIF($E48:G48,"²")+COUNTIF($E48:G48,"µ")+COUNTIF($E48:G48,1)),
HYPERLINK("#Roadmap!C"&amp; MATCH($E48,Roadmap!$D:$D,0)+COUNTIF($E48:G48,"u")+COUNTIF($E48:G48,"t"),
     INDEX(Roadmap!$D:$K,MATCH($E48,Roadmap!$D:$D,0)+COUNTIF($E48:G48,"u")+COUNTIF($E48:G48,"t")+COUNTIF($E48:G48,"¶")+COUNTIF($E48:G48,"²")+COUNTIF($E48:G48,"µ")+COUNTIF($E48:G48,1),ColTypeEcheance)),
  IF(LEN(G48)=1,
  IF(LEN(INDEX(Roadmap!$D:$K,MATCH($E48,Roadmap!$D:$D,0)-1+COUNTIF($E48:G48,"u")+COUNTIF($E48:G48,"t")+COUNTIF($E48:G48,"¶")+COUNTIF($E48:G48,"²")+COUNTIF($E48:G48,"µ")+COUNTIF($E48:G48,1),ColDescriptionCourte))&gt;1,
HYPERLINK("#Roadmap!C"&amp; MATCH($E48,Roadmap!$D:$D,0)+COUNTIF($E48:G48,"u")+COUNTIF($E48:G48,"t")+COUNTIF($E48:G48,"¶")+COUNTIF($E48:G48,"²")+COUNTIF($E48:G48,"µ")+COUNTIF($E48:G48,1)-1,INDEX(Roadmap!$D:$K,MATCH($E48,Roadmap!$D:$D,0)-1+COUNTIF($E48:G48,"u")+COUNTIF($E48:G48,"t")+COUNTIF($E48:G48,"¶")+COUNTIF($E48:G48,"²")+COUNTIF($E48:G48,"µ")+COUNTIF($E48:G48,1),ColDescriptionCourte)),""),
  "")),"")</f>
        <v/>
      </c>
      <c r="I48" s="40" t="str">
        <f ca="1">IFERROR(IF(AND(
  INDEX(Roadmap!$D:$K,MATCH($E48,Roadmap!$D:$D,0)+COUNTIF($E48:H48,"u")+COUNTIF($E48:H48,"t")+COUNTIF($E48:H48,"¶")+COUNTIF($E48:H48,"²")+COUNTIF($E48:H48,"µ")+COUNTIF($E48:H48,1),ColLivraison)=I$6,
  VLOOKUP($E48,INDIRECT("tri!"&amp; CHAR(64+ C0Col) &amp;":"&amp; CHAR(65+C0Col)),2,FALSE)&gt;COUNTIF($E48:H48,"u")+COUNTIF($E48:H48,"t")+COUNTIF($E48:H48,"¶")+COUNTIF($E48:H48,"²")+COUNTIF($E48:H48,"µ")+COUNTIF($E48:H48,1)),
HYPERLINK("#Roadmap!C"&amp; MATCH($E48,Roadmap!$D:$D,0)+COUNTIF($E48:H48,"u")+COUNTIF($E48:H48,"t"),
     INDEX(Roadmap!$D:$K,MATCH($E48,Roadmap!$D:$D,0)+COUNTIF($E48:H48,"u")+COUNTIF($E48:H48,"t")+COUNTIF($E48:H48,"¶")+COUNTIF($E48:H48,"²")+COUNTIF($E48:H48,"µ")+COUNTIF($E48:H48,1),ColTypeEcheance)),
  IF(LEN(H48)=1,
  IF(LEN(INDEX(Roadmap!$D:$K,MATCH($E48,Roadmap!$D:$D,0)-1+COUNTIF($E48:H48,"u")+COUNTIF($E48:H48,"t")+COUNTIF($E48:H48,"¶")+COUNTIF($E48:H48,"²")+COUNTIF($E48:H48,"µ")+COUNTIF($E48:H48,1),ColDescriptionCourte))&gt;1,
HYPERLINK("#Roadmap!C"&amp; MATCH($E48,Roadmap!$D:$D,0)+COUNTIF($E48:H48,"u")+COUNTIF($E48:H48,"t")+COUNTIF($E48:H48,"¶")+COUNTIF($E48:H48,"²")+COUNTIF($E48:H48,"µ")+COUNTIF($E48:H48,1)-1,INDEX(Roadmap!$D:$K,MATCH($E48,Roadmap!$D:$D,0)-1+COUNTIF($E48:H48,"u")+COUNTIF($E48:H48,"t")+COUNTIF($E48:H48,"¶")+COUNTIF($E48:H48,"²")+COUNTIF($E48:H48,"µ")+COUNTIF($E48:H48,1),ColDescriptionCourte)),""),
  "")),"")</f>
        <v/>
      </c>
      <c r="J48" s="40" t="str">
        <f ca="1">IFERROR(IF(AND(
  INDEX(Roadmap!$D:$K,MATCH($E48,Roadmap!$D:$D,0)+COUNTIF($E48:I48,"u")+COUNTIF($E48:I48,"t")+COUNTIF($E48:I48,"¶")+COUNTIF($E48:I48,"²")+COUNTIF($E48:I48,"µ")+COUNTIF($E48:I48,1),ColLivraison)=J$6,
  VLOOKUP($E48,INDIRECT("tri!"&amp; CHAR(64+ C0Col) &amp;":"&amp; CHAR(65+C0Col)),2,FALSE)&gt;COUNTIF($E48:I48,"u")+COUNTIF($E48:I48,"t")+COUNTIF($E48:I48,"¶")+COUNTIF($E48:I48,"²")+COUNTIF($E48:I48,"µ")+COUNTIF($E48:I48,1)),
HYPERLINK("#Roadmap!C"&amp; MATCH($E48,Roadmap!$D:$D,0)+COUNTIF($E48:I48,"u")+COUNTIF($E48:I48,"t"),
     INDEX(Roadmap!$D:$K,MATCH($E48,Roadmap!$D:$D,0)+COUNTIF($E48:I48,"u")+COUNTIF($E48:I48,"t")+COUNTIF($E48:I48,"¶")+COUNTIF($E48:I48,"²")+COUNTIF($E48:I48,"µ")+COUNTIF($E48:I48,1),ColTypeEcheance)),
  IF(LEN(I48)=1,
  IF(LEN(INDEX(Roadmap!$D:$K,MATCH($E48,Roadmap!$D:$D,0)-1+COUNTIF($E48:I48,"u")+COUNTIF($E48:I48,"t")+COUNTIF($E48:I48,"¶")+COUNTIF($E48:I48,"²")+COUNTIF($E48:I48,"µ")+COUNTIF($E48:I48,1),ColDescriptionCourte))&gt;1,
HYPERLINK("#Roadmap!C"&amp; MATCH($E48,Roadmap!$D:$D,0)+COUNTIF($E48:I48,"u")+COUNTIF($E48:I48,"t")+COUNTIF($E48:I48,"¶")+COUNTIF($E48:I48,"²")+COUNTIF($E48:I48,"µ")+COUNTIF($E48:I48,1)-1,INDEX(Roadmap!$D:$K,MATCH($E48,Roadmap!$D:$D,0)-1+COUNTIF($E48:I48,"u")+COUNTIF($E48:I48,"t")+COUNTIF($E48:I48,"¶")+COUNTIF($E48:I48,"²")+COUNTIF($E48:I48,"µ")+COUNTIF($E48:I48,1),ColDescriptionCourte)),""),
  "")),"")</f>
        <v/>
      </c>
      <c r="K48" s="40" t="str">
        <f ca="1">IFERROR(IF(AND(
  INDEX(Roadmap!$D:$K,MATCH($E48,Roadmap!$D:$D,0)+COUNTIF($E48:J48,"u")+COUNTIF($E48:J48,"t")+COUNTIF($E48:J48,"¶")+COUNTIF($E48:J48,"²")+COUNTIF($E48:J48,"µ")+COUNTIF($E48:J48,1),ColLivraison)=K$6,
  VLOOKUP($E48,INDIRECT("tri!"&amp; CHAR(64+ C0Col) &amp;":"&amp; CHAR(65+C0Col)),2,FALSE)&gt;COUNTIF($E48:J48,"u")+COUNTIF($E48:J48,"t")+COUNTIF($E48:J48,"¶")+COUNTIF($E48:J48,"²")+COUNTIF($E48:J48,"µ")+COUNTIF($E48:J48,1)),
HYPERLINK("#Roadmap!C"&amp; MATCH($E48,Roadmap!$D:$D,0)+COUNTIF($E48:J48,"u")+COUNTIF($E48:J48,"t"),
     INDEX(Roadmap!$D:$K,MATCH($E48,Roadmap!$D:$D,0)+COUNTIF($E48:J48,"u")+COUNTIF($E48:J48,"t")+COUNTIF($E48:J48,"¶")+COUNTIF($E48:J48,"²")+COUNTIF($E48:J48,"µ")+COUNTIF($E48:J48,1),ColTypeEcheance)),
  IF(LEN(J48)=1,
  IF(LEN(INDEX(Roadmap!$D:$K,MATCH($E48,Roadmap!$D:$D,0)-1+COUNTIF($E48:J48,"u")+COUNTIF($E48:J48,"t")+COUNTIF($E48:J48,"¶")+COUNTIF($E48:J48,"²")+COUNTIF($E48:J48,"µ")+COUNTIF($E48:J48,1),ColDescriptionCourte))&gt;1,
HYPERLINK("#Roadmap!C"&amp; MATCH($E48,Roadmap!$D:$D,0)+COUNTIF($E48:J48,"u")+COUNTIF($E48:J48,"t")+COUNTIF($E48:J48,"¶")+COUNTIF($E48:J48,"²")+COUNTIF($E48:J48,"µ")+COUNTIF($E48:J48,1)-1,INDEX(Roadmap!$D:$K,MATCH($E48,Roadmap!$D:$D,0)-1+COUNTIF($E48:J48,"u")+COUNTIF($E48:J48,"t")+COUNTIF($E48:J48,"¶")+COUNTIF($E48:J48,"²")+COUNTIF($E48:J48,"µ")+COUNTIF($E48:J48,1),ColDescriptionCourte)),""),
  "")),"")</f>
        <v/>
      </c>
      <c r="L48" s="39" t="str">
        <f ca="1">IFERROR(IF(AND(
  INDEX(Roadmap!$D:$K,MATCH($E48,Roadmap!$D:$D,0)+COUNTIF($E48:K48,"u")+COUNTIF($E48:K48,"t")+COUNTIF($E48:K48,"¶")+COUNTIF($E48:K48,"²")+COUNTIF($E48:K48,"µ")+COUNTIF($E48:K48,1),ColLivraison)=L$6,
  VLOOKUP($E48,INDIRECT("tri!"&amp; CHAR(64+ C0Col) &amp;":"&amp; CHAR(65+C0Col)),2,FALSE)&gt;COUNTIF($E48:K48,"u")+COUNTIF($E48:K48,"t")+COUNTIF($E48:K48,"¶")+COUNTIF($E48:K48,"²")+COUNTIF($E48:K48,"µ")+COUNTIF($E48:K48,1)),
HYPERLINK("#Roadmap!C"&amp; MATCH($E48,Roadmap!$D:$D,0)+COUNTIF($E48:K48,"u")+COUNTIF($E48:K48,"t"),
     INDEX(Roadmap!$D:$K,MATCH($E48,Roadmap!$D:$D,0)+COUNTIF($E48:K48,"u")+COUNTIF($E48:K48,"t")+COUNTIF($E48:K48,"¶")+COUNTIF($E48:K48,"²")+COUNTIF($E48:K48,"µ")+COUNTIF($E48:K48,1),ColTypeEcheance)),
  IF(LEN(K48)=1,
  IF(LEN(INDEX(Roadmap!$D:$K,MATCH($E48,Roadmap!$D:$D,0)-1+COUNTIF($E48:K48,"u")+COUNTIF($E48:K48,"t")+COUNTIF($E48:K48,"¶")+COUNTIF($E48:K48,"²")+COUNTIF($E48:K48,"µ")+COUNTIF($E48:K48,1),ColDescriptionCourte))&gt;1,
HYPERLINK("#Roadmap!C"&amp; MATCH($E48,Roadmap!$D:$D,0)+COUNTIF($E48:K48,"u")+COUNTIF($E48:K48,"t")+COUNTIF($E48:K48,"¶")+COUNTIF($E48:K48,"²")+COUNTIF($E48:K48,"µ")+COUNTIF($E48:K48,1)-1,INDEX(Roadmap!$D:$K,MATCH($E48,Roadmap!$D:$D,0)-1+COUNTIF($E48:K48,"u")+COUNTIF($E48:K48,"t")+COUNTIF($E48:K48,"¶")+COUNTIF($E48:K48,"²")+COUNTIF($E48:K48,"µ")+COUNTIF($E48:K48,1),ColDescriptionCourte)),""),
  "")),"")</f>
        <v/>
      </c>
      <c r="M48" s="40" t="str">
        <f ca="1">IFERROR(IF(AND(
  INDEX(Roadmap!$D:$K,MATCH($E48,Roadmap!$D:$D,0)+COUNTIF($E48:L48,"u")+COUNTIF($E48:L48,"t")+COUNTIF($E48:L48,"¶")+COUNTIF($E48:L48,"²")+COUNTIF($E48:L48,"µ")+COUNTIF($E48:L48,1),ColLivraison)=M$6,
  VLOOKUP($E48,INDIRECT("tri!"&amp; CHAR(64+ C0Col) &amp;":"&amp; CHAR(65+C0Col)),2,FALSE)&gt;COUNTIF($E48:L48,"u")+COUNTIF($E48:L48,"t")+COUNTIF($E48:L48,"¶")+COUNTIF($E48:L48,"²")+COUNTIF($E48:L48,"µ")+COUNTIF($E48:L48,1)),
HYPERLINK("#Roadmap!C"&amp; MATCH($E48,Roadmap!$D:$D,0)+COUNTIF($E48:L48,"u")+COUNTIF($E48:L48,"t"),
     INDEX(Roadmap!$D:$K,MATCH($E48,Roadmap!$D:$D,0)+COUNTIF($E48:L48,"u")+COUNTIF($E48:L48,"t")+COUNTIF($E48:L48,"¶")+COUNTIF($E48:L48,"²")+COUNTIF($E48:L48,"µ")+COUNTIF($E48:L48,1),ColTypeEcheance)),
  IF(LEN(L48)=1,
  IF(LEN(INDEX(Roadmap!$D:$K,MATCH($E48,Roadmap!$D:$D,0)-1+COUNTIF($E48:L48,"u")+COUNTIF($E48:L48,"t")+COUNTIF($E48:L48,"¶")+COUNTIF($E48:L48,"²")+COUNTIF($E48:L48,"µ")+COUNTIF($E48:L48,1),ColDescriptionCourte))&gt;1,
HYPERLINK("#Roadmap!C"&amp; MATCH($E48,Roadmap!$D:$D,0)+COUNTIF($E48:L48,"u")+COUNTIF($E48:L48,"t")+COUNTIF($E48:L48,"¶")+COUNTIF($E48:L48,"²")+COUNTIF($E48:L48,"µ")+COUNTIF($E48:L48,1)-1,INDEX(Roadmap!$D:$K,MATCH($E48,Roadmap!$D:$D,0)-1+COUNTIF($E48:L48,"u")+COUNTIF($E48:L48,"t")+COUNTIF($E48:L48,"¶")+COUNTIF($E48:L48,"²")+COUNTIF($E48:L48,"µ")+COUNTIF($E48:L48,1),ColDescriptionCourte)),""),
  "")),"")</f>
        <v/>
      </c>
      <c r="N48" s="40" t="str">
        <f ca="1">IFERROR(IF(AND(
  INDEX(Roadmap!$D:$K,MATCH($E48,Roadmap!$D:$D,0)+COUNTIF($E48:M48,"u")+COUNTIF($E48:M48,"t")+COUNTIF($E48:M48,"¶")+COUNTIF($E48:M48,"²")+COUNTIF($E48:M48,"µ")+COUNTIF($E48:M48,1),ColLivraison)=N$6,
  VLOOKUP($E48,INDIRECT("tri!"&amp; CHAR(64+ C0Col) &amp;":"&amp; CHAR(65+C0Col)),2,FALSE)&gt;COUNTIF($E48:M48,"u")+COUNTIF($E48:M48,"t")+COUNTIF($E48:M48,"¶")+COUNTIF($E48:M48,"²")+COUNTIF($E48:M48,"µ")+COUNTIF($E48:M48,1)),
HYPERLINK("#Roadmap!C"&amp; MATCH($E48,Roadmap!$D:$D,0)+COUNTIF($E48:M48,"u")+COUNTIF($E48:M48,"t"),
     INDEX(Roadmap!$D:$K,MATCH($E48,Roadmap!$D:$D,0)+COUNTIF($E48:M48,"u")+COUNTIF($E48:M48,"t")+COUNTIF($E48:M48,"¶")+COUNTIF($E48:M48,"²")+COUNTIF($E48:M48,"µ")+COUNTIF($E48:M48,1),ColTypeEcheance)),
  IF(LEN(M48)=1,
  IF(LEN(INDEX(Roadmap!$D:$K,MATCH($E48,Roadmap!$D:$D,0)-1+COUNTIF($E48:M48,"u")+COUNTIF($E48:M48,"t")+COUNTIF($E48:M48,"¶")+COUNTIF($E48:M48,"²")+COUNTIF($E48:M48,"µ")+COUNTIF($E48:M48,1),ColDescriptionCourte))&gt;1,
HYPERLINK("#Roadmap!C"&amp; MATCH($E48,Roadmap!$D:$D,0)+COUNTIF($E48:M48,"u")+COUNTIF($E48:M48,"t")+COUNTIF($E48:M48,"¶")+COUNTIF($E48:M48,"²")+COUNTIF($E48:M48,"µ")+COUNTIF($E48:M48,1)-1,INDEX(Roadmap!$D:$K,MATCH($E48,Roadmap!$D:$D,0)-1+COUNTIF($E48:M48,"u")+COUNTIF($E48:M48,"t")+COUNTIF($E48:M48,"¶")+COUNTIF($E48:M48,"²")+COUNTIF($E48:M48,"µ")+COUNTIF($E48:M48,1),ColDescriptionCourte)),""),
  "")),"")</f>
        <v/>
      </c>
      <c r="O48" s="40" t="str">
        <f ca="1">IFERROR(IF(AND(
  INDEX(Roadmap!$D:$K,MATCH($E48,Roadmap!$D:$D,0)+COUNTIF($E48:N48,"u")+COUNTIF($E48:N48,"t")+COUNTIF($E48:N48,"¶")+COUNTIF($E48:N48,"²")+COUNTIF($E48:N48,"µ")+COUNTIF($E48:N48,1),ColLivraison)=O$6,
  VLOOKUP($E48,INDIRECT("tri!"&amp; CHAR(64+ C0Col) &amp;":"&amp; CHAR(65+C0Col)),2,FALSE)&gt;COUNTIF($E48:N48,"u")+COUNTIF($E48:N48,"t")+COUNTIF($E48:N48,"¶")+COUNTIF($E48:N48,"²")+COUNTIF($E48:N48,"µ")+COUNTIF($E48:N48,1)),
HYPERLINK("#Roadmap!C"&amp; MATCH($E48,Roadmap!$D:$D,0)+COUNTIF($E48:N48,"u")+COUNTIF($E48:N48,"t"),
     INDEX(Roadmap!$D:$K,MATCH($E48,Roadmap!$D:$D,0)+COUNTIF($E48:N48,"u")+COUNTIF($E48:N48,"t")+COUNTIF($E48:N48,"¶")+COUNTIF($E48:N48,"²")+COUNTIF($E48:N48,"µ")+COUNTIF($E48:N48,1),ColTypeEcheance)),
  IF(LEN(N48)=1,
  IF(LEN(INDEX(Roadmap!$D:$K,MATCH($E48,Roadmap!$D:$D,0)-1+COUNTIF($E48:N48,"u")+COUNTIF($E48:N48,"t")+COUNTIF($E48:N48,"¶")+COUNTIF($E48:N48,"²")+COUNTIF($E48:N48,"µ")+COUNTIF($E48:N48,1),ColDescriptionCourte))&gt;1,
HYPERLINK("#Roadmap!C"&amp; MATCH($E48,Roadmap!$D:$D,0)+COUNTIF($E48:N48,"u")+COUNTIF($E48:N48,"t")+COUNTIF($E48:N48,"¶")+COUNTIF($E48:N48,"²")+COUNTIF($E48:N48,"µ")+COUNTIF($E48:N48,1)-1,INDEX(Roadmap!$D:$K,MATCH($E48,Roadmap!$D:$D,0)-1+COUNTIF($E48:N48,"u")+COUNTIF($E48:N48,"t")+COUNTIF($E48:N48,"¶")+COUNTIF($E48:N48,"²")+COUNTIF($E48:N48,"µ")+COUNTIF($E48:N48,1),ColDescriptionCourte)),""),
  "")),"")</f>
        <v/>
      </c>
      <c r="P48" s="40" t="str">
        <f ca="1">IFERROR(IF(AND(
  INDEX(Roadmap!$D:$K,MATCH($E48,Roadmap!$D:$D,0)+COUNTIF($E48:O48,"u")+COUNTIF($E48:O48,"t")+COUNTIF($E48:O48,"¶")+COUNTIF($E48:O48,"²")+COUNTIF($E48:O48,"µ")+COUNTIF($E48:O48,1),ColLivraison)=P$6,
  VLOOKUP($E48,INDIRECT("tri!"&amp; CHAR(64+ C0Col) &amp;":"&amp; CHAR(65+C0Col)),2,FALSE)&gt;COUNTIF($E48:O48,"u")+COUNTIF($E48:O48,"t")+COUNTIF($E48:O48,"¶")+COUNTIF($E48:O48,"²")+COUNTIF($E48:O48,"µ")+COUNTIF($E48:O48,1)),
HYPERLINK("#Roadmap!C"&amp; MATCH($E48,Roadmap!$D:$D,0)+COUNTIF($E48:O48,"u")+COUNTIF($E48:O48,"t"),
     INDEX(Roadmap!$D:$K,MATCH($E48,Roadmap!$D:$D,0)+COUNTIF($E48:O48,"u")+COUNTIF($E48:O48,"t")+COUNTIF($E48:O48,"¶")+COUNTIF($E48:O48,"²")+COUNTIF($E48:O48,"µ")+COUNTIF($E48:O48,1),ColTypeEcheance)),
  IF(LEN(O48)=1,
  IF(LEN(INDEX(Roadmap!$D:$K,MATCH($E48,Roadmap!$D:$D,0)-1+COUNTIF($E48:O48,"u")+COUNTIF($E48:O48,"t")+COUNTIF($E48:O48,"¶")+COUNTIF($E48:O48,"²")+COUNTIF($E48:O48,"µ")+COUNTIF($E48:O48,1),ColDescriptionCourte))&gt;1,
HYPERLINK("#Roadmap!C"&amp; MATCH($E48,Roadmap!$D:$D,0)+COUNTIF($E48:O48,"u")+COUNTIF($E48:O48,"t")+COUNTIF($E48:O48,"¶")+COUNTIF($E48:O48,"²")+COUNTIF($E48:O48,"µ")+COUNTIF($E48:O48,1)-1,INDEX(Roadmap!$D:$K,MATCH($E48,Roadmap!$D:$D,0)-1+COUNTIF($E48:O48,"u")+COUNTIF($E48:O48,"t")+COUNTIF($E48:O48,"¶")+COUNTIF($E48:O48,"²")+COUNTIF($E48:O48,"µ")+COUNTIF($E48:O48,1),ColDescriptionCourte)),""),
  "")),"")</f>
        <v/>
      </c>
      <c r="Q48" s="40" t="str">
        <f ca="1">IFERROR(IF(AND(
  INDEX(Roadmap!$D:$K,MATCH($E48,Roadmap!$D:$D,0)+COUNTIF($E48:P48,"u")+COUNTIF($E48:P48,"t")+COUNTIF($E48:P48,"¶")+COUNTIF($E48:P48,"²")+COUNTIF($E48:P48,"µ")+COUNTIF($E48:P48,1),ColLivraison)=Q$6,
  VLOOKUP($E48,INDIRECT("tri!"&amp; CHAR(64+ C0Col) &amp;":"&amp; CHAR(65+C0Col)),2,FALSE)&gt;COUNTIF($E48:P48,"u")+COUNTIF($E48:P48,"t")+COUNTIF($E48:P48,"¶")+COUNTIF($E48:P48,"²")+COUNTIF($E48:P48,"µ")+COUNTIF($E48:P48,1)),
HYPERLINK("#Roadmap!C"&amp; MATCH($E48,Roadmap!$D:$D,0)+COUNTIF($E48:P48,"u")+COUNTIF($E48:P48,"t"),
     INDEX(Roadmap!$D:$K,MATCH($E48,Roadmap!$D:$D,0)+COUNTIF($E48:P48,"u")+COUNTIF($E48:P48,"t")+COUNTIF($E48:P48,"¶")+COUNTIF($E48:P48,"²")+COUNTIF($E48:P48,"µ")+COUNTIF($E48:P48,1),ColTypeEcheance)),
  IF(LEN(P48)=1,
  IF(LEN(INDEX(Roadmap!$D:$K,MATCH($E48,Roadmap!$D:$D,0)-1+COUNTIF($E48:P48,"u")+COUNTIF($E48:P48,"t")+COUNTIF($E48:P48,"¶")+COUNTIF($E48:P48,"²")+COUNTIF($E48:P48,"µ")+COUNTIF($E48:P48,1),ColDescriptionCourte))&gt;1,
HYPERLINK("#Roadmap!C"&amp; MATCH($E48,Roadmap!$D:$D,0)+COUNTIF($E48:P48,"u")+COUNTIF($E48:P48,"t")+COUNTIF($E48:P48,"¶")+COUNTIF($E48:P48,"²")+COUNTIF($E48:P48,"µ")+COUNTIF($E48:P48,1)-1,INDEX(Roadmap!$D:$K,MATCH($E48,Roadmap!$D:$D,0)-1+COUNTIF($E48:P48,"u")+COUNTIF($E48:P48,"t")+COUNTIF($E48:P48,"¶")+COUNTIF($E48:P48,"²")+COUNTIF($E48:P48,"µ")+COUNTIF($E48:P48,1),ColDescriptionCourte)),""),
  "")),"")</f>
        <v/>
      </c>
      <c r="R48" s="40" t="str">
        <f ca="1">IFERROR(IF(AND(
  INDEX(Roadmap!$D:$K,MATCH($E48,Roadmap!$D:$D,0)+COUNTIF($E48:Q48,"u")+COUNTIF($E48:Q48,"t")+COUNTIF($E48:Q48,"¶")+COUNTIF($E48:Q48,"²")+COUNTIF($E48:Q48,"µ")+COUNTIF($E48:Q48,1),ColLivraison)=R$6,
  VLOOKUP($E48,INDIRECT("tri!"&amp; CHAR(64+ C0Col) &amp;":"&amp; CHAR(65+C0Col)),2,FALSE)&gt;COUNTIF($E48:Q48,"u")+COUNTIF($E48:Q48,"t")+COUNTIF($E48:Q48,"¶")+COUNTIF($E48:Q48,"²")+COUNTIF($E48:Q48,"µ")+COUNTIF($E48:Q48,1)),
HYPERLINK("#Roadmap!C"&amp; MATCH($E48,Roadmap!$D:$D,0)+COUNTIF($E48:Q48,"u")+COUNTIF($E48:Q48,"t"),
     INDEX(Roadmap!$D:$K,MATCH($E48,Roadmap!$D:$D,0)+COUNTIF($E48:Q48,"u")+COUNTIF($E48:Q48,"t")+COUNTIF($E48:Q48,"¶")+COUNTIF($E48:Q48,"²")+COUNTIF($E48:Q48,"µ")+COUNTIF($E48:Q48,1),ColTypeEcheance)),
  IF(LEN(Q48)=1,
  IF(LEN(INDEX(Roadmap!$D:$K,MATCH($E48,Roadmap!$D:$D,0)-1+COUNTIF($E48:Q48,"u")+COUNTIF($E48:Q48,"t")+COUNTIF($E48:Q48,"¶")+COUNTIF($E48:Q48,"²")+COUNTIF($E48:Q48,"µ")+COUNTIF($E48:Q48,1),ColDescriptionCourte))&gt;1,
HYPERLINK("#Roadmap!C"&amp; MATCH($E48,Roadmap!$D:$D,0)+COUNTIF($E48:Q48,"u")+COUNTIF($E48:Q48,"t")+COUNTIF($E48:Q48,"¶")+COUNTIF($E48:Q48,"²")+COUNTIF($E48:Q48,"µ")+COUNTIF($E48:Q48,1)-1,INDEX(Roadmap!$D:$K,MATCH($E48,Roadmap!$D:$D,0)-1+COUNTIF($E48:Q48,"u")+COUNTIF($E48:Q48,"t")+COUNTIF($E48:Q48,"¶")+COUNTIF($E48:Q48,"²")+COUNTIF($E48:Q48,"µ")+COUNTIF($E48:Q48,1),ColDescriptionCourte)),""),
  "")),"")</f>
        <v/>
      </c>
      <c r="S48" s="40" t="str">
        <f ca="1">IFERROR(IF(AND(
  INDEX(Roadmap!$D:$K,MATCH($E48,Roadmap!$D:$D,0)+COUNTIF($E48:R48,"u")+COUNTIF($E48:R48,"t")+COUNTIF($E48:R48,"¶")+COUNTIF($E48:R48,"²")+COUNTIF($E48:R48,"µ")+COUNTIF($E48:R48,1),ColLivraison)=S$6,
  VLOOKUP($E48,INDIRECT("tri!"&amp; CHAR(64+ C0Col) &amp;":"&amp; CHAR(65+C0Col)),2,FALSE)&gt;COUNTIF($E48:R48,"u")+COUNTIF($E48:R48,"t")+COUNTIF($E48:R48,"¶")+COUNTIF($E48:R48,"²")+COUNTIF($E48:R48,"µ")+COUNTIF($E48:R48,1)),
HYPERLINK("#Roadmap!C"&amp; MATCH($E48,Roadmap!$D:$D,0)+COUNTIF($E48:R48,"u")+COUNTIF($E48:R48,"t"),
     INDEX(Roadmap!$D:$K,MATCH($E48,Roadmap!$D:$D,0)+COUNTIF($E48:R48,"u")+COUNTIF($E48:R48,"t")+COUNTIF($E48:R48,"¶")+COUNTIF($E48:R48,"²")+COUNTIF($E48:R48,"µ")+COUNTIF($E48:R48,1),ColTypeEcheance)),
  IF(LEN(R48)=1,
  IF(LEN(INDEX(Roadmap!$D:$K,MATCH($E48,Roadmap!$D:$D,0)-1+COUNTIF($E48:R48,"u")+COUNTIF($E48:R48,"t")+COUNTIF($E48:R48,"¶")+COUNTIF($E48:R48,"²")+COUNTIF($E48:R48,"µ")+COUNTIF($E48:R48,1),ColDescriptionCourte))&gt;1,
HYPERLINK("#Roadmap!C"&amp; MATCH($E48,Roadmap!$D:$D,0)+COUNTIF($E48:R48,"u")+COUNTIF($E48:R48,"t")+COUNTIF($E48:R48,"¶")+COUNTIF($E48:R48,"²")+COUNTIF($E48:R48,"µ")+COUNTIF($E48:R48,1)-1,INDEX(Roadmap!$D:$K,MATCH($E48,Roadmap!$D:$D,0)-1+COUNTIF($E48:R48,"u")+COUNTIF($E48:R48,"t")+COUNTIF($E48:R48,"¶")+COUNTIF($E48:R48,"²")+COUNTIF($E48:R48,"µ")+COUNTIF($E48:R48,1),ColDescriptionCourte)),""),
  "")),"")</f>
        <v/>
      </c>
      <c r="T48" s="40" t="str">
        <f ca="1">IFERROR(IF(AND(
  INDEX(Roadmap!$D:$K,MATCH($E48,Roadmap!$D:$D,0)+COUNTIF($E48:S48,"u")+COUNTIF($E48:S48,"t")+COUNTIF($E48:S48,"¶")+COUNTIF($E48:S48,"²")+COUNTIF($E48:S48,"µ")+COUNTIF($E48:S48,1),ColLivraison)=T$6,
  VLOOKUP($E48,INDIRECT("tri!"&amp; CHAR(64+ C0Col) &amp;":"&amp; CHAR(65+C0Col)),2,FALSE)&gt;COUNTIF($E48:S48,"u")+COUNTIF($E48:S48,"t")+COUNTIF($E48:S48,"¶")+COUNTIF($E48:S48,"²")+COUNTIF($E48:S48,"µ")+COUNTIF($E48:S48,1)),
HYPERLINK("#Roadmap!C"&amp; MATCH($E48,Roadmap!$D:$D,0)+COUNTIF($E48:S48,"u")+COUNTIF($E48:S48,"t"),
     INDEX(Roadmap!$D:$K,MATCH($E48,Roadmap!$D:$D,0)+COUNTIF($E48:S48,"u")+COUNTIF($E48:S48,"t")+COUNTIF($E48:S48,"¶")+COUNTIF($E48:S48,"²")+COUNTIF($E48:S48,"µ")+COUNTIF($E48:S48,1),ColTypeEcheance)),
  IF(LEN(S48)=1,
  IF(LEN(INDEX(Roadmap!$D:$K,MATCH($E48,Roadmap!$D:$D,0)-1+COUNTIF($E48:S48,"u")+COUNTIF($E48:S48,"t")+COUNTIF($E48:S48,"¶")+COUNTIF($E48:S48,"²")+COUNTIF($E48:S48,"µ")+COUNTIF($E48:S48,1),ColDescriptionCourte))&gt;1,
HYPERLINK("#Roadmap!C"&amp; MATCH($E48,Roadmap!$D:$D,0)+COUNTIF($E48:S48,"u")+COUNTIF($E48:S48,"t")+COUNTIF($E48:S48,"¶")+COUNTIF($E48:S48,"²")+COUNTIF($E48:S48,"µ")+COUNTIF($E48:S48,1)-1,INDEX(Roadmap!$D:$K,MATCH($E48,Roadmap!$D:$D,0)-1+COUNTIF($E48:S48,"u")+COUNTIF($E48:S48,"t")+COUNTIF($E48:S48,"¶")+COUNTIF($E48:S48,"²")+COUNTIF($E48:S48,"µ")+COUNTIF($E48:S48,1),ColDescriptionCourte)),""),
  "")),"")</f>
        <v/>
      </c>
      <c r="U48" s="40" t="str">
        <f ca="1">IFERROR(IF(AND(
  INDEX(Roadmap!$D:$K,MATCH($E48,Roadmap!$D:$D,0)+COUNTIF($E48:T48,"u")+COUNTIF($E48:T48,"t")+COUNTIF($E48:T48,"¶")+COUNTIF($E48:T48,"²")+COUNTIF($E48:T48,"µ")+COUNTIF($E48:T48,1),ColLivraison)=U$6,
  VLOOKUP($E48,INDIRECT("tri!"&amp; CHAR(64+ C0Col) &amp;":"&amp; CHAR(65+C0Col)),2,FALSE)&gt;COUNTIF($E48:T48,"u")+COUNTIF($E48:T48,"t")+COUNTIF($E48:T48,"¶")+COUNTIF($E48:T48,"²")+COUNTIF($E48:T48,"µ")+COUNTIF($E48:T48,1)),
HYPERLINK("#Roadmap!C"&amp; MATCH($E48,Roadmap!$D:$D,0)+COUNTIF($E48:T48,"u")+COUNTIF($E48:T48,"t"),
     INDEX(Roadmap!$D:$K,MATCH($E48,Roadmap!$D:$D,0)+COUNTIF($E48:T48,"u")+COUNTIF($E48:T48,"t")+COUNTIF($E48:T48,"¶")+COUNTIF($E48:T48,"²")+COUNTIF($E48:T48,"µ")+COUNTIF($E48:T48,1),ColTypeEcheance)),
  IF(LEN(T48)=1,
  IF(LEN(INDEX(Roadmap!$D:$K,MATCH($E48,Roadmap!$D:$D,0)-1+COUNTIF($E48:T48,"u")+COUNTIF($E48:T48,"t")+COUNTIF($E48:T48,"¶")+COUNTIF($E48:T48,"²")+COUNTIF($E48:T48,"µ")+COUNTIF($E48:T48,1),ColDescriptionCourte))&gt;1,
HYPERLINK("#Roadmap!C"&amp; MATCH($E48,Roadmap!$D:$D,0)+COUNTIF($E48:T48,"u")+COUNTIF($E48:T48,"t")+COUNTIF($E48:T48,"¶")+COUNTIF($E48:T48,"²")+COUNTIF($E48:T48,"µ")+COUNTIF($E48:T48,1)-1,INDEX(Roadmap!$D:$K,MATCH($E48,Roadmap!$D:$D,0)-1+COUNTIF($E48:T48,"u")+COUNTIF($E48:T48,"t")+COUNTIF($E48:T48,"¶")+COUNTIF($E48:T48,"²")+COUNTIF($E48:T48,"µ")+COUNTIF($E48:T48,1),ColDescriptionCourte)),""),
  "")),"")</f>
        <v/>
      </c>
      <c r="V48" s="40" t="str">
        <f ca="1">IFERROR(IF(AND(
  INDEX(Roadmap!$D:$K,MATCH($E48,Roadmap!$D:$D,0)+COUNTIF($E48:U48,"u")+COUNTIF($E48:U48,"t")+COUNTIF($E48:U48,"¶")+COUNTIF($E48:U48,"²")+COUNTIF($E48:U48,"µ")+COUNTIF($E48:U48,1),ColLivraison)=V$6,
  VLOOKUP($E48,INDIRECT("tri!"&amp; CHAR(64+ C0Col) &amp;":"&amp; CHAR(65+C0Col)),2,FALSE)&gt;COUNTIF($E48:U48,"u")+COUNTIF($E48:U48,"t")+COUNTIF($E48:U48,"¶")+COUNTIF($E48:U48,"²")+COUNTIF($E48:U48,"µ")+COUNTIF($E48:U48,1)),
HYPERLINK("#Roadmap!C"&amp; MATCH($E48,Roadmap!$D:$D,0)+COUNTIF($E48:U48,"u")+COUNTIF($E48:U48,"t"),
     INDEX(Roadmap!$D:$K,MATCH($E48,Roadmap!$D:$D,0)+COUNTIF($E48:U48,"u")+COUNTIF($E48:U48,"t")+COUNTIF($E48:U48,"¶")+COUNTIF($E48:U48,"²")+COUNTIF($E48:U48,"µ")+COUNTIF($E48:U48,1),ColTypeEcheance)),
  IF(LEN(U48)=1,
  IF(LEN(INDEX(Roadmap!$D:$K,MATCH($E48,Roadmap!$D:$D,0)-1+COUNTIF($E48:U48,"u")+COUNTIF($E48:U48,"t")+COUNTIF($E48:U48,"¶")+COUNTIF($E48:U48,"²")+COUNTIF($E48:U48,"µ")+COUNTIF($E48:U48,1),ColDescriptionCourte))&gt;1,
HYPERLINK("#Roadmap!C"&amp; MATCH($E48,Roadmap!$D:$D,0)+COUNTIF($E48:U48,"u")+COUNTIF($E48:U48,"t")+COUNTIF($E48:U48,"¶")+COUNTIF($E48:U48,"²")+COUNTIF($E48:U48,"µ")+COUNTIF($E48:U48,1)-1,INDEX(Roadmap!$D:$K,MATCH($E48,Roadmap!$D:$D,0)-1+COUNTIF($E48:U48,"u")+COUNTIF($E48:U48,"t")+COUNTIF($E48:U48,"¶")+COUNTIF($E48:U48,"²")+COUNTIF($E48:U48,"µ")+COUNTIF($E48:U48,1),ColDescriptionCourte)),""),
  "")),"")</f>
        <v/>
      </c>
      <c r="W48" s="40" t="str">
        <f ca="1">IFERROR(IF(AND(
  INDEX(Roadmap!$D:$K,MATCH($E48,Roadmap!$D:$D,0)+COUNTIF($E48:V48,"u")+COUNTIF($E48:V48,"t")+COUNTIF($E48:V48,"¶")+COUNTIF($E48:V48,"²")+COUNTIF($E48:V48,"µ")+COUNTIF($E48:V48,1),ColLivraison)=W$6,
  VLOOKUP($E48,INDIRECT("tri!"&amp; CHAR(64+ C0Col) &amp;":"&amp; CHAR(65+C0Col)),2,FALSE)&gt;COUNTIF($E48:V48,"u")+COUNTIF($E48:V48,"t")+COUNTIF($E48:V48,"¶")+COUNTIF($E48:V48,"²")+COUNTIF($E48:V48,"µ")+COUNTIF($E48:V48,1)),
HYPERLINK("#Roadmap!C"&amp; MATCH($E48,Roadmap!$D:$D,0)+COUNTIF($E48:V48,"u")+COUNTIF($E48:V48,"t"),
     INDEX(Roadmap!$D:$K,MATCH($E48,Roadmap!$D:$D,0)+COUNTIF($E48:V48,"u")+COUNTIF($E48:V48,"t")+COUNTIF($E48:V48,"¶")+COUNTIF($E48:V48,"²")+COUNTIF($E48:V48,"µ")+COUNTIF($E48:V48,1),ColTypeEcheance)),
  IF(LEN(V48)=1,
  IF(LEN(INDEX(Roadmap!$D:$K,MATCH($E48,Roadmap!$D:$D,0)-1+COUNTIF($E48:V48,"u")+COUNTIF($E48:V48,"t")+COUNTIF($E48:V48,"¶")+COUNTIF($E48:V48,"²")+COUNTIF($E48:V48,"µ")+COUNTIF($E48:V48,1),ColDescriptionCourte))&gt;1,
HYPERLINK("#Roadmap!C"&amp; MATCH($E48,Roadmap!$D:$D,0)+COUNTIF($E48:V48,"u")+COUNTIF($E48:V48,"t")+COUNTIF($E48:V48,"¶")+COUNTIF($E48:V48,"²")+COUNTIF($E48:V48,"µ")+COUNTIF($E48:V48,1)-1,INDEX(Roadmap!$D:$K,MATCH($E48,Roadmap!$D:$D,0)-1+COUNTIF($E48:V48,"u")+COUNTIF($E48:V48,"t")+COUNTIF($E48:V48,"¶")+COUNTIF($E48:V48,"²")+COUNTIF($E48:V48,"µ")+COUNTIF($E48:V48,1),ColDescriptionCourte)),""),
  "")),"")</f>
        <v/>
      </c>
      <c r="X48" s="40" t="str">
        <f ca="1">IFERROR(IF(AND(
  INDEX(Roadmap!$D:$K,MATCH($E48,Roadmap!$D:$D,0)+COUNTIF($E48:W48,"u")+COUNTIF($E48:W48,"t")+COUNTIF($E48:W48,"¶")+COUNTIF($E48:W48,"²")+COUNTIF($E48:W48,"µ")+COUNTIF($E48:W48,1),ColLivraison)=X$6,
  VLOOKUP($E48,INDIRECT("tri!"&amp; CHAR(64+ C0Col) &amp;":"&amp; CHAR(65+C0Col)),2,FALSE)&gt;COUNTIF($E48:W48,"u")+COUNTIF($E48:W48,"t")+COUNTIF($E48:W48,"¶")+COUNTIF($E48:W48,"²")+COUNTIF($E48:W48,"µ")+COUNTIF($E48:W48,1)),
HYPERLINK("#Roadmap!C"&amp; MATCH($E48,Roadmap!$D:$D,0)+COUNTIF($E48:W48,"u")+COUNTIF($E48:W48,"t"),
     INDEX(Roadmap!$D:$K,MATCH($E48,Roadmap!$D:$D,0)+COUNTIF($E48:W48,"u")+COUNTIF($E48:W48,"t")+COUNTIF($E48:W48,"¶")+COUNTIF($E48:W48,"²")+COUNTIF($E48:W48,"µ")+COUNTIF($E48:W48,1),ColTypeEcheance)),
  IF(LEN(W48)=1,
  IF(LEN(INDEX(Roadmap!$D:$K,MATCH($E48,Roadmap!$D:$D,0)-1+COUNTIF($E48:W48,"u")+COUNTIF($E48:W48,"t")+COUNTIF($E48:W48,"¶")+COUNTIF($E48:W48,"²")+COUNTIF($E48:W48,"µ")+COUNTIF($E48:W48,1),ColDescriptionCourte))&gt;1,
HYPERLINK("#Roadmap!C"&amp; MATCH($E48,Roadmap!$D:$D,0)+COUNTIF($E48:W48,"u")+COUNTIF($E48:W48,"t")+COUNTIF($E48:W48,"¶")+COUNTIF($E48:W48,"²")+COUNTIF($E48:W48,"µ")+COUNTIF($E48:W48,1)-1,INDEX(Roadmap!$D:$K,MATCH($E48,Roadmap!$D:$D,0)-1+COUNTIF($E48:W48,"u")+COUNTIF($E48:W48,"t")+COUNTIF($E48:W48,"¶")+COUNTIF($E48:W48,"²")+COUNTIF($E48:W48,"µ")+COUNTIF($E48:W48,1),ColDescriptionCourte)),""),
  "")),"")</f>
        <v/>
      </c>
      <c r="Y48" s="40" t="str">
        <f ca="1">IFERROR(IF(AND(
  INDEX(Roadmap!$D:$K,MATCH($E48,Roadmap!$D:$D,0)+COUNTIF($E48:X48,"u")+COUNTIF($E48:X48,"t")+COUNTIF($E48:X48,"¶")+COUNTIF($E48:X48,"²")+COUNTIF($E48:X48,"µ")+COUNTIF($E48:X48,1),ColLivraison)=Y$6,
  VLOOKUP($E48,INDIRECT("tri!"&amp; CHAR(64+ C0Col) &amp;":"&amp; CHAR(65+C0Col)),2,FALSE)&gt;COUNTIF($E48:X48,"u")+COUNTIF($E48:X48,"t")+COUNTIF($E48:X48,"¶")+COUNTIF($E48:X48,"²")+COUNTIF($E48:X48,"µ")+COUNTIF($E48:X48,1)),
HYPERLINK("#Roadmap!C"&amp; MATCH($E48,Roadmap!$D:$D,0)+COUNTIF($E48:X48,"u")+COUNTIF($E48:X48,"t"),
     INDEX(Roadmap!$D:$K,MATCH($E48,Roadmap!$D:$D,0)+COUNTIF($E48:X48,"u")+COUNTIF($E48:X48,"t")+COUNTIF($E48:X48,"¶")+COUNTIF($E48:X48,"²")+COUNTIF($E48:X48,"µ")+COUNTIF($E48:X48,1),ColTypeEcheance)),
  IF(LEN(X48)=1,
  IF(LEN(INDEX(Roadmap!$D:$K,MATCH($E48,Roadmap!$D:$D,0)-1+COUNTIF($E48:X48,"u")+COUNTIF($E48:X48,"t")+COUNTIF($E48:X48,"¶")+COUNTIF($E48:X48,"²")+COUNTIF($E48:X48,"µ")+COUNTIF($E48:X48,1),ColDescriptionCourte))&gt;1,
HYPERLINK("#Roadmap!C"&amp; MATCH($E48,Roadmap!$D:$D,0)+COUNTIF($E48:X48,"u")+COUNTIF($E48:X48,"t")+COUNTIF($E48:X48,"¶")+COUNTIF($E48:X48,"²")+COUNTIF($E48:X48,"µ")+COUNTIF($E48:X48,1)-1,INDEX(Roadmap!$D:$K,MATCH($E48,Roadmap!$D:$D,0)-1+COUNTIF($E48:X48,"u")+COUNTIF($E48:X48,"t")+COUNTIF($E48:X48,"¶")+COUNTIF($E48:X48,"²")+COUNTIF($E48:X48,"µ")+COUNTIF($E48:X48,1),ColDescriptionCourte)),""),
  "")),"")</f>
        <v/>
      </c>
      <c r="Z48" s="40" t="str">
        <f ca="1">IFERROR(IF(AND(
  INDEX(Roadmap!$D:$K,MATCH($E48,Roadmap!$D:$D,0)+COUNTIF($E48:Y48,"u")+COUNTIF($E48:Y48,"t")+COUNTIF($E48:Y48,"¶")+COUNTIF($E48:Y48,"²")+COUNTIF($E48:Y48,"µ")+COUNTIF($E48:Y48,1),ColLivraison)=Z$6,
  VLOOKUP($E48,INDIRECT("tri!"&amp; CHAR(64+ C0Col) &amp;":"&amp; CHAR(65+C0Col)),2,FALSE)&gt;COUNTIF($E48:Y48,"u")+COUNTIF($E48:Y48,"t")+COUNTIF($E48:Y48,"¶")+COUNTIF($E48:Y48,"²")+COUNTIF($E48:Y48,"µ")+COUNTIF($E48:Y48,1)),
HYPERLINK("#Roadmap!C"&amp; MATCH($E48,Roadmap!$D:$D,0)+COUNTIF($E48:Y48,"u")+COUNTIF($E48:Y48,"t"),
     INDEX(Roadmap!$D:$K,MATCH($E48,Roadmap!$D:$D,0)+COUNTIF($E48:Y48,"u")+COUNTIF($E48:Y48,"t")+COUNTIF($E48:Y48,"¶")+COUNTIF($E48:Y48,"²")+COUNTIF($E48:Y48,"µ")+COUNTIF($E48:Y48,1),ColTypeEcheance)),
  IF(LEN(Y48)=1,
  IF(LEN(INDEX(Roadmap!$D:$K,MATCH($E48,Roadmap!$D:$D,0)-1+COUNTIF($E48:Y48,"u")+COUNTIF($E48:Y48,"t")+COUNTIF($E48:Y48,"¶")+COUNTIF($E48:Y48,"²")+COUNTIF($E48:Y48,"µ")+COUNTIF($E48:Y48,1),ColDescriptionCourte))&gt;1,
HYPERLINK("#Roadmap!C"&amp; MATCH($E48,Roadmap!$D:$D,0)+COUNTIF($E48:Y48,"u")+COUNTIF($E48:Y48,"t")+COUNTIF($E48:Y48,"¶")+COUNTIF($E48:Y48,"²")+COUNTIF($E48:Y48,"µ")+COUNTIF($E48:Y48,1)-1,INDEX(Roadmap!$D:$K,MATCH($E48,Roadmap!$D:$D,0)-1+COUNTIF($E48:Y48,"u")+COUNTIF($E48:Y48,"t")+COUNTIF($E48:Y48,"¶")+COUNTIF($E48:Y48,"²")+COUNTIF($E48:Y48,"µ")+COUNTIF($E48:Y48,1),ColDescriptionCourte)),""),
  "")),"")</f>
        <v/>
      </c>
      <c r="AA48" s="40" t="str">
        <f ca="1">IFERROR(IF(AND(
  INDEX(Roadmap!$D:$K,MATCH($E48,Roadmap!$D:$D,0)+COUNTIF($E48:Z48,"u")+COUNTIF($E48:Z48,"t")+COUNTIF($E48:Z48,"¶")+COUNTIF($E48:Z48,"²")+COUNTIF($E48:Z48,"µ")+COUNTIF($E48:Z48,1),ColLivraison)=AA$6,
  VLOOKUP($E48,INDIRECT("tri!"&amp; CHAR(64+ C0Col) &amp;":"&amp; CHAR(65+C0Col)),2,FALSE)&gt;COUNTIF($E48:Z48,"u")+COUNTIF($E48:Z48,"t")+COUNTIF($E48:Z48,"¶")+COUNTIF($E48:Z48,"²")+COUNTIF($E48:Z48,"µ")+COUNTIF($E48:Z48,1)),
HYPERLINK("#Roadmap!C"&amp; MATCH($E48,Roadmap!$D:$D,0)+COUNTIF($E48:Z48,"u")+COUNTIF($E48:Z48,"t"),
     INDEX(Roadmap!$D:$K,MATCH($E48,Roadmap!$D:$D,0)+COUNTIF($E48:Z48,"u")+COUNTIF($E48:Z48,"t")+COUNTIF($E48:Z48,"¶")+COUNTIF($E48:Z48,"²")+COUNTIF($E48:Z48,"µ")+COUNTIF($E48:Z48,1),ColTypeEcheance)),
  IF(LEN(Z48)=1,
  IF(LEN(INDEX(Roadmap!$D:$K,MATCH($E48,Roadmap!$D:$D,0)-1+COUNTIF($E48:Z48,"u")+COUNTIF($E48:Z48,"t")+COUNTIF($E48:Z48,"¶")+COUNTIF($E48:Z48,"²")+COUNTIF($E48:Z48,"µ")+COUNTIF($E48:Z48,1),ColDescriptionCourte))&gt;1,
HYPERLINK("#Roadmap!C"&amp; MATCH($E48,Roadmap!$D:$D,0)+COUNTIF($E48:Z48,"u")+COUNTIF($E48:Z48,"t")+COUNTIF($E48:Z48,"¶")+COUNTIF($E48:Z48,"²")+COUNTIF($E48:Z48,"µ")+COUNTIF($E48:Z48,1)-1,INDEX(Roadmap!$D:$K,MATCH($E48,Roadmap!$D:$D,0)-1+COUNTIF($E48:Z48,"u")+COUNTIF($E48:Z48,"t")+COUNTIF($E48:Z48,"¶")+COUNTIF($E48:Z48,"²")+COUNTIF($E48:Z48,"µ")+COUNTIF($E48:Z48,1),ColDescriptionCourte)),""),
  "")),"")</f>
        <v/>
      </c>
      <c r="AB48" s="40" t="str">
        <f ca="1">IFERROR(IF(AND(
  INDEX(Roadmap!$D:$K,MATCH($E48,Roadmap!$D:$D,0)+COUNTIF($E48:AA48,"u")+COUNTIF($E48:AA48,"t")+COUNTIF($E48:AA48,"¶")+COUNTIF($E48:AA48,"²")+COUNTIF($E48:AA48,"µ")+COUNTIF($E48:AA48,1),ColLivraison)=AB$6,
  VLOOKUP($E48,INDIRECT("tri!"&amp; CHAR(64+ C0Col) &amp;":"&amp; CHAR(65+C0Col)),2,FALSE)&gt;COUNTIF($E48:AA48,"u")+COUNTIF($E48:AA48,"t")+COUNTIF($E48:AA48,"¶")+COUNTIF($E48:AA48,"²")+COUNTIF($E48:AA48,"µ")+COUNTIF($E48:AA48,1)),
HYPERLINK("#Roadmap!C"&amp; MATCH($E48,Roadmap!$D:$D,0)+COUNTIF($E48:AA48,"u")+COUNTIF($E48:AA48,"t"),
     INDEX(Roadmap!$D:$K,MATCH($E48,Roadmap!$D:$D,0)+COUNTIF($E48:AA48,"u")+COUNTIF($E48:AA48,"t")+COUNTIF($E48:AA48,"¶")+COUNTIF($E48:AA48,"²")+COUNTIF($E48:AA48,"µ")+COUNTIF($E48:AA48,1),ColTypeEcheance)),
  IF(LEN(AA48)=1,
  IF(LEN(INDEX(Roadmap!$D:$K,MATCH($E48,Roadmap!$D:$D,0)-1+COUNTIF($E48:AA48,"u")+COUNTIF($E48:AA48,"t")+COUNTIF($E48:AA48,"¶")+COUNTIF($E48:AA48,"²")+COUNTIF($E48:AA48,"µ")+COUNTIF($E48:AA48,1),ColDescriptionCourte))&gt;1,
HYPERLINK("#Roadmap!C"&amp; MATCH($E48,Roadmap!$D:$D,0)+COUNTIF($E48:AA48,"u")+COUNTIF($E48:AA48,"t")+COUNTIF($E48:AA48,"¶")+COUNTIF($E48:AA48,"²")+COUNTIF($E48:AA48,"µ")+COUNTIF($E48:AA48,1)-1,INDEX(Roadmap!$D:$K,MATCH($E48,Roadmap!$D:$D,0)-1+COUNTIF($E48:AA48,"u")+COUNTIF($E48:AA48,"t")+COUNTIF($E48:AA48,"¶")+COUNTIF($E48:AA48,"²")+COUNTIF($E48:AA48,"µ")+COUNTIF($E48:AA48,1),ColDescriptionCourte)),""),
  "")),"")</f>
        <v/>
      </c>
      <c r="AC48" s="40" t="str">
        <f ca="1">IFERROR(IF(AND(
  INDEX(Roadmap!$D:$K,MATCH($E48,Roadmap!$D:$D,0)+COUNTIF($E48:AB48,"u")+COUNTIF($E48:AB48,"t")+COUNTIF($E48:AB48,"¶")+COUNTIF($E48:AB48,"²")+COUNTIF($E48:AB48,"µ")+COUNTIF($E48:AB48,1),ColLivraison)=AC$6,
  VLOOKUP($E48,INDIRECT("tri!"&amp; CHAR(64+ C0Col) &amp;":"&amp; CHAR(65+C0Col)),2,FALSE)&gt;COUNTIF($E48:AB48,"u")+COUNTIF($E48:AB48,"t")+COUNTIF($E48:AB48,"¶")+COUNTIF($E48:AB48,"²")+COUNTIF($E48:AB48,"µ")+COUNTIF($E48:AB48,1)),
HYPERLINK("#Roadmap!C"&amp; MATCH($E48,Roadmap!$D:$D,0)+COUNTIF($E48:AB48,"u")+COUNTIF($E48:AB48,"t"),
     INDEX(Roadmap!$D:$K,MATCH($E48,Roadmap!$D:$D,0)+COUNTIF($E48:AB48,"u")+COUNTIF($E48:AB48,"t")+COUNTIF($E48:AB48,"¶")+COUNTIF($E48:AB48,"²")+COUNTIF($E48:AB48,"µ")+COUNTIF($E48:AB48,1),ColTypeEcheance)),
  IF(LEN(AB48)=1,
  IF(LEN(INDEX(Roadmap!$D:$K,MATCH($E48,Roadmap!$D:$D,0)-1+COUNTIF($E48:AB48,"u")+COUNTIF($E48:AB48,"t")+COUNTIF($E48:AB48,"¶")+COUNTIF($E48:AB48,"²")+COUNTIF($E48:AB48,"µ")+COUNTIF($E48:AB48,1),ColDescriptionCourte))&gt;1,
HYPERLINK("#Roadmap!C"&amp; MATCH($E48,Roadmap!$D:$D,0)+COUNTIF($E48:AB48,"u")+COUNTIF($E48:AB48,"t")+COUNTIF($E48:AB48,"¶")+COUNTIF($E48:AB48,"²")+COUNTIF($E48:AB48,"µ")+COUNTIF($E48:AB48,1)-1,INDEX(Roadmap!$D:$K,MATCH($E48,Roadmap!$D:$D,0)-1+COUNTIF($E48:AB48,"u")+COUNTIF($E48:AB48,"t")+COUNTIF($E48:AB48,"¶")+COUNTIF($E48:AB48,"²")+COUNTIF($E48:AB48,"µ")+COUNTIF($E48:AB48,1),ColDescriptionCourte)),""),
  "")),"")</f>
        <v/>
      </c>
      <c r="AD48" s="40" t="str">
        <f ca="1">IFERROR(IF(AND(
  INDEX(Roadmap!$D:$K,MATCH($E48,Roadmap!$D:$D,0)+COUNTIF($E48:AC48,"u")+COUNTIF($E48:AC48,"t")+COUNTIF($E48:AC48,"¶")+COUNTIF($E48:AC48,"²")+COUNTIF($E48:AC48,"µ")+COUNTIF($E48:AC48,1),ColLivraison)=AD$6,
  VLOOKUP($E48,INDIRECT("tri!"&amp; CHAR(64+ C0Col) &amp;":"&amp; CHAR(65+C0Col)),2,FALSE)&gt;COUNTIF($E48:AC48,"u")+COUNTIF($E48:AC48,"t")+COUNTIF($E48:AC48,"¶")+COUNTIF($E48:AC48,"²")+COUNTIF($E48:AC48,"µ")+COUNTIF($E48:AC48,1)),
HYPERLINK("#Roadmap!C"&amp; MATCH($E48,Roadmap!$D:$D,0)+COUNTIF($E48:AC48,"u")+COUNTIF($E48:AC48,"t"),
     INDEX(Roadmap!$D:$K,MATCH($E48,Roadmap!$D:$D,0)+COUNTIF($E48:AC48,"u")+COUNTIF($E48:AC48,"t")+COUNTIF($E48:AC48,"¶")+COUNTIF($E48:AC48,"²")+COUNTIF($E48:AC48,"µ")+COUNTIF($E48:AC48,1),ColTypeEcheance)),
  IF(LEN(AC48)=1,
  IF(LEN(INDEX(Roadmap!$D:$K,MATCH($E48,Roadmap!$D:$D,0)-1+COUNTIF($E48:AC48,"u")+COUNTIF($E48:AC48,"t")+COUNTIF($E48:AC48,"¶")+COUNTIF($E48:AC48,"²")+COUNTIF($E48:AC48,"µ")+COUNTIF($E48:AC48,1),ColDescriptionCourte))&gt;1,
HYPERLINK("#Roadmap!C"&amp; MATCH($E48,Roadmap!$D:$D,0)+COUNTIF($E48:AC48,"u")+COUNTIF($E48:AC48,"t")+COUNTIF($E48:AC48,"¶")+COUNTIF($E48:AC48,"²")+COUNTIF($E48:AC48,"µ")+COUNTIF($E48:AC48,1)-1,INDEX(Roadmap!$D:$K,MATCH($E48,Roadmap!$D:$D,0)-1+COUNTIF($E48:AC48,"u")+COUNTIF($E48:AC48,"t")+COUNTIF($E48:AC48,"¶")+COUNTIF($E48:AC48,"²")+COUNTIF($E48:AC48,"µ")+COUNTIF($E48:AC48,1),ColDescriptionCourte)),""),
  "")),"")</f>
        <v/>
      </c>
      <c r="AE48" s="40" t="str">
        <f ca="1">IFERROR(IF(AND(
  INDEX(Roadmap!$D:$K,MATCH($E48,Roadmap!$D:$D,0)+COUNTIF($E48:AD48,"u")+COUNTIF($E48:AD48,"t")+COUNTIF($E48:AD48,"¶")+COUNTIF($E48:AD48,"²")+COUNTIF($E48:AD48,"µ")+COUNTIF($E48:AD48,1),ColLivraison)=AE$6,
  VLOOKUP($E48,INDIRECT("tri!"&amp; CHAR(64+ C0Col) &amp;":"&amp; CHAR(65+C0Col)),2,FALSE)&gt;COUNTIF($E48:AD48,"u")+COUNTIF($E48:AD48,"t")+COUNTIF($E48:AD48,"¶")+COUNTIF($E48:AD48,"²")+COUNTIF($E48:AD48,"µ")+COUNTIF($E48:AD48,1)),
HYPERLINK("#Roadmap!C"&amp; MATCH($E48,Roadmap!$D:$D,0)+COUNTIF($E48:AD48,"u")+COUNTIF($E48:AD48,"t"),
     INDEX(Roadmap!$D:$K,MATCH($E48,Roadmap!$D:$D,0)+COUNTIF($E48:AD48,"u")+COUNTIF($E48:AD48,"t")+COUNTIF($E48:AD48,"¶")+COUNTIF($E48:AD48,"²")+COUNTIF($E48:AD48,"µ")+COUNTIF($E48:AD48,1),ColTypeEcheance)),
  IF(LEN(AD48)=1,
  IF(LEN(INDEX(Roadmap!$D:$K,MATCH($E48,Roadmap!$D:$D,0)-1+COUNTIF($E48:AD48,"u")+COUNTIF($E48:AD48,"t")+COUNTIF($E48:AD48,"¶")+COUNTIF($E48:AD48,"²")+COUNTIF($E48:AD48,"µ")+COUNTIF($E48:AD48,1),ColDescriptionCourte))&gt;1,
HYPERLINK("#Roadmap!C"&amp; MATCH($E48,Roadmap!$D:$D,0)+COUNTIF($E48:AD48,"u")+COUNTIF($E48:AD48,"t")+COUNTIF($E48:AD48,"¶")+COUNTIF($E48:AD48,"²")+COUNTIF($E48:AD48,"µ")+COUNTIF($E48:AD48,1)-1,INDEX(Roadmap!$D:$K,MATCH($E48,Roadmap!$D:$D,0)-1+COUNTIF($E48:AD48,"u")+COUNTIF($E48:AD48,"t")+COUNTIF($E48:AD48,"¶")+COUNTIF($E48:AD48,"²")+COUNTIF($E48:AD48,"µ")+COUNTIF($E48:AD48,1),ColDescriptionCourte)),""),
  "")),"")</f>
        <v/>
      </c>
      <c r="AF48" s="40" t="str">
        <f ca="1">IFERROR(IF(AND(
  INDEX(Roadmap!$D:$K,MATCH($E48,Roadmap!$D:$D,0)+COUNTIF($E48:AE48,"u")+COUNTIF($E48:AE48,"t")+COUNTIF($E48:AE48,"¶")+COUNTIF($E48:AE48,"²")+COUNTIF($E48:AE48,"µ")+COUNTIF($E48:AE48,1),ColLivraison)=AF$6,
  VLOOKUP($E48,INDIRECT("tri!"&amp; CHAR(64+ C0Col) &amp;":"&amp; CHAR(65+C0Col)),2,FALSE)&gt;COUNTIF($E48:AE48,"u")+COUNTIF($E48:AE48,"t")+COUNTIF($E48:AE48,"¶")+COUNTIF($E48:AE48,"²")+COUNTIF($E48:AE48,"µ")+COUNTIF($E48:AE48,1)),
HYPERLINK("#Roadmap!C"&amp; MATCH($E48,Roadmap!$D:$D,0)+COUNTIF($E48:AE48,"u")+COUNTIF($E48:AE48,"t"),
     INDEX(Roadmap!$D:$K,MATCH($E48,Roadmap!$D:$D,0)+COUNTIF($E48:AE48,"u")+COUNTIF($E48:AE48,"t")+COUNTIF($E48:AE48,"¶")+COUNTIF($E48:AE48,"²")+COUNTIF($E48:AE48,"µ")+COUNTIF($E48:AE48,1),ColTypeEcheance)),
  IF(LEN(AE48)=1,
  IF(LEN(INDEX(Roadmap!$D:$K,MATCH($E48,Roadmap!$D:$D,0)-1+COUNTIF($E48:AE48,"u")+COUNTIF($E48:AE48,"t")+COUNTIF($E48:AE48,"¶")+COUNTIF($E48:AE48,"²")+COUNTIF($E48:AE48,"µ")+COUNTIF($E48:AE48,1),ColDescriptionCourte))&gt;1,
HYPERLINK("#Roadmap!C"&amp; MATCH($E48,Roadmap!$D:$D,0)+COUNTIF($E48:AE48,"u")+COUNTIF($E48:AE48,"t")+COUNTIF($E48:AE48,"¶")+COUNTIF($E48:AE48,"²")+COUNTIF($E48:AE48,"µ")+COUNTIF($E48:AE48,1)-1,INDEX(Roadmap!$D:$K,MATCH($E48,Roadmap!$D:$D,0)-1+COUNTIF($E48:AE48,"u")+COUNTIF($E48:AE48,"t")+COUNTIF($E48:AE48,"¶")+COUNTIF($E48:AE48,"²")+COUNTIF($E48:AE48,"µ")+COUNTIF($E48:AE48,1),ColDescriptionCourte)),""),
  "")),"")</f>
        <v/>
      </c>
      <c r="AG48" s="40" t="str">
        <f ca="1">IFERROR(IF(AND(
  INDEX(Roadmap!$D:$K,MATCH($E48,Roadmap!$D:$D,0)+COUNTIF($E48:AF48,"u")+COUNTIF($E48:AF48,"t")+COUNTIF($E48:AF48,"¶")+COUNTIF($E48:AF48,"²")+COUNTIF($E48:AF48,"µ")+COUNTIF($E48:AF48,1),ColLivraison)=AG$6,
  VLOOKUP($E48,INDIRECT("tri!"&amp; CHAR(64+ C0Col) &amp;":"&amp; CHAR(65+C0Col)),2,FALSE)&gt;COUNTIF($E48:AF48,"u")+COUNTIF($E48:AF48,"t")+COUNTIF($E48:AF48,"¶")+COUNTIF($E48:AF48,"²")+COUNTIF($E48:AF48,"µ")+COUNTIF($E48:AF48,1)),
HYPERLINK("#Roadmap!C"&amp; MATCH($E48,Roadmap!$D:$D,0)+COUNTIF($E48:AF48,"u")+COUNTIF($E48:AF48,"t"),
     INDEX(Roadmap!$D:$K,MATCH($E48,Roadmap!$D:$D,0)+COUNTIF($E48:AF48,"u")+COUNTIF($E48:AF48,"t")+COUNTIF($E48:AF48,"¶")+COUNTIF($E48:AF48,"²")+COUNTIF($E48:AF48,"µ")+COUNTIF($E48:AF48,1),ColTypeEcheance)),
  IF(LEN(AF48)=1,
  IF(LEN(INDEX(Roadmap!$D:$K,MATCH($E48,Roadmap!$D:$D,0)-1+COUNTIF($E48:AF48,"u")+COUNTIF($E48:AF48,"t")+COUNTIF($E48:AF48,"¶")+COUNTIF($E48:AF48,"²")+COUNTIF($E48:AF48,"µ")+COUNTIF($E48:AF48,1),ColDescriptionCourte))&gt;1,
HYPERLINK("#Roadmap!C"&amp; MATCH($E48,Roadmap!$D:$D,0)+COUNTIF($E48:AF48,"u")+COUNTIF($E48:AF48,"t")+COUNTIF($E48:AF48,"¶")+COUNTIF($E48:AF48,"²")+COUNTIF($E48:AF48,"µ")+COUNTIF($E48:AF48,1)-1,INDEX(Roadmap!$D:$K,MATCH($E48,Roadmap!$D:$D,0)-1+COUNTIF($E48:AF48,"u")+COUNTIF($E48:AF48,"t")+COUNTIF($E48:AF48,"¶")+COUNTIF($E48:AF48,"²")+COUNTIF($E48:AF48,"µ")+COUNTIF($E48:AF48,1),ColDescriptionCourte)),""),
  "")),"")</f>
        <v/>
      </c>
    </row>
    <row r="49" spans="3:33" ht="14.25" customHeight="1">
      <c r="C49" s="1" t="str">
        <f t="shared" ca="1" si="44"/>
        <v/>
      </c>
      <c r="D49" s="1" t="str">
        <f t="shared" ca="1" si="45"/>
        <v/>
      </c>
      <c r="E49" s="35" t="str">
        <f t="shared" ca="1" si="33"/>
        <v/>
      </c>
      <c r="F49" s="39" t="str">
        <f ca="1">IFERROR(IF(AND(
  INDEX(Roadmap!$D:$K,MATCH($E49,Roadmap!$D:$D,0)+COUNTIF($E49:E49,"u")+COUNTIF($E49:E49,"t")+COUNTIF($E49:E49,"¶")+COUNTIF($E49:E49,"²")+COUNTIF($E49:E49,"µ")+COUNTIF($E49:E49,1),ColLivraison)=F$6,
  VLOOKUP($E49,INDIRECT("tri!"&amp; CHAR(64+ C0Col) &amp;":"&amp; CHAR(65+C0Col)),2,FALSE)&gt;COUNTIF($E49:E49,"u")+COUNTIF($E49:E49,"t")+COUNTIF($E49:E49,"¶")+COUNTIF($E49:E49,"²")+COUNTIF($E49:E49,"µ")+COUNTIF($E49:E49,1)),
HYPERLINK("#Roadmap!C"&amp; MATCH($E49,Roadmap!$D:$D,0)+COUNTIF($E49:E49,"u")+COUNTIF($E49:E49,"t"),
     INDEX(Roadmap!$D:$K,MATCH($E49,Roadmap!$D:$D,0)+COUNTIF($E49:E49,"u")+COUNTIF($E49:E49,"t")+COUNTIF($E49:E49,"¶")+COUNTIF($E49:E49,"²")+COUNTIF($E49:E49,"µ")+COUNTIF($E49:E49,1),ColTypeEcheance)),
  IF(LEN(E49)=1,
  IF(LEN(INDEX(Roadmap!$D:$K,MATCH($E49,Roadmap!$D:$D,0)-1+COUNTIF($E49:E49,"u")+COUNTIF($E49:E49,"t")+COUNTIF($E49:E49,"¶")+COUNTIF($E49:E49,"²")+COUNTIF($E49:E49,"µ")+COUNTIF($E49:E49,1),ColDescriptionCourte))&gt;1,
HYPERLINK("#Roadmap!C"&amp; MATCH($E49,Roadmap!$D:$D,0)+COUNTIF($E49:E49,"u")+COUNTIF($E49:E49,"t")+COUNTIF($E49:E49,"¶")+COUNTIF($E49:E49,"²")+COUNTIF($E49:E49,"µ")+COUNTIF($E49:E49,1)-1,INDEX(Roadmap!$D:$K,MATCH($E49,Roadmap!$D:$D,0)-1+COUNTIF($E49:E49,"u")+COUNTIF($E49:E49,"t")+COUNTIF($E49:E49,"¶")+COUNTIF($E49:E49,"²")+COUNTIF($E49:E49,"µ")+COUNTIF($E49:E49,1),ColDescriptionCourte)),""),
  "")),"")</f>
        <v/>
      </c>
      <c r="G49" s="40" t="str">
        <f ca="1">IFERROR(IF(AND(
  INDEX(Roadmap!$D:$K,MATCH($E49,Roadmap!$D:$D,0)+COUNTIF($E49:F49,"u")+COUNTIF($E49:F49,"t")+COUNTIF($E49:F49,"¶")+COUNTIF($E49:F49,"²")+COUNTIF($E49:F49,"µ")+COUNTIF($E49:F49,1),ColLivraison)=G$6,
  VLOOKUP($E49,INDIRECT("tri!"&amp; CHAR(64+ C0Col) &amp;":"&amp; CHAR(65+C0Col)),2,FALSE)&gt;COUNTIF($E49:F49,"u")+COUNTIF($E49:F49,"t")+COUNTIF($E49:F49,"¶")+COUNTIF($E49:F49,"²")+COUNTIF($E49:F49,"µ")+COUNTIF($E49:F49,1)),
HYPERLINK("#Roadmap!C"&amp; MATCH($E49,Roadmap!$D:$D,0)+COUNTIF($E49:F49,"u")+COUNTIF($E49:F49,"t"),
     INDEX(Roadmap!$D:$K,MATCH($E49,Roadmap!$D:$D,0)+COUNTIF($E49:F49,"u")+COUNTIF($E49:F49,"t")+COUNTIF($E49:F49,"¶")+COUNTIF($E49:F49,"²")+COUNTIF($E49:F49,"µ")+COUNTIF($E49:F49,1),ColTypeEcheance)),
  IF(LEN(F49)=1,
  IF(LEN(INDEX(Roadmap!$D:$K,MATCH($E49,Roadmap!$D:$D,0)-1+COUNTIF($E49:F49,"u")+COUNTIF($E49:F49,"t")+COUNTIF($E49:F49,"¶")+COUNTIF($E49:F49,"²")+COUNTIF($E49:F49,"µ")+COUNTIF($E49:F49,1),ColDescriptionCourte))&gt;1,
HYPERLINK("#Roadmap!C"&amp; MATCH($E49,Roadmap!$D:$D,0)+COUNTIF($E49:F49,"u")+COUNTIF($E49:F49,"t")+COUNTIF($E49:F49,"¶")+COUNTIF($E49:F49,"²")+COUNTIF($E49:F49,"µ")+COUNTIF($E49:F49,1)-1,INDEX(Roadmap!$D:$K,MATCH($E49,Roadmap!$D:$D,0)-1+COUNTIF($E49:F49,"u")+COUNTIF($E49:F49,"t")+COUNTIF($E49:F49,"¶")+COUNTIF($E49:F49,"²")+COUNTIF($E49:F49,"µ")+COUNTIF($E49:F49,1),ColDescriptionCourte)),""),
  "")),"")</f>
        <v/>
      </c>
      <c r="H49" s="40" t="str">
        <f ca="1">IFERROR(IF(AND(
  INDEX(Roadmap!$D:$K,MATCH($E49,Roadmap!$D:$D,0)+COUNTIF($E49:G49,"u")+COUNTIF($E49:G49,"t")+COUNTIF($E49:G49,"¶")+COUNTIF($E49:G49,"²")+COUNTIF($E49:G49,"µ")+COUNTIF($E49:G49,1),ColLivraison)=H$6,
  VLOOKUP($E49,INDIRECT("tri!"&amp; CHAR(64+ C0Col) &amp;":"&amp; CHAR(65+C0Col)),2,FALSE)&gt;COUNTIF($E49:G49,"u")+COUNTIF($E49:G49,"t")+COUNTIF($E49:G49,"¶")+COUNTIF($E49:G49,"²")+COUNTIF($E49:G49,"µ")+COUNTIF($E49:G49,1)),
HYPERLINK("#Roadmap!C"&amp; MATCH($E49,Roadmap!$D:$D,0)+COUNTIF($E49:G49,"u")+COUNTIF($E49:G49,"t"),
     INDEX(Roadmap!$D:$K,MATCH($E49,Roadmap!$D:$D,0)+COUNTIF($E49:G49,"u")+COUNTIF($E49:G49,"t")+COUNTIF($E49:G49,"¶")+COUNTIF($E49:G49,"²")+COUNTIF($E49:G49,"µ")+COUNTIF($E49:G49,1),ColTypeEcheance)),
  IF(LEN(G49)=1,
  IF(LEN(INDEX(Roadmap!$D:$K,MATCH($E49,Roadmap!$D:$D,0)-1+COUNTIF($E49:G49,"u")+COUNTIF($E49:G49,"t")+COUNTIF($E49:G49,"¶")+COUNTIF($E49:G49,"²")+COUNTIF($E49:G49,"µ")+COUNTIF($E49:G49,1),ColDescriptionCourte))&gt;1,
HYPERLINK("#Roadmap!C"&amp; MATCH($E49,Roadmap!$D:$D,0)+COUNTIF($E49:G49,"u")+COUNTIF($E49:G49,"t")+COUNTIF($E49:G49,"¶")+COUNTIF($E49:G49,"²")+COUNTIF($E49:G49,"µ")+COUNTIF($E49:G49,1)-1,INDEX(Roadmap!$D:$K,MATCH($E49,Roadmap!$D:$D,0)-1+COUNTIF($E49:G49,"u")+COUNTIF($E49:G49,"t")+COUNTIF($E49:G49,"¶")+COUNTIF($E49:G49,"²")+COUNTIF($E49:G49,"µ")+COUNTIF($E49:G49,1),ColDescriptionCourte)),""),
  "")),"")</f>
        <v/>
      </c>
      <c r="I49" s="40" t="str">
        <f ca="1">IFERROR(IF(AND(
  INDEX(Roadmap!$D:$K,MATCH($E49,Roadmap!$D:$D,0)+COUNTIF($E49:H49,"u")+COUNTIF($E49:H49,"t")+COUNTIF($E49:H49,"¶")+COUNTIF($E49:H49,"²")+COUNTIF($E49:H49,"µ")+COUNTIF($E49:H49,1),ColLivraison)=I$6,
  VLOOKUP($E49,INDIRECT("tri!"&amp; CHAR(64+ C0Col) &amp;":"&amp; CHAR(65+C0Col)),2,FALSE)&gt;COUNTIF($E49:H49,"u")+COUNTIF($E49:H49,"t")+COUNTIF($E49:H49,"¶")+COUNTIF($E49:H49,"²")+COUNTIF($E49:H49,"µ")+COUNTIF($E49:H49,1)),
HYPERLINK("#Roadmap!C"&amp; MATCH($E49,Roadmap!$D:$D,0)+COUNTIF($E49:H49,"u")+COUNTIF($E49:H49,"t"),
     INDEX(Roadmap!$D:$K,MATCH($E49,Roadmap!$D:$D,0)+COUNTIF($E49:H49,"u")+COUNTIF($E49:H49,"t")+COUNTIF($E49:H49,"¶")+COUNTIF($E49:H49,"²")+COUNTIF($E49:H49,"µ")+COUNTIF($E49:H49,1),ColTypeEcheance)),
  IF(LEN(H49)=1,
  IF(LEN(INDEX(Roadmap!$D:$K,MATCH($E49,Roadmap!$D:$D,0)-1+COUNTIF($E49:H49,"u")+COUNTIF($E49:H49,"t")+COUNTIF($E49:H49,"¶")+COUNTIF($E49:H49,"²")+COUNTIF($E49:H49,"µ")+COUNTIF($E49:H49,1),ColDescriptionCourte))&gt;1,
HYPERLINK("#Roadmap!C"&amp; MATCH($E49,Roadmap!$D:$D,0)+COUNTIF($E49:H49,"u")+COUNTIF($E49:H49,"t")+COUNTIF($E49:H49,"¶")+COUNTIF($E49:H49,"²")+COUNTIF($E49:H49,"µ")+COUNTIF($E49:H49,1)-1,INDEX(Roadmap!$D:$K,MATCH($E49,Roadmap!$D:$D,0)-1+COUNTIF($E49:H49,"u")+COUNTIF($E49:H49,"t")+COUNTIF($E49:H49,"¶")+COUNTIF($E49:H49,"²")+COUNTIF($E49:H49,"µ")+COUNTIF($E49:H49,1),ColDescriptionCourte)),""),
  "")),"")</f>
        <v/>
      </c>
      <c r="J49" s="40" t="str">
        <f ca="1">IFERROR(IF(AND(
  INDEX(Roadmap!$D:$K,MATCH($E49,Roadmap!$D:$D,0)+COUNTIF($E49:I49,"u")+COUNTIF($E49:I49,"t")+COUNTIF($E49:I49,"¶")+COUNTIF($E49:I49,"²")+COUNTIF($E49:I49,"µ")+COUNTIF($E49:I49,1),ColLivraison)=J$6,
  VLOOKUP($E49,INDIRECT("tri!"&amp; CHAR(64+ C0Col) &amp;":"&amp; CHAR(65+C0Col)),2,FALSE)&gt;COUNTIF($E49:I49,"u")+COUNTIF($E49:I49,"t")+COUNTIF($E49:I49,"¶")+COUNTIF($E49:I49,"²")+COUNTIF($E49:I49,"µ")+COUNTIF($E49:I49,1)),
HYPERLINK("#Roadmap!C"&amp; MATCH($E49,Roadmap!$D:$D,0)+COUNTIF($E49:I49,"u")+COUNTIF($E49:I49,"t"),
     INDEX(Roadmap!$D:$K,MATCH($E49,Roadmap!$D:$D,0)+COUNTIF($E49:I49,"u")+COUNTIF($E49:I49,"t")+COUNTIF($E49:I49,"¶")+COUNTIF($E49:I49,"²")+COUNTIF($E49:I49,"µ")+COUNTIF($E49:I49,1),ColTypeEcheance)),
  IF(LEN(I49)=1,
  IF(LEN(INDEX(Roadmap!$D:$K,MATCH($E49,Roadmap!$D:$D,0)-1+COUNTIF($E49:I49,"u")+COUNTIF($E49:I49,"t")+COUNTIF($E49:I49,"¶")+COUNTIF($E49:I49,"²")+COUNTIF($E49:I49,"µ")+COUNTIF($E49:I49,1),ColDescriptionCourte))&gt;1,
HYPERLINK("#Roadmap!C"&amp; MATCH($E49,Roadmap!$D:$D,0)+COUNTIF($E49:I49,"u")+COUNTIF($E49:I49,"t")+COUNTIF($E49:I49,"¶")+COUNTIF($E49:I49,"²")+COUNTIF($E49:I49,"µ")+COUNTIF($E49:I49,1)-1,INDEX(Roadmap!$D:$K,MATCH($E49,Roadmap!$D:$D,0)-1+COUNTIF($E49:I49,"u")+COUNTIF($E49:I49,"t")+COUNTIF($E49:I49,"¶")+COUNTIF($E49:I49,"²")+COUNTIF($E49:I49,"µ")+COUNTIF($E49:I49,1),ColDescriptionCourte)),""),
  "")),"")</f>
        <v/>
      </c>
      <c r="K49" s="40" t="str">
        <f ca="1">IFERROR(IF(AND(
  INDEX(Roadmap!$D:$K,MATCH($E49,Roadmap!$D:$D,0)+COUNTIF($E49:J49,"u")+COUNTIF($E49:J49,"t")+COUNTIF($E49:J49,"¶")+COUNTIF($E49:J49,"²")+COUNTIF($E49:J49,"µ")+COUNTIF($E49:J49,1),ColLivraison)=K$6,
  VLOOKUP($E49,INDIRECT("tri!"&amp; CHAR(64+ C0Col) &amp;":"&amp; CHAR(65+C0Col)),2,FALSE)&gt;COUNTIF($E49:J49,"u")+COUNTIF($E49:J49,"t")+COUNTIF($E49:J49,"¶")+COUNTIF($E49:J49,"²")+COUNTIF($E49:J49,"µ")+COUNTIF($E49:J49,1)),
HYPERLINK("#Roadmap!C"&amp; MATCH($E49,Roadmap!$D:$D,0)+COUNTIF($E49:J49,"u")+COUNTIF($E49:J49,"t"),
     INDEX(Roadmap!$D:$K,MATCH($E49,Roadmap!$D:$D,0)+COUNTIF($E49:J49,"u")+COUNTIF($E49:J49,"t")+COUNTIF($E49:J49,"¶")+COUNTIF($E49:J49,"²")+COUNTIF($E49:J49,"µ")+COUNTIF($E49:J49,1),ColTypeEcheance)),
  IF(LEN(J49)=1,
  IF(LEN(INDEX(Roadmap!$D:$K,MATCH($E49,Roadmap!$D:$D,0)-1+COUNTIF($E49:J49,"u")+COUNTIF($E49:J49,"t")+COUNTIF($E49:J49,"¶")+COUNTIF($E49:J49,"²")+COUNTIF($E49:J49,"µ")+COUNTIF($E49:J49,1),ColDescriptionCourte))&gt;1,
HYPERLINK("#Roadmap!C"&amp; MATCH($E49,Roadmap!$D:$D,0)+COUNTIF($E49:J49,"u")+COUNTIF($E49:J49,"t")+COUNTIF($E49:J49,"¶")+COUNTIF($E49:J49,"²")+COUNTIF($E49:J49,"µ")+COUNTIF($E49:J49,1)-1,INDEX(Roadmap!$D:$K,MATCH($E49,Roadmap!$D:$D,0)-1+COUNTIF($E49:J49,"u")+COUNTIF($E49:J49,"t")+COUNTIF($E49:J49,"¶")+COUNTIF($E49:J49,"²")+COUNTIF($E49:J49,"µ")+COUNTIF($E49:J49,1),ColDescriptionCourte)),""),
  "")),"")</f>
        <v/>
      </c>
      <c r="L49" s="39" t="str">
        <f ca="1">IFERROR(IF(AND(
  INDEX(Roadmap!$D:$K,MATCH($E49,Roadmap!$D:$D,0)+COUNTIF($E49:K49,"u")+COUNTIF($E49:K49,"t")+COUNTIF($E49:K49,"¶")+COUNTIF($E49:K49,"²")+COUNTIF($E49:K49,"µ")+COUNTIF($E49:K49,1),ColLivraison)=L$6,
  VLOOKUP($E49,INDIRECT("tri!"&amp; CHAR(64+ C0Col) &amp;":"&amp; CHAR(65+C0Col)),2,FALSE)&gt;COUNTIF($E49:K49,"u")+COUNTIF($E49:K49,"t")+COUNTIF($E49:K49,"¶")+COUNTIF($E49:K49,"²")+COUNTIF($E49:K49,"µ")+COUNTIF($E49:K49,1)),
HYPERLINK("#Roadmap!C"&amp; MATCH($E49,Roadmap!$D:$D,0)+COUNTIF($E49:K49,"u")+COUNTIF($E49:K49,"t"),
     INDEX(Roadmap!$D:$K,MATCH($E49,Roadmap!$D:$D,0)+COUNTIF($E49:K49,"u")+COUNTIF($E49:K49,"t")+COUNTIF($E49:K49,"¶")+COUNTIF($E49:K49,"²")+COUNTIF($E49:K49,"µ")+COUNTIF($E49:K49,1),ColTypeEcheance)),
  IF(LEN(K49)=1,
  IF(LEN(INDEX(Roadmap!$D:$K,MATCH($E49,Roadmap!$D:$D,0)-1+COUNTIF($E49:K49,"u")+COUNTIF($E49:K49,"t")+COUNTIF($E49:K49,"¶")+COUNTIF($E49:K49,"²")+COUNTIF($E49:K49,"µ")+COUNTIF($E49:K49,1),ColDescriptionCourte))&gt;1,
HYPERLINK("#Roadmap!C"&amp; MATCH($E49,Roadmap!$D:$D,0)+COUNTIF($E49:K49,"u")+COUNTIF($E49:K49,"t")+COUNTIF($E49:K49,"¶")+COUNTIF($E49:K49,"²")+COUNTIF($E49:K49,"µ")+COUNTIF($E49:K49,1)-1,INDEX(Roadmap!$D:$K,MATCH($E49,Roadmap!$D:$D,0)-1+COUNTIF($E49:K49,"u")+COUNTIF($E49:K49,"t")+COUNTIF($E49:K49,"¶")+COUNTIF($E49:K49,"²")+COUNTIF($E49:K49,"µ")+COUNTIF($E49:K49,1),ColDescriptionCourte)),""),
  "")),"")</f>
        <v/>
      </c>
      <c r="M49" s="40" t="str">
        <f ca="1">IFERROR(IF(AND(
  INDEX(Roadmap!$D:$K,MATCH($E49,Roadmap!$D:$D,0)+COUNTIF($E49:L49,"u")+COUNTIF($E49:L49,"t")+COUNTIF($E49:L49,"¶")+COUNTIF($E49:L49,"²")+COUNTIF($E49:L49,"µ")+COUNTIF($E49:L49,1),ColLivraison)=M$6,
  VLOOKUP($E49,INDIRECT("tri!"&amp; CHAR(64+ C0Col) &amp;":"&amp; CHAR(65+C0Col)),2,FALSE)&gt;COUNTIF($E49:L49,"u")+COUNTIF($E49:L49,"t")+COUNTIF($E49:L49,"¶")+COUNTIF($E49:L49,"²")+COUNTIF($E49:L49,"µ")+COUNTIF($E49:L49,1)),
HYPERLINK("#Roadmap!C"&amp; MATCH($E49,Roadmap!$D:$D,0)+COUNTIF($E49:L49,"u")+COUNTIF($E49:L49,"t"),
     INDEX(Roadmap!$D:$K,MATCH($E49,Roadmap!$D:$D,0)+COUNTIF($E49:L49,"u")+COUNTIF($E49:L49,"t")+COUNTIF($E49:L49,"¶")+COUNTIF($E49:L49,"²")+COUNTIF($E49:L49,"µ")+COUNTIF($E49:L49,1),ColTypeEcheance)),
  IF(LEN(L49)=1,
  IF(LEN(INDEX(Roadmap!$D:$K,MATCH($E49,Roadmap!$D:$D,0)-1+COUNTIF($E49:L49,"u")+COUNTIF($E49:L49,"t")+COUNTIF($E49:L49,"¶")+COUNTIF($E49:L49,"²")+COUNTIF($E49:L49,"µ")+COUNTIF($E49:L49,1),ColDescriptionCourte))&gt;1,
HYPERLINK("#Roadmap!C"&amp; MATCH($E49,Roadmap!$D:$D,0)+COUNTIF($E49:L49,"u")+COUNTIF($E49:L49,"t")+COUNTIF($E49:L49,"¶")+COUNTIF($E49:L49,"²")+COUNTIF($E49:L49,"µ")+COUNTIF($E49:L49,1)-1,INDEX(Roadmap!$D:$K,MATCH($E49,Roadmap!$D:$D,0)-1+COUNTIF($E49:L49,"u")+COUNTIF($E49:L49,"t")+COUNTIF($E49:L49,"¶")+COUNTIF($E49:L49,"²")+COUNTIF($E49:L49,"µ")+COUNTIF($E49:L49,1),ColDescriptionCourte)),""),
  "")),"")</f>
        <v/>
      </c>
      <c r="N49" s="40" t="str">
        <f ca="1">IFERROR(IF(AND(
  INDEX(Roadmap!$D:$K,MATCH($E49,Roadmap!$D:$D,0)+COUNTIF($E49:M49,"u")+COUNTIF($E49:M49,"t")+COUNTIF($E49:M49,"¶")+COUNTIF($E49:M49,"²")+COUNTIF($E49:M49,"µ")+COUNTIF($E49:M49,1),ColLivraison)=N$6,
  VLOOKUP($E49,INDIRECT("tri!"&amp; CHAR(64+ C0Col) &amp;":"&amp; CHAR(65+C0Col)),2,FALSE)&gt;COUNTIF($E49:M49,"u")+COUNTIF($E49:M49,"t")+COUNTIF($E49:M49,"¶")+COUNTIF($E49:M49,"²")+COUNTIF($E49:M49,"µ")+COUNTIF($E49:M49,1)),
HYPERLINK("#Roadmap!C"&amp; MATCH($E49,Roadmap!$D:$D,0)+COUNTIF($E49:M49,"u")+COUNTIF($E49:M49,"t"),
     INDEX(Roadmap!$D:$K,MATCH($E49,Roadmap!$D:$D,0)+COUNTIF($E49:M49,"u")+COUNTIF($E49:M49,"t")+COUNTIF($E49:M49,"¶")+COUNTIF($E49:M49,"²")+COUNTIF($E49:M49,"µ")+COUNTIF($E49:M49,1),ColTypeEcheance)),
  IF(LEN(M49)=1,
  IF(LEN(INDEX(Roadmap!$D:$K,MATCH($E49,Roadmap!$D:$D,0)-1+COUNTIF($E49:M49,"u")+COUNTIF($E49:M49,"t")+COUNTIF($E49:M49,"¶")+COUNTIF($E49:M49,"²")+COUNTIF($E49:M49,"µ")+COUNTIF($E49:M49,1),ColDescriptionCourte))&gt;1,
HYPERLINK("#Roadmap!C"&amp; MATCH($E49,Roadmap!$D:$D,0)+COUNTIF($E49:M49,"u")+COUNTIF($E49:M49,"t")+COUNTIF($E49:M49,"¶")+COUNTIF($E49:M49,"²")+COUNTIF($E49:M49,"µ")+COUNTIF($E49:M49,1)-1,INDEX(Roadmap!$D:$K,MATCH($E49,Roadmap!$D:$D,0)-1+COUNTIF($E49:M49,"u")+COUNTIF($E49:M49,"t")+COUNTIF($E49:M49,"¶")+COUNTIF($E49:M49,"²")+COUNTIF($E49:M49,"µ")+COUNTIF($E49:M49,1),ColDescriptionCourte)),""),
  "")),"")</f>
        <v/>
      </c>
      <c r="O49" s="40" t="str">
        <f ca="1">IFERROR(IF(AND(
  INDEX(Roadmap!$D:$K,MATCH($E49,Roadmap!$D:$D,0)+COUNTIF($E49:N49,"u")+COUNTIF($E49:N49,"t")+COUNTIF($E49:N49,"¶")+COUNTIF($E49:N49,"²")+COUNTIF($E49:N49,"µ")+COUNTIF($E49:N49,1),ColLivraison)=O$6,
  VLOOKUP($E49,INDIRECT("tri!"&amp; CHAR(64+ C0Col) &amp;":"&amp; CHAR(65+C0Col)),2,FALSE)&gt;COUNTIF($E49:N49,"u")+COUNTIF($E49:N49,"t")+COUNTIF($E49:N49,"¶")+COUNTIF($E49:N49,"²")+COUNTIF($E49:N49,"µ")+COUNTIF($E49:N49,1)),
HYPERLINK("#Roadmap!C"&amp; MATCH($E49,Roadmap!$D:$D,0)+COUNTIF($E49:N49,"u")+COUNTIF($E49:N49,"t"),
     INDEX(Roadmap!$D:$K,MATCH($E49,Roadmap!$D:$D,0)+COUNTIF($E49:N49,"u")+COUNTIF($E49:N49,"t")+COUNTIF($E49:N49,"¶")+COUNTIF($E49:N49,"²")+COUNTIF($E49:N49,"µ")+COUNTIF($E49:N49,1),ColTypeEcheance)),
  IF(LEN(N49)=1,
  IF(LEN(INDEX(Roadmap!$D:$K,MATCH($E49,Roadmap!$D:$D,0)-1+COUNTIF($E49:N49,"u")+COUNTIF($E49:N49,"t")+COUNTIF($E49:N49,"¶")+COUNTIF($E49:N49,"²")+COUNTIF($E49:N49,"µ")+COUNTIF($E49:N49,1),ColDescriptionCourte))&gt;1,
HYPERLINK("#Roadmap!C"&amp; MATCH($E49,Roadmap!$D:$D,0)+COUNTIF($E49:N49,"u")+COUNTIF($E49:N49,"t")+COUNTIF($E49:N49,"¶")+COUNTIF($E49:N49,"²")+COUNTIF($E49:N49,"µ")+COUNTIF($E49:N49,1)-1,INDEX(Roadmap!$D:$K,MATCH($E49,Roadmap!$D:$D,0)-1+COUNTIF($E49:N49,"u")+COUNTIF($E49:N49,"t")+COUNTIF($E49:N49,"¶")+COUNTIF($E49:N49,"²")+COUNTIF($E49:N49,"µ")+COUNTIF($E49:N49,1),ColDescriptionCourte)),""),
  "")),"")</f>
        <v/>
      </c>
      <c r="P49" s="40" t="str">
        <f ca="1">IFERROR(IF(AND(
  INDEX(Roadmap!$D:$K,MATCH($E49,Roadmap!$D:$D,0)+COUNTIF($E49:O49,"u")+COUNTIF($E49:O49,"t")+COUNTIF($E49:O49,"¶")+COUNTIF($E49:O49,"²")+COUNTIF($E49:O49,"µ")+COUNTIF($E49:O49,1),ColLivraison)=P$6,
  VLOOKUP($E49,INDIRECT("tri!"&amp; CHAR(64+ C0Col) &amp;":"&amp; CHAR(65+C0Col)),2,FALSE)&gt;COUNTIF($E49:O49,"u")+COUNTIF($E49:O49,"t")+COUNTIF($E49:O49,"¶")+COUNTIF($E49:O49,"²")+COUNTIF($E49:O49,"µ")+COUNTIF($E49:O49,1)),
HYPERLINK("#Roadmap!C"&amp; MATCH($E49,Roadmap!$D:$D,0)+COUNTIF($E49:O49,"u")+COUNTIF($E49:O49,"t"),
     INDEX(Roadmap!$D:$K,MATCH($E49,Roadmap!$D:$D,0)+COUNTIF($E49:O49,"u")+COUNTIF($E49:O49,"t")+COUNTIF($E49:O49,"¶")+COUNTIF($E49:O49,"²")+COUNTIF($E49:O49,"µ")+COUNTIF($E49:O49,1),ColTypeEcheance)),
  IF(LEN(O49)=1,
  IF(LEN(INDEX(Roadmap!$D:$K,MATCH($E49,Roadmap!$D:$D,0)-1+COUNTIF($E49:O49,"u")+COUNTIF($E49:O49,"t")+COUNTIF($E49:O49,"¶")+COUNTIF($E49:O49,"²")+COUNTIF($E49:O49,"µ")+COUNTIF($E49:O49,1),ColDescriptionCourte))&gt;1,
HYPERLINK("#Roadmap!C"&amp; MATCH($E49,Roadmap!$D:$D,0)+COUNTIF($E49:O49,"u")+COUNTIF($E49:O49,"t")+COUNTIF($E49:O49,"¶")+COUNTIF($E49:O49,"²")+COUNTIF($E49:O49,"µ")+COUNTIF($E49:O49,1)-1,INDEX(Roadmap!$D:$K,MATCH($E49,Roadmap!$D:$D,0)-1+COUNTIF($E49:O49,"u")+COUNTIF($E49:O49,"t")+COUNTIF($E49:O49,"¶")+COUNTIF($E49:O49,"²")+COUNTIF($E49:O49,"µ")+COUNTIF($E49:O49,1),ColDescriptionCourte)),""),
  "")),"")</f>
        <v/>
      </c>
      <c r="Q49" s="40" t="str">
        <f ca="1">IFERROR(IF(AND(
  INDEX(Roadmap!$D:$K,MATCH($E49,Roadmap!$D:$D,0)+COUNTIF($E49:P49,"u")+COUNTIF($E49:P49,"t")+COUNTIF($E49:P49,"¶")+COUNTIF($E49:P49,"²")+COUNTIF($E49:P49,"µ")+COUNTIF($E49:P49,1),ColLivraison)=Q$6,
  VLOOKUP($E49,INDIRECT("tri!"&amp; CHAR(64+ C0Col) &amp;":"&amp; CHAR(65+C0Col)),2,FALSE)&gt;COUNTIF($E49:P49,"u")+COUNTIF($E49:P49,"t")+COUNTIF($E49:P49,"¶")+COUNTIF($E49:P49,"²")+COUNTIF($E49:P49,"µ")+COUNTIF($E49:P49,1)),
HYPERLINK("#Roadmap!C"&amp; MATCH($E49,Roadmap!$D:$D,0)+COUNTIF($E49:P49,"u")+COUNTIF($E49:P49,"t"),
     INDEX(Roadmap!$D:$K,MATCH($E49,Roadmap!$D:$D,0)+COUNTIF($E49:P49,"u")+COUNTIF($E49:P49,"t")+COUNTIF($E49:P49,"¶")+COUNTIF($E49:P49,"²")+COUNTIF($E49:P49,"µ")+COUNTIF($E49:P49,1),ColTypeEcheance)),
  IF(LEN(P49)=1,
  IF(LEN(INDEX(Roadmap!$D:$K,MATCH($E49,Roadmap!$D:$D,0)-1+COUNTIF($E49:P49,"u")+COUNTIF($E49:P49,"t")+COUNTIF($E49:P49,"¶")+COUNTIF($E49:P49,"²")+COUNTIF($E49:P49,"µ")+COUNTIF($E49:P49,1),ColDescriptionCourte))&gt;1,
HYPERLINK("#Roadmap!C"&amp; MATCH($E49,Roadmap!$D:$D,0)+COUNTIF($E49:P49,"u")+COUNTIF($E49:P49,"t")+COUNTIF($E49:P49,"¶")+COUNTIF($E49:P49,"²")+COUNTIF($E49:P49,"µ")+COUNTIF($E49:P49,1)-1,INDEX(Roadmap!$D:$K,MATCH($E49,Roadmap!$D:$D,0)-1+COUNTIF($E49:P49,"u")+COUNTIF($E49:P49,"t")+COUNTIF($E49:P49,"¶")+COUNTIF($E49:P49,"²")+COUNTIF($E49:P49,"µ")+COUNTIF($E49:P49,1),ColDescriptionCourte)),""),
  "")),"")</f>
        <v/>
      </c>
      <c r="R49" s="40" t="str">
        <f ca="1">IFERROR(IF(AND(
  INDEX(Roadmap!$D:$K,MATCH($E49,Roadmap!$D:$D,0)+COUNTIF($E49:Q49,"u")+COUNTIF($E49:Q49,"t")+COUNTIF($E49:Q49,"¶")+COUNTIF($E49:Q49,"²")+COUNTIF($E49:Q49,"µ")+COUNTIF($E49:Q49,1),ColLivraison)=R$6,
  VLOOKUP($E49,INDIRECT("tri!"&amp; CHAR(64+ C0Col) &amp;":"&amp; CHAR(65+C0Col)),2,FALSE)&gt;COUNTIF($E49:Q49,"u")+COUNTIF($E49:Q49,"t")+COUNTIF($E49:Q49,"¶")+COUNTIF($E49:Q49,"²")+COUNTIF($E49:Q49,"µ")+COUNTIF($E49:Q49,1)),
HYPERLINK("#Roadmap!C"&amp; MATCH($E49,Roadmap!$D:$D,0)+COUNTIF($E49:Q49,"u")+COUNTIF($E49:Q49,"t"),
     INDEX(Roadmap!$D:$K,MATCH($E49,Roadmap!$D:$D,0)+COUNTIF($E49:Q49,"u")+COUNTIF($E49:Q49,"t")+COUNTIF($E49:Q49,"¶")+COUNTIF($E49:Q49,"²")+COUNTIF($E49:Q49,"µ")+COUNTIF($E49:Q49,1),ColTypeEcheance)),
  IF(LEN(Q49)=1,
  IF(LEN(INDEX(Roadmap!$D:$K,MATCH($E49,Roadmap!$D:$D,0)-1+COUNTIF($E49:Q49,"u")+COUNTIF($E49:Q49,"t")+COUNTIF($E49:Q49,"¶")+COUNTIF($E49:Q49,"²")+COUNTIF($E49:Q49,"µ")+COUNTIF($E49:Q49,1),ColDescriptionCourte))&gt;1,
HYPERLINK("#Roadmap!C"&amp; MATCH($E49,Roadmap!$D:$D,0)+COUNTIF($E49:Q49,"u")+COUNTIF($E49:Q49,"t")+COUNTIF($E49:Q49,"¶")+COUNTIF($E49:Q49,"²")+COUNTIF($E49:Q49,"µ")+COUNTIF($E49:Q49,1)-1,INDEX(Roadmap!$D:$K,MATCH($E49,Roadmap!$D:$D,0)-1+COUNTIF($E49:Q49,"u")+COUNTIF($E49:Q49,"t")+COUNTIF($E49:Q49,"¶")+COUNTIF($E49:Q49,"²")+COUNTIF($E49:Q49,"µ")+COUNTIF($E49:Q49,1),ColDescriptionCourte)),""),
  "")),"")</f>
        <v/>
      </c>
      <c r="S49" s="40" t="str">
        <f ca="1">IFERROR(IF(AND(
  INDEX(Roadmap!$D:$K,MATCH($E49,Roadmap!$D:$D,0)+COUNTIF($E49:R49,"u")+COUNTIF($E49:R49,"t")+COUNTIF($E49:R49,"¶")+COUNTIF($E49:R49,"²")+COUNTIF($E49:R49,"µ")+COUNTIF($E49:R49,1),ColLivraison)=S$6,
  VLOOKUP($E49,INDIRECT("tri!"&amp; CHAR(64+ C0Col) &amp;":"&amp; CHAR(65+C0Col)),2,FALSE)&gt;COUNTIF($E49:R49,"u")+COUNTIF($E49:R49,"t")+COUNTIF($E49:R49,"¶")+COUNTIF($E49:R49,"²")+COUNTIF($E49:R49,"µ")+COUNTIF($E49:R49,1)),
HYPERLINK("#Roadmap!C"&amp; MATCH($E49,Roadmap!$D:$D,0)+COUNTIF($E49:R49,"u")+COUNTIF($E49:R49,"t"),
     INDEX(Roadmap!$D:$K,MATCH($E49,Roadmap!$D:$D,0)+COUNTIF($E49:R49,"u")+COUNTIF($E49:R49,"t")+COUNTIF($E49:R49,"¶")+COUNTIF($E49:R49,"²")+COUNTIF($E49:R49,"µ")+COUNTIF($E49:R49,1),ColTypeEcheance)),
  IF(LEN(R49)=1,
  IF(LEN(INDEX(Roadmap!$D:$K,MATCH($E49,Roadmap!$D:$D,0)-1+COUNTIF($E49:R49,"u")+COUNTIF($E49:R49,"t")+COUNTIF($E49:R49,"¶")+COUNTIF($E49:R49,"²")+COUNTIF($E49:R49,"µ")+COUNTIF($E49:R49,1),ColDescriptionCourte))&gt;1,
HYPERLINK("#Roadmap!C"&amp; MATCH($E49,Roadmap!$D:$D,0)+COUNTIF($E49:R49,"u")+COUNTIF($E49:R49,"t")+COUNTIF($E49:R49,"¶")+COUNTIF($E49:R49,"²")+COUNTIF($E49:R49,"µ")+COUNTIF($E49:R49,1)-1,INDEX(Roadmap!$D:$K,MATCH($E49,Roadmap!$D:$D,0)-1+COUNTIF($E49:R49,"u")+COUNTIF($E49:R49,"t")+COUNTIF($E49:R49,"¶")+COUNTIF($E49:R49,"²")+COUNTIF($E49:R49,"µ")+COUNTIF($E49:R49,1),ColDescriptionCourte)),""),
  "")),"")</f>
        <v/>
      </c>
      <c r="T49" s="40" t="str">
        <f ca="1">IFERROR(IF(AND(
  INDEX(Roadmap!$D:$K,MATCH($E49,Roadmap!$D:$D,0)+COUNTIF($E49:S49,"u")+COUNTIF($E49:S49,"t")+COUNTIF($E49:S49,"¶")+COUNTIF($E49:S49,"²")+COUNTIF($E49:S49,"µ")+COUNTIF($E49:S49,1),ColLivraison)=T$6,
  VLOOKUP($E49,INDIRECT("tri!"&amp; CHAR(64+ C0Col) &amp;":"&amp; CHAR(65+C0Col)),2,FALSE)&gt;COUNTIF($E49:S49,"u")+COUNTIF($E49:S49,"t")+COUNTIF($E49:S49,"¶")+COUNTIF($E49:S49,"²")+COUNTIF($E49:S49,"µ")+COUNTIF($E49:S49,1)),
HYPERLINK("#Roadmap!C"&amp; MATCH($E49,Roadmap!$D:$D,0)+COUNTIF($E49:S49,"u")+COUNTIF($E49:S49,"t"),
     INDEX(Roadmap!$D:$K,MATCH($E49,Roadmap!$D:$D,0)+COUNTIF($E49:S49,"u")+COUNTIF($E49:S49,"t")+COUNTIF($E49:S49,"¶")+COUNTIF($E49:S49,"²")+COUNTIF($E49:S49,"µ")+COUNTIF($E49:S49,1),ColTypeEcheance)),
  IF(LEN(S49)=1,
  IF(LEN(INDEX(Roadmap!$D:$K,MATCH($E49,Roadmap!$D:$D,0)-1+COUNTIF($E49:S49,"u")+COUNTIF($E49:S49,"t")+COUNTIF($E49:S49,"¶")+COUNTIF($E49:S49,"²")+COUNTIF($E49:S49,"µ")+COUNTIF($E49:S49,1),ColDescriptionCourte))&gt;1,
HYPERLINK("#Roadmap!C"&amp; MATCH($E49,Roadmap!$D:$D,0)+COUNTIF($E49:S49,"u")+COUNTIF($E49:S49,"t")+COUNTIF($E49:S49,"¶")+COUNTIF($E49:S49,"²")+COUNTIF($E49:S49,"µ")+COUNTIF($E49:S49,1)-1,INDEX(Roadmap!$D:$K,MATCH($E49,Roadmap!$D:$D,0)-1+COUNTIF($E49:S49,"u")+COUNTIF($E49:S49,"t")+COUNTIF($E49:S49,"¶")+COUNTIF($E49:S49,"²")+COUNTIF($E49:S49,"µ")+COUNTIF($E49:S49,1),ColDescriptionCourte)),""),
  "")),"")</f>
        <v/>
      </c>
      <c r="U49" s="40" t="str">
        <f ca="1">IFERROR(IF(AND(
  INDEX(Roadmap!$D:$K,MATCH($E49,Roadmap!$D:$D,0)+COUNTIF($E49:T49,"u")+COUNTIF($E49:T49,"t")+COUNTIF($E49:T49,"¶")+COUNTIF($E49:T49,"²")+COUNTIF($E49:T49,"µ")+COUNTIF($E49:T49,1),ColLivraison)=U$6,
  VLOOKUP($E49,INDIRECT("tri!"&amp; CHAR(64+ C0Col) &amp;":"&amp; CHAR(65+C0Col)),2,FALSE)&gt;COUNTIF($E49:T49,"u")+COUNTIF($E49:T49,"t")+COUNTIF($E49:T49,"¶")+COUNTIF($E49:T49,"²")+COUNTIF($E49:T49,"µ")+COUNTIF($E49:T49,1)),
HYPERLINK("#Roadmap!C"&amp; MATCH($E49,Roadmap!$D:$D,0)+COUNTIF($E49:T49,"u")+COUNTIF($E49:T49,"t"),
     INDEX(Roadmap!$D:$K,MATCH($E49,Roadmap!$D:$D,0)+COUNTIF($E49:T49,"u")+COUNTIF($E49:T49,"t")+COUNTIF($E49:T49,"¶")+COUNTIF($E49:T49,"²")+COUNTIF($E49:T49,"µ")+COUNTIF($E49:T49,1),ColTypeEcheance)),
  IF(LEN(T49)=1,
  IF(LEN(INDEX(Roadmap!$D:$K,MATCH($E49,Roadmap!$D:$D,0)-1+COUNTIF($E49:T49,"u")+COUNTIF($E49:T49,"t")+COUNTIF($E49:T49,"¶")+COUNTIF($E49:T49,"²")+COUNTIF($E49:T49,"µ")+COUNTIF($E49:T49,1),ColDescriptionCourte))&gt;1,
HYPERLINK("#Roadmap!C"&amp; MATCH($E49,Roadmap!$D:$D,0)+COUNTIF($E49:T49,"u")+COUNTIF($E49:T49,"t")+COUNTIF($E49:T49,"¶")+COUNTIF($E49:T49,"²")+COUNTIF($E49:T49,"µ")+COUNTIF($E49:T49,1)-1,INDEX(Roadmap!$D:$K,MATCH($E49,Roadmap!$D:$D,0)-1+COUNTIF($E49:T49,"u")+COUNTIF($E49:T49,"t")+COUNTIF($E49:T49,"¶")+COUNTIF($E49:T49,"²")+COUNTIF($E49:T49,"µ")+COUNTIF($E49:T49,1),ColDescriptionCourte)),""),
  "")),"")</f>
        <v/>
      </c>
      <c r="V49" s="40" t="str">
        <f ca="1">IFERROR(IF(AND(
  INDEX(Roadmap!$D:$K,MATCH($E49,Roadmap!$D:$D,0)+COUNTIF($E49:U49,"u")+COUNTIF($E49:U49,"t")+COUNTIF($E49:U49,"¶")+COUNTIF($E49:U49,"²")+COUNTIF($E49:U49,"µ")+COUNTIF($E49:U49,1),ColLivraison)=V$6,
  VLOOKUP($E49,INDIRECT("tri!"&amp; CHAR(64+ C0Col) &amp;":"&amp; CHAR(65+C0Col)),2,FALSE)&gt;COUNTIF($E49:U49,"u")+COUNTIF($E49:U49,"t")+COUNTIF($E49:U49,"¶")+COUNTIF($E49:U49,"²")+COUNTIF($E49:U49,"µ")+COUNTIF($E49:U49,1)),
HYPERLINK("#Roadmap!C"&amp; MATCH($E49,Roadmap!$D:$D,0)+COUNTIF($E49:U49,"u")+COUNTIF($E49:U49,"t"),
     INDEX(Roadmap!$D:$K,MATCH($E49,Roadmap!$D:$D,0)+COUNTIF($E49:U49,"u")+COUNTIF($E49:U49,"t")+COUNTIF($E49:U49,"¶")+COUNTIF($E49:U49,"²")+COUNTIF($E49:U49,"µ")+COUNTIF($E49:U49,1),ColTypeEcheance)),
  IF(LEN(U49)=1,
  IF(LEN(INDEX(Roadmap!$D:$K,MATCH($E49,Roadmap!$D:$D,0)-1+COUNTIF($E49:U49,"u")+COUNTIF($E49:U49,"t")+COUNTIF($E49:U49,"¶")+COUNTIF($E49:U49,"²")+COUNTIF($E49:U49,"µ")+COUNTIF($E49:U49,1),ColDescriptionCourte))&gt;1,
HYPERLINK("#Roadmap!C"&amp; MATCH($E49,Roadmap!$D:$D,0)+COUNTIF($E49:U49,"u")+COUNTIF($E49:U49,"t")+COUNTIF($E49:U49,"¶")+COUNTIF($E49:U49,"²")+COUNTIF($E49:U49,"µ")+COUNTIF($E49:U49,1)-1,INDEX(Roadmap!$D:$K,MATCH($E49,Roadmap!$D:$D,0)-1+COUNTIF($E49:U49,"u")+COUNTIF($E49:U49,"t")+COUNTIF($E49:U49,"¶")+COUNTIF($E49:U49,"²")+COUNTIF($E49:U49,"µ")+COUNTIF($E49:U49,1),ColDescriptionCourte)),""),
  "")),"")</f>
        <v/>
      </c>
      <c r="W49" s="40" t="str">
        <f ca="1">IFERROR(IF(AND(
  INDEX(Roadmap!$D:$K,MATCH($E49,Roadmap!$D:$D,0)+COUNTIF($E49:V49,"u")+COUNTIF($E49:V49,"t")+COUNTIF($E49:V49,"¶")+COUNTIF($E49:V49,"²")+COUNTIF($E49:V49,"µ")+COUNTIF($E49:V49,1),ColLivraison)=W$6,
  VLOOKUP($E49,INDIRECT("tri!"&amp; CHAR(64+ C0Col) &amp;":"&amp; CHAR(65+C0Col)),2,FALSE)&gt;COUNTIF($E49:V49,"u")+COUNTIF($E49:V49,"t")+COUNTIF($E49:V49,"¶")+COUNTIF($E49:V49,"²")+COUNTIF($E49:V49,"µ")+COUNTIF($E49:V49,1)),
HYPERLINK("#Roadmap!C"&amp; MATCH($E49,Roadmap!$D:$D,0)+COUNTIF($E49:V49,"u")+COUNTIF($E49:V49,"t"),
     INDEX(Roadmap!$D:$K,MATCH($E49,Roadmap!$D:$D,0)+COUNTIF($E49:V49,"u")+COUNTIF($E49:V49,"t")+COUNTIF($E49:V49,"¶")+COUNTIF($E49:V49,"²")+COUNTIF($E49:V49,"µ")+COUNTIF($E49:V49,1),ColTypeEcheance)),
  IF(LEN(V49)=1,
  IF(LEN(INDEX(Roadmap!$D:$K,MATCH($E49,Roadmap!$D:$D,0)-1+COUNTIF($E49:V49,"u")+COUNTIF($E49:V49,"t")+COUNTIF($E49:V49,"¶")+COUNTIF($E49:V49,"²")+COUNTIF($E49:V49,"µ")+COUNTIF($E49:V49,1),ColDescriptionCourte))&gt;1,
HYPERLINK("#Roadmap!C"&amp; MATCH($E49,Roadmap!$D:$D,0)+COUNTIF($E49:V49,"u")+COUNTIF($E49:V49,"t")+COUNTIF($E49:V49,"¶")+COUNTIF($E49:V49,"²")+COUNTIF($E49:V49,"µ")+COUNTIF($E49:V49,1)-1,INDEX(Roadmap!$D:$K,MATCH($E49,Roadmap!$D:$D,0)-1+COUNTIF($E49:V49,"u")+COUNTIF($E49:V49,"t")+COUNTIF($E49:V49,"¶")+COUNTIF($E49:V49,"²")+COUNTIF($E49:V49,"µ")+COUNTIF($E49:V49,1),ColDescriptionCourte)),""),
  "")),"")</f>
        <v/>
      </c>
      <c r="X49" s="40" t="str">
        <f ca="1">IFERROR(IF(AND(
  INDEX(Roadmap!$D:$K,MATCH($E49,Roadmap!$D:$D,0)+COUNTIF($E49:W49,"u")+COUNTIF($E49:W49,"t")+COUNTIF($E49:W49,"¶")+COUNTIF($E49:W49,"²")+COUNTIF($E49:W49,"µ")+COUNTIF($E49:W49,1),ColLivraison)=X$6,
  VLOOKUP($E49,INDIRECT("tri!"&amp; CHAR(64+ C0Col) &amp;":"&amp; CHAR(65+C0Col)),2,FALSE)&gt;COUNTIF($E49:W49,"u")+COUNTIF($E49:W49,"t")+COUNTIF($E49:W49,"¶")+COUNTIF($E49:W49,"²")+COUNTIF($E49:W49,"µ")+COUNTIF($E49:W49,1)),
HYPERLINK("#Roadmap!C"&amp; MATCH($E49,Roadmap!$D:$D,0)+COUNTIF($E49:W49,"u")+COUNTIF($E49:W49,"t"),
     INDEX(Roadmap!$D:$K,MATCH($E49,Roadmap!$D:$D,0)+COUNTIF($E49:W49,"u")+COUNTIF($E49:W49,"t")+COUNTIF($E49:W49,"¶")+COUNTIF($E49:W49,"²")+COUNTIF($E49:W49,"µ")+COUNTIF($E49:W49,1),ColTypeEcheance)),
  IF(LEN(W49)=1,
  IF(LEN(INDEX(Roadmap!$D:$K,MATCH($E49,Roadmap!$D:$D,0)-1+COUNTIF($E49:W49,"u")+COUNTIF($E49:W49,"t")+COUNTIF($E49:W49,"¶")+COUNTIF($E49:W49,"²")+COUNTIF($E49:W49,"µ")+COUNTIF($E49:W49,1),ColDescriptionCourte))&gt;1,
HYPERLINK("#Roadmap!C"&amp; MATCH($E49,Roadmap!$D:$D,0)+COUNTIF($E49:W49,"u")+COUNTIF($E49:W49,"t")+COUNTIF($E49:W49,"¶")+COUNTIF($E49:W49,"²")+COUNTIF($E49:W49,"µ")+COUNTIF($E49:W49,1)-1,INDEX(Roadmap!$D:$K,MATCH($E49,Roadmap!$D:$D,0)-1+COUNTIF($E49:W49,"u")+COUNTIF($E49:W49,"t")+COUNTIF($E49:W49,"¶")+COUNTIF($E49:W49,"²")+COUNTIF($E49:W49,"µ")+COUNTIF($E49:W49,1),ColDescriptionCourte)),""),
  "")),"")</f>
        <v/>
      </c>
      <c r="Y49" s="40" t="str">
        <f ca="1">IFERROR(IF(AND(
  INDEX(Roadmap!$D:$K,MATCH($E49,Roadmap!$D:$D,0)+COUNTIF($E49:X49,"u")+COUNTIF($E49:X49,"t")+COUNTIF($E49:X49,"¶")+COUNTIF($E49:X49,"²")+COUNTIF($E49:X49,"µ")+COUNTIF($E49:X49,1),ColLivraison)=Y$6,
  VLOOKUP($E49,INDIRECT("tri!"&amp; CHAR(64+ C0Col) &amp;":"&amp; CHAR(65+C0Col)),2,FALSE)&gt;COUNTIF($E49:X49,"u")+COUNTIF($E49:X49,"t")+COUNTIF($E49:X49,"¶")+COUNTIF($E49:X49,"²")+COUNTIF($E49:X49,"µ")+COUNTIF($E49:X49,1)),
HYPERLINK("#Roadmap!C"&amp; MATCH($E49,Roadmap!$D:$D,0)+COUNTIF($E49:X49,"u")+COUNTIF($E49:X49,"t"),
     INDEX(Roadmap!$D:$K,MATCH($E49,Roadmap!$D:$D,0)+COUNTIF($E49:X49,"u")+COUNTIF($E49:X49,"t")+COUNTIF($E49:X49,"¶")+COUNTIF($E49:X49,"²")+COUNTIF($E49:X49,"µ")+COUNTIF($E49:X49,1),ColTypeEcheance)),
  IF(LEN(X49)=1,
  IF(LEN(INDEX(Roadmap!$D:$K,MATCH($E49,Roadmap!$D:$D,0)-1+COUNTIF($E49:X49,"u")+COUNTIF($E49:X49,"t")+COUNTIF($E49:X49,"¶")+COUNTIF($E49:X49,"²")+COUNTIF($E49:X49,"µ")+COUNTIF($E49:X49,1),ColDescriptionCourte))&gt;1,
HYPERLINK("#Roadmap!C"&amp; MATCH($E49,Roadmap!$D:$D,0)+COUNTIF($E49:X49,"u")+COUNTIF($E49:X49,"t")+COUNTIF($E49:X49,"¶")+COUNTIF($E49:X49,"²")+COUNTIF($E49:X49,"µ")+COUNTIF($E49:X49,1)-1,INDEX(Roadmap!$D:$K,MATCH($E49,Roadmap!$D:$D,0)-1+COUNTIF($E49:X49,"u")+COUNTIF($E49:X49,"t")+COUNTIF($E49:X49,"¶")+COUNTIF($E49:X49,"²")+COUNTIF($E49:X49,"µ")+COUNTIF($E49:X49,1),ColDescriptionCourte)),""),
  "")),"")</f>
        <v/>
      </c>
      <c r="Z49" s="40" t="str">
        <f ca="1">IFERROR(IF(AND(
  INDEX(Roadmap!$D:$K,MATCH($E49,Roadmap!$D:$D,0)+COUNTIF($E49:Y49,"u")+COUNTIF($E49:Y49,"t")+COUNTIF($E49:Y49,"¶")+COUNTIF($E49:Y49,"²")+COUNTIF($E49:Y49,"µ")+COUNTIF($E49:Y49,1),ColLivraison)=Z$6,
  VLOOKUP($E49,INDIRECT("tri!"&amp; CHAR(64+ C0Col) &amp;":"&amp; CHAR(65+C0Col)),2,FALSE)&gt;COUNTIF($E49:Y49,"u")+COUNTIF($E49:Y49,"t")+COUNTIF($E49:Y49,"¶")+COUNTIF($E49:Y49,"²")+COUNTIF($E49:Y49,"µ")+COUNTIF($E49:Y49,1)),
HYPERLINK("#Roadmap!C"&amp; MATCH($E49,Roadmap!$D:$D,0)+COUNTIF($E49:Y49,"u")+COUNTIF($E49:Y49,"t"),
     INDEX(Roadmap!$D:$K,MATCH($E49,Roadmap!$D:$D,0)+COUNTIF($E49:Y49,"u")+COUNTIF($E49:Y49,"t")+COUNTIF($E49:Y49,"¶")+COUNTIF($E49:Y49,"²")+COUNTIF($E49:Y49,"µ")+COUNTIF($E49:Y49,1),ColTypeEcheance)),
  IF(LEN(Y49)=1,
  IF(LEN(INDEX(Roadmap!$D:$K,MATCH($E49,Roadmap!$D:$D,0)-1+COUNTIF($E49:Y49,"u")+COUNTIF($E49:Y49,"t")+COUNTIF($E49:Y49,"¶")+COUNTIF($E49:Y49,"²")+COUNTIF($E49:Y49,"µ")+COUNTIF($E49:Y49,1),ColDescriptionCourte))&gt;1,
HYPERLINK("#Roadmap!C"&amp; MATCH($E49,Roadmap!$D:$D,0)+COUNTIF($E49:Y49,"u")+COUNTIF($E49:Y49,"t")+COUNTIF($E49:Y49,"¶")+COUNTIF($E49:Y49,"²")+COUNTIF($E49:Y49,"µ")+COUNTIF($E49:Y49,1)-1,INDEX(Roadmap!$D:$K,MATCH($E49,Roadmap!$D:$D,0)-1+COUNTIF($E49:Y49,"u")+COUNTIF($E49:Y49,"t")+COUNTIF($E49:Y49,"¶")+COUNTIF($E49:Y49,"²")+COUNTIF($E49:Y49,"µ")+COUNTIF($E49:Y49,1),ColDescriptionCourte)),""),
  "")),"")</f>
        <v/>
      </c>
      <c r="AA49" s="40" t="str">
        <f ca="1">IFERROR(IF(AND(
  INDEX(Roadmap!$D:$K,MATCH($E49,Roadmap!$D:$D,0)+COUNTIF($E49:Z49,"u")+COUNTIF($E49:Z49,"t")+COUNTIF($E49:Z49,"¶")+COUNTIF($E49:Z49,"²")+COUNTIF($E49:Z49,"µ")+COUNTIF($E49:Z49,1),ColLivraison)=AA$6,
  VLOOKUP($E49,INDIRECT("tri!"&amp; CHAR(64+ C0Col) &amp;":"&amp; CHAR(65+C0Col)),2,FALSE)&gt;COUNTIF($E49:Z49,"u")+COUNTIF($E49:Z49,"t")+COUNTIF($E49:Z49,"¶")+COUNTIF($E49:Z49,"²")+COUNTIF($E49:Z49,"µ")+COUNTIF($E49:Z49,1)),
HYPERLINK("#Roadmap!C"&amp; MATCH($E49,Roadmap!$D:$D,0)+COUNTIF($E49:Z49,"u")+COUNTIF($E49:Z49,"t"),
     INDEX(Roadmap!$D:$K,MATCH($E49,Roadmap!$D:$D,0)+COUNTIF($E49:Z49,"u")+COUNTIF($E49:Z49,"t")+COUNTIF($E49:Z49,"¶")+COUNTIF($E49:Z49,"²")+COUNTIF($E49:Z49,"µ")+COUNTIF($E49:Z49,1),ColTypeEcheance)),
  IF(LEN(Z49)=1,
  IF(LEN(INDEX(Roadmap!$D:$K,MATCH($E49,Roadmap!$D:$D,0)-1+COUNTIF($E49:Z49,"u")+COUNTIF($E49:Z49,"t")+COUNTIF($E49:Z49,"¶")+COUNTIF($E49:Z49,"²")+COUNTIF($E49:Z49,"µ")+COUNTIF($E49:Z49,1),ColDescriptionCourte))&gt;1,
HYPERLINK("#Roadmap!C"&amp; MATCH($E49,Roadmap!$D:$D,0)+COUNTIF($E49:Z49,"u")+COUNTIF($E49:Z49,"t")+COUNTIF($E49:Z49,"¶")+COUNTIF($E49:Z49,"²")+COUNTIF($E49:Z49,"µ")+COUNTIF($E49:Z49,1)-1,INDEX(Roadmap!$D:$K,MATCH($E49,Roadmap!$D:$D,0)-1+COUNTIF($E49:Z49,"u")+COUNTIF($E49:Z49,"t")+COUNTIF($E49:Z49,"¶")+COUNTIF($E49:Z49,"²")+COUNTIF($E49:Z49,"µ")+COUNTIF($E49:Z49,1),ColDescriptionCourte)),""),
  "")),"")</f>
        <v/>
      </c>
      <c r="AB49" s="40" t="str">
        <f ca="1">IFERROR(IF(AND(
  INDEX(Roadmap!$D:$K,MATCH($E49,Roadmap!$D:$D,0)+COUNTIF($E49:AA49,"u")+COUNTIF($E49:AA49,"t")+COUNTIF($E49:AA49,"¶")+COUNTIF($E49:AA49,"²")+COUNTIF($E49:AA49,"µ")+COUNTIF($E49:AA49,1),ColLivraison)=AB$6,
  VLOOKUP($E49,INDIRECT("tri!"&amp; CHAR(64+ C0Col) &amp;":"&amp; CHAR(65+C0Col)),2,FALSE)&gt;COUNTIF($E49:AA49,"u")+COUNTIF($E49:AA49,"t")+COUNTIF($E49:AA49,"¶")+COUNTIF($E49:AA49,"²")+COUNTIF($E49:AA49,"µ")+COUNTIF($E49:AA49,1)),
HYPERLINK("#Roadmap!C"&amp; MATCH($E49,Roadmap!$D:$D,0)+COUNTIF($E49:AA49,"u")+COUNTIF($E49:AA49,"t"),
     INDEX(Roadmap!$D:$K,MATCH($E49,Roadmap!$D:$D,0)+COUNTIF($E49:AA49,"u")+COUNTIF($E49:AA49,"t")+COUNTIF($E49:AA49,"¶")+COUNTIF($E49:AA49,"²")+COUNTIF($E49:AA49,"µ")+COUNTIF($E49:AA49,1),ColTypeEcheance)),
  IF(LEN(AA49)=1,
  IF(LEN(INDEX(Roadmap!$D:$K,MATCH($E49,Roadmap!$D:$D,0)-1+COUNTIF($E49:AA49,"u")+COUNTIF($E49:AA49,"t")+COUNTIF($E49:AA49,"¶")+COUNTIF($E49:AA49,"²")+COUNTIF($E49:AA49,"µ")+COUNTIF($E49:AA49,1),ColDescriptionCourte))&gt;1,
HYPERLINK("#Roadmap!C"&amp; MATCH($E49,Roadmap!$D:$D,0)+COUNTIF($E49:AA49,"u")+COUNTIF($E49:AA49,"t")+COUNTIF($E49:AA49,"¶")+COUNTIF($E49:AA49,"²")+COUNTIF($E49:AA49,"µ")+COUNTIF($E49:AA49,1)-1,INDEX(Roadmap!$D:$K,MATCH($E49,Roadmap!$D:$D,0)-1+COUNTIF($E49:AA49,"u")+COUNTIF($E49:AA49,"t")+COUNTIF($E49:AA49,"¶")+COUNTIF($E49:AA49,"²")+COUNTIF($E49:AA49,"µ")+COUNTIF($E49:AA49,1),ColDescriptionCourte)),""),
  "")),"")</f>
        <v/>
      </c>
      <c r="AC49" s="40" t="str">
        <f ca="1">IFERROR(IF(AND(
  INDEX(Roadmap!$D:$K,MATCH($E49,Roadmap!$D:$D,0)+COUNTIF($E49:AB49,"u")+COUNTIF($E49:AB49,"t")+COUNTIF($E49:AB49,"¶")+COUNTIF($E49:AB49,"²")+COUNTIF($E49:AB49,"µ")+COUNTIF($E49:AB49,1),ColLivraison)=AC$6,
  VLOOKUP($E49,INDIRECT("tri!"&amp; CHAR(64+ C0Col) &amp;":"&amp; CHAR(65+C0Col)),2,FALSE)&gt;COUNTIF($E49:AB49,"u")+COUNTIF($E49:AB49,"t")+COUNTIF($E49:AB49,"¶")+COUNTIF($E49:AB49,"²")+COUNTIF($E49:AB49,"µ")+COUNTIF($E49:AB49,1)),
HYPERLINK("#Roadmap!C"&amp; MATCH($E49,Roadmap!$D:$D,0)+COUNTIF($E49:AB49,"u")+COUNTIF($E49:AB49,"t"),
     INDEX(Roadmap!$D:$K,MATCH($E49,Roadmap!$D:$D,0)+COUNTIF($E49:AB49,"u")+COUNTIF($E49:AB49,"t")+COUNTIF($E49:AB49,"¶")+COUNTIF($E49:AB49,"²")+COUNTIF($E49:AB49,"µ")+COUNTIF($E49:AB49,1),ColTypeEcheance)),
  IF(LEN(AB49)=1,
  IF(LEN(INDEX(Roadmap!$D:$K,MATCH($E49,Roadmap!$D:$D,0)-1+COUNTIF($E49:AB49,"u")+COUNTIF($E49:AB49,"t")+COUNTIF($E49:AB49,"¶")+COUNTIF($E49:AB49,"²")+COUNTIF($E49:AB49,"µ")+COUNTIF($E49:AB49,1),ColDescriptionCourte))&gt;1,
HYPERLINK("#Roadmap!C"&amp; MATCH($E49,Roadmap!$D:$D,0)+COUNTIF($E49:AB49,"u")+COUNTIF($E49:AB49,"t")+COUNTIF($E49:AB49,"¶")+COUNTIF($E49:AB49,"²")+COUNTIF($E49:AB49,"µ")+COUNTIF($E49:AB49,1)-1,INDEX(Roadmap!$D:$K,MATCH($E49,Roadmap!$D:$D,0)-1+COUNTIF($E49:AB49,"u")+COUNTIF($E49:AB49,"t")+COUNTIF($E49:AB49,"¶")+COUNTIF($E49:AB49,"²")+COUNTIF($E49:AB49,"µ")+COUNTIF($E49:AB49,1),ColDescriptionCourte)),""),
  "")),"")</f>
        <v/>
      </c>
      <c r="AD49" s="40" t="str">
        <f ca="1">IFERROR(IF(AND(
  INDEX(Roadmap!$D:$K,MATCH($E49,Roadmap!$D:$D,0)+COUNTIF($E49:AC49,"u")+COUNTIF($E49:AC49,"t")+COUNTIF($E49:AC49,"¶")+COUNTIF($E49:AC49,"²")+COUNTIF($E49:AC49,"µ")+COUNTIF($E49:AC49,1),ColLivraison)=AD$6,
  VLOOKUP($E49,INDIRECT("tri!"&amp; CHAR(64+ C0Col) &amp;":"&amp; CHAR(65+C0Col)),2,FALSE)&gt;COUNTIF($E49:AC49,"u")+COUNTIF($E49:AC49,"t")+COUNTIF($E49:AC49,"¶")+COUNTIF($E49:AC49,"²")+COUNTIF($E49:AC49,"µ")+COUNTIF($E49:AC49,1)),
HYPERLINK("#Roadmap!C"&amp; MATCH($E49,Roadmap!$D:$D,0)+COUNTIF($E49:AC49,"u")+COUNTIF($E49:AC49,"t"),
     INDEX(Roadmap!$D:$K,MATCH($E49,Roadmap!$D:$D,0)+COUNTIF($E49:AC49,"u")+COUNTIF($E49:AC49,"t")+COUNTIF($E49:AC49,"¶")+COUNTIF($E49:AC49,"²")+COUNTIF($E49:AC49,"µ")+COUNTIF($E49:AC49,1),ColTypeEcheance)),
  IF(LEN(AC49)=1,
  IF(LEN(INDEX(Roadmap!$D:$K,MATCH($E49,Roadmap!$D:$D,0)-1+COUNTIF($E49:AC49,"u")+COUNTIF($E49:AC49,"t")+COUNTIF($E49:AC49,"¶")+COUNTIF($E49:AC49,"²")+COUNTIF($E49:AC49,"µ")+COUNTIF($E49:AC49,1),ColDescriptionCourte))&gt;1,
HYPERLINK("#Roadmap!C"&amp; MATCH($E49,Roadmap!$D:$D,0)+COUNTIF($E49:AC49,"u")+COUNTIF($E49:AC49,"t")+COUNTIF($E49:AC49,"¶")+COUNTIF($E49:AC49,"²")+COUNTIF($E49:AC49,"µ")+COUNTIF($E49:AC49,1)-1,INDEX(Roadmap!$D:$K,MATCH($E49,Roadmap!$D:$D,0)-1+COUNTIF($E49:AC49,"u")+COUNTIF($E49:AC49,"t")+COUNTIF($E49:AC49,"¶")+COUNTIF($E49:AC49,"²")+COUNTIF($E49:AC49,"µ")+COUNTIF($E49:AC49,1),ColDescriptionCourte)),""),
  "")),"")</f>
        <v/>
      </c>
      <c r="AE49" s="40" t="str">
        <f ca="1">IFERROR(IF(AND(
  INDEX(Roadmap!$D:$K,MATCH($E49,Roadmap!$D:$D,0)+COUNTIF($E49:AD49,"u")+COUNTIF($E49:AD49,"t")+COUNTIF($E49:AD49,"¶")+COUNTIF($E49:AD49,"²")+COUNTIF($E49:AD49,"µ")+COUNTIF($E49:AD49,1),ColLivraison)=AE$6,
  VLOOKUP($E49,INDIRECT("tri!"&amp; CHAR(64+ C0Col) &amp;":"&amp; CHAR(65+C0Col)),2,FALSE)&gt;COUNTIF($E49:AD49,"u")+COUNTIF($E49:AD49,"t")+COUNTIF($E49:AD49,"¶")+COUNTIF($E49:AD49,"²")+COUNTIF($E49:AD49,"µ")+COUNTIF($E49:AD49,1)),
HYPERLINK("#Roadmap!C"&amp; MATCH($E49,Roadmap!$D:$D,0)+COUNTIF($E49:AD49,"u")+COUNTIF($E49:AD49,"t"),
     INDEX(Roadmap!$D:$K,MATCH($E49,Roadmap!$D:$D,0)+COUNTIF($E49:AD49,"u")+COUNTIF($E49:AD49,"t")+COUNTIF($E49:AD49,"¶")+COUNTIF($E49:AD49,"²")+COUNTIF($E49:AD49,"µ")+COUNTIF($E49:AD49,1),ColTypeEcheance)),
  IF(LEN(AD49)=1,
  IF(LEN(INDEX(Roadmap!$D:$K,MATCH($E49,Roadmap!$D:$D,0)-1+COUNTIF($E49:AD49,"u")+COUNTIF($E49:AD49,"t")+COUNTIF($E49:AD49,"¶")+COUNTIF($E49:AD49,"²")+COUNTIF($E49:AD49,"µ")+COUNTIF($E49:AD49,1),ColDescriptionCourte))&gt;1,
HYPERLINK("#Roadmap!C"&amp; MATCH($E49,Roadmap!$D:$D,0)+COUNTIF($E49:AD49,"u")+COUNTIF($E49:AD49,"t")+COUNTIF($E49:AD49,"¶")+COUNTIF($E49:AD49,"²")+COUNTIF($E49:AD49,"µ")+COUNTIF($E49:AD49,1)-1,INDEX(Roadmap!$D:$K,MATCH($E49,Roadmap!$D:$D,0)-1+COUNTIF($E49:AD49,"u")+COUNTIF($E49:AD49,"t")+COUNTIF($E49:AD49,"¶")+COUNTIF($E49:AD49,"²")+COUNTIF($E49:AD49,"µ")+COUNTIF($E49:AD49,1),ColDescriptionCourte)),""),
  "")),"")</f>
        <v/>
      </c>
      <c r="AF49" s="40" t="str">
        <f ca="1">IFERROR(IF(AND(
  INDEX(Roadmap!$D:$K,MATCH($E49,Roadmap!$D:$D,0)+COUNTIF($E49:AE49,"u")+COUNTIF($E49:AE49,"t")+COUNTIF($E49:AE49,"¶")+COUNTIF($E49:AE49,"²")+COUNTIF($E49:AE49,"µ")+COUNTIF($E49:AE49,1),ColLivraison)=AF$6,
  VLOOKUP($E49,INDIRECT("tri!"&amp; CHAR(64+ C0Col) &amp;":"&amp; CHAR(65+C0Col)),2,FALSE)&gt;COUNTIF($E49:AE49,"u")+COUNTIF($E49:AE49,"t")+COUNTIF($E49:AE49,"¶")+COUNTIF($E49:AE49,"²")+COUNTIF($E49:AE49,"µ")+COUNTIF($E49:AE49,1)),
HYPERLINK("#Roadmap!C"&amp; MATCH($E49,Roadmap!$D:$D,0)+COUNTIF($E49:AE49,"u")+COUNTIF($E49:AE49,"t"),
     INDEX(Roadmap!$D:$K,MATCH($E49,Roadmap!$D:$D,0)+COUNTIF($E49:AE49,"u")+COUNTIF($E49:AE49,"t")+COUNTIF($E49:AE49,"¶")+COUNTIF($E49:AE49,"²")+COUNTIF($E49:AE49,"µ")+COUNTIF($E49:AE49,1),ColTypeEcheance)),
  IF(LEN(AE49)=1,
  IF(LEN(INDEX(Roadmap!$D:$K,MATCH($E49,Roadmap!$D:$D,0)-1+COUNTIF($E49:AE49,"u")+COUNTIF($E49:AE49,"t")+COUNTIF($E49:AE49,"¶")+COUNTIF($E49:AE49,"²")+COUNTIF($E49:AE49,"µ")+COUNTIF($E49:AE49,1),ColDescriptionCourte))&gt;1,
HYPERLINK("#Roadmap!C"&amp; MATCH($E49,Roadmap!$D:$D,0)+COUNTIF($E49:AE49,"u")+COUNTIF($E49:AE49,"t")+COUNTIF($E49:AE49,"¶")+COUNTIF($E49:AE49,"²")+COUNTIF($E49:AE49,"µ")+COUNTIF($E49:AE49,1)-1,INDEX(Roadmap!$D:$K,MATCH($E49,Roadmap!$D:$D,0)-1+COUNTIF($E49:AE49,"u")+COUNTIF($E49:AE49,"t")+COUNTIF($E49:AE49,"¶")+COUNTIF($E49:AE49,"²")+COUNTIF($E49:AE49,"µ")+COUNTIF($E49:AE49,1),ColDescriptionCourte)),""),
  "")),"")</f>
        <v/>
      </c>
      <c r="AG49" s="40" t="str">
        <f ca="1">IFERROR(IF(AND(
  INDEX(Roadmap!$D:$K,MATCH($E49,Roadmap!$D:$D,0)+COUNTIF($E49:AF49,"u")+COUNTIF($E49:AF49,"t")+COUNTIF($E49:AF49,"¶")+COUNTIF($E49:AF49,"²")+COUNTIF($E49:AF49,"µ")+COUNTIF($E49:AF49,1),ColLivraison)=AG$6,
  VLOOKUP($E49,INDIRECT("tri!"&amp; CHAR(64+ C0Col) &amp;":"&amp; CHAR(65+C0Col)),2,FALSE)&gt;COUNTIF($E49:AF49,"u")+COUNTIF($E49:AF49,"t")+COUNTIF($E49:AF49,"¶")+COUNTIF($E49:AF49,"²")+COUNTIF($E49:AF49,"µ")+COUNTIF($E49:AF49,1)),
HYPERLINK("#Roadmap!C"&amp; MATCH($E49,Roadmap!$D:$D,0)+COUNTIF($E49:AF49,"u")+COUNTIF($E49:AF49,"t"),
     INDEX(Roadmap!$D:$K,MATCH($E49,Roadmap!$D:$D,0)+COUNTIF($E49:AF49,"u")+COUNTIF($E49:AF49,"t")+COUNTIF($E49:AF49,"¶")+COUNTIF($E49:AF49,"²")+COUNTIF($E49:AF49,"µ")+COUNTIF($E49:AF49,1),ColTypeEcheance)),
  IF(LEN(AF49)=1,
  IF(LEN(INDEX(Roadmap!$D:$K,MATCH($E49,Roadmap!$D:$D,0)-1+COUNTIF($E49:AF49,"u")+COUNTIF($E49:AF49,"t")+COUNTIF($E49:AF49,"¶")+COUNTIF($E49:AF49,"²")+COUNTIF($E49:AF49,"µ")+COUNTIF($E49:AF49,1),ColDescriptionCourte))&gt;1,
HYPERLINK("#Roadmap!C"&amp; MATCH($E49,Roadmap!$D:$D,0)+COUNTIF($E49:AF49,"u")+COUNTIF($E49:AF49,"t")+COUNTIF($E49:AF49,"¶")+COUNTIF($E49:AF49,"²")+COUNTIF($E49:AF49,"µ")+COUNTIF($E49:AF49,1)-1,INDEX(Roadmap!$D:$K,MATCH($E49,Roadmap!$D:$D,0)-1+COUNTIF($E49:AF49,"u")+COUNTIF($E49:AF49,"t")+COUNTIF($E49:AF49,"¶")+COUNTIF($E49:AF49,"²")+COUNTIF($E49:AF49,"µ")+COUNTIF($E49:AF49,1),ColDescriptionCourte)),""),
  "")),"")</f>
        <v/>
      </c>
    </row>
    <row r="50" spans="3:33" ht="14.25" customHeight="1">
      <c r="C50" s="1" t="str">
        <f t="shared" ca="1" si="44"/>
        <v/>
      </c>
      <c r="D50" s="1" t="str">
        <f t="shared" ca="1" si="45"/>
        <v/>
      </c>
      <c r="E50" s="35" t="str">
        <f t="shared" ca="1" si="33"/>
        <v/>
      </c>
      <c r="F50" s="39" t="str">
        <f ca="1">IFERROR(IF(AND(
  INDEX(Roadmap!$D:$K,MATCH($E50,Roadmap!$D:$D,0)+COUNTIF($E50:E50,"u")+COUNTIF($E50:E50,"t")+COUNTIF($E50:E50,"¶")+COUNTIF($E50:E50,"²")+COUNTIF($E50:E50,"µ")+COUNTIF($E50:E50,1),ColLivraison)=F$6,
  VLOOKUP($E50,INDIRECT("tri!"&amp; CHAR(64+ C0Col) &amp;":"&amp; CHAR(65+C0Col)),2,FALSE)&gt;COUNTIF($E50:E50,"u")+COUNTIF($E50:E50,"t")+COUNTIF($E50:E50,"¶")+COUNTIF($E50:E50,"²")+COUNTIF($E50:E50,"µ")+COUNTIF($E50:E50,1)),
HYPERLINK("#Roadmap!C"&amp; MATCH($E50,Roadmap!$D:$D,0)+COUNTIF($E50:E50,"u")+COUNTIF($E50:E50,"t"),
     INDEX(Roadmap!$D:$K,MATCH($E50,Roadmap!$D:$D,0)+COUNTIF($E50:E50,"u")+COUNTIF($E50:E50,"t")+COUNTIF($E50:E50,"¶")+COUNTIF($E50:E50,"²")+COUNTIF($E50:E50,"µ")+COUNTIF($E50:E50,1),ColTypeEcheance)),
  IF(LEN(E50)=1,
  IF(LEN(INDEX(Roadmap!$D:$K,MATCH($E50,Roadmap!$D:$D,0)-1+COUNTIF($E50:E50,"u")+COUNTIF($E50:E50,"t")+COUNTIF($E50:E50,"¶")+COUNTIF($E50:E50,"²")+COUNTIF($E50:E50,"µ")+COUNTIF($E50:E50,1),ColDescriptionCourte))&gt;1,
HYPERLINK("#Roadmap!C"&amp; MATCH($E50,Roadmap!$D:$D,0)+COUNTIF($E50:E50,"u")+COUNTIF($E50:E50,"t")+COUNTIF($E50:E50,"¶")+COUNTIF($E50:E50,"²")+COUNTIF($E50:E50,"µ")+COUNTIF($E50:E50,1)-1,INDEX(Roadmap!$D:$K,MATCH($E50,Roadmap!$D:$D,0)-1+COUNTIF($E50:E50,"u")+COUNTIF($E50:E50,"t")+COUNTIF($E50:E50,"¶")+COUNTIF($E50:E50,"²")+COUNTIF($E50:E50,"µ")+COUNTIF($E50:E50,1),ColDescriptionCourte)),""),
  "")),"")</f>
        <v/>
      </c>
      <c r="G50" s="40" t="str">
        <f ca="1">IFERROR(IF(AND(
  INDEX(Roadmap!$D:$K,MATCH($E50,Roadmap!$D:$D,0)+COUNTIF($E50:F50,"u")+COUNTIF($E50:F50,"t")+COUNTIF($E50:F50,"¶")+COUNTIF($E50:F50,"²")+COUNTIF($E50:F50,"µ")+COUNTIF($E50:F50,1),ColLivraison)=G$6,
  VLOOKUP($E50,INDIRECT("tri!"&amp; CHAR(64+ C0Col) &amp;":"&amp; CHAR(65+C0Col)),2,FALSE)&gt;COUNTIF($E50:F50,"u")+COUNTIF($E50:F50,"t")+COUNTIF($E50:F50,"¶")+COUNTIF($E50:F50,"²")+COUNTIF($E50:F50,"µ")+COUNTIF($E50:F50,1)),
HYPERLINK("#Roadmap!C"&amp; MATCH($E50,Roadmap!$D:$D,0)+COUNTIF($E50:F50,"u")+COUNTIF($E50:F50,"t"),
     INDEX(Roadmap!$D:$K,MATCH($E50,Roadmap!$D:$D,0)+COUNTIF($E50:F50,"u")+COUNTIF($E50:F50,"t")+COUNTIF($E50:F50,"¶")+COUNTIF($E50:F50,"²")+COUNTIF($E50:F50,"µ")+COUNTIF($E50:F50,1),ColTypeEcheance)),
  IF(LEN(F50)=1,
  IF(LEN(INDEX(Roadmap!$D:$K,MATCH($E50,Roadmap!$D:$D,0)-1+COUNTIF($E50:F50,"u")+COUNTIF($E50:F50,"t")+COUNTIF($E50:F50,"¶")+COUNTIF($E50:F50,"²")+COUNTIF($E50:F50,"µ")+COUNTIF($E50:F50,1),ColDescriptionCourte))&gt;1,
HYPERLINK("#Roadmap!C"&amp; MATCH($E50,Roadmap!$D:$D,0)+COUNTIF($E50:F50,"u")+COUNTIF($E50:F50,"t")+COUNTIF($E50:F50,"¶")+COUNTIF($E50:F50,"²")+COUNTIF($E50:F50,"µ")+COUNTIF($E50:F50,1)-1,INDEX(Roadmap!$D:$K,MATCH($E50,Roadmap!$D:$D,0)-1+COUNTIF($E50:F50,"u")+COUNTIF($E50:F50,"t")+COUNTIF($E50:F50,"¶")+COUNTIF($E50:F50,"²")+COUNTIF($E50:F50,"µ")+COUNTIF($E50:F50,1),ColDescriptionCourte)),""),
  "")),"")</f>
        <v/>
      </c>
      <c r="H50" s="40" t="str">
        <f ca="1">IFERROR(IF(AND(
  INDEX(Roadmap!$D:$K,MATCH($E50,Roadmap!$D:$D,0)+COUNTIF($E50:G50,"u")+COUNTIF($E50:G50,"t")+COUNTIF($E50:G50,"¶")+COUNTIF($E50:G50,"²")+COUNTIF($E50:G50,"µ")+COUNTIF($E50:G50,1),ColLivraison)=H$6,
  VLOOKUP($E50,INDIRECT("tri!"&amp; CHAR(64+ C0Col) &amp;":"&amp; CHAR(65+C0Col)),2,FALSE)&gt;COUNTIF($E50:G50,"u")+COUNTIF($E50:G50,"t")+COUNTIF($E50:G50,"¶")+COUNTIF($E50:G50,"²")+COUNTIF($E50:G50,"µ")+COUNTIF($E50:G50,1)),
HYPERLINK("#Roadmap!C"&amp; MATCH($E50,Roadmap!$D:$D,0)+COUNTIF($E50:G50,"u")+COUNTIF($E50:G50,"t"),
     INDEX(Roadmap!$D:$K,MATCH($E50,Roadmap!$D:$D,0)+COUNTIF($E50:G50,"u")+COUNTIF($E50:G50,"t")+COUNTIF($E50:G50,"¶")+COUNTIF($E50:G50,"²")+COUNTIF($E50:G50,"µ")+COUNTIF($E50:G50,1),ColTypeEcheance)),
  IF(LEN(G50)=1,
  IF(LEN(INDEX(Roadmap!$D:$K,MATCH($E50,Roadmap!$D:$D,0)-1+COUNTIF($E50:G50,"u")+COUNTIF($E50:G50,"t")+COUNTIF($E50:G50,"¶")+COUNTIF($E50:G50,"²")+COUNTIF($E50:G50,"µ")+COUNTIF($E50:G50,1),ColDescriptionCourte))&gt;1,
HYPERLINK("#Roadmap!C"&amp; MATCH($E50,Roadmap!$D:$D,0)+COUNTIF($E50:G50,"u")+COUNTIF($E50:G50,"t")+COUNTIF($E50:G50,"¶")+COUNTIF($E50:G50,"²")+COUNTIF($E50:G50,"µ")+COUNTIF($E50:G50,1)-1,INDEX(Roadmap!$D:$K,MATCH($E50,Roadmap!$D:$D,0)-1+COUNTIF($E50:G50,"u")+COUNTIF($E50:G50,"t")+COUNTIF($E50:G50,"¶")+COUNTIF($E50:G50,"²")+COUNTIF($E50:G50,"µ")+COUNTIF($E50:G50,1),ColDescriptionCourte)),""),
  "")),"")</f>
        <v/>
      </c>
      <c r="I50" s="40" t="str">
        <f ca="1">IFERROR(IF(AND(
  INDEX(Roadmap!$D:$K,MATCH($E50,Roadmap!$D:$D,0)+COUNTIF($E50:H50,"u")+COUNTIF($E50:H50,"t")+COUNTIF($E50:H50,"¶")+COUNTIF($E50:H50,"²")+COUNTIF($E50:H50,"µ")+COUNTIF($E50:H50,1),ColLivraison)=I$6,
  VLOOKUP($E50,INDIRECT("tri!"&amp; CHAR(64+ C0Col) &amp;":"&amp; CHAR(65+C0Col)),2,FALSE)&gt;COUNTIF($E50:H50,"u")+COUNTIF($E50:H50,"t")+COUNTIF($E50:H50,"¶")+COUNTIF($E50:H50,"²")+COUNTIF($E50:H50,"µ")+COUNTIF($E50:H50,1)),
HYPERLINK("#Roadmap!C"&amp; MATCH($E50,Roadmap!$D:$D,0)+COUNTIF($E50:H50,"u")+COUNTIF($E50:H50,"t"),
     INDEX(Roadmap!$D:$K,MATCH($E50,Roadmap!$D:$D,0)+COUNTIF($E50:H50,"u")+COUNTIF($E50:H50,"t")+COUNTIF($E50:H50,"¶")+COUNTIF($E50:H50,"²")+COUNTIF($E50:H50,"µ")+COUNTIF($E50:H50,1),ColTypeEcheance)),
  IF(LEN(H50)=1,
  IF(LEN(INDEX(Roadmap!$D:$K,MATCH($E50,Roadmap!$D:$D,0)-1+COUNTIF($E50:H50,"u")+COUNTIF($E50:H50,"t")+COUNTIF($E50:H50,"¶")+COUNTIF($E50:H50,"²")+COUNTIF($E50:H50,"µ")+COUNTIF($E50:H50,1),ColDescriptionCourte))&gt;1,
HYPERLINK("#Roadmap!C"&amp; MATCH($E50,Roadmap!$D:$D,0)+COUNTIF($E50:H50,"u")+COUNTIF($E50:H50,"t")+COUNTIF($E50:H50,"¶")+COUNTIF($E50:H50,"²")+COUNTIF($E50:H50,"µ")+COUNTIF($E50:H50,1)-1,INDEX(Roadmap!$D:$K,MATCH($E50,Roadmap!$D:$D,0)-1+COUNTIF($E50:H50,"u")+COUNTIF($E50:H50,"t")+COUNTIF($E50:H50,"¶")+COUNTIF($E50:H50,"²")+COUNTIF($E50:H50,"µ")+COUNTIF($E50:H50,1),ColDescriptionCourte)),""),
  "")),"")</f>
        <v/>
      </c>
      <c r="J50" s="40" t="str">
        <f ca="1">IFERROR(IF(AND(
  INDEX(Roadmap!$D:$K,MATCH($E50,Roadmap!$D:$D,0)+COUNTIF($E50:I50,"u")+COUNTIF($E50:I50,"t")+COUNTIF($E50:I50,"¶")+COUNTIF($E50:I50,"²")+COUNTIF($E50:I50,"µ")+COUNTIF($E50:I50,1),ColLivraison)=J$6,
  VLOOKUP($E50,INDIRECT("tri!"&amp; CHAR(64+ C0Col) &amp;":"&amp; CHAR(65+C0Col)),2,FALSE)&gt;COUNTIF($E50:I50,"u")+COUNTIF($E50:I50,"t")+COUNTIF($E50:I50,"¶")+COUNTIF($E50:I50,"²")+COUNTIF($E50:I50,"µ")+COUNTIF($E50:I50,1)),
HYPERLINK("#Roadmap!C"&amp; MATCH($E50,Roadmap!$D:$D,0)+COUNTIF($E50:I50,"u")+COUNTIF($E50:I50,"t"),
     INDEX(Roadmap!$D:$K,MATCH($E50,Roadmap!$D:$D,0)+COUNTIF($E50:I50,"u")+COUNTIF($E50:I50,"t")+COUNTIF($E50:I50,"¶")+COUNTIF($E50:I50,"²")+COUNTIF($E50:I50,"µ")+COUNTIF($E50:I50,1),ColTypeEcheance)),
  IF(LEN(I50)=1,
  IF(LEN(INDEX(Roadmap!$D:$K,MATCH($E50,Roadmap!$D:$D,0)-1+COUNTIF($E50:I50,"u")+COUNTIF($E50:I50,"t")+COUNTIF($E50:I50,"¶")+COUNTIF($E50:I50,"²")+COUNTIF($E50:I50,"µ")+COUNTIF($E50:I50,1),ColDescriptionCourte))&gt;1,
HYPERLINK("#Roadmap!C"&amp; MATCH($E50,Roadmap!$D:$D,0)+COUNTIF($E50:I50,"u")+COUNTIF($E50:I50,"t")+COUNTIF($E50:I50,"¶")+COUNTIF($E50:I50,"²")+COUNTIF($E50:I50,"µ")+COUNTIF($E50:I50,1)-1,INDEX(Roadmap!$D:$K,MATCH($E50,Roadmap!$D:$D,0)-1+COUNTIF($E50:I50,"u")+COUNTIF($E50:I50,"t")+COUNTIF($E50:I50,"¶")+COUNTIF($E50:I50,"²")+COUNTIF($E50:I50,"µ")+COUNTIF($E50:I50,1),ColDescriptionCourte)),""),
  "")),"")</f>
        <v/>
      </c>
      <c r="K50" s="40" t="str">
        <f ca="1">IFERROR(IF(AND(
  INDEX(Roadmap!$D:$K,MATCH($E50,Roadmap!$D:$D,0)+COUNTIF($E50:J50,"u")+COUNTIF($E50:J50,"t")+COUNTIF($E50:J50,"¶")+COUNTIF($E50:J50,"²")+COUNTIF($E50:J50,"µ")+COUNTIF($E50:J50,1),ColLivraison)=K$6,
  VLOOKUP($E50,INDIRECT("tri!"&amp; CHAR(64+ C0Col) &amp;":"&amp; CHAR(65+C0Col)),2,FALSE)&gt;COUNTIF($E50:J50,"u")+COUNTIF($E50:J50,"t")+COUNTIF($E50:J50,"¶")+COUNTIF($E50:J50,"²")+COUNTIF($E50:J50,"µ")+COUNTIF($E50:J50,1)),
HYPERLINK("#Roadmap!C"&amp; MATCH($E50,Roadmap!$D:$D,0)+COUNTIF($E50:J50,"u")+COUNTIF($E50:J50,"t"),
     INDEX(Roadmap!$D:$K,MATCH($E50,Roadmap!$D:$D,0)+COUNTIF($E50:J50,"u")+COUNTIF($E50:J50,"t")+COUNTIF($E50:J50,"¶")+COUNTIF($E50:J50,"²")+COUNTIF($E50:J50,"µ")+COUNTIF($E50:J50,1),ColTypeEcheance)),
  IF(LEN(J50)=1,
  IF(LEN(INDEX(Roadmap!$D:$K,MATCH($E50,Roadmap!$D:$D,0)-1+COUNTIF($E50:J50,"u")+COUNTIF($E50:J50,"t")+COUNTIF($E50:J50,"¶")+COUNTIF($E50:J50,"²")+COUNTIF($E50:J50,"µ")+COUNTIF($E50:J50,1),ColDescriptionCourte))&gt;1,
HYPERLINK("#Roadmap!C"&amp; MATCH($E50,Roadmap!$D:$D,0)+COUNTIF($E50:J50,"u")+COUNTIF($E50:J50,"t")+COUNTIF($E50:J50,"¶")+COUNTIF($E50:J50,"²")+COUNTIF($E50:J50,"µ")+COUNTIF($E50:J50,1)-1,INDEX(Roadmap!$D:$K,MATCH($E50,Roadmap!$D:$D,0)-1+COUNTIF($E50:J50,"u")+COUNTIF($E50:J50,"t")+COUNTIF($E50:J50,"¶")+COUNTIF($E50:J50,"²")+COUNTIF($E50:J50,"µ")+COUNTIF($E50:J50,1),ColDescriptionCourte)),""),
  "")),"")</f>
        <v/>
      </c>
      <c r="L50" s="39" t="str">
        <f ca="1">IFERROR(IF(AND(
  INDEX(Roadmap!$D:$K,MATCH($E50,Roadmap!$D:$D,0)+COUNTIF($E50:K50,"u")+COUNTIF($E50:K50,"t")+COUNTIF($E50:K50,"¶")+COUNTIF($E50:K50,"²")+COUNTIF($E50:K50,"µ")+COUNTIF($E50:K50,1),ColLivraison)=L$6,
  VLOOKUP($E50,INDIRECT("tri!"&amp; CHAR(64+ C0Col) &amp;":"&amp; CHAR(65+C0Col)),2,FALSE)&gt;COUNTIF($E50:K50,"u")+COUNTIF($E50:K50,"t")+COUNTIF($E50:K50,"¶")+COUNTIF($E50:K50,"²")+COUNTIF($E50:K50,"µ")+COUNTIF($E50:K50,1)),
HYPERLINK("#Roadmap!C"&amp; MATCH($E50,Roadmap!$D:$D,0)+COUNTIF($E50:K50,"u")+COUNTIF($E50:K50,"t"),
     INDEX(Roadmap!$D:$K,MATCH($E50,Roadmap!$D:$D,0)+COUNTIF($E50:K50,"u")+COUNTIF($E50:K50,"t")+COUNTIF($E50:K50,"¶")+COUNTIF($E50:K50,"²")+COUNTIF($E50:K50,"µ")+COUNTIF($E50:K50,1),ColTypeEcheance)),
  IF(LEN(K50)=1,
  IF(LEN(INDEX(Roadmap!$D:$K,MATCH($E50,Roadmap!$D:$D,0)-1+COUNTIF($E50:K50,"u")+COUNTIF($E50:K50,"t")+COUNTIF($E50:K50,"¶")+COUNTIF($E50:K50,"²")+COUNTIF($E50:K50,"µ")+COUNTIF($E50:K50,1),ColDescriptionCourte))&gt;1,
HYPERLINK("#Roadmap!C"&amp; MATCH($E50,Roadmap!$D:$D,0)+COUNTIF($E50:K50,"u")+COUNTIF($E50:K50,"t")+COUNTIF($E50:K50,"¶")+COUNTIF($E50:K50,"²")+COUNTIF($E50:K50,"µ")+COUNTIF($E50:K50,1)-1,INDEX(Roadmap!$D:$K,MATCH($E50,Roadmap!$D:$D,0)-1+COUNTIF($E50:K50,"u")+COUNTIF($E50:K50,"t")+COUNTIF($E50:K50,"¶")+COUNTIF($E50:K50,"²")+COUNTIF($E50:K50,"µ")+COUNTIF($E50:K50,1),ColDescriptionCourte)),""),
  "")),"")</f>
        <v/>
      </c>
      <c r="M50" s="40" t="str">
        <f ca="1">IFERROR(IF(AND(
  INDEX(Roadmap!$D:$K,MATCH($E50,Roadmap!$D:$D,0)+COUNTIF($E50:L50,"u")+COUNTIF($E50:L50,"t")+COUNTIF($E50:L50,"¶")+COUNTIF($E50:L50,"²")+COUNTIF($E50:L50,"µ")+COUNTIF($E50:L50,1),ColLivraison)=M$6,
  VLOOKUP($E50,INDIRECT("tri!"&amp; CHAR(64+ C0Col) &amp;":"&amp; CHAR(65+C0Col)),2,FALSE)&gt;COUNTIF($E50:L50,"u")+COUNTIF($E50:L50,"t")+COUNTIF($E50:L50,"¶")+COUNTIF($E50:L50,"²")+COUNTIF($E50:L50,"µ")+COUNTIF($E50:L50,1)),
HYPERLINK("#Roadmap!C"&amp; MATCH($E50,Roadmap!$D:$D,0)+COUNTIF($E50:L50,"u")+COUNTIF($E50:L50,"t"),
     INDEX(Roadmap!$D:$K,MATCH($E50,Roadmap!$D:$D,0)+COUNTIF($E50:L50,"u")+COUNTIF($E50:L50,"t")+COUNTIF($E50:L50,"¶")+COUNTIF($E50:L50,"²")+COUNTIF($E50:L50,"µ")+COUNTIF($E50:L50,1),ColTypeEcheance)),
  IF(LEN(L50)=1,
  IF(LEN(INDEX(Roadmap!$D:$K,MATCH($E50,Roadmap!$D:$D,0)-1+COUNTIF($E50:L50,"u")+COUNTIF($E50:L50,"t")+COUNTIF($E50:L50,"¶")+COUNTIF($E50:L50,"²")+COUNTIF($E50:L50,"µ")+COUNTIF($E50:L50,1),ColDescriptionCourte))&gt;1,
HYPERLINK("#Roadmap!C"&amp; MATCH($E50,Roadmap!$D:$D,0)+COUNTIF($E50:L50,"u")+COUNTIF($E50:L50,"t")+COUNTIF($E50:L50,"¶")+COUNTIF($E50:L50,"²")+COUNTIF($E50:L50,"µ")+COUNTIF($E50:L50,1)-1,INDEX(Roadmap!$D:$K,MATCH($E50,Roadmap!$D:$D,0)-1+COUNTIF($E50:L50,"u")+COUNTIF($E50:L50,"t")+COUNTIF($E50:L50,"¶")+COUNTIF($E50:L50,"²")+COUNTIF($E50:L50,"µ")+COUNTIF($E50:L50,1),ColDescriptionCourte)),""),
  "")),"")</f>
        <v/>
      </c>
      <c r="N50" s="40" t="str">
        <f ca="1">IFERROR(IF(AND(
  INDEX(Roadmap!$D:$K,MATCH($E50,Roadmap!$D:$D,0)+COUNTIF($E50:M50,"u")+COUNTIF($E50:M50,"t")+COUNTIF($E50:M50,"¶")+COUNTIF($E50:M50,"²")+COUNTIF($E50:M50,"µ")+COUNTIF($E50:M50,1),ColLivraison)=N$6,
  VLOOKUP($E50,INDIRECT("tri!"&amp; CHAR(64+ C0Col) &amp;":"&amp; CHAR(65+C0Col)),2,FALSE)&gt;COUNTIF($E50:M50,"u")+COUNTIF($E50:M50,"t")+COUNTIF($E50:M50,"¶")+COUNTIF($E50:M50,"²")+COUNTIF($E50:M50,"µ")+COUNTIF($E50:M50,1)),
HYPERLINK("#Roadmap!C"&amp; MATCH($E50,Roadmap!$D:$D,0)+COUNTIF($E50:M50,"u")+COUNTIF($E50:M50,"t"),
     INDEX(Roadmap!$D:$K,MATCH($E50,Roadmap!$D:$D,0)+COUNTIF($E50:M50,"u")+COUNTIF($E50:M50,"t")+COUNTIF($E50:M50,"¶")+COUNTIF($E50:M50,"²")+COUNTIF($E50:M50,"µ")+COUNTIF($E50:M50,1),ColTypeEcheance)),
  IF(LEN(M50)=1,
  IF(LEN(INDEX(Roadmap!$D:$K,MATCH($E50,Roadmap!$D:$D,0)-1+COUNTIF($E50:M50,"u")+COUNTIF($E50:M50,"t")+COUNTIF($E50:M50,"¶")+COUNTIF($E50:M50,"²")+COUNTIF($E50:M50,"µ")+COUNTIF($E50:M50,1),ColDescriptionCourte))&gt;1,
HYPERLINK("#Roadmap!C"&amp; MATCH($E50,Roadmap!$D:$D,0)+COUNTIF($E50:M50,"u")+COUNTIF($E50:M50,"t")+COUNTIF($E50:M50,"¶")+COUNTIF($E50:M50,"²")+COUNTIF($E50:M50,"µ")+COUNTIF($E50:M50,1)-1,INDEX(Roadmap!$D:$K,MATCH($E50,Roadmap!$D:$D,0)-1+COUNTIF($E50:M50,"u")+COUNTIF($E50:M50,"t")+COUNTIF($E50:M50,"¶")+COUNTIF($E50:M50,"²")+COUNTIF($E50:M50,"µ")+COUNTIF($E50:M50,1),ColDescriptionCourte)),""),
  "")),"")</f>
        <v/>
      </c>
      <c r="O50" s="40" t="str">
        <f ca="1">IFERROR(IF(AND(
  INDEX(Roadmap!$D:$K,MATCH($E50,Roadmap!$D:$D,0)+COUNTIF($E50:N50,"u")+COUNTIF($E50:N50,"t")+COUNTIF($E50:N50,"¶")+COUNTIF($E50:N50,"²")+COUNTIF($E50:N50,"µ")+COUNTIF($E50:N50,1),ColLivraison)=O$6,
  VLOOKUP($E50,INDIRECT("tri!"&amp; CHAR(64+ C0Col) &amp;":"&amp; CHAR(65+C0Col)),2,FALSE)&gt;COUNTIF($E50:N50,"u")+COUNTIF($E50:N50,"t")+COUNTIF($E50:N50,"¶")+COUNTIF($E50:N50,"²")+COUNTIF($E50:N50,"µ")+COUNTIF($E50:N50,1)),
HYPERLINK("#Roadmap!C"&amp; MATCH($E50,Roadmap!$D:$D,0)+COUNTIF($E50:N50,"u")+COUNTIF($E50:N50,"t"),
     INDEX(Roadmap!$D:$K,MATCH($E50,Roadmap!$D:$D,0)+COUNTIF($E50:N50,"u")+COUNTIF($E50:N50,"t")+COUNTIF($E50:N50,"¶")+COUNTIF($E50:N50,"²")+COUNTIF($E50:N50,"µ")+COUNTIF($E50:N50,1),ColTypeEcheance)),
  IF(LEN(N50)=1,
  IF(LEN(INDEX(Roadmap!$D:$K,MATCH($E50,Roadmap!$D:$D,0)-1+COUNTIF($E50:N50,"u")+COUNTIF($E50:N50,"t")+COUNTIF($E50:N50,"¶")+COUNTIF($E50:N50,"²")+COUNTIF($E50:N50,"µ")+COUNTIF($E50:N50,1),ColDescriptionCourte))&gt;1,
HYPERLINK("#Roadmap!C"&amp; MATCH($E50,Roadmap!$D:$D,0)+COUNTIF($E50:N50,"u")+COUNTIF($E50:N50,"t")+COUNTIF($E50:N50,"¶")+COUNTIF($E50:N50,"²")+COUNTIF($E50:N50,"µ")+COUNTIF($E50:N50,1)-1,INDEX(Roadmap!$D:$K,MATCH($E50,Roadmap!$D:$D,0)-1+COUNTIF($E50:N50,"u")+COUNTIF($E50:N50,"t")+COUNTIF($E50:N50,"¶")+COUNTIF($E50:N50,"²")+COUNTIF($E50:N50,"µ")+COUNTIF($E50:N50,1),ColDescriptionCourte)),""),
  "")),"")</f>
        <v/>
      </c>
      <c r="P50" s="40" t="str">
        <f ca="1">IFERROR(IF(AND(
  INDEX(Roadmap!$D:$K,MATCH($E50,Roadmap!$D:$D,0)+COUNTIF($E50:O50,"u")+COUNTIF($E50:O50,"t")+COUNTIF($E50:O50,"¶")+COUNTIF($E50:O50,"²")+COUNTIF($E50:O50,"µ")+COUNTIF($E50:O50,1),ColLivraison)=P$6,
  VLOOKUP($E50,INDIRECT("tri!"&amp; CHAR(64+ C0Col) &amp;":"&amp; CHAR(65+C0Col)),2,FALSE)&gt;COUNTIF($E50:O50,"u")+COUNTIF($E50:O50,"t")+COUNTIF($E50:O50,"¶")+COUNTIF($E50:O50,"²")+COUNTIF($E50:O50,"µ")+COUNTIF($E50:O50,1)),
HYPERLINK("#Roadmap!C"&amp; MATCH($E50,Roadmap!$D:$D,0)+COUNTIF($E50:O50,"u")+COUNTIF($E50:O50,"t"),
     INDEX(Roadmap!$D:$K,MATCH($E50,Roadmap!$D:$D,0)+COUNTIF($E50:O50,"u")+COUNTIF($E50:O50,"t")+COUNTIF($E50:O50,"¶")+COUNTIF($E50:O50,"²")+COUNTIF($E50:O50,"µ")+COUNTIF($E50:O50,1),ColTypeEcheance)),
  IF(LEN(O50)=1,
  IF(LEN(INDEX(Roadmap!$D:$K,MATCH($E50,Roadmap!$D:$D,0)-1+COUNTIF($E50:O50,"u")+COUNTIF($E50:O50,"t")+COUNTIF($E50:O50,"¶")+COUNTIF($E50:O50,"²")+COUNTIF($E50:O50,"µ")+COUNTIF($E50:O50,1),ColDescriptionCourte))&gt;1,
HYPERLINK("#Roadmap!C"&amp; MATCH($E50,Roadmap!$D:$D,0)+COUNTIF($E50:O50,"u")+COUNTIF($E50:O50,"t")+COUNTIF($E50:O50,"¶")+COUNTIF($E50:O50,"²")+COUNTIF($E50:O50,"µ")+COUNTIF($E50:O50,1)-1,INDEX(Roadmap!$D:$K,MATCH($E50,Roadmap!$D:$D,0)-1+COUNTIF($E50:O50,"u")+COUNTIF($E50:O50,"t")+COUNTIF($E50:O50,"¶")+COUNTIF($E50:O50,"²")+COUNTIF($E50:O50,"µ")+COUNTIF($E50:O50,1),ColDescriptionCourte)),""),
  "")),"")</f>
        <v/>
      </c>
      <c r="Q50" s="40" t="str">
        <f ca="1">IFERROR(IF(AND(
  INDEX(Roadmap!$D:$K,MATCH($E50,Roadmap!$D:$D,0)+COUNTIF($E50:P50,"u")+COUNTIF($E50:P50,"t")+COUNTIF($E50:P50,"¶")+COUNTIF($E50:P50,"²")+COUNTIF($E50:P50,"µ")+COUNTIF($E50:P50,1),ColLivraison)=Q$6,
  VLOOKUP($E50,INDIRECT("tri!"&amp; CHAR(64+ C0Col) &amp;":"&amp; CHAR(65+C0Col)),2,FALSE)&gt;COUNTIF($E50:P50,"u")+COUNTIF($E50:P50,"t")+COUNTIF($E50:P50,"¶")+COUNTIF($E50:P50,"²")+COUNTIF($E50:P50,"µ")+COUNTIF($E50:P50,1)),
HYPERLINK("#Roadmap!C"&amp; MATCH($E50,Roadmap!$D:$D,0)+COUNTIF($E50:P50,"u")+COUNTIF($E50:P50,"t"),
     INDEX(Roadmap!$D:$K,MATCH($E50,Roadmap!$D:$D,0)+COUNTIF($E50:P50,"u")+COUNTIF($E50:P50,"t")+COUNTIF($E50:P50,"¶")+COUNTIF($E50:P50,"²")+COUNTIF($E50:P50,"µ")+COUNTIF($E50:P50,1),ColTypeEcheance)),
  IF(LEN(P50)=1,
  IF(LEN(INDEX(Roadmap!$D:$K,MATCH($E50,Roadmap!$D:$D,0)-1+COUNTIF($E50:P50,"u")+COUNTIF($E50:P50,"t")+COUNTIF($E50:P50,"¶")+COUNTIF($E50:P50,"²")+COUNTIF($E50:P50,"µ")+COUNTIF($E50:P50,1),ColDescriptionCourte))&gt;1,
HYPERLINK("#Roadmap!C"&amp; MATCH($E50,Roadmap!$D:$D,0)+COUNTIF($E50:P50,"u")+COUNTIF($E50:P50,"t")+COUNTIF($E50:P50,"¶")+COUNTIF($E50:P50,"²")+COUNTIF($E50:P50,"µ")+COUNTIF($E50:P50,1)-1,INDEX(Roadmap!$D:$K,MATCH($E50,Roadmap!$D:$D,0)-1+COUNTIF($E50:P50,"u")+COUNTIF($E50:P50,"t")+COUNTIF($E50:P50,"¶")+COUNTIF($E50:P50,"²")+COUNTIF($E50:P50,"µ")+COUNTIF($E50:P50,1),ColDescriptionCourte)),""),
  "")),"")</f>
        <v/>
      </c>
      <c r="R50" s="40" t="str">
        <f ca="1">IFERROR(IF(AND(
  INDEX(Roadmap!$D:$K,MATCH($E50,Roadmap!$D:$D,0)+COUNTIF($E50:Q50,"u")+COUNTIF($E50:Q50,"t")+COUNTIF($E50:Q50,"¶")+COUNTIF($E50:Q50,"²")+COUNTIF($E50:Q50,"µ")+COUNTIF($E50:Q50,1),ColLivraison)=R$6,
  VLOOKUP($E50,INDIRECT("tri!"&amp; CHAR(64+ C0Col) &amp;":"&amp; CHAR(65+C0Col)),2,FALSE)&gt;COUNTIF($E50:Q50,"u")+COUNTIF($E50:Q50,"t")+COUNTIF($E50:Q50,"¶")+COUNTIF($E50:Q50,"²")+COUNTIF($E50:Q50,"µ")+COUNTIF($E50:Q50,1)),
HYPERLINK("#Roadmap!C"&amp; MATCH($E50,Roadmap!$D:$D,0)+COUNTIF($E50:Q50,"u")+COUNTIF($E50:Q50,"t"),
     INDEX(Roadmap!$D:$K,MATCH($E50,Roadmap!$D:$D,0)+COUNTIF($E50:Q50,"u")+COUNTIF($E50:Q50,"t")+COUNTIF($E50:Q50,"¶")+COUNTIF($E50:Q50,"²")+COUNTIF($E50:Q50,"µ")+COUNTIF($E50:Q50,1),ColTypeEcheance)),
  IF(LEN(Q50)=1,
  IF(LEN(INDEX(Roadmap!$D:$K,MATCH($E50,Roadmap!$D:$D,0)-1+COUNTIF($E50:Q50,"u")+COUNTIF($E50:Q50,"t")+COUNTIF($E50:Q50,"¶")+COUNTIF($E50:Q50,"²")+COUNTIF($E50:Q50,"µ")+COUNTIF($E50:Q50,1),ColDescriptionCourte))&gt;1,
HYPERLINK("#Roadmap!C"&amp; MATCH($E50,Roadmap!$D:$D,0)+COUNTIF($E50:Q50,"u")+COUNTIF($E50:Q50,"t")+COUNTIF($E50:Q50,"¶")+COUNTIF($E50:Q50,"²")+COUNTIF($E50:Q50,"µ")+COUNTIF($E50:Q50,1)-1,INDEX(Roadmap!$D:$K,MATCH($E50,Roadmap!$D:$D,0)-1+COUNTIF($E50:Q50,"u")+COUNTIF($E50:Q50,"t")+COUNTIF($E50:Q50,"¶")+COUNTIF($E50:Q50,"²")+COUNTIF($E50:Q50,"µ")+COUNTIF($E50:Q50,1),ColDescriptionCourte)),""),
  "")),"")</f>
        <v/>
      </c>
      <c r="S50" s="40" t="str">
        <f ca="1">IFERROR(IF(AND(
  INDEX(Roadmap!$D:$K,MATCH($E50,Roadmap!$D:$D,0)+COUNTIF($E50:R50,"u")+COUNTIF($E50:R50,"t")+COUNTIF($E50:R50,"¶")+COUNTIF($E50:R50,"²")+COUNTIF($E50:R50,"µ")+COUNTIF($E50:R50,1),ColLivraison)=S$6,
  VLOOKUP($E50,INDIRECT("tri!"&amp; CHAR(64+ C0Col) &amp;":"&amp; CHAR(65+C0Col)),2,FALSE)&gt;COUNTIF($E50:R50,"u")+COUNTIF($E50:R50,"t")+COUNTIF($E50:R50,"¶")+COUNTIF($E50:R50,"²")+COUNTIF($E50:R50,"µ")+COUNTIF($E50:R50,1)),
HYPERLINK("#Roadmap!C"&amp; MATCH($E50,Roadmap!$D:$D,0)+COUNTIF($E50:R50,"u")+COUNTIF($E50:R50,"t"),
     INDEX(Roadmap!$D:$K,MATCH($E50,Roadmap!$D:$D,0)+COUNTIF($E50:R50,"u")+COUNTIF($E50:R50,"t")+COUNTIF($E50:R50,"¶")+COUNTIF($E50:R50,"²")+COUNTIF($E50:R50,"µ")+COUNTIF($E50:R50,1),ColTypeEcheance)),
  IF(LEN(R50)=1,
  IF(LEN(INDEX(Roadmap!$D:$K,MATCH($E50,Roadmap!$D:$D,0)-1+COUNTIF($E50:R50,"u")+COUNTIF($E50:R50,"t")+COUNTIF($E50:R50,"¶")+COUNTIF($E50:R50,"²")+COUNTIF($E50:R50,"µ")+COUNTIF($E50:R50,1),ColDescriptionCourte))&gt;1,
HYPERLINK("#Roadmap!C"&amp; MATCH($E50,Roadmap!$D:$D,0)+COUNTIF($E50:R50,"u")+COUNTIF($E50:R50,"t")+COUNTIF($E50:R50,"¶")+COUNTIF($E50:R50,"²")+COUNTIF($E50:R50,"µ")+COUNTIF($E50:R50,1)-1,INDEX(Roadmap!$D:$K,MATCH($E50,Roadmap!$D:$D,0)-1+COUNTIF($E50:R50,"u")+COUNTIF($E50:R50,"t")+COUNTIF($E50:R50,"¶")+COUNTIF($E50:R50,"²")+COUNTIF($E50:R50,"µ")+COUNTIF($E50:R50,1),ColDescriptionCourte)),""),
  "")),"")</f>
        <v/>
      </c>
      <c r="T50" s="40" t="str">
        <f ca="1">IFERROR(IF(AND(
  INDEX(Roadmap!$D:$K,MATCH($E50,Roadmap!$D:$D,0)+COUNTIF($E50:S50,"u")+COUNTIF($E50:S50,"t")+COUNTIF($E50:S50,"¶")+COUNTIF($E50:S50,"²")+COUNTIF($E50:S50,"µ")+COUNTIF($E50:S50,1),ColLivraison)=T$6,
  VLOOKUP($E50,INDIRECT("tri!"&amp; CHAR(64+ C0Col) &amp;":"&amp; CHAR(65+C0Col)),2,FALSE)&gt;COUNTIF($E50:S50,"u")+COUNTIF($E50:S50,"t")+COUNTIF($E50:S50,"¶")+COUNTIF($E50:S50,"²")+COUNTIF($E50:S50,"µ")+COUNTIF($E50:S50,1)),
HYPERLINK("#Roadmap!C"&amp; MATCH($E50,Roadmap!$D:$D,0)+COUNTIF($E50:S50,"u")+COUNTIF($E50:S50,"t"),
     INDEX(Roadmap!$D:$K,MATCH($E50,Roadmap!$D:$D,0)+COUNTIF($E50:S50,"u")+COUNTIF($E50:S50,"t")+COUNTIF($E50:S50,"¶")+COUNTIF($E50:S50,"²")+COUNTIF($E50:S50,"µ")+COUNTIF($E50:S50,1),ColTypeEcheance)),
  IF(LEN(S50)=1,
  IF(LEN(INDEX(Roadmap!$D:$K,MATCH($E50,Roadmap!$D:$D,0)-1+COUNTIF($E50:S50,"u")+COUNTIF($E50:S50,"t")+COUNTIF($E50:S50,"¶")+COUNTIF($E50:S50,"²")+COUNTIF($E50:S50,"µ")+COUNTIF($E50:S50,1),ColDescriptionCourte))&gt;1,
HYPERLINK("#Roadmap!C"&amp; MATCH($E50,Roadmap!$D:$D,0)+COUNTIF($E50:S50,"u")+COUNTIF($E50:S50,"t")+COUNTIF($E50:S50,"¶")+COUNTIF($E50:S50,"²")+COUNTIF($E50:S50,"µ")+COUNTIF($E50:S50,1)-1,INDEX(Roadmap!$D:$K,MATCH($E50,Roadmap!$D:$D,0)-1+COUNTIF($E50:S50,"u")+COUNTIF($E50:S50,"t")+COUNTIF($E50:S50,"¶")+COUNTIF($E50:S50,"²")+COUNTIF($E50:S50,"µ")+COUNTIF($E50:S50,1),ColDescriptionCourte)),""),
  "")),"")</f>
        <v/>
      </c>
      <c r="U50" s="40" t="str">
        <f ca="1">IFERROR(IF(AND(
  INDEX(Roadmap!$D:$K,MATCH($E50,Roadmap!$D:$D,0)+COUNTIF($E50:T50,"u")+COUNTIF($E50:T50,"t")+COUNTIF($E50:T50,"¶")+COUNTIF($E50:T50,"²")+COUNTIF($E50:T50,"µ")+COUNTIF($E50:T50,1),ColLivraison)=U$6,
  VLOOKUP($E50,INDIRECT("tri!"&amp; CHAR(64+ C0Col) &amp;":"&amp; CHAR(65+C0Col)),2,FALSE)&gt;COUNTIF($E50:T50,"u")+COUNTIF($E50:T50,"t")+COUNTIF($E50:T50,"¶")+COUNTIF($E50:T50,"²")+COUNTIF($E50:T50,"µ")+COUNTIF($E50:T50,1)),
HYPERLINK("#Roadmap!C"&amp; MATCH($E50,Roadmap!$D:$D,0)+COUNTIF($E50:T50,"u")+COUNTIF($E50:T50,"t"),
     INDEX(Roadmap!$D:$K,MATCH($E50,Roadmap!$D:$D,0)+COUNTIF($E50:T50,"u")+COUNTIF($E50:T50,"t")+COUNTIF($E50:T50,"¶")+COUNTIF($E50:T50,"²")+COUNTIF($E50:T50,"µ")+COUNTIF($E50:T50,1),ColTypeEcheance)),
  IF(LEN(T50)=1,
  IF(LEN(INDEX(Roadmap!$D:$K,MATCH($E50,Roadmap!$D:$D,0)-1+COUNTIF($E50:T50,"u")+COUNTIF($E50:T50,"t")+COUNTIF($E50:T50,"¶")+COUNTIF($E50:T50,"²")+COUNTIF($E50:T50,"µ")+COUNTIF($E50:T50,1),ColDescriptionCourte))&gt;1,
HYPERLINK("#Roadmap!C"&amp; MATCH($E50,Roadmap!$D:$D,0)+COUNTIF($E50:T50,"u")+COUNTIF($E50:T50,"t")+COUNTIF($E50:T50,"¶")+COUNTIF($E50:T50,"²")+COUNTIF($E50:T50,"µ")+COUNTIF($E50:T50,1)-1,INDEX(Roadmap!$D:$K,MATCH($E50,Roadmap!$D:$D,0)-1+COUNTIF($E50:T50,"u")+COUNTIF($E50:T50,"t")+COUNTIF($E50:T50,"¶")+COUNTIF($E50:T50,"²")+COUNTIF($E50:T50,"µ")+COUNTIF($E50:T50,1),ColDescriptionCourte)),""),
  "")),"")</f>
        <v/>
      </c>
      <c r="V50" s="40" t="str">
        <f ca="1">IFERROR(IF(AND(
  INDEX(Roadmap!$D:$K,MATCH($E50,Roadmap!$D:$D,0)+COUNTIF($E50:U50,"u")+COUNTIF($E50:U50,"t")+COUNTIF($E50:U50,"¶")+COUNTIF($E50:U50,"²")+COUNTIF($E50:U50,"µ")+COUNTIF($E50:U50,1),ColLivraison)=V$6,
  VLOOKUP($E50,INDIRECT("tri!"&amp; CHAR(64+ C0Col) &amp;":"&amp; CHAR(65+C0Col)),2,FALSE)&gt;COUNTIF($E50:U50,"u")+COUNTIF($E50:U50,"t")+COUNTIF($E50:U50,"¶")+COUNTIF($E50:U50,"²")+COUNTIF($E50:U50,"µ")+COUNTIF($E50:U50,1)),
HYPERLINK("#Roadmap!C"&amp; MATCH($E50,Roadmap!$D:$D,0)+COUNTIF($E50:U50,"u")+COUNTIF($E50:U50,"t"),
     INDEX(Roadmap!$D:$K,MATCH($E50,Roadmap!$D:$D,0)+COUNTIF($E50:U50,"u")+COUNTIF($E50:U50,"t")+COUNTIF($E50:U50,"¶")+COUNTIF($E50:U50,"²")+COUNTIF($E50:U50,"µ")+COUNTIF($E50:U50,1),ColTypeEcheance)),
  IF(LEN(U50)=1,
  IF(LEN(INDEX(Roadmap!$D:$K,MATCH($E50,Roadmap!$D:$D,0)-1+COUNTIF($E50:U50,"u")+COUNTIF($E50:U50,"t")+COUNTIF($E50:U50,"¶")+COUNTIF($E50:U50,"²")+COUNTIF($E50:U50,"µ")+COUNTIF($E50:U50,1),ColDescriptionCourte))&gt;1,
HYPERLINK("#Roadmap!C"&amp; MATCH($E50,Roadmap!$D:$D,0)+COUNTIF($E50:U50,"u")+COUNTIF($E50:U50,"t")+COUNTIF($E50:U50,"¶")+COUNTIF($E50:U50,"²")+COUNTIF($E50:U50,"µ")+COUNTIF($E50:U50,1)-1,INDEX(Roadmap!$D:$K,MATCH($E50,Roadmap!$D:$D,0)-1+COUNTIF($E50:U50,"u")+COUNTIF($E50:U50,"t")+COUNTIF($E50:U50,"¶")+COUNTIF($E50:U50,"²")+COUNTIF($E50:U50,"µ")+COUNTIF($E50:U50,1),ColDescriptionCourte)),""),
  "")),"")</f>
        <v/>
      </c>
      <c r="W50" s="40" t="str">
        <f ca="1">IFERROR(IF(AND(
  INDEX(Roadmap!$D:$K,MATCH($E50,Roadmap!$D:$D,0)+COUNTIF($E50:V50,"u")+COUNTIF($E50:V50,"t")+COUNTIF($E50:V50,"¶")+COUNTIF($E50:V50,"²")+COUNTIF($E50:V50,"µ")+COUNTIF($E50:V50,1),ColLivraison)=W$6,
  VLOOKUP($E50,INDIRECT("tri!"&amp; CHAR(64+ C0Col) &amp;":"&amp; CHAR(65+C0Col)),2,FALSE)&gt;COUNTIF($E50:V50,"u")+COUNTIF($E50:V50,"t")+COUNTIF($E50:V50,"¶")+COUNTIF($E50:V50,"²")+COUNTIF($E50:V50,"µ")+COUNTIF($E50:V50,1)),
HYPERLINK("#Roadmap!C"&amp; MATCH($E50,Roadmap!$D:$D,0)+COUNTIF($E50:V50,"u")+COUNTIF($E50:V50,"t"),
     INDEX(Roadmap!$D:$K,MATCH($E50,Roadmap!$D:$D,0)+COUNTIF($E50:V50,"u")+COUNTIF($E50:V50,"t")+COUNTIF($E50:V50,"¶")+COUNTIF($E50:V50,"²")+COUNTIF($E50:V50,"µ")+COUNTIF($E50:V50,1),ColTypeEcheance)),
  IF(LEN(V50)=1,
  IF(LEN(INDEX(Roadmap!$D:$K,MATCH($E50,Roadmap!$D:$D,0)-1+COUNTIF($E50:V50,"u")+COUNTIF($E50:V50,"t")+COUNTIF($E50:V50,"¶")+COUNTIF($E50:V50,"²")+COUNTIF($E50:V50,"µ")+COUNTIF($E50:V50,1),ColDescriptionCourte))&gt;1,
HYPERLINK("#Roadmap!C"&amp; MATCH($E50,Roadmap!$D:$D,0)+COUNTIF($E50:V50,"u")+COUNTIF($E50:V50,"t")+COUNTIF($E50:V50,"¶")+COUNTIF($E50:V50,"²")+COUNTIF($E50:V50,"µ")+COUNTIF($E50:V50,1)-1,INDEX(Roadmap!$D:$K,MATCH($E50,Roadmap!$D:$D,0)-1+COUNTIF($E50:V50,"u")+COUNTIF($E50:V50,"t")+COUNTIF($E50:V50,"¶")+COUNTIF($E50:V50,"²")+COUNTIF($E50:V50,"µ")+COUNTIF($E50:V50,1),ColDescriptionCourte)),""),
  "")),"")</f>
        <v/>
      </c>
      <c r="X50" s="40" t="str">
        <f ca="1">IFERROR(IF(AND(
  INDEX(Roadmap!$D:$K,MATCH($E50,Roadmap!$D:$D,0)+COUNTIF($E50:W50,"u")+COUNTIF($E50:W50,"t")+COUNTIF($E50:W50,"¶")+COUNTIF($E50:W50,"²")+COUNTIF($E50:W50,"µ")+COUNTIF($E50:W50,1),ColLivraison)=X$6,
  VLOOKUP($E50,INDIRECT("tri!"&amp; CHAR(64+ C0Col) &amp;":"&amp; CHAR(65+C0Col)),2,FALSE)&gt;COUNTIF($E50:W50,"u")+COUNTIF($E50:W50,"t")+COUNTIF($E50:W50,"¶")+COUNTIF($E50:W50,"²")+COUNTIF($E50:W50,"µ")+COUNTIF($E50:W50,1)),
HYPERLINK("#Roadmap!C"&amp; MATCH($E50,Roadmap!$D:$D,0)+COUNTIF($E50:W50,"u")+COUNTIF($E50:W50,"t"),
     INDEX(Roadmap!$D:$K,MATCH($E50,Roadmap!$D:$D,0)+COUNTIF($E50:W50,"u")+COUNTIF($E50:W50,"t")+COUNTIF($E50:W50,"¶")+COUNTIF($E50:W50,"²")+COUNTIF($E50:W50,"µ")+COUNTIF($E50:W50,1),ColTypeEcheance)),
  IF(LEN(W50)=1,
  IF(LEN(INDEX(Roadmap!$D:$K,MATCH($E50,Roadmap!$D:$D,0)-1+COUNTIF($E50:W50,"u")+COUNTIF($E50:W50,"t")+COUNTIF($E50:W50,"¶")+COUNTIF($E50:W50,"²")+COUNTIF($E50:W50,"µ")+COUNTIF($E50:W50,1),ColDescriptionCourte))&gt;1,
HYPERLINK("#Roadmap!C"&amp; MATCH($E50,Roadmap!$D:$D,0)+COUNTIF($E50:W50,"u")+COUNTIF($E50:W50,"t")+COUNTIF($E50:W50,"¶")+COUNTIF($E50:W50,"²")+COUNTIF($E50:W50,"µ")+COUNTIF($E50:W50,1)-1,INDEX(Roadmap!$D:$K,MATCH($E50,Roadmap!$D:$D,0)-1+COUNTIF($E50:W50,"u")+COUNTIF($E50:W50,"t")+COUNTIF($E50:W50,"¶")+COUNTIF($E50:W50,"²")+COUNTIF($E50:W50,"µ")+COUNTIF($E50:W50,1),ColDescriptionCourte)),""),
  "")),"")</f>
        <v/>
      </c>
      <c r="Y50" s="40" t="str">
        <f ca="1">IFERROR(IF(AND(
  INDEX(Roadmap!$D:$K,MATCH($E50,Roadmap!$D:$D,0)+COUNTIF($E50:X50,"u")+COUNTIF($E50:X50,"t")+COUNTIF($E50:X50,"¶")+COUNTIF($E50:X50,"²")+COUNTIF($E50:X50,"µ")+COUNTIF($E50:X50,1),ColLivraison)=Y$6,
  VLOOKUP($E50,INDIRECT("tri!"&amp; CHAR(64+ C0Col) &amp;":"&amp; CHAR(65+C0Col)),2,FALSE)&gt;COUNTIF($E50:X50,"u")+COUNTIF($E50:X50,"t")+COUNTIF($E50:X50,"¶")+COUNTIF($E50:X50,"²")+COUNTIF($E50:X50,"µ")+COUNTIF($E50:X50,1)),
HYPERLINK("#Roadmap!C"&amp; MATCH($E50,Roadmap!$D:$D,0)+COUNTIF($E50:X50,"u")+COUNTIF($E50:X50,"t"),
     INDEX(Roadmap!$D:$K,MATCH($E50,Roadmap!$D:$D,0)+COUNTIF($E50:X50,"u")+COUNTIF($E50:X50,"t")+COUNTIF($E50:X50,"¶")+COUNTIF($E50:X50,"²")+COUNTIF($E50:X50,"µ")+COUNTIF($E50:X50,1),ColTypeEcheance)),
  IF(LEN(X50)=1,
  IF(LEN(INDEX(Roadmap!$D:$K,MATCH($E50,Roadmap!$D:$D,0)-1+COUNTIF($E50:X50,"u")+COUNTIF($E50:X50,"t")+COUNTIF($E50:X50,"¶")+COUNTIF($E50:X50,"²")+COUNTIF($E50:X50,"µ")+COUNTIF($E50:X50,1),ColDescriptionCourte))&gt;1,
HYPERLINK("#Roadmap!C"&amp; MATCH($E50,Roadmap!$D:$D,0)+COUNTIF($E50:X50,"u")+COUNTIF($E50:X50,"t")+COUNTIF($E50:X50,"¶")+COUNTIF($E50:X50,"²")+COUNTIF($E50:X50,"µ")+COUNTIF($E50:X50,1)-1,INDEX(Roadmap!$D:$K,MATCH($E50,Roadmap!$D:$D,0)-1+COUNTIF($E50:X50,"u")+COUNTIF($E50:X50,"t")+COUNTIF($E50:X50,"¶")+COUNTIF($E50:X50,"²")+COUNTIF($E50:X50,"µ")+COUNTIF($E50:X50,1),ColDescriptionCourte)),""),
  "")),"")</f>
        <v/>
      </c>
      <c r="Z50" s="40" t="str">
        <f ca="1">IFERROR(IF(AND(
  INDEX(Roadmap!$D:$K,MATCH($E50,Roadmap!$D:$D,0)+COUNTIF($E50:Y50,"u")+COUNTIF($E50:Y50,"t")+COUNTIF($E50:Y50,"¶")+COUNTIF($E50:Y50,"²")+COUNTIF($E50:Y50,"µ")+COUNTIF($E50:Y50,1),ColLivraison)=Z$6,
  VLOOKUP($E50,INDIRECT("tri!"&amp; CHAR(64+ C0Col) &amp;":"&amp; CHAR(65+C0Col)),2,FALSE)&gt;COUNTIF($E50:Y50,"u")+COUNTIF($E50:Y50,"t")+COUNTIF($E50:Y50,"¶")+COUNTIF($E50:Y50,"²")+COUNTIF($E50:Y50,"µ")+COUNTIF($E50:Y50,1)),
HYPERLINK("#Roadmap!C"&amp; MATCH($E50,Roadmap!$D:$D,0)+COUNTIF($E50:Y50,"u")+COUNTIF($E50:Y50,"t"),
     INDEX(Roadmap!$D:$K,MATCH($E50,Roadmap!$D:$D,0)+COUNTIF($E50:Y50,"u")+COUNTIF($E50:Y50,"t")+COUNTIF($E50:Y50,"¶")+COUNTIF($E50:Y50,"²")+COUNTIF($E50:Y50,"µ")+COUNTIF($E50:Y50,1),ColTypeEcheance)),
  IF(LEN(Y50)=1,
  IF(LEN(INDEX(Roadmap!$D:$K,MATCH($E50,Roadmap!$D:$D,0)-1+COUNTIF($E50:Y50,"u")+COUNTIF($E50:Y50,"t")+COUNTIF($E50:Y50,"¶")+COUNTIF($E50:Y50,"²")+COUNTIF($E50:Y50,"µ")+COUNTIF($E50:Y50,1),ColDescriptionCourte))&gt;1,
HYPERLINK("#Roadmap!C"&amp; MATCH($E50,Roadmap!$D:$D,0)+COUNTIF($E50:Y50,"u")+COUNTIF($E50:Y50,"t")+COUNTIF($E50:Y50,"¶")+COUNTIF($E50:Y50,"²")+COUNTIF($E50:Y50,"µ")+COUNTIF($E50:Y50,1)-1,INDEX(Roadmap!$D:$K,MATCH($E50,Roadmap!$D:$D,0)-1+COUNTIF($E50:Y50,"u")+COUNTIF($E50:Y50,"t")+COUNTIF($E50:Y50,"¶")+COUNTIF($E50:Y50,"²")+COUNTIF($E50:Y50,"µ")+COUNTIF($E50:Y50,1),ColDescriptionCourte)),""),
  "")),"")</f>
        <v/>
      </c>
      <c r="AA50" s="40" t="str">
        <f ca="1">IFERROR(IF(AND(
  INDEX(Roadmap!$D:$K,MATCH($E50,Roadmap!$D:$D,0)+COUNTIF($E50:Z50,"u")+COUNTIF($E50:Z50,"t")+COUNTIF($E50:Z50,"¶")+COUNTIF($E50:Z50,"²")+COUNTIF($E50:Z50,"µ")+COUNTIF($E50:Z50,1),ColLivraison)=AA$6,
  VLOOKUP($E50,INDIRECT("tri!"&amp; CHAR(64+ C0Col) &amp;":"&amp; CHAR(65+C0Col)),2,FALSE)&gt;COUNTIF($E50:Z50,"u")+COUNTIF($E50:Z50,"t")+COUNTIF($E50:Z50,"¶")+COUNTIF($E50:Z50,"²")+COUNTIF($E50:Z50,"µ")+COUNTIF($E50:Z50,1)),
HYPERLINK("#Roadmap!C"&amp; MATCH($E50,Roadmap!$D:$D,0)+COUNTIF($E50:Z50,"u")+COUNTIF($E50:Z50,"t"),
     INDEX(Roadmap!$D:$K,MATCH($E50,Roadmap!$D:$D,0)+COUNTIF($E50:Z50,"u")+COUNTIF($E50:Z50,"t")+COUNTIF($E50:Z50,"¶")+COUNTIF($E50:Z50,"²")+COUNTIF($E50:Z50,"µ")+COUNTIF($E50:Z50,1),ColTypeEcheance)),
  IF(LEN(Z50)=1,
  IF(LEN(INDEX(Roadmap!$D:$K,MATCH($E50,Roadmap!$D:$D,0)-1+COUNTIF($E50:Z50,"u")+COUNTIF($E50:Z50,"t")+COUNTIF($E50:Z50,"¶")+COUNTIF($E50:Z50,"²")+COUNTIF($E50:Z50,"µ")+COUNTIF($E50:Z50,1),ColDescriptionCourte))&gt;1,
HYPERLINK("#Roadmap!C"&amp; MATCH($E50,Roadmap!$D:$D,0)+COUNTIF($E50:Z50,"u")+COUNTIF($E50:Z50,"t")+COUNTIF($E50:Z50,"¶")+COUNTIF($E50:Z50,"²")+COUNTIF($E50:Z50,"µ")+COUNTIF($E50:Z50,1)-1,INDEX(Roadmap!$D:$K,MATCH($E50,Roadmap!$D:$D,0)-1+COUNTIF($E50:Z50,"u")+COUNTIF($E50:Z50,"t")+COUNTIF($E50:Z50,"¶")+COUNTIF($E50:Z50,"²")+COUNTIF($E50:Z50,"µ")+COUNTIF($E50:Z50,1),ColDescriptionCourte)),""),
  "")),"")</f>
        <v/>
      </c>
      <c r="AB50" s="40" t="str">
        <f ca="1">IFERROR(IF(AND(
  INDEX(Roadmap!$D:$K,MATCH($E50,Roadmap!$D:$D,0)+COUNTIF($E50:AA50,"u")+COUNTIF($E50:AA50,"t")+COUNTIF($E50:AA50,"¶")+COUNTIF($E50:AA50,"²")+COUNTIF($E50:AA50,"µ")+COUNTIF($E50:AA50,1),ColLivraison)=AB$6,
  VLOOKUP($E50,INDIRECT("tri!"&amp; CHAR(64+ C0Col) &amp;":"&amp; CHAR(65+C0Col)),2,FALSE)&gt;COUNTIF($E50:AA50,"u")+COUNTIF($E50:AA50,"t")+COUNTIF($E50:AA50,"¶")+COUNTIF($E50:AA50,"²")+COUNTIF($E50:AA50,"µ")+COUNTIF($E50:AA50,1)),
HYPERLINK("#Roadmap!C"&amp; MATCH($E50,Roadmap!$D:$D,0)+COUNTIF($E50:AA50,"u")+COUNTIF($E50:AA50,"t"),
     INDEX(Roadmap!$D:$K,MATCH($E50,Roadmap!$D:$D,0)+COUNTIF($E50:AA50,"u")+COUNTIF($E50:AA50,"t")+COUNTIF($E50:AA50,"¶")+COUNTIF($E50:AA50,"²")+COUNTIF($E50:AA50,"µ")+COUNTIF($E50:AA50,1),ColTypeEcheance)),
  IF(LEN(AA50)=1,
  IF(LEN(INDEX(Roadmap!$D:$K,MATCH($E50,Roadmap!$D:$D,0)-1+COUNTIF($E50:AA50,"u")+COUNTIF($E50:AA50,"t")+COUNTIF($E50:AA50,"¶")+COUNTIF($E50:AA50,"²")+COUNTIF($E50:AA50,"µ")+COUNTIF($E50:AA50,1),ColDescriptionCourte))&gt;1,
HYPERLINK("#Roadmap!C"&amp; MATCH($E50,Roadmap!$D:$D,0)+COUNTIF($E50:AA50,"u")+COUNTIF($E50:AA50,"t")+COUNTIF($E50:AA50,"¶")+COUNTIF($E50:AA50,"²")+COUNTIF($E50:AA50,"µ")+COUNTIF($E50:AA50,1)-1,INDEX(Roadmap!$D:$K,MATCH($E50,Roadmap!$D:$D,0)-1+COUNTIF($E50:AA50,"u")+COUNTIF($E50:AA50,"t")+COUNTIF($E50:AA50,"¶")+COUNTIF($E50:AA50,"²")+COUNTIF($E50:AA50,"µ")+COUNTIF($E50:AA50,1),ColDescriptionCourte)),""),
  "")),"")</f>
        <v/>
      </c>
      <c r="AC50" s="40" t="str">
        <f ca="1">IFERROR(IF(AND(
  INDEX(Roadmap!$D:$K,MATCH($E50,Roadmap!$D:$D,0)+COUNTIF($E50:AB50,"u")+COUNTIF($E50:AB50,"t")+COUNTIF($E50:AB50,"¶")+COUNTIF($E50:AB50,"²")+COUNTIF($E50:AB50,"µ")+COUNTIF($E50:AB50,1),ColLivraison)=AC$6,
  VLOOKUP($E50,INDIRECT("tri!"&amp; CHAR(64+ C0Col) &amp;":"&amp; CHAR(65+C0Col)),2,FALSE)&gt;COUNTIF($E50:AB50,"u")+COUNTIF($E50:AB50,"t")+COUNTIF($E50:AB50,"¶")+COUNTIF($E50:AB50,"²")+COUNTIF($E50:AB50,"µ")+COUNTIF($E50:AB50,1)),
HYPERLINK("#Roadmap!C"&amp; MATCH($E50,Roadmap!$D:$D,0)+COUNTIF($E50:AB50,"u")+COUNTIF($E50:AB50,"t"),
     INDEX(Roadmap!$D:$K,MATCH($E50,Roadmap!$D:$D,0)+COUNTIF($E50:AB50,"u")+COUNTIF($E50:AB50,"t")+COUNTIF($E50:AB50,"¶")+COUNTIF($E50:AB50,"²")+COUNTIF($E50:AB50,"µ")+COUNTIF($E50:AB50,1),ColTypeEcheance)),
  IF(LEN(AB50)=1,
  IF(LEN(INDEX(Roadmap!$D:$K,MATCH($E50,Roadmap!$D:$D,0)-1+COUNTIF($E50:AB50,"u")+COUNTIF($E50:AB50,"t")+COUNTIF($E50:AB50,"¶")+COUNTIF($E50:AB50,"²")+COUNTIF($E50:AB50,"µ")+COUNTIF($E50:AB50,1),ColDescriptionCourte))&gt;1,
HYPERLINK("#Roadmap!C"&amp; MATCH($E50,Roadmap!$D:$D,0)+COUNTIF($E50:AB50,"u")+COUNTIF($E50:AB50,"t")+COUNTIF($E50:AB50,"¶")+COUNTIF($E50:AB50,"²")+COUNTIF($E50:AB50,"µ")+COUNTIF($E50:AB50,1)-1,INDEX(Roadmap!$D:$K,MATCH($E50,Roadmap!$D:$D,0)-1+COUNTIF($E50:AB50,"u")+COUNTIF($E50:AB50,"t")+COUNTIF($E50:AB50,"¶")+COUNTIF($E50:AB50,"²")+COUNTIF($E50:AB50,"µ")+COUNTIF($E50:AB50,1),ColDescriptionCourte)),""),
  "")),"")</f>
        <v/>
      </c>
      <c r="AD50" s="40" t="str">
        <f ca="1">IFERROR(IF(AND(
  INDEX(Roadmap!$D:$K,MATCH($E50,Roadmap!$D:$D,0)+COUNTIF($E50:AC50,"u")+COUNTIF($E50:AC50,"t")+COUNTIF($E50:AC50,"¶")+COUNTIF($E50:AC50,"²")+COUNTIF($E50:AC50,"µ")+COUNTIF($E50:AC50,1),ColLivraison)=AD$6,
  VLOOKUP($E50,INDIRECT("tri!"&amp; CHAR(64+ C0Col) &amp;":"&amp; CHAR(65+C0Col)),2,FALSE)&gt;COUNTIF($E50:AC50,"u")+COUNTIF($E50:AC50,"t")+COUNTIF($E50:AC50,"¶")+COUNTIF($E50:AC50,"²")+COUNTIF($E50:AC50,"µ")+COUNTIF($E50:AC50,1)),
HYPERLINK("#Roadmap!C"&amp; MATCH($E50,Roadmap!$D:$D,0)+COUNTIF($E50:AC50,"u")+COUNTIF($E50:AC50,"t"),
     INDEX(Roadmap!$D:$K,MATCH($E50,Roadmap!$D:$D,0)+COUNTIF($E50:AC50,"u")+COUNTIF($E50:AC50,"t")+COUNTIF($E50:AC50,"¶")+COUNTIF($E50:AC50,"²")+COUNTIF($E50:AC50,"µ")+COUNTIF($E50:AC50,1),ColTypeEcheance)),
  IF(LEN(AC50)=1,
  IF(LEN(INDEX(Roadmap!$D:$K,MATCH($E50,Roadmap!$D:$D,0)-1+COUNTIF($E50:AC50,"u")+COUNTIF($E50:AC50,"t")+COUNTIF($E50:AC50,"¶")+COUNTIF($E50:AC50,"²")+COUNTIF($E50:AC50,"µ")+COUNTIF($E50:AC50,1),ColDescriptionCourte))&gt;1,
HYPERLINK("#Roadmap!C"&amp; MATCH($E50,Roadmap!$D:$D,0)+COUNTIF($E50:AC50,"u")+COUNTIF($E50:AC50,"t")+COUNTIF($E50:AC50,"¶")+COUNTIF($E50:AC50,"²")+COUNTIF($E50:AC50,"µ")+COUNTIF($E50:AC50,1)-1,INDEX(Roadmap!$D:$K,MATCH($E50,Roadmap!$D:$D,0)-1+COUNTIF($E50:AC50,"u")+COUNTIF($E50:AC50,"t")+COUNTIF($E50:AC50,"¶")+COUNTIF($E50:AC50,"²")+COUNTIF($E50:AC50,"µ")+COUNTIF($E50:AC50,1),ColDescriptionCourte)),""),
  "")),"")</f>
        <v/>
      </c>
      <c r="AE50" s="40" t="str">
        <f ca="1">IFERROR(IF(AND(
  INDEX(Roadmap!$D:$K,MATCH($E50,Roadmap!$D:$D,0)+COUNTIF($E50:AD50,"u")+COUNTIF($E50:AD50,"t")+COUNTIF($E50:AD50,"¶")+COUNTIF($E50:AD50,"²")+COUNTIF($E50:AD50,"µ")+COUNTIF($E50:AD50,1),ColLivraison)=AE$6,
  VLOOKUP($E50,INDIRECT("tri!"&amp; CHAR(64+ C0Col) &amp;":"&amp; CHAR(65+C0Col)),2,FALSE)&gt;COUNTIF($E50:AD50,"u")+COUNTIF($E50:AD50,"t")+COUNTIF($E50:AD50,"¶")+COUNTIF($E50:AD50,"²")+COUNTIF($E50:AD50,"µ")+COUNTIF($E50:AD50,1)),
HYPERLINK("#Roadmap!C"&amp; MATCH($E50,Roadmap!$D:$D,0)+COUNTIF($E50:AD50,"u")+COUNTIF($E50:AD50,"t"),
     INDEX(Roadmap!$D:$K,MATCH($E50,Roadmap!$D:$D,0)+COUNTIF($E50:AD50,"u")+COUNTIF($E50:AD50,"t")+COUNTIF($E50:AD50,"¶")+COUNTIF($E50:AD50,"²")+COUNTIF($E50:AD50,"µ")+COUNTIF($E50:AD50,1),ColTypeEcheance)),
  IF(LEN(AD50)=1,
  IF(LEN(INDEX(Roadmap!$D:$K,MATCH($E50,Roadmap!$D:$D,0)-1+COUNTIF($E50:AD50,"u")+COUNTIF($E50:AD50,"t")+COUNTIF($E50:AD50,"¶")+COUNTIF($E50:AD50,"²")+COUNTIF($E50:AD50,"µ")+COUNTIF($E50:AD50,1),ColDescriptionCourte))&gt;1,
HYPERLINK("#Roadmap!C"&amp; MATCH($E50,Roadmap!$D:$D,0)+COUNTIF($E50:AD50,"u")+COUNTIF($E50:AD50,"t")+COUNTIF($E50:AD50,"¶")+COUNTIF($E50:AD50,"²")+COUNTIF($E50:AD50,"µ")+COUNTIF($E50:AD50,1)-1,INDEX(Roadmap!$D:$K,MATCH($E50,Roadmap!$D:$D,0)-1+COUNTIF($E50:AD50,"u")+COUNTIF($E50:AD50,"t")+COUNTIF($E50:AD50,"¶")+COUNTIF($E50:AD50,"²")+COUNTIF($E50:AD50,"µ")+COUNTIF($E50:AD50,1),ColDescriptionCourte)),""),
  "")),"")</f>
        <v/>
      </c>
      <c r="AF50" s="40" t="str">
        <f ca="1">IFERROR(IF(AND(
  INDEX(Roadmap!$D:$K,MATCH($E50,Roadmap!$D:$D,0)+COUNTIF($E50:AE50,"u")+COUNTIF($E50:AE50,"t")+COUNTIF($E50:AE50,"¶")+COUNTIF($E50:AE50,"²")+COUNTIF($E50:AE50,"µ")+COUNTIF($E50:AE50,1),ColLivraison)=AF$6,
  VLOOKUP($E50,INDIRECT("tri!"&amp; CHAR(64+ C0Col) &amp;":"&amp; CHAR(65+C0Col)),2,FALSE)&gt;COUNTIF($E50:AE50,"u")+COUNTIF($E50:AE50,"t")+COUNTIF($E50:AE50,"¶")+COUNTIF($E50:AE50,"²")+COUNTIF($E50:AE50,"µ")+COUNTIF($E50:AE50,1)),
HYPERLINK("#Roadmap!C"&amp; MATCH($E50,Roadmap!$D:$D,0)+COUNTIF($E50:AE50,"u")+COUNTIF($E50:AE50,"t"),
     INDEX(Roadmap!$D:$K,MATCH($E50,Roadmap!$D:$D,0)+COUNTIF($E50:AE50,"u")+COUNTIF($E50:AE50,"t")+COUNTIF($E50:AE50,"¶")+COUNTIF($E50:AE50,"²")+COUNTIF($E50:AE50,"µ")+COUNTIF($E50:AE50,1),ColTypeEcheance)),
  IF(LEN(AE50)=1,
  IF(LEN(INDEX(Roadmap!$D:$K,MATCH($E50,Roadmap!$D:$D,0)-1+COUNTIF($E50:AE50,"u")+COUNTIF($E50:AE50,"t")+COUNTIF($E50:AE50,"¶")+COUNTIF($E50:AE50,"²")+COUNTIF($E50:AE50,"µ")+COUNTIF($E50:AE50,1),ColDescriptionCourte))&gt;1,
HYPERLINK("#Roadmap!C"&amp; MATCH($E50,Roadmap!$D:$D,0)+COUNTIF($E50:AE50,"u")+COUNTIF($E50:AE50,"t")+COUNTIF($E50:AE50,"¶")+COUNTIF($E50:AE50,"²")+COUNTIF($E50:AE50,"µ")+COUNTIF($E50:AE50,1)-1,INDEX(Roadmap!$D:$K,MATCH($E50,Roadmap!$D:$D,0)-1+COUNTIF($E50:AE50,"u")+COUNTIF($E50:AE50,"t")+COUNTIF($E50:AE50,"¶")+COUNTIF($E50:AE50,"²")+COUNTIF($E50:AE50,"µ")+COUNTIF($E50:AE50,1),ColDescriptionCourte)),""),
  "")),"")</f>
        <v/>
      </c>
      <c r="AG50" s="40" t="str">
        <f ca="1">IFERROR(IF(AND(
  INDEX(Roadmap!$D:$K,MATCH($E50,Roadmap!$D:$D,0)+COUNTIF($E50:AF50,"u")+COUNTIF($E50:AF50,"t")+COUNTIF($E50:AF50,"¶")+COUNTIF($E50:AF50,"²")+COUNTIF($E50:AF50,"µ")+COUNTIF($E50:AF50,1),ColLivraison)=AG$6,
  VLOOKUP($E50,INDIRECT("tri!"&amp; CHAR(64+ C0Col) &amp;":"&amp; CHAR(65+C0Col)),2,FALSE)&gt;COUNTIF($E50:AF50,"u")+COUNTIF($E50:AF50,"t")+COUNTIF($E50:AF50,"¶")+COUNTIF($E50:AF50,"²")+COUNTIF($E50:AF50,"µ")+COUNTIF($E50:AF50,1)),
HYPERLINK("#Roadmap!C"&amp; MATCH($E50,Roadmap!$D:$D,0)+COUNTIF($E50:AF50,"u")+COUNTIF($E50:AF50,"t"),
     INDEX(Roadmap!$D:$K,MATCH($E50,Roadmap!$D:$D,0)+COUNTIF($E50:AF50,"u")+COUNTIF($E50:AF50,"t")+COUNTIF($E50:AF50,"¶")+COUNTIF($E50:AF50,"²")+COUNTIF($E50:AF50,"µ")+COUNTIF($E50:AF50,1),ColTypeEcheance)),
  IF(LEN(AF50)=1,
  IF(LEN(INDEX(Roadmap!$D:$K,MATCH($E50,Roadmap!$D:$D,0)-1+COUNTIF($E50:AF50,"u")+COUNTIF($E50:AF50,"t")+COUNTIF($E50:AF50,"¶")+COUNTIF($E50:AF50,"²")+COUNTIF($E50:AF50,"µ")+COUNTIF($E50:AF50,1),ColDescriptionCourte))&gt;1,
HYPERLINK("#Roadmap!C"&amp; MATCH($E50,Roadmap!$D:$D,0)+COUNTIF($E50:AF50,"u")+COUNTIF($E50:AF50,"t")+COUNTIF($E50:AF50,"¶")+COUNTIF($E50:AF50,"²")+COUNTIF($E50:AF50,"µ")+COUNTIF($E50:AF50,1)-1,INDEX(Roadmap!$D:$K,MATCH($E50,Roadmap!$D:$D,0)-1+COUNTIF($E50:AF50,"u")+COUNTIF($E50:AF50,"t")+COUNTIF($E50:AF50,"¶")+COUNTIF($E50:AF50,"²")+COUNTIF($E50:AF50,"µ")+COUNTIF($E50:AF50,1),ColDescriptionCourte)),""),
  "")),"")</f>
        <v/>
      </c>
    </row>
    <row r="51" spans="3:33" ht="14.25" customHeight="1">
      <c r="C51" s="1" t="str">
        <f t="shared" ca="1" si="44"/>
        <v/>
      </c>
      <c r="D51" s="1" t="str">
        <f t="shared" ca="1" si="45"/>
        <v/>
      </c>
      <c r="E51" s="35" t="str">
        <f t="shared" ca="1" si="33"/>
        <v/>
      </c>
      <c r="F51" s="39" t="str">
        <f ca="1">IFERROR(IF(AND(
  INDEX(Roadmap!$D:$K,MATCH($E51,Roadmap!$D:$D,0)+COUNTIF($E51:E51,"u")+COUNTIF($E51:E51,"t")+COUNTIF($E51:E51,"¶")+COUNTIF($E51:E51,"²")+COUNTIF($E51:E51,"µ")+COUNTIF($E51:E51,1),ColLivraison)=F$6,
  VLOOKUP($E51,INDIRECT("tri!"&amp; CHAR(64+ C0Col) &amp;":"&amp; CHAR(65+C0Col)),2,FALSE)&gt;COUNTIF($E51:E51,"u")+COUNTIF($E51:E51,"t")+COUNTIF($E51:E51,"¶")+COUNTIF($E51:E51,"²")+COUNTIF($E51:E51,"µ")+COUNTIF($E51:E51,1)),
HYPERLINK("#Roadmap!C"&amp; MATCH($E51,Roadmap!$D:$D,0)+COUNTIF($E51:E51,"u")+COUNTIF($E51:E51,"t"),
     INDEX(Roadmap!$D:$K,MATCH($E51,Roadmap!$D:$D,0)+COUNTIF($E51:E51,"u")+COUNTIF($E51:E51,"t")+COUNTIF($E51:E51,"¶")+COUNTIF($E51:E51,"²")+COUNTIF($E51:E51,"µ")+COUNTIF($E51:E51,1),ColTypeEcheance)),
  IF(LEN(E51)=1,
  IF(LEN(INDEX(Roadmap!$D:$K,MATCH($E51,Roadmap!$D:$D,0)-1+COUNTIF($E51:E51,"u")+COUNTIF($E51:E51,"t")+COUNTIF($E51:E51,"¶")+COUNTIF($E51:E51,"²")+COUNTIF($E51:E51,"µ")+COUNTIF($E51:E51,1),ColDescriptionCourte))&gt;1,
HYPERLINK("#Roadmap!C"&amp; MATCH($E51,Roadmap!$D:$D,0)+COUNTIF($E51:E51,"u")+COUNTIF($E51:E51,"t")+COUNTIF($E51:E51,"¶")+COUNTIF($E51:E51,"²")+COUNTIF($E51:E51,"µ")+COUNTIF($E51:E51,1)-1,INDEX(Roadmap!$D:$K,MATCH($E51,Roadmap!$D:$D,0)-1+COUNTIF($E51:E51,"u")+COUNTIF($E51:E51,"t")+COUNTIF($E51:E51,"¶")+COUNTIF($E51:E51,"²")+COUNTIF($E51:E51,"µ")+COUNTIF($E51:E51,1),ColDescriptionCourte)),""),
  "")),"")</f>
        <v/>
      </c>
      <c r="G51" s="40" t="str">
        <f ca="1">IFERROR(IF(AND(
  INDEX(Roadmap!$D:$K,MATCH($E51,Roadmap!$D:$D,0)+COUNTIF($E51:F51,"u")+COUNTIF($E51:F51,"t")+COUNTIF($E51:F51,"¶")+COUNTIF($E51:F51,"²")+COUNTIF($E51:F51,"µ")+COUNTIF($E51:F51,1),ColLivraison)=G$6,
  VLOOKUP($E51,INDIRECT("tri!"&amp; CHAR(64+ C0Col) &amp;":"&amp; CHAR(65+C0Col)),2,FALSE)&gt;COUNTIF($E51:F51,"u")+COUNTIF($E51:F51,"t")+COUNTIF($E51:F51,"¶")+COUNTIF($E51:F51,"²")+COUNTIF($E51:F51,"µ")+COUNTIF($E51:F51,1)),
HYPERLINK("#Roadmap!C"&amp; MATCH($E51,Roadmap!$D:$D,0)+COUNTIF($E51:F51,"u")+COUNTIF($E51:F51,"t"),
     INDEX(Roadmap!$D:$K,MATCH($E51,Roadmap!$D:$D,0)+COUNTIF($E51:F51,"u")+COUNTIF($E51:F51,"t")+COUNTIF($E51:F51,"¶")+COUNTIF($E51:F51,"²")+COUNTIF($E51:F51,"µ")+COUNTIF($E51:F51,1),ColTypeEcheance)),
  IF(LEN(F51)=1,
  IF(LEN(INDEX(Roadmap!$D:$K,MATCH($E51,Roadmap!$D:$D,0)-1+COUNTIF($E51:F51,"u")+COUNTIF($E51:F51,"t")+COUNTIF($E51:F51,"¶")+COUNTIF($E51:F51,"²")+COUNTIF($E51:F51,"µ")+COUNTIF($E51:F51,1),ColDescriptionCourte))&gt;1,
HYPERLINK("#Roadmap!C"&amp; MATCH($E51,Roadmap!$D:$D,0)+COUNTIF($E51:F51,"u")+COUNTIF($E51:F51,"t")+COUNTIF($E51:F51,"¶")+COUNTIF($E51:F51,"²")+COUNTIF($E51:F51,"µ")+COUNTIF($E51:F51,1)-1,INDEX(Roadmap!$D:$K,MATCH($E51,Roadmap!$D:$D,0)-1+COUNTIF($E51:F51,"u")+COUNTIF($E51:F51,"t")+COUNTIF($E51:F51,"¶")+COUNTIF($E51:F51,"²")+COUNTIF($E51:F51,"µ")+COUNTIF($E51:F51,1),ColDescriptionCourte)),""),
  "")),"")</f>
        <v/>
      </c>
      <c r="H51" s="40" t="str">
        <f ca="1">IFERROR(IF(AND(
  INDEX(Roadmap!$D:$K,MATCH($E51,Roadmap!$D:$D,0)+COUNTIF($E51:G51,"u")+COUNTIF($E51:G51,"t")+COUNTIF($E51:G51,"¶")+COUNTIF($E51:G51,"²")+COUNTIF($E51:G51,"µ")+COUNTIF($E51:G51,1),ColLivraison)=H$6,
  VLOOKUP($E51,INDIRECT("tri!"&amp; CHAR(64+ C0Col) &amp;":"&amp; CHAR(65+C0Col)),2,FALSE)&gt;COUNTIF($E51:G51,"u")+COUNTIF($E51:G51,"t")+COUNTIF($E51:G51,"¶")+COUNTIF($E51:G51,"²")+COUNTIF($E51:G51,"µ")+COUNTIF($E51:G51,1)),
HYPERLINK("#Roadmap!C"&amp; MATCH($E51,Roadmap!$D:$D,0)+COUNTIF($E51:G51,"u")+COUNTIF($E51:G51,"t"),
     INDEX(Roadmap!$D:$K,MATCH($E51,Roadmap!$D:$D,0)+COUNTIF($E51:G51,"u")+COUNTIF($E51:G51,"t")+COUNTIF($E51:G51,"¶")+COUNTIF($E51:G51,"²")+COUNTIF($E51:G51,"µ")+COUNTIF($E51:G51,1),ColTypeEcheance)),
  IF(LEN(G51)=1,
  IF(LEN(INDEX(Roadmap!$D:$K,MATCH($E51,Roadmap!$D:$D,0)-1+COUNTIF($E51:G51,"u")+COUNTIF($E51:G51,"t")+COUNTIF($E51:G51,"¶")+COUNTIF($E51:G51,"²")+COUNTIF($E51:G51,"µ")+COUNTIF($E51:G51,1),ColDescriptionCourte))&gt;1,
HYPERLINK("#Roadmap!C"&amp; MATCH($E51,Roadmap!$D:$D,0)+COUNTIF($E51:G51,"u")+COUNTIF($E51:G51,"t")+COUNTIF($E51:G51,"¶")+COUNTIF($E51:G51,"²")+COUNTIF($E51:G51,"µ")+COUNTIF($E51:G51,1)-1,INDEX(Roadmap!$D:$K,MATCH($E51,Roadmap!$D:$D,0)-1+COUNTIF($E51:G51,"u")+COUNTIF($E51:G51,"t")+COUNTIF($E51:G51,"¶")+COUNTIF($E51:G51,"²")+COUNTIF($E51:G51,"µ")+COUNTIF($E51:G51,1),ColDescriptionCourte)),""),
  "")),"")</f>
        <v/>
      </c>
      <c r="I51" s="40" t="str">
        <f ca="1">IFERROR(IF(AND(
  INDEX(Roadmap!$D:$K,MATCH($E51,Roadmap!$D:$D,0)+COUNTIF($E51:H51,"u")+COUNTIF($E51:H51,"t")+COUNTIF($E51:H51,"¶")+COUNTIF($E51:H51,"²")+COUNTIF($E51:H51,"µ")+COUNTIF($E51:H51,1),ColLivraison)=I$6,
  VLOOKUP($E51,INDIRECT("tri!"&amp; CHAR(64+ C0Col) &amp;":"&amp; CHAR(65+C0Col)),2,FALSE)&gt;COUNTIF($E51:H51,"u")+COUNTIF($E51:H51,"t")+COUNTIF($E51:H51,"¶")+COUNTIF($E51:H51,"²")+COUNTIF($E51:H51,"µ")+COUNTIF($E51:H51,1)),
HYPERLINK("#Roadmap!C"&amp; MATCH($E51,Roadmap!$D:$D,0)+COUNTIF($E51:H51,"u")+COUNTIF($E51:H51,"t"),
     INDEX(Roadmap!$D:$K,MATCH($E51,Roadmap!$D:$D,0)+COUNTIF($E51:H51,"u")+COUNTIF($E51:H51,"t")+COUNTIF($E51:H51,"¶")+COUNTIF($E51:H51,"²")+COUNTIF($E51:H51,"µ")+COUNTIF($E51:H51,1),ColTypeEcheance)),
  IF(LEN(H51)=1,
  IF(LEN(INDEX(Roadmap!$D:$K,MATCH($E51,Roadmap!$D:$D,0)-1+COUNTIF($E51:H51,"u")+COUNTIF($E51:H51,"t")+COUNTIF($E51:H51,"¶")+COUNTIF($E51:H51,"²")+COUNTIF($E51:H51,"µ")+COUNTIF($E51:H51,1),ColDescriptionCourte))&gt;1,
HYPERLINK("#Roadmap!C"&amp; MATCH($E51,Roadmap!$D:$D,0)+COUNTIF($E51:H51,"u")+COUNTIF($E51:H51,"t")+COUNTIF($E51:H51,"¶")+COUNTIF($E51:H51,"²")+COUNTIF($E51:H51,"µ")+COUNTIF($E51:H51,1)-1,INDEX(Roadmap!$D:$K,MATCH($E51,Roadmap!$D:$D,0)-1+COUNTIF($E51:H51,"u")+COUNTIF($E51:H51,"t")+COUNTIF($E51:H51,"¶")+COUNTIF($E51:H51,"²")+COUNTIF($E51:H51,"µ")+COUNTIF($E51:H51,1),ColDescriptionCourte)),""),
  "")),"")</f>
        <v/>
      </c>
      <c r="J51" s="40" t="str">
        <f ca="1">IFERROR(IF(AND(
  INDEX(Roadmap!$D:$K,MATCH($E51,Roadmap!$D:$D,0)+COUNTIF($E51:I51,"u")+COUNTIF($E51:I51,"t")+COUNTIF($E51:I51,"¶")+COUNTIF($E51:I51,"²")+COUNTIF($E51:I51,"µ")+COUNTIF($E51:I51,1),ColLivraison)=J$6,
  VLOOKUP($E51,INDIRECT("tri!"&amp; CHAR(64+ C0Col) &amp;":"&amp; CHAR(65+C0Col)),2,FALSE)&gt;COUNTIF($E51:I51,"u")+COUNTIF($E51:I51,"t")+COUNTIF($E51:I51,"¶")+COUNTIF($E51:I51,"²")+COUNTIF($E51:I51,"µ")+COUNTIF($E51:I51,1)),
HYPERLINK("#Roadmap!C"&amp; MATCH($E51,Roadmap!$D:$D,0)+COUNTIF($E51:I51,"u")+COUNTIF($E51:I51,"t"),
     INDEX(Roadmap!$D:$K,MATCH($E51,Roadmap!$D:$D,0)+COUNTIF($E51:I51,"u")+COUNTIF($E51:I51,"t")+COUNTIF($E51:I51,"¶")+COUNTIF($E51:I51,"²")+COUNTIF($E51:I51,"µ")+COUNTIF($E51:I51,1),ColTypeEcheance)),
  IF(LEN(I51)=1,
  IF(LEN(INDEX(Roadmap!$D:$K,MATCH($E51,Roadmap!$D:$D,0)-1+COUNTIF($E51:I51,"u")+COUNTIF($E51:I51,"t")+COUNTIF($E51:I51,"¶")+COUNTIF($E51:I51,"²")+COUNTIF($E51:I51,"µ")+COUNTIF($E51:I51,1),ColDescriptionCourte))&gt;1,
HYPERLINK("#Roadmap!C"&amp; MATCH($E51,Roadmap!$D:$D,0)+COUNTIF($E51:I51,"u")+COUNTIF($E51:I51,"t")+COUNTIF($E51:I51,"¶")+COUNTIF($E51:I51,"²")+COUNTIF($E51:I51,"µ")+COUNTIF($E51:I51,1)-1,INDEX(Roadmap!$D:$K,MATCH($E51,Roadmap!$D:$D,0)-1+COUNTIF($E51:I51,"u")+COUNTIF($E51:I51,"t")+COUNTIF($E51:I51,"¶")+COUNTIF($E51:I51,"²")+COUNTIF($E51:I51,"µ")+COUNTIF($E51:I51,1),ColDescriptionCourte)),""),
  "")),"")</f>
        <v/>
      </c>
      <c r="K51" s="40" t="str">
        <f ca="1">IFERROR(IF(AND(
  INDEX(Roadmap!$D:$K,MATCH($E51,Roadmap!$D:$D,0)+COUNTIF($E51:J51,"u")+COUNTIF($E51:J51,"t")+COUNTIF($E51:J51,"¶")+COUNTIF($E51:J51,"²")+COUNTIF($E51:J51,"µ")+COUNTIF($E51:J51,1),ColLivraison)=K$6,
  VLOOKUP($E51,INDIRECT("tri!"&amp; CHAR(64+ C0Col) &amp;":"&amp; CHAR(65+C0Col)),2,FALSE)&gt;COUNTIF($E51:J51,"u")+COUNTIF($E51:J51,"t")+COUNTIF($E51:J51,"¶")+COUNTIF($E51:J51,"²")+COUNTIF($E51:J51,"µ")+COUNTIF($E51:J51,1)),
HYPERLINK("#Roadmap!C"&amp; MATCH($E51,Roadmap!$D:$D,0)+COUNTIF($E51:J51,"u")+COUNTIF($E51:J51,"t"),
     INDEX(Roadmap!$D:$K,MATCH($E51,Roadmap!$D:$D,0)+COUNTIF($E51:J51,"u")+COUNTIF($E51:J51,"t")+COUNTIF($E51:J51,"¶")+COUNTIF($E51:J51,"²")+COUNTIF($E51:J51,"µ")+COUNTIF($E51:J51,1),ColTypeEcheance)),
  IF(LEN(J51)=1,
  IF(LEN(INDEX(Roadmap!$D:$K,MATCH($E51,Roadmap!$D:$D,0)-1+COUNTIF($E51:J51,"u")+COUNTIF($E51:J51,"t")+COUNTIF($E51:J51,"¶")+COUNTIF($E51:J51,"²")+COUNTIF($E51:J51,"µ")+COUNTIF($E51:J51,1),ColDescriptionCourte))&gt;1,
HYPERLINK("#Roadmap!C"&amp; MATCH($E51,Roadmap!$D:$D,0)+COUNTIF($E51:J51,"u")+COUNTIF($E51:J51,"t")+COUNTIF($E51:J51,"¶")+COUNTIF($E51:J51,"²")+COUNTIF($E51:J51,"µ")+COUNTIF($E51:J51,1)-1,INDEX(Roadmap!$D:$K,MATCH($E51,Roadmap!$D:$D,0)-1+COUNTIF($E51:J51,"u")+COUNTIF($E51:J51,"t")+COUNTIF($E51:J51,"¶")+COUNTIF($E51:J51,"²")+COUNTIF($E51:J51,"µ")+COUNTIF($E51:J51,1),ColDescriptionCourte)),""),
  "")),"")</f>
        <v/>
      </c>
      <c r="L51" s="39" t="str">
        <f ca="1">IFERROR(IF(AND(
  INDEX(Roadmap!$D:$K,MATCH($E51,Roadmap!$D:$D,0)+COUNTIF($E51:K51,"u")+COUNTIF($E51:K51,"t")+COUNTIF($E51:K51,"¶")+COUNTIF($E51:K51,"²")+COUNTIF($E51:K51,"µ")+COUNTIF($E51:K51,1),ColLivraison)=L$6,
  VLOOKUP($E51,INDIRECT("tri!"&amp; CHAR(64+ C0Col) &amp;":"&amp; CHAR(65+C0Col)),2,FALSE)&gt;COUNTIF($E51:K51,"u")+COUNTIF($E51:K51,"t")+COUNTIF($E51:K51,"¶")+COUNTIF($E51:K51,"²")+COUNTIF($E51:K51,"µ")+COUNTIF($E51:K51,1)),
HYPERLINK("#Roadmap!C"&amp; MATCH($E51,Roadmap!$D:$D,0)+COUNTIF($E51:K51,"u")+COUNTIF($E51:K51,"t"),
     INDEX(Roadmap!$D:$K,MATCH($E51,Roadmap!$D:$D,0)+COUNTIF($E51:K51,"u")+COUNTIF($E51:K51,"t")+COUNTIF($E51:K51,"¶")+COUNTIF($E51:K51,"²")+COUNTIF($E51:K51,"µ")+COUNTIF($E51:K51,1),ColTypeEcheance)),
  IF(LEN(K51)=1,
  IF(LEN(INDEX(Roadmap!$D:$K,MATCH($E51,Roadmap!$D:$D,0)-1+COUNTIF($E51:K51,"u")+COUNTIF($E51:K51,"t")+COUNTIF($E51:K51,"¶")+COUNTIF($E51:K51,"²")+COUNTIF($E51:K51,"µ")+COUNTIF($E51:K51,1),ColDescriptionCourte))&gt;1,
HYPERLINK("#Roadmap!C"&amp; MATCH($E51,Roadmap!$D:$D,0)+COUNTIF($E51:K51,"u")+COUNTIF($E51:K51,"t")+COUNTIF($E51:K51,"¶")+COUNTIF($E51:K51,"²")+COUNTIF($E51:K51,"µ")+COUNTIF($E51:K51,1)-1,INDEX(Roadmap!$D:$K,MATCH($E51,Roadmap!$D:$D,0)-1+COUNTIF($E51:K51,"u")+COUNTIF($E51:K51,"t")+COUNTIF($E51:K51,"¶")+COUNTIF($E51:K51,"²")+COUNTIF($E51:K51,"µ")+COUNTIF($E51:K51,1),ColDescriptionCourte)),""),
  "")),"")</f>
        <v/>
      </c>
      <c r="M51" s="40" t="str">
        <f ca="1">IFERROR(IF(AND(
  INDEX(Roadmap!$D:$K,MATCH($E51,Roadmap!$D:$D,0)+COUNTIF($E51:L51,"u")+COUNTIF($E51:L51,"t")+COUNTIF($E51:L51,"¶")+COUNTIF($E51:L51,"²")+COUNTIF($E51:L51,"µ")+COUNTIF($E51:L51,1),ColLivraison)=M$6,
  VLOOKUP($E51,INDIRECT("tri!"&amp; CHAR(64+ C0Col) &amp;":"&amp; CHAR(65+C0Col)),2,FALSE)&gt;COUNTIF($E51:L51,"u")+COUNTIF($E51:L51,"t")+COUNTIF($E51:L51,"¶")+COUNTIF($E51:L51,"²")+COUNTIF($E51:L51,"µ")+COUNTIF($E51:L51,1)),
HYPERLINK("#Roadmap!C"&amp; MATCH($E51,Roadmap!$D:$D,0)+COUNTIF($E51:L51,"u")+COUNTIF($E51:L51,"t"),
     INDEX(Roadmap!$D:$K,MATCH($E51,Roadmap!$D:$D,0)+COUNTIF($E51:L51,"u")+COUNTIF($E51:L51,"t")+COUNTIF($E51:L51,"¶")+COUNTIF($E51:L51,"²")+COUNTIF($E51:L51,"µ")+COUNTIF($E51:L51,1),ColTypeEcheance)),
  IF(LEN(L51)=1,
  IF(LEN(INDEX(Roadmap!$D:$K,MATCH($E51,Roadmap!$D:$D,0)-1+COUNTIF($E51:L51,"u")+COUNTIF($E51:L51,"t")+COUNTIF($E51:L51,"¶")+COUNTIF($E51:L51,"²")+COUNTIF($E51:L51,"µ")+COUNTIF($E51:L51,1),ColDescriptionCourte))&gt;1,
HYPERLINK("#Roadmap!C"&amp; MATCH($E51,Roadmap!$D:$D,0)+COUNTIF($E51:L51,"u")+COUNTIF($E51:L51,"t")+COUNTIF($E51:L51,"¶")+COUNTIF($E51:L51,"²")+COUNTIF($E51:L51,"µ")+COUNTIF($E51:L51,1)-1,INDEX(Roadmap!$D:$K,MATCH($E51,Roadmap!$D:$D,0)-1+COUNTIF($E51:L51,"u")+COUNTIF($E51:L51,"t")+COUNTIF($E51:L51,"¶")+COUNTIF($E51:L51,"²")+COUNTIF($E51:L51,"µ")+COUNTIF($E51:L51,1),ColDescriptionCourte)),""),
  "")),"")</f>
        <v/>
      </c>
      <c r="N51" s="40" t="str">
        <f ca="1">IFERROR(IF(AND(
  INDEX(Roadmap!$D:$K,MATCH($E51,Roadmap!$D:$D,0)+COUNTIF($E51:M51,"u")+COUNTIF($E51:M51,"t")+COUNTIF($E51:M51,"¶")+COUNTIF($E51:M51,"²")+COUNTIF($E51:M51,"µ")+COUNTIF($E51:M51,1),ColLivraison)=N$6,
  VLOOKUP($E51,INDIRECT("tri!"&amp; CHAR(64+ C0Col) &amp;":"&amp; CHAR(65+C0Col)),2,FALSE)&gt;COUNTIF($E51:M51,"u")+COUNTIF($E51:M51,"t")+COUNTIF($E51:M51,"¶")+COUNTIF($E51:M51,"²")+COUNTIF($E51:M51,"µ")+COUNTIF($E51:M51,1)),
HYPERLINK("#Roadmap!C"&amp; MATCH($E51,Roadmap!$D:$D,0)+COUNTIF($E51:M51,"u")+COUNTIF($E51:M51,"t"),
     INDEX(Roadmap!$D:$K,MATCH($E51,Roadmap!$D:$D,0)+COUNTIF($E51:M51,"u")+COUNTIF($E51:M51,"t")+COUNTIF($E51:M51,"¶")+COUNTIF($E51:M51,"²")+COUNTIF($E51:M51,"µ")+COUNTIF($E51:M51,1),ColTypeEcheance)),
  IF(LEN(M51)=1,
  IF(LEN(INDEX(Roadmap!$D:$K,MATCH($E51,Roadmap!$D:$D,0)-1+COUNTIF($E51:M51,"u")+COUNTIF($E51:M51,"t")+COUNTIF($E51:M51,"¶")+COUNTIF($E51:M51,"²")+COUNTIF($E51:M51,"µ")+COUNTIF($E51:M51,1),ColDescriptionCourte))&gt;1,
HYPERLINK("#Roadmap!C"&amp; MATCH($E51,Roadmap!$D:$D,0)+COUNTIF($E51:M51,"u")+COUNTIF($E51:M51,"t")+COUNTIF($E51:M51,"¶")+COUNTIF($E51:M51,"²")+COUNTIF($E51:M51,"µ")+COUNTIF($E51:M51,1)-1,INDEX(Roadmap!$D:$K,MATCH($E51,Roadmap!$D:$D,0)-1+COUNTIF($E51:M51,"u")+COUNTIF($E51:M51,"t")+COUNTIF($E51:M51,"¶")+COUNTIF($E51:M51,"²")+COUNTIF($E51:M51,"µ")+COUNTIF($E51:M51,1),ColDescriptionCourte)),""),
  "")),"")</f>
        <v/>
      </c>
      <c r="O51" s="40" t="str">
        <f ca="1">IFERROR(IF(AND(
  INDEX(Roadmap!$D:$K,MATCH($E51,Roadmap!$D:$D,0)+COUNTIF($E51:N51,"u")+COUNTIF($E51:N51,"t")+COUNTIF($E51:N51,"¶")+COUNTIF($E51:N51,"²")+COUNTIF($E51:N51,"µ")+COUNTIF($E51:N51,1),ColLivraison)=O$6,
  VLOOKUP($E51,INDIRECT("tri!"&amp; CHAR(64+ C0Col) &amp;":"&amp; CHAR(65+C0Col)),2,FALSE)&gt;COUNTIF($E51:N51,"u")+COUNTIF($E51:N51,"t")+COUNTIF($E51:N51,"¶")+COUNTIF($E51:N51,"²")+COUNTIF($E51:N51,"µ")+COUNTIF($E51:N51,1)),
HYPERLINK("#Roadmap!C"&amp; MATCH($E51,Roadmap!$D:$D,0)+COUNTIF($E51:N51,"u")+COUNTIF($E51:N51,"t"),
     INDEX(Roadmap!$D:$K,MATCH($E51,Roadmap!$D:$D,0)+COUNTIF($E51:N51,"u")+COUNTIF($E51:N51,"t")+COUNTIF($E51:N51,"¶")+COUNTIF($E51:N51,"²")+COUNTIF($E51:N51,"µ")+COUNTIF($E51:N51,1),ColTypeEcheance)),
  IF(LEN(N51)=1,
  IF(LEN(INDEX(Roadmap!$D:$K,MATCH($E51,Roadmap!$D:$D,0)-1+COUNTIF($E51:N51,"u")+COUNTIF($E51:N51,"t")+COUNTIF($E51:N51,"¶")+COUNTIF($E51:N51,"²")+COUNTIF($E51:N51,"µ")+COUNTIF($E51:N51,1),ColDescriptionCourte))&gt;1,
HYPERLINK("#Roadmap!C"&amp; MATCH($E51,Roadmap!$D:$D,0)+COUNTIF($E51:N51,"u")+COUNTIF($E51:N51,"t")+COUNTIF($E51:N51,"¶")+COUNTIF($E51:N51,"²")+COUNTIF($E51:N51,"µ")+COUNTIF($E51:N51,1)-1,INDEX(Roadmap!$D:$K,MATCH($E51,Roadmap!$D:$D,0)-1+COUNTIF($E51:N51,"u")+COUNTIF($E51:N51,"t")+COUNTIF($E51:N51,"¶")+COUNTIF($E51:N51,"²")+COUNTIF($E51:N51,"µ")+COUNTIF($E51:N51,1),ColDescriptionCourte)),""),
  "")),"")</f>
        <v/>
      </c>
      <c r="P51" s="40" t="str">
        <f ca="1">IFERROR(IF(AND(
  INDEX(Roadmap!$D:$K,MATCH($E51,Roadmap!$D:$D,0)+COUNTIF($E51:O51,"u")+COUNTIF($E51:O51,"t")+COUNTIF($E51:O51,"¶")+COUNTIF($E51:O51,"²")+COUNTIF($E51:O51,"µ")+COUNTIF($E51:O51,1),ColLivraison)=P$6,
  VLOOKUP($E51,INDIRECT("tri!"&amp; CHAR(64+ C0Col) &amp;":"&amp; CHAR(65+C0Col)),2,FALSE)&gt;COUNTIF($E51:O51,"u")+COUNTIF($E51:O51,"t")+COUNTIF($E51:O51,"¶")+COUNTIF($E51:O51,"²")+COUNTIF($E51:O51,"µ")+COUNTIF($E51:O51,1)),
HYPERLINK("#Roadmap!C"&amp; MATCH($E51,Roadmap!$D:$D,0)+COUNTIF($E51:O51,"u")+COUNTIF($E51:O51,"t"),
     INDEX(Roadmap!$D:$K,MATCH($E51,Roadmap!$D:$D,0)+COUNTIF($E51:O51,"u")+COUNTIF($E51:O51,"t")+COUNTIF($E51:O51,"¶")+COUNTIF($E51:O51,"²")+COUNTIF($E51:O51,"µ")+COUNTIF($E51:O51,1),ColTypeEcheance)),
  IF(LEN(O51)=1,
  IF(LEN(INDEX(Roadmap!$D:$K,MATCH($E51,Roadmap!$D:$D,0)-1+COUNTIF($E51:O51,"u")+COUNTIF($E51:O51,"t")+COUNTIF($E51:O51,"¶")+COUNTIF($E51:O51,"²")+COUNTIF($E51:O51,"µ")+COUNTIF($E51:O51,1),ColDescriptionCourte))&gt;1,
HYPERLINK("#Roadmap!C"&amp; MATCH($E51,Roadmap!$D:$D,0)+COUNTIF($E51:O51,"u")+COUNTIF($E51:O51,"t")+COUNTIF($E51:O51,"¶")+COUNTIF($E51:O51,"²")+COUNTIF($E51:O51,"µ")+COUNTIF($E51:O51,1)-1,INDEX(Roadmap!$D:$K,MATCH($E51,Roadmap!$D:$D,0)-1+COUNTIF($E51:O51,"u")+COUNTIF($E51:O51,"t")+COUNTIF($E51:O51,"¶")+COUNTIF($E51:O51,"²")+COUNTIF($E51:O51,"µ")+COUNTIF($E51:O51,1),ColDescriptionCourte)),""),
  "")),"")</f>
        <v/>
      </c>
      <c r="Q51" s="40" t="str">
        <f ca="1">IFERROR(IF(AND(
  INDEX(Roadmap!$D:$K,MATCH($E51,Roadmap!$D:$D,0)+COUNTIF($E51:P51,"u")+COUNTIF($E51:P51,"t")+COUNTIF($E51:P51,"¶")+COUNTIF($E51:P51,"²")+COUNTIF($E51:P51,"µ")+COUNTIF($E51:P51,1),ColLivraison)=Q$6,
  VLOOKUP($E51,INDIRECT("tri!"&amp; CHAR(64+ C0Col) &amp;":"&amp; CHAR(65+C0Col)),2,FALSE)&gt;COUNTIF($E51:P51,"u")+COUNTIF($E51:P51,"t")+COUNTIF($E51:P51,"¶")+COUNTIF($E51:P51,"²")+COUNTIF($E51:P51,"µ")+COUNTIF($E51:P51,1)),
HYPERLINK("#Roadmap!C"&amp; MATCH($E51,Roadmap!$D:$D,0)+COUNTIF($E51:P51,"u")+COUNTIF($E51:P51,"t"),
     INDEX(Roadmap!$D:$K,MATCH($E51,Roadmap!$D:$D,0)+COUNTIF($E51:P51,"u")+COUNTIF($E51:P51,"t")+COUNTIF($E51:P51,"¶")+COUNTIF($E51:P51,"²")+COUNTIF($E51:P51,"µ")+COUNTIF($E51:P51,1),ColTypeEcheance)),
  IF(LEN(P51)=1,
  IF(LEN(INDEX(Roadmap!$D:$K,MATCH($E51,Roadmap!$D:$D,0)-1+COUNTIF($E51:P51,"u")+COUNTIF($E51:P51,"t")+COUNTIF($E51:P51,"¶")+COUNTIF($E51:P51,"²")+COUNTIF($E51:P51,"µ")+COUNTIF($E51:P51,1),ColDescriptionCourte))&gt;1,
HYPERLINK("#Roadmap!C"&amp; MATCH($E51,Roadmap!$D:$D,0)+COUNTIF($E51:P51,"u")+COUNTIF($E51:P51,"t")+COUNTIF($E51:P51,"¶")+COUNTIF($E51:P51,"²")+COUNTIF($E51:P51,"µ")+COUNTIF($E51:P51,1)-1,INDEX(Roadmap!$D:$K,MATCH($E51,Roadmap!$D:$D,0)-1+COUNTIF($E51:P51,"u")+COUNTIF($E51:P51,"t")+COUNTIF($E51:P51,"¶")+COUNTIF($E51:P51,"²")+COUNTIF($E51:P51,"µ")+COUNTIF($E51:P51,1),ColDescriptionCourte)),""),
  "")),"")</f>
        <v/>
      </c>
      <c r="R51" s="40" t="str">
        <f ca="1">IFERROR(IF(AND(
  INDEX(Roadmap!$D:$K,MATCH($E51,Roadmap!$D:$D,0)+COUNTIF($E51:Q51,"u")+COUNTIF($E51:Q51,"t")+COUNTIF($E51:Q51,"¶")+COUNTIF($E51:Q51,"²")+COUNTIF($E51:Q51,"µ")+COUNTIF($E51:Q51,1),ColLivraison)=R$6,
  VLOOKUP($E51,INDIRECT("tri!"&amp; CHAR(64+ C0Col) &amp;":"&amp; CHAR(65+C0Col)),2,FALSE)&gt;COUNTIF($E51:Q51,"u")+COUNTIF($E51:Q51,"t")+COUNTIF($E51:Q51,"¶")+COUNTIF($E51:Q51,"²")+COUNTIF($E51:Q51,"µ")+COUNTIF($E51:Q51,1)),
HYPERLINK("#Roadmap!C"&amp; MATCH($E51,Roadmap!$D:$D,0)+COUNTIF($E51:Q51,"u")+COUNTIF($E51:Q51,"t"),
     INDEX(Roadmap!$D:$K,MATCH($E51,Roadmap!$D:$D,0)+COUNTIF($E51:Q51,"u")+COUNTIF($E51:Q51,"t")+COUNTIF($E51:Q51,"¶")+COUNTIF($E51:Q51,"²")+COUNTIF($E51:Q51,"µ")+COUNTIF($E51:Q51,1),ColTypeEcheance)),
  IF(LEN(Q51)=1,
  IF(LEN(INDEX(Roadmap!$D:$K,MATCH($E51,Roadmap!$D:$D,0)-1+COUNTIF($E51:Q51,"u")+COUNTIF($E51:Q51,"t")+COUNTIF($E51:Q51,"¶")+COUNTIF($E51:Q51,"²")+COUNTIF($E51:Q51,"µ")+COUNTIF($E51:Q51,1),ColDescriptionCourte))&gt;1,
HYPERLINK("#Roadmap!C"&amp; MATCH($E51,Roadmap!$D:$D,0)+COUNTIF($E51:Q51,"u")+COUNTIF($E51:Q51,"t")+COUNTIF($E51:Q51,"¶")+COUNTIF($E51:Q51,"²")+COUNTIF($E51:Q51,"µ")+COUNTIF($E51:Q51,1)-1,INDEX(Roadmap!$D:$K,MATCH($E51,Roadmap!$D:$D,0)-1+COUNTIF($E51:Q51,"u")+COUNTIF($E51:Q51,"t")+COUNTIF($E51:Q51,"¶")+COUNTIF($E51:Q51,"²")+COUNTIF($E51:Q51,"µ")+COUNTIF($E51:Q51,1),ColDescriptionCourte)),""),
  "")),"")</f>
        <v/>
      </c>
      <c r="S51" s="40" t="str">
        <f ca="1">IFERROR(IF(AND(
  INDEX(Roadmap!$D:$K,MATCH($E51,Roadmap!$D:$D,0)+COUNTIF($E51:R51,"u")+COUNTIF($E51:R51,"t")+COUNTIF($E51:R51,"¶")+COUNTIF($E51:R51,"²")+COUNTIF($E51:R51,"µ")+COUNTIF($E51:R51,1),ColLivraison)=S$6,
  VLOOKUP($E51,INDIRECT("tri!"&amp; CHAR(64+ C0Col) &amp;":"&amp; CHAR(65+C0Col)),2,FALSE)&gt;COUNTIF($E51:R51,"u")+COUNTIF($E51:R51,"t")+COUNTIF($E51:R51,"¶")+COUNTIF($E51:R51,"²")+COUNTIF($E51:R51,"µ")+COUNTIF($E51:R51,1)),
HYPERLINK("#Roadmap!C"&amp; MATCH($E51,Roadmap!$D:$D,0)+COUNTIF($E51:R51,"u")+COUNTIF($E51:R51,"t"),
     INDEX(Roadmap!$D:$K,MATCH($E51,Roadmap!$D:$D,0)+COUNTIF($E51:R51,"u")+COUNTIF($E51:R51,"t")+COUNTIF($E51:R51,"¶")+COUNTIF($E51:R51,"²")+COUNTIF($E51:R51,"µ")+COUNTIF($E51:R51,1),ColTypeEcheance)),
  IF(LEN(R51)=1,
  IF(LEN(INDEX(Roadmap!$D:$K,MATCH($E51,Roadmap!$D:$D,0)-1+COUNTIF($E51:R51,"u")+COUNTIF($E51:R51,"t")+COUNTIF($E51:R51,"¶")+COUNTIF($E51:R51,"²")+COUNTIF($E51:R51,"µ")+COUNTIF($E51:R51,1),ColDescriptionCourte))&gt;1,
HYPERLINK("#Roadmap!C"&amp; MATCH($E51,Roadmap!$D:$D,0)+COUNTIF($E51:R51,"u")+COUNTIF($E51:R51,"t")+COUNTIF($E51:R51,"¶")+COUNTIF($E51:R51,"²")+COUNTIF($E51:R51,"µ")+COUNTIF($E51:R51,1)-1,INDEX(Roadmap!$D:$K,MATCH($E51,Roadmap!$D:$D,0)-1+COUNTIF($E51:R51,"u")+COUNTIF($E51:R51,"t")+COUNTIF($E51:R51,"¶")+COUNTIF($E51:R51,"²")+COUNTIF($E51:R51,"µ")+COUNTIF($E51:R51,1),ColDescriptionCourte)),""),
  "")),"")</f>
        <v/>
      </c>
      <c r="T51" s="40" t="str">
        <f ca="1">IFERROR(IF(AND(
  INDEX(Roadmap!$D:$K,MATCH($E51,Roadmap!$D:$D,0)+COUNTIF($E51:S51,"u")+COUNTIF($E51:S51,"t")+COUNTIF($E51:S51,"¶")+COUNTIF($E51:S51,"²")+COUNTIF($E51:S51,"µ")+COUNTIF($E51:S51,1),ColLivraison)=T$6,
  VLOOKUP($E51,INDIRECT("tri!"&amp; CHAR(64+ C0Col) &amp;":"&amp; CHAR(65+C0Col)),2,FALSE)&gt;COUNTIF($E51:S51,"u")+COUNTIF($E51:S51,"t")+COUNTIF($E51:S51,"¶")+COUNTIF($E51:S51,"²")+COUNTIF($E51:S51,"µ")+COUNTIF($E51:S51,1)),
HYPERLINK("#Roadmap!C"&amp; MATCH($E51,Roadmap!$D:$D,0)+COUNTIF($E51:S51,"u")+COUNTIF($E51:S51,"t"),
     INDEX(Roadmap!$D:$K,MATCH($E51,Roadmap!$D:$D,0)+COUNTIF($E51:S51,"u")+COUNTIF($E51:S51,"t")+COUNTIF($E51:S51,"¶")+COUNTIF($E51:S51,"²")+COUNTIF($E51:S51,"µ")+COUNTIF($E51:S51,1),ColTypeEcheance)),
  IF(LEN(S51)=1,
  IF(LEN(INDEX(Roadmap!$D:$K,MATCH($E51,Roadmap!$D:$D,0)-1+COUNTIF($E51:S51,"u")+COUNTIF($E51:S51,"t")+COUNTIF($E51:S51,"¶")+COUNTIF($E51:S51,"²")+COUNTIF($E51:S51,"µ")+COUNTIF($E51:S51,1),ColDescriptionCourte))&gt;1,
HYPERLINK("#Roadmap!C"&amp; MATCH($E51,Roadmap!$D:$D,0)+COUNTIF($E51:S51,"u")+COUNTIF($E51:S51,"t")+COUNTIF($E51:S51,"¶")+COUNTIF($E51:S51,"²")+COUNTIF($E51:S51,"µ")+COUNTIF($E51:S51,1)-1,INDEX(Roadmap!$D:$K,MATCH($E51,Roadmap!$D:$D,0)-1+COUNTIF($E51:S51,"u")+COUNTIF($E51:S51,"t")+COUNTIF($E51:S51,"¶")+COUNTIF($E51:S51,"²")+COUNTIF($E51:S51,"µ")+COUNTIF($E51:S51,1),ColDescriptionCourte)),""),
  "")),"")</f>
        <v/>
      </c>
      <c r="U51" s="40" t="str">
        <f ca="1">IFERROR(IF(AND(
  INDEX(Roadmap!$D:$K,MATCH($E51,Roadmap!$D:$D,0)+COUNTIF($E51:T51,"u")+COUNTIF($E51:T51,"t")+COUNTIF($E51:T51,"¶")+COUNTIF($E51:T51,"²")+COUNTIF($E51:T51,"µ")+COUNTIF($E51:T51,1),ColLivraison)=U$6,
  VLOOKUP($E51,INDIRECT("tri!"&amp; CHAR(64+ C0Col) &amp;":"&amp; CHAR(65+C0Col)),2,FALSE)&gt;COUNTIF($E51:T51,"u")+COUNTIF($E51:T51,"t")+COUNTIF($E51:T51,"¶")+COUNTIF($E51:T51,"²")+COUNTIF($E51:T51,"µ")+COUNTIF($E51:T51,1)),
HYPERLINK("#Roadmap!C"&amp; MATCH($E51,Roadmap!$D:$D,0)+COUNTIF($E51:T51,"u")+COUNTIF($E51:T51,"t"),
     INDEX(Roadmap!$D:$K,MATCH($E51,Roadmap!$D:$D,0)+COUNTIF($E51:T51,"u")+COUNTIF($E51:T51,"t")+COUNTIF($E51:T51,"¶")+COUNTIF($E51:T51,"²")+COUNTIF($E51:T51,"µ")+COUNTIF($E51:T51,1),ColTypeEcheance)),
  IF(LEN(T51)=1,
  IF(LEN(INDEX(Roadmap!$D:$K,MATCH($E51,Roadmap!$D:$D,0)-1+COUNTIF($E51:T51,"u")+COUNTIF($E51:T51,"t")+COUNTIF($E51:T51,"¶")+COUNTIF($E51:T51,"²")+COUNTIF($E51:T51,"µ")+COUNTIF($E51:T51,1),ColDescriptionCourte))&gt;1,
HYPERLINK("#Roadmap!C"&amp; MATCH($E51,Roadmap!$D:$D,0)+COUNTIF($E51:T51,"u")+COUNTIF($E51:T51,"t")+COUNTIF($E51:T51,"¶")+COUNTIF($E51:T51,"²")+COUNTIF($E51:T51,"µ")+COUNTIF($E51:T51,1)-1,INDEX(Roadmap!$D:$K,MATCH($E51,Roadmap!$D:$D,0)-1+COUNTIF($E51:T51,"u")+COUNTIF($E51:T51,"t")+COUNTIF($E51:T51,"¶")+COUNTIF($E51:T51,"²")+COUNTIF($E51:T51,"µ")+COUNTIF($E51:T51,1),ColDescriptionCourte)),""),
  "")),"")</f>
        <v/>
      </c>
      <c r="V51" s="40" t="str">
        <f ca="1">IFERROR(IF(AND(
  INDEX(Roadmap!$D:$K,MATCH($E51,Roadmap!$D:$D,0)+COUNTIF($E51:U51,"u")+COUNTIF($E51:U51,"t")+COUNTIF($E51:U51,"¶")+COUNTIF($E51:U51,"²")+COUNTIF($E51:U51,"µ")+COUNTIF($E51:U51,1),ColLivraison)=V$6,
  VLOOKUP($E51,INDIRECT("tri!"&amp; CHAR(64+ C0Col) &amp;":"&amp; CHAR(65+C0Col)),2,FALSE)&gt;COUNTIF($E51:U51,"u")+COUNTIF($E51:U51,"t")+COUNTIF($E51:U51,"¶")+COUNTIF($E51:U51,"²")+COUNTIF($E51:U51,"µ")+COUNTIF($E51:U51,1)),
HYPERLINK("#Roadmap!C"&amp; MATCH($E51,Roadmap!$D:$D,0)+COUNTIF($E51:U51,"u")+COUNTIF($E51:U51,"t"),
     INDEX(Roadmap!$D:$K,MATCH($E51,Roadmap!$D:$D,0)+COUNTIF($E51:U51,"u")+COUNTIF($E51:U51,"t")+COUNTIF($E51:U51,"¶")+COUNTIF($E51:U51,"²")+COUNTIF($E51:U51,"µ")+COUNTIF($E51:U51,1),ColTypeEcheance)),
  IF(LEN(U51)=1,
  IF(LEN(INDEX(Roadmap!$D:$K,MATCH($E51,Roadmap!$D:$D,0)-1+COUNTIF($E51:U51,"u")+COUNTIF($E51:U51,"t")+COUNTIF($E51:U51,"¶")+COUNTIF($E51:U51,"²")+COUNTIF($E51:U51,"µ")+COUNTIF($E51:U51,1),ColDescriptionCourte))&gt;1,
HYPERLINK("#Roadmap!C"&amp; MATCH($E51,Roadmap!$D:$D,0)+COUNTIF($E51:U51,"u")+COUNTIF($E51:U51,"t")+COUNTIF($E51:U51,"¶")+COUNTIF($E51:U51,"²")+COUNTIF($E51:U51,"µ")+COUNTIF($E51:U51,1)-1,INDEX(Roadmap!$D:$K,MATCH($E51,Roadmap!$D:$D,0)-1+COUNTIF($E51:U51,"u")+COUNTIF($E51:U51,"t")+COUNTIF($E51:U51,"¶")+COUNTIF($E51:U51,"²")+COUNTIF($E51:U51,"µ")+COUNTIF($E51:U51,1),ColDescriptionCourte)),""),
  "")),"")</f>
        <v/>
      </c>
      <c r="W51" s="40" t="str">
        <f ca="1">IFERROR(IF(AND(
  INDEX(Roadmap!$D:$K,MATCH($E51,Roadmap!$D:$D,0)+COUNTIF($E51:V51,"u")+COUNTIF($E51:V51,"t")+COUNTIF($E51:V51,"¶")+COUNTIF($E51:V51,"²")+COUNTIF($E51:V51,"µ")+COUNTIF($E51:V51,1),ColLivraison)=W$6,
  VLOOKUP($E51,INDIRECT("tri!"&amp; CHAR(64+ C0Col) &amp;":"&amp; CHAR(65+C0Col)),2,FALSE)&gt;COUNTIF($E51:V51,"u")+COUNTIF($E51:V51,"t")+COUNTIF($E51:V51,"¶")+COUNTIF($E51:V51,"²")+COUNTIF($E51:V51,"µ")+COUNTIF($E51:V51,1)),
HYPERLINK("#Roadmap!C"&amp; MATCH($E51,Roadmap!$D:$D,0)+COUNTIF($E51:V51,"u")+COUNTIF($E51:V51,"t"),
     INDEX(Roadmap!$D:$K,MATCH($E51,Roadmap!$D:$D,0)+COUNTIF($E51:V51,"u")+COUNTIF($E51:V51,"t")+COUNTIF($E51:V51,"¶")+COUNTIF($E51:V51,"²")+COUNTIF($E51:V51,"µ")+COUNTIF($E51:V51,1),ColTypeEcheance)),
  IF(LEN(V51)=1,
  IF(LEN(INDEX(Roadmap!$D:$K,MATCH($E51,Roadmap!$D:$D,0)-1+COUNTIF($E51:V51,"u")+COUNTIF($E51:V51,"t")+COUNTIF($E51:V51,"¶")+COUNTIF($E51:V51,"²")+COUNTIF($E51:V51,"µ")+COUNTIF($E51:V51,1),ColDescriptionCourte))&gt;1,
HYPERLINK("#Roadmap!C"&amp; MATCH($E51,Roadmap!$D:$D,0)+COUNTIF($E51:V51,"u")+COUNTIF($E51:V51,"t")+COUNTIF($E51:V51,"¶")+COUNTIF($E51:V51,"²")+COUNTIF($E51:V51,"µ")+COUNTIF($E51:V51,1)-1,INDEX(Roadmap!$D:$K,MATCH($E51,Roadmap!$D:$D,0)-1+COUNTIF($E51:V51,"u")+COUNTIF($E51:V51,"t")+COUNTIF($E51:V51,"¶")+COUNTIF($E51:V51,"²")+COUNTIF($E51:V51,"µ")+COUNTIF($E51:V51,1),ColDescriptionCourte)),""),
  "")),"")</f>
        <v/>
      </c>
      <c r="X51" s="40" t="str">
        <f ca="1">IFERROR(IF(AND(
  INDEX(Roadmap!$D:$K,MATCH($E51,Roadmap!$D:$D,0)+COUNTIF($E51:W51,"u")+COUNTIF($E51:W51,"t")+COUNTIF($E51:W51,"¶")+COUNTIF($E51:W51,"²")+COUNTIF($E51:W51,"µ")+COUNTIF($E51:W51,1),ColLivraison)=X$6,
  VLOOKUP($E51,INDIRECT("tri!"&amp; CHAR(64+ C0Col) &amp;":"&amp; CHAR(65+C0Col)),2,FALSE)&gt;COUNTIF($E51:W51,"u")+COUNTIF($E51:W51,"t")+COUNTIF($E51:W51,"¶")+COUNTIF($E51:W51,"²")+COUNTIF($E51:W51,"µ")+COUNTIF($E51:W51,1)),
HYPERLINK("#Roadmap!C"&amp; MATCH($E51,Roadmap!$D:$D,0)+COUNTIF($E51:W51,"u")+COUNTIF($E51:W51,"t"),
     INDEX(Roadmap!$D:$K,MATCH($E51,Roadmap!$D:$D,0)+COUNTIF($E51:W51,"u")+COUNTIF($E51:W51,"t")+COUNTIF($E51:W51,"¶")+COUNTIF($E51:W51,"²")+COUNTIF($E51:W51,"µ")+COUNTIF($E51:W51,1),ColTypeEcheance)),
  IF(LEN(W51)=1,
  IF(LEN(INDEX(Roadmap!$D:$K,MATCH($E51,Roadmap!$D:$D,0)-1+COUNTIF($E51:W51,"u")+COUNTIF($E51:W51,"t")+COUNTIF($E51:W51,"¶")+COUNTIF($E51:W51,"²")+COUNTIF($E51:W51,"µ")+COUNTIF($E51:W51,1),ColDescriptionCourte))&gt;1,
HYPERLINK("#Roadmap!C"&amp; MATCH($E51,Roadmap!$D:$D,0)+COUNTIF($E51:W51,"u")+COUNTIF($E51:W51,"t")+COUNTIF($E51:W51,"¶")+COUNTIF($E51:W51,"²")+COUNTIF($E51:W51,"µ")+COUNTIF($E51:W51,1)-1,INDEX(Roadmap!$D:$K,MATCH($E51,Roadmap!$D:$D,0)-1+COUNTIF($E51:W51,"u")+COUNTIF($E51:W51,"t")+COUNTIF($E51:W51,"¶")+COUNTIF($E51:W51,"²")+COUNTIF($E51:W51,"µ")+COUNTIF($E51:W51,1),ColDescriptionCourte)),""),
  "")),"")</f>
        <v/>
      </c>
      <c r="Y51" s="40" t="str">
        <f ca="1">IFERROR(IF(AND(
  INDEX(Roadmap!$D:$K,MATCH($E51,Roadmap!$D:$D,0)+COUNTIF($E51:X51,"u")+COUNTIF($E51:X51,"t")+COUNTIF($E51:X51,"¶")+COUNTIF($E51:X51,"²")+COUNTIF($E51:X51,"µ")+COUNTIF($E51:X51,1),ColLivraison)=Y$6,
  VLOOKUP($E51,INDIRECT("tri!"&amp; CHAR(64+ C0Col) &amp;":"&amp; CHAR(65+C0Col)),2,FALSE)&gt;COUNTIF($E51:X51,"u")+COUNTIF($E51:X51,"t")+COUNTIF($E51:X51,"¶")+COUNTIF($E51:X51,"²")+COUNTIF($E51:X51,"µ")+COUNTIF($E51:X51,1)),
HYPERLINK("#Roadmap!C"&amp; MATCH($E51,Roadmap!$D:$D,0)+COUNTIF($E51:X51,"u")+COUNTIF($E51:X51,"t"),
     INDEX(Roadmap!$D:$K,MATCH($E51,Roadmap!$D:$D,0)+COUNTIF($E51:X51,"u")+COUNTIF($E51:X51,"t")+COUNTIF($E51:X51,"¶")+COUNTIF($E51:X51,"²")+COUNTIF($E51:X51,"µ")+COUNTIF($E51:X51,1),ColTypeEcheance)),
  IF(LEN(X51)=1,
  IF(LEN(INDEX(Roadmap!$D:$K,MATCH($E51,Roadmap!$D:$D,0)-1+COUNTIF($E51:X51,"u")+COUNTIF($E51:X51,"t")+COUNTIF($E51:X51,"¶")+COUNTIF($E51:X51,"²")+COUNTIF($E51:X51,"µ")+COUNTIF($E51:X51,1),ColDescriptionCourte))&gt;1,
HYPERLINK("#Roadmap!C"&amp; MATCH($E51,Roadmap!$D:$D,0)+COUNTIF($E51:X51,"u")+COUNTIF($E51:X51,"t")+COUNTIF($E51:X51,"¶")+COUNTIF($E51:X51,"²")+COUNTIF($E51:X51,"µ")+COUNTIF($E51:X51,1)-1,INDEX(Roadmap!$D:$K,MATCH($E51,Roadmap!$D:$D,0)-1+COUNTIF($E51:X51,"u")+COUNTIF($E51:X51,"t")+COUNTIF($E51:X51,"¶")+COUNTIF($E51:X51,"²")+COUNTIF($E51:X51,"µ")+COUNTIF($E51:X51,1),ColDescriptionCourte)),""),
  "")),"")</f>
        <v/>
      </c>
      <c r="Z51" s="40" t="str">
        <f ca="1">IFERROR(IF(AND(
  INDEX(Roadmap!$D:$K,MATCH($E51,Roadmap!$D:$D,0)+COUNTIF($E51:Y51,"u")+COUNTIF($E51:Y51,"t")+COUNTIF($E51:Y51,"¶")+COUNTIF($E51:Y51,"²")+COUNTIF($E51:Y51,"µ")+COUNTIF($E51:Y51,1),ColLivraison)=Z$6,
  VLOOKUP($E51,INDIRECT("tri!"&amp; CHAR(64+ C0Col) &amp;":"&amp; CHAR(65+C0Col)),2,FALSE)&gt;COUNTIF($E51:Y51,"u")+COUNTIF($E51:Y51,"t")+COUNTIF($E51:Y51,"¶")+COUNTIF($E51:Y51,"²")+COUNTIF($E51:Y51,"µ")+COUNTIF($E51:Y51,1)),
HYPERLINK("#Roadmap!C"&amp; MATCH($E51,Roadmap!$D:$D,0)+COUNTIF($E51:Y51,"u")+COUNTIF($E51:Y51,"t"),
     INDEX(Roadmap!$D:$K,MATCH($E51,Roadmap!$D:$D,0)+COUNTIF($E51:Y51,"u")+COUNTIF($E51:Y51,"t")+COUNTIF($E51:Y51,"¶")+COUNTIF($E51:Y51,"²")+COUNTIF($E51:Y51,"µ")+COUNTIF($E51:Y51,1),ColTypeEcheance)),
  IF(LEN(Y51)=1,
  IF(LEN(INDEX(Roadmap!$D:$K,MATCH($E51,Roadmap!$D:$D,0)-1+COUNTIF($E51:Y51,"u")+COUNTIF($E51:Y51,"t")+COUNTIF($E51:Y51,"¶")+COUNTIF($E51:Y51,"²")+COUNTIF($E51:Y51,"µ")+COUNTIF($E51:Y51,1),ColDescriptionCourte))&gt;1,
HYPERLINK("#Roadmap!C"&amp; MATCH($E51,Roadmap!$D:$D,0)+COUNTIF($E51:Y51,"u")+COUNTIF($E51:Y51,"t")+COUNTIF($E51:Y51,"¶")+COUNTIF($E51:Y51,"²")+COUNTIF($E51:Y51,"µ")+COUNTIF($E51:Y51,1)-1,INDEX(Roadmap!$D:$K,MATCH($E51,Roadmap!$D:$D,0)-1+COUNTIF($E51:Y51,"u")+COUNTIF($E51:Y51,"t")+COUNTIF($E51:Y51,"¶")+COUNTIF($E51:Y51,"²")+COUNTIF($E51:Y51,"µ")+COUNTIF($E51:Y51,1),ColDescriptionCourte)),""),
  "")),"")</f>
        <v/>
      </c>
      <c r="AA51" s="40" t="str">
        <f ca="1">IFERROR(IF(AND(
  INDEX(Roadmap!$D:$K,MATCH($E51,Roadmap!$D:$D,0)+COUNTIF($E51:Z51,"u")+COUNTIF($E51:Z51,"t")+COUNTIF($E51:Z51,"¶")+COUNTIF($E51:Z51,"²")+COUNTIF($E51:Z51,"µ")+COUNTIF($E51:Z51,1),ColLivraison)=AA$6,
  VLOOKUP($E51,INDIRECT("tri!"&amp; CHAR(64+ C0Col) &amp;":"&amp; CHAR(65+C0Col)),2,FALSE)&gt;COUNTIF($E51:Z51,"u")+COUNTIF($E51:Z51,"t")+COUNTIF($E51:Z51,"¶")+COUNTIF($E51:Z51,"²")+COUNTIF($E51:Z51,"µ")+COUNTIF($E51:Z51,1)),
HYPERLINK("#Roadmap!C"&amp; MATCH($E51,Roadmap!$D:$D,0)+COUNTIF($E51:Z51,"u")+COUNTIF($E51:Z51,"t"),
     INDEX(Roadmap!$D:$K,MATCH($E51,Roadmap!$D:$D,0)+COUNTIF($E51:Z51,"u")+COUNTIF($E51:Z51,"t")+COUNTIF($E51:Z51,"¶")+COUNTIF($E51:Z51,"²")+COUNTIF($E51:Z51,"µ")+COUNTIF($E51:Z51,1),ColTypeEcheance)),
  IF(LEN(Z51)=1,
  IF(LEN(INDEX(Roadmap!$D:$K,MATCH($E51,Roadmap!$D:$D,0)-1+COUNTIF($E51:Z51,"u")+COUNTIF($E51:Z51,"t")+COUNTIF($E51:Z51,"¶")+COUNTIF($E51:Z51,"²")+COUNTIF($E51:Z51,"µ")+COUNTIF($E51:Z51,1),ColDescriptionCourte))&gt;1,
HYPERLINK("#Roadmap!C"&amp; MATCH($E51,Roadmap!$D:$D,0)+COUNTIF($E51:Z51,"u")+COUNTIF($E51:Z51,"t")+COUNTIF($E51:Z51,"¶")+COUNTIF($E51:Z51,"²")+COUNTIF($E51:Z51,"µ")+COUNTIF($E51:Z51,1)-1,INDEX(Roadmap!$D:$K,MATCH($E51,Roadmap!$D:$D,0)-1+COUNTIF($E51:Z51,"u")+COUNTIF($E51:Z51,"t")+COUNTIF($E51:Z51,"¶")+COUNTIF($E51:Z51,"²")+COUNTIF($E51:Z51,"µ")+COUNTIF($E51:Z51,1),ColDescriptionCourte)),""),
  "")),"")</f>
        <v/>
      </c>
      <c r="AB51" s="40" t="str">
        <f ca="1">IFERROR(IF(AND(
  INDEX(Roadmap!$D:$K,MATCH($E51,Roadmap!$D:$D,0)+COUNTIF($E51:AA51,"u")+COUNTIF($E51:AA51,"t")+COUNTIF($E51:AA51,"¶")+COUNTIF($E51:AA51,"²")+COUNTIF($E51:AA51,"µ")+COUNTIF($E51:AA51,1),ColLivraison)=AB$6,
  VLOOKUP($E51,INDIRECT("tri!"&amp; CHAR(64+ C0Col) &amp;":"&amp; CHAR(65+C0Col)),2,FALSE)&gt;COUNTIF($E51:AA51,"u")+COUNTIF($E51:AA51,"t")+COUNTIF($E51:AA51,"¶")+COUNTIF($E51:AA51,"²")+COUNTIF($E51:AA51,"µ")+COUNTIF($E51:AA51,1)),
HYPERLINK("#Roadmap!C"&amp; MATCH($E51,Roadmap!$D:$D,0)+COUNTIF($E51:AA51,"u")+COUNTIF($E51:AA51,"t"),
     INDEX(Roadmap!$D:$K,MATCH($E51,Roadmap!$D:$D,0)+COUNTIF($E51:AA51,"u")+COUNTIF($E51:AA51,"t")+COUNTIF($E51:AA51,"¶")+COUNTIF($E51:AA51,"²")+COUNTIF($E51:AA51,"µ")+COUNTIF($E51:AA51,1),ColTypeEcheance)),
  IF(LEN(AA51)=1,
  IF(LEN(INDEX(Roadmap!$D:$K,MATCH($E51,Roadmap!$D:$D,0)-1+COUNTIF($E51:AA51,"u")+COUNTIF($E51:AA51,"t")+COUNTIF($E51:AA51,"¶")+COUNTIF($E51:AA51,"²")+COUNTIF($E51:AA51,"µ")+COUNTIF($E51:AA51,1),ColDescriptionCourte))&gt;1,
HYPERLINK("#Roadmap!C"&amp; MATCH($E51,Roadmap!$D:$D,0)+COUNTIF($E51:AA51,"u")+COUNTIF($E51:AA51,"t")+COUNTIF($E51:AA51,"¶")+COUNTIF($E51:AA51,"²")+COUNTIF($E51:AA51,"µ")+COUNTIF($E51:AA51,1)-1,INDEX(Roadmap!$D:$K,MATCH($E51,Roadmap!$D:$D,0)-1+COUNTIF($E51:AA51,"u")+COUNTIF($E51:AA51,"t")+COUNTIF($E51:AA51,"¶")+COUNTIF($E51:AA51,"²")+COUNTIF($E51:AA51,"µ")+COUNTIF($E51:AA51,1),ColDescriptionCourte)),""),
  "")),"")</f>
        <v/>
      </c>
      <c r="AC51" s="40" t="str">
        <f ca="1">IFERROR(IF(AND(
  INDEX(Roadmap!$D:$K,MATCH($E51,Roadmap!$D:$D,0)+COUNTIF($E51:AB51,"u")+COUNTIF($E51:AB51,"t")+COUNTIF($E51:AB51,"¶")+COUNTIF($E51:AB51,"²")+COUNTIF($E51:AB51,"µ")+COUNTIF($E51:AB51,1),ColLivraison)=AC$6,
  VLOOKUP($E51,INDIRECT("tri!"&amp; CHAR(64+ C0Col) &amp;":"&amp; CHAR(65+C0Col)),2,FALSE)&gt;COUNTIF($E51:AB51,"u")+COUNTIF($E51:AB51,"t")+COUNTIF($E51:AB51,"¶")+COUNTIF($E51:AB51,"²")+COUNTIF($E51:AB51,"µ")+COUNTIF($E51:AB51,1)),
HYPERLINK("#Roadmap!C"&amp; MATCH($E51,Roadmap!$D:$D,0)+COUNTIF($E51:AB51,"u")+COUNTIF($E51:AB51,"t"),
     INDEX(Roadmap!$D:$K,MATCH($E51,Roadmap!$D:$D,0)+COUNTIF($E51:AB51,"u")+COUNTIF($E51:AB51,"t")+COUNTIF($E51:AB51,"¶")+COUNTIF($E51:AB51,"²")+COUNTIF($E51:AB51,"µ")+COUNTIF($E51:AB51,1),ColTypeEcheance)),
  IF(LEN(AB51)=1,
  IF(LEN(INDEX(Roadmap!$D:$K,MATCH($E51,Roadmap!$D:$D,0)-1+COUNTIF($E51:AB51,"u")+COUNTIF($E51:AB51,"t")+COUNTIF($E51:AB51,"¶")+COUNTIF($E51:AB51,"²")+COUNTIF($E51:AB51,"µ")+COUNTIF($E51:AB51,1),ColDescriptionCourte))&gt;1,
HYPERLINK("#Roadmap!C"&amp; MATCH($E51,Roadmap!$D:$D,0)+COUNTIF($E51:AB51,"u")+COUNTIF($E51:AB51,"t")+COUNTIF($E51:AB51,"¶")+COUNTIF($E51:AB51,"²")+COUNTIF($E51:AB51,"µ")+COUNTIF($E51:AB51,1)-1,INDEX(Roadmap!$D:$K,MATCH($E51,Roadmap!$D:$D,0)-1+COUNTIF($E51:AB51,"u")+COUNTIF($E51:AB51,"t")+COUNTIF($E51:AB51,"¶")+COUNTIF($E51:AB51,"²")+COUNTIF($E51:AB51,"µ")+COUNTIF($E51:AB51,1),ColDescriptionCourte)),""),
  "")),"")</f>
        <v/>
      </c>
      <c r="AD51" s="40" t="str">
        <f ca="1">IFERROR(IF(AND(
  INDEX(Roadmap!$D:$K,MATCH($E51,Roadmap!$D:$D,0)+COUNTIF($E51:AC51,"u")+COUNTIF($E51:AC51,"t")+COUNTIF($E51:AC51,"¶")+COUNTIF($E51:AC51,"²")+COUNTIF($E51:AC51,"µ")+COUNTIF($E51:AC51,1),ColLivraison)=AD$6,
  VLOOKUP($E51,INDIRECT("tri!"&amp; CHAR(64+ C0Col) &amp;":"&amp; CHAR(65+C0Col)),2,FALSE)&gt;COUNTIF($E51:AC51,"u")+COUNTIF($E51:AC51,"t")+COUNTIF($E51:AC51,"¶")+COUNTIF($E51:AC51,"²")+COUNTIF($E51:AC51,"µ")+COUNTIF($E51:AC51,1)),
HYPERLINK("#Roadmap!C"&amp; MATCH($E51,Roadmap!$D:$D,0)+COUNTIF($E51:AC51,"u")+COUNTIF($E51:AC51,"t"),
     INDEX(Roadmap!$D:$K,MATCH($E51,Roadmap!$D:$D,0)+COUNTIF($E51:AC51,"u")+COUNTIF($E51:AC51,"t")+COUNTIF($E51:AC51,"¶")+COUNTIF($E51:AC51,"²")+COUNTIF($E51:AC51,"µ")+COUNTIF($E51:AC51,1),ColTypeEcheance)),
  IF(LEN(AC51)=1,
  IF(LEN(INDEX(Roadmap!$D:$K,MATCH($E51,Roadmap!$D:$D,0)-1+COUNTIF($E51:AC51,"u")+COUNTIF($E51:AC51,"t")+COUNTIF($E51:AC51,"¶")+COUNTIF($E51:AC51,"²")+COUNTIF($E51:AC51,"µ")+COUNTIF($E51:AC51,1),ColDescriptionCourte))&gt;1,
HYPERLINK("#Roadmap!C"&amp; MATCH($E51,Roadmap!$D:$D,0)+COUNTIF($E51:AC51,"u")+COUNTIF($E51:AC51,"t")+COUNTIF($E51:AC51,"¶")+COUNTIF($E51:AC51,"²")+COUNTIF($E51:AC51,"µ")+COUNTIF($E51:AC51,1)-1,INDEX(Roadmap!$D:$K,MATCH($E51,Roadmap!$D:$D,0)-1+COUNTIF($E51:AC51,"u")+COUNTIF($E51:AC51,"t")+COUNTIF($E51:AC51,"¶")+COUNTIF($E51:AC51,"²")+COUNTIF($E51:AC51,"µ")+COUNTIF($E51:AC51,1),ColDescriptionCourte)),""),
  "")),"")</f>
        <v/>
      </c>
      <c r="AE51" s="40" t="str">
        <f ca="1">IFERROR(IF(AND(
  INDEX(Roadmap!$D:$K,MATCH($E51,Roadmap!$D:$D,0)+COUNTIF($E51:AD51,"u")+COUNTIF($E51:AD51,"t")+COUNTIF($E51:AD51,"¶")+COUNTIF($E51:AD51,"²")+COUNTIF($E51:AD51,"µ")+COUNTIF($E51:AD51,1),ColLivraison)=AE$6,
  VLOOKUP($E51,INDIRECT("tri!"&amp; CHAR(64+ C0Col) &amp;":"&amp; CHAR(65+C0Col)),2,FALSE)&gt;COUNTIF($E51:AD51,"u")+COUNTIF($E51:AD51,"t")+COUNTIF($E51:AD51,"¶")+COUNTIF($E51:AD51,"²")+COUNTIF($E51:AD51,"µ")+COUNTIF($E51:AD51,1)),
HYPERLINK("#Roadmap!C"&amp; MATCH($E51,Roadmap!$D:$D,0)+COUNTIF($E51:AD51,"u")+COUNTIF($E51:AD51,"t"),
     INDEX(Roadmap!$D:$K,MATCH($E51,Roadmap!$D:$D,0)+COUNTIF($E51:AD51,"u")+COUNTIF($E51:AD51,"t")+COUNTIF($E51:AD51,"¶")+COUNTIF($E51:AD51,"²")+COUNTIF($E51:AD51,"µ")+COUNTIF($E51:AD51,1),ColTypeEcheance)),
  IF(LEN(AD51)=1,
  IF(LEN(INDEX(Roadmap!$D:$K,MATCH($E51,Roadmap!$D:$D,0)-1+COUNTIF($E51:AD51,"u")+COUNTIF($E51:AD51,"t")+COUNTIF($E51:AD51,"¶")+COUNTIF($E51:AD51,"²")+COUNTIF($E51:AD51,"µ")+COUNTIF($E51:AD51,1),ColDescriptionCourte))&gt;1,
HYPERLINK("#Roadmap!C"&amp; MATCH($E51,Roadmap!$D:$D,0)+COUNTIF($E51:AD51,"u")+COUNTIF($E51:AD51,"t")+COUNTIF($E51:AD51,"¶")+COUNTIF($E51:AD51,"²")+COUNTIF($E51:AD51,"µ")+COUNTIF($E51:AD51,1)-1,INDEX(Roadmap!$D:$K,MATCH($E51,Roadmap!$D:$D,0)-1+COUNTIF($E51:AD51,"u")+COUNTIF($E51:AD51,"t")+COUNTIF($E51:AD51,"¶")+COUNTIF($E51:AD51,"²")+COUNTIF($E51:AD51,"µ")+COUNTIF($E51:AD51,1),ColDescriptionCourte)),""),
  "")),"")</f>
        <v/>
      </c>
      <c r="AF51" s="40" t="str">
        <f ca="1">IFERROR(IF(AND(
  INDEX(Roadmap!$D:$K,MATCH($E51,Roadmap!$D:$D,0)+COUNTIF($E51:AE51,"u")+COUNTIF($E51:AE51,"t")+COUNTIF($E51:AE51,"¶")+COUNTIF($E51:AE51,"²")+COUNTIF($E51:AE51,"µ")+COUNTIF($E51:AE51,1),ColLivraison)=AF$6,
  VLOOKUP($E51,INDIRECT("tri!"&amp; CHAR(64+ C0Col) &amp;":"&amp; CHAR(65+C0Col)),2,FALSE)&gt;COUNTIF($E51:AE51,"u")+COUNTIF($E51:AE51,"t")+COUNTIF($E51:AE51,"¶")+COUNTIF($E51:AE51,"²")+COUNTIF($E51:AE51,"µ")+COUNTIF($E51:AE51,1)),
HYPERLINK("#Roadmap!C"&amp; MATCH($E51,Roadmap!$D:$D,0)+COUNTIF($E51:AE51,"u")+COUNTIF($E51:AE51,"t"),
     INDEX(Roadmap!$D:$K,MATCH($E51,Roadmap!$D:$D,0)+COUNTIF($E51:AE51,"u")+COUNTIF($E51:AE51,"t")+COUNTIF($E51:AE51,"¶")+COUNTIF($E51:AE51,"²")+COUNTIF($E51:AE51,"µ")+COUNTIF($E51:AE51,1),ColTypeEcheance)),
  IF(LEN(AE51)=1,
  IF(LEN(INDEX(Roadmap!$D:$K,MATCH($E51,Roadmap!$D:$D,0)-1+COUNTIF($E51:AE51,"u")+COUNTIF($E51:AE51,"t")+COUNTIF($E51:AE51,"¶")+COUNTIF($E51:AE51,"²")+COUNTIF($E51:AE51,"µ")+COUNTIF($E51:AE51,1),ColDescriptionCourte))&gt;1,
HYPERLINK("#Roadmap!C"&amp; MATCH($E51,Roadmap!$D:$D,0)+COUNTIF($E51:AE51,"u")+COUNTIF($E51:AE51,"t")+COUNTIF($E51:AE51,"¶")+COUNTIF($E51:AE51,"²")+COUNTIF($E51:AE51,"µ")+COUNTIF($E51:AE51,1)-1,INDEX(Roadmap!$D:$K,MATCH($E51,Roadmap!$D:$D,0)-1+COUNTIF($E51:AE51,"u")+COUNTIF($E51:AE51,"t")+COUNTIF($E51:AE51,"¶")+COUNTIF($E51:AE51,"²")+COUNTIF($E51:AE51,"µ")+COUNTIF($E51:AE51,1),ColDescriptionCourte)),""),
  "")),"")</f>
        <v/>
      </c>
      <c r="AG51" s="40" t="str">
        <f ca="1">IFERROR(IF(AND(
  INDEX(Roadmap!$D:$K,MATCH($E51,Roadmap!$D:$D,0)+COUNTIF($E51:AF51,"u")+COUNTIF($E51:AF51,"t")+COUNTIF($E51:AF51,"¶")+COUNTIF($E51:AF51,"²")+COUNTIF($E51:AF51,"µ")+COUNTIF($E51:AF51,1),ColLivraison)=AG$6,
  VLOOKUP($E51,INDIRECT("tri!"&amp; CHAR(64+ C0Col) &amp;":"&amp; CHAR(65+C0Col)),2,FALSE)&gt;COUNTIF($E51:AF51,"u")+COUNTIF($E51:AF51,"t")+COUNTIF($E51:AF51,"¶")+COUNTIF($E51:AF51,"²")+COUNTIF($E51:AF51,"µ")+COUNTIF($E51:AF51,1)),
HYPERLINK("#Roadmap!C"&amp; MATCH($E51,Roadmap!$D:$D,0)+COUNTIF($E51:AF51,"u")+COUNTIF($E51:AF51,"t"),
     INDEX(Roadmap!$D:$K,MATCH($E51,Roadmap!$D:$D,0)+COUNTIF($E51:AF51,"u")+COUNTIF($E51:AF51,"t")+COUNTIF($E51:AF51,"¶")+COUNTIF($E51:AF51,"²")+COUNTIF($E51:AF51,"µ")+COUNTIF($E51:AF51,1),ColTypeEcheance)),
  IF(LEN(AF51)=1,
  IF(LEN(INDEX(Roadmap!$D:$K,MATCH($E51,Roadmap!$D:$D,0)-1+COUNTIF($E51:AF51,"u")+COUNTIF($E51:AF51,"t")+COUNTIF($E51:AF51,"¶")+COUNTIF($E51:AF51,"²")+COUNTIF($E51:AF51,"µ")+COUNTIF($E51:AF51,1),ColDescriptionCourte))&gt;1,
HYPERLINK("#Roadmap!C"&amp; MATCH($E51,Roadmap!$D:$D,0)+COUNTIF($E51:AF51,"u")+COUNTIF($E51:AF51,"t")+COUNTIF($E51:AF51,"¶")+COUNTIF($E51:AF51,"²")+COUNTIF($E51:AF51,"µ")+COUNTIF($E51:AF51,1)-1,INDEX(Roadmap!$D:$K,MATCH($E51,Roadmap!$D:$D,0)-1+COUNTIF($E51:AF51,"u")+COUNTIF($E51:AF51,"t")+COUNTIF($E51:AF51,"¶")+COUNTIF($E51:AF51,"²")+COUNTIF($E51:AF51,"µ")+COUNTIF($E51:AF51,1),ColDescriptionCourte)),""),
  "")),"")</f>
        <v/>
      </c>
    </row>
    <row r="52" spans="3:33" ht="14.25" customHeight="1">
      <c r="C52" s="1" t="str">
        <f t="shared" ca="1" si="44"/>
        <v/>
      </c>
      <c r="D52" s="1" t="str">
        <f t="shared" ca="1" si="45"/>
        <v/>
      </c>
      <c r="E52" s="35" t="str">
        <f t="shared" ca="1" si="33"/>
        <v/>
      </c>
      <c r="F52" s="39" t="str">
        <f ca="1">IFERROR(IF(AND(
  INDEX(Roadmap!$D:$K,MATCH($E52,Roadmap!$D:$D,0)+COUNTIF($E52:E52,"u")+COUNTIF($E52:E52,"t")+COUNTIF($E52:E52,"¶")+COUNTIF($E52:E52,"²")+COUNTIF($E52:E52,"µ")+COUNTIF($E52:E52,1),ColLivraison)=F$6,
  VLOOKUP($E52,INDIRECT("tri!"&amp; CHAR(64+ C0Col) &amp;":"&amp; CHAR(65+C0Col)),2,FALSE)&gt;COUNTIF($E52:E52,"u")+COUNTIF($E52:E52,"t")+COUNTIF($E52:E52,"¶")+COUNTIF($E52:E52,"²")+COUNTIF($E52:E52,"µ")+COUNTIF($E52:E52,1)),
HYPERLINK("#Roadmap!C"&amp; MATCH($E52,Roadmap!$D:$D,0)+COUNTIF($E52:E52,"u")+COUNTIF($E52:E52,"t"),
     INDEX(Roadmap!$D:$K,MATCH($E52,Roadmap!$D:$D,0)+COUNTIF($E52:E52,"u")+COUNTIF($E52:E52,"t")+COUNTIF($E52:E52,"¶")+COUNTIF($E52:E52,"²")+COUNTIF($E52:E52,"µ")+COUNTIF($E52:E52,1),ColTypeEcheance)),
  IF(LEN(E52)=1,
  IF(LEN(INDEX(Roadmap!$D:$K,MATCH($E52,Roadmap!$D:$D,0)-1+COUNTIF($E52:E52,"u")+COUNTIF($E52:E52,"t")+COUNTIF($E52:E52,"¶")+COUNTIF($E52:E52,"²")+COUNTIF($E52:E52,"µ")+COUNTIF($E52:E52,1),ColDescriptionCourte))&gt;1,
HYPERLINK("#Roadmap!C"&amp; MATCH($E52,Roadmap!$D:$D,0)+COUNTIF($E52:E52,"u")+COUNTIF($E52:E52,"t")+COUNTIF($E52:E52,"¶")+COUNTIF($E52:E52,"²")+COUNTIF($E52:E52,"µ")+COUNTIF($E52:E52,1)-1,INDEX(Roadmap!$D:$K,MATCH($E52,Roadmap!$D:$D,0)-1+COUNTIF($E52:E52,"u")+COUNTIF($E52:E52,"t")+COUNTIF($E52:E52,"¶")+COUNTIF($E52:E52,"²")+COUNTIF($E52:E52,"µ")+COUNTIF($E52:E52,1),ColDescriptionCourte)),""),
  "")),"")</f>
        <v/>
      </c>
      <c r="G52" s="40" t="str">
        <f ca="1">IFERROR(IF(AND(
  INDEX(Roadmap!$D:$K,MATCH($E52,Roadmap!$D:$D,0)+COUNTIF($E52:F52,"u")+COUNTIF($E52:F52,"t")+COUNTIF($E52:F52,"¶")+COUNTIF($E52:F52,"²")+COUNTIF($E52:F52,"µ")+COUNTIF($E52:F52,1),ColLivraison)=G$6,
  VLOOKUP($E52,INDIRECT("tri!"&amp; CHAR(64+ C0Col) &amp;":"&amp; CHAR(65+C0Col)),2,FALSE)&gt;COUNTIF($E52:F52,"u")+COUNTIF($E52:F52,"t")+COUNTIF($E52:F52,"¶")+COUNTIF($E52:F52,"²")+COUNTIF($E52:F52,"µ")+COUNTIF($E52:F52,1)),
HYPERLINK("#Roadmap!C"&amp; MATCH($E52,Roadmap!$D:$D,0)+COUNTIF($E52:F52,"u")+COUNTIF($E52:F52,"t"),
     INDEX(Roadmap!$D:$K,MATCH($E52,Roadmap!$D:$D,0)+COUNTIF($E52:F52,"u")+COUNTIF($E52:F52,"t")+COUNTIF($E52:F52,"¶")+COUNTIF($E52:F52,"²")+COUNTIF($E52:F52,"µ")+COUNTIF($E52:F52,1),ColTypeEcheance)),
  IF(LEN(F52)=1,
  IF(LEN(INDEX(Roadmap!$D:$K,MATCH($E52,Roadmap!$D:$D,0)-1+COUNTIF($E52:F52,"u")+COUNTIF($E52:F52,"t")+COUNTIF($E52:F52,"¶")+COUNTIF($E52:F52,"²")+COUNTIF($E52:F52,"µ")+COUNTIF($E52:F52,1),ColDescriptionCourte))&gt;1,
HYPERLINK("#Roadmap!C"&amp; MATCH($E52,Roadmap!$D:$D,0)+COUNTIF($E52:F52,"u")+COUNTIF($E52:F52,"t")+COUNTIF($E52:F52,"¶")+COUNTIF($E52:F52,"²")+COUNTIF($E52:F52,"µ")+COUNTIF($E52:F52,1)-1,INDEX(Roadmap!$D:$K,MATCH($E52,Roadmap!$D:$D,0)-1+COUNTIF($E52:F52,"u")+COUNTIF($E52:F52,"t")+COUNTIF($E52:F52,"¶")+COUNTIF($E52:F52,"²")+COUNTIF($E52:F52,"µ")+COUNTIF($E52:F52,1),ColDescriptionCourte)),""),
  "")),"")</f>
        <v/>
      </c>
      <c r="H52" s="40" t="str">
        <f ca="1">IFERROR(IF(AND(
  INDEX(Roadmap!$D:$K,MATCH($E52,Roadmap!$D:$D,0)+COUNTIF($E52:G52,"u")+COUNTIF($E52:G52,"t")+COUNTIF($E52:G52,"¶")+COUNTIF($E52:G52,"²")+COUNTIF($E52:G52,"µ")+COUNTIF($E52:G52,1),ColLivraison)=H$6,
  VLOOKUP($E52,INDIRECT("tri!"&amp; CHAR(64+ C0Col) &amp;":"&amp; CHAR(65+C0Col)),2,FALSE)&gt;COUNTIF($E52:G52,"u")+COUNTIF($E52:G52,"t")+COUNTIF($E52:G52,"¶")+COUNTIF($E52:G52,"²")+COUNTIF($E52:G52,"µ")+COUNTIF($E52:G52,1)),
HYPERLINK("#Roadmap!C"&amp; MATCH($E52,Roadmap!$D:$D,0)+COUNTIF($E52:G52,"u")+COUNTIF($E52:G52,"t"),
     INDEX(Roadmap!$D:$K,MATCH($E52,Roadmap!$D:$D,0)+COUNTIF($E52:G52,"u")+COUNTIF($E52:G52,"t")+COUNTIF($E52:G52,"¶")+COUNTIF($E52:G52,"²")+COUNTIF($E52:G52,"µ")+COUNTIF($E52:G52,1),ColTypeEcheance)),
  IF(LEN(G52)=1,
  IF(LEN(INDEX(Roadmap!$D:$K,MATCH($E52,Roadmap!$D:$D,0)-1+COUNTIF($E52:G52,"u")+COUNTIF($E52:G52,"t")+COUNTIF($E52:G52,"¶")+COUNTIF($E52:G52,"²")+COUNTIF($E52:G52,"µ")+COUNTIF($E52:G52,1),ColDescriptionCourte))&gt;1,
HYPERLINK("#Roadmap!C"&amp; MATCH($E52,Roadmap!$D:$D,0)+COUNTIF($E52:G52,"u")+COUNTIF($E52:G52,"t")+COUNTIF($E52:G52,"¶")+COUNTIF($E52:G52,"²")+COUNTIF($E52:G52,"µ")+COUNTIF($E52:G52,1)-1,INDEX(Roadmap!$D:$K,MATCH($E52,Roadmap!$D:$D,0)-1+COUNTIF($E52:G52,"u")+COUNTIF($E52:G52,"t")+COUNTIF($E52:G52,"¶")+COUNTIF($E52:G52,"²")+COUNTIF($E52:G52,"µ")+COUNTIF($E52:G52,1),ColDescriptionCourte)),""),
  "")),"")</f>
        <v/>
      </c>
      <c r="I52" s="40" t="str">
        <f ca="1">IFERROR(IF(AND(
  INDEX(Roadmap!$D:$K,MATCH($E52,Roadmap!$D:$D,0)+COUNTIF($E52:H52,"u")+COUNTIF($E52:H52,"t")+COUNTIF($E52:H52,"¶")+COUNTIF($E52:H52,"²")+COUNTIF($E52:H52,"µ")+COUNTIF($E52:H52,1),ColLivraison)=I$6,
  VLOOKUP($E52,INDIRECT("tri!"&amp; CHAR(64+ C0Col) &amp;":"&amp; CHAR(65+C0Col)),2,FALSE)&gt;COUNTIF($E52:H52,"u")+COUNTIF($E52:H52,"t")+COUNTIF($E52:H52,"¶")+COUNTIF($E52:H52,"²")+COUNTIF($E52:H52,"µ")+COUNTIF($E52:H52,1)),
HYPERLINK("#Roadmap!C"&amp; MATCH($E52,Roadmap!$D:$D,0)+COUNTIF($E52:H52,"u")+COUNTIF($E52:H52,"t"),
     INDEX(Roadmap!$D:$K,MATCH($E52,Roadmap!$D:$D,0)+COUNTIF($E52:H52,"u")+COUNTIF($E52:H52,"t")+COUNTIF($E52:H52,"¶")+COUNTIF($E52:H52,"²")+COUNTIF($E52:H52,"µ")+COUNTIF($E52:H52,1),ColTypeEcheance)),
  IF(LEN(H52)=1,
  IF(LEN(INDEX(Roadmap!$D:$K,MATCH($E52,Roadmap!$D:$D,0)-1+COUNTIF($E52:H52,"u")+COUNTIF($E52:H52,"t")+COUNTIF($E52:H52,"¶")+COUNTIF($E52:H52,"²")+COUNTIF($E52:H52,"µ")+COUNTIF($E52:H52,1),ColDescriptionCourte))&gt;1,
HYPERLINK("#Roadmap!C"&amp; MATCH($E52,Roadmap!$D:$D,0)+COUNTIF($E52:H52,"u")+COUNTIF($E52:H52,"t")+COUNTIF($E52:H52,"¶")+COUNTIF($E52:H52,"²")+COUNTIF($E52:H52,"µ")+COUNTIF($E52:H52,1)-1,INDEX(Roadmap!$D:$K,MATCH($E52,Roadmap!$D:$D,0)-1+COUNTIF($E52:H52,"u")+COUNTIF($E52:H52,"t")+COUNTIF($E52:H52,"¶")+COUNTIF($E52:H52,"²")+COUNTIF($E52:H52,"µ")+COUNTIF($E52:H52,1),ColDescriptionCourte)),""),
  "")),"")</f>
        <v/>
      </c>
      <c r="J52" s="40" t="str">
        <f ca="1">IFERROR(IF(AND(
  INDEX(Roadmap!$D:$K,MATCH($E52,Roadmap!$D:$D,0)+COUNTIF($E52:I52,"u")+COUNTIF($E52:I52,"t")+COUNTIF($E52:I52,"¶")+COUNTIF($E52:I52,"²")+COUNTIF($E52:I52,"µ")+COUNTIF($E52:I52,1),ColLivraison)=J$6,
  VLOOKUP($E52,INDIRECT("tri!"&amp; CHAR(64+ C0Col) &amp;":"&amp; CHAR(65+C0Col)),2,FALSE)&gt;COUNTIF($E52:I52,"u")+COUNTIF($E52:I52,"t")+COUNTIF($E52:I52,"¶")+COUNTIF($E52:I52,"²")+COUNTIF($E52:I52,"µ")+COUNTIF($E52:I52,1)),
HYPERLINK("#Roadmap!C"&amp; MATCH($E52,Roadmap!$D:$D,0)+COUNTIF($E52:I52,"u")+COUNTIF($E52:I52,"t"),
     INDEX(Roadmap!$D:$K,MATCH($E52,Roadmap!$D:$D,0)+COUNTIF($E52:I52,"u")+COUNTIF($E52:I52,"t")+COUNTIF($E52:I52,"¶")+COUNTIF($E52:I52,"²")+COUNTIF($E52:I52,"µ")+COUNTIF($E52:I52,1),ColTypeEcheance)),
  IF(LEN(I52)=1,
  IF(LEN(INDEX(Roadmap!$D:$K,MATCH($E52,Roadmap!$D:$D,0)-1+COUNTIF($E52:I52,"u")+COUNTIF($E52:I52,"t")+COUNTIF($E52:I52,"¶")+COUNTIF($E52:I52,"²")+COUNTIF($E52:I52,"µ")+COUNTIF($E52:I52,1),ColDescriptionCourte))&gt;1,
HYPERLINK("#Roadmap!C"&amp; MATCH($E52,Roadmap!$D:$D,0)+COUNTIF($E52:I52,"u")+COUNTIF($E52:I52,"t")+COUNTIF($E52:I52,"¶")+COUNTIF($E52:I52,"²")+COUNTIF($E52:I52,"µ")+COUNTIF($E52:I52,1)-1,INDEX(Roadmap!$D:$K,MATCH($E52,Roadmap!$D:$D,0)-1+COUNTIF($E52:I52,"u")+COUNTIF($E52:I52,"t")+COUNTIF($E52:I52,"¶")+COUNTIF($E52:I52,"²")+COUNTIF($E52:I52,"µ")+COUNTIF($E52:I52,1),ColDescriptionCourte)),""),
  "")),"")</f>
        <v/>
      </c>
      <c r="K52" s="40" t="str">
        <f ca="1">IFERROR(IF(AND(
  INDEX(Roadmap!$D:$K,MATCH($E52,Roadmap!$D:$D,0)+COUNTIF($E52:J52,"u")+COUNTIF($E52:J52,"t")+COUNTIF($E52:J52,"¶")+COUNTIF($E52:J52,"²")+COUNTIF($E52:J52,"µ")+COUNTIF($E52:J52,1),ColLivraison)=K$6,
  VLOOKUP($E52,INDIRECT("tri!"&amp; CHAR(64+ C0Col) &amp;":"&amp; CHAR(65+C0Col)),2,FALSE)&gt;COUNTIF($E52:J52,"u")+COUNTIF($E52:J52,"t")+COUNTIF($E52:J52,"¶")+COUNTIF($E52:J52,"²")+COUNTIF($E52:J52,"µ")+COUNTIF($E52:J52,1)),
HYPERLINK("#Roadmap!C"&amp; MATCH($E52,Roadmap!$D:$D,0)+COUNTIF($E52:J52,"u")+COUNTIF($E52:J52,"t"),
     INDEX(Roadmap!$D:$K,MATCH($E52,Roadmap!$D:$D,0)+COUNTIF($E52:J52,"u")+COUNTIF($E52:J52,"t")+COUNTIF($E52:J52,"¶")+COUNTIF($E52:J52,"²")+COUNTIF($E52:J52,"µ")+COUNTIF($E52:J52,1),ColTypeEcheance)),
  IF(LEN(J52)=1,
  IF(LEN(INDEX(Roadmap!$D:$K,MATCH($E52,Roadmap!$D:$D,0)-1+COUNTIF($E52:J52,"u")+COUNTIF($E52:J52,"t")+COUNTIF($E52:J52,"¶")+COUNTIF($E52:J52,"²")+COUNTIF($E52:J52,"µ")+COUNTIF($E52:J52,1),ColDescriptionCourte))&gt;1,
HYPERLINK("#Roadmap!C"&amp; MATCH($E52,Roadmap!$D:$D,0)+COUNTIF($E52:J52,"u")+COUNTIF($E52:J52,"t")+COUNTIF($E52:J52,"¶")+COUNTIF($E52:J52,"²")+COUNTIF($E52:J52,"µ")+COUNTIF($E52:J52,1)-1,INDEX(Roadmap!$D:$K,MATCH($E52,Roadmap!$D:$D,0)-1+COUNTIF($E52:J52,"u")+COUNTIF($E52:J52,"t")+COUNTIF($E52:J52,"¶")+COUNTIF($E52:J52,"²")+COUNTIF($E52:J52,"µ")+COUNTIF($E52:J52,1),ColDescriptionCourte)),""),
  "")),"")</f>
        <v/>
      </c>
      <c r="L52" s="39" t="str">
        <f ca="1">IFERROR(IF(AND(
  INDEX(Roadmap!$D:$K,MATCH($E52,Roadmap!$D:$D,0)+COUNTIF($E52:K52,"u")+COUNTIF($E52:K52,"t")+COUNTIF($E52:K52,"¶")+COUNTIF($E52:K52,"²")+COUNTIF($E52:K52,"µ")+COUNTIF($E52:K52,1),ColLivraison)=L$6,
  VLOOKUP($E52,INDIRECT("tri!"&amp; CHAR(64+ C0Col) &amp;":"&amp; CHAR(65+C0Col)),2,FALSE)&gt;COUNTIF($E52:K52,"u")+COUNTIF($E52:K52,"t")+COUNTIF($E52:K52,"¶")+COUNTIF($E52:K52,"²")+COUNTIF($E52:K52,"µ")+COUNTIF($E52:K52,1)),
HYPERLINK("#Roadmap!C"&amp; MATCH($E52,Roadmap!$D:$D,0)+COUNTIF($E52:K52,"u")+COUNTIF($E52:K52,"t"),
     INDEX(Roadmap!$D:$K,MATCH($E52,Roadmap!$D:$D,0)+COUNTIF($E52:K52,"u")+COUNTIF($E52:K52,"t")+COUNTIF($E52:K52,"¶")+COUNTIF($E52:K52,"²")+COUNTIF($E52:K52,"µ")+COUNTIF($E52:K52,1),ColTypeEcheance)),
  IF(LEN(K52)=1,
  IF(LEN(INDEX(Roadmap!$D:$K,MATCH($E52,Roadmap!$D:$D,0)-1+COUNTIF($E52:K52,"u")+COUNTIF($E52:K52,"t")+COUNTIF($E52:K52,"¶")+COUNTIF($E52:K52,"²")+COUNTIF($E52:K52,"µ")+COUNTIF($E52:K52,1),ColDescriptionCourte))&gt;1,
HYPERLINK("#Roadmap!C"&amp; MATCH($E52,Roadmap!$D:$D,0)+COUNTIF($E52:K52,"u")+COUNTIF($E52:K52,"t")+COUNTIF($E52:K52,"¶")+COUNTIF($E52:K52,"²")+COUNTIF($E52:K52,"µ")+COUNTIF($E52:K52,1)-1,INDEX(Roadmap!$D:$K,MATCH($E52,Roadmap!$D:$D,0)-1+COUNTIF($E52:K52,"u")+COUNTIF($E52:K52,"t")+COUNTIF($E52:K52,"¶")+COUNTIF($E52:K52,"²")+COUNTIF($E52:K52,"µ")+COUNTIF($E52:K52,1),ColDescriptionCourte)),""),
  "")),"")</f>
        <v/>
      </c>
      <c r="M52" s="40" t="str">
        <f ca="1">IFERROR(IF(AND(
  INDEX(Roadmap!$D:$K,MATCH($E52,Roadmap!$D:$D,0)+COUNTIF($E52:L52,"u")+COUNTIF($E52:L52,"t")+COUNTIF($E52:L52,"¶")+COUNTIF($E52:L52,"²")+COUNTIF($E52:L52,"µ")+COUNTIF($E52:L52,1),ColLivraison)=M$6,
  VLOOKUP($E52,INDIRECT("tri!"&amp; CHAR(64+ C0Col) &amp;":"&amp; CHAR(65+C0Col)),2,FALSE)&gt;COUNTIF($E52:L52,"u")+COUNTIF($E52:L52,"t")+COUNTIF($E52:L52,"¶")+COUNTIF($E52:L52,"²")+COUNTIF($E52:L52,"µ")+COUNTIF($E52:L52,1)),
HYPERLINK("#Roadmap!C"&amp; MATCH($E52,Roadmap!$D:$D,0)+COUNTIF($E52:L52,"u")+COUNTIF($E52:L52,"t"),
     INDEX(Roadmap!$D:$K,MATCH($E52,Roadmap!$D:$D,0)+COUNTIF($E52:L52,"u")+COUNTIF($E52:L52,"t")+COUNTIF($E52:L52,"¶")+COUNTIF($E52:L52,"²")+COUNTIF($E52:L52,"µ")+COUNTIF($E52:L52,1),ColTypeEcheance)),
  IF(LEN(L52)=1,
  IF(LEN(INDEX(Roadmap!$D:$K,MATCH($E52,Roadmap!$D:$D,0)-1+COUNTIF($E52:L52,"u")+COUNTIF($E52:L52,"t")+COUNTIF($E52:L52,"¶")+COUNTIF($E52:L52,"²")+COUNTIF($E52:L52,"µ")+COUNTIF($E52:L52,1),ColDescriptionCourte))&gt;1,
HYPERLINK("#Roadmap!C"&amp; MATCH($E52,Roadmap!$D:$D,0)+COUNTIF($E52:L52,"u")+COUNTIF($E52:L52,"t")+COUNTIF($E52:L52,"¶")+COUNTIF($E52:L52,"²")+COUNTIF($E52:L52,"µ")+COUNTIF($E52:L52,1)-1,INDEX(Roadmap!$D:$K,MATCH($E52,Roadmap!$D:$D,0)-1+COUNTIF($E52:L52,"u")+COUNTIF($E52:L52,"t")+COUNTIF($E52:L52,"¶")+COUNTIF($E52:L52,"²")+COUNTIF($E52:L52,"µ")+COUNTIF($E52:L52,1),ColDescriptionCourte)),""),
  "")),"")</f>
        <v/>
      </c>
      <c r="N52" s="40" t="str">
        <f ca="1">IFERROR(IF(AND(
  INDEX(Roadmap!$D:$K,MATCH($E52,Roadmap!$D:$D,0)+COUNTIF($E52:M52,"u")+COUNTIF($E52:M52,"t")+COUNTIF($E52:M52,"¶")+COUNTIF($E52:M52,"²")+COUNTIF($E52:M52,"µ")+COUNTIF($E52:M52,1),ColLivraison)=N$6,
  VLOOKUP($E52,INDIRECT("tri!"&amp; CHAR(64+ C0Col) &amp;":"&amp; CHAR(65+C0Col)),2,FALSE)&gt;COUNTIF($E52:M52,"u")+COUNTIF($E52:M52,"t")+COUNTIF($E52:M52,"¶")+COUNTIF($E52:M52,"²")+COUNTIF($E52:M52,"µ")+COUNTIF($E52:M52,1)),
HYPERLINK("#Roadmap!C"&amp; MATCH($E52,Roadmap!$D:$D,0)+COUNTIF($E52:M52,"u")+COUNTIF($E52:M52,"t"),
     INDEX(Roadmap!$D:$K,MATCH($E52,Roadmap!$D:$D,0)+COUNTIF($E52:M52,"u")+COUNTIF($E52:M52,"t")+COUNTIF($E52:M52,"¶")+COUNTIF($E52:M52,"²")+COUNTIF($E52:M52,"µ")+COUNTIF($E52:M52,1),ColTypeEcheance)),
  IF(LEN(M52)=1,
  IF(LEN(INDEX(Roadmap!$D:$K,MATCH($E52,Roadmap!$D:$D,0)-1+COUNTIF($E52:M52,"u")+COUNTIF($E52:M52,"t")+COUNTIF($E52:M52,"¶")+COUNTIF($E52:M52,"²")+COUNTIF($E52:M52,"µ")+COUNTIF($E52:M52,1),ColDescriptionCourte))&gt;1,
HYPERLINK("#Roadmap!C"&amp; MATCH($E52,Roadmap!$D:$D,0)+COUNTIF($E52:M52,"u")+COUNTIF($E52:M52,"t")+COUNTIF($E52:M52,"¶")+COUNTIF($E52:M52,"²")+COUNTIF($E52:M52,"µ")+COUNTIF($E52:M52,1)-1,INDEX(Roadmap!$D:$K,MATCH($E52,Roadmap!$D:$D,0)-1+COUNTIF($E52:M52,"u")+COUNTIF($E52:M52,"t")+COUNTIF($E52:M52,"¶")+COUNTIF($E52:M52,"²")+COUNTIF($E52:M52,"µ")+COUNTIF($E52:M52,1),ColDescriptionCourte)),""),
  "")),"")</f>
        <v/>
      </c>
      <c r="O52" s="40" t="str">
        <f ca="1">IFERROR(IF(AND(
  INDEX(Roadmap!$D:$K,MATCH($E52,Roadmap!$D:$D,0)+COUNTIF($E52:N52,"u")+COUNTIF($E52:N52,"t")+COUNTIF($E52:N52,"¶")+COUNTIF($E52:N52,"²")+COUNTIF($E52:N52,"µ")+COUNTIF($E52:N52,1),ColLivraison)=O$6,
  VLOOKUP($E52,INDIRECT("tri!"&amp; CHAR(64+ C0Col) &amp;":"&amp; CHAR(65+C0Col)),2,FALSE)&gt;COUNTIF($E52:N52,"u")+COUNTIF($E52:N52,"t")+COUNTIF($E52:N52,"¶")+COUNTIF($E52:N52,"²")+COUNTIF($E52:N52,"µ")+COUNTIF($E52:N52,1)),
HYPERLINK("#Roadmap!C"&amp; MATCH($E52,Roadmap!$D:$D,0)+COUNTIF($E52:N52,"u")+COUNTIF($E52:N52,"t"),
     INDEX(Roadmap!$D:$K,MATCH($E52,Roadmap!$D:$D,0)+COUNTIF($E52:N52,"u")+COUNTIF($E52:N52,"t")+COUNTIF($E52:N52,"¶")+COUNTIF($E52:N52,"²")+COUNTIF($E52:N52,"µ")+COUNTIF($E52:N52,1),ColTypeEcheance)),
  IF(LEN(N52)=1,
  IF(LEN(INDEX(Roadmap!$D:$K,MATCH($E52,Roadmap!$D:$D,0)-1+COUNTIF($E52:N52,"u")+COUNTIF($E52:N52,"t")+COUNTIF($E52:N52,"¶")+COUNTIF($E52:N52,"²")+COUNTIF($E52:N52,"µ")+COUNTIF($E52:N52,1),ColDescriptionCourte))&gt;1,
HYPERLINK("#Roadmap!C"&amp; MATCH($E52,Roadmap!$D:$D,0)+COUNTIF($E52:N52,"u")+COUNTIF($E52:N52,"t")+COUNTIF($E52:N52,"¶")+COUNTIF($E52:N52,"²")+COUNTIF($E52:N52,"µ")+COUNTIF($E52:N52,1)-1,INDEX(Roadmap!$D:$K,MATCH($E52,Roadmap!$D:$D,0)-1+COUNTIF($E52:N52,"u")+COUNTIF($E52:N52,"t")+COUNTIF($E52:N52,"¶")+COUNTIF($E52:N52,"²")+COUNTIF($E52:N52,"µ")+COUNTIF($E52:N52,1),ColDescriptionCourte)),""),
  "")),"")</f>
        <v/>
      </c>
      <c r="P52" s="40" t="str">
        <f ca="1">IFERROR(IF(AND(
  INDEX(Roadmap!$D:$K,MATCH($E52,Roadmap!$D:$D,0)+COUNTIF($E52:O52,"u")+COUNTIF($E52:O52,"t")+COUNTIF($E52:O52,"¶")+COUNTIF($E52:O52,"²")+COUNTIF($E52:O52,"µ")+COUNTIF($E52:O52,1),ColLivraison)=P$6,
  VLOOKUP($E52,INDIRECT("tri!"&amp; CHAR(64+ C0Col) &amp;":"&amp; CHAR(65+C0Col)),2,FALSE)&gt;COUNTIF($E52:O52,"u")+COUNTIF($E52:O52,"t")+COUNTIF($E52:O52,"¶")+COUNTIF($E52:O52,"²")+COUNTIF($E52:O52,"µ")+COUNTIF($E52:O52,1)),
HYPERLINK("#Roadmap!C"&amp; MATCH($E52,Roadmap!$D:$D,0)+COUNTIF($E52:O52,"u")+COUNTIF($E52:O52,"t"),
     INDEX(Roadmap!$D:$K,MATCH($E52,Roadmap!$D:$D,0)+COUNTIF($E52:O52,"u")+COUNTIF($E52:O52,"t")+COUNTIF($E52:O52,"¶")+COUNTIF($E52:O52,"²")+COUNTIF($E52:O52,"µ")+COUNTIF($E52:O52,1),ColTypeEcheance)),
  IF(LEN(O52)=1,
  IF(LEN(INDEX(Roadmap!$D:$K,MATCH($E52,Roadmap!$D:$D,0)-1+COUNTIF($E52:O52,"u")+COUNTIF($E52:O52,"t")+COUNTIF($E52:O52,"¶")+COUNTIF($E52:O52,"²")+COUNTIF($E52:O52,"µ")+COUNTIF($E52:O52,1),ColDescriptionCourte))&gt;1,
HYPERLINK("#Roadmap!C"&amp; MATCH($E52,Roadmap!$D:$D,0)+COUNTIF($E52:O52,"u")+COUNTIF($E52:O52,"t")+COUNTIF($E52:O52,"¶")+COUNTIF($E52:O52,"²")+COUNTIF($E52:O52,"µ")+COUNTIF($E52:O52,1)-1,INDEX(Roadmap!$D:$K,MATCH($E52,Roadmap!$D:$D,0)-1+COUNTIF($E52:O52,"u")+COUNTIF($E52:O52,"t")+COUNTIF($E52:O52,"¶")+COUNTIF($E52:O52,"²")+COUNTIF($E52:O52,"µ")+COUNTIF($E52:O52,1),ColDescriptionCourte)),""),
  "")),"")</f>
        <v/>
      </c>
      <c r="Q52" s="40" t="str">
        <f ca="1">IFERROR(IF(AND(
  INDEX(Roadmap!$D:$K,MATCH($E52,Roadmap!$D:$D,0)+COUNTIF($E52:P52,"u")+COUNTIF($E52:P52,"t")+COUNTIF($E52:P52,"¶")+COUNTIF($E52:P52,"²")+COUNTIF($E52:P52,"µ")+COUNTIF($E52:P52,1),ColLivraison)=Q$6,
  VLOOKUP($E52,INDIRECT("tri!"&amp; CHAR(64+ C0Col) &amp;":"&amp; CHAR(65+C0Col)),2,FALSE)&gt;COUNTIF($E52:P52,"u")+COUNTIF($E52:P52,"t")+COUNTIF($E52:P52,"¶")+COUNTIF($E52:P52,"²")+COUNTIF($E52:P52,"µ")+COUNTIF($E52:P52,1)),
HYPERLINK("#Roadmap!C"&amp; MATCH($E52,Roadmap!$D:$D,0)+COUNTIF($E52:P52,"u")+COUNTIF($E52:P52,"t"),
     INDEX(Roadmap!$D:$K,MATCH($E52,Roadmap!$D:$D,0)+COUNTIF($E52:P52,"u")+COUNTIF($E52:P52,"t")+COUNTIF($E52:P52,"¶")+COUNTIF($E52:P52,"²")+COUNTIF($E52:P52,"µ")+COUNTIF($E52:P52,1),ColTypeEcheance)),
  IF(LEN(P52)=1,
  IF(LEN(INDEX(Roadmap!$D:$K,MATCH($E52,Roadmap!$D:$D,0)-1+COUNTIF($E52:P52,"u")+COUNTIF($E52:P52,"t")+COUNTIF($E52:P52,"¶")+COUNTIF($E52:P52,"²")+COUNTIF($E52:P52,"µ")+COUNTIF($E52:P52,1),ColDescriptionCourte))&gt;1,
HYPERLINK("#Roadmap!C"&amp; MATCH($E52,Roadmap!$D:$D,0)+COUNTIF($E52:P52,"u")+COUNTIF($E52:P52,"t")+COUNTIF($E52:P52,"¶")+COUNTIF($E52:P52,"²")+COUNTIF($E52:P52,"µ")+COUNTIF($E52:P52,1)-1,INDEX(Roadmap!$D:$K,MATCH($E52,Roadmap!$D:$D,0)-1+COUNTIF($E52:P52,"u")+COUNTIF($E52:P52,"t")+COUNTIF($E52:P52,"¶")+COUNTIF($E52:P52,"²")+COUNTIF($E52:P52,"µ")+COUNTIF($E52:P52,1),ColDescriptionCourte)),""),
  "")),"")</f>
        <v/>
      </c>
      <c r="R52" s="40" t="str">
        <f ca="1">IFERROR(IF(AND(
  INDEX(Roadmap!$D:$K,MATCH($E52,Roadmap!$D:$D,0)+COUNTIF($E52:Q52,"u")+COUNTIF($E52:Q52,"t")+COUNTIF($E52:Q52,"¶")+COUNTIF($E52:Q52,"²")+COUNTIF($E52:Q52,"µ")+COUNTIF($E52:Q52,1),ColLivraison)=R$6,
  VLOOKUP($E52,INDIRECT("tri!"&amp; CHAR(64+ C0Col) &amp;":"&amp; CHAR(65+C0Col)),2,FALSE)&gt;COUNTIF($E52:Q52,"u")+COUNTIF($E52:Q52,"t")+COUNTIF($E52:Q52,"¶")+COUNTIF($E52:Q52,"²")+COUNTIF($E52:Q52,"µ")+COUNTIF($E52:Q52,1)),
HYPERLINK("#Roadmap!C"&amp; MATCH($E52,Roadmap!$D:$D,0)+COUNTIF($E52:Q52,"u")+COUNTIF($E52:Q52,"t"),
     INDEX(Roadmap!$D:$K,MATCH($E52,Roadmap!$D:$D,0)+COUNTIF($E52:Q52,"u")+COUNTIF($E52:Q52,"t")+COUNTIF($E52:Q52,"¶")+COUNTIF($E52:Q52,"²")+COUNTIF($E52:Q52,"µ")+COUNTIF($E52:Q52,1),ColTypeEcheance)),
  IF(LEN(Q52)=1,
  IF(LEN(INDEX(Roadmap!$D:$K,MATCH($E52,Roadmap!$D:$D,0)-1+COUNTIF($E52:Q52,"u")+COUNTIF($E52:Q52,"t")+COUNTIF($E52:Q52,"¶")+COUNTIF($E52:Q52,"²")+COUNTIF($E52:Q52,"µ")+COUNTIF($E52:Q52,1),ColDescriptionCourte))&gt;1,
HYPERLINK("#Roadmap!C"&amp; MATCH($E52,Roadmap!$D:$D,0)+COUNTIF($E52:Q52,"u")+COUNTIF($E52:Q52,"t")+COUNTIF($E52:Q52,"¶")+COUNTIF($E52:Q52,"²")+COUNTIF($E52:Q52,"µ")+COUNTIF($E52:Q52,1)-1,INDEX(Roadmap!$D:$K,MATCH($E52,Roadmap!$D:$D,0)-1+COUNTIF($E52:Q52,"u")+COUNTIF($E52:Q52,"t")+COUNTIF($E52:Q52,"¶")+COUNTIF($E52:Q52,"²")+COUNTIF($E52:Q52,"µ")+COUNTIF($E52:Q52,1),ColDescriptionCourte)),""),
  "")),"")</f>
        <v/>
      </c>
      <c r="S52" s="40" t="str">
        <f ca="1">IFERROR(IF(AND(
  INDEX(Roadmap!$D:$K,MATCH($E52,Roadmap!$D:$D,0)+COUNTIF($E52:R52,"u")+COUNTIF($E52:R52,"t")+COUNTIF($E52:R52,"¶")+COUNTIF($E52:R52,"²")+COUNTIF($E52:R52,"µ")+COUNTIF($E52:R52,1),ColLivraison)=S$6,
  VLOOKUP($E52,INDIRECT("tri!"&amp; CHAR(64+ C0Col) &amp;":"&amp; CHAR(65+C0Col)),2,FALSE)&gt;COUNTIF($E52:R52,"u")+COUNTIF($E52:R52,"t")+COUNTIF($E52:R52,"¶")+COUNTIF($E52:R52,"²")+COUNTIF($E52:R52,"µ")+COUNTIF($E52:R52,1)),
HYPERLINK("#Roadmap!C"&amp; MATCH($E52,Roadmap!$D:$D,0)+COUNTIF($E52:R52,"u")+COUNTIF($E52:R52,"t"),
     INDEX(Roadmap!$D:$K,MATCH($E52,Roadmap!$D:$D,0)+COUNTIF($E52:R52,"u")+COUNTIF($E52:R52,"t")+COUNTIF($E52:R52,"¶")+COUNTIF($E52:R52,"²")+COUNTIF($E52:R52,"µ")+COUNTIF($E52:R52,1),ColTypeEcheance)),
  IF(LEN(R52)=1,
  IF(LEN(INDEX(Roadmap!$D:$K,MATCH($E52,Roadmap!$D:$D,0)-1+COUNTIF($E52:R52,"u")+COUNTIF($E52:R52,"t")+COUNTIF($E52:R52,"¶")+COUNTIF($E52:R52,"²")+COUNTIF($E52:R52,"µ")+COUNTIF($E52:R52,1),ColDescriptionCourte))&gt;1,
HYPERLINK("#Roadmap!C"&amp; MATCH($E52,Roadmap!$D:$D,0)+COUNTIF($E52:R52,"u")+COUNTIF($E52:R52,"t")+COUNTIF($E52:R52,"¶")+COUNTIF($E52:R52,"²")+COUNTIF($E52:R52,"µ")+COUNTIF($E52:R52,1)-1,INDEX(Roadmap!$D:$K,MATCH($E52,Roadmap!$D:$D,0)-1+COUNTIF($E52:R52,"u")+COUNTIF($E52:R52,"t")+COUNTIF($E52:R52,"¶")+COUNTIF($E52:R52,"²")+COUNTIF($E52:R52,"µ")+COUNTIF($E52:R52,1),ColDescriptionCourte)),""),
  "")),"")</f>
        <v/>
      </c>
      <c r="T52" s="40" t="str">
        <f ca="1">IFERROR(IF(AND(
  INDEX(Roadmap!$D:$K,MATCH($E52,Roadmap!$D:$D,0)+COUNTIF($E52:S52,"u")+COUNTIF($E52:S52,"t")+COUNTIF($E52:S52,"¶")+COUNTIF($E52:S52,"²")+COUNTIF($E52:S52,"µ")+COUNTIF($E52:S52,1),ColLivraison)=T$6,
  VLOOKUP($E52,INDIRECT("tri!"&amp; CHAR(64+ C0Col) &amp;":"&amp; CHAR(65+C0Col)),2,FALSE)&gt;COUNTIF($E52:S52,"u")+COUNTIF($E52:S52,"t")+COUNTIF($E52:S52,"¶")+COUNTIF($E52:S52,"²")+COUNTIF($E52:S52,"µ")+COUNTIF($E52:S52,1)),
HYPERLINK("#Roadmap!C"&amp; MATCH($E52,Roadmap!$D:$D,0)+COUNTIF($E52:S52,"u")+COUNTIF($E52:S52,"t"),
     INDEX(Roadmap!$D:$K,MATCH($E52,Roadmap!$D:$D,0)+COUNTIF($E52:S52,"u")+COUNTIF($E52:S52,"t")+COUNTIF($E52:S52,"¶")+COUNTIF($E52:S52,"²")+COUNTIF($E52:S52,"µ")+COUNTIF($E52:S52,1),ColTypeEcheance)),
  IF(LEN(S52)=1,
  IF(LEN(INDEX(Roadmap!$D:$K,MATCH($E52,Roadmap!$D:$D,0)-1+COUNTIF($E52:S52,"u")+COUNTIF($E52:S52,"t")+COUNTIF($E52:S52,"¶")+COUNTIF($E52:S52,"²")+COUNTIF($E52:S52,"µ")+COUNTIF($E52:S52,1),ColDescriptionCourte))&gt;1,
HYPERLINK("#Roadmap!C"&amp; MATCH($E52,Roadmap!$D:$D,0)+COUNTIF($E52:S52,"u")+COUNTIF($E52:S52,"t")+COUNTIF($E52:S52,"¶")+COUNTIF($E52:S52,"²")+COUNTIF($E52:S52,"µ")+COUNTIF($E52:S52,1)-1,INDEX(Roadmap!$D:$K,MATCH($E52,Roadmap!$D:$D,0)-1+COUNTIF($E52:S52,"u")+COUNTIF($E52:S52,"t")+COUNTIF($E52:S52,"¶")+COUNTIF($E52:S52,"²")+COUNTIF($E52:S52,"µ")+COUNTIF($E52:S52,1),ColDescriptionCourte)),""),
  "")),"")</f>
        <v/>
      </c>
      <c r="U52" s="40" t="str">
        <f ca="1">IFERROR(IF(AND(
  INDEX(Roadmap!$D:$K,MATCH($E52,Roadmap!$D:$D,0)+COUNTIF($E52:T52,"u")+COUNTIF($E52:T52,"t")+COUNTIF($E52:T52,"¶")+COUNTIF($E52:T52,"²")+COUNTIF($E52:T52,"µ")+COUNTIF($E52:T52,1),ColLivraison)=U$6,
  VLOOKUP($E52,INDIRECT("tri!"&amp; CHAR(64+ C0Col) &amp;":"&amp; CHAR(65+C0Col)),2,FALSE)&gt;COUNTIF($E52:T52,"u")+COUNTIF($E52:T52,"t")+COUNTIF($E52:T52,"¶")+COUNTIF($E52:T52,"²")+COUNTIF($E52:T52,"µ")+COUNTIF($E52:T52,1)),
HYPERLINK("#Roadmap!C"&amp; MATCH($E52,Roadmap!$D:$D,0)+COUNTIF($E52:T52,"u")+COUNTIF($E52:T52,"t"),
     INDEX(Roadmap!$D:$K,MATCH($E52,Roadmap!$D:$D,0)+COUNTIF($E52:T52,"u")+COUNTIF($E52:T52,"t")+COUNTIF($E52:T52,"¶")+COUNTIF($E52:T52,"²")+COUNTIF($E52:T52,"µ")+COUNTIF($E52:T52,1),ColTypeEcheance)),
  IF(LEN(T52)=1,
  IF(LEN(INDEX(Roadmap!$D:$K,MATCH($E52,Roadmap!$D:$D,0)-1+COUNTIF($E52:T52,"u")+COUNTIF($E52:T52,"t")+COUNTIF($E52:T52,"¶")+COUNTIF($E52:T52,"²")+COUNTIF($E52:T52,"µ")+COUNTIF($E52:T52,1),ColDescriptionCourte))&gt;1,
HYPERLINK("#Roadmap!C"&amp; MATCH($E52,Roadmap!$D:$D,0)+COUNTIF($E52:T52,"u")+COUNTIF($E52:T52,"t")+COUNTIF($E52:T52,"¶")+COUNTIF($E52:T52,"²")+COUNTIF($E52:T52,"µ")+COUNTIF($E52:T52,1)-1,INDEX(Roadmap!$D:$K,MATCH($E52,Roadmap!$D:$D,0)-1+COUNTIF($E52:T52,"u")+COUNTIF($E52:T52,"t")+COUNTIF($E52:T52,"¶")+COUNTIF($E52:T52,"²")+COUNTIF($E52:T52,"µ")+COUNTIF($E52:T52,1),ColDescriptionCourte)),""),
  "")),"")</f>
        <v/>
      </c>
      <c r="V52" s="40" t="str">
        <f ca="1">IFERROR(IF(AND(
  INDEX(Roadmap!$D:$K,MATCH($E52,Roadmap!$D:$D,0)+COUNTIF($E52:U52,"u")+COUNTIF($E52:U52,"t")+COUNTIF($E52:U52,"¶")+COUNTIF($E52:U52,"²")+COUNTIF($E52:U52,"µ")+COUNTIF($E52:U52,1),ColLivraison)=V$6,
  VLOOKUP($E52,INDIRECT("tri!"&amp; CHAR(64+ C0Col) &amp;":"&amp; CHAR(65+C0Col)),2,FALSE)&gt;COUNTIF($E52:U52,"u")+COUNTIF($E52:U52,"t")+COUNTIF($E52:U52,"¶")+COUNTIF($E52:U52,"²")+COUNTIF($E52:U52,"µ")+COUNTIF($E52:U52,1)),
HYPERLINK("#Roadmap!C"&amp; MATCH($E52,Roadmap!$D:$D,0)+COUNTIF($E52:U52,"u")+COUNTIF($E52:U52,"t"),
     INDEX(Roadmap!$D:$K,MATCH($E52,Roadmap!$D:$D,0)+COUNTIF($E52:U52,"u")+COUNTIF($E52:U52,"t")+COUNTIF($E52:U52,"¶")+COUNTIF($E52:U52,"²")+COUNTIF($E52:U52,"µ")+COUNTIF($E52:U52,1),ColTypeEcheance)),
  IF(LEN(U52)=1,
  IF(LEN(INDEX(Roadmap!$D:$K,MATCH($E52,Roadmap!$D:$D,0)-1+COUNTIF($E52:U52,"u")+COUNTIF($E52:U52,"t")+COUNTIF($E52:U52,"¶")+COUNTIF($E52:U52,"²")+COUNTIF($E52:U52,"µ")+COUNTIF($E52:U52,1),ColDescriptionCourte))&gt;1,
HYPERLINK("#Roadmap!C"&amp; MATCH($E52,Roadmap!$D:$D,0)+COUNTIF($E52:U52,"u")+COUNTIF($E52:U52,"t")+COUNTIF($E52:U52,"¶")+COUNTIF($E52:U52,"²")+COUNTIF($E52:U52,"µ")+COUNTIF($E52:U52,1)-1,INDEX(Roadmap!$D:$K,MATCH($E52,Roadmap!$D:$D,0)-1+COUNTIF($E52:U52,"u")+COUNTIF($E52:U52,"t")+COUNTIF($E52:U52,"¶")+COUNTIF($E52:U52,"²")+COUNTIF($E52:U52,"µ")+COUNTIF($E52:U52,1),ColDescriptionCourte)),""),
  "")),"")</f>
        <v/>
      </c>
      <c r="W52" s="40" t="str">
        <f ca="1">IFERROR(IF(AND(
  INDEX(Roadmap!$D:$K,MATCH($E52,Roadmap!$D:$D,0)+COUNTIF($E52:V52,"u")+COUNTIF($E52:V52,"t")+COUNTIF($E52:V52,"¶")+COUNTIF($E52:V52,"²")+COUNTIF($E52:V52,"µ")+COUNTIF($E52:V52,1),ColLivraison)=W$6,
  VLOOKUP($E52,INDIRECT("tri!"&amp; CHAR(64+ C0Col) &amp;":"&amp; CHAR(65+C0Col)),2,FALSE)&gt;COUNTIF($E52:V52,"u")+COUNTIF($E52:V52,"t")+COUNTIF($E52:V52,"¶")+COUNTIF($E52:V52,"²")+COUNTIF($E52:V52,"µ")+COUNTIF($E52:V52,1)),
HYPERLINK("#Roadmap!C"&amp; MATCH($E52,Roadmap!$D:$D,0)+COUNTIF($E52:V52,"u")+COUNTIF($E52:V52,"t"),
     INDEX(Roadmap!$D:$K,MATCH($E52,Roadmap!$D:$D,0)+COUNTIF($E52:V52,"u")+COUNTIF($E52:V52,"t")+COUNTIF($E52:V52,"¶")+COUNTIF($E52:V52,"²")+COUNTIF($E52:V52,"µ")+COUNTIF($E52:V52,1),ColTypeEcheance)),
  IF(LEN(V52)=1,
  IF(LEN(INDEX(Roadmap!$D:$K,MATCH($E52,Roadmap!$D:$D,0)-1+COUNTIF($E52:V52,"u")+COUNTIF($E52:V52,"t")+COUNTIF($E52:V52,"¶")+COUNTIF($E52:V52,"²")+COUNTIF($E52:V52,"µ")+COUNTIF($E52:V52,1),ColDescriptionCourte))&gt;1,
HYPERLINK("#Roadmap!C"&amp; MATCH($E52,Roadmap!$D:$D,0)+COUNTIF($E52:V52,"u")+COUNTIF($E52:V52,"t")+COUNTIF($E52:V52,"¶")+COUNTIF($E52:V52,"²")+COUNTIF($E52:V52,"µ")+COUNTIF($E52:V52,1)-1,INDEX(Roadmap!$D:$K,MATCH($E52,Roadmap!$D:$D,0)-1+COUNTIF($E52:V52,"u")+COUNTIF($E52:V52,"t")+COUNTIF($E52:V52,"¶")+COUNTIF($E52:V52,"²")+COUNTIF($E52:V52,"µ")+COUNTIF($E52:V52,1),ColDescriptionCourte)),""),
  "")),"")</f>
        <v/>
      </c>
      <c r="X52" s="40" t="str">
        <f ca="1">IFERROR(IF(AND(
  INDEX(Roadmap!$D:$K,MATCH($E52,Roadmap!$D:$D,0)+COUNTIF($E52:W52,"u")+COUNTIF($E52:W52,"t")+COUNTIF($E52:W52,"¶")+COUNTIF($E52:W52,"²")+COUNTIF($E52:W52,"µ")+COUNTIF($E52:W52,1),ColLivraison)=X$6,
  VLOOKUP($E52,INDIRECT("tri!"&amp; CHAR(64+ C0Col) &amp;":"&amp; CHAR(65+C0Col)),2,FALSE)&gt;COUNTIF($E52:W52,"u")+COUNTIF($E52:W52,"t")+COUNTIF($E52:W52,"¶")+COUNTIF($E52:W52,"²")+COUNTIF($E52:W52,"µ")+COUNTIF($E52:W52,1)),
HYPERLINK("#Roadmap!C"&amp; MATCH($E52,Roadmap!$D:$D,0)+COUNTIF($E52:W52,"u")+COUNTIF($E52:W52,"t"),
     INDEX(Roadmap!$D:$K,MATCH($E52,Roadmap!$D:$D,0)+COUNTIF($E52:W52,"u")+COUNTIF($E52:W52,"t")+COUNTIF($E52:W52,"¶")+COUNTIF($E52:W52,"²")+COUNTIF($E52:W52,"µ")+COUNTIF($E52:W52,1),ColTypeEcheance)),
  IF(LEN(W52)=1,
  IF(LEN(INDEX(Roadmap!$D:$K,MATCH($E52,Roadmap!$D:$D,0)-1+COUNTIF($E52:W52,"u")+COUNTIF($E52:W52,"t")+COUNTIF($E52:W52,"¶")+COUNTIF($E52:W52,"²")+COUNTIF($E52:W52,"µ")+COUNTIF($E52:W52,1),ColDescriptionCourte))&gt;1,
HYPERLINK("#Roadmap!C"&amp; MATCH($E52,Roadmap!$D:$D,0)+COUNTIF($E52:W52,"u")+COUNTIF($E52:W52,"t")+COUNTIF($E52:W52,"¶")+COUNTIF($E52:W52,"²")+COUNTIF($E52:W52,"µ")+COUNTIF($E52:W52,1)-1,INDEX(Roadmap!$D:$K,MATCH($E52,Roadmap!$D:$D,0)-1+COUNTIF($E52:W52,"u")+COUNTIF($E52:W52,"t")+COUNTIF($E52:W52,"¶")+COUNTIF($E52:W52,"²")+COUNTIF($E52:W52,"µ")+COUNTIF($E52:W52,1),ColDescriptionCourte)),""),
  "")),"")</f>
        <v/>
      </c>
      <c r="Y52" s="40" t="str">
        <f ca="1">IFERROR(IF(AND(
  INDEX(Roadmap!$D:$K,MATCH($E52,Roadmap!$D:$D,0)+COUNTIF($E52:X52,"u")+COUNTIF($E52:X52,"t")+COUNTIF($E52:X52,"¶")+COUNTIF($E52:X52,"²")+COUNTIF($E52:X52,"µ")+COUNTIF($E52:X52,1),ColLivraison)=Y$6,
  VLOOKUP($E52,INDIRECT("tri!"&amp; CHAR(64+ C0Col) &amp;":"&amp; CHAR(65+C0Col)),2,FALSE)&gt;COUNTIF($E52:X52,"u")+COUNTIF($E52:X52,"t")+COUNTIF($E52:X52,"¶")+COUNTIF($E52:X52,"²")+COUNTIF($E52:X52,"µ")+COUNTIF($E52:X52,1)),
HYPERLINK("#Roadmap!C"&amp; MATCH($E52,Roadmap!$D:$D,0)+COUNTIF($E52:X52,"u")+COUNTIF($E52:X52,"t"),
     INDEX(Roadmap!$D:$K,MATCH($E52,Roadmap!$D:$D,0)+COUNTIF($E52:X52,"u")+COUNTIF($E52:X52,"t")+COUNTIF($E52:X52,"¶")+COUNTIF($E52:X52,"²")+COUNTIF($E52:X52,"µ")+COUNTIF($E52:X52,1),ColTypeEcheance)),
  IF(LEN(X52)=1,
  IF(LEN(INDEX(Roadmap!$D:$K,MATCH($E52,Roadmap!$D:$D,0)-1+COUNTIF($E52:X52,"u")+COUNTIF($E52:X52,"t")+COUNTIF($E52:X52,"¶")+COUNTIF($E52:X52,"²")+COUNTIF($E52:X52,"µ")+COUNTIF($E52:X52,1),ColDescriptionCourte))&gt;1,
HYPERLINK("#Roadmap!C"&amp; MATCH($E52,Roadmap!$D:$D,0)+COUNTIF($E52:X52,"u")+COUNTIF($E52:X52,"t")+COUNTIF($E52:X52,"¶")+COUNTIF($E52:X52,"²")+COUNTIF($E52:X52,"µ")+COUNTIF($E52:X52,1)-1,INDEX(Roadmap!$D:$K,MATCH($E52,Roadmap!$D:$D,0)-1+COUNTIF($E52:X52,"u")+COUNTIF($E52:X52,"t")+COUNTIF($E52:X52,"¶")+COUNTIF($E52:X52,"²")+COUNTIF($E52:X52,"µ")+COUNTIF($E52:X52,1),ColDescriptionCourte)),""),
  "")),"")</f>
        <v/>
      </c>
      <c r="Z52" s="40" t="str">
        <f ca="1">IFERROR(IF(AND(
  INDEX(Roadmap!$D:$K,MATCH($E52,Roadmap!$D:$D,0)+COUNTIF($E52:Y52,"u")+COUNTIF($E52:Y52,"t")+COUNTIF($E52:Y52,"¶")+COUNTIF($E52:Y52,"²")+COUNTIF($E52:Y52,"µ")+COUNTIF($E52:Y52,1),ColLivraison)=Z$6,
  VLOOKUP($E52,INDIRECT("tri!"&amp; CHAR(64+ C0Col) &amp;":"&amp; CHAR(65+C0Col)),2,FALSE)&gt;COUNTIF($E52:Y52,"u")+COUNTIF($E52:Y52,"t")+COUNTIF($E52:Y52,"¶")+COUNTIF($E52:Y52,"²")+COUNTIF($E52:Y52,"µ")+COUNTIF($E52:Y52,1)),
HYPERLINK("#Roadmap!C"&amp; MATCH($E52,Roadmap!$D:$D,0)+COUNTIF($E52:Y52,"u")+COUNTIF($E52:Y52,"t"),
     INDEX(Roadmap!$D:$K,MATCH($E52,Roadmap!$D:$D,0)+COUNTIF($E52:Y52,"u")+COUNTIF($E52:Y52,"t")+COUNTIF($E52:Y52,"¶")+COUNTIF($E52:Y52,"²")+COUNTIF($E52:Y52,"µ")+COUNTIF($E52:Y52,1),ColTypeEcheance)),
  IF(LEN(Y52)=1,
  IF(LEN(INDEX(Roadmap!$D:$K,MATCH($E52,Roadmap!$D:$D,0)-1+COUNTIF($E52:Y52,"u")+COUNTIF($E52:Y52,"t")+COUNTIF($E52:Y52,"¶")+COUNTIF($E52:Y52,"²")+COUNTIF($E52:Y52,"µ")+COUNTIF($E52:Y52,1),ColDescriptionCourte))&gt;1,
HYPERLINK("#Roadmap!C"&amp; MATCH($E52,Roadmap!$D:$D,0)+COUNTIF($E52:Y52,"u")+COUNTIF($E52:Y52,"t")+COUNTIF($E52:Y52,"¶")+COUNTIF($E52:Y52,"²")+COUNTIF($E52:Y52,"µ")+COUNTIF($E52:Y52,1)-1,INDEX(Roadmap!$D:$K,MATCH($E52,Roadmap!$D:$D,0)-1+COUNTIF($E52:Y52,"u")+COUNTIF($E52:Y52,"t")+COUNTIF($E52:Y52,"¶")+COUNTIF($E52:Y52,"²")+COUNTIF($E52:Y52,"µ")+COUNTIF($E52:Y52,1),ColDescriptionCourte)),""),
  "")),"")</f>
        <v/>
      </c>
      <c r="AA52" s="40" t="str">
        <f ca="1">IFERROR(IF(AND(
  INDEX(Roadmap!$D:$K,MATCH($E52,Roadmap!$D:$D,0)+COUNTIF($E52:Z52,"u")+COUNTIF($E52:Z52,"t")+COUNTIF($E52:Z52,"¶")+COUNTIF($E52:Z52,"²")+COUNTIF($E52:Z52,"µ")+COUNTIF($E52:Z52,1),ColLivraison)=AA$6,
  VLOOKUP($E52,INDIRECT("tri!"&amp; CHAR(64+ C0Col) &amp;":"&amp; CHAR(65+C0Col)),2,FALSE)&gt;COUNTIF($E52:Z52,"u")+COUNTIF($E52:Z52,"t")+COUNTIF($E52:Z52,"¶")+COUNTIF($E52:Z52,"²")+COUNTIF($E52:Z52,"µ")+COUNTIF($E52:Z52,1)),
HYPERLINK("#Roadmap!C"&amp; MATCH($E52,Roadmap!$D:$D,0)+COUNTIF($E52:Z52,"u")+COUNTIF($E52:Z52,"t"),
     INDEX(Roadmap!$D:$K,MATCH($E52,Roadmap!$D:$D,0)+COUNTIF($E52:Z52,"u")+COUNTIF($E52:Z52,"t")+COUNTIF($E52:Z52,"¶")+COUNTIF($E52:Z52,"²")+COUNTIF($E52:Z52,"µ")+COUNTIF($E52:Z52,1),ColTypeEcheance)),
  IF(LEN(Z52)=1,
  IF(LEN(INDEX(Roadmap!$D:$K,MATCH($E52,Roadmap!$D:$D,0)-1+COUNTIF($E52:Z52,"u")+COUNTIF($E52:Z52,"t")+COUNTIF($E52:Z52,"¶")+COUNTIF($E52:Z52,"²")+COUNTIF($E52:Z52,"µ")+COUNTIF($E52:Z52,1),ColDescriptionCourte))&gt;1,
HYPERLINK("#Roadmap!C"&amp; MATCH($E52,Roadmap!$D:$D,0)+COUNTIF($E52:Z52,"u")+COUNTIF($E52:Z52,"t")+COUNTIF($E52:Z52,"¶")+COUNTIF($E52:Z52,"²")+COUNTIF($E52:Z52,"µ")+COUNTIF($E52:Z52,1)-1,INDEX(Roadmap!$D:$K,MATCH($E52,Roadmap!$D:$D,0)-1+COUNTIF($E52:Z52,"u")+COUNTIF($E52:Z52,"t")+COUNTIF($E52:Z52,"¶")+COUNTIF($E52:Z52,"²")+COUNTIF($E52:Z52,"µ")+COUNTIF($E52:Z52,1),ColDescriptionCourte)),""),
  "")),"")</f>
        <v/>
      </c>
      <c r="AB52" s="40" t="str">
        <f ca="1">IFERROR(IF(AND(
  INDEX(Roadmap!$D:$K,MATCH($E52,Roadmap!$D:$D,0)+COUNTIF($E52:AA52,"u")+COUNTIF($E52:AA52,"t")+COUNTIF($E52:AA52,"¶")+COUNTIF($E52:AA52,"²")+COUNTIF($E52:AA52,"µ")+COUNTIF($E52:AA52,1),ColLivraison)=AB$6,
  VLOOKUP($E52,INDIRECT("tri!"&amp; CHAR(64+ C0Col) &amp;":"&amp; CHAR(65+C0Col)),2,FALSE)&gt;COUNTIF($E52:AA52,"u")+COUNTIF($E52:AA52,"t")+COUNTIF($E52:AA52,"¶")+COUNTIF($E52:AA52,"²")+COUNTIF($E52:AA52,"µ")+COUNTIF($E52:AA52,1)),
HYPERLINK("#Roadmap!C"&amp; MATCH($E52,Roadmap!$D:$D,0)+COUNTIF($E52:AA52,"u")+COUNTIF($E52:AA52,"t"),
     INDEX(Roadmap!$D:$K,MATCH($E52,Roadmap!$D:$D,0)+COUNTIF($E52:AA52,"u")+COUNTIF($E52:AA52,"t")+COUNTIF($E52:AA52,"¶")+COUNTIF($E52:AA52,"²")+COUNTIF($E52:AA52,"µ")+COUNTIF($E52:AA52,1),ColTypeEcheance)),
  IF(LEN(AA52)=1,
  IF(LEN(INDEX(Roadmap!$D:$K,MATCH($E52,Roadmap!$D:$D,0)-1+COUNTIF($E52:AA52,"u")+COUNTIF($E52:AA52,"t")+COUNTIF($E52:AA52,"¶")+COUNTIF($E52:AA52,"²")+COUNTIF($E52:AA52,"µ")+COUNTIF($E52:AA52,1),ColDescriptionCourte))&gt;1,
HYPERLINK("#Roadmap!C"&amp; MATCH($E52,Roadmap!$D:$D,0)+COUNTIF($E52:AA52,"u")+COUNTIF($E52:AA52,"t")+COUNTIF($E52:AA52,"¶")+COUNTIF($E52:AA52,"²")+COUNTIF($E52:AA52,"µ")+COUNTIF($E52:AA52,1)-1,INDEX(Roadmap!$D:$K,MATCH($E52,Roadmap!$D:$D,0)-1+COUNTIF($E52:AA52,"u")+COUNTIF($E52:AA52,"t")+COUNTIF($E52:AA52,"¶")+COUNTIF($E52:AA52,"²")+COUNTIF($E52:AA52,"µ")+COUNTIF($E52:AA52,1),ColDescriptionCourte)),""),
  "")),"")</f>
        <v/>
      </c>
      <c r="AC52" s="40" t="str">
        <f ca="1">IFERROR(IF(AND(
  INDEX(Roadmap!$D:$K,MATCH($E52,Roadmap!$D:$D,0)+COUNTIF($E52:AB52,"u")+COUNTIF($E52:AB52,"t")+COUNTIF($E52:AB52,"¶")+COUNTIF($E52:AB52,"²")+COUNTIF($E52:AB52,"µ")+COUNTIF($E52:AB52,1),ColLivraison)=AC$6,
  VLOOKUP($E52,INDIRECT("tri!"&amp; CHAR(64+ C0Col) &amp;":"&amp; CHAR(65+C0Col)),2,FALSE)&gt;COUNTIF($E52:AB52,"u")+COUNTIF($E52:AB52,"t")+COUNTIF($E52:AB52,"¶")+COUNTIF($E52:AB52,"²")+COUNTIF($E52:AB52,"µ")+COUNTIF($E52:AB52,1)),
HYPERLINK("#Roadmap!C"&amp; MATCH($E52,Roadmap!$D:$D,0)+COUNTIF($E52:AB52,"u")+COUNTIF($E52:AB52,"t"),
     INDEX(Roadmap!$D:$K,MATCH($E52,Roadmap!$D:$D,0)+COUNTIF($E52:AB52,"u")+COUNTIF($E52:AB52,"t")+COUNTIF($E52:AB52,"¶")+COUNTIF($E52:AB52,"²")+COUNTIF($E52:AB52,"µ")+COUNTIF($E52:AB52,1),ColTypeEcheance)),
  IF(LEN(AB52)=1,
  IF(LEN(INDEX(Roadmap!$D:$K,MATCH($E52,Roadmap!$D:$D,0)-1+COUNTIF($E52:AB52,"u")+COUNTIF($E52:AB52,"t")+COUNTIF($E52:AB52,"¶")+COUNTIF($E52:AB52,"²")+COUNTIF($E52:AB52,"µ")+COUNTIF($E52:AB52,1),ColDescriptionCourte))&gt;1,
HYPERLINK("#Roadmap!C"&amp; MATCH($E52,Roadmap!$D:$D,0)+COUNTIF($E52:AB52,"u")+COUNTIF($E52:AB52,"t")+COUNTIF($E52:AB52,"¶")+COUNTIF($E52:AB52,"²")+COUNTIF($E52:AB52,"µ")+COUNTIF($E52:AB52,1)-1,INDEX(Roadmap!$D:$K,MATCH($E52,Roadmap!$D:$D,0)-1+COUNTIF($E52:AB52,"u")+COUNTIF($E52:AB52,"t")+COUNTIF($E52:AB52,"¶")+COUNTIF($E52:AB52,"²")+COUNTIF($E52:AB52,"µ")+COUNTIF($E52:AB52,1),ColDescriptionCourte)),""),
  "")),"")</f>
        <v/>
      </c>
      <c r="AD52" s="40" t="str">
        <f ca="1">IFERROR(IF(AND(
  INDEX(Roadmap!$D:$K,MATCH($E52,Roadmap!$D:$D,0)+COUNTIF($E52:AC52,"u")+COUNTIF($E52:AC52,"t")+COUNTIF($E52:AC52,"¶")+COUNTIF($E52:AC52,"²")+COUNTIF($E52:AC52,"µ")+COUNTIF($E52:AC52,1),ColLivraison)=AD$6,
  VLOOKUP($E52,INDIRECT("tri!"&amp; CHAR(64+ C0Col) &amp;":"&amp; CHAR(65+C0Col)),2,FALSE)&gt;COUNTIF($E52:AC52,"u")+COUNTIF($E52:AC52,"t")+COUNTIF($E52:AC52,"¶")+COUNTIF($E52:AC52,"²")+COUNTIF($E52:AC52,"µ")+COUNTIF($E52:AC52,1)),
HYPERLINK("#Roadmap!C"&amp; MATCH($E52,Roadmap!$D:$D,0)+COUNTIF($E52:AC52,"u")+COUNTIF($E52:AC52,"t"),
     INDEX(Roadmap!$D:$K,MATCH($E52,Roadmap!$D:$D,0)+COUNTIF($E52:AC52,"u")+COUNTIF($E52:AC52,"t")+COUNTIF($E52:AC52,"¶")+COUNTIF($E52:AC52,"²")+COUNTIF($E52:AC52,"µ")+COUNTIF($E52:AC52,1),ColTypeEcheance)),
  IF(LEN(AC52)=1,
  IF(LEN(INDEX(Roadmap!$D:$K,MATCH($E52,Roadmap!$D:$D,0)-1+COUNTIF($E52:AC52,"u")+COUNTIF($E52:AC52,"t")+COUNTIF($E52:AC52,"¶")+COUNTIF($E52:AC52,"²")+COUNTIF($E52:AC52,"µ")+COUNTIF($E52:AC52,1),ColDescriptionCourte))&gt;1,
HYPERLINK("#Roadmap!C"&amp; MATCH($E52,Roadmap!$D:$D,0)+COUNTIF($E52:AC52,"u")+COUNTIF($E52:AC52,"t")+COUNTIF($E52:AC52,"¶")+COUNTIF($E52:AC52,"²")+COUNTIF($E52:AC52,"µ")+COUNTIF($E52:AC52,1)-1,INDEX(Roadmap!$D:$K,MATCH($E52,Roadmap!$D:$D,0)-1+COUNTIF($E52:AC52,"u")+COUNTIF($E52:AC52,"t")+COUNTIF($E52:AC52,"¶")+COUNTIF($E52:AC52,"²")+COUNTIF($E52:AC52,"µ")+COUNTIF($E52:AC52,1),ColDescriptionCourte)),""),
  "")),"")</f>
        <v/>
      </c>
      <c r="AE52" s="40" t="str">
        <f ca="1">IFERROR(IF(AND(
  INDEX(Roadmap!$D:$K,MATCH($E52,Roadmap!$D:$D,0)+COUNTIF($E52:AD52,"u")+COUNTIF($E52:AD52,"t")+COUNTIF($E52:AD52,"¶")+COUNTIF($E52:AD52,"²")+COUNTIF($E52:AD52,"µ")+COUNTIF($E52:AD52,1),ColLivraison)=AE$6,
  VLOOKUP($E52,INDIRECT("tri!"&amp; CHAR(64+ C0Col) &amp;":"&amp; CHAR(65+C0Col)),2,FALSE)&gt;COUNTIF($E52:AD52,"u")+COUNTIF($E52:AD52,"t")+COUNTIF($E52:AD52,"¶")+COUNTIF($E52:AD52,"²")+COUNTIF($E52:AD52,"µ")+COUNTIF($E52:AD52,1)),
HYPERLINK("#Roadmap!C"&amp; MATCH($E52,Roadmap!$D:$D,0)+COUNTIF($E52:AD52,"u")+COUNTIF($E52:AD52,"t"),
     INDEX(Roadmap!$D:$K,MATCH($E52,Roadmap!$D:$D,0)+COUNTIF($E52:AD52,"u")+COUNTIF($E52:AD52,"t")+COUNTIF($E52:AD52,"¶")+COUNTIF($E52:AD52,"²")+COUNTIF($E52:AD52,"µ")+COUNTIF($E52:AD52,1),ColTypeEcheance)),
  IF(LEN(AD52)=1,
  IF(LEN(INDEX(Roadmap!$D:$K,MATCH($E52,Roadmap!$D:$D,0)-1+COUNTIF($E52:AD52,"u")+COUNTIF($E52:AD52,"t")+COUNTIF($E52:AD52,"¶")+COUNTIF($E52:AD52,"²")+COUNTIF($E52:AD52,"µ")+COUNTIF($E52:AD52,1),ColDescriptionCourte))&gt;1,
HYPERLINK("#Roadmap!C"&amp; MATCH($E52,Roadmap!$D:$D,0)+COUNTIF($E52:AD52,"u")+COUNTIF($E52:AD52,"t")+COUNTIF($E52:AD52,"¶")+COUNTIF($E52:AD52,"²")+COUNTIF($E52:AD52,"µ")+COUNTIF($E52:AD52,1)-1,INDEX(Roadmap!$D:$K,MATCH($E52,Roadmap!$D:$D,0)-1+COUNTIF($E52:AD52,"u")+COUNTIF($E52:AD52,"t")+COUNTIF($E52:AD52,"¶")+COUNTIF($E52:AD52,"²")+COUNTIF($E52:AD52,"µ")+COUNTIF($E52:AD52,1),ColDescriptionCourte)),""),
  "")),"")</f>
        <v/>
      </c>
      <c r="AF52" s="40" t="str">
        <f ca="1">IFERROR(IF(AND(
  INDEX(Roadmap!$D:$K,MATCH($E52,Roadmap!$D:$D,0)+COUNTIF($E52:AE52,"u")+COUNTIF($E52:AE52,"t")+COUNTIF($E52:AE52,"¶")+COUNTIF($E52:AE52,"²")+COUNTIF($E52:AE52,"µ")+COUNTIF($E52:AE52,1),ColLivraison)=AF$6,
  VLOOKUP($E52,INDIRECT("tri!"&amp; CHAR(64+ C0Col) &amp;":"&amp; CHAR(65+C0Col)),2,FALSE)&gt;COUNTIF($E52:AE52,"u")+COUNTIF($E52:AE52,"t")+COUNTIF($E52:AE52,"¶")+COUNTIF($E52:AE52,"²")+COUNTIF($E52:AE52,"µ")+COUNTIF($E52:AE52,1)),
HYPERLINK("#Roadmap!C"&amp; MATCH($E52,Roadmap!$D:$D,0)+COUNTIF($E52:AE52,"u")+COUNTIF($E52:AE52,"t"),
     INDEX(Roadmap!$D:$K,MATCH($E52,Roadmap!$D:$D,0)+COUNTIF($E52:AE52,"u")+COUNTIF($E52:AE52,"t")+COUNTIF($E52:AE52,"¶")+COUNTIF($E52:AE52,"²")+COUNTIF($E52:AE52,"µ")+COUNTIF($E52:AE52,1),ColTypeEcheance)),
  IF(LEN(AE52)=1,
  IF(LEN(INDEX(Roadmap!$D:$K,MATCH($E52,Roadmap!$D:$D,0)-1+COUNTIF($E52:AE52,"u")+COUNTIF($E52:AE52,"t")+COUNTIF($E52:AE52,"¶")+COUNTIF($E52:AE52,"²")+COUNTIF($E52:AE52,"µ")+COUNTIF($E52:AE52,1),ColDescriptionCourte))&gt;1,
HYPERLINK("#Roadmap!C"&amp; MATCH($E52,Roadmap!$D:$D,0)+COUNTIF($E52:AE52,"u")+COUNTIF($E52:AE52,"t")+COUNTIF($E52:AE52,"¶")+COUNTIF($E52:AE52,"²")+COUNTIF($E52:AE52,"µ")+COUNTIF($E52:AE52,1)-1,INDEX(Roadmap!$D:$K,MATCH($E52,Roadmap!$D:$D,0)-1+COUNTIF($E52:AE52,"u")+COUNTIF($E52:AE52,"t")+COUNTIF($E52:AE52,"¶")+COUNTIF($E52:AE52,"²")+COUNTIF($E52:AE52,"µ")+COUNTIF($E52:AE52,1),ColDescriptionCourte)),""),
  "")),"")</f>
        <v/>
      </c>
      <c r="AG52" s="40" t="str">
        <f ca="1">IFERROR(IF(AND(
  INDEX(Roadmap!$D:$K,MATCH($E52,Roadmap!$D:$D,0)+COUNTIF($E52:AF52,"u")+COUNTIF($E52:AF52,"t")+COUNTIF($E52:AF52,"¶")+COUNTIF($E52:AF52,"²")+COUNTIF($E52:AF52,"µ")+COUNTIF($E52:AF52,1),ColLivraison)=AG$6,
  VLOOKUP($E52,INDIRECT("tri!"&amp; CHAR(64+ C0Col) &amp;":"&amp; CHAR(65+C0Col)),2,FALSE)&gt;COUNTIF($E52:AF52,"u")+COUNTIF($E52:AF52,"t")+COUNTIF($E52:AF52,"¶")+COUNTIF($E52:AF52,"²")+COUNTIF($E52:AF52,"µ")+COUNTIF($E52:AF52,1)),
HYPERLINK("#Roadmap!C"&amp; MATCH($E52,Roadmap!$D:$D,0)+COUNTIF($E52:AF52,"u")+COUNTIF($E52:AF52,"t"),
     INDEX(Roadmap!$D:$K,MATCH($E52,Roadmap!$D:$D,0)+COUNTIF($E52:AF52,"u")+COUNTIF($E52:AF52,"t")+COUNTIF($E52:AF52,"¶")+COUNTIF($E52:AF52,"²")+COUNTIF($E52:AF52,"µ")+COUNTIF($E52:AF52,1),ColTypeEcheance)),
  IF(LEN(AF52)=1,
  IF(LEN(INDEX(Roadmap!$D:$K,MATCH($E52,Roadmap!$D:$D,0)-1+COUNTIF($E52:AF52,"u")+COUNTIF($E52:AF52,"t")+COUNTIF($E52:AF52,"¶")+COUNTIF($E52:AF52,"²")+COUNTIF($E52:AF52,"µ")+COUNTIF($E52:AF52,1),ColDescriptionCourte))&gt;1,
HYPERLINK("#Roadmap!C"&amp; MATCH($E52,Roadmap!$D:$D,0)+COUNTIF($E52:AF52,"u")+COUNTIF($E52:AF52,"t")+COUNTIF($E52:AF52,"¶")+COUNTIF($E52:AF52,"²")+COUNTIF($E52:AF52,"µ")+COUNTIF($E52:AF52,1)-1,INDEX(Roadmap!$D:$K,MATCH($E52,Roadmap!$D:$D,0)-1+COUNTIF($E52:AF52,"u")+COUNTIF($E52:AF52,"t")+COUNTIF($E52:AF52,"¶")+COUNTIF($E52:AF52,"²")+COUNTIF($E52:AF52,"µ")+COUNTIF($E52:AF52,1),ColDescriptionCourte)),""),
  "")),"")</f>
        <v/>
      </c>
    </row>
    <row r="53" spans="3:33" ht="14.25" customHeight="1">
      <c r="C53" s="1" t="str">
        <f t="shared" ca="1" si="44"/>
        <v/>
      </c>
      <c r="D53" s="1" t="str">
        <f t="shared" ca="1" si="45"/>
        <v/>
      </c>
      <c r="E53" s="35" t="str">
        <f t="shared" ca="1" si="33"/>
        <v/>
      </c>
      <c r="F53" s="39" t="str">
        <f ca="1">IFERROR(IF(AND(
  INDEX(Roadmap!$D:$K,MATCH($E53,Roadmap!$D:$D,0)+COUNTIF($E53:E53,"u")+COUNTIF($E53:E53,"t")+COUNTIF($E53:E53,"¶")+COUNTIF($E53:E53,"²")+COUNTIF($E53:E53,"µ")+COUNTIF($E53:E53,1),ColLivraison)=F$6,
  VLOOKUP($E53,INDIRECT("tri!"&amp; CHAR(64+ C0Col) &amp;":"&amp; CHAR(65+C0Col)),2,FALSE)&gt;COUNTIF($E53:E53,"u")+COUNTIF($E53:E53,"t")+COUNTIF($E53:E53,"¶")+COUNTIF($E53:E53,"²")+COUNTIF($E53:E53,"µ")+COUNTIF($E53:E53,1)),
HYPERLINK("#Roadmap!C"&amp; MATCH($E53,Roadmap!$D:$D,0)+COUNTIF($E53:E53,"u")+COUNTIF($E53:E53,"t"),
     INDEX(Roadmap!$D:$K,MATCH($E53,Roadmap!$D:$D,0)+COUNTIF($E53:E53,"u")+COUNTIF($E53:E53,"t")+COUNTIF($E53:E53,"¶")+COUNTIF($E53:E53,"²")+COUNTIF($E53:E53,"µ")+COUNTIF($E53:E53,1),ColTypeEcheance)),
  IF(LEN(E53)=1,
  IF(LEN(INDEX(Roadmap!$D:$K,MATCH($E53,Roadmap!$D:$D,0)-1+COUNTIF($E53:E53,"u")+COUNTIF($E53:E53,"t")+COUNTIF($E53:E53,"¶")+COUNTIF($E53:E53,"²")+COUNTIF($E53:E53,"µ")+COUNTIF($E53:E53,1),ColDescriptionCourte))&gt;1,
HYPERLINK("#Roadmap!C"&amp; MATCH($E53,Roadmap!$D:$D,0)+COUNTIF($E53:E53,"u")+COUNTIF($E53:E53,"t")+COUNTIF($E53:E53,"¶")+COUNTIF($E53:E53,"²")+COUNTIF($E53:E53,"µ")+COUNTIF($E53:E53,1)-1,INDEX(Roadmap!$D:$K,MATCH($E53,Roadmap!$D:$D,0)-1+COUNTIF($E53:E53,"u")+COUNTIF($E53:E53,"t")+COUNTIF($E53:E53,"¶")+COUNTIF($E53:E53,"²")+COUNTIF($E53:E53,"µ")+COUNTIF($E53:E53,1),ColDescriptionCourte)),""),
  "")),"")</f>
        <v/>
      </c>
      <c r="G53" s="40" t="str">
        <f ca="1">IFERROR(IF(AND(
  INDEX(Roadmap!$D:$K,MATCH($E53,Roadmap!$D:$D,0)+COUNTIF($E53:F53,"u")+COUNTIF($E53:F53,"t")+COUNTIF($E53:F53,"¶")+COUNTIF($E53:F53,"²")+COUNTIF($E53:F53,"µ")+COUNTIF($E53:F53,1),ColLivraison)=G$6,
  VLOOKUP($E53,INDIRECT("tri!"&amp; CHAR(64+ C0Col) &amp;":"&amp; CHAR(65+C0Col)),2,FALSE)&gt;COUNTIF($E53:F53,"u")+COUNTIF($E53:F53,"t")+COUNTIF($E53:F53,"¶")+COUNTIF($E53:F53,"²")+COUNTIF($E53:F53,"µ")+COUNTIF($E53:F53,1)),
HYPERLINK("#Roadmap!C"&amp; MATCH($E53,Roadmap!$D:$D,0)+COUNTIF($E53:F53,"u")+COUNTIF($E53:F53,"t"),
     INDEX(Roadmap!$D:$K,MATCH($E53,Roadmap!$D:$D,0)+COUNTIF($E53:F53,"u")+COUNTIF($E53:F53,"t")+COUNTIF($E53:F53,"¶")+COUNTIF($E53:F53,"²")+COUNTIF($E53:F53,"µ")+COUNTIF($E53:F53,1),ColTypeEcheance)),
  IF(LEN(F53)=1,
  IF(LEN(INDEX(Roadmap!$D:$K,MATCH($E53,Roadmap!$D:$D,0)-1+COUNTIF($E53:F53,"u")+COUNTIF($E53:F53,"t")+COUNTIF($E53:F53,"¶")+COUNTIF($E53:F53,"²")+COUNTIF($E53:F53,"µ")+COUNTIF($E53:F53,1),ColDescriptionCourte))&gt;1,
HYPERLINK("#Roadmap!C"&amp; MATCH($E53,Roadmap!$D:$D,0)+COUNTIF($E53:F53,"u")+COUNTIF($E53:F53,"t")+COUNTIF($E53:F53,"¶")+COUNTIF($E53:F53,"²")+COUNTIF($E53:F53,"µ")+COUNTIF($E53:F53,1)-1,INDEX(Roadmap!$D:$K,MATCH($E53,Roadmap!$D:$D,0)-1+COUNTIF($E53:F53,"u")+COUNTIF($E53:F53,"t")+COUNTIF($E53:F53,"¶")+COUNTIF($E53:F53,"²")+COUNTIF($E53:F53,"µ")+COUNTIF($E53:F53,1),ColDescriptionCourte)),""),
  "")),"")</f>
        <v/>
      </c>
      <c r="H53" s="40" t="str">
        <f ca="1">IFERROR(IF(AND(
  INDEX(Roadmap!$D:$K,MATCH($E53,Roadmap!$D:$D,0)+COUNTIF($E53:G53,"u")+COUNTIF($E53:G53,"t")+COUNTIF($E53:G53,"¶")+COUNTIF($E53:G53,"²")+COUNTIF($E53:G53,"µ")+COUNTIF($E53:G53,1),ColLivraison)=H$6,
  VLOOKUP($E53,INDIRECT("tri!"&amp; CHAR(64+ C0Col) &amp;":"&amp; CHAR(65+C0Col)),2,FALSE)&gt;COUNTIF($E53:G53,"u")+COUNTIF($E53:G53,"t")+COUNTIF($E53:G53,"¶")+COUNTIF($E53:G53,"²")+COUNTIF($E53:G53,"µ")+COUNTIF($E53:G53,1)),
HYPERLINK("#Roadmap!C"&amp; MATCH($E53,Roadmap!$D:$D,0)+COUNTIF($E53:G53,"u")+COUNTIF($E53:G53,"t"),
     INDEX(Roadmap!$D:$K,MATCH($E53,Roadmap!$D:$D,0)+COUNTIF($E53:G53,"u")+COUNTIF($E53:G53,"t")+COUNTIF($E53:G53,"¶")+COUNTIF($E53:G53,"²")+COUNTIF($E53:G53,"µ")+COUNTIF($E53:G53,1),ColTypeEcheance)),
  IF(LEN(G53)=1,
  IF(LEN(INDEX(Roadmap!$D:$K,MATCH($E53,Roadmap!$D:$D,0)-1+COUNTIF($E53:G53,"u")+COUNTIF($E53:G53,"t")+COUNTIF($E53:G53,"¶")+COUNTIF($E53:G53,"²")+COUNTIF($E53:G53,"µ")+COUNTIF($E53:G53,1),ColDescriptionCourte))&gt;1,
HYPERLINK("#Roadmap!C"&amp; MATCH($E53,Roadmap!$D:$D,0)+COUNTIF($E53:G53,"u")+COUNTIF($E53:G53,"t")+COUNTIF($E53:G53,"¶")+COUNTIF($E53:G53,"²")+COUNTIF($E53:G53,"µ")+COUNTIF($E53:G53,1)-1,INDEX(Roadmap!$D:$K,MATCH($E53,Roadmap!$D:$D,0)-1+COUNTIF($E53:G53,"u")+COUNTIF($E53:G53,"t")+COUNTIF($E53:G53,"¶")+COUNTIF($E53:G53,"²")+COUNTIF($E53:G53,"µ")+COUNTIF($E53:G53,1),ColDescriptionCourte)),""),
  "")),"")</f>
        <v/>
      </c>
      <c r="I53" s="40" t="str">
        <f ca="1">IFERROR(IF(AND(
  INDEX(Roadmap!$D:$K,MATCH($E53,Roadmap!$D:$D,0)+COUNTIF($E53:H53,"u")+COUNTIF($E53:H53,"t")+COUNTIF($E53:H53,"¶")+COUNTIF($E53:H53,"²")+COUNTIF($E53:H53,"µ")+COUNTIF($E53:H53,1),ColLivraison)=I$6,
  VLOOKUP($E53,INDIRECT("tri!"&amp; CHAR(64+ C0Col) &amp;":"&amp; CHAR(65+C0Col)),2,FALSE)&gt;COUNTIF($E53:H53,"u")+COUNTIF($E53:H53,"t")+COUNTIF($E53:H53,"¶")+COUNTIF($E53:H53,"²")+COUNTIF($E53:H53,"µ")+COUNTIF($E53:H53,1)),
HYPERLINK("#Roadmap!C"&amp; MATCH($E53,Roadmap!$D:$D,0)+COUNTIF($E53:H53,"u")+COUNTIF($E53:H53,"t"),
     INDEX(Roadmap!$D:$K,MATCH($E53,Roadmap!$D:$D,0)+COUNTIF($E53:H53,"u")+COUNTIF($E53:H53,"t")+COUNTIF($E53:H53,"¶")+COUNTIF($E53:H53,"²")+COUNTIF($E53:H53,"µ")+COUNTIF($E53:H53,1),ColTypeEcheance)),
  IF(LEN(H53)=1,
  IF(LEN(INDEX(Roadmap!$D:$K,MATCH($E53,Roadmap!$D:$D,0)-1+COUNTIF($E53:H53,"u")+COUNTIF($E53:H53,"t")+COUNTIF($E53:H53,"¶")+COUNTIF($E53:H53,"²")+COUNTIF($E53:H53,"µ")+COUNTIF($E53:H53,1),ColDescriptionCourte))&gt;1,
HYPERLINK("#Roadmap!C"&amp; MATCH($E53,Roadmap!$D:$D,0)+COUNTIF($E53:H53,"u")+COUNTIF($E53:H53,"t")+COUNTIF($E53:H53,"¶")+COUNTIF($E53:H53,"²")+COUNTIF($E53:H53,"µ")+COUNTIF($E53:H53,1)-1,INDEX(Roadmap!$D:$K,MATCH($E53,Roadmap!$D:$D,0)-1+COUNTIF($E53:H53,"u")+COUNTIF($E53:H53,"t")+COUNTIF($E53:H53,"¶")+COUNTIF($E53:H53,"²")+COUNTIF($E53:H53,"µ")+COUNTIF($E53:H53,1),ColDescriptionCourte)),""),
  "")),"")</f>
        <v/>
      </c>
      <c r="J53" s="40" t="str">
        <f ca="1">IFERROR(IF(AND(
  INDEX(Roadmap!$D:$K,MATCH($E53,Roadmap!$D:$D,0)+COUNTIF($E53:I53,"u")+COUNTIF($E53:I53,"t")+COUNTIF($E53:I53,"¶")+COUNTIF($E53:I53,"²")+COUNTIF($E53:I53,"µ")+COUNTIF($E53:I53,1),ColLivraison)=J$6,
  VLOOKUP($E53,INDIRECT("tri!"&amp; CHAR(64+ C0Col) &amp;":"&amp; CHAR(65+C0Col)),2,FALSE)&gt;COUNTIF($E53:I53,"u")+COUNTIF($E53:I53,"t")+COUNTIF($E53:I53,"¶")+COUNTIF($E53:I53,"²")+COUNTIF($E53:I53,"µ")+COUNTIF($E53:I53,1)),
HYPERLINK("#Roadmap!C"&amp; MATCH($E53,Roadmap!$D:$D,0)+COUNTIF($E53:I53,"u")+COUNTIF($E53:I53,"t"),
     INDEX(Roadmap!$D:$K,MATCH($E53,Roadmap!$D:$D,0)+COUNTIF($E53:I53,"u")+COUNTIF($E53:I53,"t")+COUNTIF($E53:I53,"¶")+COUNTIF($E53:I53,"²")+COUNTIF($E53:I53,"µ")+COUNTIF($E53:I53,1),ColTypeEcheance)),
  IF(LEN(I53)=1,
  IF(LEN(INDEX(Roadmap!$D:$K,MATCH($E53,Roadmap!$D:$D,0)-1+COUNTIF($E53:I53,"u")+COUNTIF($E53:I53,"t")+COUNTIF($E53:I53,"¶")+COUNTIF($E53:I53,"²")+COUNTIF($E53:I53,"µ")+COUNTIF($E53:I53,1),ColDescriptionCourte))&gt;1,
HYPERLINK("#Roadmap!C"&amp; MATCH($E53,Roadmap!$D:$D,0)+COUNTIF($E53:I53,"u")+COUNTIF($E53:I53,"t")+COUNTIF($E53:I53,"¶")+COUNTIF($E53:I53,"²")+COUNTIF($E53:I53,"µ")+COUNTIF($E53:I53,1)-1,INDEX(Roadmap!$D:$K,MATCH($E53,Roadmap!$D:$D,0)-1+COUNTIF($E53:I53,"u")+COUNTIF($E53:I53,"t")+COUNTIF($E53:I53,"¶")+COUNTIF($E53:I53,"²")+COUNTIF($E53:I53,"µ")+COUNTIF($E53:I53,1),ColDescriptionCourte)),""),
  "")),"")</f>
        <v/>
      </c>
      <c r="K53" s="40" t="str">
        <f ca="1">IFERROR(IF(AND(
  INDEX(Roadmap!$D:$K,MATCH($E53,Roadmap!$D:$D,0)+COUNTIF($E53:J53,"u")+COUNTIF($E53:J53,"t")+COUNTIF($E53:J53,"¶")+COUNTIF($E53:J53,"²")+COUNTIF($E53:J53,"µ")+COUNTIF($E53:J53,1),ColLivraison)=K$6,
  VLOOKUP($E53,INDIRECT("tri!"&amp; CHAR(64+ C0Col) &amp;":"&amp; CHAR(65+C0Col)),2,FALSE)&gt;COUNTIF($E53:J53,"u")+COUNTIF($E53:J53,"t")+COUNTIF($E53:J53,"¶")+COUNTIF($E53:J53,"²")+COUNTIF($E53:J53,"µ")+COUNTIF($E53:J53,1)),
HYPERLINK("#Roadmap!C"&amp; MATCH($E53,Roadmap!$D:$D,0)+COUNTIF($E53:J53,"u")+COUNTIF($E53:J53,"t"),
     INDEX(Roadmap!$D:$K,MATCH($E53,Roadmap!$D:$D,0)+COUNTIF($E53:J53,"u")+COUNTIF($E53:J53,"t")+COUNTIF($E53:J53,"¶")+COUNTIF($E53:J53,"²")+COUNTIF($E53:J53,"µ")+COUNTIF($E53:J53,1),ColTypeEcheance)),
  IF(LEN(J53)=1,
  IF(LEN(INDEX(Roadmap!$D:$K,MATCH($E53,Roadmap!$D:$D,0)-1+COUNTIF($E53:J53,"u")+COUNTIF($E53:J53,"t")+COUNTIF($E53:J53,"¶")+COUNTIF($E53:J53,"²")+COUNTIF($E53:J53,"µ")+COUNTIF($E53:J53,1),ColDescriptionCourte))&gt;1,
HYPERLINK("#Roadmap!C"&amp; MATCH($E53,Roadmap!$D:$D,0)+COUNTIF($E53:J53,"u")+COUNTIF($E53:J53,"t")+COUNTIF($E53:J53,"¶")+COUNTIF($E53:J53,"²")+COUNTIF($E53:J53,"µ")+COUNTIF($E53:J53,1)-1,INDEX(Roadmap!$D:$K,MATCH($E53,Roadmap!$D:$D,0)-1+COUNTIF($E53:J53,"u")+COUNTIF($E53:J53,"t")+COUNTIF($E53:J53,"¶")+COUNTIF($E53:J53,"²")+COUNTIF($E53:J53,"µ")+COUNTIF($E53:J53,1),ColDescriptionCourte)),""),
  "")),"")</f>
        <v/>
      </c>
      <c r="L53" s="39" t="str">
        <f ca="1">IFERROR(IF(AND(
  INDEX(Roadmap!$D:$K,MATCH($E53,Roadmap!$D:$D,0)+COUNTIF($E53:K53,"u")+COUNTIF($E53:K53,"t")+COUNTIF($E53:K53,"¶")+COUNTIF($E53:K53,"²")+COUNTIF($E53:K53,"µ")+COUNTIF($E53:K53,1),ColLivraison)=L$6,
  VLOOKUP($E53,INDIRECT("tri!"&amp; CHAR(64+ C0Col) &amp;":"&amp; CHAR(65+C0Col)),2,FALSE)&gt;COUNTIF($E53:K53,"u")+COUNTIF($E53:K53,"t")+COUNTIF($E53:K53,"¶")+COUNTIF($E53:K53,"²")+COUNTIF($E53:K53,"µ")+COUNTIF($E53:K53,1)),
HYPERLINK("#Roadmap!C"&amp; MATCH($E53,Roadmap!$D:$D,0)+COUNTIF($E53:K53,"u")+COUNTIF($E53:K53,"t"),
     INDEX(Roadmap!$D:$K,MATCH($E53,Roadmap!$D:$D,0)+COUNTIF($E53:K53,"u")+COUNTIF($E53:K53,"t")+COUNTIF($E53:K53,"¶")+COUNTIF($E53:K53,"²")+COUNTIF($E53:K53,"µ")+COUNTIF($E53:K53,1),ColTypeEcheance)),
  IF(LEN(K53)=1,
  IF(LEN(INDEX(Roadmap!$D:$K,MATCH($E53,Roadmap!$D:$D,0)-1+COUNTIF($E53:K53,"u")+COUNTIF($E53:K53,"t")+COUNTIF($E53:K53,"¶")+COUNTIF($E53:K53,"²")+COUNTIF($E53:K53,"µ")+COUNTIF($E53:K53,1),ColDescriptionCourte))&gt;1,
HYPERLINK("#Roadmap!C"&amp; MATCH($E53,Roadmap!$D:$D,0)+COUNTIF($E53:K53,"u")+COUNTIF($E53:K53,"t")+COUNTIF($E53:K53,"¶")+COUNTIF($E53:K53,"²")+COUNTIF($E53:K53,"µ")+COUNTIF($E53:K53,1)-1,INDEX(Roadmap!$D:$K,MATCH($E53,Roadmap!$D:$D,0)-1+COUNTIF($E53:K53,"u")+COUNTIF($E53:K53,"t")+COUNTIF($E53:K53,"¶")+COUNTIF($E53:K53,"²")+COUNTIF($E53:K53,"µ")+COUNTIF($E53:K53,1),ColDescriptionCourte)),""),
  "")),"")</f>
        <v/>
      </c>
      <c r="M53" s="40" t="str">
        <f ca="1">IFERROR(IF(AND(
  INDEX(Roadmap!$D:$K,MATCH($E53,Roadmap!$D:$D,0)+COUNTIF($E53:L53,"u")+COUNTIF($E53:L53,"t")+COUNTIF($E53:L53,"¶")+COUNTIF($E53:L53,"²")+COUNTIF($E53:L53,"µ")+COUNTIF($E53:L53,1),ColLivraison)=M$6,
  VLOOKUP($E53,INDIRECT("tri!"&amp; CHAR(64+ C0Col) &amp;":"&amp; CHAR(65+C0Col)),2,FALSE)&gt;COUNTIF($E53:L53,"u")+COUNTIF($E53:L53,"t")+COUNTIF($E53:L53,"¶")+COUNTIF($E53:L53,"²")+COUNTIF($E53:L53,"µ")+COUNTIF($E53:L53,1)),
HYPERLINK("#Roadmap!C"&amp; MATCH($E53,Roadmap!$D:$D,0)+COUNTIF($E53:L53,"u")+COUNTIF($E53:L53,"t"),
     INDEX(Roadmap!$D:$K,MATCH($E53,Roadmap!$D:$D,0)+COUNTIF($E53:L53,"u")+COUNTIF($E53:L53,"t")+COUNTIF($E53:L53,"¶")+COUNTIF($E53:L53,"²")+COUNTIF($E53:L53,"µ")+COUNTIF($E53:L53,1),ColTypeEcheance)),
  IF(LEN(L53)=1,
  IF(LEN(INDEX(Roadmap!$D:$K,MATCH($E53,Roadmap!$D:$D,0)-1+COUNTIF($E53:L53,"u")+COUNTIF($E53:L53,"t")+COUNTIF($E53:L53,"¶")+COUNTIF($E53:L53,"²")+COUNTIF($E53:L53,"µ")+COUNTIF($E53:L53,1),ColDescriptionCourte))&gt;1,
HYPERLINK("#Roadmap!C"&amp; MATCH($E53,Roadmap!$D:$D,0)+COUNTIF($E53:L53,"u")+COUNTIF($E53:L53,"t")+COUNTIF($E53:L53,"¶")+COUNTIF($E53:L53,"²")+COUNTIF($E53:L53,"µ")+COUNTIF($E53:L53,1)-1,INDEX(Roadmap!$D:$K,MATCH($E53,Roadmap!$D:$D,0)-1+COUNTIF($E53:L53,"u")+COUNTIF($E53:L53,"t")+COUNTIF($E53:L53,"¶")+COUNTIF($E53:L53,"²")+COUNTIF($E53:L53,"µ")+COUNTIF($E53:L53,1),ColDescriptionCourte)),""),
  "")),"")</f>
        <v/>
      </c>
      <c r="N53" s="40" t="str">
        <f ca="1">IFERROR(IF(AND(
  INDEX(Roadmap!$D:$K,MATCH($E53,Roadmap!$D:$D,0)+COUNTIF($E53:M53,"u")+COUNTIF($E53:M53,"t")+COUNTIF($E53:M53,"¶")+COUNTIF($E53:M53,"²")+COUNTIF($E53:M53,"µ")+COUNTIF($E53:M53,1),ColLivraison)=N$6,
  VLOOKUP($E53,INDIRECT("tri!"&amp; CHAR(64+ C0Col) &amp;":"&amp; CHAR(65+C0Col)),2,FALSE)&gt;COUNTIF($E53:M53,"u")+COUNTIF($E53:M53,"t")+COUNTIF($E53:M53,"¶")+COUNTIF($E53:M53,"²")+COUNTIF($E53:M53,"µ")+COUNTIF($E53:M53,1)),
HYPERLINK("#Roadmap!C"&amp; MATCH($E53,Roadmap!$D:$D,0)+COUNTIF($E53:M53,"u")+COUNTIF($E53:M53,"t"),
     INDEX(Roadmap!$D:$K,MATCH($E53,Roadmap!$D:$D,0)+COUNTIF($E53:M53,"u")+COUNTIF($E53:M53,"t")+COUNTIF($E53:M53,"¶")+COUNTIF($E53:M53,"²")+COUNTIF($E53:M53,"µ")+COUNTIF($E53:M53,1),ColTypeEcheance)),
  IF(LEN(M53)=1,
  IF(LEN(INDEX(Roadmap!$D:$K,MATCH($E53,Roadmap!$D:$D,0)-1+COUNTIF($E53:M53,"u")+COUNTIF($E53:M53,"t")+COUNTIF($E53:M53,"¶")+COUNTIF($E53:M53,"²")+COUNTIF($E53:M53,"µ")+COUNTIF($E53:M53,1),ColDescriptionCourte))&gt;1,
HYPERLINK("#Roadmap!C"&amp; MATCH($E53,Roadmap!$D:$D,0)+COUNTIF($E53:M53,"u")+COUNTIF($E53:M53,"t")+COUNTIF($E53:M53,"¶")+COUNTIF($E53:M53,"²")+COUNTIF($E53:M53,"µ")+COUNTIF($E53:M53,1)-1,INDEX(Roadmap!$D:$K,MATCH($E53,Roadmap!$D:$D,0)-1+COUNTIF($E53:M53,"u")+COUNTIF($E53:M53,"t")+COUNTIF($E53:M53,"¶")+COUNTIF($E53:M53,"²")+COUNTIF($E53:M53,"µ")+COUNTIF($E53:M53,1),ColDescriptionCourte)),""),
  "")),"")</f>
        <v/>
      </c>
      <c r="O53" s="40" t="str">
        <f ca="1">IFERROR(IF(AND(
  INDEX(Roadmap!$D:$K,MATCH($E53,Roadmap!$D:$D,0)+COUNTIF($E53:N53,"u")+COUNTIF($E53:N53,"t")+COUNTIF($E53:N53,"¶")+COUNTIF($E53:N53,"²")+COUNTIF($E53:N53,"µ")+COUNTIF($E53:N53,1),ColLivraison)=O$6,
  VLOOKUP($E53,INDIRECT("tri!"&amp; CHAR(64+ C0Col) &amp;":"&amp; CHAR(65+C0Col)),2,FALSE)&gt;COUNTIF($E53:N53,"u")+COUNTIF($E53:N53,"t")+COUNTIF($E53:N53,"¶")+COUNTIF($E53:N53,"²")+COUNTIF($E53:N53,"µ")+COUNTIF($E53:N53,1)),
HYPERLINK("#Roadmap!C"&amp; MATCH($E53,Roadmap!$D:$D,0)+COUNTIF($E53:N53,"u")+COUNTIF($E53:N53,"t"),
     INDEX(Roadmap!$D:$K,MATCH($E53,Roadmap!$D:$D,0)+COUNTIF($E53:N53,"u")+COUNTIF($E53:N53,"t")+COUNTIF($E53:N53,"¶")+COUNTIF($E53:N53,"²")+COUNTIF($E53:N53,"µ")+COUNTIF($E53:N53,1),ColTypeEcheance)),
  IF(LEN(N53)=1,
  IF(LEN(INDEX(Roadmap!$D:$K,MATCH($E53,Roadmap!$D:$D,0)-1+COUNTIF($E53:N53,"u")+COUNTIF($E53:N53,"t")+COUNTIF($E53:N53,"¶")+COUNTIF($E53:N53,"²")+COUNTIF($E53:N53,"µ")+COUNTIF($E53:N53,1),ColDescriptionCourte))&gt;1,
HYPERLINK("#Roadmap!C"&amp; MATCH($E53,Roadmap!$D:$D,0)+COUNTIF($E53:N53,"u")+COUNTIF($E53:N53,"t")+COUNTIF($E53:N53,"¶")+COUNTIF($E53:N53,"²")+COUNTIF($E53:N53,"µ")+COUNTIF($E53:N53,1)-1,INDEX(Roadmap!$D:$K,MATCH($E53,Roadmap!$D:$D,0)-1+COUNTIF($E53:N53,"u")+COUNTIF($E53:N53,"t")+COUNTIF($E53:N53,"¶")+COUNTIF($E53:N53,"²")+COUNTIF($E53:N53,"µ")+COUNTIF($E53:N53,1),ColDescriptionCourte)),""),
  "")),"")</f>
        <v/>
      </c>
      <c r="P53" s="40" t="str">
        <f ca="1">IFERROR(IF(AND(
  INDEX(Roadmap!$D:$K,MATCH($E53,Roadmap!$D:$D,0)+COUNTIF($E53:O53,"u")+COUNTIF($E53:O53,"t")+COUNTIF($E53:O53,"¶")+COUNTIF($E53:O53,"²")+COUNTIF($E53:O53,"µ")+COUNTIF($E53:O53,1),ColLivraison)=P$6,
  VLOOKUP($E53,INDIRECT("tri!"&amp; CHAR(64+ C0Col) &amp;":"&amp; CHAR(65+C0Col)),2,FALSE)&gt;COUNTIF($E53:O53,"u")+COUNTIF($E53:O53,"t")+COUNTIF($E53:O53,"¶")+COUNTIF($E53:O53,"²")+COUNTIF($E53:O53,"µ")+COUNTIF($E53:O53,1)),
HYPERLINK("#Roadmap!C"&amp; MATCH($E53,Roadmap!$D:$D,0)+COUNTIF($E53:O53,"u")+COUNTIF($E53:O53,"t"),
     INDEX(Roadmap!$D:$K,MATCH($E53,Roadmap!$D:$D,0)+COUNTIF($E53:O53,"u")+COUNTIF($E53:O53,"t")+COUNTIF($E53:O53,"¶")+COUNTIF($E53:O53,"²")+COUNTIF($E53:O53,"µ")+COUNTIF($E53:O53,1),ColTypeEcheance)),
  IF(LEN(O53)=1,
  IF(LEN(INDEX(Roadmap!$D:$K,MATCH($E53,Roadmap!$D:$D,0)-1+COUNTIF($E53:O53,"u")+COUNTIF($E53:O53,"t")+COUNTIF($E53:O53,"¶")+COUNTIF($E53:O53,"²")+COUNTIF($E53:O53,"µ")+COUNTIF($E53:O53,1),ColDescriptionCourte))&gt;1,
HYPERLINK("#Roadmap!C"&amp; MATCH($E53,Roadmap!$D:$D,0)+COUNTIF($E53:O53,"u")+COUNTIF($E53:O53,"t")+COUNTIF($E53:O53,"¶")+COUNTIF($E53:O53,"²")+COUNTIF($E53:O53,"µ")+COUNTIF($E53:O53,1)-1,INDEX(Roadmap!$D:$K,MATCH($E53,Roadmap!$D:$D,0)-1+COUNTIF($E53:O53,"u")+COUNTIF($E53:O53,"t")+COUNTIF($E53:O53,"¶")+COUNTIF($E53:O53,"²")+COUNTIF($E53:O53,"µ")+COUNTIF($E53:O53,1),ColDescriptionCourte)),""),
  "")),"")</f>
        <v/>
      </c>
      <c r="Q53" s="40" t="str">
        <f ca="1">IFERROR(IF(AND(
  INDEX(Roadmap!$D:$K,MATCH($E53,Roadmap!$D:$D,0)+COUNTIF($E53:P53,"u")+COUNTIF($E53:P53,"t")+COUNTIF($E53:P53,"¶")+COUNTIF($E53:P53,"²")+COUNTIF($E53:P53,"µ")+COUNTIF($E53:P53,1),ColLivraison)=Q$6,
  VLOOKUP($E53,INDIRECT("tri!"&amp; CHAR(64+ C0Col) &amp;":"&amp; CHAR(65+C0Col)),2,FALSE)&gt;COUNTIF($E53:P53,"u")+COUNTIF($E53:P53,"t")+COUNTIF($E53:P53,"¶")+COUNTIF($E53:P53,"²")+COUNTIF($E53:P53,"µ")+COUNTIF($E53:P53,1)),
HYPERLINK("#Roadmap!C"&amp; MATCH($E53,Roadmap!$D:$D,0)+COUNTIF($E53:P53,"u")+COUNTIF($E53:P53,"t"),
     INDEX(Roadmap!$D:$K,MATCH($E53,Roadmap!$D:$D,0)+COUNTIF($E53:P53,"u")+COUNTIF($E53:P53,"t")+COUNTIF($E53:P53,"¶")+COUNTIF($E53:P53,"²")+COUNTIF($E53:P53,"µ")+COUNTIF($E53:P53,1),ColTypeEcheance)),
  IF(LEN(P53)=1,
  IF(LEN(INDEX(Roadmap!$D:$K,MATCH($E53,Roadmap!$D:$D,0)-1+COUNTIF($E53:P53,"u")+COUNTIF($E53:P53,"t")+COUNTIF($E53:P53,"¶")+COUNTIF($E53:P53,"²")+COUNTIF($E53:P53,"µ")+COUNTIF($E53:P53,1),ColDescriptionCourte))&gt;1,
HYPERLINK("#Roadmap!C"&amp; MATCH($E53,Roadmap!$D:$D,0)+COUNTIF($E53:P53,"u")+COUNTIF($E53:P53,"t")+COUNTIF($E53:P53,"¶")+COUNTIF($E53:P53,"²")+COUNTIF($E53:P53,"µ")+COUNTIF($E53:P53,1)-1,INDEX(Roadmap!$D:$K,MATCH($E53,Roadmap!$D:$D,0)-1+COUNTIF($E53:P53,"u")+COUNTIF($E53:P53,"t")+COUNTIF($E53:P53,"¶")+COUNTIF($E53:P53,"²")+COUNTIF($E53:P53,"µ")+COUNTIF($E53:P53,1),ColDescriptionCourte)),""),
  "")),"")</f>
        <v/>
      </c>
      <c r="R53" s="40" t="str">
        <f ca="1">IFERROR(IF(AND(
  INDEX(Roadmap!$D:$K,MATCH($E53,Roadmap!$D:$D,0)+COUNTIF($E53:Q53,"u")+COUNTIF($E53:Q53,"t")+COUNTIF($E53:Q53,"¶")+COUNTIF($E53:Q53,"²")+COUNTIF($E53:Q53,"µ")+COUNTIF($E53:Q53,1),ColLivraison)=R$6,
  VLOOKUP($E53,INDIRECT("tri!"&amp; CHAR(64+ C0Col) &amp;":"&amp; CHAR(65+C0Col)),2,FALSE)&gt;COUNTIF($E53:Q53,"u")+COUNTIF($E53:Q53,"t")+COUNTIF($E53:Q53,"¶")+COUNTIF($E53:Q53,"²")+COUNTIF($E53:Q53,"µ")+COUNTIF($E53:Q53,1)),
HYPERLINK("#Roadmap!C"&amp; MATCH($E53,Roadmap!$D:$D,0)+COUNTIF($E53:Q53,"u")+COUNTIF($E53:Q53,"t"),
     INDEX(Roadmap!$D:$K,MATCH($E53,Roadmap!$D:$D,0)+COUNTIF($E53:Q53,"u")+COUNTIF($E53:Q53,"t")+COUNTIF($E53:Q53,"¶")+COUNTIF($E53:Q53,"²")+COUNTIF($E53:Q53,"µ")+COUNTIF($E53:Q53,1),ColTypeEcheance)),
  IF(LEN(Q53)=1,
  IF(LEN(INDEX(Roadmap!$D:$K,MATCH($E53,Roadmap!$D:$D,0)-1+COUNTIF($E53:Q53,"u")+COUNTIF($E53:Q53,"t")+COUNTIF($E53:Q53,"¶")+COUNTIF($E53:Q53,"²")+COUNTIF($E53:Q53,"µ")+COUNTIF($E53:Q53,1),ColDescriptionCourte))&gt;1,
HYPERLINK("#Roadmap!C"&amp; MATCH($E53,Roadmap!$D:$D,0)+COUNTIF($E53:Q53,"u")+COUNTIF($E53:Q53,"t")+COUNTIF($E53:Q53,"¶")+COUNTIF($E53:Q53,"²")+COUNTIF($E53:Q53,"µ")+COUNTIF($E53:Q53,1)-1,INDEX(Roadmap!$D:$K,MATCH($E53,Roadmap!$D:$D,0)-1+COUNTIF($E53:Q53,"u")+COUNTIF($E53:Q53,"t")+COUNTIF($E53:Q53,"¶")+COUNTIF($E53:Q53,"²")+COUNTIF($E53:Q53,"µ")+COUNTIF($E53:Q53,1),ColDescriptionCourte)),""),
  "")),"")</f>
        <v/>
      </c>
      <c r="S53" s="40" t="str">
        <f ca="1">IFERROR(IF(AND(
  INDEX(Roadmap!$D:$K,MATCH($E53,Roadmap!$D:$D,0)+COUNTIF($E53:R53,"u")+COUNTIF($E53:R53,"t")+COUNTIF($E53:R53,"¶")+COUNTIF($E53:R53,"²")+COUNTIF($E53:R53,"µ")+COUNTIF($E53:R53,1),ColLivraison)=S$6,
  VLOOKUP($E53,INDIRECT("tri!"&amp; CHAR(64+ C0Col) &amp;":"&amp; CHAR(65+C0Col)),2,FALSE)&gt;COUNTIF($E53:R53,"u")+COUNTIF($E53:R53,"t")+COUNTIF($E53:R53,"¶")+COUNTIF($E53:R53,"²")+COUNTIF($E53:R53,"µ")+COUNTIF($E53:R53,1)),
HYPERLINK("#Roadmap!C"&amp; MATCH($E53,Roadmap!$D:$D,0)+COUNTIF($E53:R53,"u")+COUNTIF($E53:R53,"t"),
     INDEX(Roadmap!$D:$K,MATCH($E53,Roadmap!$D:$D,0)+COUNTIF($E53:R53,"u")+COUNTIF($E53:R53,"t")+COUNTIF($E53:R53,"¶")+COUNTIF($E53:R53,"²")+COUNTIF($E53:R53,"µ")+COUNTIF($E53:R53,1),ColTypeEcheance)),
  IF(LEN(R53)=1,
  IF(LEN(INDEX(Roadmap!$D:$K,MATCH($E53,Roadmap!$D:$D,0)-1+COUNTIF($E53:R53,"u")+COUNTIF($E53:R53,"t")+COUNTIF($E53:R53,"¶")+COUNTIF($E53:R53,"²")+COUNTIF($E53:R53,"µ")+COUNTIF($E53:R53,1),ColDescriptionCourte))&gt;1,
HYPERLINK("#Roadmap!C"&amp; MATCH($E53,Roadmap!$D:$D,0)+COUNTIF($E53:R53,"u")+COUNTIF($E53:R53,"t")+COUNTIF($E53:R53,"¶")+COUNTIF($E53:R53,"²")+COUNTIF($E53:R53,"µ")+COUNTIF($E53:R53,1)-1,INDEX(Roadmap!$D:$K,MATCH($E53,Roadmap!$D:$D,0)-1+COUNTIF($E53:R53,"u")+COUNTIF($E53:R53,"t")+COUNTIF($E53:R53,"¶")+COUNTIF($E53:R53,"²")+COUNTIF($E53:R53,"µ")+COUNTIF($E53:R53,1),ColDescriptionCourte)),""),
  "")),"")</f>
        <v/>
      </c>
      <c r="T53" s="40" t="str">
        <f ca="1">IFERROR(IF(AND(
  INDEX(Roadmap!$D:$K,MATCH($E53,Roadmap!$D:$D,0)+COUNTIF($E53:S53,"u")+COUNTIF($E53:S53,"t")+COUNTIF($E53:S53,"¶")+COUNTIF($E53:S53,"²")+COUNTIF($E53:S53,"µ")+COUNTIF($E53:S53,1),ColLivraison)=T$6,
  VLOOKUP($E53,INDIRECT("tri!"&amp; CHAR(64+ C0Col) &amp;":"&amp; CHAR(65+C0Col)),2,FALSE)&gt;COUNTIF($E53:S53,"u")+COUNTIF($E53:S53,"t")+COUNTIF($E53:S53,"¶")+COUNTIF($E53:S53,"²")+COUNTIF($E53:S53,"µ")+COUNTIF($E53:S53,1)),
HYPERLINK("#Roadmap!C"&amp; MATCH($E53,Roadmap!$D:$D,0)+COUNTIF($E53:S53,"u")+COUNTIF($E53:S53,"t"),
     INDEX(Roadmap!$D:$K,MATCH($E53,Roadmap!$D:$D,0)+COUNTIF($E53:S53,"u")+COUNTIF($E53:S53,"t")+COUNTIF($E53:S53,"¶")+COUNTIF($E53:S53,"²")+COUNTIF($E53:S53,"µ")+COUNTIF($E53:S53,1),ColTypeEcheance)),
  IF(LEN(S53)=1,
  IF(LEN(INDEX(Roadmap!$D:$K,MATCH($E53,Roadmap!$D:$D,0)-1+COUNTIF($E53:S53,"u")+COUNTIF($E53:S53,"t")+COUNTIF($E53:S53,"¶")+COUNTIF($E53:S53,"²")+COUNTIF($E53:S53,"µ")+COUNTIF($E53:S53,1),ColDescriptionCourte))&gt;1,
HYPERLINK("#Roadmap!C"&amp; MATCH($E53,Roadmap!$D:$D,0)+COUNTIF($E53:S53,"u")+COUNTIF($E53:S53,"t")+COUNTIF($E53:S53,"¶")+COUNTIF($E53:S53,"²")+COUNTIF($E53:S53,"µ")+COUNTIF($E53:S53,1)-1,INDEX(Roadmap!$D:$K,MATCH($E53,Roadmap!$D:$D,0)-1+COUNTIF($E53:S53,"u")+COUNTIF($E53:S53,"t")+COUNTIF($E53:S53,"¶")+COUNTIF($E53:S53,"²")+COUNTIF($E53:S53,"µ")+COUNTIF($E53:S53,1),ColDescriptionCourte)),""),
  "")),"")</f>
        <v/>
      </c>
      <c r="U53" s="40" t="str">
        <f ca="1">IFERROR(IF(AND(
  INDEX(Roadmap!$D:$K,MATCH($E53,Roadmap!$D:$D,0)+COUNTIF($E53:T53,"u")+COUNTIF($E53:T53,"t")+COUNTIF($E53:T53,"¶")+COUNTIF($E53:T53,"²")+COUNTIF($E53:T53,"µ")+COUNTIF($E53:T53,1),ColLivraison)=U$6,
  VLOOKUP($E53,INDIRECT("tri!"&amp; CHAR(64+ C0Col) &amp;":"&amp; CHAR(65+C0Col)),2,FALSE)&gt;COUNTIF($E53:T53,"u")+COUNTIF($E53:T53,"t")+COUNTIF($E53:T53,"¶")+COUNTIF($E53:T53,"²")+COUNTIF($E53:T53,"µ")+COUNTIF($E53:T53,1)),
HYPERLINK("#Roadmap!C"&amp; MATCH($E53,Roadmap!$D:$D,0)+COUNTIF($E53:T53,"u")+COUNTIF($E53:T53,"t"),
     INDEX(Roadmap!$D:$K,MATCH($E53,Roadmap!$D:$D,0)+COUNTIF($E53:T53,"u")+COUNTIF($E53:T53,"t")+COUNTIF($E53:T53,"¶")+COUNTIF($E53:T53,"²")+COUNTIF($E53:T53,"µ")+COUNTIF($E53:T53,1),ColTypeEcheance)),
  IF(LEN(T53)=1,
  IF(LEN(INDEX(Roadmap!$D:$K,MATCH($E53,Roadmap!$D:$D,0)-1+COUNTIF($E53:T53,"u")+COUNTIF($E53:T53,"t")+COUNTIF($E53:T53,"¶")+COUNTIF($E53:T53,"²")+COUNTIF($E53:T53,"µ")+COUNTIF($E53:T53,1),ColDescriptionCourte))&gt;1,
HYPERLINK("#Roadmap!C"&amp; MATCH($E53,Roadmap!$D:$D,0)+COUNTIF($E53:T53,"u")+COUNTIF($E53:T53,"t")+COUNTIF($E53:T53,"¶")+COUNTIF($E53:T53,"²")+COUNTIF($E53:T53,"µ")+COUNTIF($E53:T53,1)-1,INDEX(Roadmap!$D:$K,MATCH($E53,Roadmap!$D:$D,0)-1+COUNTIF($E53:T53,"u")+COUNTIF($E53:T53,"t")+COUNTIF($E53:T53,"¶")+COUNTIF($E53:T53,"²")+COUNTIF($E53:T53,"µ")+COUNTIF($E53:T53,1),ColDescriptionCourte)),""),
  "")),"")</f>
        <v/>
      </c>
      <c r="V53" s="40" t="str">
        <f ca="1">IFERROR(IF(AND(
  INDEX(Roadmap!$D:$K,MATCH($E53,Roadmap!$D:$D,0)+COUNTIF($E53:U53,"u")+COUNTIF($E53:U53,"t")+COUNTIF($E53:U53,"¶")+COUNTIF($E53:U53,"²")+COUNTIF($E53:U53,"µ")+COUNTIF($E53:U53,1),ColLivraison)=V$6,
  VLOOKUP($E53,INDIRECT("tri!"&amp; CHAR(64+ C0Col) &amp;":"&amp; CHAR(65+C0Col)),2,FALSE)&gt;COUNTIF($E53:U53,"u")+COUNTIF($E53:U53,"t")+COUNTIF($E53:U53,"¶")+COUNTIF($E53:U53,"²")+COUNTIF($E53:U53,"µ")+COUNTIF($E53:U53,1)),
HYPERLINK("#Roadmap!C"&amp; MATCH($E53,Roadmap!$D:$D,0)+COUNTIF($E53:U53,"u")+COUNTIF($E53:U53,"t"),
     INDEX(Roadmap!$D:$K,MATCH($E53,Roadmap!$D:$D,0)+COUNTIF($E53:U53,"u")+COUNTIF($E53:U53,"t")+COUNTIF($E53:U53,"¶")+COUNTIF($E53:U53,"²")+COUNTIF($E53:U53,"µ")+COUNTIF($E53:U53,1),ColTypeEcheance)),
  IF(LEN(U53)=1,
  IF(LEN(INDEX(Roadmap!$D:$K,MATCH($E53,Roadmap!$D:$D,0)-1+COUNTIF($E53:U53,"u")+COUNTIF($E53:U53,"t")+COUNTIF($E53:U53,"¶")+COUNTIF($E53:U53,"²")+COUNTIF($E53:U53,"µ")+COUNTIF($E53:U53,1),ColDescriptionCourte))&gt;1,
HYPERLINK("#Roadmap!C"&amp; MATCH($E53,Roadmap!$D:$D,0)+COUNTIF($E53:U53,"u")+COUNTIF($E53:U53,"t")+COUNTIF($E53:U53,"¶")+COUNTIF($E53:U53,"²")+COUNTIF($E53:U53,"µ")+COUNTIF($E53:U53,1)-1,INDEX(Roadmap!$D:$K,MATCH($E53,Roadmap!$D:$D,0)-1+COUNTIF($E53:U53,"u")+COUNTIF($E53:U53,"t")+COUNTIF($E53:U53,"¶")+COUNTIF($E53:U53,"²")+COUNTIF($E53:U53,"µ")+COUNTIF($E53:U53,1),ColDescriptionCourte)),""),
  "")),"")</f>
        <v/>
      </c>
      <c r="W53" s="40" t="str">
        <f ca="1">IFERROR(IF(AND(
  INDEX(Roadmap!$D:$K,MATCH($E53,Roadmap!$D:$D,0)+COUNTIF($E53:V53,"u")+COUNTIF($E53:V53,"t")+COUNTIF($E53:V53,"¶")+COUNTIF($E53:V53,"²")+COUNTIF($E53:V53,"µ")+COUNTIF($E53:V53,1),ColLivraison)=W$6,
  VLOOKUP($E53,INDIRECT("tri!"&amp; CHAR(64+ C0Col) &amp;":"&amp; CHAR(65+C0Col)),2,FALSE)&gt;COUNTIF($E53:V53,"u")+COUNTIF($E53:V53,"t")+COUNTIF($E53:V53,"¶")+COUNTIF($E53:V53,"²")+COUNTIF($E53:V53,"µ")+COUNTIF($E53:V53,1)),
HYPERLINK("#Roadmap!C"&amp; MATCH($E53,Roadmap!$D:$D,0)+COUNTIF($E53:V53,"u")+COUNTIF($E53:V53,"t"),
     INDEX(Roadmap!$D:$K,MATCH($E53,Roadmap!$D:$D,0)+COUNTIF($E53:V53,"u")+COUNTIF($E53:V53,"t")+COUNTIF($E53:V53,"¶")+COUNTIF($E53:V53,"²")+COUNTIF($E53:V53,"µ")+COUNTIF($E53:V53,1),ColTypeEcheance)),
  IF(LEN(V53)=1,
  IF(LEN(INDEX(Roadmap!$D:$K,MATCH($E53,Roadmap!$D:$D,0)-1+COUNTIF($E53:V53,"u")+COUNTIF($E53:V53,"t")+COUNTIF($E53:V53,"¶")+COUNTIF($E53:V53,"²")+COUNTIF($E53:V53,"µ")+COUNTIF($E53:V53,1),ColDescriptionCourte))&gt;1,
HYPERLINK("#Roadmap!C"&amp; MATCH($E53,Roadmap!$D:$D,0)+COUNTIF($E53:V53,"u")+COUNTIF($E53:V53,"t")+COUNTIF($E53:V53,"¶")+COUNTIF($E53:V53,"²")+COUNTIF($E53:V53,"µ")+COUNTIF($E53:V53,1)-1,INDEX(Roadmap!$D:$K,MATCH($E53,Roadmap!$D:$D,0)-1+COUNTIF($E53:V53,"u")+COUNTIF($E53:V53,"t")+COUNTIF($E53:V53,"¶")+COUNTIF($E53:V53,"²")+COUNTIF($E53:V53,"µ")+COUNTIF($E53:V53,1),ColDescriptionCourte)),""),
  "")),"")</f>
        <v/>
      </c>
      <c r="X53" s="40" t="str">
        <f ca="1">IFERROR(IF(AND(
  INDEX(Roadmap!$D:$K,MATCH($E53,Roadmap!$D:$D,0)+COUNTIF($E53:W53,"u")+COUNTIF($E53:W53,"t")+COUNTIF($E53:W53,"¶")+COUNTIF($E53:W53,"²")+COUNTIF($E53:W53,"µ")+COUNTIF($E53:W53,1),ColLivraison)=X$6,
  VLOOKUP($E53,INDIRECT("tri!"&amp; CHAR(64+ C0Col) &amp;":"&amp; CHAR(65+C0Col)),2,FALSE)&gt;COUNTIF($E53:W53,"u")+COUNTIF($E53:W53,"t")+COUNTIF($E53:W53,"¶")+COUNTIF($E53:W53,"²")+COUNTIF($E53:W53,"µ")+COUNTIF($E53:W53,1)),
HYPERLINK("#Roadmap!C"&amp; MATCH($E53,Roadmap!$D:$D,0)+COUNTIF($E53:W53,"u")+COUNTIF($E53:W53,"t"),
     INDEX(Roadmap!$D:$K,MATCH($E53,Roadmap!$D:$D,0)+COUNTIF($E53:W53,"u")+COUNTIF($E53:W53,"t")+COUNTIF($E53:W53,"¶")+COUNTIF($E53:W53,"²")+COUNTIF($E53:W53,"µ")+COUNTIF($E53:W53,1),ColTypeEcheance)),
  IF(LEN(W53)=1,
  IF(LEN(INDEX(Roadmap!$D:$K,MATCH($E53,Roadmap!$D:$D,0)-1+COUNTIF($E53:W53,"u")+COUNTIF($E53:W53,"t")+COUNTIF($E53:W53,"¶")+COUNTIF($E53:W53,"²")+COUNTIF($E53:W53,"µ")+COUNTIF($E53:W53,1),ColDescriptionCourte))&gt;1,
HYPERLINK("#Roadmap!C"&amp; MATCH($E53,Roadmap!$D:$D,0)+COUNTIF($E53:W53,"u")+COUNTIF($E53:W53,"t")+COUNTIF($E53:W53,"¶")+COUNTIF($E53:W53,"²")+COUNTIF($E53:W53,"µ")+COUNTIF($E53:W53,1)-1,INDEX(Roadmap!$D:$K,MATCH($E53,Roadmap!$D:$D,0)-1+COUNTIF($E53:W53,"u")+COUNTIF($E53:W53,"t")+COUNTIF($E53:W53,"¶")+COUNTIF($E53:W53,"²")+COUNTIF($E53:W53,"µ")+COUNTIF($E53:W53,1),ColDescriptionCourte)),""),
  "")),"")</f>
        <v/>
      </c>
      <c r="Y53" s="40" t="str">
        <f ca="1">IFERROR(IF(AND(
  INDEX(Roadmap!$D:$K,MATCH($E53,Roadmap!$D:$D,0)+COUNTIF($E53:X53,"u")+COUNTIF($E53:X53,"t")+COUNTIF($E53:X53,"¶")+COUNTIF($E53:X53,"²")+COUNTIF($E53:X53,"µ")+COUNTIF($E53:X53,1),ColLivraison)=Y$6,
  VLOOKUP($E53,INDIRECT("tri!"&amp; CHAR(64+ C0Col) &amp;":"&amp; CHAR(65+C0Col)),2,FALSE)&gt;COUNTIF($E53:X53,"u")+COUNTIF($E53:X53,"t")+COUNTIF($E53:X53,"¶")+COUNTIF($E53:X53,"²")+COUNTIF($E53:X53,"µ")+COUNTIF($E53:X53,1)),
HYPERLINK("#Roadmap!C"&amp; MATCH($E53,Roadmap!$D:$D,0)+COUNTIF($E53:X53,"u")+COUNTIF($E53:X53,"t"),
     INDEX(Roadmap!$D:$K,MATCH($E53,Roadmap!$D:$D,0)+COUNTIF($E53:X53,"u")+COUNTIF($E53:X53,"t")+COUNTIF($E53:X53,"¶")+COUNTIF($E53:X53,"²")+COUNTIF($E53:X53,"µ")+COUNTIF($E53:X53,1),ColTypeEcheance)),
  IF(LEN(X53)=1,
  IF(LEN(INDEX(Roadmap!$D:$K,MATCH($E53,Roadmap!$D:$D,0)-1+COUNTIF($E53:X53,"u")+COUNTIF($E53:X53,"t")+COUNTIF($E53:X53,"¶")+COUNTIF($E53:X53,"²")+COUNTIF($E53:X53,"µ")+COUNTIF($E53:X53,1),ColDescriptionCourte))&gt;1,
HYPERLINK("#Roadmap!C"&amp; MATCH($E53,Roadmap!$D:$D,0)+COUNTIF($E53:X53,"u")+COUNTIF($E53:X53,"t")+COUNTIF($E53:X53,"¶")+COUNTIF($E53:X53,"²")+COUNTIF($E53:X53,"µ")+COUNTIF($E53:X53,1)-1,INDEX(Roadmap!$D:$K,MATCH($E53,Roadmap!$D:$D,0)-1+COUNTIF($E53:X53,"u")+COUNTIF($E53:X53,"t")+COUNTIF($E53:X53,"¶")+COUNTIF($E53:X53,"²")+COUNTIF($E53:X53,"µ")+COUNTIF($E53:X53,1),ColDescriptionCourte)),""),
  "")),"")</f>
        <v/>
      </c>
      <c r="Z53" s="40" t="str">
        <f ca="1">IFERROR(IF(AND(
  INDEX(Roadmap!$D:$K,MATCH($E53,Roadmap!$D:$D,0)+COUNTIF($E53:Y53,"u")+COUNTIF($E53:Y53,"t")+COUNTIF($E53:Y53,"¶")+COUNTIF($E53:Y53,"²")+COUNTIF($E53:Y53,"µ")+COUNTIF($E53:Y53,1),ColLivraison)=Z$6,
  VLOOKUP($E53,INDIRECT("tri!"&amp; CHAR(64+ C0Col) &amp;":"&amp; CHAR(65+C0Col)),2,FALSE)&gt;COUNTIF($E53:Y53,"u")+COUNTIF($E53:Y53,"t")+COUNTIF($E53:Y53,"¶")+COUNTIF($E53:Y53,"²")+COUNTIF($E53:Y53,"µ")+COUNTIF($E53:Y53,1)),
HYPERLINK("#Roadmap!C"&amp; MATCH($E53,Roadmap!$D:$D,0)+COUNTIF($E53:Y53,"u")+COUNTIF($E53:Y53,"t"),
     INDEX(Roadmap!$D:$K,MATCH($E53,Roadmap!$D:$D,0)+COUNTIF($E53:Y53,"u")+COUNTIF($E53:Y53,"t")+COUNTIF($E53:Y53,"¶")+COUNTIF($E53:Y53,"²")+COUNTIF($E53:Y53,"µ")+COUNTIF($E53:Y53,1),ColTypeEcheance)),
  IF(LEN(Y53)=1,
  IF(LEN(INDEX(Roadmap!$D:$K,MATCH($E53,Roadmap!$D:$D,0)-1+COUNTIF($E53:Y53,"u")+COUNTIF($E53:Y53,"t")+COUNTIF($E53:Y53,"¶")+COUNTIF($E53:Y53,"²")+COUNTIF($E53:Y53,"µ")+COUNTIF($E53:Y53,1),ColDescriptionCourte))&gt;1,
HYPERLINK("#Roadmap!C"&amp; MATCH($E53,Roadmap!$D:$D,0)+COUNTIF($E53:Y53,"u")+COUNTIF($E53:Y53,"t")+COUNTIF($E53:Y53,"¶")+COUNTIF($E53:Y53,"²")+COUNTIF($E53:Y53,"µ")+COUNTIF($E53:Y53,1)-1,INDEX(Roadmap!$D:$K,MATCH($E53,Roadmap!$D:$D,0)-1+COUNTIF($E53:Y53,"u")+COUNTIF($E53:Y53,"t")+COUNTIF($E53:Y53,"¶")+COUNTIF($E53:Y53,"²")+COUNTIF($E53:Y53,"µ")+COUNTIF($E53:Y53,1),ColDescriptionCourte)),""),
  "")),"")</f>
        <v/>
      </c>
      <c r="AA53" s="40" t="str">
        <f ca="1">IFERROR(IF(AND(
  INDEX(Roadmap!$D:$K,MATCH($E53,Roadmap!$D:$D,0)+COUNTIF($E53:Z53,"u")+COUNTIF($E53:Z53,"t")+COUNTIF($E53:Z53,"¶")+COUNTIF($E53:Z53,"²")+COUNTIF($E53:Z53,"µ")+COUNTIF($E53:Z53,1),ColLivraison)=AA$6,
  VLOOKUP($E53,INDIRECT("tri!"&amp; CHAR(64+ C0Col) &amp;":"&amp; CHAR(65+C0Col)),2,FALSE)&gt;COUNTIF($E53:Z53,"u")+COUNTIF($E53:Z53,"t")+COUNTIF($E53:Z53,"¶")+COUNTIF($E53:Z53,"²")+COUNTIF($E53:Z53,"µ")+COUNTIF($E53:Z53,1)),
HYPERLINK("#Roadmap!C"&amp; MATCH($E53,Roadmap!$D:$D,0)+COUNTIF($E53:Z53,"u")+COUNTIF($E53:Z53,"t"),
     INDEX(Roadmap!$D:$K,MATCH($E53,Roadmap!$D:$D,0)+COUNTIF($E53:Z53,"u")+COUNTIF($E53:Z53,"t")+COUNTIF($E53:Z53,"¶")+COUNTIF($E53:Z53,"²")+COUNTIF($E53:Z53,"µ")+COUNTIF($E53:Z53,1),ColTypeEcheance)),
  IF(LEN(Z53)=1,
  IF(LEN(INDEX(Roadmap!$D:$K,MATCH($E53,Roadmap!$D:$D,0)-1+COUNTIF($E53:Z53,"u")+COUNTIF($E53:Z53,"t")+COUNTIF($E53:Z53,"¶")+COUNTIF($E53:Z53,"²")+COUNTIF($E53:Z53,"µ")+COUNTIF($E53:Z53,1),ColDescriptionCourte))&gt;1,
HYPERLINK("#Roadmap!C"&amp; MATCH($E53,Roadmap!$D:$D,0)+COUNTIF($E53:Z53,"u")+COUNTIF($E53:Z53,"t")+COUNTIF($E53:Z53,"¶")+COUNTIF($E53:Z53,"²")+COUNTIF($E53:Z53,"µ")+COUNTIF($E53:Z53,1)-1,INDEX(Roadmap!$D:$K,MATCH($E53,Roadmap!$D:$D,0)-1+COUNTIF($E53:Z53,"u")+COUNTIF($E53:Z53,"t")+COUNTIF($E53:Z53,"¶")+COUNTIF($E53:Z53,"²")+COUNTIF($E53:Z53,"µ")+COUNTIF($E53:Z53,1),ColDescriptionCourte)),""),
  "")),"")</f>
        <v/>
      </c>
      <c r="AB53" s="40" t="str">
        <f ca="1">IFERROR(IF(AND(
  INDEX(Roadmap!$D:$K,MATCH($E53,Roadmap!$D:$D,0)+COUNTIF($E53:AA53,"u")+COUNTIF($E53:AA53,"t")+COUNTIF($E53:AA53,"¶")+COUNTIF($E53:AA53,"²")+COUNTIF($E53:AA53,"µ")+COUNTIF($E53:AA53,1),ColLivraison)=AB$6,
  VLOOKUP($E53,INDIRECT("tri!"&amp; CHAR(64+ C0Col) &amp;":"&amp; CHAR(65+C0Col)),2,FALSE)&gt;COUNTIF($E53:AA53,"u")+COUNTIF($E53:AA53,"t")+COUNTIF($E53:AA53,"¶")+COUNTIF($E53:AA53,"²")+COUNTIF($E53:AA53,"µ")+COUNTIF($E53:AA53,1)),
HYPERLINK("#Roadmap!C"&amp; MATCH($E53,Roadmap!$D:$D,0)+COUNTIF($E53:AA53,"u")+COUNTIF($E53:AA53,"t"),
     INDEX(Roadmap!$D:$K,MATCH($E53,Roadmap!$D:$D,0)+COUNTIF($E53:AA53,"u")+COUNTIF($E53:AA53,"t")+COUNTIF($E53:AA53,"¶")+COUNTIF($E53:AA53,"²")+COUNTIF($E53:AA53,"µ")+COUNTIF($E53:AA53,1),ColTypeEcheance)),
  IF(LEN(AA53)=1,
  IF(LEN(INDEX(Roadmap!$D:$K,MATCH($E53,Roadmap!$D:$D,0)-1+COUNTIF($E53:AA53,"u")+COUNTIF($E53:AA53,"t")+COUNTIF($E53:AA53,"¶")+COUNTIF($E53:AA53,"²")+COUNTIF($E53:AA53,"µ")+COUNTIF($E53:AA53,1),ColDescriptionCourte))&gt;1,
HYPERLINK("#Roadmap!C"&amp; MATCH($E53,Roadmap!$D:$D,0)+COUNTIF($E53:AA53,"u")+COUNTIF($E53:AA53,"t")+COUNTIF($E53:AA53,"¶")+COUNTIF($E53:AA53,"²")+COUNTIF($E53:AA53,"µ")+COUNTIF($E53:AA53,1)-1,INDEX(Roadmap!$D:$K,MATCH($E53,Roadmap!$D:$D,0)-1+COUNTIF($E53:AA53,"u")+COUNTIF($E53:AA53,"t")+COUNTIF($E53:AA53,"¶")+COUNTIF($E53:AA53,"²")+COUNTIF($E53:AA53,"µ")+COUNTIF($E53:AA53,1),ColDescriptionCourte)),""),
  "")),"")</f>
        <v/>
      </c>
      <c r="AC53" s="40" t="str">
        <f ca="1">IFERROR(IF(AND(
  INDEX(Roadmap!$D:$K,MATCH($E53,Roadmap!$D:$D,0)+COUNTIF($E53:AB53,"u")+COUNTIF($E53:AB53,"t")+COUNTIF($E53:AB53,"¶")+COUNTIF($E53:AB53,"²")+COUNTIF($E53:AB53,"µ")+COUNTIF($E53:AB53,1),ColLivraison)=AC$6,
  VLOOKUP($E53,INDIRECT("tri!"&amp; CHAR(64+ C0Col) &amp;":"&amp; CHAR(65+C0Col)),2,FALSE)&gt;COUNTIF($E53:AB53,"u")+COUNTIF($E53:AB53,"t")+COUNTIF($E53:AB53,"¶")+COUNTIF($E53:AB53,"²")+COUNTIF($E53:AB53,"µ")+COUNTIF($E53:AB53,1)),
HYPERLINK("#Roadmap!C"&amp; MATCH($E53,Roadmap!$D:$D,0)+COUNTIF($E53:AB53,"u")+COUNTIF($E53:AB53,"t"),
     INDEX(Roadmap!$D:$K,MATCH($E53,Roadmap!$D:$D,0)+COUNTIF($E53:AB53,"u")+COUNTIF($E53:AB53,"t")+COUNTIF($E53:AB53,"¶")+COUNTIF($E53:AB53,"²")+COUNTIF($E53:AB53,"µ")+COUNTIF($E53:AB53,1),ColTypeEcheance)),
  IF(LEN(AB53)=1,
  IF(LEN(INDEX(Roadmap!$D:$K,MATCH($E53,Roadmap!$D:$D,0)-1+COUNTIF($E53:AB53,"u")+COUNTIF($E53:AB53,"t")+COUNTIF($E53:AB53,"¶")+COUNTIF($E53:AB53,"²")+COUNTIF($E53:AB53,"µ")+COUNTIF($E53:AB53,1),ColDescriptionCourte))&gt;1,
HYPERLINK("#Roadmap!C"&amp; MATCH($E53,Roadmap!$D:$D,0)+COUNTIF($E53:AB53,"u")+COUNTIF($E53:AB53,"t")+COUNTIF($E53:AB53,"¶")+COUNTIF($E53:AB53,"²")+COUNTIF($E53:AB53,"µ")+COUNTIF($E53:AB53,1)-1,INDEX(Roadmap!$D:$K,MATCH($E53,Roadmap!$D:$D,0)-1+COUNTIF($E53:AB53,"u")+COUNTIF($E53:AB53,"t")+COUNTIF($E53:AB53,"¶")+COUNTIF($E53:AB53,"²")+COUNTIF($E53:AB53,"µ")+COUNTIF($E53:AB53,1),ColDescriptionCourte)),""),
  "")),"")</f>
        <v/>
      </c>
      <c r="AD53" s="40" t="str">
        <f ca="1">IFERROR(IF(AND(
  INDEX(Roadmap!$D:$K,MATCH($E53,Roadmap!$D:$D,0)+COUNTIF($E53:AC53,"u")+COUNTIF($E53:AC53,"t")+COUNTIF($E53:AC53,"¶")+COUNTIF($E53:AC53,"²")+COUNTIF($E53:AC53,"µ")+COUNTIF($E53:AC53,1),ColLivraison)=AD$6,
  VLOOKUP($E53,INDIRECT("tri!"&amp; CHAR(64+ C0Col) &amp;":"&amp; CHAR(65+C0Col)),2,FALSE)&gt;COUNTIF($E53:AC53,"u")+COUNTIF($E53:AC53,"t")+COUNTIF($E53:AC53,"¶")+COUNTIF($E53:AC53,"²")+COUNTIF($E53:AC53,"µ")+COUNTIF($E53:AC53,1)),
HYPERLINK("#Roadmap!C"&amp; MATCH($E53,Roadmap!$D:$D,0)+COUNTIF($E53:AC53,"u")+COUNTIF($E53:AC53,"t"),
     INDEX(Roadmap!$D:$K,MATCH($E53,Roadmap!$D:$D,0)+COUNTIF($E53:AC53,"u")+COUNTIF($E53:AC53,"t")+COUNTIF($E53:AC53,"¶")+COUNTIF($E53:AC53,"²")+COUNTIF($E53:AC53,"µ")+COUNTIF($E53:AC53,1),ColTypeEcheance)),
  IF(LEN(AC53)=1,
  IF(LEN(INDEX(Roadmap!$D:$K,MATCH($E53,Roadmap!$D:$D,0)-1+COUNTIF($E53:AC53,"u")+COUNTIF($E53:AC53,"t")+COUNTIF($E53:AC53,"¶")+COUNTIF($E53:AC53,"²")+COUNTIF($E53:AC53,"µ")+COUNTIF($E53:AC53,1),ColDescriptionCourte))&gt;1,
HYPERLINK("#Roadmap!C"&amp; MATCH($E53,Roadmap!$D:$D,0)+COUNTIF($E53:AC53,"u")+COUNTIF($E53:AC53,"t")+COUNTIF($E53:AC53,"¶")+COUNTIF($E53:AC53,"²")+COUNTIF($E53:AC53,"µ")+COUNTIF($E53:AC53,1)-1,INDEX(Roadmap!$D:$K,MATCH($E53,Roadmap!$D:$D,0)-1+COUNTIF($E53:AC53,"u")+COUNTIF($E53:AC53,"t")+COUNTIF($E53:AC53,"¶")+COUNTIF($E53:AC53,"²")+COUNTIF($E53:AC53,"µ")+COUNTIF($E53:AC53,1),ColDescriptionCourte)),""),
  "")),"")</f>
        <v/>
      </c>
      <c r="AE53" s="40" t="str">
        <f ca="1">IFERROR(IF(AND(
  INDEX(Roadmap!$D:$K,MATCH($E53,Roadmap!$D:$D,0)+COUNTIF($E53:AD53,"u")+COUNTIF($E53:AD53,"t")+COUNTIF($E53:AD53,"¶")+COUNTIF($E53:AD53,"²")+COUNTIF($E53:AD53,"µ")+COUNTIF($E53:AD53,1),ColLivraison)=AE$6,
  VLOOKUP($E53,INDIRECT("tri!"&amp; CHAR(64+ C0Col) &amp;":"&amp; CHAR(65+C0Col)),2,FALSE)&gt;COUNTIF($E53:AD53,"u")+COUNTIF($E53:AD53,"t")+COUNTIF($E53:AD53,"¶")+COUNTIF($E53:AD53,"²")+COUNTIF($E53:AD53,"µ")+COUNTIF($E53:AD53,1)),
HYPERLINK("#Roadmap!C"&amp; MATCH($E53,Roadmap!$D:$D,0)+COUNTIF($E53:AD53,"u")+COUNTIF($E53:AD53,"t"),
     INDEX(Roadmap!$D:$K,MATCH($E53,Roadmap!$D:$D,0)+COUNTIF($E53:AD53,"u")+COUNTIF($E53:AD53,"t")+COUNTIF($E53:AD53,"¶")+COUNTIF($E53:AD53,"²")+COUNTIF($E53:AD53,"µ")+COUNTIF($E53:AD53,1),ColTypeEcheance)),
  IF(LEN(AD53)=1,
  IF(LEN(INDEX(Roadmap!$D:$K,MATCH($E53,Roadmap!$D:$D,0)-1+COUNTIF($E53:AD53,"u")+COUNTIF($E53:AD53,"t")+COUNTIF($E53:AD53,"¶")+COUNTIF($E53:AD53,"²")+COUNTIF($E53:AD53,"µ")+COUNTIF($E53:AD53,1),ColDescriptionCourte))&gt;1,
HYPERLINK("#Roadmap!C"&amp; MATCH($E53,Roadmap!$D:$D,0)+COUNTIF($E53:AD53,"u")+COUNTIF($E53:AD53,"t")+COUNTIF($E53:AD53,"¶")+COUNTIF($E53:AD53,"²")+COUNTIF($E53:AD53,"µ")+COUNTIF($E53:AD53,1)-1,INDEX(Roadmap!$D:$K,MATCH($E53,Roadmap!$D:$D,0)-1+COUNTIF($E53:AD53,"u")+COUNTIF($E53:AD53,"t")+COUNTIF($E53:AD53,"¶")+COUNTIF($E53:AD53,"²")+COUNTIF($E53:AD53,"µ")+COUNTIF($E53:AD53,1),ColDescriptionCourte)),""),
  "")),"")</f>
        <v/>
      </c>
      <c r="AF53" s="40" t="str">
        <f ca="1">IFERROR(IF(AND(
  INDEX(Roadmap!$D:$K,MATCH($E53,Roadmap!$D:$D,0)+COUNTIF($E53:AE53,"u")+COUNTIF($E53:AE53,"t")+COUNTIF($E53:AE53,"¶")+COUNTIF($E53:AE53,"²")+COUNTIF($E53:AE53,"µ")+COUNTIF($E53:AE53,1),ColLivraison)=AF$6,
  VLOOKUP($E53,INDIRECT("tri!"&amp; CHAR(64+ C0Col) &amp;":"&amp; CHAR(65+C0Col)),2,FALSE)&gt;COUNTIF($E53:AE53,"u")+COUNTIF($E53:AE53,"t")+COUNTIF($E53:AE53,"¶")+COUNTIF($E53:AE53,"²")+COUNTIF($E53:AE53,"µ")+COUNTIF($E53:AE53,1)),
HYPERLINK("#Roadmap!C"&amp; MATCH($E53,Roadmap!$D:$D,0)+COUNTIF($E53:AE53,"u")+COUNTIF($E53:AE53,"t"),
     INDEX(Roadmap!$D:$K,MATCH($E53,Roadmap!$D:$D,0)+COUNTIF($E53:AE53,"u")+COUNTIF($E53:AE53,"t")+COUNTIF($E53:AE53,"¶")+COUNTIF($E53:AE53,"²")+COUNTIF($E53:AE53,"µ")+COUNTIF($E53:AE53,1),ColTypeEcheance)),
  IF(LEN(AE53)=1,
  IF(LEN(INDEX(Roadmap!$D:$K,MATCH($E53,Roadmap!$D:$D,0)-1+COUNTIF($E53:AE53,"u")+COUNTIF($E53:AE53,"t")+COUNTIF($E53:AE53,"¶")+COUNTIF($E53:AE53,"²")+COUNTIF($E53:AE53,"µ")+COUNTIF($E53:AE53,1),ColDescriptionCourte))&gt;1,
HYPERLINK("#Roadmap!C"&amp; MATCH($E53,Roadmap!$D:$D,0)+COUNTIF($E53:AE53,"u")+COUNTIF($E53:AE53,"t")+COUNTIF($E53:AE53,"¶")+COUNTIF($E53:AE53,"²")+COUNTIF($E53:AE53,"µ")+COUNTIF($E53:AE53,1)-1,INDEX(Roadmap!$D:$K,MATCH($E53,Roadmap!$D:$D,0)-1+COUNTIF($E53:AE53,"u")+COUNTIF($E53:AE53,"t")+COUNTIF($E53:AE53,"¶")+COUNTIF($E53:AE53,"²")+COUNTIF($E53:AE53,"µ")+COUNTIF($E53:AE53,1),ColDescriptionCourte)),""),
  "")),"")</f>
        <v/>
      </c>
      <c r="AG53" s="40" t="str">
        <f ca="1">IFERROR(IF(AND(
  INDEX(Roadmap!$D:$K,MATCH($E53,Roadmap!$D:$D,0)+COUNTIF($E53:AF53,"u")+COUNTIF($E53:AF53,"t")+COUNTIF($E53:AF53,"¶")+COUNTIF($E53:AF53,"²")+COUNTIF($E53:AF53,"µ")+COUNTIF($E53:AF53,1),ColLivraison)=AG$6,
  VLOOKUP($E53,INDIRECT("tri!"&amp; CHAR(64+ C0Col) &amp;":"&amp; CHAR(65+C0Col)),2,FALSE)&gt;COUNTIF($E53:AF53,"u")+COUNTIF($E53:AF53,"t")+COUNTIF($E53:AF53,"¶")+COUNTIF($E53:AF53,"²")+COUNTIF($E53:AF53,"µ")+COUNTIF($E53:AF53,1)),
HYPERLINK("#Roadmap!C"&amp; MATCH($E53,Roadmap!$D:$D,0)+COUNTIF($E53:AF53,"u")+COUNTIF($E53:AF53,"t"),
     INDEX(Roadmap!$D:$K,MATCH($E53,Roadmap!$D:$D,0)+COUNTIF($E53:AF53,"u")+COUNTIF($E53:AF53,"t")+COUNTIF($E53:AF53,"¶")+COUNTIF($E53:AF53,"²")+COUNTIF($E53:AF53,"µ")+COUNTIF($E53:AF53,1),ColTypeEcheance)),
  IF(LEN(AF53)=1,
  IF(LEN(INDEX(Roadmap!$D:$K,MATCH($E53,Roadmap!$D:$D,0)-1+COUNTIF($E53:AF53,"u")+COUNTIF($E53:AF53,"t")+COUNTIF($E53:AF53,"¶")+COUNTIF($E53:AF53,"²")+COUNTIF($E53:AF53,"µ")+COUNTIF($E53:AF53,1),ColDescriptionCourte))&gt;1,
HYPERLINK("#Roadmap!C"&amp; MATCH($E53,Roadmap!$D:$D,0)+COUNTIF($E53:AF53,"u")+COUNTIF($E53:AF53,"t")+COUNTIF($E53:AF53,"¶")+COUNTIF($E53:AF53,"²")+COUNTIF($E53:AF53,"µ")+COUNTIF($E53:AF53,1)-1,INDEX(Roadmap!$D:$K,MATCH($E53,Roadmap!$D:$D,0)-1+COUNTIF($E53:AF53,"u")+COUNTIF($E53:AF53,"t")+COUNTIF($E53:AF53,"¶")+COUNTIF($E53:AF53,"²")+COUNTIF($E53:AF53,"µ")+COUNTIF($E53:AF53,1),ColDescriptionCourte)),""),
  "")),"")</f>
        <v/>
      </c>
    </row>
    <row r="54" spans="3:33" ht="14.25" customHeight="1">
      <c r="C54" s="1" t="str">
        <f t="shared" ca="1" si="44"/>
        <v/>
      </c>
      <c r="D54" s="1" t="str">
        <f t="shared" ca="1" si="45"/>
        <v/>
      </c>
      <c r="E54" s="35" t="str">
        <f t="shared" ca="1" si="33"/>
        <v/>
      </c>
      <c r="F54" s="39" t="str">
        <f ca="1">IFERROR(IF(AND(
  INDEX(Roadmap!$D:$K,MATCH($E54,Roadmap!$D:$D,0)+COUNTIF($E54:E54,"u")+COUNTIF($E54:E54,"t")+COUNTIF($E54:E54,"¶")+COUNTIF($E54:E54,"²")+COUNTIF($E54:E54,"µ")+COUNTIF($E54:E54,1),ColLivraison)=F$6,
  VLOOKUP($E54,INDIRECT("tri!"&amp; CHAR(64+ C0Col) &amp;":"&amp; CHAR(65+C0Col)),2,FALSE)&gt;COUNTIF($E54:E54,"u")+COUNTIF($E54:E54,"t")+COUNTIF($E54:E54,"¶")+COUNTIF($E54:E54,"²")+COUNTIF($E54:E54,"µ")+COUNTIF($E54:E54,1)),
HYPERLINK("#Roadmap!C"&amp; MATCH($E54,Roadmap!$D:$D,0)+COUNTIF($E54:E54,"u")+COUNTIF($E54:E54,"t"),
     INDEX(Roadmap!$D:$K,MATCH($E54,Roadmap!$D:$D,0)+COUNTIF($E54:E54,"u")+COUNTIF($E54:E54,"t")+COUNTIF($E54:E54,"¶")+COUNTIF($E54:E54,"²")+COUNTIF($E54:E54,"µ")+COUNTIF($E54:E54,1),ColTypeEcheance)),
  IF(LEN(E54)=1,
  IF(LEN(INDEX(Roadmap!$D:$K,MATCH($E54,Roadmap!$D:$D,0)-1+COUNTIF($E54:E54,"u")+COUNTIF($E54:E54,"t")+COUNTIF($E54:E54,"¶")+COUNTIF($E54:E54,"²")+COUNTIF($E54:E54,"µ")+COUNTIF($E54:E54,1),ColDescriptionCourte))&gt;1,
HYPERLINK("#Roadmap!C"&amp; MATCH($E54,Roadmap!$D:$D,0)+COUNTIF($E54:E54,"u")+COUNTIF($E54:E54,"t")+COUNTIF($E54:E54,"¶")+COUNTIF($E54:E54,"²")+COUNTIF($E54:E54,"µ")+COUNTIF($E54:E54,1)-1,INDEX(Roadmap!$D:$K,MATCH($E54,Roadmap!$D:$D,0)-1+COUNTIF($E54:E54,"u")+COUNTIF($E54:E54,"t")+COUNTIF($E54:E54,"¶")+COUNTIF($E54:E54,"²")+COUNTIF($E54:E54,"µ")+COUNTIF($E54:E54,1),ColDescriptionCourte)),""),
  "")),"")</f>
        <v/>
      </c>
      <c r="G54" s="40" t="str">
        <f ca="1">IFERROR(IF(AND(
  INDEX(Roadmap!$D:$K,MATCH($E54,Roadmap!$D:$D,0)+COUNTIF($E54:F54,"u")+COUNTIF($E54:F54,"t")+COUNTIF($E54:F54,"¶")+COUNTIF($E54:F54,"²")+COUNTIF($E54:F54,"µ")+COUNTIF($E54:F54,1),ColLivraison)=G$6,
  VLOOKUP($E54,INDIRECT("tri!"&amp; CHAR(64+ C0Col) &amp;":"&amp; CHAR(65+C0Col)),2,FALSE)&gt;COUNTIF($E54:F54,"u")+COUNTIF($E54:F54,"t")+COUNTIF($E54:F54,"¶")+COUNTIF($E54:F54,"²")+COUNTIF($E54:F54,"µ")+COUNTIF($E54:F54,1)),
HYPERLINK("#Roadmap!C"&amp; MATCH($E54,Roadmap!$D:$D,0)+COUNTIF($E54:F54,"u")+COUNTIF($E54:F54,"t"),
     INDEX(Roadmap!$D:$K,MATCH($E54,Roadmap!$D:$D,0)+COUNTIF($E54:F54,"u")+COUNTIF($E54:F54,"t")+COUNTIF($E54:F54,"¶")+COUNTIF($E54:F54,"²")+COUNTIF($E54:F54,"µ")+COUNTIF($E54:F54,1),ColTypeEcheance)),
  IF(LEN(F54)=1,
  IF(LEN(INDEX(Roadmap!$D:$K,MATCH($E54,Roadmap!$D:$D,0)-1+COUNTIF($E54:F54,"u")+COUNTIF($E54:F54,"t")+COUNTIF($E54:F54,"¶")+COUNTIF($E54:F54,"²")+COUNTIF($E54:F54,"µ")+COUNTIF($E54:F54,1),ColDescriptionCourte))&gt;1,
HYPERLINK("#Roadmap!C"&amp; MATCH($E54,Roadmap!$D:$D,0)+COUNTIF($E54:F54,"u")+COUNTIF($E54:F54,"t")+COUNTIF($E54:F54,"¶")+COUNTIF($E54:F54,"²")+COUNTIF($E54:F54,"µ")+COUNTIF($E54:F54,1)-1,INDEX(Roadmap!$D:$K,MATCH($E54,Roadmap!$D:$D,0)-1+COUNTIF($E54:F54,"u")+COUNTIF($E54:F54,"t")+COUNTIF($E54:F54,"¶")+COUNTIF($E54:F54,"²")+COUNTIF($E54:F54,"µ")+COUNTIF($E54:F54,1),ColDescriptionCourte)),""),
  "")),"")</f>
        <v/>
      </c>
      <c r="H54" s="40" t="str">
        <f ca="1">IFERROR(IF(AND(
  INDEX(Roadmap!$D:$K,MATCH($E54,Roadmap!$D:$D,0)+COUNTIF($E54:G54,"u")+COUNTIF($E54:G54,"t")+COUNTIF($E54:G54,"¶")+COUNTIF($E54:G54,"²")+COUNTIF($E54:G54,"µ")+COUNTIF($E54:G54,1),ColLivraison)=H$6,
  VLOOKUP($E54,INDIRECT("tri!"&amp; CHAR(64+ C0Col) &amp;":"&amp; CHAR(65+C0Col)),2,FALSE)&gt;COUNTIF($E54:G54,"u")+COUNTIF($E54:G54,"t")+COUNTIF($E54:G54,"¶")+COUNTIF($E54:G54,"²")+COUNTIF($E54:G54,"µ")+COUNTIF($E54:G54,1)),
HYPERLINK("#Roadmap!C"&amp; MATCH($E54,Roadmap!$D:$D,0)+COUNTIF($E54:G54,"u")+COUNTIF($E54:G54,"t"),
     INDEX(Roadmap!$D:$K,MATCH($E54,Roadmap!$D:$D,0)+COUNTIF($E54:G54,"u")+COUNTIF($E54:G54,"t")+COUNTIF($E54:G54,"¶")+COUNTIF($E54:G54,"²")+COUNTIF($E54:G54,"µ")+COUNTIF($E54:G54,1),ColTypeEcheance)),
  IF(LEN(G54)=1,
  IF(LEN(INDEX(Roadmap!$D:$K,MATCH($E54,Roadmap!$D:$D,0)-1+COUNTIF($E54:G54,"u")+COUNTIF($E54:G54,"t")+COUNTIF($E54:G54,"¶")+COUNTIF($E54:G54,"²")+COUNTIF($E54:G54,"µ")+COUNTIF($E54:G54,1),ColDescriptionCourte))&gt;1,
HYPERLINK("#Roadmap!C"&amp; MATCH($E54,Roadmap!$D:$D,0)+COUNTIF($E54:G54,"u")+COUNTIF($E54:G54,"t")+COUNTIF($E54:G54,"¶")+COUNTIF($E54:G54,"²")+COUNTIF($E54:G54,"µ")+COUNTIF($E54:G54,1)-1,INDEX(Roadmap!$D:$K,MATCH($E54,Roadmap!$D:$D,0)-1+COUNTIF($E54:G54,"u")+COUNTIF($E54:G54,"t")+COUNTIF($E54:G54,"¶")+COUNTIF($E54:G54,"²")+COUNTIF($E54:G54,"µ")+COUNTIF($E54:G54,1),ColDescriptionCourte)),""),
  "")),"")</f>
        <v/>
      </c>
      <c r="I54" s="40" t="str">
        <f ca="1">IFERROR(IF(AND(
  INDEX(Roadmap!$D:$K,MATCH($E54,Roadmap!$D:$D,0)+COUNTIF($E54:H54,"u")+COUNTIF($E54:H54,"t")+COUNTIF($E54:H54,"¶")+COUNTIF($E54:H54,"²")+COUNTIF($E54:H54,"µ")+COUNTIF($E54:H54,1),ColLivraison)=I$6,
  VLOOKUP($E54,INDIRECT("tri!"&amp; CHAR(64+ C0Col) &amp;":"&amp; CHAR(65+C0Col)),2,FALSE)&gt;COUNTIF($E54:H54,"u")+COUNTIF($E54:H54,"t")+COUNTIF($E54:H54,"¶")+COUNTIF($E54:H54,"²")+COUNTIF($E54:H54,"µ")+COUNTIF($E54:H54,1)),
HYPERLINK("#Roadmap!C"&amp; MATCH($E54,Roadmap!$D:$D,0)+COUNTIF($E54:H54,"u")+COUNTIF($E54:H54,"t"),
     INDEX(Roadmap!$D:$K,MATCH($E54,Roadmap!$D:$D,0)+COUNTIF($E54:H54,"u")+COUNTIF($E54:H54,"t")+COUNTIF($E54:H54,"¶")+COUNTIF($E54:H54,"²")+COUNTIF($E54:H54,"µ")+COUNTIF($E54:H54,1),ColTypeEcheance)),
  IF(LEN(H54)=1,
  IF(LEN(INDEX(Roadmap!$D:$K,MATCH($E54,Roadmap!$D:$D,0)-1+COUNTIF($E54:H54,"u")+COUNTIF($E54:H54,"t")+COUNTIF($E54:H54,"¶")+COUNTIF($E54:H54,"²")+COUNTIF($E54:H54,"µ")+COUNTIF($E54:H54,1),ColDescriptionCourte))&gt;1,
HYPERLINK("#Roadmap!C"&amp; MATCH($E54,Roadmap!$D:$D,0)+COUNTIF($E54:H54,"u")+COUNTIF($E54:H54,"t")+COUNTIF($E54:H54,"¶")+COUNTIF($E54:H54,"²")+COUNTIF($E54:H54,"µ")+COUNTIF($E54:H54,1)-1,INDEX(Roadmap!$D:$K,MATCH($E54,Roadmap!$D:$D,0)-1+COUNTIF($E54:H54,"u")+COUNTIF($E54:H54,"t")+COUNTIF($E54:H54,"¶")+COUNTIF($E54:H54,"²")+COUNTIF($E54:H54,"µ")+COUNTIF($E54:H54,1),ColDescriptionCourte)),""),
  "")),"")</f>
        <v/>
      </c>
      <c r="J54" s="40" t="str">
        <f ca="1">IFERROR(IF(AND(
  INDEX(Roadmap!$D:$K,MATCH($E54,Roadmap!$D:$D,0)+COUNTIF($E54:I54,"u")+COUNTIF($E54:I54,"t")+COUNTIF($E54:I54,"¶")+COUNTIF($E54:I54,"²")+COUNTIF($E54:I54,"µ")+COUNTIF($E54:I54,1),ColLivraison)=J$6,
  VLOOKUP($E54,INDIRECT("tri!"&amp; CHAR(64+ C0Col) &amp;":"&amp; CHAR(65+C0Col)),2,FALSE)&gt;COUNTIF($E54:I54,"u")+COUNTIF($E54:I54,"t")+COUNTIF($E54:I54,"¶")+COUNTIF($E54:I54,"²")+COUNTIF($E54:I54,"µ")+COUNTIF($E54:I54,1)),
HYPERLINK("#Roadmap!C"&amp; MATCH($E54,Roadmap!$D:$D,0)+COUNTIF($E54:I54,"u")+COUNTIF($E54:I54,"t"),
     INDEX(Roadmap!$D:$K,MATCH($E54,Roadmap!$D:$D,0)+COUNTIF($E54:I54,"u")+COUNTIF($E54:I54,"t")+COUNTIF($E54:I54,"¶")+COUNTIF($E54:I54,"²")+COUNTIF($E54:I54,"µ")+COUNTIF($E54:I54,1),ColTypeEcheance)),
  IF(LEN(I54)=1,
  IF(LEN(INDEX(Roadmap!$D:$K,MATCH($E54,Roadmap!$D:$D,0)-1+COUNTIF($E54:I54,"u")+COUNTIF($E54:I54,"t")+COUNTIF($E54:I54,"¶")+COUNTIF($E54:I54,"²")+COUNTIF($E54:I54,"µ")+COUNTIF($E54:I54,1),ColDescriptionCourte))&gt;1,
HYPERLINK("#Roadmap!C"&amp; MATCH($E54,Roadmap!$D:$D,0)+COUNTIF($E54:I54,"u")+COUNTIF($E54:I54,"t")+COUNTIF($E54:I54,"¶")+COUNTIF($E54:I54,"²")+COUNTIF($E54:I54,"µ")+COUNTIF($E54:I54,1)-1,INDEX(Roadmap!$D:$K,MATCH($E54,Roadmap!$D:$D,0)-1+COUNTIF($E54:I54,"u")+COUNTIF($E54:I54,"t")+COUNTIF($E54:I54,"¶")+COUNTIF($E54:I54,"²")+COUNTIF($E54:I54,"µ")+COUNTIF($E54:I54,1),ColDescriptionCourte)),""),
  "")),"")</f>
        <v/>
      </c>
      <c r="K54" s="40" t="str">
        <f ca="1">IFERROR(IF(AND(
  INDEX(Roadmap!$D:$K,MATCH($E54,Roadmap!$D:$D,0)+COUNTIF($E54:J54,"u")+COUNTIF($E54:J54,"t")+COUNTIF($E54:J54,"¶")+COUNTIF($E54:J54,"²")+COUNTIF($E54:J54,"µ")+COUNTIF($E54:J54,1),ColLivraison)=K$6,
  VLOOKUP($E54,INDIRECT("tri!"&amp; CHAR(64+ C0Col) &amp;":"&amp; CHAR(65+C0Col)),2,FALSE)&gt;COUNTIF($E54:J54,"u")+COUNTIF($E54:J54,"t")+COUNTIF($E54:J54,"¶")+COUNTIF($E54:J54,"²")+COUNTIF($E54:J54,"µ")+COUNTIF($E54:J54,1)),
HYPERLINK("#Roadmap!C"&amp; MATCH($E54,Roadmap!$D:$D,0)+COUNTIF($E54:J54,"u")+COUNTIF($E54:J54,"t"),
     INDEX(Roadmap!$D:$K,MATCH($E54,Roadmap!$D:$D,0)+COUNTIF($E54:J54,"u")+COUNTIF($E54:J54,"t")+COUNTIF($E54:J54,"¶")+COUNTIF($E54:J54,"²")+COUNTIF($E54:J54,"µ")+COUNTIF($E54:J54,1),ColTypeEcheance)),
  IF(LEN(J54)=1,
  IF(LEN(INDEX(Roadmap!$D:$K,MATCH($E54,Roadmap!$D:$D,0)-1+COUNTIF($E54:J54,"u")+COUNTIF($E54:J54,"t")+COUNTIF($E54:J54,"¶")+COUNTIF($E54:J54,"²")+COUNTIF($E54:J54,"µ")+COUNTIF($E54:J54,1),ColDescriptionCourte))&gt;1,
HYPERLINK("#Roadmap!C"&amp; MATCH($E54,Roadmap!$D:$D,0)+COUNTIF($E54:J54,"u")+COUNTIF($E54:J54,"t")+COUNTIF($E54:J54,"¶")+COUNTIF($E54:J54,"²")+COUNTIF($E54:J54,"µ")+COUNTIF($E54:J54,1)-1,INDEX(Roadmap!$D:$K,MATCH($E54,Roadmap!$D:$D,0)-1+COUNTIF($E54:J54,"u")+COUNTIF($E54:J54,"t")+COUNTIF($E54:J54,"¶")+COUNTIF($E54:J54,"²")+COUNTIF($E54:J54,"µ")+COUNTIF($E54:J54,1),ColDescriptionCourte)),""),
  "")),"")</f>
        <v/>
      </c>
      <c r="L54" s="39" t="str">
        <f ca="1">IFERROR(IF(AND(
  INDEX(Roadmap!$D:$K,MATCH($E54,Roadmap!$D:$D,0)+COUNTIF($E54:K54,"u")+COUNTIF($E54:K54,"t")+COUNTIF($E54:K54,"¶")+COUNTIF($E54:K54,"²")+COUNTIF($E54:K54,"µ")+COUNTIF($E54:K54,1),ColLivraison)=L$6,
  VLOOKUP($E54,INDIRECT("tri!"&amp; CHAR(64+ C0Col) &amp;":"&amp; CHAR(65+C0Col)),2,FALSE)&gt;COUNTIF($E54:K54,"u")+COUNTIF($E54:K54,"t")+COUNTIF($E54:K54,"¶")+COUNTIF($E54:K54,"²")+COUNTIF($E54:K54,"µ")+COUNTIF($E54:K54,1)),
HYPERLINK("#Roadmap!C"&amp; MATCH($E54,Roadmap!$D:$D,0)+COUNTIF($E54:K54,"u")+COUNTIF($E54:K54,"t"),
     INDEX(Roadmap!$D:$K,MATCH($E54,Roadmap!$D:$D,0)+COUNTIF($E54:K54,"u")+COUNTIF($E54:K54,"t")+COUNTIF($E54:K54,"¶")+COUNTIF($E54:K54,"²")+COUNTIF($E54:K54,"µ")+COUNTIF($E54:K54,1),ColTypeEcheance)),
  IF(LEN(K54)=1,
  IF(LEN(INDEX(Roadmap!$D:$K,MATCH($E54,Roadmap!$D:$D,0)-1+COUNTIF($E54:K54,"u")+COUNTIF($E54:K54,"t")+COUNTIF($E54:K54,"¶")+COUNTIF($E54:K54,"²")+COUNTIF($E54:K54,"µ")+COUNTIF($E54:K54,1),ColDescriptionCourte))&gt;1,
HYPERLINK("#Roadmap!C"&amp; MATCH($E54,Roadmap!$D:$D,0)+COUNTIF($E54:K54,"u")+COUNTIF($E54:K54,"t")+COUNTIF($E54:K54,"¶")+COUNTIF($E54:K54,"²")+COUNTIF($E54:K54,"µ")+COUNTIF($E54:K54,1)-1,INDEX(Roadmap!$D:$K,MATCH($E54,Roadmap!$D:$D,0)-1+COUNTIF($E54:K54,"u")+COUNTIF($E54:K54,"t")+COUNTIF($E54:K54,"¶")+COUNTIF($E54:K54,"²")+COUNTIF($E54:K54,"µ")+COUNTIF($E54:K54,1),ColDescriptionCourte)),""),
  "")),"")</f>
        <v/>
      </c>
      <c r="M54" s="40" t="str">
        <f ca="1">IFERROR(IF(AND(
  INDEX(Roadmap!$D:$K,MATCH($E54,Roadmap!$D:$D,0)+COUNTIF($E54:L54,"u")+COUNTIF($E54:L54,"t")+COUNTIF($E54:L54,"¶")+COUNTIF($E54:L54,"²")+COUNTIF($E54:L54,"µ")+COUNTIF($E54:L54,1),ColLivraison)=M$6,
  VLOOKUP($E54,INDIRECT("tri!"&amp; CHAR(64+ C0Col) &amp;":"&amp; CHAR(65+C0Col)),2,FALSE)&gt;COUNTIF($E54:L54,"u")+COUNTIF($E54:L54,"t")+COUNTIF($E54:L54,"¶")+COUNTIF($E54:L54,"²")+COUNTIF($E54:L54,"µ")+COUNTIF($E54:L54,1)),
HYPERLINK("#Roadmap!C"&amp; MATCH($E54,Roadmap!$D:$D,0)+COUNTIF($E54:L54,"u")+COUNTIF($E54:L54,"t"),
     INDEX(Roadmap!$D:$K,MATCH($E54,Roadmap!$D:$D,0)+COUNTIF($E54:L54,"u")+COUNTIF($E54:L54,"t")+COUNTIF($E54:L54,"¶")+COUNTIF($E54:L54,"²")+COUNTIF($E54:L54,"µ")+COUNTIF($E54:L54,1),ColTypeEcheance)),
  IF(LEN(L54)=1,
  IF(LEN(INDEX(Roadmap!$D:$K,MATCH($E54,Roadmap!$D:$D,0)-1+COUNTIF($E54:L54,"u")+COUNTIF($E54:L54,"t")+COUNTIF($E54:L54,"¶")+COUNTIF($E54:L54,"²")+COUNTIF($E54:L54,"µ")+COUNTIF($E54:L54,1),ColDescriptionCourte))&gt;1,
HYPERLINK("#Roadmap!C"&amp; MATCH($E54,Roadmap!$D:$D,0)+COUNTIF($E54:L54,"u")+COUNTIF($E54:L54,"t")+COUNTIF($E54:L54,"¶")+COUNTIF($E54:L54,"²")+COUNTIF($E54:L54,"µ")+COUNTIF($E54:L54,1)-1,INDEX(Roadmap!$D:$K,MATCH($E54,Roadmap!$D:$D,0)-1+COUNTIF($E54:L54,"u")+COUNTIF($E54:L54,"t")+COUNTIF($E54:L54,"¶")+COUNTIF($E54:L54,"²")+COUNTIF($E54:L54,"µ")+COUNTIF($E54:L54,1),ColDescriptionCourte)),""),
  "")),"")</f>
        <v/>
      </c>
      <c r="N54" s="40" t="str">
        <f ca="1">IFERROR(IF(AND(
  INDEX(Roadmap!$D:$K,MATCH($E54,Roadmap!$D:$D,0)+COUNTIF($E54:M54,"u")+COUNTIF($E54:M54,"t")+COUNTIF($E54:M54,"¶")+COUNTIF($E54:M54,"²")+COUNTIF($E54:M54,"µ")+COUNTIF($E54:M54,1),ColLivraison)=N$6,
  VLOOKUP($E54,INDIRECT("tri!"&amp; CHAR(64+ C0Col) &amp;":"&amp; CHAR(65+C0Col)),2,FALSE)&gt;COUNTIF($E54:M54,"u")+COUNTIF($E54:M54,"t")+COUNTIF($E54:M54,"¶")+COUNTIF($E54:M54,"²")+COUNTIF($E54:M54,"µ")+COUNTIF($E54:M54,1)),
HYPERLINK("#Roadmap!C"&amp; MATCH($E54,Roadmap!$D:$D,0)+COUNTIF($E54:M54,"u")+COUNTIF($E54:M54,"t"),
     INDEX(Roadmap!$D:$K,MATCH($E54,Roadmap!$D:$D,0)+COUNTIF($E54:M54,"u")+COUNTIF($E54:M54,"t")+COUNTIF($E54:M54,"¶")+COUNTIF($E54:M54,"²")+COUNTIF($E54:M54,"µ")+COUNTIF($E54:M54,1),ColTypeEcheance)),
  IF(LEN(M54)=1,
  IF(LEN(INDEX(Roadmap!$D:$K,MATCH($E54,Roadmap!$D:$D,0)-1+COUNTIF($E54:M54,"u")+COUNTIF($E54:M54,"t")+COUNTIF($E54:M54,"¶")+COUNTIF($E54:M54,"²")+COUNTIF($E54:M54,"µ")+COUNTIF($E54:M54,1),ColDescriptionCourte))&gt;1,
HYPERLINK("#Roadmap!C"&amp; MATCH($E54,Roadmap!$D:$D,0)+COUNTIF($E54:M54,"u")+COUNTIF($E54:M54,"t")+COUNTIF($E54:M54,"¶")+COUNTIF($E54:M54,"²")+COUNTIF($E54:M54,"µ")+COUNTIF($E54:M54,1)-1,INDEX(Roadmap!$D:$K,MATCH($E54,Roadmap!$D:$D,0)-1+COUNTIF($E54:M54,"u")+COUNTIF($E54:M54,"t")+COUNTIF($E54:M54,"¶")+COUNTIF($E54:M54,"²")+COUNTIF($E54:M54,"µ")+COUNTIF($E54:M54,1),ColDescriptionCourte)),""),
  "")),"")</f>
        <v/>
      </c>
      <c r="O54" s="40" t="str">
        <f ca="1">IFERROR(IF(AND(
  INDEX(Roadmap!$D:$K,MATCH($E54,Roadmap!$D:$D,0)+COUNTIF($E54:N54,"u")+COUNTIF($E54:N54,"t")+COUNTIF($E54:N54,"¶")+COUNTIF($E54:N54,"²")+COUNTIF($E54:N54,"µ")+COUNTIF($E54:N54,1),ColLivraison)=O$6,
  VLOOKUP($E54,INDIRECT("tri!"&amp; CHAR(64+ C0Col) &amp;":"&amp; CHAR(65+C0Col)),2,FALSE)&gt;COUNTIF($E54:N54,"u")+COUNTIF($E54:N54,"t")+COUNTIF($E54:N54,"¶")+COUNTIF($E54:N54,"²")+COUNTIF($E54:N54,"µ")+COUNTIF($E54:N54,1)),
HYPERLINK("#Roadmap!C"&amp; MATCH($E54,Roadmap!$D:$D,0)+COUNTIF($E54:N54,"u")+COUNTIF($E54:N54,"t"),
     INDEX(Roadmap!$D:$K,MATCH($E54,Roadmap!$D:$D,0)+COUNTIF($E54:N54,"u")+COUNTIF($E54:N54,"t")+COUNTIF($E54:N54,"¶")+COUNTIF($E54:N54,"²")+COUNTIF($E54:N54,"µ")+COUNTIF($E54:N54,1),ColTypeEcheance)),
  IF(LEN(N54)=1,
  IF(LEN(INDEX(Roadmap!$D:$K,MATCH($E54,Roadmap!$D:$D,0)-1+COUNTIF($E54:N54,"u")+COUNTIF($E54:N54,"t")+COUNTIF($E54:N54,"¶")+COUNTIF($E54:N54,"²")+COUNTIF($E54:N54,"µ")+COUNTIF($E54:N54,1),ColDescriptionCourte))&gt;1,
HYPERLINK("#Roadmap!C"&amp; MATCH($E54,Roadmap!$D:$D,0)+COUNTIF($E54:N54,"u")+COUNTIF($E54:N54,"t")+COUNTIF($E54:N54,"¶")+COUNTIF($E54:N54,"²")+COUNTIF($E54:N54,"µ")+COUNTIF($E54:N54,1)-1,INDEX(Roadmap!$D:$K,MATCH($E54,Roadmap!$D:$D,0)-1+COUNTIF($E54:N54,"u")+COUNTIF($E54:N54,"t")+COUNTIF($E54:N54,"¶")+COUNTIF($E54:N54,"²")+COUNTIF($E54:N54,"µ")+COUNTIF($E54:N54,1),ColDescriptionCourte)),""),
  "")),"")</f>
        <v/>
      </c>
      <c r="P54" s="40" t="str">
        <f ca="1">IFERROR(IF(AND(
  INDEX(Roadmap!$D:$K,MATCH($E54,Roadmap!$D:$D,0)+COUNTIF($E54:O54,"u")+COUNTIF($E54:O54,"t")+COUNTIF($E54:O54,"¶")+COUNTIF($E54:O54,"²")+COUNTIF($E54:O54,"µ")+COUNTIF($E54:O54,1),ColLivraison)=P$6,
  VLOOKUP($E54,INDIRECT("tri!"&amp; CHAR(64+ C0Col) &amp;":"&amp; CHAR(65+C0Col)),2,FALSE)&gt;COUNTIF($E54:O54,"u")+COUNTIF($E54:O54,"t")+COUNTIF($E54:O54,"¶")+COUNTIF($E54:O54,"²")+COUNTIF($E54:O54,"µ")+COUNTIF($E54:O54,1)),
HYPERLINK("#Roadmap!C"&amp; MATCH($E54,Roadmap!$D:$D,0)+COUNTIF($E54:O54,"u")+COUNTIF($E54:O54,"t"),
     INDEX(Roadmap!$D:$K,MATCH($E54,Roadmap!$D:$D,0)+COUNTIF($E54:O54,"u")+COUNTIF($E54:O54,"t")+COUNTIF($E54:O54,"¶")+COUNTIF($E54:O54,"²")+COUNTIF($E54:O54,"µ")+COUNTIF($E54:O54,1),ColTypeEcheance)),
  IF(LEN(O54)=1,
  IF(LEN(INDEX(Roadmap!$D:$K,MATCH($E54,Roadmap!$D:$D,0)-1+COUNTIF($E54:O54,"u")+COUNTIF($E54:O54,"t")+COUNTIF($E54:O54,"¶")+COUNTIF($E54:O54,"²")+COUNTIF($E54:O54,"µ")+COUNTIF($E54:O54,1),ColDescriptionCourte))&gt;1,
HYPERLINK("#Roadmap!C"&amp; MATCH($E54,Roadmap!$D:$D,0)+COUNTIF($E54:O54,"u")+COUNTIF($E54:O54,"t")+COUNTIF($E54:O54,"¶")+COUNTIF($E54:O54,"²")+COUNTIF($E54:O54,"µ")+COUNTIF($E54:O54,1)-1,INDEX(Roadmap!$D:$K,MATCH($E54,Roadmap!$D:$D,0)-1+COUNTIF($E54:O54,"u")+COUNTIF($E54:O54,"t")+COUNTIF($E54:O54,"¶")+COUNTIF($E54:O54,"²")+COUNTIF($E54:O54,"µ")+COUNTIF($E54:O54,1),ColDescriptionCourte)),""),
  "")),"")</f>
        <v/>
      </c>
      <c r="Q54" s="40" t="str">
        <f ca="1">IFERROR(IF(AND(
  INDEX(Roadmap!$D:$K,MATCH($E54,Roadmap!$D:$D,0)+COUNTIF($E54:P54,"u")+COUNTIF($E54:P54,"t")+COUNTIF($E54:P54,"¶")+COUNTIF($E54:P54,"²")+COUNTIF($E54:P54,"µ")+COUNTIF($E54:P54,1),ColLivraison)=Q$6,
  VLOOKUP($E54,INDIRECT("tri!"&amp; CHAR(64+ C0Col) &amp;":"&amp; CHAR(65+C0Col)),2,FALSE)&gt;COUNTIF($E54:P54,"u")+COUNTIF($E54:P54,"t")+COUNTIF($E54:P54,"¶")+COUNTIF($E54:P54,"²")+COUNTIF($E54:P54,"µ")+COUNTIF($E54:P54,1)),
HYPERLINK("#Roadmap!C"&amp; MATCH($E54,Roadmap!$D:$D,0)+COUNTIF($E54:P54,"u")+COUNTIF($E54:P54,"t"),
     INDEX(Roadmap!$D:$K,MATCH($E54,Roadmap!$D:$D,0)+COUNTIF($E54:P54,"u")+COUNTIF($E54:P54,"t")+COUNTIF($E54:P54,"¶")+COUNTIF($E54:P54,"²")+COUNTIF($E54:P54,"µ")+COUNTIF($E54:P54,1),ColTypeEcheance)),
  IF(LEN(P54)=1,
  IF(LEN(INDEX(Roadmap!$D:$K,MATCH($E54,Roadmap!$D:$D,0)-1+COUNTIF($E54:P54,"u")+COUNTIF($E54:P54,"t")+COUNTIF($E54:P54,"¶")+COUNTIF($E54:P54,"²")+COUNTIF($E54:P54,"µ")+COUNTIF($E54:P54,1),ColDescriptionCourte))&gt;1,
HYPERLINK("#Roadmap!C"&amp; MATCH($E54,Roadmap!$D:$D,0)+COUNTIF($E54:P54,"u")+COUNTIF($E54:P54,"t")+COUNTIF($E54:P54,"¶")+COUNTIF($E54:P54,"²")+COUNTIF($E54:P54,"µ")+COUNTIF($E54:P54,1)-1,INDEX(Roadmap!$D:$K,MATCH($E54,Roadmap!$D:$D,0)-1+COUNTIF($E54:P54,"u")+COUNTIF($E54:P54,"t")+COUNTIF($E54:P54,"¶")+COUNTIF($E54:P54,"²")+COUNTIF($E54:P54,"µ")+COUNTIF($E54:P54,1),ColDescriptionCourte)),""),
  "")),"")</f>
        <v/>
      </c>
      <c r="R54" s="40" t="str">
        <f ca="1">IFERROR(IF(AND(
  INDEX(Roadmap!$D:$K,MATCH($E54,Roadmap!$D:$D,0)+COUNTIF($E54:Q54,"u")+COUNTIF($E54:Q54,"t")+COUNTIF($E54:Q54,"¶")+COUNTIF($E54:Q54,"²")+COUNTIF($E54:Q54,"µ")+COUNTIF($E54:Q54,1),ColLivraison)=R$6,
  VLOOKUP($E54,INDIRECT("tri!"&amp; CHAR(64+ C0Col) &amp;":"&amp; CHAR(65+C0Col)),2,FALSE)&gt;COUNTIF($E54:Q54,"u")+COUNTIF($E54:Q54,"t")+COUNTIF($E54:Q54,"¶")+COUNTIF($E54:Q54,"²")+COUNTIF($E54:Q54,"µ")+COUNTIF($E54:Q54,1)),
HYPERLINK("#Roadmap!C"&amp; MATCH($E54,Roadmap!$D:$D,0)+COUNTIF($E54:Q54,"u")+COUNTIF($E54:Q54,"t"),
     INDEX(Roadmap!$D:$K,MATCH($E54,Roadmap!$D:$D,0)+COUNTIF($E54:Q54,"u")+COUNTIF($E54:Q54,"t")+COUNTIF($E54:Q54,"¶")+COUNTIF($E54:Q54,"²")+COUNTIF($E54:Q54,"µ")+COUNTIF($E54:Q54,1),ColTypeEcheance)),
  IF(LEN(Q54)=1,
  IF(LEN(INDEX(Roadmap!$D:$K,MATCH($E54,Roadmap!$D:$D,0)-1+COUNTIF($E54:Q54,"u")+COUNTIF($E54:Q54,"t")+COUNTIF($E54:Q54,"¶")+COUNTIF($E54:Q54,"²")+COUNTIF($E54:Q54,"µ")+COUNTIF($E54:Q54,1),ColDescriptionCourte))&gt;1,
HYPERLINK("#Roadmap!C"&amp; MATCH($E54,Roadmap!$D:$D,0)+COUNTIF($E54:Q54,"u")+COUNTIF($E54:Q54,"t")+COUNTIF($E54:Q54,"¶")+COUNTIF($E54:Q54,"²")+COUNTIF($E54:Q54,"µ")+COUNTIF($E54:Q54,1)-1,INDEX(Roadmap!$D:$K,MATCH($E54,Roadmap!$D:$D,0)-1+COUNTIF($E54:Q54,"u")+COUNTIF($E54:Q54,"t")+COUNTIF($E54:Q54,"¶")+COUNTIF($E54:Q54,"²")+COUNTIF($E54:Q54,"µ")+COUNTIF($E54:Q54,1),ColDescriptionCourte)),""),
  "")),"")</f>
        <v/>
      </c>
      <c r="S54" s="40" t="str">
        <f ca="1">IFERROR(IF(AND(
  INDEX(Roadmap!$D:$K,MATCH($E54,Roadmap!$D:$D,0)+COUNTIF($E54:R54,"u")+COUNTIF($E54:R54,"t")+COUNTIF($E54:R54,"¶")+COUNTIF($E54:R54,"²")+COUNTIF($E54:R54,"µ")+COUNTIF($E54:R54,1),ColLivraison)=S$6,
  VLOOKUP($E54,INDIRECT("tri!"&amp; CHAR(64+ C0Col) &amp;":"&amp; CHAR(65+C0Col)),2,FALSE)&gt;COUNTIF($E54:R54,"u")+COUNTIF($E54:R54,"t")+COUNTIF($E54:R54,"¶")+COUNTIF($E54:R54,"²")+COUNTIF($E54:R54,"µ")+COUNTIF($E54:R54,1)),
HYPERLINK("#Roadmap!C"&amp; MATCH($E54,Roadmap!$D:$D,0)+COUNTIF($E54:R54,"u")+COUNTIF($E54:R54,"t"),
     INDEX(Roadmap!$D:$K,MATCH($E54,Roadmap!$D:$D,0)+COUNTIF($E54:R54,"u")+COUNTIF($E54:R54,"t")+COUNTIF($E54:R54,"¶")+COUNTIF($E54:R54,"²")+COUNTIF($E54:R54,"µ")+COUNTIF($E54:R54,1),ColTypeEcheance)),
  IF(LEN(R54)=1,
  IF(LEN(INDEX(Roadmap!$D:$K,MATCH($E54,Roadmap!$D:$D,0)-1+COUNTIF($E54:R54,"u")+COUNTIF($E54:R54,"t")+COUNTIF($E54:R54,"¶")+COUNTIF($E54:R54,"²")+COUNTIF($E54:R54,"µ")+COUNTIF($E54:R54,1),ColDescriptionCourte))&gt;1,
HYPERLINK("#Roadmap!C"&amp; MATCH($E54,Roadmap!$D:$D,0)+COUNTIF($E54:R54,"u")+COUNTIF($E54:R54,"t")+COUNTIF($E54:R54,"¶")+COUNTIF($E54:R54,"²")+COUNTIF($E54:R54,"µ")+COUNTIF($E54:R54,1)-1,INDEX(Roadmap!$D:$K,MATCH($E54,Roadmap!$D:$D,0)-1+COUNTIF($E54:R54,"u")+COUNTIF($E54:R54,"t")+COUNTIF($E54:R54,"¶")+COUNTIF($E54:R54,"²")+COUNTIF($E54:R54,"µ")+COUNTIF($E54:R54,1),ColDescriptionCourte)),""),
  "")),"")</f>
        <v/>
      </c>
      <c r="T54" s="40" t="str">
        <f ca="1">IFERROR(IF(AND(
  INDEX(Roadmap!$D:$K,MATCH($E54,Roadmap!$D:$D,0)+COUNTIF($E54:S54,"u")+COUNTIF($E54:S54,"t")+COUNTIF($E54:S54,"¶")+COUNTIF($E54:S54,"²")+COUNTIF($E54:S54,"µ")+COUNTIF($E54:S54,1),ColLivraison)=T$6,
  VLOOKUP($E54,INDIRECT("tri!"&amp; CHAR(64+ C0Col) &amp;":"&amp; CHAR(65+C0Col)),2,FALSE)&gt;COUNTIF($E54:S54,"u")+COUNTIF($E54:S54,"t")+COUNTIF($E54:S54,"¶")+COUNTIF($E54:S54,"²")+COUNTIF($E54:S54,"µ")+COUNTIF($E54:S54,1)),
HYPERLINK("#Roadmap!C"&amp; MATCH($E54,Roadmap!$D:$D,0)+COUNTIF($E54:S54,"u")+COUNTIF($E54:S54,"t"),
     INDEX(Roadmap!$D:$K,MATCH($E54,Roadmap!$D:$D,0)+COUNTIF($E54:S54,"u")+COUNTIF($E54:S54,"t")+COUNTIF($E54:S54,"¶")+COUNTIF($E54:S54,"²")+COUNTIF($E54:S54,"µ")+COUNTIF($E54:S54,1),ColTypeEcheance)),
  IF(LEN(S54)=1,
  IF(LEN(INDEX(Roadmap!$D:$K,MATCH($E54,Roadmap!$D:$D,0)-1+COUNTIF($E54:S54,"u")+COUNTIF($E54:S54,"t")+COUNTIF($E54:S54,"¶")+COUNTIF($E54:S54,"²")+COUNTIF($E54:S54,"µ")+COUNTIF($E54:S54,1),ColDescriptionCourte))&gt;1,
HYPERLINK("#Roadmap!C"&amp; MATCH($E54,Roadmap!$D:$D,0)+COUNTIF($E54:S54,"u")+COUNTIF($E54:S54,"t")+COUNTIF($E54:S54,"¶")+COUNTIF($E54:S54,"²")+COUNTIF($E54:S54,"µ")+COUNTIF($E54:S54,1)-1,INDEX(Roadmap!$D:$K,MATCH($E54,Roadmap!$D:$D,0)-1+COUNTIF($E54:S54,"u")+COUNTIF($E54:S54,"t")+COUNTIF($E54:S54,"¶")+COUNTIF($E54:S54,"²")+COUNTIF($E54:S54,"µ")+COUNTIF($E54:S54,1),ColDescriptionCourte)),""),
  "")),"")</f>
        <v/>
      </c>
      <c r="U54" s="40" t="str">
        <f ca="1">IFERROR(IF(AND(
  INDEX(Roadmap!$D:$K,MATCH($E54,Roadmap!$D:$D,0)+COUNTIF($E54:T54,"u")+COUNTIF($E54:T54,"t")+COUNTIF($E54:T54,"¶")+COUNTIF($E54:T54,"²")+COUNTIF($E54:T54,"µ")+COUNTIF($E54:T54,1),ColLivraison)=U$6,
  VLOOKUP($E54,INDIRECT("tri!"&amp; CHAR(64+ C0Col) &amp;":"&amp; CHAR(65+C0Col)),2,FALSE)&gt;COUNTIF($E54:T54,"u")+COUNTIF($E54:T54,"t")+COUNTIF($E54:T54,"¶")+COUNTIF($E54:T54,"²")+COUNTIF($E54:T54,"µ")+COUNTIF($E54:T54,1)),
HYPERLINK("#Roadmap!C"&amp; MATCH($E54,Roadmap!$D:$D,0)+COUNTIF($E54:T54,"u")+COUNTIF($E54:T54,"t"),
     INDEX(Roadmap!$D:$K,MATCH($E54,Roadmap!$D:$D,0)+COUNTIF($E54:T54,"u")+COUNTIF($E54:T54,"t")+COUNTIF($E54:T54,"¶")+COUNTIF($E54:T54,"²")+COUNTIF($E54:T54,"µ")+COUNTIF($E54:T54,1),ColTypeEcheance)),
  IF(LEN(T54)=1,
  IF(LEN(INDEX(Roadmap!$D:$K,MATCH($E54,Roadmap!$D:$D,0)-1+COUNTIF($E54:T54,"u")+COUNTIF($E54:T54,"t")+COUNTIF($E54:T54,"¶")+COUNTIF($E54:T54,"²")+COUNTIF($E54:T54,"µ")+COUNTIF($E54:T54,1),ColDescriptionCourte))&gt;1,
HYPERLINK("#Roadmap!C"&amp; MATCH($E54,Roadmap!$D:$D,0)+COUNTIF($E54:T54,"u")+COUNTIF($E54:T54,"t")+COUNTIF($E54:T54,"¶")+COUNTIF($E54:T54,"²")+COUNTIF($E54:T54,"µ")+COUNTIF($E54:T54,1)-1,INDEX(Roadmap!$D:$K,MATCH($E54,Roadmap!$D:$D,0)-1+COUNTIF($E54:T54,"u")+COUNTIF($E54:T54,"t")+COUNTIF($E54:T54,"¶")+COUNTIF($E54:T54,"²")+COUNTIF($E54:T54,"µ")+COUNTIF($E54:T54,1),ColDescriptionCourte)),""),
  "")),"")</f>
        <v/>
      </c>
      <c r="V54" s="40" t="str">
        <f ca="1">IFERROR(IF(AND(
  INDEX(Roadmap!$D:$K,MATCH($E54,Roadmap!$D:$D,0)+COUNTIF($E54:U54,"u")+COUNTIF($E54:U54,"t")+COUNTIF($E54:U54,"¶")+COUNTIF($E54:U54,"²")+COUNTIF($E54:U54,"µ")+COUNTIF($E54:U54,1),ColLivraison)=V$6,
  VLOOKUP($E54,INDIRECT("tri!"&amp; CHAR(64+ C0Col) &amp;":"&amp; CHAR(65+C0Col)),2,FALSE)&gt;COUNTIF($E54:U54,"u")+COUNTIF($E54:U54,"t")+COUNTIF($E54:U54,"¶")+COUNTIF($E54:U54,"²")+COUNTIF($E54:U54,"µ")+COUNTIF($E54:U54,1)),
HYPERLINK("#Roadmap!C"&amp; MATCH($E54,Roadmap!$D:$D,0)+COUNTIF($E54:U54,"u")+COUNTIF($E54:U54,"t"),
     INDEX(Roadmap!$D:$K,MATCH($E54,Roadmap!$D:$D,0)+COUNTIF($E54:U54,"u")+COUNTIF($E54:U54,"t")+COUNTIF($E54:U54,"¶")+COUNTIF($E54:U54,"²")+COUNTIF($E54:U54,"µ")+COUNTIF($E54:U54,1),ColTypeEcheance)),
  IF(LEN(U54)=1,
  IF(LEN(INDEX(Roadmap!$D:$K,MATCH($E54,Roadmap!$D:$D,0)-1+COUNTIF($E54:U54,"u")+COUNTIF($E54:U54,"t")+COUNTIF($E54:U54,"¶")+COUNTIF($E54:U54,"²")+COUNTIF($E54:U54,"µ")+COUNTIF($E54:U54,1),ColDescriptionCourte))&gt;1,
HYPERLINK("#Roadmap!C"&amp; MATCH($E54,Roadmap!$D:$D,0)+COUNTIF($E54:U54,"u")+COUNTIF($E54:U54,"t")+COUNTIF($E54:U54,"¶")+COUNTIF($E54:U54,"²")+COUNTIF($E54:U54,"µ")+COUNTIF($E54:U54,1)-1,INDEX(Roadmap!$D:$K,MATCH($E54,Roadmap!$D:$D,0)-1+COUNTIF($E54:U54,"u")+COUNTIF($E54:U54,"t")+COUNTIF($E54:U54,"¶")+COUNTIF($E54:U54,"²")+COUNTIF($E54:U54,"µ")+COUNTIF($E54:U54,1),ColDescriptionCourte)),""),
  "")),"")</f>
        <v/>
      </c>
      <c r="W54" s="40" t="str">
        <f ca="1">IFERROR(IF(AND(
  INDEX(Roadmap!$D:$K,MATCH($E54,Roadmap!$D:$D,0)+COUNTIF($E54:V54,"u")+COUNTIF($E54:V54,"t")+COUNTIF($E54:V54,"¶")+COUNTIF($E54:V54,"²")+COUNTIF($E54:V54,"µ")+COUNTIF($E54:V54,1),ColLivraison)=W$6,
  VLOOKUP($E54,INDIRECT("tri!"&amp; CHAR(64+ C0Col) &amp;":"&amp; CHAR(65+C0Col)),2,FALSE)&gt;COUNTIF($E54:V54,"u")+COUNTIF($E54:V54,"t")+COUNTIF($E54:V54,"¶")+COUNTIF($E54:V54,"²")+COUNTIF($E54:V54,"µ")+COUNTIF($E54:V54,1)),
HYPERLINK("#Roadmap!C"&amp; MATCH($E54,Roadmap!$D:$D,0)+COUNTIF($E54:V54,"u")+COUNTIF($E54:V54,"t"),
     INDEX(Roadmap!$D:$K,MATCH($E54,Roadmap!$D:$D,0)+COUNTIF($E54:V54,"u")+COUNTIF($E54:V54,"t")+COUNTIF($E54:V54,"¶")+COUNTIF($E54:V54,"²")+COUNTIF($E54:V54,"µ")+COUNTIF($E54:V54,1),ColTypeEcheance)),
  IF(LEN(V54)=1,
  IF(LEN(INDEX(Roadmap!$D:$K,MATCH($E54,Roadmap!$D:$D,0)-1+COUNTIF($E54:V54,"u")+COUNTIF($E54:V54,"t")+COUNTIF($E54:V54,"¶")+COUNTIF($E54:V54,"²")+COUNTIF($E54:V54,"µ")+COUNTIF($E54:V54,1),ColDescriptionCourte))&gt;1,
HYPERLINK("#Roadmap!C"&amp; MATCH($E54,Roadmap!$D:$D,0)+COUNTIF($E54:V54,"u")+COUNTIF($E54:V54,"t")+COUNTIF($E54:V54,"¶")+COUNTIF($E54:V54,"²")+COUNTIF($E54:V54,"µ")+COUNTIF($E54:V54,1)-1,INDEX(Roadmap!$D:$K,MATCH($E54,Roadmap!$D:$D,0)-1+COUNTIF($E54:V54,"u")+COUNTIF($E54:V54,"t")+COUNTIF($E54:V54,"¶")+COUNTIF($E54:V54,"²")+COUNTIF($E54:V54,"µ")+COUNTIF($E54:V54,1),ColDescriptionCourte)),""),
  "")),"")</f>
        <v/>
      </c>
      <c r="X54" s="40" t="str">
        <f ca="1">IFERROR(IF(AND(
  INDEX(Roadmap!$D:$K,MATCH($E54,Roadmap!$D:$D,0)+COUNTIF($E54:W54,"u")+COUNTIF($E54:W54,"t")+COUNTIF($E54:W54,"¶")+COUNTIF($E54:W54,"²")+COUNTIF($E54:W54,"µ")+COUNTIF($E54:W54,1),ColLivraison)=X$6,
  VLOOKUP($E54,INDIRECT("tri!"&amp; CHAR(64+ C0Col) &amp;":"&amp; CHAR(65+C0Col)),2,FALSE)&gt;COUNTIF($E54:W54,"u")+COUNTIF($E54:W54,"t")+COUNTIF($E54:W54,"¶")+COUNTIF($E54:W54,"²")+COUNTIF($E54:W54,"µ")+COUNTIF($E54:W54,1)),
HYPERLINK("#Roadmap!C"&amp; MATCH($E54,Roadmap!$D:$D,0)+COUNTIF($E54:W54,"u")+COUNTIF($E54:W54,"t"),
     INDEX(Roadmap!$D:$K,MATCH($E54,Roadmap!$D:$D,0)+COUNTIF($E54:W54,"u")+COUNTIF($E54:W54,"t")+COUNTIF($E54:W54,"¶")+COUNTIF($E54:W54,"²")+COUNTIF($E54:W54,"µ")+COUNTIF($E54:W54,1),ColTypeEcheance)),
  IF(LEN(W54)=1,
  IF(LEN(INDEX(Roadmap!$D:$K,MATCH($E54,Roadmap!$D:$D,0)-1+COUNTIF($E54:W54,"u")+COUNTIF($E54:W54,"t")+COUNTIF($E54:W54,"¶")+COUNTIF($E54:W54,"²")+COUNTIF($E54:W54,"µ")+COUNTIF($E54:W54,1),ColDescriptionCourte))&gt;1,
HYPERLINK("#Roadmap!C"&amp; MATCH($E54,Roadmap!$D:$D,0)+COUNTIF($E54:W54,"u")+COUNTIF($E54:W54,"t")+COUNTIF($E54:W54,"¶")+COUNTIF($E54:W54,"²")+COUNTIF($E54:W54,"µ")+COUNTIF($E54:W54,1)-1,INDEX(Roadmap!$D:$K,MATCH($E54,Roadmap!$D:$D,0)-1+COUNTIF($E54:W54,"u")+COUNTIF($E54:W54,"t")+COUNTIF($E54:W54,"¶")+COUNTIF($E54:W54,"²")+COUNTIF($E54:W54,"µ")+COUNTIF($E54:W54,1),ColDescriptionCourte)),""),
  "")),"")</f>
        <v/>
      </c>
      <c r="Y54" s="40" t="str">
        <f ca="1">IFERROR(IF(AND(
  INDEX(Roadmap!$D:$K,MATCH($E54,Roadmap!$D:$D,0)+COUNTIF($E54:X54,"u")+COUNTIF($E54:X54,"t")+COUNTIF($E54:X54,"¶")+COUNTIF($E54:X54,"²")+COUNTIF($E54:X54,"µ")+COUNTIF($E54:X54,1),ColLivraison)=Y$6,
  VLOOKUP($E54,INDIRECT("tri!"&amp; CHAR(64+ C0Col) &amp;":"&amp; CHAR(65+C0Col)),2,FALSE)&gt;COUNTIF($E54:X54,"u")+COUNTIF($E54:X54,"t")+COUNTIF($E54:X54,"¶")+COUNTIF($E54:X54,"²")+COUNTIF($E54:X54,"µ")+COUNTIF($E54:X54,1)),
HYPERLINK("#Roadmap!C"&amp; MATCH($E54,Roadmap!$D:$D,0)+COUNTIF($E54:X54,"u")+COUNTIF($E54:X54,"t"),
     INDEX(Roadmap!$D:$K,MATCH($E54,Roadmap!$D:$D,0)+COUNTIF($E54:X54,"u")+COUNTIF($E54:X54,"t")+COUNTIF($E54:X54,"¶")+COUNTIF($E54:X54,"²")+COUNTIF($E54:X54,"µ")+COUNTIF($E54:X54,1),ColTypeEcheance)),
  IF(LEN(X54)=1,
  IF(LEN(INDEX(Roadmap!$D:$K,MATCH($E54,Roadmap!$D:$D,0)-1+COUNTIF($E54:X54,"u")+COUNTIF($E54:X54,"t")+COUNTIF($E54:X54,"¶")+COUNTIF($E54:X54,"²")+COUNTIF($E54:X54,"µ")+COUNTIF($E54:X54,1),ColDescriptionCourte))&gt;1,
HYPERLINK("#Roadmap!C"&amp; MATCH($E54,Roadmap!$D:$D,0)+COUNTIF($E54:X54,"u")+COUNTIF($E54:X54,"t")+COUNTIF($E54:X54,"¶")+COUNTIF($E54:X54,"²")+COUNTIF($E54:X54,"µ")+COUNTIF($E54:X54,1)-1,INDEX(Roadmap!$D:$K,MATCH($E54,Roadmap!$D:$D,0)-1+COUNTIF($E54:X54,"u")+COUNTIF($E54:X54,"t")+COUNTIF($E54:X54,"¶")+COUNTIF($E54:X54,"²")+COUNTIF($E54:X54,"µ")+COUNTIF($E54:X54,1),ColDescriptionCourte)),""),
  "")),"")</f>
        <v/>
      </c>
      <c r="Z54" s="40" t="str">
        <f ca="1">IFERROR(IF(AND(
  INDEX(Roadmap!$D:$K,MATCH($E54,Roadmap!$D:$D,0)+COUNTIF($E54:Y54,"u")+COUNTIF($E54:Y54,"t")+COUNTIF($E54:Y54,"¶")+COUNTIF($E54:Y54,"²")+COUNTIF($E54:Y54,"µ")+COUNTIF($E54:Y54,1),ColLivraison)=Z$6,
  VLOOKUP($E54,INDIRECT("tri!"&amp; CHAR(64+ C0Col) &amp;":"&amp; CHAR(65+C0Col)),2,FALSE)&gt;COUNTIF($E54:Y54,"u")+COUNTIF($E54:Y54,"t")+COUNTIF($E54:Y54,"¶")+COUNTIF($E54:Y54,"²")+COUNTIF($E54:Y54,"µ")+COUNTIF($E54:Y54,1)),
HYPERLINK("#Roadmap!C"&amp; MATCH($E54,Roadmap!$D:$D,0)+COUNTIF($E54:Y54,"u")+COUNTIF($E54:Y54,"t"),
     INDEX(Roadmap!$D:$K,MATCH($E54,Roadmap!$D:$D,0)+COUNTIF($E54:Y54,"u")+COUNTIF($E54:Y54,"t")+COUNTIF($E54:Y54,"¶")+COUNTIF($E54:Y54,"²")+COUNTIF($E54:Y54,"µ")+COUNTIF($E54:Y54,1),ColTypeEcheance)),
  IF(LEN(Y54)=1,
  IF(LEN(INDEX(Roadmap!$D:$K,MATCH($E54,Roadmap!$D:$D,0)-1+COUNTIF($E54:Y54,"u")+COUNTIF($E54:Y54,"t")+COUNTIF($E54:Y54,"¶")+COUNTIF($E54:Y54,"²")+COUNTIF($E54:Y54,"µ")+COUNTIF($E54:Y54,1),ColDescriptionCourte))&gt;1,
HYPERLINK("#Roadmap!C"&amp; MATCH($E54,Roadmap!$D:$D,0)+COUNTIF($E54:Y54,"u")+COUNTIF($E54:Y54,"t")+COUNTIF($E54:Y54,"¶")+COUNTIF($E54:Y54,"²")+COUNTIF($E54:Y54,"µ")+COUNTIF($E54:Y54,1)-1,INDEX(Roadmap!$D:$K,MATCH($E54,Roadmap!$D:$D,0)-1+COUNTIF($E54:Y54,"u")+COUNTIF($E54:Y54,"t")+COUNTIF($E54:Y54,"¶")+COUNTIF($E54:Y54,"²")+COUNTIF($E54:Y54,"µ")+COUNTIF($E54:Y54,1),ColDescriptionCourte)),""),
  "")),"")</f>
        <v/>
      </c>
      <c r="AA54" s="40" t="str">
        <f ca="1">IFERROR(IF(AND(
  INDEX(Roadmap!$D:$K,MATCH($E54,Roadmap!$D:$D,0)+COUNTIF($E54:Z54,"u")+COUNTIF($E54:Z54,"t")+COUNTIF($E54:Z54,"¶")+COUNTIF($E54:Z54,"²")+COUNTIF($E54:Z54,"µ")+COUNTIF($E54:Z54,1),ColLivraison)=AA$6,
  VLOOKUP($E54,INDIRECT("tri!"&amp; CHAR(64+ C0Col) &amp;":"&amp; CHAR(65+C0Col)),2,FALSE)&gt;COUNTIF($E54:Z54,"u")+COUNTIF($E54:Z54,"t")+COUNTIF($E54:Z54,"¶")+COUNTIF($E54:Z54,"²")+COUNTIF($E54:Z54,"µ")+COUNTIF($E54:Z54,1)),
HYPERLINK("#Roadmap!C"&amp; MATCH($E54,Roadmap!$D:$D,0)+COUNTIF($E54:Z54,"u")+COUNTIF($E54:Z54,"t"),
     INDEX(Roadmap!$D:$K,MATCH($E54,Roadmap!$D:$D,0)+COUNTIF($E54:Z54,"u")+COUNTIF($E54:Z54,"t")+COUNTIF($E54:Z54,"¶")+COUNTIF($E54:Z54,"²")+COUNTIF($E54:Z54,"µ")+COUNTIF($E54:Z54,1),ColTypeEcheance)),
  IF(LEN(Z54)=1,
  IF(LEN(INDEX(Roadmap!$D:$K,MATCH($E54,Roadmap!$D:$D,0)-1+COUNTIF($E54:Z54,"u")+COUNTIF($E54:Z54,"t")+COUNTIF($E54:Z54,"¶")+COUNTIF($E54:Z54,"²")+COUNTIF($E54:Z54,"µ")+COUNTIF($E54:Z54,1),ColDescriptionCourte))&gt;1,
HYPERLINK("#Roadmap!C"&amp; MATCH($E54,Roadmap!$D:$D,0)+COUNTIF($E54:Z54,"u")+COUNTIF($E54:Z54,"t")+COUNTIF($E54:Z54,"¶")+COUNTIF($E54:Z54,"²")+COUNTIF($E54:Z54,"µ")+COUNTIF($E54:Z54,1)-1,INDEX(Roadmap!$D:$K,MATCH($E54,Roadmap!$D:$D,0)-1+COUNTIF($E54:Z54,"u")+COUNTIF($E54:Z54,"t")+COUNTIF($E54:Z54,"¶")+COUNTIF($E54:Z54,"²")+COUNTIF($E54:Z54,"µ")+COUNTIF($E54:Z54,1),ColDescriptionCourte)),""),
  "")),"")</f>
        <v/>
      </c>
      <c r="AB54" s="40" t="str">
        <f ca="1">IFERROR(IF(AND(
  INDEX(Roadmap!$D:$K,MATCH($E54,Roadmap!$D:$D,0)+COUNTIF($E54:AA54,"u")+COUNTIF($E54:AA54,"t")+COUNTIF($E54:AA54,"¶")+COUNTIF($E54:AA54,"²")+COUNTIF($E54:AA54,"µ")+COUNTIF($E54:AA54,1),ColLivraison)=AB$6,
  VLOOKUP($E54,INDIRECT("tri!"&amp; CHAR(64+ C0Col) &amp;":"&amp; CHAR(65+C0Col)),2,FALSE)&gt;COUNTIF($E54:AA54,"u")+COUNTIF($E54:AA54,"t")+COUNTIF($E54:AA54,"¶")+COUNTIF($E54:AA54,"²")+COUNTIF($E54:AA54,"µ")+COUNTIF($E54:AA54,1)),
HYPERLINK("#Roadmap!C"&amp; MATCH($E54,Roadmap!$D:$D,0)+COUNTIF($E54:AA54,"u")+COUNTIF($E54:AA54,"t"),
     INDEX(Roadmap!$D:$K,MATCH($E54,Roadmap!$D:$D,0)+COUNTIF($E54:AA54,"u")+COUNTIF($E54:AA54,"t")+COUNTIF($E54:AA54,"¶")+COUNTIF($E54:AA54,"²")+COUNTIF($E54:AA54,"µ")+COUNTIF($E54:AA54,1),ColTypeEcheance)),
  IF(LEN(AA54)=1,
  IF(LEN(INDEX(Roadmap!$D:$K,MATCH($E54,Roadmap!$D:$D,0)-1+COUNTIF($E54:AA54,"u")+COUNTIF($E54:AA54,"t")+COUNTIF($E54:AA54,"¶")+COUNTIF($E54:AA54,"²")+COUNTIF($E54:AA54,"µ")+COUNTIF($E54:AA54,1),ColDescriptionCourte))&gt;1,
HYPERLINK("#Roadmap!C"&amp; MATCH($E54,Roadmap!$D:$D,0)+COUNTIF($E54:AA54,"u")+COUNTIF($E54:AA54,"t")+COUNTIF($E54:AA54,"¶")+COUNTIF($E54:AA54,"²")+COUNTIF($E54:AA54,"µ")+COUNTIF($E54:AA54,1)-1,INDEX(Roadmap!$D:$K,MATCH($E54,Roadmap!$D:$D,0)-1+COUNTIF($E54:AA54,"u")+COUNTIF($E54:AA54,"t")+COUNTIF($E54:AA54,"¶")+COUNTIF($E54:AA54,"²")+COUNTIF($E54:AA54,"µ")+COUNTIF($E54:AA54,1),ColDescriptionCourte)),""),
  "")),"")</f>
        <v/>
      </c>
      <c r="AC54" s="40" t="str">
        <f ca="1">IFERROR(IF(AND(
  INDEX(Roadmap!$D:$K,MATCH($E54,Roadmap!$D:$D,0)+COUNTIF($E54:AB54,"u")+COUNTIF($E54:AB54,"t")+COUNTIF($E54:AB54,"¶")+COUNTIF($E54:AB54,"²")+COUNTIF($E54:AB54,"µ")+COUNTIF($E54:AB54,1),ColLivraison)=AC$6,
  VLOOKUP($E54,INDIRECT("tri!"&amp; CHAR(64+ C0Col) &amp;":"&amp; CHAR(65+C0Col)),2,FALSE)&gt;COUNTIF($E54:AB54,"u")+COUNTIF($E54:AB54,"t")+COUNTIF($E54:AB54,"¶")+COUNTIF($E54:AB54,"²")+COUNTIF($E54:AB54,"µ")+COUNTIF($E54:AB54,1)),
HYPERLINK("#Roadmap!C"&amp; MATCH($E54,Roadmap!$D:$D,0)+COUNTIF($E54:AB54,"u")+COUNTIF($E54:AB54,"t"),
     INDEX(Roadmap!$D:$K,MATCH($E54,Roadmap!$D:$D,0)+COUNTIF($E54:AB54,"u")+COUNTIF($E54:AB54,"t")+COUNTIF($E54:AB54,"¶")+COUNTIF($E54:AB54,"²")+COUNTIF($E54:AB54,"µ")+COUNTIF($E54:AB54,1),ColTypeEcheance)),
  IF(LEN(AB54)=1,
  IF(LEN(INDEX(Roadmap!$D:$K,MATCH($E54,Roadmap!$D:$D,0)-1+COUNTIF($E54:AB54,"u")+COUNTIF($E54:AB54,"t")+COUNTIF($E54:AB54,"¶")+COUNTIF($E54:AB54,"²")+COUNTIF($E54:AB54,"µ")+COUNTIF($E54:AB54,1),ColDescriptionCourte))&gt;1,
HYPERLINK("#Roadmap!C"&amp; MATCH($E54,Roadmap!$D:$D,0)+COUNTIF($E54:AB54,"u")+COUNTIF($E54:AB54,"t")+COUNTIF($E54:AB54,"¶")+COUNTIF($E54:AB54,"²")+COUNTIF($E54:AB54,"µ")+COUNTIF($E54:AB54,1)-1,INDEX(Roadmap!$D:$K,MATCH($E54,Roadmap!$D:$D,0)-1+COUNTIF($E54:AB54,"u")+COUNTIF($E54:AB54,"t")+COUNTIF($E54:AB54,"¶")+COUNTIF($E54:AB54,"²")+COUNTIF($E54:AB54,"µ")+COUNTIF($E54:AB54,1),ColDescriptionCourte)),""),
  "")),"")</f>
        <v/>
      </c>
      <c r="AD54" s="40" t="str">
        <f ca="1">IFERROR(IF(AND(
  INDEX(Roadmap!$D:$K,MATCH($E54,Roadmap!$D:$D,0)+COUNTIF($E54:AC54,"u")+COUNTIF($E54:AC54,"t")+COUNTIF($E54:AC54,"¶")+COUNTIF($E54:AC54,"²")+COUNTIF($E54:AC54,"µ")+COUNTIF($E54:AC54,1),ColLivraison)=AD$6,
  VLOOKUP($E54,INDIRECT("tri!"&amp; CHAR(64+ C0Col) &amp;":"&amp; CHAR(65+C0Col)),2,FALSE)&gt;COUNTIF($E54:AC54,"u")+COUNTIF($E54:AC54,"t")+COUNTIF($E54:AC54,"¶")+COUNTIF($E54:AC54,"²")+COUNTIF($E54:AC54,"µ")+COUNTIF($E54:AC54,1)),
HYPERLINK("#Roadmap!C"&amp; MATCH($E54,Roadmap!$D:$D,0)+COUNTIF($E54:AC54,"u")+COUNTIF($E54:AC54,"t"),
     INDEX(Roadmap!$D:$K,MATCH($E54,Roadmap!$D:$D,0)+COUNTIF($E54:AC54,"u")+COUNTIF($E54:AC54,"t")+COUNTIF($E54:AC54,"¶")+COUNTIF($E54:AC54,"²")+COUNTIF($E54:AC54,"µ")+COUNTIF($E54:AC54,1),ColTypeEcheance)),
  IF(LEN(AC54)=1,
  IF(LEN(INDEX(Roadmap!$D:$K,MATCH($E54,Roadmap!$D:$D,0)-1+COUNTIF($E54:AC54,"u")+COUNTIF($E54:AC54,"t")+COUNTIF($E54:AC54,"¶")+COUNTIF($E54:AC54,"²")+COUNTIF($E54:AC54,"µ")+COUNTIF($E54:AC54,1),ColDescriptionCourte))&gt;1,
HYPERLINK("#Roadmap!C"&amp; MATCH($E54,Roadmap!$D:$D,0)+COUNTIF($E54:AC54,"u")+COUNTIF($E54:AC54,"t")+COUNTIF($E54:AC54,"¶")+COUNTIF($E54:AC54,"²")+COUNTIF($E54:AC54,"µ")+COUNTIF($E54:AC54,1)-1,INDEX(Roadmap!$D:$K,MATCH($E54,Roadmap!$D:$D,0)-1+COUNTIF($E54:AC54,"u")+COUNTIF($E54:AC54,"t")+COUNTIF($E54:AC54,"¶")+COUNTIF($E54:AC54,"²")+COUNTIF($E54:AC54,"µ")+COUNTIF($E54:AC54,1),ColDescriptionCourte)),""),
  "")),"")</f>
        <v/>
      </c>
      <c r="AE54" s="40" t="str">
        <f ca="1">IFERROR(IF(AND(
  INDEX(Roadmap!$D:$K,MATCH($E54,Roadmap!$D:$D,0)+COUNTIF($E54:AD54,"u")+COUNTIF($E54:AD54,"t")+COUNTIF($E54:AD54,"¶")+COUNTIF($E54:AD54,"²")+COUNTIF($E54:AD54,"µ")+COUNTIF($E54:AD54,1),ColLivraison)=AE$6,
  VLOOKUP($E54,INDIRECT("tri!"&amp; CHAR(64+ C0Col) &amp;":"&amp; CHAR(65+C0Col)),2,FALSE)&gt;COUNTIF($E54:AD54,"u")+COUNTIF($E54:AD54,"t")+COUNTIF($E54:AD54,"¶")+COUNTIF($E54:AD54,"²")+COUNTIF($E54:AD54,"µ")+COUNTIF($E54:AD54,1)),
HYPERLINK("#Roadmap!C"&amp; MATCH($E54,Roadmap!$D:$D,0)+COUNTIF($E54:AD54,"u")+COUNTIF($E54:AD54,"t"),
     INDEX(Roadmap!$D:$K,MATCH($E54,Roadmap!$D:$D,0)+COUNTIF($E54:AD54,"u")+COUNTIF($E54:AD54,"t")+COUNTIF($E54:AD54,"¶")+COUNTIF($E54:AD54,"²")+COUNTIF($E54:AD54,"µ")+COUNTIF($E54:AD54,1),ColTypeEcheance)),
  IF(LEN(AD54)=1,
  IF(LEN(INDEX(Roadmap!$D:$K,MATCH($E54,Roadmap!$D:$D,0)-1+COUNTIF($E54:AD54,"u")+COUNTIF($E54:AD54,"t")+COUNTIF($E54:AD54,"¶")+COUNTIF($E54:AD54,"²")+COUNTIF($E54:AD54,"µ")+COUNTIF($E54:AD54,1),ColDescriptionCourte))&gt;1,
HYPERLINK("#Roadmap!C"&amp; MATCH($E54,Roadmap!$D:$D,0)+COUNTIF($E54:AD54,"u")+COUNTIF($E54:AD54,"t")+COUNTIF($E54:AD54,"¶")+COUNTIF($E54:AD54,"²")+COUNTIF($E54:AD54,"µ")+COUNTIF($E54:AD54,1)-1,INDEX(Roadmap!$D:$K,MATCH($E54,Roadmap!$D:$D,0)-1+COUNTIF($E54:AD54,"u")+COUNTIF($E54:AD54,"t")+COUNTIF($E54:AD54,"¶")+COUNTIF($E54:AD54,"²")+COUNTIF($E54:AD54,"µ")+COUNTIF($E54:AD54,1),ColDescriptionCourte)),""),
  "")),"")</f>
        <v/>
      </c>
      <c r="AF54" s="40" t="str">
        <f ca="1">IFERROR(IF(AND(
  INDEX(Roadmap!$D:$K,MATCH($E54,Roadmap!$D:$D,0)+COUNTIF($E54:AE54,"u")+COUNTIF($E54:AE54,"t")+COUNTIF($E54:AE54,"¶")+COUNTIF($E54:AE54,"²")+COUNTIF($E54:AE54,"µ")+COUNTIF($E54:AE54,1),ColLivraison)=AF$6,
  VLOOKUP($E54,INDIRECT("tri!"&amp; CHAR(64+ C0Col) &amp;":"&amp; CHAR(65+C0Col)),2,FALSE)&gt;COUNTIF($E54:AE54,"u")+COUNTIF($E54:AE54,"t")+COUNTIF($E54:AE54,"¶")+COUNTIF($E54:AE54,"²")+COUNTIF($E54:AE54,"µ")+COUNTIF($E54:AE54,1)),
HYPERLINK("#Roadmap!C"&amp; MATCH($E54,Roadmap!$D:$D,0)+COUNTIF($E54:AE54,"u")+COUNTIF($E54:AE54,"t"),
     INDEX(Roadmap!$D:$K,MATCH($E54,Roadmap!$D:$D,0)+COUNTIF($E54:AE54,"u")+COUNTIF($E54:AE54,"t")+COUNTIF($E54:AE54,"¶")+COUNTIF($E54:AE54,"²")+COUNTIF($E54:AE54,"µ")+COUNTIF($E54:AE54,1),ColTypeEcheance)),
  IF(LEN(AE54)=1,
  IF(LEN(INDEX(Roadmap!$D:$K,MATCH($E54,Roadmap!$D:$D,0)-1+COUNTIF($E54:AE54,"u")+COUNTIF($E54:AE54,"t")+COUNTIF($E54:AE54,"¶")+COUNTIF($E54:AE54,"²")+COUNTIF($E54:AE54,"µ")+COUNTIF($E54:AE54,1),ColDescriptionCourte))&gt;1,
HYPERLINK("#Roadmap!C"&amp; MATCH($E54,Roadmap!$D:$D,0)+COUNTIF($E54:AE54,"u")+COUNTIF($E54:AE54,"t")+COUNTIF($E54:AE54,"¶")+COUNTIF($E54:AE54,"²")+COUNTIF($E54:AE54,"µ")+COUNTIF($E54:AE54,1)-1,INDEX(Roadmap!$D:$K,MATCH($E54,Roadmap!$D:$D,0)-1+COUNTIF($E54:AE54,"u")+COUNTIF($E54:AE54,"t")+COUNTIF($E54:AE54,"¶")+COUNTIF($E54:AE54,"²")+COUNTIF($E54:AE54,"µ")+COUNTIF($E54:AE54,1),ColDescriptionCourte)),""),
  "")),"")</f>
        <v/>
      </c>
      <c r="AG54" s="40" t="str">
        <f ca="1">IFERROR(IF(AND(
  INDEX(Roadmap!$D:$K,MATCH($E54,Roadmap!$D:$D,0)+COUNTIF($E54:AF54,"u")+COUNTIF($E54:AF54,"t")+COUNTIF($E54:AF54,"¶")+COUNTIF($E54:AF54,"²")+COUNTIF($E54:AF54,"µ")+COUNTIF($E54:AF54,1),ColLivraison)=AG$6,
  VLOOKUP($E54,INDIRECT("tri!"&amp; CHAR(64+ C0Col) &amp;":"&amp; CHAR(65+C0Col)),2,FALSE)&gt;COUNTIF($E54:AF54,"u")+COUNTIF($E54:AF54,"t")+COUNTIF($E54:AF54,"¶")+COUNTIF($E54:AF54,"²")+COUNTIF($E54:AF54,"µ")+COUNTIF($E54:AF54,1)),
HYPERLINK("#Roadmap!C"&amp; MATCH($E54,Roadmap!$D:$D,0)+COUNTIF($E54:AF54,"u")+COUNTIF($E54:AF54,"t"),
     INDEX(Roadmap!$D:$K,MATCH($E54,Roadmap!$D:$D,0)+COUNTIF($E54:AF54,"u")+COUNTIF($E54:AF54,"t")+COUNTIF($E54:AF54,"¶")+COUNTIF($E54:AF54,"²")+COUNTIF($E54:AF54,"µ")+COUNTIF($E54:AF54,1),ColTypeEcheance)),
  IF(LEN(AF54)=1,
  IF(LEN(INDEX(Roadmap!$D:$K,MATCH($E54,Roadmap!$D:$D,0)-1+COUNTIF($E54:AF54,"u")+COUNTIF($E54:AF54,"t")+COUNTIF($E54:AF54,"¶")+COUNTIF($E54:AF54,"²")+COUNTIF($E54:AF54,"µ")+COUNTIF($E54:AF54,1),ColDescriptionCourte))&gt;1,
HYPERLINK("#Roadmap!C"&amp; MATCH($E54,Roadmap!$D:$D,0)+COUNTIF($E54:AF54,"u")+COUNTIF($E54:AF54,"t")+COUNTIF($E54:AF54,"¶")+COUNTIF($E54:AF54,"²")+COUNTIF($E54:AF54,"µ")+COUNTIF($E54:AF54,1)-1,INDEX(Roadmap!$D:$K,MATCH($E54,Roadmap!$D:$D,0)-1+COUNTIF($E54:AF54,"u")+COUNTIF($E54:AF54,"t")+COUNTIF($E54:AF54,"¶")+COUNTIF($E54:AF54,"²")+COUNTIF($E54:AF54,"µ")+COUNTIF($E54:AF54,1),ColDescriptionCourte)),""),
  "")),"")</f>
        <v/>
      </c>
    </row>
    <row r="55" spans="3:33" ht="14.25" customHeight="1">
      <c r="C55" s="1" t="str">
        <f t="shared" ca="1" si="44"/>
        <v/>
      </c>
      <c r="D55" s="1" t="str">
        <f t="shared" ca="1" si="45"/>
        <v/>
      </c>
      <c r="E55" s="35" t="str">
        <f t="shared" ca="1" si="33"/>
        <v/>
      </c>
      <c r="F55" s="39" t="str">
        <f ca="1">IFERROR(IF(AND(
  INDEX(Roadmap!$D:$K,MATCH($E55,Roadmap!$D:$D,0)+COUNTIF($E55:E55,"u")+COUNTIF($E55:E55,"t")+COUNTIF($E55:E55,"¶")+COUNTIF($E55:E55,"²")+COUNTIF($E55:E55,"µ")+COUNTIF($E55:E55,1),ColLivraison)=F$6,
  VLOOKUP($E55,INDIRECT("tri!"&amp; CHAR(64+ C0Col) &amp;":"&amp; CHAR(65+C0Col)),2,FALSE)&gt;COUNTIF($E55:E55,"u")+COUNTIF($E55:E55,"t")+COUNTIF($E55:E55,"¶")+COUNTIF($E55:E55,"²")+COUNTIF($E55:E55,"µ")+COUNTIF($E55:E55,1)),
HYPERLINK("#Roadmap!C"&amp; MATCH($E55,Roadmap!$D:$D,0)+COUNTIF($E55:E55,"u")+COUNTIF($E55:E55,"t"),
     INDEX(Roadmap!$D:$K,MATCH($E55,Roadmap!$D:$D,0)+COUNTIF($E55:E55,"u")+COUNTIF($E55:E55,"t")+COUNTIF($E55:E55,"¶")+COUNTIF($E55:E55,"²")+COUNTIF($E55:E55,"µ")+COUNTIF($E55:E55,1),ColTypeEcheance)),
  IF(LEN(E55)=1,
  IF(LEN(INDEX(Roadmap!$D:$K,MATCH($E55,Roadmap!$D:$D,0)-1+COUNTIF($E55:E55,"u")+COUNTIF($E55:E55,"t")+COUNTIF($E55:E55,"¶")+COUNTIF($E55:E55,"²")+COUNTIF($E55:E55,"µ")+COUNTIF($E55:E55,1),ColDescriptionCourte))&gt;1,
HYPERLINK("#Roadmap!C"&amp; MATCH($E55,Roadmap!$D:$D,0)+COUNTIF($E55:E55,"u")+COUNTIF($E55:E55,"t")+COUNTIF($E55:E55,"¶")+COUNTIF($E55:E55,"²")+COUNTIF($E55:E55,"µ")+COUNTIF($E55:E55,1)-1,INDEX(Roadmap!$D:$K,MATCH($E55,Roadmap!$D:$D,0)-1+COUNTIF($E55:E55,"u")+COUNTIF($E55:E55,"t")+COUNTIF($E55:E55,"¶")+COUNTIF($E55:E55,"²")+COUNTIF($E55:E55,"µ")+COUNTIF($E55:E55,1),ColDescriptionCourte)),""),
  "")),"")</f>
        <v/>
      </c>
      <c r="G55" s="40" t="str">
        <f ca="1">IFERROR(IF(AND(
  INDEX(Roadmap!$D:$K,MATCH($E55,Roadmap!$D:$D,0)+COUNTIF($E55:F55,"u")+COUNTIF($E55:F55,"t")+COUNTIF($E55:F55,"¶")+COUNTIF($E55:F55,"²")+COUNTIF($E55:F55,"µ")+COUNTIF($E55:F55,1),ColLivraison)=G$6,
  VLOOKUP($E55,INDIRECT("tri!"&amp; CHAR(64+ C0Col) &amp;":"&amp; CHAR(65+C0Col)),2,FALSE)&gt;COUNTIF($E55:F55,"u")+COUNTIF($E55:F55,"t")+COUNTIF($E55:F55,"¶")+COUNTIF($E55:F55,"²")+COUNTIF($E55:F55,"µ")+COUNTIF($E55:F55,1)),
HYPERLINK("#Roadmap!C"&amp; MATCH($E55,Roadmap!$D:$D,0)+COUNTIF($E55:F55,"u")+COUNTIF($E55:F55,"t"),
     INDEX(Roadmap!$D:$K,MATCH($E55,Roadmap!$D:$D,0)+COUNTIF($E55:F55,"u")+COUNTIF($E55:F55,"t")+COUNTIF($E55:F55,"¶")+COUNTIF($E55:F55,"²")+COUNTIF($E55:F55,"µ")+COUNTIF($E55:F55,1),ColTypeEcheance)),
  IF(LEN(F55)=1,
  IF(LEN(INDEX(Roadmap!$D:$K,MATCH($E55,Roadmap!$D:$D,0)-1+COUNTIF($E55:F55,"u")+COUNTIF($E55:F55,"t")+COUNTIF($E55:F55,"¶")+COUNTIF($E55:F55,"²")+COUNTIF($E55:F55,"µ")+COUNTIF($E55:F55,1),ColDescriptionCourte))&gt;1,
HYPERLINK("#Roadmap!C"&amp; MATCH($E55,Roadmap!$D:$D,0)+COUNTIF($E55:F55,"u")+COUNTIF($E55:F55,"t")+COUNTIF($E55:F55,"¶")+COUNTIF($E55:F55,"²")+COUNTIF($E55:F55,"µ")+COUNTIF($E55:F55,1)-1,INDEX(Roadmap!$D:$K,MATCH($E55,Roadmap!$D:$D,0)-1+COUNTIF($E55:F55,"u")+COUNTIF($E55:F55,"t")+COUNTIF($E55:F55,"¶")+COUNTIF($E55:F55,"²")+COUNTIF($E55:F55,"µ")+COUNTIF($E55:F55,1),ColDescriptionCourte)),""),
  "")),"")</f>
        <v/>
      </c>
      <c r="H55" s="40" t="str">
        <f ca="1">IFERROR(IF(AND(
  INDEX(Roadmap!$D:$K,MATCH($E55,Roadmap!$D:$D,0)+COUNTIF($E55:G55,"u")+COUNTIF($E55:G55,"t")+COUNTIF($E55:G55,"¶")+COUNTIF($E55:G55,"²")+COUNTIF($E55:G55,"µ")+COUNTIF($E55:G55,1),ColLivraison)=H$6,
  VLOOKUP($E55,INDIRECT("tri!"&amp; CHAR(64+ C0Col) &amp;":"&amp; CHAR(65+C0Col)),2,FALSE)&gt;COUNTIF($E55:G55,"u")+COUNTIF($E55:G55,"t")+COUNTIF($E55:G55,"¶")+COUNTIF($E55:G55,"²")+COUNTIF($E55:G55,"µ")+COUNTIF($E55:G55,1)),
HYPERLINK("#Roadmap!C"&amp; MATCH($E55,Roadmap!$D:$D,0)+COUNTIF($E55:G55,"u")+COUNTIF($E55:G55,"t"),
     INDEX(Roadmap!$D:$K,MATCH($E55,Roadmap!$D:$D,0)+COUNTIF($E55:G55,"u")+COUNTIF($E55:G55,"t")+COUNTIF($E55:G55,"¶")+COUNTIF($E55:G55,"²")+COUNTIF($E55:G55,"µ")+COUNTIF($E55:G55,1),ColTypeEcheance)),
  IF(LEN(G55)=1,
  IF(LEN(INDEX(Roadmap!$D:$K,MATCH($E55,Roadmap!$D:$D,0)-1+COUNTIF($E55:G55,"u")+COUNTIF($E55:G55,"t")+COUNTIF($E55:G55,"¶")+COUNTIF($E55:G55,"²")+COUNTIF($E55:G55,"µ")+COUNTIF($E55:G55,1),ColDescriptionCourte))&gt;1,
HYPERLINK("#Roadmap!C"&amp; MATCH($E55,Roadmap!$D:$D,0)+COUNTIF($E55:G55,"u")+COUNTIF($E55:G55,"t")+COUNTIF($E55:G55,"¶")+COUNTIF($E55:G55,"²")+COUNTIF($E55:G55,"µ")+COUNTIF($E55:G55,1)-1,INDEX(Roadmap!$D:$K,MATCH($E55,Roadmap!$D:$D,0)-1+COUNTIF($E55:G55,"u")+COUNTIF($E55:G55,"t")+COUNTIF($E55:G55,"¶")+COUNTIF($E55:G55,"²")+COUNTIF($E55:G55,"µ")+COUNTIF($E55:G55,1),ColDescriptionCourte)),""),
  "")),"")</f>
        <v/>
      </c>
      <c r="I55" s="40" t="str">
        <f ca="1">IFERROR(IF(AND(
  INDEX(Roadmap!$D:$K,MATCH($E55,Roadmap!$D:$D,0)+COUNTIF($E55:H55,"u")+COUNTIF($E55:H55,"t")+COUNTIF($E55:H55,"¶")+COUNTIF($E55:H55,"²")+COUNTIF($E55:H55,"µ")+COUNTIF($E55:H55,1),ColLivraison)=I$6,
  VLOOKUP($E55,INDIRECT("tri!"&amp; CHAR(64+ C0Col) &amp;":"&amp; CHAR(65+C0Col)),2,FALSE)&gt;COUNTIF($E55:H55,"u")+COUNTIF($E55:H55,"t")+COUNTIF($E55:H55,"¶")+COUNTIF($E55:H55,"²")+COUNTIF($E55:H55,"µ")+COUNTIF($E55:H55,1)),
HYPERLINK("#Roadmap!C"&amp; MATCH($E55,Roadmap!$D:$D,0)+COUNTIF($E55:H55,"u")+COUNTIF($E55:H55,"t"),
     INDEX(Roadmap!$D:$K,MATCH($E55,Roadmap!$D:$D,0)+COUNTIF($E55:H55,"u")+COUNTIF($E55:H55,"t")+COUNTIF($E55:H55,"¶")+COUNTIF($E55:H55,"²")+COUNTIF($E55:H55,"µ")+COUNTIF($E55:H55,1),ColTypeEcheance)),
  IF(LEN(H55)=1,
  IF(LEN(INDEX(Roadmap!$D:$K,MATCH($E55,Roadmap!$D:$D,0)-1+COUNTIF($E55:H55,"u")+COUNTIF($E55:H55,"t")+COUNTIF($E55:H55,"¶")+COUNTIF($E55:H55,"²")+COUNTIF($E55:H55,"µ")+COUNTIF($E55:H55,1),ColDescriptionCourte))&gt;1,
HYPERLINK("#Roadmap!C"&amp; MATCH($E55,Roadmap!$D:$D,0)+COUNTIF($E55:H55,"u")+COUNTIF($E55:H55,"t")+COUNTIF($E55:H55,"¶")+COUNTIF($E55:H55,"²")+COUNTIF($E55:H55,"µ")+COUNTIF($E55:H55,1)-1,INDEX(Roadmap!$D:$K,MATCH($E55,Roadmap!$D:$D,0)-1+COUNTIF($E55:H55,"u")+COUNTIF($E55:H55,"t")+COUNTIF($E55:H55,"¶")+COUNTIF($E55:H55,"²")+COUNTIF($E55:H55,"µ")+COUNTIF($E55:H55,1),ColDescriptionCourte)),""),
  "")),"")</f>
        <v/>
      </c>
      <c r="J55" s="40" t="str">
        <f ca="1">IFERROR(IF(AND(
  INDEX(Roadmap!$D:$K,MATCH($E55,Roadmap!$D:$D,0)+COUNTIF($E55:I55,"u")+COUNTIF($E55:I55,"t")+COUNTIF($E55:I55,"¶")+COUNTIF($E55:I55,"²")+COUNTIF($E55:I55,"µ")+COUNTIF($E55:I55,1),ColLivraison)=J$6,
  VLOOKUP($E55,INDIRECT("tri!"&amp; CHAR(64+ C0Col) &amp;":"&amp; CHAR(65+C0Col)),2,FALSE)&gt;COUNTIF($E55:I55,"u")+COUNTIF($E55:I55,"t")+COUNTIF($E55:I55,"¶")+COUNTIF($E55:I55,"²")+COUNTIF($E55:I55,"µ")+COUNTIF($E55:I55,1)),
HYPERLINK("#Roadmap!C"&amp; MATCH($E55,Roadmap!$D:$D,0)+COUNTIF($E55:I55,"u")+COUNTIF($E55:I55,"t"),
     INDEX(Roadmap!$D:$K,MATCH($E55,Roadmap!$D:$D,0)+COUNTIF($E55:I55,"u")+COUNTIF($E55:I55,"t")+COUNTIF($E55:I55,"¶")+COUNTIF($E55:I55,"²")+COUNTIF($E55:I55,"µ")+COUNTIF($E55:I55,1),ColTypeEcheance)),
  IF(LEN(I55)=1,
  IF(LEN(INDEX(Roadmap!$D:$K,MATCH($E55,Roadmap!$D:$D,0)-1+COUNTIF($E55:I55,"u")+COUNTIF($E55:I55,"t")+COUNTIF($E55:I55,"¶")+COUNTIF($E55:I55,"²")+COUNTIF($E55:I55,"µ")+COUNTIF($E55:I55,1),ColDescriptionCourte))&gt;1,
HYPERLINK("#Roadmap!C"&amp; MATCH($E55,Roadmap!$D:$D,0)+COUNTIF($E55:I55,"u")+COUNTIF($E55:I55,"t")+COUNTIF($E55:I55,"¶")+COUNTIF($E55:I55,"²")+COUNTIF($E55:I55,"µ")+COUNTIF($E55:I55,1)-1,INDEX(Roadmap!$D:$K,MATCH($E55,Roadmap!$D:$D,0)-1+COUNTIF($E55:I55,"u")+COUNTIF($E55:I55,"t")+COUNTIF($E55:I55,"¶")+COUNTIF($E55:I55,"²")+COUNTIF($E55:I55,"µ")+COUNTIF($E55:I55,1),ColDescriptionCourte)),""),
  "")),"")</f>
        <v/>
      </c>
      <c r="K55" s="40" t="str">
        <f ca="1">IFERROR(IF(AND(
  INDEX(Roadmap!$D:$K,MATCH($E55,Roadmap!$D:$D,0)+COUNTIF($E55:J55,"u")+COUNTIF($E55:J55,"t")+COUNTIF($E55:J55,"¶")+COUNTIF($E55:J55,"²")+COUNTIF($E55:J55,"µ")+COUNTIF($E55:J55,1),ColLivraison)=K$6,
  VLOOKUP($E55,INDIRECT("tri!"&amp; CHAR(64+ C0Col) &amp;":"&amp; CHAR(65+C0Col)),2,FALSE)&gt;COUNTIF($E55:J55,"u")+COUNTIF($E55:J55,"t")+COUNTIF($E55:J55,"¶")+COUNTIF($E55:J55,"²")+COUNTIF($E55:J55,"µ")+COUNTIF($E55:J55,1)),
HYPERLINK("#Roadmap!C"&amp; MATCH($E55,Roadmap!$D:$D,0)+COUNTIF($E55:J55,"u")+COUNTIF($E55:J55,"t"),
     INDEX(Roadmap!$D:$K,MATCH($E55,Roadmap!$D:$D,0)+COUNTIF($E55:J55,"u")+COUNTIF($E55:J55,"t")+COUNTIF($E55:J55,"¶")+COUNTIF($E55:J55,"²")+COUNTIF($E55:J55,"µ")+COUNTIF($E55:J55,1),ColTypeEcheance)),
  IF(LEN(J55)=1,
  IF(LEN(INDEX(Roadmap!$D:$K,MATCH($E55,Roadmap!$D:$D,0)-1+COUNTIF($E55:J55,"u")+COUNTIF($E55:J55,"t")+COUNTIF($E55:J55,"¶")+COUNTIF($E55:J55,"²")+COUNTIF($E55:J55,"µ")+COUNTIF($E55:J55,1),ColDescriptionCourte))&gt;1,
HYPERLINK("#Roadmap!C"&amp; MATCH($E55,Roadmap!$D:$D,0)+COUNTIF($E55:J55,"u")+COUNTIF($E55:J55,"t")+COUNTIF($E55:J55,"¶")+COUNTIF($E55:J55,"²")+COUNTIF($E55:J55,"µ")+COUNTIF($E55:J55,1)-1,INDEX(Roadmap!$D:$K,MATCH($E55,Roadmap!$D:$D,0)-1+COUNTIF($E55:J55,"u")+COUNTIF($E55:J55,"t")+COUNTIF($E55:J55,"¶")+COUNTIF($E55:J55,"²")+COUNTIF($E55:J55,"µ")+COUNTIF($E55:J55,1),ColDescriptionCourte)),""),
  "")),"")</f>
        <v/>
      </c>
      <c r="L55" s="39" t="str">
        <f ca="1">IFERROR(IF(AND(
  INDEX(Roadmap!$D:$K,MATCH($E55,Roadmap!$D:$D,0)+COUNTIF($E55:K55,"u")+COUNTIF($E55:K55,"t")+COUNTIF($E55:K55,"¶")+COUNTIF($E55:K55,"²")+COUNTIF($E55:K55,"µ")+COUNTIF($E55:K55,1),ColLivraison)=L$6,
  VLOOKUP($E55,INDIRECT("tri!"&amp; CHAR(64+ C0Col) &amp;":"&amp; CHAR(65+C0Col)),2,FALSE)&gt;COUNTIF($E55:K55,"u")+COUNTIF($E55:K55,"t")+COUNTIF($E55:K55,"¶")+COUNTIF($E55:K55,"²")+COUNTIF($E55:K55,"µ")+COUNTIF($E55:K55,1)),
HYPERLINK("#Roadmap!C"&amp; MATCH($E55,Roadmap!$D:$D,0)+COUNTIF($E55:K55,"u")+COUNTIF($E55:K55,"t"),
     INDEX(Roadmap!$D:$K,MATCH($E55,Roadmap!$D:$D,0)+COUNTIF($E55:K55,"u")+COUNTIF($E55:K55,"t")+COUNTIF($E55:K55,"¶")+COUNTIF($E55:K55,"²")+COUNTIF($E55:K55,"µ")+COUNTIF($E55:K55,1),ColTypeEcheance)),
  IF(LEN(K55)=1,
  IF(LEN(INDEX(Roadmap!$D:$K,MATCH($E55,Roadmap!$D:$D,0)-1+COUNTIF($E55:K55,"u")+COUNTIF($E55:K55,"t")+COUNTIF($E55:K55,"¶")+COUNTIF($E55:K55,"²")+COUNTIF($E55:K55,"µ")+COUNTIF($E55:K55,1),ColDescriptionCourte))&gt;1,
HYPERLINK("#Roadmap!C"&amp; MATCH($E55,Roadmap!$D:$D,0)+COUNTIF($E55:K55,"u")+COUNTIF($E55:K55,"t")+COUNTIF($E55:K55,"¶")+COUNTIF($E55:K55,"²")+COUNTIF($E55:K55,"µ")+COUNTIF($E55:K55,1)-1,INDEX(Roadmap!$D:$K,MATCH($E55,Roadmap!$D:$D,0)-1+COUNTIF($E55:K55,"u")+COUNTIF($E55:K55,"t")+COUNTIF($E55:K55,"¶")+COUNTIF($E55:K55,"²")+COUNTIF($E55:K55,"µ")+COUNTIF($E55:K55,1),ColDescriptionCourte)),""),
  "")),"")</f>
        <v/>
      </c>
      <c r="M55" s="40" t="str">
        <f ca="1">IFERROR(IF(AND(
  INDEX(Roadmap!$D:$K,MATCH($E55,Roadmap!$D:$D,0)+COUNTIF($E55:L55,"u")+COUNTIF($E55:L55,"t")+COUNTIF($E55:L55,"¶")+COUNTIF($E55:L55,"²")+COUNTIF($E55:L55,"µ")+COUNTIF($E55:L55,1),ColLivraison)=M$6,
  VLOOKUP($E55,INDIRECT("tri!"&amp; CHAR(64+ C0Col) &amp;":"&amp; CHAR(65+C0Col)),2,FALSE)&gt;COUNTIF($E55:L55,"u")+COUNTIF($E55:L55,"t")+COUNTIF($E55:L55,"¶")+COUNTIF($E55:L55,"²")+COUNTIF($E55:L55,"µ")+COUNTIF($E55:L55,1)),
HYPERLINK("#Roadmap!C"&amp; MATCH($E55,Roadmap!$D:$D,0)+COUNTIF($E55:L55,"u")+COUNTIF($E55:L55,"t"),
     INDEX(Roadmap!$D:$K,MATCH($E55,Roadmap!$D:$D,0)+COUNTIF($E55:L55,"u")+COUNTIF($E55:L55,"t")+COUNTIF($E55:L55,"¶")+COUNTIF($E55:L55,"²")+COUNTIF($E55:L55,"µ")+COUNTIF($E55:L55,1),ColTypeEcheance)),
  IF(LEN(L55)=1,
  IF(LEN(INDEX(Roadmap!$D:$K,MATCH($E55,Roadmap!$D:$D,0)-1+COUNTIF($E55:L55,"u")+COUNTIF($E55:L55,"t")+COUNTIF($E55:L55,"¶")+COUNTIF($E55:L55,"²")+COUNTIF($E55:L55,"µ")+COUNTIF($E55:L55,1),ColDescriptionCourte))&gt;1,
HYPERLINK("#Roadmap!C"&amp; MATCH($E55,Roadmap!$D:$D,0)+COUNTIF($E55:L55,"u")+COUNTIF($E55:L55,"t")+COUNTIF($E55:L55,"¶")+COUNTIF($E55:L55,"²")+COUNTIF($E55:L55,"µ")+COUNTIF($E55:L55,1)-1,INDEX(Roadmap!$D:$K,MATCH($E55,Roadmap!$D:$D,0)-1+COUNTIF($E55:L55,"u")+COUNTIF($E55:L55,"t")+COUNTIF($E55:L55,"¶")+COUNTIF($E55:L55,"²")+COUNTIF($E55:L55,"µ")+COUNTIF($E55:L55,1),ColDescriptionCourte)),""),
  "")),"")</f>
        <v/>
      </c>
      <c r="N55" s="40" t="str">
        <f ca="1">IFERROR(IF(AND(
  INDEX(Roadmap!$D:$K,MATCH($E55,Roadmap!$D:$D,0)+COUNTIF($E55:M55,"u")+COUNTIF($E55:M55,"t")+COUNTIF($E55:M55,"¶")+COUNTIF($E55:M55,"²")+COUNTIF($E55:M55,"µ")+COUNTIF($E55:M55,1),ColLivraison)=N$6,
  VLOOKUP($E55,INDIRECT("tri!"&amp; CHAR(64+ C0Col) &amp;":"&amp; CHAR(65+C0Col)),2,FALSE)&gt;COUNTIF($E55:M55,"u")+COUNTIF($E55:M55,"t")+COUNTIF($E55:M55,"¶")+COUNTIF($E55:M55,"²")+COUNTIF($E55:M55,"µ")+COUNTIF($E55:M55,1)),
HYPERLINK("#Roadmap!C"&amp; MATCH($E55,Roadmap!$D:$D,0)+COUNTIF($E55:M55,"u")+COUNTIF($E55:M55,"t"),
     INDEX(Roadmap!$D:$K,MATCH($E55,Roadmap!$D:$D,0)+COUNTIF($E55:M55,"u")+COUNTIF($E55:M55,"t")+COUNTIF($E55:M55,"¶")+COUNTIF($E55:M55,"²")+COUNTIF($E55:M55,"µ")+COUNTIF($E55:M55,1),ColTypeEcheance)),
  IF(LEN(M55)=1,
  IF(LEN(INDEX(Roadmap!$D:$K,MATCH($E55,Roadmap!$D:$D,0)-1+COUNTIF($E55:M55,"u")+COUNTIF($E55:M55,"t")+COUNTIF($E55:M55,"¶")+COUNTIF($E55:M55,"²")+COUNTIF($E55:M55,"µ")+COUNTIF($E55:M55,1),ColDescriptionCourte))&gt;1,
HYPERLINK("#Roadmap!C"&amp; MATCH($E55,Roadmap!$D:$D,0)+COUNTIF($E55:M55,"u")+COUNTIF($E55:M55,"t")+COUNTIF($E55:M55,"¶")+COUNTIF($E55:M55,"²")+COUNTIF($E55:M55,"µ")+COUNTIF($E55:M55,1)-1,INDEX(Roadmap!$D:$K,MATCH($E55,Roadmap!$D:$D,0)-1+COUNTIF($E55:M55,"u")+COUNTIF($E55:M55,"t")+COUNTIF($E55:M55,"¶")+COUNTIF($E55:M55,"²")+COUNTIF($E55:M55,"µ")+COUNTIF($E55:M55,1),ColDescriptionCourte)),""),
  "")),"")</f>
        <v/>
      </c>
      <c r="O55" s="40" t="str">
        <f ca="1">IFERROR(IF(AND(
  INDEX(Roadmap!$D:$K,MATCH($E55,Roadmap!$D:$D,0)+COUNTIF($E55:N55,"u")+COUNTIF($E55:N55,"t")+COUNTIF($E55:N55,"¶")+COUNTIF($E55:N55,"²")+COUNTIF($E55:N55,"µ")+COUNTIF($E55:N55,1),ColLivraison)=O$6,
  VLOOKUP($E55,INDIRECT("tri!"&amp; CHAR(64+ C0Col) &amp;":"&amp; CHAR(65+C0Col)),2,FALSE)&gt;COUNTIF($E55:N55,"u")+COUNTIF($E55:N55,"t")+COUNTIF($E55:N55,"¶")+COUNTIF($E55:N55,"²")+COUNTIF($E55:N55,"µ")+COUNTIF($E55:N55,1)),
HYPERLINK("#Roadmap!C"&amp; MATCH($E55,Roadmap!$D:$D,0)+COUNTIF($E55:N55,"u")+COUNTIF($E55:N55,"t"),
     INDEX(Roadmap!$D:$K,MATCH($E55,Roadmap!$D:$D,0)+COUNTIF($E55:N55,"u")+COUNTIF($E55:N55,"t")+COUNTIF($E55:N55,"¶")+COUNTIF($E55:N55,"²")+COUNTIF($E55:N55,"µ")+COUNTIF($E55:N55,1),ColTypeEcheance)),
  IF(LEN(N55)=1,
  IF(LEN(INDEX(Roadmap!$D:$K,MATCH($E55,Roadmap!$D:$D,0)-1+COUNTIF($E55:N55,"u")+COUNTIF($E55:N55,"t")+COUNTIF($E55:N55,"¶")+COUNTIF($E55:N55,"²")+COUNTIF($E55:N55,"µ")+COUNTIF($E55:N55,1),ColDescriptionCourte))&gt;1,
HYPERLINK("#Roadmap!C"&amp; MATCH($E55,Roadmap!$D:$D,0)+COUNTIF($E55:N55,"u")+COUNTIF($E55:N55,"t")+COUNTIF($E55:N55,"¶")+COUNTIF($E55:N55,"²")+COUNTIF($E55:N55,"µ")+COUNTIF($E55:N55,1)-1,INDEX(Roadmap!$D:$K,MATCH($E55,Roadmap!$D:$D,0)-1+COUNTIF($E55:N55,"u")+COUNTIF($E55:N55,"t")+COUNTIF($E55:N55,"¶")+COUNTIF($E55:N55,"²")+COUNTIF($E55:N55,"µ")+COUNTIF($E55:N55,1),ColDescriptionCourte)),""),
  "")),"")</f>
        <v/>
      </c>
      <c r="P55" s="40" t="str">
        <f ca="1">IFERROR(IF(AND(
  INDEX(Roadmap!$D:$K,MATCH($E55,Roadmap!$D:$D,0)+COUNTIF($E55:O55,"u")+COUNTIF($E55:O55,"t")+COUNTIF($E55:O55,"¶")+COUNTIF($E55:O55,"²")+COUNTIF($E55:O55,"µ")+COUNTIF($E55:O55,1),ColLivraison)=P$6,
  VLOOKUP($E55,INDIRECT("tri!"&amp; CHAR(64+ C0Col) &amp;":"&amp; CHAR(65+C0Col)),2,FALSE)&gt;COUNTIF($E55:O55,"u")+COUNTIF($E55:O55,"t")+COUNTIF($E55:O55,"¶")+COUNTIF($E55:O55,"²")+COUNTIF($E55:O55,"µ")+COUNTIF($E55:O55,1)),
HYPERLINK("#Roadmap!C"&amp; MATCH($E55,Roadmap!$D:$D,0)+COUNTIF($E55:O55,"u")+COUNTIF($E55:O55,"t"),
     INDEX(Roadmap!$D:$K,MATCH($E55,Roadmap!$D:$D,0)+COUNTIF($E55:O55,"u")+COUNTIF($E55:O55,"t")+COUNTIF($E55:O55,"¶")+COUNTIF($E55:O55,"²")+COUNTIF($E55:O55,"µ")+COUNTIF($E55:O55,1),ColTypeEcheance)),
  IF(LEN(O55)=1,
  IF(LEN(INDEX(Roadmap!$D:$K,MATCH($E55,Roadmap!$D:$D,0)-1+COUNTIF($E55:O55,"u")+COUNTIF($E55:O55,"t")+COUNTIF($E55:O55,"¶")+COUNTIF($E55:O55,"²")+COUNTIF($E55:O55,"µ")+COUNTIF($E55:O55,1),ColDescriptionCourte))&gt;1,
HYPERLINK("#Roadmap!C"&amp; MATCH($E55,Roadmap!$D:$D,0)+COUNTIF($E55:O55,"u")+COUNTIF($E55:O55,"t")+COUNTIF($E55:O55,"¶")+COUNTIF($E55:O55,"²")+COUNTIF($E55:O55,"µ")+COUNTIF($E55:O55,1)-1,INDEX(Roadmap!$D:$K,MATCH($E55,Roadmap!$D:$D,0)-1+COUNTIF($E55:O55,"u")+COUNTIF($E55:O55,"t")+COUNTIF($E55:O55,"¶")+COUNTIF($E55:O55,"²")+COUNTIF($E55:O55,"µ")+COUNTIF($E55:O55,1),ColDescriptionCourte)),""),
  "")),"")</f>
        <v/>
      </c>
      <c r="Q55" s="40" t="str">
        <f ca="1">IFERROR(IF(AND(
  INDEX(Roadmap!$D:$K,MATCH($E55,Roadmap!$D:$D,0)+COUNTIF($E55:P55,"u")+COUNTIF($E55:P55,"t")+COUNTIF($E55:P55,"¶")+COUNTIF($E55:P55,"²")+COUNTIF($E55:P55,"µ")+COUNTIF($E55:P55,1),ColLivraison)=Q$6,
  VLOOKUP($E55,INDIRECT("tri!"&amp; CHAR(64+ C0Col) &amp;":"&amp; CHAR(65+C0Col)),2,FALSE)&gt;COUNTIF($E55:P55,"u")+COUNTIF($E55:P55,"t")+COUNTIF($E55:P55,"¶")+COUNTIF($E55:P55,"²")+COUNTIF($E55:P55,"µ")+COUNTIF($E55:P55,1)),
HYPERLINK("#Roadmap!C"&amp; MATCH($E55,Roadmap!$D:$D,0)+COUNTIF($E55:P55,"u")+COUNTIF($E55:P55,"t"),
     INDEX(Roadmap!$D:$K,MATCH($E55,Roadmap!$D:$D,0)+COUNTIF($E55:P55,"u")+COUNTIF($E55:P55,"t")+COUNTIF($E55:P55,"¶")+COUNTIF($E55:P55,"²")+COUNTIF($E55:P55,"µ")+COUNTIF($E55:P55,1),ColTypeEcheance)),
  IF(LEN(P55)=1,
  IF(LEN(INDEX(Roadmap!$D:$K,MATCH($E55,Roadmap!$D:$D,0)-1+COUNTIF($E55:P55,"u")+COUNTIF($E55:P55,"t")+COUNTIF($E55:P55,"¶")+COUNTIF($E55:P55,"²")+COUNTIF($E55:P55,"µ")+COUNTIF($E55:P55,1),ColDescriptionCourte))&gt;1,
HYPERLINK("#Roadmap!C"&amp; MATCH($E55,Roadmap!$D:$D,0)+COUNTIF($E55:P55,"u")+COUNTIF($E55:P55,"t")+COUNTIF($E55:P55,"¶")+COUNTIF($E55:P55,"²")+COUNTIF($E55:P55,"µ")+COUNTIF($E55:P55,1)-1,INDEX(Roadmap!$D:$K,MATCH($E55,Roadmap!$D:$D,0)-1+COUNTIF($E55:P55,"u")+COUNTIF($E55:P55,"t")+COUNTIF($E55:P55,"¶")+COUNTIF($E55:P55,"²")+COUNTIF($E55:P55,"µ")+COUNTIF($E55:P55,1),ColDescriptionCourte)),""),
  "")),"")</f>
        <v/>
      </c>
      <c r="R55" s="40" t="str">
        <f ca="1">IFERROR(IF(AND(
  INDEX(Roadmap!$D:$K,MATCH($E55,Roadmap!$D:$D,0)+COUNTIF($E55:Q55,"u")+COUNTIF($E55:Q55,"t")+COUNTIF($E55:Q55,"¶")+COUNTIF($E55:Q55,"²")+COUNTIF($E55:Q55,"µ")+COUNTIF($E55:Q55,1),ColLivraison)=R$6,
  VLOOKUP($E55,INDIRECT("tri!"&amp; CHAR(64+ C0Col) &amp;":"&amp; CHAR(65+C0Col)),2,FALSE)&gt;COUNTIF($E55:Q55,"u")+COUNTIF($E55:Q55,"t")+COUNTIF($E55:Q55,"¶")+COUNTIF($E55:Q55,"²")+COUNTIF($E55:Q55,"µ")+COUNTIF($E55:Q55,1)),
HYPERLINK("#Roadmap!C"&amp; MATCH($E55,Roadmap!$D:$D,0)+COUNTIF($E55:Q55,"u")+COUNTIF($E55:Q55,"t"),
     INDEX(Roadmap!$D:$K,MATCH($E55,Roadmap!$D:$D,0)+COUNTIF($E55:Q55,"u")+COUNTIF($E55:Q55,"t")+COUNTIF($E55:Q55,"¶")+COUNTIF($E55:Q55,"²")+COUNTIF($E55:Q55,"µ")+COUNTIF($E55:Q55,1),ColTypeEcheance)),
  IF(LEN(Q55)=1,
  IF(LEN(INDEX(Roadmap!$D:$K,MATCH($E55,Roadmap!$D:$D,0)-1+COUNTIF($E55:Q55,"u")+COUNTIF($E55:Q55,"t")+COUNTIF($E55:Q55,"¶")+COUNTIF($E55:Q55,"²")+COUNTIF($E55:Q55,"µ")+COUNTIF($E55:Q55,1),ColDescriptionCourte))&gt;1,
HYPERLINK("#Roadmap!C"&amp; MATCH($E55,Roadmap!$D:$D,0)+COUNTIF($E55:Q55,"u")+COUNTIF($E55:Q55,"t")+COUNTIF($E55:Q55,"¶")+COUNTIF($E55:Q55,"²")+COUNTIF($E55:Q55,"µ")+COUNTIF($E55:Q55,1)-1,INDEX(Roadmap!$D:$K,MATCH($E55,Roadmap!$D:$D,0)-1+COUNTIF($E55:Q55,"u")+COUNTIF($E55:Q55,"t")+COUNTIF($E55:Q55,"¶")+COUNTIF($E55:Q55,"²")+COUNTIF($E55:Q55,"µ")+COUNTIF($E55:Q55,1),ColDescriptionCourte)),""),
  "")),"")</f>
        <v/>
      </c>
      <c r="S55" s="40" t="str">
        <f ca="1">IFERROR(IF(AND(
  INDEX(Roadmap!$D:$K,MATCH($E55,Roadmap!$D:$D,0)+COUNTIF($E55:R55,"u")+COUNTIF($E55:R55,"t")+COUNTIF($E55:R55,"¶")+COUNTIF($E55:R55,"²")+COUNTIF($E55:R55,"µ")+COUNTIF($E55:R55,1),ColLivraison)=S$6,
  VLOOKUP($E55,INDIRECT("tri!"&amp; CHAR(64+ C0Col) &amp;":"&amp; CHAR(65+C0Col)),2,FALSE)&gt;COUNTIF($E55:R55,"u")+COUNTIF($E55:R55,"t")+COUNTIF($E55:R55,"¶")+COUNTIF($E55:R55,"²")+COUNTIF($E55:R55,"µ")+COUNTIF($E55:R55,1)),
HYPERLINK("#Roadmap!C"&amp; MATCH($E55,Roadmap!$D:$D,0)+COUNTIF($E55:R55,"u")+COUNTIF($E55:R55,"t"),
     INDEX(Roadmap!$D:$K,MATCH($E55,Roadmap!$D:$D,0)+COUNTIF($E55:R55,"u")+COUNTIF($E55:R55,"t")+COUNTIF($E55:R55,"¶")+COUNTIF($E55:R55,"²")+COUNTIF($E55:R55,"µ")+COUNTIF($E55:R55,1),ColTypeEcheance)),
  IF(LEN(R55)=1,
  IF(LEN(INDEX(Roadmap!$D:$K,MATCH($E55,Roadmap!$D:$D,0)-1+COUNTIF($E55:R55,"u")+COUNTIF($E55:R55,"t")+COUNTIF($E55:R55,"¶")+COUNTIF($E55:R55,"²")+COUNTIF($E55:R55,"µ")+COUNTIF($E55:R55,1),ColDescriptionCourte))&gt;1,
HYPERLINK("#Roadmap!C"&amp; MATCH($E55,Roadmap!$D:$D,0)+COUNTIF($E55:R55,"u")+COUNTIF($E55:R55,"t")+COUNTIF($E55:R55,"¶")+COUNTIF($E55:R55,"²")+COUNTIF($E55:R55,"µ")+COUNTIF($E55:R55,1)-1,INDEX(Roadmap!$D:$K,MATCH($E55,Roadmap!$D:$D,0)-1+COUNTIF($E55:R55,"u")+COUNTIF($E55:R55,"t")+COUNTIF($E55:R55,"¶")+COUNTIF($E55:R55,"²")+COUNTIF($E55:R55,"µ")+COUNTIF($E55:R55,1),ColDescriptionCourte)),""),
  "")),"")</f>
        <v/>
      </c>
      <c r="T55" s="40" t="str">
        <f ca="1">IFERROR(IF(AND(
  INDEX(Roadmap!$D:$K,MATCH($E55,Roadmap!$D:$D,0)+COUNTIF($E55:S55,"u")+COUNTIF($E55:S55,"t")+COUNTIF($E55:S55,"¶")+COUNTIF($E55:S55,"²")+COUNTIF($E55:S55,"µ")+COUNTIF($E55:S55,1),ColLivraison)=T$6,
  VLOOKUP($E55,INDIRECT("tri!"&amp; CHAR(64+ C0Col) &amp;":"&amp; CHAR(65+C0Col)),2,FALSE)&gt;COUNTIF($E55:S55,"u")+COUNTIF($E55:S55,"t")+COUNTIF($E55:S55,"¶")+COUNTIF($E55:S55,"²")+COUNTIF($E55:S55,"µ")+COUNTIF($E55:S55,1)),
HYPERLINK("#Roadmap!C"&amp; MATCH($E55,Roadmap!$D:$D,0)+COUNTIF($E55:S55,"u")+COUNTIF($E55:S55,"t"),
     INDEX(Roadmap!$D:$K,MATCH($E55,Roadmap!$D:$D,0)+COUNTIF($E55:S55,"u")+COUNTIF($E55:S55,"t")+COUNTIF($E55:S55,"¶")+COUNTIF($E55:S55,"²")+COUNTIF($E55:S55,"µ")+COUNTIF($E55:S55,1),ColTypeEcheance)),
  IF(LEN(S55)=1,
  IF(LEN(INDEX(Roadmap!$D:$K,MATCH($E55,Roadmap!$D:$D,0)-1+COUNTIF($E55:S55,"u")+COUNTIF($E55:S55,"t")+COUNTIF($E55:S55,"¶")+COUNTIF($E55:S55,"²")+COUNTIF($E55:S55,"µ")+COUNTIF($E55:S55,1),ColDescriptionCourte))&gt;1,
HYPERLINK("#Roadmap!C"&amp; MATCH($E55,Roadmap!$D:$D,0)+COUNTIF($E55:S55,"u")+COUNTIF($E55:S55,"t")+COUNTIF($E55:S55,"¶")+COUNTIF($E55:S55,"²")+COUNTIF($E55:S55,"µ")+COUNTIF($E55:S55,1)-1,INDEX(Roadmap!$D:$K,MATCH($E55,Roadmap!$D:$D,0)-1+COUNTIF($E55:S55,"u")+COUNTIF($E55:S55,"t")+COUNTIF($E55:S55,"¶")+COUNTIF($E55:S55,"²")+COUNTIF($E55:S55,"µ")+COUNTIF($E55:S55,1),ColDescriptionCourte)),""),
  "")),"")</f>
        <v/>
      </c>
      <c r="U55" s="40" t="str">
        <f ca="1">IFERROR(IF(AND(
  INDEX(Roadmap!$D:$K,MATCH($E55,Roadmap!$D:$D,0)+COUNTIF($E55:T55,"u")+COUNTIF($E55:T55,"t")+COUNTIF($E55:T55,"¶")+COUNTIF($E55:T55,"²")+COUNTIF($E55:T55,"µ")+COUNTIF($E55:T55,1),ColLivraison)=U$6,
  VLOOKUP($E55,INDIRECT("tri!"&amp; CHAR(64+ C0Col) &amp;":"&amp; CHAR(65+C0Col)),2,FALSE)&gt;COUNTIF($E55:T55,"u")+COUNTIF($E55:T55,"t")+COUNTIF($E55:T55,"¶")+COUNTIF($E55:T55,"²")+COUNTIF($E55:T55,"µ")+COUNTIF($E55:T55,1)),
HYPERLINK("#Roadmap!C"&amp; MATCH($E55,Roadmap!$D:$D,0)+COUNTIF($E55:T55,"u")+COUNTIF($E55:T55,"t"),
     INDEX(Roadmap!$D:$K,MATCH($E55,Roadmap!$D:$D,0)+COUNTIF($E55:T55,"u")+COUNTIF($E55:T55,"t")+COUNTIF($E55:T55,"¶")+COUNTIF($E55:T55,"²")+COUNTIF($E55:T55,"µ")+COUNTIF($E55:T55,1),ColTypeEcheance)),
  IF(LEN(T55)=1,
  IF(LEN(INDEX(Roadmap!$D:$K,MATCH($E55,Roadmap!$D:$D,0)-1+COUNTIF($E55:T55,"u")+COUNTIF($E55:T55,"t")+COUNTIF($E55:T55,"¶")+COUNTIF($E55:T55,"²")+COUNTIF($E55:T55,"µ")+COUNTIF($E55:T55,1),ColDescriptionCourte))&gt;1,
HYPERLINK("#Roadmap!C"&amp; MATCH($E55,Roadmap!$D:$D,0)+COUNTIF($E55:T55,"u")+COUNTIF($E55:T55,"t")+COUNTIF($E55:T55,"¶")+COUNTIF($E55:T55,"²")+COUNTIF($E55:T55,"µ")+COUNTIF($E55:T55,1)-1,INDEX(Roadmap!$D:$K,MATCH($E55,Roadmap!$D:$D,0)-1+COUNTIF($E55:T55,"u")+COUNTIF($E55:T55,"t")+COUNTIF($E55:T55,"¶")+COUNTIF($E55:T55,"²")+COUNTIF($E55:T55,"µ")+COUNTIF($E55:T55,1),ColDescriptionCourte)),""),
  "")),"")</f>
        <v/>
      </c>
      <c r="V55" s="40" t="str">
        <f ca="1">IFERROR(IF(AND(
  INDEX(Roadmap!$D:$K,MATCH($E55,Roadmap!$D:$D,0)+COUNTIF($E55:U55,"u")+COUNTIF($E55:U55,"t")+COUNTIF($E55:U55,"¶")+COUNTIF($E55:U55,"²")+COUNTIF($E55:U55,"µ")+COUNTIF($E55:U55,1),ColLivraison)=V$6,
  VLOOKUP($E55,INDIRECT("tri!"&amp; CHAR(64+ C0Col) &amp;":"&amp; CHAR(65+C0Col)),2,FALSE)&gt;COUNTIF($E55:U55,"u")+COUNTIF($E55:U55,"t")+COUNTIF($E55:U55,"¶")+COUNTIF($E55:U55,"²")+COUNTIF($E55:U55,"µ")+COUNTIF($E55:U55,1)),
HYPERLINK("#Roadmap!C"&amp; MATCH($E55,Roadmap!$D:$D,0)+COUNTIF($E55:U55,"u")+COUNTIF($E55:U55,"t"),
     INDEX(Roadmap!$D:$K,MATCH($E55,Roadmap!$D:$D,0)+COUNTIF($E55:U55,"u")+COUNTIF($E55:U55,"t")+COUNTIF($E55:U55,"¶")+COUNTIF($E55:U55,"²")+COUNTIF($E55:U55,"µ")+COUNTIF($E55:U55,1),ColTypeEcheance)),
  IF(LEN(U55)=1,
  IF(LEN(INDEX(Roadmap!$D:$K,MATCH($E55,Roadmap!$D:$D,0)-1+COUNTIF($E55:U55,"u")+COUNTIF($E55:U55,"t")+COUNTIF($E55:U55,"¶")+COUNTIF($E55:U55,"²")+COUNTIF($E55:U55,"µ")+COUNTIF($E55:U55,1),ColDescriptionCourte))&gt;1,
HYPERLINK("#Roadmap!C"&amp; MATCH($E55,Roadmap!$D:$D,0)+COUNTIF($E55:U55,"u")+COUNTIF($E55:U55,"t")+COUNTIF($E55:U55,"¶")+COUNTIF($E55:U55,"²")+COUNTIF($E55:U55,"µ")+COUNTIF($E55:U55,1)-1,INDEX(Roadmap!$D:$K,MATCH($E55,Roadmap!$D:$D,0)-1+COUNTIF($E55:U55,"u")+COUNTIF($E55:U55,"t")+COUNTIF($E55:U55,"¶")+COUNTIF($E55:U55,"²")+COUNTIF($E55:U55,"µ")+COUNTIF($E55:U55,1),ColDescriptionCourte)),""),
  "")),"")</f>
        <v/>
      </c>
      <c r="W55" s="40" t="str">
        <f ca="1">IFERROR(IF(AND(
  INDEX(Roadmap!$D:$K,MATCH($E55,Roadmap!$D:$D,0)+COUNTIF($E55:V55,"u")+COUNTIF($E55:V55,"t")+COUNTIF($E55:V55,"¶")+COUNTIF($E55:V55,"²")+COUNTIF($E55:V55,"µ")+COUNTIF($E55:V55,1),ColLivraison)=W$6,
  VLOOKUP($E55,INDIRECT("tri!"&amp; CHAR(64+ C0Col) &amp;":"&amp; CHAR(65+C0Col)),2,FALSE)&gt;COUNTIF($E55:V55,"u")+COUNTIF($E55:V55,"t")+COUNTIF($E55:V55,"¶")+COUNTIF($E55:V55,"²")+COUNTIF($E55:V55,"µ")+COUNTIF($E55:V55,1)),
HYPERLINK("#Roadmap!C"&amp; MATCH($E55,Roadmap!$D:$D,0)+COUNTIF($E55:V55,"u")+COUNTIF($E55:V55,"t"),
     INDEX(Roadmap!$D:$K,MATCH($E55,Roadmap!$D:$D,0)+COUNTIF($E55:V55,"u")+COUNTIF($E55:V55,"t")+COUNTIF($E55:V55,"¶")+COUNTIF($E55:V55,"²")+COUNTIF($E55:V55,"µ")+COUNTIF($E55:V55,1),ColTypeEcheance)),
  IF(LEN(V55)=1,
  IF(LEN(INDEX(Roadmap!$D:$K,MATCH($E55,Roadmap!$D:$D,0)-1+COUNTIF($E55:V55,"u")+COUNTIF($E55:V55,"t")+COUNTIF($E55:V55,"¶")+COUNTIF($E55:V55,"²")+COUNTIF($E55:V55,"µ")+COUNTIF($E55:V55,1),ColDescriptionCourte))&gt;1,
HYPERLINK("#Roadmap!C"&amp; MATCH($E55,Roadmap!$D:$D,0)+COUNTIF($E55:V55,"u")+COUNTIF($E55:V55,"t")+COUNTIF($E55:V55,"¶")+COUNTIF($E55:V55,"²")+COUNTIF($E55:V55,"µ")+COUNTIF($E55:V55,1)-1,INDEX(Roadmap!$D:$K,MATCH($E55,Roadmap!$D:$D,0)-1+COUNTIF($E55:V55,"u")+COUNTIF($E55:V55,"t")+COUNTIF($E55:V55,"¶")+COUNTIF($E55:V55,"²")+COUNTIF($E55:V55,"µ")+COUNTIF($E55:V55,1),ColDescriptionCourte)),""),
  "")),"")</f>
        <v/>
      </c>
      <c r="X55" s="40" t="str">
        <f ca="1">IFERROR(IF(AND(
  INDEX(Roadmap!$D:$K,MATCH($E55,Roadmap!$D:$D,0)+COUNTIF($E55:W55,"u")+COUNTIF($E55:W55,"t")+COUNTIF($E55:W55,"¶")+COUNTIF($E55:W55,"²")+COUNTIF($E55:W55,"µ")+COUNTIF($E55:W55,1),ColLivraison)=X$6,
  VLOOKUP($E55,INDIRECT("tri!"&amp; CHAR(64+ C0Col) &amp;":"&amp; CHAR(65+C0Col)),2,FALSE)&gt;COUNTIF($E55:W55,"u")+COUNTIF($E55:W55,"t")+COUNTIF($E55:W55,"¶")+COUNTIF($E55:W55,"²")+COUNTIF($E55:W55,"µ")+COUNTIF($E55:W55,1)),
HYPERLINK("#Roadmap!C"&amp; MATCH($E55,Roadmap!$D:$D,0)+COUNTIF($E55:W55,"u")+COUNTIF($E55:W55,"t"),
     INDEX(Roadmap!$D:$K,MATCH($E55,Roadmap!$D:$D,0)+COUNTIF($E55:W55,"u")+COUNTIF($E55:W55,"t")+COUNTIF($E55:W55,"¶")+COUNTIF($E55:W55,"²")+COUNTIF($E55:W55,"µ")+COUNTIF($E55:W55,1),ColTypeEcheance)),
  IF(LEN(W55)=1,
  IF(LEN(INDEX(Roadmap!$D:$K,MATCH($E55,Roadmap!$D:$D,0)-1+COUNTIF($E55:W55,"u")+COUNTIF($E55:W55,"t")+COUNTIF($E55:W55,"¶")+COUNTIF($E55:W55,"²")+COUNTIF($E55:W55,"µ")+COUNTIF($E55:W55,1),ColDescriptionCourte))&gt;1,
HYPERLINK("#Roadmap!C"&amp; MATCH($E55,Roadmap!$D:$D,0)+COUNTIF($E55:W55,"u")+COUNTIF($E55:W55,"t")+COUNTIF($E55:W55,"¶")+COUNTIF($E55:W55,"²")+COUNTIF($E55:W55,"µ")+COUNTIF($E55:W55,1)-1,INDEX(Roadmap!$D:$K,MATCH($E55,Roadmap!$D:$D,0)-1+COUNTIF($E55:W55,"u")+COUNTIF($E55:W55,"t")+COUNTIF($E55:W55,"¶")+COUNTIF($E55:W55,"²")+COUNTIF($E55:W55,"µ")+COUNTIF($E55:W55,1),ColDescriptionCourte)),""),
  "")),"")</f>
        <v/>
      </c>
      <c r="Y55" s="40" t="str">
        <f ca="1">IFERROR(IF(AND(
  INDEX(Roadmap!$D:$K,MATCH($E55,Roadmap!$D:$D,0)+COUNTIF($E55:X55,"u")+COUNTIF($E55:X55,"t")+COUNTIF($E55:X55,"¶")+COUNTIF($E55:X55,"²")+COUNTIF($E55:X55,"µ")+COUNTIF($E55:X55,1),ColLivraison)=Y$6,
  VLOOKUP($E55,INDIRECT("tri!"&amp; CHAR(64+ C0Col) &amp;":"&amp; CHAR(65+C0Col)),2,FALSE)&gt;COUNTIF($E55:X55,"u")+COUNTIF($E55:X55,"t")+COUNTIF($E55:X55,"¶")+COUNTIF($E55:X55,"²")+COUNTIF($E55:X55,"µ")+COUNTIF($E55:X55,1)),
HYPERLINK("#Roadmap!C"&amp; MATCH($E55,Roadmap!$D:$D,0)+COUNTIF($E55:X55,"u")+COUNTIF($E55:X55,"t"),
     INDEX(Roadmap!$D:$K,MATCH($E55,Roadmap!$D:$D,0)+COUNTIF($E55:X55,"u")+COUNTIF($E55:X55,"t")+COUNTIF($E55:X55,"¶")+COUNTIF($E55:X55,"²")+COUNTIF($E55:X55,"µ")+COUNTIF($E55:X55,1),ColTypeEcheance)),
  IF(LEN(X55)=1,
  IF(LEN(INDEX(Roadmap!$D:$K,MATCH($E55,Roadmap!$D:$D,0)-1+COUNTIF($E55:X55,"u")+COUNTIF($E55:X55,"t")+COUNTIF($E55:X55,"¶")+COUNTIF($E55:X55,"²")+COUNTIF($E55:X55,"µ")+COUNTIF($E55:X55,1),ColDescriptionCourte))&gt;1,
HYPERLINK("#Roadmap!C"&amp; MATCH($E55,Roadmap!$D:$D,0)+COUNTIF($E55:X55,"u")+COUNTIF($E55:X55,"t")+COUNTIF($E55:X55,"¶")+COUNTIF($E55:X55,"²")+COUNTIF($E55:X55,"µ")+COUNTIF($E55:X55,1)-1,INDEX(Roadmap!$D:$K,MATCH($E55,Roadmap!$D:$D,0)-1+COUNTIF($E55:X55,"u")+COUNTIF($E55:X55,"t")+COUNTIF($E55:X55,"¶")+COUNTIF($E55:X55,"²")+COUNTIF($E55:X55,"µ")+COUNTIF($E55:X55,1),ColDescriptionCourte)),""),
  "")),"")</f>
        <v/>
      </c>
      <c r="Z55" s="40" t="str">
        <f ca="1">IFERROR(IF(AND(
  INDEX(Roadmap!$D:$K,MATCH($E55,Roadmap!$D:$D,0)+COUNTIF($E55:Y55,"u")+COUNTIF($E55:Y55,"t")+COUNTIF($E55:Y55,"¶")+COUNTIF($E55:Y55,"²")+COUNTIF($E55:Y55,"µ")+COUNTIF($E55:Y55,1),ColLivraison)=Z$6,
  VLOOKUP($E55,INDIRECT("tri!"&amp; CHAR(64+ C0Col) &amp;":"&amp; CHAR(65+C0Col)),2,FALSE)&gt;COUNTIF($E55:Y55,"u")+COUNTIF($E55:Y55,"t")+COUNTIF($E55:Y55,"¶")+COUNTIF($E55:Y55,"²")+COUNTIF($E55:Y55,"µ")+COUNTIF($E55:Y55,1)),
HYPERLINK("#Roadmap!C"&amp; MATCH($E55,Roadmap!$D:$D,0)+COUNTIF($E55:Y55,"u")+COUNTIF($E55:Y55,"t"),
     INDEX(Roadmap!$D:$K,MATCH($E55,Roadmap!$D:$D,0)+COUNTIF($E55:Y55,"u")+COUNTIF($E55:Y55,"t")+COUNTIF($E55:Y55,"¶")+COUNTIF($E55:Y55,"²")+COUNTIF($E55:Y55,"µ")+COUNTIF($E55:Y55,1),ColTypeEcheance)),
  IF(LEN(Y55)=1,
  IF(LEN(INDEX(Roadmap!$D:$K,MATCH($E55,Roadmap!$D:$D,0)-1+COUNTIF($E55:Y55,"u")+COUNTIF($E55:Y55,"t")+COUNTIF($E55:Y55,"¶")+COUNTIF($E55:Y55,"²")+COUNTIF($E55:Y55,"µ")+COUNTIF($E55:Y55,1),ColDescriptionCourte))&gt;1,
HYPERLINK("#Roadmap!C"&amp; MATCH($E55,Roadmap!$D:$D,0)+COUNTIF($E55:Y55,"u")+COUNTIF($E55:Y55,"t")+COUNTIF($E55:Y55,"¶")+COUNTIF($E55:Y55,"²")+COUNTIF($E55:Y55,"µ")+COUNTIF($E55:Y55,1)-1,INDEX(Roadmap!$D:$K,MATCH($E55,Roadmap!$D:$D,0)-1+COUNTIF($E55:Y55,"u")+COUNTIF($E55:Y55,"t")+COUNTIF($E55:Y55,"¶")+COUNTIF($E55:Y55,"²")+COUNTIF($E55:Y55,"µ")+COUNTIF($E55:Y55,1),ColDescriptionCourte)),""),
  "")),"")</f>
        <v/>
      </c>
      <c r="AA55" s="40" t="str">
        <f ca="1">IFERROR(IF(AND(
  INDEX(Roadmap!$D:$K,MATCH($E55,Roadmap!$D:$D,0)+COUNTIF($E55:Z55,"u")+COUNTIF($E55:Z55,"t")+COUNTIF($E55:Z55,"¶")+COUNTIF($E55:Z55,"²")+COUNTIF($E55:Z55,"µ")+COUNTIF($E55:Z55,1),ColLivraison)=AA$6,
  VLOOKUP($E55,INDIRECT("tri!"&amp; CHAR(64+ C0Col) &amp;":"&amp; CHAR(65+C0Col)),2,FALSE)&gt;COUNTIF($E55:Z55,"u")+COUNTIF($E55:Z55,"t")+COUNTIF($E55:Z55,"¶")+COUNTIF($E55:Z55,"²")+COUNTIF($E55:Z55,"µ")+COUNTIF($E55:Z55,1)),
HYPERLINK("#Roadmap!C"&amp; MATCH($E55,Roadmap!$D:$D,0)+COUNTIF($E55:Z55,"u")+COUNTIF($E55:Z55,"t"),
     INDEX(Roadmap!$D:$K,MATCH($E55,Roadmap!$D:$D,0)+COUNTIF($E55:Z55,"u")+COUNTIF($E55:Z55,"t")+COUNTIF($E55:Z55,"¶")+COUNTIF($E55:Z55,"²")+COUNTIF($E55:Z55,"µ")+COUNTIF($E55:Z55,1),ColTypeEcheance)),
  IF(LEN(Z55)=1,
  IF(LEN(INDEX(Roadmap!$D:$K,MATCH($E55,Roadmap!$D:$D,0)-1+COUNTIF($E55:Z55,"u")+COUNTIF($E55:Z55,"t")+COUNTIF($E55:Z55,"¶")+COUNTIF($E55:Z55,"²")+COUNTIF($E55:Z55,"µ")+COUNTIF($E55:Z55,1),ColDescriptionCourte))&gt;1,
HYPERLINK("#Roadmap!C"&amp; MATCH($E55,Roadmap!$D:$D,0)+COUNTIF($E55:Z55,"u")+COUNTIF($E55:Z55,"t")+COUNTIF($E55:Z55,"¶")+COUNTIF($E55:Z55,"²")+COUNTIF($E55:Z55,"µ")+COUNTIF($E55:Z55,1)-1,INDEX(Roadmap!$D:$K,MATCH($E55,Roadmap!$D:$D,0)-1+COUNTIF($E55:Z55,"u")+COUNTIF($E55:Z55,"t")+COUNTIF($E55:Z55,"¶")+COUNTIF($E55:Z55,"²")+COUNTIF($E55:Z55,"µ")+COUNTIF($E55:Z55,1),ColDescriptionCourte)),""),
  "")),"")</f>
        <v/>
      </c>
      <c r="AB55" s="40" t="str">
        <f ca="1">IFERROR(IF(AND(
  INDEX(Roadmap!$D:$K,MATCH($E55,Roadmap!$D:$D,0)+COUNTIF($E55:AA55,"u")+COUNTIF($E55:AA55,"t")+COUNTIF($E55:AA55,"¶")+COUNTIF($E55:AA55,"²")+COUNTIF($E55:AA55,"µ")+COUNTIF($E55:AA55,1),ColLivraison)=AB$6,
  VLOOKUP($E55,INDIRECT("tri!"&amp; CHAR(64+ C0Col) &amp;":"&amp; CHAR(65+C0Col)),2,FALSE)&gt;COUNTIF($E55:AA55,"u")+COUNTIF($E55:AA55,"t")+COUNTIF($E55:AA55,"¶")+COUNTIF($E55:AA55,"²")+COUNTIF($E55:AA55,"µ")+COUNTIF($E55:AA55,1)),
HYPERLINK("#Roadmap!C"&amp; MATCH($E55,Roadmap!$D:$D,0)+COUNTIF($E55:AA55,"u")+COUNTIF($E55:AA55,"t"),
     INDEX(Roadmap!$D:$K,MATCH($E55,Roadmap!$D:$D,0)+COUNTIF($E55:AA55,"u")+COUNTIF($E55:AA55,"t")+COUNTIF($E55:AA55,"¶")+COUNTIF($E55:AA55,"²")+COUNTIF($E55:AA55,"µ")+COUNTIF($E55:AA55,1),ColTypeEcheance)),
  IF(LEN(AA55)=1,
  IF(LEN(INDEX(Roadmap!$D:$K,MATCH($E55,Roadmap!$D:$D,0)-1+COUNTIF($E55:AA55,"u")+COUNTIF($E55:AA55,"t")+COUNTIF($E55:AA55,"¶")+COUNTIF($E55:AA55,"²")+COUNTIF($E55:AA55,"µ")+COUNTIF($E55:AA55,1),ColDescriptionCourte))&gt;1,
HYPERLINK("#Roadmap!C"&amp; MATCH($E55,Roadmap!$D:$D,0)+COUNTIF($E55:AA55,"u")+COUNTIF($E55:AA55,"t")+COUNTIF($E55:AA55,"¶")+COUNTIF($E55:AA55,"²")+COUNTIF($E55:AA55,"µ")+COUNTIF($E55:AA55,1)-1,INDEX(Roadmap!$D:$K,MATCH($E55,Roadmap!$D:$D,0)-1+COUNTIF($E55:AA55,"u")+COUNTIF($E55:AA55,"t")+COUNTIF($E55:AA55,"¶")+COUNTIF($E55:AA55,"²")+COUNTIF($E55:AA55,"µ")+COUNTIF($E55:AA55,1),ColDescriptionCourte)),""),
  "")),"")</f>
        <v/>
      </c>
      <c r="AC55" s="40" t="str">
        <f ca="1">IFERROR(IF(AND(
  INDEX(Roadmap!$D:$K,MATCH($E55,Roadmap!$D:$D,0)+COUNTIF($E55:AB55,"u")+COUNTIF($E55:AB55,"t")+COUNTIF($E55:AB55,"¶")+COUNTIF($E55:AB55,"²")+COUNTIF($E55:AB55,"µ")+COUNTIF($E55:AB55,1),ColLivraison)=AC$6,
  VLOOKUP($E55,INDIRECT("tri!"&amp; CHAR(64+ C0Col) &amp;":"&amp; CHAR(65+C0Col)),2,FALSE)&gt;COUNTIF($E55:AB55,"u")+COUNTIF($E55:AB55,"t")+COUNTIF($E55:AB55,"¶")+COUNTIF($E55:AB55,"²")+COUNTIF($E55:AB55,"µ")+COUNTIF($E55:AB55,1)),
HYPERLINK("#Roadmap!C"&amp; MATCH($E55,Roadmap!$D:$D,0)+COUNTIF($E55:AB55,"u")+COUNTIF($E55:AB55,"t"),
     INDEX(Roadmap!$D:$K,MATCH($E55,Roadmap!$D:$D,0)+COUNTIF($E55:AB55,"u")+COUNTIF($E55:AB55,"t")+COUNTIF($E55:AB55,"¶")+COUNTIF($E55:AB55,"²")+COUNTIF($E55:AB55,"µ")+COUNTIF($E55:AB55,1),ColTypeEcheance)),
  IF(LEN(AB55)=1,
  IF(LEN(INDEX(Roadmap!$D:$K,MATCH($E55,Roadmap!$D:$D,0)-1+COUNTIF($E55:AB55,"u")+COUNTIF($E55:AB55,"t")+COUNTIF($E55:AB55,"¶")+COUNTIF($E55:AB55,"²")+COUNTIF($E55:AB55,"µ")+COUNTIF($E55:AB55,1),ColDescriptionCourte))&gt;1,
HYPERLINK("#Roadmap!C"&amp; MATCH($E55,Roadmap!$D:$D,0)+COUNTIF($E55:AB55,"u")+COUNTIF($E55:AB55,"t")+COUNTIF($E55:AB55,"¶")+COUNTIF($E55:AB55,"²")+COUNTIF($E55:AB55,"µ")+COUNTIF($E55:AB55,1)-1,INDEX(Roadmap!$D:$K,MATCH($E55,Roadmap!$D:$D,0)-1+COUNTIF($E55:AB55,"u")+COUNTIF($E55:AB55,"t")+COUNTIF($E55:AB55,"¶")+COUNTIF($E55:AB55,"²")+COUNTIF($E55:AB55,"µ")+COUNTIF($E55:AB55,1),ColDescriptionCourte)),""),
  "")),"")</f>
        <v/>
      </c>
      <c r="AD55" s="40" t="str">
        <f ca="1">IFERROR(IF(AND(
  INDEX(Roadmap!$D:$K,MATCH($E55,Roadmap!$D:$D,0)+COUNTIF($E55:AC55,"u")+COUNTIF($E55:AC55,"t")+COUNTIF($E55:AC55,"¶")+COUNTIF($E55:AC55,"²")+COUNTIF($E55:AC55,"µ")+COUNTIF($E55:AC55,1),ColLivraison)=AD$6,
  VLOOKUP($E55,INDIRECT("tri!"&amp; CHAR(64+ C0Col) &amp;":"&amp; CHAR(65+C0Col)),2,FALSE)&gt;COUNTIF($E55:AC55,"u")+COUNTIF($E55:AC55,"t")+COUNTIF($E55:AC55,"¶")+COUNTIF($E55:AC55,"²")+COUNTIF($E55:AC55,"µ")+COUNTIF($E55:AC55,1)),
HYPERLINK("#Roadmap!C"&amp; MATCH($E55,Roadmap!$D:$D,0)+COUNTIF($E55:AC55,"u")+COUNTIF($E55:AC55,"t"),
     INDEX(Roadmap!$D:$K,MATCH($E55,Roadmap!$D:$D,0)+COUNTIF($E55:AC55,"u")+COUNTIF($E55:AC55,"t")+COUNTIF($E55:AC55,"¶")+COUNTIF($E55:AC55,"²")+COUNTIF($E55:AC55,"µ")+COUNTIF($E55:AC55,1),ColTypeEcheance)),
  IF(LEN(AC55)=1,
  IF(LEN(INDEX(Roadmap!$D:$K,MATCH($E55,Roadmap!$D:$D,0)-1+COUNTIF($E55:AC55,"u")+COUNTIF($E55:AC55,"t")+COUNTIF($E55:AC55,"¶")+COUNTIF($E55:AC55,"²")+COUNTIF($E55:AC55,"µ")+COUNTIF($E55:AC55,1),ColDescriptionCourte))&gt;1,
HYPERLINK("#Roadmap!C"&amp; MATCH($E55,Roadmap!$D:$D,0)+COUNTIF($E55:AC55,"u")+COUNTIF($E55:AC55,"t")+COUNTIF($E55:AC55,"¶")+COUNTIF($E55:AC55,"²")+COUNTIF($E55:AC55,"µ")+COUNTIF($E55:AC55,1)-1,INDEX(Roadmap!$D:$K,MATCH($E55,Roadmap!$D:$D,0)-1+COUNTIF($E55:AC55,"u")+COUNTIF($E55:AC55,"t")+COUNTIF($E55:AC55,"¶")+COUNTIF($E55:AC55,"²")+COUNTIF($E55:AC55,"µ")+COUNTIF($E55:AC55,1),ColDescriptionCourte)),""),
  "")),"")</f>
        <v/>
      </c>
      <c r="AE55" s="40" t="str">
        <f ca="1">IFERROR(IF(AND(
  INDEX(Roadmap!$D:$K,MATCH($E55,Roadmap!$D:$D,0)+COUNTIF($E55:AD55,"u")+COUNTIF($E55:AD55,"t")+COUNTIF($E55:AD55,"¶")+COUNTIF($E55:AD55,"²")+COUNTIF($E55:AD55,"µ")+COUNTIF($E55:AD55,1),ColLivraison)=AE$6,
  VLOOKUP($E55,INDIRECT("tri!"&amp; CHAR(64+ C0Col) &amp;":"&amp; CHAR(65+C0Col)),2,FALSE)&gt;COUNTIF($E55:AD55,"u")+COUNTIF($E55:AD55,"t")+COUNTIF($E55:AD55,"¶")+COUNTIF($E55:AD55,"²")+COUNTIF($E55:AD55,"µ")+COUNTIF($E55:AD55,1)),
HYPERLINK("#Roadmap!C"&amp; MATCH($E55,Roadmap!$D:$D,0)+COUNTIF($E55:AD55,"u")+COUNTIF($E55:AD55,"t"),
     INDEX(Roadmap!$D:$K,MATCH($E55,Roadmap!$D:$D,0)+COUNTIF($E55:AD55,"u")+COUNTIF($E55:AD55,"t")+COUNTIF($E55:AD55,"¶")+COUNTIF($E55:AD55,"²")+COUNTIF($E55:AD55,"µ")+COUNTIF($E55:AD55,1),ColTypeEcheance)),
  IF(LEN(AD55)=1,
  IF(LEN(INDEX(Roadmap!$D:$K,MATCH($E55,Roadmap!$D:$D,0)-1+COUNTIF($E55:AD55,"u")+COUNTIF($E55:AD55,"t")+COUNTIF($E55:AD55,"¶")+COUNTIF($E55:AD55,"²")+COUNTIF($E55:AD55,"µ")+COUNTIF($E55:AD55,1),ColDescriptionCourte))&gt;1,
HYPERLINK("#Roadmap!C"&amp; MATCH($E55,Roadmap!$D:$D,0)+COUNTIF($E55:AD55,"u")+COUNTIF($E55:AD55,"t")+COUNTIF($E55:AD55,"¶")+COUNTIF($E55:AD55,"²")+COUNTIF($E55:AD55,"µ")+COUNTIF($E55:AD55,1)-1,INDEX(Roadmap!$D:$K,MATCH($E55,Roadmap!$D:$D,0)-1+COUNTIF($E55:AD55,"u")+COUNTIF($E55:AD55,"t")+COUNTIF($E55:AD55,"¶")+COUNTIF($E55:AD55,"²")+COUNTIF($E55:AD55,"µ")+COUNTIF($E55:AD55,1),ColDescriptionCourte)),""),
  "")),"")</f>
        <v/>
      </c>
      <c r="AF55" s="40" t="str">
        <f ca="1">IFERROR(IF(AND(
  INDEX(Roadmap!$D:$K,MATCH($E55,Roadmap!$D:$D,0)+COUNTIF($E55:AE55,"u")+COUNTIF($E55:AE55,"t")+COUNTIF($E55:AE55,"¶")+COUNTIF($E55:AE55,"²")+COUNTIF($E55:AE55,"µ")+COUNTIF($E55:AE55,1),ColLivraison)=AF$6,
  VLOOKUP($E55,INDIRECT("tri!"&amp; CHAR(64+ C0Col) &amp;":"&amp; CHAR(65+C0Col)),2,FALSE)&gt;COUNTIF($E55:AE55,"u")+COUNTIF($E55:AE55,"t")+COUNTIF($E55:AE55,"¶")+COUNTIF($E55:AE55,"²")+COUNTIF($E55:AE55,"µ")+COUNTIF($E55:AE55,1)),
HYPERLINK("#Roadmap!C"&amp; MATCH($E55,Roadmap!$D:$D,0)+COUNTIF($E55:AE55,"u")+COUNTIF($E55:AE55,"t"),
     INDEX(Roadmap!$D:$K,MATCH($E55,Roadmap!$D:$D,0)+COUNTIF($E55:AE55,"u")+COUNTIF($E55:AE55,"t")+COUNTIF($E55:AE55,"¶")+COUNTIF($E55:AE55,"²")+COUNTIF($E55:AE55,"µ")+COUNTIF($E55:AE55,1),ColTypeEcheance)),
  IF(LEN(AE55)=1,
  IF(LEN(INDEX(Roadmap!$D:$K,MATCH($E55,Roadmap!$D:$D,0)-1+COUNTIF($E55:AE55,"u")+COUNTIF($E55:AE55,"t")+COUNTIF($E55:AE55,"¶")+COUNTIF($E55:AE55,"²")+COUNTIF($E55:AE55,"µ")+COUNTIF($E55:AE55,1),ColDescriptionCourte))&gt;1,
HYPERLINK("#Roadmap!C"&amp; MATCH($E55,Roadmap!$D:$D,0)+COUNTIF($E55:AE55,"u")+COUNTIF($E55:AE55,"t")+COUNTIF($E55:AE55,"¶")+COUNTIF($E55:AE55,"²")+COUNTIF($E55:AE55,"µ")+COUNTIF($E55:AE55,1)-1,INDEX(Roadmap!$D:$K,MATCH($E55,Roadmap!$D:$D,0)-1+COUNTIF($E55:AE55,"u")+COUNTIF($E55:AE55,"t")+COUNTIF($E55:AE55,"¶")+COUNTIF($E55:AE55,"²")+COUNTIF($E55:AE55,"µ")+COUNTIF($E55:AE55,1),ColDescriptionCourte)),""),
  "")),"")</f>
        <v/>
      </c>
      <c r="AG55" s="40" t="str">
        <f ca="1">IFERROR(IF(AND(
  INDEX(Roadmap!$D:$K,MATCH($E55,Roadmap!$D:$D,0)+COUNTIF($E55:AF55,"u")+COUNTIF($E55:AF55,"t")+COUNTIF($E55:AF55,"¶")+COUNTIF($E55:AF55,"²")+COUNTIF($E55:AF55,"µ")+COUNTIF($E55:AF55,1),ColLivraison)=AG$6,
  VLOOKUP($E55,INDIRECT("tri!"&amp; CHAR(64+ C0Col) &amp;":"&amp; CHAR(65+C0Col)),2,FALSE)&gt;COUNTIF($E55:AF55,"u")+COUNTIF($E55:AF55,"t")+COUNTIF($E55:AF55,"¶")+COUNTIF($E55:AF55,"²")+COUNTIF($E55:AF55,"µ")+COUNTIF($E55:AF55,1)),
HYPERLINK("#Roadmap!C"&amp; MATCH($E55,Roadmap!$D:$D,0)+COUNTIF($E55:AF55,"u")+COUNTIF($E55:AF55,"t"),
     INDEX(Roadmap!$D:$K,MATCH($E55,Roadmap!$D:$D,0)+COUNTIF($E55:AF55,"u")+COUNTIF($E55:AF55,"t")+COUNTIF($E55:AF55,"¶")+COUNTIF($E55:AF55,"²")+COUNTIF($E55:AF55,"µ")+COUNTIF($E55:AF55,1),ColTypeEcheance)),
  IF(LEN(AF55)=1,
  IF(LEN(INDEX(Roadmap!$D:$K,MATCH($E55,Roadmap!$D:$D,0)-1+COUNTIF($E55:AF55,"u")+COUNTIF($E55:AF55,"t")+COUNTIF($E55:AF55,"¶")+COUNTIF($E55:AF55,"²")+COUNTIF($E55:AF55,"µ")+COUNTIF($E55:AF55,1),ColDescriptionCourte))&gt;1,
HYPERLINK("#Roadmap!C"&amp; MATCH($E55,Roadmap!$D:$D,0)+COUNTIF($E55:AF55,"u")+COUNTIF($E55:AF55,"t")+COUNTIF($E55:AF55,"¶")+COUNTIF($E55:AF55,"²")+COUNTIF($E55:AF55,"µ")+COUNTIF($E55:AF55,1)-1,INDEX(Roadmap!$D:$K,MATCH($E55,Roadmap!$D:$D,0)-1+COUNTIF($E55:AF55,"u")+COUNTIF($E55:AF55,"t")+COUNTIF($E55:AF55,"¶")+COUNTIF($E55:AF55,"²")+COUNTIF($E55:AF55,"µ")+COUNTIF($E55:AF55,1),ColDescriptionCourte)),""),
  "")),"")</f>
        <v/>
      </c>
    </row>
    <row r="56" spans="3:33" ht="14.25" customHeight="1">
      <c r="C56" s="1" t="str">
        <f t="shared" ca="1" si="44"/>
        <v/>
      </c>
      <c r="D56" s="1" t="str">
        <f t="shared" ca="1" si="45"/>
        <v/>
      </c>
      <c r="E56" s="35" t="str">
        <f t="shared" ca="1" si="33"/>
        <v/>
      </c>
      <c r="F56" s="39" t="str">
        <f ca="1">IFERROR(IF(AND(
  INDEX(Roadmap!$D:$K,MATCH($E56,Roadmap!$D:$D,0)+COUNTIF($E56:E56,"u")+COUNTIF($E56:E56,"t")+COUNTIF($E56:E56,"¶")+COUNTIF($E56:E56,"²")+COUNTIF($E56:E56,"µ")+COUNTIF($E56:E56,1),ColLivraison)=F$6,
  VLOOKUP($E56,INDIRECT("tri!"&amp; CHAR(64+ C0Col) &amp;":"&amp; CHAR(65+C0Col)),2,FALSE)&gt;COUNTIF($E56:E56,"u")+COUNTIF($E56:E56,"t")+COUNTIF($E56:E56,"¶")+COUNTIF($E56:E56,"²")+COUNTIF($E56:E56,"µ")+COUNTIF($E56:E56,1)),
HYPERLINK("#Roadmap!C"&amp; MATCH($E56,Roadmap!$D:$D,0)+COUNTIF($E56:E56,"u")+COUNTIF($E56:E56,"t"),
     INDEX(Roadmap!$D:$K,MATCH($E56,Roadmap!$D:$D,0)+COUNTIF($E56:E56,"u")+COUNTIF($E56:E56,"t")+COUNTIF($E56:E56,"¶")+COUNTIF($E56:E56,"²")+COUNTIF($E56:E56,"µ")+COUNTIF($E56:E56,1),ColTypeEcheance)),
  IF(LEN(E56)=1,
  IF(LEN(INDEX(Roadmap!$D:$K,MATCH($E56,Roadmap!$D:$D,0)-1+COUNTIF($E56:E56,"u")+COUNTIF($E56:E56,"t")+COUNTIF($E56:E56,"¶")+COUNTIF($E56:E56,"²")+COUNTIF($E56:E56,"µ")+COUNTIF($E56:E56,1),ColDescriptionCourte))&gt;1,
HYPERLINK("#Roadmap!C"&amp; MATCH($E56,Roadmap!$D:$D,0)+COUNTIF($E56:E56,"u")+COUNTIF($E56:E56,"t")+COUNTIF($E56:E56,"¶")+COUNTIF($E56:E56,"²")+COUNTIF($E56:E56,"µ")+COUNTIF($E56:E56,1)-1,INDEX(Roadmap!$D:$K,MATCH($E56,Roadmap!$D:$D,0)-1+COUNTIF($E56:E56,"u")+COUNTIF($E56:E56,"t")+COUNTIF($E56:E56,"¶")+COUNTIF($E56:E56,"²")+COUNTIF($E56:E56,"µ")+COUNTIF($E56:E56,1),ColDescriptionCourte)),""),
  "")),"")</f>
        <v/>
      </c>
      <c r="G56" s="40" t="str">
        <f ca="1">IFERROR(IF(AND(
  INDEX(Roadmap!$D:$K,MATCH($E56,Roadmap!$D:$D,0)+COUNTIF($E56:F56,"u")+COUNTIF($E56:F56,"t")+COUNTIF($E56:F56,"¶")+COUNTIF($E56:F56,"²")+COUNTIF($E56:F56,"µ")+COUNTIF($E56:F56,1),ColLivraison)=G$6,
  VLOOKUP($E56,INDIRECT("tri!"&amp; CHAR(64+ C0Col) &amp;":"&amp; CHAR(65+C0Col)),2,FALSE)&gt;COUNTIF($E56:F56,"u")+COUNTIF($E56:F56,"t")+COUNTIF($E56:F56,"¶")+COUNTIF($E56:F56,"²")+COUNTIF($E56:F56,"µ")+COUNTIF($E56:F56,1)),
HYPERLINK("#Roadmap!C"&amp; MATCH($E56,Roadmap!$D:$D,0)+COUNTIF($E56:F56,"u")+COUNTIF($E56:F56,"t"),
     INDEX(Roadmap!$D:$K,MATCH($E56,Roadmap!$D:$D,0)+COUNTIF($E56:F56,"u")+COUNTIF($E56:F56,"t")+COUNTIF($E56:F56,"¶")+COUNTIF($E56:F56,"²")+COUNTIF($E56:F56,"µ")+COUNTIF($E56:F56,1),ColTypeEcheance)),
  IF(LEN(F56)=1,
  IF(LEN(INDEX(Roadmap!$D:$K,MATCH($E56,Roadmap!$D:$D,0)-1+COUNTIF($E56:F56,"u")+COUNTIF($E56:F56,"t")+COUNTIF($E56:F56,"¶")+COUNTIF($E56:F56,"²")+COUNTIF($E56:F56,"µ")+COUNTIF($E56:F56,1),ColDescriptionCourte))&gt;1,
HYPERLINK("#Roadmap!C"&amp; MATCH($E56,Roadmap!$D:$D,0)+COUNTIF($E56:F56,"u")+COUNTIF($E56:F56,"t")+COUNTIF($E56:F56,"¶")+COUNTIF($E56:F56,"²")+COUNTIF($E56:F56,"µ")+COUNTIF($E56:F56,1)-1,INDEX(Roadmap!$D:$K,MATCH($E56,Roadmap!$D:$D,0)-1+COUNTIF($E56:F56,"u")+COUNTIF($E56:F56,"t")+COUNTIF($E56:F56,"¶")+COUNTIF($E56:F56,"²")+COUNTIF($E56:F56,"µ")+COUNTIF($E56:F56,1),ColDescriptionCourte)),""),
  "")),"")</f>
        <v/>
      </c>
      <c r="H56" s="40" t="str">
        <f ca="1">IFERROR(IF(AND(
  INDEX(Roadmap!$D:$K,MATCH($E56,Roadmap!$D:$D,0)+COUNTIF($E56:G56,"u")+COUNTIF($E56:G56,"t")+COUNTIF($E56:G56,"¶")+COUNTIF($E56:G56,"²")+COUNTIF($E56:G56,"µ")+COUNTIF($E56:G56,1),ColLivraison)=H$6,
  VLOOKUP($E56,INDIRECT("tri!"&amp; CHAR(64+ C0Col) &amp;":"&amp; CHAR(65+C0Col)),2,FALSE)&gt;COUNTIF($E56:G56,"u")+COUNTIF($E56:G56,"t")+COUNTIF($E56:G56,"¶")+COUNTIF($E56:G56,"²")+COUNTIF($E56:G56,"µ")+COUNTIF($E56:G56,1)),
HYPERLINK("#Roadmap!C"&amp; MATCH($E56,Roadmap!$D:$D,0)+COUNTIF($E56:G56,"u")+COUNTIF($E56:G56,"t"),
     INDEX(Roadmap!$D:$K,MATCH($E56,Roadmap!$D:$D,0)+COUNTIF($E56:G56,"u")+COUNTIF($E56:G56,"t")+COUNTIF($E56:G56,"¶")+COUNTIF($E56:G56,"²")+COUNTIF($E56:G56,"µ")+COUNTIF($E56:G56,1),ColTypeEcheance)),
  IF(LEN(G56)=1,
  IF(LEN(INDEX(Roadmap!$D:$K,MATCH($E56,Roadmap!$D:$D,0)-1+COUNTIF($E56:G56,"u")+COUNTIF($E56:G56,"t")+COUNTIF($E56:G56,"¶")+COUNTIF($E56:G56,"²")+COUNTIF($E56:G56,"µ")+COUNTIF($E56:G56,1),ColDescriptionCourte))&gt;1,
HYPERLINK("#Roadmap!C"&amp; MATCH($E56,Roadmap!$D:$D,0)+COUNTIF($E56:G56,"u")+COUNTIF($E56:G56,"t")+COUNTIF($E56:G56,"¶")+COUNTIF($E56:G56,"²")+COUNTIF($E56:G56,"µ")+COUNTIF($E56:G56,1)-1,INDEX(Roadmap!$D:$K,MATCH($E56,Roadmap!$D:$D,0)-1+COUNTIF($E56:G56,"u")+COUNTIF($E56:G56,"t")+COUNTIF($E56:G56,"¶")+COUNTIF($E56:G56,"²")+COUNTIF($E56:G56,"µ")+COUNTIF($E56:G56,1),ColDescriptionCourte)),""),
  "")),"")</f>
        <v/>
      </c>
      <c r="I56" s="40" t="str">
        <f ca="1">IFERROR(IF(AND(
  INDEX(Roadmap!$D:$K,MATCH($E56,Roadmap!$D:$D,0)+COUNTIF($E56:H56,"u")+COUNTIF($E56:H56,"t")+COUNTIF($E56:H56,"¶")+COUNTIF($E56:H56,"²")+COUNTIF($E56:H56,"µ")+COUNTIF($E56:H56,1),ColLivraison)=I$6,
  VLOOKUP($E56,INDIRECT("tri!"&amp; CHAR(64+ C0Col) &amp;":"&amp; CHAR(65+C0Col)),2,FALSE)&gt;COUNTIF($E56:H56,"u")+COUNTIF($E56:H56,"t")+COUNTIF($E56:H56,"¶")+COUNTIF($E56:H56,"²")+COUNTIF($E56:H56,"µ")+COUNTIF($E56:H56,1)),
HYPERLINK("#Roadmap!C"&amp; MATCH($E56,Roadmap!$D:$D,0)+COUNTIF($E56:H56,"u")+COUNTIF($E56:H56,"t"),
     INDEX(Roadmap!$D:$K,MATCH($E56,Roadmap!$D:$D,0)+COUNTIF($E56:H56,"u")+COUNTIF($E56:H56,"t")+COUNTIF($E56:H56,"¶")+COUNTIF($E56:H56,"²")+COUNTIF($E56:H56,"µ")+COUNTIF($E56:H56,1),ColTypeEcheance)),
  IF(LEN(H56)=1,
  IF(LEN(INDEX(Roadmap!$D:$K,MATCH($E56,Roadmap!$D:$D,0)-1+COUNTIF($E56:H56,"u")+COUNTIF($E56:H56,"t")+COUNTIF($E56:H56,"¶")+COUNTIF($E56:H56,"²")+COUNTIF($E56:H56,"µ")+COUNTIF($E56:H56,1),ColDescriptionCourte))&gt;1,
HYPERLINK("#Roadmap!C"&amp; MATCH($E56,Roadmap!$D:$D,0)+COUNTIF($E56:H56,"u")+COUNTIF($E56:H56,"t")+COUNTIF($E56:H56,"¶")+COUNTIF($E56:H56,"²")+COUNTIF($E56:H56,"µ")+COUNTIF($E56:H56,1)-1,INDEX(Roadmap!$D:$K,MATCH($E56,Roadmap!$D:$D,0)-1+COUNTIF($E56:H56,"u")+COUNTIF($E56:H56,"t")+COUNTIF($E56:H56,"¶")+COUNTIF($E56:H56,"²")+COUNTIF($E56:H56,"µ")+COUNTIF($E56:H56,1),ColDescriptionCourte)),""),
  "")),"")</f>
        <v/>
      </c>
      <c r="J56" s="40" t="str">
        <f ca="1">IFERROR(IF(AND(
  INDEX(Roadmap!$D:$K,MATCH($E56,Roadmap!$D:$D,0)+COUNTIF($E56:I56,"u")+COUNTIF($E56:I56,"t")+COUNTIF($E56:I56,"¶")+COUNTIF($E56:I56,"²")+COUNTIF($E56:I56,"µ")+COUNTIF($E56:I56,1),ColLivraison)=J$6,
  VLOOKUP($E56,INDIRECT("tri!"&amp; CHAR(64+ C0Col) &amp;":"&amp; CHAR(65+C0Col)),2,FALSE)&gt;COUNTIF($E56:I56,"u")+COUNTIF($E56:I56,"t")+COUNTIF($E56:I56,"¶")+COUNTIF($E56:I56,"²")+COUNTIF($E56:I56,"µ")+COUNTIF($E56:I56,1)),
HYPERLINK("#Roadmap!C"&amp; MATCH($E56,Roadmap!$D:$D,0)+COUNTIF($E56:I56,"u")+COUNTIF($E56:I56,"t"),
     INDEX(Roadmap!$D:$K,MATCH($E56,Roadmap!$D:$D,0)+COUNTIF($E56:I56,"u")+COUNTIF($E56:I56,"t")+COUNTIF($E56:I56,"¶")+COUNTIF($E56:I56,"²")+COUNTIF($E56:I56,"µ")+COUNTIF($E56:I56,1),ColTypeEcheance)),
  IF(LEN(I56)=1,
  IF(LEN(INDEX(Roadmap!$D:$K,MATCH($E56,Roadmap!$D:$D,0)-1+COUNTIF($E56:I56,"u")+COUNTIF($E56:I56,"t")+COUNTIF($E56:I56,"¶")+COUNTIF($E56:I56,"²")+COUNTIF($E56:I56,"µ")+COUNTIF($E56:I56,1),ColDescriptionCourte))&gt;1,
HYPERLINK("#Roadmap!C"&amp; MATCH($E56,Roadmap!$D:$D,0)+COUNTIF($E56:I56,"u")+COUNTIF($E56:I56,"t")+COUNTIF($E56:I56,"¶")+COUNTIF($E56:I56,"²")+COUNTIF($E56:I56,"µ")+COUNTIF($E56:I56,1)-1,INDEX(Roadmap!$D:$K,MATCH($E56,Roadmap!$D:$D,0)-1+COUNTIF($E56:I56,"u")+COUNTIF($E56:I56,"t")+COUNTIF($E56:I56,"¶")+COUNTIF($E56:I56,"²")+COUNTIF($E56:I56,"µ")+COUNTIF($E56:I56,1),ColDescriptionCourte)),""),
  "")),"")</f>
        <v/>
      </c>
      <c r="K56" s="40" t="str">
        <f ca="1">IFERROR(IF(AND(
  INDEX(Roadmap!$D:$K,MATCH($E56,Roadmap!$D:$D,0)+COUNTIF($E56:J56,"u")+COUNTIF($E56:J56,"t")+COUNTIF($E56:J56,"¶")+COUNTIF($E56:J56,"²")+COUNTIF($E56:J56,"µ")+COUNTIF($E56:J56,1),ColLivraison)=K$6,
  VLOOKUP($E56,INDIRECT("tri!"&amp; CHAR(64+ C0Col) &amp;":"&amp; CHAR(65+C0Col)),2,FALSE)&gt;COUNTIF($E56:J56,"u")+COUNTIF($E56:J56,"t")+COUNTIF($E56:J56,"¶")+COUNTIF($E56:J56,"²")+COUNTIF($E56:J56,"µ")+COUNTIF($E56:J56,1)),
HYPERLINK("#Roadmap!C"&amp; MATCH($E56,Roadmap!$D:$D,0)+COUNTIF($E56:J56,"u")+COUNTIF($E56:J56,"t"),
     INDEX(Roadmap!$D:$K,MATCH($E56,Roadmap!$D:$D,0)+COUNTIF($E56:J56,"u")+COUNTIF($E56:J56,"t")+COUNTIF($E56:J56,"¶")+COUNTIF($E56:J56,"²")+COUNTIF($E56:J56,"µ")+COUNTIF($E56:J56,1),ColTypeEcheance)),
  IF(LEN(J56)=1,
  IF(LEN(INDEX(Roadmap!$D:$K,MATCH($E56,Roadmap!$D:$D,0)-1+COUNTIF($E56:J56,"u")+COUNTIF($E56:J56,"t")+COUNTIF($E56:J56,"¶")+COUNTIF($E56:J56,"²")+COUNTIF($E56:J56,"µ")+COUNTIF($E56:J56,1),ColDescriptionCourte))&gt;1,
HYPERLINK("#Roadmap!C"&amp; MATCH($E56,Roadmap!$D:$D,0)+COUNTIF($E56:J56,"u")+COUNTIF($E56:J56,"t")+COUNTIF($E56:J56,"¶")+COUNTIF($E56:J56,"²")+COUNTIF($E56:J56,"µ")+COUNTIF($E56:J56,1)-1,INDEX(Roadmap!$D:$K,MATCH($E56,Roadmap!$D:$D,0)-1+COUNTIF($E56:J56,"u")+COUNTIF($E56:J56,"t")+COUNTIF($E56:J56,"¶")+COUNTIF($E56:J56,"²")+COUNTIF($E56:J56,"µ")+COUNTIF($E56:J56,1),ColDescriptionCourte)),""),
  "")),"")</f>
        <v/>
      </c>
      <c r="L56" s="39" t="str">
        <f ca="1">IFERROR(IF(AND(
  INDEX(Roadmap!$D:$K,MATCH($E56,Roadmap!$D:$D,0)+COUNTIF($E56:K56,"u")+COUNTIF($E56:K56,"t")+COUNTIF($E56:K56,"¶")+COUNTIF($E56:K56,"²")+COUNTIF($E56:K56,"µ")+COUNTIF($E56:K56,1),ColLivraison)=L$6,
  VLOOKUP($E56,INDIRECT("tri!"&amp; CHAR(64+ C0Col) &amp;":"&amp; CHAR(65+C0Col)),2,FALSE)&gt;COUNTIF($E56:K56,"u")+COUNTIF($E56:K56,"t")+COUNTIF($E56:K56,"¶")+COUNTIF($E56:K56,"²")+COUNTIF($E56:K56,"µ")+COUNTIF($E56:K56,1)),
HYPERLINK("#Roadmap!C"&amp; MATCH($E56,Roadmap!$D:$D,0)+COUNTIF($E56:K56,"u")+COUNTIF($E56:K56,"t"),
     INDEX(Roadmap!$D:$K,MATCH($E56,Roadmap!$D:$D,0)+COUNTIF($E56:K56,"u")+COUNTIF($E56:K56,"t")+COUNTIF($E56:K56,"¶")+COUNTIF($E56:K56,"²")+COUNTIF($E56:K56,"µ")+COUNTIF($E56:K56,1),ColTypeEcheance)),
  IF(LEN(K56)=1,
  IF(LEN(INDEX(Roadmap!$D:$K,MATCH($E56,Roadmap!$D:$D,0)-1+COUNTIF($E56:K56,"u")+COUNTIF($E56:K56,"t")+COUNTIF($E56:K56,"¶")+COUNTIF($E56:K56,"²")+COUNTIF($E56:K56,"µ")+COUNTIF($E56:K56,1),ColDescriptionCourte))&gt;1,
HYPERLINK("#Roadmap!C"&amp; MATCH($E56,Roadmap!$D:$D,0)+COUNTIF($E56:K56,"u")+COUNTIF($E56:K56,"t")+COUNTIF($E56:K56,"¶")+COUNTIF($E56:K56,"²")+COUNTIF($E56:K56,"µ")+COUNTIF($E56:K56,1)-1,INDEX(Roadmap!$D:$K,MATCH($E56,Roadmap!$D:$D,0)-1+COUNTIF($E56:K56,"u")+COUNTIF($E56:K56,"t")+COUNTIF($E56:K56,"¶")+COUNTIF($E56:K56,"²")+COUNTIF($E56:K56,"µ")+COUNTIF($E56:K56,1),ColDescriptionCourte)),""),
  "")),"")</f>
        <v/>
      </c>
      <c r="M56" s="40" t="str">
        <f ca="1">IFERROR(IF(AND(
  INDEX(Roadmap!$D:$K,MATCH($E56,Roadmap!$D:$D,0)+COUNTIF($E56:L56,"u")+COUNTIF($E56:L56,"t")+COUNTIF($E56:L56,"¶")+COUNTIF($E56:L56,"²")+COUNTIF($E56:L56,"µ")+COUNTIF($E56:L56,1),ColLivraison)=M$6,
  VLOOKUP($E56,INDIRECT("tri!"&amp; CHAR(64+ C0Col) &amp;":"&amp; CHAR(65+C0Col)),2,FALSE)&gt;COUNTIF($E56:L56,"u")+COUNTIF($E56:L56,"t")+COUNTIF($E56:L56,"¶")+COUNTIF($E56:L56,"²")+COUNTIF($E56:L56,"µ")+COUNTIF($E56:L56,1)),
HYPERLINK("#Roadmap!C"&amp; MATCH($E56,Roadmap!$D:$D,0)+COUNTIF($E56:L56,"u")+COUNTIF($E56:L56,"t"),
     INDEX(Roadmap!$D:$K,MATCH($E56,Roadmap!$D:$D,0)+COUNTIF($E56:L56,"u")+COUNTIF($E56:L56,"t")+COUNTIF($E56:L56,"¶")+COUNTIF($E56:L56,"²")+COUNTIF($E56:L56,"µ")+COUNTIF($E56:L56,1),ColTypeEcheance)),
  IF(LEN(L56)=1,
  IF(LEN(INDEX(Roadmap!$D:$K,MATCH($E56,Roadmap!$D:$D,0)-1+COUNTIF($E56:L56,"u")+COUNTIF($E56:L56,"t")+COUNTIF($E56:L56,"¶")+COUNTIF($E56:L56,"²")+COUNTIF($E56:L56,"µ")+COUNTIF($E56:L56,1),ColDescriptionCourte))&gt;1,
HYPERLINK("#Roadmap!C"&amp; MATCH($E56,Roadmap!$D:$D,0)+COUNTIF($E56:L56,"u")+COUNTIF($E56:L56,"t")+COUNTIF($E56:L56,"¶")+COUNTIF($E56:L56,"²")+COUNTIF($E56:L56,"µ")+COUNTIF($E56:L56,1)-1,INDEX(Roadmap!$D:$K,MATCH($E56,Roadmap!$D:$D,0)-1+COUNTIF($E56:L56,"u")+COUNTIF($E56:L56,"t")+COUNTIF($E56:L56,"¶")+COUNTIF($E56:L56,"²")+COUNTIF($E56:L56,"µ")+COUNTIF($E56:L56,1),ColDescriptionCourte)),""),
  "")),"")</f>
        <v/>
      </c>
      <c r="N56" s="40" t="str">
        <f ca="1">IFERROR(IF(AND(
  INDEX(Roadmap!$D:$K,MATCH($E56,Roadmap!$D:$D,0)+COUNTIF($E56:M56,"u")+COUNTIF($E56:M56,"t")+COUNTIF($E56:M56,"¶")+COUNTIF($E56:M56,"²")+COUNTIF($E56:M56,"µ")+COUNTIF($E56:M56,1),ColLivraison)=N$6,
  VLOOKUP($E56,INDIRECT("tri!"&amp; CHAR(64+ C0Col) &amp;":"&amp; CHAR(65+C0Col)),2,FALSE)&gt;COUNTIF($E56:M56,"u")+COUNTIF($E56:M56,"t")+COUNTIF($E56:M56,"¶")+COUNTIF($E56:M56,"²")+COUNTIF($E56:M56,"µ")+COUNTIF($E56:M56,1)),
HYPERLINK("#Roadmap!C"&amp; MATCH($E56,Roadmap!$D:$D,0)+COUNTIF($E56:M56,"u")+COUNTIF($E56:M56,"t"),
     INDEX(Roadmap!$D:$K,MATCH($E56,Roadmap!$D:$D,0)+COUNTIF($E56:M56,"u")+COUNTIF($E56:M56,"t")+COUNTIF($E56:M56,"¶")+COUNTIF($E56:M56,"²")+COUNTIF($E56:M56,"µ")+COUNTIF($E56:M56,1),ColTypeEcheance)),
  IF(LEN(M56)=1,
  IF(LEN(INDEX(Roadmap!$D:$K,MATCH($E56,Roadmap!$D:$D,0)-1+COUNTIF($E56:M56,"u")+COUNTIF($E56:M56,"t")+COUNTIF($E56:M56,"¶")+COUNTIF($E56:M56,"²")+COUNTIF($E56:M56,"µ")+COUNTIF($E56:M56,1),ColDescriptionCourte))&gt;1,
HYPERLINK("#Roadmap!C"&amp; MATCH($E56,Roadmap!$D:$D,0)+COUNTIF($E56:M56,"u")+COUNTIF($E56:M56,"t")+COUNTIF($E56:M56,"¶")+COUNTIF($E56:M56,"²")+COUNTIF($E56:M56,"µ")+COUNTIF($E56:M56,1)-1,INDEX(Roadmap!$D:$K,MATCH($E56,Roadmap!$D:$D,0)-1+COUNTIF($E56:M56,"u")+COUNTIF($E56:M56,"t")+COUNTIF($E56:M56,"¶")+COUNTIF($E56:M56,"²")+COUNTIF($E56:M56,"µ")+COUNTIF($E56:M56,1),ColDescriptionCourte)),""),
  "")),"")</f>
        <v/>
      </c>
      <c r="O56" s="40" t="str">
        <f ca="1">IFERROR(IF(AND(
  INDEX(Roadmap!$D:$K,MATCH($E56,Roadmap!$D:$D,0)+COUNTIF($E56:N56,"u")+COUNTIF($E56:N56,"t")+COUNTIF($E56:N56,"¶")+COUNTIF($E56:N56,"²")+COUNTIF($E56:N56,"µ")+COUNTIF($E56:N56,1),ColLivraison)=O$6,
  VLOOKUP($E56,INDIRECT("tri!"&amp; CHAR(64+ C0Col) &amp;":"&amp; CHAR(65+C0Col)),2,FALSE)&gt;COUNTIF($E56:N56,"u")+COUNTIF($E56:N56,"t")+COUNTIF($E56:N56,"¶")+COUNTIF($E56:N56,"²")+COUNTIF($E56:N56,"µ")+COUNTIF($E56:N56,1)),
HYPERLINK("#Roadmap!C"&amp; MATCH($E56,Roadmap!$D:$D,0)+COUNTIF($E56:N56,"u")+COUNTIF($E56:N56,"t"),
     INDEX(Roadmap!$D:$K,MATCH($E56,Roadmap!$D:$D,0)+COUNTIF($E56:N56,"u")+COUNTIF($E56:N56,"t")+COUNTIF($E56:N56,"¶")+COUNTIF($E56:N56,"²")+COUNTIF($E56:N56,"µ")+COUNTIF($E56:N56,1),ColTypeEcheance)),
  IF(LEN(N56)=1,
  IF(LEN(INDEX(Roadmap!$D:$K,MATCH($E56,Roadmap!$D:$D,0)-1+COUNTIF($E56:N56,"u")+COUNTIF($E56:N56,"t")+COUNTIF($E56:N56,"¶")+COUNTIF($E56:N56,"²")+COUNTIF($E56:N56,"µ")+COUNTIF($E56:N56,1),ColDescriptionCourte))&gt;1,
HYPERLINK("#Roadmap!C"&amp; MATCH($E56,Roadmap!$D:$D,0)+COUNTIF($E56:N56,"u")+COUNTIF($E56:N56,"t")+COUNTIF($E56:N56,"¶")+COUNTIF($E56:N56,"²")+COUNTIF($E56:N56,"µ")+COUNTIF($E56:N56,1)-1,INDEX(Roadmap!$D:$K,MATCH($E56,Roadmap!$D:$D,0)-1+COUNTIF($E56:N56,"u")+COUNTIF($E56:N56,"t")+COUNTIF($E56:N56,"¶")+COUNTIF($E56:N56,"²")+COUNTIF($E56:N56,"µ")+COUNTIF($E56:N56,1),ColDescriptionCourte)),""),
  "")),"")</f>
        <v/>
      </c>
      <c r="P56" s="40" t="str">
        <f ca="1">IFERROR(IF(AND(
  INDEX(Roadmap!$D:$K,MATCH($E56,Roadmap!$D:$D,0)+COUNTIF($E56:O56,"u")+COUNTIF($E56:O56,"t")+COUNTIF($E56:O56,"¶")+COUNTIF($E56:O56,"²")+COUNTIF($E56:O56,"µ")+COUNTIF($E56:O56,1),ColLivraison)=P$6,
  VLOOKUP($E56,INDIRECT("tri!"&amp; CHAR(64+ C0Col) &amp;":"&amp; CHAR(65+C0Col)),2,FALSE)&gt;COUNTIF($E56:O56,"u")+COUNTIF($E56:O56,"t")+COUNTIF($E56:O56,"¶")+COUNTIF($E56:O56,"²")+COUNTIF($E56:O56,"µ")+COUNTIF($E56:O56,1)),
HYPERLINK("#Roadmap!C"&amp; MATCH($E56,Roadmap!$D:$D,0)+COUNTIF($E56:O56,"u")+COUNTIF($E56:O56,"t"),
     INDEX(Roadmap!$D:$K,MATCH($E56,Roadmap!$D:$D,0)+COUNTIF($E56:O56,"u")+COUNTIF($E56:O56,"t")+COUNTIF($E56:O56,"¶")+COUNTIF($E56:O56,"²")+COUNTIF($E56:O56,"µ")+COUNTIF($E56:O56,1),ColTypeEcheance)),
  IF(LEN(O56)=1,
  IF(LEN(INDEX(Roadmap!$D:$K,MATCH($E56,Roadmap!$D:$D,0)-1+COUNTIF($E56:O56,"u")+COUNTIF($E56:O56,"t")+COUNTIF($E56:O56,"¶")+COUNTIF($E56:O56,"²")+COUNTIF($E56:O56,"µ")+COUNTIF($E56:O56,1),ColDescriptionCourte))&gt;1,
HYPERLINK("#Roadmap!C"&amp; MATCH($E56,Roadmap!$D:$D,0)+COUNTIF($E56:O56,"u")+COUNTIF($E56:O56,"t")+COUNTIF($E56:O56,"¶")+COUNTIF($E56:O56,"²")+COUNTIF($E56:O56,"µ")+COUNTIF($E56:O56,1)-1,INDEX(Roadmap!$D:$K,MATCH($E56,Roadmap!$D:$D,0)-1+COUNTIF($E56:O56,"u")+COUNTIF($E56:O56,"t")+COUNTIF($E56:O56,"¶")+COUNTIF($E56:O56,"²")+COUNTIF($E56:O56,"µ")+COUNTIF($E56:O56,1),ColDescriptionCourte)),""),
  "")),"")</f>
        <v/>
      </c>
      <c r="Q56" s="40" t="str">
        <f ca="1">IFERROR(IF(AND(
  INDEX(Roadmap!$D:$K,MATCH($E56,Roadmap!$D:$D,0)+COUNTIF($E56:P56,"u")+COUNTIF($E56:P56,"t")+COUNTIF($E56:P56,"¶")+COUNTIF($E56:P56,"²")+COUNTIF($E56:P56,"µ")+COUNTIF($E56:P56,1),ColLivraison)=Q$6,
  VLOOKUP($E56,INDIRECT("tri!"&amp; CHAR(64+ C0Col) &amp;":"&amp; CHAR(65+C0Col)),2,FALSE)&gt;COUNTIF($E56:P56,"u")+COUNTIF($E56:P56,"t")+COUNTIF($E56:P56,"¶")+COUNTIF($E56:P56,"²")+COUNTIF($E56:P56,"µ")+COUNTIF($E56:P56,1)),
HYPERLINK("#Roadmap!C"&amp; MATCH($E56,Roadmap!$D:$D,0)+COUNTIF($E56:P56,"u")+COUNTIF($E56:P56,"t"),
     INDEX(Roadmap!$D:$K,MATCH($E56,Roadmap!$D:$D,0)+COUNTIF($E56:P56,"u")+COUNTIF($E56:P56,"t")+COUNTIF($E56:P56,"¶")+COUNTIF($E56:P56,"²")+COUNTIF($E56:P56,"µ")+COUNTIF($E56:P56,1),ColTypeEcheance)),
  IF(LEN(P56)=1,
  IF(LEN(INDEX(Roadmap!$D:$K,MATCH($E56,Roadmap!$D:$D,0)-1+COUNTIF($E56:P56,"u")+COUNTIF($E56:P56,"t")+COUNTIF($E56:P56,"¶")+COUNTIF($E56:P56,"²")+COUNTIF($E56:P56,"µ")+COUNTIF($E56:P56,1),ColDescriptionCourte))&gt;1,
HYPERLINK("#Roadmap!C"&amp; MATCH($E56,Roadmap!$D:$D,0)+COUNTIF($E56:P56,"u")+COUNTIF($E56:P56,"t")+COUNTIF($E56:P56,"¶")+COUNTIF($E56:P56,"²")+COUNTIF($E56:P56,"µ")+COUNTIF($E56:P56,1)-1,INDEX(Roadmap!$D:$K,MATCH($E56,Roadmap!$D:$D,0)-1+COUNTIF($E56:P56,"u")+COUNTIF($E56:P56,"t")+COUNTIF($E56:P56,"¶")+COUNTIF($E56:P56,"²")+COUNTIF($E56:P56,"µ")+COUNTIF($E56:P56,1),ColDescriptionCourte)),""),
  "")),"")</f>
        <v/>
      </c>
      <c r="R56" s="40" t="str">
        <f ca="1">IFERROR(IF(AND(
  INDEX(Roadmap!$D:$K,MATCH($E56,Roadmap!$D:$D,0)+COUNTIF($E56:Q56,"u")+COUNTIF($E56:Q56,"t")+COUNTIF($E56:Q56,"¶")+COUNTIF($E56:Q56,"²")+COUNTIF($E56:Q56,"µ")+COUNTIF($E56:Q56,1),ColLivraison)=R$6,
  VLOOKUP($E56,INDIRECT("tri!"&amp; CHAR(64+ C0Col) &amp;":"&amp; CHAR(65+C0Col)),2,FALSE)&gt;COUNTIF($E56:Q56,"u")+COUNTIF($E56:Q56,"t")+COUNTIF($E56:Q56,"¶")+COUNTIF($E56:Q56,"²")+COUNTIF($E56:Q56,"µ")+COUNTIF($E56:Q56,1)),
HYPERLINK("#Roadmap!C"&amp; MATCH($E56,Roadmap!$D:$D,0)+COUNTIF($E56:Q56,"u")+COUNTIF($E56:Q56,"t"),
     INDEX(Roadmap!$D:$K,MATCH($E56,Roadmap!$D:$D,0)+COUNTIF($E56:Q56,"u")+COUNTIF($E56:Q56,"t")+COUNTIF($E56:Q56,"¶")+COUNTIF($E56:Q56,"²")+COUNTIF($E56:Q56,"µ")+COUNTIF($E56:Q56,1),ColTypeEcheance)),
  IF(LEN(Q56)=1,
  IF(LEN(INDEX(Roadmap!$D:$K,MATCH($E56,Roadmap!$D:$D,0)-1+COUNTIF($E56:Q56,"u")+COUNTIF($E56:Q56,"t")+COUNTIF($E56:Q56,"¶")+COUNTIF($E56:Q56,"²")+COUNTIF($E56:Q56,"µ")+COUNTIF($E56:Q56,1),ColDescriptionCourte))&gt;1,
HYPERLINK("#Roadmap!C"&amp; MATCH($E56,Roadmap!$D:$D,0)+COUNTIF($E56:Q56,"u")+COUNTIF($E56:Q56,"t")+COUNTIF($E56:Q56,"¶")+COUNTIF($E56:Q56,"²")+COUNTIF($E56:Q56,"µ")+COUNTIF($E56:Q56,1)-1,INDEX(Roadmap!$D:$K,MATCH($E56,Roadmap!$D:$D,0)-1+COUNTIF($E56:Q56,"u")+COUNTIF($E56:Q56,"t")+COUNTIF($E56:Q56,"¶")+COUNTIF($E56:Q56,"²")+COUNTIF($E56:Q56,"µ")+COUNTIF($E56:Q56,1),ColDescriptionCourte)),""),
  "")),"")</f>
        <v/>
      </c>
      <c r="S56" s="40" t="str">
        <f ca="1">IFERROR(IF(AND(
  INDEX(Roadmap!$D:$K,MATCH($E56,Roadmap!$D:$D,0)+COUNTIF($E56:R56,"u")+COUNTIF($E56:R56,"t")+COUNTIF($E56:R56,"¶")+COUNTIF($E56:R56,"²")+COUNTIF($E56:R56,"µ")+COUNTIF($E56:R56,1),ColLivraison)=S$6,
  VLOOKUP($E56,INDIRECT("tri!"&amp; CHAR(64+ C0Col) &amp;":"&amp; CHAR(65+C0Col)),2,FALSE)&gt;COUNTIF($E56:R56,"u")+COUNTIF($E56:R56,"t")+COUNTIF($E56:R56,"¶")+COUNTIF($E56:R56,"²")+COUNTIF($E56:R56,"µ")+COUNTIF($E56:R56,1)),
HYPERLINK("#Roadmap!C"&amp; MATCH($E56,Roadmap!$D:$D,0)+COUNTIF($E56:R56,"u")+COUNTIF($E56:R56,"t"),
     INDEX(Roadmap!$D:$K,MATCH($E56,Roadmap!$D:$D,0)+COUNTIF($E56:R56,"u")+COUNTIF($E56:R56,"t")+COUNTIF($E56:R56,"¶")+COUNTIF($E56:R56,"²")+COUNTIF($E56:R56,"µ")+COUNTIF($E56:R56,1),ColTypeEcheance)),
  IF(LEN(R56)=1,
  IF(LEN(INDEX(Roadmap!$D:$K,MATCH($E56,Roadmap!$D:$D,0)-1+COUNTIF($E56:R56,"u")+COUNTIF($E56:R56,"t")+COUNTIF($E56:R56,"¶")+COUNTIF($E56:R56,"²")+COUNTIF($E56:R56,"µ")+COUNTIF($E56:R56,1),ColDescriptionCourte))&gt;1,
HYPERLINK("#Roadmap!C"&amp; MATCH($E56,Roadmap!$D:$D,0)+COUNTIF($E56:R56,"u")+COUNTIF($E56:R56,"t")+COUNTIF($E56:R56,"¶")+COUNTIF($E56:R56,"²")+COUNTIF($E56:R56,"µ")+COUNTIF($E56:R56,1)-1,INDEX(Roadmap!$D:$K,MATCH($E56,Roadmap!$D:$D,0)-1+COUNTIF($E56:R56,"u")+COUNTIF($E56:R56,"t")+COUNTIF($E56:R56,"¶")+COUNTIF($E56:R56,"²")+COUNTIF($E56:R56,"µ")+COUNTIF($E56:R56,1),ColDescriptionCourte)),""),
  "")),"")</f>
        <v/>
      </c>
      <c r="T56" s="40" t="str">
        <f ca="1">IFERROR(IF(AND(
  INDEX(Roadmap!$D:$K,MATCH($E56,Roadmap!$D:$D,0)+COUNTIF($E56:S56,"u")+COUNTIF($E56:S56,"t")+COUNTIF($E56:S56,"¶")+COUNTIF($E56:S56,"²")+COUNTIF($E56:S56,"µ")+COUNTIF($E56:S56,1),ColLivraison)=T$6,
  VLOOKUP($E56,INDIRECT("tri!"&amp; CHAR(64+ C0Col) &amp;":"&amp; CHAR(65+C0Col)),2,FALSE)&gt;COUNTIF($E56:S56,"u")+COUNTIF($E56:S56,"t")+COUNTIF($E56:S56,"¶")+COUNTIF($E56:S56,"²")+COUNTIF($E56:S56,"µ")+COUNTIF($E56:S56,1)),
HYPERLINK("#Roadmap!C"&amp; MATCH($E56,Roadmap!$D:$D,0)+COUNTIF($E56:S56,"u")+COUNTIF($E56:S56,"t"),
     INDEX(Roadmap!$D:$K,MATCH($E56,Roadmap!$D:$D,0)+COUNTIF($E56:S56,"u")+COUNTIF($E56:S56,"t")+COUNTIF($E56:S56,"¶")+COUNTIF($E56:S56,"²")+COUNTIF($E56:S56,"µ")+COUNTIF($E56:S56,1),ColTypeEcheance)),
  IF(LEN(S56)=1,
  IF(LEN(INDEX(Roadmap!$D:$K,MATCH($E56,Roadmap!$D:$D,0)-1+COUNTIF($E56:S56,"u")+COUNTIF($E56:S56,"t")+COUNTIF($E56:S56,"¶")+COUNTIF($E56:S56,"²")+COUNTIF($E56:S56,"µ")+COUNTIF($E56:S56,1),ColDescriptionCourte))&gt;1,
HYPERLINK("#Roadmap!C"&amp; MATCH($E56,Roadmap!$D:$D,0)+COUNTIF($E56:S56,"u")+COUNTIF($E56:S56,"t")+COUNTIF($E56:S56,"¶")+COUNTIF($E56:S56,"²")+COUNTIF($E56:S56,"µ")+COUNTIF($E56:S56,1)-1,INDEX(Roadmap!$D:$K,MATCH($E56,Roadmap!$D:$D,0)-1+COUNTIF($E56:S56,"u")+COUNTIF($E56:S56,"t")+COUNTIF($E56:S56,"¶")+COUNTIF($E56:S56,"²")+COUNTIF($E56:S56,"µ")+COUNTIF($E56:S56,1),ColDescriptionCourte)),""),
  "")),"")</f>
        <v/>
      </c>
      <c r="U56" s="40" t="str">
        <f ca="1">IFERROR(IF(AND(
  INDEX(Roadmap!$D:$K,MATCH($E56,Roadmap!$D:$D,0)+COUNTIF($E56:T56,"u")+COUNTIF($E56:T56,"t")+COUNTIF($E56:T56,"¶")+COUNTIF($E56:T56,"²")+COUNTIF($E56:T56,"µ")+COUNTIF($E56:T56,1),ColLivraison)=U$6,
  VLOOKUP($E56,INDIRECT("tri!"&amp; CHAR(64+ C0Col) &amp;":"&amp; CHAR(65+C0Col)),2,FALSE)&gt;COUNTIF($E56:T56,"u")+COUNTIF($E56:T56,"t")+COUNTIF($E56:T56,"¶")+COUNTIF($E56:T56,"²")+COUNTIF($E56:T56,"µ")+COUNTIF($E56:T56,1)),
HYPERLINK("#Roadmap!C"&amp; MATCH($E56,Roadmap!$D:$D,0)+COUNTIF($E56:T56,"u")+COUNTIF($E56:T56,"t"),
     INDEX(Roadmap!$D:$K,MATCH($E56,Roadmap!$D:$D,0)+COUNTIF($E56:T56,"u")+COUNTIF($E56:T56,"t")+COUNTIF($E56:T56,"¶")+COUNTIF($E56:T56,"²")+COUNTIF($E56:T56,"µ")+COUNTIF($E56:T56,1),ColTypeEcheance)),
  IF(LEN(T56)=1,
  IF(LEN(INDEX(Roadmap!$D:$K,MATCH($E56,Roadmap!$D:$D,0)-1+COUNTIF($E56:T56,"u")+COUNTIF($E56:T56,"t")+COUNTIF($E56:T56,"¶")+COUNTIF($E56:T56,"²")+COUNTIF($E56:T56,"µ")+COUNTIF($E56:T56,1),ColDescriptionCourte))&gt;1,
HYPERLINK("#Roadmap!C"&amp; MATCH($E56,Roadmap!$D:$D,0)+COUNTIF($E56:T56,"u")+COUNTIF($E56:T56,"t")+COUNTIF($E56:T56,"¶")+COUNTIF($E56:T56,"²")+COUNTIF($E56:T56,"µ")+COUNTIF($E56:T56,1)-1,INDEX(Roadmap!$D:$K,MATCH($E56,Roadmap!$D:$D,0)-1+COUNTIF($E56:T56,"u")+COUNTIF($E56:T56,"t")+COUNTIF($E56:T56,"¶")+COUNTIF($E56:T56,"²")+COUNTIF($E56:T56,"µ")+COUNTIF($E56:T56,1),ColDescriptionCourte)),""),
  "")),"")</f>
        <v/>
      </c>
      <c r="V56" s="40" t="str">
        <f ca="1">IFERROR(IF(AND(
  INDEX(Roadmap!$D:$K,MATCH($E56,Roadmap!$D:$D,0)+COUNTIF($E56:U56,"u")+COUNTIF($E56:U56,"t")+COUNTIF($E56:U56,"¶")+COUNTIF($E56:U56,"²")+COUNTIF($E56:U56,"µ")+COUNTIF($E56:U56,1),ColLivraison)=V$6,
  VLOOKUP($E56,INDIRECT("tri!"&amp; CHAR(64+ C0Col) &amp;":"&amp; CHAR(65+C0Col)),2,FALSE)&gt;COUNTIF($E56:U56,"u")+COUNTIF($E56:U56,"t")+COUNTIF($E56:U56,"¶")+COUNTIF($E56:U56,"²")+COUNTIF($E56:U56,"µ")+COUNTIF($E56:U56,1)),
HYPERLINK("#Roadmap!C"&amp; MATCH($E56,Roadmap!$D:$D,0)+COUNTIF($E56:U56,"u")+COUNTIF($E56:U56,"t"),
     INDEX(Roadmap!$D:$K,MATCH($E56,Roadmap!$D:$D,0)+COUNTIF($E56:U56,"u")+COUNTIF($E56:U56,"t")+COUNTIF($E56:U56,"¶")+COUNTIF($E56:U56,"²")+COUNTIF($E56:U56,"µ")+COUNTIF($E56:U56,1),ColTypeEcheance)),
  IF(LEN(U56)=1,
  IF(LEN(INDEX(Roadmap!$D:$K,MATCH($E56,Roadmap!$D:$D,0)-1+COUNTIF($E56:U56,"u")+COUNTIF($E56:U56,"t")+COUNTIF($E56:U56,"¶")+COUNTIF($E56:U56,"²")+COUNTIF($E56:U56,"µ")+COUNTIF($E56:U56,1),ColDescriptionCourte))&gt;1,
HYPERLINK("#Roadmap!C"&amp; MATCH($E56,Roadmap!$D:$D,0)+COUNTIF($E56:U56,"u")+COUNTIF($E56:U56,"t")+COUNTIF($E56:U56,"¶")+COUNTIF($E56:U56,"²")+COUNTIF($E56:U56,"µ")+COUNTIF($E56:U56,1)-1,INDEX(Roadmap!$D:$K,MATCH($E56,Roadmap!$D:$D,0)-1+COUNTIF($E56:U56,"u")+COUNTIF($E56:U56,"t")+COUNTIF($E56:U56,"¶")+COUNTIF($E56:U56,"²")+COUNTIF($E56:U56,"µ")+COUNTIF($E56:U56,1),ColDescriptionCourte)),""),
  "")),"")</f>
        <v/>
      </c>
      <c r="W56" s="40" t="str">
        <f ca="1">IFERROR(IF(AND(
  INDEX(Roadmap!$D:$K,MATCH($E56,Roadmap!$D:$D,0)+COUNTIF($E56:V56,"u")+COUNTIF($E56:V56,"t")+COUNTIF($E56:V56,"¶")+COUNTIF($E56:V56,"²")+COUNTIF($E56:V56,"µ")+COUNTIF($E56:V56,1),ColLivraison)=W$6,
  VLOOKUP($E56,INDIRECT("tri!"&amp; CHAR(64+ C0Col) &amp;":"&amp; CHAR(65+C0Col)),2,FALSE)&gt;COUNTIF($E56:V56,"u")+COUNTIF($E56:V56,"t")+COUNTIF($E56:V56,"¶")+COUNTIF($E56:V56,"²")+COUNTIF($E56:V56,"µ")+COUNTIF($E56:V56,1)),
HYPERLINK("#Roadmap!C"&amp; MATCH($E56,Roadmap!$D:$D,0)+COUNTIF($E56:V56,"u")+COUNTIF($E56:V56,"t"),
     INDEX(Roadmap!$D:$K,MATCH($E56,Roadmap!$D:$D,0)+COUNTIF($E56:V56,"u")+COUNTIF($E56:V56,"t")+COUNTIF($E56:V56,"¶")+COUNTIF($E56:V56,"²")+COUNTIF($E56:V56,"µ")+COUNTIF($E56:V56,1),ColTypeEcheance)),
  IF(LEN(V56)=1,
  IF(LEN(INDEX(Roadmap!$D:$K,MATCH($E56,Roadmap!$D:$D,0)-1+COUNTIF($E56:V56,"u")+COUNTIF($E56:V56,"t")+COUNTIF($E56:V56,"¶")+COUNTIF($E56:V56,"²")+COUNTIF($E56:V56,"µ")+COUNTIF($E56:V56,1),ColDescriptionCourte))&gt;1,
HYPERLINK("#Roadmap!C"&amp; MATCH($E56,Roadmap!$D:$D,0)+COUNTIF($E56:V56,"u")+COUNTIF($E56:V56,"t")+COUNTIF($E56:V56,"¶")+COUNTIF($E56:V56,"²")+COUNTIF($E56:V56,"µ")+COUNTIF($E56:V56,1)-1,INDEX(Roadmap!$D:$K,MATCH($E56,Roadmap!$D:$D,0)-1+COUNTIF($E56:V56,"u")+COUNTIF($E56:V56,"t")+COUNTIF($E56:V56,"¶")+COUNTIF($E56:V56,"²")+COUNTIF($E56:V56,"µ")+COUNTIF($E56:V56,1),ColDescriptionCourte)),""),
  "")),"")</f>
        <v/>
      </c>
      <c r="X56" s="40" t="str">
        <f ca="1">IFERROR(IF(AND(
  INDEX(Roadmap!$D:$K,MATCH($E56,Roadmap!$D:$D,0)+COUNTIF($E56:W56,"u")+COUNTIF($E56:W56,"t")+COUNTIF($E56:W56,"¶")+COUNTIF($E56:W56,"²")+COUNTIF($E56:W56,"µ")+COUNTIF($E56:W56,1),ColLivraison)=X$6,
  VLOOKUP($E56,INDIRECT("tri!"&amp; CHAR(64+ C0Col) &amp;":"&amp; CHAR(65+C0Col)),2,FALSE)&gt;COUNTIF($E56:W56,"u")+COUNTIF($E56:W56,"t")+COUNTIF($E56:W56,"¶")+COUNTIF($E56:W56,"²")+COUNTIF($E56:W56,"µ")+COUNTIF($E56:W56,1)),
HYPERLINK("#Roadmap!C"&amp; MATCH($E56,Roadmap!$D:$D,0)+COUNTIF($E56:W56,"u")+COUNTIF($E56:W56,"t"),
     INDEX(Roadmap!$D:$K,MATCH($E56,Roadmap!$D:$D,0)+COUNTIF($E56:W56,"u")+COUNTIF($E56:W56,"t")+COUNTIF($E56:W56,"¶")+COUNTIF($E56:W56,"²")+COUNTIF($E56:W56,"µ")+COUNTIF($E56:W56,1),ColTypeEcheance)),
  IF(LEN(W56)=1,
  IF(LEN(INDEX(Roadmap!$D:$K,MATCH($E56,Roadmap!$D:$D,0)-1+COUNTIF($E56:W56,"u")+COUNTIF($E56:W56,"t")+COUNTIF($E56:W56,"¶")+COUNTIF($E56:W56,"²")+COUNTIF($E56:W56,"µ")+COUNTIF($E56:W56,1),ColDescriptionCourte))&gt;1,
HYPERLINK("#Roadmap!C"&amp; MATCH($E56,Roadmap!$D:$D,0)+COUNTIF($E56:W56,"u")+COUNTIF($E56:W56,"t")+COUNTIF($E56:W56,"¶")+COUNTIF($E56:W56,"²")+COUNTIF($E56:W56,"µ")+COUNTIF($E56:W56,1)-1,INDEX(Roadmap!$D:$K,MATCH($E56,Roadmap!$D:$D,0)-1+COUNTIF($E56:W56,"u")+COUNTIF($E56:W56,"t")+COUNTIF($E56:W56,"¶")+COUNTIF($E56:W56,"²")+COUNTIF($E56:W56,"µ")+COUNTIF($E56:W56,1),ColDescriptionCourte)),""),
  "")),"")</f>
        <v/>
      </c>
      <c r="Y56" s="40" t="str">
        <f ca="1">IFERROR(IF(AND(
  INDEX(Roadmap!$D:$K,MATCH($E56,Roadmap!$D:$D,0)+COUNTIF($E56:X56,"u")+COUNTIF($E56:X56,"t")+COUNTIF($E56:X56,"¶")+COUNTIF($E56:X56,"²")+COUNTIF($E56:X56,"µ")+COUNTIF($E56:X56,1),ColLivraison)=Y$6,
  VLOOKUP($E56,INDIRECT("tri!"&amp; CHAR(64+ C0Col) &amp;":"&amp; CHAR(65+C0Col)),2,FALSE)&gt;COUNTIF($E56:X56,"u")+COUNTIF($E56:X56,"t")+COUNTIF($E56:X56,"¶")+COUNTIF($E56:X56,"²")+COUNTIF($E56:X56,"µ")+COUNTIF($E56:X56,1)),
HYPERLINK("#Roadmap!C"&amp; MATCH($E56,Roadmap!$D:$D,0)+COUNTIF($E56:X56,"u")+COUNTIF($E56:X56,"t"),
     INDEX(Roadmap!$D:$K,MATCH($E56,Roadmap!$D:$D,0)+COUNTIF($E56:X56,"u")+COUNTIF($E56:X56,"t")+COUNTIF($E56:X56,"¶")+COUNTIF($E56:X56,"²")+COUNTIF($E56:X56,"µ")+COUNTIF($E56:X56,1),ColTypeEcheance)),
  IF(LEN(X56)=1,
  IF(LEN(INDEX(Roadmap!$D:$K,MATCH($E56,Roadmap!$D:$D,0)-1+COUNTIF($E56:X56,"u")+COUNTIF($E56:X56,"t")+COUNTIF($E56:X56,"¶")+COUNTIF($E56:X56,"²")+COUNTIF($E56:X56,"µ")+COUNTIF($E56:X56,1),ColDescriptionCourte))&gt;1,
HYPERLINK("#Roadmap!C"&amp; MATCH($E56,Roadmap!$D:$D,0)+COUNTIF($E56:X56,"u")+COUNTIF($E56:X56,"t")+COUNTIF($E56:X56,"¶")+COUNTIF($E56:X56,"²")+COUNTIF($E56:X56,"µ")+COUNTIF($E56:X56,1)-1,INDEX(Roadmap!$D:$K,MATCH($E56,Roadmap!$D:$D,0)-1+COUNTIF($E56:X56,"u")+COUNTIF($E56:X56,"t")+COUNTIF($E56:X56,"¶")+COUNTIF($E56:X56,"²")+COUNTIF($E56:X56,"µ")+COUNTIF($E56:X56,1),ColDescriptionCourte)),""),
  "")),"")</f>
        <v/>
      </c>
      <c r="Z56" s="40" t="str">
        <f ca="1">IFERROR(IF(AND(
  INDEX(Roadmap!$D:$K,MATCH($E56,Roadmap!$D:$D,0)+COUNTIF($E56:Y56,"u")+COUNTIF($E56:Y56,"t")+COUNTIF($E56:Y56,"¶")+COUNTIF($E56:Y56,"²")+COUNTIF($E56:Y56,"µ")+COUNTIF($E56:Y56,1),ColLivraison)=Z$6,
  VLOOKUP($E56,INDIRECT("tri!"&amp; CHAR(64+ C0Col) &amp;":"&amp; CHAR(65+C0Col)),2,FALSE)&gt;COUNTIF($E56:Y56,"u")+COUNTIF($E56:Y56,"t")+COUNTIF($E56:Y56,"¶")+COUNTIF($E56:Y56,"²")+COUNTIF($E56:Y56,"µ")+COUNTIF($E56:Y56,1)),
HYPERLINK("#Roadmap!C"&amp; MATCH($E56,Roadmap!$D:$D,0)+COUNTIF($E56:Y56,"u")+COUNTIF($E56:Y56,"t"),
     INDEX(Roadmap!$D:$K,MATCH($E56,Roadmap!$D:$D,0)+COUNTIF($E56:Y56,"u")+COUNTIF($E56:Y56,"t")+COUNTIF($E56:Y56,"¶")+COUNTIF($E56:Y56,"²")+COUNTIF($E56:Y56,"µ")+COUNTIF($E56:Y56,1),ColTypeEcheance)),
  IF(LEN(Y56)=1,
  IF(LEN(INDEX(Roadmap!$D:$K,MATCH($E56,Roadmap!$D:$D,0)-1+COUNTIF($E56:Y56,"u")+COUNTIF($E56:Y56,"t")+COUNTIF($E56:Y56,"¶")+COUNTIF($E56:Y56,"²")+COUNTIF($E56:Y56,"µ")+COUNTIF($E56:Y56,1),ColDescriptionCourte))&gt;1,
HYPERLINK("#Roadmap!C"&amp; MATCH($E56,Roadmap!$D:$D,0)+COUNTIF($E56:Y56,"u")+COUNTIF($E56:Y56,"t")+COUNTIF($E56:Y56,"¶")+COUNTIF($E56:Y56,"²")+COUNTIF($E56:Y56,"µ")+COUNTIF($E56:Y56,1)-1,INDEX(Roadmap!$D:$K,MATCH($E56,Roadmap!$D:$D,0)-1+COUNTIF($E56:Y56,"u")+COUNTIF($E56:Y56,"t")+COUNTIF($E56:Y56,"¶")+COUNTIF($E56:Y56,"²")+COUNTIF($E56:Y56,"µ")+COUNTIF($E56:Y56,1),ColDescriptionCourte)),""),
  "")),"")</f>
        <v/>
      </c>
      <c r="AA56" s="40" t="str">
        <f ca="1">IFERROR(IF(AND(
  INDEX(Roadmap!$D:$K,MATCH($E56,Roadmap!$D:$D,0)+COUNTIF($E56:Z56,"u")+COUNTIF($E56:Z56,"t")+COUNTIF($E56:Z56,"¶")+COUNTIF($E56:Z56,"²")+COUNTIF($E56:Z56,"µ")+COUNTIF($E56:Z56,1),ColLivraison)=AA$6,
  VLOOKUP($E56,INDIRECT("tri!"&amp; CHAR(64+ C0Col) &amp;":"&amp; CHAR(65+C0Col)),2,FALSE)&gt;COUNTIF($E56:Z56,"u")+COUNTIF($E56:Z56,"t")+COUNTIF($E56:Z56,"¶")+COUNTIF($E56:Z56,"²")+COUNTIF($E56:Z56,"µ")+COUNTIF($E56:Z56,1)),
HYPERLINK("#Roadmap!C"&amp; MATCH($E56,Roadmap!$D:$D,0)+COUNTIF($E56:Z56,"u")+COUNTIF($E56:Z56,"t"),
     INDEX(Roadmap!$D:$K,MATCH($E56,Roadmap!$D:$D,0)+COUNTIF($E56:Z56,"u")+COUNTIF($E56:Z56,"t")+COUNTIF($E56:Z56,"¶")+COUNTIF($E56:Z56,"²")+COUNTIF($E56:Z56,"µ")+COUNTIF($E56:Z56,1),ColTypeEcheance)),
  IF(LEN(Z56)=1,
  IF(LEN(INDEX(Roadmap!$D:$K,MATCH($E56,Roadmap!$D:$D,0)-1+COUNTIF($E56:Z56,"u")+COUNTIF($E56:Z56,"t")+COUNTIF($E56:Z56,"¶")+COUNTIF($E56:Z56,"²")+COUNTIF($E56:Z56,"µ")+COUNTIF($E56:Z56,1),ColDescriptionCourte))&gt;1,
HYPERLINK("#Roadmap!C"&amp; MATCH($E56,Roadmap!$D:$D,0)+COUNTIF($E56:Z56,"u")+COUNTIF($E56:Z56,"t")+COUNTIF($E56:Z56,"¶")+COUNTIF($E56:Z56,"²")+COUNTIF($E56:Z56,"µ")+COUNTIF($E56:Z56,1)-1,INDEX(Roadmap!$D:$K,MATCH($E56,Roadmap!$D:$D,0)-1+COUNTIF($E56:Z56,"u")+COUNTIF($E56:Z56,"t")+COUNTIF($E56:Z56,"¶")+COUNTIF($E56:Z56,"²")+COUNTIF($E56:Z56,"µ")+COUNTIF($E56:Z56,1),ColDescriptionCourte)),""),
  "")),"")</f>
        <v/>
      </c>
      <c r="AB56" s="40" t="str">
        <f ca="1">IFERROR(IF(AND(
  INDEX(Roadmap!$D:$K,MATCH($E56,Roadmap!$D:$D,0)+COUNTIF($E56:AA56,"u")+COUNTIF($E56:AA56,"t")+COUNTIF($E56:AA56,"¶")+COUNTIF($E56:AA56,"²")+COUNTIF($E56:AA56,"µ")+COUNTIF($E56:AA56,1),ColLivraison)=AB$6,
  VLOOKUP($E56,INDIRECT("tri!"&amp; CHAR(64+ C0Col) &amp;":"&amp; CHAR(65+C0Col)),2,FALSE)&gt;COUNTIF($E56:AA56,"u")+COUNTIF($E56:AA56,"t")+COUNTIF($E56:AA56,"¶")+COUNTIF($E56:AA56,"²")+COUNTIF($E56:AA56,"µ")+COUNTIF($E56:AA56,1)),
HYPERLINK("#Roadmap!C"&amp; MATCH($E56,Roadmap!$D:$D,0)+COUNTIF($E56:AA56,"u")+COUNTIF($E56:AA56,"t"),
     INDEX(Roadmap!$D:$K,MATCH($E56,Roadmap!$D:$D,0)+COUNTIF($E56:AA56,"u")+COUNTIF($E56:AA56,"t")+COUNTIF($E56:AA56,"¶")+COUNTIF($E56:AA56,"²")+COUNTIF($E56:AA56,"µ")+COUNTIF($E56:AA56,1),ColTypeEcheance)),
  IF(LEN(AA56)=1,
  IF(LEN(INDEX(Roadmap!$D:$K,MATCH($E56,Roadmap!$D:$D,0)-1+COUNTIF($E56:AA56,"u")+COUNTIF($E56:AA56,"t")+COUNTIF($E56:AA56,"¶")+COUNTIF($E56:AA56,"²")+COUNTIF($E56:AA56,"µ")+COUNTIF($E56:AA56,1),ColDescriptionCourte))&gt;1,
HYPERLINK("#Roadmap!C"&amp; MATCH($E56,Roadmap!$D:$D,0)+COUNTIF($E56:AA56,"u")+COUNTIF($E56:AA56,"t")+COUNTIF($E56:AA56,"¶")+COUNTIF($E56:AA56,"²")+COUNTIF($E56:AA56,"µ")+COUNTIF($E56:AA56,1)-1,INDEX(Roadmap!$D:$K,MATCH($E56,Roadmap!$D:$D,0)-1+COUNTIF($E56:AA56,"u")+COUNTIF($E56:AA56,"t")+COUNTIF($E56:AA56,"¶")+COUNTIF($E56:AA56,"²")+COUNTIF($E56:AA56,"µ")+COUNTIF($E56:AA56,1),ColDescriptionCourte)),""),
  "")),"")</f>
        <v/>
      </c>
      <c r="AC56" s="40" t="str">
        <f ca="1">IFERROR(IF(AND(
  INDEX(Roadmap!$D:$K,MATCH($E56,Roadmap!$D:$D,0)+COUNTIF($E56:AB56,"u")+COUNTIF($E56:AB56,"t")+COUNTIF($E56:AB56,"¶")+COUNTIF($E56:AB56,"²")+COUNTIF($E56:AB56,"µ")+COUNTIF($E56:AB56,1),ColLivraison)=AC$6,
  VLOOKUP($E56,INDIRECT("tri!"&amp; CHAR(64+ C0Col) &amp;":"&amp; CHAR(65+C0Col)),2,FALSE)&gt;COUNTIF($E56:AB56,"u")+COUNTIF($E56:AB56,"t")+COUNTIF($E56:AB56,"¶")+COUNTIF($E56:AB56,"²")+COUNTIF($E56:AB56,"µ")+COUNTIF($E56:AB56,1)),
HYPERLINK("#Roadmap!C"&amp; MATCH($E56,Roadmap!$D:$D,0)+COUNTIF($E56:AB56,"u")+COUNTIF($E56:AB56,"t"),
     INDEX(Roadmap!$D:$K,MATCH($E56,Roadmap!$D:$D,0)+COUNTIF($E56:AB56,"u")+COUNTIF($E56:AB56,"t")+COUNTIF($E56:AB56,"¶")+COUNTIF($E56:AB56,"²")+COUNTIF($E56:AB56,"µ")+COUNTIF($E56:AB56,1),ColTypeEcheance)),
  IF(LEN(AB56)=1,
  IF(LEN(INDEX(Roadmap!$D:$K,MATCH($E56,Roadmap!$D:$D,0)-1+COUNTIF($E56:AB56,"u")+COUNTIF($E56:AB56,"t")+COUNTIF($E56:AB56,"¶")+COUNTIF($E56:AB56,"²")+COUNTIF($E56:AB56,"µ")+COUNTIF($E56:AB56,1),ColDescriptionCourte))&gt;1,
HYPERLINK("#Roadmap!C"&amp; MATCH($E56,Roadmap!$D:$D,0)+COUNTIF($E56:AB56,"u")+COUNTIF($E56:AB56,"t")+COUNTIF($E56:AB56,"¶")+COUNTIF($E56:AB56,"²")+COUNTIF($E56:AB56,"µ")+COUNTIF($E56:AB56,1)-1,INDEX(Roadmap!$D:$K,MATCH($E56,Roadmap!$D:$D,0)-1+COUNTIF($E56:AB56,"u")+COUNTIF($E56:AB56,"t")+COUNTIF($E56:AB56,"¶")+COUNTIF($E56:AB56,"²")+COUNTIF($E56:AB56,"µ")+COUNTIF($E56:AB56,1),ColDescriptionCourte)),""),
  "")),"")</f>
        <v/>
      </c>
      <c r="AD56" s="40" t="str">
        <f ca="1">IFERROR(IF(AND(
  INDEX(Roadmap!$D:$K,MATCH($E56,Roadmap!$D:$D,0)+COUNTIF($E56:AC56,"u")+COUNTIF($E56:AC56,"t")+COUNTIF($E56:AC56,"¶")+COUNTIF($E56:AC56,"²")+COUNTIF($E56:AC56,"µ")+COUNTIF($E56:AC56,1),ColLivraison)=AD$6,
  VLOOKUP($E56,INDIRECT("tri!"&amp; CHAR(64+ C0Col) &amp;":"&amp; CHAR(65+C0Col)),2,FALSE)&gt;COUNTIF($E56:AC56,"u")+COUNTIF($E56:AC56,"t")+COUNTIF($E56:AC56,"¶")+COUNTIF($E56:AC56,"²")+COUNTIF($E56:AC56,"µ")+COUNTIF($E56:AC56,1)),
HYPERLINK("#Roadmap!C"&amp; MATCH($E56,Roadmap!$D:$D,0)+COUNTIF($E56:AC56,"u")+COUNTIF($E56:AC56,"t"),
     INDEX(Roadmap!$D:$K,MATCH($E56,Roadmap!$D:$D,0)+COUNTIF($E56:AC56,"u")+COUNTIF($E56:AC56,"t")+COUNTIF($E56:AC56,"¶")+COUNTIF($E56:AC56,"²")+COUNTIF($E56:AC56,"µ")+COUNTIF($E56:AC56,1),ColTypeEcheance)),
  IF(LEN(AC56)=1,
  IF(LEN(INDEX(Roadmap!$D:$K,MATCH($E56,Roadmap!$D:$D,0)-1+COUNTIF($E56:AC56,"u")+COUNTIF($E56:AC56,"t")+COUNTIF($E56:AC56,"¶")+COUNTIF($E56:AC56,"²")+COUNTIF($E56:AC56,"µ")+COUNTIF($E56:AC56,1),ColDescriptionCourte))&gt;1,
HYPERLINK("#Roadmap!C"&amp; MATCH($E56,Roadmap!$D:$D,0)+COUNTIF($E56:AC56,"u")+COUNTIF($E56:AC56,"t")+COUNTIF($E56:AC56,"¶")+COUNTIF($E56:AC56,"²")+COUNTIF($E56:AC56,"µ")+COUNTIF($E56:AC56,1)-1,INDEX(Roadmap!$D:$K,MATCH($E56,Roadmap!$D:$D,0)-1+COUNTIF($E56:AC56,"u")+COUNTIF($E56:AC56,"t")+COUNTIF($E56:AC56,"¶")+COUNTIF($E56:AC56,"²")+COUNTIF($E56:AC56,"µ")+COUNTIF($E56:AC56,1),ColDescriptionCourte)),""),
  "")),"")</f>
        <v/>
      </c>
      <c r="AE56" s="40" t="str">
        <f ca="1">IFERROR(IF(AND(
  INDEX(Roadmap!$D:$K,MATCH($E56,Roadmap!$D:$D,0)+COUNTIF($E56:AD56,"u")+COUNTIF($E56:AD56,"t")+COUNTIF($E56:AD56,"¶")+COUNTIF($E56:AD56,"²")+COUNTIF($E56:AD56,"µ")+COUNTIF($E56:AD56,1),ColLivraison)=AE$6,
  VLOOKUP($E56,INDIRECT("tri!"&amp; CHAR(64+ C0Col) &amp;":"&amp; CHAR(65+C0Col)),2,FALSE)&gt;COUNTIF($E56:AD56,"u")+COUNTIF($E56:AD56,"t")+COUNTIF($E56:AD56,"¶")+COUNTIF($E56:AD56,"²")+COUNTIF($E56:AD56,"µ")+COUNTIF($E56:AD56,1)),
HYPERLINK("#Roadmap!C"&amp; MATCH($E56,Roadmap!$D:$D,0)+COUNTIF($E56:AD56,"u")+COUNTIF($E56:AD56,"t"),
     INDEX(Roadmap!$D:$K,MATCH($E56,Roadmap!$D:$D,0)+COUNTIF($E56:AD56,"u")+COUNTIF($E56:AD56,"t")+COUNTIF($E56:AD56,"¶")+COUNTIF($E56:AD56,"²")+COUNTIF($E56:AD56,"µ")+COUNTIF($E56:AD56,1),ColTypeEcheance)),
  IF(LEN(AD56)=1,
  IF(LEN(INDEX(Roadmap!$D:$K,MATCH($E56,Roadmap!$D:$D,0)-1+COUNTIF($E56:AD56,"u")+COUNTIF($E56:AD56,"t")+COUNTIF($E56:AD56,"¶")+COUNTIF($E56:AD56,"²")+COUNTIF($E56:AD56,"µ")+COUNTIF($E56:AD56,1),ColDescriptionCourte))&gt;1,
HYPERLINK("#Roadmap!C"&amp; MATCH($E56,Roadmap!$D:$D,0)+COUNTIF($E56:AD56,"u")+COUNTIF($E56:AD56,"t")+COUNTIF($E56:AD56,"¶")+COUNTIF($E56:AD56,"²")+COUNTIF($E56:AD56,"µ")+COUNTIF($E56:AD56,1)-1,INDEX(Roadmap!$D:$K,MATCH($E56,Roadmap!$D:$D,0)-1+COUNTIF($E56:AD56,"u")+COUNTIF($E56:AD56,"t")+COUNTIF($E56:AD56,"¶")+COUNTIF($E56:AD56,"²")+COUNTIF($E56:AD56,"µ")+COUNTIF($E56:AD56,1),ColDescriptionCourte)),""),
  "")),"")</f>
        <v/>
      </c>
      <c r="AF56" s="40" t="str">
        <f ca="1">IFERROR(IF(AND(
  INDEX(Roadmap!$D:$K,MATCH($E56,Roadmap!$D:$D,0)+COUNTIF($E56:AE56,"u")+COUNTIF($E56:AE56,"t")+COUNTIF($E56:AE56,"¶")+COUNTIF($E56:AE56,"²")+COUNTIF($E56:AE56,"µ")+COUNTIF($E56:AE56,1),ColLivraison)=AF$6,
  VLOOKUP($E56,INDIRECT("tri!"&amp; CHAR(64+ C0Col) &amp;":"&amp; CHAR(65+C0Col)),2,FALSE)&gt;COUNTIF($E56:AE56,"u")+COUNTIF($E56:AE56,"t")+COUNTIF($E56:AE56,"¶")+COUNTIF($E56:AE56,"²")+COUNTIF($E56:AE56,"µ")+COUNTIF($E56:AE56,1)),
HYPERLINK("#Roadmap!C"&amp; MATCH($E56,Roadmap!$D:$D,0)+COUNTIF($E56:AE56,"u")+COUNTIF($E56:AE56,"t"),
     INDEX(Roadmap!$D:$K,MATCH($E56,Roadmap!$D:$D,0)+COUNTIF($E56:AE56,"u")+COUNTIF($E56:AE56,"t")+COUNTIF($E56:AE56,"¶")+COUNTIF($E56:AE56,"²")+COUNTIF($E56:AE56,"µ")+COUNTIF($E56:AE56,1),ColTypeEcheance)),
  IF(LEN(AE56)=1,
  IF(LEN(INDEX(Roadmap!$D:$K,MATCH($E56,Roadmap!$D:$D,0)-1+COUNTIF($E56:AE56,"u")+COUNTIF($E56:AE56,"t")+COUNTIF($E56:AE56,"¶")+COUNTIF($E56:AE56,"²")+COUNTIF($E56:AE56,"µ")+COUNTIF($E56:AE56,1),ColDescriptionCourte))&gt;1,
HYPERLINK("#Roadmap!C"&amp; MATCH($E56,Roadmap!$D:$D,0)+COUNTIF($E56:AE56,"u")+COUNTIF($E56:AE56,"t")+COUNTIF($E56:AE56,"¶")+COUNTIF($E56:AE56,"²")+COUNTIF($E56:AE56,"µ")+COUNTIF($E56:AE56,1)-1,INDEX(Roadmap!$D:$K,MATCH($E56,Roadmap!$D:$D,0)-1+COUNTIF($E56:AE56,"u")+COUNTIF($E56:AE56,"t")+COUNTIF($E56:AE56,"¶")+COUNTIF($E56:AE56,"²")+COUNTIF($E56:AE56,"µ")+COUNTIF($E56:AE56,1),ColDescriptionCourte)),""),
  "")),"")</f>
        <v/>
      </c>
      <c r="AG56" s="40" t="str">
        <f ca="1">IFERROR(IF(AND(
  INDEX(Roadmap!$D:$K,MATCH($E56,Roadmap!$D:$D,0)+COUNTIF($E56:AF56,"u")+COUNTIF($E56:AF56,"t")+COUNTIF($E56:AF56,"¶")+COUNTIF($E56:AF56,"²")+COUNTIF($E56:AF56,"µ")+COUNTIF($E56:AF56,1),ColLivraison)=AG$6,
  VLOOKUP($E56,INDIRECT("tri!"&amp; CHAR(64+ C0Col) &amp;":"&amp; CHAR(65+C0Col)),2,FALSE)&gt;COUNTIF($E56:AF56,"u")+COUNTIF($E56:AF56,"t")+COUNTIF($E56:AF56,"¶")+COUNTIF($E56:AF56,"²")+COUNTIF($E56:AF56,"µ")+COUNTIF($E56:AF56,1)),
HYPERLINK("#Roadmap!C"&amp; MATCH($E56,Roadmap!$D:$D,0)+COUNTIF($E56:AF56,"u")+COUNTIF($E56:AF56,"t"),
     INDEX(Roadmap!$D:$K,MATCH($E56,Roadmap!$D:$D,0)+COUNTIF($E56:AF56,"u")+COUNTIF($E56:AF56,"t")+COUNTIF($E56:AF56,"¶")+COUNTIF($E56:AF56,"²")+COUNTIF($E56:AF56,"µ")+COUNTIF($E56:AF56,1),ColTypeEcheance)),
  IF(LEN(AF56)=1,
  IF(LEN(INDEX(Roadmap!$D:$K,MATCH($E56,Roadmap!$D:$D,0)-1+COUNTIF($E56:AF56,"u")+COUNTIF($E56:AF56,"t")+COUNTIF($E56:AF56,"¶")+COUNTIF($E56:AF56,"²")+COUNTIF($E56:AF56,"µ")+COUNTIF($E56:AF56,1),ColDescriptionCourte))&gt;1,
HYPERLINK("#Roadmap!C"&amp; MATCH($E56,Roadmap!$D:$D,0)+COUNTIF($E56:AF56,"u")+COUNTIF($E56:AF56,"t")+COUNTIF($E56:AF56,"¶")+COUNTIF($E56:AF56,"²")+COUNTIF($E56:AF56,"µ")+COUNTIF($E56:AF56,1)-1,INDEX(Roadmap!$D:$K,MATCH($E56,Roadmap!$D:$D,0)-1+COUNTIF($E56:AF56,"u")+COUNTIF($E56:AF56,"t")+COUNTIF($E56:AF56,"¶")+COUNTIF($E56:AF56,"²")+COUNTIF($E56:AF56,"µ")+COUNTIF($E56:AF56,1),ColDescriptionCourte)),""),
  "")),"")</f>
        <v/>
      </c>
    </row>
    <row r="57" spans="3:33" ht="14.25" customHeight="1">
      <c r="C57" s="1" t="str">
        <f t="shared" ca="1" si="44"/>
        <v/>
      </c>
      <c r="D57" s="1" t="str">
        <f t="shared" ca="1" si="45"/>
        <v/>
      </c>
      <c r="E57" s="35" t="str">
        <f t="shared" ca="1" si="33"/>
        <v/>
      </c>
      <c r="F57" s="39" t="str">
        <f ca="1">IFERROR(IF(AND(
  INDEX(Roadmap!$D:$K,MATCH($E57,Roadmap!$D:$D,0)+COUNTIF($E57:E57,"u")+COUNTIF($E57:E57,"t")+COUNTIF($E57:E57,"¶")+COUNTIF($E57:E57,"²")+COUNTIF($E57:E57,"µ")+COUNTIF($E57:E57,1),ColLivraison)=F$6,
  VLOOKUP($E57,INDIRECT("tri!"&amp; CHAR(64+ C0Col) &amp;":"&amp; CHAR(65+C0Col)),2,FALSE)&gt;COUNTIF($E57:E57,"u")+COUNTIF($E57:E57,"t")+COUNTIF($E57:E57,"¶")+COUNTIF($E57:E57,"²")+COUNTIF($E57:E57,"µ")+COUNTIF($E57:E57,1)),
HYPERLINK("#Roadmap!C"&amp; MATCH($E57,Roadmap!$D:$D,0)+COUNTIF($E57:E57,"u")+COUNTIF($E57:E57,"t"),
     INDEX(Roadmap!$D:$K,MATCH($E57,Roadmap!$D:$D,0)+COUNTIF($E57:E57,"u")+COUNTIF($E57:E57,"t")+COUNTIF($E57:E57,"¶")+COUNTIF($E57:E57,"²")+COUNTIF($E57:E57,"µ")+COUNTIF($E57:E57,1),ColTypeEcheance)),
  IF(LEN(E57)=1,
  IF(LEN(INDEX(Roadmap!$D:$K,MATCH($E57,Roadmap!$D:$D,0)-1+COUNTIF($E57:E57,"u")+COUNTIF($E57:E57,"t")+COUNTIF($E57:E57,"¶")+COUNTIF($E57:E57,"²")+COUNTIF($E57:E57,"µ")+COUNTIF($E57:E57,1),ColDescriptionCourte))&gt;1,
HYPERLINK("#Roadmap!C"&amp; MATCH($E57,Roadmap!$D:$D,0)+COUNTIF($E57:E57,"u")+COUNTIF($E57:E57,"t")+COUNTIF($E57:E57,"¶")+COUNTIF($E57:E57,"²")+COUNTIF($E57:E57,"µ")+COUNTIF($E57:E57,1)-1,INDEX(Roadmap!$D:$K,MATCH($E57,Roadmap!$D:$D,0)-1+COUNTIF($E57:E57,"u")+COUNTIF($E57:E57,"t")+COUNTIF($E57:E57,"¶")+COUNTIF($E57:E57,"²")+COUNTIF($E57:E57,"µ")+COUNTIF($E57:E57,1),ColDescriptionCourte)),""),
  "")),"")</f>
        <v/>
      </c>
      <c r="G57" s="40" t="str">
        <f ca="1">IFERROR(IF(AND(
  INDEX(Roadmap!$D:$K,MATCH($E57,Roadmap!$D:$D,0)+COUNTIF($E57:F57,"u")+COUNTIF($E57:F57,"t")+COUNTIF($E57:F57,"¶")+COUNTIF($E57:F57,"²")+COUNTIF($E57:F57,"µ")+COUNTIF($E57:F57,1),ColLivraison)=G$6,
  VLOOKUP($E57,INDIRECT("tri!"&amp; CHAR(64+ C0Col) &amp;":"&amp; CHAR(65+C0Col)),2,FALSE)&gt;COUNTIF($E57:F57,"u")+COUNTIF($E57:F57,"t")+COUNTIF($E57:F57,"¶")+COUNTIF($E57:F57,"²")+COUNTIF($E57:F57,"µ")+COUNTIF($E57:F57,1)),
HYPERLINK("#Roadmap!C"&amp; MATCH($E57,Roadmap!$D:$D,0)+COUNTIF($E57:F57,"u")+COUNTIF($E57:F57,"t"),
     INDEX(Roadmap!$D:$K,MATCH($E57,Roadmap!$D:$D,0)+COUNTIF($E57:F57,"u")+COUNTIF($E57:F57,"t")+COUNTIF($E57:F57,"¶")+COUNTIF($E57:F57,"²")+COUNTIF($E57:F57,"µ")+COUNTIF($E57:F57,1),ColTypeEcheance)),
  IF(LEN(F57)=1,
  IF(LEN(INDEX(Roadmap!$D:$K,MATCH($E57,Roadmap!$D:$D,0)-1+COUNTIF($E57:F57,"u")+COUNTIF($E57:F57,"t")+COUNTIF($E57:F57,"¶")+COUNTIF($E57:F57,"²")+COUNTIF($E57:F57,"µ")+COUNTIF($E57:F57,1),ColDescriptionCourte))&gt;1,
HYPERLINK("#Roadmap!C"&amp; MATCH($E57,Roadmap!$D:$D,0)+COUNTIF($E57:F57,"u")+COUNTIF($E57:F57,"t")+COUNTIF($E57:F57,"¶")+COUNTIF($E57:F57,"²")+COUNTIF($E57:F57,"µ")+COUNTIF($E57:F57,1)-1,INDEX(Roadmap!$D:$K,MATCH($E57,Roadmap!$D:$D,0)-1+COUNTIF($E57:F57,"u")+COUNTIF($E57:F57,"t")+COUNTIF($E57:F57,"¶")+COUNTIF($E57:F57,"²")+COUNTIF($E57:F57,"µ")+COUNTIF($E57:F57,1),ColDescriptionCourte)),""),
  "")),"")</f>
        <v/>
      </c>
      <c r="H57" s="40" t="str">
        <f ca="1">IFERROR(IF(AND(
  INDEX(Roadmap!$D:$K,MATCH($E57,Roadmap!$D:$D,0)+COUNTIF($E57:G57,"u")+COUNTIF($E57:G57,"t")+COUNTIF($E57:G57,"¶")+COUNTIF($E57:G57,"²")+COUNTIF($E57:G57,"µ")+COUNTIF($E57:G57,1),ColLivraison)=H$6,
  VLOOKUP($E57,INDIRECT("tri!"&amp; CHAR(64+ C0Col) &amp;":"&amp; CHAR(65+C0Col)),2,FALSE)&gt;COUNTIF($E57:G57,"u")+COUNTIF($E57:G57,"t")+COUNTIF($E57:G57,"¶")+COUNTIF($E57:G57,"²")+COUNTIF($E57:G57,"µ")+COUNTIF($E57:G57,1)),
HYPERLINK("#Roadmap!C"&amp; MATCH($E57,Roadmap!$D:$D,0)+COUNTIF($E57:G57,"u")+COUNTIF($E57:G57,"t"),
     INDEX(Roadmap!$D:$K,MATCH($E57,Roadmap!$D:$D,0)+COUNTIF($E57:G57,"u")+COUNTIF($E57:G57,"t")+COUNTIF($E57:G57,"¶")+COUNTIF($E57:G57,"²")+COUNTIF($E57:G57,"µ")+COUNTIF($E57:G57,1),ColTypeEcheance)),
  IF(LEN(G57)=1,
  IF(LEN(INDEX(Roadmap!$D:$K,MATCH($E57,Roadmap!$D:$D,0)-1+COUNTIF($E57:G57,"u")+COUNTIF($E57:G57,"t")+COUNTIF($E57:G57,"¶")+COUNTIF($E57:G57,"²")+COUNTIF($E57:G57,"µ")+COUNTIF($E57:G57,1),ColDescriptionCourte))&gt;1,
HYPERLINK("#Roadmap!C"&amp; MATCH($E57,Roadmap!$D:$D,0)+COUNTIF($E57:G57,"u")+COUNTIF($E57:G57,"t")+COUNTIF($E57:G57,"¶")+COUNTIF($E57:G57,"²")+COUNTIF($E57:G57,"µ")+COUNTIF($E57:G57,1)-1,INDEX(Roadmap!$D:$K,MATCH($E57,Roadmap!$D:$D,0)-1+COUNTIF($E57:G57,"u")+COUNTIF($E57:G57,"t")+COUNTIF($E57:G57,"¶")+COUNTIF($E57:G57,"²")+COUNTIF($E57:G57,"µ")+COUNTIF($E57:G57,1),ColDescriptionCourte)),""),
  "")),"")</f>
        <v/>
      </c>
      <c r="I57" s="40" t="str">
        <f ca="1">IFERROR(IF(AND(
  INDEX(Roadmap!$D:$K,MATCH($E57,Roadmap!$D:$D,0)+COUNTIF($E57:H57,"u")+COUNTIF($E57:H57,"t")+COUNTIF($E57:H57,"¶")+COUNTIF($E57:H57,"²")+COUNTIF($E57:H57,"µ")+COUNTIF($E57:H57,1),ColLivraison)=I$6,
  VLOOKUP($E57,INDIRECT("tri!"&amp; CHAR(64+ C0Col) &amp;":"&amp; CHAR(65+C0Col)),2,FALSE)&gt;COUNTIF($E57:H57,"u")+COUNTIF($E57:H57,"t")+COUNTIF($E57:H57,"¶")+COUNTIF($E57:H57,"²")+COUNTIF($E57:H57,"µ")+COUNTIF($E57:H57,1)),
HYPERLINK("#Roadmap!C"&amp; MATCH($E57,Roadmap!$D:$D,0)+COUNTIF($E57:H57,"u")+COUNTIF($E57:H57,"t"),
     INDEX(Roadmap!$D:$K,MATCH($E57,Roadmap!$D:$D,0)+COUNTIF($E57:H57,"u")+COUNTIF($E57:H57,"t")+COUNTIF($E57:H57,"¶")+COUNTIF($E57:H57,"²")+COUNTIF($E57:H57,"µ")+COUNTIF($E57:H57,1),ColTypeEcheance)),
  IF(LEN(H57)=1,
  IF(LEN(INDEX(Roadmap!$D:$K,MATCH($E57,Roadmap!$D:$D,0)-1+COUNTIF($E57:H57,"u")+COUNTIF($E57:H57,"t")+COUNTIF($E57:H57,"¶")+COUNTIF($E57:H57,"²")+COUNTIF($E57:H57,"µ")+COUNTIF($E57:H57,1),ColDescriptionCourte))&gt;1,
HYPERLINK("#Roadmap!C"&amp; MATCH($E57,Roadmap!$D:$D,0)+COUNTIF($E57:H57,"u")+COUNTIF($E57:H57,"t")+COUNTIF($E57:H57,"¶")+COUNTIF($E57:H57,"²")+COUNTIF($E57:H57,"µ")+COUNTIF($E57:H57,1)-1,INDEX(Roadmap!$D:$K,MATCH($E57,Roadmap!$D:$D,0)-1+COUNTIF($E57:H57,"u")+COUNTIF($E57:H57,"t")+COUNTIF($E57:H57,"¶")+COUNTIF($E57:H57,"²")+COUNTIF($E57:H57,"µ")+COUNTIF($E57:H57,1),ColDescriptionCourte)),""),
  "")),"")</f>
        <v/>
      </c>
      <c r="J57" s="40" t="str">
        <f ca="1">IFERROR(IF(AND(
  INDEX(Roadmap!$D:$K,MATCH($E57,Roadmap!$D:$D,0)+COUNTIF($E57:I57,"u")+COUNTIF($E57:I57,"t")+COUNTIF($E57:I57,"¶")+COUNTIF($E57:I57,"²")+COUNTIF($E57:I57,"µ")+COUNTIF($E57:I57,1),ColLivraison)=J$6,
  VLOOKUP($E57,INDIRECT("tri!"&amp; CHAR(64+ C0Col) &amp;":"&amp; CHAR(65+C0Col)),2,FALSE)&gt;COUNTIF($E57:I57,"u")+COUNTIF($E57:I57,"t")+COUNTIF($E57:I57,"¶")+COUNTIF($E57:I57,"²")+COUNTIF($E57:I57,"µ")+COUNTIF($E57:I57,1)),
HYPERLINK("#Roadmap!C"&amp; MATCH($E57,Roadmap!$D:$D,0)+COUNTIF($E57:I57,"u")+COUNTIF($E57:I57,"t"),
     INDEX(Roadmap!$D:$K,MATCH($E57,Roadmap!$D:$D,0)+COUNTIF($E57:I57,"u")+COUNTIF($E57:I57,"t")+COUNTIF($E57:I57,"¶")+COUNTIF($E57:I57,"²")+COUNTIF($E57:I57,"µ")+COUNTIF($E57:I57,1),ColTypeEcheance)),
  IF(LEN(I57)=1,
  IF(LEN(INDEX(Roadmap!$D:$K,MATCH($E57,Roadmap!$D:$D,0)-1+COUNTIF($E57:I57,"u")+COUNTIF($E57:I57,"t")+COUNTIF($E57:I57,"¶")+COUNTIF($E57:I57,"²")+COUNTIF($E57:I57,"µ")+COUNTIF($E57:I57,1),ColDescriptionCourte))&gt;1,
HYPERLINK("#Roadmap!C"&amp; MATCH($E57,Roadmap!$D:$D,0)+COUNTIF($E57:I57,"u")+COUNTIF($E57:I57,"t")+COUNTIF($E57:I57,"¶")+COUNTIF($E57:I57,"²")+COUNTIF($E57:I57,"µ")+COUNTIF($E57:I57,1)-1,INDEX(Roadmap!$D:$K,MATCH($E57,Roadmap!$D:$D,0)-1+COUNTIF($E57:I57,"u")+COUNTIF($E57:I57,"t")+COUNTIF($E57:I57,"¶")+COUNTIF($E57:I57,"²")+COUNTIF($E57:I57,"µ")+COUNTIF($E57:I57,1),ColDescriptionCourte)),""),
  "")),"")</f>
        <v/>
      </c>
      <c r="K57" s="40" t="str">
        <f ca="1">IFERROR(IF(AND(
  INDEX(Roadmap!$D:$K,MATCH($E57,Roadmap!$D:$D,0)+COUNTIF($E57:J57,"u")+COUNTIF($E57:J57,"t")+COUNTIF($E57:J57,"¶")+COUNTIF($E57:J57,"²")+COUNTIF($E57:J57,"µ")+COUNTIF($E57:J57,1),ColLivraison)=K$6,
  VLOOKUP($E57,INDIRECT("tri!"&amp; CHAR(64+ C0Col) &amp;":"&amp; CHAR(65+C0Col)),2,FALSE)&gt;COUNTIF($E57:J57,"u")+COUNTIF($E57:J57,"t")+COUNTIF($E57:J57,"¶")+COUNTIF($E57:J57,"²")+COUNTIF($E57:J57,"µ")+COUNTIF($E57:J57,1)),
HYPERLINK("#Roadmap!C"&amp; MATCH($E57,Roadmap!$D:$D,0)+COUNTIF($E57:J57,"u")+COUNTIF($E57:J57,"t"),
     INDEX(Roadmap!$D:$K,MATCH($E57,Roadmap!$D:$D,0)+COUNTIF($E57:J57,"u")+COUNTIF($E57:J57,"t")+COUNTIF($E57:J57,"¶")+COUNTIF($E57:J57,"²")+COUNTIF($E57:J57,"µ")+COUNTIF($E57:J57,1),ColTypeEcheance)),
  IF(LEN(J57)=1,
  IF(LEN(INDEX(Roadmap!$D:$K,MATCH($E57,Roadmap!$D:$D,0)-1+COUNTIF($E57:J57,"u")+COUNTIF($E57:J57,"t")+COUNTIF($E57:J57,"¶")+COUNTIF($E57:J57,"²")+COUNTIF($E57:J57,"µ")+COUNTIF($E57:J57,1),ColDescriptionCourte))&gt;1,
HYPERLINK("#Roadmap!C"&amp; MATCH($E57,Roadmap!$D:$D,0)+COUNTIF($E57:J57,"u")+COUNTIF($E57:J57,"t")+COUNTIF($E57:J57,"¶")+COUNTIF($E57:J57,"²")+COUNTIF($E57:J57,"µ")+COUNTIF($E57:J57,1)-1,INDEX(Roadmap!$D:$K,MATCH($E57,Roadmap!$D:$D,0)-1+COUNTIF($E57:J57,"u")+COUNTIF($E57:J57,"t")+COUNTIF($E57:J57,"¶")+COUNTIF($E57:J57,"²")+COUNTIF($E57:J57,"µ")+COUNTIF($E57:J57,1),ColDescriptionCourte)),""),
  "")),"")</f>
        <v/>
      </c>
      <c r="L57" s="39" t="str">
        <f ca="1">IFERROR(IF(AND(
  INDEX(Roadmap!$D:$K,MATCH($E57,Roadmap!$D:$D,0)+COUNTIF($E57:K57,"u")+COUNTIF($E57:K57,"t")+COUNTIF($E57:K57,"¶")+COUNTIF($E57:K57,"²")+COUNTIF($E57:K57,"µ")+COUNTIF($E57:K57,1),ColLivraison)=L$6,
  VLOOKUP($E57,INDIRECT("tri!"&amp; CHAR(64+ C0Col) &amp;":"&amp; CHAR(65+C0Col)),2,FALSE)&gt;COUNTIF($E57:K57,"u")+COUNTIF($E57:K57,"t")+COUNTIF($E57:K57,"¶")+COUNTIF($E57:K57,"²")+COUNTIF($E57:K57,"µ")+COUNTIF($E57:K57,1)),
HYPERLINK("#Roadmap!C"&amp; MATCH($E57,Roadmap!$D:$D,0)+COUNTIF($E57:K57,"u")+COUNTIF($E57:K57,"t"),
     INDEX(Roadmap!$D:$K,MATCH($E57,Roadmap!$D:$D,0)+COUNTIF($E57:K57,"u")+COUNTIF($E57:K57,"t")+COUNTIF($E57:K57,"¶")+COUNTIF($E57:K57,"²")+COUNTIF($E57:K57,"µ")+COUNTIF($E57:K57,1),ColTypeEcheance)),
  IF(LEN(K57)=1,
  IF(LEN(INDEX(Roadmap!$D:$K,MATCH($E57,Roadmap!$D:$D,0)-1+COUNTIF($E57:K57,"u")+COUNTIF($E57:K57,"t")+COUNTIF($E57:K57,"¶")+COUNTIF($E57:K57,"²")+COUNTIF($E57:K57,"µ")+COUNTIF($E57:K57,1),ColDescriptionCourte))&gt;1,
HYPERLINK("#Roadmap!C"&amp; MATCH($E57,Roadmap!$D:$D,0)+COUNTIF($E57:K57,"u")+COUNTIF($E57:K57,"t")+COUNTIF($E57:K57,"¶")+COUNTIF($E57:K57,"²")+COUNTIF($E57:K57,"µ")+COUNTIF($E57:K57,1)-1,INDEX(Roadmap!$D:$K,MATCH($E57,Roadmap!$D:$D,0)-1+COUNTIF($E57:K57,"u")+COUNTIF($E57:K57,"t")+COUNTIF($E57:K57,"¶")+COUNTIF($E57:K57,"²")+COUNTIF($E57:K57,"µ")+COUNTIF($E57:K57,1),ColDescriptionCourte)),""),
  "")),"")</f>
        <v/>
      </c>
      <c r="M57" s="40" t="str">
        <f ca="1">IFERROR(IF(AND(
  INDEX(Roadmap!$D:$K,MATCH($E57,Roadmap!$D:$D,0)+COUNTIF($E57:L57,"u")+COUNTIF($E57:L57,"t")+COUNTIF($E57:L57,"¶")+COUNTIF($E57:L57,"²")+COUNTIF($E57:L57,"µ")+COUNTIF($E57:L57,1),ColLivraison)=M$6,
  VLOOKUP($E57,INDIRECT("tri!"&amp; CHAR(64+ C0Col) &amp;":"&amp; CHAR(65+C0Col)),2,FALSE)&gt;COUNTIF($E57:L57,"u")+COUNTIF($E57:L57,"t")+COUNTIF($E57:L57,"¶")+COUNTIF($E57:L57,"²")+COUNTIF($E57:L57,"µ")+COUNTIF($E57:L57,1)),
HYPERLINK("#Roadmap!C"&amp; MATCH($E57,Roadmap!$D:$D,0)+COUNTIF($E57:L57,"u")+COUNTIF($E57:L57,"t"),
     INDEX(Roadmap!$D:$K,MATCH($E57,Roadmap!$D:$D,0)+COUNTIF($E57:L57,"u")+COUNTIF($E57:L57,"t")+COUNTIF($E57:L57,"¶")+COUNTIF($E57:L57,"²")+COUNTIF($E57:L57,"µ")+COUNTIF($E57:L57,1),ColTypeEcheance)),
  IF(LEN(L57)=1,
  IF(LEN(INDEX(Roadmap!$D:$K,MATCH($E57,Roadmap!$D:$D,0)-1+COUNTIF($E57:L57,"u")+COUNTIF($E57:L57,"t")+COUNTIF($E57:L57,"¶")+COUNTIF($E57:L57,"²")+COUNTIF($E57:L57,"µ")+COUNTIF($E57:L57,1),ColDescriptionCourte))&gt;1,
HYPERLINK("#Roadmap!C"&amp; MATCH($E57,Roadmap!$D:$D,0)+COUNTIF($E57:L57,"u")+COUNTIF($E57:L57,"t")+COUNTIF($E57:L57,"¶")+COUNTIF($E57:L57,"²")+COUNTIF($E57:L57,"µ")+COUNTIF($E57:L57,1)-1,INDEX(Roadmap!$D:$K,MATCH($E57,Roadmap!$D:$D,0)-1+COUNTIF($E57:L57,"u")+COUNTIF($E57:L57,"t")+COUNTIF($E57:L57,"¶")+COUNTIF($E57:L57,"²")+COUNTIF($E57:L57,"µ")+COUNTIF($E57:L57,1),ColDescriptionCourte)),""),
  "")),"")</f>
        <v/>
      </c>
      <c r="N57" s="40" t="str">
        <f ca="1">IFERROR(IF(AND(
  INDEX(Roadmap!$D:$K,MATCH($E57,Roadmap!$D:$D,0)+COUNTIF($E57:M57,"u")+COUNTIF($E57:M57,"t")+COUNTIF($E57:M57,"¶")+COUNTIF($E57:M57,"²")+COUNTIF($E57:M57,"µ")+COUNTIF($E57:M57,1),ColLivraison)=N$6,
  VLOOKUP($E57,INDIRECT("tri!"&amp; CHAR(64+ C0Col) &amp;":"&amp; CHAR(65+C0Col)),2,FALSE)&gt;COUNTIF($E57:M57,"u")+COUNTIF($E57:M57,"t")+COUNTIF($E57:M57,"¶")+COUNTIF($E57:M57,"²")+COUNTIF($E57:M57,"µ")+COUNTIF($E57:M57,1)),
HYPERLINK("#Roadmap!C"&amp; MATCH($E57,Roadmap!$D:$D,0)+COUNTIF($E57:M57,"u")+COUNTIF($E57:M57,"t"),
     INDEX(Roadmap!$D:$K,MATCH($E57,Roadmap!$D:$D,0)+COUNTIF($E57:M57,"u")+COUNTIF($E57:M57,"t")+COUNTIF($E57:M57,"¶")+COUNTIF($E57:M57,"²")+COUNTIF($E57:M57,"µ")+COUNTIF($E57:M57,1),ColTypeEcheance)),
  IF(LEN(M57)=1,
  IF(LEN(INDEX(Roadmap!$D:$K,MATCH($E57,Roadmap!$D:$D,0)-1+COUNTIF($E57:M57,"u")+COUNTIF($E57:M57,"t")+COUNTIF($E57:M57,"¶")+COUNTIF($E57:M57,"²")+COUNTIF($E57:M57,"µ")+COUNTIF($E57:M57,1),ColDescriptionCourte))&gt;1,
HYPERLINK("#Roadmap!C"&amp; MATCH($E57,Roadmap!$D:$D,0)+COUNTIF($E57:M57,"u")+COUNTIF($E57:M57,"t")+COUNTIF($E57:M57,"¶")+COUNTIF($E57:M57,"²")+COUNTIF($E57:M57,"µ")+COUNTIF($E57:M57,1)-1,INDEX(Roadmap!$D:$K,MATCH($E57,Roadmap!$D:$D,0)-1+COUNTIF($E57:M57,"u")+COUNTIF($E57:M57,"t")+COUNTIF($E57:M57,"¶")+COUNTIF($E57:M57,"²")+COUNTIF($E57:M57,"µ")+COUNTIF($E57:M57,1),ColDescriptionCourte)),""),
  "")),"")</f>
        <v/>
      </c>
      <c r="O57" s="40" t="str">
        <f ca="1">IFERROR(IF(AND(
  INDEX(Roadmap!$D:$K,MATCH($E57,Roadmap!$D:$D,0)+COUNTIF($E57:N57,"u")+COUNTIF($E57:N57,"t")+COUNTIF($E57:N57,"¶")+COUNTIF($E57:N57,"²")+COUNTIF($E57:N57,"µ")+COUNTIF($E57:N57,1),ColLivraison)=O$6,
  VLOOKUP($E57,INDIRECT("tri!"&amp; CHAR(64+ C0Col) &amp;":"&amp; CHAR(65+C0Col)),2,FALSE)&gt;COUNTIF($E57:N57,"u")+COUNTIF($E57:N57,"t")+COUNTIF($E57:N57,"¶")+COUNTIF($E57:N57,"²")+COUNTIF($E57:N57,"µ")+COUNTIF($E57:N57,1)),
HYPERLINK("#Roadmap!C"&amp; MATCH($E57,Roadmap!$D:$D,0)+COUNTIF($E57:N57,"u")+COUNTIF($E57:N57,"t"),
     INDEX(Roadmap!$D:$K,MATCH($E57,Roadmap!$D:$D,0)+COUNTIF($E57:N57,"u")+COUNTIF($E57:N57,"t")+COUNTIF($E57:N57,"¶")+COUNTIF($E57:N57,"²")+COUNTIF($E57:N57,"µ")+COUNTIF($E57:N57,1),ColTypeEcheance)),
  IF(LEN(N57)=1,
  IF(LEN(INDEX(Roadmap!$D:$K,MATCH($E57,Roadmap!$D:$D,0)-1+COUNTIF($E57:N57,"u")+COUNTIF($E57:N57,"t")+COUNTIF($E57:N57,"¶")+COUNTIF($E57:N57,"²")+COUNTIF($E57:N57,"µ")+COUNTIF($E57:N57,1),ColDescriptionCourte))&gt;1,
HYPERLINK("#Roadmap!C"&amp; MATCH($E57,Roadmap!$D:$D,0)+COUNTIF($E57:N57,"u")+COUNTIF($E57:N57,"t")+COUNTIF($E57:N57,"¶")+COUNTIF($E57:N57,"²")+COUNTIF($E57:N57,"µ")+COUNTIF($E57:N57,1)-1,INDEX(Roadmap!$D:$K,MATCH($E57,Roadmap!$D:$D,0)-1+COUNTIF($E57:N57,"u")+COUNTIF($E57:N57,"t")+COUNTIF($E57:N57,"¶")+COUNTIF($E57:N57,"²")+COUNTIF($E57:N57,"µ")+COUNTIF($E57:N57,1),ColDescriptionCourte)),""),
  "")),"")</f>
        <v/>
      </c>
      <c r="P57" s="40" t="str">
        <f ca="1">IFERROR(IF(AND(
  INDEX(Roadmap!$D:$K,MATCH($E57,Roadmap!$D:$D,0)+COUNTIF($E57:O57,"u")+COUNTIF($E57:O57,"t")+COUNTIF($E57:O57,"¶")+COUNTIF($E57:O57,"²")+COUNTIF($E57:O57,"µ")+COUNTIF($E57:O57,1),ColLivraison)=P$6,
  VLOOKUP($E57,INDIRECT("tri!"&amp; CHAR(64+ C0Col) &amp;":"&amp; CHAR(65+C0Col)),2,FALSE)&gt;COUNTIF($E57:O57,"u")+COUNTIF($E57:O57,"t")+COUNTIF($E57:O57,"¶")+COUNTIF($E57:O57,"²")+COUNTIF($E57:O57,"µ")+COUNTIF($E57:O57,1)),
HYPERLINK("#Roadmap!C"&amp; MATCH($E57,Roadmap!$D:$D,0)+COUNTIF($E57:O57,"u")+COUNTIF($E57:O57,"t"),
     INDEX(Roadmap!$D:$K,MATCH($E57,Roadmap!$D:$D,0)+COUNTIF($E57:O57,"u")+COUNTIF($E57:O57,"t")+COUNTIF($E57:O57,"¶")+COUNTIF($E57:O57,"²")+COUNTIF($E57:O57,"µ")+COUNTIF($E57:O57,1),ColTypeEcheance)),
  IF(LEN(O57)=1,
  IF(LEN(INDEX(Roadmap!$D:$K,MATCH($E57,Roadmap!$D:$D,0)-1+COUNTIF($E57:O57,"u")+COUNTIF($E57:O57,"t")+COUNTIF($E57:O57,"¶")+COUNTIF($E57:O57,"²")+COUNTIF($E57:O57,"µ")+COUNTIF($E57:O57,1),ColDescriptionCourte))&gt;1,
HYPERLINK("#Roadmap!C"&amp; MATCH($E57,Roadmap!$D:$D,0)+COUNTIF($E57:O57,"u")+COUNTIF($E57:O57,"t")+COUNTIF($E57:O57,"¶")+COUNTIF($E57:O57,"²")+COUNTIF($E57:O57,"µ")+COUNTIF($E57:O57,1)-1,INDEX(Roadmap!$D:$K,MATCH($E57,Roadmap!$D:$D,0)-1+COUNTIF($E57:O57,"u")+COUNTIF($E57:O57,"t")+COUNTIF($E57:O57,"¶")+COUNTIF($E57:O57,"²")+COUNTIF($E57:O57,"µ")+COUNTIF($E57:O57,1),ColDescriptionCourte)),""),
  "")),"")</f>
        <v/>
      </c>
      <c r="Q57" s="40" t="str">
        <f ca="1">IFERROR(IF(AND(
  INDEX(Roadmap!$D:$K,MATCH($E57,Roadmap!$D:$D,0)+COUNTIF($E57:P57,"u")+COUNTIF($E57:P57,"t")+COUNTIF($E57:P57,"¶")+COUNTIF($E57:P57,"²")+COUNTIF($E57:P57,"µ")+COUNTIF($E57:P57,1),ColLivraison)=Q$6,
  VLOOKUP($E57,INDIRECT("tri!"&amp; CHAR(64+ C0Col) &amp;":"&amp; CHAR(65+C0Col)),2,FALSE)&gt;COUNTIF($E57:P57,"u")+COUNTIF($E57:P57,"t")+COUNTIF($E57:P57,"¶")+COUNTIF($E57:P57,"²")+COUNTIF($E57:P57,"µ")+COUNTIF($E57:P57,1)),
HYPERLINK("#Roadmap!C"&amp; MATCH($E57,Roadmap!$D:$D,0)+COUNTIF($E57:P57,"u")+COUNTIF($E57:P57,"t"),
     INDEX(Roadmap!$D:$K,MATCH($E57,Roadmap!$D:$D,0)+COUNTIF($E57:P57,"u")+COUNTIF($E57:P57,"t")+COUNTIF($E57:P57,"¶")+COUNTIF($E57:P57,"²")+COUNTIF($E57:P57,"µ")+COUNTIF($E57:P57,1),ColTypeEcheance)),
  IF(LEN(P57)=1,
  IF(LEN(INDEX(Roadmap!$D:$K,MATCH($E57,Roadmap!$D:$D,0)-1+COUNTIF($E57:P57,"u")+COUNTIF($E57:P57,"t")+COUNTIF($E57:P57,"¶")+COUNTIF($E57:P57,"²")+COUNTIF($E57:P57,"µ")+COUNTIF($E57:P57,1),ColDescriptionCourte))&gt;1,
HYPERLINK("#Roadmap!C"&amp; MATCH($E57,Roadmap!$D:$D,0)+COUNTIF($E57:P57,"u")+COUNTIF($E57:P57,"t")+COUNTIF($E57:P57,"¶")+COUNTIF($E57:P57,"²")+COUNTIF($E57:P57,"µ")+COUNTIF($E57:P57,1)-1,INDEX(Roadmap!$D:$K,MATCH($E57,Roadmap!$D:$D,0)-1+COUNTIF($E57:P57,"u")+COUNTIF($E57:P57,"t")+COUNTIF($E57:P57,"¶")+COUNTIF($E57:P57,"²")+COUNTIF($E57:P57,"µ")+COUNTIF($E57:P57,1),ColDescriptionCourte)),""),
  "")),"")</f>
        <v/>
      </c>
      <c r="R57" s="40" t="str">
        <f ca="1">IFERROR(IF(AND(
  INDEX(Roadmap!$D:$K,MATCH($E57,Roadmap!$D:$D,0)+COUNTIF($E57:Q57,"u")+COUNTIF($E57:Q57,"t")+COUNTIF($E57:Q57,"¶")+COUNTIF($E57:Q57,"²")+COUNTIF($E57:Q57,"µ")+COUNTIF($E57:Q57,1),ColLivraison)=R$6,
  VLOOKUP($E57,INDIRECT("tri!"&amp; CHAR(64+ C0Col) &amp;":"&amp; CHAR(65+C0Col)),2,FALSE)&gt;COUNTIF($E57:Q57,"u")+COUNTIF($E57:Q57,"t")+COUNTIF($E57:Q57,"¶")+COUNTIF($E57:Q57,"²")+COUNTIF($E57:Q57,"µ")+COUNTIF($E57:Q57,1)),
HYPERLINK("#Roadmap!C"&amp; MATCH($E57,Roadmap!$D:$D,0)+COUNTIF($E57:Q57,"u")+COUNTIF($E57:Q57,"t"),
     INDEX(Roadmap!$D:$K,MATCH($E57,Roadmap!$D:$D,0)+COUNTIF($E57:Q57,"u")+COUNTIF($E57:Q57,"t")+COUNTIF($E57:Q57,"¶")+COUNTIF($E57:Q57,"²")+COUNTIF($E57:Q57,"µ")+COUNTIF($E57:Q57,1),ColTypeEcheance)),
  IF(LEN(Q57)=1,
  IF(LEN(INDEX(Roadmap!$D:$K,MATCH($E57,Roadmap!$D:$D,0)-1+COUNTIF($E57:Q57,"u")+COUNTIF($E57:Q57,"t")+COUNTIF($E57:Q57,"¶")+COUNTIF($E57:Q57,"²")+COUNTIF($E57:Q57,"µ")+COUNTIF($E57:Q57,1),ColDescriptionCourte))&gt;1,
HYPERLINK("#Roadmap!C"&amp; MATCH($E57,Roadmap!$D:$D,0)+COUNTIF($E57:Q57,"u")+COUNTIF($E57:Q57,"t")+COUNTIF($E57:Q57,"¶")+COUNTIF($E57:Q57,"²")+COUNTIF($E57:Q57,"µ")+COUNTIF($E57:Q57,1)-1,INDEX(Roadmap!$D:$K,MATCH($E57,Roadmap!$D:$D,0)-1+COUNTIF($E57:Q57,"u")+COUNTIF($E57:Q57,"t")+COUNTIF($E57:Q57,"¶")+COUNTIF($E57:Q57,"²")+COUNTIF($E57:Q57,"µ")+COUNTIF($E57:Q57,1),ColDescriptionCourte)),""),
  "")),"")</f>
        <v/>
      </c>
      <c r="S57" s="40" t="str">
        <f ca="1">IFERROR(IF(AND(
  INDEX(Roadmap!$D:$K,MATCH($E57,Roadmap!$D:$D,0)+COUNTIF($E57:R57,"u")+COUNTIF($E57:R57,"t")+COUNTIF($E57:R57,"¶")+COUNTIF($E57:R57,"²")+COUNTIF($E57:R57,"µ")+COUNTIF($E57:R57,1),ColLivraison)=S$6,
  VLOOKUP($E57,INDIRECT("tri!"&amp; CHAR(64+ C0Col) &amp;":"&amp; CHAR(65+C0Col)),2,FALSE)&gt;COUNTIF($E57:R57,"u")+COUNTIF($E57:R57,"t")+COUNTIF($E57:R57,"¶")+COUNTIF($E57:R57,"²")+COUNTIF($E57:R57,"µ")+COUNTIF($E57:R57,1)),
HYPERLINK("#Roadmap!C"&amp; MATCH($E57,Roadmap!$D:$D,0)+COUNTIF($E57:R57,"u")+COUNTIF($E57:R57,"t"),
     INDEX(Roadmap!$D:$K,MATCH($E57,Roadmap!$D:$D,0)+COUNTIF($E57:R57,"u")+COUNTIF($E57:R57,"t")+COUNTIF($E57:R57,"¶")+COUNTIF($E57:R57,"²")+COUNTIF($E57:R57,"µ")+COUNTIF($E57:R57,1),ColTypeEcheance)),
  IF(LEN(R57)=1,
  IF(LEN(INDEX(Roadmap!$D:$K,MATCH($E57,Roadmap!$D:$D,0)-1+COUNTIF($E57:R57,"u")+COUNTIF($E57:R57,"t")+COUNTIF($E57:R57,"¶")+COUNTIF($E57:R57,"²")+COUNTIF($E57:R57,"µ")+COUNTIF($E57:R57,1),ColDescriptionCourte))&gt;1,
HYPERLINK("#Roadmap!C"&amp; MATCH($E57,Roadmap!$D:$D,0)+COUNTIF($E57:R57,"u")+COUNTIF($E57:R57,"t")+COUNTIF($E57:R57,"¶")+COUNTIF($E57:R57,"²")+COUNTIF($E57:R57,"µ")+COUNTIF($E57:R57,1)-1,INDEX(Roadmap!$D:$K,MATCH($E57,Roadmap!$D:$D,0)-1+COUNTIF($E57:R57,"u")+COUNTIF($E57:R57,"t")+COUNTIF($E57:R57,"¶")+COUNTIF($E57:R57,"²")+COUNTIF($E57:R57,"µ")+COUNTIF($E57:R57,1),ColDescriptionCourte)),""),
  "")),"")</f>
        <v/>
      </c>
      <c r="T57" s="40" t="str">
        <f ca="1">IFERROR(IF(AND(
  INDEX(Roadmap!$D:$K,MATCH($E57,Roadmap!$D:$D,0)+COUNTIF($E57:S57,"u")+COUNTIF($E57:S57,"t")+COUNTIF($E57:S57,"¶")+COUNTIF($E57:S57,"²")+COUNTIF($E57:S57,"µ")+COUNTIF($E57:S57,1),ColLivraison)=T$6,
  VLOOKUP($E57,INDIRECT("tri!"&amp; CHAR(64+ C0Col) &amp;":"&amp; CHAR(65+C0Col)),2,FALSE)&gt;COUNTIF($E57:S57,"u")+COUNTIF($E57:S57,"t")+COUNTIF($E57:S57,"¶")+COUNTIF($E57:S57,"²")+COUNTIF($E57:S57,"µ")+COUNTIF($E57:S57,1)),
HYPERLINK("#Roadmap!C"&amp; MATCH($E57,Roadmap!$D:$D,0)+COUNTIF($E57:S57,"u")+COUNTIF($E57:S57,"t"),
     INDEX(Roadmap!$D:$K,MATCH($E57,Roadmap!$D:$D,0)+COUNTIF($E57:S57,"u")+COUNTIF($E57:S57,"t")+COUNTIF($E57:S57,"¶")+COUNTIF($E57:S57,"²")+COUNTIF($E57:S57,"µ")+COUNTIF($E57:S57,1),ColTypeEcheance)),
  IF(LEN(S57)=1,
  IF(LEN(INDEX(Roadmap!$D:$K,MATCH($E57,Roadmap!$D:$D,0)-1+COUNTIF($E57:S57,"u")+COUNTIF($E57:S57,"t")+COUNTIF($E57:S57,"¶")+COUNTIF($E57:S57,"²")+COUNTIF($E57:S57,"µ")+COUNTIF($E57:S57,1),ColDescriptionCourte))&gt;1,
HYPERLINK("#Roadmap!C"&amp; MATCH($E57,Roadmap!$D:$D,0)+COUNTIF($E57:S57,"u")+COUNTIF($E57:S57,"t")+COUNTIF($E57:S57,"¶")+COUNTIF($E57:S57,"²")+COUNTIF($E57:S57,"µ")+COUNTIF($E57:S57,1)-1,INDEX(Roadmap!$D:$K,MATCH($E57,Roadmap!$D:$D,0)-1+COUNTIF($E57:S57,"u")+COUNTIF($E57:S57,"t")+COUNTIF($E57:S57,"¶")+COUNTIF($E57:S57,"²")+COUNTIF($E57:S57,"µ")+COUNTIF($E57:S57,1),ColDescriptionCourte)),""),
  "")),"")</f>
        <v/>
      </c>
      <c r="U57" s="40" t="str">
        <f ca="1">IFERROR(IF(AND(
  INDEX(Roadmap!$D:$K,MATCH($E57,Roadmap!$D:$D,0)+COUNTIF($E57:T57,"u")+COUNTIF($E57:T57,"t")+COUNTIF($E57:T57,"¶")+COUNTIF($E57:T57,"²")+COUNTIF($E57:T57,"µ")+COUNTIF($E57:T57,1),ColLivraison)=U$6,
  VLOOKUP($E57,INDIRECT("tri!"&amp; CHAR(64+ C0Col) &amp;":"&amp; CHAR(65+C0Col)),2,FALSE)&gt;COUNTIF($E57:T57,"u")+COUNTIF($E57:T57,"t")+COUNTIF($E57:T57,"¶")+COUNTIF($E57:T57,"²")+COUNTIF($E57:T57,"µ")+COUNTIF($E57:T57,1)),
HYPERLINK("#Roadmap!C"&amp; MATCH($E57,Roadmap!$D:$D,0)+COUNTIF($E57:T57,"u")+COUNTIF($E57:T57,"t"),
     INDEX(Roadmap!$D:$K,MATCH($E57,Roadmap!$D:$D,0)+COUNTIF($E57:T57,"u")+COUNTIF($E57:T57,"t")+COUNTIF($E57:T57,"¶")+COUNTIF($E57:T57,"²")+COUNTIF($E57:T57,"µ")+COUNTIF($E57:T57,1),ColTypeEcheance)),
  IF(LEN(T57)=1,
  IF(LEN(INDEX(Roadmap!$D:$K,MATCH($E57,Roadmap!$D:$D,0)-1+COUNTIF($E57:T57,"u")+COUNTIF($E57:T57,"t")+COUNTIF($E57:T57,"¶")+COUNTIF($E57:T57,"²")+COUNTIF($E57:T57,"µ")+COUNTIF($E57:T57,1),ColDescriptionCourte))&gt;1,
HYPERLINK("#Roadmap!C"&amp; MATCH($E57,Roadmap!$D:$D,0)+COUNTIF($E57:T57,"u")+COUNTIF($E57:T57,"t")+COUNTIF($E57:T57,"¶")+COUNTIF($E57:T57,"²")+COUNTIF($E57:T57,"µ")+COUNTIF($E57:T57,1)-1,INDEX(Roadmap!$D:$K,MATCH($E57,Roadmap!$D:$D,0)-1+COUNTIF($E57:T57,"u")+COUNTIF($E57:T57,"t")+COUNTIF($E57:T57,"¶")+COUNTIF($E57:T57,"²")+COUNTIF($E57:T57,"µ")+COUNTIF($E57:T57,1),ColDescriptionCourte)),""),
  "")),"")</f>
        <v/>
      </c>
      <c r="V57" s="40" t="str">
        <f ca="1">IFERROR(IF(AND(
  INDEX(Roadmap!$D:$K,MATCH($E57,Roadmap!$D:$D,0)+COUNTIF($E57:U57,"u")+COUNTIF($E57:U57,"t")+COUNTIF($E57:U57,"¶")+COUNTIF($E57:U57,"²")+COUNTIF($E57:U57,"µ")+COUNTIF($E57:U57,1),ColLivraison)=V$6,
  VLOOKUP($E57,INDIRECT("tri!"&amp; CHAR(64+ C0Col) &amp;":"&amp; CHAR(65+C0Col)),2,FALSE)&gt;COUNTIF($E57:U57,"u")+COUNTIF($E57:U57,"t")+COUNTIF($E57:U57,"¶")+COUNTIF($E57:U57,"²")+COUNTIF($E57:U57,"µ")+COUNTIF($E57:U57,1)),
HYPERLINK("#Roadmap!C"&amp; MATCH($E57,Roadmap!$D:$D,0)+COUNTIF($E57:U57,"u")+COUNTIF($E57:U57,"t"),
     INDEX(Roadmap!$D:$K,MATCH($E57,Roadmap!$D:$D,0)+COUNTIF($E57:U57,"u")+COUNTIF($E57:U57,"t")+COUNTIF($E57:U57,"¶")+COUNTIF($E57:U57,"²")+COUNTIF($E57:U57,"µ")+COUNTIF($E57:U57,1),ColTypeEcheance)),
  IF(LEN(U57)=1,
  IF(LEN(INDEX(Roadmap!$D:$K,MATCH($E57,Roadmap!$D:$D,0)-1+COUNTIF($E57:U57,"u")+COUNTIF($E57:U57,"t")+COUNTIF($E57:U57,"¶")+COUNTIF($E57:U57,"²")+COUNTIF($E57:U57,"µ")+COUNTIF($E57:U57,1),ColDescriptionCourte))&gt;1,
HYPERLINK("#Roadmap!C"&amp; MATCH($E57,Roadmap!$D:$D,0)+COUNTIF($E57:U57,"u")+COUNTIF($E57:U57,"t")+COUNTIF($E57:U57,"¶")+COUNTIF($E57:U57,"²")+COUNTIF($E57:U57,"µ")+COUNTIF($E57:U57,1)-1,INDEX(Roadmap!$D:$K,MATCH($E57,Roadmap!$D:$D,0)-1+COUNTIF($E57:U57,"u")+COUNTIF($E57:U57,"t")+COUNTIF($E57:U57,"¶")+COUNTIF($E57:U57,"²")+COUNTIF($E57:U57,"µ")+COUNTIF($E57:U57,1),ColDescriptionCourte)),""),
  "")),"")</f>
        <v/>
      </c>
      <c r="W57" s="40" t="str">
        <f ca="1">IFERROR(IF(AND(
  INDEX(Roadmap!$D:$K,MATCH($E57,Roadmap!$D:$D,0)+COUNTIF($E57:V57,"u")+COUNTIF($E57:V57,"t")+COUNTIF($E57:V57,"¶")+COUNTIF($E57:V57,"²")+COUNTIF($E57:V57,"µ")+COUNTIF($E57:V57,1),ColLivraison)=W$6,
  VLOOKUP($E57,INDIRECT("tri!"&amp; CHAR(64+ C0Col) &amp;":"&amp; CHAR(65+C0Col)),2,FALSE)&gt;COUNTIF($E57:V57,"u")+COUNTIF($E57:V57,"t")+COUNTIF($E57:V57,"¶")+COUNTIF($E57:V57,"²")+COUNTIF($E57:V57,"µ")+COUNTIF($E57:V57,1)),
HYPERLINK("#Roadmap!C"&amp; MATCH($E57,Roadmap!$D:$D,0)+COUNTIF($E57:V57,"u")+COUNTIF($E57:V57,"t"),
     INDEX(Roadmap!$D:$K,MATCH($E57,Roadmap!$D:$D,0)+COUNTIF($E57:V57,"u")+COUNTIF($E57:V57,"t")+COUNTIF($E57:V57,"¶")+COUNTIF($E57:V57,"²")+COUNTIF($E57:V57,"µ")+COUNTIF($E57:V57,1),ColTypeEcheance)),
  IF(LEN(V57)=1,
  IF(LEN(INDEX(Roadmap!$D:$K,MATCH($E57,Roadmap!$D:$D,0)-1+COUNTIF($E57:V57,"u")+COUNTIF($E57:V57,"t")+COUNTIF($E57:V57,"¶")+COUNTIF($E57:V57,"²")+COUNTIF($E57:V57,"µ")+COUNTIF($E57:V57,1),ColDescriptionCourte))&gt;1,
HYPERLINK("#Roadmap!C"&amp; MATCH($E57,Roadmap!$D:$D,0)+COUNTIF($E57:V57,"u")+COUNTIF($E57:V57,"t")+COUNTIF($E57:V57,"¶")+COUNTIF($E57:V57,"²")+COUNTIF($E57:V57,"µ")+COUNTIF($E57:V57,1)-1,INDEX(Roadmap!$D:$K,MATCH($E57,Roadmap!$D:$D,0)-1+COUNTIF($E57:V57,"u")+COUNTIF($E57:V57,"t")+COUNTIF($E57:V57,"¶")+COUNTIF($E57:V57,"²")+COUNTIF($E57:V57,"µ")+COUNTIF($E57:V57,1),ColDescriptionCourte)),""),
  "")),"")</f>
        <v/>
      </c>
      <c r="X57" s="40" t="str">
        <f ca="1">IFERROR(IF(AND(
  INDEX(Roadmap!$D:$K,MATCH($E57,Roadmap!$D:$D,0)+COUNTIF($E57:W57,"u")+COUNTIF($E57:W57,"t")+COUNTIF($E57:W57,"¶")+COUNTIF($E57:W57,"²")+COUNTIF($E57:W57,"µ")+COUNTIF($E57:W57,1),ColLivraison)=X$6,
  VLOOKUP($E57,INDIRECT("tri!"&amp; CHAR(64+ C0Col) &amp;":"&amp; CHAR(65+C0Col)),2,FALSE)&gt;COUNTIF($E57:W57,"u")+COUNTIF($E57:W57,"t")+COUNTIF($E57:W57,"¶")+COUNTIF($E57:W57,"²")+COUNTIF($E57:W57,"µ")+COUNTIF($E57:W57,1)),
HYPERLINK("#Roadmap!C"&amp; MATCH($E57,Roadmap!$D:$D,0)+COUNTIF($E57:W57,"u")+COUNTIF($E57:W57,"t"),
     INDEX(Roadmap!$D:$K,MATCH($E57,Roadmap!$D:$D,0)+COUNTIF($E57:W57,"u")+COUNTIF($E57:W57,"t")+COUNTIF($E57:W57,"¶")+COUNTIF($E57:W57,"²")+COUNTIF($E57:W57,"µ")+COUNTIF($E57:W57,1),ColTypeEcheance)),
  IF(LEN(W57)=1,
  IF(LEN(INDEX(Roadmap!$D:$K,MATCH($E57,Roadmap!$D:$D,0)-1+COUNTIF($E57:W57,"u")+COUNTIF($E57:W57,"t")+COUNTIF($E57:W57,"¶")+COUNTIF($E57:W57,"²")+COUNTIF($E57:W57,"µ")+COUNTIF($E57:W57,1),ColDescriptionCourte))&gt;1,
HYPERLINK("#Roadmap!C"&amp; MATCH($E57,Roadmap!$D:$D,0)+COUNTIF($E57:W57,"u")+COUNTIF($E57:W57,"t")+COUNTIF($E57:W57,"¶")+COUNTIF($E57:W57,"²")+COUNTIF($E57:W57,"µ")+COUNTIF($E57:W57,1)-1,INDEX(Roadmap!$D:$K,MATCH($E57,Roadmap!$D:$D,0)-1+COUNTIF($E57:W57,"u")+COUNTIF($E57:W57,"t")+COUNTIF($E57:W57,"¶")+COUNTIF($E57:W57,"²")+COUNTIF($E57:W57,"µ")+COUNTIF($E57:W57,1),ColDescriptionCourte)),""),
  "")),"")</f>
        <v/>
      </c>
      <c r="Y57" s="40" t="str">
        <f ca="1">IFERROR(IF(AND(
  INDEX(Roadmap!$D:$K,MATCH($E57,Roadmap!$D:$D,0)+COUNTIF($E57:X57,"u")+COUNTIF($E57:X57,"t")+COUNTIF($E57:X57,"¶")+COUNTIF($E57:X57,"²")+COUNTIF($E57:X57,"µ")+COUNTIF($E57:X57,1),ColLivraison)=Y$6,
  VLOOKUP($E57,INDIRECT("tri!"&amp; CHAR(64+ C0Col) &amp;":"&amp; CHAR(65+C0Col)),2,FALSE)&gt;COUNTIF($E57:X57,"u")+COUNTIF($E57:X57,"t")+COUNTIF($E57:X57,"¶")+COUNTIF($E57:X57,"²")+COUNTIF($E57:X57,"µ")+COUNTIF($E57:X57,1)),
HYPERLINK("#Roadmap!C"&amp; MATCH($E57,Roadmap!$D:$D,0)+COUNTIF($E57:X57,"u")+COUNTIF($E57:X57,"t"),
     INDEX(Roadmap!$D:$K,MATCH($E57,Roadmap!$D:$D,0)+COUNTIF($E57:X57,"u")+COUNTIF($E57:X57,"t")+COUNTIF($E57:X57,"¶")+COUNTIF($E57:X57,"²")+COUNTIF($E57:X57,"µ")+COUNTIF($E57:X57,1),ColTypeEcheance)),
  IF(LEN(X57)=1,
  IF(LEN(INDEX(Roadmap!$D:$K,MATCH($E57,Roadmap!$D:$D,0)-1+COUNTIF($E57:X57,"u")+COUNTIF($E57:X57,"t")+COUNTIF($E57:X57,"¶")+COUNTIF($E57:X57,"²")+COUNTIF($E57:X57,"µ")+COUNTIF($E57:X57,1),ColDescriptionCourte))&gt;1,
HYPERLINK("#Roadmap!C"&amp; MATCH($E57,Roadmap!$D:$D,0)+COUNTIF($E57:X57,"u")+COUNTIF($E57:X57,"t")+COUNTIF($E57:X57,"¶")+COUNTIF($E57:X57,"²")+COUNTIF($E57:X57,"µ")+COUNTIF($E57:X57,1)-1,INDEX(Roadmap!$D:$K,MATCH($E57,Roadmap!$D:$D,0)-1+COUNTIF($E57:X57,"u")+COUNTIF($E57:X57,"t")+COUNTIF($E57:X57,"¶")+COUNTIF($E57:X57,"²")+COUNTIF($E57:X57,"µ")+COUNTIF($E57:X57,1),ColDescriptionCourte)),""),
  "")),"")</f>
        <v/>
      </c>
      <c r="Z57" s="40" t="str">
        <f ca="1">IFERROR(IF(AND(
  INDEX(Roadmap!$D:$K,MATCH($E57,Roadmap!$D:$D,0)+COUNTIF($E57:Y57,"u")+COUNTIF($E57:Y57,"t")+COUNTIF($E57:Y57,"¶")+COUNTIF($E57:Y57,"²")+COUNTIF($E57:Y57,"µ")+COUNTIF($E57:Y57,1),ColLivraison)=Z$6,
  VLOOKUP($E57,INDIRECT("tri!"&amp; CHAR(64+ C0Col) &amp;":"&amp; CHAR(65+C0Col)),2,FALSE)&gt;COUNTIF($E57:Y57,"u")+COUNTIF($E57:Y57,"t")+COUNTIF($E57:Y57,"¶")+COUNTIF($E57:Y57,"²")+COUNTIF($E57:Y57,"µ")+COUNTIF($E57:Y57,1)),
HYPERLINK("#Roadmap!C"&amp; MATCH($E57,Roadmap!$D:$D,0)+COUNTIF($E57:Y57,"u")+COUNTIF($E57:Y57,"t"),
     INDEX(Roadmap!$D:$K,MATCH($E57,Roadmap!$D:$D,0)+COUNTIF($E57:Y57,"u")+COUNTIF($E57:Y57,"t")+COUNTIF($E57:Y57,"¶")+COUNTIF($E57:Y57,"²")+COUNTIF($E57:Y57,"µ")+COUNTIF($E57:Y57,1),ColTypeEcheance)),
  IF(LEN(Y57)=1,
  IF(LEN(INDEX(Roadmap!$D:$K,MATCH($E57,Roadmap!$D:$D,0)-1+COUNTIF($E57:Y57,"u")+COUNTIF($E57:Y57,"t")+COUNTIF($E57:Y57,"¶")+COUNTIF($E57:Y57,"²")+COUNTIF($E57:Y57,"µ")+COUNTIF($E57:Y57,1),ColDescriptionCourte))&gt;1,
HYPERLINK("#Roadmap!C"&amp; MATCH($E57,Roadmap!$D:$D,0)+COUNTIF($E57:Y57,"u")+COUNTIF($E57:Y57,"t")+COUNTIF($E57:Y57,"¶")+COUNTIF($E57:Y57,"²")+COUNTIF($E57:Y57,"µ")+COUNTIF($E57:Y57,1)-1,INDEX(Roadmap!$D:$K,MATCH($E57,Roadmap!$D:$D,0)-1+COUNTIF($E57:Y57,"u")+COUNTIF($E57:Y57,"t")+COUNTIF($E57:Y57,"¶")+COUNTIF($E57:Y57,"²")+COUNTIF($E57:Y57,"µ")+COUNTIF($E57:Y57,1),ColDescriptionCourte)),""),
  "")),"")</f>
        <v/>
      </c>
      <c r="AA57" s="40" t="str">
        <f ca="1">IFERROR(IF(AND(
  INDEX(Roadmap!$D:$K,MATCH($E57,Roadmap!$D:$D,0)+COUNTIF($E57:Z57,"u")+COUNTIF($E57:Z57,"t")+COUNTIF($E57:Z57,"¶")+COUNTIF($E57:Z57,"²")+COUNTIF($E57:Z57,"µ")+COUNTIF($E57:Z57,1),ColLivraison)=AA$6,
  VLOOKUP($E57,INDIRECT("tri!"&amp; CHAR(64+ C0Col) &amp;":"&amp; CHAR(65+C0Col)),2,FALSE)&gt;COUNTIF($E57:Z57,"u")+COUNTIF($E57:Z57,"t")+COUNTIF($E57:Z57,"¶")+COUNTIF($E57:Z57,"²")+COUNTIF($E57:Z57,"µ")+COUNTIF($E57:Z57,1)),
HYPERLINK("#Roadmap!C"&amp; MATCH($E57,Roadmap!$D:$D,0)+COUNTIF($E57:Z57,"u")+COUNTIF($E57:Z57,"t"),
     INDEX(Roadmap!$D:$K,MATCH($E57,Roadmap!$D:$D,0)+COUNTIF($E57:Z57,"u")+COUNTIF($E57:Z57,"t")+COUNTIF($E57:Z57,"¶")+COUNTIF($E57:Z57,"²")+COUNTIF($E57:Z57,"µ")+COUNTIF($E57:Z57,1),ColTypeEcheance)),
  IF(LEN(Z57)=1,
  IF(LEN(INDEX(Roadmap!$D:$K,MATCH($E57,Roadmap!$D:$D,0)-1+COUNTIF($E57:Z57,"u")+COUNTIF($E57:Z57,"t")+COUNTIF($E57:Z57,"¶")+COUNTIF($E57:Z57,"²")+COUNTIF($E57:Z57,"µ")+COUNTIF($E57:Z57,1),ColDescriptionCourte))&gt;1,
HYPERLINK("#Roadmap!C"&amp; MATCH($E57,Roadmap!$D:$D,0)+COUNTIF($E57:Z57,"u")+COUNTIF($E57:Z57,"t")+COUNTIF($E57:Z57,"¶")+COUNTIF($E57:Z57,"²")+COUNTIF($E57:Z57,"µ")+COUNTIF($E57:Z57,1)-1,INDEX(Roadmap!$D:$K,MATCH($E57,Roadmap!$D:$D,0)-1+COUNTIF($E57:Z57,"u")+COUNTIF($E57:Z57,"t")+COUNTIF($E57:Z57,"¶")+COUNTIF($E57:Z57,"²")+COUNTIF($E57:Z57,"µ")+COUNTIF($E57:Z57,1),ColDescriptionCourte)),""),
  "")),"")</f>
        <v/>
      </c>
      <c r="AB57" s="40" t="str">
        <f ca="1">IFERROR(IF(AND(
  INDEX(Roadmap!$D:$K,MATCH($E57,Roadmap!$D:$D,0)+COUNTIF($E57:AA57,"u")+COUNTIF($E57:AA57,"t")+COUNTIF($E57:AA57,"¶")+COUNTIF($E57:AA57,"²")+COUNTIF($E57:AA57,"µ")+COUNTIF($E57:AA57,1),ColLivraison)=AB$6,
  VLOOKUP($E57,INDIRECT("tri!"&amp; CHAR(64+ C0Col) &amp;":"&amp; CHAR(65+C0Col)),2,FALSE)&gt;COUNTIF($E57:AA57,"u")+COUNTIF($E57:AA57,"t")+COUNTIF($E57:AA57,"¶")+COUNTIF($E57:AA57,"²")+COUNTIF($E57:AA57,"µ")+COUNTIF($E57:AA57,1)),
HYPERLINK("#Roadmap!C"&amp; MATCH($E57,Roadmap!$D:$D,0)+COUNTIF($E57:AA57,"u")+COUNTIF($E57:AA57,"t"),
     INDEX(Roadmap!$D:$K,MATCH($E57,Roadmap!$D:$D,0)+COUNTIF($E57:AA57,"u")+COUNTIF($E57:AA57,"t")+COUNTIF($E57:AA57,"¶")+COUNTIF($E57:AA57,"²")+COUNTIF($E57:AA57,"µ")+COUNTIF($E57:AA57,1),ColTypeEcheance)),
  IF(LEN(AA57)=1,
  IF(LEN(INDEX(Roadmap!$D:$K,MATCH($E57,Roadmap!$D:$D,0)-1+COUNTIF($E57:AA57,"u")+COUNTIF($E57:AA57,"t")+COUNTIF($E57:AA57,"¶")+COUNTIF($E57:AA57,"²")+COUNTIF($E57:AA57,"µ")+COUNTIF($E57:AA57,1),ColDescriptionCourte))&gt;1,
HYPERLINK("#Roadmap!C"&amp; MATCH($E57,Roadmap!$D:$D,0)+COUNTIF($E57:AA57,"u")+COUNTIF($E57:AA57,"t")+COUNTIF($E57:AA57,"¶")+COUNTIF($E57:AA57,"²")+COUNTIF($E57:AA57,"µ")+COUNTIF($E57:AA57,1)-1,INDEX(Roadmap!$D:$K,MATCH($E57,Roadmap!$D:$D,0)-1+COUNTIF($E57:AA57,"u")+COUNTIF($E57:AA57,"t")+COUNTIF($E57:AA57,"¶")+COUNTIF($E57:AA57,"²")+COUNTIF($E57:AA57,"µ")+COUNTIF($E57:AA57,1),ColDescriptionCourte)),""),
  "")),"")</f>
        <v/>
      </c>
      <c r="AC57" s="40" t="str">
        <f ca="1">IFERROR(IF(AND(
  INDEX(Roadmap!$D:$K,MATCH($E57,Roadmap!$D:$D,0)+COUNTIF($E57:AB57,"u")+COUNTIF($E57:AB57,"t")+COUNTIF($E57:AB57,"¶")+COUNTIF($E57:AB57,"²")+COUNTIF($E57:AB57,"µ")+COUNTIF($E57:AB57,1),ColLivraison)=AC$6,
  VLOOKUP($E57,INDIRECT("tri!"&amp; CHAR(64+ C0Col) &amp;":"&amp; CHAR(65+C0Col)),2,FALSE)&gt;COUNTIF($E57:AB57,"u")+COUNTIF($E57:AB57,"t")+COUNTIF($E57:AB57,"¶")+COUNTIF($E57:AB57,"²")+COUNTIF($E57:AB57,"µ")+COUNTIF($E57:AB57,1)),
HYPERLINK("#Roadmap!C"&amp; MATCH($E57,Roadmap!$D:$D,0)+COUNTIF($E57:AB57,"u")+COUNTIF($E57:AB57,"t"),
     INDEX(Roadmap!$D:$K,MATCH($E57,Roadmap!$D:$D,0)+COUNTIF($E57:AB57,"u")+COUNTIF($E57:AB57,"t")+COUNTIF($E57:AB57,"¶")+COUNTIF($E57:AB57,"²")+COUNTIF($E57:AB57,"µ")+COUNTIF($E57:AB57,1),ColTypeEcheance)),
  IF(LEN(AB57)=1,
  IF(LEN(INDEX(Roadmap!$D:$K,MATCH($E57,Roadmap!$D:$D,0)-1+COUNTIF($E57:AB57,"u")+COUNTIF($E57:AB57,"t")+COUNTIF($E57:AB57,"¶")+COUNTIF($E57:AB57,"²")+COUNTIF($E57:AB57,"µ")+COUNTIF($E57:AB57,1),ColDescriptionCourte))&gt;1,
HYPERLINK("#Roadmap!C"&amp; MATCH($E57,Roadmap!$D:$D,0)+COUNTIF($E57:AB57,"u")+COUNTIF($E57:AB57,"t")+COUNTIF($E57:AB57,"¶")+COUNTIF($E57:AB57,"²")+COUNTIF($E57:AB57,"µ")+COUNTIF($E57:AB57,1)-1,INDEX(Roadmap!$D:$K,MATCH($E57,Roadmap!$D:$D,0)-1+COUNTIF($E57:AB57,"u")+COUNTIF($E57:AB57,"t")+COUNTIF($E57:AB57,"¶")+COUNTIF($E57:AB57,"²")+COUNTIF($E57:AB57,"µ")+COUNTIF($E57:AB57,1),ColDescriptionCourte)),""),
  "")),"")</f>
        <v/>
      </c>
      <c r="AD57" s="40" t="str">
        <f ca="1">IFERROR(IF(AND(
  INDEX(Roadmap!$D:$K,MATCH($E57,Roadmap!$D:$D,0)+COUNTIF($E57:AC57,"u")+COUNTIF($E57:AC57,"t")+COUNTIF($E57:AC57,"¶")+COUNTIF($E57:AC57,"²")+COUNTIF($E57:AC57,"µ")+COUNTIF($E57:AC57,1),ColLivraison)=AD$6,
  VLOOKUP($E57,INDIRECT("tri!"&amp; CHAR(64+ C0Col) &amp;":"&amp; CHAR(65+C0Col)),2,FALSE)&gt;COUNTIF($E57:AC57,"u")+COUNTIF($E57:AC57,"t")+COUNTIF($E57:AC57,"¶")+COUNTIF($E57:AC57,"²")+COUNTIF($E57:AC57,"µ")+COUNTIF($E57:AC57,1)),
HYPERLINK("#Roadmap!C"&amp; MATCH($E57,Roadmap!$D:$D,0)+COUNTIF($E57:AC57,"u")+COUNTIF($E57:AC57,"t"),
     INDEX(Roadmap!$D:$K,MATCH($E57,Roadmap!$D:$D,0)+COUNTIF($E57:AC57,"u")+COUNTIF($E57:AC57,"t")+COUNTIF($E57:AC57,"¶")+COUNTIF($E57:AC57,"²")+COUNTIF($E57:AC57,"µ")+COUNTIF($E57:AC57,1),ColTypeEcheance)),
  IF(LEN(AC57)=1,
  IF(LEN(INDEX(Roadmap!$D:$K,MATCH($E57,Roadmap!$D:$D,0)-1+COUNTIF($E57:AC57,"u")+COUNTIF($E57:AC57,"t")+COUNTIF($E57:AC57,"¶")+COUNTIF($E57:AC57,"²")+COUNTIF($E57:AC57,"µ")+COUNTIF($E57:AC57,1),ColDescriptionCourte))&gt;1,
HYPERLINK("#Roadmap!C"&amp; MATCH($E57,Roadmap!$D:$D,0)+COUNTIF($E57:AC57,"u")+COUNTIF($E57:AC57,"t")+COUNTIF($E57:AC57,"¶")+COUNTIF($E57:AC57,"²")+COUNTIF($E57:AC57,"µ")+COUNTIF($E57:AC57,1)-1,INDEX(Roadmap!$D:$K,MATCH($E57,Roadmap!$D:$D,0)-1+COUNTIF($E57:AC57,"u")+COUNTIF($E57:AC57,"t")+COUNTIF($E57:AC57,"¶")+COUNTIF($E57:AC57,"²")+COUNTIF($E57:AC57,"µ")+COUNTIF($E57:AC57,1),ColDescriptionCourte)),""),
  "")),"")</f>
        <v/>
      </c>
      <c r="AE57" s="40" t="str">
        <f ca="1">IFERROR(IF(AND(
  INDEX(Roadmap!$D:$K,MATCH($E57,Roadmap!$D:$D,0)+COUNTIF($E57:AD57,"u")+COUNTIF($E57:AD57,"t")+COUNTIF($E57:AD57,"¶")+COUNTIF($E57:AD57,"²")+COUNTIF($E57:AD57,"µ")+COUNTIF($E57:AD57,1),ColLivraison)=AE$6,
  VLOOKUP($E57,INDIRECT("tri!"&amp; CHAR(64+ C0Col) &amp;":"&amp; CHAR(65+C0Col)),2,FALSE)&gt;COUNTIF($E57:AD57,"u")+COUNTIF($E57:AD57,"t")+COUNTIF($E57:AD57,"¶")+COUNTIF($E57:AD57,"²")+COUNTIF($E57:AD57,"µ")+COUNTIF($E57:AD57,1)),
HYPERLINK("#Roadmap!C"&amp; MATCH($E57,Roadmap!$D:$D,0)+COUNTIF($E57:AD57,"u")+COUNTIF($E57:AD57,"t"),
     INDEX(Roadmap!$D:$K,MATCH($E57,Roadmap!$D:$D,0)+COUNTIF($E57:AD57,"u")+COUNTIF($E57:AD57,"t")+COUNTIF($E57:AD57,"¶")+COUNTIF($E57:AD57,"²")+COUNTIF($E57:AD57,"µ")+COUNTIF($E57:AD57,1),ColTypeEcheance)),
  IF(LEN(AD57)=1,
  IF(LEN(INDEX(Roadmap!$D:$K,MATCH($E57,Roadmap!$D:$D,0)-1+COUNTIF($E57:AD57,"u")+COUNTIF($E57:AD57,"t")+COUNTIF($E57:AD57,"¶")+COUNTIF($E57:AD57,"²")+COUNTIF($E57:AD57,"µ")+COUNTIF($E57:AD57,1),ColDescriptionCourte))&gt;1,
HYPERLINK("#Roadmap!C"&amp; MATCH($E57,Roadmap!$D:$D,0)+COUNTIF($E57:AD57,"u")+COUNTIF($E57:AD57,"t")+COUNTIF($E57:AD57,"¶")+COUNTIF($E57:AD57,"²")+COUNTIF($E57:AD57,"µ")+COUNTIF($E57:AD57,1)-1,INDEX(Roadmap!$D:$K,MATCH($E57,Roadmap!$D:$D,0)-1+COUNTIF($E57:AD57,"u")+COUNTIF($E57:AD57,"t")+COUNTIF($E57:AD57,"¶")+COUNTIF($E57:AD57,"²")+COUNTIF($E57:AD57,"µ")+COUNTIF($E57:AD57,1),ColDescriptionCourte)),""),
  "")),"")</f>
        <v/>
      </c>
      <c r="AF57" s="40" t="str">
        <f ca="1">IFERROR(IF(AND(
  INDEX(Roadmap!$D:$K,MATCH($E57,Roadmap!$D:$D,0)+COUNTIF($E57:AE57,"u")+COUNTIF($E57:AE57,"t")+COUNTIF($E57:AE57,"¶")+COUNTIF($E57:AE57,"²")+COUNTIF($E57:AE57,"µ")+COUNTIF($E57:AE57,1),ColLivraison)=AF$6,
  VLOOKUP($E57,INDIRECT("tri!"&amp; CHAR(64+ C0Col) &amp;":"&amp; CHAR(65+C0Col)),2,FALSE)&gt;COUNTIF($E57:AE57,"u")+COUNTIF($E57:AE57,"t")+COUNTIF($E57:AE57,"¶")+COUNTIF($E57:AE57,"²")+COUNTIF($E57:AE57,"µ")+COUNTIF($E57:AE57,1)),
HYPERLINK("#Roadmap!C"&amp; MATCH($E57,Roadmap!$D:$D,0)+COUNTIF($E57:AE57,"u")+COUNTIF($E57:AE57,"t"),
     INDEX(Roadmap!$D:$K,MATCH($E57,Roadmap!$D:$D,0)+COUNTIF($E57:AE57,"u")+COUNTIF($E57:AE57,"t")+COUNTIF($E57:AE57,"¶")+COUNTIF($E57:AE57,"²")+COUNTIF($E57:AE57,"µ")+COUNTIF($E57:AE57,1),ColTypeEcheance)),
  IF(LEN(AE57)=1,
  IF(LEN(INDEX(Roadmap!$D:$K,MATCH($E57,Roadmap!$D:$D,0)-1+COUNTIF($E57:AE57,"u")+COUNTIF($E57:AE57,"t")+COUNTIF($E57:AE57,"¶")+COUNTIF($E57:AE57,"²")+COUNTIF($E57:AE57,"µ")+COUNTIF($E57:AE57,1),ColDescriptionCourte))&gt;1,
HYPERLINK("#Roadmap!C"&amp; MATCH($E57,Roadmap!$D:$D,0)+COUNTIF($E57:AE57,"u")+COUNTIF($E57:AE57,"t")+COUNTIF($E57:AE57,"¶")+COUNTIF($E57:AE57,"²")+COUNTIF($E57:AE57,"µ")+COUNTIF($E57:AE57,1)-1,INDEX(Roadmap!$D:$K,MATCH($E57,Roadmap!$D:$D,0)-1+COUNTIF($E57:AE57,"u")+COUNTIF($E57:AE57,"t")+COUNTIF($E57:AE57,"¶")+COUNTIF($E57:AE57,"²")+COUNTIF($E57:AE57,"µ")+COUNTIF($E57:AE57,1),ColDescriptionCourte)),""),
  "")),"")</f>
        <v/>
      </c>
      <c r="AG57" s="40" t="str">
        <f ca="1">IFERROR(IF(AND(
  INDEX(Roadmap!$D:$K,MATCH($E57,Roadmap!$D:$D,0)+COUNTIF($E57:AF57,"u")+COUNTIF($E57:AF57,"t")+COUNTIF($E57:AF57,"¶")+COUNTIF($E57:AF57,"²")+COUNTIF($E57:AF57,"µ")+COUNTIF($E57:AF57,1),ColLivraison)=AG$6,
  VLOOKUP($E57,INDIRECT("tri!"&amp; CHAR(64+ C0Col) &amp;":"&amp; CHAR(65+C0Col)),2,FALSE)&gt;COUNTIF($E57:AF57,"u")+COUNTIF($E57:AF57,"t")+COUNTIF($E57:AF57,"¶")+COUNTIF($E57:AF57,"²")+COUNTIF($E57:AF57,"µ")+COUNTIF($E57:AF57,1)),
HYPERLINK("#Roadmap!C"&amp; MATCH($E57,Roadmap!$D:$D,0)+COUNTIF($E57:AF57,"u")+COUNTIF($E57:AF57,"t"),
     INDEX(Roadmap!$D:$K,MATCH($E57,Roadmap!$D:$D,0)+COUNTIF($E57:AF57,"u")+COUNTIF($E57:AF57,"t")+COUNTIF($E57:AF57,"¶")+COUNTIF($E57:AF57,"²")+COUNTIF($E57:AF57,"µ")+COUNTIF($E57:AF57,1),ColTypeEcheance)),
  IF(LEN(AF57)=1,
  IF(LEN(INDEX(Roadmap!$D:$K,MATCH($E57,Roadmap!$D:$D,0)-1+COUNTIF($E57:AF57,"u")+COUNTIF($E57:AF57,"t")+COUNTIF($E57:AF57,"¶")+COUNTIF($E57:AF57,"²")+COUNTIF($E57:AF57,"µ")+COUNTIF($E57:AF57,1),ColDescriptionCourte))&gt;1,
HYPERLINK("#Roadmap!C"&amp; MATCH($E57,Roadmap!$D:$D,0)+COUNTIF($E57:AF57,"u")+COUNTIF($E57:AF57,"t")+COUNTIF($E57:AF57,"¶")+COUNTIF($E57:AF57,"²")+COUNTIF($E57:AF57,"µ")+COUNTIF($E57:AF57,1)-1,INDEX(Roadmap!$D:$K,MATCH($E57,Roadmap!$D:$D,0)-1+COUNTIF($E57:AF57,"u")+COUNTIF($E57:AF57,"t")+COUNTIF($E57:AF57,"¶")+COUNTIF($E57:AF57,"²")+COUNTIF($E57:AF57,"µ")+COUNTIF($E57:AF57,1),ColDescriptionCourte)),""),
  "")),"")</f>
        <v/>
      </c>
    </row>
    <row r="58" spans="3:33" ht="14.25" customHeight="1">
      <c r="C58" s="1" t="str">
        <f t="shared" ca="1" si="44"/>
        <v/>
      </c>
      <c r="D58" s="1" t="str">
        <f t="shared" ca="1" si="45"/>
        <v/>
      </c>
      <c r="E58" s="35" t="str">
        <f t="shared" ca="1" si="33"/>
        <v/>
      </c>
      <c r="F58" s="39" t="str">
        <f ca="1">IFERROR(IF(AND(
  INDEX(Roadmap!$D:$K,MATCH($E58,Roadmap!$D:$D,0)+COUNTIF($E58:E58,"u")+COUNTIF($E58:E58,"t")+COUNTIF($E58:E58,"¶")+COUNTIF($E58:E58,"²")+COUNTIF($E58:E58,"µ")+COUNTIF($E58:E58,1),ColLivraison)=F$6,
  VLOOKUP($E58,INDIRECT("tri!"&amp; CHAR(64+ C0Col) &amp;":"&amp; CHAR(65+C0Col)),2,FALSE)&gt;COUNTIF($E58:E58,"u")+COUNTIF($E58:E58,"t")+COUNTIF($E58:E58,"¶")+COUNTIF($E58:E58,"²")+COUNTIF($E58:E58,"µ")+COUNTIF($E58:E58,1)),
HYPERLINK("#Roadmap!C"&amp; MATCH($E58,Roadmap!$D:$D,0)+COUNTIF($E58:E58,"u")+COUNTIF($E58:E58,"t"),
     INDEX(Roadmap!$D:$K,MATCH($E58,Roadmap!$D:$D,0)+COUNTIF($E58:E58,"u")+COUNTIF($E58:E58,"t")+COUNTIF($E58:E58,"¶")+COUNTIF($E58:E58,"²")+COUNTIF($E58:E58,"µ")+COUNTIF($E58:E58,1),ColTypeEcheance)),
  IF(LEN(E58)=1,
  IF(LEN(INDEX(Roadmap!$D:$K,MATCH($E58,Roadmap!$D:$D,0)-1+COUNTIF($E58:E58,"u")+COUNTIF($E58:E58,"t")+COUNTIF($E58:E58,"¶")+COUNTIF($E58:E58,"²")+COUNTIF($E58:E58,"µ")+COUNTIF($E58:E58,1),ColDescriptionCourte))&gt;1,
HYPERLINK("#Roadmap!C"&amp; MATCH($E58,Roadmap!$D:$D,0)+COUNTIF($E58:E58,"u")+COUNTIF($E58:E58,"t")+COUNTIF($E58:E58,"¶")+COUNTIF($E58:E58,"²")+COUNTIF($E58:E58,"µ")+COUNTIF($E58:E58,1)-1,INDEX(Roadmap!$D:$K,MATCH($E58,Roadmap!$D:$D,0)-1+COUNTIF($E58:E58,"u")+COUNTIF($E58:E58,"t")+COUNTIF($E58:E58,"¶")+COUNTIF($E58:E58,"²")+COUNTIF($E58:E58,"µ")+COUNTIF($E58:E58,1),ColDescriptionCourte)),""),
  "")),"")</f>
        <v/>
      </c>
      <c r="G58" s="40" t="str">
        <f ca="1">IFERROR(IF(AND(
  INDEX(Roadmap!$D:$K,MATCH($E58,Roadmap!$D:$D,0)+COUNTIF($E58:F58,"u")+COUNTIF($E58:F58,"t")+COUNTIF($E58:F58,"¶")+COUNTIF($E58:F58,"²")+COUNTIF($E58:F58,"µ")+COUNTIF($E58:F58,1),ColLivraison)=G$6,
  VLOOKUP($E58,INDIRECT("tri!"&amp; CHAR(64+ C0Col) &amp;":"&amp; CHAR(65+C0Col)),2,FALSE)&gt;COUNTIF($E58:F58,"u")+COUNTIF($E58:F58,"t")+COUNTIF($E58:F58,"¶")+COUNTIF($E58:F58,"²")+COUNTIF($E58:F58,"µ")+COUNTIF($E58:F58,1)),
HYPERLINK("#Roadmap!C"&amp; MATCH($E58,Roadmap!$D:$D,0)+COUNTIF($E58:F58,"u")+COUNTIF($E58:F58,"t"),
     INDEX(Roadmap!$D:$K,MATCH($E58,Roadmap!$D:$D,0)+COUNTIF($E58:F58,"u")+COUNTIF($E58:F58,"t")+COUNTIF($E58:F58,"¶")+COUNTIF($E58:F58,"²")+COUNTIF($E58:F58,"µ")+COUNTIF($E58:F58,1),ColTypeEcheance)),
  IF(LEN(F58)=1,
  IF(LEN(INDEX(Roadmap!$D:$K,MATCH($E58,Roadmap!$D:$D,0)-1+COUNTIF($E58:F58,"u")+COUNTIF($E58:F58,"t")+COUNTIF($E58:F58,"¶")+COUNTIF($E58:F58,"²")+COUNTIF($E58:F58,"µ")+COUNTIF($E58:F58,1),ColDescriptionCourte))&gt;1,
HYPERLINK("#Roadmap!C"&amp; MATCH($E58,Roadmap!$D:$D,0)+COUNTIF($E58:F58,"u")+COUNTIF($E58:F58,"t")+COUNTIF($E58:F58,"¶")+COUNTIF($E58:F58,"²")+COUNTIF($E58:F58,"µ")+COUNTIF($E58:F58,1)-1,INDEX(Roadmap!$D:$K,MATCH($E58,Roadmap!$D:$D,0)-1+COUNTIF($E58:F58,"u")+COUNTIF($E58:F58,"t")+COUNTIF($E58:F58,"¶")+COUNTIF($E58:F58,"²")+COUNTIF($E58:F58,"µ")+COUNTIF($E58:F58,1),ColDescriptionCourte)),""),
  "")),"")</f>
        <v/>
      </c>
      <c r="H58" s="40" t="str">
        <f ca="1">IFERROR(IF(AND(
  INDEX(Roadmap!$D:$K,MATCH($E58,Roadmap!$D:$D,0)+COUNTIF($E58:G58,"u")+COUNTIF($E58:G58,"t")+COUNTIF($E58:G58,"¶")+COUNTIF($E58:G58,"²")+COUNTIF($E58:G58,"µ")+COUNTIF($E58:G58,1),ColLivraison)=H$6,
  VLOOKUP($E58,INDIRECT("tri!"&amp; CHAR(64+ C0Col) &amp;":"&amp; CHAR(65+C0Col)),2,FALSE)&gt;COUNTIF($E58:G58,"u")+COUNTIF($E58:G58,"t")+COUNTIF($E58:G58,"¶")+COUNTIF($E58:G58,"²")+COUNTIF($E58:G58,"µ")+COUNTIF($E58:G58,1)),
HYPERLINK("#Roadmap!C"&amp; MATCH($E58,Roadmap!$D:$D,0)+COUNTIF($E58:G58,"u")+COUNTIF($E58:G58,"t"),
     INDEX(Roadmap!$D:$K,MATCH($E58,Roadmap!$D:$D,0)+COUNTIF($E58:G58,"u")+COUNTIF($E58:G58,"t")+COUNTIF($E58:G58,"¶")+COUNTIF($E58:G58,"²")+COUNTIF($E58:G58,"µ")+COUNTIF($E58:G58,1),ColTypeEcheance)),
  IF(LEN(G58)=1,
  IF(LEN(INDEX(Roadmap!$D:$K,MATCH($E58,Roadmap!$D:$D,0)-1+COUNTIF($E58:G58,"u")+COUNTIF($E58:G58,"t")+COUNTIF($E58:G58,"¶")+COUNTIF($E58:G58,"²")+COUNTIF($E58:G58,"µ")+COUNTIF($E58:G58,1),ColDescriptionCourte))&gt;1,
HYPERLINK("#Roadmap!C"&amp; MATCH($E58,Roadmap!$D:$D,0)+COUNTIF($E58:G58,"u")+COUNTIF($E58:G58,"t")+COUNTIF($E58:G58,"¶")+COUNTIF($E58:G58,"²")+COUNTIF($E58:G58,"µ")+COUNTIF($E58:G58,1)-1,INDEX(Roadmap!$D:$K,MATCH($E58,Roadmap!$D:$D,0)-1+COUNTIF($E58:G58,"u")+COUNTIF($E58:G58,"t")+COUNTIF($E58:G58,"¶")+COUNTIF($E58:G58,"²")+COUNTIF($E58:G58,"µ")+COUNTIF($E58:G58,1),ColDescriptionCourte)),""),
  "")),"")</f>
        <v/>
      </c>
      <c r="I58" s="40" t="str">
        <f ca="1">IFERROR(IF(AND(
  INDEX(Roadmap!$D:$K,MATCH($E58,Roadmap!$D:$D,0)+COUNTIF($E58:H58,"u")+COUNTIF($E58:H58,"t")+COUNTIF($E58:H58,"¶")+COUNTIF($E58:H58,"²")+COUNTIF($E58:H58,"µ")+COUNTIF($E58:H58,1),ColLivraison)=I$6,
  VLOOKUP($E58,INDIRECT("tri!"&amp; CHAR(64+ C0Col) &amp;":"&amp; CHAR(65+C0Col)),2,FALSE)&gt;COUNTIF($E58:H58,"u")+COUNTIF($E58:H58,"t")+COUNTIF($E58:H58,"¶")+COUNTIF($E58:H58,"²")+COUNTIF($E58:H58,"µ")+COUNTIF($E58:H58,1)),
HYPERLINK("#Roadmap!C"&amp; MATCH($E58,Roadmap!$D:$D,0)+COUNTIF($E58:H58,"u")+COUNTIF($E58:H58,"t"),
     INDEX(Roadmap!$D:$K,MATCH($E58,Roadmap!$D:$D,0)+COUNTIF($E58:H58,"u")+COUNTIF($E58:H58,"t")+COUNTIF($E58:H58,"¶")+COUNTIF($E58:H58,"²")+COUNTIF($E58:H58,"µ")+COUNTIF($E58:H58,1),ColTypeEcheance)),
  IF(LEN(H58)=1,
  IF(LEN(INDEX(Roadmap!$D:$K,MATCH($E58,Roadmap!$D:$D,0)-1+COUNTIF($E58:H58,"u")+COUNTIF($E58:H58,"t")+COUNTIF($E58:H58,"¶")+COUNTIF($E58:H58,"²")+COUNTIF($E58:H58,"µ")+COUNTIF($E58:H58,1),ColDescriptionCourte))&gt;1,
HYPERLINK("#Roadmap!C"&amp; MATCH($E58,Roadmap!$D:$D,0)+COUNTIF($E58:H58,"u")+COUNTIF($E58:H58,"t")+COUNTIF($E58:H58,"¶")+COUNTIF($E58:H58,"²")+COUNTIF($E58:H58,"µ")+COUNTIF($E58:H58,1)-1,INDEX(Roadmap!$D:$K,MATCH($E58,Roadmap!$D:$D,0)-1+COUNTIF($E58:H58,"u")+COUNTIF($E58:H58,"t")+COUNTIF($E58:H58,"¶")+COUNTIF($E58:H58,"²")+COUNTIF($E58:H58,"µ")+COUNTIF($E58:H58,1),ColDescriptionCourte)),""),
  "")),"")</f>
        <v/>
      </c>
      <c r="J58" s="40" t="str">
        <f ca="1">IFERROR(IF(AND(
  INDEX(Roadmap!$D:$K,MATCH($E58,Roadmap!$D:$D,0)+COUNTIF($E58:I58,"u")+COUNTIF($E58:I58,"t")+COUNTIF($E58:I58,"¶")+COUNTIF($E58:I58,"²")+COUNTIF($E58:I58,"µ")+COUNTIF($E58:I58,1),ColLivraison)=J$6,
  VLOOKUP($E58,INDIRECT("tri!"&amp; CHAR(64+ C0Col) &amp;":"&amp; CHAR(65+C0Col)),2,FALSE)&gt;COUNTIF($E58:I58,"u")+COUNTIF($E58:I58,"t")+COUNTIF($E58:I58,"¶")+COUNTIF($E58:I58,"²")+COUNTIF($E58:I58,"µ")+COUNTIF($E58:I58,1)),
HYPERLINK("#Roadmap!C"&amp; MATCH($E58,Roadmap!$D:$D,0)+COUNTIF($E58:I58,"u")+COUNTIF($E58:I58,"t"),
     INDEX(Roadmap!$D:$K,MATCH($E58,Roadmap!$D:$D,0)+COUNTIF($E58:I58,"u")+COUNTIF($E58:I58,"t")+COUNTIF($E58:I58,"¶")+COUNTIF($E58:I58,"²")+COUNTIF($E58:I58,"µ")+COUNTIF($E58:I58,1),ColTypeEcheance)),
  IF(LEN(I58)=1,
  IF(LEN(INDEX(Roadmap!$D:$K,MATCH($E58,Roadmap!$D:$D,0)-1+COUNTIF($E58:I58,"u")+COUNTIF($E58:I58,"t")+COUNTIF($E58:I58,"¶")+COUNTIF($E58:I58,"²")+COUNTIF($E58:I58,"µ")+COUNTIF($E58:I58,1),ColDescriptionCourte))&gt;1,
HYPERLINK("#Roadmap!C"&amp; MATCH($E58,Roadmap!$D:$D,0)+COUNTIF($E58:I58,"u")+COUNTIF($E58:I58,"t")+COUNTIF($E58:I58,"¶")+COUNTIF($E58:I58,"²")+COUNTIF($E58:I58,"µ")+COUNTIF($E58:I58,1)-1,INDEX(Roadmap!$D:$K,MATCH($E58,Roadmap!$D:$D,0)-1+COUNTIF($E58:I58,"u")+COUNTIF($E58:I58,"t")+COUNTIF($E58:I58,"¶")+COUNTIF($E58:I58,"²")+COUNTIF($E58:I58,"µ")+COUNTIF($E58:I58,1),ColDescriptionCourte)),""),
  "")),"")</f>
        <v/>
      </c>
      <c r="K58" s="40" t="str">
        <f ca="1">IFERROR(IF(AND(
  INDEX(Roadmap!$D:$K,MATCH($E58,Roadmap!$D:$D,0)+COUNTIF($E58:J58,"u")+COUNTIF($E58:J58,"t")+COUNTIF($E58:J58,"¶")+COUNTIF($E58:J58,"²")+COUNTIF($E58:J58,"µ")+COUNTIF($E58:J58,1),ColLivraison)=K$6,
  VLOOKUP($E58,INDIRECT("tri!"&amp; CHAR(64+ C0Col) &amp;":"&amp; CHAR(65+C0Col)),2,FALSE)&gt;COUNTIF($E58:J58,"u")+COUNTIF($E58:J58,"t")+COUNTIF($E58:J58,"¶")+COUNTIF($E58:J58,"²")+COUNTIF($E58:J58,"µ")+COUNTIF($E58:J58,1)),
HYPERLINK("#Roadmap!C"&amp; MATCH($E58,Roadmap!$D:$D,0)+COUNTIF($E58:J58,"u")+COUNTIF($E58:J58,"t"),
     INDEX(Roadmap!$D:$K,MATCH($E58,Roadmap!$D:$D,0)+COUNTIF($E58:J58,"u")+COUNTIF($E58:J58,"t")+COUNTIF($E58:J58,"¶")+COUNTIF($E58:J58,"²")+COUNTIF($E58:J58,"µ")+COUNTIF($E58:J58,1),ColTypeEcheance)),
  IF(LEN(J58)=1,
  IF(LEN(INDEX(Roadmap!$D:$K,MATCH($E58,Roadmap!$D:$D,0)-1+COUNTIF($E58:J58,"u")+COUNTIF($E58:J58,"t")+COUNTIF($E58:J58,"¶")+COUNTIF($E58:J58,"²")+COUNTIF($E58:J58,"µ")+COUNTIF($E58:J58,1),ColDescriptionCourte))&gt;1,
HYPERLINK("#Roadmap!C"&amp; MATCH($E58,Roadmap!$D:$D,0)+COUNTIF($E58:J58,"u")+COUNTIF($E58:J58,"t")+COUNTIF($E58:J58,"¶")+COUNTIF($E58:J58,"²")+COUNTIF($E58:J58,"µ")+COUNTIF($E58:J58,1)-1,INDEX(Roadmap!$D:$K,MATCH($E58,Roadmap!$D:$D,0)-1+COUNTIF($E58:J58,"u")+COUNTIF($E58:J58,"t")+COUNTIF($E58:J58,"¶")+COUNTIF($E58:J58,"²")+COUNTIF($E58:J58,"µ")+COUNTIF($E58:J58,1),ColDescriptionCourte)),""),
  "")),"")</f>
        <v/>
      </c>
      <c r="L58" s="39" t="str">
        <f ca="1">IFERROR(IF(AND(
  INDEX(Roadmap!$D:$K,MATCH($E58,Roadmap!$D:$D,0)+COUNTIF($E58:K58,"u")+COUNTIF($E58:K58,"t")+COUNTIF($E58:K58,"¶")+COUNTIF($E58:K58,"²")+COUNTIF($E58:K58,"µ")+COUNTIF($E58:K58,1),ColLivraison)=L$6,
  VLOOKUP($E58,INDIRECT("tri!"&amp; CHAR(64+ C0Col) &amp;":"&amp; CHAR(65+C0Col)),2,FALSE)&gt;COUNTIF($E58:K58,"u")+COUNTIF($E58:K58,"t")+COUNTIF($E58:K58,"¶")+COUNTIF($E58:K58,"²")+COUNTIF($E58:K58,"µ")+COUNTIF($E58:K58,1)),
HYPERLINK("#Roadmap!C"&amp; MATCH($E58,Roadmap!$D:$D,0)+COUNTIF($E58:K58,"u")+COUNTIF($E58:K58,"t"),
     INDEX(Roadmap!$D:$K,MATCH($E58,Roadmap!$D:$D,0)+COUNTIF($E58:K58,"u")+COUNTIF($E58:K58,"t")+COUNTIF($E58:K58,"¶")+COUNTIF($E58:K58,"²")+COUNTIF($E58:K58,"µ")+COUNTIF($E58:K58,1),ColTypeEcheance)),
  IF(LEN(K58)=1,
  IF(LEN(INDEX(Roadmap!$D:$K,MATCH($E58,Roadmap!$D:$D,0)-1+COUNTIF($E58:K58,"u")+COUNTIF($E58:K58,"t")+COUNTIF($E58:K58,"¶")+COUNTIF($E58:K58,"²")+COUNTIF($E58:K58,"µ")+COUNTIF($E58:K58,1),ColDescriptionCourte))&gt;1,
HYPERLINK("#Roadmap!C"&amp; MATCH($E58,Roadmap!$D:$D,0)+COUNTIF($E58:K58,"u")+COUNTIF($E58:K58,"t")+COUNTIF($E58:K58,"¶")+COUNTIF($E58:K58,"²")+COUNTIF($E58:K58,"µ")+COUNTIF($E58:K58,1)-1,INDEX(Roadmap!$D:$K,MATCH($E58,Roadmap!$D:$D,0)-1+COUNTIF($E58:K58,"u")+COUNTIF($E58:K58,"t")+COUNTIF($E58:K58,"¶")+COUNTIF($E58:K58,"²")+COUNTIF($E58:K58,"µ")+COUNTIF($E58:K58,1),ColDescriptionCourte)),""),
  "")),"")</f>
        <v/>
      </c>
      <c r="M58" s="40" t="str">
        <f ca="1">IFERROR(IF(AND(
  INDEX(Roadmap!$D:$K,MATCH($E58,Roadmap!$D:$D,0)+COUNTIF($E58:L58,"u")+COUNTIF($E58:L58,"t")+COUNTIF($E58:L58,"¶")+COUNTIF($E58:L58,"²")+COUNTIF($E58:L58,"µ")+COUNTIF($E58:L58,1),ColLivraison)=M$6,
  VLOOKUP($E58,INDIRECT("tri!"&amp; CHAR(64+ C0Col) &amp;":"&amp; CHAR(65+C0Col)),2,FALSE)&gt;COUNTIF($E58:L58,"u")+COUNTIF($E58:L58,"t")+COUNTIF($E58:L58,"¶")+COUNTIF($E58:L58,"²")+COUNTIF($E58:L58,"µ")+COUNTIF($E58:L58,1)),
HYPERLINK("#Roadmap!C"&amp; MATCH($E58,Roadmap!$D:$D,0)+COUNTIF($E58:L58,"u")+COUNTIF($E58:L58,"t"),
     INDEX(Roadmap!$D:$K,MATCH($E58,Roadmap!$D:$D,0)+COUNTIF($E58:L58,"u")+COUNTIF($E58:L58,"t")+COUNTIF($E58:L58,"¶")+COUNTIF($E58:L58,"²")+COUNTIF($E58:L58,"µ")+COUNTIF($E58:L58,1),ColTypeEcheance)),
  IF(LEN(L58)=1,
  IF(LEN(INDEX(Roadmap!$D:$K,MATCH($E58,Roadmap!$D:$D,0)-1+COUNTIF($E58:L58,"u")+COUNTIF($E58:L58,"t")+COUNTIF($E58:L58,"¶")+COUNTIF($E58:L58,"²")+COUNTIF($E58:L58,"µ")+COUNTIF($E58:L58,1),ColDescriptionCourte))&gt;1,
HYPERLINK("#Roadmap!C"&amp; MATCH($E58,Roadmap!$D:$D,0)+COUNTIF($E58:L58,"u")+COUNTIF($E58:L58,"t")+COUNTIF($E58:L58,"¶")+COUNTIF($E58:L58,"²")+COUNTIF($E58:L58,"µ")+COUNTIF($E58:L58,1)-1,INDEX(Roadmap!$D:$K,MATCH($E58,Roadmap!$D:$D,0)-1+COUNTIF($E58:L58,"u")+COUNTIF($E58:L58,"t")+COUNTIF($E58:L58,"¶")+COUNTIF($E58:L58,"²")+COUNTIF($E58:L58,"µ")+COUNTIF($E58:L58,1),ColDescriptionCourte)),""),
  "")),"")</f>
        <v/>
      </c>
      <c r="N58" s="40" t="str">
        <f ca="1">IFERROR(IF(AND(
  INDEX(Roadmap!$D:$K,MATCH($E58,Roadmap!$D:$D,0)+COUNTIF($E58:M58,"u")+COUNTIF($E58:M58,"t")+COUNTIF($E58:M58,"¶")+COUNTIF($E58:M58,"²")+COUNTIF($E58:M58,"µ")+COUNTIF($E58:M58,1),ColLivraison)=N$6,
  VLOOKUP($E58,INDIRECT("tri!"&amp; CHAR(64+ C0Col) &amp;":"&amp; CHAR(65+C0Col)),2,FALSE)&gt;COUNTIF($E58:M58,"u")+COUNTIF($E58:M58,"t")+COUNTIF($E58:M58,"¶")+COUNTIF($E58:M58,"²")+COUNTIF($E58:M58,"µ")+COUNTIF($E58:M58,1)),
HYPERLINK("#Roadmap!C"&amp; MATCH($E58,Roadmap!$D:$D,0)+COUNTIF($E58:M58,"u")+COUNTIF($E58:M58,"t"),
     INDEX(Roadmap!$D:$K,MATCH($E58,Roadmap!$D:$D,0)+COUNTIF($E58:M58,"u")+COUNTIF($E58:M58,"t")+COUNTIF($E58:M58,"¶")+COUNTIF($E58:M58,"²")+COUNTIF($E58:M58,"µ")+COUNTIF($E58:M58,1),ColTypeEcheance)),
  IF(LEN(M58)=1,
  IF(LEN(INDEX(Roadmap!$D:$K,MATCH($E58,Roadmap!$D:$D,0)-1+COUNTIF($E58:M58,"u")+COUNTIF($E58:M58,"t")+COUNTIF($E58:M58,"¶")+COUNTIF($E58:M58,"²")+COUNTIF($E58:M58,"µ")+COUNTIF($E58:M58,1),ColDescriptionCourte))&gt;1,
HYPERLINK("#Roadmap!C"&amp; MATCH($E58,Roadmap!$D:$D,0)+COUNTIF($E58:M58,"u")+COUNTIF($E58:M58,"t")+COUNTIF($E58:M58,"¶")+COUNTIF($E58:M58,"²")+COUNTIF($E58:M58,"µ")+COUNTIF($E58:M58,1)-1,INDEX(Roadmap!$D:$K,MATCH($E58,Roadmap!$D:$D,0)-1+COUNTIF($E58:M58,"u")+COUNTIF($E58:M58,"t")+COUNTIF($E58:M58,"¶")+COUNTIF($E58:M58,"²")+COUNTIF($E58:M58,"µ")+COUNTIF($E58:M58,1),ColDescriptionCourte)),""),
  "")),"")</f>
        <v/>
      </c>
      <c r="O58" s="40" t="str">
        <f ca="1">IFERROR(IF(AND(
  INDEX(Roadmap!$D:$K,MATCH($E58,Roadmap!$D:$D,0)+COUNTIF($E58:N58,"u")+COUNTIF($E58:N58,"t")+COUNTIF($E58:N58,"¶")+COUNTIF($E58:N58,"²")+COUNTIF($E58:N58,"µ")+COUNTIF($E58:N58,1),ColLivraison)=O$6,
  VLOOKUP($E58,INDIRECT("tri!"&amp; CHAR(64+ C0Col) &amp;":"&amp; CHAR(65+C0Col)),2,FALSE)&gt;COUNTIF($E58:N58,"u")+COUNTIF($E58:N58,"t")+COUNTIF($E58:N58,"¶")+COUNTIF($E58:N58,"²")+COUNTIF($E58:N58,"µ")+COUNTIF($E58:N58,1)),
HYPERLINK("#Roadmap!C"&amp; MATCH($E58,Roadmap!$D:$D,0)+COUNTIF($E58:N58,"u")+COUNTIF($E58:N58,"t"),
     INDEX(Roadmap!$D:$K,MATCH($E58,Roadmap!$D:$D,0)+COUNTIF($E58:N58,"u")+COUNTIF($E58:N58,"t")+COUNTIF($E58:N58,"¶")+COUNTIF($E58:N58,"²")+COUNTIF($E58:N58,"µ")+COUNTIF($E58:N58,1),ColTypeEcheance)),
  IF(LEN(N58)=1,
  IF(LEN(INDEX(Roadmap!$D:$K,MATCH($E58,Roadmap!$D:$D,0)-1+COUNTIF($E58:N58,"u")+COUNTIF($E58:N58,"t")+COUNTIF($E58:N58,"¶")+COUNTIF($E58:N58,"²")+COUNTIF($E58:N58,"µ")+COUNTIF($E58:N58,1),ColDescriptionCourte))&gt;1,
HYPERLINK("#Roadmap!C"&amp; MATCH($E58,Roadmap!$D:$D,0)+COUNTIF($E58:N58,"u")+COUNTIF($E58:N58,"t")+COUNTIF($E58:N58,"¶")+COUNTIF($E58:N58,"²")+COUNTIF($E58:N58,"µ")+COUNTIF($E58:N58,1)-1,INDEX(Roadmap!$D:$K,MATCH($E58,Roadmap!$D:$D,0)-1+COUNTIF($E58:N58,"u")+COUNTIF($E58:N58,"t")+COUNTIF($E58:N58,"¶")+COUNTIF($E58:N58,"²")+COUNTIF($E58:N58,"µ")+COUNTIF($E58:N58,1),ColDescriptionCourte)),""),
  "")),"")</f>
        <v/>
      </c>
      <c r="P58" s="40" t="str">
        <f ca="1">IFERROR(IF(AND(
  INDEX(Roadmap!$D:$K,MATCH($E58,Roadmap!$D:$D,0)+COUNTIF($E58:O58,"u")+COUNTIF($E58:O58,"t")+COUNTIF($E58:O58,"¶")+COUNTIF($E58:O58,"²")+COUNTIF($E58:O58,"µ")+COUNTIF($E58:O58,1),ColLivraison)=P$6,
  VLOOKUP($E58,INDIRECT("tri!"&amp; CHAR(64+ C0Col) &amp;":"&amp; CHAR(65+C0Col)),2,FALSE)&gt;COUNTIF($E58:O58,"u")+COUNTIF($E58:O58,"t")+COUNTIF($E58:O58,"¶")+COUNTIF($E58:O58,"²")+COUNTIF($E58:O58,"µ")+COUNTIF($E58:O58,1)),
HYPERLINK("#Roadmap!C"&amp; MATCH($E58,Roadmap!$D:$D,0)+COUNTIF($E58:O58,"u")+COUNTIF($E58:O58,"t"),
     INDEX(Roadmap!$D:$K,MATCH($E58,Roadmap!$D:$D,0)+COUNTIF($E58:O58,"u")+COUNTIF($E58:O58,"t")+COUNTIF($E58:O58,"¶")+COUNTIF($E58:O58,"²")+COUNTIF($E58:O58,"µ")+COUNTIF($E58:O58,1),ColTypeEcheance)),
  IF(LEN(O58)=1,
  IF(LEN(INDEX(Roadmap!$D:$K,MATCH($E58,Roadmap!$D:$D,0)-1+COUNTIF($E58:O58,"u")+COUNTIF($E58:O58,"t")+COUNTIF($E58:O58,"¶")+COUNTIF($E58:O58,"²")+COUNTIF($E58:O58,"µ")+COUNTIF($E58:O58,1),ColDescriptionCourte))&gt;1,
HYPERLINK("#Roadmap!C"&amp; MATCH($E58,Roadmap!$D:$D,0)+COUNTIF($E58:O58,"u")+COUNTIF($E58:O58,"t")+COUNTIF($E58:O58,"¶")+COUNTIF($E58:O58,"²")+COUNTIF($E58:O58,"µ")+COUNTIF($E58:O58,1)-1,INDEX(Roadmap!$D:$K,MATCH($E58,Roadmap!$D:$D,0)-1+COUNTIF($E58:O58,"u")+COUNTIF($E58:O58,"t")+COUNTIF($E58:O58,"¶")+COUNTIF($E58:O58,"²")+COUNTIF($E58:O58,"µ")+COUNTIF($E58:O58,1),ColDescriptionCourte)),""),
  "")),"")</f>
        <v/>
      </c>
      <c r="Q58" s="40" t="str">
        <f ca="1">IFERROR(IF(AND(
  INDEX(Roadmap!$D:$K,MATCH($E58,Roadmap!$D:$D,0)+COUNTIF($E58:P58,"u")+COUNTIF($E58:P58,"t")+COUNTIF($E58:P58,"¶")+COUNTIF($E58:P58,"²")+COUNTIF($E58:P58,"µ")+COUNTIF($E58:P58,1),ColLivraison)=Q$6,
  VLOOKUP($E58,INDIRECT("tri!"&amp; CHAR(64+ C0Col) &amp;":"&amp; CHAR(65+C0Col)),2,FALSE)&gt;COUNTIF($E58:P58,"u")+COUNTIF($E58:P58,"t")+COUNTIF($E58:P58,"¶")+COUNTIF($E58:P58,"²")+COUNTIF($E58:P58,"µ")+COUNTIF($E58:P58,1)),
HYPERLINK("#Roadmap!C"&amp; MATCH($E58,Roadmap!$D:$D,0)+COUNTIF($E58:P58,"u")+COUNTIF($E58:P58,"t"),
     INDEX(Roadmap!$D:$K,MATCH($E58,Roadmap!$D:$D,0)+COUNTIF($E58:P58,"u")+COUNTIF($E58:P58,"t")+COUNTIF($E58:P58,"¶")+COUNTIF($E58:P58,"²")+COUNTIF($E58:P58,"µ")+COUNTIF($E58:P58,1),ColTypeEcheance)),
  IF(LEN(P58)=1,
  IF(LEN(INDEX(Roadmap!$D:$K,MATCH($E58,Roadmap!$D:$D,0)-1+COUNTIF($E58:P58,"u")+COUNTIF($E58:P58,"t")+COUNTIF($E58:P58,"¶")+COUNTIF($E58:P58,"²")+COUNTIF($E58:P58,"µ")+COUNTIF($E58:P58,1),ColDescriptionCourte))&gt;1,
HYPERLINK("#Roadmap!C"&amp; MATCH($E58,Roadmap!$D:$D,0)+COUNTIF($E58:P58,"u")+COUNTIF($E58:P58,"t")+COUNTIF($E58:P58,"¶")+COUNTIF($E58:P58,"²")+COUNTIF($E58:P58,"µ")+COUNTIF($E58:P58,1)-1,INDEX(Roadmap!$D:$K,MATCH($E58,Roadmap!$D:$D,0)-1+COUNTIF($E58:P58,"u")+COUNTIF($E58:P58,"t")+COUNTIF($E58:P58,"¶")+COUNTIF($E58:P58,"²")+COUNTIF($E58:P58,"µ")+COUNTIF($E58:P58,1),ColDescriptionCourte)),""),
  "")),"")</f>
        <v/>
      </c>
      <c r="R58" s="40" t="str">
        <f ca="1">IFERROR(IF(AND(
  INDEX(Roadmap!$D:$K,MATCH($E58,Roadmap!$D:$D,0)+COUNTIF($E58:Q58,"u")+COUNTIF($E58:Q58,"t")+COUNTIF($E58:Q58,"¶")+COUNTIF($E58:Q58,"²")+COUNTIF($E58:Q58,"µ")+COUNTIF($E58:Q58,1),ColLivraison)=R$6,
  VLOOKUP($E58,INDIRECT("tri!"&amp; CHAR(64+ C0Col) &amp;":"&amp; CHAR(65+C0Col)),2,FALSE)&gt;COUNTIF($E58:Q58,"u")+COUNTIF($E58:Q58,"t")+COUNTIF($E58:Q58,"¶")+COUNTIF($E58:Q58,"²")+COUNTIF($E58:Q58,"µ")+COUNTIF($E58:Q58,1)),
HYPERLINK("#Roadmap!C"&amp; MATCH($E58,Roadmap!$D:$D,0)+COUNTIF($E58:Q58,"u")+COUNTIF($E58:Q58,"t"),
     INDEX(Roadmap!$D:$K,MATCH($E58,Roadmap!$D:$D,0)+COUNTIF($E58:Q58,"u")+COUNTIF($E58:Q58,"t")+COUNTIF($E58:Q58,"¶")+COUNTIF($E58:Q58,"²")+COUNTIF($E58:Q58,"µ")+COUNTIF($E58:Q58,1),ColTypeEcheance)),
  IF(LEN(Q58)=1,
  IF(LEN(INDEX(Roadmap!$D:$K,MATCH($E58,Roadmap!$D:$D,0)-1+COUNTIF($E58:Q58,"u")+COUNTIF($E58:Q58,"t")+COUNTIF($E58:Q58,"¶")+COUNTIF($E58:Q58,"²")+COUNTIF($E58:Q58,"µ")+COUNTIF($E58:Q58,1),ColDescriptionCourte))&gt;1,
HYPERLINK("#Roadmap!C"&amp; MATCH($E58,Roadmap!$D:$D,0)+COUNTIF($E58:Q58,"u")+COUNTIF($E58:Q58,"t")+COUNTIF($E58:Q58,"¶")+COUNTIF($E58:Q58,"²")+COUNTIF($E58:Q58,"µ")+COUNTIF($E58:Q58,1)-1,INDEX(Roadmap!$D:$K,MATCH($E58,Roadmap!$D:$D,0)-1+COUNTIF($E58:Q58,"u")+COUNTIF($E58:Q58,"t")+COUNTIF($E58:Q58,"¶")+COUNTIF($E58:Q58,"²")+COUNTIF($E58:Q58,"µ")+COUNTIF($E58:Q58,1),ColDescriptionCourte)),""),
  "")),"")</f>
        <v/>
      </c>
      <c r="S58" s="40" t="str">
        <f ca="1">IFERROR(IF(AND(
  INDEX(Roadmap!$D:$K,MATCH($E58,Roadmap!$D:$D,0)+COUNTIF($E58:R58,"u")+COUNTIF($E58:R58,"t")+COUNTIF($E58:R58,"¶")+COUNTIF($E58:R58,"²")+COUNTIF($E58:R58,"µ")+COUNTIF($E58:R58,1),ColLivraison)=S$6,
  VLOOKUP($E58,INDIRECT("tri!"&amp; CHAR(64+ C0Col) &amp;":"&amp; CHAR(65+C0Col)),2,FALSE)&gt;COUNTIF($E58:R58,"u")+COUNTIF($E58:R58,"t")+COUNTIF($E58:R58,"¶")+COUNTIF($E58:R58,"²")+COUNTIF($E58:R58,"µ")+COUNTIF($E58:R58,1)),
HYPERLINK("#Roadmap!C"&amp; MATCH($E58,Roadmap!$D:$D,0)+COUNTIF($E58:R58,"u")+COUNTIF($E58:R58,"t"),
     INDEX(Roadmap!$D:$K,MATCH($E58,Roadmap!$D:$D,0)+COUNTIF($E58:R58,"u")+COUNTIF($E58:R58,"t")+COUNTIF($E58:R58,"¶")+COUNTIF($E58:R58,"²")+COUNTIF($E58:R58,"µ")+COUNTIF($E58:R58,1),ColTypeEcheance)),
  IF(LEN(R58)=1,
  IF(LEN(INDEX(Roadmap!$D:$K,MATCH($E58,Roadmap!$D:$D,0)-1+COUNTIF($E58:R58,"u")+COUNTIF($E58:R58,"t")+COUNTIF($E58:R58,"¶")+COUNTIF($E58:R58,"²")+COUNTIF($E58:R58,"µ")+COUNTIF($E58:R58,1),ColDescriptionCourte))&gt;1,
HYPERLINK("#Roadmap!C"&amp; MATCH($E58,Roadmap!$D:$D,0)+COUNTIF($E58:R58,"u")+COUNTIF($E58:R58,"t")+COUNTIF($E58:R58,"¶")+COUNTIF($E58:R58,"²")+COUNTIF($E58:R58,"µ")+COUNTIF($E58:R58,1)-1,INDEX(Roadmap!$D:$K,MATCH($E58,Roadmap!$D:$D,0)-1+COUNTIF($E58:R58,"u")+COUNTIF($E58:R58,"t")+COUNTIF($E58:R58,"¶")+COUNTIF($E58:R58,"²")+COUNTIF($E58:R58,"µ")+COUNTIF($E58:R58,1),ColDescriptionCourte)),""),
  "")),"")</f>
        <v/>
      </c>
      <c r="T58" s="40" t="str">
        <f ca="1">IFERROR(IF(AND(
  INDEX(Roadmap!$D:$K,MATCH($E58,Roadmap!$D:$D,0)+COUNTIF($E58:S58,"u")+COUNTIF($E58:S58,"t")+COUNTIF($E58:S58,"¶")+COUNTIF($E58:S58,"²")+COUNTIF($E58:S58,"µ")+COUNTIF($E58:S58,1),ColLivraison)=T$6,
  VLOOKUP($E58,INDIRECT("tri!"&amp; CHAR(64+ C0Col) &amp;":"&amp; CHAR(65+C0Col)),2,FALSE)&gt;COUNTIF($E58:S58,"u")+COUNTIF($E58:S58,"t")+COUNTIF($E58:S58,"¶")+COUNTIF($E58:S58,"²")+COUNTIF($E58:S58,"µ")+COUNTIF($E58:S58,1)),
HYPERLINK("#Roadmap!C"&amp; MATCH($E58,Roadmap!$D:$D,0)+COUNTIF($E58:S58,"u")+COUNTIF($E58:S58,"t"),
     INDEX(Roadmap!$D:$K,MATCH($E58,Roadmap!$D:$D,0)+COUNTIF($E58:S58,"u")+COUNTIF($E58:S58,"t")+COUNTIF($E58:S58,"¶")+COUNTIF($E58:S58,"²")+COUNTIF($E58:S58,"µ")+COUNTIF($E58:S58,1),ColTypeEcheance)),
  IF(LEN(S58)=1,
  IF(LEN(INDEX(Roadmap!$D:$K,MATCH($E58,Roadmap!$D:$D,0)-1+COUNTIF($E58:S58,"u")+COUNTIF($E58:S58,"t")+COUNTIF($E58:S58,"¶")+COUNTIF($E58:S58,"²")+COUNTIF($E58:S58,"µ")+COUNTIF($E58:S58,1),ColDescriptionCourte))&gt;1,
HYPERLINK("#Roadmap!C"&amp; MATCH($E58,Roadmap!$D:$D,0)+COUNTIF($E58:S58,"u")+COUNTIF($E58:S58,"t")+COUNTIF($E58:S58,"¶")+COUNTIF($E58:S58,"²")+COUNTIF($E58:S58,"µ")+COUNTIF($E58:S58,1)-1,INDEX(Roadmap!$D:$K,MATCH($E58,Roadmap!$D:$D,0)-1+COUNTIF($E58:S58,"u")+COUNTIF($E58:S58,"t")+COUNTIF($E58:S58,"¶")+COUNTIF($E58:S58,"²")+COUNTIF($E58:S58,"µ")+COUNTIF($E58:S58,1),ColDescriptionCourte)),""),
  "")),"")</f>
        <v/>
      </c>
      <c r="U58" s="40" t="str">
        <f ca="1">IFERROR(IF(AND(
  INDEX(Roadmap!$D:$K,MATCH($E58,Roadmap!$D:$D,0)+COUNTIF($E58:T58,"u")+COUNTIF($E58:T58,"t")+COUNTIF($E58:T58,"¶")+COUNTIF($E58:T58,"²")+COUNTIF($E58:T58,"µ")+COUNTIF($E58:T58,1),ColLivraison)=U$6,
  VLOOKUP($E58,INDIRECT("tri!"&amp; CHAR(64+ C0Col) &amp;":"&amp; CHAR(65+C0Col)),2,FALSE)&gt;COUNTIF($E58:T58,"u")+COUNTIF($E58:T58,"t")+COUNTIF($E58:T58,"¶")+COUNTIF($E58:T58,"²")+COUNTIF($E58:T58,"µ")+COUNTIF($E58:T58,1)),
HYPERLINK("#Roadmap!C"&amp; MATCH($E58,Roadmap!$D:$D,0)+COUNTIF($E58:T58,"u")+COUNTIF($E58:T58,"t"),
     INDEX(Roadmap!$D:$K,MATCH($E58,Roadmap!$D:$D,0)+COUNTIF($E58:T58,"u")+COUNTIF($E58:T58,"t")+COUNTIF($E58:T58,"¶")+COUNTIF($E58:T58,"²")+COUNTIF($E58:T58,"µ")+COUNTIF($E58:T58,1),ColTypeEcheance)),
  IF(LEN(T58)=1,
  IF(LEN(INDEX(Roadmap!$D:$K,MATCH($E58,Roadmap!$D:$D,0)-1+COUNTIF($E58:T58,"u")+COUNTIF($E58:T58,"t")+COUNTIF($E58:T58,"¶")+COUNTIF($E58:T58,"²")+COUNTIF($E58:T58,"µ")+COUNTIF($E58:T58,1),ColDescriptionCourte))&gt;1,
HYPERLINK("#Roadmap!C"&amp; MATCH($E58,Roadmap!$D:$D,0)+COUNTIF($E58:T58,"u")+COUNTIF($E58:T58,"t")+COUNTIF($E58:T58,"¶")+COUNTIF($E58:T58,"²")+COUNTIF($E58:T58,"µ")+COUNTIF($E58:T58,1)-1,INDEX(Roadmap!$D:$K,MATCH($E58,Roadmap!$D:$D,0)-1+COUNTIF($E58:T58,"u")+COUNTIF($E58:T58,"t")+COUNTIF($E58:T58,"¶")+COUNTIF($E58:T58,"²")+COUNTIF($E58:T58,"µ")+COUNTIF($E58:T58,1),ColDescriptionCourte)),""),
  "")),"")</f>
        <v/>
      </c>
      <c r="V58" s="40" t="str">
        <f ca="1">IFERROR(IF(AND(
  INDEX(Roadmap!$D:$K,MATCH($E58,Roadmap!$D:$D,0)+COUNTIF($E58:U58,"u")+COUNTIF($E58:U58,"t")+COUNTIF($E58:U58,"¶")+COUNTIF($E58:U58,"²")+COUNTIF($E58:U58,"µ")+COUNTIF($E58:U58,1),ColLivraison)=V$6,
  VLOOKUP($E58,INDIRECT("tri!"&amp; CHAR(64+ C0Col) &amp;":"&amp; CHAR(65+C0Col)),2,FALSE)&gt;COUNTIF($E58:U58,"u")+COUNTIF($E58:U58,"t")+COUNTIF($E58:U58,"¶")+COUNTIF($E58:U58,"²")+COUNTIF($E58:U58,"µ")+COUNTIF($E58:U58,1)),
HYPERLINK("#Roadmap!C"&amp; MATCH($E58,Roadmap!$D:$D,0)+COUNTIF($E58:U58,"u")+COUNTIF($E58:U58,"t"),
     INDEX(Roadmap!$D:$K,MATCH($E58,Roadmap!$D:$D,0)+COUNTIF($E58:U58,"u")+COUNTIF($E58:U58,"t")+COUNTIF($E58:U58,"¶")+COUNTIF($E58:U58,"²")+COUNTIF($E58:U58,"µ")+COUNTIF($E58:U58,1),ColTypeEcheance)),
  IF(LEN(U58)=1,
  IF(LEN(INDEX(Roadmap!$D:$K,MATCH($E58,Roadmap!$D:$D,0)-1+COUNTIF($E58:U58,"u")+COUNTIF($E58:U58,"t")+COUNTIF($E58:U58,"¶")+COUNTIF($E58:U58,"²")+COUNTIF($E58:U58,"µ")+COUNTIF($E58:U58,1),ColDescriptionCourte))&gt;1,
HYPERLINK("#Roadmap!C"&amp; MATCH($E58,Roadmap!$D:$D,0)+COUNTIF($E58:U58,"u")+COUNTIF($E58:U58,"t")+COUNTIF($E58:U58,"¶")+COUNTIF($E58:U58,"²")+COUNTIF($E58:U58,"µ")+COUNTIF($E58:U58,1)-1,INDEX(Roadmap!$D:$K,MATCH($E58,Roadmap!$D:$D,0)-1+COUNTIF($E58:U58,"u")+COUNTIF($E58:U58,"t")+COUNTIF($E58:U58,"¶")+COUNTIF($E58:U58,"²")+COUNTIF($E58:U58,"µ")+COUNTIF($E58:U58,1),ColDescriptionCourte)),""),
  "")),"")</f>
        <v/>
      </c>
      <c r="W58" s="40" t="str">
        <f ca="1">IFERROR(IF(AND(
  INDEX(Roadmap!$D:$K,MATCH($E58,Roadmap!$D:$D,0)+COUNTIF($E58:V58,"u")+COUNTIF($E58:V58,"t")+COUNTIF($E58:V58,"¶")+COUNTIF($E58:V58,"²")+COUNTIF($E58:V58,"µ")+COUNTIF($E58:V58,1),ColLivraison)=W$6,
  VLOOKUP($E58,INDIRECT("tri!"&amp; CHAR(64+ C0Col) &amp;":"&amp; CHAR(65+C0Col)),2,FALSE)&gt;COUNTIF($E58:V58,"u")+COUNTIF($E58:V58,"t")+COUNTIF($E58:V58,"¶")+COUNTIF($E58:V58,"²")+COUNTIF($E58:V58,"µ")+COUNTIF($E58:V58,1)),
HYPERLINK("#Roadmap!C"&amp; MATCH($E58,Roadmap!$D:$D,0)+COUNTIF($E58:V58,"u")+COUNTIF($E58:V58,"t"),
     INDEX(Roadmap!$D:$K,MATCH($E58,Roadmap!$D:$D,0)+COUNTIF($E58:V58,"u")+COUNTIF($E58:V58,"t")+COUNTIF($E58:V58,"¶")+COUNTIF($E58:V58,"²")+COUNTIF($E58:V58,"µ")+COUNTIF($E58:V58,1),ColTypeEcheance)),
  IF(LEN(V58)=1,
  IF(LEN(INDEX(Roadmap!$D:$K,MATCH($E58,Roadmap!$D:$D,0)-1+COUNTIF($E58:V58,"u")+COUNTIF($E58:V58,"t")+COUNTIF($E58:V58,"¶")+COUNTIF($E58:V58,"²")+COUNTIF($E58:V58,"µ")+COUNTIF($E58:V58,1),ColDescriptionCourte))&gt;1,
HYPERLINK("#Roadmap!C"&amp; MATCH($E58,Roadmap!$D:$D,0)+COUNTIF($E58:V58,"u")+COUNTIF($E58:V58,"t")+COUNTIF($E58:V58,"¶")+COUNTIF($E58:V58,"²")+COUNTIF($E58:V58,"µ")+COUNTIF($E58:V58,1)-1,INDEX(Roadmap!$D:$K,MATCH($E58,Roadmap!$D:$D,0)-1+COUNTIF($E58:V58,"u")+COUNTIF($E58:V58,"t")+COUNTIF($E58:V58,"¶")+COUNTIF($E58:V58,"²")+COUNTIF($E58:V58,"µ")+COUNTIF($E58:V58,1),ColDescriptionCourte)),""),
  "")),"")</f>
        <v/>
      </c>
      <c r="X58" s="40" t="str">
        <f ca="1">IFERROR(IF(AND(
  INDEX(Roadmap!$D:$K,MATCH($E58,Roadmap!$D:$D,0)+COUNTIF($E58:W58,"u")+COUNTIF($E58:W58,"t")+COUNTIF($E58:W58,"¶")+COUNTIF($E58:W58,"²")+COUNTIF($E58:W58,"µ")+COUNTIF($E58:W58,1),ColLivraison)=X$6,
  VLOOKUP($E58,INDIRECT("tri!"&amp; CHAR(64+ C0Col) &amp;":"&amp; CHAR(65+C0Col)),2,FALSE)&gt;COUNTIF($E58:W58,"u")+COUNTIF($E58:W58,"t")+COUNTIF($E58:W58,"¶")+COUNTIF($E58:W58,"²")+COUNTIF($E58:W58,"µ")+COUNTIF($E58:W58,1)),
HYPERLINK("#Roadmap!C"&amp; MATCH($E58,Roadmap!$D:$D,0)+COUNTIF($E58:W58,"u")+COUNTIF($E58:W58,"t"),
     INDEX(Roadmap!$D:$K,MATCH($E58,Roadmap!$D:$D,0)+COUNTIF($E58:W58,"u")+COUNTIF($E58:W58,"t")+COUNTIF($E58:W58,"¶")+COUNTIF($E58:W58,"²")+COUNTIF($E58:W58,"µ")+COUNTIF($E58:W58,1),ColTypeEcheance)),
  IF(LEN(W58)=1,
  IF(LEN(INDEX(Roadmap!$D:$K,MATCH($E58,Roadmap!$D:$D,0)-1+COUNTIF($E58:W58,"u")+COUNTIF($E58:W58,"t")+COUNTIF($E58:W58,"¶")+COUNTIF($E58:W58,"²")+COUNTIF($E58:W58,"µ")+COUNTIF($E58:W58,1),ColDescriptionCourte))&gt;1,
HYPERLINK("#Roadmap!C"&amp; MATCH($E58,Roadmap!$D:$D,0)+COUNTIF($E58:W58,"u")+COUNTIF($E58:W58,"t")+COUNTIF($E58:W58,"¶")+COUNTIF($E58:W58,"²")+COUNTIF($E58:W58,"µ")+COUNTIF($E58:W58,1)-1,INDEX(Roadmap!$D:$K,MATCH($E58,Roadmap!$D:$D,0)-1+COUNTIF($E58:W58,"u")+COUNTIF($E58:W58,"t")+COUNTIF($E58:W58,"¶")+COUNTIF($E58:W58,"²")+COUNTIF($E58:W58,"µ")+COUNTIF($E58:W58,1),ColDescriptionCourte)),""),
  "")),"")</f>
        <v/>
      </c>
      <c r="Y58" s="40" t="str">
        <f ca="1">IFERROR(IF(AND(
  INDEX(Roadmap!$D:$K,MATCH($E58,Roadmap!$D:$D,0)+COUNTIF($E58:X58,"u")+COUNTIF($E58:X58,"t")+COUNTIF($E58:X58,"¶")+COUNTIF($E58:X58,"²")+COUNTIF($E58:X58,"µ")+COUNTIF($E58:X58,1),ColLivraison)=Y$6,
  VLOOKUP($E58,INDIRECT("tri!"&amp; CHAR(64+ C0Col) &amp;":"&amp; CHAR(65+C0Col)),2,FALSE)&gt;COUNTIF($E58:X58,"u")+COUNTIF($E58:X58,"t")+COUNTIF($E58:X58,"¶")+COUNTIF($E58:X58,"²")+COUNTIF($E58:X58,"µ")+COUNTIF($E58:X58,1)),
HYPERLINK("#Roadmap!C"&amp; MATCH($E58,Roadmap!$D:$D,0)+COUNTIF($E58:X58,"u")+COUNTIF($E58:X58,"t"),
     INDEX(Roadmap!$D:$K,MATCH($E58,Roadmap!$D:$D,0)+COUNTIF($E58:X58,"u")+COUNTIF($E58:X58,"t")+COUNTIF($E58:X58,"¶")+COUNTIF($E58:X58,"²")+COUNTIF($E58:X58,"µ")+COUNTIF($E58:X58,1),ColTypeEcheance)),
  IF(LEN(X58)=1,
  IF(LEN(INDEX(Roadmap!$D:$K,MATCH($E58,Roadmap!$D:$D,0)-1+COUNTIF($E58:X58,"u")+COUNTIF($E58:X58,"t")+COUNTIF($E58:X58,"¶")+COUNTIF($E58:X58,"²")+COUNTIF($E58:X58,"µ")+COUNTIF($E58:X58,1),ColDescriptionCourte))&gt;1,
HYPERLINK("#Roadmap!C"&amp; MATCH($E58,Roadmap!$D:$D,0)+COUNTIF($E58:X58,"u")+COUNTIF($E58:X58,"t")+COUNTIF($E58:X58,"¶")+COUNTIF($E58:X58,"²")+COUNTIF($E58:X58,"µ")+COUNTIF($E58:X58,1)-1,INDEX(Roadmap!$D:$K,MATCH($E58,Roadmap!$D:$D,0)-1+COUNTIF($E58:X58,"u")+COUNTIF($E58:X58,"t")+COUNTIF($E58:X58,"¶")+COUNTIF($E58:X58,"²")+COUNTIF($E58:X58,"µ")+COUNTIF($E58:X58,1),ColDescriptionCourte)),""),
  "")),"")</f>
        <v/>
      </c>
      <c r="Z58" s="40" t="str">
        <f ca="1">IFERROR(IF(AND(
  INDEX(Roadmap!$D:$K,MATCH($E58,Roadmap!$D:$D,0)+COUNTIF($E58:Y58,"u")+COUNTIF($E58:Y58,"t")+COUNTIF($E58:Y58,"¶")+COUNTIF($E58:Y58,"²")+COUNTIF($E58:Y58,"µ")+COUNTIF($E58:Y58,1),ColLivraison)=Z$6,
  VLOOKUP($E58,INDIRECT("tri!"&amp; CHAR(64+ C0Col) &amp;":"&amp; CHAR(65+C0Col)),2,FALSE)&gt;COUNTIF($E58:Y58,"u")+COUNTIF($E58:Y58,"t")+COUNTIF($E58:Y58,"¶")+COUNTIF($E58:Y58,"²")+COUNTIF($E58:Y58,"µ")+COUNTIF($E58:Y58,1)),
HYPERLINK("#Roadmap!C"&amp; MATCH($E58,Roadmap!$D:$D,0)+COUNTIF($E58:Y58,"u")+COUNTIF($E58:Y58,"t"),
     INDEX(Roadmap!$D:$K,MATCH($E58,Roadmap!$D:$D,0)+COUNTIF($E58:Y58,"u")+COUNTIF($E58:Y58,"t")+COUNTIF($E58:Y58,"¶")+COUNTIF($E58:Y58,"²")+COUNTIF($E58:Y58,"µ")+COUNTIF($E58:Y58,1),ColTypeEcheance)),
  IF(LEN(Y58)=1,
  IF(LEN(INDEX(Roadmap!$D:$K,MATCH($E58,Roadmap!$D:$D,0)-1+COUNTIF($E58:Y58,"u")+COUNTIF($E58:Y58,"t")+COUNTIF($E58:Y58,"¶")+COUNTIF($E58:Y58,"²")+COUNTIF($E58:Y58,"µ")+COUNTIF($E58:Y58,1),ColDescriptionCourte))&gt;1,
HYPERLINK("#Roadmap!C"&amp; MATCH($E58,Roadmap!$D:$D,0)+COUNTIF($E58:Y58,"u")+COUNTIF($E58:Y58,"t")+COUNTIF($E58:Y58,"¶")+COUNTIF($E58:Y58,"²")+COUNTIF($E58:Y58,"µ")+COUNTIF($E58:Y58,1)-1,INDEX(Roadmap!$D:$K,MATCH($E58,Roadmap!$D:$D,0)-1+COUNTIF($E58:Y58,"u")+COUNTIF($E58:Y58,"t")+COUNTIF($E58:Y58,"¶")+COUNTIF($E58:Y58,"²")+COUNTIF($E58:Y58,"µ")+COUNTIF($E58:Y58,1),ColDescriptionCourte)),""),
  "")),"")</f>
        <v/>
      </c>
      <c r="AA58" s="40" t="str">
        <f ca="1">IFERROR(IF(AND(
  INDEX(Roadmap!$D:$K,MATCH($E58,Roadmap!$D:$D,0)+COUNTIF($E58:Z58,"u")+COUNTIF($E58:Z58,"t")+COUNTIF($E58:Z58,"¶")+COUNTIF($E58:Z58,"²")+COUNTIF($E58:Z58,"µ")+COUNTIF($E58:Z58,1),ColLivraison)=AA$6,
  VLOOKUP($E58,INDIRECT("tri!"&amp; CHAR(64+ C0Col) &amp;":"&amp; CHAR(65+C0Col)),2,FALSE)&gt;COUNTIF($E58:Z58,"u")+COUNTIF($E58:Z58,"t")+COUNTIF($E58:Z58,"¶")+COUNTIF($E58:Z58,"²")+COUNTIF($E58:Z58,"µ")+COUNTIF($E58:Z58,1)),
HYPERLINK("#Roadmap!C"&amp; MATCH($E58,Roadmap!$D:$D,0)+COUNTIF($E58:Z58,"u")+COUNTIF($E58:Z58,"t"),
     INDEX(Roadmap!$D:$K,MATCH($E58,Roadmap!$D:$D,0)+COUNTIF($E58:Z58,"u")+COUNTIF($E58:Z58,"t")+COUNTIF($E58:Z58,"¶")+COUNTIF($E58:Z58,"²")+COUNTIF($E58:Z58,"µ")+COUNTIF($E58:Z58,1),ColTypeEcheance)),
  IF(LEN(Z58)=1,
  IF(LEN(INDEX(Roadmap!$D:$K,MATCH($E58,Roadmap!$D:$D,0)-1+COUNTIF($E58:Z58,"u")+COUNTIF($E58:Z58,"t")+COUNTIF($E58:Z58,"¶")+COUNTIF($E58:Z58,"²")+COUNTIF($E58:Z58,"µ")+COUNTIF($E58:Z58,1),ColDescriptionCourte))&gt;1,
HYPERLINK("#Roadmap!C"&amp; MATCH($E58,Roadmap!$D:$D,0)+COUNTIF($E58:Z58,"u")+COUNTIF($E58:Z58,"t")+COUNTIF($E58:Z58,"¶")+COUNTIF($E58:Z58,"²")+COUNTIF($E58:Z58,"µ")+COUNTIF($E58:Z58,1)-1,INDEX(Roadmap!$D:$K,MATCH($E58,Roadmap!$D:$D,0)-1+COUNTIF($E58:Z58,"u")+COUNTIF($E58:Z58,"t")+COUNTIF($E58:Z58,"¶")+COUNTIF($E58:Z58,"²")+COUNTIF($E58:Z58,"µ")+COUNTIF($E58:Z58,1),ColDescriptionCourte)),""),
  "")),"")</f>
        <v/>
      </c>
      <c r="AB58" s="40" t="str">
        <f ca="1">IFERROR(IF(AND(
  INDEX(Roadmap!$D:$K,MATCH($E58,Roadmap!$D:$D,0)+COUNTIF($E58:AA58,"u")+COUNTIF($E58:AA58,"t")+COUNTIF($E58:AA58,"¶")+COUNTIF($E58:AA58,"²")+COUNTIF($E58:AA58,"µ")+COUNTIF($E58:AA58,1),ColLivraison)=AB$6,
  VLOOKUP($E58,INDIRECT("tri!"&amp; CHAR(64+ C0Col) &amp;":"&amp; CHAR(65+C0Col)),2,FALSE)&gt;COUNTIF($E58:AA58,"u")+COUNTIF($E58:AA58,"t")+COUNTIF($E58:AA58,"¶")+COUNTIF($E58:AA58,"²")+COUNTIF($E58:AA58,"µ")+COUNTIF($E58:AA58,1)),
HYPERLINK("#Roadmap!C"&amp; MATCH($E58,Roadmap!$D:$D,0)+COUNTIF($E58:AA58,"u")+COUNTIF($E58:AA58,"t"),
     INDEX(Roadmap!$D:$K,MATCH($E58,Roadmap!$D:$D,0)+COUNTIF($E58:AA58,"u")+COUNTIF($E58:AA58,"t")+COUNTIF($E58:AA58,"¶")+COUNTIF($E58:AA58,"²")+COUNTIF($E58:AA58,"µ")+COUNTIF($E58:AA58,1),ColTypeEcheance)),
  IF(LEN(AA58)=1,
  IF(LEN(INDEX(Roadmap!$D:$K,MATCH($E58,Roadmap!$D:$D,0)-1+COUNTIF($E58:AA58,"u")+COUNTIF($E58:AA58,"t")+COUNTIF($E58:AA58,"¶")+COUNTIF($E58:AA58,"²")+COUNTIF($E58:AA58,"µ")+COUNTIF($E58:AA58,1),ColDescriptionCourte))&gt;1,
HYPERLINK("#Roadmap!C"&amp; MATCH($E58,Roadmap!$D:$D,0)+COUNTIF($E58:AA58,"u")+COUNTIF($E58:AA58,"t")+COUNTIF($E58:AA58,"¶")+COUNTIF($E58:AA58,"²")+COUNTIF($E58:AA58,"µ")+COUNTIF($E58:AA58,1)-1,INDEX(Roadmap!$D:$K,MATCH($E58,Roadmap!$D:$D,0)-1+COUNTIF($E58:AA58,"u")+COUNTIF($E58:AA58,"t")+COUNTIF($E58:AA58,"¶")+COUNTIF($E58:AA58,"²")+COUNTIF($E58:AA58,"µ")+COUNTIF($E58:AA58,1),ColDescriptionCourte)),""),
  "")),"")</f>
        <v/>
      </c>
      <c r="AC58" s="40" t="str">
        <f ca="1">IFERROR(IF(AND(
  INDEX(Roadmap!$D:$K,MATCH($E58,Roadmap!$D:$D,0)+COUNTIF($E58:AB58,"u")+COUNTIF($E58:AB58,"t")+COUNTIF($E58:AB58,"¶")+COUNTIF($E58:AB58,"²")+COUNTIF($E58:AB58,"µ")+COUNTIF($E58:AB58,1),ColLivraison)=AC$6,
  VLOOKUP($E58,INDIRECT("tri!"&amp; CHAR(64+ C0Col) &amp;":"&amp; CHAR(65+C0Col)),2,FALSE)&gt;COUNTIF($E58:AB58,"u")+COUNTIF($E58:AB58,"t")+COUNTIF($E58:AB58,"¶")+COUNTIF($E58:AB58,"²")+COUNTIF($E58:AB58,"µ")+COUNTIF($E58:AB58,1)),
HYPERLINK("#Roadmap!C"&amp; MATCH($E58,Roadmap!$D:$D,0)+COUNTIF($E58:AB58,"u")+COUNTIF($E58:AB58,"t"),
     INDEX(Roadmap!$D:$K,MATCH($E58,Roadmap!$D:$D,0)+COUNTIF($E58:AB58,"u")+COUNTIF($E58:AB58,"t")+COUNTIF($E58:AB58,"¶")+COUNTIF($E58:AB58,"²")+COUNTIF($E58:AB58,"µ")+COUNTIF($E58:AB58,1),ColTypeEcheance)),
  IF(LEN(AB58)=1,
  IF(LEN(INDEX(Roadmap!$D:$K,MATCH($E58,Roadmap!$D:$D,0)-1+COUNTIF($E58:AB58,"u")+COUNTIF($E58:AB58,"t")+COUNTIF($E58:AB58,"¶")+COUNTIF($E58:AB58,"²")+COUNTIF($E58:AB58,"µ")+COUNTIF($E58:AB58,1),ColDescriptionCourte))&gt;1,
HYPERLINK("#Roadmap!C"&amp; MATCH($E58,Roadmap!$D:$D,0)+COUNTIF($E58:AB58,"u")+COUNTIF($E58:AB58,"t")+COUNTIF($E58:AB58,"¶")+COUNTIF($E58:AB58,"²")+COUNTIF($E58:AB58,"µ")+COUNTIF($E58:AB58,1)-1,INDEX(Roadmap!$D:$K,MATCH($E58,Roadmap!$D:$D,0)-1+COUNTIF($E58:AB58,"u")+COUNTIF($E58:AB58,"t")+COUNTIF($E58:AB58,"¶")+COUNTIF($E58:AB58,"²")+COUNTIF($E58:AB58,"µ")+COUNTIF($E58:AB58,1),ColDescriptionCourte)),""),
  "")),"")</f>
        <v/>
      </c>
      <c r="AD58" s="40" t="str">
        <f ca="1">IFERROR(IF(AND(
  INDEX(Roadmap!$D:$K,MATCH($E58,Roadmap!$D:$D,0)+COUNTIF($E58:AC58,"u")+COUNTIF($E58:AC58,"t")+COUNTIF($E58:AC58,"¶")+COUNTIF($E58:AC58,"²")+COUNTIF($E58:AC58,"µ")+COUNTIF($E58:AC58,1),ColLivraison)=AD$6,
  VLOOKUP($E58,INDIRECT("tri!"&amp; CHAR(64+ C0Col) &amp;":"&amp; CHAR(65+C0Col)),2,FALSE)&gt;COUNTIF($E58:AC58,"u")+COUNTIF($E58:AC58,"t")+COUNTIF($E58:AC58,"¶")+COUNTIF($E58:AC58,"²")+COUNTIF($E58:AC58,"µ")+COUNTIF($E58:AC58,1)),
HYPERLINK("#Roadmap!C"&amp; MATCH($E58,Roadmap!$D:$D,0)+COUNTIF($E58:AC58,"u")+COUNTIF($E58:AC58,"t"),
     INDEX(Roadmap!$D:$K,MATCH($E58,Roadmap!$D:$D,0)+COUNTIF($E58:AC58,"u")+COUNTIF($E58:AC58,"t")+COUNTIF($E58:AC58,"¶")+COUNTIF($E58:AC58,"²")+COUNTIF($E58:AC58,"µ")+COUNTIF($E58:AC58,1),ColTypeEcheance)),
  IF(LEN(AC58)=1,
  IF(LEN(INDEX(Roadmap!$D:$K,MATCH($E58,Roadmap!$D:$D,0)-1+COUNTIF($E58:AC58,"u")+COUNTIF($E58:AC58,"t")+COUNTIF($E58:AC58,"¶")+COUNTIF($E58:AC58,"²")+COUNTIF($E58:AC58,"µ")+COUNTIF($E58:AC58,1),ColDescriptionCourte))&gt;1,
HYPERLINK("#Roadmap!C"&amp; MATCH($E58,Roadmap!$D:$D,0)+COUNTIF($E58:AC58,"u")+COUNTIF($E58:AC58,"t")+COUNTIF($E58:AC58,"¶")+COUNTIF($E58:AC58,"²")+COUNTIF($E58:AC58,"µ")+COUNTIF($E58:AC58,1)-1,INDEX(Roadmap!$D:$K,MATCH($E58,Roadmap!$D:$D,0)-1+COUNTIF($E58:AC58,"u")+COUNTIF($E58:AC58,"t")+COUNTIF($E58:AC58,"¶")+COUNTIF($E58:AC58,"²")+COUNTIF($E58:AC58,"µ")+COUNTIF($E58:AC58,1),ColDescriptionCourte)),""),
  "")),"")</f>
        <v/>
      </c>
      <c r="AE58" s="40" t="str">
        <f ca="1">IFERROR(IF(AND(
  INDEX(Roadmap!$D:$K,MATCH($E58,Roadmap!$D:$D,0)+COUNTIF($E58:AD58,"u")+COUNTIF($E58:AD58,"t")+COUNTIF($E58:AD58,"¶")+COUNTIF($E58:AD58,"²")+COUNTIF($E58:AD58,"µ")+COUNTIF($E58:AD58,1),ColLivraison)=AE$6,
  VLOOKUP($E58,INDIRECT("tri!"&amp; CHAR(64+ C0Col) &amp;":"&amp; CHAR(65+C0Col)),2,FALSE)&gt;COUNTIF($E58:AD58,"u")+COUNTIF($E58:AD58,"t")+COUNTIF($E58:AD58,"¶")+COUNTIF($E58:AD58,"²")+COUNTIF($E58:AD58,"µ")+COUNTIF($E58:AD58,1)),
HYPERLINK("#Roadmap!C"&amp; MATCH($E58,Roadmap!$D:$D,0)+COUNTIF($E58:AD58,"u")+COUNTIF($E58:AD58,"t"),
     INDEX(Roadmap!$D:$K,MATCH($E58,Roadmap!$D:$D,0)+COUNTIF($E58:AD58,"u")+COUNTIF($E58:AD58,"t")+COUNTIF($E58:AD58,"¶")+COUNTIF($E58:AD58,"²")+COUNTIF($E58:AD58,"µ")+COUNTIF($E58:AD58,1),ColTypeEcheance)),
  IF(LEN(AD58)=1,
  IF(LEN(INDEX(Roadmap!$D:$K,MATCH($E58,Roadmap!$D:$D,0)-1+COUNTIF($E58:AD58,"u")+COUNTIF($E58:AD58,"t")+COUNTIF($E58:AD58,"¶")+COUNTIF($E58:AD58,"²")+COUNTIF($E58:AD58,"µ")+COUNTIF($E58:AD58,1),ColDescriptionCourte))&gt;1,
HYPERLINK("#Roadmap!C"&amp; MATCH($E58,Roadmap!$D:$D,0)+COUNTIF($E58:AD58,"u")+COUNTIF($E58:AD58,"t")+COUNTIF($E58:AD58,"¶")+COUNTIF($E58:AD58,"²")+COUNTIF($E58:AD58,"µ")+COUNTIF($E58:AD58,1)-1,INDEX(Roadmap!$D:$K,MATCH($E58,Roadmap!$D:$D,0)-1+COUNTIF($E58:AD58,"u")+COUNTIF($E58:AD58,"t")+COUNTIF($E58:AD58,"¶")+COUNTIF($E58:AD58,"²")+COUNTIF($E58:AD58,"µ")+COUNTIF($E58:AD58,1),ColDescriptionCourte)),""),
  "")),"")</f>
        <v/>
      </c>
      <c r="AF58" s="40" t="str">
        <f ca="1">IFERROR(IF(AND(
  INDEX(Roadmap!$D:$K,MATCH($E58,Roadmap!$D:$D,0)+COUNTIF($E58:AE58,"u")+COUNTIF($E58:AE58,"t")+COUNTIF($E58:AE58,"¶")+COUNTIF($E58:AE58,"²")+COUNTIF($E58:AE58,"µ")+COUNTIF($E58:AE58,1),ColLivraison)=AF$6,
  VLOOKUP($E58,INDIRECT("tri!"&amp; CHAR(64+ C0Col) &amp;":"&amp; CHAR(65+C0Col)),2,FALSE)&gt;COUNTIF($E58:AE58,"u")+COUNTIF($E58:AE58,"t")+COUNTIF($E58:AE58,"¶")+COUNTIF($E58:AE58,"²")+COUNTIF($E58:AE58,"µ")+COUNTIF($E58:AE58,1)),
HYPERLINK("#Roadmap!C"&amp; MATCH($E58,Roadmap!$D:$D,0)+COUNTIF($E58:AE58,"u")+COUNTIF($E58:AE58,"t"),
     INDEX(Roadmap!$D:$K,MATCH($E58,Roadmap!$D:$D,0)+COUNTIF($E58:AE58,"u")+COUNTIF($E58:AE58,"t")+COUNTIF($E58:AE58,"¶")+COUNTIF($E58:AE58,"²")+COUNTIF($E58:AE58,"µ")+COUNTIF($E58:AE58,1),ColTypeEcheance)),
  IF(LEN(AE58)=1,
  IF(LEN(INDEX(Roadmap!$D:$K,MATCH($E58,Roadmap!$D:$D,0)-1+COUNTIF($E58:AE58,"u")+COUNTIF($E58:AE58,"t")+COUNTIF($E58:AE58,"¶")+COUNTIF($E58:AE58,"²")+COUNTIF($E58:AE58,"µ")+COUNTIF($E58:AE58,1),ColDescriptionCourte))&gt;1,
HYPERLINK("#Roadmap!C"&amp; MATCH($E58,Roadmap!$D:$D,0)+COUNTIF($E58:AE58,"u")+COUNTIF($E58:AE58,"t")+COUNTIF($E58:AE58,"¶")+COUNTIF($E58:AE58,"²")+COUNTIF($E58:AE58,"µ")+COUNTIF($E58:AE58,1)-1,INDEX(Roadmap!$D:$K,MATCH($E58,Roadmap!$D:$D,0)-1+COUNTIF($E58:AE58,"u")+COUNTIF($E58:AE58,"t")+COUNTIF($E58:AE58,"¶")+COUNTIF($E58:AE58,"²")+COUNTIF($E58:AE58,"µ")+COUNTIF($E58:AE58,1),ColDescriptionCourte)),""),
  "")),"")</f>
        <v/>
      </c>
      <c r="AG58" s="40" t="str">
        <f ca="1">IFERROR(IF(AND(
  INDEX(Roadmap!$D:$K,MATCH($E58,Roadmap!$D:$D,0)+COUNTIF($E58:AF58,"u")+COUNTIF($E58:AF58,"t")+COUNTIF($E58:AF58,"¶")+COUNTIF($E58:AF58,"²")+COUNTIF($E58:AF58,"µ")+COUNTIF($E58:AF58,1),ColLivraison)=AG$6,
  VLOOKUP($E58,INDIRECT("tri!"&amp; CHAR(64+ C0Col) &amp;":"&amp; CHAR(65+C0Col)),2,FALSE)&gt;COUNTIF($E58:AF58,"u")+COUNTIF($E58:AF58,"t")+COUNTIF($E58:AF58,"¶")+COUNTIF($E58:AF58,"²")+COUNTIF($E58:AF58,"µ")+COUNTIF($E58:AF58,1)),
HYPERLINK("#Roadmap!C"&amp; MATCH($E58,Roadmap!$D:$D,0)+COUNTIF($E58:AF58,"u")+COUNTIF($E58:AF58,"t"),
     INDEX(Roadmap!$D:$K,MATCH($E58,Roadmap!$D:$D,0)+COUNTIF($E58:AF58,"u")+COUNTIF($E58:AF58,"t")+COUNTIF($E58:AF58,"¶")+COUNTIF($E58:AF58,"²")+COUNTIF($E58:AF58,"µ")+COUNTIF($E58:AF58,1),ColTypeEcheance)),
  IF(LEN(AF58)=1,
  IF(LEN(INDEX(Roadmap!$D:$K,MATCH($E58,Roadmap!$D:$D,0)-1+COUNTIF($E58:AF58,"u")+COUNTIF($E58:AF58,"t")+COUNTIF($E58:AF58,"¶")+COUNTIF($E58:AF58,"²")+COUNTIF($E58:AF58,"µ")+COUNTIF($E58:AF58,1),ColDescriptionCourte))&gt;1,
HYPERLINK("#Roadmap!C"&amp; MATCH($E58,Roadmap!$D:$D,0)+COUNTIF($E58:AF58,"u")+COUNTIF($E58:AF58,"t")+COUNTIF($E58:AF58,"¶")+COUNTIF($E58:AF58,"²")+COUNTIF($E58:AF58,"µ")+COUNTIF($E58:AF58,1)-1,INDEX(Roadmap!$D:$K,MATCH($E58,Roadmap!$D:$D,0)-1+COUNTIF($E58:AF58,"u")+COUNTIF($E58:AF58,"t")+COUNTIF($E58:AF58,"¶")+COUNTIF($E58:AF58,"²")+COUNTIF($E58:AF58,"µ")+COUNTIF($E58:AF58,1),ColDescriptionCourte)),""),
  "")),"")</f>
        <v/>
      </c>
    </row>
    <row r="59" spans="3:33" ht="14.25" customHeight="1">
      <c r="C59" s="1" t="str">
        <f t="shared" ca="1" si="44"/>
        <v/>
      </c>
      <c r="D59" s="1" t="str">
        <f t="shared" ca="1" si="45"/>
        <v/>
      </c>
      <c r="E59" s="35" t="str">
        <f t="shared" ca="1" si="33"/>
        <v/>
      </c>
      <c r="F59" s="39" t="str">
        <f ca="1">IFERROR(IF(AND(
  INDEX(Roadmap!$D:$K,MATCH($E59,Roadmap!$D:$D,0)+COUNTIF($E59:E59,"u")+COUNTIF($E59:E59,"t")+COUNTIF($E59:E59,"¶")+COUNTIF($E59:E59,"²")+COUNTIF($E59:E59,"µ")+COUNTIF($E59:E59,1),ColLivraison)=F$6,
  VLOOKUP($E59,INDIRECT("tri!"&amp; CHAR(64+ C0Col) &amp;":"&amp; CHAR(65+C0Col)),2,FALSE)&gt;COUNTIF($E59:E59,"u")+COUNTIF($E59:E59,"t")+COUNTIF($E59:E59,"¶")+COUNTIF($E59:E59,"²")+COUNTIF($E59:E59,"µ")+COUNTIF($E59:E59,1)),
HYPERLINK("#Roadmap!C"&amp; MATCH($E59,Roadmap!$D:$D,0)+COUNTIF($E59:E59,"u")+COUNTIF($E59:E59,"t"),
     INDEX(Roadmap!$D:$K,MATCH($E59,Roadmap!$D:$D,0)+COUNTIF($E59:E59,"u")+COUNTIF($E59:E59,"t")+COUNTIF($E59:E59,"¶")+COUNTIF($E59:E59,"²")+COUNTIF($E59:E59,"µ")+COUNTIF($E59:E59,1),ColTypeEcheance)),
  IF(LEN(E59)=1,
  IF(LEN(INDEX(Roadmap!$D:$K,MATCH($E59,Roadmap!$D:$D,0)-1+COUNTIF($E59:E59,"u")+COUNTIF($E59:E59,"t")+COUNTIF($E59:E59,"¶")+COUNTIF($E59:E59,"²")+COUNTIF($E59:E59,"µ")+COUNTIF($E59:E59,1),ColDescriptionCourte))&gt;1,
HYPERLINK("#Roadmap!C"&amp; MATCH($E59,Roadmap!$D:$D,0)+COUNTIF($E59:E59,"u")+COUNTIF($E59:E59,"t")+COUNTIF($E59:E59,"¶")+COUNTIF($E59:E59,"²")+COUNTIF($E59:E59,"µ")+COUNTIF($E59:E59,1)-1,INDEX(Roadmap!$D:$K,MATCH($E59,Roadmap!$D:$D,0)-1+COUNTIF($E59:E59,"u")+COUNTIF($E59:E59,"t")+COUNTIF($E59:E59,"¶")+COUNTIF($E59:E59,"²")+COUNTIF($E59:E59,"µ")+COUNTIF($E59:E59,1),ColDescriptionCourte)),""),
  "")),"")</f>
        <v/>
      </c>
      <c r="G59" s="40" t="str">
        <f ca="1">IFERROR(IF(AND(
  INDEX(Roadmap!$D:$K,MATCH($E59,Roadmap!$D:$D,0)+COUNTIF($E59:F59,"u")+COUNTIF($E59:F59,"t")+COUNTIF($E59:F59,"¶")+COUNTIF($E59:F59,"²")+COUNTIF($E59:F59,"µ")+COUNTIF($E59:F59,1),ColLivraison)=G$6,
  VLOOKUP($E59,INDIRECT("tri!"&amp; CHAR(64+ C0Col) &amp;":"&amp; CHAR(65+C0Col)),2,FALSE)&gt;COUNTIF($E59:F59,"u")+COUNTIF($E59:F59,"t")+COUNTIF($E59:F59,"¶")+COUNTIF($E59:F59,"²")+COUNTIF($E59:F59,"µ")+COUNTIF($E59:F59,1)),
HYPERLINK("#Roadmap!C"&amp; MATCH($E59,Roadmap!$D:$D,0)+COUNTIF($E59:F59,"u")+COUNTIF($E59:F59,"t"),
     INDEX(Roadmap!$D:$K,MATCH($E59,Roadmap!$D:$D,0)+COUNTIF($E59:F59,"u")+COUNTIF($E59:F59,"t")+COUNTIF($E59:F59,"¶")+COUNTIF($E59:F59,"²")+COUNTIF($E59:F59,"µ")+COUNTIF($E59:F59,1),ColTypeEcheance)),
  IF(LEN(F59)=1,
  IF(LEN(INDEX(Roadmap!$D:$K,MATCH($E59,Roadmap!$D:$D,0)-1+COUNTIF($E59:F59,"u")+COUNTIF($E59:F59,"t")+COUNTIF($E59:F59,"¶")+COUNTIF($E59:F59,"²")+COUNTIF($E59:F59,"µ")+COUNTIF($E59:F59,1),ColDescriptionCourte))&gt;1,
HYPERLINK("#Roadmap!C"&amp; MATCH($E59,Roadmap!$D:$D,0)+COUNTIF($E59:F59,"u")+COUNTIF($E59:F59,"t")+COUNTIF($E59:F59,"¶")+COUNTIF($E59:F59,"²")+COUNTIF($E59:F59,"µ")+COUNTIF($E59:F59,1)-1,INDEX(Roadmap!$D:$K,MATCH($E59,Roadmap!$D:$D,0)-1+COUNTIF($E59:F59,"u")+COUNTIF($E59:F59,"t")+COUNTIF($E59:F59,"¶")+COUNTIF($E59:F59,"²")+COUNTIF($E59:F59,"µ")+COUNTIF($E59:F59,1),ColDescriptionCourte)),""),
  "")),"")</f>
        <v/>
      </c>
      <c r="H59" s="40" t="str">
        <f ca="1">IFERROR(IF(AND(
  INDEX(Roadmap!$D:$K,MATCH($E59,Roadmap!$D:$D,0)+COUNTIF($E59:G59,"u")+COUNTIF($E59:G59,"t")+COUNTIF($E59:G59,"¶")+COUNTIF($E59:G59,"²")+COUNTIF($E59:G59,"µ")+COUNTIF($E59:G59,1),ColLivraison)=H$6,
  VLOOKUP($E59,INDIRECT("tri!"&amp; CHAR(64+ C0Col) &amp;":"&amp; CHAR(65+C0Col)),2,FALSE)&gt;COUNTIF($E59:G59,"u")+COUNTIF($E59:G59,"t")+COUNTIF($E59:G59,"¶")+COUNTIF($E59:G59,"²")+COUNTIF($E59:G59,"µ")+COUNTIF($E59:G59,1)),
HYPERLINK("#Roadmap!C"&amp; MATCH($E59,Roadmap!$D:$D,0)+COUNTIF($E59:G59,"u")+COUNTIF($E59:G59,"t"),
     INDEX(Roadmap!$D:$K,MATCH($E59,Roadmap!$D:$D,0)+COUNTIF($E59:G59,"u")+COUNTIF($E59:G59,"t")+COUNTIF($E59:G59,"¶")+COUNTIF($E59:G59,"²")+COUNTIF($E59:G59,"µ")+COUNTIF($E59:G59,1),ColTypeEcheance)),
  IF(LEN(G59)=1,
  IF(LEN(INDEX(Roadmap!$D:$K,MATCH($E59,Roadmap!$D:$D,0)-1+COUNTIF($E59:G59,"u")+COUNTIF($E59:G59,"t")+COUNTIF($E59:G59,"¶")+COUNTIF($E59:G59,"²")+COUNTIF($E59:G59,"µ")+COUNTIF($E59:G59,1),ColDescriptionCourte))&gt;1,
HYPERLINK("#Roadmap!C"&amp; MATCH($E59,Roadmap!$D:$D,0)+COUNTIF($E59:G59,"u")+COUNTIF($E59:G59,"t")+COUNTIF($E59:G59,"¶")+COUNTIF($E59:G59,"²")+COUNTIF($E59:G59,"µ")+COUNTIF($E59:G59,1)-1,INDEX(Roadmap!$D:$K,MATCH($E59,Roadmap!$D:$D,0)-1+COUNTIF($E59:G59,"u")+COUNTIF($E59:G59,"t")+COUNTIF($E59:G59,"¶")+COUNTIF($E59:G59,"²")+COUNTIF($E59:G59,"µ")+COUNTIF($E59:G59,1),ColDescriptionCourte)),""),
  "")),"")</f>
        <v/>
      </c>
      <c r="I59" s="40" t="str">
        <f ca="1">IFERROR(IF(AND(
  INDEX(Roadmap!$D:$K,MATCH($E59,Roadmap!$D:$D,0)+COUNTIF($E59:H59,"u")+COUNTIF($E59:H59,"t")+COUNTIF($E59:H59,"¶")+COUNTIF($E59:H59,"²")+COUNTIF($E59:H59,"µ")+COUNTIF($E59:H59,1),ColLivraison)=I$6,
  VLOOKUP($E59,INDIRECT("tri!"&amp; CHAR(64+ C0Col) &amp;":"&amp; CHAR(65+C0Col)),2,FALSE)&gt;COUNTIF($E59:H59,"u")+COUNTIF($E59:H59,"t")+COUNTIF($E59:H59,"¶")+COUNTIF($E59:H59,"²")+COUNTIF($E59:H59,"µ")+COUNTIF($E59:H59,1)),
HYPERLINK("#Roadmap!C"&amp; MATCH($E59,Roadmap!$D:$D,0)+COUNTIF($E59:H59,"u")+COUNTIF($E59:H59,"t"),
     INDEX(Roadmap!$D:$K,MATCH($E59,Roadmap!$D:$D,0)+COUNTIF($E59:H59,"u")+COUNTIF($E59:H59,"t")+COUNTIF($E59:H59,"¶")+COUNTIF($E59:H59,"²")+COUNTIF($E59:H59,"µ")+COUNTIF($E59:H59,1),ColTypeEcheance)),
  IF(LEN(H59)=1,
  IF(LEN(INDEX(Roadmap!$D:$K,MATCH($E59,Roadmap!$D:$D,0)-1+COUNTIF($E59:H59,"u")+COUNTIF($E59:H59,"t")+COUNTIF($E59:H59,"¶")+COUNTIF($E59:H59,"²")+COUNTIF($E59:H59,"µ")+COUNTIF($E59:H59,1),ColDescriptionCourte))&gt;1,
HYPERLINK("#Roadmap!C"&amp; MATCH($E59,Roadmap!$D:$D,0)+COUNTIF($E59:H59,"u")+COUNTIF($E59:H59,"t")+COUNTIF($E59:H59,"¶")+COUNTIF($E59:H59,"²")+COUNTIF($E59:H59,"µ")+COUNTIF($E59:H59,1)-1,INDEX(Roadmap!$D:$K,MATCH($E59,Roadmap!$D:$D,0)-1+COUNTIF($E59:H59,"u")+COUNTIF($E59:H59,"t")+COUNTIF($E59:H59,"¶")+COUNTIF($E59:H59,"²")+COUNTIF($E59:H59,"µ")+COUNTIF($E59:H59,1),ColDescriptionCourte)),""),
  "")),"")</f>
        <v/>
      </c>
      <c r="J59" s="40" t="str">
        <f ca="1">IFERROR(IF(AND(
  INDEX(Roadmap!$D:$K,MATCH($E59,Roadmap!$D:$D,0)+COUNTIF($E59:I59,"u")+COUNTIF($E59:I59,"t")+COUNTIF($E59:I59,"¶")+COUNTIF($E59:I59,"²")+COUNTIF($E59:I59,"µ")+COUNTIF($E59:I59,1),ColLivraison)=J$6,
  VLOOKUP($E59,INDIRECT("tri!"&amp; CHAR(64+ C0Col) &amp;":"&amp; CHAR(65+C0Col)),2,FALSE)&gt;COUNTIF($E59:I59,"u")+COUNTIF($E59:I59,"t")+COUNTIF($E59:I59,"¶")+COUNTIF($E59:I59,"²")+COUNTIF($E59:I59,"µ")+COUNTIF($E59:I59,1)),
HYPERLINK("#Roadmap!C"&amp; MATCH($E59,Roadmap!$D:$D,0)+COUNTIF($E59:I59,"u")+COUNTIF($E59:I59,"t"),
     INDEX(Roadmap!$D:$K,MATCH($E59,Roadmap!$D:$D,0)+COUNTIF($E59:I59,"u")+COUNTIF($E59:I59,"t")+COUNTIF($E59:I59,"¶")+COUNTIF($E59:I59,"²")+COUNTIF($E59:I59,"µ")+COUNTIF($E59:I59,1),ColTypeEcheance)),
  IF(LEN(I59)=1,
  IF(LEN(INDEX(Roadmap!$D:$K,MATCH($E59,Roadmap!$D:$D,0)-1+COUNTIF($E59:I59,"u")+COUNTIF($E59:I59,"t")+COUNTIF($E59:I59,"¶")+COUNTIF($E59:I59,"²")+COUNTIF($E59:I59,"µ")+COUNTIF($E59:I59,1),ColDescriptionCourte))&gt;1,
HYPERLINK("#Roadmap!C"&amp; MATCH($E59,Roadmap!$D:$D,0)+COUNTIF($E59:I59,"u")+COUNTIF($E59:I59,"t")+COUNTIF($E59:I59,"¶")+COUNTIF($E59:I59,"²")+COUNTIF($E59:I59,"µ")+COUNTIF($E59:I59,1)-1,INDEX(Roadmap!$D:$K,MATCH($E59,Roadmap!$D:$D,0)-1+COUNTIF($E59:I59,"u")+COUNTIF($E59:I59,"t")+COUNTIF($E59:I59,"¶")+COUNTIF($E59:I59,"²")+COUNTIF($E59:I59,"µ")+COUNTIF($E59:I59,1),ColDescriptionCourte)),""),
  "")),"")</f>
        <v/>
      </c>
      <c r="K59" s="40" t="str">
        <f ca="1">IFERROR(IF(AND(
  INDEX(Roadmap!$D:$K,MATCH($E59,Roadmap!$D:$D,0)+COUNTIF($E59:J59,"u")+COUNTIF($E59:J59,"t")+COUNTIF($E59:J59,"¶")+COUNTIF($E59:J59,"²")+COUNTIF($E59:J59,"µ")+COUNTIF($E59:J59,1),ColLivraison)=K$6,
  VLOOKUP($E59,INDIRECT("tri!"&amp; CHAR(64+ C0Col) &amp;":"&amp; CHAR(65+C0Col)),2,FALSE)&gt;COUNTIF($E59:J59,"u")+COUNTIF($E59:J59,"t")+COUNTIF($E59:J59,"¶")+COUNTIF($E59:J59,"²")+COUNTIF($E59:J59,"µ")+COUNTIF($E59:J59,1)),
HYPERLINK("#Roadmap!C"&amp; MATCH($E59,Roadmap!$D:$D,0)+COUNTIF($E59:J59,"u")+COUNTIF($E59:J59,"t"),
     INDEX(Roadmap!$D:$K,MATCH($E59,Roadmap!$D:$D,0)+COUNTIF($E59:J59,"u")+COUNTIF($E59:J59,"t")+COUNTIF($E59:J59,"¶")+COUNTIF($E59:J59,"²")+COUNTIF($E59:J59,"µ")+COUNTIF($E59:J59,1),ColTypeEcheance)),
  IF(LEN(J59)=1,
  IF(LEN(INDEX(Roadmap!$D:$K,MATCH($E59,Roadmap!$D:$D,0)-1+COUNTIF($E59:J59,"u")+COUNTIF($E59:J59,"t")+COUNTIF($E59:J59,"¶")+COUNTIF($E59:J59,"²")+COUNTIF($E59:J59,"µ")+COUNTIF($E59:J59,1),ColDescriptionCourte))&gt;1,
HYPERLINK("#Roadmap!C"&amp; MATCH($E59,Roadmap!$D:$D,0)+COUNTIF($E59:J59,"u")+COUNTIF($E59:J59,"t")+COUNTIF($E59:J59,"¶")+COUNTIF($E59:J59,"²")+COUNTIF($E59:J59,"µ")+COUNTIF($E59:J59,1)-1,INDEX(Roadmap!$D:$K,MATCH($E59,Roadmap!$D:$D,0)-1+COUNTIF($E59:J59,"u")+COUNTIF($E59:J59,"t")+COUNTIF($E59:J59,"¶")+COUNTIF($E59:J59,"²")+COUNTIF($E59:J59,"µ")+COUNTIF($E59:J59,1),ColDescriptionCourte)),""),
  "")),"")</f>
        <v/>
      </c>
      <c r="L59" s="39" t="str">
        <f ca="1">IFERROR(IF(AND(
  INDEX(Roadmap!$D:$K,MATCH($E59,Roadmap!$D:$D,0)+COUNTIF($E59:K59,"u")+COUNTIF($E59:K59,"t")+COUNTIF($E59:K59,"¶")+COUNTIF($E59:K59,"²")+COUNTIF($E59:K59,"µ")+COUNTIF($E59:K59,1),ColLivraison)=L$6,
  VLOOKUP($E59,INDIRECT("tri!"&amp; CHAR(64+ C0Col) &amp;":"&amp; CHAR(65+C0Col)),2,FALSE)&gt;COUNTIF($E59:K59,"u")+COUNTIF($E59:K59,"t")+COUNTIF($E59:K59,"¶")+COUNTIF($E59:K59,"²")+COUNTIF($E59:K59,"µ")+COUNTIF($E59:K59,1)),
HYPERLINK("#Roadmap!C"&amp; MATCH($E59,Roadmap!$D:$D,0)+COUNTIF($E59:K59,"u")+COUNTIF($E59:K59,"t"),
     INDEX(Roadmap!$D:$K,MATCH($E59,Roadmap!$D:$D,0)+COUNTIF($E59:K59,"u")+COUNTIF($E59:K59,"t")+COUNTIF($E59:K59,"¶")+COUNTIF($E59:K59,"²")+COUNTIF($E59:K59,"µ")+COUNTIF($E59:K59,1),ColTypeEcheance)),
  IF(LEN(K59)=1,
  IF(LEN(INDEX(Roadmap!$D:$K,MATCH($E59,Roadmap!$D:$D,0)-1+COUNTIF($E59:K59,"u")+COUNTIF($E59:K59,"t")+COUNTIF($E59:K59,"¶")+COUNTIF($E59:K59,"²")+COUNTIF($E59:K59,"µ")+COUNTIF($E59:K59,1),ColDescriptionCourte))&gt;1,
HYPERLINK("#Roadmap!C"&amp; MATCH($E59,Roadmap!$D:$D,0)+COUNTIF($E59:K59,"u")+COUNTIF($E59:K59,"t")+COUNTIF($E59:K59,"¶")+COUNTIF($E59:K59,"²")+COUNTIF($E59:K59,"µ")+COUNTIF($E59:K59,1)-1,INDEX(Roadmap!$D:$K,MATCH($E59,Roadmap!$D:$D,0)-1+COUNTIF($E59:K59,"u")+COUNTIF($E59:K59,"t")+COUNTIF($E59:K59,"¶")+COUNTIF($E59:K59,"²")+COUNTIF($E59:K59,"µ")+COUNTIF($E59:K59,1),ColDescriptionCourte)),""),
  "")),"")</f>
        <v/>
      </c>
      <c r="M59" s="40" t="str">
        <f ca="1">IFERROR(IF(AND(
  INDEX(Roadmap!$D:$K,MATCH($E59,Roadmap!$D:$D,0)+COUNTIF($E59:L59,"u")+COUNTIF($E59:L59,"t")+COUNTIF($E59:L59,"¶")+COUNTIF($E59:L59,"²")+COUNTIF($E59:L59,"µ")+COUNTIF($E59:L59,1),ColLivraison)=M$6,
  VLOOKUP($E59,INDIRECT("tri!"&amp; CHAR(64+ C0Col) &amp;":"&amp; CHAR(65+C0Col)),2,FALSE)&gt;COUNTIF($E59:L59,"u")+COUNTIF($E59:L59,"t")+COUNTIF($E59:L59,"¶")+COUNTIF($E59:L59,"²")+COUNTIF($E59:L59,"µ")+COUNTIF($E59:L59,1)),
HYPERLINK("#Roadmap!C"&amp; MATCH($E59,Roadmap!$D:$D,0)+COUNTIF($E59:L59,"u")+COUNTIF($E59:L59,"t"),
     INDEX(Roadmap!$D:$K,MATCH($E59,Roadmap!$D:$D,0)+COUNTIF($E59:L59,"u")+COUNTIF($E59:L59,"t")+COUNTIF($E59:L59,"¶")+COUNTIF($E59:L59,"²")+COUNTIF($E59:L59,"µ")+COUNTIF($E59:L59,1),ColTypeEcheance)),
  IF(LEN(L59)=1,
  IF(LEN(INDEX(Roadmap!$D:$K,MATCH($E59,Roadmap!$D:$D,0)-1+COUNTIF($E59:L59,"u")+COUNTIF($E59:L59,"t")+COUNTIF($E59:L59,"¶")+COUNTIF($E59:L59,"²")+COUNTIF($E59:L59,"µ")+COUNTIF($E59:L59,1),ColDescriptionCourte))&gt;1,
HYPERLINK("#Roadmap!C"&amp; MATCH($E59,Roadmap!$D:$D,0)+COUNTIF($E59:L59,"u")+COUNTIF($E59:L59,"t")+COUNTIF($E59:L59,"¶")+COUNTIF($E59:L59,"²")+COUNTIF($E59:L59,"µ")+COUNTIF($E59:L59,1)-1,INDEX(Roadmap!$D:$K,MATCH($E59,Roadmap!$D:$D,0)-1+COUNTIF($E59:L59,"u")+COUNTIF($E59:L59,"t")+COUNTIF($E59:L59,"¶")+COUNTIF($E59:L59,"²")+COUNTIF($E59:L59,"µ")+COUNTIF($E59:L59,1),ColDescriptionCourte)),""),
  "")),"")</f>
        <v/>
      </c>
      <c r="N59" s="40" t="str">
        <f ca="1">IFERROR(IF(AND(
  INDEX(Roadmap!$D:$K,MATCH($E59,Roadmap!$D:$D,0)+COUNTIF($E59:M59,"u")+COUNTIF($E59:M59,"t")+COUNTIF($E59:M59,"¶")+COUNTIF($E59:M59,"²")+COUNTIF($E59:M59,"µ")+COUNTIF($E59:M59,1),ColLivraison)=N$6,
  VLOOKUP($E59,INDIRECT("tri!"&amp; CHAR(64+ C0Col) &amp;":"&amp; CHAR(65+C0Col)),2,FALSE)&gt;COUNTIF($E59:M59,"u")+COUNTIF($E59:M59,"t")+COUNTIF($E59:M59,"¶")+COUNTIF($E59:M59,"²")+COUNTIF($E59:M59,"µ")+COUNTIF($E59:M59,1)),
HYPERLINK("#Roadmap!C"&amp; MATCH($E59,Roadmap!$D:$D,0)+COUNTIF($E59:M59,"u")+COUNTIF($E59:M59,"t"),
     INDEX(Roadmap!$D:$K,MATCH($E59,Roadmap!$D:$D,0)+COUNTIF($E59:M59,"u")+COUNTIF($E59:M59,"t")+COUNTIF($E59:M59,"¶")+COUNTIF($E59:M59,"²")+COUNTIF($E59:M59,"µ")+COUNTIF($E59:M59,1),ColTypeEcheance)),
  IF(LEN(M59)=1,
  IF(LEN(INDEX(Roadmap!$D:$K,MATCH($E59,Roadmap!$D:$D,0)-1+COUNTIF($E59:M59,"u")+COUNTIF($E59:M59,"t")+COUNTIF($E59:M59,"¶")+COUNTIF($E59:M59,"²")+COUNTIF($E59:M59,"µ")+COUNTIF($E59:M59,1),ColDescriptionCourte))&gt;1,
HYPERLINK("#Roadmap!C"&amp; MATCH($E59,Roadmap!$D:$D,0)+COUNTIF($E59:M59,"u")+COUNTIF($E59:M59,"t")+COUNTIF($E59:M59,"¶")+COUNTIF($E59:M59,"²")+COUNTIF($E59:M59,"µ")+COUNTIF($E59:M59,1)-1,INDEX(Roadmap!$D:$K,MATCH($E59,Roadmap!$D:$D,0)-1+COUNTIF($E59:M59,"u")+COUNTIF($E59:M59,"t")+COUNTIF($E59:M59,"¶")+COUNTIF($E59:M59,"²")+COUNTIF($E59:M59,"µ")+COUNTIF($E59:M59,1),ColDescriptionCourte)),""),
  "")),"")</f>
        <v/>
      </c>
      <c r="O59" s="40" t="str">
        <f ca="1">IFERROR(IF(AND(
  INDEX(Roadmap!$D:$K,MATCH($E59,Roadmap!$D:$D,0)+COUNTIF($E59:N59,"u")+COUNTIF($E59:N59,"t")+COUNTIF($E59:N59,"¶")+COUNTIF($E59:N59,"²")+COUNTIF($E59:N59,"µ")+COUNTIF($E59:N59,1),ColLivraison)=O$6,
  VLOOKUP($E59,INDIRECT("tri!"&amp; CHAR(64+ C0Col) &amp;":"&amp; CHAR(65+C0Col)),2,FALSE)&gt;COUNTIF($E59:N59,"u")+COUNTIF($E59:N59,"t")+COUNTIF($E59:N59,"¶")+COUNTIF($E59:N59,"²")+COUNTIF($E59:N59,"µ")+COUNTIF($E59:N59,1)),
HYPERLINK("#Roadmap!C"&amp; MATCH($E59,Roadmap!$D:$D,0)+COUNTIF($E59:N59,"u")+COUNTIF($E59:N59,"t"),
     INDEX(Roadmap!$D:$K,MATCH($E59,Roadmap!$D:$D,0)+COUNTIF($E59:N59,"u")+COUNTIF($E59:N59,"t")+COUNTIF($E59:N59,"¶")+COUNTIF($E59:N59,"²")+COUNTIF($E59:N59,"µ")+COUNTIF($E59:N59,1),ColTypeEcheance)),
  IF(LEN(N59)=1,
  IF(LEN(INDEX(Roadmap!$D:$K,MATCH($E59,Roadmap!$D:$D,0)-1+COUNTIF($E59:N59,"u")+COUNTIF($E59:N59,"t")+COUNTIF($E59:N59,"¶")+COUNTIF($E59:N59,"²")+COUNTIF($E59:N59,"µ")+COUNTIF($E59:N59,1),ColDescriptionCourte))&gt;1,
HYPERLINK("#Roadmap!C"&amp; MATCH($E59,Roadmap!$D:$D,0)+COUNTIF($E59:N59,"u")+COUNTIF($E59:N59,"t")+COUNTIF($E59:N59,"¶")+COUNTIF($E59:N59,"²")+COUNTIF($E59:N59,"µ")+COUNTIF($E59:N59,1)-1,INDEX(Roadmap!$D:$K,MATCH($E59,Roadmap!$D:$D,0)-1+COUNTIF($E59:N59,"u")+COUNTIF($E59:N59,"t")+COUNTIF($E59:N59,"¶")+COUNTIF($E59:N59,"²")+COUNTIF($E59:N59,"µ")+COUNTIF($E59:N59,1),ColDescriptionCourte)),""),
  "")),"")</f>
        <v/>
      </c>
      <c r="P59" s="40" t="str">
        <f ca="1">IFERROR(IF(AND(
  INDEX(Roadmap!$D:$K,MATCH($E59,Roadmap!$D:$D,0)+COUNTIF($E59:O59,"u")+COUNTIF($E59:O59,"t")+COUNTIF($E59:O59,"¶")+COUNTIF($E59:O59,"²")+COUNTIF($E59:O59,"µ")+COUNTIF($E59:O59,1),ColLivraison)=P$6,
  VLOOKUP($E59,INDIRECT("tri!"&amp; CHAR(64+ C0Col) &amp;":"&amp; CHAR(65+C0Col)),2,FALSE)&gt;COUNTIF($E59:O59,"u")+COUNTIF($E59:O59,"t")+COUNTIF($E59:O59,"¶")+COUNTIF($E59:O59,"²")+COUNTIF($E59:O59,"µ")+COUNTIF($E59:O59,1)),
HYPERLINK("#Roadmap!C"&amp; MATCH($E59,Roadmap!$D:$D,0)+COUNTIF($E59:O59,"u")+COUNTIF($E59:O59,"t"),
     INDEX(Roadmap!$D:$K,MATCH($E59,Roadmap!$D:$D,0)+COUNTIF($E59:O59,"u")+COUNTIF($E59:O59,"t")+COUNTIF($E59:O59,"¶")+COUNTIF($E59:O59,"²")+COUNTIF($E59:O59,"µ")+COUNTIF($E59:O59,1),ColTypeEcheance)),
  IF(LEN(O59)=1,
  IF(LEN(INDEX(Roadmap!$D:$K,MATCH($E59,Roadmap!$D:$D,0)-1+COUNTIF($E59:O59,"u")+COUNTIF($E59:O59,"t")+COUNTIF($E59:O59,"¶")+COUNTIF($E59:O59,"²")+COUNTIF($E59:O59,"µ")+COUNTIF($E59:O59,1),ColDescriptionCourte))&gt;1,
HYPERLINK("#Roadmap!C"&amp; MATCH($E59,Roadmap!$D:$D,0)+COUNTIF($E59:O59,"u")+COUNTIF($E59:O59,"t")+COUNTIF($E59:O59,"¶")+COUNTIF($E59:O59,"²")+COUNTIF($E59:O59,"µ")+COUNTIF($E59:O59,1)-1,INDEX(Roadmap!$D:$K,MATCH($E59,Roadmap!$D:$D,0)-1+COUNTIF($E59:O59,"u")+COUNTIF($E59:O59,"t")+COUNTIF($E59:O59,"¶")+COUNTIF($E59:O59,"²")+COUNTIF($E59:O59,"µ")+COUNTIF($E59:O59,1),ColDescriptionCourte)),""),
  "")),"")</f>
        <v/>
      </c>
      <c r="Q59" s="40" t="str">
        <f ca="1">IFERROR(IF(AND(
  INDEX(Roadmap!$D:$K,MATCH($E59,Roadmap!$D:$D,0)+COUNTIF($E59:P59,"u")+COUNTIF($E59:P59,"t")+COUNTIF($E59:P59,"¶")+COUNTIF($E59:P59,"²")+COUNTIF($E59:P59,"µ")+COUNTIF($E59:P59,1),ColLivraison)=Q$6,
  VLOOKUP($E59,INDIRECT("tri!"&amp; CHAR(64+ C0Col) &amp;":"&amp; CHAR(65+C0Col)),2,FALSE)&gt;COUNTIF($E59:P59,"u")+COUNTIF($E59:P59,"t")+COUNTIF($E59:P59,"¶")+COUNTIF($E59:P59,"²")+COUNTIF($E59:P59,"µ")+COUNTIF($E59:P59,1)),
HYPERLINK("#Roadmap!C"&amp; MATCH($E59,Roadmap!$D:$D,0)+COUNTIF($E59:P59,"u")+COUNTIF($E59:P59,"t"),
     INDEX(Roadmap!$D:$K,MATCH($E59,Roadmap!$D:$D,0)+COUNTIF($E59:P59,"u")+COUNTIF($E59:P59,"t")+COUNTIF($E59:P59,"¶")+COUNTIF($E59:P59,"²")+COUNTIF($E59:P59,"µ")+COUNTIF($E59:P59,1),ColTypeEcheance)),
  IF(LEN(P59)=1,
  IF(LEN(INDEX(Roadmap!$D:$K,MATCH($E59,Roadmap!$D:$D,0)-1+COUNTIF($E59:P59,"u")+COUNTIF($E59:P59,"t")+COUNTIF($E59:P59,"¶")+COUNTIF($E59:P59,"²")+COUNTIF($E59:P59,"µ")+COUNTIF($E59:P59,1),ColDescriptionCourte))&gt;1,
HYPERLINK("#Roadmap!C"&amp; MATCH($E59,Roadmap!$D:$D,0)+COUNTIF($E59:P59,"u")+COUNTIF($E59:P59,"t")+COUNTIF($E59:P59,"¶")+COUNTIF($E59:P59,"²")+COUNTIF($E59:P59,"µ")+COUNTIF($E59:P59,1)-1,INDEX(Roadmap!$D:$K,MATCH($E59,Roadmap!$D:$D,0)-1+COUNTIF($E59:P59,"u")+COUNTIF($E59:P59,"t")+COUNTIF($E59:P59,"¶")+COUNTIF($E59:P59,"²")+COUNTIF($E59:P59,"µ")+COUNTIF($E59:P59,1),ColDescriptionCourte)),""),
  "")),"")</f>
        <v/>
      </c>
      <c r="R59" s="40" t="str">
        <f ca="1">IFERROR(IF(AND(
  INDEX(Roadmap!$D:$K,MATCH($E59,Roadmap!$D:$D,0)+COUNTIF($E59:Q59,"u")+COUNTIF($E59:Q59,"t")+COUNTIF($E59:Q59,"¶")+COUNTIF($E59:Q59,"²")+COUNTIF($E59:Q59,"µ")+COUNTIF($E59:Q59,1),ColLivraison)=R$6,
  VLOOKUP($E59,INDIRECT("tri!"&amp; CHAR(64+ C0Col) &amp;":"&amp; CHAR(65+C0Col)),2,FALSE)&gt;COUNTIF($E59:Q59,"u")+COUNTIF($E59:Q59,"t")+COUNTIF($E59:Q59,"¶")+COUNTIF($E59:Q59,"²")+COUNTIF($E59:Q59,"µ")+COUNTIF($E59:Q59,1)),
HYPERLINK("#Roadmap!C"&amp; MATCH($E59,Roadmap!$D:$D,0)+COUNTIF($E59:Q59,"u")+COUNTIF($E59:Q59,"t"),
     INDEX(Roadmap!$D:$K,MATCH($E59,Roadmap!$D:$D,0)+COUNTIF($E59:Q59,"u")+COUNTIF($E59:Q59,"t")+COUNTIF($E59:Q59,"¶")+COUNTIF($E59:Q59,"²")+COUNTIF($E59:Q59,"µ")+COUNTIF($E59:Q59,1),ColTypeEcheance)),
  IF(LEN(Q59)=1,
  IF(LEN(INDEX(Roadmap!$D:$K,MATCH($E59,Roadmap!$D:$D,0)-1+COUNTIF($E59:Q59,"u")+COUNTIF($E59:Q59,"t")+COUNTIF($E59:Q59,"¶")+COUNTIF($E59:Q59,"²")+COUNTIF($E59:Q59,"µ")+COUNTIF($E59:Q59,1),ColDescriptionCourte))&gt;1,
HYPERLINK("#Roadmap!C"&amp; MATCH($E59,Roadmap!$D:$D,0)+COUNTIF($E59:Q59,"u")+COUNTIF($E59:Q59,"t")+COUNTIF($E59:Q59,"¶")+COUNTIF($E59:Q59,"²")+COUNTIF($E59:Q59,"µ")+COUNTIF($E59:Q59,1)-1,INDEX(Roadmap!$D:$K,MATCH($E59,Roadmap!$D:$D,0)-1+COUNTIF($E59:Q59,"u")+COUNTIF($E59:Q59,"t")+COUNTIF($E59:Q59,"¶")+COUNTIF($E59:Q59,"²")+COUNTIF($E59:Q59,"µ")+COUNTIF($E59:Q59,1),ColDescriptionCourte)),""),
  "")),"")</f>
        <v/>
      </c>
      <c r="S59" s="40" t="str">
        <f ca="1">IFERROR(IF(AND(
  INDEX(Roadmap!$D:$K,MATCH($E59,Roadmap!$D:$D,0)+COUNTIF($E59:R59,"u")+COUNTIF($E59:R59,"t")+COUNTIF($E59:R59,"¶")+COUNTIF($E59:R59,"²")+COUNTIF($E59:R59,"µ")+COUNTIF($E59:R59,1),ColLivraison)=S$6,
  VLOOKUP($E59,INDIRECT("tri!"&amp; CHAR(64+ C0Col) &amp;":"&amp; CHAR(65+C0Col)),2,FALSE)&gt;COUNTIF($E59:R59,"u")+COUNTIF($E59:R59,"t")+COUNTIF($E59:R59,"¶")+COUNTIF($E59:R59,"²")+COUNTIF($E59:R59,"µ")+COUNTIF($E59:R59,1)),
HYPERLINK("#Roadmap!C"&amp; MATCH($E59,Roadmap!$D:$D,0)+COUNTIF($E59:R59,"u")+COUNTIF($E59:R59,"t"),
     INDEX(Roadmap!$D:$K,MATCH($E59,Roadmap!$D:$D,0)+COUNTIF($E59:R59,"u")+COUNTIF($E59:R59,"t")+COUNTIF($E59:R59,"¶")+COUNTIF($E59:R59,"²")+COUNTIF($E59:R59,"µ")+COUNTIF($E59:R59,1),ColTypeEcheance)),
  IF(LEN(R59)=1,
  IF(LEN(INDEX(Roadmap!$D:$K,MATCH($E59,Roadmap!$D:$D,0)-1+COUNTIF($E59:R59,"u")+COUNTIF($E59:R59,"t")+COUNTIF($E59:R59,"¶")+COUNTIF($E59:R59,"²")+COUNTIF($E59:R59,"µ")+COUNTIF($E59:R59,1),ColDescriptionCourte))&gt;1,
HYPERLINK("#Roadmap!C"&amp; MATCH($E59,Roadmap!$D:$D,0)+COUNTIF($E59:R59,"u")+COUNTIF($E59:R59,"t")+COUNTIF($E59:R59,"¶")+COUNTIF($E59:R59,"²")+COUNTIF($E59:R59,"µ")+COUNTIF($E59:R59,1)-1,INDEX(Roadmap!$D:$K,MATCH($E59,Roadmap!$D:$D,0)-1+COUNTIF($E59:R59,"u")+COUNTIF($E59:R59,"t")+COUNTIF($E59:R59,"¶")+COUNTIF($E59:R59,"²")+COUNTIF($E59:R59,"µ")+COUNTIF($E59:R59,1),ColDescriptionCourte)),""),
  "")),"")</f>
        <v/>
      </c>
      <c r="T59" s="40" t="str">
        <f ca="1">IFERROR(IF(AND(
  INDEX(Roadmap!$D:$K,MATCH($E59,Roadmap!$D:$D,0)+COUNTIF($E59:S59,"u")+COUNTIF($E59:S59,"t")+COUNTIF($E59:S59,"¶")+COUNTIF($E59:S59,"²")+COUNTIF($E59:S59,"µ")+COUNTIF($E59:S59,1),ColLivraison)=T$6,
  VLOOKUP($E59,INDIRECT("tri!"&amp; CHAR(64+ C0Col) &amp;":"&amp; CHAR(65+C0Col)),2,FALSE)&gt;COUNTIF($E59:S59,"u")+COUNTIF($E59:S59,"t")+COUNTIF($E59:S59,"¶")+COUNTIF($E59:S59,"²")+COUNTIF($E59:S59,"µ")+COUNTIF($E59:S59,1)),
HYPERLINK("#Roadmap!C"&amp; MATCH($E59,Roadmap!$D:$D,0)+COUNTIF($E59:S59,"u")+COUNTIF($E59:S59,"t"),
     INDEX(Roadmap!$D:$K,MATCH($E59,Roadmap!$D:$D,0)+COUNTIF($E59:S59,"u")+COUNTIF($E59:S59,"t")+COUNTIF($E59:S59,"¶")+COUNTIF($E59:S59,"²")+COUNTIF($E59:S59,"µ")+COUNTIF($E59:S59,1),ColTypeEcheance)),
  IF(LEN(S59)=1,
  IF(LEN(INDEX(Roadmap!$D:$K,MATCH($E59,Roadmap!$D:$D,0)-1+COUNTIF($E59:S59,"u")+COUNTIF($E59:S59,"t")+COUNTIF($E59:S59,"¶")+COUNTIF($E59:S59,"²")+COUNTIF($E59:S59,"µ")+COUNTIF($E59:S59,1),ColDescriptionCourte))&gt;1,
HYPERLINK("#Roadmap!C"&amp; MATCH($E59,Roadmap!$D:$D,0)+COUNTIF($E59:S59,"u")+COUNTIF($E59:S59,"t")+COUNTIF($E59:S59,"¶")+COUNTIF($E59:S59,"²")+COUNTIF($E59:S59,"µ")+COUNTIF($E59:S59,1)-1,INDEX(Roadmap!$D:$K,MATCH($E59,Roadmap!$D:$D,0)-1+COUNTIF($E59:S59,"u")+COUNTIF($E59:S59,"t")+COUNTIF($E59:S59,"¶")+COUNTIF($E59:S59,"²")+COUNTIF($E59:S59,"µ")+COUNTIF($E59:S59,1),ColDescriptionCourte)),""),
  "")),"")</f>
        <v/>
      </c>
      <c r="U59" s="40" t="str">
        <f ca="1">IFERROR(IF(AND(
  INDEX(Roadmap!$D:$K,MATCH($E59,Roadmap!$D:$D,0)+COUNTIF($E59:T59,"u")+COUNTIF($E59:T59,"t")+COUNTIF($E59:T59,"¶")+COUNTIF($E59:T59,"²")+COUNTIF($E59:T59,"µ")+COUNTIF($E59:T59,1),ColLivraison)=U$6,
  VLOOKUP($E59,INDIRECT("tri!"&amp; CHAR(64+ C0Col) &amp;":"&amp; CHAR(65+C0Col)),2,FALSE)&gt;COUNTIF($E59:T59,"u")+COUNTIF($E59:T59,"t")+COUNTIF($E59:T59,"¶")+COUNTIF($E59:T59,"²")+COUNTIF($E59:T59,"µ")+COUNTIF($E59:T59,1)),
HYPERLINK("#Roadmap!C"&amp; MATCH($E59,Roadmap!$D:$D,0)+COUNTIF($E59:T59,"u")+COUNTIF($E59:T59,"t"),
     INDEX(Roadmap!$D:$K,MATCH($E59,Roadmap!$D:$D,0)+COUNTIF($E59:T59,"u")+COUNTIF($E59:T59,"t")+COUNTIF($E59:T59,"¶")+COUNTIF($E59:T59,"²")+COUNTIF($E59:T59,"µ")+COUNTIF($E59:T59,1),ColTypeEcheance)),
  IF(LEN(T59)=1,
  IF(LEN(INDEX(Roadmap!$D:$K,MATCH($E59,Roadmap!$D:$D,0)-1+COUNTIF($E59:T59,"u")+COUNTIF($E59:T59,"t")+COUNTIF($E59:T59,"¶")+COUNTIF($E59:T59,"²")+COUNTIF($E59:T59,"µ")+COUNTIF($E59:T59,1),ColDescriptionCourte))&gt;1,
HYPERLINK("#Roadmap!C"&amp; MATCH($E59,Roadmap!$D:$D,0)+COUNTIF($E59:T59,"u")+COUNTIF($E59:T59,"t")+COUNTIF($E59:T59,"¶")+COUNTIF($E59:T59,"²")+COUNTIF($E59:T59,"µ")+COUNTIF($E59:T59,1)-1,INDEX(Roadmap!$D:$K,MATCH($E59,Roadmap!$D:$D,0)-1+COUNTIF($E59:T59,"u")+COUNTIF($E59:T59,"t")+COUNTIF($E59:T59,"¶")+COUNTIF($E59:T59,"²")+COUNTIF($E59:T59,"µ")+COUNTIF($E59:T59,1),ColDescriptionCourte)),""),
  "")),"")</f>
        <v/>
      </c>
      <c r="V59" s="40" t="str">
        <f ca="1">IFERROR(IF(AND(
  INDEX(Roadmap!$D:$K,MATCH($E59,Roadmap!$D:$D,0)+COUNTIF($E59:U59,"u")+COUNTIF($E59:U59,"t")+COUNTIF($E59:U59,"¶")+COUNTIF($E59:U59,"²")+COUNTIF($E59:U59,"µ")+COUNTIF($E59:U59,1),ColLivraison)=V$6,
  VLOOKUP($E59,INDIRECT("tri!"&amp; CHAR(64+ C0Col) &amp;":"&amp; CHAR(65+C0Col)),2,FALSE)&gt;COUNTIF($E59:U59,"u")+COUNTIF($E59:U59,"t")+COUNTIF($E59:U59,"¶")+COUNTIF($E59:U59,"²")+COUNTIF($E59:U59,"µ")+COUNTIF($E59:U59,1)),
HYPERLINK("#Roadmap!C"&amp; MATCH($E59,Roadmap!$D:$D,0)+COUNTIF($E59:U59,"u")+COUNTIF($E59:U59,"t"),
     INDEX(Roadmap!$D:$K,MATCH($E59,Roadmap!$D:$D,0)+COUNTIF($E59:U59,"u")+COUNTIF($E59:U59,"t")+COUNTIF($E59:U59,"¶")+COUNTIF($E59:U59,"²")+COUNTIF($E59:U59,"µ")+COUNTIF($E59:U59,1),ColTypeEcheance)),
  IF(LEN(U59)=1,
  IF(LEN(INDEX(Roadmap!$D:$K,MATCH($E59,Roadmap!$D:$D,0)-1+COUNTIF($E59:U59,"u")+COUNTIF($E59:U59,"t")+COUNTIF($E59:U59,"¶")+COUNTIF($E59:U59,"²")+COUNTIF($E59:U59,"µ")+COUNTIF($E59:U59,1),ColDescriptionCourte))&gt;1,
HYPERLINK("#Roadmap!C"&amp; MATCH($E59,Roadmap!$D:$D,0)+COUNTIF($E59:U59,"u")+COUNTIF($E59:U59,"t")+COUNTIF($E59:U59,"¶")+COUNTIF($E59:U59,"²")+COUNTIF($E59:U59,"µ")+COUNTIF($E59:U59,1)-1,INDEX(Roadmap!$D:$K,MATCH($E59,Roadmap!$D:$D,0)-1+COUNTIF($E59:U59,"u")+COUNTIF($E59:U59,"t")+COUNTIF($E59:U59,"¶")+COUNTIF($E59:U59,"²")+COUNTIF($E59:U59,"µ")+COUNTIF($E59:U59,1),ColDescriptionCourte)),""),
  "")),"")</f>
        <v/>
      </c>
      <c r="W59" s="40" t="str">
        <f ca="1">IFERROR(IF(AND(
  INDEX(Roadmap!$D:$K,MATCH($E59,Roadmap!$D:$D,0)+COUNTIF($E59:V59,"u")+COUNTIF($E59:V59,"t")+COUNTIF($E59:V59,"¶")+COUNTIF($E59:V59,"²")+COUNTIF($E59:V59,"µ")+COUNTIF($E59:V59,1),ColLivraison)=W$6,
  VLOOKUP($E59,INDIRECT("tri!"&amp; CHAR(64+ C0Col) &amp;":"&amp; CHAR(65+C0Col)),2,FALSE)&gt;COUNTIF($E59:V59,"u")+COUNTIF($E59:V59,"t")+COUNTIF($E59:V59,"¶")+COUNTIF($E59:V59,"²")+COUNTIF($E59:V59,"µ")+COUNTIF($E59:V59,1)),
HYPERLINK("#Roadmap!C"&amp; MATCH($E59,Roadmap!$D:$D,0)+COUNTIF($E59:V59,"u")+COUNTIF($E59:V59,"t"),
     INDEX(Roadmap!$D:$K,MATCH($E59,Roadmap!$D:$D,0)+COUNTIF($E59:V59,"u")+COUNTIF($E59:V59,"t")+COUNTIF($E59:V59,"¶")+COUNTIF($E59:V59,"²")+COUNTIF($E59:V59,"µ")+COUNTIF($E59:V59,1),ColTypeEcheance)),
  IF(LEN(V59)=1,
  IF(LEN(INDEX(Roadmap!$D:$K,MATCH($E59,Roadmap!$D:$D,0)-1+COUNTIF($E59:V59,"u")+COUNTIF($E59:V59,"t")+COUNTIF($E59:V59,"¶")+COUNTIF($E59:V59,"²")+COUNTIF($E59:V59,"µ")+COUNTIF($E59:V59,1),ColDescriptionCourte))&gt;1,
HYPERLINK("#Roadmap!C"&amp; MATCH($E59,Roadmap!$D:$D,0)+COUNTIF($E59:V59,"u")+COUNTIF($E59:V59,"t")+COUNTIF($E59:V59,"¶")+COUNTIF($E59:V59,"²")+COUNTIF($E59:V59,"µ")+COUNTIF($E59:V59,1)-1,INDEX(Roadmap!$D:$K,MATCH($E59,Roadmap!$D:$D,0)-1+COUNTIF($E59:V59,"u")+COUNTIF($E59:V59,"t")+COUNTIF($E59:V59,"¶")+COUNTIF($E59:V59,"²")+COUNTIF($E59:V59,"µ")+COUNTIF($E59:V59,1),ColDescriptionCourte)),""),
  "")),"")</f>
        <v/>
      </c>
      <c r="X59" s="40" t="str">
        <f ca="1">IFERROR(IF(AND(
  INDEX(Roadmap!$D:$K,MATCH($E59,Roadmap!$D:$D,0)+COUNTIF($E59:W59,"u")+COUNTIF($E59:W59,"t")+COUNTIF($E59:W59,"¶")+COUNTIF($E59:W59,"²")+COUNTIF($E59:W59,"µ")+COUNTIF($E59:W59,1),ColLivraison)=X$6,
  VLOOKUP($E59,INDIRECT("tri!"&amp; CHAR(64+ C0Col) &amp;":"&amp; CHAR(65+C0Col)),2,FALSE)&gt;COUNTIF($E59:W59,"u")+COUNTIF($E59:W59,"t")+COUNTIF($E59:W59,"¶")+COUNTIF($E59:W59,"²")+COUNTIF($E59:W59,"µ")+COUNTIF($E59:W59,1)),
HYPERLINK("#Roadmap!C"&amp; MATCH($E59,Roadmap!$D:$D,0)+COUNTIF($E59:W59,"u")+COUNTIF($E59:W59,"t"),
     INDEX(Roadmap!$D:$K,MATCH($E59,Roadmap!$D:$D,0)+COUNTIF($E59:W59,"u")+COUNTIF($E59:W59,"t")+COUNTIF($E59:W59,"¶")+COUNTIF($E59:W59,"²")+COUNTIF($E59:W59,"µ")+COUNTIF($E59:W59,1),ColTypeEcheance)),
  IF(LEN(W59)=1,
  IF(LEN(INDEX(Roadmap!$D:$K,MATCH($E59,Roadmap!$D:$D,0)-1+COUNTIF($E59:W59,"u")+COUNTIF($E59:W59,"t")+COUNTIF($E59:W59,"¶")+COUNTIF($E59:W59,"²")+COUNTIF($E59:W59,"µ")+COUNTIF($E59:W59,1),ColDescriptionCourte))&gt;1,
HYPERLINK("#Roadmap!C"&amp; MATCH($E59,Roadmap!$D:$D,0)+COUNTIF($E59:W59,"u")+COUNTIF($E59:W59,"t")+COUNTIF($E59:W59,"¶")+COUNTIF($E59:W59,"²")+COUNTIF($E59:W59,"µ")+COUNTIF($E59:W59,1)-1,INDEX(Roadmap!$D:$K,MATCH($E59,Roadmap!$D:$D,0)-1+COUNTIF($E59:W59,"u")+COUNTIF($E59:W59,"t")+COUNTIF($E59:W59,"¶")+COUNTIF($E59:W59,"²")+COUNTIF($E59:W59,"µ")+COUNTIF($E59:W59,1),ColDescriptionCourte)),""),
  "")),"")</f>
        <v/>
      </c>
      <c r="Y59" s="40" t="str">
        <f ca="1">IFERROR(IF(AND(
  INDEX(Roadmap!$D:$K,MATCH($E59,Roadmap!$D:$D,0)+COUNTIF($E59:X59,"u")+COUNTIF($E59:X59,"t")+COUNTIF($E59:X59,"¶")+COUNTIF($E59:X59,"²")+COUNTIF($E59:X59,"µ")+COUNTIF($E59:X59,1),ColLivraison)=Y$6,
  VLOOKUP($E59,INDIRECT("tri!"&amp; CHAR(64+ C0Col) &amp;":"&amp; CHAR(65+C0Col)),2,FALSE)&gt;COUNTIF($E59:X59,"u")+COUNTIF($E59:X59,"t")+COUNTIF($E59:X59,"¶")+COUNTIF($E59:X59,"²")+COUNTIF($E59:X59,"µ")+COUNTIF($E59:X59,1)),
HYPERLINK("#Roadmap!C"&amp; MATCH($E59,Roadmap!$D:$D,0)+COUNTIF($E59:X59,"u")+COUNTIF($E59:X59,"t"),
     INDEX(Roadmap!$D:$K,MATCH($E59,Roadmap!$D:$D,0)+COUNTIF($E59:X59,"u")+COUNTIF($E59:X59,"t")+COUNTIF($E59:X59,"¶")+COUNTIF($E59:X59,"²")+COUNTIF($E59:X59,"µ")+COUNTIF($E59:X59,1),ColTypeEcheance)),
  IF(LEN(X59)=1,
  IF(LEN(INDEX(Roadmap!$D:$K,MATCH($E59,Roadmap!$D:$D,0)-1+COUNTIF($E59:X59,"u")+COUNTIF($E59:X59,"t")+COUNTIF($E59:X59,"¶")+COUNTIF($E59:X59,"²")+COUNTIF($E59:X59,"µ")+COUNTIF($E59:X59,1),ColDescriptionCourte))&gt;1,
HYPERLINK("#Roadmap!C"&amp; MATCH($E59,Roadmap!$D:$D,0)+COUNTIF($E59:X59,"u")+COUNTIF($E59:X59,"t")+COUNTIF($E59:X59,"¶")+COUNTIF($E59:X59,"²")+COUNTIF($E59:X59,"µ")+COUNTIF($E59:X59,1)-1,INDEX(Roadmap!$D:$K,MATCH($E59,Roadmap!$D:$D,0)-1+COUNTIF($E59:X59,"u")+COUNTIF($E59:X59,"t")+COUNTIF($E59:X59,"¶")+COUNTIF($E59:X59,"²")+COUNTIF($E59:X59,"µ")+COUNTIF($E59:X59,1),ColDescriptionCourte)),""),
  "")),"")</f>
        <v/>
      </c>
      <c r="Z59" s="40" t="str">
        <f ca="1">IFERROR(IF(AND(
  INDEX(Roadmap!$D:$K,MATCH($E59,Roadmap!$D:$D,0)+COUNTIF($E59:Y59,"u")+COUNTIF($E59:Y59,"t")+COUNTIF($E59:Y59,"¶")+COUNTIF($E59:Y59,"²")+COUNTIF($E59:Y59,"µ")+COUNTIF($E59:Y59,1),ColLivraison)=Z$6,
  VLOOKUP($E59,INDIRECT("tri!"&amp; CHAR(64+ C0Col) &amp;":"&amp; CHAR(65+C0Col)),2,FALSE)&gt;COUNTIF($E59:Y59,"u")+COUNTIF($E59:Y59,"t")+COUNTIF($E59:Y59,"¶")+COUNTIF($E59:Y59,"²")+COUNTIF($E59:Y59,"µ")+COUNTIF($E59:Y59,1)),
HYPERLINK("#Roadmap!C"&amp; MATCH($E59,Roadmap!$D:$D,0)+COUNTIF($E59:Y59,"u")+COUNTIF($E59:Y59,"t"),
     INDEX(Roadmap!$D:$K,MATCH($E59,Roadmap!$D:$D,0)+COUNTIF($E59:Y59,"u")+COUNTIF($E59:Y59,"t")+COUNTIF($E59:Y59,"¶")+COUNTIF($E59:Y59,"²")+COUNTIF($E59:Y59,"µ")+COUNTIF($E59:Y59,1),ColTypeEcheance)),
  IF(LEN(Y59)=1,
  IF(LEN(INDEX(Roadmap!$D:$K,MATCH($E59,Roadmap!$D:$D,0)-1+COUNTIF($E59:Y59,"u")+COUNTIF($E59:Y59,"t")+COUNTIF($E59:Y59,"¶")+COUNTIF($E59:Y59,"²")+COUNTIF($E59:Y59,"µ")+COUNTIF($E59:Y59,1),ColDescriptionCourte))&gt;1,
HYPERLINK("#Roadmap!C"&amp; MATCH($E59,Roadmap!$D:$D,0)+COUNTIF($E59:Y59,"u")+COUNTIF($E59:Y59,"t")+COUNTIF($E59:Y59,"¶")+COUNTIF($E59:Y59,"²")+COUNTIF($E59:Y59,"µ")+COUNTIF($E59:Y59,1)-1,INDEX(Roadmap!$D:$K,MATCH($E59,Roadmap!$D:$D,0)-1+COUNTIF($E59:Y59,"u")+COUNTIF($E59:Y59,"t")+COUNTIF($E59:Y59,"¶")+COUNTIF($E59:Y59,"²")+COUNTIF($E59:Y59,"µ")+COUNTIF($E59:Y59,1),ColDescriptionCourte)),""),
  "")),"")</f>
        <v/>
      </c>
      <c r="AA59" s="40" t="str">
        <f ca="1">IFERROR(IF(AND(
  INDEX(Roadmap!$D:$K,MATCH($E59,Roadmap!$D:$D,0)+COUNTIF($E59:Z59,"u")+COUNTIF($E59:Z59,"t")+COUNTIF($E59:Z59,"¶")+COUNTIF($E59:Z59,"²")+COUNTIF($E59:Z59,"µ")+COUNTIF($E59:Z59,1),ColLivraison)=AA$6,
  VLOOKUP($E59,INDIRECT("tri!"&amp; CHAR(64+ C0Col) &amp;":"&amp; CHAR(65+C0Col)),2,FALSE)&gt;COUNTIF($E59:Z59,"u")+COUNTIF($E59:Z59,"t")+COUNTIF($E59:Z59,"¶")+COUNTIF($E59:Z59,"²")+COUNTIF($E59:Z59,"µ")+COUNTIF($E59:Z59,1)),
HYPERLINK("#Roadmap!C"&amp; MATCH($E59,Roadmap!$D:$D,0)+COUNTIF($E59:Z59,"u")+COUNTIF($E59:Z59,"t"),
     INDEX(Roadmap!$D:$K,MATCH($E59,Roadmap!$D:$D,0)+COUNTIF($E59:Z59,"u")+COUNTIF($E59:Z59,"t")+COUNTIF($E59:Z59,"¶")+COUNTIF($E59:Z59,"²")+COUNTIF($E59:Z59,"µ")+COUNTIF($E59:Z59,1),ColTypeEcheance)),
  IF(LEN(Z59)=1,
  IF(LEN(INDEX(Roadmap!$D:$K,MATCH($E59,Roadmap!$D:$D,0)-1+COUNTIF($E59:Z59,"u")+COUNTIF($E59:Z59,"t")+COUNTIF($E59:Z59,"¶")+COUNTIF($E59:Z59,"²")+COUNTIF($E59:Z59,"µ")+COUNTIF($E59:Z59,1),ColDescriptionCourte))&gt;1,
HYPERLINK("#Roadmap!C"&amp; MATCH($E59,Roadmap!$D:$D,0)+COUNTIF($E59:Z59,"u")+COUNTIF($E59:Z59,"t")+COUNTIF($E59:Z59,"¶")+COUNTIF($E59:Z59,"²")+COUNTIF($E59:Z59,"µ")+COUNTIF($E59:Z59,1)-1,INDEX(Roadmap!$D:$K,MATCH($E59,Roadmap!$D:$D,0)-1+COUNTIF($E59:Z59,"u")+COUNTIF($E59:Z59,"t")+COUNTIF($E59:Z59,"¶")+COUNTIF($E59:Z59,"²")+COUNTIF($E59:Z59,"µ")+COUNTIF($E59:Z59,1),ColDescriptionCourte)),""),
  "")),"")</f>
        <v/>
      </c>
      <c r="AB59" s="40" t="str">
        <f ca="1">IFERROR(IF(AND(
  INDEX(Roadmap!$D:$K,MATCH($E59,Roadmap!$D:$D,0)+COUNTIF($E59:AA59,"u")+COUNTIF($E59:AA59,"t")+COUNTIF($E59:AA59,"¶")+COUNTIF($E59:AA59,"²")+COUNTIF($E59:AA59,"µ")+COUNTIF($E59:AA59,1),ColLivraison)=AB$6,
  VLOOKUP($E59,INDIRECT("tri!"&amp; CHAR(64+ C0Col) &amp;":"&amp; CHAR(65+C0Col)),2,FALSE)&gt;COUNTIF($E59:AA59,"u")+COUNTIF($E59:AA59,"t")+COUNTIF($E59:AA59,"¶")+COUNTIF($E59:AA59,"²")+COUNTIF($E59:AA59,"µ")+COUNTIF($E59:AA59,1)),
HYPERLINK("#Roadmap!C"&amp; MATCH($E59,Roadmap!$D:$D,0)+COUNTIF($E59:AA59,"u")+COUNTIF($E59:AA59,"t"),
     INDEX(Roadmap!$D:$K,MATCH($E59,Roadmap!$D:$D,0)+COUNTIF($E59:AA59,"u")+COUNTIF($E59:AA59,"t")+COUNTIF($E59:AA59,"¶")+COUNTIF($E59:AA59,"²")+COUNTIF($E59:AA59,"µ")+COUNTIF($E59:AA59,1),ColTypeEcheance)),
  IF(LEN(AA59)=1,
  IF(LEN(INDEX(Roadmap!$D:$K,MATCH($E59,Roadmap!$D:$D,0)-1+COUNTIF($E59:AA59,"u")+COUNTIF($E59:AA59,"t")+COUNTIF($E59:AA59,"¶")+COUNTIF($E59:AA59,"²")+COUNTIF($E59:AA59,"µ")+COUNTIF($E59:AA59,1),ColDescriptionCourte))&gt;1,
HYPERLINK("#Roadmap!C"&amp; MATCH($E59,Roadmap!$D:$D,0)+COUNTIF($E59:AA59,"u")+COUNTIF($E59:AA59,"t")+COUNTIF($E59:AA59,"¶")+COUNTIF($E59:AA59,"²")+COUNTIF($E59:AA59,"µ")+COUNTIF($E59:AA59,1)-1,INDEX(Roadmap!$D:$K,MATCH($E59,Roadmap!$D:$D,0)-1+COUNTIF($E59:AA59,"u")+COUNTIF($E59:AA59,"t")+COUNTIF($E59:AA59,"¶")+COUNTIF($E59:AA59,"²")+COUNTIF($E59:AA59,"µ")+COUNTIF($E59:AA59,1),ColDescriptionCourte)),""),
  "")),"")</f>
        <v/>
      </c>
      <c r="AC59" s="40" t="str">
        <f ca="1">IFERROR(IF(AND(
  INDEX(Roadmap!$D:$K,MATCH($E59,Roadmap!$D:$D,0)+COUNTIF($E59:AB59,"u")+COUNTIF($E59:AB59,"t")+COUNTIF($E59:AB59,"¶")+COUNTIF($E59:AB59,"²")+COUNTIF($E59:AB59,"µ")+COUNTIF($E59:AB59,1),ColLivraison)=AC$6,
  VLOOKUP($E59,INDIRECT("tri!"&amp; CHAR(64+ C0Col) &amp;":"&amp; CHAR(65+C0Col)),2,FALSE)&gt;COUNTIF($E59:AB59,"u")+COUNTIF($E59:AB59,"t")+COUNTIF($E59:AB59,"¶")+COUNTIF($E59:AB59,"²")+COUNTIF($E59:AB59,"µ")+COUNTIF($E59:AB59,1)),
HYPERLINK("#Roadmap!C"&amp; MATCH($E59,Roadmap!$D:$D,0)+COUNTIF($E59:AB59,"u")+COUNTIF($E59:AB59,"t"),
     INDEX(Roadmap!$D:$K,MATCH($E59,Roadmap!$D:$D,0)+COUNTIF($E59:AB59,"u")+COUNTIF($E59:AB59,"t")+COUNTIF($E59:AB59,"¶")+COUNTIF($E59:AB59,"²")+COUNTIF($E59:AB59,"µ")+COUNTIF($E59:AB59,1),ColTypeEcheance)),
  IF(LEN(AB59)=1,
  IF(LEN(INDEX(Roadmap!$D:$K,MATCH($E59,Roadmap!$D:$D,0)-1+COUNTIF($E59:AB59,"u")+COUNTIF($E59:AB59,"t")+COUNTIF($E59:AB59,"¶")+COUNTIF($E59:AB59,"²")+COUNTIF($E59:AB59,"µ")+COUNTIF($E59:AB59,1),ColDescriptionCourte))&gt;1,
HYPERLINK("#Roadmap!C"&amp; MATCH($E59,Roadmap!$D:$D,0)+COUNTIF($E59:AB59,"u")+COUNTIF($E59:AB59,"t")+COUNTIF($E59:AB59,"¶")+COUNTIF($E59:AB59,"²")+COUNTIF($E59:AB59,"µ")+COUNTIF($E59:AB59,1)-1,INDEX(Roadmap!$D:$K,MATCH($E59,Roadmap!$D:$D,0)-1+COUNTIF($E59:AB59,"u")+COUNTIF($E59:AB59,"t")+COUNTIF($E59:AB59,"¶")+COUNTIF($E59:AB59,"²")+COUNTIF($E59:AB59,"µ")+COUNTIF($E59:AB59,1),ColDescriptionCourte)),""),
  "")),"")</f>
        <v/>
      </c>
      <c r="AD59" s="40" t="str">
        <f ca="1">IFERROR(IF(AND(
  INDEX(Roadmap!$D:$K,MATCH($E59,Roadmap!$D:$D,0)+COUNTIF($E59:AC59,"u")+COUNTIF($E59:AC59,"t")+COUNTIF($E59:AC59,"¶")+COUNTIF($E59:AC59,"²")+COUNTIF($E59:AC59,"µ")+COUNTIF($E59:AC59,1),ColLivraison)=AD$6,
  VLOOKUP($E59,INDIRECT("tri!"&amp; CHAR(64+ C0Col) &amp;":"&amp; CHAR(65+C0Col)),2,FALSE)&gt;COUNTIF($E59:AC59,"u")+COUNTIF($E59:AC59,"t")+COUNTIF($E59:AC59,"¶")+COUNTIF($E59:AC59,"²")+COUNTIF($E59:AC59,"µ")+COUNTIF($E59:AC59,1)),
HYPERLINK("#Roadmap!C"&amp; MATCH($E59,Roadmap!$D:$D,0)+COUNTIF($E59:AC59,"u")+COUNTIF($E59:AC59,"t"),
     INDEX(Roadmap!$D:$K,MATCH($E59,Roadmap!$D:$D,0)+COUNTIF($E59:AC59,"u")+COUNTIF($E59:AC59,"t")+COUNTIF($E59:AC59,"¶")+COUNTIF($E59:AC59,"²")+COUNTIF($E59:AC59,"µ")+COUNTIF($E59:AC59,1),ColTypeEcheance)),
  IF(LEN(AC59)=1,
  IF(LEN(INDEX(Roadmap!$D:$K,MATCH($E59,Roadmap!$D:$D,0)-1+COUNTIF($E59:AC59,"u")+COUNTIF($E59:AC59,"t")+COUNTIF($E59:AC59,"¶")+COUNTIF($E59:AC59,"²")+COUNTIF($E59:AC59,"µ")+COUNTIF($E59:AC59,1),ColDescriptionCourte))&gt;1,
HYPERLINK("#Roadmap!C"&amp; MATCH($E59,Roadmap!$D:$D,0)+COUNTIF($E59:AC59,"u")+COUNTIF($E59:AC59,"t")+COUNTIF($E59:AC59,"¶")+COUNTIF($E59:AC59,"²")+COUNTIF($E59:AC59,"µ")+COUNTIF($E59:AC59,1)-1,INDEX(Roadmap!$D:$K,MATCH($E59,Roadmap!$D:$D,0)-1+COUNTIF($E59:AC59,"u")+COUNTIF($E59:AC59,"t")+COUNTIF($E59:AC59,"¶")+COUNTIF($E59:AC59,"²")+COUNTIF($E59:AC59,"µ")+COUNTIF($E59:AC59,1),ColDescriptionCourte)),""),
  "")),"")</f>
        <v/>
      </c>
      <c r="AE59" s="40" t="str">
        <f ca="1">IFERROR(IF(AND(
  INDEX(Roadmap!$D:$K,MATCH($E59,Roadmap!$D:$D,0)+COUNTIF($E59:AD59,"u")+COUNTIF($E59:AD59,"t")+COUNTIF($E59:AD59,"¶")+COUNTIF($E59:AD59,"²")+COUNTIF($E59:AD59,"µ")+COUNTIF($E59:AD59,1),ColLivraison)=AE$6,
  VLOOKUP($E59,INDIRECT("tri!"&amp; CHAR(64+ C0Col) &amp;":"&amp; CHAR(65+C0Col)),2,FALSE)&gt;COUNTIF($E59:AD59,"u")+COUNTIF($E59:AD59,"t")+COUNTIF($E59:AD59,"¶")+COUNTIF($E59:AD59,"²")+COUNTIF($E59:AD59,"µ")+COUNTIF($E59:AD59,1)),
HYPERLINK("#Roadmap!C"&amp; MATCH($E59,Roadmap!$D:$D,0)+COUNTIF($E59:AD59,"u")+COUNTIF($E59:AD59,"t"),
     INDEX(Roadmap!$D:$K,MATCH($E59,Roadmap!$D:$D,0)+COUNTIF($E59:AD59,"u")+COUNTIF($E59:AD59,"t")+COUNTIF($E59:AD59,"¶")+COUNTIF($E59:AD59,"²")+COUNTIF($E59:AD59,"µ")+COUNTIF($E59:AD59,1),ColTypeEcheance)),
  IF(LEN(AD59)=1,
  IF(LEN(INDEX(Roadmap!$D:$K,MATCH($E59,Roadmap!$D:$D,0)-1+COUNTIF($E59:AD59,"u")+COUNTIF($E59:AD59,"t")+COUNTIF($E59:AD59,"¶")+COUNTIF($E59:AD59,"²")+COUNTIF($E59:AD59,"µ")+COUNTIF($E59:AD59,1),ColDescriptionCourte))&gt;1,
HYPERLINK("#Roadmap!C"&amp; MATCH($E59,Roadmap!$D:$D,0)+COUNTIF($E59:AD59,"u")+COUNTIF($E59:AD59,"t")+COUNTIF($E59:AD59,"¶")+COUNTIF($E59:AD59,"²")+COUNTIF($E59:AD59,"µ")+COUNTIF($E59:AD59,1)-1,INDEX(Roadmap!$D:$K,MATCH($E59,Roadmap!$D:$D,0)-1+COUNTIF($E59:AD59,"u")+COUNTIF($E59:AD59,"t")+COUNTIF($E59:AD59,"¶")+COUNTIF($E59:AD59,"²")+COUNTIF($E59:AD59,"µ")+COUNTIF($E59:AD59,1),ColDescriptionCourte)),""),
  "")),"")</f>
        <v/>
      </c>
      <c r="AF59" s="40" t="str">
        <f ca="1">IFERROR(IF(AND(
  INDEX(Roadmap!$D:$K,MATCH($E59,Roadmap!$D:$D,0)+COUNTIF($E59:AE59,"u")+COUNTIF($E59:AE59,"t")+COUNTIF($E59:AE59,"¶")+COUNTIF($E59:AE59,"²")+COUNTIF($E59:AE59,"µ")+COUNTIF($E59:AE59,1),ColLivraison)=AF$6,
  VLOOKUP($E59,INDIRECT("tri!"&amp; CHAR(64+ C0Col) &amp;":"&amp; CHAR(65+C0Col)),2,FALSE)&gt;COUNTIF($E59:AE59,"u")+COUNTIF($E59:AE59,"t")+COUNTIF($E59:AE59,"¶")+COUNTIF($E59:AE59,"²")+COUNTIF($E59:AE59,"µ")+COUNTIF($E59:AE59,1)),
HYPERLINK("#Roadmap!C"&amp; MATCH($E59,Roadmap!$D:$D,0)+COUNTIF($E59:AE59,"u")+COUNTIF($E59:AE59,"t"),
     INDEX(Roadmap!$D:$K,MATCH($E59,Roadmap!$D:$D,0)+COUNTIF($E59:AE59,"u")+COUNTIF($E59:AE59,"t")+COUNTIF($E59:AE59,"¶")+COUNTIF($E59:AE59,"²")+COUNTIF($E59:AE59,"µ")+COUNTIF($E59:AE59,1),ColTypeEcheance)),
  IF(LEN(AE59)=1,
  IF(LEN(INDEX(Roadmap!$D:$K,MATCH($E59,Roadmap!$D:$D,0)-1+COUNTIF($E59:AE59,"u")+COUNTIF($E59:AE59,"t")+COUNTIF($E59:AE59,"¶")+COUNTIF($E59:AE59,"²")+COUNTIF($E59:AE59,"µ")+COUNTIF($E59:AE59,1),ColDescriptionCourte))&gt;1,
HYPERLINK("#Roadmap!C"&amp; MATCH($E59,Roadmap!$D:$D,0)+COUNTIF($E59:AE59,"u")+COUNTIF($E59:AE59,"t")+COUNTIF($E59:AE59,"¶")+COUNTIF($E59:AE59,"²")+COUNTIF($E59:AE59,"µ")+COUNTIF($E59:AE59,1)-1,INDEX(Roadmap!$D:$K,MATCH($E59,Roadmap!$D:$D,0)-1+COUNTIF($E59:AE59,"u")+COUNTIF($E59:AE59,"t")+COUNTIF($E59:AE59,"¶")+COUNTIF($E59:AE59,"²")+COUNTIF($E59:AE59,"µ")+COUNTIF($E59:AE59,1),ColDescriptionCourte)),""),
  "")),"")</f>
        <v/>
      </c>
      <c r="AG59" s="40" t="str">
        <f ca="1">IFERROR(IF(AND(
  INDEX(Roadmap!$D:$K,MATCH($E59,Roadmap!$D:$D,0)+COUNTIF($E59:AF59,"u")+COUNTIF($E59:AF59,"t")+COUNTIF($E59:AF59,"¶")+COUNTIF($E59:AF59,"²")+COUNTIF($E59:AF59,"µ")+COUNTIF($E59:AF59,1),ColLivraison)=AG$6,
  VLOOKUP($E59,INDIRECT("tri!"&amp; CHAR(64+ C0Col) &amp;":"&amp; CHAR(65+C0Col)),2,FALSE)&gt;COUNTIF($E59:AF59,"u")+COUNTIF($E59:AF59,"t")+COUNTIF($E59:AF59,"¶")+COUNTIF($E59:AF59,"²")+COUNTIF($E59:AF59,"µ")+COUNTIF($E59:AF59,1)),
HYPERLINK("#Roadmap!C"&amp; MATCH($E59,Roadmap!$D:$D,0)+COUNTIF($E59:AF59,"u")+COUNTIF($E59:AF59,"t"),
     INDEX(Roadmap!$D:$K,MATCH($E59,Roadmap!$D:$D,0)+COUNTIF($E59:AF59,"u")+COUNTIF($E59:AF59,"t")+COUNTIF($E59:AF59,"¶")+COUNTIF($E59:AF59,"²")+COUNTIF($E59:AF59,"µ")+COUNTIF($E59:AF59,1),ColTypeEcheance)),
  IF(LEN(AF59)=1,
  IF(LEN(INDEX(Roadmap!$D:$K,MATCH($E59,Roadmap!$D:$D,0)-1+COUNTIF($E59:AF59,"u")+COUNTIF($E59:AF59,"t")+COUNTIF($E59:AF59,"¶")+COUNTIF($E59:AF59,"²")+COUNTIF($E59:AF59,"µ")+COUNTIF($E59:AF59,1),ColDescriptionCourte))&gt;1,
HYPERLINK("#Roadmap!C"&amp; MATCH($E59,Roadmap!$D:$D,0)+COUNTIF($E59:AF59,"u")+COUNTIF($E59:AF59,"t")+COUNTIF($E59:AF59,"¶")+COUNTIF($E59:AF59,"²")+COUNTIF($E59:AF59,"µ")+COUNTIF($E59:AF59,1)-1,INDEX(Roadmap!$D:$K,MATCH($E59,Roadmap!$D:$D,0)-1+COUNTIF($E59:AF59,"u")+COUNTIF($E59:AF59,"t")+COUNTIF($E59:AF59,"¶")+COUNTIF($E59:AF59,"²")+COUNTIF($E59:AF59,"µ")+COUNTIF($E59:AF59,1),ColDescriptionCourte)),""),
  "")),"")</f>
        <v/>
      </c>
    </row>
    <row r="60" spans="3:33" ht="14.25" customHeight="1">
      <c r="C60" s="1" t="str">
        <f t="shared" ca="1" si="44"/>
        <v/>
      </c>
      <c r="D60" s="1" t="str">
        <f t="shared" ca="1" si="45"/>
        <v/>
      </c>
      <c r="E60" s="35" t="str">
        <f t="shared" ca="1" si="33"/>
        <v/>
      </c>
      <c r="F60" s="39" t="str">
        <f ca="1">IFERROR(IF(AND(
  INDEX(Roadmap!$D:$K,MATCH($E60,Roadmap!$D:$D,0)+COUNTIF($E60:E60,"u")+COUNTIF($E60:E60,"t")+COUNTIF($E60:E60,"¶")+COUNTIF($E60:E60,"²")+COUNTIF($E60:E60,"µ")+COUNTIF($E60:E60,1),ColLivraison)=F$6,
  VLOOKUP($E60,INDIRECT("tri!"&amp; CHAR(64+ C0Col) &amp;":"&amp; CHAR(65+C0Col)),2,FALSE)&gt;COUNTIF($E60:E60,"u")+COUNTIF($E60:E60,"t")+COUNTIF($E60:E60,"¶")+COUNTIF($E60:E60,"²")+COUNTIF($E60:E60,"µ")+COUNTIF($E60:E60,1)),
HYPERLINK("#Roadmap!C"&amp; MATCH($E60,Roadmap!$D:$D,0)+COUNTIF($E60:E60,"u")+COUNTIF($E60:E60,"t"),
     INDEX(Roadmap!$D:$K,MATCH($E60,Roadmap!$D:$D,0)+COUNTIF($E60:E60,"u")+COUNTIF($E60:E60,"t")+COUNTIF($E60:E60,"¶")+COUNTIF($E60:E60,"²")+COUNTIF($E60:E60,"µ")+COUNTIF($E60:E60,1),ColTypeEcheance)),
  IF(LEN(E60)=1,
  IF(LEN(INDEX(Roadmap!$D:$K,MATCH($E60,Roadmap!$D:$D,0)-1+COUNTIF($E60:E60,"u")+COUNTIF($E60:E60,"t")+COUNTIF($E60:E60,"¶")+COUNTIF($E60:E60,"²")+COUNTIF($E60:E60,"µ")+COUNTIF($E60:E60,1),ColDescriptionCourte))&gt;1,
HYPERLINK("#Roadmap!C"&amp; MATCH($E60,Roadmap!$D:$D,0)+COUNTIF($E60:E60,"u")+COUNTIF($E60:E60,"t")+COUNTIF($E60:E60,"¶")+COUNTIF($E60:E60,"²")+COUNTIF($E60:E60,"µ")+COUNTIF($E60:E60,1)-1,INDEX(Roadmap!$D:$K,MATCH($E60,Roadmap!$D:$D,0)-1+COUNTIF($E60:E60,"u")+COUNTIF($E60:E60,"t")+COUNTIF($E60:E60,"¶")+COUNTIF($E60:E60,"²")+COUNTIF($E60:E60,"µ")+COUNTIF($E60:E60,1),ColDescriptionCourte)),""),
  "")),"")</f>
        <v/>
      </c>
      <c r="G60" s="40" t="str">
        <f ca="1">IFERROR(IF(AND(
  INDEX(Roadmap!$D:$K,MATCH($E60,Roadmap!$D:$D,0)+COUNTIF($E60:F60,"u")+COUNTIF($E60:F60,"t")+COUNTIF($E60:F60,"¶")+COUNTIF($E60:F60,"²")+COUNTIF($E60:F60,"µ")+COUNTIF($E60:F60,1),ColLivraison)=G$6,
  VLOOKUP($E60,INDIRECT("tri!"&amp; CHAR(64+ C0Col) &amp;":"&amp; CHAR(65+C0Col)),2,FALSE)&gt;COUNTIF($E60:F60,"u")+COUNTIF($E60:F60,"t")+COUNTIF($E60:F60,"¶")+COUNTIF($E60:F60,"²")+COUNTIF($E60:F60,"µ")+COUNTIF($E60:F60,1)),
HYPERLINK("#Roadmap!C"&amp; MATCH($E60,Roadmap!$D:$D,0)+COUNTIF($E60:F60,"u")+COUNTIF($E60:F60,"t"),
     INDEX(Roadmap!$D:$K,MATCH($E60,Roadmap!$D:$D,0)+COUNTIF($E60:F60,"u")+COUNTIF($E60:F60,"t")+COUNTIF($E60:F60,"¶")+COUNTIF($E60:F60,"²")+COUNTIF($E60:F60,"µ")+COUNTIF($E60:F60,1),ColTypeEcheance)),
  IF(LEN(F60)=1,
  IF(LEN(INDEX(Roadmap!$D:$K,MATCH($E60,Roadmap!$D:$D,0)-1+COUNTIF($E60:F60,"u")+COUNTIF($E60:F60,"t")+COUNTIF($E60:F60,"¶")+COUNTIF($E60:F60,"²")+COUNTIF($E60:F60,"µ")+COUNTIF($E60:F60,1),ColDescriptionCourte))&gt;1,
HYPERLINK("#Roadmap!C"&amp; MATCH($E60,Roadmap!$D:$D,0)+COUNTIF($E60:F60,"u")+COUNTIF($E60:F60,"t")+COUNTIF($E60:F60,"¶")+COUNTIF($E60:F60,"²")+COUNTIF($E60:F60,"µ")+COUNTIF($E60:F60,1)-1,INDEX(Roadmap!$D:$K,MATCH($E60,Roadmap!$D:$D,0)-1+COUNTIF($E60:F60,"u")+COUNTIF($E60:F60,"t")+COUNTIF($E60:F60,"¶")+COUNTIF($E60:F60,"²")+COUNTIF($E60:F60,"µ")+COUNTIF($E60:F60,1),ColDescriptionCourte)),""),
  "")),"")</f>
        <v/>
      </c>
      <c r="H60" s="40" t="str">
        <f ca="1">IFERROR(IF(AND(
  INDEX(Roadmap!$D:$K,MATCH($E60,Roadmap!$D:$D,0)+COUNTIF($E60:G60,"u")+COUNTIF($E60:G60,"t")+COUNTIF($E60:G60,"¶")+COUNTIF($E60:G60,"²")+COUNTIF($E60:G60,"µ")+COUNTIF($E60:G60,1),ColLivraison)=H$6,
  VLOOKUP($E60,INDIRECT("tri!"&amp; CHAR(64+ C0Col) &amp;":"&amp; CHAR(65+C0Col)),2,FALSE)&gt;COUNTIF($E60:G60,"u")+COUNTIF($E60:G60,"t")+COUNTIF($E60:G60,"¶")+COUNTIF($E60:G60,"²")+COUNTIF($E60:G60,"µ")+COUNTIF($E60:G60,1)),
HYPERLINK("#Roadmap!C"&amp; MATCH($E60,Roadmap!$D:$D,0)+COUNTIF($E60:G60,"u")+COUNTIF($E60:G60,"t"),
     INDEX(Roadmap!$D:$K,MATCH($E60,Roadmap!$D:$D,0)+COUNTIF($E60:G60,"u")+COUNTIF($E60:G60,"t")+COUNTIF($E60:G60,"¶")+COUNTIF($E60:G60,"²")+COUNTIF($E60:G60,"µ")+COUNTIF($E60:G60,1),ColTypeEcheance)),
  IF(LEN(G60)=1,
  IF(LEN(INDEX(Roadmap!$D:$K,MATCH($E60,Roadmap!$D:$D,0)-1+COUNTIF($E60:G60,"u")+COUNTIF($E60:G60,"t")+COUNTIF($E60:G60,"¶")+COUNTIF($E60:G60,"²")+COUNTIF($E60:G60,"µ")+COUNTIF($E60:G60,1),ColDescriptionCourte))&gt;1,
HYPERLINK("#Roadmap!C"&amp; MATCH($E60,Roadmap!$D:$D,0)+COUNTIF($E60:G60,"u")+COUNTIF($E60:G60,"t")+COUNTIF($E60:G60,"¶")+COUNTIF($E60:G60,"²")+COUNTIF($E60:G60,"µ")+COUNTIF($E60:G60,1)-1,INDEX(Roadmap!$D:$K,MATCH($E60,Roadmap!$D:$D,0)-1+COUNTIF($E60:G60,"u")+COUNTIF($E60:G60,"t")+COUNTIF($E60:G60,"¶")+COUNTIF($E60:G60,"²")+COUNTIF($E60:G60,"µ")+COUNTIF($E60:G60,1),ColDescriptionCourte)),""),
  "")),"")</f>
        <v/>
      </c>
      <c r="I60" s="40" t="str">
        <f ca="1">IFERROR(IF(AND(
  INDEX(Roadmap!$D:$K,MATCH($E60,Roadmap!$D:$D,0)+COUNTIF($E60:H60,"u")+COUNTIF($E60:H60,"t")+COUNTIF($E60:H60,"¶")+COUNTIF($E60:H60,"²")+COUNTIF($E60:H60,"µ")+COUNTIF($E60:H60,1),ColLivraison)=I$6,
  VLOOKUP($E60,INDIRECT("tri!"&amp; CHAR(64+ C0Col) &amp;":"&amp; CHAR(65+C0Col)),2,FALSE)&gt;COUNTIF($E60:H60,"u")+COUNTIF($E60:H60,"t")+COUNTIF($E60:H60,"¶")+COUNTIF($E60:H60,"²")+COUNTIF($E60:H60,"µ")+COUNTIF($E60:H60,1)),
HYPERLINK("#Roadmap!C"&amp; MATCH($E60,Roadmap!$D:$D,0)+COUNTIF($E60:H60,"u")+COUNTIF($E60:H60,"t"),
     INDEX(Roadmap!$D:$K,MATCH($E60,Roadmap!$D:$D,0)+COUNTIF($E60:H60,"u")+COUNTIF($E60:H60,"t")+COUNTIF($E60:H60,"¶")+COUNTIF($E60:H60,"²")+COUNTIF($E60:H60,"µ")+COUNTIF($E60:H60,1),ColTypeEcheance)),
  IF(LEN(H60)=1,
  IF(LEN(INDEX(Roadmap!$D:$K,MATCH($E60,Roadmap!$D:$D,0)-1+COUNTIF($E60:H60,"u")+COUNTIF($E60:H60,"t")+COUNTIF($E60:H60,"¶")+COUNTIF($E60:H60,"²")+COUNTIF($E60:H60,"µ")+COUNTIF($E60:H60,1),ColDescriptionCourte))&gt;1,
HYPERLINK("#Roadmap!C"&amp; MATCH($E60,Roadmap!$D:$D,0)+COUNTIF($E60:H60,"u")+COUNTIF($E60:H60,"t")+COUNTIF($E60:H60,"¶")+COUNTIF($E60:H60,"²")+COUNTIF($E60:H60,"µ")+COUNTIF($E60:H60,1)-1,INDEX(Roadmap!$D:$K,MATCH($E60,Roadmap!$D:$D,0)-1+COUNTIF($E60:H60,"u")+COUNTIF($E60:H60,"t")+COUNTIF($E60:H60,"¶")+COUNTIF($E60:H60,"²")+COUNTIF($E60:H60,"µ")+COUNTIF($E60:H60,1),ColDescriptionCourte)),""),
  "")),"")</f>
        <v/>
      </c>
      <c r="J60" s="40" t="str">
        <f ca="1">IFERROR(IF(AND(
  INDEX(Roadmap!$D:$K,MATCH($E60,Roadmap!$D:$D,0)+COUNTIF($E60:I60,"u")+COUNTIF($E60:I60,"t")+COUNTIF($E60:I60,"¶")+COUNTIF($E60:I60,"²")+COUNTIF($E60:I60,"µ")+COUNTIF($E60:I60,1),ColLivraison)=J$6,
  VLOOKUP($E60,INDIRECT("tri!"&amp; CHAR(64+ C0Col) &amp;":"&amp; CHAR(65+C0Col)),2,FALSE)&gt;COUNTIF($E60:I60,"u")+COUNTIF($E60:I60,"t")+COUNTIF($E60:I60,"¶")+COUNTIF($E60:I60,"²")+COUNTIF($E60:I60,"µ")+COUNTIF($E60:I60,1)),
HYPERLINK("#Roadmap!C"&amp; MATCH($E60,Roadmap!$D:$D,0)+COUNTIF($E60:I60,"u")+COUNTIF($E60:I60,"t"),
     INDEX(Roadmap!$D:$K,MATCH($E60,Roadmap!$D:$D,0)+COUNTIF($E60:I60,"u")+COUNTIF($E60:I60,"t")+COUNTIF($E60:I60,"¶")+COUNTIF($E60:I60,"²")+COUNTIF($E60:I60,"µ")+COUNTIF($E60:I60,1),ColTypeEcheance)),
  IF(LEN(I60)=1,
  IF(LEN(INDEX(Roadmap!$D:$K,MATCH($E60,Roadmap!$D:$D,0)-1+COUNTIF($E60:I60,"u")+COUNTIF($E60:I60,"t")+COUNTIF($E60:I60,"¶")+COUNTIF($E60:I60,"²")+COUNTIF($E60:I60,"µ")+COUNTIF($E60:I60,1),ColDescriptionCourte))&gt;1,
HYPERLINK("#Roadmap!C"&amp; MATCH($E60,Roadmap!$D:$D,0)+COUNTIF($E60:I60,"u")+COUNTIF($E60:I60,"t")+COUNTIF($E60:I60,"¶")+COUNTIF($E60:I60,"²")+COUNTIF($E60:I60,"µ")+COUNTIF($E60:I60,1)-1,INDEX(Roadmap!$D:$K,MATCH($E60,Roadmap!$D:$D,0)-1+COUNTIF($E60:I60,"u")+COUNTIF($E60:I60,"t")+COUNTIF($E60:I60,"¶")+COUNTIF($E60:I60,"²")+COUNTIF($E60:I60,"µ")+COUNTIF($E60:I60,1),ColDescriptionCourte)),""),
  "")),"")</f>
        <v/>
      </c>
      <c r="K60" s="40" t="str">
        <f ca="1">IFERROR(IF(AND(
  INDEX(Roadmap!$D:$K,MATCH($E60,Roadmap!$D:$D,0)+COUNTIF($E60:J60,"u")+COUNTIF($E60:J60,"t")+COUNTIF($E60:J60,"¶")+COUNTIF($E60:J60,"²")+COUNTIF($E60:J60,"µ")+COUNTIF($E60:J60,1),ColLivraison)=K$6,
  VLOOKUP($E60,INDIRECT("tri!"&amp; CHAR(64+ C0Col) &amp;":"&amp; CHAR(65+C0Col)),2,FALSE)&gt;COUNTIF($E60:J60,"u")+COUNTIF($E60:J60,"t")+COUNTIF($E60:J60,"¶")+COUNTIF($E60:J60,"²")+COUNTIF($E60:J60,"µ")+COUNTIF($E60:J60,1)),
HYPERLINK("#Roadmap!C"&amp; MATCH($E60,Roadmap!$D:$D,0)+COUNTIF($E60:J60,"u")+COUNTIF($E60:J60,"t"),
     INDEX(Roadmap!$D:$K,MATCH($E60,Roadmap!$D:$D,0)+COUNTIF($E60:J60,"u")+COUNTIF($E60:J60,"t")+COUNTIF($E60:J60,"¶")+COUNTIF($E60:J60,"²")+COUNTIF($E60:J60,"µ")+COUNTIF($E60:J60,1),ColTypeEcheance)),
  IF(LEN(J60)=1,
  IF(LEN(INDEX(Roadmap!$D:$K,MATCH($E60,Roadmap!$D:$D,0)-1+COUNTIF($E60:J60,"u")+COUNTIF($E60:J60,"t")+COUNTIF($E60:J60,"¶")+COUNTIF($E60:J60,"²")+COUNTIF($E60:J60,"µ")+COUNTIF($E60:J60,1),ColDescriptionCourte))&gt;1,
HYPERLINK("#Roadmap!C"&amp; MATCH($E60,Roadmap!$D:$D,0)+COUNTIF($E60:J60,"u")+COUNTIF($E60:J60,"t")+COUNTIF($E60:J60,"¶")+COUNTIF($E60:J60,"²")+COUNTIF($E60:J60,"µ")+COUNTIF($E60:J60,1)-1,INDEX(Roadmap!$D:$K,MATCH($E60,Roadmap!$D:$D,0)-1+COUNTIF($E60:J60,"u")+COUNTIF($E60:J60,"t")+COUNTIF($E60:J60,"¶")+COUNTIF($E60:J60,"²")+COUNTIF($E60:J60,"µ")+COUNTIF($E60:J60,1),ColDescriptionCourte)),""),
  "")),"")</f>
        <v/>
      </c>
      <c r="L60" s="39" t="str">
        <f ca="1">IFERROR(IF(AND(
  INDEX(Roadmap!$D:$K,MATCH($E60,Roadmap!$D:$D,0)+COUNTIF($E60:K60,"u")+COUNTIF($E60:K60,"t")+COUNTIF($E60:K60,"¶")+COUNTIF($E60:K60,"²")+COUNTIF($E60:K60,"µ")+COUNTIF($E60:K60,1),ColLivraison)=L$6,
  VLOOKUP($E60,INDIRECT("tri!"&amp; CHAR(64+ C0Col) &amp;":"&amp; CHAR(65+C0Col)),2,FALSE)&gt;COUNTIF($E60:K60,"u")+COUNTIF($E60:K60,"t")+COUNTIF($E60:K60,"¶")+COUNTIF($E60:K60,"²")+COUNTIF($E60:K60,"µ")+COUNTIF($E60:K60,1)),
HYPERLINK("#Roadmap!C"&amp; MATCH($E60,Roadmap!$D:$D,0)+COUNTIF($E60:K60,"u")+COUNTIF($E60:K60,"t"),
     INDEX(Roadmap!$D:$K,MATCH($E60,Roadmap!$D:$D,0)+COUNTIF($E60:K60,"u")+COUNTIF($E60:K60,"t")+COUNTIF($E60:K60,"¶")+COUNTIF($E60:K60,"²")+COUNTIF($E60:K60,"µ")+COUNTIF($E60:K60,1),ColTypeEcheance)),
  IF(LEN(K60)=1,
  IF(LEN(INDEX(Roadmap!$D:$K,MATCH($E60,Roadmap!$D:$D,0)-1+COUNTIF($E60:K60,"u")+COUNTIF($E60:K60,"t")+COUNTIF($E60:K60,"¶")+COUNTIF($E60:K60,"²")+COUNTIF($E60:K60,"µ")+COUNTIF($E60:K60,1),ColDescriptionCourte))&gt;1,
HYPERLINK("#Roadmap!C"&amp; MATCH($E60,Roadmap!$D:$D,0)+COUNTIF($E60:K60,"u")+COUNTIF($E60:K60,"t")+COUNTIF($E60:K60,"¶")+COUNTIF($E60:K60,"²")+COUNTIF($E60:K60,"µ")+COUNTIF($E60:K60,1)-1,INDEX(Roadmap!$D:$K,MATCH($E60,Roadmap!$D:$D,0)-1+COUNTIF($E60:K60,"u")+COUNTIF($E60:K60,"t")+COUNTIF($E60:K60,"¶")+COUNTIF($E60:K60,"²")+COUNTIF($E60:K60,"µ")+COUNTIF($E60:K60,1),ColDescriptionCourte)),""),
  "")),"")</f>
        <v/>
      </c>
      <c r="M60" s="40" t="str">
        <f ca="1">IFERROR(IF(AND(
  INDEX(Roadmap!$D:$K,MATCH($E60,Roadmap!$D:$D,0)+COUNTIF($E60:L60,"u")+COUNTIF($E60:L60,"t")+COUNTIF($E60:L60,"¶")+COUNTIF($E60:L60,"²")+COUNTIF($E60:L60,"µ")+COUNTIF($E60:L60,1),ColLivraison)=M$6,
  VLOOKUP($E60,INDIRECT("tri!"&amp; CHAR(64+ C0Col) &amp;":"&amp; CHAR(65+C0Col)),2,FALSE)&gt;COUNTIF($E60:L60,"u")+COUNTIF($E60:L60,"t")+COUNTIF($E60:L60,"¶")+COUNTIF($E60:L60,"²")+COUNTIF($E60:L60,"µ")+COUNTIF($E60:L60,1)),
HYPERLINK("#Roadmap!C"&amp; MATCH($E60,Roadmap!$D:$D,0)+COUNTIF($E60:L60,"u")+COUNTIF($E60:L60,"t"),
     INDEX(Roadmap!$D:$K,MATCH($E60,Roadmap!$D:$D,0)+COUNTIF($E60:L60,"u")+COUNTIF($E60:L60,"t")+COUNTIF($E60:L60,"¶")+COUNTIF($E60:L60,"²")+COUNTIF($E60:L60,"µ")+COUNTIF($E60:L60,1),ColTypeEcheance)),
  IF(LEN(L60)=1,
  IF(LEN(INDEX(Roadmap!$D:$K,MATCH($E60,Roadmap!$D:$D,0)-1+COUNTIF($E60:L60,"u")+COUNTIF($E60:L60,"t")+COUNTIF($E60:L60,"¶")+COUNTIF($E60:L60,"²")+COUNTIF($E60:L60,"µ")+COUNTIF($E60:L60,1),ColDescriptionCourte))&gt;1,
HYPERLINK("#Roadmap!C"&amp; MATCH($E60,Roadmap!$D:$D,0)+COUNTIF($E60:L60,"u")+COUNTIF($E60:L60,"t")+COUNTIF($E60:L60,"¶")+COUNTIF($E60:L60,"²")+COUNTIF($E60:L60,"µ")+COUNTIF($E60:L60,1)-1,INDEX(Roadmap!$D:$K,MATCH($E60,Roadmap!$D:$D,0)-1+COUNTIF($E60:L60,"u")+COUNTIF($E60:L60,"t")+COUNTIF($E60:L60,"¶")+COUNTIF($E60:L60,"²")+COUNTIF($E60:L60,"µ")+COUNTIF($E60:L60,1),ColDescriptionCourte)),""),
  "")),"")</f>
        <v/>
      </c>
      <c r="N60" s="40" t="str">
        <f ca="1">IFERROR(IF(AND(
  INDEX(Roadmap!$D:$K,MATCH($E60,Roadmap!$D:$D,0)+COUNTIF($E60:M60,"u")+COUNTIF($E60:M60,"t")+COUNTIF($E60:M60,"¶")+COUNTIF($E60:M60,"²")+COUNTIF($E60:M60,"µ")+COUNTIF($E60:M60,1),ColLivraison)=N$6,
  VLOOKUP($E60,INDIRECT("tri!"&amp; CHAR(64+ C0Col) &amp;":"&amp; CHAR(65+C0Col)),2,FALSE)&gt;COUNTIF($E60:M60,"u")+COUNTIF($E60:M60,"t")+COUNTIF($E60:M60,"¶")+COUNTIF($E60:M60,"²")+COUNTIF($E60:M60,"µ")+COUNTIF($E60:M60,1)),
HYPERLINK("#Roadmap!C"&amp; MATCH($E60,Roadmap!$D:$D,0)+COUNTIF($E60:M60,"u")+COUNTIF($E60:M60,"t"),
     INDEX(Roadmap!$D:$K,MATCH($E60,Roadmap!$D:$D,0)+COUNTIF($E60:M60,"u")+COUNTIF($E60:M60,"t")+COUNTIF($E60:M60,"¶")+COUNTIF($E60:M60,"²")+COUNTIF($E60:M60,"µ")+COUNTIF($E60:M60,1),ColTypeEcheance)),
  IF(LEN(M60)=1,
  IF(LEN(INDEX(Roadmap!$D:$K,MATCH($E60,Roadmap!$D:$D,0)-1+COUNTIF($E60:M60,"u")+COUNTIF($E60:M60,"t")+COUNTIF($E60:M60,"¶")+COUNTIF($E60:M60,"²")+COUNTIF($E60:M60,"µ")+COUNTIF($E60:M60,1),ColDescriptionCourte))&gt;1,
HYPERLINK("#Roadmap!C"&amp; MATCH($E60,Roadmap!$D:$D,0)+COUNTIF($E60:M60,"u")+COUNTIF($E60:M60,"t")+COUNTIF($E60:M60,"¶")+COUNTIF($E60:M60,"²")+COUNTIF($E60:M60,"µ")+COUNTIF($E60:M60,1)-1,INDEX(Roadmap!$D:$K,MATCH($E60,Roadmap!$D:$D,0)-1+COUNTIF($E60:M60,"u")+COUNTIF($E60:M60,"t")+COUNTIF($E60:M60,"¶")+COUNTIF($E60:M60,"²")+COUNTIF($E60:M60,"µ")+COUNTIF($E60:M60,1),ColDescriptionCourte)),""),
  "")),"")</f>
        <v/>
      </c>
      <c r="O60" s="40" t="str">
        <f ca="1">IFERROR(IF(AND(
  INDEX(Roadmap!$D:$K,MATCH($E60,Roadmap!$D:$D,0)+COUNTIF($E60:N60,"u")+COUNTIF($E60:N60,"t")+COUNTIF($E60:N60,"¶")+COUNTIF($E60:N60,"²")+COUNTIF($E60:N60,"µ")+COUNTIF($E60:N60,1),ColLivraison)=O$6,
  VLOOKUP($E60,INDIRECT("tri!"&amp; CHAR(64+ C0Col) &amp;":"&amp; CHAR(65+C0Col)),2,FALSE)&gt;COUNTIF($E60:N60,"u")+COUNTIF($E60:N60,"t")+COUNTIF($E60:N60,"¶")+COUNTIF($E60:N60,"²")+COUNTIF($E60:N60,"µ")+COUNTIF($E60:N60,1)),
HYPERLINK("#Roadmap!C"&amp; MATCH($E60,Roadmap!$D:$D,0)+COUNTIF($E60:N60,"u")+COUNTIF($E60:N60,"t"),
     INDEX(Roadmap!$D:$K,MATCH($E60,Roadmap!$D:$D,0)+COUNTIF($E60:N60,"u")+COUNTIF($E60:N60,"t")+COUNTIF($E60:N60,"¶")+COUNTIF($E60:N60,"²")+COUNTIF($E60:N60,"µ")+COUNTIF($E60:N60,1),ColTypeEcheance)),
  IF(LEN(N60)=1,
  IF(LEN(INDEX(Roadmap!$D:$K,MATCH($E60,Roadmap!$D:$D,0)-1+COUNTIF($E60:N60,"u")+COUNTIF($E60:N60,"t")+COUNTIF($E60:N60,"¶")+COUNTIF($E60:N60,"²")+COUNTIF($E60:N60,"µ")+COUNTIF($E60:N60,1),ColDescriptionCourte))&gt;1,
HYPERLINK("#Roadmap!C"&amp; MATCH($E60,Roadmap!$D:$D,0)+COUNTIF($E60:N60,"u")+COUNTIF($E60:N60,"t")+COUNTIF($E60:N60,"¶")+COUNTIF($E60:N60,"²")+COUNTIF($E60:N60,"µ")+COUNTIF($E60:N60,1)-1,INDEX(Roadmap!$D:$K,MATCH($E60,Roadmap!$D:$D,0)-1+COUNTIF($E60:N60,"u")+COUNTIF($E60:N60,"t")+COUNTIF($E60:N60,"¶")+COUNTIF($E60:N60,"²")+COUNTIF($E60:N60,"µ")+COUNTIF($E60:N60,1),ColDescriptionCourte)),""),
  "")),"")</f>
        <v/>
      </c>
      <c r="P60" s="40" t="str">
        <f ca="1">IFERROR(IF(AND(
  INDEX(Roadmap!$D:$K,MATCH($E60,Roadmap!$D:$D,0)+COUNTIF($E60:O60,"u")+COUNTIF($E60:O60,"t")+COUNTIF($E60:O60,"¶")+COUNTIF($E60:O60,"²")+COUNTIF($E60:O60,"µ")+COUNTIF($E60:O60,1),ColLivraison)=P$6,
  VLOOKUP($E60,INDIRECT("tri!"&amp; CHAR(64+ C0Col) &amp;":"&amp; CHAR(65+C0Col)),2,FALSE)&gt;COUNTIF($E60:O60,"u")+COUNTIF($E60:O60,"t")+COUNTIF($E60:O60,"¶")+COUNTIF($E60:O60,"²")+COUNTIF($E60:O60,"µ")+COUNTIF($E60:O60,1)),
HYPERLINK("#Roadmap!C"&amp; MATCH($E60,Roadmap!$D:$D,0)+COUNTIF($E60:O60,"u")+COUNTIF($E60:O60,"t"),
     INDEX(Roadmap!$D:$K,MATCH($E60,Roadmap!$D:$D,0)+COUNTIF($E60:O60,"u")+COUNTIF($E60:O60,"t")+COUNTIF($E60:O60,"¶")+COUNTIF($E60:O60,"²")+COUNTIF($E60:O60,"µ")+COUNTIF($E60:O60,1),ColTypeEcheance)),
  IF(LEN(O60)=1,
  IF(LEN(INDEX(Roadmap!$D:$K,MATCH($E60,Roadmap!$D:$D,0)-1+COUNTIF($E60:O60,"u")+COUNTIF($E60:O60,"t")+COUNTIF($E60:O60,"¶")+COUNTIF($E60:O60,"²")+COUNTIF($E60:O60,"µ")+COUNTIF($E60:O60,1),ColDescriptionCourte))&gt;1,
HYPERLINK("#Roadmap!C"&amp; MATCH($E60,Roadmap!$D:$D,0)+COUNTIF($E60:O60,"u")+COUNTIF($E60:O60,"t")+COUNTIF($E60:O60,"¶")+COUNTIF($E60:O60,"²")+COUNTIF($E60:O60,"µ")+COUNTIF($E60:O60,1)-1,INDEX(Roadmap!$D:$K,MATCH($E60,Roadmap!$D:$D,0)-1+COUNTIF($E60:O60,"u")+COUNTIF($E60:O60,"t")+COUNTIF($E60:O60,"¶")+COUNTIF($E60:O60,"²")+COUNTIF($E60:O60,"µ")+COUNTIF($E60:O60,1),ColDescriptionCourte)),""),
  "")),"")</f>
        <v/>
      </c>
      <c r="Q60" s="40" t="str">
        <f ca="1">IFERROR(IF(AND(
  INDEX(Roadmap!$D:$K,MATCH($E60,Roadmap!$D:$D,0)+COUNTIF($E60:P60,"u")+COUNTIF($E60:P60,"t")+COUNTIF($E60:P60,"¶")+COUNTIF($E60:P60,"²")+COUNTIF($E60:P60,"µ")+COUNTIF($E60:P60,1),ColLivraison)=Q$6,
  VLOOKUP($E60,INDIRECT("tri!"&amp; CHAR(64+ C0Col) &amp;":"&amp; CHAR(65+C0Col)),2,FALSE)&gt;COUNTIF($E60:P60,"u")+COUNTIF($E60:P60,"t")+COUNTIF($E60:P60,"¶")+COUNTIF($E60:P60,"²")+COUNTIF($E60:P60,"µ")+COUNTIF($E60:P60,1)),
HYPERLINK("#Roadmap!C"&amp; MATCH($E60,Roadmap!$D:$D,0)+COUNTIF($E60:P60,"u")+COUNTIF($E60:P60,"t"),
     INDEX(Roadmap!$D:$K,MATCH($E60,Roadmap!$D:$D,0)+COUNTIF($E60:P60,"u")+COUNTIF($E60:P60,"t")+COUNTIF($E60:P60,"¶")+COUNTIF($E60:P60,"²")+COUNTIF($E60:P60,"µ")+COUNTIF($E60:P60,1),ColTypeEcheance)),
  IF(LEN(P60)=1,
  IF(LEN(INDEX(Roadmap!$D:$K,MATCH($E60,Roadmap!$D:$D,0)-1+COUNTIF($E60:P60,"u")+COUNTIF($E60:P60,"t")+COUNTIF($E60:P60,"¶")+COUNTIF($E60:P60,"²")+COUNTIF($E60:P60,"µ")+COUNTIF($E60:P60,1),ColDescriptionCourte))&gt;1,
HYPERLINK("#Roadmap!C"&amp; MATCH($E60,Roadmap!$D:$D,0)+COUNTIF($E60:P60,"u")+COUNTIF($E60:P60,"t")+COUNTIF($E60:P60,"¶")+COUNTIF($E60:P60,"²")+COUNTIF($E60:P60,"µ")+COUNTIF($E60:P60,1)-1,INDEX(Roadmap!$D:$K,MATCH($E60,Roadmap!$D:$D,0)-1+COUNTIF($E60:P60,"u")+COUNTIF($E60:P60,"t")+COUNTIF($E60:P60,"¶")+COUNTIF($E60:P60,"²")+COUNTIF($E60:P60,"µ")+COUNTIF($E60:P60,1),ColDescriptionCourte)),""),
  "")),"")</f>
        <v/>
      </c>
      <c r="R60" s="40" t="str">
        <f ca="1">IFERROR(IF(AND(
  INDEX(Roadmap!$D:$K,MATCH($E60,Roadmap!$D:$D,0)+COUNTIF($E60:Q60,"u")+COUNTIF($E60:Q60,"t")+COUNTIF($E60:Q60,"¶")+COUNTIF($E60:Q60,"²")+COUNTIF($E60:Q60,"µ")+COUNTIF($E60:Q60,1),ColLivraison)=R$6,
  VLOOKUP($E60,INDIRECT("tri!"&amp; CHAR(64+ C0Col) &amp;":"&amp; CHAR(65+C0Col)),2,FALSE)&gt;COUNTIF($E60:Q60,"u")+COUNTIF($E60:Q60,"t")+COUNTIF($E60:Q60,"¶")+COUNTIF($E60:Q60,"²")+COUNTIF($E60:Q60,"µ")+COUNTIF($E60:Q60,1)),
HYPERLINK("#Roadmap!C"&amp; MATCH($E60,Roadmap!$D:$D,0)+COUNTIF($E60:Q60,"u")+COUNTIF($E60:Q60,"t"),
     INDEX(Roadmap!$D:$K,MATCH($E60,Roadmap!$D:$D,0)+COUNTIF($E60:Q60,"u")+COUNTIF($E60:Q60,"t")+COUNTIF($E60:Q60,"¶")+COUNTIF($E60:Q60,"²")+COUNTIF($E60:Q60,"µ")+COUNTIF($E60:Q60,1),ColTypeEcheance)),
  IF(LEN(Q60)=1,
  IF(LEN(INDEX(Roadmap!$D:$K,MATCH($E60,Roadmap!$D:$D,0)-1+COUNTIF($E60:Q60,"u")+COUNTIF($E60:Q60,"t")+COUNTIF($E60:Q60,"¶")+COUNTIF($E60:Q60,"²")+COUNTIF($E60:Q60,"µ")+COUNTIF($E60:Q60,1),ColDescriptionCourte))&gt;1,
HYPERLINK("#Roadmap!C"&amp; MATCH($E60,Roadmap!$D:$D,0)+COUNTIF($E60:Q60,"u")+COUNTIF($E60:Q60,"t")+COUNTIF($E60:Q60,"¶")+COUNTIF($E60:Q60,"²")+COUNTIF($E60:Q60,"µ")+COUNTIF($E60:Q60,1)-1,INDEX(Roadmap!$D:$K,MATCH($E60,Roadmap!$D:$D,0)-1+COUNTIF($E60:Q60,"u")+COUNTIF($E60:Q60,"t")+COUNTIF($E60:Q60,"¶")+COUNTIF($E60:Q60,"²")+COUNTIF($E60:Q60,"µ")+COUNTIF($E60:Q60,1),ColDescriptionCourte)),""),
  "")),"")</f>
        <v/>
      </c>
      <c r="S60" s="40" t="str">
        <f ca="1">IFERROR(IF(AND(
  INDEX(Roadmap!$D:$K,MATCH($E60,Roadmap!$D:$D,0)+COUNTIF($E60:R60,"u")+COUNTIF($E60:R60,"t")+COUNTIF($E60:R60,"¶")+COUNTIF($E60:R60,"²")+COUNTIF($E60:R60,"µ")+COUNTIF($E60:R60,1),ColLivraison)=S$6,
  VLOOKUP($E60,INDIRECT("tri!"&amp; CHAR(64+ C0Col) &amp;":"&amp; CHAR(65+C0Col)),2,FALSE)&gt;COUNTIF($E60:R60,"u")+COUNTIF($E60:R60,"t")+COUNTIF($E60:R60,"¶")+COUNTIF($E60:R60,"²")+COUNTIF($E60:R60,"µ")+COUNTIF($E60:R60,1)),
HYPERLINK("#Roadmap!C"&amp; MATCH($E60,Roadmap!$D:$D,0)+COUNTIF($E60:R60,"u")+COUNTIF($E60:R60,"t"),
     INDEX(Roadmap!$D:$K,MATCH($E60,Roadmap!$D:$D,0)+COUNTIF($E60:R60,"u")+COUNTIF($E60:R60,"t")+COUNTIF($E60:R60,"¶")+COUNTIF($E60:R60,"²")+COUNTIF($E60:R60,"µ")+COUNTIF($E60:R60,1),ColTypeEcheance)),
  IF(LEN(R60)=1,
  IF(LEN(INDEX(Roadmap!$D:$K,MATCH($E60,Roadmap!$D:$D,0)-1+COUNTIF($E60:R60,"u")+COUNTIF($E60:R60,"t")+COUNTIF($E60:R60,"¶")+COUNTIF($E60:R60,"²")+COUNTIF($E60:R60,"µ")+COUNTIF($E60:R60,1),ColDescriptionCourte))&gt;1,
HYPERLINK("#Roadmap!C"&amp; MATCH($E60,Roadmap!$D:$D,0)+COUNTIF($E60:R60,"u")+COUNTIF($E60:R60,"t")+COUNTIF($E60:R60,"¶")+COUNTIF($E60:R60,"²")+COUNTIF($E60:R60,"µ")+COUNTIF($E60:R60,1)-1,INDEX(Roadmap!$D:$K,MATCH($E60,Roadmap!$D:$D,0)-1+COUNTIF($E60:R60,"u")+COUNTIF($E60:R60,"t")+COUNTIF($E60:R60,"¶")+COUNTIF($E60:R60,"²")+COUNTIF($E60:R60,"µ")+COUNTIF($E60:R60,1),ColDescriptionCourte)),""),
  "")),"")</f>
        <v/>
      </c>
      <c r="T60" s="40" t="str">
        <f ca="1">IFERROR(IF(AND(
  INDEX(Roadmap!$D:$K,MATCH($E60,Roadmap!$D:$D,0)+COUNTIF($E60:S60,"u")+COUNTIF($E60:S60,"t")+COUNTIF($E60:S60,"¶")+COUNTIF($E60:S60,"²")+COUNTIF($E60:S60,"µ")+COUNTIF($E60:S60,1),ColLivraison)=T$6,
  VLOOKUP($E60,INDIRECT("tri!"&amp; CHAR(64+ C0Col) &amp;":"&amp; CHAR(65+C0Col)),2,FALSE)&gt;COUNTIF($E60:S60,"u")+COUNTIF($E60:S60,"t")+COUNTIF($E60:S60,"¶")+COUNTIF($E60:S60,"²")+COUNTIF($E60:S60,"µ")+COUNTIF($E60:S60,1)),
HYPERLINK("#Roadmap!C"&amp; MATCH($E60,Roadmap!$D:$D,0)+COUNTIF($E60:S60,"u")+COUNTIF($E60:S60,"t"),
     INDEX(Roadmap!$D:$K,MATCH($E60,Roadmap!$D:$D,0)+COUNTIF($E60:S60,"u")+COUNTIF($E60:S60,"t")+COUNTIF($E60:S60,"¶")+COUNTIF($E60:S60,"²")+COUNTIF($E60:S60,"µ")+COUNTIF($E60:S60,1),ColTypeEcheance)),
  IF(LEN(S60)=1,
  IF(LEN(INDEX(Roadmap!$D:$K,MATCH($E60,Roadmap!$D:$D,0)-1+COUNTIF($E60:S60,"u")+COUNTIF($E60:S60,"t")+COUNTIF($E60:S60,"¶")+COUNTIF($E60:S60,"²")+COUNTIF($E60:S60,"µ")+COUNTIF($E60:S60,1),ColDescriptionCourte))&gt;1,
HYPERLINK("#Roadmap!C"&amp; MATCH($E60,Roadmap!$D:$D,0)+COUNTIF($E60:S60,"u")+COUNTIF($E60:S60,"t")+COUNTIF($E60:S60,"¶")+COUNTIF($E60:S60,"²")+COUNTIF($E60:S60,"µ")+COUNTIF($E60:S60,1)-1,INDEX(Roadmap!$D:$K,MATCH($E60,Roadmap!$D:$D,0)-1+COUNTIF($E60:S60,"u")+COUNTIF($E60:S60,"t")+COUNTIF($E60:S60,"¶")+COUNTIF($E60:S60,"²")+COUNTIF($E60:S60,"µ")+COUNTIF($E60:S60,1),ColDescriptionCourte)),""),
  "")),"")</f>
        <v/>
      </c>
      <c r="U60" s="40" t="str">
        <f ca="1">IFERROR(IF(AND(
  INDEX(Roadmap!$D:$K,MATCH($E60,Roadmap!$D:$D,0)+COUNTIF($E60:T60,"u")+COUNTIF($E60:T60,"t")+COUNTIF($E60:T60,"¶")+COUNTIF($E60:T60,"²")+COUNTIF($E60:T60,"µ")+COUNTIF($E60:T60,1),ColLivraison)=U$6,
  VLOOKUP($E60,INDIRECT("tri!"&amp; CHAR(64+ C0Col) &amp;":"&amp; CHAR(65+C0Col)),2,FALSE)&gt;COUNTIF($E60:T60,"u")+COUNTIF($E60:T60,"t")+COUNTIF($E60:T60,"¶")+COUNTIF($E60:T60,"²")+COUNTIF($E60:T60,"µ")+COUNTIF($E60:T60,1)),
HYPERLINK("#Roadmap!C"&amp; MATCH($E60,Roadmap!$D:$D,0)+COUNTIF($E60:T60,"u")+COUNTIF($E60:T60,"t"),
     INDEX(Roadmap!$D:$K,MATCH($E60,Roadmap!$D:$D,0)+COUNTIF($E60:T60,"u")+COUNTIF($E60:T60,"t")+COUNTIF($E60:T60,"¶")+COUNTIF($E60:T60,"²")+COUNTIF($E60:T60,"µ")+COUNTIF($E60:T60,1),ColTypeEcheance)),
  IF(LEN(T60)=1,
  IF(LEN(INDEX(Roadmap!$D:$K,MATCH($E60,Roadmap!$D:$D,0)-1+COUNTIF($E60:T60,"u")+COUNTIF($E60:T60,"t")+COUNTIF($E60:T60,"¶")+COUNTIF($E60:T60,"²")+COUNTIF($E60:T60,"µ")+COUNTIF($E60:T60,1),ColDescriptionCourte))&gt;1,
HYPERLINK("#Roadmap!C"&amp; MATCH($E60,Roadmap!$D:$D,0)+COUNTIF($E60:T60,"u")+COUNTIF($E60:T60,"t")+COUNTIF($E60:T60,"¶")+COUNTIF($E60:T60,"²")+COUNTIF($E60:T60,"µ")+COUNTIF($E60:T60,1)-1,INDEX(Roadmap!$D:$K,MATCH($E60,Roadmap!$D:$D,0)-1+COUNTIF($E60:T60,"u")+COUNTIF($E60:T60,"t")+COUNTIF($E60:T60,"¶")+COUNTIF($E60:T60,"²")+COUNTIF($E60:T60,"µ")+COUNTIF($E60:T60,1),ColDescriptionCourte)),""),
  "")),"")</f>
        <v/>
      </c>
      <c r="V60" s="40" t="str">
        <f ca="1">IFERROR(IF(AND(
  INDEX(Roadmap!$D:$K,MATCH($E60,Roadmap!$D:$D,0)+COUNTIF($E60:U60,"u")+COUNTIF($E60:U60,"t")+COUNTIF($E60:U60,"¶")+COUNTIF($E60:U60,"²")+COUNTIF($E60:U60,"µ")+COUNTIF($E60:U60,1),ColLivraison)=V$6,
  VLOOKUP($E60,INDIRECT("tri!"&amp; CHAR(64+ C0Col) &amp;":"&amp; CHAR(65+C0Col)),2,FALSE)&gt;COUNTIF($E60:U60,"u")+COUNTIF($E60:U60,"t")+COUNTIF($E60:U60,"¶")+COUNTIF($E60:U60,"²")+COUNTIF($E60:U60,"µ")+COUNTIF($E60:U60,1)),
HYPERLINK("#Roadmap!C"&amp; MATCH($E60,Roadmap!$D:$D,0)+COUNTIF($E60:U60,"u")+COUNTIF($E60:U60,"t"),
     INDEX(Roadmap!$D:$K,MATCH($E60,Roadmap!$D:$D,0)+COUNTIF($E60:U60,"u")+COUNTIF($E60:U60,"t")+COUNTIF($E60:U60,"¶")+COUNTIF($E60:U60,"²")+COUNTIF($E60:U60,"µ")+COUNTIF($E60:U60,1),ColTypeEcheance)),
  IF(LEN(U60)=1,
  IF(LEN(INDEX(Roadmap!$D:$K,MATCH($E60,Roadmap!$D:$D,0)-1+COUNTIF($E60:U60,"u")+COUNTIF($E60:U60,"t")+COUNTIF($E60:U60,"¶")+COUNTIF($E60:U60,"²")+COUNTIF($E60:U60,"µ")+COUNTIF($E60:U60,1),ColDescriptionCourte))&gt;1,
HYPERLINK("#Roadmap!C"&amp; MATCH($E60,Roadmap!$D:$D,0)+COUNTIF($E60:U60,"u")+COUNTIF($E60:U60,"t")+COUNTIF($E60:U60,"¶")+COUNTIF($E60:U60,"²")+COUNTIF($E60:U60,"µ")+COUNTIF($E60:U60,1)-1,INDEX(Roadmap!$D:$K,MATCH($E60,Roadmap!$D:$D,0)-1+COUNTIF($E60:U60,"u")+COUNTIF($E60:U60,"t")+COUNTIF($E60:U60,"¶")+COUNTIF($E60:U60,"²")+COUNTIF($E60:U60,"µ")+COUNTIF($E60:U60,1),ColDescriptionCourte)),""),
  "")),"")</f>
        <v/>
      </c>
      <c r="W60" s="40" t="str">
        <f ca="1">IFERROR(IF(AND(
  INDEX(Roadmap!$D:$K,MATCH($E60,Roadmap!$D:$D,0)+COUNTIF($E60:V60,"u")+COUNTIF($E60:V60,"t")+COUNTIF($E60:V60,"¶")+COUNTIF($E60:V60,"²")+COUNTIF($E60:V60,"µ")+COUNTIF($E60:V60,1),ColLivraison)=W$6,
  VLOOKUP($E60,INDIRECT("tri!"&amp; CHAR(64+ C0Col) &amp;":"&amp; CHAR(65+C0Col)),2,FALSE)&gt;COUNTIF($E60:V60,"u")+COUNTIF($E60:V60,"t")+COUNTIF($E60:V60,"¶")+COUNTIF($E60:V60,"²")+COUNTIF($E60:V60,"µ")+COUNTIF($E60:V60,1)),
HYPERLINK("#Roadmap!C"&amp; MATCH($E60,Roadmap!$D:$D,0)+COUNTIF($E60:V60,"u")+COUNTIF($E60:V60,"t"),
     INDEX(Roadmap!$D:$K,MATCH($E60,Roadmap!$D:$D,0)+COUNTIF($E60:V60,"u")+COUNTIF($E60:V60,"t")+COUNTIF($E60:V60,"¶")+COUNTIF($E60:V60,"²")+COUNTIF($E60:V60,"µ")+COUNTIF($E60:V60,1),ColTypeEcheance)),
  IF(LEN(V60)=1,
  IF(LEN(INDEX(Roadmap!$D:$K,MATCH($E60,Roadmap!$D:$D,0)-1+COUNTIF($E60:V60,"u")+COUNTIF($E60:V60,"t")+COUNTIF($E60:V60,"¶")+COUNTIF($E60:V60,"²")+COUNTIF($E60:V60,"µ")+COUNTIF($E60:V60,1),ColDescriptionCourte))&gt;1,
HYPERLINK("#Roadmap!C"&amp; MATCH($E60,Roadmap!$D:$D,0)+COUNTIF($E60:V60,"u")+COUNTIF($E60:V60,"t")+COUNTIF($E60:V60,"¶")+COUNTIF($E60:V60,"²")+COUNTIF($E60:V60,"µ")+COUNTIF($E60:V60,1)-1,INDEX(Roadmap!$D:$K,MATCH($E60,Roadmap!$D:$D,0)-1+COUNTIF($E60:V60,"u")+COUNTIF($E60:V60,"t")+COUNTIF($E60:V60,"¶")+COUNTIF($E60:V60,"²")+COUNTIF($E60:V60,"µ")+COUNTIF($E60:V60,1),ColDescriptionCourte)),""),
  "")),"")</f>
        <v/>
      </c>
      <c r="X60" s="40" t="str">
        <f ca="1">IFERROR(IF(AND(
  INDEX(Roadmap!$D:$K,MATCH($E60,Roadmap!$D:$D,0)+COUNTIF($E60:W60,"u")+COUNTIF($E60:W60,"t")+COUNTIF($E60:W60,"¶")+COUNTIF($E60:W60,"²")+COUNTIF($E60:W60,"µ")+COUNTIF($E60:W60,1),ColLivraison)=X$6,
  VLOOKUP($E60,INDIRECT("tri!"&amp; CHAR(64+ C0Col) &amp;":"&amp; CHAR(65+C0Col)),2,FALSE)&gt;COUNTIF($E60:W60,"u")+COUNTIF($E60:W60,"t")+COUNTIF($E60:W60,"¶")+COUNTIF($E60:W60,"²")+COUNTIF($E60:W60,"µ")+COUNTIF($E60:W60,1)),
HYPERLINK("#Roadmap!C"&amp; MATCH($E60,Roadmap!$D:$D,0)+COUNTIF($E60:W60,"u")+COUNTIF($E60:W60,"t"),
     INDEX(Roadmap!$D:$K,MATCH($E60,Roadmap!$D:$D,0)+COUNTIF($E60:W60,"u")+COUNTIF($E60:W60,"t")+COUNTIF($E60:W60,"¶")+COUNTIF($E60:W60,"²")+COUNTIF($E60:W60,"µ")+COUNTIF($E60:W60,1),ColTypeEcheance)),
  IF(LEN(W60)=1,
  IF(LEN(INDEX(Roadmap!$D:$K,MATCH($E60,Roadmap!$D:$D,0)-1+COUNTIF($E60:W60,"u")+COUNTIF($E60:W60,"t")+COUNTIF($E60:W60,"¶")+COUNTIF($E60:W60,"²")+COUNTIF($E60:W60,"µ")+COUNTIF($E60:W60,1),ColDescriptionCourte))&gt;1,
HYPERLINK("#Roadmap!C"&amp; MATCH($E60,Roadmap!$D:$D,0)+COUNTIF($E60:W60,"u")+COUNTIF($E60:W60,"t")+COUNTIF($E60:W60,"¶")+COUNTIF($E60:W60,"²")+COUNTIF($E60:W60,"µ")+COUNTIF($E60:W60,1)-1,INDEX(Roadmap!$D:$K,MATCH($E60,Roadmap!$D:$D,0)-1+COUNTIF($E60:W60,"u")+COUNTIF($E60:W60,"t")+COUNTIF($E60:W60,"¶")+COUNTIF($E60:W60,"²")+COUNTIF($E60:W60,"µ")+COUNTIF($E60:W60,1),ColDescriptionCourte)),""),
  "")),"")</f>
        <v/>
      </c>
      <c r="Y60" s="40" t="str">
        <f ca="1">IFERROR(IF(AND(
  INDEX(Roadmap!$D:$K,MATCH($E60,Roadmap!$D:$D,0)+COUNTIF($E60:X60,"u")+COUNTIF($E60:X60,"t")+COUNTIF($E60:X60,"¶")+COUNTIF($E60:X60,"²")+COUNTIF($E60:X60,"µ")+COUNTIF($E60:X60,1),ColLivraison)=Y$6,
  VLOOKUP($E60,INDIRECT("tri!"&amp; CHAR(64+ C0Col) &amp;":"&amp; CHAR(65+C0Col)),2,FALSE)&gt;COUNTIF($E60:X60,"u")+COUNTIF($E60:X60,"t")+COUNTIF($E60:X60,"¶")+COUNTIF($E60:X60,"²")+COUNTIF($E60:X60,"µ")+COUNTIF($E60:X60,1)),
HYPERLINK("#Roadmap!C"&amp; MATCH($E60,Roadmap!$D:$D,0)+COUNTIF($E60:X60,"u")+COUNTIF($E60:X60,"t"),
     INDEX(Roadmap!$D:$K,MATCH($E60,Roadmap!$D:$D,0)+COUNTIF($E60:X60,"u")+COUNTIF($E60:X60,"t")+COUNTIF($E60:X60,"¶")+COUNTIF($E60:X60,"²")+COUNTIF($E60:X60,"µ")+COUNTIF($E60:X60,1),ColTypeEcheance)),
  IF(LEN(X60)=1,
  IF(LEN(INDEX(Roadmap!$D:$K,MATCH($E60,Roadmap!$D:$D,0)-1+COUNTIF($E60:X60,"u")+COUNTIF($E60:X60,"t")+COUNTIF($E60:X60,"¶")+COUNTIF($E60:X60,"²")+COUNTIF($E60:X60,"µ")+COUNTIF($E60:X60,1),ColDescriptionCourte))&gt;1,
HYPERLINK("#Roadmap!C"&amp; MATCH($E60,Roadmap!$D:$D,0)+COUNTIF($E60:X60,"u")+COUNTIF($E60:X60,"t")+COUNTIF($E60:X60,"¶")+COUNTIF($E60:X60,"²")+COUNTIF($E60:X60,"µ")+COUNTIF($E60:X60,1)-1,INDEX(Roadmap!$D:$K,MATCH($E60,Roadmap!$D:$D,0)-1+COUNTIF($E60:X60,"u")+COUNTIF($E60:X60,"t")+COUNTIF($E60:X60,"¶")+COUNTIF($E60:X60,"²")+COUNTIF($E60:X60,"µ")+COUNTIF($E60:X60,1),ColDescriptionCourte)),""),
  "")),"")</f>
        <v/>
      </c>
      <c r="Z60" s="40" t="str">
        <f ca="1">IFERROR(IF(AND(
  INDEX(Roadmap!$D:$K,MATCH($E60,Roadmap!$D:$D,0)+COUNTIF($E60:Y60,"u")+COUNTIF($E60:Y60,"t")+COUNTIF($E60:Y60,"¶")+COUNTIF($E60:Y60,"²")+COUNTIF($E60:Y60,"µ")+COUNTIF($E60:Y60,1),ColLivraison)=Z$6,
  VLOOKUP($E60,INDIRECT("tri!"&amp; CHAR(64+ C0Col) &amp;":"&amp; CHAR(65+C0Col)),2,FALSE)&gt;COUNTIF($E60:Y60,"u")+COUNTIF($E60:Y60,"t")+COUNTIF($E60:Y60,"¶")+COUNTIF($E60:Y60,"²")+COUNTIF($E60:Y60,"µ")+COUNTIF($E60:Y60,1)),
HYPERLINK("#Roadmap!C"&amp; MATCH($E60,Roadmap!$D:$D,0)+COUNTIF($E60:Y60,"u")+COUNTIF($E60:Y60,"t"),
     INDEX(Roadmap!$D:$K,MATCH($E60,Roadmap!$D:$D,0)+COUNTIF($E60:Y60,"u")+COUNTIF($E60:Y60,"t")+COUNTIF($E60:Y60,"¶")+COUNTIF($E60:Y60,"²")+COUNTIF($E60:Y60,"µ")+COUNTIF($E60:Y60,1),ColTypeEcheance)),
  IF(LEN(Y60)=1,
  IF(LEN(INDEX(Roadmap!$D:$K,MATCH($E60,Roadmap!$D:$D,0)-1+COUNTIF($E60:Y60,"u")+COUNTIF($E60:Y60,"t")+COUNTIF($E60:Y60,"¶")+COUNTIF($E60:Y60,"²")+COUNTIF($E60:Y60,"µ")+COUNTIF($E60:Y60,1),ColDescriptionCourte))&gt;1,
HYPERLINK("#Roadmap!C"&amp; MATCH($E60,Roadmap!$D:$D,0)+COUNTIF($E60:Y60,"u")+COUNTIF($E60:Y60,"t")+COUNTIF($E60:Y60,"¶")+COUNTIF($E60:Y60,"²")+COUNTIF($E60:Y60,"µ")+COUNTIF($E60:Y60,1)-1,INDEX(Roadmap!$D:$K,MATCH($E60,Roadmap!$D:$D,0)-1+COUNTIF($E60:Y60,"u")+COUNTIF($E60:Y60,"t")+COUNTIF($E60:Y60,"¶")+COUNTIF($E60:Y60,"²")+COUNTIF($E60:Y60,"µ")+COUNTIF($E60:Y60,1),ColDescriptionCourte)),""),
  "")),"")</f>
        <v/>
      </c>
      <c r="AA60" s="40" t="str">
        <f ca="1">IFERROR(IF(AND(
  INDEX(Roadmap!$D:$K,MATCH($E60,Roadmap!$D:$D,0)+COUNTIF($E60:Z60,"u")+COUNTIF($E60:Z60,"t")+COUNTIF($E60:Z60,"¶")+COUNTIF($E60:Z60,"²")+COUNTIF($E60:Z60,"µ")+COUNTIF($E60:Z60,1),ColLivraison)=AA$6,
  VLOOKUP($E60,INDIRECT("tri!"&amp; CHAR(64+ C0Col) &amp;":"&amp; CHAR(65+C0Col)),2,FALSE)&gt;COUNTIF($E60:Z60,"u")+COUNTIF($E60:Z60,"t")+COUNTIF($E60:Z60,"¶")+COUNTIF($E60:Z60,"²")+COUNTIF($E60:Z60,"µ")+COUNTIF($E60:Z60,1)),
HYPERLINK("#Roadmap!C"&amp; MATCH($E60,Roadmap!$D:$D,0)+COUNTIF($E60:Z60,"u")+COUNTIF($E60:Z60,"t"),
     INDEX(Roadmap!$D:$K,MATCH($E60,Roadmap!$D:$D,0)+COUNTIF($E60:Z60,"u")+COUNTIF($E60:Z60,"t")+COUNTIF($E60:Z60,"¶")+COUNTIF($E60:Z60,"²")+COUNTIF($E60:Z60,"µ")+COUNTIF($E60:Z60,1),ColTypeEcheance)),
  IF(LEN(Z60)=1,
  IF(LEN(INDEX(Roadmap!$D:$K,MATCH($E60,Roadmap!$D:$D,0)-1+COUNTIF($E60:Z60,"u")+COUNTIF($E60:Z60,"t")+COUNTIF($E60:Z60,"¶")+COUNTIF($E60:Z60,"²")+COUNTIF($E60:Z60,"µ")+COUNTIF($E60:Z60,1),ColDescriptionCourte))&gt;1,
HYPERLINK("#Roadmap!C"&amp; MATCH($E60,Roadmap!$D:$D,0)+COUNTIF($E60:Z60,"u")+COUNTIF($E60:Z60,"t")+COUNTIF($E60:Z60,"¶")+COUNTIF($E60:Z60,"²")+COUNTIF($E60:Z60,"µ")+COUNTIF($E60:Z60,1)-1,INDEX(Roadmap!$D:$K,MATCH($E60,Roadmap!$D:$D,0)-1+COUNTIF($E60:Z60,"u")+COUNTIF($E60:Z60,"t")+COUNTIF($E60:Z60,"¶")+COUNTIF($E60:Z60,"²")+COUNTIF($E60:Z60,"µ")+COUNTIF($E60:Z60,1),ColDescriptionCourte)),""),
  "")),"")</f>
        <v/>
      </c>
      <c r="AB60" s="40" t="str">
        <f ca="1">IFERROR(IF(AND(
  INDEX(Roadmap!$D:$K,MATCH($E60,Roadmap!$D:$D,0)+COUNTIF($E60:AA60,"u")+COUNTIF($E60:AA60,"t")+COUNTIF($E60:AA60,"¶")+COUNTIF($E60:AA60,"²")+COUNTIF($E60:AA60,"µ")+COUNTIF($E60:AA60,1),ColLivraison)=AB$6,
  VLOOKUP($E60,INDIRECT("tri!"&amp; CHAR(64+ C0Col) &amp;":"&amp; CHAR(65+C0Col)),2,FALSE)&gt;COUNTIF($E60:AA60,"u")+COUNTIF($E60:AA60,"t")+COUNTIF($E60:AA60,"¶")+COUNTIF($E60:AA60,"²")+COUNTIF($E60:AA60,"µ")+COUNTIF($E60:AA60,1)),
HYPERLINK("#Roadmap!C"&amp; MATCH($E60,Roadmap!$D:$D,0)+COUNTIF($E60:AA60,"u")+COUNTIF($E60:AA60,"t"),
     INDEX(Roadmap!$D:$K,MATCH($E60,Roadmap!$D:$D,0)+COUNTIF($E60:AA60,"u")+COUNTIF($E60:AA60,"t")+COUNTIF($E60:AA60,"¶")+COUNTIF($E60:AA60,"²")+COUNTIF($E60:AA60,"µ")+COUNTIF($E60:AA60,1),ColTypeEcheance)),
  IF(LEN(AA60)=1,
  IF(LEN(INDEX(Roadmap!$D:$K,MATCH($E60,Roadmap!$D:$D,0)-1+COUNTIF($E60:AA60,"u")+COUNTIF($E60:AA60,"t")+COUNTIF($E60:AA60,"¶")+COUNTIF($E60:AA60,"²")+COUNTIF($E60:AA60,"µ")+COUNTIF($E60:AA60,1),ColDescriptionCourte))&gt;1,
HYPERLINK("#Roadmap!C"&amp; MATCH($E60,Roadmap!$D:$D,0)+COUNTIF($E60:AA60,"u")+COUNTIF($E60:AA60,"t")+COUNTIF($E60:AA60,"¶")+COUNTIF($E60:AA60,"²")+COUNTIF($E60:AA60,"µ")+COUNTIF($E60:AA60,1)-1,INDEX(Roadmap!$D:$K,MATCH($E60,Roadmap!$D:$D,0)-1+COUNTIF($E60:AA60,"u")+COUNTIF($E60:AA60,"t")+COUNTIF($E60:AA60,"¶")+COUNTIF($E60:AA60,"²")+COUNTIF($E60:AA60,"µ")+COUNTIF($E60:AA60,1),ColDescriptionCourte)),""),
  "")),"")</f>
        <v/>
      </c>
      <c r="AC60" s="40" t="str">
        <f ca="1">IFERROR(IF(AND(
  INDEX(Roadmap!$D:$K,MATCH($E60,Roadmap!$D:$D,0)+COUNTIF($E60:AB60,"u")+COUNTIF($E60:AB60,"t")+COUNTIF($E60:AB60,"¶")+COUNTIF($E60:AB60,"²")+COUNTIF($E60:AB60,"µ")+COUNTIF($E60:AB60,1),ColLivraison)=AC$6,
  VLOOKUP($E60,INDIRECT("tri!"&amp; CHAR(64+ C0Col) &amp;":"&amp; CHAR(65+C0Col)),2,FALSE)&gt;COUNTIF($E60:AB60,"u")+COUNTIF($E60:AB60,"t")+COUNTIF($E60:AB60,"¶")+COUNTIF($E60:AB60,"²")+COUNTIF($E60:AB60,"µ")+COUNTIF($E60:AB60,1)),
HYPERLINK("#Roadmap!C"&amp; MATCH($E60,Roadmap!$D:$D,0)+COUNTIF($E60:AB60,"u")+COUNTIF($E60:AB60,"t"),
     INDEX(Roadmap!$D:$K,MATCH($E60,Roadmap!$D:$D,0)+COUNTIF($E60:AB60,"u")+COUNTIF($E60:AB60,"t")+COUNTIF($E60:AB60,"¶")+COUNTIF($E60:AB60,"²")+COUNTIF($E60:AB60,"µ")+COUNTIF($E60:AB60,1),ColTypeEcheance)),
  IF(LEN(AB60)=1,
  IF(LEN(INDEX(Roadmap!$D:$K,MATCH($E60,Roadmap!$D:$D,0)-1+COUNTIF($E60:AB60,"u")+COUNTIF($E60:AB60,"t")+COUNTIF($E60:AB60,"¶")+COUNTIF($E60:AB60,"²")+COUNTIF($E60:AB60,"µ")+COUNTIF($E60:AB60,1),ColDescriptionCourte))&gt;1,
HYPERLINK("#Roadmap!C"&amp; MATCH($E60,Roadmap!$D:$D,0)+COUNTIF($E60:AB60,"u")+COUNTIF($E60:AB60,"t")+COUNTIF($E60:AB60,"¶")+COUNTIF($E60:AB60,"²")+COUNTIF($E60:AB60,"µ")+COUNTIF($E60:AB60,1)-1,INDEX(Roadmap!$D:$K,MATCH($E60,Roadmap!$D:$D,0)-1+COUNTIF($E60:AB60,"u")+COUNTIF($E60:AB60,"t")+COUNTIF($E60:AB60,"¶")+COUNTIF($E60:AB60,"²")+COUNTIF($E60:AB60,"µ")+COUNTIF($E60:AB60,1),ColDescriptionCourte)),""),
  "")),"")</f>
        <v/>
      </c>
      <c r="AD60" s="40" t="str">
        <f ca="1">IFERROR(IF(AND(
  INDEX(Roadmap!$D:$K,MATCH($E60,Roadmap!$D:$D,0)+COUNTIF($E60:AC60,"u")+COUNTIF($E60:AC60,"t")+COUNTIF($E60:AC60,"¶")+COUNTIF($E60:AC60,"²")+COUNTIF($E60:AC60,"µ")+COUNTIF($E60:AC60,1),ColLivraison)=AD$6,
  VLOOKUP($E60,INDIRECT("tri!"&amp; CHAR(64+ C0Col) &amp;":"&amp; CHAR(65+C0Col)),2,FALSE)&gt;COUNTIF($E60:AC60,"u")+COUNTIF($E60:AC60,"t")+COUNTIF($E60:AC60,"¶")+COUNTIF($E60:AC60,"²")+COUNTIF($E60:AC60,"µ")+COUNTIF($E60:AC60,1)),
HYPERLINK("#Roadmap!C"&amp; MATCH($E60,Roadmap!$D:$D,0)+COUNTIF($E60:AC60,"u")+COUNTIF($E60:AC60,"t"),
     INDEX(Roadmap!$D:$K,MATCH($E60,Roadmap!$D:$D,0)+COUNTIF($E60:AC60,"u")+COUNTIF($E60:AC60,"t")+COUNTIF($E60:AC60,"¶")+COUNTIF($E60:AC60,"²")+COUNTIF($E60:AC60,"µ")+COUNTIF($E60:AC60,1),ColTypeEcheance)),
  IF(LEN(AC60)=1,
  IF(LEN(INDEX(Roadmap!$D:$K,MATCH($E60,Roadmap!$D:$D,0)-1+COUNTIF($E60:AC60,"u")+COUNTIF($E60:AC60,"t")+COUNTIF($E60:AC60,"¶")+COUNTIF($E60:AC60,"²")+COUNTIF($E60:AC60,"µ")+COUNTIF($E60:AC60,1),ColDescriptionCourte))&gt;1,
HYPERLINK("#Roadmap!C"&amp; MATCH($E60,Roadmap!$D:$D,0)+COUNTIF($E60:AC60,"u")+COUNTIF($E60:AC60,"t")+COUNTIF($E60:AC60,"¶")+COUNTIF($E60:AC60,"²")+COUNTIF($E60:AC60,"µ")+COUNTIF($E60:AC60,1)-1,INDEX(Roadmap!$D:$K,MATCH($E60,Roadmap!$D:$D,0)-1+COUNTIF($E60:AC60,"u")+COUNTIF($E60:AC60,"t")+COUNTIF($E60:AC60,"¶")+COUNTIF($E60:AC60,"²")+COUNTIF($E60:AC60,"µ")+COUNTIF($E60:AC60,1),ColDescriptionCourte)),""),
  "")),"")</f>
        <v/>
      </c>
      <c r="AE60" s="40" t="str">
        <f ca="1">IFERROR(IF(AND(
  INDEX(Roadmap!$D:$K,MATCH($E60,Roadmap!$D:$D,0)+COUNTIF($E60:AD60,"u")+COUNTIF($E60:AD60,"t")+COUNTIF($E60:AD60,"¶")+COUNTIF($E60:AD60,"²")+COUNTIF($E60:AD60,"µ")+COUNTIF($E60:AD60,1),ColLivraison)=AE$6,
  VLOOKUP($E60,INDIRECT("tri!"&amp; CHAR(64+ C0Col) &amp;":"&amp; CHAR(65+C0Col)),2,FALSE)&gt;COUNTIF($E60:AD60,"u")+COUNTIF($E60:AD60,"t")+COUNTIF($E60:AD60,"¶")+COUNTIF($E60:AD60,"²")+COUNTIF($E60:AD60,"µ")+COUNTIF($E60:AD60,1)),
HYPERLINK("#Roadmap!C"&amp; MATCH($E60,Roadmap!$D:$D,0)+COUNTIF($E60:AD60,"u")+COUNTIF($E60:AD60,"t"),
     INDEX(Roadmap!$D:$K,MATCH($E60,Roadmap!$D:$D,0)+COUNTIF($E60:AD60,"u")+COUNTIF($E60:AD60,"t")+COUNTIF($E60:AD60,"¶")+COUNTIF($E60:AD60,"²")+COUNTIF($E60:AD60,"µ")+COUNTIF($E60:AD60,1),ColTypeEcheance)),
  IF(LEN(AD60)=1,
  IF(LEN(INDEX(Roadmap!$D:$K,MATCH($E60,Roadmap!$D:$D,0)-1+COUNTIF($E60:AD60,"u")+COUNTIF($E60:AD60,"t")+COUNTIF($E60:AD60,"¶")+COUNTIF($E60:AD60,"²")+COUNTIF($E60:AD60,"µ")+COUNTIF($E60:AD60,1),ColDescriptionCourte))&gt;1,
HYPERLINK("#Roadmap!C"&amp; MATCH($E60,Roadmap!$D:$D,0)+COUNTIF($E60:AD60,"u")+COUNTIF($E60:AD60,"t")+COUNTIF($E60:AD60,"¶")+COUNTIF($E60:AD60,"²")+COUNTIF($E60:AD60,"µ")+COUNTIF($E60:AD60,1)-1,INDEX(Roadmap!$D:$K,MATCH($E60,Roadmap!$D:$D,0)-1+COUNTIF($E60:AD60,"u")+COUNTIF($E60:AD60,"t")+COUNTIF($E60:AD60,"¶")+COUNTIF($E60:AD60,"²")+COUNTIF($E60:AD60,"µ")+COUNTIF($E60:AD60,1),ColDescriptionCourte)),""),
  "")),"")</f>
        <v/>
      </c>
      <c r="AF60" s="40" t="str">
        <f ca="1">IFERROR(IF(AND(
  INDEX(Roadmap!$D:$K,MATCH($E60,Roadmap!$D:$D,0)+COUNTIF($E60:AE60,"u")+COUNTIF($E60:AE60,"t")+COUNTIF($E60:AE60,"¶")+COUNTIF($E60:AE60,"²")+COUNTIF($E60:AE60,"µ")+COUNTIF($E60:AE60,1),ColLivraison)=AF$6,
  VLOOKUP($E60,INDIRECT("tri!"&amp; CHAR(64+ C0Col) &amp;":"&amp; CHAR(65+C0Col)),2,FALSE)&gt;COUNTIF($E60:AE60,"u")+COUNTIF($E60:AE60,"t")+COUNTIF($E60:AE60,"¶")+COUNTIF($E60:AE60,"²")+COUNTIF($E60:AE60,"µ")+COUNTIF($E60:AE60,1)),
HYPERLINK("#Roadmap!C"&amp; MATCH($E60,Roadmap!$D:$D,0)+COUNTIF($E60:AE60,"u")+COUNTIF($E60:AE60,"t"),
     INDEX(Roadmap!$D:$K,MATCH($E60,Roadmap!$D:$D,0)+COUNTIF($E60:AE60,"u")+COUNTIF($E60:AE60,"t")+COUNTIF($E60:AE60,"¶")+COUNTIF($E60:AE60,"²")+COUNTIF($E60:AE60,"µ")+COUNTIF($E60:AE60,1),ColTypeEcheance)),
  IF(LEN(AE60)=1,
  IF(LEN(INDEX(Roadmap!$D:$K,MATCH($E60,Roadmap!$D:$D,0)-1+COUNTIF($E60:AE60,"u")+COUNTIF($E60:AE60,"t")+COUNTIF($E60:AE60,"¶")+COUNTIF($E60:AE60,"²")+COUNTIF($E60:AE60,"µ")+COUNTIF($E60:AE60,1),ColDescriptionCourte))&gt;1,
HYPERLINK("#Roadmap!C"&amp; MATCH($E60,Roadmap!$D:$D,0)+COUNTIF($E60:AE60,"u")+COUNTIF($E60:AE60,"t")+COUNTIF($E60:AE60,"¶")+COUNTIF($E60:AE60,"²")+COUNTIF($E60:AE60,"µ")+COUNTIF($E60:AE60,1)-1,INDEX(Roadmap!$D:$K,MATCH($E60,Roadmap!$D:$D,0)-1+COUNTIF($E60:AE60,"u")+COUNTIF($E60:AE60,"t")+COUNTIF($E60:AE60,"¶")+COUNTIF($E60:AE60,"²")+COUNTIF($E60:AE60,"µ")+COUNTIF($E60:AE60,1),ColDescriptionCourte)),""),
  "")),"")</f>
        <v/>
      </c>
      <c r="AG60" s="40" t="str">
        <f ca="1">IFERROR(IF(AND(
  INDEX(Roadmap!$D:$K,MATCH($E60,Roadmap!$D:$D,0)+COUNTIF($E60:AF60,"u")+COUNTIF($E60:AF60,"t")+COUNTIF($E60:AF60,"¶")+COUNTIF($E60:AF60,"²")+COUNTIF($E60:AF60,"µ")+COUNTIF($E60:AF60,1),ColLivraison)=AG$6,
  VLOOKUP($E60,INDIRECT("tri!"&amp; CHAR(64+ C0Col) &amp;":"&amp; CHAR(65+C0Col)),2,FALSE)&gt;COUNTIF($E60:AF60,"u")+COUNTIF($E60:AF60,"t")+COUNTIF($E60:AF60,"¶")+COUNTIF($E60:AF60,"²")+COUNTIF($E60:AF60,"µ")+COUNTIF($E60:AF60,1)),
HYPERLINK("#Roadmap!C"&amp; MATCH($E60,Roadmap!$D:$D,0)+COUNTIF($E60:AF60,"u")+COUNTIF($E60:AF60,"t"),
     INDEX(Roadmap!$D:$K,MATCH($E60,Roadmap!$D:$D,0)+COUNTIF($E60:AF60,"u")+COUNTIF($E60:AF60,"t")+COUNTIF($E60:AF60,"¶")+COUNTIF($E60:AF60,"²")+COUNTIF($E60:AF60,"µ")+COUNTIF($E60:AF60,1),ColTypeEcheance)),
  IF(LEN(AF60)=1,
  IF(LEN(INDEX(Roadmap!$D:$K,MATCH($E60,Roadmap!$D:$D,0)-1+COUNTIF($E60:AF60,"u")+COUNTIF($E60:AF60,"t")+COUNTIF($E60:AF60,"¶")+COUNTIF($E60:AF60,"²")+COUNTIF($E60:AF60,"µ")+COUNTIF($E60:AF60,1),ColDescriptionCourte))&gt;1,
HYPERLINK("#Roadmap!C"&amp; MATCH($E60,Roadmap!$D:$D,0)+COUNTIF($E60:AF60,"u")+COUNTIF($E60:AF60,"t")+COUNTIF($E60:AF60,"¶")+COUNTIF($E60:AF60,"²")+COUNTIF($E60:AF60,"µ")+COUNTIF($E60:AF60,1)-1,INDEX(Roadmap!$D:$K,MATCH($E60,Roadmap!$D:$D,0)-1+COUNTIF($E60:AF60,"u")+COUNTIF($E60:AF60,"t")+COUNTIF($E60:AF60,"¶")+COUNTIF($E60:AF60,"²")+COUNTIF($E60:AF60,"µ")+COUNTIF($E60:AF60,1),ColDescriptionCourte)),""),
  "")),"")</f>
        <v/>
      </c>
    </row>
    <row r="61" spans="3:33" ht="14.25" customHeight="1">
      <c r="C61" s="1" t="str">
        <f t="shared" ca="1" si="44"/>
        <v/>
      </c>
      <c r="D61" s="1" t="str">
        <f t="shared" ca="1" si="45"/>
        <v/>
      </c>
      <c r="E61" s="35" t="str">
        <f t="shared" ca="1" si="33"/>
        <v/>
      </c>
      <c r="F61" s="39" t="str">
        <f ca="1">IFERROR(IF(AND(
  INDEX(Roadmap!$D:$K,MATCH($E61,Roadmap!$D:$D,0)+COUNTIF($E61:E61,"u")+COUNTIF($E61:E61,"t")+COUNTIF($E61:E61,"¶")+COUNTIF($E61:E61,"²")+COUNTIF($E61:E61,"µ")+COUNTIF($E61:E61,1),ColLivraison)=F$6,
  VLOOKUP($E61,INDIRECT("tri!"&amp; CHAR(64+ C0Col) &amp;":"&amp; CHAR(65+C0Col)),2,FALSE)&gt;COUNTIF($E61:E61,"u")+COUNTIF($E61:E61,"t")+COUNTIF($E61:E61,"¶")+COUNTIF($E61:E61,"²")+COUNTIF($E61:E61,"µ")+COUNTIF($E61:E61,1)),
HYPERLINK("#Roadmap!C"&amp; MATCH($E61,Roadmap!$D:$D,0)+COUNTIF($E61:E61,"u")+COUNTIF($E61:E61,"t"),
     INDEX(Roadmap!$D:$K,MATCH($E61,Roadmap!$D:$D,0)+COUNTIF($E61:E61,"u")+COUNTIF($E61:E61,"t")+COUNTIF($E61:E61,"¶")+COUNTIF($E61:E61,"²")+COUNTIF($E61:E61,"µ")+COUNTIF($E61:E61,1),ColTypeEcheance)),
  IF(LEN(E61)=1,
  IF(LEN(INDEX(Roadmap!$D:$K,MATCH($E61,Roadmap!$D:$D,0)-1+COUNTIF($E61:E61,"u")+COUNTIF($E61:E61,"t")+COUNTIF($E61:E61,"¶")+COUNTIF($E61:E61,"²")+COUNTIF($E61:E61,"µ")+COUNTIF($E61:E61,1),ColDescriptionCourte))&gt;1,
HYPERLINK("#Roadmap!C"&amp; MATCH($E61,Roadmap!$D:$D,0)+COUNTIF($E61:E61,"u")+COUNTIF($E61:E61,"t")+COUNTIF($E61:E61,"¶")+COUNTIF($E61:E61,"²")+COUNTIF($E61:E61,"µ")+COUNTIF($E61:E61,1)-1,INDEX(Roadmap!$D:$K,MATCH($E61,Roadmap!$D:$D,0)-1+COUNTIF($E61:E61,"u")+COUNTIF($E61:E61,"t")+COUNTIF($E61:E61,"¶")+COUNTIF($E61:E61,"²")+COUNTIF($E61:E61,"µ")+COUNTIF($E61:E61,1),ColDescriptionCourte)),""),
  "")),"")</f>
        <v/>
      </c>
      <c r="G61" s="40" t="str">
        <f ca="1">IFERROR(IF(AND(
  INDEX(Roadmap!$D:$K,MATCH($E61,Roadmap!$D:$D,0)+COUNTIF($E61:F61,"u")+COUNTIF($E61:F61,"t")+COUNTIF($E61:F61,"¶")+COUNTIF($E61:F61,"²")+COUNTIF($E61:F61,"µ")+COUNTIF($E61:F61,1),ColLivraison)=G$6,
  VLOOKUP($E61,INDIRECT("tri!"&amp; CHAR(64+ C0Col) &amp;":"&amp; CHAR(65+C0Col)),2,FALSE)&gt;COUNTIF($E61:F61,"u")+COUNTIF($E61:F61,"t")+COUNTIF($E61:F61,"¶")+COUNTIF($E61:F61,"²")+COUNTIF($E61:F61,"µ")+COUNTIF($E61:F61,1)),
HYPERLINK("#Roadmap!C"&amp; MATCH($E61,Roadmap!$D:$D,0)+COUNTIF($E61:F61,"u")+COUNTIF($E61:F61,"t"),
     INDEX(Roadmap!$D:$K,MATCH($E61,Roadmap!$D:$D,0)+COUNTIF($E61:F61,"u")+COUNTIF($E61:F61,"t")+COUNTIF($E61:F61,"¶")+COUNTIF($E61:F61,"²")+COUNTIF($E61:F61,"µ")+COUNTIF($E61:F61,1),ColTypeEcheance)),
  IF(LEN(F61)=1,
  IF(LEN(INDEX(Roadmap!$D:$K,MATCH($E61,Roadmap!$D:$D,0)-1+COUNTIF($E61:F61,"u")+COUNTIF($E61:F61,"t")+COUNTIF($E61:F61,"¶")+COUNTIF($E61:F61,"²")+COUNTIF($E61:F61,"µ")+COUNTIF($E61:F61,1),ColDescriptionCourte))&gt;1,
HYPERLINK("#Roadmap!C"&amp; MATCH($E61,Roadmap!$D:$D,0)+COUNTIF($E61:F61,"u")+COUNTIF($E61:F61,"t")+COUNTIF($E61:F61,"¶")+COUNTIF($E61:F61,"²")+COUNTIF($E61:F61,"µ")+COUNTIF($E61:F61,1)-1,INDEX(Roadmap!$D:$K,MATCH($E61,Roadmap!$D:$D,0)-1+COUNTIF($E61:F61,"u")+COUNTIF($E61:F61,"t")+COUNTIF($E61:F61,"¶")+COUNTIF($E61:F61,"²")+COUNTIF($E61:F61,"µ")+COUNTIF($E61:F61,1),ColDescriptionCourte)),""),
  "")),"")</f>
        <v/>
      </c>
      <c r="H61" s="40" t="str">
        <f ca="1">IFERROR(IF(AND(
  INDEX(Roadmap!$D:$K,MATCH($E61,Roadmap!$D:$D,0)+COUNTIF($E61:G61,"u")+COUNTIF($E61:G61,"t")+COUNTIF($E61:G61,"¶")+COUNTIF($E61:G61,"²")+COUNTIF($E61:G61,"µ")+COUNTIF($E61:G61,1),ColLivraison)=H$6,
  VLOOKUP($E61,INDIRECT("tri!"&amp; CHAR(64+ C0Col) &amp;":"&amp; CHAR(65+C0Col)),2,FALSE)&gt;COUNTIF($E61:G61,"u")+COUNTIF($E61:G61,"t")+COUNTIF($E61:G61,"¶")+COUNTIF($E61:G61,"²")+COUNTIF($E61:G61,"µ")+COUNTIF($E61:G61,1)),
HYPERLINK("#Roadmap!C"&amp; MATCH($E61,Roadmap!$D:$D,0)+COUNTIF($E61:G61,"u")+COUNTIF($E61:G61,"t"),
     INDEX(Roadmap!$D:$K,MATCH($E61,Roadmap!$D:$D,0)+COUNTIF($E61:G61,"u")+COUNTIF($E61:G61,"t")+COUNTIF($E61:G61,"¶")+COUNTIF($E61:G61,"²")+COUNTIF($E61:G61,"µ")+COUNTIF($E61:G61,1),ColTypeEcheance)),
  IF(LEN(G61)=1,
  IF(LEN(INDEX(Roadmap!$D:$K,MATCH($E61,Roadmap!$D:$D,0)-1+COUNTIF($E61:G61,"u")+COUNTIF($E61:G61,"t")+COUNTIF($E61:G61,"¶")+COUNTIF($E61:G61,"²")+COUNTIF($E61:G61,"µ")+COUNTIF($E61:G61,1),ColDescriptionCourte))&gt;1,
HYPERLINK("#Roadmap!C"&amp; MATCH($E61,Roadmap!$D:$D,0)+COUNTIF($E61:G61,"u")+COUNTIF($E61:G61,"t")+COUNTIF($E61:G61,"¶")+COUNTIF($E61:G61,"²")+COUNTIF($E61:G61,"µ")+COUNTIF($E61:G61,1)-1,INDEX(Roadmap!$D:$K,MATCH($E61,Roadmap!$D:$D,0)-1+COUNTIF($E61:G61,"u")+COUNTIF($E61:G61,"t")+COUNTIF($E61:G61,"¶")+COUNTIF($E61:G61,"²")+COUNTIF($E61:G61,"µ")+COUNTIF($E61:G61,1),ColDescriptionCourte)),""),
  "")),"")</f>
        <v/>
      </c>
      <c r="I61" s="40" t="str">
        <f ca="1">IFERROR(IF(AND(
  INDEX(Roadmap!$D:$K,MATCH($E61,Roadmap!$D:$D,0)+COUNTIF($E61:H61,"u")+COUNTIF($E61:H61,"t")+COUNTIF($E61:H61,"¶")+COUNTIF($E61:H61,"²")+COUNTIF($E61:H61,"µ")+COUNTIF($E61:H61,1),ColLivraison)=I$6,
  VLOOKUP($E61,INDIRECT("tri!"&amp; CHAR(64+ C0Col) &amp;":"&amp; CHAR(65+C0Col)),2,FALSE)&gt;COUNTIF($E61:H61,"u")+COUNTIF($E61:H61,"t")+COUNTIF($E61:H61,"¶")+COUNTIF($E61:H61,"²")+COUNTIF($E61:H61,"µ")+COUNTIF($E61:H61,1)),
HYPERLINK("#Roadmap!C"&amp; MATCH($E61,Roadmap!$D:$D,0)+COUNTIF($E61:H61,"u")+COUNTIF($E61:H61,"t"),
     INDEX(Roadmap!$D:$K,MATCH($E61,Roadmap!$D:$D,0)+COUNTIF($E61:H61,"u")+COUNTIF($E61:H61,"t")+COUNTIF($E61:H61,"¶")+COUNTIF($E61:H61,"²")+COUNTIF($E61:H61,"µ")+COUNTIF($E61:H61,1),ColTypeEcheance)),
  IF(LEN(H61)=1,
  IF(LEN(INDEX(Roadmap!$D:$K,MATCH($E61,Roadmap!$D:$D,0)-1+COUNTIF($E61:H61,"u")+COUNTIF($E61:H61,"t")+COUNTIF($E61:H61,"¶")+COUNTIF($E61:H61,"²")+COUNTIF($E61:H61,"µ")+COUNTIF($E61:H61,1),ColDescriptionCourte))&gt;1,
HYPERLINK("#Roadmap!C"&amp; MATCH($E61,Roadmap!$D:$D,0)+COUNTIF($E61:H61,"u")+COUNTIF($E61:H61,"t")+COUNTIF($E61:H61,"¶")+COUNTIF($E61:H61,"²")+COUNTIF($E61:H61,"µ")+COUNTIF($E61:H61,1)-1,INDEX(Roadmap!$D:$K,MATCH($E61,Roadmap!$D:$D,0)-1+COUNTIF($E61:H61,"u")+COUNTIF($E61:H61,"t")+COUNTIF($E61:H61,"¶")+COUNTIF($E61:H61,"²")+COUNTIF($E61:H61,"µ")+COUNTIF($E61:H61,1),ColDescriptionCourte)),""),
  "")),"")</f>
        <v/>
      </c>
      <c r="J61" s="40" t="str">
        <f ca="1">IFERROR(IF(AND(
  INDEX(Roadmap!$D:$K,MATCH($E61,Roadmap!$D:$D,0)+COUNTIF($E61:I61,"u")+COUNTIF($E61:I61,"t")+COUNTIF($E61:I61,"¶")+COUNTIF($E61:I61,"²")+COUNTIF($E61:I61,"µ")+COUNTIF($E61:I61,1),ColLivraison)=J$6,
  VLOOKUP($E61,INDIRECT("tri!"&amp; CHAR(64+ C0Col) &amp;":"&amp; CHAR(65+C0Col)),2,FALSE)&gt;COUNTIF($E61:I61,"u")+COUNTIF($E61:I61,"t")+COUNTIF($E61:I61,"¶")+COUNTIF($E61:I61,"²")+COUNTIF($E61:I61,"µ")+COUNTIF($E61:I61,1)),
HYPERLINK("#Roadmap!C"&amp; MATCH($E61,Roadmap!$D:$D,0)+COUNTIF($E61:I61,"u")+COUNTIF($E61:I61,"t"),
     INDEX(Roadmap!$D:$K,MATCH($E61,Roadmap!$D:$D,0)+COUNTIF($E61:I61,"u")+COUNTIF($E61:I61,"t")+COUNTIF($E61:I61,"¶")+COUNTIF($E61:I61,"²")+COUNTIF($E61:I61,"µ")+COUNTIF($E61:I61,1),ColTypeEcheance)),
  IF(LEN(I61)=1,
  IF(LEN(INDEX(Roadmap!$D:$K,MATCH($E61,Roadmap!$D:$D,0)-1+COUNTIF($E61:I61,"u")+COUNTIF($E61:I61,"t")+COUNTIF($E61:I61,"¶")+COUNTIF($E61:I61,"²")+COUNTIF($E61:I61,"µ")+COUNTIF($E61:I61,1),ColDescriptionCourte))&gt;1,
HYPERLINK("#Roadmap!C"&amp; MATCH($E61,Roadmap!$D:$D,0)+COUNTIF($E61:I61,"u")+COUNTIF($E61:I61,"t")+COUNTIF($E61:I61,"¶")+COUNTIF($E61:I61,"²")+COUNTIF($E61:I61,"µ")+COUNTIF($E61:I61,1)-1,INDEX(Roadmap!$D:$K,MATCH($E61,Roadmap!$D:$D,0)-1+COUNTIF($E61:I61,"u")+COUNTIF($E61:I61,"t")+COUNTIF($E61:I61,"¶")+COUNTIF($E61:I61,"²")+COUNTIF($E61:I61,"µ")+COUNTIF($E61:I61,1),ColDescriptionCourte)),""),
  "")),"")</f>
        <v/>
      </c>
      <c r="K61" s="40" t="str">
        <f ca="1">IFERROR(IF(AND(
  INDEX(Roadmap!$D:$K,MATCH($E61,Roadmap!$D:$D,0)+COUNTIF($E61:J61,"u")+COUNTIF($E61:J61,"t")+COUNTIF($E61:J61,"¶")+COUNTIF($E61:J61,"²")+COUNTIF($E61:J61,"µ")+COUNTIF($E61:J61,1),ColLivraison)=K$6,
  VLOOKUP($E61,INDIRECT("tri!"&amp; CHAR(64+ C0Col) &amp;":"&amp; CHAR(65+C0Col)),2,FALSE)&gt;COUNTIF($E61:J61,"u")+COUNTIF($E61:J61,"t")+COUNTIF($E61:J61,"¶")+COUNTIF($E61:J61,"²")+COUNTIF($E61:J61,"µ")+COUNTIF($E61:J61,1)),
HYPERLINK("#Roadmap!C"&amp; MATCH($E61,Roadmap!$D:$D,0)+COUNTIF($E61:J61,"u")+COUNTIF($E61:J61,"t"),
     INDEX(Roadmap!$D:$K,MATCH($E61,Roadmap!$D:$D,0)+COUNTIF($E61:J61,"u")+COUNTIF($E61:J61,"t")+COUNTIF($E61:J61,"¶")+COUNTIF($E61:J61,"²")+COUNTIF($E61:J61,"µ")+COUNTIF($E61:J61,1),ColTypeEcheance)),
  IF(LEN(J61)=1,
  IF(LEN(INDEX(Roadmap!$D:$K,MATCH($E61,Roadmap!$D:$D,0)-1+COUNTIF($E61:J61,"u")+COUNTIF($E61:J61,"t")+COUNTIF($E61:J61,"¶")+COUNTIF($E61:J61,"²")+COUNTIF($E61:J61,"µ")+COUNTIF($E61:J61,1),ColDescriptionCourte))&gt;1,
HYPERLINK("#Roadmap!C"&amp; MATCH($E61,Roadmap!$D:$D,0)+COUNTIF($E61:J61,"u")+COUNTIF($E61:J61,"t")+COUNTIF($E61:J61,"¶")+COUNTIF($E61:J61,"²")+COUNTIF($E61:J61,"µ")+COUNTIF($E61:J61,1)-1,INDEX(Roadmap!$D:$K,MATCH($E61,Roadmap!$D:$D,0)-1+COUNTIF($E61:J61,"u")+COUNTIF($E61:J61,"t")+COUNTIF($E61:J61,"¶")+COUNTIF($E61:J61,"²")+COUNTIF($E61:J61,"µ")+COUNTIF($E61:J61,1),ColDescriptionCourte)),""),
  "")),"")</f>
        <v/>
      </c>
      <c r="L61" s="39" t="str">
        <f ca="1">IFERROR(IF(AND(
  INDEX(Roadmap!$D:$K,MATCH($E61,Roadmap!$D:$D,0)+COUNTIF($E61:K61,"u")+COUNTIF($E61:K61,"t")+COUNTIF($E61:K61,"¶")+COUNTIF($E61:K61,"²")+COUNTIF($E61:K61,"µ")+COUNTIF($E61:K61,1),ColLivraison)=L$6,
  VLOOKUP($E61,INDIRECT("tri!"&amp; CHAR(64+ C0Col) &amp;":"&amp; CHAR(65+C0Col)),2,FALSE)&gt;COUNTIF($E61:K61,"u")+COUNTIF($E61:K61,"t")+COUNTIF($E61:K61,"¶")+COUNTIF($E61:K61,"²")+COUNTIF($E61:K61,"µ")+COUNTIF($E61:K61,1)),
HYPERLINK("#Roadmap!C"&amp; MATCH($E61,Roadmap!$D:$D,0)+COUNTIF($E61:K61,"u")+COUNTIF($E61:K61,"t"),
     INDEX(Roadmap!$D:$K,MATCH($E61,Roadmap!$D:$D,0)+COUNTIF($E61:K61,"u")+COUNTIF($E61:K61,"t")+COUNTIF($E61:K61,"¶")+COUNTIF($E61:K61,"²")+COUNTIF($E61:K61,"µ")+COUNTIF($E61:K61,1),ColTypeEcheance)),
  IF(LEN(K61)=1,
  IF(LEN(INDEX(Roadmap!$D:$K,MATCH($E61,Roadmap!$D:$D,0)-1+COUNTIF($E61:K61,"u")+COUNTIF($E61:K61,"t")+COUNTIF($E61:K61,"¶")+COUNTIF($E61:K61,"²")+COUNTIF($E61:K61,"µ")+COUNTIF($E61:K61,1),ColDescriptionCourte))&gt;1,
HYPERLINK("#Roadmap!C"&amp; MATCH($E61,Roadmap!$D:$D,0)+COUNTIF($E61:K61,"u")+COUNTIF($E61:K61,"t")+COUNTIF($E61:K61,"¶")+COUNTIF($E61:K61,"²")+COUNTIF($E61:K61,"µ")+COUNTIF($E61:K61,1)-1,INDEX(Roadmap!$D:$K,MATCH($E61,Roadmap!$D:$D,0)-1+COUNTIF($E61:K61,"u")+COUNTIF($E61:K61,"t")+COUNTIF($E61:K61,"¶")+COUNTIF($E61:K61,"²")+COUNTIF($E61:K61,"µ")+COUNTIF($E61:K61,1),ColDescriptionCourte)),""),
  "")),"")</f>
        <v/>
      </c>
      <c r="M61" s="40" t="str">
        <f ca="1">IFERROR(IF(AND(
  INDEX(Roadmap!$D:$K,MATCH($E61,Roadmap!$D:$D,0)+COUNTIF($E61:L61,"u")+COUNTIF($E61:L61,"t")+COUNTIF($E61:L61,"¶")+COUNTIF($E61:L61,"²")+COUNTIF($E61:L61,"µ")+COUNTIF($E61:L61,1),ColLivraison)=M$6,
  VLOOKUP($E61,INDIRECT("tri!"&amp; CHAR(64+ C0Col) &amp;":"&amp; CHAR(65+C0Col)),2,FALSE)&gt;COUNTIF($E61:L61,"u")+COUNTIF($E61:L61,"t")+COUNTIF($E61:L61,"¶")+COUNTIF($E61:L61,"²")+COUNTIF($E61:L61,"µ")+COUNTIF($E61:L61,1)),
HYPERLINK("#Roadmap!C"&amp; MATCH($E61,Roadmap!$D:$D,0)+COUNTIF($E61:L61,"u")+COUNTIF($E61:L61,"t"),
     INDEX(Roadmap!$D:$K,MATCH($E61,Roadmap!$D:$D,0)+COUNTIF($E61:L61,"u")+COUNTIF($E61:L61,"t")+COUNTIF($E61:L61,"¶")+COUNTIF($E61:L61,"²")+COUNTIF($E61:L61,"µ")+COUNTIF($E61:L61,1),ColTypeEcheance)),
  IF(LEN(L61)=1,
  IF(LEN(INDEX(Roadmap!$D:$K,MATCH($E61,Roadmap!$D:$D,0)-1+COUNTIF($E61:L61,"u")+COUNTIF($E61:L61,"t")+COUNTIF($E61:L61,"¶")+COUNTIF($E61:L61,"²")+COUNTIF($E61:L61,"µ")+COUNTIF($E61:L61,1),ColDescriptionCourte))&gt;1,
HYPERLINK("#Roadmap!C"&amp; MATCH($E61,Roadmap!$D:$D,0)+COUNTIF($E61:L61,"u")+COUNTIF($E61:L61,"t")+COUNTIF($E61:L61,"¶")+COUNTIF($E61:L61,"²")+COUNTIF($E61:L61,"µ")+COUNTIF($E61:L61,1)-1,INDEX(Roadmap!$D:$K,MATCH($E61,Roadmap!$D:$D,0)-1+COUNTIF($E61:L61,"u")+COUNTIF($E61:L61,"t")+COUNTIF($E61:L61,"¶")+COUNTIF($E61:L61,"²")+COUNTIF($E61:L61,"µ")+COUNTIF($E61:L61,1),ColDescriptionCourte)),""),
  "")),"")</f>
        <v/>
      </c>
      <c r="N61" s="40" t="str">
        <f ca="1">IFERROR(IF(AND(
  INDEX(Roadmap!$D:$K,MATCH($E61,Roadmap!$D:$D,0)+COUNTIF($E61:M61,"u")+COUNTIF($E61:M61,"t")+COUNTIF($E61:M61,"¶")+COUNTIF($E61:M61,"²")+COUNTIF($E61:M61,"µ")+COUNTIF($E61:M61,1),ColLivraison)=N$6,
  VLOOKUP($E61,INDIRECT("tri!"&amp; CHAR(64+ C0Col) &amp;":"&amp; CHAR(65+C0Col)),2,FALSE)&gt;COUNTIF($E61:M61,"u")+COUNTIF($E61:M61,"t")+COUNTIF($E61:M61,"¶")+COUNTIF($E61:M61,"²")+COUNTIF($E61:M61,"µ")+COUNTIF($E61:M61,1)),
HYPERLINK("#Roadmap!C"&amp; MATCH($E61,Roadmap!$D:$D,0)+COUNTIF($E61:M61,"u")+COUNTIF($E61:M61,"t"),
     INDEX(Roadmap!$D:$K,MATCH($E61,Roadmap!$D:$D,0)+COUNTIF($E61:M61,"u")+COUNTIF($E61:M61,"t")+COUNTIF($E61:M61,"¶")+COUNTIF($E61:M61,"²")+COUNTIF($E61:M61,"µ")+COUNTIF($E61:M61,1),ColTypeEcheance)),
  IF(LEN(M61)=1,
  IF(LEN(INDEX(Roadmap!$D:$K,MATCH($E61,Roadmap!$D:$D,0)-1+COUNTIF($E61:M61,"u")+COUNTIF($E61:M61,"t")+COUNTIF($E61:M61,"¶")+COUNTIF($E61:M61,"²")+COUNTIF($E61:M61,"µ")+COUNTIF($E61:M61,1),ColDescriptionCourte))&gt;1,
HYPERLINK("#Roadmap!C"&amp; MATCH($E61,Roadmap!$D:$D,0)+COUNTIF($E61:M61,"u")+COUNTIF($E61:M61,"t")+COUNTIF($E61:M61,"¶")+COUNTIF($E61:M61,"²")+COUNTIF($E61:M61,"µ")+COUNTIF($E61:M61,1)-1,INDEX(Roadmap!$D:$K,MATCH($E61,Roadmap!$D:$D,0)-1+COUNTIF($E61:M61,"u")+COUNTIF($E61:M61,"t")+COUNTIF($E61:M61,"¶")+COUNTIF($E61:M61,"²")+COUNTIF($E61:M61,"µ")+COUNTIF($E61:M61,1),ColDescriptionCourte)),""),
  "")),"")</f>
        <v/>
      </c>
      <c r="O61" s="40" t="str">
        <f ca="1">IFERROR(IF(AND(
  INDEX(Roadmap!$D:$K,MATCH($E61,Roadmap!$D:$D,0)+COUNTIF($E61:N61,"u")+COUNTIF($E61:N61,"t")+COUNTIF($E61:N61,"¶")+COUNTIF($E61:N61,"²")+COUNTIF($E61:N61,"µ")+COUNTIF($E61:N61,1),ColLivraison)=O$6,
  VLOOKUP($E61,INDIRECT("tri!"&amp; CHAR(64+ C0Col) &amp;":"&amp; CHAR(65+C0Col)),2,FALSE)&gt;COUNTIF($E61:N61,"u")+COUNTIF($E61:N61,"t")+COUNTIF($E61:N61,"¶")+COUNTIF($E61:N61,"²")+COUNTIF($E61:N61,"µ")+COUNTIF($E61:N61,1)),
HYPERLINK("#Roadmap!C"&amp; MATCH($E61,Roadmap!$D:$D,0)+COUNTIF($E61:N61,"u")+COUNTIF($E61:N61,"t"),
     INDEX(Roadmap!$D:$K,MATCH($E61,Roadmap!$D:$D,0)+COUNTIF($E61:N61,"u")+COUNTIF($E61:N61,"t")+COUNTIF($E61:N61,"¶")+COUNTIF($E61:N61,"²")+COUNTIF($E61:N61,"µ")+COUNTIF($E61:N61,1),ColTypeEcheance)),
  IF(LEN(N61)=1,
  IF(LEN(INDEX(Roadmap!$D:$K,MATCH($E61,Roadmap!$D:$D,0)-1+COUNTIF($E61:N61,"u")+COUNTIF($E61:N61,"t")+COUNTIF($E61:N61,"¶")+COUNTIF($E61:N61,"²")+COUNTIF($E61:N61,"µ")+COUNTIF($E61:N61,1),ColDescriptionCourte))&gt;1,
HYPERLINK("#Roadmap!C"&amp; MATCH($E61,Roadmap!$D:$D,0)+COUNTIF($E61:N61,"u")+COUNTIF($E61:N61,"t")+COUNTIF($E61:N61,"¶")+COUNTIF($E61:N61,"²")+COUNTIF($E61:N61,"µ")+COUNTIF($E61:N61,1)-1,INDEX(Roadmap!$D:$K,MATCH($E61,Roadmap!$D:$D,0)-1+COUNTIF($E61:N61,"u")+COUNTIF($E61:N61,"t")+COUNTIF($E61:N61,"¶")+COUNTIF($E61:N61,"²")+COUNTIF($E61:N61,"µ")+COUNTIF($E61:N61,1),ColDescriptionCourte)),""),
  "")),"")</f>
        <v/>
      </c>
      <c r="P61" s="40" t="str">
        <f ca="1">IFERROR(IF(AND(
  INDEX(Roadmap!$D:$K,MATCH($E61,Roadmap!$D:$D,0)+COUNTIF($E61:O61,"u")+COUNTIF($E61:O61,"t")+COUNTIF($E61:O61,"¶")+COUNTIF($E61:O61,"²")+COUNTIF($E61:O61,"µ")+COUNTIF($E61:O61,1),ColLivraison)=P$6,
  VLOOKUP($E61,INDIRECT("tri!"&amp; CHAR(64+ C0Col) &amp;":"&amp; CHAR(65+C0Col)),2,FALSE)&gt;COUNTIF($E61:O61,"u")+COUNTIF($E61:O61,"t")+COUNTIF($E61:O61,"¶")+COUNTIF($E61:O61,"²")+COUNTIF($E61:O61,"µ")+COUNTIF($E61:O61,1)),
HYPERLINK("#Roadmap!C"&amp; MATCH($E61,Roadmap!$D:$D,0)+COUNTIF($E61:O61,"u")+COUNTIF($E61:O61,"t"),
     INDEX(Roadmap!$D:$K,MATCH($E61,Roadmap!$D:$D,0)+COUNTIF($E61:O61,"u")+COUNTIF($E61:O61,"t")+COUNTIF($E61:O61,"¶")+COUNTIF($E61:O61,"²")+COUNTIF($E61:O61,"µ")+COUNTIF($E61:O61,1),ColTypeEcheance)),
  IF(LEN(O61)=1,
  IF(LEN(INDEX(Roadmap!$D:$K,MATCH($E61,Roadmap!$D:$D,0)-1+COUNTIF($E61:O61,"u")+COUNTIF($E61:O61,"t")+COUNTIF($E61:O61,"¶")+COUNTIF($E61:O61,"²")+COUNTIF($E61:O61,"µ")+COUNTIF($E61:O61,1),ColDescriptionCourte))&gt;1,
HYPERLINK("#Roadmap!C"&amp; MATCH($E61,Roadmap!$D:$D,0)+COUNTIF($E61:O61,"u")+COUNTIF($E61:O61,"t")+COUNTIF($E61:O61,"¶")+COUNTIF($E61:O61,"²")+COUNTIF($E61:O61,"µ")+COUNTIF($E61:O61,1)-1,INDEX(Roadmap!$D:$K,MATCH($E61,Roadmap!$D:$D,0)-1+COUNTIF($E61:O61,"u")+COUNTIF($E61:O61,"t")+COUNTIF($E61:O61,"¶")+COUNTIF($E61:O61,"²")+COUNTIF($E61:O61,"µ")+COUNTIF($E61:O61,1),ColDescriptionCourte)),""),
  "")),"")</f>
        <v/>
      </c>
      <c r="Q61" s="40" t="str">
        <f ca="1">IFERROR(IF(AND(
  INDEX(Roadmap!$D:$K,MATCH($E61,Roadmap!$D:$D,0)+COUNTIF($E61:P61,"u")+COUNTIF($E61:P61,"t")+COUNTIF($E61:P61,"¶")+COUNTIF($E61:P61,"²")+COUNTIF($E61:P61,"µ")+COUNTIF($E61:P61,1),ColLivraison)=Q$6,
  VLOOKUP($E61,INDIRECT("tri!"&amp; CHAR(64+ C0Col) &amp;":"&amp; CHAR(65+C0Col)),2,FALSE)&gt;COUNTIF($E61:P61,"u")+COUNTIF($E61:P61,"t")+COUNTIF($E61:P61,"¶")+COUNTIF($E61:P61,"²")+COUNTIF($E61:P61,"µ")+COUNTIF($E61:P61,1)),
HYPERLINK("#Roadmap!C"&amp; MATCH($E61,Roadmap!$D:$D,0)+COUNTIF($E61:P61,"u")+COUNTIF($E61:P61,"t"),
     INDEX(Roadmap!$D:$K,MATCH($E61,Roadmap!$D:$D,0)+COUNTIF($E61:P61,"u")+COUNTIF($E61:P61,"t")+COUNTIF($E61:P61,"¶")+COUNTIF($E61:P61,"²")+COUNTIF($E61:P61,"µ")+COUNTIF($E61:P61,1),ColTypeEcheance)),
  IF(LEN(P61)=1,
  IF(LEN(INDEX(Roadmap!$D:$K,MATCH($E61,Roadmap!$D:$D,0)-1+COUNTIF($E61:P61,"u")+COUNTIF($E61:P61,"t")+COUNTIF($E61:P61,"¶")+COUNTIF($E61:P61,"²")+COUNTIF($E61:P61,"µ")+COUNTIF($E61:P61,1),ColDescriptionCourte))&gt;1,
HYPERLINK("#Roadmap!C"&amp; MATCH($E61,Roadmap!$D:$D,0)+COUNTIF($E61:P61,"u")+COUNTIF($E61:P61,"t")+COUNTIF($E61:P61,"¶")+COUNTIF($E61:P61,"²")+COUNTIF($E61:P61,"µ")+COUNTIF($E61:P61,1)-1,INDEX(Roadmap!$D:$K,MATCH($E61,Roadmap!$D:$D,0)-1+COUNTIF($E61:P61,"u")+COUNTIF($E61:P61,"t")+COUNTIF($E61:P61,"¶")+COUNTIF($E61:P61,"²")+COUNTIF($E61:P61,"µ")+COUNTIF($E61:P61,1),ColDescriptionCourte)),""),
  "")),"")</f>
        <v/>
      </c>
      <c r="R61" s="40" t="str">
        <f ca="1">IFERROR(IF(AND(
  INDEX(Roadmap!$D:$K,MATCH($E61,Roadmap!$D:$D,0)+COUNTIF($E61:Q61,"u")+COUNTIF($E61:Q61,"t")+COUNTIF($E61:Q61,"¶")+COUNTIF($E61:Q61,"²")+COUNTIF($E61:Q61,"µ")+COUNTIF($E61:Q61,1),ColLivraison)=R$6,
  VLOOKUP($E61,INDIRECT("tri!"&amp; CHAR(64+ C0Col) &amp;":"&amp; CHAR(65+C0Col)),2,FALSE)&gt;COUNTIF($E61:Q61,"u")+COUNTIF($E61:Q61,"t")+COUNTIF($E61:Q61,"¶")+COUNTIF($E61:Q61,"²")+COUNTIF($E61:Q61,"µ")+COUNTIF($E61:Q61,1)),
HYPERLINK("#Roadmap!C"&amp; MATCH($E61,Roadmap!$D:$D,0)+COUNTIF($E61:Q61,"u")+COUNTIF($E61:Q61,"t"),
     INDEX(Roadmap!$D:$K,MATCH($E61,Roadmap!$D:$D,0)+COUNTIF($E61:Q61,"u")+COUNTIF($E61:Q61,"t")+COUNTIF($E61:Q61,"¶")+COUNTIF($E61:Q61,"²")+COUNTIF($E61:Q61,"µ")+COUNTIF($E61:Q61,1),ColTypeEcheance)),
  IF(LEN(Q61)=1,
  IF(LEN(INDEX(Roadmap!$D:$K,MATCH($E61,Roadmap!$D:$D,0)-1+COUNTIF($E61:Q61,"u")+COUNTIF($E61:Q61,"t")+COUNTIF($E61:Q61,"¶")+COUNTIF($E61:Q61,"²")+COUNTIF($E61:Q61,"µ")+COUNTIF($E61:Q61,1),ColDescriptionCourte))&gt;1,
HYPERLINK("#Roadmap!C"&amp; MATCH($E61,Roadmap!$D:$D,0)+COUNTIF($E61:Q61,"u")+COUNTIF($E61:Q61,"t")+COUNTIF($E61:Q61,"¶")+COUNTIF($E61:Q61,"²")+COUNTIF($E61:Q61,"µ")+COUNTIF($E61:Q61,1)-1,INDEX(Roadmap!$D:$K,MATCH($E61,Roadmap!$D:$D,0)-1+COUNTIF($E61:Q61,"u")+COUNTIF($E61:Q61,"t")+COUNTIF($E61:Q61,"¶")+COUNTIF($E61:Q61,"²")+COUNTIF($E61:Q61,"µ")+COUNTIF($E61:Q61,1),ColDescriptionCourte)),""),
  "")),"")</f>
        <v/>
      </c>
      <c r="S61" s="40" t="str">
        <f ca="1">IFERROR(IF(AND(
  INDEX(Roadmap!$D:$K,MATCH($E61,Roadmap!$D:$D,0)+COUNTIF($E61:R61,"u")+COUNTIF($E61:R61,"t")+COUNTIF($E61:R61,"¶")+COUNTIF($E61:R61,"²")+COUNTIF($E61:R61,"µ")+COUNTIF($E61:R61,1),ColLivraison)=S$6,
  VLOOKUP($E61,INDIRECT("tri!"&amp; CHAR(64+ C0Col) &amp;":"&amp; CHAR(65+C0Col)),2,FALSE)&gt;COUNTIF($E61:R61,"u")+COUNTIF($E61:R61,"t")+COUNTIF($E61:R61,"¶")+COUNTIF($E61:R61,"²")+COUNTIF($E61:R61,"µ")+COUNTIF($E61:R61,1)),
HYPERLINK("#Roadmap!C"&amp; MATCH($E61,Roadmap!$D:$D,0)+COUNTIF($E61:R61,"u")+COUNTIF($E61:R61,"t"),
     INDEX(Roadmap!$D:$K,MATCH($E61,Roadmap!$D:$D,0)+COUNTIF($E61:R61,"u")+COUNTIF($E61:R61,"t")+COUNTIF($E61:R61,"¶")+COUNTIF($E61:R61,"²")+COUNTIF($E61:R61,"µ")+COUNTIF($E61:R61,1),ColTypeEcheance)),
  IF(LEN(R61)=1,
  IF(LEN(INDEX(Roadmap!$D:$K,MATCH($E61,Roadmap!$D:$D,0)-1+COUNTIF($E61:R61,"u")+COUNTIF($E61:R61,"t")+COUNTIF($E61:R61,"¶")+COUNTIF($E61:R61,"²")+COUNTIF($E61:R61,"µ")+COUNTIF($E61:R61,1),ColDescriptionCourte))&gt;1,
HYPERLINK("#Roadmap!C"&amp; MATCH($E61,Roadmap!$D:$D,0)+COUNTIF($E61:R61,"u")+COUNTIF($E61:R61,"t")+COUNTIF($E61:R61,"¶")+COUNTIF($E61:R61,"²")+COUNTIF($E61:R61,"µ")+COUNTIF($E61:R61,1)-1,INDEX(Roadmap!$D:$K,MATCH($E61,Roadmap!$D:$D,0)-1+COUNTIF($E61:R61,"u")+COUNTIF($E61:R61,"t")+COUNTIF($E61:R61,"¶")+COUNTIF($E61:R61,"²")+COUNTIF($E61:R61,"µ")+COUNTIF($E61:R61,1),ColDescriptionCourte)),""),
  "")),"")</f>
        <v/>
      </c>
      <c r="T61" s="40" t="str">
        <f ca="1">IFERROR(IF(AND(
  INDEX(Roadmap!$D:$K,MATCH($E61,Roadmap!$D:$D,0)+COUNTIF($E61:S61,"u")+COUNTIF($E61:S61,"t")+COUNTIF($E61:S61,"¶")+COUNTIF($E61:S61,"²")+COUNTIF($E61:S61,"µ")+COUNTIF($E61:S61,1),ColLivraison)=T$6,
  VLOOKUP($E61,INDIRECT("tri!"&amp; CHAR(64+ C0Col) &amp;":"&amp; CHAR(65+C0Col)),2,FALSE)&gt;COUNTIF($E61:S61,"u")+COUNTIF($E61:S61,"t")+COUNTIF($E61:S61,"¶")+COUNTIF($E61:S61,"²")+COUNTIF($E61:S61,"µ")+COUNTIF($E61:S61,1)),
HYPERLINK("#Roadmap!C"&amp; MATCH($E61,Roadmap!$D:$D,0)+COUNTIF($E61:S61,"u")+COUNTIF($E61:S61,"t"),
     INDEX(Roadmap!$D:$K,MATCH($E61,Roadmap!$D:$D,0)+COUNTIF($E61:S61,"u")+COUNTIF($E61:S61,"t")+COUNTIF($E61:S61,"¶")+COUNTIF($E61:S61,"²")+COUNTIF($E61:S61,"µ")+COUNTIF($E61:S61,1),ColTypeEcheance)),
  IF(LEN(S61)=1,
  IF(LEN(INDEX(Roadmap!$D:$K,MATCH($E61,Roadmap!$D:$D,0)-1+COUNTIF($E61:S61,"u")+COUNTIF($E61:S61,"t")+COUNTIF($E61:S61,"¶")+COUNTIF($E61:S61,"²")+COUNTIF($E61:S61,"µ")+COUNTIF($E61:S61,1),ColDescriptionCourte))&gt;1,
HYPERLINK("#Roadmap!C"&amp; MATCH($E61,Roadmap!$D:$D,0)+COUNTIF($E61:S61,"u")+COUNTIF($E61:S61,"t")+COUNTIF($E61:S61,"¶")+COUNTIF($E61:S61,"²")+COUNTIF($E61:S61,"µ")+COUNTIF($E61:S61,1)-1,INDEX(Roadmap!$D:$K,MATCH($E61,Roadmap!$D:$D,0)-1+COUNTIF($E61:S61,"u")+COUNTIF($E61:S61,"t")+COUNTIF($E61:S61,"¶")+COUNTIF($E61:S61,"²")+COUNTIF($E61:S61,"µ")+COUNTIF($E61:S61,1),ColDescriptionCourte)),""),
  "")),"")</f>
        <v/>
      </c>
      <c r="U61" s="40" t="str">
        <f ca="1">IFERROR(IF(AND(
  INDEX(Roadmap!$D:$K,MATCH($E61,Roadmap!$D:$D,0)+COUNTIF($E61:T61,"u")+COUNTIF($E61:T61,"t")+COUNTIF($E61:T61,"¶")+COUNTIF($E61:T61,"²")+COUNTIF($E61:T61,"µ")+COUNTIF($E61:T61,1),ColLivraison)=U$6,
  VLOOKUP($E61,INDIRECT("tri!"&amp; CHAR(64+ C0Col) &amp;":"&amp; CHAR(65+C0Col)),2,FALSE)&gt;COUNTIF($E61:T61,"u")+COUNTIF($E61:T61,"t")+COUNTIF($E61:T61,"¶")+COUNTIF($E61:T61,"²")+COUNTIF($E61:T61,"µ")+COUNTIF($E61:T61,1)),
HYPERLINK("#Roadmap!C"&amp; MATCH($E61,Roadmap!$D:$D,0)+COUNTIF($E61:T61,"u")+COUNTIF($E61:T61,"t"),
     INDEX(Roadmap!$D:$K,MATCH($E61,Roadmap!$D:$D,0)+COUNTIF($E61:T61,"u")+COUNTIF($E61:T61,"t")+COUNTIF($E61:T61,"¶")+COUNTIF($E61:T61,"²")+COUNTIF($E61:T61,"µ")+COUNTIF($E61:T61,1),ColTypeEcheance)),
  IF(LEN(T61)=1,
  IF(LEN(INDEX(Roadmap!$D:$K,MATCH($E61,Roadmap!$D:$D,0)-1+COUNTIF($E61:T61,"u")+COUNTIF($E61:T61,"t")+COUNTIF($E61:T61,"¶")+COUNTIF($E61:T61,"²")+COUNTIF($E61:T61,"µ")+COUNTIF($E61:T61,1),ColDescriptionCourte))&gt;1,
HYPERLINK("#Roadmap!C"&amp; MATCH($E61,Roadmap!$D:$D,0)+COUNTIF($E61:T61,"u")+COUNTIF($E61:T61,"t")+COUNTIF($E61:T61,"¶")+COUNTIF($E61:T61,"²")+COUNTIF($E61:T61,"µ")+COUNTIF($E61:T61,1)-1,INDEX(Roadmap!$D:$K,MATCH($E61,Roadmap!$D:$D,0)-1+COUNTIF($E61:T61,"u")+COUNTIF($E61:T61,"t")+COUNTIF($E61:T61,"¶")+COUNTIF($E61:T61,"²")+COUNTIF($E61:T61,"µ")+COUNTIF($E61:T61,1),ColDescriptionCourte)),""),
  "")),"")</f>
        <v/>
      </c>
      <c r="V61" s="40" t="str">
        <f ca="1">IFERROR(IF(AND(
  INDEX(Roadmap!$D:$K,MATCH($E61,Roadmap!$D:$D,0)+COUNTIF($E61:U61,"u")+COUNTIF($E61:U61,"t")+COUNTIF($E61:U61,"¶")+COUNTIF($E61:U61,"²")+COUNTIF($E61:U61,"µ")+COUNTIF($E61:U61,1),ColLivraison)=V$6,
  VLOOKUP($E61,INDIRECT("tri!"&amp; CHAR(64+ C0Col) &amp;":"&amp; CHAR(65+C0Col)),2,FALSE)&gt;COUNTIF($E61:U61,"u")+COUNTIF($E61:U61,"t")+COUNTIF($E61:U61,"¶")+COUNTIF($E61:U61,"²")+COUNTIF($E61:U61,"µ")+COUNTIF($E61:U61,1)),
HYPERLINK("#Roadmap!C"&amp; MATCH($E61,Roadmap!$D:$D,0)+COUNTIF($E61:U61,"u")+COUNTIF($E61:U61,"t"),
     INDEX(Roadmap!$D:$K,MATCH($E61,Roadmap!$D:$D,0)+COUNTIF($E61:U61,"u")+COUNTIF($E61:U61,"t")+COUNTIF($E61:U61,"¶")+COUNTIF($E61:U61,"²")+COUNTIF($E61:U61,"µ")+COUNTIF($E61:U61,1),ColTypeEcheance)),
  IF(LEN(U61)=1,
  IF(LEN(INDEX(Roadmap!$D:$K,MATCH($E61,Roadmap!$D:$D,0)-1+COUNTIF($E61:U61,"u")+COUNTIF($E61:U61,"t")+COUNTIF($E61:U61,"¶")+COUNTIF($E61:U61,"²")+COUNTIF($E61:U61,"µ")+COUNTIF($E61:U61,1),ColDescriptionCourte))&gt;1,
HYPERLINK("#Roadmap!C"&amp; MATCH($E61,Roadmap!$D:$D,0)+COUNTIF($E61:U61,"u")+COUNTIF($E61:U61,"t")+COUNTIF($E61:U61,"¶")+COUNTIF($E61:U61,"²")+COUNTIF($E61:U61,"µ")+COUNTIF($E61:U61,1)-1,INDEX(Roadmap!$D:$K,MATCH($E61,Roadmap!$D:$D,0)-1+COUNTIF($E61:U61,"u")+COUNTIF($E61:U61,"t")+COUNTIF($E61:U61,"¶")+COUNTIF($E61:U61,"²")+COUNTIF($E61:U61,"µ")+COUNTIF($E61:U61,1),ColDescriptionCourte)),""),
  "")),"")</f>
        <v/>
      </c>
      <c r="W61" s="40" t="str">
        <f ca="1">IFERROR(IF(AND(
  INDEX(Roadmap!$D:$K,MATCH($E61,Roadmap!$D:$D,0)+COUNTIF($E61:V61,"u")+COUNTIF($E61:V61,"t")+COUNTIF($E61:V61,"¶")+COUNTIF($E61:V61,"²")+COUNTIF($E61:V61,"µ")+COUNTIF($E61:V61,1),ColLivraison)=W$6,
  VLOOKUP($E61,INDIRECT("tri!"&amp; CHAR(64+ C0Col) &amp;":"&amp; CHAR(65+C0Col)),2,FALSE)&gt;COUNTIF($E61:V61,"u")+COUNTIF($E61:V61,"t")+COUNTIF($E61:V61,"¶")+COUNTIF($E61:V61,"²")+COUNTIF($E61:V61,"µ")+COUNTIF($E61:V61,1)),
HYPERLINK("#Roadmap!C"&amp; MATCH($E61,Roadmap!$D:$D,0)+COUNTIF($E61:V61,"u")+COUNTIF($E61:V61,"t"),
     INDEX(Roadmap!$D:$K,MATCH($E61,Roadmap!$D:$D,0)+COUNTIF($E61:V61,"u")+COUNTIF($E61:V61,"t")+COUNTIF($E61:V61,"¶")+COUNTIF($E61:V61,"²")+COUNTIF($E61:V61,"µ")+COUNTIF($E61:V61,1),ColTypeEcheance)),
  IF(LEN(V61)=1,
  IF(LEN(INDEX(Roadmap!$D:$K,MATCH($E61,Roadmap!$D:$D,0)-1+COUNTIF($E61:V61,"u")+COUNTIF($E61:V61,"t")+COUNTIF($E61:V61,"¶")+COUNTIF($E61:V61,"²")+COUNTIF($E61:V61,"µ")+COUNTIF($E61:V61,1),ColDescriptionCourte))&gt;1,
HYPERLINK("#Roadmap!C"&amp; MATCH($E61,Roadmap!$D:$D,0)+COUNTIF($E61:V61,"u")+COUNTIF($E61:V61,"t")+COUNTIF($E61:V61,"¶")+COUNTIF($E61:V61,"²")+COUNTIF($E61:V61,"µ")+COUNTIF($E61:V61,1)-1,INDEX(Roadmap!$D:$K,MATCH($E61,Roadmap!$D:$D,0)-1+COUNTIF($E61:V61,"u")+COUNTIF($E61:V61,"t")+COUNTIF($E61:V61,"¶")+COUNTIF($E61:V61,"²")+COUNTIF($E61:V61,"µ")+COUNTIF($E61:V61,1),ColDescriptionCourte)),""),
  "")),"")</f>
        <v/>
      </c>
      <c r="X61" s="40" t="str">
        <f ca="1">IFERROR(IF(AND(
  INDEX(Roadmap!$D:$K,MATCH($E61,Roadmap!$D:$D,0)+COUNTIF($E61:W61,"u")+COUNTIF($E61:W61,"t")+COUNTIF($E61:W61,"¶")+COUNTIF($E61:W61,"²")+COUNTIF($E61:W61,"µ")+COUNTIF($E61:W61,1),ColLivraison)=X$6,
  VLOOKUP($E61,INDIRECT("tri!"&amp; CHAR(64+ C0Col) &amp;":"&amp; CHAR(65+C0Col)),2,FALSE)&gt;COUNTIF($E61:W61,"u")+COUNTIF($E61:W61,"t")+COUNTIF($E61:W61,"¶")+COUNTIF($E61:W61,"²")+COUNTIF($E61:W61,"µ")+COUNTIF($E61:W61,1)),
HYPERLINK("#Roadmap!C"&amp; MATCH($E61,Roadmap!$D:$D,0)+COUNTIF($E61:W61,"u")+COUNTIF($E61:W61,"t"),
     INDEX(Roadmap!$D:$K,MATCH($E61,Roadmap!$D:$D,0)+COUNTIF($E61:W61,"u")+COUNTIF($E61:W61,"t")+COUNTIF($E61:W61,"¶")+COUNTIF($E61:W61,"²")+COUNTIF($E61:W61,"µ")+COUNTIF($E61:W61,1),ColTypeEcheance)),
  IF(LEN(W61)=1,
  IF(LEN(INDEX(Roadmap!$D:$K,MATCH($E61,Roadmap!$D:$D,0)-1+COUNTIF($E61:W61,"u")+COUNTIF($E61:W61,"t")+COUNTIF($E61:W61,"¶")+COUNTIF($E61:W61,"²")+COUNTIF($E61:W61,"µ")+COUNTIF($E61:W61,1),ColDescriptionCourte))&gt;1,
HYPERLINK("#Roadmap!C"&amp; MATCH($E61,Roadmap!$D:$D,0)+COUNTIF($E61:W61,"u")+COUNTIF($E61:W61,"t")+COUNTIF($E61:W61,"¶")+COUNTIF($E61:W61,"²")+COUNTIF($E61:W61,"µ")+COUNTIF($E61:W61,1)-1,INDEX(Roadmap!$D:$K,MATCH($E61,Roadmap!$D:$D,0)-1+COUNTIF($E61:W61,"u")+COUNTIF($E61:W61,"t")+COUNTIF($E61:W61,"¶")+COUNTIF($E61:W61,"²")+COUNTIF($E61:W61,"µ")+COUNTIF($E61:W61,1),ColDescriptionCourte)),""),
  "")),"")</f>
        <v/>
      </c>
      <c r="Y61" s="40" t="str">
        <f ca="1">IFERROR(IF(AND(
  INDEX(Roadmap!$D:$K,MATCH($E61,Roadmap!$D:$D,0)+COUNTIF($E61:X61,"u")+COUNTIF($E61:X61,"t")+COUNTIF($E61:X61,"¶")+COUNTIF($E61:X61,"²")+COUNTIF($E61:X61,"µ")+COUNTIF($E61:X61,1),ColLivraison)=Y$6,
  VLOOKUP($E61,INDIRECT("tri!"&amp; CHAR(64+ C0Col) &amp;":"&amp; CHAR(65+C0Col)),2,FALSE)&gt;COUNTIF($E61:X61,"u")+COUNTIF($E61:X61,"t")+COUNTIF($E61:X61,"¶")+COUNTIF($E61:X61,"²")+COUNTIF($E61:X61,"µ")+COUNTIF($E61:X61,1)),
HYPERLINK("#Roadmap!C"&amp; MATCH($E61,Roadmap!$D:$D,0)+COUNTIF($E61:X61,"u")+COUNTIF($E61:X61,"t"),
     INDEX(Roadmap!$D:$K,MATCH($E61,Roadmap!$D:$D,0)+COUNTIF($E61:X61,"u")+COUNTIF($E61:X61,"t")+COUNTIF($E61:X61,"¶")+COUNTIF($E61:X61,"²")+COUNTIF($E61:X61,"µ")+COUNTIF($E61:X61,1),ColTypeEcheance)),
  IF(LEN(X61)=1,
  IF(LEN(INDEX(Roadmap!$D:$K,MATCH($E61,Roadmap!$D:$D,0)-1+COUNTIF($E61:X61,"u")+COUNTIF($E61:X61,"t")+COUNTIF($E61:X61,"¶")+COUNTIF($E61:X61,"²")+COUNTIF($E61:X61,"µ")+COUNTIF($E61:X61,1),ColDescriptionCourte))&gt;1,
HYPERLINK("#Roadmap!C"&amp; MATCH($E61,Roadmap!$D:$D,0)+COUNTIF($E61:X61,"u")+COUNTIF($E61:X61,"t")+COUNTIF($E61:X61,"¶")+COUNTIF($E61:X61,"²")+COUNTIF($E61:X61,"µ")+COUNTIF($E61:X61,1)-1,INDEX(Roadmap!$D:$K,MATCH($E61,Roadmap!$D:$D,0)-1+COUNTIF($E61:X61,"u")+COUNTIF($E61:X61,"t")+COUNTIF($E61:X61,"¶")+COUNTIF($E61:X61,"²")+COUNTIF($E61:X61,"µ")+COUNTIF($E61:X61,1),ColDescriptionCourte)),""),
  "")),"")</f>
        <v/>
      </c>
      <c r="Z61" s="40" t="str">
        <f ca="1">IFERROR(IF(AND(
  INDEX(Roadmap!$D:$K,MATCH($E61,Roadmap!$D:$D,0)+COUNTIF($E61:Y61,"u")+COUNTIF($E61:Y61,"t")+COUNTIF($E61:Y61,"¶")+COUNTIF($E61:Y61,"²")+COUNTIF($E61:Y61,"µ")+COUNTIF($E61:Y61,1),ColLivraison)=Z$6,
  VLOOKUP($E61,INDIRECT("tri!"&amp; CHAR(64+ C0Col) &amp;":"&amp; CHAR(65+C0Col)),2,FALSE)&gt;COUNTIF($E61:Y61,"u")+COUNTIF($E61:Y61,"t")+COUNTIF($E61:Y61,"¶")+COUNTIF($E61:Y61,"²")+COUNTIF($E61:Y61,"µ")+COUNTIF($E61:Y61,1)),
HYPERLINK("#Roadmap!C"&amp; MATCH($E61,Roadmap!$D:$D,0)+COUNTIF($E61:Y61,"u")+COUNTIF($E61:Y61,"t"),
     INDEX(Roadmap!$D:$K,MATCH($E61,Roadmap!$D:$D,0)+COUNTIF($E61:Y61,"u")+COUNTIF($E61:Y61,"t")+COUNTIF($E61:Y61,"¶")+COUNTIF($E61:Y61,"²")+COUNTIF($E61:Y61,"µ")+COUNTIF($E61:Y61,1),ColTypeEcheance)),
  IF(LEN(Y61)=1,
  IF(LEN(INDEX(Roadmap!$D:$K,MATCH($E61,Roadmap!$D:$D,0)-1+COUNTIF($E61:Y61,"u")+COUNTIF($E61:Y61,"t")+COUNTIF($E61:Y61,"¶")+COUNTIF($E61:Y61,"²")+COUNTIF($E61:Y61,"µ")+COUNTIF($E61:Y61,1),ColDescriptionCourte))&gt;1,
HYPERLINK("#Roadmap!C"&amp; MATCH($E61,Roadmap!$D:$D,0)+COUNTIF($E61:Y61,"u")+COUNTIF($E61:Y61,"t")+COUNTIF($E61:Y61,"¶")+COUNTIF($E61:Y61,"²")+COUNTIF($E61:Y61,"µ")+COUNTIF($E61:Y61,1)-1,INDEX(Roadmap!$D:$K,MATCH($E61,Roadmap!$D:$D,0)-1+COUNTIF($E61:Y61,"u")+COUNTIF($E61:Y61,"t")+COUNTIF($E61:Y61,"¶")+COUNTIF($E61:Y61,"²")+COUNTIF($E61:Y61,"µ")+COUNTIF($E61:Y61,1),ColDescriptionCourte)),""),
  "")),"")</f>
        <v/>
      </c>
      <c r="AA61" s="40" t="str">
        <f ca="1">IFERROR(IF(AND(
  INDEX(Roadmap!$D:$K,MATCH($E61,Roadmap!$D:$D,0)+COUNTIF($E61:Z61,"u")+COUNTIF($E61:Z61,"t")+COUNTIF($E61:Z61,"¶")+COUNTIF($E61:Z61,"²")+COUNTIF($E61:Z61,"µ")+COUNTIF($E61:Z61,1),ColLivraison)=AA$6,
  VLOOKUP($E61,INDIRECT("tri!"&amp; CHAR(64+ C0Col) &amp;":"&amp; CHAR(65+C0Col)),2,FALSE)&gt;COUNTIF($E61:Z61,"u")+COUNTIF($E61:Z61,"t")+COUNTIF($E61:Z61,"¶")+COUNTIF($E61:Z61,"²")+COUNTIF($E61:Z61,"µ")+COUNTIF($E61:Z61,1)),
HYPERLINK("#Roadmap!C"&amp; MATCH($E61,Roadmap!$D:$D,0)+COUNTIF($E61:Z61,"u")+COUNTIF($E61:Z61,"t"),
     INDEX(Roadmap!$D:$K,MATCH($E61,Roadmap!$D:$D,0)+COUNTIF($E61:Z61,"u")+COUNTIF($E61:Z61,"t")+COUNTIF($E61:Z61,"¶")+COUNTIF($E61:Z61,"²")+COUNTIF($E61:Z61,"µ")+COUNTIF($E61:Z61,1),ColTypeEcheance)),
  IF(LEN(Z61)=1,
  IF(LEN(INDEX(Roadmap!$D:$K,MATCH($E61,Roadmap!$D:$D,0)-1+COUNTIF($E61:Z61,"u")+COUNTIF($E61:Z61,"t")+COUNTIF($E61:Z61,"¶")+COUNTIF($E61:Z61,"²")+COUNTIF($E61:Z61,"µ")+COUNTIF($E61:Z61,1),ColDescriptionCourte))&gt;1,
HYPERLINK("#Roadmap!C"&amp; MATCH($E61,Roadmap!$D:$D,0)+COUNTIF($E61:Z61,"u")+COUNTIF($E61:Z61,"t")+COUNTIF($E61:Z61,"¶")+COUNTIF($E61:Z61,"²")+COUNTIF($E61:Z61,"µ")+COUNTIF($E61:Z61,1)-1,INDEX(Roadmap!$D:$K,MATCH($E61,Roadmap!$D:$D,0)-1+COUNTIF($E61:Z61,"u")+COUNTIF($E61:Z61,"t")+COUNTIF($E61:Z61,"¶")+COUNTIF($E61:Z61,"²")+COUNTIF($E61:Z61,"µ")+COUNTIF($E61:Z61,1),ColDescriptionCourte)),""),
  "")),"")</f>
        <v/>
      </c>
      <c r="AB61" s="40" t="str">
        <f ca="1">IFERROR(IF(AND(
  INDEX(Roadmap!$D:$K,MATCH($E61,Roadmap!$D:$D,0)+COUNTIF($E61:AA61,"u")+COUNTIF($E61:AA61,"t")+COUNTIF($E61:AA61,"¶")+COUNTIF($E61:AA61,"²")+COUNTIF($E61:AA61,"µ")+COUNTIF($E61:AA61,1),ColLivraison)=AB$6,
  VLOOKUP($E61,INDIRECT("tri!"&amp; CHAR(64+ C0Col) &amp;":"&amp; CHAR(65+C0Col)),2,FALSE)&gt;COUNTIF($E61:AA61,"u")+COUNTIF($E61:AA61,"t")+COUNTIF($E61:AA61,"¶")+COUNTIF($E61:AA61,"²")+COUNTIF($E61:AA61,"µ")+COUNTIF($E61:AA61,1)),
HYPERLINK("#Roadmap!C"&amp; MATCH($E61,Roadmap!$D:$D,0)+COUNTIF($E61:AA61,"u")+COUNTIF($E61:AA61,"t"),
     INDEX(Roadmap!$D:$K,MATCH($E61,Roadmap!$D:$D,0)+COUNTIF($E61:AA61,"u")+COUNTIF($E61:AA61,"t")+COUNTIF($E61:AA61,"¶")+COUNTIF($E61:AA61,"²")+COUNTIF($E61:AA61,"µ")+COUNTIF($E61:AA61,1),ColTypeEcheance)),
  IF(LEN(AA61)=1,
  IF(LEN(INDEX(Roadmap!$D:$K,MATCH($E61,Roadmap!$D:$D,0)-1+COUNTIF($E61:AA61,"u")+COUNTIF($E61:AA61,"t")+COUNTIF($E61:AA61,"¶")+COUNTIF($E61:AA61,"²")+COUNTIF($E61:AA61,"µ")+COUNTIF($E61:AA61,1),ColDescriptionCourte))&gt;1,
HYPERLINK("#Roadmap!C"&amp; MATCH($E61,Roadmap!$D:$D,0)+COUNTIF($E61:AA61,"u")+COUNTIF($E61:AA61,"t")+COUNTIF($E61:AA61,"¶")+COUNTIF($E61:AA61,"²")+COUNTIF($E61:AA61,"µ")+COUNTIF($E61:AA61,1)-1,INDEX(Roadmap!$D:$K,MATCH($E61,Roadmap!$D:$D,0)-1+COUNTIF($E61:AA61,"u")+COUNTIF($E61:AA61,"t")+COUNTIF($E61:AA61,"¶")+COUNTIF($E61:AA61,"²")+COUNTIF($E61:AA61,"µ")+COUNTIF($E61:AA61,1),ColDescriptionCourte)),""),
  "")),"")</f>
        <v/>
      </c>
      <c r="AC61" s="40" t="str">
        <f ca="1">IFERROR(IF(AND(
  INDEX(Roadmap!$D:$K,MATCH($E61,Roadmap!$D:$D,0)+COUNTIF($E61:AB61,"u")+COUNTIF($E61:AB61,"t")+COUNTIF($E61:AB61,"¶")+COUNTIF($E61:AB61,"²")+COUNTIF($E61:AB61,"µ")+COUNTIF($E61:AB61,1),ColLivraison)=AC$6,
  VLOOKUP($E61,INDIRECT("tri!"&amp; CHAR(64+ C0Col) &amp;":"&amp; CHAR(65+C0Col)),2,FALSE)&gt;COUNTIF($E61:AB61,"u")+COUNTIF($E61:AB61,"t")+COUNTIF($E61:AB61,"¶")+COUNTIF($E61:AB61,"²")+COUNTIF($E61:AB61,"µ")+COUNTIF($E61:AB61,1)),
HYPERLINK("#Roadmap!C"&amp; MATCH($E61,Roadmap!$D:$D,0)+COUNTIF($E61:AB61,"u")+COUNTIF($E61:AB61,"t"),
     INDEX(Roadmap!$D:$K,MATCH($E61,Roadmap!$D:$D,0)+COUNTIF($E61:AB61,"u")+COUNTIF($E61:AB61,"t")+COUNTIF($E61:AB61,"¶")+COUNTIF($E61:AB61,"²")+COUNTIF($E61:AB61,"µ")+COUNTIF($E61:AB61,1),ColTypeEcheance)),
  IF(LEN(AB61)=1,
  IF(LEN(INDEX(Roadmap!$D:$K,MATCH($E61,Roadmap!$D:$D,0)-1+COUNTIF($E61:AB61,"u")+COUNTIF($E61:AB61,"t")+COUNTIF($E61:AB61,"¶")+COUNTIF($E61:AB61,"²")+COUNTIF($E61:AB61,"µ")+COUNTIF($E61:AB61,1),ColDescriptionCourte))&gt;1,
HYPERLINK("#Roadmap!C"&amp; MATCH($E61,Roadmap!$D:$D,0)+COUNTIF($E61:AB61,"u")+COUNTIF($E61:AB61,"t")+COUNTIF($E61:AB61,"¶")+COUNTIF($E61:AB61,"²")+COUNTIF($E61:AB61,"µ")+COUNTIF($E61:AB61,1)-1,INDEX(Roadmap!$D:$K,MATCH($E61,Roadmap!$D:$D,0)-1+COUNTIF($E61:AB61,"u")+COUNTIF($E61:AB61,"t")+COUNTIF($E61:AB61,"¶")+COUNTIF($E61:AB61,"²")+COUNTIF($E61:AB61,"µ")+COUNTIF($E61:AB61,1),ColDescriptionCourte)),""),
  "")),"")</f>
        <v/>
      </c>
      <c r="AD61" s="40" t="str">
        <f ca="1">IFERROR(IF(AND(
  INDEX(Roadmap!$D:$K,MATCH($E61,Roadmap!$D:$D,0)+COUNTIF($E61:AC61,"u")+COUNTIF($E61:AC61,"t")+COUNTIF($E61:AC61,"¶")+COUNTIF($E61:AC61,"²")+COUNTIF($E61:AC61,"µ")+COUNTIF($E61:AC61,1),ColLivraison)=AD$6,
  VLOOKUP($E61,INDIRECT("tri!"&amp; CHAR(64+ C0Col) &amp;":"&amp; CHAR(65+C0Col)),2,FALSE)&gt;COUNTIF($E61:AC61,"u")+COUNTIF($E61:AC61,"t")+COUNTIF($E61:AC61,"¶")+COUNTIF($E61:AC61,"²")+COUNTIF($E61:AC61,"µ")+COUNTIF($E61:AC61,1)),
HYPERLINK("#Roadmap!C"&amp; MATCH($E61,Roadmap!$D:$D,0)+COUNTIF($E61:AC61,"u")+COUNTIF($E61:AC61,"t"),
     INDEX(Roadmap!$D:$K,MATCH($E61,Roadmap!$D:$D,0)+COUNTIF($E61:AC61,"u")+COUNTIF($E61:AC61,"t")+COUNTIF($E61:AC61,"¶")+COUNTIF($E61:AC61,"²")+COUNTIF($E61:AC61,"µ")+COUNTIF($E61:AC61,1),ColTypeEcheance)),
  IF(LEN(AC61)=1,
  IF(LEN(INDEX(Roadmap!$D:$K,MATCH($E61,Roadmap!$D:$D,0)-1+COUNTIF($E61:AC61,"u")+COUNTIF($E61:AC61,"t")+COUNTIF($E61:AC61,"¶")+COUNTIF($E61:AC61,"²")+COUNTIF($E61:AC61,"µ")+COUNTIF($E61:AC61,1),ColDescriptionCourte))&gt;1,
HYPERLINK("#Roadmap!C"&amp; MATCH($E61,Roadmap!$D:$D,0)+COUNTIF($E61:AC61,"u")+COUNTIF($E61:AC61,"t")+COUNTIF($E61:AC61,"¶")+COUNTIF($E61:AC61,"²")+COUNTIF($E61:AC61,"µ")+COUNTIF($E61:AC61,1)-1,INDEX(Roadmap!$D:$K,MATCH($E61,Roadmap!$D:$D,0)-1+COUNTIF($E61:AC61,"u")+COUNTIF($E61:AC61,"t")+COUNTIF($E61:AC61,"¶")+COUNTIF($E61:AC61,"²")+COUNTIF($E61:AC61,"µ")+COUNTIF($E61:AC61,1),ColDescriptionCourte)),""),
  "")),"")</f>
        <v/>
      </c>
      <c r="AE61" s="40" t="str">
        <f ca="1">IFERROR(IF(AND(
  INDEX(Roadmap!$D:$K,MATCH($E61,Roadmap!$D:$D,0)+COUNTIF($E61:AD61,"u")+COUNTIF($E61:AD61,"t")+COUNTIF($E61:AD61,"¶")+COUNTIF($E61:AD61,"²")+COUNTIF($E61:AD61,"µ")+COUNTIF($E61:AD61,1),ColLivraison)=AE$6,
  VLOOKUP($E61,INDIRECT("tri!"&amp; CHAR(64+ C0Col) &amp;":"&amp; CHAR(65+C0Col)),2,FALSE)&gt;COUNTIF($E61:AD61,"u")+COUNTIF($E61:AD61,"t")+COUNTIF($E61:AD61,"¶")+COUNTIF($E61:AD61,"²")+COUNTIF($E61:AD61,"µ")+COUNTIF($E61:AD61,1)),
HYPERLINK("#Roadmap!C"&amp; MATCH($E61,Roadmap!$D:$D,0)+COUNTIF($E61:AD61,"u")+COUNTIF($E61:AD61,"t"),
     INDEX(Roadmap!$D:$K,MATCH($E61,Roadmap!$D:$D,0)+COUNTIF($E61:AD61,"u")+COUNTIF($E61:AD61,"t")+COUNTIF($E61:AD61,"¶")+COUNTIF($E61:AD61,"²")+COUNTIF($E61:AD61,"µ")+COUNTIF($E61:AD61,1),ColTypeEcheance)),
  IF(LEN(AD61)=1,
  IF(LEN(INDEX(Roadmap!$D:$K,MATCH($E61,Roadmap!$D:$D,0)-1+COUNTIF($E61:AD61,"u")+COUNTIF($E61:AD61,"t")+COUNTIF($E61:AD61,"¶")+COUNTIF($E61:AD61,"²")+COUNTIF($E61:AD61,"µ")+COUNTIF($E61:AD61,1),ColDescriptionCourte))&gt;1,
HYPERLINK("#Roadmap!C"&amp; MATCH($E61,Roadmap!$D:$D,0)+COUNTIF($E61:AD61,"u")+COUNTIF($E61:AD61,"t")+COUNTIF($E61:AD61,"¶")+COUNTIF($E61:AD61,"²")+COUNTIF($E61:AD61,"µ")+COUNTIF($E61:AD61,1)-1,INDEX(Roadmap!$D:$K,MATCH($E61,Roadmap!$D:$D,0)-1+COUNTIF($E61:AD61,"u")+COUNTIF($E61:AD61,"t")+COUNTIF($E61:AD61,"¶")+COUNTIF($E61:AD61,"²")+COUNTIF($E61:AD61,"µ")+COUNTIF($E61:AD61,1),ColDescriptionCourte)),""),
  "")),"")</f>
        <v/>
      </c>
      <c r="AF61" s="40" t="str">
        <f ca="1">IFERROR(IF(AND(
  INDEX(Roadmap!$D:$K,MATCH($E61,Roadmap!$D:$D,0)+COUNTIF($E61:AE61,"u")+COUNTIF($E61:AE61,"t")+COUNTIF($E61:AE61,"¶")+COUNTIF($E61:AE61,"²")+COUNTIF($E61:AE61,"µ")+COUNTIF($E61:AE61,1),ColLivraison)=AF$6,
  VLOOKUP($E61,INDIRECT("tri!"&amp; CHAR(64+ C0Col) &amp;":"&amp; CHAR(65+C0Col)),2,FALSE)&gt;COUNTIF($E61:AE61,"u")+COUNTIF($E61:AE61,"t")+COUNTIF($E61:AE61,"¶")+COUNTIF($E61:AE61,"²")+COUNTIF($E61:AE61,"µ")+COUNTIF($E61:AE61,1)),
HYPERLINK("#Roadmap!C"&amp; MATCH($E61,Roadmap!$D:$D,0)+COUNTIF($E61:AE61,"u")+COUNTIF($E61:AE61,"t"),
     INDEX(Roadmap!$D:$K,MATCH($E61,Roadmap!$D:$D,0)+COUNTIF($E61:AE61,"u")+COUNTIF($E61:AE61,"t")+COUNTIF($E61:AE61,"¶")+COUNTIF($E61:AE61,"²")+COUNTIF($E61:AE61,"µ")+COUNTIF($E61:AE61,1),ColTypeEcheance)),
  IF(LEN(AE61)=1,
  IF(LEN(INDEX(Roadmap!$D:$K,MATCH($E61,Roadmap!$D:$D,0)-1+COUNTIF($E61:AE61,"u")+COUNTIF($E61:AE61,"t")+COUNTIF($E61:AE61,"¶")+COUNTIF($E61:AE61,"²")+COUNTIF($E61:AE61,"µ")+COUNTIF($E61:AE61,1),ColDescriptionCourte))&gt;1,
HYPERLINK("#Roadmap!C"&amp; MATCH($E61,Roadmap!$D:$D,0)+COUNTIF($E61:AE61,"u")+COUNTIF($E61:AE61,"t")+COUNTIF($E61:AE61,"¶")+COUNTIF($E61:AE61,"²")+COUNTIF($E61:AE61,"µ")+COUNTIF($E61:AE61,1)-1,INDEX(Roadmap!$D:$K,MATCH($E61,Roadmap!$D:$D,0)-1+COUNTIF($E61:AE61,"u")+COUNTIF($E61:AE61,"t")+COUNTIF($E61:AE61,"¶")+COUNTIF($E61:AE61,"²")+COUNTIF($E61:AE61,"µ")+COUNTIF($E61:AE61,1),ColDescriptionCourte)),""),
  "")),"")</f>
        <v/>
      </c>
      <c r="AG61" s="40" t="str">
        <f ca="1">IFERROR(IF(AND(
  INDEX(Roadmap!$D:$K,MATCH($E61,Roadmap!$D:$D,0)+COUNTIF($E61:AF61,"u")+COUNTIF($E61:AF61,"t")+COUNTIF($E61:AF61,"¶")+COUNTIF($E61:AF61,"²")+COUNTIF($E61:AF61,"µ")+COUNTIF($E61:AF61,1),ColLivraison)=AG$6,
  VLOOKUP($E61,INDIRECT("tri!"&amp; CHAR(64+ C0Col) &amp;":"&amp; CHAR(65+C0Col)),2,FALSE)&gt;COUNTIF($E61:AF61,"u")+COUNTIF($E61:AF61,"t")+COUNTIF($E61:AF61,"¶")+COUNTIF($E61:AF61,"²")+COUNTIF($E61:AF61,"µ")+COUNTIF($E61:AF61,1)),
HYPERLINK("#Roadmap!C"&amp; MATCH($E61,Roadmap!$D:$D,0)+COUNTIF($E61:AF61,"u")+COUNTIF($E61:AF61,"t"),
     INDEX(Roadmap!$D:$K,MATCH($E61,Roadmap!$D:$D,0)+COUNTIF($E61:AF61,"u")+COUNTIF($E61:AF61,"t")+COUNTIF($E61:AF61,"¶")+COUNTIF($E61:AF61,"²")+COUNTIF($E61:AF61,"µ")+COUNTIF($E61:AF61,1),ColTypeEcheance)),
  IF(LEN(AF61)=1,
  IF(LEN(INDEX(Roadmap!$D:$K,MATCH($E61,Roadmap!$D:$D,0)-1+COUNTIF($E61:AF61,"u")+COUNTIF($E61:AF61,"t")+COUNTIF($E61:AF61,"¶")+COUNTIF($E61:AF61,"²")+COUNTIF($E61:AF61,"µ")+COUNTIF($E61:AF61,1),ColDescriptionCourte))&gt;1,
HYPERLINK("#Roadmap!C"&amp; MATCH($E61,Roadmap!$D:$D,0)+COUNTIF($E61:AF61,"u")+COUNTIF($E61:AF61,"t")+COUNTIF($E61:AF61,"¶")+COUNTIF($E61:AF61,"²")+COUNTIF($E61:AF61,"µ")+COUNTIF($E61:AF61,1)-1,INDEX(Roadmap!$D:$K,MATCH($E61,Roadmap!$D:$D,0)-1+COUNTIF($E61:AF61,"u")+COUNTIF($E61:AF61,"t")+COUNTIF($E61:AF61,"¶")+COUNTIF($E61:AF61,"²")+COUNTIF($E61:AF61,"µ")+COUNTIF($E61:AF61,1),ColDescriptionCourte)),""),
  "")),"")</f>
        <v/>
      </c>
    </row>
    <row r="62" spans="3:33" ht="14.25" customHeight="1">
      <c r="C62" s="1" t="str">
        <f t="shared" ca="1" si="44"/>
        <v/>
      </c>
      <c r="D62" s="1" t="str">
        <f t="shared" ca="1" si="45"/>
        <v/>
      </c>
      <c r="E62" s="35" t="str">
        <f t="shared" ca="1" si="33"/>
        <v/>
      </c>
      <c r="F62" s="39" t="str">
        <f ca="1">IFERROR(IF(AND(
  INDEX(Roadmap!$D:$K,MATCH($E62,Roadmap!$D:$D,0)+COUNTIF($E62:E62,"u")+COUNTIF($E62:E62,"t")+COUNTIF($E62:E62,"¶")+COUNTIF($E62:E62,"²")+COUNTIF($E62:E62,"µ")+COUNTIF($E62:E62,1),ColLivraison)=F$6,
  VLOOKUP($E62,INDIRECT("tri!"&amp; CHAR(64+ C0Col) &amp;":"&amp; CHAR(65+C0Col)),2,FALSE)&gt;COUNTIF($E62:E62,"u")+COUNTIF($E62:E62,"t")+COUNTIF($E62:E62,"¶")+COUNTIF($E62:E62,"²")+COUNTIF($E62:E62,"µ")+COUNTIF($E62:E62,1)),
HYPERLINK("#Roadmap!C"&amp; MATCH($E62,Roadmap!$D:$D,0)+COUNTIF($E62:E62,"u")+COUNTIF($E62:E62,"t"),
     INDEX(Roadmap!$D:$K,MATCH($E62,Roadmap!$D:$D,0)+COUNTIF($E62:E62,"u")+COUNTIF($E62:E62,"t")+COUNTIF($E62:E62,"¶")+COUNTIF($E62:E62,"²")+COUNTIF($E62:E62,"µ")+COUNTIF($E62:E62,1),ColTypeEcheance)),
  IF(LEN(E62)=1,
  IF(LEN(INDEX(Roadmap!$D:$K,MATCH($E62,Roadmap!$D:$D,0)-1+COUNTIF($E62:E62,"u")+COUNTIF($E62:E62,"t")+COUNTIF($E62:E62,"¶")+COUNTIF($E62:E62,"²")+COUNTIF($E62:E62,"µ")+COUNTIF($E62:E62,1),ColDescriptionCourte))&gt;1,
HYPERLINK("#Roadmap!C"&amp; MATCH($E62,Roadmap!$D:$D,0)+COUNTIF($E62:E62,"u")+COUNTIF($E62:E62,"t")+COUNTIF($E62:E62,"¶")+COUNTIF($E62:E62,"²")+COUNTIF($E62:E62,"µ")+COUNTIF($E62:E62,1)-1,INDEX(Roadmap!$D:$K,MATCH($E62,Roadmap!$D:$D,0)-1+COUNTIF($E62:E62,"u")+COUNTIF($E62:E62,"t")+COUNTIF($E62:E62,"¶")+COUNTIF($E62:E62,"²")+COUNTIF($E62:E62,"µ")+COUNTIF($E62:E62,1),ColDescriptionCourte)),""),
  "")),"")</f>
        <v/>
      </c>
      <c r="G62" s="40" t="str">
        <f ca="1">IFERROR(IF(AND(
  INDEX(Roadmap!$D:$K,MATCH($E62,Roadmap!$D:$D,0)+COUNTIF($E62:F62,"u")+COUNTIF($E62:F62,"t")+COUNTIF($E62:F62,"¶")+COUNTIF($E62:F62,"²")+COUNTIF($E62:F62,"µ")+COUNTIF($E62:F62,1),ColLivraison)=G$6,
  VLOOKUP($E62,INDIRECT("tri!"&amp; CHAR(64+ C0Col) &amp;":"&amp; CHAR(65+C0Col)),2,FALSE)&gt;COUNTIF($E62:F62,"u")+COUNTIF($E62:F62,"t")+COUNTIF($E62:F62,"¶")+COUNTIF($E62:F62,"²")+COUNTIF($E62:F62,"µ")+COUNTIF($E62:F62,1)),
HYPERLINK("#Roadmap!C"&amp; MATCH($E62,Roadmap!$D:$D,0)+COUNTIF($E62:F62,"u")+COUNTIF($E62:F62,"t"),
     INDEX(Roadmap!$D:$K,MATCH($E62,Roadmap!$D:$D,0)+COUNTIF($E62:F62,"u")+COUNTIF($E62:F62,"t")+COUNTIF($E62:F62,"¶")+COUNTIF($E62:F62,"²")+COUNTIF($E62:F62,"µ")+COUNTIF($E62:F62,1),ColTypeEcheance)),
  IF(LEN(F62)=1,
  IF(LEN(INDEX(Roadmap!$D:$K,MATCH($E62,Roadmap!$D:$D,0)-1+COUNTIF($E62:F62,"u")+COUNTIF($E62:F62,"t")+COUNTIF($E62:F62,"¶")+COUNTIF($E62:F62,"²")+COUNTIF($E62:F62,"µ")+COUNTIF($E62:F62,1),ColDescriptionCourte))&gt;1,
HYPERLINK("#Roadmap!C"&amp; MATCH($E62,Roadmap!$D:$D,0)+COUNTIF($E62:F62,"u")+COUNTIF($E62:F62,"t")+COUNTIF($E62:F62,"¶")+COUNTIF($E62:F62,"²")+COUNTIF($E62:F62,"µ")+COUNTIF($E62:F62,1)-1,INDEX(Roadmap!$D:$K,MATCH($E62,Roadmap!$D:$D,0)-1+COUNTIF($E62:F62,"u")+COUNTIF($E62:F62,"t")+COUNTIF($E62:F62,"¶")+COUNTIF($E62:F62,"²")+COUNTIF($E62:F62,"µ")+COUNTIF($E62:F62,1),ColDescriptionCourte)),""),
  "")),"")</f>
        <v/>
      </c>
      <c r="H62" s="40" t="str">
        <f ca="1">IFERROR(IF(AND(
  INDEX(Roadmap!$D:$K,MATCH($E62,Roadmap!$D:$D,0)+COUNTIF($E62:G62,"u")+COUNTIF($E62:G62,"t")+COUNTIF($E62:G62,"¶")+COUNTIF($E62:G62,"²")+COUNTIF($E62:G62,"µ")+COUNTIF($E62:G62,1),ColLivraison)=H$6,
  VLOOKUP($E62,INDIRECT("tri!"&amp; CHAR(64+ C0Col) &amp;":"&amp; CHAR(65+C0Col)),2,FALSE)&gt;COUNTIF($E62:G62,"u")+COUNTIF($E62:G62,"t")+COUNTIF($E62:G62,"¶")+COUNTIF($E62:G62,"²")+COUNTIF($E62:G62,"µ")+COUNTIF($E62:G62,1)),
HYPERLINK("#Roadmap!C"&amp; MATCH($E62,Roadmap!$D:$D,0)+COUNTIF($E62:G62,"u")+COUNTIF($E62:G62,"t"),
     INDEX(Roadmap!$D:$K,MATCH($E62,Roadmap!$D:$D,0)+COUNTIF($E62:G62,"u")+COUNTIF($E62:G62,"t")+COUNTIF($E62:G62,"¶")+COUNTIF($E62:G62,"²")+COUNTIF($E62:G62,"µ")+COUNTIF($E62:G62,1),ColTypeEcheance)),
  IF(LEN(G62)=1,
  IF(LEN(INDEX(Roadmap!$D:$K,MATCH($E62,Roadmap!$D:$D,0)-1+COUNTIF($E62:G62,"u")+COUNTIF($E62:G62,"t")+COUNTIF($E62:G62,"¶")+COUNTIF($E62:G62,"²")+COUNTIF($E62:G62,"µ")+COUNTIF($E62:G62,1),ColDescriptionCourte))&gt;1,
HYPERLINK("#Roadmap!C"&amp; MATCH($E62,Roadmap!$D:$D,0)+COUNTIF($E62:G62,"u")+COUNTIF($E62:G62,"t")+COUNTIF($E62:G62,"¶")+COUNTIF($E62:G62,"²")+COUNTIF($E62:G62,"µ")+COUNTIF($E62:G62,1)-1,INDEX(Roadmap!$D:$K,MATCH($E62,Roadmap!$D:$D,0)-1+COUNTIF($E62:G62,"u")+COUNTIF($E62:G62,"t")+COUNTIF($E62:G62,"¶")+COUNTIF($E62:G62,"²")+COUNTIF($E62:G62,"µ")+COUNTIF($E62:G62,1),ColDescriptionCourte)),""),
  "")),"")</f>
        <v/>
      </c>
      <c r="I62" s="40" t="str">
        <f ca="1">IFERROR(IF(AND(
  INDEX(Roadmap!$D:$K,MATCH($E62,Roadmap!$D:$D,0)+COUNTIF($E62:H62,"u")+COUNTIF($E62:H62,"t")+COUNTIF($E62:H62,"¶")+COUNTIF($E62:H62,"²")+COUNTIF($E62:H62,"µ")+COUNTIF($E62:H62,1),ColLivraison)=I$6,
  VLOOKUP($E62,INDIRECT("tri!"&amp; CHAR(64+ C0Col) &amp;":"&amp; CHAR(65+C0Col)),2,FALSE)&gt;COUNTIF($E62:H62,"u")+COUNTIF($E62:H62,"t")+COUNTIF($E62:H62,"¶")+COUNTIF($E62:H62,"²")+COUNTIF($E62:H62,"µ")+COUNTIF($E62:H62,1)),
HYPERLINK("#Roadmap!C"&amp; MATCH($E62,Roadmap!$D:$D,0)+COUNTIF($E62:H62,"u")+COUNTIF($E62:H62,"t"),
     INDEX(Roadmap!$D:$K,MATCH($E62,Roadmap!$D:$D,0)+COUNTIF($E62:H62,"u")+COUNTIF($E62:H62,"t")+COUNTIF($E62:H62,"¶")+COUNTIF($E62:H62,"²")+COUNTIF($E62:H62,"µ")+COUNTIF($E62:H62,1),ColTypeEcheance)),
  IF(LEN(H62)=1,
  IF(LEN(INDEX(Roadmap!$D:$K,MATCH($E62,Roadmap!$D:$D,0)-1+COUNTIF($E62:H62,"u")+COUNTIF($E62:H62,"t")+COUNTIF($E62:H62,"¶")+COUNTIF($E62:H62,"²")+COUNTIF($E62:H62,"µ")+COUNTIF($E62:H62,1),ColDescriptionCourte))&gt;1,
HYPERLINK("#Roadmap!C"&amp; MATCH($E62,Roadmap!$D:$D,0)+COUNTIF($E62:H62,"u")+COUNTIF($E62:H62,"t")+COUNTIF($E62:H62,"¶")+COUNTIF($E62:H62,"²")+COUNTIF($E62:H62,"µ")+COUNTIF($E62:H62,1)-1,INDEX(Roadmap!$D:$K,MATCH($E62,Roadmap!$D:$D,0)-1+COUNTIF($E62:H62,"u")+COUNTIF($E62:H62,"t")+COUNTIF($E62:H62,"¶")+COUNTIF($E62:H62,"²")+COUNTIF($E62:H62,"µ")+COUNTIF($E62:H62,1),ColDescriptionCourte)),""),
  "")),"")</f>
        <v/>
      </c>
      <c r="J62" s="40" t="str">
        <f ca="1">IFERROR(IF(AND(
  INDEX(Roadmap!$D:$K,MATCH($E62,Roadmap!$D:$D,0)+COUNTIF($E62:I62,"u")+COUNTIF($E62:I62,"t")+COUNTIF($E62:I62,"¶")+COUNTIF($E62:I62,"²")+COUNTIF($E62:I62,"µ")+COUNTIF($E62:I62,1),ColLivraison)=J$6,
  VLOOKUP($E62,INDIRECT("tri!"&amp; CHAR(64+ C0Col) &amp;":"&amp; CHAR(65+C0Col)),2,FALSE)&gt;COUNTIF($E62:I62,"u")+COUNTIF($E62:I62,"t")+COUNTIF($E62:I62,"¶")+COUNTIF($E62:I62,"²")+COUNTIF($E62:I62,"µ")+COUNTIF($E62:I62,1)),
HYPERLINK("#Roadmap!C"&amp; MATCH($E62,Roadmap!$D:$D,0)+COUNTIF($E62:I62,"u")+COUNTIF($E62:I62,"t"),
     INDEX(Roadmap!$D:$K,MATCH($E62,Roadmap!$D:$D,0)+COUNTIF($E62:I62,"u")+COUNTIF($E62:I62,"t")+COUNTIF($E62:I62,"¶")+COUNTIF($E62:I62,"²")+COUNTIF($E62:I62,"µ")+COUNTIF($E62:I62,1),ColTypeEcheance)),
  IF(LEN(I62)=1,
  IF(LEN(INDEX(Roadmap!$D:$K,MATCH($E62,Roadmap!$D:$D,0)-1+COUNTIF($E62:I62,"u")+COUNTIF($E62:I62,"t")+COUNTIF($E62:I62,"¶")+COUNTIF($E62:I62,"²")+COUNTIF($E62:I62,"µ")+COUNTIF($E62:I62,1),ColDescriptionCourte))&gt;1,
HYPERLINK("#Roadmap!C"&amp; MATCH($E62,Roadmap!$D:$D,0)+COUNTIF($E62:I62,"u")+COUNTIF($E62:I62,"t")+COUNTIF($E62:I62,"¶")+COUNTIF($E62:I62,"²")+COUNTIF($E62:I62,"µ")+COUNTIF($E62:I62,1)-1,INDEX(Roadmap!$D:$K,MATCH($E62,Roadmap!$D:$D,0)-1+COUNTIF($E62:I62,"u")+COUNTIF($E62:I62,"t")+COUNTIF($E62:I62,"¶")+COUNTIF($E62:I62,"²")+COUNTIF($E62:I62,"µ")+COUNTIF($E62:I62,1),ColDescriptionCourte)),""),
  "")),"")</f>
        <v/>
      </c>
      <c r="K62" s="40" t="str">
        <f ca="1">IFERROR(IF(AND(
  INDEX(Roadmap!$D:$K,MATCH($E62,Roadmap!$D:$D,0)+COUNTIF($E62:J62,"u")+COUNTIF($E62:J62,"t")+COUNTIF($E62:J62,"¶")+COUNTIF($E62:J62,"²")+COUNTIF($E62:J62,"µ")+COUNTIF($E62:J62,1),ColLivraison)=K$6,
  VLOOKUP($E62,INDIRECT("tri!"&amp; CHAR(64+ C0Col) &amp;":"&amp; CHAR(65+C0Col)),2,FALSE)&gt;COUNTIF($E62:J62,"u")+COUNTIF($E62:J62,"t")+COUNTIF($E62:J62,"¶")+COUNTIF($E62:J62,"²")+COUNTIF($E62:J62,"µ")+COUNTIF($E62:J62,1)),
HYPERLINK("#Roadmap!C"&amp; MATCH($E62,Roadmap!$D:$D,0)+COUNTIF($E62:J62,"u")+COUNTIF($E62:J62,"t"),
     INDEX(Roadmap!$D:$K,MATCH($E62,Roadmap!$D:$D,0)+COUNTIF($E62:J62,"u")+COUNTIF($E62:J62,"t")+COUNTIF($E62:J62,"¶")+COUNTIF($E62:J62,"²")+COUNTIF($E62:J62,"µ")+COUNTIF($E62:J62,1),ColTypeEcheance)),
  IF(LEN(J62)=1,
  IF(LEN(INDEX(Roadmap!$D:$K,MATCH($E62,Roadmap!$D:$D,0)-1+COUNTIF($E62:J62,"u")+COUNTIF($E62:J62,"t")+COUNTIF($E62:J62,"¶")+COUNTIF($E62:J62,"²")+COUNTIF($E62:J62,"µ")+COUNTIF($E62:J62,1),ColDescriptionCourte))&gt;1,
HYPERLINK("#Roadmap!C"&amp; MATCH($E62,Roadmap!$D:$D,0)+COUNTIF($E62:J62,"u")+COUNTIF($E62:J62,"t")+COUNTIF($E62:J62,"¶")+COUNTIF($E62:J62,"²")+COUNTIF($E62:J62,"µ")+COUNTIF($E62:J62,1)-1,INDEX(Roadmap!$D:$K,MATCH($E62,Roadmap!$D:$D,0)-1+COUNTIF($E62:J62,"u")+COUNTIF($E62:J62,"t")+COUNTIF($E62:J62,"¶")+COUNTIF($E62:J62,"²")+COUNTIF($E62:J62,"µ")+COUNTIF($E62:J62,1),ColDescriptionCourte)),""),
  "")),"")</f>
        <v/>
      </c>
      <c r="L62" s="39" t="str">
        <f ca="1">IFERROR(IF(AND(
  INDEX(Roadmap!$D:$K,MATCH($E62,Roadmap!$D:$D,0)+COUNTIF($E62:K62,"u")+COUNTIF($E62:K62,"t")+COUNTIF($E62:K62,"¶")+COUNTIF($E62:K62,"²")+COUNTIF($E62:K62,"µ")+COUNTIF($E62:K62,1),ColLivraison)=L$6,
  VLOOKUP($E62,INDIRECT("tri!"&amp; CHAR(64+ C0Col) &amp;":"&amp; CHAR(65+C0Col)),2,FALSE)&gt;COUNTIF($E62:K62,"u")+COUNTIF($E62:K62,"t")+COUNTIF($E62:K62,"¶")+COUNTIF($E62:K62,"²")+COUNTIF($E62:K62,"µ")+COUNTIF($E62:K62,1)),
HYPERLINK("#Roadmap!C"&amp; MATCH($E62,Roadmap!$D:$D,0)+COUNTIF($E62:K62,"u")+COUNTIF($E62:K62,"t"),
     INDEX(Roadmap!$D:$K,MATCH($E62,Roadmap!$D:$D,0)+COUNTIF($E62:K62,"u")+COUNTIF($E62:K62,"t")+COUNTIF($E62:K62,"¶")+COUNTIF($E62:K62,"²")+COUNTIF($E62:K62,"µ")+COUNTIF($E62:K62,1),ColTypeEcheance)),
  IF(LEN(K62)=1,
  IF(LEN(INDEX(Roadmap!$D:$K,MATCH($E62,Roadmap!$D:$D,0)-1+COUNTIF($E62:K62,"u")+COUNTIF($E62:K62,"t")+COUNTIF($E62:K62,"¶")+COUNTIF($E62:K62,"²")+COUNTIF($E62:K62,"µ")+COUNTIF($E62:K62,1),ColDescriptionCourte))&gt;1,
HYPERLINK("#Roadmap!C"&amp; MATCH($E62,Roadmap!$D:$D,0)+COUNTIF($E62:K62,"u")+COUNTIF($E62:K62,"t")+COUNTIF($E62:K62,"¶")+COUNTIF($E62:K62,"²")+COUNTIF($E62:K62,"µ")+COUNTIF($E62:K62,1)-1,INDEX(Roadmap!$D:$K,MATCH($E62,Roadmap!$D:$D,0)-1+COUNTIF($E62:K62,"u")+COUNTIF($E62:K62,"t")+COUNTIF($E62:K62,"¶")+COUNTIF($E62:K62,"²")+COUNTIF($E62:K62,"µ")+COUNTIF($E62:K62,1),ColDescriptionCourte)),""),
  "")),"")</f>
        <v/>
      </c>
      <c r="M62" s="40" t="str">
        <f ca="1">IFERROR(IF(AND(
  INDEX(Roadmap!$D:$K,MATCH($E62,Roadmap!$D:$D,0)+COUNTIF($E62:L62,"u")+COUNTIF($E62:L62,"t")+COUNTIF($E62:L62,"¶")+COUNTIF($E62:L62,"²")+COUNTIF($E62:L62,"µ")+COUNTIF($E62:L62,1),ColLivraison)=M$6,
  VLOOKUP($E62,INDIRECT("tri!"&amp; CHAR(64+ C0Col) &amp;":"&amp; CHAR(65+C0Col)),2,FALSE)&gt;COUNTIF($E62:L62,"u")+COUNTIF($E62:L62,"t")+COUNTIF($E62:L62,"¶")+COUNTIF($E62:L62,"²")+COUNTIF($E62:L62,"µ")+COUNTIF($E62:L62,1)),
HYPERLINK("#Roadmap!C"&amp; MATCH($E62,Roadmap!$D:$D,0)+COUNTIF($E62:L62,"u")+COUNTIF($E62:L62,"t"),
     INDEX(Roadmap!$D:$K,MATCH($E62,Roadmap!$D:$D,0)+COUNTIF($E62:L62,"u")+COUNTIF($E62:L62,"t")+COUNTIF($E62:L62,"¶")+COUNTIF($E62:L62,"²")+COUNTIF($E62:L62,"µ")+COUNTIF($E62:L62,1),ColTypeEcheance)),
  IF(LEN(L62)=1,
  IF(LEN(INDEX(Roadmap!$D:$K,MATCH($E62,Roadmap!$D:$D,0)-1+COUNTIF($E62:L62,"u")+COUNTIF($E62:L62,"t")+COUNTIF($E62:L62,"¶")+COUNTIF($E62:L62,"²")+COUNTIF($E62:L62,"µ")+COUNTIF($E62:L62,1),ColDescriptionCourte))&gt;1,
HYPERLINK("#Roadmap!C"&amp; MATCH($E62,Roadmap!$D:$D,0)+COUNTIF($E62:L62,"u")+COUNTIF($E62:L62,"t")+COUNTIF($E62:L62,"¶")+COUNTIF($E62:L62,"²")+COUNTIF($E62:L62,"µ")+COUNTIF($E62:L62,1)-1,INDEX(Roadmap!$D:$K,MATCH($E62,Roadmap!$D:$D,0)-1+COUNTIF($E62:L62,"u")+COUNTIF($E62:L62,"t")+COUNTIF($E62:L62,"¶")+COUNTIF($E62:L62,"²")+COUNTIF($E62:L62,"µ")+COUNTIF($E62:L62,1),ColDescriptionCourte)),""),
  "")),"")</f>
        <v/>
      </c>
      <c r="N62" s="40" t="str">
        <f ca="1">IFERROR(IF(AND(
  INDEX(Roadmap!$D:$K,MATCH($E62,Roadmap!$D:$D,0)+COUNTIF($E62:M62,"u")+COUNTIF($E62:M62,"t")+COUNTIF($E62:M62,"¶")+COUNTIF($E62:M62,"²")+COUNTIF($E62:M62,"µ")+COUNTIF($E62:M62,1),ColLivraison)=N$6,
  VLOOKUP($E62,INDIRECT("tri!"&amp; CHAR(64+ C0Col) &amp;":"&amp; CHAR(65+C0Col)),2,FALSE)&gt;COUNTIF($E62:M62,"u")+COUNTIF($E62:M62,"t")+COUNTIF($E62:M62,"¶")+COUNTIF($E62:M62,"²")+COUNTIF($E62:M62,"µ")+COUNTIF($E62:M62,1)),
HYPERLINK("#Roadmap!C"&amp; MATCH($E62,Roadmap!$D:$D,0)+COUNTIF($E62:M62,"u")+COUNTIF($E62:M62,"t"),
     INDEX(Roadmap!$D:$K,MATCH($E62,Roadmap!$D:$D,0)+COUNTIF($E62:M62,"u")+COUNTIF($E62:M62,"t")+COUNTIF($E62:M62,"¶")+COUNTIF($E62:M62,"²")+COUNTIF($E62:M62,"µ")+COUNTIF($E62:M62,1),ColTypeEcheance)),
  IF(LEN(M62)=1,
  IF(LEN(INDEX(Roadmap!$D:$K,MATCH($E62,Roadmap!$D:$D,0)-1+COUNTIF($E62:M62,"u")+COUNTIF($E62:M62,"t")+COUNTIF($E62:M62,"¶")+COUNTIF($E62:M62,"²")+COUNTIF($E62:M62,"µ")+COUNTIF($E62:M62,1),ColDescriptionCourte))&gt;1,
HYPERLINK("#Roadmap!C"&amp; MATCH($E62,Roadmap!$D:$D,0)+COUNTIF($E62:M62,"u")+COUNTIF($E62:M62,"t")+COUNTIF($E62:M62,"¶")+COUNTIF($E62:M62,"²")+COUNTIF($E62:M62,"µ")+COUNTIF($E62:M62,1)-1,INDEX(Roadmap!$D:$K,MATCH($E62,Roadmap!$D:$D,0)-1+COUNTIF($E62:M62,"u")+COUNTIF($E62:M62,"t")+COUNTIF($E62:M62,"¶")+COUNTIF($E62:M62,"²")+COUNTIF($E62:M62,"µ")+COUNTIF($E62:M62,1),ColDescriptionCourte)),""),
  "")),"")</f>
        <v/>
      </c>
      <c r="O62" s="40" t="str">
        <f ca="1">IFERROR(IF(AND(
  INDEX(Roadmap!$D:$K,MATCH($E62,Roadmap!$D:$D,0)+COUNTIF($E62:N62,"u")+COUNTIF($E62:N62,"t")+COUNTIF($E62:N62,"¶")+COUNTIF($E62:N62,"²")+COUNTIF($E62:N62,"µ")+COUNTIF($E62:N62,1),ColLivraison)=O$6,
  VLOOKUP($E62,INDIRECT("tri!"&amp; CHAR(64+ C0Col) &amp;":"&amp; CHAR(65+C0Col)),2,FALSE)&gt;COUNTIF($E62:N62,"u")+COUNTIF($E62:N62,"t")+COUNTIF($E62:N62,"¶")+COUNTIF($E62:N62,"²")+COUNTIF($E62:N62,"µ")+COUNTIF($E62:N62,1)),
HYPERLINK("#Roadmap!C"&amp; MATCH($E62,Roadmap!$D:$D,0)+COUNTIF($E62:N62,"u")+COUNTIF($E62:N62,"t"),
     INDEX(Roadmap!$D:$K,MATCH($E62,Roadmap!$D:$D,0)+COUNTIF($E62:N62,"u")+COUNTIF($E62:N62,"t")+COUNTIF($E62:N62,"¶")+COUNTIF($E62:N62,"²")+COUNTIF($E62:N62,"µ")+COUNTIF($E62:N62,1),ColTypeEcheance)),
  IF(LEN(N62)=1,
  IF(LEN(INDEX(Roadmap!$D:$K,MATCH($E62,Roadmap!$D:$D,0)-1+COUNTIF($E62:N62,"u")+COUNTIF($E62:N62,"t")+COUNTIF($E62:N62,"¶")+COUNTIF($E62:N62,"²")+COUNTIF($E62:N62,"µ")+COUNTIF($E62:N62,1),ColDescriptionCourte))&gt;1,
HYPERLINK("#Roadmap!C"&amp; MATCH($E62,Roadmap!$D:$D,0)+COUNTIF($E62:N62,"u")+COUNTIF($E62:N62,"t")+COUNTIF($E62:N62,"¶")+COUNTIF($E62:N62,"²")+COUNTIF($E62:N62,"µ")+COUNTIF($E62:N62,1)-1,INDEX(Roadmap!$D:$K,MATCH($E62,Roadmap!$D:$D,0)-1+COUNTIF($E62:N62,"u")+COUNTIF($E62:N62,"t")+COUNTIF($E62:N62,"¶")+COUNTIF($E62:N62,"²")+COUNTIF($E62:N62,"µ")+COUNTIF($E62:N62,1),ColDescriptionCourte)),""),
  "")),"")</f>
        <v/>
      </c>
      <c r="P62" s="40" t="str">
        <f ca="1">IFERROR(IF(AND(
  INDEX(Roadmap!$D:$K,MATCH($E62,Roadmap!$D:$D,0)+COUNTIF($E62:O62,"u")+COUNTIF($E62:O62,"t")+COUNTIF($E62:O62,"¶")+COUNTIF($E62:O62,"²")+COUNTIF($E62:O62,"µ")+COUNTIF($E62:O62,1),ColLivraison)=P$6,
  VLOOKUP($E62,INDIRECT("tri!"&amp; CHAR(64+ C0Col) &amp;":"&amp; CHAR(65+C0Col)),2,FALSE)&gt;COUNTIF($E62:O62,"u")+COUNTIF($E62:O62,"t")+COUNTIF($E62:O62,"¶")+COUNTIF($E62:O62,"²")+COUNTIF($E62:O62,"µ")+COUNTIF($E62:O62,1)),
HYPERLINK("#Roadmap!C"&amp; MATCH($E62,Roadmap!$D:$D,0)+COUNTIF($E62:O62,"u")+COUNTIF($E62:O62,"t"),
     INDEX(Roadmap!$D:$K,MATCH($E62,Roadmap!$D:$D,0)+COUNTIF($E62:O62,"u")+COUNTIF($E62:O62,"t")+COUNTIF($E62:O62,"¶")+COUNTIF($E62:O62,"²")+COUNTIF($E62:O62,"µ")+COUNTIF($E62:O62,1),ColTypeEcheance)),
  IF(LEN(O62)=1,
  IF(LEN(INDEX(Roadmap!$D:$K,MATCH($E62,Roadmap!$D:$D,0)-1+COUNTIF($E62:O62,"u")+COUNTIF($E62:O62,"t")+COUNTIF($E62:O62,"¶")+COUNTIF($E62:O62,"²")+COUNTIF($E62:O62,"µ")+COUNTIF($E62:O62,1),ColDescriptionCourte))&gt;1,
HYPERLINK("#Roadmap!C"&amp; MATCH($E62,Roadmap!$D:$D,0)+COUNTIF($E62:O62,"u")+COUNTIF($E62:O62,"t")+COUNTIF($E62:O62,"¶")+COUNTIF($E62:O62,"²")+COUNTIF($E62:O62,"µ")+COUNTIF($E62:O62,1)-1,INDEX(Roadmap!$D:$K,MATCH($E62,Roadmap!$D:$D,0)-1+COUNTIF($E62:O62,"u")+COUNTIF($E62:O62,"t")+COUNTIF($E62:O62,"¶")+COUNTIF($E62:O62,"²")+COUNTIF($E62:O62,"µ")+COUNTIF($E62:O62,1),ColDescriptionCourte)),""),
  "")),"")</f>
        <v/>
      </c>
      <c r="Q62" s="40" t="str">
        <f ca="1">IFERROR(IF(AND(
  INDEX(Roadmap!$D:$K,MATCH($E62,Roadmap!$D:$D,0)+COUNTIF($E62:P62,"u")+COUNTIF($E62:P62,"t")+COUNTIF($E62:P62,"¶")+COUNTIF($E62:P62,"²")+COUNTIF($E62:P62,"µ")+COUNTIF($E62:P62,1),ColLivraison)=Q$6,
  VLOOKUP($E62,INDIRECT("tri!"&amp; CHAR(64+ C0Col) &amp;":"&amp; CHAR(65+C0Col)),2,FALSE)&gt;COUNTIF($E62:P62,"u")+COUNTIF($E62:P62,"t")+COUNTIF($E62:P62,"¶")+COUNTIF($E62:P62,"²")+COUNTIF($E62:P62,"µ")+COUNTIF($E62:P62,1)),
HYPERLINK("#Roadmap!C"&amp; MATCH($E62,Roadmap!$D:$D,0)+COUNTIF($E62:P62,"u")+COUNTIF($E62:P62,"t"),
     INDEX(Roadmap!$D:$K,MATCH($E62,Roadmap!$D:$D,0)+COUNTIF($E62:P62,"u")+COUNTIF($E62:P62,"t")+COUNTIF($E62:P62,"¶")+COUNTIF($E62:P62,"²")+COUNTIF($E62:P62,"µ")+COUNTIF($E62:P62,1),ColTypeEcheance)),
  IF(LEN(P62)=1,
  IF(LEN(INDEX(Roadmap!$D:$K,MATCH($E62,Roadmap!$D:$D,0)-1+COUNTIF($E62:P62,"u")+COUNTIF($E62:P62,"t")+COUNTIF($E62:P62,"¶")+COUNTIF($E62:P62,"²")+COUNTIF($E62:P62,"µ")+COUNTIF($E62:P62,1),ColDescriptionCourte))&gt;1,
HYPERLINK("#Roadmap!C"&amp; MATCH($E62,Roadmap!$D:$D,0)+COUNTIF($E62:P62,"u")+COUNTIF($E62:P62,"t")+COUNTIF($E62:P62,"¶")+COUNTIF($E62:P62,"²")+COUNTIF($E62:P62,"µ")+COUNTIF($E62:P62,1)-1,INDEX(Roadmap!$D:$K,MATCH($E62,Roadmap!$D:$D,0)-1+COUNTIF($E62:P62,"u")+COUNTIF($E62:P62,"t")+COUNTIF($E62:P62,"¶")+COUNTIF($E62:P62,"²")+COUNTIF($E62:P62,"µ")+COUNTIF($E62:P62,1),ColDescriptionCourte)),""),
  "")),"")</f>
        <v/>
      </c>
      <c r="R62" s="40" t="str">
        <f ca="1">IFERROR(IF(AND(
  INDEX(Roadmap!$D:$K,MATCH($E62,Roadmap!$D:$D,0)+COUNTIF($E62:Q62,"u")+COUNTIF($E62:Q62,"t")+COUNTIF($E62:Q62,"¶")+COUNTIF($E62:Q62,"²")+COUNTIF($E62:Q62,"µ")+COUNTIF($E62:Q62,1),ColLivraison)=R$6,
  VLOOKUP($E62,INDIRECT("tri!"&amp; CHAR(64+ C0Col) &amp;":"&amp; CHAR(65+C0Col)),2,FALSE)&gt;COUNTIF($E62:Q62,"u")+COUNTIF($E62:Q62,"t")+COUNTIF($E62:Q62,"¶")+COUNTIF($E62:Q62,"²")+COUNTIF($E62:Q62,"µ")+COUNTIF($E62:Q62,1)),
HYPERLINK("#Roadmap!C"&amp; MATCH($E62,Roadmap!$D:$D,0)+COUNTIF($E62:Q62,"u")+COUNTIF($E62:Q62,"t"),
     INDEX(Roadmap!$D:$K,MATCH($E62,Roadmap!$D:$D,0)+COUNTIF($E62:Q62,"u")+COUNTIF($E62:Q62,"t")+COUNTIF($E62:Q62,"¶")+COUNTIF($E62:Q62,"²")+COUNTIF($E62:Q62,"µ")+COUNTIF($E62:Q62,1),ColTypeEcheance)),
  IF(LEN(Q62)=1,
  IF(LEN(INDEX(Roadmap!$D:$K,MATCH($E62,Roadmap!$D:$D,0)-1+COUNTIF($E62:Q62,"u")+COUNTIF($E62:Q62,"t")+COUNTIF($E62:Q62,"¶")+COUNTIF($E62:Q62,"²")+COUNTIF($E62:Q62,"µ")+COUNTIF($E62:Q62,1),ColDescriptionCourte))&gt;1,
HYPERLINK("#Roadmap!C"&amp; MATCH($E62,Roadmap!$D:$D,0)+COUNTIF($E62:Q62,"u")+COUNTIF($E62:Q62,"t")+COUNTIF($E62:Q62,"¶")+COUNTIF($E62:Q62,"²")+COUNTIF($E62:Q62,"µ")+COUNTIF($E62:Q62,1)-1,INDEX(Roadmap!$D:$K,MATCH($E62,Roadmap!$D:$D,0)-1+COUNTIF($E62:Q62,"u")+COUNTIF($E62:Q62,"t")+COUNTIF($E62:Q62,"¶")+COUNTIF($E62:Q62,"²")+COUNTIF($E62:Q62,"µ")+COUNTIF($E62:Q62,1),ColDescriptionCourte)),""),
  "")),"")</f>
        <v/>
      </c>
      <c r="S62" s="40" t="str">
        <f ca="1">IFERROR(IF(AND(
  INDEX(Roadmap!$D:$K,MATCH($E62,Roadmap!$D:$D,0)+COUNTIF($E62:R62,"u")+COUNTIF($E62:R62,"t")+COUNTIF($E62:R62,"¶")+COUNTIF($E62:R62,"²")+COUNTIF($E62:R62,"µ")+COUNTIF($E62:R62,1),ColLivraison)=S$6,
  VLOOKUP($E62,INDIRECT("tri!"&amp; CHAR(64+ C0Col) &amp;":"&amp; CHAR(65+C0Col)),2,FALSE)&gt;COUNTIF($E62:R62,"u")+COUNTIF($E62:R62,"t")+COUNTIF($E62:R62,"¶")+COUNTIF($E62:R62,"²")+COUNTIF($E62:R62,"µ")+COUNTIF($E62:R62,1)),
HYPERLINK("#Roadmap!C"&amp; MATCH($E62,Roadmap!$D:$D,0)+COUNTIF($E62:R62,"u")+COUNTIF($E62:R62,"t"),
     INDEX(Roadmap!$D:$K,MATCH($E62,Roadmap!$D:$D,0)+COUNTIF($E62:R62,"u")+COUNTIF($E62:R62,"t")+COUNTIF($E62:R62,"¶")+COUNTIF($E62:R62,"²")+COUNTIF($E62:R62,"µ")+COUNTIF($E62:R62,1),ColTypeEcheance)),
  IF(LEN(R62)=1,
  IF(LEN(INDEX(Roadmap!$D:$K,MATCH($E62,Roadmap!$D:$D,0)-1+COUNTIF($E62:R62,"u")+COUNTIF($E62:R62,"t")+COUNTIF($E62:R62,"¶")+COUNTIF($E62:R62,"²")+COUNTIF($E62:R62,"µ")+COUNTIF($E62:R62,1),ColDescriptionCourte))&gt;1,
HYPERLINK("#Roadmap!C"&amp; MATCH($E62,Roadmap!$D:$D,0)+COUNTIF($E62:R62,"u")+COUNTIF($E62:R62,"t")+COUNTIF($E62:R62,"¶")+COUNTIF($E62:R62,"²")+COUNTIF($E62:R62,"µ")+COUNTIF($E62:R62,1)-1,INDEX(Roadmap!$D:$K,MATCH($E62,Roadmap!$D:$D,0)-1+COUNTIF($E62:R62,"u")+COUNTIF($E62:R62,"t")+COUNTIF($E62:R62,"¶")+COUNTIF($E62:R62,"²")+COUNTIF($E62:R62,"µ")+COUNTIF($E62:R62,1),ColDescriptionCourte)),""),
  "")),"")</f>
        <v/>
      </c>
      <c r="T62" s="40" t="str">
        <f ca="1">IFERROR(IF(AND(
  INDEX(Roadmap!$D:$K,MATCH($E62,Roadmap!$D:$D,0)+COUNTIF($E62:S62,"u")+COUNTIF($E62:S62,"t")+COUNTIF($E62:S62,"¶")+COUNTIF($E62:S62,"²")+COUNTIF($E62:S62,"µ")+COUNTIF($E62:S62,1),ColLivraison)=T$6,
  VLOOKUP($E62,INDIRECT("tri!"&amp; CHAR(64+ C0Col) &amp;":"&amp; CHAR(65+C0Col)),2,FALSE)&gt;COUNTIF($E62:S62,"u")+COUNTIF($E62:S62,"t")+COUNTIF($E62:S62,"¶")+COUNTIF($E62:S62,"²")+COUNTIF($E62:S62,"µ")+COUNTIF($E62:S62,1)),
HYPERLINK("#Roadmap!C"&amp; MATCH($E62,Roadmap!$D:$D,0)+COUNTIF($E62:S62,"u")+COUNTIF($E62:S62,"t"),
     INDEX(Roadmap!$D:$K,MATCH($E62,Roadmap!$D:$D,0)+COUNTIF($E62:S62,"u")+COUNTIF($E62:S62,"t")+COUNTIF($E62:S62,"¶")+COUNTIF($E62:S62,"²")+COUNTIF($E62:S62,"µ")+COUNTIF($E62:S62,1),ColTypeEcheance)),
  IF(LEN(S62)=1,
  IF(LEN(INDEX(Roadmap!$D:$K,MATCH($E62,Roadmap!$D:$D,0)-1+COUNTIF($E62:S62,"u")+COUNTIF($E62:S62,"t")+COUNTIF($E62:S62,"¶")+COUNTIF($E62:S62,"²")+COUNTIF($E62:S62,"µ")+COUNTIF($E62:S62,1),ColDescriptionCourte))&gt;1,
HYPERLINK("#Roadmap!C"&amp; MATCH($E62,Roadmap!$D:$D,0)+COUNTIF($E62:S62,"u")+COUNTIF($E62:S62,"t")+COUNTIF($E62:S62,"¶")+COUNTIF($E62:S62,"²")+COUNTIF($E62:S62,"µ")+COUNTIF($E62:S62,1)-1,INDEX(Roadmap!$D:$K,MATCH($E62,Roadmap!$D:$D,0)-1+COUNTIF($E62:S62,"u")+COUNTIF($E62:S62,"t")+COUNTIF($E62:S62,"¶")+COUNTIF($E62:S62,"²")+COUNTIF($E62:S62,"µ")+COUNTIF($E62:S62,1),ColDescriptionCourte)),""),
  "")),"")</f>
        <v/>
      </c>
      <c r="U62" s="40" t="str">
        <f ca="1">IFERROR(IF(AND(
  INDEX(Roadmap!$D:$K,MATCH($E62,Roadmap!$D:$D,0)+COUNTIF($E62:T62,"u")+COUNTIF($E62:T62,"t")+COUNTIF($E62:T62,"¶")+COUNTIF($E62:T62,"²")+COUNTIF($E62:T62,"µ")+COUNTIF($E62:T62,1),ColLivraison)=U$6,
  VLOOKUP($E62,INDIRECT("tri!"&amp; CHAR(64+ C0Col) &amp;":"&amp; CHAR(65+C0Col)),2,FALSE)&gt;COUNTIF($E62:T62,"u")+COUNTIF($E62:T62,"t")+COUNTIF($E62:T62,"¶")+COUNTIF($E62:T62,"²")+COUNTIF($E62:T62,"µ")+COUNTIF($E62:T62,1)),
HYPERLINK("#Roadmap!C"&amp; MATCH($E62,Roadmap!$D:$D,0)+COUNTIF($E62:T62,"u")+COUNTIF($E62:T62,"t"),
     INDEX(Roadmap!$D:$K,MATCH($E62,Roadmap!$D:$D,0)+COUNTIF($E62:T62,"u")+COUNTIF($E62:T62,"t")+COUNTIF($E62:T62,"¶")+COUNTIF($E62:T62,"²")+COUNTIF($E62:T62,"µ")+COUNTIF($E62:T62,1),ColTypeEcheance)),
  IF(LEN(T62)=1,
  IF(LEN(INDEX(Roadmap!$D:$K,MATCH($E62,Roadmap!$D:$D,0)-1+COUNTIF($E62:T62,"u")+COUNTIF($E62:T62,"t")+COUNTIF($E62:T62,"¶")+COUNTIF($E62:T62,"²")+COUNTIF($E62:T62,"µ")+COUNTIF($E62:T62,1),ColDescriptionCourte))&gt;1,
HYPERLINK("#Roadmap!C"&amp; MATCH($E62,Roadmap!$D:$D,0)+COUNTIF($E62:T62,"u")+COUNTIF($E62:T62,"t")+COUNTIF($E62:T62,"¶")+COUNTIF($E62:T62,"²")+COUNTIF($E62:T62,"µ")+COUNTIF($E62:T62,1)-1,INDEX(Roadmap!$D:$K,MATCH($E62,Roadmap!$D:$D,0)-1+COUNTIF($E62:T62,"u")+COUNTIF($E62:T62,"t")+COUNTIF($E62:T62,"¶")+COUNTIF($E62:T62,"²")+COUNTIF($E62:T62,"µ")+COUNTIF($E62:T62,1),ColDescriptionCourte)),""),
  "")),"")</f>
        <v/>
      </c>
      <c r="V62" s="40" t="str">
        <f ca="1">IFERROR(IF(AND(
  INDEX(Roadmap!$D:$K,MATCH($E62,Roadmap!$D:$D,0)+COUNTIF($E62:U62,"u")+COUNTIF($E62:U62,"t")+COUNTIF($E62:U62,"¶")+COUNTIF($E62:U62,"²")+COUNTIF($E62:U62,"µ")+COUNTIF($E62:U62,1),ColLivraison)=V$6,
  VLOOKUP($E62,INDIRECT("tri!"&amp; CHAR(64+ C0Col) &amp;":"&amp; CHAR(65+C0Col)),2,FALSE)&gt;COUNTIF($E62:U62,"u")+COUNTIF($E62:U62,"t")+COUNTIF($E62:U62,"¶")+COUNTIF($E62:U62,"²")+COUNTIF($E62:U62,"µ")+COUNTIF($E62:U62,1)),
HYPERLINK("#Roadmap!C"&amp; MATCH($E62,Roadmap!$D:$D,0)+COUNTIF($E62:U62,"u")+COUNTIF($E62:U62,"t"),
     INDEX(Roadmap!$D:$K,MATCH($E62,Roadmap!$D:$D,0)+COUNTIF($E62:U62,"u")+COUNTIF($E62:U62,"t")+COUNTIF($E62:U62,"¶")+COUNTIF($E62:U62,"²")+COUNTIF($E62:U62,"µ")+COUNTIF($E62:U62,1),ColTypeEcheance)),
  IF(LEN(U62)=1,
  IF(LEN(INDEX(Roadmap!$D:$K,MATCH($E62,Roadmap!$D:$D,0)-1+COUNTIF($E62:U62,"u")+COUNTIF($E62:U62,"t")+COUNTIF($E62:U62,"¶")+COUNTIF($E62:U62,"²")+COUNTIF($E62:U62,"µ")+COUNTIF($E62:U62,1),ColDescriptionCourte))&gt;1,
HYPERLINK("#Roadmap!C"&amp; MATCH($E62,Roadmap!$D:$D,0)+COUNTIF($E62:U62,"u")+COUNTIF($E62:U62,"t")+COUNTIF($E62:U62,"¶")+COUNTIF($E62:U62,"²")+COUNTIF($E62:U62,"µ")+COUNTIF($E62:U62,1)-1,INDEX(Roadmap!$D:$K,MATCH($E62,Roadmap!$D:$D,0)-1+COUNTIF($E62:U62,"u")+COUNTIF($E62:U62,"t")+COUNTIF($E62:U62,"¶")+COUNTIF($E62:U62,"²")+COUNTIF($E62:U62,"µ")+COUNTIF($E62:U62,1),ColDescriptionCourte)),""),
  "")),"")</f>
        <v/>
      </c>
      <c r="W62" s="40" t="str">
        <f ca="1">IFERROR(IF(AND(
  INDEX(Roadmap!$D:$K,MATCH($E62,Roadmap!$D:$D,0)+COUNTIF($E62:V62,"u")+COUNTIF($E62:V62,"t")+COUNTIF($E62:V62,"¶")+COUNTIF($E62:V62,"²")+COUNTIF($E62:V62,"µ")+COUNTIF($E62:V62,1),ColLivraison)=W$6,
  VLOOKUP($E62,INDIRECT("tri!"&amp; CHAR(64+ C0Col) &amp;":"&amp; CHAR(65+C0Col)),2,FALSE)&gt;COUNTIF($E62:V62,"u")+COUNTIF($E62:V62,"t")+COUNTIF($E62:V62,"¶")+COUNTIF($E62:V62,"²")+COUNTIF($E62:V62,"µ")+COUNTIF($E62:V62,1)),
HYPERLINK("#Roadmap!C"&amp; MATCH($E62,Roadmap!$D:$D,0)+COUNTIF($E62:V62,"u")+COUNTIF($E62:V62,"t"),
     INDEX(Roadmap!$D:$K,MATCH($E62,Roadmap!$D:$D,0)+COUNTIF($E62:V62,"u")+COUNTIF($E62:V62,"t")+COUNTIF($E62:V62,"¶")+COUNTIF($E62:V62,"²")+COUNTIF($E62:V62,"µ")+COUNTIF($E62:V62,1),ColTypeEcheance)),
  IF(LEN(V62)=1,
  IF(LEN(INDEX(Roadmap!$D:$K,MATCH($E62,Roadmap!$D:$D,0)-1+COUNTIF($E62:V62,"u")+COUNTIF($E62:V62,"t")+COUNTIF($E62:V62,"¶")+COUNTIF($E62:V62,"²")+COUNTIF($E62:V62,"µ")+COUNTIF($E62:V62,1),ColDescriptionCourte))&gt;1,
HYPERLINK("#Roadmap!C"&amp; MATCH($E62,Roadmap!$D:$D,0)+COUNTIF($E62:V62,"u")+COUNTIF($E62:V62,"t")+COUNTIF($E62:V62,"¶")+COUNTIF($E62:V62,"²")+COUNTIF($E62:V62,"µ")+COUNTIF($E62:V62,1)-1,INDEX(Roadmap!$D:$K,MATCH($E62,Roadmap!$D:$D,0)-1+COUNTIF($E62:V62,"u")+COUNTIF($E62:V62,"t")+COUNTIF($E62:V62,"¶")+COUNTIF($E62:V62,"²")+COUNTIF($E62:V62,"µ")+COUNTIF($E62:V62,1),ColDescriptionCourte)),""),
  "")),"")</f>
        <v/>
      </c>
      <c r="X62" s="40" t="str">
        <f ca="1">IFERROR(IF(AND(
  INDEX(Roadmap!$D:$K,MATCH($E62,Roadmap!$D:$D,0)+COUNTIF($E62:W62,"u")+COUNTIF($E62:W62,"t")+COUNTIF($E62:W62,"¶")+COUNTIF($E62:W62,"²")+COUNTIF($E62:W62,"µ")+COUNTIF($E62:W62,1),ColLivraison)=X$6,
  VLOOKUP($E62,INDIRECT("tri!"&amp; CHAR(64+ C0Col) &amp;":"&amp; CHAR(65+C0Col)),2,FALSE)&gt;COUNTIF($E62:W62,"u")+COUNTIF($E62:W62,"t")+COUNTIF($E62:W62,"¶")+COUNTIF($E62:W62,"²")+COUNTIF($E62:W62,"µ")+COUNTIF($E62:W62,1)),
HYPERLINK("#Roadmap!C"&amp; MATCH($E62,Roadmap!$D:$D,0)+COUNTIF($E62:W62,"u")+COUNTIF($E62:W62,"t"),
     INDEX(Roadmap!$D:$K,MATCH($E62,Roadmap!$D:$D,0)+COUNTIF($E62:W62,"u")+COUNTIF($E62:W62,"t")+COUNTIF($E62:W62,"¶")+COUNTIF($E62:W62,"²")+COUNTIF($E62:W62,"µ")+COUNTIF($E62:W62,1),ColTypeEcheance)),
  IF(LEN(W62)=1,
  IF(LEN(INDEX(Roadmap!$D:$K,MATCH($E62,Roadmap!$D:$D,0)-1+COUNTIF($E62:W62,"u")+COUNTIF($E62:W62,"t")+COUNTIF($E62:W62,"¶")+COUNTIF($E62:W62,"²")+COUNTIF($E62:W62,"µ")+COUNTIF($E62:W62,1),ColDescriptionCourte))&gt;1,
HYPERLINK("#Roadmap!C"&amp; MATCH($E62,Roadmap!$D:$D,0)+COUNTIF($E62:W62,"u")+COUNTIF($E62:W62,"t")+COUNTIF($E62:W62,"¶")+COUNTIF($E62:W62,"²")+COUNTIF($E62:W62,"µ")+COUNTIF($E62:W62,1)-1,INDEX(Roadmap!$D:$K,MATCH($E62,Roadmap!$D:$D,0)-1+COUNTIF($E62:W62,"u")+COUNTIF($E62:W62,"t")+COUNTIF($E62:W62,"¶")+COUNTIF($E62:W62,"²")+COUNTIF($E62:W62,"µ")+COUNTIF($E62:W62,1),ColDescriptionCourte)),""),
  "")),"")</f>
        <v/>
      </c>
      <c r="Y62" s="40" t="str">
        <f ca="1">IFERROR(IF(AND(
  INDEX(Roadmap!$D:$K,MATCH($E62,Roadmap!$D:$D,0)+COUNTIF($E62:X62,"u")+COUNTIF($E62:X62,"t")+COUNTIF($E62:X62,"¶")+COUNTIF($E62:X62,"²")+COUNTIF($E62:X62,"µ")+COUNTIF($E62:X62,1),ColLivraison)=Y$6,
  VLOOKUP($E62,INDIRECT("tri!"&amp; CHAR(64+ C0Col) &amp;":"&amp; CHAR(65+C0Col)),2,FALSE)&gt;COUNTIF($E62:X62,"u")+COUNTIF($E62:X62,"t")+COUNTIF($E62:X62,"¶")+COUNTIF($E62:X62,"²")+COUNTIF($E62:X62,"µ")+COUNTIF($E62:X62,1)),
HYPERLINK("#Roadmap!C"&amp; MATCH($E62,Roadmap!$D:$D,0)+COUNTIF($E62:X62,"u")+COUNTIF($E62:X62,"t"),
     INDEX(Roadmap!$D:$K,MATCH($E62,Roadmap!$D:$D,0)+COUNTIF($E62:X62,"u")+COUNTIF($E62:X62,"t")+COUNTIF($E62:X62,"¶")+COUNTIF($E62:X62,"²")+COUNTIF($E62:X62,"µ")+COUNTIF($E62:X62,1),ColTypeEcheance)),
  IF(LEN(X62)=1,
  IF(LEN(INDEX(Roadmap!$D:$K,MATCH($E62,Roadmap!$D:$D,0)-1+COUNTIF($E62:X62,"u")+COUNTIF($E62:X62,"t")+COUNTIF($E62:X62,"¶")+COUNTIF($E62:X62,"²")+COUNTIF($E62:X62,"µ")+COUNTIF($E62:X62,1),ColDescriptionCourte))&gt;1,
HYPERLINK("#Roadmap!C"&amp; MATCH($E62,Roadmap!$D:$D,0)+COUNTIF($E62:X62,"u")+COUNTIF($E62:X62,"t")+COUNTIF($E62:X62,"¶")+COUNTIF($E62:X62,"²")+COUNTIF($E62:X62,"µ")+COUNTIF($E62:X62,1)-1,INDEX(Roadmap!$D:$K,MATCH($E62,Roadmap!$D:$D,0)-1+COUNTIF($E62:X62,"u")+COUNTIF($E62:X62,"t")+COUNTIF($E62:X62,"¶")+COUNTIF($E62:X62,"²")+COUNTIF($E62:X62,"µ")+COUNTIF($E62:X62,1),ColDescriptionCourte)),""),
  "")),"")</f>
        <v/>
      </c>
      <c r="Z62" s="40" t="str">
        <f ca="1">IFERROR(IF(AND(
  INDEX(Roadmap!$D:$K,MATCH($E62,Roadmap!$D:$D,0)+COUNTIF($E62:Y62,"u")+COUNTIF($E62:Y62,"t")+COUNTIF($E62:Y62,"¶")+COUNTIF($E62:Y62,"²")+COUNTIF($E62:Y62,"µ")+COUNTIF($E62:Y62,1),ColLivraison)=Z$6,
  VLOOKUP($E62,INDIRECT("tri!"&amp; CHAR(64+ C0Col) &amp;":"&amp; CHAR(65+C0Col)),2,FALSE)&gt;COUNTIF($E62:Y62,"u")+COUNTIF($E62:Y62,"t")+COUNTIF($E62:Y62,"¶")+COUNTIF($E62:Y62,"²")+COUNTIF($E62:Y62,"µ")+COUNTIF($E62:Y62,1)),
HYPERLINK("#Roadmap!C"&amp; MATCH($E62,Roadmap!$D:$D,0)+COUNTIF($E62:Y62,"u")+COUNTIF($E62:Y62,"t"),
     INDEX(Roadmap!$D:$K,MATCH($E62,Roadmap!$D:$D,0)+COUNTIF($E62:Y62,"u")+COUNTIF($E62:Y62,"t")+COUNTIF($E62:Y62,"¶")+COUNTIF($E62:Y62,"²")+COUNTIF($E62:Y62,"µ")+COUNTIF($E62:Y62,1),ColTypeEcheance)),
  IF(LEN(Y62)=1,
  IF(LEN(INDEX(Roadmap!$D:$K,MATCH($E62,Roadmap!$D:$D,0)-1+COUNTIF($E62:Y62,"u")+COUNTIF($E62:Y62,"t")+COUNTIF($E62:Y62,"¶")+COUNTIF($E62:Y62,"²")+COUNTIF($E62:Y62,"µ")+COUNTIF($E62:Y62,1),ColDescriptionCourte))&gt;1,
HYPERLINK("#Roadmap!C"&amp; MATCH($E62,Roadmap!$D:$D,0)+COUNTIF($E62:Y62,"u")+COUNTIF($E62:Y62,"t")+COUNTIF($E62:Y62,"¶")+COUNTIF($E62:Y62,"²")+COUNTIF($E62:Y62,"µ")+COUNTIF($E62:Y62,1)-1,INDEX(Roadmap!$D:$K,MATCH($E62,Roadmap!$D:$D,0)-1+COUNTIF($E62:Y62,"u")+COUNTIF($E62:Y62,"t")+COUNTIF($E62:Y62,"¶")+COUNTIF($E62:Y62,"²")+COUNTIF($E62:Y62,"µ")+COUNTIF($E62:Y62,1),ColDescriptionCourte)),""),
  "")),"")</f>
        <v/>
      </c>
      <c r="AA62" s="40" t="str">
        <f ca="1">IFERROR(IF(AND(
  INDEX(Roadmap!$D:$K,MATCH($E62,Roadmap!$D:$D,0)+COUNTIF($E62:Z62,"u")+COUNTIF($E62:Z62,"t")+COUNTIF($E62:Z62,"¶")+COUNTIF($E62:Z62,"²")+COUNTIF($E62:Z62,"µ")+COUNTIF($E62:Z62,1),ColLivraison)=AA$6,
  VLOOKUP($E62,INDIRECT("tri!"&amp; CHAR(64+ C0Col) &amp;":"&amp; CHAR(65+C0Col)),2,FALSE)&gt;COUNTIF($E62:Z62,"u")+COUNTIF($E62:Z62,"t")+COUNTIF($E62:Z62,"¶")+COUNTIF($E62:Z62,"²")+COUNTIF($E62:Z62,"µ")+COUNTIF($E62:Z62,1)),
HYPERLINK("#Roadmap!C"&amp; MATCH($E62,Roadmap!$D:$D,0)+COUNTIF($E62:Z62,"u")+COUNTIF($E62:Z62,"t"),
     INDEX(Roadmap!$D:$K,MATCH($E62,Roadmap!$D:$D,0)+COUNTIF($E62:Z62,"u")+COUNTIF($E62:Z62,"t")+COUNTIF($E62:Z62,"¶")+COUNTIF($E62:Z62,"²")+COUNTIF($E62:Z62,"µ")+COUNTIF($E62:Z62,1),ColTypeEcheance)),
  IF(LEN(Z62)=1,
  IF(LEN(INDEX(Roadmap!$D:$K,MATCH($E62,Roadmap!$D:$D,0)-1+COUNTIF($E62:Z62,"u")+COUNTIF($E62:Z62,"t")+COUNTIF($E62:Z62,"¶")+COUNTIF($E62:Z62,"²")+COUNTIF($E62:Z62,"µ")+COUNTIF($E62:Z62,1),ColDescriptionCourte))&gt;1,
HYPERLINK("#Roadmap!C"&amp; MATCH($E62,Roadmap!$D:$D,0)+COUNTIF($E62:Z62,"u")+COUNTIF($E62:Z62,"t")+COUNTIF($E62:Z62,"¶")+COUNTIF($E62:Z62,"²")+COUNTIF($E62:Z62,"µ")+COUNTIF($E62:Z62,1)-1,INDEX(Roadmap!$D:$K,MATCH($E62,Roadmap!$D:$D,0)-1+COUNTIF($E62:Z62,"u")+COUNTIF($E62:Z62,"t")+COUNTIF($E62:Z62,"¶")+COUNTIF($E62:Z62,"²")+COUNTIF($E62:Z62,"µ")+COUNTIF($E62:Z62,1),ColDescriptionCourte)),""),
  "")),"")</f>
        <v/>
      </c>
      <c r="AB62" s="40" t="str">
        <f ca="1">IFERROR(IF(AND(
  INDEX(Roadmap!$D:$K,MATCH($E62,Roadmap!$D:$D,0)+COUNTIF($E62:AA62,"u")+COUNTIF($E62:AA62,"t")+COUNTIF($E62:AA62,"¶")+COUNTIF($E62:AA62,"²")+COUNTIF($E62:AA62,"µ")+COUNTIF($E62:AA62,1),ColLivraison)=AB$6,
  VLOOKUP($E62,INDIRECT("tri!"&amp; CHAR(64+ C0Col) &amp;":"&amp; CHAR(65+C0Col)),2,FALSE)&gt;COUNTIF($E62:AA62,"u")+COUNTIF($E62:AA62,"t")+COUNTIF($E62:AA62,"¶")+COUNTIF($E62:AA62,"²")+COUNTIF($E62:AA62,"µ")+COUNTIF($E62:AA62,1)),
HYPERLINK("#Roadmap!C"&amp; MATCH($E62,Roadmap!$D:$D,0)+COUNTIF($E62:AA62,"u")+COUNTIF($E62:AA62,"t"),
     INDEX(Roadmap!$D:$K,MATCH($E62,Roadmap!$D:$D,0)+COUNTIF($E62:AA62,"u")+COUNTIF($E62:AA62,"t")+COUNTIF($E62:AA62,"¶")+COUNTIF($E62:AA62,"²")+COUNTIF($E62:AA62,"µ")+COUNTIF($E62:AA62,1),ColTypeEcheance)),
  IF(LEN(AA62)=1,
  IF(LEN(INDEX(Roadmap!$D:$K,MATCH($E62,Roadmap!$D:$D,0)-1+COUNTIF($E62:AA62,"u")+COUNTIF($E62:AA62,"t")+COUNTIF($E62:AA62,"¶")+COUNTIF($E62:AA62,"²")+COUNTIF($E62:AA62,"µ")+COUNTIF($E62:AA62,1),ColDescriptionCourte))&gt;1,
HYPERLINK("#Roadmap!C"&amp; MATCH($E62,Roadmap!$D:$D,0)+COUNTIF($E62:AA62,"u")+COUNTIF($E62:AA62,"t")+COUNTIF($E62:AA62,"¶")+COUNTIF($E62:AA62,"²")+COUNTIF($E62:AA62,"µ")+COUNTIF($E62:AA62,1)-1,INDEX(Roadmap!$D:$K,MATCH($E62,Roadmap!$D:$D,0)-1+COUNTIF($E62:AA62,"u")+COUNTIF($E62:AA62,"t")+COUNTIF($E62:AA62,"¶")+COUNTIF($E62:AA62,"²")+COUNTIF($E62:AA62,"µ")+COUNTIF($E62:AA62,1),ColDescriptionCourte)),""),
  "")),"")</f>
        <v/>
      </c>
      <c r="AC62" s="40" t="str">
        <f ca="1">IFERROR(IF(AND(
  INDEX(Roadmap!$D:$K,MATCH($E62,Roadmap!$D:$D,0)+COUNTIF($E62:AB62,"u")+COUNTIF($E62:AB62,"t")+COUNTIF($E62:AB62,"¶")+COUNTIF($E62:AB62,"²")+COUNTIF($E62:AB62,"µ")+COUNTIF($E62:AB62,1),ColLivraison)=AC$6,
  VLOOKUP($E62,INDIRECT("tri!"&amp; CHAR(64+ C0Col) &amp;":"&amp; CHAR(65+C0Col)),2,FALSE)&gt;COUNTIF($E62:AB62,"u")+COUNTIF($E62:AB62,"t")+COUNTIF($E62:AB62,"¶")+COUNTIF($E62:AB62,"²")+COUNTIF($E62:AB62,"µ")+COUNTIF($E62:AB62,1)),
HYPERLINK("#Roadmap!C"&amp; MATCH($E62,Roadmap!$D:$D,0)+COUNTIF($E62:AB62,"u")+COUNTIF($E62:AB62,"t"),
     INDEX(Roadmap!$D:$K,MATCH($E62,Roadmap!$D:$D,0)+COUNTIF($E62:AB62,"u")+COUNTIF($E62:AB62,"t")+COUNTIF($E62:AB62,"¶")+COUNTIF($E62:AB62,"²")+COUNTIF($E62:AB62,"µ")+COUNTIF($E62:AB62,1),ColTypeEcheance)),
  IF(LEN(AB62)=1,
  IF(LEN(INDEX(Roadmap!$D:$K,MATCH($E62,Roadmap!$D:$D,0)-1+COUNTIF($E62:AB62,"u")+COUNTIF($E62:AB62,"t")+COUNTIF($E62:AB62,"¶")+COUNTIF($E62:AB62,"²")+COUNTIF($E62:AB62,"µ")+COUNTIF($E62:AB62,1),ColDescriptionCourte))&gt;1,
HYPERLINK("#Roadmap!C"&amp; MATCH($E62,Roadmap!$D:$D,0)+COUNTIF($E62:AB62,"u")+COUNTIF($E62:AB62,"t")+COUNTIF($E62:AB62,"¶")+COUNTIF($E62:AB62,"²")+COUNTIF($E62:AB62,"µ")+COUNTIF($E62:AB62,1)-1,INDEX(Roadmap!$D:$K,MATCH($E62,Roadmap!$D:$D,0)-1+COUNTIF($E62:AB62,"u")+COUNTIF($E62:AB62,"t")+COUNTIF($E62:AB62,"¶")+COUNTIF($E62:AB62,"²")+COUNTIF($E62:AB62,"µ")+COUNTIF($E62:AB62,1),ColDescriptionCourte)),""),
  "")),"")</f>
        <v/>
      </c>
      <c r="AD62" s="40" t="str">
        <f ca="1">IFERROR(IF(AND(
  INDEX(Roadmap!$D:$K,MATCH($E62,Roadmap!$D:$D,0)+COUNTIF($E62:AC62,"u")+COUNTIF($E62:AC62,"t")+COUNTIF($E62:AC62,"¶")+COUNTIF($E62:AC62,"²")+COUNTIF($E62:AC62,"µ")+COUNTIF($E62:AC62,1),ColLivraison)=AD$6,
  VLOOKUP($E62,INDIRECT("tri!"&amp; CHAR(64+ C0Col) &amp;":"&amp; CHAR(65+C0Col)),2,FALSE)&gt;COUNTIF($E62:AC62,"u")+COUNTIF($E62:AC62,"t")+COUNTIF($E62:AC62,"¶")+COUNTIF($E62:AC62,"²")+COUNTIF($E62:AC62,"µ")+COUNTIF($E62:AC62,1)),
HYPERLINK("#Roadmap!C"&amp; MATCH($E62,Roadmap!$D:$D,0)+COUNTIF($E62:AC62,"u")+COUNTIF($E62:AC62,"t"),
     INDEX(Roadmap!$D:$K,MATCH($E62,Roadmap!$D:$D,0)+COUNTIF($E62:AC62,"u")+COUNTIF($E62:AC62,"t")+COUNTIF($E62:AC62,"¶")+COUNTIF($E62:AC62,"²")+COUNTIF($E62:AC62,"µ")+COUNTIF($E62:AC62,1),ColTypeEcheance)),
  IF(LEN(AC62)=1,
  IF(LEN(INDEX(Roadmap!$D:$K,MATCH($E62,Roadmap!$D:$D,0)-1+COUNTIF($E62:AC62,"u")+COUNTIF($E62:AC62,"t")+COUNTIF($E62:AC62,"¶")+COUNTIF($E62:AC62,"²")+COUNTIF($E62:AC62,"µ")+COUNTIF($E62:AC62,1),ColDescriptionCourte))&gt;1,
HYPERLINK("#Roadmap!C"&amp; MATCH($E62,Roadmap!$D:$D,0)+COUNTIF($E62:AC62,"u")+COUNTIF($E62:AC62,"t")+COUNTIF($E62:AC62,"¶")+COUNTIF($E62:AC62,"²")+COUNTIF($E62:AC62,"µ")+COUNTIF($E62:AC62,1)-1,INDEX(Roadmap!$D:$K,MATCH($E62,Roadmap!$D:$D,0)-1+COUNTIF($E62:AC62,"u")+COUNTIF($E62:AC62,"t")+COUNTIF($E62:AC62,"¶")+COUNTIF($E62:AC62,"²")+COUNTIF($E62:AC62,"µ")+COUNTIF($E62:AC62,1),ColDescriptionCourte)),""),
  "")),"")</f>
        <v/>
      </c>
      <c r="AE62" s="40" t="str">
        <f ca="1">IFERROR(IF(AND(
  INDEX(Roadmap!$D:$K,MATCH($E62,Roadmap!$D:$D,0)+COUNTIF($E62:AD62,"u")+COUNTIF($E62:AD62,"t")+COUNTIF($E62:AD62,"¶")+COUNTIF($E62:AD62,"²")+COUNTIF($E62:AD62,"µ")+COUNTIF($E62:AD62,1),ColLivraison)=AE$6,
  VLOOKUP($E62,INDIRECT("tri!"&amp; CHAR(64+ C0Col) &amp;":"&amp; CHAR(65+C0Col)),2,FALSE)&gt;COUNTIF($E62:AD62,"u")+COUNTIF($E62:AD62,"t")+COUNTIF($E62:AD62,"¶")+COUNTIF($E62:AD62,"²")+COUNTIF($E62:AD62,"µ")+COUNTIF($E62:AD62,1)),
HYPERLINK("#Roadmap!C"&amp; MATCH($E62,Roadmap!$D:$D,0)+COUNTIF($E62:AD62,"u")+COUNTIF($E62:AD62,"t"),
     INDEX(Roadmap!$D:$K,MATCH($E62,Roadmap!$D:$D,0)+COUNTIF($E62:AD62,"u")+COUNTIF($E62:AD62,"t")+COUNTIF($E62:AD62,"¶")+COUNTIF($E62:AD62,"²")+COUNTIF($E62:AD62,"µ")+COUNTIF($E62:AD62,1),ColTypeEcheance)),
  IF(LEN(AD62)=1,
  IF(LEN(INDEX(Roadmap!$D:$K,MATCH($E62,Roadmap!$D:$D,0)-1+COUNTIF($E62:AD62,"u")+COUNTIF($E62:AD62,"t")+COUNTIF($E62:AD62,"¶")+COUNTIF($E62:AD62,"²")+COUNTIF($E62:AD62,"µ")+COUNTIF($E62:AD62,1),ColDescriptionCourte))&gt;1,
HYPERLINK("#Roadmap!C"&amp; MATCH($E62,Roadmap!$D:$D,0)+COUNTIF($E62:AD62,"u")+COUNTIF($E62:AD62,"t")+COUNTIF($E62:AD62,"¶")+COUNTIF($E62:AD62,"²")+COUNTIF($E62:AD62,"µ")+COUNTIF($E62:AD62,1)-1,INDEX(Roadmap!$D:$K,MATCH($E62,Roadmap!$D:$D,0)-1+COUNTIF($E62:AD62,"u")+COUNTIF($E62:AD62,"t")+COUNTIF($E62:AD62,"¶")+COUNTIF($E62:AD62,"²")+COUNTIF($E62:AD62,"µ")+COUNTIF($E62:AD62,1),ColDescriptionCourte)),""),
  "")),"")</f>
        <v/>
      </c>
      <c r="AF62" s="40" t="str">
        <f ca="1">IFERROR(IF(AND(
  INDEX(Roadmap!$D:$K,MATCH($E62,Roadmap!$D:$D,0)+COUNTIF($E62:AE62,"u")+COUNTIF($E62:AE62,"t")+COUNTIF($E62:AE62,"¶")+COUNTIF($E62:AE62,"²")+COUNTIF($E62:AE62,"µ")+COUNTIF($E62:AE62,1),ColLivraison)=AF$6,
  VLOOKUP($E62,INDIRECT("tri!"&amp; CHAR(64+ C0Col) &amp;":"&amp; CHAR(65+C0Col)),2,FALSE)&gt;COUNTIF($E62:AE62,"u")+COUNTIF($E62:AE62,"t")+COUNTIF($E62:AE62,"¶")+COUNTIF($E62:AE62,"²")+COUNTIF($E62:AE62,"µ")+COUNTIF($E62:AE62,1)),
HYPERLINK("#Roadmap!C"&amp; MATCH($E62,Roadmap!$D:$D,0)+COUNTIF($E62:AE62,"u")+COUNTIF($E62:AE62,"t"),
     INDEX(Roadmap!$D:$K,MATCH($E62,Roadmap!$D:$D,0)+COUNTIF($E62:AE62,"u")+COUNTIF($E62:AE62,"t")+COUNTIF($E62:AE62,"¶")+COUNTIF($E62:AE62,"²")+COUNTIF($E62:AE62,"µ")+COUNTIF($E62:AE62,1),ColTypeEcheance)),
  IF(LEN(AE62)=1,
  IF(LEN(INDEX(Roadmap!$D:$K,MATCH($E62,Roadmap!$D:$D,0)-1+COUNTIF($E62:AE62,"u")+COUNTIF($E62:AE62,"t")+COUNTIF($E62:AE62,"¶")+COUNTIF($E62:AE62,"²")+COUNTIF($E62:AE62,"µ")+COUNTIF($E62:AE62,1),ColDescriptionCourte))&gt;1,
HYPERLINK("#Roadmap!C"&amp; MATCH($E62,Roadmap!$D:$D,0)+COUNTIF($E62:AE62,"u")+COUNTIF($E62:AE62,"t")+COUNTIF($E62:AE62,"¶")+COUNTIF($E62:AE62,"²")+COUNTIF($E62:AE62,"µ")+COUNTIF($E62:AE62,1)-1,INDEX(Roadmap!$D:$K,MATCH($E62,Roadmap!$D:$D,0)-1+COUNTIF($E62:AE62,"u")+COUNTIF($E62:AE62,"t")+COUNTIF($E62:AE62,"¶")+COUNTIF($E62:AE62,"²")+COUNTIF($E62:AE62,"µ")+COUNTIF($E62:AE62,1),ColDescriptionCourte)),""),
  "")),"")</f>
        <v/>
      </c>
      <c r="AG62" s="40" t="str">
        <f ca="1">IFERROR(IF(AND(
  INDEX(Roadmap!$D:$K,MATCH($E62,Roadmap!$D:$D,0)+COUNTIF($E62:AF62,"u")+COUNTIF($E62:AF62,"t")+COUNTIF($E62:AF62,"¶")+COUNTIF($E62:AF62,"²")+COUNTIF($E62:AF62,"µ")+COUNTIF($E62:AF62,1),ColLivraison)=AG$6,
  VLOOKUP($E62,INDIRECT("tri!"&amp; CHAR(64+ C0Col) &amp;":"&amp; CHAR(65+C0Col)),2,FALSE)&gt;COUNTIF($E62:AF62,"u")+COUNTIF($E62:AF62,"t")+COUNTIF($E62:AF62,"¶")+COUNTIF($E62:AF62,"²")+COUNTIF($E62:AF62,"µ")+COUNTIF($E62:AF62,1)),
HYPERLINK("#Roadmap!C"&amp; MATCH($E62,Roadmap!$D:$D,0)+COUNTIF($E62:AF62,"u")+COUNTIF($E62:AF62,"t"),
     INDEX(Roadmap!$D:$K,MATCH($E62,Roadmap!$D:$D,0)+COUNTIF($E62:AF62,"u")+COUNTIF($E62:AF62,"t")+COUNTIF($E62:AF62,"¶")+COUNTIF($E62:AF62,"²")+COUNTIF($E62:AF62,"µ")+COUNTIF($E62:AF62,1),ColTypeEcheance)),
  IF(LEN(AF62)=1,
  IF(LEN(INDEX(Roadmap!$D:$K,MATCH($E62,Roadmap!$D:$D,0)-1+COUNTIF($E62:AF62,"u")+COUNTIF($E62:AF62,"t")+COUNTIF($E62:AF62,"¶")+COUNTIF($E62:AF62,"²")+COUNTIF($E62:AF62,"µ")+COUNTIF($E62:AF62,1),ColDescriptionCourte))&gt;1,
HYPERLINK("#Roadmap!C"&amp; MATCH($E62,Roadmap!$D:$D,0)+COUNTIF($E62:AF62,"u")+COUNTIF($E62:AF62,"t")+COUNTIF($E62:AF62,"¶")+COUNTIF($E62:AF62,"²")+COUNTIF($E62:AF62,"µ")+COUNTIF($E62:AF62,1)-1,INDEX(Roadmap!$D:$K,MATCH($E62,Roadmap!$D:$D,0)-1+COUNTIF($E62:AF62,"u")+COUNTIF($E62:AF62,"t")+COUNTIF($E62:AF62,"¶")+COUNTIF($E62:AF62,"²")+COUNTIF($E62:AF62,"µ")+COUNTIF($E62:AF62,1),ColDescriptionCourte)),""),
  "")),"")</f>
        <v/>
      </c>
    </row>
    <row r="63" spans="3:33" ht="14.25" customHeight="1">
      <c r="C63" s="1" t="str">
        <f t="shared" ca="1" si="44"/>
        <v/>
      </c>
      <c r="D63" s="1" t="str">
        <f t="shared" ca="1" si="45"/>
        <v/>
      </c>
      <c r="E63" s="35" t="str">
        <f t="shared" ca="1" si="33"/>
        <v/>
      </c>
      <c r="F63" s="39" t="str">
        <f ca="1">IFERROR(IF(AND(
  INDEX(Roadmap!$D:$K,MATCH($E63,Roadmap!$D:$D,0)+COUNTIF($E63:E63,"u")+COUNTIF($E63:E63,"t")+COUNTIF($E63:E63,"¶")+COUNTIF($E63:E63,"²")+COUNTIF($E63:E63,"µ")+COUNTIF($E63:E63,1),ColLivraison)=F$6,
  VLOOKUP($E63,INDIRECT("tri!"&amp; CHAR(64+ C0Col) &amp;":"&amp; CHAR(65+C0Col)),2,FALSE)&gt;COUNTIF($E63:E63,"u")+COUNTIF($E63:E63,"t")+COUNTIF($E63:E63,"¶")+COUNTIF($E63:E63,"²")+COUNTIF($E63:E63,"µ")+COUNTIF($E63:E63,1)),
HYPERLINK("#Roadmap!C"&amp; MATCH($E63,Roadmap!$D:$D,0)+COUNTIF($E63:E63,"u")+COUNTIF($E63:E63,"t"),
     INDEX(Roadmap!$D:$K,MATCH($E63,Roadmap!$D:$D,0)+COUNTIF($E63:E63,"u")+COUNTIF($E63:E63,"t")+COUNTIF($E63:E63,"¶")+COUNTIF($E63:E63,"²")+COUNTIF($E63:E63,"µ")+COUNTIF($E63:E63,1),ColTypeEcheance)),
  IF(LEN(E63)=1,
  IF(LEN(INDEX(Roadmap!$D:$K,MATCH($E63,Roadmap!$D:$D,0)-1+COUNTIF($E63:E63,"u")+COUNTIF($E63:E63,"t")+COUNTIF($E63:E63,"¶")+COUNTIF($E63:E63,"²")+COUNTIF($E63:E63,"µ")+COUNTIF($E63:E63,1),ColDescriptionCourte))&gt;1,
HYPERLINK("#Roadmap!C"&amp; MATCH($E63,Roadmap!$D:$D,0)+COUNTIF($E63:E63,"u")+COUNTIF($E63:E63,"t")+COUNTIF($E63:E63,"¶")+COUNTIF($E63:E63,"²")+COUNTIF($E63:E63,"µ")+COUNTIF($E63:E63,1)-1,INDEX(Roadmap!$D:$K,MATCH($E63,Roadmap!$D:$D,0)-1+COUNTIF($E63:E63,"u")+COUNTIF($E63:E63,"t")+COUNTIF($E63:E63,"¶")+COUNTIF($E63:E63,"²")+COUNTIF($E63:E63,"µ")+COUNTIF($E63:E63,1),ColDescriptionCourte)),""),
  "")),"")</f>
        <v/>
      </c>
      <c r="G63" s="40" t="str">
        <f ca="1">IFERROR(IF(AND(
  INDEX(Roadmap!$D:$K,MATCH($E63,Roadmap!$D:$D,0)+COUNTIF($E63:F63,"u")+COUNTIF($E63:F63,"t")+COUNTIF($E63:F63,"¶")+COUNTIF($E63:F63,"²")+COUNTIF($E63:F63,"µ")+COUNTIF($E63:F63,1),ColLivraison)=G$6,
  VLOOKUP($E63,INDIRECT("tri!"&amp; CHAR(64+ C0Col) &amp;":"&amp; CHAR(65+C0Col)),2,FALSE)&gt;COUNTIF($E63:F63,"u")+COUNTIF($E63:F63,"t")+COUNTIF($E63:F63,"¶")+COUNTIF($E63:F63,"²")+COUNTIF($E63:F63,"µ")+COUNTIF($E63:F63,1)),
HYPERLINK("#Roadmap!C"&amp; MATCH($E63,Roadmap!$D:$D,0)+COUNTIF($E63:F63,"u")+COUNTIF($E63:F63,"t"),
     INDEX(Roadmap!$D:$K,MATCH($E63,Roadmap!$D:$D,0)+COUNTIF($E63:F63,"u")+COUNTIF($E63:F63,"t")+COUNTIF($E63:F63,"¶")+COUNTIF($E63:F63,"²")+COUNTIF($E63:F63,"µ")+COUNTIF($E63:F63,1),ColTypeEcheance)),
  IF(LEN(F63)=1,
  IF(LEN(INDEX(Roadmap!$D:$K,MATCH($E63,Roadmap!$D:$D,0)-1+COUNTIF($E63:F63,"u")+COUNTIF($E63:F63,"t")+COUNTIF($E63:F63,"¶")+COUNTIF($E63:F63,"²")+COUNTIF($E63:F63,"µ")+COUNTIF($E63:F63,1),ColDescriptionCourte))&gt;1,
HYPERLINK("#Roadmap!C"&amp; MATCH($E63,Roadmap!$D:$D,0)+COUNTIF($E63:F63,"u")+COUNTIF($E63:F63,"t")+COUNTIF($E63:F63,"¶")+COUNTIF($E63:F63,"²")+COUNTIF($E63:F63,"µ")+COUNTIF($E63:F63,1)-1,INDEX(Roadmap!$D:$K,MATCH($E63,Roadmap!$D:$D,0)-1+COUNTIF($E63:F63,"u")+COUNTIF($E63:F63,"t")+COUNTIF($E63:F63,"¶")+COUNTIF($E63:F63,"²")+COUNTIF($E63:F63,"µ")+COUNTIF($E63:F63,1),ColDescriptionCourte)),""),
  "")),"")</f>
        <v/>
      </c>
      <c r="H63" s="40" t="str">
        <f ca="1">IFERROR(IF(AND(
  INDEX(Roadmap!$D:$K,MATCH($E63,Roadmap!$D:$D,0)+COUNTIF($E63:G63,"u")+COUNTIF($E63:G63,"t")+COUNTIF($E63:G63,"¶")+COUNTIF($E63:G63,"²")+COUNTIF($E63:G63,"µ")+COUNTIF($E63:G63,1),ColLivraison)=H$6,
  VLOOKUP($E63,INDIRECT("tri!"&amp; CHAR(64+ C0Col) &amp;":"&amp; CHAR(65+C0Col)),2,FALSE)&gt;COUNTIF($E63:G63,"u")+COUNTIF($E63:G63,"t")+COUNTIF($E63:G63,"¶")+COUNTIF($E63:G63,"²")+COUNTIF($E63:G63,"µ")+COUNTIF($E63:G63,1)),
HYPERLINK("#Roadmap!C"&amp; MATCH($E63,Roadmap!$D:$D,0)+COUNTIF($E63:G63,"u")+COUNTIF($E63:G63,"t"),
     INDEX(Roadmap!$D:$K,MATCH($E63,Roadmap!$D:$D,0)+COUNTIF($E63:G63,"u")+COUNTIF($E63:G63,"t")+COUNTIF($E63:G63,"¶")+COUNTIF($E63:G63,"²")+COUNTIF($E63:G63,"µ")+COUNTIF($E63:G63,1),ColTypeEcheance)),
  IF(LEN(G63)=1,
  IF(LEN(INDEX(Roadmap!$D:$K,MATCH($E63,Roadmap!$D:$D,0)-1+COUNTIF($E63:G63,"u")+COUNTIF($E63:G63,"t")+COUNTIF($E63:G63,"¶")+COUNTIF($E63:G63,"²")+COUNTIF($E63:G63,"µ")+COUNTIF($E63:G63,1),ColDescriptionCourte))&gt;1,
HYPERLINK("#Roadmap!C"&amp; MATCH($E63,Roadmap!$D:$D,0)+COUNTIF($E63:G63,"u")+COUNTIF($E63:G63,"t")+COUNTIF($E63:G63,"¶")+COUNTIF($E63:G63,"²")+COUNTIF($E63:G63,"µ")+COUNTIF($E63:G63,1)-1,INDEX(Roadmap!$D:$K,MATCH($E63,Roadmap!$D:$D,0)-1+COUNTIF($E63:G63,"u")+COUNTIF($E63:G63,"t")+COUNTIF($E63:G63,"¶")+COUNTIF($E63:G63,"²")+COUNTIF($E63:G63,"µ")+COUNTIF($E63:G63,1),ColDescriptionCourte)),""),
  "")),"")</f>
        <v/>
      </c>
      <c r="I63" s="40" t="str">
        <f ca="1">IFERROR(IF(AND(
  INDEX(Roadmap!$D:$K,MATCH($E63,Roadmap!$D:$D,0)+COUNTIF($E63:H63,"u")+COUNTIF($E63:H63,"t")+COUNTIF($E63:H63,"¶")+COUNTIF($E63:H63,"²")+COUNTIF($E63:H63,"µ")+COUNTIF($E63:H63,1),ColLivraison)=I$6,
  VLOOKUP($E63,INDIRECT("tri!"&amp; CHAR(64+ C0Col) &amp;":"&amp; CHAR(65+C0Col)),2,FALSE)&gt;COUNTIF($E63:H63,"u")+COUNTIF($E63:H63,"t")+COUNTIF($E63:H63,"¶")+COUNTIF($E63:H63,"²")+COUNTIF($E63:H63,"µ")+COUNTIF($E63:H63,1)),
HYPERLINK("#Roadmap!C"&amp; MATCH($E63,Roadmap!$D:$D,0)+COUNTIF($E63:H63,"u")+COUNTIF($E63:H63,"t"),
     INDEX(Roadmap!$D:$K,MATCH($E63,Roadmap!$D:$D,0)+COUNTIF($E63:H63,"u")+COUNTIF($E63:H63,"t")+COUNTIF($E63:H63,"¶")+COUNTIF($E63:H63,"²")+COUNTIF($E63:H63,"µ")+COUNTIF($E63:H63,1),ColTypeEcheance)),
  IF(LEN(H63)=1,
  IF(LEN(INDEX(Roadmap!$D:$K,MATCH($E63,Roadmap!$D:$D,0)-1+COUNTIF($E63:H63,"u")+COUNTIF($E63:H63,"t")+COUNTIF($E63:H63,"¶")+COUNTIF($E63:H63,"²")+COUNTIF($E63:H63,"µ")+COUNTIF($E63:H63,1),ColDescriptionCourte))&gt;1,
HYPERLINK("#Roadmap!C"&amp; MATCH($E63,Roadmap!$D:$D,0)+COUNTIF($E63:H63,"u")+COUNTIF($E63:H63,"t")+COUNTIF($E63:H63,"¶")+COUNTIF($E63:H63,"²")+COUNTIF($E63:H63,"µ")+COUNTIF($E63:H63,1)-1,INDEX(Roadmap!$D:$K,MATCH($E63,Roadmap!$D:$D,0)-1+COUNTIF($E63:H63,"u")+COUNTIF($E63:H63,"t")+COUNTIF($E63:H63,"¶")+COUNTIF($E63:H63,"²")+COUNTIF($E63:H63,"µ")+COUNTIF($E63:H63,1),ColDescriptionCourte)),""),
  "")),"")</f>
        <v/>
      </c>
      <c r="J63" s="40" t="str">
        <f ca="1">IFERROR(IF(AND(
  INDEX(Roadmap!$D:$K,MATCH($E63,Roadmap!$D:$D,0)+COUNTIF($E63:I63,"u")+COUNTIF($E63:I63,"t")+COUNTIF($E63:I63,"¶")+COUNTIF($E63:I63,"²")+COUNTIF($E63:I63,"µ")+COUNTIF($E63:I63,1),ColLivraison)=J$6,
  VLOOKUP($E63,INDIRECT("tri!"&amp; CHAR(64+ C0Col) &amp;":"&amp; CHAR(65+C0Col)),2,FALSE)&gt;COUNTIF($E63:I63,"u")+COUNTIF($E63:I63,"t")+COUNTIF($E63:I63,"¶")+COUNTIF($E63:I63,"²")+COUNTIF($E63:I63,"µ")+COUNTIF($E63:I63,1)),
HYPERLINK("#Roadmap!C"&amp; MATCH($E63,Roadmap!$D:$D,0)+COUNTIF($E63:I63,"u")+COUNTIF($E63:I63,"t"),
     INDEX(Roadmap!$D:$K,MATCH($E63,Roadmap!$D:$D,0)+COUNTIF($E63:I63,"u")+COUNTIF($E63:I63,"t")+COUNTIF($E63:I63,"¶")+COUNTIF($E63:I63,"²")+COUNTIF($E63:I63,"µ")+COUNTIF($E63:I63,1),ColTypeEcheance)),
  IF(LEN(I63)=1,
  IF(LEN(INDEX(Roadmap!$D:$K,MATCH($E63,Roadmap!$D:$D,0)-1+COUNTIF($E63:I63,"u")+COUNTIF($E63:I63,"t")+COUNTIF($E63:I63,"¶")+COUNTIF($E63:I63,"²")+COUNTIF($E63:I63,"µ")+COUNTIF($E63:I63,1),ColDescriptionCourte))&gt;1,
HYPERLINK("#Roadmap!C"&amp; MATCH($E63,Roadmap!$D:$D,0)+COUNTIF($E63:I63,"u")+COUNTIF($E63:I63,"t")+COUNTIF($E63:I63,"¶")+COUNTIF($E63:I63,"²")+COUNTIF($E63:I63,"µ")+COUNTIF($E63:I63,1)-1,INDEX(Roadmap!$D:$K,MATCH($E63,Roadmap!$D:$D,0)-1+COUNTIF($E63:I63,"u")+COUNTIF($E63:I63,"t")+COUNTIF($E63:I63,"¶")+COUNTIF($E63:I63,"²")+COUNTIF($E63:I63,"µ")+COUNTIF($E63:I63,1),ColDescriptionCourte)),""),
  "")),"")</f>
        <v/>
      </c>
      <c r="K63" s="40" t="str">
        <f ca="1">IFERROR(IF(AND(
  INDEX(Roadmap!$D:$K,MATCH($E63,Roadmap!$D:$D,0)+COUNTIF($E63:J63,"u")+COUNTIF($E63:J63,"t")+COUNTIF($E63:J63,"¶")+COUNTIF($E63:J63,"²")+COUNTIF($E63:J63,"µ")+COUNTIF($E63:J63,1),ColLivraison)=K$6,
  VLOOKUP($E63,INDIRECT("tri!"&amp; CHAR(64+ C0Col) &amp;":"&amp; CHAR(65+C0Col)),2,FALSE)&gt;COUNTIF($E63:J63,"u")+COUNTIF($E63:J63,"t")+COUNTIF($E63:J63,"¶")+COUNTIF($E63:J63,"²")+COUNTIF($E63:J63,"µ")+COUNTIF($E63:J63,1)),
HYPERLINK("#Roadmap!C"&amp; MATCH($E63,Roadmap!$D:$D,0)+COUNTIF($E63:J63,"u")+COUNTIF($E63:J63,"t"),
     INDEX(Roadmap!$D:$K,MATCH($E63,Roadmap!$D:$D,0)+COUNTIF($E63:J63,"u")+COUNTIF($E63:J63,"t")+COUNTIF($E63:J63,"¶")+COUNTIF($E63:J63,"²")+COUNTIF($E63:J63,"µ")+COUNTIF($E63:J63,1),ColTypeEcheance)),
  IF(LEN(J63)=1,
  IF(LEN(INDEX(Roadmap!$D:$K,MATCH($E63,Roadmap!$D:$D,0)-1+COUNTIF($E63:J63,"u")+COUNTIF($E63:J63,"t")+COUNTIF($E63:J63,"¶")+COUNTIF($E63:J63,"²")+COUNTIF($E63:J63,"µ")+COUNTIF($E63:J63,1),ColDescriptionCourte))&gt;1,
HYPERLINK("#Roadmap!C"&amp; MATCH($E63,Roadmap!$D:$D,0)+COUNTIF($E63:J63,"u")+COUNTIF($E63:J63,"t")+COUNTIF($E63:J63,"¶")+COUNTIF($E63:J63,"²")+COUNTIF($E63:J63,"µ")+COUNTIF($E63:J63,1)-1,INDEX(Roadmap!$D:$K,MATCH($E63,Roadmap!$D:$D,0)-1+COUNTIF($E63:J63,"u")+COUNTIF($E63:J63,"t")+COUNTIF($E63:J63,"¶")+COUNTIF($E63:J63,"²")+COUNTIF($E63:J63,"µ")+COUNTIF($E63:J63,1),ColDescriptionCourte)),""),
  "")),"")</f>
        <v/>
      </c>
      <c r="L63" s="39" t="str">
        <f ca="1">IFERROR(IF(AND(
  INDEX(Roadmap!$D:$K,MATCH($E63,Roadmap!$D:$D,0)+COUNTIF($E63:K63,"u")+COUNTIF($E63:K63,"t")+COUNTIF($E63:K63,"¶")+COUNTIF($E63:K63,"²")+COUNTIF($E63:K63,"µ")+COUNTIF($E63:K63,1),ColLivraison)=L$6,
  VLOOKUP($E63,INDIRECT("tri!"&amp; CHAR(64+ C0Col) &amp;":"&amp; CHAR(65+C0Col)),2,FALSE)&gt;COUNTIF($E63:K63,"u")+COUNTIF($E63:K63,"t")+COUNTIF($E63:K63,"¶")+COUNTIF($E63:K63,"²")+COUNTIF($E63:K63,"µ")+COUNTIF($E63:K63,1)),
HYPERLINK("#Roadmap!C"&amp; MATCH($E63,Roadmap!$D:$D,0)+COUNTIF($E63:K63,"u")+COUNTIF($E63:K63,"t"),
     INDEX(Roadmap!$D:$K,MATCH($E63,Roadmap!$D:$D,0)+COUNTIF($E63:K63,"u")+COUNTIF($E63:K63,"t")+COUNTIF($E63:K63,"¶")+COUNTIF($E63:K63,"²")+COUNTIF($E63:K63,"µ")+COUNTIF($E63:K63,1),ColTypeEcheance)),
  IF(LEN(K63)=1,
  IF(LEN(INDEX(Roadmap!$D:$K,MATCH($E63,Roadmap!$D:$D,0)-1+COUNTIF($E63:K63,"u")+COUNTIF($E63:K63,"t")+COUNTIF($E63:K63,"¶")+COUNTIF($E63:K63,"²")+COUNTIF($E63:K63,"µ")+COUNTIF($E63:K63,1),ColDescriptionCourte))&gt;1,
HYPERLINK("#Roadmap!C"&amp; MATCH($E63,Roadmap!$D:$D,0)+COUNTIF($E63:K63,"u")+COUNTIF($E63:K63,"t")+COUNTIF($E63:K63,"¶")+COUNTIF($E63:K63,"²")+COUNTIF($E63:K63,"µ")+COUNTIF($E63:K63,1)-1,INDEX(Roadmap!$D:$K,MATCH($E63,Roadmap!$D:$D,0)-1+COUNTIF($E63:K63,"u")+COUNTIF($E63:K63,"t")+COUNTIF($E63:K63,"¶")+COUNTIF($E63:K63,"²")+COUNTIF($E63:K63,"µ")+COUNTIF($E63:K63,1),ColDescriptionCourte)),""),
  "")),"")</f>
        <v/>
      </c>
      <c r="M63" s="40" t="str">
        <f ca="1">IFERROR(IF(AND(
  INDEX(Roadmap!$D:$K,MATCH($E63,Roadmap!$D:$D,0)+COUNTIF($E63:L63,"u")+COUNTIF($E63:L63,"t")+COUNTIF($E63:L63,"¶")+COUNTIF($E63:L63,"²")+COUNTIF($E63:L63,"µ")+COUNTIF($E63:L63,1),ColLivraison)=M$6,
  VLOOKUP($E63,INDIRECT("tri!"&amp; CHAR(64+ C0Col) &amp;":"&amp; CHAR(65+C0Col)),2,FALSE)&gt;COUNTIF($E63:L63,"u")+COUNTIF($E63:L63,"t")+COUNTIF($E63:L63,"¶")+COUNTIF($E63:L63,"²")+COUNTIF($E63:L63,"µ")+COUNTIF($E63:L63,1)),
HYPERLINK("#Roadmap!C"&amp; MATCH($E63,Roadmap!$D:$D,0)+COUNTIF($E63:L63,"u")+COUNTIF($E63:L63,"t"),
     INDEX(Roadmap!$D:$K,MATCH($E63,Roadmap!$D:$D,0)+COUNTIF($E63:L63,"u")+COUNTIF($E63:L63,"t")+COUNTIF($E63:L63,"¶")+COUNTIF($E63:L63,"²")+COUNTIF($E63:L63,"µ")+COUNTIF($E63:L63,1),ColTypeEcheance)),
  IF(LEN(L63)=1,
  IF(LEN(INDEX(Roadmap!$D:$K,MATCH($E63,Roadmap!$D:$D,0)-1+COUNTIF($E63:L63,"u")+COUNTIF($E63:L63,"t")+COUNTIF($E63:L63,"¶")+COUNTIF($E63:L63,"²")+COUNTIF($E63:L63,"µ")+COUNTIF($E63:L63,1),ColDescriptionCourte))&gt;1,
HYPERLINK("#Roadmap!C"&amp; MATCH($E63,Roadmap!$D:$D,0)+COUNTIF($E63:L63,"u")+COUNTIF($E63:L63,"t")+COUNTIF($E63:L63,"¶")+COUNTIF($E63:L63,"²")+COUNTIF($E63:L63,"µ")+COUNTIF($E63:L63,1)-1,INDEX(Roadmap!$D:$K,MATCH($E63,Roadmap!$D:$D,0)-1+COUNTIF($E63:L63,"u")+COUNTIF($E63:L63,"t")+COUNTIF($E63:L63,"¶")+COUNTIF($E63:L63,"²")+COUNTIF($E63:L63,"µ")+COUNTIF($E63:L63,1),ColDescriptionCourte)),""),
  "")),"")</f>
        <v/>
      </c>
      <c r="N63" s="40" t="str">
        <f ca="1">IFERROR(IF(AND(
  INDEX(Roadmap!$D:$K,MATCH($E63,Roadmap!$D:$D,0)+COUNTIF($E63:M63,"u")+COUNTIF($E63:M63,"t")+COUNTIF($E63:M63,"¶")+COUNTIF($E63:M63,"²")+COUNTIF($E63:M63,"µ")+COUNTIF($E63:M63,1),ColLivraison)=N$6,
  VLOOKUP($E63,INDIRECT("tri!"&amp; CHAR(64+ C0Col) &amp;":"&amp; CHAR(65+C0Col)),2,FALSE)&gt;COUNTIF($E63:M63,"u")+COUNTIF($E63:M63,"t")+COUNTIF($E63:M63,"¶")+COUNTIF($E63:M63,"²")+COUNTIF($E63:M63,"µ")+COUNTIF($E63:M63,1)),
HYPERLINK("#Roadmap!C"&amp; MATCH($E63,Roadmap!$D:$D,0)+COUNTIF($E63:M63,"u")+COUNTIF($E63:M63,"t"),
     INDEX(Roadmap!$D:$K,MATCH($E63,Roadmap!$D:$D,0)+COUNTIF($E63:M63,"u")+COUNTIF($E63:M63,"t")+COUNTIF($E63:M63,"¶")+COUNTIF($E63:M63,"²")+COUNTIF($E63:M63,"µ")+COUNTIF($E63:M63,1),ColTypeEcheance)),
  IF(LEN(M63)=1,
  IF(LEN(INDEX(Roadmap!$D:$K,MATCH($E63,Roadmap!$D:$D,0)-1+COUNTIF($E63:M63,"u")+COUNTIF($E63:M63,"t")+COUNTIF($E63:M63,"¶")+COUNTIF($E63:M63,"²")+COUNTIF($E63:M63,"µ")+COUNTIF($E63:M63,1),ColDescriptionCourte))&gt;1,
HYPERLINK("#Roadmap!C"&amp; MATCH($E63,Roadmap!$D:$D,0)+COUNTIF($E63:M63,"u")+COUNTIF($E63:M63,"t")+COUNTIF($E63:M63,"¶")+COUNTIF($E63:M63,"²")+COUNTIF($E63:M63,"µ")+COUNTIF($E63:M63,1)-1,INDEX(Roadmap!$D:$K,MATCH($E63,Roadmap!$D:$D,0)-1+COUNTIF($E63:M63,"u")+COUNTIF($E63:M63,"t")+COUNTIF($E63:M63,"¶")+COUNTIF($E63:M63,"²")+COUNTIF($E63:M63,"µ")+COUNTIF($E63:M63,1),ColDescriptionCourte)),""),
  "")),"")</f>
        <v/>
      </c>
      <c r="O63" s="40" t="str">
        <f ca="1">IFERROR(IF(AND(
  INDEX(Roadmap!$D:$K,MATCH($E63,Roadmap!$D:$D,0)+COUNTIF($E63:N63,"u")+COUNTIF($E63:N63,"t")+COUNTIF($E63:N63,"¶")+COUNTIF($E63:N63,"²")+COUNTIF($E63:N63,"µ")+COUNTIF($E63:N63,1),ColLivraison)=O$6,
  VLOOKUP($E63,INDIRECT("tri!"&amp; CHAR(64+ C0Col) &amp;":"&amp; CHAR(65+C0Col)),2,FALSE)&gt;COUNTIF($E63:N63,"u")+COUNTIF($E63:N63,"t")+COUNTIF($E63:N63,"¶")+COUNTIF($E63:N63,"²")+COUNTIF($E63:N63,"µ")+COUNTIF($E63:N63,1)),
HYPERLINK("#Roadmap!C"&amp; MATCH($E63,Roadmap!$D:$D,0)+COUNTIF($E63:N63,"u")+COUNTIF($E63:N63,"t"),
     INDEX(Roadmap!$D:$K,MATCH($E63,Roadmap!$D:$D,0)+COUNTIF($E63:N63,"u")+COUNTIF($E63:N63,"t")+COUNTIF($E63:N63,"¶")+COUNTIF($E63:N63,"²")+COUNTIF($E63:N63,"µ")+COUNTIF($E63:N63,1),ColTypeEcheance)),
  IF(LEN(N63)=1,
  IF(LEN(INDEX(Roadmap!$D:$K,MATCH($E63,Roadmap!$D:$D,0)-1+COUNTIF($E63:N63,"u")+COUNTIF($E63:N63,"t")+COUNTIF($E63:N63,"¶")+COUNTIF($E63:N63,"²")+COUNTIF($E63:N63,"µ")+COUNTIF($E63:N63,1),ColDescriptionCourte))&gt;1,
HYPERLINK("#Roadmap!C"&amp; MATCH($E63,Roadmap!$D:$D,0)+COUNTIF($E63:N63,"u")+COUNTIF($E63:N63,"t")+COUNTIF($E63:N63,"¶")+COUNTIF($E63:N63,"²")+COUNTIF($E63:N63,"µ")+COUNTIF($E63:N63,1)-1,INDEX(Roadmap!$D:$K,MATCH($E63,Roadmap!$D:$D,0)-1+COUNTIF($E63:N63,"u")+COUNTIF($E63:N63,"t")+COUNTIF($E63:N63,"¶")+COUNTIF($E63:N63,"²")+COUNTIF($E63:N63,"µ")+COUNTIF($E63:N63,1),ColDescriptionCourte)),""),
  "")),"")</f>
        <v/>
      </c>
      <c r="P63" s="40" t="str">
        <f ca="1">IFERROR(IF(AND(
  INDEX(Roadmap!$D:$K,MATCH($E63,Roadmap!$D:$D,0)+COUNTIF($E63:O63,"u")+COUNTIF($E63:O63,"t")+COUNTIF($E63:O63,"¶")+COUNTIF($E63:O63,"²")+COUNTIF($E63:O63,"µ")+COUNTIF($E63:O63,1),ColLivraison)=P$6,
  VLOOKUP($E63,INDIRECT("tri!"&amp; CHAR(64+ C0Col) &amp;":"&amp; CHAR(65+C0Col)),2,FALSE)&gt;COUNTIF($E63:O63,"u")+COUNTIF($E63:O63,"t")+COUNTIF($E63:O63,"¶")+COUNTIF($E63:O63,"²")+COUNTIF($E63:O63,"µ")+COUNTIF($E63:O63,1)),
HYPERLINK("#Roadmap!C"&amp; MATCH($E63,Roadmap!$D:$D,0)+COUNTIF($E63:O63,"u")+COUNTIF($E63:O63,"t"),
     INDEX(Roadmap!$D:$K,MATCH($E63,Roadmap!$D:$D,0)+COUNTIF($E63:O63,"u")+COUNTIF($E63:O63,"t")+COUNTIF($E63:O63,"¶")+COUNTIF($E63:O63,"²")+COUNTIF($E63:O63,"µ")+COUNTIF($E63:O63,1),ColTypeEcheance)),
  IF(LEN(O63)=1,
  IF(LEN(INDEX(Roadmap!$D:$K,MATCH($E63,Roadmap!$D:$D,0)-1+COUNTIF($E63:O63,"u")+COUNTIF($E63:O63,"t")+COUNTIF($E63:O63,"¶")+COUNTIF($E63:O63,"²")+COUNTIF($E63:O63,"µ")+COUNTIF($E63:O63,1),ColDescriptionCourte))&gt;1,
HYPERLINK("#Roadmap!C"&amp; MATCH($E63,Roadmap!$D:$D,0)+COUNTIF($E63:O63,"u")+COUNTIF($E63:O63,"t")+COUNTIF($E63:O63,"¶")+COUNTIF($E63:O63,"²")+COUNTIF($E63:O63,"µ")+COUNTIF($E63:O63,1)-1,INDEX(Roadmap!$D:$K,MATCH($E63,Roadmap!$D:$D,0)-1+COUNTIF($E63:O63,"u")+COUNTIF($E63:O63,"t")+COUNTIF($E63:O63,"¶")+COUNTIF($E63:O63,"²")+COUNTIF($E63:O63,"µ")+COUNTIF($E63:O63,1),ColDescriptionCourte)),""),
  "")),"")</f>
        <v/>
      </c>
      <c r="Q63" s="40" t="str">
        <f ca="1">IFERROR(IF(AND(
  INDEX(Roadmap!$D:$K,MATCH($E63,Roadmap!$D:$D,0)+COUNTIF($E63:P63,"u")+COUNTIF($E63:P63,"t")+COUNTIF($E63:P63,"¶")+COUNTIF($E63:P63,"²")+COUNTIF($E63:P63,"µ")+COUNTIF($E63:P63,1),ColLivraison)=Q$6,
  VLOOKUP($E63,INDIRECT("tri!"&amp; CHAR(64+ C0Col) &amp;":"&amp; CHAR(65+C0Col)),2,FALSE)&gt;COUNTIF($E63:P63,"u")+COUNTIF($E63:P63,"t")+COUNTIF($E63:P63,"¶")+COUNTIF($E63:P63,"²")+COUNTIF($E63:P63,"µ")+COUNTIF($E63:P63,1)),
HYPERLINK("#Roadmap!C"&amp; MATCH($E63,Roadmap!$D:$D,0)+COUNTIF($E63:P63,"u")+COUNTIF($E63:P63,"t"),
     INDEX(Roadmap!$D:$K,MATCH($E63,Roadmap!$D:$D,0)+COUNTIF($E63:P63,"u")+COUNTIF($E63:P63,"t")+COUNTIF($E63:P63,"¶")+COUNTIF($E63:P63,"²")+COUNTIF($E63:P63,"µ")+COUNTIF($E63:P63,1),ColTypeEcheance)),
  IF(LEN(P63)=1,
  IF(LEN(INDEX(Roadmap!$D:$K,MATCH($E63,Roadmap!$D:$D,0)-1+COUNTIF($E63:P63,"u")+COUNTIF($E63:P63,"t")+COUNTIF($E63:P63,"¶")+COUNTIF($E63:P63,"²")+COUNTIF($E63:P63,"µ")+COUNTIF($E63:P63,1),ColDescriptionCourte))&gt;1,
HYPERLINK("#Roadmap!C"&amp; MATCH($E63,Roadmap!$D:$D,0)+COUNTIF($E63:P63,"u")+COUNTIF($E63:P63,"t")+COUNTIF($E63:P63,"¶")+COUNTIF($E63:P63,"²")+COUNTIF($E63:P63,"µ")+COUNTIF($E63:P63,1)-1,INDEX(Roadmap!$D:$K,MATCH($E63,Roadmap!$D:$D,0)-1+COUNTIF($E63:P63,"u")+COUNTIF($E63:P63,"t")+COUNTIF($E63:P63,"¶")+COUNTIF($E63:P63,"²")+COUNTIF($E63:P63,"µ")+COUNTIF($E63:P63,1),ColDescriptionCourte)),""),
  "")),"")</f>
        <v/>
      </c>
      <c r="R63" s="40" t="str">
        <f ca="1">IFERROR(IF(AND(
  INDEX(Roadmap!$D:$K,MATCH($E63,Roadmap!$D:$D,0)+COUNTIF($E63:Q63,"u")+COUNTIF($E63:Q63,"t")+COUNTIF($E63:Q63,"¶")+COUNTIF($E63:Q63,"²")+COUNTIF($E63:Q63,"µ")+COUNTIF($E63:Q63,1),ColLivraison)=R$6,
  VLOOKUP($E63,INDIRECT("tri!"&amp; CHAR(64+ C0Col) &amp;":"&amp; CHAR(65+C0Col)),2,FALSE)&gt;COUNTIF($E63:Q63,"u")+COUNTIF($E63:Q63,"t")+COUNTIF($E63:Q63,"¶")+COUNTIF($E63:Q63,"²")+COUNTIF($E63:Q63,"µ")+COUNTIF($E63:Q63,1)),
HYPERLINK("#Roadmap!C"&amp; MATCH($E63,Roadmap!$D:$D,0)+COUNTIF($E63:Q63,"u")+COUNTIF($E63:Q63,"t"),
     INDEX(Roadmap!$D:$K,MATCH($E63,Roadmap!$D:$D,0)+COUNTIF($E63:Q63,"u")+COUNTIF($E63:Q63,"t")+COUNTIF($E63:Q63,"¶")+COUNTIF($E63:Q63,"²")+COUNTIF($E63:Q63,"µ")+COUNTIF($E63:Q63,1),ColTypeEcheance)),
  IF(LEN(Q63)=1,
  IF(LEN(INDEX(Roadmap!$D:$K,MATCH($E63,Roadmap!$D:$D,0)-1+COUNTIF($E63:Q63,"u")+COUNTIF($E63:Q63,"t")+COUNTIF($E63:Q63,"¶")+COUNTIF($E63:Q63,"²")+COUNTIF($E63:Q63,"µ")+COUNTIF($E63:Q63,1),ColDescriptionCourte))&gt;1,
HYPERLINK("#Roadmap!C"&amp; MATCH($E63,Roadmap!$D:$D,0)+COUNTIF($E63:Q63,"u")+COUNTIF($E63:Q63,"t")+COUNTIF($E63:Q63,"¶")+COUNTIF($E63:Q63,"²")+COUNTIF($E63:Q63,"µ")+COUNTIF($E63:Q63,1)-1,INDEX(Roadmap!$D:$K,MATCH($E63,Roadmap!$D:$D,0)-1+COUNTIF($E63:Q63,"u")+COUNTIF($E63:Q63,"t")+COUNTIF($E63:Q63,"¶")+COUNTIF($E63:Q63,"²")+COUNTIF($E63:Q63,"µ")+COUNTIF($E63:Q63,1),ColDescriptionCourte)),""),
  "")),"")</f>
        <v/>
      </c>
      <c r="S63" s="40" t="str">
        <f ca="1">IFERROR(IF(AND(
  INDEX(Roadmap!$D:$K,MATCH($E63,Roadmap!$D:$D,0)+COUNTIF($E63:R63,"u")+COUNTIF($E63:R63,"t")+COUNTIF($E63:R63,"¶")+COUNTIF($E63:R63,"²")+COUNTIF($E63:R63,"µ")+COUNTIF($E63:R63,1),ColLivraison)=S$6,
  VLOOKUP($E63,INDIRECT("tri!"&amp; CHAR(64+ C0Col) &amp;":"&amp; CHAR(65+C0Col)),2,FALSE)&gt;COUNTIF($E63:R63,"u")+COUNTIF($E63:R63,"t")+COUNTIF($E63:R63,"¶")+COUNTIF($E63:R63,"²")+COUNTIF($E63:R63,"µ")+COUNTIF($E63:R63,1)),
HYPERLINK("#Roadmap!C"&amp; MATCH($E63,Roadmap!$D:$D,0)+COUNTIF($E63:R63,"u")+COUNTIF($E63:R63,"t"),
     INDEX(Roadmap!$D:$K,MATCH($E63,Roadmap!$D:$D,0)+COUNTIF($E63:R63,"u")+COUNTIF($E63:R63,"t")+COUNTIF($E63:R63,"¶")+COUNTIF($E63:R63,"²")+COUNTIF($E63:R63,"µ")+COUNTIF($E63:R63,1),ColTypeEcheance)),
  IF(LEN(R63)=1,
  IF(LEN(INDEX(Roadmap!$D:$K,MATCH($E63,Roadmap!$D:$D,0)-1+COUNTIF($E63:R63,"u")+COUNTIF($E63:R63,"t")+COUNTIF($E63:R63,"¶")+COUNTIF($E63:R63,"²")+COUNTIF($E63:R63,"µ")+COUNTIF($E63:R63,1),ColDescriptionCourte))&gt;1,
HYPERLINK("#Roadmap!C"&amp; MATCH($E63,Roadmap!$D:$D,0)+COUNTIF($E63:R63,"u")+COUNTIF($E63:R63,"t")+COUNTIF($E63:R63,"¶")+COUNTIF($E63:R63,"²")+COUNTIF($E63:R63,"µ")+COUNTIF($E63:R63,1)-1,INDEX(Roadmap!$D:$K,MATCH($E63,Roadmap!$D:$D,0)-1+COUNTIF($E63:R63,"u")+COUNTIF($E63:R63,"t")+COUNTIF($E63:R63,"¶")+COUNTIF($E63:R63,"²")+COUNTIF($E63:R63,"µ")+COUNTIF($E63:R63,1),ColDescriptionCourte)),""),
  "")),"")</f>
        <v/>
      </c>
      <c r="T63" s="40" t="str">
        <f ca="1">IFERROR(IF(AND(
  INDEX(Roadmap!$D:$K,MATCH($E63,Roadmap!$D:$D,0)+COUNTIF($E63:S63,"u")+COUNTIF($E63:S63,"t")+COUNTIF($E63:S63,"¶")+COUNTIF($E63:S63,"²")+COUNTIF($E63:S63,"µ")+COUNTIF($E63:S63,1),ColLivraison)=T$6,
  VLOOKUP($E63,INDIRECT("tri!"&amp; CHAR(64+ C0Col) &amp;":"&amp; CHAR(65+C0Col)),2,FALSE)&gt;COUNTIF($E63:S63,"u")+COUNTIF($E63:S63,"t")+COUNTIF($E63:S63,"¶")+COUNTIF($E63:S63,"²")+COUNTIF($E63:S63,"µ")+COUNTIF($E63:S63,1)),
HYPERLINK("#Roadmap!C"&amp; MATCH($E63,Roadmap!$D:$D,0)+COUNTIF($E63:S63,"u")+COUNTIF($E63:S63,"t"),
     INDEX(Roadmap!$D:$K,MATCH($E63,Roadmap!$D:$D,0)+COUNTIF($E63:S63,"u")+COUNTIF($E63:S63,"t")+COUNTIF($E63:S63,"¶")+COUNTIF($E63:S63,"²")+COUNTIF($E63:S63,"µ")+COUNTIF($E63:S63,1),ColTypeEcheance)),
  IF(LEN(S63)=1,
  IF(LEN(INDEX(Roadmap!$D:$K,MATCH($E63,Roadmap!$D:$D,0)-1+COUNTIF($E63:S63,"u")+COUNTIF($E63:S63,"t")+COUNTIF($E63:S63,"¶")+COUNTIF($E63:S63,"²")+COUNTIF($E63:S63,"µ")+COUNTIF($E63:S63,1),ColDescriptionCourte))&gt;1,
HYPERLINK("#Roadmap!C"&amp; MATCH($E63,Roadmap!$D:$D,0)+COUNTIF($E63:S63,"u")+COUNTIF($E63:S63,"t")+COUNTIF($E63:S63,"¶")+COUNTIF($E63:S63,"²")+COUNTIF($E63:S63,"µ")+COUNTIF($E63:S63,1)-1,INDEX(Roadmap!$D:$K,MATCH($E63,Roadmap!$D:$D,0)-1+COUNTIF($E63:S63,"u")+COUNTIF($E63:S63,"t")+COUNTIF($E63:S63,"¶")+COUNTIF($E63:S63,"²")+COUNTIF($E63:S63,"µ")+COUNTIF($E63:S63,1),ColDescriptionCourte)),""),
  "")),"")</f>
        <v/>
      </c>
      <c r="U63" s="40" t="str">
        <f ca="1">IFERROR(IF(AND(
  INDEX(Roadmap!$D:$K,MATCH($E63,Roadmap!$D:$D,0)+COUNTIF($E63:T63,"u")+COUNTIF($E63:T63,"t")+COUNTIF($E63:T63,"¶")+COUNTIF($E63:T63,"²")+COUNTIF($E63:T63,"µ")+COUNTIF($E63:T63,1),ColLivraison)=U$6,
  VLOOKUP($E63,INDIRECT("tri!"&amp; CHAR(64+ C0Col) &amp;":"&amp; CHAR(65+C0Col)),2,FALSE)&gt;COUNTIF($E63:T63,"u")+COUNTIF($E63:T63,"t")+COUNTIF($E63:T63,"¶")+COUNTIF($E63:T63,"²")+COUNTIF($E63:T63,"µ")+COUNTIF($E63:T63,1)),
HYPERLINK("#Roadmap!C"&amp; MATCH($E63,Roadmap!$D:$D,0)+COUNTIF($E63:T63,"u")+COUNTIF($E63:T63,"t"),
     INDEX(Roadmap!$D:$K,MATCH($E63,Roadmap!$D:$D,0)+COUNTIF($E63:T63,"u")+COUNTIF($E63:T63,"t")+COUNTIF($E63:T63,"¶")+COUNTIF($E63:T63,"²")+COUNTIF($E63:T63,"µ")+COUNTIF($E63:T63,1),ColTypeEcheance)),
  IF(LEN(T63)=1,
  IF(LEN(INDEX(Roadmap!$D:$K,MATCH($E63,Roadmap!$D:$D,0)-1+COUNTIF($E63:T63,"u")+COUNTIF($E63:T63,"t")+COUNTIF($E63:T63,"¶")+COUNTIF($E63:T63,"²")+COUNTIF($E63:T63,"µ")+COUNTIF($E63:T63,1),ColDescriptionCourte))&gt;1,
HYPERLINK("#Roadmap!C"&amp; MATCH($E63,Roadmap!$D:$D,0)+COUNTIF($E63:T63,"u")+COUNTIF($E63:T63,"t")+COUNTIF($E63:T63,"¶")+COUNTIF($E63:T63,"²")+COUNTIF($E63:T63,"µ")+COUNTIF($E63:T63,1)-1,INDEX(Roadmap!$D:$K,MATCH($E63,Roadmap!$D:$D,0)-1+COUNTIF($E63:T63,"u")+COUNTIF($E63:T63,"t")+COUNTIF($E63:T63,"¶")+COUNTIF($E63:T63,"²")+COUNTIF($E63:T63,"µ")+COUNTIF($E63:T63,1),ColDescriptionCourte)),""),
  "")),"")</f>
        <v/>
      </c>
      <c r="V63" s="40" t="str">
        <f ca="1">IFERROR(IF(AND(
  INDEX(Roadmap!$D:$K,MATCH($E63,Roadmap!$D:$D,0)+COUNTIF($E63:U63,"u")+COUNTIF($E63:U63,"t")+COUNTIF($E63:U63,"¶")+COUNTIF($E63:U63,"²")+COUNTIF($E63:U63,"µ")+COUNTIF($E63:U63,1),ColLivraison)=V$6,
  VLOOKUP($E63,INDIRECT("tri!"&amp; CHAR(64+ C0Col) &amp;":"&amp; CHAR(65+C0Col)),2,FALSE)&gt;COUNTIF($E63:U63,"u")+COUNTIF($E63:U63,"t")+COUNTIF($E63:U63,"¶")+COUNTIF($E63:U63,"²")+COUNTIF($E63:U63,"µ")+COUNTIF($E63:U63,1)),
HYPERLINK("#Roadmap!C"&amp; MATCH($E63,Roadmap!$D:$D,0)+COUNTIF($E63:U63,"u")+COUNTIF($E63:U63,"t"),
     INDEX(Roadmap!$D:$K,MATCH($E63,Roadmap!$D:$D,0)+COUNTIF($E63:U63,"u")+COUNTIF($E63:U63,"t")+COUNTIF($E63:U63,"¶")+COUNTIF($E63:U63,"²")+COUNTIF($E63:U63,"µ")+COUNTIF($E63:U63,1),ColTypeEcheance)),
  IF(LEN(U63)=1,
  IF(LEN(INDEX(Roadmap!$D:$K,MATCH($E63,Roadmap!$D:$D,0)-1+COUNTIF($E63:U63,"u")+COUNTIF($E63:U63,"t")+COUNTIF($E63:U63,"¶")+COUNTIF($E63:U63,"²")+COUNTIF($E63:U63,"µ")+COUNTIF($E63:U63,1),ColDescriptionCourte))&gt;1,
HYPERLINK("#Roadmap!C"&amp; MATCH($E63,Roadmap!$D:$D,0)+COUNTIF($E63:U63,"u")+COUNTIF($E63:U63,"t")+COUNTIF($E63:U63,"¶")+COUNTIF($E63:U63,"²")+COUNTIF($E63:U63,"µ")+COUNTIF($E63:U63,1)-1,INDEX(Roadmap!$D:$K,MATCH($E63,Roadmap!$D:$D,0)-1+COUNTIF($E63:U63,"u")+COUNTIF($E63:U63,"t")+COUNTIF($E63:U63,"¶")+COUNTIF($E63:U63,"²")+COUNTIF($E63:U63,"µ")+COUNTIF($E63:U63,1),ColDescriptionCourte)),""),
  "")),"")</f>
        <v/>
      </c>
      <c r="W63" s="40" t="str">
        <f ca="1">IFERROR(IF(AND(
  INDEX(Roadmap!$D:$K,MATCH($E63,Roadmap!$D:$D,0)+COUNTIF($E63:V63,"u")+COUNTIF($E63:V63,"t")+COUNTIF($E63:V63,"¶")+COUNTIF($E63:V63,"²")+COUNTIF($E63:V63,"µ")+COUNTIF($E63:V63,1),ColLivraison)=W$6,
  VLOOKUP($E63,INDIRECT("tri!"&amp; CHAR(64+ C0Col) &amp;":"&amp; CHAR(65+C0Col)),2,FALSE)&gt;COUNTIF($E63:V63,"u")+COUNTIF($E63:V63,"t")+COUNTIF($E63:V63,"¶")+COUNTIF($E63:V63,"²")+COUNTIF($E63:V63,"µ")+COUNTIF($E63:V63,1)),
HYPERLINK("#Roadmap!C"&amp; MATCH($E63,Roadmap!$D:$D,0)+COUNTIF($E63:V63,"u")+COUNTIF($E63:V63,"t"),
     INDEX(Roadmap!$D:$K,MATCH($E63,Roadmap!$D:$D,0)+COUNTIF($E63:V63,"u")+COUNTIF($E63:V63,"t")+COUNTIF($E63:V63,"¶")+COUNTIF($E63:V63,"²")+COUNTIF($E63:V63,"µ")+COUNTIF($E63:V63,1),ColTypeEcheance)),
  IF(LEN(V63)=1,
  IF(LEN(INDEX(Roadmap!$D:$K,MATCH($E63,Roadmap!$D:$D,0)-1+COUNTIF($E63:V63,"u")+COUNTIF($E63:V63,"t")+COUNTIF($E63:V63,"¶")+COUNTIF($E63:V63,"²")+COUNTIF($E63:V63,"µ")+COUNTIF($E63:V63,1),ColDescriptionCourte))&gt;1,
HYPERLINK("#Roadmap!C"&amp; MATCH($E63,Roadmap!$D:$D,0)+COUNTIF($E63:V63,"u")+COUNTIF($E63:V63,"t")+COUNTIF($E63:V63,"¶")+COUNTIF($E63:V63,"²")+COUNTIF($E63:V63,"µ")+COUNTIF($E63:V63,1)-1,INDEX(Roadmap!$D:$K,MATCH($E63,Roadmap!$D:$D,0)-1+COUNTIF($E63:V63,"u")+COUNTIF($E63:V63,"t")+COUNTIF($E63:V63,"¶")+COUNTIF($E63:V63,"²")+COUNTIF($E63:V63,"µ")+COUNTIF($E63:V63,1),ColDescriptionCourte)),""),
  "")),"")</f>
        <v/>
      </c>
      <c r="X63" s="40" t="str">
        <f ca="1">IFERROR(IF(AND(
  INDEX(Roadmap!$D:$K,MATCH($E63,Roadmap!$D:$D,0)+COUNTIF($E63:W63,"u")+COUNTIF($E63:W63,"t")+COUNTIF($E63:W63,"¶")+COUNTIF($E63:W63,"²")+COUNTIF($E63:W63,"µ")+COUNTIF($E63:W63,1),ColLivraison)=X$6,
  VLOOKUP($E63,INDIRECT("tri!"&amp; CHAR(64+ C0Col) &amp;":"&amp; CHAR(65+C0Col)),2,FALSE)&gt;COUNTIF($E63:W63,"u")+COUNTIF($E63:W63,"t")+COUNTIF($E63:W63,"¶")+COUNTIF($E63:W63,"²")+COUNTIF($E63:W63,"µ")+COUNTIF($E63:W63,1)),
HYPERLINK("#Roadmap!C"&amp; MATCH($E63,Roadmap!$D:$D,0)+COUNTIF($E63:W63,"u")+COUNTIF($E63:W63,"t"),
     INDEX(Roadmap!$D:$K,MATCH($E63,Roadmap!$D:$D,0)+COUNTIF($E63:W63,"u")+COUNTIF($E63:W63,"t")+COUNTIF($E63:W63,"¶")+COUNTIF($E63:W63,"²")+COUNTIF($E63:W63,"µ")+COUNTIF($E63:W63,1),ColTypeEcheance)),
  IF(LEN(W63)=1,
  IF(LEN(INDEX(Roadmap!$D:$K,MATCH($E63,Roadmap!$D:$D,0)-1+COUNTIF($E63:W63,"u")+COUNTIF($E63:W63,"t")+COUNTIF($E63:W63,"¶")+COUNTIF($E63:W63,"²")+COUNTIF($E63:W63,"µ")+COUNTIF($E63:W63,1),ColDescriptionCourte))&gt;1,
HYPERLINK("#Roadmap!C"&amp; MATCH($E63,Roadmap!$D:$D,0)+COUNTIF($E63:W63,"u")+COUNTIF($E63:W63,"t")+COUNTIF($E63:W63,"¶")+COUNTIF($E63:W63,"²")+COUNTIF($E63:W63,"µ")+COUNTIF($E63:W63,1)-1,INDEX(Roadmap!$D:$K,MATCH($E63,Roadmap!$D:$D,0)-1+COUNTIF($E63:W63,"u")+COUNTIF($E63:W63,"t")+COUNTIF($E63:W63,"¶")+COUNTIF($E63:W63,"²")+COUNTIF($E63:W63,"µ")+COUNTIF($E63:W63,1),ColDescriptionCourte)),""),
  "")),"")</f>
        <v/>
      </c>
      <c r="Y63" s="40" t="str">
        <f ca="1">IFERROR(IF(AND(
  INDEX(Roadmap!$D:$K,MATCH($E63,Roadmap!$D:$D,0)+COUNTIF($E63:X63,"u")+COUNTIF($E63:X63,"t")+COUNTIF($E63:X63,"¶")+COUNTIF($E63:X63,"²")+COUNTIF($E63:X63,"µ")+COUNTIF($E63:X63,1),ColLivraison)=Y$6,
  VLOOKUP($E63,INDIRECT("tri!"&amp; CHAR(64+ C0Col) &amp;":"&amp; CHAR(65+C0Col)),2,FALSE)&gt;COUNTIF($E63:X63,"u")+COUNTIF($E63:X63,"t")+COUNTIF($E63:X63,"¶")+COUNTIF($E63:X63,"²")+COUNTIF($E63:X63,"µ")+COUNTIF($E63:X63,1)),
HYPERLINK("#Roadmap!C"&amp; MATCH($E63,Roadmap!$D:$D,0)+COUNTIF($E63:X63,"u")+COUNTIF($E63:X63,"t"),
     INDEX(Roadmap!$D:$K,MATCH($E63,Roadmap!$D:$D,0)+COUNTIF($E63:X63,"u")+COUNTIF($E63:X63,"t")+COUNTIF($E63:X63,"¶")+COUNTIF($E63:X63,"²")+COUNTIF($E63:X63,"µ")+COUNTIF($E63:X63,1),ColTypeEcheance)),
  IF(LEN(X63)=1,
  IF(LEN(INDEX(Roadmap!$D:$K,MATCH($E63,Roadmap!$D:$D,0)-1+COUNTIF($E63:X63,"u")+COUNTIF($E63:X63,"t")+COUNTIF($E63:X63,"¶")+COUNTIF($E63:X63,"²")+COUNTIF($E63:X63,"µ")+COUNTIF($E63:X63,1),ColDescriptionCourte))&gt;1,
HYPERLINK("#Roadmap!C"&amp; MATCH($E63,Roadmap!$D:$D,0)+COUNTIF($E63:X63,"u")+COUNTIF($E63:X63,"t")+COUNTIF($E63:X63,"¶")+COUNTIF($E63:X63,"²")+COUNTIF($E63:X63,"µ")+COUNTIF($E63:X63,1)-1,INDEX(Roadmap!$D:$K,MATCH($E63,Roadmap!$D:$D,0)-1+COUNTIF($E63:X63,"u")+COUNTIF($E63:X63,"t")+COUNTIF($E63:X63,"¶")+COUNTIF($E63:X63,"²")+COUNTIF($E63:X63,"µ")+COUNTIF($E63:X63,1),ColDescriptionCourte)),""),
  "")),"")</f>
        <v/>
      </c>
      <c r="Z63" s="40" t="str">
        <f ca="1">IFERROR(IF(AND(
  INDEX(Roadmap!$D:$K,MATCH($E63,Roadmap!$D:$D,0)+COUNTIF($E63:Y63,"u")+COUNTIF($E63:Y63,"t")+COUNTIF($E63:Y63,"¶")+COUNTIF($E63:Y63,"²")+COUNTIF($E63:Y63,"µ")+COUNTIF($E63:Y63,1),ColLivraison)=Z$6,
  VLOOKUP($E63,INDIRECT("tri!"&amp; CHAR(64+ C0Col) &amp;":"&amp; CHAR(65+C0Col)),2,FALSE)&gt;COUNTIF($E63:Y63,"u")+COUNTIF($E63:Y63,"t")+COUNTIF($E63:Y63,"¶")+COUNTIF($E63:Y63,"²")+COUNTIF($E63:Y63,"µ")+COUNTIF($E63:Y63,1)),
HYPERLINK("#Roadmap!C"&amp; MATCH($E63,Roadmap!$D:$D,0)+COUNTIF($E63:Y63,"u")+COUNTIF($E63:Y63,"t"),
     INDEX(Roadmap!$D:$K,MATCH($E63,Roadmap!$D:$D,0)+COUNTIF($E63:Y63,"u")+COUNTIF($E63:Y63,"t")+COUNTIF($E63:Y63,"¶")+COUNTIF($E63:Y63,"²")+COUNTIF($E63:Y63,"µ")+COUNTIF($E63:Y63,1),ColTypeEcheance)),
  IF(LEN(Y63)=1,
  IF(LEN(INDEX(Roadmap!$D:$K,MATCH($E63,Roadmap!$D:$D,0)-1+COUNTIF($E63:Y63,"u")+COUNTIF($E63:Y63,"t")+COUNTIF($E63:Y63,"¶")+COUNTIF($E63:Y63,"²")+COUNTIF($E63:Y63,"µ")+COUNTIF($E63:Y63,1),ColDescriptionCourte))&gt;1,
HYPERLINK("#Roadmap!C"&amp; MATCH($E63,Roadmap!$D:$D,0)+COUNTIF($E63:Y63,"u")+COUNTIF($E63:Y63,"t")+COUNTIF($E63:Y63,"¶")+COUNTIF($E63:Y63,"²")+COUNTIF($E63:Y63,"µ")+COUNTIF($E63:Y63,1)-1,INDEX(Roadmap!$D:$K,MATCH($E63,Roadmap!$D:$D,0)-1+COUNTIF($E63:Y63,"u")+COUNTIF($E63:Y63,"t")+COUNTIF($E63:Y63,"¶")+COUNTIF($E63:Y63,"²")+COUNTIF($E63:Y63,"µ")+COUNTIF($E63:Y63,1),ColDescriptionCourte)),""),
  "")),"")</f>
        <v/>
      </c>
      <c r="AA63" s="40" t="str">
        <f ca="1">IFERROR(IF(AND(
  INDEX(Roadmap!$D:$K,MATCH($E63,Roadmap!$D:$D,0)+COUNTIF($E63:Z63,"u")+COUNTIF($E63:Z63,"t")+COUNTIF($E63:Z63,"¶")+COUNTIF($E63:Z63,"²")+COUNTIF($E63:Z63,"µ")+COUNTIF($E63:Z63,1),ColLivraison)=AA$6,
  VLOOKUP($E63,INDIRECT("tri!"&amp; CHAR(64+ C0Col) &amp;":"&amp; CHAR(65+C0Col)),2,FALSE)&gt;COUNTIF($E63:Z63,"u")+COUNTIF($E63:Z63,"t")+COUNTIF($E63:Z63,"¶")+COUNTIF($E63:Z63,"²")+COUNTIF($E63:Z63,"µ")+COUNTIF($E63:Z63,1)),
HYPERLINK("#Roadmap!C"&amp; MATCH($E63,Roadmap!$D:$D,0)+COUNTIF($E63:Z63,"u")+COUNTIF($E63:Z63,"t"),
     INDEX(Roadmap!$D:$K,MATCH($E63,Roadmap!$D:$D,0)+COUNTIF($E63:Z63,"u")+COUNTIF($E63:Z63,"t")+COUNTIF($E63:Z63,"¶")+COUNTIF($E63:Z63,"²")+COUNTIF($E63:Z63,"µ")+COUNTIF($E63:Z63,1),ColTypeEcheance)),
  IF(LEN(Z63)=1,
  IF(LEN(INDEX(Roadmap!$D:$K,MATCH($E63,Roadmap!$D:$D,0)-1+COUNTIF($E63:Z63,"u")+COUNTIF($E63:Z63,"t")+COUNTIF($E63:Z63,"¶")+COUNTIF($E63:Z63,"²")+COUNTIF($E63:Z63,"µ")+COUNTIF($E63:Z63,1),ColDescriptionCourte))&gt;1,
HYPERLINK("#Roadmap!C"&amp; MATCH($E63,Roadmap!$D:$D,0)+COUNTIF($E63:Z63,"u")+COUNTIF($E63:Z63,"t")+COUNTIF($E63:Z63,"¶")+COUNTIF($E63:Z63,"²")+COUNTIF($E63:Z63,"µ")+COUNTIF($E63:Z63,1)-1,INDEX(Roadmap!$D:$K,MATCH($E63,Roadmap!$D:$D,0)-1+COUNTIF($E63:Z63,"u")+COUNTIF($E63:Z63,"t")+COUNTIF($E63:Z63,"¶")+COUNTIF($E63:Z63,"²")+COUNTIF($E63:Z63,"µ")+COUNTIF($E63:Z63,1),ColDescriptionCourte)),""),
  "")),"")</f>
        <v/>
      </c>
      <c r="AB63" s="40" t="str">
        <f ca="1">IFERROR(IF(AND(
  INDEX(Roadmap!$D:$K,MATCH($E63,Roadmap!$D:$D,0)+COUNTIF($E63:AA63,"u")+COUNTIF($E63:AA63,"t")+COUNTIF($E63:AA63,"¶")+COUNTIF($E63:AA63,"²")+COUNTIF($E63:AA63,"µ")+COUNTIF($E63:AA63,1),ColLivraison)=AB$6,
  VLOOKUP($E63,INDIRECT("tri!"&amp; CHAR(64+ C0Col) &amp;":"&amp; CHAR(65+C0Col)),2,FALSE)&gt;COUNTIF($E63:AA63,"u")+COUNTIF($E63:AA63,"t")+COUNTIF($E63:AA63,"¶")+COUNTIF($E63:AA63,"²")+COUNTIF($E63:AA63,"µ")+COUNTIF($E63:AA63,1)),
HYPERLINK("#Roadmap!C"&amp; MATCH($E63,Roadmap!$D:$D,0)+COUNTIF($E63:AA63,"u")+COUNTIF($E63:AA63,"t"),
     INDEX(Roadmap!$D:$K,MATCH($E63,Roadmap!$D:$D,0)+COUNTIF($E63:AA63,"u")+COUNTIF($E63:AA63,"t")+COUNTIF($E63:AA63,"¶")+COUNTIF($E63:AA63,"²")+COUNTIF($E63:AA63,"µ")+COUNTIF($E63:AA63,1),ColTypeEcheance)),
  IF(LEN(AA63)=1,
  IF(LEN(INDEX(Roadmap!$D:$K,MATCH($E63,Roadmap!$D:$D,0)-1+COUNTIF($E63:AA63,"u")+COUNTIF($E63:AA63,"t")+COUNTIF($E63:AA63,"¶")+COUNTIF($E63:AA63,"²")+COUNTIF($E63:AA63,"µ")+COUNTIF($E63:AA63,1),ColDescriptionCourte))&gt;1,
HYPERLINK("#Roadmap!C"&amp; MATCH($E63,Roadmap!$D:$D,0)+COUNTIF($E63:AA63,"u")+COUNTIF($E63:AA63,"t")+COUNTIF($E63:AA63,"¶")+COUNTIF($E63:AA63,"²")+COUNTIF($E63:AA63,"µ")+COUNTIF($E63:AA63,1)-1,INDEX(Roadmap!$D:$K,MATCH($E63,Roadmap!$D:$D,0)-1+COUNTIF($E63:AA63,"u")+COUNTIF($E63:AA63,"t")+COUNTIF($E63:AA63,"¶")+COUNTIF($E63:AA63,"²")+COUNTIF($E63:AA63,"µ")+COUNTIF($E63:AA63,1),ColDescriptionCourte)),""),
  "")),"")</f>
        <v/>
      </c>
      <c r="AC63" s="40" t="str">
        <f ca="1">IFERROR(IF(AND(
  INDEX(Roadmap!$D:$K,MATCH($E63,Roadmap!$D:$D,0)+COUNTIF($E63:AB63,"u")+COUNTIF($E63:AB63,"t")+COUNTIF($E63:AB63,"¶")+COUNTIF($E63:AB63,"²")+COUNTIF($E63:AB63,"µ")+COUNTIF($E63:AB63,1),ColLivraison)=AC$6,
  VLOOKUP($E63,INDIRECT("tri!"&amp; CHAR(64+ C0Col) &amp;":"&amp; CHAR(65+C0Col)),2,FALSE)&gt;COUNTIF($E63:AB63,"u")+COUNTIF($E63:AB63,"t")+COUNTIF($E63:AB63,"¶")+COUNTIF($E63:AB63,"²")+COUNTIF($E63:AB63,"µ")+COUNTIF($E63:AB63,1)),
HYPERLINK("#Roadmap!C"&amp; MATCH($E63,Roadmap!$D:$D,0)+COUNTIF($E63:AB63,"u")+COUNTIF($E63:AB63,"t"),
     INDEX(Roadmap!$D:$K,MATCH($E63,Roadmap!$D:$D,0)+COUNTIF($E63:AB63,"u")+COUNTIF($E63:AB63,"t")+COUNTIF($E63:AB63,"¶")+COUNTIF($E63:AB63,"²")+COUNTIF($E63:AB63,"µ")+COUNTIF($E63:AB63,1),ColTypeEcheance)),
  IF(LEN(AB63)=1,
  IF(LEN(INDEX(Roadmap!$D:$K,MATCH($E63,Roadmap!$D:$D,0)-1+COUNTIF($E63:AB63,"u")+COUNTIF($E63:AB63,"t")+COUNTIF($E63:AB63,"¶")+COUNTIF($E63:AB63,"²")+COUNTIF($E63:AB63,"µ")+COUNTIF($E63:AB63,1),ColDescriptionCourte))&gt;1,
HYPERLINK("#Roadmap!C"&amp; MATCH($E63,Roadmap!$D:$D,0)+COUNTIF($E63:AB63,"u")+COUNTIF($E63:AB63,"t")+COUNTIF($E63:AB63,"¶")+COUNTIF($E63:AB63,"²")+COUNTIF($E63:AB63,"µ")+COUNTIF($E63:AB63,1)-1,INDEX(Roadmap!$D:$K,MATCH($E63,Roadmap!$D:$D,0)-1+COUNTIF($E63:AB63,"u")+COUNTIF($E63:AB63,"t")+COUNTIF($E63:AB63,"¶")+COUNTIF($E63:AB63,"²")+COUNTIF($E63:AB63,"µ")+COUNTIF($E63:AB63,1),ColDescriptionCourte)),""),
  "")),"")</f>
        <v/>
      </c>
      <c r="AD63" s="40" t="str">
        <f ca="1">IFERROR(IF(AND(
  INDEX(Roadmap!$D:$K,MATCH($E63,Roadmap!$D:$D,0)+COUNTIF($E63:AC63,"u")+COUNTIF($E63:AC63,"t")+COUNTIF($E63:AC63,"¶")+COUNTIF($E63:AC63,"²")+COUNTIF($E63:AC63,"µ")+COUNTIF($E63:AC63,1),ColLivraison)=AD$6,
  VLOOKUP($E63,INDIRECT("tri!"&amp; CHAR(64+ C0Col) &amp;":"&amp; CHAR(65+C0Col)),2,FALSE)&gt;COUNTIF($E63:AC63,"u")+COUNTIF($E63:AC63,"t")+COUNTIF($E63:AC63,"¶")+COUNTIF($E63:AC63,"²")+COUNTIF($E63:AC63,"µ")+COUNTIF($E63:AC63,1)),
HYPERLINK("#Roadmap!C"&amp; MATCH($E63,Roadmap!$D:$D,0)+COUNTIF($E63:AC63,"u")+COUNTIF($E63:AC63,"t"),
     INDEX(Roadmap!$D:$K,MATCH($E63,Roadmap!$D:$D,0)+COUNTIF($E63:AC63,"u")+COUNTIF($E63:AC63,"t")+COUNTIF($E63:AC63,"¶")+COUNTIF($E63:AC63,"²")+COUNTIF($E63:AC63,"µ")+COUNTIF($E63:AC63,1),ColTypeEcheance)),
  IF(LEN(AC63)=1,
  IF(LEN(INDEX(Roadmap!$D:$K,MATCH($E63,Roadmap!$D:$D,0)-1+COUNTIF($E63:AC63,"u")+COUNTIF($E63:AC63,"t")+COUNTIF($E63:AC63,"¶")+COUNTIF($E63:AC63,"²")+COUNTIF($E63:AC63,"µ")+COUNTIF($E63:AC63,1),ColDescriptionCourte))&gt;1,
HYPERLINK("#Roadmap!C"&amp; MATCH($E63,Roadmap!$D:$D,0)+COUNTIF($E63:AC63,"u")+COUNTIF($E63:AC63,"t")+COUNTIF($E63:AC63,"¶")+COUNTIF($E63:AC63,"²")+COUNTIF($E63:AC63,"µ")+COUNTIF($E63:AC63,1)-1,INDEX(Roadmap!$D:$K,MATCH($E63,Roadmap!$D:$D,0)-1+COUNTIF($E63:AC63,"u")+COUNTIF($E63:AC63,"t")+COUNTIF($E63:AC63,"¶")+COUNTIF($E63:AC63,"²")+COUNTIF($E63:AC63,"µ")+COUNTIF($E63:AC63,1),ColDescriptionCourte)),""),
  "")),"")</f>
        <v/>
      </c>
      <c r="AE63" s="40" t="str">
        <f ca="1">IFERROR(IF(AND(
  INDEX(Roadmap!$D:$K,MATCH($E63,Roadmap!$D:$D,0)+COUNTIF($E63:AD63,"u")+COUNTIF($E63:AD63,"t")+COUNTIF($E63:AD63,"¶")+COUNTIF($E63:AD63,"²")+COUNTIF($E63:AD63,"µ")+COUNTIF($E63:AD63,1),ColLivraison)=AE$6,
  VLOOKUP($E63,INDIRECT("tri!"&amp; CHAR(64+ C0Col) &amp;":"&amp; CHAR(65+C0Col)),2,FALSE)&gt;COUNTIF($E63:AD63,"u")+COUNTIF($E63:AD63,"t")+COUNTIF($E63:AD63,"¶")+COUNTIF($E63:AD63,"²")+COUNTIF($E63:AD63,"µ")+COUNTIF($E63:AD63,1)),
HYPERLINK("#Roadmap!C"&amp; MATCH($E63,Roadmap!$D:$D,0)+COUNTIF($E63:AD63,"u")+COUNTIF($E63:AD63,"t"),
     INDEX(Roadmap!$D:$K,MATCH($E63,Roadmap!$D:$D,0)+COUNTIF($E63:AD63,"u")+COUNTIF($E63:AD63,"t")+COUNTIF($E63:AD63,"¶")+COUNTIF($E63:AD63,"²")+COUNTIF($E63:AD63,"µ")+COUNTIF($E63:AD63,1),ColTypeEcheance)),
  IF(LEN(AD63)=1,
  IF(LEN(INDEX(Roadmap!$D:$K,MATCH($E63,Roadmap!$D:$D,0)-1+COUNTIF($E63:AD63,"u")+COUNTIF($E63:AD63,"t")+COUNTIF($E63:AD63,"¶")+COUNTIF($E63:AD63,"²")+COUNTIF($E63:AD63,"µ")+COUNTIF($E63:AD63,1),ColDescriptionCourte))&gt;1,
HYPERLINK("#Roadmap!C"&amp; MATCH($E63,Roadmap!$D:$D,0)+COUNTIF($E63:AD63,"u")+COUNTIF($E63:AD63,"t")+COUNTIF($E63:AD63,"¶")+COUNTIF($E63:AD63,"²")+COUNTIF($E63:AD63,"µ")+COUNTIF($E63:AD63,1)-1,INDEX(Roadmap!$D:$K,MATCH($E63,Roadmap!$D:$D,0)-1+COUNTIF($E63:AD63,"u")+COUNTIF($E63:AD63,"t")+COUNTIF($E63:AD63,"¶")+COUNTIF($E63:AD63,"²")+COUNTIF($E63:AD63,"µ")+COUNTIF($E63:AD63,1),ColDescriptionCourte)),""),
  "")),"")</f>
        <v/>
      </c>
      <c r="AF63" s="40" t="str">
        <f ca="1">IFERROR(IF(AND(
  INDEX(Roadmap!$D:$K,MATCH($E63,Roadmap!$D:$D,0)+COUNTIF($E63:AE63,"u")+COUNTIF($E63:AE63,"t")+COUNTIF($E63:AE63,"¶")+COUNTIF($E63:AE63,"²")+COUNTIF($E63:AE63,"µ")+COUNTIF($E63:AE63,1),ColLivraison)=AF$6,
  VLOOKUP($E63,INDIRECT("tri!"&amp; CHAR(64+ C0Col) &amp;":"&amp; CHAR(65+C0Col)),2,FALSE)&gt;COUNTIF($E63:AE63,"u")+COUNTIF($E63:AE63,"t")+COUNTIF($E63:AE63,"¶")+COUNTIF($E63:AE63,"²")+COUNTIF($E63:AE63,"µ")+COUNTIF($E63:AE63,1)),
HYPERLINK("#Roadmap!C"&amp; MATCH($E63,Roadmap!$D:$D,0)+COUNTIF($E63:AE63,"u")+COUNTIF($E63:AE63,"t"),
     INDEX(Roadmap!$D:$K,MATCH($E63,Roadmap!$D:$D,0)+COUNTIF($E63:AE63,"u")+COUNTIF($E63:AE63,"t")+COUNTIF($E63:AE63,"¶")+COUNTIF($E63:AE63,"²")+COUNTIF($E63:AE63,"µ")+COUNTIF($E63:AE63,1),ColTypeEcheance)),
  IF(LEN(AE63)=1,
  IF(LEN(INDEX(Roadmap!$D:$K,MATCH($E63,Roadmap!$D:$D,0)-1+COUNTIF($E63:AE63,"u")+COUNTIF($E63:AE63,"t")+COUNTIF($E63:AE63,"¶")+COUNTIF($E63:AE63,"²")+COUNTIF($E63:AE63,"µ")+COUNTIF($E63:AE63,1),ColDescriptionCourte))&gt;1,
HYPERLINK("#Roadmap!C"&amp; MATCH($E63,Roadmap!$D:$D,0)+COUNTIF($E63:AE63,"u")+COUNTIF($E63:AE63,"t")+COUNTIF($E63:AE63,"¶")+COUNTIF($E63:AE63,"²")+COUNTIF($E63:AE63,"µ")+COUNTIF($E63:AE63,1)-1,INDEX(Roadmap!$D:$K,MATCH($E63,Roadmap!$D:$D,0)-1+COUNTIF($E63:AE63,"u")+COUNTIF($E63:AE63,"t")+COUNTIF($E63:AE63,"¶")+COUNTIF($E63:AE63,"²")+COUNTIF($E63:AE63,"µ")+COUNTIF($E63:AE63,1),ColDescriptionCourte)),""),
  "")),"")</f>
        <v/>
      </c>
      <c r="AG63" s="40" t="str">
        <f ca="1">IFERROR(IF(AND(
  INDEX(Roadmap!$D:$K,MATCH($E63,Roadmap!$D:$D,0)+COUNTIF($E63:AF63,"u")+COUNTIF($E63:AF63,"t")+COUNTIF($E63:AF63,"¶")+COUNTIF($E63:AF63,"²")+COUNTIF($E63:AF63,"µ")+COUNTIF($E63:AF63,1),ColLivraison)=AG$6,
  VLOOKUP($E63,INDIRECT("tri!"&amp; CHAR(64+ C0Col) &amp;":"&amp; CHAR(65+C0Col)),2,FALSE)&gt;COUNTIF($E63:AF63,"u")+COUNTIF($E63:AF63,"t")+COUNTIF($E63:AF63,"¶")+COUNTIF($E63:AF63,"²")+COUNTIF($E63:AF63,"µ")+COUNTIF($E63:AF63,1)),
HYPERLINK("#Roadmap!C"&amp; MATCH($E63,Roadmap!$D:$D,0)+COUNTIF($E63:AF63,"u")+COUNTIF($E63:AF63,"t"),
     INDEX(Roadmap!$D:$K,MATCH($E63,Roadmap!$D:$D,0)+COUNTIF($E63:AF63,"u")+COUNTIF($E63:AF63,"t")+COUNTIF($E63:AF63,"¶")+COUNTIF($E63:AF63,"²")+COUNTIF($E63:AF63,"µ")+COUNTIF($E63:AF63,1),ColTypeEcheance)),
  IF(LEN(AF63)=1,
  IF(LEN(INDEX(Roadmap!$D:$K,MATCH($E63,Roadmap!$D:$D,0)-1+COUNTIF($E63:AF63,"u")+COUNTIF($E63:AF63,"t")+COUNTIF($E63:AF63,"¶")+COUNTIF($E63:AF63,"²")+COUNTIF($E63:AF63,"µ")+COUNTIF($E63:AF63,1),ColDescriptionCourte))&gt;1,
HYPERLINK("#Roadmap!C"&amp; MATCH($E63,Roadmap!$D:$D,0)+COUNTIF($E63:AF63,"u")+COUNTIF($E63:AF63,"t")+COUNTIF($E63:AF63,"¶")+COUNTIF($E63:AF63,"²")+COUNTIF($E63:AF63,"µ")+COUNTIF($E63:AF63,1)-1,INDEX(Roadmap!$D:$K,MATCH($E63,Roadmap!$D:$D,0)-1+COUNTIF($E63:AF63,"u")+COUNTIF($E63:AF63,"t")+COUNTIF($E63:AF63,"¶")+COUNTIF($E63:AF63,"²")+COUNTIF($E63:AF63,"µ")+COUNTIF($E63:AF63,1),ColDescriptionCourte)),""),
  "")),"")</f>
        <v/>
      </c>
    </row>
    <row r="64" spans="3:33" ht="14.25" customHeight="1">
      <c r="C64" s="1" t="str">
        <f t="shared" ca="1" si="44"/>
        <v/>
      </c>
      <c r="D64" s="1" t="str">
        <f t="shared" ca="1" si="45"/>
        <v/>
      </c>
      <c r="E64" s="35" t="str">
        <f t="shared" ca="1" si="33"/>
        <v/>
      </c>
      <c r="F64" s="39" t="str">
        <f ca="1">IFERROR(IF(AND(
  INDEX(Roadmap!$D:$K,MATCH($E64,Roadmap!$D:$D,0)+COUNTIF($E64:E64,"u")+COUNTIF($E64:E64,"t")+COUNTIF($E64:E64,"¶")+COUNTIF($E64:E64,"²")+COUNTIF($E64:E64,"µ")+COUNTIF($E64:E64,1),ColLivraison)=F$6,
  VLOOKUP($E64,INDIRECT("tri!"&amp; CHAR(64+ C0Col) &amp;":"&amp; CHAR(65+C0Col)),2,FALSE)&gt;COUNTIF($E64:E64,"u")+COUNTIF($E64:E64,"t")+COUNTIF($E64:E64,"¶")+COUNTIF($E64:E64,"²")+COUNTIF($E64:E64,"µ")+COUNTIF($E64:E64,1)),
HYPERLINK("#Roadmap!C"&amp; MATCH($E64,Roadmap!$D:$D,0)+COUNTIF($E64:E64,"u")+COUNTIF($E64:E64,"t"),
     INDEX(Roadmap!$D:$K,MATCH($E64,Roadmap!$D:$D,0)+COUNTIF($E64:E64,"u")+COUNTIF($E64:E64,"t")+COUNTIF($E64:E64,"¶")+COUNTIF($E64:E64,"²")+COUNTIF($E64:E64,"µ")+COUNTIF($E64:E64,1),ColTypeEcheance)),
  IF(LEN(E64)=1,
  IF(LEN(INDEX(Roadmap!$D:$K,MATCH($E64,Roadmap!$D:$D,0)-1+COUNTIF($E64:E64,"u")+COUNTIF($E64:E64,"t")+COUNTIF($E64:E64,"¶")+COUNTIF($E64:E64,"²")+COUNTIF($E64:E64,"µ")+COUNTIF($E64:E64,1),ColDescriptionCourte))&gt;1,
HYPERLINK("#Roadmap!C"&amp; MATCH($E64,Roadmap!$D:$D,0)+COUNTIF($E64:E64,"u")+COUNTIF($E64:E64,"t")+COUNTIF($E64:E64,"¶")+COUNTIF($E64:E64,"²")+COUNTIF($E64:E64,"µ")+COUNTIF($E64:E64,1)-1,INDEX(Roadmap!$D:$K,MATCH($E64,Roadmap!$D:$D,0)-1+COUNTIF($E64:E64,"u")+COUNTIF($E64:E64,"t")+COUNTIF($E64:E64,"¶")+COUNTIF($E64:E64,"²")+COUNTIF($E64:E64,"µ")+COUNTIF($E64:E64,1),ColDescriptionCourte)),""),
  "")),"")</f>
        <v/>
      </c>
      <c r="G64" s="40" t="str">
        <f ca="1">IFERROR(IF(AND(
  INDEX(Roadmap!$D:$K,MATCH($E64,Roadmap!$D:$D,0)+COUNTIF($E64:F64,"u")+COUNTIF($E64:F64,"t")+COUNTIF($E64:F64,"¶")+COUNTIF($E64:F64,"²")+COUNTIF($E64:F64,"µ")+COUNTIF($E64:F64,1),ColLivraison)=G$6,
  VLOOKUP($E64,INDIRECT("tri!"&amp; CHAR(64+ C0Col) &amp;":"&amp; CHAR(65+C0Col)),2,FALSE)&gt;COUNTIF($E64:F64,"u")+COUNTIF($E64:F64,"t")+COUNTIF($E64:F64,"¶")+COUNTIF($E64:F64,"²")+COUNTIF($E64:F64,"µ")+COUNTIF($E64:F64,1)),
HYPERLINK("#Roadmap!C"&amp; MATCH($E64,Roadmap!$D:$D,0)+COUNTIF($E64:F64,"u")+COUNTIF($E64:F64,"t"),
     INDEX(Roadmap!$D:$K,MATCH($E64,Roadmap!$D:$D,0)+COUNTIF($E64:F64,"u")+COUNTIF($E64:F64,"t")+COUNTIF($E64:F64,"¶")+COUNTIF($E64:F64,"²")+COUNTIF($E64:F64,"µ")+COUNTIF($E64:F64,1),ColTypeEcheance)),
  IF(LEN(F64)=1,
  IF(LEN(INDEX(Roadmap!$D:$K,MATCH($E64,Roadmap!$D:$D,0)-1+COUNTIF($E64:F64,"u")+COUNTIF($E64:F64,"t")+COUNTIF($E64:F64,"¶")+COUNTIF($E64:F64,"²")+COUNTIF($E64:F64,"µ")+COUNTIF($E64:F64,1),ColDescriptionCourte))&gt;1,
HYPERLINK("#Roadmap!C"&amp; MATCH($E64,Roadmap!$D:$D,0)+COUNTIF($E64:F64,"u")+COUNTIF($E64:F64,"t")+COUNTIF($E64:F64,"¶")+COUNTIF($E64:F64,"²")+COUNTIF($E64:F64,"µ")+COUNTIF($E64:F64,1)-1,INDEX(Roadmap!$D:$K,MATCH($E64,Roadmap!$D:$D,0)-1+COUNTIF($E64:F64,"u")+COUNTIF($E64:F64,"t")+COUNTIF($E64:F64,"¶")+COUNTIF($E64:F64,"²")+COUNTIF($E64:F64,"µ")+COUNTIF($E64:F64,1),ColDescriptionCourte)),""),
  "")),"")</f>
        <v/>
      </c>
      <c r="H64" s="40" t="str">
        <f ca="1">IFERROR(IF(AND(
  INDEX(Roadmap!$D:$K,MATCH($E64,Roadmap!$D:$D,0)+COUNTIF($E64:G64,"u")+COUNTIF($E64:G64,"t")+COUNTIF($E64:G64,"¶")+COUNTIF($E64:G64,"²")+COUNTIF($E64:G64,"µ")+COUNTIF($E64:G64,1),ColLivraison)=H$6,
  VLOOKUP($E64,INDIRECT("tri!"&amp; CHAR(64+ C0Col) &amp;":"&amp; CHAR(65+C0Col)),2,FALSE)&gt;COUNTIF($E64:G64,"u")+COUNTIF($E64:G64,"t")+COUNTIF($E64:G64,"¶")+COUNTIF($E64:G64,"²")+COUNTIF($E64:G64,"µ")+COUNTIF($E64:G64,1)),
HYPERLINK("#Roadmap!C"&amp; MATCH($E64,Roadmap!$D:$D,0)+COUNTIF($E64:G64,"u")+COUNTIF($E64:G64,"t"),
     INDEX(Roadmap!$D:$K,MATCH($E64,Roadmap!$D:$D,0)+COUNTIF($E64:G64,"u")+COUNTIF($E64:G64,"t")+COUNTIF($E64:G64,"¶")+COUNTIF($E64:G64,"²")+COUNTIF($E64:G64,"µ")+COUNTIF($E64:G64,1),ColTypeEcheance)),
  IF(LEN(G64)=1,
  IF(LEN(INDEX(Roadmap!$D:$K,MATCH($E64,Roadmap!$D:$D,0)-1+COUNTIF($E64:G64,"u")+COUNTIF($E64:G64,"t")+COUNTIF($E64:G64,"¶")+COUNTIF($E64:G64,"²")+COUNTIF($E64:G64,"µ")+COUNTIF($E64:G64,1),ColDescriptionCourte))&gt;1,
HYPERLINK("#Roadmap!C"&amp; MATCH($E64,Roadmap!$D:$D,0)+COUNTIF($E64:G64,"u")+COUNTIF($E64:G64,"t")+COUNTIF($E64:G64,"¶")+COUNTIF($E64:G64,"²")+COUNTIF($E64:G64,"µ")+COUNTIF($E64:G64,1)-1,INDEX(Roadmap!$D:$K,MATCH($E64,Roadmap!$D:$D,0)-1+COUNTIF($E64:G64,"u")+COUNTIF($E64:G64,"t")+COUNTIF($E64:G64,"¶")+COUNTIF($E64:G64,"²")+COUNTIF($E64:G64,"µ")+COUNTIF($E64:G64,1),ColDescriptionCourte)),""),
  "")),"")</f>
        <v/>
      </c>
      <c r="I64" s="40" t="str">
        <f ca="1">IFERROR(IF(AND(
  INDEX(Roadmap!$D:$K,MATCH($E64,Roadmap!$D:$D,0)+COUNTIF($E64:H64,"u")+COUNTIF($E64:H64,"t")+COUNTIF($E64:H64,"¶")+COUNTIF($E64:H64,"²")+COUNTIF($E64:H64,"µ")+COUNTIF($E64:H64,1),ColLivraison)=I$6,
  VLOOKUP($E64,INDIRECT("tri!"&amp; CHAR(64+ C0Col) &amp;":"&amp; CHAR(65+C0Col)),2,FALSE)&gt;COUNTIF($E64:H64,"u")+COUNTIF($E64:H64,"t")+COUNTIF($E64:H64,"¶")+COUNTIF($E64:H64,"²")+COUNTIF($E64:H64,"µ")+COUNTIF($E64:H64,1)),
HYPERLINK("#Roadmap!C"&amp; MATCH($E64,Roadmap!$D:$D,0)+COUNTIF($E64:H64,"u")+COUNTIF($E64:H64,"t"),
     INDEX(Roadmap!$D:$K,MATCH($E64,Roadmap!$D:$D,0)+COUNTIF($E64:H64,"u")+COUNTIF($E64:H64,"t")+COUNTIF($E64:H64,"¶")+COUNTIF($E64:H64,"²")+COUNTIF($E64:H64,"µ")+COUNTIF($E64:H64,1),ColTypeEcheance)),
  IF(LEN(H64)=1,
  IF(LEN(INDEX(Roadmap!$D:$K,MATCH($E64,Roadmap!$D:$D,0)-1+COUNTIF($E64:H64,"u")+COUNTIF($E64:H64,"t")+COUNTIF($E64:H64,"¶")+COUNTIF($E64:H64,"²")+COUNTIF($E64:H64,"µ")+COUNTIF($E64:H64,1),ColDescriptionCourte))&gt;1,
HYPERLINK("#Roadmap!C"&amp; MATCH($E64,Roadmap!$D:$D,0)+COUNTIF($E64:H64,"u")+COUNTIF($E64:H64,"t")+COUNTIF($E64:H64,"¶")+COUNTIF($E64:H64,"²")+COUNTIF($E64:H64,"µ")+COUNTIF($E64:H64,1)-1,INDEX(Roadmap!$D:$K,MATCH($E64,Roadmap!$D:$D,0)-1+COUNTIF($E64:H64,"u")+COUNTIF($E64:H64,"t")+COUNTIF($E64:H64,"¶")+COUNTIF($E64:H64,"²")+COUNTIF($E64:H64,"µ")+COUNTIF($E64:H64,1),ColDescriptionCourte)),""),
  "")),"")</f>
        <v/>
      </c>
      <c r="J64" s="40" t="str">
        <f ca="1">IFERROR(IF(AND(
  INDEX(Roadmap!$D:$K,MATCH($E64,Roadmap!$D:$D,0)+COUNTIF($E64:I64,"u")+COUNTIF($E64:I64,"t")+COUNTIF($E64:I64,"¶")+COUNTIF($E64:I64,"²")+COUNTIF($E64:I64,"µ")+COUNTIF($E64:I64,1),ColLivraison)=J$6,
  VLOOKUP($E64,INDIRECT("tri!"&amp; CHAR(64+ C0Col) &amp;":"&amp; CHAR(65+C0Col)),2,FALSE)&gt;COUNTIF($E64:I64,"u")+COUNTIF($E64:I64,"t")+COUNTIF($E64:I64,"¶")+COUNTIF($E64:I64,"²")+COUNTIF($E64:I64,"µ")+COUNTIF($E64:I64,1)),
HYPERLINK("#Roadmap!C"&amp; MATCH($E64,Roadmap!$D:$D,0)+COUNTIF($E64:I64,"u")+COUNTIF($E64:I64,"t"),
     INDEX(Roadmap!$D:$K,MATCH($E64,Roadmap!$D:$D,0)+COUNTIF($E64:I64,"u")+COUNTIF($E64:I64,"t")+COUNTIF($E64:I64,"¶")+COUNTIF($E64:I64,"²")+COUNTIF($E64:I64,"µ")+COUNTIF($E64:I64,1),ColTypeEcheance)),
  IF(LEN(I64)=1,
  IF(LEN(INDEX(Roadmap!$D:$K,MATCH($E64,Roadmap!$D:$D,0)-1+COUNTIF($E64:I64,"u")+COUNTIF($E64:I64,"t")+COUNTIF($E64:I64,"¶")+COUNTIF($E64:I64,"²")+COUNTIF($E64:I64,"µ")+COUNTIF($E64:I64,1),ColDescriptionCourte))&gt;1,
HYPERLINK("#Roadmap!C"&amp; MATCH($E64,Roadmap!$D:$D,0)+COUNTIF($E64:I64,"u")+COUNTIF($E64:I64,"t")+COUNTIF($E64:I64,"¶")+COUNTIF($E64:I64,"²")+COUNTIF($E64:I64,"µ")+COUNTIF($E64:I64,1)-1,INDEX(Roadmap!$D:$K,MATCH($E64,Roadmap!$D:$D,0)-1+COUNTIF($E64:I64,"u")+COUNTIF($E64:I64,"t")+COUNTIF($E64:I64,"¶")+COUNTIF($E64:I64,"²")+COUNTIF($E64:I64,"µ")+COUNTIF($E64:I64,1),ColDescriptionCourte)),""),
  "")),"")</f>
        <v/>
      </c>
      <c r="K64" s="40" t="str">
        <f ca="1">IFERROR(IF(AND(
  INDEX(Roadmap!$D:$K,MATCH($E64,Roadmap!$D:$D,0)+COUNTIF($E64:J64,"u")+COUNTIF($E64:J64,"t")+COUNTIF($E64:J64,"¶")+COUNTIF($E64:J64,"²")+COUNTIF($E64:J64,"µ")+COUNTIF($E64:J64,1),ColLivraison)=K$6,
  VLOOKUP($E64,INDIRECT("tri!"&amp; CHAR(64+ C0Col) &amp;":"&amp; CHAR(65+C0Col)),2,FALSE)&gt;COUNTIF($E64:J64,"u")+COUNTIF($E64:J64,"t")+COUNTIF($E64:J64,"¶")+COUNTIF($E64:J64,"²")+COUNTIF($E64:J64,"µ")+COUNTIF($E64:J64,1)),
HYPERLINK("#Roadmap!C"&amp; MATCH($E64,Roadmap!$D:$D,0)+COUNTIF($E64:J64,"u")+COUNTIF($E64:J64,"t"),
     INDEX(Roadmap!$D:$K,MATCH($E64,Roadmap!$D:$D,0)+COUNTIF($E64:J64,"u")+COUNTIF($E64:J64,"t")+COUNTIF($E64:J64,"¶")+COUNTIF($E64:J64,"²")+COUNTIF($E64:J64,"µ")+COUNTIF($E64:J64,1),ColTypeEcheance)),
  IF(LEN(J64)=1,
  IF(LEN(INDEX(Roadmap!$D:$K,MATCH($E64,Roadmap!$D:$D,0)-1+COUNTIF($E64:J64,"u")+COUNTIF($E64:J64,"t")+COUNTIF($E64:J64,"¶")+COUNTIF($E64:J64,"²")+COUNTIF($E64:J64,"µ")+COUNTIF($E64:J64,1),ColDescriptionCourte))&gt;1,
HYPERLINK("#Roadmap!C"&amp; MATCH($E64,Roadmap!$D:$D,0)+COUNTIF($E64:J64,"u")+COUNTIF($E64:J64,"t")+COUNTIF($E64:J64,"¶")+COUNTIF($E64:J64,"²")+COUNTIF($E64:J64,"µ")+COUNTIF($E64:J64,1)-1,INDEX(Roadmap!$D:$K,MATCH($E64,Roadmap!$D:$D,0)-1+COUNTIF($E64:J64,"u")+COUNTIF($E64:J64,"t")+COUNTIF($E64:J64,"¶")+COUNTIF($E64:J64,"²")+COUNTIF($E64:J64,"µ")+COUNTIF($E64:J64,1),ColDescriptionCourte)),""),
  "")),"")</f>
        <v/>
      </c>
      <c r="L64" s="39" t="str">
        <f ca="1">IFERROR(IF(AND(
  INDEX(Roadmap!$D:$K,MATCH($E64,Roadmap!$D:$D,0)+COUNTIF($E64:K64,"u")+COUNTIF($E64:K64,"t")+COUNTIF($E64:K64,"¶")+COUNTIF($E64:K64,"²")+COUNTIF($E64:K64,"µ")+COUNTIF($E64:K64,1),ColLivraison)=L$6,
  VLOOKUP($E64,INDIRECT("tri!"&amp; CHAR(64+ C0Col) &amp;":"&amp; CHAR(65+C0Col)),2,FALSE)&gt;COUNTIF($E64:K64,"u")+COUNTIF($E64:K64,"t")+COUNTIF($E64:K64,"¶")+COUNTIF($E64:K64,"²")+COUNTIF($E64:K64,"µ")+COUNTIF($E64:K64,1)),
HYPERLINK("#Roadmap!C"&amp; MATCH($E64,Roadmap!$D:$D,0)+COUNTIF($E64:K64,"u")+COUNTIF($E64:K64,"t"),
     INDEX(Roadmap!$D:$K,MATCH($E64,Roadmap!$D:$D,0)+COUNTIF($E64:K64,"u")+COUNTIF($E64:K64,"t")+COUNTIF($E64:K64,"¶")+COUNTIF($E64:K64,"²")+COUNTIF($E64:K64,"µ")+COUNTIF($E64:K64,1),ColTypeEcheance)),
  IF(LEN(K64)=1,
  IF(LEN(INDEX(Roadmap!$D:$K,MATCH($E64,Roadmap!$D:$D,0)-1+COUNTIF($E64:K64,"u")+COUNTIF($E64:K64,"t")+COUNTIF($E64:K64,"¶")+COUNTIF($E64:K64,"²")+COUNTIF($E64:K64,"µ")+COUNTIF($E64:K64,1),ColDescriptionCourte))&gt;1,
HYPERLINK("#Roadmap!C"&amp; MATCH($E64,Roadmap!$D:$D,0)+COUNTIF($E64:K64,"u")+COUNTIF($E64:K64,"t")+COUNTIF($E64:K64,"¶")+COUNTIF($E64:K64,"²")+COUNTIF($E64:K64,"µ")+COUNTIF($E64:K64,1)-1,INDEX(Roadmap!$D:$K,MATCH($E64,Roadmap!$D:$D,0)-1+COUNTIF($E64:K64,"u")+COUNTIF($E64:K64,"t")+COUNTIF($E64:K64,"¶")+COUNTIF($E64:K64,"²")+COUNTIF($E64:K64,"µ")+COUNTIF($E64:K64,1),ColDescriptionCourte)),""),
  "")),"")</f>
        <v/>
      </c>
      <c r="M64" s="40" t="str">
        <f ca="1">IFERROR(IF(AND(
  INDEX(Roadmap!$D:$K,MATCH($E64,Roadmap!$D:$D,0)+COUNTIF($E64:L64,"u")+COUNTIF($E64:L64,"t")+COUNTIF($E64:L64,"¶")+COUNTIF($E64:L64,"²")+COUNTIF($E64:L64,"µ")+COUNTIF($E64:L64,1),ColLivraison)=M$6,
  VLOOKUP($E64,INDIRECT("tri!"&amp; CHAR(64+ C0Col) &amp;":"&amp; CHAR(65+C0Col)),2,FALSE)&gt;COUNTIF($E64:L64,"u")+COUNTIF($E64:L64,"t")+COUNTIF($E64:L64,"¶")+COUNTIF($E64:L64,"²")+COUNTIF($E64:L64,"µ")+COUNTIF($E64:L64,1)),
HYPERLINK("#Roadmap!C"&amp; MATCH($E64,Roadmap!$D:$D,0)+COUNTIF($E64:L64,"u")+COUNTIF($E64:L64,"t"),
     INDEX(Roadmap!$D:$K,MATCH($E64,Roadmap!$D:$D,0)+COUNTIF($E64:L64,"u")+COUNTIF($E64:L64,"t")+COUNTIF($E64:L64,"¶")+COUNTIF($E64:L64,"²")+COUNTIF($E64:L64,"µ")+COUNTIF($E64:L64,1),ColTypeEcheance)),
  IF(LEN(L64)=1,
  IF(LEN(INDEX(Roadmap!$D:$K,MATCH($E64,Roadmap!$D:$D,0)-1+COUNTIF($E64:L64,"u")+COUNTIF($E64:L64,"t")+COUNTIF($E64:L64,"¶")+COUNTIF($E64:L64,"²")+COUNTIF($E64:L64,"µ")+COUNTIF($E64:L64,1),ColDescriptionCourte))&gt;1,
HYPERLINK("#Roadmap!C"&amp; MATCH($E64,Roadmap!$D:$D,0)+COUNTIF($E64:L64,"u")+COUNTIF($E64:L64,"t")+COUNTIF($E64:L64,"¶")+COUNTIF($E64:L64,"²")+COUNTIF($E64:L64,"µ")+COUNTIF($E64:L64,1)-1,INDEX(Roadmap!$D:$K,MATCH($E64,Roadmap!$D:$D,0)-1+COUNTIF($E64:L64,"u")+COUNTIF($E64:L64,"t")+COUNTIF($E64:L64,"¶")+COUNTIF($E64:L64,"²")+COUNTIF($E64:L64,"µ")+COUNTIF($E64:L64,1),ColDescriptionCourte)),""),
  "")),"")</f>
        <v/>
      </c>
      <c r="N64" s="40" t="str">
        <f ca="1">IFERROR(IF(AND(
  INDEX(Roadmap!$D:$K,MATCH($E64,Roadmap!$D:$D,0)+COUNTIF($E64:M64,"u")+COUNTIF($E64:M64,"t")+COUNTIF($E64:M64,"¶")+COUNTIF($E64:M64,"²")+COUNTIF($E64:M64,"µ")+COUNTIF($E64:M64,1),ColLivraison)=N$6,
  VLOOKUP($E64,INDIRECT("tri!"&amp; CHAR(64+ C0Col) &amp;":"&amp; CHAR(65+C0Col)),2,FALSE)&gt;COUNTIF($E64:M64,"u")+COUNTIF($E64:M64,"t")+COUNTIF($E64:M64,"¶")+COUNTIF($E64:M64,"²")+COUNTIF($E64:M64,"µ")+COUNTIF($E64:M64,1)),
HYPERLINK("#Roadmap!C"&amp; MATCH($E64,Roadmap!$D:$D,0)+COUNTIF($E64:M64,"u")+COUNTIF($E64:M64,"t"),
     INDEX(Roadmap!$D:$K,MATCH($E64,Roadmap!$D:$D,0)+COUNTIF($E64:M64,"u")+COUNTIF($E64:M64,"t")+COUNTIF($E64:M64,"¶")+COUNTIF($E64:M64,"²")+COUNTIF($E64:M64,"µ")+COUNTIF($E64:M64,1),ColTypeEcheance)),
  IF(LEN(M64)=1,
  IF(LEN(INDEX(Roadmap!$D:$K,MATCH($E64,Roadmap!$D:$D,0)-1+COUNTIF($E64:M64,"u")+COUNTIF($E64:M64,"t")+COUNTIF($E64:M64,"¶")+COUNTIF($E64:M64,"²")+COUNTIF($E64:M64,"µ")+COUNTIF($E64:M64,1),ColDescriptionCourte))&gt;1,
HYPERLINK("#Roadmap!C"&amp; MATCH($E64,Roadmap!$D:$D,0)+COUNTIF($E64:M64,"u")+COUNTIF($E64:M64,"t")+COUNTIF($E64:M64,"¶")+COUNTIF($E64:M64,"²")+COUNTIF($E64:M64,"µ")+COUNTIF($E64:M64,1)-1,INDEX(Roadmap!$D:$K,MATCH($E64,Roadmap!$D:$D,0)-1+COUNTIF($E64:M64,"u")+COUNTIF($E64:M64,"t")+COUNTIF($E64:M64,"¶")+COUNTIF($E64:M64,"²")+COUNTIF($E64:M64,"µ")+COUNTIF($E64:M64,1),ColDescriptionCourte)),""),
  "")),"")</f>
        <v/>
      </c>
      <c r="O64" s="40" t="str">
        <f ca="1">IFERROR(IF(AND(
  INDEX(Roadmap!$D:$K,MATCH($E64,Roadmap!$D:$D,0)+COUNTIF($E64:N64,"u")+COUNTIF($E64:N64,"t")+COUNTIF($E64:N64,"¶")+COUNTIF($E64:N64,"²")+COUNTIF($E64:N64,"µ")+COUNTIF($E64:N64,1),ColLivraison)=O$6,
  VLOOKUP($E64,INDIRECT("tri!"&amp; CHAR(64+ C0Col) &amp;":"&amp; CHAR(65+C0Col)),2,FALSE)&gt;COUNTIF($E64:N64,"u")+COUNTIF($E64:N64,"t")+COUNTIF($E64:N64,"¶")+COUNTIF($E64:N64,"²")+COUNTIF($E64:N64,"µ")+COUNTIF($E64:N64,1)),
HYPERLINK("#Roadmap!C"&amp; MATCH($E64,Roadmap!$D:$D,0)+COUNTIF($E64:N64,"u")+COUNTIF($E64:N64,"t"),
     INDEX(Roadmap!$D:$K,MATCH($E64,Roadmap!$D:$D,0)+COUNTIF($E64:N64,"u")+COUNTIF($E64:N64,"t")+COUNTIF($E64:N64,"¶")+COUNTIF($E64:N64,"²")+COUNTIF($E64:N64,"µ")+COUNTIF($E64:N64,1),ColTypeEcheance)),
  IF(LEN(N64)=1,
  IF(LEN(INDEX(Roadmap!$D:$K,MATCH($E64,Roadmap!$D:$D,0)-1+COUNTIF($E64:N64,"u")+COUNTIF($E64:N64,"t")+COUNTIF($E64:N64,"¶")+COUNTIF($E64:N64,"²")+COUNTIF($E64:N64,"µ")+COUNTIF($E64:N64,1),ColDescriptionCourte))&gt;1,
HYPERLINK("#Roadmap!C"&amp; MATCH($E64,Roadmap!$D:$D,0)+COUNTIF($E64:N64,"u")+COUNTIF($E64:N64,"t")+COUNTIF($E64:N64,"¶")+COUNTIF($E64:N64,"²")+COUNTIF($E64:N64,"µ")+COUNTIF($E64:N64,1)-1,INDEX(Roadmap!$D:$K,MATCH($E64,Roadmap!$D:$D,0)-1+COUNTIF($E64:N64,"u")+COUNTIF($E64:N64,"t")+COUNTIF($E64:N64,"¶")+COUNTIF($E64:N64,"²")+COUNTIF($E64:N64,"µ")+COUNTIF($E64:N64,1),ColDescriptionCourte)),""),
  "")),"")</f>
        <v/>
      </c>
      <c r="P64" s="40" t="str">
        <f ca="1">IFERROR(IF(AND(
  INDEX(Roadmap!$D:$K,MATCH($E64,Roadmap!$D:$D,0)+COUNTIF($E64:O64,"u")+COUNTIF($E64:O64,"t")+COUNTIF($E64:O64,"¶")+COUNTIF($E64:O64,"²")+COUNTIF($E64:O64,"µ")+COUNTIF($E64:O64,1),ColLivraison)=P$6,
  VLOOKUP($E64,INDIRECT("tri!"&amp; CHAR(64+ C0Col) &amp;":"&amp; CHAR(65+C0Col)),2,FALSE)&gt;COUNTIF($E64:O64,"u")+COUNTIF($E64:O64,"t")+COUNTIF($E64:O64,"¶")+COUNTIF($E64:O64,"²")+COUNTIF($E64:O64,"µ")+COUNTIF($E64:O64,1)),
HYPERLINK("#Roadmap!C"&amp; MATCH($E64,Roadmap!$D:$D,0)+COUNTIF($E64:O64,"u")+COUNTIF($E64:O64,"t"),
     INDEX(Roadmap!$D:$K,MATCH($E64,Roadmap!$D:$D,0)+COUNTIF($E64:O64,"u")+COUNTIF($E64:O64,"t")+COUNTIF($E64:O64,"¶")+COUNTIF($E64:O64,"²")+COUNTIF($E64:O64,"µ")+COUNTIF($E64:O64,1),ColTypeEcheance)),
  IF(LEN(O64)=1,
  IF(LEN(INDEX(Roadmap!$D:$K,MATCH($E64,Roadmap!$D:$D,0)-1+COUNTIF($E64:O64,"u")+COUNTIF($E64:O64,"t")+COUNTIF($E64:O64,"¶")+COUNTIF($E64:O64,"²")+COUNTIF($E64:O64,"µ")+COUNTIF($E64:O64,1),ColDescriptionCourte))&gt;1,
HYPERLINK("#Roadmap!C"&amp; MATCH($E64,Roadmap!$D:$D,0)+COUNTIF($E64:O64,"u")+COUNTIF($E64:O64,"t")+COUNTIF($E64:O64,"¶")+COUNTIF($E64:O64,"²")+COUNTIF($E64:O64,"µ")+COUNTIF($E64:O64,1)-1,INDEX(Roadmap!$D:$K,MATCH($E64,Roadmap!$D:$D,0)-1+COUNTIF($E64:O64,"u")+COUNTIF($E64:O64,"t")+COUNTIF($E64:O64,"¶")+COUNTIF($E64:O64,"²")+COUNTIF($E64:O64,"µ")+COUNTIF($E64:O64,1),ColDescriptionCourte)),""),
  "")),"")</f>
        <v/>
      </c>
      <c r="Q64" s="40" t="str">
        <f ca="1">IFERROR(IF(AND(
  INDEX(Roadmap!$D:$K,MATCH($E64,Roadmap!$D:$D,0)+COUNTIF($E64:P64,"u")+COUNTIF($E64:P64,"t")+COUNTIF($E64:P64,"¶")+COUNTIF($E64:P64,"²")+COUNTIF($E64:P64,"µ")+COUNTIF($E64:P64,1),ColLivraison)=Q$6,
  VLOOKUP($E64,INDIRECT("tri!"&amp; CHAR(64+ C0Col) &amp;":"&amp; CHAR(65+C0Col)),2,FALSE)&gt;COUNTIF($E64:P64,"u")+COUNTIF($E64:P64,"t")+COUNTIF($E64:P64,"¶")+COUNTIF($E64:P64,"²")+COUNTIF($E64:P64,"µ")+COUNTIF($E64:P64,1)),
HYPERLINK("#Roadmap!C"&amp; MATCH($E64,Roadmap!$D:$D,0)+COUNTIF($E64:P64,"u")+COUNTIF($E64:P64,"t"),
     INDEX(Roadmap!$D:$K,MATCH($E64,Roadmap!$D:$D,0)+COUNTIF($E64:P64,"u")+COUNTIF($E64:P64,"t")+COUNTIF($E64:P64,"¶")+COUNTIF($E64:P64,"²")+COUNTIF($E64:P64,"µ")+COUNTIF($E64:P64,1),ColTypeEcheance)),
  IF(LEN(P64)=1,
  IF(LEN(INDEX(Roadmap!$D:$K,MATCH($E64,Roadmap!$D:$D,0)-1+COUNTIF($E64:P64,"u")+COUNTIF($E64:P64,"t")+COUNTIF($E64:P64,"¶")+COUNTIF($E64:P64,"²")+COUNTIF($E64:P64,"µ")+COUNTIF($E64:P64,1),ColDescriptionCourte))&gt;1,
HYPERLINK("#Roadmap!C"&amp; MATCH($E64,Roadmap!$D:$D,0)+COUNTIF($E64:P64,"u")+COUNTIF($E64:P64,"t")+COUNTIF($E64:P64,"¶")+COUNTIF($E64:P64,"²")+COUNTIF($E64:P64,"µ")+COUNTIF($E64:P64,1)-1,INDEX(Roadmap!$D:$K,MATCH($E64,Roadmap!$D:$D,0)-1+COUNTIF($E64:P64,"u")+COUNTIF($E64:P64,"t")+COUNTIF($E64:P64,"¶")+COUNTIF($E64:P64,"²")+COUNTIF($E64:P64,"µ")+COUNTIF($E64:P64,1),ColDescriptionCourte)),""),
  "")),"")</f>
        <v/>
      </c>
      <c r="R64" s="40" t="str">
        <f ca="1">IFERROR(IF(AND(
  INDEX(Roadmap!$D:$K,MATCH($E64,Roadmap!$D:$D,0)+COUNTIF($E64:Q64,"u")+COUNTIF($E64:Q64,"t")+COUNTIF($E64:Q64,"¶")+COUNTIF($E64:Q64,"²")+COUNTIF($E64:Q64,"µ")+COUNTIF($E64:Q64,1),ColLivraison)=R$6,
  VLOOKUP($E64,INDIRECT("tri!"&amp; CHAR(64+ C0Col) &amp;":"&amp; CHAR(65+C0Col)),2,FALSE)&gt;COUNTIF($E64:Q64,"u")+COUNTIF($E64:Q64,"t")+COUNTIF($E64:Q64,"¶")+COUNTIF($E64:Q64,"²")+COUNTIF($E64:Q64,"µ")+COUNTIF($E64:Q64,1)),
HYPERLINK("#Roadmap!C"&amp; MATCH($E64,Roadmap!$D:$D,0)+COUNTIF($E64:Q64,"u")+COUNTIF($E64:Q64,"t"),
     INDEX(Roadmap!$D:$K,MATCH($E64,Roadmap!$D:$D,0)+COUNTIF($E64:Q64,"u")+COUNTIF($E64:Q64,"t")+COUNTIF($E64:Q64,"¶")+COUNTIF($E64:Q64,"²")+COUNTIF($E64:Q64,"µ")+COUNTIF($E64:Q64,1),ColTypeEcheance)),
  IF(LEN(Q64)=1,
  IF(LEN(INDEX(Roadmap!$D:$K,MATCH($E64,Roadmap!$D:$D,0)-1+COUNTIF($E64:Q64,"u")+COUNTIF($E64:Q64,"t")+COUNTIF($E64:Q64,"¶")+COUNTIF($E64:Q64,"²")+COUNTIF($E64:Q64,"µ")+COUNTIF($E64:Q64,1),ColDescriptionCourte))&gt;1,
HYPERLINK("#Roadmap!C"&amp; MATCH($E64,Roadmap!$D:$D,0)+COUNTIF($E64:Q64,"u")+COUNTIF($E64:Q64,"t")+COUNTIF($E64:Q64,"¶")+COUNTIF($E64:Q64,"²")+COUNTIF($E64:Q64,"µ")+COUNTIF($E64:Q64,1)-1,INDEX(Roadmap!$D:$K,MATCH($E64,Roadmap!$D:$D,0)-1+COUNTIF($E64:Q64,"u")+COUNTIF($E64:Q64,"t")+COUNTIF($E64:Q64,"¶")+COUNTIF($E64:Q64,"²")+COUNTIF($E64:Q64,"µ")+COUNTIF($E64:Q64,1),ColDescriptionCourte)),""),
  "")),"")</f>
        <v/>
      </c>
      <c r="S64" s="40" t="str">
        <f ca="1">IFERROR(IF(AND(
  INDEX(Roadmap!$D:$K,MATCH($E64,Roadmap!$D:$D,0)+COUNTIF($E64:R64,"u")+COUNTIF($E64:R64,"t")+COUNTIF($E64:R64,"¶")+COUNTIF($E64:R64,"²")+COUNTIF($E64:R64,"µ")+COUNTIF($E64:R64,1),ColLivraison)=S$6,
  VLOOKUP($E64,INDIRECT("tri!"&amp; CHAR(64+ C0Col) &amp;":"&amp; CHAR(65+C0Col)),2,FALSE)&gt;COUNTIF($E64:R64,"u")+COUNTIF($E64:R64,"t")+COUNTIF($E64:R64,"¶")+COUNTIF($E64:R64,"²")+COUNTIF($E64:R64,"µ")+COUNTIF($E64:R64,1)),
HYPERLINK("#Roadmap!C"&amp; MATCH($E64,Roadmap!$D:$D,0)+COUNTIF($E64:R64,"u")+COUNTIF($E64:R64,"t"),
     INDEX(Roadmap!$D:$K,MATCH($E64,Roadmap!$D:$D,0)+COUNTIF($E64:R64,"u")+COUNTIF($E64:R64,"t")+COUNTIF($E64:R64,"¶")+COUNTIF($E64:R64,"²")+COUNTIF($E64:R64,"µ")+COUNTIF($E64:R64,1),ColTypeEcheance)),
  IF(LEN(R64)=1,
  IF(LEN(INDEX(Roadmap!$D:$K,MATCH($E64,Roadmap!$D:$D,0)-1+COUNTIF($E64:R64,"u")+COUNTIF($E64:R64,"t")+COUNTIF($E64:R64,"¶")+COUNTIF($E64:R64,"²")+COUNTIF($E64:R64,"µ")+COUNTIF($E64:R64,1),ColDescriptionCourte))&gt;1,
HYPERLINK("#Roadmap!C"&amp; MATCH($E64,Roadmap!$D:$D,0)+COUNTIF($E64:R64,"u")+COUNTIF($E64:R64,"t")+COUNTIF($E64:R64,"¶")+COUNTIF($E64:R64,"²")+COUNTIF($E64:R64,"µ")+COUNTIF($E64:R64,1)-1,INDEX(Roadmap!$D:$K,MATCH($E64,Roadmap!$D:$D,0)-1+COUNTIF($E64:R64,"u")+COUNTIF($E64:R64,"t")+COUNTIF($E64:R64,"¶")+COUNTIF($E64:R64,"²")+COUNTIF($E64:R64,"µ")+COUNTIF($E64:R64,1),ColDescriptionCourte)),""),
  "")),"")</f>
        <v/>
      </c>
      <c r="T64" s="40" t="str">
        <f ca="1">IFERROR(IF(AND(
  INDEX(Roadmap!$D:$K,MATCH($E64,Roadmap!$D:$D,0)+COUNTIF($E64:S64,"u")+COUNTIF($E64:S64,"t")+COUNTIF($E64:S64,"¶")+COUNTIF($E64:S64,"²")+COUNTIF($E64:S64,"µ")+COUNTIF($E64:S64,1),ColLivraison)=T$6,
  VLOOKUP($E64,INDIRECT("tri!"&amp; CHAR(64+ C0Col) &amp;":"&amp; CHAR(65+C0Col)),2,FALSE)&gt;COUNTIF($E64:S64,"u")+COUNTIF($E64:S64,"t")+COUNTIF($E64:S64,"¶")+COUNTIF($E64:S64,"²")+COUNTIF($E64:S64,"µ")+COUNTIF($E64:S64,1)),
HYPERLINK("#Roadmap!C"&amp; MATCH($E64,Roadmap!$D:$D,0)+COUNTIF($E64:S64,"u")+COUNTIF($E64:S64,"t"),
     INDEX(Roadmap!$D:$K,MATCH($E64,Roadmap!$D:$D,0)+COUNTIF($E64:S64,"u")+COUNTIF($E64:S64,"t")+COUNTIF($E64:S64,"¶")+COUNTIF($E64:S64,"²")+COUNTIF($E64:S64,"µ")+COUNTIF($E64:S64,1),ColTypeEcheance)),
  IF(LEN(S64)=1,
  IF(LEN(INDEX(Roadmap!$D:$K,MATCH($E64,Roadmap!$D:$D,0)-1+COUNTIF($E64:S64,"u")+COUNTIF($E64:S64,"t")+COUNTIF($E64:S64,"¶")+COUNTIF($E64:S64,"²")+COUNTIF($E64:S64,"µ")+COUNTIF($E64:S64,1),ColDescriptionCourte))&gt;1,
HYPERLINK("#Roadmap!C"&amp; MATCH($E64,Roadmap!$D:$D,0)+COUNTIF($E64:S64,"u")+COUNTIF($E64:S64,"t")+COUNTIF($E64:S64,"¶")+COUNTIF($E64:S64,"²")+COUNTIF($E64:S64,"µ")+COUNTIF($E64:S64,1)-1,INDEX(Roadmap!$D:$K,MATCH($E64,Roadmap!$D:$D,0)-1+COUNTIF($E64:S64,"u")+COUNTIF($E64:S64,"t")+COUNTIF($E64:S64,"¶")+COUNTIF($E64:S64,"²")+COUNTIF($E64:S64,"µ")+COUNTIF($E64:S64,1),ColDescriptionCourte)),""),
  "")),"")</f>
        <v/>
      </c>
      <c r="U64" s="40" t="str">
        <f ca="1">IFERROR(IF(AND(
  INDEX(Roadmap!$D:$K,MATCH($E64,Roadmap!$D:$D,0)+COUNTIF($E64:T64,"u")+COUNTIF($E64:T64,"t")+COUNTIF($E64:T64,"¶")+COUNTIF($E64:T64,"²")+COUNTIF($E64:T64,"µ")+COUNTIF($E64:T64,1),ColLivraison)=U$6,
  VLOOKUP($E64,INDIRECT("tri!"&amp; CHAR(64+ C0Col) &amp;":"&amp; CHAR(65+C0Col)),2,FALSE)&gt;COUNTIF($E64:T64,"u")+COUNTIF($E64:T64,"t")+COUNTIF($E64:T64,"¶")+COUNTIF($E64:T64,"²")+COUNTIF($E64:T64,"µ")+COUNTIF($E64:T64,1)),
HYPERLINK("#Roadmap!C"&amp; MATCH($E64,Roadmap!$D:$D,0)+COUNTIF($E64:T64,"u")+COUNTIF($E64:T64,"t"),
     INDEX(Roadmap!$D:$K,MATCH($E64,Roadmap!$D:$D,0)+COUNTIF($E64:T64,"u")+COUNTIF($E64:T64,"t")+COUNTIF($E64:T64,"¶")+COUNTIF($E64:T64,"²")+COUNTIF($E64:T64,"µ")+COUNTIF($E64:T64,1),ColTypeEcheance)),
  IF(LEN(T64)=1,
  IF(LEN(INDEX(Roadmap!$D:$K,MATCH($E64,Roadmap!$D:$D,0)-1+COUNTIF($E64:T64,"u")+COUNTIF($E64:T64,"t")+COUNTIF($E64:T64,"¶")+COUNTIF($E64:T64,"²")+COUNTIF($E64:T64,"µ")+COUNTIF($E64:T64,1),ColDescriptionCourte))&gt;1,
HYPERLINK("#Roadmap!C"&amp; MATCH($E64,Roadmap!$D:$D,0)+COUNTIF($E64:T64,"u")+COUNTIF($E64:T64,"t")+COUNTIF($E64:T64,"¶")+COUNTIF($E64:T64,"²")+COUNTIF($E64:T64,"µ")+COUNTIF($E64:T64,1)-1,INDEX(Roadmap!$D:$K,MATCH($E64,Roadmap!$D:$D,0)-1+COUNTIF($E64:T64,"u")+COUNTIF($E64:T64,"t")+COUNTIF($E64:T64,"¶")+COUNTIF($E64:T64,"²")+COUNTIF($E64:T64,"µ")+COUNTIF($E64:T64,1),ColDescriptionCourte)),""),
  "")),"")</f>
        <v/>
      </c>
      <c r="V64" s="40" t="str">
        <f ca="1">IFERROR(IF(AND(
  INDEX(Roadmap!$D:$K,MATCH($E64,Roadmap!$D:$D,0)+COUNTIF($E64:U64,"u")+COUNTIF($E64:U64,"t")+COUNTIF($E64:U64,"¶")+COUNTIF($E64:U64,"²")+COUNTIF($E64:U64,"µ")+COUNTIF($E64:U64,1),ColLivraison)=V$6,
  VLOOKUP($E64,INDIRECT("tri!"&amp; CHAR(64+ C0Col) &amp;":"&amp; CHAR(65+C0Col)),2,FALSE)&gt;COUNTIF($E64:U64,"u")+COUNTIF($E64:U64,"t")+COUNTIF($E64:U64,"¶")+COUNTIF($E64:U64,"²")+COUNTIF($E64:U64,"µ")+COUNTIF($E64:U64,1)),
HYPERLINK("#Roadmap!C"&amp; MATCH($E64,Roadmap!$D:$D,0)+COUNTIF($E64:U64,"u")+COUNTIF($E64:U64,"t"),
     INDEX(Roadmap!$D:$K,MATCH($E64,Roadmap!$D:$D,0)+COUNTIF($E64:U64,"u")+COUNTIF($E64:U64,"t")+COUNTIF($E64:U64,"¶")+COUNTIF($E64:U64,"²")+COUNTIF($E64:U64,"µ")+COUNTIF($E64:U64,1),ColTypeEcheance)),
  IF(LEN(U64)=1,
  IF(LEN(INDEX(Roadmap!$D:$K,MATCH($E64,Roadmap!$D:$D,0)-1+COUNTIF($E64:U64,"u")+COUNTIF($E64:U64,"t")+COUNTIF($E64:U64,"¶")+COUNTIF($E64:U64,"²")+COUNTIF($E64:U64,"µ")+COUNTIF($E64:U64,1),ColDescriptionCourte))&gt;1,
HYPERLINK("#Roadmap!C"&amp; MATCH($E64,Roadmap!$D:$D,0)+COUNTIF($E64:U64,"u")+COUNTIF($E64:U64,"t")+COUNTIF($E64:U64,"¶")+COUNTIF($E64:U64,"²")+COUNTIF($E64:U64,"µ")+COUNTIF($E64:U64,1)-1,INDEX(Roadmap!$D:$K,MATCH($E64,Roadmap!$D:$D,0)-1+COUNTIF($E64:U64,"u")+COUNTIF($E64:U64,"t")+COUNTIF($E64:U64,"¶")+COUNTIF($E64:U64,"²")+COUNTIF($E64:U64,"µ")+COUNTIF($E64:U64,1),ColDescriptionCourte)),""),
  "")),"")</f>
        <v/>
      </c>
      <c r="W64" s="40" t="str">
        <f ca="1">IFERROR(IF(AND(
  INDEX(Roadmap!$D:$K,MATCH($E64,Roadmap!$D:$D,0)+COUNTIF($E64:V64,"u")+COUNTIF($E64:V64,"t")+COUNTIF($E64:V64,"¶")+COUNTIF($E64:V64,"²")+COUNTIF($E64:V64,"µ")+COUNTIF($E64:V64,1),ColLivraison)=W$6,
  VLOOKUP($E64,INDIRECT("tri!"&amp; CHAR(64+ C0Col) &amp;":"&amp; CHAR(65+C0Col)),2,FALSE)&gt;COUNTIF($E64:V64,"u")+COUNTIF($E64:V64,"t")+COUNTIF($E64:V64,"¶")+COUNTIF($E64:V64,"²")+COUNTIF($E64:V64,"µ")+COUNTIF($E64:V64,1)),
HYPERLINK("#Roadmap!C"&amp; MATCH($E64,Roadmap!$D:$D,0)+COUNTIF($E64:V64,"u")+COUNTIF($E64:V64,"t"),
     INDEX(Roadmap!$D:$K,MATCH($E64,Roadmap!$D:$D,0)+COUNTIF($E64:V64,"u")+COUNTIF($E64:V64,"t")+COUNTIF($E64:V64,"¶")+COUNTIF($E64:V64,"²")+COUNTIF($E64:V64,"µ")+COUNTIF($E64:V64,1),ColTypeEcheance)),
  IF(LEN(V64)=1,
  IF(LEN(INDEX(Roadmap!$D:$K,MATCH($E64,Roadmap!$D:$D,0)-1+COUNTIF($E64:V64,"u")+COUNTIF($E64:V64,"t")+COUNTIF($E64:V64,"¶")+COUNTIF($E64:V64,"²")+COUNTIF($E64:V64,"µ")+COUNTIF($E64:V64,1),ColDescriptionCourte))&gt;1,
HYPERLINK("#Roadmap!C"&amp; MATCH($E64,Roadmap!$D:$D,0)+COUNTIF($E64:V64,"u")+COUNTIF($E64:V64,"t")+COUNTIF($E64:V64,"¶")+COUNTIF($E64:V64,"²")+COUNTIF($E64:V64,"µ")+COUNTIF($E64:V64,1)-1,INDEX(Roadmap!$D:$K,MATCH($E64,Roadmap!$D:$D,0)-1+COUNTIF($E64:V64,"u")+COUNTIF($E64:V64,"t")+COUNTIF($E64:V64,"¶")+COUNTIF($E64:V64,"²")+COUNTIF($E64:V64,"µ")+COUNTIF($E64:V64,1),ColDescriptionCourte)),""),
  "")),"")</f>
        <v/>
      </c>
      <c r="X64" s="40" t="str">
        <f ca="1">IFERROR(IF(AND(
  INDEX(Roadmap!$D:$K,MATCH($E64,Roadmap!$D:$D,0)+COUNTIF($E64:W64,"u")+COUNTIF($E64:W64,"t")+COUNTIF($E64:W64,"¶")+COUNTIF($E64:W64,"²")+COUNTIF($E64:W64,"µ")+COUNTIF($E64:W64,1),ColLivraison)=X$6,
  VLOOKUP($E64,INDIRECT("tri!"&amp; CHAR(64+ C0Col) &amp;":"&amp; CHAR(65+C0Col)),2,FALSE)&gt;COUNTIF($E64:W64,"u")+COUNTIF($E64:W64,"t")+COUNTIF($E64:W64,"¶")+COUNTIF($E64:W64,"²")+COUNTIF($E64:W64,"µ")+COUNTIF($E64:W64,1)),
HYPERLINK("#Roadmap!C"&amp; MATCH($E64,Roadmap!$D:$D,0)+COUNTIF($E64:W64,"u")+COUNTIF($E64:W64,"t"),
     INDEX(Roadmap!$D:$K,MATCH($E64,Roadmap!$D:$D,0)+COUNTIF($E64:W64,"u")+COUNTIF($E64:W64,"t")+COUNTIF($E64:W64,"¶")+COUNTIF($E64:W64,"²")+COUNTIF($E64:W64,"µ")+COUNTIF($E64:W64,1),ColTypeEcheance)),
  IF(LEN(W64)=1,
  IF(LEN(INDEX(Roadmap!$D:$K,MATCH($E64,Roadmap!$D:$D,0)-1+COUNTIF($E64:W64,"u")+COUNTIF($E64:W64,"t")+COUNTIF($E64:W64,"¶")+COUNTIF($E64:W64,"²")+COUNTIF($E64:W64,"µ")+COUNTIF($E64:W64,1),ColDescriptionCourte))&gt;1,
HYPERLINK("#Roadmap!C"&amp; MATCH($E64,Roadmap!$D:$D,0)+COUNTIF($E64:W64,"u")+COUNTIF($E64:W64,"t")+COUNTIF($E64:W64,"¶")+COUNTIF($E64:W64,"²")+COUNTIF($E64:W64,"µ")+COUNTIF($E64:W64,1)-1,INDEX(Roadmap!$D:$K,MATCH($E64,Roadmap!$D:$D,0)-1+COUNTIF($E64:W64,"u")+COUNTIF($E64:W64,"t")+COUNTIF($E64:W64,"¶")+COUNTIF($E64:W64,"²")+COUNTIF($E64:W64,"µ")+COUNTIF($E64:W64,1),ColDescriptionCourte)),""),
  "")),"")</f>
        <v/>
      </c>
      <c r="Y64" s="40" t="str">
        <f ca="1">IFERROR(IF(AND(
  INDEX(Roadmap!$D:$K,MATCH($E64,Roadmap!$D:$D,0)+COUNTIF($E64:X64,"u")+COUNTIF($E64:X64,"t")+COUNTIF($E64:X64,"¶")+COUNTIF($E64:X64,"²")+COUNTIF($E64:X64,"µ")+COUNTIF($E64:X64,1),ColLivraison)=Y$6,
  VLOOKUP($E64,INDIRECT("tri!"&amp; CHAR(64+ C0Col) &amp;":"&amp; CHAR(65+C0Col)),2,FALSE)&gt;COUNTIF($E64:X64,"u")+COUNTIF($E64:X64,"t")+COUNTIF($E64:X64,"¶")+COUNTIF($E64:X64,"²")+COUNTIF($E64:X64,"µ")+COUNTIF($E64:X64,1)),
HYPERLINK("#Roadmap!C"&amp; MATCH($E64,Roadmap!$D:$D,0)+COUNTIF($E64:X64,"u")+COUNTIF($E64:X64,"t"),
     INDEX(Roadmap!$D:$K,MATCH($E64,Roadmap!$D:$D,0)+COUNTIF($E64:X64,"u")+COUNTIF($E64:X64,"t")+COUNTIF($E64:X64,"¶")+COUNTIF($E64:X64,"²")+COUNTIF($E64:X64,"µ")+COUNTIF($E64:X64,1),ColTypeEcheance)),
  IF(LEN(X64)=1,
  IF(LEN(INDEX(Roadmap!$D:$K,MATCH($E64,Roadmap!$D:$D,0)-1+COUNTIF($E64:X64,"u")+COUNTIF($E64:X64,"t")+COUNTIF($E64:X64,"¶")+COUNTIF($E64:X64,"²")+COUNTIF($E64:X64,"µ")+COUNTIF($E64:X64,1),ColDescriptionCourte))&gt;1,
HYPERLINK("#Roadmap!C"&amp; MATCH($E64,Roadmap!$D:$D,0)+COUNTIF($E64:X64,"u")+COUNTIF($E64:X64,"t")+COUNTIF($E64:X64,"¶")+COUNTIF($E64:X64,"²")+COUNTIF($E64:X64,"µ")+COUNTIF($E64:X64,1)-1,INDEX(Roadmap!$D:$K,MATCH($E64,Roadmap!$D:$D,0)-1+COUNTIF($E64:X64,"u")+COUNTIF($E64:X64,"t")+COUNTIF($E64:X64,"¶")+COUNTIF($E64:X64,"²")+COUNTIF($E64:X64,"µ")+COUNTIF($E64:X64,1),ColDescriptionCourte)),""),
  "")),"")</f>
        <v/>
      </c>
      <c r="Z64" s="40" t="str">
        <f ca="1">IFERROR(IF(AND(
  INDEX(Roadmap!$D:$K,MATCH($E64,Roadmap!$D:$D,0)+COUNTIF($E64:Y64,"u")+COUNTIF($E64:Y64,"t")+COUNTIF($E64:Y64,"¶")+COUNTIF($E64:Y64,"²")+COUNTIF($E64:Y64,"µ")+COUNTIF($E64:Y64,1),ColLivraison)=Z$6,
  VLOOKUP($E64,INDIRECT("tri!"&amp; CHAR(64+ C0Col) &amp;":"&amp; CHAR(65+C0Col)),2,FALSE)&gt;COUNTIF($E64:Y64,"u")+COUNTIF($E64:Y64,"t")+COUNTIF($E64:Y64,"¶")+COUNTIF($E64:Y64,"²")+COUNTIF($E64:Y64,"µ")+COUNTIF($E64:Y64,1)),
HYPERLINK("#Roadmap!C"&amp; MATCH($E64,Roadmap!$D:$D,0)+COUNTIF($E64:Y64,"u")+COUNTIF($E64:Y64,"t"),
     INDEX(Roadmap!$D:$K,MATCH($E64,Roadmap!$D:$D,0)+COUNTIF($E64:Y64,"u")+COUNTIF($E64:Y64,"t")+COUNTIF($E64:Y64,"¶")+COUNTIF($E64:Y64,"²")+COUNTIF($E64:Y64,"µ")+COUNTIF($E64:Y64,1),ColTypeEcheance)),
  IF(LEN(Y64)=1,
  IF(LEN(INDEX(Roadmap!$D:$K,MATCH($E64,Roadmap!$D:$D,0)-1+COUNTIF($E64:Y64,"u")+COUNTIF($E64:Y64,"t")+COUNTIF($E64:Y64,"¶")+COUNTIF($E64:Y64,"²")+COUNTIF($E64:Y64,"µ")+COUNTIF($E64:Y64,1),ColDescriptionCourte))&gt;1,
HYPERLINK("#Roadmap!C"&amp; MATCH($E64,Roadmap!$D:$D,0)+COUNTIF($E64:Y64,"u")+COUNTIF($E64:Y64,"t")+COUNTIF($E64:Y64,"¶")+COUNTIF($E64:Y64,"²")+COUNTIF($E64:Y64,"µ")+COUNTIF($E64:Y64,1)-1,INDEX(Roadmap!$D:$K,MATCH($E64,Roadmap!$D:$D,0)-1+COUNTIF($E64:Y64,"u")+COUNTIF($E64:Y64,"t")+COUNTIF($E64:Y64,"¶")+COUNTIF($E64:Y64,"²")+COUNTIF($E64:Y64,"µ")+COUNTIF($E64:Y64,1),ColDescriptionCourte)),""),
  "")),"")</f>
        <v/>
      </c>
      <c r="AA64" s="40" t="str">
        <f ca="1">IFERROR(IF(AND(
  INDEX(Roadmap!$D:$K,MATCH($E64,Roadmap!$D:$D,0)+COUNTIF($E64:Z64,"u")+COUNTIF($E64:Z64,"t")+COUNTIF($E64:Z64,"¶")+COUNTIF($E64:Z64,"²")+COUNTIF($E64:Z64,"µ")+COUNTIF($E64:Z64,1),ColLivraison)=AA$6,
  VLOOKUP($E64,INDIRECT("tri!"&amp; CHAR(64+ C0Col) &amp;":"&amp; CHAR(65+C0Col)),2,FALSE)&gt;COUNTIF($E64:Z64,"u")+COUNTIF($E64:Z64,"t")+COUNTIF($E64:Z64,"¶")+COUNTIF($E64:Z64,"²")+COUNTIF($E64:Z64,"µ")+COUNTIF($E64:Z64,1)),
HYPERLINK("#Roadmap!C"&amp; MATCH($E64,Roadmap!$D:$D,0)+COUNTIF($E64:Z64,"u")+COUNTIF($E64:Z64,"t"),
     INDEX(Roadmap!$D:$K,MATCH($E64,Roadmap!$D:$D,0)+COUNTIF($E64:Z64,"u")+COUNTIF($E64:Z64,"t")+COUNTIF($E64:Z64,"¶")+COUNTIF($E64:Z64,"²")+COUNTIF($E64:Z64,"µ")+COUNTIF($E64:Z64,1),ColTypeEcheance)),
  IF(LEN(Z64)=1,
  IF(LEN(INDEX(Roadmap!$D:$K,MATCH($E64,Roadmap!$D:$D,0)-1+COUNTIF($E64:Z64,"u")+COUNTIF($E64:Z64,"t")+COUNTIF($E64:Z64,"¶")+COUNTIF($E64:Z64,"²")+COUNTIF($E64:Z64,"µ")+COUNTIF($E64:Z64,1),ColDescriptionCourte))&gt;1,
HYPERLINK("#Roadmap!C"&amp; MATCH($E64,Roadmap!$D:$D,0)+COUNTIF($E64:Z64,"u")+COUNTIF($E64:Z64,"t")+COUNTIF($E64:Z64,"¶")+COUNTIF($E64:Z64,"²")+COUNTIF($E64:Z64,"µ")+COUNTIF($E64:Z64,1)-1,INDEX(Roadmap!$D:$K,MATCH($E64,Roadmap!$D:$D,0)-1+COUNTIF($E64:Z64,"u")+COUNTIF($E64:Z64,"t")+COUNTIF($E64:Z64,"¶")+COUNTIF($E64:Z64,"²")+COUNTIF($E64:Z64,"µ")+COUNTIF($E64:Z64,1),ColDescriptionCourte)),""),
  "")),"")</f>
        <v/>
      </c>
      <c r="AB64" s="40" t="str">
        <f ca="1">IFERROR(IF(AND(
  INDEX(Roadmap!$D:$K,MATCH($E64,Roadmap!$D:$D,0)+COUNTIF($E64:AA64,"u")+COUNTIF($E64:AA64,"t")+COUNTIF($E64:AA64,"¶")+COUNTIF($E64:AA64,"²")+COUNTIF($E64:AA64,"µ")+COUNTIF($E64:AA64,1),ColLivraison)=AB$6,
  VLOOKUP($E64,INDIRECT("tri!"&amp; CHAR(64+ C0Col) &amp;":"&amp; CHAR(65+C0Col)),2,FALSE)&gt;COUNTIF($E64:AA64,"u")+COUNTIF($E64:AA64,"t")+COUNTIF($E64:AA64,"¶")+COUNTIF($E64:AA64,"²")+COUNTIF($E64:AA64,"µ")+COUNTIF($E64:AA64,1)),
HYPERLINK("#Roadmap!C"&amp; MATCH($E64,Roadmap!$D:$D,0)+COUNTIF($E64:AA64,"u")+COUNTIF($E64:AA64,"t"),
     INDEX(Roadmap!$D:$K,MATCH($E64,Roadmap!$D:$D,0)+COUNTIF($E64:AA64,"u")+COUNTIF($E64:AA64,"t")+COUNTIF($E64:AA64,"¶")+COUNTIF($E64:AA64,"²")+COUNTIF($E64:AA64,"µ")+COUNTIF($E64:AA64,1),ColTypeEcheance)),
  IF(LEN(AA64)=1,
  IF(LEN(INDEX(Roadmap!$D:$K,MATCH($E64,Roadmap!$D:$D,0)-1+COUNTIF($E64:AA64,"u")+COUNTIF($E64:AA64,"t")+COUNTIF($E64:AA64,"¶")+COUNTIF($E64:AA64,"²")+COUNTIF($E64:AA64,"µ")+COUNTIF($E64:AA64,1),ColDescriptionCourte))&gt;1,
HYPERLINK("#Roadmap!C"&amp; MATCH($E64,Roadmap!$D:$D,0)+COUNTIF($E64:AA64,"u")+COUNTIF($E64:AA64,"t")+COUNTIF($E64:AA64,"¶")+COUNTIF($E64:AA64,"²")+COUNTIF($E64:AA64,"µ")+COUNTIF($E64:AA64,1)-1,INDEX(Roadmap!$D:$K,MATCH($E64,Roadmap!$D:$D,0)-1+COUNTIF($E64:AA64,"u")+COUNTIF($E64:AA64,"t")+COUNTIF($E64:AA64,"¶")+COUNTIF($E64:AA64,"²")+COUNTIF($E64:AA64,"µ")+COUNTIF($E64:AA64,1),ColDescriptionCourte)),""),
  "")),"")</f>
        <v/>
      </c>
      <c r="AC64" s="40" t="str">
        <f ca="1">IFERROR(IF(AND(
  INDEX(Roadmap!$D:$K,MATCH($E64,Roadmap!$D:$D,0)+COUNTIF($E64:AB64,"u")+COUNTIF($E64:AB64,"t")+COUNTIF($E64:AB64,"¶")+COUNTIF($E64:AB64,"²")+COUNTIF($E64:AB64,"µ")+COUNTIF($E64:AB64,1),ColLivraison)=AC$6,
  VLOOKUP($E64,INDIRECT("tri!"&amp; CHAR(64+ C0Col) &amp;":"&amp; CHAR(65+C0Col)),2,FALSE)&gt;COUNTIF($E64:AB64,"u")+COUNTIF($E64:AB64,"t")+COUNTIF($E64:AB64,"¶")+COUNTIF($E64:AB64,"²")+COUNTIF($E64:AB64,"µ")+COUNTIF($E64:AB64,1)),
HYPERLINK("#Roadmap!C"&amp; MATCH($E64,Roadmap!$D:$D,0)+COUNTIF($E64:AB64,"u")+COUNTIF($E64:AB64,"t"),
     INDEX(Roadmap!$D:$K,MATCH($E64,Roadmap!$D:$D,0)+COUNTIF($E64:AB64,"u")+COUNTIF($E64:AB64,"t")+COUNTIF($E64:AB64,"¶")+COUNTIF($E64:AB64,"²")+COUNTIF($E64:AB64,"µ")+COUNTIF($E64:AB64,1),ColTypeEcheance)),
  IF(LEN(AB64)=1,
  IF(LEN(INDEX(Roadmap!$D:$K,MATCH($E64,Roadmap!$D:$D,0)-1+COUNTIF($E64:AB64,"u")+COUNTIF($E64:AB64,"t")+COUNTIF($E64:AB64,"¶")+COUNTIF($E64:AB64,"²")+COUNTIF($E64:AB64,"µ")+COUNTIF($E64:AB64,1),ColDescriptionCourte))&gt;1,
HYPERLINK("#Roadmap!C"&amp; MATCH($E64,Roadmap!$D:$D,0)+COUNTIF($E64:AB64,"u")+COUNTIF($E64:AB64,"t")+COUNTIF($E64:AB64,"¶")+COUNTIF($E64:AB64,"²")+COUNTIF($E64:AB64,"µ")+COUNTIF($E64:AB64,1)-1,INDEX(Roadmap!$D:$K,MATCH($E64,Roadmap!$D:$D,0)-1+COUNTIF($E64:AB64,"u")+COUNTIF($E64:AB64,"t")+COUNTIF($E64:AB64,"¶")+COUNTIF($E64:AB64,"²")+COUNTIF($E64:AB64,"µ")+COUNTIF($E64:AB64,1),ColDescriptionCourte)),""),
  "")),"")</f>
        <v/>
      </c>
      <c r="AD64" s="40" t="str">
        <f ca="1">IFERROR(IF(AND(
  INDEX(Roadmap!$D:$K,MATCH($E64,Roadmap!$D:$D,0)+COUNTIF($E64:AC64,"u")+COUNTIF($E64:AC64,"t")+COUNTIF($E64:AC64,"¶")+COUNTIF($E64:AC64,"²")+COUNTIF($E64:AC64,"µ")+COUNTIF($E64:AC64,1),ColLivraison)=AD$6,
  VLOOKUP($E64,INDIRECT("tri!"&amp; CHAR(64+ C0Col) &amp;":"&amp; CHAR(65+C0Col)),2,FALSE)&gt;COUNTIF($E64:AC64,"u")+COUNTIF($E64:AC64,"t")+COUNTIF($E64:AC64,"¶")+COUNTIF($E64:AC64,"²")+COUNTIF($E64:AC64,"µ")+COUNTIF($E64:AC64,1)),
HYPERLINK("#Roadmap!C"&amp; MATCH($E64,Roadmap!$D:$D,0)+COUNTIF($E64:AC64,"u")+COUNTIF($E64:AC64,"t"),
     INDEX(Roadmap!$D:$K,MATCH($E64,Roadmap!$D:$D,0)+COUNTIF($E64:AC64,"u")+COUNTIF($E64:AC64,"t")+COUNTIF($E64:AC64,"¶")+COUNTIF($E64:AC64,"²")+COUNTIF($E64:AC64,"µ")+COUNTIF($E64:AC64,1),ColTypeEcheance)),
  IF(LEN(AC64)=1,
  IF(LEN(INDEX(Roadmap!$D:$K,MATCH($E64,Roadmap!$D:$D,0)-1+COUNTIF($E64:AC64,"u")+COUNTIF($E64:AC64,"t")+COUNTIF($E64:AC64,"¶")+COUNTIF($E64:AC64,"²")+COUNTIF($E64:AC64,"µ")+COUNTIF($E64:AC64,1),ColDescriptionCourte))&gt;1,
HYPERLINK("#Roadmap!C"&amp; MATCH($E64,Roadmap!$D:$D,0)+COUNTIF($E64:AC64,"u")+COUNTIF($E64:AC64,"t")+COUNTIF($E64:AC64,"¶")+COUNTIF($E64:AC64,"²")+COUNTIF($E64:AC64,"µ")+COUNTIF($E64:AC64,1)-1,INDEX(Roadmap!$D:$K,MATCH($E64,Roadmap!$D:$D,0)-1+COUNTIF($E64:AC64,"u")+COUNTIF($E64:AC64,"t")+COUNTIF($E64:AC64,"¶")+COUNTIF($E64:AC64,"²")+COUNTIF($E64:AC64,"µ")+COUNTIF($E64:AC64,1),ColDescriptionCourte)),""),
  "")),"")</f>
        <v/>
      </c>
      <c r="AE64" s="40" t="str">
        <f ca="1">IFERROR(IF(AND(
  INDEX(Roadmap!$D:$K,MATCH($E64,Roadmap!$D:$D,0)+COUNTIF($E64:AD64,"u")+COUNTIF($E64:AD64,"t")+COUNTIF($E64:AD64,"¶")+COUNTIF($E64:AD64,"²")+COUNTIF($E64:AD64,"µ")+COUNTIF($E64:AD64,1),ColLivraison)=AE$6,
  VLOOKUP($E64,INDIRECT("tri!"&amp; CHAR(64+ C0Col) &amp;":"&amp; CHAR(65+C0Col)),2,FALSE)&gt;COUNTIF($E64:AD64,"u")+COUNTIF($E64:AD64,"t")+COUNTIF($E64:AD64,"¶")+COUNTIF($E64:AD64,"²")+COUNTIF($E64:AD64,"µ")+COUNTIF($E64:AD64,1)),
HYPERLINK("#Roadmap!C"&amp; MATCH($E64,Roadmap!$D:$D,0)+COUNTIF($E64:AD64,"u")+COUNTIF($E64:AD64,"t"),
     INDEX(Roadmap!$D:$K,MATCH($E64,Roadmap!$D:$D,0)+COUNTIF($E64:AD64,"u")+COUNTIF($E64:AD64,"t")+COUNTIF($E64:AD64,"¶")+COUNTIF($E64:AD64,"²")+COUNTIF($E64:AD64,"µ")+COUNTIF($E64:AD64,1),ColTypeEcheance)),
  IF(LEN(AD64)=1,
  IF(LEN(INDEX(Roadmap!$D:$K,MATCH($E64,Roadmap!$D:$D,0)-1+COUNTIF($E64:AD64,"u")+COUNTIF($E64:AD64,"t")+COUNTIF($E64:AD64,"¶")+COUNTIF($E64:AD64,"²")+COUNTIF($E64:AD64,"µ")+COUNTIF($E64:AD64,1),ColDescriptionCourte))&gt;1,
HYPERLINK("#Roadmap!C"&amp; MATCH($E64,Roadmap!$D:$D,0)+COUNTIF($E64:AD64,"u")+COUNTIF($E64:AD64,"t")+COUNTIF($E64:AD64,"¶")+COUNTIF($E64:AD64,"²")+COUNTIF($E64:AD64,"µ")+COUNTIF($E64:AD64,1)-1,INDEX(Roadmap!$D:$K,MATCH($E64,Roadmap!$D:$D,0)-1+COUNTIF($E64:AD64,"u")+COUNTIF($E64:AD64,"t")+COUNTIF($E64:AD64,"¶")+COUNTIF($E64:AD64,"²")+COUNTIF($E64:AD64,"µ")+COUNTIF($E64:AD64,1),ColDescriptionCourte)),""),
  "")),"")</f>
        <v/>
      </c>
      <c r="AF64" s="40" t="str">
        <f ca="1">IFERROR(IF(AND(
  INDEX(Roadmap!$D:$K,MATCH($E64,Roadmap!$D:$D,0)+COUNTIF($E64:AE64,"u")+COUNTIF($E64:AE64,"t")+COUNTIF($E64:AE64,"¶")+COUNTIF($E64:AE64,"²")+COUNTIF($E64:AE64,"µ")+COUNTIF($E64:AE64,1),ColLivraison)=AF$6,
  VLOOKUP($E64,INDIRECT("tri!"&amp; CHAR(64+ C0Col) &amp;":"&amp; CHAR(65+C0Col)),2,FALSE)&gt;COUNTIF($E64:AE64,"u")+COUNTIF($E64:AE64,"t")+COUNTIF($E64:AE64,"¶")+COUNTIF($E64:AE64,"²")+COUNTIF($E64:AE64,"µ")+COUNTIF($E64:AE64,1)),
HYPERLINK("#Roadmap!C"&amp; MATCH($E64,Roadmap!$D:$D,0)+COUNTIF($E64:AE64,"u")+COUNTIF($E64:AE64,"t"),
     INDEX(Roadmap!$D:$K,MATCH($E64,Roadmap!$D:$D,0)+COUNTIF($E64:AE64,"u")+COUNTIF($E64:AE64,"t")+COUNTIF($E64:AE64,"¶")+COUNTIF($E64:AE64,"²")+COUNTIF($E64:AE64,"µ")+COUNTIF($E64:AE64,1),ColTypeEcheance)),
  IF(LEN(AE64)=1,
  IF(LEN(INDEX(Roadmap!$D:$K,MATCH($E64,Roadmap!$D:$D,0)-1+COUNTIF($E64:AE64,"u")+COUNTIF($E64:AE64,"t")+COUNTIF($E64:AE64,"¶")+COUNTIF($E64:AE64,"²")+COUNTIF($E64:AE64,"µ")+COUNTIF($E64:AE64,1),ColDescriptionCourte))&gt;1,
HYPERLINK("#Roadmap!C"&amp; MATCH($E64,Roadmap!$D:$D,0)+COUNTIF($E64:AE64,"u")+COUNTIF($E64:AE64,"t")+COUNTIF($E64:AE64,"¶")+COUNTIF($E64:AE64,"²")+COUNTIF($E64:AE64,"µ")+COUNTIF($E64:AE64,1)-1,INDEX(Roadmap!$D:$K,MATCH($E64,Roadmap!$D:$D,0)-1+COUNTIF($E64:AE64,"u")+COUNTIF($E64:AE64,"t")+COUNTIF($E64:AE64,"¶")+COUNTIF($E64:AE64,"²")+COUNTIF($E64:AE64,"µ")+COUNTIF($E64:AE64,1),ColDescriptionCourte)),""),
  "")),"")</f>
        <v/>
      </c>
      <c r="AG64" s="40" t="str">
        <f ca="1">IFERROR(IF(AND(
  INDEX(Roadmap!$D:$K,MATCH($E64,Roadmap!$D:$D,0)+COUNTIF($E64:AF64,"u")+COUNTIF($E64:AF64,"t")+COUNTIF($E64:AF64,"¶")+COUNTIF($E64:AF64,"²")+COUNTIF($E64:AF64,"µ")+COUNTIF($E64:AF64,1),ColLivraison)=AG$6,
  VLOOKUP($E64,INDIRECT("tri!"&amp; CHAR(64+ C0Col) &amp;":"&amp; CHAR(65+C0Col)),2,FALSE)&gt;COUNTIF($E64:AF64,"u")+COUNTIF($E64:AF64,"t")+COUNTIF($E64:AF64,"¶")+COUNTIF($E64:AF64,"²")+COUNTIF($E64:AF64,"µ")+COUNTIF($E64:AF64,1)),
HYPERLINK("#Roadmap!C"&amp; MATCH($E64,Roadmap!$D:$D,0)+COUNTIF($E64:AF64,"u")+COUNTIF($E64:AF64,"t"),
     INDEX(Roadmap!$D:$K,MATCH($E64,Roadmap!$D:$D,0)+COUNTIF($E64:AF64,"u")+COUNTIF($E64:AF64,"t")+COUNTIF($E64:AF64,"¶")+COUNTIF($E64:AF64,"²")+COUNTIF($E64:AF64,"µ")+COUNTIF($E64:AF64,1),ColTypeEcheance)),
  IF(LEN(AF64)=1,
  IF(LEN(INDEX(Roadmap!$D:$K,MATCH($E64,Roadmap!$D:$D,0)-1+COUNTIF($E64:AF64,"u")+COUNTIF($E64:AF64,"t")+COUNTIF($E64:AF64,"¶")+COUNTIF($E64:AF64,"²")+COUNTIF($E64:AF64,"µ")+COUNTIF($E64:AF64,1),ColDescriptionCourte))&gt;1,
HYPERLINK("#Roadmap!C"&amp; MATCH($E64,Roadmap!$D:$D,0)+COUNTIF($E64:AF64,"u")+COUNTIF($E64:AF64,"t")+COUNTIF($E64:AF64,"¶")+COUNTIF($E64:AF64,"²")+COUNTIF($E64:AF64,"µ")+COUNTIF($E64:AF64,1)-1,INDEX(Roadmap!$D:$K,MATCH($E64,Roadmap!$D:$D,0)-1+COUNTIF($E64:AF64,"u")+COUNTIF($E64:AF64,"t")+COUNTIF($E64:AF64,"¶")+COUNTIF($E64:AF64,"²")+COUNTIF($E64:AF64,"µ")+COUNTIF($E64:AF64,1),ColDescriptionCourte)),""),
  "")),"")</f>
        <v/>
      </c>
    </row>
    <row r="65" spans="3:33" ht="14.25" customHeight="1">
      <c r="C65" s="1" t="str">
        <f t="shared" ca="1" si="44"/>
        <v/>
      </c>
      <c r="D65" s="1" t="str">
        <f t="shared" ca="1" si="45"/>
        <v/>
      </c>
      <c r="E65" s="35" t="str">
        <f t="shared" ca="1" si="33"/>
        <v/>
      </c>
      <c r="F65" s="39" t="str">
        <f ca="1">IFERROR(IF(AND(
  INDEX(Roadmap!$D:$K,MATCH($E65,Roadmap!$D:$D,0)+COUNTIF($E65:E65,"u")+COUNTIF($E65:E65,"t")+COUNTIF($E65:E65,"¶")+COUNTIF($E65:E65,"²")+COUNTIF($E65:E65,"µ")+COUNTIF($E65:E65,1),ColLivraison)=F$6,
  VLOOKUP($E65,INDIRECT("tri!"&amp; CHAR(64+ C0Col) &amp;":"&amp; CHAR(65+C0Col)),2,FALSE)&gt;COUNTIF($E65:E65,"u")+COUNTIF($E65:E65,"t")+COUNTIF($E65:E65,"¶")+COUNTIF($E65:E65,"²")+COUNTIF($E65:E65,"µ")+COUNTIF($E65:E65,1)),
HYPERLINK("#Roadmap!C"&amp; MATCH($E65,Roadmap!$D:$D,0)+COUNTIF($E65:E65,"u")+COUNTIF($E65:E65,"t"),
     INDEX(Roadmap!$D:$K,MATCH($E65,Roadmap!$D:$D,0)+COUNTIF($E65:E65,"u")+COUNTIF($E65:E65,"t")+COUNTIF($E65:E65,"¶")+COUNTIF($E65:E65,"²")+COUNTIF($E65:E65,"µ")+COUNTIF($E65:E65,1),ColTypeEcheance)),
  IF(LEN(E65)=1,
  IF(LEN(INDEX(Roadmap!$D:$K,MATCH($E65,Roadmap!$D:$D,0)-1+COUNTIF($E65:E65,"u")+COUNTIF($E65:E65,"t")+COUNTIF($E65:E65,"¶")+COUNTIF($E65:E65,"²")+COUNTIF($E65:E65,"µ")+COUNTIF($E65:E65,1),ColDescriptionCourte))&gt;1,
HYPERLINK("#Roadmap!C"&amp; MATCH($E65,Roadmap!$D:$D,0)+COUNTIF($E65:E65,"u")+COUNTIF($E65:E65,"t")+COUNTIF($E65:E65,"¶")+COUNTIF($E65:E65,"²")+COUNTIF($E65:E65,"µ")+COUNTIF($E65:E65,1)-1,INDEX(Roadmap!$D:$K,MATCH($E65,Roadmap!$D:$D,0)-1+COUNTIF($E65:E65,"u")+COUNTIF($E65:E65,"t")+COUNTIF($E65:E65,"¶")+COUNTIF($E65:E65,"²")+COUNTIF($E65:E65,"µ")+COUNTIF($E65:E65,1),ColDescriptionCourte)),""),
  "")),"")</f>
        <v/>
      </c>
      <c r="G65" s="40" t="str">
        <f ca="1">IFERROR(IF(AND(
  INDEX(Roadmap!$D:$K,MATCH($E65,Roadmap!$D:$D,0)+COUNTIF($E65:F65,"u")+COUNTIF($E65:F65,"t")+COUNTIF($E65:F65,"¶")+COUNTIF($E65:F65,"²")+COUNTIF($E65:F65,"µ")+COUNTIF($E65:F65,1),ColLivraison)=G$6,
  VLOOKUP($E65,INDIRECT("tri!"&amp; CHAR(64+ C0Col) &amp;":"&amp; CHAR(65+C0Col)),2,FALSE)&gt;COUNTIF($E65:F65,"u")+COUNTIF($E65:F65,"t")+COUNTIF($E65:F65,"¶")+COUNTIF($E65:F65,"²")+COUNTIF($E65:F65,"µ")+COUNTIF($E65:F65,1)),
HYPERLINK("#Roadmap!C"&amp; MATCH($E65,Roadmap!$D:$D,0)+COUNTIF($E65:F65,"u")+COUNTIF($E65:F65,"t"),
     INDEX(Roadmap!$D:$K,MATCH($E65,Roadmap!$D:$D,0)+COUNTIF($E65:F65,"u")+COUNTIF($E65:F65,"t")+COUNTIF($E65:F65,"¶")+COUNTIF($E65:F65,"²")+COUNTIF($E65:F65,"µ")+COUNTIF($E65:F65,1),ColTypeEcheance)),
  IF(LEN(F65)=1,
  IF(LEN(INDEX(Roadmap!$D:$K,MATCH($E65,Roadmap!$D:$D,0)-1+COUNTIF($E65:F65,"u")+COUNTIF($E65:F65,"t")+COUNTIF($E65:F65,"¶")+COUNTIF($E65:F65,"²")+COUNTIF($E65:F65,"µ")+COUNTIF($E65:F65,1),ColDescriptionCourte))&gt;1,
HYPERLINK("#Roadmap!C"&amp; MATCH($E65,Roadmap!$D:$D,0)+COUNTIF($E65:F65,"u")+COUNTIF($E65:F65,"t")+COUNTIF($E65:F65,"¶")+COUNTIF($E65:F65,"²")+COUNTIF($E65:F65,"µ")+COUNTIF($E65:F65,1)-1,INDEX(Roadmap!$D:$K,MATCH($E65,Roadmap!$D:$D,0)-1+COUNTIF($E65:F65,"u")+COUNTIF($E65:F65,"t")+COUNTIF($E65:F65,"¶")+COUNTIF($E65:F65,"²")+COUNTIF($E65:F65,"µ")+COUNTIF($E65:F65,1),ColDescriptionCourte)),""),
  "")),"")</f>
        <v/>
      </c>
      <c r="H65" s="40" t="str">
        <f ca="1">IFERROR(IF(AND(
  INDEX(Roadmap!$D:$K,MATCH($E65,Roadmap!$D:$D,0)+COUNTIF($E65:G65,"u")+COUNTIF($E65:G65,"t")+COUNTIF($E65:G65,"¶")+COUNTIF($E65:G65,"²")+COUNTIF($E65:G65,"µ")+COUNTIF($E65:G65,1),ColLivraison)=H$6,
  VLOOKUP($E65,INDIRECT("tri!"&amp; CHAR(64+ C0Col) &amp;":"&amp; CHAR(65+C0Col)),2,FALSE)&gt;COUNTIF($E65:G65,"u")+COUNTIF($E65:G65,"t")+COUNTIF($E65:G65,"¶")+COUNTIF($E65:G65,"²")+COUNTIF($E65:G65,"µ")+COUNTIF($E65:G65,1)),
HYPERLINK("#Roadmap!C"&amp; MATCH($E65,Roadmap!$D:$D,0)+COUNTIF($E65:G65,"u")+COUNTIF($E65:G65,"t"),
     INDEX(Roadmap!$D:$K,MATCH($E65,Roadmap!$D:$D,0)+COUNTIF($E65:G65,"u")+COUNTIF($E65:G65,"t")+COUNTIF($E65:G65,"¶")+COUNTIF($E65:G65,"²")+COUNTIF($E65:G65,"µ")+COUNTIF($E65:G65,1),ColTypeEcheance)),
  IF(LEN(G65)=1,
  IF(LEN(INDEX(Roadmap!$D:$K,MATCH($E65,Roadmap!$D:$D,0)-1+COUNTIF($E65:G65,"u")+COUNTIF($E65:G65,"t")+COUNTIF($E65:G65,"¶")+COUNTIF($E65:G65,"²")+COUNTIF($E65:G65,"µ")+COUNTIF($E65:G65,1),ColDescriptionCourte))&gt;1,
HYPERLINK("#Roadmap!C"&amp; MATCH($E65,Roadmap!$D:$D,0)+COUNTIF($E65:G65,"u")+COUNTIF($E65:G65,"t")+COUNTIF($E65:G65,"¶")+COUNTIF($E65:G65,"²")+COUNTIF($E65:G65,"µ")+COUNTIF($E65:G65,1)-1,INDEX(Roadmap!$D:$K,MATCH($E65,Roadmap!$D:$D,0)-1+COUNTIF($E65:G65,"u")+COUNTIF($E65:G65,"t")+COUNTIF($E65:G65,"¶")+COUNTIF($E65:G65,"²")+COUNTIF($E65:G65,"µ")+COUNTIF($E65:G65,1),ColDescriptionCourte)),""),
  "")),"")</f>
        <v/>
      </c>
      <c r="I65" s="40" t="str">
        <f ca="1">IFERROR(IF(AND(
  INDEX(Roadmap!$D:$K,MATCH($E65,Roadmap!$D:$D,0)+COUNTIF($E65:H65,"u")+COUNTIF($E65:H65,"t")+COUNTIF($E65:H65,"¶")+COUNTIF($E65:H65,"²")+COUNTIF($E65:H65,"µ")+COUNTIF($E65:H65,1),ColLivraison)=I$6,
  VLOOKUP($E65,INDIRECT("tri!"&amp; CHAR(64+ C0Col) &amp;":"&amp; CHAR(65+C0Col)),2,FALSE)&gt;COUNTIF($E65:H65,"u")+COUNTIF($E65:H65,"t")+COUNTIF($E65:H65,"¶")+COUNTIF($E65:H65,"²")+COUNTIF($E65:H65,"µ")+COUNTIF($E65:H65,1)),
HYPERLINK("#Roadmap!C"&amp; MATCH($E65,Roadmap!$D:$D,0)+COUNTIF($E65:H65,"u")+COUNTIF($E65:H65,"t"),
     INDEX(Roadmap!$D:$K,MATCH($E65,Roadmap!$D:$D,0)+COUNTIF($E65:H65,"u")+COUNTIF($E65:H65,"t")+COUNTIF($E65:H65,"¶")+COUNTIF($E65:H65,"²")+COUNTIF($E65:H65,"µ")+COUNTIF($E65:H65,1),ColTypeEcheance)),
  IF(LEN(H65)=1,
  IF(LEN(INDEX(Roadmap!$D:$K,MATCH($E65,Roadmap!$D:$D,0)-1+COUNTIF($E65:H65,"u")+COUNTIF($E65:H65,"t")+COUNTIF($E65:H65,"¶")+COUNTIF($E65:H65,"²")+COUNTIF($E65:H65,"µ")+COUNTIF($E65:H65,1),ColDescriptionCourte))&gt;1,
HYPERLINK("#Roadmap!C"&amp; MATCH($E65,Roadmap!$D:$D,0)+COUNTIF($E65:H65,"u")+COUNTIF($E65:H65,"t")+COUNTIF($E65:H65,"¶")+COUNTIF($E65:H65,"²")+COUNTIF($E65:H65,"µ")+COUNTIF($E65:H65,1)-1,INDEX(Roadmap!$D:$K,MATCH($E65,Roadmap!$D:$D,0)-1+COUNTIF($E65:H65,"u")+COUNTIF($E65:H65,"t")+COUNTIF($E65:H65,"¶")+COUNTIF($E65:H65,"²")+COUNTIF($E65:H65,"µ")+COUNTIF($E65:H65,1),ColDescriptionCourte)),""),
  "")),"")</f>
        <v/>
      </c>
      <c r="J65" s="40" t="str">
        <f ca="1">IFERROR(IF(AND(
  INDEX(Roadmap!$D:$K,MATCH($E65,Roadmap!$D:$D,0)+COUNTIF($E65:I65,"u")+COUNTIF($E65:I65,"t")+COUNTIF($E65:I65,"¶")+COUNTIF($E65:I65,"²")+COUNTIF($E65:I65,"µ")+COUNTIF($E65:I65,1),ColLivraison)=J$6,
  VLOOKUP($E65,INDIRECT("tri!"&amp; CHAR(64+ C0Col) &amp;":"&amp; CHAR(65+C0Col)),2,FALSE)&gt;COUNTIF($E65:I65,"u")+COUNTIF($E65:I65,"t")+COUNTIF($E65:I65,"¶")+COUNTIF($E65:I65,"²")+COUNTIF($E65:I65,"µ")+COUNTIF($E65:I65,1)),
HYPERLINK("#Roadmap!C"&amp; MATCH($E65,Roadmap!$D:$D,0)+COUNTIF($E65:I65,"u")+COUNTIF($E65:I65,"t"),
     INDEX(Roadmap!$D:$K,MATCH($E65,Roadmap!$D:$D,0)+COUNTIF($E65:I65,"u")+COUNTIF($E65:I65,"t")+COUNTIF($E65:I65,"¶")+COUNTIF($E65:I65,"²")+COUNTIF($E65:I65,"µ")+COUNTIF($E65:I65,1),ColTypeEcheance)),
  IF(LEN(I65)=1,
  IF(LEN(INDEX(Roadmap!$D:$K,MATCH($E65,Roadmap!$D:$D,0)-1+COUNTIF($E65:I65,"u")+COUNTIF($E65:I65,"t")+COUNTIF($E65:I65,"¶")+COUNTIF($E65:I65,"²")+COUNTIF($E65:I65,"µ")+COUNTIF($E65:I65,1),ColDescriptionCourte))&gt;1,
HYPERLINK("#Roadmap!C"&amp; MATCH($E65,Roadmap!$D:$D,0)+COUNTIF($E65:I65,"u")+COUNTIF($E65:I65,"t")+COUNTIF($E65:I65,"¶")+COUNTIF($E65:I65,"²")+COUNTIF($E65:I65,"µ")+COUNTIF($E65:I65,1)-1,INDEX(Roadmap!$D:$K,MATCH($E65,Roadmap!$D:$D,0)-1+COUNTIF($E65:I65,"u")+COUNTIF($E65:I65,"t")+COUNTIF($E65:I65,"¶")+COUNTIF($E65:I65,"²")+COUNTIF($E65:I65,"µ")+COUNTIF($E65:I65,1),ColDescriptionCourte)),""),
  "")),"")</f>
        <v/>
      </c>
      <c r="K65" s="40" t="str">
        <f ca="1">IFERROR(IF(AND(
  INDEX(Roadmap!$D:$K,MATCH($E65,Roadmap!$D:$D,0)+COUNTIF($E65:J65,"u")+COUNTIF($E65:J65,"t")+COUNTIF($E65:J65,"¶")+COUNTIF($E65:J65,"²")+COUNTIF($E65:J65,"µ")+COUNTIF($E65:J65,1),ColLivraison)=K$6,
  VLOOKUP($E65,INDIRECT("tri!"&amp; CHAR(64+ C0Col) &amp;":"&amp; CHAR(65+C0Col)),2,FALSE)&gt;COUNTIF($E65:J65,"u")+COUNTIF($E65:J65,"t")+COUNTIF($E65:J65,"¶")+COUNTIF($E65:J65,"²")+COUNTIF($E65:J65,"µ")+COUNTIF($E65:J65,1)),
HYPERLINK("#Roadmap!C"&amp; MATCH($E65,Roadmap!$D:$D,0)+COUNTIF($E65:J65,"u")+COUNTIF($E65:J65,"t"),
     INDEX(Roadmap!$D:$K,MATCH($E65,Roadmap!$D:$D,0)+COUNTIF($E65:J65,"u")+COUNTIF($E65:J65,"t")+COUNTIF($E65:J65,"¶")+COUNTIF($E65:J65,"²")+COUNTIF($E65:J65,"µ")+COUNTIF($E65:J65,1),ColTypeEcheance)),
  IF(LEN(J65)=1,
  IF(LEN(INDEX(Roadmap!$D:$K,MATCH($E65,Roadmap!$D:$D,0)-1+COUNTIF($E65:J65,"u")+COUNTIF($E65:J65,"t")+COUNTIF($E65:J65,"¶")+COUNTIF($E65:J65,"²")+COUNTIF($E65:J65,"µ")+COUNTIF($E65:J65,1),ColDescriptionCourte))&gt;1,
HYPERLINK("#Roadmap!C"&amp; MATCH($E65,Roadmap!$D:$D,0)+COUNTIF($E65:J65,"u")+COUNTIF($E65:J65,"t")+COUNTIF($E65:J65,"¶")+COUNTIF($E65:J65,"²")+COUNTIF($E65:J65,"µ")+COUNTIF($E65:J65,1)-1,INDEX(Roadmap!$D:$K,MATCH($E65,Roadmap!$D:$D,0)-1+COUNTIF($E65:J65,"u")+COUNTIF($E65:J65,"t")+COUNTIF($E65:J65,"¶")+COUNTIF($E65:J65,"²")+COUNTIF($E65:J65,"µ")+COUNTIF($E65:J65,1),ColDescriptionCourte)),""),
  "")),"")</f>
        <v/>
      </c>
      <c r="L65" s="39" t="str">
        <f ca="1">IFERROR(IF(AND(
  INDEX(Roadmap!$D:$K,MATCH($E65,Roadmap!$D:$D,0)+COUNTIF($E65:K65,"u")+COUNTIF($E65:K65,"t")+COUNTIF($E65:K65,"¶")+COUNTIF($E65:K65,"²")+COUNTIF($E65:K65,"µ")+COUNTIF($E65:K65,1),ColLivraison)=L$6,
  VLOOKUP($E65,INDIRECT("tri!"&amp; CHAR(64+ C0Col) &amp;":"&amp; CHAR(65+C0Col)),2,FALSE)&gt;COUNTIF($E65:K65,"u")+COUNTIF($E65:K65,"t")+COUNTIF($E65:K65,"¶")+COUNTIF($E65:K65,"²")+COUNTIF($E65:K65,"µ")+COUNTIF($E65:K65,1)),
HYPERLINK("#Roadmap!C"&amp; MATCH($E65,Roadmap!$D:$D,0)+COUNTIF($E65:K65,"u")+COUNTIF($E65:K65,"t"),
     INDEX(Roadmap!$D:$K,MATCH($E65,Roadmap!$D:$D,0)+COUNTIF($E65:K65,"u")+COUNTIF($E65:K65,"t")+COUNTIF($E65:K65,"¶")+COUNTIF($E65:K65,"²")+COUNTIF($E65:K65,"µ")+COUNTIF($E65:K65,1),ColTypeEcheance)),
  IF(LEN(K65)=1,
  IF(LEN(INDEX(Roadmap!$D:$K,MATCH($E65,Roadmap!$D:$D,0)-1+COUNTIF($E65:K65,"u")+COUNTIF($E65:K65,"t")+COUNTIF($E65:K65,"¶")+COUNTIF($E65:K65,"²")+COUNTIF($E65:K65,"µ")+COUNTIF($E65:K65,1),ColDescriptionCourte))&gt;1,
HYPERLINK("#Roadmap!C"&amp; MATCH($E65,Roadmap!$D:$D,0)+COUNTIF($E65:K65,"u")+COUNTIF($E65:K65,"t")+COUNTIF($E65:K65,"¶")+COUNTIF($E65:K65,"²")+COUNTIF($E65:K65,"µ")+COUNTIF($E65:K65,1)-1,INDEX(Roadmap!$D:$K,MATCH($E65,Roadmap!$D:$D,0)-1+COUNTIF($E65:K65,"u")+COUNTIF($E65:K65,"t")+COUNTIF($E65:K65,"¶")+COUNTIF($E65:K65,"²")+COUNTIF($E65:K65,"µ")+COUNTIF($E65:K65,1),ColDescriptionCourte)),""),
  "")),"")</f>
        <v/>
      </c>
      <c r="M65" s="40" t="str">
        <f ca="1">IFERROR(IF(AND(
  INDEX(Roadmap!$D:$K,MATCH($E65,Roadmap!$D:$D,0)+COUNTIF($E65:L65,"u")+COUNTIF($E65:L65,"t")+COUNTIF($E65:L65,"¶")+COUNTIF($E65:L65,"²")+COUNTIF($E65:L65,"µ")+COUNTIF($E65:L65,1),ColLivraison)=M$6,
  VLOOKUP($E65,INDIRECT("tri!"&amp; CHAR(64+ C0Col) &amp;":"&amp; CHAR(65+C0Col)),2,FALSE)&gt;COUNTIF($E65:L65,"u")+COUNTIF($E65:L65,"t")+COUNTIF($E65:L65,"¶")+COUNTIF($E65:L65,"²")+COUNTIF($E65:L65,"µ")+COUNTIF($E65:L65,1)),
HYPERLINK("#Roadmap!C"&amp; MATCH($E65,Roadmap!$D:$D,0)+COUNTIF($E65:L65,"u")+COUNTIF($E65:L65,"t"),
     INDEX(Roadmap!$D:$K,MATCH($E65,Roadmap!$D:$D,0)+COUNTIF($E65:L65,"u")+COUNTIF($E65:L65,"t")+COUNTIF($E65:L65,"¶")+COUNTIF($E65:L65,"²")+COUNTIF($E65:L65,"µ")+COUNTIF($E65:L65,1),ColTypeEcheance)),
  IF(LEN(L65)=1,
  IF(LEN(INDEX(Roadmap!$D:$K,MATCH($E65,Roadmap!$D:$D,0)-1+COUNTIF($E65:L65,"u")+COUNTIF($E65:L65,"t")+COUNTIF($E65:L65,"¶")+COUNTIF($E65:L65,"²")+COUNTIF($E65:L65,"µ")+COUNTIF($E65:L65,1),ColDescriptionCourte))&gt;1,
HYPERLINK("#Roadmap!C"&amp; MATCH($E65,Roadmap!$D:$D,0)+COUNTIF($E65:L65,"u")+COUNTIF($E65:L65,"t")+COUNTIF($E65:L65,"¶")+COUNTIF($E65:L65,"²")+COUNTIF($E65:L65,"µ")+COUNTIF($E65:L65,1)-1,INDEX(Roadmap!$D:$K,MATCH($E65,Roadmap!$D:$D,0)-1+COUNTIF($E65:L65,"u")+COUNTIF($E65:L65,"t")+COUNTIF($E65:L65,"¶")+COUNTIF($E65:L65,"²")+COUNTIF($E65:L65,"µ")+COUNTIF($E65:L65,1),ColDescriptionCourte)),""),
  "")),"")</f>
        <v/>
      </c>
      <c r="N65" s="40" t="str">
        <f ca="1">IFERROR(IF(AND(
  INDEX(Roadmap!$D:$K,MATCH($E65,Roadmap!$D:$D,0)+COUNTIF($E65:M65,"u")+COUNTIF($E65:M65,"t")+COUNTIF($E65:M65,"¶")+COUNTIF($E65:M65,"²")+COUNTIF($E65:M65,"µ")+COUNTIF($E65:M65,1),ColLivraison)=N$6,
  VLOOKUP($E65,INDIRECT("tri!"&amp; CHAR(64+ C0Col) &amp;":"&amp; CHAR(65+C0Col)),2,FALSE)&gt;COUNTIF($E65:M65,"u")+COUNTIF($E65:M65,"t")+COUNTIF($E65:M65,"¶")+COUNTIF($E65:M65,"²")+COUNTIF($E65:M65,"µ")+COUNTIF($E65:M65,1)),
HYPERLINK("#Roadmap!C"&amp; MATCH($E65,Roadmap!$D:$D,0)+COUNTIF($E65:M65,"u")+COUNTIF($E65:M65,"t"),
     INDEX(Roadmap!$D:$K,MATCH($E65,Roadmap!$D:$D,0)+COUNTIF($E65:M65,"u")+COUNTIF($E65:M65,"t")+COUNTIF($E65:M65,"¶")+COUNTIF($E65:M65,"²")+COUNTIF($E65:M65,"µ")+COUNTIF($E65:M65,1),ColTypeEcheance)),
  IF(LEN(M65)=1,
  IF(LEN(INDEX(Roadmap!$D:$K,MATCH($E65,Roadmap!$D:$D,0)-1+COUNTIF($E65:M65,"u")+COUNTIF($E65:M65,"t")+COUNTIF($E65:M65,"¶")+COUNTIF($E65:M65,"²")+COUNTIF($E65:M65,"µ")+COUNTIF($E65:M65,1),ColDescriptionCourte))&gt;1,
HYPERLINK("#Roadmap!C"&amp; MATCH($E65,Roadmap!$D:$D,0)+COUNTIF($E65:M65,"u")+COUNTIF($E65:M65,"t")+COUNTIF($E65:M65,"¶")+COUNTIF($E65:M65,"²")+COUNTIF($E65:M65,"µ")+COUNTIF($E65:M65,1)-1,INDEX(Roadmap!$D:$K,MATCH($E65,Roadmap!$D:$D,0)-1+COUNTIF($E65:M65,"u")+COUNTIF($E65:M65,"t")+COUNTIF($E65:M65,"¶")+COUNTIF($E65:M65,"²")+COUNTIF($E65:M65,"µ")+COUNTIF($E65:M65,1),ColDescriptionCourte)),""),
  "")),"")</f>
        <v/>
      </c>
      <c r="O65" s="40" t="str">
        <f ca="1">IFERROR(IF(AND(
  INDEX(Roadmap!$D:$K,MATCH($E65,Roadmap!$D:$D,0)+COUNTIF($E65:N65,"u")+COUNTIF($E65:N65,"t")+COUNTIF($E65:N65,"¶")+COUNTIF($E65:N65,"²")+COUNTIF($E65:N65,"µ")+COUNTIF($E65:N65,1),ColLivraison)=O$6,
  VLOOKUP($E65,INDIRECT("tri!"&amp; CHAR(64+ C0Col) &amp;":"&amp; CHAR(65+C0Col)),2,FALSE)&gt;COUNTIF($E65:N65,"u")+COUNTIF($E65:N65,"t")+COUNTIF($E65:N65,"¶")+COUNTIF($E65:N65,"²")+COUNTIF($E65:N65,"µ")+COUNTIF($E65:N65,1)),
HYPERLINK("#Roadmap!C"&amp; MATCH($E65,Roadmap!$D:$D,0)+COUNTIF($E65:N65,"u")+COUNTIF($E65:N65,"t"),
     INDEX(Roadmap!$D:$K,MATCH($E65,Roadmap!$D:$D,0)+COUNTIF($E65:N65,"u")+COUNTIF($E65:N65,"t")+COUNTIF($E65:N65,"¶")+COUNTIF($E65:N65,"²")+COUNTIF($E65:N65,"µ")+COUNTIF($E65:N65,1),ColTypeEcheance)),
  IF(LEN(N65)=1,
  IF(LEN(INDEX(Roadmap!$D:$K,MATCH($E65,Roadmap!$D:$D,0)-1+COUNTIF($E65:N65,"u")+COUNTIF($E65:N65,"t")+COUNTIF($E65:N65,"¶")+COUNTIF($E65:N65,"²")+COUNTIF($E65:N65,"µ")+COUNTIF($E65:N65,1),ColDescriptionCourte))&gt;1,
HYPERLINK("#Roadmap!C"&amp; MATCH($E65,Roadmap!$D:$D,0)+COUNTIF($E65:N65,"u")+COUNTIF($E65:N65,"t")+COUNTIF($E65:N65,"¶")+COUNTIF($E65:N65,"²")+COUNTIF($E65:N65,"µ")+COUNTIF($E65:N65,1)-1,INDEX(Roadmap!$D:$K,MATCH($E65,Roadmap!$D:$D,0)-1+COUNTIF($E65:N65,"u")+COUNTIF($E65:N65,"t")+COUNTIF($E65:N65,"¶")+COUNTIF($E65:N65,"²")+COUNTIF($E65:N65,"µ")+COUNTIF($E65:N65,1),ColDescriptionCourte)),""),
  "")),"")</f>
        <v/>
      </c>
      <c r="P65" s="40" t="str">
        <f ca="1">IFERROR(IF(AND(
  INDEX(Roadmap!$D:$K,MATCH($E65,Roadmap!$D:$D,0)+COUNTIF($E65:O65,"u")+COUNTIF($E65:O65,"t")+COUNTIF($E65:O65,"¶")+COUNTIF($E65:O65,"²")+COUNTIF($E65:O65,"µ")+COUNTIF($E65:O65,1),ColLivraison)=P$6,
  VLOOKUP($E65,INDIRECT("tri!"&amp; CHAR(64+ C0Col) &amp;":"&amp; CHAR(65+C0Col)),2,FALSE)&gt;COUNTIF($E65:O65,"u")+COUNTIF($E65:O65,"t")+COUNTIF($E65:O65,"¶")+COUNTIF($E65:O65,"²")+COUNTIF($E65:O65,"µ")+COUNTIF($E65:O65,1)),
HYPERLINK("#Roadmap!C"&amp; MATCH($E65,Roadmap!$D:$D,0)+COUNTIF($E65:O65,"u")+COUNTIF($E65:O65,"t"),
     INDEX(Roadmap!$D:$K,MATCH($E65,Roadmap!$D:$D,0)+COUNTIF($E65:O65,"u")+COUNTIF($E65:O65,"t")+COUNTIF($E65:O65,"¶")+COUNTIF($E65:O65,"²")+COUNTIF($E65:O65,"µ")+COUNTIF($E65:O65,1),ColTypeEcheance)),
  IF(LEN(O65)=1,
  IF(LEN(INDEX(Roadmap!$D:$K,MATCH($E65,Roadmap!$D:$D,0)-1+COUNTIF($E65:O65,"u")+COUNTIF($E65:O65,"t")+COUNTIF($E65:O65,"¶")+COUNTIF($E65:O65,"²")+COUNTIF($E65:O65,"µ")+COUNTIF($E65:O65,1),ColDescriptionCourte))&gt;1,
HYPERLINK("#Roadmap!C"&amp; MATCH($E65,Roadmap!$D:$D,0)+COUNTIF($E65:O65,"u")+COUNTIF($E65:O65,"t")+COUNTIF($E65:O65,"¶")+COUNTIF($E65:O65,"²")+COUNTIF($E65:O65,"µ")+COUNTIF($E65:O65,1)-1,INDEX(Roadmap!$D:$K,MATCH($E65,Roadmap!$D:$D,0)-1+COUNTIF($E65:O65,"u")+COUNTIF($E65:O65,"t")+COUNTIF($E65:O65,"¶")+COUNTIF($E65:O65,"²")+COUNTIF($E65:O65,"µ")+COUNTIF($E65:O65,1),ColDescriptionCourte)),""),
  "")),"")</f>
        <v/>
      </c>
      <c r="Q65" s="40" t="str">
        <f ca="1">IFERROR(IF(AND(
  INDEX(Roadmap!$D:$K,MATCH($E65,Roadmap!$D:$D,0)+COUNTIF($E65:P65,"u")+COUNTIF($E65:P65,"t")+COUNTIF($E65:P65,"¶")+COUNTIF($E65:P65,"²")+COUNTIF($E65:P65,"µ")+COUNTIF($E65:P65,1),ColLivraison)=Q$6,
  VLOOKUP($E65,INDIRECT("tri!"&amp; CHAR(64+ C0Col) &amp;":"&amp; CHAR(65+C0Col)),2,FALSE)&gt;COUNTIF($E65:P65,"u")+COUNTIF($E65:P65,"t")+COUNTIF($E65:P65,"¶")+COUNTIF($E65:P65,"²")+COUNTIF($E65:P65,"µ")+COUNTIF($E65:P65,1)),
HYPERLINK("#Roadmap!C"&amp; MATCH($E65,Roadmap!$D:$D,0)+COUNTIF($E65:P65,"u")+COUNTIF($E65:P65,"t"),
     INDEX(Roadmap!$D:$K,MATCH($E65,Roadmap!$D:$D,0)+COUNTIF($E65:P65,"u")+COUNTIF($E65:P65,"t")+COUNTIF($E65:P65,"¶")+COUNTIF($E65:P65,"²")+COUNTIF($E65:P65,"µ")+COUNTIF($E65:P65,1),ColTypeEcheance)),
  IF(LEN(P65)=1,
  IF(LEN(INDEX(Roadmap!$D:$K,MATCH($E65,Roadmap!$D:$D,0)-1+COUNTIF($E65:P65,"u")+COUNTIF($E65:P65,"t")+COUNTIF($E65:P65,"¶")+COUNTIF($E65:P65,"²")+COUNTIF($E65:P65,"µ")+COUNTIF($E65:P65,1),ColDescriptionCourte))&gt;1,
HYPERLINK("#Roadmap!C"&amp; MATCH($E65,Roadmap!$D:$D,0)+COUNTIF($E65:P65,"u")+COUNTIF($E65:P65,"t")+COUNTIF($E65:P65,"¶")+COUNTIF($E65:P65,"²")+COUNTIF($E65:P65,"µ")+COUNTIF($E65:P65,1)-1,INDEX(Roadmap!$D:$K,MATCH($E65,Roadmap!$D:$D,0)-1+COUNTIF($E65:P65,"u")+COUNTIF($E65:P65,"t")+COUNTIF($E65:P65,"¶")+COUNTIF($E65:P65,"²")+COUNTIF($E65:P65,"µ")+COUNTIF($E65:P65,1),ColDescriptionCourte)),""),
  "")),"")</f>
        <v/>
      </c>
      <c r="R65" s="40" t="str">
        <f ca="1">IFERROR(IF(AND(
  INDEX(Roadmap!$D:$K,MATCH($E65,Roadmap!$D:$D,0)+COUNTIF($E65:Q65,"u")+COUNTIF($E65:Q65,"t")+COUNTIF($E65:Q65,"¶")+COUNTIF($E65:Q65,"²")+COUNTIF($E65:Q65,"µ")+COUNTIF($E65:Q65,1),ColLivraison)=R$6,
  VLOOKUP($E65,INDIRECT("tri!"&amp; CHAR(64+ C0Col) &amp;":"&amp; CHAR(65+C0Col)),2,FALSE)&gt;COUNTIF($E65:Q65,"u")+COUNTIF($E65:Q65,"t")+COUNTIF($E65:Q65,"¶")+COUNTIF($E65:Q65,"²")+COUNTIF($E65:Q65,"µ")+COUNTIF($E65:Q65,1)),
HYPERLINK("#Roadmap!C"&amp; MATCH($E65,Roadmap!$D:$D,0)+COUNTIF($E65:Q65,"u")+COUNTIF($E65:Q65,"t"),
     INDEX(Roadmap!$D:$K,MATCH($E65,Roadmap!$D:$D,0)+COUNTIF($E65:Q65,"u")+COUNTIF($E65:Q65,"t")+COUNTIF($E65:Q65,"¶")+COUNTIF($E65:Q65,"²")+COUNTIF($E65:Q65,"µ")+COUNTIF($E65:Q65,1),ColTypeEcheance)),
  IF(LEN(Q65)=1,
  IF(LEN(INDEX(Roadmap!$D:$K,MATCH($E65,Roadmap!$D:$D,0)-1+COUNTIF($E65:Q65,"u")+COUNTIF($E65:Q65,"t")+COUNTIF($E65:Q65,"¶")+COUNTIF($E65:Q65,"²")+COUNTIF($E65:Q65,"µ")+COUNTIF($E65:Q65,1),ColDescriptionCourte))&gt;1,
HYPERLINK("#Roadmap!C"&amp; MATCH($E65,Roadmap!$D:$D,0)+COUNTIF($E65:Q65,"u")+COUNTIF($E65:Q65,"t")+COUNTIF($E65:Q65,"¶")+COUNTIF($E65:Q65,"²")+COUNTIF($E65:Q65,"µ")+COUNTIF($E65:Q65,1)-1,INDEX(Roadmap!$D:$K,MATCH($E65,Roadmap!$D:$D,0)-1+COUNTIF($E65:Q65,"u")+COUNTIF($E65:Q65,"t")+COUNTIF($E65:Q65,"¶")+COUNTIF($E65:Q65,"²")+COUNTIF($E65:Q65,"µ")+COUNTIF($E65:Q65,1),ColDescriptionCourte)),""),
  "")),"")</f>
        <v/>
      </c>
      <c r="S65" s="40" t="str">
        <f ca="1">IFERROR(IF(AND(
  INDEX(Roadmap!$D:$K,MATCH($E65,Roadmap!$D:$D,0)+COUNTIF($E65:R65,"u")+COUNTIF($E65:R65,"t")+COUNTIF($E65:R65,"¶")+COUNTIF($E65:R65,"²")+COUNTIF($E65:R65,"µ")+COUNTIF($E65:R65,1),ColLivraison)=S$6,
  VLOOKUP($E65,INDIRECT("tri!"&amp; CHAR(64+ C0Col) &amp;":"&amp; CHAR(65+C0Col)),2,FALSE)&gt;COUNTIF($E65:R65,"u")+COUNTIF($E65:R65,"t")+COUNTIF($E65:R65,"¶")+COUNTIF($E65:R65,"²")+COUNTIF($E65:R65,"µ")+COUNTIF($E65:R65,1)),
HYPERLINK("#Roadmap!C"&amp; MATCH($E65,Roadmap!$D:$D,0)+COUNTIF($E65:R65,"u")+COUNTIF($E65:R65,"t"),
     INDEX(Roadmap!$D:$K,MATCH($E65,Roadmap!$D:$D,0)+COUNTIF($E65:R65,"u")+COUNTIF($E65:R65,"t")+COUNTIF($E65:R65,"¶")+COUNTIF($E65:R65,"²")+COUNTIF($E65:R65,"µ")+COUNTIF($E65:R65,1),ColTypeEcheance)),
  IF(LEN(R65)=1,
  IF(LEN(INDEX(Roadmap!$D:$K,MATCH($E65,Roadmap!$D:$D,0)-1+COUNTIF($E65:R65,"u")+COUNTIF($E65:R65,"t")+COUNTIF($E65:R65,"¶")+COUNTIF($E65:R65,"²")+COUNTIF($E65:R65,"µ")+COUNTIF($E65:R65,1),ColDescriptionCourte))&gt;1,
HYPERLINK("#Roadmap!C"&amp; MATCH($E65,Roadmap!$D:$D,0)+COUNTIF($E65:R65,"u")+COUNTIF($E65:R65,"t")+COUNTIF($E65:R65,"¶")+COUNTIF($E65:R65,"²")+COUNTIF($E65:R65,"µ")+COUNTIF($E65:R65,1)-1,INDEX(Roadmap!$D:$K,MATCH($E65,Roadmap!$D:$D,0)-1+COUNTIF($E65:R65,"u")+COUNTIF($E65:R65,"t")+COUNTIF($E65:R65,"¶")+COUNTIF($E65:R65,"²")+COUNTIF($E65:R65,"µ")+COUNTIF($E65:R65,1),ColDescriptionCourte)),""),
  "")),"")</f>
        <v/>
      </c>
      <c r="T65" s="40" t="str">
        <f ca="1">IFERROR(IF(AND(
  INDEX(Roadmap!$D:$K,MATCH($E65,Roadmap!$D:$D,0)+COUNTIF($E65:S65,"u")+COUNTIF($E65:S65,"t")+COUNTIF($E65:S65,"¶")+COUNTIF($E65:S65,"²")+COUNTIF($E65:S65,"µ")+COUNTIF($E65:S65,1),ColLivraison)=T$6,
  VLOOKUP($E65,INDIRECT("tri!"&amp; CHAR(64+ C0Col) &amp;":"&amp; CHAR(65+C0Col)),2,FALSE)&gt;COUNTIF($E65:S65,"u")+COUNTIF($E65:S65,"t")+COUNTIF($E65:S65,"¶")+COUNTIF($E65:S65,"²")+COUNTIF($E65:S65,"µ")+COUNTIF($E65:S65,1)),
HYPERLINK("#Roadmap!C"&amp; MATCH($E65,Roadmap!$D:$D,0)+COUNTIF($E65:S65,"u")+COUNTIF($E65:S65,"t"),
     INDEX(Roadmap!$D:$K,MATCH($E65,Roadmap!$D:$D,0)+COUNTIF($E65:S65,"u")+COUNTIF($E65:S65,"t")+COUNTIF($E65:S65,"¶")+COUNTIF($E65:S65,"²")+COUNTIF($E65:S65,"µ")+COUNTIF($E65:S65,1),ColTypeEcheance)),
  IF(LEN(S65)=1,
  IF(LEN(INDEX(Roadmap!$D:$K,MATCH($E65,Roadmap!$D:$D,0)-1+COUNTIF($E65:S65,"u")+COUNTIF($E65:S65,"t")+COUNTIF($E65:S65,"¶")+COUNTIF($E65:S65,"²")+COUNTIF($E65:S65,"µ")+COUNTIF($E65:S65,1),ColDescriptionCourte))&gt;1,
HYPERLINK("#Roadmap!C"&amp; MATCH($E65,Roadmap!$D:$D,0)+COUNTIF($E65:S65,"u")+COUNTIF($E65:S65,"t")+COUNTIF($E65:S65,"¶")+COUNTIF($E65:S65,"²")+COUNTIF($E65:S65,"µ")+COUNTIF($E65:S65,1)-1,INDEX(Roadmap!$D:$K,MATCH($E65,Roadmap!$D:$D,0)-1+COUNTIF($E65:S65,"u")+COUNTIF($E65:S65,"t")+COUNTIF($E65:S65,"¶")+COUNTIF($E65:S65,"²")+COUNTIF($E65:S65,"µ")+COUNTIF($E65:S65,1),ColDescriptionCourte)),""),
  "")),"")</f>
        <v/>
      </c>
      <c r="U65" s="40" t="str">
        <f ca="1">IFERROR(IF(AND(
  INDEX(Roadmap!$D:$K,MATCH($E65,Roadmap!$D:$D,0)+COUNTIF($E65:T65,"u")+COUNTIF($E65:T65,"t")+COUNTIF($E65:T65,"¶")+COUNTIF($E65:T65,"²")+COUNTIF($E65:T65,"µ")+COUNTIF($E65:T65,1),ColLivraison)=U$6,
  VLOOKUP($E65,INDIRECT("tri!"&amp; CHAR(64+ C0Col) &amp;":"&amp; CHAR(65+C0Col)),2,FALSE)&gt;COUNTIF($E65:T65,"u")+COUNTIF($E65:T65,"t")+COUNTIF($E65:T65,"¶")+COUNTIF($E65:T65,"²")+COUNTIF($E65:T65,"µ")+COUNTIF($E65:T65,1)),
HYPERLINK("#Roadmap!C"&amp; MATCH($E65,Roadmap!$D:$D,0)+COUNTIF($E65:T65,"u")+COUNTIF($E65:T65,"t"),
     INDEX(Roadmap!$D:$K,MATCH($E65,Roadmap!$D:$D,0)+COUNTIF($E65:T65,"u")+COUNTIF($E65:T65,"t")+COUNTIF($E65:T65,"¶")+COUNTIF($E65:T65,"²")+COUNTIF($E65:T65,"µ")+COUNTIF($E65:T65,1),ColTypeEcheance)),
  IF(LEN(T65)=1,
  IF(LEN(INDEX(Roadmap!$D:$K,MATCH($E65,Roadmap!$D:$D,0)-1+COUNTIF($E65:T65,"u")+COUNTIF($E65:T65,"t")+COUNTIF($E65:T65,"¶")+COUNTIF($E65:T65,"²")+COUNTIF($E65:T65,"µ")+COUNTIF($E65:T65,1),ColDescriptionCourte))&gt;1,
HYPERLINK("#Roadmap!C"&amp; MATCH($E65,Roadmap!$D:$D,0)+COUNTIF($E65:T65,"u")+COUNTIF($E65:T65,"t")+COUNTIF($E65:T65,"¶")+COUNTIF($E65:T65,"²")+COUNTIF($E65:T65,"µ")+COUNTIF($E65:T65,1)-1,INDEX(Roadmap!$D:$K,MATCH($E65,Roadmap!$D:$D,0)-1+COUNTIF($E65:T65,"u")+COUNTIF($E65:T65,"t")+COUNTIF($E65:T65,"¶")+COUNTIF($E65:T65,"²")+COUNTIF($E65:T65,"µ")+COUNTIF($E65:T65,1),ColDescriptionCourte)),""),
  "")),"")</f>
        <v/>
      </c>
      <c r="V65" s="40" t="str">
        <f ca="1">IFERROR(IF(AND(
  INDEX(Roadmap!$D:$K,MATCH($E65,Roadmap!$D:$D,0)+COUNTIF($E65:U65,"u")+COUNTIF($E65:U65,"t")+COUNTIF($E65:U65,"¶")+COUNTIF($E65:U65,"²")+COUNTIF($E65:U65,"µ")+COUNTIF($E65:U65,1),ColLivraison)=V$6,
  VLOOKUP($E65,INDIRECT("tri!"&amp; CHAR(64+ C0Col) &amp;":"&amp; CHAR(65+C0Col)),2,FALSE)&gt;COUNTIF($E65:U65,"u")+COUNTIF($E65:U65,"t")+COUNTIF($E65:U65,"¶")+COUNTIF($E65:U65,"²")+COUNTIF($E65:U65,"µ")+COUNTIF($E65:U65,1)),
HYPERLINK("#Roadmap!C"&amp; MATCH($E65,Roadmap!$D:$D,0)+COUNTIF($E65:U65,"u")+COUNTIF($E65:U65,"t"),
     INDEX(Roadmap!$D:$K,MATCH($E65,Roadmap!$D:$D,0)+COUNTIF($E65:U65,"u")+COUNTIF($E65:U65,"t")+COUNTIF($E65:U65,"¶")+COUNTIF($E65:U65,"²")+COUNTIF($E65:U65,"µ")+COUNTIF($E65:U65,1),ColTypeEcheance)),
  IF(LEN(U65)=1,
  IF(LEN(INDEX(Roadmap!$D:$K,MATCH($E65,Roadmap!$D:$D,0)-1+COUNTIF($E65:U65,"u")+COUNTIF($E65:U65,"t")+COUNTIF($E65:U65,"¶")+COUNTIF($E65:U65,"²")+COUNTIF($E65:U65,"µ")+COUNTIF($E65:U65,1),ColDescriptionCourte))&gt;1,
HYPERLINK("#Roadmap!C"&amp; MATCH($E65,Roadmap!$D:$D,0)+COUNTIF($E65:U65,"u")+COUNTIF($E65:U65,"t")+COUNTIF($E65:U65,"¶")+COUNTIF($E65:U65,"²")+COUNTIF($E65:U65,"µ")+COUNTIF($E65:U65,1)-1,INDEX(Roadmap!$D:$K,MATCH($E65,Roadmap!$D:$D,0)-1+COUNTIF($E65:U65,"u")+COUNTIF($E65:U65,"t")+COUNTIF($E65:U65,"¶")+COUNTIF($E65:U65,"²")+COUNTIF($E65:U65,"µ")+COUNTIF($E65:U65,1),ColDescriptionCourte)),""),
  "")),"")</f>
        <v/>
      </c>
      <c r="W65" s="40" t="str">
        <f ca="1">IFERROR(IF(AND(
  INDEX(Roadmap!$D:$K,MATCH($E65,Roadmap!$D:$D,0)+COUNTIF($E65:V65,"u")+COUNTIF($E65:V65,"t")+COUNTIF($E65:V65,"¶")+COUNTIF($E65:V65,"²")+COUNTIF($E65:V65,"µ")+COUNTIF($E65:V65,1),ColLivraison)=W$6,
  VLOOKUP($E65,INDIRECT("tri!"&amp; CHAR(64+ C0Col) &amp;":"&amp; CHAR(65+C0Col)),2,FALSE)&gt;COUNTIF($E65:V65,"u")+COUNTIF($E65:V65,"t")+COUNTIF($E65:V65,"¶")+COUNTIF($E65:V65,"²")+COUNTIF($E65:V65,"µ")+COUNTIF($E65:V65,1)),
HYPERLINK("#Roadmap!C"&amp; MATCH($E65,Roadmap!$D:$D,0)+COUNTIF($E65:V65,"u")+COUNTIF($E65:V65,"t"),
     INDEX(Roadmap!$D:$K,MATCH($E65,Roadmap!$D:$D,0)+COUNTIF($E65:V65,"u")+COUNTIF($E65:V65,"t")+COUNTIF($E65:V65,"¶")+COUNTIF($E65:V65,"²")+COUNTIF($E65:V65,"µ")+COUNTIF($E65:V65,1),ColTypeEcheance)),
  IF(LEN(V65)=1,
  IF(LEN(INDEX(Roadmap!$D:$K,MATCH($E65,Roadmap!$D:$D,0)-1+COUNTIF($E65:V65,"u")+COUNTIF($E65:V65,"t")+COUNTIF($E65:V65,"¶")+COUNTIF($E65:V65,"²")+COUNTIF($E65:V65,"µ")+COUNTIF($E65:V65,1),ColDescriptionCourte))&gt;1,
HYPERLINK("#Roadmap!C"&amp; MATCH($E65,Roadmap!$D:$D,0)+COUNTIF($E65:V65,"u")+COUNTIF($E65:V65,"t")+COUNTIF($E65:V65,"¶")+COUNTIF($E65:V65,"²")+COUNTIF($E65:V65,"µ")+COUNTIF($E65:V65,1)-1,INDEX(Roadmap!$D:$K,MATCH($E65,Roadmap!$D:$D,0)-1+COUNTIF($E65:V65,"u")+COUNTIF($E65:V65,"t")+COUNTIF($E65:V65,"¶")+COUNTIF($E65:V65,"²")+COUNTIF($E65:V65,"µ")+COUNTIF($E65:V65,1),ColDescriptionCourte)),""),
  "")),"")</f>
        <v/>
      </c>
      <c r="X65" s="40" t="str">
        <f ca="1">IFERROR(IF(AND(
  INDEX(Roadmap!$D:$K,MATCH($E65,Roadmap!$D:$D,0)+COUNTIF($E65:W65,"u")+COUNTIF($E65:W65,"t")+COUNTIF($E65:W65,"¶")+COUNTIF($E65:W65,"²")+COUNTIF($E65:W65,"µ")+COUNTIF($E65:W65,1),ColLivraison)=X$6,
  VLOOKUP($E65,INDIRECT("tri!"&amp; CHAR(64+ C0Col) &amp;":"&amp; CHAR(65+C0Col)),2,FALSE)&gt;COUNTIF($E65:W65,"u")+COUNTIF($E65:W65,"t")+COUNTIF($E65:W65,"¶")+COUNTIF($E65:W65,"²")+COUNTIF($E65:W65,"µ")+COUNTIF($E65:W65,1)),
HYPERLINK("#Roadmap!C"&amp; MATCH($E65,Roadmap!$D:$D,0)+COUNTIF($E65:W65,"u")+COUNTIF($E65:W65,"t"),
     INDEX(Roadmap!$D:$K,MATCH($E65,Roadmap!$D:$D,0)+COUNTIF($E65:W65,"u")+COUNTIF($E65:W65,"t")+COUNTIF($E65:W65,"¶")+COUNTIF($E65:W65,"²")+COUNTIF($E65:W65,"µ")+COUNTIF($E65:W65,1),ColTypeEcheance)),
  IF(LEN(W65)=1,
  IF(LEN(INDEX(Roadmap!$D:$K,MATCH($E65,Roadmap!$D:$D,0)-1+COUNTIF($E65:W65,"u")+COUNTIF($E65:W65,"t")+COUNTIF($E65:W65,"¶")+COUNTIF($E65:W65,"²")+COUNTIF($E65:W65,"µ")+COUNTIF($E65:W65,1),ColDescriptionCourte))&gt;1,
HYPERLINK("#Roadmap!C"&amp; MATCH($E65,Roadmap!$D:$D,0)+COUNTIF($E65:W65,"u")+COUNTIF($E65:W65,"t")+COUNTIF($E65:W65,"¶")+COUNTIF($E65:W65,"²")+COUNTIF($E65:W65,"µ")+COUNTIF($E65:W65,1)-1,INDEX(Roadmap!$D:$K,MATCH($E65,Roadmap!$D:$D,0)-1+COUNTIF($E65:W65,"u")+COUNTIF($E65:W65,"t")+COUNTIF($E65:W65,"¶")+COUNTIF($E65:W65,"²")+COUNTIF($E65:W65,"µ")+COUNTIF($E65:W65,1),ColDescriptionCourte)),""),
  "")),"")</f>
        <v/>
      </c>
      <c r="Y65" s="40" t="str">
        <f ca="1">IFERROR(IF(AND(
  INDEX(Roadmap!$D:$K,MATCH($E65,Roadmap!$D:$D,0)+COUNTIF($E65:X65,"u")+COUNTIF($E65:X65,"t")+COUNTIF($E65:X65,"¶")+COUNTIF($E65:X65,"²")+COUNTIF($E65:X65,"µ")+COUNTIF($E65:X65,1),ColLivraison)=Y$6,
  VLOOKUP($E65,INDIRECT("tri!"&amp; CHAR(64+ C0Col) &amp;":"&amp; CHAR(65+C0Col)),2,FALSE)&gt;COUNTIF($E65:X65,"u")+COUNTIF($E65:X65,"t")+COUNTIF($E65:X65,"¶")+COUNTIF($E65:X65,"²")+COUNTIF($E65:X65,"µ")+COUNTIF($E65:X65,1)),
HYPERLINK("#Roadmap!C"&amp; MATCH($E65,Roadmap!$D:$D,0)+COUNTIF($E65:X65,"u")+COUNTIF($E65:X65,"t"),
     INDEX(Roadmap!$D:$K,MATCH($E65,Roadmap!$D:$D,0)+COUNTIF($E65:X65,"u")+COUNTIF($E65:X65,"t")+COUNTIF($E65:X65,"¶")+COUNTIF($E65:X65,"²")+COUNTIF($E65:X65,"µ")+COUNTIF($E65:X65,1),ColTypeEcheance)),
  IF(LEN(X65)=1,
  IF(LEN(INDEX(Roadmap!$D:$K,MATCH($E65,Roadmap!$D:$D,0)-1+COUNTIF($E65:X65,"u")+COUNTIF($E65:X65,"t")+COUNTIF($E65:X65,"¶")+COUNTIF($E65:X65,"²")+COUNTIF($E65:X65,"µ")+COUNTIF($E65:X65,1),ColDescriptionCourte))&gt;1,
HYPERLINK("#Roadmap!C"&amp; MATCH($E65,Roadmap!$D:$D,0)+COUNTIF($E65:X65,"u")+COUNTIF($E65:X65,"t")+COUNTIF($E65:X65,"¶")+COUNTIF($E65:X65,"²")+COUNTIF($E65:X65,"µ")+COUNTIF($E65:X65,1)-1,INDEX(Roadmap!$D:$K,MATCH($E65,Roadmap!$D:$D,0)-1+COUNTIF($E65:X65,"u")+COUNTIF($E65:X65,"t")+COUNTIF($E65:X65,"¶")+COUNTIF($E65:X65,"²")+COUNTIF($E65:X65,"µ")+COUNTIF($E65:X65,1),ColDescriptionCourte)),""),
  "")),"")</f>
        <v/>
      </c>
      <c r="Z65" s="40" t="str">
        <f ca="1">IFERROR(IF(AND(
  INDEX(Roadmap!$D:$K,MATCH($E65,Roadmap!$D:$D,0)+COUNTIF($E65:Y65,"u")+COUNTIF($E65:Y65,"t")+COUNTIF($E65:Y65,"¶")+COUNTIF($E65:Y65,"²")+COUNTIF($E65:Y65,"µ")+COUNTIF($E65:Y65,1),ColLivraison)=Z$6,
  VLOOKUP($E65,INDIRECT("tri!"&amp; CHAR(64+ C0Col) &amp;":"&amp; CHAR(65+C0Col)),2,FALSE)&gt;COUNTIF($E65:Y65,"u")+COUNTIF($E65:Y65,"t")+COUNTIF($E65:Y65,"¶")+COUNTIF($E65:Y65,"²")+COUNTIF($E65:Y65,"µ")+COUNTIF($E65:Y65,1)),
HYPERLINK("#Roadmap!C"&amp; MATCH($E65,Roadmap!$D:$D,0)+COUNTIF($E65:Y65,"u")+COUNTIF($E65:Y65,"t"),
     INDEX(Roadmap!$D:$K,MATCH($E65,Roadmap!$D:$D,0)+COUNTIF($E65:Y65,"u")+COUNTIF($E65:Y65,"t")+COUNTIF($E65:Y65,"¶")+COUNTIF($E65:Y65,"²")+COUNTIF($E65:Y65,"µ")+COUNTIF($E65:Y65,1),ColTypeEcheance)),
  IF(LEN(Y65)=1,
  IF(LEN(INDEX(Roadmap!$D:$K,MATCH($E65,Roadmap!$D:$D,0)-1+COUNTIF($E65:Y65,"u")+COUNTIF($E65:Y65,"t")+COUNTIF($E65:Y65,"¶")+COUNTIF($E65:Y65,"²")+COUNTIF($E65:Y65,"µ")+COUNTIF($E65:Y65,1),ColDescriptionCourte))&gt;1,
HYPERLINK("#Roadmap!C"&amp; MATCH($E65,Roadmap!$D:$D,0)+COUNTIF($E65:Y65,"u")+COUNTIF($E65:Y65,"t")+COUNTIF($E65:Y65,"¶")+COUNTIF($E65:Y65,"²")+COUNTIF($E65:Y65,"µ")+COUNTIF($E65:Y65,1)-1,INDEX(Roadmap!$D:$K,MATCH($E65,Roadmap!$D:$D,0)-1+COUNTIF($E65:Y65,"u")+COUNTIF($E65:Y65,"t")+COUNTIF($E65:Y65,"¶")+COUNTIF($E65:Y65,"²")+COUNTIF($E65:Y65,"µ")+COUNTIF($E65:Y65,1),ColDescriptionCourte)),""),
  "")),"")</f>
        <v/>
      </c>
      <c r="AA65" s="40" t="str">
        <f ca="1">IFERROR(IF(AND(
  INDEX(Roadmap!$D:$K,MATCH($E65,Roadmap!$D:$D,0)+COUNTIF($E65:Z65,"u")+COUNTIF($E65:Z65,"t")+COUNTIF($E65:Z65,"¶")+COUNTIF($E65:Z65,"²")+COUNTIF($E65:Z65,"µ")+COUNTIF($E65:Z65,1),ColLivraison)=AA$6,
  VLOOKUP($E65,INDIRECT("tri!"&amp; CHAR(64+ C0Col) &amp;":"&amp; CHAR(65+C0Col)),2,FALSE)&gt;COUNTIF($E65:Z65,"u")+COUNTIF($E65:Z65,"t")+COUNTIF($E65:Z65,"¶")+COUNTIF($E65:Z65,"²")+COUNTIF($E65:Z65,"µ")+COUNTIF($E65:Z65,1)),
HYPERLINK("#Roadmap!C"&amp; MATCH($E65,Roadmap!$D:$D,0)+COUNTIF($E65:Z65,"u")+COUNTIF($E65:Z65,"t"),
     INDEX(Roadmap!$D:$K,MATCH($E65,Roadmap!$D:$D,0)+COUNTIF($E65:Z65,"u")+COUNTIF($E65:Z65,"t")+COUNTIF($E65:Z65,"¶")+COUNTIF($E65:Z65,"²")+COUNTIF($E65:Z65,"µ")+COUNTIF($E65:Z65,1),ColTypeEcheance)),
  IF(LEN(Z65)=1,
  IF(LEN(INDEX(Roadmap!$D:$K,MATCH($E65,Roadmap!$D:$D,0)-1+COUNTIF($E65:Z65,"u")+COUNTIF($E65:Z65,"t")+COUNTIF($E65:Z65,"¶")+COUNTIF($E65:Z65,"²")+COUNTIF($E65:Z65,"µ")+COUNTIF($E65:Z65,1),ColDescriptionCourte))&gt;1,
HYPERLINK("#Roadmap!C"&amp; MATCH($E65,Roadmap!$D:$D,0)+COUNTIF($E65:Z65,"u")+COUNTIF($E65:Z65,"t")+COUNTIF($E65:Z65,"¶")+COUNTIF($E65:Z65,"²")+COUNTIF($E65:Z65,"µ")+COUNTIF($E65:Z65,1)-1,INDEX(Roadmap!$D:$K,MATCH($E65,Roadmap!$D:$D,0)-1+COUNTIF($E65:Z65,"u")+COUNTIF($E65:Z65,"t")+COUNTIF($E65:Z65,"¶")+COUNTIF($E65:Z65,"²")+COUNTIF($E65:Z65,"µ")+COUNTIF($E65:Z65,1),ColDescriptionCourte)),""),
  "")),"")</f>
        <v/>
      </c>
      <c r="AB65" s="40" t="str">
        <f ca="1">IFERROR(IF(AND(
  INDEX(Roadmap!$D:$K,MATCH($E65,Roadmap!$D:$D,0)+COUNTIF($E65:AA65,"u")+COUNTIF($E65:AA65,"t")+COUNTIF($E65:AA65,"¶")+COUNTIF($E65:AA65,"²")+COUNTIF($E65:AA65,"µ")+COUNTIF($E65:AA65,1),ColLivraison)=AB$6,
  VLOOKUP($E65,INDIRECT("tri!"&amp; CHAR(64+ C0Col) &amp;":"&amp; CHAR(65+C0Col)),2,FALSE)&gt;COUNTIF($E65:AA65,"u")+COUNTIF($E65:AA65,"t")+COUNTIF($E65:AA65,"¶")+COUNTIF($E65:AA65,"²")+COUNTIF($E65:AA65,"µ")+COUNTIF($E65:AA65,1)),
HYPERLINK("#Roadmap!C"&amp; MATCH($E65,Roadmap!$D:$D,0)+COUNTIF($E65:AA65,"u")+COUNTIF($E65:AA65,"t"),
     INDEX(Roadmap!$D:$K,MATCH($E65,Roadmap!$D:$D,0)+COUNTIF($E65:AA65,"u")+COUNTIF($E65:AA65,"t")+COUNTIF($E65:AA65,"¶")+COUNTIF($E65:AA65,"²")+COUNTIF($E65:AA65,"µ")+COUNTIF($E65:AA65,1),ColTypeEcheance)),
  IF(LEN(AA65)=1,
  IF(LEN(INDEX(Roadmap!$D:$K,MATCH($E65,Roadmap!$D:$D,0)-1+COUNTIF($E65:AA65,"u")+COUNTIF($E65:AA65,"t")+COUNTIF($E65:AA65,"¶")+COUNTIF($E65:AA65,"²")+COUNTIF($E65:AA65,"µ")+COUNTIF($E65:AA65,1),ColDescriptionCourte))&gt;1,
HYPERLINK("#Roadmap!C"&amp; MATCH($E65,Roadmap!$D:$D,0)+COUNTIF($E65:AA65,"u")+COUNTIF($E65:AA65,"t")+COUNTIF($E65:AA65,"¶")+COUNTIF($E65:AA65,"²")+COUNTIF($E65:AA65,"µ")+COUNTIF($E65:AA65,1)-1,INDEX(Roadmap!$D:$K,MATCH($E65,Roadmap!$D:$D,0)-1+COUNTIF($E65:AA65,"u")+COUNTIF($E65:AA65,"t")+COUNTIF($E65:AA65,"¶")+COUNTIF($E65:AA65,"²")+COUNTIF($E65:AA65,"µ")+COUNTIF($E65:AA65,1),ColDescriptionCourte)),""),
  "")),"")</f>
        <v/>
      </c>
      <c r="AC65" s="40" t="str">
        <f ca="1">IFERROR(IF(AND(
  INDEX(Roadmap!$D:$K,MATCH($E65,Roadmap!$D:$D,0)+COUNTIF($E65:AB65,"u")+COUNTIF($E65:AB65,"t")+COUNTIF($E65:AB65,"¶")+COUNTIF($E65:AB65,"²")+COUNTIF($E65:AB65,"µ")+COUNTIF($E65:AB65,1),ColLivraison)=AC$6,
  VLOOKUP($E65,INDIRECT("tri!"&amp; CHAR(64+ C0Col) &amp;":"&amp; CHAR(65+C0Col)),2,FALSE)&gt;COUNTIF($E65:AB65,"u")+COUNTIF($E65:AB65,"t")+COUNTIF($E65:AB65,"¶")+COUNTIF($E65:AB65,"²")+COUNTIF($E65:AB65,"µ")+COUNTIF($E65:AB65,1)),
HYPERLINK("#Roadmap!C"&amp; MATCH($E65,Roadmap!$D:$D,0)+COUNTIF($E65:AB65,"u")+COUNTIF($E65:AB65,"t"),
     INDEX(Roadmap!$D:$K,MATCH($E65,Roadmap!$D:$D,0)+COUNTIF($E65:AB65,"u")+COUNTIF($E65:AB65,"t")+COUNTIF($E65:AB65,"¶")+COUNTIF($E65:AB65,"²")+COUNTIF($E65:AB65,"µ")+COUNTIF($E65:AB65,1),ColTypeEcheance)),
  IF(LEN(AB65)=1,
  IF(LEN(INDEX(Roadmap!$D:$K,MATCH($E65,Roadmap!$D:$D,0)-1+COUNTIF($E65:AB65,"u")+COUNTIF($E65:AB65,"t")+COUNTIF($E65:AB65,"¶")+COUNTIF($E65:AB65,"²")+COUNTIF($E65:AB65,"µ")+COUNTIF($E65:AB65,1),ColDescriptionCourte))&gt;1,
HYPERLINK("#Roadmap!C"&amp; MATCH($E65,Roadmap!$D:$D,0)+COUNTIF($E65:AB65,"u")+COUNTIF($E65:AB65,"t")+COUNTIF($E65:AB65,"¶")+COUNTIF($E65:AB65,"²")+COUNTIF($E65:AB65,"µ")+COUNTIF($E65:AB65,1)-1,INDEX(Roadmap!$D:$K,MATCH($E65,Roadmap!$D:$D,0)-1+COUNTIF($E65:AB65,"u")+COUNTIF($E65:AB65,"t")+COUNTIF($E65:AB65,"¶")+COUNTIF($E65:AB65,"²")+COUNTIF($E65:AB65,"µ")+COUNTIF($E65:AB65,1),ColDescriptionCourte)),""),
  "")),"")</f>
        <v/>
      </c>
      <c r="AD65" s="40" t="str">
        <f ca="1">IFERROR(IF(AND(
  INDEX(Roadmap!$D:$K,MATCH($E65,Roadmap!$D:$D,0)+COUNTIF($E65:AC65,"u")+COUNTIF($E65:AC65,"t")+COUNTIF($E65:AC65,"¶")+COUNTIF($E65:AC65,"²")+COUNTIF($E65:AC65,"µ")+COUNTIF($E65:AC65,1),ColLivraison)=AD$6,
  VLOOKUP($E65,INDIRECT("tri!"&amp; CHAR(64+ C0Col) &amp;":"&amp; CHAR(65+C0Col)),2,FALSE)&gt;COUNTIF($E65:AC65,"u")+COUNTIF($E65:AC65,"t")+COUNTIF($E65:AC65,"¶")+COUNTIF($E65:AC65,"²")+COUNTIF($E65:AC65,"µ")+COUNTIF($E65:AC65,1)),
HYPERLINK("#Roadmap!C"&amp; MATCH($E65,Roadmap!$D:$D,0)+COUNTIF($E65:AC65,"u")+COUNTIF($E65:AC65,"t"),
     INDEX(Roadmap!$D:$K,MATCH($E65,Roadmap!$D:$D,0)+COUNTIF($E65:AC65,"u")+COUNTIF($E65:AC65,"t")+COUNTIF($E65:AC65,"¶")+COUNTIF($E65:AC65,"²")+COUNTIF($E65:AC65,"µ")+COUNTIF($E65:AC65,1),ColTypeEcheance)),
  IF(LEN(AC65)=1,
  IF(LEN(INDEX(Roadmap!$D:$K,MATCH($E65,Roadmap!$D:$D,0)-1+COUNTIF($E65:AC65,"u")+COUNTIF($E65:AC65,"t")+COUNTIF($E65:AC65,"¶")+COUNTIF($E65:AC65,"²")+COUNTIF($E65:AC65,"µ")+COUNTIF($E65:AC65,1),ColDescriptionCourte))&gt;1,
HYPERLINK("#Roadmap!C"&amp; MATCH($E65,Roadmap!$D:$D,0)+COUNTIF($E65:AC65,"u")+COUNTIF($E65:AC65,"t")+COUNTIF($E65:AC65,"¶")+COUNTIF($E65:AC65,"²")+COUNTIF($E65:AC65,"µ")+COUNTIF($E65:AC65,1)-1,INDEX(Roadmap!$D:$K,MATCH($E65,Roadmap!$D:$D,0)-1+COUNTIF($E65:AC65,"u")+COUNTIF($E65:AC65,"t")+COUNTIF($E65:AC65,"¶")+COUNTIF($E65:AC65,"²")+COUNTIF($E65:AC65,"µ")+COUNTIF($E65:AC65,1),ColDescriptionCourte)),""),
  "")),"")</f>
        <v/>
      </c>
      <c r="AE65" s="40" t="str">
        <f ca="1">IFERROR(IF(AND(
  INDEX(Roadmap!$D:$K,MATCH($E65,Roadmap!$D:$D,0)+COUNTIF($E65:AD65,"u")+COUNTIF($E65:AD65,"t")+COUNTIF($E65:AD65,"¶")+COUNTIF($E65:AD65,"²")+COUNTIF($E65:AD65,"µ")+COUNTIF($E65:AD65,1),ColLivraison)=AE$6,
  VLOOKUP($E65,INDIRECT("tri!"&amp; CHAR(64+ C0Col) &amp;":"&amp; CHAR(65+C0Col)),2,FALSE)&gt;COUNTIF($E65:AD65,"u")+COUNTIF($E65:AD65,"t")+COUNTIF($E65:AD65,"¶")+COUNTIF($E65:AD65,"²")+COUNTIF($E65:AD65,"µ")+COUNTIF($E65:AD65,1)),
HYPERLINK("#Roadmap!C"&amp; MATCH($E65,Roadmap!$D:$D,0)+COUNTIF($E65:AD65,"u")+COUNTIF($E65:AD65,"t"),
     INDEX(Roadmap!$D:$K,MATCH($E65,Roadmap!$D:$D,0)+COUNTIF($E65:AD65,"u")+COUNTIF($E65:AD65,"t")+COUNTIF($E65:AD65,"¶")+COUNTIF($E65:AD65,"²")+COUNTIF($E65:AD65,"µ")+COUNTIF($E65:AD65,1),ColTypeEcheance)),
  IF(LEN(AD65)=1,
  IF(LEN(INDEX(Roadmap!$D:$K,MATCH($E65,Roadmap!$D:$D,0)-1+COUNTIF($E65:AD65,"u")+COUNTIF($E65:AD65,"t")+COUNTIF($E65:AD65,"¶")+COUNTIF($E65:AD65,"²")+COUNTIF($E65:AD65,"µ")+COUNTIF($E65:AD65,1),ColDescriptionCourte))&gt;1,
HYPERLINK("#Roadmap!C"&amp; MATCH($E65,Roadmap!$D:$D,0)+COUNTIF($E65:AD65,"u")+COUNTIF($E65:AD65,"t")+COUNTIF($E65:AD65,"¶")+COUNTIF($E65:AD65,"²")+COUNTIF($E65:AD65,"µ")+COUNTIF($E65:AD65,1)-1,INDEX(Roadmap!$D:$K,MATCH($E65,Roadmap!$D:$D,0)-1+COUNTIF($E65:AD65,"u")+COUNTIF($E65:AD65,"t")+COUNTIF($E65:AD65,"¶")+COUNTIF($E65:AD65,"²")+COUNTIF($E65:AD65,"µ")+COUNTIF($E65:AD65,1),ColDescriptionCourte)),""),
  "")),"")</f>
        <v/>
      </c>
      <c r="AF65" s="40" t="str">
        <f ca="1">IFERROR(IF(AND(
  INDEX(Roadmap!$D:$K,MATCH($E65,Roadmap!$D:$D,0)+COUNTIF($E65:AE65,"u")+COUNTIF($E65:AE65,"t")+COUNTIF($E65:AE65,"¶")+COUNTIF($E65:AE65,"²")+COUNTIF($E65:AE65,"µ")+COUNTIF($E65:AE65,1),ColLivraison)=AF$6,
  VLOOKUP($E65,INDIRECT("tri!"&amp; CHAR(64+ C0Col) &amp;":"&amp; CHAR(65+C0Col)),2,FALSE)&gt;COUNTIF($E65:AE65,"u")+COUNTIF($E65:AE65,"t")+COUNTIF($E65:AE65,"¶")+COUNTIF($E65:AE65,"²")+COUNTIF($E65:AE65,"µ")+COUNTIF($E65:AE65,1)),
HYPERLINK("#Roadmap!C"&amp; MATCH($E65,Roadmap!$D:$D,0)+COUNTIF($E65:AE65,"u")+COUNTIF($E65:AE65,"t"),
     INDEX(Roadmap!$D:$K,MATCH($E65,Roadmap!$D:$D,0)+COUNTIF($E65:AE65,"u")+COUNTIF($E65:AE65,"t")+COUNTIF($E65:AE65,"¶")+COUNTIF($E65:AE65,"²")+COUNTIF($E65:AE65,"µ")+COUNTIF($E65:AE65,1),ColTypeEcheance)),
  IF(LEN(AE65)=1,
  IF(LEN(INDEX(Roadmap!$D:$K,MATCH($E65,Roadmap!$D:$D,0)-1+COUNTIF($E65:AE65,"u")+COUNTIF($E65:AE65,"t")+COUNTIF($E65:AE65,"¶")+COUNTIF($E65:AE65,"²")+COUNTIF($E65:AE65,"µ")+COUNTIF($E65:AE65,1),ColDescriptionCourte))&gt;1,
HYPERLINK("#Roadmap!C"&amp; MATCH($E65,Roadmap!$D:$D,0)+COUNTIF($E65:AE65,"u")+COUNTIF($E65:AE65,"t")+COUNTIF($E65:AE65,"¶")+COUNTIF($E65:AE65,"²")+COUNTIF($E65:AE65,"µ")+COUNTIF($E65:AE65,1)-1,INDEX(Roadmap!$D:$K,MATCH($E65,Roadmap!$D:$D,0)-1+COUNTIF($E65:AE65,"u")+COUNTIF($E65:AE65,"t")+COUNTIF($E65:AE65,"¶")+COUNTIF($E65:AE65,"²")+COUNTIF($E65:AE65,"µ")+COUNTIF($E65:AE65,1),ColDescriptionCourte)),""),
  "")),"")</f>
        <v/>
      </c>
      <c r="AG65" s="40" t="str">
        <f ca="1">IFERROR(IF(AND(
  INDEX(Roadmap!$D:$K,MATCH($E65,Roadmap!$D:$D,0)+COUNTIF($E65:AF65,"u")+COUNTIF($E65:AF65,"t")+COUNTIF($E65:AF65,"¶")+COUNTIF($E65:AF65,"²")+COUNTIF($E65:AF65,"µ")+COUNTIF($E65:AF65,1),ColLivraison)=AG$6,
  VLOOKUP($E65,INDIRECT("tri!"&amp; CHAR(64+ C0Col) &amp;":"&amp; CHAR(65+C0Col)),2,FALSE)&gt;COUNTIF($E65:AF65,"u")+COUNTIF($E65:AF65,"t")+COUNTIF($E65:AF65,"¶")+COUNTIF($E65:AF65,"²")+COUNTIF($E65:AF65,"µ")+COUNTIF($E65:AF65,1)),
HYPERLINK("#Roadmap!C"&amp; MATCH($E65,Roadmap!$D:$D,0)+COUNTIF($E65:AF65,"u")+COUNTIF($E65:AF65,"t"),
     INDEX(Roadmap!$D:$K,MATCH($E65,Roadmap!$D:$D,0)+COUNTIF($E65:AF65,"u")+COUNTIF($E65:AF65,"t")+COUNTIF($E65:AF65,"¶")+COUNTIF($E65:AF65,"²")+COUNTIF($E65:AF65,"µ")+COUNTIF($E65:AF65,1),ColTypeEcheance)),
  IF(LEN(AF65)=1,
  IF(LEN(INDEX(Roadmap!$D:$K,MATCH($E65,Roadmap!$D:$D,0)-1+COUNTIF($E65:AF65,"u")+COUNTIF($E65:AF65,"t")+COUNTIF($E65:AF65,"¶")+COUNTIF($E65:AF65,"²")+COUNTIF($E65:AF65,"µ")+COUNTIF($E65:AF65,1),ColDescriptionCourte))&gt;1,
HYPERLINK("#Roadmap!C"&amp; MATCH($E65,Roadmap!$D:$D,0)+COUNTIF($E65:AF65,"u")+COUNTIF($E65:AF65,"t")+COUNTIF($E65:AF65,"¶")+COUNTIF($E65:AF65,"²")+COUNTIF($E65:AF65,"µ")+COUNTIF($E65:AF65,1)-1,INDEX(Roadmap!$D:$K,MATCH($E65,Roadmap!$D:$D,0)-1+COUNTIF($E65:AF65,"u")+COUNTIF($E65:AF65,"t")+COUNTIF($E65:AF65,"¶")+COUNTIF($E65:AF65,"²")+COUNTIF($E65:AF65,"µ")+COUNTIF($E65:AF65,1),ColDescriptionCourte)),""),
  "")),"")</f>
        <v/>
      </c>
    </row>
    <row r="66" spans="3:33" ht="14.25" customHeight="1">
      <c r="C66" s="1" t="str">
        <f t="shared" ca="1" si="44"/>
        <v/>
      </c>
      <c r="D66" s="1" t="str">
        <f t="shared" ca="1" si="45"/>
        <v/>
      </c>
      <c r="E66" s="35" t="str">
        <f t="shared" ca="1" si="33"/>
        <v/>
      </c>
      <c r="F66" s="39" t="str">
        <f ca="1">IFERROR(IF(AND(
  INDEX(Roadmap!$D:$K,MATCH($E66,Roadmap!$D:$D,0)+COUNTIF($E66:E66,"u")+COUNTIF($E66:E66,"t")+COUNTIF($E66:E66,"¶")+COUNTIF($E66:E66,"²")+COUNTIF($E66:E66,"µ")+COUNTIF($E66:E66,1),ColLivraison)=F$6,
  VLOOKUP($E66,INDIRECT("tri!"&amp; CHAR(64+ C0Col) &amp;":"&amp; CHAR(65+C0Col)),2,FALSE)&gt;COUNTIF($E66:E66,"u")+COUNTIF($E66:E66,"t")+COUNTIF($E66:E66,"¶")+COUNTIF($E66:E66,"²")+COUNTIF($E66:E66,"µ")+COUNTIF($E66:E66,1)),
HYPERLINK("#Roadmap!C"&amp; MATCH($E66,Roadmap!$D:$D,0)+COUNTIF($E66:E66,"u")+COUNTIF($E66:E66,"t"),
     INDEX(Roadmap!$D:$K,MATCH($E66,Roadmap!$D:$D,0)+COUNTIF($E66:E66,"u")+COUNTIF($E66:E66,"t")+COUNTIF($E66:E66,"¶")+COUNTIF($E66:E66,"²")+COUNTIF($E66:E66,"µ")+COUNTIF($E66:E66,1),ColTypeEcheance)),
  IF(LEN(E66)=1,
  IF(LEN(INDEX(Roadmap!$D:$K,MATCH($E66,Roadmap!$D:$D,0)-1+COUNTIF($E66:E66,"u")+COUNTIF($E66:E66,"t")+COUNTIF($E66:E66,"¶")+COUNTIF($E66:E66,"²")+COUNTIF($E66:E66,"µ")+COUNTIF($E66:E66,1),ColDescriptionCourte))&gt;1,
HYPERLINK("#Roadmap!C"&amp; MATCH($E66,Roadmap!$D:$D,0)+COUNTIF($E66:E66,"u")+COUNTIF($E66:E66,"t")+COUNTIF($E66:E66,"¶")+COUNTIF($E66:E66,"²")+COUNTIF($E66:E66,"µ")+COUNTIF($E66:E66,1)-1,INDEX(Roadmap!$D:$K,MATCH($E66,Roadmap!$D:$D,0)-1+COUNTIF($E66:E66,"u")+COUNTIF($E66:E66,"t")+COUNTIF($E66:E66,"¶")+COUNTIF($E66:E66,"²")+COUNTIF($E66:E66,"µ")+COUNTIF($E66:E66,1),ColDescriptionCourte)),""),
  "")),"")</f>
        <v/>
      </c>
      <c r="G66" s="40" t="str">
        <f ca="1">IFERROR(IF(AND(
  INDEX(Roadmap!$D:$K,MATCH($E66,Roadmap!$D:$D,0)+COUNTIF($E66:F66,"u")+COUNTIF($E66:F66,"t")+COUNTIF($E66:F66,"¶")+COUNTIF($E66:F66,"²")+COUNTIF($E66:F66,"µ")+COUNTIF($E66:F66,1),ColLivraison)=G$6,
  VLOOKUP($E66,INDIRECT("tri!"&amp; CHAR(64+ C0Col) &amp;":"&amp; CHAR(65+C0Col)),2,FALSE)&gt;COUNTIF($E66:F66,"u")+COUNTIF($E66:F66,"t")+COUNTIF($E66:F66,"¶")+COUNTIF($E66:F66,"²")+COUNTIF($E66:F66,"µ")+COUNTIF($E66:F66,1)),
HYPERLINK("#Roadmap!C"&amp; MATCH($E66,Roadmap!$D:$D,0)+COUNTIF($E66:F66,"u")+COUNTIF($E66:F66,"t"),
     INDEX(Roadmap!$D:$K,MATCH($E66,Roadmap!$D:$D,0)+COUNTIF($E66:F66,"u")+COUNTIF($E66:F66,"t")+COUNTIF($E66:F66,"¶")+COUNTIF($E66:F66,"²")+COUNTIF($E66:F66,"µ")+COUNTIF($E66:F66,1),ColTypeEcheance)),
  IF(LEN(F66)=1,
  IF(LEN(INDEX(Roadmap!$D:$K,MATCH($E66,Roadmap!$D:$D,0)-1+COUNTIF($E66:F66,"u")+COUNTIF($E66:F66,"t")+COUNTIF($E66:F66,"¶")+COUNTIF($E66:F66,"²")+COUNTIF($E66:F66,"µ")+COUNTIF($E66:F66,1),ColDescriptionCourte))&gt;1,
HYPERLINK("#Roadmap!C"&amp; MATCH($E66,Roadmap!$D:$D,0)+COUNTIF($E66:F66,"u")+COUNTIF($E66:F66,"t")+COUNTIF($E66:F66,"¶")+COUNTIF($E66:F66,"²")+COUNTIF($E66:F66,"µ")+COUNTIF($E66:F66,1)-1,INDEX(Roadmap!$D:$K,MATCH($E66,Roadmap!$D:$D,0)-1+COUNTIF($E66:F66,"u")+COUNTIF($E66:F66,"t")+COUNTIF($E66:F66,"¶")+COUNTIF($E66:F66,"²")+COUNTIF($E66:F66,"µ")+COUNTIF($E66:F66,1),ColDescriptionCourte)),""),
  "")),"")</f>
        <v/>
      </c>
      <c r="H66" s="40" t="str">
        <f ca="1">IFERROR(IF(AND(
  INDEX(Roadmap!$D:$K,MATCH($E66,Roadmap!$D:$D,0)+COUNTIF($E66:G66,"u")+COUNTIF($E66:G66,"t")+COUNTIF($E66:G66,"¶")+COUNTIF($E66:G66,"²")+COUNTIF($E66:G66,"µ")+COUNTIF($E66:G66,1),ColLivraison)=H$6,
  VLOOKUP($E66,INDIRECT("tri!"&amp; CHAR(64+ C0Col) &amp;":"&amp; CHAR(65+C0Col)),2,FALSE)&gt;COUNTIF($E66:G66,"u")+COUNTIF($E66:G66,"t")+COUNTIF($E66:G66,"¶")+COUNTIF($E66:G66,"²")+COUNTIF($E66:G66,"µ")+COUNTIF($E66:G66,1)),
HYPERLINK("#Roadmap!C"&amp; MATCH($E66,Roadmap!$D:$D,0)+COUNTIF($E66:G66,"u")+COUNTIF($E66:G66,"t"),
     INDEX(Roadmap!$D:$K,MATCH($E66,Roadmap!$D:$D,0)+COUNTIF($E66:G66,"u")+COUNTIF($E66:G66,"t")+COUNTIF($E66:G66,"¶")+COUNTIF($E66:G66,"²")+COUNTIF($E66:G66,"µ")+COUNTIF($E66:G66,1),ColTypeEcheance)),
  IF(LEN(G66)=1,
  IF(LEN(INDEX(Roadmap!$D:$K,MATCH($E66,Roadmap!$D:$D,0)-1+COUNTIF($E66:G66,"u")+COUNTIF($E66:G66,"t")+COUNTIF($E66:G66,"¶")+COUNTIF($E66:G66,"²")+COUNTIF($E66:G66,"µ")+COUNTIF($E66:G66,1),ColDescriptionCourte))&gt;1,
HYPERLINK("#Roadmap!C"&amp; MATCH($E66,Roadmap!$D:$D,0)+COUNTIF($E66:G66,"u")+COUNTIF($E66:G66,"t")+COUNTIF($E66:G66,"¶")+COUNTIF($E66:G66,"²")+COUNTIF($E66:G66,"µ")+COUNTIF($E66:G66,1)-1,INDEX(Roadmap!$D:$K,MATCH($E66,Roadmap!$D:$D,0)-1+COUNTIF($E66:G66,"u")+COUNTIF($E66:G66,"t")+COUNTIF($E66:G66,"¶")+COUNTIF($E66:G66,"²")+COUNTIF($E66:G66,"µ")+COUNTIF($E66:G66,1),ColDescriptionCourte)),""),
  "")),"")</f>
        <v/>
      </c>
      <c r="I66" s="40" t="str">
        <f ca="1">IFERROR(IF(AND(
  INDEX(Roadmap!$D:$K,MATCH($E66,Roadmap!$D:$D,0)+COUNTIF($E66:H66,"u")+COUNTIF($E66:H66,"t")+COUNTIF($E66:H66,"¶")+COUNTIF($E66:H66,"²")+COUNTIF($E66:H66,"µ")+COUNTIF($E66:H66,1),ColLivraison)=I$6,
  VLOOKUP($E66,INDIRECT("tri!"&amp; CHAR(64+ C0Col) &amp;":"&amp; CHAR(65+C0Col)),2,FALSE)&gt;COUNTIF($E66:H66,"u")+COUNTIF($E66:H66,"t")+COUNTIF($E66:H66,"¶")+COUNTIF($E66:H66,"²")+COUNTIF($E66:H66,"µ")+COUNTIF($E66:H66,1)),
HYPERLINK("#Roadmap!C"&amp; MATCH($E66,Roadmap!$D:$D,0)+COUNTIF($E66:H66,"u")+COUNTIF($E66:H66,"t"),
     INDEX(Roadmap!$D:$K,MATCH($E66,Roadmap!$D:$D,0)+COUNTIF($E66:H66,"u")+COUNTIF($E66:H66,"t")+COUNTIF($E66:H66,"¶")+COUNTIF($E66:H66,"²")+COUNTIF($E66:H66,"µ")+COUNTIF($E66:H66,1),ColTypeEcheance)),
  IF(LEN(H66)=1,
  IF(LEN(INDEX(Roadmap!$D:$K,MATCH($E66,Roadmap!$D:$D,0)-1+COUNTIF($E66:H66,"u")+COUNTIF($E66:H66,"t")+COUNTIF($E66:H66,"¶")+COUNTIF($E66:H66,"²")+COUNTIF($E66:H66,"µ")+COUNTIF($E66:H66,1),ColDescriptionCourte))&gt;1,
HYPERLINK("#Roadmap!C"&amp; MATCH($E66,Roadmap!$D:$D,0)+COUNTIF($E66:H66,"u")+COUNTIF($E66:H66,"t")+COUNTIF($E66:H66,"¶")+COUNTIF($E66:H66,"²")+COUNTIF($E66:H66,"µ")+COUNTIF($E66:H66,1)-1,INDEX(Roadmap!$D:$K,MATCH($E66,Roadmap!$D:$D,0)-1+COUNTIF($E66:H66,"u")+COUNTIF($E66:H66,"t")+COUNTIF($E66:H66,"¶")+COUNTIF($E66:H66,"²")+COUNTIF($E66:H66,"µ")+COUNTIF($E66:H66,1),ColDescriptionCourte)),""),
  "")),"")</f>
        <v/>
      </c>
      <c r="J66" s="40" t="str">
        <f ca="1">IFERROR(IF(AND(
  INDEX(Roadmap!$D:$K,MATCH($E66,Roadmap!$D:$D,0)+COUNTIF($E66:I66,"u")+COUNTIF($E66:I66,"t")+COUNTIF($E66:I66,"¶")+COUNTIF($E66:I66,"²")+COUNTIF($E66:I66,"µ")+COUNTIF($E66:I66,1),ColLivraison)=J$6,
  VLOOKUP($E66,INDIRECT("tri!"&amp; CHAR(64+ C0Col) &amp;":"&amp; CHAR(65+C0Col)),2,FALSE)&gt;COUNTIF($E66:I66,"u")+COUNTIF($E66:I66,"t")+COUNTIF($E66:I66,"¶")+COUNTIF($E66:I66,"²")+COUNTIF($E66:I66,"µ")+COUNTIF($E66:I66,1)),
HYPERLINK("#Roadmap!C"&amp; MATCH($E66,Roadmap!$D:$D,0)+COUNTIF($E66:I66,"u")+COUNTIF($E66:I66,"t"),
     INDEX(Roadmap!$D:$K,MATCH($E66,Roadmap!$D:$D,0)+COUNTIF($E66:I66,"u")+COUNTIF($E66:I66,"t")+COUNTIF($E66:I66,"¶")+COUNTIF($E66:I66,"²")+COUNTIF($E66:I66,"µ")+COUNTIF($E66:I66,1),ColTypeEcheance)),
  IF(LEN(I66)=1,
  IF(LEN(INDEX(Roadmap!$D:$K,MATCH($E66,Roadmap!$D:$D,0)-1+COUNTIF($E66:I66,"u")+COUNTIF($E66:I66,"t")+COUNTIF($E66:I66,"¶")+COUNTIF($E66:I66,"²")+COUNTIF($E66:I66,"µ")+COUNTIF($E66:I66,1),ColDescriptionCourte))&gt;1,
HYPERLINK("#Roadmap!C"&amp; MATCH($E66,Roadmap!$D:$D,0)+COUNTIF($E66:I66,"u")+COUNTIF($E66:I66,"t")+COUNTIF($E66:I66,"¶")+COUNTIF($E66:I66,"²")+COUNTIF($E66:I66,"µ")+COUNTIF($E66:I66,1)-1,INDEX(Roadmap!$D:$K,MATCH($E66,Roadmap!$D:$D,0)-1+COUNTIF($E66:I66,"u")+COUNTIF($E66:I66,"t")+COUNTIF($E66:I66,"¶")+COUNTIF($E66:I66,"²")+COUNTIF($E66:I66,"µ")+COUNTIF($E66:I66,1),ColDescriptionCourte)),""),
  "")),"")</f>
        <v/>
      </c>
      <c r="K66" s="40" t="str">
        <f ca="1">IFERROR(IF(AND(
  INDEX(Roadmap!$D:$K,MATCH($E66,Roadmap!$D:$D,0)+COUNTIF($E66:J66,"u")+COUNTIF($E66:J66,"t")+COUNTIF($E66:J66,"¶")+COUNTIF($E66:J66,"²")+COUNTIF($E66:J66,"µ")+COUNTIF($E66:J66,1),ColLivraison)=K$6,
  VLOOKUP($E66,INDIRECT("tri!"&amp; CHAR(64+ C0Col) &amp;":"&amp; CHAR(65+C0Col)),2,FALSE)&gt;COUNTIF($E66:J66,"u")+COUNTIF($E66:J66,"t")+COUNTIF($E66:J66,"¶")+COUNTIF($E66:J66,"²")+COUNTIF($E66:J66,"µ")+COUNTIF($E66:J66,1)),
HYPERLINK("#Roadmap!C"&amp; MATCH($E66,Roadmap!$D:$D,0)+COUNTIF($E66:J66,"u")+COUNTIF($E66:J66,"t"),
     INDEX(Roadmap!$D:$K,MATCH($E66,Roadmap!$D:$D,0)+COUNTIF($E66:J66,"u")+COUNTIF($E66:J66,"t")+COUNTIF($E66:J66,"¶")+COUNTIF($E66:J66,"²")+COUNTIF($E66:J66,"µ")+COUNTIF($E66:J66,1),ColTypeEcheance)),
  IF(LEN(J66)=1,
  IF(LEN(INDEX(Roadmap!$D:$K,MATCH($E66,Roadmap!$D:$D,0)-1+COUNTIF($E66:J66,"u")+COUNTIF($E66:J66,"t")+COUNTIF($E66:J66,"¶")+COUNTIF($E66:J66,"²")+COUNTIF($E66:J66,"µ")+COUNTIF($E66:J66,1),ColDescriptionCourte))&gt;1,
HYPERLINK("#Roadmap!C"&amp; MATCH($E66,Roadmap!$D:$D,0)+COUNTIF($E66:J66,"u")+COUNTIF($E66:J66,"t")+COUNTIF($E66:J66,"¶")+COUNTIF($E66:J66,"²")+COUNTIF($E66:J66,"µ")+COUNTIF($E66:J66,1)-1,INDEX(Roadmap!$D:$K,MATCH($E66,Roadmap!$D:$D,0)-1+COUNTIF($E66:J66,"u")+COUNTIF($E66:J66,"t")+COUNTIF($E66:J66,"¶")+COUNTIF($E66:J66,"²")+COUNTIF($E66:J66,"µ")+COUNTIF($E66:J66,1),ColDescriptionCourte)),""),
  "")),"")</f>
        <v/>
      </c>
      <c r="L66" s="39" t="str">
        <f ca="1">IFERROR(IF(AND(
  INDEX(Roadmap!$D:$K,MATCH($E66,Roadmap!$D:$D,0)+COUNTIF($E66:K66,"u")+COUNTIF($E66:K66,"t")+COUNTIF($E66:K66,"¶")+COUNTIF($E66:K66,"²")+COUNTIF($E66:K66,"µ")+COUNTIF($E66:K66,1),ColLivraison)=L$6,
  VLOOKUP($E66,INDIRECT("tri!"&amp; CHAR(64+ C0Col) &amp;":"&amp; CHAR(65+C0Col)),2,FALSE)&gt;COUNTIF($E66:K66,"u")+COUNTIF($E66:K66,"t")+COUNTIF($E66:K66,"¶")+COUNTIF($E66:K66,"²")+COUNTIF($E66:K66,"µ")+COUNTIF($E66:K66,1)),
HYPERLINK("#Roadmap!C"&amp; MATCH($E66,Roadmap!$D:$D,0)+COUNTIF($E66:K66,"u")+COUNTIF($E66:K66,"t"),
     INDEX(Roadmap!$D:$K,MATCH($E66,Roadmap!$D:$D,0)+COUNTIF($E66:K66,"u")+COUNTIF($E66:K66,"t")+COUNTIF($E66:K66,"¶")+COUNTIF($E66:K66,"²")+COUNTIF($E66:K66,"µ")+COUNTIF($E66:K66,1),ColTypeEcheance)),
  IF(LEN(K66)=1,
  IF(LEN(INDEX(Roadmap!$D:$K,MATCH($E66,Roadmap!$D:$D,0)-1+COUNTIF($E66:K66,"u")+COUNTIF($E66:K66,"t")+COUNTIF($E66:K66,"¶")+COUNTIF($E66:K66,"²")+COUNTIF($E66:K66,"µ")+COUNTIF($E66:K66,1),ColDescriptionCourte))&gt;1,
HYPERLINK("#Roadmap!C"&amp; MATCH($E66,Roadmap!$D:$D,0)+COUNTIF($E66:K66,"u")+COUNTIF($E66:K66,"t")+COUNTIF($E66:K66,"¶")+COUNTIF($E66:K66,"²")+COUNTIF($E66:K66,"µ")+COUNTIF($E66:K66,1)-1,INDEX(Roadmap!$D:$K,MATCH($E66,Roadmap!$D:$D,0)-1+COUNTIF($E66:K66,"u")+COUNTIF($E66:K66,"t")+COUNTIF($E66:K66,"¶")+COUNTIF($E66:K66,"²")+COUNTIF($E66:K66,"µ")+COUNTIF($E66:K66,1),ColDescriptionCourte)),""),
  "")),"")</f>
        <v/>
      </c>
      <c r="M66" s="40" t="str">
        <f ca="1">IFERROR(IF(AND(
  INDEX(Roadmap!$D:$K,MATCH($E66,Roadmap!$D:$D,0)+COUNTIF($E66:L66,"u")+COUNTIF($E66:L66,"t")+COUNTIF($E66:L66,"¶")+COUNTIF($E66:L66,"²")+COUNTIF($E66:L66,"µ")+COUNTIF($E66:L66,1),ColLivraison)=M$6,
  VLOOKUP($E66,INDIRECT("tri!"&amp; CHAR(64+ C0Col) &amp;":"&amp; CHAR(65+C0Col)),2,FALSE)&gt;COUNTIF($E66:L66,"u")+COUNTIF($E66:L66,"t")+COUNTIF($E66:L66,"¶")+COUNTIF($E66:L66,"²")+COUNTIF($E66:L66,"µ")+COUNTIF($E66:L66,1)),
HYPERLINK("#Roadmap!C"&amp; MATCH($E66,Roadmap!$D:$D,0)+COUNTIF($E66:L66,"u")+COUNTIF($E66:L66,"t"),
     INDEX(Roadmap!$D:$K,MATCH($E66,Roadmap!$D:$D,0)+COUNTIF($E66:L66,"u")+COUNTIF($E66:L66,"t")+COUNTIF($E66:L66,"¶")+COUNTIF($E66:L66,"²")+COUNTIF($E66:L66,"µ")+COUNTIF($E66:L66,1),ColTypeEcheance)),
  IF(LEN(L66)=1,
  IF(LEN(INDEX(Roadmap!$D:$K,MATCH($E66,Roadmap!$D:$D,0)-1+COUNTIF($E66:L66,"u")+COUNTIF($E66:L66,"t")+COUNTIF($E66:L66,"¶")+COUNTIF($E66:L66,"²")+COUNTIF($E66:L66,"µ")+COUNTIF($E66:L66,1),ColDescriptionCourte))&gt;1,
HYPERLINK("#Roadmap!C"&amp; MATCH($E66,Roadmap!$D:$D,0)+COUNTIF($E66:L66,"u")+COUNTIF($E66:L66,"t")+COUNTIF($E66:L66,"¶")+COUNTIF($E66:L66,"²")+COUNTIF($E66:L66,"µ")+COUNTIF($E66:L66,1)-1,INDEX(Roadmap!$D:$K,MATCH($E66,Roadmap!$D:$D,0)-1+COUNTIF($E66:L66,"u")+COUNTIF($E66:L66,"t")+COUNTIF($E66:L66,"¶")+COUNTIF($E66:L66,"²")+COUNTIF($E66:L66,"µ")+COUNTIF($E66:L66,1),ColDescriptionCourte)),""),
  "")),"")</f>
        <v/>
      </c>
      <c r="N66" s="40" t="str">
        <f ca="1">IFERROR(IF(AND(
  INDEX(Roadmap!$D:$K,MATCH($E66,Roadmap!$D:$D,0)+COUNTIF($E66:M66,"u")+COUNTIF($E66:M66,"t")+COUNTIF($E66:M66,"¶")+COUNTIF($E66:M66,"²")+COUNTIF($E66:M66,"µ")+COUNTIF($E66:M66,1),ColLivraison)=N$6,
  VLOOKUP($E66,INDIRECT("tri!"&amp; CHAR(64+ C0Col) &amp;":"&amp; CHAR(65+C0Col)),2,FALSE)&gt;COUNTIF($E66:M66,"u")+COUNTIF($E66:M66,"t")+COUNTIF($E66:M66,"¶")+COUNTIF($E66:M66,"²")+COUNTIF($E66:M66,"µ")+COUNTIF($E66:M66,1)),
HYPERLINK("#Roadmap!C"&amp; MATCH($E66,Roadmap!$D:$D,0)+COUNTIF($E66:M66,"u")+COUNTIF($E66:M66,"t"),
     INDEX(Roadmap!$D:$K,MATCH($E66,Roadmap!$D:$D,0)+COUNTIF($E66:M66,"u")+COUNTIF($E66:M66,"t")+COUNTIF($E66:M66,"¶")+COUNTIF($E66:M66,"²")+COUNTIF($E66:M66,"µ")+COUNTIF($E66:M66,1),ColTypeEcheance)),
  IF(LEN(M66)=1,
  IF(LEN(INDEX(Roadmap!$D:$K,MATCH($E66,Roadmap!$D:$D,0)-1+COUNTIF($E66:M66,"u")+COUNTIF($E66:M66,"t")+COUNTIF($E66:M66,"¶")+COUNTIF($E66:M66,"²")+COUNTIF($E66:M66,"µ")+COUNTIF($E66:M66,1),ColDescriptionCourte))&gt;1,
HYPERLINK("#Roadmap!C"&amp; MATCH($E66,Roadmap!$D:$D,0)+COUNTIF($E66:M66,"u")+COUNTIF($E66:M66,"t")+COUNTIF($E66:M66,"¶")+COUNTIF($E66:M66,"²")+COUNTIF($E66:M66,"µ")+COUNTIF($E66:M66,1)-1,INDEX(Roadmap!$D:$K,MATCH($E66,Roadmap!$D:$D,0)-1+COUNTIF($E66:M66,"u")+COUNTIF($E66:M66,"t")+COUNTIF($E66:M66,"¶")+COUNTIF($E66:M66,"²")+COUNTIF($E66:M66,"µ")+COUNTIF($E66:M66,1),ColDescriptionCourte)),""),
  "")),"")</f>
        <v/>
      </c>
      <c r="O66" s="40" t="str">
        <f ca="1">IFERROR(IF(AND(
  INDEX(Roadmap!$D:$K,MATCH($E66,Roadmap!$D:$D,0)+COUNTIF($E66:N66,"u")+COUNTIF($E66:N66,"t")+COUNTIF($E66:N66,"¶")+COUNTIF($E66:N66,"²")+COUNTIF($E66:N66,"µ")+COUNTIF($E66:N66,1),ColLivraison)=O$6,
  VLOOKUP($E66,INDIRECT("tri!"&amp; CHAR(64+ C0Col) &amp;":"&amp; CHAR(65+C0Col)),2,FALSE)&gt;COUNTIF($E66:N66,"u")+COUNTIF($E66:N66,"t")+COUNTIF($E66:N66,"¶")+COUNTIF($E66:N66,"²")+COUNTIF($E66:N66,"µ")+COUNTIF($E66:N66,1)),
HYPERLINK("#Roadmap!C"&amp; MATCH($E66,Roadmap!$D:$D,0)+COUNTIF($E66:N66,"u")+COUNTIF($E66:N66,"t"),
     INDEX(Roadmap!$D:$K,MATCH($E66,Roadmap!$D:$D,0)+COUNTIF($E66:N66,"u")+COUNTIF($E66:N66,"t")+COUNTIF($E66:N66,"¶")+COUNTIF($E66:N66,"²")+COUNTIF($E66:N66,"µ")+COUNTIF($E66:N66,1),ColTypeEcheance)),
  IF(LEN(N66)=1,
  IF(LEN(INDEX(Roadmap!$D:$K,MATCH($E66,Roadmap!$D:$D,0)-1+COUNTIF($E66:N66,"u")+COUNTIF($E66:N66,"t")+COUNTIF($E66:N66,"¶")+COUNTIF($E66:N66,"²")+COUNTIF($E66:N66,"µ")+COUNTIF($E66:N66,1),ColDescriptionCourte))&gt;1,
HYPERLINK("#Roadmap!C"&amp; MATCH($E66,Roadmap!$D:$D,0)+COUNTIF($E66:N66,"u")+COUNTIF($E66:N66,"t")+COUNTIF($E66:N66,"¶")+COUNTIF($E66:N66,"²")+COUNTIF($E66:N66,"µ")+COUNTIF($E66:N66,1)-1,INDEX(Roadmap!$D:$K,MATCH($E66,Roadmap!$D:$D,0)-1+COUNTIF($E66:N66,"u")+COUNTIF($E66:N66,"t")+COUNTIF($E66:N66,"¶")+COUNTIF($E66:N66,"²")+COUNTIF($E66:N66,"µ")+COUNTIF($E66:N66,1),ColDescriptionCourte)),""),
  "")),"")</f>
        <v/>
      </c>
      <c r="P66" s="40" t="str">
        <f ca="1">IFERROR(IF(AND(
  INDEX(Roadmap!$D:$K,MATCH($E66,Roadmap!$D:$D,0)+COUNTIF($E66:O66,"u")+COUNTIF($E66:O66,"t")+COUNTIF($E66:O66,"¶")+COUNTIF($E66:O66,"²")+COUNTIF($E66:O66,"µ")+COUNTIF($E66:O66,1),ColLivraison)=P$6,
  VLOOKUP($E66,INDIRECT("tri!"&amp; CHAR(64+ C0Col) &amp;":"&amp; CHAR(65+C0Col)),2,FALSE)&gt;COUNTIF($E66:O66,"u")+COUNTIF($E66:O66,"t")+COUNTIF($E66:O66,"¶")+COUNTIF($E66:O66,"²")+COUNTIF($E66:O66,"µ")+COUNTIF($E66:O66,1)),
HYPERLINK("#Roadmap!C"&amp; MATCH($E66,Roadmap!$D:$D,0)+COUNTIF($E66:O66,"u")+COUNTIF($E66:O66,"t"),
     INDEX(Roadmap!$D:$K,MATCH($E66,Roadmap!$D:$D,0)+COUNTIF($E66:O66,"u")+COUNTIF($E66:O66,"t")+COUNTIF($E66:O66,"¶")+COUNTIF($E66:O66,"²")+COUNTIF($E66:O66,"µ")+COUNTIF($E66:O66,1),ColTypeEcheance)),
  IF(LEN(O66)=1,
  IF(LEN(INDEX(Roadmap!$D:$K,MATCH($E66,Roadmap!$D:$D,0)-1+COUNTIF($E66:O66,"u")+COUNTIF($E66:O66,"t")+COUNTIF($E66:O66,"¶")+COUNTIF($E66:O66,"²")+COUNTIF($E66:O66,"µ")+COUNTIF($E66:O66,1),ColDescriptionCourte))&gt;1,
HYPERLINK("#Roadmap!C"&amp; MATCH($E66,Roadmap!$D:$D,0)+COUNTIF($E66:O66,"u")+COUNTIF($E66:O66,"t")+COUNTIF($E66:O66,"¶")+COUNTIF($E66:O66,"²")+COUNTIF($E66:O66,"µ")+COUNTIF($E66:O66,1)-1,INDEX(Roadmap!$D:$K,MATCH($E66,Roadmap!$D:$D,0)-1+COUNTIF($E66:O66,"u")+COUNTIF($E66:O66,"t")+COUNTIF($E66:O66,"¶")+COUNTIF($E66:O66,"²")+COUNTIF($E66:O66,"µ")+COUNTIF($E66:O66,1),ColDescriptionCourte)),""),
  "")),"")</f>
        <v/>
      </c>
      <c r="Q66" s="40" t="str">
        <f ca="1">IFERROR(IF(AND(
  INDEX(Roadmap!$D:$K,MATCH($E66,Roadmap!$D:$D,0)+COUNTIF($E66:P66,"u")+COUNTIF($E66:P66,"t")+COUNTIF($E66:P66,"¶")+COUNTIF($E66:P66,"²")+COUNTIF($E66:P66,"µ")+COUNTIF($E66:P66,1),ColLivraison)=Q$6,
  VLOOKUP($E66,INDIRECT("tri!"&amp; CHAR(64+ C0Col) &amp;":"&amp; CHAR(65+C0Col)),2,FALSE)&gt;COUNTIF($E66:P66,"u")+COUNTIF($E66:P66,"t")+COUNTIF($E66:P66,"¶")+COUNTIF($E66:P66,"²")+COUNTIF($E66:P66,"µ")+COUNTIF($E66:P66,1)),
HYPERLINK("#Roadmap!C"&amp; MATCH($E66,Roadmap!$D:$D,0)+COUNTIF($E66:P66,"u")+COUNTIF($E66:P66,"t"),
     INDEX(Roadmap!$D:$K,MATCH($E66,Roadmap!$D:$D,0)+COUNTIF($E66:P66,"u")+COUNTIF($E66:P66,"t")+COUNTIF($E66:P66,"¶")+COUNTIF($E66:P66,"²")+COUNTIF($E66:P66,"µ")+COUNTIF($E66:P66,1),ColTypeEcheance)),
  IF(LEN(P66)=1,
  IF(LEN(INDEX(Roadmap!$D:$K,MATCH($E66,Roadmap!$D:$D,0)-1+COUNTIF($E66:P66,"u")+COUNTIF($E66:P66,"t")+COUNTIF($E66:P66,"¶")+COUNTIF($E66:P66,"²")+COUNTIF($E66:P66,"µ")+COUNTIF($E66:P66,1),ColDescriptionCourte))&gt;1,
HYPERLINK("#Roadmap!C"&amp; MATCH($E66,Roadmap!$D:$D,0)+COUNTIF($E66:P66,"u")+COUNTIF($E66:P66,"t")+COUNTIF($E66:P66,"¶")+COUNTIF($E66:P66,"²")+COUNTIF($E66:P66,"µ")+COUNTIF($E66:P66,1)-1,INDEX(Roadmap!$D:$K,MATCH($E66,Roadmap!$D:$D,0)-1+COUNTIF($E66:P66,"u")+COUNTIF($E66:P66,"t")+COUNTIF($E66:P66,"¶")+COUNTIF($E66:P66,"²")+COUNTIF($E66:P66,"µ")+COUNTIF($E66:P66,1),ColDescriptionCourte)),""),
  "")),"")</f>
        <v/>
      </c>
      <c r="R66" s="40" t="str">
        <f ca="1">IFERROR(IF(AND(
  INDEX(Roadmap!$D:$K,MATCH($E66,Roadmap!$D:$D,0)+COUNTIF($E66:Q66,"u")+COUNTIF($E66:Q66,"t")+COUNTIF($E66:Q66,"¶")+COUNTIF($E66:Q66,"²")+COUNTIF($E66:Q66,"µ")+COUNTIF($E66:Q66,1),ColLivraison)=R$6,
  VLOOKUP($E66,INDIRECT("tri!"&amp; CHAR(64+ C0Col) &amp;":"&amp; CHAR(65+C0Col)),2,FALSE)&gt;COUNTIF($E66:Q66,"u")+COUNTIF($E66:Q66,"t")+COUNTIF($E66:Q66,"¶")+COUNTIF($E66:Q66,"²")+COUNTIF($E66:Q66,"µ")+COUNTIF($E66:Q66,1)),
HYPERLINK("#Roadmap!C"&amp; MATCH($E66,Roadmap!$D:$D,0)+COUNTIF($E66:Q66,"u")+COUNTIF($E66:Q66,"t"),
     INDEX(Roadmap!$D:$K,MATCH($E66,Roadmap!$D:$D,0)+COUNTIF($E66:Q66,"u")+COUNTIF($E66:Q66,"t")+COUNTIF($E66:Q66,"¶")+COUNTIF($E66:Q66,"²")+COUNTIF($E66:Q66,"µ")+COUNTIF($E66:Q66,1),ColTypeEcheance)),
  IF(LEN(Q66)=1,
  IF(LEN(INDEX(Roadmap!$D:$K,MATCH($E66,Roadmap!$D:$D,0)-1+COUNTIF($E66:Q66,"u")+COUNTIF($E66:Q66,"t")+COUNTIF($E66:Q66,"¶")+COUNTIF($E66:Q66,"²")+COUNTIF($E66:Q66,"µ")+COUNTIF($E66:Q66,1),ColDescriptionCourte))&gt;1,
HYPERLINK("#Roadmap!C"&amp; MATCH($E66,Roadmap!$D:$D,0)+COUNTIF($E66:Q66,"u")+COUNTIF($E66:Q66,"t")+COUNTIF($E66:Q66,"¶")+COUNTIF($E66:Q66,"²")+COUNTIF($E66:Q66,"µ")+COUNTIF($E66:Q66,1)-1,INDEX(Roadmap!$D:$K,MATCH($E66,Roadmap!$D:$D,0)-1+COUNTIF($E66:Q66,"u")+COUNTIF($E66:Q66,"t")+COUNTIF($E66:Q66,"¶")+COUNTIF($E66:Q66,"²")+COUNTIF($E66:Q66,"µ")+COUNTIF($E66:Q66,1),ColDescriptionCourte)),""),
  "")),"")</f>
        <v/>
      </c>
      <c r="S66" s="40" t="str">
        <f ca="1">IFERROR(IF(AND(
  INDEX(Roadmap!$D:$K,MATCH($E66,Roadmap!$D:$D,0)+COUNTIF($E66:R66,"u")+COUNTIF($E66:R66,"t")+COUNTIF($E66:R66,"¶")+COUNTIF($E66:R66,"²")+COUNTIF($E66:R66,"µ")+COUNTIF($E66:R66,1),ColLivraison)=S$6,
  VLOOKUP($E66,INDIRECT("tri!"&amp; CHAR(64+ C0Col) &amp;":"&amp; CHAR(65+C0Col)),2,FALSE)&gt;COUNTIF($E66:R66,"u")+COUNTIF($E66:R66,"t")+COUNTIF($E66:R66,"¶")+COUNTIF($E66:R66,"²")+COUNTIF($E66:R66,"µ")+COUNTIF($E66:R66,1)),
HYPERLINK("#Roadmap!C"&amp; MATCH($E66,Roadmap!$D:$D,0)+COUNTIF($E66:R66,"u")+COUNTIF($E66:R66,"t"),
     INDEX(Roadmap!$D:$K,MATCH($E66,Roadmap!$D:$D,0)+COUNTIF($E66:R66,"u")+COUNTIF($E66:R66,"t")+COUNTIF($E66:R66,"¶")+COUNTIF($E66:R66,"²")+COUNTIF($E66:R66,"µ")+COUNTIF($E66:R66,1),ColTypeEcheance)),
  IF(LEN(R66)=1,
  IF(LEN(INDEX(Roadmap!$D:$K,MATCH($E66,Roadmap!$D:$D,0)-1+COUNTIF($E66:R66,"u")+COUNTIF($E66:R66,"t")+COUNTIF($E66:R66,"¶")+COUNTIF($E66:R66,"²")+COUNTIF($E66:R66,"µ")+COUNTIF($E66:R66,1),ColDescriptionCourte))&gt;1,
HYPERLINK("#Roadmap!C"&amp; MATCH($E66,Roadmap!$D:$D,0)+COUNTIF($E66:R66,"u")+COUNTIF($E66:R66,"t")+COUNTIF($E66:R66,"¶")+COUNTIF($E66:R66,"²")+COUNTIF($E66:R66,"µ")+COUNTIF($E66:R66,1)-1,INDEX(Roadmap!$D:$K,MATCH($E66,Roadmap!$D:$D,0)-1+COUNTIF($E66:R66,"u")+COUNTIF($E66:R66,"t")+COUNTIF($E66:R66,"¶")+COUNTIF($E66:R66,"²")+COUNTIF($E66:R66,"µ")+COUNTIF($E66:R66,1),ColDescriptionCourte)),""),
  "")),"")</f>
        <v/>
      </c>
      <c r="T66" s="40" t="str">
        <f ca="1">IFERROR(IF(AND(
  INDEX(Roadmap!$D:$K,MATCH($E66,Roadmap!$D:$D,0)+COUNTIF($E66:S66,"u")+COUNTIF($E66:S66,"t")+COUNTIF($E66:S66,"¶")+COUNTIF($E66:S66,"²")+COUNTIF($E66:S66,"µ")+COUNTIF($E66:S66,1),ColLivraison)=T$6,
  VLOOKUP($E66,INDIRECT("tri!"&amp; CHAR(64+ C0Col) &amp;":"&amp; CHAR(65+C0Col)),2,FALSE)&gt;COUNTIF($E66:S66,"u")+COUNTIF($E66:S66,"t")+COUNTIF($E66:S66,"¶")+COUNTIF($E66:S66,"²")+COUNTIF($E66:S66,"µ")+COUNTIF($E66:S66,1)),
HYPERLINK("#Roadmap!C"&amp; MATCH($E66,Roadmap!$D:$D,0)+COUNTIF($E66:S66,"u")+COUNTIF($E66:S66,"t"),
     INDEX(Roadmap!$D:$K,MATCH($E66,Roadmap!$D:$D,0)+COUNTIF($E66:S66,"u")+COUNTIF($E66:S66,"t")+COUNTIF($E66:S66,"¶")+COUNTIF($E66:S66,"²")+COUNTIF($E66:S66,"µ")+COUNTIF($E66:S66,1),ColTypeEcheance)),
  IF(LEN(S66)=1,
  IF(LEN(INDEX(Roadmap!$D:$K,MATCH($E66,Roadmap!$D:$D,0)-1+COUNTIF($E66:S66,"u")+COUNTIF($E66:S66,"t")+COUNTIF($E66:S66,"¶")+COUNTIF($E66:S66,"²")+COUNTIF($E66:S66,"µ")+COUNTIF($E66:S66,1),ColDescriptionCourte))&gt;1,
HYPERLINK("#Roadmap!C"&amp; MATCH($E66,Roadmap!$D:$D,0)+COUNTIF($E66:S66,"u")+COUNTIF($E66:S66,"t")+COUNTIF($E66:S66,"¶")+COUNTIF($E66:S66,"²")+COUNTIF($E66:S66,"µ")+COUNTIF($E66:S66,1)-1,INDEX(Roadmap!$D:$K,MATCH($E66,Roadmap!$D:$D,0)-1+COUNTIF($E66:S66,"u")+COUNTIF($E66:S66,"t")+COUNTIF($E66:S66,"¶")+COUNTIF($E66:S66,"²")+COUNTIF($E66:S66,"µ")+COUNTIF($E66:S66,1),ColDescriptionCourte)),""),
  "")),"")</f>
        <v/>
      </c>
      <c r="U66" s="40" t="str">
        <f ca="1">IFERROR(IF(AND(
  INDEX(Roadmap!$D:$K,MATCH($E66,Roadmap!$D:$D,0)+COUNTIF($E66:T66,"u")+COUNTIF($E66:T66,"t")+COUNTIF($E66:T66,"¶")+COUNTIF($E66:T66,"²")+COUNTIF($E66:T66,"µ")+COUNTIF($E66:T66,1),ColLivraison)=U$6,
  VLOOKUP($E66,INDIRECT("tri!"&amp; CHAR(64+ C0Col) &amp;":"&amp; CHAR(65+C0Col)),2,FALSE)&gt;COUNTIF($E66:T66,"u")+COUNTIF($E66:T66,"t")+COUNTIF($E66:T66,"¶")+COUNTIF($E66:T66,"²")+COUNTIF($E66:T66,"µ")+COUNTIF($E66:T66,1)),
HYPERLINK("#Roadmap!C"&amp; MATCH($E66,Roadmap!$D:$D,0)+COUNTIF($E66:T66,"u")+COUNTIF($E66:T66,"t"),
     INDEX(Roadmap!$D:$K,MATCH($E66,Roadmap!$D:$D,0)+COUNTIF($E66:T66,"u")+COUNTIF($E66:T66,"t")+COUNTIF($E66:T66,"¶")+COUNTIF($E66:T66,"²")+COUNTIF($E66:T66,"µ")+COUNTIF($E66:T66,1),ColTypeEcheance)),
  IF(LEN(T66)=1,
  IF(LEN(INDEX(Roadmap!$D:$K,MATCH($E66,Roadmap!$D:$D,0)-1+COUNTIF($E66:T66,"u")+COUNTIF($E66:T66,"t")+COUNTIF($E66:T66,"¶")+COUNTIF($E66:T66,"²")+COUNTIF($E66:T66,"µ")+COUNTIF($E66:T66,1),ColDescriptionCourte))&gt;1,
HYPERLINK("#Roadmap!C"&amp; MATCH($E66,Roadmap!$D:$D,0)+COUNTIF($E66:T66,"u")+COUNTIF($E66:T66,"t")+COUNTIF($E66:T66,"¶")+COUNTIF($E66:T66,"²")+COUNTIF($E66:T66,"µ")+COUNTIF($E66:T66,1)-1,INDEX(Roadmap!$D:$K,MATCH($E66,Roadmap!$D:$D,0)-1+COUNTIF($E66:T66,"u")+COUNTIF($E66:T66,"t")+COUNTIF($E66:T66,"¶")+COUNTIF($E66:T66,"²")+COUNTIF($E66:T66,"µ")+COUNTIF($E66:T66,1),ColDescriptionCourte)),""),
  "")),"")</f>
        <v/>
      </c>
      <c r="V66" s="40" t="str">
        <f ca="1">IFERROR(IF(AND(
  INDEX(Roadmap!$D:$K,MATCH($E66,Roadmap!$D:$D,0)+COUNTIF($E66:U66,"u")+COUNTIF($E66:U66,"t")+COUNTIF($E66:U66,"¶")+COUNTIF($E66:U66,"²")+COUNTIF($E66:U66,"µ")+COUNTIF($E66:U66,1),ColLivraison)=V$6,
  VLOOKUP($E66,INDIRECT("tri!"&amp; CHAR(64+ C0Col) &amp;":"&amp; CHAR(65+C0Col)),2,FALSE)&gt;COUNTIF($E66:U66,"u")+COUNTIF($E66:U66,"t")+COUNTIF($E66:U66,"¶")+COUNTIF($E66:U66,"²")+COUNTIF($E66:U66,"µ")+COUNTIF($E66:U66,1)),
HYPERLINK("#Roadmap!C"&amp; MATCH($E66,Roadmap!$D:$D,0)+COUNTIF($E66:U66,"u")+COUNTIF($E66:U66,"t"),
     INDEX(Roadmap!$D:$K,MATCH($E66,Roadmap!$D:$D,0)+COUNTIF($E66:U66,"u")+COUNTIF($E66:U66,"t")+COUNTIF($E66:U66,"¶")+COUNTIF($E66:U66,"²")+COUNTIF($E66:U66,"µ")+COUNTIF($E66:U66,1),ColTypeEcheance)),
  IF(LEN(U66)=1,
  IF(LEN(INDEX(Roadmap!$D:$K,MATCH($E66,Roadmap!$D:$D,0)-1+COUNTIF($E66:U66,"u")+COUNTIF($E66:U66,"t")+COUNTIF($E66:U66,"¶")+COUNTIF($E66:U66,"²")+COUNTIF($E66:U66,"µ")+COUNTIF($E66:U66,1),ColDescriptionCourte))&gt;1,
HYPERLINK("#Roadmap!C"&amp; MATCH($E66,Roadmap!$D:$D,0)+COUNTIF($E66:U66,"u")+COUNTIF($E66:U66,"t")+COUNTIF($E66:U66,"¶")+COUNTIF($E66:U66,"²")+COUNTIF($E66:U66,"µ")+COUNTIF($E66:U66,1)-1,INDEX(Roadmap!$D:$K,MATCH($E66,Roadmap!$D:$D,0)-1+COUNTIF($E66:U66,"u")+COUNTIF($E66:U66,"t")+COUNTIF($E66:U66,"¶")+COUNTIF($E66:U66,"²")+COUNTIF($E66:U66,"µ")+COUNTIF($E66:U66,1),ColDescriptionCourte)),""),
  "")),"")</f>
        <v/>
      </c>
      <c r="W66" s="40" t="str">
        <f ca="1">IFERROR(IF(AND(
  INDEX(Roadmap!$D:$K,MATCH($E66,Roadmap!$D:$D,0)+COUNTIF($E66:V66,"u")+COUNTIF($E66:V66,"t")+COUNTIF($E66:V66,"¶")+COUNTIF($E66:V66,"²")+COUNTIF($E66:V66,"µ")+COUNTIF($E66:V66,1),ColLivraison)=W$6,
  VLOOKUP($E66,INDIRECT("tri!"&amp; CHAR(64+ C0Col) &amp;":"&amp; CHAR(65+C0Col)),2,FALSE)&gt;COUNTIF($E66:V66,"u")+COUNTIF($E66:V66,"t")+COUNTIF($E66:V66,"¶")+COUNTIF($E66:V66,"²")+COUNTIF($E66:V66,"µ")+COUNTIF($E66:V66,1)),
HYPERLINK("#Roadmap!C"&amp; MATCH($E66,Roadmap!$D:$D,0)+COUNTIF($E66:V66,"u")+COUNTIF($E66:V66,"t"),
     INDEX(Roadmap!$D:$K,MATCH($E66,Roadmap!$D:$D,0)+COUNTIF($E66:V66,"u")+COUNTIF($E66:V66,"t")+COUNTIF($E66:V66,"¶")+COUNTIF($E66:V66,"²")+COUNTIF($E66:V66,"µ")+COUNTIF($E66:V66,1),ColTypeEcheance)),
  IF(LEN(V66)=1,
  IF(LEN(INDEX(Roadmap!$D:$K,MATCH($E66,Roadmap!$D:$D,0)-1+COUNTIF($E66:V66,"u")+COUNTIF($E66:V66,"t")+COUNTIF($E66:V66,"¶")+COUNTIF($E66:V66,"²")+COUNTIF($E66:V66,"µ")+COUNTIF($E66:V66,1),ColDescriptionCourte))&gt;1,
HYPERLINK("#Roadmap!C"&amp; MATCH($E66,Roadmap!$D:$D,0)+COUNTIF($E66:V66,"u")+COUNTIF($E66:V66,"t")+COUNTIF($E66:V66,"¶")+COUNTIF($E66:V66,"²")+COUNTIF($E66:V66,"µ")+COUNTIF($E66:V66,1)-1,INDEX(Roadmap!$D:$K,MATCH($E66,Roadmap!$D:$D,0)-1+COUNTIF($E66:V66,"u")+COUNTIF($E66:V66,"t")+COUNTIF($E66:V66,"¶")+COUNTIF($E66:V66,"²")+COUNTIF($E66:V66,"µ")+COUNTIF($E66:V66,1),ColDescriptionCourte)),""),
  "")),"")</f>
        <v/>
      </c>
      <c r="X66" s="40" t="str">
        <f ca="1">IFERROR(IF(AND(
  INDEX(Roadmap!$D:$K,MATCH($E66,Roadmap!$D:$D,0)+COUNTIF($E66:W66,"u")+COUNTIF($E66:W66,"t")+COUNTIF($E66:W66,"¶")+COUNTIF($E66:W66,"²")+COUNTIF($E66:W66,"µ")+COUNTIF($E66:W66,1),ColLivraison)=X$6,
  VLOOKUP($E66,INDIRECT("tri!"&amp; CHAR(64+ C0Col) &amp;":"&amp; CHAR(65+C0Col)),2,FALSE)&gt;COUNTIF($E66:W66,"u")+COUNTIF($E66:W66,"t")+COUNTIF($E66:W66,"¶")+COUNTIF($E66:W66,"²")+COUNTIF($E66:W66,"µ")+COUNTIF($E66:W66,1)),
HYPERLINK("#Roadmap!C"&amp; MATCH($E66,Roadmap!$D:$D,0)+COUNTIF($E66:W66,"u")+COUNTIF($E66:W66,"t"),
     INDEX(Roadmap!$D:$K,MATCH($E66,Roadmap!$D:$D,0)+COUNTIF($E66:W66,"u")+COUNTIF($E66:W66,"t")+COUNTIF($E66:W66,"¶")+COUNTIF($E66:W66,"²")+COUNTIF($E66:W66,"µ")+COUNTIF($E66:W66,1),ColTypeEcheance)),
  IF(LEN(W66)=1,
  IF(LEN(INDEX(Roadmap!$D:$K,MATCH($E66,Roadmap!$D:$D,0)-1+COUNTIF($E66:W66,"u")+COUNTIF($E66:W66,"t")+COUNTIF($E66:W66,"¶")+COUNTIF($E66:W66,"²")+COUNTIF($E66:W66,"µ")+COUNTIF($E66:W66,1),ColDescriptionCourte))&gt;1,
HYPERLINK("#Roadmap!C"&amp; MATCH($E66,Roadmap!$D:$D,0)+COUNTIF($E66:W66,"u")+COUNTIF($E66:W66,"t")+COUNTIF($E66:W66,"¶")+COUNTIF($E66:W66,"²")+COUNTIF($E66:W66,"µ")+COUNTIF($E66:W66,1)-1,INDEX(Roadmap!$D:$K,MATCH($E66,Roadmap!$D:$D,0)-1+COUNTIF($E66:W66,"u")+COUNTIF($E66:W66,"t")+COUNTIF($E66:W66,"¶")+COUNTIF($E66:W66,"²")+COUNTIF($E66:W66,"µ")+COUNTIF($E66:W66,1),ColDescriptionCourte)),""),
  "")),"")</f>
        <v/>
      </c>
      <c r="Y66" s="40" t="str">
        <f ca="1">IFERROR(IF(AND(
  INDEX(Roadmap!$D:$K,MATCH($E66,Roadmap!$D:$D,0)+COUNTIF($E66:X66,"u")+COUNTIF($E66:X66,"t")+COUNTIF($E66:X66,"¶")+COUNTIF($E66:X66,"²")+COUNTIF($E66:X66,"µ")+COUNTIF($E66:X66,1),ColLivraison)=Y$6,
  VLOOKUP($E66,INDIRECT("tri!"&amp; CHAR(64+ C0Col) &amp;":"&amp; CHAR(65+C0Col)),2,FALSE)&gt;COUNTIF($E66:X66,"u")+COUNTIF($E66:X66,"t")+COUNTIF($E66:X66,"¶")+COUNTIF($E66:X66,"²")+COUNTIF($E66:X66,"µ")+COUNTIF($E66:X66,1)),
HYPERLINK("#Roadmap!C"&amp; MATCH($E66,Roadmap!$D:$D,0)+COUNTIF($E66:X66,"u")+COUNTIF($E66:X66,"t"),
     INDEX(Roadmap!$D:$K,MATCH($E66,Roadmap!$D:$D,0)+COUNTIF($E66:X66,"u")+COUNTIF($E66:X66,"t")+COUNTIF($E66:X66,"¶")+COUNTIF($E66:X66,"²")+COUNTIF($E66:X66,"µ")+COUNTIF($E66:X66,1),ColTypeEcheance)),
  IF(LEN(X66)=1,
  IF(LEN(INDEX(Roadmap!$D:$K,MATCH($E66,Roadmap!$D:$D,0)-1+COUNTIF($E66:X66,"u")+COUNTIF($E66:X66,"t")+COUNTIF($E66:X66,"¶")+COUNTIF($E66:X66,"²")+COUNTIF($E66:X66,"µ")+COUNTIF($E66:X66,1),ColDescriptionCourte))&gt;1,
HYPERLINK("#Roadmap!C"&amp; MATCH($E66,Roadmap!$D:$D,0)+COUNTIF($E66:X66,"u")+COUNTIF($E66:X66,"t")+COUNTIF($E66:X66,"¶")+COUNTIF($E66:X66,"²")+COUNTIF($E66:X66,"µ")+COUNTIF($E66:X66,1)-1,INDEX(Roadmap!$D:$K,MATCH($E66,Roadmap!$D:$D,0)-1+COUNTIF($E66:X66,"u")+COUNTIF($E66:X66,"t")+COUNTIF($E66:X66,"¶")+COUNTIF($E66:X66,"²")+COUNTIF($E66:X66,"µ")+COUNTIF($E66:X66,1),ColDescriptionCourte)),""),
  "")),"")</f>
        <v/>
      </c>
      <c r="Z66" s="40" t="str">
        <f ca="1">IFERROR(IF(AND(
  INDEX(Roadmap!$D:$K,MATCH($E66,Roadmap!$D:$D,0)+COUNTIF($E66:Y66,"u")+COUNTIF($E66:Y66,"t")+COUNTIF($E66:Y66,"¶")+COUNTIF($E66:Y66,"²")+COUNTIF($E66:Y66,"µ")+COUNTIF($E66:Y66,1),ColLivraison)=Z$6,
  VLOOKUP($E66,INDIRECT("tri!"&amp; CHAR(64+ C0Col) &amp;":"&amp; CHAR(65+C0Col)),2,FALSE)&gt;COUNTIF($E66:Y66,"u")+COUNTIF($E66:Y66,"t")+COUNTIF($E66:Y66,"¶")+COUNTIF($E66:Y66,"²")+COUNTIF($E66:Y66,"µ")+COUNTIF($E66:Y66,1)),
HYPERLINK("#Roadmap!C"&amp; MATCH($E66,Roadmap!$D:$D,0)+COUNTIF($E66:Y66,"u")+COUNTIF($E66:Y66,"t"),
     INDEX(Roadmap!$D:$K,MATCH($E66,Roadmap!$D:$D,0)+COUNTIF($E66:Y66,"u")+COUNTIF($E66:Y66,"t")+COUNTIF($E66:Y66,"¶")+COUNTIF($E66:Y66,"²")+COUNTIF($E66:Y66,"µ")+COUNTIF($E66:Y66,1),ColTypeEcheance)),
  IF(LEN(Y66)=1,
  IF(LEN(INDEX(Roadmap!$D:$K,MATCH($E66,Roadmap!$D:$D,0)-1+COUNTIF($E66:Y66,"u")+COUNTIF($E66:Y66,"t")+COUNTIF($E66:Y66,"¶")+COUNTIF($E66:Y66,"²")+COUNTIF($E66:Y66,"µ")+COUNTIF($E66:Y66,1),ColDescriptionCourte))&gt;1,
HYPERLINK("#Roadmap!C"&amp; MATCH($E66,Roadmap!$D:$D,0)+COUNTIF($E66:Y66,"u")+COUNTIF($E66:Y66,"t")+COUNTIF($E66:Y66,"¶")+COUNTIF($E66:Y66,"²")+COUNTIF($E66:Y66,"µ")+COUNTIF($E66:Y66,1)-1,INDEX(Roadmap!$D:$K,MATCH($E66,Roadmap!$D:$D,0)-1+COUNTIF($E66:Y66,"u")+COUNTIF($E66:Y66,"t")+COUNTIF($E66:Y66,"¶")+COUNTIF($E66:Y66,"²")+COUNTIF($E66:Y66,"µ")+COUNTIF($E66:Y66,1),ColDescriptionCourte)),""),
  "")),"")</f>
        <v/>
      </c>
      <c r="AA66" s="40" t="str">
        <f ca="1">IFERROR(IF(AND(
  INDEX(Roadmap!$D:$K,MATCH($E66,Roadmap!$D:$D,0)+COUNTIF($E66:Z66,"u")+COUNTIF($E66:Z66,"t")+COUNTIF($E66:Z66,"¶")+COUNTIF($E66:Z66,"²")+COUNTIF($E66:Z66,"µ")+COUNTIF($E66:Z66,1),ColLivraison)=AA$6,
  VLOOKUP($E66,INDIRECT("tri!"&amp; CHAR(64+ C0Col) &amp;":"&amp; CHAR(65+C0Col)),2,FALSE)&gt;COUNTIF($E66:Z66,"u")+COUNTIF($E66:Z66,"t")+COUNTIF($E66:Z66,"¶")+COUNTIF($E66:Z66,"²")+COUNTIF($E66:Z66,"µ")+COUNTIF($E66:Z66,1)),
HYPERLINK("#Roadmap!C"&amp; MATCH($E66,Roadmap!$D:$D,0)+COUNTIF($E66:Z66,"u")+COUNTIF($E66:Z66,"t"),
     INDEX(Roadmap!$D:$K,MATCH($E66,Roadmap!$D:$D,0)+COUNTIF($E66:Z66,"u")+COUNTIF($E66:Z66,"t")+COUNTIF($E66:Z66,"¶")+COUNTIF($E66:Z66,"²")+COUNTIF($E66:Z66,"µ")+COUNTIF($E66:Z66,1),ColTypeEcheance)),
  IF(LEN(Z66)=1,
  IF(LEN(INDEX(Roadmap!$D:$K,MATCH($E66,Roadmap!$D:$D,0)-1+COUNTIF($E66:Z66,"u")+COUNTIF($E66:Z66,"t")+COUNTIF($E66:Z66,"¶")+COUNTIF($E66:Z66,"²")+COUNTIF($E66:Z66,"µ")+COUNTIF($E66:Z66,1),ColDescriptionCourte))&gt;1,
HYPERLINK("#Roadmap!C"&amp; MATCH($E66,Roadmap!$D:$D,0)+COUNTIF($E66:Z66,"u")+COUNTIF($E66:Z66,"t")+COUNTIF($E66:Z66,"¶")+COUNTIF($E66:Z66,"²")+COUNTIF($E66:Z66,"µ")+COUNTIF($E66:Z66,1)-1,INDEX(Roadmap!$D:$K,MATCH($E66,Roadmap!$D:$D,0)-1+COUNTIF($E66:Z66,"u")+COUNTIF($E66:Z66,"t")+COUNTIF($E66:Z66,"¶")+COUNTIF($E66:Z66,"²")+COUNTIF($E66:Z66,"µ")+COUNTIF($E66:Z66,1),ColDescriptionCourte)),""),
  "")),"")</f>
        <v/>
      </c>
      <c r="AB66" s="40" t="str">
        <f ca="1">IFERROR(IF(AND(
  INDEX(Roadmap!$D:$K,MATCH($E66,Roadmap!$D:$D,0)+COUNTIF($E66:AA66,"u")+COUNTIF($E66:AA66,"t")+COUNTIF($E66:AA66,"¶")+COUNTIF($E66:AA66,"²")+COUNTIF($E66:AA66,"µ")+COUNTIF($E66:AA66,1),ColLivraison)=AB$6,
  VLOOKUP($E66,INDIRECT("tri!"&amp; CHAR(64+ C0Col) &amp;":"&amp; CHAR(65+C0Col)),2,FALSE)&gt;COUNTIF($E66:AA66,"u")+COUNTIF($E66:AA66,"t")+COUNTIF($E66:AA66,"¶")+COUNTIF($E66:AA66,"²")+COUNTIF($E66:AA66,"µ")+COUNTIF($E66:AA66,1)),
HYPERLINK("#Roadmap!C"&amp; MATCH($E66,Roadmap!$D:$D,0)+COUNTIF($E66:AA66,"u")+COUNTIF($E66:AA66,"t"),
     INDEX(Roadmap!$D:$K,MATCH($E66,Roadmap!$D:$D,0)+COUNTIF($E66:AA66,"u")+COUNTIF($E66:AA66,"t")+COUNTIF($E66:AA66,"¶")+COUNTIF($E66:AA66,"²")+COUNTIF($E66:AA66,"µ")+COUNTIF($E66:AA66,1),ColTypeEcheance)),
  IF(LEN(AA66)=1,
  IF(LEN(INDEX(Roadmap!$D:$K,MATCH($E66,Roadmap!$D:$D,0)-1+COUNTIF($E66:AA66,"u")+COUNTIF($E66:AA66,"t")+COUNTIF($E66:AA66,"¶")+COUNTIF($E66:AA66,"²")+COUNTIF($E66:AA66,"µ")+COUNTIF($E66:AA66,1),ColDescriptionCourte))&gt;1,
HYPERLINK("#Roadmap!C"&amp; MATCH($E66,Roadmap!$D:$D,0)+COUNTIF($E66:AA66,"u")+COUNTIF($E66:AA66,"t")+COUNTIF($E66:AA66,"¶")+COUNTIF($E66:AA66,"²")+COUNTIF($E66:AA66,"µ")+COUNTIF($E66:AA66,1)-1,INDEX(Roadmap!$D:$K,MATCH($E66,Roadmap!$D:$D,0)-1+COUNTIF($E66:AA66,"u")+COUNTIF($E66:AA66,"t")+COUNTIF($E66:AA66,"¶")+COUNTIF($E66:AA66,"²")+COUNTIF($E66:AA66,"µ")+COUNTIF($E66:AA66,1),ColDescriptionCourte)),""),
  "")),"")</f>
        <v/>
      </c>
      <c r="AC66" s="40" t="str">
        <f ca="1">IFERROR(IF(AND(
  INDEX(Roadmap!$D:$K,MATCH($E66,Roadmap!$D:$D,0)+COUNTIF($E66:AB66,"u")+COUNTIF($E66:AB66,"t")+COUNTIF($E66:AB66,"¶")+COUNTIF($E66:AB66,"²")+COUNTIF($E66:AB66,"µ")+COUNTIF($E66:AB66,1),ColLivraison)=AC$6,
  VLOOKUP($E66,INDIRECT("tri!"&amp; CHAR(64+ C0Col) &amp;":"&amp; CHAR(65+C0Col)),2,FALSE)&gt;COUNTIF($E66:AB66,"u")+COUNTIF($E66:AB66,"t")+COUNTIF($E66:AB66,"¶")+COUNTIF($E66:AB66,"²")+COUNTIF($E66:AB66,"µ")+COUNTIF($E66:AB66,1)),
HYPERLINK("#Roadmap!C"&amp; MATCH($E66,Roadmap!$D:$D,0)+COUNTIF($E66:AB66,"u")+COUNTIF($E66:AB66,"t"),
     INDEX(Roadmap!$D:$K,MATCH($E66,Roadmap!$D:$D,0)+COUNTIF($E66:AB66,"u")+COUNTIF($E66:AB66,"t")+COUNTIF($E66:AB66,"¶")+COUNTIF($E66:AB66,"²")+COUNTIF($E66:AB66,"µ")+COUNTIF($E66:AB66,1),ColTypeEcheance)),
  IF(LEN(AB66)=1,
  IF(LEN(INDEX(Roadmap!$D:$K,MATCH($E66,Roadmap!$D:$D,0)-1+COUNTIF($E66:AB66,"u")+COUNTIF($E66:AB66,"t")+COUNTIF($E66:AB66,"¶")+COUNTIF($E66:AB66,"²")+COUNTIF($E66:AB66,"µ")+COUNTIF($E66:AB66,1),ColDescriptionCourte))&gt;1,
HYPERLINK("#Roadmap!C"&amp; MATCH($E66,Roadmap!$D:$D,0)+COUNTIF($E66:AB66,"u")+COUNTIF($E66:AB66,"t")+COUNTIF($E66:AB66,"¶")+COUNTIF($E66:AB66,"²")+COUNTIF($E66:AB66,"µ")+COUNTIF($E66:AB66,1)-1,INDEX(Roadmap!$D:$K,MATCH($E66,Roadmap!$D:$D,0)-1+COUNTIF($E66:AB66,"u")+COUNTIF($E66:AB66,"t")+COUNTIF($E66:AB66,"¶")+COUNTIF($E66:AB66,"²")+COUNTIF($E66:AB66,"µ")+COUNTIF($E66:AB66,1),ColDescriptionCourte)),""),
  "")),"")</f>
        <v/>
      </c>
      <c r="AD66" s="40" t="str">
        <f ca="1">IFERROR(IF(AND(
  INDEX(Roadmap!$D:$K,MATCH($E66,Roadmap!$D:$D,0)+COUNTIF($E66:AC66,"u")+COUNTIF($E66:AC66,"t")+COUNTIF($E66:AC66,"¶")+COUNTIF($E66:AC66,"²")+COUNTIF($E66:AC66,"µ")+COUNTIF($E66:AC66,1),ColLivraison)=AD$6,
  VLOOKUP($E66,INDIRECT("tri!"&amp; CHAR(64+ C0Col) &amp;":"&amp; CHAR(65+C0Col)),2,FALSE)&gt;COUNTIF($E66:AC66,"u")+COUNTIF($E66:AC66,"t")+COUNTIF($E66:AC66,"¶")+COUNTIF($E66:AC66,"²")+COUNTIF($E66:AC66,"µ")+COUNTIF($E66:AC66,1)),
HYPERLINK("#Roadmap!C"&amp; MATCH($E66,Roadmap!$D:$D,0)+COUNTIF($E66:AC66,"u")+COUNTIF($E66:AC66,"t"),
     INDEX(Roadmap!$D:$K,MATCH($E66,Roadmap!$D:$D,0)+COUNTIF($E66:AC66,"u")+COUNTIF($E66:AC66,"t")+COUNTIF($E66:AC66,"¶")+COUNTIF($E66:AC66,"²")+COUNTIF($E66:AC66,"µ")+COUNTIF($E66:AC66,1),ColTypeEcheance)),
  IF(LEN(AC66)=1,
  IF(LEN(INDEX(Roadmap!$D:$K,MATCH($E66,Roadmap!$D:$D,0)-1+COUNTIF($E66:AC66,"u")+COUNTIF($E66:AC66,"t")+COUNTIF($E66:AC66,"¶")+COUNTIF($E66:AC66,"²")+COUNTIF($E66:AC66,"µ")+COUNTIF($E66:AC66,1),ColDescriptionCourte))&gt;1,
HYPERLINK("#Roadmap!C"&amp; MATCH($E66,Roadmap!$D:$D,0)+COUNTIF($E66:AC66,"u")+COUNTIF($E66:AC66,"t")+COUNTIF($E66:AC66,"¶")+COUNTIF($E66:AC66,"²")+COUNTIF($E66:AC66,"µ")+COUNTIF($E66:AC66,1)-1,INDEX(Roadmap!$D:$K,MATCH($E66,Roadmap!$D:$D,0)-1+COUNTIF($E66:AC66,"u")+COUNTIF($E66:AC66,"t")+COUNTIF($E66:AC66,"¶")+COUNTIF($E66:AC66,"²")+COUNTIF($E66:AC66,"µ")+COUNTIF($E66:AC66,1),ColDescriptionCourte)),""),
  "")),"")</f>
        <v/>
      </c>
      <c r="AE66" s="40" t="str">
        <f ca="1">IFERROR(IF(AND(
  INDEX(Roadmap!$D:$K,MATCH($E66,Roadmap!$D:$D,0)+COUNTIF($E66:AD66,"u")+COUNTIF($E66:AD66,"t")+COUNTIF($E66:AD66,"¶")+COUNTIF($E66:AD66,"²")+COUNTIF($E66:AD66,"µ")+COUNTIF($E66:AD66,1),ColLivraison)=AE$6,
  VLOOKUP($E66,INDIRECT("tri!"&amp; CHAR(64+ C0Col) &amp;":"&amp; CHAR(65+C0Col)),2,FALSE)&gt;COUNTIF($E66:AD66,"u")+COUNTIF($E66:AD66,"t")+COUNTIF($E66:AD66,"¶")+COUNTIF($E66:AD66,"²")+COUNTIF($E66:AD66,"µ")+COUNTIF($E66:AD66,1)),
HYPERLINK("#Roadmap!C"&amp; MATCH($E66,Roadmap!$D:$D,0)+COUNTIF($E66:AD66,"u")+COUNTIF($E66:AD66,"t"),
     INDEX(Roadmap!$D:$K,MATCH($E66,Roadmap!$D:$D,0)+COUNTIF($E66:AD66,"u")+COUNTIF($E66:AD66,"t")+COUNTIF($E66:AD66,"¶")+COUNTIF($E66:AD66,"²")+COUNTIF($E66:AD66,"µ")+COUNTIF($E66:AD66,1),ColTypeEcheance)),
  IF(LEN(AD66)=1,
  IF(LEN(INDEX(Roadmap!$D:$K,MATCH($E66,Roadmap!$D:$D,0)-1+COUNTIF($E66:AD66,"u")+COUNTIF($E66:AD66,"t")+COUNTIF($E66:AD66,"¶")+COUNTIF($E66:AD66,"²")+COUNTIF($E66:AD66,"µ")+COUNTIF($E66:AD66,1),ColDescriptionCourte))&gt;1,
HYPERLINK("#Roadmap!C"&amp; MATCH($E66,Roadmap!$D:$D,0)+COUNTIF($E66:AD66,"u")+COUNTIF($E66:AD66,"t")+COUNTIF($E66:AD66,"¶")+COUNTIF($E66:AD66,"²")+COUNTIF($E66:AD66,"µ")+COUNTIF($E66:AD66,1)-1,INDEX(Roadmap!$D:$K,MATCH($E66,Roadmap!$D:$D,0)-1+COUNTIF($E66:AD66,"u")+COUNTIF($E66:AD66,"t")+COUNTIF($E66:AD66,"¶")+COUNTIF($E66:AD66,"²")+COUNTIF($E66:AD66,"µ")+COUNTIF($E66:AD66,1),ColDescriptionCourte)),""),
  "")),"")</f>
        <v/>
      </c>
      <c r="AF66" s="40" t="str">
        <f ca="1">IFERROR(IF(AND(
  INDEX(Roadmap!$D:$K,MATCH($E66,Roadmap!$D:$D,0)+COUNTIF($E66:AE66,"u")+COUNTIF($E66:AE66,"t")+COUNTIF($E66:AE66,"¶")+COUNTIF($E66:AE66,"²")+COUNTIF($E66:AE66,"µ")+COUNTIF($E66:AE66,1),ColLivraison)=AF$6,
  VLOOKUP($E66,INDIRECT("tri!"&amp; CHAR(64+ C0Col) &amp;":"&amp; CHAR(65+C0Col)),2,FALSE)&gt;COUNTIF($E66:AE66,"u")+COUNTIF($E66:AE66,"t")+COUNTIF($E66:AE66,"¶")+COUNTIF($E66:AE66,"²")+COUNTIF($E66:AE66,"µ")+COUNTIF($E66:AE66,1)),
HYPERLINK("#Roadmap!C"&amp; MATCH($E66,Roadmap!$D:$D,0)+COUNTIF($E66:AE66,"u")+COUNTIF($E66:AE66,"t"),
     INDEX(Roadmap!$D:$K,MATCH($E66,Roadmap!$D:$D,0)+COUNTIF($E66:AE66,"u")+COUNTIF($E66:AE66,"t")+COUNTIF($E66:AE66,"¶")+COUNTIF($E66:AE66,"²")+COUNTIF($E66:AE66,"µ")+COUNTIF($E66:AE66,1),ColTypeEcheance)),
  IF(LEN(AE66)=1,
  IF(LEN(INDEX(Roadmap!$D:$K,MATCH($E66,Roadmap!$D:$D,0)-1+COUNTIF($E66:AE66,"u")+COUNTIF($E66:AE66,"t")+COUNTIF($E66:AE66,"¶")+COUNTIF($E66:AE66,"²")+COUNTIF($E66:AE66,"µ")+COUNTIF($E66:AE66,1),ColDescriptionCourte))&gt;1,
HYPERLINK("#Roadmap!C"&amp; MATCH($E66,Roadmap!$D:$D,0)+COUNTIF($E66:AE66,"u")+COUNTIF($E66:AE66,"t")+COUNTIF($E66:AE66,"¶")+COUNTIF($E66:AE66,"²")+COUNTIF($E66:AE66,"µ")+COUNTIF($E66:AE66,1)-1,INDEX(Roadmap!$D:$K,MATCH($E66,Roadmap!$D:$D,0)-1+COUNTIF($E66:AE66,"u")+COUNTIF($E66:AE66,"t")+COUNTIF($E66:AE66,"¶")+COUNTIF($E66:AE66,"²")+COUNTIF($E66:AE66,"µ")+COUNTIF($E66:AE66,1),ColDescriptionCourte)),""),
  "")),"")</f>
        <v/>
      </c>
      <c r="AG66" s="40" t="str">
        <f ca="1">IFERROR(IF(AND(
  INDEX(Roadmap!$D:$K,MATCH($E66,Roadmap!$D:$D,0)+COUNTIF($E66:AF66,"u")+COUNTIF($E66:AF66,"t")+COUNTIF($E66:AF66,"¶")+COUNTIF($E66:AF66,"²")+COUNTIF($E66:AF66,"µ")+COUNTIF($E66:AF66,1),ColLivraison)=AG$6,
  VLOOKUP($E66,INDIRECT("tri!"&amp; CHAR(64+ C0Col) &amp;":"&amp; CHAR(65+C0Col)),2,FALSE)&gt;COUNTIF($E66:AF66,"u")+COUNTIF($E66:AF66,"t")+COUNTIF($E66:AF66,"¶")+COUNTIF($E66:AF66,"²")+COUNTIF($E66:AF66,"µ")+COUNTIF($E66:AF66,1)),
HYPERLINK("#Roadmap!C"&amp; MATCH($E66,Roadmap!$D:$D,0)+COUNTIF($E66:AF66,"u")+COUNTIF($E66:AF66,"t"),
     INDEX(Roadmap!$D:$K,MATCH($E66,Roadmap!$D:$D,0)+COUNTIF($E66:AF66,"u")+COUNTIF($E66:AF66,"t")+COUNTIF($E66:AF66,"¶")+COUNTIF($E66:AF66,"²")+COUNTIF($E66:AF66,"µ")+COUNTIF($E66:AF66,1),ColTypeEcheance)),
  IF(LEN(AF66)=1,
  IF(LEN(INDEX(Roadmap!$D:$K,MATCH($E66,Roadmap!$D:$D,0)-1+COUNTIF($E66:AF66,"u")+COUNTIF($E66:AF66,"t")+COUNTIF($E66:AF66,"¶")+COUNTIF($E66:AF66,"²")+COUNTIF($E66:AF66,"µ")+COUNTIF($E66:AF66,1),ColDescriptionCourte))&gt;1,
HYPERLINK("#Roadmap!C"&amp; MATCH($E66,Roadmap!$D:$D,0)+COUNTIF($E66:AF66,"u")+COUNTIF($E66:AF66,"t")+COUNTIF($E66:AF66,"¶")+COUNTIF($E66:AF66,"²")+COUNTIF($E66:AF66,"µ")+COUNTIF($E66:AF66,1)-1,INDEX(Roadmap!$D:$K,MATCH($E66,Roadmap!$D:$D,0)-1+COUNTIF($E66:AF66,"u")+COUNTIF($E66:AF66,"t")+COUNTIF($E66:AF66,"¶")+COUNTIF($E66:AF66,"²")+COUNTIF($E66:AF66,"µ")+COUNTIF($E66:AF66,1),ColDescriptionCourte)),""),
  "")),"")</f>
        <v/>
      </c>
    </row>
    <row r="67" spans="3:33" ht="14.25" customHeight="1">
      <c r="C67" s="1" t="str">
        <f t="shared" ca="1" si="44"/>
        <v/>
      </c>
      <c r="D67" s="1" t="str">
        <f t="shared" ca="1" si="45"/>
        <v/>
      </c>
      <c r="E67" s="35" t="str">
        <f t="shared" ca="1" si="33"/>
        <v/>
      </c>
      <c r="F67" s="39" t="str">
        <f ca="1">IFERROR(IF(AND(
  INDEX(Roadmap!$D:$K,MATCH($E67,Roadmap!$D:$D,0)+COUNTIF($E67:E67,"u")+COUNTIF($E67:E67,"t")+COUNTIF($E67:E67,"¶")+COUNTIF($E67:E67,"²")+COUNTIF($E67:E67,"µ")+COUNTIF($E67:E67,1),ColLivraison)=F$6,
  VLOOKUP($E67,INDIRECT("tri!"&amp; CHAR(64+ C0Col) &amp;":"&amp; CHAR(65+C0Col)),2,FALSE)&gt;COUNTIF($E67:E67,"u")+COUNTIF($E67:E67,"t")+COUNTIF($E67:E67,"¶")+COUNTIF($E67:E67,"²")+COUNTIF($E67:E67,"µ")+COUNTIF($E67:E67,1)),
HYPERLINK("#Roadmap!C"&amp; MATCH($E67,Roadmap!$D:$D,0)+COUNTIF($E67:E67,"u")+COUNTIF($E67:E67,"t"),
     INDEX(Roadmap!$D:$K,MATCH($E67,Roadmap!$D:$D,0)+COUNTIF($E67:E67,"u")+COUNTIF($E67:E67,"t")+COUNTIF($E67:E67,"¶")+COUNTIF($E67:E67,"²")+COUNTIF($E67:E67,"µ")+COUNTIF($E67:E67,1),ColTypeEcheance)),
  IF(LEN(E67)=1,
  IF(LEN(INDEX(Roadmap!$D:$K,MATCH($E67,Roadmap!$D:$D,0)-1+COUNTIF($E67:E67,"u")+COUNTIF($E67:E67,"t")+COUNTIF($E67:E67,"¶")+COUNTIF($E67:E67,"²")+COUNTIF($E67:E67,"µ")+COUNTIF($E67:E67,1),ColDescriptionCourte))&gt;1,
HYPERLINK("#Roadmap!C"&amp; MATCH($E67,Roadmap!$D:$D,0)+COUNTIF($E67:E67,"u")+COUNTIF($E67:E67,"t")+COUNTIF($E67:E67,"¶")+COUNTIF($E67:E67,"²")+COUNTIF($E67:E67,"µ")+COUNTIF($E67:E67,1)-1,INDEX(Roadmap!$D:$K,MATCH($E67,Roadmap!$D:$D,0)-1+COUNTIF($E67:E67,"u")+COUNTIF($E67:E67,"t")+COUNTIF($E67:E67,"¶")+COUNTIF($E67:E67,"²")+COUNTIF($E67:E67,"µ")+COUNTIF($E67:E67,1),ColDescriptionCourte)),""),
  "")),"")</f>
        <v/>
      </c>
      <c r="G67" s="40" t="str">
        <f ca="1">IFERROR(IF(AND(
  INDEX(Roadmap!$D:$K,MATCH($E67,Roadmap!$D:$D,0)+COUNTIF($E67:F67,"u")+COUNTIF($E67:F67,"t")+COUNTIF($E67:F67,"¶")+COUNTIF($E67:F67,"²")+COUNTIF($E67:F67,"µ")+COUNTIF($E67:F67,1),ColLivraison)=G$6,
  VLOOKUP($E67,INDIRECT("tri!"&amp; CHAR(64+ C0Col) &amp;":"&amp; CHAR(65+C0Col)),2,FALSE)&gt;COUNTIF($E67:F67,"u")+COUNTIF($E67:F67,"t")+COUNTIF($E67:F67,"¶")+COUNTIF($E67:F67,"²")+COUNTIF($E67:F67,"µ")+COUNTIF($E67:F67,1)),
HYPERLINK("#Roadmap!C"&amp; MATCH($E67,Roadmap!$D:$D,0)+COUNTIF($E67:F67,"u")+COUNTIF($E67:F67,"t"),
     INDEX(Roadmap!$D:$K,MATCH($E67,Roadmap!$D:$D,0)+COUNTIF($E67:F67,"u")+COUNTIF($E67:F67,"t")+COUNTIF($E67:F67,"¶")+COUNTIF($E67:F67,"²")+COUNTIF($E67:F67,"µ")+COUNTIF($E67:F67,1),ColTypeEcheance)),
  IF(LEN(F67)=1,
  IF(LEN(INDEX(Roadmap!$D:$K,MATCH($E67,Roadmap!$D:$D,0)-1+COUNTIF($E67:F67,"u")+COUNTIF($E67:F67,"t")+COUNTIF($E67:F67,"¶")+COUNTIF($E67:F67,"²")+COUNTIF($E67:F67,"µ")+COUNTIF($E67:F67,1),ColDescriptionCourte))&gt;1,
HYPERLINK("#Roadmap!C"&amp; MATCH($E67,Roadmap!$D:$D,0)+COUNTIF($E67:F67,"u")+COUNTIF($E67:F67,"t")+COUNTIF($E67:F67,"¶")+COUNTIF($E67:F67,"²")+COUNTIF($E67:F67,"µ")+COUNTIF($E67:F67,1)-1,INDEX(Roadmap!$D:$K,MATCH($E67,Roadmap!$D:$D,0)-1+COUNTIF($E67:F67,"u")+COUNTIF($E67:F67,"t")+COUNTIF($E67:F67,"¶")+COUNTIF($E67:F67,"²")+COUNTIF($E67:F67,"µ")+COUNTIF($E67:F67,1),ColDescriptionCourte)),""),
  "")),"")</f>
        <v/>
      </c>
      <c r="H67" s="40" t="str">
        <f ca="1">IFERROR(IF(AND(
  INDEX(Roadmap!$D:$K,MATCH($E67,Roadmap!$D:$D,0)+COUNTIF($E67:G67,"u")+COUNTIF($E67:G67,"t")+COUNTIF($E67:G67,"¶")+COUNTIF($E67:G67,"²")+COUNTIF($E67:G67,"µ")+COUNTIF($E67:G67,1),ColLivraison)=H$6,
  VLOOKUP($E67,INDIRECT("tri!"&amp; CHAR(64+ C0Col) &amp;":"&amp; CHAR(65+C0Col)),2,FALSE)&gt;COUNTIF($E67:G67,"u")+COUNTIF($E67:G67,"t")+COUNTIF($E67:G67,"¶")+COUNTIF($E67:G67,"²")+COUNTIF($E67:G67,"µ")+COUNTIF($E67:G67,1)),
HYPERLINK("#Roadmap!C"&amp; MATCH($E67,Roadmap!$D:$D,0)+COUNTIF($E67:G67,"u")+COUNTIF($E67:G67,"t"),
     INDEX(Roadmap!$D:$K,MATCH($E67,Roadmap!$D:$D,0)+COUNTIF($E67:G67,"u")+COUNTIF($E67:G67,"t")+COUNTIF($E67:G67,"¶")+COUNTIF($E67:G67,"²")+COUNTIF($E67:G67,"µ")+COUNTIF($E67:G67,1),ColTypeEcheance)),
  IF(LEN(G67)=1,
  IF(LEN(INDEX(Roadmap!$D:$K,MATCH($E67,Roadmap!$D:$D,0)-1+COUNTIF($E67:G67,"u")+COUNTIF($E67:G67,"t")+COUNTIF($E67:G67,"¶")+COUNTIF($E67:G67,"²")+COUNTIF($E67:G67,"µ")+COUNTIF($E67:G67,1),ColDescriptionCourte))&gt;1,
HYPERLINK("#Roadmap!C"&amp; MATCH($E67,Roadmap!$D:$D,0)+COUNTIF($E67:G67,"u")+COUNTIF($E67:G67,"t")+COUNTIF($E67:G67,"¶")+COUNTIF($E67:G67,"²")+COUNTIF($E67:G67,"µ")+COUNTIF($E67:G67,1)-1,INDEX(Roadmap!$D:$K,MATCH($E67,Roadmap!$D:$D,0)-1+COUNTIF($E67:G67,"u")+COUNTIF($E67:G67,"t")+COUNTIF($E67:G67,"¶")+COUNTIF($E67:G67,"²")+COUNTIF($E67:G67,"µ")+COUNTIF($E67:G67,1),ColDescriptionCourte)),""),
  "")),"")</f>
        <v/>
      </c>
      <c r="I67" s="40" t="str">
        <f ca="1">IFERROR(IF(AND(
  INDEX(Roadmap!$D:$K,MATCH($E67,Roadmap!$D:$D,0)+COUNTIF($E67:H67,"u")+COUNTIF($E67:H67,"t")+COUNTIF($E67:H67,"¶")+COUNTIF($E67:H67,"²")+COUNTIF($E67:H67,"µ")+COUNTIF($E67:H67,1),ColLivraison)=I$6,
  VLOOKUP($E67,INDIRECT("tri!"&amp; CHAR(64+ C0Col) &amp;":"&amp; CHAR(65+C0Col)),2,FALSE)&gt;COUNTIF($E67:H67,"u")+COUNTIF($E67:H67,"t")+COUNTIF($E67:H67,"¶")+COUNTIF($E67:H67,"²")+COUNTIF($E67:H67,"µ")+COUNTIF($E67:H67,1)),
HYPERLINK("#Roadmap!C"&amp; MATCH($E67,Roadmap!$D:$D,0)+COUNTIF($E67:H67,"u")+COUNTIF($E67:H67,"t"),
     INDEX(Roadmap!$D:$K,MATCH($E67,Roadmap!$D:$D,0)+COUNTIF($E67:H67,"u")+COUNTIF($E67:H67,"t")+COUNTIF($E67:H67,"¶")+COUNTIF($E67:H67,"²")+COUNTIF($E67:H67,"µ")+COUNTIF($E67:H67,1),ColTypeEcheance)),
  IF(LEN(H67)=1,
  IF(LEN(INDEX(Roadmap!$D:$K,MATCH($E67,Roadmap!$D:$D,0)-1+COUNTIF($E67:H67,"u")+COUNTIF($E67:H67,"t")+COUNTIF($E67:H67,"¶")+COUNTIF($E67:H67,"²")+COUNTIF($E67:H67,"µ")+COUNTIF($E67:H67,1),ColDescriptionCourte))&gt;1,
HYPERLINK("#Roadmap!C"&amp; MATCH($E67,Roadmap!$D:$D,0)+COUNTIF($E67:H67,"u")+COUNTIF($E67:H67,"t")+COUNTIF($E67:H67,"¶")+COUNTIF($E67:H67,"²")+COUNTIF($E67:H67,"µ")+COUNTIF($E67:H67,1)-1,INDEX(Roadmap!$D:$K,MATCH($E67,Roadmap!$D:$D,0)-1+COUNTIF($E67:H67,"u")+COUNTIF($E67:H67,"t")+COUNTIF($E67:H67,"¶")+COUNTIF($E67:H67,"²")+COUNTIF($E67:H67,"µ")+COUNTIF($E67:H67,1),ColDescriptionCourte)),""),
  "")),"")</f>
        <v/>
      </c>
      <c r="J67" s="40" t="str">
        <f ca="1">IFERROR(IF(AND(
  INDEX(Roadmap!$D:$K,MATCH($E67,Roadmap!$D:$D,0)+COUNTIF($E67:I67,"u")+COUNTIF($E67:I67,"t")+COUNTIF($E67:I67,"¶")+COUNTIF($E67:I67,"²")+COUNTIF($E67:I67,"µ")+COUNTIF($E67:I67,1),ColLivraison)=J$6,
  VLOOKUP($E67,INDIRECT("tri!"&amp; CHAR(64+ C0Col) &amp;":"&amp; CHAR(65+C0Col)),2,FALSE)&gt;COUNTIF($E67:I67,"u")+COUNTIF($E67:I67,"t")+COUNTIF($E67:I67,"¶")+COUNTIF($E67:I67,"²")+COUNTIF($E67:I67,"µ")+COUNTIF($E67:I67,1)),
HYPERLINK("#Roadmap!C"&amp; MATCH($E67,Roadmap!$D:$D,0)+COUNTIF($E67:I67,"u")+COUNTIF($E67:I67,"t"),
     INDEX(Roadmap!$D:$K,MATCH($E67,Roadmap!$D:$D,0)+COUNTIF($E67:I67,"u")+COUNTIF($E67:I67,"t")+COUNTIF($E67:I67,"¶")+COUNTIF($E67:I67,"²")+COUNTIF($E67:I67,"µ")+COUNTIF($E67:I67,1),ColTypeEcheance)),
  IF(LEN(I67)=1,
  IF(LEN(INDEX(Roadmap!$D:$K,MATCH($E67,Roadmap!$D:$D,0)-1+COUNTIF($E67:I67,"u")+COUNTIF($E67:I67,"t")+COUNTIF($E67:I67,"¶")+COUNTIF($E67:I67,"²")+COUNTIF($E67:I67,"µ")+COUNTIF($E67:I67,1),ColDescriptionCourte))&gt;1,
HYPERLINK("#Roadmap!C"&amp; MATCH($E67,Roadmap!$D:$D,0)+COUNTIF($E67:I67,"u")+COUNTIF($E67:I67,"t")+COUNTIF($E67:I67,"¶")+COUNTIF($E67:I67,"²")+COUNTIF($E67:I67,"µ")+COUNTIF($E67:I67,1)-1,INDEX(Roadmap!$D:$K,MATCH($E67,Roadmap!$D:$D,0)-1+COUNTIF($E67:I67,"u")+COUNTIF($E67:I67,"t")+COUNTIF($E67:I67,"¶")+COUNTIF($E67:I67,"²")+COUNTIF($E67:I67,"µ")+COUNTIF($E67:I67,1),ColDescriptionCourte)),""),
  "")),"")</f>
        <v/>
      </c>
      <c r="K67" s="40" t="str">
        <f ca="1">IFERROR(IF(AND(
  INDEX(Roadmap!$D:$K,MATCH($E67,Roadmap!$D:$D,0)+COUNTIF($E67:J67,"u")+COUNTIF($E67:J67,"t")+COUNTIF($E67:J67,"¶")+COUNTIF($E67:J67,"²")+COUNTIF($E67:J67,"µ")+COUNTIF($E67:J67,1),ColLivraison)=K$6,
  VLOOKUP($E67,INDIRECT("tri!"&amp; CHAR(64+ C0Col) &amp;":"&amp; CHAR(65+C0Col)),2,FALSE)&gt;COUNTIF($E67:J67,"u")+COUNTIF($E67:J67,"t")+COUNTIF($E67:J67,"¶")+COUNTIF($E67:J67,"²")+COUNTIF($E67:J67,"µ")+COUNTIF($E67:J67,1)),
HYPERLINK("#Roadmap!C"&amp; MATCH($E67,Roadmap!$D:$D,0)+COUNTIF($E67:J67,"u")+COUNTIF($E67:J67,"t"),
     INDEX(Roadmap!$D:$K,MATCH($E67,Roadmap!$D:$D,0)+COUNTIF($E67:J67,"u")+COUNTIF($E67:J67,"t")+COUNTIF($E67:J67,"¶")+COUNTIF($E67:J67,"²")+COUNTIF($E67:J67,"µ")+COUNTIF($E67:J67,1),ColTypeEcheance)),
  IF(LEN(J67)=1,
  IF(LEN(INDEX(Roadmap!$D:$K,MATCH($E67,Roadmap!$D:$D,0)-1+COUNTIF($E67:J67,"u")+COUNTIF($E67:J67,"t")+COUNTIF($E67:J67,"¶")+COUNTIF($E67:J67,"²")+COUNTIF($E67:J67,"µ")+COUNTIF($E67:J67,1),ColDescriptionCourte))&gt;1,
HYPERLINK("#Roadmap!C"&amp; MATCH($E67,Roadmap!$D:$D,0)+COUNTIF($E67:J67,"u")+COUNTIF($E67:J67,"t")+COUNTIF($E67:J67,"¶")+COUNTIF($E67:J67,"²")+COUNTIF($E67:J67,"µ")+COUNTIF($E67:J67,1)-1,INDEX(Roadmap!$D:$K,MATCH($E67,Roadmap!$D:$D,0)-1+COUNTIF($E67:J67,"u")+COUNTIF($E67:J67,"t")+COUNTIF($E67:J67,"¶")+COUNTIF($E67:J67,"²")+COUNTIF($E67:J67,"µ")+COUNTIF($E67:J67,1),ColDescriptionCourte)),""),
  "")),"")</f>
        <v/>
      </c>
      <c r="L67" s="39" t="str">
        <f ca="1">IFERROR(IF(AND(
  INDEX(Roadmap!$D:$K,MATCH($E67,Roadmap!$D:$D,0)+COUNTIF($E67:K67,"u")+COUNTIF($E67:K67,"t")+COUNTIF($E67:K67,"¶")+COUNTIF($E67:K67,"²")+COUNTIF($E67:K67,"µ")+COUNTIF($E67:K67,1),ColLivraison)=L$6,
  VLOOKUP($E67,INDIRECT("tri!"&amp; CHAR(64+ C0Col) &amp;":"&amp; CHAR(65+C0Col)),2,FALSE)&gt;COUNTIF($E67:K67,"u")+COUNTIF($E67:K67,"t")+COUNTIF($E67:K67,"¶")+COUNTIF($E67:K67,"²")+COUNTIF($E67:K67,"µ")+COUNTIF($E67:K67,1)),
HYPERLINK("#Roadmap!C"&amp; MATCH($E67,Roadmap!$D:$D,0)+COUNTIF($E67:K67,"u")+COUNTIF($E67:K67,"t"),
     INDEX(Roadmap!$D:$K,MATCH($E67,Roadmap!$D:$D,0)+COUNTIF($E67:K67,"u")+COUNTIF($E67:K67,"t")+COUNTIF($E67:K67,"¶")+COUNTIF($E67:K67,"²")+COUNTIF($E67:K67,"µ")+COUNTIF($E67:K67,1),ColTypeEcheance)),
  IF(LEN(K67)=1,
  IF(LEN(INDEX(Roadmap!$D:$K,MATCH($E67,Roadmap!$D:$D,0)-1+COUNTIF($E67:K67,"u")+COUNTIF($E67:K67,"t")+COUNTIF($E67:K67,"¶")+COUNTIF($E67:K67,"²")+COUNTIF($E67:K67,"µ")+COUNTIF($E67:K67,1),ColDescriptionCourte))&gt;1,
HYPERLINK("#Roadmap!C"&amp; MATCH($E67,Roadmap!$D:$D,0)+COUNTIF($E67:K67,"u")+COUNTIF($E67:K67,"t")+COUNTIF($E67:K67,"¶")+COUNTIF($E67:K67,"²")+COUNTIF($E67:K67,"µ")+COUNTIF($E67:K67,1)-1,INDEX(Roadmap!$D:$K,MATCH($E67,Roadmap!$D:$D,0)-1+COUNTIF($E67:K67,"u")+COUNTIF($E67:K67,"t")+COUNTIF($E67:K67,"¶")+COUNTIF($E67:K67,"²")+COUNTIF($E67:K67,"µ")+COUNTIF($E67:K67,1),ColDescriptionCourte)),""),
  "")),"")</f>
        <v/>
      </c>
      <c r="M67" s="40" t="str">
        <f ca="1">IFERROR(IF(AND(
  INDEX(Roadmap!$D:$K,MATCH($E67,Roadmap!$D:$D,0)+COUNTIF($E67:L67,"u")+COUNTIF($E67:L67,"t")+COUNTIF($E67:L67,"¶")+COUNTIF($E67:L67,"²")+COUNTIF($E67:L67,"µ")+COUNTIF($E67:L67,1),ColLivraison)=M$6,
  VLOOKUP($E67,INDIRECT("tri!"&amp; CHAR(64+ C0Col) &amp;":"&amp; CHAR(65+C0Col)),2,FALSE)&gt;COUNTIF($E67:L67,"u")+COUNTIF($E67:L67,"t")+COUNTIF($E67:L67,"¶")+COUNTIF($E67:L67,"²")+COUNTIF($E67:L67,"µ")+COUNTIF($E67:L67,1)),
HYPERLINK("#Roadmap!C"&amp; MATCH($E67,Roadmap!$D:$D,0)+COUNTIF($E67:L67,"u")+COUNTIF($E67:L67,"t"),
     INDEX(Roadmap!$D:$K,MATCH($E67,Roadmap!$D:$D,0)+COUNTIF($E67:L67,"u")+COUNTIF($E67:L67,"t")+COUNTIF($E67:L67,"¶")+COUNTIF($E67:L67,"²")+COUNTIF($E67:L67,"µ")+COUNTIF($E67:L67,1),ColTypeEcheance)),
  IF(LEN(L67)=1,
  IF(LEN(INDEX(Roadmap!$D:$K,MATCH($E67,Roadmap!$D:$D,0)-1+COUNTIF($E67:L67,"u")+COUNTIF($E67:L67,"t")+COUNTIF($E67:L67,"¶")+COUNTIF($E67:L67,"²")+COUNTIF($E67:L67,"µ")+COUNTIF($E67:L67,1),ColDescriptionCourte))&gt;1,
HYPERLINK("#Roadmap!C"&amp; MATCH($E67,Roadmap!$D:$D,0)+COUNTIF($E67:L67,"u")+COUNTIF($E67:L67,"t")+COUNTIF($E67:L67,"¶")+COUNTIF($E67:L67,"²")+COUNTIF($E67:L67,"µ")+COUNTIF($E67:L67,1)-1,INDEX(Roadmap!$D:$K,MATCH($E67,Roadmap!$D:$D,0)-1+COUNTIF($E67:L67,"u")+COUNTIF($E67:L67,"t")+COUNTIF($E67:L67,"¶")+COUNTIF($E67:L67,"²")+COUNTIF($E67:L67,"µ")+COUNTIF($E67:L67,1),ColDescriptionCourte)),""),
  "")),"")</f>
        <v/>
      </c>
      <c r="N67" s="40" t="str">
        <f ca="1">IFERROR(IF(AND(
  INDEX(Roadmap!$D:$K,MATCH($E67,Roadmap!$D:$D,0)+COUNTIF($E67:M67,"u")+COUNTIF($E67:M67,"t")+COUNTIF($E67:M67,"¶")+COUNTIF($E67:M67,"²")+COUNTIF($E67:M67,"µ")+COUNTIF($E67:M67,1),ColLivraison)=N$6,
  VLOOKUP($E67,INDIRECT("tri!"&amp; CHAR(64+ C0Col) &amp;":"&amp; CHAR(65+C0Col)),2,FALSE)&gt;COUNTIF($E67:M67,"u")+COUNTIF($E67:M67,"t")+COUNTIF($E67:M67,"¶")+COUNTIF($E67:M67,"²")+COUNTIF($E67:M67,"µ")+COUNTIF($E67:M67,1)),
HYPERLINK("#Roadmap!C"&amp; MATCH($E67,Roadmap!$D:$D,0)+COUNTIF($E67:M67,"u")+COUNTIF($E67:M67,"t"),
     INDEX(Roadmap!$D:$K,MATCH($E67,Roadmap!$D:$D,0)+COUNTIF($E67:M67,"u")+COUNTIF($E67:M67,"t")+COUNTIF($E67:M67,"¶")+COUNTIF($E67:M67,"²")+COUNTIF($E67:M67,"µ")+COUNTIF($E67:M67,1),ColTypeEcheance)),
  IF(LEN(M67)=1,
  IF(LEN(INDEX(Roadmap!$D:$K,MATCH($E67,Roadmap!$D:$D,0)-1+COUNTIF($E67:M67,"u")+COUNTIF($E67:M67,"t")+COUNTIF($E67:M67,"¶")+COUNTIF($E67:M67,"²")+COUNTIF($E67:M67,"µ")+COUNTIF($E67:M67,1),ColDescriptionCourte))&gt;1,
HYPERLINK("#Roadmap!C"&amp; MATCH($E67,Roadmap!$D:$D,0)+COUNTIF($E67:M67,"u")+COUNTIF($E67:M67,"t")+COUNTIF($E67:M67,"¶")+COUNTIF($E67:M67,"²")+COUNTIF($E67:M67,"µ")+COUNTIF($E67:M67,1)-1,INDEX(Roadmap!$D:$K,MATCH($E67,Roadmap!$D:$D,0)-1+COUNTIF($E67:M67,"u")+COUNTIF($E67:M67,"t")+COUNTIF($E67:M67,"¶")+COUNTIF($E67:M67,"²")+COUNTIF($E67:M67,"µ")+COUNTIF($E67:M67,1),ColDescriptionCourte)),""),
  "")),"")</f>
        <v/>
      </c>
      <c r="O67" s="40" t="str">
        <f ca="1">IFERROR(IF(AND(
  INDEX(Roadmap!$D:$K,MATCH($E67,Roadmap!$D:$D,0)+COUNTIF($E67:N67,"u")+COUNTIF($E67:N67,"t")+COUNTIF($E67:N67,"¶")+COUNTIF($E67:N67,"²")+COUNTIF($E67:N67,"µ")+COUNTIF($E67:N67,1),ColLivraison)=O$6,
  VLOOKUP($E67,INDIRECT("tri!"&amp; CHAR(64+ C0Col) &amp;":"&amp; CHAR(65+C0Col)),2,FALSE)&gt;COUNTIF($E67:N67,"u")+COUNTIF($E67:N67,"t")+COUNTIF($E67:N67,"¶")+COUNTIF($E67:N67,"²")+COUNTIF($E67:N67,"µ")+COUNTIF($E67:N67,1)),
HYPERLINK("#Roadmap!C"&amp; MATCH($E67,Roadmap!$D:$D,0)+COUNTIF($E67:N67,"u")+COUNTIF($E67:N67,"t"),
     INDEX(Roadmap!$D:$K,MATCH($E67,Roadmap!$D:$D,0)+COUNTIF($E67:N67,"u")+COUNTIF($E67:N67,"t")+COUNTIF($E67:N67,"¶")+COUNTIF($E67:N67,"²")+COUNTIF($E67:N67,"µ")+COUNTIF($E67:N67,1),ColTypeEcheance)),
  IF(LEN(N67)=1,
  IF(LEN(INDEX(Roadmap!$D:$K,MATCH($E67,Roadmap!$D:$D,0)-1+COUNTIF($E67:N67,"u")+COUNTIF($E67:N67,"t")+COUNTIF($E67:N67,"¶")+COUNTIF($E67:N67,"²")+COUNTIF($E67:N67,"µ")+COUNTIF($E67:N67,1),ColDescriptionCourte))&gt;1,
HYPERLINK("#Roadmap!C"&amp; MATCH($E67,Roadmap!$D:$D,0)+COUNTIF($E67:N67,"u")+COUNTIF($E67:N67,"t")+COUNTIF($E67:N67,"¶")+COUNTIF($E67:N67,"²")+COUNTIF($E67:N67,"µ")+COUNTIF($E67:N67,1)-1,INDEX(Roadmap!$D:$K,MATCH($E67,Roadmap!$D:$D,0)-1+COUNTIF($E67:N67,"u")+COUNTIF($E67:N67,"t")+COUNTIF($E67:N67,"¶")+COUNTIF($E67:N67,"²")+COUNTIF($E67:N67,"µ")+COUNTIF($E67:N67,1),ColDescriptionCourte)),""),
  "")),"")</f>
        <v/>
      </c>
      <c r="P67" s="40" t="str">
        <f ca="1">IFERROR(IF(AND(
  INDEX(Roadmap!$D:$K,MATCH($E67,Roadmap!$D:$D,0)+COUNTIF($E67:O67,"u")+COUNTIF($E67:O67,"t")+COUNTIF($E67:O67,"¶")+COUNTIF($E67:O67,"²")+COUNTIF($E67:O67,"µ")+COUNTIF($E67:O67,1),ColLivraison)=P$6,
  VLOOKUP($E67,INDIRECT("tri!"&amp; CHAR(64+ C0Col) &amp;":"&amp; CHAR(65+C0Col)),2,FALSE)&gt;COUNTIF($E67:O67,"u")+COUNTIF($E67:O67,"t")+COUNTIF($E67:O67,"¶")+COUNTIF($E67:O67,"²")+COUNTIF($E67:O67,"µ")+COUNTIF($E67:O67,1)),
HYPERLINK("#Roadmap!C"&amp; MATCH($E67,Roadmap!$D:$D,0)+COUNTIF($E67:O67,"u")+COUNTIF($E67:O67,"t"),
     INDEX(Roadmap!$D:$K,MATCH($E67,Roadmap!$D:$D,0)+COUNTIF($E67:O67,"u")+COUNTIF($E67:O67,"t")+COUNTIF($E67:O67,"¶")+COUNTIF($E67:O67,"²")+COUNTIF($E67:O67,"µ")+COUNTIF($E67:O67,1),ColTypeEcheance)),
  IF(LEN(O67)=1,
  IF(LEN(INDEX(Roadmap!$D:$K,MATCH($E67,Roadmap!$D:$D,0)-1+COUNTIF($E67:O67,"u")+COUNTIF($E67:O67,"t")+COUNTIF($E67:O67,"¶")+COUNTIF($E67:O67,"²")+COUNTIF($E67:O67,"µ")+COUNTIF($E67:O67,1),ColDescriptionCourte))&gt;1,
HYPERLINK("#Roadmap!C"&amp; MATCH($E67,Roadmap!$D:$D,0)+COUNTIF($E67:O67,"u")+COUNTIF($E67:O67,"t")+COUNTIF($E67:O67,"¶")+COUNTIF($E67:O67,"²")+COUNTIF($E67:O67,"µ")+COUNTIF($E67:O67,1)-1,INDEX(Roadmap!$D:$K,MATCH($E67,Roadmap!$D:$D,0)-1+COUNTIF($E67:O67,"u")+COUNTIF($E67:O67,"t")+COUNTIF($E67:O67,"¶")+COUNTIF($E67:O67,"²")+COUNTIF($E67:O67,"µ")+COUNTIF($E67:O67,1),ColDescriptionCourte)),""),
  "")),"")</f>
        <v/>
      </c>
      <c r="Q67" s="40" t="str">
        <f ca="1">IFERROR(IF(AND(
  INDEX(Roadmap!$D:$K,MATCH($E67,Roadmap!$D:$D,0)+COUNTIF($E67:P67,"u")+COUNTIF($E67:P67,"t")+COUNTIF($E67:P67,"¶")+COUNTIF($E67:P67,"²")+COUNTIF($E67:P67,"µ")+COUNTIF($E67:P67,1),ColLivraison)=Q$6,
  VLOOKUP($E67,INDIRECT("tri!"&amp; CHAR(64+ C0Col) &amp;":"&amp; CHAR(65+C0Col)),2,FALSE)&gt;COUNTIF($E67:P67,"u")+COUNTIF($E67:P67,"t")+COUNTIF($E67:P67,"¶")+COUNTIF($E67:P67,"²")+COUNTIF($E67:P67,"µ")+COUNTIF($E67:P67,1)),
HYPERLINK("#Roadmap!C"&amp; MATCH($E67,Roadmap!$D:$D,0)+COUNTIF($E67:P67,"u")+COUNTIF($E67:P67,"t"),
     INDEX(Roadmap!$D:$K,MATCH($E67,Roadmap!$D:$D,0)+COUNTIF($E67:P67,"u")+COUNTIF($E67:P67,"t")+COUNTIF($E67:P67,"¶")+COUNTIF($E67:P67,"²")+COUNTIF($E67:P67,"µ")+COUNTIF($E67:P67,1),ColTypeEcheance)),
  IF(LEN(P67)=1,
  IF(LEN(INDEX(Roadmap!$D:$K,MATCH($E67,Roadmap!$D:$D,0)-1+COUNTIF($E67:P67,"u")+COUNTIF($E67:P67,"t")+COUNTIF($E67:P67,"¶")+COUNTIF($E67:P67,"²")+COUNTIF($E67:P67,"µ")+COUNTIF($E67:P67,1),ColDescriptionCourte))&gt;1,
HYPERLINK("#Roadmap!C"&amp; MATCH($E67,Roadmap!$D:$D,0)+COUNTIF($E67:P67,"u")+COUNTIF($E67:P67,"t")+COUNTIF($E67:P67,"¶")+COUNTIF($E67:P67,"²")+COUNTIF($E67:P67,"µ")+COUNTIF($E67:P67,1)-1,INDEX(Roadmap!$D:$K,MATCH($E67,Roadmap!$D:$D,0)-1+COUNTIF($E67:P67,"u")+COUNTIF($E67:P67,"t")+COUNTIF($E67:P67,"¶")+COUNTIF($E67:P67,"²")+COUNTIF($E67:P67,"µ")+COUNTIF($E67:P67,1),ColDescriptionCourte)),""),
  "")),"")</f>
        <v/>
      </c>
      <c r="R67" s="40" t="str">
        <f ca="1">IFERROR(IF(AND(
  INDEX(Roadmap!$D:$K,MATCH($E67,Roadmap!$D:$D,0)+COUNTIF($E67:Q67,"u")+COUNTIF($E67:Q67,"t")+COUNTIF($E67:Q67,"¶")+COUNTIF($E67:Q67,"²")+COUNTIF($E67:Q67,"µ")+COUNTIF($E67:Q67,1),ColLivraison)=R$6,
  VLOOKUP($E67,INDIRECT("tri!"&amp; CHAR(64+ C0Col) &amp;":"&amp; CHAR(65+C0Col)),2,FALSE)&gt;COUNTIF($E67:Q67,"u")+COUNTIF($E67:Q67,"t")+COUNTIF($E67:Q67,"¶")+COUNTIF($E67:Q67,"²")+COUNTIF($E67:Q67,"µ")+COUNTIF($E67:Q67,1)),
HYPERLINK("#Roadmap!C"&amp; MATCH($E67,Roadmap!$D:$D,0)+COUNTIF($E67:Q67,"u")+COUNTIF($E67:Q67,"t"),
     INDEX(Roadmap!$D:$K,MATCH($E67,Roadmap!$D:$D,0)+COUNTIF($E67:Q67,"u")+COUNTIF($E67:Q67,"t")+COUNTIF($E67:Q67,"¶")+COUNTIF($E67:Q67,"²")+COUNTIF($E67:Q67,"µ")+COUNTIF($E67:Q67,1),ColTypeEcheance)),
  IF(LEN(Q67)=1,
  IF(LEN(INDEX(Roadmap!$D:$K,MATCH($E67,Roadmap!$D:$D,0)-1+COUNTIF($E67:Q67,"u")+COUNTIF($E67:Q67,"t")+COUNTIF($E67:Q67,"¶")+COUNTIF($E67:Q67,"²")+COUNTIF($E67:Q67,"µ")+COUNTIF($E67:Q67,1),ColDescriptionCourte))&gt;1,
HYPERLINK("#Roadmap!C"&amp; MATCH($E67,Roadmap!$D:$D,0)+COUNTIF($E67:Q67,"u")+COUNTIF($E67:Q67,"t")+COUNTIF($E67:Q67,"¶")+COUNTIF($E67:Q67,"²")+COUNTIF($E67:Q67,"µ")+COUNTIF($E67:Q67,1)-1,INDEX(Roadmap!$D:$K,MATCH($E67,Roadmap!$D:$D,0)-1+COUNTIF($E67:Q67,"u")+COUNTIF($E67:Q67,"t")+COUNTIF($E67:Q67,"¶")+COUNTIF($E67:Q67,"²")+COUNTIF($E67:Q67,"µ")+COUNTIF($E67:Q67,1),ColDescriptionCourte)),""),
  "")),"")</f>
        <v/>
      </c>
      <c r="S67" s="40" t="str">
        <f ca="1">IFERROR(IF(AND(
  INDEX(Roadmap!$D:$K,MATCH($E67,Roadmap!$D:$D,0)+COUNTIF($E67:R67,"u")+COUNTIF($E67:R67,"t")+COUNTIF($E67:R67,"¶")+COUNTIF($E67:R67,"²")+COUNTIF($E67:R67,"µ")+COUNTIF($E67:R67,1),ColLivraison)=S$6,
  VLOOKUP($E67,INDIRECT("tri!"&amp; CHAR(64+ C0Col) &amp;":"&amp; CHAR(65+C0Col)),2,FALSE)&gt;COUNTIF($E67:R67,"u")+COUNTIF($E67:R67,"t")+COUNTIF($E67:R67,"¶")+COUNTIF($E67:R67,"²")+COUNTIF($E67:R67,"µ")+COUNTIF($E67:R67,1)),
HYPERLINK("#Roadmap!C"&amp; MATCH($E67,Roadmap!$D:$D,0)+COUNTIF($E67:R67,"u")+COUNTIF($E67:R67,"t"),
     INDEX(Roadmap!$D:$K,MATCH($E67,Roadmap!$D:$D,0)+COUNTIF($E67:R67,"u")+COUNTIF($E67:R67,"t")+COUNTIF($E67:R67,"¶")+COUNTIF($E67:R67,"²")+COUNTIF($E67:R67,"µ")+COUNTIF($E67:R67,1),ColTypeEcheance)),
  IF(LEN(R67)=1,
  IF(LEN(INDEX(Roadmap!$D:$K,MATCH($E67,Roadmap!$D:$D,0)-1+COUNTIF($E67:R67,"u")+COUNTIF($E67:R67,"t")+COUNTIF($E67:R67,"¶")+COUNTIF($E67:R67,"²")+COUNTIF($E67:R67,"µ")+COUNTIF($E67:R67,1),ColDescriptionCourte))&gt;1,
HYPERLINK("#Roadmap!C"&amp; MATCH($E67,Roadmap!$D:$D,0)+COUNTIF($E67:R67,"u")+COUNTIF($E67:R67,"t")+COUNTIF($E67:R67,"¶")+COUNTIF($E67:R67,"²")+COUNTIF($E67:R67,"µ")+COUNTIF($E67:R67,1)-1,INDEX(Roadmap!$D:$K,MATCH($E67,Roadmap!$D:$D,0)-1+COUNTIF($E67:R67,"u")+COUNTIF($E67:R67,"t")+COUNTIF($E67:R67,"¶")+COUNTIF($E67:R67,"²")+COUNTIF($E67:R67,"µ")+COUNTIF($E67:R67,1),ColDescriptionCourte)),""),
  "")),"")</f>
        <v/>
      </c>
      <c r="T67" s="40" t="str">
        <f ca="1">IFERROR(IF(AND(
  INDEX(Roadmap!$D:$K,MATCH($E67,Roadmap!$D:$D,0)+COUNTIF($E67:S67,"u")+COUNTIF($E67:S67,"t")+COUNTIF($E67:S67,"¶")+COUNTIF($E67:S67,"²")+COUNTIF($E67:S67,"µ")+COUNTIF($E67:S67,1),ColLivraison)=T$6,
  VLOOKUP($E67,INDIRECT("tri!"&amp; CHAR(64+ C0Col) &amp;":"&amp; CHAR(65+C0Col)),2,FALSE)&gt;COUNTIF($E67:S67,"u")+COUNTIF($E67:S67,"t")+COUNTIF($E67:S67,"¶")+COUNTIF($E67:S67,"²")+COUNTIF($E67:S67,"µ")+COUNTIF($E67:S67,1)),
HYPERLINK("#Roadmap!C"&amp; MATCH($E67,Roadmap!$D:$D,0)+COUNTIF($E67:S67,"u")+COUNTIF($E67:S67,"t"),
     INDEX(Roadmap!$D:$K,MATCH($E67,Roadmap!$D:$D,0)+COUNTIF($E67:S67,"u")+COUNTIF($E67:S67,"t")+COUNTIF($E67:S67,"¶")+COUNTIF($E67:S67,"²")+COUNTIF($E67:S67,"µ")+COUNTIF($E67:S67,1),ColTypeEcheance)),
  IF(LEN(S67)=1,
  IF(LEN(INDEX(Roadmap!$D:$K,MATCH($E67,Roadmap!$D:$D,0)-1+COUNTIF($E67:S67,"u")+COUNTIF($E67:S67,"t")+COUNTIF($E67:S67,"¶")+COUNTIF($E67:S67,"²")+COUNTIF($E67:S67,"µ")+COUNTIF($E67:S67,1),ColDescriptionCourte))&gt;1,
HYPERLINK("#Roadmap!C"&amp; MATCH($E67,Roadmap!$D:$D,0)+COUNTIF($E67:S67,"u")+COUNTIF($E67:S67,"t")+COUNTIF($E67:S67,"¶")+COUNTIF($E67:S67,"²")+COUNTIF($E67:S67,"µ")+COUNTIF($E67:S67,1)-1,INDEX(Roadmap!$D:$K,MATCH($E67,Roadmap!$D:$D,0)-1+COUNTIF($E67:S67,"u")+COUNTIF($E67:S67,"t")+COUNTIF($E67:S67,"¶")+COUNTIF($E67:S67,"²")+COUNTIF($E67:S67,"µ")+COUNTIF($E67:S67,1),ColDescriptionCourte)),""),
  "")),"")</f>
        <v/>
      </c>
      <c r="U67" s="40" t="str">
        <f ca="1">IFERROR(IF(AND(
  INDEX(Roadmap!$D:$K,MATCH($E67,Roadmap!$D:$D,0)+COUNTIF($E67:T67,"u")+COUNTIF($E67:T67,"t")+COUNTIF($E67:T67,"¶")+COUNTIF($E67:T67,"²")+COUNTIF($E67:T67,"µ")+COUNTIF($E67:T67,1),ColLivraison)=U$6,
  VLOOKUP($E67,INDIRECT("tri!"&amp; CHAR(64+ C0Col) &amp;":"&amp; CHAR(65+C0Col)),2,FALSE)&gt;COUNTIF($E67:T67,"u")+COUNTIF($E67:T67,"t")+COUNTIF($E67:T67,"¶")+COUNTIF($E67:T67,"²")+COUNTIF($E67:T67,"µ")+COUNTIF($E67:T67,1)),
HYPERLINK("#Roadmap!C"&amp; MATCH($E67,Roadmap!$D:$D,0)+COUNTIF($E67:T67,"u")+COUNTIF($E67:T67,"t"),
     INDEX(Roadmap!$D:$K,MATCH($E67,Roadmap!$D:$D,0)+COUNTIF($E67:T67,"u")+COUNTIF($E67:T67,"t")+COUNTIF($E67:T67,"¶")+COUNTIF($E67:T67,"²")+COUNTIF($E67:T67,"µ")+COUNTIF($E67:T67,1),ColTypeEcheance)),
  IF(LEN(T67)=1,
  IF(LEN(INDEX(Roadmap!$D:$K,MATCH($E67,Roadmap!$D:$D,0)-1+COUNTIF($E67:T67,"u")+COUNTIF($E67:T67,"t")+COUNTIF($E67:T67,"¶")+COUNTIF($E67:T67,"²")+COUNTIF($E67:T67,"µ")+COUNTIF($E67:T67,1),ColDescriptionCourte))&gt;1,
HYPERLINK("#Roadmap!C"&amp; MATCH($E67,Roadmap!$D:$D,0)+COUNTIF($E67:T67,"u")+COUNTIF($E67:T67,"t")+COUNTIF($E67:T67,"¶")+COUNTIF($E67:T67,"²")+COUNTIF($E67:T67,"µ")+COUNTIF($E67:T67,1)-1,INDEX(Roadmap!$D:$K,MATCH($E67,Roadmap!$D:$D,0)-1+COUNTIF($E67:T67,"u")+COUNTIF($E67:T67,"t")+COUNTIF($E67:T67,"¶")+COUNTIF($E67:T67,"²")+COUNTIF($E67:T67,"µ")+COUNTIF($E67:T67,1),ColDescriptionCourte)),""),
  "")),"")</f>
        <v/>
      </c>
      <c r="V67" s="40" t="str">
        <f ca="1">IFERROR(IF(AND(
  INDEX(Roadmap!$D:$K,MATCH($E67,Roadmap!$D:$D,0)+COUNTIF($E67:U67,"u")+COUNTIF($E67:U67,"t")+COUNTIF($E67:U67,"¶")+COUNTIF($E67:U67,"²")+COUNTIF($E67:U67,"µ")+COUNTIF($E67:U67,1),ColLivraison)=V$6,
  VLOOKUP($E67,INDIRECT("tri!"&amp; CHAR(64+ C0Col) &amp;":"&amp; CHAR(65+C0Col)),2,FALSE)&gt;COUNTIF($E67:U67,"u")+COUNTIF($E67:U67,"t")+COUNTIF($E67:U67,"¶")+COUNTIF($E67:U67,"²")+COUNTIF($E67:U67,"µ")+COUNTIF($E67:U67,1)),
HYPERLINK("#Roadmap!C"&amp; MATCH($E67,Roadmap!$D:$D,0)+COUNTIF($E67:U67,"u")+COUNTIF($E67:U67,"t"),
     INDEX(Roadmap!$D:$K,MATCH($E67,Roadmap!$D:$D,0)+COUNTIF($E67:U67,"u")+COUNTIF($E67:U67,"t")+COUNTIF($E67:U67,"¶")+COUNTIF($E67:U67,"²")+COUNTIF($E67:U67,"µ")+COUNTIF($E67:U67,1),ColTypeEcheance)),
  IF(LEN(U67)=1,
  IF(LEN(INDEX(Roadmap!$D:$K,MATCH($E67,Roadmap!$D:$D,0)-1+COUNTIF($E67:U67,"u")+COUNTIF($E67:U67,"t")+COUNTIF($E67:U67,"¶")+COUNTIF($E67:U67,"²")+COUNTIF($E67:U67,"µ")+COUNTIF($E67:U67,1),ColDescriptionCourte))&gt;1,
HYPERLINK("#Roadmap!C"&amp; MATCH($E67,Roadmap!$D:$D,0)+COUNTIF($E67:U67,"u")+COUNTIF($E67:U67,"t")+COUNTIF($E67:U67,"¶")+COUNTIF($E67:U67,"²")+COUNTIF($E67:U67,"µ")+COUNTIF($E67:U67,1)-1,INDEX(Roadmap!$D:$K,MATCH($E67,Roadmap!$D:$D,0)-1+COUNTIF($E67:U67,"u")+COUNTIF($E67:U67,"t")+COUNTIF($E67:U67,"¶")+COUNTIF($E67:U67,"²")+COUNTIF($E67:U67,"µ")+COUNTIF($E67:U67,1),ColDescriptionCourte)),""),
  "")),"")</f>
        <v/>
      </c>
      <c r="W67" s="40" t="str">
        <f ca="1">IFERROR(IF(AND(
  INDEX(Roadmap!$D:$K,MATCH($E67,Roadmap!$D:$D,0)+COUNTIF($E67:V67,"u")+COUNTIF($E67:V67,"t")+COUNTIF($E67:V67,"¶")+COUNTIF($E67:V67,"²")+COUNTIF($E67:V67,"µ")+COUNTIF($E67:V67,1),ColLivraison)=W$6,
  VLOOKUP($E67,INDIRECT("tri!"&amp; CHAR(64+ C0Col) &amp;":"&amp; CHAR(65+C0Col)),2,FALSE)&gt;COUNTIF($E67:V67,"u")+COUNTIF($E67:V67,"t")+COUNTIF($E67:V67,"¶")+COUNTIF($E67:V67,"²")+COUNTIF($E67:V67,"µ")+COUNTIF($E67:V67,1)),
HYPERLINK("#Roadmap!C"&amp; MATCH($E67,Roadmap!$D:$D,0)+COUNTIF($E67:V67,"u")+COUNTIF($E67:V67,"t"),
     INDEX(Roadmap!$D:$K,MATCH($E67,Roadmap!$D:$D,0)+COUNTIF($E67:V67,"u")+COUNTIF($E67:V67,"t")+COUNTIF($E67:V67,"¶")+COUNTIF($E67:V67,"²")+COUNTIF($E67:V67,"µ")+COUNTIF($E67:V67,1),ColTypeEcheance)),
  IF(LEN(V67)=1,
  IF(LEN(INDEX(Roadmap!$D:$K,MATCH($E67,Roadmap!$D:$D,0)-1+COUNTIF($E67:V67,"u")+COUNTIF($E67:V67,"t")+COUNTIF($E67:V67,"¶")+COUNTIF($E67:V67,"²")+COUNTIF($E67:V67,"µ")+COUNTIF($E67:V67,1),ColDescriptionCourte))&gt;1,
HYPERLINK("#Roadmap!C"&amp; MATCH($E67,Roadmap!$D:$D,0)+COUNTIF($E67:V67,"u")+COUNTIF($E67:V67,"t")+COUNTIF($E67:V67,"¶")+COUNTIF($E67:V67,"²")+COUNTIF($E67:V67,"µ")+COUNTIF($E67:V67,1)-1,INDEX(Roadmap!$D:$K,MATCH($E67,Roadmap!$D:$D,0)-1+COUNTIF($E67:V67,"u")+COUNTIF($E67:V67,"t")+COUNTIF($E67:V67,"¶")+COUNTIF($E67:V67,"²")+COUNTIF($E67:V67,"µ")+COUNTIF($E67:V67,1),ColDescriptionCourte)),""),
  "")),"")</f>
        <v/>
      </c>
      <c r="X67" s="40" t="str">
        <f ca="1">IFERROR(IF(AND(
  INDEX(Roadmap!$D:$K,MATCH($E67,Roadmap!$D:$D,0)+COUNTIF($E67:W67,"u")+COUNTIF($E67:W67,"t")+COUNTIF($E67:W67,"¶")+COUNTIF($E67:W67,"²")+COUNTIF($E67:W67,"µ")+COUNTIF($E67:W67,1),ColLivraison)=X$6,
  VLOOKUP($E67,INDIRECT("tri!"&amp; CHAR(64+ C0Col) &amp;":"&amp; CHAR(65+C0Col)),2,FALSE)&gt;COUNTIF($E67:W67,"u")+COUNTIF($E67:W67,"t")+COUNTIF($E67:W67,"¶")+COUNTIF($E67:W67,"²")+COUNTIF($E67:W67,"µ")+COUNTIF($E67:W67,1)),
HYPERLINK("#Roadmap!C"&amp; MATCH($E67,Roadmap!$D:$D,0)+COUNTIF($E67:W67,"u")+COUNTIF($E67:W67,"t"),
     INDEX(Roadmap!$D:$K,MATCH($E67,Roadmap!$D:$D,0)+COUNTIF($E67:W67,"u")+COUNTIF($E67:W67,"t")+COUNTIF($E67:W67,"¶")+COUNTIF($E67:W67,"²")+COUNTIF($E67:W67,"µ")+COUNTIF($E67:W67,1),ColTypeEcheance)),
  IF(LEN(W67)=1,
  IF(LEN(INDEX(Roadmap!$D:$K,MATCH($E67,Roadmap!$D:$D,0)-1+COUNTIF($E67:W67,"u")+COUNTIF($E67:W67,"t")+COUNTIF($E67:W67,"¶")+COUNTIF($E67:W67,"²")+COUNTIF($E67:W67,"µ")+COUNTIF($E67:W67,1),ColDescriptionCourte))&gt;1,
HYPERLINK("#Roadmap!C"&amp; MATCH($E67,Roadmap!$D:$D,0)+COUNTIF($E67:W67,"u")+COUNTIF($E67:W67,"t")+COUNTIF($E67:W67,"¶")+COUNTIF($E67:W67,"²")+COUNTIF($E67:W67,"µ")+COUNTIF($E67:W67,1)-1,INDEX(Roadmap!$D:$K,MATCH($E67,Roadmap!$D:$D,0)-1+COUNTIF($E67:W67,"u")+COUNTIF($E67:W67,"t")+COUNTIF($E67:W67,"¶")+COUNTIF($E67:W67,"²")+COUNTIF($E67:W67,"µ")+COUNTIF($E67:W67,1),ColDescriptionCourte)),""),
  "")),"")</f>
        <v/>
      </c>
      <c r="Y67" s="40" t="str">
        <f ca="1">IFERROR(IF(AND(
  INDEX(Roadmap!$D:$K,MATCH($E67,Roadmap!$D:$D,0)+COUNTIF($E67:X67,"u")+COUNTIF($E67:X67,"t")+COUNTIF($E67:X67,"¶")+COUNTIF($E67:X67,"²")+COUNTIF($E67:X67,"µ")+COUNTIF($E67:X67,1),ColLivraison)=Y$6,
  VLOOKUP($E67,INDIRECT("tri!"&amp; CHAR(64+ C0Col) &amp;":"&amp; CHAR(65+C0Col)),2,FALSE)&gt;COUNTIF($E67:X67,"u")+COUNTIF($E67:X67,"t")+COUNTIF($E67:X67,"¶")+COUNTIF($E67:X67,"²")+COUNTIF($E67:X67,"µ")+COUNTIF($E67:X67,1)),
HYPERLINK("#Roadmap!C"&amp; MATCH($E67,Roadmap!$D:$D,0)+COUNTIF($E67:X67,"u")+COUNTIF($E67:X67,"t"),
     INDEX(Roadmap!$D:$K,MATCH($E67,Roadmap!$D:$D,0)+COUNTIF($E67:X67,"u")+COUNTIF($E67:X67,"t")+COUNTIF($E67:X67,"¶")+COUNTIF($E67:X67,"²")+COUNTIF($E67:X67,"µ")+COUNTIF($E67:X67,1),ColTypeEcheance)),
  IF(LEN(X67)=1,
  IF(LEN(INDEX(Roadmap!$D:$K,MATCH($E67,Roadmap!$D:$D,0)-1+COUNTIF($E67:X67,"u")+COUNTIF($E67:X67,"t")+COUNTIF($E67:X67,"¶")+COUNTIF($E67:X67,"²")+COUNTIF($E67:X67,"µ")+COUNTIF($E67:X67,1),ColDescriptionCourte))&gt;1,
HYPERLINK("#Roadmap!C"&amp; MATCH($E67,Roadmap!$D:$D,0)+COUNTIF($E67:X67,"u")+COUNTIF($E67:X67,"t")+COUNTIF($E67:X67,"¶")+COUNTIF($E67:X67,"²")+COUNTIF($E67:X67,"µ")+COUNTIF($E67:X67,1)-1,INDEX(Roadmap!$D:$K,MATCH($E67,Roadmap!$D:$D,0)-1+COUNTIF($E67:X67,"u")+COUNTIF($E67:X67,"t")+COUNTIF($E67:X67,"¶")+COUNTIF($E67:X67,"²")+COUNTIF($E67:X67,"µ")+COUNTIF($E67:X67,1),ColDescriptionCourte)),""),
  "")),"")</f>
        <v/>
      </c>
      <c r="Z67" s="40" t="str">
        <f ca="1">IFERROR(IF(AND(
  INDEX(Roadmap!$D:$K,MATCH($E67,Roadmap!$D:$D,0)+COUNTIF($E67:Y67,"u")+COUNTIF($E67:Y67,"t")+COUNTIF($E67:Y67,"¶")+COUNTIF($E67:Y67,"²")+COUNTIF($E67:Y67,"µ")+COUNTIF($E67:Y67,1),ColLivraison)=Z$6,
  VLOOKUP($E67,INDIRECT("tri!"&amp; CHAR(64+ C0Col) &amp;":"&amp; CHAR(65+C0Col)),2,FALSE)&gt;COUNTIF($E67:Y67,"u")+COUNTIF($E67:Y67,"t")+COUNTIF($E67:Y67,"¶")+COUNTIF($E67:Y67,"²")+COUNTIF($E67:Y67,"µ")+COUNTIF($E67:Y67,1)),
HYPERLINK("#Roadmap!C"&amp; MATCH($E67,Roadmap!$D:$D,0)+COUNTIF($E67:Y67,"u")+COUNTIF($E67:Y67,"t"),
     INDEX(Roadmap!$D:$K,MATCH($E67,Roadmap!$D:$D,0)+COUNTIF($E67:Y67,"u")+COUNTIF($E67:Y67,"t")+COUNTIF($E67:Y67,"¶")+COUNTIF($E67:Y67,"²")+COUNTIF($E67:Y67,"µ")+COUNTIF($E67:Y67,1),ColTypeEcheance)),
  IF(LEN(Y67)=1,
  IF(LEN(INDEX(Roadmap!$D:$K,MATCH($E67,Roadmap!$D:$D,0)-1+COUNTIF($E67:Y67,"u")+COUNTIF($E67:Y67,"t")+COUNTIF($E67:Y67,"¶")+COUNTIF($E67:Y67,"²")+COUNTIF($E67:Y67,"µ")+COUNTIF($E67:Y67,1),ColDescriptionCourte))&gt;1,
HYPERLINK("#Roadmap!C"&amp; MATCH($E67,Roadmap!$D:$D,0)+COUNTIF($E67:Y67,"u")+COUNTIF($E67:Y67,"t")+COUNTIF($E67:Y67,"¶")+COUNTIF($E67:Y67,"²")+COUNTIF($E67:Y67,"µ")+COUNTIF($E67:Y67,1)-1,INDEX(Roadmap!$D:$K,MATCH($E67,Roadmap!$D:$D,0)-1+COUNTIF($E67:Y67,"u")+COUNTIF($E67:Y67,"t")+COUNTIF($E67:Y67,"¶")+COUNTIF($E67:Y67,"²")+COUNTIF($E67:Y67,"µ")+COUNTIF($E67:Y67,1),ColDescriptionCourte)),""),
  "")),"")</f>
        <v/>
      </c>
      <c r="AA67" s="40" t="str">
        <f ca="1">IFERROR(IF(AND(
  INDEX(Roadmap!$D:$K,MATCH($E67,Roadmap!$D:$D,0)+COUNTIF($E67:Z67,"u")+COUNTIF($E67:Z67,"t")+COUNTIF($E67:Z67,"¶")+COUNTIF($E67:Z67,"²")+COUNTIF($E67:Z67,"µ")+COUNTIF($E67:Z67,1),ColLivraison)=AA$6,
  VLOOKUP($E67,INDIRECT("tri!"&amp; CHAR(64+ C0Col) &amp;":"&amp; CHAR(65+C0Col)),2,FALSE)&gt;COUNTIF($E67:Z67,"u")+COUNTIF($E67:Z67,"t")+COUNTIF($E67:Z67,"¶")+COUNTIF($E67:Z67,"²")+COUNTIF($E67:Z67,"µ")+COUNTIF($E67:Z67,1)),
HYPERLINK("#Roadmap!C"&amp; MATCH($E67,Roadmap!$D:$D,0)+COUNTIF($E67:Z67,"u")+COUNTIF($E67:Z67,"t"),
     INDEX(Roadmap!$D:$K,MATCH($E67,Roadmap!$D:$D,0)+COUNTIF($E67:Z67,"u")+COUNTIF($E67:Z67,"t")+COUNTIF($E67:Z67,"¶")+COUNTIF($E67:Z67,"²")+COUNTIF($E67:Z67,"µ")+COUNTIF($E67:Z67,1),ColTypeEcheance)),
  IF(LEN(Z67)=1,
  IF(LEN(INDEX(Roadmap!$D:$K,MATCH($E67,Roadmap!$D:$D,0)-1+COUNTIF($E67:Z67,"u")+COUNTIF($E67:Z67,"t")+COUNTIF($E67:Z67,"¶")+COUNTIF($E67:Z67,"²")+COUNTIF($E67:Z67,"µ")+COUNTIF($E67:Z67,1),ColDescriptionCourte))&gt;1,
HYPERLINK("#Roadmap!C"&amp; MATCH($E67,Roadmap!$D:$D,0)+COUNTIF($E67:Z67,"u")+COUNTIF($E67:Z67,"t")+COUNTIF($E67:Z67,"¶")+COUNTIF($E67:Z67,"²")+COUNTIF($E67:Z67,"µ")+COUNTIF($E67:Z67,1)-1,INDEX(Roadmap!$D:$K,MATCH($E67,Roadmap!$D:$D,0)-1+COUNTIF($E67:Z67,"u")+COUNTIF($E67:Z67,"t")+COUNTIF($E67:Z67,"¶")+COUNTIF($E67:Z67,"²")+COUNTIF($E67:Z67,"µ")+COUNTIF($E67:Z67,1),ColDescriptionCourte)),""),
  "")),"")</f>
        <v/>
      </c>
      <c r="AB67" s="40" t="str">
        <f ca="1">IFERROR(IF(AND(
  INDEX(Roadmap!$D:$K,MATCH($E67,Roadmap!$D:$D,0)+COUNTIF($E67:AA67,"u")+COUNTIF($E67:AA67,"t")+COUNTIF($E67:AA67,"¶")+COUNTIF($E67:AA67,"²")+COUNTIF($E67:AA67,"µ")+COUNTIF($E67:AA67,1),ColLivraison)=AB$6,
  VLOOKUP($E67,INDIRECT("tri!"&amp; CHAR(64+ C0Col) &amp;":"&amp; CHAR(65+C0Col)),2,FALSE)&gt;COUNTIF($E67:AA67,"u")+COUNTIF($E67:AA67,"t")+COUNTIF($E67:AA67,"¶")+COUNTIF($E67:AA67,"²")+COUNTIF($E67:AA67,"µ")+COUNTIF($E67:AA67,1)),
HYPERLINK("#Roadmap!C"&amp; MATCH($E67,Roadmap!$D:$D,0)+COUNTIF($E67:AA67,"u")+COUNTIF($E67:AA67,"t"),
     INDEX(Roadmap!$D:$K,MATCH($E67,Roadmap!$D:$D,0)+COUNTIF($E67:AA67,"u")+COUNTIF($E67:AA67,"t")+COUNTIF($E67:AA67,"¶")+COUNTIF($E67:AA67,"²")+COUNTIF($E67:AA67,"µ")+COUNTIF($E67:AA67,1),ColTypeEcheance)),
  IF(LEN(AA67)=1,
  IF(LEN(INDEX(Roadmap!$D:$K,MATCH($E67,Roadmap!$D:$D,0)-1+COUNTIF($E67:AA67,"u")+COUNTIF($E67:AA67,"t")+COUNTIF($E67:AA67,"¶")+COUNTIF($E67:AA67,"²")+COUNTIF($E67:AA67,"µ")+COUNTIF($E67:AA67,1),ColDescriptionCourte))&gt;1,
HYPERLINK("#Roadmap!C"&amp; MATCH($E67,Roadmap!$D:$D,0)+COUNTIF($E67:AA67,"u")+COUNTIF($E67:AA67,"t")+COUNTIF($E67:AA67,"¶")+COUNTIF($E67:AA67,"²")+COUNTIF($E67:AA67,"µ")+COUNTIF($E67:AA67,1)-1,INDEX(Roadmap!$D:$K,MATCH($E67,Roadmap!$D:$D,0)-1+COUNTIF($E67:AA67,"u")+COUNTIF($E67:AA67,"t")+COUNTIF($E67:AA67,"¶")+COUNTIF($E67:AA67,"²")+COUNTIF($E67:AA67,"µ")+COUNTIF($E67:AA67,1),ColDescriptionCourte)),""),
  "")),"")</f>
        <v/>
      </c>
      <c r="AC67" s="40" t="str">
        <f ca="1">IFERROR(IF(AND(
  INDEX(Roadmap!$D:$K,MATCH($E67,Roadmap!$D:$D,0)+COUNTIF($E67:AB67,"u")+COUNTIF($E67:AB67,"t")+COUNTIF($E67:AB67,"¶")+COUNTIF($E67:AB67,"²")+COUNTIF($E67:AB67,"µ")+COUNTIF($E67:AB67,1),ColLivraison)=AC$6,
  VLOOKUP($E67,INDIRECT("tri!"&amp; CHAR(64+ C0Col) &amp;":"&amp; CHAR(65+C0Col)),2,FALSE)&gt;COUNTIF($E67:AB67,"u")+COUNTIF($E67:AB67,"t")+COUNTIF($E67:AB67,"¶")+COUNTIF($E67:AB67,"²")+COUNTIF($E67:AB67,"µ")+COUNTIF($E67:AB67,1)),
HYPERLINK("#Roadmap!C"&amp; MATCH($E67,Roadmap!$D:$D,0)+COUNTIF($E67:AB67,"u")+COUNTIF($E67:AB67,"t"),
     INDEX(Roadmap!$D:$K,MATCH($E67,Roadmap!$D:$D,0)+COUNTIF($E67:AB67,"u")+COUNTIF($E67:AB67,"t")+COUNTIF($E67:AB67,"¶")+COUNTIF($E67:AB67,"²")+COUNTIF($E67:AB67,"µ")+COUNTIF($E67:AB67,1),ColTypeEcheance)),
  IF(LEN(AB67)=1,
  IF(LEN(INDEX(Roadmap!$D:$K,MATCH($E67,Roadmap!$D:$D,0)-1+COUNTIF($E67:AB67,"u")+COUNTIF($E67:AB67,"t")+COUNTIF($E67:AB67,"¶")+COUNTIF($E67:AB67,"²")+COUNTIF($E67:AB67,"µ")+COUNTIF($E67:AB67,1),ColDescriptionCourte))&gt;1,
HYPERLINK("#Roadmap!C"&amp; MATCH($E67,Roadmap!$D:$D,0)+COUNTIF($E67:AB67,"u")+COUNTIF($E67:AB67,"t")+COUNTIF($E67:AB67,"¶")+COUNTIF($E67:AB67,"²")+COUNTIF($E67:AB67,"µ")+COUNTIF($E67:AB67,1)-1,INDEX(Roadmap!$D:$K,MATCH($E67,Roadmap!$D:$D,0)-1+COUNTIF($E67:AB67,"u")+COUNTIF($E67:AB67,"t")+COUNTIF($E67:AB67,"¶")+COUNTIF($E67:AB67,"²")+COUNTIF($E67:AB67,"µ")+COUNTIF($E67:AB67,1),ColDescriptionCourte)),""),
  "")),"")</f>
        <v/>
      </c>
      <c r="AD67" s="40" t="str">
        <f ca="1">IFERROR(IF(AND(
  INDEX(Roadmap!$D:$K,MATCH($E67,Roadmap!$D:$D,0)+COUNTIF($E67:AC67,"u")+COUNTIF($E67:AC67,"t")+COUNTIF($E67:AC67,"¶")+COUNTIF($E67:AC67,"²")+COUNTIF($E67:AC67,"µ")+COUNTIF($E67:AC67,1),ColLivraison)=AD$6,
  VLOOKUP($E67,INDIRECT("tri!"&amp; CHAR(64+ C0Col) &amp;":"&amp; CHAR(65+C0Col)),2,FALSE)&gt;COUNTIF($E67:AC67,"u")+COUNTIF($E67:AC67,"t")+COUNTIF($E67:AC67,"¶")+COUNTIF($E67:AC67,"²")+COUNTIF($E67:AC67,"µ")+COUNTIF($E67:AC67,1)),
HYPERLINK("#Roadmap!C"&amp; MATCH($E67,Roadmap!$D:$D,0)+COUNTIF($E67:AC67,"u")+COUNTIF($E67:AC67,"t"),
     INDEX(Roadmap!$D:$K,MATCH($E67,Roadmap!$D:$D,0)+COUNTIF($E67:AC67,"u")+COUNTIF($E67:AC67,"t")+COUNTIF($E67:AC67,"¶")+COUNTIF($E67:AC67,"²")+COUNTIF($E67:AC67,"µ")+COUNTIF($E67:AC67,1),ColTypeEcheance)),
  IF(LEN(AC67)=1,
  IF(LEN(INDEX(Roadmap!$D:$K,MATCH($E67,Roadmap!$D:$D,0)-1+COUNTIF($E67:AC67,"u")+COUNTIF($E67:AC67,"t")+COUNTIF($E67:AC67,"¶")+COUNTIF($E67:AC67,"²")+COUNTIF($E67:AC67,"µ")+COUNTIF($E67:AC67,1),ColDescriptionCourte))&gt;1,
HYPERLINK("#Roadmap!C"&amp; MATCH($E67,Roadmap!$D:$D,0)+COUNTIF($E67:AC67,"u")+COUNTIF($E67:AC67,"t")+COUNTIF($E67:AC67,"¶")+COUNTIF($E67:AC67,"²")+COUNTIF($E67:AC67,"µ")+COUNTIF($E67:AC67,1)-1,INDEX(Roadmap!$D:$K,MATCH($E67,Roadmap!$D:$D,0)-1+COUNTIF($E67:AC67,"u")+COUNTIF($E67:AC67,"t")+COUNTIF($E67:AC67,"¶")+COUNTIF($E67:AC67,"²")+COUNTIF($E67:AC67,"µ")+COUNTIF($E67:AC67,1),ColDescriptionCourte)),""),
  "")),"")</f>
        <v/>
      </c>
      <c r="AE67" s="40" t="str">
        <f ca="1">IFERROR(IF(AND(
  INDEX(Roadmap!$D:$K,MATCH($E67,Roadmap!$D:$D,0)+COUNTIF($E67:AD67,"u")+COUNTIF($E67:AD67,"t")+COUNTIF($E67:AD67,"¶")+COUNTIF($E67:AD67,"²")+COUNTIF($E67:AD67,"µ")+COUNTIF($E67:AD67,1),ColLivraison)=AE$6,
  VLOOKUP($E67,INDIRECT("tri!"&amp; CHAR(64+ C0Col) &amp;":"&amp; CHAR(65+C0Col)),2,FALSE)&gt;COUNTIF($E67:AD67,"u")+COUNTIF($E67:AD67,"t")+COUNTIF($E67:AD67,"¶")+COUNTIF($E67:AD67,"²")+COUNTIF($E67:AD67,"µ")+COUNTIF($E67:AD67,1)),
HYPERLINK("#Roadmap!C"&amp; MATCH($E67,Roadmap!$D:$D,0)+COUNTIF($E67:AD67,"u")+COUNTIF($E67:AD67,"t"),
     INDEX(Roadmap!$D:$K,MATCH($E67,Roadmap!$D:$D,0)+COUNTIF($E67:AD67,"u")+COUNTIF($E67:AD67,"t")+COUNTIF($E67:AD67,"¶")+COUNTIF($E67:AD67,"²")+COUNTIF($E67:AD67,"µ")+COUNTIF($E67:AD67,1),ColTypeEcheance)),
  IF(LEN(AD67)=1,
  IF(LEN(INDEX(Roadmap!$D:$K,MATCH($E67,Roadmap!$D:$D,0)-1+COUNTIF($E67:AD67,"u")+COUNTIF($E67:AD67,"t")+COUNTIF($E67:AD67,"¶")+COUNTIF($E67:AD67,"²")+COUNTIF($E67:AD67,"µ")+COUNTIF($E67:AD67,1),ColDescriptionCourte))&gt;1,
HYPERLINK("#Roadmap!C"&amp; MATCH($E67,Roadmap!$D:$D,0)+COUNTIF($E67:AD67,"u")+COUNTIF($E67:AD67,"t")+COUNTIF($E67:AD67,"¶")+COUNTIF($E67:AD67,"²")+COUNTIF($E67:AD67,"µ")+COUNTIF($E67:AD67,1)-1,INDEX(Roadmap!$D:$K,MATCH($E67,Roadmap!$D:$D,0)-1+COUNTIF($E67:AD67,"u")+COUNTIF($E67:AD67,"t")+COUNTIF($E67:AD67,"¶")+COUNTIF($E67:AD67,"²")+COUNTIF($E67:AD67,"µ")+COUNTIF($E67:AD67,1),ColDescriptionCourte)),""),
  "")),"")</f>
        <v/>
      </c>
      <c r="AF67" s="40" t="str">
        <f ca="1">IFERROR(IF(AND(
  INDEX(Roadmap!$D:$K,MATCH($E67,Roadmap!$D:$D,0)+COUNTIF($E67:AE67,"u")+COUNTIF($E67:AE67,"t")+COUNTIF($E67:AE67,"¶")+COUNTIF($E67:AE67,"²")+COUNTIF($E67:AE67,"µ")+COUNTIF($E67:AE67,1),ColLivraison)=AF$6,
  VLOOKUP($E67,INDIRECT("tri!"&amp; CHAR(64+ C0Col) &amp;":"&amp; CHAR(65+C0Col)),2,FALSE)&gt;COUNTIF($E67:AE67,"u")+COUNTIF($E67:AE67,"t")+COUNTIF($E67:AE67,"¶")+COUNTIF($E67:AE67,"²")+COUNTIF($E67:AE67,"µ")+COUNTIF($E67:AE67,1)),
HYPERLINK("#Roadmap!C"&amp; MATCH($E67,Roadmap!$D:$D,0)+COUNTIF($E67:AE67,"u")+COUNTIF($E67:AE67,"t"),
     INDEX(Roadmap!$D:$K,MATCH($E67,Roadmap!$D:$D,0)+COUNTIF($E67:AE67,"u")+COUNTIF($E67:AE67,"t")+COUNTIF($E67:AE67,"¶")+COUNTIF($E67:AE67,"²")+COUNTIF($E67:AE67,"µ")+COUNTIF($E67:AE67,1),ColTypeEcheance)),
  IF(LEN(AE67)=1,
  IF(LEN(INDEX(Roadmap!$D:$K,MATCH($E67,Roadmap!$D:$D,0)-1+COUNTIF($E67:AE67,"u")+COUNTIF($E67:AE67,"t")+COUNTIF($E67:AE67,"¶")+COUNTIF($E67:AE67,"²")+COUNTIF($E67:AE67,"µ")+COUNTIF($E67:AE67,1),ColDescriptionCourte))&gt;1,
HYPERLINK("#Roadmap!C"&amp; MATCH($E67,Roadmap!$D:$D,0)+COUNTIF($E67:AE67,"u")+COUNTIF($E67:AE67,"t")+COUNTIF($E67:AE67,"¶")+COUNTIF($E67:AE67,"²")+COUNTIF($E67:AE67,"µ")+COUNTIF($E67:AE67,1)-1,INDEX(Roadmap!$D:$K,MATCH($E67,Roadmap!$D:$D,0)-1+COUNTIF($E67:AE67,"u")+COUNTIF($E67:AE67,"t")+COUNTIF($E67:AE67,"¶")+COUNTIF($E67:AE67,"²")+COUNTIF($E67:AE67,"µ")+COUNTIF($E67:AE67,1),ColDescriptionCourte)),""),
  "")),"")</f>
        <v/>
      </c>
      <c r="AG67" s="40" t="str">
        <f ca="1">IFERROR(IF(AND(
  INDEX(Roadmap!$D:$K,MATCH($E67,Roadmap!$D:$D,0)+COUNTIF($E67:AF67,"u")+COUNTIF($E67:AF67,"t")+COUNTIF($E67:AF67,"¶")+COUNTIF($E67:AF67,"²")+COUNTIF($E67:AF67,"µ")+COUNTIF($E67:AF67,1),ColLivraison)=AG$6,
  VLOOKUP($E67,INDIRECT("tri!"&amp; CHAR(64+ C0Col) &amp;":"&amp; CHAR(65+C0Col)),2,FALSE)&gt;COUNTIF($E67:AF67,"u")+COUNTIF($E67:AF67,"t")+COUNTIF($E67:AF67,"¶")+COUNTIF($E67:AF67,"²")+COUNTIF($E67:AF67,"µ")+COUNTIF($E67:AF67,1)),
HYPERLINK("#Roadmap!C"&amp; MATCH($E67,Roadmap!$D:$D,0)+COUNTIF($E67:AF67,"u")+COUNTIF($E67:AF67,"t"),
     INDEX(Roadmap!$D:$K,MATCH($E67,Roadmap!$D:$D,0)+COUNTIF($E67:AF67,"u")+COUNTIF($E67:AF67,"t")+COUNTIF($E67:AF67,"¶")+COUNTIF($E67:AF67,"²")+COUNTIF($E67:AF67,"µ")+COUNTIF($E67:AF67,1),ColTypeEcheance)),
  IF(LEN(AF67)=1,
  IF(LEN(INDEX(Roadmap!$D:$K,MATCH($E67,Roadmap!$D:$D,0)-1+COUNTIF($E67:AF67,"u")+COUNTIF($E67:AF67,"t")+COUNTIF($E67:AF67,"¶")+COUNTIF($E67:AF67,"²")+COUNTIF($E67:AF67,"µ")+COUNTIF($E67:AF67,1),ColDescriptionCourte))&gt;1,
HYPERLINK("#Roadmap!C"&amp; MATCH($E67,Roadmap!$D:$D,0)+COUNTIF($E67:AF67,"u")+COUNTIF($E67:AF67,"t")+COUNTIF($E67:AF67,"¶")+COUNTIF($E67:AF67,"²")+COUNTIF($E67:AF67,"µ")+COUNTIF($E67:AF67,1)-1,INDEX(Roadmap!$D:$K,MATCH($E67,Roadmap!$D:$D,0)-1+COUNTIF($E67:AF67,"u")+COUNTIF($E67:AF67,"t")+COUNTIF($E67:AF67,"¶")+COUNTIF($E67:AF67,"²")+COUNTIF($E67:AF67,"µ")+COUNTIF($E67:AF67,1),ColDescriptionCourte)),""),
  "")),"")</f>
        <v/>
      </c>
    </row>
    <row r="68" spans="3:33" ht="14.25" customHeight="1">
      <c r="C68" s="1" t="str">
        <f t="shared" ca="1" si="44"/>
        <v/>
      </c>
      <c r="D68" s="1" t="str">
        <f t="shared" ca="1" si="45"/>
        <v/>
      </c>
      <c r="E68" s="35" t="str">
        <f t="shared" ca="1" si="33"/>
        <v/>
      </c>
      <c r="F68" s="39" t="str">
        <f ca="1">IFERROR(IF(AND(
  INDEX(Roadmap!$D:$K,MATCH($E68,Roadmap!$D:$D,0)+COUNTIF($E68:E68,"u")+COUNTIF($E68:E68,"t")+COUNTIF($E68:E68,"¶")+COUNTIF($E68:E68,"²")+COUNTIF($E68:E68,"µ")+COUNTIF($E68:E68,1),ColLivraison)=F$6,
  VLOOKUP($E68,INDIRECT("tri!"&amp; CHAR(64+ C0Col) &amp;":"&amp; CHAR(65+C0Col)),2,FALSE)&gt;COUNTIF($E68:E68,"u")+COUNTIF($E68:E68,"t")+COUNTIF($E68:E68,"¶")+COUNTIF($E68:E68,"²")+COUNTIF($E68:E68,"µ")+COUNTIF($E68:E68,1)),
HYPERLINK("#Roadmap!C"&amp; MATCH($E68,Roadmap!$D:$D,0)+COUNTIF($E68:E68,"u")+COUNTIF($E68:E68,"t"),
     INDEX(Roadmap!$D:$K,MATCH($E68,Roadmap!$D:$D,0)+COUNTIF($E68:E68,"u")+COUNTIF($E68:E68,"t")+COUNTIF($E68:E68,"¶")+COUNTIF($E68:E68,"²")+COUNTIF($E68:E68,"µ")+COUNTIF($E68:E68,1),ColTypeEcheance)),
  IF(LEN(E68)=1,
  IF(LEN(INDEX(Roadmap!$D:$K,MATCH($E68,Roadmap!$D:$D,0)-1+COUNTIF($E68:E68,"u")+COUNTIF($E68:E68,"t")+COUNTIF($E68:E68,"¶")+COUNTIF($E68:E68,"²")+COUNTIF($E68:E68,"µ")+COUNTIF($E68:E68,1),ColDescriptionCourte))&gt;1,
HYPERLINK("#Roadmap!C"&amp; MATCH($E68,Roadmap!$D:$D,0)+COUNTIF($E68:E68,"u")+COUNTIF($E68:E68,"t")+COUNTIF($E68:E68,"¶")+COUNTIF($E68:E68,"²")+COUNTIF($E68:E68,"µ")+COUNTIF($E68:E68,1)-1,INDEX(Roadmap!$D:$K,MATCH($E68,Roadmap!$D:$D,0)-1+COUNTIF($E68:E68,"u")+COUNTIF($E68:E68,"t")+COUNTIF($E68:E68,"¶")+COUNTIF($E68:E68,"²")+COUNTIF($E68:E68,"µ")+COUNTIF($E68:E68,1),ColDescriptionCourte)),""),
  "")),"")</f>
        <v/>
      </c>
      <c r="G68" s="40" t="str">
        <f ca="1">IFERROR(IF(AND(
  INDEX(Roadmap!$D:$K,MATCH($E68,Roadmap!$D:$D,0)+COUNTIF($E68:F68,"u")+COUNTIF($E68:F68,"t")+COUNTIF($E68:F68,"¶")+COUNTIF($E68:F68,"²")+COUNTIF($E68:F68,"µ")+COUNTIF($E68:F68,1),ColLivraison)=G$6,
  VLOOKUP($E68,INDIRECT("tri!"&amp; CHAR(64+ C0Col) &amp;":"&amp; CHAR(65+C0Col)),2,FALSE)&gt;COUNTIF($E68:F68,"u")+COUNTIF($E68:F68,"t")+COUNTIF($E68:F68,"¶")+COUNTIF($E68:F68,"²")+COUNTIF($E68:F68,"µ")+COUNTIF($E68:F68,1)),
HYPERLINK("#Roadmap!C"&amp; MATCH($E68,Roadmap!$D:$D,0)+COUNTIF($E68:F68,"u")+COUNTIF($E68:F68,"t"),
     INDEX(Roadmap!$D:$K,MATCH($E68,Roadmap!$D:$D,0)+COUNTIF($E68:F68,"u")+COUNTIF($E68:F68,"t")+COUNTIF($E68:F68,"¶")+COUNTIF($E68:F68,"²")+COUNTIF($E68:F68,"µ")+COUNTIF($E68:F68,1),ColTypeEcheance)),
  IF(LEN(F68)=1,
  IF(LEN(INDEX(Roadmap!$D:$K,MATCH($E68,Roadmap!$D:$D,0)-1+COUNTIF($E68:F68,"u")+COUNTIF($E68:F68,"t")+COUNTIF($E68:F68,"¶")+COUNTIF($E68:F68,"²")+COUNTIF($E68:F68,"µ")+COUNTIF($E68:F68,1),ColDescriptionCourte))&gt;1,
HYPERLINK("#Roadmap!C"&amp; MATCH($E68,Roadmap!$D:$D,0)+COUNTIF($E68:F68,"u")+COUNTIF($E68:F68,"t")+COUNTIF($E68:F68,"¶")+COUNTIF($E68:F68,"²")+COUNTIF($E68:F68,"µ")+COUNTIF($E68:F68,1)-1,INDEX(Roadmap!$D:$K,MATCH($E68,Roadmap!$D:$D,0)-1+COUNTIF($E68:F68,"u")+COUNTIF($E68:F68,"t")+COUNTIF($E68:F68,"¶")+COUNTIF($E68:F68,"²")+COUNTIF($E68:F68,"µ")+COUNTIF($E68:F68,1),ColDescriptionCourte)),""),
  "")),"")</f>
        <v/>
      </c>
      <c r="H68" s="40" t="str">
        <f ca="1">IFERROR(IF(AND(
  INDEX(Roadmap!$D:$K,MATCH($E68,Roadmap!$D:$D,0)+COUNTIF($E68:G68,"u")+COUNTIF($E68:G68,"t")+COUNTIF($E68:G68,"¶")+COUNTIF($E68:G68,"²")+COUNTIF($E68:G68,"µ")+COUNTIF($E68:G68,1),ColLivraison)=H$6,
  VLOOKUP($E68,INDIRECT("tri!"&amp; CHAR(64+ C0Col) &amp;":"&amp; CHAR(65+C0Col)),2,FALSE)&gt;COUNTIF($E68:G68,"u")+COUNTIF($E68:G68,"t")+COUNTIF($E68:G68,"¶")+COUNTIF($E68:G68,"²")+COUNTIF($E68:G68,"µ")+COUNTIF($E68:G68,1)),
HYPERLINK("#Roadmap!C"&amp; MATCH($E68,Roadmap!$D:$D,0)+COUNTIF($E68:G68,"u")+COUNTIF($E68:G68,"t"),
     INDEX(Roadmap!$D:$K,MATCH($E68,Roadmap!$D:$D,0)+COUNTIF($E68:G68,"u")+COUNTIF($E68:G68,"t")+COUNTIF($E68:G68,"¶")+COUNTIF($E68:G68,"²")+COUNTIF($E68:G68,"µ")+COUNTIF($E68:G68,1),ColTypeEcheance)),
  IF(LEN(G68)=1,
  IF(LEN(INDEX(Roadmap!$D:$K,MATCH($E68,Roadmap!$D:$D,0)-1+COUNTIF($E68:G68,"u")+COUNTIF($E68:G68,"t")+COUNTIF($E68:G68,"¶")+COUNTIF($E68:G68,"²")+COUNTIF($E68:G68,"µ")+COUNTIF($E68:G68,1),ColDescriptionCourte))&gt;1,
HYPERLINK("#Roadmap!C"&amp; MATCH($E68,Roadmap!$D:$D,0)+COUNTIF($E68:G68,"u")+COUNTIF($E68:G68,"t")+COUNTIF($E68:G68,"¶")+COUNTIF($E68:G68,"²")+COUNTIF($E68:G68,"µ")+COUNTIF($E68:G68,1)-1,INDEX(Roadmap!$D:$K,MATCH($E68,Roadmap!$D:$D,0)-1+COUNTIF($E68:G68,"u")+COUNTIF($E68:G68,"t")+COUNTIF($E68:G68,"¶")+COUNTIF($E68:G68,"²")+COUNTIF($E68:G68,"µ")+COUNTIF($E68:G68,1),ColDescriptionCourte)),""),
  "")),"")</f>
        <v/>
      </c>
      <c r="I68" s="40" t="str">
        <f ca="1">IFERROR(IF(AND(
  INDEX(Roadmap!$D:$K,MATCH($E68,Roadmap!$D:$D,0)+COUNTIF($E68:H68,"u")+COUNTIF($E68:H68,"t")+COUNTIF($E68:H68,"¶")+COUNTIF($E68:H68,"²")+COUNTIF($E68:H68,"µ")+COUNTIF($E68:H68,1),ColLivraison)=I$6,
  VLOOKUP($E68,INDIRECT("tri!"&amp; CHAR(64+ C0Col) &amp;":"&amp; CHAR(65+C0Col)),2,FALSE)&gt;COUNTIF($E68:H68,"u")+COUNTIF($E68:H68,"t")+COUNTIF($E68:H68,"¶")+COUNTIF($E68:H68,"²")+COUNTIF($E68:H68,"µ")+COUNTIF($E68:H68,1)),
HYPERLINK("#Roadmap!C"&amp; MATCH($E68,Roadmap!$D:$D,0)+COUNTIF($E68:H68,"u")+COUNTIF($E68:H68,"t"),
     INDEX(Roadmap!$D:$K,MATCH($E68,Roadmap!$D:$D,0)+COUNTIF($E68:H68,"u")+COUNTIF($E68:H68,"t")+COUNTIF($E68:H68,"¶")+COUNTIF($E68:H68,"²")+COUNTIF($E68:H68,"µ")+COUNTIF($E68:H68,1),ColTypeEcheance)),
  IF(LEN(H68)=1,
  IF(LEN(INDEX(Roadmap!$D:$K,MATCH($E68,Roadmap!$D:$D,0)-1+COUNTIF($E68:H68,"u")+COUNTIF($E68:H68,"t")+COUNTIF($E68:H68,"¶")+COUNTIF($E68:H68,"²")+COUNTIF($E68:H68,"µ")+COUNTIF($E68:H68,1),ColDescriptionCourte))&gt;1,
HYPERLINK("#Roadmap!C"&amp; MATCH($E68,Roadmap!$D:$D,0)+COUNTIF($E68:H68,"u")+COUNTIF($E68:H68,"t")+COUNTIF($E68:H68,"¶")+COUNTIF($E68:H68,"²")+COUNTIF($E68:H68,"µ")+COUNTIF($E68:H68,1)-1,INDEX(Roadmap!$D:$K,MATCH($E68,Roadmap!$D:$D,0)-1+COUNTIF($E68:H68,"u")+COUNTIF($E68:H68,"t")+COUNTIF($E68:H68,"¶")+COUNTIF($E68:H68,"²")+COUNTIF($E68:H68,"µ")+COUNTIF($E68:H68,1),ColDescriptionCourte)),""),
  "")),"")</f>
        <v/>
      </c>
      <c r="J68" s="40" t="str">
        <f ca="1">IFERROR(IF(AND(
  INDEX(Roadmap!$D:$K,MATCH($E68,Roadmap!$D:$D,0)+COUNTIF($E68:I68,"u")+COUNTIF($E68:I68,"t")+COUNTIF($E68:I68,"¶")+COUNTIF($E68:I68,"²")+COUNTIF($E68:I68,"µ")+COUNTIF($E68:I68,1),ColLivraison)=J$6,
  VLOOKUP($E68,INDIRECT("tri!"&amp; CHAR(64+ C0Col) &amp;":"&amp; CHAR(65+C0Col)),2,FALSE)&gt;COUNTIF($E68:I68,"u")+COUNTIF($E68:I68,"t")+COUNTIF($E68:I68,"¶")+COUNTIF($E68:I68,"²")+COUNTIF($E68:I68,"µ")+COUNTIF($E68:I68,1)),
HYPERLINK("#Roadmap!C"&amp; MATCH($E68,Roadmap!$D:$D,0)+COUNTIF($E68:I68,"u")+COUNTIF($E68:I68,"t"),
     INDEX(Roadmap!$D:$K,MATCH($E68,Roadmap!$D:$D,0)+COUNTIF($E68:I68,"u")+COUNTIF($E68:I68,"t")+COUNTIF($E68:I68,"¶")+COUNTIF($E68:I68,"²")+COUNTIF($E68:I68,"µ")+COUNTIF($E68:I68,1),ColTypeEcheance)),
  IF(LEN(I68)=1,
  IF(LEN(INDEX(Roadmap!$D:$K,MATCH($E68,Roadmap!$D:$D,0)-1+COUNTIF($E68:I68,"u")+COUNTIF($E68:I68,"t")+COUNTIF($E68:I68,"¶")+COUNTIF($E68:I68,"²")+COUNTIF($E68:I68,"µ")+COUNTIF($E68:I68,1),ColDescriptionCourte))&gt;1,
HYPERLINK("#Roadmap!C"&amp; MATCH($E68,Roadmap!$D:$D,0)+COUNTIF($E68:I68,"u")+COUNTIF($E68:I68,"t")+COUNTIF($E68:I68,"¶")+COUNTIF($E68:I68,"²")+COUNTIF($E68:I68,"µ")+COUNTIF($E68:I68,1)-1,INDEX(Roadmap!$D:$K,MATCH($E68,Roadmap!$D:$D,0)-1+COUNTIF($E68:I68,"u")+COUNTIF($E68:I68,"t")+COUNTIF($E68:I68,"¶")+COUNTIF($E68:I68,"²")+COUNTIF($E68:I68,"µ")+COUNTIF($E68:I68,1),ColDescriptionCourte)),""),
  "")),"")</f>
        <v/>
      </c>
      <c r="K68" s="40" t="str">
        <f ca="1">IFERROR(IF(AND(
  INDEX(Roadmap!$D:$K,MATCH($E68,Roadmap!$D:$D,0)+COUNTIF($E68:J68,"u")+COUNTIF($E68:J68,"t")+COUNTIF($E68:J68,"¶")+COUNTIF($E68:J68,"²")+COUNTIF($E68:J68,"µ")+COUNTIF($E68:J68,1),ColLivraison)=K$6,
  VLOOKUP($E68,INDIRECT("tri!"&amp; CHAR(64+ C0Col) &amp;":"&amp; CHAR(65+C0Col)),2,FALSE)&gt;COUNTIF($E68:J68,"u")+COUNTIF($E68:J68,"t")+COUNTIF($E68:J68,"¶")+COUNTIF($E68:J68,"²")+COUNTIF($E68:J68,"µ")+COUNTIF($E68:J68,1)),
HYPERLINK("#Roadmap!C"&amp; MATCH($E68,Roadmap!$D:$D,0)+COUNTIF($E68:J68,"u")+COUNTIF($E68:J68,"t"),
     INDEX(Roadmap!$D:$K,MATCH($E68,Roadmap!$D:$D,0)+COUNTIF($E68:J68,"u")+COUNTIF($E68:J68,"t")+COUNTIF($E68:J68,"¶")+COUNTIF($E68:J68,"²")+COUNTIF($E68:J68,"µ")+COUNTIF($E68:J68,1),ColTypeEcheance)),
  IF(LEN(J68)=1,
  IF(LEN(INDEX(Roadmap!$D:$K,MATCH($E68,Roadmap!$D:$D,0)-1+COUNTIF($E68:J68,"u")+COUNTIF($E68:J68,"t")+COUNTIF($E68:J68,"¶")+COUNTIF($E68:J68,"²")+COUNTIF($E68:J68,"µ")+COUNTIF($E68:J68,1),ColDescriptionCourte))&gt;1,
HYPERLINK("#Roadmap!C"&amp; MATCH($E68,Roadmap!$D:$D,0)+COUNTIF($E68:J68,"u")+COUNTIF($E68:J68,"t")+COUNTIF($E68:J68,"¶")+COUNTIF($E68:J68,"²")+COUNTIF($E68:J68,"µ")+COUNTIF($E68:J68,1)-1,INDEX(Roadmap!$D:$K,MATCH($E68,Roadmap!$D:$D,0)-1+COUNTIF($E68:J68,"u")+COUNTIF($E68:J68,"t")+COUNTIF($E68:J68,"¶")+COUNTIF($E68:J68,"²")+COUNTIF($E68:J68,"µ")+COUNTIF($E68:J68,1),ColDescriptionCourte)),""),
  "")),"")</f>
        <v/>
      </c>
      <c r="L68" s="39" t="str">
        <f ca="1">IFERROR(IF(AND(
  INDEX(Roadmap!$D:$K,MATCH($E68,Roadmap!$D:$D,0)+COUNTIF($E68:K68,"u")+COUNTIF($E68:K68,"t")+COUNTIF($E68:K68,"¶")+COUNTIF($E68:K68,"²")+COUNTIF($E68:K68,"µ")+COUNTIF($E68:K68,1),ColLivraison)=L$6,
  VLOOKUP($E68,INDIRECT("tri!"&amp; CHAR(64+ C0Col) &amp;":"&amp; CHAR(65+C0Col)),2,FALSE)&gt;COUNTIF($E68:K68,"u")+COUNTIF($E68:K68,"t")+COUNTIF($E68:K68,"¶")+COUNTIF($E68:K68,"²")+COUNTIF($E68:K68,"µ")+COUNTIF($E68:K68,1)),
HYPERLINK("#Roadmap!C"&amp; MATCH($E68,Roadmap!$D:$D,0)+COUNTIF($E68:K68,"u")+COUNTIF($E68:K68,"t"),
     INDEX(Roadmap!$D:$K,MATCH($E68,Roadmap!$D:$D,0)+COUNTIF($E68:K68,"u")+COUNTIF($E68:K68,"t")+COUNTIF($E68:K68,"¶")+COUNTIF($E68:K68,"²")+COUNTIF($E68:K68,"µ")+COUNTIF($E68:K68,1),ColTypeEcheance)),
  IF(LEN(K68)=1,
  IF(LEN(INDEX(Roadmap!$D:$K,MATCH($E68,Roadmap!$D:$D,0)-1+COUNTIF($E68:K68,"u")+COUNTIF($E68:K68,"t")+COUNTIF($E68:K68,"¶")+COUNTIF($E68:K68,"²")+COUNTIF($E68:K68,"µ")+COUNTIF($E68:K68,1),ColDescriptionCourte))&gt;1,
HYPERLINK("#Roadmap!C"&amp; MATCH($E68,Roadmap!$D:$D,0)+COUNTIF($E68:K68,"u")+COUNTIF($E68:K68,"t")+COUNTIF($E68:K68,"¶")+COUNTIF($E68:K68,"²")+COUNTIF($E68:K68,"µ")+COUNTIF($E68:K68,1)-1,INDEX(Roadmap!$D:$K,MATCH($E68,Roadmap!$D:$D,0)-1+COUNTIF($E68:K68,"u")+COUNTIF($E68:K68,"t")+COUNTIF($E68:K68,"¶")+COUNTIF($E68:K68,"²")+COUNTIF($E68:K68,"µ")+COUNTIF($E68:K68,1),ColDescriptionCourte)),""),
  "")),"")</f>
        <v/>
      </c>
      <c r="M68" s="40" t="str">
        <f ca="1">IFERROR(IF(AND(
  INDEX(Roadmap!$D:$K,MATCH($E68,Roadmap!$D:$D,0)+COUNTIF($E68:L68,"u")+COUNTIF($E68:L68,"t")+COUNTIF($E68:L68,"¶")+COUNTIF($E68:L68,"²")+COUNTIF($E68:L68,"µ")+COUNTIF($E68:L68,1),ColLivraison)=M$6,
  VLOOKUP($E68,INDIRECT("tri!"&amp; CHAR(64+ C0Col) &amp;":"&amp; CHAR(65+C0Col)),2,FALSE)&gt;COUNTIF($E68:L68,"u")+COUNTIF($E68:L68,"t")+COUNTIF($E68:L68,"¶")+COUNTIF($E68:L68,"²")+COUNTIF($E68:L68,"µ")+COUNTIF($E68:L68,1)),
HYPERLINK("#Roadmap!C"&amp; MATCH($E68,Roadmap!$D:$D,0)+COUNTIF($E68:L68,"u")+COUNTIF($E68:L68,"t"),
     INDEX(Roadmap!$D:$K,MATCH($E68,Roadmap!$D:$D,0)+COUNTIF($E68:L68,"u")+COUNTIF($E68:L68,"t")+COUNTIF($E68:L68,"¶")+COUNTIF($E68:L68,"²")+COUNTIF($E68:L68,"µ")+COUNTIF($E68:L68,1),ColTypeEcheance)),
  IF(LEN(L68)=1,
  IF(LEN(INDEX(Roadmap!$D:$K,MATCH($E68,Roadmap!$D:$D,0)-1+COUNTIF($E68:L68,"u")+COUNTIF($E68:L68,"t")+COUNTIF($E68:L68,"¶")+COUNTIF($E68:L68,"²")+COUNTIF($E68:L68,"µ")+COUNTIF($E68:L68,1),ColDescriptionCourte))&gt;1,
HYPERLINK("#Roadmap!C"&amp; MATCH($E68,Roadmap!$D:$D,0)+COUNTIF($E68:L68,"u")+COUNTIF($E68:L68,"t")+COUNTIF($E68:L68,"¶")+COUNTIF($E68:L68,"²")+COUNTIF($E68:L68,"µ")+COUNTIF($E68:L68,1)-1,INDEX(Roadmap!$D:$K,MATCH($E68,Roadmap!$D:$D,0)-1+COUNTIF($E68:L68,"u")+COUNTIF($E68:L68,"t")+COUNTIF($E68:L68,"¶")+COUNTIF($E68:L68,"²")+COUNTIF($E68:L68,"µ")+COUNTIF($E68:L68,1),ColDescriptionCourte)),""),
  "")),"")</f>
        <v/>
      </c>
      <c r="N68" s="40" t="str">
        <f ca="1">IFERROR(IF(AND(
  INDEX(Roadmap!$D:$K,MATCH($E68,Roadmap!$D:$D,0)+COUNTIF($E68:M68,"u")+COUNTIF($E68:M68,"t")+COUNTIF($E68:M68,"¶")+COUNTIF($E68:M68,"²")+COUNTIF($E68:M68,"µ")+COUNTIF($E68:M68,1),ColLivraison)=N$6,
  VLOOKUP($E68,INDIRECT("tri!"&amp; CHAR(64+ C0Col) &amp;":"&amp; CHAR(65+C0Col)),2,FALSE)&gt;COUNTIF($E68:M68,"u")+COUNTIF($E68:M68,"t")+COUNTIF($E68:M68,"¶")+COUNTIF($E68:M68,"²")+COUNTIF($E68:M68,"µ")+COUNTIF($E68:M68,1)),
HYPERLINK("#Roadmap!C"&amp; MATCH($E68,Roadmap!$D:$D,0)+COUNTIF($E68:M68,"u")+COUNTIF($E68:M68,"t"),
     INDEX(Roadmap!$D:$K,MATCH($E68,Roadmap!$D:$D,0)+COUNTIF($E68:M68,"u")+COUNTIF($E68:M68,"t")+COUNTIF($E68:M68,"¶")+COUNTIF($E68:M68,"²")+COUNTIF($E68:M68,"µ")+COUNTIF($E68:M68,1),ColTypeEcheance)),
  IF(LEN(M68)=1,
  IF(LEN(INDEX(Roadmap!$D:$K,MATCH($E68,Roadmap!$D:$D,0)-1+COUNTIF($E68:M68,"u")+COUNTIF($E68:M68,"t")+COUNTIF($E68:M68,"¶")+COUNTIF($E68:M68,"²")+COUNTIF($E68:M68,"µ")+COUNTIF($E68:M68,1),ColDescriptionCourte))&gt;1,
HYPERLINK("#Roadmap!C"&amp; MATCH($E68,Roadmap!$D:$D,0)+COUNTIF($E68:M68,"u")+COUNTIF($E68:M68,"t")+COUNTIF($E68:M68,"¶")+COUNTIF($E68:M68,"²")+COUNTIF($E68:M68,"µ")+COUNTIF($E68:M68,1)-1,INDEX(Roadmap!$D:$K,MATCH($E68,Roadmap!$D:$D,0)-1+COUNTIF($E68:M68,"u")+COUNTIF($E68:M68,"t")+COUNTIF($E68:M68,"¶")+COUNTIF($E68:M68,"²")+COUNTIF($E68:M68,"µ")+COUNTIF($E68:M68,1),ColDescriptionCourte)),""),
  "")),"")</f>
        <v/>
      </c>
      <c r="O68" s="40" t="str">
        <f ca="1">IFERROR(IF(AND(
  INDEX(Roadmap!$D:$K,MATCH($E68,Roadmap!$D:$D,0)+COUNTIF($E68:N68,"u")+COUNTIF($E68:N68,"t")+COUNTIF($E68:N68,"¶")+COUNTIF($E68:N68,"²")+COUNTIF($E68:N68,"µ")+COUNTIF($E68:N68,1),ColLivraison)=O$6,
  VLOOKUP($E68,INDIRECT("tri!"&amp; CHAR(64+ C0Col) &amp;":"&amp; CHAR(65+C0Col)),2,FALSE)&gt;COUNTIF($E68:N68,"u")+COUNTIF($E68:N68,"t")+COUNTIF($E68:N68,"¶")+COUNTIF($E68:N68,"²")+COUNTIF($E68:N68,"µ")+COUNTIF($E68:N68,1)),
HYPERLINK("#Roadmap!C"&amp; MATCH($E68,Roadmap!$D:$D,0)+COUNTIF($E68:N68,"u")+COUNTIF($E68:N68,"t"),
     INDEX(Roadmap!$D:$K,MATCH($E68,Roadmap!$D:$D,0)+COUNTIF($E68:N68,"u")+COUNTIF($E68:N68,"t")+COUNTIF($E68:N68,"¶")+COUNTIF($E68:N68,"²")+COUNTIF($E68:N68,"µ")+COUNTIF($E68:N68,1),ColTypeEcheance)),
  IF(LEN(N68)=1,
  IF(LEN(INDEX(Roadmap!$D:$K,MATCH($E68,Roadmap!$D:$D,0)-1+COUNTIF($E68:N68,"u")+COUNTIF($E68:N68,"t")+COUNTIF($E68:N68,"¶")+COUNTIF($E68:N68,"²")+COUNTIF($E68:N68,"µ")+COUNTIF($E68:N68,1),ColDescriptionCourte))&gt;1,
HYPERLINK("#Roadmap!C"&amp; MATCH($E68,Roadmap!$D:$D,0)+COUNTIF($E68:N68,"u")+COUNTIF($E68:N68,"t")+COUNTIF($E68:N68,"¶")+COUNTIF($E68:N68,"²")+COUNTIF($E68:N68,"µ")+COUNTIF($E68:N68,1)-1,INDEX(Roadmap!$D:$K,MATCH($E68,Roadmap!$D:$D,0)-1+COUNTIF($E68:N68,"u")+COUNTIF($E68:N68,"t")+COUNTIF($E68:N68,"¶")+COUNTIF($E68:N68,"²")+COUNTIF($E68:N68,"µ")+COUNTIF($E68:N68,1),ColDescriptionCourte)),""),
  "")),"")</f>
        <v/>
      </c>
      <c r="P68" s="40" t="str">
        <f ca="1">IFERROR(IF(AND(
  INDEX(Roadmap!$D:$K,MATCH($E68,Roadmap!$D:$D,0)+COUNTIF($E68:O68,"u")+COUNTIF($E68:O68,"t")+COUNTIF($E68:O68,"¶")+COUNTIF($E68:O68,"²")+COUNTIF($E68:O68,"µ")+COUNTIF($E68:O68,1),ColLivraison)=P$6,
  VLOOKUP($E68,INDIRECT("tri!"&amp; CHAR(64+ C0Col) &amp;":"&amp; CHAR(65+C0Col)),2,FALSE)&gt;COUNTIF($E68:O68,"u")+COUNTIF($E68:O68,"t")+COUNTIF($E68:O68,"¶")+COUNTIF($E68:O68,"²")+COUNTIF($E68:O68,"µ")+COUNTIF($E68:O68,1)),
HYPERLINK("#Roadmap!C"&amp; MATCH($E68,Roadmap!$D:$D,0)+COUNTIF($E68:O68,"u")+COUNTIF($E68:O68,"t"),
     INDEX(Roadmap!$D:$K,MATCH($E68,Roadmap!$D:$D,0)+COUNTIF($E68:O68,"u")+COUNTIF($E68:O68,"t")+COUNTIF($E68:O68,"¶")+COUNTIF($E68:O68,"²")+COUNTIF($E68:O68,"µ")+COUNTIF($E68:O68,1),ColTypeEcheance)),
  IF(LEN(O68)=1,
  IF(LEN(INDEX(Roadmap!$D:$K,MATCH($E68,Roadmap!$D:$D,0)-1+COUNTIF($E68:O68,"u")+COUNTIF($E68:O68,"t")+COUNTIF($E68:O68,"¶")+COUNTIF($E68:O68,"²")+COUNTIF($E68:O68,"µ")+COUNTIF($E68:O68,1),ColDescriptionCourte))&gt;1,
HYPERLINK("#Roadmap!C"&amp; MATCH($E68,Roadmap!$D:$D,0)+COUNTIF($E68:O68,"u")+COUNTIF($E68:O68,"t")+COUNTIF($E68:O68,"¶")+COUNTIF($E68:O68,"²")+COUNTIF($E68:O68,"µ")+COUNTIF($E68:O68,1)-1,INDEX(Roadmap!$D:$K,MATCH($E68,Roadmap!$D:$D,0)-1+COUNTIF($E68:O68,"u")+COUNTIF($E68:O68,"t")+COUNTIF($E68:O68,"¶")+COUNTIF($E68:O68,"²")+COUNTIF($E68:O68,"µ")+COUNTIF($E68:O68,1),ColDescriptionCourte)),""),
  "")),"")</f>
        <v/>
      </c>
      <c r="Q68" s="40" t="str">
        <f ca="1">IFERROR(IF(AND(
  INDEX(Roadmap!$D:$K,MATCH($E68,Roadmap!$D:$D,0)+COUNTIF($E68:P68,"u")+COUNTIF($E68:P68,"t")+COUNTIF($E68:P68,"¶")+COUNTIF($E68:P68,"²")+COUNTIF($E68:P68,"µ")+COUNTIF($E68:P68,1),ColLivraison)=Q$6,
  VLOOKUP($E68,INDIRECT("tri!"&amp; CHAR(64+ C0Col) &amp;":"&amp; CHAR(65+C0Col)),2,FALSE)&gt;COUNTIF($E68:P68,"u")+COUNTIF($E68:P68,"t")+COUNTIF($E68:P68,"¶")+COUNTIF($E68:P68,"²")+COUNTIF($E68:P68,"µ")+COUNTIF($E68:P68,1)),
HYPERLINK("#Roadmap!C"&amp; MATCH($E68,Roadmap!$D:$D,0)+COUNTIF($E68:P68,"u")+COUNTIF($E68:P68,"t"),
     INDEX(Roadmap!$D:$K,MATCH($E68,Roadmap!$D:$D,0)+COUNTIF($E68:P68,"u")+COUNTIF($E68:P68,"t")+COUNTIF($E68:P68,"¶")+COUNTIF($E68:P68,"²")+COUNTIF($E68:P68,"µ")+COUNTIF($E68:P68,1),ColTypeEcheance)),
  IF(LEN(P68)=1,
  IF(LEN(INDEX(Roadmap!$D:$K,MATCH($E68,Roadmap!$D:$D,0)-1+COUNTIF($E68:P68,"u")+COUNTIF($E68:P68,"t")+COUNTIF($E68:P68,"¶")+COUNTIF($E68:P68,"²")+COUNTIF($E68:P68,"µ")+COUNTIF($E68:P68,1),ColDescriptionCourte))&gt;1,
HYPERLINK("#Roadmap!C"&amp; MATCH($E68,Roadmap!$D:$D,0)+COUNTIF($E68:P68,"u")+COUNTIF($E68:P68,"t")+COUNTIF($E68:P68,"¶")+COUNTIF($E68:P68,"²")+COUNTIF($E68:P68,"µ")+COUNTIF($E68:P68,1)-1,INDEX(Roadmap!$D:$K,MATCH($E68,Roadmap!$D:$D,0)-1+COUNTIF($E68:P68,"u")+COUNTIF($E68:P68,"t")+COUNTIF($E68:P68,"¶")+COUNTIF($E68:P68,"²")+COUNTIF($E68:P68,"µ")+COUNTIF($E68:P68,1),ColDescriptionCourte)),""),
  "")),"")</f>
        <v/>
      </c>
      <c r="R68" s="40" t="str">
        <f ca="1">IFERROR(IF(AND(
  INDEX(Roadmap!$D:$K,MATCH($E68,Roadmap!$D:$D,0)+COUNTIF($E68:Q68,"u")+COUNTIF($E68:Q68,"t")+COUNTIF($E68:Q68,"¶")+COUNTIF($E68:Q68,"²")+COUNTIF($E68:Q68,"µ")+COUNTIF($E68:Q68,1),ColLivraison)=R$6,
  VLOOKUP($E68,INDIRECT("tri!"&amp; CHAR(64+ C0Col) &amp;":"&amp; CHAR(65+C0Col)),2,FALSE)&gt;COUNTIF($E68:Q68,"u")+COUNTIF($E68:Q68,"t")+COUNTIF($E68:Q68,"¶")+COUNTIF($E68:Q68,"²")+COUNTIF($E68:Q68,"µ")+COUNTIF($E68:Q68,1)),
HYPERLINK("#Roadmap!C"&amp; MATCH($E68,Roadmap!$D:$D,0)+COUNTIF($E68:Q68,"u")+COUNTIF($E68:Q68,"t"),
     INDEX(Roadmap!$D:$K,MATCH($E68,Roadmap!$D:$D,0)+COUNTIF($E68:Q68,"u")+COUNTIF($E68:Q68,"t")+COUNTIF($E68:Q68,"¶")+COUNTIF($E68:Q68,"²")+COUNTIF($E68:Q68,"µ")+COUNTIF($E68:Q68,1),ColTypeEcheance)),
  IF(LEN(Q68)=1,
  IF(LEN(INDEX(Roadmap!$D:$K,MATCH($E68,Roadmap!$D:$D,0)-1+COUNTIF($E68:Q68,"u")+COUNTIF($E68:Q68,"t")+COUNTIF($E68:Q68,"¶")+COUNTIF($E68:Q68,"²")+COUNTIF($E68:Q68,"µ")+COUNTIF($E68:Q68,1),ColDescriptionCourte))&gt;1,
HYPERLINK("#Roadmap!C"&amp; MATCH($E68,Roadmap!$D:$D,0)+COUNTIF($E68:Q68,"u")+COUNTIF($E68:Q68,"t")+COUNTIF($E68:Q68,"¶")+COUNTIF($E68:Q68,"²")+COUNTIF($E68:Q68,"µ")+COUNTIF($E68:Q68,1)-1,INDEX(Roadmap!$D:$K,MATCH($E68,Roadmap!$D:$D,0)-1+COUNTIF($E68:Q68,"u")+COUNTIF($E68:Q68,"t")+COUNTIF($E68:Q68,"¶")+COUNTIF($E68:Q68,"²")+COUNTIF($E68:Q68,"µ")+COUNTIF($E68:Q68,1),ColDescriptionCourte)),""),
  "")),"")</f>
        <v/>
      </c>
      <c r="S68" s="40" t="str">
        <f ca="1">IFERROR(IF(AND(
  INDEX(Roadmap!$D:$K,MATCH($E68,Roadmap!$D:$D,0)+COUNTIF($E68:R68,"u")+COUNTIF($E68:R68,"t")+COUNTIF($E68:R68,"¶")+COUNTIF($E68:R68,"²")+COUNTIF($E68:R68,"µ")+COUNTIF($E68:R68,1),ColLivraison)=S$6,
  VLOOKUP($E68,INDIRECT("tri!"&amp; CHAR(64+ C0Col) &amp;":"&amp; CHAR(65+C0Col)),2,FALSE)&gt;COUNTIF($E68:R68,"u")+COUNTIF($E68:R68,"t")+COUNTIF($E68:R68,"¶")+COUNTIF($E68:R68,"²")+COUNTIF($E68:R68,"µ")+COUNTIF($E68:R68,1)),
HYPERLINK("#Roadmap!C"&amp; MATCH($E68,Roadmap!$D:$D,0)+COUNTIF($E68:R68,"u")+COUNTIF($E68:R68,"t"),
     INDEX(Roadmap!$D:$K,MATCH($E68,Roadmap!$D:$D,0)+COUNTIF($E68:R68,"u")+COUNTIF($E68:R68,"t")+COUNTIF($E68:R68,"¶")+COUNTIF($E68:R68,"²")+COUNTIF($E68:R68,"µ")+COUNTIF($E68:R68,1),ColTypeEcheance)),
  IF(LEN(R68)=1,
  IF(LEN(INDEX(Roadmap!$D:$K,MATCH($E68,Roadmap!$D:$D,0)-1+COUNTIF($E68:R68,"u")+COUNTIF($E68:R68,"t")+COUNTIF($E68:R68,"¶")+COUNTIF($E68:R68,"²")+COUNTIF($E68:R68,"µ")+COUNTIF($E68:R68,1),ColDescriptionCourte))&gt;1,
HYPERLINK("#Roadmap!C"&amp; MATCH($E68,Roadmap!$D:$D,0)+COUNTIF($E68:R68,"u")+COUNTIF($E68:R68,"t")+COUNTIF($E68:R68,"¶")+COUNTIF($E68:R68,"²")+COUNTIF($E68:R68,"µ")+COUNTIF($E68:R68,1)-1,INDEX(Roadmap!$D:$K,MATCH($E68,Roadmap!$D:$D,0)-1+COUNTIF($E68:R68,"u")+COUNTIF($E68:R68,"t")+COUNTIF($E68:R68,"¶")+COUNTIF($E68:R68,"²")+COUNTIF($E68:R68,"µ")+COUNTIF($E68:R68,1),ColDescriptionCourte)),""),
  "")),"")</f>
        <v/>
      </c>
      <c r="T68" s="40" t="str">
        <f ca="1">IFERROR(IF(AND(
  INDEX(Roadmap!$D:$K,MATCH($E68,Roadmap!$D:$D,0)+COUNTIF($E68:S68,"u")+COUNTIF($E68:S68,"t")+COUNTIF($E68:S68,"¶")+COUNTIF($E68:S68,"²")+COUNTIF($E68:S68,"µ")+COUNTIF($E68:S68,1),ColLivraison)=T$6,
  VLOOKUP($E68,INDIRECT("tri!"&amp; CHAR(64+ C0Col) &amp;":"&amp; CHAR(65+C0Col)),2,FALSE)&gt;COUNTIF($E68:S68,"u")+COUNTIF($E68:S68,"t")+COUNTIF($E68:S68,"¶")+COUNTIF($E68:S68,"²")+COUNTIF($E68:S68,"µ")+COUNTIF($E68:S68,1)),
HYPERLINK("#Roadmap!C"&amp; MATCH($E68,Roadmap!$D:$D,0)+COUNTIF($E68:S68,"u")+COUNTIF($E68:S68,"t"),
     INDEX(Roadmap!$D:$K,MATCH($E68,Roadmap!$D:$D,0)+COUNTIF($E68:S68,"u")+COUNTIF($E68:S68,"t")+COUNTIF($E68:S68,"¶")+COUNTIF($E68:S68,"²")+COUNTIF($E68:S68,"µ")+COUNTIF($E68:S68,1),ColTypeEcheance)),
  IF(LEN(S68)=1,
  IF(LEN(INDEX(Roadmap!$D:$K,MATCH($E68,Roadmap!$D:$D,0)-1+COUNTIF($E68:S68,"u")+COUNTIF($E68:S68,"t")+COUNTIF($E68:S68,"¶")+COUNTIF($E68:S68,"²")+COUNTIF($E68:S68,"µ")+COUNTIF($E68:S68,1),ColDescriptionCourte))&gt;1,
HYPERLINK("#Roadmap!C"&amp; MATCH($E68,Roadmap!$D:$D,0)+COUNTIF($E68:S68,"u")+COUNTIF($E68:S68,"t")+COUNTIF($E68:S68,"¶")+COUNTIF($E68:S68,"²")+COUNTIF($E68:S68,"µ")+COUNTIF($E68:S68,1)-1,INDEX(Roadmap!$D:$K,MATCH($E68,Roadmap!$D:$D,0)-1+COUNTIF($E68:S68,"u")+COUNTIF($E68:S68,"t")+COUNTIF($E68:S68,"¶")+COUNTIF($E68:S68,"²")+COUNTIF($E68:S68,"µ")+COUNTIF($E68:S68,1),ColDescriptionCourte)),""),
  "")),"")</f>
        <v/>
      </c>
      <c r="U68" s="40" t="str">
        <f ca="1">IFERROR(IF(AND(
  INDEX(Roadmap!$D:$K,MATCH($E68,Roadmap!$D:$D,0)+COUNTIF($E68:T68,"u")+COUNTIF($E68:T68,"t")+COUNTIF($E68:T68,"¶")+COUNTIF($E68:T68,"²")+COUNTIF($E68:T68,"µ")+COUNTIF($E68:T68,1),ColLivraison)=U$6,
  VLOOKUP($E68,INDIRECT("tri!"&amp; CHAR(64+ C0Col) &amp;":"&amp; CHAR(65+C0Col)),2,FALSE)&gt;COUNTIF($E68:T68,"u")+COUNTIF($E68:T68,"t")+COUNTIF($E68:T68,"¶")+COUNTIF($E68:T68,"²")+COUNTIF($E68:T68,"µ")+COUNTIF($E68:T68,1)),
HYPERLINK("#Roadmap!C"&amp; MATCH($E68,Roadmap!$D:$D,0)+COUNTIF($E68:T68,"u")+COUNTIF($E68:T68,"t"),
     INDEX(Roadmap!$D:$K,MATCH($E68,Roadmap!$D:$D,0)+COUNTIF($E68:T68,"u")+COUNTIF($E68:T68,"t")+COUNTIF($E68:T68,"¶")+COUNTIF($E68:T68,"²")+COUNTIF($E68:T68,"µ")+COUNTIF($E68:T68,1),ColTypeEcheance)),
  IF(LEN(T68)=1,
  IF(LEN(INDEX(Roadmap!$D:$K,MATCH($E68,Roadmap!$D:$D,0)-1+COUNTIF($E68:T68,"u")+COUNTIF($E68:T68,"t")+COUNTIF($E68:T68,"¶")+COUNTIF($E68:T68,"²")+COUNTIF($E68:T68,"µ")+COUNTIF($E68:T68,1),ColDescriptionCourte))&gt;1,
HYPERLINK("#Roadmap!C"&amp; MATCH($E68,Roadmap!$D:$D,0)+COUNTIF($E68:T68,"u")+COUNTIF($E68:T68,"t")+COUNTIF($E68:T68,"¶")+COUNTIF($E68:T68,"²")+COUNTIF($E68:T68,"µ")+COUNTIF($E68:T68,1)-1,INDEX(Roadmap!$D:$K,MATCH($E68,Roadmap!$D:$D,0)-1+COUNTIF($E68:T68,"u")+COUNTIF($E68:T68,"t")+COUNTIF($E68:T68,"¶")+COUNTIF($E68:T68,"²")+COUNTIF($E68:T68,"µ")+COUNTIF($E68:T68,1),ColDescriptionCourte)),""),
  "")),"")</f>
        <v/>
      </c>
      <c r="V68" s="40" t="str">
        <f ca="1">IFERROR(IF(AND(
  INDEX(Roadmap!$D:$K,MATCH($E68,Roadmap!$D:$D,0)+COUNTIF($E68:U68,"u")+COUNTIF($E68:U68,"t")+COUNTIF($E68:U68,"¶")+COUNTIF($E68:U68,"²")+COUNTIF($E68:U68,"µ")+COUNTIF($E68:U68,1),ColLivraison)=V$6,
  VLOOKUP($E68,INDIRECT("tri!"&amp; CHAR(64+ C0Col) &amp;":"&amp; CHAR(65+C0Col)),2,FALSE)&gt;COUNTIF($E68:U68,"u")+COUNTIF($E68:U68,"t")+COUNTIF($E68:U68,"¶")+COUNTIF($E68:U68,"²")+COUNTIF($E68:U68,"µ")+COUNTIF($E68:U68,1)),
HYPERLINK("#Roadmap!C"&amp; MATCH($E68,Roadmap!$D:$D,0)+COUNTIF($E68:U68,"u")+COUNTIF($E68:U68,"t"),
     INDEX(Roadmap!$D:$K,MATCH($E68,Roadmap!$D:$D,0)+COUNTIF($E68:U68,"u")+COUNTIF($E68:U68,"t")+COUNTIF($E68:U68,"¶")+COUNTIF($E68:U68,"²")+COUNTIF($E68:U68,"µ")+COUNTIF($E68:U68,1),ColTypeEcheance)),
  IF(LEN(U68)=1,
  IF(LEN(INDEX(Roadmap!$D:$K,MATCH($E68,Roadmap!$D:$D,0)-1+COUNTIF($E68:U68,"u")+COUNTIF($E68:U68,"t")+COUNTIF($E68:U68,"¶")+COUNTIF($E68:U68,"²")+COUNTIF($E68:U68,"µ")+COUNTIF($E68:U68,1),ColDescriptionCourte))&gt;1,
HYPERLINK("#Roadmap!C"&amp; MATCH($E68,Roadmap!$D:$D,0)+COUNTIF($E68:U68,"u")+COUNTIF($E68:U68,"t")+COUNTIF($E68:U68,"¶")+COUNTIF($E68:U68,"²")+COUNTIF($E68:U68,"µ")+COUNTIF($E68:U68,1)-1,INDEX(Roadmap!$D:$K,MATCH($E68,Roadmap!$D:$D,0)-1+COUNTIF($E68:U68,"u")+COUNTIF($E68:U68,"t")+COUNTIF($E68:U68,"¶")+COUNTIF($E68:U68,"²")+COUNTIF($E68:U68,"µ")+COUNTIF($E68:U68,1),ColDescriptionCourte)),""),
  "")),"")</f>
        <v/>
      </c>
      <c r="W68" s="40" t="str">
        <f ca="1">IFERROR(IF(AND(
  INDEX(Roadmap!$D:$K,MATCH($E68,Roadmap!$D:$D,0)+COUNTIF($E68:V68,"u")+COUNTIF($E68:V68,"t")+COUNTIF($E68:V68,"¶")+COUNTIF($E68:V68,"²")+COUNTIF($E68:V68,"µ")+COUNTIF($E68:V68,1),ColLivraison)=W$6,
  VLOOKUP($E68,INDIRECT("tri!"&amp; CHAR(64+ C0Col) &amp;":"&amp; CHAR(65+C0Col)),2,FALSE)&gt;COUNTIF($E68:V68,"u")+COUNTIF($E68:V68,"t")+COUNTIF($E68:V68,"¶")+COUNTIF($E68:V68,"²")+COUNTIF($E68:V68,"µ")+COUNTIF($E68:V68,1)),
HYPERLINK("#Roadmap!C"&amp; MATCH($E68,Roadmap!$D:$D,0)+COUNTIF($E68:V68,"u")+COUNTIF($E68:V68,"t"),
     INDEX(Roadmap!$D:$K,MATCH($E68,Roadmap!$D:$D,0)+COUNTIF($E68:V68,"u")+COUNTIF($E68:V68,"t")+COUNTIF($E68:V68,"¶")+COUNTIF($E68:V68,"²")+COUNTIF($E68:V68,"µ")+COUNTIF($E68:V68,1),ColTypeEcheance)),
  IF(LEN(V68)=1,
  IF(LEN(INDEX(Roadmap!$D:$K,MATCH($E68,Roadmap!$D:$D,0)-1+COUNTIF($E68:V68,"u")+COUNTIF($E68:V68,"t")+COUNTIF($E68:V68,"¶")+COUNTIF($E68:V68,"²")+COUNTIF($E68:V68,"µ")+COUNTIF($E68:V68,1),ColDescriptionCourte))&gt;1,
HYPERLINK("#Roadmap!C"&amp; MATCH($E68,Roadmap!$D:$D,0)+COUNTIF($E68:V68,"u")+COUNTIF($E68:V68,"t")+COUNTIF($E68:V68,"¶")+COUNTIF($E68:V68,"²")+COUNTIF($E68:V68,"µ")+COUNTIF($E68:V68,1)-1,INDEX(Roadmap!$D:$K,MATCH($E68,Roadmap!$D:$D,0)-1+COUNTIF($E68:V68,"u")+COUNTIF($E68:V68,"t")+COUNTIF($E68:V68,"¶")+COUNTIF($E68:V68,"²")+COUNTIF($E68:V68,"µ")+COUNTIF($E68:V68,1),ColDescriptionCourte)),""),
  "")),"")</f>
        <v/>
      </c>
      <c r="X68" s="40" t="str">
        <f ca="1">IFERROR(IF(AND(
  INDEX(Roadmap!$D:$K,MATCH($E68,Roadmap!$D:$D,0)+COUNTIF($E68:W68,"u")+COUNTIF($E68:W68,"t")+COUNTIF($E68:W68,"¶")+COUNTIF($E68:W68,"²")+COUNTIF($E68:W68,"µ")+COUNTIF($E68:W68,1),ColLivraison)=X$6,
  VLOOKUP($E68,INDIRECT("tri!"&amp; CHAR(64+ C0Col) &amp;":"&amp; CHAR(65+C0Col)),2,FALSE)&gt;COUNTIF($E68:W68,"u")+COUNTIF($E68:W68,"t")+COUNTIF($E68:W68,"¶")+COUNTIF($E68:W68,"²")+COUNTIF($E68:W68,"µ")+COUNTIF($E68:W68,1)),
HYPERLINK("#Roadmap!C"&amp; MATCH($E68,Roadmap!$D:$D,0)+COUNTIF($E68:W68,"u")+COUNTIF($E68:W68,"t"),
     INDEX(Roadmap!$D:$K,MATCH($E68,Roadmap!$D:$D,0)+COUNTIF($E68:W68,"u")+COUNTIF($E68:W68,"t")+COUNTIF($E68:W68,"¶")+COUNTIF($E68:W68,"²")+COUNTIF($E68:W68,"µ")+COUNTIF($E68:W68,1),ColTypeEcheance)),
  IF(LEN(W68)=1,
  IF(LEN(INDEX(Roadmap!$D:$K,MATCH($E68,Roadmap!$D:$D,0)-1+COUNTIF($E68:W68,"u")+COUNTIF($E68:W68,"t")+COUNTIF($E68:W68,"¶")+COUNTIF($E68:W68,"²")+COUNTIF($E68:W68,"µ")+COUNTIF($E68:W68,1),ColDescriptionCourte))&gt;1,
HYPERLINK("#Roadmap!C"&amp; MATCH($E68,Roadmap!$D:$D,0)+COUNTIF($E68:W68,"u")+COUNTIF($E68:W68,"t")+COUNTIF($E68:W68,"¶")+COUNTIF($E68:W68,"²")+COUNTIF($E68:W68,"µ")+COUNTIF($E68:W68,1)-1,INDEX(Roadmap!$D:$K,MATCH($E68,Roadmap!$D:$D,0)-1+COUNTIF($E68:W68,"u")+COUNTIF($E68:W68,"t")+COUNTIF($E68:W68,"¶")+COUNTIF($E68:W68,"²")+COUNTIF($E68:W68,"µ")+COUNTIF($E68:W68,1),ColDescriptionCourte)),""),
  "")),"")</f>
        <v/>
      </c>
      <c r="Y68" s="40" t="str">
        <f ca="1">IFERROR(IF(AND(
  INDEX(Roadmap!$D:$K,MATCH($E68,Roadmap!$D:$D,0)+COUNTIF($E68:X68,"u")+COUNTIF($E68:X68,"t")+COUNTIF($E68:X68,"¶")+COUNTIF($E68:X68,"²")+COUNTIF($E68:X68,"µ")+COUNTIF($E68:X68,1),ColLivraison)=Y$6,
  VLOOKUP($E68,INDIRECT("tri!"&amp; CHAR(64+ C0Col) &amp;":"&amp; CHAR(65+C0Col)),2,FALSE)&gt;COUNTIF($E68:X68,"u")+COUNTIF($E68:X68,"t")+COUNTIF($E68:X68,"¶")+COUNTIF($E68:X68,"²")+COUNTIF($E68:X68,"µ")+COUNTIF($E68:X68,1)),
HYPERLINK("#Roadmap!C"&amp; MATCH($E68,Roadmap!$D:$D,0)+COUNTIF($E68:X68,"u")+COUNTIF($E68:X68,"t"),
     INDEX(Roadmap!$D:$K,MATCH($E68,Roadmap!$D:$D,0)+COUNTIF($E68:X68,"u")+COUNTIF($E68:X68,"t")+COUNTIF($E68:X68,"¶")+COUNTIF($E68:X68,"²")+COUNTIF($E68:X68,"µ")+COUNTIF($E68:X68,1),ColTypeEcheance)),
  IF(LEN(X68)=1,
  IF(LEN(INDEX(Roadmap!$D:$K,MATCH($E68,Roadmap!$D:$D,0)-1+COUNTIF($E68:X68,"u")+COUNTIF($E68:X68,"t")+COUNTIF($E68:X68,"¶")+COUNTIF($E68:X68,"²")+COUNTIF($E68:X68,"µ")+COUNTIF($E68:X68,1),ColDescriptionCourte))&gt;1,
HYPERLINK("#Roadmap!C"&amp; MATCH($E68,Roadmap!$D:$D,0)+COUNTIF($E68:X68,"u")+COUNTIF($E68:X68,"t")+COUNTIF($E68:X68,"¶")+COUNTIF($E68:X68,"²")+COUNTIF($E68:X68,"µ")+COUNTIF($E68:X68,1)-1,INDEX(Roadmap!$D:$K,MATCH($E68,Roadmap!$D:$D,0)-1+COUNTIF($E68:X68,"u")+COUNTIF($E68:X68,"t")+COUNTIF($E68:X68,"¶")+COUNTIF($E68:X68,"²")+COUNTIF($E68:X68,"µ")+COUNTIF($E68:X68,1),ColDescriptionCourte)),""),
  "")),"")</f>
        <v/>
      </c>
      <c r="Z68" s="40" t="str">
        <f ca="1">IFERROR(IF(AND(
  INDEX(Roadmap!$D:$K,MATCH($E68,Roadmap!$D:$D,0)+COUNTIF($E68:Y68,"u")+COUNTIF($E68:Y68,"t")+COUNTIF($E68:Y68,"¶")+COUNTIF($E68:Y68,"²")+COUNTIF($E68:Y68,"µ")+COUNTIF($E68:Y68,1),ColLivraison)=Z$6,
  VLOOKUP($E68,INDIRECT("tri!"&amp; CHAR(64+ C0Col) &amp;":"&amp; CHAR(65+C0Col)),2,FALSE)&gt;COUNTIF($E68:Y68,"u")+COUNTIF($E68:Y68,"t")+COUNTIF($E68:Y68,"¶")+COUNTIF($E68:Y68,"²")+COUNTIF($E68:Y68,"µ")+COUNTIF($E68:Y68,1)),
HYPERLINK("#Roadmap!C"&amp; MATCH($E68,Roadmap!$D:$D,0)+COUNTIF($E68:Y68,"u")+COUNTIF($E68:Y68,"t"),
     INDEX(Roadmap!$D:$K,MATCH($E68,Roadmap!$D:$D,0)+COUNTIF($E68:Y68,"u")+COUNTIF($E68:Y68,"t")+COUNTIF($E68:Y68,"¶")+COUNTIF($E68:Y68,"²")+COUNTIF($E68:Y68,"µ")+COUNTIF($E68:Y68,1),ColTypeEcheance)),
  IF(LEN(Y68)=1,
  IF(LEN(INDEX(Roadmap!$D:$K,MATCH($E68,Roadmap!$D:$D,0)-1+COUNTIF($E68:Y68,"u")+COUNTIF($E68:Y68,"t")+COUNTIF($E68:Y68,"¶")+COUNTIF($E68:Y68,"²")+COUNTIF($E68:Y68,"µ")+COUNTIF($E68:Y68,1),ColDescriptionCourte))&gt;1,
HYPERLINK("#Roadmap!C"&amp; MATCH($E68,Roadmap!$D:$D,0)+COUNTIF($E68:Y68,"u")+COUNTIF($E68:Y68,"t")+COUNTIF($E68:Y68,"¶")+COUNTIF($E68:Y68,"²")+COUNTIF($E68:Y68,"µ")+COUNTIF($E68:Y68,1)-1,INDEX(Roadmap!$D:$K,MATCH($E68,Roadmap!$D:$D,0)-1+COUNTIF($E68:Y68,"u")+COUNTIF($E68:Y68,"t")+COUNTIF($E68:Y68,"¶")+COUNTIF($E68:Y68,"²")+COUNTIF($E68:Y68,"µ")+COUNTIF($E68:Y68,1),ColDescriptionCourte)),""),
  "")),"")</f>
        <v/>
      </c>
      <c r="AA68" s="40" t="str">
        <f ca="1">IFERROR(IF(AND(
  INDEX(Roadmap!$D:$K,MATCH($E68,Roadmap!$D:$D,0)+COUNTIF($E68:Z68,"u")+COUNTIF($E68:Z68,"t")+COUNTIF($E68:Z68,"¶")+COUNTIF($E68:Z68,"²")+COUNTIF($E68:Z68,"µ")+COUNTIF($E68:Z68,1),ColLivraison)=AA$6,
  VLOOKUP($E68,INDIRECT("tri!"&amp; CHAR(64+ C0Col) &amp;":"&amp; CHAR(65+C0Col)),2,FALSE)&gt;COUNTIF($E68:Z68,"u")+COUNTIF($E68:Z68,"t")+COUNTIF($E68:Z68,"¶")+COUNTIF($E68:Z68,"²")+COUNTIF($E68:Z68,"µ")+COUNTIF($E68:Z68,1)),
HYPERLINK("#Roadmap!C"&amp; MATCH($E68,Roadmap!$D:$D,0)+COUNTIF($E68:Z68,"u")+COUNTIF($E68:Z68,"t"),
     INDEX(Roadmap!$D:$K,MATCH($E68,Roadmap!$D:$D,0)+COUNTIF($E68:Z68,"u")+COUNTIF($E68:Z68,"t")+COUNTIF($E68:Z68,"¶")+COUNTIF($E68:Z68,"²")+COUNTIF($E68:Z68,"µ")+COUNTIF($E68:Z68,1),ColTypeEcheance)),
  IF(LEN(Z68)=1,
  IF(LEN(INDEX(Roadmap!$D:$K,MATCH($E68,Roadmap!$D:$D,0)-1+COUNTIF($E68:Z68,"u")+COUNTIF($E68:Z68,"t")+COUNTIF($E68:Z68,"¶")+COUNTIF($E68:Z68,"²")+COUNTIF($E68:Z68,"µ")+COUNTIF($E68:Z68,1),ColDescriptionCourte))&gt;1,
HYPERLINK("#Roadmap!C"&amp; MATCH($E68,Roadmap!$D:$D,0)+COUNTIF($E68:Z68,"u")+COUNTIF($E68:Z68,"t")+COUNTIF($E68:Z68,"¶")+COUNTIF($E68:Z68,"²")+COUNTIF($E68:Z68,"µ")+COUNTIF($E68:Z68,1)-1,INDEX(Roadmap!$D:$K,MATCH($E68,Roadmap!$D:$D,0)-1+COUNTIF($E68:Z68,"u")+COUNTIF($E68:Z68,"t")+COUNTIF($E68:Z68,"¶")+COUNTIF($E68:Z68,"²")+COUNTIF($E68:Z68,"µ")+COUNTIF($E68:Z68,1),ColDescriptionCourte)),""),
  "")),"")</f>
        <v/>
      </c>
      <c r="AB68" s="40" t="str">
        <f ca="1">IFERROR(IF(AND(
  INDEX(Roadmap!$D:$K,MATCH($E68,Roadmap!$D:$D,0)+COUNTIF($E68:AA68,"u")+COUNTIF($E68:AA68,"t")+COUNTIF($E68:AA68,"¶")+COUNTIF($E68:AA68,"²")+COUNTIF($E68:AA68,"µ")+COUNTIF($E68:AA68,1),ColLivraison)=AB$6,
  VLOOKUP($E68,INDIRECT("tri!"&amp; CHAR(64+ C0Col) &amp;":"&amp; CHAR(65+C0Col)),2,FALSE)&gt;COUNTIF($E68:AA68,"u")+COUNTIF($E68:AA68,"t")+COUNTIF($E68:AA68,"¶")+COUNTIF($E68:AA68,"²")+COUNTIF($E68:AA68,"µ")+COUNTIF($E68:AA68,1)),
HYPERLINK("#Roadmap!C"&amp; MATCH($E68,Roadmap!$D:$D,0)+COUNTIF($E68:AA68,"u")+COUNTIF($E68:AA68,"t"),
     INDEX(Roadmap!$D:$K,MATCH($E68,Roadmap!$D:$D,0)+COUNTIF($E68:AA68,"u")+COUNTIF($E68:AA68,"t")+COUNTIF($E68:AA68,"¶")+COUNTIF($E68:AA68,"²")+COUNTIF($E68:AA68,"µ")+COUNTIF($E68:AA68,1),ColTypeEcheance)),
  IF(LEN(AA68)=1,
  IF(LEN(INDEX(Roadmap!$D:$K,MATCH($E68,Roadmap!$D:$D,0)-1+COUNTIF($E68:AA68,"u")+COUNTIF($E68:AA68,"t")+COUNTIF($E68:AA68,"¶")+COUNTIF($E68:AA68,"²")+COUNTIF($E68:AA68,"µ")+COUNTIF($E68:AA68,1),ColDescriptionCourte))&gt;1,
HYPERLINK("#Roadmap!C"&amp; MATCH($E68,Roadmap!$D:$D,0)+COUNTIF($E68:AA68,"u")+COUNTIF($E68:AA68,"t")+COUNTIF($E68:AA68,"¶")+COUNTIF($E68:AA68,"²")+COUNTIF($E68:AA68,"µ")+COUNTIF($E68:AA68,1)-1,INDEX(Roadmap!$D:$K,MATCH($E68,Roadmap!$D:$D,0)-1+COUNTIF($E68:AA68,"u")+COUNTIF($E68:AA68,"t")+COUNTIF($E68:AA68,"¶")+COUNTIF($E68:AA68,"²")+COUNTIF($E68:AA68,"µ")+COUNTIF($E68:AA68,1),ColDescriptionCourte)),""),
  "")),"")</f>
        <v/>
      </c>
      <c r="AC68" s="40" t="str">
        <f ca="1">IFERROR(IF(AND(
  INDEX(Roadmap!$D:$K,MATCH($E68,Roadmap!$D:$D,0)+COUNTIF($E68:AB68,"u")+COUNTIF($E68:AB68,"t")+COUNTIF($E68:AB68,"¶")+COUNTIF($E68:AB68,"²")+COUNTIF($E68:AB68,"µ")+COUNTIF($E68:AB68,1),ColLivraison)=AC$6,
  VLOOKUP($E68,INDIRECT("tri!"&amp; CHAR(64+ C0Col) &amp;":"&amp; CHAR(65+C0Col)),2,FALSE)&gt;COUNTIF($E68:AB68,"u")+COUNTIF($E68:AB68,"t")+COUNTIF($E68:AB68,"¶")+COUNTIF($E68:AB68,"²")+COUNTIF($E68:AB68,"µ")+COUNTIF($E68:AB68,1)),
HYPERLINK("#Roadmap!C"&amp; MATCH($E68,Roadmap!$D:$D,0)+COUNTIF($E68:AB68,"u")+COUNTIF($E68:AB68,"t"),
     INDEX(Roadmap!$D:$K,MATCH($E68,Roadmap!$D:$D,0)+COUNTIF($E68:AB68,"u")+COUNTIF($E68:AB68,"t")+COUNTIF($E68:AB68,"¶")+COUNTIF($E68:AB68,"²")+COUNTIF($E68:AB68,"µ")+COUNTIF($E68:AB68,1),ColTypeEcheance)),
  IF(LEN(AB68)=1,
  IF(LEN(INDEX(Roadmap!$D:$K,MATCH($E68,Roadmap!$D:$D,0)-1+COUNTIF($E68:AB68,"u")+COUNTIF($E68:AB68,"t")+COUNTIF($E68:AB68,"¶")+COUNTIF($E68:AB68,"²")+COUNTIF($E68:AB68,"µ")+COUNTIF($E68:AB68,1),ColDescriptionCourte))&gt;1,
HYPERLINK("#Roadmap!C"&amp; MATCH($E68,Roadmap!$D:$D,0)+COUNTIF($E68:AB68,"u")+COUNTIF($E68:AB68,"t")+COUNTIF($E68:AB68,"¶")+COUNTIF($E68:AB68,"²")+COUNTIF($E68:AB68,"µ")+COUNTIF($E68:AB68,1)-1,INDEX(Roadmap!$D:$K,MATCH($E68,Roadmap!$D:$D,0)-1+COUNTIF($E68:AB68,"u")+COUNTIF($E68:AB68,"t")+COUNTIF($E68:AB68,"¶")+COUNTIF($E68:AB68,"²")+COUNTIF($E68:AB68,"µ")+COUNTIF($E68:AB68,1),ColDescriptionCourte)),""),
  "")),"")</f>
        <v/>
      </c>
      <c r="AD68" s="40" t="str">
        <f ca="1">IFERROR(IF(AND(
  INDEX(Roadmap!$D:$K,MATCH($E68,Roadmap!$D:$D,0)+COUNTIF($E68:AC68,"u")+COUNTIF($E68:AC68,"t")+COUNTIF($E68:AC68,"¶")+COUNTIF($E68:AC68,"²")+COUNTIF($E68:AC68,"µ")+COUNTIF($E68:AC68,1),ColLivraison)=AD$6,
  VLOOKUP($E68,INDIRECT("tri!"&amp; CHAR(64+ C0Col) &amp;":"&amp; CHAR(65+C0Col)),2,FALSE)&gt;COUNTIF($E68:AC68,"u")+COUNTIF($E68:AC68,"t")+COUNTIF($E68:AC68,"¶")+COUNTIF($E68:AC68,"²")+COUNTIF($E68:AC68,"µ")+COUNTIF($E68:AC68,1)),
HYPERLINK("#Roadmap!C"&amp; MATCH($E68,Roadmap!$D:$D,0)+COUNTIF($E68:AC68,"u")+COUNTIF($E68:AC68,"t"),
     INDEX(Roadmap!$D:$K,MATCH($E68,Roadmap!$D:$D,0)+COUNTIF($E68:AC68,"u")+COUNTIF($E68:AC68,"t")+COUNTIF($E68:AC68,"¶")+COUNTIF($E68:AC68,"²")+COUNTIF($E68:AC68,"µ")+COUNTIF($E68:AC68,1),ColTypeEcheance)),
  IF(LEN(AC68)=1,
  IF(LEN(INDEX(Roadmap!$D:$K,MATCH($E68,Roadmap!$D:$D,0)-1+COUNTIF($E68:AC68,"u")+COUNTIF($E68:AC68,"t")+COUNTIF($E68:AC68,"¶")+COUNTIF($E68:AC68,"²")+COUNTIF($E68:AC68,"µ")+COUNTIF($E68:AC68,1),ColDescriptionCourte))&gt;1,
HYPERLINK("#Roadmap!C"&amp; MATCH($E68,Roadmap!$D:$D,0)+COUNTIF($E68:AC68,"u")+COUNTIF($E68:AC68,"t")+COUNTIF($E68:AC68,"¶")+COUNTIF($E68:AC68,"²")+COUNTIF($E68:AC68,"µ")+COUNTIF($E68:AC68,1)-1,INDEX(Roadmap!$D:$K,MATCH($E68,Roadmap!$D:$D,0)-1+COUNTIF($E68:AC68,"u")+COUNTIF($E68:AC68,"t")+COUNTIF($E68:AC68,"¶")+COUNTIF($E68:AC68,"²")+COUNTIF($E68:AC68,"µ")+COUNTIF($E68:AC68,1),ColDescriptionCourte)),""),
  "")),"")</f>
        <v/>
      </c>
      <c r="AE68" s="40" t="str">
        <f ca="1">IFERROR(IF(AND(
  INDEX(Roadmap!$D:$K,MATCH($E68,Roadmap!$D:$D,0)+COUNTIF($E68:AD68,"u")+COUNTIF($E68:AD68,"t")+COUNTIF($E68:AD68,"¶")+COUNTIF($E68:AD68,"²")+COUNTIF($E68:AD68,"µ")+COUNTIF($E68:AD68,1),ColLivraison)=AE$6,
  VLOOKUP($E68,INDIRECT("tri!"&amp; CHAR(64+ C0Col) &amp;":"&amp; CHAR(65+C0Col)),2,FALSE)&gt;COUNTIF($E68:AD68,"u")+COUNTIF($E68:AD68,"t")+COUNTIF($E68:AD68,"¶")+COUNTIF($E68:AD68,"²")+COUNTIF($E68:AD68,"µ")+COUNTIF($E68:AD68,1)),
HYPERLINK("#Roadmap!C"&amp; MATCH($E68,Roadmap!$D:$D,0)+COUNTIF($E68:AD68,"u")+COUNTIF($E68:AD68,"t"),
     INDEX(Roadmap!$D:$K,MATCH($E68,Roadmap!$D:$D,0)+COUNTIF($E68:AD68,"u")+COUNTIF($E68:AD68,"t")+COUNTIF($E68:AD68,"¶")+COUNTIF($E68:AD68,"²")+COUNTIF($E68:AD68,"µ")+COUNTIF($E68:AD68,1),ColTypeEcheance)),
  IF(LEN(AD68)=1,
  IF(LEN(INDEX(Roadmap!$D:$K,MATCH($E68,Roadmap!$D:$D,0)-1+COUNTIF($E68:AD68,"u")+COUNTIF($E68:AD68,"t")+COUNTIF($E68:AD68,"¶")+COUNTIF($E68:AD68,"²")+COUNTIF($E68:AD68,"µ")+COUNTIF($E68:AD68,1),ColDescriptionCourte))&gt;1,
HYPERLINK("#Roadmap!C"&amp; MATCH($E68,Roadmap!$D:$D,0)+COUNTIF($E68:AD68,"u")+COUNTIF($E68:AD68,"t")+COUNTIF($E68:AD68,"¶")+COUNTIF($E68:AD68,"²")+COUNTIF($E68:AD68,"µ")+COUNTIF($E68:AD68,1)-1,INDEX(Roadmap!$D:$K,MATCH($E68,Roadmap!$D:$D,0)-1+COUNTIF($E68:AD68,"u")+COUNTIF($E68:AD68,"t")+COUNTIF($E68:AD68,"¶")+COUNTIF($E68:AD68,"²")+COUNTIF($E68:AD68,"µ")+COUNTIF($E68:AD68,1),ColDescriptionCourte)),""),
  "")),"")</f>
        <v/>
      </c>
      <c r="AF68" s="40" t="str">
        <f ca="1">IFERROR(IF(AND(
  INDEX(Roadmap!$D:$K,MATCH($E68,Roadmap!$D:$D,0)+COUNTIF($E68:AE68,"u")+COUNTIF($E68:AE68,"t")+COUNTIF($E68:AE68,"¶")+COUNTIF($E68:AE68,"²")+COUNTIF($E68:AE68,"µ")+COUNTIF($E68:AE68,1),ColLivraison)=AF$6,
  VLOOKUP($E68,INDIRECT("tri!"&amp; CHAR(64+ C0Col) &amp;":"&amp; CHAR(65+C0Col)),2,FALSE)&gt;COUNTIF($E68:AE68,"u")+COUNTIF($E68:AE68,"t")+COUNTIF($E68:AE68,"¶")+COUNTIF($E68:AE68,"²")+COUNTIF($E68:AE68,"µ")+COUNTIF($E68:AE68,1)),
HYPERLINK("#Roadmap!C"&amp; MATCH($E68,Roadmap!$D:$D,0)+COUNTIF($E68:AE68,"u")+COUNTIF($E68:AE68,"t"),
     INDEX(Roadmap!$D:$K,MATCH($E68,Roadmap!$D:$D,0)+COUNTIF($E68:AE68,"u")+COUNTIF($E68:AE68,"t")+COUNTIF($E68:AE68,"¶")+COUNTIF($E68:AE68,"²")+COUNTIF($E68:AE68,"µ")+COUNTIF($E68:AE68,1),ColTypeEcheance)),
  IF(LEN(AE68)=1,
  IF(LEN(INDEX(Roadmap!$D:$K,MATCH($E68,Roadmap!$D:$D,0)-1+COUNTIF($E68:AE68,"u")+COUNTIF($E68:AE68,"t")+COUNTIF($E68:AE68,"¶")+COUNTIF($E68:AE68,"²")+COUNTIF($E68:AE68,"µ")+COUNTIF($E68:AE68,1),ColDescriptionCourte))&gt;1,
HYPERLINK("#Roadmap!C"&amp; MATCH($E68,Roadmap!$D:$D,0)+COUNTIF($E68:AE68,"u")+COUNTIF($E68:AE68,"t")+COUNTIF($E68:AE68,"¶")+COUNTIF($E68:AE68,"²")+COUNTIF($E68:AE68,"µ")+COUNTIF($E68:AE68,1)-1,INDEX(Roadmap!$D:$K,MATCH($E68,Roadmap!$D:$D,0)-1+COUNTIF($E68:AE68,"u")+COUNTIF($E68:AE68,"t")+COUNTIF($E68:AE68,"¶")+COUNTIF($E68:AE68,"²")+COUNTIF($E68:AE68,"µ")+COUNTIF($E68:AE68,1),ColDescriptionCourte)),""),
  "")),"")</f>
        <v/>
      </c>
      <c r="AG68" s="40" t="str">
        <f ca="1">IFERROR(IF(AND(
  INDEX(Roadmap!$D:$K,MATCH($E68,Roadmap!$D:$D,0)+COUNTIF($E68:AF68,"u")+COUNTIF($E68:AF68,"t")+COUNTIF($E68:AF68,"¶")+COUNTIF($E68:AF68,"²")+COUNTIF($E68:AF68,"µ")+COUNTIF($E68:AF68,1),ColLivraison)=AG$6,
  VLOOKUP($E68,INDIRECT("tri!"&amp; CHAR(64+ C0Col) &amp;":"&amp; CHAR(65+C0Col)),2,FALSE)&gt;COUNTIF($E68:AF68,"u")+COUNTIF($E68:AF68,"t")+COUNTIF($E68:AF68,"¶")+COUNTIF($E68:AF68,"²")+COUNTIF($E68:AF68,"µ")+COUNTIF($E68:AF68,1)),
HYPERLINK("#Roadmap!C"&amp; MATCH($E68,Roadmap!$D:$D,0)+COUNTIF($E68:AF68,"u")+COUNTIF($E68:AF68,"t"),
     INDEX(Roadmap!$D:$K,MATCH($E68,Roadmap!$D:$D,0)+COUNTIF($E68:AF68,"u")+COUNTIF($E68:AF68,"t")+COUNTIF($E68:AF68,"¶")+COUNTIF($E68:AF68,"²")+COUNTIF($E68:AF68,"µ")+COUNTIF($E68:AF68,1),ColTypeEcheance)),
  IF(LEN(AF68)=1,
  IF(LEN(INDEX(Roadmap!$D:$K,MATCH($E68,Roadmap!$D:$D,0)-1+COUNTIF($E68:AF68,"u")+COUNTIF($E68:AF68,"t")+COUNTIF($E68:AF68,"¶")+COUNTIF($E68:AF68,"²")+COUNTIF($E68:AF68,"µ")+COUNTIF($E68:AF68,1),ColDescriptionCourte))&gt;1,
HYPERLINK("#Roadmap!C"&amp; MATCH($E68,Roadmap!$D:$D,0)+COUNTIF($E68:AF68,"u")+COUNTIF($E68:AF68,"t")+COUNTIF($E68:AF68,"¶")+COUNTIF($E68:AF68,"²")+COUNTIF($E68:AF68,"µ")+COUNTIF($E68:AF68,1)-1,INDEX(Roadmap!$D:$K,MATCH($E68,Roadmap!$D:$D,0)-1+COUNTIF($E68:AF68,"u")+COUNTIF($E68:AF68,"t")+COUNTIF($E68:AF68,"¶")+COUNTIF($E68:AF68,"²")+COUNTIF($E68:AF68,"µ")+COUNTIF($E68:AF68,1),ColDescriptionCourte)),""),
  "")),"")</f>
        <v/>
      </c>
    </row>
    <row r="69" spans="3:33" ht="14.25" customHeight="1">
      <c r="C69" s="1" t="str">
        <f t="shared" ca="1" si="44"/>
        <v/>
      </c>
      <c r="D69" s="1" t="str">
        <f t="shared" ca="1" si="45"/>
        <v/>
      </c>
      <c r="E69" s="35" t="str">
        <f t="shared" ca="1" si="33"/>
        <v/>
      </c>
      <c r="F69" s="39" t="str">
        <f ca="1">IFERROR(IF(AND(
  INDEX(Roadmap!$D:$K,MATCH($E69,Roadmap!$D:$D,0)+COUNTIF($E69:E69,"u")+COUNTIF($E69:E69,"t")+COUNTIF($E69:E69,"¶")+COUNTIF($E69:E69,"²")+COUNTIF($E69:E69,"µ")+COUNTIF($E69:E69,1),ColLivraison)=F$6,
  VLOOKUP($E69,INDIRECT("tri!"&amp; CHAR(64+ C0Col) &amp;":"&amp; CHAR(65+C0Col)),2,FALSE)&gt;COUNTIF($E69:E69,"u")+COUNTIF($E69:E69,"t")+COUNTIF($E69:E69,"¶")+COUNTIF($E69:E69,"²")+COUNTIF($E69:E69,"µ")+COUNTIF($E69:E69,1)),
HYPERLINK("#Roadmap!C"&amp; MATCH($E69,Roadmap!$D:$D,0)+COUNTIF($E69:E69,"u")+COUNTIF($E69:E69,"t"),
     INDEX(Roadmap!$D:$K,MATCH($E69,Roadmap!$D:$D,0)+COUNTIF($E69:E69,"u")+COUNTIF($E69:E69,"t")+COUNTIF($E69:E69,"¶")+COUNTIF($E69:E69,"²")+COUNTIF($E69:E69,"µ")+COUNTIF($E69:E69,1),ColTypeEcheance)),
  IF(LEN(E69)=1,
  IF(LEN(INDEX(Roadmap!$D:$K,MATCH($E69,Roadmap!$D:$D,0)-1+COUNTIF($E69:E69,"u")+COUNTIF($E69:E69,"t")+COUNTIF($E69:E69,"¶")+COUNTIF($E69:E69,"²")+COUNTIF($E69:E69,"µ")+COUNTIF($E69:E69,1),ColDescriptionCourte))&gt;1,
HYPERLINK("#Roadmap!C"&amp; MATCH($E69,Roadmap!$D:$D,0)+COUNTIF($E69:E69,"u")+COUNTIF($E69:E69,"t")+COUNTIF($E69:E69,"¶")+COUNTIF($E69:E69,"²")+COUNTIF($E69:E69,"µ")+COUNTIF($E69:E69,1)-1,INDEX(Roadmap!$D:$K,MATCH($E69,Roadmap!$D:$D,0)-1+COUNTIF($E69:E69,"u")+COUNTIF($E69:E69,"t")+COUNTIF($E69:E69,"¶")+COUNTIF($E69:E69,"²")+COUNTIF($E69:E69,"µ")+COUNTIF($E69:E69,1),ColDescriptionCourte)),""),
  "")),"")</f>
        <v/>
      </c>
      <c r="G69" s="40" t="str">
        <f ca="1">IFERROR(IF(AND(
  INDEX(Roadmap!$D:$K,MATCH($E69,Roadmap!$D:$D,0)+COUNTIF($E69:F69,"u")+COUNTIF($E69:F69,"t")+COUNTIF($E69:F69,"¶")+COUNTIF($E69:F69,"²")+COUNTIF($E69:F69,"µ")+COUNTIF($E69:F69,1),ColLivraison)=G$6,
  VLOOKUP($E69,INDIRECT("tri!"&amp; CHAR(64+ C0Col) &amp;":"&amp; CHAR(65+C0Col)),2,FALSE)&gt;COUNTIF($E69:F69,"u")+COUNTIF($E69:F69,"t")+COUNTIF($E69:F69,"¶")+COUNTIF($E69:F69,"²")+COUNTIF($E69:F69,"µ")+COUNTIF($E69:F69,1)),
HYPERLINK("#Roadmap!C"&amp; MATCH($E69,Roadmap!$D:$D,0)+COUNTIF($E69:F69,"u")+COUNTIF($E69:F69,"t"),
     INDEX(Roadmap!$D:$K,MATCH($E69,Roadmap!$D:$D,0)+COUNTIF($E69:F69,"u")+COUNTIF($E69:F69,"t")+COUNTIF($E69:F69,"¶")+COUNTIF($E69:F69,"²")+COUNTIF($E69:F69,"µ")+COUNTIF($E69:F69,1),ColTypeEcheance)),
  IF(LEN(F69)=1,
  IF(LEN(INDEX(Roadmap!$D:$K,MATCH($E69,Roadmap!$D:$D,0)-1+COUNTIF($E69:F69,"u")+COUNTIF($E69:F69,"t")+COUNTIF($E69:F69,"¶")+COUNTIF($E69:F69,"²")+COUNTIF($E69:F69,"µ")+COUNTIF($E69:F69,1),ColDescriptionCourte))&gt;1,
HYPERLINK("#Roadmap!C"&amp; MATCH($E69,Roadmap!$D:$D,0)+COUNTIF($E69:F69,"u")+COUNTIF($E69:F69,"t")+COUNTIF($E69:F69,"¶")+COUNTIF($E69:F69,"²")+COUNTIF($E69:F69,"µ")+COUNTIF($E69:F69,1)-1,INDEX(Roadmap!$D:$K,MATCH($E69,Roadmap!$D:$D,0)-1+COUNTIF($E69:F69,"u")+COUNTIF($E69:F69,"t")+COUNTIF($E69:F69,"¶")+COUNTIF($E69:F69,"²")+COUNTIF($E69:F69,"µ")+COUNTIF($E69:F69,1),ColDescriptionCourte)),""),
  "")),"")</f>
        <v/>
      </c>
      <c r="H69" s="40" t="str">
        <f ca="1">IFERROR(IF(AND(
  INDEX(Roadmap!$D:$K,MATCH($E69,Roadmap!$D:$D,0)+COUNTIF($E69:G69,"u")+COUNTIF($E69:G69,"t")+COUNTIF($E69:G69,"¶")+COUNTIF($E69:G69,"²")+COUNTIF($E69:G69,"µ")+COUNTIF($E69:G69,1),ColLivraison)=H$6,
  VLOOKUP($E69,INDIRECT("tri!"&amp; CHAR(64+ C0Col) &amp;":"&amp; CHAR(65+C0Col)),2,FALSE)&gt;COUNTIF($E69:G69,"u")+COUNTIF($E69:G69,"t")+COUNTIF($E69:G69,"¶")+COUNTIF($E69:G69,"²")+COUNTIF($E69:G69,"µ")+COUNTIF($E69:G69,1)),
HYPERLINK("#Roadmap!C"&amp; MATCH($E69,Roadmap!$D:$D,0)+COUNTIF($E69:G69,"u")+COUNTIF($E69:G69,"t"),
     INDEX(Roadmap!$D:$K,MATCH($E69,Roadmap!$D:$D,0)+COUNTIF($E69:G69,"u")+COUNTIF($E69:G69,"t")+COUNTIF($E69:G69,"¶")+COUNTIF($E69:G69,"²")+COUNTIF($E69:G69,"µ")+COUNTIF($E69:G69,1),ColTypeEcheance)),
  IF(LEN(G69)=1,
  IF(LEN(INDEX(Roadmap!$D:$K,MATCH($E69,Roadmap!$D:$D,0)-1+COUNTIF($E69:G69,"u")+COUNTIF($E69:G69,"t")+COUNTIF($E69:G69,"¶")+COUNTIF($E69:G69,"²")+COUNTIF($E69:G69,"µ")+COUNTIF($E69:G69,1),ColDescriptionCourte))&gt;1,
HYPERLINK("#Roadmap!C"&amp; MATCH($E69,Roadmap!$D:$D,0)+COUNTIF($E69:G69,"u")+COUNTIF($E69:G69,"t")+COUNTIF($E69:G69,"¶")+COUNTIF($E69:G69,"²")+COUNTIF($E69:G69,"µ")+COUNTIF($E69:G69,1)-1,INDEX(Roadmap!$D:$K,MATCH($E69,Roadmap!$D:$D,0)-1+COUNTIF($E69:G69,"u")+COUNTIF($E69:G69,"t")+COUNTIF($E69:G69,"¶")+COUNTIF($E69:G69,"²")+COUNTIF($E69:G69,"µ")+COUNTIF($E69:G69,1),ColDescriptionCourte)),""),
  "")),"")</f>
        <v/>
      </c>
      <c r="I69" s="40" t="str">
        <f ca="1">IFERROR(IF(AND(
  INDEX(Roadmap!$D:$K,MATCH($E69,Roadmap!$D:$D,0)+COUNTIF($E69:H69,"u")+COUNTIF($E69:H69,"t")+COUNTIF($E69:H69,"¶")+COUNTIF($E69:H69,"²")+COUNTIF($E69:H69,"µ")+COUNTIF($E69:H69,1),ColLivraison)=I$6,
  VLOOKUP($E69,INDIRECT("tri!"&amp; CHAR(64+ C0Col) &amp;":"&amp; CHAR(65+C0Col)),2,FALSE)&gt;COUNTIF($E69:H69,"u")+COUNTIF($E69:H69,"t")+COUNTIF($E69:H69,"¶")+COUNTIF($E69:H69,"²")+COUNTIF($E69:H69,"µ")+COUNTIF($E69:H69,1)),
HYPERLINK("#Roadmap!C"&amp; MATCH($E69,Roadmap!$D:$D,0)+COUNTIF($E69:H69,"u")+COUNTIF($E69:H69,"t"),
     INDEX(Roadmap!$D:$K,MATCH($E69,Roadmap!$D:$D,0)+COUNTIF($E69:H69,"u")+COUNTIF($E69:H69,"t")+COUNTIF($E69:H69,"¶")+COUNTIF($E69:H69,"²")+COUNTIF($E69:H69,"µ")+COUNTIF($E69:H69,1),ColTypeEcheance)),
  IF(LEN(H69)=1,
  IF(LEN(INDEX(Roadmap!$D:$K,MATCH($E69,Roadmap!$D:$D,0)-1+COUNTIF($E69:H69,"u")+COUNTIF($E69:H69,"t")+COUNTIF($E69:H69,"¶")+COUNTIF($E69:H69,"²")+COUNTIF($E69:H69,"µ")+COUNTIF($E69:H69,1),ColDescriptionCourte))&gt;1,
HYPERLINK("#Roadmap!C"&amp; MATCH($E69,Roadmap!$D:$D,0)+COUNTIF($E69:H69,"u")+COUNTIF($E69:H69,"t")+COUNTIF($E69:H69,"¶")+COUNTIF($E69:H69,"²")+COUNTIF($E69:H69,"µ")+COUNTIF($E69:H69,1)-1,INDEX(Roadmap!$D:$K,MATCH($E69,Roadmap!$D:$D,0)-1+COUNTIF($E69:H69,"u")+COUNTIF($E69:H69,"t")+COUNTIF($E69:H69,"¶")+COUNTIF($E69:H69,"²")+COUNTIF($E69:H69,"µ")+COUNTIF($E69:H69,1),ColDescriptionCourte)),""),
  "")),"")</f>
        <v/>
      </c>
      <c r="J69" s="40" t="str">
        <f ca="1">IFERROR(IF(AND(
  INDEX(Roadmap!$D:$K,MATCH($E69,Roadmap!$D:$D,0)+COUNTIF($E69:I69,"u")+COUNTIF($E69:I69,"t")+COUNTIF($E69:I69,"¶")+COUNTIF($E69:I69,"²")+COUNTIF($E69:I69,"µ")+COUNTIF($E69:I69,1),ColLivraison)=J$6,
  VLOOKUP($E69,INDIRECT("tri!"&amp; CHAR(64+ C0Col) &amp;":"&amp; CHAR(65+C0Col)),2,FALSE)&gt;COUNTIF($E69:I69,"u")+COUNTIF($E69:I69,"t")+COUNTIF($E69:I69,"¶")+COUNTIF($E69:I69,"²")+COUNTIF($E69:I69,"µ")+COUNTIF($E69:I69,1)),
HYPERLINK("#Roadmap!C"&amp; MATCH($E69,Roadmap!$D:$D,0)+COUNTIF($E69:I69,"u")+COUNTIF($E69:I69,"t"),
     INDEX(Roadmap!$D:$K,MATCH($E69,Roadmap!$D:$D,0)+COUNTIF($E69:I69,"u")+COUNTIF($E69:I69,"t")+COUNTIF($E69:I69,"¶")+COUNTIF($E69:I69,"²")+COUNTIF($E69:I69,"µ")+COUNTIF($E69:I69,1),ColTypeEcheance)),
  IF(LEN(I69)=1,
  IF(LEN(INDEX(Roadmap!$D:$K,MATCH($E69,Roadmap!$D:$D,0)-1+COUNTIF($E69:I69,"u")+COUNTIF($E69:I69,"t")+COUNTIF($E69:I69,"¶")+COUNTIF($E69:I69,"²")+COUNTIF($E69:I69,"µ")+COUNTIF($E69:I69,1),ColDescriptionCourte))&gt;1,
HYPERLINK("#Roadmap!C"&amp; MATCH($E69,Roadmap!$D:$D,0)+COUNTIF($E69:I69,"u")+COUNTIF($E69:I69,"t")+COUNTIF($E69:I69,"¶")+COUNTIF($E69:I69,"²")+COUNTIF($E69:I69,"µ")+COUNTIF($E69:I69,1)-1,INDEX(Roadmap!$D:$K,MATCH($E69,Roadmap!$D:$D,0)-1+COUNTIF($E69:I69,"u")+COUNTIF($E69:I69,"t")+COUNTIF($E69:I69,"¶")+COUNTIF($E69:I69,"²")+COUNTIF($E69:I69,"µ")+COUNTIF($E69:I69,1),ColDescriptionCourte)),""),
  "")),"")</f>
        <v/>
      </c>
      <c r="K69" s="40" t="str">
        <f ca="1">IFERROR(IF(AND(
  INDEX(Roadmap!$D:$K,MATCH($E69,Roadmap!$D:$D,0)+COUNTIF($E69:J69,"u")+COUNTIF($E69:J69,"t")+COUNTIF($E69:J69,"¶")+COUNTIF($E69:J69,"²")+COUNTIF($E69:J69,"µ")+COUNTIF($E69:J69,1),ColLivraison)=K$6,
  VLOOKUP($E69,INDIRECT("tri!"&amp; CHAR(64+ C0Col) &amp;":"&amp; CHAR(65+C0Col)),2,FALSE)&gt;COUNTIF($E69:J69,"u")+COUNTIF($E69:J69,"t")+COUNTIF($E69:J69,"¶")+COUNTIF($E69:J69,"²")+COUNTIF($E69:J69,"µ")+COUNTIF($E69:J69,1)),
HYPERLINK("#Roadmap!C"&amp; MATCH($E69,Roadmap!$D:$D,0)+COUNTIF($E69:J69,"u")+COUNTIF($E69:J69,"t"),
     INDEX(Roadmap!$D:$K,MATCH($E69,Roadmap!$D:$D,0)+COUNTIF($E69:J69,"u")+COUNTIF($E69:J69,"t")+COUNTIF($E69:J69,"¶")+COUNTIF($E69:J69,"²")+COUNTIF($E69:J69,"µ")+COUNTIF($E69:J69,1),ColTypeEcheance)),
  IF(LEN(J69)=1,
  IF(LEN(INDEX(Roadmap!$D:$K,MATCH($E69,Roadmap!$D:$D,0)-1+COUNTIF($E69:J69,"u")+COUNTIF($E69:J69,"t")+COUNTIF($E69:J69,"¶")+COUNTIF($E69:J69,"²")+COUNTIF($E69:J69,"µ")+COUNTIF($E69:J69,1),ColDescriptionCourte))&gt;1,
HYPERLINK("#Roadmap!C"&amp; MATCH($E69,Roadmap!$D:$D,0)+COUNTIF($E69:J69,"u")+COUNTIF($E69:J69,"t")+COUNTIF($E69:J69,"¶")+COUNTIF($E69:J69,"²")+COUNTIF($E69:J69,"µ")+COUNTIF($E69:J69,1)-1,INDEX(Roadmap!$D:$K,MATCH($E69,Roadmap!$D:$D,0)-1+COUNTIF($E69:J69,"u")+COUNTIF($E69:J69,"t")+COUNTIF($E69:J69,"¶")+COUNTIF($E69:J69,"²")+COUNTIF($E69:J69,"µ")+COUNTIF($E69:J69,1),ColDescriptionCourte)),""),
  "")),"")</f>
        <v/>
      </c>
      <c r="L69" s="39" t="str">
        <f ca="1">IFERROR(IF(AND(
  INDEX(Roadmap!$D:$K,MATCH($E69,Roadmap!$D:$D,0)+COUNTIF($E69:K69,"u")+COUNTIF($E69:K69,"t")+COUNTIF($E69:K69,"¶")+COUNTIF($E69:K69,"²")+COUNTIF($E69:K69,"µ")+COUNTIF($E69:K69,1),ColLivraison)=L$6,
  VLOOKUP($E69,INDIRECT("tri!"&amp; CHAR(64+ C0Col) &amp;":"&amp; CHAR(65+C0Col)),2,FALSE)&gt;COUNTIF($E69:K69,"u")+COUNTIF($E69:K69,"t")+COUNTIF($E69:K69,"¶")+COUNTIF($E69:K69,"²")+COUNTIF($E69:K69,"µ")+COUNTIF($E69:K69,1)),
HYPERLINK("#Roadmap!C"&amp; MATCH($E69,Roadmap!$D:$D,0)+COUNTIF($E69:K69,"u")+COUNTIF($E69:K69,"t"),
     INDEX(Roadmap!$D:$K,MATCH($E69,Roadmap!$D:$D,0)+COUNTIF($E69:K69,"u")+COUNTIF($E69:K69,"t")+COUNTIF($E69:K69,"¶")+COUNTIF($E69:K69,"²")+COUNTIF($E69:K69,"µ")+COUNTIF($E69:K69,1),ColTypeEcheance)),
  IF(LEN(K69)=1,
  IF(LEN(INDEX(Roadmap!$D:$K,MATCH($E69,Roadmap!$D:$D,0)-1+COUNTIF($E69:K69,"u")+COUNTIF($E69:K69,"t")+COUNTIF($E69:K69,"¶")+COUNTIF($E69:K69,"²")+COUNTIF($E69:K69,"µ")+COUNTIF($E69:K69,1),ColDescriptionCourte))&gt;1,
HYPERLINK("#Roadmap!C"&amp; MATCH($E69,Roadmap!$D:$D,0)+COUNTIF($E69:K69,"u")+COUNTIF($E69:K69,"t")+COUNTIF($E69:K69,"¶")+COUNTIF($E69:K69,"²")+COUNTIF($E69:K69,"µ")+COUNTIF($E69:K69,1)-1,INDEX(Roadmap!$D:$K,MATCH($E69,Roadmap!$D:$D,0)-1+COUNTIF($E69:K69,"u")+COUNTIF($E69:K69,"t")+COUNTIF($E69:K69,"¶")+COUNTIF($E69:K69,"²")+COUNTIF($E69:K69,"µ")+COUNTIF($E69:K69,1),ColDescriptionCourte)),""),
  "")),"")</f>
        <v/>
      </c>
      <c r="M69" s="40" t="str">
        <f ca="1">IFERROR(IF(AND(
  INDEX(Roadmap!$D:$K,MATCH($E69,Roadmap!$D:$D,0)+COUNTIF($E69:L69,"u")+COUNTIF($E69:L69,"t")+COUNTIF($E69:L69,"¶")+COUNTIF($E69:L69,"²")+COUNTIF($E69:L69,"µ")+COUNTIF($E69:L69,1),ColLivraison)=M$6,
  VLOOKUP($E69,INDIRECT("tri!"&amp; CHAR(64+ C0Col) &amp;":"&amp; CHAR(65+C0Col)),2,FALSE)&gt;COUNTIF($E69:L69,"u")+COUNTIF($E69:L69,"t")+COUNTIF($E69:L69,"¶")+COUNTIF($E69:L69,"²")+COUNTIF($E69:L69,"µ")+COUNTIF($E69:L69,1)),
HYPERLINK("#Roadmap!C"&amp; MATCH($E69,Roadmap!$D:$D,0)+COUNTIF($E69:L69,"u")+COUNTIF($E69:L69,"t"),
     INDEX(Roadmap!$D:$K,MATCH($E69,Roadmap!$D:$D,0)+COUNTIF($E69:L69,"u")+COUNTIF($E69:L69,"t")+COUNTIF($E69:L69,"¶")+COUNTIF($E69:L69,"²")+COUNTIF($E69:L69,"µ")+COUNTIF($E69:L69,1),ColTypeEcheance)),
  IF(LEN(L69)=1,
  IF(LEN(INDEX(Roadmap!$D:$K,MATCH($E69,Roadmap!$D:$D,0)-1+COUNTIF($E69:L69,"u")+COUNTIF($E69:L69,"t")+COUNTIF($E69:L69,"¶")+COUNTIF($E69:L69,"²")+COUNTIF($E69:L69,"µ")+COUNTIF($E69:L69,1),ColDescriptionCourte))&gt;1,
HYPERLINK("#Roadmap!C"&amp; MATCH($E69,Roadmap!$D:$D,0)+COUNTIF($E69:L69,"u")+COUNTIF($E69:L69,"t")+COUNTIF($E69:L69,"¶")+COUNTIF($E69:L69,"²")+COUNTIF($E69:L69,"µ")+COUNTIF($E69:L69,1)-1,INDEX(Roadmap!$D:$K,MATCH($E69,Roadmap!$D:$D,0)-1+COUNTIF($E69:L69,"u")+COUNTIF($E69:L69,"t")+COUNTIF($E69:L69,"¶")+COUNTIF($E69:L69,"²")+COUNTIF($E69:L69,"µ")+COUNTIF($E69:L69,1),ColDescriptionCourte)),""),
  "")),"")</f>
        <v/>
      </c>
      <c r="N69" s="40" t="str">
        <f ca="1">IFERROR(IF(AND(
  INDEX(Roadmap!$D:$K,MATCH($E69,Roadmap!$D:$D,0)+COUNTIF($E69:M69,"u")+COUNTIF($E69:M69,"t")+COUNTIF($E69:M69,"¶")+COUNTIF($E69:M69,"²")+COUNTIF($E69:M69,"µ")+COUNTIF($E69:M69,1),ColLivraison)=N$6,
  VLOOKUP($E69,INDIRECT("tri!"&amp; CHAR(64+ C0Col) &amp;":"&amp; CHAR(65+C0Col)),2,FALSE)&gt;COUNTIF($E69:M69,"u")+COUNTIF($E69:M69,"t")+COUNTIF($E69:M69,"¶")+COUNTIF($E69:M69,"²")+COUNTIF($E69:M69,"µ")+COUNTIF($E69:M69,1)),
HYPERLINK("#Roadmap!C"&amp; MATCH($E69,Roadmap!$D:$D,0)+COUNTIF($E69:M69,"u")+COUNTIF($E69:M69,"t"),
     INDEX(Roadmap!$D:$K,MATCH($E69,Roadmap!$D:$D,0)+COUNTIF($E69:M69,"u")+COUNTIF($E69:M69,"t")+COUNTIF($E69:M69,"¶")+COUNTIF($E69:M69,"²")+COUNTIF($E69:M69,"µ")+COUNTIF($E69:M69,1),ColTypeEcheance)),
  IF(LEN(M69)=1,
  IF(LEN(INDEX(Roadmap!$D:$K,MATCH($E69,Roadmap!$D:$D,0)-1+COUNTIF($E69:M69,"u")+COUNTIF($E69:M69,"t")+COUNTIF($E69:M69,"¶")+COUNTIF($E69:M69,"²")+COUNTIF($E69:M69,"µ")+COUNTIF($E69:M69,1),ColDescriptionCourte))&gt;1,
HYPERLINK("#Roadmap!C"&amp; MATCH($E69,Roadmap!$D:$D,0)+COUNTIF($E69:M69,"u")+COUNTIF($E69:M69,"t")+COUNTIF($E69:M69,"¶")+COUNTIF($E69:M69,"²")+COUNTIF($E69:M69,"µ")+COUNTIF($E69:M69,1)-1,INDEX(Roadmap!$D:$K,MATCH($E69,Roadmap!$D:$D,0)-1+COUNTIF($E69:M69,"u")+COUNTIF($E69:M69,"t")+COUNTIF($E69:M69,"¶")+COUNTIF($E69:M69,"²")+COUNTIF($E69:M69,"µ")+COUNTIF($E69:M69,1),ColDescriptionCourte)),""),
  "")),"")</f>
        <v/>
      </c>
      <c r="O69" s="40" t="str">
        <f ca="1">IFERROR(IF(AND(
  INDEX(Roadmap!$D:$K,MATCH($E69,Roadmap!$D:$D,0)+COUNTIF($E69:N69,"u")+COUNTIF($E69:N69,"t")+COUNTIF($E69:N69,"¶")+COUNTIF($E69:N69,"²")+COUNTIF($E69:N69,"µ")+COUNTIF($E69:N69,1),ColLivraison)=O$6,
  VLOOKUP($E69,INDIRECT("tri!"&amp; CHAR(64+ C0Col) &amp;":"&amp; CHAR(65+C0Col)),2,FALSE)&gt;COUNTIF($E69:N69,"u")+COUNTIF($E69:N69,"t")+COUNTIF($E69:N69,"¶")+COUNTIF($E69:N69,"²")+COUNTIF($E69:N69,"µ")+COUNTIF($E69:N69,1)),
HYPERLINK("#Roadmap!C"&amp; MATCH($E69,Roadmap!$D:$D,0)+COUNTIF($E69:N69,"u")+COUNTIF($E69:N69,"t"),
     INDEX(Roadmap!$D:$K,MATCH($E69,Roadmap!$D:$D,0)+COUNTIF($E69:N69,"u")+COUNTIF($E69:N69,"t")+COUNTIF($E69:N69,"¶")+COUNTIF($E69:N69,"²")+COUNTIF($E69:N69,"µ")+COUNTIF($E69:N69,1),ColTypeEcheance)),
  IF(LEN(N69)=1,
  IF(LEN(INDEX(Roadmap!$D:$K,MATCH($E69,Roadmap!$D:$D,0)-1+COUNTIF($E69:N69,"u")+COUNTIF($E69:N69,"t")+COUNTIF($E69:N69,"¶")+COUNTIF($E69:N69,"²")+COUNTIF($E69:N69,"µ")+COUNTIF($E69:N69,1),ColDescriptionCourte))&gt;1,
HYPERLINK("#Roadmap!C"&amp; MATCH($E69,Roadmap!$D:$D,0)+COUNTIF($E69:N69,"u")+COUNTIF($E69:N69,"t")+COUNTIF($E69:N69,"¶")+COUNTIF($E69:N69,"²")+COUNTIF($E69:N69,"µ")+COUNTIF($E69:N69,1)-1,INDEX(Roadmap!$D:$K,MATCH($E69,Roadmap!$D:$D,0)-1+COUNTIF($E69:N69,"u")+COUNTIF($E69:N69,"t")+COUNTIF($E69:N69,"¶")+COUNTIF($E69:N69,"²")+COUNTIF($E69:N69,"µ")+COUNTIF($E69:N69,1),ColDescriptionCourte)),""),
  "")),"")</f>
        <v/>
      </c>
      <c r="P69" s="40" t="str">
        <f ca="1">IFERROR(IF(AND(
  INDEX(Roadmap!$D:$K,MATCH($E69,Roadmap!$D:$D,0)+COUNTIF($E69:O69,"u")+COUNTIF($E69:O69,"t")+COUNTIF($E69:O69,"¶")+COUNTIF($E69:O69,"²")+COUNTIF($E69:O69,"µ")+COUNTIF($E69:O69,1),ColLivraison)=P$6,
  VLOOKUP($E69,INDIRECT("tri!"&amp; CHAR(64+ C0Col) &amp;":"&amp; CHAR(65+C0Col)),2,FALSE)&gt;COUNTIF($E69:O69,"u")+COUNTIF($E69:O69,"t")+COUNTIF($E69:O69,"¶")+COUNTIF($E69:O69,"²")+COUNTIF($E69:O69,"µ")+COUNTIF($E69:O69,1)),
HYPERLINK("#Roadmap!C"&amp; MATCH($E69,Roadmap!$D:$D,0)+COUNTIF($E69:O69,"u")+COUNTIF($E69:O69,"t"),
     INDEX(Roadmap!$D:$K,MATCH($E69,Roadmap!$D:$D,0)+COUNTIF($E69:O69,"u")+COUNTIF($E69:O69,"t")+COUNTIF($E69:O69,"¶")+COUNTIF($E69:O69,"²")+COUNTIF($E69:O69,"µ")+COUNTIF($E69:O69,1),ColTypeEcheance)),
  IF(LEN(O69)=1,
  IF(LEN(INDEX(Roadmap!$D:$K,MATCH($E69,Roadmap!$D:$D,0)-1+COUNTIF($E69:O69,"u")+COUNTIF($E69:O69,"t")+COUNTIF($E69:O69,"¶")+COUNTIF($E69:O69,"²")+COUNTIF($E69:O69,"µ")+COUNTIF($E69:O69,1),ColDescriptionCourte))&gt;1,
HYPERLINK("#Roadmap!C"&amp; MATCH($E69,Roadmap!$D:$D,0)+COUNTIF($E69:O69,"u")+COUNTIF($E69:O69,"t")+COUNTIF($E69:O69,"¶")+COUNTIF($E69:O69,"²")+COUNTIF($E69:O69,"µ")+COUNTIF($E69:O69,1)-1,INDEX(Roadmap!$D:$K,MATCH($E69,Roadmap!$D:$D,0)-1+COUNTIF($E69:O69,"u")+COUNTIF($E69:O69,"t")+COUNTIF($E69:O69,"¶")+COUNTIF($E69:O69,"²")+COUNTIF($E69:O69,"µ")+COUNTIF($E69:O69,1),ColDescriptionCourte)),""),
  "")),"")</f>
        <v/>
      </c>
      <c r="Q69" s="40" t="str">
        <f ca="1">IFERROR(IF(AND(
  INDEX(Roadmap!$D:$K,MATCH($E69,Roadmap!$D:$D,0)+COUNTIF($E69:P69,"u")+COUNTIF($E69:P69,"t")+COUNTIF($E69:P69,"¶")+COUNTIF($E69:P69,"²")+COUNTIF($E69:P69,"µ")+COUNTIF($E69:P69,1),ColLivraison)=Q$6,
  VLOOKUP($E69,INDIRECT("tri!"&amp; CHAR(64+ C0Col) &amp;":"&amp; CHAR(65+C0Col)),2,FALSE)&gt;COUNTIF($E69:P69,"u")+COUNTIF($E69:P69,"t")+COUNTIF($E69:P69,"¶")+COUNTIF($E69:P69,"²")+COUNTIF($E69:P69,"µ")+COUNTIF($E69:P69,1)),
HYPERLINK("#Roadmap!C"&amp; MATCH($E69,Roadmap!$D:$D,0)+COUNTIF($E69:P69,"u")+COUNTIF($E69:P69,"t"),
     INDEX(Roadmap!$D:$K,MATCH($E69,Roadmap!$D:$D,0)+COUNTIF($E69:P69,"u")+COUNTIF($E69:P69,"t")+COUNTIF($E69:P69,"¶")+COUNTIF($E69:P69,"²")+COUNTIF($E69:P69,"µ")+COUNTIF($E69:P69,1),ColTypeEcheance)),
  IF(LEN(P69)=1,
  IF(LEN(INDEX(Roadmap!$D:$K,MATCH($E69,Roadmap!$D:$D,0)-1+COUNTIF($E69:P69,"u")+COUNTIF($E69:P69,"t")+COUNTIF($E69:P69,"¶")+COUNTIF($E69:P69,"²")+COUNTIF($E69:P69,"µ")+COUNTIF($E69:P69,1),ColDescriptionCourte))&gt;1,
HYPERLINK("#Roadmap!C"&amp; MATCH($E69,Roadmap!$D:$D,0)+COUNTIF($E69:P69,"u")+COUNTIF($E69:P69,"t")+COUNTIF($E69:P69,"¶")+COUNTIF($E69:P69,"²")+COUNTIF($E69:P69,"µ")+COUNTIF($E69:P69,1)-1,INDEX(Roadmap!$D:$K,MATCH($E69,Roadmap!$D:$D,0)-1+COUNTIF($E69:P69,"u")+COUNTIF($E69:P69,"t")+COUNTIF($E69:P69,"¶")+COUNTIF($E69:P69,"²")+COUNTIF($E69:P69,"µ")+COUNTIF($E69:P69,1),ColDescriptionCourte)),""),
  "")),"")</f>
        <v/>
      </c>
      <c r="R69" s="40" t="str">
        <f ca="1">IFERROR(IF(AND(
  INDEX(Roadmap!$D:$K,MATCH($E69,Roadmap!$D:$D,0)+COUNTIF($E69:Q69,"u")+COUNTIF($E69:Q69,"t")+COUNTIF($E69:Q69,"¶")+COUNTIF($E69:Q69,"²")+COUNTIF($E69:Q69,"µ")+COUNTIF($E69:Q69,1),ColLivraison)=R$6,
  VLOOKUP($E69,INDIRECT("tri!"&amp; CHAR(64+ C0Col) &amp;":"&amp; CHAR(65+C0Col)),2,FALSE)&gt;COUNTIF($E69:Q69,"u")+COUNTIF($E69:Q69,"t")+COUNTIF($E69:Q69,"¶")+COUNTIF($E69:Q69,"²")+COUNTIF($E69:Q69,"µ")+COUNTIF($E69:Q69,1)),
HYPERLINK("#Roadmap!C"&amp; MATCH($E69,Roadmap!$D:$D,0)+COUNTIF($E69:Q69,"u")+COUNTIF($E69:Q69,"t"),
     INDEX(Roadmap!$D:$K,MATCH($E69,Roadmap!$D:$D,0)+COUNTIF($E69:Q69,"u")+COUNTIF($E69:Q69,"t")+COUNTIF($E69:Q69,"¶")+COUNTIF($E69:Q69,"²")+COUNTIF($E69:Q69,"µ")+COUNTIF($E69:Q69,1),ColTypeEcheance)),
  IF(LEN(Q69)=1,
  IF(LEN(INDEX(Roadmap!$D:$K,MATCH($E69,Roadmap!$D:$D,0)-1+COUNTIF($E69:Q69,"u")+COUNTIF($E69:Q69,"t")+COUNTIF($E69:Q69,"¶")+COUNTIF($E69:Q69,"²")+COUNTIF($E69:Q69,"µ")+COUNTIF($E69:Q69,1),ColDescriptionCourte))&gt;1,
HYPERLINK("#Roadmap!C"&amp; MATCH($E69,Roadmap!$D:$D,0)+COUNTIF($E69:Q69,"u")+COUNTIF($E69:Q69,"t")+COUNTIF($E69:Q69,"¶")+COUNTIF($E69:Q69,"²")+COUNTIF($E69:Q69,"µ")+COUNTIF($E69:Q69,1)-1,INDEX(Roadmap!$D:$K,MATCH($E69,Roadmap!$D:$D,0)-1+COUNTIF($E69:Q69,"u")+COUNTIF($E69:Q69,"t")+COUNTIF($E69:Q69,"¶")+COUNTIF($E69:Q69,"²")+COUNTIF($E69:Q69,"µ")+COUNTIF($E69:Q69,1),ColDescriptionCourte)),""),
  "")),"")</f>
        <v/>
      </c>
      <c r="S69" s="40" t="str">
        <f ca="1">IFERROR(IF(AND(
  INDEX(Roadmap!$D:$K,MATCH($E69,Roadmap!$D:$D,0)+COUNTIF($E69:R69,"u")+COUNTIF($E69:R69,"t")+COUNTIF($E69:R69,"¶")+COUNTIF($E69:R69,"²")+COUNTIF($E69:R69,"µ")+COUNTIF($E69:R69,1),ColLivraison)=S$6,
  VLOOKUP($E69,INDIRECT("tri!"&amp; CHAR(64+ C0Col) &amp;":"&amp; CHAR(65+C0Col)),2,FALSE)&gt;COUNTIF($E69:R69,"u")+COUNTIF($E69:R69,"t")+COUNTIF($E69:R69,"¶")+COUNTIF($E69:R69,"²")+COUNTIF($E69:R69,"µ")+COUNTIF($E69:R69,1)),
HYPERLINK("#Roadmap!C"&amp; MATCH($E69,Roadmap!$D:$D,0)+COUNTIF($E69:R69,"u")+COUNTIF($E69:R69,"t"),
     INDEX(Roadmap!$D:$K,MATCH($E69,Roadmap!$D:$D,0)+COUNTIF($E69:R69,"u")+COUNTIF($E69:R69,"t")+COUNTIF($E69:R69,"¶")+COUNTIF($E69:R69,"²")+COUNTIF($E69:R69,"µ")+COUNTIF($E69:R69,1),ColTypeEcheance)),
  IF(LEN(R69)=1,
  IF(LEN(INDEX(Roadmap!$D:$K,MATCH($E69,Roadmap!$D:$D,0)-1+COUNTIF($E69:R69,"u")+COUNTIF($E69:R69,"t")+COUNTIF($E69:R69,"¶")+COUNTIF($E69:R69,"²")+COUNTIF($E69:R69,"µ")+COUNTIF($E69:R69,1),ColDescriptionCourte))&gt;1,
HYPERLINK("#Roadmap!C"&amp; MATCH($E69,Roadmap!$D:$D,0)+COUNTIF($E69:R69,"u")+COUNTIF($E69:R69,"t")+COUNTIF($E69:R69,"¶")+COUNTIF($E69:R69,"²")+COUNTIF($E69:R69,"µ")+COUNTIF($E69:R69,1)-1,INDEX(Roadmap!$D:$K,MATCH($E69,Roadmap!$D:$D,0)-1+COUNTIF($E69:R69,"u")+COUNTIF($E69:R69,"t")+COUNTIF($E69:R69,"¶")+COUNTIF($E69:R69,"²")+COUNTIF($E69:R69,"µ")+COUNTIF($E69:R69,1),ColDescriptionCourte)),""),
  "")),"")</f>
        <v/>
      </c>
      <c r="T69" s="40" t="str">
        <f ca="1">IFERROR(IF(AND(
  INDEX(Roadmap!$D:$K,MATCH($E69,Roadmap!$D:$D,0)+COUNTIF($E69:S69,"u")+COUNTIF($E69:S69,"t")+COUNTIF($E69:S69,"¶")+COUNTIF($E69:S69,"²")+COUNTIF($E69:S69,"µ")+COUNTIF($E69:S69,1),ColLivraison)=T$6,
  VLOOKUP($E69,INDIRECT("tri!"&amp; CHAR(64+ C0Col) &amp;":"&amp; CHAR(65+C0Col)),2,FALSE)&gt;COUNTIF($E69:S69,"u")+COUNTIF($E69:S69,"t")+COUNTIF($E69:S69,"¶")+COUNTIF($E69:S69,"²")+COUNTIF($E69:S69,"µ")+COUNTIF($E69:S69,1)),
HYPERLINK("#Roadmap!C"&amp; MATCH($E69,Roadmap!$D:$D,0)+COUNTIF($E69:S69,"u")+COUNTIF($E69:S69,"t"),
     INDEX(Roadmap!$D:$K,MATCH($E69,Roadmap!$D:$D,0)+COUNTIF($E69:S69,"u")+COUNTIF($E69:S69,"t")+COUNTIF($E69:S69,"¶")+COUNTIF($E69:S69,"²")+COUNTIF($E69:S69,"µ")+COUNTIF($E69:S69,1),ColTypeEcheance)),
  IF(LEN(S69)=1,
  IF(LEN(INDEX(Roadmap!$D:$K,MATCH($E69,Roadmap!$D:$D,0)-1+COUNTIF($E69:S69,"u")+COUNTIF($E69:S69,"t")+COUNTIF($E69:S69,"¶")+COUNTIF($E69:S69,"²")+COUNTIF($E69:S69,"µ")+COUNTIF($E69:S69,1),ColDescriptionCourte))&gt;1,
HYPERLINK("#Roadmap!C"&amp; MATCH($E69,Roadmap!$D:$D,0)+COUNTIF($E69:S69,"u")+COUNTIF($E69:S69,"t")+COUNTIF($E69:S69,"¶")+COUNTIF($E69:S69,"²")+COUNTIF($E69:S69,"µ")+COUNTIF($E69:S69,1)-1,INDEX(Roadmap!$D:$K,MATCH($E69,Roadmap!$D:$D,0)-1+COUNTIF($E69:S69,"u")+COUNTIF($E69:S69,"t")+COUNTIF($E69:S69,"¶")+COUNTIF($E69:S69,"²")+COUNTIF($E69:S69,"µ")+COUNTIF($E69:S69,1),ColDescriptionCourte)),""),
  "")),"")</f>
        <v/>
      </c>
      <c r="U69" s="40" t="str">
        <f ca="1">IFERROR(IF(AND(
  INDEX(Roadmap!$D:$K,MATCH($E69,Roadmap!$D:$D,0)+COUNTIF($E69:T69,"u")+COUNTIF($E69:T69,"t")+COUNTIF($E69:T69,"¶")+COUNTIF($E69:T69,"²")+COUNTIF($E69:T69,"µ")+COUNTIF($E69:T69,1),ColLivraison)=U$6,
  VLOOKUP($E69,INDIRECT("tri!"&amp; CHAR(64+ C0Col) &amp;":"&amp; CHAR(65+C0Col)),2,FALSE)&gt;COUNTIF($E69:T69,"u")+COUNTIF($E69:T69,"t")+COUNTIF($E69:T69,"¶")+COUNTIF($E69:T69,"²")+COUNTIF($E69:T69,"µ")+COUNTIF($E69:T69,1)),
HYPERLINK("#Roadmap!C"&amp; MATCH($E69,Roadmap!$D:$D,0)+COUNTIF($E69:T69,"u")+COUNTIF($E69:T69,"t"),
     INDEX(Roadmap!$D:$K,MATCH($E69,Roadmap!$D:$D,0)+COUNTIF($E69:T69,"u")+COUNTIF($E69:T69,"t")+COUNTIF($E69:T69,"¶")+COUNTIF($E69:T69,"²")+COUNTIF($E69:T69,"µ")+COUNTIF($E69:T69,1),ColTypeEcheance)),
  IF(LEN(T69)=1,
  IF(LEN(INDEX(Roadmap!$D:$K,MATCH($E69,Roadmap!$D:$D,0)-1+COUNTIF($E69:T69,"u")+COUNTIF($E69:T69,"t")+COUNTIF($E69:T69,"¶")+COUNTIF($E69:T69,"²")+COUNTIF($E69:T69,"µ")+COUNTIF($E69:T69,1),ColDescriptionCourte))&gt;1,
HYPERLINK("#Roadmap!C"&amp; MATCH($E69,Roadmap!$D:$D,0)+COUNTIF($E69:T69,"u")+COUNTIF($E69:T69,"t")+COUNTIF($E69:T69,"¶")+COUNTIF($E69:T69,"²")+COUNTIF($E69:T69,"µ")+COUNTIF($E69:T69,1)-1,INDEX(Roadmap!$D:$K,MATCH($E69,Roadmap!$D:$D,0)-1+COUNTIF($E69:T69,"u")+COUNTIF($E69:T69,"t")+COUNTIF($E69:T69,"¶")+COUNTIF($E69:T69,"²")+COUNTIF($E69:T69,"µ")+COUNTIF($E69:T69,1),ColDescriptionCourte)),""),
  "")),"")</f>
        <v/>
      </c>
      <c r="V69" s="40" t="str">
        <f ca="1">IFERROR(IF(AND(
  INDEX(Roadmap!$D:$K,MATCH($E69,Roadmap!$D:$D,0)+COUNTIF($E69:U69,"u")+COUNTIF($E69:U69,"t")+COUNTIF($E69:U69,"¶")+COUNTIF($E69:U69,"²")+COUNTIF($E69:U69,"µ")+COUNTIF($E69:U69,1),ColLivraison)=V$6,
  VLOOKUP($E69,INDIRECT("tri!"&amp; CHAR(64+ C0Col) &amp;":"&amp; CHAR(65+C0Col)),2,FALSE)&gt;COUNTIF($E69:U69,"u")+COUNTIF($E69:U69,"t")+COUNTIF($E69:U69,"¶")+COUNTIF($E69:U69,"²")+COUNTIF($E69:U69,"µ")+COUNTIF($E69:U69,1)),
HYPERLINK("#Roadmap!C"&amp; MATCH($E69,Roadmap!$D:$D,0)+COUNTIF($E69:U69,"u")+COUNTIF($E69:U69,"t"),
     INDEX(Roadmap!$D:$K,MATCH($E69,Roadmap!$D:$D,0)+COUNTIF($E69:U69,"u")+COUNTIF($E69:U69,"t")+COUNTIF($E69:U69,"¶")+COUNTIF($E69:U69,"²")+COUNTIF($E69:U69,"µ")+COUNTIF($E69:U69,1),ColTypeEcheance)),
  IF(LEN(U69)=1,
  IF(LEN(INDEX(Roadmap!$D:$K,MATCH($E69,Roadmap!$D:$D,0)-1+COUNTIF($E69:U69,"u")+COUNTIF($E69:U69,"t")+COUNTIF($E69:U69,"¶")+COUNTIF($E69:U69,"²")+COUNTIF($E69:U69,"µ")+COUNTIF($E69:U69,1),ColDescriptionCourte))&gt;1,
HYPERLINK("#Roadmap!C"&amp; MATCH($E69,Roadmap!$D:$D,0)+COUNTIF($E69:U69,"u")+COUNTIF($E69:U69,"t")+COUNTIF($E69:U69,"¶")+COUNTIF($E69:U69,"²")+COUNTIF($E69:U69,"µ")+COUNTIF($E69:U69,1)-1,INDEX(Roadmap!$D:$K,MATCH($E69,Roadmap!$D:$D,0)-1+COUNTIF($E69:U69,"u")+COUNTIF($E69:U69,"t")+COUNTIF($E69:U69,"¶")+COUNTIF($E69:U69,"²")+COUNTIF($E69:U69,"µ")+COUNTIF($E69:U69,1),ColDescriptionCourte)),""),
  "")),"")</f>
        <v/>
      </c>
      <c r="W69" s="40" t="str">
        <f ca="1">IFERROR(IF(AND(
  INDEX(Roadmap!$D:$K,MATCH($E69,Roadmap!$D:$D,0)+COUNTIF($E69:V69,"u")+COUNTIF($E69:V69,"t")+COUNTIF($E69:V69,"¶")+COUNTIF($E69:V69,"²")+COUNTIF($E69:V69,"µ")+COUNTIF($E69:V69,1),ColLivraison)=W$6,
  VLOOKUP($E69,INDIRECT("tri!"&amp; CHAR(64+ C0Col) &amp;":"&amp; CHAR(65+C0Col)),2,FALSE)&gt;COUNTIF($E69:V69,"u")+COUNTIF($E69:V69,"t")+COUNTIF($E69:V69,"¶")+COUNTIF($E69:V69,"²")+COUNTIF($E69:V69,"µ")+COUNTIF($E69:V69,1)),
HYPERLINK("#Roadmap!C"&amp; MATCH($E69,Roadmap!$D:$D,0)+COUNTIF($E69:V69,"u")+COUNTIF($E69:V69,"t"),
     INDEX(Roadmap!$D:$K,MATCH($E69,Roadmap!$D:$D,0)+COUNTIF($E69:V69,"u")+COUNTIF($E69:V69,"t")+COUNTIF($E69:V69,"¶")+COUNTIF($E69:V69,"²")+COUNTIF($E69:V69,"µ")+COUNTIF($E69:V69,1),ColTypeEcheance)),
  IF(LEN(V69)=1,
  IF(LEN(INDEX(Roadmap!$D:$K,MATCH($E69,Roadmap!$D:$D,0)-1+COUNTIF($E69:V69,"u")+COUNTIF($E69:V69,"t")+COUNTIF($E69:V69,"¶")+COUNTIF($E69:V69,"²")+COUNTIF($E69:V69,"µ")+COUNTIF($E69:V69,1),ColDescriptionCourte))&gt;1,
HYPERLINK("#Roadmap!C"&amp; MATCH($E69,Roadmap!$D:$D,0)+COUNTIF($E69:V69,"u")+COUNTIF($E69:V69,"t")+COUNTIF($E69:V69,"¶")+COUNTIF($E69:V69,"²")+COUNTIF($E69:V69,"µ")+COUNTIF($E69:V69,1)-1,INDEX(Roadmap!$D:$K,MATCH($E69,Roadmap!$D:$D,0)-1+COUNTIF($E69:V69,"u")+COUNTIF($E69:V69,"t")+COUNTIF($E69:V69,"¶")+COUNTIF($E69:V69,"²")+COUNTIF($E69:V69,"µ")+COUNTIF($E69:V69,1),ColDescriptionCourte)),""),
  "")),"")</f>
        <v/>
      </c>
      <c r="X69" s="40" t="str">
        <f ca="1">IFERROR(IF(AND(
  INDEX(Roadmap!$D:$K,MATCH($E69,Roadmap!$D:$D,0)+COUNTIF($E69:W69,"u")+COUNTIF($E69:W69,"t")+COUNTIF($E69:W69,"¶")+COUNTIF($E69:W69,"²")+COUNTIF($E69:W69,"µ")+COUNTIF($E69:W69,1),ColLivraison)=X$6,
  VLOOKUP($E69,INDIRECT("tri!"&amp; CHAR(64+ C0Col) &amp;":"&amp; CHAR(65+C0Col)),2,FALSE)&gt;COUNTIF($E69:W69,"u")+COUNTIF($E69:W69,"t")+COUNTIF($E69:W69,"¶")+COUNTIF($E69:W69,"²")+COUNTIF($E69:W69,"µ")+COUNTIF($E69:W69,1)),
HYPERLINK("#Roadmap!C"&amp; MATCH($E69,Roadmap!$D:$D,0)+COUNTIF($E69:W69,"u")+COUNTIF($E69:W69,"t"),
     INDEX(Roadmap!$D:$K,MATCH($E69,Roadmap!$D:$D,0)+COUNTIF($E69:W69,"u")+COUNTIF($E69:W69,"t")+COUNTIF($E69:W69,"¶")+COUNTIF($E69:W69,"²")+COUNTIF($E69:W69,"µ")+COUNTIF($E69:W69,1),ColTypeEcheance)),
  IF(LEN(W69)=1,
  IF(LEN(INDEX(Roadmap!$D:$K,MATCH($E69,Roadmap!$D:$D,0)-1+COUNTIF($E69:W69,"u")+COUNTIF($E69:W69,"t")+COUNTIF($E69:W69,"¶")+COUNTIF($E69:W69,"²")+COUNTIF($E69:W69,"µ")+COUNTIF($E69:W69,1),ColDescriptionCourte))&gt;1,
HYPERLINK("#Roadmap!C"&amp; MATCH($E69,Roadmap!$D:$D,0)+COUNTIF($E69:W69,"u")+COUNTIF($E69:W69,"t")+COUNTIF($E69:W69,"¶")+COUNTIF($E69:W69,"²")+COUNTIF($E69:W69,"µ")+COUNTIF($E69:W69,1)-1,INDEX(Roadmap!$D:$K,MATCH($E69,Roadmap!$D:$D,0)-1+COUNTIF($E69:W69,"u")+COUNTIF($E69:W69,"t")+COUNTIF($E69:W69,"¶")+COUNTIF($E69:W69,"²")+COUNTIF($E69:W69,"µ")+COUNTIF($E69:W69,1),ColDescriptionCourte)),""),
  "")),"")</f>
        <v/>
      </c>
      <c r="Y69" s="40" t="str">
        <f ca="1">IFERROR(IF(AND(
  INDEX(Roadmap!$D:$K,MATCH($E69,Roadmap!$D:$D,0)+COUNTIF($E69:X69,"u")+COUNTIF($E69:X69,"t")+COUNTIF($E69:X69,"¶")+COUNTIF($E69:X69,"²")+COUNTIF($E69:X69,"µ")+COUNTIF($E69:X69,1),ColLivraison)=Y$6,
  VLOOKUP($E69,INDIRECT("tri!"&amp; CHAR(64+ C0Col) &amp;":"&amp; CHAR(65+C0Col)),2,FALSE)&gt;COUNTIF($E69:X69,"u")+COUNTIF($E69:X69,"t")+COUNTIF($E69:X69,"¶")+COUNTIF($E69:X69,"²")+COUNTIF($E69:X69,"µ")+COUNTIF($E69:X69,1)),
HYPERLINK("#Roadmap!C"&amp; MATCH($E69,Roadmap!$D:$D,0)+COUNTIF($E69:X69,"u")+COUNTIF($E69:X69,"t"),
     INDEX(Roadmap!$D:$K,MATCH($E69,Roadmap!$D:$D,0)+COUNTIF($E69:X69,"u")+COUNTIF($E69:X69,"t")+COUNTIF($E69:X69,"¶")+COUNTIF($E69:X69,"²")+COUNTIF($E69:X69,"µ")+COUNTIF($E69:X69,1),ColTypeEcheance)),
  IF(LEN(X69)=1,
  IF(LEN(INDEX(Roadmap!$D:$K,MATCH($E69,Roadmap!$D:$D,0)-1+COUNTIF($E69:X69,"u")+COUNTIF($E69:X69,"t")+COUNTIF($E69:X69,"¶")+COUNTIF($E69:X69,"²")+COUNTIF($E69:X69,"µ")+COUNTIF($E69:X69,1),ColDescriptionCourte))&gt;1,
HYPERLINK("#Roadmap!C"&amp; MATCH($E69,Roadmap!$D:$D,0)+COUNTIF($E69:X69,"u")+COUNTIF($E69:X69,"t")+COUNTIF($E69:X69,"¶")+COUNTIF($E69:X69,"²")+COUNTIF($E69:X69,"µ")+COUNTIF($E69:X69,1)-1,INDEX(Roadmap!$D:$K,MATCH($E69,Roadmap!$D:$D,0)-1+COUNTIF($E69:X69,"u")+COUNTIF($E69:X69,"t")+COUNTIF($E69:X69,"¶")+COUNTIF($E69:X69,"²")+COUNTIF($E69:X69,"µ")+COUNTIF($E69:X69,1),ColDescriptionCourte)),""),
  "")),"")</f>
        <v/>
      </c>
      <c r="Z69" s="40" t="str">
        <f ca="1">IFERROR(IF(AND(
  INDEX(Roadmap!$D:$K,MATCH($E69,Roadmap!$D:$D,0)+COUNTIF($E69:Y69,"u")+COUNTIF($E69:Y69,"t")+COUNTIF($E69:Y69,"¶")+COUNTIF($E69:Y69,"²")+COUNTIF($E69:Y69,"µ")+COUNTIF($E69:Y69,1),ColLivraison)=Z$6,
  VLOOKUP($E69,INDIRECT("tri!"&amp; CHAR(64+ C0Col) &amp;":"&amp; CHAR(65+C0Col)),2,FALSE)&gt;COUNTIF($E69:Y69,"u")+COUNTIF($E69:Y69,"t")+COUNTIF($E69:Y69,"¶")+COUNTIF($E69:Y69,"²")+COUNTIF($E69:Y69,"µ")+COUNTIF($E69:Y69,1)),
HYPERLINK("#Roadmap!C"&amp; MATCH($E69,Roadmap!$D:$D,0)+COUNTIF($E69:Y69,"u")+COUNTIF($E69:Y69,"t"),
     INDEX(Roadmap!$D:$K,MATCH($E69,Roadmap!$D:$D,0)+COUNTIF($E69:Y69,"u")+COUNTIF($E69:Y69,"t")+COUNTIF($E69:Y69,"¶")+COUNTIF($E69:Y69,"²")+COUNTIF($E69:Y69,"µ")+COUNTIF($E69:Y69,1),ColTypeEcheance)),
  IF(LEN(Y69)=1,
  IF(LEN(INDEX(Roadmap!$D:$K,MATCH($E69,Roadmap!$D:$D,0)-1+COUNTIF($E69:Y69,"u")+COUNTIF($E69:Y69,"t")+COUNTIF($E69:Y69,"¶")+COUNTIF($E69:Y69,"²")+COUNTIF($E69:Y69,"µ")+COUNTIF($E69:Y69,1),ColDescriptionCourte))&gt;1,
HYPERLINK("#Roadmap!C"&amp; MATCH($E69,Roadmap!$D:$D,0)+COUNTIF($E69:Y69,"u")+COUNTIF($E69:Y69,"t")+COUNTIF($E69:Y69,"¶")+COUNTIF($E69:Y69,"²")+COUNTIF($E69:Y69,"µ")+COUNTIF($E69:Y69,1)-1,INDEX(Roadmap!$D:$K,MATCH($E69,Roadmap!$D:$D,0)-1+COUNTIF($E69:Y69,"u")+COUNTIF($E69:Y69,"t")+COUNTIF($E69:Y69,"¶")+COUNTIF($E69:Y69,"²")+COUNTIF($E69:Y69,"µ")+COUNTIF($E69:Y69,1),ColDescriptionCourte)),""),
  "")),"")</f>
        <v/>
      </c>
      <c r="AA69" s="40" t="str">
        <f ca="1">IFERROR(IF(AND(
  INDEX(Roadmap!$D:$K,MATCH($E69,Roadmap!$D:$D,0)+COUNTIF($E69:Z69,"u")+COUNTIF($E69:Z69,"t")+COUNTIF($E69:Z69,"¶")+COUNTIF($E69:Z69,"²")+COUNTIF($E69:Z69,"µ")+COUNTIF($E69:Z69,1),ColLivraison)=AA$6,
  VLOOKUP($E69,INDIRECT("tri!"&amp; CHAR(64+ C0Col) &amp;":"&amp; CHAR(65+C0Col)),2,FALSE)&gt;COUNTIF($E69:Z69,"u")+COUNTIF($E69:Z69,"t")+COUNTIF($E69:Z69,"¶")+COUNTIF($E69:Z69,"²")+COUNTIF($E69:Z69,"µ")+COUNTIF($E69:Z69,1)),
HYPERLINK("#Roadmap!C"&amp; MATCH($E69,Roadmap!$D:$D,0)+COUNTIF($E69:Z69,"u")+COUNTIF($E69:Z69,"t"),
     INDEX(Roadmap!$D:$K,MATCH($E69,Roadmap!$D:$D,0)+COUNTIF($E69:Z69,"u")+COUNTIF($E69:Z69,"t")+COUNTIF($E69:Z69,"¶")+COUNTIF($E69:Z69,"²")+COUNTIF($E69:Z69,"µ")+COUNTIF($E69:Z69,1),ColTypeEcheance)),
  IF(LEN(Z69)=1,
  IF(LEN(INDEX(Roadmap!$D:$K,MATCH($E69,Roadmap!$D:$D,0)-1+COUNTIF($E69:Z69,"u")+COUNTIF($E69:Z69,"t")+COUNTIF($E69:Z69,"¶")+COUNTIF($E69:Z69,"²")+COUNTIF($E69:Z69,"µ")+COUNTIF($E69:Z69,1),ColDescriptionCourte))&gt;1,
HYPERLINK("#Roadmap!C"&amp; MATCH($E69,Roadmap!$D:$D,0)+COUNTIF($E69:Z69,"u")+COUNTIF($E69:Z69,"t")+COUNTIF($E69:Z69,"¶")+COUNTIF($E69:Z69,"²")+COUNTIF($E69:Z69,"µ")+COUNTIF($E69:Z69,1)-1,INDEX(Roadmap!$D:$K,MATCH($E69,Roadmap!$D:$D,0)-1+COUNTIF($E69:Z69,"u")+COUNTIF($E69:Z69,"t")+COUNTIF($E69:Z69,"¶")+COUNTIF($E69:Z69,"²")+COUNTIF($E69:Z69,"µ")+COUNTIF($E69:Z69,1),ColDescriptionCourte)),""),
  "")),"")</f>
        <v/>
      </c>
      <c r="AB69" s="40" t="str">
        <f ca="1">IFERROR(IF(AND(
  INDEX(Roadmap!$D:$K,MATCH($E69,Roadmap!$D:$D,0)+COUNTIF($E69:AA69,"u")+COUNTIF($E69:AA69,"t")+COUNTIF($E69:AA69,"¶")+COUNTIF($E69:AA69,"²")+COUNTIF($E69:AA69,"µ")+COUNTIF($E69:AA69,1),ColLivraison)=AB$6,
  VLOOKUP($E69,INDIRECT("tri!"&amp; CHAR(64+ C0Col) &amp;":"&amp; CHAR(65+C0Col)),2,FALSE)&gt;COUNTIF($E69:AA69,"u")+COUNTIF($E69:AA69,"t")+COUNTIF($E69:AA69,"¶")+COUNTIF($E69:AA69,"²")+COUNTIF($E69:AA69,"µ")+COUNTIF($E69:AA69,1)),
HYPERLINK("#Roadmap!C"&amp; MATCH($E69,Roadmap!$D:$D,0)+COUNTIF($E69:AA69,"u")+COUNTIF($E69:AA69,"t"),
     INDEX(Roadmap!$D:$K,MATCH($E69,Roadmap!$D:$D,0)+COUNTIF($E69:AA69,"u")+COUNTIF($E69:AA69,"t")+COUNTIF($E69:AA69,"¶")+COUNTIF($E69:AA69,"²")+COUNTIF($E69:AA69,"µ")+COUNTIF($E69:AA69,1),ColTypeEcheance)),
  IF(LEN(AA69)=1,
  IF(LEN(INDEX(Roadmap!$D:$K,MATCH($E69,Roadmap!$D:$D,0)-1+COUNTIF($E69:AA69,"u")+COUNTIF($E69:AA69,"t")+COUNTIF($E69:AA69,"¶")+COUNTIF($E69:AA69,"²")+COUNTIF($E69:AA69,"µ")+COUNTIF($E69:AA69,1),ColDescriptionCourte))&gt;1,
HYPERLINK("#Roadmap!C"&amp; MATCH($E69,Roadmap!$D:$D,0)+COUNTIF($E69:AA69,"u")+COUNTIF($E69:AA69,"t")+COUNTIF($E69:AA69,"¶")+COUNTIF($E69:AA69,"²")+COUNTIF($E69:AA69,"µ")+COUNTIF($E69:AA69,1)-1,INDEX(Roadmap!$D:$K,MATCH($E69,Roadmap!$D:$D,0)-1+COUNTIF($E69:AA69,"u")+COUNTIF($E69:AA69,"t")+COUNTIF($E69:AA69,"¶")+COUNTIF($E69:AA69,"²")+COUNTIF($E69:AA69,"µ")+COUNTIF($E69:AA69,1),ColDescriptionCourte)),""),
  "")),"")</f>
        <v/>
      </c>
      <c r="AC69" s="40" t="str">
        <f ca="1">IFERROR(IF(AND(
  INDEX(Roadmap!$D:$K,MATCH($E69,Roadmap!$D:$D,0)+COUNTIF($E69:AB69,"u")+COUNTIF($E69:AB69,"t")+COUNTIF($E69:AB69,"¶")+COUNTIF($E69:AB69,"²")+COUNTIF($E69:AB69,"µ")+COUNTIF($E69:AB69,1),ColLivraison)=AC$6,
  VLOOKUP($E69,INDIRECT("tri!"&amp; CHAR(64+ C0Col) &amp;":"&amp; CHAR(65+C0Col)),2,FALSE)&gt;COUNTIF($E69:AB69,"u")+COUNTIF($E69:AB69,"t")+COUNTIF($E69:AB69,"¶")+COUNTIF($E69:AB69,"²")+COUNTIF($E69:AB69,"µ")+COUNTIF($E69:AB69,1)),
HYPERLINK("#Roadmap!C"&amp; MATCH($E69,Roadmap!$D:$D,0)+COUNTIF($E69:AB69,"u")+COUNTIF($E69:AB69,"t"),
     INDEX(Roadmap!$D:$K,MATCH($E69,Roadmap!$D:$D,0)+COUNTIF($E69:AB69,"u")+COUNTIF($E69:AB69,"t")+COUNTIF($E69:AB69,"¶")+COUNTIF($E69:AB69,"²")+COUNTIF($E69:AB69,"µ")+COUNTIF($E69:AB69,1),ColTypeEcheance)),
  IF(LEN(AB69)=1,
  IF(LEN(INDEX(Roadmap!$D:$K,MATCH($E69,Roadmap!$D:$D,0)-1+COUNTIF($E69:AB69,"u")+COUNTIF($E69:AB69,"t")+COUNTIF($E69:AB69,"¶")+COUNTIF($E69:AB69,"²")+COUNTIF($E69:AB69,"µ")+COUNTIF($E69:AB69,1),ColDescriptionCourte))&gt;1,
HYPERLINK("#Roadmap!C"&amp; MATCH($E69,Roadmap!$D:$D,0)+COUNTIF($E69:AB69,"u")+COUNTIF($E69:AB69,"t")+COUNTIF($E69:AB69,"¶")+COUNTIF($E69:AB69,"²")+COUNTIF($E69:AB69,"µ")+COUNTIF($E69:AB69,1)-1,INDEX(Roadmap!$D:$K,MATCH($E69,Roadmap!$D:$D,0)-1+COUNTIF($E69:AB69,"u")+COUNTIF($E69:AB69,"t")+COUNTIF($E69:AB69,"¶")+COUNTIF($E69:AB69,"²")+COUNTIF($E69:AB69,"µ")+COUNTIF($E69:AB69,1),ColDescriptionCourte)),""),
  "")),"")</f>
        <v/>
      </c>
      <c r="AD69" s="40" t="str">
        <f ca="1">IFERROR(IF(AND(
  INDEX(Roadmap!$D:$K,MATCH($E69,Roadmap!$D:$D,0)+COUNTIF($E69:AC69,"u")+COUNTIF($E69:AC69,"t")+COUNTIF($E69:AC69,"¶")+COUNTIF($E69:AC69,"²")+COUNTIF($E69:AC69,"µ")+COUNTIF($E69:AC69,1),ColLivraison)=AD$6,
  VLOOKUP($E69,INDIRECT("tri!"&amp; CHAR(64+ C0Col) &amp;":"&amp; CHAR(65+C0Col)),2,FALSE)&gt;COUNTIF($E69:AC69,"u")+COUNTIF($E69:AC69,"t")+COUNTIF($E69:AC69,"¶")+COUNTIF($E69:AC69,"²")+COUNTIF($E69:AC69,"µ")+COUNTIF($E69:AC69,1)),
HYPERLINK("#Roadmap!C"&amp; MATCH($E69,Roadmap!$D:$D,0)+COUNTIF($E69:AC69,"u")+COUNTIF($E69:AC69,"t"),
     INDEX(Roadmap!$D:$K,MATCH($E69,Roadmap!$D:$D,0)+COUNTIF($E69:AC69,"u")+COUNTIF($E69:AC69,"t")+COUNTIF($E69:AC69,"¶")+COUNTIF($E69:AC69,"²")+COUNTIF($E69:AC69,"µ")+COUNTIF($E69:AC69,1),ColTypeEcheance)),
  IF(LEN(AC69)=1,
  IF(LEN(INDEX(Roadmap!$D:$K,MATCH($E69,Roadmap!$D:$D,0)-1+COUNTIF($E69:AC69,"u")+COUNTIF($E69:AC69,"t")+COUNTIF($E69:AC69,"¶")+COUNTIF($E69:AC69,"²")+COUNTIF($E69:AC69,"µ")+COUNTIF($E69:AC69,1),ColDescriptionCourte))&gt;1,
HYPERLINK("#Roadmap!C"&amp; MATCH($E69,Roadmap!$D:$D,0)+COUNTIF($E69:AC69,"u")+COUNTIF($E69:AC69,"t")+COUNTIF($E69:AC69,"¶")+COUNTIF($E69:AC69,"²")+COUNTIF($E69:AC69,"µ")+COUNTIF($E69:AC69,1)-1,INDEX(Roadmap!$D:$K,MATCH($E69,Roadmap!$D:$D,0)-1+COUNTIF($E69:AC69,"u")+COUNTIF($E69:AC69,"t")+COUNTIF($E69:AC69,"¶")+COUNTIF($E69:AC69,"²")+COUNTIF($E69:AC69,"µ")+COUNTIF($E69:AC69,1),ColDescriptionCourte)),""),
  "")),"")</f>
        <v/>
      </c>
      <c r="AE69" s="40" t="str">
        <f ca="1">IFERROR(IF(AND(
  INDEX(Roadmap!$D:$K,MATCH($E69,Roadmap!$D:$D,0)+COUNTIF($E69:AD69,"u")+COUNTIF($E69:AD69,"t")+COUNTIF($E69:AD69,"¶")+COUNTIF($E69:AD69,"²")+COUNTIF($E69:AD69,"µ")+COUNTIF($E69:AD69,1),ColLivraison)=AE$6,
  VLOOKUP($E69,INDIRECT("tri!"&amp; CHAR(64+ C0Col) &amp;":"&amp; CHAR(65+C0Col)),2,FALSE)&gt;COUNTIF($E69:AD69,"u")+COUNTIF($E69:AD69,"t")+COUNTIF($E69:AD69,"¶")+COUNTIF($E69:AD69,"²")+COUNTIF($E69:AD69,"µ")+COUNTIF($E69:AD69,1)),
HYPERLINK("#Roadmap!C"&amp; MATCH($E69,Roadmap!$D:$D,0)+COUNTIF($E69:AD69,"u")+COUNTIF($E69:AD69,"t"),
     INDEX(Roadmap!$D:$K,MATCH($E69,Roadmap!$D:$D,0)+COUNTIF($E69:AD69,"u")+COUNTIF($E69:AD69,"t")+COUNTIF($E69:AD69,"¶")+COUNTIF($E69:AD69,"²")+COUNTIF($E69:AD69,"µ")+COUNTIF($E69:AD69,1),ColTypeEcheance)),
  IF(LEN(AD69)=1,
  IF(LEN(INDEX(Roadmap!$D:$K,MATCH($E69,Roadmap!$D:$D,0)-1+COUNTIF($E69:AD69,"u")+COUNTIF($E69:AD69,"t")+COUNTIF($E69:AD69,"¶")+COUNTIF($E69:AD69,"²")+COUNTIF($E69:AD69,"µ")+COUNTIF($E69:AD69,1),ColDescriptionCourte))&gt;1,
HYPERLINK("#Roadmap!C"&amp; MATCH($E69,Roadmap!$D:$D,0)+COUNTIF($E69:AD69,"u")+COUNTIF($E69:AD69,"t")+COUNTIF($E69:AD69,"¶")+COUNTIF($E69:AD69,"²")+COUNTIF($E69:AD69,"µ")+COUNTIF($E69:AD69,1)-1,INDEX(Roadmap!$D:$K,MATCH($E69,Roadmap!$D:$D,0)-1+COUNTIF($E69:AD69,"u")+COUNTIF($E69:AD69,"t")+COUNTIF($E69:AD69,"¶")+COUNTIF($E69:AD69,"²")+COUNTIF($E69:AD69,"µ")+COUNTIF($E69:AD69,1),ColDescriptionCourte)),""),
  "")),"")</f>
        <v/>
      </c>
      <c r="AF69" s="40" t="str">
        <f ca="1">IFERROR(IF(AND(
  INDEX(Roadmap!$D:$K,MATCH($E69,Roadmap!$D:$D,0)+COUNTIF($E69:AE69,"u")+COUNTIF($E69:AE69,"t")+COUNTIF($E69:AE69,"¶")+COUNTIF($E69:AE69,"²")+COUNTIF($E69:AE69,"µ")+COUNTIF($E69:AE69,1),ColLivraison)=AF$6,
  VLOOKUP($E69,INDIRECT("tri!"&amp; CHAR(64+ C0Col) &amp;":"&amp; CHAR(65+C0Col)),2,FALSE)&gt;COUNTIF($E69:AE69,"u")+COUNTIF($E69:AE69,"t")+COUNTIF($E69:AE69,"¶")+COUNTIF($E69:AE69,"²")+COUNTIF($E69:AE69,"µ")+COUNTIF($E69:AE69,1)),
HYPERLINK("#Roadmap!C"&amp; MATCH($E69,Roadmap!$D:$D,0)+COUNTIF($E69:AE69,"u")+COUNTIF($E69:AE69,"t"),
     INDEX(Roadmap!$D:$K,MATCH($E69,Roadmap!$D:$D,0)+COUNTIF($E69:AE69,"u")+COUNTIF($E69:AE69,"t")+COUNTIF($E69:AE69,"¶")+COUNTIF($E69:AE69,"²")+COUNTIF($E69:AE69,"µ")+COUNTIF($E69:AE69,1),ColTypeEcheance)),
  IF(LEN(AE69)=1,
  IF(LEN(INDEX(Roadmap!$D:$K,MATCH($E69,Roadmap!$D:$D,0)-1+COUNTIF($E69:AE69,"u")+COUNTIF($E69:AE69,"t")+COUNTIF($E69:AE69,"¶")+COUNTIF($E69:AE69,"²")+COUNTIF($E69:AE69,"µ")+COUNTIF($E69:AE69,1),ColDescriptionCourte))&gt;1,
HYPERLINK("#Roadmap!C"&amp; MATCH($E69,Roadmap!$D:$D,0)+COUNTIF($E69:AE69,"u")+COUNTIF($E69:AE69,"t")+COUNTIF($E69:AE69,"¶")+COUNTIF($E69:AE69,"²")+COUNTIF($E69:AE69,"µ")+COUNTIF($E69:AE69,1)-1,INDEX(Roadmap!$D:$K,MATCH($E69,Roadmap!$D:$D,0)-1+COUNTIF($E69:AE69,"u")+COUNTIF($E69:AE69,"t")+COUNTIF($E69:AE69,"¶")+COUNTIF($E69:AE69,"²")+COUNTIF($E69:AE69,"µ")+COUNTIF($E69:AE69,1),ColDescriptionCourte)),""),
  "")),"")</f>
        <v/>
      </c>
      <c r="AG69" s="40" t="str">
        <f ca="1">IFERROR(IF(AND(
  INDEX(Roadmap!$D:$K,MATCH($E69,Roadmap!$D:$D,0)+COUNTIF($E69:AF69,"u")+COUNTIF($E69:AF69,"t")+COUNTIF($E69:AF69,"¶")+COUNTIF($E69:AF69,"²")+COUNTIF($E69:AF69,"µ")+COUNTIF($E69:AF69,1),ColLivraison)=AG$6,
  VLOOKUP($E69,INDIRECT("tri!"&amp; CHAR(64+ C0Col) &amp;":"&amp; CHAR(65+C0Col)),2,FALSE)&gt;COUNTIF($E69:AF69,"u")+COUNTIF($E69:AF69,"t")+COUNTIF($E69:AF69,"¶")+COUNTIF($E69:AF69,"²")+COUNTIF($E69:AF69,"µ")+COUNTIF($E69:AF69,1)),
HYPERLINK("#Roadmap!C"&amp; MATCH($E69,Roadmap!$D:$D,0)+COUNTIF($E69:AF69,"u")+COUNTIF($E69:AF69,"t"),
     INDEX(Roadmap!$D:$K,MATCH($E69,Roadmap!$D:$D,0)+COUNTIF($E69:AF69,"u")+COUNTIF($E69:AF69,"t")+COUNTIF($E69:AF69,"¶")+COUNTIF($E69:AF69,"²")+COUNTIF($E69:AF69,"µ")+COUNTIF($E69:AF69,1),ColTypeEcheance)),
  IF(LEN(AF69)=1,
  IF(LEN(INDEX(Roadmap!$D:$K,MATCH($E69,Roadmap!$D:$D,0)-1+COUNTIF($E69:AF69,"u")+COUNTIF($E69:AF69,"t")+COUNTIF($E69:AF69,"¶")+COUNTIF($E69:AF69,"²")+COUNTIF($E69:AF69,"µ")+COUNTIF($E69:AF69,1),ColDescriptionCourte))&gt;1,
HYPERLINK("#Roadmap!C"&amp; MATCH($E69,Roadmap!$D:$D,0)+COUNTIF($E69:AF69,"u")+COUNTIF($E69:AF69,"t")+COUNTIF($E69:AF69,"¶")+COUNTIF($E69:AF69,"²")+COUNTIF($E69:AF69,"µ")+COUNTIF($E69:AF69,1)-1,INDEX(Roadmap!$D:$K,MATCH($E69,Roadmap!$D:$D,0)-1+COUNTIF($E69:AF69,"u")+COUNTIF($E69:AF69,"t")+COUNTIF($E69:AF69,"¶")+COUNTIF($E69:AF69,"²")+COUNTIF($E69:AF69,"µ")+COUNTIF($E69:AF69,1),ColDescriptionCourte)),""),
  "")),"")</f>
        <v/>
      </c>
    </row>
    <row r="70" spans="3:33" ht="14.25" customHeight="1">
      <c r="C70" s="1" t="str">
        <f t="shared" ca="1" si="44"/>
        <v/>
      </c>
      <c r="D70" s="1" t="str">
        <f t="shared" ca="1" si="45"/>
        <v/>
      </c>
      <c r="E70" s="35" t="str">
        <f t="shared" ref="E70:E133" ca="1" si="46">IF(LEN(INDIRECT(ADDRESS(C0Ligne+ROW()-MaquetteLigne0,C0Col,1,1,"Tri")))&lt;2,"",INDIRECT(ADDRESS(C0Ligne+ROW()-MaquetteLigne0,C0Col,1,1,"Tri")))</f>
        <v/>
      </c>
      <c r="F70" s="39" t="str">
        <f ca="1">IFERROR(IF(AND(
  INDEX(Roadmap!$D:$K,MATCH($E70,Roadmap!$D:$D,0)+COUNTIF($E70:E70,"u")+COUNTIF($E70:E70,"t")+COUNTIF($E70:E70,"¶")+COUNTIF($E70:E70,"²")+COUNTIF($E70:E70,"µ")+COUNTIF($E70:E70,1),ColLivraison)=F$6,
  VLOOKUP($E70,INDIRECT("tri!"&amp; CHAR(64+ C0Col) &amp;":"&amp; CHAR(65+C0Col)),2,FALSE)&gt;COUNTIF($E70:E70,"u")+COUNTIF($E70:E70,"t")+COUNTIF($E70:E70,"¶")+COUNTIF($E70:E70,"²")+COUNTIF($E70:E70,"µ")+COUNTIF($E70:E70,1)),
HYPERLINK("#Roadmap!C"&amp; MATCH($E70,Roadmap!$D:$D,0)+COUNTIF($E70:E70,"u")+COUNTIF($E70:E70,"t"),
     INDEX(Roadmap!$D:$K,MATCH($E70,Roadmap!$D:$D,0)+COUNTIF($E70:E70,"u")+COUNTIF($E70:E70,"t")+COUNTIF($E70:E70,"¶")+COUNTIF($E70:E70,"²")+COUNTIF($E70:E70,"µ")+COUNTIF($E70:E70,1),ColTypeEcheance)),
  IF(LEN(E70)=1,
  IF(LEN(INDEX(Roadmap!$D:$K,MATCH($E70,Roadmap!$D:$D,0)-1+COUNTIF($E70:E70,"u")+COUNTIF($E70:E70,"t")+COUNTIF($E70:E70,"¶")+COUNTIF($E70:E70,"²")+COUNTIF($E70:E70,"µ")+COUNTIF($E70:E70,1),ColDescriptionCourte))&gt;1,
HYPERLINK("#Roadmap!C"&amp; MATCH($E70,Roadmap!$D:$D,0)+COUNTIF($E70:E70,"u")+COUNTIF($E70:E70,"t")+COUNTIF($E70:E70,"¶")+COUNTIF($E70:E70,"²")+COUNTIF($E70:E70,"µ")+COUNTIF($E70:E70,1)-1,INDEX(Roadmap!$D:$K,MATCH($E70,Roadmap!$D:$D,0)-1+COUNTIF($E70:E70,"u")+COUNTIF($E70:E70,"t")+COUNTIF($E70:E70,"¶")+COUNTIF($E70:E70,"²")+COUNTIF($E70:E70,"µ")+COUNTIF($E70:E70,1),ColDescriptionCourte)),""),
  "")),"")</f>
        <v/>
      </c>
      <c r="G70" s="40" t="str">
        <f ca="1">IFERROR(IF(AND(
  INDEX(Roadmap!$D:$K,MATCH($E70,Roadmap!$D:$D,0)+COUNTIF($E70:F70,"u")+COUNTIF($E70:F70,"t")+COUNTIF($E70:F70,"¶")+COUNTIF($E70:F70,"²")+COUNTIF($E70:F70,"µ")+COUNTIF($E70:F70,1),ColLivraison)=G$6,
  VLOOKUP($E70,INDIRECT("tri!"&amp; CHAR(64+ C0Col) &amp;":"&amp; CHAR(65+C0Col)),2,FALSE)&gt;COUNTIF($E70:F70,"u")+COUNTIF($E70:F70,"t")+COUNTIF($E70:F70,"¶")+COUNTIF($E70:F70,"²")+COUNTIF($E70:F70,"µ")+COUNTIF($E70:F70,1)),
HYPERLINK("#Roadmap!C"&amp; MATCH($E70,Roadmap!$D:$D,0)+COUNTIF($E70:F70,"u")+COUNTIF($E70:F70,"t"),
     INDEX(Roadmap!$D:$K,MATCH($E70,Roadmap!$D:$D,0)+COUNTIF($E70:F70,"u")+COUNTIF($E70:F70,"t")+COUNTIF($E70:F70,"¶")+COUNTIF($E70:F70,"²")+COUNTIF($E70:F70,"µ")+COUNTIF($E70:F70,1),ColTypeEcheance)),
  IF(LEN(F70)=1,
  IF(LEN(INDEX(Roadmap!$D:$K,MATCH($E70,Roadmap!$D:$D,0)-1+COUNTIF($E70:F70,"u")+COUNTIF($E70:F70,"t")+COUNTIF($E70:F70,"¶")+COUNTIF($E70:F70,"²")+COUNTIF($E70:F70,"µ")+COUNTIF($E70:F70,1),ColDescriptionCourte))&gt;1,
HYPERLINK("#Roadmap!C"&amp; MATCH($E70,Roadmap!$D:$D,0)+COUNTIF($E70:F70,"u")+COUNTIF($E70:F70,"t")+COUNTIF($E70:F70,"¶")+COUNTIF($E70:F70,"²")+COUNTIF($E70:F70,"µ")+COUNTIF($E70:F70,1)-1,INDEX(Roadmap!$D:$K,MATCH($E70,Roadmap!$D:$D,0)-1+COUNTIF($E70:F70,"u")+COUNTIF($E70:F70,"t")+COUNTIF($E70:F70,"¶")+COUNTIF($E70:F70,"²")+COUNTIF($E70:F70,"µ")+COUNTIF($E70:F70,1),ColDescriptionCourte)),""),
  "")),"")</f>
        <v/>
      </c>
      <c r="H70" s="40" t="str">
        <f ca="1">IFERROR(IF(AND(
  INDEX(Roadmap!$D:$K,MATCH($E70,Roadmap!$D:$D,0)+COUNTIF($E70:G70,"u")+COUNTIF($E70:G70,"t")+COUNTIF($E70:G70,"¶")+COUNTIF($E70:G70,"²")+COUNTIF($E70:G70,"µ")+COUNTIF($E70:G70,1),ColLivraison)=H$6,
  VLOOKUP($E70,INDIRECT("tri!"&amp; CHAR(64+ C0Col) &amp;":"&amp; CHAR(65+C0Col)),2,FALSE)&gt;COUNTIF($E70:G70,"u")+COUNTIF($E70:G70,"t")+COUNTIF($E70:G70,"¶")+COUNTIF($E70:G70,"²")+COUNTIF($E70:G70,"µ")+COUNTIF($E70:G70,1)),
HYPERLINK("#Roadmap!C"&amp; MATCH($E70,Roadmap!$D:$D,0)+COUNTIF($E70:G70,"u")+COUNTIF($E70:G70,"t"),
     INDEX(Roadmap!$D:$K,MATCH($E70,Roadmap!$D:$D,0)+COUNTIF($E70:G70,"u")+COUNTIF($E70:G70,"t")+COUNTIF($E70:G70,"¶")+COUNTIF($E70:G70,"²")+COUNTIF($E70:G70,"µ")+COUNTIF($E70:G70,1),ColTypeEcheance)),
  IF(LEN(G70)=1,
  IF(LEN(INDEX(Roadmap!$D:$K,MATCH($E70,Roadmap!$D:$D,0)-1+COUNTIF($E70:G70,"u")+COUNTIF($E70:G70,"t")+COUNTIF($E70:G70,"¶")+COUNTIF($E70:G70,"²")+COUNTIF($E70:G70,"µ")+COUNTIF($E70:G70,1),ColDescriptionCourte))&gt;1,
HYPERLINK("#Roadmap!C"&amp; MATCH($E70,Roadmap!$D:$D,0)+COUNTIF($E70:G70,"u")+COUNTIF($E70:G70,"t")+COUNTIF($E70:G70,"¶")+COUNTIF($E70:G70,"²")+COUNTIF($E70:G70,"µ")+COUNTIF($E70:G70,1)-1,INDEX(Roadmap!$D:$K,MATCH($E70,Roadmap!$D:$D,0)-1+COUNTIF($E70:G70,"u")+COUNTIF($E70:G70,"t")+COUNTIF($E70:G70,"¶")+COUNTIF($E70:G70,"²")+COUNTIF($E70:G70,"µ")+COUNTIF($E70:G70,1),ColDescriptionCourte)),""),
  "")),"")</f>
        <v/>
      </c>
      <c r="I70" s="40" t="str">
        <f ca="1">IFERROR(IF(AND(
  INDEX(Roadmap!$D:$K,MATCH($E70,Roadmap!$D:$D,0)+COUNTIF($E70:H70,"u")+COUNTIF($E70:H70,"t")+COUNTIF($E70:H70,"¶")+COUNTIF($E70:H70,"²")+COUNTIF($E70:H70,"µ")+COUNTIF($E70:H70,1),ColLivraison)=I$6,
  VLOOKUP($E70,INDIRECT("tri!"&amp; CHAR(64+ C0Col) &amp;":"&amp; CHAR(65+C0Col)),2,FALSE)&gt;COUNTIF($E70:H70,"u")+COUNTIF($E70:H70,"t")+COUNTIF($E70:H70,"¶")+COUNTIF($E70:H70,"²")+COUNTIF($E70:H70,"µ")+COUNTIF($E70:H70,1)),
HYPERLINK("#Roadmap!C"&amp; MATCH($E70,Roadmap!$D:$D,0)+COUNTIF($E70:H70,"u")+COUNTIF($E70:H70,"t"),
     INDEX(Roadmap!$D:$K,MATCH($E70,Roadmap!$D:$D,0)+COUNTIF($E70:H70,"u")+COUNTIF($E70:H70,"t")+COUNTIF($E70:H70,"¶")+COUNTIF($E70:H70,"²")+COUNTIF($E70:H70,"µ")+COUNTIF($E70:H70,1),ColTypeEcheance)),
  IF(LEN(H70)=1,
  IF(LEN(INDEX(Roadmap!$D:$K,MATCH($E70,Roadmap!$D:$D,0)-1+COUNTIF($E70:H70,"u")+COUNTIF($E70:H70,"t")+COUNTIF($E70:H70,"¶")+COUNTIF($E70:H70,"²")+COUNTIF($E70:H70,"µ")+COUNTIF($E70:H70,1),ColDescriptionCourte))&gt;1,
HYPERLINK("#Roadmap!C"&amp; MATCH($E70,Roadmap!$D:$D,0)+COUNTIF($E70:H70,"u")+COUNTIF($E70:H70,"t")+COUNTIF($E70:H70,"¶")+COUNTIF($E70:H70,"²")+COUNTIF($E70:H70,"µ")+COUNTIF($E70:H70,1)-1,INDEX(Roadmap!$D:$K,MATCH($E70,Roadmap!$D:$D,0)-1+COUNTIF($E70:H70,"u")+COUNTIF($E70:H70,"t")+COUNTIF($E70:H70,"¶")+COUNTIF($E70:H70,"²")+COUNTIF($E70:H70,"µ")+COUNTIF($E70:H70,1),ColDescriptionCourte)),""),
  "")),"")</f>
        <v/>
      </c>
      <c r="J70" s="40" t="str">
        <f ca="1">IFERROR(IF(AND(
  INDEX(Roadmap!$D:$K,MATCH($E70,Roadmap!$D:$D,0)+COUNTIF($E70:I70,"u")+COUNTIF($E70:I70,"t")+COUNTIF($E70:I70,"¶")+COUNTIF($E70:I70,"²")+COUNTIF($E70:I70,"µ")+COUNTIF($E70:I70,1),ColLivraison)=J$6,
  VLOOKUP($E70,INDIRECT("tri!"&amp; CHAR(64+ C0Col) &amp;":"&amp; CHAR(65+C0Col)),2,FALSE)&gt;COUNTIF($E70:I70,"u")+COUNTIF($E70:I70,"t")+COUNTIF($E70:I70,"¶")+COUNTIF($E70:I70,"²")+COUNTIF($E70:I70,"µ")+COUNTIF($E70:I70,1)),
HYPERLINK("#Roadmap!C"&amp; MATCH($E70,Roadmap!$D:$D,0)+COUNTIF($E70:I70,"u")+COUNTIF($E70:I70,"t"),
     INDEX(Roadmap!$D:$K,MATCH($E70,Roadmap!$D:$D,0)+COUNTIF($E70:I70,"u")+COUNTIF($E70:I70,"t")+COUNTIF($E70:I70,"¶")+COUNTIF($E70:I70,"²")+COUNTIF($E70:I70,"µ")+COUNTIF($E70:I70,1),ColTypeEcheance)),
  IF(LEN(I70)=1,
  IF(LEN(INDEX(Roadmap!$D:$K,MATCH($E70,Roadmap!$D:$D,0)-1+COUNTIF($E70:I70,"u")+COUNTIF($E70:I70,"t")+COUNTIF($E70:I70,"¶")+COUNTIF($E70:I70,"²")+COUNTIF($E70:I70,"µ")+COUNTIF($E70:I70,1),ColDescriptionCourte))&gt;1,
HYPERLINK("#Roadmap!C"&amp; MATCH($E70,Roadmap!$D:$D,0)+COUNTIF($E70:I70,"u")+COUNTIF($E70:I70,"t")+COUNTIF($E70:I70,"¶")+COUNTIF($E70:I70,"²")+COUNTIF($E70:I70,"µ")+COUNTIF($E70:I70,1)-1,INDEX(Roadmap!$D:$K,MATCH($E70,Roadmap!$D:$D,0)-1+COUNTIF($E70:I70,"u")+COUNTIF($E70:I70,"t")+COUNTIF($E70:I70,"¶")+COUNTIF($E70:I70,"²")+COUNTIF($E70:I70,"µ")+COUNTIF($E70:I70,1),ColDescriptionCourte)),""),
  "")),"")</f>
        <v/>
      </c>
      <c r="K70" s="40" t="str">
        <f ca="1">IFERROR(IF(AND(
  INDEX(Roadmap!$D:$K,MATCH($E70,Roadmap!$D:$D,0)+COUNTIF($E70:J70,"u")+COUNTIF($E70:J70,"t")+COUNTIF($E70:J70,"¶")+COUNTIF($E70:J70,"²")+COUNTIF($E70:J70,"µ")+COUNTIF($E70:J70,1),ColLivraison)=K$6,
  VLOOKUP($E70,INDIRECT("tri!"&amp; CHAR(64+ C0Col) &amp;":"&amp; CHAR(65+C0Col)),2,FALSE)&gt;COUNTIF($E70:J70,"u")+COUNTIF($E70:J70,"t")+COUNTIF($E70:J70,"¶")+COUNTIF($E70:J70,"²")+COUNTIF($E70:J70,"µ")+COUNTIF($E70:J70,1)),
HYPERLINK("#Roadmap!C"&amp; MATCH($E70,Roadmap!$D:$D,0)+COUNTIF($E70:J70,"u")+COUNTIF($E70:J70,"t"),
     INDEX(Roadmap!$D:$K,MATCH($E70,Roadmap!$D:$D,0)+COUNTIF($E70:J70,"u")+COUNTIF($E70:J70,"t")+COUNTIF($E70:J70,"¶")+COUNTIF($E70:J70,"²")+COUNTIF($E70:J70,"µ")+COUNTIF($E70:J70,1),ColTypeEcheance)),
  IF(LEN(J70)=1,
  IF(LEN(INDEX(Roadmap!$D:$K,MATCH($E70,Roadmap!$D:$D,0)-1+COUNTIF($E70:J70,"u")+COUNTIF($E70:J70,"t")+COUNTIF($E70:J70,"¶")+COUNTIF($E70:J70,"²")+COUNTIF($E70:J70,"µ")+COUNTIF($E70:J70,1),ColDescriptionCourte))&gt;1,
HYPERLINK("#Roadmap!C"&amp; MATCH($E70,Roadmap!$D:$D,0)+COUNTIF($E70:J70,"u")+COUNTIF($E70:J70,"t")+COUNTIF($E70:J70,"¶")+COUNTIF($E70:J70,"²")+COUNTIF($E70:J70,"µ")+COUNTIF($E70:J70,1)-1,INDEX(Roadmap!$D:$K,MATCH($E70,Roadmap!$D:$D,0)-1+COUNTIF($E70:J70,"u")+COUNTIF($E70:J70,"t")+COUNTIF($E70:J70,"¶")+COUNTIF($E70:J70,"²")+COUNTIF($E70:J70,"µ")+COUNTIF($E70:J70,1),ColDescriptionCourte)),""),
  "")),"")</f>
        <v/>
      </c>
      <c r="L70" s="39" t="str">
        <f ca="1">IFERROR(IF(AND(
  INDEX(Roadmap!$D:$K,MATCH($E70,Roadmap!$D:$D,0)+COUNTIF($E70:K70,"u")+COUNTIF($E70:K70,"t")+COUNTIF($E70:K70,"¶")+COUNTIF($E70:K70,"²")+COUNTIF($E70:K70,"µ")+COUNTIF($E70:K70,1),ColLivraison)=L$6,
  VLOOKUP($E70,INDIRECT("tri!"&amp; CHAR(64+ C0Col) &amp;":"&amp; CHAR(65+C0Col)),2,FALSE)&gt;COUNTIF($E70:K70,"u")+COUNTIF($E70:K70,"t")+COUNTIF($E70:K70,"¶")+COUNTIF($E70:K70,"²")+COUNTIF($E70:K70,"µ")+COUNTIF($E70:K70,1)),
HYPERLINK("#Roadmap!C"&amp; MATCH($E70,Roadmap!$D:$D,0)+COUNTIF($E70:K70,"u")+COUNTIF($E70:K70,"t"),
     INDEX(Roadmap!$D:$K,MATCH($E70,Roadmap!$D:$D,0)+COUNTIF($E70:K70,"u")+COUNTIF($E70:K70,"t")+COUNTIF($E70:K70,"¶")+COUNTIF($E70:K70,"²")+COUNTIF($E70:K70,"µ")+COUNTIF($E70:K70,1),ColTypeEcheance)),
  IF(LEN(K70)=1,
  IF(LEN(INDEX(Roadmap!$D:$K,MATCH($E70,Roadmap!$D:$D,0)-1+COUNTIF($E70:K70,"u")+COUNTIF($E70:K70,"t")+COUNTIF($E70:K70,"¶")+COUNTIF($E70:K70,"²")+COUNTIF($E70:K70,"µ")+COUNTIF($E70:K70,1),ColDescriptionCourte))&gt;1,
HYPERLINK("#Roadmap!C"&amp; MATCH($E70,Roadmap!$D:$D,0)+COUNTIF($E70:K70,"u")+COUNTIF($E70:K70,"t")+COUNTIF($E70:K70,"¶")+COUNTIF($E70:K70,"²")+COUNTIF($E70:K70,"µ")+COUNTIF($E70:K70,1)-1,INDEX(Roadmap!$D:$K,MATCH($E70,Roadmap!$D:$D,0)-1+COUNTIF($E70:K70,"u")+COUNTIF($E70:K70,"t")+COUNTIF($E70:K70,"¶")+COUNTIF($E70:K70,"²")+COUNTIF($E70:K70,"µ")+COUNTIF($E70:K70,1),ColDescriptionCourte)),""),
  "")),"")</f>
        <v/>
      </c>
      <c r="M70" s="40" t="str">
        <f ca="1">IFERROR(IF(AND(
  INDEX(Roadmap!$D:$K,MATCH($E70,Roadmap!$D:$D,0)+COUNTIF($E70:L70,"u")+COUNTIF($E70:L70,"t")+COUNTIF($E70:L70,"¶")+COUNTIF($E70:L70,"²")+COUNTIF($E70:L70,"µ")+COUNTIF($E70:L70,1),ColLivraison)=M$6,
  VLOOKUP($E70,INDIRECT("tri!"&amp; CHAR(64+ C0Col) &amp;":"&amp; CHAR(65+C0Col)),2,FALSE)&gt;COUNTIF($E70:L70,"u")+COUNTIF($E70:L70,"t")+COUNTIF($E70:L70,"¶")+COUNTIF($E70:L70,"²")+COUNTIF($E70:L70,"µ")+COUNTIF($E70:L70,1)),
HYPERLINK("#Roadmap!C"&amp; MATCH($E70,Roadmap!$D:$D,0)+COUNTIF($E70:L70,"u")+COUNTIF($E70:L70,"t"),
     INDEX(Roadmap!$D:$K,MATCH($E70,Roadmap!$D:$D,0)+COUNTIF($E70:L70,"u")+COUNTIF($E70:L70,"t")+COUNTIF($E70:L70,"¶")+COUNTIF($E70:L70,"²")+COUNTIF($E70:L70,"µ")+COUNTIF($E70:L70,1),ColTypeEcheance)),
  IF(LEN(L70)=1,
  IF(LEN(INDEX(Roadmap!$D:$K,MATCH($E70,Roadmap!$D:$D,0)-1+COUNTIF($E70:L70,"u")+COUNTIF($E70:L70,"t")+COUNTIF($E70:L70,"¶")+COUNTIF($E70:L70,"²")+COUNTIF($E70:L70,"µ")+COUNTIF($E70:L70,1),ColDescriptionCourte))&gt;1,
HYPERLINK("#Roadmap!C"&amp; MATCH($E70,Roadmap!$D:$D,0)+COUNTIF($E70:L70,"u")+COUNTIF($E70:L70,"t")+COUNTIF($E70:L70,"¶")+COUNTIF($E70:L70,"²")+COUNTIF($E70:L70,"µ")+COUNTIF($E70:L70,1)-1,INDEX(Roadmap!$D:$K,MATCH($E70,Roadmap!$D:$D,0)-1+COUNTIF($E70:L70,"u")+COUNTIF($E70:L70,"t")+COUNTIF($E70:L70,"¶")+COUNTIF($E70:L70,"²")+COUNTIF($E70:L70,"µ")+COUNTIF($E70:L70,1),ColDescriptionCourte)),""),
  "")),"")</f>
        <v/>
      </c>
      <c r="N70" s="40" t="str">
        <f ca="1">IFERROR(IF(AND(
  INDEX(Roadmap!$D:$K,MATCH($E70,Roadmap!$D:$D,0)+COUNTIF($E70:M70,"u")+COUNTIF($E70:M70,"t")+COUNTIF($E70:M70,"¶")+COUNTIF($E70:M70,"²")+COUNTIF($E70:M70,"µ")+COUNTIF($E70:M70,1),ColLivraison)=N$6,
  VLOOKUP($E70,INDIRECT("tri!"&amp; CHAR(64+ C0Col) &amp;":"&amp; CHAR(65+C0Col)),2,FALSE)&gt;COUNTIF($E70:M70,"u")+COUNTIF($E70:M70,"t")+COUNTIF($E70:M70,"¶")+COUNTIF($E70:M70,"²")+COUNTIF($E70:M70,"µ")+COUNTIF($E70:M70,1)),
HYPERLINK("#Roadmap!C"&amp; MATCH($E70,Roadmap!$D:$D,0)+COUNTIF($E70:M70,"u")+COUNTIF($E70:M70,"t"),
     INDEX(Roadmap!$D:$K,MATCH($E70,Roadmap!$D:$D,0)+COUNTIF($E70:M70,"u")+COUNTIF($E70:M70,"t")+COUNTIF($E70:M70,"¶")+COUNTIF($E70:M70,"²")+COUNTIF($E70:M70,"µ")+COUNTIF($E70:M70,1),ColTypeEcheance)),
  IF(LEN(M70)=1,
  IF(LEN(INDEX(Roadmap!$D:$K,MATCH($E70,Roadmap!$D:$D,0)-1+COUNTIF($E70:M70,"u")+COUNTIF($E70:M70,"t")+COUNTIF($E70:M70,"¶")+COUNTIF($E70:M70,"²")+COUNTIF($E70:M70,"µ")+COUNTIF($E70:M70,1),ColDescriptionCourte))&gt;1,
HYPERLINK("#Roadmap!C"&amp; MATCH($E70,Roadmap!$D:$D,0)+COUNTIF($E70:M70,"u")+COUNTIF($E70:M70,"t")+COUNTIF($E70:M70,"¶")+COUNTIF($E70:M70,"²")+COUNTIF($E70:M70,"µ")+COUNTIF($E70:M70,1)-1,INDEX(Roadmap!$D:$K,MATCH($E70,Roadmap!$D:$D,0)-1+COUNTIF($E70:M70,"u")+COUNTIF($E70:M70,"t")+COUNTIF($E70:M70,"¶")+COUNTIF($E70:M70,"²")+COUNTIF($E70:M70,"µ")+COUNTIF($E70:M70,1),ColDescriptionCourte)),""),
  "")),"")</f>
        <v/>
      </c>
      <c r="O70" s="40" t="str">
        <f ca="1">IFERROR(IF(AND(
  INDEX(Roadmap!$D:$K,MATCH($E70,Roadmap!$D:$D,0)+COUNTIF($E70:N70,"u")+COUNTIF($E70:N70,"t")+COUNTIF($E70:N70,"¶")+COUNTIF($E70:N70,"²")+COUNTIF($E70:N70,"µ")+COUNTIF($E70:N70,1),ColLivraison)=O$6,
  VLOOKUP($E70,INDIRECT("tri!"&amp; CHAR(64+ C0Col) &amp;":"&amp; CHAR(65+C0Col)),2,FALSE)&gt;COUNTIF($E70:N70,"u")+COUNTIF($E70:N70,"t")+COUNTIF($E70:N70,"¶")+COUNTIF($E70:N70,"²")+COUNTIF($E70:N70,"µ")+COUNTIF($E70:N70,1)),
HYPERLINK("#Roadmap!C"&amp; MATCH($E70,Roadmap!$D:$D,0)+COUNTIF($E70:N70,"u")+COUNTIF($E70:N70,"t"),
     INDEX(Roadmap!$D:$K,MATCH($E70,Roadmap!$D:$D,0)+COUNTIF($E70:N70,"u")+COUNTIF($E70:N70,"t")+COUNTIF($E70:N70,"¶")+COUNTIF($E70:N70,"²")+COUNTIF($E70:N70,"µ")+COUNTIF($E70:N70,1),ColTypeEcheance)),
  IF(LEN(N70)=1,
  IF(LEN(INDEX(Roadmap!$D:$K,MATCH($E70,Roadmap!$D:$D,0)-1+COUNTIF($E70:N70,"u")+COUNTIF($E70:N70,"t")+COUNTIF($E70:N70,"¶")+COUNTIF($E70:N70,"²")+COUNTIF($E70:N70,"µ")+COUNTIF($E70:N70,1),ColDescriptionCourte))&gt;1,
HYPERLINK("#Roadmap!C"&amp; MATCH($E70,Roadmap!$D:$D,0)+COUNTIF($E70:N70,"u")+COUNTIF($E70:N70,"t")+COUNTIF($E70:N70,"¶")+COUNTIF($E70:N70,"²")+COUNTIF($E70:N70,"µ")+COUNTIF($E70:N70,1)-1,INDEX(Roadmap!$D:$K,MATCH($E70,Roadmap!$D:$D,0)-1+COUNTIF($E70:N70,"u")+COUNTIF($E70:N70,"t")+COUNTIF($E70:N70,"¶")+COUNTIF($E70:N70,"²")+COUNTIF($E70:N70,"µ")+COUNTIF($E70:N70,1),ColDescriptionCourte)),""),
  "")),"")</f>
        <v/>
      </c>
      <c r="P70" s="40" t="str">
        <f ca="1">IFERROR(IF(AND(
  INDEX(Roadmap!$D:$K,MATCH($E70,Roadmap!$D:$D,0)+COUNTIF($E70:O70,"u")+COUNTIF($E70:O70,"t")+COUNTIF($E70:O70,"¶")+COUNTIF($E70:O70,"²")+COUNTIF($E70:O70,"µ")+COUNTIF($E70:O70,1),ColLivraison)=P$6,
  VLOOKUP($E70,INDIRECT("tri!"&amp; CHAR(64+ C0Col) &amp;":"&amp; CHAR(65+C0Col)),2,FALSE)&gt;COUNTIF($E70:O70,"u")+COUNTIF($E70:O70,"t")+COUNTIF($E70:O70,"¶")+COUNTIF($E70:O70,"²")+COUNTIF($E70:O70,"µ")+COUNTIF($E70:O70,1)),
HYPERLINK("#Roadmap!C"&amp; MATCH($E70,Roadmap!$D:$D,0)+COUNTIF($E70:O70,"u")+COUNTIF($E70:O70,"t"),
     INDEX(Roadmap!$D:$K,MATCH($E70,Roadmap!$D:$D,0)+COUNTIF($E70:O70,"u")+COUNTIF($E70:O70,"t")+COUNTIF($E70:O70,"¶")+COUNTIF($E70:O70,"²")+COUNTIF($E70:O70,"µ")+COUNTIF($E70:O70,1),ColTypeEcheance)),
  IF(LEN(O70)=1,
  IF(LEN(INDEX(Roadmap!$D:$K,MATCH($E70,Roadmap!$D:$D,0)-1+COUNTIF($E70:O70,"u")+COUNTIF($E70:O70,"t")+COUNTIF($E70:O70,"¶")+COUNTIF($E70:O70,"²")+COUNTIF($E70:O70,"µ")+COUNTIF($E70:O70,1),ColDescriptionCourte))&gt;1,
HYPERLINK("#Roadmap!C"&amp; MATCH($E70,Roadmap!$D:$D,0)+COUNTIF($E70:O70,"u")+COUNTIF($E70:O70,"t")+COUNTIF($E70:O70,"¶")+COUNTIF($E70:O70,"²")+COUNTIF($E70:O70,"µ")+COUNTIF($E70:O70,1)-1,INDEX(Roadmap!$D:$K,MATCH($E70,Roadmap!$D:$D,0)-1+COUNTIF($E70:O70,"u")+COUNTIF($E70:O70,"t")+COUNTIF($E70:O70,"¶")+COUNTIF($E70:O70,"²")+COUNTIF($E70:O70,"µ")+COUNTIF($E70:O70,1),ColDescriptionCourte)),""),
  "")),"")</f>
        <v/>
      </c>
      <c r="Q70" s="40" t="str">
        <f ca="1">IFERROR(IF(AND(
  INDEX(Roadmap!$D:$K,MATCH($E70,Roadmap!$D:$D,0)+COUNTIF($E70:P70,"u")+COUNTIF($E70:P70,"t")+COUNTIF($E70:P70,"¶")+COUNTIF($E70:P70,"²")+COUNTIF($E70:P70,"µ")+COUNTIF($E70:P70,1),ColLivraison)=Q$6,
  VLOOKUP($E70,INDIRECT("tri!"&amp; CHAR(64+ C0Col) &amp;":"&amp; CHAR(65+C0Col)),2,FALSE)&gt;COUNTIF($E70:P70,"u")+COUNTIF($E70:P70,"t")+COUNTIF($E70:P70,"¶")+COUNTIF($E70:P70,"²")+COUNTIF($E70:P70,"µ")+COUNTIF($E70:P70,1)),
HYPERLINK("#Roadmap!C"&amp; MATCH($E70,Roadmap!$D:$D,0)+COUNTIF($E70:P70,"u")+COUNTIF($E70:P70,"t"),
     INDEX(Roadmap!$D:$K,MATCH($E70,Roadmap!$D:$D,0)+COUNTIF($E70:P70,"u")+COUNTIF($E70:P70,"t")+COUNTIF($E70:P70,"¶")+COUNTIF($E70:P70,"²")+COUNTIF($E70:P70,"µ")+COUNTIF($E70:P70,1),ColTypeEcheance)),
  IF(LEN(P70)=1,
  IF(LEN(INDEX(Roadmap!$D:$K,MATCH($E70,Roadmap!$D:$D,0)-1+COUNTIF($E70:P70,"u")+COUNTIF($E70:P70,"t")+COUNTIF($E70:P70,"¶")+COUNTIF($E70:P70,"²")+COUNTIF($E70:P70,"µ")+COUNTIF($E70:P70,1),ColDescriptionCourte))&gt;1,
HYPERLINK("#Roadmap!C"&amp; MATCH($E70,Roadmap!$D:$D,0)+COUNTIF($E70:P70,"u")+COUNTIF($E70:P70,"t")+COUNTIF($E70:P70,"¶")+COUNTIF($E70:P70,"²")+COUNTIF($E70:P70,"µ")+COUNTIF($E70:P70,1)-1,INDEX(Roadmap!$D:$K,MATCH($E70,Roadmap!$D:$D,0)-1+COUNTIF($E70:P70,"u")+COUNTIF($E70:P70,"t")+COUNTIF($E70:P70,"¶")+COUNTIF($E70:P70,"²")+COUNTIF($E70:P70,"µ")+COUNTIF($E70:P70,1),ColDescriptionCourte)),""),
  "")),"")</f>
        <v/>
      </c>
      <c r="R70" s="40" t="str">
        <f ca="1">IFERROR(IF(AND(
  INDEX(Roadmap!$D:$K,MATCH($E70,Roadmap!$D:$D,0)+COUNTIF($E70:Q70,"u")+COUNTIF($E70:Q70,"t")+COUNTIF($E70:Q70,"¶")+COUNTIF($E70:Q70,"²")+COUNTIF($E70:Q70,"µ")+COUNTIF($E70:Q70,1),ColLivraison)=R$6,
  VLOOKUP($E70,INDIRECT("tri!"&amp; CHAR(64+ C0Col) &amp;":"&amp; CHAR(65+C0Col)),2,FALSE)&gt;COUNTIF($E70:Q70,"u")+COUNTIF($E70:Q70,"t")+COUNTIF($E70:Q70,"¶")+COUNTIF($E70:Q70,"²")+COUNTIF($E70:Q70,"µ")+COUNTIF($E70:Q70,1)),
HYPERLINK("#Roadmap!C"&amp; MATCH($E70,Roadmap!$D:$D,0)+COUNTIF($E70:Q70,"u")+COUNTIF($E70:Q70,"t"),
     INDEX(Roadmap!$D:$K,MATCH($E70,Roadmap!$D:$D,0)+COUNTIF($E70:Q70,"u")+COUNTIF($E70:Q70,"t")+COUNTIF($E70:Q70,"¶")+COUNTIF($E70:Q70,"²")+COUNTIF($E70:Q70,"µ")+COUNTIF($E70:Q70,1),ColTypeEcheance)),
  IF(LEN(Q70)=1,
  IF(LEN(INDEX(Roadmap!$D:$K,MATCH($E70,Roadmap!$D:$D,0)-1+COUNTIF($E70:Q70,"u")+COUNTIF($E70:Q70,"t")+COUNTIF($E70:Q70,"¶")+COUNTIF($E70:Q70,"²")+COUNTIF($E70:Q70,"µ")+COUNTIF($E70:Q70,1),ColDescriptionCourte))&gt;1,
HYPERLINK("#Roadmap!C"&amp; MATCH($E70,Roadmap!$D:$D,0)+COUNTIF($E70:Q70,"u")+COUNTIF($E70:Q70,"t")+COUNTIF($E70:Q70,"¶")+COUNTIF($E70:Q70,"²")+COUNTIF($E70:Q70,"µ")+COUNTIF($E70:Q70,1)-1,INDEX(Roadmap!$D:$K,MATCH($E70,Roadmap!$D:$D,0)-1+COUNTIF($E70:Q70,"u")+COUNTIF($E70:Q70,"t")+COUNTIF($E70:Q70,"¶")+COUNTIF($E70:Q70,"²")+COUNTIF($E70:Q70,"µ")+COUNTIF($E70:Q70,1),ColDescriptionCourte)),""),
  "")),"")</f>
        <v/>
      </c>
      <c r="S70" s="40" t="str">
        <f ca="1">IFERROR(IF(AND(
  INDEX(Roadmap!$D:$K,MATCH($E70,Roadmap!$D:$D,0)+COUNTIF($E70:R70,"u")+COUNTIF($E70:R70,"t")+COUNTIF($E70:R70,"¶")+COUNTIF($E70:R70,"²")+COUNTIF($E70:R70,"µ")+COUNTIF($E70:R70,1),ColLivraison)=S$6,
  VLOOKUP($E70,INDIRECT("tri!"&amp; CHAR(64+ C0Col) &amp;":"&amp; CHAR(65+C0Col)),2,FALSE)&gt;COUNTIF($E70:R70,"u")+COUNTIF($E70:R70,"t")+COUNTIF($E70:R70,"¶")+COUNTIF($E70:R70,"²")+COUNTIF($E70:R70,"µ")+COUNTIF($E70:R70,1)),
HYPERLINK("#Roadmap!C"&amp; MATCH($E70,Roadmap!$D:$D,0)+COUNTIF($E70:R70,"u")+COUNTIF($E70:R70,"t"),
     INDEX(Roadmap!$D:$K,MATCH($E70,Roadmap!$D:$D,0)+COUNTIF($E70:R70,"u")+COUNTIF($E70:R70,"t")+COUNTIF($E70:R70,"¶")+COUNTIF($E70:R70,"²")+COUNTIF($E70:R70,"µ")+COUNTIF($E70:R70,1),ColTypeEcheance)),
  IF(LEN(R70)=1,
  IF(LEN(INDEX(Roadmap!$D:$K,MATCH($E70,Roadmap!$D:$D,0)-1+COUNTIF($E70:R70,"u")+COUNTIF($E70:R70,"t")+COUNTIF($E70:R70,"¶")+COUNTIF($E70:R70,"²")+COUNTIF($E70:R70,"µ")+COUNTIF($E70:R70,1),ColDescriptionCourte))&gt;1,
HYPERLINK("#Roadmap!C"&amp; MATCH($E70,Roadmap!$D:$D,0)+COUNTIF($E70:R70,"u")+COUNTIF($E70:R70,"t")+COUNTIF($E70:R70,"¶")+COUNTIF($E70:R70,"²")+COUNTIF($E70:R70,"µ")+COUNTIF($E70:R70,1)-1,INDEX(Roadmap!$D:$K,MATCH($E70,Roadmap!$D:$D,0)-1+COUNTIF($E70:R70,"u")+COUNTIF($E70:R70,"t")+COUNTIF($E70:R70,"¶")+COUNTIF($E70:R70,"²")+COUNTIF($E70:R70,"µ")+COUNTIF($E70:R70,1),ColDescriptionCourte)),""),
  "")),"")</f>
        <v/>
      </c>
      <c r="T70" s="40" t="str">
        <f ca="1">IFERROR(IF(AND(
  INDEX(Roadmap!$D:$K,MATCH($E70,Roadmap!$D:$D,0)+COUNTIF($E70:S70,"u")+COUNTIF($E70:S70,"t")+COUNTIF($E70:S70,"¶")+COUNTIF($E70:S70,"²")+COUNTIF($E70:S70,"µ")+COUNTIF($E70:S70,1),ColLivraison)=T$6,
  VLOOKUP($E70,INDIRECT("tri!"&amp; CHAR(64+ C0Col) &amp;":"&amp; CHAR(65+C0Col)),2,FALSE)&gt;COUNTIF($E70:S70,"u")+COUNTIF($E70:S70,"t")+COUNTIF($E70:S70,"¶")+COUNTIF($E70:S70,"²")+COUNTIF($E70:S70,"µ")+COUNTIF($E70:S70,1)),
HYPERLINK("#Roadmap!C"&amp; MATCH($E70,Roadmap!$D:$D,0)+COUNTIF($E70:S70,"u")+COUNTIF($E70:S70,"t"),
     INDEX(Roadmap!$D:$K,MATCH($E70,Roadmap!$D:$D,0)+COUNTIF($E70:S70,"u")+COUNTIF($E70:S70,"t")+COUNTIF($E70:S70,"¶")+COUNTIF($E70:S70,"²")+COUNTIF($E70:S70,"µ")+COUNTIF($E70:S70,1),ColTypeEcheance)),
  IF(LEN(S70)=1,
  IF(LEN(INDEX(Roadmap!$D:$K,MATCH($E70,Roadmap!$D:$D,0)-1+COUNTIF($E70:S70,"u")+COUNTIF($E70:S70,"t")+COUNTIF($E70:S70,"¶")+COUNTIF($E70:S70,"²")+COUNTIF($E70:S70,"µ")+COUNTIF($E70:S70,1),ColDescriptionCourte))&gt;1,
HYPERLINK("#Roadmap!C"&amp; MATCH($E70,Roadmap!$D:$D,0)+COUNTIF($E70:S70,"u")+COUNTIF($E70:S70,"t")+COUNTIF($E70:S70,"¶")+COUNTIF($E70:S70,"²")+COUNTIF($E70:S70,"µ")+COUNTIF($E70:S70,1)-1,INDEX(Roadmap!$D:$K,MATCH($E70,Roadmap!$D:$D,0)-1+COUNTIF($E70:S70,"u")+COUNTIF($E70:S70,"t")+COUNTIF($E70:S70,"¶")+COUNTIF($E70:S70,"²")+COUNTIF($E70:S70,"µ")+COUNTIF($E70:S70,1),ColDescriptionCourte)),""),
  "")),"")</f>
        <v/>
      </c>
      <c r="U70" s="40" t="str">
        <f ca="1">IFERROR(IF(AND(
  INDEX(Roadmap!$D:$K,MATCH($E70,Roadmap!$D:$D,0)+COUNTIF($E70:T70,"u")+COUNTIF($E70:T70,"t")+COUNTIF($E70:T70,"¶")+COUNTIF($E70:T70,"²")+COUNTIF($E70:T70,"µ")+COUNTIF($E70:T70,1),ColLivraison)=U$6,
  VLOOKUP($E70,INDIRECT("tri!"&amp; CHAR(64+ C0Col) &amp;":"&amp; CHAR(65+C0Col)),2,FALSE)&gt;COUNTIF($E70:T70,"u")+COUNTIF($E70:T70,"t")+COUNTIF($E70:T70,"¶")+COUNTIF($E70:T70,"²")+COUNTIF($E70:T70,"µ")+COUNTIF($E70:T70,1)),
HYPERLINK("#Roadmap!C"&amp; MATCH($E70,Roadmap!$D:$D,0)+COUNTIF($E70:T70,"u")+COUNTIF($E70:T70,"t"),
     INDEX(Roadmap!$D:$K,MATCH($E70,Roadmap!$D:$D,0)+COUNTIF($E70:T70,"u")+COUNTIF($E70:T70,"t")+COUNTIF($E70:T70,"¶")+COUNTIF($E70:T70,"²")+COUNTIF($E70:T70,"µ")+COUNTIF($E70:T70,1),ColTypeEcheance)),
  IF(LEN(T70)=1,
  IF(LEN(INDEX(Roadmap!$D:$K,MATCH($E70,Roadmap!$D:$D,0)-1+COUNTIF($E70:T70,"u")+COUNTIF($E70:T70,"t")+COUNTIF($E70:T70,"¶")+COUNTIF($E70:T70,"²")+COUNTIF($E70:T70,"µ")+COUNTIF($E70:T70,1),ColDescriptionCourte))&gt;1,
HYPERLINK("#Roadmap!C"&amp; MATCH($E70,Roadmap!$D:$D,0)+COUNTIF($E70:T70,"u")+COUNTIF($E70:T70,"t")+COUNTIF($E70:T70,"¶")+COUNTIF($E70:T70,"²")+COUNTIF($E70:T70,"µ")+COUNTIF($E70:T70,1)-1,INDEX(Roadmap!$D:$K,MATCH($E70,Roadmap!$D:$D,0)-1+COUNTIF($E70:T70,"u")+COUNTIF($E70:T70,"t")+COUNTIF($E70:T70,"¶")+COUNTIF($E70:T70,"²")+COUNTIF($E70:T70,"µ")+COUNTIF($E70:T70,1),ColDescriptionCourte)),""),
  "")),"")</f>
        <v/>
      </c>
      <c r="V70" s="40" t="str">
        <f ca="1">IFERROR(IF(AND(
  INDEX(Roadmap!$D:$K,MATCH($E70,Roadmap!$D:$D,0)+COUNTIF($E70:U70,"u")+COUNTIF($E70:U70,"t")+COUNTIF($E70:U70,"¶")+COUNTIF($E70:U70,"²")+COUNTIF($E70:U70,"µ")+COUNTIF($E70:U70,1),ColLivraison)=V$6,
  VLOOKUP($E70,INDIRECT("tri!"&amp; CHAR(64+ C0Col) &amp;":"&amp; CHAR(65+C0Col)),2,FALSE)&gt;COUNTIF($E70:U70,"u")+COUNTIF($E70:U70,"t")+COUNTIF($E70:U70,"¶")+COUNTIF($E70:U70,"²")+COUNTIF($E70:U70,"µ")+COUNTIF($E70:U70,1)),
HYPERLINK("#Roadmap!C"&amp; MATCH($E70,Roadmap!$D:$D,0)+COUNTIF($E70:U70,"u")+COUNTIF($E70:U70,"t"),
     INDEX(Roadmap!$D:$K,MATCH($E70,Roadmap!$D:$D,0)+COUNTIF($E70:U70,"u")+COUNTIF($E70:U70,"t")+COUNTIF($E70:U70,"¶")+COUNTIF($E70:U70,"²")+COUNTIF($E70:U70,"µ")+COUNTIF($E70:U70,1),ColTypeEcheance)),
  IF(LEN(U70)=1,
  IF(LEN(INDEX(Roadmap!$D:$K,MATCH($E70,Roadmap!$D:$D,0)-1+COUNTIF($E70:U70,"u")+COUNTIF($E70:U70,"t")+COUNTIF($E70:U70,"¶")+COUNTIF($E70:U70,"²")+COUNTIF($E70:U70,"µ")+COUNTIF($E70:U70,1),ColDescriptionCourte))&gt;1,
HYPERLINK("#Roadmap!C"&amp; MATCH($E70,Roadmap!$D:$D,0)+COUNTIF($E70:U70,"u")+COUNTIF($E70:U70,"t")+COUNTIF($E70:U70,"¶")+COUNTIF($E70:U70,"²")+COUNTIF($E70:U70,"µ")+COUNTIF($E70:U70,1)-1,INDEX(Roadmap!$D:$K,MATCH($E70,Roadmap!$D:$D,0)-1+COUNTIF($E70:U70,"u")+COUNTIF($E70:U70,"t")+COUNTIF($E70:U70,"¶")+COUNTIF($E70:U70,"²")+COUNTIF($E70:U70,"µ")+COUNTIF($E70:U70,1),ColDescriptionCourte)),""),
  "")),"")</f>
        <v/>
      </c>
      <c r="W70" s="40" t="str">
        <f ca="1">IFERROR(IF(AND(
  INDEX(Roadmap!$D:$K,MATCH($E70,Roadmap!$D:$D,0)+COUNTIF($E70:V70,"u")+COUNTIF($E70:V70,"t")+COUNTIF($E70:V70,"¶")+COUNTIF($E70:V70,"²")+COUNTIF($E70:V70,"µ")+COUNTIF($E70:V70,1),ColLivraison)=W$6,
  VLOOKUP($E70,INDIRECT("tri!"&amp; CHAR(64+ C0Col) &amp;":"&amp; CHAR(65+C0Col)),2,FALSE)&gt;COUNTIF($E70:V70,"u")+COUNTIF($E70:V70,"t")+COUNTIF($E70:V70,"¶")+COUNTIF($E70:V70,"²")+COUNTIF($E70:V70,"µ")+COUNTIF($E70:V70,1)),
HYPERLINK("#Roadmap!C"&amp; MATCH($E70,Roadmap!$D:$D,0)+COUNTIF($E70:V70,"u")+COUNTIF($E70:V70,"t"),
     INDEX(Roadmap!$D:$K,MATCH($E70,Roadmap!$D:$D,0)+COUNTIF($E70:V70,"u")+COUNTIF($E70:V70,"t")+COUNTIF($E70:V70,"¶")+COUNTIF($E70:V70,"²")+COUNTIF($E70:V70,"µ")+COUNTIF($E70:V70,1),ColTypeEcheance)),
  IF(LEN(V70)=1,
  IF(LEN(INDEX(Roadmap!$D:$K,MATCH($E70,Roadmap!$D:$D,0)-1+COUNTIF($E70:V70,"u")+COUNTIF($E70:V70,"t")+COUNTIF($E70:V70,"¶")+COUNTIF($E70:V70,"²")+COUNTIF($E70:V70,"µ")+COUNTIF($E70:V70,1),ColDescriptionCourte))&gt;1,
HYPERLINK("#Roadmap!C"&amp; MATCH($E70,Roadmap!$D:$D,0)+COUNTIF($E70:V70,"u")+COUNTIF($E70:V70,"t")+COUNTIF($E70:V70,"¶")+COUNTIF($E70:V70,"²")+COUNTIF($E70:V70,"µ")+COUNTIF($E70:V70,1)-1,INDEX(Roadmap!$D:$K,MATCH($E70,Roadmap!$D:$D,0)-1+COUNTIF($E70:V70,"u")+COUNTIF($E70:V70,"t")+COUNTIF($E70:V70,"¶")+COUNTIF($E70:V70,"²")+COUNTIF($E70:V70,"µ")+COUNTIF($E70:V70,1),ColDescriptionCourte)),""),
  "")),"")</f>
        <v/>
      </c>
      <c r="X70" s="40" t="str">
        <f ca="1">IFERROR(IF(AND(
  INDEX(Roadmap!$D:$K,MATCH($E70,Roadmap!$D:$D,0)+COUNTIF($E70:W70,"u")+COUNTIF($E70:W70,"t")+COUNTIF($E70:W70,"¶")+COUNTIF($E70:W70,"²")+COUNTIF($E70:W70,"µ")+COUNTIF($E70:W70,1),ColLivraison)=X$6,
  VLOOKUP($E70,INDIRECT("tri!"&amp; CHAR(64+ C0Col) &amp;":"&amp; CHAR(65+C0Col)),2,FALSE)&gt;COUNTIF($E70:W70,"u")+COUNTIF($E70:W70,"t")+COUNTIF($E70:W70,"¶")+COUNTIF($E70:W70,"²")+COUNTIF($E70:W70,"µ")+COUNTIF($E70:W70,1)),
HYPERLINK("#Roadmap!C"&amp; MATCH($E70,Roadmap!$D:$D,0)+COUNTIF($E70:W70,"u")+COUNTIF($E70:W70,"t"),
     INDEX(Roadmap!$D:$K,MATCH($E70,Roadmap!$D:$D,0)+COUNTIF($E70:W70,"u")+COUNTIF($E70:W70,"t")+COUNTIF($E70:W70,"¶")+COUNTIF($E70:W70,"²")+COUNTIF($E70:W70,"µ")+COUNTIF($E70:W70,1),ColTypeEcheance)),
  IF(LEN(W70)=1,
  IF(LEN(INDEX(Roadmap!$D:$K,MATCH($E70,Roadmap!$D:$D,0)-1+COUNTIF($E70:W70,"u")+COUNTIF($E70:W70,"t")+COUNTIF($E70:W70,"¶")+COUNTIF($E70:W70,"²")+COUNTIF($E70:W70,"µ")+COUNTIF($E70:W70,1),ColDescriptionCourte))&gt;1,
HYPERLINK("#Roadmap!C"&amp; MATCH($E70,Roadmap!$D:$D,0)+COUNTIF($E70:W70,"u")+COUNTIF($E70:W70,"t")+COUNTIF($E70:W70,"¶")+COUNTIF($E70:W70,"²")+COUNTIF($E70:W70,"µ")+COUNTIF($E70:W70,1)-1,INDEX(Roadmap!$D:$K,MATCH($E70,Roadmap!$D:$D,0)-1+COUNTIF($E70:W70,"u")+COUNTIF($E70:W70,"t")+COUNTIF($E70:W70,"¶")+COUNTIF($E70:W70,"²")+COUNTIF($E70:W70,"µ")+COUNTIF($E70:W70,1),ColDescriptionCourte)),""),
  "")),"")</f>
        <v/>
      </c>
      <c r="Y70" s="40" t="str">
        <f ca="1">IFERROR(IF(AND(
  INDEX(Roadmap!$D:$K,MATCH($E70,Roadmap!$D:$D,0)+COUNTIF($E70:X70,"u")+COUNTIF($E70:X70,"t")+COUNTIF($E70:X70,"¶")+COUNTIF($E70:X70,"²")+COUNTIF($E70:X70,"µ")+COUNTIF($E70:X70,1),ColLivraison)=Y$6,
  VLOOKUP($E70,INDIRECT("tri!"&amp; CHAR(64+ C0Col) &amp;":"&amp; CHAR(65+C0Col)),2,FALSE)&gt;COUNTIF($E70:X70,"u")+COUNTIF($E70:X70,"t")+COUNTIF($E70:X70,"¶")+COUNTIF($E70:X70,"²")+COUNTIF($E70:X70,"µ")+COUNTIF($E70:X70,1)),
HYPERLINK("#Roadmap!C"&amp; MATCH($E70,Roadmap!$D:$D,0)+COUNTIF($E70:X70,"u")+COUNTIF($E70:X70,"t"),
     INDEX(Roadmap!$D:$K,MATCH($E70,Roadmap!$D:$D,0)+COUNTIF($E70:X70,"u")+COUNTIF($E70:X70,"t")+COUNTIF($E70:X70,"¶")+COUNTIF($E70:X70,"²")+COUNTIF($E70:X70,"µ")+COUNTIF($E70:X70,1),ColTypeEcheance)),
  IF(LEN(X70)=1,
  IF(LEN(INDEX(Roadmap!$D:$K,MATCH($E70,Roadmap!$D:$D,0)-1+COUNTIF($E70:X70,"u")+COUNTIF($E70:X70,"t")+COUNTIF($E70:X70,"¶")+COUNTIF($E70:X70,"²")+COUNTIF($E70:X70,"µ")+COUNTIF($E70:X70,1),ColDescriptionCourte))&gt;1,
HYPERLINK("#Roadmap!C"&amp; MATCH($E70,Roadmap!$D:$D,0)+COUNTIF($E70:X70,"u")+COUNTIF($E70:X70,"t")+COUNTIF($E70:X70,"¶")+COUNTIF($E70:X70,"²")+COUNTIF($E70:X70,"µ")+COUNTIF($E70:X70,1)-1,INDEX(Roadmap!$D:$K,MATCH($E70,Roadmap!$D:$D,0)-1+COUNTIF($E70:X70,"u")+COUNTIF($E70:X70,"t")+COUNTIF($E70:X70,"¶")+COUNTIF($E70:X70,"²")+COUNTIF($E70:X70,"µ")+COUNTIF($E70:X70,1),ColDescriptionCourte)),""),
  "")),"")</f>
        <v/>
      </c>
      <c r="Z70" s="40" t="str">
        <f ca="1">IFERROR(IF(AND(
  INDEX(Roadmap!$D:$K,MATCH($E70,Roadmap!$D:$D,0)+COUNTIF($E70:Y70,"u")+COUNTIF($E70:Y70,"t")+COUNTIF($E70:Y70,"¶")+COUNTIF($E70:Y70,"²")+COUNTIF($E70:Y70,"µ")+COUNTIF($E70:Y70,1),ColLivraison)=Z$6,
  VLOOKUP($E70,INDIRECT("tri!"&amp; CHAR(64+ C0Col) &amp;":"&amp; CHAR(65+C0Col)),2,FALSE)&gt;COUNTIF($E70:Y70,"u")+COUNTIF($E70:Y70,"t")+COUNTIF($E70:Y70,"¶")+COUNTIF($E70:Y70,"²")+COUNTIF($E70:Y70,"µ")+COUNTIF($E70:Y70,1)),
HYPERLINK("#Roadmap!C"&amp; MATCH($E70,Roadmap!$D:$D,0)+COUNTIF($E70:Y70,"u")+COUNTIF($E70:Y70,"t"),
     INDEX(Roadmap!$D:$K,MATCH($E70,Roadmap!$D:$D,0)+COUNTIF($E70:Y70,"u")+COUNTIF($E70:Y70,"t")+COUNTIF($E70:Y70,"¶")+COUNTIF($E70:Y70,"²")+COUNTIF($E70:Y70,"µ")+COUNTIF($E70:Y70,1),ColTypeEcheance)),
  IF(LEN(Y70)=1,
  IF(LEN(INDEX(Roadmap!$D:$K,MATCH($E70,Roadmap!$D:$D,0)-1+COUNTIF($E70:Y70,"u")+COUNTIF($E70:Y70,"t")+COUNTIF($E70:Y70,"¶")+COUNTIF($E70:Y70,"²")+COUNTIF($E70:Y70,"µ")+COUNTIF($E70:Y70,1),ColDescriptionCourte))&gt;1,
HYPERLINK("#Roadmap!C"&amp; MATCH($E70,Roadmap!$D:$D,0)+COUNTIF($E70:Y70,"u")+COUNTIF($E70:Y70,"t")+COUNTIF($E70:Y70,"¶")+COUNTIF($E70:Y70,"²")+COUNTIF($E70:Y70,"µ")+COUNTIF($E70:Y70,1)-1,INDEX(Roadmap!$D:$K,MATCH($E70,Roadmap!$D:$D,0)-1+COUNTIF($E70:Y70,"u")+COUNTIF($E70:Y70,"t")+COUNTIF($E70:Y70,"¶")+COUNTIF($E70:Y70,"²")+COUNTIF($E70:Y70,"µ")+COUNTIF($E70:Y70,1),ColDescriptionCourte)),""),
  "")),"")</f>
        <v/>
      </c>
      <c r="AA70" s="40" t="str">
        <f ca="1">IFERROR(IF(AND(
  INDEX(Roadmap!$D:$K,MATCH($E70,Roadmap!$D:$D,0)+COUNTIF($E70:Z70,"u")+COUNTIF($E70:Z70,"t")+COUNTIF($E70:Z70,"¶")+COUNTIF($E70:Z70,"²")+COUNTIF($E70:Z70,"µ")+COUNTIF($E70:Z70,1),ColLivraison)=AA$6,
  VLOOKUP($E70,INDIRECT("tri!"&amp; CHAR(64+ C0Col) &amp;":"&amp; CHAR(65+C0Col)),2,FALSE)&gt;COUNTIF($E70:Z70,"u")+COUNTIF($E70:Z70,"t")+COUNTIF($E70:Z70,"¶")+COUNTIF($E70:Z70,"²")+COUNTIF($E70:Z70,"µ")+COUNTIF($E70:Z70,1)),
HYPERLINK("#Roadmap!C"&amp; MATCH($E70,Roadmap!$D:$D,0)+COUNTIF($E70:Z70,"u")+COUNTIF($E70:Z70,"t"),
     INDEX(Roadmap!$D:$K,MATCH($E70,Roadmap!$D:$D,0)+COUNTIF($E70:Z70,"u")+COUNTIF($E70:Z70,"t")+COUNTIF($E70:Z70,"¶")+COUNTIF($E70:Z70,"²")+COUNTIF($E70:Z70,"µ")+COUNTIF($E70:Z70,1),ColTypeEcheance)),
  IF(LEN(Z70)=1,
  IF(LEN(INDEX(Roadmap!$D:$K,MATCH($E70,Roadmap!$D:$D,0)-1+COUNTIF($E70:Z70,"u")+COUNTIF($E70:Z70,"t")+COUNTIF($E70:Z70,"¶")+COUNTIF($E70:Z70,"²")+COUNTIF($E70:Z70,"µ")+COUNTIF($E70:Z70,1),ColDescriptionCourte))&gt;1,
HYPERLINK("#Roadmap!C"&amp; MATCH($E70,Roadmap!$D:$D,0)+COUNTIF($E70:Z70,"u")+COUNTIF($E70:Z70,"t")+COUNTIF($E70:Z70,"¶")+COUNTIF($E70:Z70,"²")+COUNTIF($E70:Z70,"µ")+COUNTIF($E70:Z70,1)-1,INDEX(Roadmap!$D:$K,MATCH($E70,Roadmap!$D:$D,0)-1+COUNTIF($E70:Z70,"u")+COUNTIF($E70:Z70,"t")+COUNTIF($E70:Z70,"¶")+COUNTIF($E70:Z70,"²")+COUNTIF($E70:Z70,"µ")+COUNTIF($E70:Z70,1),ColDescriptionCourte)),""),
  "")),"")</f>
        <v/>
      </c>
      <c r="AB70" s="40" t="str">
        <f ca="1">IFERROR(IF(AND(
  INDEX(Roadmap!$D:$K,MATCH($E70,Roadmap!$D:$D,0)+COUNTIF($E70:AA70,"u")+COUNTIF($E70:AA70,"t")+COUNTIF($E70:AA70,"¶")+COUNTIF($E70:AA70,"²")+COUNTIF($E70:AA70,"µ")+COUNTIF($E70:AA70,1),ColLivraison)=AB$6,
  VLOOKUP($E70,INDIRECT("tri!"&amp; CHAR(64+ C0Col) &amp;":"&amp; CHAR(65+C0Col)),2,FALSE)&gt;COUNTIF($E70:AA70,"u")+COUNTIF($E70:AA70,"t")+COUNTIF($E70:AA70,"¶")+COUNTIF($E70:AA70,"²")+COUNTIF($E70:AA70,"µ")+COUNTIF($E70:AA70,1)),
HYPERLINK("#Roadmap!C"&amp; MATCH($E70,Roadmap!$D:$D,0)+COUNTIF($E70:AA70,"u")+COUNTIF($E70:AA70,"t"),
     INDEX(Roadmap!$D:$K,MATCH($E70,Roadmap!$D:$D,0)+COUNTIF($E70:AA70,"u")+COUNTIF($E70:AA70,"t")+COUNTIF($E70:AA70,"¶")+COUNTIF($E70:AA70,"²")+COUNTIF($E70:AA70,"µ")+COUNTIF($E70:AA70,1),ColTypeEcheance)),
  IF(LEN(AA70)=1,
  IF(LEN(INDEX(Roadmap!$D:$K,MATCH($E70,Roadmap!$D:$D,0)-1+COUNTIF($E70:AA70,"u")+COUNTIF($E70:AA70,"t")+COUNTIF($E70:AA70,"¶")+COUNTIF($E70:AA70,"²")+COUNTIF($E70:AA70,"µ")+COUNTIF($E70:AA70,1),ColDescriptionCourte))&gt;1,
HYPERLINK("#Roadmap!C"&amp; MATCH($E70,Roadmap!$D:$D,0)+COUNTIF($E70:AA70,"u")+COUNTIF($E70:AA70,"t")+COUNTIF($E70:AA70,"¶")+COUNTIF($E70:AA70,"²")+COUNTIF($E70:AA70,"µ")+COUNTIF($E70:AA70,1)-1,INDEX(Roadmap!$D:$K,MATCH($E70,Roadmap!$D:$D,0)-1+COUNTIF($E70:AA70,"u")+COUNTIF($E70:AA70,"t")+COUNTIF($E70:AA70,"¶")+COUNTIF($E70:AA70,"²")+COUNTIF($E70:AA70,"µ")+COUNTIF($E70:AA70,1),ColDescriptionCourte)),""),
  "")),"")</f>
        <v/>
      </c>
      <c r="AC70" s="40" t="str">
        <f ca="1">IFERROR(IF(AND(
  INDEX(Roadmap!$D:$K,MATCH($E70,Roadmap!$D:$D,0)+COUNTIF($E70:AB70,"u")+COUNTIF($E70:AB70,"t")+COUNTIF($E70:AB70,"¶")+COUNTIF($E70:AB70,"²")+COUNTIF($E70:AB70,"µ")+COUNTIF($E70:AB70,1),ColLivraison)=AC$6,
  VLOOKUP($E70,INDIRECT("tri!"&amp; CHAR(64+ C0Col) &amp;":"&amp; CHAR(65+C0Col)),2,FALSE)&gt;COUNTIF($E70:AB70,"u")+COUNTIF($E70:AB70,"t")+COUNTIF($E70:AB70,"¶")+COUNTIF($E70:AB70,"²")+COUNTIF($E70:AB70,"µ")+COUNTIF($E70:AB70,1)),
HYPERLINK("#Roadmap!C"&amp; MATCH($E70,Roadmap!$D:$D,0)+COUNTIF($E70:AB70,"u")+COUNTIF($E70:AB70,"t"),
     INDEX(Roadmap!$D:$K,MATCH($E70,Roadmap!$D:$D,0)+COUNTIF($E70:AB70,"u")+COUNTIF($E70:AB70,"t")+COUNTIF($E70:AB70,"¶")+COUNTIF($E70:AB70,"²")+COUNTIF($E70:AB70,"µ")+COUNTIF($E70:AB70,1),ColTypeEcheance)),
  IF(LEN(AB70)=1,
  IF(LEN(INDEX(Roadmap!$D:$K,MATCH($E70,Roadmap!$D:$D,0)-1+COUNTIF($E70:AB70,"u")+COUNTIF($E70:AB70,"t")+COUNTIF($E70:AB70,"¶")+COUNTIF($E70:AB70,"²")+COUNTIF($E70:AB70,"µ")+COUNTIF($E70:AB70,1),ColDescriptionCourte))&gt;1,
HYPERLINK("#Roadmap!C"&amp; MATCH($E70,Roadmap!$D:$D,0)+COUNTIF($E70:AB70,"u")+COUNTIF($E70:AB70,"t")+COUNTIF($E70:AB70,"¶")+COUNTIF($E70:AB70,"²")+COUNTIF($E70:AB70,"µ")+COUNTIF($E70:AB70,1)-1,INDEX(Roadmap!$D:$K,MATCH($E70,Roadmap!$D:$D,0)-1+COUNTIF($E70:AB70,"u")+COUNTIF($E70:AB70,"t")+COUNTIF($E70:AB70,"¶")+COUNTIF($E70:AB70,"²")+COUNTIF($E70:AB70,"µ")+COUNTIF($E70:AB70,1),ColDescriptionCourte)),""),
  "")),"")</f>
        <v/>
      </c>
      <c r="AD70" s="40" t="str">
        <f ca="1">IFERROR(IF(AND(
  INDEX(Roadmap!$D:$K,MATCH($E70,Roadmap!$D:$D,0)+COUNTIF($E70:AC70,"u")+COUNTIF($E70:AC70,"t")+COUNTIF($E70:AC70,"¶")+COUNTIF($E70:AC70,"²")+COUNTIF($E70:AC70,"µ")+COUNTIF($E70:AC70,1),ColLivraison)=AD$6,
  VLOOKUP($E70,INDIRECT("tri!"&amp; CHAR(64+ C0Col) &amp;":"&amp; CHAR(65+C0Col)),2,FALSE)&gt;COUNTIF($E70:AC70,"u")+COUNTIF($E70:AC70,"t")+COUNTIF($E70:AC70,"¶")+COUNTIF($E70:AC70,"²")+COUNTIF($E70:AC70,"µ")+COUNTIF($E70:AC70,1)),
HYPERLINK("#Roadmap!C"&amp; MATCH($E70,Roadmap!$D:$D,0)+COUNTIF($E70:AC70,"u")+COUNTIF($E70:AC70,"t"),
     INDEX(Roadmap!$D:$K,MATCH($E70,Roadmap!$D:$D,0)+COUNTIF($E70:AC70,"u")+COUNTIF($E70:AC70,"t")+COUNTIF($E70:AC70,"¶")+COUNTIF($E70:AC70,"²")+COUNTIF($E70:AC70,"µ")+COUNTIF($E70:AC70,1),ColTypeEcheance)),
  IF(LEN(AC70)=1,
  IF(LEN(INDEX(Roadmap!$D:$K,MATCH($E70,Roadmap!$D:$D,0)-1+COUNTIF($E70:AC70,"u")+COUNTIF($E70:AC70,"t")+COUNTIF($E70:AC70,"¶")+COUNTIF($E70:AC70,"²")+COUNTIF($E70:AC70,"µ")+COUNTIF($E70:AC70,1),ColDescriptionCourte))&gt;1,
HYPERLINK("#Roadmap!C"&amp; MATCH($E70,Roadmap!$D:$D,0)+COUNTIF($E70:AC70,"u")+COUNTIF($E70:AC70,"t")+COUNTIF($E70:AC70,"¶")+COUNTIF($E70:AC70,"²")+COUNTIF($E70:AC70,"µ")+COUNTIF($E70:AC70,1)-1,INDEX(Roadmap!$D:$K,MATCH($E70,Roadmap!$D:$D,0)-1+COUNTIF($E70:AC70,"u")+COUNTIF($E70:AC70,"t")+COUNTIF($E70:AC70,"¶")+COUNTIF($E70:AC70,"²")+COUNTIF($E70:AC70,"µ")+COUNTIF($E70:AC70,1),ColDescriptionCourte)),""),
  "")),"")</f>
        <v/>
      </c>
      <c r="AE70" s="40" t="str">
        <f ca="1">IFERROR(IF(AND(
  INDEX(Roadmap!$D:$K,MATCH($E70,Roadmap!$D:$D,0)+COUNTIF($E70:AD70,"u")+COUNTIF($E70:AD70,"t")+COUNTIF($E70:AD70,"¶")+COUNTIF($E70:AD70,"²")+COUNTIF($E70:AD70,"µ")+COUNTIF($E70:AD70,1),ColLivraison)=AE$6,
  VLOOKUP($E70,INDIRECT("tri!"&amp; CHAR(64+ C0Col) &amp;":"&amp; CHAR(65+C0Col)),2,FALSE)&gt;COUNTIF($E70:AD70,"u")+COUNTIF($E70:AD70,"t")+COUNTIF($E70:AD70,"¶")+COUNTIF($E70:AD70,"²")+COUNTIF($E70:AD70,"µ")+COUNTIF($E70:AD70,1)),
HYPERLINK("#Roadmap!C"&amp; MATCH($E70,Roadmap!$D:$D,0)+COUNTIF($E70:AD70,"u")+COUNTIF($E70:AD70,"t"),
     INDEX(Roadmap!$D:$K,MATCH($E70,Roadmap!$D:$D,0)+COUNTIF($E70:AD70,"u")+COUNTIF($E70:AD70,"t")+COUNTIF($E70:AD70,"¶")+COUNTIF($E70:AD70,"²")+COUNTIF($E70:AD70,"µ")+COUNTIF($E70:AD70,1),ColTypeEcheance)),
  IF(LEN(AD70)=1,
  IF(LEN(INDEX(Roadmap!$D:$K,MATCH($E70,Roadmap!$D:$D,0)-1+COUNTIF($E70:AD70,"u")+COUNTIF($E70:AD70,"t")+COUNTIF($E70:AD70,"¶")+COUNTIF($E70:AD70,"²")+COUNTIF($E70:AD70,"µ")+COUNTIF($E70:AD70,1),ColDescriptionCourte))&gt;1,
HYPERLINK("#Roadmap!C"&amp; MATCH($E70,Roadmap!$D:$D,0)+COUNTIF($E70:AD70,"u")+COUNTIF($E70:AD70,"t")+COUNTIF($E70:AD70,"¶")+COUNTIF($E70:AD70,"²")+COUNTIF($E70:AD70,"µ")+COUNTIF($E70:AD70,1)-1,INDEX(Roadmap!$D:$K,MATCH($E70,Roadmap!$D:$D,0)-1+COUNTIF($E70:AD70,"u")+COUNTIF($E70:AD70,"t")+COUNTIF($E70:AD70,"¶")+COUNTIF($E70:AD70,"²")+COUNTIF($E70:AD70,"µ")+COUNTIF($E70:AD70,1),ColDescriptionCourte)),""),
  "")),"")</f>
        <v/>
      </c>
      <c r="AF70" s="40" t="str">
        <f ca="1">IFERROR(IF(AND(
  INDEX(Roadmap!$D:$K,MATCH($E70,Roadmap!$D:$D,0)+COUNTIF($E70:AE70,"u")+COUNTIF($E70:AE70,"t")+COUNTIF($E70:AE70,"¶")+COUNTIF($E70:AE70,"²")+COUNTIF($E70:AE70,"µ")+COUNTIF($E70:AE70,1),ColLivraison)=AF$6,
  VLOOKUP($E70,INDIRECT("tri!"&amp; CHAR(64+ C0Col) &amp;":"&amp; CHAR(65+C0Col)),2,FALSE)&gt;COUNTIF($E70:AE70,"u")+COUNTIF($E70:AE70,"t")+COUNTIF($E70:AE70,"¶")+COUNTIF($E70:AE70,"²")+COUNTIF($E70:AE70,"µ")+COUNTIF($E70:AE70,1)),
HYPERLINK("#Roadmap!C"&amp; MATCH($E70,Roadmap!$D:$D,0)+COUNTIF($E70:AE70,"u")+COUNTIF($E70:AE70,"t"),
     INDEX(Roadmap!$D:$K,MATCH($E70,Roadmap!$D:$D,0)+COUNTIF($E70:AE70,"u")+COUNTIF($E70:AE70,"t")+COUNTIF($E70:AE70,"¶")+COUNTIF($E70:AE70,"²")+COUNTIF($E70:AE70,"µ")+COUNTIF($E70:AE70,1),ColTypeEcheance)),
  IF(LEN(AE70)=1,
  IF(LEN(INDEX(Roadmap!$D:$K,MATCH($E70,Roadmap!$D:$D,0)-1+COUNTIF($E70:AE70,"u")+COUNTIF($E70:AE70,"t")+COUNTIF($E70:AE70,"¶")+COUNTIF($E70:AE70,"²")+COUNTIF($E70:AE70,"µ")+COUNTIF($E70:AE70,1),ColDescriptionCourte))&gt;1,
HYPERLINK("#Roadmap!C"&amp; MATCH($E70,Roadmap!$D:$D,0)+COUNTIF($E70:AE70,"u")+COUNTIF($E70:AE70,"t")+COUNTIF($E70:AE70,"¶")+COUNTIF($E70:AE70,"²")+COUNTIF($E70:AE70,"µ")+COUNTIF($E70:AE70,1)-1,INDEX(Roadmap!$D:$K,MATCH($E70,Roadmap!$D:$D,0)-1+COUNTIF($E70:AE70,"u")+COUNTIF($E70:AE70,"t")+COUNTIF($E70:AE70,"¶")+COUNTIF($E70:AE70,"²")+COUNTIF($E70:AE70,"µ")+COUNTIF($E70:AE70,1),ColDescriptionCourte)),""),
  "")),"")</f>
        <v/>
      </c>
      <c r="AG70" s="40" t="str">
        <f ca="1">IFERROR(IF(AND(
  INDEX(Roadmap!$D:$K,MATCH($E70,Roadmap!$D:$D,0)+COUNTIF($E70:AF70,"u")+COUNTIF($E70:AF70,"t")+COUNTIF($E70:AF70,"¶")+COUNTIF($E70:AF70,"²")+COUNTIF($E70:AF70,"µ")+COUNTIF($E70:AF70,1),ColLivraison)=AG$6,
  VLOOKUP($E70,INDIRECT("tri!"&amp; CHAR(64+ C0Col) &amp;":"&amp; CHAR(65+C0Col)),2,FALSE)&gt;COUNTIF($E70:AF70,"u")+COUNTIF($E70:AF70,"t")+COUNTIF($E70:AF70,"¶")+COUNTIF($E70:AF70,"²")+COUNTIF($E70:AF70,"µ")+COUNTIF($E70:AF70,1)),
HYPERLINK("#Roadmap!C"&amp; MATCH($E70,Roadmap!$D:$D,0)+COUNTIF($E70:AF70,"u")+COUNTIF($E70:AF70,"t"),
     INDEX(Roadmap!$D:$K,MATCH($E70,Roadmap!$D:$D,0)+COUNTIF($E70:AF70,"u")+COUNTIF($E70:AF70,"t")+COUNTIF($E70:AF70,"¶")+COUNTIF($E70:AF70,"²")+COUNTIF($E70:AF70,"µ")+COUNTIF($E70:AF70,1),ColTypeEcheance)),
  IF(LEN(AF70)=1,
  IF(LEN(INDEX(Roadmap!$D:$K,MATCH($E70,Roadmap!$D:$D,0)-1+COUNTIF($E70:AF70,"u")+COUNTIF($E70:AF70,"t")+COUNTIF($E70:AF70,"¶")+COUNTIF($E70:AF70,"²")+COUNTIF($E70:AF70,"µ")+COUNTIF($E70:AF70,1),ColDescriptionCourte))&gt;1,
HYPERLINK("#Roadmap!C"&amp; MATCH($E70,Roadmap!$D:$D,0)+COUNTIF($E70:AF70,"u")+COUNTIF($E70:AF70,"t")+COUNTIF($E70:AF70,"¶")+COUNTIF($E70:AF70,"²")+COUNTIF($E70:AF70,"µ")+COUNTIF($E70:AF70,1)-1,INDEX(Roadmap!$D:$K,MATCH($E70,Roadmap!$D:$D,0)-1+COUNTIF($E70:AF70,"u")+COUNTIF($E70:AF70,"t")+COUNTIF($E70:AF70,"¶")+COUNTIF($E70:AF70,"²")+COUNTIF($E70:AF70,"µ")+COUNTIF($E70:AF70,1),ColDescriptionCourte)),""),
  "")),"")</f>
        <v/>
      </c>
    </row>
    <row r="71" spans="3:33" ht="14.25" customHeight="1">
      <c r="C71" s="1" t="str">
        <f t="shared" ref="C71:C102" ca="1" si="47">IFERROR(IF(LEN(INDIRECT(ADDRESS(C0Ligne+ROW()-MaquetteLigne0,C0Col-2,1,1,"Tri")))&lt;2,"",IF(LEFT(INDIRECT(ADDRESS(C0Ligne+ROW()-MaquetteLigne0,C0Col-2,1,1,"Tri")),5)="Total","",INDIRECT(ADDRESS(C0Ligne+ROW()-MaquetteLigne0,C0Col-2,1,1,"Tri")))),"")</f>
        <v/>
      </c>
      <c r="D71" s="1" t="str">
        <f t="shared" ref="D71:D102" ca="1" si="48">IFERROR(IF(LEN(INDIRECT(ADDRESS(C0Ligne+ROW()-MaquetteLigne0,C0Col-1,1,1,"Tri")))&lt;2,"",IF(LEFT(INDIRECT(ADDRESS(C0Ligne+ROW()-MaquetteLigne0,C0Col-1,1,1,"Tri")),5)="Total","",INDIRECT(ADDRESS(C0Ligne+ROW()-MaquetteLigne0,C0Col-1,1,1,"Tri")))),"")</f>
        <v/>
      </c>
      <c r="E71" s="35" t="str">
        <f t="shared" ca="1" si="46"/>
        <v/>
      </c>
      <c r="F71" s="39" t="str">
        <f ca="1">IFERROR(IF(AND(
  INDEX(Roadmap!$D:$K,MATCH($E71,Roadmap!$D:$D,0)+COUNTIF($E71:E71,"u")+COUNTIF($E71:E71,"t")+COUNTIF($E71:E71,"¶")+COUNTIF($E71:E71,"²")+COUNTIF($E71:E71,"µ")+COUNTIF($E71:E71,1),ColLivraison)=F$6,
  VLOOKUP($E71,INDIRECT("tri!"&amp; CHAR(64+ C0Col) &amp;":"&amp; CHAR(65+C0Col)),2,FALSE)&gt;COUNTIF($E71:E71,"u")+COUNTIF($E71:E71,"t")+COUNTIF($E71:E71,"¶")+COUNTIF($E71:E71,"²")+COUNTIF($E71:E71,"µ")+COUNTIF($E71:E71,1)),
HYPERLINK("#Roadmap!C"&amp; MATCH($E71,Roadmap!$D:$D,0)+COUNTIF($E71:E71,"u")+COUNTIF($E71:E71,"t"),
     INDEX(Roadmap!$D:$K,MATCH($E71,Roadmap!$D:$D,0)+COUNTIF($E71:E71,"u")+COUNTIF($E71:E71,"t")+COUNTIF($E71:E71,"¶")+COUNTIF($E71:E71,"²")+COUNTIF($E71:E71,"µ")+COUNTIF($E71:E71,1),ColTypeEcheance)),
  IF(LEN(E71)=1,
  IF(LEN(INDEX(Roadmap!$D:$K,MATCH($E71,Roadmap!$D:$D,0)-1+COUNTIF($E71:E71,"u")+COUNTIF($E71:E71,"t")+COUNTIF($E71:E71,"¶")+COUNTIF($E71:E71,"²")+COUNTIF($E71:E71,"µ")+COUNTIF($E71:E71,1),ColDescriptionCourte))&gt;1,
HYPERLINK("#Roadmap!C"&amp; MATCH($E71,Roadmap!$D:$D,0)+COUNTIF($E71:E71,"u")+COUNTIF($E71:E71,"t")+COUNTIF($E71:E71,"¶")+COUNTIF($E71:E71,"²")+COUNTIF($E71:E71,"µ")+COUNTIF($E71:E71,1)-1,INDEX(Roadmap!$D:$K,MATCH($E71,Roadmap!$D:$D,0)-1+COUNTIF($E71:E71,"u")+COUNTIF($E71:E71,"t")+COUNTIF($E71:E71,"¶")+COUNTIF($E71:E71,"²")+COUNTIF($E71:E71,"µ")+COUNTIF($E71:E71,1),ColDescriptionCourte)),""),
  "")),"")</f>
        <v/>
      </c>
      <c r="G71" s="40" t="str">
        <f ca="1">IFERROR(IF(AND(
  INDEX(Roadmap!$D:$K,MATCH($E71,Roadmap!$D:$D,0)+COUNTIF($E71:F71,"u")+COUNTIF($E71:F71,"t")+COUNTIF($E71:F71,"¶")+COUNTIF($E71:F71,"²")+COUNTIF($E71:F71,"µ")+COUNTIF($E71:F71,1),ColLivraison)=G$6,
  VLOOKUP($E71,INDIRECT("tri!"&amp; CHAR(64+ C0Col) &amp;":"&amp; CHAR(65+C0Col)),2,FALSE)&gt;COUNTIF($E71:F71,"u")+COUNTIF($E71:F71,"t")+COUNTIF($E71:F71,"¶")+COUNTIF($E71:F71,"²")+COUNTIF($E71:F71,"µ")+COUNTIF($E71:F71,1)),
HYPERLINK("#Roadmap!C"&amp; MATCH($E71,Roadmap!$D:$D,0)+COUNTIF($E71:F71,"u")+COUNTIF($E71:F71,"t"),
     INDEX(Roadmap!$D:$K,MATCH($E71,Roadmap!$D:$D,0)+COUNTIF($E71:F71,"u")+COUNTIF($E71:F71,"t")+COUNTIF($E71:F71,"¶")+COUNTIF($E71:F71,"²")+COUNTIF($E71:F71,"µ")+COUNTIF($E71:F71,1),ColTypeEcheance)),
  IF(LEN(F71)=1,
  IF(LEN(INDEX(Roadmap!$D:$K,MATCH($E71,Roadmap!$D:$D,0)-1+COUNTIF($E71:F71,"u")+COUNTIF($E71:F71,"t")+COUNTIF($E71:F71,"¶")+COUNTIF($E71:F71,"²")+COUNTIF($E71:F71,"µ")+COUNTIF($E71:F71,1),ColDescriptionCourte))&gt;1,
HYPERLINK("#Roadmap!C"&amp; MATCH($E71,Roadmap!$D:$D,0)+COUNTIF($E71:F71,"u")+COUNTIF($E71:F71,"t")+COUNTIF($E71:F71,"¶")+COUNTIF($E71:F71,"²")+COUNTIF($E71:F71,"µ")+COUNTIF($E71:F71,1)-1,INDEX(Roadmap!$D:$K,MATCH($E71,Roadmap!$D:$D,0)-1+COUNTIF($E71:F71,"u")+COUNTIF($E71:F71,"t")+COUNTIF($E71:F71,"¶")+COUNTIF($E71:F71,"²")+COUNTIF($E71:F71,"µ")+COUNTIF($E71:F71,1),ColDescriptionCourte)),""),
  "")),"")</f>
        <v/>
      </c>
      <c r="H71" s="40" t="str">
        <f ca="1">IFERROR(IF(AND(
  INDEX(Roadmap!$D:$K,MATCH($E71,Roadmap!$D:$D,0)+COUNTIF($E71:G71,"u")+COUNTIF($E71:G71,"t")+COUNTIF($E71:G71,"¶")+COUNTIF($E71:G71,"²")+COUNTIF($E71:G71,"µ")+COUNTIF($E71:G71,1),ColLivraison)=H$6,
  VLOOKUP($E71,INDIRECT("tri!"&amp; CHAR(64+ C0Col) &amp;":"&amp; CHAR(65+C0Col)),2,FALSE)&gt;COUNTIF($E71:G71,"u")+COUNTIF($E71:G71,"t")+COUNTIF($E71:G71,"¶")+COUNTIF($E71:G71,"²")+COUNTIF($E71:G71,"µ")+COUNTIF($E71:G71,1)),
HYPERLINK("#Roadmap!C"&amp; MATCH($E71,Roadmap!$D:$D,0)+COUNTIF($E71:G71,"u")+COUNTIF($E71:G71,"t"),
     INDEX(Roadmap!$D:$K,MATCH($E71,Roadmap!$D:$D,0)+COUNTIF($E71:G71,"u")+COUNTIF($E71:G71,"t")+COUNTIF($E71:G71,"¶")+COUNTIF($E71:G71,"²")+COUNTIF($E71:G71,"µ")+COUNTIF($E71:G71,1),ColTypeEcheance)),
  IF(LEN(G71)=1,
  IF(LEN(INDEX(Roadmap!$D:$K,MATCH($E71,Roadmap!$D:$D,0)-1+COUNTIF($E71:G71,"u")+COUNTIF($E71:G71,"t")+COUNTIF($E71:G71,"¶")+COUNTIF($E71:G71,"²")+COUNTIF($E71:G71,"µ")+COUNTIF($E71:G71,1),ColDescriptionCourte))&gt;1,
HYPERLINK("#Roadmap!C"&amp; MATCH($E71,Roadmap!$D:$D,0)+COUNTIF($E71:G71,"u")+COUNTIF($E71:G71,"t")+COUNTIF($E71:G71,"¶")+COUNTIF($E71:G71,"²")+COUNTIF($E71:G71,"µ")+COUNTIF($E71:G71,1)-1,INDEX(Roadmap!$D:$K,MATCH($E71,Roadmap!$D:$D,0)-1+COUNTIF($E71:G71,"u")+COUNTIF($E71:G71,"t")+COUNTIF($E71:G71,"¶")+COUNTIF($E71:G71,"²")+COUNTIF($E71:G71,"µ")+COUNTIF($E71:G71,1),ColDescriptionCourte)),""),
  "")),"")</f>
        <v/>
      </c>
      <c r="I71" s="40" t="str">
        <f ca="1">IFERROR(IF(AND(
  INDEX(Roadmap!$D:$K,MATCH($E71,Roadmap!$D:$D,0)+COUNTIF($E71:H71,"u")+COUNTIF($E71:H71,"t")+COUNTIF($E71:H71,"¶")+COUNTIF($E71:H71,"²")+COUNTIF($E71:H71,"µ")+COUNTIF($E71:H71,1),ColLivraison)=I$6,
  VLOOKUP($E71,INDIRECT("tri!"&amp; CHAR(64+ C0Col) &amp;":"&amp; CHAR(65+C0Col)),2,FALSE)&gt;COUNTIF($E71:H71,"u")+COUNTIF($E71:H71,"t")+COUNTIF($E71:H71,"¶")+COUNTIF($E71:H71,"²")+COUNTIF($E71:H71,"µ")+COUNTIF($E71:H71,1)),
HYPERLINK("#Roadmap!C"&amp; MATCH($E71,Roadmap!$D:$D,0)+COUNTIF($E71:H71,"u")+COUNTIF($E71:H71,"t"),
     INDEX(Roadmap!$D:$K,MATCH($E71,Roadmap!$D:$D,0)+COUNTIF($E71:H71,"u")+COUNTIF($E71:H71,"t")+COUNTIF($E71:H71,"¶")+COUNTIF($E71:H71,"²")+COUNTIF($E71:H71,"µ")+COUNTIF($E71:H71,1),ColTypeEcheance)),
  IF(LEN(H71)=1,
  IF(LEN(INDEX(Roadmap!$D:$K,MATCH($E71,Roadmap!$D:$D,0)-1+COUNTIF($E71:H71,"u")+COUNTIF($E71:H71,"t")+COUNTIF($E71:H71,"¶")+COUNTIF($E71:H71,"²")+COUNTIF($E71:H71,"µ")+COUNTIF($E71:H71,1),ColDescriptionCourte))&gt;1,
HYPERLINK("#Roadmap!C"&amp; MATCH($E71,Roadmap!$D:$D,0)+COUNTIF($E71:H71,"u")+COUNTIF($E71:H71,"t")+COUNTIF($E71:H71,"¶")+COUNTIF($E71:H71,"²")+COUNTIF($E71:H71,"µ")+COUNTIF($E71:H71,1)-1,INDEX(Roadmap!$D:$K,MATCH($E71,Roadmap!$D:$D,0)-1+COUNTIF($E71:H71,"u")+COUNTIF($E71:H71,"t")+COUNTIF($E71:H71,"¶")+COUNTIF($E71:H71,"²")+COUNTIF($E71:H71,"µ")+COUNTIF($E71:H71,1),ColDescriptionCourte)),""),
  "")),"")</f>
        <v/>
      </c>
      <c r="J71" s="40" t="str">
        <f ca="1">IFERROR(IF(AND(
  INDEX(Roadmap!$D:$K,MATCH($E71,Roadmap!$D:$D,0)+COUNTIF($E71:I71,"u")+COUNTIF($E71:I71,"t")+COUNTIF($E71:I71,"¶")+COUNTIF($E71:I71,"²")+COUNTIF($E71:I71,"µ")+COUNTIF($E71:I71,1),ColLivraison)=J$6,
  VLOOKUP($E71,INDIRECT("tri!"&amp; CHAR(64+ C0Col) &amp;":"&amp; CHAR(65+C0Col)),2,FALSE)&gt;COUNTIF($E71:I71,"u")+COUNTIF($E71:I71,"t")+COUNTIF($E71:I71,"¶")+COUNTIF($E71:I71,"²")+COUNTIF($E71:I71,"µ")+COUNTIF($E71:I71,1)),
HYPERLINK("#Roadmap!C"&amp; MATCH($E71,Roadmap!$D:$D,0)+COUNTIF($E71:I71,"u")+COUNTIF($E71:I71,"t"),
     INDEX(Roadmap!$D:$K,MATCH($E71,Roadmap!$D:$D,0)+COUNTIF($E71:I71,"u")+COUNTIF($E71:I71,"t")+COUNTIF($E71:I71,"¶")+COUNTIF($E71:I71,"²")+COUNTIF($E71:I71,"µ")+COUNTIF($E71:I71,1),ColTypeEcheance)),
  IF(LEN(I71)=1,
  IF(LEN(INDEX(Roadmap!$D:$K,MATCH($E71,Roadmap!$D:$D,0)-1+COUNTIF($E71:I71,"u")+COUNTIF($E71:I71,"t")+COUNTIF($E71:I71,"¶")+COUNTIF($E71:I71,"²")+COUNTIF($E71:I71,"µ")+COUNTIF($E71:I71,1),ColDescriptionCourte))&gt;1,
HYPERLINK("#Roadmap!C"&amp; MATCH($E71,Roadmap!$D:$D,0)+COUNTIF($E71:I71,"u")+COUNTIF($E71:I71,"t")+COUNTIF($E71:I71,"¶")+COUNTIF($E71:I71,"²")+COUNTIF($E71:I71,"µ")+COUNTIF($E71:I71,1)-1,INDEX(Roadmap!$D:$K,MATCH($E71,Roadmap!$D:$D,0)-1+COUNTIF($E71:I71,"u")+COUNTIF($E71:I71,"t")+COUNTIF($E71:I71,"¶")+COUNTIF($E71:I71,"²")+COUNTIF($E71:I71,"µ")+COUNTIF($E71:I71,1),ColDescriptionCourte)),""),
  "")),"")</f>
        <v/>
      </c>
      <c r="K71" s="40" t="str">
        <f ca="1">IFERROR(IF(AND(
  INDEX(Roadmap!$D:$K,MATCH($E71,Roadmap!$D:$D,0)+COUNTIF($E71:J71,"u")+COUNTIF($E71:J71,"t")+COUNTIF($E71:J71,"¶")+COUNTIF($E71:J71,"²")+COUNTIF($E71:J71,"µ")+COUNTIF($E71:J71,1),ColLivraison)=K$6,
  VLOOKUP($E71,INDIRECT("tri!"&amp; CHAR(64+ C0Col) &amp;":"&amp; CHAR(65+C0Col)),2,FALSE)&gt;COUNTIF($E71:J71,"u")+COUNTIF($E71:J71,"t")+COUNTIF($E71:J71,"¶")+COUNTIF($E71:J71,"²")+COUNTIF($E71:J71,"µ")+COUNTIF($E71:J71,1)),
HYPERLINK("#Roadmap!C"&amp; MATCH($E71,Roadmap!$D:$D,0)+COUNTIF($E71:J71,"u")+COUNTIF($E71:J71,"t"),
     INDEX(Roadmap!$D:$K,MATCH($E71,Roadmap!$D:$D,0)+COUNTIF($E71:J71,"u")+COUNTIF($E71:J71,"t")+COUNTIF($E71:J71,"¶")+COUNTIF($E71:J71,"²")+COUNTIF($E71:J71,"µ")+COUNTIF($E71:J71,1),ColTypeEcheance)),
  IF(LEN(J71)=1,
  IF(LEN(INDEX(Roadmap!$D:$K,MATCH($E71,Roadmap!$D:$D,0)-1+COUNTIF($E71:J71,"u")+COUNTIF($E71:J71,"t")+COUNTIF($E71:J71,"¶")+COUNTIF($E71:J71,"²")+COUNTIF($E71:J71,"µ")+COUNTIF($E71:J71,1),ColDescriptionCourte))&gt;1,
HYPERLINK("#Roadmap!C"&amp; MATCH($E71,Roadmap!$D:$D,0)+COUNTIF($E71:J71,"u")+COUNTIF($E71:J71,"t")+COUNTIF($E71:J71,"¶")+COUNTIF($E71:J71,"²")+COUNTIF($E71:J71,"µ")+COUNTIF($E71:J71,1)-1,INDEX(Roadmap!$D:$K,MATCH($E71,Roadmap!$D:$D,0)-1+COUNTIF($E71:J71,"u")+COUNTIF($E71:J71,"t")+COUNTIF($E71:J71,"¶")+COUNTIF($E71:J71,"²")+COUNTIF($E71:J71,"µ")+COUNTIF($E71:J71,1),ColDescriptionCourte)),""),
  "")),"")</f>
        <v/>
      </c>
      <c r="L71" s="39" t="str">
        <f ca="1">IFERROR(IF(AND(
  INDEX(Roadmap!$D:$K,MATCH($E71,Roadmap!$D:$D,0)+COUNTIF($E71:K71,"u")+COUNTIF($E71:K71,"t")+COUNTIF($E71:K71,"¶")+COUNTIF($E71:K71,"²")+COUNTIF($E71:K71,"µ")+COUNTIF($E71:K71,1),ColLivraison)=L$6,
  VLOOKUP($E71,INDIRECT("tri!"&amp; CHAR(64+ C0Col) &amp;":"&amp; CHAR(65+C0Col)),2,FALSE)&gt;COUNTIF($E71:K71,"u")+COUNTIF($E71:K71,"t")+COUNTIF($E71:K71,"¶")+COUNTIF($E71:K71,"²")+COUNTIF($E71:K71,"µ")+COUNTIF($E71:K71,1)),
HYPERLINK("#Roadmap!C"&amp; MATCH($E71,Roadmap!$D:$D,0)+COUNTIF($E71:K71,"u")+COUNTIF($E71:K71,"t"),
     INDEX(Roadmap!$D:$K,MATCH($E71,Roadmap!$D:$D,0)+COUNTIF($E71:K71,"u")+COUNTIF($E71:K71,"t")+COUNTIF($E71:K71,"¶")+COUNTIF($E71:K71,"²")+COUNTIF($E71:K71,"µ")+COUNTIF($E71:K71,1),ColTypeEcheance)),
  IF(LEN(K71)=1,
  IF(LEN(INDEX(Roadmap!$D:$K,MATCH($E71,Roadmap!$D:$D,0)-1+COUNTIF($E71:K71,"u")+COUNTIF($E71:K71,"t")+COUNTIF($E71:K71,"¶")+COUNTIF($E71:K71,"²")+COUNTIF($E71:K71,"µ")+COUNTIF($E71:K71,1),ColDescriptionCourte))&gt;1,
HYPERLINK("#Roadmap!C"&amp; MATCH($E71,Roadmap!$D:$D,0)+COUNTIF($E71:K71,"u")+COUNTIF($E71:K71,"t")+COUNTIF($E71:K71,"¶")+COUNTIF($E71:K71,"²")+COUNTIF($E71:K71,"µ")+COUNTIF($E71:K71,1)-1,INDEX(Roadmap!$D:$K,MATCH($E71,Roadmap!$D:$D,0)-1+COUNTIF($E71:K71,"u")+COUNTIF($E71:K71,"t")+COUNTIF($E71:K71,"¶")+COUNTIF($E71:K71,"²")+COUNTIF($E71:K71,"µ")+COUNTIF($E71:K71,1),ColDescriptionCourte)),""),
  "")),"")</f>
        <v/>
      </c>
      <c r="M71" s="40" t="str">
        <f ca="1">IFERROR(IF(AND(
  INDEX(Roadmap!$D:$K,MATCH($E71,Roadmap!$D:$D,0)+COUNTIF($E71:L71,"u")+COUNTIF($E71:L71,"t")+COUNTIF($E71:L71,"¶")+COUNTIF($E71:L71,"²")+COUNTIF($E71:L71,"µ")+COUNTIF($E71:L71,1),ColLivraison)=M$6,
  VLOOKUP($E71,INDIRECT("tri!"&amp; CHAR(64+ C0Col) &amp;":"&amp; CHAR(65+C0Col)),2,FALSE)&gt;COUNTIF($E71:L71,"u")+COUNTIF($E71:L71,"t")+COUNTIF($E71:L71,"¶")+COUNTIF($E71:L71,"²")+COUNTIF($E71:L71,"µ")+COUNTIF($E71:L71,1)),
HYPERLINK("#Roadmap!C"&amp; MATCH($E71,Roadmap!$D:$D,0)+COUNTIF($E71:L71,"u")+COUNTIF($E71:L71,"t"),
     INDEX(Roadmap!$D:$K,MATCH($E71,Roadmap!$D:$D,0)+COUNTIF($E71:L71,"u")+COUNTIF($E71:L71,"t")+COUNTIF($E71:L71,"¶")+COUNTIF($E71:L71,"²")+COUNTIF($E71:L71,"µ")+COUNTIF($E71:L71,1),ColTypeEcheance)),
  IF(LEN(L71)=1,
  IF(LEN(INDEX(Roadmap!$D:$K,MATCH($E71,Roadmap!$D:$D,0)-1+COUNTIF($E71:L71,"u")+COUNTIF($E71:L71,"t")+COUNTIF($E71:L71,"¶")+COUNTIF($E71:L71,"²")+COUNTIF($E71:L71,"µ")+COUNTIF($E71:L71,1),ColDescriptionCourte))&gt;1,
HYPERLINK("#Roadmap!C"&amp; MATCH($E71,Roadmap!$D:$D,0)+COUNTIF($E71:L71,"u")+COUNTIF($E71:L71,"t")+COUNTIF($E71:L71,"¶")+COUNTIF($E71:L71,"²")+COUNTIF($E71:L71,"µ")+COUNTIF($E71:L71,1)-1,INDEX(Roadmap!$D:$K,MATCH($E71,Roadmap!$D:$D,0)-1+COUNTIF($E71:L71,"u")+COUNTIF($E71:L71,"t")+COUNTIF($E71:L71,"¶")+COUNTIF($E71:L71,"²")+COUNTIF($E71:L71,"µ")+COUNTIF($E71:L71,1),ColDescriptionCourte)),""),
  "")),"")</f>
        <v/>
      </c>
      <c r="N71" s="40" t="str">
        <f ca="1">IFERROR(IF(AND(
  INDEX(Roadmap!$D:$K,MATCH($E71,Roadmap!$D:$D,0)+COUNTIF($E71:M71,"u")+COUNTIF($E71:M71,"t")+COUNTIF($E71:M71,"¶")+COUNTIF($E71:M71,"²")+COUNTIF($E71:M71,"µ")+COUNTIF($E71:M71,1),ColLivraison)=N$6,
  VLOOKUP($E71,INDIRECT("tri!"&amp; CHAR(64+ C0Col) &amp;":"&amp; CHAR(65+C0Col)),2,FALSE)&gt;COUNTIF($E71:M71,"u")+COUNTIF($E71:M71,"t")+COUNTIF($E71:M71,"¶")+COUNTIF($E71:M71,"²")+COUNTIF($E71:M71,"µ")+COUNTIF($E71:M71,1)),
HYPERLINK("#Roadmap!C"&amp; MATCH($E71,Roadmap!$D:$D,0)+COUNTIF($E71:M71,"u")+COUNTIF($E71:M71,"t"),
     INDEX(Roadmap!$D:$K,MATCH($E71,Roadmap!$D:$D,0)+COUNTIF($E71:M71,"u")+COUNTIF($E71:M71,"t")+COUNTIF($E71:M71,"¶")+COUNTIF($E71:M71,"²")+COUNTIF($E71:M71,"µ")+COUNTIF($E71:M71,1),ColTypeEcheance)),
  IF(LEN(M71)=1,
  IF(LEN(INDEX(Roadmap!$D:$K,MATCH($E71,Roadmap!$D:$D,0)-1+COUNTIF($E71:M71,"u")+COUNTIF($E71:M71,"t")+COUNTIF($E71:M71,"¶")+COUNTIF($E71:M71,"²")+COUNTIF($E71:M71,"µ")+COUNTIF($E71:M71,1),ColDescriptionCourte))&gt;1,
HYPERLINK("#Roadmap!C"&amp; MATCH($E71,Roadmap!$D:$D,0)+COUNTIF($E71:M71,"u")+COUNTIF($E71:M71,"t")+COUNTIF($E71:M71,"¶")+COUNTIF($E71:M71,"²")+COUNTIF($E71:M71,"µ")+COUNTIF($E71:M71,1)-1,INDEX(Roadmap!$D:$K,MATCH($E71,Roadmap!$D:$D,0)-1+COUNTIF($E71:M71,"u")+COUNTIF($E71:M71,"t")+COUNTIF($E71:M71,"¶")+COUNTIF($E71:M71,"²")+COUNTIF($E71:M71,"µ")+COUNTIF($E71:M71,1),ColDescriptionCourte)),""),
  "")),"")</f>
        <v/>
      </c>
      <c r="O71" s="40" t="str">
        <f ca="1">IFERROR(IF(AND(
  INDEX(Roadmap!$D:$K,MATCH($E71,Roadmap!$D:$D,0)+COUNTIF($E71:N71,"u")+COUNTIF($E71:N71,"t")+COUNTIF($E71:N71,"¶")+COUNTIF($E71:N71,"²")+COUNTIF($E71:N71,"µ")+COUNTIF($E71:N71,1),ColLivraison)=O$6,
  VLOOKUP($E71,INDIRECT("tri!"&amp; CHAR(64+ C0Col) &amp;":"&amp; CHAR(65+C0Col)),2,FALSE)&gt;COUNTIF($E71:N71,"u")+COUNTIF($E71:N71,"t")+COUNTIF($E71:N71,"¶")+COUNTIF($E71:N71,"²")+COUNTIF($E71:N71,"µ")+COUNTIF($E71:N71,1)),
HYPERLINK("#Roadmap!C"&amp; MATCH($E71,Roadmap!$D:$D,0)+COUNTIF($E71:N71,"u")+COUNTIF($E71:N71,"t"),
     INDEX(Roadmap!$D:$K,MATCH($E71,Roadmap!$D:$D,0)+COUNTIF($E71:N71,"u")+COUNTIF($E71:N71,"t")+COUNTIF($E71:N71,"¶")+COUNTIF($E71:N71,"²")+COUNTIF($E71:N71,"µ")+COUNTIF($E71:N71,1),ColTypeEcheance)),
  IF(LEN(N71)=1,
  IF(LEN(INDEX(Roadmap!$D:$K,MATCH($E71,Roadmap!$D:$D,0)-1+COUNTIF($E71:N71,"u")+COUNTIF($E71:N71,"t")+COUNTIF($E71:N71,"¶")+COUNTIF($E71:N71,"²")+COUNTIF($E71:N71,"µ")+COUNTIF($E71:N71,1),ColDescriptionCourte))&gt;1,
HYPERLINK("#Roadmap!C"&amp; MATCH($E71,Roadmap!$D:$D,0)+COUNTIF($E71:N71,"u")+COUNTIF($E71:N71,"t")+COUNTIF($E71:N71,"¶")+COUNTIF($E71:N71,"²")+COUNTIF($E71:N71,"µ")+COUNTIF($E71:N71,1)-1,INDEX(Roadmap!$D:$K,MATCH($E71,Roadmap!$D:$D,0)-1+COUNTIF($E71:N71,"u")+COUNTIF($E71:N71,"t")+COUNTIF($E71:N71,"¶")+COUNTIF($E71:N71,"²")+COUNTIF($E71:N71,"µ")+COUNTIF($E71:N71,1),ColDescriptionCourte)),""),
  "")),"")</f>
        <v/>
      </c>
      <c r="P71" s="40" t="str">
        <f ca="1">IFERROR(IF(AND(
  INDEX(Roadmap!$D:$K,MATCH($E71,Roadmap!$D:$D,0)+COUNTIF($E71:O71,"u")+COUNTIF($E71:O71,"t")+COUNTIF($E71:O71,"¶")+COUNTIF($E71:O71,"²")+COUNTIF($E71:O71,"µ")+COUNTIF($E71:O71,1),ColLivraison)=P$6,
  VLOOKUP($E71,INDIRECT("tri!"&amp; CHAR(64+ C0Col) &amp;":"&amp; CHAR(65+C0Col)),2,FALSE)&gt;COUNTIF($E71:O71,"u")+COUNTIF($E71:O71,"t")+COUNTIF($E71:O71,"¶")+COUNTIF($E71:O71,"²")+COUNTIF($E71:O71,"µ")+COUNTIF($E71:O71,1)),
HYPERLINK("#Roadmap!C"&amp; MATCH($E71,Roadmap!$D:$D,0)+COUNTIF($E71:O71,"u")+COUNTIF($E71:O71,"t"),
     INDEX(Roadmap!$D:$K,MATCH($E71,Roadmap!$D:$D,0)+COUNTIF($E71:O71,"u")+COUNTIF($E71:O71,"t")+COUNTIF($E71:O71,"¶")+COUNTIF($E71:O71,"²")+COUNTIF($E71:O71,"µ")+COUNTIF($E71:O71,1),ColTypeEcheance)),
  IF(LEN(O71)=1,
  IF(LEN(INDEX(Roadmap!$D:$K,MATCH($E71,Roadmap!$D:$D,0)-1+COUNTIF($E71:O71,"u")+COUNTIF($E71:O71,"t")+COUNTIF($E71:O71,"¶")+COUNTIF($E71:O71,"²")+COUNTIF($E71:O71,"µ")+COUNTIF($E71:O71,1),ColDescriptionCourte))&gt;1,
HYPERLINK("#Roadmap!C"&amp; MATCH($E71,Roadmap!$D:$D,0)+COUNTIF($E71:O71,"u")+COUNTIF($E71:O71,"t")+COUNTIF($E71:O71,"¶")+COUNTIF($E71:O71,"²")+COUNTIF($E71:O71,"µ")+COUNTIF($E71:O71,1)-1,INDEX(Roadmap!$D:$K,MATCH($E71,Roadmap!$D:$D,0)-1+COUNTIF($E71:O71,"u")+COUNTIF($E71:O71,"t")+COUNTIF($E71:O71,"¶")+COUNTIF($E71:O71,"²")+COUNTIF($E71:O71,"µ")+COUNTIF($E71:O71,1),ColDescriptionCourte)),""),
  "")),"")</f>
        <v/>
      </c>
      <c r="Q71" s="40" t="str">
        <f ca="1">IFERROR(IF(AND(
  INDEX(Roadmap!$D:$K,MATCH($E71,Roadmap!$D:$D,0)+COUNTIF($E71:P71,"u")+COUNTIF($E71:P71,"t")+COUNTIF($E71:P71,"¶")+COUNTIF($E71:P71,"²")+COUNTIF($E71:P71,"µ")+COUNTIF($E71:P71,1),ColLivraison)=Q$6,
  VLOOKUP($E71,INDIRECT("tri!"&amp; CHAR(64+ C0Col) &amp;":"&amp; CHAR(65+C0Col)),2,FALSE)&gt;COUNTIF($E71:P71,"u")+COUNTIF($E71:P71,"t")+COUNTIF($E71:P71,"¶")+COUNTIF($E71:P71,"²")+COUNTIF($E71:P71,"µ")+COUNTIF($E71:P71,1)),
HYPERLINK("#Roadmap!C"&amp; MATCH($E71,Roadmap!$D:$D,0)+COUNTIF($E71:P71,"u")+COUNTIF($E71:P71,"t"),
     INDEX(Roadmap!$D:$K,MATCH($E71,Roadmap!$D:$D,0)+COUNTIF($E71:P71,"u")+COUNTIF($E71:P71,"t")+COUNTIF($E71:P71,"¶")+COUNTIF($E71:P71,"²")+COUNTIF($E71:P71,"µ")+COUNTIF($E71:P71,1),ColTypeEcheance)),
  IF(LEN(P71)=1,
  IF(LEN(INDEX(Roadmap!$D:$K,MATCH($E71,Roadmap!$D:$D,0)-1+COUNTIF($E71:P71,"u")+COUNTIF($E71:P71,"t")+COUNTIF($E71:P71,"¶")+COUNTIF($E71:P71,"²")+COUNTIF($E71:P71,"µ")+COUNTIF($E71:P71,1),ColDescriptionCourte))&gt;1,
HYPERLINK("#Roadmap!C"&amp; MATCH($E71,Roadmap!$D:$D,0)+COUNTIF($E71:P71,"u")+COUNTIF($E71:P71,"t")+COUNTIF($E71:P71,"¶")+COUNTIF($E71:P71,"²")+COUNTIF($E71:P71,"µ")+COUNTIF($E71:P71,1)-1,INDEX(Roadmap!$D:$K,MATCH($E71,Roadmap!$D:$D,0)-1+COUNTIF($E71:P71,"u")+COUNTIF($E71:P71,"t")+COUNTIF($E71:P71,"¶")+COUNTIF($E71:P71,"²")+COUNTIF($E71:P71,"µ")+COUNTIF($E71:P71,1),ColDescriptionCourte)),""),
  "")),"")</f>
        <v/>
      </c>
      <c r="R71" s="40" t="str">
        <f ca="1">IFERROR(IF(AND(
  INDEX(Roadmap!$D:$K,MATCH($E71,Roadmap!$D:$D,0)+COUNTIF($E71:Q71,"u")+COUNTIF($E71:Q71,"t")+COUNTIF($E71:Q71,"¶")+COUNTIF($E71:Q71,"²")+COUNTIF($E71:Q71,"µ")+COUNTIF($E71:Q71,1),ColLivraison)=R$6,
  VLOOKUP($E71,INDIRECT("tri!"&amp; CHAR(64+ C0Col) &amp;":"&amp; CHAR(65+C0Col)),2,FALSE)&gt;COUNTIF($E71:Q71,"u")+COUNTIF($E71:Q71,"t")+COUNTIF($E71:Q71,"¶")+COUNTIF($E71:Q71,"²")+COUNTIF($E71:Q71,"µ")+COUNTIF($E71:Q71,1)),
HYPERLINK("#Roadmap!C"&amp; MATCH($E71,Roadmap!$D:$D,0)+COUNTIF($E71:Q71,"u")+COUNTIF($E71:Q71,"t"),
     INDEX(Roadmap!$D:$K,MATCH($E71,Roadmap!$D:$D,0)+COUNTIF($E71:Q71,"u")+COUNTIF($E71:Q71,"t")+COUNTIF($E71:Q71,"¶")+COUNTIF($E71:Q71,"²")+COUNTIF($E71:Q71,"µ")+COUNTIF($E71:Q71,1),ColTypeEcheance)),
  IF(LEN(Q71)=1,
  IF(LEN(INDEX(Roadmap!$D:$K,MATCH($E71,Roadmap!$D:$D,0)-1+COUNTIF($E71:Q71,"u")+COUNTIF($E71:Q71,"t")+COUNTIF($E71:Q71,"¶")+COUNTIF($E71:Q71,"²")+COUNTIF($E71:Q71,"µ")+COUNTIF($E71:Q71,1),ColDescriptionCourte))&gt;1,
HYPERLINK("#Roadmap!C"&amp; MATCH($E71,Roadmap!$D:$D,0)+COUNTIF($E71:Q71,"u")+COUNTIF($E71:Q71,"t")+COUNTIF($E71:Q71,"¶")+COUNTIF($E71:Q71,"²")+COUNTIF($E71:Q71,"µ")+COUNTIF($E71:Q71,1)-1,INDEX(Roadmap!$D:$K,MATCH($E71,Roadmap!$D:$D,0)-1+COUNTIF($E71:Q71,"u")+COUNTIF($E71:Q71,"t")+COUNTIF($E71:Q71,"¶")+COUNTIF($E71:Q71,"²")+COUNTIF($E71:Q71,"µ")+COUNTIF($E71:Q71,1),ColDescriptionCourte)),""),
  "")),"")</f>
        <v/>
      </c>
      <c r="S71" s="40" t="str">
        <f ca="1">IFERROR(IF(AND(
  INDEX(Roadmap!$D:$K,MATCH($E71,Roadmap!$D:$D,0)+COUNTIF($E71:R71,"u")+COUNTIF($E71:R71,"t")+COUNTIF($E71:R71,"¶")+COUNTIF($E71:R71,"²")+COUNTIF($E71:R71,"µ")+COUNTIF($E71:R71,1),ColLivraison)=S$6,
  VLOOKUP($E71,INDIRECT("tri!"&amp; CHAR(64+ C0Col) &amp;":"&amp; CHAR(65+C0Col)),2,FALSE)&gt;COUNTIF($E71:R71,"u")+COUNTIF($E71:R71,"t")+COUNTIF($E71:R71,"¶")+COUNTIF($E71:R71,"²")+COUNTIF($E71:R71,"µ")+COUNTIF($E71:R71,1)),
HYPERLINK("#Roadmap!C"&amp; MATCH($E71,Roadmap!$D:$D,0)+COUNTIF($E71:R71,"u")+COUNTIF($E71:R71,"t"),
     INDEX(Roadmap!$D:$K,MATCH($E71,Roadmap!$D:$D,0)+COUNTIF($E71:R71,"u")+COUNTIF($E71:R71,"t")+COUNTIF($E71:R71,"¶")+COUNTIF($E71:R71,"²")+COUNTIF($E71:R71,"µ")+COUNTIF($E71:R71,1),ColTypeEcheance)),
  IF(LEN(R71)=1,
  IF(LEN(INDEX(Roadmap!$D:$K,MATCH($E71,Roadmap!$D:$D,0)-1+COUNTIF($E71:R71,"u")+COUNTIF($E71:R71,"t")+COUNTIF($E71:R71,"¶")+COUNTIF($E71:R71,"²")+COUNTIF($E71:R71,"µ")+COUNTIF($E71:R71,1),ColDescriptionCourte))&gt;1,
HYPERLINK("#Roadmap!C"&amp; MATCH($E71,Roadmap!$D:$D,0)+COUNTIF($E71:R71,"u")+COUNTIF($E71:R71,"t")+COUNTIF($E71:R71,"¶")+COUNTIF($E71:R71,"²")+COUNTIF($E71:R71,"µ")+COUNTIF($E71:R71,1)-1,INDEX(Roadmap!$D:$K,MATCH($E71,Roadmap!$D:$D,0)-1+COUNTIF($E71:R71,"u")+COUNTIF($E71:R71,"t")+COUNTIF($E71:R71,"¶")+COUNTIF($E71:R71,"²")+COUNTIF($E71:R71,"µ")+COUNTIF($E71:R71,1),ColDescriptionCourte)),""),
  "")),"")</f>
        <v/>
      </c>
      <c r="T71" s="40" t="str">
        <f ca="1">IFERROR(IF(AND(
  INDEX(Roadmap!$D:$K,MATCH($E71,Roadmap!$D:$D,0)+COUNTIF($E71:S71,"u")+COUNTIF($E71:S71,"t")+COUNTIF($E71:S71,"¶")+COUNTIF($E71:S71,"²")+COUNTIF($E71:S71,"µ")+COUNTIF($E71:S71,1),ColLivraison)=T$6,
  VLOOKUP($E71,INDIRECT("tri!"&amp; CHAR(64+ C0Col) &amp;":"&amp; CHAR(65+C0Col)),2,FALSE)&gt;COUNTIF($E71:S71,"u")+COUNTIF($E71:S71,"t")+COUNTIF($E71:S71,"¶")+COUNTIF($E71:S71,"²")+COUNTIF($E71:S71,"µ")+COUNTIF($E71:S71,1)),
HYPERLINK("#Roadmap!C"&amp; MATCH($E71,Roadmap!$D:$D,0)+COUNTIF($E71:S71,"u")+COUNTIF($E71:S71,"t"),
     INDEX(Roadmap!$D:$K,MATCH($E71,Roadmap!$D:$D,0)+COUNTIF($E71:S71,"u")+COUNTIF($E71:S71,"t")+COUNTIF($E71:S71,"¶")+COUNTIF($E71:S71,"²")+COUNTIF($E71:S71,"µ")+COUNTIF($E71:S71,1),ColTypeEcheance)),
  IF(LEN(S71)=1,
  IF(LEN(INDEX(Roadmap!$D:$K,MATCH($E71,Roadmap!$D:$D,0)-1+COUNTIF($E71:S71,"u")+COUNTIF($E71:S71,"t")+COUNTIF($E71:S71,"¶")+COUNTIF($E71:S71,"²")+COUNTIF($E71:S71,"µ")+COUNTIF($E71:S71,1),ColDescriptionCourte))&gt;1,
HYPERLINK("#Roadmap!C"&amp; MATCH($E71,Roadmap!$D:$D,0)+COUNTIF($E71:S71,"u")+COUNTIF($E71:S71,"t")+COUNTIF($E71:S71,"¶")+COUNTIF($E71:S71,"²")+COUNTIF($E71:S71,"µ")+COUNTIF($E71:S71,1)-1,INDEX(Roadmap!$D:$K,MATCH($E71,Roadmap!$D:$D,0)-1+COUNTIF($E71:S71,"u")+COUNTIF($E71:S71,"t")+COUNTIF($E71:S71,"¶")+COUNTIF($E71:S71,"²")+COUNTIF($E71:S71,"µ")+COUNTIF($E71:S71,1),ColDescriptionCourte)),""),
  "")),"")</f>
        <v/>
      </c>
      <c r="U71" s="40" t="str">
        <f ca="1">IFERROR(IF(AND(
  INDEX(Roadmap!$D:$K,MATCH($E71,Roadmap!$D:$D,0)+COUNTIF($E71:T71,"u")+COUNTIF($E71:T71,"t")+COUNTIF($E71:T71,"¶")+COUNTIF($E71:T71,"²")+COUNTIF($E71:T71,"µ")+COUNTIF($E71:T71,1),ColLivraison)=U$6,
  VLOOKUP($E71,INDIRECT("tri!"&amp; CHAR(64+ C0Col) &amp;":"&amp; CHAR(65+C0Col)),2,FALSE)&gt;COUNTIF($E71:T71,"u")+COUNTIF($E71:T71,"t")+COUNTIF($E71:T71,"¶")+COUNTIF($E71:T71,"²")+COUNTIF($E71:T71,"µ")+COUNTIF($E71:T71,1)),
HYPERLINK("#Roadmap!C"&amp; MATCH($E71,Roadmap!$D:$D,0)+COUNTIF($E71:T71,"u")+COUNTIF($E71:T71,"t"),
     INDEX(Roadmap!$D:$K,MATCH($E71,Roadmap!$D:$D,0)+COUNTIF($E71:T71,"u")+COUNTIF($E71:T71,"t")+COUNTIF($E71:T71,"¶")+COUNTIF($E71:T71,"²")+COUNTIF($E71:T71,"µ")+COUNTIF($E71:T71,1),ColTypeEcheance)),
  IF(LEN(T71)=1,
  IF(LEN(INDEX(Roadmap!$D:$K,MATCH($E71,Roadmap!$D:$D,0)-1+COUNTIF($E71:T71,"u")+COUNTIF($E71:T71,"t")+COUNTIF($E71:T71,"¶")+COUNTIF($E71:T71,"²")+COUNTIF($E71:T71,"µ")+COUNTIF($E71:T71,1),ColDescriptionCourte))&gt;1,
HYPERLINK("#Roadmap!C"&amp; MATCH($E71,Roadmap!$D:$D,0)+COUNTIF($E71:T71,"u")+COUNTIF($E71:T71,"t")+COUNTIF($E71:T71,"¶")+COUNTIF($E71:T71,"²")+COUNTIF($E71:T71,"µ")+COUNTIF($E71:T71,1)-1,INDEX(Roadmap!$D:$K,MATCH($E71,Roadmap!$D:$D,0)-1+COUNTIF($E71:T71,"u")+COUNTIF($E71:T71,"t")+COUNTIF($E71:T71,"¶")+COUNTIF($E71:T71,"²")+COUNTIF($E71:T71,"µ")+COUNTIF($E71:T71,1),ColDescriptionCourte)),""),
  "")),"")</f>
        <v/>
      </c>
      <c r="V71" s="40" t="str">
        <f ca="1">IFERROR(IF(AND(
  INDEX(Roadmap!$D:$K,MATCH($E71,Roadmap!$D:$D,0)+COUNTIF($E71:U71,"u")+COUNTIF($E71:U71,"t")+COUNTIF($E71:U71,"¶")+COUNTIF($E71:U71,"²")+COUNTIF($E71:U71,"µ")+COUNTIF($E71:U71,1),ColLivraison)=V$6,
  VLOOKUP($E71,INDIRECT("tri!"&amp; CHAR(64+ C0Col) &amp;":"&amp; CHAR(65+C0Col)),2,FALSE)&gt;COUNTIF($E71:U71,"u")+COUNTIF($E71:U71,"t")+COUNTIF($E71:U71,"¶")+COUNTIF($E71:U71,"²")+COUNTIF($E71:U71,"µ")+COUNTIF($E71:U71,1)),
HYPERLINK("#Roadmap!C"&amp; MATCH($E71,Roadmap!$D:$D,0)+COUNTIF($E71:U71,"u")+COUNTIF($E71:U71,"t"),
     INDEX(Roadmap!$D:$K,MATCH($E71,Roadmap!$D:$D,0)+COUNTIF($E71:U71,"u")+COUNTIF($E71:U71,"t")+COUNTIF($E71:U71,"¶")+COUNTIF($E71:U71,"²")+COUNTIF($E71:U71,"µ")+COUNTIF($E71:U71,1),ColTypeEcheance)),
  IF(LEN(U71)=1,
  IF(LEN(INDEX(Roadmap!$D:$K,MATCH($E71,Roadmap!$D:$D,0)-1+COUNTIF($E71:U71,"u")+COUNTIF($E71:U71,"t")+COUNTIF($E71:U71,"¶")+COUNTIF($E71:U71,"²")+COUNTIF($E71:U71,"µ")+COUNTIF($E71:U71,1),ColDescriptionCourte))&gt;1,
HYPERLINK("#Roadmap!C"&amp; MATCH($E71,Roadmap!$D:$D,0)+COUNTIF($E71:U71,"u")+COUNTIF($E71:U71,"t")+COUNTIF($E71:U71,"¶")+COUNTIF($E71:U71,"²")+COUNTIF($E71:U71,"µ")+COUNTIF($E71:U71,1)-1,INDEX(Roadmap!$D:$K,MATCH($E71,Roadmap!$D:$D,0)-1+COUNTIF($E71:U71,"u")+COUNTIF($E71:U71,"t")+COUNTIF($E71:U71,"¶")+COUNTIF($E71:U71,"²")+COUNTIF($E71:U71,"µ")+COUNTIF($E71:U71,1),ColDescriptionCourte)),""),
  "")),"")</f>
        <v/>
      </c>
      <c r="W71" s="40" t="str">
        <f ca="1">IFERROR(IF(AND(
  INDEX(Roadmap!$D:$K,MATCH($E71,Roadmap!$D:$D,0)+COUNTIF($E71:V71,"u")+COUNTIF($E71:V71,"t")+COUNTIF($E71:V71,"¶")+COUNTIF($E71:V71,"²")+COUNTIF($E71:V71,"µ")+COUNTIF($E71:V71,1),ColLivraison)=W$6,
  VLOOKUP($E71,INDIRECT("tri!"&amp; CHAR(64+ C0Col) &amp;":"&amp; CHAR(65+C0Col)),2,FALSE)&gt;COUNTIF($E71:V71,"u")+COUNTIF($E71:V71,"t")+COUNTIF($E71:V71,"¶")+COUNTIF($E71:V71,"²")+COUNTIF($E71:V71,"µ")+COUNTIF($E71:V71,1)),
HYPERLINK("#Roadmap!C"&amp; MATCH($E71,Roadmap!$D:$D,0)+COUNTIF($E71:V71,"u")+COUNTIF($E71:V71,"t"),
     INDEX(Roadmap!$D:$K,MATCH($E71,Roadmap!$D:$D,0)+COUNTIF($E71:V71,"u")+COUNTIF($E71:V71,"t")+COUNTIF($E71:V71,"¶")+COUNTIF($E71:V71,"²")+COUNTIF($E71:V71,"µ")+COUNTIF($E71:V71,1),ColTypeEcheance)),
  IF(LEN(V71)=1,
  IF(LEN(INDEX(Roadmap!$D:$K,MATCH($E71,Roadmap!$D:$D,0)-1+COUNTIF($E71:V71,"u")+COUNTIF($E71:V71,"t")+COUNTIF($E71:V71,"¶")+COUNTIF($E71:V71,"²")+COUNTIF($E71:V71,"µ")+COUNTIF($E71:V71,1),ColDescriptionCourte))&gt;1,
HYPERLINK("#Roadmap!C"&amp; MATCH($E71,Roadmap!$D:$D,0)+COUNTIF($E71:V71,"u")+COUNTIF($E71:V71,"t")+COUNTIF($E71:V71,"¶")+COUNTIF($E71:V71,"²")+COUNTIF($E71:V71,"µ")+COUNTIF($E71:V71,1)-1,INDEX(Roadmap!$D:$K,MATCH($E71,Roadmap!$D:$D,0)-1+COUNTIF($E71:V71,"u")+COUNTIF($E71:V71,"t")+COUNTIF($E71:V71,"¶")+COUNTIF($E71:V71,"²")+COUNTIF($E71:V71,"µ")+COUNTIF($E71:V71,1),ColDescriptionCourte)),""),
  "")),"")</f>
        <v/>
      </c>
      <c r="X71" s="40" t="str">
        <f ca="1">IFERROR(IF(AND(
  INDEX(Roadmap!$D:$K,MATCH($E71,Roadmap!$D:$D,0)+COUNTIF($E71:W71,"u")+COUNTIF($E71:W71,"t")+COUNTIF($E71:W71,"¶")+COUNTIF($E71:W71,"²")+COUNTIF($E71:W71,"µ")+COUNTIF($E71:W71,1),ColLivraison)=X$6,
  VLOOKUP($E71,INDIRECT("tri!"&amp; CHAR(64+ C0Col) &amp;":"&amp; CHAR(65+C0Col)),2,FALSE)&gt;COUNTIF($E71:W71,"u")+COUNTIF($E71:W71,"t")+COUNTIF($E71:W71,"¶")+COUNTIF($E71:W71,"²")+COUNTIF($E71:W71,"µ")+COUNTIF($E71:W71,1)),
HYPERLINK("#Roadmap!C"&amp; MATCH($E71,Roadmap!$D:$D,0)+COUNTIF($E71:W71,"u")+COUNTIF($E71:W71,"t"),
     INDEX(Roadmap!$D:$K,MATCH($E71,Roadmap!$D:$D,0)+COUNTIF($E71:W71,"u")+COUNTIF($E71:W71,"t")+COUNTIF($E71:W71,"¶")+COUNTIF($E71:W71,"²")+COUNTIF($E71:W71,"µ")+COUNTIF($E71:W71,1),ColTypeEcheance)),
  IF(LEN(W71)=1,
  IF(LEN(INDEX(Roadmap!$D:$K,MATCH($E71,Roadmap!$D:$D,0)-1+COUNTIF($E71:W71,"u")+COUNTIF($E71:W71,"t")+COUNTIF($E71:W71,"¶")+COUNTIF($E71:W71,"²")+COUNTIF($E71:W71,"µ")+COUNTIF($E71:W71,1),ColDescriptionCourte))&gt;1,
HYPERLINK("#Roadmap!C"&amp; MATCH($E71,Roadmap!$D:$D,0)+COUNTIF($E71:W71,"u")+COUNTIF($E71:W71,"t")+COUNTIF($E71:W71,"¶")+COUNTIF($E71:W71,"²")+COUNTIF($E71:W71,"µ")+COUNTIF($E71:W71,1)-1,INDEX(Roadmap!$D:$K,MATCH($E71,Roadmap!$D:$D,0)-1+COUNTIF($E71:W71,"u")+COUNTIF($E71:W71,"t")+COUNTIF($E71:W71,"¶")+COUNTIF($E71:W71,"²")+COUNTIF($E71:W71,"µ")+COUNTIF($E71:W71,1),ColDescriptionCourte)),""),
  "")),"")</f>
        <v/>
      </c>
      <c r="Y71" s="40" t="str">
        <f ca="1">IFERROR(IF(AND(
  INDEX(Roadmap!$D:$K,MATCH($E71,Roadmap!$D:$D,0)+COUNTIF($E71:X71,"u")+COUNTIF($E71:X71,"t")+COUNTIF($E71:X71,"¶")+COUNTIF($E71:X71,"²")+COUNTIF($E71:X71,"µ")+COUNTIF($E71:X71,1),ColLivraison)=Y$6,
  VLOOKUP($E71,INDIRECT("tri!"&amp; CHAR(64+ C0Col) &amp;":"&amp; CHAR(65+C0Col)),2,FALSE)&gt;COUNTIF($E71:X71,"u")+COUNTIF($E71:X71,"t")+COUNTIF($E71:X71,"¶")+COUNTIF($E71:X71,"²")+COUNTIF($E71:X71,"µ")+COUNTIF($E71:X71,1)),
HYPERLINK("#Roadmap!C"&amp; MATCH($E71,Roadmap!$D:$D,0)+COUNTIF($E71:X71,"u")+COUNTIF($E71:X71,"t"),
     INDEX(Roadmap!$D:$K,MATCH($E71,Roadmap!$D:$D,0)+COUNTIF($E71:X71,"u")+COUNTIF($E71:X71,"t")+COUNTIF($E71:X71,"¶")+COUNTIF($E71:X71,"²")+COUNTIF($E71:X71,"µ")+COUNTIF($E71:X71,1),ColTypeEcheance)),
  IF(LEN(X71)=1,
  IF(LEN(INDEX(Roadmap!$D:$K,MATCH($E71,Roadmap!$D:$D,0)-1+COUNTIF($E71:X71,"u")+COUNTIF($E71:X71,"t")+COUNTIF($E71:X71,"¶")+COUNTIF($E71:X71,"²")+COUNTIF($E71:X71,"µ")+COUNTIF($E71:X71,1),ColDescriptionCourte))&gt;1,
HYPERLINK("#Roadmap!C"&amp; MATCH($E71,Roadmap!$D:$D,0)+COUNTIF($E71:X71,"u")+COUNTIF($E71:X71,"t")+COUNTIF($E71:X71,"¶")+COUNTIF($E71:X71,"²")+COUNTIF($E71:X71,"µ")+COUNTIF($E71:X71,1)-1,INDEX(Roadmap!$D:$K,MATCH($E71,Roadmap!$D:$D,0)-1+COUNTIF($E71:X71,"u")+COUNTIF($E71:X71,"t")+COUNTIF($E71:X71,"¶")+COUNTIF($E71:X71,"²")+COUNTIF($E71:X71,"µ")+COUNTIF($E71:X71,1),ColDescriptionCourte)),""),
  "")),"")</f>
        <v/>
      </c>
      <c r="Z71" s="40" t="str">
        <f ca="1">IFERROR(IF(AND(
  INDEX(Roadmap!$D:$K,MATCH($E71,Roadmap!$D:$D,0)+COUNTIF($E71:Y71,"u")+COUNTIF($E71:Y71,"t")+COUNTIF($E71:Y71,"¶")+COUNTIF($E71:Y71,"²")+COUNTIF($E71:Y71,"µ")+COUNTIF($E71:Y71,1),ColLivraison)=Z$6,
  VLOOKUP($E71,INDIRECT("tri!"&amp; CHAR(64+ C0Col) &amp;":"&amp; CHAR(65+C0Col)),2,FALSE)&gt;COUNTIF($E71:Y71,"u")+COUNTIF($E71:Y71,"t")+COUNTIF($E71:Y71,"¶")+COUNTIF($E71:Y71,"²")+COUNTIF($E71:Y71,"µ")+COUNTIF($E71:Y71,1)),
HYPERLINK("#Roadmap!C"&amp; MATCH($E71,Roadmap!$D:$D,0)+COUNTIF($E71:Y71,"u")+COUNTIF($E71:Y71,"t"),
     INDEX(Roadmap!$D:$K,MATCH($E71,Roadmap!$D:$D,0)+COUNTIF($E71:Y71,"u")+COUNTIF($E71:Y71,"t")+COUNTIF($E71:Y71,"¶")+COUNTIF($E71:Y71,"²")+COUNTIF($E71:Y71,"µ")+COUNTIF($E71:Y71,1),ColTypeEcheance)),
  IF(LEN(Y71)=1,
  IF(LEN(INDEX(Roadmap!$D:$K,MATCH($E71,Roadmap!$D:$D,0)-1+COUNTIF($E71:Y71,"u")+COUNTIF($E71:Y71,"t")+COUNTIF($E71:Y71,"¶")+COUNTIF($E71:Y71,"²")+COUNTIF($E71:Y71,"µ")+COUNTIF($E71:Y71,1),ColDescriptionCourte))&gt;1,
HYPERLINK("#Roadmap!C"&amp; MATCH($E71,Roadmap!$D:$D,0)+COUNTIF($E71:Y71,"u")+COUNTIF($E71:Y71,"t")+COUNTIF($E71:Y71,"¶")+COUNTIF($E71:Y71,"²")+COUNTIF($E71:Y71,"µ")+COUNTIF($E71:Y71,1)-1,INDEX(Roadmap!$D:$K,MATCH($E71,Roadmap!$D:$D,0)-1+COUNTIF($E71:Y71,"u")+COUNTIF($E71:Y71,"t")+COUNTIF($E71:Y71,"¶")+COUNTIF($E71:Y71,"²")+COUNTIF($E71:Y71,"µ")+COUNTIF($E71:Y71,1),ColDescriptionCourte)),""),
  "")),"")</f>
        <v/>
      </c>
      <c r="AA71" s="40" t="str">
        <f ca="1">IFERROR(IF(AND(
  INDEX(Roadmap!$D:$K,MATCH($E71,Roadmap!$D:$D,0)+COUNTIF($E71:Z71,"u")+COUNTIF($E71:Z71,"t")+COUNTIF($E71:Z71,"¶")+COUNTIF($E71:Z71,"²")+COUNTIF($E71:Z71,"µ")+COUNTIF($E71:Z71,1),ColLivraison)=AA$6,
  VLOOKUP($E71,INDIRECT("tri!"&amp; CHAR(64+ C0Col) &amp;":"&amp; CHAR(65+C0Col)),2,FALSE)&gt;COUNTIF($E71:Z71,"u")+COUNTIF($E71:Z71,"t")+COUNTIF($E71:Z71,"¶")+COUNTIF($E71:Z71,"²")+COUNTIF($E71:Z71,"µ")+COUNTIF($E71:Z71,1)),
HYPERLINK("#Roadmap!C"&amp; MATCH($E71,Roadmap!$D:$D,0)+COUNTIF($E71:Z71,"u")+COUNTIF($E71:Z71,"t"),
     INDEX(Roadmap!$D:$K,MATCH($E71,Roadmap!$D:$D,0)+COUNTIF($E71:Z71,"u")+COUNTIF($E71:Z71,"t")+COUNTIF($E71:Z71,"¶")+COUNTIF($E71:Z71,"²")+COUNTIF($E71:Z71,"µ")+COUNTIF($E71:Z71,1),ColTypeEcheance)),
  IF(LEN(Z71)=1,
  IF(LEN(INDEX(Roadmap!$D:$K,MATCH($E71,Roadmap!$D:$D,0)-1+COUNTIF($E71:Z71,"u")+COUNTIF($E71:Z71,"t")+COUNTIF($E71:Z71,"¶")+COUNTIF($E71:Z71,"²")+COUNTIF($E71:Z71,"µ")+COUNTIF($E71:Z71,1),ColDescriptionCourte))&gt;1,
HYPERLINK("#Roadmap!C"&amp; MATCH($E71,Roadmap!$D:$D,0)+COUNTIF($E71:Z71,"u")+COUNTIF($E71:Z71,"t")+COUNTIF($E71:Z71,"¶")+COUNTIF($E71:Z71,"²")+COUNTIF($E71:Z71,"µ")+COUNTIF($E71:Z71,1)-1,INDEX(Roadmap!$D:$K,MATCH($E71,Roadmap!$D:$D,0)-1+COUNTIF($E71:Z71,"u")+COUNTIF($E71:Z71,"t")+COUNTIF($E71:Z71,"¶")+COUNTIF($E71:Z71,"²")+COUNTIF($E71:Z71,"µ")+COUNTIF($E71:Z71,1),ColDescriptionCourte)),""),
  "")),"")</f>
        <v/>
      </c>
      <c r="AB71" s="40" t="str">
        <f ca="1">IFERROR(IF(AND(
  INDEX(Roadmap!$D:$K,MATCH($E71,Roadmap!$D:$D,0)+COUNTIF($E71:AA71,"u")+COUNTIF($E71:AA71,"t")+COUNTIF($E71:AA71,"¶")+COUNTIF($E71:AA71,"²")+COUNTIF($E71:AA71,"µ")+COUNTIF($E71:AA71,1),ColLivraison)=AB$6,
  VLOOKUP($E71,INDIRECT("tri!"&amp; CHAR(64+ C0Col) &amp;":"&amp; CHAR(65+C0Col)),2,FALSE)&gt;COUNTIF($E71:AA71,"u")+COUNTIF($E71:AA71,"t")+COUNTIF($E71:AA71,"¶")+COUNTIF($E71:AA71,"²")+COUNTIF($E71:AA71,"µ")+COUNTIF($E71:AA71,1)),
HYPERLINK("#Roadmap!C"&amp; MATCH($E71,Roadmap!$D:$D,0)+COUNTIF($E71:AA71,"u")+COUNTIF($E71:AA71,"t"),
     INDEX(Roadmap!$D:$K,MATCH($E71,Roadmap!$D:$D,0)+COUNTIF($E71:AA71,"u")+COUNTIF($E71:AA71,"t")+COUNTIF($E71:AA71,"¶")+COUNTIF($E71:AA71,"²")+COUNTIF($E71:AA71,"µ")+COUNTIF($E71:AA71,1),ColTypeEcheance)),
  IF(LEN(AA71)=1,
  IF(LEN(INDEX(Roadmap!$D:$K,MATCH($E71,Roadmap!$D:$D,0)-1+COUNTIF($E71:AA71,"u")+COUNTIF($E71:AA71,"t")+COUNTIF($E71:AA71,"¶")+COUNTIF($E71:AA71,"²")+COUNTIF($E71:AA71,"µ")+COUNTIF($E71:AA71,1),ColDescriptionCourte))&gt;1,
HYPERLINK("#Roadmap!C"&amp; MATCH($E71,Roadmap!$D:$D,0)+COUNTIF($E71:AA71,"u")+COUNTIF($E71:AA71,"t")+COUNTIF($E71:AA71,"¶")+COUNTIF($E71:AA71,"²")+COUNTIF($E71:AA71,"µ")+COUNTIF($E71:AA71,1)-1,INDEX(Roadmap!$D:$K,MATCH($E71,Roadmap!$D:$D,0)-1+COUNTIF($E71:AA71,"u")+COUNTIF($E71:AA71,"t")+COUNTIF($E71:AA71,"¶")+COUNTIF($E71:AA71,"²")+COUNTIF($E71:AA71,"µ")+COUNTIF($E71:AA71,1),ColDescriptionCourte)),""),
  "")),"")</f>
        <v/>
      </c>
      <c r="AC71" s="40" t="str">
        <f ca="1">IFERROR(IF(AND(
  INDEX(Roadmap!$D:$K,MATCH($E71,Roadmap!$D:$D,0)+COUNTIF($E71:AB71,"u")+COUNTIF($E71:AB71,"t")+COUNTIF($E71:AB71,"¶")+COUNTIF($E71:AB71,"²")+COUNTIF($E71:AB71,"µ")+COUNTIF($E71:AB71,1),ColLivraison)=AC$6,
  VLOOKUP($E71,INDIRECT("tri!"&amp; CHAR(64+ C0Col) &amp;":"&amp; CHAR(65+C0Col)),2,FALSE)&gt;COUNTIF($E71:AB71,"u")+COUNTIF($E71:AB71,"t")+COUNTIF($E71:AB71,"¶")+COUNTIF($E71:AB71,"²")+COUNTIF($E71:AB71,"µ")+COUNTIF($E71:AB71,1)),
HYPERLINK("#Roadmap!C"&amp; MATCH($E71,Roadmap!$D:$D,0)+COUNTIF($E71:AB71,"u")+COUNTIF($E71:AB71,"t"),
     INDEX(Roadmap!$D:$K,MATCH($E71,Roadmap!$D:$D,0)+COUNTIF($E71:AB71,"u")+COUNTIF($E71:AB71,"t")+COUNTIF($E71:AB71,"¶")+COUNTIF($E71:AB71,"²")+COUNTIF($E71:AB71,"µ")+COUNTIF($E71:AB71,1),ColTypeEcheance)),
  IF(LEN(AB71)=1,
  IF(LEN(INDEX(Roadmap!$D:$K,MATCH($E71,Roadmap!$D:$D,0)-1+COUNTIF($E71:AB71,"u")+COUNTIF($E71:AB71,"t")+COUNTIF($E71:AB71,"¶")+COUNTIF($E71:AB71,"²")+COUNTIF($E71:AB71,"µ")+COUNTIF($E71:AB71,1),ColDescriptionCourte))&gt;1,
HYPERLINK("#Roadmap!C"&amp; MATCH($E71,Roadmap!$D:$D,0)+COUNTIF($E71:AB71,"u")+COUNTIF($E71:AB71,"t")+COUNTIF($E71:AB71,"¶")+COUNTIF($E71:AB71,"²")+COUNTIF($E71:AB71,"µ")+COUNTIF($E71:AB71,1)-1,INDEX(Roadmap!$D:$K,MATCH($E71,Roadmap!$D:$D,0)-1+COUNTIF($E71:AB71,"u")+COUNTIF($E71:AB71,"t")+COUNTIF($E71:AB71,"¶")+COUNTIF($E71:AB71,"²")+COUNTIF($E71:AB71,"µ")+COUNTIF($E71:AB71,1),ColDescriptionCourte)),""),
  "")),"")</f>
        <v/>
      </c>
      <c r="AD71" s="40" t="str">
        <f ca="1">IFERROR(IF(AND(
  INDEX(Roadmap!$D:$K,MATCH($E71,Roadmap!$D:$D,0)+COUNTIF($E71:AC71,"u")+COUNTIF($E71:AC71,"t")+COUNTIF($E71:AC71,"¶")+COUNTIF($E71:AC71,"²")+COUNTIF($E71:AC71,"µ")+COUNTIF($E71:AC71,1),ColLivraison)=AD$6,
  VLOOKUP($E71,INDIRECT("tri!"&amp; CHAR(64+ C0Col) &amp;":"&amp; CHAR(65+C0Col)),2,FALSE)&gt;COUNTIF($E71:AC71,"u")+COUNTIF($E71:AC71,"t")+COUNTIF($E71:AC71,"¶")+COUNTIF($E71:AC71,"²")+COUNTIF($E71:AC71,"µ")+COUNTIF($E71:AC71,1)),
HYPERLINK("#Roadmap!C"&amp; MATCH($E71,Roadmap!$D:$D,0)+COUNTIF($E71:AC71,"u")+COUNTIF($E71:AC71,"t"),
     INDEX(Roadmap!$D:$K,MATCH($E71,Roadmap!$D:$D,0)+COUNTIF($E71:AC71,"u")+COUNTIF($E71:AC71,"t")+COUNTIF($E71:AC71,"¶")+COUNTIF($E71:AC71,"²")+COUNTIF($E71:AC71,"µ")+COUNTIF($E71:AC71,1),ColTypeEcheance)),
  IF(LEN(AC71)=1,
  IF(LEN(INDEX(Roadmap!$D:$K,MATCH($E71,Roadmap!$D:$D,0)-1+COUNTIF($E71:AC71,"u")+COUNTIF($E71:AC71,"t")+COUNTIF($E71:AC71,"¶")+COUNTIF($E71:AC71,"²")+COUNTIF($E71:AC71,"µ")+COUNTIF($E71:AC71,1),ColDescriptionCourte))&gt;1,
HYPERLINK("#Roadmap!C"&amp; MATCH($E71,Roadmap!$D:$D,0)+COUNTIF($E71:AC71,"u")+COUNTIF($E71:AC71,"t")+COUNTIF($E71:AC71,"¶")+COUNTIF($E71:AC71,"²")+COUNTIF($E71:AC71,"µ")+COUNTIF($E71:AC71,1)-1,INDEX(Roadmap!$D:$K,MATCH($E71,Roadmap!$D:$D,0)-1+COUNTIF($E71:AC71,"u")+COUNTIF($E71:AC71,"t")+COUNTIF($E71:AC71,"¶")+COUNTIF($E71:AC71,"²")+COUNTIF($E71:AC71,"µ")+COUNTIF($E71:AC71,1),ColDescriptionCourte)),""),
  "")),"")</f>
        <v/>
      </c>
      <c r="AE71" s="40" t="str">
        <f ca="1">IFERROR(IF(AND(
  INDEX(Roadmap!$D:$K,MATCH($E71,Roadmap!$D:$D,0)+COUNTIF($E71:AD71,"u")+COUNTIF($E71:AD71,"t")+COUNTIF($E71:AD71,"¶")+COUNTIF($E71:AD71,"²")+COUNTIF($E71:AD71,"µ")+COUNTIF($E71:AD71,1),ColLivraison)=AE$6,
  VLOOKUP($E71,INDIRECT("tri!"&amp; CHAR(64+ C0Col) &amp;":"&amp; CHAR(65+C0Col)),2,FALSE)&gt;COUNTIF($E71:AD71,"u")+COUNTIF($E71:AD71,"t")+COUNTIF($E71:AD71,"¶")+COUNTIF($E71:AD71,"²")+COUNTIF($E71:AD71,"µ")+COUNTIF($E71:AD71,1)),
HYPERLINK("#Roadmap!C"&amp; MATCH($E71,Roadmap!$D:$D,0)+COUNTIF($E71:AD71,"u")+COUNTIF($E71:AD71,"t"),
     INDEX(Roadmap!$D:$K,MATCH($E71,Roadmap!$D:$D,0)+COUNTIF($E71:AD71,"u")+COUNTIF($E71:AD71,"t")+COUNTIF($E71:AD71,"¶")+COUNTIF($E71:AD71,"²")+COUNTIF($E71:AD71,"µ")+COUNTIF($E71:AD71,1),ColTypeEcheance)),
  IF(LEN(AD71)=1,
  IF(LEN(INDEX(Roadmap!$D:$K,MATCH($E71,Roadmap!$D:$D,0)-1+COUNTIF($E71:AD71,"u")+COUNTIF($E71:AD71,"t")+COUNTIF($E71:AD71,"¶")+COUNTIF($E71:AD71,"²")+COUNTIF($E71:AD71,"µ")+COUNTIF($E71:AD71,1),ColDescriptionCourte))&gt;1,
HYPERLINK("#Roadmap!C"&amp; MATCH($E71,Roadmap!$D:$D,0)+COUNTIF($E71:AD71,"u")+COUNTIF($E71:AD71,"t")+COUNTIF($E71:AD71,"¶")+COUNTIF($E71:AD71,"²")+COUNTIF($E71:AD71,"µ")+COUNTIF($E71:AD71,1)-1,INDEX(Roadmap!$D:$K,MATCH($E71,Roadmap!$D:$D,0)-1+COUNTIF($E71:AD71,"u")+COUNTIF($E71:AD71,"t")+COUNTIF($E71:AD71,"¶")+COUNTIF($E71:AD71,"²")+COUNTIF($E71:AD71,"µ")+COUNTIF($E71:AD71,1),ColDescriptionCourte)),""),
  "")),"")</f>
        <v/>
      </c>
      <c r="AF71" s="40" t="str">
        <f ca="1">IFERROR(IF(AND(
  INDEX(Roadmap!$D:$K,MATCH($E71,Roadmap!$D:$D,0)+COUNTIF($E71:AE71,"u")+COUNTIF($E71:AE71,"t")+COUNTIF($E71:AE71,"¶")+COUNTIF($E71:AE71,"²")+COUNTIF($E71:AE71,"µ")+COUNTIF($E71:AE71,1),ColLivraison)=AF$6,
  VLOOKUP($E71,INDIRECT("tri!"&amp; CHAR(64+ C0Col) &amp;":"&amp; CHAR(65+C0Col)),2,FALSE)&gt;COUNTIF($E71:AE71,"u")+COUNTIF($E71:AE71,"t")+COUNTIF($E71:AE71,"¶")+COUNTIF($E71:AE71,"²")+COUNTIF($E71:AE71,"µ")+COUNTIF($E71:AE71,1)),
HYPERLINK("#Roadmap!C"&amp; MATCH($E71,Roadmap!$D:$D,0)+COUNTIF($E71:AE71,"u")+COUNTIF($E71:AE71,"t"),
     INDEX(Roadmap!$D:$K,MATCH($E71,Roadmap!$D:$D,0)+COUNTIF($E71:AE71,"u")+COUNTIF($E71:AE71,"t")+COUNTIF($E71:AE71,"¶")+COUNTIF($E71:AE71,"²")+COUNTIF($E71:AE71,"µ")+COUNTIF($E71:AE71,1),ColTypeEcheance)),
  IF(LEN(AE71)=1,
  IF(LEN(INDEX(Roadmap!$D:$K,MATCH($E71,Roadmap!$D:$D,0)-1+COUNTIF($E71:AE71,"u")+COUNTIF($E71:AE71,"t")+COUNTIF($E71:AE71,"¶")+COUNTIF($E71:AE71,"²")+COUNTIF($E71:AE71,"µ")+COUNTIF($E71:AE71,1),ColDescriptionCourte))&gt;1,
HYPERLINK("#Roadmap!C"&amp; MATCH($E71,Roadmap!$D:$D,0)+COUNTIF($E71:AE71,"u")+COUNTIF($E71:AE71,"t")+COUNTIF($E71:AE71,"¶")+COUNTIF($E71:AE71,"²")+COUNTIF($E71:AE71,"µ")+COUNTIF($E71:AE71,1)-1,INDEX(Roadmap!$D:$K,MATCH($E71,Roadmap!$D:$D,0)-1+COUNTIF($E71:AE71,"u")+COUNTIF($E71:AE71,"t")+COUNTIF($E71:AE71,"¶")+COUNTIF($E71:AE71,"²")+COUNTIF($E71:AE71,"µ")+COUNTIF($E71:AE71,1),ColDescriptionCourte)),""),
  "")),"")</f>
        <v/>
      </c>
      <c r="AG71" s="40" t="str">
        <f ca="1">IFERROR(IF(AND(
  INDEX(Roadmap!$D:$K,MATCH($E71,Roadmap!$D:$D,0)+COUNTIF($E71:AF71,"u")+COUNTIF($E71:AF71,"t")+COUNTIF($E71:AF71,"¶")+COUNTIF($E71:AF71,"²")+COUNTIF($E71:AF71,"µ")+COUNTIF($E71:AF71,1),ColLivraison)=AG$6,
  VLOOKUP($E71,INDIRECT("tri!"&amp; CHAR(64+ C0Col) &amp;":"&amp; CHAR(65+C0Col)),2,FALSE)&gt;COUNTIF($E71:AF71,"u")+COUNTIF($E71:AF71,"t")+COUNTIF($E71:AF71,"¶")+COUNTIF($E71:AF71,"²")+COUNTIF($E71:AF71,"µ")+COUNTIF($E71:AF71,1)),
HYPERLINK("#Roadmap!C"&amp; MATCH($E71,Roadmap!$D:$D,0)+COUNTIF($E71:AF71,"u")+COUNTIF($E71:AF71,"t"),
     INDEX(Roadmap!$D:$K,MATCH($E71,Roadmap!$D:$D,0)+COUNTIF($E71:AF71,"u")+COUNTIF($E71:AF71,"t")+COUNTIF($E71:AF71,"¶")+COUNTIF($E71:AF71,"²")+COUNTIF($E71:AF71,"µ")+COUNTIF($E71:AF71,1),ColTypeEcheance)),
  IF(LEN(AF71)=1,
  IF(LEN(INDEX(Roadmap!$D:$K,MATCH($E71,Roadmap!$D:$D,0)-1+COUNTIF($E71:AF71,"u")+COUNTIF($E71:AF71,"t")+COUNTIF($E71:AF71,"¶")+COUNTIF($E71:AF71,"²")+COUNTIF($E71:AF71,"µ")+COUNTIF($E71:AF71,1),ColDescriptionCourte))&gt;1,
HYPERLINK("#Roadmap!C"&amp; MATCH($E71,Roadmap!$D:$D,0)+COUNTIF($E71:AF71,"u")+COUNTIF($E71:AF71,"t")+COUNTIF($E71:AF71,"¶")+COUNTIF($E71:AF71,"²")+COUNTIF($E71:AF71,"µ")+COUNTIF($E71:AF71,1)-1,INDEX(Roadmap!$D:$K,MATCH($E71,Roadmap!$D:$D,0)-1+COUNTIF($E71:AF71,"u")+COUNTIF($E71:AF71,"t")+COUNTIF($E71:AF71,"¶")+COUNTIF($E71:AF71,"²")+COUNTIF($E71:AF71,"µ")+COUNTIF($E71:AF71,1),ColDescriptionCourte)),""),
  "")),"")</f>
        <v/>
      </c>
    </row>
    <row r="72" spans="3:33" ht="14.25" customHeight="1">
      <c r="C72" s="1" t="str">
        <f t="shared" ca="1" si="47"/>
        <v/>
      </c>
      <c r="D72" s="1" t="str">
        <f t="shared" ca="1" si="48"/>
        <v/>
      </c>
      <c r="E72" s="35" t="str">
        <f t="shared" ca="1" si="46"/>
        <v/>
      </c>
      <c r="F72" s="39" t="str">
        <f ca="1">IFERROR(IF(AND(
  INDEX(Roadmap!$D:$K,MATCH($E72,Roadmap!$D:$D,0)+COUNTIF($E72:E72,"u")+COUNTIF($E72:E72,"t")+COUNTIF($E72:E72,"¶")+COUNTIF($E72:E72,"²")+COUNTIF($E72:E72,"µ")+COUNTIF($E72:E72,1),ColLivraison)=F$6,
  VLOOKUP($E72,INDIRECT("tri!"&amp; CHAR(64+ C0Col) &amp;":"&amp; CHAR(65+C0Col)),2,FALSE)&gt;COUNTIF($E72:E72,"u")+COUNTIF($E72:E72,"t")+COUNTIF($E72:E72,"¶")+COUNTIF($E72:E72,"²")+COUNTIF($E72:E72,"µ")+COUNTIF($E72:E72,1)),
HYPERLINK("#Roadmap!C"&amp; MATCH($E72,Roadmap!$D:$D,0)+COUNTIF($E72:E72,"u")+COUNTIF($E72:E72,"t"),
     INDEX(Roadmap!$D:$K,MATCH($E72,Roadmap!$D:$D,0)+COUNTIF($E72:E72,"u")+COUNTIF($E72:E72,"t")+COUNTIF($E72:E72,"¶")+COUNTIF($E72:E72,"²")+COUNTIF($E72:E72,"µ")+COUNTIF($E72:E72,1),ColTypeEcheance)),
  IF(LEN(E72)=1,
  IF(LEN(INDEX(Roadmap!$D:$K,MATCH($E72,Roadmap!$D:$D,0)-1+COUNTIF($E72:E72,"u")+COUNTIF($E72:E72,"t")+COUNTIF($E72:E72,"¶")+COUNTIF($E72:E72,"²")+COUNTIF($E72:E72,"µ")+COUNTIF($E72:E72,1),ColDescriptionCourte))&gt;1,
HYPERLINK("#Roadmap!C"&amp; MATCH($E72,Roadmap!$D:$D,0)+COUNTIF($E72:E72,"u")+COUNTIF($E72:E72,"t")+COUNTIF($E72:E72,"¶")+COUNTIF($E72:E72,"²")+COUNTIF($E72:E72,"µ")+COUNTIF($E72:E72,1)-1,INDEX(Roadmap!$D:$K,MATCH($E72,Roadmap!$D:$D,0)-1+COUNTIF($E72:E72,"u")+COUNTIF($E72:E72,"t")+COUNTIF($E72:E72,"¶")+COUNTIF($E72:E72,"²")+COUNTIF($E72:E72,"µ")+COUNTIF($E72:E72,1),ColDescriptionCourte)),""),
  "")),"")</f>
        <v/>
      </c>
      <c r="G72" s="40" t="str">
        <f ca="1">IFERROR(IF(AND(
  INDEX(Roadmap!$D:$K,MATCH($E72,Roadmap!$D:$D,0)+COUNTIF($E72:F72,"u")+COUNTIF($E72:F72,"t")+COUNTIF($E72:F72,"¶")+COUNTIF($E72:F72,"²")+COUNTIF($E72:F72,"µ")+COUNTIF($E72:F72,1),ColLivraison)=G$6,
  VLOOKUP($E72,INDIRECT("tri!"&amp; CHAR(64+ C0Col) &amp;":"&amp; CHAR(65+C0Col)),2,FALSE)&gt;COUNTIF($E72:F72,"u")+COUNTIF($E72:F72,"t")+COUNTIF($E72:F72,"¶")+COUNTIF($E72:F72,"²")+COUNTIF($E72:F72,"µ")+COUNTIF($E72:F72,1)),
HYPERLINK("#Roadmap!C"&amp; MATCH($E72,Roadmap!$D:$D,0)+COUNTIF($E72:F72,"u")+COUNTIF($E72:F72,"t"),
     INDEX(Roadmap!$D:$K,MATCH($E72,Roadmap!$D:$D,0)+COUNTIF($E72:F72,"u")+COUNTIF($E72:F72,"t")+COUNTIF($E72:F72,"¶")+COUNTIF($E72:F72,"²")+COUNTIF($E72:F72,"µ")+COUNTIF($E72:F72,1),ColTypeEcheance)),
  IF(LEN(F72)=1,
  IF(LEN(INDEX(Roadmap!$D:$K,MATCH($E72,Roadmap!$D:$D,0)-1+COUNTIF($E72:F72,"u")+COUNTIF($E72:F72,"t")+COUNTIF($E72:F72,"¶")+COUNTIF($E72:F72,"²")+COUNTIF($E72:F72,"µ")+COUNTIF($E72:F72,1),ColDescriptionCourte))&gt;1,
HYPERLINK("#Roadmap!C"&amp; MATCH($E72,Roadmap!$D:$D,0)+COUNTIF($E72:F72,"u")+COUNTIF($E72:F72,"t")+COUNTIF($E72:F72,"¶")+COUNTIF($E72:F72,"²")+COUNTIF($E72:F72,"µ")+COUNTIF($E72:F72,1)-1,INDEX(Roadmap!$D:$K,MATCH($E72,Roadmap!$D:$D,0)-1+COUNTIF($E72:F72,"u")+COUNTIF($E72:F72,"t")+COUNTIF($E72:F72,"¶")+COUNTIF($E72:F72,"²")+COUNTIF($E72:F72,"µ")+COUNTIF($E72:F72,1),ColDescriptionCourte)),""),
  "")),"")</f>
        <v/>
      </c>
      <c r="H72" s="40" t="str">
        <f ca="1">IFERROR(IF(AND(
  INDEX(Roadmap!$D:$K,MATCH($E72,Roadmap!$D:$D,0)+COUNTIF($E72:G72,"u")+COUNTIF($E72:G72,"t")+COUNTIF($E72:G72,"¶")+COUNTIF($E72:G72,"²")+COUNTIF($E72:G72,"µ")+COUNTIF($E72:G72,1),ColLivraison)=H$6,
  VLOOKUP($E72,INDIRECT("tri!"&amp; CHAR(64+ C0Col) &amp;":"&amp; CHAR(65+C0Col)),2,FALSE)&gt;COUNTIF($E72:G72,"u")+COUNTIF($E72:G72,"t")+COUNTIF($E72:G72,"¶")+COUNTIF($E72:G72,"²")+COUNTIF($E72:G72,"µ")+COUNTIF($E72:G72,1)),
HYPERLINK("#Roadmap!C"&amp; MATCH($E72,Roadmap!$D:$D,0)+COUNTIF($E72:G72,"u")+COUNTIF($E72:G72,"t"),
     INDEX(Roadmap!$D:$K,MATCH($E72,Roadmap!$D:$D,0)+COUNTIF($E72:G72,"u")+COUNTIF($E72:G72,"t")+COUNTIF($E72:G72,"¶")+COUNTIF($E72:G72,"²")+COUNTIF($E72:G72,"µ")+COUNTIF($E72:G72,1),ColTypeEcheance)),
  IF(LEN(G72)=1,
  IF(LEN(INDEX(Roadmap!$D:$K,MATCH($E72,Roadmap!$D:$D,0)-1+COUNTIF($E72:G72,"u")+COUNTIF($E72:G72,"t")+COUNTIF($E72:G72,"¶")+COUNTIF($E72:G72,"²")+COUNTIF($E72:G72,"µ")+COUNTIF($E72:G72,1),ColDescriptionCourte))&gt;1,
HYPERLINK("#Roadmap!C"&amp; MATCH($E72,Roadmap!$D:$D,0)+COUNTIF($E72:G72,"u")+COUNTIF($E72:G72,"t")+COUNTIF($E72:G72,"¶")+COUNTIF($E72:G72,"²")+COUNTIF($E72:G72,"µ")+COUNTIF($E72:G72,1)-1,INDEX(Roadmap!$D:$K,MATCH($E72,Roadmap!$D:$D,0)-1+COUNTIF($E72:G72,"u")+COUNTIF($E72:G72,"t")+COUNTIF($E72:G72,"¶")+COUNTIF($E72:G72,"²")+COUNTIF($E72:G72,"µ")+COUNTIF($E72:G72,1),ColDescriptionCourte)),""),
  "")),"")</f>
        <v/>
      </c>
      <c r="I72" s="40" t="str">
        <f ca="1">IFERROR(IF(AND(
  INDEX(Roadmap!$D:$K,MATCH($E72,Roadmap!$D:$D,0)+COUNTIF($E72:H72,"u")+COUNTIF($E72:H72,"t")+COUNTIF($E72:H72,"¶")+COUNTIF($E72:H72,"²")+COUNTIF($E72:H72,"µ")+COUNTIF($E72:H72,1),ColLivraison)=I$6,
  VLOOKUP($E72,INDIRECT("tri!"&amp; CHAR(64+ C0Col) &amp;":"&amp; CHAR(65+C0Col)),2,FALSE)&gt;COUNTIF($E72:H72,"u")+COUNTIF($E72:H72,"t")+COUNTIF($E72:H72,"¶")+COUNTIF($E72:H72,"²")+COUNTIF($E72:H72,"µ")+COUNTIF($E72:H72,1)),
HYPERLINK("#Roadmap!C"&amp; MATCH($E72,Roadmap!$D:$D,0)+COUNTIF($E72:H72,"u")+COUNTIF($E72:H72,"t"),
     INDEX(Roadmap!$D:$K,MATCH($E72,Roadmap!$D:$D,0)+COUNTIF($E72:H72,"u")+COUNTIF($E72:H72,"t")+COUNTIF($E72:H72,"¶")+COUNTIF($E72:H72,"²")+COUNTIF($E72:H72,"µ")+COUNTIF($E72:H72,1),ColTypeEcheance)),
  IF(LEN(H72)=1,
  IF(LEN(INDEX(Roadmap!$D:$K,MATCH($E72,Roadmap!$D:$D,0)-1+COUNTIF($E72:H72,"u")+COUNTIF($E72:H72,"t")+COUNTIF($E72:H72,"¶")+COUNTIF($E72:H72,"²")+COUNTIF($E72:H72,"µ")+COUNTIF($E72:H72,1),ColDescriptionCourte))&gt;1,
HYPERLINK("#Roadmap!C"&amp; MATCH($E72,Roadmap!$D:$D,0)+COUNTIF($E72:H72,"u")+COUNTIF($E72:H72,"t")+COUNTIF($E72:H72,"¶")+COUNTIF($E72:H72,"²")+COUNTIF($E72:H72,"µ")+COUNTIF($E72:H72,1)-1,INDEX(Roadmap!$D:$K,MATCH($E72,Roadmap!$D:$D,0)-1+COUNTIF($E72:H72,"u")+COUNTIF($E72:H72,"t")+COUNTIF($E72:H72,"¶")+COUNTIF($E72:H72,"²")+COUNTIF($E72:H72,"µ")+COUNTIF($E72:H72,1),ColDescriptionCourte)),""),
  "")),"")</f>
        <v/>
      </c>
      <c r="J72" s="40" t="str">
        <f ca="1">IFERROR(IF(AND(
  INDEX(Roadmap!$D:$K,MATCH($E72,Roadmap!$D:$D,0)+COUNTIF($E72:I72,"u")+COUNTIF($E72:I72,"t")+COUNTIF($E72:I72,"¶")+COUNTIF($E72:I72,"²")+COUNTIF($E72:I72,"µ")+COUNTIF($E72:I72,1),ColLivraison)=J$6,
  VLOOKUP($E72,INDIRECT("tri!"&amp; CHAR(64+ C0Col) &amp;":"&amp; CHAR(65+C0Col)),2,FALSE)&gt;COUNTIF($E72:I72,"u")+COUNTIF($E72:I72,"t")+COUNTIF($E72:I72,"¶")+COUNTIF($E72:I72,"²")+COUNTIF($E72:I72,"µ")+COUNTIF($E72:I72,1)),
HYPERLINK("#Roadmap!C"&amp; MATCH($E72,Roadmap!$D:$D,0)+COUNTIF($E72:I72,"u")+COUNTIF($E72:I72,"t"),
     INDEX(Roadmap!$D:$K,MATCH($E72,Roadmap!$D:$D,0)+COUNTIF($E72:I72,"u")+COUNTIF($E72:I72,"t")+COUNTIF($E72:I72,"¶")+COUNTIF($E72:I72,"²")+COUNTIF($E72:I72,"µ")+COUNTIF($E72:I72,1),ColTypeEcheance)),
  IF(LEN(I72)=1,
  IF(LEN(INDEX(Roadmap!$D:$K,MATCH($E72,Roadmap!$D:$D,0)-1+COUNTIF($E72:I72,"u")+COUNTIF($E72:I72,"t")+COUNTIF($E72:I72,"¶")+COUNTIF($E72:I72,"²")+COUNTIF($E72:I72,"µ")+COUNTIF($E72:I72,1),ColDescriptionCourte))&gt;1,
HYPERLINK("#Roadmap!C"&amp; MATCH($E72,Roadmap!$D:$D,0)+COUNTIF($E72:I72,"u")+COUNTIF($E72:I72,"t")+COUNTIF($E72:I72,"¶")+COUNTIF($E72:I72,"²")+COUNTIF($E72:I72,"µ")+COUNTIF($E72:I72,1)-1,INDEX(Roadmap!$D:$K,MATCH($E72,Roadmap!$D:$D,0)-1+COUNTIF($E72:I72,"u")+COUNTIF($E72:I72,"t")+COUNTIF($E72:I72,"¶")+COUNTIF($E72:I72,"²")+COUNTIF($E72:I72,"µ")+COUNTIF($E72:I72,1),ColDescriptionCourte)),""),
  "")),"")</f>
        <v/>
      </c>
      <c r="K72" s="40" t="str">
        <f ca="1">IFERROR(IF(AND(
  INDEX(Roadmap!$D:$K,MATCH($E72,Roadmap!$D:$D,0)+COUNTIF($E72:J72,"u")+COUNTIF($E72:J72,"t")+COUNTIF($E72:J72,"¶")+COUNTIF($E72:J72,"²")+COUNTIF($E72:J72,"µ")+COUNTIF($E72:J72,1),ColLivraison)=K$6,
  VLOOKUP($E72,INDIRECT("tri!"&amp; CHAR(64+ C0Col) &amp;":"&amp; CHAR(65+C0Col)),2,FALSE)&gt;COUNTIF($E72:J72,"u")+COUNTIF($E72:J72,"t")+COUNTIF($E72:J72,"¶")+COUNTIF($E72:J72,"²")+COUNTIF($E72:J72,"µ")+COUNTIF($E72:J72,1)),
HYPERLINK("#Roadmap!C"&amp; MATCH($E72,Roadmap!$D:$D,0)+COUNTIF($E72:J72,"u")+COUNTIF($E72:J72,"t"),
     INDEX(Roadmap!$D:$K,MATCH($E72,Roadmap!$D:$D,0)+COUNTIF($E72:J72,"u")+COUNTIF($E72:J72,"t")+COUNTIF($E72:J72,"¶")+COUNTIF($E72:J72,"²")+COUNTIF($E72:J72,"µ")+COUNTIF($E72:J72,1),ColTypeEcheance)),
  IF(LEN(J72)=1,
  IF(LEN(INDEX(Roadmap!$D:$K,MATCH($E72,Roadmap!$D:$D,0)-1+COUNTIF($E72:J72,"u")+COUNTIF($E72:J72,"t")+COUNTIF($E72:J72,"¶")+COUNTIF($E72:J72,"²")+COUNTIF($E72:J72,"µ")+COUNTIF($E72:J72,1),ColDescriptionCourte))&gt;1,
HYPERLINK("#Roadmap!C"&amp; MATCH($E72,Roadmap!$D:$D,0)+COUNTIF($E72:J72,"u")+COUNTIF($E72:J72,"t")+COUNTIF($E72:J72,"¶")+COUNTIF($E72:J72,"²")+COUNTIF($E72:J72,"µ")+COUNTIF($E72:J72,1)-1,INDEX(Roadmap!$D:$K,MATCH($E72,Roadmap!$D:$D,0)-1+COUNTIF($E72:J72,"u")+COUNTIF($E72:J72,"t")+COUNTIF($E72:J72,"¶")+COUNTIF($E72:J72,"²")+COUNTIF($E72:J72,"µ")+COUNTIF($E72:J72,1),ColDescriptionCourte)),""),
  "")),"")</f>
        <v/>
      </c>
      <c r="L72" s="39" t="str">
        <f ca="1">IFERROR(IF(AND(
  INDEX(Roadmap!$D:$K,MATCH($E72,Roadmap!$D:$D,0)+COUNTIF($E72:K72,"u")+COUNTIF($E72:K72,"t")+COUNTIF($E72:K72,"¶")+COUNTIF($E72:K72,"²")+COUNTIF($E72:K72,"µ")+COUNTIF($E72:K72,1),ColLivraison)=L$6,
  VLOOKUP($E72,INDIRECT("tri!"&amp; CHAR(64+ C0Col) &amp;":"&amp; CHAR(65+C0Col)),2,FALSE)&gt;COUNTIF($E72:K72,"u")+COUNTIF($E72:K72,"t")+COUNTIF($E72:K72,"¶")+COUNTIF($E72:K72,"²")+COUNTIF($E72:K72,"µ")+COUNTIF($E72:K72,1)),
HYPERLINK("#Roadmap!C"&amp; MATCH($E72,Roadmap!$D:$D,0)+COUNTIF($E72:K72,"u")+COUNTIF($E72:K72,"t"),
     INDEX(Roadmap!$D:$K,MATCH($E72,Roadmap!$D:$D,0)+COUNTIF($E72:K72,"u")+COUNTIF($E72:K72,"t")+COUNTIF($E72:K72,"¶")+COUNTIF($E72:K72,"²")+COUNTIF($E72:K72,"µ")+COUNTIF($E72:K72,1),ColTypeEcheance)),
  IF(LEN(K72)=1,
  IF(LEN(INDEX(Roadmap!$D:$K,MATCH($E72,Roadmap!$D:$D,0)-1+COUNTIF($E72:K72,"u")+COUNTIF($E72:K72,"t")+COUNTIF($E72:K72,"¶")+COUNTIF($E72:K72,"²")+COUNTIF($E72:K72,"µ")+COUNTIF($E72:K72,1),ColDescriptionCourte))&gt;1,
HYPERLINK("#Roadmap!C"&amp; MATCH($E72,Roadmap!$D:$D,0)+COUNTIF($E72:K72,"u")+COUNTIF($E72:K72,"t")+COUNTIF($E72:K72,"¶")+COUNTIF($E72:K72,"²")+COUNTIF($E72:K72,"µ")+COUNTIF($E72:K72,1)-1,INDEX(Roadmap!$D:$K,MATCH($E72,Roadmap!$D:$D,0)-1+COUNTIF($E72:K72,"u")+COUNTIF($E72:K72,"t")+COUNTIF($E72:K72,"¶")+COUNTIF($E72:K72,"²")+COUNTIF($E72:K72,"µ")+COUNTIF($E72:K72,1),ColDescriptionCourte)),""),
  "")),"")</f>
        <v/>
      </c>
      <c r="M72" s="40" t="str">
        <f ca="1">IFERROR(IF(AND(
  INDEX(Roadmap!$D:$K,MATCH($E72,Roadmap!$D:$D,0)+COUNTIF($E72:L72,"u")+COUNTIF($E72:L72,"t")+COUNTIF($E72:L72,"¶")+COUNTIF($E72:L72,"²")+COUNTIF($E72:L72,"µ")+COUNTIF($E72:L72,1),ColLivraison)=M$6,
  VLOOKUP($E72,INDIRECT("tri!"&amp; CHAR(64+ C0Col) &amp;":"&amp; CHAR(65+C0Col)),2,FALSE)&gt;COUNTIF($E72:L72,"u")+COUNTIF($E72:L72,"t")+COUNTIF($E72:L72,"¶")+COUNTIF($E72:L72,"²")+COUNTIF($E72:L72,"µ")+COUNTIF($E72:L72,1)),
HYPERLINK("#Roadmap!C"&amp; MATCH($E72,Roadmap!$D:$D,0)+COUNTIF($E72:L72,"u")+COUNTIF($E72:L72,"t"),
     INDEX(Roadmap!$D:$K,MATCH($E72,Roadmap!$D:$D,0)+COUNTIF($E72:L72,"u")+COUNTIF($E72:L72,"t")+COUNTIF($E72:L72,"¶")+COUNTIF($E72:L72,"²")+COUNTIF($E72:L72,"µ")+COUNTIF($E72:L72,1),ColTypeEcheance)),
  IF(LEN(L72)=1,
  IF(LEN(INDEX(Roadmap!$D:$K,MATCH($E72,Roadmap!$D:$D,0)-1+COUNTIF($E72:L72,"u")+COUNTIF($E72:L72,"t")+COUNTIF($E72:L72,"¶")+COUNTIF($E72:L72,"²")+COUNTIF($E72:L72,"µ")+COUNTIF($E72:L72,1),ColDescriptionCourte))&gt;1,
HYPERLINK("#Roadmap!C"&amp; MATCH($E72,Roadmap!$D:$D,0)+COUNTIF($E72:L72,"u")+COUNTIF($E72:L72,"t")+COUNTIF($E72:L72,"¶")+COUNTIF($E72:L72,"²")+COUNTIF($E72:L72,"µ")+COUNTIF($E72:L72,1)-1,INDEX(Roadmap!$D:$K,MATCH($E72,Roadmap!$D:$D,0)-1+COUNTIF($E72:L72,"u")+COUNTIF($E72:L72,"t")+COUNTIF($E72:L72,"¶")+COUNTIF($E72:L72,"²")+COUNTIF($E72:L72,"µ")+COUNTIF($E72:L72,1),ColDescriptionCourte)),""),
  "")),"")</f>
        <v/>
      </c>
      <c r="N72" s="40" t="str">
        <f ca="1">IFERROR(IF(AND(
  INDEX(Roadmap!$D:$K,MATCH($E72,Roadmap!$D:$D,0)+COUNTIF($E72:M72,"u")+COUNTIF($E72:M72,"t")+COUNTIF($E72:M72,"¶")+COUNTIF($E72:M72,"²")+COUNTIF($E72:M72,"µ")+COUNTIF($E72:M72,1),ColLivraison)=N$6,
  VLOOKUP($E72,INDIRECT("tri!"&amp; CHAR(64+ C0Col) &amp;":"&amp; CHAR(65+C0Col)),2,FALSE)&gt;COUNTIF($E72:M72,"u")+COUNTIF($E72:M72,"t")+COUNTIF($E72:M72,"¶")+COUNTIF($E72:M72,"²")+COUNTIF($E72:M72,"µ")+COUNTIF($E72:M72,1)),
HYPERLINK("#Roadmap!C"&amp; MATCH($E72,Roadmap!$D:$D,0)+COUNTIF($E72:M72,"u")+COUNTIF($E72:M72,"t"),
     INDEX(Roadmap!$D:$K,MATCH($E72,Roadmap!$D:$D,0)+COUNTIF($E72:M72,"u")+COUNTIF($E72:M72,"t")+COUNTIF($E72:M72,"¶")+COUNTIF($E72:M72,"²")+COUNTIF($E72:M72,"µ")+COUNTIF($E72:M72,1),ColTypeEcheance)),
  IF(LEN(M72)=1,
  IF(LEN(INDEX(Roadmap!$D:$K,MATCH($E72,Roadmap!$D:$D,0)-1+COUNTIF($E72:M72,"u")+COUNTIF($E72:M72,"t")+COUNTIF($E72:M72,"¶")+COUNTIF($E72:M72,"²")+COUNTIF($E72:M72,"µ")+COUNTIF($E72:M72,1),ColDescriptionCourte))&gt;1,
HYPERLINK("#Roadmap!C"&amp; MATCH($E72,Roadmap!$D:$D,0)+COUNTIF($E72:M72,"u")+COUNTIF($E72:M72,"t")+COUNTIF($E72:M72,"¶")+COUNTIF($E72:M72,"²")+COUNTIF($E72:M72,"µ")+COUNTIF($E72:M72,1)-1,INDEX(Roadmap!$D:$K,MATCH($E72,Roadmap!$D:$D,0)-1+COUNTIF($E72:M72,"u")+COUNTIF($E72:M72,"t")+COUNTIF($E72:M72,"¶")+COUNTIF($E72:M72,"²")+COUNTIF($E72:M72,"µ")+COUNTIF($E72:M72,1),ColDescriptionCourte)),""),
  "")),"")</f>
        <v/>
      </c>
      <c r="O72" s="40" t="str">
        <f ca="1">IFERROR(IF(AND(
  INDEX(Roadmap!$D:$K,MATCH($E72,Roadmap!$D:$D,0)+COUNTIF($E72:N72,"u")+COUNTIF($E72:N72,"t")+COUNTIF($E72:N72,"¶")+COUNTIF($E72:N72,"²")+COUNTIF($E72:N72,"µ")+COUNTIF($E72:N72,1),ColLivraison)=O$6,
  VLOOKUP($E72,INDIRECT("tri!"&amp; CHAR(64+ C0Col) &amp;":"&amp; CHAR(65+C0Col)),2,FALSE)&gt;COUNTIF($E72:N72,"u")+COUNTIF($E72:N72,"t")+COUNTIF($E72:N72,"¶")+COUNTIF($E72:N72,"²")+COUNTIF($E72:N72,"µ")+COUNTIF($E72:N72,1)),
HYPERLINK("#Roadmap!C"&amp; MATCH($E72,Roadmap!$D:$D,0)+COUNTIF($E72:N72,"u")+COUNTIF($E72:N72,"t"),
     INDEX(Roadmap!$D:$K,MATCH($E72,Roadmap!$D:$D,0)+COUNTIF($E72:N72,"u")+COUNTIF($E72:N72,"t")+COUNTIF($E72:N72,"¶")+COUNTIF($E72:N72,"²")+COUNTIF($E72:N72,"µ")+COUNTIF($E72:N72,1),ColTypeEcheance)),
  IF(LEN(N72)=1,
  IF(LEN(INDEX(Roadmap!$D:$K,MATCH($E72,Roadmap!$D:$D,0)-1+COUNTIF($E72:N72,"u")+COUNTIF($E72:N72,"t")+COUNTIF($E72:N72,"¶")+COUNTIF($E72:N72,"²")+COUNTIF($E72:N72,"µ")+COUNTIF($E72:N72,1),ColDescriptionCourte))&gt;1,
HYPERLINK("#Roadmap!C"&amp; MATCH($E72,Roadmap!$D:$D,0)+COUNTIF($E72:N72,"u")+COUNTIF($E72:N72,"t")+COUNTIF($E72:N72,"¶")+COUNTIF($E72:N72,"²")+COUNTIF($E72:N72,"µ")+COUNTIF($E72:N72,1)-1,INDEX(Roadmap!$D:$K,MATCH($E72,Roadmap!$D:$D,0)-1+COUNTIF($E72:N72,"u")+COUNTIF($E72:N72,"t")+COUNTIF($E72:N72,"¶")+COUNTIF($E72:N72,"²")+COUNTIF($E72:N72,"µ")+COUNTIF($E72:N72,1),ColDescriptionCourte)),""),
  "")),"")</f>
        <v/>
      </c>
      <c r="P72" s="40" t="str">
        <f ca="1">IFERROR(IF(AND(
  INDEX(Roadmap!$D:$K,MATCH($E72,Roadmap!$D:$D,0)+COUNTIF($E72:O72,"u")+COUNTIF($E72:O72,"t")+COUNTIF($E72:O72,"¶")+COUNTIF($E72:O72,"²")+COUNTIF($E72:O72,"µ")+COUNTIF($E72:O72,1),ColLivraison)=P$6,
  VLOOKUP($E72,INDIRECT("tri!"&amp; CHAR(64+ C0Col) &amp;":"&amp; CHAR(65+C0Col)),2,FALSE)&gt;COUNTIF($E72:O72,"u")+COUNTIF($E72:O72,"t")+COUNTIF($E72:O72,"¶")+COUNTIF($E72:O72,"²")+COUNTIF($E72:O72,"µ")+COUNTIF($E72:O72,1)),
HYPERLINK("#Roadmap!C"&amp; MATCH($E72,Roadmap!$D:$D,0)+COUNTIF($E72:O72,"u")+COUNTIF($E72:O72,"t"),
     INDEX(Roadmap!$D:$K,MATCH($E72,Roadmap!$D:$D,0)+COUNTIF($E72:O72,"u")+COUNTIF($E72:O72,"t")+COUNTIF($E72:O72,"¶")+COUNTIF($E72:O72,"²")+COUNTIF($E72:O72,"µ")+COUNTIF($E72:O72,1),ColTypeEcheance)),
  IF(LEN(O72)=1,
  IF(LEN(INDEX(Roadmap!$D:$K,MATCH($E72,Roadmap!$D:$D,0)-1+COUNTIF($E72:O72,"u")+COUNTIF($E72:O72,"t")+COUNTIF($E72:O72,"¶")+COUNTIF($E72:O72,"²")+COUNTIF($E72:O72,"µ")+COUNTIF($E72:O72,1),ColDescriptionCourte))&gt;1,
HYPERLINK("#Roadmap!C"&amp; MATCH($E72,Roadmap!$D:$D,0)+COUNTIF($E72:O72,"u")+COUNTIF($E72:O72,"t")+COUNTIF($E72:O72,"¶")+COUNTIF($E72:O72,"²")+COUNTIF($E72:O72,"µ")+COUNTIF($E72:O72,1)-1,INDEX(Roadmap!$D:$K,MATCH($E72,Roadmap!$D:$D,0)-1+COUNTIF($E72:O72,"u")+COUNTIF($E72:O72,"t")+COUNTIF($E72:O72,"¶")+COUNTIF($E72:O72,"²")+COUNTIF($E72:O72,"µ")+COUNTIF($E72:O72,1),ColDescriptionCourte)),""),
  "")),"")</f>
        <v/>
      </c>
      <c r="Q72" s="40" t="str">
        <f ca="1">IFERROR(IF(AND(
  INDEX(Roadmap!$D:$K,MATCH($E72,Roadmap!$D:$D,0)+COUNTIF($E72:P72,"u")+COUNTIF($E72:P72,"t")+COUNTIF($E72:P72,"¶")+COUNTIF($E72:P72,"²")+COUNTIF($E72:P72,"µ")+COUNTIF($E72:P72,1),ColLivraison)=Q$6,
  VLOOKUP($E72,INDIRECT("tri!"&amp; CHAR(64+ C0Col) &amp;":"&amp; CHAR(65+C0Col)),2,FALSE)&gt;COUNTIF($E72:P72,"u")+COUNTIF($E72:P72,"t")+COUNTIF($E72:P72,"¶")+COUNTIF($E72:P72,"²")+COUNTIF($E72:P72,"µ")+COUNTIF($E72:P72,1)),
HYPERLINK("#Roadmap!C"&amp; MATCH($E72,Roadmap!$D:$D,0)+COUNTIF($E72:P72,"u")+COUNTIF($E72:P72,"t"),
     INDEX(Roadmap!$D:$K,MATCH($E72,Roadmap!$D:$D,0)+COUNTIF($E72:P72,"u")+COUNTIF($E72:P72,"t")+COUNTIF($E72:P72,"¶")+COUNTIF($E72:P72,"²")+COUNTIF($E72:P72,"µ")+COUNTIF($E72:P72,1),ColTypeEcheance)),
  IF(LEN(P72)=1,
  IF(LEN(INDEX(Roadmap!$D:$K,MATCH($E72,Roadmap!$D:$D,0)-1+COUNTIF($E72:P72,"u")+COUNTIF($E72:P72,"t")+COUNTIF($E72:P72,"¶")+COUNTIF($E72:P72,"²")+COUNTIF($E72:P72,"µ")+COUNTIF($E72:P72,1),ColDescriptionCourte))&gt;1,
HYPERLINK("#Roadmap!C"&amp; MATCH($E72,Roadmap!$D:$D,0)+COUNTIF($E72:P72,"u")+COUNTIF($E72:P72,"t")+COUNTIF($E72:P72,"¶")+COUNTIF($E72:P72,"²")+COUNTIF($E72:P72,"µ")+COUNTIF($E72:P72,1)-1,INDEX(Roadmap!$D:$K,MATCH($E72,Roadmap!$D:$D,0)-1+COUNTIF($E72:P72,"u")+COUNTIF($E72:P72,"t")+COUNTIF($E72:P72,"¶")+COUNTIF($E72:P72,"²")+COUNTIF($E72:P72,"µ")+COUNTIF($E72:P72,1),ColDescriptionCourte)),""),
  "")),"")</f>
        <v/>
      </c>
      <c r="R72" s="40" t="str">
        <f ca="1">IFERROR(IF(AND(
  INDEX(Roadmap!$D:$K,MATCH($E72,Roadmap!$D:$D,0)+COUNTIF($E72:Q72,"u")+COUNTIF($E72:Q72,"t")+COUNTIF($E72:Q72,"¶")+COUNTIF($E72:Q72,"²")+COUNTIF($E72:Q72,"µ")+COUNTIF($E72:Q72,1),ColLivraison)=R$6,
  VLOOKUP($E72,INDIRECT("tri!"&amp; CHAR(64+ C0Col) &amp;":"&amp; CHAR(65+C0Col)),2,FALSE)&gt;COUNTIF($E72:Q72,"u")+COUNTIF($E72:Q72,"t")+COUNTIF($E72:Q72,"¶")+COUNTIF($E72:Q72,"²")+COUNTIF($E72:Q72,"µ")+COUNTIF($E72:Q72,1)),
HYPERLINK("#Roadmap!C"&amp; MATCH($E72,Roadmap!$D:$D,0)+COUNTIF($E72:Q72,"u")+COUNTIF($E72:Q72,"t"),
     INDEX(Roadmap!$D:$K,MATCH($E72,Roadmap!$D:$D,0)+COUNTIF($E72:Q72,"u")+COUNTIF($E72:Q72,"t")+COUNTIF($E72:Q72,"¶")+COUNTIF($E72:Q72,"²")+COUNTIF($E72:Q72,"µ")+COUNTIF($E72:Q72,1),ColTypeEcheance)),
  IF(LEN(Q72)=1,
  IF(LEN(INDEX(Roadmap!$D:$K,MATCH($E72,Roadmap!$D:$D,0)-1+COUNTIF($E72:Q72,"u")+COUNTIF($E72:Q72,"t")+COUNTIF($E72:Q72,"¶")+COUNTIF($E72:Q72,"²")+COUNTIF($E72:Q72,"µ")+COUNTIF($E72:Q72,1),ColDescriptionCourte))&gt;1,
HYPERLINK("#Roadmap!C"&amp; MATCH($E72,Roadmap!$D:$D,0)+COUNTIF($E72:Q72,"u")+COUNTIF($E72:Q72,"t")+COUNTIF($E72:Q72,"¶")+COUNTIF($E72:Q72,"²")+COUNTIF($E72:Q72,"µ")+COUNTIF($E72:Q72,1)-1,INDEX(Roadmap!$D:$K,MATCH($E72,Roadmap!$D:$D,0)-1+COUNTIF($E72:Q72,"u")+COUNTIF($E72:Q72,"t")+COUNTIF($E72:Q72,"¶")+COUNTIF($E72:Q72,"²")+COUNTIF($E72:Q72,"µ")+COUNTIF($E72:Q72,1),ColDescriptionCourte)),""),
  "")),"")</f>
        <v/>
      </c>
      <c r="S72" s="40" t="str">
        <f ca="1">IFERROR(IF(AND(
  INDEX(Roadmap!$D:$K,MATCH($E72,Roadmap!$D:$D,0)+COUNTIF($E72:R72,"u")+COUNTIF($E72:R72,"t")+COUNTIF($E72:R72,"¶")+COUNTIF($E72:R72,"²")+COUNTIF($E72:R72,"µ")+COUNTIF($E72:R72,1),ColLivraison)=S$6,
  VLOOKUP($E72,INDIRECT("tri!"&amp; CHAR(64+ C0Col) &amp;":"&amp; CHAR(65+C0Col)),2,FALSE)&gt;COUNTIF($E72:R72,"u")+COUNTIF($E72:R72,"t")+COUNTIF($E72:R72,"¶")+COUNTIF($E72:R72,"²")+COUNTIF($E72:R72,"µ")+COUNTIF($E72:R72,1)),
HYPERLINK("#Roadmap!C"&amp; MATCH($E72,Roadmap!$D:$D,0)+COUNTIF($E72:R72,"u")+COUNTIF($E72:R72,"t"),
     INDEX(Roadmap!$D:$K,MATCH($E72,Roadmap!$D:$D,0)+COUNTIF($E72:R72,"u")+COUNTIF($E72:R72,"t")+COUNTIF($E72:R72,"¶")+COUNTIF($E72:R72,"²")+COUNTIF($E72:R72,"µ")+COUNTIF($E72:R72,1),ColTypeEcheance)),
  IF(LEN(R72)=1,
  IF(LEN(INDEX(Roadmap!$D:$K,MATCH($E72,Roadmap!$D:$D,0)-1+COUNTIF($E72:R72,"u")+COUNTIF($E72:R72,"t")+COUNTIF($E72:R72,"¶")+COUNTIF($E72:R72,"²")+COUNTIF($E72:R72,"µ")+COUNTIF($E72:R72,1),ColDescriptionCourte))&gt;1,
HYPERLINK("#Roadmap!C"&amp; MATCH($E72,Roadmap!$D:$D,0)+COUNTIF($E72:R72,"u")+COUNTIF($E72:R72,"t")+COUNTIF($E72:R72,"¶")+COUNTIF($E72:R72,"²")+COUNTIF($E72:R72,"µ")+COUNTIF($E72:R72,1)-1,INDEX(Roadmap!$D:$K,MATCH($E72,Roadmap!$D:$D,0)-1+COUNTIF($E72:R72,"u")+COUNTIF($E72:R72,"t")+COUNTIF($E72:R72,"¶")+COUNTIF($E72:R72,"²")+COUNTIF($E72:R72,"µ")+COUNTIF($E72:R72,1),ColDescriptionCourte)),""),
  "")),"")</f>
        <v/>
      </c>
      <c r="T72" s="40" t="str">
        <f ca="1">IFERROR(IF(AND(
  INDEX(Roadmap!$D:$K,MATCH($E72,Roadmap!$D:$D,0)+COUNTIF($E72:S72,"u")+COUNTIF($E72:S72,"t")+COUNTIF($E72:S72,"¶")+COUNTIF($E72:S72,"²")+COUNTIF($E72:S72,"µ")+COUNTIF($E72:S72,1),ColLivraison)=T$6,
  VLOOKUP($E72,INDIRECT("tri!"&amp; CHAR(64+ C0Col) &amp;":"&amp; CHAR(65+C0Col)),2,FALSE)&gt;COUNTIF($E72:S72,"u")+COUNTIF($E72:S72,"t")+COUNTIF($E72:S72,"¶")+COUNTIF($E72:S72,"²")+COUNTIF($E72:S72,"µ")+COUNTIF($E72:S72,1)),
HYPERLINK("#Roadmap!C"&amp; MATCH($E72,Roadmap!$D:$D,0)+COUNTIF($E72:S72,"u")+COUNTIF($E72:S72,"t"),
     INDEX(Roadmap!$D:$K,MATCH($E72,Roadmap!$D:$D,0)+COUNTIF($E72:S72,"u")+COUNTIF($E72:S72,"t")+COUNTIF($E72:S72,"¶")+COUNTIF($E72:S72,"²")+COUNTIF($E72:S72,"µ")+COUNTIF($E72:S72,1),ColTypeEcheance)),
  IF(LEN(S72)=1,
  IF(LEN(INDEX(Roadmap!$D:$K,MATCH($E72,Roadmap!$D:$D,0)-1+COUNTIF($E72:S72,"u")+COUNTIF($E72:S72,"t")+COUNTIF($E72:S72,"¶")+COUNTIF($E72:S72,"²")+COUNTIF($E72:S72,"µ")+COUNTIF($E72:S72,1),ColDescriptionCourte))&gt;1,
HYPERLINK("#Roadmap!C"&amp; MATCH($E72,Roadmap!$D:$D,0)+COUNTIF($E72:S72,"u")+COUNTIF($E72:S72,"t")+COUNTIF($E72:S72,"¶")+COUNTIF($E72:S72,"²")+COUNTIF($E72:S72,"µ")+COUNTIF($E72:S72,1)-1,INDEX(Roadmap!$D:$K,MATCH($E72,Roadmap!$D:$D,0)-1+COUNTIF($E72:S72,"u")+COUNTIF($E72:S72,"t")+COUNTIF($E72:S72,"¶")+COUNTIF($E72:S72,"²")+COUNTIF($E72:S72,"µ")+COUNTIF($E72:S72,1),ColDescriptionCourte)),""),
  "")),"")</f>
        <v/>
      </c>
      <c r="U72" s="40" t="str">
        <f ca="1">IFERROR(IF(AND(
  INDEX(Roadmap!$D:$K,MATCH($E72,Roadmap!$D:$D,0)+COUNTIF($E72:T72,"u")+COUNTIF($E72:T72,"t")+COUNTIF($E72:T72,"¶")+COUNTIF($E72:T72,"²")+COUNTIF($E72:T72,"µ")+COUNTIF($E72:T72,1),ColLivraison)=U$6,
  VLOOKUP($E72,INDIRECT("tri!"&amp; CHAR(64+ C0Col) &amp;":"&amp; CHAR(65+C0Col)),2,FALSE)&gt;COUNTIF($E72:T72,"u")+COUNTIF($E72:T72,"t")+COUNTIF($E72:T72,"¶")+COUNTIF($E72:T72,"²")+COUNTIF($E72:T72,"µ")+COUNTIF($E72:T72,1)),
HYPERLINK("#Roadmap!C"&amp; MATCH($E72,Roadmap!$D:$D,0)+COUNTIF($E72:T72,"u")+COUNTIF($E72:T72,"t"),
     INDEX(Roadmap!$D:$K,MATCH($E72,Roadmap!$D:$D,0)+COUNTIF($E72:T72,"u")+COUNTIF($E72:T72,"t")+COUNTIF($E72:T72,"¶")+COUNTIF($E72:T72,"²")+COUNTIF($E72:T72,"µ")+COUNTIF($E72:T72,1),ColTypeEcheance)),
  IF(LEN(T72)=1,
  IF(LEN(INDEX(Roadmap!$D:$K,MATCH($E72,Roadmap!$D:$D,0)-1+COUNTIF($E72:T72,"u")+COUNTIF($E72:T72,"t")+COUNTIF($E72:T72,"¶")+COUNTIF($E72:T72,"²")+COUNTIF($E72:T72,"µ")+COUNTIF($E72:T72,1),ColDescriptionCourte))&gt;1,
HYPERLINK("#Roadmap!C"&amp; MATCH($E72,Roadmap!$D:$D,0)+COUNTIF($E72:T72,"u")+COUNTIF($E72:T72,"t")+COUNTIF($E72:T72,"¶")+COUNTIF($E72:T72,"²")+COUNTIF($E72:T72,"µ")+COUNTIF($E72:T72,1)-1,INDEX(Roadmap!$D:$K,MATCH($E72,Roadmap!$D:$D,0)-1+COUNTIF($E72:T72,"u")+COUNTIF($E72:T72,"t")+COUNTIF($E72:T72,"¶")+COUNTIF($E72:T72,"²")+COUNTIF($E72:T72,"µ")+COUNTIF($E72:T72,1),ColDescriptionCourte)),""),
  "")),"")</f>
        <v/>
      </c>
      <c r="V72" s="40" t="str">
        <f ca="1">IFERROR(IF(AND(
  INDEX(Roadmap!$D:$K,MATCH($E72,Roadmap!$D:$D,0)+COUNTIF($E72:U72,"u")+COUNTIF($E72:U72,"t")+COUNTIF($E72:U72,"¶")+COUNTIF($E72:U72,"²")+COUNTIF($E72:U72,"µ")+COUNTIF($E72:U72,1),ColLivraison)=V$6,
  VLOOKUP($E72,INDIRECT("tri!"&amp; CHAR(64+ C0Col) &amp;":"&amp; CHAR(65+C0Col)),2,FALSE)&gt;COUNTIF($E72:U72,"u")+COUNTIF($E72:U72,"t")+COUNTIF($E72:U72,"¶")+COUNTIF($E72:U72,"²")+COUNTIF($E72:U72,"µ")+COUNTIF($E72:U72,1)),
HYPERLINK("#Roadmap!C"&amp; MATCH($E72,Roadmap!$D:$D,0)+COUNTIF($E72:U72,"u")+COUNTIF($E72:U72,"t"),
     INDEX(Roadmap!$D:$K,MATCH($E72,Roadmap!$D:$D,0)+COUNTIF($E72:U72,"u")+COUNTIF($E72:U72,"t")+COUNTIF($E72:U72,"¶")+COUNTIF($E72:U72,"²")+COUNTIF($E72:U72,"µ")+COUNTIF($E72:U72,1),ColTypeEcheance)),
  IF(LEN(U72)=1,
  IF(LEN(INDEX(Roadmap!$D:$K,MATCH($E72,Roadmap!$D:$D,0)-1+COUNTIF($E72:U72,"u")+COUNTIF($E72:U72,"t")+COUNTIF($E72:U72,"¶")+COUNTIF($E72:U72,"²")+COUNTIF($E72:U72,"µ")+COUNTIF($E72:U72,1),ColDescriptionCourte))&gt;1,
HYPERLINK("#Roadmap!C"&amp; MATCH($E72,Roadmap!$D:$D,0)+COUNTIF($E72:U72,"u")+COUNTIF($E72:U72,"t")+COUNTIF($E72:U72,"¶")+COUNTIF($E72:U72,"²")+COUNTIF($E72:U72,"µ")+COUNTIF($E72:U72,1)-1,INDEX(Roadmap!$D:$K,MATCH($E72,Roadmap!$D:$D,0)-1+COUNTIF($E72:U72,"u")+COUNTIF($E72:U72,"t")+COUNTIF($E72:U72,"¶")+COUNTIF($E72:U72,"²")+COUNTIF($E72:U72,"µ")+COUNTIF($E72:U72,1),ColDescriptionCourte)),""),
  "")),"")</f>
        <v/>
      </c>
      <c r="W72" s="40" t="str">
        <f ca="1">IFERROR(IF(AND(
  INDEX(Roadmap!$D:$K,MATCH($E72,Roadmap!$D:$D,0)+COUNTIF($E72:V72,"u")+COUNTIF($E72:V72,"t")+COUNTIF($E72:V72,"¶")+COUNTIF($E72:V72,"²")+COUNTIF($E72:V72,"µ")+COUNTIF($E72:V72,1),ColLivraison)=W$6,
  VLOOKUP($E72,INDIRECT("tri!"&amp; CHAR(64+ C0Col) &amp;":"&amp; CHAR(65+C0Col)),2,FALSE)&gt;COUNTIF($E72:V72,"u")+COUNTIF($E72:V72,"t")+COUNTIF($E72:V72,"¶")+COUNTIF($E72:V72,"²")+COUNTIF($E72:V72,"µ")+COUNTIF($E72:V72,1)),
HYPERLINK("#Roadmap!C"&amp; MATCH($E72,Roadmap!$D:$D,0)+COUNTIF($E72:V72,"u")+COUNTIF($E72:V72,"t"),
     INDEX(Roadmap!$D:$K,MATCH($E72,Roadmap!$D:$D,0)+COUNTIF($E72:V72,"u")+COUNTIF($E72:V72,"t")+COUNTIF($E72:V72,"¶")+COUNTIF($E72:V72,"²")+COUNTIF($E72:V72,"µ")+COUNTIF($E72:V72,1),ColTypeEcheance)),
  IF(LEN(V72)=1,
  IF(LEN(INDEX(Roadmap!$D:$K,MATCH($E72,Roadmap!$D:$D,0)-1+COUNTIF($E72:V72,"u")+COUNTIF($E72:V72,"t")+COUNTIF($E72:V72,"¶")+COUNTIF($E72:V72,"²")+COUNTIF($E72:V72,"µ")+COUNTIF($E72:V72,1),ColDescriptionCourte))&gt;1,
HYPERLINK("#Roadmap!C"&amp; MATCH($E72,Roadmap!$D:$D,0)+COUNTIF($E72:V72,"u")+COUNTIF($E72:V72,"t")+COUNTIF($E72:V72,"¶")+COUNTIF($E72:V72,"²")+COUNTIF($E72:V72,"µ")+COUNTIF($E72:V72,1)-1,INDEX(Roadmap!$D:$K,MATCH($E72,Roadmap!$D:$D,0)-1+COUNTIF($E72:V72,"u")+COUNTIF($E72:V72,"t")+COUNTIF($E72:V72,"¶")+COUNTIF($E72:V72,"²")+COUNTIF($E72:V72,"µ")+COUNTIF($E72:V72,1),ColDescriptionCourte)),""),
  "")),"")</f>
        <v/>
      </c>
      <c r="X72" s="40" t="str">
        <f ca="1">IFERROR(IF(AND(
  INDEX(Roadmap!$D:$K,MATCH($E72,Roadmap!$D:$D,0)+COUNTIF($E72:W72,"u")+COUNTIF($E72:W72,"t")+COUNTIF($E72:W72,"¶")+COUNTIF($E72:W72,"²")+COUNTIF($E72:W72,"µ")+COUNTIF($E72:W72,1),ColLivraison)=X$6,
  VLOOKUP($E72,INDIRECT("tri!"&amp; CHAR(64+ C0Col) &amp;":"&amp; CHAR(65+C0Col)),2,FALSE)&gt;COUNTIF($E72:W72,"u")+COUNTIF($E72:W72,"t")+COUNTIF($E72:W72,"¶")+COUNTIF($E72:W72,"²")+COUNTIF($E72:W72,"µ")+COUNTIF($E72:W72,1)),
HYPERLINK("#Roadmap!C"&amp; MATCH($E72,Roadmap!$D:$D,0)+COUNTIF($E72:W72,"u")+COUNTIF($E72:W72,"t"),
     INDEX(Roadmap!$D:$K,MATCH($E72,Roadmap!$D:$D,0)+COUNTIF($E72:W72,"u")+COUNTIF($E72:W72,"t")+COUNTIF($E72:W72,"¶")+COUNTIF($E72:W72,"²")+COUNTIF($E72:W72,"µ")+COUNTIF($E72:W72,1),ColTypeEcheance)),
  IF(LEN(W72)=1,
  IF(LEN(INDEX(Roadmap!$D:$K,MATCH($E72,Roadmap!$D:$D,0)-1+COUNTIF($E72:W72,"u")+COUNTIF($E72:W72,"t")+COUNTIF($E72:W72,"¶")+COUNTIF($E72:W72,"²")+COUNTIF($E72:W72,"µ")+COUNTIF($E72:W72,1),ColDescriptionCourte))&gt;1,
HYPERLINK("#Roadmap!C"&amp; MATCH($E72,Roadmap!$D:$D,0)+COUNTIF($E72:W72,"u")+COUNTIF($E72:W72,"t")+COUNTIF($E72:W72,"¶")+COUNTIF($E72:W72,"²")+COUNTIF($E72:W72,"µ")+COUNTIF($E72:W72,1)-1,INDEX(Roadmap!$D:$K,MATCH($E72,Roadmap!$D:$D,0)-1+COUNTIF($E72:W72,"u")+COUNTIF($E72:W72,"t")+COUNTIF($E72:W72,"¶")+COUNTIF($E72:W72,"²")+COUNTIF($E72:W72,"µ")+COUNTIF($E72:W72,1),ColDescriptionCourte)),""),
  "")),"")</f>
        <v/>
      </c>
      <c r="Y72" s="40" t="str">
        <f ca="1">IFERROR(IF(AND(
  INDEX(Roadmap!$D:$K,MATCH($E72,Roadmap!$D:$D,0)+COUNTIF($E72:X72,"u")+COUNTIF($E72:X72,"t")+COUNTIF($E72:X72,"¶")+COUNTIF($E72:X72,"²")+COUNTIF($E72:X72,"µ")+COUNTIF($E72:X72,1),ColLivraison)=Y$6,
  VLOOKUP($E72,INDIRECT("tri!"&amp; CHAR(64+ C0Col) &amp;":"&amp; CHAR(65+C0Col)),2,FALSE)&gt;COUNTIF($E72:X72,"u")+COUNTIF($E72:X72,"t")+COUNTIF($E72:X72,"¶")+COUNTIF($E72:X72,"²")+COUNTIF($E72:X72,"µ")+COUNTIF($E72:X72,1)),
HYPERLINK("#Roadmap!C"&amp; MATCH($E72,Roadmap!$D:$D,0)+COUNTIF($E72:X72,"u")+COUNTIF($E72:X72,"t"),
     INDEX(Roadmap!$D:$K,MATCH($E72,Roadmap!$D:$D,0)+COUNTIF($E72:X72,"u")+COUNTIF($E72:X72,"t")+COUNTIF($E72:X72,"¶")+COUNTIF($E72:X72,"²")+COUNTIF($E72:X72,"µ")+COUNTIF($E72:X72,1),ColTypeEcheance)),
  IF(LEN(X72)=1,
  IF(LEN(INDEX(Roadmap!$D:$K,MATCH($E72,Roadmap!$D:$D,0)-1+COUNTIF($E72:X72,"u")+COUNTIF($E72:X72,"t")+COUNTIF($E72:X72,"¶")+COUNTIF($E72:X72,"²")+COUNTIF($E72:X72,"µ")+COUNTIF($E72:X72,1),ColDescriptionCourte))&gt;1,
HYPERLINK("#Roadmap!C"&amp; MATCH($E72,Roadmap!$D:$D,0)+COUNTIF($E72:X72,"u")+COUNTIF($E72:X72,"t")+COUNTIF($E72:X72,"¶")+COUNTIF($E72:X72,"²")+COUNTIF($E72:X72,"µ")+COUNTIF($E72:X72,1)-1,INDEX(Roadmap!$D:$K,MATCH($E72,Roadmap!$D:$D,0)-1+COUNTIF($E72:X72,"u")+COUNTIF($E72:X72,"t")+COUNTIF($E72:X72,"¶")+COUNTIF($E72:X72,"²")+COUNTIF($E72:X72,"µ")+COUNTIF($E72:X72,1),ColDescriptionCourte)),""),
  "")),"")</f>
        <v/>
      </c>
      <c r="Z72" s="40" t="str">
        <f ca="1">IFERROR(IF(AND(
  INDEX(Roadmap!$D:$K,MATCH($E72,Roadmap!$D:$D,0)+COUNTIF($E72:Y72,"u")+COUNTIF($E72:Y72,"t")+COUNTIF($E72:Y72,"¶")+COUNTIF($E72:Y72,"²")+COUNTIF($E72:Y72,"µ")+COUNTIF($E72:Y72,1),ColLivraison)=Z$6,
  VLOOKUP($E72,INDIRECT("tri!"&amp; CHAR(64+ C0Col) &amp;":"&amp; CHAR(65+C0Col)),2,FALSE)&gt;COUNTIF($E72:Y72,"u")+COUNTIF($E72:Y72,"t")+COUNTIF($E72:Y72,"¶")+COUNTIF($E72:Y72,"²")+COUNTIF($E72:Y72,"µ")+COUNTIF($E72:Y72,1)),
HYPERLINK("#Roadmap!C"&amp; MATCH($E72,Roadmap!$D:$D,0)+COUNTIF($E72:Y72,"u")+COUNTIF($E72:Y72,"t"),
     INDEX(Roadmap!$D:$K,MATCH($E72,Roadmap!$D:$D,0)+COUNTIF($E72:Y72,"u")+COUNTIF($E72:Y72,"t")+COUNTIF($E72:Y72,"¶")+COUNTIF($E72:Y72,"²")+COUNTIF($E72:Y72,"µ")+COUNTIF($E72:Y72,1),ColTypeEcheance)),
  IF(LEN(Y72)=1,
  IF(LEN(INDEX(Roadmap!$D:$K,MATCH($E72,Roadmap!$D:$D,0)-1+COUNTIF($E72:Y72,"u")+COUNTIF($E72:Y72,"t")+COUNTIF($E72:Y72,"¶")+COUNTIF($E72:Y72,"²")+COUNTIF($E72:Y72,"µ")+COUNTIF($E72:Y72,1),ColDescriptionCourte))&gt;1,
HYPERLINK("#Roadmap!C"&amp; MATCH($E72,Roadmap!$D:$D,0)+COUNTIF($E72:Y72,"u")+COUNTIF($E72:Y72,"t")+COUNTIF($E72:Y72,"¶")+COUNTIF($E72:Y72,"²")+COUNTIF($E72:Y72,"µ")+COUNTIF($E72:Y72,1)-1,INDEX(Roadmap!$D:$K,MATCH($E72,Roadmap!$D:$D,0)-1+COUNTIF($E72:Y72,"u")+COUNTIF($E72:Y72,"t")+COUNTIF($E72:Y72,"¶")+COUNTIF($E72:Y72,"²")+COUNTIF($E72:Y72,"µ")+COUNTIF($E72:Y72,1),ColDescriptionCourte)),""),
  "")),"")</f>
        <v/>
      </c>
      <c r="AA72" s="40" t="str">
        <f ca="1">IFERROR(IF(AND(
  INDEX(Roadmap!$D:$K,MATCH($E72,Roadmap!$D:$D,0)+COUNTIF($E72:Z72,"u")+COUNTIF($E72:Z72,"t")+COUNTIF($E72:Z72,"¶")+COUNTIF($E72:Z72,"²")+COUNTIF($E72:Z72,"µ")+COUNTIF($E72:Z72,1),ColLivraison)=AA$6,
  VLOOKUP($E72,INDIRECT("tri!"&amp; CHAR(64+ C0Col) &amp;":"&amp; CHAR(65+C0Col)),2,FALSE)&gt;COUNTIF($E72:Z72,"u")+COUNTIF($E72:Z72,"t")+COUNTIF($E72:Z72,"¶")+COUNTIF($E72:Z72,"²")+COUNTIF($E72:Z72,"µ")+COUNTIF($E72:Z72,1)),
HYPERLINK("#Roadmap!C"&amp; MATCH($E72,Roadmap!$D:$D,0)+COUNTIF($E72:Z72,"u")+COUNTIF($E72:Z72,"t"),
     INDEX(Roadmap!$D:$K,MATCH($E72,Roadmap!$D:$D,0)+COUNTIF($E72:Z72,"u")+COUNTIF($E72:Z72,"t")+COUNTIF($E72:Z72,"¶")+COUNTIF($E72:Z72,"²")+COUNTIF($E72:Z72,"µ")+COUNTIF($E72:Z72,1),ColTypeEcheance)),
  IF(LEN(Z72)=1,
  IF(LEN(INDEX(Roadmap!$D:$K,MATCH($E72,Roadmap!$D:$D,0)-1+COUNTIF($E72:Z72,"u")+COUNTIF($E72:Z72,"t")+COUNTIF($E72:Z72,"¶")+COUNTIF($E72:Z72,"²")+COUNTIF($E72:Z72,"µ")+COUNTIF($E72:Z72,1),ColDescriptionCourte))&gt;1,
HYPERLINK("#Roadmap!C"&amp; MATCH($E72,Roadmap!$D:$D,0)+COUNTIF($E72:Z72,"u")+COUNTIF($E72:Z72,"t")+COUNTIF($E72:Z72,"¶")+COUNTIF($E72:Z72,"²")+COUNTIF($E72:Z72,"µ")+COUNTIF($E72:Z72,1)-1,INDEX(Roadmap!$D:$K,MATCH($E72,Roadmap!$D:$D,0)-1+COUNTIF($E72:Z72,"u")+COUNTIF($E72:Z72,"t")+COUNTIF($E72:Z72,"¶")+COUNTIF($E72:Z72,"²")+COUNTIF($E72:Z72,"µ")+COUNTIF($E72:Z72,1),ColDescriptionCourte)),""),
  "")),"")</f>
        <v/>
      </c>
      <c r="AB72" s="40" t="str">
        <f ca="1">IFERROR(IF(AND(
  INDEX(Roadmap!$D:$K,MATCH($E72,Roadmap!$D:$D,0)+COUNTIF($E72:AA72,"u")+COUNTIF($E72:AA72,"t")+COUNTIF($E72:AA72,"¶")+COUNTIF($E72:AA72,"²")+COUNTIF($E72:AA72,"µ")+COUNTIF($E72:AA72,1),ColLivraison)=AB$6,
  VLOOKUP($E72,INDIRECT("tri!"&amp; CHAR(64+ C0Col) &amp;":"&amp; CHAR(65+C0Col)),2,FALSE)&gt;COUNTIF($E72:AA72,"u")+COUNTIF($E72:AA72,"t")+COUNTIF($E72:AA72,"¶")+COUNTIF($E72:AA72,"²")+COUNTIF($E72:AA72,"µ")+COUNTIF($E72:AA72,1)),
HYPERLINK("#Roadmap!C"&amp; MATCH($E72,Roadmap!$D:$D,0)+COUNTIF($E72:AA72,"u")+COUNTIF($E72:AA72,"t"),
     INDEX(Roadmap!$D:$K,MATCH($E72,Roadmap!$D:$D,0)+COUNTIF($E72:AA72,"u")+COUNTIF($E72:AA72,"t")+COUNTIF($E72:AA72,"¶")+COUNTIF($E72:AA72,"²")+COUNTIF($E72:AA72,"µ")+COUNTIF($E72:AA72,1),ColTypeEcheance)),
  IF(LEN(AA72)=1,
  IF(LEN(INDEX(Roadmap!$D:$K,MATCH($E72,Roadmap!$D:$D,0)-1+COUNTIF($E72:AA72,"u")+COUNTIF($E72:AA72,"t")+COUNTIF($E72:AA72,"¶")+COUNTIF($E72:AA72,"²")+COUNTIF($E72:AA72,"µ")+COUNTIF($E72:AA72,1),ColDescriptionCourte))&gt;1,
HYPERLINK("#Roadmap!C"&amp; MATCH($E72,Roadmap!$D:$D,0)+COUNTIF($E72:AA72,"u")+COUNTIF($E72:AA72,"t")+COUNTIF($E72:AA72,"¶")+COUNTIF($E72:AA72,"²")+COUNTIF($E72:AA72,"µ")+COUNTIF($E72:AA72,1)-1,INDEX(Roadmap!$D:$K,MATCH($E72,Roadmap!$D:$D,0)-1+COUNTIF($E72:AA72,"u")+COUNTIF($E72:AA72,"t")+COUNTIF($E72:AA72,"¶")+COUNTIF($E72:AA72,"²")+COUNTIF($E72:AA72,"µ")+COUNTIF($E72:AA72,1),ColDescriptionCourte)),""),
  "")),"")</f>
        <v/>
      </c>
      <c r="AC72" s="40" t="str">
        <f ca="1">IFERROR(IF(AND(
  INDEX(Roadmap!$D:$K,MATCH($E72,Roadmap!$D:$D,0)+COUNTIF($E72:AB72,"u")+COUNTIF($E72:AB72,"t")+COUNTIF($E72:AB72,"¶")+COUNTIF($E72:AB72,"²")+COUNTIF($E72:AB72,"µ")+COUNTIF($E72:AB72,1),ColLivraison)=AC$6,
  VLOOKUP($E72,INDIRECT("tri!"&amp; CHAR(64+ C0Col) &amp;":"&amp; CHAR(65+C0Col)),2,FALSE)&gt;COUNTIF($E72:AB72,"u")+COUNTIF($E72:AB72,"t")+COUNTIF($E72:AB72,"¶")+COUNTIF($E72:AB72,"²")+COUNTIF($E72:AB72,"µ")+COUNTIF($E72:AB72,1)),
HYPERLINK("#Roadmap!C"&amp; MATCH($E72,Roadmap!$D:$D,0)+COUNTIF($E72:AB72,"u")+COUNTIF($E72:AB72,"t"),
     INDEX(Roadmap!$D:$K,MATCH($E72,Roadmap!$D:$D,0)+COUNTIF($E72:AB72,"u")+COUNTIF($E72:AB72,"t")+COUNTIF($E72:AB72,"¶")+COUNTIF($E72:AB72,"²")+COUNTIF($E72:AB72,"µ")+COUNTIF($E72:AB72,1),ColTypeEcheance)),
  IF(LEN(AB72)=1,
  IF(LEN(INDEX(Roadmap!$D:$K,MATCH($E72,Roadmap!$D:$D,0)-1+COUNTIF($E72:AB72,"u")+COUNTIF($E72:AB72,"t")+COUNTIF($E72:AB72,"¶")+COUNTIF($E72:AB72,"²")+COUNTIF($E72:AB72,"µ")+COUNTIF($E72:AB72,1),ColDescriptionCourte))&gt;1,
HYPERLINK("#Roadmap!C"&amp; MATCH($E72,Roadmap!$D:$D,0)+COUNTIF($E72:AB72,"u")+COUNTIF($E72:AB72,"t")+COUNTIF($E72:AB72,"¶")+COUNTIF($E72:AB72,"²")+COUNTIF($E72:AB72,"µ")+COUNTIF($E72:AB72,1)-1,INDEX(Roadmap!$D:$K,MATCH($E72,Roadmap!$D:$D,0)-1+COUNTIF($E72:AB72,"u")+COUNTIF($E72:AB72,"t")+COUNTIF($E72:AB72,"¶")+COUNTIF($E72:AB72,"²")+COUNTIF($E72:AB72,"µ")+COUNTIF($E72:AB72,1),ColDescriptionCourte)),""),
  "")),"")</f>
        <v/>
      </c>
      <c r="AD72" s="40" t="str">
        <f ca="1">IFERROR(IF(AND(
  INDEX(Roadmap!$D:$K,MATCH($E72,Roadmap!$D:$D,0)+COUNTIF($E72:AC72,"u")+COUNTIF($E72:AC72,"t")+COUNTIF($E72:AC72,"¶")+COUNTIF($E72:AC72,"²")+COUNTIF($E72:AC72,"µ")+COUNTIF($E72:AC72,1),ColLivraison)=AD$6,
  VLOOKUP($E72,INDIRECT("tri!"&amp; CHAR(64+ C0Col) &amp;":"&amp; CHAR(65+C0Col)),2,FALSE)&gt;COUNTIF($E72:AC72,"u")+COUNTIF($E72:AC72,"t")+COUNTIF($E72:AC72,"¶")+COUNTIF($E72:AC72,"²")+COUNTIF($E72:AC72,"µ")+COUNTIF($E72:AC72,1)),
HYPERLINK("#Roadmap!C"&amp; MATCH($E72,Roadmap!$D:$D,0)+COUNTIF($E72:AC72,"u")+COUNTIF($E72:AC72,"t"),
     INDEX(Roadmap!$D:$K,MATCH($E72,Roadmap!$D:$D,0)+COUNTIF($E72:AC72,"u")+COUNTIF($E72:AC72,"t")+COUNTIF($E72:AC72,"¶")+COUNTIF($E72:AC72,"²")+COUNTIF($E72:AC72,"µ")+COUNTIF($E72:AC72,1),ColTypeEcheance)),
  IF(LEN(AC72)=1,
  IF(LEN(INDEX(Roadmap!$D:$K,MATCH($E72,Roadmap!$D:$D,0)-1+COUNTIF($E72:AC72,"u")+COUNTIF($E72:AC72,"t")+COUNTIF($E72:AC72,"¶")+COUNTIF($E72:AC72,"²")+COUNTIF($E72:AC72,"µ")+COUNTIF($E72:AC72,1),ColDescriptionCourte))&gt;1,
HYPERLINK("#Roadmap!C"&amp; MATCH($E72,Roadmap!$D:$D,0)+COUNTIF($E72:AC72,"u")+COUNTIF($E72:AC72,"t")+COUNTIF($E72:AC72,"¶")+COUNTIF($E72:AC72,"²")+COUNTIF($E72:AC72,"µ")+COUNTIF($E72:AC72,1)-1,INDEX(Roadmap!$D:$K,MATCH($E72,Roadmap!$D:$D,0)-1+COUNTIF($E72:AC72,"u")+COUNTIF($E72:AC72,"t")+COUNTIF($E72:AC72,"¶")+COUNTIF($E72:AC72,"²")+COUNTIF($E72:AC72,"µ")+COUNTIF($E72:AC72,1),ColDescriptionCourte)),""),
  "")),"")</f>
        <v/>
      </c>
      <c r="AE72" s="40" t="str">
        <f ca="1">IFERROR(IF(AND(
  INDEX(Roadmap!$D:$K,MATCH($E72,Roadmap!$D:$D,0)+COUNTIF($E72:AD72,"u")+COUNTIF($E72:AD72,"t")+COUNTIF($E72:AD72,"¶")+COUNTIF($E72:AD72,"²")+COUNTIF($E72:AD72,"µ")+COUNTIF($E72:AD72,1),ColLivraison)=AE$6,
  VLOOKUP($E72,INDIRECT("tri!"&amp; CHAR(64+ C0Col) &amp;":"&amp; CHAR(65+C0Col)),2,FALSE)&gt;COUNTIF($E72:AD72,"u")+COUNTIF($E72:AD72,"t")+COUNTIF($E72:AD72,"¶")+COUNTIF($E72:AD72,"²")+COUNTIF($E72:AD72,"µ")+COUNTIF($E72:AD72,1)),
HYPERLINK("#Roadmap!C"&amp; MATCH($E72,Roadmap!$D:$D,0)+COUNTIF($E72:AD72,"u")+COUNTIF($E72:AD72,"t"),
     INDEX(Roadmap!$D:$K,MATCH($E72,Roadmap!$D:$D,0)+COUNTIF($E72:AD72,"u")+COUNTIF($E72:AD72,"t")+COUNTIF($E72:AD72,"¶")+COUNTIF($E72:AD72,"²")+COUNTIF($E72:AD72,"µ")+COUNTIF($E72:AD72,1),ColTypeEcheance)),
  IF(LEN(AD72)=1,
  IF(LEN(INDEX(Roadmap!$D:$K,MATCH($E72,Roadmap!$D:$D,0)-1+COUNTIF($E72:AD72,"u")+COUNTIF($E72:AD72,"t")+COUNTIF($E72:AD72,"¶")+COUNTIF($E72:AD72,"²")+COUNTIF($E72:AD72,"µ")+COUNTIF($E72:AD72,1),ColDescriptionCourte))&gt;1,
HYPERLINK("#Roadmap!C"&amp; MATCH($E72,Roadmap!$D:$D,0)+COUNTIF($E72:AD72,"u")+COUNTIF($E72:AD72,"t")+COUNTIF($E72:AD72,"¶")+COUNTIF($E72:AD72,"²")+COUNTIF($E72:AD72,"µ")+COUNTIF($E72:AD72,1)-1,INDEX(Roadmap!$D:$K,MATCH($E72,Roadmap!$D:$D,0)-1+COUNTIF($E72:AD72,"u")+COUNTIF($E72:AD72,"t")+COUNTIF($E72:AD72,"¶")+COUNTIF($E72:AD72,"²")+COUNTIF($E72:AD72,"µ")+COUNTIF($E72:AD72,1),ColDescriptionCourte)),""),
  "")),"")</f>
        <v/>
      </c>
      <c r="AF72" s="40" t="str">
        <f ca="1">IFERROR(IF(AND(
  INDEX(Roadmap!$D:$K,MATCH($E72,Roadmap!$D:$D,0)+COUNTIF($E72:AE72,"u")+COUNTIF($E72:AE72,"t")+COUNTIF($E72:AE72,"¶")+COUNTIF($E72:AE72,"²")+COUNTIF($E72:AE72,"µ")+COUNTIF($E72:AE72,1),ColLivraison)=AF$6,
  VLOOKUP($E72,INDIRECT("tri!"&amp; CHAR(64+ C0Col) &amp;":"&amp; CHAR(65+C0Col)),2,FALSE)&gt;COUNTIF($E72:AE72,"u")+COUNTIF($E72:AE72,"t")+COUNTIF($E72:AE72,"¶")+COUNTIF($E72:AE72,"²")+COUNTIF($E72:AE72,"µ")+COUNTIF($E72:AE72,1)),
HYPERLINK("#Roadmap!C"&amp; MATCH($E72,Roadmap!$D:$D,0)+COUNTIF($E72:AE72,"u")+COUNTIF($E72:AE72,"t"),
     INDEX(Roadmap!$D:$K,MATCH($E72,Roadmap!$D:$D,0)+COUNTIF($E72:AE72,"u")+COUNTIF($E72:AE72,"t")+COUNTIF($E72:AE72,"¶")+COUNTIF($E72:AE72,"²")+COUNTIF($E72:AE72,"µ")+COUNTIF($E72:AE72,1),ColTypeEcheance)),
  IF(LEN(AE72)=1,
  IF(LEN(INDEX(Roadmap!$D:$K,MATCH($E72,Roadmap!$D:$D,0)-1+COUNTIF($E72:AE72,"u")+COUNTIF($E72:AE72,"t")+COUNTIF($E72:AE72,"¶")+COUNTIF($E72:AE72,"²")+COUNTIF($E72:AE72,"µ")+COUNTIF($E72:AE72,1),ColDescriptionCourte))&gt;1,
HYPERLINK("#Roadmap!C"&amp; MATCH($E72,Roadmap!$D:$D,0)+COUNTIF($E72:AE72,"u")+COUNTIF($E72:AE72,"t")+COUNTIF($E72:AE72,"¶")+COUNTIF($E72:AE72,"²")+COUNTIF($E72:AE72,"µ")+COUNTIF($E72:AE72,1)-1,INDEX(Roadmap!$D:$K,MATCH($E72,Roadmap!$D:$D,0)-1+COUNTIF($E72:AE72,"u")+COUNTIF($E72:AE72,"t")+COUNTIF($E72:AE72,"¶")+COUNTIF($E72:AE72,"²")+COUNTIF($E72:AE72,"µ")+COUNTIF($E72:AE72,1),ColDescriptionCourte)),""),
  "")),"")</f>
        <v/>
      </c>
      <c r="AG72" s="40" t="str">
        <f ca="1">IFERROR(IF(AND(
  INDEX(Roadmap!$D:$K,MATCH($E72,Roadmap!$D:$D,0)+COUNTIF($E72:AF72,"u")+COUNTIF($E72:AF72,"t")+COUNTIF($E72:AF72,"¶")+COUNTIF($E72:AF72,"²")+COUNTIF($E72:AF72,"µ")+COUNTIF($E72:AF72,1),ColLivraison)=AG$6,
  VLOOKUP($E72,INDIRECT("tri!"&amp; CHAR(64+ C0Col) &amp;":"&amp; CHAR(65+C0Col)),2,FALSE)&gt;COUNTIF($E72:AF72,"u")+COUNTIF($E72:AF72,"t")+COUNTIF($E72:AF72,"¶")+COUNTIF($E72:AF72,"²")+COUNTIF($E72:AF72,"µ")+COUNTIF($E72:AF72,1)),
HYPERLINK("#Roadmap!C"&amp; MATCH($E72,Roadmap!$D:$D,0)+COUNTIF($E72:AF72,"u")+COUNTIF($E72:AF72,"t"),
     INDEX(Roadmap!$D:$K,MATCH($E72,Roadmap!$D:$D,0)+COUNTIF($E72:AF72,"u")+COUNTIF($E72:AF72,"t")+COUNTIF($E72:AF72,"¶")+COUNTIF($E72:AF72,"²")+COUNTIF($E72:AF72,"µ")+COUNTIF($E72:AF72,1),ColTypeEcheance)),
  IF(LEN(AF72)=1,
  IF(LEN(INDEX(Roadmap!$D:$K,MATCH($E72,Roadmap!$D:$D,0)-1+COUNTIF($E72:AF72,"u")+COUNTIF($E72:AF72,"t")+COUNTIF($E72:AF72,"¶")+COUNTIF($E72:AF72,"²")+COUNTIF($E72:AF72,"µ")+COUNTIF($E72:AF72,1),ColDescriptionCourte))&gt;1,
HYPERLINK("#Roadmap!C"&amp; MATCH($E72,Roadmap!$D:$D,0)+COUNTIF($E72:AF72,"u")+COUNTIF($E72:AF72,"t")+COUNTIF($E72:AF72,"¶")+COUNTIF($E72:AF72,"²")+COUNTIF($E72:AF72,"µ")+COUNTIF($E72:AF72,1)-1,INDEX(Roadmap!$D:$K,MATCH($E72,Roadmap!$D:$D,0)-1+COUNTIF($E72:AF72,"u")+COUNTIF($E72:AF72,"t")+COUNTIF($E72:AF72,"¶")+COUNTIF($E72:AF72,"²")+COUNTIF($E72:AF72,"µ")+COUNTIF($E72:AF72,1),ColDescriptionCourte)),""),
  "")),"")</f>
        <v/>
      </c>
    </row>
    <row r="73" spans="3:33" ht="14.25" customHeight="1">
      <c r="C73" s="1" t="str">
        <f t="shared" ca="1" si="47"/>
        <v/>
      </c>
      <c r="D73" s="1" t="str">
        <f t="shared" ca="1" si="48"/>
        <v/>
      </c>
      <c r="E73" s="35" t="str">
        <f t="shared" ca="1" si="46"/>
        <v/>
      </c>
      <c r="F73" s="39" t="str">
        <f ca="1">IFERROR(IF(AND(
  INDEX(Roadmap!$D:$K,MATCH($E73,Roadmap!$D:$D,0)+COUNTIF($E73:E73,"u")+COUNTIF($E73:E73,"t")+COUNTIF($E73:E73,"¶")+COUNTIF($E73:E73,"²")+COUNTIF($E73:E73,"µ")+COUNTIF($E73:E73,1),ColLivraison)=F$6,
  VLOOKUP($E73,INDIRECT("tri!"&amp; CHAR(64+ C0Col) &amp;":"&amp; CHAR(65+C0Col)),2,FALSE)&gt;COUNTIF($E73:E73,"u")+COUNTIF($E73:E73,"t")+COUNTIF($E73:E73,"¶")+COUNTIF($E73:E73,"²")+COUNTIF($E73:E73,"µ")+COUNTIF($E73:E73,1)),
HYPERLINK("#Roadmap!C"&amp; MATCH($E73,Roadmap!$D:$D,0)+COUNTIF($E73:E73,"u")+COUNTIF($E73:E73,"t"),
     INDEX(Roadmap!$D:$K,MATCH($E73,Roadmap!$D:$D,0)+COUNTIF($E73:E73,"u")+COUNTIF($E73:E73,"t")+COUNTIF($E73:E73,"¶")+COUNTIF($E73:E73,"²")+COUNTIF($E73:E73,"µ")+COUNTIF($E73:E73,1),ColTypeEcheance)),
  IF(LEN(E73)=1,
  IF(LEN(INDEX(Roadmap!$D:$K,MATCH($E73,Roadmap!$D:$D,0)-1+COUNTIF($E73:E73,"u")+COUNTIF($E73:E73,"t")+COUNTIF($E73:E73,"¶")+COUNTIF($E73:E73,"²")+COUNTIF($E73:E73,"µ")+COUNTIF($E73:E73,1),ColDescriptionCourte))&gt;1,
HYPERLINK("#Roadmap!C"&amp; MATCH($E73,Roadmap!$D:$D,0)+COUNTIF($E73:E73,"u")+COUNTIF($E73:E73,"t")+COUNTIF($E73:E73,"¶")+COUNTIF($E73:E73,"²")+COUNTIF($E73:E73,"µ")+COUNTIF($E73:E73,1)-1,INDEX(Roadmap!$D:$K,MATCH($E73,Roadmap!$D:$D,0)-1+COUNTIF($E73:E73,"u")+COUNTIF($E73:E73,"t")+COUNTIF($E73:E73,"¶")+COUNTIF($E73:E73,"²")+COUNTIF($E73:E73,"µ")+COUNTIF($E73:E73,1),ColDescriptionCourte)),""),
  "")),"")</f>
        <v/>
      </c>
      <c r="G73" s="40" t="str">
        <f ca="1">IFERROR(IF(AND(
  INDEX(Roadmap!$D:$K,MATCH($E73,Roadmap!$D:$D,0)+COUNTIF($E73:F73,"u")+COUNTIF($E73:F73,"t")+COUNTIF($E73:F73,"¶")+COUNTIF($E73:F73,"²")+COUNTIF($E73:F73,"µ")+COUNTIF($E73:F73,1),ColLivraison)=G$6,
  VLOOKUP($E73,INDIRECT("tri!"&amp; CHAR(64+ C0Col) &amp;":"&amp; CHAR(65+C0Col)),2,FALSE)&gt;COUNTIF($E73:F73,"u")+COUNTIF($E73:F73,"t")+COUNTIF($E73:F73,"¶")+COUNTIF($E73:F73,"²")+COUNTIF($E73:F73,"µ")+COUNTIF($E73:F73,1)),
HYPERLINK("#Roadmap!C"&amp; MATCH($E73,Roadmap!$D:$D,0)+COUNTIF($E73:F73,"u")+COUNTIF($E73:F73,"t"),
     INDEX(Roadmap!$D:$K,MATCH($E73,Roadmap!$D:$D,0)+COUNTIF($E73:F73,"u")+COUNTIF($E73:F73,"t")+COUNTIF($E73:F73,"¶")+COUNTIF($E73:F73,"²")+COUNTIF($E73:F73,"µ")+COUNTIF($E73:F73,1),ColTypeEcheance)),
  IF(LEN(F73)=1,
  IF(LEN(INDEX(Roadmap!$D:$K,MATCH($E73,Roadmap!$D:$D,0)-1+COUNTIF($E73:F73,"u")+COUNTIF($E73:F73,"t")+COUNTIF($E73:F73,"¶")+COUNTIF($E73:F73,"²")+COUNTIF($E73:F73,"µ")+COUNTIF($E73:F73,1),ColDescriptionCourte))&gt;1,
HYPERLINK("#Roadmap!C"&amp; MATCH($E73,Roadmap!$D:$D,0)+COUNTIF($E73:F73,"u")+COUNTIF($E73:F73,"t")+COUNTIF($E73:F73,"¶")+COUNTIF($E73:F73,"²")+COUNTIF($E73:F73,"µ")+COUNTIF($E73:F73,1)-1,INDEX(Roadmap!$D:$K,MATCH($E73,Roadmap!$D:$D,0)-1+COUNTIF($E73:F73,"u")+COUNTIF($E73:F73,"t")+COUNTIF($E73:F73,"¶")+COUNTIF($E73:F73,"²")+COUNTIF($E73:F73,"µ")+COUNTIF($E73:F73,1),ColDescriptionCourte)),""),
  "")),"")</f>
        <v/>
      </c>
      <c r="H73" s="40" t="str">
        <f ca="1">IFERROR(IF(AND(
  INDEX(Roadmap!$D:$K,MATCH($E73,Roadmap!$D:$D,0)+COUNTIF($E73:G73,"u")+COUNTIF($E73:G73,"t")+COUNTIF($E73:G73,"¶")+COUNTIF($E73:G73,"²")+COUNTIF($E73:G73,"µ")+COUNTIF($E73:G73,1),ColLivraison)=H$6,
  VLOOKUP($E73,INDIRECT("tri!"&amp; CHAR(64+ C0Col) &amp;":"&amp; CHAR(65+C0Col)),2,FALSE)&gt;COUNTIF($E73:G73,"u")+COUNTIF($E73:G73,"t")+COUNTIF($E73:G73,"¶")+COUNTIF($E73:G73,"²")+COUNTIF($E73:G73,"µ")+COUNTIF($E73:G73,1)),
HYPERLINK("#Roadmap!C"&amp; MATCH($E73,Roadmap!$D:$D,0)+COUNTIF($E73:G73,"u")+COUNTIF($E73:G73,"t"),
     INDEX(Roadmap!$D:$K,MATCH($E73,Roadmap!$D:$D,0)+COUNTIF($E73:G73,"u")+COUNTIF($E73:G73,"t")+COUNTIF($E73:G73,"¶")+COUNTIF($E73:G73,"²")+COUNTIF($E73:G73,"µ")+COUNTIF($E73:G73,1),ColTypeEcheance)),
  IF(LEN(G73)=1,
  IF(LEN(INDEX(Roadmap!$D:$K,MATCH($E73,Roadmap!$D:$D,0)-1+COUNTIF($E73:G73,"u")+COUNTIF($E73:G73,"t")+COUNTIF($E73:G73,"¶")+COUNTIF($E73:G73,"²")+COUNTIF($E73:G73,"µ")+COUNTIF($E73:G73,1),ColDescriptionCourte))&gt;1,
HYPERLINK("#Roadmap!C"&amp; MATCH($E73,Roadmap!$D:$D,0)+COUNTIF($E73:G73,"u")+COUNTIF($E73:G73,"t")+COUNTIF($E73:G73,"¶")+COUNTIF($E73:G73,"²")+COUNTIF($E73:G73,"µ")+COUNTIF($E73:G73,1)-1,INDEX(Roadmap!$D:$K,MATCH($E73,Roadmap!$D:$D,0)-1+COUNTIF($E73:G73,"u")+COUNTIF($E73:G73,"t")+COUNTIF($E73:G73,"¶")+COUNTIF($E73:G73,"²")+COUNTIF($E73:G73,"µ")+COUNTIF($E73:G73,1),ColDescriptionCourte)),""),
  "")),"")</f>
        <v/>
      </c>
      <c r="I73" s="40" t="str">
        <f ca="1">IFERROR(IF(AND(
  INDEX(Roadmap!$D:$K,MATCH($E73,Roadmap!$D:$D,0)+COUNTIF($E73:H73,"u")+COUNTIF($E73:H73,"t")+COUNTIF($E73:H73,"¶")+COUNTIF($E73:H73,"²")+COUNTIF($E73:H73,"µ")+COUNTIF($E73:H73,1),ColLivraison)=I$6,
  VLOOKUP($E73,INDIRECT("tri!"&amp; CHAR(64+ C0Col) &amp;":"&amp; CHAR(65+C0Col)),2,FALSE)&gt;COUNTIF($E73:H73,"u")+COUNTIF($E73:H73,"t")+COUNTIF($E73:H73,"¶")+COUNTIF($E73:H73,"²")+COUNTIF($E73:H73,"µ")+COUNTIF($E73:H73,1)),
HYPERLINK("#Roadmap!C"&amp; MATCH($E73,Roadmap!$D:$D,0)+COUNTIF($E73:H73,"u")+COUNTIF($E73:H73,"t"),
     INDEX(Roadmap!$D:$K,MATCH($E73,Roadmap!$D:$D,0)+COUNTIF($E73:H73,"u")+COUNTIF($E73:H73,"t")+COUNTIF($E73:H73,"¶")+COUNTIF($E73:H73,"²")+COUNTIF($E73:H73,"µ")+COUNTIF($E73:H73,1),ColTypeEcheance)),
  IF(LEN(H73)=1,
  IF(LEN(INDEX(Roadmap!$D:$K,MATCH($E73,Roadmap!$D:$D,0)-1+COUNTIF($E73:H73,"u")+COUNTIF($E73:H73,"t")+COUNTIF($E73:H73,"¶")+COUNTIF($E73:H73,"²")+COUNTIF($E73:H73,"µ")+COUNTIF($E73:H73,1),ColDescriptionCourte))&gt;1,
HYPERLINK("#Roadmap!C"&amp; MATCH($E73,Roadmap!$D:$D,0)+COUNTIF($E73:H73,"u")+COUNTIF($E73:H73,"t")+COUNTIF($E73:H73,"¶")+COUNTIF($E73:H73,"²")+COUNTIF($E73:H73,"µ")+COUNTIF($E73:H73,1)-1,INDEX(Roadmap!$D:$K,MATCH($E73,Roadmap!$D:$D,0)-1+COUNTIF($E73:H73,"u")+COUNTIF($E73:H73,"t")+COUNTIF($E73:H73,"¶")+COUNTIF($E73:H73,"²")+COUNTIF($E73:H73,"µ")+COUNTIF($E73:H73,1),ColDescriptionCourte)),""),
  "")),"")</f>
        <v/>
      </c>
      <c r="J73" s="40" t="str">
        <f ca="1">IFERROR(IF(AND(
  INDEX(Roadmap!$D:$K,MATCH($E73,Roadmap!$D:$D,0)+COUNTIF($E73:I73,"u")+COUNTIF($E73:I73,"t")+COUNTIF($E73:I73,"¶")+COUNTIF($E73:I73,"²")+COUNTIF($E73:I73,"µ")+COUNTIF($E73:I73,1),ColLivraison)=J$6,
  VLOOKUP($E73,INDIRECT("tri!"&amp; CHAR(64+ C0Col) &amp;":"&amp; CHAR(65+C0Col)),2,FALSE)&gt;COUNTIF($E73:I73,"u")+COUNTIF($E73:I73,"t")+COUNTIF($E73:I73,"¶")+COUNTIF($E73:I73,"²")+COUNTIF($E73:I73,"µ")+COUNTIF($E73:I73,1)),
HYPERLINK("#Roadmap!C"&amp; MATCH($E73,Roadmap!$D:$D,0)+COUNTIF($E73:I73,"u")+COUNTIF($E73:I73,"t"),
     INDEX(Roadmap!$D:$K,MATCH($E73,Roadmap!$D:$D,0)+COUNTIF($E73:I73,"u")+COUNTIF($E73:I73,"t")+COUNTIF($E73:I73,"¶")+COUNTIF($E73:I73,"²")+COUNTIF($E73:I73,"µ")+COUNTIF($E73:I73,1),ColTypeEcheance)),
  IF(LEN(I73)=1,
  IF(LEN(INDEX(Roadmap!$D:$K,MATCH($E73,Roadmap!$D:$D,0)-1+COUNTIF($E73:I73,"u")+COUNTIF($E73:I73,"t")+COUNTIF($E73:I73,"¶")+COUNTIF($E73:I73,"²")+COUNTIF($E73:I73,"µ")+COUNTIF($E73:I73,1),ColDescriptionCourte))&gt;1,
HYPERLINK("#Roadmap!C"&amp; MATCH($E73,Roadmap!$D:$D,0)+COUNTIF($E73:I73,"u")+COUNTIF($E73:I73,"t")+COUNTIF($E73:I73,"¶")+COUNTIF($E73:I73,"²")+COUNTIF($E73:I73,"µ")+COUNTIF($E73:I73,1)-1,INDEX(Roadmap!$D:$K,MATCH($E73,Roadmap!$D:$D,0)-1+COUNTIF($E73:I73,"u")+COUNTIF($E73:I73,"t")+COUNTIF($E73:I73,"¶")+COUNTIF($E73:I73,"²")+COUNTIF($E73:I73,"µ")+COUNTIF($E73:I73,1),ColDescriptionCourte)),""),
  "")),"")</f>
        <v/>
      </c>
      <c r="K73" s="40" t="str">
        <f ca="1">IFERROR(IF(AND(
  INDEX(Roadmap!$D:$K,MATCH($E73,Roadmap!$D:$D,0)+COUNTIF($E73:J73,"u")+COUNTIF($E73:J73,"t")+COUNTIF($E73:J73,"¶")+COUNTIF($E73:J73,"²")+COUNTIF($E73:J73,"µ")+COUNTIF($E73:J73,1),ColLivraison)=K$6,
  VLOOKUP($E73,INDIRECT("tri!"&amp; CHAR(64+ C0Col) &amp;":"&amp; CHAR(65+C0Col)),2,FALSE)&gt;COUNTIF($E73:J73,"u")+COUNTIF($E73:J73,"t")+COUNTIF($E73:J73,"¶")+COUNTIF($E73:J73,"²")+COUNTIF($E73:J73,"µ")+COUNTIF($E73:J73,1)),
HYPERLINK("#Roadmap!C"&amp; MATCH($E73,Roadmap!$D:$D,0)+COUNTIF($E73:J73,"u")+COUNTIF($E73:J73,"t"),
     INDEX(Roadmap!$D:$K,MATCH($E73,Roadmap!$D:$D,0)+COUNTIF($E73:J73,"u")+COUNTIF($E73:J73,"t")+COUNTIF($E73:J73,"¶")+COUNTIF($E73:J73,"²")+COUNTIF($E73:J73,"µ")+COUNTIF($E73:J73,1),ColTypeEcheance)),
  IF(LEN(J73)=1,
  IF(LEN(INDEX(Roadmap!$D:$K,MATCH($E73,Roadmap!$D:$D,0)-1+COUNTIF($E73:J73,"u")+COUNTIF($E73:J73,"t")+COUNTIF($E73:J73,"¶")+COUNTIF($E73:J73,"²")+COUNTIF($E73:J73,"µ")+COUNTIF($E73:J73,1),ColDescriptionCourte))&gt;1,
HYPERLINK("#Roadmap!C"&amp; MATCH($E73,Roadmap!$D:$D,0)+COUNTIF($E73:J73,"u")+COUNTIF($E73:J73,"t")+COUNTIF($E73:J73,"¶")+COUNTIF($E73:J73,"²")+COUNTIF($E73:J73,"µ")+COUNTIF($E73:J73,1)-1,INDEX(Roadmap!$D:$K,MATCH($E73,Roadmap!$D:$D,0)-1+COUNTIF($E73:J73,"u")+COUNTIF($E73:J73,"t")+COUNTIF($E73:J73,"¶")+COUNTIF($E73:J73,"²")+COUNTIF($E73:J73,"µ")+COUNTIF($E73:J73,1),ColDescriptionCourte)),""),
  "")),"")</f>
        <v/>
      </c>
      <c r="L73" s="39" t="str">
        <f ca="1">IFERROR(IF(AND(
  INDEX(Roadmap!$D:$K,MATCH($E73,Roadmap!$D:$D,0)+COUNTIF($E73:K73,"u")+COUNTIF($E73:K73,"t")+COUNTIF($E73:K73,"¶")+COUNTIF($E73:K73,"²")+COUNTIF($E73:K73,"µ")+COUNTIF($E73:K73,1),ColLivraison)=L$6,
  VLOOKUP($E73,INDIRECT("tri!"&amp; CHAR(64+ C0Col) &amp;":"&amp; CHAR(65+C0Col)),2,FALSE)&gt;COUNTIF($E73:K73,"u")+COUNTIF($E73:K73,"t")+COUNTIF($E73:K73,"¶")+COUNTIF($E73:K73,"²")+COUNTIF($E73:K73,"µ")+COUNTIF($E73:K73,1)),
HYPERLINK("#Roadmap!C"&amp; MATCH($E73,Roadmap!$D:$D,0)+COUNTIF($E73:K73,"u")+COUNTIF($E73:K73,"t"),
     INDEX(Roadmap!$D:$K,MATCH($E73,Roadmap!$D:$D,0)+COUNTIF($E73:K73,"u")+COUNTIF($E73:K73,"t")+COUNTIF($E73:K73,"¶")+COUNTIF($E73:K73,"²")+COUNTIF($E73:K73,"µ")+COUNTIF($E73:K73,1),ColTypeEcheance)),
  IF(LEN(K73)=1,
  IF(LEN(INDEX(Roadmap!$D:$K,MATCH($E73,Roadmap!$D:$D,0)-1+COUNTIF($E73:K73,"u")+COUNTIF($E73:K73,"t")+COUNTIF($E73:K73,"¶")+COUNTIF($E73:K73,"²")+COUNTIF($E73:K73,"µ")+COUNTIF($E73:K73,1),ColDescriptionCourte))&gt;1,
HYPERLINK("#Roadmap!C"&amp; MATCH($E73,Roadmap!$D:$D,0)+COUNTIF($E73:K73,"u")+COUNTIF($E73:K73,"t")+COUNTIF($E73:K73,"¶")+COUNTIF($E73:K73,"²")+COUNTIF($E73:K73,"µ")+COUNTIF($E73:K73,1)-1,INDEX(Roadmap!$D:$K,MATCH($E73,Roadmap!$D:$D,0)-1+COUNTIF($E73:K73,"u")+COUNTIF($E73:K73,"t")+COUNTIF($E73:K73,"¶")+COUNTIF($E73:K73,"²")+COUNTIF($E73:K73,"µ")+COUNTIF($E73:K73,1),ColDescriptionCourte)),""),
  "")),"")</f>
        <v/>
      </c>
      <c r="M73" s="40" t="str">
        <f ca="1">IFERROR(IF(AND(
  INDEX(Roadmap!$D:$K,MATCH($E73,Roadmap!$D:$D,0)+COUNTIF($E73:L73,"u")+COUNTIF($E73:L73,"t")+COUNTIF($E73:L73,"¶")+COUNTIF($E73:L73,"²")+COUNTIF($E73:L73,"µ")+COUNTIF($E73:L73,1),ColLivraison)=M$6,
  VLOOKUP($E73,INDIRECT("tri!"&amp; CHAR(64+ C0Col) &amp;":"&amp; CHAR(65+C0Col)),2,FALSE)&gt;COUNTIF($E73:L73,"u")+COUNTIF($E73:L73,"t")+COUNTIF($E73:L73,"¶")+COUNTIF($E73:L73,"²")+COUNTIF($E73:L73,"µ")+COUNTIF($E73:L73,1)),
HYPERLINK("#Roadmap!C"&amp; MATCH($E73,Roadmap!$D:$D,0)+COUNTIF($E73:L73,"u")+COUNTIF($E73:L73,"t"),
     INDEX(Roadmap!$D:$K,MATCH($E73,Roadmap!$D:$D,0)+COUNTIF($E73:L73,"u")+COUNTIF($E73:L73,"t")+COUNTIF($E73:L73,"¶")+COUNTIF($E73:L73,"²")+COUNTIF($E73:L73,"µ")+COUNTIF($E73:L73,1),ColTypeEcheance)),
  IF(LEN(L73)=1,
  IF(LEN(INDEX(Roadmap!$D:$K,MATCH($E73,Roadmap!$D:$D,0)-1+COUNTIF($E73:L73,"u")+COUNTIF($E73:L73,"t")+COUNTIF($E73:L73,"¶")+COUNTIF($E73:L73,"²")+COUNTIF($E73:L73,"µ")+COUNTIF($E73:L73,1),ColDescriptionCourte))&gt;1,
HYPERLINK("#Roadmap!C"&amp; MATCH($E73,Roadmap!$D:$D,0)+COUNTIF($E73:L73,"u")+COUNTIF($E73:L73,"t")+COUNTIF($E73:L73,"¶")+COUNTIF($E73:L73,"²")+COUNTIF($E73:L73,"µ")+COUNTIF($E73:L73,1)-1,INDEX(Roadmap!$D:$K,MATCH($E73,Roadmap!$D:$D,0)-1+COUNTIF($E73:L73,"u")+COUNTIF($E73:L73,"t")+COUNTIF($E73:L73,"¶")+COUNTIF($E73:L73,"²")+COUNTIF($E73:L73,"µ")+COUNTIF($E73:L73,1),ColDescriptionCourte)),""),
  "")),"")</f>
        <v/>
      </c>
      <c r="N73" s="40" t="str">
        <f ca="1">IFERROR(IF(AND(
  INDEX(Roadmap!$D:$K,MATCH($E73,Roadmap!$D:$D,0)+COUNTIF($E73:M73,"u")+COUNTIF($E73:M73,"t")+COUNTIF($E73:M73,"¶")+COUNTIF($E73:M73,"²")+COUNTIF($E73:M73,"µ")+COUNTIF($E73:M73,1),ColLivraison)=N$6,
  VLOOKUP($E73,INDIRECT("tri!"&amp; CHAR(64+ C0Col) &amp;":"&amp; CHAR(65+C0Col)),2,FALSE)&gt;COUNTIF($E73:M73,"u")+COUNTIF($E73:M73,"t")+COUNTIF($E73:M73,"¶")+COUNTIF($E73:M73,"²")+COUNTIF($E73:M73,"µ")+COUNTIF($E73:M73,1)),
HYPERLINK("#Roadmap!C"&amp; MATCH($E73,Roadmap!$D:$D,0)+COUNTIF($E73:M73,"u")+COUNTIF($E73:M73,"t"),
     INDEX(Roadmap!$D:$K,MATCH($E73,Roadmap!$D:$D,0)+COUNTIF($E73:M73,"u")+COUNTIF($E73:M73,"t")+COUNTIF($E73:M73,"¶")+COUNTIF($E73:M73,"²")+COUNTIF($E73:M73,"µ")+COUNTIF($E73:M73,1),ColTypeEcheance)),
  IF(LEN(M73)=1,
  IF(LEN(INDEX(Roadmap!$D:$K,MATCH($E73,Roadmap!$D:$D,0)-1+COUNTIF($E73:M73,"u")+COUNTIF($E73:M73,"t")+COUNTIF($E73:M73,"¶")+COUNTIF($E73:M73,"²")+COUNTIF($E73:M73,"µ")+COUNTIF($E73:M73,1),ColDescriptionCourte))&gt;1,
HYPERLINK("#Roadmap!C"&amp; MATCH($E73,Roadmap!$D:$D,0)+COUNTIF($E73:M73,"u")+COUNTIF($E73:M73,"t")+COUNTIF($E73:M73,"¶")+COUNTIF($E73:M73,"²")+COUNTIF($E73:M73,"µ")+COUNTIF($E73:M73,1)-1,INDEX(Roadmap!$D:$K,MATCH($E73,Roadmap!$D:$D,0)-1+COUNTIF($E73:M73,"u")+COUNTIF($E73:M73,"t")+COUNTIF($E73:M73,"¶")+COUNTIF($E73:M73,"²")+COUNTIF($E73:M73,"µ")+COUNTIF($E73:M73,1),ColDescriptionCourte)),""),
  "")),"")</f>
        <v/>
      </c>
      <c r="O73" s="40" t="str">
        <f ca="1">IFERROR(IF(AND(
  INDEX(Roadmap!$D:$K,MATCH($E73,Roadmap!$D:$D,0)+COUNTIF($E73:N73,"u")+COUNTIF($E73:N73,"t")+COUNTIF($E73:N73,"¶")+COUNTIF($E73:N73,"²")+COUNTIF($E73:N73,"µ")+COUNTIF($E73:N73,1),ColLivraison)=O$6,
  VLOOKUP($E73,INDIRECT("tri!"&amp; CHAR(64+ C0Col) &amp;":"&amp; CHAR(65+C0Col)),2,FALSE)&gt;COUNTIF($E73:N73,"u")+COUNTIF($E73:N73,"t")+COUNTIF($E73:N73,"¶")+COUNTIF($E73:N73,"²")+COUNTIF($E73:N73,"µ")+COUNTIF($E73:N73,1)),
HYPERLINK("#Roadmap!C"&amp; MATCH($E73,Roadmap!$D:$D,0)+COUNTIF($E73:N73,"u")+COUNTIF($E73:N73,"t"),
     INDEX(Roadmap!$D:$K,MATCH($E73,Roadmap!$D:$D,0)+COUNTIF($E73:N73,"u")+COUNTIF($E73:N73,"t")+COUNTIF($E73:N73,"¶")+COUNTIF($E73:N73,"²")+COUNTIF($E73:N73,"µ")+COUNTIF($E73:N73,1),ColTypeEcheance)),
  IF(LEN(N73)=1,
  IF(LEN(INDEX(Roadmap!$D:$K,MATCH($E73,Roadmap!$D:$D,0)-1+COUNTIF($E73:N73,"u")+COUNTIF($E73:N73,"t")+COUNTIF($E73:N73,"¶")+COUNTIF($E73:N73,"²")+COUNTIF($E73:N73,"µ")+COUNTIF($E73:N73,1),ColDescriptionCourte))&gt;1,
HYPERLINK("#Roadmap!C"&amp; MATCH($E73,Roadmap!$D:$D,0)+COUNTIF($E73:N73,"u")+COUNTIF($E73:N73,"t")+COUNTIF($E73:N73,"¶")+COUNTIF($E73:N73,"²")+COUNTIF($E73:N73,"µ")+COUNTIF($E73:N73,1)-1,INDEX(Roadmap!$D:$K,MATCH($E73,Roadmap!$D:$D,0)-1+COUNTIF($E73:N73,"u")+COUNTIF($E73:N73,"t")+COUNTIF($E73:N73,"¶")+COUNTIF($E73:N73,"²")+COUNTIF($E73:N73,"µ")+COUNTIF($E73:N73,1),ColDescriptionCourte)),""),
  "")),"")</f>
        <v/>
      </c>
      <c r="P73" s="40" t="str">
        <f ca="1">IFERROR(IF(AND(
  INDEX(Roadmap!$D:$K,MATCH($E73,Roadmap!$D:$D,0)+COUNTIF($E73:O73,"u")+COUNTIF($E73:O73,"t")+COUNTIF($E73:O73,"¶")+COUNTIF($E73:O73,"²")+COUNTIF($E73:O73,"µ")+COUNTIF($E73:O73,1),ColLivraison)=P$6,
  VLOOKUP($E73,INDIRECT("tri!"&amp; CHAR(64+ C0Col) &amp;":"&amp; CHAR(65+C0Col)),2,FALSE)&gt;COUNTIF($E73:O73,"u")+COUNTIF($E73:O73,"t")+COUNTIF($E73:O73,"¶")+COUNTIF($E73:O73,"²")+COUNTIF($E73:O73,"µ")+COUNTIF($E73:O73,1)),
HYPERLINK("#Roadmap!C"&amp; MATCH($E73,Roadmap!$D:$D,0)+COUNTIF($E73:O73,"u")+COUNTIF($E73:O73,"t"),
     INDEX(Roadmap!$D:$K,MATCH($E73,Roadmap!$D:$D,0)+COUNTIF($E73:O73,"u")+COUNTIF($E73:O73,"t")+COUNTIF($E73:O73,"¶")+COUNTIF($E73:O73,"²")+COUNTIF($E73:O73,"µ")+COUNTIF($E73:O73,1),ColTypeEcheance)),
  IF(LEN(O73)=1,
  IF(LEN(INDEX(Roadmap!$D:$K,MATCH($E73,Roadmap!$D:$D,0)-1+COUNTIF($E73:O73,"u")+COUNTIF($E73:O73,"t")+COUNTIF($E73:O73,"¶")+COUNTIF($E73:O73,"²")+COUNTIF($E73:O73,"µ")+COUNTIF($E73:O73,1),ColDescriptionCourte))&gt;1,
HYPERLINK("#Roadmap!C"&amp; MATCH($E73,Roadmap!$D:$D,0)+COUNTIF($E73:O73,"u")+COUNTIF($E73:O73,"t")+COUNTIF($E73:O73,"¶")+COUNTIF($E73:O73,"²")+COUNTIF($E73:O73,"µ")+COUNTIF($E73:O73,1)-1,INDEX(Roadmap!$D:$K,MATCH($E73,Roadmap!$D:$D,0)-1+COUNTIF($E73:O73,"u")+COUNTIF($E73:O73,"t")+COUNTIF($E73:O73,"¶")+COUNTIF($E73:O73,"²")+COUNTIF($E73:O73,"µ")+COUNTIF($E73:O73,1),ColDescriptionCourte)),""),
  "")),"")</f>
        <v/>
      </c>
      <c r="Q73" s="40" t="str">
        <f ca="1">IFERROR(IF(AND(
  INDEX(Roadmap!$D:$K,MATCH($E73,Roadmap!$D:$D,0)+COUNTIF($E73:P73,"u")+COUNTIF($E73:P73,"t")+COUNTIF($E73:P73,"¶")+COUNTIF($E73:P73,"²")+COUNTIF($E73:P73,"µ")+COUNTIF($E73:P73,1),ColLivraison)=Q$6,
  VLOOKUP($E73,INDIRECT("tri!"&amp; CHAR(64+ C0Col) &amp;":"&amp; CHAR(65+C0Col)),2,FALSE)&gt;COUNTIF($E73:P73,"u")+COUNTIF($E73:P73,"t")+COUNTIF($E73:P73,"¶")+COUNTIF($E73:P73,"²")+COUNTIF($E73:P73,"µ")+COUNTIF($E73:P73,1)),
HYPERLINK("#Roadmap!C"&amp; MATCH($E73,Roadmap!$D:$D,0)+COUNTIF($E73:P73,"u")+COUNTIF($E73:P73,"t"),
     INDEX(Roadmap!$D:$K,MATCH($E73,Roadmap!$D:$D,0)+COUNTIF($E73:P73,"u")+COUNTIF($E73:P73,"t")+COUNTIF($E73:P73,"¶")+COUNTIF($E73:P73,"²")+COUNTIF($E73:P73,"µ")+COUNTIF($E73:P73,1),ColTypeEcheance)),
  IF(LEN(P73)=1,
  IF(LEN(INDEX(Roadmap!$D:$K,MATCH($E73,Roadmap!$D:$D,0)-1+COUNTIF($E73:P73,"u")+COUNTIF($E73:P73,"t")+COUNTIF($E73:P73,"¶")+COUNTIF($E73:P73,"²")+COUNTIF($E73:P73,"µ")+COUNTIF($E73:P73,1),ColDescriptionCourte))&gt;1,
HYPERLINK("#Roadmap!C"&amp; MATCH($E73,Roadmap!$D:$D,0)+COUNTIF($E73:P73,"u")+COUNTIF($E73:P73,"t")+COUNTIF($E73:P73,"¶")+COUNTIF($E73:P73,"²")+COUNTIF($E73:P73,"µ")+COUNTIF($E73:P73,1)-1,INDEX(Roadmap!$D:$K,MATCH($E73,Roadmap!$D:$D,0)-1+COUNTIF($E73:P73,"u")+COUNTIF($E73:P73,"t")+COUNTIF($E73:P73,"¶")+COUNTIF($E73:P73,"²")+COUNTIF($E73:P73,"µ")+COUNTIF($E73:P73,1),ColDescriptionCourte)),""),
  "")),"")</f>
        <v/>
      </c>
      <c r="R73" s="40" t="str">
        <f ca="1">IFERROR(IF(AND(
  INDEX(Roadmap!$D:$K,MATCH($E73,Roadmap!$D:$D,0)+COUNTIF($E73:Q73,"u")+COUNTIF($E73:Q73,"t")+COUNTIF($E73:Q73,"¶")+COUNTIF($E73:Q73,"²")+COUNTIF($E73:Q73,"µ")+COUNTIF($E73:Q73,1),ColLivraison)=R$6,
  VLOOKUP($E73,INDIRECT("tri!"&amp; CHAR(64+ C0Col) &amp;":"&amp; CHAR(65+C0Col)),2,FALSE)&gt;COUNTIF($E73:Q73,"u")+COUNTIF($E73:Q73,"t")+COUNTIF($E73:Q73,"¶")+COUNTIF($E73:Q73,"²")+COUNTIF($E73:Q73,"µ")+COUNTIF($E73:Q73,1)),
HYPERLINK("#Roadmap!C"&amp; MATCH($E73,Roadmap!$D:$D,0)+COUNTIF($E73:Q73,"u")+COUNTIF($E73:Q73,"t"),
     INDEX(Roadmap!$D:$K,MATCH($E73,Roadmap!$D:$D,0)+COUNTIF($E73:Q73,"u")+COUNTIF($E73:Q73,"t")+COUNTIF($E73:Q73,"¶")+COUNTIF($E73:Q73,"²")+COUNTIF($E73:Q73,"µ")+COUNTIF($E73:Q73,1),ColTypeEcheance)),
  IF(LEN(Q73)=1,
  IF(LEN(INDEX(Roadmap!$D:$K,MATCH($E73,Roadmap!$D:$D,0)-1+COUNTIF($E73:Q73,"u")+COUNTIF($E73:Q73,"t")+COUNTIF($E73:Q73,"¶")+COUNTIF($E73:Q73,"²")+COUNTIF($E73:Q73,"µ")+COUNTIF($E73:Q73,1),ColDescriptionCourte))&gt;1,
HYPERLINK("#Roadmap!C"&amp; MATCH($E73,Roadmap!$D:$D,0)+COUNTIF($E73:Q73,"u")+COUNTIF($E73:Q73,"t")+COUNTIF($E73:Q73,"¶")+COUNTIF($E73:Q73,"²")+COUNTIF($E73:Q73,"µ")+COUNTIF($E73:Q73,1)-1,INDEX(Roadmap!$D:$K,MATCH($E73,Roadmap!$D:$D,0)-1+COUNTIF($E73:Q73,"u")+COUNTIF($E73:Q73,"t")+COUNTIF($E73:Q73,"¶")+COUNTIF($E73:Q73,"²")+COUNTIF($E73:Q73,"µ")+COUNTIF($E73:Q73,1),ColDescriptionCourte)),""),
  "")),"")</f>
        <v/>
      </c>
      <c r="S73" s="40" t="str">
        <f ca="1">IFERROR(IF(AND(
  INDEX(Roadmap!$D:$K,MATCH($E73,Roadmap!$D:$D,0)+COUNTIF($E73:R73,"u")+COUNTIF($E73:R73,"t")+COUNTIF($E73:R73,"¶")+COUNTIF($E73:R73,"²")+COUNTIF($E73:R73,"µ")+COUNTIF($E73:R73,1),ColLivraison)=S$6,
  VLOOKUP($E73,INDIRECT("tri!"&amp; CHAR(64+ C0Col) &amp;":"&amp; CHAR(65+C0Col)),2,FALSE)&gt;COUNTIF($E73:R73,"u")+COUNTIF($E73:R73,"t")+COUNTIF($E73:R73,"¶")+COUNTIF($E73:R73,"²")+COUNTIF($E73:R73,"µ")+COUNTIF($E73:R73,1)),
HYPERLINK("#Roadmap!C"&amp; MATCH($E73,Roadmap!$D:$D,0)+COUNTIF($E73:R73,"u")+COUNTIF($E73:R73,"t"),
     INDEX(Roadmap!$D:$K,MATCH($E73,Roadmap!$D:$D,0)+COUNTIF($E73:R73,"u")+COUNTIF($E73:R73,"t")+COUNTIF($E73:R73,"¶")+COUNTIF($E73:R73,"²")+COUNTIF($E73:R73,"µ")+COUNTIF($E73:R73,1),ColTypeEcheance)),
  IF(LEN(R73)=1,
  IF(LEN(INDEX(Roadmap!$D:$K,MATCH($E73,Roadmap!$D:$D,0)-1+COUNTIF($E73:R73,"u")+COUNTIF($E73:R73,"t")+COUNTIF($E73:R73,"¶")+COUNTIF($E73:R73,"²")+COUNTIF($E73:R73,"µ")+COUNTIF($E73:R73,1),ColDescriptionCourte))&gt;1,
HYPERLINK("#Roadmap!C"&amp; MATCH($E73,Roadmap!$D:$D,0)+COUNTIF($E73:R73,"u")+COUNTIF($E73:R73,"t")+COUNTIF($E73:R73,"¶")+COUNTIF($E73:R73,"²")+COUNTIF($E73:R73,"µ")+COUNTIF($E73:R73,1)-1,INDEX(Roadmap!$D:$K,MATCH($E73,Roadmap!$D:$D,0)-1+COUNTIF($E73:R73,"u")+COUNTIF($E73:R73,"t")+COUNTIF($E73:R73,"¶")+COUNTIF($E73:R73,"²")+COUNTIF($E73:R73,"µ")+COUNTIF($E73:R73,1),ColDescriptionCourte)),""),
  "")),"")</f>
        <v/>
      </c>
      <c r="T73" s="40" t="str">
        <f ca="1">IFERROR(IF(AND(
  INDEX(Roadmap!$D:$K,MATCH($E73,Roadmap!$D:$D,0)+COUNTIF($E73:S73,"u")+COUNTIF($E73:S73,"t")+COUNTIF($E73:S73,"¶")+COUNTIF($E73:S73,"²")+COUNTIF($E73:S73,"µ")+COUNTIF($E73:S73,1),ColLivraison)=T$6,
  VLOOKUP($E73,INDIRECT("tri!"&amp; CHAR(64+ C0Col) &amp;":"&amp; CHAR(65+C0Col)),2,FALSE)&gt;COUNTIF($E73:S73,"u")+COUNTIF($E73:S73,"t")+COUNTIF($E73:S73,"¶")+COUNTIF($E73:S73,"²")+COUNTIF($E73:S73,"µ")+COUNTIF($E73:S73,1)),
HYPERLINK("#Roadmap!C"&amp; MATCH($E73,Roadmap!$D:$D,0)+COUNTIF($E73:S73,"u")+COUNTIF($E73:S73,"t"),
     INDEX(Roadmap!$D:$K,MATCH($E73,Roadmap!$D:$D,0)+COUNTIF($E73:S73,"u")+COUNTIF($E73:S73,"t")+COUNTIF($E73:S73,"¶")+COUNTIF($E73:S73,"²")+COUNTIF($E73:S73,"µ")+COUNTIF($E73:S73,1),ColTypeEcheance)),
  IF(LEN(S73)=1,
  IF(LEN(INDEX(Roadmap!$D:$K,MATCH($E73,Roadmap!$D:$D,0)-1+COUNTIF($E73:S73,"u")+COUNTIF($E73:S73,"t")+COUNTIF($E73:S73,"¶")+COUNTIF($E73:S73,"²")+COUNTIF($E73:S73,"µ")+COUNTIF($E73:S73,1),ColDescriptionCourte))&gt;1,
HYPERLINK("#Roadmap!C"&amp; MATCH($E73,Roadmap!$D:$D,0)+COUNTIF($E73:S73,"u")+COUNTIF($E73:S73,"t")+COUNTIF($E73:S73,"¶")+COUNTIF($E73:S73,"²")+COUNTIF($E73:S73,"µ")+COUNTIF($E73:S73,1)-1,INDEX(Roadmap!$D:$K,MATCH($E73,Roadmap!$D:$D,0)-1+COUNTIF($E73:S73,"u")+COUNTIF($E73:S73,"t")+COUNTIF($E73:S73,"¶")+COUNTIF($E73:S73,"²")+COUNTIF($E73:S73,"µ")+COUNTIF($E73:S73,1),ColDescriptionCourte)),""),
  "")),"")</f>
        <v/>
      </c>
      <c r="U73" s="40" t="str">
        <f ca="1">IFERROR(IF(AND(
  INDEX(Roadmap!$D:$K,MATCH($E73,Roadmap!$D:$D,0)+COUNTIF($E73:T73,"u")+COUNTIF($E73:T73,"t")+COUNTIF($E73:T73,"¶")+COUNTIF($E73:T73,"²")+COUNTIF($E73:T73,"µ")+COUNTIF($E73:T73,1),ColLivraison)=U$6,
  VLOOKUP($E73,INDIRECT("tri!"&amp; CHAR(64+ C0Col) &amp;":"&amp; CHAR(65+C0Col)),2,FALSE)&gt;COUNTIF($E73:T73,"u")+COUNTIF($E73:T73,"t")+COUNTIF($E73:T73,"¶")+COUNTIF($E73:T73,"²")+COUNTIF($E73:T73,"µ")+COUNTIF($E73:T73,1)),
HYPERLINK("#Roadmap!C"&amp; MATCH($E73,Roadmap!$D:$D,0)+COUNTIF($E73:T73,"u")+COUNTIF($E73:T73,"t"),
     INDEX(Roadmap!$D:$K,MATCH($E73,Roadmap!$D:$D,0)+COUNTIF($E73:T73,"u")+COUNTIF($E73:T73,"t")+COUNTIF($E73:T73,"¶")+COUNTIF($E73:T73,"²")+COUNTIF($E73:T73,"µ")+COUNTIF($E73:T73,1),ColTypeEcheance)),
  IF(LEN(T73)=1,
  IF(LEN(INDEX(Roadmap!$D:$K,MATCH($E73,Roadmap!$D:$D,0)-1+COUNTIF($E73:T73,"u")+COUNTIF($E73:T73,"t")+COUNTIF($E73:T73,"¶")+COUNTIF($E73:T73,"²")+COUNTIF($E73:T73,"µ")+COUNTIF($E73:T73,1),ColDescriptionCourte))&gt;1,
HYPERLINK("#Roadmap!C"&amp; MATCH($E73,Roadmap!$D:$D,0)+COUNTIF($E73:T73,"u")+COUNTIF($E73:T73,"t")+COUNTIF($E73:T73,"¶")+COUNTIF($E73:T73,"²")+COUNTIF($E73:T73,"µ")+COUNTIF($E73:T73,1)-1,INDEX(Roadmap!$D:$K,MATCH($E73,Roadmap!$D:$D,0)-1+COUNTIF($E73:T73,"u")+COUNTIF($E73:T73,"t")+COUNTIF($E73:T73,"¶")+COUNTIF($E73:T73,"²")+COUNTIF($E73:T73,"µ")+COUNTIF($E73:T73,1),ColDescriptionCourte)),""),
  "")),"")</f>
        <v/>
      </c>
      <c r="V73" s="40" t="str">
        <f ca="1">IFERROR(IF(AND(
  INDEX(Roadmap!$D:$K,MATCH($E73,Roadmap!$D:$D,0)+COUNTIF($E73:U73,"u")+COUNTIF($E73:U73,"t")+COUNTIF($E73:U73,"¶")+COUNTIF($E73:U73,"²")+COUNTIF($E73:U73,"µ")+COUNTIF($E73:U73,1),ColLivraison)=V$6,
  VLOOKUP($E73,INDIRECT("tri!"&amp; CHAR(64+ C0Col) &amp;":"&amp; CHAR(65+C0Col)),2,FALSE)&gt;COUNTIF($E73:U73,"u")+COUNTIF($E73:U73,"t")+COUNTIF($E73:U73,"¶")+COUNTIF($E73:U73,"²")+COUNTIF($E73:U73,"µ")+COUNTIF($E73:U73,1)),
HYPERLINK("#Roadmap!C"&amp; MATCH($E73,Roadmap!$D:$D,0)+COUNTIF($E73:U73,"u")+COUNTIF($E73:U73,"t"),
     INDEX(Roadmap!$D:$K,MATCH($E73,Roadmap!$D:$D,0)+COUNTIF($E73:U73,"u")+COUNTIF($E73:U73,"t")+COUNTIF($E73:U73,"¶")+COUNTIF($E73:U73,"²")+COUNTIF($E73:U73,"µ")+COUNTIF($E73:U73,1),ColTypeEcheance)),
  IF(LEN(U73)=1,
  IF(LEN(INDEX(Roadmap!$D:$K,MATCH($E73,Roadmap!$D:$D,0)-1+COUNTIF($E73:U73,"u")+COUNTIF($E73:U73,"t")+COUNTIF($E73:U73,"¶")+COUNTIF($E73:U73,"²")+COUNTIF($E73:U73,"µ")+COUNTIF($E73:U73,1),ColDescriptionCourte))&gt;1,
HYPERLINK("#Roadmap!C"&amp; MATCH($E73,Roadmap!$D:$D,0)+COUNTIF($E73:U73,"u")+COUNTIF($E73:U73,"t")+COUNTIF($E73:U73,"¶")+COUNTIF($E73:U73,"²")+COUNTIF($E73:U73,"µ")+COUNTIF($E73:U73,1)-1,INDEX(Roadmap!$D:$K,MATCH($E73,Roadmap!$D:$D,0)-1+COUNTIF($E73:U73,"u")+COUNTIF($E73:U73,"t")+COUNTIF($E73:U73,"¶")+COUNTIF($E73:U73,"²")+COUNTIF($E73:U73,"µ")+COUNTIF($E73:U73,1),ColDescriptionCourte)),""),
  "")),"")</f>
        <v/>
      </c>
      <c r="W73" s="40" t="str">
        <f ca="1">IFERROR(IF(AND(
  INDEX(Roadmap!$D:$K,MATCH($E73,Roadmap!$D:$D,0)+COUNTIF($E73:V73,"u")+COUNTIF($E73:V73,"t")+COUNTIF($E73:V73,"¶")+COUNTIF($E73:V73,"²")+COUNTIF($E73:V73,"µ")+COUNTIF($E73:V73,1),ColLivraison)=W$6,
  VLOOKUP($E73,INDIRECT("tri!"&amp; CHAR(64+ C0Col) &amp;":"&amp; CHAR(65+C0Col)),2,FALSE)&gt;COUNTIF($E73:V73,"u")+COUNTIF($E73:V73,"t")+COUNTIF($E73:V73,"¶")+COUNTIF($E73:V73,"²")+COUNTIF($E73:V73,"µ")+COUNTIF($E73:V73,1)),
HYPERLINK("#Roadmap!C"&amp; MATCH($E73,Roadmap!$D:$D,0)+COUNTIF($E73:V73,"u")+COUNTIF($E73:V73,"t"),
     INDEX(Roadmap!$D:$K,MATCH($E73,Roadmap!$D:$D,0)+COUNTIF($E73:V73,"u")+COUNTIF($E73:V73,"t")+COUNTIF($E73:V73,"¶")+COUNTIF($E73:V73,"²")+COUNTIF($E73:V73,"µ")+COUNTIF($E73:V73,1),ColTypeEcheance)),
  IF(LEN(V73)=1,
  IF(LEN(INDEX(Roadmap!$D:$K,MATCH($E73,Roadmap!$D:$D,0)-1+COUNTIF($E73:V73,"u")+COUNTIF($E73:V73,"t")+COUNTIF($E73:V73,"¶")+COUNTIF($E73:V73,"²")+COUNTIF($E73:V73,"µ")+COUNTIF($E73:V73,1),ColDescriptionCourte))&gt;1,
HYPERLINK("#Roadmap!C"&amp; MATCH($E73,Roadmap!$D:$D,0)+COUNTIF($E73:V73,"u")+COUNTIF($E73:V73,"t")+COUNTIF($E73:V73,"¶")+COUNTIF($E73:V73,"²")+COUNTIF($E73:V73,"µ")+COUNTIF($E73:V73,1)-1,INDEX(Roadmap!$D:$K,MATCH($E73,Roadmap!$D:$D,0)-1+COUNTIF($E73:V73,"u")+COUNTIF($E73:V73,"t")+COUNTIF($E73:V73,"¶")+COUNTIF($E73:V73,"²")+COUNTIF($E73:V73,"µ")+COUNTIF($E73:V73,1),ColDescriptionCourte)),""),
  "")),"")</f>
        <v/>
      </c>
      <c r="X73" s="40" t="str">
        <f ca="1">IFERROR(IF(AND(
  INDEX(Roadmap!$D:$K,MATCH($E73,Roadmap!$D:$D,0)+COUNTIF($E73:W73,"u")+COUNTIF($E73:W73,"t")+COUNTIF($E73:W73,"¶")+COUNTIF($E73:W73,"²")+COUNTIF($E73:W73,"µ")+COUNTIF($E73:W73,1),ColLivraison)=X$6,
  VLOOKUP($E73,INDIRECT("tri!"&amp; CHAR(64+ C0Col) &amp;":"&amp; CHAR(65+C0Col)),2,FALSE)&gt;COUNTIF($E73:W73,"u")+COUNTIF($E73:W73,"t")+COUNTIF($E73:W73,"¶")+COUNTIF($E73:W73,"²")+COUNTIF($E73:W73,"µ")+COUNTIF($E73:W73,1)),
HYPERLINK("#Roadmap!C"&amp; MATCH($E73,Roadmap!$D:$D,0)+COUNTIF($E73:W73,"u")+COUNTIF($E73:W73,"t"),
     INDEX(Roadmap!$D:$K,MATCH($E73,Roadmap!$D:$D,0)+COUNTIF($E73:W73,"u")+COUNTIF($E73:W73,"t")+COUNTIF($E73:W73,"¶")+COUNTIF($E73:W73,"²")+COUNTIF($E73:W73,"µ")+COUNTIF($E73:W73,1),ColTypeEcheance)),
  IF(LEN(W73)=1,
  IF(LEN(INDEX(Roadmap!$D:$K,MATCH($E73,Roadmap!$D:$D,0)-1+COUNTIF($E73:W73,"u")+COUNTIF($E73:W73,"t")+COUNTIF($E73:W73,"¶")+COUNTIF($E73:W73,"²")+COUNTIF($E73:W73,"µ")+COUNTIF($E73:W73,1),ColDescriptionCourte))&gt;1,
HYPERLINK("#Roadmap!C"&amp; MATCH($E73,Roadmap!$D:$D,0)+COUNTIF($E73:W73,"u")+COUNTIF($E73:W73,"t")+COUNTIF($E73:W73,"¶")+COUNTIF($E73:W73,"²")+COUNTIF($E73:W73,"µ")+COUNTIF($E73:W73,1)-1,INDEX(Roadmap!$D:$K,MATCH($E73,Roadmap!$D:$D,0)-1+COUNTIF($E73:W73,"u")+COUNTIF($E73:W73,"t")+COUNTIF($E73:W73,"¶")+COUNTIF($E73:W73,"²")+COUNTIF($E73:W73,"µ")+COUNTIF($E73:W73,1),ColDescriptionCourte)),""),
  "")),"")</f>
        <v/>
      </c>
      <c r="Y73" s="40" t="str">
        <f ca="1">IFERROR(IF(AND(
  INDEX(Roadmap!$D:$K,MATCH($E73,Roadmap!$D:$D,0)+COUNTIF($E73:X73,"u")+COUNTIF($E73:X73,"t")+COUNTIF($E73:X73,"¶")+COUNTIF($E73:X73,"²")+COUNTIF($E73:X73,"µ")+COUNTIF($E73:X73,1),ColLivraison)=Y$6,
  VLOOKUP($E73,INDIRECT("tri!"&amp; CHAR(64+ C0Col) &amp;":"&amp; CHAR(65+C0Col)),2,FALSE)&gt;COUNTIF($E73:X73,"u")+COUNTIF($E73:X73,"t")+COUNTIF($E73:X73,"¶")+COUNTIF($E73:X73,"²")+COUNTIF($E73:X73,"µ")+COUNTIF($E73:X73,1)),
HYPERLINK("#Roadmap!C"&amp; MATCH($E73,Roadmap!$D:$D,0)+COUNTIF($E73:X73,"u")+COUNTIF($E73:X73,"t"),
     INDEX(Roadmap!$D:$K,MATCH($E73,Roadmap!$D:$D,0)+COUNTIF($E73:X73,"u")+COUNTIF($E73:X73,"t")+COUNTIF($E73:X73,"¶")+COUNTIF($E73:X73,"²")+COUNTIF($E73:X73,"µ")+COUNTIF($E73:X73,1),ColTypeEcheance)),
  IF(LEN(X73)=1,
  IF(LEN(INDEX(Roadmap!$D:$K,MATCH($E73,Roadmap!$D:$D,0)-1+COUNTIF($E73:X73,"u")+COUNTIF($E73:X73,"t")+COUNTIF($E73:X73,"¶")+COUNTIF($E73:X73,"²")+COUNTIF($E73:X73,"µ")+COUNTIF($E73:X73,1),ColDescriptionCourte))&gt;1,
HYPERLINK("#Roadmap!C"&amp; MATCH($E73,Roadmap!$D:$D,0)+COUNTIF($E73:X73,"u")+COUNTIF($E73:X73,"t")+COUNTIF($E73:X73,"¶")+COUNTIF($E73:X73,"²")+COUNTIF($E73:X73,"µ")+COUNTIF($E73:X73,1)-1,INDEX(Roadmap!$D:$K,MATCH($E73,Roadmap!$D:$D,0)-1+COUNTIF($E73:X73,"u")+COUNTIF($E73:X73,"t")+COUNTIF($E73:X73,"¶")+COUNTIF($E73:X73,"²")+COUNTIF($E73:X73,"µ")+COUNTIF($E73:X73,1),ColDescriptionCourte)),""),
  "")),"")</f>
        <v/>
      </c>
      <c r="Z73" s="40" t="str">
        <f ca="1">IFERROR(IF(AND(
  INDEX(Roadmap!$D:$K,MATCH($E73,Roadmap!$D:$D,0)+COUNTIF($E73:Y73,"u")+COUNTIF($E73:Y73,"t")+COUNTIF($E73:Y73,"¶")+COUNTIF($E73:Y73,"²")+COUNTIF($E73:Y73,"µ")+COUNTIF($E73:Y73,1),ColLivraison)=Z$6,
  VLOOKUP($E73,INDIRECT("tri!"&amp; CHAR(64+ C0Col) &amp;":"&amp; CHAR(65+C0Col)),2,FALSE)&gt;COUNTIF($E73:Y73,"u")+COUNTIF($E73:Y73,"t")+COUNTIF($E73:Y73,"¶")+COUNTIF($E73:Y73,"²")+COUNTIF($E73:Y73,"µ")+COUNTIF($E73:Y73,1)),
HYPERLINK("#Roadmap!C"&amp; MATCH($E73,Roadmap!$D:$D,0)+COUNTIF($E73:Y73,"u")+COUNTIF($E73:Y73,"t"),
     INDEX(Roadmap!$D:$K,MATCH($E73,Roadmap!$D:$D,0)+COUNTIF($E73:Y73,"u")+COUNTIF($E73:Y73,"t")+COUNTIF($E73:Y73,"¶")+COUNTIF($E73:Y73,"²")+COUNTIF($E73:Y73,"µ")+COUNTIF($E73:Y73,1),ColTypeEcheance)),
  IF(LEN(Y73)=1,
  IF(LEN(INDEX(Roadmap!$D:$K,MATCH($E73,Roadmap!$D:$D,0)-1+COUNTIF($E73:Y73,"u")+COUNTIF($E73:Y73,"t")+COUNTIF($E73:Y73,"¶")+COUNTIF($E73:Y73,"²")+COUNTIF($E73:Y73,"µ")+COUNTIF($E73:Y73,1),ColDescriptionCourte))&gt;1,
HYPERLINK("#Roadmap!C"&amp; MATCH($E73,Roadmap!$D:$D,0)+COUNTIF($E73:Y73,"u")+COUNTIF($E73:Y73,"t")+COUNTIF($E73:Y73,"¶")+COUNTIF($E73:Y73,"²")+COUNTIF($E73:Y73,"µ")+COUNTIF($E73:Y73,1)-1,INDEX(Roadmap!$D:$K,MATCH($E73,Roadmap!$D:$D,0)-1+COUNTIF($E73:Y73,"u")+COUNTIF($E73:Y73,"t")+COUNTIF($E73:Y73,"¶")+COUNTIF($E73:Y73,"²")+COUNTIF($E73:Y73,"µ")+COUNTIF($E73:Y73,1),ColDescriptionCourte)),""),
  "")),"")</f>
        <v/>
      </c>
      <c r="AA73" s="40" t="str">
        <f ca="1">IFERROR(IF(AND(
  INDEX(Roadmap!$D:$K,MATCH($E73,Roadmap!$D:$D,0)+COUNTIF($E73:Z73,"u")+COUNTIF($E73:Z73,"t")+COUNTIF($E73:Z73,"¶")+COUNTIF($E73:Z73,"²")+COUNTIF($E73:Z73,"µ")+COUNTIF($E73:Z73,1),ColLivraison)=AA$6,
  VLOOKUP($E73,INDIRECT("tri!"&amp; CHAR(64+ C0Col) &amp;":"&amp; CHAR(65+C0Col)),2,FALSE)&gt;COUNTIF($E73:Z73,"u")+COUNTIF($E73:Z73,"t")+COUNTIF($E73:Z73,"¶")+COUNTIF($E73:Z73,"²")+COUNTIF($E73:Z73,"µ")+COUNTIF($E73:Z73,1)),
HYPERLINK("#Roadmap!C"&amp; MATCH($E73,Roadmap!$D:$D,0)+COUNTIF($E73:Z73,"u")+COUNTIF($E73:Z73,"t"),
     INDEX(Roadmap!$D:$K,MATCH($E73,Roadmap!$D:$D,0)+COUNTIF($E73:Z73,"u")+COUNTIF($E73:Z73,"t")+COUNTIF($E73:Z73,"¶")+COUNTIF($E73:Z73,"²")+COUNTIF($E73:Z73,"µ")+COUNTIF($E73:Z73,1),ColTypeEcheance)),
  IF(LEN(Z73)=1,
  IF(LEN(INDEX(Roadmap!$D:$K,MATCH($E73,Roadmap!$D:$D,0)-1+COUNTIF($E73:Z73,"u")+COUNTIF($E73:Z73,"t")+COUNTIF($E73:Z73,"¶")+COUNTIF($E73:Z73,"²")+COUNTIF($E73:Z73,"µ")+COUNTIF($E73:Z73,1),ColDescriptionCourte))&gt;1,
HYPERLINK("#Roadmap!C"&amp; MATCH($E73,Roadmap!$D:$D,0)+COUNTIF($E73:Z73,"u")+COUNTIF($E73:Z73,"t")+COUNTIF($E73:Z73,"¶")+COUNTIF($E73:Z73,"²")+COUNTIF($E73:Z73,"µ")+COUNTIF($E73:Z73,1)-1,INDEX(Roadmap!$D:$K,MATCH($E73,Roadmap!$D:$D,0)-1+COUNTIF($E73:Z73,"u")+COUNTIF($E73:Z73,"t")+COUNTIF($E73:Z73,"¶")+COUNTIF($E73:Z73,"²")+COUNTIF($E73:Z73,"µ")+COUNTIF($E73:Z73,1),ColDescriptionCourte)),""),
  "")),"")</f>
        <v/>
      </c>
      <c r="AB73" s="40" t="str">
        <f ca="1">IFERROR(IF(AND(
  INDEX(Roadmap!$D:$K,MATCH($E73,Roadmap!$D:$D,0)+COUNTIF($E73:AA73,"u")+COUNTIF($E73:AA73,"t")+COUNTIF($E73:AA73,"¶")+COUNTIF($E73:AA73,"²")+COUNTIF($E73:AA73,"µ")+COUNTIF($E73:AA73,1),ColLivraison)=AB$6,
  VLOOKUP($E73,INDIRECT("tri!"&amp; CHAR(64+ C0Col) &amp;":"&amp; CHAR(65+C0Col)),2,FALSE)&gt;COUNTIF($E73:AA73,"u")+COUNTIF($E73:AA73,"t")+COUNTIF($E73:AA73,"¶")+COUNTIF($E73:AA73,"²")+COUNTIF($E73:AA73,"µ")+COUNTIF($E73:AA73,1)),
HYPERLINK("#Roadmap!C"&amp; MATCH($E73,Roadmap!$D:$D,0)+COUNTIF($E73:AA73,"u")+COUNTIF($E73:AA73,"t"),
     INDEX(Roadmap!$D:$K,MATCH($E73,Roadmap!$D:$D,0)+COUNTIF($E73:AA73,"u")+COUNTIF($E73:AA73,"t")+COUNTIF($E73:AA73,"¶")+COUNTIF($E73:AA73,"²")+COUNTIF($E73:AA73,"µ")+COUNTIF($E73:AA73,1),ColTypeEcheance)),
  IF(LEN(AA73)=1,
  IF(LEN(INDEX(Roadmap!$D:$K,MATCH($E73,Roadmap!$D:$D,0)-1+COUNTIF($E73:AA73,"u")+COUNTIF($E73:AA73,"t")+COUNTIF($E73:AA73,"¶")+COUNTIF($E73:AA73,"²")+COUNTIF($E73:AA73,"µ")+COUNTIF($E73:AA73,1),ColDescriptionCourte))&gt;1,
HYPERLINK("#Roadmap!C"&amp; MATCH($E73,Roadmap!$D:$D,0)+COUNTIF($E73:AA73,"u")+COUNTIF($E73:AA73,"t")+COUNTIF($E73:AA73,"¶")+COUNTIF($E73:AA73,"²")+COUNTIF($E73:AA73,"µ")+COUNTIF($E73:AA73,1)-1,INDEX(Roadmap!$D:$K,MATCH($E73,Roadmap!$D:$D,0)-1+COUNTIF($E73:AA73,"u")+COUNTIF($E73:AA73,"t")+COUNTIF($E73:AA73,"¶")+COUNTIF($E73:AA73,"²")+COUNTIF($E73:AA73,"µ")+COUNTIF($E73:AA73,1),ColDescriptionCourte)),""),
  "")),"")</f>
        <v/>
      </c>
      <c r="AC73" s="40" t="str">
        <f ca="1">IFERROR(IF(AND(
  INDEX(Roadmap!$D:$K,MATCH($E73,Roadmap!$D:$D,0)+COUNTIF($E73:AB73,"u")+COUNTIF($E73:AB73,"t")+COUNTIF($E73:AB73,"¶")+COUNTIF($E73:AB73,"²")+COUNTIF($E73:AB73,"µ")+COUNTIF($E73:AB73,1),ColLivraison)=AC$6,
  VLOOKUP($E73,INDIRECT("tri!"&amp; CHAR(64+ C0Col) &amp;":"&amp; CHAR(65+C0Col)),2,FALSE)&gt;COUNTIF($E73:AB73,"u")+COUNTIF($E73:AB73,"t")+COUNTIF($E73:AB73,"¶")+COUNTIF($E73:AB73,"²")+COUNTIF($E73:AB73,"µ")+COUNTIF($E73:AB73,1)),
HYPERLINK("#Roadmap!C"&amp; MATCH($E73,Roadmap!$D:$D,0)+COUNTIF($E73:AB73,"u")+COUNTIF($E73:AB73,"t"),
     INDEX(Roadmap!$D:$K,MATCH($E73,Roadmap!$D:$D,0)+COUNTIF($E73:AB73,"u")+COUNTIF($E73:AB73,"t")+COUNTIF($E73:AB73,"¶")+COUNTIF($E73:AB73,"²")+COUNTIF($E73:AB73,"µ")+COUNTIF($E73:AB73,1),ColTypeEcheance)),
  IF(LEN(AB73)=1,
  IF(LEN(INDEX(Roadmap!$D:$K,MATCH($E73,Roadmap!$D:$D,0)-1+COUNTIF($E73:AB73,"u")+COUNTIF($E73:AB73,"t")+COUNTIF($E73:AB73,"¶")+COUNTIF($E73:AB73,"²")+COUNTIF($E73:AB73,"µ")+COUNTIF($E73:AB73,1),ColDescriptionCourte))&gt;1,
HYPERLINK("#Roadmap!C"&amp; MATCH($E73,Roadmap!$D:$D,0)+COUNTIF($E73:AB73,"u")+COUNTIF($E73:AB73,"t")+COUNTIF($E73:AB73,"¶")+COUNTIF($E73:AB73,"²")+COUNTIF($E73:AB73,"µ")+COUNTIF($E73:AB73,1)-1,INDEX(Roadmap!$D:$K,MATCH($E73,Roadmap!$D:$D,0)-1+COUNTIF($E73:AB73,"u")+COUNTIF($E73:AB73,"t")+COUNTIF($E73:AB73,"¶")+COUNTIF($E73:AB73,"²")+COUNTIF($E73:AB73,"µ")+COUNTIF($E73:AB73,1),ColDescriptionCourte)),""),
  "")),"")</f>
        <v/>
      </c>
      <c r="AD73" s="40" t="str">
        <f ca="1">IFERROR(IF(AND(
  INDEX(Roadmap!$D:$K,MATCH($E73,Roadmap!$D:$D,0)+COUNTIF($E73:AC73,"u")+COUNTIF($E73:AC73,"t")+COUNTIF($E73:AC73,"¶")+COUNTIF($E73:AC73,"²")+COUNTIF($E73:AC73,"µ")+COUNTIF($E73:AC73,1),ColLivraison)=AD$6,
  VLOOKUP($E73,INDIRECT("tri!"&amp; CHAR(64+ C0Col) &amp;":"&amp; CHAR(65+C0Col)),2,FALSE)&gt;COUNTIF($E73:AC73,"u")+COUNTIF($E73:AC73,"t")+COUNTIF($E73:AC73,"¶")+COUNTIF($E73:AC73,"²")+COUNTIF($E73:AC73,"µ")+COUNTIF($E73:AC73,1)),
HYPERLINK("#Roadmap!C"&amp; MATCH($E73,Roadmap!$D:$D,0)+COUNTIF($E73:AC73,"u")+COUNTIF($E73:AC73,"t"),
     INDEX(Roadmap!$D:$K,MATCH($E73,Roadmap!$D:$D,0)+COUNTIF($E73:AC73,"u")+COUNTIF($E73:AC73,"t")+COUNTIF($E73:AC73,"¶")+COUNTIF($E73:AC73,"²")+COUNTIF($E73:AC73,"µ")+COUNTIF($E73:AC73,1),ColTypeEcheance)),
  IF(LEN(AC73)=1,
  IF(LEN(INDEX(Roadmap!$D:$K,MATCH($E73,Roadmap!$D:$D,0)-1+COUNTIF($E73:AC73,"u")+COUNTIF($E73:AC73,"t")+COUNTIF($E73:AC73,"¶")+COUNTIF($E73:AC73,"²")+COUNTIF($E73:AC73,"µ")+COUNTIF($E73:AC73,1),ColDescriptionCourte))&gt;1,
HYPERLINK("#Roadmap!C"&amp; MATCH($E73,Roadmap!$D:$D,0)+COUNTIF($E73:AC73,"u")+COUNTIF($E73:AC73,"t")+COUNTIF($E73:AC73,"¶")+COUNTIF($E73:AC73,"²")+COUNTIF($E73:AC73,"µ")+COUNTIF($E73:AC73,1)-1,INDEX(Roadmap!$D:$K,MATCH($E73,Roadmap!$D:$D,0)-1+COUNTIF($E73:AC73,"u")+COUNTIF($E73:AC73,"t")+COUNTIF($E73:AC73,"¶")+COUNTIF($E73:AC73,"²")+COUNTIF($E73:AC73,"µ")+COUNTIF($E73:AC73,1),ColDescriptionCourte)),""),
  "")),"")</f>
        <v/>
      </c>
      <c r="AE73" s="40" t="str">
        <f ca="1">IFERROR(IF(AND(
  INDEX(Roadmap!$D:$K,MATCH($E73,Roadmap!$D:$D,0)+COUNTIF($E73:AD73,"u")+COUNTIF($E73:AD73,"t")+COUNTIF($E73:AD73,"¶")+COUNTIF($E73:AD73,"²")+COUNTIF($E73:AD73,"µ")+COUNTIF($E73:AD73,1),ColLivraison)=AE$6,
  VLOOKUP($E73,INDIRECT("tri!"&amp; CHAR(64+ C0Col) &amp;":"&amp; CHAR(65+C0Col)),2,FALSE)&gt;COUNTIF($E73:AD73,"u")+COUNTIF($E73:AD73,"t")+COUNTIF($E73:AD73,"¶")+COUNTIF($E73:AD73,"²")+COUNTIF($E73:AD73,"µ")+COUNTIF($E73:AD73,1)),
HYPERLINK("#Roadmap!C"&amp; MATCH($E73,Roadmap!$D:$D,0)+COUNTIF($E73:AD73,"u")+COUNTIF($E73:AD73,"t"),
     INDEX(Roadmap!$D:$K,MATCH($E73,Roadmap!$D:$D,0)+COUNTIF($E73:AD73,"u")+COUNTIF($E73:AD73,"t")+COUNTIF($E73:AD73,"¶")+COUNTIF($E73:AD73,"²")+COUNTIF($E73:AD73,"µ")+COUNTIF($E73:AD73,1),ColTypeEcheance)),
  IF(LEN(AD73)=1,
  IF(LEN(INDEX(Roadmap!$D:$K,MATCH($E73,Roadmap!$D:$D,0)-1+COUNTIF($E73:AD73,"u")+COUNTIF($E73:AD73,"t")+COUNTIF($E73:AD73,"¶")+COUNTIF($E73:AD73,"²")+COUNTIF($E73:AD73,"µ")+COUNTIF($E73:AD73,1),ColDescriptionCourte))&gt;1,
HYPERLINK("#Roadmap!C"&amp; MATCH($E73,Roadmap!$D:$D,0)+COUNTIF($E73:AD73,"u")+COUNTIF($E73:AD73,"t")+COUNTIF($E73:AD73,"¶")+COUNTIF($E73:AD73,"²")+COUNTIF($E73:AD73,"µ")+COUNTIF($E73:AD73,1)-1,INDEX(Roadmap!$D:$K,MATCH($E73,Roadmap!$D:$D,0)-1+COUNTIF($E73:AD73,"u")+COUNTIF($E73:AD73,"t")+COUNTIF($E73:AD73,"¶")+COUNTIF($E73:AD73,"²")+COUNTIF($E73:AD73,"µ")+COUNTIF($E73:AD73,1),ColDescriptionCourte)),""),
  "")),"")</f>
        <v/>
      </c>
      <c r="AF73" s="40" t="str">
        <f ca="1">IFERROR(IF(AND(
  INDEX(Roadmap!$D:$K,MATCH($E73,Roadmap!$D:$D,0)+COUNTIF($E73:AE73,"u")+COUNTIF($E73:AE73,"t")+COUNTIF($E73:AE73,"¶")+COUNTIF($E73:AE73,"²")+COUNTIF($E73:AE73,"µ")+COUNTIF($E73:AE73,1),ColLivraison)=AF$6,
  VLOOKUP($E73,INDIRECT("tri!"&amp; CHAR(64+ C0Col) &amp;":"&amp; CHAR(65+C0Col)),2,FALSE)&gt;COUNTIF($E73:AE73,"u")+COUNTIF($E73:AE73,"t")+COUNTIF($E73:AE73,"¶")+COUNTIF($E73:AE73,"²")+COUNTIF($E73:AE73,"µ")+COUNTIF($E73:AE73,1)),
HYPERLINK("#Roadmap!C"&amp; MATCH($E73,Roadmap!$D:$D,0)+COUNTIF($E73:AE73,"u")+COUNTIF($E73:AE73,"t"),
     INDEX(Roadmap!$D:$K,MATCH($E73,Roadmap!$D:$D,0)+COUNTIF($E73:AE73,"u")+COUNTIF($E73:AE73,"t")+COUNTIF($E73:AE73,"¶")+COUNTIF($E73:AE73,"²")+COUNTIF($E73:AE73,"µ")+COUNTIF($E73:AE73,1),ColTypeEcheance)),
  IF(LEN(AE73)=1,
  IF(LEN(INDEX(Roadmap!$D:$K,MATCH($E73,Roadmap!$D:$D,0)-1+COUNTIF($E73:AE73,"u")+COUNTIF($E73:AE73,"t")+COUNTIF($E73:AE73,"¶")+COUNTIF($E73:AE73,"²")+COUNTIF($E73:AE73,"µ")+COUNTIF($E73:AE73,1),ColDescriptionCourte))&gt;1,
HYPERLINK("#Roadmap!C"&amp; MATCH($E73,Roadmap!$D:$D,0)+COUNTIF($E73:AE73,"u")+COUNTIF($E73:AE73,"t")+COUNTIF($E73:AE73,"¶")+COUNTIF($E73:AE73,"²")+COUNTIF($E73:AE73,"µ")+COUNTIF($E73:AE73,1)-1,INDEX(Roadmap!$D:$K,MATCH($E73,Roadmap!$D:$D,0)-1+COUNTIF($E73:AE73,"u")+COUNTIF($E73:AE73,"t")+COUNTIF($E73:AE73,"¶")+COUNTIF($E73:AE73,"²")+COUNTIF($E73:AE73,"µ")+COUNTIF($E73:AE73,1),ColDescriptionCourte)),""),
  "")),"")</f>
        <v/>
      </c>
      <c r="AG73" s="40" t="str">
        <f ca="1">IFERROR(IF(AND(
  INDEX(Roadmap!$D:$K,MATCH($E73,Roadmap!$D:$D,0)+COUNTIF($E73:AF73,"u")+COUNTIF($E73:AF73,"t")+COUNTIF($E73:AF73,"¶")+COUNTIF($E73:AF73,"²")+COUNTIF($E73:AF73,"µ")+COUNTIF($E73:AF73,1),ColLivraison)=AG$6,
  VLOOKUP($E73,INDIRECT("tri!"&amp; CHAR(64+ C0Col) &amp;":"&amp; CHAR(65+C0Col)),2,FALSE)&gt;COUNTIF($E73:AF73,"u")+COUNTIF($E73:AF73,"t")+COUNTIF($E73:AF73,"¶")+COUNTIF($E73:AF73,"²")+COUNTIF($E73:AF73,"µ")+COUNTIF($E73:AF73,1)),
HYPERLINK("#Roadmap!C"&amp; MATCH($E73,Roadmap!$D:$D,0)+COUNTIF($E73:AF73,"u")+COUNTIF($E73:AF73,"t"),
     INDEX(Roadmap!$D:$K,MATCH($E73,Roadmap!$D:$D,0)+COUNTIF($E73:AF73,"u")+COUNTIF($E73:AF73,"t")+COUNTIF($E73:AF73,"¶")+COUNTIF($E73:AF73,"²")+COUNTIF($E73:AF73,"µ")+COUNTIF($E73:AF73,1),ColTypeEcheance)),
  IF(LEN(AF73)=1,
  IF(LEN(INDEX(Roadmap!$D:$K,MATCH($E73,Roadmap!$D:$D,0)-1+COUNTIF($E73:AF73,"u")+COUNTIF($E73:AF73,"t")+COUNTIF($E73:AF73,"¶")+COUNTIF($E73:AF73,"²")+COUNTIF($E73:AF73,"µ")+COUNTIF($E73:AF73,1),ColDescriptionCourte))&gt;1,
HYPERLINK("#Roadmap!C"&amp; MATCH($E73,Roadmap!$D:$D,0)+COUNTIF($E73:AF73,"u")+COUNTIF($E73:AF73,"t")+COUNTIF($E73:AF73,"¶")+COUNTIF($E73:AF73,"²")+COUNTIF($E73:AF73,"µ")+COUNTIF($E73:AF73,1)-1,INDEX(Roadmap!$D:$K,MATCH($E73,Roadmap!$D:$D,0)-1+COUNTIF($E73:AF73,"u")+COUNTIF($E73:AF73,"t")+COUNTIF($E73:AF73,"¶")+COUNTIF($E73:AF73,"²")+COUNTIF($E73:AF73,"µ")+COUNTIF($E73:AF73,1),ColDescriptionCourte)),""),
  "")),"")</f>
        <v/>
      </c>
    </row>
    <row r="74" spans="3:33" ht="14.25" customHeight="1">
      <c r="C74" s="1" t="str">
        <f t="shared" ca="1" si="47"/>
        <v/>
      </c>
      <c r="D74" s="1" t="str">
        <f t="shared" ca="1" si="48"/>
        <v/>
      </c>
      <c r="E74" s="35" t="str">
        <f t="shared" ca="1" si="46"/>
        <v/>
      </c>
      <c r="F74" s="39" t="str">
        <f ca="1">IFERROR(IF(AND(
  INDEX(Roadmap!$D:$K,MATCH($E74,Roadmap!$D:$D,0)+COUNTIF($E74:E74,"u")+COUNTIF($E74:E74,"t")+COUNTIF($E74:E74,"¶")+COUNTIF($E74:E74,"²")+COUNTIF($E74:E74,"µ")+COUNTIF($E74:E74,1),ColLivraison)=F$6,
  VLOOKUP($E74,INDIRECT("tri!"&amp; CHAR(64+ C0Col) &amp;":"&amp; CHAR(65+C0Col)),2,FALSE)&gt;COUNTIF($E74:E74,"u")+COUNTIF($E74:E74,"t")+COUNTIF($E74:E74,"¶")+COUNTIF($E74:E74,"²")+COUNTIF($E74:E74,"µ")+COUNTIF($E74:E74,1)),
HYPERLINK("#Roadmap!C"&amp; MATCH($E74,Roadmap!$D:$D,0)+COUNTIF($E74:E74,"u")+COUNTIF($E74:E74,"t"),
     INDEX(Roadmap!$D:$K,MATCH($E74,Roadmap!$D:$D,0)+COUNTIF($E74:E74,"u")+COUNTIF($E74:E74,"t")+COUNTIF($E74:E74,"¶")+COUNTIF($E74:E74,"²")+COUNTIF($E74:E74,"µ")+COUNTIF($E74:E74,1),ColTypeEcheance)),
  IF(LEN(E74)=1,
  IF(LEN(INDEX(Roadmap!$D:$K,MATCH($E74,Roadmap!$D:$D,0)-1+COUNTIF($E74:E74,"u")+COUNTIF($E74:E74,"t")+COUNTIF($E74:E74,"¶")+COUNTIF($E74:E74,"²")+COUNTIF($E74:E74,"µ")+COUNTIF($E74:E74,1),ColDescriptionCourte))&gt;1,
HYPERLINK("#Roadmap!C"&amp; MATCH($E74,Roadmap!$D:$D,0)+COUNTIF($E74:E74,"u")+COUNTIF($E74:E74,"t")+COUNTIF($E74:E74,"¶")+COUNTIF($E74:E74,"²")+COUNTIF($E74:E74,"µ")+COUNTIF($E74:E74,1)-1,INDEX(Roadmap!$D:$K,MATCH($E74,Roadmap!$D:$D,0)-1+COUNTIF($E74:E74,"u")+COUNTIF($E74:E74,"t")+COUNTIF($E74:E74,"¶")+COUNTIF($E74:E74,"²")+COUNTIF($E74:E74,"µ")+COUNTIF($E74:E74,1),ColDescriptionCourte)),""),
  "")),"")</f>
        <v/>
      </c>
      <c r="G74" s="40" t="str">
        <f ca="1">IFERROR(IF(AND(
  INDEX(Roadmap!$D:$K,MATCH($E74,Roadmap!$D:$D,0)+COUNTIF($E74:F74,"u")+COUNTIF($E74:F74,"t")+COUNTIF($E74:F74,"¶")+COUNTIF($E74:F74,"²")+COUNTIF($E74:F74,"µ")+COUNTIF($E74:F74,1),ColLivraison)=G$6,
  VLOOKUP($E74,INDIRECT("tri!"&amp; CHAR(64+ C0Col) &amp;":"&amp; CHAR(65+C0Col)),2,FALSE)&gt;COUNTIF($E74:F74,"u")+COUNTIF($E74:F74,"t")+COUNTIF($E74:F74,"¶")+COUNTIF($E74:F74,"²")+COUNTIF($E74:F74,"µ")+COUNTIF($E74:F74,1)),
HYPERLINK("#Roadmap!C"&amp; MATCH($E74,Roadmap!$D:$D,0)+COUNTIF($E74:F74,"u")+COUNTIF($E74:F74,"t"),
     INDEX(Roadmap!$D:$K,MATCH($E74,Roadmap!$D:$D,0)+COUNTIF($E74:F74,"u")+COUNTIF($E74:F74,"t")+COUNTIF($E74:F74,"¶")+COUNTIF($E74:F74,"²")+COUNTIF($E74:F74,"µ")+COUNTIF($E74:F74,1),ColTypeEcheance)),
  IF(LEN(F74)=1,
  IF(LEN(INDEX(Roadmap!$D:$K,MATCH($E74,Roadmap!$D:$D,0)-1+COUNTIF($E74:F74,"u")+COUNTIF($E74:F74,"t")+COUNTIF($E74:F74,"¶")+COUNTIF($E74:F74,"²")+COUNTIF($E74:F74,"µ")+COUNTIF($E74:F74,1),ColDescriptionCourte))&gt;1,
HYPERLINK("#Roadmap!C"&amp; MATCH($E74,Roadmap!$D:$D,0)+COUNTIF($E74:F74,"u")+COUNTIF($E74:F74,"t")+COUNTIF($E74:F74,"¶")+COUNTIF($E74:F74,"²")+COUNTIF($E74:F74,"µ")+COUNTIF($E74:F74,1)-1,INDEX(Roadmap!$D:$K,MATCH($E74,Roadmap!$D:$D,0)-1+COUNTIF($E74:F74,"u")+COUNTIF($E74:F74,"t")+COUNTIF($E74:F74,"¶")+COUNTIF($E74:F74,"²")+COUNTIF($E74:F74,"µ")+COUNTIF($E74:F74,1),ColDescriptionCourte)),""),
  "")),"")</f>
        <v/>
      </c>
      <c r="H74" s="40" t="str">
        <f ca="1">IFERROR(IF(AND(
  INDEX(Roadmap!$D:$K,MATCH($E74,Roadmap!$D:$D,0)+COUNTIF($E74:G74,"u")+COUNTIF($E74:G74,"t")+COUNTIF($E74:G74,"¶")+COUNTIF($E74:G74,"²")+COUNTIF($E74:G74,"µ")+COUNTIF($E74:G74,1),ColLivraison)=H$6,
  VLOOKUP($E74,INDIRECT("tri!"&amp; CHAR(64+ C0Col) &amp;":"&amp; CHAR(65+C0Col)),2,FALSE)&gt;COUNTIF($E74:G74,"u")+COUNTIF($E74:G74,"t")+COUNTIF($E74:G74,"¶")+COUNTIF($E74:G74,"²")+COUNTIF($E74:G74,"µ")+COUNTIF($E74:G74,1)),
HYPERLINK("#Roadmap!C"&amp; MATCH($E74,Roadmap!$D:$D,0)+COUNTIF($E74:G74,"u")+COUNTIF($E74:G74,"t"),
     INDEX(Roadmap!$D:$K,MATCH($E74,Roadmap!$D:$D,0)+COUNTIF($E74:G74,"u")+COUNTIF($E74:G74,"t")+COUNTIF($E74:G74,"¶")+COUNTIF($E74:G74,"²")+COUNTIF($E74:G74,"µ")+COUNTIF($E74:G74,1),ColTypeEcheance)),
  IF(LEN(G74)=1,
  IF(LEN(INDEX(Roadmap!$D:$K,MATCH($E74,Roadmap!$D:$D,0)-1+COUNTIF($E74:G74,"u")+COUNTIF($E74:G74,"t")+COUNTIF($E74:G74,"¶")+COUNTIF($E74:G74,"²")+COUNTIF($E74:G74,"µ")+COUNTIF($E74:G74,1),ColDescriptionCourte))&gt;1,
HYPERLINK("#Roadmap!C"&amp; MATCH($E74,Roadmap!$D:$D,0)+COUNTIF($E74:G74,"u")+COUNTIF($E74:G74,"t")+COUNTIF($E74:G74,"¶")+COUNTIF($E74:G74,"²")+COUNTIF($E74:G74,"µ")+COUNTIF($E74:G74,1)-1,INDEX(Roadmap!$D:$K,MATCH($E74,Roadmap!$D:$D,0)-1+COUNTIF($E74:G74,"u")+COUNTIF($E74:G74,"t")+COUNTIF($E74:G74,"¶")+COUNTIF($E74:G74,"²")+COUNTIF($E74:G74,"µ")+COUNTIF($E74:G74,1),ColDescriptionCourte)),""),
  "")),"")</f>
        <v/>
      </c>
      <c r="I74" s="40" t="str">
        <f ca="1">IFERROR(IF(AND(
  INDEX(Roadmap!$D:$K,MATCH($E74,Roadmap!$D:$D,0)+COUNTIF($E74:H74,"u")+COUNTIF($E74:H74,"t")+COUNTIF($E74:H74,"¶")+COUNTIF($E74:H74,"²")+COUNTIF($E74:H74,"µ")+COUNTIF($E74:H74,1),ColLivraison)=I$6,
  VLOOKUP($E74,INDIRECT("tri!"&amp; CHAR(64+ C0Col) &amp;":"&amp; CHAR(65+C0Col)),2,FALSE)&gt;COUNTIF($E74:H74,"u")+COUNTIF($E74:H74,"t")+COUNTIF($E74:H74,"¶")+COUNTIF($E74:H74,"²")+COUNTIF($E74:H74,"µ")+COUNTIF($E74:H74,1)),
HYPERLINK("#Roadmap!C"&amp; MATCH($E74,Roadmap!$D:$D,0)+COUNTIF($E74:H74,"u")+COUNTIF($E74:H74,"t"),
     INDEX(Roadmap!$D:$K,MATCH($E74,Roadmap!$D:$D,0)+COUNTIF($E74:H74,"u")+COUNTIF($E74:H74,"t")+COUNTIF($E74:H74,"¶")+COUNTIF($E74:H74,"²")+COUNTIF($E74:H74,"µ")+COUNTIF($E74:H74,1),ColTypeEcheance)),
  IF(LEN(H74)=1,
  IF(LEN(INDEX(Roadmap!$D:$K,MATCH($E74,Roadmap!$D:$D,0)-1+COUNTIF($E74:H74,"u")+COUNTIF($E74:H74,"t")+COUNTIF($E74:H74,"¶")+COUNTIF($E74:H74,"²")+COUNTIF($E74:H74,"µ")+COUNTIF($E74:H74,1),ColDescriptionCourte))&gt;1,
HYPERLINK("#Roadmap!C"&amp; MATCH($E74,Roadmap!$D:$D,0)+COUNTIF($E74:H74,"u")+COUNTIF($E74:H74,"t")+COUNTIF($E74:H74,"¶")+COUNTIF($E74:H74,"²")+COUNTIF($E74:H74,"µ")+COUNTIF($E74:H74,1)-1,INDEX(Roadmap!$D:$K,MATCH($E74,Roadmap!$D:$D,0)-1+COUNTIF($E74:H74,"u")+COUNTIF($E74:H74,"t")+COUNTIF($E74:H74,"¶")+COUNTIF($E74:H74,"²")+COUNTIF($E74:H74,"µ")+COUNTIF($E74:H74,1),ColDescriptionCourte)),""),
  "")),"")</f>
        <v/>
      </c>
      <c r="J74" s="40" t="str">
        <f ca="1">IFERROR(IF(AND(
  INDEX(Roadmap!$D:$K,MATCH($E74,Roadmap!$D:$D,0)+COUNTIF($E74:I74,"u")+COUNTIF($E74:I74,"t")+COUNTIF($E74:I74,"¶")+COUNTIF($E74:I74,"²")+COUNTIF($E74:I74,"µ")+COUNTIF($E74:I74,1),ColLivraison)=J$6,
  VLOOKUP($E74,INDIRECT("tri!"&amp; CHAR(64+ C0Col) &amp;":"&amp; CHAR(65+C0Col)),2,FALSE)&gt;COUNTIF($E74:I74,"u")+COUNTIF($E74:I74,"t")+COUNTIF($E74:I74,"¶")+COUNTIF($E74:I74,"²")+COUNTIF($E74:I74,"µ")+COUNTIF($E74:I74,1)),
HYPERLINK("#Roadmap!C"&amp; MATCH($E74,Roadmap!$D:$D,0)+COUNTIF($E74:I74,"u")+COUNTIF($E74:I74,"t"),
     INDEX(Roadmap!$D:$K,MATCH($E74,Roadmap!$D:$D,0)+COUNTIF($E74:I74,"u")+COUNTIF($E74:I74,"t")+COUNTIF($E74:I74,"¶")+COUNTIF($E74:I74,"²")+COUNTIF($E74:I74,"µ")+COUNTIF($E74:I74,1),ColTypeEcheance)),
  IF(LEN(I74)=1,
  IF(LEN(INDEX(Roadmap!$D:$K,MATCH($E74,Roadmap!$D:$D,0)-1+COUNTIF($E74:I74,"u")+COUNTIF($E74:I74,"t")+COUNTIF($E74:I74,"¶")+COUNTIF($E74:I74,"²")+COUNTIF($E74:I74,"µ")+COUNTIF($E74:I74,1),ColDescriptionCourte))&gt;1,
HYPERLINK("#Roadmap!C"&amp; MATCH($E74,Roadmap!$D:$D,0)+COUNTIF($E74:I74,"u")+COUNTIF($E74:I74,"t")+COUNTIF($E74:I74,"¶")+COUNTIF($E74:I74,"²")+COUNTIF($E74:I74,"µ")+COUNTIF($E74:I74,1)-1,INDEX(Roadmap!$D:$K,MATCH($E74,Roadmap!$D:$D,0)-1+COUNTIF($E74:I74,"u")+COUNTIF($E74:I74,"t")+COUNTIF($E74:I74,"¶")+COUNTIF($E74:I74,"²")+COUNTIF($E74:I74,"µ")+COUNTIF($E74:I74,1),ColDescriptionCourte)),""),
  "")),"")</f>
        <v/>
      </c>
      <c r="K74" s="40" t="str">
        <f ca="1">IFERROR(IF(AND(
  INDEX(Roadmap!$D:$K,MATCH($E74,Roadmap!$D:$D,0)+COUNTIF($E74:J74,"u")+COUNTIF($E74:J74,"t")+COUNTIF($E74:J74,"¶")+COUNTIF($E74:J74,"²")+COUNTIF($E74:J74,"µ")+COUNTIF($E74:J74,1),ColLivraison)=K$6,
  VLOOKUP($E74,INDIRECT("tri!"&amp; CHAR(64+ C0Col) &amp;":"&amp; CHAR(65+C0Col)),2,FALSE)&gt;COUNTIF($E74:J74,"u")+COUNTIF($E74:J74,"t")+COUNTIF($E74:J74,"¶")+COUNTIF($E74:J74,"²")+COUNTIF($E74:J74,"µ")+COUNTIF($E74:J74,1)),
HYPERLINK("#Roadmap!C"&amp; MATCH($E74,Roadmap!$D:$D,0)+COUNTIF($E74:J74,"u")+COUNTIF($E74:J74,"t"),
     INDEX(Roadmap!$D:$K,MATCH($E74,Roadmap!$D:$D,0)+COUNTIF($E74:J74,"u")+COUNTIF($E74:J74,"t")+COUNTIF($E74:J74,"¶")+COUNTIF($E74:J74,"²")+COUNTIF($E74:J74,"µ")+COUNTIF($E74:J74,1),ColTypeEcheance)),
  IF(LEN(J74)=1,
  IF(LEN(INDEX(Roadmap!$D:$K,MATCH($E74,Roadmap!$D:$D,0)-1+COUNTIF($E74:J74,"u")+COUNTIF($E74:J74,"t")+COUNTIF($E74:J74,"¶")+COUNTIF($E74:J74,"²")+COUNTIF($E74:J74,"µ")+COUNTIF($E74:J74,1),ColDescriptionCourte))&gt;1,
HYPERLINK("#Roadmap!C"&amp; MATCH($E74,Roadmap!$D:$D,0)+COUNTIF($E74:J74,"u")+COUNTIF($E74:J74,"t")+COUNTIF($E74:J74,"¶")+COUNTIF($E74:J74,"²")+COUNTIF($E74:J74,"µ")+COUNTIF($E74:J74,1)-1,INDEX(Roadmap!$D:$K,MATCH($E74,Roadmap!$D:$D,0)-1+COUNTIF($E74:J74,"u")+COUNTIF($E74:J74,"t")+COUNTIF($E74:J74,"¶")+COUNTIF($E74:J74,"²")+COUNTIF($E74:J74,"µ")+COUNTIF($E74:J74,1),ColDescriptionCourte)),""),
  "")),"")</f>
        <v/>
      </c>
      <c r="L74" s="39" t="str">
        <f ca="1">IFERROR(IF(AND(
  INDEX(Roadmap!$D:$K,MATCH($E74,Roadmap!$D:$D,0)+COUNTIF($E74:K74,"u")+COUNTIF($E74:K74,"t")+COUNTIF($E74:K74,"¶")+COUNTIF($E74:K74,"²")+COUNTIF($E74:K74,"µ")+COUNTIF($E74:K74,1),ColLivraison)=L$6,
  VLOOKUP($E74,INDIRECT("tri!"&amp; CHAR(64+ C0Col) &amp;":"&amp; CHAR(65+C0Col)),2,FALSE)&gt;COUNTIF($E74:K74,"u")+COUNTIF($E74:K74,"t")+COUNTIF($E74:K74,"¶")+COUNTIF($E74:K74,"²")+COUNTIF($E74:K74,"µ")+COUNTIF($E74:K74,1)),
HYPERLINK("#Roadmap!C"&amp; MATCH($E74,Roadmap!$D:$D,0)+COUNTIF($E74:K74,"u")+COUNTIF($E74:K74,"t"),
     INDEX(Roadmap!$D:$K,MATCH($E74,Roadmap!$D:$D,0)+COUNTIF($E74:K74,"u")+COUNTIF($E74:K74,"t")+COUNTIF($E74:K74,"¶")+COUNTIF($E74:K74,"²")+COUNTIF($E74:K74,"µ")+COUNTIF($E74:K74,1),ColTypeEcheance)),
  IF(LEN(K74)=1,
  IF(LEN(INDEX(Roadmap!$D:$K,MATCH($E74,Roadmap!$D:$D,0)-1+COUNTIF($E74:K74,"u")+COUNTIF($E74:K74,"t")+COUNTIF($E74:K74,"¶")+COUNTIF($E74:K74,"²")+COUNTIF($E74:K74,"µ")+COUNTIF($E74:K74,1),ColDescriptionCourte))&gt;1,
HYPERLINK("#Roadmap!C"&amp; MATCH($E74,Roadmap!$D:$D,0)+COUNTIF($E74:K74,"u")+COUNTIF($E74:K74,"t")+COUNTIF($E74:K74,"¶")+COUNTIF($E74:K74,"²")+COUNTIF($E74:K74,"µ")+COUNTIF($E74:K74,1)-1,INDEX(Roadmap!$D:$K,MATCH($E74,Roadmap!$D:$D,0)-1+COUNTIF($E74:K74,"u")+COUNTIF($E74:K74,"t")+COUNTIF($E74:K74,"¶")+COUNTIF($E74:K74,"²")+COUNTIF($E74:K74,"µ")+COUNTIF($E74:K74,1),ColDescriptionCourte)),""),
  "")),"")</f>
        <v/>
      </c>
      <c r="M74" s="40" t="str">
        <f ca="1">IFERROR(IF(AND(
  INDEX(Roadmap!$D:$K,MATCH($E74,Roadmap!$D:$D,0)+COUNTIF($E74:L74,"u")+COUNTIF($E74:L74,"t")+COUNTIF($E74:L74,"¶")+COUNTIF($E74:L74,"²")+COUNTIF($E74:L74,"µ")+COUNTIF($E74:L74,1),ColLivraison)=M$6,
  VLOOKUP($E74,INDIRECT("tri!"&amp; CHAR(64+ C0Col) &amp;":"&amp; CHAR(65+C0Col)),2,FALSE)&gt;COUNTIF($E74:L74,"u")+COUNTIF($E74:L74,"t")+COUNTIF($E74:L74,"¶")+COUNTIF($E74:L74,"²")+COUNTIF($E74:L74,"µ")+COUNTIF($E74:L74,1)),
HYPERLINK("#Roadmap!C"&amp; MATCH($E74,Roadmap!$D:$D,0)+COUNTIF($E74:L74,"u")+COUNTIF($E74:L74,"t"),
     INDEX(Roadmap!$D:$K,MATCH($E74,Roadmap!$D:$D,0)+COUNTIF($E74:L74,"u")+COUNTIF($E74:L74,"t")+COUNTIF($E74:L74,"¶")+COUNTIF($E74:L74,"²")+COUNTIF($E74:L74,"µ")+COUNTIF($E74:L74,1),ColTypeEcheance)),
  IF(LEN(L74)=1,
  IF(LEN(INDEX(Roadmap!$D:$K,MATCH($E74,Roadmap!$D:$D,0)-1+COUNTIF($E74:L74,"u")+COUNTIF($E74:L74,"t")+COUNTIF($E74:L74,"¶")+COUNTIF($E74:L74,"²")+COUNTIF($E74:L74,"µ")+COUNTIF($E74:L74,1),ColDescriptionCourte))&gt;1,
HYPERLINK("#Roadmap!C"&amp; MATCH($E74,Roadmap!$D:$D,0)+COUNTIF($E74:L74,"u")+COUNTIF($E74:L74,"t")+COUNTIF($E74:L74,"¶")+COUNTIF($E74:L74,"²")+COUNTIF($E74:L74,"µ")+COUNTIF($E74:L74,1)-1,INDEX(Roadmap!$D:$K,MATCH($E74,Roadmap!$D:$D,0)-1+COUNTIF($E74:L74,"u")+COUNTIF($E74:L74,"t")+COUNTIF($E74:L74,"¶")+COUNTIF($E74:L74,"²")+COUNTIF($E74:L74,"µ")+COUNTIF($E74:L74,1),ColDescriptionCourte)),""),
  "")),"")</f>
        <v/>
      </c>
      <c r="N74" s="40" t="str">
        <f ca="1">IFERROR(IF(AND(
  INDEX(Roadmap!$D:$K,MATCH($E74,Roadmap!$D:$D,0)+COUNTIF($E74:M74,"u")+COUNTIF($E74:M74,"t")+COUNTIF($E74:M74,"¶")+COUNTIF($E74:M74,"²")+COUNTIF($E74:M74,"µ")+COUNTIF($E74:M74,1),ColLivraison)=N$6,
  VLOOKUP($E74,INDIRECT("tri!"&amp; CHAR(64+ C0Col) &amp;":"&amp; CHAR(65+C0Col)),2,FALSE)&gt;COUNTIF($E74:M74,"u")+COUNTIF($E74:M74,"t")+COUNTIF($E74:M74,"¶")+COUNTIF($E74:M74,"²")+COUNTIF($E74:M74,"µ")+COUNTIF($E74:M74,1)),
HYPERLINK("#Roadmap!C"&amp; MATCH($E74,Roadmap!$D:$D,0)+COUNTIF($E74:M74,"u")+COUNTIF($E74:M74,"t"),
     INDEX(Roadmap!$D:$K,MATCH($E74,Roadmap!$D:$D,0)+COUNTIF($E74:M74,"u")+COUNTIF($E74:M74,"t")+COUNTIF($E74:M74,"¶")+COUNTIF($E74:M74,"²")+COUNTIF($E74:M74,"µ")+COUNTIF($E74:M74,1),ColTypeEcheance)),
  IF(LEN(M74)=1,
  IF(LEN(INDEX(Roadmap!$D:$K,MATCH($E74,Roadmap!$D:$D,0)-1+COUNTIF($E74:M74,"u")+COUNTIF($E74:M74,"t")+COUNTIF($E74:M74,"¶")+COUNTIF($E74:M74,"²")+COUNTIF($E74:M74,"µ")+COUNTIF($E74:M74,1),ColDescriptionCourte))&gt;1,
HYPERLINK("#Roadmap!C"&amp; MATCH($E74,Roadmap!$D:$D,0)+COUNTIF($E74:M74,"u")+COUNTIF($E74:M74,"t")+COUNTIF($E74:M74,"¶")+COUNTIF($E74:M74,"²")+COUNTIF($E74:M74,"µ")+COUNTIF($E74:M74,1)-1,INDEX(Roadmap!$D:$K,MATCH($E74,Roadmap!$D:$D,0)-1+COUNTIF($E74:M74,"u")+COUNTIF($E74:M74,"t")+COUNTIF($E74:M74,"¶")+COUNTIF($E74:M74,"²")+COUNTIF($E74:M74,"µ")+COUNTIF($E74:M74,1),ColDescriptionCourte)),""),
  "")),"")</f>
        <v/>
      </c>
      <c r="O74" s="40" t="str">
        <f ca="1">IFERROR(IF(AND(
  INDEX(Roadmap!$D:$K,MATCH($E74,Roadmap!$D:$D,0)+COUNTIF($E74:N74,"u")+COUNTIF($E74:N74,"t")+COUNTIF($E74:N74,"¶")+COUNTIF($E74:N74,"²")+COUNTIF($E74:N74,"µ")+COUNTIF($E74:N74,1),ColLivraison)=O$6,
  VLOOKUP($E74,INDIRECT("tri!"&amp; CHAR(64+ C0Col) &amp;":"&amp; CHAR(65+C0Col)),2,FALSE)&gt;COUNTIF($E74:N74,"u")+COUNTIF($E74:N74,"t")+COUNTIF($E74:N74,"¶")+COUNTIF($E74:N74,"²")+COUNTIF($E74:N74,"µ")+COUNTIF($E74:N74,1)),
HYPERLINK("#Roadmap!C"&amp; MATCH($E74,Roadmap!$D:$D,0)+COUNTIF($E74:N74,"u")+COUNTIF($E74:N74,"t"),
     INDEX(Roadmap!$D:$K,MATCH($E74,Roadmap!$D:$D,0)+COUNTIF($E74:N74,"u")+COUNTIF($E74:N74,"t")+COUNTIF($E74:N74,"¶")+COUNTIF($E74:N74,"²")+COUNTIF($E74:N74,"µ")+COUNTIF($E74:N74,1),ColTypeEcheance)),
  IF(LEN(N74)=1,
  IF(LEN(INDEX(Roadmap!$D:$K,MATCH($E74,Roadmap!$D:$D,0)-1+COUNTIF($E74:N74,"u")+COUNTIF($E74:N74,"t")+COUNTIF($E74:N74,"¶")+COUNTIF($E74:N74,"²")+COUNTIF($E74:N74,"µ")+COUNTIF($E74:N74,1),ColDescriptionCourte))&gt;1,
HYPERLINK("#Roadmap!C"&amp; MATCH($E74,Roadmap!$D:$D,0)+COUNTIF($E74:N74,"u")+COUNTIF($E74:N74,"t")+COUNTIF($E74:N74,"¶")+COUNTIF($E74:N74,"²")+COUNTIF($E74:N74,"µ")+COUNTIF($E74:N74,1)-1,INDEX(Roadmap!$D:$K,MATCH($E74,Roadmap!$D:$D,0)-1+COUNTIF($E74:N74,"u")+COUNTIF($E74:N74,"t")+COUNTIF($E74:N74,"¶")+COUNTIF($E74:N74,"²")+COUNTIF($E74:N74,"µ")+COUNTIF($E74:N74,1),ColDescriptionCourte)),""),
  "")),"")</f>
        <v/>
      </c>
      <c r="P74" s="40" t="str">
        <f ca="1">IFERROR(IF(AND(
  INDEX(Roadmap!$D:$K,MATCH($E74,Roadmap!$D:$D,0)+COUNTIF($E74:O74,"u")+COUNTIF($E74:O74,"t")+COUNTIF($E74:O74,"¶")+COUNTIF($E74:O74,"²")+COUNTIF($E74:O74,"µ")+COUNTIF($E74:O74,1),ColLivraison)=P$6,
  VLOOKUP($E74,INDIRECT("tri!"&amp; CHAR(64+ C0Col) &amp;":"&amp; CHAR(65+C0Col)),2,FALSE)&gt;COUNTIF($E74:O74,"u")+COUNTIF($E74:O74,"t")+COUNTIF($E74:O74,"¶")+COUNTIF($E74:O74,"²")+COUNTIF($E74:O74,"µ")+COUNTIF($E74:O74,1)),
HYPERLINK("#Roadmap!C"&amp; MATCH($E74,Roadmap!$D:$D,0)+COUNTIF($E74:O74,"u")+COUNTIF($E74:O74,"t"),
     INDEX(Roadmap!$D:$K,MATCH($E74,Roadmap!$D:$D,0)+COUNTIF($E74:O74,"u")+COUNTIF($E74:O74,"t")+COUNTIF($E74:O74,"¶")+COUNTIF($E74:O74,"²")+COUNTIF($E74:O74,"µ")+COUNTIF($E74:O74,1),ColTypeEcheance)),
  IF(LEN(O74)=1,
  IF(LEN(INDEX(Roadmap!$D:$K,MATCH($E74,Roadmap!$D:$D,0)-1+COUNTIF($E74:O74,"u")+COUNTIF($E74:O74,"t")+COUNTIF($E74:O74,"¶")+COUNTIF($E74:O74,"²")+COUNTIF($E74:O74,"µ")+COUNTIF($E74:O74,1),ColDescriptionCourte))&gt;1,
HYPERLINK("#Roadmap!C"&amp; MATCH($E74,Roadmap!$D:$D,0)+COUNTIF($E74:O74,"u")+COUNTIF($E74:O74,"t")+COUNTIF($E74:O74,"¶")+COUNTIF($E74:O74,"²")+COUNTIF($E74:O74,"µ")+COUNTIF($E74:O74,1)-1,INDEX(Roadmap!$D:$K,MATCH($E74,Roadmap!$D:$D,0)-1+COUNTIF($E74:O74,"u")+COUNTIF($E74:O74,"t")+COUNTIF($E74:O74,"¶")+COUNTIF($E74:O74,"²")+COUNTIF($E74:O74,"µ")+COUNTIF($E74:O74,1),ColDescriptionCourte)),""),
  "")),"")</f>
        <v/>
      </c>
      <c r="Q74" s="40" t="str">
        <f ca="1">IFERROR(IF(AND(
  INDEX(Roadmap!$D:$K,MATCH($E74,Roadmap!$D:$D,0)+COUNTIF($E74:P74,"u")+COUNTIF($E74:P74,"t")+COUNTIF($E74:P74,"¶")+COUNTIF($E74:P74,"²")+COUNTIF($E74:P74,"µ")+COUNTIF($E74:P74,1),ColLivraison)=Q$6,
  VLOOKUP($E74,INDIRECT("tri!"&amp; CHAR(64+ C0Col) &amp;":"&amp; CHAR(65+C0Col)),2,FALSE)&gt;COUNTIF($E74:P74,"u")+COUNTIF($E74:P74,"t")+COUNTIF($E74:P74,"¶")+COUNTIF($E74:P74,"²")+COUNTIF($E74:P74,"µ")+COUNTIF($E74:P74,1)),
HYPERLINK("#Roadmap!C"&amp; MATCH($E74,Roadmap!$D:$D,0)+COUNTIF($E74:P74,"u")+COUNTIF($E74:P74,"t"),
     INDEX(Roadmap!$D:$K,MATCH($E74,Roadmap!$D:$D,0)+COUNTIF($E74:P74,"u")+COUNTIF($E74:P74,"t")+COUNTIF($E74:P74,"¶")+COUNTIF($E74:P74,"²")+COUNTIF($E74:P74,"µ")+COUNTIF($E74:P74,1),ColTypeEcheance)),
  IF(LEN(P74)=1,
  IF(LEN(INDEX(Roadmap!$D:$K,MATCH($E74,Roadmap!$D:$D,0)-1+COUNTIF($E74:P74,"u")+COUNTIF($E74:P74,"t")+COUNTIF($E74:P74,"¶")+COUNTIF($E74:P74,"²")+COUNTIF($E74:P74,"µ")+COUNTIF($E74:P74,1),ColDescriptionCourte))&gt;1,
HYPERLINK("#Roadmap!C"&amp; MATCH($E74,Roadmap!$D:$D,0)+COUNTIF($E74:P74,"u")+COUNTIF($E74:P74,"t")+COUNTIF($E74:P74,"¶")+COUNTIF($E74:P74,"²")+COUNTIF($E74:P74,"µ")+COUNTIF($E74:P74,1)-1,INDEX(Roadmap!$D:$K,MATCH($E74,Roadmap!$D:$D,0)-1+COUNTIF($E74:P74,"u")+COUNTIF($E74:P74,"t")+COUNTIF($E74:P74,"¶")+COUNTIF($E74:P74,"²")+COUNTIF($E74:P74,"µ")+COUNTIF($E74:P74,1),ColDescriptionCourte)),""),
  "")),"")</f>
        <v/>
      </c>
      <c r="R74" s="40" t="str">
        <f ca="1">IFERROR(IF(AND(
  INDEX(Roadmap!$D:$K,MATCH($E74,Roadmap!$D:$D,0)+COUNTIF($E74:Q74,"u")+COUNTIF($E74:Q74,"t")+COUNTIF($E74:Q74,"¶")+COUNTIF($E74:Q74,"²")+COUNTIF($E74:Q74,"µ")+COUNTIF($E74:Q74,1),ColLivraison)=R$6,
  VLOOKUP($E74,INDIRECT("tri!"&amp; CHAR(64+ C0Col) &amp;":"&amp; CHAR(65+C0Col)),2,FALSE)&gt;COUNTIF($E74:Q74,"u")+COUNTIF($E74:Q74,"t")+COUNTIF($E74:Q74,"¶")+COUNTIF($E74:Q74,"²")+COUNTIF($E74:Q74,"µ")+COUNTIF($E74:Q74,1)),
HYPERLINK("#Roadmap!C"&amp; MATCH($E74,Roadmap!$D:$D,0)+COUNTIF($E74:Q74,"u")+COUNTIF($E74:Q74,"t"),
     INDEX(Roadmap!$D:$K,MATCH($E74,Roadmap!$D:$D,0)+COUNTIF($E74:Q74,"u")+COUNTIF($E74:Q74,"t")+COUNTIF($E74:Q74,"¶")+COUNTIF($E74:Q74,"²")+COUNTIF($E74:Q74,"µ")+COUNTIF($E74:Q74,1),ColTypeEcheance)),
  IF(LEN(Q74)=1,
  IF(LEN(INDEX(Roadmap!$D:$K,MATCH($E74,Roadmap!$D:$D,0)-1+COUNTIF($E74:Q74,"u")+COUNTIF($E74:Q74,"t")+COUNTIF($E74:Q74,"¶")+COUNTIF($E74:Q74,"²")+COUNTIF($E74:Q74,"µ")+COUNTIF($E74:Q74,1),ColDescriptionCourte))&gt;1,
HYPERLINK("#Roadmap!C"&amp; MATCH($E74,Roadmap!$D:$D,0)+COUNTIF($E74:Q74,"u")+COUNTIF($E74:Q74,"t")+COUNTIF($E74:Q74,"¶")+COUNTIF($E74:Q74,"²")+COUNTIF($E74:Q74,"µ")+COUNTIF($E74:Q74,1)-1,INDEX(Roadmap!$D:$K,MATCH($E74,Roadmap!$D:$D,0)-1+COUNTIF($E74:Q74,"u")+COUNTIF($E74:Q74,"t")+COUNTIF($E74:Q74,"¶")+COUNTIF($E74:Q74,"²")+COUNTIF($E74:Q74,"µ")+COUNTIF($E74:Q74,1),ColDescriptionCourte)),""),
  "")),"")</f>
        <v/>
      </c>
      <c r="S74" s="40" t="str">
        <f ca="1">IFERROR(IF(AND(
  INDEX(Roadmap!$D:$K,MATCH($E74,Roadmap!$D:$D,0)+COUNTIF($E74:R74,"u")+COUNTIF($E74:R74,"t")+COUNTIF($E74:R74,"¶")+COUNTIF($E74:R74,"²")+COUNTIF($E74:R74,"µ")+COUNTIF($E74:R74,1),ColLivraison)=S$6,
  VLOOKUP($E74,INDIRECT("tri!"&amp; CHAR(64+ C0Col) &amp;":"&amp; CHAR(65+C0Col)),2,FALSE)&gt;COUNTIF($E74:R74,"u")+COUNTIF($E74:R74,"t")+COUNTIF($E74:R74,"¶")+COUNTIF($E74:R74,"²")+COUNTIF($E74:R74,"µ")+COUNTIF($E74:R74,1)),
HYPERLINK("#Roadmap!C"&amp; MATCH($E74,Roadmap!$D:$D,0)+COUNTIF($E74:R74,"u")+COUNTIF($E74:R74,"t"),
     INDEX(Roadmap!$D:$K,MATCH($E74,Roadmap!$D:$D,0)+COUNTIF($E74:R74,"u")+COUNTIF($E74:R74,"t")+COUNTIF($E74:R74,"¶")+COUNTIF($E74:R74,"²")+COUNTIF($E74:R74,"µ")+COUNTIF($E74:R74,1),ColTypeEcheance)),
  IF(LEN(R74)=1,
  IF(LEN(INDEX(Roadmap!$D:$K,MATCH($E74,Roadmap!$D:$D,0)-1+COUNTIF($E74:R74,"u")+COUNTIF($E74:R74,"t")+COUNTIF($E74:R74,"¶")+COUNTIF($E74:R74,"²")+COUNTIF($E74:R74,"µ")+COUNTIF($E74:R74,1),ColDescriptionCourte))&gt;1,
HYPERLINK("#Roadmap!C"&amp; MATCH($E74,Roadmap!$D:$D,0)+COUNTIF($E74:R74,"u")+COUNTIF($E74:R74,"t")+COUNTIF($E74:R74,"¶")+COUNTIF($E74:R74,"²")+COUNTIF($E74:R74,"µ")+COUNTIF($E74:R74,1)-1,INDEX(Roadmap!$D:$K,MATCH($E74,Roadmap!$D:$D,0)-1+COUNTIF($E74:R74,"u")+COUNTIF($E74:R74,"t")+COUNTIF($E74:R74,"¶")+COUNTIF($E74:R74,"²")+COUNTIF($E74:R74,"µ")+COUNTIF($E74:R74,1),ColDescriptionCourte)),""),
  "")),"")</f>
        <v/>
      </c>
      <c r="T74" s="40" t="str">
        <f ca="1">IFERROR(IF(AND(
  INDEX(Roadmap!$D:$K,MATCH($E74,Roadmap!$D:$D,0)+COUNTIF($E74:S74,"u")+COUNTIF($E74:S74,"t")+COUNTIF($E74:S74,"¶")+COUNTIF($E74:S74,"²")+COUNTIF($E74:S74,"µ")+COUNTIF($E74:S74,1),ColLivraison)=T$6,
  VLOOKUP($E74,INDIRECT("tri!"&amp; CHAR(64+ C0Col) &amp;":"&amp; CHAR(65+C0Col)),2,FALSE)&gt;COUNTIF($E74:S74,"u")+COUNTIF($E74:S74,"t")+COUNTIF($E74:S74,"¶")+COUNTIF($E74:S74,"²")+COUNTIF($E74:S74,"µ")+COUNTIF($E74:S74,1)),
HYPERLINK("#Roadmap!C"&amp; MATCH($E74,Roadmap!$D:$D,0)+COUNTIF($E74:S74,"u")+COUNTIF($E74:S74,"t"),
     INDEX(Roadmap!$D:$K,MATCH($E74,Roadmap!$D:$D,0)+COUNTIF($E74:S74,"u")+COUNTIF($E74:S74,"t")+COUNTIF($E74:S74,"¶")+COUNTIF($E74:S74,"²")+COUNTIF($E74:S74,"µ")+COUNTIF($E74:S74,1),ColTypeEcheance)),
  IF(LEN(S74)=1,
  IF(LEN(INDEX(Roadmap!$D:$K,MATCH($E74,Roadmap!$D:$D,0)-1+COUNTIF($E74:S74,"u")+COUNTIF($E74:S74,"t")+COUNTIF($E74:S74,"¶")+COUNTIF($E74:S74,"²")+COUNTIF($E74:S74,"µ")+COUNTIF($E74:S74,1),ColDescriptionCourte))&gt;1,
HYPERLINK("#Roadmap!C"&amp; MATCH($E74,Roadmap!$D:$D,0)+COUNTIF($E74:S74,"u")+COUNTIF($E74:S74,"t")+COUNTIF($E74:S74,"¶")+COUNTIF($E74:S74,"²")+COUNTIF($E74:S74,"µ")+COUNTIF($E74:S74,1)-1,INDEX(Roadmap!$D:$K,MATCH($E74,Roadmap!$D:$D,0)-1+COUNTIF($E74:S74,"u")+COUNTIF($E74:S74,"t")+COUNTIF($E74:S74,"¶")+COUNTIF($E74:S74,"²")+COUNTIF($E74:S74,"µ")+COUNTIF($E74:S74,1),ColDescriptionCourte)),""),
  "")),"")</f>
        <v/>
      </c>
      <c r="U74" s="40" t="str">
        <f ca="1">IFERROR(IF(AND(
  INDEX(Roadmap!$D:$K,MATCH($E74,Roadmap!$D:$D,0)+COUNTIF($E74:T74,"u")+COUNTIF($E74:T74,"t")+COUNTIF($E74:T74,"¶")+COUNTIF($E74:T74,"²")+COUNTIF($E74:T74,"µ")+COUNTIF($E74:T74,1),ColLivraison)=U$6,
  VLOOKUP($E74,INDIRECT("tri!"&amp; CHAR(64+ C0Col) &amp;":"&amp; CHAR(65+C0Col)),2,FALSE)&gt;COUNTIF($E74:T74,"u")+COUNTIF($E74:T74,"t")+COUNTIF($E74:T74,"¶")+COUNTIF($E74:T74,"²")+COUNTIF($E74:T74,"µ")+COUNTIF($E74:T74,1)),
HYPERLINK("#Roadmap!C"&amp; MATCH($E74,Roadmap!$D:$D,0)+COUNTIF($E74:T74,"u")+COUNTIF($E74:T74,"t"),
     INDEX(Roadmap!$D:$K,MATCH($E74,Roadmap!$D:$D,0)+COUNTIF($E74:T74,"u")+COUNTIF($E74:T74,"t")+COUNTIF($E74:T74,"¶")+COUNTIF($E74:T74,"²")+COUNTIF($E74:T74,"µ")+COUNTIF($E74:T74,1),ColTypeEcheance)),
  IF(LEN(T74)=1,
  IF(LEN(INDEX(Roadmap!$D:$K,MATCH($E74,Roadmap!$D:$D,0)-1+COUNTIF($E74:T74,"u")+COUNTIF($E74:T74,"t")+COUNTIF($E74:T74,"¶")+COUNTIF($E74:T74,"²")+COUNTIF($E74:T74,"µ")+COUNTIF($E74:T74,1),ColDescriptionCourte))&gt;1,
HYPERLINK("#Roadmap!C"&amp; MATCH($E74,Roadmap!$D:$D,0)+COUNTIF($E74:T74,"u")+COUNTIF($E74:T74,"t")+COUNTIF($E74:T74,"¶")+COUNTIF($E74:T74,"²")+COUNTIF($E74:T74,"µ")+COUNTIF($E74:T74,1)-1,INDEX(Roadmap!$D:$K,MATCH($E74,Roadmap!$D:$D,0)-1+COUNTIF($E74:T74,"u")+COUNTIF($E74:T74,"t")+COUNTIF($E74:T74,"¶")+COUNTIF($E74:T74,"²")+COUNTIF($E74:T74,"µ")+COUNTIF($E74:T74,1),ColDescriptionCourte)),""),
  "")),"")</f>
        <v/>
      </c>
      <c r="V74" s="40" t="str">
        <f ca="1">IFERROR(IF(AND(
  INDEX(Roadmap!$D:$K,MATCH($E74,Roadmap!$D:$D,0)+COUNTIF($E74:U74,"u")+COUNTIF($E74:U74,"t")+COUNTIF($E74:U74,"¶")+COUNTIF($E74:U74,"²")+COUNTIF($E74:U74,"µ")+COUNTIF($E74:U74,1),ColLivraison)=V$6,
  VLOOKUP($E74,INDIRECT("tri!"&amp; CHAR(64+ C0Col) &amp;":"&amp; CHAR(65+C0Col)),2,FALSE)&gt;COUNTIF($E74:U74,"u")+COUNTIF($E74:U74,"t")+COUNTIF($E74:U74,"¶")+COUNTIF($E74:U74,"²")+COUNTIF($E74:U74,"µ")+COUNTIF($E74:U74,1)),
HYPERLINK("#Roadmap!C"&amp; MATCH($E74,Roadmap!$D:$D,0)+COUNTIF($E74:U74,"u")+COUNTIF($E74:U74,"t"),
     INDEX(Roadmap!$D:$K,MATCH($E74,Roadmap!$D:$D,0)+COUNTIF($E74:U74,"u")+COUNTIF($E74:U74,"t")+COUNTIF($E74:U74,"¶")+COUNTIF($E74:U74,"²")+COUNTIF($E74:U74,"µ")+COUNTIF($E74:U74,1),ColTypeEcheance)),
  IF(LEN(U74)=1,
  IF(LEN(INDEX(Roadmap!$D:$K,MATCH($E74,Roadmap!$D:$D,0)-1+COUNTIF($E74:U74,"u")+COUNTIF($E74:U74,"t")+COUNTIF($E74:U74,"¶")+COUNTIF($E74:U74,"²")+COUNTIF($E74:U74,"µ")+COUNTIF($E74:U74,1),ColDescriptionCourte))&gt;1,
HYPERLINK("#Roadmap!C"&amp; MATCH($E74,Roadmap!$D:$D,0)+COUNTIF($E74:U74,"u")+COUNTIF($E74:U74,"t")+COUNTIF($E74:U74,"¶")+COUNTIF($E74:U74,"²")+COUNTIF($E74:U74,"µ")+COUNTIF($E74:U74,1)-1,INDEX(Roadmap!$D:$K,MATCH($E74,Roadmap!$D:$D,0)-1+COUNTIF($E74:U74,"u")+COUNTIF($E74:U74,"t")+COUNTIF($E74:U74,"¶")+COUNTIF($E74:U74,"²")+COUNTIF($E74:U74,"µ")+COUNTIF($E74:U74,1),ColDescriptionCourte)),""),
  "")),"")</f>
        <v/>
      </c>
      <c r="W74" s="40" t="str">
        <f ca="1">IFERROR(IF(AND(
  INDEX(Roadmap!$D:$K,MATCH($E74,Roadmap!$D:$D,0)+COUNTIF($E74:V74,"u")+COUNTIF($E74:V74,"t")+COUNTIF($E74:V74,"¶")+COUNTIF($E74:V74,"²")+COUNTIF($E74:V74,"µ")+COUNTIF($E74:V74,1),ColLivraison)=W$6,
  VLOOKUP($E74,INDIRECT("tri!"&amp; CHAR(64+ C0Col) &amp;":"&amp; CHAR(65+C0Col)),2,FALSE)&gt;COUNTIF($E74:V74,"u")+COUNTIF($E74:V74,"t")+COUNTIF($E74:V74,"¶")+COUNTIF($E74:V74,"²")+COUNTIF($E74:V74,"µ")+COUNTIF($E74:V74,1)),
HYPERLINK("#Roadmap!C"&amp; MATCH($E74,Roadmap!$D:$D,0)+COUNTIF($E74:V74,"u")+COUNTIF($E74:V74,"t"),
     INDEX(Roadmap!$D:$K,MATCH($E74,Roadmap!$D:$D,0)+COUNTIF($E74:V74,"u")+COUNTIF($E74:V74,"t")+COUNTIF($E74:V74,"¶")+COUNTIF($E74:V74,"²")+COUNTIF($E74:V74,"µ")+COUNTIF($E74:V74,1),ColTypeEcheance)),
  IF(LEN(V74)=1,
  IF(LEN(INDEX(Roadmap!$D:$K,MATCH($E74,Roadmap!$D:$D,0)-1+COUNTIF($E74:V74,"u")+COUNTIF($E74:V74,"t")+COUNTIF($E74:V74,"¶")+COUNTIF($E74:V74,"²")+COUNTIF($E74:V74,"µ")+COUNTIF($E74:V74,1),ColDescriptionCourte))&gt;1,
HYPERLINK("#Roadmap!C"&amp; MATCH($E74,Roadmap!$D:$D,0)+COUNTIF($E74:V74,"u")+COUNTIF($E74:V74,"t")+COUNTIF($E74:V74,"¶")+COUNTIF($E74:V74,"²")+COUNTIF($E74:V74,"µ")+COUNTIF($E74:V74,1)-1,INDEX(Roadmap!$D:$K,MATCH($E74,Roadmap!$D:$D,0)-1+COUNTIF($E74:V74,"u")+COUNTIF($E74:V74,"t")+COUNTIF($E74:V74,"¶")+COUNTIF($E74:V74,"²")+COUNTIF($E74:V74,"µ")+COUNTIF($E74:V74,1),ColDescriptionCourte)),""),
  "")),"")</f>
        <v/>
      </c>
      <c r="X74" s="40" t="str">
        <f ca="1">IFERROR(IF(AND(
  INDEX(Roadmap!$D:$K,MATCH($E74,Roadmap!$D:$D,0)+COUNTIF($E74:W74,"u")+COUNTIF($E74:W74,"t")+COUNTIF($E74:W74,"¶")+COUNTIF($E74:W74,"²")+COUNTIF($E74:W74,"µ")+COUNTIF($E74:W74,1),ColLivraison)=X$6,
  VLOOKUP($E74,INDIRECT("tri!"&amp; CHAR(64+ C0Col) &amp;":"&amp; CHAR(65+C0Col)),2,FALSE)&gt;COUNTIF($E74:W74,"u")+COUNTIF($E74:W74,"t")+COUNTIF($E74:W74,"¶")+COUNTIF($E74:W74,"²")+COUNTIF($E74:W74,"µ")+COUNTIF($E74:W74,1)),
HYPERLINK("#Roadmap!C"&amp; MATCH($E74,Roadmap!$D:$D,0)+COUNTIF($E74:W74,"u")+COUNTIF($E74:W74,"t"),
     INDEX(Roadmap!$D:$K,MATCH($E74,Roadmap!$D:$D,0)+COUNTIF($E74:W74,"u")+COUNTIF($E74:W74,"t")+COUNTIF($E74:W74,"¶")+COUNTIF($E74:W74,"²")+COUNTIF($E74:W74,"µ")+COUNTIF($E74:W74,1),ColTypeEcheance)),
  IF(LEN(W74)=1,
  IF(LEN(INDEX(Roadmap!$D:$K,MATCH($E74,Roadmap!$D:$D,0)-1+COUNTIF($E74:W74,"u")+COUNTIF($E74:W74,"t")+COUNTIF($E74:W74,"¶")+COUNTIF($E74:W74,"²")+COUNTIF($E74:W74,"µ")+COUNTIF($E74:W74,1),ColDescriptionCourte))&gt;1,
HYPERLINK("#Roadmap!C"&amp; MATCH($E74,Roadmap!$D:$D,0)+COUNTIF($E74:W74,"u")+COUNTIF($E74:W74,"t")+COUNTIF($E74:W74,"¶")+COUNTIF($E74:W74,"²")+COUNTIF($E74:W74,"µ")+COUNTIF($E74:W74,1)-1,INDEX(Roadmap!$D:$K,MATCH($E74,Roadmap!$D:$D,0)-1+COUNTIF($E74:W74,"u")+COUNTIF($E74:W74,"t")+COUNTIF($E74:W74,"¶")+COUNTIF($E74:W74,"²")+COUNTIF($E74:W74,"µ")+COUNTIF($E74:W74,1),ColDescriptionCourte)),""),
  "")),"")</f>
        <v/>
      </c>
      <c r="Y74" s="40" t="str">
        <f ca="1">IFERROR(IF(AND(
  INDEX(Roadmap!$D:$K,MATCH($E74,Roadmap!$D:$D,0)+COUNTIF($E74:X74,"u")+COUNTIF($E74:X74,"t")+COUNTIF($E74:X74,"¶")+COUNTIF($E74:X74,"²")+COUNTIF($E74:X74,"µ")+COUNTIF($E74:X74,1),ColLivraison)=Y$6,
  VLOOKUP($E74,INDIRECT("tri!"&amp; CHAR(64+ C0Col) &amp;":"&amp; CHAR(65+C0Col)),2,FALSE)&gt;COUNTIF($E74:X74,"u")+COUNTIF($E74:X74,"t")+COUNTIF($E74:X74,"¶")+COUNTIF($E74:X74,"²")+COUNTIF($E74:X74,"µ")+COUNTIF($E74:X74,1)),
HYPERLINK("#Roadmap!C"&amp; MATCH($E74,Roadmap!$D:$D,0)+COUNTIF($E74:X74,"u")+COUNTIF($E74:X74,"t"),
     INDEX(Roadmap!$D:$K,MATCH($E74,Roadmap!$D:$D,0)+COUNTIF($E74:X74,"u")+COUNTIF($E74:X74,"t")+COUNTIF($E74:X74,"¶")+COUNTIF($E74:X74,"²")+COUNTIF($E74:X74,"µ")+COUNTIF($E74:X74,1),ColTypeEcheance)),
  IF(LEN(X74)=1,
  IF(LEN(INDEX(Roadmap!$D:$K,MATCH($E74,Roadmap!$D:$D,0)-1+COUNTIF($E74:X74,"u")+COUNTIF($E74:X74,"t")+COUNTIF($E74:X74,"¶")+COUNTIF($E74:X74,"²")+COUNTIF($E74:X74,"µ")+COUNTIF($E74:X74,1),ColDescriptionCourte))&gt;1,
HYPERLINK("#Roadmap!C"&amp; MATCH($E74,Roadmap!$D:$D,0)+COUNTIF($E74:X74,"u")+COUNTIF($E74:X74,"t")+COUNTIF($E74:X74,"¶")+COUNTIF($E74:X74,"²")+COUNTIF($E74:X74,"µ")+COUNTIF($E74:X74,1)-1,INDEX(Roadmap!$D:$K,MATCH($E74,Roadmap!$D:$D,0)-1+COUNTIF($E74:X74,"u")+COUNTIF($E74:X74,"t")+COUNTIF($E74:X74,"¶")+COUNTIF($E74:X74,"²")+COUNTIF($E74:X74,"µ")+COUNTIF($E74:X74,1),ColDescriptionCourte)),""),
  "")),"")</f>
        <v/>
      </c>
      <c r="Z74" s="40" t="str">
        <f ca="1">IFERROR(IF(AND(
  INDEX(Roadmap!$D:$K,MATCH($E74,Roadmap!$D:$D,0)+COUNTIF($E74:Y74,"u")+COUNTIF($E74:Y74,"t")+COUNTIF($E74:Y74,"¶")+COUNTIF($E74:Y74,"²")+COUNTIF($E74:Y74,"µ")+COUNTIF($E74:Y74,1),ColLivraison)=Z$6,
  VLOOKUP($E74,INDIRECT("tri!"&amp; CHAR(64+ C0Col) &amp;":"&amp; CHAR(65+C0Col)),2,FALSE)&gt;COUNTIF($E74:Y74,"u")+COUNTIF($E74:Y74,"t")+COUNTIF($E74:Y74,"¶")+COUNTIF($E74:Y74,"²")+COUNTIF($E74:Y74,"µ")+COUNTIF($E74:Y74,1)),
HYPERLINK("#Roadmap!C"&amp; MATCH($E74,Roadmap!$D:$D,0)+COUNTIF($E74:Y74,"u")+COUNTIF($E74:Y74,"t"),
     INDEX(Roadmap!$D:$K,MATCH($E74,Roadmap!$D:$D,0)+COUNTIF($E74:Y74,"u")+COUNTIF($E74:Y74,"t")+COUNTIF($E74:Y74,"¶")+COUNTIF($E74:Y74,"²")+COUNTIF($E74:Y74,"µ")+COUNTIF($E74:Y74,1),ColTypeEcheance)),
  IF(LEN(Y74)=1,
  IF(LEN(INDEX(Roadmap!$D:$K,MATCH($E74,Roadmap!$D:$D,0)-1+COUNTIF($E74:Y74,"u")+COUNTIF($E74:Y74,"t")+COUNTIF($E74:Y74,"¶")+COUNTIF($E74:Y74,"²")+COUNTIF($E74:Y74,"µ")+COUNTIF($E74:Y74,1),ColDescriptionCourte))&gt;1,
HYPERLINK("#Roadmap!C"&amp; MATCH($E74,Roadmap!$D:$D,0)+COUNTIF($E74:Y74,"u")+COUNTIF($E74:Y74,"t")+COUNTIF($E74:Y74,"¶")+COUNTIF($E74:Y74,"²")+COUNTIF($E74:Y74,"µ")+COUNTIF($E74:Y74,1)-1,INDEX(Roadmap!$D:$K,MATCH($E74,Roadmap!$D:$D,0)-1+COUNTIF($E74:Y74,"u")+COUNTIF($E74:Y74,"t")+COUNTIF($E74:Y74,"¶")+COUNTIF($E74:Y74,"²")+COUNTIF($E74:Y74,"µ")+COUNTIF($E74:Y74,1),ColDescriptionCourte)),""),
  "")),"")</f>
        <v/>
      </c>
      <c r="AA74" s="40" t="str">
        <f ca="1">IFERROR(IF(AND(
  INDEX(Roadmap!$D:$K,MATCH($E74,Roadmap!$D:$D,0)+COUNTIF($E74:Z74,"u")+COUNTIF($E74:Z74,"t")+COUNTIF($E74:Z74,"¶")+COUNTIF($E74:Z74,"²")+COUNTIF($E74:Z74,"µ")+COUNTIF($E74:Z74,1),ColLivraison)=AA$6,
  VLOOKUP($E74,INDIRECT("tri!"&amp; CHAR(64+ C0Col) &amp;":"&amp; CHAR(65+C0Col)),2,FALSE)&gt;COUNTIF($E74:Z74,"u")+COUNTIF($E74:Z74,"t")+COUNTIF($E74:Z74,"¶")+COUNTIF($E74:Z74,"²")+COUNTIF($E74:Z74,"µ")+COUNTIF($E74:Z74,1)),
HYPERLINK("#Roadmap!C"&amp; MATCH($E74,Roadmap!$D:$D,0)+COUNTIF($E74:Z74,"u")+COUNTIF($E74:Z74,"t"),
     INDEX(Roadmap!$D:$K,MATCH($E74,Roadmap!$D:$D,0)+COUNTIF($E74:Z74,"u")+COUNTIF($E74:Z74,"t")+COUNTIF($E74:Z74,"¶")+COUNTIF($E74:Z74,"²")+COUNTIF($E74:Z74,"µ")+COUNTIF($E74:Z74,1),ColTypeEcheance)),
  IF(LEN(Z74)=1,
  IF(LEN(INDEX(Roadmap!$D:$K,MATCH($E74,Roadmap!$D:$D,0)-1+COUNTIF($E74:Z74,"u")+COUNTIF($E74:Z74,"t")+COUNTIF($E74:Z74,"¶")+COUNTIF($E74:Z74,"²")+COUNTIF($E74:Z74,"µ")+COUNTIF($E74:Z74,1),ColDescriptionCourte))&gt;1,
HYPERLINK("#Roadmap!C"&amp; MATCH($E74,Roadmap!$D:$D,0)+COUNTIF($E74:Z74,"u")+COUNTIF($E74:Z74,"t")+COUNTIF($E74:Z74,"¶")+COUNTIF($E74:Z74,"²")+COUNTIF($E74:Z74,"µ")+COUNTIF($E74:Z74,1)-1,INDEX(Roadmap!$D:$K,MATCH($E74,Roadmap!$D:$D,0)-1+COUNTIF($E74:Z74,"u")+COUNTIF($E74:Z74,"t")+COUNTIF($E74:Z74,"¶")+COUNTIF($E74:Z74,"²")+COUNTIF($E74:Z74,"µ")+COUNTIF($E74:Z74,1),ColDescriptionCourte)),""),
  "")),"")</f>
        <v/>
      </c>
      <c r="AB74" s="40" t="str">
        <f ca="1">IFERROR(IF(AND(
  INDEX(Roadmap!$D:$K,MATCH($E74,Roadmap!$D:$D,0)+COUNTIF($E74:AA74,"u")+COUNTIF($E74:AA74,"t")+COUNTIF($E74:AA74,"¶")+COUNTIF($E74:AA74,"²")+COUNTIF($E74:AA74,"µ")+COUNTIF($E74:AA74,1),ColLivraison)=AB$6,
  VLOOKUP($E74,INDIRECT("tri!"&amp; CHAR(64+ C0Col) &amp;":"&amp; CHAR(65+C0Col)),2,FALSE)&gt;COUNTIF($E74:AA74,"u")+COUNTIF($E74:AA74,"t")+COUNTIF($E74:AA74,"¶")+COUNTIF($E74:AA74,"²")+COUNTIF($E74:AA74,"µ")+COUNTIF($E74:AA74,1)),
HYPERLINK("#Roadmap!C"&amp; MATCH($E74,Roadmap!$D:$D,0)+COUNTIF($E74:AA74,"u")+COUNTIF($E74:AA74,"t"),
     INDEX(Roadmap!$D:$K,MATCH($E74,Roadmap!$D:$D,0)+COUNTIF($E74:AA74,"u")+COUNTIF($E74:AA74,"t")+COUNTIF($E74:AA74,"¶")+COUNTIF($E74:AA74,"²")+COUNTIF($E74:AA74,"µ")+COUNTIF($E74:AA74,1),ColTypeEcheance)),
  IF(LEN(AA74)=1,
  IF(LEN(INDEX(Roadmap!$D:$K,MATCH($E74,Roadmap!$D:$D,0)-1+COUNTIF($E74:AA74,"u")+COUNTIF($E74:AA74,"t")+COUNTIF($E74:AA74,"¶")+COUNTIF($E74:AA74,"²")+COUNTIF($E74:AA74,"µ")+COUNTIF($E74:AA74,1),ColDescriptionCourte))&gt;1,
HYPERLINK("#Roadmap!C"&amp; MATCH($E74,Roadmap!$D:$D,0)+COUNTIF($E74:AA74,"u")+COUNTIF($E74:AA74,"t")+COUNTIF($E74:AA74,"¶")+COUNTIF($E74:AA74,"²")+COUNTIF($E74:AA74,"µ")+COUNTIF($E74:AA74,1)-1,INDEX(Roadmap!$D:$K,MATCH($E74,Roadmap!$D:$D,0)-1+COUNTIF($E74:AA74,"u")+COUNTIF($E74:AA74,"t")+COUNTIF($E74:AA74,"¶")+COUNTIF($E74:AA74,"²")+COUNTIF($E74:AA74,"µ")+COUNTIF($E74:AA74,1),ColDescriptionCourte)),""),
  "")),"")</f>
        <v/>
      </c>
      <c r="AC74" s="40" t="str">
        <f ca="1">IFERROR(IF(AND(
  INDEX(Roadmap!$D:$K,MATCH($E74,Roadmap!$D:$D,0)+COUNTIF($E74:AB74,"u")+COUNTIF($E74:AB74,"t")+COUNTIF($E74:AB74,"¶")+COUNTIF($E74:AB74,"²")+COUNTIF($E74:AB74,"µ")+COUNTIF($E74:AB74,1),ColLivraison)=AC$6,
  VLOOKUP($E74,INDIRECT("tri!"&amp; CHAR(64+ C0Col) &amp;":"&amp; CHAR(65+C0Col)),2,FALSE)&gt;COUNTIF($E74:AB74,"u")+COUNTIF($E74:AB74,"t")+COUNTIF($E74:AB74,"¶")+COUNTIF($E74:AB74,"²")+COUNTIF($E74:AB74,"µ")+COUNTIF($E74:AB74,1)),
HYPERLINK("#Roadmap!C"&amp; MATCH($E74,Roadmap!$D:$D,0)+COUNTIF($E74:AB74,"u")+COUNTIF($E74:AB74,"t"),
     INDEX(Roadmap!$D:$K,MATCH($E74,Roadmap!$D:$D,0)+COUNTIF($E74:AB74,"u")+COUNTIF($E74:AB74,"t")+COUNTIF($E74:AB74,"¶")+COUNTIF($E74:AB74,"²")+COUNTIF($E74:AB74,"µ")+COUNTIF($E74:AB74,1),ColTypeEcheance)),
  IF(LEN(AB74)=1,
  IF(LEN(INDEX(Roadmap!$D:$K,MATCH($E74,Roadmap!$D:$D,0)-1+COUNTIF($E74:AB74,"u")+COUNTIF($E74:AB74,"t")+COUNTIF($E74:AB74,"¶")+COUNTIF($E74:AB74,"²")+COUNTIF($E74:AB74,"µ")+COUNTIF($E74:AB74,1),ColDescriptionCourte))&gt;1,
HYPERLINK("#Roadmap!C"&amp; MATCH($E74,Roadmap!$D:$D,0)+COUNTIF($E74:AB74,"u")+COUNTIF($E74:AB74,"t")+COUNTIF($E74:AB74,"¶")+COUNTIF($E74:AB74,"²")+COUNTIF($E74:AB74,"µ")+COUNTIF($E74:AB74,1)-1,INDEX(Roadmap!$D:$K,MATCH($E74,Roadmap!$D:$D,0)-1+COUNTIF($E74:AB74,"u")+COUNTIF($E74:AB74,"t")+COUNTIF($E74:AB74,"¶")+COUNTIF($E74:AB74,"²")+COUNTIF($E74:AB74,"µ")+COUNTIF($E74:AB74,1),ColDescriptionCourte)),""),
  "")),"")</f>
        <v/>
      </c>
      <c r="AD74" s="40" t="str">
        <f ca="1">IFERROR(IF(AND(
  INDEX(Roadmap!$D:$K,MATCH($E74,Roadmap!$D:$D,0)+COUNTIF($E74:AC74,"u")+COUNTIF($E74:AC74,"t")+COUNTIF($E74:AC74,"¶")+COUNTIF($E74:AC74,"²")+COUNTIF($E74:AC74,"µ")+COUNTIF($E74:AC74,1),ColLivraison)=AD$6,
  VLOOKUP($E74,INDIRECT("tri!"&amp; CHAR(64+ C0Col) &amp;":"&amp; CHAR(65+C0Col)),2,FALSE)&gt;COUNTIF($E74:AC74,"u")+COUNTIF($E74:AC74,"t")+COUNTIF($E74:AC74,"¶")+COUNTIF($E74:AC74,"²")+COUNTIF($E74:AC74,"µ")+COUNTIF($E74:AC74,1)),
HYPERLINK("#Roadmap!C"&amp; MATCH($E74,Roadmap!$D:$D,0)+COUNTIF($E74:AC74,"u")+COUNTIF($E74:AC74,"t"),
     INDEX(Roadmap!$D:$K,MATCH($E74,Roadmap!$D:$D,0)+COUNTIF($E74:AC74,"u")+COUNTIF($E74:AC74,"t")+COUNTIF($E74:AC74,"¶")+COUNTIF($E74:AC74,"²")+COUNTIF($E74:AC74,"µ")+COUNTIF($E74:AC74,1),ColTypeEcheance)),
  IF(LEN(AC74)=1,
  IF(LEN(INDEX(Roadmap!$D:$K,MATCH($E74,Roadmap!$D:$D,0)-1+COUNTIF($E74:AC74,"u")+COUNTIF($E74:AC74,"t")+COUNTIF($E74:AC74,"¶")+COUNTIF($E74:AC74,"²")+COUNTIF($E74:AC74,"µ")+COUNTIF($E74:AC74,1),ColDescriptionCourte))&gt;1,
HYPERLINK("#Roadmap!C"&amp; MATCH($E74,Roadmap!$D:$D,0)+COUNTIF($E74:AC74,"u")+COUNTIF($E74:AC74,"t")+COUNTIF($E74:AC74,"¶")+COUNTIF($E74:AC74,"²")+COUNTIF($E74:AC74,"µ")+COUNTIF($E74:AC74,1)-1,INDEX(Roadmap!$D:$K,MATCH($E74,Roadmap!$D:$D,0)-1+COUNTIF($E74:AC74,"u")+COUNTIF($E74:AC74,"t")+COUNTIF($E74:AC74,"¶")+COUNTIF($E74:AC74,"²")+COUNTIF($E74:AC74,"µ")+COUNTIF($E74:AC74,1),ColDescriptionCourte)),""),
  "")),"")</f>
        <v/>
      </c>
      <c r="AE74" s="40" t="str">
        <f ca="1">IFERROR(IF(AND(
  INDEX(Roadmap!$D:$K,MATCH($E74,Roadmap!$D:$D,0)+COUNTIF($E74:AD74,"u")+COUNTIF($E74:AD74,"t")+COUNTIF($E74:AD74,"¶")+COUNTIF($E74:AD74,"²")+COUNTIF($E74:AD74,"µ")+COUNTIF($E74:AD74,1),ColLivraison)=AE$6,
  VLOOKUP($E74,INDIRECT("tri!"&amp; CHAR(64+ C0Col) &amp;":"&amp; CHAR(65+C0Col)),2,FALSE)&gt;COUNTIF($E74:AD74,"u")+COUNTIF($E74:AD74,"t")+COUNTIF($E74:AD74,"¶")+COUNTIF($E74:AD74,"²")+COUNTIF($E74:AD74,"µ")+COUNTIF($E74:AD74,1)),
HYPERLINK("#Roadmap!C"&amp; MATCH($E74,Roadmap!$D:$D,0)+COUNTIF($E74:AD74,"u")+COUNTIF($E74:AD74,"t"),
     INDEX(Roadmap!$D:$K,MATCH($E74,Roadmap!$D:$D,0)+COUNTIF($E74:AD74,"u")+COUNTIF($E74:AD74,"t")+COUNTIF($E74:AD74,"¶")+COUNTIF($E74:AD74,"²")+COUNTIF($E74:AD74,"µ")+COUNTIF($E74:AD74,1),ColTypeEcheance)),
  IF(LEN(AD74)=1,
  IF(LEN(INDEX(Roadmap!$D:$K,MATCH($E74,Roadmap!$D:$D,0)-1+COUNTIF($E74:AD74,"u")+COUNTIF($E74:AD74,"t")+COUNTIF($E74:AD74,"¶")+COUNTIF($E74:AD74,"²")+COUNTIF($E74:AD74,"µ")+COUNTIF($E74:AD74,1),ColDescriptionCourte))&gt;1,
HYPERLINK("#Roadmap!C"&amp; MATCH($E74,Roadmap!$D:$D,0)+COUNTIF($E74:AD74,"u")+COUNTIF($E74:AD74,"t")+COUNTIF($E74:AD74,"¶")+COUNTIF($E74:AD74,"²")+COUNTIF($E74:AD74,"µ")+COUNTIF($E74:AD74,1)-1,INDEX(Roadmap!$D:$K,MATCH($E74,Roadmap!$D:$D,0)-1+COUNTIF($E74:AD74,"u")+COUNTIF($E74:AD74,"t")+COUNTIF($E74:AD74,"¶")+COUNTIF($E74:AD74,"²")+COUNTIF($E74:AD74,"µ")+COUNTIF($E74:AD74,1),ColDescriptionCourte)),""),
  "")),"")</f>
        <v/>
      </c>
      <c r="AF74" s="40" t="str">
        <f ca="1">IFERROR(IF(AND(
  INDEX(Roadmap!$D:$K,MATCH($E74,Roadmap!$D:$D,0)+COUNTIF($E74:AE74,"u")+COUNTIF($E74:AE74,"t")+COUNTIF($E74:AE74,"¶")+COUNTIF($E74:AE74,"²")+COUNTIF($E74:AE74,"µ")+COUNTIF($E74:AE74,1),ColLivraison)=AF$6,
  VLOOKUP($E74,INDIRECT("tri!"&amp; CHAR(64+ C0Col) &amp;":"&amp; CHAR(65+C0Col)),2,FALSE)&gt;COUNTIF($E74:AE74,"u")+COUNTIF($E74:AE74,"t")+COUNTIF($E74:AE74,"¶")+COUNTIF($E74:AE74,"²")+COUNTIF($E74:AE74,"µ")+COUNTIF($E74:AE74,1)),
HYPERLINK("#Roadmap!C"&amp; MATCH($E74,Roadmap!$D:$D,0)+COUNTIF($E74:AE74,"u")+COUNTIF($E74:AE74,"t"),
     INDEX(Roadmap!$D:$K,MATCH($E74,Roadmap!$D:$D,0)+COUNTIF($E74:AE74,"u")+COUNTIF($E74:AE74,"t")+COUNTIF($E74:AE74,"¶")+COUNTIF($E74:AE74,"²")+COUNTIF($E74:AE74,"µ")+COUNTIF($E74:AE74,1),ColTypeEcheance)),
  IF(LEN(AE74)=1,
  IF(LEN(INDEX(Roadmap!$D:$K,MATCH($E74,Roadmap!$D:$D,0)-1+COUNTIF($E74:AE74,"u")+COUNTIF($E74:AE74,"t")+COUNTIF($E74:AE74,"¶")+COUNTIF($E74:AE74,"²")+COUNTIF($E74:AE74,"µ")+COUNTIF($E74:AE74,1),ColDescriptionCourte))&gt;1,
HYPERLINK("#Roadmap!C"&amp; MATCH($E74,Roadmap!$D:$D,0)+COUNTIF($E74:AE74,"u")+COUNTIF($E74:AE74,"t")+COUNTIF($E74:AE74,"¶")+COUNTIF($E74:AE74,"²")+COUNTIF($E74:AE74,"µ")+COUNTIF($E74:AE74,1)-1,INDEX(Roadmap!$D:$K,MATCH($E74,Roadmap!$D:$D,0)-1+COUNTIF($E74:AE74,"u")+COUNTIF($E74:AE74,"t")+COUNTIF($E74:AE74,"¶")+COUNTIF($E74:AE74,"²")+COUNTIF($E74:AE74,"µ")+COUNTIF($E74:AE74,1),ColDescriptionCourte)),""),
  "")),"")</f>
        <v/>
      </c>
      <c r="AG74" s="40" t="str">
        <f ca="1">IFERROR(IF(AND(
  INDEX(Roadmap!$D:$K,MATCH($E74,Roadmap!$D:$D,0)+COUNTIF($E74:AF74,"u")+COUNTIF($E74:AF74,"t")+COUNTIF($E74:AF74,"¶")+COUNTIF($E74:AF74,"²")+COUNTIF($E74:AF74,"µ")+COUNTIF($E74:AF74,1),ColLivraison)=AG$6,
  VLOOKUP($E74,INDIRECT("tri!"&amp; CHAR(64+ C0Col) &amp;":"&amp; CHAR(65+C0Col)),2,FALSE)&gt;COUNTIF($E74:AF74,"u")+COUNTIF($E74:AF74,"t")+COUNTIF($E74:AF74,"¶")+COUNTIF($E74:AF74,"²")+COUNTIF($E74:AF74,"µ")+COUNTIF($E74:AF74,1)),
HYPERLINK("#Roadmap!C"&amp; MATCH($E74,Roadmap!$D:$D,0)+COUNTIF($E74:AF74,"u")+COUNTIF($E74:AF74,"t"),
     INDEX(Roadmap!$D:$K,MATCH($E74,Roadmap!$D:$D,0)+COUNTIF($E74:AF74,"u")+COUNTIF($E74:AF74,"t")+COUNTIF($E74:AF74,"¶")+COUNTIF($E74:AF74,"²")+COUNTIF($E74:AF74,"µ")+COUNTIF($E74:AF74,1),ColTypeEcheance)),
  IF(LEN(AF74)=1,
  IF(LEN(INDEX(Roadmap!$D:$K,MATCH($E74,Roadmap!$D:$D,0)-1+COUNTIF($E74:AF74,"u")+COUNTIF($E74:AF74,"t")+COUNTIF($E74:AF74,"¶")+COUNTIF($E74:AF74,"²")+COUNTIF($E74:AF74,"µ")+COUNTIF($E74:AF74,1),ColDescriptionCourte))&gt;1,
HYPERLINK("#Roadmap!C"&amp; MATCH($E74,Roadmap!$D:$D,0)+COUNTIF($E74:AF74,"u")+COUNTIF($E74:AF74,"t")+COUNTIF($E74:AF74,"¶")+COUNTIF($E74:AF74,"²")+COUNTIF($E74:AF74,"µ")+COUNTIF($E74:AF74,1)-1,INDEX(Roadmap!$D:$K,MATCH($E74,Roadmap!$D:$D,0)-1+COUNTIF($E74:AF74,"u")+COUNTIF($E74:AF74,"t")+COUNTIF($E74:AF74,"¶")+COUNTIF($E74:AF74,"²")+COUNTIF($E74:AF74,"µ")+COUNTIF($E74:AF74,1),ColDescriptionCourte)),""),
  "")),"")</f>
        <v/>
      </c>
    </row>
    <row r="75" spans="3:33" ht="14.25" customHeight="1">
      <c r="C75" s="1" t="str">
        <f t="shared" ca="1" si="47"/>
        <v/>
      </c>
      <c r="D75" s="1" t="str">
        <f t="shared" ca="1" si="48"/>
        <v/>
      </c>
      <c r="E75" s="35" t="str">
        <f t="shared" ca="1" si="46"/>
        <v/>
      </c>
      <c r="F75" s="39" t="str">
        <f ca="1">IFERROR(IF(AND(
  INDEX(Roadmap!$D:$K,MATCH($E75,Roadmap!$D:$D,0)+COUNTIF($E75:E75,"u")+COUNTIF($E75:E75,"t")+COUNTIF($E75:E75,"¶")+COUNTIF($E75:E75,"²")+COUNTIF($E75:E75,"µ")+COUNTIF($E75:E75,1),ColLivraison)=F$6,
  VLOOKUP($E75,INDIRECT("tri!"&amp; CHAR(64+ C0Col) &amp;":"&amp; CHAR(65+C0Col)),2,FALSE)&gt;COUNTIF($E75:E75,"u")+COUNTIF($E75:E75,"t")+COUNTIF($E75:E75,"¶")+COUNTIF($E75:E75,"²")+COUNTIF($E75:E75,"µ")+COUNTIF($E75:E75,1)),
HYPERLINK("#Roadmap!C"&amp; MATCH($E75,Roadmap!$D:$D,0)+COUNTIF($E75:E75,"u")+COUNTIF($E75:E75,"t"),
     INDEX(Roadmap!$D:$K,MATCH($E75,Roadmap!$D:$D,0)+COUNTIF($E75:E75,"u")+COUNTIF($E75:E75,"t")+COUNTIF($E75:E75,"¶")+COUNTIF($E75:E75,"²")+COUNTIF($E75:E75,"µ")+COUNTIF($E75:E75,1),ColTypeEcheance)),
  IF(LEN(E75)=1,
  IF(LEN(INDEX(Roadmap!$D:$K,MATCH($E75,Roadmap!$D:$D,0)-1+COUNTIF($E75:E75,"u")+COUNTIF($E75:E75,"t")+COUNTIF($E75:E75,"¶")+COUNTIF($E75:E75,"²")+COUNTIF($E75:E75,"µ")+COUNTIF($E75:E75,1),ColDescriptionCourte))&gt;1,
HYPERLINK("#Roadmap!C"&amp; MATCH($E75,Roadmap!$D:$D,0)+COUNTIF($E75:E75,"u")+COUNTIF($E75:E75,"t")+COUNTIF($E75:E75,"¶")+COUNTIF($E75:E75,"²")+COUNTIF($E75:E75,"µ")+COUNTIF($E75:E75,1)-1,INDEX(Roadmap!$D:$K,MATCH($E75,Roadmap!$D:$D,0)-1+COUNTIF($E75:E75,"u")+COUNTIF($E75:E75,"t")+COUNTIF($E75:E75,"¶")+COUNTIF($E75:E75,"²")+COUNTIF($E75:E75,"µ")+COUNTIF($E75:E75,1),ColDescriptionCourte)),""),
  "")),"")</f>
        <v/>
      </c>
      <c r="G75" s="40" t="str">
        <f ca="1">IFERROR(IF(AND(
  INDEX(Roadmap!$D:$K,MATCH($E75,Roadmap!$D:$D,0)+COUNTIF($E75:F75,"u")+COUNTIF($E75:F75,"t")+COUNTIF($E75:F75,"¶")+COUNTIF($E75:F75,"²")+COUNTIF($E75:F75,"µ")+COUNTIF($E75:F75,1),ColLivraison)=G$6,
  VLOOKUP($E75,INDIRECT("tri!"&amp; CHAR(64+ C0Col) &amp;":"&amp; CHAR(65+C0Col)),2,FALSE)&gt;COUNTIF($E75:F75,"u")+COUNTIF($E75:F75,"t")+COUNTIF($E75:F75,"¶")+COUNTIF($E75:F75,"²")+COUNTIF($E75:F75,"µ")+COUNTIF($E75:F75,1)),
HYPERLINK("#Roadmap!C"&amp; MATCH($E75,Roadmap!$D:$D,0)+COUNTIF($E75:F75,"u")+COUNTIF($E75:F75,"t"),
     INDEX(Roadmap!$D:$K,MATCH($E75,Roadmap!$D:$D,0)+COUNTIF($E75:F75,"u")+COUNTIF($E75:F75,"t")+COUNTIF($E75:F75,"¶")+COUNTIF($E75:F75,"²")+COUNTIF($E75:F75,"µ")+COUNTIF($E75:F75,1),ColTypeEcheance)),
  IF(LEN(F75)=1,
  IF(LEN(INDEX(Roadmap!$D:$K,MATCH($E75,Roadmap!$D:$D,0)-1+COUNTIF($E75:F75,"u")+COUNTIF($E75:F75,"t")+COUNTIF($E75:F75,"¶")+COUNTIF($E75:F75,"²")+COUNTIF($E75:F75,"µ")+COUNTIF($E75:F75,1),ColDescriptionCourte))&gt;1,
HYPERLINK("#Roadmap!C"&amp; MATCH($E75,Roadmap!$D:$D,0)+COUNTIF($E75:F75,"u")+COUNTIF($E75:F75,"t")+COUNTIF($E75:F75,"¶")+COUNTIF($E75:F75,"²")+COUNTIF($E75:F75,"µ")+COUNTIF($E75:F75,1)-1,INDEX(Roadmap!$D:$K,MATCH($E75,Roadmap!$D:$D,0)-1+COUNTIF($E75:F75,"u")+COUNTIF($E75:F75,"t")+COUNTIF($E75:F75,"¶")+COUNTIF($E75:F75,"²")+COUNTIF($E75:F75,"µ")+COUNTIF($E75:F75,1),ColDescriptionCourte)),""),
  "")),"")</f>
        <v/>
      </c>
      <c r="H75" s="40" t="str">
        <f ca="1">IFERROR(IF(AND(
  INDEX(Roadmap!$D:$K,MATCH($E75,Roadmap!$D:$D,0)+COUNTIF($E75:G75,"u")+COUNTIF($E75:G75,"t")+COUNTIF($E75:G75,"¶")+COUNTIF($E75:G75,"²")+COUNTIF($E75:G75,"µ")+COUNTIF($E75:G75,1),ColLivraison)=H$6,
  VLOOKUP($E75,INDIRECT("tri!"&amp; CHAR(64+ C0Col) &amp;":"&amp; CHAR(65+C0Col)),2,FALSE)&gt;COUNTIF($E75:G75,"u")+COUNTIF($E75:G75,"t")+COUNTIF($E75:G75,"¶")+COUNTIF($E75:G75,"²")+COUNTIF($E75:G75,"µ")+COUNTIF($E75:G75,1)),
HYPERLINK("#Roadmap!C"&amp; MATCH($E75,Roadmap!$D:$D,0)+COUNTIF($E75:G75,"u")+COUNTIF($E75:G75,"t"),
     INDEX(Roadmap!$D:$K,MATCH($E75,Roadmap!$D:$D,0)+COUNTIF($E75:G75,"u")+COUNTIF($E75:G75,"t")+COUNTIF($E75:G75,"¶")+COUNTIF($E75:G75,"²")+COUNTIF($E75:G75,"µ")+COUNTIF($E75:G75,1),ColTypeEcheance)),
  IF(LEN(G75)=1,
  IF(LEN(INDEX(Roadmap!$D:$K,MATCH($E75,Roadmap!$D:$D,0)-1+COUNTIF($E75:G75,"u")+COUNTIF($E75:G75,"t")+COUNTIF($E75:G75,"¶")+COUNTIF($E75:G75,"²")+COUNTIF($E75:G75,"µ")+COUNTIF($E75:G75,1),ColDescriptionCourte))&gt;1,
HYPERLINK("#Roadmap!C"&amp; MATCH($E75,Roadmap!$D:$D,0)+COUNTIF($E75:G75,"u")+COUNTIF($E75:G75,"t")+COUNTIF($E75:G75,"¶")+COUNTIF($E75:G75,"²")+COUNTIF($E75:G75,"µ")+COUNTIF($E75:G75,1)-1,INDEX(Roadmap!$D:$K,MATCH($E75,Roadmap!$D:$D,0)-1+COUNTIF($E75:G75,"u")+COUNTIF($E75:G75,"t")+COUNTIF($E75:G75,"¶")+COUNTIF($E75:G75,"²")+COUNTIF($E75:G75,"µ")+COUNTIF($E75:G75,1),ColDescriptionCourte)),""),
  "")),"")</f>
        <v/>
      </c>
      <c r="I75" s="40" t="str">
        <f ca="1">IFERROR(IF(AND(
  INDEX(Roadmap!$D:$K,MATCH($E75,Roadmap!$D:$D,0)+COUNTIF($E75:H75,"u")+COUNTIF($E75:H75,"t")+COUNTIF($E75:H75,"¶")+COUNTIF($E75:H75,"²")+COUNTIF($E75:H75,"µ")+COUNTIF($E75:H75,1),ColLivraison)=I$6,
  VLOOKUP($E75,INDIRECT("tri!"&amp; CHAR(64+ C0Col) &amp;":"&amp; CHAR(65+C0Col)),2,FALSE)&gt;COUNTIF($E75:H75,"u")+COUNTIF($E75:H75,"t")+COUNTIF($E75:H75,"¶")+COUNTIF($E75:H75,"²")+COUNTIF($E75:H75,"µ")+COUNTIF($E75:H75,1)),
HYPERLINK("#Roadmap!C"&amp; MATCH($E75,Roadmap!$D:$D,0)+COUNTIF($E75:H75,"u")+COUNTIF($E75:H75,"t"),
     INDEX(Roadmap!$D:$K,MATCH($E75,Roadmap!$D:$D,0)+COUNTIF($E75:H75,"u")+COUNTIF($E75:H75,"t")+COUNTIF($E75:H75,"¶")+COUNTIF($E75:H75,"²")+COUNTIF($E75:H75,"µ")+COUNTIF($E75:H75,1),ColTypeEcheance)),
  IF(LEN(H75)=1,
  IF(LEN(INDEX(Roadmap!$D:$K,MATCH($E75,Roadmap!$D:$D,0)-1+COUNTIF($E75:H75,"u")+COUNTIF($E75:H75,"t")+COUNTIF($E75:H75,"¶")+COUNTIF($E75:H75,"²")+COUNTIF($E75:H75,"µ")+COUNTIF($E75:H75,1),ColDescriptionCourte))&gt;1,
HYPERLINK("#Roadmap!C"&amp; MATCH($E75,Roadmap!$D:$D,0)+COUNTIF($E75:H75,"u")+COUNTIF($E75:H75,"t")+COUNTIF($E75:H75,"¶")+COUNTIF($E75:H75,"²")+COUNTIF($E75:H75,"µ")+COUNTIF($E75:H75,1)-1,INDEX(Roadmap!$D:$K,MATCH($E75,Roadmap!$D:$D,0)-1+COUNTIF($E75:H75,"u")+COUNTIF($E75:H75,"t")+COUNTIF($E75:H75,"¶")+COUNTIF($E75:H75,"²")+COUNTIF($E75:H75,"µ")+COUNTIF($E75:H75,1),ColDescriptionCourte)),""),
  "")),"")</f>
        <v/>
      </c>
      <c r="J75" s="40" t="str">
        <f ca="1">IFERROR(IF(AND(
  INDEX(Roadmap!$D:$K,MATCH($E75,Roadmap!$D:$D,0)+COUNTIF($E75:I75,"u")+COUNTIF($E75:I75,"t")+COUNTIF($E75:I75,"¶")+COUNTIF($E75:I75,"²")+COUNTIF($E75:I75,"µ")+COUNTIF($E75:I75,1),ColLivraison)=J$6,
  VLOOKUP($E75,INDIRECT("tri!"&amp; CHAR(64+ C0Col) &amp;":"&amp; CHAR(65+C0Col)),2,FALSE)&gt;COUNTIF($E75:I75,"u")+COUNTIF($E75:I75,"t")+COUNTIF($E75:I75,"¶")+COUNTIF($E75:I75,"²")+COUNTIF($E75:I75,"µ")+COUNTIF($E75:I75,1)),
HYPERLINK("#Roadmap!C"&amp; MATCH($E75,Roadmap!$D:$D,0)+COUNTIF($E75:I75,"u")+COUNTIF($E75:I75,"t"),
     INDEX(Roadmap!$D:$K,MATCH($E75,Roadmap!$D:$D,0)+COUNTIF($E75:I75,"u")+COUNTIF($E75:I75,"t")+COUNTIF($E75:I75,"¶")+COUNTIF($E75:I75,"²")+COUNTIF($E75:I75,"µ")+COUNTIF($E75:I75,1),ColTypeEcheance)),
  IF(LEN(I75)=1,
  IF(LEN(INDEX(Roadmap!$D:$K,MATCH($E75,Roadmap!$D:$D,0)-1+COUNTIF($E75:I75,"u")+COUNTIF($E75:I75,"t")+COUNTIF($E75:I75,"¶")+COUNTIF($E75:I75,"²")+COUNTIF($E75:I75,"µ")+COUNTIF($E75:I75,1),ColDescriptionCourte))&gt;1,
HYPERLINK("#Roadmap!C"&amp; MATCH($E75,Roadmap!$D:$D,0)+COUNTIF($E75:I75,"u")+COUNTIF($E75:I75,"t")+COUNTIF($E75:I75,"¶")+COUNTIF($E75:I75,"²")+COUNTIF($E75:I75,"µ")+COUNTIF($E75:I75,1)-1,INDEX(Roadmap!$D:$K,MATCH($E75,Roadmap!$D:$D,0)-1+COUNTIF($E75:I75,"u")+COUNTIF($E75:I75,"t")+COUNTIF($E75:I75,"¶")+COUNTIF($E75:I75,"²")+COUNTIF($E75:I75,"µ")+COUNTIF($E75:I75,1),ColDescriptionCourte)),""),
  "")),"")</f>
        <v/>
      </c>
      <c r="K75" s="40" t="str">
        <f ca="1">IFERROR(IF(AND(
  INDEX(Roadmap!$D:$K,MATCH($E75,Roadmap!$D:$D,0)+COUNTIF($E75:J75,"u")+COUNTIF($E75:J75,"t")+COUNTIF($E75:J75,"¶")+COUNTIF($E75:J75,"²")+COUNTIF($E75:J75,"µ")+COUNTIF($E75:J75,1),ColLivraison)=K$6,
  VLOOKUP($E75,INDIRECT("tri!"&amp; CHAR(64+ C0Col) &amp;":"&amp; CHAR(65+C0Col)),2,FALSE)&gt;COUNTIF($E75:J75,"u")+COUNTIF($E75:J75,"t")+COUNTIF($E75:J75,"¶")+COUNTIF($E75:J75,"²")+COUNTIF($E75:J75,"µ")+COUNTIF($E75:J75,1)),
HYPERLINK("#Roadmap!C"&amp; MATCH($E75,Roadmap!$D:$D,0)+COUNTIF($E75:J75,"u")+COUNTIF($E75:J75,"t"),
     INDEX(Roadmap!$D:$K,MATCH($E75,Roadmap!$D:$D,0)+COUNTIF($E75:J75,"u")+COUNTIF($E75:J75,"t")+COUNTIF($E75:J75,"¶")+COUNTIF($E75:J75,"²")+COUNTIF($E75:J75,"µ")+COUNTIF($E75:J75,1),ColTypeEcheance)),
  IF(LEN(J75)=1,
  IF(LEN(INDEX(Roadmap!$D:$K,MATCH($E75,Roadmap!$D:$D,0)-1+COUNTIF($E75:J75,"u")+COUNTIF($E75:J75,"t")+COUNTIF($E75:J75,"¶")+COUNTIF($E75:J75,"²")+COUNTIF($E75:J75,"µ")+COUNTIF($E75:J75,1),ColDescriptionCourte))&gt;1,
HYPERLINK("#Roadmap!C"&amp; MATCH($E75,Roadmap!$D:$D,0)+COUNTIF($E75:J75,"u")+COUNTIF($E75:J75,"t")+COUNTIF($E75:J75,"¶")+COUNTIF($E75:J75,"²")+COUNTIF($E75:J75,"µ")+COUNTIF($E75:J75,1)-1,INDEX(Roadmap!$D:$K,MATCH($E75,Roadmap!$D:$D,0)-1+COUNTIF($E75:J75,"u")+COUNTIF($E75:J75,"t")+COUNTIF($E75:J75,"¶")+COUNTIF($E75:J75,"²")+COUNTIF($E75:J75,"µ")+COUNTIF($E75:J75,1),ColDescriptionCourte)),""),
  "")),"")</f>
        <v/>
      </c>
      <c r="L75" s="39" t="str">
        <f ca="1">IFERROR(IF(AND(
  INDEX(Roadmap!$D:$K,MATCH($E75,Roadmap!$D:$D,0)+COUNTIF($E75:K75,"u")+COUNTIF($E75:K75,"t")+COUNTIF($E75:K75,"¶")+COUNTIF($E75:K75,"²")+COUNTIF($E75:K75,"µ")+COUNTIF($E75:K75,1),ColLivraison)=L$6,
  VLOOKUP($E75,INDIRECT("tri!"&amp; CHAR(64+ C0Col) &amp;":"&amp; CHAR(65+C0Col)),2,FALSE)&gt;COUNTIF($E75:K75,"u")+COUNTIF($E75:K75,"t")+COUNTIF($E75:K75,"¶")+COUNTIF($E75:K75,"²")+COUNTIF($E75:K75,"µ")+COUNTIF($E75:K75,1)),
HYPERLINK("#Roadmap!C"&amp; MATCH($E75,Roadmap!$D:$D,0)+COUNTIF($E75:K75,"u")+COUNTIF($E75:K75,"t"),
     INDEX(Roadmap!$D:$K,MATCH($E75,Roadmap!$D:$D,0)+COUNTIF($E75:K75,"u")+COUNTIF($E75:K75,"t")+COUNTIF($E75:K75,"¶")+COUNTIF($E75:K75,"²")+COUNTIF($E75:K75,"µ")+COUNTIF($E75:K75,1),ColTypeEcheance)),
  IF(LEN(K75)=1,
  IF(LEN(INDEX(Roadmap!$D:$K,MATCH($E75,Roadmap!$D:$D,0)-1+COUNTIF($E75:K75,"u")+COUNTIF($E75:K75,"t")+COUNTIF($E75:K75,"¶")+COUNTIF($E75:K75,"²")+COUNTIF($E75:K75,"µ")+COUNTIF($E75:K75,1),ColDescriptionCourte))&gt;1,
HYPERLINK("#Roadmap!C"&amp; MATCH($E75,Roadmap!$D:$D,0)+COUNTIF($E75:K75,"u")+COUNTIF($E75:K75,"t")+COUNTIF($E75:K75,"¶")+COUNTIF($E75:K75,"²")+COUNTIF($E75:K75,"µ")+COUNTIF($E75:K75,1)-1,INDEX(Roadmap!$D:$K,MATCH($E75,Roadmap!$D:$D,0)-1+COUNTIF($E75:K75,"u")+COUNTIF($E75:K75,"t")+COUNTIF($E75:K75,"¶")+COUNTIF($E75:K75,"²")+COUNTIF($E75:K75,"µ")+COUNTIF($E75:K75,1),ColDescriptionCourte)),""),
  "")),"")</f>
        <v/>
      </c>
      <c r="M75" s="40" t="str">
        <f ca="1">IFERROR(IF(AND(
  INDEX(Roadmap!$D:$K,MATCH($E75,Roadmap!$D:$D,0)+COUNTIF($E75:L75,"u")+COUNTIF($E75:L75,"t")+COUNTIF($E75:L75,"¶")+COUNTIF($E75:L75,"²")+COUNTIF($E75:L75,"µ")+COUNTIF($E75:L75,1),ColLivraison)=M$6,
  VLOOKUP($E75,INDIRECT("tri!"&amp; CHAR(64+ C0Col) &amp;":"&amp; CHAR(65+C0Col)),2,FALSE)&gt;COUNTIF($E75:L75,"u")+COUNTIF($E75:L75,"t")+COUNTIF($E75:L75,"¶")+COUNTIF($E75:L75,"²")+COUNTIF($E75:L75,"µ")+COUNTIF($E75:L75,1)),
HYPERLINK("#Roadmap!C"&amp; MATCH($E75,Roadmap!$D:$D,0)+COUNTIF($E75:L75,"u")+COUNTIF($E75:L75,"t"),
     INDEX(Roadmap!$D:$K,MATCH($E75,Roadmap!$D:$D,0)+COUNTIF($E75:L75,"u")+COUNTIF($E75:L75,"t")+COUNTIF($E75:L75,"¶")+COUNTIF($E75:L75,"²")+COUNTIF($E75:L75,"µ")+COUNTIF($E75:L75,1),ColTypeEcheance)),
  IF(LEN(L75)=1,
  IF(LEN(INDEX(Roadmap!$D:$K,MATCH($E75,Roadmap!$D:$D,0)-1+COUNTIF($E75:L75,"u")+COUNTIF($E75:L75,"t")+COUNTIF($E75:L75,"¶")+COUNTIF($E75:L75,"²")+COUNTIF($E75:L75,"µ")+COUNTIF($E75:L75,1),ColDescriptionCourte))&gt;1,
HYPERLINK("#Roadmap!C"&amp; MATCH($E75,Roadmap!$D:$D,0)+COUNTIF($E75:L75,"u")+COUNTIF($E75:L75,"t")+COUNTIF($E75:L75,"¶")+COUNTIF($E75:L75,"²")+COUNTIF($E75:L75,"µ")+COUNTIF($E75:L75,1)-1,INDEX(Roadmap!$D:$K,MATCH($E75,Roadmap!$D:$D,0)-1+COUNTIF($E75:L75,"u")+COUNTIF($E75:L75,"t")+COUNTIF($E75:L75,"¶")+COUNTIF($E75:L75,"²")+COUNTIF($E75:L75,"µ")+COUNTIF($E75:L75,1),ColDescriptionCourte)),""),
  "")),"")</f>
        <v/>
      </c>
      <c r="N75" s="40" t="str">
        <f ca="1">IFERROR(IF(AND(
  INDEX(Roadmap!$D:$K,MATCH($E75,Roadmap!$D:$D,0)+COUNTIF($E75:M75,"u")+COUNTIF($E75:M75,"t")+COUNTIF($E75:M75,"¶")+COUNTIF($E75:M75,"²")+COUNTIF($E75:M75,"µ")+COUNTIF($E75:M75,1),ColLivraison)=N$6,
  VLOOKUP($E75,INDIRECT("tri!"&amp; CHAR(64+ C0Col) &amp;":"&amp; CHAR(65+C0Col)),2,FALSE)&gt;COUNTIF($E75:M75,"u")+COUNTIF($E75:M75,"t")+COUNTIF($E75:M75,"¶")+COUNTIF($E75:M75,"²")+COUNTIF($E75:M75,"µ")+COUNTIF($E75:M75,1)),
HYPERLINK("#Roadmap!C"&amp; MATCH($E75,Roadmap!$D:$D,0)+COUNTIF($E75:M75,"u")+COUNTIF($E75:M75,"t"),
     INDEX(Roadmap!$D:$K,MATCH($E75,Roadmap!$D:$D,0)+COUNTIF($E75:M75,"u")+COUNTIF($E75:M75,"t")+COUNTIF($E75:M75,"¶")+COUNTIF($E75:M75,"²")+COUNTIF($E75:M75,"µ")+COUNTIF($E75:M75,1),ColTypeEcheance)),
  IF(LEN(M75)=1,
  IF(LEN(INDEX(Roadmap!$D:$K,MATCH($E75,Roadmap!$D:$D,0)-1+COUNTIF($E75:M75,"u")+COUNTIF($E75:M75,"t")+COUNTIF($E75:M75,"¶")+COUNTIF($E75:M75,"²")+COUNTIF($E75:M75,"µ")+COUNTIF($E75:M75,1),ColDescriptionCourte))&gt;1,
HYPERLINK("#Roadmap!C"&amp; MATCH($E75,Roadmap!$D:$D,0)+COUNTIF($E75:M75,"u")+COUNTIF($E75:M75,"t")+COUNTIF($E75:M75,"¶")+COUNTIF($E75:M75,"²")+COUNTIF($E75:M75,"µ")+COUNTIF($E75:M75,1)-1,INDEX(Roadmap!$D:$K,MATCH($E75,Roadmap!$D:$D,0)-1+COUNTIF($E75:M75,"u")+COUNTIF($E75:M75,"t")+COUNTIF($E75:M75,"¶")+COUNTIF($E75:M75,"²")+COUNTIF($E75:M75,"µ")+COUNTIF($E75:M75,1),ColDescriptionCourte)),""),
  "")),"")</f>
        <v/>
      </c>
      <c r="O75" s="40" t="str">
        <f ca="1">IFERROR(IF(AND(
  INDEX(Roadmap!$D:$K,MATCH($E75,Roadmap!$D:$D,0)+COUNTIF($E75:N75,"u")+COUNTIF($E75:N75,"t")+COUNTIF($E75:N75,"¶")+COUNTIF($E75:N75,"²")+COUNTIF($E75:N75,"µ")+COUNTIF($E75:N75,1),ColLivraison)=O$6,
  VLOOKUP($E75,INDIRECT("tri!"&amp; CHAR(64+ C0Col) &amp;":"&amp; CHAR(65+C0Col)),2,FALSE)&gt;COUNTIF($E75:N75,"u")+COUNTIF($E75:N75,"t")+COUNTIF($E75:N75,"¶")+COUNTIF($E75:N75,"²")+COUNTIF($E75:N75,"µ")+COUNTIF($E75:N75,1)),
HYPERLINK("#Roadmap!C"&amp; MATCH($E75,Roadmap!$D:$D,0)+COUNTIF($E75:N75,"u")+COUNTIF($E75:N75,"t"),
     INDEX(Roadmap!$D:$K,MATCH($E75,Roadmap!$D:$D,0)+COUNTIF($E75:N75,"u")+COUNTIF($E75:N75,"t")+COUNTIF($E75:N75,"¶")+COUNTIF($E75:N75,"²")+COUNTIF($E75:N75,"µ")+COUNTIF($E75:N75,1),ColTypeEcheance)),
  IF(LEN(N75)=1,
  IF(LEN(INDEX(Roadmap!$D:$K,MATCH($E75,Roadmap!$D:$D,0)-1+COUNTIF($E75:N75,"u")+COUNTIF($E75:N75,"t")+COUNTIF($E75:N75,"¶")+COUNTIF($E75:N75,"²")+COUNTIF($E75:N75,"µ")+COUNTIF($E75:N75,1),ColDescriptionCourte))&gt;1,
HYPERLINK("#Roadmap!C"&amp; MATCH($E75,Roadmap!$D:$D,0)+COUNTIF($E75:N75,"u")+COUNTIF($E75:N75,"t")+COUNTIF($E75:N75,"¶")+COUNTIF($E75:N75,"²")+COUNTIF($E75:N75,"µ")+COUNTIF($E75:N75,1)-1,INDEX(Roadmap!$D:$K,MATCH($E75,Roadmap!$D:$D,0)-1+COUNTIF($E75:N75,"u")+COUNTIF($E75:N75,"t")+COUNTIF($E75:N75,"¶")+COUNTIF($E75:N75,"²")+COUNTIF($E75:N75,"µ")+COUNTIF($E75:N75,1),ColDescriptionCourte)),""),
  "")),"")</f>
        <v/>
      </c>
      <c r="P75" s="40" t="str">
        <f ca="1">IFERROR(IF(AND(
  INDEX(Roadmap!$D:$K,MATCH($E75,Roadmap!$D:$D,0)+COUNTIF($E75:O75,"u")+COUNTIF($E75:O75,"t")+COUNTIF($E75:O75,"¶")+COUNTIF($E75:O75,"²")+COUNTIF($E75:O75,"µ")+COUNTIF($E75:O75,1),ColLivraison)=P$6,
  VLOOKUP($E75,INDIRECT("tri!"&amp; CHAR(64+ C0Col) &amp;":"&amp; CHAR(65+C0Col)),2,FALSE)&gt;COUNTIF($E75:O75,"u")+COUNTIF($E75:O75,"t")+COUNTIF($E75:O75,"¶")+COUNTIF($E75:O75,"²")+COUNTIF($E75:O75,"µ")+COUNTIF($E75:O75,1)),
HYPERLINK("#Roadmap!C"&amp; MATCH($E75,Roadmap!$D:$D,0)+COUNTIF($E75:O75,"u")+COUNTIF($E75:O75,"t"),
     INDEX(Roadmap!$D:$K,MATCH($E75,Roadmap!$D:$D,0)+COUNTIF($E75:O75,"u")+COUNTIF($E75:O75,"t")+COUNTIF($E75:O75,"¶")+COUNTIF($E75:O75,"²")+COUNTIF($E75:O75,"µ")+COUNTIF($E75:O75,1),ColTypeEcheance)),
  IF(LEN(O75)=1,
  IF(LEN(INDEX(Roadmap!$D:$K,MATCH($E75,Roadmap!$D:$D,0)-1+COUNTIF($E75:O75,"u")+COUNTIF($E75:O75,"t")+COUNTIF($E75:O75,"¶")+COUNTIF($E75:O75,"²")+COUNTIF($E75:O75,"µ")+COUNTIF($E75:O75,1),ColDescriptionCourte))&gt;1,
HYPERLINK("#Roadmap!C"&amp; MATCH($E75,Roadmap!$D:$D,0)+COUNTIF($E75:O75,"u")+COUNTIF($E75:O75,"t")+COUNTIF($E75:O75,"¶")+COUNTIF($E75:O75,"²")+COUNTIF($E75:O75,"µ")+COUNTIF($E75:O75,1)-1,INDEX(Roadmap!$D:$K,MATCH($E75,Roadmap!$D:$D,0)-1+COUNTIF($E75:O75,"u")+COUNTIF($E75:O75,"t")+COUNTIF($E75:O75,"¶")+COUNTIF($E75:O75,"²")+COUNTIF($E75:O75,"µ")+COUNTIF($E75:O75,1),ColDescriptionCourte)),""),
  "")),"")</f>
        <v/>
      </c>
      <c r="Q75" s="40" t="str">
        <f ca="1">IFERROR(IF(AND(
  INDEX(Roadmap!$D:$K,MATCH($E75,Roadmap!$D:$D,0)+COUNTIF($E75:P75,"u")+COUNTIF($E75:P75,"t")+COUNTIF($E75:P75,"¶")+COUNTIF($E75:P75,"²")+COUNTIF($E75:P75,"µ")+COUNTIF($E75:P75,1),ColLivraison)=Q$6,
  VLOOKUP($E75,INDIRECT("tri!"&amp; CHAR(64+ C0Col) &amp;":"&amp; CHAR(65+C0Col)),2,FALSE)&gt;COUNTIF($E75:P75,"u")+COUNTIF($E75:P75,"t")+COUNTIF($E75:P75,"¶")+COUNTIF($E75:P75,"²")+COUNTIF($E75:P75,"µ")+COUNTIF($E75:P75,1)),
HYPERLINK("#Roadmap!C"&amp; MATCH($E75,Roadmap!$D:$D,0)+COUNTIF($E75:P75,"u")+COUNTIF($E75:P75,"t"),
     INDEX(Roadmap!$D:$K,MATCH($E75,Roadmap!$D:$D,0)+COUNTIF($E75:P75,"u")+COUNTIF($E75:P75,"t")+COUNTIF($E75:P75,"¶")+COUNTIF($E75:P75,"²")+COUNTIF($E75:P75,"µ")+COUNTIF($E75:P75,1),ColTypeEcheance)),
  IF(LEN(P75)=1,
  IF(LEN(INDEX(Roadmap!$D:$K,MATCH($E75,Roadmap!$D:$D,0)-1+COUNTIF($E75:P75,"u")+COUNTIF($E75:P75,"t")+COUNTIF($E75:P75,"¶")+COUNTIF($E75:P75,"²")+COUNTIF($E75:P75,"µ")+COUNTIF($E75:P75,1),ColDescriptionCourte))&gt;1,
HYPERLINK("#Roadmap!C"&amp; MATCH($E75,Roadmap!$D:$D,0)+COUNTIF($E75:P75,"u")+COUNTIF($E75:P75,"t")+COUNTIF($E75:P75,"¶")+COUNTIF($E75:P75,"²")+COUNTIF($E75:P75,"µ")+COUNTIF($E75:P75,1)-1,INDEX(Roadmap!$D:$K,MATCH($E75,Roadmap!$D:$D,0)-1+COUNTIF($E75:P75,"u")+COUNTIF($E75:P75,"t")+COUNTIF($E75:P75,"¶")+COUNTIF($E75:P75,"²")+COUNTIF($E75:P75,"µ")+COUNTIF($E75:P75,1),ColDescriptionCourte)),""),
  "")),"")</f>
        <v/>
      </c>
      <c r="R75" s="40" t="str">
        <f ca="1">IFERROR(IF(AND(
  INDEX(Roadmap!$D:$K,MATCH($E75,Roadmap!$D:$D,0)+COUNTIF($E75:Q75,"u")+COUNTIF($E75:Q75,"t")+COUNTIF($E75:Q75,"¶")+COUNTIF($E75:Q75,"²")+COUNTIF($E75:Q75,"µ")+COUNTIF($E75:Q75,1),ColLivraison)=R$6,
  VLOOKUP($E75,INDIRECT("tri!"&amp; CHAR(64+ C0Col) &amp;":"&amp; CHAR(65+C0Col)),2,FALSE)&gt;COUNTIF($E75:Q75,"u")+COUNTIF($E75:Q75,"t")+COUNTIF($E75:Q75,"¶")+COUNTIF($E75:Q75,"²")+COUNTIF($E75:Q75,"µ")+COUNTIF($E75:Q75,1)),
HYPERLINK("#Roadmap!C"&amp; MATCH($E75,Roadmap!$D:$D,0)+COUNTIF($E75:Q75,"u")+COUNTIF($E75:Q75,"t"),
     INDEX(Roadmap!$D:$K,MATCH($E75,Roadmap!$D:$D,0)+COUNTIF($E75:Q75,"u")+COUNTIF($E75:Q75,"t")+COUNTIF($E75:Q75,"¶")+COUNTIF($E75:Q75,"²")+COUNTIF($E75:Q75,"µ")+COUNTIF($E75:Q75,1),ColTypeEcheance)),
  IF(LEN(Q75)=1,
  IF(LEN(INDEX(Roadmap!$D:$K,MATCH($E75,Roadmap!$D:$D,0)-1+COUNTIF($E75:Q75,"u")+COUNTIF($E75:Q75,"t")+COUNTIF($E75:Q75,"¶")+COUNTIF($E75:Q75,"²")+COUNTIF($E75:Q75,"µ")+COUNTIF($E75:Q75,1),ColDescriptionCourte))&gt;1,
HYPERLINK("#Roadmap!C"&amp; MATCH($E75,Roadmap!$D:$D,0)+COUNTIF($E75:Q75,"u")+COUNTIF($E75:Q75,"t")+COUNTIF($E75:Q75,"¶")+COUNTIF($E75:Q75,"²")+COUNTIF($E75:Q75,"µ")+COUNTIF($E75:Q75,1)-1,INDEX(Roadmap!$D:$K,MATCH($E75,Roadmap!$D:$D,0)-1+COUNTIF($E75:Q75,"u")+COUNTIF($E75:Q75,"t")+COUNTIF($E75:Q75,"¶")+COUNTIF($E75:Q75,"²")+COUNTIF($E75:Q75,"µ")+COUNTIF($E75:Q75,1),ColDescriptionCourte)),""),
  "")),"")</f>
        <v/>
      </c>
      <c r="S75" s="40" t="str">
        <f ca="1">IFERROR(IF(AND(
  INDEX(Roadmap!$D:$K,MATCH($E75,Roadmap!$D:$D,0)+COUNTIF($E75:R75,"u")+COUNTIF($E75:R75,"t")+COUNTIF($E75:R75,"¶")+COUNTIF($E75:R75,"²")+COUNTIF($E75:R75,"µ")+COUNTIF($E75:R75,1),ColLivraison)=S$6,
  VLOOKUP($E75,INDIRECT("tri!"&amp; CHAR(64+ C0Col) &amp;":"&amp; CHAR(65+C0Col)),2,FALSE)&gt;COUNTIF($E75:R75,"u")+COUNTIF($E75:R75,"t")+COUNTIF($E75:R75,"¶")+COUNTIF($E75:R75,"²")+COUNTIF($E75:R75,"µ")+COUNTIF($E75:R75,1)),
HYPERLINK("#Roadmap!C"&amp; MATCH($E75,Roadmap!$D:$D,0)+COUNTIF($E75:R75,"u")+COUNTIF($E75:R75,"t"),
     INDEX(Roadmap!$D:$K,MATCH($E75,Roadmap!$D:$D,0)+COUNTIF($E75:R75,"u")+COUNTIF($E75:R75,"t")+COUNTIF($E75:R75,"¶")+COUNTIF($E75:R75,"²")+COUNTIF($E75:R75,"µ")+COUNTIF($E75:R75,1),ColTypeEcheance)),
  IF(LEN(R75)=1,
  IF(LEN(INDEX(Roadmap!$D:$K,MATCH($E75,Roadmap!$D:$D,0)-1+COUNTIF($E75:R75,"u")+COUNTIF($E75:R75,"t")+COUNTIF($E75:R75,"¶")+COUNTIF($E75:R75,"²")+COUNTIF($E75:R75,"µ")+COUNTIF($E75:R75,1),ColDescriptionCourte))&gt;1,
HYPERLINK("#Roadmap!C"&amp; MATCH($E75,Roadmap!$D:$D,0)+COUNTIF($E75:R75,"u")+COUNTIF($E75:R75,"t")+COUNTIF($E75:R75,"¶")+COUNTIF($E75:R75,"²")+COUNTIF($E75:R75,"µ")+COUNTIF($E75:R75,1)-1,INDEX(Roadmap!$D:$K,MATCH($E75,Roadmap!$D:$D,0)-1+COUNTIF($E75:R75,"u")+COUNTIF($E75:R75,"t")+COUNTIF($E75:R75,"¶")+COUNTIF($E75:R75,"²")+COUNTIF($E75:R75,"µ")+COUNTIF($E75:R75,1),ColDescriptionCourte)),""),
  "")),"")</f>
        <v/>
      </c>
      <c r="T75" s="40" t="str">
        <f ca="1">IFERROR(IF(AND(
  INDEX(Roadmap!$D:$K,MATCH($E75,Roadmap!$D:$D,0)+COUNTIF($E75:S75,"u")+COUNTIF($E75:S75,"t")+COUNTIF($E75:S75,"¶")+COUNTIF($E75:S75,"²")+COUNTIF($E75:S75,"µ")+COUNTIF($E75:S75,1),ColLivraison)=T$6,
  VLOOKUP($E75,INDIRECT("tri!"&amp; CHAR(64+ C0Col) &amp;":"&amp; CHAR(65+C0Col)),2,FALSE)&gt;COUNTIF($E75:S75,"u")+COUNTIF($E75:S75,"t")+COUNTIF($E75:S75,"¶")+COUNTIF($E75:S75,"²")+COUNTIF($E75:S75,"µ")+COUNTIF($E75:S75,1)),
HYPERLINK("#Roadmap!C"&amp; MATCH($E75,Roadmap!$D:$D,0)+COUNTIF($E75:S75,"u")+COUNTIF($E75:S75,"t"),
     INDEX(Roadmap!$D:$K,MATCH($E75,Roadmap!$D:$D,0)+COUNTIF($E75:S75,"u")+COUNTIF($E75:S75,"t")+COUNTIF($E75:S75,"¶")+COUNTIF($E75:S75,"²")+COUNTIF($E75:S75,"µ")+COUNTIF($E75:S75,1),ColTypeEcheance)),
  IF(LEN(S75)=1,
  IF(LEN(INDEX(Roadmap!$D:$K,MATCH($E75,Roadmap!$D:$D,0)-1+COUNTIF($E75:S75,"u")+COUNTIF($E75:S75,"t")+COUNTIF($E75:S75,"¶")+COUNTIF($E75:S75,"²")+COUNTIF($E75:S75,"µ")+COUNTIF($E75:S75,1),ColDescriptionCourte))&gt;1,
HYPERLINK("#Roadmap!C"&amp; MATCH($E75,Roadmap!$D:$D,0)+COUNTIF($E75:S75,"u")+COUNTIF($E75:S75,"t")+COUNTIF($E75:S75,"¶")+COUNTIF($E75:S75,"²")+COUNTIF($E75:S75,"µ")+COUNTIF($E75:S75,1)-1,INDEX(Roadmap!$D:$K,MATCH($E75,Roadmap!$D:$D,0)-1+COUNTIF($E75:S75,"u")+COUNTIF($E75:S75,"t")+COUNTIF($E75:S75,"¶")+COUNTIF($E75:S75,"²")+COUNTIF($E75:S75,"µ")+COUNTIF($E75:S75,1),ColDescriptionCourte)),""),
  "")),"")</f>
        <v/>
      </c>
      <c r="U75" s="40" t="str">
        <f ca="1">IFERROR(IF(AND(
  INDEX(Roadmap!$D:$K,MATCH($E75,Roadmap!$D:$D,0)+COUNTIF($E75:T75,"u")+COUNTIF($E75:T75,"t")+COUNTIF($E75:T75,"¶")+COUNTIF($E75:T75,"²")+COUNTIF($E75:T75,"µ")+COUNTIF($E75:T75,1),ColLivraison)=U$6,
  VLOOKUP($E75,INDIRECT("tri!"&amp; CHAR(64+ C0Col) &amp;":"&amp; CHAR(65+C0Col)),2,FALSE)&gt;COUNTIF($E75:T75,"u")+COUNTIF($E75:T75,"t")+COUNTIF($E75:T75,"¶")+COUNTIF($E75:T75,"²")+COUNTIF($E75:T75,"µ")+COUNTIF($E75:T75,1)),
HYPERLINK("#Roadmap!C"&amp; MATCH($E75,Roadmap!$D:$D,0)+COUNTIF($E75:T75,"u")+COUNTIF($E75:T75,"t"),
     INDEX(Roadmap!$D:$K,MATCH($E75,Roadmap!$D:$D,0)+COUNTIF($E75:T75,"u")+COUNTIF($E75:T75,"t")+COUNTIF($E75:T75,"¶")+COUNTIF($E75:T75,"²")+COUNTIF($E75:T75,"µ")+COUNTIF($E75:T75,1),ColTypeEcheance)),
  IF(LEN(T75)=1,
  IF(LEN(INDEX(Roadmap!$D:$K,MATCH($E75,Roadmap!$D:$D,0)-1+COUNTIF($E75:T75,"u")+COUNTIF($E75:T75,"t")+COUNTIF($E75:T75,"¶")+COUNTIF($E75:T75,"²")+COUNTIF($E75:T75,"µ")+COUNTIF($E75:T75,1),ColDescriptionCourte))&gt;1,
HYPERLINK("#Roadmap!C"&amp; MATCH($E75,Roadmap!$D:$D,0)+COUNTIF($E75:T75,"u")+COUNTIF($E75:T75,"t")+COUNTIF($E75:T75,"¶")+COUNTIF($E75:T75,"²")+COUNTIF($E75:T75,"µ")+COUNTIF($E75:T75,1)-1,INDEX(Roadmap!$D:$K,MATCH($E75,Roadmap!$D:$D,0)-1+COUNTIF($E75:T75,"u")+COUNTIF($E75:T75,"t")+COUNTIF($E75:T75,"¶")+COUNTIF($E75:T75,"²")+COUNTIF($E75:T75,"µ")+COUNTIF($E75:T75,1),ColDescriptionCourte)),""),
  "")),"")</f>
        <v/>
      </c>
      <c r="V75" s="40" t="str">
        <f ca="1">IFERROR(IF(AND(
  INDEX(Roadmap!$D:$K,MATCH($E75,Roadmap!$D:$D,0)+COUNTIF($E75:U75,"u")+COUNTIF($E75:U75,"t")+COUNTIF($E75:U75,"¶")+COUNTIF($E75:U75,"²")+COUNTIF($E75:U75,"µ")+COUNTIF($E75:U75,1),ColLivraison)=V$6,
  VLOOKUP($E75,INDIRECT("tri!"&amp; CHAR(64+ C0Col) &amp;":"&amp; CHAR(65+C0Col)),2,FALSE)&gt;COUNTIF($E75:U75,"u")+COUNTIF($E75:U75,"t")+COUNTIF($E75:U75,"¶")+COUNTIF($E75:U75,"²")+COUNTIF($E75:U75,"µ")+COUNTIF($E75:U75,1)),
HYPERLINK("#Roadmap!C"&amp; MATCH($E75,Roadmap!$D:$D,0)+COUNTIF($E75:U75,"u")+COUNTIF($E75:U75,"t"),
     INDEX(Roadmap!$D:$K,MATCH($E75,Roadmap!$D:$D,0)+COUNTIF($E75:U75,"u")+COUNTIF($E75:U75,"t")+COUNTIF($E75:U75,"¶")+COUNTIF($E75:U75,"²")+COUNTIF($E75:U75,"µ")+COUNTIF($E75:U75,1),ColTypeEcheance)),
  IF(LEN(U75)=1,
  IF(LEN(INDEX(Roadmap!$D:$K,MATCH($E75,Roadmap!$D:$D,0)-1+COUNTIF($E75:U75,"u")+COUNTIF($E75:U75,"t")+COUNTIF($E75:U75,"¶")+COUNTIF($E75:U75,"²")+COUNTIF($E75:U75,"µ")+COUNTIF($E75:U75,1),ColDescriptionCourte))&gt;1,
HYPERLINK("#Roadmap!C"&amp; MATCH($E75,Roadmap!$D:$D,0)+COUNTIF($E75:U75,"u")+COUNTIF($E75:U75,"t")+COUNTIF($E75:U75,"¶")+COUNTIF($E75:U75,"²")+COUNTIF($E75:U75,"µ")+COUNTIF($E75:U75,1)-1,INDEX(Roadmap!$D:$K,MATCH($E75,Roadmap!$D:$D,0)-1+COUNTIF($E75:U75,"u")+COUNTIF($E75:U75,"t")+COUNTIF($E75:U75,"¶")+COUNTIF($E75:U75,"²")+COUNTIF($E75:U75,"µ")+COUNTIF($E75:U75,1),ColDescriptionCourte)),""),
  "")),"")</f>
        <v/>
      </c>
      <c r="W75" s="40" t="str">
        <f ca="1">IFERROR(IF(AND(
  INDEX(Roadmap!$D:$K,MATCH($E75,Roadmap!$D:$D,0)+COUNTIF($E75:V75,"u")+COUNTIF($E75:V75,"t")+COUNTIF($E75:V75,"¶")+COUNTIF($E75:V75,"²")+COUNTIF($E75:V75,"µ")+COUNTIF($E75:V75,1),ColLivraison)=W$6,
  VLOOKUP($E75,INDIRECT("tri!"&amp; CHAR(64+ C0Col) &amp;":"&amp; CHAR(65+C0Col)),2,FALSE)&gt;COUNTIF($E75:V75,"u")+COUNTIF($E75:V75,"t")+COUNTIF($E75:V75,"¶")+COUNTIF($E75:V75,"²")+COUNTIF($E75:V75,"µ")+COUNTIF($E75:V75,1)),
HYPERLINK("#Roadmap!C"&amp; MATCH($E75,Roadmap!$D:$D,0)+COUNTIF($E75:V75,"u")+COUNTIF($E75:V75,"t"),
     INDEX(Roadmap!$D:$K,MATCH($E75,Roadmap!$D:$D,0)+COUNTIF($E75:V75,"u")+COUNTIF($E75:V75,"t")+COUNTIF($E75:V75,"¶")+COUNTIF($E75:V75,"²")+COUNTIF($E75:V75,"µ")+COUNTIF($E75:V75,1),ColTypeEcheance)),
  IF(LEN(V75)=1,
  IF(LEN(INDEX(Roadmap!$D:$K,MATCH($E75,Roadmap!$D:$D,0)-1+COUNTIF($E75:V75,"u")+COUNTIF($E75:V75,"t")+COUNTIF($E75:V75,"¶")+COUNTIF($E75:V75,"²")+COUNTIF($E75:V75,"µ")+COUNTIF($E75:V75,1),ColDescriptionCourte))&gt;1,
HYPERLINK("#Roadmap!C"&amp; MATCH($E75,Roadmap!$D:$D,0)+COUNTIF($E75:V75,"u")+COUNTIF($E75:V75,"t")+COUNTIF($E75:V75,"¶")+COUNTIF($E75:V75,"²")+COUNTIF($E75:V75,"µ")+COUNTIF($E75:V75,1)-1,INDEX(Roadmap!$D:$K,MATCH($E75,Roadmap!$D:$D,0)-1+COUNTIF($E75:V75,"u")+COUNTIF($E75:V75,"t")+COUNTIF($E75:V75,"¶")+COUNTIF($E75:V75,"²")+COUNTIF($E75:V75,"µ")+COUNTIF($E75:V75,1),ColDescriptionCourte)),""),
  "")),"")</f>
        <v/>
      </c>
      <c r="X75" s="40" t="str">
        <f ca="1">IFERROR(IF(AND(
  INDEX(Roadmap!$D:$K,MATCH($E75,Roadmap!$D:$D,0)+COUNTIF($E75:W75,"u")+COUNTIF($E75:W75,"t")+COUNTIF($E75:W75,"¶")+COUNTIF($E75:W75,"²")+COUNTIF($E75:W75,"µ")+COUNTIF($E75:W75,1),ColLivraison)=X$6,
  VLOOKUP($E75,INDIRECT("tri!"&amp; CHAR(64+ C0Col) &amp;":"&amp; CHAR(65+C0Col)),2,FALSE)&gt;COUNTIF($E75:W75,"u")+COUNTIF($E75:W75,"t")+COUNTIF($E75:W75,"¶")+COUNTIF($E75:W75,"²")+COUNTIF($E75:W75,"µ")+COUNTIF($E75:W75,1)),
HYPERLINK("#Roadmap!C"&amp; MATCH($E75,Roadmap!$D:$D,0)+COUNTIF($E75:W75,"u")+COUNTIF($E75:W75,"t"),
     INDEX(Roadmap!$D:$K,MATCH($E75,Roadmap!$D:$D,0)+COUNTIF($E75:W75,"u")+COUNTIF($E75:W75,"t")+COUNTIF($E75:W75,"¶")+COUNTIF($E75:W75,"²")+COUNTIF($E75:W75,"µ")+COUNTIF($E75:W75,1),ColTypeEcheance)),
  IF(LEN(W75)=1,
  IF(LEN(INDEX(Roadmap!$D:$K,MATCH($E75,Roadmap!$D:$D,0)-1+COUNTIF($E75:W75,"u")+COUNTIF($E75:W75,"t")+COUNTIF($E75:W75,"¶")+COUNTIF($E75:W75,"²")+COUNTIF($E75:W75,"µ")+COUNTIF($E75:W75,1),ColDescriptionCourte))&gt;1,
HYPERLINK("#Roadmap!C"&amp; MATCH($E75,Roadmap!$D:$D,0)+COUNTIF($E75:W75,"u")+COUNTIF($E75:W75,"t")+COUNTIF($E75:W75,"¶")+COUNTIF($E75:W75,"²")+COUNTIF($E75:W75,"µ")+COUNTIF($E75:W75,1)-1,INDEX(Roadmap!$D:$K,MATCH($E75,Roadmap!$D:$D,0)-1+COUNTIF($E75:W75,"u")+COUNTIF($E75:W75,"t")+COUNTIF($E75:W75,"¶")+COUNTIF($E75:W75,"²")+COUNTIF($E75:W75,"µ")+COUNTIF($E75:W75,1),ColDescriptionCourte)),""),
  "")),"")</f>
        <v/>
      </c>
      <c r="Y75" s="40" t="str">
        <f ca="1">IFERROR(IF(AND(
  INDEX(Roadmap!$D:$K,MATCH($E75,Roadmap!$D:$D,0)+COUNTIF($E75:X75,"u")+COUNTIF($E75:X75,"t")+COUNTIF($E75:X75,"¶")+COUNTIF($E75:X75,"²")+COUNTIF($E75:X75,"µ")+COUNTIF($E75:X75,1),ColLivraison)=Y$6,
  VLOOKUP($E75,INDIRECT("tri!"&amp; CHAR(64+ C0Col) &amp;":"&amp; CHAR(65+C0Col)),2,FALSE)&gt;COUNTIF($E75:X75,"u")+COUNTIF($E75:X75,"t")+COUNTIF($E75:X75,"¶")+COUNTIF($E75:X75,"²")+COUNTIF($E75:X75,"µ")+COUNTIF($E75:X75,1)),
HYPERLINK("#Roadmap!C"&amp; MATCH($E75,Roadmap!$D:$D,0)+COUNTIF($E75:X75,"u")+COUNTIF($E75:X75,"t"),
     INDEX(Roadmap!$D:$K,MATCH($E75,Roadmap!$D:$D,0)+COUNTIF($E75:X75,"u")+COUNTIF($E75:X75,"t")+COUNTIF($E75:X75,"¶")+COUNTIF($E75:X75,"²")+COUNTIF($E75:X75,"µ")+COUNTIF($E75:X75,1),ColTypeEcheance)),
  IF(LEN(X75)=1,
  IF(LEN(INDEX(Roadmap!$D:$K,MATCH($E75,Roadmap!$D:$D,0)-1+COUNTIF($E75:X75,"u")+COUNTIF($E75:X75,"t")+COUNTIF($E75:X75,"¶")+COUNTIF($E75:X75,"²")+COUNTIF($E75:X75,"µ")+COUNTIF($E75:X75,1),ColDescriptionCourte))&gt;1,
HYPERLINK("#Roadmap!C"&amp; MATCH($E75,Roadmap!$D:$D,0)+COUNTIF($E75:X75,"u")+COUNTIF($E75:X75,"t")+COUNTIF($E75:X75,"¶")+COUNTIF($E75:X75,"²")+COUNTIF($E75:X75,"µ")+COUNTIF($E75:X75,1)-1,INDEX(Roadmap!$D:$K,MATCH($E75,Roadmap!$D:$D,0)-1+COUNTIF($E75:X75,"u")+COUNTIF($E75:X75,"t")+COUNTIF($E75:X75,"¶")+COUNTIF($E75:X75,"²")+COUNTIF($E75:X75,"µ")+COUNTIF($E75:X75,1),ColDescriptionCourte)),""),
  "")),"")</f>
        <v/>
      </c>
      <c r="Z75" s="40" t="str">
        <f ca="1">IFERROR(IF(AND(
  INDEX(Roadmap!$D:$K,MATCH($E75,Roadmap!$D:$D,0)+COUNTIF($E75:Y75,"u")+COUNTIF($E75:Y75,"t")+COUNTIF($E75:Y75,"¶")+COUNTIF($E75:Y75,"²")+COUNTIF($E75:Y75,"µ")+COUNTIF($E75:Y75,1),ColLivraison)=Z$6,
  VLOOKUP($E75,INDIRECT("tri!"&amp; CHAR(64+ C0Col) &amp;":"&amp; CHAR(65+C0Col)),2,FALSE)&gt;COUNTIF($E75:Y75,"u")+COUNTIF($E75:Y75,"t")+COUNTIF($E75:Y75,"¶")+COUNTIF($E75:Y75,"²")+COUNTIF($E75:Y75,"µ")+COUNTIF($E75:Y75,1)),
HYPERLINK("#Roadmap!C"&amp; MATCH($E75,Roadmap!$D:$D,0)+COUNTIF($E75:Y75,"u")+COUNTIF($E75:Y75,"t"),
     INDEX(Roadmap!$D:$K,MATCH($E75,Roadmap!$D:$D,0)+COUNTIF($E75:Y75,"u")+COUNTIF($E75:Y75,"t")+COUNTIF($E75:Y75,"¶")+COUNTIF($E75:Y75,"²")+COUNTIF($E75:Y75,"µ")+COUNTIF($E75:Y75,1),ColTypeEcheance)),
  IF(LEN(Y75)=1,
  IF(LEN(INDEX(Roadmap!$D:$K,MATCH($E75,Roadmap!$D:$D,0)-1+COUNTIF($E75:Y75,"u")+COUNTIF($E75:Y75,"t")+COUNTIF($E75:Y75,"¶")+COUNTIF($E75:Y75,"²")+COUNTIF($E75:Y75,"µ")+COUNTIF($E75:Y75,1),ColDescriptionCourte))&gt;1,
HYPERLINK("#Roadmap!C"&amp; MATCH($E75,Roadmap!$D:$D,0)+COUNTIF($E75:Y75,"u")+COUNTIF($E75:Y75,"t")+COUNTIF($E75:Y75,"¶")+COUNTIF($E75:Y75,"²")+COUNTIF($E75:Y75,"µ")+COUNTIF($E75:Y75,1)-1,INDEX(Roadmap!$D:$K,MATCH($E75,Roadmap!$D:$D,0)-1+COUNTIF($E75:Y75,"u")+COUNTIF($E75:Y75,"t")+COUNTIF($E75:Y75,"¶")+COUNTIF($E75:Y75,"²")+COUNTIF($E75:Y75,"µ")+COUNTIF($E75:Y75,1),ColDescriptionCourte)),""),
  "")),"")</f>
        <v/>
      </c>
      <c r="AA75" s="40" t="str">
        <f ca="1">IFERROR(IF(AND(
  INDEX(Roadmap!$D:$K,MATCH($E75,Roadmap!$D:$D,0)+COUNTIF($E75:Z75,"u")+COUNTIF($E75:Z75,"t")+COUNTIF($E75:Z75,"¶")+COUNTIF($E75:Z75,"²")+COUNTIF($E75:Z75,"µ")+COUNTIF($E75:Z75,1),ColLivraison)=AA$6,
  VLOOKUP($E75,INDIRECT("tri!"&amp; CHAR(64+ C0Col) &amp;":"&amp; CHAR(65+C0Col)),2,FALSE)&gt;COUNTIF($E75:Z75,"u")+COUNTIF($E75:Z75,"t")+COUNTIF($E75:Z75,"¶")+COUNTIF($E75:Z75,"²")+COUNTIF($E75:Z75,"µ")+COUNTIF($E75:Z75,1)),
HYPERLINK("#Roadmap!C"&amp; MATCH($E75,Roadmap!$D:$D,0)+COUNTIF($E75:Z75,"u")+COUNTIF($E75:Z75,"t"),
     INDEX(Roadmap!$D:$K,MATCH($E75,Roadmap!$D:$D,0)+COUNTIF($E75:Z75,"u")+COUNTIF($E75:Z75,"t")+COUNTIF($E75:Z75,"¶")+COUNTIF($E75:Z75,"²")+COUNTIF($E75:Z75,"µ")+COUNTIF($E75:Z75,1),ColTypeEcheance)),
  IF(LEN(Z75)=1,
  IF(LEN(INDEX(Roadmap!$D:$K,MATCH($E75,Roadmap!$D:$D,0)-1+COUNTIF($E75:Z75,"u")+COUNTIF($E75:Z75,"t")+COUNTIF($E75:Z75,"¶")+COUNTIF($E75:Z75,"²")+COUNTIF($E75:Z75,"µ")+COUNTIF($E75:Z75,1),ColDescriptionCourte))&gt;1,
HYPERLINK("#Roadmap!C"&amp; MATCH($E75,Roadmap!$D:$D,0)+COUNTIF($E75:Z75,"u")+COUNTIF($E75:Z75,"t")+COUNTIF($E75:Z75,"¶")+COUNTIF($E75:Z75,"²")+COUNTIF($E75:Z75,"µ")+COUNTIF($E75:Z75,1)-1,INDEX(Roadmap!$D:$K,MATCH($E75,Roadmap!$D:$D,0)-1+COUNTIF($E75:Z75,"u")+COUNTIF($E75:Z75,"t")+COUNTIF($E75:Z75,"¶")+COUNTIF($E75:Z75,"²")+COUNTIF($E75:Z75,"µ")+COUNTIF($E75:Z75,1),ColDescriptionCourte)),""),
  "")),"")</f>
        <v/>
      </c>
      <c r="AB75" s="40" t="str">
        <f ca="1">IFERROR(IF(AND(
  INDEX(Roadmap!$D:$K,MATCH($E75,Roadmap!$D:$D,0)+COUNTIF($E75:AA75,"u")+COUNTIF($E75:AA75,"t")+COUNTIF($E75:AA75,"¶")+COUNTIF($E75:AA75,"²")+COUNTIF($E75:AA75,"µ")+COUNTIF($E75:AA75,1),ColLivraison)=AB$6,
  VLOOKUP($E75,INDIRECT("tri!"&amp; CHAR(64+ C0Col) &amp;":"&amp; CHAR(65+C0Col)),2,FALSE)&gt;COUNTIF($E75:AA75,"u")+COUNTIF($E75:AA75,"t")+COUNTIF($E75:AA75,"¶")+COUNTIF($E75:AA75,"²")+COUNTIF($E75:AA75,"µ")+COUNTIF($E75:AA75,1)),
HYPERLINK("#Roadmap!C"&amp; MATCH($E75,Roadmap!$D:$D,0)+COUNTIF($E75:AA75,"u")+COUNTIF($E75:AA75,"t"),
     INDEX(Roadmap!$D:$K,MATCH($E75,Roadmap!$D:$D,0)+COUNTIF($E75:AA75,"u")+COUNTIF($E75:AA75,"t")+COUNTIF($E75:AA75,"¶")+COUNTIF($E75:AA75,"²")+COUNTIF($E75:AA75,"µ")+COUNTIF($E75:AA75,1),ColTypeEcheance)),
  IF(LEN(AA75)=1,
  IF(LEN(INDEX(Roadmap!$D:$K,MATCH($E75,Roadmap!$D:$D,0)-1+COUNTIF($E75:AA75,"u")+COUNTIF($E75:AA75,"t")+COUNTIF($E75:AA75,"¶")+COUNTIF($E75:AA75,"²")+COUNTIF($E75:AA75,"µ")+COUNTIF($E75:AA75,1),ColDescriptionCourte))&gt;1,
HYPERLINK("#Roadmap!C"&amp; MATCH($E75,Roadmap!$D:$D,0)+COUNTIF($E75:AA75,"u")+COUNTIF($E75:AA75,"t")+COUNTIF($E75:AA75,"¶")+COUNTIF($E75:AA75,"²")+COUNTIF($E75:AA75,"µ")+COUNTIF($E75:AA75,1)-1,INDEX(Roadmap!$D:$K,MATCH($E75,Roadmap!$D:$D,0)-1+COUNTIF($E75:AA75,"u")+COUNTIF($E75:AA75,"t")+COUNTIF($E75:AA75,"¶")+COUNTIF($E75:AA75,"²")+COUNTIF($E75:AA75,"µ")+COUNTIF($E75:AA75,1),ColDescriptionCourte)),""),
  "")),"")</f>
        <v/>
      </c>
      <c r="AC75" s="40" t="str">
        <f ca="1">IFERROR(IF(AND(
  INDEX(Roadmap!$D:$K,MATCH($E75,Roadmap!$D:$D,0)+COUNTIF($E75:AB75,"u")+COUNTIF($E75:AB75,"t")+COUNTIF($E75:AB75,"¶")+COUNTIF($E75:AB75,"²")+COUNTIF($E75:AB75,"µ")+COUNTIF($E75:AB75,1),ColLivraison)=AC$6,
  VLOOKUP($E75,INDIRECT("tri!"&amp; CHAR(64+ C0Col) &amp;":"&amp; CHAR(65+C0Col)),2,FALSE)&gt;COUNTIF($E75:AB75,"u")+COUNTIF($E75:AB75,"t")+COUNTIF($E75:AB75,"¶")+COUNTIF($E75:AB75,"²")+COUNTIF($E75:AB75,"µ")+COUNTIF($E75:AB75,1)),
HYPERLINK("#Roadmap!C"&amp; MATCH($E75,Roadmap!$D:$D,0)+COUNTIF($E75:AB75,"u")+COUNTIF($E75:AB75,"t"),
     INDEX(Roadmap!$D:$K,MATCH($E75,Roadmap!$D:$D,0)+COUNTIF($E75:AB75,"u")+COUNTIF($E75:AB75,"t")+COUNTIF($E75:AB75,"¶")+COUNTIF($E75:AB75,"²")+COUNTIF($E75:AB75,"µ")+COUNTIF($E75:AB75,1),ColTypeEcheance)),
  IF(LEN(AB75)=1,
  IF(LEN(INDEX(Roadmap!$D:$K,MATCH($E75,Roadmap!$D:$D,0)-1+COUNTIF($E75:AB75,"u")+COUNTIF($E75:AB75,"t")+COUNTIF($E75:AB75,"¶")+COUNTIF($E75:AB75,"²")+COUNTIF($E75:AB75,"µ")+COUNTIF($E75:AB75,1),ColDescriptionCourte))&gt;1,
HYPERLINK("#Roadmap!C"&amp; MATCH($E75,Roadmap!$D:$D,0)+COUNTIF($E75:AB75,"u")+COUNTIF($E75:AB75,"t")+COUNTIF($E75:AB75,"¶")+COUNTIF($E75:AB75,"²")+COUNTIF($E75:AB75,"µ")+COUNTIF($E75:AB75,1)-1,INDEX(Roadmap!$D:$K,MATCH($E75,Roadmap!$D:$D,0)-1+COUNTIF($E75:AB75,"u")+COUNTIF($E75:AB75,"t")+COUNTIF($E75:AB75,"¶")+COUNTIF($E75:AB75,"²")+COUNTIF($E75:AB75,"µ")+COUNTIF($E75:AB75,1),ColDescriptionCourte)),""),
  "")),"")</f>
        <v/>
      </c>
      <c r="AD75" s="40" t="str">
        <f ca="1">IFERROR(IF(AND(
  INDEX(Roadmap!$D:$K,MATCH($E75,Roadmap!$D:$D,0)+COUNTIF($E75:AC75,"u")+COUNTIF($E75:AC75,"t")+COUNTIF($E75:AC75,"¶")+COUNTIF($E75:AC75,"²")+COUNTIF($E75:AC75,"µ")+COUNTIF($E75:AC75,1),ColLivraison)=AD$6,
  VLOOKUP($E75,INDIRECT("tri!"&amp; CHAR(64+ C0Col) &amp;":"&amp; CHAR(65+C0Col)),2,FALSE)&gt;COUNTIF($E75:AC75,"u")+COUNTIF($E75:AC75,"t")+COUNTIF($E75:AC75,"¶")+COUNTIF($E75:AC75,"²")+COUNTIF($E75:AC75,"µ")+COUNTIF($E75:AC75,1)),
HYPERLINK("#Roadmap!C"&amp; MATCH($E75,Roadmap!$D:$D,0)+COUNTIF($E75:AC75,"u")+COUNTIF($E75:AC75,"t"),
     INDEX(Roadmap!$D:$K,MATCH($E75,Roadmap!$D:$D,0)+COUNTIF($E75:AC75,"u")+COUNTIF($E75:AC75,"t")+COUNTIF($E75:AC75,"¶")+COUNTIF($E75:AC75,"²")+COUNTIF($E75:AC75,"µ")+COUNTIF($E75:AC75,1),ColTypeEcheance)),
  IF(LEN(AC75)=1,
  IF(LEN(INDEX(Roadmap!$D:$K,MATCH($E75,Roadmap!$D:$D,0)-1+COUNTIF($E75:AC75,"u")+COUNTIF($E75:AC75,"t")+COUNTIF($E75:AC75,"¶")+COUNTIF($E75:AC75,"²")+COUNTIF($E75:AC75,"µ")+COUNTIF($E75:AC75,1),ColDescriptionCourte))&gt;1,
HYPERLINK("#Roadmap!C"&amp; MATCH($E75,Roadmap!$D:$D,0)+COUNTIF($E75:AC75,"u")+COUNTIF($E75:AC75,"t")+COUNTIF($E75:AC75,"¶")+COUNTIF($E75:AC75,"²")+COUNTIF($E75:AC75,"µ")+COUNTIF($E75:AC75,1)-1,INDEX(Roadmap!$D:$K,MATCH($E75,Roadmap!$D:$D,0)-1+COUNTIF($E75:AC75,"u")+COUNTIF($E75:AC75,"t")+COUNTIF($E75:AC75,"¶")+COUNTIF($E75:AC75,"²")+COUNTIF($E75:AC75,"µ")+COUNTIF($E75:AC75,1),ColDescriptionCourte)),""),
  "")),"")</f>
        <v/>
      </c>
      <c r="AE75" s="40" t="str">
        <f ca="1">IFERROR(IF(AND(
  INDEX(Roadmap!$D:$K,MATCH($E75,Roadmap!$D:$D,0)+COUNTIF($E75:AD75,"u")+COUNTIF($E75:AD75,"t")+COUNTIF($E75:AD75,"¶")+COUNTIF($E75:AD75,"²")+COUNTIF($E75:AD75,"µ")+COUNTIF($E75:AD75,1),ColLivraison)=AE$6,
  VLOOKUP($E75,INDIRECT("tri!"&amp; CHAR(64+ C0Col) &amp;":"&amp; CHAR(65+C0Col)),2,FALSE)&gt;COUNTIF($E75:AD75,"u")+COUNTIF($E75:AD75,"t")+COUNTIF($E75:AD75,"¶")+COUNTIF($E75:AD75,"²")+COUNTIF($E75:AD75,"µ")+COUNTIF($E75:AD75,1)),
HYPERLINK("#Roadmap!C"&amp; MATCH($E75,Roadmap!$D:$D,0)+COUNTIF($E75:AD75,"u")+COUNTIF($E75:AD75,"t"),
     INDEX(Roadmap!$D:$K,MATCH($E75,Roadmap!$D:$D,0)+COUNTIF($E75:AD75,"u")+COUNTIF($E75:AD75,"t")+COUNTIF($E75:AD75,"¶")+COUNTIF($E75:AD75,"²")+COUNTIF($E75:AD75,"µ")+COUNTIF($E75:AD75,1),ColTypeEcheance)),
  IF(LEN(AD75)=1,
  IF(LEN(INDEX(Roadmap!$D:$K,MATCH($E75,Roadmap!$D:$D,0)-1+COUNTIF($E75:AD75,"u")+COUNTIF($E75:AD75,"t")+COUNTIF($E75:AD75,"¶")+COUNTIF($E75:AD75,"²")+COUNTIF($E75:AD75,"µ")+COUNTIF($E75:AD75,1),ColDescriptionCourte))&gt;1,
HYPERLINK("#Roadmap!C"&amp; MATCH($E75,Roadmap!$D:$D,0)+COUNTIF($E75:AD75,"u")+COUNTIF($E75:AD75,"t")+COUNTIF($E75:AD75,"¶")+COUNTIF($E75:AD75,"²")+COUNTIF($E75:AD75,"µ")+COUNTIF($E75:AD75,1)-1,INDEX(Roadmap!$D:$K,MATCH($E75,Roadmap!$D:$D,0)-1+COUNTIF($E75:AD75,"u")+COUNTIF($E75:AD75,"t")+COUNTIF($E75:AD75,"¶")+COUNTIF($E75:AD75,"²")+COUNTIF($E75:AD75,"µ")+COUNTIF($E75:AD75,1),ColDescriptionCourte)),""),
  "")),"")</f>
        <v/>
      </c>
      <c r="AF75" s="40" t="str">
        <f ca="1">IFERROR(IF(AND(
  INDEX(Roadmap!$D:$K,MATCH($E75,Roadmap!$D:$D,0)+COUNTIF($E75:AE75,"u")+COUNTIF($E75:AE75,"t")+COUNTIF($E75:AE75,"¶")+COUNTIF($E75:AE75,"²")+COUNTIF($E75:AE75,"µ")+COUNTIF($E75:AE75,1),ColLivraison)=AF$6,
  VLOOKUP($E75,INDIRECT("tri!"&amp; CHAR(64+ C0Col) &amp;":"&amp; CHAR(65+C0Col)),2,FALSE)&gt;COUNTIF($E75:AE75,"u")+COUNTIF($E75:AE75,"t")+COUNTIF($E75:AE75,"¶")+COUNTIF($E75:AE75,"²")+COUNTIF($E75:AE75,"µ")+COUNTIF($E75:AE75,1)),
HYPERLINK("#Roadmap!C"&amp; MATCH($E75,Roadmap!$D:$D,0)+COUNTIF($E75:AE75,"u")+COUNTIF($E75:AE75,"t"),
     INDEX(Roadmap!$D:$K,MATCH($E75,Roadmap!$D:$D,0)+COUNTIF($E75:AE75,"u")+COUNTIF($E75:AE75,"t")+COUNTIF($E75:AE75,"¶")+COUNTIF($E75:AE75,"²")+COUNTIF($E75:AE75,"µ")+COUNTIF($E75:AE75,1),ColTypeEcheance)),
  IF(LEN(AE75)=1,
  IF(LEN(INDEX(Roadmap!$D:$K,MATCH($E75,Roadmap!$D:$D,0)-1+COUNTIF($E75:AE75,"u")+COUNTIF($E75:AE75,"t")+COUNTIF($E75:AE75,"¶")+COUNTIF($E75:AE75,"²")+COUNTIF($E75:AE75,"µ")+COUNTIF($E75:AE75,1),ColDescriptionCourte))&gt;1,
HYPERLINK("#Roadmap!C"&amp; MATCH($E75,Roadmap!$D:$D,0)+COUNTIF($E75:AE75,"u")+COUNTIF($E75:AE75,"t")+COUNTIF($E75:AE75,"¶")+COUNTIF($E75:AE75,"²")+COUNTIF($E75:AE75,"µ")+COUNTIF($E75:AE75,1)-1,INDEX(Roadmap!$D:$K,MATCH($E75,Roadmap!$D:$D,0)-1+COUNTIF($E75:AE75,"u")+COUNTIF($E75:AE75,"t")+COUNTIF($E75:AE75,"¶")+COUNTIF($E75:AE75,"²")+COUNTIF($E75:AE75,"µ")+COUNTIF($E75:AE75,1),ColDescriptionCourte)),""),
  "")),"")</f>
        <v/>
      </c>
      <c r="AG75" s="40" t="str">
        <f ca="1">IFERROR(IF(AND(
  INDEX(Roadmap!$D:$K,MATCH($E75,Roadmap!$D:$D,0)+COUNTIF($E75:AF75,"u")+COUNTIF($E75:AF75,"t")+COUNTIF($E75:AF75,"¶")+COUNTIF($E75:AF75,"²")+COUNTIF($E75:AF75,"µ")+COUNTIF($E75:AF75,1),ColLivraison)=AG$6,
  VLOOKUP($E75,INDIRECT("tri!"&amp; CHAR(64+ C0Col) &amp;":"&amp; CHAR(65+C0Col)),2,FALSE)&gt;COUNTIF($E75:AF75,"u")+COUNTIF($E75:AF75,"t")+COUNTIF($E75:AF75,"¶")+COUNTIF($E75:AF75,"²")+COUNTIF($E75:AF75,"µ")+COUNTIF($E75:AF75,1)),
HYPERLINK("#Roadmap!C"&amp; MATCH($E75,Roadmap!$D:$D,0)+COUNTIF($E75:AF75,"u")+COUNTIF($E75:AF75,"t"),
     INDEX(Roadmap!$D:$K,MATCH($E75,Roadmap!$D:$D,0)+COUNTIF($E75:AF75,"u")+COUNTIF($E75:AF75,"t")+COUNTIF($E75:AF75,"¶")+COUNTIF($E75:AF75,"²")+COUNTIF($E75:AF75,"µ")+COUNTIF($E75:AF75,1),ColTypeEcheance)),
  IF(LEN(AF75)=1,
  IF(LEN(INDEX(Roadmap!$D:$K,MATCH($E75,Roadmap!$D:$D,0)-1+COUNTIF($E75:AF75,"u")+COUNTIF($E75:AF75,"t")+COUNTIF($E75:AF75,"¶")+COUNTIF($E75:AF75,"²")+COUNTIF($E75:AF75,"µ")+COUNTIF($E75:AF75,1),ColDescriptionCourte))&gt;1,
HYPERLINK("#Roadmap!C"&amp; MATCH($E75,Roadmap!$D:$D,0)+COUNTIF($E75:AF75,"u")+COUNTIF($E75:AF75,"t")+COUNTIF($E75:AF75,"¶")+COUNTIF($E75:AF75,"²")+COUNTIF($E75:AF75,"µ")+COUNTIF($E75:AF75,1)-1,INDEX(Roadmap!$D:$K,MATCH($E75,Roadmap!$D:$D,0)-1+COUNTIF($E75:AF75,"u")+COUNTIF($E75:AF75,"t")+COUNTIF($E75:AF75,"¶")+COUNTIF($E75:AF75,"²")+COUNTIF($E75:AF75,"µ")+COUNTIF($E75:AF75,1),ColDescriptionCourte)),""),
  "")),"")</f>
        <v/>
      </c>
    </row>
    <row r="76" spans="3:33" ht="14.25" customHeight="1">
      <c r="C76" s="1" t="str">
        <f t="shared" ca="1" si="47"/>
        <v/>
      </c>
      <c r="D76" s="1" t="str">
        <f t="shared" ca="1" si="48"/>
        <v/>
      </c>
      <c r="E76" s="35" t="str">
        <f t="shared" ca="1" si="46"/>
        <v/>
      </c>
      <c r="F76" s="39" t="str">
        <f ca="1">IFERROR(IF(AND(
  INDEX(Roadmap!$D:$K,MATCH($E76,Roadmap!$D:$D,0)+COUNTIF($E76:E76,"u")+COUNTIF($E76:E76,"t")+COUNTIF($E76:E76,"¶")+COUNTIF($E76:E76,"²")+COUNTIF($E76:E76,"µ")+COUNTIF($E76:E76,1),ColLivraison)=F$6,
  VLOOKUP($E76,INDIRECT("tri!"&amp; CHAR(64+ C0Col) &amp;":"&amp; CHAR(65+C0Col)),2,FALSE)&gt;COUNTIF($E76:E76,"u")+COUNTIF($E76:E76,"t")+COUNTIF($E76:E76,"¶")+COUNTIF($E76:E76,"²")+COUNTIF($E76:E76,"µ")+COUNTIF($E76:E76,1)),
HYPERLINK("#Roadmap!C"&amp; MATCH($E76,Roadmap!$D:$D,0)+COUNTIF($E76:E76,"u")+COUNTIF($E76:E76,"t"),
     INDEX(Roadmap!$D:$K,MATCH($E76,Roadmap!$D:$D,0)+COUNTIF($E76:E76,"u")+COUNTIF($E76:E76,"t")+COUNTIF($E76:E76,"¶")+COUNTIF($E76:E76,"²")+COUNTIF($E76:E76,"µ")+COUNTIF($E76:E76,1),ColTypeEcheance)),
  IF(LEN(E76)=1,
  IF(LEN(INDEX(Roadmap!$D:$K,MATCH($E76,Roadmap!$D:$D,0)-1+COUNTIF($E76:E76,"u")+COUNTIF($E76:E76,"t")+COUNTIF($E76:E76,"¶")+COUNTIF($E76:E76,"²")+COUNTIF($E76:E76,"µ")+COUNTIF($E76:E76,1),ColDescriptionCourte))&gt;1,
HYPERLINK("#Roadmap!C"&amp; MATCH($E76,Roadmap!$D:$D,0)+COUNTIF($E76:E76,"u")+COUNTIF($E76:E76,"t")+COUNTIF($E76:E76,"¶")+COUNTIF($E76:E76,"²")+COUNTIF($E76:E76,"µ")+COUNTIF($E76:E76,1)-1,INDEX(Roadmap!$D:$K,MATCH($E76,Roadmap!$D:$D,0)-1+COUNTIF($E76:E76,"u")+COUNTIF($E76:E76,"t")+COUNTIF($E76:E76,"¶")+COUNTIF($E76:E76,"²")+COUNTIF($E76:E76,"µ")+COUNTIF($E76:E76,1),ColDescriptionCourte)),""),
  "")),"")</f>
        <v/>
      </c>
      <c r="G76" s="40" t="str">
        <f ca="1">IFERROR(IF(AND(
  INDEX(Roadmap!$D:$K,MATCH($E76,Roadmap!$D:$D,0)+COUNTIF($E76:F76,"u")+COUNTIF($E76:F76,"t")+COUNTIF($E76:F76,"¶")+COUNTIF($E76:F76,"²")+COUNTIF($E76:F76,"µ")+COUNTIF($E76:F76,1),ColLivraison)=G$6,
  VLOOKUP($E76,INDIRECT("tri!"&amp; CHAR(64+ C0Col) &amp;":"&amp; CHAR(65+C0Col)),2,FALSE)&gt;COUNTIF($E76:F76,"u")+COUNTIF($E76:F76,"t")+COUNTIF($E76:F76,"¶")+COUNTIF($E76:F76,"²")+COUNTIF($E76:F76,"µ")+COUNTIF($E76:F76,1)),
HYPERLINK("#Roadmap!C"&amp; MATCH($E76,Roadmap!$D:$D,0)+COUNTIF($E76:F76,"u")+COUNTIF($E76:F76,"t"),
     INDEX(Roadmap!$D:$K,MATCH($E76,Roadmap!$D:$D,0)+COUNTIF($E76:F76,"u")+COUNTIF($E76:F76,"t")+COUNTIF($E76:F76,"¶")+COUNTIF($E76:F76,"²")+COUNTIF($E76:F76,"µ")+COUNTIF($E76:F76,1),ColTypeEcheance)),
  IF(LEN(F76)=1,
  IF(LEN(INDEX(Roadmap!$D:$K,MATCH($E76,Roadmap!$D:$D,0)-1+COUNTIF($E76:F76,"u")+COUNTIF($E76:F76,"t")+COUNTIF($E76:F76,"¶")+COUNTIF($E76:F76,"²")+COUNTIF($E76:F76,"µ")+COUNTIF($E76:F76,1),ColDescriptionCourte))&gt;1,
HYPERLINK("#Roadmap!C"&amp; MATCH($E76,Roadmap!$D:$D,0)+COUNTIF($E76:F76,"u")+COUNTIF($E76:F76,"t")+COUNTIF($E76:F76,"¶")+COUNTIF($E76:F76,"²")+COUNTIF($E76:F76,"µ")+COUNTIF($E76:F76,1)-1,INDEX(Roadmap!$D:$K,MATCH($E76,Roadmap!$D:$D,0)-1+COUNTIF($E76:F76,"u")+COUNTIF($E76:F76,"t")+COUNTIF($E76:F76,"¶")+COUNTIF($E76:F76,"²")+COUNTIF($E76:F76,"µ")+COUNTIF($E76:F76,1),ColDescriptionCourte)),""),
  "")),"")</f>
        <v/>
      </c>
      <c r="H76" s="40" t="str">
        <f ca="1">IFERROR(IF(AND(
  INDEX(Roadmap!$D:$K,MATCH($E76,Roadmap!$D:$D,0)+COUNTIF($E76:G76,"u")+COUNTIF($E76:G76,"t")+COUNTIF($E76:G76,"¶")+COUNTIF($E76:G76,"²")+COUNTIF($E76:G76,"µ")+COUNTIF($E76:G76,1),ColLivraison)=H$6,
  VLOOKUP($E76,INDIRECT("tri!"&amp; CHAR(64+ C0Col) &amp;":"&amp; CHAR(65+C0Col)),2,FALSE)&gt;COUNTIF($E76:G76,"u")+COUNTIF($E76:G76,"t")+COUNTIF($E76:G76,"¶")+COUNTIF($E76:G76,"²")+COUNTIF($E76:G76,"µ")+COUNTIF($E76:G76,1)),
HYPERLINK("#Roadmap!C"&amp; MATCH($E76,Roadmap!$D:$D,0)+COUNTIF($E76:G76,"u")+COUNTIF($E76:G76,"t"),
     INDEX(Roadmap!$D:$K,MATCH($E76,Roadmap!$D:$D,0)+COUNTIF($E76:G76,"u")+COUNTIF($E76:G76,"t")+COUNTIF($E76:G76,"¶")+COUNTIF($E76:G76,"²")+COUNTIF($E76:G76,"µ")+COUNTIF($E76:G76,1),ColTypeEcheance)),
  IF(LEN(G76)=1,
  IF(LEN(INDEX(Roadmap!$D:$K,MATCH($E76,Roadmap!$D:$D,0)-1+COUNTIF($E76:G76,"u")+COUNTIF($E76:G76,"t")+COUNTIF($E76:G76,"¶")+COUNTIF($E76:G76,"²")+COUNTIF($E76:G76,"µ")+COUNTIF($E76:G76,1),ColDescriptionCourte))&gt;1,
HYPERLINK("#Roadmap!C"&amp; MATCH($E76,Roadmap!$D:$D,0)+COUNTIF($E76:G76,"u")+COUNTIF($E76:G76,"t")+COUNTIF($E76:G76,"¶")+COUNTIF($E76:G76,"²")+COUNTIF($E76:G76,"µ")+COUNTIF($E76:G76,1)-1,INDEX(Roadmap!$D:$K,MATCH($E76,Roadmap!$D:$D,0)-1+COUNTIF($E76:G76,"u")+COUNTIF($E76:G76,"t")+COUNTIF($E76:G76,"¶")+COUNTIF($E76:G76,"²")+COUNTIF($E76:G76,"µ")+COUNTIF($E76:G76,1),ColDescriptionCourte)),""),
  "")),"")</f>
        <v/>
      </c>
      <c r="I76" s="40" t="str">
        <f ca="1">IFERROR(IF(AND(
  INDEX(Roadmap!$D:$K,MATCH($E76,Roadmap!$D:$D,0)+COUNTIF($E76:H76,"u")+COUNTIF($E76:H76,"t")+COUNTIF($E76:H76,"¶")+COUNTIF($E76:H76,"²")+COUNTIF($E76:H76,"µ")+COUNTIF($E76:H76,1),ColLivraison)=I$6,
  VLOOKUP($E76,INDIRECT("tri!"&amp; CHAR(64+ C0Col) &amp;":"&amp; CHAR(65+C0Col)),2,FALSE)&gt;COUNTIF($E76:H76,"u")+COUNTIF($E76:H76,"t")+COUNTIF($E76:H76,"¶")+COUNTIF($E76:H76,"²")+COUNTIF($E76:H76,"µ")+COUNTIF($E76:H76,1)),
HYPERLINK("#Roadmap!C"&amp; MATCH($E76,Roadmap!$D:$D,0)+COUNTIF($E76:H76,"u")+COUNTIF($E76:H76,"t"),
     INDEX(Roadmap!$D:$K,MATCH($E76,Roadmap!$D:$D,0)+COUNTIF($E76:H76,"u")+COUNTIF($E76:H76,"t")+COUNTIF($E76:H76,"¶")+COUNTIF($E76:H76,"²")+COUNTIF($E76:H76,"µ")+COUNTIF($E76:H76,1),ColTypeEcheance)),
  IF(LEN(H76)=1,
  IF(LEN(INDEX(Roadmap!$D:$K,MATCH($E76,Roadmap!$D:$D,0)-1+COUNTIF($E76:H76,"u")+COUNTIF($E76:H76,"t")+COUNTIF($E76:H76,"¶")+COUNTIF($E76:H76,"²")+COUNTIF($E76:H76,"µ")+COUNTIF($E76:H76,1),ColDescriptionCourte))&gt;1,
HYPERLINK("#Roadmap!C"&amp; MATCH($E76,Roadmap!$D:$D,0)+COUNTIF($E76:H76,"u")+COUNTIF($E76:H76,"t")+COUNTIF($E76:H76,"¶")+COUNTIF($E76:H76,"²")+COUNTIF($E76:H76,"µ")+COUNTIF($E76:H76,1)-1,INDEX(Roadmap!$D:$K,MATCH($E76,Roadmap!$D:$D,0)-1+COUNTIF($E76:H76,"u")+COUNTIF($E76:H76,"t")+COUNTIF($E76:H76,"¶")+COUNTIF($E76:H76,"²")+COUNTIF($E76:H76,"µ")+COUNTIF($E76:H76,1),ColDescriptionCourte)),""),
  "")),"")</f>
        <v/>
      </c>
      <c r="J76" s="40" t="str">
        <f ca="1">IFERROR(IF(AND(
  INDEX(Roadmap!$D:$K,MATCH($E76,Roadmap!$D:$D,0)+COUNTIF($E76:I76,"u")+COUNTIF($E76:I76,"t")+COUNTIF($E76:I76,"¶")+COUNTIF($E76:I76,"²")+COUNTIF($E76:I76,"µ")+COUNTIF($E76:I76,1),ColLivraison)=J$6,
  VLOOKUP($E76,INDIRECT("tri!"&amp; CHAR(64+ C0Col) &amp;":"&amp; CHAR(65+C0Col)),2,FALSE)&gt;COUNTIF($E76:I76,"u")+COUNTIF($E76:I76,"t")+COUNTIF($E76:I76,"¶")+COUNTIF($E76:I76,"²")+COUNTIF($E76:I76,"µ")+COUNTIF($E76:I76,1)),
HYPERLINK("#Roadmap!C"&amp; MATCH($E76,Roadmap!$D:$D,0)+COUNTIF($E76:I76,"u")+COUNTIF($E76:I76,"t"),
     INDEX(Roadmap!$D:$K,MATCH($E76,Roadmap!$D:$D,0)+COUNTIF($E76:I76,"u")+COUNTIF($E76:I76,"t")+COUNTIF($E76:I76,"¶")+COUNTIF($E76:I76,"²")+COUNTIF($E76:I76,"µ")+COUNTIF($E76:I76,1),ColTypeEcheance)),
  IF(LEN(I76)=1,
  IF(LEN(INDEX(Roadmap!$D:$K,MATCH($E76,Roadmap!$D:$D,0)-1+COUNTIF($E76:I76,"u")+COUNTIF($E76:I76,"t")+COUNTIF($E76:I76,"¶")+COUNTIF($E76:I76,"²")+COUNTIF($E76:I76,"µ")+COUNTIF($E76:I76,1),ColDescriptionCourte))&gt;1,
HYPERLINK("#Roadmap!C"&amp; MATCH($E76,Roadmap!$D:$D,0)+COUNTIF($E76:I76,"u")+COUNTIF($E76:I76,"t")+COUNTIF($E76:I76,"¶")+COUNTIF($E76:I76,"²")+COUNTIF($E76:I76,"µ")+COUNTIF($E76:I76,1)-1,INDEX(Roadmap!$D:$K,MATCH($E76,Roadmap!$D:$D,0)-1+COUNTIF($E76:I76,"u")+COUNTIF($E76:I76,"t")+COUNTIF($E76:I76,"¶")+COUNTIF($E76:I76,"²")+COUNTIF($E76:I76,"µ")+COUNTIF($E76:I76,1),ColDescriptionCourte)),""),
  "")),"")</f>
        <v/>
      </c>
      <c r="K76" s="40" t="str">
        <f ca="1">IFERROR(IF(AND(
  INDEX(Roadmap!$D:$K,MATCH($E76,Roadmap!$D:$D,0)+COUNTIF($E76:J76,"u")+COUNTIF($E76:J76,"t")+COUNTIF($E76:J76,"¶")+COUNTIF($E76:J76,"²")+COUNTIF($E76:J76,"µ")+COUNTIF($E76:J76,1),ColLivraison)=K$6,
  VLOOKUP($E76,INDIRECT("tri!"&amp; CHAR(64+ C0Col) &amp;":"&amp; CHAR(65+C0Col)),2,FALSE)&gt;COUNTIF($E76:J76,"u")+COUNTIF($E76:J76,"t")+COUNTIF($E76:J76,"¶")+COUNTIF($E76:J76,"²")+COUNTIF($E76:J76,"µ")+COUNTIF($E76:J76,1)),
HYPERLINK("#Roadmap!C"&amp; MATCH($E76,Roadmap!$D:$D,0)+COUNTIF($E76:J76,"u")+COUNTIF($E76:J76,"t"),
     INDEX(Roadmap!$D:$K,MATCH($E76,Roadmap!$D:$D,0)+COUNTIF($E76:J76,"u")+COUNTIF($E76:J76,"t")+COUNTIF($E76:J76,"¶")+COUNTIF($E76:J76,"²")+COUNTIF($E76:J76,"µ")+COUNTIF($E76:J76,1),ColTypeEcheance)),
  IF(LEN(J76)=1,
  IF(LEN(INDEX(Roadmap!$D:$K,MATCH($E76,Roadmap!$D:$D,0)-1+COUNTIF($E76:J76,"u")+COUNTIF($E76:J76,"t")+COUNTIF($E76:J76,"¶")+COUNTIF($E76:J76,"²")+COUNTIF($E76:J76,"µ")+COUNTIF($E76:J76,1),ColDescriptionCourte))&gt;1,
HYPERLINK("#Roadmap!C"&amp; MATCH($E76,Roadmap!$D:$D,0)+COUNTIF($E76:J76,"u")+COUNTIF($E76:J76,"t")+COUNTIF($E76:J76,"¶")+COUNTIF($E76:J76,"²")+COUNTIF($E76:J76,"µ")+COUNTIF($E76:J76,1)-1,INDEX(Roadmap!$D:$K,MATCH($E76,Roadmap!$D:$D,0)-1+COUNTIF($E76:J76,"u")+COUNTIF($E76:J76,"t")+COUNTIF($E76:J76,"¶")+COUNTIF($E76:J76,"²")+COUNTIF($E76:J76,"µ")+COUNTIF($E76:J76,1),ColDescriptionCourte)),""),
  "")),"")</f>
        <v/>
      </c>
      <c r="L76" s="39" t="str">
        <f ca="1">IFERROR(IF(AND(
  INDEX(Roadmap!$D:$K,MATCH($E76,Roadmap!$D:$D,0)+COUNTIF($E76:K76,"u")+COUNTIF($E76:K76,"t")+COUNTIF($E76:K76,"¶")+COUNTIF($E76:K76,"²")+COUNTIF($E76:K76,"µ")+COUNTIF($E76:K76,1),ColLivraison)=L$6,
  VLOOKUP($E76,INDIRECT("tri!"&amp; CHAR(64+ C0Col) &amp;":"&amp; CHAR(65+C0Col)),2,FALSE)&gt;COUNTIF($E76:K76,"u")+COUNTIF($E76:K76,"t")+COUNTIF($E76:K76,"¶")+COUNTIF($E76:K76,"²")+COUNTIF($E76:K76,"µ")+COUNTIF($E76:K76,1)),
HYPERLINK("#Roadmap!C"&amp; MATCH($E76,Roadmap!$D:$D,0)+COUNTIF($E76:K76,"u")+COUNTIF($E76:K76,"t"),
     INDEX(Roadmap!$D:$K,MATCH($E76,Roadmap!$D:$D,0)+COUNTIF($E76:K76,"u")+COUNTIF($E76:K76,"t")+COUNTIF($E76:K76,"¶")+COUNTIF($E76:K76,"²")+COUNTIF($E76:K76,"µ")+COUNTIF($E76:K76,1),ColTypeEcheance)),
  IF(LEN(K76)=1,
  IF(LEN(INDEX(Roadmap!$D:$K,MATCH($E76,Roadmap!$D:$D,0)-1+COUNTIF($E76:K76,"u")+COUNTIF($E76:K76,"t")+COUNTIF($E76:K76,"¶")+COUNTIF($E76:K76,"²")+COUNTIF($E76:K76,"µ")+COUNTIF($E76:K76,1),ColDescriptionCourte))&gt;1,
HYPERLINK("#Roadmap!C"&amp; MATCH($E76,Roadmap!$D:$D,0)+COUNTIF($E76:K76,"u")+COUNTIF($E76:K76,"t")+COUNTIF($E76:K76,"¶")+COUNTIF($E76:K76,"²")+COUNTIF($E76:K76,"µ")+COUNTIF($E76:K76,1)-1,INDEX(Roadmap!$D:$K,MATCH($E76,Roadmap!$D:$D,0)-1+COUNTIF($E76:K76,"u")+COUNTIF($E76:K76,"t")+COUNTIF($E76:K76,"¶")+COUNTIF($E76:K76,"²")+COUNTIF($E76:K76,"µ")+COUNTIF($E76:K76,1),ColDescriptionCourte)),""),
  "")),"")</f>
        <v/>
      </c>
      <c r="M76" s="40" t="str">
        <f ca="1">IFERROR(IF(AND(
  INDEX(Roadmap!$D:$K,MATCH($E76,Roadmap!$D:$D,0)+COUNTIF($E76:L76,"u")+COUNTIF($E76:L76,"t")+COUNTIF($E76:L76,"¶")+COUNTIF($E76:L76,"²")+COUNTIF($E76:L76,"µ")+COUNTIF($E76:L76,1),ColLivraison)=M$6,
  VLOOKUP($E76,INDIRECT("tri!"&amp; CHAR(64+ C0Col) &amp;":"&amp; CHAR(65+C0Col)),2,FALSE)&gt;COUNTIF($E76:L76,"u")+COUNTIF($E76:L76,"t")+COUNTIF($E76:L76,"¶")+COUNTIF($E76:L76,"²")+COUNTIF($E76:L76,"µ")+COUNTIF($E76:L76,1)),
HYPERLINK("#Roadmap!C"&amp; MATCH($E76,Roadmap!$D:$D,0)+COUNTIF($E76:L76,"u")+COUNTIF($E76:L76,"t"),
     INDEX(Roadmap!$D:$K,MATCH($E76,Roadmap!$D:$D,0)+COUNTIF($E76:L76,"u")+COUNTIF($E76:L76,"t")+COUNTIF($E76:L76,"¶")+COUNTIF($E76:L76,"²")+COUNTIF($E76:L76,"µ")+COUNTIF($E76:L76,1),ColTypeEcheance)),
  IF(LEN(L76)=1,
  IF(LEN(INDEX(Roadmap!$D:$K,MATCH($E76,Roadmap!$D:$D,0)-1+COUNTIF($E76:L76,"u")+COUNTIF($E76:L76,"t")+COUNTIF($E76:L76,"¶")+COUNTIF($E76:L76,"²")+COUNTIF($E76:L76,"µ")+COUNTIF($E76:L76,1),ColDescriptionCourte))&gt;1,
HYPERLINK("#Roadmap!C"&amp; MATCH($E76,Roadmap!$D:$D,0)+COUNTIF($E76:L76,"u")+COUNTIF($E76:L76,"t")+COUNTIF($E76:L76,"¶")+COUNTIF($E76:L76,"²")+COUNTIF($E76:L76,"µ")+COUNTIF($E76:L76,1)-1,INDEX(Roadmap!$D:$K,MATCH($E76,Roadmap!$D:$D,0)-1+COUNTIF($E76:L76,"u")+COUNTIF($E76:L76,"t")+COUNTIF($E76:L76,"¶")+COUNTIF($E76:L76,"²")+COUNTIF($E76:L76,"µ")+COUNTIF($E76:L76,1),ColDescriptionCourte)),""),
  "")),"")</f>
        <v/>
      </c>
      <c r="N76" s="40" t="str">
        <f ca="1">IFERROR(IF(AND(
  INDEX(Roadmap!$D:$K,MATCH($E76,Roadmap!$D:$D,0)+COUNTIF($E76:M76,"u")+COUNTIF($E76:M76,"t")+COUNTIF($E76:M76,"¶")+COUNTIF($E76:M76,"²")+COUNTIF($E76:M76,"µ")+COUNTIF($E76:M76,1),ColLivraison)=N$6,
  VLOOKUP($E76,INDIRECT("tri!"&amp; CHAR(64+ C0Col) &amp;":"&amp; CHAR(65+C0Col)),2,FALSE)&gt;COUNTIF($E76:M76,"u")+COUNTIF($E76:M76,"t")+COUNTIF($E76:M76,"¶")+COUNTIF($E76:M76,"²")+COUNTIF($E76:M76,"µ")+COUNTIF($E76:M76,1)),
HYPERLINK("#Roadmap!C"&amp; MATCH($E76,Roadmap!$D:$D,0)+COUNTIF($E76:M76,"u")+COUNTIF($E76:M76,"t"),
     INDEX(Roadmap!$D:$K,MATCH($E76,Roadmap!$D:$D,0)+COUNTIF($E76:M76,"u")+COUNTIF($E76:M76,"t")+COUNTIF($E76:M76,"¶")+COUNTIF($E76:M76,"²")+COUNTIF($E76:M76,"µ")+COUNTIF($E76:M76,1),ColTypeEcheance)),
  IF(LEN(M76)=1,
  IF(LEN(INDEX(Roadmap!$D:$K,MATCH($E76,Roadmap!$D:$D,0)-1+COUNTIF($E76:M76,"u")+COUNTIF($E76:M76,"t")+COUNTIF($E76:M76,"¶")+COUNTIF($E76:M76,"²")+COUNTIF($E76:M76,"µ")+COUNTIF($E76:M76,1),ColDescriptionCourte))&gt;1,
HYPERLINK("#Roadmap!C"&amp; MATCH($E76,Roadmap!$D:$D,0)+COUNTIF($E76:M76,"u")+COUNTIF($E76:M76,"t")+COUNTIF($E76:M76,"¶")+COUNTIF($E76:M76,"²")+COUNTIF($E76:M76,"µ")+COUNTIF($E76:M76,1)-1,INDEX(Roadmap!$D:$K,MATCH($E76,Roadmap!$D:$D,0)-1+COUNTIF($E76:M76,"u")+COUNTIF($E76:M76,"t")+COUNTIF($E76:M76,"¶")+COUNTIF($E76:M76,"²")+COUNTIF($E76:M76,"µ")+COUNTIF($E76:M76,1),ColDescriptionCourte)),""),
  "")),"")</f>
        <v/>
      </c>
      <c r="O76" s="40" t="str">
        <f ca="1">IFERROR(IF(AND(
  INDEX(Roadmap!$D:$K,MATCH($E76,Roadmap!$D:$D,0)+COUNTIF($E76:N76,"u")+COUNTIF($E76:N76,"t")+COUNTIF($E76:N76,"¶")+COUNTIF($E76:N76,"²")+COUNTIF($E76:N76,"µ")+COUNTIF($E76:N76,1),ColLivraison)=O$6,
  VLOOKUP($E76,INDIRECT("tri!"&amp; CHAR(64+ C0Col) &amp;":"&amp; CHAR(65+C0Col)),2,FALSE)&gt;COUNTIF($E76:N76,"u")+COUNTIF($E76:N76,"t")+COUNTIF($E76:N76,"¶")+COUNTIF($E76:N76,"²")+COUNTIF($E76:N76,"µ")+COUNTIF($E76:N76,1)),
HYPERLINK("#Roadmap!C"&amp; MATCH($E76,Roadmap!$D:$D,0)+COUNTIF($E76:N76,"u")+COUNTIF($E76:N76,"t"),
     INDEX(Roadmap!$D:$K,MATCH($E76,Roadmap!$D:$D,0)+COUNTIF($E76:N76,"u")+COUNTIF($E76:N76,"t")+COUNTIF($E76:N76,"¶")+COUNTIF($E76:N76,"²")+COUNTIF($E76:N76,"µ")+COUNTIF($E76:N76,1),ColTypeEcheance)),
  IF(LEN(N76)=1,
  IF(LEN(INDEX(Roadmap!$D:$K,MATCH($E76,Roadmap!$D:$D,0)-1+COUNTIF($E76:N76,"u")+COUNTIF($E76:N76,"t")+COUNTIF($E76:N76,"¶")+COUNTIF($E76:N76,"²")+COUNTIF($E76:N76,"µ")+COUNTIF($E76:N76,1),ColDescriptionCourte))&gt;1,
HYPERLINK("#Roadmap!C"&amp; MATCH($E76,Roadmap!$D:$D,0)+COUNTIF($E76:N76,"u")+COUNTIF($E76:N76,"t")+COUNTIF($E76:N76,"¶")+COUNTIF($E76:N76,"²")+COUNTIF($E76:N76,"µ")+COUNTIF($E76:N76,1)-1,INDEX(Roadmap!$D:$K,MATCH($E76,Roadmap!$D:$D,0)-1+COUNTIF($E76:N76,"u")+COUNTIF($E76:N76,"t")+COUNTIF($E76:N76,"¶")+COUNTIF($E76:N76,"²")+COUNTIF($E76:N76,"µ")+COUNTIF($E76:N76,1),ColDescriptionCourte)),""),
  "")),"")</f>
        <v/>
      </c>
      <c r="P76" s="40" t="str">
        <f ca="1">IFERROR(IF(AND(
  INDEX(Roadmap!$D:$K,MATCH($E76,Roadmap!$D:$D,0)+COUNTIF($E76:O76,"u")+COUNTIF($E76:O76,"t")+COUNTIF($E76:O76,"¶")+COUNTIF($E76:O76,"²")+COUNTIF($E76:O76,"µ")+COUNTIF($E76:O76,1),ColLivraison)=P$6,
  VLOOKUP($E76,INDIRECT("tri!"&amp; CHAR(64+ C0Col) &amp;":"&amp; CHAR(65+C0Col)),2,FALSE)&gt;COUNTIF($E76:O76,"u")+COUNTIF($E76:O76,"t")+COUNTIF($E76:O76,"¶")+COUNTIF($E76:O76,"²")+COUNTIF($E76:O76,"µ")+COUNTIF($E76:O76,1)),
HYPERLINK("#Roadmap!C"&amp; MATCH($E76,Roadmap!$D:$D,0)+COUNTIF($E76:O76,"u")+COUNTIF($E76:O76,"t"),
     INDEX(Roadmap!$D:$K,MATCH($E76,Roadmap!$D:$D,0)+COUNTIF($E76:O76,"u")+COUNTIF($E76:O76,"t")+COUNTIF($E76:O76,"¶")+COUNTIF($E76:O76,"²")+COUNTIF($E76:O76,"µ")+COUNTIF($E76:O76,1),ColTypeEcheance)),
  IF(LEN(O76)=1,
  IF(LEN(INDEX(Roadmap!$D:$K,MATCH($E76,Roadmap!$D:$D,0)-1+COUNTIF($E76:O76,"u")+COUNTIF($E76:O76,"t")+COUNTIF($E76:O76,"¶")+COUNTIF($E76:O76,"²")+COUNTIF($E76:O76,"µ")+COUNTIF($E76:O76,1),ColDescriptionCourte))&gt;1,
HYPERLINK("#Roadmap!C"&amp; MATCH($E76,Roadmap!$D:$D,0)+COUNTIF($E76:O76,"u")+COUNTIF($E76:O76,"t")+COUNTIF($E76:O76,"¶")+COUNTIF($E76:O76,"²")+COUNTIF($E76:O76,"µ")+COUNTIF($E76:O76,1)-1,INDEX(Roadmap!$D:$K,MATCH($E76,Roadmap!$D:$D,0)-1+COUNTIF($E76:O76,"u")+COUNTIF($E76:O76,"t")+COUNTIF($E76:O76,"¶")+COUNTIF($E76:O76,"²")+COUNTIF($E76:O76,"µ")+COUNTIF($E76:O76,1),ColDescriptionCourte)),""),
  "")),"")</f>
        <v/>
      </c>
      <c r="Q76" s="40" t="str">
        <f ca="1">IFERROR(IF(AND(
  INDEX(Roadmap!$D:$K,MATCH($E76,Roadmap!$D:$D,0)+COUNTIF($E76:P76,"u")+COUNTIF($E76:P76,"t")+COUNTIF($E76:P76,"¶")+COUNTIF($E76:P76,"²")+COUNTIF($E76:P76,"µ")+COUNTIF($E76:P76,1),ColLivraison)=Q$6,
  VLOOKUP($E76,INDIRECT("tri!"&amp; CHAR(64+ C0Col) &amp;":"&amp; CHAR(65+C0Col)),2,FALSE)&gt;COUNTIF($E76:P76,"u")+COUNTIF($E76:P76,"t")+COUNTIF($E76:P76,"¶")+COUNTIF($E76:P76,"²")+COUNTIF($E76:P76,"µ")+COUNTIF($E76:P76,1)),
HYPERLINK("#Roadmap!C"&amp; MATCH($E76,Roadmap!$D:$D,0)+COUNTIF($E76:P76,"u")+COUNTIF($E76:P76,"t"),
     INDEX(Roadmap!$D:$K,MATCH($E76,Roadmap!$D:$D,0)+COUNTIF($E76:P76,"u")+COUNTIF($E76:P76,"t")+COUNTIF($E76:P76,"¶")+COUNTIF($E76:P76,"²")+COUNTIF($E76:P76,"µ")+COUNTIF($E76:P76,1),ColTypeEcheance)),
  IF(LEN(P76)=1,
  IF(LEN(INDEX(Roadmap!$D:$K,MATCH($E76,Roadmap!$D:$D,0)-1+COUNTIF($E76:P76,"u")+COUNTIF($E76:P76,"t")+COUNTIF($E76:P76,"¶")+COUNTIF($E76:P76,"²")+COUNTIF($E76:P76,"µ")+COUNTIF($E76:P76,1),ColDescriptionCourte))&gt;1,
HYPERLINK("#Roadmap!C"&amp; MATCH($E76,Roadmap!$D:$D,0)+COUNTIF($E76:P76,"u")+COUNTIF($E76:P76,"t")+COUNTIF($E76:P76,"¶")+COUNTIF($E76:P76,"²")+COUNTIF($E76:P76,"µ")+COUNTIF($E76:P76,1)-1,INDEX(Roadmap!$D:$K,MATCH($E76,Roadmap!$D:$D,0)-1+COUNTIF($E76:P76,"u")+COUNTIF($E76:P76,"t")+COUNTIF($E76:P76,"¶")+COUNTIF($E76:P76,"²")+COUNTIF($E76:P76,"µ")+COUNTIF($E76:P76,1),ColDescriptionCourte)),""),
  "")),"")</f>
        <v/>
      </c>
      <c r="R76" s="40" t="str">
        <f ca="1">IFERROR(IF(AND(
  INDEX(Roadmap!$D:$K,MATCH($E76,Roadmap!$D:$D,0)+COUNTIF($E76:Q76,"u")+COUNTIF($E76:Q76,"t")+COUNTIF($E76:Q76,"¶")+COUNTIF($E76:Q76,"²")+COUNTIF($E76:Q76,"µ")+COUNTIF($E76:Q76,1),ColLivraison)=R$6,
  VLOOKUP($E76,INDIRECT("tri!"&amp; CHAR(64+ C0Col) &amp;":"&amp; CHAR(65+C0Col)),2,FALSE)&gt;COUNTIF($E76:Q76,"u")+COUNTIF($E76:Q76,"t")+COUNTIF($E76:Q76,"¶")+COUNTIF($E76:Q76,"²")+COUNTIF($E76:Q76,"µ")+COUNTIF($E76:Q76,1)),
HYPERLINK("#Roadmap!C"&amp; MATCH($E76,Roadmap!$D:$D,0)+COUNTIF($E76:Q76,"u")+COUNTIF($E76:Q76,"t"),
     INDEX(Roadmap!$D:$K,MATCH($E76,Roadmap!$D:$D,0)+COUNTIF($E76:Q76,"u")+COUNTIF($E76:Q76,"t")+COUNTIF($E76:Q76,"¶")+COUNTIF($E76:Q76,"²")+COUNTIF($E76:Q76,"µ")+COUNTIF($E76:Q76,1),ColTypeEcheance)),
  IF(LEN(Q76)=1,
  IF(LEN(INDEX(Roadmap!$D:$K,MATCH($E76,Roadmap!$D:$D,0)-1+COUNTIF($E76:Q76,"u")+COUNTIF($E76:Q76,"t")+COUNTIF($E76:Q76,"¶")+COUNTIF($E76:Q76,"²")+COUNTIF($E76:Q76,"µ")+COUNTIF($E76:Q76,1),ColDescriptionCourte))&gt;1,
HYPERLINK("#Roadmap!C"&amp; MATCH($E76,Roadmap!$D:$D,0)+COUNTIF($E76:Q76,"u")+COUNTIF($E76:Q76,"t")+COUNTIF($E76:Q76,"¶")+COUNTIF($E76:Q76,"²")+COUNTIF($E76:Q76,"µ")+COUNTIF($E76:Q76,1)-1,INDEX(Roadmap!$D:$K,MATCH($E76,Roadmap!$D:$D,0)-1+COUNTIF($E76:Q76,"u")+COUNTIF($E76:Q76,"t")+COUNTIF($E76:Q76,"¶")+COUNTIF($E76:Q76,"²")+COUNTIF($E76:Q76,"µ")+COUNTIF($E76:Q76,1),ColDescriptionCourte)),""),
  "")),"")</f>
        <v/>
      </c>
      <c r="S76" s="40" t="str">
        <f ca="1">IFERROR(IF(AND(
  INDEX(Roadmap!$D:$K,MATCH($E76,Roadmap!$D:$D,0)+COUNTIF($E76:R76,"u")+COUNTIF($E76:R76,"t")+COUNTIF($E76:R76,"¶")+COUNTIF($E76:R76,"²")+COUNTIF($E76:R76,"µ")+COUNTIF($E76:R76,1),ColLivraison)=S$6,
  VLOOKUP($E76,INDIRECT("tri!"&amp; CHAR(64+ C0Col) &amp;":"&amp; CHAR(65+C0Col)),2,FALSE)&gt;COUNTIF($E76:R76,"u")+COUNTIF($E76:R76,"t")+COUNTIF($E76:R76,"¶")+COUNTIF($E76:R76,"²")+COUNTIF($E76:R76,"µ")+COUNTIF($E76:R76,1)),
HYPERLINK("#Roadmap!C"&amp; MATCH($E76,Roadmap!$D:$D,0)+COUNTIF($E76:R76,"u")+COUNTIF($E76:R76,"t"),
     INDEX(Roadmap!$D:$K,MATCH($E76,Roadmap!$D:$D,0)+COUNTIF($E76:R76,"u")+COUNTIF($E76:R76,"t")+COUNTIF($E76:R76,"¶")+COUNTIF($E76:R76,"²")+COUNTIF($E76:R76,"µ")+COUNTIF($E76:R76,1),ColTypeEcheance)),
  IF(LEN(R76)=1,
  IF(LEN(INDEX(Roadmap!$D:$K,MATCH($E76,Roadmap!$D:$D,0)-1+COUNTIF($E76:R76,"u")+COUNTIF($E76:R76,"t")+COUNTIF($E76:R76,"¶")+COUNTIF($E76:R76,"²")+COUNTIF($E76:R76,"µ")+COUNTIF($E76:R76,1),ColDescriptionCourte))&gt;1,
HYPERLINK("#Roadmap!C"&amp; MATCH($E76,Roadmap!$D:$D,0)+COUNTIF($E76:R76,"u")+COUNTIF($E76:R76,"t")+COUNTIF($E76:R76,"¶")+COUNTIF($E76:R76,"²")+COUNTIF($E76:R76,"µ")+COUNTIF($E76:R76,1)-1,INDEX(Roadmap!$D:$K,MATCH($E76,Roadmap!$D:$D,0)-1+COUNTIF($E76:R76,"u")+COUNTIF($E76:R76,"t")+COUNTIF($E76:R76,"¶")+COUNTIF($E76:R76,"²")+COUNTIF($E76:R76,"µ")+COUNTIF($E76:R76,1),ColDescriptionCourte)),""),
  "")),"")</f>
        <v/>
      </c>
      <c r="T76" s="40" t="str">
        <f ca="1">IFERROR(IF(AND(
  INDEX(Roadmap!$D:$K,MATCH($E76,Roadmap!$D:$D,0)+COUNTIF($E76:S76,"u")+COUNTIF($E76:S76,"t")+COUNTIF($E76:S76,"¶")+COUNTIF($E76:S76,"²")+COUNTIF($E76:S76,"µ")+COUNTIF($E76:S76,1),ColLivraison)=T$6,
  VLOOKUP($E76,INDIRECT("tri!"&amp; CHAR(64+ C0Col) &amp;":"&amp; CHAR(65+C0Col)),2,FALSE)&gt;COUNTIF($E76:S76,"u")+COUNTIF($E76:S76,"t")+COUNTIF($E76:S76,"¶")+COUNTIF($E76:S76,"²")+COUNTIF($E76:S76,"µ")+COUNTIF($E76:S76,1)),
HYPERLINK("#Roadmap!C"&amp; MATCH($E76,Roadmap!$D:$D,0)+COUNTIF($E76:S76,"u")+COUNTIF($E76:S76,"t"),
     INDEX(Roadmap!$D:$K,MATCH($E76,Roadmap!$D:$D,0)+COUNTIF($E76:S76,"u")+COUNTIF($E76:S76,"t")+COUNTIF($E76:S76,"¶")+COUNTIF($E76:S76,"²")+COUNTIF($E76:S76,"µ")+COUNTIF($E76:S76,1),ColTypeEcheance)),
  IF(LEN(S76)=1,
  IF(LEN(INDEX(Roadmap!$D:$K,MATCH($E76,Roadmap!$D:$D,0)-1+COUNTIF($E76:S76,"u")+COUNTIF($E76:S76,"t")+COUNTIF($E76:S76,"¶")+COUNTIF($E76:S76,"²")+COUNTIF($E76:S76,"µ")+COUNTIF($E76:S76,1),ColDescriptionCourte))&gt;1,
HYPERLINK("#Roadmap!C"&amp; MATCH($E76,Roadmap!$D:$D,0)+COUNTIF($E76:S76,"u")+COUNTIF($E76:S76,"t")+COUNTIF($E76:S76,"¶")+COUNTIF($E76:S76,"²")+COUNTIF($E76:S76,"µ")+COUNTIF($E76:S76,1)-1,INDEX(Roadmap!$D:$K,MATCH($E76,Roadmap!$D:$D,0)-1+COUNTIF($E76:S76,"u")+COUNTIF($E76:S76,"t")+COUNTIF($E76:S76,"¶")+COUNTIF($E76:S76,"²")+COUNTIF($E76:S76,"µ")+COUNTIF($E76:S76,1),ColDescriptionCourte)),""),
  "")),"")</f>
        <v/>
      </c>
      <c r="U76" s="40" t="str">
        <f ca="1">IFERROR(IF(AND(
  INDEX(Roadmap!$D:$K,MATCH($E76,Roadmap!$D:$D,0)+COUNTIF($E76:T76,"u")+COUNTIF($E76:T76,"t")+COUNTIF($E76:T76,"¶")+COUNTIF($E76:T76,"²")+COUNTIF($E76:T76,"µ")+COUNTIF($E76:T76,1),ColLivraison)=U$6,
  VLOOKUP($E76,INDIRECT("tri!"&amp; CHAR(64+ C0Col) &amp;":"&amp; CHAR(65+C0Col)),2,FALSE)&gt;COUNTIF($E76:T76,"u")+COUNTIF($E76:T76,"t")+COUNTIF($E76:T76,"¶")+COUNTIF($E76:T76,"²")+COUNTIF($E76:T76,"µ")+COUNTIF($E76:T76,1)),
HYPERLINK("#Roadmap!C"&amp; MATCH($E76,Roadmap!$D:$D,0)+COUNTIF($E76:T76,"u")+COUNTIF($E76:T76,"t"),
     INDEX(Roadmap!$D:$K,MATCH($E76,Roadmap!$D:$D,0)+COUNTIF($E76:T76,"u")+COUNTIF($E76:T76,"t")+COUNTIF($E76:T76,"¶")+COUNTIF($E76:T76,"²")+COUNTIF($E76:T76,"µ")+COUNTIF($E76:T76,1),ColTypeEcheance)),
  IF(LEN(T76)=1,
  IF(LEN(INDEX(Roadmap!$D:$K,MATCH($E76,Roadmap!$D:$D,0)-1+COUNTIF($E76:T76,"u")+COUNTIF($E76:T76,"t")+COUNTIF($E76:T76,"¶")+COUNTIF($E76:T76,"²")+COUNTIF($E76:T76,"µ")+COUNTIF($E76:T76,1),ColDescriptionCourte))&gt;1,
HYPERLINK("#Roadmap!C"&amp; MATCH($E76,Roadmap!$D:$D,0)+COUNTIF($E76:T76,"u")+COUNTIF($E76:T76,"t")+COUNTIF($E76:T76,"¶")+COUNTIF($E76:T76,"²")+COUNTIF($E76:T76,"µ")+COUNTIF($E76:T76,1)-1,INDEX(Roadmap!$D:$K,MATCH($E76,Roadmap!$D:$D,0)-1+COUNTIF($E76:T76,"u")+COUNTIF($E76:T76,"t")+COUNTIF($E76:T76,"¶")+COUNTIF($E76:T76,"²")+COUNTIF($E76:T76,"µ")+COUNTIF($E76:T76,1),ColDescriptionCourte)),""),
  "")),"")</f>
        <v/>
      </c>
      <c r="V76" s="40" t="str">
        <f ca="1">IFERROR(IF(AND(
  INDEX(Roadmap!$D:$K,MATCH($E76,Roadmap!$D:$D,0)+COUNTIF($E76:U76,"u")+COUNTIF($E76:U76,"t")+COUNTIF($E76:U76,"¶")+COUNTIF($E76:U76,"²")+COUNTIF($E76:U76,"µ")+COUNTIF($E76:U76,1),ColLivraison)=V$6,
  VLOOKUP($E76,INDIRECT("tri!"&amp; CHAR(64+ C0Col) &amp;":"&amp; CHAR(65+C0Col)),2,FALSE)&gt;COUNTIF($E76:U76,"u")+COUNTIF($E76:U76,"t")+COUNTIF($E76:U76,"¶")+COUNTIF($E76:U76,"²")+COUNTIF($E76:U76,"µ")+COUNTIF($E76:U76,1)),
HYPERLINK("#Roadmap!C"&amp; MATCH($E76,Roadmap!$D:$D,0)+COUNTIF($E76:U76,"u")+COUNTIF($E76:U76,"t"),
     INDEX(Roadmap!$D:$K,MATCH($E76,Roadmap!$D:$D,0)+COUNTIF($E76:U76,"u")+COUNTIF($E76:U76,"t")+COUNTIF($E76:U76,"¶")+COUNTIF($E76:U76,"²")+COUNTIF($E76:U76,"µ")+COUNTIF($E76:U76,1),ColTypeEcheance)),
  IF(LEN(U76)=1,
  IF(LEN(INDEX(Roadmap!$D:$K,MATCH($E76,Roadmap!$D:$D,0)-1+COUNTIF($E76:U76,"u")+COUNTIF($E76:U76,"t")+COUNTIF($E76:U76,"¶")+COUNTIF($E76:U76,"²")+COUNTIF($E76:U76,"µ")+COUNTIF($E76:U76,1),ColDescriptionCourte))&gt;1,
HYPERLINK("#Roadmap!C"&amp; MATCH($E76,Roadmap!$D:$D,0)+COUNTIF($E76:U76,"u")+COUNTIF($E76:U76,"t")+COUNTIF($E76:U76,"¶")+COUNTIF($E76:U76,"²")+COUNTIF($E76:U76,"µ")+COUNTIF($E76:U76,1)-1,INDEX(Roadmap!$D:$K,MATCH($E76,Roadmap!$D:$D,0)-1+COUNTIF($E76:U76,"u")+COUNTIF($E76:U76,"t")+COUNTIF($E76:U76,"¶")+COUNTIF($E76:U76,"²")+COUNTIF($E76:U76,"µ")+COUNTIF($E76:U76,1),ColDescriptionCourte)),""),
  "")),"")</f>
        <v/>
      </c>
      <c r="W76" s="40" t="str">
        <f ca="1">IFERROR(IF(AND(
  INDEX(Roadmap!$D:$K,MATCH($E76,Roadmap!$D:$D,0)+COUNTIF($E76:V76,"u")+COUNTIF($E76:V76,"t")+COUNTIF($E76:V76,"¶")+COUNTIF($E76:V76,"²")+COUNTIF($E76:V76,"µ")+COUNTIF($E76:V76,1),ColLivraison)=W$6,
  VLOOKUP($E76,INDIRECT("tri!"&amp; CHAR(64+ C0Col) &amp;":"&amp; CHAR(65+C0Col)),2,FALSE)&gt;COUNTIF($E76:V76,"u")+COUNTIF($E76:V76,"t")+COUNTIF($E76:V76,"¶")+COUNTIF($E76:V76,"²")+COUNTIF($E76:V76,"µ")+COUNTIF($E76:V76,1)),
HYPERLINK("#Roadmap!C"&amp; MATCH($E76,Roadmap!$D:$D,0)+COUNTIF($E76:V76,"u")+COUNTIF($E76:V76,"t"),
     INDEX(Roadmap!$D:$K,MATCH($E76,Roadmap!$D:$D,0)+COUNTIF($E76:V76,"u")+COUNTIF($E76:V76,"t")+COUNTIF($E76:V76,"¶")+COUNTIF($E76:V76,"²")+COUNTIF($E76:V76,"µ")+COUNTIF($E76:V76,1),ColTypeEcheance)),
  IF(LEN(V76)=1,
  IF(LEN(INDEX(Roadmap!$D:$K,MATCH($E76,Roadmap!$D:$D,0)-1+COUNTIF($E76:V76,"u")+COUNTIF($E76:V76,"t")+COUNTIF($E76:V76,"¶")+COUNTIF($E76:V76,"²")+COUNTIF($E76:V76,"µ")+COUNTIF($E76:V76,1),ColDescriptionCourte))&gt;1,
HYPERLINK("#Roadmap!C"&amp; MATCH($E76,Roadmap!$D:$D,0)+COUNTIF($E76:V76,"u")+COUNTIF($E76:V76,"t")+COUNTIF($E76:V76,"¶")+COUNTIF($E76:V76,"²")+COUNTIF($E76:V76,"µ")+COUNTIF($E76:V76,1)-1,INDEX(Roadmap!$D:$K,MATCH($E76,Roadmap!$D:$D,0)-1+COUNTIF($E76:V76,"u")+COUNTIF($E76:V76,"t")+COUNTIF($E76:V76,"¶")+COUNTIF($E76:V76,"²")+COUNTIF($E76:V76,"µ")+COUNTIF($E76:V76,1),ColDescriptionCourte)),""),
  "")),"")</f>
        <v/>
      </c>
      <c r="X76" s="40" t="str">
        <f ca="1">IFERROR(IF(AND(
  INDEX(Roadmap!$D:$K,MATCH($E76,Roadmap!$D:$D,0)+COUNTIF($E76:W76,"u")+COUNTIF($E76:W76,"t")+COUNTIF($E76:W76,"¶")+COUNTIF($E76:W76,"²")+COUNTIF($E76:W76,"µ")+COUNTIF($E76:W76,1),ColLivraison)=X$6,
  VLOOKUP($E76,INDIRECT("tri!"&amp; CHAR(64+ C0Col) &amp;":"&amp; CHAR(65+C0Col)),2,FALSE)&gt;COUNTIF($E76:W76,"u")+COUNTIF($E76:W76,"t")+COUNTIF($E76:W76,"¶")+COUNTIF($E76:W76,"²")+COUNTIF($E76:W76,"µ")+COUNTIF($E76:W76,1)),
HYPERLINK("#Roadmap!C"&amp; MATCH($E76,Roadmap!$D:$D,0)+COUNTIF($E76:W76,"u")+COUNTIF($E76:W76,"t"),
     INDEX(Roadmap!$D:$K,MATCH($E76,Roadmap!$D:$D,0)+COUNTIF($E76:W76,"u")+COUNTIF($E76:W76,"t")+COUNTIF($E76:W76,"¶")+COUNTIF($E76:W76,"²")+COUNTIF($E76:W76,"µ")+COUNTIF($E76:W76,1),ColTypeEcheance)),
  IF(LEN(W76)=1,
  IF(LEN(INDEX(Roadmap!$D:$K,MATCH($E76,Roadmap!$D:$D,0)-1+COUNTIF($E76:W76,"u")+COUNTIF($E76:W76,"t")+COUNTIF($E76:W76,"¶")+COUNTIF($E76:W76,"²")+COUNTIF($E76:W76,"µ")+COUNTIF($E76:W76,1),ColDescriptionCourte))&gt;1,
HYPERLINK("#Roadmap!C"&amp; MATCH($E76,Roadmap!$D:$D,0)+COUNTIF($E76:W76,"u")+COUNTIF($E76:W76,"t")+COUNTIF($E76:W76,"¶")+COUNTIF($E76:W76,"²")+COUNTIF($E76:W76,"µ")+COUNTIF($E76:W76,1)-1,INDEX(Roadmap!$D:$K,MATCH($E76,Roadmap!$D:$D,0)-1+COUNTIF($E76:W76,"u")+COUNTIF($E76:W76,"t")+COUNTIF($E76:W76,"¶")+COUNTIF($E76:W76,"²")+COUNTIF($E76:W76,"µ")+COUNTIF($E76:W76,1),ColDescriptionCourte)),""),
  "")),"")</f>
        <v/>
      </c>
      <c r="Y76" s="40" t="str">
        <f ca="1">IFERROR(IF(AND(
  INDEX(Roadmap!$D:$K,MATCH($E76,Roadmap!$D:$D,0)+COUNTIF($E76:X76,"u")+COUNTIF($E76:X76,"t")+COUNTIF($E76:X76,"¶")+COUNTIF($E76:X76,"²")+COUNTIF($E76:X76,"µ")+COUNTIF($E76:X76,1),ColLivraison)=Y$6,
  VLOOKUP($E76,INDIRECT("tri!"&amp; CHAR(64+ C0Col) &amp;":"&amp; CHAR(65+C0Col)),2,FALSE)&gt;COUNTIF($E76:X76,"u")+COUNTIF($E76:X76,"t")+COUNTIF($E76:X76,"¶")+COUNTIF($E76:X76,"²")+COUNTIF($E76:X76,"µ")+COUNTIF($E76:X76,1)),
HYPERLINK("#Roadmap!C"&amp; MATCH($E76,Roadmap!$D:$D,0)+COUNTIF($E76:X76,"u")+COUNTIF($E76:X76,"t"),
     INDEX(Roadmap!$D:$K,MATCH($E76,Roadmap!$D:$D,0)+COUNTIF($E76:X76,"u")+COUNTIF($E76:X76,"t")+COUNTIF($E76:X76,"¶")+COUNTIF($E76:X76,"²")+COUNTIF($E76:X76,"µ")+COUNTIF($E76:X76,1),ColTypeEcheance)),
  IF(LEN(X76)=1,
  IF(LEN(INDEX(Roadmap!$D:$K,MATCH($E76,Roadmap!$D:$D,0)-1+COUNTIF($E76:X76,"u")+COUNTIF($E76:X76,"t")+COUNTIF($E76:X76,"¶")+COUNTIF($E76:X76,"²")+COUNTIF($E76:X76,"µ")+COUNTIF($E76:X76,1),ColDescriptionCourte))&gt;1,
HYPERLINK("#Roadmap!C"&amp; MATCH($E76,Roadmap!$D:$D,0)+COUNTIF($E76:X76,"u")+COUNTIF($E76:X76,"t")+COUNTIF($E76:X76,"¶")+COUNTIF($E76:X76,"²")+COUNTIF($E76:X76,"µ")+COUNTIF($E76:X76,1)-1,INDEX(Roadmap!$D:$K,MATCH($E76,Roadmap!$D:$D,0)-1+COUNTIF($E76:X76,"u")+COUNTIF($E76:X76,"t")+COUNTIF($E76:X76,"¶")+COUNTIF($E76:X76,"²")+COUNTIF($E76:X76,"µ")+COUNTIF($E76:X76,1),ColDescriptionCourte)),""),
  "")),"")</f>
        <v/>
      </c>
      <c r="Z76" s="40" t="str">
        <f ca="1">IFERROR(IF(AND(
  INDEX(Roadmap!$D:$K,MATCH($E76,Roadmap!$D:$D,0)+COUNTIF($E76:Y76,"u")+COUNTIF($E76:Y76,"t")+COUNTIF($E76:Y76,"¶")+COUNTIF($E76:Y76,"²")+COUNTIF($E76:Y76,"µ")+COUNTIF($E76:Y76,1),ColLivraison)=Z$6,
  VLOOKUP($E76,INDIRECT("tri!"&amp; CHAR(64+ C0Col) &amp;":"&amp; CHAR(65+C0Col)),2,FALSE)&gt;COUNTIF($E76:Y76,"u")+COUNTIF($E76:Y76,"t")+COUNTIF($E76:Y76,"¶")+COUNTIF($E76:Y76,"²")+COUNTIF($E76:Y76,"µ")+COUNTIF($E76:Y76,1)),
HYPERLINK("#Roadmap!C"&amp; MATCH($E76,Roadmap!$D:$D,0)+COUNTIF($E76:Y76,"u")+COUNTIF($E76:Y76,"t"),
     INDEX(Roadmap!$D:$K,MATCH($E76,Roadmap!$D:$D,0)+COUNTIF($E76:Y76,"u")+COUNTIF($E76:Y76,"t")+COUNTIF($E76:Y76,"¶")+COUNTIF($E76:Y76,"²")+COUNTIF($E76:Y76,"µ")+COUNTIF($E76:Y76,1),ColTypeEcheance)),
  IF(LEN(Y76)=1,
  IF(LEN(INDEX(Roadmap!$D:$K,MATCH($E76,Roadmap!$D:$D,0)-1+COUNTIF($E76:Y76,"u")+COUNTIF($E76:Y76,"t")+COUNTIF($E76:Y76,"¶")+COUNTIF($E76:Y76,"²")+COUNTIF($E76:Y76,"µ")+COUNTIF($E76:Y76,1),ColDescriptionCourte))&gt;1,
HYPERLINK("#Roadmap!C"&amp; MATCH($E76,Roadmap!$D:$D,0)+COUNTIF($E76:Y76,"u")+COUNTIF($E76:Y76,"t")+COUNTIF($E76:Y76,"¶")+COUNTIF($E76:Y76,"²")+COUNTIF($E76:Y76,"µ")+COUNTIF($E76:Y76,1)-1,INDEX(Roadmap!$D:$K,MATCH($E76,Roadmap!$D:$D,0)-1+COUNTIF($E76:Y76,"u")+COUNTIF($E76:Y76,"t")+COUNTIF($E76:Y76,"¶")+COUNTIF($E76:Y76,"²")+COUNTIF($E76:Y76,"µ")+COUNTIF($E76:Y76,1),ColDescriptionCourte)),""),
  "")),"")</f>
        <v/>
      </c>
      <c r="AA76" s="40" t="str">
        <f ca="1">IFERROR(IF(AND(
  INDEX(Roadmap!$D:$K,MATCH($E76,Roadmap!$D:$D,0)+COUNTIF($E76:Z76,"u")+COUNTIF($E76:Z76,"t")+COUNTIF($E76:Z76,"¶")+COUNTIF($E76:Z76,"²")+COUNTIF($E76:Z76,"µ")+COUNTIF($E76:Z76,1),ColLivraison)=AA$6,
  VLOOKUP($E76,INDIRECT("tri!"&amp; CHAR(64+ C0Col) &amp;":"&amp; CHAR(65+C0Col)),2,FALSE)&gt;COUNTIF($E76:Z76,"u")+COUNTIF($E76:Z76,"t")+COUNTIF($E76:Z76,"¶")+COUNTIF($E76:Z76,"²")+COUNTIF($E76:Z76,"µ")+COUNTIF($E76:Z76,1)),
HYPERLINK("#Roadmap!C"&amp; MATCH($E76,Roadmap!$D:$D,0)+COUNTIF($E76:Z76,"u")+COUNTIF($E76:Z76,"t"),
     INDEX(Roadmap!$D:$K,MATCH($E76,Roadmap!$D:$D,0)+COUNTIF($E76:Z76,"u")+COUNTIF($E76:Z76,"t")+COUNTIF($E76:Z76,"¶")+COUNTIF($E76:Z76,"²")+COUNTIF($E76:Z76,"µ")+COUNTIF($E76:Z76,1),ColTypeEcheance)),
  IF(LEN(Z76)=1,
  IF(LEN(INDEX(Roadmap!$D:$K,MATCH($E76,Roadmap!$D:$D,0)-1+COUNTIF($E76:Z76,"u")+COUNTIF($E76:Z76,"t")+COUNTIF($E76:Z76,"¶")+COUNTIF($E76:Z76,"²")+COUNTIF($E76:Z76,"µ")+COUNTIF($E76:Z76,1),ColDescriptionCourte))&gt;1,
HYPERLINK("#Roadmap!C"&amp; MATCH($E76,Roadmap!$D:$D,0)+COUNTIF($E76:Z76,"u")+COUNTIF($E76:Z76,"t")+COUNTIF($E76:Z76,"¶")+COUNTIF($E76:Z76,"²")+COUNTIF($E76:Z76,"µ")+COUNTIF($E76:Z76,1)-1,INDEX(Roadmap!$D:$K,MATCH($E76,Roadmap!$D:$D,0)-1+COUNTIF($E76:Z76,"u")+COUNTIF($E76:Z76,"t")+COUNTIF($E76:Z76,"¶")+COUNTIF($E76:Z76,"²")+COUNTIF($E76:Z76,"µ")+COUNTIF($E76:Z76,1),ColDescriptionCourte)),""),
  "")),"")</f>
        <v/>
      </c>
      <c r="AB76" s="40" t="str">
        <f ca="1">IFERROR(IF(AND(
  INDEX(Roadmap!$D:$K,MATCH($E76,Roadmap!$D:$D,0)+COUNTIF($E76:AA76,"u")+COUNTIF($E76:AA76,"t")+COUNTIF($E76:AA76,"¶")+COUNTIF($E76:AA76,"²")+COUNTIF($E76:AA76,"µ")+COUNTIF($E76:AA76,1),ColLivraison)=AB$6,
  VLOOKUP($E76,INDIRECT("tri!"&amp; CHAR(64+ C0Col) &amp;":"&amp; CHAR(65+C0Col)),2,FALSE)&gt;COUNTIF($E76:AA76,"u")+COUNTIF($E76:AA76,"t")+COUNTIF($E76:AA76,"¶")+COUNTIF($E76:AA76,"²")+COUNTIF($E76:AA76,"µ")+COUNTIF($E76:AA76,1)),
HYPERLINK("#Roadmap!C"&amp; MATCH($E76,Roadmap!$D:$D,0)+COUNTIF($E76:AA76,"u")+COUNTIF($E76:AA76,"t"),
     INDEX(Roadmap!$D:$K,MATCH($E76,Roadmap!$D:$D,0)+COUNTIF($E76:AA76,"u")+COUNTIF($E76:AA76,"t")+COUNTIF($E76:AA76,"¶")+COUNTIF($E76:AA76,"²")+COUNTIF($E76:AA76,"µ")+COUNTIF($E76:AA76,1),ColTypeEcheance)),
  IF(LEN(AA76)=1,
  IF(LEN(INDEX(Roadmap!$D:$K,MATCH($E76,Roadmap!$D:$D,0)-1+COUNTIF($E76:AA76,"u")+COUNTIF($E76:AA76,"t")+COUNTIF($E76:AA76,"¶")+COUNTIF($E76:AA76,"²")+COUNTIF($E76:AA76,"µ")+COUNTIF($E76:AA76,1),ColDescriptionCourte))&gt;1,
HYPERLINK("#Roadmap!C"&amp; MATCH($E76,Roadmap!$D:$D,0)+COUNTIF($E76:AA76,"u")+COUNTIF($E76:AA76,"t")+COUNTIF($E76:AA76,"¶")+COUNTIF($E76:AA76,"²")+COUNTIF($E76:AA76,"µ")+COUNTIF($E76:AA76,1)-1,INDEX(Roadmap!$D:$K,MATCH($E76,Roadmap!$D:$D,0)-1+COUNTIF($E76:AA76,"u")+COUNTIF($E76:AA76,"t")+COUNTIF($E76:AA76,"¶")+COUNTIF($E76:AA76,"²")+COUNTIF($E76:AA76,"µ")+COUNTIF($E76:AA76,1),ColDescriptionCourte)),""),
  "")),"")</f>
        <v/>
      </c>
      <c r="AC76" s="40" t="str">
        <f ca="1">IFERROR(IF(AND(
  INDEX(Roadmap!$D:$K,MATCH($E76,Roadmap!$D:$D,0)+COUNTIF($E76:AB76,"u")+COUNTIF($E76:AB76,"t")+COUNTIF($E76:AB76,"¶")+COUNTIF($E76:AB76,"²")+COUNTIF($E76:AB76,"µ")+COUNTIF($E76:AB76,1),ColLivraison)=AC$6,
  VLOOKUP($E76,INDIRECT("tri!"&amp; CHAR(64+ C0Col) &amp;":"&amp; CHAR(65+C0Col)),2,FALSE)&gt;COUNTIF($E76:AB76,"u")+COUNTIF($E76:AB76,"t")+COUNTIF($E76:AB76,"¶")+COUNTIF($E76:AB76,"²")+COUNTIF($E76:AB76,"µ")+COUNTIF($E76:AB76,1)),
HYPERLINK("#Roadmap!C"&amp; MATCH($E76,Roadmap!$D:$D,0)+COUNTIF($E76:AB76,"u")+COUNTIF($E76:AB76,"t"),
     INDEX(Roadmap!$D:$K,MATCH($E76,Roadmap!$D:$D,0)+COUNTIF($E76:AB76,"u")+COUNTIF($E76:AB76,"t")+COUNTIF($E76:AB76,"¶")+COUNTIF($E76:AB76,"²")+COUNTIF($E76:AB76,"µ")+COUNTIF($E76:AB76,1),ColTypeEcheance)),
  IF(LEN(AB76)=1,
  IF(LEN(INDEX(Roadmap!$D:$K,MATCH($E76,Roadmap!$D:$D,0)-1+COUNTIF($E76:AB76,"u")+COUNTIF($E76:AB76,"t")+COUNTIF($E76:AB76,"¶")+COUNTIF($E76:AB76,"²")+COUNTIF($E76:AB76,"µ")+COUNTIF($E76:AB76,1),ColDescriptionCourte))&gt;1,
HYPERLINK("#Roadmap!C"&amp; MATCH($E76,Roadmap!$D:$D,0)+COUNTIF($E76:AB76,"u")+COUNTIF($E76:AB76,"t")+COUNTIF($E76:AB76,"¶")+COUNTIF($E76:AB76,"²")+COUNTIF($E76:AB76,"µ")+COUNTIF($E76:AB76,1)-1,INDEX(Roadmap!$D:$K,MATCH($E76,Roadmap!$D:$D,0)-1+COUNTIF($E76:AB76,"u")+COUNTIF($E76:AB76,"t")+COUNTIF($E76:AB76,"¶")+COUNTIF($E76:AB76,"²")+COUNTIF($E76:AB76,"µ")+COUNTIF($E76:AB76,1),ColDescriptionCourte)),""),
  "")),"")</f>
        <v/>
      </c>
      <c r="AD76" s="40" t="str">
        <f ca="1">IFERROR(IF(AND(
  INDEX(Roadmap!$D:$K,MATCH($E76,Roadmap!$D:$D,0)+COUNTIF($E76:AC76,"u")+COUNTIF($E76:AC76,"t")+COUNTIF($E76:AC76,"¶")+COUNTIF($E76:AC76,"²")+COUNTIF($E76:AC76,"µ")+COUNTIF($E76:AC76,1),ColLivraison)=AD$6,
  VLOOKUP($E76,INDIRECT("tri!"&amp; CHAR(64+ C0Col) &amp;":"&amp; CHAR(65+C0Col)),2,FALSE)&gt;COUNTIF($E76:AC76,"u")+COUNTIF($E76:AC76,"t")+COUNTIF($E76:AC76,"¶")+COUNTIF($E76:AC76,"²")+COUNTIF($E76:AC76,"µ")+COUNTIF($E76:AC76,1)),
HYPERLINK("#Roadmap!C"&amp; MATCH($E76,Roadmap!$D:$D,0)+COUNTIF($E76:AC76,"u")+COUNTIF($E76:AC76,"t"),
     INDEX(Roadmap!$D:$K,MATCH($E76,Roadmap!$D:$D,0)+COUNTIF($E76:AC76,"u")+COUNTIF($E76:AC76,"t")+COUNTIF($E76:AC76,"¶")+COUNTIF($E76:AC76,"²")+COUNTIF($E76:AC76,"µ")+COUNTIF($E76:AC76,1),ColTypeEcheance)),
  IF(LEN(AC76)=1,
  IF(LEN(INDEX(Roadmap!$D:$K,MATCH($E76,Roadmap!$D:$D,0)-1+COUNTIF($E76:AC76,"u")+COUNTIF($E76:AC76,"t")+COUNTIF($E76:AC76,"¶")+COUNTIF($E76:AC76,"²")+COUNTIF($E76:AC76,"µ")+COUNTIF($E76:AC76,1),ColDescriptionCourte))&gt;1,
HYPERLINK("#Roadmap!C"&amp; MATCH($E76,Roadmap!$D:$D,0)+COUNTIF($E76:AC76,"u")+COUNTIF($E76:AC76,"t")+COUNTIF($E76:AC76,"¶")+COUNTIF($E76:AC76,"²")+COUNTIF($E76:AC76,"µ")+COUNTIF($E76:AC76,1)-1,INDEX(Roadmap!$D:$K,MATCH($E76,Roadmap!$D:$D,0)-1+COUNTIF($E76:AC76,"u")+COUNTIF($E76:AC76,"t")+COUNTIF($E76:AC76,"¶")+COUNTIF($E76:AC76,"²")+COUNTIF($E76:AC76,"µ")+COUNTIF($E76:AC76,1),ColDescriptionCourte)),""),
  "")),"")</f>
        <v/>
      </c>
      <c r="AE76" s="40" t="str">
        <f ca="1">IFERROR(IF(AND(
  INDEX(Roadmap!$D:$K,MATCH($E76,Roadmap!$D:$D,0)+COUNTIF($E76:AD76,"u")+COUNTIF($E76:AD76,"t")+COUNTIF($E76:AD76,"¶")+COUNTIF($E76:AD76,"²")+COUNTIF($E76:AD76,"µ")+COUNTIF($E76:AD76,1),ColLivraison)=AE$6,
  VLOOKUP($E76,INDIRECT("tri!"&amp; CHAR(64+ C0Col) &amp;":"&amp; CHAR(65+C0Col)),2,FALSE)&gt;COUNTIF($E76:AD76,"u")+COUNTIF($E76:AD76,"t")+COUNTIF($E76:AD76,"¶")+COUNTIF($E76:AD76,"²")+COUNTIF($E76:AD76,"µ")+COUNTIF($E76:AD76,1)),
HYPERLINK("#Roadmap!C"&amp; MATCH($E76,Roadmap!$D:$D,0)+COUNTIF($E76:AD76,"u")+COUNTIF($E76:AD76,"t"),
     INDEX(Roadmap!$D:$K,MATCH($E76,Roadmap!$D:$D,0)+COUNTIF($E76:AD76,"u")+COUNTIF($E76:AD76,"t")+COUNTIF($E76:AD76,"¶")+COUNTIF($E76:AD76,"²")+COUNTIF($E76:AD76,"µ")+COUNTIF($E76:AD76,1),ColTypeEcheance)),
  IF(LEN(AD76)=1,
  IF(LEN(INDEX(Roadmap!$D:$K,MATCH($E76,Roadmap!$D:$D,0)-1+COUNTIF($E76:AD76,"u")+COUNTIF($E76:AD76,"t")+COUNTIF($E76:AD76,"¶")+COUNTIF($E76:AD76,"²")+COUNTIF($E76:AD76,"µ")+COUNTIF($E76:AD76,1),ColDescriptionCourte))&gt;1,
HYPERLINK("#Roadmap!C"&amp; MATCH($E76,Roadmap!$D:$D,0)+COUNTIF($E76:AD76,"u")+COUNTIF($E76:AD76,"t")+COUNTIF($E76:AD76,"¶")+COUNTIF($E76:AD76,"²")+COUNTIF($E76:AD76,"µ")+COUNTIF($E76:AD76,1)-1,INDEX(Roadmap!$D:$K,MATCH($E76,Roadmap!$D:$D,0)-1+COUNTIF($E76:AD76,"u")+COUNTIF($E76:AD76,"t")+COUNTIF($E76:AD76,"¶")+COUNTIF($E76:AD76,"²")+COUNTIF($E76:AD76,"µ")+COUNTIF($E76:AD76,1),ColDescriptionCourte)),""),
  "")),"")</f>
        <v/>
      </c>
      <c r="AF76" s="40" t="str">
        <f ca="1">IFERROR(IF(AND(
  INDEX(Roadmap!$D:$K,MATCH($E76,Roadmap!$D:$D,0)+COUNTIF($E76:AE76,"u")+COUNTIF($E76:AE76,"t")+COUNTIF($E76:AE76,"¶")+COUNTIF($E76:AE76,"²")+COUNTIF($E76:AE76,"µ")+COUNTIF($E76:AE76,1),ColLivraison)=AF$6,
  VLOOKUP($E76,INDIRECT("tri!"&amp; CHAR(64+ C0Col) &amp;":"&amp; CHAR(65+C0Col)),2,FALSE)&gt;COUNTIF($E76:AE76,"u")+COUNTIF($E76:AE76,"t")+COUNTIF($E76:AE76,"¶")+COUNTIF($E76:AE76,"²")+COUNTIF($E76:AE76,"µ")+COUNTIF($E76:AE76,1)),
HYPERLINK("#Roadmap!C"&amp; MATCH($E76,Roadmap!$D:$D,0)+COUNTIF($E76:AE76,"u")+COUNTIF($E76:AE76,"t"),
     INDEX(Roadmap!$D:$K,MATCH($E76,Roadmap!$D:$D,0)+COUNTIF($E76:AE76,"u")+COUNTIF($E76:AE76,"t")+COUNTIF($E76:AE76,"¶")+COUNTIF($E76:AE76,"²")+COUNTIF($E76:AE76,"µ")+COUNTIF($E76:AE76,1),ColTypeEcheance)),
  IF(LEN(AE76)=1,
  IF(LEN(INDEX(Roadmap!$D:$K,MATCH($E76,Roadmap!$D:$D,0)-1+COUNTIF($E76:AE76,"u")+COUNTIF($E76:AE76,"t")+COUNTIF($E76:AE76,"¶")+COUNTIF($E76:AE76,"²")+COUNTIF($E76:AE76,"µ")+COUNTIF($E76:AE76,1),ColDescriptionCourte))&gt;1,
HYPERLINK("#Roadmap!C"&amp; MATCH($E76,Roadmap!$D:$D,0)+COUNTIF($E76:AE76,"u")+COUNTIF($E76:AE76,"t")+COUNTIF($E76:AE76,"¶")+COUNTIF($E76:AE76,"²")+COUNTIF($E76:AE76,"µ")+COUNTIF($E76:AE76,1)-1,INDEX(Roadmap!$D:$K,MATCH($E76,Roadmap!$D:$D,0)-1+COUNTIF($E76:AE76,"u")+COUNTIF($E76:AE76,"t")+COUNTIF($E76:AE76,"¶")+COUNTIF($E76:AE76,"²")+COUNTIF($E76:AE76,"µ")+COUNTIF($E76:AE76,1),ColDescriptionCourte)),""),
  "")),"")</f>
        <v/>
      </c>
      <c r="AG76" s="40" t="str">
        <f ca="1">IFERROR(IF(AND(
  INDEX(Roadmap!$D:$K,MATCH($E76,Roadmap!$D:$D,0)+COUNTIF($E76:AF76,"u")+COUNTIF($E76:AF76,"t")+COUNTIF($E76:AF76,"¶")+COUNTIF($E76:AF76,"²")+COUNTIF($E76:AF76,"µ")+COUNTIF($E76:AF76,1),ColLivraison)=AG$6,
  VLOOKUP($E76,INDIRECT("tri!"&amp; CHAR(64+ C0Col) &amp;":"&amp; CHAR(65+C0Col)),2,FALSE)&gt;COUNTIF($E76:AF76,"u")+COUNTIF($E76:AF76,"t")+COUNTIF($E76:AF76,"¶")+COUNTIF($E76:AF76,"²")+COUNTIF($E76:AF76,"µ")+COUNTIF($E76:AF76,1)),
HYPERLINK("#Roadmap!C"&amp; MATCH($E76,Roadmap!$D:$D,0)+COUNTIF($E76:AF76,"u")+COUNTIF($E76:AF76,"t"),
     INDEX(Roadmap!$D:$K,MATCH($E76,Roadmap!$D:$D,0)+COUNTIF($E76:AF76,"u")+COUNTIF($E76:AF76,"t")+COUNTIF($E76:AF76,"¶")+COUNTIF($E76:AF76,"²")+COUNTIF($E76:AF76,"µ")+COUNTIF($E76:AF76,1),ColTypeEcheance)),
  IF(LEN(AF76)=1,
  IF(LEN(INDEX(Roadmap!$D:$K,MATCH($E76,Roadmap!$D:$D,0)-1+COUNTIF($E76:AF76,"u")+COUNTIF($E76:AF76,"t")+COUNTIF($E76:AF76,"¶")+COUNTIF($E76:AF76,"²")+COUNTIF($E76:AF76,"µ")+COUNTIF($E76:AF76,1),ColDescriptionCourte))&gt;1,
HYPERLINK("#Roadmap!C"&amp; MATCH($E76,Roadmap!$D:$D,0)+COUNTIF($E76:AF76,"u")+COUNTIF($E76:AF76,"t")+COUNTIF($E76:AF76,"¶")+COUNTIF($E76:AF76,"²")+COUNTIF($E76:AF76,"µ")+COUNTIF($E76:AF76,1)-1,INDEX(Roadmap!$D:$K,MATCH($E76,Roadmap!$D:$D,0)-1+COUNTIF($E76:AF76,"u")+COUNTIF($E76:AF76,"t")+COUNTIF($E76:AF76,"¶")+COUNTIF($E76:AF76,"²")+COUNTIF($E76:AF76,"µ")+COUNTIF($E76:AF76,1),ColDescriptionCourte)),""),
  "")),"")</f>
        <v/>
      </c>
    </row>
    <row r="77" spans="3:33" ht="14.25" customHeight="1">
      <c r="C77" s="1" t="str">
        <f t="shared" ca="1" si="47"/>
        <v/>
      </c>
      <c r="D77" s="1" t="str">
        <f t="shared" ca="1" si="48"/>
        <v/>
      </c>
      <c r="E77" s="35" t="str">
        <f t="shared" ca="1" si="46"/>
        <v/>
      </c>
      <c r="F77" s="39" t="str">
        <f ca="1">IFERROR(IF(AND(
  INDEX(Roadmap!$D:$K,MATCH($E77,Roadmap!$D:$D,0)+COUNTIF($E77:E77,"u")+COUNTIF($E77:E77,"t")+COUNTIF($E77:E77,"¶")+COUNTIF($E77:E77,"²")+COUNTIF($E77:E77,"µ")+COUNTIF($E77:E77,1),ColLivraison)=F$6,
  VLOOKUP($E77,INDIRECT("tri!"&amp; CHAR(64+ C0Col) &amp;":"&amp; CHAR(65+C0Col)),2,FALSE)&gt;COUNTIF($E77:E77,"u")+COUNTIF($E77:E77,"t")+COUNTIF($E77:E77,"¶")+COUNTIF($E77:E77,"²")+COUNTIF($E77:E77,"µ")+COUNTIF($E77:E77,1)),
HYPERLINK("#Roadmap!C"&amp; MATCH($E77,Roadmap!$D:$D,0)+COUNTIF($E77:E77,"u")+COUNTIF($E77:E77,"t"),
     INDEX(Roadmap!$D:$K,MATCH($E77,Roadmap!$D:$D,0)+COUNTIF($E77:E77,"u")+COUNTIF($E77:E77,"t")+COUNTIF($E77:E77,"¶")+COUNTIF($E77:E77,"²")+COUNTIF($E77:E77,"µ")+COUNTIF($E77:E77,1),ColTypeEcheance)),
  IF(LEN(E77)=1,
  IF(LEN(INDEX(Roadmap!$D:$K,MATCH($E77,Roadmap!$D:$D,0)-1+COUNTIF($E77:E77,"u")+COUNTIF($E77:E77,"t")+COUNTIF($E77:E77,"¶")+COUNTIF($E77:E77,"²")+COUNTIF($E77:E77,"µ")+COUNTIF($E77:E77,1),ColDescriptionCourte))&gt;1,
HYPERLINK("#Roadmap!C"&amp; MATCH($E77,Roadmap!$D:$D,0)+COUNTIF($E77:E77,"u")+COUNTIF($E77:E77,"t")+COUNTIF($E77:E77,"¶")+COUNTIF($E77:E77,"²")+COUNTIF($E77:E77,"µ")+COUNTIF($E77:E77,1)-1,INDEX(Roadmap!$D:$K,MATCH($E77,Roadmap!$D:$D,0)-1+COUNTIF($E77:E77,"u")+COUNTIF($E77:E77,"t")+COUNTIF($E77:E77,"¶")+COUNTIF($E77:E77,"²")+COUNTIF($E77:E77,"µ")+COUNTIF($E77:E77,1),ColDescriptionCourte)),""),
  "")),"")</f>
        <v/>
      </c>
      <c r="G77" s="40" t="str">
        <f ca="1">IFERROR(IF(AND(
  INDEX(Roadmap!$D:$K,MATCH($E77,Roadmap!$D:$D,0)+COUNTIF($E77:F77,"u")+COUNTIF($E77:F77,"t")+COUNTIF($E77:F77,"¶")+COUNTIF($E77:F77,"²")+COUNTIF($E77:F77,"µ")+COUNTIF($E77:F77,1),ColLivraison)=G$6,
  VLOOKUP($E77,INDIRECT("tri!"&amp; CHAR(64+ C0Col) &amp;":"&amp; CHAR(65+C0Col)),2,FALSE)&gt;COUNTIF($E77:F77,"u")+COUNTIF($E77:F77,"t")+COUNTIF($E77:F77,"¶")+COUNTIF($E77:F77,"²")+COUNTIF($E77:F77,"µ")+COUNTIF($E77:F77,1)),
HYPERLINK("#Roadmap!C"&amp; MATCH($E77,Roadmap!$D:$D,0)+COUNTIF($E77:F77,"u")+COUNTIF($E77:F77,"t"),
     INDEX(Roadmap!$D:$K,MATCH($E77,Roadmap!$D:$D,0)+COUNTIF($E77:F77,"u")+COUNTIF($E77:F77,"t")+COUNTIF($E77:F77,"¶")+COUNTIF($E77:F77,"²")+COUNTIF($E77:F77,"µ")+COUNTIF($E77:F77,1),ColTypeEcheance)),
  IF(LEN(F77)=1,
  IF(LEN(INDEX(Roadmap!$D:$K,MATCH($E77,Roadmap!$D:$D,0)-1+COUNTIF($E77:F77,"u")+COUNTIF($E77:F77,"t")+COUNTIF($E77:F77,"¶")+COUNTIF($E77:F77,"²")+COUNTIF($E77:F77,"µ")+COUNTIF($E77:F77,1),ColDescriptionCourte))&gt;1,
HYPERLINK("#Roadmap!C"&amp; MATCH($E77,Roadmap!$D:$D,0)+COUNTIF($E77:F77,"u")+COUNTIF($E77:F77,"t")+COUNTIF($E77:F77,"¶")+COUNTIF($E77:F77,"²")+COUNTIF($E77:F77,"µ")+COUNTIF($E77:F77,1)-1,INDEX(Roadmap!$D:$K,MATCH($E77,Roadmap!$D:$D,0)-1+COUNTIF($E77:F77,"u")+COUNTIF($E77:F77,"t")+COUNTIF($E77:F77,"¶")+COUNTIF($E77:F77,"²")+COUNTIF($E77:F77,"µ")+COUNTIF($E77:F77,1),ColDescriptionCourte)),""),
  "")),"")</f>
        <v/>
      </c>
      <c r="H77" s="40" t="str">
        <f ca="1">IFERROR(IF(AND(
  INDEX(Roadmap!$D:$K,MATCH($E77,Roadmap!$D:$D,0)+COUNTIF($E77:G77,"u")+COUNTIF($E77:G77,"t")+COUNTIF($E77:G77,"¶")+COUNTIF($E77:G77,"²")+COUNTIF($E77:G77,"µ")+COUNTIF($E77:G77,1),ColLivraison)=H$6,
  VLOOKUP($E77,INDIRECT("tri!"&amp; CHAR(64+ C0Col) &amp;":"&amp; CHAR(65+C0Col)),2,FALSE)&gt;COUNTIF($E77:G77,"u")+COUNTIF($E77:G77,"t")+COUNTIF($E77:G77,"¶")+COUNTIF($E77:G77,"²")+COUNTIF($E77:G77,"µ")+COUNTIF($E77:G77,1)),
HYPERLINK("#Roadmap!C"&amp; MATCH($E77,Roadmap!$D:$D,0)+COUNTIF($E77:G77,"u")+COUNTIF($E77:G77,"t"),
     INDEX(Roadmap!$D:$K,MATCH($E77,Roadmap!$D:$D,0)+COUNTIF($E77:G77,"u")+COUNTIF($E77:G77,"t")+COUNTIF($E77:G77,"¶")+COUNTIF($E77:G77,"²")+COUNTIF($E77:G77,"µ")+COUNTIF($E77:G77,1),ColTypeEcheance)),
  IF(LEN(G77)=1,
  IF(LEN(INDEX(Roadmap!$D:$K,MATCH($E77,Roadmap!$D:$D,0)-1+COUNTIF($E77:G77,"u")+COUNTIF($E77:G77,"t")+COUNTIF($E77:G77,"¶")+COUNTIF($E77:G77,"²")+COUNTIF($E77:G77,"µ")+COUNTIF($E77:G77,1),ColDescriptionCourte))&gt;1,
HYPERLINK("#Roadmap!C"&amp; MATCH($E77,Roadmap!$D:$D,0)+COUNTIF($E77:G77,"u")+COUNTIF($E77:G77,"t")+COUNTIF($E77:G77,"¶")+COUNTIF($E77:G77,"²")+COUNTIF($E77:G77,"µ")+COUNTIF($E77:G77,1)-1,INDEX(Roadmap!$D:$K,MATCH($E77,Roadmap!$D:$D,0)-1+COUNTIF($E77:G77,"u")+COUNTIF($E77:G77,"t")+COUNTIF($E77:G77,"¶")+COUNTIF($E77:G77,"²")+COUNTIF($E77:G77,"µ")+COUNTIF($E77:G77,1),ColDescriptionCourte)),""),
  "")),"")</f>
        <v/>
      </c>
      <c r="I77" s="40" t="str">
        <f ca="1">IFERROR(IF(AND(
  INDEX(Roadmap!$D:$K,MATCH($E77,Roadmap!$D:$D,0)+COUNTIF($E77:H77,"u")+COUNTIF($E77:H77,"t")+COUNTIF($E77:H77,"¶")+COUNTIF($E77:H77,"²")+COUNTIF($E77:H77,"µ")+COUNTIF($E77:H77,1),ColLivraison)=I$6,
  VLOOKUP($E77,INDIRECT("tri!"&amp; CHAR(64+ C0Col) &amp;":"&amp; CHAR(65+C0Col)),2,FALSE)&gt;COUNTIF($E77:H77,"u")+COUNTIF($E77:H77,"t")+COUNTIF($E77:H77,"¶")+COUNTIF($E77:H77,"²")+COUNTIF($E77:H77,"µ")+COUNTIF($E77:H77,1)),
HYPERLINK("#Roadmap!C"&amp; MATCH($E77,Roadmap!$D:$D,0)+COUNTIF($E77:H77,"u")+COUNTIF($E77:H77,"t"),
     INDEX(Roadmap!$D:$K,MATCH($E77,Roadmap!$D:$D,0)+COUNTIF($E77:H77,"u")+COUNTIF($E77:H77,"t")+COUNTIF($E77:H77,"¶")+COUNTIF($E77:H77,"²")+COUNTIF($E77:H77,"µ")+COUNTIF($E77:H77,1),ColTypeEcheance)),
  IF(LEN(H77)=1,
  IF(LEN(INDEX(Roadmap!$D:$K,MATCH($E77,Roadmap!$D:$D,0)-1+COUNTIF($E77:H77,"u")+COUNTIF($E77:H77,"t")+COUNTIF($E77:H77,"¶")+COUNTIF($E77:H77,"²")+COUNTIF($E77:H77,"µ")+COUNTIF($E77:H77,1),ColDescriptionCourte))&gt;1,
HYPERLINK("#Roadmap!C"&amp; MATCH($E77,Roadmap!$D:$D,0)+COUNTIF($E77:H77,"u")+COUNTIF($E77:H77,"t")+COUNTIF($E77:H77,"¶")+COUNTIF($E77:H77,"²")+COUNTIF($E77:H77,"µ")+COUNTIF($E77:H77,1)-1,INDEX(Roadmap!$D:$K,MATCH($E77,Roadmap!$D:$D,0)-1+COUNTIF($E77:H77,"u")+COUNTIF($E77:H77,"t")+COUNTIF($E77:H77,"¶")+COUNTIF($E77:H77,"²")+COUNTIF($E77:H77,"µ")+COUNTIF($E77:H77,1),ColDescriptionCourte)),""),
  "")),"")</f>
        <v/>
      </c>
      <c r="J77" s="40" t="str">
        <f ca="1">IFERROR(IF(AND(
  INDEX(Roadmap!$D:$K,MATCH($E77,Roadmap!$D:$D,0)+COUNTIF($E77:I77,"u")+COUNTIF($E77:I77,"t")+COUNTIF($E77:I77,"¶")+COUNTIF($E77:I77,"²")+COUNTIF($E77:I77,"µ")+COUNTIF($E77:I77,1),ColLivraison)=J$6,
  VLOOKUP($E77,INDIRECT("tri!"&amp; CHAR(64+ C0Col) &amp;":"&amp; CHAR(65+C0Col)),2,FALSE)&gt;COUNTIF($E77:I77,"u")+COUNTIF($E77:I77,"t")+COUNTIF($E77:I77,"¶")+COUNTIF($E77:I77,"²")+COUNTIF($E77:I77,"µ")+COUNTIF($E77:I77,1)),
HYPERLINK("#Roadmap!C"&amp; MATCH($E77,Roadmap!$D:$D,0)+COUNTIF($E77:I77,"u")+COUNTIF($E77:I77,"t"),
     INDEX(Roadmap!$D:$K,MATCH($E77,Roadmap!$D:$D,0)+COUNTIF($E77:I77,"u")+COUNTIF($E77:I77,"t")+COUNTIF($E77:I77,"¶")+COUNTIF($E77:I77,"²")+COUNTIF($E77:I77,"µ")+COUNTIF($E77:I77,1),ColTypeEcheance)),
  IF(LEN(I77)=1,
  IF(LEN(INDEX(Roadmap!$D:$K,MATCH($E77,Roadmap!$D:$D,0)-1+COUNTIF($E77:I77,"u")+COUNTIF($E77:I77,"t")+COUNTIF($E77:I77,"¶")+COUNTIF($E77:I77,"²")+COUNTIF($E77:I77,"µ")+COUNTIF($E77:I77,1),ColDescriptionCourte))&gt;1,
HYPERLINK("#Roadmap!C"&amp; MATCH($E77,Roadmap!$D:$D,0)+COUNTIF($E77:I77,"u")+COUNTIF($E77:I77,"t")+COUNTIF($E77:I77,"¶")+COUNTIF($E77:I77,"²")+COUNTIF($E77:I77,"µ")+COUNTIF($E77:I77,1)-1,INDEX(Roadmap!$D:$K,MATCH($E77,Roadmap!$D:$D,0)-1+COUNTIF($E77:I77,"u")+COUNTIF($E77:I77,"t")+COUNTIF($E77:I77,"¶")+COUNTIF($E77:I77,"²")+COUNTIF($E77:I77,"µ")+COUNTIF($E77:I77,1),ColDescriptionCourte)),""),
  "")),"")</f>
        <v/>
      </c>
      <c r="K77" s="40" t="str">
        <f ca="1">IFERROR(IF(AND(
  INDEX(Roadmap!$D:$K,MATCH($E77,Roadmap!$D:$D,0)+COUNTIF($E77:J77,"u")+COUNTIF($E77:J77,"t")+COUNTIF($E77:J77,"¶")+COUNTIF($E77:J77,"²")+COUNTIF($E77:J77,"µ")+COUNTIF($E77:J77,1),ColLivraison)=K$6,
  VLOOKUP($E77,INDIRECT("tri!"&amp; CHAR(64+ C0Col) &amp;":"&amp; CHAR(65+C0Col)),2,FALSE)&gt;COUNTIF($E77:J77,"u")+COUNTIF($E77:J77,"t")+COUNTIF($E77:J77,"¶")+COUNTIF($E77:J77,"²")+COUNTIF($E77:J77,"µ")+COUNTIF($E77:J77,1)),
HYPERLINK("#Roadmap!C"&amp; MATCH($E77,Roadmap!$D:$D,0)+COUNTIF($E77:J77,"u")+COUNTIF($E77:J77,"t"),
     INDEX(Roadmap!$D:$K,MATCH($E77,Roadmap!$D:$D,0)+COUNTIF($E77:J77,"u")+COUNTIF($E77:J77,"t")+COUNTIF($E77:J77,"¶")+COUNTIF($E77:J77,"²")+COUNTIF($E77:J77,"µ")+COUNTIF($E77:J77,1),ColTypeEcheance)),
  IF(LEN(J77)=1,
  IF(LEN(INDEX(Roadmap!$D:$K,MATCH($E77,Roadmap!$D:$D,0)-1+COUNTIF($E77:J77,"u")+COUNTIF($E77:J77,"t")+COUNTIF($E77:J77,"¶")+COUNTIF($E77:J77,"²")+COUNTIF($E77:J77,"µ")+COUNTIF($E77:J77,1),ColDescriptionCourte))&gt;1,
HYPERLINK("#Roadmap!C"&amp; MATCH($E77,Roadmap!$D:$D,0)+COUNTIF($E77:J77,"u")+COUNTIF($E77:J77,"t")+COUNTIF($E77:J77,"¶")+COUNTIF($E77:J77,"²")+COUNTIF($E77:J77,"µ")+COUNTIF($E77:J77,1)-1,INDEX(Roadmap!$D:$K,MATCH($E77,Roadmap!$D:$D,0)-1+COUNTIF($E77:J77,"u")+COUNTIF($E77:J77,"t")+COUNTIF($E77:J77,"¶")+COUNTIF($E77:J77,"²")+COUNTIF($E77:J77,"µ")+COUNTIF($E77:J77,1),ColDescriptionCourte)),""),
  "")),"")</f>
        <v/>
      </c>
      <c r="L77" s="39" t="str">
        <f ca="1">IFERROR(IF(AND(
  INDEX(Roadmap!$D:$K,MATCH($E77,Roadmap!$D:$D,0)+COUNTIF($E77:K77,"u")+COUNTIF($E77:K77,"t")+COUNTIF($E77:K77,"¶")+COUNTIF($E77:K77,"²")+COUNTIF($E77:K77,"µ")+COUNTIF($E77:K77,1),ColLivraison)=L$6,
  VLOOKUP($E77,INDIRECT("tri!"&amp; CHAR(64+ C0Col) &amp;":"&amp; CHAR(65+C0Col)),2,FALSE)&gt;COUNTIF($E77:K77,"u")+COUNTIF($E77:K77,"t")+COUNTIF($E77:K77,"¶")+COUNTIF($E77:K77,"²")+COUNTIF($E77:K77,"µ")+COUNTIF($E77:K77,1)),
HYPERLINK("#Roadmap!C"&amp; MATCH($E77,Roadmap!$D:$D,0)+COUNTIF($E77:K77,"u")+COUNTIF($E77:K77,"t"),
     INDEX(Roadmap!$D:$K,MATCH($E77,Roadmap!$D:$D,0)+COUNTIF($E77:K77,"u")+COUNTIF($E77:K77,"t")+COUNTIF($E77:K77,"¶")+COUNTIF($E77:K77,"²")+COUNTIF($E77:K77,"µ")+COUNTIF($E77:K77,1),ColTypeEcheance)),
  IF(LEN(K77)=1,
  IF(LEN(INDEX(Roadmap!$D:$K,MATCH($E77,Roadmap!$D:$D,0)-1+COUNTIF($E77:K77,"u")+COUNTIF($E77:K77,"t")+COUNTIF($E77:K77,"¶")+COUNTIF($E77:K77,"²")+COUNTIF($E77:K77,"µ")+COUNTIF($E77:K77,1),ColDescriptionCourte))&gt;1,
HYPERLINK("#Roadmap!C"&amp; MATCH($E77,Roadmap!$D:$D,0)+COUNTIF($E77:K77,"u")+COUNTIF($E77:K77,"t")+COUNTIF($E77:K77,"¶")+COUNTIF($E77:K77,"²")+COUNTIF($E77:K77,"µ")+COUNTIF($E77:K77,1)-1,INDEX(Roadmap!$D:$K,MATCH($E77,Roadmap!$D:$D,0)-1+COUNTIF($E77:K77,"u")+COUNTIF($E77:K77,"t")+COUNTIF($E77:K77,"¶")+COUNTIF($E77:K77,"²")+COUNTIF($E77:K77,"µ")+COUNTIF($E77:K77,1),ColDescriptionCourte)),""),
  "")),"")</f>
        <v/>
      </c>
      <c r="M77" s="40" t="str">
        <f ca="1">IFERROR(IF(AND(
  INDEX(Roadmap!$D:$K,MATCH($E77,Roadmap!$D:$D,0)+COUNTIF($E77:L77,"u")+COUNTIF($E77:L77,"t")+COUNTIF($E77:L77,"¶")+COUNTIF($E77:L77,"²")+COUNTIF($E77:L77,"µ")+COUNTIF($E77:L77,1),ColLivraison)=M$6,
  VLOOKUP($E77,INDIRECT("tri!"&amp; CHAR(64+ C0Col) &amp;":"&amp; CHAR(65+C0Col)),2,FALSE)&gt;COUNTIF($E77:L77,"u")+COUNTIF($E77:L77,"t")+COUNTIF($E77:L77,"¶")+COUNTIF($E77:L77,"²")+COUNTIF($E77:L77,"µ")+COUNTIF($E77:L77,1)),
HYPERLINK("#Roadmap!C"&amp; MATCH($E77,Roadmap!$D:$D,0)+COUNTIF($E77:L77,"u")+COUNTIF($E77:L77,"t"),
     INDEX(Roadmap!$D:$K,MATCH($E77,Roadmap!$D:$D,0)+COUNTIF($E77:L77,"u")+COUNTIF($E77:L77,"t")+COUNTIF($E77:L77,"¶")+COUNTIF($E77:L77,"²")+COUNTIF($E77:L77,"µ")+COUNTIF($E77:L77,1),ColTypeEcheance)),
  IF(LEN(L77)=1,
  IF(LEN(INDEX(Roadmap!$D:$K,MATCH($E77,Roadmap!$D:$D,0)-1+COUNTIF($E77:L77,"u")+COUNTIF($E77:L77,"t")+COUNTIF($E77:L77,"¶")+COUNTIF($E77:L77,"²")+COUNTIF($E77:L77,"µ")+COUNTIF($E77:L77,1),ColDescriptionCourte))&gt;1,
HYPERLINK("#Roadmap!C"&amp; MATCH($E77,Roadmap!$D:$D,0)+COUNTIF($E77:L77,"u")+COUNTIF($E77:L77,"t")+COUNTIF($E77:L77,"¶")+COUNTIF($E77:L77,"²")+COUNTIF($E77:L77,"µ")+COUNTIF($E77:L77,1)-1,INDEX(Roadmap!$D:$K,MATCH($E77,Roadmap!$D:$D,0)-1+COUNTIF($E77:L77,"u")+COUNTIF($E77:L77,"t")+COUNTIF($E77:L77,"¶")+COUNTIF($E77:L77,"²")+COUNTIF($E77:L77,"µ")+COUNTIF($E77:L77,1),ColDescriptionCourte)),""),
  "")),"")</f>
        <v/>
      </c>
      <c r="N77" s="40" t="str">
        <f ca="1">IFERROR(IF(AND(
  INDEX(Roadmap!$D:$K,MATCH($E77,Roadmap!$D:$D,0)+COUNTIF($E77:M77,"u")+COUNTIF($E77:M77,"t")+COUNTIF($E77:M77,"¶")+COUNTIF($E77:M77,"²")+COUNTIF($E77:M77,"µ")+COUNTIF($E77:M77,1),ColLivraison)=N$6,
  VLOOKUP($E77,INDIRECT("tri!"&amp; CHAR(64+ C0Col) &amp;":"&amp; CHAR(65+C0Col)),2,FALSE)&gt;COUNTIF($E77:M77,"u")+COUNTIF($E77:M77,"t")+COUNTIF($E77:M77,"¶")+COUNTIF($E77:M77,"²")+COUNTIF($E77:M77,"µ")+COUNTIF($E77:M77,1)),
HYPERLINK("#Roadmap!C"&amp; MATCH($E77,Roadmap!$D:$D,0)+COUNTIF($E77:M77,"u")+COUNTIF($E77:M77,"t"),
     INDEX(Roadmap!$D:$K,MATCH($E77,Roadmap!$D:$D,0)+COUNTIF($E77:M77,"u")+COUNTIF($E77:M77,"t")+COUNTIF($E77:M77,"¶")+COUNTIF($E77:M77,"²")+COUNTIF($E77:M77,"µ")+COUNTIF($E77:M77,1),ColTypeEcheance)),
  IF(LEN(M77)=1,
  IF(LEN(INDEX(Roadmap!$D:$K,MATCH($E77,Roadmap!$D:$D,0)-1+COUNTIF($E77:M77,"u")+COUNTIF($E77:M77,"t")+COUNTIF($E77:M77,"¶")+COUNTIF($E77:M77,"²")+COUNTIF($E77:M77,"µ")+COUNTIF($E77:M77,1),ColDescriptionCourte))&gt;1,
HYPERLINK("#Roadmap!C"&amp; MATCH($E77,Roadmap!$D:$D,0)+COUNTIF($E77:M77,"u")+COUNTIF($E77:M77,"t")+COUNTIF($E77:M77,"¶")+COUNTIF($E77:M77,"²")+COUNTIF($E77:M77,"µ")+COUNTIF($E77:M77,1)-1,INDEX(Roadmap!$D:$K,MATCH($E77,Roadmap!$D:$D,0)-1+COUNTIF($E77:M77,"u")+COUNTIF($E77:M77,"t")+COUNTIF($E77:M77,"¶")+COUNTIF($E77:M77,"²")+COUNTIF($E77:M77,"µ")+COUNTIF($E77:M77,1),ColDescriptionCourte)),""),
  "")),"")</f>
        <v/>
      </c>
      <c r="O77" s="40" t="str">
        <f ca="1">IFERROR(IF(AND(
  INDEX(Roadmap!$D:$K,MATCH($E77,Roadmap!$D:$D,0)+COUNTIF($E77:N77,"u")+COUNTIF($E77:N77,"t")+COUNTIF($E77:N77,"¶")+COUNTIF($E77:N77,"²")+COUNTIF($E77:N77,"µ")+COUNTIF($E77:N77,1),ColLivraison)=O$6,
  VLOOKUP($E77,INDIRECT("tri!"&amp; CHAR(64+ C0Col) &amp;":"&amp; CHAR(65+C0Col)),2,FALSE)&gt;COUNTIF($E77:N77,"u")+COUNTIF($E77:N77,"t")+COUNTIF($E77:N77,"¶")+COUNTIF($E77:N77,"²")+COUNTIF($E77:N77,"µ")+COUNTIF($E77:N77,1)),
HYPERLINK("#Roadmap!C"&amp; MATCH($E77,Roadmap!$D:$D,0)+COUNTIF($E77:N77,"u")+COUNTIF($E77:N77,"t"),
     INDEX(Roadmap!$D:$K,MATCH($E77,Roadmap!$D:$D,0)+COUNTIF($E77:N77,"u")+COUNTIF($E77:N77,"t")+COUNTIF($E77:N77,"¶")+COUNTIF($E77:N77,"²")+COUNTIF($E77:N77,"µ")+COUNTIF($E77:N77,1),ColTypeEcheance)),
  IF(LEN(N77)=1,
  IF(LEN(INDEX(Roadmap!$D:$K,MATCH($E77,Roadmap!$D:$D,0)-1+COUNTIF($E77:N77,"u")+COUNTIF($E77:N77,"t")+COUNTIF($E77:N77,"¶")+COUNTIF($E77:N77,"²")+COUNTIF($E77:N77,"µ")+COUNTIF($E77:N77,1),ColDescriptionCourte))&gt;1,
HYPERLINK("#Roadmap!C"&amp; MATCH($E77,Roadmap!$D:$D,0)+COUNTIF($E77:N77,"u")+COUNTIF($E77:N77,"t")+COUNTIF($E77:N77,"¶")+COUNTIF($E77:N77,"²")+COUNTIF($E77:N77,"µ")+COUNTIF($E77:N77,1)-1,INDEX(Roadmap!$D:$K,MATCH($E77,Roadmap!$D:$D,0)-1+COUNTIF($E77:N77,"u")+COUNTIF($E77:N77,"t")+COUNTIF($E77:N77,"¶")+COUNTIF($E77:N77,"²")+COUNTIF($E77:N77,"µ")+COUNTIF($E77:N77,1),ColDescriptionCourte)),""),
  "")),"")</f>
        <v/>
      </c>
      <c r="P77" s="40" t="str">
        <f ca="1">IFERROR(IF(AND(
  INDEX(Roadmap!$D:$K,MATCH($E77,Roadmap!$D:$D,0)+COUNTIF($E77:O77,"u")+COUNTIF($E77:O77,"t")+COUNTIF($E77:O77,"¶")+COUNTIF($E77:O77,"²")+COUNTIF($E77:O77,"µ")+COUNTIF($E77:O77,1),ColLivraison)=P$6,
  VLOOKUP($E77,INDIRECT("tri!"&amp; CHAR(64+ C0Col) &amp;":"&amp; CHAR(65+C0Col)),2,FALSE)&gt;COUNTIF($E77:O77,"u")+COUNTIF($E77:O77,"t")+COUNTIF($E77:O77,"¶")+COUNTIF($E77:O77,"²")+COUNTIF($E77:O77,"µ")+COUNTIF($E77:O77,1)),
HYPERLINK("#Roadmap!C"&amp; MATCH($E77,Roadmap!$D:$D,0)+COUNTIF($E77:O77,"u")+COUNTIF($E77:O77,"t"),
     INDEX(Roadmap!$D:$K,MATCH($E77,Roadmap!$D:$D,0)+COUNTIF($E77:O77,"u")+COUNTIF($E77:O77,"t")+COUNTIF($E77:O77,"¶")+COUNTIF($E77:O77,"²")+COUNTIF($E77:O77,"µ")+COUNTIF($E77:O77,1),ColTypeEcheance)),
  IF(LEN(O77)=1,
  IF(LEN(INDEX(Roadmap!$D:$K,MATCH($E77,Roadmap!$D:$D,0)-1+COUNTIF($E77:O77,"u")+COUNTIF($E77:O77,"t")+COUNTIF($E77:O77,"¶")+COUNTIF($E77:O77,"²")+COUNTIF($E77:O77,"µ")+COUNTIF($E77:O77,1),ColDescriptionCourte))&gt;1,
HYPERLINK("#Roadmap!C"&amp; MATCH($E77,Roadmap!$D:$D,0)+COUNTIF($E77:O77,"u")+COUNTIF($E77:O77,"t")+COUNTIF($E77:O77,"¶")+COUNTIF($E77:O77,"²")+COUNTIF($E77:O77,"µ")+COUNTIF($E77:O77,1)-1,INDEX(Roadmap!$D:$K,MATCH($E77,Roadmap!$D:$D,0)-1+COUNTIF($E77:O77,"u")+COUNTIF($E77:O77,"t")+COUNTIF($E77:O77,"¶")+COUNTIF($E77:O77,"²")+COUNTIF($E77:O77,"µ")+COUNTIF($E77:O77,1),ColDescriptionCourte)),""),
  "")),"")</f>
        <v/>
      </c>
      <c r="Q77" s="40" t="str">
        <f ca="1">IFERROR(IF(AND(
  INDEX(Roadmap!$D:$K,MATCH($E77,Roadmap!$D:$D,0)+COUNTIF($E77:P77,"u")+COUNTIF($E77:P77,"t")+COUNTIF($E77:P77,"¶")+COUNTIF($E77:P77,"²")+COUNTIF($E77:P77,"µ")+COUNTIF($E77:P77,1),ColLivraison)=Q$6,
  VLOOKUP($E77,INDIRECT("tri!"&amp; CHAR(64+ C0Col) &amp;":"&amp; CHAR(65+C0Col)),2,FALSE)&gt;COUNTIF($E77:P77,"u")+COUNTIF($E77:P77,"t")+COUNTIF($E77:P77,"¶")+COUNTIF($E77:P77,"²")+COUNTIF($E77:P77,"µ")+COUNTIF($E77:P77,1)),
HYPERLINK("#Roadmap!C"&amp; MATCH($E77,Roadmap!$D:$D,0)+COUNTIF($E77:P77,"u")+COUNTIF($E77:P77,"t"),
     INDEX(Roadmap!$D:$K,MATCH($E77,Roadmap!$D:$D,0)+COUNTIF($E77:P77,"u")+COUNTIF($E77:P77,"t")+COUNTIF($E77:P77,"¶")+COUNTIF($E77:P77,"²")+COUNTIF($E77:P77,"µ")+COUNTIF($E77:P77,1),ColTypeEcheance)),
  IF(LEN(P77)=1,
  IF(LEN(INDEX(Roadmap!$D:$K,MATCH($E77,Roadmap!$D:$D,0)-1+COUNTIF($E77:P77,"u")+COUNTIF($E77:P77,"t")+COUNTIF($E77:P77,"¶")+COUNTIF($E77:P77,"²")+COUNTIF($E77:P77,"µ")+COUNTIF($E77:P77,1),ColDescriptionCourte))&gt;1,
HYPERLINK("#Roadmap!C"&amp; MATCH($E77,Roadmap!$D:$D,0)+COUNTIF($E77:P77,"u")+COUNTIF($E77:P77,"t")+COUNTIF($E77:P77,"¶")+COUNTIF($E77:P77,"²")+COUNTIF($E77:P77,"µ")+COUNTIF($E77:P77,1)-1,INDEX(Roadmap!$D:$K,MATCH($E77,Roadmap!$D:$D,0)-1+COUNTIF($E77:P77,"u")+COUNTIF($E77:P77,"t")+COUNTIF($E77:P77,"¶")+COUNTIF($E77:P77,"²")+COUNTIF($E77:P77,"µ")+COUNTIF($E77:P77,1),ColDescriptionCourte)),""),
  "")),"")</f>
        <v/>
      </c>
      <c r="R77" s="40" t="str">
        <f ca="1">IFERROR(IF(AND(
  INDEX(Roadmap!$D:$K,MATCH($E77,Roadmap!$D:$D,0)+COUNTIF($E77:Q77,"u")+COUNTIF($E77:Q77,"t")+COUNTIF($E77:Q77,"¶")+COUNTIF($E77:Q77,"²")+COUNTIF($E77:Q77,"µ")+COUNTIF($E77:Q77,1),ColLivraison)=R$6,
  VLOOKUP($E77,INDIRECT("tri!"&amp; CHAR(64+ C0Col) &amp;":"&amp; CHAR(65+C0Col)),2,FALSE)&gt;COUNTIF($E77:Q77,"u")+COUNTIF($E77:Q77,"t")+COUNTIF($E77:Q77,"¶")+COUNTIF($E77:Q77,"²")+COUNTIF($E77:Q77,"µ")+COUNTIF($E77:Q77,1)),
HYPERLINK("#Roadmap!C"&amp; MATCH($E77,Roadmap!$D:$D,0)+COUNTIF($E77:Q77,"u")+COUNTIF($E77:Q77,"t"),
     INDEX(Roadmap!$D:$K,MATCH($E77,Roadmap!$D:$D,0)+COUNTIF($E77:Q77,"u")+COUNTIF($E77:Q77,"t")+COUNTIF($E77:Q77,"¶")+COUNTIF($E77:Q77,"²")+COUNTIF($E77:Q77,"µ")+COUNTIF($E77:Q77,1),ColTypeEcheance)),
  IF(LEN(Q77)=1,
  IF(LEN(INDEX(Roadmap!$D:$K,MATCH($E77,Roadmap!$D:$D,0)-1+COUNTIF($E77:Q77,"u")+COUNTIF($E77:Q77,"t")+COUNTIF($E77:Q77,"¶")+COUNTIF($E77:Q77,"²")+COUNTIF($E77:Q77,"µ")+COUNTIF($E77:Q77,1),ColDescriptionCourte))&gt;1,
HYPERLINK("#Roadmap!C"&amp; MATCH($E77,Roadmap!$D:$D,0)+COUNTIF($E77:Q77,"u")+COUNTIF($E77:Q77,"t")+COUNTIF($E77:Q77,"¶")+COUNTIF($E77:Q77,"²")+COUNTIF($E77:Q77,"µ")+COUNTIF($E77:Q77,1)-1,INDEX(Roadmap!$D:$K,MATCH($E77,Roadmap!$D:$D,0)-1+COUNTIF($E77:Q77,"u")+COUNTIF($E77:Q77,"t")+COUNTIF($E77:Q77,"¶")+COUNTIF($E77:Q77,"²")+COUNTIF($E77:Q77,"µ")+COUNTIF($E77:Q77,1),ColDescriptionCourte)),""),
  "")),"")</f>
        <v/>
      </c>
      <c r="S77" s="40" t="str">
        <f ca="1">IFERROR(IF(AND(
  INDEX(Roadmap!$D:$K,MATCH($E77,Roadmap!$D:$D,0)+COUNTIF($E77:R77,"u")+COUNTIF($E77:R77,"t")+COUNTIF($E77:R77,"¶")+COUNTIF($E77:R77,"²")+COUNTIF($E77:R77,"µ")+COUNTIF($E77:R77,1),ColLivraison)=S$6,
  VLOOKUP($E77,INDIRECT("tri!"&amp; CHAR(64+ C0Col) &amp;":"&amp; CHAR(65+C0Col)),2,FALSE)&gt;COUNTIF($E77:R77,"u")+COUNTIF($E77:R77,"t")+COUNTIF($E77:R77,"¶")+COUNTIF($E77:R77,"²")+COUNTIF($E77:R77,"µ")+COUNTIF($E77:R77,1)),
HYPERLINK("#Roadmap!C"&amp; MATCH($E77,Roadmap!$D:$D,0)+COUNTIF($E77:R77,"u")+COUNTIF($E77:R77,"t"),
     INDEX(Roadmap!$D:$K,MATCH($E77,Roadmap!$D:$D,0)+COUNTIF($E77:R77,"u")+COUNTIF($E77:R77,"t")+COUNTIF($E77:R77,"¶")+COUNTIF($E77:R77,"²")+COUNTIF($E77:R77,"µ")+COUNTIF($E77:R77,1),ColTypeEcheance)),
  IF(LEN(R77)=1,
  IF(LEN(INDEX(Roadmap!$D:$K,MATCH($E77,Roadmap!$D:$D,0)-1+COUNTIF($E77:R77,"u")+COUNTIF($E77:R77,"t")+COUNTIF($E77:R77,"¶")+COUNTIF($E77:R77,"²")+COUNTIF($E77:R77,"µ")+COUNTIF($E77:R77,1),ColDescriptionCourte))&gt;1,
HYPERLINK("#Roadmap!C"&amp; MATCH($E77,Roadmap!$D:$D,0)+COUNTIF($E77:R77,"u")+COUNTIF($E77:R77,"t")+COUNTIF($E77:R77,"¶")+COUNTIF($E77:R77,"²")+COUNTIF($E77:R77,"µ")+COUNTIF($E77:R77,1)-1,INDEX(Roadmap!$D:$K,MATCH($E77,Roadmap!$D:$D,0)-1+COUNTIF($E77:R77,"u")+COUNTIF($E77:R77,"t")+COUNTIF($E77:R77,"¶")+COUNTIF($E77:R77,"²")+COUNTIF($E77:R77,"µ")+COUNTIF($E77:R77,1),ColDescriptionCourte)),""),
  "")),"")</f>
        <v/>
      </c>
      <c r="T77" s="40" t="str">
        <f ca="1">IFERROR(IF(AND(
  INDEX(Roadmap!$D:$K,MATCH($E77,Roadmap!$D:$D,0)+COUNTIF($E77:S77,"u")+COUNTIF($E77:S77,"t")+COUNTIF($E77:S77,"¶")+COUNTIF($E77:S77,"²")+COUNTIF($E77:S77,"µ")+COUNTIF($E77:S77,1),ColLivraison)=T$6,
  VLOOKUP($E77,INDIRECT("tri!"&amp; CHAR(64+ C0Col) &amp;":"&amp; CHAR(65+C0Col)),2,FALSE)&gt;COUNTIF($E77:S77,"u")+COUNTIF($E77:S77,"t")+COUNTIF($E77:S77,"¶")+COUNTIF($E77:S77,"²")+COUNTIF($E77:S77,"µ")+COUNTIF($E77:S77,1)),
HYPERLINK("#Roadmap!C"&amp; MATCH($E77,Roadmap!$D:$D,0)+COUNTIF($E77:S77,"u")+COUNTIF($E77:S77,"t"),
     INDEX(Roadmap!$D:$K,MATCH($E77,Roadmap!$D:$D,0)+COUNTIF($E77:S77,"u")+COUNTIF($E77:S77,"t")+COUNTIF($E77:S77,"¶")+COUNTIF($E77:S77,"²")+COUNTIF($E77:S77,"µ")+COUNTIF($E77:S77,1),ColTypeEcheance)),
  IF(LEN(S77)=1,
  IF(LEN(INDEX(Roadmap!$D:$K,MATCH($E77,Roadmap!$D:$D,0)-1+COUNTIF($E77:S77,"u")+COUNTIF($E77:S77,"t")+COUNTIF($E77:S77,"¶")+COUNTIF($E77:S77,"²")+COUNTIF($E77:S77,"µ")+COUNTIF($E77:S77,1),ColDescriptionCourte))&gt;1,
HYPERLINK("#Roadmap!C"&amp; MATCH($E77,Roadmap!$D:$D,0)+COUNTIF($E77:S77,"u")+COUNTIF($E77:S77,"t")+COUNTIF($E77:S77,"¶")+COUNTIF($E77:S77,"²")+COUNTIF($E77:S77,"µ")+COUNTIF($E77:S77,1)-1,INDEX(Roadmap!$D:$K,MATCH($E77,Roadmap!$D:$D,0)-1+COUNTIF($E77:S77,"u")+COUNTIF($E77:S77,"t")+COUNTIF($E77:S77,"¶")+COUNTIF($E77:S77,"²")+COUNTIF($E77:S77,"µ")+COUNTIF($E77:S77,1),ColDescriptionCourte)),""),
  "")),"")</f>
        <v/>
      </c>
      <c r="U77" s="40" t="str">
        <f ca="1">IFERROR(IF(AND(
  INDEX(Roadmap!$D:$K,MATCH($E77,Roadmap!$D:$D,0)+COUNTIF($E77:T77,"u")+COUNTIF($E77:T77,"t")+COUNTIF($E77:T77,"¶")+COUNTIF($E77:T77,"²")+COUNTIF($E77:T77,"µ")+COUNTIF($E77:T77,1),ColLivraison)=U$6,
  VLOOKUP($E77,INDIRECT("tri!"&amp; CHAR(64+ C0Col) &amp;":"&amp; CHAR(65+C0Col)),2,FALSE)&gt;COUNTIF($E77:T77,"u")+COUNTIF($E77:T77,"t")+COUNTIF($E77:T77,"¶")+COUNTIF($E77:T77,"²")+COUNTIF($E77:T77,"µ")+COUNTIF($E77:T77,1)),
HYPERLINK("#Roadmap!C"&amp; MATCH($E77,Roadmap!$D:$D,0)+COUNTIF($E77:T77,"u")+COUNTIF($E77:T77,"t"),
     INDEX(Roadmap!$D:$K,MATCH($E77,Roadmap!$D:$D,0)+COUNTIF($E77:T77,"u")+COUNTIF($E77:T77,"t")+COUNTIF($E77:T77,"¶")+COUNTIF($E77:T77,"²")+COUNTIF($E77:T77,"µ")+COUNTIF($E77:T77,1),ColTypeEcheance)),
  IF(LEN(T77)=1,
  IF(LEN(INDEX(Roadmap!$D:$K,MATCH($E77,Roadmap!$D:$D,0)-1+COUNTIF($E77:T77,"u")+COUNTIF($E77:T77,"t")+COUNTIF($E77:T77,"¶")+COUNTIF($E77:T77,"²")+COUNTIF($E77:T77,"µ")+COUNTIF($E77:T77,1),ColDescriptionCourte))&gt;1,
HYPERLINK("#Roadmap!C"&amp; MATCH($E77,Roadmap!$D:$D,0)+COUNTIF($E77:T77,"u")+COUNTIF($E77:T77,"t")+COUNTIF($E77:T77,"¶")+COUNTIF($E77:T77,"²")+COUNTIF($E77:T77,"µ")+COUNTIF($E77:T77,1)-1,INDEX(Roadmap!$D:$K,MATCH($E77,Roadmap!$D:$D,0)-1+COUNTIF($E77:T77,"u")+COUNTIF($E77:T77,"t")+COUNTIF($E77:T77,"¶")+COUNTIF($E77:T77,"²")+COUNTIF($E77:T77,"µ")+COUNTIF($E77:T77,1),ColDescriptionCourte)),""),
  "")),"")</f>
        <v/>
      </c>
      <c r="V77" s="40" t="str">
        <f ca="1">IFERROR(IF(AND(
  INDEX(Roadmap!$D:$K,MATCH($E77,Roadmap!$D:$D,0)+COUNTIF($E77:U77,"u")+COUNTIF($E77:U77,"t")+COUNTIF($E77:U77,"¶")+COUNTIF($E77:U77,"²")+COUNTIF($E77:U77,"µ")+COUNTIF($E77:U77,1),ColLivraison)=V$6,
  VLOOKUP($E77,INDIRECT("tri!"&amp; CHAR(64+ C0Col) &amp;":"&amp; CHAR(65+C0Col)),2,FALSE)&gt;COUNTIF($E77:U77,"u")+COUNTIF($E77:U77,"t")+COUNTIF($E77:U77,"¶")+COUNTIF($E77:U77,"²")+COUNTIF($E77:U77,"µ")+COUNTIF($E77:U77,1)),
HYPERLINK("#Roadmap!C"&amp; MATCH($E77,Roadmap!$D:$D,0)+COUNTIF($E77:U77,"u")+COUNTIF($E77:U77,"t"),
     INDEX(Roadmap!$D:$K,MATCH($E77,Roadmap!$D:$D,0)+COUNTIF($E77:U77,"u")+COUNTIF($E77:U77,"t")+COUNTIF($E77:U77,"¶")+COUNTIF($E77:U77,"²")+COUNTIF($E77:U77,"µ")+COUNTIF($E77:U77,1),ColTypeEcheance)),
  IF(LEN(U77)=1,
  IF(LEN(INDEX(Roadmap!$D:$K,MATCH($E77,Roadmap!$D:$D,0)-1+COUNTIF($E77:U77,"u")+COUNTIF($E77:U77,"t")+COUNTIF($E77:U77,"¶")+COUNTIF($E77:U77,"²")+COUNTIF($E77:U77,"µ")+COUNTIF($E77:U77,1),ColDescriptionCourte))&gt;1,
HYPERLINK("#Roadmap!C"&amp; MATCH($E77,Roadmap!$D:$D,0)+COUNTIF($E77:U77,"u")+COUNTIF($E77:U77,"t")+COUNTIF($E77:U77,"¶")+COUNTIF($E77:U77,"²")+COUNTIF($E77:U77,"µ")+COUNTIF($E77:U77,1)-1,INDEX(Roadmap!$D:$K,MATCH($E77,Roadmap!$D:$D,0)-1+COUNTIF($E77:U77,"u")+COUNTIF($E77:U77,"t")+COUNTIF($E77:U77,"¶")+COUNTIF($E77:U77,"²")+COUNTIF($E77:U77,"µ")+COUNTIF($E77:U77,1),ColDescriptionCourte)),""),
  "")),"")</f>
        <v/>
      </c>
      <c r="W77" s="40" t="str">
        <f ca="1">IFERROR(IF(AND(
  INDEX(Roadmap!$D:$K,MATCH($E77,Roadmap!$D:$D,0)+COUNTIF($E77:V77,"u")+COUNTIF($E77:V77,"t")+COUNTIF($E77:V77,"¶")+COUNTIF($E77:V77,"²")+COUNTIF($E77:V77,"µ")+COUNTIF($E77:V77,1),ColLivraison)=W$6,
  VLOOKUP($E77,INDIRECT("tri!"&amp; CHAR(64+ C0Col) &amp;":"&amp; CHAR(65+C0Col)),2,FALSE)&gt;COUNTIF($E77:V77,"u")+COUNTIF($E77:V77,"t")+COUNTIF($E77:V77,"¶")+COUNTIF($E77:V77,"²")+COUNTIF($E77:V77,"µ")+COUNTIF($E77:V77,1)),
HYPERLINK("#Roadmap!C"&amp; MATCH($E77,Roadmap!$D:$D,0)+COUNTIF($E77:V77,"u")+COUNTIF($E77:V77,"t"),
     INDEX(Roadmap!$D:$K,MATCH($E77,Roadmap!$D:$D,0)+COUNTIF($E77:V77,"u")+COUNTIF($E77:V77,"t")+COUNTIF($E77:V77,"¶")+COUNTIF($E77:V77,"²")+COUNTIF($E77:V77,"µ")+COUNTIF($E77:V77,1),ColTypeEcheance)),
  IF(LEN(V77)=1,
  IF(LEN(INDEX(Roadmap!$D:$K,MATCH($E77,Roadmap!$D:$D,0)-1+COUNTIF($E77:V77,"u")+COUNTIF($E77:V77,"t")+COUNTIF($E77:V77,"¶")+COUNTIF($E77:V77,"²")+COUNTIF($E77:V77,"µ")+COUNTIF($E77:V77,1),ColDescriptionCourte))&gt;1,
HYPERLINK("#Roadmap!C"&amp; MATCH($E77,Roadmap!$D:$D,0)+COUNTIF($E77:V77,"u")+COUNTIF($E77:V77,"t")+COUNTIF($E77:V77,"¶")+COUNTIF($E77:V77,"²")+COUNTIF($E77:V77,"µ")+COUNTIF($E77:V77,1)-1,INDEX(Roadmap!$D:$K,MATCH($E77,Roadmap!$D:$D,0)-1+COUNTIF($E77:V77,"u")+COUNTIF($E77:V77,"t")+COUNTIF($E77:V77,"¶")+COUNTIF($E77:V77,"²")+COUNTIF($E77:V77,"µ")+COUNTIF($E77:V77,1),ColDescriptionCourte)),""),
  "")),"")</f>
        <v/>
      </c>
      <c r="X77" s="40" t="str">
        <f ca="1">IFERROR(IF(AND(
  INDEX(Roadmap!$D:$K,MATCH($E77,Roadmap!$D:$D,0)+COUNTIF($E77:W77,"u")+COUNTIF($E77:W77,"t")+COUNTIF($E77:W77,"¶")+COUNTIF($E77:W77,"²")+COUNTIF($E77:W77,"µ")+COUNTIF($E77:W77,1),ColLivraison)=X$6,
  VLOOKUP($E77,INDIRECT("tri!"&amp; CHAR(64+ C0Col) &amp;":"&amp; CHAR(65+C0Col)),2,FALSE)&gt;COUNTIF($E77:W77,"u")+COUNTIF($E77:W77,"t")+COUNTIF($E77:W77,"¶")+COUNTIF($E77:W77,"²")+COUNTIF($E77:W77,"µ")+COUNTIF($E77:W77,1)),
HYPERLINK("#Roadmap!C"&amp; MATCH($E77,Roadmap!$D:$D,0)+COUNTIF($E77:W77,"u")+COUNTIF($E77:W77,"t"),
     INDEX(Roadmap!$D:$K,MATCH($E77,Roadmap!$D:$D,0)+COUNTIF($E77:W77,"u")+COUNTIF($E77:W77,"t")+COUNTIF($E77:W77,"¶")+COUNTIF($E77:W77,"²")+COUNTIF($E77:W77,"µ")+COUNTIF($E77:W77,1),ColTypeEcheance)),
  IF(LEN(W77)=1,
  IF(LEN(INDEX(Roadmap!$D:$K,MATCH($E77,Roadmap!$D:$D,0)-1+COUNTIF($E77:W77,"u")+COUNTIF($E77:W77,"t")+COUNTIF($E77:W77,"¶")+COUNTIF($E77:W77,"²")+COUNTIF($E77:W77,"µ")+COUNTIF($E77:W77,1),ColDescriptionCourte))&gt;1,
HYPERLINK("#Roadmap!C"&amp; MATCH($E77,Roadmap!$D:$D,0)+COUNTIF($E77:W77,"u")+COUNTIF($E77:W77,"t")+COUNTIF($E77:W77,"¶")+COUNTIF($E77:W77,"²")+COUNTIF($E77:W77,"µ")+COUNTIF($E77:W77,1)-1,INDEX(Roadmap!$D:$K,MATCH($E77,Roadmap!$D:$D,0)-1+COUNTIF($E77:W77,"u")+COUNTIF($E77:W77,"t")+COUNTIF($E77:W77,"¶")+COUNTIF($E77:W77,"²")+COUNTIF($E77:W77,"µ")+COUNTIF($E77:W77,1),ColDescriptionCourte)),""),
  "")),"")</f>
        <v/>
      </c>
      <c r="Y77" s="40" t="str">
        <f ca="1">IFERROR(IF(AND(
  INDEX(Roadmap!$D:$K,MATCH($E77,Roadmap!$D:$D,0)+COUNTIF($E77:X77,"u")+COUNTIF($E77:X77,"t")+COUNTIF($E77:X77,"¶")+COUNTIF($E77:X77,"²")+COUNTIF($E77:X77,"µ")+COUNTIF($E77:X77,1),ColLivraison)=Y$6,
  VLOOKUP($E77,INDIRECT("tri!"&amp; CHAR(64+ C0Col) &amp;":"&amp; CHAR(65+C0Col)),2,FALSE)&gt;COUNTIF($E77:X77,"u")+COUNTIF($E77:X77,"t")+COUNTIF($E77:X77,"¶")+COUNTIF($E77:X77,"²")+COUNTIF($E77:X77,"µ")+COUNTIF($E77:X77,1)),
HYPERLINK("#Roadmap!C"&amp; MATCH($E77,Roadmap!$D:$D,0)+COUNTIF($E77:X77,"u")+COUNTIF($E77:X77,"t"),
     INDEX(Roadmap!$D:$K,MATCH($E77,Roadmap!$D:$D,0)+COUNTIF($E77:X77,"u")+COUNTIF($E77:X77,"t")+COUNTIF($E77:X77,"¶")+COUNTIF($E77:X77,"²")+COUNTIF($E77:X77,"µ")+COUNTIF($E77:X77,1),ColTypeEcheance)),
  IF(LEN(X77)=1,
  IF(LEN(INDEX(Roadmap!$D:$K,MATCH($E77,Roadmap!$D:$D,0)-1+COUNTIF($E77:X77,"u")+COUNTIF($E77:X77,"t")+COUNTIF($E77:X77,"¶")+COUNTIF($E77:X77,"²")+COUNTIF($E77:X77,"µ")+COUNTIF($E77:X77,1),ColDescriptionCourte))&gt;1,
HYPERLINK("#Roadmap!C"&amp; MATCH($E77,Roadmap!$D:$D,0)+COUNTIF($E77:X77,"u")+COUNTIF($E77:X77,"t")+COUNTIF($E77:X77,"¶")+COUNTIF($E77:X77,"²")+COUNTIF($E77:X77,"µ")+COUNTIF($E77:X77,1)-1,INDEX(Roadmap!$D:$K,MATCH($E77,Roadmap!$D:$D,0)-1+COUNTIF($E77:X77,"u")+COUNTIF($E77:X77,"t")+COUNTIF($E77:X77,"¶")+COUNTIF($E77:X77,"²")+COUNTIF($E77:X77,"µ")+COUNTIF($E77:X77,1),ColDescriptionCourte)),""),
  "")),"")</f>
        <v/>
      </c>
      <c r="Z77" s="40" t="str">
        <f ca="1">IFERROR(IF(AND(
  INDEX(Roadmap!$D:$K,MATCH($E77,Roadmap!$D:$D,0)+COUNTIF($E77:Y77,"u")+COUNTIF($E77:Y77,"t")+COUNTIF($E77:Y77,"¶")+COUNTIF($E77:Y77,"²")+COUNTIF($E77:Y77,"µ")+COUNTIF($E77:Y77,1),ColLivraison)=Z$6,
  VLOOKUP($E77,INDIRECT("tri!"&amp; CHAR(64+ C0Col) &amp;":"&amp; CHAR(65+C0Col)),2,FALSE)&gt;COUNTIF($E77:Y77,"u")+COUNTIF($E77:Y77,"t")+COUNTIF($E77:Y77,"¶")+COUNTIF($E77:Y77,"²")+COUNTIF($E77:Y77,"µ")+COUNTIF($E77:Y77,1)),
HYPERLINK("#Roadmap!C"&amp; MATCH($E77,Roadmap!$D:$D,0)+COUNTIF($E77:Y77,"u")+COUNTIF($E77:Y77,"t"),
     INDEX(Roadmap!$D:$K,MATCH($E77,Roadmap!$D:$D,0)+COUNTIF($E77:Y77,"u")+COUNTIF($E77:Y77,"t")+COUNTIF($E77:Y77,"¶")+COUNTIF($E77:Y77,"²")+COUNTIF($E77:Y77,"µ")+COUNTIF($E77:Y77,1),ColTypeEcheance)),
  IF(LEN(Y77)=1,
  IF(LEN(INDEX(Roadmap!$D:$K,MATCH($E77,Roadmap!$D:$D,0)-1+COUNTIF($E77:Y77,"u")+COUNTIF($E77:Y77,"t")+COUNTIF($E77:Y77,"¶")+COUNTIF($E77:Y77,"²")+COUNTIF($E77:Y77,"µ")+COUNTIF($E77:Y77,1),ColDescriptionCourte))&gt;1,
HYPERLINK("#Roadmap!C"&amp; MATCH($E77,Roadmap!$D:$D,0)+COUNTIF($E77:Y77,"u")+COUNTIF($E77:Y77,"t")+COUNTIF($E77:Y77,"¶")+COUNTIF($E77:Y77,"²")+COUNTIF($E77:Y77,"µ")+COUNTIF($E77:Y77,1)-1,INDEX(Roadmap!$D:$K,MATCH($E77,Roadmap!$D:$D,0)-1+COUNTIF($E77:Y77,"u")+COUNTIF($E77:Y77,"t")+COUNTIF($E77:Y77,"¶")+COUNTIF($E77:Y77,"²")+COUNTIF($E77:Y77,"µ")+COUNTIF($E77:Y77,1),ColDescriptionCourte)),""),
  "")),"")</f>
        <v/>
      </c>
      <c r="AA77" s="40" t="str">
        <f ca="1">IFERROR(IF(AND(
  INDEX(Roadmap!$D:$K,MATCH($E77,Roadmap!$D:$D,0)+COUNTIF($E77:Z77,"u")+COUNTIF($E77:Z77,"t")+COUNTIF($E77:Z77,"¶")+COUNTIF($E77:Z77,"²")+COUNTIF($E77:Z77,"µ")+COUNTIF($E77:Z77,1),ColLivraison)=AA$6,
  VLOOKUP($E77,INDIRECT("tri!"&amp; CHAR(64+ C0Col) &amp;":"&amp; CHAR(65+C0Col)),2,FALSE)&gt;COUNTIF($E77:Z77,"u")+COUNTIF($E77:Z77,"t")+COUNTIF($E77:Z77,"¶")+COUNTIF($E77:Z77,"²")+COUNTIF($E77:Z77,"µ")+COUNTIF($E77:Z77,1)),
HYPERLINK("#Roadmap!C"&amp; MATCH($E77,Roadmap!$D:$D,0)+COUNTIF($E77:Z77,"u")+COUNTIF($E77:Z77,"t"),
     INDEX(Roadmap!$D:$K,MATCH($E77,Roadmap!$D:$D,0)+COUNTIF($E77:Z77,"u")+COUNTIF($E77:Z77,"t")+COUNTIF($E77:Z77,"¶")+COUNTIF($E77:Z77,"²")+COUNTIF($E77:Z77,"µ")+COUNTIF($E77:Z77,1),ColTypeEcheance)),
  IF(LEN(Z77)=1,
  IF(LEN(INDEX(Roadmap!$D:$K,MATCH($E77,Roadmap!$D:$D,0)-1+COUNTIF($E77:Z77,"u")+COUNTIF($E77:Z77,"t")+COUNTIF($E77:Z77,"¶")+COUNTIF($E77:Z77,"²")+COUNTIF($E77:Z77,"µ")+COUNTIF($E77:Z77,1),ColDescriptionCourte))&gt;1,
HYPERLINK("#Roadmap!C"&amp; MATCH($E77,Roadmap!$D:$D,0)+COUNTIF($E77:Z77,"u")+COUNTIF($E77:Z77,"t")+COUNTIF($E77:Z77,"¶")+COUNTIF($E77:Z77,"²")+COUNTIF($E77:Z77,"µ")+COUNTIF($E77:Z77,1)-1,INDEX(Roadmap!$D:$K,MATCH($E77,Roadmap!$D:$D,0)-1+COUNTIF($E77:Z77,"u")+COUNTIF($E77:Z77,"t")+COUNTIF($E77:Z77,"¶")+COUNTIF($E77:Z77,"²")+COUNTIF($E77:Z77,"µ")+COUNTIF($E77:Z77,1),ColDescriptionCourte)),""),
  "")),"")</f>
        <v/>
      </c>
      <c r="AB77" s="40" t="str">
        <f ca="1">IFERROR(IF(AND(
  INDEX(Roadmap!$D:$K,MATCH($E77,Roadmap!$D:$D,0)+COUNTIF($E77:AA77,"u")+COUNTIF($E77:AA77,"t")+COUNTIF($E77:AA77,"¶")+COUNTIF($E77:AA77,"²")+COUNTIF($E77:AA77,"µ")+COUNTIF($E77:AA77,1),ColLivraison)=AB$6,
  VLOOKUP($E77,INDIRECT("tri!"&amp; CHAR(64+ C0Col) &amp;":"&amp; CHAR(65+C0Col)),2,FALSE)&gt;COUNTIF($E77:AA77,"u")+COUNTIF($E77:AA77,"t")+COUNTIF($E77:AA77,"¶")+COUNTIF($E77:AA77,"²")+COUNTIF($E77:AA77,"µ")+COUNTIF($E77:AA77,1)),
HYPERLINK("#Roadmap!C"&amp; MATCH($E77,Roadmap!$D:$D,0)+COUNTIF($E77:AA77,"u")+COUNTIF($E77:AA77,"t"),
     INDEX(Roadmap!$D:$K,MATCH($E77,Roadmap!$D:$D,0)+COUNTIF($E77:AA77,"u")+COUNTIF($E77:AA77,"t")+COUNTIF($E77:AA77,"¶")+COUNTIF($E77:AA77,"²")+COUNTIF($E77:AA77,"µ")+COUNTIF($E77:AA77,1),ColTypeEcheance)),
  IF(LEN(AA77)=1,
  IF(LEN(INDEX(Roadmap!$D:$K,MATCH($E77,Roadmap!$D:$D,0)-1+COUNTIF($E77:AA77,"u")+COUNTIF($E77:AA77,"t")+COUNTIF($E77:AA77,"¶")+COUNTIF($E77:AA77,"²")+COUNTIF($E77:AA77,"µ")+COUNTIF($E77:AA77,1),ColDescriptionCourte))&gt;1,
HYPERLINK("#Roadmap!C"&amp; MATCH($E77,Roadmap!$D:$D,0)+COUNTIF($E77:AA77,"u")+COUNTIF($E77:AA77,"t")+COUNTIF($E77:AA77,"¶")+COUNTIF($E77:AA77,"²")+COUNTIF($E77:AA77,"µ")+COUNTIF($E77:AA77,1)-1,INDEX(Roadmap!$D:$K,MATCH($E77,Roadmap!$D:$D,0)-1+COUNTIF($E77:AA77,"u")+COUNTIF($E77:AA77,"t")+COUNTIF($E77:AA77,"¶")+COUNTIF($E77:AA77,"²")+COUNTIF($E77:AA77,"µ")+COUNTIF($E77:AA77,1),ColDescriptionCourte)),""),
  "")),"")</f>
        <v/>
      </c>
      <c r="AC77" s="40" t="str">
        <f ca="1">IFERROR(IF(AND(
  INDEX(Roadmap!$D:$K,MATCH($E77,Roadmap!$D:$D,0)+COUNTIF($E77:AB77,"u")+COUNTIF($E77:AB77,"t")+COUNTIF($E77:AB77,"¶")+COUNTIF($E77:AB77,"²")+COUNTIF($E77:AB77,"µ")+COUNTIF($E77:AB77,1),ColLivraison)=AC$6,
  VLOOKUP($E77,INDIRECT("tri!"&amp; CHAR(64+ C0Col) &amp;":"&amp; CHAR(65+C0Col)),2,FALSE)&gt;COUNTIF($E77:AB77,"u")+COUNTIF($E77:AB77,"t")+COUNTIF($E77:AB77,"¶")+COUNTIF($E77:AB77,"²")+COUNTIF($E77:AB77,"µ")+COUNTIF($E77:AB77,1)),
HYPERLINK("#Roadmap!C"&amp; MATCH($E77,Roadmap!$D:$D,0)+COUNTIF($E77:AB77,"u")+COUNTIF($E77:AB77,"t"),
     INDEX(Roadmap!$D:$K,MATCH($E77,Roadmap!$D:$D,0)+COUNTIF($E77:AB77,"u")+COUNTIF($E77:AB77,"t")+COUNTIF($E77:AB77,"¶")+COUNTIF($E77:AB77,"²")+COUNTIF($E77:AB77,"µ")+COUNTIF($E77:AB77,1),ColTypeEcheance)),
  IF(LEN(AB77)=1,
  IF(LEN(INDEX(Roadmap!$D:$K,MATCH($E77,Roadmap!$D:$D,0)-1+COUNTIF($E77:AB77,"u")+COUNTIF($E77:AB77,"t")+COUNTIF($E77:AB77,"¶")+COUNTIF($E77:AB77,"²")+COUNTIF($E77:AB77,"µ")+COUNTIF($E77:AB77,1),ColDescriptionCourte))&gt;1,
HYPERLINK("#Roadmap!C"&amp; MATCH($E77,Roadmap!$D:$D,0)+COUNTIF($E77:AB77,"u")+COUNTIF($E77:AB77,"t")+COUNTIF($E77:AB77,"¶")+COUNTIF($E77:AB77,"²")+COUNTIF($E77:AB77,"µ")+COUNTIF($E77:AB77,1)-1,INDEX(Roadmap!$D:$K,MATCH($E77,Roadmap!$D:$D,0)-1+COUNTIF($E77:AB77,"u")+COUNTIF($E77:AB77,"t")+COUNTIF($E77:AB77,"¶")+COUNTIF($E77:AB77,"²")+COUNTIF($E77:AB77,"µ")+COUNTIF($E77:AB77,1),ColDescriptionCourte)),""),
  "")),"")</f>
        <v/>
      </c>
      <c r="AD77" s="40" t="str">
        <f ca="1">IFERROR(IF(AND(
  INDEX(Roadmap!$D:$K,MATCH($E77,Roadmap!$D:$D,0)+COUNTIF($E77:AC77,"u")+COUNTIF($E77:AC77,"t")+COUNTIF($E77:AC77,"¶")+COUNTIF($E77:AC77,"²")+COUNTIF($E77:AC77,"µ")+COUNTIF($E77:AC77,1),ColLivraison)=AD$6,
  VLOOKUP($E77,INDIRECT("tri!"&amp; CHAR(64+ C0Col) &amp;":"&amp; CHAR(65+C0Col)),2,FALSE)&gt;COUNTIF($E77:AC77,"u")+COUNTIF($E77:AC77,"t")+COUNTIF($E77:AC77,"¶")+COUNTIF($E77:AC77,"²")+COUNTIF($E77:AC77,"µ")+COUNTIF($E77:AC77,1)),
HYPERLINK("#Roadmap!C"&amp; MATCH($E77,Roadmap!$D:$D,0)+COUNTIF($E77:AC77,"u")+COUNTIF($E77:AC77,"t"),
     INDEX(Roadmap!$D:$K,MATCH($E77,Roadmap!$D:$D,0)+COUNTIF($E77:AC77,"u")+COUNTIF($E77:AC77,"t")+COUNTIF($E77:AC77,"¶")+COUNTIF($E77:AC77,"²")+COUNTIF($E77:AC77,"µ")+COUNTIF($E77:AC77,1),ColTypeEcheance)),
  IF(LEN(AC77)=1,
  IF(LEN(INDEX(Roadmap!$D:$K,MATCH($E77,Roadmap!$D:$D,0)-1+COUNTIF($E77:AC77,"u")+COUNTIF($E77:AC77,"t")+COUNTIF($E77:AC77,"¶")+COUNTIF($E77:AC77,"²")+COUNTIF($E77:AC77,"µ")+COUNTIF($E77:AC77,1),ColDescriptionCourte))&gt;1,
HYPERLINK("#Roadmap!C"&amp; MATCH($E77,Roadmap!$D:$D,0)+COUNTIF($E77:AC77,"u")+COUNTIF($E77:AC77,"t")+COUNTIF($E77:AC77,"¶")+COUNTIF($E77:AC77,"²")+COUNTIF($E77:AC77,"µ")+COUNTIF($E77:AC77,1)-1,INDEX(Roadmap!$D:$K,MATCH($E77,Roadmap!$D:$D,0)-1+COUNTIF($E77:AC77,"u")+COUNTIF($E77:AC77,"t")+COUNTIF($E77:AC77,"¶")+COUNTIF($E77:AC77,"²")+COUNTIF($E77:AC77,"µ")+COUNTIF($E77:AC77,1),ColDescriptionCourte)),""),
  "")),"")</f>
        <v/>
      </c>
      <c r="AE77" s="40" t="str">
        <f ca="1">IFERROR(IF(AND(
  INDEX(Roadmap!$D:$K,MATCH($E77,Roadmap!$D:$D,0)+COUNTIF($E77:AD77,"u")+COUNTIF($E77:AD77,"t")+COUNTIF($E77:AD77,"¶")+COUNTIF($E77:AD77,"²")+COUNTIF($E77:AD77,"µ")+COUNTIF($E77:AD77,1),ColLivraison)=AE$6,
  VLOOKUP($E77,INDIRECT("tri!"&amp; CHAR(64+ C0Col) &amp;":"&amp; CHAR(65+C0Col)),2,FALSE)&gt;COUNTIF($E77:AD77,"u")+COUNTIF($E77:AD77,"t")+COUNTIF($E77:AD77,"¶")+COUNTIF($E77:AD77,"²")+COUNTIF($E77:AD77,"µ")+COUNTIF($E77:AD77,1)),
HYPERLINK("#Roadmap!C"&amp; MATCH($E77,Roadmap!$D:$D,0)+COUNTIF($E77:AD77,"u")+COUNTIF($E77:AD77,"t"),
     INDEX(Roadmap!$D:$K,MATCH($E77,Roadmap!$D:$D,0)+COUNTIF($E77:AD77,"u")+COUNTIF($E77:AD77,"t")+COUNTIF($E77:AD77,"¶")+COUNTIF($E77:AD77,"²")+COUNTIF($E77:AD77,"µ")+COUNTIF($E77:AD77,1),ColTypeEcheance)),
  IF(LEN(AD77)=1,
  IF(LEN(INDEX(Roadmap!$D:$K,MATCH($E77,Roadmap!$D:$D,0)-1+COUNTIF($E77:AD77,"u")+COUNTIF($E77:AD77,"t")+COUNTIF($E77:AD77,"¶")+COUNTIF($E77:AD77,"²")+COUNTIF($E77:AD77,"µ")+COUNTIF($E77:AD77,1),ColDescriptionCourte))&gt;1,
HYPERLINK("#Roadmap!C"&amp; MATCH($E77,Roadmap!$D:$D,0)+COUNTIF($E77:AD77,"u")+COUNTIF($E77:AD77,"t")+COUNTIF($E77:AD77,"¶")+COUNTIF($E77:AD77,"²")+COUNTIF($E77:AD77,"µ")+COUNTIF($E77:AD77,1)-1,INDEX(Roadmap!$D:$K,MATCH($E77,Roadmap!$D:$D,0)-1+COUNTIF($E77:AD77,"u")+COUNTIF($E77:AD77,"t")+COUNTIF($E77:AD77,"¶")+COUNTIF($E77:AD77,"²")+COUNTIF($E77:AD77,"µ")+COUNTIF($E77:AD77,1),ColDescriptionCourte)),""),
  "")),"")</f>
        <v/>
      </c>
      <c r="AF77" s="40" t="str">
        <f ca="1">IFERROR(IF(AND(
  INDEX(Roadmap!$D:$K,MATCH($E77,Roadmap!$D:$D,0)+COUNTIF($E77:AE77,"u")+COUNTIF($E77:AE77,"t")+COUNTIF($E77:AE77,"¶")+COUNTIF($E77:AE77,"²")+COUNTIF($E77:AE77,"µ")+COUNTIF($E77:AE77,1),ColLivraison)=AF$6,
  VLOOKUP($E77,INDIRECT("tri!"&amp; CHAR(64+ C0Col) &amp;":"&amp; CHAR(65+C0Col)),2,FALSE)&gt;COUNTIF($E77:AE77,"u")+COUNTIF($E77:AE77,"t")+COUNTIF($E77:AE77,"¶")+COUNTIF($E77:AE77,"²")+COUNTIF($E77:AE77,"µ")+COUNTIF($E77:AE77,1)),
HYPERLINK("#Roadmap!C"&amp; MATCH($E77,Roadmap!$D:$D,0)+COUNTIF($E77:AE77,"u")+COUNTIF($E77:AE77,"t"),
     INDEX(Roadmap!$D:$K,MATCH($E77,Roadmap!$D:$D,0)+COUNTIF($E77:AE77,"u")+COUNTIF($E77:AE77,"t")+COUNTIF($E77:AE77,"¶")+COUNTIF($E77:AE77,"²")+COUNTIF($E77:AE77,"µ")+COUNTIF($E77:AE77,1),ColTypeEcheance)),
  IF(LEN(AE77)=1,
  IF(LEN(INDEX(Roadmap!$D:$K,MATCH($E77,Roadmap!$D:$D,0)-1+COUNTIF($E77:AE77,"u")+COUNTIF($E77:AE77,"t")+COUNTIF($E77:AE77,"¶")+COUNTIF($E77:AE77,"²")+COUNTIF($E77:AE77,"µ")+COUNTIF($E77:AE77,1),ColDescriptionCourte))&gt;1,
HYPERLINK("#Roadmap!C"&amp; MATCH($E77,Roadmap!$D:$D,0)+COUNTIF($E77:AE77,"u")+COUNTIF($E77:AE77,"t")+COUNTIF($E77:AE77,"¶")+COUNTIF($E77:AE77,"²")+COUNTIF($E77:AE77,"µ")+COUNTIF($E77:AE77,1)-1,INDEX(Roadmap!$D:$K,MATCH($E77,Roadmap!$D:$D,0)-1+COUNTIF($E77:AE77,"u")+COUNTIF($E77:AE77,"t")+COUNTIF($E77:AE77,"¶")+COUNTIF($E77:AE77,"²")+COUNTIF($E77:AE77,"µ")+COUNTIF($E77:AE77,1),ColDescriptionCourte)),""),
  "")),"")</f>
        <v/>
      </c>
      <c r="AG77" s="40" t="str">
        <f ca="1">IFERROR(IF(AND(
  INDEX(Roadmap!$D:$K,MATCH($E77,Roadmap!$D:$D,0)+COUNTIF($E77:AF77,"u")+COUNTIF($E77:AF77,"t")+COUNTIF($E77:AF77,"¶")+COUNTIF($E77:AF77,"²")+COUNTIF($E77:AF77,"µ")+COUNTIF($E77:AF77,1),ColLivraison)=AG$6,
  VLOOKUP($E77,INDIRECT("tri!"&amp; CHAR(64+ C0Col) &amp;":"&amp; CHAR(65+C0Col)),2,FALSE)&gt;COUNTIF($E77:AF77,"u")+COUNTIF($E77:AF77,"t")+COUNTIF($E77:AF77,"¶")+COUNTIF($E77:AF77,"²")+COUNTIF($E77:AF77,"µ")+COUNTIF($E77:AF77,1)),
HYPERLINK("#Roadmap!C"&amp; MATCH($E77,Roadmap!$D:$D,0)+COUNTIF($E77:AF77,"u")+COUNTIF($E77:AF77,"t"),
     INDEX(Roadmap!$D:$K,MATCH($E77,Roadmap!$D:$D,0)+COUNTIF($E77:AF77,"u")+COUNTIF($E77:AF77,"t")+COUNTIF($E77:AF77,"¶")+COUNTIF($E77:AF77,"²")+COUNTIF($E77:AF77,"µ")+COUNTIF($E77:AF77,1),ColTypeEcheance)),
  IF(LEN(AF77)=1,
  IF(LEN(INDEX(Roadmap!$D:$K,MATCH($E77,Roadmap!$D:$D,0)-1+COUNTIF($E77:AF77,"u")+COUNTIF($E77:AF77,"t")+COUNTIF($E77:AF77,"¶")+COUNTIF($E77:AF77,"²")+COUNTIF($E77:AF77,"µ")+COUNTIF($E77:AF77,1),ColDescriptionCourte))&gt;1,
HYPERLINK("#Roadmap!C"&amp; MATCH($E77,Roadmap!$D:$D,0)+COUNTIF($E77:AF77,"u")+COUNTIF($E77:AF77,"t")+COUNTIF($E77:AF77,"¶")+COUNTIF($E77:AF77,"²")+COUNTIF($E77:AF77,"µ")+COUNTIF($E77:AF77,1)-1,INDEX(Roadmap!$D:$K,MATCH($E77,Roadmap!$D:$D,0)-1+COUNTIF($E77:AF77,"u")+COUNTIF($E77:AF77,"t")+COUNTIF($E77:AF77,"¶")+COUNTIF($E77:AF77,"²")+COUNTIF($E77:AF77,"µ")+COUNTIF($E77:AF77,1),ColDescriptionCourte)),""),
  "")),"")</f>
        <v/>
      </c>
    </row>
    <row r="78" spans="3:33" ht="14.25" customHeight="1">
      <c r="C78" s="1" t="str">
        <f t="shared" ca="1" si="47"/>
        <v/>
      </c>
      <c r="D78" s="1" t="str">
        <f t="shared" ca="1" si="48"/>
        <v/>
      </c>
      <c r="E78" s="35" t="str">
        <f t="shared" ca="1" si="46"/>
        <v/>
      </c>
      <c r="F78" s="39" t="str">
        <f ca="1">IFERROR(IF(AND(
  INDEX(Roadmap!$D:$K,MATCH($E78,Roadmap!$D:$D,0)+COUNTIF($E78:E78,"u")+COUNTIF($E78:E78,"t")+COUNTIF($E78:E78,"¶")+COUNTIF($E78:E78,"²")+COUNTIF($E78:E78,"µ")+COUNTIF($E78:E78,1),ColLivraison)=F$6,
  VLOOKUP($E78,INDIRECT("tri!"&amp; CHAR(64+ C0Col) &amp;":"&amp; CHAR(65+C0Col)),2,FALSE)&gt;COUNTIF($E78:E78,"u")+COUNTIF($E78:E78,"t")+COUNTIF($E78:E78,"¶")+COUNTIF($E78:E78,"²")+COUNTIF($E78:E78,"µ")+COUNTIF($E78:E78,1)),
HYPERLINK("#Roadmap!C"&amp; MATCH($E78,Roadmap!$D:$D,0)+COUNTIF($E78:E78,"u")+COUNTIF($E78:E78,"t"),
     INDEX(Roadmap!$D:$K,MATCH($E78,Roadmap!$D:$D,0)+COUNTIF($E78:E78,"u")+COUNTIF($E78:E78,"t")+COUNTIF($E78:E78,"¶")+COUNTIF($E78:E78,"²")+COUNTIF($E78:E78,"µ")+COUNTIF($E78:E78,1),ColTypeEcheance)),
  IF(LEN(E78)=1,
  IF(LEN(INDEX(Roadmap!$D:$K,MATCH($E78,Roadmap!$D:$D,0)-1+COUNTIF($E78:E78,"u")+COUNTIF($E78:E78,"t")+COUNTIF($E78:E78,"¶")+COUNTIF($E78:E78,"²")+COUNTIF($E78:E78,"µ")+COUNTIF($E78:E78,1),ColDescriptionCourte))&gt;1,
HYPERLINK("#Roadmap!C"&amp; MATCH($E78,Roadmap!$D:$D,0)+COUNTIF($E78:E78,"u")+COUNTIF($E78:E78,"t")+COUNTIF($E78:E78,"¶")+COUNTIF($E78:E78,"²")+COUNTIF($E78:E78,"µ")+COUNTIF($E78:E78,1)-1,INDEX(Roadmap!$D:$K,MATCH($E78,Roadmap!$D:$D,0)-1+COUNTIF($E78:E78,"u")+COUNTIF($E78:E78,"t")+COUNTIF($E78:E78,"¶")+COUNTIF($E78:E78,"²")+COUNTIF($E78:E78,"µ")+COUNTIF($E78:E78,1),ColDescriptionCourte)),""),
  "")),"")</f>
        <v/>
      </c>
      <c r="G78" s="40" t="str">
        <f ca="1">IFERROR(IF(AND(
  INDEX(Roadmap!$D:$K,MATCH($E78,Roadmap!$D:$D,0)+COUNTIF($E78:F78,"u")+COUNTIF($E78:F78,"t")+COUNTIF($E78:F78,"¶")+COUNTIF($E78:F78,"²")+COUNTIF($E78:F78,"µ")+COUNTIF($E78:F78,1),ColLivraison)=G$6,
  VLOOKUP($E78,INDIRECT("tri!"&amp; CHAR(64+ C0Col) &amp;":"&amp; CHAR(65+C0Col)),2,FALSE)&gt;COUNTIF($E78:F78,"u")+COUNTIF($E78:F78,"t")+COUNTIF($E78:F78,"¶")+COUNTIF($E78:F78,"²")+COUNTIF($E78:F78,"µ")+COUNTIF($E78:F78,1)),
HYPERLINK("#Roadmap!C"&amp; MATCH($E78,Roadmap!$D:$D,0)+COUNTIF($E78:F78,"u")+COUNTIF($E78:F78,"t"),
     INDEX(Roadmap!$D:$K,MATCH($E78,Roadmap!$D:$D,0)+COUNTIF($E78:F78,"u")+COUNTIF($E78:F78,"t")+COUNTIF($E78:F78,"¶")+COUNTIF($E78:F78,"²")+COUNTIF($E78:F78,"µ")+COUNTIF($E78:F78,1),ColTypeEcheance)),
  IF(LEN(F78)=1,
  IF(LEN(INDEX(Roadmap!$D:$K,MATCH($E78,Roadmap!$D:$D,0)-1+COUNTIF($E78:F78,"u")+COUNTIF($E78:F78,"t")+COUNTIF($E78:F78,"¶")+COUNTIF($E78:F78,"²")+COUNTIF($E78:F78,"µ")+COUNTIF($E78:F78,1),ColDescriptionCourte))&gt;1,
HYPERLINK("#Roadmap!C"&amp; MATCH($E78,Roadmap!$D:$D,0)+COUNTIF($E78:F78,"u")+COUNTIF($E78:F78,"t")+COUNTIF($E78:F78,"¶")+COUNTIF($E78:F78,"²")+COUNTIF($E78:F78,"µ")+COUNTIF($E78:F78,1)-1,INDEX(Roadmap!$D:$K,MATCH($E78,Roadmap!$D:$D,0)-1+COUNTIF($E78:F78,"u")+COUNTIF($E78:F78,"t")+COUNTIF($E78:F78,"¶")+COUNTIF($E78:F78,"²")+COUNTIF($E78:F78,"µ")+COUNTIF($E78:F78,1),ColDescriptionCourte)),""),
  "")),"")</f>
        <v/>
      </c>
      <c r="H78" s="40" t="str">
        <f ca="1">IFERROR(IF(AND(
  INDEX(Roadmap!$D:$K,MATCH($E78,Roadmap!$D:$D,0)+COUNTIF($E78:G78,"u")+COUNTIF($E78:G78,"t")+COUNTIF($E78:G78,"¶")+COUNTIF($E78:G78,"²")+COUNTIF($E78:G78,"µ")+COUNTIF($E78:G78,1),ColLivraison)=H$6,
  VLOOKUP($E78,INDIRECT("tri!"&amp; CHAR(64+ C0Col) &amp;":"&amp; CHAR(65+C0Col)),2,FALSE)&gt;COUNTIF($E78:G78,"u")+COUNTIF($E78:G78,"t")+COUNTIF($E78:G78,"¶")+COUNTIF($E78:G78,"²")+COUNTIF($E78:G78,"µ")+COUNTIF($E78:G78,1)),
HYPERLINK("#Roadmap!C"&amp; MATCH($E78,Roadmap!$D:$D,0)+COUNTIF($E78:G78,"u")+COUNTIF($E78:G78,"t"),
     INDEX(Roadmap!$D:$K,MATCH($E78,Roadmap!$D:$D,0)+COUNTIF($E78:G78,"u")+COUNTIF($E78:G78,"t")+COUNTIF($E78:G78,"¶")+COUNTIF($E78:G78,"²")+COUNTIF($E78:G78,"µ")+COUNTIF($E78:G78,1),ColTypeEcheance)),
  IF(LEN(G78)=1,
  IF(LEN(INDEX(Roadmap!$D:$K,MATCH($E78,Roadmap!$D:$D,0)-1+COUNTIF($E78:G78,"u")+COUNTIF($E78:G78,"t")+COUNTIF($E78:G78,"¶")+COUNTIF($E78:G78,"²")+COUNTIF($E78:G78,"µ")+COUNTIF($E78:G78,1),ColDescriptionCourte))&gt;1,
HYPERLINK("#Roadmap!C"&amp; MATCH($E78,Roadmap!$D:$D,0)+COUNTIF($E78:G78,"u")+COUNTIF($E78:G78,"t")+COUNTIF($E78:G78,"¶")+COUNTIF($E78:G78,"²")+COUNTIF($E78:G78,"µ")+COUNTIF($E78:G78,1)-1,INDEX(Roadmap!$D:$K,MATCH($E78,Roadmap!$D:$D,0)-1+COUNTIF($E78:G78,"u")+COUNTIF($E78:G78,"t")+COUNTIF($E78:G78,"¶")+COUNTIF($E78:G78,"²")+COUNTIF($E78:G78,"µ")+COUNTIF($E78:G78,1),ColDescriptionCourte)),""),
  "")),"")</f>
        <v/>
      </c>
      <c r="I78" s="40" t="str">
        <f ca="1">IFERROR(IF(AND(
  INDEX(Roadmap!$D:$K,MATCH($E78,Roadmap!$D:$D,0)+COUNTIF($E78:H78,"u")+COUNTIF($E78:H78,"t")+COUNTIF($E78:H78,"¶")+COUNTIF($E78:H78,"²")+COUNTIF($E78:H78,"µ")+COUNTIF($E78:H78,1),ColLivraison)=I$6,
  VLOOKUP($E78,INDIRECT("tri!"&amp; CHAR(64+ C0Col) &amp;":"&amp; CHAR(65+C0Col)),2,FALSE)&gt;COUNTIF($E78:H78,"u")+COUNTIF($E78:H78,"t")+COUNTIF($E78:H78,"¶")+COUNTIF($E78:H78,"²")+COUNTIF($E78:H78,"µ")+COUNTIF($E78:H78,1)),
HYPERLINK("#Roadmap!C"&amp; MATCH($E78,Roadmap!$D:$D,0)+COUNTIF($E78:H78,"u")+COUNTIF($E78:H78,"t"),
     INDEX(Roadmap!$D:$K,MATCH($E78,Roadmap!$D:$D,0)+COUNTIF($E78:H78,"u")+COUNTIF($E78:H78,"t")+COUNTIF($E78:H78,"¶")+COUNTIF($E78:H78,"²")+COUNTIF($E78:H78,"µ")+COUNTIF($E78:H78,1),ColTypeEcheance)),
  IF(LEN(H78)=1,
  IF(LEN(INDEX(Roadmap!$D:$K,MATCH($E78,Roadmap!$D:$D,0)-1+COUNTIF($E78:H78,"u")+COUNTIF($E78:H78,"t")+COUNTIF($E78:H78,"¶")+COUNTIF($E78:H78,"²")+COUNTIF($E78:H78,"µ")+COUNTIF($E78:H78,1),ColDescriptionCourte))&gt;1,
HYPERLINK("#Roadmap!C"&amp; MATCH($E78,Roadmap!$D:$D,0)+COUNTIF($E78:H78,"u")+COUNTIF($E78:H78,"t")+COUNTIF($E78:H78,"¶")+COUNTIF($E78:H78,"²")+COUNTIF($E78:H78,"µ")+COUNTIF($E78:H78,1)-1,INDEX(Roadmap!$D:$K,MATCH($E78,Roadmap!$D:$D,0)-1+COUNTIF($E78:H78,"u")+COUNTIF($E78:H78,"t")+COUNTIF($E78:H78,"¶")+COUNTIF($E78:H78,"²")+COUNTIF($E78:H78,"µ")+COUNTIF($E78:H78,1),ColDescriptionCourte)),""),
  "")),"")</f>
        <v/>
      </c>
      <c r="J78" s="40" t="str">
        <f ca="1">IFERROR(IF(AND(
  INDEX(Roadmap!$D:$K,MATCH($E78,Roadmap!$D:$D,0)+COUNTIF($E78:I78,"u")+COUNTIF($E78:I78,"t")+COUNTIF($E78:I78,"¶")+COUNTIF($E78:I78,"²")+COUNTIF($E78:I78,"µ")+COUNTIF($E78:I78,1),ColLivraison)=J$6,
  VLOOKUP($E78,INDIRECT("tri!"&amp; CHAR(64+ C0Col) &amp;":"&amp; CHAR(65+C0Col)),2,FALSE)&gt;COUNTIF($E78:I78,"u")+COUNTIF($E78:I78,"t")+COUNTIF($E78:I78,"¶")+COUNTIF($E78:I78,"²")+COUNTIF($E78:I78,"µ")+COUNTIF($E78:I78,1)),
HYPERLINK("#Roadmap!C"&amp; MATCH($E78,Roadmap!$D:$D,0)+COUNTIF($E78:I78,"u")+COUNTIF($E78:I78,"t"),
     INDEX(Roadmap!$D:$K,MATCH($E78,Roadmap!$D:$D,0)+COUNTIF($E78:I78,"u")+COUNTIF($E78:I78,"t")+COUNTIF($E78:I78,"¶")+COUNTIF($E78:I78,"²")+COUNTIF($E78:I78,"µ")+COUNTIF($E78:I78,1),ColTypeEcheance)),
  IF(LEN(I78)=1,
  IF(LEN(INDEX(Roadmap!$D:$K,MATCH($E78,Roadmap!$D:$D,0)-1+COUNTIF($E78:I78,"u")+COUNTIF($E78:I78,"t")+COUNTIF($E78:I78,"¶")+COUNTIF($E78:I78,"²")+COUNTIF($E78:I78,"µ")+COUNTIF($E78:I78,1),ColDescriptionCourte))&gt;1,
HYPERLINK("#Roadmap!C"&amp; MATCH($E78,Roadmap!$D:$D,0)+COUNTIF($E78:I78,"u")+COUNTIF($E78:I78,"t")+COUNTIF($E78:I78,"¶")+COUNTIF($E78:I78,"²")+COUNTIF($E78:I78,"µ")+COUNTIF($E78:I78,1)-1,INDEX(Roadmap!$D:$K,MATCH($E78,Roadmap!$D:$D,0)-1+COUNTIF($E78:I78,"u")+COUNTIF($E78:I78,"t")+COUNTIF($E78:I78,"¶")+COUNTIF($E78:I78,"²")+COUNTIF($E78:I78,"µ")+COUNTIF($E78:I78,1),ColDescriptionCourte)),""),
  "")),"")</f>
        <v/>
      </c>
      <c r="K78" s="40" t="str">
        <f ca="1">IFERROR(IF(AND(
  INDEX(Roadmap!$D:$K,MATCH($E78,Roadmap!$D:$D,0)+COUNTIF($E78:J78,"u")+COUNTIF($E78:J78,"t")+COUNTIF($E78:J78,"¶")+COUNTIF($E78:J78,"²")+COUNTIF($E78:J78,"µ")+COUNTIF($E78:J78,1),ColLivraison)=K$6,
  VLOOKUP($E78,INDIRECT("tri!"&amp; CHAR(64+ C0Col) &amp;":"&amp; CHAR(65+C0Col)),2,FALSE)&gt;COUNTIF($E78:J78,"u")+COUNTIF($E78:J78,"t")+COUNTIF($E78:J78,"¶")+COUNTIF($E78:J78,"²")+COUNTIF($E78:J78,"µ")+COUNTIF($E78:J78,1)),
HYPERLINK("#Roadmap!C"&amp; MATCH($E78,Roadmap!$D:$D,0)+COUNTIF($E78:J78,"u")+COUNTIF($E78:J78,"t"),
     INDEX(Roadmap!$D:$K,MATCH($E78,Roadmap!$D:$D,0)+COUNTIF($E78:J78,"u")+COUNTIF($E78:J78,"t")+COUNTIF($E78:J78,"¶")+COUNTIF($E78:J78,"²")+COUNTIF($E78:J78,"µ")+COUNTIF($E78:J78,1),ColTypeEcheance)),
  IF(LEN(J78)=1,
  IF(LEN(INDEX(Roadmap!$D:$K,MATCH($E78,Roadmap!$D:$D,0)-1+COUNTIF($E78:J78,"u")+COUNTIF($E78:J78,"t")+COUNTIF($E78:J78,"¶")+COUNTIF($E78:J78,"²")+COUNTIF($E78:J78,"µ")+COUNTIF($E78:J78,1),ColDescriptionCourte))&gt;1,
HYPERLINK("#Roadmap!C"&amp; MATCH($E78,Roadmap!$D:$D,0)+COUNTIF($E78:J78,"u")+COUNTIF($E78:J78,"t")+COUNTIF($E78:J78,"¶")+COUNTIF($E78:J78,"²")+COUNTIF($E78:J78,"µ")+COUNTIF($E78:J78,1)-1,INDEX(Roadmap!$D:$K,MATCH($E78,Roadmap!$D:$D,0)-1+COUNTIF($E78:J78,"u")+COUNTIF($E78:J78,"t")+COUNTIF($E78:J78,"¶")+COUNTIF($E78:J78,"²")+COUNTIF($E78:J78,"µ")+COUNTIF($E78:J78,1),ColDescriptionCourte)),""),
  "")),"")</f>
        <v/>
      </c>
      <c r="L78" s="39" t="str">
        <f ca="1">IFERROR(IF(AND(
  INDEX(Roadmap!$D:$K,MATCH($E78,Roadmap!$D:$D,0)+COUNTIF($E78:K78,"u")+COUNTIF($E78:K78,"t")+COUNTIF($E78:K78,"¶")+COUNTIF($E78:K78,"²")+COUNTIF($E78:K78,"µ")+COUNTIF($E78:K78,1),ColLivraison)=L$6,
  VLOOKUP($E78,INDIRECT("tri!"&amp; CHAR(64+ C0Col) &amp;":"&amp; CHAR(65+C0Col)),2,FALSE)&gt;COUNTIF($E78:K78,"u")+COUNTIF($E78:K78,"t")+COUNTIF($E78:K78,"¶")+COUNTIF($E78:K78,"²")+COUNTIF($E78:K78,"µ")+COUNTIF($E78:K78,1)),
HYPERLINK("#Roadmap!C"&amp; MATCH($E78,Roadmap!$D:$D,0)+COUNTIF($E78:K78,"u")+COUNTIF($E78:K78,"t"),
     INDEX(Roadmap!$D:$K,MATCH($E78,Roadmap!$D:$D,0)+COUNTIF($E78:K78,"u")+COUNTIF($E78:K78,"t")+COUNTIF($E78:K78,"¶")+COUNTIF($E78:K78,"²")+COUNTIF($E78:K78,"µ")+COUNTIF($E78:K78,1),ColTypeEcheance)),
  IF(LEN(K78)=1,
  IF(LEN(INDEX(Roadmap!$D:$K,MATCH($E78,Roadmap!$D:$D,0)-1+COUNTIF($E78:K78,"u")+COUNTIF($E78:K78,"t")+COUNTIF($E78:K78,"¶")+COUNTIF($E78:K78,"²")+COUNTIF($E78:K78,"µ")+COUNTIF($E78:K78,1),ColDescriptionCourte))&gt;1,
HYPERLINK("#Roadmap!C"&amp; MATCH($E78,Roadmap!$D:$D,0)+COUNTIF($E78:K78,"u")+COUNTIF($E78:K78,"t")+COUNTIF($E78:K78,"¶")+COUNTIF($E78:K78,"²")+COUNTIF($E78:K78,"µ")+COUNTIF($E78:K78,1)-1,INDEX(Roadmap!$D:$K,MATCH($E78,Roadmap!$D:$D,0)-1+COUNTIF($E78:K78,"u")+COUNTIF($E78:K78,"t")+COUNTIF($E78:K78,"¶")+COUNTIF($E78:K78,"²")+COUNTIF($E78:K78,"µ")+COUNTIF($E78:K78,1),ColDescriptionCourte)),""),
  "")),"")</f>
        <v/>
      </c>
      <c r="M78" s="40" t="str">
        <f ca="1">IFERROR(IF(AND(
  INDEX(Roadmap!$D:$K,MATCH($E78,Roadmap!$D:$D,0)+COUNTIF($E78:L78,"u")+COUNTIF($E78:L78,"t")+COUNTIF($E78:L78,"¶")+COUNTIF($E78:L78,"²")+COUNTIF($E78:L78,"µ")+COUNTIF($E78:L78,1),ColLivraison)=M$6,
  VLOOKUP($E78,INDIRECT("tri!"&amp; CHAR(64+ C0Col) &amp;":"&amp; CHAR(65+C0Col)),2,FALSE)&gt;COUNTIF($E78:L78,"u")+COUNTIF($E78:L78,"t")+COUNTIF($E78:L78,"¶")+COUNTIF($E78:L78,"²")+COUNTIF($E78:L78,"µ")+COUNTIF($E78:L78,1)),
HYPERLINK("#Roadmap!C"&amp; MATCH($E78,Roadmap!$D:$D,0)+COUNTIF($E78:L78,"u")+COUNTIF($E78:L78,"t"),
     INDEX(Roadmap!$D:$K,MATCH($E78,Roadmap!$D:$D,0)+COUNTIF($E78:L78,"u")+COUNTIF($E78:L78,"t")+COUNTIF($E78:L78,"¶")+COUNTIF($E78:L78,"²")+COUNTIF($E78:L78,"µ")+COUNTIF($E78:L78,1),ColTypeEcheance)),
  IF(LEN(L78)=1,
  IF(LEN(INDEX(Roadmap!$D:$K,MATCH($E78,Roadmap!$D:$D,0)-1+COUNTIF($E78:L78,"u")+COUNTIF($E78:L78,"t")+COUNTIF($E78:L78,"¶")+COUNTIF($E78:L78,"²")+COUNTIF($E78:L78,"µ")+COUNTIF($E78:L78,1),ColDescriptionCourte))&gt;1,
HYPERLINK("#Roadmap!C"&amp; MATCH($E78,Roadmap!$D:$D,0)+COUNTIF($E78:L78,"u")+COUNTIF($E78:L78,"t")+COUNTIF($E78:L78,"¶")+COUNTIF($E78:L78,"²")+COUNTIF($E78:L78,"µ")+COUNTIF($E78:L78,1)-1,INDEX(Roadmap!$D:$K,MATCH($E78,Roadmap!$D:$D,0)-1+COUNTIF($E78:L78,"u")+COUNTIF($E78:L78,"t")+COUNTIF($E78:L78,"¶")+COUNTIF($E78:L78,"²")+COUNTIF($E78:L78,"µ")+COUNTIF($E78:L78,1),ColDescriptionCourte)),""),
  "")),"")</f>
        <v/>
      </c>
      <c r="N78" s="40" t="str">
        <f ca="1">IFERROR(IF(AND(
  INDEX(Roadmap!$D:$K,MATCH($E78,Roadmap!$D:$D,0)+COUNTIF($E78:M78,"u")+COUNTIF($E78:M78,"t")+COUNTIF($E78:M78,"¶")+COUNTIF($E78:M78,"²")+COUNTIF($E78:M78,"µ")+COUNTIF($E78:M78,1),ColLivraison)=N$6,
  VLOOKUP($E78,INDIRECT("tri!"&amp; CHAR(64+ C0Col) &amp;":"&amp; CHAR(65+C0Col)),2,FALSE)&gt;COUNTIF($E78:M78,"u")+COUNTIF($E78:M78,"t")+COUNTIF($E78:M78,"¶")+COUNTIF($E78:M78,"²")+COUNTIF($E78:M78,"µ")+COUNTIF($E78:M78,1)),
HYPERLINK("#Roadmap!C"&amp; MATCH($E78,Roadmap!$D:$D,0)+COUNTIF($E78:M78,"u")+COUNTIF($E78:M78,"t"),
     INDEX(Roadmap!$D:$K,MATCH($E78,Roadmap!$D:$D,0)+COUNTIF($E78:M78,"u")+COUNTIF($E78:M78,"t")+COUNTIF($E78:M78,"¶")+COUNTIF($E78:M78,"²")+COUNTIF($E78:M78,"µ")+COUNTIF($E78:M78,1),ColTypeEcheance)),
  IF(LEN(M78)=1,
  IF(LEN(INDEX(Roadmap!$D:$K,MATCH($E78,Roadmap!$D:$D,0)-1+COUNTIF($E78:M78,"u")+COUNTIF($E78:M78,"t")+COUNTIF($E78:M78,"¶")+COUNTIF($E78:M78,"²")+COUNTIF($E78:M78,"µ")+COUNTIF($E78:M78,1),ColDescriptionCourte))&gt;1,
HYPERLINK("#Roadmap!C"&amp; MATCH($E78,Roadmap!$D:$D,0)+COUNTIF($E78:M78,"u")+COUNTIF($E78:M78,"t")+COUNTIF($E78:M78,"¶")+COUNTIF($E78:M78,"²")+COUNTIF($E78:M78,"µ")+COUNTIF($E78:M78,1)-1,INDEX(Roadmap!$D:$K,MATCH($E78,Roadmap!$D:$D,0)-1+COUNTIF($E78:M78,"u")+COUNTIF($E78:M78,"t")+COUNTIF($E78:M78,"¶")+COUNTIF($E78:M78,"²")+COUNTIF($E78:M78,"µ")+COUNTIF($E78:M78,1),ColDescriptionCourte)),""),
  "")),"")</f>
        <v/>
      </c>
      <c r="O78" s="40" t="str">
        <f ca="1">IFERROR(IF(AND(
  INDEX(Roadmap!$D:$K,MATCH($E78,Roadmap!$D:$D,0)+COUNTIF($E78:N78,"u")+COUNTIF($E78:N78,"t")+COUNTIF($E78:N78,"¶")+COUNTIF($E78:N78,"²")+COUNTIF($E78:N78,"µ")+COUNTIF($E78:N78,1),ColLivraison)=O$6,
  VLOOKUP($E78,INDIRECT("tri!"&amp; CHAR(64+ C0Col) &amp;":"&amp; CHAR(65+C0Col)),2,FALSE)&gt;COUNTIF($E78:N78,"u")+COUNTIF($E78:N78,"t")+COUNTIF($E78:N78,"¶")+COUNTIF($E78:N78,"²")+COUNTIF($E78:N78,"µ")+COUNTIF($E78:N78,1)),
HYPERLINK("#Roadmap!C"&amp; MATCH($E78,Roadmap!$D:$D,0)+COUNTIF($E78:N78,"u")+COUNTIF($E78:N78,"t"),
     INDEX(Roadmap!$D:$K,MATCH($E78,Roadmap!$D:$D,0)+COUNTIF($E78:N78,"u")+COUNTIF($E78:N78,"t")+COUNTIF($E78:N78,"¶")+COUNTIF($E78:N78,"²")+COUNTIF($E78:N78,"µ")+COUNTIF($E78:N78,1),ColTypeEcheance)),
  IF(LEN(N78)=1,
  IF(LEN(INDEX(Roadmap!$D:$K,MATCH($E78,Roadmap!$D:$D,0)-1+COUNTIF($E78:N78,"u")+COUNTIF($E78:N78,"t")+COUNTIF($E78:N78,"¶")+COUNTIF($E78:N78,"²")+COUNTIF($E78:N78,"µ")+COUNTIF($E78:N78,1),ColDescriptionCourte))&gt;1,
HYPERLINK("#Roadmap!C"&amp; MATCH($E78,Roadmap!$D:$D,0)+COUNTIF($E78:N78,"u")+COUNTIF($E78:N78,"t")+COUNTIF($E78:N78,"¶")+COUNTIF($E78:N78,"²")+COUNTIF($E78:N78,"µ")+COUNTIF($E78:N78,1)-1,INDEX(Roadmap!$D:$K,MATCH($E78,Roadmap!$D:$D,0)-1+COUNTIF($E78:N78,"u")+COUNTIF($E78:N78,"t")+COUNTIF($E78:N78,"¶")+COUNTIF($E78:N78,"²")+COUNTIF($E78:N78,"µ")+COUNTIF($E78:N78,1),ColDescriptionCourte)),""),
  "")),"")</f>
        <v/>
      </c>
      <c r="P78" s="40" t="str">
        <f ca="1">IFERROR(IF(AND(
  INDEX(Roadmap!$D:$K,MATCH($E78,Roadmap!$D:$D,0)+COUNTIF($E78:O78,"u")+COUNTIF($E78:O78,"t")+COUNTIF($E78:O78,"¶")+COUNTIF($E78:O78,"²")+COUNTIF($E78:O78,"µ")+COUNTIF($E78:O78,1),ColLivraison)=P$6,
  VLOOKUP($E78,INDIRECT("tri!"&amp; CHAR(64+ C0Col) &amp;":"&amp; CHAR(65+C0Col)),2,FALSE)&gt;COUNTIF($E78:O78,"u")+COUNTIF($E78:O78,"t")+COUNTIF($E78:O78,"¶")+COUNTIF($E78:O78,"²")+COUNTIF($E78:O78,"µ")+COUNTIF($E78:O78,1)),
HYPERLINK("#Roadmap!C"&amp; MATCH($E78,Roadmap!$D:$D,0)+COUNTIF($E78:O78,"u")+COUNTIF($E78:O78,"t"),
     INDEX(Roadmap!$D:$K,MATCH($E78,Roadmap!$D:$D,0)+COUNTIF($E78:O78,"u")+COUNTIF($E78:O78,"t")+COUNTIF($E78:O78,"¶")+COUNTIF($E78:O78,"²")+COUNTIF($E78:O78,"µ")+COUNTIF($E78:O78,1),ColTypeEcheance)),
  IF(LEN(O78)=1,
  IF(LEN(INDEX(Roadmap!$D:$K,MATCH($E78,Roadmap!$D:$D,0)-1+COUNTIF($E78:O78,"u")+COUNTIF($E78:O78,"t")+COUNTIF($E78:O78,"¶")+COUNTIF($E78:O78,"²")+COUNTIF($E78:O78,"µ")+COUNTIF($E78:O78,1),ColDescriptionCourte))&gt;1,
HYPERLINK("#Roadmap!C"&amp; MATCH($E78,Roadmap!$D:$D,0)+COUNTIF($E78:O78,"u")+COUNTIF($E78:O78,"t")+COUNTIF($E78:O78,"¶")+COUNTIF($E78:O78,"²")+COUNTIF($E78:O78,"µ")+COUNTIF($E78:O78,1)-1,INDEX(Roadmap!$D:$K,MATCH($E78,Roadmap!$D:$D,0)-1+COUNTIF($E78:O78,"u")+COUNTIF($E78:O78,"t")+COUNTIF($E78:O78,"¶")+COUNTIF($E78:O78,"²")+COUNTIF($E78:O78,"µ")+COUNTIF($E78:O78,1),ColDescriptionCourte)),""),
  "")),"")</f>
        <v/>
      </c>
      <c r="Q78" s="40" t="str">
        <f ca="1">IFERROR(IF(AND(
  INDEX(Roadmap!$D:$K,MATCH($E78,Roadmap!$D:$D,0)+COUNTIF($E78:P78,"u")+COUNTIF($E78:P78,"t")+COUNTIF($E78:P78,"¶")+COUNTIF($E78:P78,"²")+COUNTIF($E78:P78,"µ")+COUNTIF($E78:P78,1),ColLivraison)=Q$6,
  VLOOKUP($E78,INDIRECT("tri!"&amp; CHAR(64+ C0Col) &amp;":"&amp; CHAR(65+C0Col)),2,FALSE)&gt;COUNTIF($E78:P78,"u")+COUNTIF($E78:P78,"t")+COUNTIF($E78:P78,"¶")+COUNTIF($E78:P78,"²")+COUNTIF($E78:P78,"µ")+COUNTIF($E78:P78,1)),
HYPERLINK("#Roadmap!C"&amp; MATCH($E78,Roadmap!$D:$D,0)+COUNTIF($E78:P78,"u")+COUNTIF($E78:P78,"t"),
     INDEX(Roadmap!$D:$K,MATCH($E78,Roadmap!$D:$D,0)+COUNTIF($E78:P78,"u")+COUNTIF($E78:P78,"t")+COUNTIF($E78:P78,"¶")+COUNTIF($E78:P78,"²")+COUNTIF($E78:P78,"µ")+COUNTIF($E78:P78,1),ColTypeEcheance)),
  IF(LEN(P78)=1,
  IF(LEN(INDEX(Roadmap!$D:$K,MATCH($E78,Roadmap!$D:$D,0)-1+COUNTIF($E78:P78,"u")+COUNTIF($E78:P78,"t")+COUNTIF($E78:P78,"¶")+COUNTIF($E78:P78,"²")+COUNTIF($E78:P78,"µ")+COUNTIF($E78:P78,1),ColDescriptionCourte))&gt;1,
HYPERLINK("#Roadmap!C"&amp; MATCH($E78,Roadmap!$D:$D,0)+COUNTIF($E78:P78,"u")+COUNTIF($E78:P78,"t")+COUNTIF($E78:P78,"¶")+COUNTIF($E78:P78,"²")+COUNTIF($E78:P78,"µ")+COUNTIF($E78:P78,1)-1,INDEX(Roadmap!$D:$K,MATCH($E78,Roadmap!$D:$D,0)-1+COUNTIF($E78:P78,"u")+COUNTIF($E78:P78,"t")+COUNTIF($E78:P78,"¶")+COUNTIF($E78:P78,"²")+COUNTIF($E78:P78,"µ")+COUNTIF($E78:P78,1),ColDescriptionCourte)),""),
  "")),"")</f>
        <v/>
      </c>
      <c r="R78" s="40" t="str">
        <f ca="1">IFERROR(IF(AND(
  INDEX(Roadmap!$D:$K,MATCH($E78,Roadmap!$D:$D,0)+COUNTIF($E78:Q78,"u")+COUNTIF($E78:Q78,"t")+COUNTIF($E78:Q78,"¶")+COUNTIF($E78:Q78,"²")+COUNTIF($E78:Q78,"µ")+COUNTIF($E78:Q78,1),ColLivraison)=R$6,
  VLOOKUP($E78,INDIRECT("tri!"&amp; CHAR(64+ C0Col) &amp;":"&amp; CHAR(65+C0Col)),2,FALSE)&gt;COUNTIF($E78:Q78,"u")+COUNTIF($E78:Q78,"t")+COUNTIF($E78:Q78,"¶")+COUNTIF($E78:Q78,"²")+COUNTIF($E78:Q78,"µ")+COUNTIF($E78:Q78,1)),
HYPERLINK("#Roadmap!C"&amp; MATCH($E78,Roadmap!$D:$D,0)+COUNTIF($E78:Q78,"u")+COUNTIF($E78:Q78,"t"),
     INDEX(Roadmap!$D:$K,MATCH($E78,Roadmap!$D:$D,0)+COUNTIF($E78:Q78,"u")+COUNTIF($E78:Q78,"t")+COUNTIF($E78:Q78,"¶")+COUNTIF($E78:Q78,"²")+COUNTIF($E78:Q78,"µ")+COUNTIF($E78:Q78,1),ColTypeEcheance)),
  IF(LEN(Q78)=1,
  IF(LEN(INDEX(Roadmap!$D:$K,MATCH($E78,Roadmap!$D:$D,0)-1+COUNTIF($E78:Q78,"u")+COUNTIF($E78:Q78,"t")+COUNTIF($E78:Q78,"¶")+COUNTIF($E78:Q78,"²")+COUNTIF($E78:Q78,"µ")+COUNTIF($E78:Q78,1),ColDescriptionCourte))&gt;1,
HYPERLINK("#Roadmap!C"&amp; MATCH($E78,Roadmap!$D:$D,0)+COUNTIF($E78:Q78,"u")+COUNTIF($E78:Q78,"t")+COUNTIF($E78:Q78,"¶")+COUNTIF($E78:Q78,"²")+COUNTIF($E78:Q78,"µ")+COUNTIF($E78:Q78,1)-1,INDEX(Roadmap!$D:$K,MATCH($E78,Roadmap!$D:$D,0)-1+COUNTIF($E78:Q78,"u")+COUNTIF($E78:Q78,"t")+COUNTIF($E78:Q78,"¶")+COUNTIF($E78:Q78,"²")+COUNTIF($E78:Q78,"µ")+COUNTIF($E78:Q78,1),ColDescriptionCourte)),""),
  "")),"")</f>
        <v/>
      </c>
      <c r="S78" s="40" t="str">
        <f ca="1">IFERROR(IF(AND(
  INDEX(Roadmap!$D:$K,MATCH($E78,Roadmap!$D:$D,0)+COUNTIF($E78:R78,"u")+COUNTIF($E78:R78,"t")+COUNTIF($E78:R78,"¶")+COUNTIF($E78:R78,"²")+COUNTIF($E78:R78,"µ")+COUNTIF($E78:R78,1),ColLivraison)=S$6,
  VLOOKUP($E78,INDIRECT("tri!"&amp; CHAR(64+ C0Col) &amp;":"&amp; CHAR(65+C0Col)),2,FALSE)&gt;COUNTIF($E78:R78,"u")+COUNTIF($E78:R78,"t")+COUNTIF($E78:R78,"¶")+COUNTIF($E78:R78,"²")+COUNTIF($E78:R78,"µ")+COUNTIF($E78:R78,1)),
HYPERLINK("#Roadmap!C"&amp; MATCH($E78,Roadmap!$D:$D,0)+COUNTIF($E78:R78,"u")+COUNTIF($E78:R78,"t"),
     INDEX(Roadmap!$D:$K,MATCH($E78,Roadmap!$D:$D,0)+COUNTIF($E78:R78,"u")+COUNTIF($E78:R78,"t")+COUNTIF($E78:R78,"¶")+COUNTIF($E78:R78,"²")+COUNTIF($E78:R78,"µ")+COUNTIF($E78:R78,1),ColTypeEcheance)),
  IF(LEN(R78)=1,
  IF(LEN(INDEX(Roadmap!$D:$K,MATCH($E78,Roadmap!$D:$D,0)-1+COUNTIF($E78:R78,"u")+COUNTIF($E78:R78,"t")+COUNTIF($E78:R78,"¶")+COUNTIF($E78:R78,"²")+COUNTIF($E78:R78,"µ")+COUNTIF($E78:R78,1),ColDescriptionCourte))&gt;1,
HYPERLINK("#Roadmap!C"&amp; MATCH($E78,Roadmap!$D:$D,0)+COUNTIF($E78:R78,"u")+COUNTIF($E78:R78,"t")+COUNTIF($E78:R78,"¶")+COUNTIF($E78:R78,"²")+COUNTIF($E78:R78,"µ")+COUNTIF($E78:R78,1)-1,INDEX(Roadmap!$D:$K,MATCH($E78,Roadmap!$D:$D,0)-1+COUNTIF($E78:R78,"u")+COUNTIF($E78:R78,"t")+COUNTIF($E78:R78,"¶")+COUNTIF($E78:R78,"²")+COUNTIF($E78:R78,"µ")+COUNTIF($E78:R78,1),ColDescriptionCourte)),""),
  "")),"")</f>
        <v/>
      </c>
      <c r="T78" s="40" t="str">
        <f ca="1">IFERROR(IF(AND(
  INDEX(Roadmap!$D:$K,MATCH($E78,Roadmap!$D:$D,0)+COUNTIF($E78:S78,"u")+COUNTIF($E78:S78,"t")+COUNTIF($E78:S78,"¶")+COUNTIF($E78:S78,"²")+COUNTIF($E78:S78,"µ")+COUNTIF($E78:S78,1),ColLivraison)=T$6,
  VLOOKUP($E78,INDIRECT("tri!"&amp; CHAR(64+ C0Col) &amp;":"&amp; CHAR(65+C0Col)),2,FALSE)&gt;COUNTIF($E78:S78,"u")+COUNTIF($E78:S78,"t")+COUNTIF($E78:S78,"¶")+COUNTIF($E78:S78,"²")+COUNTIF($E78:S78,"µ")+COUNTIF($E78:S78,1)),
HYPERLINK("#Roadmap!C"&amp; MATCH($E78,Roadmap!$D:$D,0)+COUNTIF($E78:S78,"u")+COUNTIF($E78:S78,"t"),
     INDEX(Roadmap!$D:$K,MATCH($E78,Roadmap!$D:$D,0)+COUNTIF($E78:S78,"u")+COUNTIF($E78:S78,"t")+COUNTIF($E78:S78,"¶")+COUNTIF($E78:S78,"²")+COUNTIF($E78:S78,"µ")+COUNTIF($E78:S78,1),ColTypeEcheance)),
  IF(LEN(S78)=1,
  IF(LEN(INDEX(Roadmap!$D:$K,MATCH($E78,Roadmap!$D:$D,0)-1+COUNTIF($E78:S78,"u")+COUNTIF($E78:S78,"t")+COUNTIF($E78:S78,"¶")+COUNTIF($E78:S78,"²")+COUNTIF($E78:S78,"µ")+COUNTIF($E78:S78,1),ColDescriptionCourte))&gt;1,
HYPERLINK("#Roadmap!C"&amp; MATCH($E78,Roadmap!$D:$D,0)+COUNTIF($E78:S78,"u")+COUNTIF($E78:S78,"t")+COUNTIF($E78:S78,"¶")+COUNTIF($E78:S78,"²")+COUNTIF($E78:S78,"µ")+COUNTIF($E78:S78,1)-1,INDEX(Roadmap!$D:$K,MATCH($E78,Roadmap!$D:$D,0)-1+COUNTIF($E78:S78,"u")+COUNTIF($E78:S78,"t")+COUNTIF($E78:S78,"¶")+COUNTIF($E78:S78,"²")+COUNTIF($E78:S78,"µ")+COUNTIF($E78:S78,1),ColDescriptionCourte)),""),
  "")),"")</f>
        <v/>
      </c>
      <c r="U78" s="40" t="str">
        <f ca="1">IFERROR(IF(AND(
  INDEX(Roadmap!$D:$K,MATCH($E78,Roadmap!$D:$D,0)+COUNTIF($E78:T78,"u")+COUNTIF($E78:T78,"t")+COUNTIF($E78:T78,"¶")+COUNTIF($E78:T78,"²")+COUNTIF($E78:T78,"µ")+COUNTIF($E78:T78,1),ColLivraison)=U$6,
  VLOOKUP($E78,INDIRECT("tri!"&amp; CHAR(64+ C0Col) &amp;":"&amp; CHAR(65+C0Col)),2,FALSE)&gt;COUNTIF($E78:T78,"u")+COUNTIF($E78:T78,"t")+COUNTIF($E78:T78,"¶")+COUNTIF($E78:T78,"²")+COUNTIF($E78:T78,"µ")+COUNTIF($E78:T78,1)),
HYPERLINK("#Roadmap!C"&amp; MATCH($E78,Roadmap!$D:$D,0)+COUNTIF($E78:T78,"u")+COUNTIF($E78:T78,"t"),
     INDEX(Roadmap!$D:$K,MATCH($E78,Roadmap!$D:$D,0)+COUNTIF($E78:T78,"u")+COUNTIF($E78:T78,"t")+COUNTIF($E78:T78,"¶")+COUNTIF($E78:T78,"²")+COUNTIF($E78:T78,"µ")+COUNTIF($E78:T78,1),ColTypeEcheance)),
  IF(LEN(T78)=1,
  IF(LEN(INDEX(Roadmap!$D:$K,MATCH($E78,Roadmap!$D:$D,0)-1+COUNTIF($E78:T78,"u")+COUNTIF($E78:T78,"t")+COUNTIF($E78:T78,"¶")+COUNTIF($E78:T78,"²")+COUNTIF($E78:T78,"µ")+COUNTIF($E78:T78,1),ColDescriptionCourte))&gt;1,
HYPERLINK("#Roadmap!C"&amp; MATCH($E78,Roadmap!$D:$D,0)+COUNTIF($E78:T78,"u")+COUNTIF($E78:T78,"t")+COUNTIF($E78:T78,"¶")+COUNTIF($E78:T78,"²")+COUNTIF($E78:T78,"µ")+COUNTIF($E78:T78,1)-1,INDEX(Roadmap!$D:$K,MATCH($E78,Roadmap!$D:$D,0)-1+COUNTIF($E78:T78,"u")+COUNTIF($E78:T78,"t")+COUNTIF($E78:T78,"¶")+COUNTIF($E78:T78,"²")+COUNTIF($E78:T78,"µ")+COUNTIF($E78:T78,1),ColDescriptionCourte)),""),
  "")),"")</f>
        <v/>
      </c>
      <c r="V78" s="40" t="str">
        <f ca="1">IFERROR(IF(AND(
  INDEX(Roadmap!$D:$K,MATCH($E78,Roadmap!$D:$D,0)+COUNTIF($E78:U78,"u")+COUNTIF($E78:U78,"t")+COUNTIF($E78:U78,"¶")+COUNTIF($E78:U78,"²")+COUNTIF($E78:U78,"µ")+COUNTIF($E78:U78,1),ColLivraison)=V$6,
  VLOOKUP($E78,INDIRECT("tri!"&amp; CHAR(64+ C0Col) &amp;":"&amp; CHAR(65+C0Col)),2,FALSE)&gt;COUNTIF($E78:U78,"u")+COUNTIF($E78:U78,"t")+COUNTIF($E78:U78,"¶")+COUNTIF($E78:U78,"²")+COUNTIF($E78:U78,"µ")+COUNTIF($E78:U78,1)),
HYPERLINK("#Roadmap!C"&amp; MATCH($E78,Roadmap!$D:$D,0)+COUNTIF($E78:U78,"u")+COUNTIF($E78:U78,"t"),
     INDEX(Roadmap!$D:$K,MATCH($E78,Roadmap!$D:$D,0)+COUNTIF($E78:U78,"u")+COUNTIF($E78:U78,"t")+COUNTIF($E78:U78,"¶")+COUNTIF($E78:U78,"²")+COUNTIF($E78:U78,"µ")+COUNTIF($E78:U78,1),ColTypeEcheance)),
  IF(LEN(U78)=1,
  IF(LEN(INDEX(Roadmap!$D:$K,MATCH($E78,Roadmap!$D:$D,0)-1+COUNTIF($E78:U78,"u")+COUNTIF($E78:U78,"t")+COUNTIF($E78:U78,"¶")+COUNTIF($E78:U78,"²")+COUNTIF($E78:U78,"µ")+COUNTIF($E78:U78,1),ColDescriptionCourte))&gt;1,
HYPERLINK("#Roadmap!C"&amp; MATCH($E78,Roadmap!$D:$D,0)+COUNTIF($E78:U78,"u")+COUNTIF($E78:U78,"t")+COUNTIF($E78:U78,"¶")+COUNTIF($E78:U78,"²")+COUNTIF($E78:U78,"µ")+COUNTIF($E78:U78,1)-1,INDEX(Roadmap!$D:$K,MATCH($E78,Roadmap!$D:$D,0)-1+COUNTIF($E78:U78,"u")+COUNTIF($E78:U78,"t")+COUNTIF($E78:U78,"¶")+COUNTIF($E78:U78,"²")+COUNTIF($E78:U78,"µ")+COUNTIF($E78:U78,1),ColDescriptionCourte)),""),
  "")),"")</f>
        <v/>
      </c>
      <c r="W78" s="40" t="str">
        <f ca="1">IFERROR(IF(AND(
  INDEX(Roadmap!$D:$K,MATCH($E78,Roadmap!$D:$D,0)+COUNTIF($E78:V78,"u")+COUNTIF($E78:V78,"t")+COUNTIF($E78:V78,"¶")+COUNTIF($E78:V78,"²")+COUNTIF($E78:V78,"µ")+COUNTIF($E78:V78,1),ColLivraison)=W$6,
  VLOOKUP($E78,INDIRECT("tri!"&amp; CHAR(64+ C0Col) &amp;":"&amp; CHAR(65+C0Col)),2,FALSE)&gt;COUNTIF($E78:V78,"u")+COUNTIF($E78:V78,"t")+COUNTIF($E78:V78,"¶")+COUNTIF($E78:V78,"²")+COUNTIF($E78:V78,"µ")+COUNTIF($E78:V78,1)),
HYPERLINK("#Roadmap!C"&amp; MATCH($E78,Roadmap!$D:$D,0)+COUNTIF($E78:V78,"u")+COUNTIF($E78:V78,"t"),
     INDEX(Roadmap!$D:$K,MATCH($E78,Roadmap!$D:$D,0)+COUNTIF($E78:V78,"u")+COUNTIF($E78:V78,"t")+COUNTIF($E78:V78,"¶")+COUNTIF($E78:V78,"²")+COUNTIF($E78:V78,"µ")+COUNTIF($E78:V78,1),ColTypeEcheance)),
  IF(LEN(V78)=1,
  IF(LEN(INDEX(Roadmap!$D:$K,MATCH($E78,Roadmap!$D:$D,0)-1+COUNTIF($E78:V78,"u")+COUNTIF($E78:V78,"t")+COUNTIF($E78:V78,"¶")+COUNTIF($E78:V78,"²")+COUNTIF($E78:V78,"µ")+COUNTIF($E78:V78,1),ColDescriptionCourte))&gt;1,
HYPERLINK("#Roadmap!C"&amp; MATCH($E78,Roadmap!$D:$D,0)+COUNTIF($E78:V78,"u")+COUNTIF($E78:V78,"t")+COUNTIF($E78:V78,"¶")+COUNTIF($E78:V78,"²")+COUNTIF($E78:V78,"µ")+COUNTIF($E78:V78,1)-1,INDEX(Roadmap!$D:$K,MATCH($E78,Roadmap!$D:$D,0)-1+COUNTIF($E78:V78,"u")+COUNTIF($E78:V78,"t")+COUNTIF($E78:V78,"¶")+COUNTIF($E78:V78,"²")+COUNTIF($E78:V78,"µ")+COUNTIF($E78:V78,1),ColDescriptionCourte)),""),
  "")),"")</f>
        <v/>
      </c>
      <c r="X78" s="40" t="str">
        <f ca="1">IFERROR(IF(AND(
  INDEX(Roadmap!$D:$K,MATCH($E78,Roadmap!$D:$D,0)+COUNTIF($E78:W78,"u")+COUNTIF($E78:W78,"t")+COUNTIF($E78:W78,"¶")+COUNTIF($E78:W78,"²")+COUNTIF($E78:W78,"µ")+COUNTIF($E78:W78,1),ColLivraison)=X$6,
  VLOOKUP($E78,INDIRECT("tri!"&amp; CHAR(64+ C0Col) &amp;":"&amp; CHAR(65+C0Col)),2,FALSE)&gt;COUNTIF($E78:W78,"u")+COUNTIF($E78:W78,"t")+COUNTIF($E78:W78,"¶")+COUNTIF($E78:W78,"²")+COUNTIF($E78:W78,"µ")+COUNTIF($E78:W78,1)),
HYPERLINK("#Roadmap!C"&amp; MATCH($E78,Roadmap!$D:$D,0)+COUNTIF($E78:W78,"u")+COUNTIF($E78:W78,"t"),
     INDEX(Roadmap!$D:$K,MATCH($E78,Roadmap!$D:$D,0)+COUNTIF($E78:W78,"u")+COUNTIF($E78:W78,"t")+COUNTIF($E78:W78,"¶")+COUNTIF($E78:W78,"²")+COUNTIF($E78:W78,"µ")+COUNTIF($E78:W78,1),ColTypeEcheance)),
  IF(LEN(W78)=1,
  IF(LEN(INDEX(Roadmap!$D:$K,MATCH($E78,Roadmap!$D:$D,0)-1+COUNTIF($E78:W78,"u")+COUNTIF($E78:W78,"t")+COUNTIF($E78:W78,"¶")+COUNTIF($E78:W78,"²")+COUNTIF($E78:W78,"µ")+COUNTIF($E78:W78,1),ColDescriptionCourte))&gt;1,
HYPERLINK("#Roadmap!C"&amp; MATCH($E78,Roadmap!$D:$D,0)+COUNTIF($E78:W78,"u")+COUNTIF($E78:W78,"t")+COUNTIF($E78:W78,"¶")+COUNTIF($E78:W78,"²")+COUNTIF($E78:W78,"µ")+COUNTIF($E78:W78,1)-1,INDEX(Roadmap!$D:$K,MATCH($E78,Roadmap!$D:$D,0)-1+COUNTIF($E78:W78,"u")+COUNTIF($E78:W78,"t")+COUNTIF($E78:W78,"¶")+COUNTIF($E78:W78,"²")+COUNTIF($E78:W78,"µ")+COUNTIF($E78:W78,1),ColDescriptionCourte)),""),
  "")),"")</f>
        <v/>
      </c>
      <c r="Y78" s="40" t="str">
        <f ca="1">IFERROR(IF(AND(
  INDEX(Roadmap!$D:$K,MATCH($E78,Roadmap!$D:$D,0)+COUNTIF($E78:X78,"u")+COUNTIF($E78:X78,"t")+COUNTIF($E78:X78,"¶")+COUNTIF($E78:X78,"²")+COUNTIF($E78:X78,"µ")+COUNTIF($E78:X78,1),ColLivraison)=Y$6,
  VLOOKUP($E78,INDIRECT("tri!"&amp; CHAR(64+ C0Col) &amp;":"&amp; CHAR(65+C0Col)),2,FALSE)&gt;COUNTIF($E78:X78,"u")+COUNTIF($E78:X78,"t")+COUNTIF($E78:X78,"¶")+COUNTIF($E78:X78,"²")+COUNTIF($E78:X78,"µ")+COUNTIF($E78:X78,1)),
HYPERLINK("#Roadmap!C"&amp; MATCH($E78,Roadmap!$D:$D,0)+COUNTIF($E78:X78,"u")+COUNTIF($E78:X78,"t"),
     INDEX(Roadmap!$D:$K,MATCH($E78,Roadmap!$D:$D,0)+COUNTIF($E78:X78,"u")+COUNTIF($E78:X78,"t")+COUNTIF($E78:X78,"¶")+COUNTIF($E78:X78,"²")+COUNTIF($E78:X78,"µ")+COUNTIF($E78:X78,1),ColTypeEcheance)),
  IF(LEN(X78)=1,
  IF(LEN(INDEX(Roadmap!$D:$K,MATCH($E78,Roadmap!$D:$D,0)-1+COUNTIF($E78:X78,"u")+COUNTIF($E78:X78,"t")+COUNTIF($E78:X78,"¶")+COUNTIF($E78:X78,"²")+COUNTIF($E78:X78,"µ")+COUNTIF($E78:X78,1),ColDescriptionCourte))&gt;1,
HYPERLINK("#Roadmap!C"&amp; MATCH($E78,Roadmap!$D:$D,0)+COUNTIF($E78:X78,"u")+COUNTIF($E78:X78,"t")+COUNTIF($E78:X78,"¶")+COUNTIF($E78:X78,"²")+COUNTIF($E78:X78,"µ")+COUNTIF($E78:X78,1)-1,INDEX(Roadmap!$D:$K,MATCH($E78,Roadmap!$D:$D,0)-1+COUNTIF($E78:X78,"u")+COUNTIF($E78:X78,"t")+COUNTIF($E78:X78,"¶")+COUNTIF($E78:X78,"²")+COUNTIF($E78:X78,"µ")+COUNTIF($E78:X78,1),ColDescriptionCourte)),""),
  "")),"")</f>
        <v/>
      </c>
      <c r="Z78" s="40" t="str">
        <f ca="1">IFERROR(IF(AND(
  INDEX(Roadmap!$D:$K,MATCH($E78,Roadmap!$D:$D,0)+COUNTIF($E78:Y78,"u")+COUNTIF($E78:Y78,"t")+COUNTIF($E78:Y78,"¶")+COUNTIF($E78:Y78,"²")+COUNTIF($E78:Y78,"µ")+COUNTIF($E78:Y78,1),ColLivraison)=Z$6,
  VLOOKUP($E78,INDIRECT("tri!"&amp; CHAR(64+ C0Col) &amp;":"&amp; CHAR(65+C0Col)),2,FALSE)&gt;COUNTIF($E78:Y78,"u")+COUNTIF($E78:Y78,"t")+COUNTIF($E78:Y78,"¶")+COUNTIF($E78:Y78,"²")+COUNTIF($E78:Y78,"µ")+COUNTIF($E78:Y78,1)),
HYPERLINK("#Roadmap!C"&amp; MATCH($E78,Roadmap!$D:$D,0)+COUNTIF($E78:Y78,"u")+COUNTIF($E78:Y78,"t"),
     INDEX(Roadmap!$D:$K,MATCH($E78,Roadmap!$D:$D,0)+COUNTIF($E78:Y78,"u")+COUNTIF($E78:Y78,"t")+COUNTIF($E78:Y78,"¶")+COUNTIF($E78:Y78,"²")+COUNTIF($E78:Y78,"µ")+COUNTIF($E78:Y78,1),ColTypeEcheance)),
  IF(LEN(Y78)=1,
  IF(LEN(INDEX(Roadmap!$D:$K,MATCH($E78,Roadmap!$D:$D,0)-1+COUNTIF($E78:Y78,"u")+COUNTIF($E78:Y78,"t")+COUNTIF($E78:Y78,"¶")+COUNTIF($E78:Y78,"²")+COUNTIF($E78:Y78,"µ")+COUNTIF($E78:Y78,1),ColDescriptionCourte))&gt;1,
HYPERLINK("#Roadmap!C"&amp; MATCH($E78,Roadmap!$D:$D,0)+COUNTIF($E78:Y78,"u")+COUNTIF($E78:Y78,"t")+COUNTIF($E78:Y78,"¶")+COUNTIF($E78:Y78,"²")+COUNTIF($E78:Y78,"µ")+COUNTIF($E78:Y78,1)-1,INDEX(Roadmap!$D:$K,MATCH($E78,Roadmap!$D:$D,0)-1+COUNTIF($E78:Y78,"u")+COUNTIF($E78:Y78,"t")+COUNTIF($E78:Y78,"¶")+COUNTIF($E78:Y78,"²")+COUNTIF($E78:Y78,"µ")+COUNTIF($E78:Y78,1),ColDescriptionCourte)),""),
  "")),"")</f>
        <v/>
      </c>
      <c r="AA78" s="40" t="str">
        <f ca="1">IFERROR(IF(AND(
  INDEX(Roadmap!$D:$K,MATCH($E78,Roadmap!$D:$D,0)+COUNTIF($E78:Z78,"u")+COUNTIF($E78:Z78,"t")+COUNTIF($E78:Z78,"¶")+COUNTIF($E78:Z78,"²")+COUNTIF($E78:Z78,"µ")+COUNTIF($E78:Z78,1),ColLivraison)=AA$6,
  VLOOKUP($E78,INDIRECT("tri!"&amp; CHAR(64+ C0Col) &amp;":"&amp; CHAR(65+C0Col)),2,FALSE)&gt;COUNTIF($E78:Z78,"u")+COUNTIF($E78:Z78,"t")+COUNTIF($E78:Z78,"¶")+COUNTIF($E78:Z78,"²")+COUNTIF($E78:Z78,"µ")+COUNTIF($E78:Z78,1)),
HYPERLINK("#Roadmap!C"&amp; MATCH($E78,Roadmap!$D:$D,0)+COUNTIF($E78:Z78,"u")+COUNTIF($E78:Z78,"t"),
     INDEX(Roadmap!$D:$K,MATCH($E78,Roadmap!$D:$D,0)+COUNTIF($E78:Z78,"u")+COUNTIF($E78:Z78,"t")+COUNTIF($E78:Z78,"¶")+COUNTIF($E78:Z78,"²")+COUNTIF($E78:Z78,"µ")+COUNTIF($E78:Z78,1),ColTypeEcheance)),
  IF(LEN(Z78)=1,
  IF(LEN(INDEX(Roadmap!$D:$K,MATCH($E78,Roadmap!$D:$D,0)-1+COUNTIF($E78:Z78,"u")+COUNTIF($E78:Z78,"t")+COUNTIF($E78:Z78,"¶")+COUNTIF($E78:Z78,"²")+COUNTIF($E78:Z78,"µ")+COUNTIF($E78:Z78,1),ColDescriptionCourte))&gt;1,
HYPERLINK("#Roadmap!C"&amp; MATCH($E78,Roadmap!$D:$D,0)+COUNTIF($E78:Z78,"u")+COUNTIF($E78:Z78,"t")+COUNTIF($E78:Z78,"¶")+COUNTIF($E78:Z78,"²")+COUNTIF($E78:Z78,"µ")+COUNTIF($E78:Z78,1)-1,INDEX(Roadmap!$D:$K,MATCH($E78,Roadmap!$D:$D,0)-1+COUNTIF($E78:Z78,"u")+COUNTIF($E78:Z78,"t")+COUNTIF($E78:Z78,"¶")+COUNTIF($E78:Z78,"²")+COUNTIF($E78:Z78,"µ")+COUNTIF($E78:Z78,1),ColDescriptionCourte)),""),
  "")),"")</f>
        <v/>
      </c>
      <c r="AB78" s="40" t="str">
        <f ca="1">IFERROR(IF(AND(
  INDEX(Roadmap!$D:$K,MATCH($E78,Roadmap!$D:$D,0)+COUNTIF($E78:AA78,"u")+COUNTIF($E78:AA78,"t")+COUNTIF($E78:AA78,"¶")+COUNTIF($E78:AA78,"²")+COUNTIF($E78:AA78,"µ")+COUNTIF($E78:AA78,1),ColLivraison)=AB$6,
  VLOOKUP($E78,INDIRECT("tri!"&amp; CHAR(64+ C0Col) &amp;":"&amp; CHAR(65+C0Col)),2,FALSE)&gt;COUNTIF($E78:AA78,"u")+COUNTIF($E78:AA78,"t")+COUNTIF($E78:AA78,"¶")+COUNTIF($E78:AA78,"²")+COUNTIF($E78:AA78,"µ")+COUNTIF($E78:AA78,1)),
HYPERLINK("#Roadmap!C"&amp; MATCH($E78,Roadmap!$D:$D,0)+COUNTIF($E78:AA78,"u")+COUNTIF($E78:AA78,"t"),
     INDEX(Roadmap!$D:$K,MATCH($E78,Roadmap!$D:$D,0)+COUNTIF($E78:AA78,"u")+COUNTIF($E78:AA78,"t")+COUNTIF($E78:AA78,"¶")+COUNTIF($E78:AA78,"²")+COUNTIF($E78:AA78,"µ")+COUNTIF($E78:AA78,1),ColTypeEcheance)),
  IF(LEN(AA78)=1,
  IF(LEN(INDEX(Roadmap!$D:$K,MATCH($E78,Roadmap!$D:$D,0)-1+COUNTIF($E78:AA78,"u")+COUNTIF($E78:AA78,"t")+COUNTIF($E78:AA78,"¶")+COUNTIF($E78:AA78,"²")+COUNTIF($E78:AA78,"µ")+COUNTIF($E78:AA78,1),ColDescriptionCourte))&gt;1,
HYPERLINK("#Roadmap!C"&amp; MATCH($E78,Roadmap!$D:$D,0)+COUNTIF($E78:AA78,"u")+COUNTIF($E78:AA78,"t")+COUNTIF($E78:AA78,"¶")+COUNTIF($E78:AA78,"²")+COUNTIF($E78:AA78,"µ")+COUNTIF($E78:AA78,1)-1,INDEX(Roadmap!$D:$K,MATCH($E78,Roadmap!$D:$D,0)-1+COUNTIF($E78:AA78,"u")+COUNTIF($E78:AA78,"t")+COUNTIF($E78:AA78,"¶")+COUNTIF($E78:AA78,"²")+COUNTIF($E78:AA78,"µ")+COUNTIF($E78:AA78,1),ColDescriptionCourte)),""),
  "")),"")</f>
        <v/>
      </c>
      <c r="AC78" s="40" t="str">
        <f ca="1">IFERROR(IF(AND(
  INDEX(Roadmap!$D:$K,MATCH($E78,Roadmap!$D:$D,0)+COUNTIF($E78:AB78,"u")+COUNTIF($E78:AB78,"t")+COUNTIF($E78:AB78,"¶")+COUNTIF($E78:AB78,"²")+COUNTIF($E78:AB78,"µ")+COUNTIF($E78:AB78,1),ColLivraison)=AC$6,
  VLOOKUP($E78,INDIRECT("tri!"&amp; CHAR(64+ C0Col) &amp;":"&amp; CHAR(65+C0Col)),2,FALSE)&gt;COUNTIF($E78:AB78,"u")+COUNTIF($E78:AB78,"t")+COUNTIF($E78:AB78,"¶")+COUNTIF($E78:AB78,"²")+COUNTIF($E78:AB78,"µ")+COUNTIF($E78:AB78,1)),
HYPERLINK("#Roadmap!C"&amp; MATCH($E78,Roadmap!$D:$D,0)+COUNTIF($E78:AB78,"u")+COUNTIF($E78:AB78,"t"),
     INDEX(Roadmap!$D:$K,MATCH($E78,Roadmap!$D:$D,0)+COUNTIF($E78:AB78,"u")+COUNTIF($E78:AB78,"t")+COUNTIF($E78:AB78,"¶")+COUNTIF($E78:AB78,"²")+COUNTIF($E78:AB78,"µ")+COUNTIF($E78:AB78,1),ColTypeEcheance)),
  IF(LEN(AB78)=1,
  IF(LEN(INDEX(Roadmap!$D:$K,MATCH($E78,Roadmap!$D:$D,0)-1+COUNTIF($E78:AB78,"u")+COUNTIF($E78:AB78,"t")+COUNTIF($E78:AB78,"¶")+COUNTIF($E78:AB78,"²")+COUNTIF($E78:AB78,"µ")+COUNTIF($E78:AB78,1),ColDescriptionCourte))&gt;1,
HYPERLINK("#Roadmap!C"&amp; MATCH($E78,Roadmap!$D:$D,0)+COUNTIF($E78:AB78,"u")+COUNTIF($E78:AB78,"t")+COUNTIF($E78:AB78,"¶")+COUNTIF($E78:AB78,"²")+COUNTIF($E78:AB78,"µ")+COUNTIF($E78:AB78,1)-1,INDEX(Roadmap!$D:$K,MATCH($E78,Roadmap!$D:$D,0)-1+COUNTIF($E78:AB78,"u")+COUNTIF($E78:AB78,"t")+COUNTIF($E78:AB78,"¶")+COUNTIF($E78:AB78,"²")+COUNTIF($E78:AB78,"µ")+COUNTIF($E78:AB78,1),ColDescriptionCourte)),""),
  "")),"")</f>
        <v/>
      </c>
      <c r="AD78" s="40" t="str">
        <f ca="1">IFERROR(IF(AND(
  INDEX(Roadmap!$D:$K,MATCH($E78,Roadmap!$D:$D,0)+COUNTIF($E78:AC78,"u")+COUNTIF($E78:AC78,"t")+COUNTIF($E78:AC78,"¶")+COUNTIF($E78:AC78,"²")+COUNTIF($E78:AC78,"µ")+COUNTIF($E78:AC78,1),ColLivraison)=AD$6,
  VLOOKUP($E78,INDIRECT("tri!"&amp; CHAR(64+ C0Col) &amp;":"&amp; CHAR(65+C0Col)),2,FALSE)&gt;COUNTIF($E78:AC78,"u")+COUNTIF($E78:AC78,"t")+COUNTIF($E78:AC78,"¶")+COUNTIF($E78:AC78,"²")+COUNTIF($E78:AC78,"µ")+COUNTIF($E78:AC78,1)),
HYPERLINK("#Roadmap!C"&amp; MATCH($E78,Roadmap!$D:$D,0)+COUNTIF($E78:AC78,"u")+COUNTIF($E78:AC78,"t"),
     INDEX(Roadmap!$D:$K,MATCH($E78,Roadmap!$D:$D,0)+COUNTIF($E78:AC78,"u")+COUNTIF($E78:AC78,"t")+COUNTIF($E78:AC78,"¶")+COUNTIF($E78:AC78,"²")+COUNTIF($E78:AC78,"µ")+COUNTIF($E78:AC78,1),ColTypeEcheance)),
  IF(LEN(AC78)=1,
  IF(LEN(INDEX(Roadmap!$D:$K,MATCH($E78,Roadmap!$D:$D,0)-1+COUNTIF($E78:AC78,"u")+COUNTIF($E78:AC78,"t")+COUNTIF($E78:AC78,"¶")+COUNTIF($E78:AC78,"²")+COUNTIF($E78:AC78,"µ")+COUNTIF($E78:AC78,1),ColDescriptionCourte))&gt;1,
HYPERLINK("#Roadmap!C"&amp; MATCH($E78,Roadmap!$D:$D,0)+COUNTIF($E78:AC78,"u")+COUNTIF($E78:AC78,"t")+COUNTIF($E78:AC78,"¶")+COUNTIF($E78:AC78,"²")+COUNTIF($E78:AC78,"µ")+COUNTIF($E78:AC78,1)-1,INDEX(Roadmap!$D:$K,MATCH($E78,Roadmap!$D:$D,0)-1+COUNTIF($E78:AC78,"u")+COUNTIF($E78:AC78,"t")+COUNTIF($E78:AC78,"¶")+COUNTIF($E78:AC78,"²")+COUNTIF($E78:AC78,"µ")+COUNTIF($E78:AC78,1),ColDescriptionCourte)),""),
  "")),"")</f>
        <v/>
      </c>
      <c r="AE78" s="40" t="str">
        <f ca="1">IFERROR(IF(AND(
  INDEX(Roadmap!$D:$K,MATCH($E78,Roadmap!$D:$D,0)+COUNTIF($E78:AD78,"u")+COUNTIF($E78:AD78,"t")+COUNTIF($E78:AD78,"¶")+COUNTIF($E78:AD78,"²")+COUNTIF($E78:AD78,"µ")+COUNTIF($E78:AD78,1),ColLivraison)=AE$6,
  VLOOKUP($E78,INDIRECT("tri!"&amp; CHAR(64+ C0Col) &amp;":"&amp; CHAR(65+C0Col)),2,FALSE)&gt;COUNTIF($E78:AD78,"u")+COUNTIF($E78:AD78,"t")+COUNTIF($E78:AD78,"¶")+COUNTIF($E78:AD78,"²")+COUNTIF($E78:AD78,"µ")+COUNTIF($E78:AD78,1)),
HYPERLINK("#Roadmap!C"&amp; MATCH($E78,Roadmap!$D:$D,0)+COUNTIF($E78:AD78,"u")+COUNTIF($E78:AD78,"t"),
     INDEX(Roadmap!$D:$K,MATCH($E78,Roadmap!$D:$D,0)+COUNTIF($E78:AD78,"u")+COUNTIF($E78:AD78,"t")+COUNTIF($E78:AD78,"¶")+COUNTIF($E78:AD78,"²")+COUNTIF($E78:AD78,"µ")+COUNTIF($E78:AD78,1),ColTypeEcheance)),
  IF(LEN(AD78)=1,
  IF(LEN(INDEX(Roadmap!$D:$K,MATCH($E78,Roadmap!$D:$D,0)-1+COUNTIF($E78:AD78,"u")+COUNTIF($E78:AD78,"t")+COUNTIF($E78:AD78,"¶")+COUNTIF($E78:AD78,"²")+COUNTIF($E78:AD78,"µ")+COUNTIF($E78:AD78,1),ColDescriptionCourte))&gt;1,
HYPERLINK("#Roadmap!C"&amp; MATCH($E78,Roadmap!$D:$D,0)+COUNTIF($E78:AD78,"u")+COUNTIF($E78:AD78,"t")+COUNTIF($E78:AD78,"¶")+COUNTIF($E78:AD78,"²")+COUNTIF($E78:AD78,"µ")+COUNTIF($E78:AD78,1)-1,INDEX(Roadmap!$D:$K,MATCH($E78,Roadmap!$D:$D,0)-1+COUNTIF($E78:AD78,"u")+COUNTIF($E78:AD78,"t")+COUNTIF($E78:AD78,"¶")+COUNTIF($E78:AD78,"²")+COUNTIF($E78:AD78,"µ")+COUNTIF($E78:AD78,1),ColDescriptionCourte)),""),
  "")),"")</f>
        <v/>
      </c>
      <c r="AF78" s="40" t="str">
        <f ca="1">IFERROR(IF(AND(
  INDEX(Roadmap!$D:$K,MATCH($E78,Roadmap!$D:$D,0)+COUNTIF($E78:AE78,"u")+COUNTIF($E78:AE78,"t")+COUNTIF($E78:AE78,"¶")+COUNTIF($E78:AE78,"²")+COUNTIF($E78:AE78,"µ")+COUNTIF($E78:AE78,1),ColLivraison)=AF$6,
  VLOOKUP($E78,INDIRECT("tri!"&amp; CHAR(64+ C0Col) &amp;":"&amp; CHAR(65+C0Col)),2,FALSE)&gt;COUNTIF($E78:AE78,"u")+COUNTIF($E78:AE78,"t")+COUNTIF($E78:AE78,"¶")+COUNTIF($E78:AE78,"²")+COUNTIF($E78:AE78,"µ")+COUNTIF($E78:AE78,1)),
HYPERLINK("#Roadmap!C"&amp; MATCH($E78,Roadmap!$D:$D,0)+COUNTIF($E78:AE78,"u")+COUNTIF($E78:AE78,"t"),
     INDEX(Roadmap!$D:$K,MATCH($E78,Roadmap!$D:$D,0)+COUNTIF($E78:AE78,"u")+COUNTIF($E78:AE78,"t")+COUNTIF($E78:AE78,"¶")+COUNTIF($E78:AE78,"²")+COUNTIF($E78:AE78,"µ")+COUNTIF($E78:AE78,1),ColTypeEcheance)),
  IF(LEN(AE78)=1,
  IF(LEN(INDEX(Roadmap!$D:$K,MATCH($E78,Roadmap!$D:$D,0)-1+COUNTIF($E78:AE78,"u")+COUNTIF($E78:AE78,"t")+COUNTIF($E78:AE78,"¶")+COUNTIF($E78:AE78,"²")+COUNTIF($E78:AE78,"µ")+COUNTIF($E78:AE78,1),ColDescriptionCourte))&gt;1,
HYPERLINK("#Roadmap!C"&amp; MATCH($E78,Roadmap!$D:$D,0)+COUNTIF($E78:AE78,"u")+COUNTIF($E78:AE78,"t")+COUNTIF($E78:AE78,"¶")+COUNTIF($E78:AE78,"²")+COUNTIF($E78:AE78,"µ")+COUNTIF($E78:AE78,1)-1,INDEX(Roadmap!$D:$K,MATCH($E78,Roadmap!$D:$D,0)-1+COUNTIF($E78:AE78,"u")+COUNTIF($E78:AE78,"t")+COUNTIF($E78:AE78,"¶")+COUNTIF($E78:AE78,"²")+COUNTIF($E78:AE78,"µ")+COUNTIF($E78:AE78,1),ColDescriptionCourte)),""),
  "")),"")</f>
        <v/>
      </c>
      <c r="AG78" s="40" t="str">
        <f ca="1">IFERROR(IF(AND(
  INDEX(Roadmap!$D:$K,MATCH($E78,Roadmap!$D:$D,0)+COUNTIF($E78:AF78,"u")+COUNTIF($E78:AF78,"t")+COUNTIF($E78:AF78,"¶")+COUNTIF($E78:AF78,"²")+COUNTIF($E78:AF78,"µ")+COUNTIF($E78:AF78,1),ColLivraison)=AG$6,
  VLOOKUP($E78,INDIRECT("tri!"&amp; CHAR(64+ C0Col) &amp;":"&amp; CHAR(65+C0Col)),2,FALSE)&gt;COUNTIF($E78:AF78,"u")+COUNTIF($E78:AF78,"t")+COUNTIF($E78:AF78,"¶")+COUNTIF($E78:AF78,"²")+COUNTIF($E78:AF78,"µ")+COUNTIF($E78:AF78,1)),
HYPERLINK("#Roadmap!C"&amp; MATCH($E78,Roadmap!$D:$D,0)+COUNTIF($E78:AF78,"u")+COUNTIF($E78:AF78,"t"),
     INDEX(Roadmap!$D:$K,MATCH($E78,Roadmap!$D:$D,0)+COUNTIF($E78:AF78,"u")+COUNTIF($E78:AF78,"t")+COUNTIF($E78:AF78,"¶")+COUNTIF($E78:AF78,"²")+COUNTIF($E78:AF78,"µ")+COUNTIF($E78:AF78,1),ColTypeEcheance)),
  IF(LEN(AF78)=1,
  IF(LEN(INDEX(Roadmap!$D:$K,MATCH($E78,Roadmap!$D:$D,0)-1+COUNTIF($E78:AF78,"u")+COUNTIF($E78:AF78,"t")+COUNTIF($E78:AF78,"¶")+COUNTIF($E78:AF78,"²")+COUNTIF($E78:AF78,"µ")+COUNTIF($E78:AF78,1),ColDescriptionCourte))&gt;1,
HYPERLINK("#Roadmap!C"&amp; MATCH($E78,Roadmap!$D:$D,0)+COUNTIF($E78:AF78,"u")+COUNTIF($E78:AF78,"t")+COUNTIF($E78:AF78,"¶")+COUNTIF($E78:AF78,"²")+COUNTIF($E78:AF78,"µ")+COUNTIF($E78:AF78,1)-1,INDEX(Roadmap!$D:$K,MATCH($E78,Roadmap!$D:$D,0)-1+COUNTIF($E78:AF78,"u")+COUNTIF($E78:AF78,"t")+COUNTIF($E78:AF78,"¶")+COUNTIF($E78:AF78,"²")+COUNTIF($E78:AF78,"µ")+COUNTIF($E78:AF78,1),ColDescriptionCourte)),""),
  "")),"")</f>
        <v/>
      </c>
    </row>
    <row r="79" spans="3:33" ht="14.25" customHeight="1">
      <c r="C79" s="1" t="str">
        <f t="shared" ca="1" si="47"/>
        <v/>
      </c>
      <c r="D79" s="1" t="str">
        <f t="shared" ca="1" si="48"/>
        <v/>
      </c>
      <c r="E79" s="35" t="str">
        <f t="shared" ca="1" si="46"/>
        <v/>
      </c>
      <c r="F79" s="39" t="str">
        <f ca="1">IFERROR(IF(AND(
  INDEX(Roadmap!$D:$K,MATCH($E79,Roadmap!$D:$D,0)+COUNTIF($E79:E79,"u")+COUNTIF($E79:E79,"t")+COUNTIF($E79:E79,"¶")+COUNTIF($E79:E79,"²")+COUNTIF($E79:E79,"µ")+COUNTIF($E79:E79,1),ColLivraison)=F$6,
  VLOOKUP($E79,INDIRECT("tri!"&amp; CHAR(64+ C0Col) &amp;":"&amp; CHAR(65+C0Col)),2,FALSE)&gt;COUNTIF($E79:E79,"u")+COUNTIF($E79:E79,"t")+COUNTIF($E79:E79,"¶")+COUNTIF($E79:E79,"²")+COUNTIF($E79:E79,"µ")+COUNTIF($E79:E79,1)),
HYPERLINK("#Roadmap!C"&amp; MATCH($E79,Roadmap!$D:$D,0)+COUNTIF($E79:E79,"u")+COUNTIF($E79:E79,"t"),
     INDEX(Roadmap!$D:$K,MATCH($E79,Roadmap!$D:$D,0)+COUNTIF($E79:E79,"u")+COUNTIF($E79:E79,"t")+COUNTIF($E79:E79,"¶")+COUNTIF($E79:E79,"²")+COUNTIF($E79:E79,"µ")+COUNTIF($E79:E79,1),ColTypeEcheance)),
  IF(LEN(E79)=1,
  IF(LEN(INDEX(Roadmap!$D:$K,MATCH($E79,Roadmap!$D:$D,0)-1+COUNTIF($E79:E79,"u")+COUNTIF($E79:E79,"t")+COUNTIF($E79:E79,"¶")+COUNTIF($E79:E79,"²")+COUNTIF($E79:E79,"µ")+COUNTIF($E79:E79,1),ColDescriptionCourte))&gt;1,
HYPERLINK("#Roadmap!C"&amp; MATCH($E79,Roadmap!$D:$D,0)+COUNTIF($E79:E79,"u")+COUNTIF($E79:E79,"t")+COUNTIF($E79:E79,"¶")+COUNTIF($E79:E79,"²")+COUNTIF($E79:E79,"µ")+COUNTIF($E79:E79,1)-1,INDEX(Roadmap!$D:$K,MATCH($E79,Roadmap!$D:$D,0)-1+COUNTIF($E79:E79,"u")+COUNTIF($E79:E79,"t")+COUNTIF($E79:E79,"¶")+COUNTIF($E79:E79,"²")+COUNTIF($E79:E79,"µ")+COUNTIF($E79:E79,1),ColDescriptionCourte)),""),
  "")),"")</f>
        <v/>
      </c>
      <c r="G79" s="40" t="str">
        <f ca="1">IFERROR(IF(AND(
  INDEX(Roadmap!$D:$K,MATCH($E79,Roadmap!$D:$D,0)+COUNTIF($E79:F79,"u")+COUNTIF($E79:F79,"t")+COUNTIF($E79:F79,"¶")+COUNTIF($E79:F79,"²")+COUNTIF($E79:F79,"µ")+COUNTIF($E79:F79,1),ColLivraison)=G$6,
  VLOOKUP($E79,INDIRECT("tri!"&amp; CHAR(64+ C0Col) &amp;":"&amp; CHAR(65+C0Col)),2,FALSE)&gt;COUNTIF($E79:F79,"u")+COUNTIF($E79:F79,"t")+COUNTIF($E79:F79,"¶")+COUNTIF($E79:F79,"²")+COUNTIF($E79:F79,"µ")+COUNTIF($E79:F79,1)),
HYPERLINK("#Roadmap!C"&amp; MATCH($E79,Roadmap!$D:$D,0)+COUNTIF($E79:F79,"u")+COUNTIF($E79:F79,"t"),
     INDEX(Roadmap!$D:$K,MATCH($E79,Roadmap!$D:$D,0)+COUNTIF($E79:F79,"u")+COUNTIF($E79:F79,"t")+COUNTIF($E79:F79,"¶")+COUNTIF($E79:F79,"²")+COUNTIF($E79:F79,"µ")+COUNTIF($E79:F79,1),ColTypeEcheance)),
  IF(LEN(F79)=1,
  IF(LEN(INDEX(Roadmap!$D:$K,MATCH($E79,Roadmap!$D:$D,0)-1+COUNTIF($E79:F79,"u")+COUNTIF($E79:F79,"t")+COUNTIF($E79:F79,"¶")+COUNTIF($E79:F79,"²")+COUNTIF($E79:F79,"µ")+COUNTIF($E79:F79,1),ColDescriptionCourte))&gt;1,
HYPERLINK("#Roadmap!C"&amp; MATCH($E79,Roadmap!$D:$D,0)+COUNTIF($E79:F79,"u")+COUNTIF($E79:F79,"t")+COUNTIF($E79:F79,"¶")+COUNTIF($E79:F79,"²")+COUNTIF($E79:F79,"µ")+COUNTIF($E79:F79,1)-1,INDEX(Roadmap!$D:$K,MATCH($E79,Roadmap!$D:$D,0)-1+COUNTIF($E79:F79,"u")+COUNTIF($E79:F79,"t")+COUNTIF($E79:F79,"¶")+COUNTIF($E79:F79,"²")+COUNTIF($E79:F79,"µ")+COUNTIF($E79:F79,1),ColDescriptionCourte)),""),
  "")),"")</f>
        <v/>
      </c>
      <c r="H79" s="40" t="str">
        <f ca="1">IFERROR(IF(AND(
  INDEX(Roadmap!$D:$K,MATCH($E79,Roadmap!$D:$D,0)+COUNTIF($E79:G79,"u")+COUNTIF($E79:G79,"t")+COUNTIF($E79:G79,"¶")+COUNTIF($E79:G79,"²")+COUNTIF($E79:G79,"µ")+COUNTIF($E79:G79,1),ColLivraison)=H$6,
  VLOOKUP($E79,INDIRECT("tri!"&amp; CHAR(64+ C0Col) &amp;":"&amp; CHAR(65+C0Col)),2,FALSE)&gt;COUNTIF($E79:G79,"u")+COUNTIF($E79:G79,"t")+COUNTIF($E79:G79,"¶")+COUNTIF($E79:G79,"²")+COUNTIF($E79:G79,"µ")+COUNTIF($E79:G79,1)),
HYPERLINK("#Roadmap!C"&amp; MATCH($E79,Roadmap!$D:$D,0)+COUNTIF($E79:G79,"u")+COUNTIF($E79:G79,"t"),
     INDEX(Roadmap!$D:$K,MATCH($E79,Roadmap!$D:$D,0)+COUNTIF($E79:G79,"u")+COUNTIF($E79:G79,"t")+COUNTIF($E79:G79,"¶")+COUNTIF($E79:G79,"²")+COUNTIF($E79:G79,"µ")+COUNTIF($E79:G79,1),ColTypeEcheance)),
  IF(LEN(G79)=1,
  IF(LEN(INDEX(Roadmap!$D:$K,MATCH($E79,Roadmap!$D:$D,0)-1+COUNTIF($E79:G79,"u")+COUNTIF($E79:G79,"t")+COUNTIF($E79:G79,"¶")+COUNTIF($E79:G79,"²")+COUNTIF($E79:G79,"µ")+COUNTIF($E79:G79,1),ColDescriptionCourte))&gt;1,
HYPERLINK("#Roadmap!C"&amp; MATCH($E79,Roadmap!$D:$D,0)+COUNTIF($E79:G79,"u")+COUNTIF($E79:G79,"t")+COUNTIF($E79:G79,"¶")+COUNTIF($E79:G79,"²")+COUNTIF($E79:G79,"µ")+COUNTIF($E79:G79,1)-1,INDEX(Roadmap!$D:$K,MATCH($E79,Roadmap!$D:$D,0)-1+COUNTIF($E79:G79,"u")+COUNTIF($E79:G79,"t")+COUNTIF($E79:G79,"¶")+COUNTIF($E79:G79,"²")+COUNTIF($E79:G79,"µ")+COUNTIF($E79:G79,1),ColDescriptionCourte)),""),
  "")),"")</f>
        <v/>
      </c>
      <c r="I79" s="40" t="str">
        <f ca="1">IFERROR(IF(AND(
  INDEX(Roadmap!$D:$K,MATCH($E79,Roadmap!$D:$D,0)+COUNTIF($E79:H79,"u")+COUNTIF($E79:H79,"t")+COUNTIF($E79:H79,"¶")+COUNTIF($E79:H79,"²")+COUNTIF($E79:H79,"µ")+COUNTIF($E79:H79,1),ColLivraison)=I$6,
  VLOOKUP($E79,INDIRECT("tri!"&amp; CHAR(64+ C0Col) &amp;":"&amp; CHAR(65+C0Col)),2,FALSE)&gt;COUNTIF($E79:H79,"u")+COUNTIF($E79:H79,"t")+COUNTIF($E79:H79,"¶")+COUNTIF($E79:H79,"²")+COUNTIF($E79:H79,"µ")+COUNTIF($E79:H79,1)),
HYPERLINK("#Roadmap!C"&amp; MATCH($E79,Roadmap!$D:$D,0)+COUNTIF($E79:H79,"u")+COUNTIF($E79:H79,"t"),
     INDEX(Roadmap!$D:$K,MATCH($E79,Roadmap!$D:$D,0)+COUNTIF($E79:H79,"u")+COUNTIF($E79:H79,"t")+COUNTIF($E79:H79,"¶")+COUNTIF($E79:H79,"²")+COUNTIF($E79:H79,"µ")+COUNTIF($E79:H79,1),ColTypeEcheance)),
  IF(LEN(H79)=1,
  IF(LEN(INDEX(Roadmap!$D:$K,MATCH($E79,Roadmap!$D:$D,0)-1+COUNTIF($E79:H79,"u")+COUNTIF($E79:H79,"t")+COUNTIF($E79:H79,"¶")+COUNTIF($E79:H79,"²")+COUNTIF($E79:H79,"µ")+COUNTIF($E79:H79,1),ColDescriptionCourte))&gt;1,
HYPERLINK("#Roadmap!C"&amp; MATCH($E79,Roadmap!$D:$D,0)+COUNTIF($E79:H79,"u")+COUNTIF($E79:H79,"t")+COUNTIF($E79:H79,"¶")+COUNTIF($E79:H79,"²")+COUNTIF($E79:H79,"µ")+COUNTIF($E79:H79,1)-1,INDEX(Roadmap!$D:$K,MATCH($E79,Roadmap!$D:$D,0)-1+COUNTIF($E79:H79,"u")+COUNTIF($E79:H79,"t")+COUNTIF($E79:H79,"¶")+COUNTIF($E79:H79,"²")+COUNTIF($E79:H79,"µ")+COUNTIF($E79:H79,1),ColDescriptionCourte)),""),
  "")),"")</f>
        <v/>
      </c>
      <c r="J79" s="40" t="str">
        <f ca="1">IFERROR(IF(AND(
  INDEX(Roadmap!$D:$K,MATCH($E79,Roadmap!$D:$D,0)+COUNTIF($E79:I79,"u")+COUNTIF($E79:I79,"t")+COUNTIF($E79:I79,"¶")+COUNTIF($E79:I79,"²")+COUNTIF($E79:I79,"µ")+COUNTIF($E79:I79,1),ColLivraison)=J$6,
  VLOOKUP($E79,INDIRECT("tri!"&amp; CHAR(64+ C0Col) &amp;":"&amp; CHAR(65+C0Col)),2,FALSE)&gt;COUNTIF($E79:I79,"u")+COUNTIF($E79:I79,"t")+COUNTIF($E79:I79,"¶")+COUNTIF($E79:I79,"²")+COUNTIF($E79:I79,"µ")+COUNTIF($E79:I79,1)),
HYPERLINK("#Roadmap!C"&amp; MATCH($E79,Roadmap!$D:$D,0)+COUNTIF($E79:I79,"u")+COUNTIF($E79:I79,"t"),
     INDEX(Roadmap!$D:$K,MATCH($E79,Roadmap!$D:$D,0)+COUNTIF($E79:I79,"u")+COUNTIF($E79:I79,"t")+COUNTIF($E79:I79,"¶")+COUNTIF($E79:I79,"²")+COUNTIF($E79:I79,"µ")+COUNTIF($E79:I79,1),ColTypeEcheance)),
  IF(LEN(I79)=1,
  IF(LEN(INDEX(Roadmap!$D:$K,MATCH($E79,Roadmap!$D:$D,0)-1+COUNTIF($E79:I79,"u")+COUNTIF($E79:I79,"t")+COUNTIF($E79:I79,"¶")+COUNTIF($E79:I79,"²")+COUNTIF($E79:I79,"µ")+COUNTIF($E79:I79,1),ColDescriptionCourte))&gt;1,
HYPERLINK("#Roadmap!C"&amp; MATCH($E79,Roadmap!$D:$D,0)+COUNTIF($E79:I79,"u")+COUNTIF($E79:I79,"t")+COUNTIF($E79:I79,"¶")+COUNTIF($E79:I79,"²")+COUNTIF($E79:I79,"µ")+COUNTIF($E79:I79,1)-1,INDEX(Roadmap!$D:$K,MATCH($E79,Roadmap!$D:$D,0)-1+COUNTIF($E79:I79,"u")+COUNTIF($E79:I79,"t")+COUNTIF($E79:I79,"¶")+COUNTIF($E79:I79,"²")+COUNTIF($E79:I79,"µ")+COUNTIF($E79:I79,1),ColDescriptionCourte)),""),
  "")),"")</f>
        <v/>
      </c>
      <c r="K79" s="40" t="str">
        <f ca="1">IFERROR(IF(AND(
  INDEX(Roadmap!$D:$K,MATCH($E79,Roadmap!$D:$D,0)+COUNTIF($E79:J79,"u")+COUNTIF($E79:J79,"t")+COUNTIF($E79:J79,"¶")+COUNTIF($E79:J79,"²")+COUNTIF($E79:J79,"µ")+COUNTIF($E79:J79,1),ColLivraison)=K$6,
  VLOOKUP($E79,INDIRECT("tri!"&amp; CHAR(64+ C0Col) &amp;":"&amp; CHAR(65+C0Col)),2,FALSE)&gt;COUNTIF($E79:J79,"u")+COUNTIF($E79:J79,"t")+COUNTIF($E79:J79,"¶")+COUNTIF($E79:J79,"²")+COUNTIF($E79:J79,"µ")+COUNTIF($E79:J79,1)),
HYPERLINK("#Roadmap!C"&amp; MATCH($E79,Roadmap!$D:$D,0)+COUNTIF($E79:J79,"u")+COUNTIF($E79:J79,"t"),
     INDEX(Roadmap!$D:$K,MATCH($E79,Roadmap!$D:$D,0)+COUNTIF($E79:J79,"u")+COUNTIF($E79:J79,"t")+COUNTIF($E79:J79,"¶")+COUNTIF($E79:J79,"²")+COUNTIF($E79:J79,"µ")+COUNTIF($E79:J79,1),ColTypeEcheance)),
  IF(LEN(J79)=1,
  IF(LEN(INDEX(Roadmap!$D:$K,MATCH($E79,Roadmap!$D:$D,0)-1+COUNTIF($E79:J79,"u")+COUNTIF($E79:J79,"t")+COUNTIF($E79:J79,"¶")+COUNTIF($E79:J79,"²")+COUNTIF($E79:J79,"µ")+COUNTIF($E79:J79,1),ColDescriptionCourte))&gt;1,
HYPERLINK("#Roadmap!C"&amp; MATCH($E79,Roadmap!$D:$D,0)+COUNTIF($E79:J79,"u")+COUNTIF($E79:J79,"t")+COUNTIF($E79:J79,"¶")+COUNTIF($E79:J79,"²")+COUNTIF($E79:J79,"µ")+COUNTIF($E79:J79,1)-1,INDEX(Roadmap!$D:$K,MATCH($E79,Roadmap!$D:$D,0)-1+COUNTIF($E79:J79,"u")+COUNTIF($E79:J79,"t")+COUNTIF($E79:J79,"¶")+COUNTIF($E79:J79,"²")+COUNTIF($E79:J79,"µ")+COUNTIF($E79:J79,1),ColDescriptionCourte)),""),
  "")),"")</f>
        <v/>
      </c>
      <c r="L79" s="39" t="str">
        <f ca="1">IFERROR(IF(AND(
  INDEX(Roadmap!$D:$K,MATCH($E79,Roadmap!$D:$D,0)+COUNTIF($E79:K79,"u")+COUNTIF($E79:K79,"t")+COUNTIF($E79:K79,"¶")+COUNTIF($E79:K79,"²")+COUNTIF($E79:K79,"µ")+COUNTIF($E79:K79,1),ColLivraison)=L$6,
  VLOOKUP($E79,INDIRECT("tri!"&amp; CHAR(64+ C0Col) &amp;":"&amp; CHAR(65+C0Col)),2,FALSE)&gt;COUNTIF($E79:K79,"u")+COUNTIF($E79:K79,"t")+COUNTIF($E79:K79,"¶")+COUNTIF($E79:K79,"²")+COUNTIF($E79:K79,"µ")+COUNTIF($E79:K79,1)),
HYPERLINK("#Roadmap!C"&amp; MATCH($E79,Roadmap!$D:$D,0)+COUNTIF($E79:K79,"u")+COUNTIF($E79:K79,"t"),
     INDEX(Roadmap!$D:$K,MATCH($E79,Roadmap!$D:$D,0)+COUNTIF($E79:K79,"u")+COUNTIF($E79:K79,"t")+COUNTIF($E79:K79,"¶")+COUNTIF($E79:K79,"²")+COUNTIF($E79:K79,"µ")+COUNTIF($E79:K79,1),ColTypeEcheance)),
  IF(LEN(K79)=1,
  IF(LEN(INDEX(Roadmap!$D:$K,MATCH($E79,Roadmap!$D:$D,0)-1+COUNTIF($E79:K79,"u")+COUNTIF($E79:K79,"t")+COUNTIF($E79:K79,"¶")+COUNTIF($E79:K79,"²")+COUNTIF($E79:K79,"µ")+COUNTIF($E79:K79,1),ColDescriptionCourte))&gt;1,
HYPERLINK("#Roadmap!C"&amp; MATCH($E79,Roadmap!$D:$D,0)+COUNTIF($E79:K79,"u")+COUNTIF($E79:K79,"t")+COUNTIF($E79:K79,"¶")+COUNTIF($E79:K79,"²")+COUNTIF($E79:K79,"µ")+COUNTIF($E79:K79,1)-1,INDEX(Roadmap!$D:$K,MATCH($E79,Roadmap!$D:$D,0)-1+COUNTIF($E79:K79,"u")+COUNTIF($E79:K79,"t")+COUNTIF($E79:K79,"¶")+COUNTIF($E79:K79,"²")+COUNTIF($E79:K79,"µ")+COUNTIF($E79:K79,1),ColDescriptionCourte)),""),
  "")),"")</f>
        <v/>
      </c>
      <c r="M79" s="40" t="str">
        <f ca="1">IFERROR(IF(AND(
  INDEX(Roadmap!$D:$K,MATCH($E79,Roadmap!$D:$D,0)+COUNTIF($E79:L79,"u")+COUNTIF($E79:L79,"t")+COUNTIF($E79:L79,"¶")+COUNTIF($E79:L79,"²")+COUNTIF($E79:L79,"µ")+COUNTIF($E79:L79,1),ColLivraison)=M$6,
  VLOOKUP($E79,INDIRECT("tri!"&amp; CHAR(64+ C0Col) &amp;":"&amp; CHAR(65+C0Col)),2,FALSE)&gt;COUNTIF($E79:L79,"u")+COUNTIF($E79:L79,"t")+COUNTIF($E79:L79,"¶")+COUNTIF($E79:L79,"²")+COUNTIF($E79:L79,"µ")+COUNTIF($E79:L79,1)),
HYPERLINK("#Roadmap!C"&amp; MATCH($E79,Roadmap!$D:$D,0)+COUNTIF($E79:L79,"u")+COUNTIF($E79:L79,"t"),
     INDEX(Roadmap!$D:$K,MATCH($E79,Roadmap!$D:$D,0)+COUNTIF($E79:L79,"u")+COUNTIF($E79:L79,"t")+COUNTIF($E79:L79,"¶")+COUNTIF($E79:L79,"²")+COUNTIF($E79:L79,"µ")+COUNTIF($E79:L79,1),ColTypeEcheance)),
  IF(LEN(L79)=1,
  IF(LEN(INDEX(Roadmap!$D:$K,MATCH($E79,Roadmap!$D:$D,0)-1+COUNTIF($E79:L79,"u")+COUNTIF($E79:L79,"t")+COUNTIF($E79:L79,"¶")+COUNTIF($E79:L79,"²")+COUNTIF($E79:L79,"µ")+COUNTIF($E79:L79,1),ColDescriptionCourte))&gt;1,
HYPERLINK("#Roadmap!C"&amp; MATCH($E79,Roadmap!$D:$D,0)+COUNTIF($E79:L79,"u")+COUNTIF($E79:L79,"t")+COUNTIF($E79:L79,"¶")+COUNTIF($E79:L79,"²")+COUNTIF($E79:L79,"µ")+COUNTIF($E79:L79,1)-1,INDEX(Roadmap!$D:$K,MATCH($E79,Roadmap!$D:$D,0)-1+COUNTIF($E79:L79,"u")+COUNTIF($E79:L79,"t")+COUNTIF($E79:L79,"¶")+COUNTIF($E79:L79,"²")+COUNTIF($E79:L79,"µ")+COUNTIF($E79:L79,1),ColDescriptionCourte)),""),
  "")),"")</f>
        <v/>
      </c>
      <c r="N79" s="40" t="str">
        <f ca="1">IFERROR(IF(AND(
  INDEX(Roadmap!$D:$K,MATCH($E79,Roadmap!$D:$D,0)+COUNTIF($E79:M79,"u")+COUNTIF($E79:M79,"t")+COUNTIF($E79:M79,"¶")+COUNTIF($E79:M79,"²")+COUNTIF($E79:M79,"µ")+COUNTIF($E79:M79,1),ColLivraison)=N$6,
  VLOOKUP($E79,INDIRECT("tri!"&amp; CHAR(64+ C0Col) &amp;":"&amp; CHAR(65+C0Col)),2,FALSE)&gt;COUNTIF($E79:M79,"u")+COUNTIF($E79:M79,"t")+COUNTIF($E79:M79,"¶")+COUNTIF($E79:M79,"²")+COUNTIF($E79:M79,"µ")+COUNTIF($E79:M79,1)),
HYPERLINK("#Roadmap!C"&amp; MATCH($E79,Roadmap!$D:$D,0)+COUNTIF($E79:M79,"u")+COUNTIF($E79:M79,"t"),
     INDEX(Roadmap!$D:$K,MATCH($E79,Roadmap!$D:$D,0)+COUNTIF($E79:M79,"u")+COUNTIF($E79:M79,"t")+COUNTIF($E79:M79,"¶")+COUNTIF($E79:M79,"²")+COUNTIF($E79:M79,"µ")+COUNTIF($E79:M79,1),ColTypeEcheance)),
  IF(LEN(M79)=1,
  IF(LEN(INDEX(Roadmap!$D:$K,MATCH($E79,Roadmap!$D:$D,0)-1+COUNTIF($E79:M79,"u")+COUNTIF($E79:M79,"t")+COUNTIF($E79:M79,"¶")+COUNTIF($E79:M79,"²")+COUNTIF($E79:M79,"µ")+COUNTIF($E79:M79,1),ColDescriptionCourte))&gt;1,
HYPERLINK("#Roadmap!C"&amp; MATCH($E79,Roadmap!$D:$D,0)+COUNTIF($E79:M79,"u")+COUNTIF($E79:M79,"t")+COUNTIF($E79:M79,"¶")+COUNTIF($E79:M79,"²")+COUNTIF($E79:M79,"µ")+COUNTIF($E79:M79,1)-1,INDEX(Roadmap!$D:$K,MATCH($E79,Roadmap!$D:$D,0)-1+COUNTIF($E79:M79,"u")+COUNTIF($E79:M79,"t")+COUNTIF($E79:M79,"¶")+COUNTIF($E79:M79,"²")+COUNTIF($E79:M79,"µ")+COUNTIF($E79:M79,1),ColDescriptionCourte)),""),
  "")),"")</f>
        <v/>
      </c>
      <c r="O79" s="40" t="str">
        <f ca="1">IFERROR(IF(AND(
  INDEX(Roadmap!$D:$K,MATCH($E79,Roadmap!$D:$D,0)+COUNTIF($E79:N79,"u")+COUNTIF($E79:N79,"t")+COUNTIF($E79:N79,"¶")+COUNTIF($E79:N79,"²")+COUNTIF($E79:N79,"µ")+COUNTIF($E79:N79,1),ColLivraison)=O$6,
  VLOOKUP($E79,INDIRECT("tri!"&amp; CHAR(64+ C0Col) &amp;":"&amp; CHAR(65+C0Col)),2,FALSE)&gt;COUNTIF($E79:N79,"u")+COUNTIF($E79:N79,"t")+COUNTIF($E79:N79,"¶")+COUNTIF($E79:N79,"²")+COUNTIF($E79:N79,"µ")+COUNTIF($E79:N79,1)),
HYPERLINK("#Roadmap!C"&amp; MATCH($E79,Roadmap!$D:$D,0)+COUNTIF($E79:N79,"u")+COUNTIF($E79:N79,"t"),
     INDEX(Roadmap!$D:$K,MATCH($E79,Roadmap!$D:$D,0)+COUNTIF($E79:N79,"u")+COUNTIF($E79:N79,"t")+COUNTIF($E79:N79,"¶")+COUNTIF($E79:N79,"²")+COUNTIF($E79:N79,"µ")+COUNTIF($E79:N79,1),ColTypeEcheance)),
  IF(LEN(N79)=1,
  IF(LEN(INDEX(Roadmap!$D:$K,MATCH($E79,Roadmap!$D:$D,0)-1+COUNTIF($E79:N79,"u")+COUNTIF($E79:N79,"t")+COUNTIF($E79:N79,"¶")+COUNTIF($E79:N79,"²")+COUNTIF($E79:N79,"µ")+COUNTIF($E79:N79,1),ColDescriptionCourte))&gt;1,
HYPERLINK("#Roadmap!C"&amp; MATCH($E79,Roadmap!$D:$D,0)+COUNTIF($E79:N79,"u")+COUNTIF($E79:N79,"t")+COUNTIF($E79:N79,"¶")+COUNTIF($E79:N79,"²")+COUNTIF($E79:N79,"µ")+COUNTIF($E79:N79,1)-1,INDEX(Roadmap!$D:$K,MATCH($E79,Roadmap!$D:$D,0)-1+COUNTIF($E79:N79,"u")+COUNTIF($E79:N79,"t")+COUNTIF($E79:N79,"¶")+COUNTIF($E79:N79,"²")+COUNTIF($E79:N79,"µ")+COUNTIF($E79:N79,1),ColDescriptionCourte)),""),
  "")),"")</f>
        <v/>
      </c>
      <c r="P79" s="40" t="str">
        <f ca="1">IFERROR(IF(AND(
  INDEX(Roadmap!$D:$K,MATCH($E79,Roadmap!$D:$D,0)+COUNTIF($E79:O79,"u")+COUNTIF($E79:O79,"t")+COUNTIF($E79:O79,"¶")+COUNTIF($E79:O79,"²")+COUNTIF($E79:O79,"µ")+COUNTIF($E79:O79,1),ColLivraison)=P$6,
  VLOOKUP($E79,INDIRECT("tri!"&amp; CHAR(64+ C0Col) &amp;":"&amp; CHAR(65+C0Col)),2,FALSE)&gt;COUNTIF($E79:O79,"u")+COUNTIF($E79:O79,"t")+COUNTIF($E79:O79,"¶")+COUNTIF($E79:O79,"²")+COUNTIF($E79:O79,"µ")+COUNTIF($E79:O79,1)),
HYPERLINK("#Roadmap!C"&amp; MATCH($E79,Roadmap!$D:$D,0)+COUNTIF($E79:O79,"u")+COUNTIF($E79:O79,"t"),
     INDEX(Roadmap!$D:$K,MATCH($E79,Roadmap!$D:$D,0)+COUNTIF($E79:O79,"u")+COUNTIF($E79:O79,"t")+COUNTIF($E79:O79,"¶")+COUNTIF($E79:O79,"²")+COUNTIF($E79:O79,"µ")+COUNTIF($E79:O79,1),ColTypeEcheance)),
  IF(LEN(O79)=1,
  IF(LEN(INDEX(Roadmap!$D:$K,MATCH($E79,Roadmap!$D:$D,0)-1+COUNTIF($E79:O79,"u")+COUNTIF($E79:O79,"t")+COUNTIF($E79:O79,"¶")+COUNTIF($E79:O79,"²")+COUNTIF($E79:O79,"µ")+COUNTIF($E79:O79,1),ColDescriptionCourte))&gt;1,
HYPERLINK("#Roadmap!C"&amp; MATCH($E79,Roadmap!$D:$D,0)+COUNTIF($E79:O79,"u")+COUNTIF($E79:O79,"t")+COUNTIF($E79:O79,"¶")+COUNTIF($E79:O79,"²")+COUNTIF($E79:O79,"µ")+COUNTIF($E79:O79,1)-1,INDEX(Roadmap!$D:$K,MATCH($E79,Roadmap!$D:$D,0)-1+COUNTIF($E79:O79,"u")+COUNTIF($E79:O79,"t")+COUNTIF($E79:O79,"¶")+COUNTIF($E79:O79,"²")+COUNTIF($E79:O79,"µ")+COUNTIF($E79:O79,1),ColDescriptionCourte)),""),
  "")),"")</f>
        <v/>
      </c>
      <c r="Q79" s="40" t="str">
        <f ca="1">IFERROR(IF(AND(
  INDEX(Roadmap!$D:$K,MATCH($E79,Roadmap!$D:$D,0)+COUNTIF($E79:P79,"u")+COUNTIF($E79:P79,"t")+COUNTIF($E79:P79,"¶")+COUNTIF($E79:P79,"²")+COUNTIF($E79:P79,"µ")+COUNTIF($E79:P79,1),ColLivraison)=Q$6,
  VLOOKUP($E79,INDIRECT("tri!"&amp; CHAR(64+ C0Col) &amp;":"&amp; CHAR(65+C0Col)),2,FALSE)&gt;COUNTIF($E79:P79,"u")+COUNTIF($E79:P79,"t")+COUNTIF($E79:P79,"¶")+COUNTIF($E79:P79,"²")+COUNTIF($E79:P79,"µ")+COUNTIF($E79:P79,1)),
HYPERLINK("#Roadmap!C"&amp; MATCH($E79,Roadmap!$D:$D,0)+COUNTIF($E79:P79,"u")+COUNTIF($E79:P79,"t"),
     INDEX(Roadmap!$D:$K,MATCH($E79,Roadmap!$D:$D,0)+COUNTIF($E79:P79,"u")+COUNTIF($E79:P79,"t")+COUNTIF($E79:P79,"¶")+COUNTIF($E79:P79,"²")+COUNTIF($E79:P79,"µ")+COUNTIF($E79:P79,1),ColTypeEcheance)),
  IF(LEN(P79)=1,
  IF(LEN(INDEX(Roadmap!$D:$K,MATCH($E79,Roadmap!$D:$D,0)-1+COUNTIF($E79:P79,"u")+COUNTIF($E79:P79,"t")+COUNTIF($E79:P79,"¶")+COUNTIF($E79:P79,"²")+COUNTIF($E79:P79,"µ")+COUNTIF($E79:P79,1),ColDescriptionCourte))&gt;1,
HYPERLINK("#Roadmap!C"&amp; MATCH($E79,Roadmap!$D:$D,0)+COUNTIF($E79:P79,"u")+COUNTIF($E79:P79,"t")+COUNTIF($E79:P79,"¶")+COUNTIF($E79:P79,"²")+COUNTIF($E79:P79,"µ")+COUNTIF($E79:P79,1)-1,INDEX(Roadmap!$D:$K,MATCH($E79,Roadmap!$D:$D,0)-1+COUNTIF($E79:P79,"u")+COUNTIF($E79:P79,"t")+COUNTIF($E79:P79,"¶")+COUNTIF($E79:P79,"²")+COUNTIF($E79:P79,"µ")+COUNTIF($E79:P79,1),ColDescriptionCourte)),""),
  "")),"")</f>
        <v/>
      </c>
      <c r="R79" s="40" t="str">
        <f ca="1">IFERROR(IF(AND(
  INDEX(Roadmap!$D:$K,MATCH($E79,Roadmap!$D:$D,0)+COUNTIF($E79:Q79,"u")+COUNTIF($E79:Q79,"t")+COUNTIF($E79:Q79,"¶")+COUNTIF($E79:Q79,"²")+COUNTIF($E79:Q79,"µ")+COUNTIF($E79:Q79,1),ColLivraison)=R$6,
  VLOOKUP($E79,INDIRECT("tri!"&amp; CHAR(64+ C0Col) &amp;":"&amp; CHAR(65+C0Col)),2,FALSE)&gt;COUNTIF($E79:Q79,"u")+COUNTIF($E79:Q79,"t")+COUNTIF($E79:Q79,"¶")+COUNTIF($E79:Q79,"²")+COUNTIF($E79:Q79,"µ")+COUNTIF($E79:Q79,1)),
HYPERLINK("#Roadmap!C"&amp; MATCH($E79,Roadmap!$D:$D,0)+COUNTIF($E79:Q79,"u")+COUNTIF($E79:Q79,"t"),
     INDEX(Roadmap!$D:$K,MATCH($E79,Roadmap!$D:$D,0)+COUNTIF($E79:Q79,"u")+COUNTIF($E79:Q79,"t")+COUNTIF($E79:Q79,"¶")+COUNTIF($E79:Q79,"²")+COUNTIF($E79:Q79,"µ")+COUNTIF($E79:Q79,1),ColTypeEcheance)),
  IF(LEN(Q79)=1,
  IF(LEN(INDEX(Roadmap!$D:$K,MATCH($E79,Roadmap!$D:$D,0)-1+COUNTIF($E79:Q79,"u")+COUNTIF($E79:Q79,"t")+COUNTIF($E79:Q79,"¶")+COUNTIF($E79:Q79,"²")+COUNTIF($E79:Q79,"µ")+COUNTIF($E79:Q79,1),ColDescriptionCourte))&gt;1,
HYPERLINK("#Roadmap!C"&amp; MATCH($E79,Roadmap!$D:$D,0)+COUNTIF($E79:Q79,"u")+COUNTIF($E79:Q79,"t")+COUNTIF($E79:Q79,"¶")+COUNTIF($E79:Q79,"²")+COUNTIF($E79:Q79,"µ")+COUNTIF($E79:Q79,1)-1,INDEX(Roadmap!$D:$K,MATCH($E79,Roadmap!$D:$D,0)-1+COUNTIF($E79:Q79,"u")+COUNTIF($E79:Q79,"t")+COUNTIF($E79:Q79,"¶")+COUNTIF($E79:Q79,"²")+COUNTIF($E79:Q79,"µ")+COUNTIF($E79:Q79,1),ColDescriptionCourte)),""),
  "")),"")</f>
        <v/>
      </c>
      <c r="S79" s="40" t="str">
        <f ca="1">IFERROR(IF(AND(
  INDEX(Roadmap!$D:$K,MATCH($E79,Roadmap!$D:$D,0)+COUNTIF($E79:R79,"u")+COUNTIF($E79:R79,"t")+COUNTIF($E79:R79,"¶")+COUNTIF($E79:R79,"²")+COUNTIF($E79:R79,"µ")+COUNTIF($E79:R79,1),ColLivraison)=S$6,
  VLOOKUP($E79,INDIRECT("tri!"&amp; CHAR(64+ C0Col) &amp;":"&amp; CHAR(65+C0Col)),2,FALSE)&gt;COUNTIF($E79:R79,"u")+COUNTIF($E79:R79,"t")+COUNTIF($E79:R79,"¶")+COUNTIF($E79:R79,"²")+COUNTIF($E79:R79,"µ")+COUNTIF($E79:R79,1)),
HYPERLINK("#Roadmap!C"&amp; MATCH($E79,Roadmap!$D:$D,0)+COUNTIF($E79:R79,"u")+COUNTIF($E79:R79,"t"),
     INDEX(Roadmap!$D:$K,MATCH($E79,Roadmap!$D:$D,0)+COUNTIF($E79:R79,"u")+COUNTIF($E79:R79,"t")+COUNTIF($E79:R79,"¶")+COUNTIF($E79:R79,"²")+COUNTIF($E79:R79,"µ")+COUNTIF($E79:R79,1),ColTypeEcheance)),
  IF(LEN(R79)=1,
  IF(LEN(INDEX(Roadmap!$D:$K,MATCH($E79,Roadmap!$D:$D,0)-1+COUNTIF($E79:R79,"u")+COUNTIF($E79:R79,"t")+COUNTIF($E79:R79,"¶")+COUNTIF($E79:R79,"²")+COUNTIF($E79:R79,"µ")+COUNTIF($E79:R79,1),ColDescriptionCourte))&gt;1,
HYPERLINK("#Roadmap!C"&amp; MATCH($E79,Roadmap!$D:$D,0)+COUNTIF($E79:R79,"u")+COUNTIF($E79:R79,"t")+COUNTIF($E79:R79,"¶")+COUNTIF($E79:R79,"²")+COUNTIF($E79:R79,"µ")+COUNTIF($E79:R79,1)-1,INDEX(Roadmap!$D:$K,MATCH($E79,Roadmap!$D:$D,0)-1+COUNTIF($E79:R79,"u")+COUNTIF($E79:R79,"t")+COUNTIF($E79:R79,"¶")+COUNTIF($E79:R79,"²")+COUNTIF($E79:R79,"µ")+COUNTIF($E79:R79,1),ColDescriptionCourte)),""),
  "")),"")</f>
        <v/>
      </c>
      <c r="T79" s="40" t="str">
        <f ca="1">IFERROR(IF(AND(
  INDEX(Roadmap!$D:$K,MATCH($E79,Roadmap!$D:$D,0)+COUNTIF($E79:S79,"u")+COUNTIF($E79:S79,"t")+COUNTIF($E79:S79,"¶")+COUNTIF($E79:S79,"²")+COUNTIF($E79:S79,"µ")+COUNTIF($E79:S79,1),ColLivraison)=T$6,
  VLOOKUP($E79,INDIRECT("tri!"&amp; CHAR(64+ C0Col) &amp;":"&amp; CHAR(65+C0Col)),2,FALSE)&gt;COUNTIF($E79:S79,"u")+COUNTIF($E79:S79,"t")+COUNTIF($E79:S79,"¶")+COUNTIF($E79:S79,"²")+COUNTIF($E79:S79,"µ")+COUNTIF($E79:S79,1)),
HYPERLINK("#Roadmap!C"&amp; MATCH($E79,Roadmap!$D:$D,0)+COUNTIF($E79:S79,"u")+COUNTIF($E79:S79,"t"),
     INDEX(Roadmap!$D:$K,MATCH($E79,Roadmap!$D:$D,0)+COUNTIF($E79:S79,"u")+COUNTIF($E79:S79,"t")+COUNTIF($E79:S79,"¶")+COUNTIF($E79:S79,"²")+COUNTIF($E79:S79,"µ")+COUNTIF($E79:S79,1),ColTypeEcheance)),
  IF(LEN(S79)=1,
  IF(LEN(INDEX(Roadmap!$D:$K,MATCH($E79,Roadmap!$D:$D,0)-1+COUNTIF($E79:S79,"u")+COUNTIF($E79:S79,"t")+COUNTIF($E79:S79,"¶")+COUNTIF($E79:S79,"²")+COUNTIF($E79:S79,"µ")+COUNTIF($E79:S79,1),ColDescriptionCourte))&gt;1,
HYPERLINK("#Roadmap!C"&amp; MATCH($E79,Roadmap!$D:$D,0)+COUNTIF($E79:S79,"u")+COUNTIF($E79:S79,"t")+COUNTIF($E79:S79,"¶")+COUNTIF($E79:S79,"²")+COUNTIF($E79:S79,"µ")+COUNTIF($E79:S79,1)-1,INDEX(Roadmap!$D:$K,MATCH($E79,Roadmap!$D:$D,0)-1+COUNTIF($E79:S79,"u")+COUNTIF($E79:S79,"t")+COUNTIF($E79:S79,"¶")+COUNTIF($E79:S79,"²")+COUNTIF($E79:S79,"µ")+COUNTIF($E79:S79,1),ColDescriptionCourte)),""),
  "")),"")</f>
        <v/>
      </c>
      <c r="U79" s="40" t="str">
        <f ca="1">IFERROR(IF(AND(
  INDEX(Roadmap!$D:$K,MATCH($E79,Roadmap!$D:$D,0)+COUNTIF($E79:T79,"u")+COUNTIF($E79:T79,"t")+COUNTIF($E79:T79,"¶")+COUNTIF($E79:T79,"²")+COUNTIF($E79:T79,"µ")+COUNTIF($E79:T79,1),ColLivraison)=U$6,
  VLOOKUP($E79,INDIRECT("tri!"&amp; CHAR(64+ C0Col) &amp;":"&amp; CHAR(65+C0Col)),2,FALSE)&gt;COUNTIF($E79:T79,"u")+COUNTIF($E79:T79,"t")+COUNTIF($E79:T79,"¶")+COUNTIF($E79:T79,"²")+COUNTIF($E79:T79,"µ")+COUNTIF($E79:T79,1)),
HYPERLINK("#Roadmap!C"&amp; MATCH($E79,Roadmap!$D:$D,0)+COUNTIF($E79:T79,"u")+COUNTIF($E79:T79,"t"),
     INDEX(Roadmap!$D:$K,MATCH($E79,Roadmap!$D:$D,0)+COUNTIF($E79:T79,"u")+COUNTIF($E79:T79,"t")+COUNTIF($E79:T79,"¶")+COUNTIF($E79:T79,"²")+COUNTIF($E79:T79,"µ")+COUNTIF($E79:T79,1),ColTypeEcheance)),
  IF(LEN(T79)=1,
  IF(LEN(INDEX(Roadmap!$D:$K,MATCH($E79,Roadmap!$D:$D,0)-1+COUNTIF($E79:T79,"u")+COUNTIF($E79:T79,"t")+COUNTIF($E79:T79,"¶")+COUNTIF($E79:T79,"²")+COUNTIF($E79:T79,"µ")+COUNTIF($E79:T79,1),ColDescriptionCourte))&gt;1,
HYPERLINK("#Roadmap!C"&amp; MATCH($E79,Roadmap!$D:$D,0)+COUNTIF($E79:T79,"u")+COUNTIF($E79:T79,"t")+COUNTIF($E79:T79,"¶")+COUNTIF($E79:T79,"²")+COUNTIF($E79:T79,"µ")+COUNTIF($E79:T79,1)-1,INDEX(Roadmap!$D:$K,MATCH($E79,Roadmap!$D:$D,0)-1+COUNTIF($E79:T79,"u")+COUNTIF($E79:T79,"t")+COUNTIF($E79:T79,"¶")+COUNTIF($E79:T79,"²")+COUNTIF($E79:T79,"µ")+COUNTIF($E79:T79,1),ColDescriptionCourte)),""),
  "")),"")</f>
        <v/>
      </c>
      <c r="V79" s="40" t="str">
        <f ca="1">IFERROR(IF(AND(
  INDEX(Roadmap!$D:$K,MATCH($E79,Roadmap!$D:$D,0)+COUNTIF($E79:U79,"u")+COUNTIF($E79:U79,"t")+COUNTIF($E79:U79,"¶")+COUNTIF($E79:U79,"²")+COUNTIF($E79:U79,"µ")+COUNTIF($E79:U79,1),ColLivraison)=V$6,
  VLOOKUP($E79,INDIRECT("tri!"&amp; CHAR(64+ C0Col) &amp;":"&amp; CHAR(65+C0Col)),2,FALSE)&gt;COUNTIF($E79:U79,"u")+COUNTIF($E79:U79,"t")+COUNTIF($E79:U79,"¶")+COUNTIF($E79:U79,"²")+COUNTIF($E79:U79,"µ")+COUNTIF($E79:U79,1)),
HYPERLINK("#Roadmap!C"&amp; MATCH($E79,Roadmap!$D:$D,0)+COUNTIF($E79:U79,"u")+COUNTIF($E79:U79,"t"),
     INDEX(Roadmap!$D:$K,MATCH($E79,Roadmap!$D:$D,0)+COUNTIF($E79:U79,"u")+COUNTIF($E79:U79,"t")+COUNTIF($E79:U79,"¶")+COUNTIF($E79:U79,"²")+COUNTIF($E79:U79,"µ")+COUNTIF($E79:U79,1),ColTypeEcheance)),
  IF(LEN(U79)=1,
  IF(LEN(INDEX(Roadmap!$D:$K,MATCH($E79,Roadmap!$D:$D,0)-1+COUNTIF($E79:U79,"u")+COUNTIF($E79:U79,"t")+COUNTIF($E79:U79,"¶")+COUNTIF($E79:U79,"²")+COUNTIF($E79:U79,"µ")+COUNTIF($E79:U79,1),ColDescriptionCourte))&gt;1,
HYPERLINK("#Roadmap!C"&amp; MATCH($E79,Roadmap!$D:$D,0)+COUNTIF($E79:U79,"u")+COUNTIF($E79:U79,"t")+COUNTIF($E79:U79,"¶")+COUNTIF($E79:U79,"²")+COUNTIF($E79:U79,"µ")+COUNTIF($E79:U79,1)-1,INDEX(Roadmap!$D:$K,MATCH($E79,Roadmap!$D:$D,0)-1+COUNTIF($E79:U79,"u")+COUNTIF($E79:U79,"t")+COUNTIF($E79:U79,"¶")+COUNTIF($E79:U79,"²")+COUNTIF($E79:U79,"µ")+COUNTIF($E79:U79,1),ColDescriptionCourte)),""),
  "")),"")</f>
        <v/>
      </c>
      <c r="W79" s="40" t="str">
        <f ca="1">IFERROR(IF(AND(
  INDEX(Roadmap!$D:$K,MATCH($E79,Roadmap!$D:$D,0)+COUNTIF($E79:V79,"u")+COUNTIF($E79:V79,"t")+COUNTIF($E79:V79,"¶")+COUNTIF($E79:V79,"²")+COUNTIF($E79:V79,"µ")+COUNTIF($E79:V79,1),ColLivraison)=W$6,
  VLOOKUP($E79,INDIRECT("tri!"&amp; CHAR(64+ C0Col) &amp;":"&amp; CHAR(65+C0Col)),2,FALSE)&gt;COUNTIF($E79:V79,"u")+COUNTIF($E79:V79,"t")+COUNTIF($E79:V79,"¶")+COUNTIF($E79:V79,"²")+COUNTIF($E79:V79,"µ")+COUNTIF($E79:V79,1)),
HYPERLINK("#Roadmap!C"&amp; MATCH($E79,Roadmap!$D:$D,0)+COUNTIF($E79:V79,"u")+COUNTIF($E79:V79,"t"),
     INDEX(Roadmap!$D:$K,MATCH($E79,Roadmap!$D:$D,0)+COUNTIF($E79:V79,"u")+COUNTIF($E79:V79,"t")+COUNTIF($E79:V79,"¶")+COUNTIF($E79:V79,"²")+COUNTIF($E79:V79,"µ")+COUNTIF($E79:V79,1),ColTypeEcheance)),
  IF(LEN(V79)=1,
  IF(LEN(INDEX(Roadmap!$D:$K,MATCH($E79,Roadmap!$D:$D,0)-1+COUNTIF($E79:V79,"u")+COUNTIF($E79:V79,"t")+COUNTIF($E79:V79,"¶")+COUNTIF($E79:V79,"²")+COUNTIF($E79:V79,"µ")+COUNTIF($E79:V79,1),ColDescriptionCourte))&gt;1,
HYPERLINK("#Roadmap!C"&amp; MATCH($E79,Roadmap!$D:$D,0)+COUNTIF($E79:V79,"u")+COUNTIF($E79:V79,"t")+COUNTIF($E79:V79,"¶")+COUNTIF($E79:V79,"²")+COUNTIF($E79:V79,"µ")+COUNTIF($E79:V79,1)-1,INDEX(Roadmap!$D:$K,MATCH($E79,Roadmap!$D:$D,0)-1+COUNTIF($E79:V79,"u")+COUNTIF($E79:V79,"t")+COUNTIF($E79:V79,"¶")+COUNTIF($E79:V79,"²")+COUNTIF($E79:V79,"µ")+COUNTIF($E79:V79,1),ColDescriptionCourte)),""),
  "")),"")</f>
        <v/>
      </c>
      <c r="X79" s="40" t="str">
        <f ca="1">IFERROR(IF(AND(
  INDEX(Roadmap!$D:$K,MATCH($E79,Roadmap!$D:$D,0)+COUNTIF($E79:W79,"u")+COUNTIF($E79:W79,"t")+COUNTIF($E79:W79,"¶")+COUNTIF($E79:W79,"²")+COUNTIF($E79:W79,"µ")+COUNTIF($E79:W79,1),ColLivraison)=X$6,
  VLOOKUP($E79,INDIRECT("tri!"&amp; CHAR(64+ C0Col) &amp;":"&amp; CHAR(65+C0Col)),2,FALSE)&gt;COUNTIF($E79:W79,"u")+COUNTIF($E79:W79,"t")+COUNTIF($E79:W79,"¶")+COUNTIF($E79:W79,"²")+COUNTIF($E79:W79,"µ")+COUNTIF($E79:W79,1)),
HYPERLINK("#Roadmap!C"&amp; MATCH($E79,Roadmap!$D:$D,0)+COUNTIF($E79:W79,"u")+COUNTIF($E79:W79,"t"),
     INDEX(Roadmap!$D:$K,MATCH($E79,Roadmap!$D:$D,0)+COUNTIF($E79:W79,"u")+COUNTIF($E79:W79,"t")+COUNTIF($E79:W79,"¶")+COUNTIF($E79:W79,"²")+COUNTIF($E79:W79,"µ")+COUNTIF($E79:W79,1),ColTypeEcheance)),
  IF(LEN(W79)=1,
  IF(LEN(INDEX(Roadmap!$D:$K,MATCH($E79,Roadmap!$D:$D,0)-1+COUNTIF($E79:W79,"u")+COUNTIF($E79:W79,"t")+COUNTIF($E79:W79,"¶")+COUNTIF($E79:W79,"²")+COUNTIF($E79:W79,"µ")+COUNTIF($E79:W79,1),ColDescriptionCourte))&gt;1,
HYPERLINK("#Roadmap!C"&amp; MATCH($E79,Roadmap!$D:$D,0)+COUNTIF($E79:W79,"u")+COUNTIF($E79:W79,"t")+COUNTIF($E79:W79,"¶")+COUNTIF($E79:W79,"²")+COUNTIF($E79:W79,"µ")+COUNTIF($E79:W79,1)-1,INDEX(Roadmap!$D:$K,MATCH($E79,Roadmap!$D:$D,0)-1+COUNTIF($E79:W79,"u")+COUNTIF($E79:W79,"t")+COUNTIF($E79:W79,"¶")+COUNTIF($E79:W79,"²")+COUNTIF($E79:W79,"µ")+COUNTIF($E79:W79,1),ColDescriptionCourte)),""),
  "")),"")</f>
        <v/>
      </c>
      <c r="Y79" s="40" t="str">
        <f ca="1">IFERROR(IF(AND(
  INDEX(Roadmap!$D:$K,MATCH($E79,Roadmap!$D:$D,0)+COUNTIF($E79:X79,"u")+COUNTIF($E79:X79,"t")+COUNTIF($E79:X79,"¶")+COUNTIF($E79:X79,"²")+COUNTIF($E79:X79,"µ")+COUNTIF($E79:X79,1),ColLivraison)=Y$6,
  VLOOKUP($E79,INDIRECT("tri!"&amp; CHAR(64+ C0Col) &amp;":"&amp; CHAR(65+C0Col)),2,FALSE)&gt;COUNTIF($E79:X79,"u")+COUNTIF($E79:X79,"t")+COUNTIF($E79:X79,"¶")+COUNTIF($E79:X79,"²")+COUNTIF($E79:X79,"µ")+COUNTIF($E79:X79,1)),
HYPERLINK("#Roadmap!C"&amp; MATCH($E79,Roadmap!$D:$D,0)+COUNTIF($E79:X79,"u")+COUNTIF($E79:X79,"t"),
     INDEX(Roadmap!$D:$K,MATCH($E79,Roadmap!$D:$D,0)+COUNTIF($E79:X79,"u")+COUNTIF($E79:X79,"t")+COUNTIF($E79:X79,"¶")+COUNTIF($E79:X79,"²")+COUNTIF($E79:X79,"µ")+COUNTIF($E79:X79,1),ColTypeEcheance)),
  IF(LEN(X79)=1,
  IF(LEN(INDEX(Roadmap!$D:$K,MATCH($E79,Roadmap!$D:$D,0)-1+COUNTIF($E79:X79,"u")+COUNTIF($E79:X79,"t")+COUNTIF($E79:X79,"¶")+COUNTIF($E79:X79,"²")+COUNTIF($E79:X79,"µ")+COUNTIF($E79:X79,1),ColDescriptionCourte))&gt;1,
HYPERLINK("#Roadmap!C"&amp; MATCH($E79,Roadmap!$D:$D,0)+COUNTIF($E79:X79,"u")+COUNTIF($E79:X79,"t")+COUNTIF($E79:X79,"¶")+COUNTIF($E79:X79,"²")+COUNTIF($E79:X79,"µ")+COUNTIF($E79:X79,1)-1,INDEX(Roadmap!$D:$K,MATCH($E79,Roadmap!$D:$D,0)-1+COUNTIF($E79:X79,"u")+COUNTIF($E79:X79,"t")+COUNTIF($E79:X79,"¶")+COUNTIF($E79:X79,"²")+COUNTIF($E79:X79,"µ")+COUNTIF($E79:X79,1),ColDescriptionCourte)),""),
  "")),"")</f>
        <v/>
      </c>
      <c r="Z79" s="40" t="str">
        <f ca="1">IFERROR(IF(AND(
  INDEX(Roadmap!$D:$K,MATCH($E79,Roadmap!$D:$D,0)+COUNTIF($E79:Y79,"u")+COUNTIF($E79:Y79,"t")+COUNTIF($E79:Y79,"¶")+COUNTIF($E79:Y79,"²")+COUNTIF($E79:Y79,"µ")+COUNTIF($E79:Y79,1),ColLivraison)=Z$6,
  VLOOKUP($E79,INDIRECT("tri!"&amp; CHAR(64+ C0Col) &amp;":"&amp; CHAR(65+C0Col)),2,FALSE)&gt;COUNTIF($E79:Y79,"u")+COUNTIF($E79:Y79,"t")+COUNTIF($E79:Y79,"¶")+COUNTIF($E79:Y79,"²")+COUNTIF($E79:Y79,"µ")+COUNTIF($E79:Y79,1)),
HYPERLINK("#Roadmap!C"&amp; MATCH($E79,Roadmap!$D:$D,0)+COUNTIF($E79:Y79,"u")+COUNTIF($E79:Y79,"t"),
     INDEX(Roadmap!$D:$K,MATCH($E79,Roadmap!$D:$D,0)+COUNTIF($E79:Y79,"u")+COUNTIF($E79:Y79,"t")+COUNTIF($E79:Y79,"¶")+COUNTIF($E79:Y79,"²")+COUNTIF($E79:Y79,"µ")+COUNTIF($E79:Y79,1),ColTypeEcheance)),
  IF(LEN(Y79)=1,
  IF(LEN(INDEX(Roadmap!$D:$K,MATCH($E79,Roadmap!$D:$D,0)-1+COUNTIF($E79:Y79,"u")+COUNTIF($E79:Y79,"t")+COUNTIF($E79:Y79,"¶")+COUNTIF($E79:Y79,"²")+COUNTIF($E79:Y79,"µ")+COUNTIF($E79:Y79,1),ColDescriptionCourte))&gt;1,
HYPERLINK("#Roadmap!C"&amp; MATCH($E79,Roadmap!$D:$D,0)+COUNTIF($E79:Y79,"u")+COUNTIF($E79:Y79,"t")+COUNTIF($E79:Y79,"¶")+COUNTIF($E79:Y79,"²")+COUNTIF($E79:Y79,"µ")+COUNTIF($E79:Y79,1)-1,INDEX(Roadmap!$D:$K,MATCH($E79,Roadmap!$D:$D,0)-1+COUNTIF($E79:Y79,"u")+COUNTIF($E79:Y79,"t")+COUNTIF($E79:Y79,"¶")+COUNTIF($E79:Y79,"²")+COUNTIF($E79:Y79,"µ")+COUNTIF($E79:Y79,1),ColDescriptionCourte)),""),
  "")),"")</f>
        <v/>
      </c>
      <c r="AA79" s="40" t="str">
        <f ca="1">IFERROR(IF(AND(
  INDEX(Roadmap!$D:$K,MATCH($E79,Roadmap!$D:$D,0)+COUNTIF($E79:Z79,"u")+COUNTIF($E79:Z79,"t")+COUNTIF($E79:Z79,"¶")+COUNTIF($E79:Z79,"²")+COUNTIF($E79:Z79,"µ")+COUNTIF($E79:Z79,1),ColLivraison)=AA$6,
  VLOOKUP($E79,INDIRECT("tri!"&amp; CHAR(64+ C0Col) &amp;":"&amp; CHAR(65+C0Col)),2,FALSE)&gt;COUNTIF($E79:Z79,"u")+COUNTIF($E79:Z79,"t")+COUNTIF($E79:Z79,"¶")+COUNTIF($E79:Z79,"²")+COUNTIF($E79:Z79,"µ")+COUNTIF($E79:Z79,1)),
HYPERLINK("#Roadmap!C"&amp; MATCH($E79,Roadmap!$D:$D,0)+COUNTIF($E79:Z79,"u")+COUNTIF($E79:Z79,"t"),
     INDEX(Roadmap!$D:$K,MATCH($E79,Roadmap!$D:$D,0)+COUNTIF($E79:Z79,"u")+COUNTIF($E79:Z79,"t")+COUNTIF($E79:Z79,"¶")+COUNTIF($E79:Z79,"²")+COUNTIF($E79:Z79,"µ")+COUNTIF($E79:Z79,1),ColTypeEcheance)),
  IF(LEN(Z79)=1,
  IF(LEN(INDEX(Roadmap!$D:$K,MATCH($E79,Roadmap!$D:$D,0)-1+COUNTIF($E79:Z79,"u")+COUNTIF($E79:Z79,"t")+COUNTIF($E79:Z79,"¶")+COUNTIF($E79:Z79,"²")+COUNTIF($E79:Z79,"µ")+COUNTIF($E79:Z79,1),ColDescriptionCourte))&gt;1,
HYPERLINK("#Roadmap!C"&amp; MATCH($E79,Roadmap!$D:$D,0)+COUNTIF($E79:Z79,"u")+COUNTIF($E79:Z79,"t")+COUNTIF($E79:Z79,"¶")+COUNTIF($E79:Z79,"²")+COUNTIF($E79:Z79,"µ")+COUNTIF($E79:Z79,1)-1,INDEX(Roadmap!$D:$K,MATCH($E79,Roadmap!$D:$D,0)-1+COUNTIF($E79:Z79,"u")+COUNTIF($E79:Z79,"t")+COUNTIF($E79:Z79,"¶")+COUNTIF($E79:Z79,"²")+COUNTIF($E79:Z79,"µ")+COUNTIF($E79:Z79,1),ColDescriptionCourte)),""),
  "")),"")</f>
        <v/>
      </c>
      <c r="AB79" s="40" t="str">
        <f ca="1">IFERROR(IF(AND(
  INDEX(Roadmap!$D:$K,MATCH($E79,Roadmap!$D:$D,0)+COUNTIF($E79:AA79,"u")+COUNTIF($E79:AA79,"t")+COUNTIF($E79:AA79,"¶")+COUNTIF($E79:AA79,"²")+COUNTIF($E79:AA79,"µ")+COUNTIF($E79:AA79,1),ColLivraison)=AB$6,
  VLOOKUP($E79,INDIRECT("tri!"&amp; CHAR(64+ C0Col) &amp;":"&amp; CHAR(65+C0Col)),2,FALSE)&gt;COUNTIF($E79:AA79,"u")+COUNTIF($E79:AA79,"t")+COUNTIF($E79:AA79,"¶")+COUNTIF($E79:AA79,"²")+COUNTIF($E79:AA79,"µ")+COUNTIF($E79:AA79,1)),
HYPERLINK("#Roadmap!C"&amp; MATCH($E79,Roadmap!$D:$D,0)+COUNTIF($E79:AA79,"u")+COUNTIF($E79:AA79,"t"),
     INDEX(Roadmap!$D:$K,MATCH($E79,Roadmap!$D:$D,0)+COUNTIF($E79:AA79,"u")+COUNTIF($E79:AA79,"t")+COUNTIF($E79:AA79,"¶")+COUNTIF($E79:AA79,"²")+COUNTIF($E79:AA79,"µ")+COUNTIF($E79:AA79,1),ColTypeEcheance)),
  IF(LEN(AA79)=1,
  IF(LEN(INDEX(Roadmap!$D:$K,MATCH($E79,Roadmap!$D:$D,0)-1+COUNTIF($E79:AA79,"u")+COUNTIF($E79:AA79,"t")+COUNTIF($E79:AA79,"¶")+COUNTIF($E79:AA79,"²")+COUNTIF($E79:AA79,"µ")+COUNTIF($E79:AA79,1),ColDescriptionCourte))&gt;1,
HYPERLINK("#Roadmap!C"&amp; MATCH($E79,Roadmap!$D:$D,0)+COUNTIF($E79:AA79,"u")+COUNTIF($E79:AA79,"t")+COUNTIF($E79:AA79,"¶")+COUNTIF($E79:AA79,"²")+COUNTIF($E79:AA79,"µ")+COUNTIF($E79:AA79,1)-1,INDEX(Roadmap!$D:$K,MATCH($E79,Roadmap!$D:$D,0)-1+COUNTIF($E79:AA79,"u")+COUNTIF($E79:AA79,"t")+COUNTIF($E79:AA79,"¶")+COUNTIF($E79:AA79,"²")+COUNTIF($E79:AA79,"µ")+COUNTIF($E79:AA79,1),ColDescriptionCourte)),""),
  "")),"")</f>
        <v/>
      </c>
      <c r="AC79" s="40" t="str">
        <f ca="1">IFERROR(IF(AND(
  INDEX(Roadmap!$D:$K,MATCH($E79,Roadmap!$D:$D,0)+COUNTIF($E79:AB79,"u")+COUNTIF($E79:AB79,"t")+COUNTIF($E79:AB79,"¶")+COUNTIF($E79:AB79,"²")+COUNTIF($E79:AB79,"µ")+COUNTIF($E79:AB79,1),ColLivraison)=AC$6,
  VLOOKUP($E79,INDIRECT("tri!"&amp; CHAR(64+ C0Col) &amp;":"&amp; CHAR(65+C0Col)),2,FALSE)&gt;COUNTIF($E79:AB79,"u")+COUNTIF($E79:AB79,"t")+COUNTIF($E79:AB79,"¶")+COUNTIF($E79:AB79,"²")+COUNTIF($E79:AB79,"µ")+COUNTIF($E79:AB79,1)),
HYPERLINK("#Roadmap!C"&amp; MATCH($E79,Roadmap!$D:$D,0)+COUNTIF($E79:AB79,"u")+COUNTIF($E79:AB79,"t"),
     INDEX(Roadmap!$D:$K,MATCH($E79,Roadmap!$D:$D,0)+COUNTIF($E79:AB79,"u")+COUNTIF($E79:AB79,"t")+COUNTIF($E79:AB79,"¶")+COUNTIF($E79:AB79,"²")+COUNTIF($E79:AB79,"µ")+COUNTIF($E79:AB79,1),ColTypeEcheance)),
  IF(LEN(AB79)=1,
  IF(LEN(INDEX(Roadmap!$D:$K,MATCH($E79,Roadmap!$D:$D,0)-1+COUNTIF($E79:AB79,"u")+COUNTIF($E79:AB79,"t")+COUNTIF($E79:AB79,"¶")+COUNTIF($E79:AB79,"²")+COUNTIF($E79:AB79,"µ")+COUNTIF($E79:AB79,1),ColDescriptionCourte))&gt;1,
HYPERLINK("#Roadmap!C"&amp; MATCH($E79,Roadmap!$D:$D,0)+COUNTIF($E79:AB79,"u")+COUNTIF($E79:AB79,"t")+COUNTIF($E79:AB79,"¶")+COUNTIF($E79:AB79,"²")+COUNTIF($E79:AB79,"µ")+COUNTIF($E79:AB79,1)-1,INDEX(Roadmap!$D:$K,MATCH($E79,Roadmap!$D:$D,0)-1+COUNTIF($E79:AB79,"u")+COUNTIF($E79:AB79,"t")+COUNTIF($E79:AB79,"¶")+COUNTIF($E79:AB79,"²")+COUNTIF($E79:AB79,"µ")+COUNTIF($E79:AB79,1),ColDescriptionCourte)),""),
  "")),"")</f>
        <v/>
      </c>
      <c r="AD79" s="40" t="str">
        <f ca="1">IFERROR(IF(AND(
  INDEX(Roadmap!$D:$K,MATCH($E79,Roadmap!$D:$D,0)+COUNTIF($E79:AC79,"u")+COUNTIF($E79:AC79,"t")+COUNTIF($E79:AC79,"¶")+COUNTIF($E79:AC79,"²")+COUNTIF($E79:AC79,"µ")+COUNTIF($E79:AC79,1),ColLivraison)=AD$6,
  VLOOKUP($E79,INDIRECT("tri!"&amp; CHAR(64+ C0Col) &amp;":"&amp; CHAR(65+C0Col)),2,FALSE)&gt;COUNTIF($E79:AC79,"u")+COUNTIF($E79:AC79,"t")+COUNTIF($E79:AC79,"¶")+COUNTIF($E79:AC79,"²")+COUNTIF($E79:AC79,"µ")+COUNTIF($E79:AC79,1)),
HYPERLINK("#Roadmap!C"&amp; MATCH($E79,Roadmap!$D:$D,0)+COUNTIF($E79:AC79,"u")+COUNTIF($E79:AC79,"t"),
     INDEX(Roadmap!$D:$K,MATCH($E79,Roadmap!$D:$D,0)+COUNTIF($E79:AC79,"u")+COUNTIF($E79:AC79,"t")+COUNTIF($E79:AC79,"¶")+COUNTIF($E79:AC79,"²")+COUNTIF($E79:AC79,"µ")+COUNTIF($E79:AC79,1),ColTypeEcheance)),
  IF(LEN(AC79)=1,
  IF(LEN(INDEX(Roadmap!$D:$K,MATCH($E79,Roadmap!$D:$D,0)-1+COUNTIF($E79:AC79,"u")+COUNTIF($E79:AC79,"t")+COUNTIF($E79:AC79,"¶")+COUNTIF($E79:AC79,"²")+COUNTIF($E79:AC79,"µ")+COUNTIF($E79:AC79,1),ColDescriptionCourte))&gt;1,
HYPERLINK("#Roadmap!C"&amp; MATCH($E79,Roadmap!$D:$D,0)+COUNTIF($E79:AC79,"u")+COUNTIF($E79:AC79,"t")+COUNTIF($E79:AC79,"¶")+COUNTIF($E79:AC79,"²")+COUNTIF($E79:AC79,"µ")+COUNTIF($E79:AC79,1)-1,INDEX(Roadmap!$D:$K,MATCH($E79,Roadmap!$D:$D,0)-1+COUNTIF($E79:AC79,"u")+COUNTIF($E79:AC79,"t")+COUNTIF($E79:AC79,"¶")+COUNTIF($E79:AC79,"²")+COUNTIF($E79:AC79,"µ")+COUNTIF($E79:AC79,1),ColDescriptionCourte)),""),
  "")),"")</f>
        <v/>
      </c>
      <c r="AE79" s="40" t="str">
        <f ca="1">IFERROR(IF(AND(
  INDEX(Roadmap!$D:$K,MATCH($E79,Roadmap!$D:$D,0)+COUNTIF($E79:AD79,"u")+COUNTIF($E79:AD79,"t")+COUNTIF($E79:AD79,"¶")+COUNTIF($E79:AD79,"²")+COUNTIF($E79:AD79,"µ")+COUNTIF($E79:AD79,1),ColLivraison)=AE$6,
  VLOOKUP($E79,INDIRECT("tri!"&amp; CHAR(64+ C0Col) &amp;":"&amp; CHAR(65+C0Col)),2,FALSE)&gt;COUNTIF($E79:AD79,"u")+COUNTIF($E79:AD79,"t")+COUNTIF($E79:AD79,"¶")+COUNTIF($E79:AD79,"²")+COUNTIF($E79:AD79,"µ")+COUNTIF($E79:AD79,1)),
HYPERLINK("#Roadmap!C"&amp; MATCH($E79,Roadmap!$D:$D,0)+COUNTIF($E79:AD79,"u")+COUNTIF($E79:AD79,"t"),
     INDEX(Roadmap!$D:$K,MATCH($E79,Roadmap!$D:$D,0)+COUNTIF($E79:AD79,"u")+COUNTIF($E79:AD79,"t")+COUNTIF($E79:AD79,"¶")+COUNTIF($E79:AD79,"²")+COUNTIF($E79:AD79,"µ")+COUNTIF($E79:AD79,1),ColTypeEcheance)),
  IF(LEN(AD79)=1,
  IF(LEN(INDEX(Roadmap!$D:$K,MATCH($E79,Roadmap!$D:$D,0)-1+COUNTIF($E79:AD79,"u")+COUNTIF($E79:AD79,"t")+COUNTIF($E79:AD79,"¶")+COUNTIF($E79:AD79,"²")+COUNTIF($E79:AD79,"µ")+COUNTIF($E79:AD79,1),ColDescriptionCourte))&gt;1,
HYPERLINK("#Roadmap!C"&amp; MATCH($E79,Roadmap!$D:$D,0)+COUNTIF($E79:AD79,"u")+COUNTIF($E79:AD79,"t")+COUNTIF($E79:AD79,"¶")+COUNTIF($E79:AD79,"²")+COUNTIF($E79:AD79,"µ")+COUNTIF($E79:AD79,1)-1,INDEX(Roadmap!$D:$K,MATCH($E79,Roadmap!$D:$D,0)-1+COUNTIF($E79:AD79,"u")+COUNTIF($E79:AD79,"t")+COUNTIF($E79:AD79,"¶")+COUNTIF($E79:AD79,"²")+COUNTIF($E79:AD79,"µ")+COUNTIF($E79:AD79,1),ColDescriptionCourte)),""),
  "")),"")</f>
        <v/>
      </c>
      <c r="AF79" s="40" t="str">
        <f ca="1">IFERROR(IF(AND(
  INDEX(Roadmap!$D:$K,MATCH($E79,Roadmap!$D:$D,0)+COUNTIF($E79:AE79,"u")+COUNTIF($E79:AE79,"t")+COUNTIF($E79:AE79,"¶")+COUNTIF($E79:AE79,"²")+COUNTIF($E79:AE79,"µ")+COUNTIF($E79:AE79,1),ColLivraison)=AF$6,
  VLOOKUP($E79,INDIRECT("tri!"&amp; CHAR(64+ C0Col) &amp;":"&amp; CHAR(65+C0Col)),2,FALSE)&gt;COUNTIF($E79:AE79,"u")+COUNTIF($E79:AE79,"t")+COUNTIF($E79:AE79,"¶")+COUNTIF($E79:AE79,"²")+COUNTIF($E79:AE79,"µ")+COUNTIF($E79:AE79,1)),
HYPERLINK("#Roadmap!C"&amp; MATCH($E79,Roadmap!$D:$D,0)+COUNTIF($E79:AE79,"u")+COUNTIF($E79:AE79,"t"),
     INDEX(Roadmap!$D:$K,MATCH($E79,Roadmap!$D:$D,0)+COUNTIF($E79:AE79,"u")+COUNTIF($E79:AE79,"t")+COUNTIF($E79:AE79,"¶")+COUNTIF($E79:AE79,"²")+COUNTIF($E79:AE79,"µ")+COUNTIF($E79:AE79,1),ColTypeEcheance)),
  IF(LEN(AE79)=1,
  IF(LEN(INDEX(Roadmap!$D:$K,MATCH($E79,Roadmap!$D:$D,0)-1+COUNTIF($E79:AE79,"u")+COUNTIF($E79:AE79,"t")+COUNTIF($E79:AE79,"¶")+COUNTIF($E79:AE79,"²")+COUNTIF($E79:AE79,"µ")+COUNTIF($E79:AE79,1),ColDescriptionCourte))&gt;1,
HYPERLINK("#Roadmap!C"&amp; MATCH($E79,Roadmap!$D:$D,0)+COUNTIF($E79:AE79,"u")+COUNTIF($E79:AE79,"t")+COUNTIF($E79:AE79,"¶")+COUNTIF($E79:AE79,"²")+COUNTIF($E79:AE79,"µ")+COUNTIF($E79:AE79,1)-1,INDEX(Roadmap!$D:$K,MATCH($E79,Roadmap!$D:$D,0)-1+COUNTIF($E79:AE79,"u")+COUNTIF($E79:AE79,"t")+COUNTIF($E79:AE79,"¶")+COUNTIF($E79:AE79,"²")+COUNTIF($E79:AE79,"µ")+COUNTIF($E79:AE79,1),ColDescriptionCourte)),""),
  "")),"")</f>
        <v/>
      </c>
      <c r="AG79" s="40" t="str">
        <f ca="1">IFERROR(IF(AND(
  INDEX(Roadmap!$D:$K,MATCH($E79,Roadmap!$D:$D,0)+COUNTIF($E79:AF79,"u")+COUNTIF($E79:AF79,"t")+COUNTIF($E79:AF79,"¶")+COUNTIF($E79:AF79,"²")+COUNTIF($E79:AF79,"µ")+COUNTIF($E79:AF79,1),ColLivraison)=AG$6,
  VLOOKUP($E79,INDIRECT("tri!"&amp; CHAR(64+ C0Col) &amp;":"&amp; CHAR(65+C0Col)),2,FALSE)&gt;COUNTIF($E79:AF79,"u")+COUNTIF($E79:AF79,"t")+COUNTIF($E79:AF79,"¶")+COUNTIF($E79:AF79,"²")+COUNTIF($E79:AF79,"µ")+COUNTIF($E79:AF79,1)),
HYPERLINK("#Roadmap!C"&amp; MATCH($E79,Roadmap!$D:$D,0)+COUNTIF($E79:AF79,"u")+COUNTIF($E79:AF79,"t"),
     INDEX(Roadmap!$D:$K,MATCH($E79,Roadmap!$D:$D,0)+COUNTIF($E79:AF79,"u")+COUNTIF($E79:AF79,"t")+COUNTIF($E79:AF79,"¶")+COUNTIF($E79:AF79,"²")+COUNTIF($E79:AF79,"µ")+COUNTIF($E79:AF79,1),ColTypeEcheance)),
  IF(LEN(AF79)=1,
  IF(LEN(INDEX(Roadmap!$D:$K,MATCH($E79,Roadmap!$D:$D,0)-1+COUNTIF($E79:AF79,"u")+COUNTIF($E79:AF79,"t")+COUNTIF($E79:AF79,"¶")+COUNTIF($E79:AF79,"²")+COUNTIF($E79:AF79,"µ")+COUNTIF($E79:AF79,1),ColDescriptionCourte))&gt;1,
HYPERLINK("#Roadmap!C"&amp; MATCH($E79,Roadmap!$D:$D,0)+COUNTIF($E79:AF79,"u")+COUNTIF($E79:AF79,"t")+COUNTIF($E79:AF79,"¶")+COUNTIF($E79:AF79,"²")+COUNTIF($E79:AF79,"µ")+COUNTIF($E79:AF79,1)-1,INDEX(Roadmap!$D:$K,MATCH($E79,Roadmap!$D:$D,0)-1+COUNTIF($E79:AF79,"u")+COUNTIF($E79:AF79,"t")+COUNTIF($E79:AF79,"¶")+COUNTIF($E79:AF79,"²")+COUNTIF($E79:AF79,"µ")+COUNTIF($E79:AF79,1),ColDescriptionCourte)),""),
  "")),"")</f>
        <v/>
      </c>
    </row>
    <row r="80" spans="3:33" ht="14.25" customHeight="1">
      <c r="C80" s="1" t="str">
        <f t="shared" ca="1" si="47"/>
        <v/>
      </c>
      <c r="D80" s="1" t="str">
        <f t="shared" ca="1" si="48"/>
        <v/>
      </c>
      <c r="E80" s="35" t="str">
        <f t="shared" ca="1" si="46"/>
        <v/>
      </c>
      <c r="F80" s="39" t="str">
        <f ca="1">IFERROR(IF(AND(
  INDEX(Roadmap!$D:$K,MATCH($E80,Roadmap!$D:$D,0)+COUNTIF($E80:E80,"u")+COUNTIF($E80:E80,"t")+COUNTIF($E80:E80,"¶")+COUNTIF($E80:E80,"²")+COUNTIF($E80:E80,"µ")+COUNTIF($E80:E80,1),ColLivraison)=F$6,
  VLOOKUP($E80,INDIRECT("tri!"&amp; CHAR(64+ C0Col) &amp;":"&amp; CHAR(65+C0Col)),2,FALSE)&gt;COUNTIF($E80:E80,"u")+COUNTIF($E80:E80,"t")+COUNTIF($E80:E80,"¶")+COUNTIF($E80:E80,"²")+COUNTIF($E80:E80,"µ")+COUNTIF($E80:E80,1)),
HYPERLINK("#Roadmap!C"&amp; MATCH($E80,Roadmap!$D:$D,0)+COUNTIF($E80:E80,"u")+COUNTIF($E80:E80,"t"),
     INDEX(Roadmap!$D:$K,MATCH($E80,Roadmap!$D:$D,0)+COUNTIF($E80:E80,"u")+COUNTIF($E80:E80,"t")+COUNTIF($E80:E80,"¶")+COUNTIF($E80:E80,"²")+COUNTIF($E80:E80,"µ")+COUNTIF($E80:E80,1),ColTypeEcheance)),
  IF(LEN(E80)=1,
  IF(LEN(INDEX(Roadmap!$D:$K,MATCH($E80,Roadmap!$D:$D,0)-1+COUNTIF($E80:E80,"u")+COUNTIF($E80:E80,"t")+COUNTIF($E80:E80,"¶")+COUNTIF($E80:E80,"²")+COUNTIF($E80:E80,"µ")+COUNTIF($E80:E80,1),ColDescriptionCourte))&gt;1,
HYPERLINK("#Roadmap!C"&amp; MATCH($E80,Roadmap!$D:$D,0)+COUNTIF($E80:E80,"u")+COUNTIF($E80:E80,"t")+COUNTIF($E80:E80,"¶")+COUNTIF($E80:E80,"²")+COUNTIF($E80:E80,"µ")+COUNTIF($E80:E80,1)-1,INDEX(Roadmap!$D:$K,MATCH($E80,Roadmap!$D:$D,0)-1+COUNTIF($E80:E80,"u")+COUNTIF($E80:E80,"t")+COUNTIF($E80:E80,"¶")+COUNTIF($E80:E80,"²")+COUNTIF($E80:E80,"µ")+COUNTIF($E80:E80,1),ColDescriptionCourte)),""),
  "")),"")</f>
        <v/>
      </c>
      <c r="G80" s="40" t="str">
        <f ca="1">IFERROR(IF(AND(
  INDEX(Roadmap!$D:$K,MATCH($E80,Roadmap!$D:$D,0)+COUNTIF($E80:F80,"u")+COUNTIF($E80:F80,"t")+COUNTIF($E80:F80,"¶")+COUNTIF($E80:F80,"²")+COUNTIF($E80:F80,"µ")+COUNTIF($E80:F80,1),ColLivraison)=G$6,
  VLOOKUP($E80,INDIRECT("tri!"&amp; CHAR(64+ C0Col) &amp;":"&amp; CHAR(65+C0Col)),2,FALSE)&gt;COUNTIF($E80:F80,"u")+COUNTIF($E80:F80,"t")+COUNTIF($E80:F80,"¶")+COUNTIF($E80:F80,"²")+COUNTIF($E80:F80,"µ")+COUNTIF($E80:F80,1)),
HYPERLINK("#Roadmap!C"&amp; MATCH($E80,Roadmap!$D:$D,0)+COUNTIF($E80:F80,"u")+COUNTIF($E80:F80,"t"),
     INDEX(Roadmap!$D:$K,MATCH($E80,Roadmap!$D:$D,0)+COUNTIF($E80:F80,"u")+COUNTIF($E80:F80,"t")+COUNTIF($E80:F80,"¶")+COUNTIF($E80:F80,"²")+COUNTIF($E80:F80,"µ")+COUNTIF($E80:F80,1),ColTypeEcheance)),
  IF(LEN(F80)=1,
  IF(LEN(INDEX(Roadmap!$D:$K,MATCH($E80,Roadmap!$D:$D,0)-1+COUNTIF($E80:F80,"u")+COUNTIF($E80:F80,"t")+COUNTIF($E80:F80,"¶")+COUNTIF($E80:F80,"²")+COUNTIF($E80:F80,"µ")+COUNTIF($E80:F80,1),ColDescriptionCourte))&gt;1,
HYPERLINK("#Roadmap!C"&amp; MATCH($E80,Roadmap!$D:$D,0)+COUNTIF($E80:F80,"u")+COUNTIF($E80:F80,"t")+COUNTIF($E80:F80,"¶")+COUNTIF($E80:F80,"²")+COUNTIF($E80:F80,"µ")+COUNTIF($E80:F80,1)-1,INDEX(Roadmap!$D:$K,MATCH($E80,Roadmap!$D:$D,0)-1+COUNTIF($E80:F80,"u")+COUNTIF($E80:F80,"t")+COUNTIF($E80:F80,"¶")+COUNTIF($E80:F80,"²")+COUNTIF($E80:F80,"µ")+COUNTIF($E80:F80,1),ColDescriptionCourte)),""),
  "")),"")</f>
        <v/>
      </c>
      <c r="H80" s="40" t="str">
        <f ca="1">IFERROR(IF(AND(
  INDEX(Roadmap!$D:$K,MATCH($E80,Roadmap!$D:$D,0)+COUNTIF($E80:G80,"u")+COUNTIF($E80:G80,"t")+COUNTIF($E80:G80,"¶")+COUNTIF($E80:G80,"²")+COUNTIF($E80:G80,"µ")+COUNTIF($E80:G80,1),ColLivraison)=H$6,
  VLOOKUP($E80,INDIRECT("tri!"&amp; CHAR(64+ C0Col) &amp;":"&amp; CHAR(65+C0Col)),2,FALSE)&gt;COUNTIF($E80:G80,"u")+COUNTIF($E80:G80,"t")+COUNTIF($E80:G80,"¶")+COUNTIF($E80:G80,"²")+COUNTIF($E80:G80,"µ")+COUNTIF($E80:G80,1)),
HYPERLINK("#Roadmap!C"&amp; MATCH($E80,Roadmap!$D:$D,0)+COUNTIF($E80:G80,"u")+COUNTIF($E80:G80,"t"),
     INDEX(Roadmap!$D:$K,MATCH($E80,Roadmap!$D:$D,0)+COUNTIF($E80:G80,"u")+COUNTIF($E80:G80,"t")+COUNTIF($E80:G80,"¶")+COUNTIF($E80:G80,"²")+COUNTIF($E80:G80,"µ")+COUNTIF($E80:G80,1),ColTypeEcheance)),
  IF(LEN(G80)=1,
  IF(LEN(INDEX(Roadmap!$D:$K,MATCH($E80,Roadmap!$D:$D,0)-1+COUNTIF($E80:G80,"u")+COUNTIF($E80:G80,"t")+COUNTIF($E80:G80,"¶")+COUNTIF($E80:G80,"²")+COUNTIF($E80:G80,"µ")+COUNTIF($E80:G80,1),ColDescriptionCourte))&gt;1,
HYPERLINK("#Roadmap!C"&amp; MATCH($E80,Roadmap!$D:$D,0)+COUNTIF($E80:G80,"u")+COUNTIF($E80:G80,"t")+COUNTIF($E80:G80,"¶")+COUNTIF($E80:G80,"²")+COUNTIF($E80:G80,"µ")+COUNTIF($E80:G80,1)-1,INDEX(Roadmap!$D:$K,MATCH($E80,Roadmap!$D:$D,0)-1+COUNTIF($E80:G80,"u")+COUNTIF($E80:G80,"t")+COUNTIF($E80:G80,"¶")+COUNTIF($E80:G80,"²")+COUNTIF($E80:G80,"µ")+COUNTIF($E80:G80,1),ColDescriptionCourte)),""),
  "")),"")</f>
        <v/>
      </c>
      <c r="I80" s="40" t="str">
        <f ca="1">IFERROR(IF(AND(
  INDEX(Roadmap!$D:$K,MATCH($E80,Roadmap!$D:$D,0)+COUNTIF($E80:H80,"u")+COUNTIF($E80:H80,"t")+COUNTIF($E80:H80,"¶")+COUNTIF($E80:H80,"²")+COUNTIF($E80:H80,"µ")+COUNTIF($E80:H80,1),ColLivraison)=I$6,
  VLOOKUP($E80,INDIRECT("tri!"&amp; CHAR(64+ C0Col) &amp;":"&amp; CHAR(65+C0Col)),2,FALSE)&gt;COUNTIF($E80:H80,"u")+COUNTIF($E80:H80,"t")+COUNTIF($E80:H80,"¶")+COUNTIF($E80:H80,"²")+COUNTIF($E80:H80,"µ")+COUNTIF($E80:H80,1)),
HYPERLINK("#Roadmap!C"&amp; MATCH($E80,Roadmap!$D:$D,0)+COUNTIF($E80:H80,"u")+COUNTIF($E80:H80,"t"),
     INDEX(Roadmap!$D:$K,MATCH($E80,Roadmap!$D:$D,0)+COUNTIF($E80:H80,"u")+COUNTIF($E80:H80,"t")+COUNTIF($E80:H80,"¶")+COUNTIF($E80:H80,"²")+COUNTIF($E80:H80,"µ")+COUNTIF($E80:H80,1),ColTypeEcheance)),
  IF(LEN(H80)=1,
  IF(LEN(INDEX(Roadmap!$D:$K,MATCH($E80,Roadmap!$D:$D,0)-1+COUNTIF($E80:H80,"u")+COUNTIF($E80:H80,"t")+COUNTIF($E80:H80,"¶")+COUNTIF($E80:H80,"²")+COUNTIF($E80:H80,"µ")+COUNTIF($E80:H80,1),ColDescriptionCourte))&gt;1,
HYPERLINK("#Roadmap!C"&amp; MATCH($E80,Roadmap!$D:$D,0)+COUNTIF($E80:H80,"u")+COUNTIF($E80:H80,"t")+COUNTIF($E80:H80,"¶")+COUNTIF($E80:H80,"²")+COUNTIF($E80:H80,"µ")+COUNTIF($E80:H80,1)-1,INDEX(Roadmap!$D:$K,MATCH($E80,Roadmap!$D:$D,0)-1+COUNTIF($E80:H80,"u")+COUNTIF($E80:H80,"t")+COUNTIF($E80:H80,"¶")+COUNTIF($E80:H80,"²")+COUNTIF($E80:H80,"µ")+COUNTIF($E80:H80,1),ColDescriptionCourte)),""),
  "")),"")</f>
        <v/>
      </c>
      <c r="J80" s="40" t="str">
        <f ca="1">IFERROR(IF(AND(
  INDEX(Roadmap!$D:$K,MATCH($E80,Roadmap!$D:$D,0)+COUNTIF($E80:I80,"u")+COUNTIF($E80:I80,"t")+COUNTIF($E80:I80,"¶")+COUNTIF($E80:I80,"²")+COUNTIF($E80:I80,"µ")+COUNTIF($E80:I80,1),ColLivraison)=J$6,
  VLOOKUP($E80,INDIRECT("tri!"&amp; CHAR(64+ C0Col) &amp;":"&amp; CHAR(65+C0Col)),2,FALSE)&gt;COUNTIF($E80:I80,"u")+COUNTIF($E80:I80,"t")+COUNTIF($E80:I80,"¶")+COUNTIF($E80:I80,"²")+COUNTIF($E80:I80,"µ")+COUNTIF($E80:I80,1)),
HYPERLINK("#Roadmap!C"&amp; MATCH($E80,Roadmap!$D:$D,0)+COUNTIF($E80:I80,"u")+COUNTIF($E80:I80,"t"),
     INDEX(Roadmap!$D:$K,MATCH($E80,Roadmap!$D:$D,0)+COUNTIF($E80:I80,"u")+COUNTIF($E80:I80,"t")+COUNTIF($E80:I80,"¶")+COUNTIF($E80:I80,"²")+COUNTIF($E80:I80,"µ")+COUNTIF($E80:I80,1),ColTypeEcheance)),
  IF(LEN(I80)=1,
  IF(LEN(INDEX(Roadmap!$D:$K,MATCH($E80,Roadmap!$D:$D,0)-1+COUNTIF($E80:I80,"u")+COUNTIF($E80:I80,"t")+COUNTIF($E80:I80,"¶")+COUNTIF($E80:I80,"²")+COUNTIF($E80:I80,"µ")+COUNTIF($E80:I80,1),ColDescriptionCourte))&gt;1,
HYPERLINK("#Roadmap!C"&amp; MATCH($E80,Roadmap!$D:$D,0)+COUNTIF($E80:I80,"u")+COUNTIF($E80:I80,"t")+COUNTIF($E80:I80,"¶")+COUNTIF($E80:I80,"²")+COUNTIF($E80:I80,"µ")+COUNTIF($E80:I80,1)-1,INDEX(Roadmap!$D:$K,MATCH($E80,Roadmap!$D:$D,0)-1+COUNTIF($E80:I80,"u")+COUNTIF($E80:I80,"t")+COUNTIF($E80:I80,"¶")+COUNTIF($E80:I80,"²")+COUNTIF($E80:I80,"µ")+COUNTIF($E80:I80,1),ColDescriptionCourte)),""),
  "")),"")</f>
        <v/>
      </c>
      <c r="K80" s="40" t="str">
        <f ca="1">IFERROR(IF(AND(
  INDEX(Roadmap!$D:$K,MATCH($E80,Roadmap!$D:$D,0)+COUNTIF($E80:J80,"u")+COUNTIF($E80:J80,"t")+COUNTIF($E80:J80,"¶")+COUNTIF($E80:J80,"²")+COUNTIF($E80:J80,"µ")+COUNTIF($E80:J80,1),ColLivraison)=K$6,
  VLOOKUP($E80,INDIRECT("tri!"&amp; CHAR(64+ C0Col) &amp;":"&amp; CHAR(65+C0Col)),2,FALSE)&gt;COUNTIF($E80:J80,"u")+COUNTIF($E80:J80,"t")+COUNTIF($E80:J80,"¶")+COUNTIF($E80:J80,"²")+COUNTIF($E80:J80,"µ")+COUNTIF($E80:J80,1)),
HYPERLINK("#Roadmap!C"&amp; MATCH($E80,Roadmap!$D:$D,0)+COUNTIF($E80:J80,"u")+COUNTIF($E80:J80,"t"),
     INDEX(Roadmap!$D:$K,MATCH($E80,Roadmap!$D:$D,0)+COUNTIF($E80:J80,"u")+COUNTIF($E80:J80,"t")+COUNTIF($E80:J80,"¶")+COUNTIF($E80:J80,"²")+COUNTIF($E80:J80,"µ")+COUNTIF($E80:J80,1),ColTypeEcheance)),
  IF(LEN(J80)=1,
  IF(LEN(INDEX(Roadmap!$D:$K,MATCH($E80,Roadmap!$D:$D,0)-1+COUNTIF($E80:J80,"u")+COUNTIF($E80:J80,"t")+COUNTIF($E80:J80,"¶")+COUNTIF($E80:J80,"²")+COUNTIF($E80:J80,"µ")+COUNTIF($E80:J80,1),ColDescriptionCourte))&gt;1,
HYPERLINK("#Roadmap!C"&amp; MATCH($E80,Roadmap!$D:$D,0)+COUNTIF($E80:J80,"u")+COUNTIF($E80:J80,"t")+COUNTIF($E80:J80,"¶")+COUNTIF($E80:J80,"²")+COUNTIF($E80:J80,"µ")+COUNTIF($E80:J80,1)-1,INDEX(Roadmap!$D:$K,MATCH($E80,Roadmap!$D:$D,0)-1+COUNTIF($E80:J80,"u")+COUNTIF($E80:J80,"t")+COUNTIF($E80:J80,"¶")+COUNTIF($E80:J80,"²")+COUNTIF($E80:J80,"µ")+COUNTIF($E80:J80,1),ColDescriptionCourte)),""),
  "")),"")</f>
        <v/>
      </c>
      <c r="L80" s="39" t="str">
        <f ca="1">IFERROR(IF(AND(
  INDEX(Roadmap!$D:$K,MATCH($E80,Roadmap!$D:$D,0)+COUNTIF($E80:K80,"u")+COUNTIF($E80:K80,"t")+COUNTIF($E80:K80,"¶")+COUNTIF($E80:K80,"²")+COUNTIF($E80:K80,"µ")+COUNTIF($E80:K80,1),ColLivraison)=L$6,
  VLOOKUP($E80,INDIRECT("tri!"&amp; CHAR(64+ C0Col) &amp;":"&amp; CHAR(65+C0Col)),2,FALSE)&gt;COUNTIF($E80:K80,"u")+COUNTIF($E80:K80,"t")+COUNTIF($E80:K80,"¶")+COUNTIF($E80:K80,"²")+COUNTIF($E80:K80,"µ")+COUNTIF($E80:K80,1)),
HYPERLINK("#Roadmap!C"&amp; MATCH($E80,Roadmap!$D:$D,0)+COUNTIF($E80:K80,"u")+COUNTIF($E80:K80,"t"),
     INDEX(Roadmap!$D:$K,MATCH($E80,Roadmap!$D:$D,0)+COUNTIF($E80:K80,"u")+COUNTIF($E80:K80,"t")+COUNTIF($E80:K80,"¶")+COUNTIF($E80:K80,"²")+COUNTIF($E80:K80,"µ")+COUNTIF($E80:K80,1),ColTypeEcheance)),
  IF(LEN(K80)=1,
  IF(LEN(INDEX(Roadmap!$D:$K,MATCH($E80,Roadmap!$D:$D,0)-1+COUNTIF($E80:K80,"u")+COUNTIF($E80:K80,"t")+COUNTIF($E80:K80,"¶")+COUNTIF($E80:K80,"²")+COUNTIF($E80:K80,"µ")+COUNTIF($E80:K80,1),ColDescriptionCourte))&gt;1,
HYPERLINK("#Roadmap!C"&amp; MATCH($E80,Roadmap!$D:$D,0)+COUNTIF($E80:K80,"u")+COUNTIF($E80:K80,"t")+COUNTIF($E80:K80,"¶")+COUNTIF($E80:K80,"²")+COUNTIF($E80:K80,"µ")+COUNTIF($E80:K80,1)-1,INDEX(Roadmap!$D:$K,MATCH($E80,Roadmap!$D:$D,0)-1+COUNTIF($E80:K80,"u")+COUNTIF($E80:K80,"t")+COUNTIF($E80:K80,"¶")+COUNTIF($E80:K80,"²")+COUNTIF($E80:K80,"µ")+COUNTIF($E80:K80,1),ColDescriptionCourte)),""),
  "")),"")</f>
        <v/>
      </c>
      <c r="M80" s="40" t="str">
        <f ca="1">IFERROR(IF(AND(
  INDEX(Roadmap!$D:$K,MATCH($E80,Roadmap!$D:$D,0)+COUNTIF($E80:L80,"u")+COUNTIF($E80:L80,"t")+COUNTIF($E80:L80,"¶")+COUNTIF($E80:L80,"²")+COUNTIF($E80:L80,"µ")+COUNTIF($E80:L80,1),ColLivraison)=M$6,
  VLOOKUP($E80,INDIRECT("tri!"&amp; CHAR(64+ C0Col) &amp;":"&amp; CHAR(65+C0Col)),2,FALSE)&gt;COUNTIF($E80:L80,"u")+COUNTIF($E80:L80,"t")+COUNTIF($E80:L80,"¶")+COUNTIF($E80:L80,"²")+COUNTIF($E80:L80,"µ")+COUNTIF($E80:L80,1)),
HYPERLINK("#Roadmap!C"&amp; MATCH($E80,Roadmap!$D:$D,0)+COUNTIF($E80:L80,"u")+COUNTIF($E80:L80,"t"),
     INDEX(Roadmap!$D:$K,MATCH($E80,Roadmap!$D:$D,0)+COUNTIF($E80:L80,"u")+COUNTIF($E80:L80,"t")+COUNTIF($E80:L80,"¶")+COUNTIF($E80:L80,"²")+COUNTIF($E80:L80,"µ")+COUNTIF($E80:L80,1),ColTypeEcheance)),
  IF(LEN(L80)=1,
  IF(LEN(INDEX(Roadmap!$D:$K,MATCH($E80,Roadmap!$D:$D,0)-1+COUNTIF($E80:L80,"u")+COUNTIF($E80:L80,"t")+COUNTIF($E80:L80,"¶")+COUNTIF($E80:L80,"²")+COUNTIF($E80:L80,"µ")+COUNTIF($E80:L80,1),ColDescriptionCourte))&gt;1,
HYPERLINK("#Roadmap!C"&amp; MATCH($E80,Roadmap!$D:$D,0)+COUNTIF($E80:L80,"u")+COUNTIF($E80:L80,"t")+COUNTIF($E80:L80,"¶")+COUNTIF($E80:L80,"²")+COUNTIF($E80:L80,"µ")+COUNTIF($E80:L80,1)-1,INDEX(Roadmap!$D:$K,MATCH($E80,Roadmap!$D:$D,0)-1+COUNTIF($E80:L80,"u")+COUNTIF($E80:L80,"t")+COUNTIF($E80:L80,"¶")+COUNTIF($E80:L80,"²")+COUNTIF($E80:L80,"µ")+COUNTIF($E80:L80,1),ColDescriptionCourte)),""),
  "")),"")</f>
        <v/>
      </c>
      <c r="N80" s="40" t="str">
        <f ca="1">IFERROR(IF(AND(
  INDEX(Roadmap!$D:$K,MATCH($E80,Roadmap!$D:$D,0)+COUNTIF($E80:M80,"u")+COUNTIF($E80:M80,"t")+COUNTIF($E80:M80,"¶")+COUNTIF($E80:M80,"²")+COUNTIF($E80:M80,"µ")+COUNTIF($E80:M80,1),ColLivraison)=N$6,
  VLOOKUP($E80,INDIRECT("tri!"&amp; CHAR(64+ C0Col) &amp;":"&amp; CHAR(65+C0Col)),2,FALSE)&gt;COUNTIF($E80:M80,"u")+COUNTIF($E80:M80,"t")+COUNTIF($E80:M80,"¶")+COUNTIF($E80:M80,"²")+COUNTIF($E80:M80,"µ")+COUNTIF($E80:M80,1)),
HYPERLINK("#Roadmap!C"&amp; MATCH($E80,Roadmap!$D:$D,0)+COUNTIF($E80:M80,"u")+COUNTIF($E80:M80,"t"),
     INDEX(Roadmap!$D:$K,MATCH($E80,Roadmap!$D:$D,0)+COUNTIF($E80:M80,"u")+COUNTIF($E80:M80,"t")+COUNTIF($E80:M80,"¶")+COUNTIF($E80:M80,"²")+COUNTIF($E80:M80,"µ")+COUNTIF($E80:M80,1),ColTypeEcheance)),
  IF(LEN(M80)=1,
  IF(LEN(INDEX(Roadmap!$D:$K,MATCH($E80,Roadmap!$D:$D,0)-1+COUNTIF($E80:M80,"u")+COUNTIF($E80:M80,"t")+COUNTIF($E80:M80,"¶")+COUNTIF($E80:M80,"²")+COUNTIF($E80:M80,"µ")+COUNTIF($E80:M80,1),ColDescriptionCourte))&gt;1,
HYPERLINK("#Roadmap!C"&amp; MATCH($E80,Roadmap!$D:$D,0)+COUNTIF($E80:M80,"u")+COUNTIF($E80:M80,"t")+COUNTIF($E80:M80,"¶")+COUNTIF($E80:M80,"²")+COUNTIF($E80:M80,"µ")+COUNTIF($E80:M80,1)-1,INDEX(Roadmap!$D:$K,MATCH($E80,Roadmap!$D:$D,0)-1+COUNTIF($E80:M80,"u")+COUNTIF($E80:M80,"t")+COUNTIF($E80:M80,"¶")+COUNTIF($E80:M80,"²")+COUNTIF($E80:M80,"µ")+COUNTIF($E80:M80,1),ColDescriptionCourte)),""),
  "")),"")</f>
        <v/>
      </c>
      <c r="O80" s="40" t="str">
        <f ca="1">IFERROR(IF(AND(
  INDEX(Roadmap!$D:$K,MATCH($E80,Roadmap!$D:$D,0)+COUNTIF($E80:N80,"u")+COUNTIF($E80:N80,"t")+COUNTIF($E80:N80,"¶")+COUNTIF($E80:N80,"²")+COUNTIF($E80:N80,"µ")+COUNTIF($E80:N80,1),ColLivraison)=O$6,
  VLOOKUP($E80,INDIRECT("tri!"&amp; CHAR(64+ C0Col) &amp;":"&amp; CHAR(65+C0Col)),2,FALSE)&gt;COUNTIF($E80:N80,"u")+COUNTIF($E80:N80,"t")+COUNTIF($E80:N80,"¶")+COUNTIF($E80:N80,"²")+COUNTIF($E80:N80,"µ")+COUNTIF($E80:N80,1)),
HYPERLINK("#Roadmap!C"&amp; MATCH($E80,Roadmap!$D:$D,0)+COUNTIF($E80:N80,"u")+COUNTIF($E80:N80,"t"),
     INDEX(Roadmap!$D:$K,MATCH($E80,Roadmap!$D:$D,0)+COUNTIF($E80:N80,"u")+COUNTIF($E80:N80,"t")+COUNTIF($E80:N80,"¶")+COUNTIF($E80:N80,"²")+COUNTIF($E80:N80,"µ")+COUNTIF($E80:N80,1),ColTypeEcheance)),
  IF(LEN(N80)=1,
  IF(LEN(INDEX(Roadmap!$D:$K,MATCH($E80,Roadmap!$D:$D,0)-1+COUNTIF($E80:N80,"u")+COUNTIF($E80:N80,"t")+COUNTIF($E80:N80,"¶")+COUNTIF($E80:N80,"²")+COUNTIF($E80:N80,"µ")+COUNTIF($E80:N80,1),ColDescriptionCourte))&gt;1,
HYPERLINK("#Roadmap!C"&amp; MATCH($E80,Roadmap!$D:$D,0)+COUNTIF($E80:N80,"u")+COUNTIF($E80:N80,"t")+COUNTIF($E80:N80,"¶")+COUNTIF($E80:N80,"²")+COUNTIF($E80:N80,"µ")+COUNTIF($E80:N80,1)-1,INDEX(Roadmap!$D:$K,MATCH($E80,Roadmap!$D:$D,0)-1+COUNTIF($E80:N80,"u")+COUNTIF($E80:N80,"t")+COUNTIF($E80:N80,"¶")+COUNTIF($E80:N80,"²")+COUNTIF($E80:N80,"µ")+COUNTIF($E80:N80,1),ColDescriptionCourte)),""),
  "")),"")</f>
        <v/>
      </c>
      <c r="P80" s="40" t="str">
        <f ca="1">IFERROR(IF(AND(
  INDEX(Roadmap!$D:$K,MATCH($E80,Roadmap!$D:$D,0)+COUNTIF($E80:O80,"u")+COUNTIF($E80:O80,"t")+COUNTIF($E80:O80,"¶")+COUNTIF($E80:O80,"²")+COUNTIF($E80:O80,"µ")+COUNTIF($E80:O80,1),ColLivraison)=P$6,
  VLOOKUP($E80,INDIRECT("tri!"&amp; CHAR(64+ C0Col) &amp;":"&amp; CHAR(65+C0Col)),2,FALSE)&gt;COUNTIF($E80:O80,"u")+COUNTIF($E80:O80,"t")+COUNTIF($E80:O80,"¶")+COUNTIF($E80:O80,"²")+COUNTIF($E80:O80,"µ")+COUNTIF($E80:O80,1)),
HYPERLINK("#Roadmap!C"&amp; MATCH($E80,Roadmap!$D:$D,0)+COUNTIF($E80:O80,"u")+COUNTIF($E80:O80,"t"),
     INDEX(Roadmap!$D:$K,MATCH($E80,Roadmap!$D:$D,0)+COUNTIF($E80:O80,"u")+COUNTIF($E80:O80,"t")+COUNTIF($E80:O80,"¶")+COUNTIF($E80:O80,"²")+COUNTIF($E80:O80,"µ")+COUNTIF($E80:O80,1),ColTypeEcheance)),
  IF(LEN(O80)=1,
  IF(LEN(INDEX(Roadmap!$D:$K,MATCH($E80,Roadmap!$D:$D,0)-1+COUNTIF($E80:O80,"u")+COUNTIF($E80:O80,"t")+COUNTIF($E80:O80,"¶")+COUNTIF($E80:O80,"²")+COUNTIF($E80:O80,"µ")+COUNTIF($E80:O80,1),ColDescriptionCourte))&gt;1,
HYPERLINK("#Roadmap!C"&amp; MATCH($E80,Roadmap!$D:$D,0)+COUNTIF($E80:O80,"u")+COUNTIF($E80:O80,"t")+COUNTIF($E80:O80,"¶")+COUNTIF($E80:O80,"²")+COUNTIF($E80:O80,"µ")+COUNTIF($E80:O80,1)-1,INDEX(Roadmap!$D:$K,MATCH($E80,Roadmap!$D:$D,0)-1+COUNTIF($E80:O80,"u")+COUNTIF($E80:O80,"t")+COUNTIF($E80:O80,"¶")+COUNTIF($E80:O80,"²")+COUNTIF($E80:O80,"µ")+COUNTIF($E80:O80,1),ColDescriptionCourte)),""),
  "")),"")</f>
        <v/>
      </c>
      <c r="Q80" s="40" t="str">
        <f ca="1">IFERROR(IF(AND(
  INDEX(Roadmap!$D:$K,MATCH($E80,Roadmap!$D:$D,0)+COUNTIF($E80:P80,"u")+COUNTIF($E80:P80,"t")+COUNTIF($E80:P80,"¶")+COUNTIF($E80:P80,"²")+COUNTIF($E80:P80,"µ")+COUNTIF($E80:P80,1),ColLivraison)=Q$6,
  VLOOKUP($E80,INDIRECT("tri!"&amp; CHAR(64+ C0Col) &amp;":"&amp; CHAR(65+C0Col)),2,FALSE)&gt;COUNTIF($E80:P80,"u")+COUNTIF($E80:P80,"t")+COUNTIF($E80:P80,"¶")+COUNTIF($E80:P80,"²")+COUNTIF($E80:P80,"µ")+COUNTIF($E80:P80,1)),
HYPERLINK("#Roadmap!C"&amp; MATCH($E80,Roadmap!$D:$D,0)+COUNTIF($E80:P80,"u")+COUNTIF($E80:P80,"t"),
     INDEX(Roadmap!$D:$K,MATCH($E80,Roadmap!$D:$D,0)+COUNTIF($E80:P80,"u")+COUNTIF($E80:P80,"t")+COUNTIF($E80:P80,"¶")+COUNTIF($E80:P80,"²")+COUNTIF($E80:P80,"µ")+COUNTIF($E80:P80,1),ColTypeEcheance)),
  IF(LEN(P80)=1,
  IF(LEN(INDEX(Roadmap!$D:$K,MATCH($E80,Roadmap!$D:$D,0)-1+COUNTIF($E80:P80,"u")+COUNTIF($E80:P80,"t")+COUNTIF($E80:P80,"¶")+COUNTIF($E80:P80,"²")+COUNTIF($E80:P80,"µ")+COUNTIF($E80:P80,1),ColDescriptionCourte))&gt;1,
HYPERLINK("#Roadmap!C"&amp; MATCH($E80,Roadmap!$D:$D,0)+COUNTIF($E80:P80,"u")+COUNTIF($E80:P80,"t")+COUNTIF($E80:P80,"¶")+COUNTIF($E80:P80,"²")+COUNTIF($E80:P80,"µ")+COUNTIF($E80:P80,1)-1,INDEX(Roadmap!$D:$K,MATCH($E80,Roadmap!$D:$D,0)-1+COUNTIF($E80:P80,"u")+COUNTIF($E80:P80,"t")+COUNTIF($E80:P80,"¶")+COUNTIF($E80:P80,"²")+COUNTIF($E80:P80,"µ")+COUNTIF($E80:P80,1),ColDescriptionCourte)),""),
  "")),"")</f>
        <v/>
      </c>
      <c r="R80" s="40" t="str">
        <f ca="1">IFERROR(IF(AND(
  INDEX(Roadmap!$D:$K,MATCH($E80,Roadmap!$D:$D,0)+COUNTIF($E80:Q80,"u")+COUNTIF($E80:Q80,"t")+COUNTIF($E80:Q80,"¶")+COUNTIF($E80:Q80,"²")+COUNTIF($E80:Q80,"µ")+COUNTIF($E80:Q80,1),ColLivraison)=R$6,
  VLOOKUP($E80,INDIRECT("tri!"&amp; CHAR(64+ C0Col) &amp;":"&amp; CHAR(65+C0Col)),2,FALSE)&gt;COUNTIF($E80:Q80,"u")+COUNTIF($E80:Q80,"t")+COUNTIF($E80:Q80,"¶")+COUNTIF($E80:Q80,"²")+COUNTIF($E80:Q80,"µ")+COUNTIF($E80:Q80,1)),
HYPERLINK("#Roadmap!C"&amp; MATCH($E80,Roadmap!$D:$D,0)+COUNTIF($E80:Q80,"u")+COUNTIF($E80:Q80,"t"),
     INDEX(Roadmap!$D:$K,MATCH($E80,Roadmap!$D:$D,0)+COUNTIF($E80:Q80,"u")+COUNTIF($E80:Q80,"t")+COUNTIF($E80:Q80,"¶")+COUNTIF($E80:Q80,"²")+COUNTIF($E80:Q80,"µ")+COUNTIF($E80:Q80,1),ColTypeEcheance)),
  IF(LEN(Q80)=1,
  IF(LEN(INDEX(Roadmap!$D:$K,MATCH($E80,Roadmap!$D:$D,0)-1+COUNTIF($E80:Q80,"u")+COUNTIF($E80:Q80,"t")+COUNTIF($E80:Q80,"¶")+COUNTIF($E80:Q80,"²")+COUNTIF($E80:Q80,"µ")+COUNTIF($E80:Q80,1),ColDescriptionCourte))&gt;1,
HYPERLINK("#Roadmap!C"&amp; MATCH($E80,Roadmap!$D:$D,0)+COUNTIF($E80:Q80,"u")+COUNTIF($E80:Q80,"t")+COUNTIF($E80:Q80,"¶")+COUNTIF($E80:Q80,"²")+COUNTIF($E80:Q80,"µ")+COUNTIF($E80:Q80,1)-1,INDEX(Roadmap!$D:$K,MATCH($E80,Roadmap!$D:$D,0)-1+COUNTIF($E80:Q80,"u")+COUNTIF($E80:Q80,"t")+COUNTIF($E80:Q80,"¶")+COUNTIF($E80:Q80,"²")+COUNTIF($E80:Q80,"µ")+COUNTIF($E80:Q80,1),ColDescriptionCourte)),""),
  "")),"")</f>
        <v/>
      </c>
      <c r="S80" s="40" t="str">
        <f ca="1">IFERROR(IF(AND(
  INDEX(Roadmap!$D:$K,MATCH($E80,Roadmap!$D:$D,0)+COUNTIF($E80:R80,"u")+COUNTIF($E80:R80,"t")+COUNTIF($E80:R80,"¶")+COUNTIF($E80:R80,"²")+COUNTIF($E80:R80,"µ")+COUNTIF($E80:R80,1),ColLivraison)=S$6,
  VLOOKUP($E80,INDIRECT("tri!"&amp; CHAR(64+ C0Col) &amp;":"&amp; CHAR(65+C0Col)),2,FALSE)&gt;COUNTIF($E80:R80,"u")+COUNTIF($E80:R80,"t")+COUNTIF($E80:R80,"¶")+COUNTIF($E80:R80,"²")+COUNTIF($E80:R80,"µ")+COUNTIF($E80:R80,1)),
HYPERLINK("#Roadmap!C"&amp; MATCH($E80,Roadmap!$D:$D,0)+COUNTIF($E80:R80,"u")+COUNTIF($E80:R80,"t"),
     INDEX(Roadmap!$D:$K,MATCH($E80,Roadmap!$D:$D,0)+COUNTIF($E80:R80,"u")+COUNTIF($E80:R80,"t")+COUNTIF($E80:R80,"¶")+COUNTIF($E80:R80,"²")+COUNTIF($E80:R80,"µ")+COUNTIF($E80:R80,1),ColTypeEcheance)),
  IF(LEN(R80)=1,
  IF(LEN(INDEX(Roadmap!$D:$K,MATCH($E80,Roadmap!$D:$D,0)-1+COUNTIF($E80:R80,"u")+COUNTIF($E80:R80,"t")+COUNTIF($E80:R80,"¶")+COUNTIF($E80:R80,"²")+COUNTIF($E80:R80,"µ")+COUNTIF($E80:R80,1),ColDescriptionCourte))&gt;1,
HYPERLINK("#Roadmap!C"&amp; MATCH($E80,Roadmap!$D:$D,0)+COUNTIF($E80:R80,"u")+COUNTIF($E80:R80,"t")+COUNTIF($E80:R80,"¶")+COUNTIF($E80:R80,"²")+COUNTIF($E80:R80,"µ")+COUNTIF($E80:R80,1)-1,INDEX(Roadmap!$D:$K,MATCH($E80,Roadmap!$D:$D,0)-1+COUNTIF($E80:R80,"u")+COUNTIF($E80:R80,"t")+COUNTIF($E80:R80,"¶")+COUNTIF($E80:R80,"²")+COUNTIF($E80:R80,"µ")+COUNTIF($E80:R80,1),ColDescriptionCourte)),""),
  "")),"")</f>
        <v/>
      </c>
      <c r="T80" s="40" t="str">
        <f ca="1">IFERROR(IF(AND(
  INDEX(Roadmap!$D:$K,MATCH($E80,Roadmap!$D:$D,0)+COUNTIF($E80:S80,"u")+COUNTIF($E80:S80,"t")+COUNTIF($E80:S80,"¶")+COUNTIF($E80:S80,"²")+COUNTIF($E80:S80,"µ")+COUNTIF($E80:S80,1),ColLivraison)=T$6,
  VLOOKUP($E80,INDIRECT("tri!"&amp; CHAR(64+ C0Col) &amp;":"&amp; CHAR(65+C0Col)),2,FALSE)&gt;COUNTIF($E80:S80,"u")+COUNTIF($E80:S80,"t")+COUNTIF($E80:S80,"¶")+COUNTIF($E80:S80,"²")+COUNTIF($E80:S80,"µ")+COUNTIF($E80:S80,1)),
HYPERLINK("#Roadmap!C"&amp; MATCH($E80,Roadmap!$D:$D,0)+COUNTIF($E80:S80,"u")+COUNTIF($E80:S80,"t"),
     INDEX(Roadmap!$D:$K,MATCH($E80,Roadmap!$D:$D,0)+COUNTIF($E80:S80,"u")+COUNTIF($E80:S80,"t")+COUNTIF($E80:S80,"¶")+COUNTIF($E80:S80,"²")+COUNTIF($E80:S80,"µ")+COUNTIF($E80:S80,1),ColTypeEcheance)),
  IF(LEN(S80)=1,
  IF(LEN(INDEX(Roadmap!$D:$K,MATCH($E80,Roadmap!$D:$D,0)-1+COUNTIF($E80:S80,"u")+COUNTIF($E80:S80,"t")+COUNTIF($E80:S80,"¶")+COUNTIF($E80:S80,"²")+COUNTIF($E80:S80,"µ")+COUNTIF($E80:S80,1),ColDescriptionCourte))&gt;1,
HYPERLINK("#Roadmap!C"&amp; MATCH($E80,Roadmap!$D:$D,0)+COUNTIF($E80:S80,"u")+COUNTIF($E80:S80,"t")+COUNTIF($E80:S80,"¶")+COUNTIF($E80:S80,"²")+COUNTIF($E80:S80,"µ")+COUNTIF($E80:S80,1)-1,INDEX(Roadmap!$D:$K,MATCH($E80,Roadmap!$D:$D,0)-1+COUNTIF($E80:S80,"u")+COUNTIF($E80:S80,"t")+COUNTIF($E80:S80,"¶")+COUNTIF($E80:S80,"²")+COUNTIF($E80:S80,"µ")+COUNTIF($E80:S80,1),ColDescriptionCourte)),""),
  "")),"")</f>
        <v/>
      </c>
      <c r="U80" s="40" t="str">
        <f ca="1">IFERROR(IF(AND(
  INDEX(Roadmap!$D:$K,MATCH($E80,Roadmap!$D:$D,0)+COUNTIF($E80:T80,"u")+COUNTIF($E80:T80,"t")+COUNTIF($E80:T80,"¶")+COUNTIF($E80:T80,"²")+COUNTIF($E80:T80,"µ")+COUNTIF($E80:T80,1),ColLivraison)=U$6,
  VLOOKUP($E80,INDIRECT("tri!"&amp; CHAR(64+ C0Col) &amp;":"&amp; CHAR(65+C0Col)),2,FALSE)&gt;COUNTIF($E80:T80,"u")+COUNTIF($E80:T80,"t")+COUNTIF($E80:T80,"¶")+COUNTIF($E80:T80,"²")+COUNTIF($E80:T80,"µ")+COUNTIF($E80:T80,1)),
HYPERLINK("#Roadmap!C"&amp; MATCH($E80,Roadmap!$D:$D,0)+COUNTIF($E80:T80,"u")+COUNTIF($E80:T80,"t"),
     INDEX(Roadmap!$D:$K,MATCH($E80,Roadmap!$D:$D,0)+COUNTIF($E80:T80,"u")+COUNTIF($E80:T80,"t")+COUNTIF($E80:T80,"¶")+COUNTIF($E80:T80,"²")+COUNTIF($E80:T80,"µ")+COUNTIF($E80:T80,1),ColTypeEcheance)),
  IF(LEN(T80)=1,
  IF(LEN(INDEX(Roadmap!$D:$K,MATCH($E80,Roadmap!$D:$D,0)-1+COUNTIF($E80:T80,"u")+COUNTIF($E80:T80,"t")+COUNTIF($E80:T80,"¶")+COUNTIF($E80:T80,"²")+COUNTIF($E80:T80,"µ")+COUNTIF($E80:T80,1),ColDescriptionCourte))&gt;1,
HYPERLINK("#Roadmap!C"&amp; MATCH($E80,Roadmap!$D:$D,0)+COUNTIF($E80:T80,"u")+COUNTIF($E80:T80,"t")+COUNTIF($E80:T80,"¶")+COUNTIF($E80:T80,"²")+COUNTIF($E80:T80,"µ")+COUNTIF($E80:T80,1)-1,INDEX(Roadmap!$D:$K,MATCH($E80,Roadmap!$D:$D,0)-1+COUNTIF($E80:T80,"u")+COUNTIF($E80:T80,"t")+COUNTIF($E80:T80,"¶")+COUNTIF($E80:T80,"²")+COUNTIF($E80:T80,"µ")+COUNTIF($E80:T80,1),ColDescriptionCourte)),""),
  "")),"")</f>
        <v/>
      </c>
      <c r="V80" s="40" t="str">
        <f ca="1">IFERROR(IF(AND(
  INDEX(Roadmap!$D:$K,MATCH($E80,Roadmap!$D:$D,0)+COUNTIF($E80:U80,"u")+COUNTIF($E80:U80,"t")+COUNTIF($E80:U80,"¶")+COUNTIF($E80:U80,"²")+COUNTIF($E80:U80,"µ")+COUNTIF($E80:U80,1),ColLivraison)=V$6,
  VLOOKUP($E80,INDIRECT("tri!"&amp; CHAR(64+ C0Col) &amp;":"&amp; CHAR(65+C0Col)),2,FALSE)&gt;COUNTIF($E80:U80,"u")+COUNTIF($E80:U80,"t")+COUNTIF($E80:U80,"¶")+COUNTIF($E80:U80,"²")+COUNTIF($E80:U80,"µ")+COUNTIF($E80:U80,1)),
HYPERLINK("#Roadmap!C"&amp; MATCH($E80,Roadmap!$D:$D,0)+COUNTIF($E80:U80,"u")+COUNTIF($E80:U80,"t"),
     INDEX(Roadmap!$D:$K,MATCH($E80,Roadmap!$D:$D,0)+COUNTIF($E80:U80,"u")+COUNTIF($E80:U80,"t")+COUNTIF($E80:U80,"¶")+COUNTIF($E80:U80,"²")+COUNTIF($E80:U80,"µ")+COUNTIF($E80:U80,1),ColTypeEcheance)),
  IF(LEN(U80)=1,
  IF(LEN(INDEX(Roadmap!$D:$K,MATCH($E80,Roadmap!$D:$D,0)-1+COUNTIF($E80:U80,"u")+COUNTIF($E80:U80,"t")+COUNTIF($E80:U80,"¶")+COUNTIF($E80:U80,"²")+COUNTIF($E80:U80,"µ")+COUNTIF($E80:U80,1),ColDescriptionCourte))&gt;1,
HYPERLINK("#Roadmap!C"&amp; MATCH($E80,Roadmap!$D:$D,0)+COUNTIF($E80:U80,"u")+COUNTIF($E80:U80,"t")+COUNTIF($E80:U80,"¶")+COUNTIF($E80:U80,"²")+COUNTIF($E80:U80,"µ")+COUNTIF($E80:U80,1)-1,INDEX(Roadmap!$D:$K,MATCH($E80,Roadmap!$D:$D,0)-1+COUNTIF($E80:U80,"u")+COUNTIF($E80:U80,"t")+COUNTIF($E80:U80,"¶")+COUNTIF($E80:U80,"²")+COUNTIF($E80:U80,"µ")+COUNTIF($E80:U80,1),ColDescriptionCourte)),""),
  "")),"")</f>
        <v/>
      </c>
      <c r="W80" s="40" t="str">
        <f ca="1">IFERROR(IF(AND(
  INDEX(Roadmap!$D:$K,MATCH($E80,Roadmap!$D:$D,0)+COUNTIF($E80:V80,"u")+COUNTIF($E80:V80,"t")+COUNTIF($E80:V80,"¶")+COUNTIF($E80:V80,"²")+COUNTIF($E80:V80,"µ")+COUNTIF($E80:V80,1),ColLivraison)=W$6,
  VLOOKUP($E80,INDIRECT("tri!"&amp; CHAR(64+ C0Col) &amp;":"&amp; CHAR(65+C0Col)),2,FALSE)&gt;COUNTIF($E80:V80,"u")+COUNTIF($E80:V80,"t")+COUNTIF($E80:V80,"¶")+COUNTIF($E80:V80,"²")+COUNTIF($E80:V80,"µ")+COUNTIF($E80:V80,1)),
HYPERLINK("#Roadmap!C"&amp; MATCH($E80,Roadmap!$D:$D,0)+COUNTIF($E80:V80,"u")+COUNTIF($E80:V80,"t"),
     INDEX(Roadmap!$D:$K,MATCH($E80,Roadmap!$D:$D,0)+COUNTIF($E80:V80,"u")+COUNTIF($E80:V80,"t")+COUNTIF($E80:V80,"¶")+COUNTIF($E80:V80,"²")+COUNTIF($E80:V80,"µ")+COUNTIF($E80:V80,1),ColTypeEcheance)),
  IF(LEN(V80)=1,
  IF(LEN(INDEX(Roadmap!$D:$K,MATCH($E80,Roadmap!$D:$D,0)-1+COUNTIF($E80:V80,"u")+COUNTIF($E80:V80,"t")+COUNTIF($E80:V80,"¶")+COUNTIF($E80:V80,"²")+COUNTIF($E80:V80,"µ")+COUNTIF($E80:V80,1),ColDescriptionCourte))&gt;1,
HYPERLINK("#Roadmap!C"&amp; MATCH($E80,Roadmap!$D:$D,0)+COUNTIF($E80:V80,"u")+COUNTIF($E80:V80,"t")+COUNTIF($E80:V80,"¶")+COUNTIF($E80:V80,"²")+COUNTIF($E80:V80,"µ")+COUNTIF($E80:V80,1)-1,INDEX(Roadmap!$D:$K,MATCH($E80,Roadmap!$D:$D,0)-1+COUNTIF($E80:V80,"u")+COUNTIF($E80:V80,"t")+COUNTIF($E80:V80,"¶")+COUNTIF($E80:V80,"²")+COUNTIF($E80:V80,"µ")+COUNTIF($E80:V80,1),ColDescriptionCourte)),""),
  "")),"")</f>
        <v/>
      </c>
      <c r="X80" s="40" t="str">
        <f ca="1">IFERROR(IF(AND(
  INDEX(Roadmap!$D:$K,MATCH($E80,Roadmap!$D:$D,0)+COUNTIF($E80:W80,"u")+COUNTIF($E80:W80,"t")+COUNTIF($E80:W80,"¶")+COUNTIF($E80:W80,"²")+COUNTIF($E80:W80,"µ")+COUNTIF($E80:W80,1),ColLivraison)=X$6,
  VLOOKUP($E80,INDIRECT("tri!"&amp; CHAR(64+ C0Col) &amp;":"&amp; CHAR(65+C0Col)),2,FALSE)&gt;COUNTIF($E80:W80,"u")+COUNTIF($E80:W80,"t")+COUNTIF($E80:W80,"¶")+COUNTIF($E80:W80,"²")+COUNTIF($E80:W80,"µ")+COUNTIF($E80:W80,1)),
HYPERLINK("#Roadmap!C"&amp; MATCH($E80,Roadmap!$D:$D,0)+COUNTIF($E80:W80,"u")+COUNTIF($E80:W80,"t"),
     INDEX(Roadmap!$D:$K,MATCH($E80,Roadmap!$D:$D,0)+COUNTIF($E80:W80,"u")+COUNTIF($E80:W80,"t")+COUNTIF($E80:W80,"¶")+COUNTIF($E80:W80,"²")+COUNTIF($E80:W80,"µ")+COUNTIF($E80:W80,1),ColTypeEcheance)),
  IF(LEN(W80)=1,
  IF(LEN(INDEX(Roadmap!$D:$K,MATCH($E80,Roadmap!$D:$D,0)-1+COUNTIF($E80:W80,"u")+COUNTIF($E80:W80,"t")+COUNTIF($E80:W80,"¶")+COUNTIF($E80:W80,"²")+COUNTIF($E80:W80,"µ")+COUNTIF($E80:W80,1),ColDescriptionCourte))&gt;1,
HYPERLINK("#Roadmap!C"&amp; MATCH($E80,Roadmap!$D:$D,0)+COUNTIF($E80:W80,"u")+COUNTIF($E80:W80,"t")+COUNTIF($E80:W80,"¶")+COUNTIF($E80:W80,"²")+COUNTIF($E80:W80,"µ")+COUNTIF($E80:W80,1)-1,INDEX(Roadmap!$D:$K,MATCH($E80,Roadmap!$D:$D,0)-1+COUNTIF($E80:W80,"u")+COUNTIF($E80:W80,"t")+COUNTIF($E80:W80,"¶")+COUNTIF($E80:W80,"²")+COUNTIF($E80:W80,"µ")+COUNTIF($E80:W80,1),ColDescriptionCourte)),""),
  "")),"")</f>
        <v/>
      </c>
      <c r="Y80" s="40" t="str">
        <f ca="1">IFERROR(IF(AND(
  INDEX(Roadmap!$D:$K,MATCH($E80,Roadmap!$D:$D,0)+COUNTIF($E80:X80,"u")+COUNTIF($E80:X80,"t")+COUNTIF($E80:X80,"¶")+COUNTIF($E80:X80,"²")+COUNTIF($E80:X80,"µ")+COUNTIF($E80:X80,1),ColLivraison)=Y$6,
  VLOOKUP($E80,INDIRECT("tri!"&amp; CHAR(64+ C0Col) &amp;":"&amp; CHAR(65+C0Col)),2,FALSE)&gt;COUNTIF($E80:X80,"u")+COUNTIF($E80:X80,"t")+COUNTIF($E80:X80,"¶")+COUNTIF($E80:X80,"²")+COUNTIF($E80:X80,"µ")+COUNTIF($E80:X80,1)),
HYPERLINK("#Roadmap!C"&amp; MATCH($E80,Roadmap!$D:$D,0)+COUNTIF($E80:X80,"u")+COUNTIF($E80:X80,"t"),
     INDEX(Roadmap!$D:$K,MATCH($E80,Roadmap!$D:$D,0)+COUNTIF($E80:X80,"u")+COUNTIF($E80:X80,"t")+COUNTIF($E80:X80,"¶")+COUNTIF($E80:X80,"²")+COUNTIF($E80:X80,"µ")+COUNTIF($E80:X80,1),ColTypeEcheance)),
  IF(LEN(X80)=1,
  IF(LEN(INDEX(Roadmap!$D:$K,MATCH($E80,Roadmap!$D:$D,0)-1+COUNTIF($E80:X80,"u")+COUNTIF($E80:X80,"t")+COUNTIF($E80:X80,"¶")+COUNTIF($E80:X80,"²")+COUNTIF($E80:X80,"µ")+COUNTIF($E80:X80,1),ColDescriptionCourte))&gt;1,
HYPERLINK("#Roadmap!C"&amp; MATCH($E80,Roadmap!$D:$D,0)+COUNTIF($E80:X80,"u")+COUNTIF($E80:X80,"t")+COUNTIF($E80:X80,"¶")+COUNTIF($E80:X80,"²")+COUNTIF($E80:X80,"µ")+COUNTIF($E80:X80,1)-1,INDEX(Roadmap!$D:$K,MATCH($E80,Roadmap!$D:$D,0)-1+COUNTIF($E80:X80,"u")+COUNTIF($E80:X80,"t")+COUNTIF($E80:X80,"¶")+COUNTIF($E80:X80,"²")+COUNTIF($E80:X80,"µ")+COUNTIF($E80:X80,1),ColDescriptionCourte)),""),
  "")),"")</f>
        <v/>
      </c>
      <c r="Z80" s="40" t="str">
        <f ca="1">IFERROR(IF(AND(
  INDEX(Roadmap!$D:$K,MATCH($E80,Roadmap!$D:$D,0)+COUNTIF($E80:Y80,"u")+COUNTIF($E80:Y80,"t")+COUNTIF($E80:Y80,"¶")+COUNTIF($E80:Y80,"²")+COUNTIF($E80:Y80,"µ")+COUNTIF($E80:Y80,1),ColLivraison)=Z$6,
  VLOOKUP($E80,INDIRECT("tri!"&amp; CHAR(64+ C0Col) &amp;":"&amp; CHAR(65+C0Col)),2,FALSE)&gt;COUNTIF($E80:Y80,"u")+COUNTIF($E80:Y80,"t")+COUNTIF($E80:Y80,"¶")+COUNTIF($E80:Y80,"²")+COUNTIF($E80:Y80,"µ")+COUNTIF($E80:Y80,1)),
HYPERLINK("#Roadmap!C"&amp; MATCH($E80,Roadmap!$D:$D,0)+COUNTIF($E80:Y80,"u")+COUNTIF($E80:Y80,"t"),
     INDEX(Roadmap!$D:$K,MATCH($E80,Roadmap!$D:$D,0)+COUNTIF($E80:Y80,"u")+COUNTIF($E80:Y80,"t")+COUNTIF($E80:Y80,"¶")+COUNTIF($E80:Y80,"²")+COUNTIF($E80:Y80,"µ")+COUNTIF($E80:Y80,1),ColTypeEcheance)),
  IF(LEN(Y80)=1,
  IF(LEN(INDEX(Roadmap!$D:$K,MATCH($E80,Roadmap!$D:$D,0)-1+COUNTIF($E80:Y80,"u")+COUNTIF($E80:Y80,"t")+COUNTIF($E80:Y80,"¶")+COUNTIF($E80:Y80,"²")+COUNTIF($E80:Y80,"µ")+COUNTIF($E80:Y80,1),ColDescriptionCourte))&gt;1,
HYPERLINK("#Roadmap!C"&amp; MATCH($E80,Roadmap!$D:$D,0)+COUNTIF($E80:Y80,"u")+COUNTIF($E80:Y80,"t")+COUNTIF($E80:Y80,"¶")+COUNTIF($E80:Y80,"²")+COUNTIF($E80:Y80,"µ")+COUNTIF($E80:Y80,1)-1,INDEX(Roadmap!$D:$K,MATCH($E80,Roadmap!$D:$D,0)-1+COUNTIF($E80:Y80,"u")+COUNTIF($E80:Y80,"t")+COUNTIF($E80:Y80,"¶")+COUNTIF($E80:Y80,"²")+COUNTIF($E80:Y80,"µ")+COUNTIF($E80:Y80,1),ColDescriptionCourte)),""),
  "")),"")</f>
        <v/>
      </c>
      <c r="AA80" s="40" t="str">
        <f ca="1">IFERROR(IF(AND(
  INDEX(Roadmap!$D:$K,MATCH($E80,Roadmap!$D:$D,0)+COUNTIF($E80:Z80,"u")+COUNTIF($E80:Z80,"t")+COUNTIF($E80:Z80,"¶")+COUNTIF($E80:Z80,"²")+COUNTIF($E80:Z80,"µ")+COUNTIF($E80:Z80,1),ColLivraison)=AA$6,
  VLOOKUP($E80,INDIRECT("tri!"&amp; CHAR(64+ C0Col) &amp;":"&amp; CHAR(65+C0Col)),2,FALSE)&gt;COUNTIF($E80:Z80,"u")+COUNTIF($E80:Z80,"t")+COUNTIF($E80:Z80,"¶")+COUNTIF($E80:Z80,"²")+COUNTIF($E80:Z80,"µ")+COUNTIF($E80:Z80,1)),
HYPERLINK("#Roadmap!C"&amp; MATCH($E80,Roadmap!$D:$D,0)+COUNTIF($E80:Z80,"u")+COUNTIF($E80:Z80,"t"),
     INDEX(Roadmap!$D:$K,MATCH($E80,Roadmap!$D:$D,0)+COUNTIF($E80:Z80,"u")+COUNTIF($E80:Z80,"t")+COUNTIF($E80:Z80,"¶")+COUNTIF($E80:Z80,"²")+COUNTIF($E80:Z80,"µ")+COUNTIF($E80:Z80,1),ColTypeEcheance)),
  IF(LEN(Z80)=1,
  IF(LEN(INDEX(Roadmap!$D:$K,MATCH($E80,Roadmap!$D:$D,0)-1+COUNTIF($E80:Z80,"u")+COUNTIF($E80:Z80,"t")+COUNTIF($E80:Z80,"¶")+COUNTIF($E80:Z80,"²")+COUNTIF($E80:Z80,"µ")+COUNTIF($E80:Z80,1),ColDescriptionCourte))&gt;1,
HYPERLINK("#Roadmap!C"&amp; MATCH($E80,Roadmap!$D:$D,0)+COUNTIF($E80:Z80,"u")+COUNTIF($E80:Z80,"t")+COUNTIF($E80:Z80,"¶")+COUNTIF($E80:Z80,"²")+COUNTIF($E80:Z80,"µ")+COUNTIF($E80:Z80,1)-1,INDEX(Roadmap!$D:$K,MATCH($E80,Roadmap!$D:$D,0)-1+COUNTIF($E80:Z80,"u")+COUNTIF($E80:Z80,"t")+COUNTIF($E80:Z80,"¶")+COUNTIF($E80:Z80,"²")+COUNTIF($E80:Z80,"µ")+COUNTIF($E80:Z80,1),ColDescriptionCourte)),""),
  "")),"")</f>
        <v/>
      </c>
      <c r="AB80" s="40" t="str">
        <f ca="1">IFERROR(IF(AND(
  INDEX(Roadmap!$D:$K,MATCH($E80,Roadmap!$D:$D,0)+COUNTIF($E80:AA80,"u")+COUNTIF($E80:AA80,"t")+COUNTIF($E80:AA80,"¶")+COUNTIF($E80:AA80,"²")+COUNTIF($E80:AA80,"µ")+COUNTIF($E80:AA80,1),ColLivraison)=AB$6,
  VLOOKUP($E80,INDIRECT("tri!"&amp; CHAR(64+ C0Col) &amp;":"&amp; CHAR(65+C0Col)),2,FALSE)&gt;COUNTIF($E80:AA80,"u")+COUNTIF($E80:AA80,"t")+COUNTIF($E80:AA80,"¶")+COUNTIF($E80:AA80,"²")+COUNTIF($E80:AA80,"µ")+COUNTIF($E80:AA80,1)),
HYPERLINK("#Roadmap!C"&amp; MATCH($E80,Roadmap!$D:$D,0)+COUNTIF($E80:AA80,"u")+COUNTIF($E80:AA80,"t"),
     INDEX(Roadmap!$D:$K,MATCH($E80,Roadmap!$D:$D,0)+COUNTIF($E80:AA80,"u")+COUNTIF($E80:AA80,"t")+COUNTIF($E80:AA80,"¶")+COUNTIF($E80:AA80,"²")+COUNTIF($E80:AA80,"µ")+COUNTIF($E80:AA80,1),ColTypeEcheance)),
  IF(LEN(AA80)=1,
  IF(LEN(INDEX(Roadmap!$D:$K,MATCH($E80,Roadmap!$D:$D,0)-1+COUNTIF($E80:AA80,"u")+COUNTIF($E80:AA80,"t")+COUNTIF($E80:AA80,"¶")+COUNTIF($E80:AA80,"²")+COUNTIF($E80:AA80,"µ")+COUNTIF($E80:AA80,1),ColDescriptionCourte))&gt;1,
HYPERLINK("#Roadmap!C"&amp; MATCH($E80,Roadmap!$D:$D,0)+COUNTIF($E80:AA80,"u")+COUNTIF($E80:AA80,"t")+COUNTIF($E80:AA80,"¶")+COUNTIF($E80:AA80,"²")+COUNTIF($E80:AA80,"µ")+COUNTIF($E80:AA80,1)-1,INDEX(Roadmap!$D:$K,MATCH($E80,Roadmap!$D:$D,0)-1+COUNTIF($E80:AA80,"u")+COUNTIF($E80:AA80,"t")+COUNTIF($E80:AA80,"¶")+COUNTIF($E80:AA80,"²")+COUNTIF($E80:AA80,"µ")+COUNTIF($E80:AA80,1),ColDescriptionCourte)),""),
  "")),"")</f>
        <v/>
      </c>
      <c r="AC80" s="40" t="str">
        <f ca="1">IFERROR(IF(AND(
  INDEX(Roadmap!$D:$K,MATCH($E80,Roadmap!$D:$D,0)+COUNTIF($E80:AB80,"u")+COUNTIF($E80:AB80,"t")+COUNTIF($E80:AB80,"¶")+COUNTIF($E80:AB80,"²")+COUNTIF($E80:AB80,"µ")+COUNTIF($E80:AB80,1),ColLivraison)=AC$6,
  VLOOKUP($E80,INDIRECT("tri!"&amp; CHAR(64+ C0Col) &amp;":"&amp; CHAR(65+C0Col)),2,FALSE)&gt;COUNTIF($E80:AB80,"u")+COUNTIF($E80:AB80,"t")+COUNTIF($E80:AB80,"¶")+COUNTIF($E80:AB80,"²")+COUNTIF($E80:AB80,"µ")+COUNTIF($E80:AB80,1)),
HYPERLINK("#Roadmap!C"&amp; MATCH($E80,Roadmap!$D:$D,0)+COUNTIF($E80:AB80,"u")+COUNTIF($E80:AB80,"t"),
     INDEX(Roadmap!$D:$K,MATCH($E80,Roadmap!$D:$D,0)+COUNTIF($E80:AB80,"u")+COUNTIF($E80:AB80,"t")+COUNTIF($E80:AB80,"¶")+COUNTIF($E80:AB80,"²")+COUNTIF($E80:AB80,"µ")+COUNTIF($E80:AB80,1),ColTypeEcheance)),
  IF(LEN(AB80)=1,
  IF(LEN(INDEX(Roadmap!$D:$K,MATCH($E80,Roadmap!$D:$D,0)-1+COUNTIF($E80:AB80,"u")+COUNTIF($E80:AB80,"t")+COUNTIF($E80:AB80,"¶")+COUNTIF($E80:AB80,"²")+COUNTIF($E80:AB80,"µ")+COUNTIF($E80:AB80,1),ColDescriptionCourte))&gt;1,
HYPERLINK("#Roadmap!C"&amp; MATCH($E80,Roadmap!$D:$D,0)+COUNTIF($E80:AB80,"u")+COUNTIF($E80:AB80,"t")+COUNTIF($E80:AB80,"¶")+COUNTIF($E80:AB80,"²")+COUNTIF($E80:AB80,"µ")+COUNTIF($E80:AB80,1)-1,INDEX(Roadmap!$D:$K,MATCH($E80,Roadmap!$D:$D,0)-1+COUNTIF($E80:AB80,"u")+COUNTIF($E80:AB80,"t")+COUNTIF($E80:AB80,"¶")+COUNTIF($E80:AB80,"²")+COUNTIF($E80:AB80,"µ")+COUNTIF($E80:AB80,1),ColDescriptionCourte)),""),
  "")),"")</f>
        <v/>
      </c>
      <c r="AD80" s="40" t="str">
        <f ca="1">IFERROR(IF(AND(
  INDEX(Roadmap!$D:$K,MATCH($E80,Roadmap!$D:$D,0)+COUNTIF($E80:AC80,"u")+COUNTIF($E80:AC80,"t")+COUNTIF($E80:AC80,"¶")+COUNTIF($E80:AC80,"²")+COUNTIF($E80:AC80,"µ")+COUNTIF($E80:AC80,1),ColLivraison)=AD$6,
  VLOOKUP($E80,INDIRECT("tri!"&amp; CHAR(64+ C0Col) &amp;":"&amp; CHAR(65+C0Col)),2,FALSE)&gt;COUNTIF($E80:AC80,"u")+COUNTIF($E80:AC80,"t")+COUNTIF($E80:AC80,"¶")+COUNTIF($E80:AC80,"²")+COUNTIF($E80:AC80,"µ")+COUNTIF($E80:AC80,1)),
HYPERLINK("#Roadmap!C"&amp; MATCH($E80,Roadmap!$D:$D,0)+COUNTIF($E80:AC80,"u")+COUNTIF($E80:AC80,"t"),
     INDEX(Roadmap!$D:$K,MATCH($E80,Roadmap!$D:$D,0)+COUNTIF($E80:AC80,"u")+COUNTIF($E80:AC80,"t")+COUNTIF($E80:AC80,"¶")+COUNTIF($E80:AC80,"²")+COUNTIF($E80:AC80,"µ")+COUNTIF($E80:AC80,1),ColTypeEcheance)),
  IF(LEN(AC80)=1,
  IF(LEN(INDEX(Roadmap!$D:$K,MATCH($E80,Roadmap!$D:$D,0)-1+COUNTIF($E80:AC80,"u")+COUNTIF($E80:AC80,"t")+COUNTIF($E80:AC80,"¶")+COUNTIF($E80:AC80,"²")+COUNTIF($E80:AC80,"µ")+COUNTIF($E80:AC80,1),ColDescriptionCourte))&gt;1,
HYPERLINK("#Roadmap!C"&amp; MATCH($E80,Roadmap!$D:$D,0)+COUNTIF($E80:AC80,"u")+COUNTIF($E80:AC80,"t")+COUNTIF($E80:AC80,"¶")+COUNTIF($E80:AC80,"²")+COUNTIF($E80:AC80,"µ")+COUNTIF($E80:AC80,1)-1,INDEX(Roadmap!$D:$K,MATCH($E80,Roadmap!$D:$D,0)-1+COUNTIF($E80:AC80,"u")+COUNTIF($E80:AC80,"t")+COUNTIF($E80:AC80,"¶")+COUNTIF($E80:AC80,"²")+COUNTIF($E80:AC80,"µ")+COUNTIF($E80:AC80,1),ColDescriptionCourte)),""),
  "")),"")</f>
        <v/>
      </c>
      <c r="AE80" s="40" t="str">
        <f ca="1">IFERROR(IF(AND(
  INDEX(Roadmap!$D:$K,MATCH($E80,Roadmap!$D:$D,0)+COUNTIF($E80:AD80,"u")+COUNTIF($E80:AD80,"t")+COUNTIF($E80:AD80,"¶")+COUNTIF($E80:AD80,"²")+COUNTIF($E80:AD80,"µ")+COUNTIF($E80:AD80,1),ColLivraison)=AE$6,
  VLOOKUP($E80,INDIRECT("tri!"&amp; CHAR(64+ C0Col) &amp;":"&amp; CHAR(65+C0Col)),2,FALSE)&gt;COUNTIF($E80:AD80,"u")+COUNTIF($E80:AD80,"t")+COUNTIF($E80:AD80,"¶")+COUNTIF($E80:AD80,"²")+COUNTIF($E80:AD80,"µ")+COUNTIF($E80:AD80,1)),
HYPERLINK("#Roadmap!C"&amp; MATCH($E80,Roadmap!$D:$D,0)+COUNTIF($E80:AD80,"u")+COUNTIF($E80:AD80,"t"),
     INDEX(Roadmap!$D:$K,MATCH($E80,Roadmap!$D:$D,0)+COUNTIF($E80:AD80,"u")+COUNTIF($E80:AD80,"t")+COUNTIF($E80:AD80,"¶")+COUNTIF($E80:AD80,"²")+COUNTIF($E80:AD80,"µ")+COUNTIF($E80:AD80,1),ColTypeEcheance)),
  IF(LEN(AD80)=1,
  IF(LEN(INDEX(Roadmap!$D:$K,MATCH($E80,Roadmap!$D:$D,0)-1+COUNTIF($E80:AD80,"u")+COUNTIF($E80:AD80,"t")+COUNTIF($E80:AD80,"¶")+COUNTIF($E80:AD80,"²")+COUNTIF($E80:AD80,"µ")+COUNTIF($E80:AD80,1),ColDescriptionCourte))&gt;1,
HYPERLINK("#Roadmap!C"&amp; MATCH($E80,Roadmap!$D:$D,0)+COUNTIF($E80:AD80,"u")+COUNTIF($E80:AD80,"t")+COUNTIF($E80:AD80,"¶")+COUNTIF($E80:AD80,"²")+COUNTIF($E80:AD80,"µ")+COUNTIF($E80:AD80,1)-1,INDEX(Roadmap!$D:$K,MATCH($E80,Roadmap!$D:$D,0)-1+COUNTIF($E80:AD80,"u")+COUNTIF($E80:AD80,"t")+COUNTIF($E80:AD80,"¶")+COUNTIF($E80:AD80,"²")+COUNTIF($E80:AD80,"µ")+COUNTIF($E80:AD80,1),ColDescriptionCourte)),""),
  "")),"")</f>
        <v/>
      </c>
      <c r="AF80" s="40" t="str">
        <f ca="1">IFERROR(IF(AND(
  INDEX(Roadmap!$D:$K,MATCH($E80,Roadmap!$D:$D,0)+COUNTIF($E80:AE80,"u")+COUNTIF($E80:AE80,"t")+COUNTIF($E80:AE80,"¶")+COUNTIF($E80:AE80,"²")+COUNTIF($E80:AE80,"µ")+COUNTIF($E80:AE80,1),ColLivraison)=AF$6,
  VLOOKUP($E80,INDIRECT("tri!"&amp; CHAR(64+ C0Col) &amp;":"&amp; CHAR(65+C0Col)),2,FALSE)&gt;COUNTIF($E80:AE80,"u")+COUNTIF($E80:AE80,"t")+COUNTIF($E80:AE80,"¶")+COUNTIF($E80:AE80,"²")+COUNTIF($E80:AE80,"µ")+COUNTIF($E80:AE80,1)),
HYPERLINK("#Roadmap!C"&amp; MATCH($E80,Roadmap!$D:$D,0)+COUNTIF($E80:AE80,"u")+COUNTIF($E80:AE80,"t"),
     INDEX(Roadmap!$D:$K,MATCH($E80,Roadmap!$D:$D,0)+COUNTIF($E80:AE80,"u")+COUNTIF($E80:AE80,"t")+COUNTIF($E80:AE80,"¶")+COUNTIF($E80:AE80,"²")+COUNTIF($E80:AE80,"µ")+COUNTIF($E80:AE80,1),ColTypeEcheance)),
  IF(LEN(AE80)=1,
  IF(LEN(INDEX(Roadmap!$D:$K,MATCH($E80,Roadmap!$D:$D,0)-1+COUNTIF($E80:AE80,"u")+COUNTIF($E80:AE80,"t")+COUNTIF($E80:AE80,"¶")+COUNTIF($E80:AE80,"²")+COUNTIF($E80:AE80,"µ")+COUNTIF($E80:AE80,1),ColDescriptionCourte))&gt;1,
HYPERLINK("#Roadmap!C"&amp; MATCH($E80,Roadmap!$D:$D,0)+COUNTIF($E80:AE80,"u")+COUNTIF($E80:AE80,"t")+COUNTIF($E80:AE80,"¶")+COUNTIF($E80:AE80,"²")+COUNTIF($E80:AE80,"µ")+COUNTIF($E80:AE80,1)-1,INDEX(Roadmap!$D:$K,MATCH($E80,Roadmap!$D:$D,0)-1+COUNTIF($E80:AE80,"u")+COUNTIF($E80:AE80,"t")+COUNTIF($E80:AE80,"¶")+COUNTIF($E80:AE80,"²")+COUNTIF($E80:AE80,"µ")+COUNTIF($E80:AE80,1),ColDescriptionCourte)),""),
  "")),"")</f>
        <v/>
      </c>
      <c r="AG80" s="40" t="str">
        <f ca="1">IFERROR(IF(AND(
  INDEX(Roadmap!$D:$K,MATCH($E80,Roadmap!$D:$D,0)+COUNTIF($E80:AF80,"u")+COUNTIF($E80:AF80,"t")+COUNTIF($E80:AF80,"¶")+COUNTIF($E80:AF80,"²")+COUNTIF($E80:AF80,"µ")+COUNTIF($E80:AF80,1),ColLivraison)=AG$6,
  VLOOKUP($E80,INDIRECT("tri!"&amp; CHAR(64+ C0Col) &amp;":"&amp; CHAR(65+C0Col)),2,FALSE)&gt;COUNTIF($E80:AF80,"u")+COUNTIF($E80:AF80,"t")+COUNTIF($E80:AF80,"¶")+COUNTIF($E80:AF80,"²")+COUNTIF($E80:AF80,"µ")+COUNTIF($E80:AF80,1)),
HYPERLINK("#Roadmap!C"&amp; MATCH($E80,Roadmap!$D:$D,0)+COUNTIF($E80:AF80,"u")+COUNTIF($E80:AF80,"t"),
     INDEX(Roadmap!$D:$K,MATCH($E80,Roadmap!$D:$D,0)+COUNTIF($E80:AF80,"u")+COUNTIF($E80:AF80,"t")+COUNTIF($E80:AF80,"¶")+COUNTIF($E80:AF80,"²")+COUNTIF($E80:AF80,"µ")+COUNTIF($E80:AF80,1),ColTypeEcheance)),
  IF(LEN(AF80)=1,
  IF(LEN(INDEX(Roadmap!$D:$K,MATCH($E80,Roadmap!$D:$D,0)-1+COUNTIF($E80:AF80,"u")+COUNTIF($E80:AF80,"t")+COUNTIF($E80:AF80,"¶")+COUNTIF($E80:AF80,"²")+COUNTIF($E80:AF80,"µ")+COUNTIF($E80:AF80,1),ColDescriptionCourte))&gt;1,
HYPERLINK("#Roadmap!C"&amp; MATCH($E80,Roadmap!$D:$D,0)+COUNTIF($E80:AF80,"u")+COUNTIF($E80:AF80,"t")+COUNTIF($E80:AF80,"¶")+COUNTIF($E80:AF80,"²")+COUNTIF($E80:AF80,"µ")+COUNTIF($E80:AF80,1)-1,INDEX(Roadmap!$D:$K,MATCH($E80,Roadmap!$D:$D,0)-1+COUNTIF($E80:AF80,"u")+COUNTIF($E80:AF80,"t")+COUNTIF($E80:AF80,"¶")+COUNTIF($E80:AF80,"²")+COUNTIF($E80:AF80,"µ")+COUNTIF($E80:AF80,1),ColDescriptionCourte)),""),
  "")),"")</f>
        <v/>
      </c>
    </row>
    <row r="81" spans="3:33" ht="14.25" customHeight="1">
      <c r="C81" s="1" t="str">
        <f t="shared" ca="1" si="47"/>
        <v/>
      </c>
      <c r="D81" s="1" t="str">
        <f t="shared" ca="1" si="48"/>
        <v/>
      </c>
      <c r="E81" s="35" t="str">
        <f t="shared" ca="1" si="46"/>
        <v/>
      </c>
      <c r="F81" s="39" t="str">
        <f ca="1">IFERROR(IF(AND(
  INDEX(Roadmap!$D:$K,MATCH($E81,Roadmap!$D:$D,0)+COUNTIF($E81:E81,"u")+COUNTIF($E81:E81,"t")+COUNTIF($E81:E81,"¶")+COUNTIF($E81:E81,"²")+COUNTIF($E81:E81,"µ")+COUNTIF($E81:E81,1),ColLivraison)=F$6,
  VLOOKUP($E81,INDIRECT("tri!"&amp; CHAR(64+ C0Col) &amp;":"&amp; CHAR(65+C0Col)),2,FALSE)&gt;COUNTIF($E81:E81,"u")+COUNTIF($E81:E81,"t")+COUNTIF($E81:E81,"¶")+COUNTIF($E81:E81,"²")+COUNTIF($E81:E81,"µ")+COUNTIF($E81:E81,1)),
HYPERLINK("#Roadmap!C"&amp; MATCH($E81,Roadmap!$D:$D,0)+COUNTIF($E81:E81,"u")+COUNTIF($E81:E81,"t"),
     INDEX(Roadmap!$D:$K,MATCH($E81,Roadmap!$D:$D,0)+COUNTIF($E81:E81,"u")+COUNTIF($E81:E81,"t")+COUNTIF($E81:E81,"¶")+COUNTIF($E81:E81,"²")+COUNTIF($E81:E81,"µ")+COUNTIF($E81:E81,1),ColTypeEcheance)),
  IF(LEN(E81)=1,
  IF(LEN(INDEX(Roadmap!$D:$K,MATCH($E81,Roadmap!$D:$D,0)-1+COUNTIF($E81:E81,"u")+COUNTIF($E81:E81,"t")+COUNTIF($E81:E81,"¶")+COUNTIF($E81:E81,"²")+COUNTIF($E81:E81,"µ")+COUNTIF($E81:E81,1),ColDescriptionCourte))&gt;1,
HYPERLINK("#Roadmap!C"&amp; MATCH($E81,Roadmap!$D:$D,0)+COUNTIF($E81:E81,"u")+COUNTIF($E81:E81,"t")+COUNTIF($E81:E81,"¶")+COUNTIF($E81:E81,"²")+COUNTIF($E81:E81,"µ")+COUNTIF($E81:E81,1)-1,INDEX(Roadmap!$D:$K,MATCH($E81,Roadmap!$D:$D,0)-1+COUNTIF($E81:E81,"u")+COUNTIF($E81:E81,"t")+COUNTIF($E81:E81,"¶")+COUNTIF($E81:E81,"²")+COUNTIF($E81:E81,"µ")+COUNTIF($E81:E81,1),ColDescriptionCourte)),""),
  "")),"")</f>
        <v/>
      </c>
      <c r="G81" s="40" t="str">
        <f ca="1">IFERROR(IF(AND(
  INDEX(Roadmap!$D:$K,MATCH($E81,Roadmap!$D:$D,0)+COUNTIF($E81:F81,"u")+COUNTIF($E81:F81,"t")+COUNTIF($E81:F81,"¶")+COUNTIF($E81:F81,"²")+COUNTIF($E81:F81,"µ")+COUNTIF($E81:F81,1),ColLivraison)=G$6,
  VLOOKUP($E81,INDIRECT("tri!"&amp; CHAR(64+ C0Col) &amp;":"&amp; CHAR(65+C0Col)),2,FALSE)&gt;COUNTIF($E81:F81,"u")+COUNTIF($E81:F81,"t")+COUNTIF($E81:F81,"¶")+COUNTIF($E81:F81,"²")+COUNTIF($E81:F81,"µ")+COUNTIF($E81:F81,1)),
HYPERLINK("#Roadmap!C"&amp; MATCH($E81,Roadmap!$D:$D,0)+COUNTIF($E81:F81,"u")+COUNTIF($E81:F81,"t"),
     INDEX(Roadmap!$D:$K,MATCH($E81,Roadmap!$D:$D,0)+COUNTIF($E81:F81,"u")+COUNTIF($E81:F81,"t")+COUNTIF($E81:F81,"¶")+COUNTIF($E81:F81,"²")+COUNTIF($E81:F81,"µ")+COUNTIF($E81:F81,1),ColTypeEcheance)),
  IF(LEN(F81)=1,
  IF(LEN(INDEX(Roadmap!$D:$K,MATCH($E81,Roadmap!$D:$D,0)-1+COUNTIF($E81:F81,"u")+COUNTIF($E81:F81,"t")+COUNTIF($E81:F81,"¶")+COUNTIF($E81:F81,"²")+COUNTIF($E81:F81,"µ")+COUNTIF($E81:F81,1),ColDescriptionCourte))&gt;1,
HYPERLINK("#Roadmap!C"&amp; MATCH($E81,Roadmap!$D:$D,0)+COUNTIF($E81:F81,"u")+COUNTIF($E81:F81,"t")+COUNTIF($E81:F81,"¶")+COUNTIF($E81:F81,"²")+COUNTIF($E81:F81,"µ")+COUNTIF($E81:F81,1)-1,INDEX(Roadmap!$D:$K,MATCH($E81,Roadmap!$D:$D,0)-1+COUNTIF($E81:F81,"u")+COUNTIF($E81:F81,"t")+COUNTIF($E81:F81,"¶")+COUNTIF($E81:F81,"²")+COUNTIF($E81:F81,"µ")+COUNTIF($E81:F81,1),ColDescriptionCourte)),""),
  "")),"")</f>
        <v/>
      </c>
      <c r="H81" s="40" t="str">
        <f ca="1">IFERROR(IF(AND(
  INDEX(Roadmap!$D:$K,MATCH($E81,Roadmap!$D:$D,0)+COUNTIF($E81:G81,"u")+COUNTIF($E81:G81,"t")+COUNTIF($E81:G81,"¶")+COUNTIF($E81:G81,"²")+COUNTIF($E81:G81,"µ")+COUNTIF($E81:G81,1),ColLivraison)=H$6,
  VLOOKUP($E81,INDIRECT("tri!"&amp; CHAR(64+ C0Col) &amp;":"&amp; CHAR(65+C0Col)),2,FALSE)&gt;COUNTIF($E81:G81,"u")+COUNTIF($E81:G81,"t")+COUNTIF($E81:G81,"¶")+COUNTIF($E81:G81,"²")+COUNTIF($E81:G81,"µ")+COUNTIF($E81:G81,1)),
HYPERLINK("#Roadmap!C"&amp; MATCH($E81,Roadmap!$D:$D,0)+COUNTIF($E81:G81,"u")+COUNTIF($E81:G81,"t"),
     INDEX(Roadmap!$D:$K,MATCH($E81,Roadmap!$D:$D,0)+COUNTIF($E81:G81,"u")+COUNTIF($E81:G81,"t")+COUNTIF($E81:G81,"¶")+COUNTIF($E81:G81,"²")+COUNTIF($E81:G81,"µ")+COUNTIF($E81:G81,1),ColTypeEcheance)),
  IF(LEN(G81)=1,
  IF(LEN(INDEX(Roadmap!$D:$K,MATCH($E81,Roadmap!$D:$D,0)-1+COUNTIF($E81:G81,"u")+COUNTIF($E81:G81,"t")+COUNTIF($E81:G81,"¶")+COUNTIF($E81:G81,"²")+COUNTIF($E81:G81,"µ")+COUNTIF($E81:G81,1),ColDescriptionCourte))&gt;1,
HYPERLINK("#Roadmap!C"&amp; MATCH($E81,Roadmap!$D:$D,0)+COUNTIF($E81:G81,"u")+COUNTIF($E81:G81,"t")+COUNTIF($E81:G81,"¶")+COUNTIF($E81:G81,"²")+COUNTIF($E81:G81,"µ")+COUNTIF($E81:G81,1)-1,INDEX(Roadmap!$D:$K,MATCH($E81,Roadmap!$D:$D,0)-1+COUNTIF($E81:G81,"u")+COUNTIF($E81:G81,"t")+COUNTIF($E81:G81,"¶")+COUNTIF($E81:G81,"²")+COUNTIF($E81:G81,"µ")+COUNTIF($E81:G81,1),ColDescriptionCourte)),""),
  "")),"")</f>
        <v/>
      </c>
      <c r="I81" s="40" t="str">
        <f ca="1">IFERROR(IF(AND(
  INDEX(Roadmap!$D:$K,MATCH($E81,Roadmap!$D:$D,0)+COUNTIF($E81:H81,"u")+COUNTIF($E81:H81,"t")+COUNTIF($E81:H81,"¶")+COUNTIF($E81:H81,"²")+COUNTIF($E81:H81,"µ")+COUNTIF($E81:H81,1),ColLivraison)=I$6,
  VLOOKUP($E81,INDIRECT("tri!"&amp; CHAR(64+ C0Col) &amp;":"&amp; CHAR(65+C0Col)),2,FALSE)&gt;COUNTIF($E81:H81,"u")+COUNTIF($E81:H81,"t")+COUNTIF($E81:H81,"¶")+COUNTIF($E81:H81,"²")+COUNTIF($E81:H81,"µ")+COUNTIF($E81:H81,1)),
HYPERLINK("#Roadmap!C"&amp; MATCH($E81,Roadmap!$D:$D,0)+COUNTIF($E81:H81,"u")+COUNTIF($E81:H81,"t"),
     INDEX(Roadmap!$D:$K,MATCH($E81,Roadmap!$D:$D,0)+COUNTIF($E81:H81,"u")+COUNTIF($E81:H81,"t")+COUNTIF($E81:H81,"¶")+COUNTIF($E81:H81,"²")+COUNTIF($E81:H81,"µ")+COUNTIF($E81:H81,1),ColTypeEcheance)),
  IF(LEN(H81)=1,
  IF(LEN(INDEX(Roadmap!$D:$K,MATCH($E81,Roadmap!$D:$D,0)-1+COUNTIF($E81:H81,"u")+COUNTIF($E81:H81,"t")+COUNTIF($E81:H81,"¶")+COUNTIF($E81:H81,"²")+COUNTIF($E81:H81,"µ")+COUNTIF($E81:H81,1),ColDescriptionCourte))&gt;1,
HYPERLINK("#Roadmap!C"&amp; MATCH($E81,Roadmap!$D:$D,0)+COUNTIF($E81:H81,"u")+COUNTIF($E81:H81,"t")+COUNTIF($E81:H81,"¶")+COUNTIF($E81:H81,"²")+COUNTIF($E81:H81,"µ")+COUNTIF($E81:H81,1)-1,INDEX(Roadmap!$D:$K,MATCH($E81,Roadmap!$D:$D,0)-1+COUNTIF($E81:H81,"u")+COUNTIF($E81:H81,"t")+COUNTIF($E81:H81,"¶")+COUNTIF($E81:H81,"²")+COUNTIF($E81:H81,"µ")+COUNTIF($E81:H81,1),ColDescriptionCourte)),""),
  "")),"")</f>
        <v/>
      </c>
      <c r="J81" s="40" t="str">
        <f ca="1">IFERROR(IF(AND(
  INDEX(Roadmap!$D:$K,MATCH($E81,Roadmap!$D:$D,0)+COUNTIF($E81:I81,"u")+COUNTIF($E81:I81,"t")+COUNTIF($E81:I81,"¶")+COUNTIF($E81:I81,"²")+COUNTIF($E81:I81,"µ")+COUNTIF($E81:I81,1),ColLivraison)=J$6,
  VLOOKUP($E81,INDIRECT("tri!"&amp; CHAR(64+ C0Col) &amp;":"&amp; CHAR(65+C0Col)),2,FALSE)&gt;COUNTIF($E81:I81,"u")+COUNTIF($E81:I81,"t")+COUNTIF($E81:I81,"¶")+COUNTIF($E81:I81,"²")+COUNTIF($E81:I81,"µ")+COUNTIF($E81:I81,1)),
HYPERLINK("#Roadmap!C"&amp; MATCH($E81,Roadmap!$D:$D,0)+COUNTIF($E81:I81,"u")+COUNTIF($E81:I81,"t"),
     INDEX(Roadmap!$D:$K,MATCH($E81,Roadmap!$D:$D,0)+COUNTIF($E81:I81,"u")+COUNTIF($E81:I81,"t")+COUNTIF($E81:I81,"¶")+COUNTIF($E81:I81,"²")+COUNTIF($E81:I81,"µ")+COUNTIF($E81:I81,1),ColTypeEcheance)),
  IF(LEN(I81)=1,
  IF(LEN(INDEX(Roadmap!$D:$K,MATCH($E81,Roadmap!$D:$D,0)-1+COUNTIF($E81:I81,"u")+COUNTIF($E81:I81,"t")+COUNTIF($E81:I81,"¶")+COUNTIF($E81:I81,"²")+COUNTIF($E81:I81,"µ")+COUNTIF($E81:I81,1),ColDescriptionCourte))&gt;1,
HYPERLINK("#Roadmap!C"&amp; MATCH($E81,Roadmap!$D:$D,0)+COUNTIF($E81:I81,"u")+COUNTIF($E81:I81,"t")+COUNTIF($E81:I81,"¶")+COUNTIF($E81:I81,"²")+COUNTIF($E81:I81,"µ")+COUNTIF($E81:I81,1)-1,INDEX(Roadmap!$D:$K,MATCH($E81,Roadmap!$D:$D,0)-1+COUNTIF($E81:I81,"u")+COUNTIF($E81:I81,"t")+COUNTIF($E81:I81,"¶")+COUNTIF($E81:I81,"²")+COUNTIF($E81:I81,"µ")+COUNTIF($E81:I81,1),ColDescriptionCourte)),""),
  "")),"")</f>
        <v/>
      </c>
      <c r="K81" s="40" t="str">
        <f ca="1">IFERROR(IF(AND(
  INDEX(Roadmap!$D:$K,MATCH($E81,Roadmap!$D:$D,0)+COUNTIF($E81:J81,"u")+COUNTIF($E81:J81,"t")+COUNTIF($E81:J81,"¶")+COUNTIF($E81:J81,"²")+COUNTIF($E81:J81,"µ")+COUNTIF($E81:J81,1),ColLivraison)=K$6,
  VLOOKUP($E81,INDIRECT("tri!"&amp; CHAR(64+ C0Col) &amp;":"&amp; CHAR(65+C0Col)),2,FALSE)&gt;COUNTIF($E81:J81,"u")+COUNTIF($E81:J81,"t")+COUNTIF($E81:J81,"¶")+COUNTIF($E81:J81,"²")+COUNTIF($E81:J81,"µ")+COUNTIF($E81:J81,1)),
HYPERLINK("#Roadmap!C"&amp; MATCH($E81,Roadmap!$D:$D,0)+COUNTIF($E81:J81,"u")+COUNTIF($E81:J81,"t"),
     INDEX(Roadmap!$D:$K,MATCH($E81,Roadmap!$D:$D,0)+COUNTIF($E81:J81,"u")+COUNTIF($E81:J81,"t")+COUNTIF($E81:J81,"¶")+COUNTIF($E81:J81,"²")+COUNTIF($E81:J81,"µ")+COUNTIF($E81:J81,1),ColTypeEcheance)),
  IF(LEN(J81)=1,
  IF(LEN(INDEX(Roadmap!$D:$K,MATCH($E81,Roadmap!$D:$D,0)-1+COUNTIF($E81:J81,"u")+COUNTIF($E81:J81,"t")+COUNTIF($E81:J81,"¶")+COUNTIF($E81:J81,"²")+COUNTIF($E81:J81,"µ")+COUNTIF($E81:J81,1),ColDescriptionCourte))&gt;1,
HYPERLINK("#Roadmap!C"&amp; MATCH($E81,Roadmap!$D:$D,0)+COUNTIF($E81:J81,"u")+COUNTIF($E81:J81,"t")+COUNTIF($E81:J81,"¶")+COUNTIF($E81:J81,"²")+COUNTIF($E81:J81,"µ")+COUNTIF($E81:J81,1)-1,INDEX(Roadmap!$D:$K,MATCH($E81,Roadmap!$D:$D,0)-1+COUNTIF($E81:J81,"u")+COUNTIF($E81:J81,"t")+COUNTIF($E81:J81,"¶")+COUNTIF($E81:J81,"²")+COUNTIF($E81:J81,"µ")+COUNTIF($E81:J81,1),ColDescriptionCourte)),""),
  "")),"")</f>
        <v/>
      </c>
      <c r="L81" s="39" t="str">
        <f ca="1">IFERROR(IF(AND(
  INDEX(Roadmap!$D:$K,MATCH($E81,Roadmap!$D:$D,0)+COUNTIF($E81:K81,"u")+COUNTIF($E81:K81,"t")+COUNTIF($E81:K81,"¶")+COUNTIF($E81:K81,"²")+COUNTIF($E81:K81,"µ")+COUNTIF($E81:K81,1),ColLivraison)=L$6,
  VLOOKUP($E81,INDIRECT("tri!"&amp; CHAR(64+ C0Col) &amp;":"&amp; CHAR(65+C0Col)),2,FALSE)&gt;COUNTIF($E81:K81,"u")+COUNTIF($E81:K81,"t")+COUNTIF($E81:K81,"¶")+COUNTIF($E81:K81,"²")+COUNTIF($E81:K81,"µ")+COUNTIF($E81:K81,1)),
HYPERLINK("#Roadmap!C"&amp; MATCH($E81,Roadmap!$D:$D,0)+COUNTIF($E81:K81,"u")+COUNTIF($E81:K81,"t"),
     INDEX(Roadmap!$D:$K,MATCH($E81,Roadmap!$D:$D,0)+COUNTIF($E81:K81,"u")+COUNTIF($E81:K81,"t")+COUNTIF($E81:K81,"¶")+COUNTIF($E81:K81,"²")+COUNTIF($E81:K81,"µ")+COUNTIF($E81:K81,1),ColTypeEcheance)),
  IF(LEN(K81)=1,
  IF(LEN(INDEX(Roadmap!$D:$K,MATCH($E81,Roadmap!$D:$D,0)-1+COUNTIF($E81:K81,"u")+COUNTIF($E81:K81,"t")+COUNTIF($E81:K81,"¶")+COUNTIF($E81:K81,"²")+COUNTIF($E81:K81,"µ")+COUNTIF($E81:K81,1),ColDescriptionCourte))&gt;1,
HYPERLINK("#Roadmap!C"&amp; MATCH($E81,Roadmap!$D:$D,0)+COUNTIF($E81:K81,"u")+COUNTIF($E81:K81,"t")+COUNTIF($E81:K81,"¶")+COUNTIF($E81:K81,"²")+COUNTIF($E81:K81,"µ")+COUNTIF($E81:K81,1)-1,INDEX(Roadmap!$D:$K,MATCH($E81,Roadmap!$D:$D,0)-1+COUNTIF($E81:K81,"u")+COUNTIF($E81:K81,"t")+COUNTIF($E81:K81,"¶")+COUNTIF($E81:K81,"²")+COUNTIF($E81:K81,"µ")+COUNTIF($E81:K81,1),ColDescriptionCourte)),""),
  "")),"")</f>
        <v/>
      </c>
      <c r="M81" s="40" t="str">
        <f ca="1">IFERROR(IF(AND(
  INDEX(Roadmap!$D:$K,MATCH($E81,Roadmap!$D:$D,0)+COUNTIF($E81:L81,"u")+COUNTIF($E81:L81,"t")+COUNTIF($E81:L81,"¶")+COUNTIF($E81:L81,"²")+COUNTIF($E81:L81,"µ")+COUNTIF($E81:L81,1),ColLivraison)=M$6,
  VLOOKUP($E81,INDIRECT("tri!"&amp; CHAR(64+ C0Col) &amp;":"&amp; CHAR(65+C0Col)),2,FALSE)&gt;COUNTIF($E81:L81,"u")+COUNTIF($E81:L81,"t")+COUNTIF($E81:L81,"¶")+COUNTIF($E81:L81,"²")+COUNTIF($E81:L81,"µ")+COUNTIF($E81:L81,1)),
HYPERLINK("#Roadmap!C"&amp; MATCH($E81,Roadmap!$D:$D,0)+COUNTIF($E81:L81,"u")+COUNTIF($E81:L81,"t"),
     INDEX(Roadmap!$D:$K,MATCH($E81,Roadmap!$D:$D,0)+COUNTIF($E81:L81,"u")+COUNTIF($E81:L81,"t")+COUNTIF($E81:L81,"¶")+COUNTIF($E81:L81,"²")+COUNTIF($E81:L81,"µ")+COUNTIF($E81:L81,1),ColTypeEcheance)),
  IF(LEN(L81)=1,
  IF(LEN(INDEX(Roadmap!$D:$K,MATCH($E81,Roadmap!$D:$D,0)-1+COUNTIF($E81:L81,"u")+COUNTIF($E81:L81,"t")+COUNTIF($E81:L81,"¶")+COUNTIF($E81:L81,"²")+COUNTIF($E81:L81,"µ")+COUNTIF($E81:L81,1),ColDescriptionCourte))&gt;1,
HYPERLINK("#Roadmap!C"&amp; MATCH($E81,Roadmap!$D:$D,0)+COUNTIF($E81:L81,"u")+COUNTIF($E81:L81,"t")+COUNTIF($E81:L81,"¶")+COUNTIF($E81:L81,"²")+COUNTIF($E81:L81,"µ")+COUNTIF($E81:L81,1)-1,INDEX(Roadmap!$D:$K,MATCH($E81,Roadmap!$D:$D,0)-1+COUNTIF($E81:L81,"u")+COUNTIF($E81:L81,"t")+COUNTIF($E81:L81,"¶")+COUNTIF($E81:L81,"²")+COUNTIF($E81:L81,"µ")+COUNTIF($E81:L81,1),ColDescriptionCourte)),""),
  "")),"")</f>
        <v/>
      </c>
      <c r="N81" s="40" t="str">
        <f ca="1">IFERROR(IF(AND(
  INDEX(Roadmap!$D:$K,MATCH($E81,Roadmap!$D:$D,0)+COUNTIF($E81:M81,"u")+COUNTIF($E81:M81,"t")+COUNTIF($E81:M81,"¶")+COUNTIF($E81:M81,"²")+COUNTIF($E81:M81,"µ")+COUNTIF($E81:M81,1),ColLivraison)=N$6,
  VLOOKUP($E81,INDIRECT("tri!"&amp; CHAR(64+ C0Col) &amp;":"&amp; CHAR(65+C0Col)),2,FALSE)&gt;COUNTIF($E81:M81,"u")+COUNTIF($E81:M81,"t")+COUNTIF($E81:M81,"¶")+COUNTIF($E81:M81,"²")+COUNTIF($E81:M81,"µ")+COUNTIF($E81:M81,1)),
HYPERLINK("#Roadmap!C"&amp; MATCH($E81,Roadmap!$D:$D,0)+COUNTIF($E81:M81,"u")+COUNTIF($E81:M81,"t"),
     INDEX(Roadmap!$D:$K,MATCH($E81,Roadmap!$D:$D,0)+COUNTIF($E81:M81,"u")+COUNTIF($E81:M81,"t")+COUNTIF($E81:M81,"¶")+COUNTIF($E81:M81,"²")+COUNTIF($E81:M81,"µ")+COUNTIF($E81:M81,1),ColTypeEcheance)),
  IF(LEN(M81)=1,
  IF(LEN(INDEX(Roadmap!$D:$K,MATCH($E81,Roadmap!$D:$D,0)-1+COUNTIF($E81:M81,"u")+COUNTIF($E81:M81,"t")+COUNTIF($E81:M81,"¶")+COUNTIF($E81:M81,"²")+COUNTIF($E81:M81,"µ")+COUNTIF($E81:M81,1),ColDescriptionCourte))&gt;1,
HYPERLINK("#Roadmap!C"&amp; MATCH($E81,Roadmap!$D:$D,0)+COUNTIF($E81:M81,"u")+COUNTIF($E81:M81,"t")+COUNTIF($E81:M81,"¶")+COUNTIF($E81:M81,"²")+COUNTIF($E81:M81,"µ")+COUNTIF($E81:M81,1)-1,INDEX(Roadmap!$D:$K,MATCH($E81,Roadmap!$D:$D,0)-1+COUNTIF($E81:M81,"u")+COUNTIF($E81:M81,"t")+COUNTIF($E81:M81,"¶")+COUNTIF($E81:M81,"²")+COUNTIF($E81:M81,"µ")+COUNTIF($E81:M81,1),ColDescriptionCourte)),""),
  "")),"")</f>
        <v/>
      </c>
      <c r="O81" s="40" t="str">
        <f ca="1">IFERROR(IF(AND(
  INDEX(Roadmap!$D:$K,MATCH($E81,Roadmap!$D:$D,0)+COUNTIF($E81:N81,"u")+COUNTIF($E81:N81,"t")+COUNTIF($E81:N81,"¶")+COUNTIF($E81:N81,"²")+COUNTIF($E81:N81,"µ")+COUNTIF($E81:N81,1),ColLivraison)=O$6,
  VLOOKUP($E81,INDIRECT("tri!"&amp; CHAR(64+ C0Col) &amp;":"&amp; CHAR(65+C0Col)),2,FALSE)&gt;COUNTIF($E81:N81,"u")+COUNTIF($E81:N81,"t")+COUNTIF($E81:N81,"¶")+COUNTIF($E81:N81,"²")+COUNTIF($E81:N81,"µ")+COUNTIF($E81:N81,1)),
HYPERLINK("#Roadmap!C"&amp; MATCH($E81,Roadmap!$D:$D,0)+COUNTIF($E81:N81,"u")+COUNTIF($E81:N81,"t"),
     INDEX(Roadmap!$D:$K,MATCH($E81,Roadmap!$D:$D,0)+COUNTIF($E81:N81,"u")+COUNTIF($E81:N81,"t")+COUNTIF($E81:N81,"¶")+COUNTIF($E81:N81,"²")+COUNTIF($E81:N81,"µ")+COUNTIF($E81:N81,1),ColTypeEcheance)),
  IF(LEN(N81)=1,
  IF(LEN(INDEX(Roadmap!$D:$K,MATCH($E81,Roadmap!$D:$D,0)-1+COUNTIF($E81:N81,"u")+COUNTIF($E81:N81,"t")+COUNTIF($E81:N81,"¶")+COUNTIF($E81:N81,"²")+COUNTIF($E81:N81,"µ")+COUNTIF($E81:N81,1),ColDescriptionCourte))&gt;1,
HYPERLINK("#Roadmap!C"&amp; MATCH($E81,Roadmap!$D:$D,0)+COUNTIF($E81:N81,"u")+COUNTIF($E81:N81,"t")+COUNTIF($E81:N81,"¶")+COUNTIF($E81:N81,"²")+COUNTIF($E81:N81,"µ")+COUNTIF($E81:N81,1)-1,INDEX(Roadmap!$D:$K,MATCH($E81,Roadmap!$D:$D,0)-1+COUNTIF($E81:N81,"u")+COUNTIF($E81:N81,"t")+COUNTIF($E81:N81,"¶")+COUNTIF($E81:N81,"²")+COUNTIF($E81:N81,"µ")+COUNTIF($E81:N81,1),ColDescriptionCourte)),""),
  "")),"")</f>
        <v/>
      </c>
      <c r="P81" s="40" t="str">
        <f ca="1">IFERROR(IF(AND(
  INDEX(Roadmap!$D:$K,MATCH($E81,Roadmap!$D:$D,0)+COUNTIF($E81:O81,"u")+COUNTIF($E81:O81,"t")+COUNTIF($E81:O81,"¶")+COUNTIF($E81:O81,"²")+COUNTIF($E81:O81,"µ")+COUNTIF($E81:O81,1),ColLivraison)=P$6,
  VLOOKUP($E81,INDIRECT("tri!"&amp; CHAR(64+ C0Col) &amp;":"&amp; CHAR(65+C0Col)),2,FALSE)&gt;COUNTIF($E81:O81,"u")+COUNTIF($E81:O81,"t")+COUNTIF($E81:O81,"¶")+COUNTIF($E81:O81,"²")+COUNTIF($E81:O81,"µ")+COUNTIF($E81:O81,1)),
HYPERLINK("#Roadmap!C"&amp; MATCH($E81,Roadmap!$D:$D,0)+COUNTIF($E81:O81,"u")+COUNTIF($E81:O81,"t"),
     INDEX(Roadmap!$D:$K,MATCH($E81,Roadmap!$D:$D,0)+COUNTIF($E81:O81,"u")+COUNTIF($E81:O81,"t")+COUNTIF($E81:O81,"¶")+COUNTIF($E81:O81,"²")+COUNTIF($E81:O81,"µ")+COUNTIF($E81:O81,1),ColTypeEcheance)),
  IF(LEN(O81)=1,
  IF(LEN(INDEX(Roadmap!$D:$K,MATCH($E81,Roadmap!$D:$D,0)-1+COUNTIF($E81:O81,"u")+COUNTIF($E81:O81,"t")+COUNTIF($E81:O81,"¶")+COUNTIF($E81:O81,"²")+COUNTIF($E81:O81,"µ")+COUNTIF($E81:O81,1),ColDescriptionCourte))&gt;1,
HYPERLINK("#Roadmap!C"&amp; MATCH($E81,Roadmap!$D:$D,0)+COUNTIF($E81:O81,"u")+COUNTIF($E81:O81,"t")+COUNTIF($E81:O81,"¶")+COUNTIF($E81:O81,"²")+COUNTIF($E81:O81,"µ")+COUNTIF($E81:O81,1)-1,INDEX(Roadmap!$D:$K,MATCH($E81,Roadmap!$D:$D,0)-1+COUNTIF($E81:O81,"u")+COUNTIF($E81:O81,"t")+COUNTIF($E81:O81,"¶")+COUNTIF($E81:O81,"²")+COUNTIF($E81:O81,"µ")+COUNTIF($E81:O81,1),ColDescriptionCourte)),""),
  "")),"")</f>
        <v/>
      </c>
      <c r="Q81" s="40" t="str">
        <f ca="1">IFERROR(IF(AND(
  INDEX(Roadmap!$D:$K,MATCH($E81,Roadmap!$D:$D,0)+COUNTIF($E81:P81,"u")+COUNTIF($E81:P81,"t")+COUNTIF($E81:P81,"¶")+COUNTIF($E81:P81,"²")+COUNTIF($E81:P81,"µ")+COUNTIF($E81:P81,1),ColLivraison)=Q$6,
  VLOOKUP($E81,INDIRECT("tri!"&amp; CHAR(64+ C0Col) &amp;":"&amp; CHAR(65+C0Col)),2,FALSE)&gt;COUNTIF($E81:P81,"u")+COUNTIF($E81:P81,"t")+COUNTIF($E81:P81,"¶")+COUNTIF($E81:P81,"²")+COUNTIF($E81:P81,"µ")+COUNTIF($E81:P81,1)),
HYPERLINK("#Roadmap!C"&amp; MATCH($E81,Roadmap!$D:$D,0)+COUNTIF($E81:P81,"u")+COUNTIF($E81:P81,"t"),
     INDEX(Roadmap!$D:$K,MATCH($E81,Roadmap!$D:$D,0)+COUNTIF($E81:P81,"u")+COUNTIF($E81:P81,"t")+COUNTIF($E81:P81,"¶")+COUNTIF($E81:P81,"²")+COUNTIF($E81:P81,"µ")+COUNTIF($E81:P81,1),ColTypeEcheance)),
  IF(LEN(P81)=1,
  IF(LEN(INDEX(Roadmap!$D:$K,MATCH($E81,Roadmap!$D:$D,0)-1+COUNTIF($E81:P81,"u")+COUNTIF($E81:P81,"t")+COUNTIF($E81:P81,"¶")+COUNTIF($E81:P81,"²")+COUNTIF($E81:P81,"µ")+COUNTIF($E81:P81,1),ColDescriptionCourte))&gt;1,
HYPERLINK("#Roadmap!C"&amp; MATCH($E81,Roadmap!$D:$D,0)+COUNTIF($E81:P81,"u")+COUNTIF($E81:P81,"t")+COUNTIF($E81:P81,"¶")+COUNTIF($E81:P81,"²")+COUNTIF($E81:P81,"µ")+COUNTIF($E81:P81,1)-1,INDEX(Roadmap!$D:$K,MATCH($E81,Roadmap!$D:$D,0)-1+COUNTIF($E81:P81,"u")+COUNTIF($E81:P81,"t")+COUNTIF($E81:P81,"¶")+COUNTIF($E81:P81,"²")+COUNTIF($E81:P81,"µ")+COUNTIF($E81:P81,1),ColDescriptionCourte)),""),
  "")),"")</f>
        <v/>
      </c>
      <c r="R81" s="40" t="str">
        <f ca="1">IFERROR(IF(AND(
  INDEX(Roadmap!$D:$K,MATCH($E81,Roadmap!$D:$D,0)+COUNTIF($E81:Q81,"u")+COUNTIF($E81:Q81,"t")+COUNTIF($E81:Q81,"¶")+COUNTIF($E81:Q81,"²")+COUNTIF($E81:Q81,"µ")+COUNTIF($E81:Q81,1),ColLivraison)=R$6,
  VLOOKUP($E81,INDIRECT("tri!"&amp; CHAR(64+ C0Col) &amp;":"&amp; CHAR(65+C0Col)),2,FALSE)&gt;COUNTIF($E81:Q81,"u")+COUNTIF($E81:Q81,"t")+COUNTIF($E81:Q81,"¶")+COUNTIF($E81:Q81,"²")+COUNTIF($E81:Q81,"µ")+COUNTIF($E81:Q81,1)),
HYPERLINK("#Roadmap!C"&amp; MATCH($E81,Roadmap!$D:$D,0)+COUNTIF($E81:Q81,"u")+COUNTIF($E81:Q81,"t"),
     INDEX(Roadmap!$D:$K,MATCH($E81,Roadmap!$D:$D,0)+COUNTIF($E81:Q81,"u")+COUNTIF($E81:Q81,"t")+COUNTIF($E81:Q81,"¶")+COUNTIF($E81:Q81,"²")+COUNTIF($E81:Q81,"µ")+COUNTIF($E81:Q81,1),ColTypeEcheance)),
  IF(LEN(Q81)=1,
  IF(LEN(INDEX(Roadmap!$D:$K,MATCH($E81,Roadmap!$D:$D,0)-1+COUNTIF($E81:Q81,"u")+COUNTIF($E81:Q81,"t")+COUNTIF($E81:Q81,"¶")+COUNTIF($E81:Q81,"²")+COUNTIF($E81:Q81,"µ")+COUNTIF($E81:Q81,1),ColDescriptionCourte))&gt;1,
HYPERLINK("#Roadmap!C"&amp; MATCH($E81,Roadmap!$D:$D,0)+COUNTIF($E81:Q81,"u")+COUNTIF($E81:Q81,"t")+COUNTIF($E81:Q81,"¶")+COUNTIF($E81:Q81,"²")+COUNTIF($E81:Q81,"µ")+COUNTIF($E81:Q81,1)-1,INDEX(Roadmap!$D:$K,MATCH($E81,Roadmap!$D:$D,0)-1+COUNTIF($E81:Q81,"u")+COUNTIF($E81:Q81,"t")+COUNTIF($E81:Q81,"¶")+COUNTIF($E81:Q81,"²")+COUNTIF($E81:Q81,"µ")+COUNTIF($E81:Q81,1),ColDescriptionCourte)),""),
  "")),"")</f>
        <v/>
      </c>
      <c r="S81" s="40" t="str">
        <f ca="1">IFERROR(IF(AND(
  INDEX(Roadmap!$D:$K,MATCH($E81,Roadmap!$D:$D,0)+COUNTIF($E81:R81,"u")+COUNTIF($E81:R81,"t")+COUNTIF($E81:R81,"¶")+COUNTIF($E81:R81,"²")+COUNTIF($E81:R81,"µ")+COUNTIF($E81:R81,1),ColLivraison)=S$6,
  VLOOKUP($E81,INDIRECT("tri!"&amp; CHAR(64+ C0Col) &amp;":"&amp; CHAR(65+C0Col)),2,FALSE)&gt;COUNTIF($E81:R81,"u")+COUNTIF($E81:R81,"t")+COUNTIF($E81:R81,"¶")+COUNTIF($E81:R81,"²")+COUNTIF($E81:R81,"µ")+COUNTIF($E81:R81,1)),
HYPERLINK("#Roadmap!C"&amp; MATCH($E81,Roadmap!$D:$D,0)+COUNTIF($E81:R81,"u")+COUNTIF($E81:R81,"t"),
     INDEX(Roadmap!$D:$K,MATCH($E81,Roadmap!$D:$D,0)+COUNTIF($E81:R81,"u")+COUNTIF($E81:R81,"t")+COUNTIF($E81:R81,"¶")+COUNTIF($E81:R81,"²")+COUNTIF($E81:R81,"µ")+COUNTIF($E81:R81,1),ColTypeEcheance)),
  IF(LEN(R81)=1,
  IF(LEN(INDEX(Roadmap!$D:$K,MATCH($E81,Roadmap!$D:$D,0)-1+COUNTIF($E81:R81,"u")+COUNTIF($E81:R81,"t")+COUNTIF($E81:R81,"¶")+COUNTIF($E81:R81,"²")+COUNTIF($E81:R81,"µ")+COUNTIF($E81:R81,1),ColDescriptionCourte))&gt;1,
HYPERLINK("#Roadmap!C"&amp; MATCH($E81,Roadmap!$D:$D,0)+COUNTIF($E81:R81,"u")+COUNTIF($E81:R81,"t")+COUNTIF($E81:R81,"¶")+COUNTIF($E81:R81,"²")+COUNTIF($E81:R81,"µ")+COUNTIF($E81:R81,1)-1,INDEX(Roadmap!$D:$K,MATCH($E81,Roadmap!$D:$D,0)-1+COUNTIF($E81:R81,"u")+COUNTIF($E81:R81,"t")+COUNTIF($E81:R81,"¶")+COUNTIF($E81:R81,"²")+COUNTIF($E81:R81,"µ")+COUNTIF($E81:R81,1),ColDescriptionCourte)),""),
  "")),"")</f>
        <v/>
      </c>
      <c r="T81" s="40" t="str">
        <f ca="1">IFERROR(IF(AND(
  INDEX(Roadmap!$D:$K,MATCH($E81,Roadmap!$D:$D,0)+COUNTIF($E81:S81,"u")+COUNTIF($E81:S81,"t")+COUNTIF($E81:S81,"¶")+COUNTIF($E81:S81,"²")+COUNTIF($E81:S81,"µ")+COUNTIF($E81:S81,1),ColLivraison)=T$6,
  VLOOKUP($E81,INDIRECT("tri!"&amp; CHAR(64+ C0Col) &amp;":"&amp; CHAR(65+C0Col)),2,FALSE)&gt;COUNTIF($E81:S81,"u")+COUNTIF($E81:S81,"t")+COUNTIF($E81:S81,"¶")+COUNTIF($E81:S81,"²")+COUNTIF($E81:S81,"µ")+COUNTIF($E81:S81,1)),
HYPERLINK("#Roadmap!C"&amp; MATCH($E81,Roadmap!$D:$D,0)+COUNTIF($E81:S81,"u")+COUNTIF($E81:S81,"t"),
     INDEX(Roadmap!$D:$K,MATCH($E81,Roadmap!$D:$D,0)+COUNTIF($E81:S81,"u")+COUNTIF($E81:S81,"t")+COUNTIF($E81:S81,"¶")+COUNTIF($E81:S81,"²")+COUNTIF($E81:S81,"µ")+COUNTIF($E81:S81,1),ColTypeEcheance)),
  IF(LEN(S81)=1,
  IF(LEN(INDEX(Roadmap!$D:$K,MATCH($E81,Roadmap!$D:$D,0)-1+COUNTIF($E81:S81,"u")+COUNTIF($E81:S81,"t")+COUNTIF($E81:S81,"¶")+COUNTIF($E81:S81,"²")+COUNTIF($E81:S81,"µ")+COUNTIF($E81:S81,1),ColDescriptionCourte))&gt;1,
HYPERLINK("#Roadmap!C"&amp; MATCH($E81,Roadmap!$D:$D,0)+COUNTIF($E81:S81,"u")+COUNTIF($E81:S81,"t")+COUNTIF($E81:S81,"¶")+COUNTIF($E81:S81,"²")+COUNTIF($E81:S81,"µ")+COUNTIF($E81:S81,1)-1,INDEX(Roadmap!$D:$K,MATCH($E81,Roadmap!$D:$D,0)-1+COUNTIF($E81:S81,"u")+COUNTIF($E81:S81,"t")+COUNTIF($E81:S81,"¶")+COUNTIF($E81:S81,"²")+COUNTIF($E81:S81,"µ")+COUNTIF($E81:S81,1),ColDescriptionCourte)),""),
  "")),"")</f>
        <v/>
      </c>
      <c r="U81" s="40" t="str">
        <f ca="1">IFERROR(IF(AND(
  INDEX(Roadmap!$D:$K,MATCH($E81,Roadmap!$D:$D,0)+COUNTIF($E81:T81,"u")+COUNTIF($E81:T81,"t")+COUNTIF($E81:T81,"¶")+COUNTIF($E81:T81,"²")+COUNTIF($E81:T81,"µ")+COUNTIF($E81:T81,1),ColLivraison)=U$6,
  VLOOKUP($E81,INDIRECT("tri!"&amp; CHAR(64+ C0Col) &amp;":"&amp; CHAR(65+C0Col)),2,FALSE)&gt;COUNTIF($E81:T81,"u")+COUNTIF($E81:T81,"t")+COUNTIF($E81:T81,"¶")+COUNTIF($E81:T81,"²")+COUNTIF($E81:T81,"µ")+COUNTIF($E81:T81,1)),
HYPERLINK("#Roadmap!C"&amp; MATCH($E81,Roadmap!$D:$D,0)+COUNTIF($E81:T81,"u")+COUNTIF($E81:T81,"t"),
     INDEX(Roadmap!$D:$K,MATCH($E81,Roadmap!$D:$D,0)+COUNTIF($E81:T81,"u")+COUNTIF($E81:T81,"t")+COUNTIF($E81:T81,"¶")+COUNTIF($E81:T81,"²")+COUNTIF($E81:T81,"µ")+COUNTIF($E81:T81,1),ColTypeEcheance)),
  IF(LEN(T81)=1,
  IF(LEN(INDEX(Roadmap!$D:$K,MATCH($E81,Roadmap!$D:$D,0)-1+COUNTIF($E81:T81,"u")+COUNTIF($E81:T81,"t")+COUNTIF($E81:T81,"¶")+COUNTIF($E81:T81,"²")+COUNTIF($E81:T81,"µ")+COUNTIF($E81:T81,1),ColDescriptionCourte))&gt;1,
HYPERLINK("#Roadmap!C"&amp; MATCH($E81,Roadmap!$D:$D,0)+COUNTIF($E81:T81,"u")+COUNTIF($E81:T81,"t")+COUNTIF($E81:T81,"¶")+COUNTIF($E81:T81,"²")+COUNTIF($E81:T81,"µ")+COUNTIF($E81:T81,1)-1,INDEX(Roadmap!$D:$K,MATCH($E81,Roadmap!$D:$D,0)-1+COUNTIF($E81:T81,"u")+COUNTIF($E81:T81,"t")+COUNTIF($E81:T81,"¶")+COUNTIF($E81:T81,"²")+COUNTIF($E81:T81,"µ")+COUNTIF($E81:T81,1),ColDescriptionCourte)),""),
  "")),"")</f>
        <v/>
      </c>
      <c r="V81" s="40" t="str">
        <f ca="1">IFERROR(IF(AND(
  INDEX(Roadmap!$D:$K,MATCH($E81,Roadmap!$D:$D,0)+COUNTIF($E81:U81,"u")+COUNTIF($E81:U81,"t")+COUNTIF($E81:U81,"¶")+COUNTIF($E81:U81,"²")+COUNTIF($E81:U81,"µ")+COUNTIF($E81:U81,1),ColLivraison)=V$6,
  VLOOKUP($E81,INDIRECT("tri!"&amp; CHAR(64+ C0Col) &amp;":"&amp; CHAR(65+C0Col)),2,FALSE)&gt;COUNTIF($E81:U81,"u")+COUNTIF($E81:U81,"t")+COUNTIF($E81:U81,"¶")+COUNTIF($E81:U81,"²")+COUNTIF($E81:U81,"µ")+COUNTIF($E81:U81,1)),
HYPERLINK("#Roadmap!C"&amp; MATCH($E81,Roadmap!$D:$D,0)+COUNTIF($E81:U81,"u")+COUNTIF($E81:U81,"t"),
     INDEX(Roadmap!$D:$K,MATCH($E81,Roadmap!$D:$D,0)+COUNTIF($E81:U81,"u")+COUNTIF($E81:U81,"t")+COUNTIF($E81:U81,"¶")+COUNTIF($E81:U81,"²")+COUNTIF($E81:U81,"µ")+COUNTIF($E81:U81,1),ColTypeEcheance)),
  IF(LEN(U81)=1,
  IF(LEN(INDEX(Roadmap!$D:$K,MATCH($E81,Roadmap!$D:$D,0)-1+COUNTIF($E81:U81,"u")+COUNTIF($E81:U81,"t")+COUNTIF($E81:U81,"¶")+COUNTIF($E81:U81,"²")+COUNTIF($E81:U81,"µ")+COUNTIF($E81:U81,1),ColDescriptionCourte))&gt;1,
HYPERLINK("#Roadmap!C"&amp; MATCH($E81,Roadmap!$D:$D,0)+COUNTIF($E81:U81,"u")+COUNTIF($E81:U81,"t")+COUNTIF($E81:U81,"¶")+COUNTIF($E81:U81,"²")+COUNTIF($E81:U81,"µ")+COUNTIF($E81:U81,1)-1,INDEX(Roadmap!$D:$K,MATCH($E81,Roadmap!$D:$D,0)-1+COUNTIF($E81:U81,"u")+COUNTIF($E81:U81,"t")+COUNTIF($E81:U81,"¶")+COUNTIF($E81:U81,"²")+COUNTIF($E81:U81,"µ")+COUNTIF($E81:U81,1),ColDescriptionCourte)),""),
  "")),"")</f>
        <v/>
      </c>
      <c r="W81" s="40" t="str">
        <f ca="1">IFERROR(IF(AND(
  INDEX(Roadmap!$D:$K,MATCH($E81,Roadmap!$D:$D,0)+COUNTIF($E81:V81,"u")+COUNTIF($E81:V81,"t")+COUNTIF($E81:V81,"¶")+COUNTIF($E81:V81,"²")+COUNTIF($E81:V81,"µ")+COUNTIF($E81:V81,1),ColLivraison)=W$6,
  VLOOKUP($E81,INDIRECT("tri!"&amp; CHAR(64+ C0Col) &amp;":"&amp; CHAR(65+C0Col)),2,FALSE)&gt;COUNTIF($E81:V81,"u")+COUNTIF($E81:V81,"t")+COUNTIF($E81:V81,"¶")+COUNTIF($E81:V81,"²")+COUNTIF($E81:V81,"µ")+COUNTIF($E81:V81,1)),
HYPERLINK("#Roadmap!C"&amp; MATCH($E81,Roadmap!$D:$D,0)+COUNTIF($E81:V81,"u")+COUNTIF($E81:V81,"t"),
     INDEX(Roadmap!$D:$K,MATCH($E81,Roadmap!$D:$D,0)+COUNTIF($E81:V81,"u")+COUNTIF($E81:V81,"t")+COUNTIF($E81:V81,"¶")+COUNTIF($E81:V81,"²")+COUNTIF($E81:V81,"µ")+COUNTIF($E81:V81,1),ColTypeEcheance)),
  IF(LEN(V81)=1,
  IF(LEN(INDEX(Roadmap!$D:$K,MATCH($E81,Roadmap!$D:$D,0)-1+COUNTIF($E81:V81,"u")+COUNTIF($E81:V81,"t")+COUNTIF($E81:V81,"¶")+COUNTIF($E81:V81,"²")+COUNTIF($E81:V81,"µ")+COUNTIF($E81:V81,1),ColDescriptionCourte))&gt;1,
HYPERLINK("#Roadmap!C"&amp; MATCH($E81,Roadmap!$D:$D,0)+COUNTIF($E81:V81,"u")+COUNTIF($E81:V81,"t")+COUNTIF($E81:V81,"¶")+COUNTIF($E81:V81,"²")+COUNTIF($E81:V81,"µ")+COUNTIF($E81:V81,1)-1,INDEX(Roadmap!$D:$K,MATCH($E81,Roadmap!$D:$D,0)-1+COUNTIF($E81:V81,"u")+COUNTIF($E81:V81,"t")+COUNTIF($E81:V81,"¶")+COUNTIF($E81:V81,"²")+COUNTIF($E81:V81,"µ")+COUNTIF($E81:V81,1),ColDescriptionCourte)),""),
  "")),"")</f>
        <v/>
      </c>
      <c r="X81" s="40" t="str">
        <f ca="1">IFERROR(IF(AND(
  INDEX(Roadmap!$D:$K,MATCH($E81,Roadmap!$D:$D,0)+COUNTIF($E81:W81,"u")+COUNTIF($E81:W81,"t")+COUNTIF($E81:W81,"¶")+COUNTIF($E81:W81,"²")+COUNTIF($E81:W81,"µ")+COUNTIF($E81:W81,1),ColLivraison)=X$6,
  VLOOKUP($E81,INDIRECT("tri!"&amp; CHAR(64+ C0Col) &amp;":"&amp; CHAR(65+C0Col)),2,FALSE)&gt;COUNTIF($E81:W81,"u")+COUNTIF($E81:W81,"t")+COUNTIF($E81:W81,"¶")+COUNTIF($E81:W81,"²")+COUNTIF($E81:W81,"µ")+COUNTIF($E81:W81,1)),
HYPERLINK("#Roadmap!C"&amp; MATCH($E81,Roadmap!$D:$D,0)+COUNTIF($E81:W81,"u")+COUNTIF($E81:W81,"t"),
     INDEX(Roadmap!$D:$K,MATCH($E81,Roadmap!$D:$D,0)+COUNTIF($E81:W81,"u")+COUNTIF($E81:W81,"t")+COUNTIF($E81:W81,"¶")+COUNTIF($E81:W81,"²")+COUNTIF($E81:W81,"µ")+COUNTIF($E81:W81,1),ColTypeEcheance)),
  IF(LEN(W81)=1,
  IF(LEN(INDEX(Roadmap!$D:$K,MATCH($E81,Roadmap!$D:$D,0)-1+COUNTIF($E81:W81,"u")+COUNTIF($E81:W81,"t")+COUNTIF($E81:W81,"¶")+COUNTIF($E81:W81,"²")+COUNTIF($E81:W81,"µ")+COUNTIF($E81:W81,1),ColDescriptionCourte))&gt;1,
HYPERLINK("#Roadmap!C"&amp; MATCH($E81,Roadmap!$D:$D,0)+COUNTIF($E81:W81,"u")+COUNTIF($E81:W81,"t")+COUNTIF($E81:W81,"¶")+COUNTIF($E81:W81,"²")+COUNTIF($E81:W81,"µ")+COUNTIF($E81:W81,1)-1,INDEX(Roadmap!$D:$K,MATCH($E81,Roadmap!$D:$D,0)-1+COUNTIF($E81:W81,"u")+COUNTIF($E81:W81,"t")+COUNTIF($E81:W81,"¶")+COUNTIF($E81:W81,"²")+COUNTIF($E81:W81,"µ")+COUNTIF($E81:W81,1),ColDescriptionCourte)),""),
  "")),"")</f>
        <v/>
      </c>
      <c r="Y81" s="40" t="str">
        <f ca="1">IFERROR(IF(AND(
  INDEX(Roadmap!$D:$K,MATCH($E81,Roadmap!$D:$D,0)+COUNTIF($E81:X81,"u")+COUNTIF($E81:X81,"t")+COUNTIF($E81:X81,"¶")+COUNTIF($E81:X81,"²")+COUNTIF($E81:X81,"µ")+COUNTIF($E81:X81,1),ColLivraison)=Y$6,
  VLOOKUP($E81,INDIRECT("tri!"&amp; CHAR(64+ C0Col) &amp;":"&amp; CHAR(65+C0Col)),2,FALSE)&gt;COUNTIF($E81:X81,"u")+COUNTIF($E81:X81,"t")+COUNTIF($E81:X81,"¶")+COUNTIF($E81:X81,"²")+COUNTIF($E81:X81,"µ")+COUNTIF($E81:X81,1)),
HYPERLINK("#Roadmap!C"&amp; MATCH($E81,Roadmap!$D:$D,0)+COUNTIF($E81:X81,"u")+COUNTIF($E81:X81,"t"),
     INDEX(Roadmap!$D:$K,MATCH($E81,Roadmap!$D:$D,0)+COUNTIF($E81:X81,"u")+COUNTIF($E81:X81,"t")+COUNTIF($E81:X81,"¶")+COUNTIF($E81:X81,"²")+COUNTIF($E81:X81,"µ")+COUNTIF($E81:X81,1),ColTypeEcheance)),
  IF(LEN(X81)=1,
  IF(LEN(INDEX(Roadmap!$D:$K,MATCH($E81,Roadmap!$D:$D,0)-1+COUNTIF($E81:X81,"u")+COUNTIF($E81:X81,"t")+COUNTIF($E81:X81,"¶")+COUNTIF($E81:X81,"²")+COUNTIF($E81:X81,"µ")+COUNTIF($E81:X81,1),ColDescriptionCourte))&gt;1,
HYPERLINK("#Roadmap!C"&amp; MATCH($E81,Roadmap!$D:$D,0)+COUNTIF($E81:X81,"u")+COUNTIF($E81:X81,"t")+COUNTIF($E81:X81,"¶")+COUNTIF($E81:X81,"²")+COUNTIF($E81:X81,"µ")+COUNTIF($E81:X81,1)-1,INDEX(Roadmap!$D:$K,MATCH($E81,Roadmap!$D:$D,0)-1+COUNTIF($E81:X81,"u")+COUNTIF($E81:X81,"t")+COUNTIF($E81:X81,"¶")+COUNTIF($E81:X81,"²")+COUNTIF($E81:X81,"µ")+COUNTIF($E81:X81,1),ColDescriptionCourte)),""),
  "")),"")</f>
        <v/>
      </c>
      <c r="Z81" s="40" t="str">
        <f ca="1">IFERROR(IF(AND(
  INDEX(Roadmap!$D:$K,MATCH($E81,Roadmap!$D:$D,0)+COUNTIF($E81:Y81,"u")+COUNTIF($E81:Y81,"t")+COUNTIF($E81:Y81,"¶")+COUNTIF($E81:Y81,"²")+COUNTIF($E81:Y81,"µ")+COUNTIF($E81:Y81,1),ColLivraison)=Z$6,
  VLOOKUP($E81,INDIRECT("tri!"&amp; CHAR(64+ C0Col) &amp;":"&amp; CHAR(65+C0Col)),2,FALSE)&gt;COUNTIF($E81:Y81,"u")+COUNTIF($E81:Y81,"t")+COUNTIF($E81:Y81,"¶")+COUNTIF($E81:Y81,"²")+COUNTIF($E81:Y81,"µ")+COUNTIF($E81:Y81,1)),
HYPERLINK("#Roadmap!C"&amp; MATCH($E81,Roadmap!$D:$D,0)+COUNTIF($E81:Y81,"u")+COUNTIF($E81:Y81,"t"),
     INDEX(Roadmap!$D:$K,MATCH($E81,Roadmap!$D:$D,0)+COUNTIF($E81:Y81,"u")+COUNTIF($E81:Y81,"t")+COUNTIF($E81:Y81,"¶")+COUNTIF($E81:Y81,"²")+COUNTIF($E81:Y81,"µ")+COUNTIF($E81:Y81,1),ColTypeEcheance)),
  IF(LEN(Y81)=1,
  IF(LEN(INDEX(Roadmap!$D:$K,MATCH($E81,Roadmap!$D:$D,0)-1+COUNTIF($E81:Y81,"u")+COUNTIF($E81:Y81,"t")+COUNTIF($E81:Y81,"¶")+COUNTIF($E81:Y81,"²")+COUNTIF($E81:Y81,"µ")+COUNTIF($E81:Y81,1),ColDescriptionCourte))&gt;1,
HYPERLINK("#Roadmap!C"&amp; MATCH($E81,Roadmap!$D:$D,0)+COUNTIF($E81:Y81,"u")+COUNTIF($E81:Y81,"t")+COUNTIF($E81:Y81,"¶")+COUNTIF($E81:Y81,"²")+COUNTIF($E81:Y81,"µ")+COUNTIF($E81:Y81,1)-1,INDEX(Roadmap!$D:$K,MATCH($E81,Roadmap!$D:$D,0)-1+COUNTIF($E81:Y81,"u")+COUNTIF($E81:Y81,"t")+COUNTIF($E81:Y81,"¶")+COUNTIF($E81:Y81,"²")+COUNTIF($E81:Y81,"µ")+COUNTIF($E81:Y81,1),ColDescriptionCourte)),""),
  "")),"")</f>
        <v/>
      </c>
      <c r="AA81" s="40" t="str">
        <f ca="1">IFERROR(IF(AND(
  INDEX(Roadmap!$D:$K,MATCH($E81,Roadmap!$D:$D,0)+COUNTIF($E81:Z81,"u")+COUNTIF($E81:Z81,"t")+COUNTIF($E81:Z81,"¶")+COUNTIF($E81:Z81,"²")+COUNTIF($E81:Z81,"µ")+COUNTIF($E81:Z81,1),ColLivraison)=AA$6,
  VLOOKUP($E81,INDIRECT("tri!"&amp; CHAR(64+ C0Col) &amp;":"&amp; CHAR(65+C0Col)),2,FALSE)&gt;COUNTIF($E81:Z81,"u")+COUNTIF($E81:Z81,"t")+COUNTIF($E81:Z81,"¶")+COUNTIF($E81:Z81,"²")+COUNTIF($E81:Z81,"µ")+COUNTIF($E81:Z81,1)),
HYPERLINK("#Roadmap!C"&amp; MATCH($E81,Roadmap!$D:$D,0)+COUNTIF($E81:Z81,"u")+COUNTIF($E81:Z81,"t"),
     INDEX(Roadmap!$D:$K,MATCH($E81,Roadmap!$D:$D,0)+COUNTIF($E81:Z81,"u")+COUNTIF($E81:Z81,"t")+COUNTIF($E81:Z81,"¶")+COUNTIF($E81:Z81,"²")+COUNTIF($E81:Z81,"µ")+COUNTIF($E81:Z81,1),ColTypeEcheance)),
  IF(LEN(Z81)=1,
  IF(LEN(INDEX(Roadmap!$D:$K,MATCH($E81,Roadmap!$D:$D,0)-1+COUNTIF($E81:Z81,"u")+COUNTIF($E81:Z81,"t")+COUNTIF($E81:Z81,"¶")+COUNTIF($E81:Z81,"²")+COUNTIF($E81:Z81,"µ")+COUNTIF($E81:Z81,1),ColDescriptionCourte))&gt;1,
HYPERLINK("#Roadmap!C"&amp; MATCH($E81,Roadmap!$D:$D,0)+COUNTIF($E81:Z81,"u")+COUNTIF($E81:Z81,"t")+COUNTIF($E81:Z81,"¶")+COUNTIF($E81:Z81,"²")+COUNTIF($E81:Z81,"µ")+COUNTIF($E81:Z81,1)-1,INDEX(Roadmap!$D:$K,MATCH($E81,Roadmap!$D:$D,0)-1+COUNTIF($E81:Z81,"u")+COUNTIF($E81:Z81,"t")+COUNTIF($E81:Z81,"¶")+COUNTIF($E81:Z81,"²")+COUNTIF($E81:Z81,"µ")+COUNTIF($E81:Z81,1),ColDescriptionCourte)),""),
  "")),"")</f>
        <v/>
      </c>
      <c r="AB81" s="40" t="str">
        <f ca="1">IFERROR(IF(AND(
  INDEX(Roadmap!$D:$K,MATCH($E81,Roadmap!$D:$D,0)+COUNTIF($E81:AA81,"u")+COUNTIF($E81:AA81,"t")+COUNTIF($E81:AA81,"¶")+COUNTIF($E81:AA81,"²")+COUNTIF($E81:AA81,"µ")+COUNTIF($E81:AA81,1),ColLivraison)=AB$6,
  VLOOKUP($E81,INDIRECT("tri!"&amp; CHAR(64+ C0Col) &amp;":"&amp; CHAR(65+C0Col)),2,FALSE)&gt;COUNTIF($E81:AA81,"u")+COUNTIF($E81:AA81,"t")+COUNTIF($E81:AA81,"¶")+COUNTIF($E81:AA81,"²")+COUNTIF($E81:AA81,"µ")+COUNTIF($E81:AA81,1)),
HYPERLINK("#Roadmap!C"&amp; MATCH($E81,Roadmap!$D:$D,0)+COUNTIF($E81:AA81,"u")+COUNTIF($E81:AA81,"t"),
     INDEX(Roadmap!$D:$K,MATCH($E81,Roadmap!$D:$D,0)+COUNTIF($E81:AA81,"u")+COUNTIF($E81:AA81,"t")+COUNTIF($E81:AA81,"¶")+COUNTIF($E81:AA81,"²")+COUNTIF($E81:AA81,"µ")+COUNTIF($E81:AA81,1),ColTypeEcheance)),
  IF(LEN(AA81)=1,
  IF(LEN(INDEX(Roadmap!$D:$K,MATCH($E81,Roadmap!$D:$D,0)-1+COUNTIF($E81:AA81,"u")+COUNTIF($E81:AA81,"t")+COUNTIF($E81:AA81,"¶")+COUNTIF($E81:AA81,"²")+COUNTIF($E81:AA81,"µ")+COUNTIF($E81:AA81,1),ColDescriptionCourte))&gt;1,
HYPERLINK("#Roadmap!C"&amp; MATCH($E81,Roadmap!$D:$D,0)+COUNTIF($E81:AA81,"u")+COUNTIF($E81:AA81,"t")+COUNTIF($E81:AA81,"¶")+COUNTIF($E81:AA81,"²")+COUNTIF($E81:AA81,"µ")+COUNTIF($E81:AA81,1)-1,INDEX(Roadmap!$D:$K,MATCH($E81,Roadmap!$D:$D,0)-1+COUNTIF($E81:AA81,"u")+COUNTIF($E81:AA81,"t")+COUNTIF($E81:AA81,"¶")+COUNTIF($E81:AA81,"²")+COUNTIF($E81:AA81,"µ")+COUNTIF($E81:AA81,1),ColDescriptionCourte)),""),
  "")),"")</f>
        <v/>
      </c>
      <c r="AC81" s="40" t="str">
        <f ca="1">IFERROR(IF(AND(
  INDEX(Roadmap!$D:$K,MATCH($E81,Roadmap!$D:$D,0)+COUNTIF($E81:AB81,"u")+COUNTIF($E81:AB81,"t")+COUNTIF($E81:AB81,"¶")+COUNTIF($E81:AB81,"²")+COUNTIF($E81:AB81,"µ")+COUNTIF($E81:AB81,1),ColLivraison)=AC$6,
  VLOOKUP($E81,INDIRECT("tri!"&amp; CHAR(64+ C0Col) &amp;":"&amp; CHAR(65+C0Col)),2,FALSE)&gt;COUNTIF($E81:AB81,"u")+COUNTIF($E81:AB81,"t")+COUNTIF($E81:AB81,"¶")+COUNTIF($E81:AB81,"²")+COUNTIF($E81:AB81,"µ")+COUNTIF($E81:AB81,1)),
HYPERLINK("#Roadmap!C"&amp; MATCH($E81,Roadmap!$D:$D,0)+COUNTIF($E81:AB81,"u")+COUNTIF($E81:AB81,"t"),
     INDEX(Roadmap!$D:$K,MATCH($E81,Roadmap!$D:$D,0)+COUNTIF($E81:AB81,"u")+COUNTIF($E81:AB81,"t")+COUNTIF($E81:AB81,"¶")+COUNTIF($E81:AB81,"²")+COUNTIF($E81:AB81,"µ")+COUNTIF($E81:AB81,1),ColTypeEcheance)),
  IF(LEN(AB81)=1,
  IF(LEN(INDEX(Roadmap!$D:$K,MATCH($E81,Roadmap!$D:$D,0)-1+COUNTIF($E81:AB81,"u")+COUNTIF($E81:AB81,"t")+COUNTIF($E81:AB81,"¶")+COUNTIF($E81:AB81,"²")+COUNTIF($E81:AB81,"µ")+COUNTIF($E81:AB81,1),ColDescriptionCourte))&gt;1,
HYPERLINK("#Roadmap!C"&amp; MATCH($E81,Roadmap!$D:$D,0)+COUNTIF($E81:AB81,"u")+COUNTIF($E81:AB81,"t")+COUNTIF($E81:AB81,"¶")+COUNTIF($E81:AB81,"²")+COUNTIF($E81:AB81,"µ")+COUNTIF($E81:AB81,1)-1,INDEX(Roadmap!$D:$K,MATCH($E81,Roadmap!$D:$D,0)-1+COUNTIF($E81:AB81,"u")+COUNTIF($E81:AB81,"t")+COUNTIF($E81:AB81,"¶")+COUNTIF($E81:AB81,"²")+COUNTIF($E81:AB81,"µ")+COUNTIF($E81:AB81,1),ColDescriptionCourte)),""),
  "")),"")</f>
        <v/>
      </c>
      <c r="AD81" s="40" t="str">
        <f ca="1">IFERROR(IF(AND(
  INDEX(Roadmap!$D:$K,MATCH($E81,Roadmap!$D:$D,0)+COUNTIF($E81:AC81,"u")+COUNTIF($E81:AC81,"t")+COUNTIF($E81:AC81,"¶")+COUNTIF($E81:AC81,"²")+COUNTIF($E81:AC81,"µ")+COUNTIF($E81:AC81,1),ColLivraison)=AD$6,
  VLOOKUP($E81,INDIRECT("tri!"&amp; CHAR(64+ C0Col) &amp;":"&amp; CHAR(65+C0Col)),2,FALSE)&gt;COUNTIF($E81:AC81,"u")+COUNTIF($E81:AC81,"t")+COUNTIF($E81:AC81,"¶")+COUNTIF($E81:AC81,"²")+COUNTIF($E81:AC81,"µ")+COUNTIF($E81:AC81,1)),
HYPERLINK("#Roadmap!C"&amp; MATCH($E81,Roadmap!$D:$D,0)+COUNTIF($E81:AC81,"u")+COUNTIF($E81:AC81,"t"),
     INDEX(Roadmap!$D:$K,MATCH($E81,Roadmap!$D:$D,0)+COUNTIF($E81:AC81,"u")+COUNTIF($E81:AC81,"t")+COUNTIF($E81:AC81,"¶")+COUNTIF($E81:AC81,"²")+COUNTIF($E81:AC81,"µ")+COUNTIF($E81:AC81,1),ColTypeEcheance)),
  IF(LEN(AC81)=1,
  IF(LEN(INDEX(Roadmap!$D:$K,MATCH($E81,Roadmap!$D:$D,0)-1+COUNTIF($E81:AC81,"u")+COUNTIF($E81:AC81,"t")+COUNTIF($E81:AC81,"¶")+COUNTIF($E81:AC81,"²")+COUNTIF($E81:AC81,"µ")+COUNTIF($E81:AC81,1),ColDescriptionCourte))&gt;1,
HYPERLINK("#Roadmap!C"&amp; MATCH($E81,Roadmap!$D:$D,0)+COUNTIF($E81:AC81,"u")+COUNTIF($E81:AC81,"t")+COUNTIF($E81:AC81,"¶")+COUNTIF($E81:AC81,"²")+COUNTIF($E81:AC81,"µ")+COUNTIF($E81:AC81,1)-1,INDEX(Roadmap!$D:$K,MATCH($E81,Roadmap!$D:$D,0)-1+COUNTIF($E81:AC81,"u")+COUNTIF($E81:AC81,"t")+COUNTIF($E81:AC81,"¶")+COUNTIF($E81:AC81,"²")+COUNTIF($E81:AC81,"µ")+COUNTIF($E81:AC81,1),ColDescriptionCourte)),""),
  "")),"")</f>
        <v/>
      </c>
      <c r="AE81" s="40" t="str">
        <f ca="1">IFERROR(IF(AND(
  INDEX(Roadmap!$D:$K,MATCH($E81,Roadmap!$D:$D,0)+COUNTIF($E81:AD81,"u")+COUNTIF($E81:AD81,"t")+COUNTIF($E81:AD81,"¶")+COUNTIF($E81:AD81,"²")+COUNTIF($E81:AD81,"µ")+COUNTIF($E81:AD81,1),ColLivraison)=AE$6,
  VLOOKUP($E81,INDIRECT("tri!"&amp; CHAR(64+ C0Col) &amp;":"&amp; CHAR(65+C0Col)),2,FALSE)&gt;COUNTIF($E81:AD81,"u")+COUNTIF($E81:AD81,"t")+COUNTIF($E81:AD81,"¶")+COUNTIF($E81:AD81,"²")+COUNTIF($E81:AD81,"µ")+COUNTIF($E81:AD81,1)),
HYPERLINK("#Roadmap!C"&amp; MATCH($E81,Roadmap!$D:$D,0)+COUNTIF($E81:AD81,"u")+COUNTIF($E81:AD81,"t"),
     INDEX(Roadmap!$D:$K,MATCH($E81,Roadmap!$D:$D,0)+COUNTIF($E81:AD81,"u")+COUNTIF($E81:AD81,"t")+COUNTIF($E81:AD81,"¶")+COUNTIF($E81:AD81,"²")+COUNTIF($E81:AD81,"µ")+COUNTIF($E81:AD81,1),ColTypeEcheance)),
  IF(LEN(AD81)=1,
  IF(LEN(INDEX(Roadmap!$D:$K,MATCH($E81,Roadmap!$D:$D,0)-1+COUNTIF($E81:AD81,"u")+COUNTIF($E81:AD81,"t")+COUNTIF($E81:AD81,"¶")+COUNTIF($E81:AD81,"²")+COUNTIF($E81:AD81,"µ")+COUNTIF($E81:AD81,1),ColDescriptionCourte))&gt;1,
HYPERLINK("#Roadmap!C"&amp; MATCH($E81,Roadmap!$D:$D,0)+COUNTIF($E81:AD81,"u")+COUNTIF($E81:AD81,"t")+COUNTIF($E81:AD81,"¶")+COUNTIF($E81:AD81,"²")+COUNTIF($E81:AD81,"µ")+COUNTIF($E81:AD81,1)-1,INDEX(Roadmap!$D:$K,MATCH($E81,Roadmap!$D:$D,0)-1+COUNTIF($E81:AD81,"u")+COUNTIF($E81:AD81,"t")+COUNTIF($E81:AD81,"¶")+COUNTIF($E81:AD81,"²")+COUNTIF($E81:AD81,"µ")+COUNTIF($E81:AD81,1),ColDescriptionCourte)),""),
  "")),"")</f>
        <v/>
      </c>
      <c r="AF81" s="40" t="str">
        <f ca="1">IFERROR(IF(AND(
  INDEX(Roadmap!$D:$K,MATCH($E81,Roadmap!$D:$D,0)+COUNTIF($E81:AE81,"u")+COUNTIF($E81:AE81,"t")+COUNTIF($E81:AE81,"¶")+COUNTIF($E81:AE81,"²")+COUNTIF($E81:AE81,"µ")+COUNTIF($E81:AE81,1),ColLivraison)=AF$6,
  VLOOKUP($E81,INDIRECT("tri!"&amp; CHAR(64+ C0Col) &amp;":"&amp; CHAR(65+C0Col)),2,FALSE)&gt;COUNTIF($E81:AE81,"u")+COUNTIF($E81:AE81,"t")+COUNTIF($E81:AE81,"¶")+COUNTIF($E81:AE81,"²")+COUNTIF($E81:AE81,"µ")+COUNTIF($E81:AE81,1)),
HYPERLINK("#Roadmap!C"&amp; MATCH($E81,Roadmap!$D:$D,0)+COUNTIF($E81:AE81,"u")+COUNTIF($E81:AE81,"t"),
     INDEX(Roadmap!$D:$K,MATCH($E81,Roadmap!$D:$D,0)+COUNTIF($E81:AE81,"u")+COUNTIF($E81:AE81,"t")+COUNTIF($E81:AE81,"¶")+COUNTIF($E81:AE81,"²")+COUNTIF($E81:AE81,"µ")+COUNTIF($E81:AE81,1),ColTypeEcheance)),
  IF(LEN(AE81)=1,
  IF(LEN(INDEX(Roadmap!$D:$K,MATCH($E81,Roadmap!$D:$D,0)-1+COUNTIF($E81:AE81,"u")+COUNTIF($E81:AE81,"t")+COUNTIF($E81:AE81,"¶")+COUNTIF($E81:AE81,"²")+COUNTIF($E81:AE81,"µ")+COUNTIF($E81:AE81,1),ColDescriptionCourte))&gt;1,
HYPERLINK("#Roadmap!C"&amp; MATCH($E81,Roadmap!$D:$D,0)+COUNTIF($E81:AE81,"u")+COUNTIF($E81:AE81,"t")+COUNTIF($E81:AE81,"¶")+COUNTIF($E81:AE81,"²")+COUNTIF($E81:AE81,"µ")+COUNTIF($E81:AE81,1)-1,INDEX(Roadmap!$D:$K,MATCH($E81,Roadmap!$D:$D,0)-1+COUNTIF($E81:AE81,"u")+COUNTIF($E81:AE81,"t")+COUNTIF($E81:AE81,"¶")+COUNTIF($E81:AE81,"²")+COUNTIF($E81:AE81,"µ")+COUNTIF($E81:AE81,1),ColDescriptionCourte)),""),
  "")),"")</f>
        <v/>
      </c>
      <c r="AG81" s="40" t="str">
        <f ca="1">IFERROR(IF(AND(
  INDEX(Roadmap!$D:$K,MATCH($E81,Roadmap!$D:$D,0)+COUNTIF($E81:AF81,"u")+COUNTIF($E81:AF81,"t")+COUNTIF($E81:AF81,"¶")+COUNTIF($E81:AF81,"²")+COUNTIF($E81:AF81,"µ")+COUNTIF($E81:AF81,1),ColLivraison)=AG$6,
  VLOOKUP($E81,INDIRECT("tri!"&amp; CHAR(64+ C0Col) &amp;":"&amp; CHAR(65+C0Col)),2,FALSE)&gt;COUNTIF($E81:AF81,"u")+COUNTIF($E81:AF81,"t")+COUNTIF($E81:AF81,"¶")+COUNTIF($E81:AF81,"²")+COUNTIF($E81:AF81,"µ")+COUNTIF($E81:AF81,1)),
HYPERLINK("#Roadmap!C"&amp; MATCH($E81,Roadmap!$D:$D,0)+COUNTIF($E81:AF81,"u")+COUNTIF($E81:AF81,"t"),
     INDEX(Roadmap!$D:$K,MATCH($E81,Roadmap!$D:$D,0)+COUNTIF($E81:AF81,"u")+COUNTIF($E81:AF81,"t")+COUNTIF($E81:AF81,"¶")+COUNTIF($E81:AF81,"²")+COUNTIF($E81:AF81,"µ")+COUNTIF($E81:AF81,1),ColTypeEcheance)),
  IF(LEN(AF81)=1,
  IF(LEN(INDEX(Roadmap!$D:$K,MATCH($E81,Roadmap!$D:$D,0)-1+COUNTIF($E81:AF81,"u")+COUNTIF($E81:AF81,"t")+COUNTIF($E81:AF81,"¶")+COUNTIF($E81:AF81,"²")+COUNTIF($E81:AF81,"µ")+COUNTIF($E81:AF81,1),ColDescriptionCourte))&gt;1,
HYPERLINK("#Roadmap!C"&amp; MATCH($E81,Roadmap!$D:$D,0)+COUNTIF($E81:AF81,"u")+COUNTIF($E81:AF81,"t")+COUNTIF($E81:AF81,"¶")+COUNTIF($E81:AF81,"²")+COUNTIF($E81:AF81,"µ")+COUNTIF($E81:AF81,1)-1,INDEX(Roadmap!$D:$K,MATCH($E81,Roadmap!$D:$D,0)-1+COUNTIF($E81:AF81,"u")+COUNTIF($E81:AF81,"t")+COUNTIF($E81:AF81,"¶")+COUNTIF($E81:AF81,"²")+COUNTIF($E81:AF81,"µ")+COUNTIF($E81:AF81,1),ColDescriptionCourte)),""),
  "")),"")</f>
        <v/>
      </c>
    </row>
    <row r="82" spans="3:33" ht="14.25" customHeight="1">
      <c r="C82" s="1" t="str">
        <f t="shared" ca="1" si="47"/>
        <v/>
      </c>
      <c r="D82" s="1" t="str">
        <f t="shared" ca="1" si="48"/>
        <v/>
      </c>
      <c r="E82" s="35" t="str">
        <f t="shared" ca="1" si="46"/>
        <v/>
      </c>
      <c r="F82" s="39" t="str">
        <f ca="1">IFERROR(IF(AND(
  INDEX(Roadmap!$D:$K,MATCH($E82,Roadmap!$D:$D,0)+COUNTIF($E82:E82,"u")+COUNTIF($E82:E82,"t")+COUNTIF($E82:E82,"¶")+COUNTIF($E82:E82,"²")+COUNTIF($E82:E82,"µ")+COUNTIF($E82:E82,1),ColLivraison)=F$6,
  VLOOKUP($E82,INDIRECT("tri!"&amp; CHAR(64+ C0Col) &amp;":"&amp; CHAR(65+C0Col)),2,FALSE)&gt;COUNTIF($E82:E82,"u")+COUNTIF($E82:E82,"t")+COUNTIF($E82:E82,"¶")+COUNTIF($E82:E82,"²")+COUNTIF($E82:E82,"µ")+COUNTIF($E82:E82,1)),
HYPERLINK("#Roadmap!C"&amp; MATCH($E82,Roadmap!$D:$D,0)+COUNTIF($E82:E82,"u")+COUNTIF($E82:E82,"t"),
     INDEX(Roadmap!$D:$K,MATCH($E82,Roadmap!$D:$D,0)+COUNTIF($E82:E82,"u")+COUNTIF($E82:E82,"t")+COUNTIF($E82:E82,"¶")+COUNTIF($E82:E82,"²")+COUNTIF($E82:E82,"µ")+COUNTIF($E82:E82,1),ColTypeEcheance)),
  IF(LEN(E82)=1,
  IF(LEN(INDEX(Roadmap!$D:$K,MATCH($E82,Roadmap!$D:$D,0)-1+COUNTIF($E82:E82,"u")+COUNTIF($E82:E82,"t")+COUNTIF($E82:E82,"¶")+COUNTIF($E82:E82,"²")+COUNTIF($E82:E82,"µ")+COUNTIF($E82:E82,1),ColDescriptionCourte))&gt;1,
HYPERLINK("#Roadmap!C"&amp; MATCH($E82,Roadmap!$D:$D,0)+COUNTIF($E82:E82,"u")+COUNTIF($E82:E82,"t")+COUNTIF($E82:E82,"¶")+COUNTIF($E82:E82,"²")+COUNTIF($E82:E82,"µ")+COUNTIF($E82:E82,1)-1,INDEX(Roadmap!$D:$K,MATCH($E82,Roadmap!$D:$D,0)-1+COUNTIF($E82:E82,"u")+COUNTIF($E82:E82,"t")+COUNTIF($E82:E82,"¶")+COUNTIF($E82:E82,"²")+COUNTIF($E82:E82,"µ")+COUNTIF($E82:E82,1),ColDescriptionCourte)),""),
  "")),"")</f>
        <v/>
      </c>
      <c r="G82" s="40" t="str">
        <f ca="1">IFERROR(IF(AND(
  INDEX(Roadmap!$D:$K,MATCH($E82,Roadmap!$D:$D,0)+COUNTIF($E82:F82,"u")+COUNTIF($E82:F82,"t")+COUNTIF($E82:F82,"¶")+COUNTIF($E82:F82,"²")+COUNTIF($E82:F82,"µ")+COUNTIF($E82:F82,1),ColLivraison)=G$6,
  VLOOKUP($E82,INDIRECT("tri!"&amp; CHAR(64+ C0Col) &amp;":"&amp; CHAR(65+C0Col)),2,FALSE)&gt;COUNTIF($E82:F82,"u")+COUNTIF($E82:F82,"t")+COUNTIF($E82:F82,"¶")+COUNTIF($E82:F82,"²")+COUNTIF($E82:F82,"µ")+COUNTIF($E82:F82,1)),
HYPERLINK("#Roadmap!C"&amp; MATCH($E82,Roadmap!$D:$D,0)+COUNTIF($E82:F82,"u")+COUNTIF($E82:F82,"t"),
     INDEX(Roadmap!$D:$K,MATCH($E82,Roadmap!$D:$D,0)+COUNTIF($E82:F82,"u")+COUNTIF($E82:F82,"t")+COUNTIF($E82:F82,"¶")+COUNTIF($E82:F82,"²")+COUNTIF($E82:F82,"µ")+COUNTIF($E82:F82,1),ColTypeEcheance)),
  IF(LEN(F82)=1,
  IF(LEN(INDEX(Roadmap!$D:$K,MATCH($E82,Roadmap!$D:$D,0)-1+COUNTIF($E82:F82,"u")+COUNTIF($E82:F82,"t")+COUNTIF($E82:F82,"¶")+COUNTIF($E82:F82,"²")+COUNTIF($E82:F82,"µ")+COUNTIF($E82:F82,1),ColDescriptionCourte))&gt;1,
HYPERLINK("#Roadmap!C"&amp; MATCH($E82,Roadmap!$D:$D,0)+COUNTIF($E82:F82,"u")+COUNTIF($E82:F82,"t")+COUNTIF($E82:F82,"¶")+COUNTIF($E82:F82,"²")+COUNTIF($E82:F82,"µ")+COUNTIF($E82:F82,1)-1,INDEX(Roadmap!$D:$K,MATCH($E82,Roadmap!$D:$D,0)-1+COUNTIF($E82:F82,"u")+COUNTIF($E82:F82,"t")+COUNTIF($E82:F82,"¶")+COUNTIF($E82:F82,"²")+COUNTIF($E82:F82,"µ")+COUNTIF($E82:F82,1),ColDescriptionCourte)),""),
  "")),"")</f>
        <v/>
      </c>
      <c r="H82" s="40" t="str">
        <f ca="1">IFERROR(IF(AND(
  INDEX(Roadmap!$D:$K,MATCH($E82,Roadmap!$D:$D,0)+COUNTIF($E82:G82,"u")+COUNTIF($E82:G82,"t")+COUNTIF($E82:G82,"¶")+COUNTIF($E82:G82,"²")+COUNTIF($E82:G82,"µ")+COUNTIF($E82:G82,1),ColLivraison)=H$6,
  VLOOKUP($E82,INDIRECT("tri!"&amp; CHAR(64+ C0Col) &amp;":"&amp; CHAR(65+C0Col)),2,FALSE)&gt;COUNTIF($E82:G82,"u")+COUNTIF($E82:G82,"t")+COUNTIF($E82:G82,"¶")+COUNTIF($E82:G82,"²")+COUNTIF($E82:G82,"µ")+COUNTIF($E82:G82,1)),
HYPERLINK("#Roadmap!C"&amp; MATCH($E82,Roadmap!$D:$D,0)+COUNTIF($E82:G82,"u")+COUNTIF($E82:G82,"t"),
     INDEX(Roadmap!$D:$K,MATCH($E82,Roadmap!$D:$D,0)+COUNTIF($E82:G82,"u")+COUNTIF($E82:G82,"t")+COUNTIF($E82:G82,"¶")+COUNTIF($E82:G82,"²")+COUNTIF($E82:G82,"µ")+COUNTIF($E82:G82,1),ColTypeEcheance)),
  IF(LEN(G82)=1,
  IF(LEN(INDEX(Roadmap!$D:$K,MATCH($E82,Roadmap!$D:$D,0)-1+COUNTIF($E82:G82,"u")+COUNTIF($E82:G82,"t")+COUNTIF($E82:G82,"¶")+COUNTIF($E82:G82,"²")+COUNTIF($E82:G82,"µ")+COUNTIF($E82:G82,1),ColDescriptionCourte))&gt;1,
HYPERLINK("#Roadmap!C"&amp; MATCH($E82,Roadmap!$D:$D,0)+COUNTIF($E82:G82,"u")+COUNTIF($E82:G82,"t")+COUNTIF($E82:G82,"¶")+COUNTIF($E82:G82,"²")+COUNTIF($E82:G82,"µ")+COUNTIF($E82:G82,1)-1,INDEX(Roadmap!$D:$K,MATCH($E82,Roadmap!$D:$D,0)-1+COUNTIF($E82:G82,"u")+COUNTIF($E82:G82,"t")+COUNTIF($E82:G82,"¶")+COUNTIF($E82:G82,"²")+COUNTIF($E82:G82,"µ")+COUNTIF($E82:G82,1),ColDescriptionCourte)),""),
  "")),"")</f>
        <v/>
      </c>
      <c r="I82" s="40" t="str">
        <f ca="1">IFERROR(IF(AND(
  INDEX(Roadmap!$D:$K,MATCH($E82,Roadmap!$D:$D,0)+COUNTIF($E82:H82,"u")+COUNTIF($E82:H82,"t")+COUNTIF($E82:H82,"¶")+COUNTIF($E82:H82,"²")+COUNTIF($E82:H82,"µ")+COUNTIF($E82:H82,1),ColLivraison)=I$6,
  VLOOKUP($E82,INDIRECT("tri!"&amp; CHAR(64+ C0Col) &amp;":"&amp; CHAR(65+C0Col)),2,FALSE)&gt;COUNTIF($E82:H82,"u")+COUNTIF($E82:H82,"t")+COUNTIF($E82:H82,"¶")+COUNTIF($E82:H82,"²")+COUNTIF($E82:H82,"µ")+COUNTIF($E82:H82,1)),
HYPERLINK("#Roadmap!C"&amp; MATCH($E82,Roadmap!$D:$D,0)+COUNTIF($E82:H82,"u")+COUNTIF($E82:H82,"t"),
     INDEX(Roadmap!$D:$K,MATCH($E82,Roadmap!$D:$D,0)+COUNTIF($E82:H82,"u")+COUNTIF($E82:H82,"t")+COUNTIF($E82:H82,"¶")+COUNTIF($E82:H82,"²")+COUNTIF($E82:H82,"µ")+COUNTIF($E82:H82,1),ColTypeEcheance)),
  IF(LEN(H82)=1,
  IF(LEN(INDEX(Roadmap!$D:$K,MATCH($E82,Roadmap!$D:$D,0)-1+COUNTIF($E82:H82,"u")+COUNTIF($E82:H82,"t")+COUNTIF($E82:H82,"¶")+COUNTIF($E82:H82,"²")+COUNTIF($E82:H82,"µ")+COUNTIF($E82:H82,1),ColDescriptionCourte))&gt;1,
HYPERLINK("#Roadmap!C"&amp; MATCH($E82,Roadmap!$D:$D,0)+COUNTIF($E82:H82,"u")+COUNTIF($E82:H82,"t")+COUNTIF($E82:H82,"¶")+COUNTIF($E82:H82,"²")+COUNTIF($E82:H82,"µ")+COUNTIF($E82:H82,1)-1,INDEX(Roadmap!$D:$K,MATCH($E82,Roadmap!$D:$D,0)-1+COUNTIF($E82:H82,"u")+COUNTIF($E82:H82,"t")+COUNTIF($E82:H82,"¶")+COUNTIF($E82:H82,"²")+COUNTIF($E82:H82,"µ")+COUNTIF($E82:H82,1),ColDescriptionCourte)),""),
  "")),"")</f>
        <v/>
      </c>
      <c r="J82" s="40" t="str">
        <f ca="1">IFERROR(IF(AND(
  INDEX(Roadmap!$D:$K,MATCH($E82,Roadmap!$D:$D,0)+COUNTIF($E82:I82,"u")+COUNTIF($E82:I82,"t")+COUNTIF($E82:I82,"¶")+COUNTIF($E82:I82,"²")+COUNTIF($E82:I82,"µ")+COUNTIF($E82:I82,1),ColLivraison)=J$6,
  VLOOKUP($E82,INDIRECT("tri!"&amp; CHAR(64+ C0Col) &amp;":"&amp; CHAR(65+C0Col)),2,FALSE)&gt;COUNTIF($E82:I82,"u")+COUNTIF($E82:I82,"t")+COUNTIF($E82:I82,"¶")+COUNTIF($E82:I82,"²")+COUNTIF($E82:I82,"µ")+COUNTIF($E82:I82,1)),
HYPERLINK("#Roadmap!C"&amp; MATCH($E82,Roadmap!$D:$D,0)+COUNTIF($E82:I82,"u")+COUNTIF($E82:I82,"t"),
     INDEX(Roadmap!$D:$K,MATCH($E82,Roadmap!$D:$D,0)+COUNTIF($E82:I82,"u")+COUNTIF($E82:I82,"t")+COUNTIF($E82:I82,"¶")+COUNTIF($E82:I82,"²")+COUNTIF($E82:I82,"µ")+COUNTIF($E82:I82,1),ColTypeEcheance)),
  IF(LEN(I82)=1,
  IF(LEN(INDEX(Roadmap!$D:$K,MATCH($E82,Roadmap!$D:$D,0)-1+COUNTIF($E82:I82,"u")+COUNTIF($E82:I82,"t")+COUNTIF($E82:I82,"¶")+COUNTIF($E82:I82,"²")+COUNTIF($E82:I82,"µ")+COUNTIF($E82:I82,1),ColDescriptionCourte))&gt;1,
HYPERLINK("#Roadmap!C"&amp; MATCH($E82,Roadmap!$D:$D,0)+COUNTIF($E82:I82,"u")+COUNTIF($E82:I82,"t")+COUNTIF($E82:I82,"¶")+COUNTIF($E82:I82,"²")+COUNTIF($E82:I82,"µ")+COUNTIF($E82:I82,1)-1,INDEX(Roadmap!$D:$K,MATCH($E82,Roadmap!$D:$D,0)-1+COUNTIF($E82:I82,"u")+COUNTIF($E82:I82,"t")+COUNTIF($E82:I82,"¶")+COUNTIF($E82:I82,"²")+COUNTIF($E82:I82,"µ")+COUNTIF($E82:I82,1),ColDescriptionCourte)),""),
  "")),"")</f>
        <v/>
      </c>
      <c r="K82" s="40" t="str">
        <f ca="1">IFERROR(IF(AND(
  INDEX(Roadmap!$D:$K,MATCH($E82,Roadmap!$D:$D,0)+COUNTIF($E82:J82,"u")+COUNTIF($E82:J82,"t")+COUNTIF($E82:J82,"¶")+COUNTIF($E82:J82,"²")+COUNTIF($E82:J82,"µ")+COUNTIF($E82:J82,1),ColLivraison)=K$6,
  VLOOKUP($E82,INDIRECT("tri!"&amp; CHAR(64+ C0Col) &amp;":"&amp; CHAR(65+C0Col)),2,FALSE)&gt;COUNTIF($E82:J82,"u")+COUNTIF($E82:J82,"t")+COUNTIF($E82:J82,"¶")+COUNTIF($E82:J82,"²")+COUNTIF($E82:J82,"µ")+COUNTIF($E82:J82,1)),
HYPERLINK("#Roadmap!C"&amp; MATCH($E82,Roadmap!$D:$D,0)+COUNTIF($E82:J82,"u")+COUNTIF($E82:J82,"t"),
     INDEX(Roadmap!$D:$K,MATCH($E82,Roadmap!$D:$D,0)+COUNTIF($E82:J82,"u")+COUNTIF($E82:J82,"t")+COUNTIF($E82:J82,"¶")+COUNTIF($E82:J82,"²")+COUNTIF($E82:J82,"µ")+COUNTIF($E82:J82,1),ColTypeEcheance)),
  IF(LEN(J82)=1,
  IF(LEN(INDEX(Roadmap!$D:$K,MATCH($E82,Roadmap!$D:$D,0)-1+COUNTIF($E82:J82,"u")+COUNTIF($E82:J82,"t")+COUNTIF($E82:J82,"¶")+COUNTIF($E82:J82,"²")+COUNTIF($E82:J82,"µ")+COUNTIF($E82:J82,1),ColDescriptionCourte))&gt;1,
HYPERLINK("#Roadmap!C"&amp; MATCH($E82,Roadmap!$D:$D,0)+COUNTIF($E82:J82,"u")+COUNTIF($E82:J82,"t")+COUNTIF($E82:J82,"¶")+COUNTIF($E82:J82,"²")+COUNTIF($E82:J82,"µ")+COUNTIF($E82:J82,1)-1,INDEX(Roadmap!$D:$K,MATCH($E82,Roadmap!$D:$D,0)-1+COUNTIF($E82:J82,"u")+COUNTIF($E82:J82,"t")+COUNTIF($E82:J82,"¶")+COUNTIF($E82:J82,"²")+COUNTIF($E82:J82,"µ")+COUNTIF($E82:J82,1),ColDescriptionCourte)),""),
  "")),"")</f>
        <v/>
      </c>
      <c r="L82" s="39" t="str">
        <f ca="1">IFERROR(IF(AND(
  INDEX(Roadmap!$D:$K,MATCH($E82,Roadmap!$D:$D,0)+COUNTIF($E82:K82,"u")+COUNTIF($E82:K82,"t")+COUNTIF($E82:K82,"¶")+COUNTIF($E82:K82,"²")+COUNTIF($E82:K82,"µ")+COUNTIF($E82:K82,1),ColLivraison)=L$6,
  VLOOKUP($E82,INDIRECT("tri!"&amp; CHAR(64+ C0Col) &amp;":"&amp; CHAR(65+C0Col)),2,FALSE)&gt;COUNTIF($E82:K82,"u")+COUNTIF($E82:K82,"t")+COUNTIF($E82:K82,"¶")+COUNTIF($E82:K82,"²")+COUNTIF($E82:K82,"µ")+COUNTIF($E82:K82,1)),
HYPERLINK("#Roadmap!C"&amp; MATCH($E82,Roadmap!$D:$D,0)+COUNTIF($E82:K82,"u")+COUNTIF($E82:K82,"t"),
     INDEX(Roadmap!$D:$K,MATCH($E82,Roadmap!$D:$D,0)+COUNTIF($E82:K82,"u")+COUNTIF($E82:K82,"t")+COUNTIF($E82:K82,"¶")+COUNTIF($E82:K82,"²")+COUNTIF($E82:K82,"µ")+COUNTIF($E82:K82,1),ColTypeEcheance)),
  IF(LEN(K82)=1,
  IF(LEN(INDEX(Roadmap!$D:$K,MATCH($E82,Roadmap!$D:$D,0)-1+COUNTIF($E82:K82,"u")+COUNTIF($E82:K82,"t")+COUNTIF($E82:K82,"¶")+COUNTIF($E82:K82,"²")+COUNTIF($E82:K82,"µ")+COUNTIF($E82:K82,1),ColDescriptionCourte))&gt;1,
HYPERLINK("#Roadmap!C"&amp; MATCH($E82,Roadmap!$D:$D,0)+COUNTIF($E82:K82,"u")+COUNTIF($E82:K82,"t")+COUNTIF($E82:K82,"¶")+COUNTIF($E82:K82,"²")+COUNTIF($E82:K82,"µ")+COUNTIF($E82:K82,1)-1,INDEX(Roadmap!$D:$K,MATCH($E82,Roadmap!$D:$D,0)-1+COUNTIF($E82:K82,"u")+COUNTIF($E82:K82,"t")+COUNTIF($E82:K82,"¶")+COUNTIF($E82:K82,"²")+COUNTIF($E82:K82,"µ")+COUNTIF($E82:K82,1),ColDescriptionCourte)),""),
  "")),"")</f>
        <v/>
      </c>
      <c r="M82" s="40" t="str">
        <f ca="1">IFERROR(IF(AND(
  INDEX(Roadmap!$D:$K,MATCH($E82,Roadmap!$D:$D,0)+COUNTIF($E82:L82,"u")+COUNTIF($E82:L82,"t")+COUNTIF($E82:L82,"¶")+COUNTIF($E82:L82,"²")+COUNTIF($E82:L82,"µ")+COUNTIF($E82:L82,1),ColLivraison)=M$6,
  VLOOKUP($E82,INDIRECT("tri!"&amp; CHAR(64+ C0Col) &amp;":"&amp; CHAR(65+C0Col)),2,FALSE)&gt;COUNTIF($E82:L82,"u")+COUNTIF($E82:L82,"t")+COUNTIF($E82:L82,"¶")+COUNTIF($E82:L82,"²")+COUNTIF($E82:L82,"µ")+COUNTIF($E82:L82,1)),
HYPERLINK("#Roadmap!C"&amp; MATCH($E82,Roadmap!$D:$D,0)+COUNTIF($E82:L82,"u")+COUNTIF($E82:L82,"t"),
     INDEX(Roadmap!$D:$K,MATCH($E82,Roadmap!$D:$D,0)+COUNTIF($E82:L82,"u")+COUNTIF($E82:L82,"t")+COUNTIF($E82:L82,"¶")+COUNTIF($E82:L82,"²")+COUNTIF($E82:L82,"µ")+COUNTIF($E82:L82,1),ColTypeEcheance)),
  IF(LEN(L82)=1,
  IF(LEN(INDEX(Roadmap!$D:$K,MATCH($E82,Roadmap!$D:$D,0)-1+COUNTIF($E82:L82,"u")+COUNTIF($E82:L82,"t")+COUNTIF($E82:L82,"¶")+COUNTIF($E82:L82,"²")+COUNTIF($E82:L82,"µ")+COUNTIF($E82:L82,1),ColDescriptionCourte))&gt;1,
HYPERLINK("#Roadmap!C"&amp; MATCH($E82,Roadmap!$D:$D,0)+COUNTIF($E82:L82,"u")+COUNTIF($E82:L82,"t")+COUNTIF($E82:L82,"¶")+COUNTIF($E82:L82,"²")+COUNTIF($E82:L82,"µ")+COUNTIF($E82:L82,1)-1,INDEX(Roadmap!$D:$K,MATCH($E82,Roadmap!$D:$D,0)-1+COUNTIF($E82:L82,"u")+COUNTIF($E82:L82,"t")+COUNTIF($E82:L82,"¶")+COUNTIF($E82:L82,"²")+COUNTIF($E82:L82,"µ")+COUNTIF($E82:L82,1),ColDescriptionCourte)),""),
  "")),"")</f>
        <v/>
      </c>
      <c r="N82" s="40" t="str">
        <f ca="1">IFERROR(IF(AND(
  INDEX(Roadmap!$D:$K,MATCH($E82,Roadmap!$D:$D,0)+COUNTIF($E82:M82,"u")+COUNTIF($E82:M82,"t")+COUNTIF($E82:M82,"¶")+COUNTIF($E82:M82,"²")+COUNTIF($E82:M82,"µ")+COUNTIF($E82:M82,1),ColLivraison)=N$6,
  VLOOKUP($E82,INDIRECT("tri!"&amp; CHAR(64+ C0Col) &amp;":"&amp; CHAR(65+C0Col)),2,FALSE)&gt;COUNTIF($E82:M82,"u")+COUNTIF($E82:M82,"t")+COUNTIF($E82:M82,"¶")+COUNTIF($E82:M82,"²")+COUNTIF($E82:M82,"µ")+COUNTIF($E82:M82,1)),
HYPERLINK("#Roadmap!C"&amp; MATCH($E82,Roadmap!$D:$D,0)+COUNTIF($E82:M82,"u")+COUNTIF($E82:M82,"t"),
     INDEX(Roadmap!$D:$K,MATCH($E82,Roadmap!$D:$D,0)+COUNTIF($E82:M82,"u")+COUNTIF($E82:M82,"t")+COUNTIF($E82:M82,"¶")+COUNTIF($E82:M82,"²")+COUNTIF($E82:M82,"µ")+COUNTIF($E82:M82,1),ColTypeEcheance)),
  IF(LEN(M82)=1,
  IF(LEN(INDEX(Roadmap!$D:$K,MATCH($E82,Roadmap!$D:$D,0)-1+COUNTIF($E82:M82,"u")+COUNTIF($E82:M82,"t")+COUNTIF($E82:M82,"¶")+COUNTIF($E82:M82,"²")+COUNTIF($E82:M82,"µ")+COUNTIF($E82:M82,1),ColDescriptionCourte))&gt;1,
HYPERLINK("#Roadmap!C"&amp; MATCH($E82,Roadmap!$D:$D,0)+COUNTIF($E82:M82,"u")+COUNTIF($E82:M82,"t")+COUNTIF($E82:M82,"¶")+COUNTIF($E82:M82,"²")+COUNTIF($E82:M82,"µ")+COUNTIF($E82:M82,1)-1,INDEX(Roadmap!$D:$K,MATCH($E82,Roadmap!$D:$D,0)-1+COUNTIF($E82:M82,"u")+COUNTIF($E82:M82,"t")+COUNTIF($E82:M82,"¶")+COUNTIF($E82:M82,"²")+COUNTIF($E82:M82,"µ")+COUNTIF($E82:M82,1),ColDescriptionCourte)),""),
  "")),"")</f>
        <v/>
      </c>
      <c r="O82" s="40" t="str">
        <f ca="1">IFERROR(IF(AND(
  INDEX(Roadmap!$D:$K,MATCH($E82,Roadmap!$D:$D,0)+COUNTIF($E82:N82,"u")+COUNTIF($E82:N82,"t")+COUNTIF($E82:N82,"¶")+COUNTIF($E82:N82,"²")+COUNTIF($E82:N82,"µ")+COUNTIF($E82:N82,1),ColLivraison)=O$6,
  VLOOKUP($E82,INDIRECT("tri!"&amp; CHAR(64+ C0Col) &amp;":"&amp; CHAR(65+C0Col)),2,FALSE)&gt;COUNTIF($E82:N82,"u")+COUNTIF($E82:N82,"t")+COUNTIF($E82:N82,"¶")+COUNTIF($E82:N82,"²")+COUNTIF($E82:N82,"µ")+COUNTIF($E82:N82,1)),
HYPERLINK("#Roadmap!C"&amp; MATCH($E82,Roadmap!$D:$D,0)+COUNTIF($E82:N82,"u")+COUNTIF($E82:N82,"t"),
     INDEX(Roadmap!$D:$K,MATCH($E82,Roadmap!$D:$D,0)+COUNTIF($E82:N82,"u")+COUNTIF($E82:N82,"t")+COUNTIF($E82:N82,"¶")+COUNTIF($E82:N82,"²")+COUNTIF($E82:N82,"µ")+COUNTIF($E82:N82,1),ColTypeEcheance)),
  IF(LEN(N82)=1,
  IF(LEN(INDEX(Roadmap!$D:$K,MATCH($E82,Roadmap!$D:$D,0)-1+COUNTIF($E82:N82,"u")+COUNTIF($E82:N82,"t")+COUNTIF($E82:N82,"¶")+COUNTIF($E82:N82,"²")+COUNTIF($E82:N82,"µ")+COUNTIF($E82:N82,1),ColDescriptionCourte))&gt;1,
HYPERLINK("#Roadmap!C"&amp; MATCH($E82,Roadmap!$D:$D,0)+COUNTIF($E82:N82,"u")+COUNTIF($E82:N82,"t")+COUNTIF($E82:N82,"¶")+COUNTIF($E82:N82,"²")+COUNTIF($E82:N82,"µ")+COUNTIF($E82:N82,1)-1,INDEX(Roadmap!$D:$K,MATCH($E82,Roadmap!$D:$D,0)-1+COUNTIF($E82:N82,"u")+COUNTIF($E82:N82,"t")+COUNTIF($E82:N82,"¶")+COUNTIF($E82:N82,"²")+COUNTIF($E82:N82,"µ")+COUNTIF($E82:N82,1),ColDescriptionCourte)),""),
  "")),"")</f>
        <v/>
      </c>
      <c r="P82" s="40" t="str">
        <f ca="1">IFERROR(IF(AND(
  INDEX(Roadmap!$D:$K,MATCH($E82,Roadmap!$D:$D,0)+COUNTIF($E82:O82,"u")+COUNTIF($E82:O82,"t")+COUNTIF($E82:O82,"¶")+COUNTIF($E82:O82,"²")+COUNTIF($E82:O82,"µ")+COUNTIF($E82:O82,1),ColLivraison)=P$6,
  VLOOKUP($E82,INDIRECT("tri!"&amp; CHAR(64+ C0Col) &amp;":"&amp; CHAR(65+C0Col)),2,FALSE)&gt;COUNTIF($E82:O82,"u")+COUNTIF($E82:O82,"t")+COUNTIF($E82:O82,"¶")+COUNTIF($E82:O82,"²")+COUNTIF($E82:O82,"µ")+COUNTIF($E82:O82,1)),
HYPERLINK("#Roadmap!C"&amp; MATCH($E82,Roadmap!$D:$D,0)+COUNTIF($E82:O82,"u")+COUNTIF($E82:O82,"t"),
     INDEX(Roadmap!$D:$K,MATCH($E82,Roadmap!$D:$D,0)+COUNTIF($E82:O82,"u")+COUNTIF($E82:O82,"t")+COUNTIF($E82:O82,"¶")+COUNTIF($E82:O82,"²")+COUNTIF($E82:O82,"µ")+COUNTIF($E82:O82,1),ColTypeEcheance)),
  IF(LEN(O82)=1,
  IF(LEN(INDEX(Roadmap!$D:$K,MATCH($E82,Roadmap!$D:$D,0)-1+COUNTIF($E82:O82,"u")+COUNTIF($E82:O82,"t")+COUNTIF($E82:O82,"¶")+COUNTIF($E82:O82,"²")+COUNTIF($E82:O82,"µ")+COUNTIF($E82:O82,1),ColDescriptionCourte))&gt;1,
HYPERLINK("#Roadmap!C"&amp; MATCH($E82,Roadmap!$D:$D,0)+COUNTIF($E82:O82,"u")+COUNTIF($E82:O82,"t")+COUNTIF($E82:O82,"¶")+COUNTIF($E82:O82,"²")+COUNTIF($E82:O82,"µ")+COUNTIF($E82:O82,1)-1,INDEX(Roadmap!$D:$K,MATCH($E82,Roadmap!$D:$D,0)-1+COUNTIF($E82:O82,"u")+COUNTIF($E82:O82,"t")+COUNTIF($E82:O82,"¶")+COUNTIF($E82:O82,"²")+COUNTIF($E82:O82,"µ")+COUNTIF($E82:O82,1),ColDescriptionCourte)),""),
  "")),"")</f>
        <v/>
      </c>
      <c r="Q82" s="40" t="str">
        <f ca="1">IFERROR(IF(AND(
  INDEX(Roadmap!$D:$K,MATCH($E82,Roadmap!$D:$D,0)+COUNTIF($E82:P82,"u")+COUNTIF($E82:P82,"t")+COUNTIF($E82:P82,"¶")+COUNTIF($E82:P82,"²")+COUNTIF($E82:P82,"µ")+COUNTIF($E82:P82,1),ColLivraison)=Q$6,
  VLOOKUP($E82,INDIRECT("tri!"&amp; CHAR(64+ C0Col) &amp;":"&amp; CHAR(65+C0Col)),2,FALSE)&gt;COUNTIF($E82:P82,"u")+COUNTIF($E82:P82,"t")+COUNTIF($E82:P82,"¶")+COUNTIF($E82:P82,"²")+COUNTIF($E82:P82,"µ")+COUNTIF($E82:P82,1)),
HYPERLINK("#Roadmap!C"&amp; MATCH($E82,Roadmap!$D:$D,0)+COUNTIF($E82:P82,"u")+COUNTIF($E82:P82,"t"),
     INDEX(Roadmap!$D:$K,MATCH($E82,Roadmap!$D:$D,0)+COUNTIF($E82:P82,"u")+COUNTIF($E82:P82,"t")+COUNTIF($E82:P82,"¶")+COUNTIF($E82:P82,"²")+COUNTIF($E82:P82,"µ")+COUNTIF($E82:P82,1),ColTypeEcheance)),
  IF(LEN(P82)=1,
  IF(LEN(INDEX(Roadmap!$D:$K,MATCH($E82,Roadmap!$D:$D,0)-1+COUNTIF($E82:P82,"u")+COUNTIF($E82:P82,"t")+COUNTIF($E82:P82,"¶")+COUNTIF($E82:P82,"²")+COUNTIF($E82:P82,"µ")+COUNTIF($E82:P82,1),ColDescriptionCourte))&gt;1,
HYPERLINK("#Roadmap!C"&amp; MATCH($E82,Roadmap!$D:$D,0)+COUNTIF($E82:P82,"u")+COUNTIF($E82:P82,"t")+COUNTIF($E82:P82,"¶")+COUNTIF($E82:P82,"²")+COUNTIF($E82:P82,"µ")+COUNTIF($E82:P82,1)-1,INDEX(Roadmap!$D:$K,MATCH($E82,Roadmap!$D:$D,0)-1+COUNTIF($E82:P82,"u")+COUNTIF($E82:P82,"t")+COUNTIF($E82:P82,"¶")+COUNTIF($E82:P82,"²")+COUNTIF($E82:P82,"µ")+COUNTIF($E82:P82,1),ColDescriptionCourte)),""),
  "")),"")</f>
        <v/>
      </c>
      <c r="R82" s="40" t="str">
        <f ca="1">IFERROR(IF(AND(
  INDEX(Roadmap!$D:$K,MATCH($E82,Roadmap!$D:$D,0)+COUNTIF($E82:Q82,"u")+COUNTIF($E82:Q82,"t")+COUNTIF($E82:Q82,"¶")+COUNTIF($E82:Q82,"²")+COUNTIF($E82:Q82,"µ")+COUNTIF($E82:Q82,1),ColLivraison)=R$6,
  VLOOKUP($E82,INDIRECT("tri!"&amp; CHAR(64+ C0Col) &amp;":"&amp; CHAR(65+C0Col)),2,FALSE)&gt;COUNTIF($E82:Q82,"u")+COUNTIF($E82:Q82,"t")+COUNTIF($E82:Q82,"¶")+COUNTIF($E82:Q82,"²")+COUNTIF($E82:Q82,"µ")+COUNTIF($E82:Q82,1)),
HYPERLINK("#Roadmap!C"&amp; MATCH($E82,Roadmap!$D:$D,0)+COUNTIF($E82:Q82,"u")+COUNTIF($E82:Q82,"t"),
     INDEX(Roadmap!$D:$K,MATCH($E82,Roadmap!$D:$D,0)+COUNTIF($E82:Q82,"u")+COUNTIF($E82:Q82,"t")+COUNTIF($E82:Q82,"¶")+COUNTIF($E82:Q82,"²")+COUNTIF($E82:Q82,"µ")+COUNTIF($E82:Q82,1),ColTypeEcheance)),
  IF(LEN(Q82)=1,
  IF(LEN(INDEX(Roadmap!$D:$K,MATCH($E82,Roadmap!$D:$D,0)-1+COUNTIF($E82:Q82,"u")+COUNTIF($E82:Q82,"t")+COUNTIF($E82:Q82,"¶")+COUNTIF($E82:Q82,"²")+COUNTIF($E82:Q82,"µ")+COUNTIF($E82:Q82,1),ColDescriptionCourte))&gt;1,
HYPERLINK("#Roadmap!C"&amp; MATCH($E82,Roadmap!$D:$D,0)+COUNTIF($E82:Q82,"u")+COUNTIF($E82:Q82,"t")+COUNTIF($E82:Q82,"¶")+COUNTIF($E82:Q82,"²")+COUNTIF($E82:Q82,"µ")+COUNTIF($E82:Q82,1)-1,INDEX(Roadmap!$D:$K,MATCH($E82,Roadmap!$D:$D,0)-1+COUNTIF($E82:Q82,"u")+COUNTIF($E82:Q82,"t")+COUNTIF($E82:Q82,"¶")+COUNTIF($E82:Q82,"²")+COUNTIF($E82:Q82,"µ")+COUNTIF($E82:Q82,1),ColDescriptionCourte)),""),
  "")),"")</f>
        <v/>
      </c>
      <c r="S82" s="40" t="str">
        <f ca="1">IFERROR(IF(AND(
  INDEX(Roadmap!$D:$K,MATCH($E82,Roadmap!$D:$D,0)+COUNTIF($E82:R82,"u")+COUNTIF($E82:R82,"t")+COUNTIF($E82:R82,"¶")+COUNTIF($E82:R82,"²")+COUNTIF($E82:R82,"µ")+COUNTIF($E82:R82,1),ColLivraison)=S$6,
  VLOOKUP($E82,INDIRECT("tri!"&amp; CHAR(64+ C0Col) &amp;":"&amp; CHAR(65+C0Col)),2,FALSE)&gt;COUNTIF($E82:R82,"u")+COUNTIF($E82:R82,"t")+COUNTIF($E82:R82,"¶")+COUNTIF($E82:R82,"²")+COUNTIF($E82:R82,"µ")+COUNTIF($E82:R82,1)),
HYPERLINK("#Roadmap!C"&amp; MATCH($E82,Roadmap!$D:$D,0)+COUNTIF($E82:R82,"u")+COUNTIF($E82:R82,"t"),
     INDEX(Roadmap!$D:$K,MATCH($E82,Roadmap!$D:$D,0)+COUNTIF($E82:R82,"u")+COUNTIF($E82:R82,"t")+COUNTIF($E82:R82,"¶")+COUNTIF($E82:R82,"²")+COUNTIF($E82:R82,"µ")+COUNTIF($E82:R82,1),ColTypeEcheance)),
  IF(LEN(R82)=1,
  IF(LEN(INDEX(Roadmap!$D:$K,MATCH($E82,Roadmap!$D:$D,0)-1+COUNTIF($E82:R82,"u")+COUNTIF($E82:R82,"t")+COUNTIF($E82:R82,"¶")+COUNTIF($E82:R82,"²")+COUNTIF($E82:R82,"µ")+COUNTIF($E82:R82,1),ColDescriptionCourte))&gt;1,
HYPERLINK("#Roadmap!C"&amp; MATCH($E82,Roadmap!$D:$D,0)+COUNTIF($E82:R82,"u")+COUNTIF($E82:R82,"t")+COUNTIF($E82:R82,"¶")+COUNTIF($E82:R82,"²")+COUNTIF($E82:R82,"µ")+COUNTIF($E82:R82,1)-1,INDEX(Roadmap!$D:$K,MATCH($E82,Roadmap!$D:$D,0)-1+COUNTIF($E82:R82,"u")+COUNTIF($E82:R82,"t")+COUNTIF($E82:R82,"¶")+COUNTIF($E82:R82,"²")+COUNTIF($E82:R82,"µ")+COUNTIF($E82:R82,1),ColDescriptionCourte)),""),
  "")),"")</f>
        <v/>
      </c>
      <c r="T82" s="40" t="str">
        <f ca="1">IFERROR(IF(AND(
  INDEX(Roadmap!$D:$K,MATCH($E82,Roadmap!$D:$D,0)+COUNTIF($E82:S82,"u")+COUNTIF($E82:S82,"t")+COUNTIF($E82:S82,"¶")+COUNTIF($E82:S82,"²")+COUNTIF($E82:S82,"µ")+COUNTIF($E82:S82,1),ColLivraison)=T$6,
  VLOOKUP($E82,INDIRECT("tri!"&amp; CHAR(64+ C0Col) &amp;":"&amp; CHAR(65+C0Col)),2,FALSE)&gt;COUNTIF($E82:S82,"u")+COUNTIF($E82:S82,"t")+COUNTIF($E82:S82,"¶")+COUNTIF($E82:S82,"²")+COUNTIF($E82:S82,"µ")+COUNTIF($E82:S82,1)),
HYPERLINK("#Roadmap!C"&amp; MATCH($E82,Roadmap!$D:$D,0)+COUNTIF($E82:S82,"u")+COUNTIF($E82:S82,"t"),
     INDEX(Roadmap!$D:$K,MATCH($E82,Roadmap!$D:$D,0)+COUNTIF($E82:S82,"u")+COUNTIF($E82:S82,"t")+COUNTIF($E82:S82,"¶")+COUNTIF($E82:S82,"²")+COUNTIF($E82:S82,"µ")+COUNTIF($E82:S82,1),ColTypeEcheance)),
  IF(LEN(S82)=1,
  IF(LEN(INDEX(Roadmap!$D:$K,MATCH($E82,Roadmap!$D:$D,0)-1+COUNTIF($E82:S82,"u")+COUNTIF($E82:S82,"t")+COUNTIF($E82:S82,"¶")+COUNTIF($E82:S82,"²")+COUNTIF($E82:S82,"µ")+COUNTIF($E82:S82,1),ColDescriptionCourte))&gt;1,
HYPERLINK("#Roadmap!C"&amp; MATCH($E82,Roadmap!$D:$D,0)+COUNTIF($E82:S82,"u")+COUNTIF($E82:S82,"t")+COUNTIF($E82:S82,"¶")+COUNTIF($E82:S82,"²")+COUNTIF($E82:S82,"µ")+COUNTIF($E82:S82,1)-1,INDEX(Roadmap!$D:$K,MATCH($E82,Roadmap!$D:$D,0)-1+COUNTIF($E82:S82,"u")+COUNTIF($E82:S82,"t")+COUNTIF($E82:S82,"¶")+COUNTIF($E82:S82,"²")+COUNTIF($E82:S82,"µ")+COUNTIF($E82:S82,1),ColDescriptionCourte)),""),
  "")),"")</f>
        <v/>
      </c>
      <c r="U82" s="40" t="str">
        <f ca="1">IFERROR(IF(AND(
  INDEX(Roadmap!$D:$K,MATCH($E82,Roadmap!$D:$D,0)+COUNTIF($E82:T82,"u")+COUNTIF($E82:T82,"t")+COUNTIF($E82:T82,"¶")+COUNTIF($E82:T82,"²")+COUNTIF($E82:T82,"µ")+COUNTIF($E82:T82,1),ColLivraison)=U$6,
  VLOOKUP($E82,INDIRECT("tri!"&amp; CHAR(64+ C0Col) &amp;":"&amp; CHAR(65+C0Col)),2,FALSE)&gt;COUNTIF($E82:T82,"u")+COUNTIF($E82:T82,"t")+COUNTIF($E82:T82,"¶")+COUNTIF($E82:T82,"²")+COUNTIF($E82:T82,"µ")+COUNTIF($E82:T82,1)),
HYPERLINK("#Roadmap!C"&amp; MATCH($E82,Roadmap!$D:$D,0)+COUNTIF($E82:T82,"u")+COUNTIF($E82:T82,"t"),
     INDEX(Roadmap!$D:$K,MATCH($E82,Roadmap!$D:$D,0)+COUNTIF($E82:T82,"u")+COUNTIF($E82:T82,"t")+COUNTIF($E82:T82,"¶")+COUNTIF($E82:T82,"²")+COUNTIF($E82:T82,"µ")+COUNTIF($E82:T82,1),ColTypeEcheance)),
  IF(LEN(T82)=1,
  IF(LEN(INDEX(Roadmap!$D:$K,MATCH($E82,Roadmap!$D:$D,0)-1+COUNTIF($E82:T82,"u")+COUNTIF($E82:T82,"t")+COUNTIF($E82:T82,"¶")+COUNTIF($E82:T82,"²")+COUNTIF($E82:T82,"µ")+COUNTIF($E82:T82,1),ColDescriptionCourte))&gt;1,
HYPERLINK("#Roadmap!C"&amp; MATCH($E82,Roadmap!$D:$D,0)+COUNTIF($E82:T82,"u")+COUNTIF($E82:T82,"t")+COUNTIF($E82:T82,"¶")+COUNTIF($E82:T82,"²")+COUNTIF($E82:T82,"µ")+COUNTIF($E82:T82,1)-1,INDEX(Roadmap!$D:$K,MATCH($E82,Roadmap!$D:$D,0)-1+COUNTIF($E82:T82,"u")+COUNTIF($E82:T82,"t")+COUNTIF($E82:T82,"¶")+COUNTIF($E82:T82,"²")+COUNTIF($E82:T82,"µ")+COUNTIF($E82:T82,1),ColDescriptionCourte)),""),
  "")),"")</f>
        <v/>
      </c>
      <c r="V82" s="40" t="str">
        <f ca="1">IFERROR(IF(AND(
  INDEX(Roadmap!$D:$K,MATCH($E82,Roadmap!$D:$D,0)+COUNTIF($E82:U82,"u")+COUNTIF($E82:U82,"t")+COUNTIF($E82:U82,"¶")+COUNTIF($E82:U82,"²")+COUNTIF($E82:U82,"µ")+COUNTIF($E82:U82,1),ColLivraison)=V$6,
  VLOOKUP($E82,INDIRECT("tri!"&amp; CHAR(64+ C0Col) &amp;":"&amp; CHAR(65+C0Col)),2,FALSE)&gt;COUNTIF($E82:U82,"u")+COUNTIF($E82:U82,"t")+COUNTIF($E82:U82,"¶")+COUNTIF($E82:U82,"²")+COUNTIF($E82:U82,"µ")+COUNTIF($E82:U82,1)),
HYPERLINK("#Roadmap!C"&amp; MATCH($E82,Roadmap!$D:$D,0)+COUNTIF($E82:U82,"u")+COUNTIF($E82:U82,"t"),
     INDEX(Roadmap!$D:$K,MATCH($E82,Roadmap!$D:$D,0)+COUNTIF($E82:U82,"u")+COUNTIF($E82:U82,"t")+COUNTIF($E82:U82,"¶")+COUNTIF($E82:U82,"²")+COUNTIF($E82:U82,"µ")+COUNTIF($E82:U82,1),ColTypeEcheance)),
  IF(LEN(U82)=1,
  IF(LEN(INDEX(Roadmap!$D:$K,MATCH($E82,Roadmap!$D:$D,0)-1+COUNTIF($E82:U82,"u")+COUNTIF($E82:U82,"t")+COUNTIF($E82:U82,"¶")+COUNTIF($E82:U82,"²")+COUNTIF($E82:U82,"µ")+COUNTIF($E82:U82,1),ColDescriptionCourte))&gt;1,
HYPERLINK("#Roadmap!C"&amp; MATCH($E82,Roadmap!$D:$D,0)+COUNTIF($E82:U82,"u")+COUNTIF($E82:U82,"t")+COUNTIF($E82:U82,"¶")+COUNTIF($E82:U82,"²")+COUNTIF($E82:U82,"µ")+COUNTIF($E82:U82,1)-1,INDEX(Roadmap!$D:$K,MATCH($E82,Roadmap!$D:$D,0)-1+COUNTIF($E82:U82,"u")+COUNTIF($E82:U82,"t")+COUNTIF($E82:U82,"¶")+COUNTIF($E82:U82,"²")+COUNTIF($E82:U82,"µ")+COUNTIF($E82:U82,1),ColDescriptionCourte)),""),
  "")),"")</f>
        <v/>
      </c>
      <c r="W82" s="40" t="str">
        <f ca="1">IFERROR(IF(AND(
  INDEX(Roadmap!$D:$K,MATCH($E82,Roadmap!$D:$D,0)+COUNTIF($E82:V82,"u")+COUNTIF($E82:V82,"t")+COUNTIF($E82:V82,"¶")+COUNTIF($E82:V82,"²")+COUNTIF($E82:V82,"µ")+COUNTIF($E82:V82,1),ColLivraison)=W$6,
  VLOOKUP($E82,INDIRECT("tri!"&amp; CHAR(64+ C0Col) &amp;":"&amp; CHAR(65+C0Col)),2,FALSE)&gt;COUNTIF($E82:V82,"u")+COUNTIF($E82:V82,"t")+COUNTIF($E82:V82,"¶")+COUNTIF($E82:V82,"²")+COUNTIF($E82:V82,"µ")+COUNTIF($E82:V82,1)),
HYPERLINK("#Roadmap!C"&amp; MATCH($E82,Roadmap!$D:$D,0)+COUNTIF($E82:V82,"u")+COUNTIF($E82:V82,"t"),
     INDEX(Roadmap!$D:$K,MATCH($E82,Roadmap!$D:$D,0)+COUNTIF($E82:V82,"u")+COUNTIF($E82:V82,"t")+COUNTIF($E82:V82,"¶")+COUNTIF($E82:V82,"²")+COUNTIF($E82:V82,"µ")+COUNTIF($E82:V82,1),ColTypeEcheance)),
  IF(LEN(V82)=1,
  IF(LEN(INDEX(Roadmap!$D:$K,MATCH($E82,Roadmap!$D:$D,0)-1+COUNTIF($E82:V82,"u")+COUNTIF($E82:V82,"t")+COUNTIF($E82:V82,"¶")+COUNTIF($E82:V82,"²")+COUNTIF($E82:V82,"µ")+COUNTIF($E82:V82,1),ColDescriptionCourte))&gt;1,
HYPERLINK("#Roadmap!C"&amp; MATCH($E82,Roadmap!$D:$D,0)+COUNTIF($E82:V82,"u")+COUNTIF($E82:V82,"t")+COUNTIF($E82:V82,"¶")+COUNTIF($E82:V82,"²")+COUNTIF($E82:V82,"µ")+COUNTIF($E82:V82,1)-1,INDEX(Roadmap!$D:$K,MATCH($E82,Roadmap!$D:$D,0)-1+COUNTIF($E82:V82,"u")+COUNTIF($E82:V82,"t")+COUNTIF($E82:V82,"¶")+COUNTIF($E82:V82,"²")+COUNTIF($E82:V82,"µ")+COUNTIF($E82:V82,1),ColDescriptionCourte)),""),
  "")),"")</f>
        <v/>
      </c>
      <c r="X82" s="40" t="str">
        <f ca="1">IFERROR(IF(AND(
  INDEX(Roadmap!$D:$K,MATCH($E82,Roadmap!$D:$D,0)+COUNTIF($E82:W82,"u")+COUNTIF($E82:W82,"t")+COUNTIF($E82:W82,"¶")+COUNTIF($E82:W82,"²")+COUNTIF($E82:W82,"µ")+COUNTIF($E82:W82,1),ColLivraison)=X$6,
  VLOOKUP($E82,INDIRECT("tri!"&amp; CHAR(64+ C0Col) &amp;":"&amp; CHAR(65+C0Col)),2,FALSE)&gt;COUNTIF($E82:W82,"u")+COUNTIF($E82:W82,"t")+COUNTIF($E82:W82,"¶")+COUNTIF($E82:W82,"²")+COUNTIF($E82:W82,"µ")+COUNTIF($E82:W82,1)),
HYPERLINK("#Roadmap!C"&amp; MATCH($E82,Roadmap!$D:$D,0)+COUNTIF($E82:W82,"u")+COUNTIF($E82:W82,"t"),
     INDEX(Roadmap!$D:$K,MATCH($E82,Roadmap!$D:$D,0)+COUNTIF($E82:W82,"u")+COUNTIF($E82:W82,"t")+COUNTIF($E82:W82,"¶")+COUNTIF($E82:W82,"²")+COUNTIF($E82:W82,"µ")+COUNTIF($E82:W82,1),ColTypeEcheance)),
  IF(LEN(W82)=1,
  IF(LEN(INDEX(Roadmap!$D:$K,MATCH($E82,Roadmap!$D:$D,0)-1+COUNTIF($E82:W82,"u")+COUNTIF($E82:W82,"t")+COUNTIF($E82:W82,"¶")+COUNTIF($E82:W82,"²")+COUNTIF($E82:W82,"µ")+COUNTIF($E82:W82,1),ColDescriptionCourte))&gt;1,
HYPERLINK("#Roadmap!C"&amp; MATCH($E82,Roadmap!$D:$D,0)+COUNTIF($E82:W82,"u")+COUNTIF($E82:W82,"t")+COUNTIF($E82:W82,"¶")+COUNTIF($E82:W82,"²")+COUNTIF($E82:W82,"µ")+COUNTIF($E82:W82,1)-1,INDEX(Roadmap!$D:$K,MATCH($E82,Roadmap!$D:$D,0)-1+COUNTIF($E82:W82,"u")+COUNTIF($E82:W82,"t")+COUNTIF($E82:W82,"¶")+COUNTIF($E82:W82,"²")+COUNTIF($E82:W82,"µ")+COUNTIF($E82:W82,1),ColDescriptionCourte)),""),
  "")),"")</f>
        <v/>
      </c>
      <c r="Y82" s="40" t="str">
        <f ca="1">IFERROR(IF(AND(
  INDEX(Roadmap!$D:$K,MATCH($E82,Roadmap!$D:$D,0)+COUNTIF($E82:X82,"u")+COUNTIF($E82:X82,"t")+COUNTIF($E82:X82,"¶")+COUNTIF($E82:X82,"²")+COUNTIF($E82:X82,"µ")+COUNTIF($E82:X82,1),ColLivraison)=Y$6,
  VLOOKUP($E82,INDIRECT("tri!"&amp; CHAR(64+ C0Col) &amp;":"&amp; CHAR(65+C0Col)),2,FALSE)&gt;COUNTIF($E82:X82,"u")+COUNTIF($E82:X82,"t")+COUNTIF($E82:X82,"¶")+COUNTIF($E82:X82,"²")+COUNTIF($E82:X82,"µ")+COUNTIF($E82:X82,1)),
HYPERLINK("#Roadmap!C"&amp; MATCH($E82,Roadmap!$D:$D,0)+COUNTIF($E82:X82,"u")+COUNTIF($E82:X82,"t"),
     INDEX(Roadmap!$D:$K,MATCH($E82,Roadmap!$D:$D,0)+COUNTIF($E82:X82,"u")+COUNTIF($E82:X82,"t")+COUNTIF($E82:X82,"¶")+COUNTIF($E82:X82,"²")+COUNTIF($E82:X82,"µ")+COUNTIF($E82:X82,1),ColTypeEcheance)),
  IF(LEN(X82)=1,
  IF(LEN(INDEX(Roadmap!$D:$K,MATCH($E82,Roadmap!$D:$D,0)-1+COUNTIF($E82:X82,"u")+COUNTIF($E82:X82,"t")+COUNTIF($E82:X82,"¶")+COUNTIF($E82:X82,"²")+COUNTIF($E82:X82,"µ")+COUNTIF($E82:X82,1),ColDescriptionCourte))&gt;1,
HYPERLINK("#Roadmap!C"&amp; MATCH($E82,Roadmap!$D:$D,0)+COUNTIF($E82:X82,"u")+COUNTIF($E82:X82,"t")+COUNTIF($E82:X82,"¶")+COUNTIF($E82:X82,"²")+COUNTIF($E82:X82,"µ")+COUNTIF($E82:X82,1)-1,INDEX(Roadmap!$D:$K,MATCH($E82,Roadmap!$D:$D,0)-1+COUNTIF($E82:X82,"u")+COUNTIF($E82:X82,"t")+COUNTIF($E82:X82,"¶")+COUNTIF($E82:X82,"²")+COUNTIF($E82:X82,"µ")+COUNTIF($E82:X82,1),ColDescriptionCourte)),""),
  "")),"")</f>
        <v/>
      </c>
      <c r="Z82" s="40" t="str">
        <f ca="1">IFERROR(IF(AND(
  INDEX(Roadmap!$D:$K,MATCH($E82,Roadmap!$D:$D,0)+COUNTIF($E82:Y82,"u")+COUNTIF($E82:Y82,"t")+COUNTIF($E82:Y82,"¶")+COUNTIF($E82:Y82,"²")+COUNTIF($E82:Y82,"µ")+COUNTIF($E82:Y82,1),ColLivraison)=Z$6,
  VLOOKUP($E82,INDIRECT("tri!"&amp; CHAR(64+ C0Col) &amp;":"&amp; CHAR(65+C0Col)),2,FALSE)&gt;COUNTIF($E82:Y82,"u")+COUNTIF($E82:Y82,"t")+COUNTIF($E82:Y82,"¶")+COUNTIF($E82:Y82,"²")+COUNTIF($E82:Y82,"µ")+COUNTIF($E82:Y82,1)),
HYPERLINK("#Roadmap!C"&amp; MATCH($E82,Roadmap!$D:$D,0)+COUNTIF($E82:Y82,"u")+COUNTIF($E82:Y82,"t"),
     INDEX(Roadmap!$D:$K,MATCH($E82,Roadmap!$D:$D,0)+COUNTIF($E82:Y82,"u")+COUNTIF($E82:Y82,"t")+COUNTIF($E82:Y82,"¶")+COUNTIF($E82:Y82,"²")+COUNTIF($E82:Y82,"µ")+COUNTIF($E82:Y82,1),ColTypeEcheance)),
  IF(LEN(Y82)=1,
  IF(LEN(INDEX(Roadmap!$D:$K,MATCH($E82,Roadmap!$D:$D,0)-1+COUNTIF($E82:Y82,"u")+COUNTIF($E82:Y82,"t")+COUNTIF($E82:Y82,"¶")+COUNTIF($E82:Y82,"²")+COUNTIF($E82:Y82,"µ")+COUNTIF($E82:Y82,1),ColDescriptionCourte))&gt;1,
HYPERLINK("#Roadmap!C"&amp; MATCH($E82,Roadmap!$D:$D,0)+COUNTIF($E82:Y82,"u")+COUNTIF($E82:Y82,"t")+COUNTIF($E82:Y82,"¶")+COUNTIF($E82:Y82,"²")+COUNTIF($E82:Y82,"µ")+COUNTIF($E82:Y82,1)-1,INDEX(Roadmap!$D:$K,MATCH($E82,Roadmap!$D:$D,0)-1+COUNTIF($E82:Y82,"u")+COUNTIF($E82:Y82,"t")+COUNTIF($E82:Y82,"¶")+COUNTIF($E82:Y82,"²")+COUNTIF($E82:Y82,"µ")+COUNTIF($E82:Y82,1),ColDescriptionCourte)),""),
  "")),"")</f>
        <v/>
      </c>
      <c r="AA82" s="40" t="str">
        <f ca="1">IFERROR(IF(AND(
  INDEX(Roadmap!$D:$K,MATCH($E82,Roadmap!$D:$D,0)+COUNTIF($E82:Z82,"u")+COUNTIF($E82:Z82,"t")+COUNTIF($E82:Z82,"¶")+COUNTIF($E82:Z82,"²")+COUNTIF($E82:Z82,"µ")+COUNTIF($E82:Z82,1),ColLivraison)=AA$6,
  VLOOKUP($E82,INDIRECT("tri!"&amp; CHAR(64+ C0Col) &amp;":"&amp; CHAR(65+C0Col)),2,FALSE)&gt;COUNTIF($E82:Z82,"u")+COUNTIF($E82:Z82,"t")+COUNTIF($E82:Z82,"¶")+COUNTIF($E82:Z82,"²")+COUNTIF($E82:Z82,"µ")+COUNTIF($E82:Z82,1)),
HYPERLINK("#Roadmap!C"&amp; MATCH($E82,Roadmap!$D:$D,0)+COUNTIF($E82:Z82,"u")+COUNTIF($E82:Z82,"t"),
     INDEX(Roadmap!$D:$K,MATCH($E82,Roadmap!$D:$D,0)+COUNTIF($E82:Z82,"u")+COUNTIF($E82:Z82,"t")+COUNTIF($E82:Z82,"¶")+COUNTIF($E82:Z82,"²")+COUNTIF($E82:Z82,"µ")+COUNTIF($E82:Z82,1),ColTypeEcheance)),
  IF(LEN(Z82)=1,
  IF(LEN(INDEX(Roadmap!$D:$K,MATCH($E82,Roadmap!$D:$D,0)-1+COUNTIF($E82:Z82,"u")+COUNTIF($E82:Z82,"t")+COUNTIF($E82:Z82,"¶")+COUNTIF($E82:Z82,"²")+COUNTIF($E82:Z82,"µ")+COUNTIF($E82:Z82,1),ColDescriptionCourte))&gt;1,
HYPERLINK("#Roadmap!C"&amp; MATCH($E82,Roadmap!$D:$D,0)+COUNTIF($E82:Z82,"u")+COUNTIF($E82:Z82,"t")+COUNTIF($E82:Z82,"¶")+COUNTIF($E82:Z82,"²")+COUNTIF($E82:Z82,"µ")+COUNTIF($E82:Z82,1)-1,INDEX(Roadmap!$D:$K,MATCH($E82,Roadmap!$D:$D,0)-1+COUNTIF($E82:Z82,"u")+COUNTIF($E82:Z82,"t")+COUNTIF($E82:Z82,"¶")+COUNTIF($E82:Z82,"²")+COUNTIF($E82:Z82,"µ")+COUNTIF($E82:Z82,1),ColDescriptionCourte)),""),
  "")),"")</f>
        <v/>
      </c>
      <c r="AB82" s="40" t="str">
        <f ca="1">IFERROR(IF(AND(
  INDEX(Roadmap!$D:$K,MATCH($E82,Roadmap!$D:$D,0)+COUNTIF($E82:AA82,"u")+COUNTIF($E82:AA82,"t")+COUNTIF($E82:AA82,"¶")+COUNTIF($E82:AA82,"²")+COUNTIF($E82:AA82,"µ")+COUNTIF($E82:AA82,1),ColLivraison)=AB$6,
  VLOOKUP($E82,INDIRECT("tri!"&amp; CHAR(64+ C0Col) &amp;":"&amp; CHAR(65+C0Col)),2,FALSE)&gt;COUNTIF($E82:AA82,"u")+COUNTIF($E82:AA82,"t")+COUNTIF($E82:AA82,"¶")+COUNTIF($E82:AA82,"²")+COUNTIF($E82:AA82,"µ")+COUNTIF($E82:AA82,1)),
HYPERLINK("#Roadmap!C"&amp; MATCH($E82,Roadmap!$D:$D,0)+COUNTIF($E82:AA82,"u")+COUNTIF($E82:AA82,"t"),
     INDEX(Roadmap!$D:$K,MATCH($E82,Roadmap!$D:$D,0)+COUNTIF($E82:AA82,"u")+COUNTIF($E82:AA82,"t")+COUNTIF($E82:AA82,"¶")+COUNTIF($E82:AA82,"²")+COUNTIF($E82:AA82,"µ")+COUNTIF($E82:AA82,1),ColTypeEcheance)),
  IF(LEN(AA82)=1,
  IF(LEN(INDEX(Roadmap!$D:$K,MATCH($E82,Roadmap!$D:$D,0)-1+COUNTIF($E82:AA82,"u")+COUNTIF($E82:AA82,"t")+COUNTIF($E82:AA82,"¶")+COUNTIF($E82:AA82,"²")+COUNTIF($E82:AA82,"µ")+COUNTIF($E82:AA82,1),ColDescriptionCourte))&gt;1,
HYPERLINK("#Roadmap!C"&amp; MATCH($E82,Roadmap!$D:$D,0)+COUNTIF($E82:AA82,"u")+COUNTIF($E82:AA82,"t")+COUNTIF($E82:AA82,"¶")+COUNTIF($E82:AA82,"²")+COUNTIF($E82:AA82,"µ")+COUNTIF($E82:AA82,1)-1,INDEX(Roadmap!$D:$K,MATCH($E82,Roadmap!$D:$D,0)-1+COUNTIF($E82:AA82,"u")+COUNTIF($E82:AA82,"t")+COUNTIF($E82:AA82,"¶")+COUNTIF($E82:AA82,"²")+COUNTIF($E82:AA82,"µ")+COUNTIF($E82:AA82,1),ColDescriptionCourte)),""),
  "")),"")</f>
        <v/>
      </c>
      <c r="AC82" s="40" t="str">
        <f ca="1">IFERROR(IF(AND(
  INDEX(Roadmap!$D:$K,MATCH($E82,Roadmap!$D:$D,0)+COUNTIF($E82:AB82,"u")+COUNTIF($E82:AB82,"t")+COUNTIF($E82:AB82,"¶")+COUNTIF($E82:AB82,"²")+COUNTIF($E82:AB82,"µ")+COUNTIF($E82:AB82,1),ColLivraison)=AC$6,
  VLOOKUP($E82,INDIRECT("tri!"&amp; CHAR(64+ C0Col) &amp;":"&amp; CHAR(65+C0Col)),2,FALSE)&gt;COUNTIF($E82:AB82,"u")+COUNTIF($E82:AB82,"t")+COUNTIF($E82:AB82,"¶")+COUNTIF($E82:AB82,"²")+COUNTIF($E82:AB82,"µ")+COUNTIF($E82:AB82,1)),
HYPERLINK("#Roadmap!C"&amp; MATCH($E82,Roadmap!$D:$D,0)+COUNTIF($E82:AB82,"u")+COUNTIF($E82:AB82,"t"),
     INDEX(Roadmap!$D:$K,MATCH($E82,Roadmap!$D:$D,0)+COUNTIF($E82:AB82,"u")+COUNTIF($E82:AB82,"t")+COUNTIF($E82:AB82,"¶")+COUNTIF($E82:AB82,"²")+COUNTIF($E82:AB82,"µ")+COUNTIF($E82:AB82,1),ColTypeEcheance)),
  IF(LEN(AB82)=1,
  IF(LEN(INDEX(Roadmap!$D:$K,MATCH($E82,Roadmap!$D:$D,0)-1+COUNTIF($E82:AB82,"u")+COUNTIF($E82:AB82,"t")+COUNTIF($E82:AB82,"¶")+COUNTIF($E82:AB82,"²")+COUNTIF($E82:AB82,"µ")+COUNTIF($E82:AB82,1),ColDescriptionCourte))&gt;1,
HYPERLINK("#Roadmap!C"&amp; MATCH($E82,Roadmap!$D:$D,0)+COUNTIF($E82:AB82,"u")+COUNTIF($E82:AB82,"t")+COUNTIF($E82:AB82,"¶")+COUNTIF($E82:AB82,"²")+COUNTIF($E82:AB82,"µ")+COUNTIF($E82:AB82,1)-1,INDEX(Roadmap!$D:$K,MATCH($E82,Roadmap!$D:$D,0)-1+COUNTIF($E82:AB82,"u")+COUNTIF($E82:AB82,"t")+COUNTIF($E82:AB82,"¶")+COUNTIF($E82:AB82,"²")+COUNTIF($E82:AB82,"µ")+COUNTIF($E82:AB82,1),ColDescriptionCourte)),""),
  "")),"")</f>
        <v/>
      </c>
      <c r="AD82" s="40" t="str">
        <f ca="1">IFERROR(IF(AND(
  INDEX(Roadmap!$D:$K,MATCH($E82,Roadmap!$D:$D,0)+COUNTIF($E82:AC82,"u")+COUNTIF($E82:AC82,"t")+COUNTIF($E82:AC82,"¶")+COUNTIF($E82:AC82,"²")+COUNTIF($E82:AC82,"µ")+COUNTIF($E82:AC82,1),ColLivraison)=AD$6,
  VLOOKUP($E82,INDIRECT("tri!"&amp; CHAR(64+ C0Col) &amp;":"&amp; CHAR(65+C0Col)),2,FALSE)&gt;COUNTIF($E82:AC82,"u")+COUNTIF($E82:AC82,"t")+COUNTIF($E82:AC82,"¶")+COUNTIF($E82:AC82,"²")+COUNTIF($E82:AC82,"µ")+COUNTIF($E82:AC82,1)),
HYPERLINK("#Roadmap!C"&amp; MATCH($E82,Roadmap!$D:$D,0)+COUNTIF($E82:AC82,"u")+COUNTIF($E82:AC82,"t"),
     INDEX(Roadmap!$D:$K,MATCH($E82,Roadmap!$D:$D,0)+COUNTIF($E82:AC82,"u")+COUNTIF($E82:AC82,"t")+COUNTIF($E82:AC82,"¶")+COUNTIF($E82:AC82,"²")+COUNTIF($E82:AC82,"µ")+COUNTIF($E82:AC82,1),ColTypeEcheance)),
  IF(LEN(AC82)=1,
  IF(LEN(INDEX(Roadmap!$D:$K,MATCH($E82,Roadmap!$D:$D,0)-1+COUNTIF($E82:AC82,"u")+COUNTIF($E82:AC82,"t")+COUNTIF($E82:AC82,"¶")+COUNTIF($E82:AC82,"²")+COUNTIF($E82:AC82,"µ")+COUNTIF($E82:AC82,1),ColDescriptionCourte))&gt;1,
HYPERLINK("#Roadmap!C"&amp; MATCH($E82,Roadmap!$D:$D,0)+COUNTIF($E82:AC82,"u")+COUNTIF($E82:AC82,"t")+COUNTIF($E82:AC82,"¶")+COUNTIF($E82:AC82,"²")+COUNTIF($E82:AC82,"µ")+COUNTIF($E82:AC82,1)-1,INDEX(Roadmap!$D:$K,MATCH($E82,Roadmap!$D:$D,0)-1+COUNTIF($E82:AC82,"u")+COUNTIF($E82:AC82,"t")+COUNTIF($E82:AC82,"¶")+COUNTIF($E82:AC82,"²")+COUNTIF($E82:AC82,"µ")+COUNTIF($E82:AC82,1),ColDescriptionCourte)),""),
  "")),"")</f>
        <v/>
      </c>
      <c r="AE82" s="40" t="str">
        <f ca="1">IFERROR(IF(AND(
  INDEX(Roadmap!$D:$K,MATCH($E82,Roadmap!$D:$D,0)+COUNTIF($E82:AD82,"u")+COUNTIF($E82:AD82,"t")+COUNTIF($E82:AD82,"¶")+COUNTIF($E82:AD82,"²")+COUNTIF($E82:AD82,"µ")+COUNTIF($E82:AD82,1),ColLivraison)=AE$6,
  VLOOKUP($E82,INDIRECT("tri!"&amp; CHAR(64+ C0Col) &amp;":"&amp; CHAR(65+C0Col)),2,FALSE)&gt;COUNTIF($E82:AD82,"u")+COUNTIF($E82:AD82,"t")+COUNTIF($E82:AD82,"¶")+COUNTIF($E82:AD82,"²")+COUNTIF($E82:AD82,"µ")+COUNTIF($E82:AD82,1)),
HYPERLINK("#Roadmap!C"&amp; MATCH($E82,Roadmap!$D:$D,0)+COUNTIF($E82:AD82,"u")+COUNTIF($E82:AD82,"t"),
     INDEX(Roadmap!$D:$K,MATCH($E82,Roadmap!$D:$D,0)+COUNTIF($E82:AD82,"u")+COUNTIF($E82:AD82,"t")+COUNTIF($E82:AD82,"¶")+COUNTIF($E82:AD82,"²")+COUNTIF($E82:AD82,"µ")+COUNTIF($E82:AD82,1),ColTypeEcheance)),
  IF(LEN(AD82)=1,
  IF(LEN(INDEX(Roadmap!$D:$K,MATCH($E82,Roadmap!$D:$D,0)-1+COUNTIF($E82:AD82,"u")+COUNTIF($E82:AD82,"t")+COUNTIF($E82:AD82,"¶")+COUNTIF($E82:AD82,"²")+COUNTIF($E82:AD82,"µ")+COUNTIF($E82:AD82,1),ColDescriptionCourte))&gt;1,
HYPERLINK("#Roadmap!C"&amp; MATCH($E82,Roadmap!$D:$D,0)+COUNTIF($E82:AD82,"u")+COUNTIF($E82:AD82,"t")+COUNTIF($E82:AD82,"¶")+COUNTIF($E82:AD82,"²")+COUNTIF($E82:AD82,"µ")+COUNTIF($E82:AD82,1)-1,INDEX(Roadmap!$D:$K,MATCH($E82,Roadmap!$D:$D,0)-1+COUNTIF($E82:AD82,"u")+COUNTIF($E82:AD82,"t")+COUNTIF($E82:AD82,"¶")+COUNTIF($E82:AD82,"²")+COUNTIF($E82:AD82,"µ")+COUNTIF($E82:AD82,1),ColDescriptionCourte)),""),
  "")),"")</f>
        <v/>
      </c>
      <c r="AF82" s="40" t="str">
        <f ca="1">IFERROR(IF(AND(
  INDEX(Roadmap!$D:$K,MATCH($E82,Roadmap!$D:$D,0)+COUNTIF($E82:AE82,"u")+COUNTIF($E82:AE82,"t")+COUNTIF($E82:AE82,"¶")+COUNTIF($E82:AE82,"²")+COUNTIF($E82:AE82,"µ")+COUNTIF($E82:AE82,1),ColLivraison)=AF$6,
  VLOOKUP($E82,INDIRECT("tri!"&amp; CHAR(64+ C0Col) &amp;":"&amp; CHAR(65+C0Col)),2,FALSE)&gt;COUNTIF($E82:AE82,"u")+COUNTIF($E82:AE82,"t")+COUNTIF($E82:AE82,"¶")+COUNTIF($E82:AE82,"²")+COUNTIF($E82:AE82,"µ")+COUNTIF($E82:AE82,1)),
HYPERLINK("#Roadmap!C"&amp; MATCH($E82,Roadmap!$D:$D,0)+COUNTIF($E82:AE82,"u")+COUNTIF($E82:AE82,"t"),
     INDEX(Roadmap!$D:$K,MATCH($E82,Roadmap!$D:$D,0)+COUNTIF($E82:AE82,"u")+COUNTIF($E82:AE82,"t")+COUNTIF($E82:AE82,"¶")+COUNTIF($E82:AE82,"²")+COUNTIF($E82:AE82,"µ")+COUNTIF($E82:AE82,1),ColTypeEcheance)),
  IF(LEN(AE82)=1,
  IF(LEN(INDEX(Roadmap!$D:$K,MATCH($E82,Roadmap!$D:$D,0)-1+COUNTIF($E82:AE82,"u")+COUNTIF($E82:AE82,"t")+COUNTIF($E82:AE82,"¶")+COUNTIF($E82:AE82,"²")+COUNTIF($E82:AE82,"µ")+COUNTIF($E82:AE82,1),ColDescriptionCourte))&gt;1,
HYPERLINK("#Roadmap!C"&amp; MATCH($E82,Roadmap!$D:$D,0)+COUNTIF($E82:AE82,"u")+COUNTIF($E82:AE82,"t")+COUNTIF($E82:AE82,"¶")+COUNTIF($E82:AE82,"²")+COUNTIF($E82:AE82,"µ")+COUNTIF($E82:AE82,1)-1,INDEX(Roadmap!$D:$K,MATCH($E82,Roadmap!$D:$D,0)-1+COUNTIF($E82:AE82,"u")+COUNTIF($E82:AE82,"t")+COUNTIF($E82:AE82,"¶")+COUNTIF($E82:AE82,"²")+COUNTIF($E82:AE82,"µ")+COUNTIF($E82:AE82,1),ColDescriptionCourte)),""),
  "")),"")</f>
        <v/>
      </c>
      <c r="AG82" s="40" t="str">
        <f ca="1">IFERROR(IF(AND(
  INDEX(Roadmap!$D:$K,MATCH($E82,Roadmap!$D:$D,0)+COUNTIF($E82:AF82,"u")+COUNTIF($E82:AF82,"t")+COUNTIF($E82:AF82,"¶")+COUNTIF($E82:AF82,"²")+COUNTIF($E82:AF82,"µ")+COUNTIF($E82:AF82,1),ColLivraison)=AG$6,
  VLOOKUP($E82,INDIRECT("tri!"&amp; CHAR(64+ C0Col) &amp;":"&amp; CHAR(65+C0Col)),2,FALSE)&gt;COUNTIF($E82:AF82,"u")+COUNTIF($E82:AF82,"t")+COUNTIF($E82:AF82,"¶")+COUNTIF($E82:AF82,"²")+COUNTIF($E82:AF82,"µ")+COUNTIF($E82:AF82,1)),
HYPERLINK("#Roadmap!C"&amp; MATCH($E82,Roadmap!$D:$D,0)+COUNTIF($E82:AF82,"u")+COUNTIF($E82:AF82,"t"),
     INDEX(Roadmap!$D:$K,MATCH($E82,Roadmap!$D:$D,0)+COUNTIF($E82:AF82,"u")+COUNTIF($E82:AF82,"t")+COUNTIF($E82:AF82,"¶")+COUNTIF($E82:AF82,"²")+COUNTIF($E82:AF82,"µ")+COUNTIF($E82:AF82,1),ColTypeEcheance)),
  IF(LEN(AF82)=1,
  IF(LEN(INDEX(Roadmap!$D:$K,MATCH($E82,Roadmap!$D:$D,0)-1+COUNTIF($E82:AF82,"u")+COUNTIF($E82:AF82,"t")+COUNTIF($E82:AF82,"¶")+COUNTIF($E82:AF82,"²")+COUNTIF($E82:AF82,"µ")+COUNTIF($E82:AF82,1),ColDescriptionCourte))&gt;1,
HYPERLINK("#Roadmap!C"&amp; MATCH($E82,Roadmap!$D:$D,0)+COUNTIF($E82:AF82,"u")+COUNTIF($E82:AF82,"t")+COUNTIF($E82:AF82,"¶")+COUNTIF($E82:AF82,"²")+COUNTIF($E82:AF82,"µ")+COUNTIF($E82:AF82,1)-1,INDEX(Roadmap!$D:$K,MATCH($E82,Roadmap!$D:$D,0)-1+COUNTIF($E82:AF82,"u")+COUNTIF($E82:AF82,"t")+COUNTIF($E82:AF82,"¶")+COUNTIF($E82:AF82,"²")+COUNTIF($E82:AF82,"µ")+COUNTIF($E82:AF82,1),ColDescriptionCourte)),""),
  "")),"")</f>
        <v/>
      </c>
    </row>
    <row r="83" spans="3:33" ht="14.25" customHeight="1">
      <c r="C83" s="1" t="str">
        <f t="shared" ca="1" si="47"/>
        <v/>
      </c>
      <c r="D83" s="1" t="str">
        <f t="shared" ca="1" si="48"/>
        <v/>
      </c>
      <c r="E83" s="35" t="str">
        <f t="shared" ca="1" si="46"/>
        <v/>
      </c>
      <c r="F83" s="39" t="str">
        <f ca="1">IFERROR(IF(AND(
  INDEX(Roadmap!$D:$K,MATCH($E83,Roadmap!$D:$D,0)+COUNTIF($E83:E83,"u")+COUNTIF($E83:E83,"t")+COUNTIF($E83:E83,"¶")+COUNTIF($E83:E83,"²")+COUNTIF($E83:E83,"µ")+COUNTIF($E83:E83,1),ColLivraison)=F$6,
  VLOOKUP($E83,INDIRECT("tri!"&amp; CHAR(64+ C0Col) &amp;":"&amp; CHAR(65+C0Col)),2,FALSE)&gt;COUNTIF($E83:E83,"u")+COUNTIF($E83:E83,"t")+COUNTIF($E83:E83,"¶")+COUNTIF($E83:E83,"²")+COUNTIF($E83:E83,"µ")+COUNTIF($E83:E83,1)),
HYPERLINK("#Roadmap!C"&amp; MATCH($E83,Roadmap!$D:$D,0)+COUNTIF($E83:E83,"u")+COUNTIF($E83:E83,"t"),
     INDEX(Roadmap!$D:$K,MATCH($E83,Roadmap!$D:$D,0)+COUNTIF($E83:E83,"u")+COUNTIF($E83:E83,"t")+COUNTIF($E83:E83,"¶")+COUNTIF($E83:E83,"²")+COUNTIF($E83:E83,"µ")+COUNTIF($E83:E83,1),ColTypeEcheance)),
  IF(LEN(E83)=1,
  IF(LEN(INDEX(Roadmap!$D:$K,MATCH($E83,Roadmap!$D:$D,0)-1+COUNTIF($E83:E83,"u")+COUNTIF($E83:E83,"t")+COUNTIF($E83:E83,"¶")+COUNTIF($E83:E83,"²")+COUNTIF($E83:E83,"µ")+COUNTIF($E83:E83,1),ColDescriptionCourte))&gt;1,
HYPERLINK("#Roadmap!C"&amp; MATCH($E83,Roadmap!$D:$D,0)+COUNTIF($E83:E83,"u")+COUNTIF($E83:E83,"t")+COUNTIF($E83:E83,"¶")+COUNTIF($E83:E83,"²")+COUNTIF($E83:E83,"µ")+COUNTIF($E83:E83,1)-1,INDEX(Roadmap!$D:$K,MATCH($E83,Roadmap!$D:$D,0)-1+COUNTIF($E83:E83,"u")+COUNTIF($E83:E83,"t")+COUNTIF($E83:E83,"¶")+COUNTIF($E83:E83,"²")+COUNTIF($E83:E83,"µ")+COUNTIF($E83:E83,1),ColDescriptionCourte)),""),
  "")),"")</f>
        <v/>
      </c>
      <c r="G83" s="40" t="str">
        <f ca="1">IFERROR(IF(AND(
  INDEX(Roadmap!$D:$K,MATCH($E83,Roadmap!$D:$D,0)+COUNTIF($E83:F83,"u")+COUNTIF($E83:F83,"t")+COUNTIF($E83:F83,"¶")+COUNTIF($E83:F83,"²")+COUNTIF($E83:F83,"µ")+COUNTIF($E83:F83,1),ColLivraison)=G$6,
  VLOOKUP($E83,INDIRECT("tri!"&amp; CHAR(64+ C0Col) &amp;":"&amp; CHAR(65+C0Col)),2,FALSE)&gt;COUNTIF($E83:F83,"u")+COUNTIF($E83:F83,"t")+COUNTIF($E83:F83,"¶")+COUNTIF($E83:F83,"²")+COUNTIF($E83:F83,"µ")+COUNTIF($E83:F83,1)),
HYPERLINK("#Roadmap!C"&amp; MATCH($E83,Roadmap!$D:$D,0)+COUNTIF($E83:F83,"u")+COUNTIF($E83:F83,"t"),
     INDEX(Roadmap!$D:$K,MATCH($E83,Roadmap!$D:$D,0)+COUNTIF($E83:F83,"u")+COUNTIF($E83:F83,"t")+COUNTIF($E83:F83,"¶")+COUNTIF($E83:F83,"²")+COUNTIF($E83:F83,"µ")+COUNTIF($E83:F83,1),ColTypeEcheance)),
  IF(LEN(F83)=1,
  IF(LEN(INDEX(Roadmap!$D:$K,MATCH($E83,Roadmap!$D:$D,0)-1+COUNTIF($E83:F83,"u")+COUNTIF($E83:F83,"t")+COUNTIF($E83:F83,"¶")+COUNTIF($E83:F83,"²")+COUNTIF($E83:F83,"µ")+COUNTIF($E83:F83,1),ColDescriptionCourte))&gt;1,
HYPERLINK("#Roadmap!C"&amp; MATCH($E83,Roadmap!$D:$D,0)+COUNTIF($E83:F83,"u")+COUNTIF($E83:F83,"t")+COUNTIF($E83:F83,"¶")+COUNTIF($E83:F83,"²")+COUNTIF($E83:F83,"µ")+COUNTIF($E83:F83,1)-1,INDEX(Roadmap!$D:$K,MATCH($E83,Roadmap!$D:$D,0)-1+COUNTIF($E83:F83,"u")+COUNTIF($E83:F83,"t")+COUNTIF($E83:F83,"¶")+COUNTIF($E83:F83,"²")+COUNTIF($E83:F83,"µ")+COUNTIF($E83:F83,1),ColDescriptionCourte)),""),
  "")),"")</f>
        <v/>
      </c>
      <c r="H83" s="40" t="str">
        <f ca="1">IFERROR(IF(AND(
  INDEX(Roadmap!$D:$K,MATCH($E83,Roadmap!$D:$D,0)+COUNTIF($E83:G83,"u")+COUNTIF($E83:G83,"t")+COUNTIF($E83:G83,"¶")+COUNTIF($E83:G83,"²")+COUNTIF($E83:G83,"µ")+COUNTIF($E83:G83,1),ColLivraison)=H$6,
  VLOOKUP($E83,INDIRECT("tri!"&amp; CHAR(64+ C0Col) &amp;":"&amp; CHAR(65+C0Col)),2,FALSE)&gt;COUNTIF($E83:G83,"u")+COUNTIF($E83:G83,"t")+COUNTIF($E83:G83,"¶")+COUNTIF($E83:G83,"²")+COUNTIF($E83:G83,"µ")+COUNTIF($E83:G83,1)),
HYPERLINK("#Roadmap!C"&amp; MATCH($E83,Roadmap!$D:$D,0)+COUNTIF($E83:G83,"u")+COUNTIF($E83:G83,"t"),
     INDEX(Roadmap!$D:$K,MATCH($E83,Roadmap!$D:$D,0)+COUNTIF($E83:G83,"u")+COUNTIF($E83:G83,"t")+COUNTIF($E83:G83,"¶")+COUNTIF($E83:G83,"²")+COUNTIF($E83:G83,"µ")+COUNTIF($E83:G83,1),ColTypeEcheance)),
  IF(LEN(G83)=1,
  IF(LEN(INDEX(Roadmap!$D:$K,MATCH($E83,Roadmap!$D:$D,0)-1+COUNTIF($E83:G83,"u")+COUNTIF($E83:G83,"t")+COUNTIF($E83:G83,"¶")+COUNTIF($E83:G83,"²")+COUNTIF($E83:G83,"µ")+COUNTIF($E83:G83,1),ColDescriptionCourte))&gt;1,
HYPERLINK("#Roadmap!C"&amp; MATCH($E83,Roadmap!$D:$D,0)+COUNTIF($E83:G83,"u")+COUNTIF($E83:G83,"t")+COUNTIF($E83:G83,"¶")+COUNTIF($E83:G83,"²")+COUNTIF($E83:G83,"µ")+COUNTIF($E83:G83,1)-1,INDEX(Roadmap!$D:$K,MATCH($E83,Roadmap!$D:$D,0)-1+COUNTIF($E83:G83,"u")+COUNTIF($E83:G83,"t")+COUNTIF($E83:G83,"¶")+COUNTIF($E83:G83,"²")+COUNTIF($E83:G83,"µ")+COUNTIF($E83:G83,1),ColDescriptionCourte)),""),
  "")),"")</f>
        <v/>
      </c>
      <c r="I83" s="40" t="str">
        <f ca="1">IFERROR(IF(AND(
  INDEX(Roadmap!$D:$K,MATCH($E83,Roadmap!$D:$D,0)+COUNTIF($E83:H83,"u")+COUNTIF($E83:H83,"t")+COUNTIF($E83:H83,"¶")+COUNTIF($E83:H83,"²")+COUNTIF($E83:H83,"µ")+COUNTIF($E83:H83,1),ColLivraison)=I$6,
  VLOOKUP($E83,INDIRECT("tri!"&amp; CHAR(64+ C0Col) &amp;":"&amp; CHAR(65+C0Col)),2,FALSE)&gt;COUNTIF($E83:H83,"u")+COUNTIF($E83:H83,"t")+COUNTIF($E83:H83,"¶")+COUNTIF($E83:H83,"²")+COUNTIF($E83:H83,"µ")+COUNTIF($E83:H83,1)),
HYPERLINK("#Roadmap!C"&amp; MATCH($E83,Roadmap!$D:$D,0)+COUNTIF($E83:H83,"u")+COUNTIF($E83:H83,"t"),
     INDEX(Roadmap!$D:$K,MATCH($E83,Roadmap!$D:$D,0)+COUNTIF($E83:H83,"u")+COUNTIF($E83:H83,"t")+COUNTIF($E83:H83,"¶")+COUNTIF($E83:H83,"²")+COUNTIF($E83:H83,"µ")+COUNTIF($E83:H83,1),ColTypeEcheance)),
  IF(LEN(H83)=1,
  IF(LEN(INDEX(Roadmap!$D:$K,MATCH($E83,Roadmap!$D:$D,0)-1+COUNTIF($E83:H83,"u")+COUNTIF($E83:H83,"t")+COUNTIF($E83:H83,"¶")+COUNTIF($E83:H83,"²")+COUNTIF($E83:H83,"µ")+COUNTIF($E83:H83,1),ColDescriptionCourte))&gt;1,
HYPERLINK("#Roadmap!C"&amp; MATCH($E83,Roadmap!$D:$D,0)+COUNTIF($E83:H83,"u")+COUNTIF($E83:H83,"t")+COUNTIF($E83:H83,"¶")+COUNTIF($E83:H83,"²")+COUNTIF($E83:H83,"µ")+COUNTIF($E83:H83,1)-1,INDEX(Roadmap!$D:$K,MATCH($E83,Roadmap!$D:$D,0)-1+COUNTIF($E83:H83,"u")+COUNTIF($E83:H83,"t")+COUNTIF($E83:H83,"¶")+COUNTIF($E83:H83,"²")+COUNTIF($E83:H83,"µ")+COUNTIF($E83:H83,1),ColDescriptionCourte)),""),
  "")),"")</f>
        <v/>
      </c>
      <c r="J83" s="40" t="str">
        <f ca="1">IFERROR(IF(AND(
  INDEX(Roadmap!$D:$K,MATCH($E83,Roadmap!$D:$D,0)+COUNTIF($E83:I83,"u")+COUNTIF($E83:I83,"t")+COUNTIF($E83:I83,"¶")+COUNTIF($E83:I83,"²")+COUNTIF($E83:I83,"µ")+COUNTIF($E83:I83,1),ColLivraison)=J$6,
  VLOOKUP($E83,INDIRECT("tri!"&amp; CHAR(64+ C0Col) &amp;":"&amp; CHAR(65+C0Col)),2,FALSE)&gt;COUNTIF($E83:I83,"u")+COUNTIF($E83:I83,"t")+COUNTIF($E83:I83,"¶")+COUNTIF($E83:I83,"²")+COUNTIF($E83:I83,"µ")+COUNTIF($E83:I83,1)),
HYPERLINK("#Roadmap!C"&amp; MATCH($E83,Roadmap!$D:$D,0)+COUNTIF($E83:I83,"u")+COUNTIF($E83:I83,"t"),
     INDEX(Roadmap!$D:$K,MATCH($E83,Roadmap!$D:$D,0)+COUNTIF($E83:I83,"u")+COUNTIF($E83:I83,"t")+COUNTIF($E83:I83,"¶")+COUNTIF($E83:I83,"²")+COUNTIF($E83:I83,"µ")+COUNTIF($E83:I83,1),ColTypeEcheance)),
  IF(LEN(I83)=1,
  IF(LEN(INDEX(Roadmap!$D:$K,MATCH($E83,Roadmap!$D:$D,0)-1+COUNTIF($E83:I83,"u")+COUNTIF($E83:I83,"t")+COUNTIF($E83:I83,"¶")+COUNTIF($E83:I83,"²")+COUNTIF($E83:I83,"µ")+COUNTIF($E83:I83,1),ColDescriptionCourte))&gt;1,
HYPERLINK("#Roadmap!C"&amp; MATCH($E83,Roadmap!$D:$D,0)+COUNTIF($E83:I83,"u")+COUNTIF($E83:I83,"t")+COUNTIF($E83:I83,"¶")+COUNTIF($E83:I83,"²")+COUNTIF($E83:I83,"µ")+COUNTIF($E83:I83,1)-1,INDEX(Roadmap!$D:$K,MATCH($E83,Roadmap!$D:$D,0)-1+COUNTIF($E83:I83,"u")+COUNTIF($E83:I83,"t")+COUNTIF($E83:I83,"¶")+COUNTIF($E83:I83,"²")+COUNTIF($E83:I83,"µ")+COUNTIF($E83:I83,1),ColDescriptionCourte)),""),
  "")),"")</f>
        <v/>
      </c>
      <c r="K83" s="40" t="str">
        <f ca="1">IFERROR(IF(AND(
  INDEX(Roadmap!$D:$K,MATCH($E83,Roadmap!$D:$D,0)+COUNTIF($E83:J83,"u")+COUNTIF($E83:J83,"t")+COUNTIF($E83:J83,"¶")+COUNTIF($E83:J83,"²")+COUNTIF($E83:J83,"µ")+COUNTIF($E83:J83,1),ColLivraison)=K$6,
  VLOOKUP($E83,INDIRECT("tri!"&amp; CHAR(64+ C0Col) &amp;":"&amp; CHAR(65+C0Col)),2,FALSE)&gt;COUNTIF($E83:J83,"u")+COUNTIF($E83:J83,"t")+COUNTIF($E83:J83,"¶")+COUNTIF($E83:J83,"²")+COUNTIF($E83:J83,"µ")+COUNTIF($E83:J83,1)),
HYPERLINK("#Roadmap!C"&amp; MATCH($E83,Roadmap!$D:$D,0)+COUNTIF($E83:J83,"u")+COUNTIF($E83:J83,"t"),
     INDEX(Roadmap!$D:$K,MATCH($E83,Roadmap!$D:$D,0)+COUNTIF($E83:J83,"u")+COUNTIF($E83:J83,"t")+COUNTIF($E83:J83,"¶")+COUNTIF($E83:J83,"²")+COUNTIF($E83:J83,"µ")+COUNTIF($E83:J83,1),ColTypeEcheance)),
  IF(LEN(J83)=1,
  IF(LEN(INDEX(Roadmap!$D:$K,MATCH($E83,Roadmap!$D:$D,0)-1+COUNTIF($E83:J83,"u")+COUNTIF($E83:J83,"t")+COUNTIF($E83:J83,"¶")+COUNTIF($E83:J83,"²")+COUNTIF($E83:J83,"µ")+COUNTIF($E83:J83,1),ColDescriptionCourte))&gt;1,
HYPERLINK("#Roadmap!C"&amp; MATCH($E83,Roadmap!$D:$D,0)+COUNTIF($E83:J83,"u")+COUNTIF($E83:J83,"t")+COUNTIF($E83:J83,"¶")+COUNTIF($E83:J83,"²")+COUNTIF($E83:J83,"µ")+COUNTIF($E83:J83,1)-1,INDEX(Roadmap!$D:$K,MATCH($E83,Roadmap!$D:$D,0)-1+COUNTIF($E83:J83,"u")+COUNTIF($E83:J83,"t")+COUNTIF($E83:J83,"¶")+COUNTIF($E83:J83,"²")+COUNTIF($E83:J83,"µ")+COUNTIF($E83:J83,1),ColDescriptionCourte)),""),
  "")),"")</f>
        <v/>
      </c>
      <c r="L83" s="39" t="str">
        <f ca="1">IFERROR(IF(AND(
  INDEX(Roadmap!$D:$K,MATCH($E83,Roadmap!$D:$D,0)+COUNTIF($E83:K83,"u")+COUNTIF($E83:K83,"t")+COUNTIF($E83:K83,"¶")+COUNTIF($E83:K83,"²")+COUNTIF($E83:K83,"µ")+COUNTIF($E83:K83,1),ColLivraison)=L$6,
  VLOOKUP($E83,INDIRECT("tri!"&amp; CHAR(64+ C0Col) &amp;":"&amp; CHAR(65+C0Col)),2,FALSE)&gt;COUNTIF($E83:K83,"u")+COUNTIF($E83:K83,"t")+COUNTIF($E83:K83,"¶")+COUNTIF($E83:K83,"²")+COUNTIF($E83:K83,"µ")+COUNTIF($E83:K83,1)),
HYPERLINK("#Roadmap!C"&amp; MATCH($E83,Roadmap!$D:$D,0)+COUNTIF($E83:K83,"u")+COUNTIF($E83:K83,"t"),
     INDEX(Roadmap!$D:$K,MATCH($E83,Roadmap!$D:$D,0)+COUNTIF($E83:K83,"u")+COUNTIF($E83:K83,"t")+COUNTIF($E83:K83,"¶")+COUNTIF($E83:K83,"²")+COUNTIF($E83:K83,"µ")+COUNTIF($E83:K83,1),ColTypeEcheance)),
  IF(LEN(K83)=1,
  IF(LEN(INDEX(Roadmap!$D:$K,MATCH($E83,Roadmap!$D:$D,0)-1+COUNTIF($E83:K83,"u")+COUNTIF($E83:K83,"t")+COUNTIF($E83:K83,"¶")+COUNTIF($E83:K83,"²")+COUNTIF($E83:K83,"µ")+COUNTIF($E83:K83,1),ColDescriptionCourte))&gt;1,
HYPERLINK("#Roadmap!C"&amp; MATCH($E83,Roadmap!$D:$D,0)+COUNTIF($E83:K83,"u")+COUNTIF($E83:K83,"t")+COUNTIF($E83:K83,"¶")+COUNTIF($E83:K83,"²")+COUNTIF($E83:K83,"µ")+COUNTIF($E83:K83,1)-1,INDEX(Roadmap!$D:$K,MATCH($E83,Roadmap!$D:$D,0)-1+COUNTIF($E83:K83,"u")+COUNTIF($E83:K83,"t")+COUNTIF($E83:K83,"¶")+COUNTIF($E83:K83,"²")+COUNTIF($E83:K83,"µ")+COUNTIF($E83:K83,1),ColDescriptionCourte)),""),
  "")),"")</f>
        <v/>
      </c>
      <c r="M83" s="40" t="str">
        <f ca="1">IFERROR(IF(AND(
  INDEX(Roadmap!$D:$K,MATCH($E83,Roadmap!$D:$D,0)+COUNTIF($E83:L83,"u")+COUNTIF($E83:L83,"t")+COUNTIF($E83:L83,"¶")+COUNTIF($E83:L83,"²")+COUNTIF($E83:L83,"µ")+COUNTIF($E83:L83,1),ColLivraison)=M$6,
  VLOOKUP($E83,INDIRECT("tri!"&amp; CHAR(64+ C0Col) &amp;":"&amp; CHAR(65+C0Col)),2,FALSE)&gt;COUNTIF($E83:L83,"u")+COUNTIF($E83:L83,"t")+COUNTIF($E83:L83,"¶")+COUNTIF($E83:L83,"²")+COUNTIF($E83:L83,"µ")+COUNTIF($E83:L83,1)),
HYPERLINK("#Roadmap!C"&amp; MATCH($E83,Roadmap!$D:$D,0)+COUNTIF($E83:L83,"u")+COUNTIF($E83:L83,"t"),
     INDEX(Roadmap!$D:$K,MATCH($E83,Roadmap!$D:$D,0)+COUNTIF($E83:L83,"u")+COUNTIF($E83:L83,"t")+COUNTIF($E83:L83,"¶")+COUNTIF($E83:L83,"²")+COUNTIF($E83:L83,"µ")+COUNTIF($E83:L83,1),ColTypeEcheance)),
  IF(LEN(L83)=1,
  IF(LEN(INDEX(Roadmap!$D:$K,MATCH($E83,Roadmap!$D:$D,0)-1+COUNTIF($E83:L83,"u")+COUNTIF($E83:L83,"t")+COUNTIF($E83:L83,"¶")+COUNTIF($E83:L83,"²")+COUNTIF($E83:L83,"µ")+COUNTIF($E83:L83,1),ColDescriptionCourte))&gt;1,
HYPERLINK("#Roadmap!C"&amp; MATCH($E83,Roadmap!$D:$D,0)+COUNTIF($E83:L83,"u")+COUNTIF($E83:L83,"t")+COUNTIF($E83:L83,"¶")+COUNTIF($E83:L83,"²")+COUNTIF($E83:L83,"µ")+COUNTIF($E83:L83,1)-1,INDEX(Roadmap!$D:$K,MATCH($E83,Roadmap!$D:$D,0)-1+COUNTIF($E83:L83,"u")+COUNTIF($E83:L83,"t")+COUNTIF($E83:L83,"¶")+COUNTIF($E83:L83,"²")+COUNTIF($E83:L83,"µ")+COUNTIF($E83:L83,1),ColDescriptionCourte)),""),
  "")),"")</f>
        <v/>
      </c>
      <c r="N83" s="40" t="str">
        <f ca="1">IFERROR(IF(AND(
  INDEX(Roadmap!$D:$K,MATCH($E83,Roadmap!$D:$D,0)+COUNTIF($E83:M83,"u")+COUNTIF($E83:M83,"t")+COUNTIF($E83:M83,"¶")+COUNTIF($E83:M83,"²")+COUNTIF($E83:M83,"µ")+COUNTIF($E83:M83,1),ColLivraison)=N$6,
  VLOOKUP($E83,INDIRECT("tri!"&amp; CHAR(64+ C0Col) &amp;":"&amp; CHAR(65+C0Col)),2,FALSE)&gt;COUNTIF($E83:M83,"u")+COUNTIF($E83:M83,"t")+COUNTIF($E83:M83,"¶")+COUNTIF($E83:M83,"²")+COUNTIF($E83:M83,"µ")+COUNTIF($E83:M83,1)),
HYPERLINK("#Roadmap!C"&amp; MATCH($E83,Roadmap!$D:$D,0)+COUNTIF($E83:M83,"u")+COUNTIF($E83:M83,"t"),
     INDEX(Roadmap!$D:$K,MATCH($E83,Roadmap!$D:$D,0)+COUNTIF($E83:M83,"u")+COUNTIF($E83:M83,"t")+COUNTIF($E83:M83,"¶")+COUNTIF($E83:M83,"²")+COUNTIF($E83:M83,"µ")+COUNTIF($E83:M83,1),ColTypeEcheance)),
  IF(LEN(M83)=1,
  IF(LEN(INDEX(Roadmap!$D:$K,MATCH($E83,Roadmap!$D:$D,0)-1+COUNTIF($E83:M83,"u")+COUNTIF($E83:M83,"t")+COUNTIF($E83:M83,"¶")+COUNTIF($E83:M83,"²")+COUNTIF($E83:M83,"µ")+COUNTIF($E83:M83,1),ColDescriptionCourte))&gt;1,
HYPERLINK("#Roadmap!C"&amp; MATCH($E83,Roadmap!$D:$D,0)+COUNTIF($E83:M83,"u")+COUNTIF($E83:M83,"t")+COUNTIF($E83:M83,"¶")+COUNTIF($E83:M83,"²")+COUNTIF($E83:M83,"µ")+COUNTIF($E83:M83,1)-1,INDEX(Roadmap!$D:$K,MATCH($E83,Roadmap!$D:$D,0)-1+COUNTIF($E83:M83,"u")+COUNTIF($E83:M83,"t")+COUNTIF($E83:M83,"¶")+COUNTIF($E83:M83,"²")+COUNTIF($E83:M83,"µ")+COUNTIF($E83:M83,1),ColDescriptionCourte)),""),
  "")),"")</f>
        <v/>
      </c>
      <c r="O83" s="40" t="str">
        <f ca="1">IFERROR(IF(AND(
  INDEX(Roadmap!$D:$K,MATCH($E83,Roadmap!$D:$D,0)+COUNTIF($E83:N83,"u")+COUNTIF($E83:N83,"t")+COUNTIF($E83:N83,"¶")+COUNTIF($E83:N83,"²")+COUNTIF($E83:N83,"µ")+COUNTIF($E83:N83,1),ColLivraison)=O$6,
  VLOOKUP($E83,INDIRECT("tri!"&amp; CHAR(64+ C0Col) &amp;":"&amp; CHAR(65+C0Col)),2,FALSE)&gt;COUNTIF($E83:N83,"u")+COUNTIF($E83:N83,"t")+COUNTIF($E83:N83,"¶")+COUNTIF($E83:N83,"²")+COUNTIF($E83:N83,"µ")+COUNTIF($E83:N83,1)),
HYPERLINK("#Roadmap!C"&amp; MATCH($E83,Roadmap!$D:$D,0)+COUNTIF($E83:N83,"u")+COUNTIF($E83:N83,"t"),
     INDEX(Roadmap!$D:$K,MATCH($E83,Roadmap!$D:$D,0)+COUNTIF($E83:N83,"u")+COUNTIF($E83:N83,"t")+COUNTIF($E83:N83,"¶")+COUNTIF($E83:N83,"²")+COUNTIF($E83:N83,"µ")+COUNTIF($E83:N83,1),ColTypeEcheance)),
  IF(LEN(N83)=1,
  IF(LEN(INDEX(Roadmap!$D:$K,MATCH($E83,Roadmap!$D:$D,0)-1+COUNTIF($E83:N83,"u")+COUNTIF($E83:N83,"t")+COUNTIF($E83:N83,"¶")+COUNTIF($E83:N83,"²")+COUNTIF($E83:N83,"µ")+COUNTIF($E83:N83,1),ColDescriptionCourte))&gt;1,
HYPERLINK("#Roadmap!C"&amp; MATCH($E83,Roadmap!$D:$D,0)+COUNTIF($E83:N83,"u")+COUNTIF($E83:N83,"t")+COUNTIF($E83:N83,"¶")+COUNTIF($E83:N83,"²")+COUNTIF($E83:N83,"µ")+COUNTIF($E83:N83,1)-1,INDEX(Roadmap!$D:$K,MATCH($E83,Roadmap!$D:$D,0)-1+COUNTIF($E83:N83,"u")+COUNTIF($E83:N83,"t")+COUNTIF($E83:N83,"¶")+COUNTIF($E83:N83,"²")+COUNTIF($E83:N83,"µ")+COUNTIF($E83:N83,1),ColDescriptionCourte)),""),
  "")),"")</f>
        <v/>
      </c>
      <c r="P83" s="40" t="str">
        <f ca="1">IFERROR(IF(AND(
  INDEX(Roadmap!$D:$K,MATCH($E83,Roadmap!$D:$D,0)+COUNTIF($E83:O83,"u")+COUNTIF($E83:O83,"t")+COUNTIF($E83:O83,"¶")+COUNTIF($E83:O83,"²")+COUNTIF($E83:O83,"µ")+COUNTIF($E83:O83,1),ColLivraison)=P$6,
  VLOOKUP($E83,INDIRECT("tri!"&amp; CHAR(64+ C0Col) &amp;":"&amp; CHAR(65+C0Col)),2,FALSE)&gt;COUNTIF($E83:O83,"u")+COUNTIF($E83:O83,"t")+COUNTIF($E83:O83,"¶")+COUNTIF($E83:O83,"²")+COUNTIF($E83:O83,"µ")+COUNTIF($E83:O83,1)),
HYPERLINK("#Roadmap!C"&amp; MATCH($E83,Roadmap!$D:$D,0)+COUNTIF($E83:O83,"u")+COUNTIF($E83:O83,"t"),
     INDEX(Roadmap!$D:$K,MATCH($E83,Roadmap!$D:$D,0)+COUNTIF($E83:O83,"u")+COUNTIF($E83:O83,"t")+COUNTIF($E83:O83,"¶")+COUNTIF($E83:O83,"²")+COUNTIF($E83:O83,"µ")+COUNTIF($E83:O83,1),ColTypeEcheance)),
  IF(LEN(O83)=1,
  IF(LEN(INDEX(Roadmap!$D:$K,MATCH($E83,Roadmap!$D:$D,0)-1+COUNTIF($E83:O83,"u")+COUNTIF($E83:O83,"t")+COUNTIF($E83:O83,"¶")+COUNTIF($E83:O83,"²")+COUNTIF($E83:O83,"µ")+COUNTIF($E83:O83,1),ColDescriptionCourte))&gt;1,
HYPERLINK("#Roadmap!C"&amp; MATCH($E83,Roadmap!$D:$D,0)+COUNTIF($E83:O83,"u")+COUNTIF($E83:O83,"t")+COUNTIF($E83:O83,"¶")+COUNTIF($E83:O83,"²")+COUNTIF($E83:O83,"µ")+COUNTIF($E83:O83,1)-1,INDEX(Roadmap!$D:$K,MATCH($E83,Roadmap!$D:$D,0)-1+COUNTIF($E83:O83,"u")+COUNTIF($E83:O83,"t")+COUNTIF($E83:O83,"¶")+COUNTIF($E83:O83,"²")+COUNTIF($E83:O83,"µ")+COUNTIF($E83:O83,1),ColDescriptionCourte)),""),
  "")),"")</f>
        <v/>
      </c>
      <c r="Q83" s="40" t="str">
        <f ca="1">IFERROR(IF(AND(
  INDEX(Roadmap!$D:$K,MATCH($E83,Roadmap!$D:$D,0)+COUNTIF($E83:P83,"u")+COUNTIF($E83:P83,"t")+COUNTIF($E83:P83,"¶")+COUNTIF($E83:P83,"²")+COUNTIF($E83:P83,"µ")+COUNTIF($E83:P83,1),ColLivraison)=Q$6,
  VLOOKUP($E83,INDIRECT("tri!"&amp; CHAR(64+ C0Col) &amp;":"&amp; CHAR(65+C0Col)),2,FALSE)&gt;COUNTIF($E83:P83,"u")+COUNTIF($E83:P83,"t")+COUNTIF($E83:P83,"¶")+COUNTIF($E83:P83,"²")+COUNTIF($E83:P83,"µ")+COUNTIF($E83:P83,1)),
HYPERLINK("#Roadmap!C"&amp; MATCH($E83,Roadmap!$D:$D,0)+COUNTIF($E83:P83,"u")+COUNTIF($E83:P83,"t"),
     INDEX(Roadmap!$D:$K,MATCH($E83,Roadmap!$D:$D,0)+COUNTIF($E83:P83,"u")+COUNTIF($E83:P83,"t")+COUNTIF($E83:P83,"¶")+COUNTIF($E83:P83,"²")+COUNTIF($E83:P83,"µ")+COUNTIF($E83:P83,1),ColTypeEcheance)),
  IF(LEN(P83)=1,
  IF(LEN(INDEX(Roadmap!$D:$K,MATCH($E83,Roadmap!$D:$D,0)-1+COUNTIF($E83:P83,"u")+COUNTIF($E83:P83,"t")+COUNTIF($E83:P83,"¶")+COUNTIF($E83:P83,"²")+COUNTIF($E83:P83,"µ")+COUNTIF($E83:P83,1),ColDescriptionCourte))&gt;1,
HYPERLINK("#Roadmap!C"&amp; MATCH($E83,Roadmap!$D:$D,0)+COUNTIF($E83:P83,"u")+COUNTIF($E83:P83,"t")+COUNTIF($E83:P83,"¶")+COUNTIF($E83:P83,"²")+COUNTIF($E83:P83,"µ")+COUNTIF($E83:P83,1)-1,INDEX(Roadmap!$D:$K,MATCH($E83,Roadmap!$D:$D,0)-1+COUNTIF($E83:P83,"u")+COUNTIF($E83:P83,"t")+COUNTIF($E83:P83,"¶")+COUNTIF($E83:P83,"²")+COUNTIF($E83:P83,"µ")+COUNTIF($E83:P83,1),ColDescriptionCourte)),""),
  "")),"")</f>
        <v/>
      </c>
      <c r="R83" s="40" t="str">
        <f ca="1">IFERROR(IF(AND(
  INDEX(Roadmap!$D:$K,MATCH($E83,Roadmap!$D:$D,0)+COUNTIF($E83:Q83,"u")+COUNTIF($E83:Q83,"t")+COUNTIF($E83:Q83,"¶")+COUNTIF($E83:Q83,"²")+COUNTIF($E83:Q83,"µ")+COUNTIF($E83:Q83,1),ColLivraison)=R$6,
  VLOOKUP($E83,INDIRECT("tri!"&amp; CHAR(64+ C0Col) &amp;":"&amp; CHAR(65+C0Col)),2,FALSE)&gt;COUNTIF($E83:Q83,"u")+COUNTIF($E83:Q83,"t")+COUNTIF($E83:Q83,"¶")+COUNTIF($E83:Q83,"²")+COUNTIF($E83:Q83,"µ")+COUNTIF($E83:Q83,1)),
HYPERLINK("#Roadmap!C"&amp; MATCH($E83,Roadmap!$D:$D,0)+COUNTIF($E83:Q83,"u")+COUNTIF($E83:Q83,"t"),
     INDEX(Roadmap!$D:$K,MATCH($E83,Roadmap!$D:$D,0)+COUNTIF($E83:Q83,"u")+COUNTIF($E83:Q83,"t")+COUNTIF($E83:Q83,"¶")+COUNTIF($E83:Q83,"²")+COUNTIF($E83:Q83,"µ")+COUNTIF($E83:Q83,1),ColTypeEcheance)),
  IF(LEN(Q83)=1,
  IF(LEN(INDEX(Roadmap!$D:$K,MATCH($E83,Roadmap!$D:$D,0)-1+COUNTIF($E83:Q83,"u")+COUNTIF($E83:Q83,"t")+COUNTIF($E83:Q83,"¶")+COUNTIF($E83:Q83,"²")+COUNTIF($E83:Q83,"µ")+COUNTIF($E83:Q83,1),ColDescriptionCourte))&gt;1,
HYPERLINK("#Roadmap!C"&amp; MATCH($E83,Roadmap!$D:$D,0)+COUNTIF($E83:Q83,"u")+COUNTIF($E83:Q83,"t")+COUNTIF($E83:Q83,"¶")+COUNTIF($E83:Q83,"²")+COUNTIF($E83:Q83,"µ")+COUNTIF($E83:Q83,1)-1,INDEX(Roadmap!$D:$K,MATCH($E83,Roadmap!$D:$D,0)-1+COUNTIF($E83:Q83,"u")+COUNTIF($E83:Q83,"t")+COUNTIF($E83:Q83,"¶")+COUNTIF($E83:Q83,"²")+COUNTIF($E83:Q83,"µ")+COUNTIF($E83:Q83,1),ColDescriptionCourte)),""),
  "")),"")</f>
        <v/>
      </c>
      <c r="S83" s="40" t="str">
        <f ca="1">IFERROR(IF(AND(
  INDEX(Roadmap!$D:$K,MATCH($E83,Roadmap!$D:$D,0)+COUNTIF($E83:R83,"u")+COUNTIF($E83:R83,"t")+COUNTIF($E83:R83,"¶")+COUNTIF($E83:R83,"²")+COUNTIF($E83:R83,"µ")+COUNTIF($E83:R83,1),ColLivraison)=S$6,
  VLOOKUP($E83,INDIRECT("tri!"&amp; CHAR(64+ C0Col) &amp;":"&amp; CHAR(65+C0Col)),2,FALSE)&gt;COUNTIF($E83:R83,"u")+COUNTIF($E83:R83,"t")+COUNTIF($E83:R83,"¶")+COUNTIF($E83:R83,"²")+COUNTIF($E83:R83,"µ")+COUNTIF($E83:R83,1)),
HYPERLINK("#Roadmap!C"&amp; MATCH($E83,Roadmap!$D:$D,0)+COUNTIF($E83:R83,"u")+COUNTIF($E83:R83,"t"),
     INDEX(Roadmap!$D:$K,MATCH($E83,Roadmap!$D:$D,0)+COUNTIF($E83:R83,"u")+COUNTIF($E83:R83,"t")+COUNTIF($E83:R83,"¶")+COUNTIF($E83:R83,"²")+COUNTIF($E83:R83,"µ")+COUNTIF($E83:R83,1),ColTypeEcheance)),
  IF(LEN(R83)=1,
  IF(LEN(INDEX(Roadmap!$D:$K,MATCH($E83,Roadmap!$D:$D,0)-1+COUNTIF($E83:R83,"u")+COUNTIF($E83:R83,"t")+COUNTIF($E83:R83,"¶")+COUNTIF($E83:R83,"²")+COUNTIF($E83:R83,"µ")+COUNTIF($E83:R83,1),ColDescriptionCourte))&gt;1,
HYPERLINK("#Roadmap!C"&amp; MATCH($E83,Roadmap!$D:$D,0)+COUNTIF($E83:R83,"u")+COUNTIF($E83:R83,"t")+COUNTIF($E83:R83,"¶")+COUNTIF($E83:R83,"²")+COUNTIF($E83:R83,"µ")+COUNTIF($E83:R83,1)-1,INDEX(Roadmap!$D:$K,MATCH($E83,Roadmap!$D:$D,0)-1+COUNTIF($E83:R83,"u")+COUNTIF($E83:R83,"t")+COUNTIF($E83:R83,"¶")+COUNTIF($E83:R83,"²")+COUNTIF($E83:R83,"µ")+COUNTIF($E83:R83,1),ColDescriptionCourte)),""),
  "")),"")</f>
        <v/>
      </c>
      <c r="T83" s="40" t="str">
        <f ca="1">IFERROR(IF(AND(
  INDEX(Roadmap!$D:$K,MATCH($E83,Roadmap!$D:$D,0)+COUNTIF($E83:S83,"u")+COUNTIF($E83:S83,"t")+COUNTIF($E83:S83,"¶")+COUNTIF($E83:S83,"²")+COUNTIF($E83:S83,"µ")+COUNTIF($E83:S83,1),ColLivraison)=T$6,
  VLOOKUP($E83,INDIRECT("tri!"&amp; CHAR(64+ C0Col) &amp;":"&amp; CHAR(65+C0Col)),2,FALSE)&gt;COUNTIF($E83:S83,"u")+COUNTIF($E83:S83,"t")+COUNTIF($E83:S83,"¶")+COUNTIF($E83:S83,"²")+COUNTIF($E83:S83,"µ")+COUNTIF($E83:S83,1)),
HYPERLINK("#Roadmap!C"&amp; MATCH($E83,Roadmap!$D:$D,0)+COUNTIF($E83:S83,"u")+COUNTIF($E83:S83,"t"),
     INDEX(Roadmap!$D:$K,MATCH($E83,Roadmap!$D:$D,0)+COUNTIF($E83:S83,"u")+COUNTIF($E83:S83,"t")+COUNTIF($E83:S83,"¶")+COUNTIF($E83:S83,"²")+COUNTIF($E83:S83,"µ")+COUNTIF($E83:S83,1),ColTypeEcheance)),
  IF(LEN(S83)=1,
  IF(LEN(INDEX(Roadmap!$D:$K,MATCH($E83,Roadmap!$D:$D,0)-1+COUNTIF($E83:S83,"u")+COUNTIF($E83:S83,"t")+COUNTIF($E83:S83,"¶")+COUNTIF($E83:S83,"²")+COUNTIF($E83:S83,"µ")+COUNTIF($E83:S83,1),ColDescriptionCourte))&gt;1,
HYPERLINK("#Roadmap!C"&amp; MATCH($E83,Roadmap!$D:$D,0)+COUNTIF($E83:S83,"u")+COUNTIF($E83:S83,"t")+COUNTIF($E83:S83,"¶")+COUNTIF($E83:S83,"²")+COUNTIF($E83:S83,"µ")+COUNTIF($E83:S83,1)-1,INDEX(Roadmap!$D:$K,MATCH($E83,Roadmap!$D:$D,0)-1+COUNTIF($E83:S83,"u")+COUNTIF($E83:S83,"t")+COUNTIF($E83:S83,"¶")+COUNTIF($E83:S83,"²")+COUNTIF($E83:S83,"µ")+COUNTIF($E83:S83,1),ColDescriptionCourte)),""),
  "")),"")</f>
        <v/>
      </c>
      <c r="U83" s="40" t="str">
        <f ca="1">IFERROR(IF(AND(
  INDEX(Roadmap!$D:$K,MATCH($E83,Roadmap!$D:$D,0)+COUNTIF($E83:T83,"u")+COUNTIF($E83:T83,"t")+COUNTIF($E83:T83,"¶")+COUNTIF($E83:T83,"²")+COUNTIF($E83:T83,"µ")+COUNTIF($E83:T83,1),ColLivraison)=U$6,
  VLOOKUP($E83,INDIRECT("tri!"&amp; CHAR(64+ C0Col) &amp;":"&amp; CHAR(65+C0Col)),2,FALSE)&gt;COUNTIF($E83:T83,"u")+COUNTIF($E83:T83,"t")+COUNTIF($E83:T83,"¶")+COUNTIF($E83:T83,"²")+COUNTIF($E83:T83,"µ")+COUNTIF($E83:T83,1)),
HYPERLINK("#Roadmap!C"&amp; MATCH($E83,Roadmap!$D:$D,0)+COUNTIF($E83:T83,"u")+COUNTIF($E83:T83,"t"),
     INDEX(Roadmap!$D:$K,MATCH($E83,Roadmap!$D:$D,0)+COUNTIF($E83:T83,"u")+COUNTIF($E83:T83,"t")+COUNTIF($E83:T83,"¶")+COUNTIF($E83:T83,"²")+COUNTIF($E83:T83,"µ")+COUNTIF($E83:T83,1),ColTypeEcheance)),
  IF(LEN(T83)=1,
  IF(LEN(INDEX(Roadmap!$D:$K,MATCH($E83,Roadmap!$D:$D,0)-1+COUNTIF($E83:T83,"u")+COUNTIF($E83:T83,"t")+COUNTIF($E83:T83,"¶")+COUNTIF($E83:T83,"²")+COUNTIF($E83:T83,"µ")+COUNTIF($E83:T83,1),ColDescriptionCourte))&gt;1,
HYPERLINK("#Roadmap!C"&amp; MATCH($E83,Roadmap!$D:$D,0)+COUNTIF($E83:T83,"u")+COUNTIF($E83:T83,"t")+COUNTIF($E83:T83,"¶")+COUNTIF($E83:T83,"²")+COUNTIF($E83:T83,"µ")+COUNTIF($E83:T83,1)-1,INDEX(Roadmap!$D:$K,MATCH($E83,Roadmap!$D:$D,0)-1+COUNTIF($E83:T83,"u")+COUNTIF($E83:T83,"t")+COUNTIF($E83:T83,"¶")+COUNTIF($E83:T83,"²")+COUNTIF($E83:T83,"µ")+COUNTIF($E83:T83,1),ColDescriptionCourte)),""),
  "")),"")</f>
        <v/>
      </c>
      <c r="V83" s="40" t="str">
        <f ca="1">IFERROR(IF(AND(
  INDEX(Roadmap!$D:$K,MATCH($E83,Roadmap!$D:$D,0)+COUNTIF($E83:U83,"u")+COUNTIF($E83:U83,"t")+COUNTIF($E83:U83,"¶")+COUNTIF($E83:U83,"²")+COUNTIF($E83:U83,"µ")+COUNTIF($E83:U83,1),ColLivraison)=V$6,
  VLOOKUP($E83,INDIRECT("tri!"&amp; CHAR(64+ C0Col) &amp;":"&amp; CHAR(65+C0Col)),2,FALSE)&gt;COUNTIF($E83:U83,"u")+COUNTIF($E83:U83,"t")+COUNTIF($E83:U83,"¶")+COUNTIF($E83:U83,"²")+COUNTIF($E83:U83,"µ")+COUNTIF($E83:U83,1)),
HYPERLINK("#Roadmap!C"&amp; MATCH($E83,Roadmap!$D:$D,0)+COUNTIF($E83:U83,"u")+COUNTIF($E83:U83,"t"),
     INDEX(Roadmap!$D:$K,MATCH($E83,Roadmap!$D:$D,0)+COUNTIF($E83:U83,"u")+COUNTIF($E83:U83,"t")+COUNTIF($E83:U83,"¶")+COUNTIF($E83:U83,"²")+COUNTIF($E83:U83,"µ")+COUNTIF($E83:U83,1),ColTypeEcheance)),
  IF(LEN(U83)=1,
  IF(LEN(INDEX(Roadmap!$D:$K,MATCH($E83,Roadmap!$D:$D,0)-1+COUNTIF($E83:U83,"u")+COUNTIF($E83:U83,"t")+COUNTIF($E83:U83,"¶")+COUNTIF($E83:U83,"²")+COUNTIF($E83:U83,"µ")+COUNTIF($E83:U83,1),ColDescriptionCourte))&gt;1,
HYPERLINK("#Roadmap!C"&amp; MATCH($E83,Roadmap!$D:$D,0)+COUNTIF($E83:U83,"u")+COUNTIF($E83:U83,"t")+COUNTIF($E83:U83,"¶")+COUNTIF($E83:U83,"²")+COUNTIF($E83:U83,"µ")+COUNTIF($E83:U83,1)-1,INDEX(Roadmap!$D:$K,MATCH($E83,Roadmap!$D:$D,0)-1+COUNTIF($E83:U83,"u")+COUNTIF($E83:U83,"t")+COUNTIF($E83:U83,"¶")+COUNTIF($E83:U83,"²")+COUNTIF($E83:U83,"µ")+COUNTIF($E83:U83,1),ColDescriptionCourte)),""),
  "")),"")</f>
        <v/>
      </c>
      <c r="W83" s="40" t="str">
        <f ca="1">IFERROR(IF(AND(
  INDEX(Roadmap!$D:$K,MATCH($E83,Roadmap!$D:$D,0)+COUNTIF($E83:V83,"u")+COUNTIF($E83:V83,"t")+COUNTIF($E83:V83,"¶")+COUNTIF($E83:V83,"²")+COUNTIF($E83:V83,"µ")+COUNTIF($E83:V83,1),ColLivraison)=W$6,
  VLOOKUP($E83,INDIRECT("tri!"&amp; CHAR(64+ C0Col) &amp;":"&amp; CHAR(65+C0Col)),2,FALSE)&gt;COUNTIF($E83:V83,"u")+COUNTIF($E83:V83,"t")+COUNTIF($E83:V83,"¶")+COUNTIF($E83:V83,"²")+COUNTIF($E83:V83,"µ")+COUNTIF($E83:V83,1)),
HYPERLINK("#Roadmap!C"&amp; MATCH($E83,Roadmap!$D:$D,0)+COUNTIF($E83:V83,"u")+COUNTIF($E83:V83,"t"),
     INDEX(Roadmap!$D:$K,MATCH($E83,Roadmap!$D:$D,0)+COUNTIF($E83:V83,"u")+COUNTIF($E83:V83,"t")+COUNTIF($E83:V83,"¶")+COUNTIF($E83:V83,"²")+COUNTIF($E83:V83,"µ")+COUNTIF($E83:V83,1),ColTypeEcheance)),
  IF(LEN(V83)=1,
  IF(LEN(INDEX(Roadmap!$D:$K,MATCH($E83,Roadmap!$D:$D,0)-1+COUNTIF($E83:V83,"u")+COUNTIF($E83:V83,"t")+COUNTIF($E83:V83,"¶")+COUNTIF($E83:V83,"²")+COUNTIF($E83:V83,"µ")+COUNTIF($E83:V83,1),ColDescriptionCourte))&gt;1,
HYPERLINK("#Roadmap!C"&amp; MATCH($E83,Roadmap!$D:$D,0)+COUNTIF($E83:V83,"u")+COUNTIF($E83:V83,"t")+COUNTIF($E83:V83,"¶")+COUNTIF($E83:V83,"²")+COUNTIF($E83:V83,"µ")+COUNTIF($E83:V83,1)-1,INDEX(Roadmap!$D:$K,MATCH($E83,Roadmap!$D:$D,0)-1+COUNTIF($E83:V83,"u")+COUNTIF($E83:V83,"t")+COUNTIF($E83:V83,"¶")+COUNTIF($E83:V83,"²")+COUNTIF($E83:V83,"µ")+COUNTIF($E83:V83,1),ColDescriptionCourte)),""),
  "")),"")</f>
        <v/>
      </c>
      <c r="X83" s="40" t="str">
        <f ca="1">IFERROR(IF(AND(
  INDEX(Roadmap!$D:$K,MATCH($E83,Roadmap!$D:$D,0)+COUNTIF($E83:W83,"u")+COUNTIF($E83:W83,"t")+COUNTIF($E83:W83,"¶")+COUNTIF($E83:W83,"²")+COUNTIF($E83:W83,"µ")+COUNTIF($E83:W83,1),ColLivraison)=X$6,
  VLOOKUP($E83,INDIRECT("tri!"&amp; CHAR(64+ C0Col) &amp;":"&amp; CHAR(65+C0Col)),2,FALSE)&gt;COUNTIF($E83:W83,"u")+COUNTIF($E83:W83,"t")+COUNTIF($E83:W83,"¶")+COUNTIF($E83:W83,"²")+COUNTIF($E83:W83,"µ")+COUNTIF($E83:W83,1)),
HYPERLINK("#Roadmap!C"&amp; MATCH($E83,Roadmap!$D:$D,0)+COUNTIF($E83:W83,"u")+COUNTIF($E83:W83,"t"),
     INDEX(Roadmap!$D:$K,MATCH($E83,Roadmap!$D:$D,0)+COUNTIF($E83:W83,"u")+COUNTIF($E83:W83,"t")+COUNTIF($E83:W83,"¶")+COUNTIF($E83:W83,"²")+COUNTIF($E83:W83,"µ")+COUNTIF($E83:W83,1),ColTypeEcheance)),
  IF(LEN(W83)=1,
  IF(LEN(INDEX(Roadmap!$D:$K,MATCH($E83,Roadmap!$D:$D,0)-1+COUNTIF($E83:W83,"u")+COUNTIF($E83:W83,"t")+COUNTIF($E83:W83,"¶")+COUNTIF($E83:W83,"²")+COUNTIF($E83:W83,"µ")+COUNTIF($E83:W83,1),ColDescriptionCourte))&gt;1,
HYPERLINK("#Roadmap!C"&amp; MATCH($E83,Roadmap!$D:$D,0)+COUNTIF($E83:W83,"u")+COUNTIF($E83:W83,"t")+COUNTIF($E83:W83,"¶")+COUNTIF($E83:W83,"²")+COUNTIF($E83:W83,"µ")+COUNTIF($E83:W83,1)-1,INDEX(Roadmap!$D:$K,MATCH($E83,Roadmap!$D:$D,0)-1+COUNTIF($E83:W83,"u")+COUNTIF($E83:W83,"t")+COUNTIF($E83:W83,"¶")+COUNTIF($E83:W83,"²")+COUNTIF($E83:W83,"µ")+COUNTIF($E83:W83,1),ColDescriptionCourte)),""),
  "")),"")</f>
        <v/>
      </c>
      <c r="Y83" s="40" t="str">
        <f ca="1">IFERROR(IF(AND(
  INDEX(Roadmap!$D:$K,MATCH($E83,Roadmap!$D:$D,0)+COUNTIF($E83:X83,"u")+COUNTIF($E83:X83,"t")+COUNTIF($E83:X83,"¶")+COUNTIF($E83:X83,"²")+COUNTIF($E83:X83,"µ")+COUNTIF($E83:X83,1),ColLivraison)=Y$6,
  VLOOKUP($E83,INDIRECT("tri!"&amp; CHAR(64+ C0Col) &amp;":"&amp; CHAR(65+C0Col)),2,FALSE)&gt;COUNTIF($E83:X83,"u")+COUNTIF($E83:X83,"t")+COUNTIF($E83:X83,"¶")+COUNTIF($E83:X83,"²")+COUNTIF($E83:X83,"µ")+COUNTIF($E83:X83,1)),
HYPERLINK("#Roadmap!C"&amp; MATCH($E83,Roadmap!$D:$D,0)+COUNTIF($E83:X83,"u")+COUNTIF($E83:X83,"t"),
     INDEX(Roadmap!$D:$K,MATCH($E83,Roadmap!$D:$D,0)+COUNTIF($E83:X83,"u")+COUNTIF($E83:X83,"t")+COUNTIF($E83:X83,"¶")+COUNTIF($E83:X83,"²")+COUNTIF($E83:X83,"µ")+COUNTIF($E83:X83,1),ColTypeEcheance)),
  IF(LEN(X83)=1,
  IF(LEN(INDEX(Roadmap!$D:$K,MATCH($E83,Roadmap!$D:$D,0)-1+COUNTIF($E83:X83,"u")+COUNTIF($E83:X83,"t")+COUNTIF($E83:X83,"¶")+COUNTIF($E83:X83,"²")+COUNTIF($E83:X83,"µ")+COUNTIF($E83:X83,1),ColDescriptionCourte))&gt;1,
HYPERLINK("#Roadmap!C"&amp; MATCH($E83,Roadmap!$D:$D,0)+COUNTIF($E83:X83,"u")+COUNTIF($E83:X83,"t")+COUNTIF($E83:X83,"¶")+COUNTIF($E83:X83,"²")+COUNTIF($E83:X83,"µ")+COUNTIF($E83:X83,1)-1,INDEX(Roadmap!$D:$K,MATCH($E83,Roadmap!$D:$D,0)-1+COUNTIF($E83:X83,"u")+COUNTIF($E83:X83,"t")+COUNTIF($E83:X83,"¶")+COUNTIF($E83:X83,"²")+COUNTIF($E83:X83,"µ")+COUNTIF($E83:X83,1),ColDescriptionCourte)),""),
  "")),"")</f>
        <v/>
      </c>
      <c r="Z83" s="40" t="str">
        <f ca="1">IFERROR(IF(AND(
  INDEX(Roadmap!$D:$K,MATCH($E83,Roadmap!$D:$D,0)+COUNTIF($E83:Y83,"u")+COUNTIF($E83:Y83,"t")+COUNTIF($E83:Y83,"¶")+COUNTIF($E83:Y83,"²")+COUNTIF($E83:Y83,"µ")+COUNTIF($E83:Y83,1),ColLivraison)=Z$6,
  VLOOKUP($E83,INDIRECT("tri!"&amp; CHAR(64+ C0Col) &amp;":"&amp; CHAR(65+C0Col)),2,FALSE)&gt;COUNTIF($E83:Y83,"u")+COUNTIF($E83:Y83,"t")+COUNTIF($E83:Y83,"¶")+COUNTIF($E83:Y83,"²")+COUNTIF($E83:Y83,"µ")+COUNTIF($E83:Y83,1)),
HYPERLINK("#Roadmap!C"&amp; MATCH($E83,Roadmap!$D:$D,0)+COUNTIF($E83:Y83,"u")+COUNTIF($E83:Y83,"t"),
     INDEX(Roadmap!$D:$K,MATCH($E83,Roadmap!$D:$D,0)+COUNTIF($E83:Y83,"u")+COUNTIF($E83:Y83,"t")+COUNTIF($E83:Y83,"¶")+COUNTIF($E83:Y83,"²")+COUNTIF($E83:Y83,"µ")+COUNTIF($E83:Y83,1),ColTypeEcheance)),
  IF(LEN(Y83)=1,
  IF(LEN(INDEX(Roadmap!$D:$K,MATCH($E83,Roadmap!$D:$D,0)-1+COUNTIF($E83:Y83,"u")+COUNTIF($E83:Y83,"t")+COUNTIF($E83:Y83,"¶")+COUNTIF($E83:Y83,"²")+COUNTIF($E83:Y83,"µ")+COUNTIF($E83:Y83,1),ColDescriptionCourte))&gt;1,
HYPERLINK("#Roadmap!C"&amp; MATCH($E83,Roadmap!$D:$D,0)+COUNTIF($E83:Y83,"u")+COUNTIF($E83:Y83,"t")+COUNTIF($E83:Y83,"¶")+COUNTIF($E83:Y83,"²")+COUNTIF($E83:Y83,"µ")+COUNTIF($E83:Y83,1)-1,INDEX(Roadmap!$D:$K,MATCH($E83,Roadmap!$D:$D,0)-1+COUNTIF($E83:Y83,"u")+COUNTIF($E83:Y83,"t")+COUNTIF($E83:Y83,"¶")+COUNTIF($E83:Y83,"²")+COUNTIF($E83:Y83,"µ")+COUNTIF($E83:Y83,1),ColDescriptionCourte)),""),
  "")),"")</f>
        <v/>
      </c>
      <c r="AA83" s="40" t="str">
        <f ca="1">IFERROR(IF(AND(
  INDEX(Roadmap!$D:$K,MATCH($E83,Roadmap!$D:$D,0)+COUNTIF($E83:Z83,"u")+COUNTIF($E83:Z83,"t")+COUNTIF($E83:Z83,"¶")+COUNTIF($E83:Z83,"²")+COUNTIF($E83:Z83,"µ")+COUNTIF($E83:Z83,1),ColLivraison)=AA$6,
  VLOOKUP($E83,INDIRECT("tri!"&amp; CHAR(64+ C0Col) &amp;":"&amp; CHAR(65+C0Col)),2,FALSE)&gt;COUNTIF($E83:Z83,"u")+COUNTIF($E83:Z83,"t")+COUNTIF($E83:Z83,"¶")+COUNTIF($E83:Z83,"²")+COUNTIF($E83:Z83,"µ")+COUNTIF($E83:Z83,1)),
HYPERLINK("#Roadmap!C"&amp; MATCH($E83,Roadmap!$D:$D,0)+COUNTIF($E83:Z83,"u")+COUNTIF($E83:Z83,"t"),
     INDEX(Roadmap!$D:$K,MATCH($E83,Roadmap!$D:$D,0)+COUNTIF($E83:Z83,"u")+COUNTIF($E83:Z83,"t")+COUNTIF($E83:Z83,"¶")+COUNTIF($E83:Z83,"²")+COUNTIF($E83:Z83,"µ")+COUNTIF($E83:Z83,1),ColTypeEcheance)),
  IF(LEN(Z83)=1,
  IF(LEN(INDEX(Roadmap!$D:$K,MATCH($E83,Roadmap!$D:$D,0)-1+COUNTIF($E83:Z83,"u")+COUNTIF($E83:Z83,"t")+COUNTIF($E83:Z83,"¶")+COUNTIF($E83:Z83,"²")+COUNTIF($E83:Z83,"µ")+COUNTIF($E83:Z83,1),ColDescriptionCourte))&gt;1,
HYPERLINK("#Roadmap!C"&amp; MATCH($E83,Roadmap!$D:$D,0)+COUNTIF($E83:Z83,"u")+COUNTIF($E83:Z83,"t")+COUNTIF($E83:Z83,"¶")+COUNTIF($E83:Z83,"²")+COUNTIF($E83:Z83,"µ")+COUNTIF($E83:Z83,1)-1,INDEX(Roadmap!$D:$K,MATCH($E83,Roadmap!$D:$D,0)-1+COUNTIF($E83:Z83,"u")+COUNTIF($E83:Z83,"t")+COUNTIF($E83:Z83,"¶")+COUNTIF($E83:Z83,"²")+COUNTIF($E83:Z83,"µ")+COUNTIF($E83:Z83,1),ColDescriptionCourte)),""),
  "")),"")</f>
        <v/>
      </c>
      <c r="AB83" s="40" t="str">
        <f ca="1">IFERROR(IF(AND(
  INDEX(Roadmap!$D:$K,MATCH($E83,Roadmap!$D:$D,0)+COUNTIF($E83:AA83,"u")+COUNTIF($E83:AA83,"t")+COUNTIF($E83:AA83,"¶")+COUNTIF($E83:AA83,"²")+COUNTIF($E83:AA83,"µ")+COUNTIF($E83:AA83,1),ColLivraison)=AB$6,
  VLOOKUP($E83,INDIRECT("tri!"&amp; CHAR(64+ C0Col) &amp;":"&amp; CHAR(65+C0Col)),2,FALSE)&gt;COUNTIF($E83:AA83,"u")+COUNTIF($E83:AA83,"t")+COUNTIF($E83:AA83,"¶")+COUNTIF($E83:AA83,"²")+COUNTIF($E83:AA83,"µ")+COUNTIF($E83:AA83,1)),
HYPERLINK("#Roadmap!C"&amp; MATCH($E83,Roadmap!$D:$D,0)+COUNTIF($E83:AA83,"u")+COUNTIF($E83:AA83,"t"),
     INDEX(Roadmap!$D:$K,MATCH($E83,Roadmap!$D:$D,0)+COUNTIF($E83:AA83,"u")+COUNTIF($E83:AA83,"t")+COUNTIF($E83:AA83,"¶")+COUNTIF($E83:AA83,"²")+COUNTIF($E83:AA83,"µ")+COUNTIF($E83:AA83,1),ColTypeEcheance)),
  IF(LEN(AA83)=1,
  IF(LEN(INDEX(Roadmap!$D:$K,MATCH($E83,Roadmap!$D:$D,0)-1+COUNTIF($E83:AA83,"u")+COUNTIF($E83:AA83,"t")+COUNTIF($E83:AA83,"¶")+COUNTIF($E83:AA83,"²")+COUNTIF($E83:AA83,"µ")+COUNTIF($E83:AA83,1),ColDescriptionCourte))&gt;1,
HYPERLINK("#Roadmap!C"&amp; MATCH($E83,Roadmap!$D:$D,0)+COUNTIF($E83:AA83,"u")+COUNTIF($E83:AA83,"t")+COUNTIF($E83:AA83,"¶")+COUNTIF($E83:AA83,"²")+COUNTIF($E83:AA83,"µ")+COUNTIF($E83:AA83,1)-1,INDEX(Roadmap!$D:$K,MATCH($E83,Roadmap!$D:$D,0)-1+COUNTIF($E83:AA83,"u")+COUNTIF($E83:AA83,"t")+COUNTIF($E83:AA83,"¶")+COUNTIF($E83:AA83,"²")+COUNTIF($E83:AA83,"µ")+COUNTIF($E83:AA83,1),ColDescriptionCourte)),""),
  "")),"")</f>
        <v/>
      </c>
      <c r="AC83" s="40" t="str">
        <f ca="1">IFERROR(IF(AND(
  INDEX(Roadmap!$D:$K,MATCH($E83,Roadmap!$D:$D,0)+COUNTIF($E83:AB83,"u")+COUNTIF($E83:AB83,"t")+COUNTIF($E83:AB83,"¶")+COUNTIF($E83:AB83,"²")+COUNTIF($E83:AB83,"µ")+COUNTIF($E83:AB83,1),ColLivraison)=AC$6,
  VLOOKUP($E83,INDIRECT("tri!"&amp; CHAR(64+ C0Col) &amp;":"&amp; CHAR(65+C0Col)),2,FALSE)&gt;COUNTIF($E83:AB83,"u")+COUNTIF($E83:AB83,"t")+COUNTIF($E83:AB83,"¶")+COUNTIF($E83:AB83,"²")+COUNTIF($E83:AB83,"µ")+COUNTIF($E83:AB83,1)),
HYPERLINK("#Roadmap!C"&amp; MATCH($E83,Roadmap!$D:$D,0)+COUNTIF($E83:AB83,"u")+COUNTIF($E83:AB83,"t"),
     INDEX(Roadmap!$D:$K,MATCH($E83,Roadmap!$D:$D,0)+COUNTIF($E83:AB83,"u")+COUNTIF($E83:AB83,"t")+COUNTIF($E83:AB83,"¶")+COUNTIF($E83:AB83,"²")+COUNTIF($E83:AB83,"µ")+COUNTIF($E83:AB83,1),ColTypeEcheance)),
  IF(LEN(AB83)=1,
  IF(LEN(INDEX(Roadmap!$D:$K,MATCH($E83,Roadmap!$D:$D,0)-1+COUNTIF($E83:AB83,"u")+COUNTIF($E83:AB83,"t")+COUNTIF($E83:AB83,"¶")+COUNTIF($E83:AB83,"²")+COUNTIF($E83:AB83,"µ")+COUNTIF($E83:AB83,1),ColDescriptionCourte))&gt;1,
HYPERLINK("#Roadmap!C"&amp; MATCH($E83,Roadmap!$D:$D,0)+COUNTIF($E83:AB83,"u")+COUNTIF($E83:AB83,"t")+COUNTIF($E83:AB83,"¶")+COUNTIF($E83:AB83,"²")+COUNTIF($E83:AB83,"µ")+COUNTIF($E83:AB83,1)-1,INDEX(Roadmap!$D:$K,MATCH($E83,Roadmap!$D:$D,0)-1+COUNTIF($E83:AB83,"u")+COUNTIF($E83:AB83,"t")+COUNTIF($E83:AB83,"¶")+COUNTIF($E83:AB83,"²")+COUNTIF($E83:AB83,"µ")+COUNTIF($E83:AB83,1),ColDescriptionCourte)),""),
  "")),"")</f>
        <v/>
      </c>
      <c r="AD83" s="40" t="str">
        <f ca="1">IFERROR(IF(AND(
  INDEX(Roadmap!$D:$K,MATCH($E83,Roadmap!$D:$D,0)+COUNTIF($E83:AC83,"u")+COUNTIF($E83:AC83,"t")+COUNTIF($E83:AC83,"¶")+COUNTIF($E83:AC83,"²")+COUNTIF($E83:AC83,"µ")+COUNTIF($E83:AC83,1),ColLivraison)=AD$6,
  VLOOKUP($E83,INDIRECT("tri!"&amp; CHAR(64+ C0Col) &amp;":"&amp; CHAR(65+C0Col)),2,FALSE)&gt;COUNTIF($E83:AC83,"u")+COUNTIF($E83:AC83,"t")+COUNTIF($E83:AC83,"¶")+COUNTIF($E83:AC83,"²")+COUNTIF($E83:AC83,"µ")+COUNTIF($E83:AC83,1)),
HYPERLINK("#Roadmap!C"&amp; MATCH($E83,Roadmap!$D:$D,0)+COUNTIF($E83:AC83,"u")+COUNTIF($E83:AC83,"t"),
     INDEX(Roadmap!$D:$K,MATCH($E83,Roadmap!$D:$D,0)+COUNTIF($E83:AC83,"u")+COUNTIF($E83:AC83,"t")+COUNTIF($E83:AC83,"¶")+COUNTIF($E83:AC83,"²")+COUNTIF($E83:AC83,"µ")+COUNTIF($E83:AC83,1),ColTypeEcheance)),
  IF(LEN(AC83)=1,
  IF(LEN(INDEX(Roadmap!$D:$K,MATCH($E83,Roadmap!$D:$D,0)-1+COUNTIF($E83:AC83,"u")+COUNTIF($E83:AC83,"t")+COUNTIF($E83:AC83,"¶")+COUNTIF($E83:AC83,"²")+COUNTIF($E83:AC83,"µ")+COUNTIF($E83:AC83,1),ColDescriptionCourte))&gt;1,
HYPERLINK("#Roadmap!C"&amp; MATCH($E83,Roadmap!$D:$D,0)+COUNTIF($E83:AC83,"u")+COUNTIF($E83:AC83,"t")+COUNTIF($E83:AC83,"¶")+COUNTIF($E83:AC83,"²")+COUNTIF($E83:AC83,"µ")+COUNTIF($E83:AC83,1)-1,INDEX(Roadmap!$D:$K,MATCH($E83,Roadmap!$D:$D,0)-1+COUNTIF($E83:AC83,"u")+COUNTIF($E83:AC83,"t")+COUNTIF($E83:AC83,"¶")+COUNTIF($E83:AC83,"²")+COUNTIF($E83:AC83,"µ")+COUNTIF($E83:AC83,1),ColDescriptionCourte)),""),
  "")),"")</f>
        <v/>
      </c>
      <c r="AE83" s="40" t="str">
        <f ca="1">IFERROR(IF(AND(
  INDEX(Roadmap!$D:$K,MATCH($E83,Roadmap!$D:$D,0)+COUNTIF($E83:AD83,"u")+COUNTIF($E83:AD83,"t")+COUNTIF($E83:AD83,"¶")+COUNTIF($E83:AD83,"²")+COUNTIF($E83:AD83,"µ")+COUNTIF($E83:AD83,1),ColLivraison)=AE$6,
  VLOOKUP($E83,INDIRECT("tri!"&amp; CHAR(64+ C0Col) &amp;":"&amp; CHAR(65+C0Col)),2,FALSE)&gt;COUNTIF($E83:AD83,"u")+COUNTIF($E83:AD83,"t")+COUNTIF($E83:AD83,"¶")+COUNTIF($E83:AD83,"²")+COUNTIF($E83:AD83,"µ")+COUNTIF($E83:AD83,1)),
HYPERLINK("#Roadmap!C"&amp; MATCH($E83,Roadmap!$D:$D,0)+COUNTIF($E83:AD83,"u")+COUNTIF($E83:AD83,"t"),
     INDEX(Roadmap!$D:$K,MATCH($E83,Roadmap!$D:$D,0)+COUNTIF($E83:AD83,"u")+COUNTIF($E83:AD83,"t")+COUNTIF($E83:AD83,"¶")+COUNTIF($E83:AD83,"²")+COUNTIF($E83:AD83,"µ")+COUNTIF($E83:AD83,1),ColTypeEcheance)),
  IF(LEN(AD83)=1,
  IF(LEN(INDEX(Roadmap!$D:$K,MATCH($E83,Roadmap!$D:$D,0)-1+COUNTIF($E83:AD83,"u")+COUNTIF($E83:AD83,"t")+COUNTIF($E83:AD83,"¶")+COUNTIF($E83:AD83,"²")+COUNTIF($E83:AD83,"µ")+COUNTIF($E83:AD83,1),ColDescriptionCourte))&gt;1,
HYPERLINK("#Roadmap!C"&amp; MATCH($E83,Roadmap!$D:$D,0)+COUNTIF($E83:AD83,"u")+COUNTIF($E83:AD83,"t")+COUNTIF($E83:AD83,"¶")+COUNTIF($E83:AD83,"²")+COUNTIF($E83:AD83,"µ")+COUNTIF($E83:AD83,1)-1,INDEX(Roadmap!$D:$K,MATCH($E83,Roadmap!$D:$D,0)-1+COUNTIF($E83:AD83,"u")+COUNTIF($E83:AD83,"t")+COUNTIF($E83:AD83,"¶")+COUNTIF($E83:AD83,"²")+COUNTIF($E83:AD83,"µ")+COUNTIF($E83:AD83,1),ColDescriptionCourte)),""),
  "")),"")</f>
        <v/>
      </c>
      <c r="AF83" s="40" t="str">
        <f ca="1">IFERROR(IF(AND(
  INDEX(Roadmap!$D:$K,MATCH($E83,Roadmap!$D:$D,0)+COUNTIF($E83:AE83,"u")+COUNTIF($E83:AE83,"t")+COUNTIF($E83:AE83,"¶")+COUNTIF($E83:AE83,"²")+COUNTIF($E83:AE83,"µ")+COUNTIF($E83:AE83,1),ColLivraison)=AF$6,
  VLOOKUP($E83,INDIRECT("tri!"&amp; CHAR(64+ C0Col) &amp;":"&amp; CHAR(65+C0Col)),2,FALSE)&gt;COUNTIF($E83:AE83,"u")+COUNTIF($E83:AE83,"t")+COUNTIF($E83:AE83,"¶")+COUNTIF($E83:AE83,"²")+COUNTIF($E83:AE83,"µ")+COUNTIF($E83:AE83,1)),
HYPERLINK("#Roadmap!C"&amp; MATCH($E83,Roadmap!$D:$D,0)+COUNTIF($E83:AE83,"u")+COUNTIF($E83:AE83,"t"),
     INDEX(Roadmap!$D:$K,MATCH($E83,Roadmap!$D:$D,0)+COUNTIF($E83:AE83,"u")+COUNTIF($E83:AE83,"t")+COUNTIF($E83:AE83,"¶")+COUNTIF($E83:AE83,"²")+COUNTIF($E83:AE83,"µ")+COUNTIF($E83:AE83,1),ColTypeEcheance)),
  IF(LEN(AE83)=1,
  IF(LEN(INDEX(Roadmap!$D:$K,MATCH($E83,Roadmap!$D:$D,0)-1+COUNTIF($E83:AE83,"u")+COUNTIF($E83:AE83,"t")+COUNTIF($E83:AE83,"¶")+COUNTIF($E83:AE83,"²")+COUNTIF($E83:AE83,"µ")+COUNTIF($E83:AE83,1),ColDescriptionCourte))&gt;1,
HYPERLINK("#Roadmap!C"&amp; MATCH($E83,Roadmap!$D:$D,0)+COUNTIF($E83:AE83,"u")+COUNTIF($E83:AE83,"t")+COUNTIF($E83:AE83,"¶")+COUNTIF($E83:AE83,"²")+COUNTIF($E83:AE83,"µ")+COUNTIF($E83:AE83,1)-1,INDEX(Roadmap!$D:$K,MATCH($E83,Roadmap!$D:$D,0)-1+COUNTIF($E83:AE83,"u")+COUNTIF($E83:AE83,"t")+COUNTIF($E83:AE83,"¶")+COUNTIF($E83:AE83,"²")+COUNTIF($E83:AE83,"µ")+COUNTIF($E83:AE83,1),ColDescriptionCourte)),""),
  "")),"")</f>
        <v/>
      </c>
      <c r="AG83" s="40" t="str">
        <f ca="1">IFERROR(IF(AND(
  INDEX(Roadmap!$D:$K,MATCH($E83,Roadmap!$D:$D,0)+COUNTIF($E83:AF83,"u")+COUNTIF($E83:AF83,"t")+COUNTIF($E83:AF83,"¶")+COUNTIF($E83:AF83,"²")+COUNTIF($E83:AF83,"µ")+COUNTIF($E83:AF83,1),ColLivraison)=AG$6,
  VLOOKUP($E83,INDIRECT("tri!"&amp; CHAR(64+ C0Col) &amp;":"&amp; CHAR(65+C0Col)),2,FALSE)&gt;COUNTIF($E83:AF83,"u")+COUNTIF($E83:AF83,"t")+COUNTIF($E83:AF83,"¶")+COUNTIF($E83:AF83,"²")+COUNTIF($E83:AF83,"µ")+COUNTIF($E83:AF83,1)),
HYPERLINK("#Roadmap!C"&amp; MATCH($E83,Roadmap!$D:$D,0)+COUNTIF($E83:AF83,"u")+COUNTIF($E83:AF83,"t"),
     INDEX(Roadmap!$D:$K,MATCH($E83,Roadmap!$D:$D,0)+COUNTIF($E83:AF83,"u")+COUNTIF($E83:AF83,"t")+COUNTIF($E83:AF83,"¶")+COUNTIF($E83:AF83,"²")+COUNTIF($E83:AF83,"µ")+COUNTIF($E83:AF83,1),ColTypeEcheance)),
  IF(LEN(AF83)=1,
  IF(LEN(INDEX(Roadmap!$D:$K,MATCH($E83,Roadmap!$D:$D,0)-1+COUNTIF($E83:AF83,"u")+COUNTIF($E83:AF83,"t")+COUNTIF($E83:AF83,"¶")+COUNTIF($E83:AF83,"²")+COUNTIF($E83:AF83,"µ")+COUNTIF($E83:AF83,1),ColDescriptionCourte))&gt;1,
HYPERLINK("#Roadmap!C"&amp; MATCH($E83,Roadmap!$D:$D,0)+COUNTIF($E83:AF83,"u")+COUNTIF($E83:AF83,"t")+COUNTIF($E83:AF83,"¶")+COUNTIF($E83:AF83,"²")+COUNTIF($E83:AF83,"µ")+COUNTIF($E83:AF83,1)-1,INDEX(Roadmap!$D:$K,MATCH($E83,Roadmap!$D:$D,0)-1+COUNTIF($E83:AF83,"u")+COUNTIF($E83:AF83,"t")+COUNTIF($E83:AF83,"¶")+COUNTIF($E83:AF83,"²")+COUNTIF($E83:AF83,"µ")+COUNTIF($E83:AF83,1),ColDescriptionCourte)),""),
  "")),"")</f>
        <v/>
      </c>
    </row>
    <row r="84" spans="3:33" ht="14.25" customHeight="1">
      <c r="C84" s="1" t="str">
        <f t="shared" ca="1" si="47"/>
        <v/>
      </c>
      <c r="D84" s="1" t="str">
        <f t="shared" ca="1" si="48"/>
        <v/>
      </c>
      <c r="E84" s="35" t="str">
        <f t="shared" ca="1" si="46"/>
        <v/>
      </c>
      <c r="F84" s="39" t="str">
        <f ca="1">IFERROR(IF(AND(
  INDEX(Roadmap!$D:$K,MATCH($E84,Roadmap!$D:$D,0)+COUNTIF($E84:E84,"u")+COUNTIF($E84:E84,"t")+COUNTIF($E84:E84,"¶")+COUNTIF($E84:E84,"²")+COUNTIF($E84:E84,"µ")+COUNTIF($E84:E84,1),ColLivraison)=F$6,
  VLOOKUP($E84,INDIRECT("tri!"&amp; CHAR(64+ C0Col) &amp;":"&amp; CHAR(65+C0Col)),2,FALSE)&gt;COUNTIF($E84:E84,"u")+COUNTIF($E84:E84,"t")+COUNTIF($E84:E84,"¶")+COUNTIF($E84:E84,"²")+COUNTIF($E84:E84,"µ")+COUNTIF($E84:E84,1)),
HYPERLINK("#Roadmap!C"&amp; MATCH($E84,Roadmap!$D:$D,0)+COUNTIF($E84:E84,"u")+COUNTIF($E84:E84,"t"),
     INDEX(Roadmap!$D:$K,MATCH($E84,Roadmap!$D:$D,0)+COUNTIF($E84:E84,"u")+COUNTIF($E84:E84,"t")+COUNTIF($E84:E84,"¶")+COUNTIF($E84:E84,"²")+COUNTIF($E84:E84,"µ")+COUNTIF($E84:E84,1),ColTypeEcheance)),
  IF(LEN(E84)=1,
  IF(LEN(INDEX(Roadmap!$D:$K,MATCH($E84,Roadmap!$D:$D,0)-1+COUNTIF($E84:E84,"u")+COUNTIF($E84:E84,"t")+COUNTIF($E84:E84,"¶")+COUNTIF($E84:E84,"²")+COUNTIF($E84:E84,"µ")+COUNTIF($E84:E84,1),ColDescriptionCourte))&gt;1,
HYPERLINK("#Roadmap!C"&amp; MATCH($E84,Roadmap!$D:$D,0)+COUNTIF($E84:E84,"u")+COUNTIF($E84:E84,"t")+COUNTIF($E84:E84,"¶")+COUNTIF($E84:E84,"²")+COUNTIF($E84:E84,"µ")+COUNTIF($E84:E84,1)-1,INDEX(Roadmap!$D:$K,MATCH($E84,Roadmap!$D:$D,0)-1+COUNTIF($E84:E84,"u")+COUNTIF($E84:E84,"t")+COUNTIF($E84:E84,"¶")+COUNTIF($E84:E84,"²")+COUNTIF($E84:E84,"µ")+COUNTIF($E84:E84,1),ColDescriptionCourte)),""),
  "")),"")</f>
        <v/>
      </c>
      <c r="G84" s="40" t="str">
        <f ca="1">IFERROR(IF(AND(
  INDEX(Roadmap!$D:$K,MATCH($E84,Roadmap!$D:$D,0)+COUNTIF($E84:F84,"u")+COUNTIF($E84:F84,"t")+COUNTIF($E84:F84,"¶")+COUNTIF($E84:F84,"²")+COUNTIF($E84:F84,"µ")+COUNTIF($E84:F84,1),ColLivraison)=G$6,
  VLOOKUP($E84,INDIRECT("tri!"&amp; CHAR(64+ C0Col) &amp;":"&amp; CHAR(65+C0Col)),2,FALSE)&gt;COUNTIF($E84:F84,"u")+COUNTIF($E84:F84,"t")+COUNTIF($E84:F84,"¶")+COUNTIF($E84:F84,"²")+COUNTIF($E84:F84,"µ")+COUNTIF($E84:F84,1)),
HYPERLINK("#Roadmap!C"&amp; MATCH($E84,Roadmap!$D:$D,0)+COUNTIF($E84:F84,"u")+COUNTIF($E84:F84,"t"),
     INDEX(Roadmap!$D:$K,MATCH($E84,Roadmap!$D:$D,0)+COUNTIF($E84:F84,"u")+COUNTIF($E84:F84,"t")+COUNTIF($E84:F84,"¶")+COUNTIF($E84:F84,"²")+COUNTIF($E84:F84,"µ")+COUNTIF($E84:F84,1),ColTypeEcheance)),
  IF(LEN(F84)=1,
  IF(LEN(INDEX(Roadmap!$D:$K,MATCH($E84,Roadmap!$D:$D,0)-1+COUNTIF($E84:F84,"u")+COUNTIF($E84:F84,"t")+COUNTIF($E84:F84,"¶")+COUNTIF($E84:F84,"²")+COUNTIF($E84:F84,"µ")+COUNTIF($E84:F84,1),ColDescriptionCourte))&gt;1,
HYPERLINK("#Roadmap!C"&amp; MATCH($E84,Roadmap!$D:$D,0)+COUNTIF($E84:F84,"u")+COUNTIF($E84:F84,"t")+COUNTIF($E84:F84,"¶")+COUNTIF($E84:F84,"²")+COUNTIF($E84:F84,"µ")+COUNTIF($E84:F84,1)-1,INDEX(Roadmap!$D:$K,MATCH($E84,Roadmap!$D:$D,0)-1+COUNTIF($E84:F84,"u")+COUNTIF($E84:F84,"t")+COUNTIF($E84:F84,"¶")+COUNTIF($E84:F84,"²")+COUNTIF($E84:F84,"µ")+COUNTIF($E84:F84,1),ColDescriptionCourte)),""),
  "")),"")</f>
        <v/>
      </c>
      <c r="H84" s="40" t="str">
        <f ca="1">IFERROR(IF(AND(
  INDEX(Roadmap!$D:$K,MATCH($E84,Roadmap!$D:$D,0)+COUNTIF($E84:G84,"u")+COUNTIF($E84:G84,"t")+COUNTIF($E84:G84,"¶")+COUNTIF($E84:G84,"²")+COUNTIF($E84:G84,"µ")+COUNTIF($E84:G84,1),ColLivraison)=H$6,
  VLOOKUP($E84,INDIRECT("tri!"&amp; CHAR(64+ C0Col) &amp;":"&amp; CHAR(65+C0Col)),2,FALSE)&gt;COUNTIF($E84:G84,"u")+COUNTIF($E84:G84,"t")+COUNTIF($E84:G84,"¶")+COUNTIF($E84:G84,"²")+COUNTIF($E84:G84,"µ")+COUNTIF($E84:G84,1)),
HYPERLINK("#Roadmap!C"&amp; MATCH($E84,Roadmap!$D:$D,0)+COUNTIF($E84:G84,"u")+COUNTIF($E84:G84,"t"),
     INDEX(Roadmap!$D:$K,MATCH($E84,Roadmap!$D:$D,0)+COUNTIF($E84:G84,"u")+COUNTIF($E84:G84,"t")+COUNTIF($E84:G84,"¶")+COUNTIF($E84:G84,"²")+COUNTIF($E84:G84,"µ")+COUNTIF($E84:G84,1),ColTypeEcheance)),
  IF(LEN(G84)=1,
  IF(LEN(INDEX(Roadmap!$D:$K,MATCH($E84,Roadmap!$D:$D,0)-1+COUNTIF($E84:G84,"u")+COUNTIF($E84:G84,"t")+COUNTIF($E84:G84,"¶")+COUNTIF($E84:G84,"²")+COUNTIF($E84:G84,"µ")+COUNTIF($E84:G84,1),ColDescriptionCourte))&gt;1,
HYPERLINK("#Roadmap!C"&amp; MATCH($E84,Roadmap!$D:$D,0)+COUNTIF($E84:G84,"u")+COUNTIF($E84:G84,"t")+COUNTIF($E84:G84,"¶")+COUNTIF($E84:G84,"²")+COUNTIF($E84:G84,"µ")+COUNTIF($E84:G84,1)-1,INDEX(Roadmap!$D:$K,MATCH($E84,Roadmap!$D:$D,0)-1+COUNTIF($E84:G84,"u")+COUNTIF($E84:G84,"t")+COUNTIF($E84:G84,"¶")+COUNTIF($E84:G84,"²")+COUNTIF($E84:G84,"µ")+COUNTIF($E84:G84,1),ColDescriptionCourte)),""),
  "")),"")</f>
        <v/>
      </c>
      <c r="I84" s="40" t="str">
        <f ca="1">IFERROR(IF(AND(
  INDEX(Roadmap!$D:$K,MATCH($E84,Roadmap!$D:$D,0)+COUNTIF($E84:H84,"u")+COUNTIF($E84:H84,"t")+COUNTIF($E84:H84,"¶")+COUNTIF($E84:H84,"²")+COUNTIF($E84:H84,"µ")+COUNTIF($E84:H84,1),ColLivraison)=I$6,
  VLOOKUP($E84,INDIRECT("tri!"&amp; CHAR(64+ C0Col) &amp;":"&amp; CHAR(65+C0Col)),2,FALSE)&gt;COUNTIF($E84:H84,"u")+COUNTIF($E84:H84,"t")+COUNTIF($E84:H84,"¶")+COUNTIF($E84:H84,"²")+COUNTIF($E84:H84,"µ")+COUNTIF($E84:H84,1)),
HYPERLINK("#Roadmap!C"&amp; MATCH($E84,Roadmap!$D:$D,0)+COUNTIF($E84:H84,"u")+COUNTIF($E84:H84,"t"),
     INDEX(Roadmap!$D:$K,MATCH($E84,Roadmap!$D:$D,0)+COUNTIF($E84:H84,"u")+COUNTIF($E84:H84,"t")+COUNTIF($E84:H84,"¶")+COUNTIF($E84:H84,"²")+COUNTIF($E84:H84,"µ")+COUNTIF($E84:H84,1),ColTypeEcheance)),
  IF(LEN(H84)=1,
  IF(LEN(INDEX(Roadmap!$D:$K,MATCH($E84,Roadmap!$D:$D,0)-1+COUNTIF($E84:H84,"u")+COUNTIF($E84:H84,"t")+COUNTIF($E84:H84,"¶")+COUNTIF($E84:H84,"²")+COUNTIF($E84:H84,"µ")+COUNTIF($E84:H84,1),ColDescriptionCourte))&gt;1,
HYPERLINK("#Roadmap!C"&amp; MATCH($E84,Roadmap!$D:$D,0)+COUNTIF($E84:H84,"u")+COUNTIF($E84:H84,"t")+COUNTIF($E84:H84,"¶")+COUNTIF($E84:H84,"²")+COUNTIF($E84:H84,"µ")+COUNTIF($E84:H84,1)-1,INDEX(Roadmap!$D:$K,MATCH($E84,Roadmap!$D:$D,0)-1+COUNTIF($E84:H84,"u")+COUNTIF($E84:H84,"t")+COUNTIF($E84:H84,"¶")+COUNTIF($E84:H84,"²")+COUNTIF($E84:H84,"µ")+COUNTIF($E84:H84,1),ColDescriptionCourte)),""),
  "")),"")</f>
        <v/>
      </c>
      <c r="J84" s="40" t="str">
        <f ca="1">IFERROR(IF(AND(
  INDEX(Roadmap!$D:$K,MATCH($E84,Roadmap!$D:$D,0)+COUNTIF($E84:I84,"u")+COUNTIF($E84:I84,"t")+COUNTIF($E84:I84,"¶")+COUNTIF($E84:I84,"²")+COUNTIF($E84:I84,"µ")+COUNTIF($E84:I84,1),ColLivraison)=J$6,
  VLOOKUP($E84,INDIRECT("tri!"&amp; CHAR(64+ C0Col) &amp;":"&amp; CHAR(65+C0Col)),2,FALSE)&gt;COUNTIF($E84:I84,"u")+COUNTIF($E84:I84,"t")+COUNTIF($E84:I84,"¶")+COUNTIF($E84:I84,"²")+COUNTIF($E84:I84,"µ")+COUNTIF($E84:I84,1)),
HYPERLINK("#Roadmap!C"&amp; MATCH($E84,Roadmap!$D:$D,0)+COUNTIF($E84:I84,"u")+COUNTIF($E84:I84,"t"),
     INDEX(Roadmap!$D:$K,MATCH($E84,Roadmap!$D:$D,0)+COUNTIF($E84:I84,"u")+COUNTIF($E84:I84,"t")+COUNTIF($E84:I84,"¶")+COUNTIF($E84:I84,"²")+COUNTIF($E84:I84,"µ")+COUNTIF($E84:I84,1),ColTypeEcheance)),
  IF(LEN(I84)=1,
  IF(LEN(INDEX(Roadmap!$D:$K,MATCH($E84,Roadmap!$D:$D,0)-1+COUNTIF($E84:I84,"u")+COUNTIF($E84:I84,"t")+COUNTIF($E84:I84,"¶")+COUNTIF($E84:I84,"²")+COUNTIF($E84:I84,"µ")+COUNTIF($E84:I84,1),ColDescriptionCourte))&gt;1,
HYPERLINK("#Roadmap!C"&amp; MATCH($E84,Roadmap!$D:$D,0)+COUNTIF($E84:I84,"u")+COUNTIF($E84:I84,"t")+COUNTIF($E84:I84,"¶")+COUNTIF($E84:I84,"²")+COUNTIF($E84:I84,"µ")+COUNTIF($E84:I84,1)-1,INDEX(Roadmap!$D:$K,MATCH($E84,Roadmap!$D:$D,0)-1+COUNTIF($E84:I84,"u")+COUNTIF($E84:I84,"t")+COUNTIF($E84:I84,"¶")+COUNTIF($E84:I84,"²")+COUNTIF($E84:I84,"µ")+COUNTIF($E84:I84,1),ColDescriptionCourte)),""),
  "")),"")</f>
        <v/>
      </c>
      <c r="K84" s="40" t="str">
        <f ca="1">IFERROR(IF(AND(
  INDEX(Roadmap!$D:$K,MATCH($E84,Roadmap!$D:$D,0)+COUNTIF($E84:J84,"u")+COUNTIF($E84:J84,"t")+COUNTIF($E84:J84,"¶")+COUNTIF($E84:J84,"²")+COUNTIF($E84:J84,"µ")+COUNTIF($E84:J84,1),ColLivraison)=K$6,
  VLOOKUP($E84,INDIRECT("tri!"&amp; CHAR(64+ C0Col) &amp;":"&amp; CHAR(65+C0Col)),2,FALSE)&gt;COUNTIF($E84:J84,"u")+COUNTIF($E84:J84,"t")+COUNTIF($E84:J84,"¶")+COUNTIF($E84:J84,"²")+COUNTIF($E84:J84,"µ")+COUNTIF($E84:J84,1)),
HYPERLINK("#Roadmap!C"&amp; MATCH($E84,Roadmap!$D:$D,0)+COUNTIF($E84:J84,"u")+COUNTIF($E84:J84,"t"),
     INDEX(Roadmap!$D:$K,MATCH($E84,Roadmap!$D:$D,0)+COUNTIF($E84:J84,"u")+COUNTIF($E84:J84,"t")+COUNTIF($E84:J84,"¶")+COUNTIF($E84:J84,"²")+COUNTIF($E84:J84,"µ")+COUNTIF($E84:J84,1),ColTypeEcheance)),
  IF(LEN(J84)=1,
  IF(LEN(INDEX(Roadmap!$D:$K,MATCH($E84,Roadmap!$D:$D,0)-1+COUNTIF($E84:J84,"u")+COUNTIF($E84:J84,"t")+COUNTIF($E84:J84,"¶")+COUNTIF($E84:J84,"²")+COUNTIF($E84:J84,"µ")+COUNTIF($E84:J84,1),ColDescriptionCourte))&gt;1,
HYPERLINK("#Roadmap!C"&amp; MATCH($E84,Roadmap!$D:$D,0)+COUNTIF($E84:J84,"u")+COUNTIF($E84:J84,"t")+COUNTIF($E84:J84,"¶")+COUNTIF($E84:J84,"²")+COUNTIF($E84:J84,"µ")+COUNTIF($E84:J84,1)-1,INDEX(Roadmap!$D:$K,MATCH($E84,Roadmap!$D:$D,0)-1+COUNTIF($E84:J84,"u")+COUNTIF($E84:J84,"t")+COUNTIF($E84:J84,"¶")+COUNTIF($E84:J84,"²")+COUNTIF($E84:J84,"µ")+COUNTIF($E84:J84,1),ColDescriptionCourte)),""),
  "")),"")</f>
        <v/>
      </c>
      <c r="L84" s="39" t="str">
        <f ca="1">IFERROR(IF(AND(
  INDEX(Roadmap!$D:$K,MATCH($E84,Roadmap!$D:$D,0)+COUNTIF($E84:K84,"u")+COUNTIF($E84:K84,"t")+COUNTIF($E84:K84,"¶")+COUNTIF($E84:K84,"²")+COUNTIF($E84:K84,"µ")+COUNTIF($E84:K84,1),ColLivraison)=L$6,
  VLOOKUP($E84,INDIRECT("tri!"&amp; CHAR(64+ C0Col) &amp;":"&amp; CHAR(65+C0Col)),2,FALSE)&gt;COUNTIF($E84:K84,"u")+COUNTIF($E84:K84,"t")+COUNTIF($E84:K84,"¶")+COUNTIF($E84:K84,"²")+COUNTIF($E84:K84,"µ")+COUNTIF($E84:K84,1)),
HYPERLINK("#Roadmap!C"&amp; MATCH($E84,Roadmap!$D:$D,0)+COUNTIF($E84:K84,"u")+COUNTIF($E84:K84,"t"),
     INDEX(Roadmap!$D:$K,MATCH($E84,Roadmap!$D:$D,0)+COUNTIF($E84:K84,"u")+COUNTIF($E84:K84,"t")+COUNTIF($E84:K84,"¶")+COUNTIF($E84:K84,"²")+COUNTIF($E84:K84,"µ")+COUNTIF($E84:K84,1),ColTypeEcheance)),
  IF(LEN(K84)=1,
  IF(LEN(INDEX(Roadmap!$D:$K,MATCH($E84,Roadmap!$D:$D,0)-1+COUNTIF($E84:K84,"u")+COUNTIF($E84:K84,"t")+COUNTIF($E84:K84,"¶")+COUNTIF($E84:K84,"²")+COUNTIF($E84:K84,"µ")+COUNTIF($E84:K84,1),ColDescriptionCourte))&gt;1,
HYPERLINK("#Roadmap!C"&amp; MATCH($E84,Roadmap!$D:$D,0)+COUNTIF($E84:K84,"u")+COUNTIF($E84:K84,"t")+COUNTIF($E84:K84,"¶")+COUNTIF($E84:K84,"²")+COUNTIF($E84:K84,"µ")+COUNTIF($E84:K84,1)-1,INDEX(Roadmap!$D:$K,MATCH($E84,Roadmap!$D:$D,0)-1+COUNTIF($E84:K84,"u")+COUNTIF($E84:K84,"t")+COUNTIF($E84:K84,"¶")+COUNTIF($E84:K84,"²")+COUNTIF($E84:K84,"µ")+COUNTIF($E84:K84,1),ColDescriptionCourte)),""),
  "")),"")</f>
        <v/>
      </c>
      <c r="M84" s="40" t="str">
        <f ca="1">IFERROR(IF(AND(
  INDEX(Roadmap!$D:$K,MATCH($E84,Roadmap!$D:$D,0)+COUNTIF($E84:L84,"u")+COUNTIF($E84:L84,"t")+COUNTIF($E84:L84,"¶")+COUNTIF($E84:L84,"²")+COUNTIF($E84:L84,"µ")+COUNTIF($E84:L84,1),ColLivraison)=M$6,
  VLOOKUP($E84,INDIRECT("tri!"&amp; CHAR(64+ C0Col) &amp;":"&amp; CHAR(65+C0Col)),2,FALSE)&gt;COUNTIF($E84:L84,"u")+COUNTIF($E84:L84,"t")+COUNTIF($E84:L84,"¶")+COUNTIF($E84:L84,"²")+COUNTIF($E84:L84,"µ")+COUNTIF($E84:L84,1)),
HYPERLINK("#Roadmap!C"&amp; MATCH($E84,Roadmap!$D:$D,0)+COUNTIF($E84:L84,"u")+COUNTIF($E84:L84,"t"),
     INDEX(Roadmap!$D:$K,MATCH($E84,Roadmap!$D:$D,0)+COUNTIF($E84:L84,"u")+COUNTIF($E84:L84,"t")+COUNTIF($E84:L84,"¶")+COUNTIF($E84:L84,"²")+COUNTIF($E84:L84,"µ")+COUNTIF($E84:L84,1),ColTypeEcheance)),
  IF(LEN(L84)=1,
  IF(LEN(INDEX(Roadmap!$D:$K,MATCH($E84,Roadmap!$D:$D,0)-1+COUNTIF($E84:L84,"u")+COUNTIF($E84:L84,"t")+COUNTIF($E84:L84,"¶")+COUNTIF($E84:L84,"²")+COUNTIF($E84:L84,"µ")+COUNTIF($E84:L84,1),ColDescriptionCourte))&gt;1,
HYPERLINK("#Roadmap!C"&amp; MATCH($E84,Roadmap!$D:$D,0)+COUNTIF($E84:L84,"u")+COUNTIF($E84:L84,"t")+COUNTIF($E84:L84,"¶")+COUNTIF($E84:L84,"²")+COUNTIF($E84:L84,"µ")+COUNTIF($E84:L84,1)-1,INDEX(Roadmap!$D:$K,MATCH($E84,Roadmap!$D:$D,0)-1+COUNTIF($E84:L84,"u")+COUNTIF($E84:L84,"t")+COUNTIF($E84:L84,"¶")+COUNTIF($E84:L84,"²")+COUNTIF($E84:L84,"µ")+COUNTIF($E84:L84,1),ColDescriptionCourte)),""),
  "")),"")</f>
        <v/>
      </c>
      <c r="N84" s="40" t="str">
        <f ca="1">IFERROR(IF(AND(
  INDEX(Roadmap!$D:$K,MATCH($E84,Roadmap!$D:$D,0)+COUNTIF($E84:M84,"u")+COUNTIF($E84:M84,"t")+COUNTIF($E84:M84,"¶")+COUNTIF($E84:M84,"²")+COUNTIF($E84:M84,"µ")+COUNTIF($E84:M84,1),ColLivraison)=N$6,
  VLOOKUP($E84,INDIRECT("tri!"&amp; CHAR(64+ C0Col) &amp;":"&amp; CHAR(65+C0Col)),2,FALSE)&gt;COUNTIF($E84:M84,"u")+COUNTIF($E84:M84,"t")+COUNTIF($E84:M84,"¶")+COUNTIF($E84:M84,"²")+COUNTIF($E84:M84,"µ")+COUNTIF($E84:M84,1)),
HYPERLINK("#Roadmap!C"&amp; MATCH($E84,Roadmap!$D:$D,0)+COUNTIF($E84:M84,"u")+COUNTIF($E84:M84,"t"),
     INDEX(Roadmap!$D:$K,MATCH($E84,Roadmap!$D:$D,0)+COUNTIF($E84:M84,"u")+COUNTIF($E84:M84,"t")+COUNTIF($E84:M84,"¶")+COUNTIF($E84:M84,"²")+COUNTIF($E84:M84,"µ")+COUNTIF($E84:M84,1),ColTypeEcheance)),
  IF(LEN(M84)=1,
  IF(LEN(INDEX(Roadmap!$D:$K,MATCH($E84,Roadmap!$D:$D,0)-1+COUNTIF($E84:M84,"u")+COUNTIF($E84:M84,"t")+COUNTIF($E84:M84,"¶")+COUNTIF($E84:M84,"²")+COUNTIF($E84:M84,"µ")+COUNTIF($E84:M84,1),ColDescriptionCourte))&gt;1,
HYPERLINK("#Roadmap!C"&amp; MATCH($E84,Roadmap!$D:$D,0)+COUNTIF($E84:M84,"u")+COUNTIF($E84:M84,"t")+COUNTIF($E84:M84,"¶")+COUNTIF($E84:M84,"²")+COUNTIF($E84:M84,"µ")+COUNTIF($E84:M84,1)-1,INDEX(Roadmap!$D:$K,MATCH($E84,Roadmap!$D:$D,0)-1+COUNTIF($E84:M84,"u")+COUNTIF($E84:M84,"t")+COUNTIF($E84:M84,"¶")+COUNTIF($E84:M84,"²")+COUNTIF($E84:M84,"µ")+COUNTIF($E84:M84,1),ColDescriptionCourte)),""),
  "")),"")</f>
        <v/>
      </c>
      <c r="O84" s="40" t="str">
        <f ca="1">IFERROR(IF(AND(
  INDEX(Roadmap!$D:$K,MATCH($E84,Roadmap!$D:$D,0)+COUNTIF($E84:N84,"u")+COUNTIF($E84:N84,"t")+COUNTIF($E84:N84,"¶")+COUNTIF($E84:N84,"²")+COUNTIF($E84:N84,"µ")+COUNTIF($E84:N84,1),ColLivraison)=O$6,
  VLOOKUP($E84,INDIRECT("tri!"&amp; CHAR(64+ C0Col) &amp;":"&amp; CHAR(65+C0Col)),2,FALSE)&gt;COUNTIF($E84:N84,"u")+COUNTIF($E84:N84,"t")+COUNTIF($E84:N84,"¶")+COUNTIF($E84:N84,"²")+COUNTIF($E84:N84,"µ")+COUNTIF($E84:N84,1)),
HYPERLINK("#Roadmap!C"&amp; MATCH($E84,Roadmap!$D:$D,0)+COUNTIF($E84:N84,"u")+COUNTIF($E84:N84,"t"),
     INDEX(Roadmap!$D:$K,MATCH($E84,Roadmap!$D:$D,0)+COUNTIF($E84:N84,"u")+COUNTIF($E84:N84,"t")+COUNTIF($E84:N84,"¶")+COUNTIF($E84:N84,"²")+COUNTIF($E84:N84,"µ")+COUNTIF($E84:N84,1),ColTypeEcheance)),
  IF(LEN(N84)=1,
  IF(LEN(INDEX(Roadmap!$D:$K,MATCH($E84,Roadmap!$D:$D,0)-1+COUNTIF($E84:N84,"u")+COUNTIF($E84:N84,"t")+COUNTIF($E84:N84,"¶")+COUNTIF($E84:N84,"²")+COUNTIF($E84:N84,"µ")+COUNTIF($E84:N84,1),ColDescriptionCourte))&gt;1,
HYPERLINK("#Roadmap!C"&amp; MATCH($E84,Roadmap!$D:$D,0)+COUNTIF($E84:N84,"u")+COUNTIF($E84:N84,"t")+COUNTIF($E84:N84,"¶")+COUNTIF($E84:N84,"²")+COUNTIF($E84:N84,"µ")+COUNTIF($E84:N84,1)-1,INDEX(Roadmap!$D:$K,MATCH($E84,Roadmap!$D:$D,0)-1+COUNTIF($E84:N84,"u")+COUNTIF($E84:N84,"t")+COUNTIF($E84:N84,"¶")+COUNTIF($E84:N84,"²")+COUNTIF($E84:N84,"µ")+COUNTIF($E84:N84,1),ColDescriptionCourte)),""),
  "")),"")</f>
        <v/>
      </c>
      <c r="P84" s="40" t="str">
        <f ca="1">IFERROR(IF(AND(
  INDEX(Roadmap!$D:$K,MATCH($E84,Roadmap!$D:$D,0)+COUNTIF($E84:O84,"u")+COUNTIF($E84:O84,"t")+COUNTIF($E84:O84,"¶")+COUNTIF($E84:O84,"²")+COUNTIF($E84:O84,"µ")+COUNTIF($E84:O84,1),ColLivraison)=P$6,
  VLOOKUP($E84,INDIRECT("tri!"&amp; CHAR(64+ C0Col) &amp;":"&amp; CHAR(65+C0Col)),2,FALSE)&gt;COUNTIF($E84:O84,"u")+COUNTIF($E84:O84,"t")+COUNTIF($E84:O84,"¶")+COUNTIF($E84:O84,"²")+COUNTIF($E84:O84,"µ")+COUNTIF($E84:O84,1)),
HYPERLINK("#Roadmap!C"&amp; MATCH($E84,Roadmap!$D:$D,0)+COUNTIF($E84:O84,"u")+COUNTIF($E84:O84,"t"),
     INDEX(Roadmap!$D:$K,MATCH($E84,Roadmap!$D:$D,0)+COUNTIF($E84:O84,"u")+COUNTIF($E84:O84,"t")+COUNTIF($E84:O84,"¶")+COUNTIF($E84:O84,"²")+COUNTIF($E84:O84,"µ")+COUNTIF($E84:O84,1),ColTypeEcheance)),
  IF(LEN(O84)=1,
  IF(LEN(INDEX(Roadmap!$D:$K,MATCH($E84,Roadmap!$D:$D,0)-1+COUNTIF($E84:O84,"u")+COUNTIF($E84:O84,"t")+COUNTIF($E84:O84,"¶")+COUNTIF($E84:O84,"²")+COUNTIF($E84:O84,"µ")+COUNTIF($E84:O84,1),ColDescriptionCourte))&gt;1,
HYPERLINK("#Roadmap!C"&amp; MATCH($E84,Roadmap!$D:$D,0)+COUNTIF($E84:O84,"u")+COUNTIF($E84:O84,"t")+COUNTIF($E84:O84,"¶")+COUNTIF($E84:O84,"²")+COUNTIF($E84:O84,"µ")+COUNTIF($E84:O84,1)-1,INDEX(Roadmap!$D:$K,MATCH($E84,Roadmap!$D:$D,0)-1+COUNTIF($E84:O84,"u")+COUNTIF($E84:O84,"t")+COUNTIF($E84:O84,"¶")+COUNTIF($E84:O84,"²")+COUNTIF($E84:O84,"µ")+COUNTIF($E84:O84,1),ColDescriptionCourte)),""),
  "")),"")</f>
        <v/>
      </c>
      <c r="Q84" s="40" t="str">
        <f ca="1">IFERROR(IF(AND(
  INDEX(Roadmap!$D:$K,MATCH($E84,Roadmap!$D:$D,0)+COUNTIF($E84:P84,"u")+COUNTIF($E84:P84,"t")+COUNTIF($E84:P84,"¶")+COUNTIF($E84:P84,"²")+COUNTIF($E84:P84,"µ")+COUNTIF($E84:P84,1),ColLivraison)=Q$6,
  VLOOKUP($E84,INDIRECT("tri!"&amp; CHAR(64+ C0Col) &amp;":"&amp; CHAR(65+C0Col)),2,FALSE)&gt;COUNTIF($E84:P84,"u")+COUNTIF($E84:P84,"t")+COUNTIF($E84:P84,"¶")+COUNTIF($E84:P84,"²")+COUNTIF($E84:P84,"µ")+COUNTIF($E84:P84,1)),
HYPERLINK("#Roadmap!C"&amp; MATCH($E84,Roadmap!$D:$D,0)+COUNTIF($E84:P84,"u")+COUNTIF($E84:P84,"t"),
     INDEX(Roadmap!$D:$K,MATCH($E84,Roadmap!$D:$D,0)+COUNTIF($E84:P84,"u")+COUNTIF($E84:P84,"t")+COUNTIF($E84:P84,"¶")+COUNTIF($E84:P84,"²")+COUNTIF($E84:P84,"µ")+COUNTIF($E84:P84,1),ColTypeEcheance)),
  IF(LEN(P84)=1,
  IF(LEN(INDEX(Roadmap!$D:$K,MATCH($E84,Roadmap!$D:$D,0)-1+COUNTIF($E84:P84,"u")+COUNTIF($E84:P84,"t")+COUNTIF($E84:P84,"¶")+COUNTIF($E84:P84,"²")+COUNTIF($E84:P84,"µ")+COUNTIF($E84:P84,1),ColDescriptionCourte))&gt;1,
HYPERLINK("#Roadmap!C"&amp; MATCH($E84,Roadmap!$D:$D,0)+COUNTIF($E84:P84,"u")+COUNTIF($E84:P84,"t")+COUNTIF($E84:P84,"¶")+COUNTIF($E84:P84,"²")+COUNTIF($E84:P84,"µ")+COUNTIF($E84:P84,1)-1,INDEX(Roadmap!$D:$K,MATCH($E84,Roadmap!$D:$D,0)-1+COUNTIF($E84:P84,"u")+COUNTIF($E84:P84,"t")+COUNTIF($E84:P84,"¶")+COUNTIF($E84:P84,"²")+COUNTIF($E84:P84,"µ")+COUNTIF($E84:P84,1),ColDescriptionCourte)),""),
  "")),"")</f>
        <v/>
      </c>
      <c r="R84" s="40" t="str">
        <f ca="1">IFERROR(IF(AND(
  INDEX(Roadmap!$D:$K,MATCH($E84,Roadmap!$D:$D,0)+COUNTIF($E84:Q84,"u")+COUNTIF($E84:Q84,"t")+COUNTIF($E84:Q84,"¶")+COUNTIF($E84:Q84,"²")+COUNTIF($E84:Q84,"µ")+COUNTIF($E84:Q84,1),ColLivraison)=R$6,
  VLOOKUP($E84,INDIRECT("tri!"&amp; CHAR(64+ C0Col) &amp;":"&amp; CHAR(65+C0Col)),2,FALSE)&gt;COUNTIF($E84:Q84,"u")+COUNTIF($E84:Q84,"t")+COUNTIF($E84:Q84,"¶")+COUNTIF($E84:Q84,"²")+COUNTIF($E84:Q84,"µ")+COUNTIF($E84:Q84,1)),
HYPERLINK("#Roadmap!C"&amp; MATCH($E84,Roadmap!$D:$D,0)+COUNTIF($E84:Q84,"u")+COUNTIF($E84:Q84,"t"),
     INDEX(Roadmap!$D:$K,MATCH($E84,Roadmap!$D:$D,0)+COUNTIF($E84:Q84,"u")+COUNTIF($E84:Q84,"t")+COUNTIF($E84:Q84,"¶")+COUNTIF($E84:Q84,"²")+COUNTIF($E84:Q84,"µ")+COUNTIF($E84:Q84,1),ColTypeEcheance)),
  IF(LEN(Q84)=1,
  IF(LEN(INDEX(Roadmap!$D:$K,MATCH($E84,Roadmap!$D:$D,0)-1+COUNTIF($E84:Q84,"u")+COUNTIF($E84:Q84,"t")+COUNTIF($E84:Q84,"¶")+COUNTIF($E84:Q84,"²")+COUNTIF($E84:Q84,"µ")+COUNTIF($E84:Q84,1),ColDescriptionCourte))&gt;1,
HYPERLINK("#Roadmap!C"&amp; MATCH($E84,Roadmap!$D:$D,0)+COUNTIF($E84:Q84,"u")+COUNTIF($E84:Q84,"t")+COUNTIF($E84:Q84,"¶")+COUNTIF($E84:Q84,"²")+COUNTIF($E84:Q84,"µ")+COUNTIF($E84:Q84,1)-1,INDEX(Roadmap!$D:$K,MATCH($E84,Roadmap!$D:$D,0)-1+COUNTIF($E84:Q84,"u")+COUNTIF($E84:Q84,"t")+COUNTIF($E84:Q84,"¶")+COUNTIF($E84:Q84,"²")+COUNTIF($E84:Q84,"µ")+COUNTIF($E84:Q84,1),ColDescriptionCourte)),""),
  "")),"")</f>
        <v/>
      </c>
      <c r="S84" s="40" t="str">
        <f ca="1">IFERROR(IF(AND(
  INDEX(Roadmap!$D:$K,MATCH($E84,Roadmap!$D:$D,0)+COUNTIF($E84:R84,"u")+COUNTIF($E84:R84,"t")+COUNTIF($E84:R84,"¶")+COUNTIF($E84:R84,"²")+COUNTIF($E84:R84,"µ")+COUNTIF($E84:R84,1),ColLivraison)=S$6,
  VLOOKUP($E84,INDIRECT("tri!"&amp; CHAR(64+ C0Col) &amp;":"&amp; CHAR(65+C0Col)),2,FALSE)&gt;COUNTIF($E84:R84,"u")+COUNTIF($E84:R84,"t")+COUNTIF($E84:R84,"¶")+COUNTIF($E84:R84,"²")+COUNTIF($E84:R84,"µ")+COUNTIF($E84:R84,1)),
HYPERLINK("#Roadmap!C"&amp; MATCH($E84,Roadmap!$D:$D,0)+COUNTIF($E84:R84,"u")+COUNTIF($E84:R84,"t"),
     INDEX(Roadmap!$D:$K,MATCH($E84,Roadmap!$D:$D,0)+COUNTIF($E84:R84,"u")+COUNTIF($E84:R84,"t")+COUNTIF($E84:R84,"¶")+COUNTIF($E84:R84,"²")+COUNTIF($E84:R84,"µ")+COUNTIF($E84:R84,1),ColTypeEcheance)),
  IF(LEN(R84)=1,
  IF(LEN(INDEX(Roadmap!$D:$K,MATCH($E84,Roadmap!$D:$D,0)-1+COUNTIF($E84:R84,"u")+COUNTIF($E84:R84,"t")+COUNTIF($E84:R84,"¶")+COUNTIF($E84:R84,"²")+COUNTIF($E84:R84,"µ")+COUNTIF($E84:R84,1),ColDescriptionCourte))&gt;1,
HYPERLINK("#Roadmap!C"&amp; MATCH($E84,Roadmap!$D:$D,0)+COUNTIF($E84:R84,"u")+COUNTIF($E84:R84,"t")+COUNTIF($E84:R84,"¶")+COUNTIF($E84:R84,"²")+COUNTIF($E84:R84,"µ")+COUNTIF($E84:R84,1)-1,INDEX(Roadmap!$D:$K,MATCH($E84,Roadmap!$D:$D,0)-1+COUNTIF($E84:R84,"u")+COUNTIF($E84:R84,"t")+COUNTIF($E84:R84,"¶")+COUNTIF($E84:R84,"²")+COUNTIF($E84:R84,"µ")+COUNTIF($E84:R84,1),ColDescriptionCourte)),""),
  "")),"")</f>
        <v/>
      </c>
      <c r="T84" s="40" t="str">
        <f ca="1">IFERROR(IF(AND(
  INDEX(Roadmap!$D:$K,MATCH($E84,Roadmap!$D:$D,0)+COUNTIF($E84:S84,"u")+COUNTIF($E84:S84,"t")+COUNTIF($E84:S84,"¶")+COUNTIF($E84:S84,"²")+COUNTIF($E84:S84,"µ")+COUNTIF($E84:S84,1),ColLivraison)=T$6,
  VLOOKUP($E84,INDIRECT("tri!"&amp; CHAR(64+ C0Col) &amp;":"&amp; CHAR(65+C0Col)),2,FALSE)&gt;COUNTIF($E84:S84,"u")+COUNTIF($E84:S84,"t")+COUNTIF($E84:S84,"¶")+COUNTIF($E84:S84,"²")+COUNTIF($E84:S84,"µ")+COUNTIF($E84:S84,1)),
HYPERLINK("#Roadmap!C"&amp; MATCH($E84,Roadmap!$D:$D,0)+COUNTIF($E84:S84,"u")+COUNTIF($E84:S84,"t"),
     INDEX(Roadmap!$D:$K,MATCH($E84,Roadmap!$D:$D,0)+COUNTIF($E84:S84,"u")+COUNTIF($E84:S84,"t")+COUNTIF($E84:S84,"¶")+COUNTIF($E84:S84,"²")+COUNTIF($E84:S84,"µ")+COUNTIF($E84:S84,1),ColTypeEcheance)),
  IF(LEN(S84)=1,
  IF(LEN(INDEX(Roadmap!$D:$K,MATCH($E84,Roadmap!$D:$D,0)-1+COUNTIF($E84:S84,"u")+COUNTIF($E84:S84,"t")+COUNTIF($E84:S84,"¶")+COUNTIF($E84:S84,"²")+COUNTIF($E84:S84,"µ")+COUNTIF($E84:S84,1),ColDescriptionCourte))&gt;1,
HYPERLINK("#Roadmap!C"&amp; MATCH($E84,Roadmap!$D:$D,0)+COUNTIF($E84:S84,"u")+COUNTIF($E84:S84,"t")+COUNTIF($E84:S84,"¶")+COUNTIF($E84:S84,"²")+COUNTIF($E84:S84,"µ")+COUNTIF($E84:S84,1)-1,INDEX(Roadmap!$D:$K,MATCH($E84,Roadmap!$D:$D,0)-1+COUNTIF($E84:S84,"u")+COUNTIF($E84:S84,"t")+COUNTIF($E84:S84,"¶")+COUNTIF($E84:S84,"²")+COUNTIF($E84:S84,"µ")+COUNTIF($E84:S84,1),ColDescriptionCourte)),""),
  "")),"")</f>
        <v/>
      </c>
      <c r="U84" s="40" t="str">
        <f ca="1">IFERROR(IF(AND(
  INDEX(Roadmap!$D:$K,MATCH($E84,Roadmap!$D:$D,0)+COUNTIF($E84:T84,"u")+COUNTIF($E84:T84,"t")+COUNTIF($E84:T84,"¶")+COUNTIF($E84:T84,"²")+COUNTIF($E84:T84,"µ")+COUNTIF($E84:T84,1),ColLivraison)=U$6,
  VLOOKUP($E84,INDIRECT("tri!"&amp; CHAR(64+ C0Col) &amp;":"&amp; CHAR(65+C0Col)),2,FALSE)&gt;COUNTIF($E84:T84,"u")+COUNTIF($E84:T84,"t")+COUNTIF($E84:T84,"¶")+COUNTIF($E84:T84,"²")+COUNTIF($E84:T84,"µ")+COUNTIF($E84:T84,1)),
HYPERLINK("#Roadmap!C"&amp; MATCH($E84,Roadmap!$D:$D,0)+COUNTIF($E84:T84,"u")+COUNTIF($E84:T84,"t"),
     INDEX(Roadmap!$D:$K,MATCH($E84,Roadmap!$D:$D,0)+COUNTIF($E84:T84,"u")+COUNTIF($E84:T84,"t")+COUNTIF($E84:T84,"¶")+COUNTIF($E84:T84,"²")+COUNTIF($E84:T84,"µ")+COUNTIF($E84:T84,1),ColTypeEcheance)),
  IF(LEN(T84)=1,
  IF(LEN(INDEX(Roadmap!$D:$K,MATCH($E84,Roadmap!$D:$D,0)-1+COUNTIF($E84:T84,"u")+COUNTIF($E84:T84,"t")+COUNTIF($E84:T84,"¶")+COUNTIF($E84:T84,"²")+COUNTIF($E84:T84,"µ")+COUNTIF($E84:T84,1),ColDescriptionCourte))&gt;1,
HYPERLINK("#Roadmap!C"&amp; MATCH($E84,Roadmap!$D:$D,0)+COUNTIF($E84:T84,"u")+COUNTIF($E84:T84,"t")+COUNTIF($E84:T84,"¶")+COUNTIF($E84:T84,"²")+COUNTIF($E84:T84,"µ")+COUNTIF($E84:T84,1)-1,INDEX(Roadmap!$D:$K,MATCH($E84,Roadmap!$D:$D,0)-1+COUNTIF($E84:T84,"u")+COUNTIF($E84:T84,"t")+COUNTIF($E84:T84,"¶")+COUNTIF($E84:T84,"²")+COUNTIF($E84:T84,"µ")+COUNTIF($E84:T84,1),ColDescriptionCourte)),""),
  "")),"")</f>
        <v/>
      </c>
      <c r="V84" s="40" t="str">
        <f ca="1">IFERROR(IF(AND(
  INDEX(Roadmap!$D:$K,MATCH($E84,Roadmap!$D:$D,0)+COUNTIF($E84:U84,"u")+COUNTIF($E84:U84,"t")+COUNTIF($E84:U84,"¶")+COUNTIF($E84:U84,"²")+COUNTIF($E84:U84,"µ")+COUNTIF($E84:U84,1),ColLivraison)=V$6,
  VLOOKUP($E84,INDIRECT("tri!"&amp; CHAR(64+ C0Col) &amp;":"&amp; CHAR(65+C0Col)),2,FALSE)&gt;COUNTIF($E84:U84,"u")+COUNTIF($E84:U84,"t")+COUNTIF($E84:U84,"¶")+COUNTIF($E84:U84,"²")+COUNTIF($E84:U84,"µ")+COUNTIF($E84:U84,1)),
HYPERLINK("#Roadmap!C"&amp; MATCH($E84,Roadmap!$D:$D,0)+COUNTIF($E84:U84,"u")+COUNTIF($E84:U84,"t"),
     INDEX(Roadmap!$D:$K,MATCH($E84,Roadmap!$D:$D,0)+COUNTIF($E84:U84,"u")+COUNTIF($E84:U84,"t")+COUNTIF($E84:U84,"¶")+COUNTIF($E84:U84,"²")+COUNTIF($E84:U84,"µ")+COUNTIF($E84:U84,1),ColTypeEcheance)),
  IF(LEN(U84)=1,
  IF(LEN(INDEX(Roadmap!$D:$K,MATCH($E84,Roadmap!$D:$D,0)-1+COUNTIF($E84:U84,"u")+COUNTIF($E84:U84,"t")+COUNTIF($E84:U84,"¶")+COUNTIF($E84:U84,"²")+COUNTIF($E84:U84,"µ")+COUNTIF($E84:U84,1),ColDescriptionCourte))&gt;1,
HYPERLINK("#Roadmap!C"&amp; MATCH($E84,Roadmap!$D:$D,0)+COUNTIF($E84:U84,"u")+COUNTIF($E84:U84,"t")+COUNTIF($E84:U84,"¶")+COUNTIF($E84:U84,"²")+COUNTIF($E84:U84,"µ")+COUNTIF($E84:U84,1)-1,INDEX(Roadmap!$D:$K,MATCH($E84,Roadmap!$D:$D,0)-1+COUNTIF($E84:U84,"u")+COUNTIF($E84:U84,"t")+COUNTIF($E84:U84,"¶")+COUNTIF($E84:U84,"²")+COUNTIF($E84:U84,"µ")+COUNTIF($E84:U84,1),ColDescriptionCourte)),""),
  "")),"")</f>
        <v/>
      </c>
      <c r="W84" s="40" t="str">
        <f ca="1">IFERROR(IF(AND(
  INDEX(Roadmap!$D:$K,MATCH($E84,Roadmap!$D:$D,0)+COUNTIF($E84:V84,"u")+COUNTIF($E84:V84,"t")+COUNTIF($E84:V84,"¶")+COUNTIF($E84:V84,"²")+COUNTIF($E84:V84,"µ")+COUNTIF($E84:V84,1),ColLivraison)=W$6,
  VLOOKUP($E84,INDIRECT("tri!"&amp; CHAR(64+ C0Col) &amp;":"&amp; CHAR(65+C0Col)),2,FALSE)&gt;COUNTIF($E84:V84,"u")+COUNTIF($E84:V84,"t")+COUNTIF($E84:V84,"¶")+COUNTIF($E84:V84,"²")+COUNTIF($E84:V84,"µ")+COUNTIF($E84:V84,1)),
HYPERLINK("#Roadmap!C"&amp; MATCH($E84,Roadmap!$D:$D,0)+COUNTIF($E84:V84,"u")+COUNTIF($E84:V84,"t"),
     INDEX(Roadmap!$D:$K,MATCH($E84,Roadmap!$D:$D,0)+COUNTIF($E84:V84,"u")+COUNTIF($E84:V84,"t")+COUNTIF($E84:V84,"¶")+COUNTIF($E84:V84,"²")+COUNTIF($E84:V84,"µ")+COUNTIF($E84:V84,1),ColTypeEcheance)),
  IF(LEN(V84)=1,
  IF(LEN(INDEX(Roadmap!$D:$K,MATCH($E84,Roadmap!$D:$D,0)-1+COUNTIF($E84:V84,"u")+COUNTIF($E84:V84,"t")+COUNTIF($E84:V84,"¶")+COUNTIF($E84:V84,"²")+COUNTIF($E84:V84,"µ")+COUNTIF($E84:V84,1),ColDescriptionCourte))&gt;1,
HYPERLINK("#Roadmap!C"&amp; MATCH($E84,Roadmap!$D:$D,0)+COUNTIF($E84:V84,"u")+COUNTIF($E84:V84,"t")+COUNTIF($E84:V84,"¶")+COUNTIF($E84:V84,"²")+COUNTIF($E84:V84,"µ")+COUNTIF($E84:V84,1)-1,INDEX(Roadmap!$D:$K,MATCH($E84,Roadmap!$D:$D,0)-1+COUNTIF($E84:V84,"u")+COUNTIF($E84:V84,"t")+COUNTIF($E84:V84,"¶")+COUNTIF($E84:V84,"²")+COUNTIF($E84:V84,"µ")+COUNTIF($E84:V84,1),ColDescriptionCourte)),""),
  "")),"")</f>
        <v/>
      </c>
      <c r="X84" s="40" t="str">
        <f ca="1">IFERROR(IF(AND(
  INDEX(Roadmap!$D:$K,MATCH($E84,Roadmap!$D:$D,0)+COUNTIF($E84:W84,"u")+COUNTIF($E84:W84,"t")+COUNTIF($E84:W84,"¶")+COUNTIF($E84:W84,"²")+COUNTIF($E84:W84,"µ")+COUNTIF($E84:W84,1),ColLivraison)=X$6,
  VLOOKUP($E84,INDIRECT("tri!"&amp; CHAR(64+ C0Col) &amp;":"&amp; CHAR(65+C0Col)),2,FALSE)&gt;COUNTIF($E84:W84,"u")+COUNTIF($E84:W84,"t")+COUNTIF($E84:W84,"¶")+COUNTIF($E84:W84,"²")+COUNTIF($E84:W84,"µ")+COUNTIF($E84:W84,1)),
HYPERLINK("#Roadmap!C"&amp; MATCH($E84,Roadmap!$D:$D,0)+COUNTIF($E84:W84,"u")+COUNTIF($E84:W84,"t"),
     INDEX(Roadmap!$D:$K,MATCH($E84,Roadmap!$D:$D,0)+COUNTIF($E84:W84,"u")+COUNTIF($E84:W84,"t")+COUNTIF($E84:W84,"¶")+COUNTIF($E84:W84,"²")+COUNTIF($E84:W84,"µ")+COUNTIF($E84:W84,1),ColTypeEcheance)),
  IF(LEN(W84)=1,
  IF(LEN(INDEX(Roadmap!$D:$K,MATCH($E84,Roadmap!$D:$D,0)-1+COUNTIF($E84:W84,"u")+COUNTIF($E84:W84,"t")+COUNTIF($E84:W84,"¶")+COUNTIF($E84:W84,"²")+COUNTIF($E84:W84,"µ")+COUNTIF($E84:W84,1),ColDescriptionCourte))&gt;1,
HYPERLINK("#Roadmap!C"&amp; MATCH($E84,Roadmap!$D:$D,0)+COUNTIF($E84:W84,"u")+COUNTIF($E84:W84,"t")+COUNTIF($E84:W84,"¶")+COUNTIF($E84:W84,"²")+COUNTIF($E84:W84,"µ")+COUNTIF($E84:W84,1)-1,INDEX(Roadmap!$D:$K,MATCH($E84,Roadmap!$D:$D,0)-1+COUNTIF($E84:W84,"u")+COUNTIF($E84:W84,"t")+COUNTIF($E84:W84,"¶")+COUNTIF($E84:W84,"²")+COUNTIF($E84:W84,"µ")+COUNTIF($E84:W84,1),ColDescriptionCourte)),""),
  "")),"")</f>
        <v/>
      </c>
      <c r="Y84" s="40" t="str">
        <f ca="1">IFERROR(IF(AND(
  INDEX(Roadmap!$D:$K,MATCH($E84,Roadmap!$D:$D,0)+COUNTIF($E84:X84,"u")+COUNTIF($E84:X84,"t")+COUNTIF($E84:X84,"¶")+COUNTIF($E84:X84,"²")+COUNTIF($E84:X84,"µ")+COUNTIF($E84:X84,1),ColLivraison)=Y$6,
  VLOOKUP($E84,INDIRECT("tri!"&amp; CHAR(64+ C0Col) &amp;":"&amp; CHAR(65+C0Col)),2,FALSE)&gt;COUNTIF($E84:X84,"u")+COUNTIF($E84:X84,"t")+COUNTIF($E84:X84,"¶")+COUNTIF($E84:X84,"²")+COUNTIF($E84:X84,"µ")+COUNTIF($E84:X84,1)),
HYPERLINK("#Roadmap!C"&amp; MATCH($E84,Roadmap!$D:$D,0)+COUNTIF($E84:X84,"u")+COUNTIF($E84:X84,"t"),
     INDEX(Roadmap!$D:$K,MATCH($E84,Roadmap!$D:$D,0)+COUNTIF($E84:X84,"u")+COUNTIF($E84:X84,"t")+COUNTIF($E84:X84,"¶")+COUNTIF($E84:X84,"²")+COUNTIF($E84:X84,"µ")+COUNTIF($E84:X84,1),ColTypeEcheance)),
  IF(LEN(X84)=1,
  IF(LEN(INDEX(Roadmap!$D:$K,MATCH($E84,Roadmap!$D:$D,0)-1+COUNTIF($E84:X84,"u")+COUNTIF($E84:X84,"t")+COUNTIF($E84:X84,"¶")+COUNTIF($E84:X84,"²")+COUNTIF($E84:X84,"µ")+COUNTIF($E84:X84,1),ColDescriptionCourte))&gt;1,
HYPERLINK("#Roadmap!C"&amp; MATCH($E84,Roadmap!$D:$D,0)+COUNTIF($E84:X84,"u")+COUNTIF($E84:X84,"t")+COUNTIF($E84:X84,"¶")+COUNTIF($E84:X84,"²")+COUNTIF($E84:X84,"µ")+COUNTIF($E84:X84,1)-1,INDEX(Roadmap!$D:$K,MATCH($E84,Roadmap!$D:$D,0)-1+COUNTIF($E84:X84,"u")+COUNTIF($E84:X84,"t")+COUNTIF($E84:X84,"¶")+COUNTIF($E84:X84,"²")+COUNTIF($E84:X84,"µ")+COUNTIF($E84:X84,1),ColDescriptionCourte)),""),
  "")),"")</f>
        <v/>
      </c>
      <c r="Z84" s="40" t="str">
        <f ca="1">IFERROR(IF(AND(
  INDEX(Roadmap!$D:$K,MATCH($E84,Roadmap!$D:$D,0)+COUNTIF($E84:Y84,"u")+COUNTIF($E84:Y84,"t")+COUNTIF($E84:Y84,"¶")+COUNTIF($E84:Y84,"²")+COUNTIF($E84:Y84,"µ")+COUNTIF($E84:Y84,1),ColLivraison)=Z$6,
  VLOOKUP($E84,INDIRECT("tri!"&amp; CHAR(64+ C0Col) &amp;":"&amp; CHAR(65+C0Col)),2,FALSE)&gt;COUNTIF($E84:Y84,"u")+COUNTIF($E84:Y84,"t")+COUNTIF($E84:Y84,"¶")+COUNTIF($E84:Y84,"²")+COUNTIF($E84:Y84,"µ")+COUNTIF($E84:Y84,1)),
HYPERLINK("#Roadmap!C"&amp; MATCH($E84,Roadmap!$D:$D,0)+COUNTIF($E84:Y84,"u")+COUNTIF($E84:Y84,"t"),
     INDEX(Roadmap!$D:$K,MATCH($E84,Roadmap!$D:$D,0)+COUNTIF($E84:Y84,"u")+COUNTIF($E84:Y84,"t")+COUNTIF($E84:Y84,"¶")+COUNTIF($E84:Y84,"²")+COUNTIF($E84:Y84,"µ")+COUNTIF($E84:Y84,1),ColTypeEcheance)),
  IF(LEN(Y84)=1,
  IF(LEN(INDEX(Roadmap!$D:$K,MATCH($E84,Roadmap!$D:$D,0)-1+COUNTIF($E84:Y84,"u")+COUNTIF($E84:Y84,"t")+COUNTIF($E84:Y84,"¶")+COUNTIF($E84:Y84,"²")+COUNTIF($E84:Y84,"µ")+COUNTIF($E84:Y84,1),ColDescriptionCourte))&gt;1,
HYPERLINK("#Roadmap!C"&amp; MATCH($E84,Roadmap!$D:$D,0)+COUNTIF($E84:Y84,"u")+COUNTIF($E84:Y84,"t")+COUNTIF($E84:Y84,"¶")+COUNTIF($E84:Y84,"²")+COUNTIF($E84:Y84,"µ")+COUNTIF($E84:Y84,1)-1,INDEX(Roadmap!$D:$K,MATCH($E84,Roadmap!$D:$D,0)-1+COUNTIF($E84:Y84,"u")+COUNTIF($E84:Y84,"t")+COUNTIF($E84:Y84,"¶")+COUNTIF($E84:Y84,"²")+COUNTIF($E84:Y84,"µ")+COUNTIF($E84:Y84,1),ColDescriptionCourte)),""),
  "")),"")</f>
        <v/>
      </c>
      <c r="AA84" s="40" t="str">
        <f ca="1">IFERROR(IF(AND(
  INDEX(Roadmap!$D:$K,MATCH($E84,Roadmap!$D:$D,0)+COUNTIF($E84:Z84,"u")+COUNTIF($E84:Z84,"t")+COUNTIF($E84:Z84,"¶")+COUNTIF($E84:Z84,"²")+COUNTIF($E84:Z84,"µ")+COUNTIF($E84:Z84,1),ColLivraison)=AA$6,
  VLOOKUP($E84,INDIRECT("tri!"&amp; CHAR(64+ C0Col) &amp;":"&amp; CHAR(65+C0Col)),2,FALSE)&gt;COUNTIF($E84:Z84,"u")+COUNTIF($E84:Z84,"t")+COUNTIF($E84:Z84,"¶")+COUNTIF($E84:Z84,"²")+COUNTIF($E84:Z84,"µ")+COUNTIF($E84:Z84,1)),
HYPERLINK("#Roadmap!C"&amp; MATCH($E84,Roadmap!$D:$D,0)+COUNTIF($E84:Z84,"u")+COUNTIF($E84:Z84,"t"),
     INDEX(Roadmap!$D:$K,MATCH($E84,Roadmap!$D:$D,0)+COUNTIF($E84:Z84,"u")+COUNTIF($E84:Z84,"t")+COUNTIF($E84:Z84,"¶")+COUNTIF($E84:Z84,"²")+COUNTIF($E84:Z84,"µ")+COUNTIF($E84:Z84,1),ColTypeEcheance)),
  IF(LEN(Z84)=1,
  IF(LEN(INDEX(Roadmap!$D:$K,MATCH($E84,Roadmap!$D:$D,0)-1+COUNTIF($E84:Z84,"u")+COUNTIF($E84:Z84,"t")+COUNTIF($E84:Z84,"¶")+COUNTIF($E84:Z84,"²")+COUNTIF($E84:Z84,"µ")+COUNTIF($E84:Z84,1),ColDescriptionCourte))&gt;1,
HYPERLINK("#Roadmap!C"&amp; MATCH($E84,Roadmap!$D:$D,0)+COUNTIF($E84:Z84,"u")+COUNTIF($E84:Z84,"t")+COUNTIF($E84:Z84,"¶")+COUNTIF($E84:Z84,"²")+COUNTIF($E84:Z84,"µ")+COUNTIF($E84:Z84,1)-1,INDEX(Roadmap!$D:$K,MATCH($E84,Roadmap!$D:$D,0)-1+COUNTIF($E84:Z84,"u")+COUNTIF($E84:Z84,"t")+COUNTIF($E84:Z84,"¶")+COUNTIF($E84:Z84,"²")+COUNTIF($E84:Z84,"µ")+COUNTIF($E84:Z84,1),ColDescriptionCourte)),""),
  "")),"")</f>
        <v/>
      </c>
      <c r="AB84" s="40" t="str">
        <f ca="1">IFERROR(IF(AND(
  INDEX(Roadmap!$D:$K,MATCH($E84,Roadmap!$D:$D,0)+COUNTIF($E84:AA84,"u")+COUNTIF($E84:AA84,"t")+COUNTIF($E84:AA84,"¶")+COUNTIF($E84:AA84,"²")+COUNTIF($E84:AA84,"µ")+COUNTIF($E84:AA84,1),ColLivraison)=AB$6,
  VLOOKUP($E84,INDIRECT("tri!"&amp; CHAR(64+ C0Col) &amp;":"&amp; CHAR(65+C0Col)),2,FALSE)&gt;COUNTIF($E84:AA84,"u")+COUNTIF($E84:AA84,"t")+COUNTIF($E84:AA84,"¶")+COUNTIF($E84:AA84,"²")+COUNTIF($E84:AA84,"µ")+COUNTIF($E84:AA84,1)),
HYPERLINK("#Roadmap!C"&amp; MATCH($E84,Roadmap!$D:$D,0)+COUNTIF($E84:AA84,"u")+COUNTIF($E84:AA84,"t"),
     INDEX(Roadmap!$D:$K,MATCH($E84,Roadmap!$D:$D,0)+COUNTIF($E84:AA84,"u")+COUNTIF($E84:AA84,"t")+COUNTIF($E84:AA84,"¶")+COUNTIF($E84:AA84,"²")+COUNTIF($E84:AA84,"µ")+COUNTIF($E84:AA84,1),ColTypeEcheance)),
  IF(LEN(AA84)=1,
  IF(LEN(INDEX(Roadmap!$D:$K,MATCH($E84,Roadmap!$D:$D,0)-1+COUNTIF($E84:AA84,"u")+COUNTIF($E84:AA84,"t")+COUNTIF($E84:AA84,"¶")+COUNTIF($E84:AA84,"²")+COUNTIF($E84:AA84,"µ")+COUNTIF($E84:AA84,1),ColDescriptionCourte))&gt;1,
HYPERLINK("#Roadmap!C"&amp; MATCH($E84,Roadmap!$D:$D,0)+COUNTIF($E84:AA84,"u")+COUNTIF($E84:AA84,"t")+COUNTIF($E84:AA84,"¶")+COUNTIF($E84:AA84,"²")+COUNTIF($E84:AA84,"µ")+COUNTIF($E84:AA84,1)-1,INDEX(Roadmap!$D:$K,MATCH($E84,Roadmap!$D:$D,0)-1+COUNTIF($E84:AA84,"u")+COUNTIF($E84:AA84,"t")+COUNTIF($E84:AA84,"¶")+COUNTIF($E84:AA84,"²")+COUNTIF($E84:AA84,"µ")+COUNTIF($E84:AA84,1),ColDescriptionCourte)),""),
  "")),"")</f>
        <v/>
      </c>
      <c r="AC84" s="40" t="str">
        <f ca="1">IFERROR(IF(AND(
  INDEX(Roadmap!$D:$K,MATCH($E84,Roadmap!$D:$D,0)+COUNTIF($E84:AB84,"u")+COUNTIF($E84:AB84,"t")+COUNTIF($E84:AB84,"¶")+COUNTIF($E84:AB84,"²")+COUNTIF($E84:AB84,"µ")+COUNTIF($E84:AB84,1),ColLivraison)=AC$6,
  VLOOKUP($E84,INDIRECT("tri!"&amp; CHAR(64+ C0Col) &amp;":"&amp; CHAR(65+C0Col)),2,FALSE)&gt;COUNTIF($E84:AB84,"u")+COUNTIF($E84:AB84,"t")+COUNTIF($E84:AB84,"¶")+COUNTIF($E84:AB84,"²")+COUNTIF($E84:AB84,"µ")+COUNTIF($E84:AB84,1)),
HYPERLINK("#Roadmap!C"&amp; MATCH($E84,Roadmap!$D:$D,0)+COUNTIF($E84:AB84,"u")+COUNTIF($E84:AB84,"t"),
     INDEX(Roadmap!$D:$K,MATCH($E84,Roadmap!$D:$D,0)+COUNTIF($E84:AB84,"u")+COUNTIF($E84:AB84,"t")+COUNTIF($E84:AB84,"¶")+COUNTIF($E84:AB84,"²")+COUNTIF($E84:AB84,"µ")+COUNTIF($E84:AB84,1),ColTypeEcheance)),
  IF(LEN(AB84)=1,
  IF(LEN(INDEX(Roadmap!$D:$K,MATCH($E84,Roadmap!$D:$D,0)-1+COUNTIF($E84:AB84,"u")+COUNTIF($E84:AB84,"t")+COUNTIF($E84:AB84,"¶")+COUNTIF($E84:AB84,"²")+COUNTIF($E84:AB84,"µ")+COUNTIF($E84:AB84,1),ColDescriptionCourte))&gt;1,
HYPERLINK("#Roadmap!C"&amp; MATCH($E84,Roadmap!$D:$D,0)+COUNTIF($E84:AB84,"u")+COUNTIF($E84:AB84,"t")+COUNTIF($E84:AB84,"¶")+COUNTIF($E84:AB84,"²")+COUNTIF($E84:AB84,"µ")+COUNTIF($E84:AB84,1)-1,INDEX(Roadmap!$D:$K,MATCH($E84,Roadmap!$D:$D,0)-1+COUNTIF($E84:AB84,"u")+COUNTIF($E84:AB84,"t")+COUNTIF($E84:AB84,"¶")+COUNTIF($E84:AB84,"²")+COUNTIF($E84:AB84,"µ")+COUNTIF($E84:AB84,1),ColDescriptionCourte)),""),
  "")),"")</f>
        <v/>
      </c>
      <c r="AD84" s="40" t="str">
        <f ca="1">IFERROR(IF(AND(
  INDEX(Roadmap!$D:$K,MATCH($E84,Roadmap!$D:$D,0)+COUNTIF($E84:AC84,"u")+COUNTIF($E84:AC84,"t")+COUNTIF($E84:AC84,"¶")+COUNTIF($E84:AC84,"²")+COUNTIF($E84:AC84,"µ")+COUNTIF($E84:AC84,1),ColLivraison)=AD$6,
  VLOOKUP($E84,INDIRECT("tri!"&amp; CHAR(64+ C0Col) &amp;":"&amp; CHAR(65+C0Col)),2,FALSE)&gt;COUNTIF($E84:AC84,"u")+COUNTIF($E84:AC84,"t")+COUNTIF($E84:AC84,"¶")+COUNTIF($E84:AC84,"²")+COUNTIF($E84:AC84,"µ")+COUNTIF($E84:AC84,1)),
HYPERLINK("#Roadmap!C"&amp; MATCH($E84,Roadmap!$D:$D,0)+COUNTIF($E84:AC84,"u")+COUNTIF($E84:AC84,"t"),
     INDEX(Roadmap!$D:$K,MATCH($E84,Roadmap!$D:$D,0)+COUNTIF($E84:AC84,"u")+COUNTIF($E84:AC84,"t")+COUNTIF($E84:AC84,"¶")+COUNTIF($E84:AC84,"²")+COUNTIF($E84:AC84,"µ")+COUNTIF($E84:AC84,1),ColTypeEcheance)),
  IF(LEN(AC84)=1,
  IF(LEN(INDEX(Roadmap!$D:$K,MATCH($E84,Roadmap!$D:$D,0)-1+COUNTIF($E84:AC84,"u")+COUNTIF($E84:AC84,"t")+COUNTIF($E84:AC84,"¶")+COUNTIF($E84:AC84,"²")+COUNTIF($E84:AC84,"µ")+COUNTIF($E84:AC84,1),ColDescriptionCourte))&gt;1,
HYPERLINK("#Roadmap!C"&amp; MATCH($E84,Roadmap!$D:$D,0)+COUNTIF($E84:AC84,"u")+COUNTIF($E84:AC84,"t")+COUNTIF($E84:AC84,"¶")+COUNTIF($E84:AC84,"²")+COUNTIF($E84:AC84,"µ")+COUNTIF($E84:AC84,1)-1,INDEX(Roadmap!$D:$K,MATCH($E84,Roadmap!$D:$D,0)-1+COUNTIF($E84:AC84,"u")+COUNTIF($E84:AC84,"t")+COUNTIF($E84:AC84,"¶")+COUNTIF($E84:AC84,"²")+COUNTIF($E84:AC84,"µ")+COUNTIF($E84:AC84,1),ColDescriptionCourte)),""),
  "")),"")</f>
        <v/>
      </c>
      <c r="AE84" s="40" t="str">
        <f ca="1">IFERROR(IF(AND(
  INDEX(Roadmap!$D:$K,MATCH($E84,Roadmap!$D:$D,0)+COUNTIF($E84:AD84,"u")+COUNTIF($E84:AD84,"t")+COUNTIF($E84:AD84,"¶")+COUNTIF($E84:AD84,"²")+COUNTIF($E84:AD84,"µ")+COUNTIF($E84:AD84,1),ColLivraison)=AE$6,
  VLOOKUP($E84,INDIRECT("tri!"&amp; CHAR(64+ C0Col) &amp;":"&amp; CHAR(65+C0Col)),2,FALSE)&gt;COUNTIF($E84:AD84,"u")+COUNTIF($E84:AD84,"t")+COUNTIF($E84:AD84,"¶")+COUNTIF($E84:AD84,"²")+COUNTIF($E84:AD84,"µ")+COUNTIF($E84:AD84,1)),
HYPERLINK("#Roadmap!C"&amp; MATCH($E84,Roadmap!$D:$D,0)+COUNTIF($E84:AD84,"u")+COUNTIF($E84:AD84,"t"),
     INDEX(Roadmap!$D:$K,MATCH($E84,Roadmap!$D:$D,0)+COUNTIF($E84:AD84,"u")+COUNTIF($E84:AD84,"t")+COUNTIF($E84:AD84,"¶")+COUNTIF($E84:AD84,"²")+COUNTIF($E84:AD84,"µ")+COUNTIF($E84:AD84,1),ColTypeEcheance)),
  IF(LEN(AD84)=1,
  IF(LEN(INDEX(Roadmap!$D:$K,MATCH($E84,Roadmap!$D:$D,0)-1+COUNTIF($E84:AD84,"u")+COUNTIF($E84:AD84,"t")+COUNTIF($E84:AD84,"¶")+COUNTIF($E84:AD84,"²")+COUNTIF($E84:AD84,"µ")+COUNTIF($E84:AD84,1),ColDescriptionCourte))&gt;1,
HYPERLINK("#Roadmap!C"&amp; MATCH($E84,Roadmap!$D:$D,0)+COUNTIF($E84:AD84,"u")+COUNTIF($E84:AD84,"t")+COUNTIF($E84:AD84,"¶")+COUNTIF($E84:AD84,"²")+COUNTIF($E84:AD84,"µ")+COUNTIF($E84:AD84,1)-1,INDEX(Roadmap!$D:$K,MATCH($E84,Roadmap!$D:$D,0)-1+COUNTIF($E84:AD84,"u")+COUNTIF($E84:AD84,"t")+COUNTIF($E84:AD84,"¶")+COUNTIF($E84:AD84,"²")+COUNTIF($E84:AD84,"µ")+COUNTIF($E84:AD84,1),ColDescriptionCourte)),""),
  "")),"")</f>
        <v/>
      </c>
      <c r="AF84" s="40" t="str">
        <f ca="1">IFERROR(IF(AND(
  INDEX(Roadmap!$D:$K,MATCH($E84,Roadmap!$D:$D,0)+COUNTIF($E84:AE84,"u")+COUNTIF($E84:AE84,"t")+COUNTIF($E84:AE84,"¶")+COUNTIF($E84:AE84,"²")+COUNTIF($E84:AE84,"µ")+COUNTIF($E84:AE84,1),ColLivraison)=AF$6,
  VLOOKUP($E84,INDIRECT("tri!"&amp; CHAR(64+ C0Col) &amp;":"&amp; CHAR(65+C0Col)),2,FALSE)&gt;COUNTIF($E84:AE84,"u")+COUNTIF($E84:AE84,"t")+COUNTIF($E84:AE84,"¶")+COUNTIF($E84:AE84,"²")+COUNTIF($E84:AE84,"µ")+COUNTIF($E84:AE84,1)),
HYPERLINK("#Roadmap!C"&amp; MATCH($E84,Roadmap!$D:$D,0)+COUNTIF($E84:AE84,"u")+COUNTIF($E84:AE84,"t"),
     INDEX(Roadmap!$D:$K,MATCH($E84,Roadmap!$D:$D,0)+COUNTIF($E84:AE84,"u")+COUNTIF($E84:AE84,"t")+COUNTIF($E84:AE84,"¶")+COUNTIF($E84:AE84,"²")+COUNTIF($E84:AE84,"µ")+COUNTIF($E84:AE84,1),ColTypeEcheance)),
  IF(LEN(AE84)=1,
  IF(LEN(INDEX(Roadmap!$D:$K,MATCH($E84,Roadmap!$D:$D,0)-1+COUNTIF($E84:AE84,"u")+COUNTIF($E84:AE84,"t")+COUNTIF($E84:AE84,"¶")+COUNTIF($E84:AE84,"²")+COUNTIF($E84:AE84,"µ")+COUNTIF($E84:AE84,1),ColDescriptionCourte))&gt;1,
HYPERLINK("#Roadmap!C"&amp; MATCH($E84,Roadmap!$D:$D,0)+COUNTIF($E84:AE84,"u")+COUNTIF($E84:AE84,"t")+COUNTIF($E84:AE84,"¶")+COUNTIF($E84:AE84,"²")+COUNTIF($E84:AE84,"µ")+COUNTIF($E84:AE84,1)-1,INDEX(Roadmap!$D:$K,MATCH($E84,Roadmap!$D:$D,0)-1+COUNTIF($E84:AE84,"u")+COUNTIF($E84:AE84,"t")+COUNTIF($E84:AE84,"¶")+COUNTIF($E84:AE84,"²")+COUNTIF($E84:AE84,"µ")+COUNTIF($E84:AE84,1),ColDescriptionCourte)),""),
  "")),"")</f>
        <v/>
      </c>
      <c r="AG84" s="40" t="str">
        <f ca="1">IFERROR(IF(AND(
  INDEX(Roadmap!$D:$K,MATCH($E84,Roadmap!$D:$D,0)+COUNTIF($E84:AF84,"u")+COUNTIF($E84:AF84,"t")+COUNTIF($E84:AF84,"¶")+COUNTIF($E84:AF84,"²")+COUNTIF($E84:AF84,"µ")+COUNTIF($E84:AF84,1),ColLivraison)=AG$6,
  VLOOKUP($E84,INDIRECT("tri!"&amp; CHAR(64+ C0Col) &amp;":"&amp; CHAR(65+C0Col)),2,FALSE)&gt;COUNTIF($E84:AF84,"u")+COUNTIF($E84:AF84,"t")+COUNTIF($E84:AF84,"¶")+COUNTIF($E84:AF84,"²")+COUNTIF($E84:AF84,"µ")+COUNTIF($E84:AF84,1)),
HYPERLINK("#Roadmap!C"&amp; MATCH($E84,Roadmap!$D:$D,0)+COUNTIF($E84:AF84,"u")+COUNTIF($E84:AF84,"t"),
     INDEX(Roadmap!$D:$K,MATCH($E84,Roadmap!$D:$D,0)+COUNTIF($E84:AF84,"u")+COUNTIF($E84:AF84,"t")+COUNTIF($E84:AF84,"¶")+COUNTIF($E84:AF84,"²")+COUNTIF($E84:AF84,"µ")+COUNTIF($E84:AF84,1),ColTypeEcheance)),
  IF(LEN(AF84)=1,
  IF(LEN(INDEX(Roadmap!$D:$K,MATCH($E84,Roadmap!$D:$D,0)-1+COUNTIF($E84:AF84,"u")+COUNTIF($E84:AF84,"t")+COUNTIF($E84:AF84,"¶")+COUNTIF($E84:AF84,"²")+COUNTIF($E84:AF84,"µ")+COUNTIF($E84:AF84,1),ColDescriptionCourte))&gt;1,
HYPERLINK("#Roadmap!C"&amp; MATCH($E84,Roadmap!$D:$D,0)+COUNTIF($E84:AF84,"u")+COUNTIF($E84:AF84,"t")+COUNTIF($E84:AF84,"¶")+COUNTIF($E84:AF84,"²")+COUNTIF($E84:AF84,"µ")+COUNTIF($E84:AF84,1)-1,INDEX(Roadmap!$D:$K,MATCH($E84,Roadmap!$D:$D,0)-1+COUNTIF($E84:AF84,"u")+COUNTIF($E84:AF84,"t")+COUNTIF($E84:AF84,"¶")+COUNTIF($E84:AF84,"²")+COUNTIF($E84:AF84,"µ")+COUNTIF($E84:AF84,1),ColDescriptionCourte)),""),
  "")),"")</f>
        <v/>
      </c>
    </row>
    <row r="85" spans="3:33" ht="14.25" customHeight="1">
      <c r="C85" s="1" t="str">
        <f t="shared" ca="1" si="47"/>
        <v/>
      </c>
      <c r="D85" s="1" t="str">
        <f t="shared" ca="1" si="48"/>
        <v/>
      </c>
      <c r="E85" s="35" t="str">
        <f t="shared" ca="1" si="46"/>
        <v/>
      </c>
      <c r="F85" s="39" t="str">
        <f ca="1">IFERROR(IF(AND(
  INDEX(Roadmap!$D:$K,MATCH($E85,Roadmap!$D:$D,0)+COUNTIF($E85:E85,"u")+COUNTIF($E85:E85,"t")+COUNTIF($E85:E85,"¶")+COUNTIF($E85:E85,"²")+COUNTIF($E85:E85,"µ")+COUNTIF($E85:E85,1),ColLivraison)=F$6,
  VLOOKUP($E85,INDIRECT("tri!"&amp; CHAR(64+ C0Col) &amp;":"&amp; CHAR(65+C0Col)),2,FALSE)&gt;COUNTIF($E85:E85,"u")+COUNTIF($E85:E85,"t")+COUNTIF($E85:E85,"¶")+COUNTIF($E85:E85,"²")+COUNTIF($E85:E85,"µ")+COUNTIF($E85:E85,1)),
HYPERLINK("#Roadmap!C"&amp; MATCH($E85,Roadmap!$D:$D,0)+COUNTIF($E85:E85,"u")+COUNTIF($E85:E85,"t"),
     INDEX(Roadmap!$D:$K,MATCH($E85,Roadmap!$D:$D,0)+COUNTIF($E85:E85,"u")+COUNTIF($E85:E85,"t")+COUNTIF($E85:E85,"¶")+COUNTIF($E85:E85,"²")+COUNTIF($E85:E85,"µ")+COUNTIF($E85:E85,1),ColTypeEcheance)),
  IF(LEN(E85)=1,
  IF(LEN(INDEX(Roadmap!$D:$K,MATCH($E85,Roadmap!$D:$D,0)-1+COUNTIF($E85:E85,"u")+COUNTIF($E85:E85,"t")+COUNTIF($E85:E85,"¶")+COUNTIF($E85:E85,"²")+COUNTIF($E85:E85,"µ")+COUNTIF($E85:E85,1),ColDescriptionCourte))&gt;1,
HYPERLINK("#Roadmap!C"&amp; MATCH($E85,Roadmap!$D:$D,0)+COUNTIF($E85:E85,"u")+COUNTIF($E85:E85,"t")+COUNTIF($E85:E85,"¶")+COUNTIF($E85:E85,"²")+COUNTIF($E85:E85,"µ")+COUNTIF($E85:E85,1)-1,INDEX(Roadmap!$D:$K,MATCH($E85,Roadmap!$D:$D,0)-1+COUNTIF($E85:E85,"u")+COUNTIF($E85:E85,"t")+COUNTIF($E85:E85,"¶")+COUNTIF($E85:E85,"²")+COUNTIF($E85:E85,"µ")+COUNTIF($E85:E85,1),ColDescriptionCourte)),""),
  "")),"")</f>
        <v/>
      </c>
      <c r="G85" s="40" t="str">
        <f ca="1">IFERROR(IF(AND(
  INDEX(Roadmap!$D:$K,MATCH($E85,Roadmap!$D:$D,0)+COUNTIF($E85:F85,"u")+COUNTIF($E85:F85,"t")+COUNTIF($E85:F85,"¶")+COUNTIF($E85:F85,"²")+COUNTIF($E85:F85,"µ")+COUNTIF($E85:F85,1),ColLivraison)=G$6,
  VLOOKUP($E85,INDIRECT("tri!"&amp; CHAR(64+ C0Col) &amp;":"&amp; CHAR(65+C0Col)),2,FALSE)&gt;COUNTIF($E85:F85,"u")+COUNTIF($E85:F85,"t")+COUNTIF($E85:F85,"¶")+COUNTIF($E85:F85,"²")+COUNTIF($E85:F85,"µ")+COUNTIF($E85:F85,1)),
HYPERLINK("#Roadmap!C"&amp; MATCH($E85,Roadmap!$D:$D,0)+COUNTIF($E85:F85,"u")+COUNTIF($E85:F85,"t"),
     INDEX(Roadmap!$D:$K,MATCH($E85,Roadmap!$D:$D,0)+COUNTIF($E85:F85,"u")+COUNTIF($E85:F85,"t")+COUNTIF($E85:F85,"¶")+COUNTIF($E85:F85,"²")+COUNTIF($E85:F85,"µ")+COUNTIF($E85:F85,1),ColTypeEcheance)),
  IF(LEN(F85)=1,
  IF(LEN(INDEX(Roadmap!$D:$K,MATCH($E85,Roadmap!$D:$D,0)-1+COUNTIF($E85:F85,"u")+COUNTIF($E85:F85,"t")+COUNTIF($E85:F85,"¶")+COUNTIF($E85:F85,"²")+COUNTIF($E85:F85,"µ")+COUNTIF($E85:F85,1),ColDescriptionCourte))&gt;1,
HYPERLINK("#Roadmap!C"&amp; MATCH($E85,Roadmap!$D:$D,0)+COUNTIF($E85:F85,"u")+COUNTIF($E85:F85,"t")+COUNTIF($E85:F85,"¶")+COUNTIF($E85:F85,"²")+COUNTIF($E85:F85,"µ")+COUNTIF($E85:F85,1)-1,INDEX(Roadmap!$D:$K,MATCH($E85,Roadmap!$D:$D,0)-1+COUNTIF($E85:F85,"u")+COUNTIF($E85:F85,"t")+COUNTIF($E85:F85,"¶")+COUNTIF($E85:F85,"²")+COUNTIF($E85:F85,"µ")+COUNTIF($E85:F85,1),ColDescriptionCourte)),""),
  "")),"")</f>
        <v/>
      </c>
      <c r="H85" s="40" t="str">
        <f ca="1">IFERROR(IF(AND(
  INDEX(Roadmap!$D:$K,MATCH($E85,Roadmap!$D:$D,0)+COUNTIF($E85:G85,"u")+COUNTIF($E85:G85,"t")+COUNTIF($E85:G85,"¶")+COUNTIF($E85:G85,"²")+COUNTIF($E85:G85,"µ")+COUNTIF($E85:G85,1),ColLivraison)=H$6,
  VLOOKUP($E85,INDIRECT("tri!"&amp; CHAR(64+ C0Col) &amp;":"&amp; CHAR(65+C0Col)),2,FALSE)&gt;COUNTIF($E85:G85,"u")+COUNTIF($E85:G85,"t")+COUNTIF($E85:G85,"¶")+COUNTIF($E85:G85,"²")+COUNTIF($E85:G85,"µ")+COUNTIF($E85:G85,1)),
HYPERLINK("#Roadmap!C"&amp; MATCH($E85,Roadmap!$D:$D,0)+COUNTIF($E85:G85,"u")+COUNTIF($E85:G85,"t"),
     INDEX(Roadmap!$D:$K,MATCH($E85,Roadmap!$D:$D,0)+COUNTIF($E85:G85,"u")+COUNTIF($E85:G85,"t")+COUNTIF($E85:G85,"¶")+COUNTIF($E85:G85,"²")+COUNTIF($E85:G85,"µ")+COUNTIF($E85:G85,1),ColTypeEcheance)),
  IF(LEN(G85)=1,
  IF(LEN(INDEX(Roadmap!$D:$K,MATCH($E85,Roadmap!$D:$D,0)-1+COUNTIF($E85:G85,"u")+COUNTIF($E85:G85,"t")+COUNTIF($E85:G85,"¶")+COUNTIF($E85:G85,"²")+COUNTIF($E85:G85,"µ")+COUNTIF($E85:G85,1),ColDescriptionCourte))&gt;1,
HYPERLINK("#Roadmap!C"&amp; MATCH($E85,Roadmap!$D:$D,0)+COUNTIF($E85:G85,"u")+COUNTIF($E85:G85,"t")+COUNTIF($E85:G85,"¶")+COUNTIF($E85:G85,"²")+COUNTIF($E85:G85,"µ")+COUNTIF($E85:G85,1)-1,INDEX(Roadmap!$D:$K,MATCH($E85,Roadmap!$D:$D,0)-1+COUNTIF($E85:G85,"u")+COUNTIF($E85:G85,"t")+COUNTIF($E85:G85,"¶")+COUNTIF($E85:G85,"²")+COUNTIF($E85:G85,"µ")+COUNTIF($E85:G85,1),ColDescriptionCourte)),""),
  "")),"")</f>
        <v/>
      </c>
      <c r="I85" s="40" t="str">
        <f ca="1">IFERROR(IF(AND(
  INDEX(Roadmap!$D:$K,MATCH($E85,Roadmap!$D:$D,0)+COUNTIF($E85:H85,"u")+COUNTIF($E85:H85,"t")+COUNTIF($E85:H85,"¶")+COUNTIF($E85:H85,"²")+COUNTIF($E85:H85,"µ")+COUNTIF($E85:H85,1),ColLivraison)=I$6,
  VLOOKUP($E85,INDIRECT("tri!"&amp; CHAR(64+ C0Col) &amp;":"&amp; CHAR(65+C0Col)),2,FALSE)&gt;COUNTIF($E85:H85,"u")+COUNTIF($E85:H85,"t")+COUNTIF($E85:H85,"¶")+COUNTIF($E85:H85,"²")+COUNTIF($E85:H85,"µ")+COUNTIF($E85:H85,1)),
HYPERLINK("#Roadmap!C"&amp; MATCH($E85,Roadmap!$D:$D,0)+COUNTIF($E85:H85,"u")+COUNTIF($E85:H85,"t"),
     INDEX(Roadmap!$D:$K,MATCH($E85,Roadmap!$D:$D,0)+COUNTIF($E85:H85,"u")+COUNTIF($E85:H85,"t")+COUNTIF($E85:H85,"¶")+COUNTIF($E85:H85,"²")+COUNTIF($E85:H85,"µ")+COUNTIF($E85:H85,1),ColTypeEcheance)),
  IF(LEN(H85)=1,
  IF(LEN(INDEX(Roadmap!$D:$K,MATCH($E85,Roadmap!$D:$D,0)-1+COUNTIF($E85:H85,"u")+COUNTIF($E85:H85,"t")+COUNTIF($E85:H85,"¶")+COUNTIF($E85:H85,"²")+COUNTIF($E85:H85,"µ")+COUNTIF($E85:H85,1),ColDescriptionCourte))&gt;1,
HYPERLINK("#Roadmap!C"&amp; MATCH($E85,Roadmap!$D:$D,0)+COUNTIF($E85:H85,"u")+COUNTIF($E85:H85,"t")+COUNTIF($E85:H85,"¶")+COUNTIF($E85:H85,"²")+COUNTIF($E85:H85,"µ")+COUNTIF($E85:H85,1)-1,INDEX(Roadmap!$D:$K,MATCH($E85,Roadmap!$D:$D,0)-1+COUNTIF($E85:H85,"u")+COUNTIF($E85:H85,"t")+COUNTIF($E85:H85,"¶")+COUNTIF($E85:H85,"²")+COUNTIF($E85:H85,"µ")+COUNTIF($E85:H85,1),ColDescriptionCourte)),""),
  "")),"")</f>
        <v/>
      </c>
      <c r="J85" s="40" t="str">
        <f ca="1">IFERROR(IF(AND(
  INDEX(Roadmap!$D:$K,MATCH($E85,Roadmap!$D:$D,0)+COUNTIF($E85:I85,"u")+COUNTIF($E85:I85,"t")+COUNTIF($E85:I85,"¶")+COUNTIF($E85:I85,"²")+COUNTIF($E85:I85,"µ")+COUNTIF($E85:I85,1),ColLivraison)=J$6,
  VLOOKUP($E85,INDIRECT("tri!"&amp; CHAR(64+ C0Col) &amp;":"&amp; CHAR(65+C0Col)),2,FALSE)&gt;COUNTIF($E85:I85,"u")+COUNTIF($E85:I85,"t")+COUNTIF($E85:I85,"¶")+COUNTIF($E85:I85,"²")+COUNTIF($E85:I85,"µ")+COUNTIF($E85:I85,1)),
HYPERLINK("#Roadmap!C"&amp; MATCH($E85,Roadmap!$D:$D,0)+COUNTIF($E85:I85,"u")+COUNTIF($E85:I85,"t"),
     INDEX(Roadmap!$D:$K,MATCH($E85,Roadmap!$D:$D,0)+COUNTIF($E85:I85,"u")+COUNTIF($E85:I85,"t")+COUNTIF($E85:I85,"¶")+COUNTIF($E85:I85,"²")+COUNTIF($E85:I85,"µ")+COUNTIF($E85:I85,1),ColTypeEcheance)),
  IF(LEN(I85)=1,
  IF(LEN(INDEX(Roadmap!$D:$K,MATCH($E85,Roadmap!$D:$D,0)-1+COUNTIF($E85:I85,"u")+COUNTIF($E85:I85,"t")+COUNTIF($E85:I85,"¶")+COUNTIF($E85:I85,"²")+COUNTIF($E85:I85,"µ")+COUNTIF($E85:I85,1),ColDescriptionCourte))&gt;1,
HYPERLINK("#Roadmap!C"&amp; MATCH($E85,Roadmap!$D:$D,0)+COUNTIF($E85:I85,"u")+COUNTIF($E85:I85,"t")+COUNTIF($E85:I85,"¶")+COUNTIF($E85:I85,"²")+COUNTIF($E85:I85,"µ")+COUNTIF($E85:I85,1)-1,INDEX(Roadmap!$D:$K,MATCH($E85,Roadmap!$D:$D,0)-1+COUNTIF($E85:I85,"u")+COUNTIF($E85:I85,"t")+COUNTIF($E85:I85,"¶")+COUNTIF($E85:I85,"²")+COUNTIF($E85:I85,"µ")+COUNTIF($E85:I85,1),ColDescriptionCourte)),""),
  "")),"")</f>
        <v/>
      </c>
      <c r="K85" s="40" t="str">
        <f ca="1">IFERROR(IF(AND(
  INDEX(Roadmap!$D:$K,MATCH($E85,Roadmap!$D:$D,0)+COUNTIF($E85:J85,"u")+COUNTIF($E85:J85,"t")+COUNTIF($E85:J85,"¶")+COUNTIF($E85:J85,"²")+COUNTIF($E85:J85,"µ")+COUNTIF($E85:J85,1),ColLivraison)=K$6,
  VLOOKUP($E85,INDIRECT("tri!"&amp; CHAR(64+ C0Col) &amp;":"&amp; CHAR(65+C0Col)),2,FALSE)&gt;COUNTIF($E85:J85,"u")+COUNTIF($E85:J85,"t")+COUNTIF($E85:J85,"¶")+COUNTIF($E85:J85,"²")+COUNTIF($E85:J85,"µ")+COUNTIF($E85:J85,1)),
HYPERLINK("#Roadmap!C"&amp; MATCH($E85,Roadmap!$D:$D,0)+COUNTIF($E85:J85,"u")+COUNTIF($E85:J85,"t"),
     INDEX(Roadmap!$D:$K,MATCH($E85,Roadmap!$D:$D,0)+COUNTIF($E85:J85,"u")+COUNTIF($E85:J85,"t")+COUNTIF($E85:J85,"¶")+COUNTIF($E85:J85,"²")+COUNTIF($E85:J85,"µ")+COUNTIF($E85:J85,1),ColTypeEcheance)),
  IF(LEN(J85)=1,
  IF(LEN(INDEX(Roadmap!$D:$K,MATCH($E85,Roadmap!$D:$D,0)-1+COUNTIF($E85:J85,"u")+COUNTIF($E85:J85,"t")+COUNTIF($E85:J85,"¶")+COUNTIF($E85:J85,"²")+COUNTIF($E85:J85,"µ")+COUNTIF($E85:J85,1),ColDescriptionCourte))&gt;1,
HYPERLINK("#Roadmap!C"&amp; MATCH($E85,Roadmap!$D:$D,0)+COUNTIF($E85:J85,"u")+COUNTIF($E85:J85,"t")+COUNTIF($E85:J85,"¶")+COUNTIF($E85:J85,"²")+COUNTIF($E85:J85,"µ")+COUNTIF($E85:J85,1)-1,INDEX(Roadmap!$D:$K,MATCH($E85,Roadmap!$D:$D,0)-1+COUNTIF($E85:J85,"u")+COUNTIF($E85:J85,"t")+COUNTIF($E85:J85,"¶")+COUNTIF($E85:J85,"²")+COUNTIF($E85:J85,"µ")+COUNTIF($E85:J85,1),ColDescriptionCourte)),""),
  "")),"")</f>
        <v/>
      </c>
      <c r="L85" s="39" t="str">
        <f ca="1">IFERROR(IF(AND(
  INDEX(Roadmap!$D:$K,MATCH($E85,Roadmap!$D:$D,0)+COUNTIF($E85:K85,"u")+COUNTIF($E85:K85,"t")+COUNTIF($E85:K85,"¶")+COUNTIF($E85:K85,"²")+COUNTIF($E85:K85,"µ")+COUNTIF($E85:K85,1),ColLivraison)=L$6,
  VLOOKUP($E85,INDIRECT("tri!"&amp; CHAR(64+ C0Col) &amp;":"&amp; CHAR(65+C0Col)),2,FALSE)&gt;COUNTIF($E85:K85,"u")+COUNTIF($E85:K85,"t")+COUNTIF($E85:K85,"¶")+COUNTIF($E85:K85,"²")+COUNTIF($E85:K85,"µ")+COUNTIF($E85:K85,1)),
HYPERLINK("#Roadmap!C"&amp; MATCH($E85,Roadmap!$D:$D,0)+COUNTIF($E85:K85,"u")+COUNTIF($E85:K85,"t"),
     INDEX(Roadmap!$D:$K,MATCH($E85,Roadmap!$D:$D,0)+COUNTIF($E85:K85,"u")+COUNTIF($E85:K85,"t")+COUNTIF($E85:K85,"¶")+COUNTIF($E85:K85,"²")+COUNTIF($E85:K85,"µ")+COUNTIF($E85:K85,1),ColTypeEcheance)),
  IF(LEN(K85)=1,
  IF(LEN(INDEX(Roadmap!$D:$K,MATCH($E85,Roadmap!$D:$D,0)-1+COUNTIF($E85:K85,"u")+COUNTIF($E85:K85,"t")+COUNTIF($E85:K85,"¶")+COUNTIF($E85:K85,"²")+COUNTIF($E85:K85,"µ")+COUNTIF($E85:K85,1),ColDescriptionCourte))&gt;1,
HYPERLINK("#Roadmap!C"&amp; MATCH($E85,Roadmap!$D:$D,0)+COUNTIF($E85:K85,"u")+COUNTIF($E85:K85,"t")+COUNTIF($E85:K85,"¶")+COUNTIF($E85:K85,"²")+COUNTIF($E85:K85,"µ")+COUNTIF($E85:K85,1)-1,INDEX(Roadmap!$D:$K,MATCH($E85,Roadmap!$D:$D,0)-1+COUNTIF($E85:K85,"u")+COUNTIF($E85:K85,"t")+COUNTIF($E85:K85,"¶")+COUNTIF($E85:K85,"²")+COUNTIF($E85:K85,"µ")+COUNTIF($E85:K85,1),ColDescriptionCourte)),""),
  "")),"")</f>
        <v/>
      </c>
      <c r="M85" s="40" t="str">
        <f ca="1">IFERROR(IF(AND(
  INDEX(Roadmap!$D:$K,MATCH($E85,Roadmap!$D:$D,0)+COUNTIF($E85:L85,"u")+COUNTIF($E85:L85,"t")+COUNTIF($E85:L85,"¶")+COUNTIF($E85:L85,"²")+COUNTIF($E85:L85,"µ")+COUNTIF($E85:L85,1),ColLivraison)=M$6,
  VLOOKUP($E85,INDIRECT("tri!"&amp; CHAR(64+ C0Col) &amp;":"&amp; CHAR(65+C0Col)),2,FALSE)&gt;COUNTIF($E85:L85,"u")+COUNTIF($E85:L85,"t")+COUNTIF($E85:L85,"¶")+COUNTIF($E85:L85,"²")+COUNTIF($E85:L85,"µ")+COUNTIF($E85:L85,1)),
HYPERLINK("#Roadmap!C"&amp; MATCH($E85,Roadmap!$D:$D,0)+COUNTIF($E85:L85,"u")+COUNTIF($E85:L85,"t"),
     INDEX(Roadmap!$D:$K,MATCH($E85,Roadmap!$D:$D,0)+COUNTIF($E85:L85,"u")+COUNTIF($E85:L85,"t")+COUNTIF($E85:L85,"¶")+COUNTIF($E85:L85,"²")+COUNTIF($E85:L85,"µ")+COUNTIF($E85:L85,1),ColTypeEcheance)),
  IF(LEN(L85)=1,
  IF(LEN(INDEX(Roadmap!$D:$K,MATCH($E85,Roadmap!$D:$D,0)-1+COUNTIF($E85:L85,"u")+COUNTIF($E85:L85,"t")+COUNTIF($E85:L85,"¶")+COUNTIF($E85:L85,"²")+COUNTIF($E85:L85,"µ")+COUNTIF($E85:L85,1),ColDescriptionCourte))&gt;1,
HYPERLINK("#Roadmap!C"&amp; MATCH($E85,Roadmap!$D:$D,0)+COUNTIF($E85:L85,"u")+COUNTIF($E85:L85,"t")+COUNTIF($E85:L85,"¶")+COUNTIF($E85:L85,"²")+COUNTIF($E85:L85,"µ")+COUNTIF($E85:L85,1)-1,INDEX(Roadmap!$D:$K,MATCH($E85,Roadmap!$D:$D,0)-1+COUNTIF($E85:L85,"u")+COUNTIF($E85:L85,"t")+COUNTIF($E85:L85,"¶")+COUNTIF($E85:L85,"²")+COUNTIF($E85:L85,"µ")+COUNTIF($E85:L85,1),ColDescriptionCourte)),""),
  "")),"")</f>
        <v/>
      </c>
      <c r="N85" s="40" t="str">
        <f ca="1">IFERROR(IF(AND(
  INDEX(Roadmap!$D:$K,MATCH($E85,Roadmap!$D:$D,0)+COUNTIF($E85:M85,"u")+COUNTIF($E85:M85,"t")+COUNTIF($E85:M85,"¶")+COUNTIF($E85:M85,"²")+COUNTIF($E85:M85,"µ")+COUNTIF($E85:M85,1),ColLivraison)=N$6,
  VLOOKUP($E85,INDIRECT("tri!"&amp; CHAR(64+ C0Col) &amp;":"&amp; CHAR(65+C0Col)),2,FALSE)&gt;COUNTIF($E85:M85,"u")+COUNTIF($E85:M85,"t")+COUNTIF($E85:M85,"¶")+COUNTIF($E85:M85,"²")+COUNTIF($E85:M85,"µ")+COUNTIF($E85:M85,1)),
HYPERLINK("#Roadmap!C"&amp; MATCH($E85,Roadmap!$D:$D,0)+COUNTIF($E85:M85,"u")+COUNTIF($E85:M85,"t"),
     INDEX(Roadmap!$D:$K,MATCH($E85,Roadmap!$D:$D,0)+COUNTIF($E85:M85,"u")+COUNTIF($E85:M85,"t")+COUNTIF($E85:M85,"¶")+COUNTIF($E85:M85,"²")+COUNTIF($E85:M85,"µ")+COUNTIF($E85:M85,1),ColTypeEcheance)),
  IF(LEN(M85)=1,
  IF(LEN(INDEX(Roadmap!$D:$K,MATCH($E85,Roadmap!$D:$D,0)-1+COUNTIF($E85:M85,"u")+COUNTIF($E85:M85,"t")+COUNTIF($E85:M85,"¶")+COUNTIF($E85:M85,"²")+COUNTIF($E85:M85,"µ")+COUNTIF($E85:M85,1),ColDescriptionCourte))&gt;1,
HYPERLINK("#Roadmap!C"&amp; MATCH($E85,Roadmap!$D:$D,0)+COUNTIF($E85:M85,"u")+COUNTIF($E85:M85,"t")+COUNTIF($E85:M85,"¶")+COUNTIF($E85:M85,"²")+COUNTIF($E85:M85,"µ")+COUNTIF($E85:M85,1)-1,INDEX(Roadmap!$D:$K,MATCH($E85,Roadmap!$D:$D,0)-1+COUNTIF($E85:M85,"u")+COUNTIF($E85:M85,"t")+COUNTIF($E85:M85,"¶")+COUNTIF($E85:M85,"²")+COUNTIF($E85:M85,"µ")+COUNTIF($E85:M85,1),ColDescriptionCourte)),""),
  "")),"")</f>
        <v/>
      </c>
      <c r="O85" s="40" t="str">
        <f ca="1">IFERROR(IF(AND(
  INDEX(Roadmap!$D:$K,MATCH($E85,Roadmap!$D:$D,0)+COUNTIF($E85:N85,"u")+COUNTIF($E85:N85,"t")+COUNTIF($E85:N85,"¶")+COUNTIF($E85:N85,"²")+COUNTIF($E85:N85,"µ")+COUNTIF($E85:N85,1),ColLivraison)=O$6,
  VLOOKUP($E85,INDIRECT("tri!"&amp; CHAR(64+ C0Col) &amp;":"&amp; CHAR(65+C0Col)),2,FALSE)&gt;COUNTIF($E85:N85,"u")+COUNTIF($E85:N85,"t")+COUNTIF($E85:N85,"¶")+COUNTIF($E85:N85,"²")+COUNTIF($E85:N85,"µ")+COUNTIF($E85:N85,1)),
HYPERLINK("#Roadmap!C"&amp; MATCH($E85,Roadmap!$D:$D,0)+COUNTIF($E85:N85,"u")+COUNTIF($E85:N85,"t"),
     INDEX(Roadmap!$D:$K,MATCH($E85,Roadmap!$D:$D,0)+COUNTIF($E85:N85,"u")+COUNTIF($E85:N85,"t")+COUNTIF($E85:N85,"¶")+COUNTIF($E85:N85,"²")+COUNTIF($E85:N85,"µ")+COUNTIF($E85:N85,1),ColTypeEcheance)),
  IF(LEN(N85)=1,
  IF(LEN(INDEX(Roadmap!$D:$K,MATCH($E85,Roadmap!$D:$D,0)-1+COUNTIF($E85:N85,"u")+COUNTIF($E85:N85,"t")+COUNTIF($E85:N85,"¶")+COUNTIF($E85:N85,"²")+COUNTIF($E85:N85,"µ")+COUNTIF($E85:N85,1),ColDescriptionCourte))&gt;1,
HYPERLINK("#Roadmap!C"&amp; MATCH($E85,Roadmap!$D:$D,0)+COUNTIF($E85:N85,"u")+COUNTIF($E85:N85,"t")+COUNTIF($E85:N85,"¶")+COUNTIF($E85:N85,"²")+COUNTIF($E85:N85,"µ")+COUNTIF($E85:N85,1)-1,INDEX(Roadmap!$D:$K,MATCH($E85,Roadmap!$D:$D,0)-1+COUNTIF($E85:N85,"u")+COUNTIF($E85:N85,"t")+COUNTIF($E85:N85,"¶")+COUNTIF($E85:N85,"²")+COUNTIF($E85:N85,"µ")+COUNTIF($E85:N85,1),ColDescriptionCourte)),""),
  "")),"")</f>
        <v/>
      </c>
      <c r="P85" s="40" t="str">
        <f ca="1">IFERROR(IF(AND(
  INDEX(Roadmap!$D:$K,MATCH($E85,Roadmap!$D:$D,0)+COUNTIF($E85:O85,"u")+COUNTIF($E85:O85,"t")+COUNTIF($E85:O85,"¶")+COUNTIF($E85:O85,"²")+COUNTIF($E85:O85,"µ")+COUNTIF($E85:O85,1),ColLivraison)=P$6,
  VLOOKUP($E85,INDIRECT("tri!"&amp; CHAR(64+ C0Col) &amp;":"&amp; CHAR(65+C0Col)),2,FALSE)&gt;COUNTIF($E85:O85,"u")+COUNTIF($E85:O85,"t")+COUNTIF($E85:O85,"¶")+COUNTIF($E85:O85,"²")+COUNTIF($E85:O85,"µ")+COUNTIF($E85:O85,1)),
HYPERLINK("#Roadmap!C"&amp; MATCH($E85,Roadmap!$D:$D,0)+COUNTIF($E85:O85,"u")+COUNTIF($E85:O85,"t"),
     INDEX(Roadmap!$D:$K,MATCH($E85,Roadmap!$D:$D,0)+COUNTIF($E85:O85,"u")+COUNTIF($E85:O85,"t")+COUNTIF($E85:O85,"¶")+COUNTIF($E85:O85,"²")+COUNTIF($E85:O85,"µ")+COUNTIF($E85:O85,1),ColTypeEcheance)),
  IF(LEN(O85)=1,
  IF(LEN(INDEX(Roadmap!$D:$K,MATCH($E85,Roadmap!$D:$D,0)-1+COUNTIF($E85:O85,"u")+COUNTIF($E85:O85,"t")+COUNTIF($E85:O85,"¶")+COUNTIF($E85:O85,"²")+COUNTIF($E85:O85,"µ")+COUNTIF($E85:O85,1),ColDescriptionCourte))&gt;1,
HYPERLINK("#Roadmap!C"&amp; MATCH($E85,Roadmap!$D:$D,0)+COUNTIF($E85:O85,"u")+COUNTIF($E85:O85,"t")+COUNTIF($E85:O85,"¶")+COUNTIF($E85:O85,"²")+COUNTIF($E85:O85,"µ")+COUNTIF($E85:O85,1)-1,INDEX(Roadmap!$D:$K,MATCH($E85,Roadmap!$D:$D,0)-1+COUNTIF($E85:O85,"u")+COUNTIF($E85:O85,"t")+COUNTIF($E85:O85,"¶")+COUNTIF($E85:O85,"²")+COUNTIF($E85:O85,"µ")+COUNTIF($E85:O85,1),ColDescriptionCourte)),""),
  "")),"")</f>
        <v/>
      </c>
      <c r="Q85" s="40" t="str">
        <f ca="1">IFERROR(IF(AND(
  INDEX(Roadmap!$D:$K,MATCH($E85,Roadmap!$D:$D,0)+COUNTIF($E85:P85,"u")+COUNTIF($E85:P85,"t")+COUNTIF($E85:P85,"¶")+COUNTIF($E85:P85,"²")+COUNTIF($E85:P85,"µ")+COUNTIF($E85:P85,1),ColLivraison)=Q$6,
  VLOOKUP($E85,INDIRECT("tri!"&amp; CHAR(64+ C0Col) &amp;":"&amp; CHAR(65+C0Col)),2,FALSE)&gt;COUNTIF($E85:P85,"u")+COUNTIF($E85:P85,"t")+COUNTIF($E85:P85,"¶")+COUNTIF($E85:P85,"²")+COUNTIF($E85:P85,"µ")+COUNTIF($E85:P85,1)),
HYPERLINK("#Roadmap!C"&amp; MATCH($E85,Roadmap!$D:$D,0)+COUNTIF($E85:P85,"u")+COUNTIF($E85:P85,"t"),
     INDEX(Roadmap!$D:$K,MATCH($E85,Roadmap!$D:$D,0)+COUNTIF($E85:P85,"u")+COUNTIF($E85:P85,"t")+COUNTIF($E85:P85,"¶")+COUNTIF($E85:P85,"²")+COUNTIF($E85:P85,"µ")+COUNTIF($E85:P85,1),ColTypeEcheance)),
  IF(LEN(P85)=1,
  IF(LEN(INDEX(Roadmap!$D:$K,MATCH($E85,Roadmap!$D:$D,0)-1+COUNTIF($E85:P85,"u")+COUNTIF($E85:P85,"t")+COUNTIF($E85:P85,"¶")+COUNTIF($E85:P85,"²")+COUNTIF($E85:P85,"µ")+COUNTIF($E85:P85,1),ColDescriptionCourte))&gt;1,
HYPERLINK("#Roadmap!C"&amp; MATCH($E85,Roadmap!$D:$D,0)+COUNTIF($E85:P85,"u")+COUNTIF($E85:P85,"t")+COUNTIF($E85:P85,"¶")+COUNTIF($E85:P85,"²")+COUNTIF($E85:P85,"µ")+COUNTIF($E85:P85,1)-1,INDEX(Roadmap!$D:$K,MATCH($E85,Roadmap!$D:$D,0)-1+COUNTIF($E85:P85,"u")+COUNTIF($E85:P85,"t")+COUNTIF($E85:P85,"¶")+COUNTIF($E85:P85,"²")+COUNTIF($E85:P85,"µ")+COUNTIF($E85:P85,1),ColDescriptionCourte)),""),
  "")),"")</f>
        <v/>
      </c>
      <c r="R85" s="40" t="str">
        <f ca="1">IFERROR(IF(AND(
  INDEX(Roadmap!$D:$K,MATCH($E85,Roadmap!$D:$D,0)+COUNTIF($E85:Q85,"u")+COUNTIF($E85:Q85,"t")+COUNTIF($E85:Q85,"¶")+COUNTIF($E85:Q85,"²")+COUNTIF($E85:Q85,"µ")+COUNTIF($E85:Q85,1),ColLivraison)=R$6,
  VLOOKUP($E85,INDIRECT("tri!"&amp; CHAR(64+ C0Col) &amp;":"&amp; CHAR(65+C0Col)),2,FALSE)&gt;COUNTIF($E85:Q85,"u")+COUNTIF($E85:Q85,"t")+COUNTIF($E85:Q85,"¶")+COUNTIF($E85:Q85,"²")+COUNTIF($E85:Q85,"µ")+COUNTIF($E85:Q85,1)),
HYPERLINK("#Roadmap!C"&amp; MATCH($E85,Roadmap!$D:$D,0)+COUNTIF($E85:Q85,"u")+COUNTIF($E85:Q85,"t"),
     INDEX(Roadmap!$D:$K,MATCH($E85,Roadmap!$D:$D,0)+COUNTIF($E85:Q85,"u")+COUNTIF($E85:Q85,"t")+COUNTIF($E85:Q85,"¶")+COUNTIF($E85:Q85,"²")+COUNTIF($E85:Q85,"µ")+COUNTIF($E85:Q85,1),ColTypeEcheance)),
  IF(LEN(Q85)=1,
  IF(LEN(INDEX(Roadmap!$D:$K,MATCH($E85,Roadmap!$D:$D,0)-1+COUNTIF($E85:Q85,"u")+COUNTIF($E85:Q85,"t")+COUNTIF($E85:Q85,"¶")+COUNTIF($E85:Q85,"²")+COUNTIF($E85:Q85,"µ")+COUNTIF($E85:Q85,1),ColDescriptionCourte))&gt;1,
HYPERLINK("#Roadmap!C"&amp; MATCH($E85,Roadmap!$D:$D,0)+COUNTIF($E85:Q85,"u")+COUNTIF($E85:Q85,"t")+COUNTIF($E85:Q85,"¶")+COUNTIF($E85:Q85,"²")+COUNTIF($E85:Q85,"µ")+COUNTIF($E85:Q85,1)-1,INDEX(Roadmap!$D:$K,MATCH($E85,Roadmap!$D:$D,0)-1+COUNTIF($E85:Q85,"u")+COUNTIF($E85:Q85,"t")+COUNTIF($E85:Q85,"¶")+COUNTIF($E85:Q85,"²")+COUNTIF($E85:Q85,"µ")+COUNTIF($E85:Q85,1),ColDescriptionCourte)),""),
  "")),"")</f>
        <v/>
      </c>
      <c r="S85" s="40" t="str">
        <f ca="1">IFERROR(IF(AND(
  INDEX(Roadmap!$D:$K,MATCH($E85,Roadmap!$D:$D,0)+COUNTIF($E85:R85,"u")+COUNTIF($E85:R85,"t")+COUNTIF($E85:R85,"¶")+COUNTIF($E85:R85,"²")+COUNTIF($E85:R85,"µ")+COUNTIF($E85:R85,1),ColLivraison)=S$6,
  VLOOKUP($E85,INDIRECT("tri!"&amp; CHAR(64+ C0Col) &amp;":"&amp; CHAR(65+C0Col)),2,FALSE)&gt;COUNTIF($E85:R85,"u")+COUNTIF($E85:R85,"t")+COUNTIF($E85:R85,"¶")+COUNTIF($E85:R85,"²")+COUNTIF($E85:R85,"µ")+COUNTIF($E85:R85,1)),
HYPERLINK("#Roadmap!C"&amp; MATCH($E85,Roadmap!$D:$D,0)+COUNTIF($E85:R85,"u")+COUNTIF($E85:R85,"t"),
     INDEX(Roadmap!$D:$K,MATCH($E85,Roadmap!$D:$D,0)+COUNTIF($E85:R85,"u")+COUNTIF($E85:R85,"t")+COUNTIF($E85:R85,"¶")+COUNTIF($E85:R85,"²")+COUNTIF($E85:R85,"µ")+COUNTIF($E85:R85,1),ColTypeEcheance)),
  IF(LEN(R85)=1,
  IF(LEN(INDEX(Roadmap!$D:$K,MATCH($E85,Roadmap!$D:$D,0)-1+COUNTIF($E85:R85,"u")+COUNTIF($E85:R85,"t")+COUNTIF($E85:R85,"¶")+COUNTIF($E85:R85,"²")+COUNTIF($E85:R85,"µ")+COUNTIF($E85:R85,1),ColDescriptionCourte))&gt;1,
HYPERLINK("#Roadmap!C"&amp; MATCH($E85,Roadmap!$D:$D,0)+COUNTIF($E85:R85,"u")+COUNTIF($E85:R85,"t")+COUNTIF($E85:R85,"¶")+COUNTIF($E85:R85,"²")+COUNTIF($E85:R85,"µ")+COUNTIF($E85:R85,1)-1,INDEX(Roadmap!$D:$K,MATCH($E85,Roadmap!$D:$D,0)-1+COUNTIF($E85:R85,"u")+COUNTIF($E85:R85,"t")+COUNTIF($E85:R85,"¶")+COUNTIF($E85:R85,"²")+COUNTIF($E85:R85,"µ")+COUNTIF($E85:R85,1),ColDescriptionCourte)),""),
  "")),"")</f>
        <v/>
      </c>
      <c r="T85" s="40" t="str">
        <f ca="1">IFERROR(IF(AND(
  INDEX(Roadmap!$D:$K,MATCH($E85,Roadmap!$D:$D,0)+COUNTIF($E85:S85,"u")+COUNTIF($E85:S85,"t")+COUNTIF($E85:S85,"¶")+COUNTIF($E85:S85,"²")+COUNTIF($E85:S85,"µ")+COUNTIF($E85:S85,1),ColLivraison)=T$6,
  VLOOKUP($E85,INDIRECT("tri!"&amp; CHAR(64+ C0Col) &amp;":"&amp; CHAR(65+C0Col)),2,FALSE)&gt;COUNTIF($E85:S85,"u")+COUNTIF($E85:S85,"t")+COUNTIF($E85:S85,"¶")+COUNTIF($E85:S85,"²")+COUNTIF($E85:S85,"µ")+COUNTIF($E85:S85,1)),
HYPERLINK("#Roadmap!C"&amp; MATCH($E85,Roadmap!$D:$D,0)+COUNTIF($E85:S85,"u")+COUNTIF($E85:S85,"t"),
     INDEX(Roadmap!$D:$K,MATCH($E85,Roadmap!$D:$D,0)+COUNTIF($E85:S85,"u")+COUNTIF($E85:S85,"t")+COUNTIF($E85:S85,"¶")+COUNTIF($E85:S85,"²")+COUNTIF($E85:S85,"µ")+COUNTIF($E85:S85,1),ColTypeEcheance)),
  IF(LEN(S85)=1,
  IF(LEN(INDEX(Roadmap!$D:$K,MATCH($E85,Roadmap!$D:$D,0)-1+COUNTIF($E85:S85,"u")+COUNTIF($E85:S85,"t")+COUNTIF($E85:S85,"¶")+COUNTIF($E85:S85,"²")+COUNTIF($E85:S85,"µ")+COUNTIF($E85:S85,1),ColDescriptionCourte))&gt;1,
HYPERLINK("#Roadmap!C"&amp; MATCH($E85,Roadmap!$D:$D,0)+COUNTIF($E85:S85,"u")+COUNTIF($E85:S85,"t")+COUNTIF($E85:S85,"¶")+COUNTIF($E85:S85,"²")+COUNTIF($E85:S85,"µ")+COUNTIF($E85:S85,1)-1,INDEX(Roadmap!$D:$K,MATCH($E85,Roadmap!$D:$D,0)-1+COUNTIF($E85:S85,"u")+COUNTIF($E85:S85,"t")+COUNTIF($E85:S85,"¶")+COUNTIF($E85:S85,"²")+COUNTIF($E85:S85,"µ")+COUNTIF($E85:S85,1),ColDescriptionCourte)),""),
  "")),"")</f>
        <v/>
      </c>
      <c r="U85" s="40" t="str">
        <f ca="1">IFERROR(IF(AND(
  INDEX(Roadmap!$D:$K,MATCH($E85,Roadmap!$D:$D,0)+COUNTIF($E85:T85,"u")+COUNTIF($E85:T85,"t")+COUNTIF($E85:T85,"¶")+COUNTIF($E85:T85,"²")+COUNTIF($E85:T85,"µ")+COUNTIF($E85:T85,1),ColLivraison)=U$6,
  VLOOKUP($E85,INDIRECT("tri!"&amp; CHAR(64+ C0Col) &amp;":"&amp; CHAR(65+C0Col)),2,FALSE)&gt;COUNTIF($E85:T85,"u")+COUNTIF($E85:T85,"t")+COUNTIF($E85:T85,"¶")+COUNTIF($E85:T85,"²")+COUNTIF($E85:T85,"µ")+COUNTIF($E85:T85,1)),
HYPERLINK("#Roadmap!C"&amp; MATCH($E85,Roadmap!$D:$D,0)+COUNTIF($E85:T85,"u")+COUNTIF($E85:T85,"t"),
     INDEX(Roadmap!$D:$K,MATCH($E85,Roadmap!$D:$D,0)+COUNTIF($E85:T85,"u")+COUNTIF($E85:T85,"t")+COUNTIF($E85:T85,"¶")+COUNTIF($E85:T85,"²")+COUNTIF($E85:T85,"µ")+COUNTIF($E85:T85,1),ColTypeEcheance)),
  IF(LEN(T85)=1,
  IF(LEN(INDEX(Roadmap!$D:$K,MATCH($E85,Roadmap!$D:$D,0)-1+COUNTIF($E85:T85,"u")+COUNTIF($E85:T85,"t")+COUNTIF($E85:T85,"¶")+COUNTIF($E85:T85,"²")+COUNTIF($E85:T85,"µ")+COUNTIF($E85:T85,1),ColDescriptionCourte))&gt;1,
HYPERLINK("#Roadmap!C"&amp; MATCH($E85,Roadmap!$D:$D,0)+COUNTIF($E85:T85,"u")+COUNTIF($E85:T85,"t")+COUNTIF($E85:T85,"¶")+COUNTIF($E85:T85,"²")+COUNTIF($E85:T85,"µ")+COUNTIF($E85:T85,1)-1,INDEX(Roadmap!$D:$K,MATCH($E85,Roadmap!$D:$D,0)-1+COUNTIF($E85:T85,"u")+COUNTIF($E85:T85,"t")+COUNTIF($E85:T85,"¶")+COUNTIF($E85:T85,"²")+COUNTIF($E85:T85,"µ")+COUNTIF($E85:T85,1),ColDescriptionCourte)),""),
  "")),"")</f>
        <v/>
      </c>
      <c r="V85" s="40" t="str">
        <f ca="1">IFERROR(IF(AND(
  INDEX(Roadmap!$D:$K,MATCH($E85,Roadmap!$D:$D,0)+COUNTIF($E85:U85,"u")+COUNTIF($E85:U85,"t")+COUNTIF($E85:U85,"¶")+COUNTIF($E85:U85,"²")+COUNTIF($E85:U85,"µ")+COUNTIF($E85:U85,1),ColLivraison)=V$6,
  VLOOKUP($E85,INDIRECT("tri!"&amp; CHAR(64+ C0Col) &amp;":"&amp; CHAR(65+C0Col)),2,FALSE)&gt;COUNTIF($E85:U85,"u")+COUNTIF($E85:U85,"t")+COUNTIF($E85:U85,"¶")+COUNTIF($E85:U85,"²")+COUNTIF($E85:U85,"µ")+COUNTIF($E85:U85,1)),
HYPERLINK("#Roadmap!C"&amp; MATCH($E85,Roadmap!$D:$D,0)+COUNTIF($E85:U85,"u")+COUNTIF($E85:U85,"t"),
     INDEX(Roadmap!$D:$K,MATCH($E85,Roadmap!$D:$D,0)+COUNTIF($E85:U85,"u")+COUNTIF($E85:U85,"t")+COUNTIF($E85:U85,"¶")+COUNTIF($E85:U85,"²")+COUNTIF($E85:U85,"µ")+COUNTIF($E85:U85,1),ColTypeEcheance)),
  IF(LEN(U85)=1,
  IF(LEN(INDEX(Roadmap!$D:$K,MATCH($E85,Roadmap!$D:$D,0)-1+COUNTIF($E85:U85,"u")+COUNTIF($E85:U85,"t")+COUNTIF($E85:U85,"¶")+COUNTIF($E85:U85,"²")+COUNTIF($E85:U85,"µ")+COUNTIF($E85:U85,1),ColDescriptionCourte))&gt;1,
HYPERLINK("#Roadmap!C"&amp; MATCH($E85,Roadmap!$D:$D,0)+COUNTIF($E85:U85,"u")+COUNTIF($E85:U85,"t")+COUNTIF($E85:U85,"¶")+COUNTIF($E85:U85,"²")+COUNTIF($E85:U85,"µ")+COUNTIF($E85:U85,1)-1,INDEX(Roadmap!$D:$K,MATCH($E85,Roadmap!$D:$D,0)-1+COUNTIF($E85:U85,"u")+COUNTIF($E85:U85,"t")+COUNTIF($E85:U85,"¶")+COUNTIF($E85:U85,"²")+COUNTIF($E85:U85,"µ")+COUNTIF($E85:U85,1),ColDescriptionCourte)),""),
  "")),"")</f>
        <v/>
      </c>
      <c r="W85" s="40" t="str">
        <f ca="1">IFERROR(IF(AND(
  INDEX(Roadmap!$D:$K,MATCH($E85,Roadmap!$D:$D,0)+COUNTIF($E85:V85,"u")+COUNTIF($E85:V85,"t")+COUNTIF($E85:V85,"¶")+COUNTIF($E85:V85,"²")+COUNTIF($E85:V85,"µ")+COUNTIF($E85:V85,1),ColLivraison)=W$6,
  VLOOKUP($E85,INDIRECT("tri!"&amp; CHAR(64+ C0Col) &amp;":"&amp; CHAR(65+C0Col)),2,FALSE)&gt;COUNTIF($E85:V85,"u")+COUNTIF($E85:V85,"t")+COUNTIF($E85:V85,"¶")+COUNTIF($E85:V85,"²")+COUNTIF($E85:V85,"µ")+COUNTIF($E85:V85,1)),
HYPERLINK("#Roadmap!C"&amp; MATCH($E85,Roadmap!$D:$D,0)+COUNTIF($E85:V85,"u")+COUNTIF($E85:V85,"t"),
     INDEX(Roadmap!$D:$K,MATCH($E85,Roadmap!$D:$D,0)+COUNTIF($E85:V85,"u")+COUNTIF($E85:V85,"t")+COUNTIF($E85:V85,"¶")+COUNTIF($E85:V85,"²")+COUNTIF($E85:V85,"µ")+COUNTIF($E85:V85,1),ColTypeEcheance)),
  IF(LEN(V85)=1,
  IF(LEN(INDEX(Roadmap!$D:$K,MATCH($E85,Roadmap!$D:$D,0)-1+COUNTIF($E85:V85,"u")+COUNTIF($E85:V85,"t")+COUNTIF($E85:V85,"¶")+COUNTIF($E85:V85,"²")+COUNTIF($E85:V85,"µ")+COUNTIF($E85:V85,1),ColDescriptionCourte))&gt;1,
HYPERLINK("#Roadmap!C"&amp; MATCH($E85,Roadmap!$D:$D,0)+COUNTIF($E85:V85,"u")+COUNTIF($E85:V85,"t")+COUNTIF($E85:V85,"¶")+COUNTIF($E85:V85,"²")+COUNTIF($E85:V85,"µ")+COUNTIF($E85:V85,1)-1,INDEX(Roadmap!$D:$K,MATCH($E85,Roadmap!$D:$D,0)-1+COUNTIF($E85:V85,"u")+COUNTIF($E85:V85,"t")+COUNTIF($E85:V85,"¶")+COUNTIF($E85:V85,"²")+COUNTIF($E85:V85,"µ")+COUNTIF($E85:V85,1),ColDescriptionCourte)),""),
  "")),"")</f>
        <v/>
      </c>
      <c r="X85" s="40" t="str">
        <f ca="1">IFERROR(IF(AND(
  INDEX(Roadmap!$D:$K,MATCH($E85,Roadmap!$D:$D,0)+COUNTIF($E85:W85,"u")+COUNTIF($E85:W85,"t")+COUNTIF($E85:W85,"¶")+COUNTIF($E85:W85,"²")+COUNTIF($E85:W85,"µ")+COUNTIF($E85:W85,1),ColLivraison)=X$6,
  VLOOKUP($E85,INDIRECT("tri!"&amp; CHAR(64+ C0Col) &amp;":"&amp; CHAR(65+C0Col)),2,FALSE)&gt;COUNTIF($E85:W85,"u")+COUNTIF($E85:W85,"t")+COUNTIF($E85:W85,"¶")+COUNTIF($E85:W85,"²")+COUNTIF($E85:W85,"µ")+COUNTIF($E85:W85,1)),
HYPERLINK("#Roadmap!C"&amp; MATCH($E85,Roadmap!$D:$D,0)+COUNTIF($E85:W85,"u")+COUNTIF($E85:W85,"t"),
     INDEX(Roadmap!$D:$K,MATCH($E85,Roadmap!$D:$D,0)+COUNTIF($E85:W85,"u")+COUNTIF($E85:W85,"t")+COUNTIF($E85:W85,"¶")+COUNTIF($E85:W85,"²")+COUNTIF($E85:W85,"µ")+COUNTIF($E85:W85,1),ColTypeEcheance)),
  IF(LEN(W85)=1,
  IF(LEN(INDEX(Roadmap!$D:$K,MATCH($E85,Roadmap!$D:$D,0)-1+COUNTIF($E85:W85,"u")+COUNTIF($E85:W85,"t")+COUNTIF($E85:W85,"¶")+COUNTIF($E85:W85,"²")+COUNTIF($E85:W85,"µ")+COUNTIF($E85:W85,1),ColDescriptionCourte))&gt;1,
HYPERLINK("#Roadmap!C"&amp; MATCH($E85,Roadmap!$D:$D,0)+COUNTIF($E85:W85,"u")+COUNTIF($E85:W85,"t")+COUNTIF($E85:W85,"¶")+COUNTIF($E85:W85,"²")+COUNTIF($E85:W85,"µ")+COUNTIF($E85:W85,1)-1,INDEX(Roadmap!$D:$K,MATCH($E85,Roadmap!$D:$D,0)-1+COUNTIF($E85:W85,"u")+COUNTIF($E85:W85,"t")+COUNTIF($E85:W85,"¶")+COUNTIF($E85:W85,"²")+COUNTIF($E85:W85,"µ")+COUNTIF($E85:W85,1),ColDescriptionCourte)),""),
  "")),"")</f>
        <v/>
      </c>
      <c r="Y85" s="40" t="str">
        <f ca="1">IFERROR(IF(AND(
  INDEX(Roadmap!$D:$K,MATCH($E85,Roadmap!$D:$D,0)+COUNTIF($E85:X85,"u")+COUNTIF($E85:X85,"t")+COUNTIF($E85:X85,"¶")+COUNTIF($E85:X85,"²")+COUNTIF($E85:X85,"µ")+COUNTIF($E85:X85,1),ColLivraison)=Y$6,
  VLOOKUP($E85,INDIRECT("tri!"&amp; CHAR(64+ C0Col) &amp;":"&amp; CHAR(65+C0Col)),2,FALSE)&gt;COUNTIF($E85:X85,"u")+COUNTIF($E85:X85,"t")+COUNTIF($E85:X85,"¶")+COUNTIF($E85:X85,"²")+COUNTIF($E85:X85,"µ")+COUNTIF($E85:X85,1)),
HYPERLINK("#Roadmap!C"&amp; MATCH($E85,Roadmap!$D:$D,0)+COUNTIF($E85:X85,"u")+COUNTIF($E85:X85,"t"),
     INDEX(Roadmap!$D:$K,MATCH($E85,Roadmap!$D:$D,0)+COUNTIF($E85:X85,"u")+COUNTIF($E85:X85,"t")+COUNTIF($E85:X85,"¶")+COUNTIF($E85:X85,"²")+COUNTIF($E85:X85,"µ")+COUNTIF($E85:X85,1),ColTypeEcheance)),
  IF(LEN(X85)=1,
  IF(LEN(INDEX(Roadmap!$D:$K,MATCH($E85,Roadmap!$D:$D,0)-1+COUNTIF($E85:X85,"u")+COUNTIF($E85:X85,"t")+COUNTIF($E85:X85,"¶")+COUNTIF($E85:X85,"²")+COUNTIF($E85:X85,"µ")+COUNTIF($E85:X85,1),ColDescriptionCourte))&gt;1,
HYPERLINK("#Roadmap!C"&amp; MATCH($E85,Roadmap!$D:$D,0)+COUNTIF($E85:X85,"u")+COUNTIF($E85:X85,"t")+COUNTIF($E85:X85,"¶")+COUNTIF($E85:X85,"²")+COUNTIF($E85:X85,"µ")+COUNTIF($E85:X85,1)-1,INDEX(Roadmap!$D:$K,MATCH($E85,Roadmap!$D:$D,0)-1+COUNTIF($E85:X85,"u")+COUNTIF($E85:X85,"t")+COUNTIF($E85:X85,"¶")+COUNTIF($E85:X85,"²")+COUNTIF($E85:X85,"µ")+COUNTIF($E85:X85,1),ColDescriptionCourte)),""),
  "")),"")</f>
        <v/>
      </c>
      <c r="Z85" s="40" t="str">
        <f ca="1">IFERROR(IF(AND(
  INDEX(Roadmap!$D:$K,MATCH($E85,Roadmap!$D:$D,0)+COUNTIF($E85:Y85,"u")+COUNTIF($E85:Y85,"t")+COUNTIF($E85:Y85,"¶")+COUNTIF($E85:Y85,"²")+COUNTIF($E85:Y85,"µ")+COUNTIF($E85:Y85,1),ColLivraison)=Z$6,
  VLOOKUP($E85,INDIRECT("tri!"&amp; CHAR(64+ C0Col) &amp;":"&amp; CHAR(65+C0Col)),2,FALSE)&gt;COUNTIF($E85:Y85,"u")+COUNTIF($E85:Y85,"t")+COUNTIF($E85:Y85,"¶")+COUNTIF($E85:Y85,"²")+COUNTIF($E85:Y85,"µ")+COUNTIF($E85:Y85,1)),
HYPERLINK("#Roadmap!C"&amp; MATCH($E85,Roadmap!$D:$D,0)+COUNTIF($E85:Y85,"u")+COUNTIF($E85:Y85,"t"),
     INDEX(Roadmap!$D:$K,MATCH($E85,Roadmap!$D:$D,0)+COUNTIF($E85:Y85,"u")+COUNTIF($E85:Y85,"t")+COUNTIF($E85:Y85,"¶")+COUNTIF($E85:Y85,"²")+COUNTIF($E85:Y85,"µ")+COUNTIF($E85:Y85,1),ColTypeEcheance)),
  IF(LEN(Y85)=1,
  IF(LEN(INDEX(Roadmap!$D:$K,MATCH($E85,Roadmap!$D:$D,0)-1+COUNTIF($E85:Y85,"u")+COUNTIF($E85:Y85,"t")+COUNTIF($E85:Y85,"¶")+COUNTIF($E85:Y85,"²")+COUNTIF($E85:Y85,"µ")+COUNTIF($E85:Y85,1),ColDescriptionCourte))&gt;1,
HYPERLINK("#Roadmap!C"&amp; MATCH($E85,Roadmap!$D:$D,0)+COUNTIF($E85:Y85,"u")+COUNTIF($E85:Y85,"t")+COUNTIF($E85:Y85,"¶")+COUNTIF($E85:Y85,"²")+COUNTIF($E85:Y85,"µ")+COUNTIF($E85:Y85,1)-1,INDEX(Roadmap!$D:$K,MATCH($E85,Roadmap!$D:$D,0)-1+COUNTIF($E85:Y85,"u")+COUNTIF($E85:Y85,"t")+COUNTIF($E85:Y85,"¶")+COUNTIF($E85:Y85,"²")+COUNTIF($E85:Y85,"µ")+COUNTIF($E85:Y85,1),ColDescriptionCourte)),""),
  "")),"")</f>
        <v/>
      </c>
      <c r="AA85" s="40" t="str">
        <f ca="1">IFERROR(IF(AND(
  INDEX(Roadmap!$D:$K,MATCH($E85,Roadmap!$D:$D,0)+COUNTIF($E85:Z85,"u")+COUNTIF($E85:Z85,"t")+COUNTIF($E85:Z85,"¶")+COUNTIF($E85:Z85,"²")+COUNTIF($E85:Z85,"µ")+COUNTIF($E85:Z85,1),ColLivraison)=AA$6,
  VLOOKUP($E85,INDIRECT("tri!"&amp; CHAR(64+ C0Col) &amp;":"&amp; CHAR(65+C0Col)),2,FALSE)&gt;COUNTIF($E85:Z85,"u")+COUNTIF($E85:Z85,"t")+COUNTIF($E85:Z85,"¶")+COUNTIF($E85:Z85,"²")+COUNTIF($E85:Z85,"µ")+COUNTIF($E85:Z85,1)),
HYPERLINK("#Roadmap!C"&amp; MATCH($E85,Roadmap!$D:$D,0)+COUNTIF($E85:Z85,"u")+COUNTIF($E85:Z85,"t"),
     INDEX(Roadmap!$D:$K,MATCH($E85,Roadmap!$D:$D,0)+COUNTIF($E85:Z85,"u")+COUNTIF($E85:Z85,"t")+COUNTIF($E85:Z85,"¶")+COUNTIF($E85:Z85,"²")+COUNTIF($E85:Z85,"µ")+COUNTIF($E85:Z85,1),ColTypeEcheance)),
  IF(LEN(Z85)=1,
  IF(LEN(INDEX(Roadmap!$D:$K,MATCH($E85,Roadmap!$D:$D,0)-1+COUNTIF($E85:Z85,"u")+COUNTIF($E85:Z85,"t")+COUNTIF($E85:Z85,"¶")+COUNTIF($E85:Z85,"²")+COUNTIF($E85:Z85,"µ")+COUNTIF($E85:Z85,1),ColDescriptionCourte))&gt;1,
HYPERLINK("#Roadmap!C"&amp; MATCH($E85,Roadmap!$D:$D,0)+COUNTIF($E85:Z85,"u")+COUNTIF($E85:Z85,"t")+COUNTIF($E85:Z85,"¶")+COUNTIF($E85:Z85,"²")+COUNTIF($E85:Z85,"µ")+COUNTIF($E85:Z85,1)-1,INDEX(Roadmap!$D:$K,MATCH($E85,Roadmap!$D:$D,0)-1+COUNTIF($E85:Z85,"u")+COUNTIF($E85:Z85,"t")+COUNTIF($E85:Z85,"¶")+COUNTIF($E85:Z85,"²")+COUNTIF($E85:Z85,"µ")+COUNTIF($E85:Z85,1),ColDescriptionCourte)),""),
  "")),"")</f>
        <v/>
      </c>
      <c r="AB85" s="40" t="str">
        <f ca="1">IFERROR(IF(AND(
  INDEX(Roadmap!$D:$K,MATCH($E85,Roadmap!$D:$D,0)+COUNTIF($E85:AA85,"u")+COUNTIF($E85:AA85,"t")+COUNTIF($E85:AA85,"¶")+COUNTIF($E85:AA85,"²")+COUNTIF($E85:AA85,"µ")+COUNTIF($E85:AA85,1),ColLivraison)=AB$6,
  VLOOKUP($E85,INDIRECT("tri!"&amp; CHAR(64+ C0Col) &amp;":"&amp; CHAR(65+C0Col)),2,FALSE)&gt;COUNTIF($E85:AA85,"u")+COUNTIF($E85:AA85,"t")+COUNTIF($E85:AA85,"¶")+COUNTIF($E85:AA85,"²")+COUNTIF($E85:AA85,"µ")+COUNTIF($E85:AA85,1)),
HYPERLINK("#Roadmap!C"&amp; MATCH($E85,Roadmap!$D:$D,0)+COUNTIF($E85:AA85,"u")+COUNTIF($E85:AA85,"t"),
     INDEX(Roadmap!$D:$K,MATCH($E85,Roadmap!$D:$D,0)+COUNTIF($E85:AA85,"u")+COUNTIF($E85:AA85,"t")+COUNTIF($E85:AA85,"¶")+COUNTIF($E85:AA85,"²")+COUNTIF($E85:AA85,"µ")+COUNTIF($E85:AA85,1),ColTypeEcheance)),
  IF(LEN(AA85)=1,
  IF(LEN(INDEX(Roadmap!$D:$K,MATCH($E85,Roadmap!$D:$D,0)-1+COUNTIF($E85:AA85,"u")+COUNTIF($E85:AA85,"t")+COUNTIF($E85:AA85,"¶")+COUNTIF($E85:AA85,"²")+COUNTIF($E85:AA85,"µ")+COUNTIF($E85:AA85,1),ColDescriptionCourte))&gt;1,
HYPERLINK("#Roadmap!C"&amp; MATCH($E85,Roadmap!$D:$D,0)+COUNTIF($E85:AA85,"u")+COUNTIF($E85:AA85,"t")+COUNTIF($E85:AA85,"¶")+COUNTIF($E85:AA85,"²")+COUNTIF($E85:AA85,"µ")+COUNTIF($E85:AA85,1)-1,INDEX(Roadmap!$D:$K,MATCH($E85,Roadmap!$D:$D,0)-1+COUNTIF($E85:AA85,"u")+COUNTIF($E85:AA85,"t")+COUNTIF($E85:AA85,"¶")+COUNTIF($E85:AA85,"²")+COUNTIF($E85:AA85,"µ")+COUNTIF($E85:AA85,1),ColDescriptionCourte)),""),
  "")),"")</f>
        <v/>
      </c>
      <c r="AC85" s="40" t="str">
        <f ca="1">IFERROR(IF(AND(
  INDEX(Roadmap!$D:$K,MATCH($E85,Roadmap!$D:$D,0)+COUNTIF($E85:AB85,"u")+COUNTIF($E85:AB85,"t")+COUNTIF($E85:AB85,"¶")+COUNTIF($E85:AB85,"²")+COUNTIF($E85:AB85,"µ")+COUNTIF($E85:AB85,1),ColLivraison)=AC$6,
  VLOOKUP($E85,INDIRECT("tri!"&amp; CHAR(64+ C0Col) &amp;":"&amp; CHAR(65+C0Col)),2,FALSE)&gt;COUNTIF($E85:AB85,"u")+COUNTIF($E85:AB85,"t")+COUNTIF($E85:AB85,"¶")+COUNTIF($E85:AB85,"²")+COUNTIF($E85:AB85,"µ")+COUNTIF($E85:AB85,1)),
HYPERLINK("#Roadmap!C"&amp; MATCH($E85,Roadmap!$D:$D,0)+COUNTIF($E85:AB85,"u")+COUNTIF($E85:AB85,"t"),
     INDEX(Roadmap!$D:$K,MATCH($E85,Roadmap!$D:$D,0)+COUNTIF($E85:AB85,"u")+COUNTIF($E85:AB85,"t")+COUNTIF($E85:AB85,"¶")+COUNTIF($E85:AB85,"²")+COUNTIF($E85:AB85,"µ")+COUNTIF($E85:AB85,1),ColTypeEcheance)),
  IF(LEN(AB85)=1,
  IF(LEN(INDEX(Roadmap!$D:$K,MATCH($E85,Roadmap!$D:$D,0)-1+COUNTIF($E85:AB85,"u")+COUNTIF($E85:AB85,"t")+COUNTIF($E85:AB85,"¶")+COUNTIF($E85:AB85,"²")+COUNTIF($E85:AB85,"µ")+COUNTIF($E85:AB85,1),ColDescriptionCourte))&gt;1,
HYPERLINK("#Roadmap!C"&amp; MATCH($E85,Roadmap!$D:$D,0)+COUNTIF($E85:AB85,"u")+COUNTIF($E85:AB85,"t")+COUNTIF($E85:AB85,"¶")+COUNTIF($E85:AB85,"²")+COUNTIF($E85:AB85,"µ")+COUNTIF($E85:AB85,1)-1,INDEX(Roadmap!$D:$K,MATCH($E85,Roadmap!$D:$D,0)-1+COUNTIF($E85:AB85,"u")+COUNTIF($E85:AB85,"t")+COUNTIF($E85:AB85,"¶")+COUNTIF($E85:AB85,"²")+COUNTIF($E85:AB85,"µ")+COUNTIF($E85:AB85,1),ColDescriptionCourte)),""),
  "")),"")</f>
        <v/>
      </c>
      <c r="AD85" s="40" t="str">
        <f ca="1">IFERROR(IF(AND(
  INDEX(Roadmap!$D:$K,MATCH($E85,Roadmap!$D:$D,0)+COUNTIF($E85:AC85,"u")+COUNTIF($E85:AC85,"t")+COUNTIF($E85:AC85,"¶")+COUNTIF($E85:AC85,"²")+COUNTIF($E85:AC85,"µ")+COUNTIF($E85:AC85,1),ColLivraison)=AD$6,
  VLOOKUP($E85,INDIRECT("tri!"&amp; CHAR(64+ C0Col) &amp;":"&amp; CHAR(65+C0Col)),2,FALSE)&gt;COUNTIF($E85:AC85,"u")+COUNTIF($E85:AC85,"t")+COUNTIF($E85:AC85,"¶")+COUNTIF($E85:AC85,"²")+COUNTIF($E85:AC85,"µ")+COUNTIF($E85:AC85,1)),
HYPERLINK("#Roadmap!C"&amp; MATCH($E85,Roadmap!$D:$D,0)+COUNTIF($E85:AC85,"u")+COUNTIF($E85:AC85,"t"),
     INDEX(Roadmap!$D:$K,MATCH($E85,Roadmap!$D:$D,0)+COUNTIF($E85:AC85,"u")+COUNTIF($E85:AC85,"t")+COUNTIF($E85:AC85,"¶")+COUNTIF($E85:AC85,"²")+COUNTIF($E85:AC85,"µ")+COUNTIF($E85:AC85,1),ColTypeEcheance)),
  IF(LEN(AC85)=1,
  IF(LEN(INDEX(Roadmap!$D:$K,MATCH($E85,Roadmap!$D:$D,0)-1+COUNTIF($E85:AC85,"u")+COUNTIF($E85:AC85,"t")+COUNTIF($E85:AC85,"¶")+COUNTIF($E85:AC85,"²")+COUNTIF($E85:AC85,"µ")+COUNTIF($E85:AC85,1),ColDescriptionCourte))&gt;1,
HYPERLINK("#Roadmap!C"&amp; MATCH($E85,Roadmap!$D:$D,0)+COUNTIF($E85:AC85,"u")+COUNTIF($E85:AC85,"t")+COUNTIF($E85:AC85,"¶")+COUNTIF($E85:AC85,"²")+COUNTIF($E85:AC85,"µ")+COUNTIF($E85:AC85,1)-1,INDEX(Roadmap!$D:$K,MATCH($E85,Roadmap!$D:$D,0)-1+COUNTIF($E85:AC85,"u")+COUNTIF($E85:AC85,"t")+COUNTIF($E85:AC85,"¶")+COUNTIF($E85:AC85,"²")+COUNTIF($E85:AC85,"µ")+COUNTIF($E85:AC85,1),ColDescriptionCourte)),""),
  "")),"")</f>
        <v/>
      </c>
      <c r="AE85" s="40" t="str">
        <f ca="1">IFERROR(IF(AND(
  INDEX(Roadmap!$D:$K,MATCH($E85,Roadmap!$D:$D,0)+COUNTIF($E85:AD85,"u")+COUNTIF($E85:AD85,"t")+COUNTIF($E85:AD85,"¶")+COUNTIF($E85:AD85,"²")+COUNTIF($E85:AD85,"µ")+COUNTIF($E85:AD85,1),ColLivraison)=AE$6,
  VLOOKUP($E85,INDIRECT("tri!"&amp; CHAR(64+ C0Col) &amp;":"&amp; CHAR(65+C0Col)),2,FALSE)&gt;COUNTIF($E85:AD85,"u")+COUNTIF($E85:AD85,"t")+COUNTIF($E85:AD85,"¶")+COUNTIF($E85:AD85,"²")+COUNTIF($E85:AD85,"µ")+COUNTIF($E85:AD85,1)),
HYPERLINK("#Roadmap!C"&amp; MATCH($E85,Roadmap!$D:$D,0)+COUNTIF($E85:AD85,"u")+COUNTIF($E85:AD85,"t"),
     INDEX(Roadmap!$D:$K,MATCH($E85,Roadmap!$D:$D,0)+COUNTIF($E85:AD85,"u")+COUNTIF($E85:AD85,"t")+COUNTIF($E85:AD85,"¶")+COUNTIF($E85:AD85,"²")+COUNTIF($E85:AD85,"µ")+COUNTIF($E85:AD85,1),ColTypeEcheance)),
  IF(LEN(AD85)=1,
  IF(LEN(INDEX(Roadmap!$D:$K,MATCH($E85,Roadmap!$D:$D,0)-1+COUNTIF($E85:AD85,"u")+COUNTIF($E85:AD85,"t")+COUNTIF($E85:AD85,"¶")+COUNTIF($E85:AD85,"²")+COUNTIF($E85:AD85,"µ")+COUNTIF($E85:AD85,1),ColDescriptionCourte))&gt;1,
HYPERLINK("#Roadmap!C"&amp; MATCH($E85,Roadmap!$D:$D,0)+COUNTIF($E85:AD85,"u")+COUNTIF($E85:AD85,"t")+COUNTIF($E85:AD85,"¶")+COUNTIF($E85:AD85,"²")+COUNTIF($E85:AD85,"µ")+COUNTIF($E85:AD85,1)-1,INDEX(Roadmap!$D:$K,MATCH($E85,Roadmap!$D:$D,0)-1+COUNTIF($E85:AD85,"u")+COUNTIF($E85:AD85,"t")+COUNTIF($E85:AD85,"¶")+COUNTIF($E85:AD85,"²")+COUNTIF($E85:AD85,"µ")+COUNTIF($E85:AD85,1),ColDescriptionCourte)),""),
  "")),"")</f>
        <v/>
      </c>
      <c r="AF85" s="40" t="str">
        <f ca="1">IFERROR(IF(AND(
  INDEX(Roadmap!$D:$K,MATCH($E85,Roadmap!$D:$D,0)+COUNTIF($E85:AE85,"u")+COUNTIF($E85:AE85,"t")+COUNTIF($E85:AE85,"¶")+COUNTIF($E85:AE85,"²")+COUNTIF($E85:AE85,"µ")+COUNTIF($E85:AE85,1),ColLivraison)=AF$6,
  VLOOKUP($E85,INDIRECT("tri!"&amp; CHAR(64+ C0Col) &amp;":"&amp; CHAR(65+C0Col)),2,FALSE)&gt;COUNTIF($E85:AE85,"u")+COUNTIF($E85:AE85,"t")+COUNTIF($E85:AE85,"¶")+COUNTIF($E85:AE85,"²")+COUNTIF($E85:AE85,"µ")+COUNTIF($E85:AE85,1)),
HYPERLINK("#Roadmap!C"&amp; MATCH($E85,Roadmap!$D:$D,0)+COUNTIF($E85:AE85,"u")+COUNTIF($E85:AE85,"t"),
     INDEX(Roadmap!$D:$K,MATCH($E85,Roadmap!$D:$D,0)+COUNTIF($E85:AE85,"u")+COUNTIF($E85:AE85,"t")+COUNTIF($E85:AE85,"¶")+COUNTIF($E85:AE85,"²")+COUNTIF($E85:AE85,"µ")+COUNTIF($E85:AE85,1),ColTypeEcheance)),
  IF(LEN(AE85)=1,
  IF(LEN(INDEX(Roadmap!$D:$K,MATCH($E85,Roadmap!$D:$D,0)-1+COUNTIF($E85:AE85,"u")+COUNTIF($E85:AE85,"t")+COUNTIF($E85:AE85,"¶")+COUNTIF($E85:AE85,"²")+COUNTIF($E85:AE85,"µ")+COUNTIF($E85:AE85,1),ColDescriptionCourte))&gt;1,
HYPERLINK("#Roadmap!C"&amp; MATCH($E85,Roadmap!$D:$D,0)+COUNTIF($E85:AE85,"u")+COUNTIF($E85:AE85,"t")+COUNTIF($E85:AE85,"¶")+COUNTIF($E85:AE85,"²")+COUNTIF($E85:AE85,"µ")+COUNTIF($E85:AE85,1)-1,INDEX(Roadmap!$D:$K,MATCH($E85,Roadmap!$D:$D,0)-1+COUNTIF($E85:AE85,"u")+COUNTIF($E85:AE85,"t")+COUNTIF($E85:AE85,"¶")+COUNTIF($E85:AE85,"²")+COUNTIF($E85:AE85,"µ")+COUNTIF($E85:AE85,1),ColDescriptionCourte)),""),
  "")),"")</f>
        <v/>
      </c>
      <c r="AG85" s="40" t="str">
        <f ca="1">IFERROR(IF(AND(
  INDEX(Roadmap!$D:$K,MATCH($E85,Roadmap!$D:$D,0)+COUNTIF($E85:AF85,"u")+COUNTIF($E85:AF85,"t")+COUNTIF($E85:AF85,"¶")+COUNTIF($E85:AF85,"²")+COUNTIF($E85:AF85,"µ")+COUNTIF($E85:AF85,1),ColLivraison)=AG$6,
  VLOOKUP($E85,INDIRECT("tri!"&amp; CHAR(64+ C0Col) &amp;":"&amp; CHAR(65+C0Col)),2,FALSE)&gt;COUNTIF($E85:AF85,"u")+COUNTIF($E85:AF85,"t")+COUNTIF($E85:AF85,"¶")+COUNTIF($E85:AF85,"²")+COUNTIF($E85:AF85,"µ")+COUNTIF($E85:AF85,1)),
HYPERLINK("#Roadmap!C"&amp; MATCH($E85,Roadmap!$D:$D,0)+COUNTIF($E85:AF85,"u")+COUNTIF($E85:AF85,"t"),
     INDEX(Roadmap!$D:$K,MATCH($E85,Roadmap!$D:$D,0)+COUNTIF($E85:AF85,"u")+COUNTIF($E85:AF85,"t")+COUNTIF($E85:AF85,"¶")+COUNTIF($E85:AF85,"²")+COUNTIF($E85:AF85,"µ")+COUNTIF($E85:AF85,1),ColTypeEcheance)),
  IF(LEN(AF85)=1,
  IF(LEN(INDEX(Roadmap!$D:$K,MATCH($E85,Roadmap!$D:$D,0)-1+COUNTIF($E85:AF85,"u")+COUNTIF($E85:AF85,"t")+COUNTIF($E85:AF85,"¶")+COUNTIF($E85:AF85,"²")+COUNTIF($E85:AF85,"µ")+COUNTIF($E85:AF85,1),ColDescriptionCourte))&gt;1,
HYPERLINK("#Roadmap!C"&amp; MATCH($E85,Roadmap!$D:$D,0)+COUNTIF($E85:AF85,"u")+COUNTIF($E85:AF85,"t")+COUNTIF($E85:AF85,"¶")+COUNTIF($E85:AF85,"²")+COUNTIF($E85:AF85,"µ")+COUNTIF($E85:AF85,1)-1,INDEX(Roadmap!$D:$K,MATCH($E85,Roadmap!$D:$D,0)-1+COUNTIF($E85:AF85,"u")+COUNTIF($E85:AF85,"t")+COUNTIF($E85:AF85,"¶")+COUNTIF($E85:AF85,"²")+COUNTIF($E85:AF85,"µ")+COUNTIF($E85:AF85,1),ColDescriptionCourte)),""),
  "")),"")</f>
        <v/>
      </c>
    </row>
    <row r="86" spans="3:33" ht="14.25" customHeight="1">
      <c r="C86" s="1" t="str">
        <f t="shared" ca="1" si="47"/>
        <v/>
      </c>
      <c r="D86" s="1" t="str">
        <f t="shared" ca="1" si="48"/>
        <v/>
      </c>
      <c r="E86" s="35" t="str">
        <f t="shared" ca="1" si="46"/>
        <v/>
      </c>
      <c r="F86" s="39" t="str">
        <f ca="1">IFERROR(IF(AND(
  INDEX(Roadmap!$D:$K,MATCH($E86,Roadmap!$D:$D,0)+COUNTIF($E86:E86,"u")+COUNTIF($E86:E86,"t")+COUNTIF($E86:E86,"¶")+COUNTIF($E86:E86,"²")+COUNTIF($E86:E86,"µ")+COUNTIF($E86:E86,1),ColLivraison)=F$6,
  VLOOKUP($E86,INDIRECT("tri!"&amp; CHAR(64+ C0Col) &amp;":"&amp; CHAR(65+C0Col)),2,FALSE)&gt;COUNTIF($E86:E86,"u")+COUNTIF($E86:E86,"t")+COUNTIF($E86:E86,"¶")+COUNTIF($E86:E86,"²")+COUNTIF($E86:E86,"µ")+COUNTIF($E86:E86,1)),
HYPERLINK("#Roadmap!C"&amp; MATCH($E86,Roadmap!$D:$D,0)+COUNTIF($E86:E86,"u")+COUNTIF($E86:E86,"t"),
     INDEX(Roadmap!$D:$K,MATCH($E86,Roadmap!$D:$D,0)+COUNTIF($E86:E86,"u")+COUNTIF($E86:E86,"t")+COUNTIF($E86:E86,"¶")+COUNTIF($E86:E86,"²")+COUNTIF($E86:E86,"µ")+COUNTIF($E86:E86,1),ColTypeEcheance)),
  IF(LEN(E86)=1,
  IF(LEN(INDEX(Roadmap!$D:$K,MATCH($E86,Roadmap!$D:$D,0)-1+COUNTIF($E86:E86,"u")+COUNTIF($E86:E86,"t")+COUNTIF($E86:E86,"¶")+COUNTIF($E86:E86,"²")+COUNTIF($E86:E86,"µ")+COUNTIF($E86:E86,1),ColDescriptionCourte))&gt;1,
HYPERLINK("#Roadmap!C"&amp; MATCH($E86,Roadmap!$D:$D,0)+COUNTIF($E86:E86,"u")+COUNTIF($E86:E86,"t")+COUNTIF($E86:E86,"¶")+COUNTIF($E86:E86,"²")+COUNTIF($E86:E86,"µ")+COUNTIF($E86:E86,1)-1,INDEX(Roadmap!$D:$K,MATCH($E86,Roadmap!$D:$D,0)-1+COUNTIF($E86:E86,"u")+COUNTIF($E86:E86,"t")+COUNTIF($E86:E86,"¶")+COUNTIF($E86:E86,"²")+COUNTIF($E86:E86,"µ")+COUNTIF($E86:E86,1),ColDescriptionCourte)),""),
  "")),"")</f>
        <v/>
      </c>
      <c r="G86" s="40" t="str">
        <f ca="1">IFERROR(IF(AND(
  INDEX(Roadmap!$D:$K,MATCH($E86,Roadmap!$D:$D,0)+COUNTIF($E86:F86,"u")+COUNTIF($E86:F86,"t")+COUNTIF($E86:F86,"¶")+COUNTIF($E86:F86,"²")+COUNTIF($E86:F86,"µ")+COUNTIF($E86:F86,1),ColLivraison)=G$6,
  VLOOKUP($E86,INDIRECT("tri!"&amp; CHAR(64+ C0Col) &amp;":"&amp; CHAR(65+C0Col)),2,FALSE)&gt;COUNTIF($E86:F86,"u")+COUNTIF($E86:F86,"t")+COUNTIF($E86:F86,"¶")+COUNTIF($E86:F86,"²")+COUNTIF($E86:F86,"µ")+COUNTIF($E86:F86,1)),
HYPERLINK("#Roadmap!C"&amp; MATCH($E86,Roadmap!$D:$D,0)+COUNTIF($E86:F86,"u")+COUNTIF($E86:F86,"t"),
     INDEX(Roadmap!$D:$K,MATCH($E86,Roadmap!$D:$D,0)+COUNTIF($E86:F86,"u")+COUNTIF($E86:F86,"t")+COUNTIF($E86:F86,"¶")+COUNTIF($E86:F86,"²")+COUNTIF($E86:F86,"µ")+COUNTIF($E86:F86,1),ColTypeEcheance)),
  IF(LEN(F86)=1,
  IF(LEN(INDEX(Roadmap!$D:$K,MATCH($E86,Roadmap!$D:$D,0)-1+COUNTIF($E86:F86,"u")+COUNTIF($E86:F86,"t")+COUNTIF($E86:F86,"¶")+COUNTIF($E86:F86,"²")+COUNTIF($E86:F86,"µ")+COUNTIF($E86:F86,1),ColDescriptionCourte))&gt;1,
HYPERLINK("#Roadmap!C"&amp; MATCH($E86,Roadmap!$D:$D,0)+COUNTIF($E86:F86,"u")+COUNTIF($E86:F86,"t")+COUNTIF($E86:F86,"¶")+COUNTIF($E86:F86,"²")+COUNTIF($E86:F86,"µ")+COUNTIF($E86:F86,1)-1,INDEX(Roadmap!$D:$K,MATCH($E86,Roadmap!$D:$D,0)-1+COUNTIF($E86:F86,"u")+COUNTIF($E86:F86,"t")+COUNTIF($E86:F86,"¶")+COUNTIF($E86:F86,"²")+COUNTIF($E86:F86,"µ")+COUNTIF($E86:F86,1),ColDescriptionCourte)),""),
  "")),"")</f>
        <v/>
      </c>
      <c r="H86" s="40" t="str">
        <f ca="1">IFERROR(IF(AND(
  INDEX(Roadmap!$D:$K,MATCH($E86,Roadmap!$D:$D,0)+COUNTIF($E86:G86,"u")+COUNTIF($E86:G86,"t")+COUNTIF($E86:G86,"¶")+COUNTIF($E86:G86,"²")+COUNTIF($E86:G86,"µ")+COUNTIF($E86:G86,1),ColLivraison)=H$6,
  VLOOKUP($E86,INDIRECT("tri!"&amp; CHAR(64+ C0Col) &amp;":"&amp; CHAR(65+C0Col)),2,FALSE)&gt;COUNTIF($E86:G86,"u")+COUNTIF($E86:G86,"t")+COUNTIF($E86:G86,"¶")+COUNTIF($E86:G86,"²")+COUNTIF($E86:G86,"µ")+COUNTIF($E86:G86,1)),
HYPERLINK("#Roadmap!C"&amp; MATCH($E86,Roadmap!$D:$D,0)+COUNTIF($E86:G86,"u")+COUNTIF($E86:G86,"t"),
     INDEX(Roadmap!$D:$K,MATCH($E86,Roadmap!$D:$D,0)+COUNTIF($E86:G86,"u")+COUNTIF($E86:G86,"t")+COUNTIF($E86:G86,"¶")+COUNTIF($E86:G86,"²")+COUNTIF($E86:G86,"µ")+COUNTIF($E86:G86,1),ColTypeEcheance)),
  IF(LEN(G86)=1,
  IF(LEN(INDEX(Roadmap!$D:$K,MATCH($E86,Roadmap!$D:$D,0)-1+COUNTIF($E86:G86,"u")+COUNTIF($E86:G86,"t")+COUNTIF($E86:G86,"¶")+COUNTIF($E86:G86,"²")+COUNTIF($E86:G86,"µ")+COUNTIF($E86:G86,1),ColDescriptionCourte))&gt;1,
HYPERLINK("#Roadmap!C"&amp; MATCH($E86,Roadmap!$D:$D,0)+COUNTIF($E86:G86,"u")+COUNTIF($E86:G86,"t")+COUNTIF($E86:G86,"¶")+COUNTIF($E86:G86,"²")+COUNTIF($E86:G86,"µ")+COUNTIF($E86:G86,1)-1,INDEX(Roadmap!$D:$K,MATCH($E86,Roadmap!$D:$D,0)-1+COUNTIF($E86:G86,"u")+COUNTIF($E86:G86,"t")+COUNTIF($E86:G86,"¶")+COUNTIF($E86:G86,"²")+COUNTIF($E86:G86,"µ")+COUNTIF($E86:G86,1),ColDescriptionCourte)),""),
  "")),"")</f>
        <v/>
      </c>
      <c r="I86" s="40" t="str">
        <f ca="1">IFERROR(IF(AND(
  INDEX(Roadmap!$D:$K,MATCH($E86,Roadmap!$D:$D,0)+COUNTIF($E86:H86,"u")+COUNTIF($E86:H86,"t")+COUNTIF($E86:H86,"¶")+COUNTIF($E86:H86,"²")+COUNTIF($E86:H86,"µ")+COUNTIF($E86:H86,1),ColLivraison)=I$6,
  VLOOKUP($E86,INDIRECT("tri!"&amp; CHAR(64+ C0Col) &amp;":"&amp; CHAR(65+C0Col)),2,FALSE)&gt;COUNTIF($E86:H86,"u")+COUNTIF($E86:H86,"t")+COUNTIF($E86:H86,"¶")+COUNTIF($E86:H86,"²")+COUNTIF($E86:H86,"µ")+COUNTIF($E86:H86,1)),
HYPERLINK("#Roadmap!C"&amp; MATCH($E86,Roadmap!$D:$D,0)+COUNTIF($E86:H86,"u")+COUNTIF($E86:H86,"t"),
     INDEX(Roadmap!$D:$K,MATCH($E86,Roadmap!$D:$D,0)+COUNTIF($E86:H86,"u")+COUNTIF($E86:H86,"t")+COUNTIF($E86:H86,"¶")+COUNTIF($E86:H86,"²")+COUNTIF($E86:H86,"µ")+COUNTIF($E86:H86,1),ColTypeEcheance)),
  IF(LEN(H86)=1,
  IF(LEN(INDEX(Roadmap!$D:$K,MATCH($E86,Roadmap!$D:$D,0)-1+COUNTIF($E86:H86,"u")+COUNTIF($E86:H86,"t")+COUNTIF($E86:H86,"¶")+COUNTIF($E86:H86,"²")+COUNTIF($E86:H86,"µ")+COUNTIF($E86:H86,1),ColDescriptionCourte))&gt;1,
HYPERLINK("#Roadmap!C"&amp; MATCH($E86,Roadmap!$D:$D,0)+COUNTIF($E86:H86,"u")+COUNTIF($E86:H86,"t")+COUNTIF($E86:H86,"¶")+COUNTIF($E86:H86,"²")+COUNTIF($E86:H86,"µ")+COUNTIF($E86:H86,1)-1,INDEX(Roadmap!$D:$K,MATCH($E86,Roadmap!$D:$D,0)-1+COUNTIF($E86:H86,"u")+COUNTIF($E86:H86,"t")+COUNTIF($E86:H86,"¶")+COUNTIF($E86:H86,"²")+COUNTIF($E86:H86,"µ")+COUNTIF($E86:H86,1),ColDescriptionCourte)),""),
  "")),"")</f>
        <v/>
      </c>
      <c r="J86" s="40" t="str">
        <f ca="1">IFERROR(IF(AND(
  INDEX(Roadmap!$D:$K,MATCH($E86,Roadmap!$D:$D,0)+COUNTIF($E86:I86,"u")+COUNTIF($E86:I86,"t")+COUNTIF($E86:I86,"¶")+COUNTIF($E86:I86,"²")+COUNTIF($E86:I86,"µ")+COUNTIF($E86:I86,1),ColLivraison)=J$6,
  VLOOKUP($E86,INDIRECT("tri!"&amp; CHAR(64+ C0Col) &amp;":"&amp; CHAR(65+C0Col)),2,FALSE)&gt;COUNTIF($E86:I86,"u")+COUNTIF($E86:I86,"t")+COUNTIF($E86:I86,"¶")+COUNTIF($E86:I86,"²")+COUNTIF($E86:I86,"µ")+COUNTIF($E86:I86,1)),
HYPERLINK("#Roadmap!C"&amp; MATCH($E86,Roadmap!$D:$D,0)+COUNTIF($E86:I86,"u")+COUNTIF($E86:I86,"t"),
     INDEX(Roadmap!$D:$K,MATCH($E86,Roadmap!$D:$D,0)+COUNTIF($E86:I86,"u")+COUNTIF($E86:I86,"t")+COUNTIF($E86:I86,"¶")+COUNTIF($E86:I86,"²")+COUNTIF($E86:I86,"µ")+COUNTIF($E86:I86,1),ColTypeEcheance)),
  IF(LEN(I86)=1,
  IF(LEN(INDEX(Roadmap!$D:$K,MATCH($E86,Roadmap!$D:$D,0)-1+COUNTIF($E86:I86,"u")+COUNTIF($E86:I86,"t")+COUNTIF($E86:I86,"¶")+COUNTIF($E86:I86,"²")+COUNTIF($E86:I86,"µ")+COUNTIF($E86:I86,1),ColDescriptionCourte))&gt;1,
HYPERLINK("#Roadmap!C"&amp; MATCH($E86,Roadmap!$D:$D,0)+COUNTIF($E86:I86,"u")+COUNTIF($E86:I86,"t")+COUNTIF($E86:I86,"¶")+COUNTIF($E86:I86,"²")+COUNTIF($E86:I86,"µ")+COUNTIF($E86:I86,1)-1,INDEX(Roadmap!$D:$K,MATCH($E86,Roadmap!$D:$D,0)-1+COUNTIF($E86:I86,"u")+COUNTIF($E86:I86,"t")+COUNTIF($E86:I86,"¶")+COUNTIF($E86:I86,"²")+COUNTIF($E86:I86,"µ")+COUNTIF($E86:I86,1),ColDescriptionCourte)),""),
  "")),"")</f>
        <v/>
      </c>
      <c r="K86" s="40" t="str">
        <f ca="1">IFERROR(IF(AND(
  INDEX(Roadmap!$D:$K,MATCH($E86,Roadmap!$D:$D,0)+COUNTIF($E86:J86,"u")+COUNTIF($E86:J86,"t")+COUNTIF($E86:J86,"¶")+COUNTIF($E86:J86,"²")+COUNTIF($E86:J86,"µ")+COUNTIF($E86:J86,1),ColLivraison)=K$6,
  VLOOKUP($E86,INDIRECT("tri!"&amp; CHAR(64+ C0Col) &amp;":"&amp; CHAR(65+C0Col)),2,FALSE)&gt;COUNTIF($E86:J86,"u")+COUNTIF($E86:J86,"t")+COUNTIF($E86:J86,"¶")+COUNTIF($E86:J86,"²")+COUNTIF($E86:J86,"µ")+COUNTIF($E86:J86,1)),
HYPERLINK("#Roadmap!C"&amp; MATCH($E86,Roadmap!$D:$D,0)+COUNTIF($E86:J86,"u")+COUNTIF($E86:J86,"t"),
     INDEX(Roadmap!$D:$K,MATCH($E86,Roadmap!$D:$D,0)+COUNTIF($E86:J86,"u")+COUNTIF($E86:J86,"t")+COUNTIF($E86:J86,"¶")+COUNTIF($E86:J86,"²")+COUNTIF($E86:J86,"µ")+COUNTIF($E86:J86,1),ColTypeEcheance)),
  IF(LEN(J86)=1,
  IF(LEN(INDEX(Roadmap!$D:$K,MATCH($E86,Roadmap!$D:$D,0)-1+COUNTIF($E86:J86,"u")+COUNTIF($E86:J86,"t")+COUNTIF($E86:J86,"¶")+COUNTIF($E86:J86,"²")+COUNTIF($E86:J86,"µ")+COUNTIF($E86:J86,1),ColDescriptionCourte))&gt;1,
HYPERLINK("#Roadmap!C"&amp; MATCH($E86,Roadmap!$D:$D,0)+COUNTIF($E86:J86,"u")+COUNTIF($E86:J86,"t")+COUNTIF($E86:J86,"¶")+COUNTIF($E86:J86,"²")+COUNTIF($E86:J86,"µ")+COUNTIF($E86:J86,1)-1,INDEX(Roadmap!$D:$K,MATCH($E86,Roadmap!$D:$D,0)-1+COUNTIF($E86:J86,"u")+COUNTIF($E86:J86,"t")+COUNTIF($E86:J86,"¶")+COUNTIF($E86:J86,"²")+COUNTIF($E86:J86,"µ")+COUNTIF($E86:J86,1),ColDescriptionCourte)),""),
  "")),"")</f>
        <v/>
      </c>
      <c r="L86" s="39" t="str">
        <f ca="1">IFERROR(IF(AND(
  INDEX(Roadmap!$D:$K,MATCH($E86,Roadmap!$D:$D,0)+COUNTIF($E86:K86,"u")+COUNTIF($E86:K86,"t")+COUNTIF($E86:K86,"¶")+COUNTIF($E86:K86,"²")+COUNTIF($E86:K86,"µ")+COUNTIF($E86:K86,1),ColLivraison)=L$6,
  VLOOKUP($E86,INDIRECT("tri!"&amp; CHAR(64+ C0Col) &amp;":"&amp; CHAR(65+C0Col)),2,FALSE)&gt;COUNTIF($E86:K86,"u")+COUNTIF($E86:K86,"t")+COUNTIF($E86:K86,"¶")+COUNTIF($E86:K86,"²")+COUNTIF($E86:K86,"µ")+COUNTIF($E86:K86,1)),
HYPERLINK("#Roadmap!C"&amp; MATCH($E86,Roadmap!$D:$D,0)+COUNTIF($E86:K86,"u")+COUNTIF($E86:K86,"t"),
     INDEX(Roadmap!$D:$K,MATCH($E86,Roadmap!$D:$D,0)+COUNTIF($E86:K86,"u")+COUNTIF($E86:K86,"t")+COUNTIF($E86:K86,"¶")+COUNTIF($E86:K86,"²")+COUNTIF($E86:K86,"µ")+COUNTIF($E86:K86,1),ColTypeEcheance)),
  IF(LEN(K86)=1,
  IF(LEN(INDEX(Roadmap!$D:$K,MATCH($E86,Roadmap!$D:$D,0)-1+COUNTIF($E86:K86,"u")+COUNTIF($E86:K86,"t")+COUNTIF($E86:K86,"¶")+COUNTIF($E86:K86,"²")+COUNTIF($E86:K86,"µ")+COUNTIF($E86:K86,1),ColDescriptionCourte))&gt;1,
HYPERLINK("#Roadmap!C"&amp; MATCH($E86,Roadmap!$D:$D,0)+COUNTIF($E86:K86,"u")+COUNTIF($E86:K86,"t")+COUNTIF($E86:K86,"¶")+COUNTIF($E86:K86,"²")+COUNTIF($E86:K86,"µ")+COUNTIF($E86:K86,1)-1,INDEX(Roadmap!$D:$K,MATCH($E86,Roadmap!$D:$D,0)-1+COUNTIF($E86:K86,"u")+COUNTIF($E86:K86,"t")+COUNTIF($E86:K86,"¶")+COUNTIF($E86:K86,"²")+COUNTIF($E86:K86,"µ")+COUNTIF($E86:K86,1),ColDescriptionCourte)),""),
  "")),"")</f>
        <v/>
      </c>
      <c r="M86" s="40" t="str">
        <f ca="1">IFERROR(IF(AND(
  INDEX(Roadmap!$D:$K,MATCH($E86,Roadmap!$D:$D,0)+COUNTIF($E86:L86,"u")+COUNTIF($E86:L86,"t")+COUNTIF($E86:L86,"¶")+COUNTIF($E86:L86,"²")+COUNTIF($E86:L86,"µ")+COUNTIF($E86:L86,1),ColLivraison)=M$6,
  VLOOKUP($E86,INDIRECT("tri!"&amp; CHAR(64+ C0Col) &amp;":"&amp; CHAR(65+C0Col)),2,FALSE)&gt;COUNTIF($E86:L86,"u")+COUNTIF($E86:L86,"t")+COUNTIF($E86:L86,"¶")+COUNTIF($E86:L86,"²")+COUNTIF($E86:L86,"µ")+COUNTIF($E86:L86,1)),
HYPERLINK("#Roadmap!C"&amp; MATCH($E86,Roadmap!$D:$D,0)+COUNTIF($E86:L86,"u")+COUNTIF($E86:L86,"t"),
     INDEX(Roadmap!$D:$K,MATCH($E86,Roadmap!$D:$D,0)+COUNTIF($E86:L86,"u")+COUNTIF($E86:L86,"t")+COUNTIF($E86:L86,"¶")+COUNTIF($E86:L86,"²")+COUNTIF($E86:L86,"µ")+COUNTIF($E86:L86,1),ColTypeEcheance)),
  IF(LEN(L86)=1,
  IF(LEN(INDEX(Roadmap!$D:$K,MATCH($E86,Roadmap!$D:$D,0)-1+COUNTIF($E86:L86,"u")+COUNTIF($E86:L86,"t")+COUNTIF($E86:L86,"¶")+COUNTIF($E86:L86,"²")+COUNTIF($E86:L86,"µ")+COUNTIF($E86:L86,1),ColDescriptionCourte))&gt;1,
HYPERLINK("#Roadmap!C"&amp; MATCH($E86,Roadmap!$D:$D,0)+COUNTIF($E86:L86,"u")+COUNTIF($E86:L86,"t")+COUNTIF($E86:L86,"¶")+COUNTIF($E86:L86,"²")+COUNTIF($E86:L86,"µ")+COUNTIF($E86:L86,1)-1,INDEX(Roadmap!$D:$K,MATCH($E86,Roadmap!$D:$D,0)-1+COUNTIF($E86:L86,"u")+COUNTIF($E86:L86,"t")+COUNTIF($E86:L86,"¶")+COUNTIF($E86:L86,"²")+COUNTIF($E86:L86,"µ")+COUNTIF($E86:L86,1),ColDescriptionCourte)),""),
  "")),"")</f>
        <v/>
      </c>
      <c r="N86" s="40" t="str">
        <f ca="1">IFERROR(IF(AND(
  INDEX(Roadmap!$D:$K,MATCH($E86,Roadmap!$D:$D,0)+COUNTIF($E86:M86,"u")+COUNTIF($E86:M86,"t")+COUNTIF($E86:M86,"¶")+COUNTIF($E86:M86,"²")+COUNTIF($E86:M86,"µ")+COUNTIF($E86:M86,1),ColLivraison)=N$6,
  VLOOKUP($E86,INDIRECT("tri!"&amp; CHAR(64+ C0Col) &amp;":"&amp; CHAR(65+C0Col)),2,FALSE)&gt;COUNTIF($E86:M86,"u")+COUNTIF($E86:M86,"t")+COUNTIF($E86:M86,"¶")+COUNTIF($E86:M86,"²")+COUNTIF($E86:M86,"µ")+COUNTIF($E86:M86,1)),
HYPERLINK("#Roadmap!C"&amp; MATCH($E86,Roadmap!$D:$D,0)+COUNTIF($E86:M86,"u")+COUNTIF($E86:M86,"t"),
     INDEX(Roadmap!$D:$K,MATCH($E86,Roadmap!$D:$D,0)+COUNTIF($E86:M86,"u")+COUNTIF($E86:M86,"t")+COUNTIF($E86:M86,"¶")+COUNTIF($E86:M86,"²")+COUNTIF($E86:M86,"µ")+COUNTIF($E86:M86,1),ColTypeEcheance)),
  IF(LEN(M86)=1,
  IF(LEN(INDEX(Roadmap!$D:$K,MATCH($E86,Roadmap!$D:$D,0)-1+COUNTIF($E86:M86,"u")+COUNTIF($E86:M86,"t")+COUNTIF($E86:M86,"¶")+COUNTIF($E86:M86,"²")+COUNTIF($E86:M86,"µ")+COUNTIF($E86:M86,1),ColDescriptionCourte))&gt;1,
HYPERLINK("#Roadmap!C"&amp; MATCH($E86,Roadmap!$D:$D,0)+COUNTIF($E86:M86,"u")+COUNTIF($E86:M86,"t")+COUNTIF($E86:M86,"¶")+COUNTIF($E86:M86,"²")+COUNTIF($E86:M86,"µ")+COUNTIF($E86:M86,1)-1,INDEX(Roadmap!$D:$K,MATCH($E86,Roadmap!$D:$D,0)-1+COUNTIF($E86:M86,"u")+COUNTIF($E86:M86,"t")+COUNTIF($E86:M86,"¶")+COUNTIF($E86:M86,"²")+COUNTIF($E86:M86,"µ")+COUNTIF($E86:M86,1),ColDescriptionCourte)),""),
  "")),"")</f>
        <v/>
      </c>
      <c r="O86" s="40" t="str">
        <f ca="1">IFERROR(IF(AND(
  INDEX(Roadmap!$D:$K,MATCH($E86,Roadmap!$D:$D,0)+COUNTIF($E86:N86,"u")+COUNTIF($E86:N86,"t")+COUNTIF($E86:N86,"¶")+COUNTIF($E86:N86,"²")+COUNTIF($E86:N86,"µ")+COUNTIF($E86:N86,1),ColLivraison)=O$6,
  VLOOKUP($E86,INDIRECT("tri!"&amp; CHAR(64+ C0Col) &amp;":"&amp; CHAR(65+C0Col)),2,FALSE)&gt;COUNTIF($E86:N86,"u")+COUNTIF($E86:N86,"t")+COUNTIF($E86:N86,"¶")+COUNTIF($E86:N86,"²")+COUNTIF($E86:N86,"µ")+COUNTIF($E86:N86,1)),
HYPERLINK("#Roadmap!C"&amp; MATCH($E86,Roadmap!$D:$D,0)+COUNTIF($E86:N86,"u")+COUNTIF($E86:N86,"t"),
     INDEX(Roadmap!$D:$K,MATCH($E86,Roadmap!$D:$D,0)+COUNTIF($E86:N86,"u")+COUNTIF($E86:N86,"t")+COUNTIF($E86:N86,"¶")+COUNTIF($E86:N86,"²")+COUNTIF($E86:N86,"µ")+COUNTIF($E86:N86,1),ColTypeEcheance)),
  IF(LEN(N86)=1,
  IF(LEN(INDEX(Roadmap!$D:$K,MATCH($E86,Roadmap!$D:$D,0)-1+COUNTIF($E86:N86,"u")+COUNTIF($E86:N86,"t")+COUNTIF($E86:N86,"¶")+COUNTIF($E86:N86,"²")+COUNTIF($E86:N86,"µ")+COUNTIF($E86:N86,1),ColDescriptionCourte))&gt;1,
HYPERLINK("#Roadmap!C"&amp; MATCH($E86,Roadmap!$D:$D,0)+COUNTIF($E86:N86,"u")+COUNTIF($E86:N86,"t")+COUNTIF($E86:N86,"¶")+COUNTIF($E86:N86,"²")+COUNTIF($E86:N86,"µ")+COUNTIF($E86:N86,1)-1,INDEX(Roadmap!$D:$K,MATCH($E86,Roadmap!$D:$D,0)-1+COUNTIF($E86:N86,"u")+COUNTIF($E86:N86,"t")+COUNTIF($E86:N86,"¶")+COUNTIF($E86:N86,"²")+COUNTIF($E86:N86,"µ")+COUNTIF($E86:N86,1),ColDescriptionCourte)),""),
  "")),"")</f>
        <v/>
      </c>
      <c r="P86" s="40" t="str">
        <f ca="1">IFERROR(IF(AND(
  INDEX(Roadmap!$D:$K,MATCH($E86,Roadmap!$D:$D,0)+COUNTIF($E86:O86,"u")+COUNTIF($E86:O86,"t")+COUNTIF($E86:O86,"¶")+COUNTIF($E86:O86,"²")+COUNTIF($E86:O86,"µ")+COUNTIF($E86:O86,1),ColLivraison)=P$6,
  VLOOKUP($E86,INDIRECT("tri!"&amp; CHAR(64+ C0Col) &amp;":"&amp; CHAR(65+C0Col)),2,FALSE)&gt;COUNTIF($E86:O86,"u")+COUNTIF($E86:O86,"t")+COUNTIF($E86:O86,"¶")+COUNTIF($E86:O86,"²")+COUNTIF($E86:O86,"µ")+COUNTIF($E86:O86,1)),
HYPERLINK("#Roadmap!C"&amp; MATCH($E86,Roadmap!$D:$D,0)+COUNTIF($E86:O86,"u")+COUNTIF($E86:O86,"t"),
     INDEX(Roadmap!$D:$K,MATCH($E86,Roadmap!$D:$D,0)+COUNTIF($E86:O86,"u")+COUNTIF($E86:O86,"t")+COUNTIF($E86:O86,"¶")+COUNTIF($E86:O86,"²")+COUNTIF($E86:O86,"µ")+COUNTIF($E86:O86,1),ColTypeEcheance)),
  IF(LEN(O86)=1,
  IF(LEN(INDEX(Roadmap!$D:$K,MATCH($E86,Roadmap!$D:$D,0)-1+COUNTIF($E86:O86,"u")+COUNTIF($E86:O86,"t")+COUNTIF($E86:O86,"¶")+COUNTIF($E86:O86,"²")+COUNTIF($E86:O86,"µ")+COUNTIF($E86:O86,1),ColDescriptionCourte))&gt;1,
HYPERLINK("#Roadmap!C"&amp; MATCH($E86,Roadmap!$D:$D,0)+COUNTIF($E86:O86,"u")+COUNTIF($E86:O86,"t")+COUNTIF($E86:O86,"¶")+COUNTIF($E86:O86,"²")+COUNTIF($E86:O86,"µ")+COUNTIF($E86:O86,1)-1,INDEX(Roadmap!$D:$K,MATCH($E86,Roadmap!$D:$D,0)-1+COUNTIF($E86:O86,"u")+COUNTIF($E86:O86,"t")+COUNTIF($E86:O86,"¶")+COUNTIF($E86:O86,"²")+COUNTIF($E86:O86,"µ")+COUNTIF($E86:O86,1),ColDescriptionCourte)),""),
  "")),"")</f>
        <v/>
      </c>
      <c r="Q86" s="40" t="str">
        <f ca="1">IFERROR(IF(AND(
  INDEX(Roadmap!$D:$K,MATCH($E86,Roadmap!$D:$D,0)+COUNTIF($E86:P86,"u")+COUNTIF($E86:P86,"t")+COUNTIF($E86:P86,"¶")+COUNTIF($E86:P86,"²")+COUNTIF($E86:P86,"µ")+COUNTIF($E86:P86,1),ColLivraison)=Q$6,
  VLOOKUP($E86,INDIRECT("tri!"&amp; CHAR(64+ C0Col) &amp;":"&amp; CHAR(65+C0Col)),2,FALSE)&gt;COUNTIF($E86:P86,"u")+COUNTIF($E86:P86,"t")+COUNTIF($E86:P86,"¶")+COUNTIF($E86:P86,"²")+COUNTIF($E86:P86,"µ")+COUNTIF($E86:P86,1)),
HYPERLINK("#Roadmap!C"&amp; MATCH($E86,Roadmap!$D:$D,0)+COUNTIF($E86:P86,"u")+COUNTIF($E86:P86,"t"),
     INDEX(Roadmap!$D:$K,MATCH($E86,Roadmap!$D:$D,0)+COUNTIF($E86:P86,"u")+COUNTIF($E86:P86,"t")+COUNTIF($E86:P86,"¶")+COUNTIF($E86:P86,"²")+COUNTIF($E86:P86,"µ")+COUNTIF($E86:P86,1),ColTypeEcheance)),
  IF(LEN(P86)=1,
  IF(LEN(INDEX(Roadmap!$D:$K,MATCH($E86,Roadmap!$D:$D,0)-1+COUNTIF($E86:P86,"u")+COUNTIF($E86:P86,"t")+COUNTIF($E86:P86,"¶")+COUNTIF($E86:P86,"²")+COUNTIF($E86:P86,"µ")+COUNTIF($E86:P86,1),ColDescriptionCourte))&gt;1,
HYPERLINK("#Roadmap!C"&amp; MATCH($E86,Roadmap!$D:$D,0)+COUNTIF($E86:P86,"u")+COUNTIF($E86:P86,"t")+COUNTIF($E86:P86,"¶")+COUNTIF($E86:P86,"²")+COUNTIF($E86:P86,"µ")+COUNTIF($E86:P86,1)-1,INDEX(Roadmap!$D:$K,MATCH($E86,Roadmap!$D:$D,0)-1+COUNTIF($E86:P86,"u")+COUNTIF($E86:P86,"t")+COUNTIF($E86:P86,"¶")+COUNTIF($E86:P86,"²")+COUNTIF($E86:P86,"µ")+COUNTIF($E86:P86,1),ColDescriptionCourte)),""),
  "")),"")</f>
        <v/>
      </c>
      <c r="R86" s="40" t="str">
        <f ca="1">IFERROR(IF(AND(
  INDEX(Roadmap!$D:$K,MATCH($E86,Roadmap!$D:$D,0)+COUNTIF($E86:Q86,"u")+COUNTIF($E86:Q86,"t")+COUNTIF($E86:Q86,"¶")+COUNTIF($E86:Q86,"²")+COUNTIF($E86:Q86,"µ")+COUNTIF($E86:Q86,1),ColLivraison)=R$6,
  VLOOKUP($E86,INDIRECT("tri!"&amp; CHAR(64+ C0Col) &amp;":"&amp; CHAR(65+C0Col)),2,FALSE)&gt;COUNTIF($E86:Q86,"u")+COUNTIF($E86:Q86,"t")+COUNTIF($E86:Q86,"¶")+COUNTIF($E86:Q86,"²")+COUNTIF($E86:Q86,"µ")+COUNTIF($E86:Q86,1)),
HYPERLINK("#Roadmap!C"&amp; MATCH($E86,Roadmap!$D:$D,0)+COUNTIF($E86:Q86,"u")+COUNTIF($E86:Q86,"t"),
     INDEX(Roadmap!$D:$K,MATCH($E86,Roadmap!$D:$D,0)+COUNTIF($E86:Q86,"u")+COUNTIF($E86:Q86,"t")+COUNTIF($E86:Q86,"¶")+COUNTIF($E86:Q86,"²")+COUNTIF($E86:Q86,"µ")+COUNTIF($E86:Q86,1),ColTypeEcheance)),
  IF(LEN(Q86)=1,
  IF(LEN(INDEX(Roadmap!$D:$K,MATCH($E86,Roadmap!$D:$D,0)-1+COUNTIF($E86:Q86,"u")+COUNTIF($E86:Q86,"t")+COUNTIF($E86:Q86,"¶")+COUNTIF($E86:Q86,"²")+COUNTIF($E86:Q86,"µ")+COUNTIF($E86:Q86,1),ColDescriptionCourte))&gt;1,
HYPERLINK("#Roadmap!C"&amp; MATCH($E86,Roadmap!$D:$D,0)+COUNTIF($E86:Q86,"u")+COUNTIF($E86:Q86,"t")+COUNTIF($E86:Q86,"¶")+COUNTIF($E86:Q86,"²")+COUNTIF($E86:Q86,"µ")+COUNTIF($E86:Q86,1)-1,INDEX(Roadmap!$D:$K,MATCH($E86,Roadmap!$D:$D,0)-1+COUNTIF($E86:Q86,"u")+COUNTIF($E86:Q86,"t")+COUNTIF($E86:Q86,"¶")+COUNTIF($E86:Q86,"²")+COUNTIF($E86:Q86,"µ")+COUNTIF($E86:Q86,1),ColDescriptionCourte)),""),
  "")),"")</f>
        <v/>
      </c>
      <c r="S86" s="40" t="str">
        <f ca="1">IFERROR(IF(AND(
  INDEX(Roadmap!$D:$K,MATCH($E86,Roadmap!$D:$D,0)+COUNTIF($E86:R86,"u")+COUNTIF($E86:R86,"t")+COUNTIF($E86:R86,"¶")+COUNTIF($E86:R86,"²")+COUNTIF($E86:R86,"µ")+COUNTIF($E86:R86,1),ColLivraison)=S$6,
  VLOOKUP($E86,INDIRECT("tri!"&amp; CHAR(64+ C0Col) &amp;":"&amp; CHAR(65+C0Col)),2,FALSE)&gt;COUNTIF($E86:R86,"u")+COUNTIF($E86:R86,"t")+COUNTIF($E86:R86,"¶")+COUNTIF($E86:R86,"²")+COUNTIF($E86:R86,"µ")+COUNTIF($E86:R86,1)),
HYPERLINK("#Roadmap!C"&amp; MATCH($E86,Roadmap!$D:$D,0)+COUNTIF($E86:R86,"u")+COUNTIF($E86:R86,"t"),
     INDEX(Roadmap!$D:$K,MATCH($E86,Roadmap!$D:$D,0)+COUNTIF($E86:R86,"u")+COUNTIF($E86:R86,"t")+COUNTIF($E86:R86,"¶")+COUNTIF($E86:R86,"²")+COUNTIF($E86:R86,"µ")+COUNTIF($E86:R86,1),ColTypeEcheance)),
  IF(LEN(R86)=1,
  IF(LEN(INDEX(Roadmap!$D:$K,MATCH($E86,Roadmap!$D:$D,0)-1+COUNTIF($E86:R86,"u")+COUNTIF($E86:R86,"t")+COUNTIF($E86:R86,"¶")+COUNTIF($E86:R86,"²")+COUNTIF($E86:R86,"µ")+COUNTIF($E86:R86,1),ColDescriptionCourte))&gt;1,
HYPERLINK("#Roadmap!C"&amp; MATCH($E86,Roadmap!$D:$D,0)+COUNTIF($E86:R86,"u")+COUNTIF($E86:R86,"t")+COUNTIF($E86:R86,"¶")+COUNTIF($E86:R86,"²")+COUNTIF($E86:R86,"µ")+COUNTIF($E86:R86,1)-1,INDEX(Roadmap!$D:$K,MATCH($E86,Roadmap!$D:$D,0)-1+COUNTIF($E86:R86,"u")+COUNTIF($E86:R86,"t")+COUNTIF($E86:R86,"¶")+COUNTIF($E86:R86,"²")+COUNTIF($E86:R86,"µ")+COUNTIF($E86:R86,1),ColDescriptionCourte)),""),
  "")),"")</f>
        <v/>
      </c>
      <c r="T86" s="40" t="str">
        <f ca="1">IFERROR(IF(AND(
  INDEX(Roadmap!$D:$K,MATCH($E86,Roadmap!$D:$D,0)+COUNTIF($E86:S86,"u")+COUNTIF($E86:S86,"t")+COUNTIF($E86:S86,"¶")+COUNTIF($E86:S86,"²")+COUNTIF($E86:S86,"µ")+COUNTIF($E86:S86,1),ColLivraison)=T$6,
  VLOOKUP($E86,INDIRECT("tri!"&amp; CHAR(64+ C0Col) &amp;":"&amp; CHAR(65+C0Col)),2,FALSE)&gt;COUNTIF($E86:S86,"u")+COUNTIF($E86:S86,"t")+COUNTIF($E86:S86,"¶")+COUNTIF($E86:S86,"²")+COUNTIF($E86:S86,"µ")+COUNTIF($E86:S86,1)),
HYPERLINK("#Roadmap!C"&amp; MATCH($E86,Roadmap!$D:$D,0)+COUNTIF($E86:S86,"u")+COUNTIF($E86:S86,"t"),
     INDEX(Roadmap!$D:$K,MATCH($E86,Roadmap!$D:$D,0)+COUNTIF($E86:S86,"u")+COUNTIF($E86:S86,"t")+COUNTIF($E86:S86,"¶")+COUNTIF($E86:S86,"²")+COUNTIF($E86:S86,"µ")+COUNTIF($E86:S86,1),ColTypeEcheance)),
  IF(LEN(S86)=1,
  IF(LEN(INDEX(Roadmap!$D:$K,MATCH($E86,Roadmap!$D:$D,0)-1+COUNTIF($E86:S86,"u")+COUNTIF($E86:S86,"t")+COUNTIF($E86:S86,"¶")+COUNTIF($E86:S86,"²")+COUNTIF($E86:S86,"µ")+COUNTIF($E86:S86,1),ColDescriptionCourte))&gt;1,
HYPERLINK("#Roadmap!C"&amp; MATCH($E86,Roadmap!$D:$D,0)+COUNTIF($E86:S86,"u")+COUNTIF($E86:S86,"t")+COUNTIF($E86:S86,"¶")+COUNTIF($E86:S86,"²")+COUNTIF($E86:S86,"µ")+COUNTIF($E86:S86,1)-1,INDEX(Roadmap!$D:$K,MATCH($E86,Roadmap!$D:$D,0)-1+COUNTIF($E86:S86,"u")+COUNTIF($E86:S86,"t")+COUNTIF($E86:S86,"¶")+COUNTIF($E86:S86,"²")+COUNTIF($E86:S86,"µ")+COUNTIF($E86:S86,1),ColDescriptionCourte)),""),
  "")),"")</f>
        <v/>
      </c>
      <c r="U86" s="40" t="str">
        <f ca="1">IFERROR(IF(AND(
  INDEX(Roadmap!$D:$K,MATCH($E86,Roadmap!$D:$D,0)+COUNTIF($E86:T86,"u")+COUNTIF($E86:T86,"t")+COUNTIF($E86:T86,"¶")+COUNTIF($E86:T86,"²")+COUNTIF($E86:T86,"µ")+COUNTIF($E86:T86,1),ColLivraison)=U$6,
  VLOOKUP($E86,INDIRECT("tri!"&amp; CHAR(64+ C0Col) &amp;":"&amp; CHAR(65+C0Col)),2,FALSE)&gt;COUNTIF($E86:T86,"u")+COUNTIF($E86:T86,"t")+COUNTIF($E86:T86,"¶")+COUNTIF($E86:T86,"²")+COUNTIF($E86:T86,"µ")+COUNTIF($E86:T86,1)),
HYPERLINK("#Roadmap!C"&amp; MATCH($E86,Roadmap!$D:$D,0)+COUNTIF($E86:T86,"u")+COUNTIF($E86:T86,"t"),
     INDEX(Roadmap!$D:$K,MATCH($E86,Roadmap!$D:$D,0)+COUNTIF($E86:T86,"u")+COUNTIF($E86:T86,"t")+COUNTIF($E86:T86,"¶")+COUNTIF($E86:T86,"²")+COUNTIF($E86:T86,"µ")+COUNTIF($E86:T86,1),ColTypeEcheance)),
  IF(LEN(T86)=1,
  IF(LEN(INDEX(Roadmap!$D:$K,MATCH($E86,Roadmap!$D:$D,0)-1+COUNTIF($E86:T86,"u")+COUNTIF($E86:T86,"t")+COUNTIF($E86:T86,"¶")+COUNTIF($E86:T86,"²")+COUNTIF($E86:T86,"µ")+COUNTIF($E86:T86,1),ColDescriptionCourte))&gt;1,
HYPERLINK("#Roadmap!C"&amp; MATCH($E86,Roadmap!$D:$D,0)+COUNTIF($E86:T86,"u")+COUNTIF($E86:T86,"t")+COUNTIF($E86:T86,"¶")+COUNTIF($E86:T86,"²")+COUNTIF($E86:T86,"µ")+COUNTIF($E86:T86,1)-1,INDEX(Roadmap!$D:$K,MATCH($E86,Roadmap!$D:$D,0)-1+COUNTIF($E86:T86,"u")+COUNTIF($E86:T86,"t")+COUNTIF($E86:T86,"¶")+COUNTIF($E86:T86,"²")+COUNTIF($E86:T86,"µ")+COUNTIF($E86:T86,1),ColDescriptionCourte)),""),
  "")),"")</f>
        <v/>
      </c>
      <c r="V86" s="40" t="str">
        <f ca="1">IFERROR(IF(AND(
  INDEX(Roadmap!$D:$K,MATCH($E86,Roadmap!$D:$D,0)+COUNTIF($E86:U86,"u")+COUNTIF($E86:U86,"t")+COUNTIF($E86:U86,"¶")+COUNTIF($E86:U86,"²")+COUNTIF($E86:U86,"µ")+COUNTIF($E86:U86,1),ColLivraison)=V$6,
  VLOOKUP($E86,INDIRECT("tri!"&amp; CHAR(64+ C0Col) &amp;":"&amp; CHAR(65+C0Col)),2,FALSE)&gt;COUNTIF($E86:U86,"u")+COUNTIF($E86:U86,"t")+COUNTIF($E86:U86,"¶")+COUNTIF($E86:U86,"²")+COUNTIF($E86:U86,"µ")+COUNTIF($E86:U86,1)),
HYPERLINK("#Roadmap!C"&amp; MATCH($E86,Roadmap!$D:$D,0)+COUNTIF($E86:U86,"u")+COUNTIF($E86:U86,"t"),
     INDEX(Roadmap!$D:$K,MATCH($E86,Roadmap!$D:$D,0)+COUNTIF($E86:U86,"u")+COUNTIF($E86:U86,"t")+COUNTIF($E86:U86,"¶")+COUNTIF($E86:U86,"²")+COUNTIF($E86:U86,"µ")+COUNTIF($E86:U86,1),ColTypeEcheance)),
  IF(LEN(U86)=1,
  IF(LEN(INDEX(Roadmap!$D:$K,MATCH($E86,Roadmap!$D:$D,0)-1+COUNTIF($E86:U86,"u")+COUNTIF($E86:U86,"t")+COUNTIF($E86:U86,"¶")+COUNTIF($E86:U86,"²")+COUNTIF($E86:U86,"µ")+COUNTIF($E86:U86,1),ColDescriptionCourte))&gt;1,
HYPERLINK("#Roadmap!C"&amp; MATCH($E86,Roadmap!$D:$D,0)+COUNTIF($E86:U86,"u")+COUNTIF($E86:U86,"t")+COUNTIF($E86:U86,"¶")+COUNTIF($E86:U86,"²")+COUNTIF($E86:U86,"µ")+COUNTIF($E86:U86,1)-1,INDEX(Roadmap!$D:$K,MATCH($E86,Roadmap!$D:$D,0)-1+COUNTIF($E86:U86,"u")+COUNTIF($E86:U86,"t")+COUNTIF($E86:U86,"¶")+COUNTIF($E86:U86,"²")+COUNTIF($E86:U86,"µ")+COUNTIF($E86:U86,1),ColDescriptionCourte)),""),
  "")),"")</f>
        <v/>
      </c>
      <c r="W86" s="40" t="str">
        <f ca="1">IFERROR(IF(AND(
  INDEX(Roadmap!$D:$K,MATCH($E86,Roadmap!$D:$D,0)+COUNTIF($E86:V86,"u")+COUNTIF($E86:V86,"t")+COUNTIF($E86:V86,"¶")+COUNTIF($E86:V86,"²")+COUNTIF($E86:V86,"µ")+COUNTIF($E86:V86,1),ColLivraison)=W$6,
  VLOOKUP($E86,INDIRECT("tri!"&amp; CHAR(64+ C0Col) &amp;":"&amp; CHAR(65+C0Col)),2,FALSE)&gt;COUNTIF($E86:V86,"u")+COUNTIF($E86:V86,"t")+COUNTIF($E86:V86,"¶")+COUNTIF($E86:V86,"²")+COUNTIF($E86:V86,"µ")+COUNTIF($E86:V86,1)),
HYPERLINK("#Roadmap!C"&amp; MATCH($E86,Roadmap!$D:$D,0)+COUNTIF($E86:V86,"u")+COUNTIF($E86:V86,"t"),
     INDEX(Roadmap!$D:$K,MATCH($E86,Roadmap!$D:$D,0)+COUNTIF($E86:V86,"u")+COUNTIF($E86:V86,"t")+COUNTIF($E86:V86,"¶")+COUNTIF($E86:V86,"²")+COUNTIF($E86:V86,"µ")+COUNTIF($E86:V86,1),ColTypeEcheance)),
  IF(LEN(V86)=1,
  IF(LEN(INDEX(Roadmap!$D:$K,MATCH($E86,Roadmap!$D:$D,0)-1+COUNTIF($E86:V86,"u")+COUNTIF($E86:V86,"t")+COUNTIF($E86:V86,"¶")+COUNTIF($E86:V86,"²")+COUNTIF($E86:V86,"µ")+COUNTIF($E86:V86,1),ColDescriptionCourte))&gt;1,
HYPERLINK("#Roadmap!C"&amp; MATCH($E86,Roadmap!$D:$D,0)+COUNTIF($E86:V86,"u")+COUNTIF($E86:V86,"t")+COUNTIF($E86:V86,"¶")+COUNTIF($E86:V86,"²")+COUNTIF($E86:V86,"µ")+COUNTIF($E86:V86,1)-1,INDEX(Roadmap!$D:$K,MATCH($E86,Roadmap!$D:$D,0)-1+COUNTIF($E86:V86,"u")+COUNTIF($E86:V86,"t")+COUNTIF($E86:V86,"¶")+COUNTIF($E86:V86,"²")+COUNTIF($E86:V86,"µ")+COUNTIF($E86:V86,1),ColDescriptionCourte)),""),
  "")),"")</f>
        <v/>
      </c>
      <c r="X86" s="40" t="str">
        <f ca="1">IFERROR(IF(AND(
  INDEX(Roadmap!$D:$K,MATCH($E86,Roadmap!$D:$D,0)+COUNTIF($E86:W86,"u")+COUNTIF($E86:W86,"t")+COUNTIF($E86:W86,"¶")+COUNTIF($E86:W86,"²")+COUNTIF($E86:W86,"µ")+COUNTIF($E86:W86,1),ColLivraison)=X$6,
  VLOOKUP($E86,INDIRECT("tri!"&amp; CHAR(64+ C0Col) &amp;":"&amp; CHAR(65+C0Col)),2,FALSE)&gt;COUNTIF($E86:W86,"u")+COUNTIF($E86:W86,"t")+COUNTIF($E86:W86,"¶")+COUNTIF($E86:W86,"²")+COUNTIF($E86:W86,"µ")+COUNTIF($E86:W86,1)),
HYPERLINK("#Roadmap!C"&amp; MATCH($E86,Roadmap!$D:$D,0)+COUNTIF($E86:W86,"u")+COUNTIF($E86:W86,"t"),
     INDEX(Roadmap!$D:$K,MATCH($E86,Roadmap!$D:$D,0)+COUNTIF($E86:W86,"u")+COUNTIF($E86:W86,"t")+COUNTIF($E86:W86,"¶")+COUNTIF($E86:W86,"²")+COUNTIF($E86:W86,"µ")+COUNTIF($E86:W86,1),ColTypeEcheance)),
  IF(LEN(W86)=1,
  IF(LEN(INDEX(Roadmap!$D:$K,MATCH($E86,Roadmap!$D:$D,0)-1+COUNTIF($E86:W86,"u")+COUNTIF($E86:W86,"t")+COUNTIF($E86:W86,"¶")+COUNTIF($E86:W86,"²")+COUNTIF($E86:W86,"µ")+COUNTIF($E86:W86,1),ColDescriptionCourte))&gt;1,
HYPERLINK("#Roadmap!C"&amp; MATCH($E86,Roadmap!$D:$D,0)+COUNTIF($E86:W86,"u")+COUNTIF($E86:W86,"t")+COUNTIF($E86:W86,"¶")+COUNTIF($E86:W86,"²")+COUNTIF($E86:W86,"µ")+COUNTIF($E86:W86,1)-1,INDEX(Roadmap!$D:$K,MATCH($E86,Roadmap!$D:$D,0)-1+COUNTIF($E86:W86,"u")+COUNTIF($E86:W86,"t")+COUNTIF($E86:W86,"¶")+COUNTIF($E86:W86,"²")+COUNTIF($E86:W86,"µ")+COUNTIF($E86:W86,1),ColDescriptionCourte)),""),
  "")),"")</f>
        <v/>
      </c>
      <c r="Y86" s="40" t="str">
        <f ca="1">IFERROR(IF(AND(
  INDEX(Roadmap!$D:$K,MATCH($E86,Roadmap!$D:$D,0)+COUNTIF($E86:X86,"u")+COUNTIF($E86:X86,"t")+COUNTIF($E86:X86,"¶")+COUNTIF($E86:X86,"²")+COUNTIF($E86:X86,"µ")+COUNTIF($E86:X86,1),ColLivraison)=Y$6,
  VLOOKUP($E86,INDIRECT("tri!"&amp; CHAR(64+ C0Col) &amp;":"&amp; CHAR(65+C0Col)),2,FALSE)&gt;COUNTIF($E86:X86,"u")+COUNTIF($E86:X86,"t")+COUNTIF($E86:X86,"¶")+COUNTIF($E86:X86,"²")+COUNTIF($E86:X86,"µ")+COUNTIF($E86:X86,1)),
HYPERLINK("#Roadmap!C"&amp; MATCH($E86,Roadmap!$D:$D,0)+COUNTIF($E86:X86,"u")+COUNTIF($E86:X86,"t"),
     INDEX(Roadmap!$D:$K,MATCH($E86,Roadmap!$D:$D,0)+COUNTIF($E86:X86,"u")+COUNTIF($E86:X86,"t")+COUNTIF($E86:X86,"¶")+COUNTIF($E86:X86,"²")+COUNTIF($E86:X86,"µ")+COUNTIF($E86:X86,1),ColTypeEcheance)),
  IF(LEN(X86)=1,
  IF(LEN(INDEX(Roadmap!$D:$K,MATCH($E86,Roadmap!$D:$D,0)-1+COUNTIF($E86:X86,"u")+COUNTIF($E86:X86,"t")+COUNTIF($E86:X86,"¶")+COUNTIF($E86:X86,"²")+COUNTIF($E86:X86,"µ")+COUNTIF($E86:X86,1),ColDescriptionCourte))&gt;1,
HYPERLINK("#Roadmap!C"&amp; MATCH($E86,Roadmap!$D:$D,0)+COUNTIF($E86:X86,"u")+COUNTIF($E86:X86,"t")+COUNTIF($E86:X86,"¶")+COUNTIF($E86:X86,"²")+COUNTIF($E86:X86,"µ")+COUNTIF($E86:X86,1)-1,INDEX(Roadmap!$D:$K,MATCH($E86,Roadmap!$D:$D,0)-1+COUNTIF($E86:X86,"u")+COUNTIF($E86:X86,"t")+COUNTIF($E86:X86,"¶")+COUNTIF($E86:X86,"²")+COUNTIF($E86:X86,"µ")+COUNTIF($E86:X86,1),ColDescriptionCourte)),""),
  "")),"")</f>
        <v/>
      </c>
      <c r="Z86" s="40" t="str">
        <f ca="1">IFERROR(IF(AND(
  INDEX(Roadmap!$D:$K,MATCH($E86,Roadmap!$D:$D,0)+COUNTIF($E86:Y86,"u")+COUNTIF($E86:Y86,"t")+COUNTIF($E86:Y86,"¶")+COUNTIF($E86:Y86,"²")+COUNTIF($E86:Y86,"µ")+COUNTIF($E86:Y86,1),ColLivraison)=Z$6,
  VLOOKUP($E86,INDIRECT("tri!"&amp; CHAR(64+ C0Col) &amp;":"&amp; CHAR(65+C0Col)),2,FALSE)&gt;COUNTIF($E86:Y86,"u")+COUNTIF($E86:Y86,"t")+COUNTIF($E86:Y86,"¶")+COUNTIF($E86:Y86,"²")+COUNTIF($E86:Y86,"µ")+COUNTIF($E86:Y86,1)),
HYPERLINK("#Roadmap!C"&amp; MATCH($E86,Roadmap!$D:$D,0)+COUNTIF($E86:Y86,"u")+COUNTIF($E86:Y86,"t"),
     INDEX(Roadmap!$D:$K,MATCH($E86,Roadmap!$D:$D,0)+COUNTIF($E86:Y86,"u")+COUNTIF($E86:Y86,"t")+COUNTIF($E86:Y86,"¶")+COUNTIF($E86:Y86,"²")+COUNTIF($E86:Y86,"µ")+COUNTIF($E86:Y86,1),ColTypeEcheance)),
  IF(LEN(Y86)=1,
  IF(LEN(INDEX(Roadmap!$D:$K,MATCH($E86,Roadmap!$D:$D,0)-1+COUNTIF($E86:Y86,"u")+COUNTIF($E86:Y86,"t")+COUNTIF($E86:Y86,"¶")+COUNTIF($E86:Y86,"²")+COUNTIF($E86:Y86,"µ")+COUNTIF($E86:Y86,1),ColDescriptionCourte))&gt;1,
HYPERLINK("#Roadmap!C"&amp; MATCH($E86,Roadmap!$D:$D,0)+COUNTIF($E86:Y86,"u")+COUNTIF($E86:Y86,"t")+COUNTIF($E86:Y86,"¶")+COUNTIF($E86:Y86,"²")+COUNTIF($E86:Y86,"µ")+COUNTIF($E86:Y86,1)-1,INDEX(Roadmap!$D:$K,MATCH($E86,Roadmap!$D:$D,0)-1+COUNTIF($E86:Y86,"u")+COUNTIF($E86:Y86,"t")+COUNTIF($E86:Y86,"¶")+COUNTIF($E86:Y86,"²")+COUNTIF($E86:Y86,"µ")+COUNTIF($E86:Y86,1),ColDescriptionCourte)),""),
  "")),"")</f>
        <v/>
      </c>
      <c r="AA86" s="40" t="str">
        <f ca="1">IFERROR(IF(AND(
  INDEX(Roadmap!$D:$K,MATCH($E86,Roadmap!$D:$D,0)+COUNTIF($E86:Z86,"u")+COUNTIF($E86:Z86,"t")+COUNTIF($E86:Z86,"¶")+COUNTIF($E86:Z86,"²")+COUNTIF($E86:Z86,"µ")+COUNTIF($E86:Z86,1),ColLivraison)=AA$6,
  VLOOKUP($E86,INDIRECT("tri!"&amp; CHAR(64+ C0Col) &amp;":"&amp; CHAR(65+C0Col)),2,FALSE)&gt;COUNTIF($E86:Z86,"u")+COUNTIF($E86:Z86,"t")+COUNTIF($E86:Z86,"¶")+COUNTIF($E86:Z86,"²")+COUNTIF($E86:Z86,"µ")+COUNTIF($E86:Z86,1)),
HYPERLINK("#Roadmap!C"&amp; MATCH($E86,Roadmap!$D:$D,0)+COUNTIF($E86:Z86,"u")+COUNTIF($E86:Z86,"t"),
     INDEX(Roadmap!$D:$K,MATCH($E86,Roadmap!$D:$D,0)+COUNTIF($E86:Z86,"u")+COUNTIF($E86:Z86,"t")+COUNTIF($E86:Z86,"¶")+COUNTIF($E86:Z86,"²")+COUNTIF($E86:Z86,"µ")+COUNTIF($E86:Z86,1),ColTypeEcheance)),
  IF(LEN(Z86)=1,
  IF(LEN(INDEX(Roadmap!$D:$K,MATCH($E86,Roadmap!$D:$D,0)-1+COUNTIF($E86:Z86,"u")+COUNTIF($E86:Z86,"t")+COUNTIF($E86:Z86,"¶")+COUNTIF($E86:Z86,"²")+COUNTIF($E86:Z86,"µ")+COUNTIF($E86:Z86,1),ColDescriptionCourte))&gt;1,
HYPERLINK("#Roadmap!C"&amp; MATCH($E86,Roadmap!$D:$D,0)+COUNTIF($E86:Z86,"u")+COUNTIF($E86:Z86,"t")+COUNTIF($E86:Z86,"¶")+COUNTIF($E86:Z86,"²")+COUNTIF($E86:Z86,"µ")+COUNTIF($E86:Z86,1)-1,INDEX(Roadmap!$D:$K,MATCH($E86,Roadmap!$D:$D,0)-1+COUNTIF($E86:Z86,"u")+COUNTIF($E86:Z86,"t")+COUNTIF($E86:Z86,"¶")+COUNTIF($E86:Z86,"²")+COUNTIF($E86:Z86,"µ")+COUNTIF($E86:Z86,1),ColDescriptionCourte)),""),
  "")),"")</f>
        <v/>
      </c>
      <c r="AB86" s="40" t="str">
        <f ca="1">IFERROR(IF(AND(
  INDEX(Roadmap!$D:$K,MATCH($E86,Roadmap!$D:$D,0)+COUNTIF($E86:AA86,"u")+COUNTIF($E86:AA86,"t")+COUNTIF($E86:AA86,"¶")+COUNTIF($E86:AA86,"²")+COUNTIF($E86:AA86,"µ")+COUNTIF($E86:AA86,1),ColLivraison)=AB$6,
  VLOOKUP($E86,INDIRECT("tri!"&amp; CHAR(64+ C0Col) &amp;":"&amp; CHAR(65+C0Col)),2,FALSE)&gt;COUNTIF($E86:AA86,"u")+COUNTIF($E86:AA86,"t")+COUNTIF($E86:AA86,"¶")+COUNTIF($E86:AA86,"²")+COUNTIF($E86:AA86,"µ")+COUNTIF($E86:AA86,1)),
HYPERLINK("#Roadmap!C"&amp; MATCH($E86,Roadmap!$D:$D,0)+COUNTIF($E86:AA86,"u")+COUNTIF($E86:AA86,"t"),
     INDEX(Roadmap!$D:$K,MATCH($E86,Roadmap!$D:$D,0)+COUNTIF($E86:AA86,"u")+COUNTIF($E86:AA86,"t")+COUNTIF($E86:AA86,"¶")+COUNTIF($E86:AA86,"²")+COUNTIF($E86:AA86,"µ")+COUNTIF($E86:AA86,1),ColTypeEcheance)),
  IF(LEN(AA86)=1,
  IF(LEN(INDEX(Roadmap!$D:$K,MATCH($E86,Roadmap!$D:$D,0)-1+COUNTIF($E86:AA86,"u")+COUNTIF($E86:AA86,"t")+COUNTIF($E86:AA86,"¶")+COUNTIF($E86:AA86,"²")+COUNTIF($E86:AA86,"µ")+COUNTIF($E86:AA86,1),ColDescriptionCourte))&gt;1,
HYPERLINK("#Roadmap!C"&amp; MATCH($E86,Roadmap!$D:$D,0)+COUNTIF($E86:AA86,"u")+COUNTIF($E86:AA86,"t")+COUNTIF($E86:AA86,"¶")+COUNTIF($E86:AA86,"²")+COUNTIF($E86:AA86,"µ")+COUNTIF($E86:AA86,1)-1,INDEX(Roadmap!$D:$K,MATCH($E86,Roadmap!$D:$D,0)-1+COUNTIF($E86:AA86,"u")+COUNTIF($E86:AA86,"t")+COUNTIF($E86:AA86,"¶")+COUNTIF($E86:AA86,"²")+COUNTIF($E86:AA86,"µ")+COUNTIF($E86:AA86,1),ColDescriptionCourte)),""),
  "")),"")</f>
        <v/>
      </c>
      <c r="AC86" s="40" t="str">
        <f ca="1">IFERROR(IF(AND(
  INDEX(Roadmap!$D:$K,MATCH($E86,Roadmap!$D:$D,0)+COUNTIF($E86:AB86,"u")+COUNTIF($E86:AB86,"t")+COUNTIF($E86:AB86,"¶")+COUNTIF($E86:AB86,"²")+COUNTIF($E86:AB86,"µ")+COUNTIF($E86:AB86,1),ColLivraison)=AC$6,
  VLOOKUP($E86,INDIRECT("tri!"&amp; CHAR(64+ C0Col) &amp;":"&amp; CHAR(65+C0Col)),2,FALSE)&gt;COUNTIF($E86:AB86,"u")+COUNTIF($E86:AB86,"t")+COUNTIF($E86:AB86,"¶")+COUNTIF($E86:AB86,"²")+COUNTIF($E86:AB86,"µ")+COUNTIF($E86:AB86,1)),
HYPERLINK("#Roadmap!C"&amp; MATCH($E86,Roadmap!$D:$D,0)+COUNTIF($E86:AB86,"u")+COUNTIF($E86:AB86,"t"),
     INDEX(Roadmap!$D:$K,MATCH($E86,Roadmap!$D:$D,0)+COUNTIF($E86:AB86,"u")+COUNTIF($E86:AB86,"t")+COUNTIF($E86:AB86,"¶")+COUNTIF($E86:AB86,"²")+COUNTIF($E86:AB86,"µ")+COUNTIF($E86:AB86,1),ColTypeEcheance)),
  IF(LEN(AB86)=1,
  IF(LEN(INDEX(Roadmap!$D:$K,MATCH($E86,Roadmap!$D:$D,0)-1+COUNTIF($E86:AB86,"u")+COUNTIF($E86:AB86,"t")+COUNTIF($E86:AB86,"¶")+COUNTIF($E86:AB86,"²")+COUNTIF($E86:AB86,"µ")+COUNTIF($E86:AB86,1),ColDescriptionCourte))&gt;1,
HYPERLINK("#Roadmap!C"&amp; MATCH($E86,Roadmap!$D:$D,0)+COUNTIF($E86:AB86,"u")+COUNTIF($E86:AB86,"t")+COUNTIF($E86:AB86,"¶")+COUNTIF($E86:AB86,"²")+COUNTIF($E86:AB86,"µ")+COUNTIF($E86:AB86,1)-1,INDEX(Roadmap!$D:$K,MATCH($E86,Roadmap!$D:$D,0)-1+COUNTIF($E86:AB86,"u")+COUNTIF($E86:AB86,"t")+COUNTIF($E86:AB86,"¶")+COUNTIF($E86:AB86,"²")+COUNTIF($E86:AB86,"µ")+COUNTIF($E86:AB86,1),ColDescriptionCourte)),""),
  "")),"")</f>
        <v/>
      </c>
      <c r="AD86" s="40" t="str">
        <f ca="1">IFERROR(IF(AND(
  INDEX(Roadmap!$D:$K,MATCH($E86,Roadmap!$D:$D,0)+COUNTIF($E86:AC86,"u")+COUNTIF($E86:AC86,"t")+COUNTIF($E86:AC86,"¶")+COUNTIF($E86:AC86,"²")+COUNTIF($E86:AC86,"µ")+COUNTIF($E86:AC86,1),ColLivraison)=AD$6,
  VLOOKUP($E86,INDIRECT("tri!"&amp; CHAR(64+ C0Col) &amp;":"&amp; CHAR(65+C0Col)),2,FALSE)&gt;COUNTIF($E86:AC86,"u")+COUNTIF($E86:AC86,"t")+COUNTIF($E86:AC86,"¶")+COUNTIF($E86:AC86,"²")+COUNTIF($E86:AC86,"µ")+COUNTIF($E86:AC86,1)),
HYPERLINK("#Roadmap!C"&amp; MATCH($E86,Roadmap!$D:$D,0)+COUNTIF($E86:AC86,"u")+COUNTIF($E86:AC86,"t"),
     INDEX(Roadmap!$D:$K,MATCH($E86,Roadmap!$D:$D,0)+COUNTIF($E86:AC86,"u")+COUNTIF($E86:AC86,"t")+COUNTIF($E86:AC86,"¶")+COUNTIF($E86:AC86,"²")+COUNTIF($E86:AC86,"µ")+COUNTIF($E86:AC86,1),ColTypeEcheance)),
  IF(LEN(AC86)=1,
  IF(LEN(INDEX(Roadmap!$D:$K,MATCH($E86,Roadmap!$D:$D,0)-1+COUNTIF($E86:AC86,"u")+COUNTIF($E86:AC86,"t")+COUNTIF($E86:AC86,"¶")+COUNTIF($E86:AC86,"²")+COUNTIF($E86:AC86,"µ")+COUNTIF($E86:AC86,1),ColDescriptionCourte))&gt;1,
HYPERLINK("#Roadmap!C"&amp; MATCH($E86,Roadmap!$D:$D,0)+COUNTIF($E86:AC86,"u")+COUNTIF($E86:AC86,"t")+COUNTIF($E86:AC86,"¶")+COUNTIF($E86:AC86,"²")+COUNTIF($E86:AC86,"µ")+COUNTIF($E86:AC86,1)-1,INDEX(Roadmap!$D:$K,MATCH($E86,Roadmap!$D:$D,0)-1+COUNTIF($E86:AC86,"u")+COUNTIF($E86:AC86,"t")+COUNTIF($E86:AC86,"¶")+COUNTIF($E86:AC86,"²")+COUNTIF($E86:AC86,"µ")+COUNTIF($E86:AC86,1),ColDescriptionCourte)),""),
  "")),"")</f>
        <v/>
      </c>
      <c r="AE86" s="40" t="str">
        <f ca="1">IFERROR(IF(AND(
  INDEX(Roadmap!$D:$K,MATCH($E86,Roadmap!$D:$D,0)+COUNTIF($E86:AD86,"u")+COUNTIF($E86:AD86,"t")+COUNTIF($E86:AD86,"¶")+COUNTIF($E86:AD86,"²")+COUNTIF($E86:AD86,"µ")+COUNTIF($E86:AD86,1),ColLivraison)=AE$6,
  VLOOKUP($E86,INDIRECT("tri!"&amp; CHAR(64+ C0Col) &amp;":"&amp; CHAR(65+C0Col)),2,FALSE)&gt;COUNTIF($E86:AD86,"u")+COUNTIF($E86:AD86,"t")+COUNTIF($E86:AD86,"¶")+COUNTIF($E86:AD86,"²")+COUNTIF($E86:AD86,"µ")+COUNTIF($E86:AD86,1)),
HYPERLINK("#Roadmap!C"&amp; MATCH($E86,Roadmap!$D:$D,0)+COUNTIF($E86:AD86,"u")+COUNTIF($E86:AD86,"t"),
     INDEX(Roadmap!$D:$K,MATCH($E86,Roadmap!$D:$D,0)+COUNTIF($E86:AD86,"u")+COUNTIF($E86:AD86,"t")+COUNTIF($E86:AD86,"¶")+COUNTIF($E86:AD86,"²")+COUNTIF($E86:AD86,"µ")+COUNTIF($E86:AD86,1),ColTypeEcheance)),
  IF(LEN(AD86)=1,
  IF(LEN(INDEX(Roadmap!$D:$K,MATCH($E86,Roadmap!$D:$D,0)-1+COUNTIF($E86:AD86,"u")+COUNTIF($E86:AD86,"t")+COUNTIF($E86:AD86,"¶")+COUNTIF($E86:AD86,"²")+COUNTIF($E86:AD86,"µ")+COUNTIF($E86:AD86,1),ColDescriptionCourte))&gt;1,
HYPERLINK("#Roadmap!C"&amp; MATCH($E86,Roadmap!$D:$D,0)+COUNTIF($E86:AD86,"u")+COUNTIF($E86:AD86,"t")+COUNTIF($E86:AD86,"¶")+COUNTIF($E86:AD86,"²")+COUNTIF($E86:AD86,"µ")+COUNTIF($E86:AD86,1)-1,INDEX(Roadmap!$D:$K,MATCH($E86,Roadmap!$D:$D,0)-1+COUNTIF($E86:AD86,"u")+COUNTIF($E86:AD86,"t")+COUNTIF($E86:AD86,"¶")+COUNTIF($E86:AD86,"²")+COUNTIF($E86:AD86,"µ")+COUNTIF($E86:AD86,1),ColDescriptionCourte)),""),
  "")),"")</f>
        <v/>
      </c>
      <c r="AF86" s="40" t="str">
        <f ca="1">IFERROR(IF(AND(
  INDEX(Roadmap!$D:$K,MATCH($E86,Roadmap!$D:$D,0)+COUNTIF($E86:AE86,"u")+COUNTIF($E86:AE86,"t")+COUNTIF($E86:AE86,"¶")+COUNTIF($E86:AE86,"²")+COUNTIF($E86:AE86,"µ")+COUNTIF($E86:AE86,1),ColLivraison)=AF$6,
  VLOOKUP($E86,INDIRECT("tri!"&amp; CHAR(64+ C0Col) &amp;":"&amp; CHAR(65+C0Col)),2,FALSE)&gt;COUNTIF($E86:AE86,"u")+COUNTIF($E86:AE86,"t")+COUNTIF($E86:AE86,"¶")+COUNTIF($E86:AE86,"²")+COUNTIF($E86:AE86,"µ")+COUNTIF($E86:AE86,1)),
HYPERLINK("#Roadmap!C"&amp; MATCH($E86,Roadmap!$D:$D,0)+COUNTIF($E86:AE86,"u")+COUNTIF($E86:AE86,"t"),
     INDEX(Roadmap!$D:$K,MATCH($E86,Roadmap!$D:$D,0)+COUNTIF($E86:AE86,"u")+COUNTIF($E86:AE86,"t")+COUNTIF($E86:AE86,"¶")+COUNTIF($E86:AE86,"²")+COUNTIF($E86:AE86,"µ")+COUNTIF($E86:AE86,1),ColTypeEcheance)),
  IF(LEN(AE86)=1,
  IF(LEN(INDEX(Roadmap!$D:$K,MATCH($E86,Roadmap!$D:$D,0)-1+COUNTIF($E86:AE86,"u")+COUNTIF($E86:AE86,"t")+COUNTIF($E86:AE86,"¶")+COUNTIF($E86:AE86,"²")+COUNTIF($E86:AE86,"µ")+COUNTIF($E86:AE86,1),ColDescriptionCourte))&gt;1,
HYPERLINK("#Roadmap!C"&amp; MATCH($E86,Roadmap!$D:$D,0)+COUNTIF($E86:AE86,"u")+COUNTIF($E86:AE86,"t")+COUNTIF($E86:AE86,"¶")+COUNTIF($E86:AE86,"²")+COUNTIF($E86:AE86,"µ")+COUNTIF($E86:AE86,1)-1,INDEX(Roadmap!$D:$K,MATCH($E86,Roadmap!$D:$D,0)-1+COUNTIF($E86:AE86,"u")+COUNTIF($E86:AE86,"t")+COUNTIF($E86:AE86,"¶")+COUNTIF($E86:AE86,"²")+COUNTIF($E86:AE86,"µ")+COUNTIF($E86:AE86,1),ColDescriptionCourte)),""),
  "")),"")</f>
        <v/>
      </c>
      <c r="AG86" s="40" t="str">
        <f ca="1">IFERROR(IF(AND(
  INDEX(Roadmap!$D:$K,MATCH($E86,Roadmap!$D:$D,0)+COUNTIF($E86:AF86,"u")+COUNTIF($E86:AF86,"t")+COUNTIF($E86:AF86,"¶")+COUNTIF($E86:AF86,"²")+COUNTIF($E86:AF86,"µ")+COUNTIF($E86:AF86,1),ColLivraison)=AG$6,
  VLOOKUP($E86,INDIRECT("tri!"&amp; CHAR(64+ C0Col) &amp;":"&amp; CHAR(65+C0Col)),2,FALSE)&gt;COUNTIF($E86:AF86,"u")+COUNTIF($E86:AF86,"t")+COUNTIF($E86:AF86,"¶")+COUNTIF($E86:AF86,"²")+COUNTIF($E86:AF86,"µ")+COUNTIF($E86:AF86,1)),
HYPERLINK("#Roadmap!C"&amp; MATCH($E86,Roadmap!$D:$D,0)+COUNTIF($E86:AF86,"u")+COUNTIF($E86:AF86,"t"),
     INDEX(Roadmap!$D:$K,MATCH($E86,Roadmap!$D:$D,0)+COUNTIF($E86:AF86,"u")+COUNTIF($E86:AF86,"t")+COUNTIF($E86:AF86,"¶")+COUNTIF($E86:AF86,"²")+COUNTIF($E86:AF86,"µ")+COUNTIF($E86:AF86,1),ColTypeEcheance)),
  IF(LEN(AF86)=1,
  IF(LEN(INDEX(Roadmap!$D:$K,MATCH($E86,Roadmap!$D:$D,0)-1+COUNTIF($E86:AF86,"u")+COUNTIF($E86:AF86,"t")+COUNTIF($E86:AF86,"¶")+COUNTIF($E86:AF86,"²")+COUNTIF($E86:AF86,"µ")+COUNTIF($E86:AF86,1),ColDescriptionCourte))&gt;1,
HYPERLINK("#Roadmap!C"&amp; MATCH($E86,Roadmap!$D:$D,0)+COUNTIF($E86:AF86,"u")+COUNTIF($E86:AF86,"t")+COUNTIF($E86:AF86,"¶")+COUNTIF($E86:AF86,"²")+COUNTIF($E86:AF86,"µ")+COUNTIF($E86:AF86,1)-1,INDEX(Roadmap!$D:$K,MATCH($E86,Roadmap!$D:$D,0)-1+COUNTIF($E86:AF86,"u")+COUNTIF($E86:AF86,"t")+COUNTIF($E86:AF86,"¶")+COUNTIF($E86:AF86,"²")+COUNTIF($E86:AF86,"µ")+COUNTIF($E86:AF86,1),ColDescriptionCourte)),""),
  "")),"")</f>
        <v/>
      </c>
    </row>
    <row r="87" spans="3:33" ht="14.25" customHeight="1">
      <c r="C87" s="1" t="str">
        <f t="shared" ca="1" si="47"/>
        <v/>
      </c>
      <c r="D87" s="1" t="str">
        <f t="shared" ca="1" si="48"/>
        <v/>
      </c>
      <c r="E87" s="35" t="str">
        <f t="shared" ca="1" si="46"/>
        <v/>
      </c>
      <c r="F87" s="39" t="str">
        <f ca="1">IFERROR(IF(AND(
  INDEX(Roadmap!$D:$K,MATCH($E87,Roadmap!$D:$D,0)+COUNTIF($E87:E87,"u")+COUNTIF($E87:E87,"t")+COUNTIF($E87:E87,"¶")+COUNTIF($E87:E87,"²")+COUNTIF($E87:E87,"µ")+COUNTIF($E87:E87,1),ColLivraison)=F$6,
  VLOOKUP($E87,INDIRECT("tri!"&amp; CHAR(64+ C0Col) &amp;":"&amp; CHAR(65+C0Col)),2,FALSE)&gt;COUNTIF($E87:E87,"u")+COUNTIF($E87:E87,"t")+COUNTIF($E87:E87,"¶")+COUNTIF($E87:E87,"²")+COUNTIF($E87:E87,"µ")+COUNTIF($E87:E87,1)),
HYPERLINK("#Roadmap!C"&amp; MATCH($E87,Roadmap!$D:$D,0)+COUNTIF($E87:E87,"u")+COUNTIF($E87:E87,"t"),
     INDEX(Roadmap!$D:$K,MATCH($E87,Roadmap!$D:$D,0)+COUNTIF($E87:E87,"u")+COUNTIF($E87:E87,"t")+COUNTIF($E87:E87,"¶")+COUNTIF($E87:E87,"²")+COUNTIF($E87:E87,"µ")+COUNTIF($E87:E87,1),ColTypeEcheance)),
  IF(LEN(E87)=1,
  IF(LEN(INDEX(Roadmap!$D:$K,MATCH($E87,Roadmap!$D:$D,0)-1+COUNTIF($E87:E87,"u")+COUNTIF($E87:E87,"t")+COUNTIF($E87:E87,"¶")+COUNTIF($E87:E87,"²")+COUNTIF($E87:E87,"µ")+COUNTIF($E87:E87,1),ColDescriptionCourte))&gt;1,
HYPERLINK("#Roadmap!C"&amp; MATCH($E87,Roadmap!$D:$D,0)+COUNTIF($E87:E87,"u")+COUNTIF($E87:E87,"t")+COUNTIF($E87:E87,"¶")+COUNTIF($E87:E87,"²")+COUNTIF($E87:E87,"µ")+COUNTIF($E87:E87,1)-1,INDEX(Roadmap!$D:$K,MATCH($E87,Roadmap!$D:$D,0)-1+COUNTIF($E87:E87,"u")+COUNTIF($E87:E87,"t")+COUNTIF($E87:E87,"¶")+COUNTIF($E87:E87,"²")+COUNTIF($E87:E87,"µ")+COUNTIF($E87:E87,1),ColDescriptionCourte)),""),
  "")),"")</f>
        <v/>
      </c>
      <c r="G87" s="40" t="str">
        <f ca="1">IFERROR(IF(AND(
  INDEX(Roadmap!$D:$K,MATCH($E87,Roadmap!$D:$D,0)+COUNTIF($E87:F87,"u")+COUNTIF($E87:F87,"t")+COUNTIF($E87:F87,"¶")+COUNTIF($E87:F87,"²")+COUNTIF($E87:F87,"µ")+COUNTIF($E87:F87,1),ColLivraison)=G$6,
  VLOOKUP($E87,INDIRECT("tri!"&amp; CHAR(64+ C0Col) &amp;":"&amp; CHAR(65+C0Col)),2,FALSE)&gt;COUNTIF($E87:F87,"u")+COUNTIF($E87:F87,"t")+COUNTIF($E87:F87,"¶")+COUNTIF($E87:F87,"²")+COUNTIF($E87:F87,"µ")+COUNTIF($E87:F87,1)),
HYPERLINK("#Roadmap!C"&amp; MATCH($E87,Roadmap!$D:$D,0)+COUNTIF($E87:F87,"u")+COUNTIF($E87:F87,"t"),
     INDEX(Roadmap!$D:$K,MATCH($E87,Roadmap!$D:$D,0)+COUNTIF($E87:F87,"u")+COUNTIF($E87:F87,"t")+COUNTIF($E87:F87,"¶")+COUNTIF($E87:F87,"²")+COUNTIF($E87:F87,"µ")+COUNTIF($E87:F87,1),ColTypeEcheance)),
  IF(LEN(F87)=1,
  IF(LEN(INDEX(Roadmap!$D:$K,MATCH($E87,Roadmap!$D:$D,0)-1+COUNTIF($E87:F87,"u")+COUNTIF($E87:F87,"t")+COUNTIF($E87:F87,"¶")+COUNTIF($E87:F87,"²")+COUNTIF($E87:F87,"µ")+COUNTIF($E87:F87,1),ColDescriptionCourte))&gt;1,
HYPERLINK("#Roadmap!C"&amp; MATCH($E87,Roadmap!$D:$D,0)+COUNTIF($E87:F87,"u")+COUNTIF($E87:F87,"t")+COUNTIF($E87:F87,"¶")+COUNTIF($E87:F87,"²")+COUNTIF($E87:F87,"µ")+COUNTIF($E87:F87,1)-1,INDEX(Roadmap!$D:$K,MATCH($E87,Roadmap!$D:$D,0)-1+COUNTIF($E87:F87,"u")+COUNTIF($E87:F87,"t")+COUNTIF($E87:F87,"¶")+COUNTIF($E87:F87,"²")+COUNTIF($E87:F87,"µ")+COUNTIF($E87:F87,1),ColDescriptionCourte)),""),
  "")),"")</f>
        <v/>
      </c>
      <c r="H87" s="40" t="str">
        <f ca="1">IFERROR(IF(AND(
  INDEX(Roadmap!$D:$K,MATCH($E87,Roadmap!$D:$D,0)+COUNTIF($E87:G87,"u")+COUNTIF($E87:G87,"t")+COUNTIF($E87:G87,"¶")+COUNTIF($E87:G87,"²")+COUNTIF($E87:G87,"µ")+COUNTIF($E87:G87,1),ColLivraison)=H$6,
  VLOOKUP($E87,INDIRECT("tri!"&amp; CHAR(64+ C0Col) &amp;":"&amp; CHAR(65+C0Col)),2,FALSE)&gt;COUNTIF($E87:G87,"u")+COUNTIF($E87:G87,"t")+COUNTIF($E87:G87,"¶")+COUNTIF($E87:G87,"²")+COUNTIF($E87:G87,"µ")+COUNTIF($E87:G87,1)),
HYPERLINK("#Roadmap!C"&amp; MATCH($E87,Roadmap!$D:$D,0)+COUNTIF($E87:G87,"u")+COUNTIF($E87:G87,"t"),
     INDEX(Roadmap!$D:$K,MATCH($E87,Roadmap!$D:$D,0)+COUNTIF($E87:G87,"u")+COUNTIF($E87:G87,"t")+COUNTIF($E87:G87,"¶")+COUNTIF($E87:G87,"²")+COUNTIF($E87:G87,"µ")+COUNTIF($E87:G87,1),ColTypeEcheance)),
  IF(LEN(G87)=1,
  IF(LEN(INDEX(Roadmap!$D:$K,MATCH($E87,Roadmap!$D:$D,0)-1+COUNTIF($E87:G87,"u")+COUNTIF($E87:G87,"t")+COUNTIF($E87:G87,"¶")+COUNTIF($E87:G87,"²")+COUNTIF($E87:G87,"µ")+COUNTIF($E87:G87,1),ColDescriptionCourte))&gt;1,
HYPERLINK("#Roadmap!C"&amp; MATCH($E87,Roadmap!$D:$D,0)+COUNTIF($E87:G87,"u")+COUNTIF($E87:G87,"t")+COUNTIF($E87:G87,"¶")+COUNTIF($E87:G87,"²")+COUNTIF($E87:G87,"µ")+COUNTIF($E87:G87,1)-1,INDEX(Roadmap!$D:$K,MATCH($E87,Roadmap!$D:$D,0)-1+COUNTIF($E87:G87,"u")+COUNTIF($E87:G87,"t")+COUNTIF($E87:G87,"¶")+COUNTIF($E87:G87,"²")+COUNTIF($E87:G87,"µ")+COUNTIF($E87:G87,1),ColDescriptionCourte)),""),
  "")),"")</f>
        <v/>
      </c>
      <c r="I87" s="40" t="str">
        <f ca="1">IFERROR(IF(AND(
  INDEX(Roadmap!$D:$K,MATCH($E87,Roadmap!$D:$D,0)+COUNTIF($E87:H87,"u")+COUNTIF($E87:H87,"t")+COUNTIF($E87:H87,"¶")+COUNTIF($E87:H87,"²")+COUNTIF($E87:H87,"µ")+COUNTIF($E87:H87,1),ColLivraison)=I$6,
  VLOOKUP($E87,INDIRECT("tri!"&amp; CHAR(64+ C0Col) &amp;":"&amp; CHAR(65+C0Col)),2,FALSE)&gt;COUNTIF($E87:H87,"u")+COUNTIF($E87:H87,"t")+COUNTIF($E87:H87,"¶")+COUNTIF($E87:H87,"²")+COUNTIF($E87:H87,"µ")+COUNTIF($E87:H87,1)),
HYPERLINK("#Roadmap!C"&amp; MATCH($E87,Roadmap!$D:$D,0)+COUNTIF($E87:H87,"u")+COUNTIF($E87:H87,"t"),
     INDEX(Roadmap!$D:$K,MATCH($E87,Roadmap!$D:$D,0)+COUNTIF($E87:H87,"u")+COUNTIF($E87:H87,"t")+COUNTIF($E87:H87,"¶")+COUNTIF($E87:H87,"²")+COUNTIF($E87:H87,"µ")+COUNTIF($E87:H87,1),ColTypeEcheance)),
  IF(LEN(H87)=1,
  IF(LEN(INDEX(Roadmap!$D:$K,MATCH($E87,Roadmap!$D:$D,0)-1+COUNTIF($E87:H87,"u")+COUNTIF($E87:H87,"t")+COUNTIF($E87:H87,"¶")+COUNTIF($E87:H87,"²")+COUNTIF($E87:H87,"µ")+COUNTIF($E87:H87,1),ColDescriptionCourte))&gt;1,
HYPERLINK("#Roadmap!C"&amp; MATCH($E87,Roadmap!$D:$D,0)+COUNTIF($E87:H87,"u")+COUNTIF($E87:H87,"t")+COUNTIF($E87:H87,"¶")+COUNTIF($E87:H87,"²")+COUNTIF($E87:H87,"µ")+COUNTIF($E87:H87,1)-1,INDEX(Roadmap!$D:$K,MATCH($E87,Roadmap!$D:$D,0)-1+COUNTIF($E87:H87,"u")+COUNTIF($E87:H87,"t")+COUNTIF($E87:H87,"¶")+COUNTIF($E87:H87,"²")+COUNTIF($E87:H87,"µ")+COUNTIF($E87:H87,1),ColDescriptionCourte)),""),
  "")),"")</f>
        <v/>
      </c>
      <c r="J87" s="40" t="str">
        <f ca="1">IFERROR(IF(AND(
  INDEX(Roadmap!$D:$K,MATCH($E87,Roadmap!$D:$D,0)+COUNTIF($E87:I87,"u")+COUNTIF($E87:I87,"t")+COUNTIF($E87:I87,"¶")+COUNTIF($E87:I87,"²")+COUNTIF($E87:I87,"µ")+COUNTIF($E87:I87,1),ColLivraison)=J$6,
  VLOOKUP($E87,INDIRECT("tri!"&amp; CHAR(64+ C0Col) &amp;":"&amp; CHAR(65+C0Col)),2,FALSE)&gt;COUNTIF($E87:I87,"u")+COUNTIF($E87:I87,"t")+COUNTIF($E87:I87,"¶")+COUNTIF($E87:I87,"²")+COUNTIF($E87:I87,"µ")+COUNTIF($E87:I87,1)),
HYPERLINK("#Roadmap!C"&amp; MATCH($E87,Roadmap!$D:$D,0)+COUNTIF($E87:I87,"u")+COUNTIF($E87:I87,"t"),
     INDEX(Roadmap!$D:$K,MATCH($E87,Roadmap!$D:$D,0)+COUNTIF($E87:I87,"u")+COUNTIF($E87:I87,"t")+COUNTIF($E87:I87,"¶")+COUNTIF($E87:I87,"²")+COUNTIF($E87:I87,"µ")+COUNTIF($E87:I87,1),ColTypeEcheance)),
  IF(LEN(I87)=1,
  IF(LEN(INDEX(Roadmap!$D:$K,MATCH($E87,Roadmap!$D:$D,0)-1+COUNTIF($E87:I87,"u")+COUNTIF($E87:I87,"t")+COUNTIF($E87:I87,"¶")+COUNTIF($E87:I87,"²")+COUNTIF($E87:I87,"µ")+COUNTIF($E87:I87,1),ColDescriptionCourte))&gt;1,
HYPERLINK("#Roadmap!C"&amp; MATCH($E87,Roadmap!$D:$D,0)+COUNTIF($E87:I87,"u")+COUNTIF($E87:I87,"t")+COUNTIF($E87:I87,"¶")+COUNTIF($E87:I87,"²")+COUNTIF($E87:I87,"µ")+COUNTIF($E87:I87,1)-1,INDEX(Roadmap!$D:$K,MATCH($E87,Roadmap!$D:$D,0)-1+COUNTIF($E87:I87,"u")+COUNTIF($E87:I87,"t")+COUNTIF($E87:I87,"¶")+COUNTIF($E87:I87,"²")+COUNTIF($E87:I87,"µ")+COUNTIF($E87:I87,1),ColDescriptionCourte)),""),
  "")),"")</f>
        <v/>
      </c>
      <c r="K87" s="40" t="str">
        <f ca="1">IFERROR(IF(AND(
  INDEX(Roadmap!$D:$K,MATCH($E87,Roadmap!$D:$D,0)+COUNTIF($E87:J87,"u")+COUNTIF($E87:J87,"t")+COUNTIF($E87:J87,"¶")+COUNTIF($E87:J87,"²")+COUNTIF($E87:J87,"µ")+COUNTIF($E87:J87,1),ColLivraison)=K$6,
  VLOOKUP($E87,INDIRECT("tri!"&amp; CHAR(64+ C0Col) &amp;":"&amp; CHAR(65+C0Col)),2,FALSE)&gt;COUNTIF($E87:J87,"u")+COUNTIF($E87:J87,"t")+COUNTIF($E87:J87,"¶")+COUNTIF($E87:J87,"²")+COUNTIF($E87:J87,"µ")+COUNTIF($E87:J87,1)),
HYPERLINK("#Roadmap!C"&amp; MATCH($E87,Roadmap!$D:$D,0)+COUNTIF($E87:J87,"u")+COUNTIF($E87:J87,"t"),
     INDEX(Roadmap!$D:$K,MATCH($E87,Roadmap!$D:$D,0)+COUNTIF($E87:J87,"u")+COUNTIF($E87:J87,"t")+COUNTIF($E87:J87,"¶")+COUNTIF($E87:J87,"²")+COUNTIF($E87:J87,"µ")+COUNTIF($E87:J87,1),ColTypeEcheance)),
  IF(LEN(J87)=1,
  IF(LEN(INDEX(Roadmap!$D:$K,MATCH($E87,Roadmap!$D:$D,0)-1+COUNTIF($E87:J87,"u")+COUNTIF($E87:J87,"t")+COUNTIF($E87:J87,"¶")+COUNTIF($E87:J87,"²")+COUNTIF($E87:J87,"µ")+COUNTIF($E87:J87,1),ColDescriptionCourte))&gt;1,
HYPERLINK("#Roadmap!C"&amp; MATCH($E87,Roadmap!$D:$D,0)+COUNTIF($E87:J87,"u")+COUNTIF($E87:J87,"t")+COUNTIF($E87:J87,"¶")+COUNTIF($E87:J87,"²")+COUNTIF($E87:J87,"µ")+COUNTIF($E87:J87,1)-1,INDEX(Roadmap!$D:$K,MATCH($E87,Roadmap!$D:$D,0)-1+COUNTIF($E87:J87,"u")+COUNTIF($E87:J87,"t")+COUNTIF($E87:J87,"¶")+COUNTIF($E87:J87,"²")+COUNTIF($E87:J87,"µ")+COUNTIF($E87:J87,1),ColDescriptionCourte)),""),
  "")),"")</f>
        <v/>
      </c>
      <c r="L87" s="39" t="str">
        <f ca="1">IFERROR(IF(AND(
  INDEX(Roadmap!$D:$K,MATCH($E87,Roadmap!$D:$D,0)+COUNTIF($E87:K87,"u")+COUNTIF($E87:K87,"t")+COUNTIF($E87:K87,"¶")+COUNTIF($E87:K87,"²")+COUNTIF($E87:K87,"µ")+COUNTIF($E87:K87,1),ColLivraison)=L$6,
  VLOOKUP($E87,INDIRECT("tri!"&amp; CHAR(64+ C0Col) &amp;":"&amp; CHAR(65+C0Col)),2,FALSE)&gt;COUNTIF($E87:K87,"u")+COUNTIF($E87:K87,"t")+COUNTIF($E87:K87,"¶")+COUNTIF($E87:K87,"²")+COUNTIF($E87:K87,"µ")+COUNTIF($E87:K87,1)),
HYPERLINK("#Roadmap!C"&amp; MATCH($E87,Roadmap!$D:$D,0)+COUNTIF($E87:K87,"u")+COUNTIF($E87:K87,"t"),
     INDEX(Roadmap!$D:$K,MATCH($E87,Roadmap!$D:$D,0)+COUNTIF($E87:K87,"u")+COUNTIF($E87:K87,"t")+COUNTIF($E87:K87,"¶")+COUNTIF($E87:K87,"²")+COUNTIF($E87:K87,"µ")+COUNTIF($E87:K87,1),ColTypeEcheance)),
  IF(LEN(K87)=1,
  IF(LEN(INDEX(Roadmap!$D:$K,MATCH($E87,Roadmap!$D:$D,0)-1+COUNTIF($E87:K87,"u")+COUNTIF($E87:K87,"t")+COUNTIF($E87:K87,"¶")+COUNTIF($E87:K87,"²")+COUNTIF($E87:K87,"µ")+COUNTIF($E87:K87,1),ColDescriptionCourte))&gt;1,
HYPERLINK("#Roadmap!C"&amp; MATCH($E87,Roadmap!$D:$D,0)+COUNTIF($E87:K87,"u")+COUNTIF($E87:K87,"t")+COUNTIF($E87:K87,"¶")+COUNTIF($E87:K87,"²")+COUNTIF($E87:K87,"µ")+COUNTIF($E87:K87,1)-1,INDEX(Roadmap!$D:$K,MATCH($E87,Roadmap!$D:$D,0)-1+COUNTIF($E87:K87,"u")+COUNTIF($E87:K87,"t")+COUNTIF($E87:K87,"¶")+COUNTIF($E87:K87,"²")+COUNTIF($E87:K87,"µ")+COUNTIF($E87:K87,1),ColDescriptionCourte)),""),
  "")),"")</f>
        <v/>
      </c>
      <c r="M87" s="40" t="str">
        <f ca="1">IFERROR(IF(AND(
  INDEX(Roadmap!$D:$K,MATCH($E87,Roadmap!$D:$D,0)+COUNTIF($E87:L87,"u")+COUNTIF($E87:L87,"t")+COUNTIF($E87:L87,"¶")+COUNTIF($E87:L87,"²")+COUNTIF($E87:L87,"µ")+COUNTIF($E87:L87,1),ColLivraison)=M$6,
  VLOOKUP($E87,INDIRECT("tri!"&amp; CHAR(64+ C0Col) &amp;":"&amp; CHAR(65+C0Col)),2,FALSE)&gt;COUNTIF($E87:L87,"u")+COUNTIF($E87:L87,"t")+COUNTIF($E87:L87,"¶")+COUNTIF($E87:L87,"²")+COUNTIF($E87:L87,"µ")+COUNTIF($E87:L87,1)),
HYPERLINK("#Roadmap!C"&amp; MATCH($E87,Roadmap!$D:$D,0)+COUNTIF($E87:L87,"u")+COUNTIF($E87:L87,"t"),
     INDEX(Roadmap!$D:$K,MATCH($E87,Roadmap!$D:$D,0)+COUNTIF($E87:L87,"u")+COUNTIF($E87:L87,"t")+COUNTIF($E87:L87,"¶")+COUNTIF($E87:L87,"²")+COUNTIF($E87:L87,"µ")+COUNTIF($E87:L87,1),ColTypeEcheance)),
  IF(LEN(L87)=1,
  IF(LEN(INDEX(Roadmap!$D:$K,MATCH($E87,Roadmap!$D:$D,0)-1+COUNTIF($E87:L87,"u")+COUNTIF($E87:L87,"t")+COUNTIF($E87:L87,"¶")+COUNTIF($E87:L87,"²")+COUNTIF($E87:L87,"µ")+COUNTIF($E87:L87,1),ColDescriptionCourte))&gt;1,
HYPERLINK("#Roadmap!C"&amp; MATCH($E87,Roadmap!$D:$D,0)+COUNTIF($E87:L87,"u")+COUNTIF($E87:L87,"t")+COUNTIF($E87:L87,"¶")+COUNTIF($E87:L87,"²")+COUNTIF($E87:L87,"µ")+COUNTIF($E87:L87,1)-1,INDEX(Roadmap!$D:$K,MATCH($E87,Roadmap!$D:$D,0)-1+COUNTIF($E87:L87,"u")+COUNTIF($E87:L87,"t")+COUNTIF($E87:L87,"¶")+COUNTIF($E87:L87,"²")+COUNTIF($E87:L87,"µ")+COUNTIF($E87:L87,1),ColDescriptionCourte)),""),
  "")),"")</f>
        <v/>
      </c>
      <c r="N87" s="40" t="str">
        <f ca="1">IFERROR(IF(AND(
  INDEX(Roadmap!$D:$K,MATCH($E87,Roadmap!$D:$D,0)+COUNTIF($E87:M87,"u")+COUNTIF($E87:M87,"t")+COUNTIF($E87:M87,"¶")+COUNTIF($E87:M87,"²")+COUNTIF($E87:M87,"µ")+COUNTIF($E87:M87,1),ColLivraison)=N$6,
  VLOOKUP($E87,INDIRECT("tri!"&amp; CHAR(64+ C0Col) &amp;":"&amp; CHAR(65+C0Col)),2,FALSE)&gt;COUNTIF($E87:M87,"u")+COUNTIF($E87:M87,"t")+COUNTIF($E87:M87,"¶")+COUNTIF($E87:M87,"²")+COUNTIF($E87:M87,"µ")+COUNTIF($E87:M87,1)),
HYPERLINK("#Roadmap!C"&amp; MATCH($E87,Roadmap!$D:$D,0)+COUNTIF($E87:M87,"u")+COUNTIF($E87:M87,"t"),
     INDEX(Roadmap!$D:$K,MATCH($E87,Roadmap!$D:$D,0)+COUNTIF($E87:M87,"u")+COUNTIF($E87:M87,"t")+COUNTIF($E87:M87,"¶")+COUNTIF($E87:M87,"²")+COUNTIF($E87:M87,"µ")+COUNTIF($E87:M87,1),ColTypeEcheance)),
  IF(LEN(M87)=1,
  IF(LEN(INDEX(Roadmap!$D:$K,MATCH($E87,Roadmap!$D:$D,0)-1+COUNTIF($E87:M87,"u")+COUNTIF($E87:M87,"t")+COUNTIF($E87:M87,"¶")+COUNTIF($E87:M87,"²")+COUNTIF($E87:M87,"µ")+COUNTIF($E87:M87,1),ColDescriptionCourte))&gt;1,
HYPERLINK("#Roadmap!C"&amp; MATCH($E87,Roadmap!$D:$D,0)+COUNTIF($E87:M87,"u")+COUNTIF($E87:M87,"t")+COUNTIF($E87:M87,"¶")+COUNTIF($E87:M87,"²")+COUNTIF($E87:M87,"µ")+COUNTIF($E87:M87,1)-1,INDEX(Roadmap!$D:$K,MATCH($E87,Roadmap!$D:$D,0)-1+COUNTIF($E87:M87,"u")+COUNTIF($E87:M87,"t")+COUNTIF($E87:M87,"¶")+COUNTIF($E87:M87,"²")+COUNTIF($E87:M87,"µ")+COUNTIF($E87:M87,1),ColDescriptionCourte)),""),
  "")),"")</f>
        <v/>
      </c>
      <c r="O87" s="40" t="str">
        <f ca="1">IFERROR(IF(AND(
  INDEX(Roadmap!$D:$K,MATCH($E87,Roadmap!$D:$D,0)+COUNTIF($E87:N87,"u")+COUNTIF($E87:N87,"t")+COUNTIF($E87:N87,"¶")+COUNTIF($E87:N87,"²")+COUNTIF($E87:N87,"µ")+COUNTIF($E87:N87,1),ColLivraison)=O$6,
  VLOOKUP($E87,INDIRECT("tri!"&amp; CHAR(64+ C0Col) &amp;":"&amp; CHAR(65+C0Col)),2,FALSE)&gt;COUNTIF($E87:N87,"u")+COUNTIF($E87:N87,"t")+COUNTIF($E87:N87,"¶")+COUNTIF($E87:N87,"²")+COUNTIF($E87:N87,"µ")+COUNTIF($E87:N87,1)),
HYPERLINK("#Roadmap!C"&amp; MATCH($E87,Roadmap!$D:$D,0)+COUNTIF($E87:N87,"u")+COUNTIF($E87:N87,"t"),
     INDEX(Roadmap!$D:$K,MATCH($E87,Roadmap!$D:$D,0)+COUNTIF($E87:N87,"u")+COUNTIF($E87:N87,"t")+COUNTIF($E87:N87,"¶")+COUNTIF($E87:N87,"²")+COUNTIF($E87:N87,"µ")+COUNTIF($E87:N87,1),ColTypeEcheance)),
  IF(LEN(N87)=1,
  IF(LEN(INDEX(Roadmap!$D:$K,MATCH($E87,Roadmap!$D:$D,0)-1+COUNTIF($E87:N87,"u")+COUNTIF($E87:N87,"t")+COUNTIF($E87:N87,"¶")+COUNTIF($E87:N87,"²")+COUNTIF($E87:N87,"µ")+COUNTIF($E87:N87,1),ColDescriptionCourte))&gt;1,
HYPERLINK("#Roadmap!C"&amp; MATCH($E87,Roadmap!$D:$D,0)+COUNTIF($E87:N87,"u")+COUNTIF($E87:N87,"t")+COUNTIF($E87:N87,"¶")+COUNTIF($E87:N87,"²")+COUNTIF($E87:N87,"µ")+COUNTIF($E87:N87,1)-1,INDEX(Roadmap!$D:$K,MATCH($E87,Roadmap!$D:$D,0)-1+COUNTIF($E87:N87,"u")+COUNTIF($E87:N87,"t")+COUNTIF($E87:N87,"¶")+COUNTIF($E87:N87,"²")+COUNTIF($E87:N87,"µ")+COUNTIF($E87:N87,1),ColDescriptionCourte)),""),
  "")),"")</f>
        <v/>
      </c>
      <c r="P87" s="40" t="str">
        <f ca="1">IFERROR(IF(AND(
  INDEX(Roadmap!$D:$K,MATCH($E87,Roadmap!$D:$D,0)+COUNTIF($E87:O87,"u")+COUNTIF($E87:O87,"t")+COUNTIF($E87:O87,"¶")+COUNTIF($E87:O87,"²")+COUNTIF($E87:O87,"µ")+COUNTIF($E87:O87,1),ColLivraison)=P$6,
  VLOOKUP($E87,INDIRECT("tri!"&amp; CHAR(64+ C0Col) &amp;":"&amp; CHAR(65+C0Col)),2,FALSE)&gt;COUNTIF($E87:O87,"u")+COUNTIF($E87:O87,"t")+COUNTIF($E87:O87,"¶")+COUNTIF($E87:O87,"²")+COUNTIF($E87:O87,"µ")+COUNTIF($E87:O87,1)),
HYPERLINK("#Roadmap!C"&amp; MATCH($E87,Roadmap!$D:$D,0)+COUNTIF($E87:O87,"u")+COUNTIF($E87:O87,"t"),
     INDEX(Roadmap!$D:$K,MATCH($E87,Roadmap!$D:$D,0)+COUNTIF($E87:O87,"u")+COUNTIF($E87:O87,"t")+COUNTIF($E87:O87,"¶")+COUNTIF($E87:O87,"²")+COUNTIF($E87:O87,"µ")+COUNTIF($E87:O87,1),ColTypeEcheance)),
  IF(LEN(O87)=1,
  IF(LEN(INDEX(Roadmap!$D:$K,MATCH($E87,Roadmap!$D:$D,0)-1+COUNTIF($E87:O87,"u")+COUNTIF($E87:O87,"t")+COUNTIF($E87:O87,"¶")+COUNTIF($E87:O87,"²")+COUNTIF($E87:O87,"µ")+COUNTIF($E87:O87,1),ColDescriptionCourte))&gt;1,
HYPERLINK("#Roadmap!C"&amp; MATCH($E87,Roadmap!$D:$D,0)+COUNTIF($E87:O87,"u")+COUNTIF($E87:O87,"t")+COUNTIF($E87:O87,"¶")+COUNTIF($E87:O87,"²")+COUNTIF($E87:O87,"µ")+COUNTIF($E87:O87,1)-1,INDEX(Roadmap!$D:$K,MATCH($E87,Roadmap!$D:$D,0)-1+COUNTIF($E87:O87,"u")+COUNTIF($E87:O87,"t")+COUNTIF($E87:O87,"¶")+COUNTIF($E87:O87,"²")+COUNTIF($E87:O87,"µ")+COUNTIF($E87:O87,1),ColDescriptionCourte)),""),
  "")),"")</f>
        <v/>
      </c>
      <c r="Q87" s="40" t="str">
        <f ca="1">IFERROR(IF(AND(
  INDEX(Roadmap!$D:$K,MATCH($E87,Roadmap!$D:$D,0)+COUNTIF($E87:P87,"u")+COUNTIF($E87:P87,"t")+COUNTIF($E87:P87,"¶")+COUNTIF($E87:P87,"²")+COUNTIF($E87:P87,"µ")+COUNTIF($E87:P87,1),ColLivraison)=Q$6,
  VLOOKUP($E87,INDIRECT("tri!"&amp; CHAR(64+ C0Col) &amp;":"&amp; CHAR(65+C0Col)),2,FALSE)&gt;COUNTIF($E87:P87,"u")+COUNTIF($E87:P87,"t")+COUNTIF($E87:P87,"¶")+COUNTIF($E87:P87,"²")+COUNTIF($E87:P87,"µ")+COUNTIF($E87:P87,1)),
HYPERLINK("#Roadmap!C"&amp; MATCH($E87,Roadmap!$D:$D,0)+COUNTIF($E87:P87,"u")+COUNTIF($E87:P87,"t"),
     INDEX(Roadmap!$D:$K,MATCH($E87,Roadmap!$D:$D,0)+COUNTIF($E87:P87,"u")+COUNTIF($E87:P87,"t")+COUNTIF($E87:P87,"¶")+COUNTIF($E87:P87,"²")+COUNTIF($E87:P87,"µ")+COUNTIF($E87:P87,1),ColTypeEcheance)),
  IF(LEN(P87)=1,
  IF(LEN(INDEX(Roadmap!$D:$K,MATCH($E87,Roadmap!$D:$D,0)-1+COUNTIF($E87:P87,"u")+COUNTIF($E87:P87,"t")+COUNTIF($E87:P87,"¶")+COUNTIF($E87:P87,"²")+COUNTIF($E87:P87,"µ")+COUNTIF($E87:P87,1),ColDescriptionCourte))&gt;1,
HYPERLINK("#Roadmap!C"&amp; MATCH($E87,Roadmap!$D:$D,0)+COUNTIF($E87:P87,"u")+COUNTIF($E87:P87,"t")+COUNTIF($E87:P87,"¶")+COUNTIF($E87:P87,"²")+COUNTIF($E87:P87,"µ")+COUNTIF($E87:P87,1)-1,INDEX(Roadmap!$D:$K,MATCH($E87,Roadmap!$D:$D,0)-1+COUNTIF($E87:P87,"u")+COUNTIF($E87:P87,"t")+COUNTIF($E87:P87,"¶")+COUNTIF($E87:P87,"²")+COUNTIF($E87:P87,"µ")+COUNTIF($E87:P87,1),ColDescriptionCourte)),""),
  "")),"")</f>
        <v/>
      </c>
      <c r="R87" s="40" t="str">
        <f ca="1">IFERROR(IF(AND(
  INDEX(Roadmap!$D:$K,MATCH($E87,Roadmap!$D:$D,0)+COUNTIF($E87:Q87,"u")+COUNTIF($E87:Q87,"t")+COUNTIF($E87:Q87,"¶")+COUNTIF($E87:Q87,"²")+COUNTIF($E87:Q87,"µ")+COUNTIF($E87:Q87,1),ColLivraison)=R$6,
  VLOOKUP($E87,INDIRECT("tri!"&amp; CHAR(64+ C0Col) &amp;":"&amp; CHAR(65+C0Col)),2,FALSE)&gt;COUNTIF($E87:Q87,"u")+COUNTIF($E87:Q87,"t")+COUNTIF($E87:Q87,"¶")+COUNTIF($E87:Q87,"²")+COUNTIF($E87:Q87,"µ")+COUNTIF($E87:Q87,1)),
HYPERLINK("#Roadmap!C"&amp; MATCH($E87,Roadmap!$D:$D,0)+COUNTIF($E87:Q87,"u")+COUNTIF($E87:Q87,"t"),
     INDEX(Roadmap!$D:$K,MATCH($E87,Roadmap!$D:$D,0)+COUNTIF($E87:Q87,"u")+COUNTIF($E87:Q87,"t")+COUNTIF($E87:Q87,"¶")+COUNTIF($E87:Q87,"²")+COUNTIF($E87:Q87,"µ")+COUNTIF($E87:Q87,1),ColTypeEcheance)),
  IF(LEN(Q87)=1,
  IF(LEN(INDEX(Roadmap!$D:$K,MATCH($E87,Roadmap!$D:$D,0)-1+COUNTIF($E87:Q87,"u")+COUNTIF($E87:Q87,"t")+COUNTIF($E87:Q87,"¶")+COUNTIF($E87:Q87,"²")+COUNTIF($E87:Q87,"µ")+COUNTIF($E87:Q87,1),ColDescriptionCourte))&gt;1,
HYPERLINK("#Roadmap!C"&amp; MATCH($E87,Roadmap!$D:$D,0)+COUNTIF($E87:Q87,"u")+COUNTIF($E87:Q87,"t")+COUNTIF($E87:Q87,"¶")+COUNTIF($E87:Q87,"²")+COUNTIF($E87:Q87,"µ")+COUNTIF($E87:Q87,1)-1,INDEX(Roadmap!$D:$K,MATCH($E87,Roadmap!$D:$D,0)-1+COUNTIF($E87:Q87,"u")+COUNTIF($E87:Q87,"t")+COUNTIF($E87:Q87,"¶")+COUNTIF($E87:Q87,"²")+COUNTIF($E87:Q87,"µ")+COUNTIF($E87:Q87,1),ColDescriptionCourte)),""),
  "")),"")</f>
        <v/>
      </c>
      <c r="S87" s="40" t="str">
        <f ca="1">IFERROR(IF(AND(
  INDEX(Roadmap!$D:$K,MATCH($E87,Roadmap!$D:$D,0)+COUNTIF($E87:R87,"u")+COUNTIF($E87:R87,"t")+COUNTIF($E87:R87,"¶")+COUNTIF($E87:R87,"²")+COUNTIF($E87:R87,"µ")+COUNTIF($E87:R87,1),ColLivraison)=S$6,
  VLOOKUP($E87,INDIRECT("tri!"&amp; CHAR(64+ C0Col) &amp;":"&amp; CHAR(65+C0Col)),2,FALSE)&gt;COUNTIF($E87:R87,"u")+COUNTIF($E87:R87,"t")+COUNTIF($E87:R87,"¶")+COUNTIF($E87:R87,"²")+COUNTIF($E87:R87,"µ")+COUNTIF($E87:R87,1)),
HYPERLINK("#Roadmap!C"&amp; MATCH($E87,Roadmap!$D:$D,0)+COUNTIF($E87:R87,"u")+COUNTIF($E87:R87,"t"),
     INDEX(Roadmap!$D:$K,MATCH($E87,Roadmap!$D:$D,0)+COUNTIF($E87:R87,"u")+COUNTIF($E87:R87,"t")+COUNTIF($E87:R87,"¶")+COUNTIF($E87:R87,"²")+COUNTIF($E87:R87,"µ")+COUNTIF($E87:R87,1),ColTypeEcheance)),
  IF(LEN(R87)=1,
  IF(LEN(INDEX(Roadmap!$D:$K,MATCH($E87,Roadmap!$D:$D,0)-1+COUNTIF($E87:R87,"u")+COUNTIF($E87:R87,"t")+COUNTIF($E87:R87,"¶")+COUNTIF($E87:R87,"²")+COUNTIF($E87:R87,"µ")+COUNTIF($E87:R87,1),ColDescriptionCourte))&gt;1,
HYPERLINK("#Roadmap!C"&amp; MATCH($E87,Roadmap!$D:$D,0)+COUNTIF($E87:R87,"u")+COUNTIF($E87:R87,"t")+COUNTIF($E87:R87,"¶")+COUNTIF($E87:R87,"²")+COUNTIF($E87:R87,"µ")+COUNTIF($E87:R87,1)-1,INDEX(Roadmap!$D:$K,MATCH($E87,Roadmap!$D:$D,0)-1+COUNTIF($E87:R87,"u")+COUNTIF($E87:R87,"t")+COUNTIF($E87:R87,"¶")+COUNTIF($E87:R87,"²")+COUNTIF($E87:R87,"µ")+COUNTIF($E87:R87,1),ColDescriptionCourte)),""),
  "")),"")</f>
        <v/>
      </c>
      <c r="T87" s="40" t="str">
        <f ca="1">IFERROR(IF(AND(
  INDEX(Roadmap!$D:$K,MATCH($E87,Roadmap!$D:$D,0)+COUNTIF($E87:S87,"u")+COUNTIF($E87:S87,"t")+COUNTIF($E87:S87,"¶")+COUNTIF($E87:S87,"²")+COUNTIF($E87:S87,"µ")+COUNTIF($E87:S87,1),ColLivraison)=T$6,
  VLOOKUP($E87,INDIRECT("tri!"&amp; CHAR(64+ C0Col) &amp;":"&amp; CHAR(65+C0Col)),2,FALSE)&gt;COUNTIF($E87:S87,"u")+COUNTIF($E87:S87,"t")+COUNTIF($E87:S87,"¶")+COUNTIF($E87:S87,"²")+COUNTIF($E87:S87,"µ")+COUNTIF($E87:S87,1)),
HYPERLINK("#Roadmap!C"&amp; MATCH($E87,Roadmap!$D:$D,0)+COUNTIF($E87:S87,"u")+COUNTIF($E87:S87,"t"),
     INDEX(Roadmap!$D:$K,MATCH($E87,Roadmap!$D:$D,0)+COUNTIF($E87:S87,"u")+COUNTIF($E87:S87,"t")+COUNTIF($E87:S87,"¶")+COUNTIF($E87:S87,"²")+COUNTIF($E87:S87,"µ")+COUNTIF($E87:S87,1),ColTypeEcheance)),
  IF(LEN(S87)=1,
  IF(LEN(INDEX(Roadmap!$D:$K,MATCH($E87,Roadmap!$D:$D,0)-1+COUNTIF($E87:S87,"u")+COUNTIF($E87:S87,"t")+COUNTIF($E87:S87,"¶")+COUNTIF($E87:S87,"²")+COUNTIF($E87:S87,"µ")+COUNTIF($E87:S87,1),ColDescriptionCourte))&gt;1,
HYPERLINK("#Roadmap!C"&amp; MATCH($E87,Roadmap!$D:$D,0)+COUNTIF($E87:S87,"u")+COUNTIF($E87:S87,"t")+COUNTIF($E87:S87,"¶")+COUNTIF($E87:S87,"²")+COUNTIF($E87:S87,"µ")+COUNTIF($E87:S87,1)-1,INDEX(Roadmap!$D:$K,MATCH($E87,Roadmap!$D:$D,0)-1+COUNTIF($E87:S87,"u")+COUNTIF($E87:S87,"t")+COUNTIF($E87:S87,"¶")+COUNTIF($E87:S87,"²")+COUNTIF($E87:S87,"µ")+COUNTIF($E87:S87,1),ColDescriptionCourte)),""),
  "")),"")</f>
        <v/>
      </c>
      <c r="U87" s="40" t="str">
        <f ca="1">IFERROR(IF(AND(
  INDEX(Roadmap!$D:$K,MATCH($E87,Roadmap!$D:$D,0)+COUNTIF($E87:T87,"u")+COUNTIF($E87:T87,"t")+COUNTIF($E87:T87,"¶")+COUNTIF($E87:T87,"²")+COUNTIF($E87:T87,"µ")+COUNTIF($E87:T87,1),ColLivraison)=U$6,
  VLOOKUP($E87,INDIRECT("tri!"&amp; CHAR(64+ C0Col) &amp;":"&amp; CHAR(65+C0Col)),2,FALSE)&gt;COUNTIF($E87:T87,"u")+COUNTIF($E87:T87,"t")+COUNTIF($E87:T87,"¶")+COUNTIF($E87:T87,"²")+COUNTIF($E87:T87,"µ")+COUNTIF($E87:T87,1)),
HYPERLINK("#Roadmap!C"&amp; MATCH($E87,Roadmap!$D:$D,0)+COUNTIF($E87:T87,"u")+COUNTIF($E87:T87,"t"),
     INDEX(Roadmap!$D:$K,MATCH($E87,Roadmap!$D:$D,0)+COUNTIF($E87:T87,"u")+COUNTIF($E87:T87,"t")+COUNTIF($E87:T87,"¶")+COUNTIF($E87:T87,"²")+COUNTIF($E87:T87,"µ")+COUNTIF($E87:T87,1),ColTypeEcheance)),
  IF(LEN(T87)=1,
  IF(LEN(INDEX(Roadmap!$D:$K,MATCH($E87,Roadmap!$D:$D,0)-1+COUNTIF($E87:T87,"u")+COUNTIF($E87:T87,"t")+COUNTIF($E87:T87,"¶")+COUNTIF($E87:T87,"²")+COUNTIF($E87:T87,"µ")+COUNTIF($E87:T87,1),ColDescriptionCourte))&gt;1,
HYPERLINK("#Roadmap!C"&amp; MATCH($E87,Roadmap!$D:$D,0)+COUNTIF($E87:T87,"u")+COUNTIF($E87:T87,"t")+COUNTIF($E87:T87,"¶")+COUNTIF($E87:T87,"²")+COUNTIF($E87:T87,"µ")+COUNTIF($E87:T87,1)-1,INDEX(Roadmap!$D:$K,MATCH($E87,Roadmap!$D:$D,0)-1+COUNTIF($E87:T87,"u")+COUNTIF($E87:T87,"t")+COUNTIF($E87:T87,"¶")+COUNTIF($E87:T87,"²")+COUNTIF($E87:T87,"µ")+COUNTIF($E87:T87,1),ColDescriptionCourte)),""),
  "")),"")</f>
        <v/>
      </c>
      <c r="V87" s="40" t="str">
        <f ca="1">IFERROR(IF(AND(
  INDEX(Roadmap!$D:$K,MATCH($E87,Roadmap!$D:$D,0)+COUNTIF($E87:U87,"u")+COUNTIF($E87:U87,"t")+COUNTIF($E87:U87,"¶")+COUNTIF($E87:U87,"²")+COUNTIF($E87:U87,"µ")+COUNTIF($E87:U87,1),ColLivraison)=V$6,
  VLOOKUP($E87,INDIRECT("tri!"&amp; CHAR(64+ C0Col) &amp;":"&amp; CHAR(65+C0Col)),2,FALSE)&gt;COUNTIF($E87:U87,"u")+COUNTIF($E87:U87,"t")+COUNTIF($E87:U87,"¶")+COUNTIF($E87:U87,"²")+COUNTIF($E87:U87,"µ")+COUNTIF($E87:U87,1)),
HYPERLINK("#Roadmap!C"&amp; MATCH($E87,Roadmap!$D:$D,0)+COUNTIF($E87:U87,"u")+COUNTIF($E87:U87,"t"),
     INDEX(Roadmap!$D:$K,MATCH($E87,Roadmap!$D:$D,0)+COUNTIF($E87:U87,"u")+COUNTIF($E87:U87,"t")+COUNTIF($E87:U87,"¶")+COUNTIF($E87:U87,"²")+COUNTIF($E87:U87,"µ")+COUNTIF($E87:U87,1),ColTypeEcheance)),
  IF(LEN(U87)=1,
  IF(LEN(INDEX(Roadmap!$D:$K,MATCH($E87,Roadmap!$D:$D,0)-1+COUNTIF($E87:U87,"u")+COUNTIF($E87:U87,"t")+COUNTIF($E87:U87,"¶")+COUNTIF($E87:U87,"²")+COUNTIF($E87:U87,"µ")+COUNTIF($E87:U87,1),ColDescriptionCourte))&gt;1,
HYPERLINK("#Roadmap!C"&amp; MATCH($E87,Roadmap!$D:$D,0)+COUNTIF($E87:U87,"u")+COUNTIF($E87:U87,"t")+COUNTIF($E87:U87,"¶")+COUNTIF($E87:U87,"²")+COUNTIF($E87:U87,"µ")+COUNTIF($E87:U87,1)-1,INDEX(Roadmap!$D:$K,MATCH($E87,Roadmap!$D:$D,0)-1+COUNTIF($E87:U87,"u")+COUNTIF($E87:U87,"t")+COUNTIF($E87:U87,"¶")+COUNTIF($E87:U87,"²")+COUNTIF($E87:U87,"µ")+COUNTIF($E87:U87,1),ColDescriptionCourte)),""),
  "")),"")</f>
        <v/>
      </c>
      <c r="W87" s="40" t="str">
        <f ca="1">IFERROR(IF(AND(
  INDEX(Roadmap!$D:$K,MATCH($E87,Roadmap!$D:$D,0)+COUNTIF($E87:V87,"u")+COUNTIF($E87:V87,"t")+COUNTIF($E87:V87,"¶")+COUNTIF($E87:V87,"²")+COUNTIF($E87:V87,"µ")+COUNTIF($E87:V87,1),ColLivraison)=W$6,
  VLOOKUP($E87,INDIRECT("tri!"&amp; CHAR(64+ C0Col) &amp;":"&amp; CHAR(65+C0Col)),2,FALSE)&gt;COUNTIF($E87:V87,"u")+COUNTIF($E87:V87,"t")+COUNTIF($E87:V87,"¶")+COUNTIF($E87:V87,"²")+COUNTIF($E87:V87,"µ")+COUNTIF($E87:V87,1)),
HYPERLINK("#Roadmap!C"&amp; MATCH($E87,Roadmap!$D:$D,0)+COUNTIF($E87:V87,"u")+COUNTIF($E87:V87,"t"),
     INDEX(Roadmap!$D:$K,MATCH($E87,Roadmap!$D:$D,0)+COUNTIF($E87:V87,"u")+COUNTIF($E87:V87,"t")+COUNTIF($E87:V87,"¶")+COUNTIF($E87:V87,"²")+COUNTIF($E87:V87,"µ")+COUNTIF($E87:V87,1),ColTypeEcheance)),
  IF(LEN(V87)=1,
  IF(LEN(INDEX(Roadmap!$D:$K,MATCH($E87,Roadmap!$D:$D,0)-1+COUNTIF($E87:V87,"u")+COUNTIF($E87:V87,"t")+COUNTIF($E87:V87,"¶")+COUNTIF($E87:V87,"²")+COUNTIF($E87:V87,"µ")+COUNTIF($E87:V87,1),ColDescriptionCourte))&gt;1,
HYPERLINK("#Roadmap!C"&amp; MATCH($E87,Roadmap!$D:$D,0)+COUNTIF($E87:V87,"u")+COUNTIF($E87:V87,"t")+COUNTIF($E87:V87,"¶")+COUNTIF($E87:V87,"²")+COUNTIF($E87:V87,"µ")+COUNTIF($E87:V87,1)-1,INDEX(Roadmap!$D:$K,MATCH($E87,Roadmap!$D:$D,0)-1+COUNTIF($E87:V87,"u")+COUNTIF($E87:V87,"t")+COUNTIF($E87:V87,"¶")+COUNTIF($E87:V87,"²")+COUNTIF($E87:V87,"µ")+COUNTIF($E87:V87,1),ColDescriptionCourte)),""),
  "")),"")</f>
        <v/>
      </c>
      <c r="X87" s="40" t="str">
        <f ca="1">IFERROR(IF(AND(
  INDEX(Roadmap!$D:$K,MATCH($E87,Roadmap!$D:$D,0)+COUNTIF($E87:W87,"u")+COUNTIF($E87:W87,"t")+COUNTIF($E87:W87,"¶")+COUNTIF($E87:W87,"²")+COUNTIF($E87:W87,"µ")+COUNTIF($E87:W87,1),ColLivraison)=X$6,
  VLOOKUP($E87,INDIRECT("tri!"&amp; CHAR(64+ C0Col) &amp;":"&amp; CHAR(65+C0Col)),2,FALSE)&gt;COUNTIF($E87:W87,"u")+COUNTIF($E87:W87,"t")+COUNTIF($E87:W87,"¶")+COUNTIF($E87:W87,"²")+COUNTIF($E87:W87,"µ")+COUNTIF($E87:W87,1)),
HYPERLINK("#Roadmap!C"&amp; MATCH($E87,Roadmap!$D:$D,0)+COUNTIF($E87:W87,"u")+COUNTIF($E87:W87,"t"),
     INDEX(Roadmap!$D:$K,MATCH($E87,Roadmap!$D:$D,0)+COUNTIF($E87:W87,"u")+COUNTIF($E87:W87,"t")+COUNTIF($E87:W87,"¶")+COUNTIF($E87:W87,"²")+COUNTIF($E87:W87,"µ")+COUNTIF($E87:W87,1),ColTypeEcheance)),
  IF(LEN(W87)=1,
  IF(LEN(INDEX(Roadmap!$D:$K,MATCH($E87,Roadmap!$D:$D,0)-1+COUNTIF($E87:W87,"u")+COUNTIF($E87:W87,"t")+COUNTIF($E87:W87,"¶")+COUNTIF($E87:W87,"²")+COUNTIF($E87:W87,"µ")+COUNTIF($E87:W87,1),ColDescriptionCourte))&gt;1,
HYPERLINK("#Roadmap!C"&amp; MATCH($E87,Roadmap!$D:$D,0)+COUNTIF($E87:W87,"u")+COUNTIF($E87:W87,"t")+COUNTIF($E87:W87,"¶")+COUNTIF($E87:W87,"²")+COUNTIF($E87:W87,"µ")+COUNTIF($E87:W87,1)-1,INDEX(Roadmap!$D:$K,MATCH($E87,Roadmap!$D:$D,0)-1+COUNTIF($E87:W87,"u")+COUNTIF($E87:W87,"t")+COUNTIF($E87:W87,"¶")+COUNTIF($E87:W87,"²")+COUNTIF($E87:W87,"µ")+COUNTIF($E87:W87,1),ColDescriptionCourte)),""),
  "")),"")</f>
        <v/>
      </c>
      <c r="Y87" s="40" t="str">
        <f ca="1">IFERROR(IF(AND(
  INDEX(Roadmap!$D:$K,MATCH($E87,Roadmap!$D:$D,0)+COUNTIF($E87:X87,"u")+COUNTIF($E87:X87,"t")+COUNTIF($E87:X87,"¶")+COUNTIF($E87:X87,"²")+COUNTIF($E87:X87,"µ")+COUNTIF($E87:X87,1),ColLivraison)=Y$6,
  VLOOKUP($E87,INDIRECT("tri!"&amp; CHAR(64+ C0Col) &amp;":"&amp; CHAR(65+C0Col)),2,FALSE)&gt;COUNTIF($E87:X87,"u")+COUNTIF($E87:X87,"t")+COUNTIF($E87:X87,"¶")+COUNTIF($E87:X87,"²")+COUNTIF($E87:X87,"µ")+COUNTIF($E87:X87,1)),
HYPERLINK("#Roadmap!C"&amp; MATCH($E87,Roadmap!$D:$D,0)+COUNTIF($E87:X87,"u")+COUNTIF($E87:X87,"t"),
     INDEX(Roadmap!$D:$K,MATCH($E87,Roadmap!$D:$D,0)+COUNTIF($E87:X87,"u")+COUNTIF($E87:X87,"t")+COUNTIF($E87:X87,"¶")+COUNTIF($E87:X87,"²")+COUNTIF($E87:X87,"µ")+COUNTIF($E87:X87,1),ColTypeEcheance)),
  IF(LEN(X87)=1,
  IF(LEN(INDEX(Roadmap!$D:$K,MATCH($E87,Roadmap!$D:$D,0)-1+COUNTIF($E87:X87,"u")+COUNTIF($E87:X87,"t")+COUNTIF($E87:X87,"¶")+COUNTIF($E87:X87,"²")+COUNTIF($E87:X87,"µ")+COUNTIF($E87:X87,1),ColDescriptionCourte))&gt;1,
HYPERLINK("#Roadmap!C"&amp; MATCH($E87,Roadmap!$D:$D,0)+COUNTIF($E87:X87,"u")+COUNTIF($E87:X87,"t")+COUNTIF($E87:X87,"¶")+COUNTIF($E87:X87,"²")+COUNTIF($E87:X87,"µ")+COUNTIF($E87:X87,1)-1,INDEX(Roadmap!$D:$K,MATCH($E87,Roadmap!$D:$D,0)-1+COUNTIF($E87:X87,"u")+COUNTIF($E87:X87,"t")+COUNTIF($E87:X87,"¶")+COUNTIF($E87:X87,"²")+COUNTIF($E87:X87,"µ")+COUNTIF($E87:X87,1),ColDescriptionCourte)),""),
  "")),"")</f>
        <v/>
      </c>
      <c r="Z87" s="40" t="str">
        <f ca="1">IFERROR(IF(AND(
  INDEX(Roadmap!$D:$K,MATCH($E87,Roadmap!$D:$D,0)+COUNTIF($E87:Y87,"u")+COUNTIF($E87:Y87,"t")+COUNTIF($E87:Y87,"¶")+COUNTIF($E87:Y87,"²")+COUNTIF($E87:Y87,"µ")+COUNTIF($E87:Y87,1),ColLivraison)=Z$6,
  VLOOKUP($E87,INDIRECT("tri!"&amp; CHAR(64+ C0Col) &amp;":"&amp; CHAR(65+C0Col)),2,FALSE)&gt;COUNTIF($E87:Y87,"u")+COUNTIF($E87:Y87,"t")+COUNTIF($E87:Y87,"¶")+COUNTIF($E87:Y87,"²")+COUNTIF($E87:Y87,"µ")+COUNTIF($E87:Y87,1)),
HYPERLINK("#Roadmap!C"&amp; MATCH($E87,Roadmap!$D:$D,0)+COUNTIF($E87:Y87,"u")+COUNTIF($E87:Y87,"t"),
     INDEX(Roadmap!$D:$K,MATCH($E87,Roadmap!$D:$D,0)+COUNTIF($E87:Y87,"u")+COUNTIF($E87:Y87,"t")+COUNTIF($E87:Y87,"¶")+COUNTIF($E87:Y87,"²")+COUNTIF($E87:Y87,"µ")+COUNTIF($E87:Y87,1),ColTypeEcheance)),
  IF(LEN(Y87)=1,
  IF(LEN(INDEX(Roadmap!$D:$K,MATCH($E87,Roadmap!$D:$D,0)-1+COUNTIF($E87:Y87,"u")+COUNTIF($E87:Y87,"t")+COUNTIF($E87:Y87,"¶")+COUNTIF($E87:Y87,"²")+COUNTIF($E87:Y87,"µ")+COUNTIF($E87:Y87,1),ColDescriptionCourte))&gt;1,
HYPERLINK("#Roadmap!C"&amp; MATCH($E87,Roadmap!$D:$D,0)+COUNTIF($E87:Y87,"u")+COUNTIF($E87:Y87,"t")+COUNTIF($E87:Y87,"¶")+COUNTIF($E87:Y87,"²")+COUNTIF($E87:Y87,"µ")+COUNTIF($E87:Y87,1)-1,INDEX(Roadmap!$D:$K,MATCH($E87,Roadmap!$D:$D,0)-1+COUNTIF($E87:Y87,"u")+COUNTIF($E87:Y87,"t")+COUNTIF($E87:Y87,"¶")+COUNTIF($E87:Y87,"²")+COUNTIF($E87:Y87,"µ")+COUNTIF($E87:Y87,1),ColDescriptionCourte)),""),
  "")),"")</f>
        <v/>
      </c>
      <c r="AA87" s="40" t="str">
        <f ca="1">IFERROR(IF(AND(
  INDEX(Roadmap!$D:$K,MATCH($E87,Roadmap!$D:$D,0)+COUNTIF($E87:Z87,"u")+COUNTIF($E87:Z87,"t")+COUNTIF($E87:Z87,"¶")+COUNTIF($E87:Z87,"²")+COUNTIF($E87:Z87,"µ")+COUNTIF($E87:Z87,1),ColLivraison)=AA$6,
  VLOOKUP($E87,INDIRECT("tri!"&amp; CHAR(64+ C0Col) &amp;":"&amp; CHAR(65+C0Col)),2,FALSE)&gt;COUNTIF($E87:Z87,"u")+COUNTIF($E87:Z87,"t")+COUNTIF($E87:Z87,"¶")+COUNTIF($E87:Z87,"²")+COUNTIF($E87:Z87,"µ")+COUNTIF($E87:Z87,1)),
HYPERLINK("#Roadmap!C"&amp; MATCH($E87,Roadmap!$D:$D,0)+COUNTIF($E87:Z87,"u")+COUNTIF($E87:Z87,"t"),
     INDEX(Roadmap!$D:$K,MATCH($E87,Roadmap!$D:$D,0)+COUNTIF($E87:Z87,"u")+COUNTIF($E87:Z87,"t")+COUNTIF($E87:Z87,"¶")+COUNTIF($E87:Z87,"²")+COUNTIF($E87:Z87,"µ")+COUNTIF($E87:Z87,1),ColTypeEcheance)),
  IF(LEN(Z87)=1,
  IF(LEN(INDEX(Roadmap!$D:$K,MATCH($E87,Roadmap!$D:$D,0)-1+COUNTIF($E87:Z87,"u")+COUNTIF($E87:Z87,"t")+COUNTIF($E87:Z87,"¶")+COUNTIF($E87:Z87,"²")+COUNTIF($E87:Z87,"µ")+COUNTIF($E87:Z87,1),ColDescriptionCourte))&gt;1,
HYPERLINK("#Roadmap!C"&amp; MATCH($E87,Roadmap!$D:$D,0)+COUNTIF($E87:Z87,"u")+COUNTIF($E87:Z87,"t")+COUNTIF($E87:Z87,"¶")+COUNTIF($E87:Z87,"²")+COUNTIF($E87:Z87,"µ")+COUNTIF($E87:Z87,1)-1,INDEX(Roadmap!$D:$K,MATCH($E87,Roadmap!$D:$D,0)-1+COUNTIF($E87:Z87,"u")+COUNTIF($E87:Z87,"t")+COUNTIF($E87:Z87,"¶")+COUNTIF($E87:Z87,"²")+COUNTIF($E87:Z87,"µ")+COUNTIF($E87:Z87,1),ColDescriptionCourte)),""),
  "")),"")</f>
        <v/>
      </c>
      <c r="AB87" s="40" t="str">
        <f ca="1">IFERROR(IF(AND(
  INDEX(Roadmap!$D:$K,MATCH($E87,Roadmap!$D:$D,0)+COUNTIF($E87:AA87,"u")+COUNTIF($E87:AA87,"t")+COUNTIF($E87:AA87,"¶")+COUNTIF($E87:AA87,"²")+COUNTIF($E87:AA87,"µ")+COUNTIF($E87:AA87,1),ColLivraison)=AB$6,
  VLOOKUP($E87,INDIRECT("tri!"&amp; CHAR(64+ C0Col) &amp;":"&amp; CHAR(65+C0Col)),2,FALSE)&gt;COUNTIF($E87:AA87,"u")+COUNTIF($E87:AA87,"t")+COUNTIF($E87:AA87,"¶")+COUNTIF($E87:AA87,"²")+COUNTIF($E87:AA87,"µ")+COUNTIF($E87:AA87,1)),
HYPERLINK("#Roadmap!C"&amp; MATCH($E87,Roadmap!$D:$D,0)+COUNTIF($E87:AA87,"u")+COUNTIF($E87:AA87,"t"),
     INDEX(Roadmap!$D:$K,MATCH($E87,Roadmap!$D:$D,0)+COUNTIF($E87:AA87,"u")+COUNTIF($E87:AA87,"t")+COUNTIF($E87:AA87,"¶")+COUNTIF($E87:AA87,"²")+COUNTIF($E87:AA87,"µ")+COUNTIF($E87:AA87,1),ColTypeEcheance)),
  IF(LEN(AA87)=1,
  IF(LEN(INDEX(Roadmap!$D:$K,MATCH($E87,Roadmap!$D:$D,0)-1+COUNTIF($E87:AA87,"u")+COUNTIF($E87:AA87,"t")+COUNTIF($E87:AA87,"¶")+COUNTIF($E87:AA87,"²")+COUNTIF($E87:AA87,"µ")+COUNTIF($E87:AA87,1),ColDescriptionCourte))&gt;1,
HYPERLINK("#Roadmap!C"&amp; MATCH($E87,Roadmap!$D:$D,0)+COUNTIF($E87:AA87,"u")+COUNTIF($E87:AA87,"t")+COUNTIF($E87:AA87,"¶")+COUNTIF($E87:AA87,"²")+COUNTIF($E87:AA87,"µ")+COUNTIF($E87:AA87,1)-1,INDEX(Roadmap!$D:$K,MATCH($E87,Roadmap!$D:$D,0)-1+COUNTIF($E87:AA87,"u")+COUNTIF($E87:AA87,"t")+COUNTIF($E87:AA87,"¶")+COUNTIF($E87:AA87,"²")+COUNTIF($E87:AA87,"µ")+COUNTIF($E87:AA87,1),ColDescriptionCourte)),""),
  "")),"")</f>
        <v/>
      </c>
      <c r="AC87" s="40" t="str">
        <f ca="1">IFERROR(IF(AND(
  INDEX(Roadmap!$D:$K,MATCH($E87,Roadmap!$D:$D,0)+COUNTIF($E87:AB87,"u")+COUNTIF($E87:AB87,"t")+COUNTIF($E87:AB87,"¶")+COUNTIF($E87:AB87,"²")+COUNTIF($E87:AB87,"µ")+COUNTIF($E87:AB87,1),ColLivraison)=AC$6,
  VLOOKUP($E87,INDIRECT("tri!"&amp; CHAR(64+ C0Col) &amp;":"&amp; CHAR(65+C0Col)),2,FALSE)&gt;COUNTIF($E87:AB87,"u")+COUNTIF($E87:AB87,"t")+COUNTIF($E87:AB87,"¶")+COUNTIF($E87:AB87,"²")+COUNTIF($E87:AB87,"µ")+COUNTIF($E87:AB87,1)),
HYPERLINK("#Roadmap!C"&amp; MATCH($E87,Roadmap!$D:$D,0)+COUNTIF($E87:AB87,"u")+COUNTIF($E87:AB87,"t"),
     INDEX(Roadmap!$D:$K,MATCH($E87,Roadmap!$D:$D,0)+COUNTIF($E87:AB87,"u")+COUNTIF($E87:AB87,"t")+COUNTIF($E87:AB87,"¶")+COUNTIF($E87:AB87,"²")+COUNTIF($E87:AB87,"µ")+COUNTIF($E87:AB87,1),ColTypeEcheance)),
  IF(LEN(AB87)=1,
  IF(LEN(INDEX(Roadmap!$D:$K,MATCH($E87,Roadmap!$D:$D,0)-1+COUNTIF($E87:AB87,"u")+COUNTIF($E87:AB87,"t")+COUNTIF($E87:AB87,"¶")+COUNTIF($E87:AB87,"²")+COUNTIF($E87:AB87,"µ")+COUNTIF($E87:AB87,1),ColDescriptionCourte))&gt;1,
HYPERLINK("#Roadmap!C"&amp; MATCH($E87,Roadmap!$D:$D,0)+COUNTIF($E87:AB87,"u")+COUNTIF($E87:AB87,"t")+COUNTIF($E87:AB87,"¶")+COUNTIF($E87:AB87,"²")+COUNTIF($E87:AB87,"µ")+COUNTIF($E87:AB87,1)-1,INDEX(Roadmap!$D:$K,MATCH($E87,Roadmap!$D:$D,0)-1+COUNTIF($E87:AB87,"u")+COUNTIF($E87:AB87,"t")+COUNTIF($E87:AB87,"¶")+COUNTIF($E87:AB87,"²")+COUNTIF($E87:AB87,"µ")+COUNTIF($E87:AB87,1),ColDescriptionCourte)),""),
  "")),"")</f>
        <v/>
      </c>
      <c r="AD87" s="40" t="str">
        <f ca="1">IFERROR(IF(AND(
  INDEX(Roadmap!$D:$K,MATCH($E87,Roadmap!$D:$D,0)+COUNTIF($E87:AC87,"u")+COUNTIF($E87:AC87,"t")+COUNTIF($E87:AC87,"¶")+COUNTIF($E87:AC87,"²")+COUNTIF($E87:AC87,"µ")+COUNTIF($E87:AC87,1),ColLivraison)=AD$6,
  VLOOKUP($E87,INDIRECT("tri!"&amp; CHAR(64+ C0Col) &amp;":"&amp; CHAR(65+C0Col)),2,FALSE)&gt;COUNTIF($E87:AC87,"u")+COUNTIF($E87:AC87,"t")+COUNTIF($E87:AC87,"¶")+COUNTIF($E87:AC87,"²")+COUNTIF($E87:AC87,"µ")+COUNTIF($E87:AC87,1)),
HYPERLINK("#Roadmap!C"&amp; MATCH($E87,Roadmap!$D:$D,0)+COUNTIF($E87:AC87,"u")+COUNTIF($E87:AC87,"t"),
     INDEX(Roadmap!$D:$K,MATCH($E87,Roadmap!$D:$D,0)+COUNTIF($E87:AC87,"u")+COUNTIF($E87:AC87,"t")+COUNTIF($E87:AC87,"¶")+COUNTIF($E87:AC87,"²")+COUNTIF($E87:AC87,"µ")+COUNTIF($E87:AC87,1),ColTypeEcheance)),
  IF(LEN(AC87)=1,
  IF(LEN(INDEX(Roadmap!$D:$K,MATCH($E87,Roadmap!$D:$D,0)-1+COUNTIF($E87:AC87,"u")+COUNTIF($E87:AC87,"t")+COUNTIF($E87:AC87,"¶")+COUNTIF($E87:AC87,"²")+COUNTIF($E87:AC87,"µ")+COUNTIF($E87:AC87,1),ColDescriptionCourte))&gt;1,
HYPERLINK("#Roadmap!C"&amp; MATCH($E87,Roadmap!$D:$D,0)+COUNTIF($E87:AC87,"u")+COUNTIF($E87:AC87,"t")+COUNTIF($E87:AC87,"¶")+COUNTIF($E87:AC87,"²")+COUNTIF($E87:AC87,"µ")+COUNTIF($E87:AC87,1)-1,INDEX(Roadmap!$D:$K,MATCH($E87,Roadmap!$D:$D,0)-1+COUNTIF($E87:AC87,"u")+COUNTIF($E87:AC87,"t")+COUNTIF($E87:AC87,"¶")+COUNTIF($E87:AC87,"²")+COUNTIF($E87:AC87,"µ")+COUNTIF($E87:AC87,1),ColDescriptionCourte)),""),
  "")),"")</f>
        <v/>
      </c>
      <c r="AE87" s="40" t="str">
        <f ca="1">IFERROR(IF(AND(
  INDEX(Roadmap!$D:$K,MATCH($E87,Roadmap!$D:$D,0)+COUNTIF($E87:AD87,"u")+COUNTIF($E87:AD87,"t")+COUNTIF($E87:AD87,"¶")+COUNTIF($E87:AD87,"²")+COUNTIF($E87:AD87,"µ")+COUNTIF($E87:AD87,1),ColLivraison)=AE$6,
  VLOOKUP($E87,INDIRECT("tri!"&amp; CHAR(64+ C0Col) &amp;":"&amp; CHAR(65+C0Col)),2,FALSE)&gt;COUNTIF($E87:AD87,"u")+COUNTIF($E87:AD87,"t")+COUNTIF($E87:AD87,"¶")+COUNTIF($E87:AD87,"²")+COUNTIF($E87:AD87,"µ")+COUNTIF($E87:AD87,1)),
HYPERLINK("#Roadmap!C"&amp; MATCH($E87,Roadmap!$D:$D,0)+COUNTIF($E87:AD87,"u")+COUNTIF($E87:AD87,"t"),
     INDEX(Roadmap!$D:$K,MATCH($E87,Roadmap!$D:$D,0)+COUNTIF($E87:AD87,"u")+COUNTIF($E87:AD87,"t")+COUNTIF($E87:AD87,"¶")+COUNTIF($E87:AD87,"²")+COUNTIF($E87:AD87,"µ")+COUNTIF($E87:AD87,1),ColTypeEcheance)),
  IF(LEN(AD87)=1,
  IF(LEN(INDEX(Roadmap!$D:$K,MATCH($E87,Roadmap!$D:$D,0)-1+COUNTIF($E87:AD87,"u")+COUNTIF($E87:AD87,"t")+COUNTIF($E87:AD87,"¶")+COUNTIF($E87:AD87,"²")+COUNTIF($E87:AD87,"µ")+COUNTIF($E87:AD87,1),ColDescriptionCourte))&gt;1,
HYPERLINK("#Roadmap!C"&amp; MATCH($E87,Roadmap!$D:$D,0)+COUNTIF($E87:AD87,"u")+COUNTIF($E87:AD87,"t")+COUNTIF($E87:AD87,"¶")+COUNTIF($E87:AD87,"²")+COUNTIF($E87:AD87,"µ")+COUNTIF($E87:AD87,1)-1,INDEX(Roadmap!$D:$K,MATCH($E87,Roadmap!$D:$D,0)-1+COUNTIF($E87:AD87,"u")+COUNTIF($E87:AD87,"t")+COUNTIF($E87:AD87,"¶")+COUNTIF($E87:AD87,"²")+COUNTIF($E87:AD87,"µ")+COUNTIF($E87:AD87,1),ColDescriptionCourte)),""),
  "")),"")</f>
        <v/>
      </c>
      <c r="AF87" s="40" t="str">
        <f ca="1">IFERROR(IF(AND(
  INDEX(Roadmap!$D:$K,MATCH($E87,Roadmap!$D:$D,0)+COUNTIF($E87:AE87,"u")+COUNTIF($E87:AE87,"t")+COUNTIF($E87:AE87,"¶")+COUNTIF($E87:AE87,"²")+COUNTIF($E87:AE87,"µ")+COUNTIF($E87:AE87,1),ColLivraison)=AF$6,
  VLOOKUP($E87,INDIRECT("tri!"&amp; CHAR(64+ C0Col) &amp;":"&amp; CHAR(65+C0Col)),2,FALSE)&gt;COUNTIF($E87:AE87,"u")+COUNTIF($E87:AE87,"t")+COUNTIF($E87:AE87,"¶")+COUNTIF($E87:AE87,"²")+COUNTIF($E87:AE87,"µ")+COUNTIF($E87:AE87,1)),
HYPERLINK("#Roadmap!C"&amp; MATCH($E87,Roadmap!$D:$D,0)+COUNTIF($E87:AE87,"u")+COUNTIF($E87:AE87,"t"),
     INDEX(Roadmap!$D:$K,MATCH($E87,Roadmap!$D:$D,0)+COUNTIF($E87:AE87,"u")+COUNTIF($E87:AE87,"t")+COUNTIF($E87:AE87,"¶")+COUNTIF($E87:AE87,"²")+COUNTIF($E87:AE87,"µ")+COUNTIF($E87:AE87,1),ColTypeEcheance)),
  IF(LEN(AE87)=1,
  IF(LEN(INDEX(Roadmap!$D:$K,MATCH($E87,Roadmap!$D:$D,0)-1+COUNTIF($E87:AE87,"u")+COUNTIF($E87:AE87,"t")+COUNTIF($E87:AE87,"¶")+COUNTIF($E87:AE87,"²")+COUNTIF($E87:AE87,"µ")+COUNTIF($E87:AE87,1),ColDescriptionCourte))&gt;1,
HYPERLINK("#Roadmap!C"&amp; MATCH($E87,Roadmap!$D:$D,0)+COUNTIF($E87:AE87,"u")+COUNTIF($E87:AE87,"t")+COUNTIF($E87:AE87,"¶")+COUNTIF($E87:AE87,"²")+COUNTIF($E87:AE87,"µ")+COUNTIF($E87:AE87,1)-1,INDEX(Roadmap!$D:$K,MATCH($E87,Roadmap!$D:$D,0)-1+COUNTIF($E87:AE87,"u")+COUNTIF($E87:AE87,"t")+COUNTIF($E87:AE87,"¶")+COUNTIF($E87:AE87,"²")+COUNTIF($E87:AE87,"µ")+COUNTIF($E87:AE87,1),ColDescriptionCourte)),""),
  "")),"")</f>
        <v/>
      </c>
      <c r="AG87" s="40" t="str">
        <f ca="1">IFERROR(IF(AND(
  INDEX(Roadmap!$D:$K,MATCH($E87,Roadmap!$D:$D,0)+COUNTIF($E87:AF87,"u")+COUNTIF($E87:AF87,"t")+COUNTIF($E87:AF87,"¶")+COUNTIF($E87:AF87,"²")+COUNTIF($E87:AF87,"µ")+COUNTIF($E87:AF87,1),ColLivraison)=AG$6,
  VLOOKUP($E87,INDIRECT("tri!"&amp; CHAR(64+ C0Col) &amp;":"&amp; CHAR(65+C0Col)),2,FALSE)&gt;COUNTIF($E87:AF87,"u")+COUNTIF($E87:AF87,"t")+COUNTIF($E87:AF87,"¶")+COUNTIF($E87:AF87,"²")+COUNTIF($E87:AF87,"µ")+COUNTIF($E87:AF87,1)),
HYPERLINK("#Roadmap!C"&amp; MATCH($E87,Roadmap!$D:$D,0)+COUNTIF($E87:AF87,"u")+COUNTIF($E87:AF87,"t"),
     INDEX(Roadmap!$D:$K,MATCH($E87,Roadmap!$D:$D,0)+COUNTIF($E87:AF87,"u")+COUNTIF($E87:AF87,"t")+COUNTIF($E87:AF87,"¶")+COUNTIF($E87:AF87,"²")+COUNTIF($E87:AF87,"µ")+COUNTIF($E87:AF87,1),ColTypeEcheance)),
  IF(LEN(AF87)=1,
  IF(LEN(INDEX(Roadmap!$D:$K,MATCH($E87,Roadmap!$D:$D,0)-1+COUNTIF($E87:AF87,"u")+COUNTIF($E87:AF87,"t")+COUNTIF($E87:AF87,"¶")+COUNTIF($E87:AF87,"²")+COUNTIF($E87:AF87,"µ")+COUNTIF($E87:AF87,1),ColDescriptionCourte))&gt;1,
HYPERLINK("#Roadmap!C"&amp; MATCH($E87,Roadmap!$D:$D,0)+COUNTIF($E87:AF87,"u")+COUNTIF($E87:AF87,"t")+COUNTIF($E87:AF87,"¶")+COUNTIF($E87:AF87,"²")+COUNTIF($E87:AF87,"µ")+COUNTIF($E87:AF87,1)-1,INDEX(Roadmap!$D:$K,MATCH($E87,Roadmap!$D:$D,0)-1+COUNTIF($E87:AF87,"u")+COUNTIF($E87:AF87,"t")+COUNTIF($E87:AF87,"¶")+COUNTIF($E87:AF87,"²")+COUNTIF($E87:AF87,"µ")+COUNTIF($E87:AF87,1),ColDescriptionCourte)),""),
  "")),"")</f>
        <v/>
      </c>
    </row>
    <row r="88" spans="3:33" ht="14.25" customHeight="1">
      <c r="C88" s="1" t="str">
        <f t="shared" ca="1" si="47"/>
        <v/>
      </c>
      <c r="D88" s="1" t="str">
        <f t="shared" ca="1" si="48"/>
        <v/>
      </c>
      <c r="E88" s="35" t="str">
        <f t="shared" ca="1" si="46"/>
        <v/>
      </c>
      <c r="F88" s="39" t="str">
        <f ca="1">IFERROR(IF(AND(
  INDEX(Roadmap!$D:$K,MATCH($E88,Roadmap!$D:$D,0)+COUNTIF($E88:E88,"u")+COUNTIF($E88:E88,"t")+COUNTIF($E88:E88,"¶")+COUNTIF($E88:E88,"²")+COUNTIF($E88:E88,"µ")+COUNTIF($E88:E88,1),ColLivraison)=F$6,
  VLOOKUP($E88,INDIRECT("tri!"&amp; CHAR(64+ C0Col) &amp;":"&amp; CHAR(65+C0Col)),2,FALSE)&gt;COUNTIF($E88:E88,"u")+COUNTIF($E88:E88,"t")+COUNTIF($E88:E88,"¶")+COUNTIF($E88:E88,"²")+COUNTIF($E88:E88,"µ")+COUNTIF($E88:E88,1)),
HYPERLINK("#Roadmap!C"&amp; MATCH($E88,Roadmap!$D:$D,0)+COUNTIF($E88:E88,"u")+COUNTIF($E88:E88,"t"),
     INDEX(Roadmap!$D:$K,MATCH($E88,Roadmap!$D:$D,0)+COUNTIF($E88:E88,"u")+COUNTIF($E88:E88,"t")+COUNTIF($E88:E88,"¶")+COUNTIF($E88:E88,"²")+COUNTIF($E88:E88,"µ")+COUNTIF($E88:E88,1),ColTypeEcheance)),
  IF(LEN(E88)=1,
  IF(LEN(INDEX(Roadmap!$D:$K,MATCH($E88,Roadmap!$D:$D,0)-1+COUNTIF($E88:E88,"u")+COUNTIF($E88:E88,"t")+COUNTIF($E88:E88,"¶")+COUNTIF($E88:E88,"²")+COUNTIF($E88:E88,"µ")+COUNTIF($E88:E88,1),ColDescriptionCourte))&gt;1,
HYPERLINK("#Roadmap!C"&amp; MATCH($E88,Roadmap!$D:$D,0)+COUNTIF($E88:E88,"u")+COUNTIF($E88:E88,"t")+COUNTIF($E88:E88,"¶")+COUNTIF($E88:E88,"²")+COUNTIF($E88:E88,"µ")+COUNTIF($E88:E88,1)-1,INDEX(Roadmap!$D:$K,MATCH($E88,Roadmap!$D:$D,0)-1+COUNTIF($E88:E88,"u")+COUNTIF($E88:E88,"t")+COUNTIF($E88:E88,"¶")+COUNTIF($E88:E88,"²")+COUNTIF($E88:E88,"µ")+COUNTIF($E88:E88,1),ColDescriptionCourte)),""),
  "")),"")</f>
        <v/>
      </c>
      <c r="G88" s="40" t="str">
        <f ca="1">IFERROR(IF(AND(
  INDEX(Roadmap!$D:$K,MATCH($E88,Roadmap!$D:$D,0)+COUNTIF($E88:F88,"u")+COUNTIF($E88:F88,"t")+COUNTIF($E88:F88,"¶")+COUNTIF($E88:F88,"²")+COUNTIF($E88:F88,"µ")+COUNTIF($E88:F88,1),ColLivraison)=G$6,
  VLOOKUP($E88,INDIRECT("tri!"&amp; CHAR(64+ C0Col) &amp;":"&amp; CHAR(65+C0Col)),2,FALSE)&gt;COUNTIF($E88:F88,"u")+COUNTIF($E88:F88,"t")+COUNTIF($E88:F88,"¶")+COUNTIF($E88:F88,"²")+COUNTIF($E88:F88,"µ")+COUNTIF($E88:F88,1)),
HYPERLINK("#Roadmap!C"&amp; MATCH($E88,Roadmap!$D:$D,0)+COUNTIF($E88:F88,"u")+COUNTIF($E88:F88,"t"),
     INDEX(Roadmap!$D:$K,MATCH($E88,Roadmap!$D:$D,0)+COUNTIF($E88:F88,"u")+COUNTIF($E88:F88,"t")+COUNTIF($E88:F88,"¶")+COUNTIF($E88:F88,"²")+COUNTIF($E88:F88,"µ")+COUNTIF($E88:F88,1),ColTypeEcheance)),
  IF(LEN(F88)=1,
  IF(LEN(INDEX(Roadmap!$D:$K,MATCH($E88,Roadmap!$D:$D,0)-1+COUNTIF($E88:F88,"u")+COUNTIF($E88:F88,"t")+COUNTIF($E88:F88,"¶")+COUNTIF($E88:F88,"²")+COUNTIF($E88:F88,"µ")+COUNTIF($E88:F88,1),ColDescriptionCourte))&gt;1,
HYPERLINK("#Roadmap!C"&amp; MATCH($E88,Roadmap!$D:$D,0)+COUNTIF($E88:F88,"u")+COUNTIF($E88:F88,"t")+COUNTIF($E88:F88,"¶")+COUNTIF($E88:F88,"²")+COUNTIF($E88:F88,"µ")+COUNTIF($E88:F88,1)-1,INDEX(Roadmap!$D:$K,MATCH($E88,Roadmap!$D:$D,0)-1+COUNTIF($E88:F88,"u")+COUNTIF($E88:F88,"t")+COUNTIF($E88:F88,"¶")+COUNTIF($E88:F88,"²")+COUNTIF($E88:F88,"µ")+COUNTIF($E88:F88,1),ColDescriptionCourte)),""),
  "")),"")</f>
        <v/>
      </c>
      <c r="H88" s="40" t="str">
        <f ca="1">IFERROR(IF(AND(
  INDEX(Roadmap!$D:$K,MATCH($E88,Roadmap!$D:$D,0)+COUNTIF($E88:G88,"u")+COUNTIF($E88:G88,"t")+COUNTIF($E88:G88,"¶")+COUNTIF($E88:G88,"²")+COUNTIF($E88:G88,"µ")+COUNTIF($E88:G88,1),ColLivraison)=H$6,
  VLOOKUP($E88,INDIRECT("tri!"&amp; CHAR(64+ C0Col) &amp;":"&amp; CHAR(65+C0Col)),2,FALSE)&gt;COUNTIF($E88:G88,"u")+COUNTIF($E88:G88,"t")+COUNTIF($E88:G88,"¶")+COUNTIF($E88:G88,"²")+COUNTIF($E88:G88,"µ")+COUNTIF($E88:G88,1)),
HYPERLINK("#Roadmap!C"&amp; MATCH($E88,Roadmap!$D:$D,0)+COUNTIF($E88:G88,"u")+COUNTIF($E88:G88,"t"),
     INDEX(Roadmap!$D:$K,MATCH($E88,Roadmap!$D:$D,0)+COUNTIF($E88:G88,"u")+COUNTIF($E88:G88,"t")+COUNTIF($E88:G88,"¶")+COUNTIF($E88:G88,"²")+COUNTIF($E88:G88,"µ")+COUNTIF($E88:G88,1),ColTypeEcheance)),
  IF(LEN(G88)=1,
  IF(LEN(INDEX(Roadmap!$D:$K,MATCH($E88,Roadmap!$D:$D,0)-1+COUNTIF($E88:G88,"u")+COUNTIF($E88:G88,"t")+COUNTIF($E88:G88,"¶")+COUNTIF($E88:G88,"²")+COUNTIF($E88:G88,"µ")+COUNTIF($E88:G88,1),ColDescriptionCourte))&gt;1,
HYPERLINK("#Roadmap!C"&amp; MATCH($E88,Roadmap!$D:$D,0)+COUNTIF($E88:G88,"u")+COUNTIF($E88:G88,"t")+COUNTIF($E88:G88,"¶")+COUNTIF($E88:G88,"²")+COUNTIF($E88:G88,"µ")+COUNTIF($E88:G88,1)-1,INDEX(Roadmap!$D:$K,MATCH($E88,Roadmap!$D:$D,0)-1+COUNTIF($E88:G88,"u")+COUNTIF($E88:G88,"t")+COUNTIF($E88:G88,"¶")+COUNTIF($E88:G88,"²")+COUNTIF($E88:G88,"µ")+COUNTIF($E88:G88,1),ColDescriptionCourte)),""),
  "")),"")</f>
        <v/>
      </c>
      <c r="I88" s="40" t="str">
        <f ca="1">IFERROR(IF(AND(
  INDEX(Roadmap!$D:$K,MATCH($E88,Roadmap!$D:$D,0)+COUNTIF($E88:H88,"u")+COUNTIF($E88:H88,"t")+COUNTIF($E88:H88,"¶")+COUNTIF($E88:H88,"²")+COUNTIF($E88:H88,"µ")+COUNTIF($E88:H88,1),ColLivraison)=I$6,
  VLOOKUP($E88,INDIRECT("tri!"&amp; CHAR(64+ C0Col) &amp;":"&amp; CHAR(65+C0Col)),2,FALSE)&gt;COUNTIF($E88:H88,"u")+COUNTIF($E88:H88,"t")+COUNTIF($E88:H88,"¶")+COUNTIF($E88:H88,"²")+COUNTIF($E88:H88,"µ")+COUNTIF($E88:H88,1)),
HYPERLINK("#Roadmap!C"&amp; MATCH($E88,Roadmap!$D:$D,0)+COUNTIF($E88:H88,"u")+COUNTIF($E88:H88,"t"),
     INDEX(Roadmap!$D:$K,MATCH($E88,Roadmap!$D:$D,0)+COUNTIF($E88:H88,"u")+COUNTIF($E88:H88,"t")+COUNTIF($E88:H88,"¶")+COUNTIF($E88:H88,"²")+COUNTIF($E88:H88,"µ")+COUNTIF($E88:H88,1),ColTypeEcheance)),
  IF(LEN(H88)=1,
  IF(LEN(INDEX(Roadmap!$D:$K,MATCH($E88,Roadmap!$D:$D,0)-1+COUNTIF($E88:H88,"u")+COUNTIF($E88:H88,"t")+COUNTIF($E88:H88,"¶")+COUNTIF($E88:H88,"²")+COUNTIF($E88:H88,"µ")+COUNTIF($E88:H88,1),ColDescriptionCourte))&gt;1,
HYPERLINK("#Roadmap!C"&amp; MATCH($E88,Roadmap!$D:$D,0)+COUNTIF($E88:H88,"u")+COUNTIF($E88:H88,"t")+COUNTIF($E88:H88,"¶")+COUNTIF($E88:H88,"²")+COUNTIF($E88:H88,"µ")+COUNTIF($E88:H88,1)-1,INDEX(Roadmap!$D:$K,MATCH($E88,Roadmap!$D:$D,0)-1+COUNTIF($E88:H88,"u")+COUNTIF($E88:H88,"t")+COUNTIF($E88:H88,"¶")+COUNTIF($E88:H88,"²")+COUNTIF($E88:H88,"µ")+COUNTIF($E88:H88,1),ColDescriptionCourte)),""),
  "")),"")</f>
        <v/>
      </c>
      <c r="J88" s="40" t="str">
        <f ca="1">IFERROR(IF(AND(
  INDEX(Roadmap!$D:$K,MATCH($E88,Roadmap!$D:$D,0)+COUNTIF($E88:I88,"u")+COUNTIF($E88:I88,"t")+COUNTIF($E88:I88,"¶")+COUNTIF($E88:I88,"²")+COUNTIF($E88:I88,"µ")+COUNTIF($E88:I88,1),ColLivraison)=J$6,
  VLOOKUP($E88,INDIRECT("tri!"&amp; CHAR(64+ C0Col) &amp;":"&amp; CHAR(65+C0Col)),2,FALSE)&gt;COUNTIF($E88:I88,"u")+COUNTIF($E88:I88,"t")+COUNTIF($E88:I88,"¶")+COUNTIF($E88:I88,"²")+COUNTIF($E88:I88,"µ")+COUNTIF($E88:I88,1)),
HYPERLINK("#Roadmap!C"&amp; MATCH($E88,Roadmap!$D:$D,0)+COUNTIF($E88:I88,"u")+COUNTIF($E88:I88,"t"),
     INDEX(Roadmap!$D:$K,MATCH($E88,Roadmap!$D:$D,0)+COUNTIF($E88:I88,"u")+COUNTIF($E88:I88,"t")+COUNTIF($E88:I88,"¶")+COUNTIF($E88:I88,"²")+COUNTIF($E88:I88,"µ")+COUNTIF($E88:I88,1),ColTypeEcheance)),
  IF(LEN(I88)=1,
  IF(LEN(INDEX(Roadmap!$D:$K,MATCH($E88,Roadmap!$D:$D,0)-1+COUNTIF($E88:I88,"u")+COUNTIF($E88:I88,"t")+COUNTIF($E88:I88,"¶")+COUNTIF($E88:I88,"²")+COUNTIF($E88:I88,"µ")+COUNTIF($E88:I88,1),ColDescriptionCourte))&gt;1,
HYPERLINK("#Roadmap!C"&amp; MATCH($E88,Roadmap!$D:$D,0)+COUNTIF($E88:I88,"u")+COUNTIF($E88:I88,"t")+COUNTIF($E88:I88,"¶")+COUNTIF($E88:I88,"²")+COUNTIF($E88:I88,"µ")+COUNTIF($E88:I88,1)-1,INDEX(Roadmap!$D:$K,MATCH($E88,Roadmap!$D:$D,0)-1+COUNTIF($E88:I88,"u")+COUNTIF($E88:I88,"t")+COUNTIF($E88:I88,"¶")+COUNTIF($E88:I88,"²")+COUNTIF($E88:I88,"µ")+COUNTIF($E88:I88,1),ColDescriptionCourte)),""),
  "")),"")</f>
        <v/>
      </c>
      <c r="K88" s="40" t="str">
        <f ca="1">IFERROR(IF(AND(
  INDEX(Roadmap!$D:$K,MATCH($E88,Roadmap!$D:$D,0)+COUNTIF($E88:J88,"u")+COUNTIF($E88:J88,"t")+COUNTIF($E88:J88,"¶")+COUNTIF($E88:J88,"²")+COUNTIF($E88:J88,"µ")+COUNTIF($E88:J88,1),ColLivraison)=K$6,
  VLOOKUP($E88,INDIRECT("tri!"&amp; CHAR(64+ C0Col) &amp;":"&amp; CHAR(65+C0Col)),2,FALSE)&gt;COUNTIF($E88:J88,"u")+COUNTIF($E88:J88,"t")+COUNTIF($E88:J88,"¶")+COUNTIF($E88:J88,"²")+COUNTIF($E88:J88,"µ")+COUNTIF($E88:J88,1)),
HYPERLINK("#Roadmap!C"&amp; MATCH($E88,Roadmap!$D:$D,0)+COUNTIF($E88:J88,"u")+COUNTIF($E88:J88,"t"),
     INDEX(Roadmap!$D:$K,MATCH($E88,Roadmap!$D:$D,0)+COUNTIF($E88:J88,"u")+COUNTIF($E88:J88,"t")+COUNTIF($E88:J88,"¶")+COUNTIF($E88:J88,"²")+COUNTIF($E88:J88,"µ")+COUNTIF($E88:J88,1),ColTypeEcheance)),
  IF(LEN(J88)=1,
  IF(LEN(INDEX(Roadmap!$D:$K,MATCH($E88,Roadmap!$D:$D,0)-1+COUNTIF($E88:J88,"u")+COUNTIF($E88:J88,"t")+COUNTIF($E88:J88,"¶")+COUNTIF($E88:J88,"²")+COUNTIF($E88:J88,"µ")+COUNTIF($E88:J88,1),ColDescriptionCourte))&gt;1,
HYPERLINK("#Roadmap!C"&amp; MATCH($E88,Roadmap!$D:$D,0)+COUNTIF($E88:J88,"u")+COUNTIF($E88:J88,"t")+COUNTIF($E88:J88,"¶")+COUNTIF($E88:J88,"²")+COUNTIF($E88:J88,"µ")+COUNTIF($E88:J88,1)-1,INDEX(Roadmap!$D:$K,MATCH($E88,Roadmap!$D:$D,0)-1+COUNTIF($E88:J88,"u")+COUNTIF($E88:J88,"t")+COUNTIF($E88:J88,"¶")+COUNTIF($E88:J88,"²")+COUNTIF($E88:J88,"µ")+COUNTIF($E88:J88,1),ColDescriptionCourte)),""),
  "")),"")</f>
        <v/>
      </c>
      <c r="L88" s="39" t="str">
        <f ca="1">IFERROR(IF(AND(
  INDEX(Roadmap!$D:$K,MATCH($E88,Roadmap!$D:$D,0)+COUNTIF($E88:K88,"u")+COUNTIF($E88:K88,"t")+COUNTIF($E88:K88,"¶")+COUNTIF($E88:K88,"²")+COUNTIF($E88:K88,"µ")+COUNTIF($E88:K88,1),ColLivraison)=L$6,
  VLOOKUP($E88,INDIRECT("tri!"&amp; CHAR(64+ C0Col) &amp;":"&amp; CHAR(65+C0Col)),2,FALSE)&gt;COUNTIF($E88:K88,"u")+COUNTIF($E88:K88,"t")+COUNTIF($E88:K88,"¶")+COUNTIF($E88:K88,"²")+COUNTIF($E88:K88,"µ")+COUNTIF($E88:K88,1)),
HYPERLINK("#Roadmap!C"&amp; MATCH($E88,Roadmap!$D:$D,0)+COUNTIF($E88:K88,"u")+COUNTIF($E88:K88,"t"),
     INDEX(Roadmap!$D:$K,MATCH($E88,Roadmap!$D:$D,0)+COUNTIF($E88:K88,"u")+COUNTIF($E88:K88,"t")+COUNTIF($E88:K88,"¶")+COUNTIF($E88:K88,"²")+COUNTIF($E88:K88,"µ")+COUNTIF($E88:K88,1),ColTypeEcheance)),
  IF(LEN(K88)=1,
  IF(LEN(INDEX(Roadmap!$D:$K,MATCH($E88,Roadmap!$D:$D,0)-1+COUNTIF($E88:K88,"u")+COUNTIF($E88:K88,"t")+COUNTIF($E88:K88,"¶")+COUNTIF($E88:K88,"²")+COUNTIF($E88:K88,"µ")+COUNTIF($E88:K88,1),ColDescriptionCourte))&gt;1,
HYPERLINK("#Roadmap!C"&amp; MATCH($E88,Roadmap!$D:$D,0)+COUNTIF($E88:K88,"u")+COUNTIF($E88:K88,"t")+COUNTIF($E88:K88,"¶")+COUNTIF($E88:K88,"²")+COUNTIF($E88:K88,"µ")+COUNTIF($E88:K88,1)-1,INDEX(Roadmap!$D:$K,MATCH($E88,Roadmap!$D:$D,0)-1+COUNTIF($E88:K88,"u")+COUNTIF($E88:K88,"t")+COUNTIF($E88:K88,"¶")+COUNTIF($E88:K88,"²")+COUNTIF($E88:K88,"µ")+COUNTIF($E88:K88,1),ColDescriptionCourte)),""),
  "")),"")</f>
        <v/>
      </c>
      <c r="M88" s="40" t="str">
        <f ca="1">IFERROR(IF(AND(
  INDEX(Roadmap!$D:$K,MATCH($E88,Roadmap!$D:$D,0)+COUNTIF($E88:L88,"u")+COUNTIF($E88:L88,"t")+COUNTIF($E88:L88,"¶")+COUNTIF($E88:L88,"²")+COUNTIF($E88:L88,"µ")+COUNTIF($E88:L88,1),ColLivraison)=M$6,
  VLOOKUP($E88,INDIRECT("tri!"&amp; CHAR(64+ C0Col) &amp;":"&amp; CHAR(65+C0Col)),2,FALSE)&gt;COUNTIF($E88:L88,"u")+COUNTIF($E88:L88,"t")+COUNTIF($E88:L88,"¶")+COUNTIF($E88:L88,"²")+COUNTIF($E88:L88,"µ")+COUNTIF($E88:L88,1)),
HYPERLINK("#Roadmap!C"&amp; MATCH($E88,Roadmap!$D:$D,0)+COUNTIF($E88:L88,"u")+COUNTIF($E88:L88,"t"),
     INDEX(Roadmap!$D:$K,MATCH($E88,Roadmap!$D:$D,0)+COUNTIF($E88:L88,"u")+COUNTIF($E88:L88,"t")+COUNTIF($E88:L88,"¶")+COUNTIF($E88:L88,"²")+COUNTIF($E88:L88,"µ")+COUNTIF($E88:L88,1),ColTypeEcheance)),
  IF(LEN(L88)=1,
  IF(LEN(INDEX(Roadmap!$D:$K,MATCH($E88,Roadmap!$D:$D,0)-1+COUNTIF($E88:L88,"u")+COUNTIF($E88:L88,"t")+COUNTIF($E88:L88,"¶")+COUNTIF($E88:L88,"²")+COUNTIF($E88:L88,"µ")+COUNTIF($E88:L88,1),ColDescriptionCourte))&gt;1,
HYPERLINK("#Roadmap!C"&amp; MATCH($E88,Roadmap!$D:$D,0)+COUNTIF($E88:L88,"u")+COUNTIF($E88:L88,"t")+COUNTIF($E88:L88,"¶")+COUNTIF($E88:L88,"²")+COUNTIF($E88:L88,"µ")+COUNTIF($E88:L88,1)-1,INDEX(Roadmap!$D:$K,MATCH($E88,Roadmap!$D:$D,0)-1+COUNTIF($E88:L88,"u")+COUNTIF($E88:L88,"t")+COUNTIF($E88:L88,"¶")+COUNTIF($E88:L88,"²")+COUNTIF($E88:L88,"µ")+COUNTIF($E88:L88,1),ColDescriptionCourte)),""),
  "")),"")</f>
        <v/>
      </c>
      <c r="N88" s="40" t="str">
        <f ca="1">IFERROR(IF(AND(
  INDEX(Roadmap!$D:$K,MATCH($E88,Roadmap!$D:$D,0)+COUNTIF($E88:M88,"u")+COUNTIF($E88:M88,"t")+COUNTIF($E88:M88,"¶")+COUNTIF($E88:M88,"²")+COUNTIF($E88:M88,"µ")+COUNTIF($E88:M88,1),ColLivraison)=N$6,
  VLOOKUP($E88,INDIRECT("tri!"&amp; CHAR(64+ C0Col) &amp;":"&amp; CHAR(65+C0Col)),2,FALSE)&gt;COUNTIF($E88:M88,"u")+COUNTIF($E88:M88,"t")+COUNTIF($E88:M88,"¶")+COUNTIF($E88:M88,"²")+COUNTIF($E88:M88,"µ")+COUNTIF($E88:M88,1)),
HYPERLINK("#Roadmap!C"&amp; MATCH($E88,Roadmap!$D:$D,0)+COUNTIF($E88:M88,"u")+COUNTIF($E88:M88,"t"),
     INDEX(Roadmap!$D:$K,MATCH($E88,Roadmap!$D:$D,0)+COUNTIF($E88:M88,"u")+COUNTIF($E88:M88,"t")+COUNTIF($E88:M88,"¶")+COUNTIF($E88:M88,"²")+COUNTIF($E88:M88,"µ")+COUNTIF($E88:M88,1),ColTypeEcheance)),
  IF(LEN(M88)=1,
  IF(LEN(INDEX(Roadmap!$D:$K,MATCH($E88,Roadmap!$D:$D,0)-1+COUNTIF($E88:M88,"u")+COUNTIF($E88:M88,"t")+COUNTIF($E88:M88,"¶")+COUNTIF($E88:M88,"²")+COUNTIF($E88:M88,"µ")+COUNTIF($E88:M88,1),ColDescriptionCourte))&gt;1,
HYPERLINK("#Roadmap!C"&amp; MATCH($E88,Roadmap!$D:$D,0)+COUNTIF($E88:M88,"u")+COUNTIF($E88:M88,"t")+COUNTIF($E88:M88,"¶")+COUNTIF($E88:M88,"²")+COUNTIF($E88:M88,"µ")+COUNTIF($E88:M88,1)-1,INDEX(Roadmap!$D:$K,MATCH($E88,Roadmap!$D:$D,0)-1+COUNTIF($E88:M88,"u")+COUNTIF($E88:M88,"t")+COUNTIF($E88:M88,"¶")+COUNTIF($E88:M88,"²")+COUNTIF($E88:M88,"µ")+COUNTIF($E88:M88,1),ColDescriptionCourte)),""),
  "")),"")</f>
        <v/>
      </c>
      <c r="O88" s="40" t="str">
        <f ca="1">IFERROR(IF(AND(
  INDEX(Roadmap!$D:$K,MATCH($E88,Roadmap!$D:$D,0)+COUNTIF($E88:N88,"u")+COUNTIF($E88:N88,"t")+COUNTIF($E88:N88,"¶")+COUNTIF($E88:N88,"²")+COUNTIF($E88:N88,"µ")+COUNTIF($E88:N88,1),ColLivraison)=O$6,
  VLOOKUP($E88,INDIRECT("tri!"&amp; CHAR(64+ C0Col) &amp;":"&amp; CHAR(65+C0Col)),2,FALSE)&gt;COUNTIF($E88:N88,"u")+COUNTIF($E88:N88,"t")+COUNTIF($E88:N88,"¶")+COUNTIF($E88:N88,"²")+COUNTIF($E88:N88,"µ")+COUNTIF($E88:N88,1)),
HYPERLINK("#Roadmap!C"&amp; MATCH($E88,Roadmap!$D:$D,0)+COUNTIF($E88:N88,"u")+COUNTIF($E88:N88,"t"),
     INDEX(Roadmap!$D:$K,MATCH($E88,Roadmap!$D:$D,0)+COUNTIF($E88:N88,"u")+COUNTIF($E88:N88,"t")+COUNTIF($E88:N88,"¶")+COUNTIF($E88:N88,"²")+COUNTIF($E88:N88,"µ")+COUNTIF($E88:N88,1),ColTypeEcheance)),
  IF(LEN(N88)=1,
  IF(LEN(INDEX(Roadmap!$D:$K,MATCH($E88,Roadmap!$D:$D,0)-1+COUNTIF($E88:N88,"u")+COUNTIF($E88:N88,"t")+COUNTIF($E88:N88,"¶")+COUNTIF($E88:N88,"²")+COUNTIF($E88:N88,"µ")+COUNTIF($E88:N88,1),ColDescriptionCourte))&gt;1,
HYPERLINK("#Roadmap!C"&amp; MATCH($E88,Roadmap!$D:$D,0)+COUNTIF($E88:N88,"u")+COUNTIF($E88:N88,"t")+COUNTIF($E88:N88,"¶")+COUNTIF($E88:N88,"²")+COUNTIF($E88:N88,"µ")+COUNTIF($E88:N88,1)-1,INDEX(Roadmap!$D:$K,MATCH($E88,Roadmap!$D:$D,0)-1+COUNTIF($E88:N88,"u")+COUNTIF($E88:N88,"t")+COUNTIF($E88:N88,"¶")+COUNTIF($E88:N88,"²")+COUNTIF($E88:N88,"µ")+COUNTIF($E88:N88,1),ColDescriptionCourte)),""),
  "")),"")</f>
        <v/>
      </c>
      <c r="P88" s="40" t="str">
        <f ca="1">IFERROR(IF(AND(
  INDEX(Roadmap!$D:$K,MATCH($E88,Roadmap!$D:$D,0)+COUNTIF($E88:O88,"u")+COUNTIF($E88:O88,"t")+COUNTIF($E88:O88,"¶")+COUNTIF($E88:O88,"²")+COUNTIF($E88:O88,"µ")+COUNTIF($E88:O88,1),ColLivraison)=P$6,
  VLOOKUP($E88,INDIRECT("tri!"&amp; CHAR(64+ C0Col) &amp;":"&amp; CHAR(65+C0Col)),2,FALSE)&gt;COUNTIF($E88:O88,"u")+COUNTIF($E88:O88,"t")+COUNTIF($E88:O88,"¶")+COUNTIF($E88:O88,"²")+COUNTIF($E88:O88,"µ")+COUNTIF($E88:O88,1)),
HYPERLINK("#Roadmap!C"&amp; MATCH($E88,Roadmap!$D:$D,0)+COUNTIF($E88:O88,"u")+COUNTIF($E88:O88,"t"),
     INDEX(Roadmap!$D:$K,MATCH($E88,Roadmap!$D:$D,0)+COUNTIF($E88:O88,"u")+COUNTIF($E88:O88,"t")+COUNTIF($E88:O88,"¶")+COUNTIF($E88:O88,"²")+COUNTIF($E88:O88,"µ")+COUNTIF($E88:O88,1),ColTypeEcheance)),
  IF(LEN(O88)=1,
  IF(LEN(INDEX(Roadmap!$D:$K,MATCH($E88,Roadmap!$D:$D,0)-1+COUNTIF($E88:O88,"u")+COUNTIF($E88:O88,"t")+COUNTIF($E88:O88,"¶")+COUNTIF($E88:O88,"²")+COUNTIF($E88:O88,"µ")+COUNTIF($E88:O88,1),ColDescriptionCourte))&gt;1,
HYPERLINK("#Roadmap!C"&amp; MATCH($E88,Roadmap!$D:$D,0)+COUNTIF($E88:O88,"u")+COUNTIF($E88:O88,"t")+COUNTIF($E88:O88,"¶")+COUNTIF($E88:O88,"²")+COUNTIF($E88:O88,"µ")+COUNTIF($E88:O88,1)-1,INDEX(Roadmap!$D:$K,MATCH($E88,Roadmap!$D:$D,0)-1+COUNTIF($E88:O88,"u")+COUNTIF($E88:O88,"t")+COUNTIF($E88:O88,"¶")+COUNTIF($E88:O88,"²")+COUNTIF($E88:O88,"µ")+COUNTIF($E88:O88,1),ColDescriptionCourte)),""),
  "")),"")</f>
        <v/>
      </c>
      <c r="Q88" s="40" t="str">
        <f ca="1">IFERROR(IF(AND(
  INDEX(Roadmap!$D:$K,MATCH($E88,Roadmap!$D:$D,0)+COUNTIF($E88:P88,"u")+COUNTIF($E88:P88,"t")+COUNTIF($E88:P88,"¶")+COUNTIF($E88:P88,"²")+COUNTIF($E88:P88,"µ")+COUNTIF($E88:P88,1),ColLivraison)=Q$6,
  VLOOKUP($E88,INDIRECT("tri!"&amp; CHAR(64+ C0Col) &amp;":"&amp; CHAR(65+C0Col)),2,FALSE)&gt;COUNTIF($E88:P88,"u")+COUNTIF($E88:P88,"t")+COUNTIF($E88:P88,"¶")+COUNTIF($E88:P88,"²")+COUNTIF($E88:P88,"µ")+COUNTIF($E88:P88,1)),
HYPERLINK("#Roadmap!C"&amp; MATCH($E88,Roadmap!$D:$D,0)+COUNTIF($E88:P88,"u")+COUNTIF($E88:P88,"t"),
     INDEX(Roadmap!$D:$K,MATCH($E88,Roadmap!$D:$D,0)+COUNTIF($E88:P88,"u")+COUNTIF($E88:P88,"t")+COUNTIF($E88:P88,"¶")+COUNTIF($E88:P88,"²")+COUNTIF($E88:P88,"µ")+COUNTIF($E88:P88,1),ColTypeEcheance)),
  IF(LEN(P88)=1,
  IF(LEN(INDEX(Roadmap!$D:$K,MATCH($E88,Roadmap!$D:$D,0)-1+COUNTIF($E88:P88,"u")+COUNTIF($E88:P88,"t")+COUNTIF($E88:P88,"¶")+COUNTIF($E88:P88,"²")+COUNTIF($E88:P88,"µ")+COUNTIF($E88:P88,1),ColDescriptionCourte))&gt;1,
HYPERLINK("#Roadmap!C"&amp; MATCH($E88,Roadmap!$D:$D,0)+COUNTIF($E88:P88,"u")+COUNTIF($E88:P88,"t")+COUNTIF($E88:P88,"¶")+COUNTIF($E88:P88,"²")+COUNTIF($E88:P88,"µ")+COUNTIF($E88:P88,1)-1,INDEX(Roadmap!$D:$K,MATCH($E88,Roadmap!$D:$D,0)-1+COUNTIF($E88:P88,"u")+COUNTIF($E88:P88,"t")+COUNTIF($E88:P88,"¶")+COUNTIF($E88:P88,"²")+COUNTIF($E88:P88,"µ")+COUNTIF($E88:P88,1),ColDescriptionCourte)),""),
  "")),"")</f>
        <v/>
      </c>
      <c r="R88" s="40" t="str">
        <f ca="1">IFERROR(IF(AND(
  INDEX(Roadmap!$D:$K,MATCH($E88,Roadmap!$D:$D,0)+COUNTIF($E88:Q88,"u")+COUNTIF($E88:Q88,"t")+COUNTIF($E88:Q88,"¶")+COUNTIF($E88:Q88,"²")+COUNTIF($E88:Q88,"µ")+COUNTIF($E88:Q88,1),ColLivraison)=R$6,
  VLOOKUP($E88,INDIRECT("tri!"&amp; CHAR(64+ C0Col) &amp;":"&amp; CHAR(65+C0Col)),2,FALSE)&gt;COUNTIF($E88:Q88,"u")+COUNTIF($E88:Q88,"t")+COUNTIF($E88:Q88,"¶")+COUNTIF($E88:Q88,"²")+COUNTIF($E88:Q88,"µ")+COUNTIF($E88:Q88,1)),
HYPERLINK("#Roadmap!C"&amp; MATCH($E88,Roadmap!$D:$D,0)+COUNTIF($E88:Q88,"u")+COUNTIF($E88:Q88,"t"),
     INDEX(Roadmap!$D:$K,MATCH($E88,Roadmap!$D:$D,0)+COUNTIF($E88:Q88,"u")+COUNTIF($E88:Q88,"t")+COUNTIF($E88:Q88,"¶")+COUNTIF($E88:Q88,"²")+COUNTIF($E88:Q88,"µ")+COUNTIF($E88:Q88,1),ColTypeEcheance)),
  IF(LEN(Q88)=1,
  IF(LEN(INDEX(Roadmap!$D:$K,MATCH($E88,Roadmap!$D:$D,0)-1+COUNTIF($E88:Q88,"u")+COUNTIF($E88:Q88,"t")+COUNTIF($E88:Q88,"¶")+COUNTIF($E88:Q88,"²")+COUNTIF($E88:Q88,"µ")+COUNTIF($E88:Q88,1),ColDescriptionCourte))&gt;1,
HYPERLINK("#Roadmap!C"&amp; MATCH($E88,Roadmap!$D:$D,0)+COUNTIF($E88:Q88,"u")+COUNTIF($E88:Q88,"t")+COUNTIF($E88:Q88,"¶")+COUNTIF($E88:Q88,"²")+COUNTIF($E88:Q88,"µ")+COUNTIF($E88:Q88,1)-1,INDEX(Roadmap!$D:$K,MATCH($E88,Roadmap!$D:$D,0)-1+COUNTIF($E88:Q88,"u")+COUNTIF($E88:Q88,"t")+COUNTIF($E88:Q88,"¶")+COUNTIF($E88:Q88,"²")+COUNTIF($E88:Q88,"µ")+COUNTIF($E88:Q88,1),ColDescriptionCourte)),""),
  "")),"")</f>
        <v/>
      </c>
      <c r="S88" s="40" t="str">
        <f ca="1">IFERROR(IF(AND(
  INDEX(Roadmap!$D:$K,MATCH($E88,Roadmap!$D:$D,0)+COUNTIF($E88:R88,"u")+COUNTIF($E88:R88,"t")+COUNTIF($E88:R88,"¶")+COUNTIF($E88:R88,"²")+COUNTIF($E88:R88,"µ")+COUNTIF($E88:R88,1),ColLivraison)=S$6,
  VLOOKUP($E88,INDIRECT("tri!"&amp; CHAR(64+ C0Col) &amp;":"&amp; CHAR(65+C0Col)),2,FALSE)&gt;COUNTIF($E88:R88,"u")+COUNTIF($E88:R88,"t")+COUNTIF($E88:R88,"¶")+COUNTIF($E88:R88,"²")+COUNTIF($E88:R88,"µ")+COUNTIF($E88:R88,1)),
HYPERLINK("#Roadmap!C"&amp; MATCH($E88,Roadmap!$D:$D,0)+COUNTIF($E88:R88,"u")+COUNTIF($E88:R88,"t"),
     INDEX(Roadmap!$D:$K,MATCH($E88,Roadmap!$D:$D,0)+COUNTIF($E88:R88,"u")+COUNTIF($E88:R88,"t")+COUNTIF($E88:R88,"¶")+COUNTIF($E88:R88,"²")+COUNTIF($E88:R88,"µ")+COUNTIF($E88:R88,1),ColTypeEcheance)),
  IF(LEN(R88)=1,
  IF(LEN(INDEX(Roadmap!$D:$K,MATCH($E88,Roadmap!$D:$D,0)-1+COUNTIF($E88:R88,"u")+COUNTIF($E88:R88,"t")+COUNTIF($E88:R88,"¶")+COUNTIF($E88:R88,"²")+COUNTIF($E88:R88,"µ")+COUNTIF($E88:R88,1),ColDescriptionCourte))&gt;1,
HYPERLINK("#Roadmap!C"&amp; MATCH($E88,Roadmap!$D:$D,0)+COUNTIF($E88:R88,"u")+COUNTIF($E88:R88,"t")+COUNTIF($E88:R88,"¶")+COUNTIF($E88:R88,"²")+COUNTIF($E88:R88,"µ")+COUNTIF($E88:R88,1)-1,INDEX(Roadmap!$D:$K,MATCH($E88,Roadmap!$D:$D,0)-1+COUNTIF($E88:R88,"u")+COUNTIF($E88:R88,"t")+COUNTIF($E88:R88,"¶")+COUNTIF($E88:R88,"²")+COUNTIF($E88:R88,"µ")+COUNTIF($E88:R88,1),ColDescriptionCourte)),""),
  "")),"")</f>
        <v/>
      </c>
      <c r="T88" s="40" t="str">
        <f ca="1">IFERROR(IF(AND(
  INDEX(Roadmap!$D:$K,MATCH($E88,Roadmap!$D:$D,0)+COUNTIF($E88:S88,"u")+COUNTIF($E88:S88,"t")+COUNTIF($E88:S88,"¶")+COUNTIF($E88:S88,"²")+COUNTIF($E88:S88,"µ")+COUNTIF($E88:S88,1),ColLivraison)=T$6,
  VLOOKUP($E88,INDIRECT("tri!"&amp; CHAR(64+ C0Col) &amp;":"&amp; CHAR(65+C0Col)),2,FALSE)&gt;COUNTIF($E88:S88,"u")+COUNTIF($E88:S88,"t")+COUNTIF($E88:S88,"¶")+COUNTIF($E88:S88,"²")+COUNTIF($E88:S88,"µ")+COUNTIF($E88:S88,1)),
HYPERLINK("#Roadmap!C"&amp; MATCH($E88,Roadmap!$D:$D,0)+COUNTIF($E88:S88,"u")+COUNTIF($E88:S88,"t"),
     INDEX(Roadmap!$D:$K,MATCH($E88,Roadmap!$D:$D,0)+COUNTIF($E88:S88,"u")+COUNTIF($E88:S88,"t")+COUNTIF($E88:S88,"¶")+COUNTIF($E88:S88,"²")+COUNTIF($E88:S88,"µ")+COUNTIF($E88:S88,1),ColTypeEcheance)),
  IF(LEN(S88)=1,
  IF(LEN(INDEX(Roadmap!$D:$K,MATCH($E88,Roadmap!$D:$D,0)-1+COUNTIF($E88:S88,"u")+COUNTIF($E88:S88,"t")+COUNTIF($E88:S88,"¶")+COUNTIF($E88:S88,"²")+COUNTIF($E88:S88,"µ")+COUNTIF($E88:S88,1),ColDescriptionCourte))&gt;1,
HYPERLINK("#Roadmap!C"&amp; MATCH($E88,Roadmap!$D:$D,0)+COUNTIF($E88:S88,"u")+COUNTIF($E88:S88,"t")+COUNTIF($E88:S88,"¶")+COUNTIF($E88:S88,"²")+COUNTIF($E88:S88,"µ")+COUNTIF($E88:S88,1)-1,INDEX(Roadmap!$D:$K,MATCH($E88,Roadmap!$D:$D,0)-1+COUNTIF($E88:S88,"u")+COUNTIF($E88:S88,"t")+COUNTIF($E88:S88,"¶")+COUNTIF($E88:S88,"²")+COUNTIF($E88:S88,"µ")+COUNTIF($E88:S88,1),ColDescriptionCourte)),""),
  "")),"")</f>
        <v/>
      </c>
      <c r="U88" s="40" t="str">
        <f ca="1">IFERROR(IF(AND(
  INDEX(Roadmap!$D:$K,MATCH($E88,Roadmap!$D:$D,0)+COUNTIF($E88:T88,"u")+COUNTIF($E88:T88,"t")+COUNTIF($E88:T88,"¶")+COUNTIF($E88:T88,"²")+COUNTIF($E88:T88,"µ")+COUNTIF($E88:T88,1),ColLivraison)=U$6,
  VLOOKUP($E88,INDIRECT("tri!"&amp; CHAR(64+ C0Col) &amp;":"&amp; CHAR(65+C0Col)),2,FALSE)&gt;COUNTIF($E88:T88,"u")+COUNTIF($E88:T88,"t")+COUNTIF($E88:T88,"¶")+COUNTIF($E88:T88,"²")+COUNTIF($E88:T88,"µ")+COUNTIF($E88:T88,1)),
HYPERLINK("#Roadmap!C"&amp; MATCH($E88,Roadmap!$D:$D,0)+COUNTIF($E88:T88,"u")+COUNTIF($E88:T88,"t"),
     INDEX(Roadmap!$D:$K,MATCH($E88,Roadmap!$D:$D,0)+COUNTIF($E88:T88,"u")+COUNTIF($E88:T88,"t")+COUNTIF($E88:T88,"¶")+COUNTIF($E88:T88,"²")+COUNTIF($E88:T88,"µ")+COUNTIF($E88:T88,1),ColTypeEcheance)),
  IF(LEN(T88)=1,
  IF(LEN(INDEX(Roadmap!$D:$K,MATCH($E88,Roadmap!$D:$D,0)-1+COUNTIF($E88:T88,"u")+COUNTIF($E88:T88,"t")+COUNTIF($E88:T88,"¶")+COUNTIF($E88:T88,"²")+COUNTIF($E88:T88,"µ")+COUNTIF($E88:T88,1),ColDescriptionCourte))&gt;1,
HYPERLINK("#Roadmap!C"&amp; MATCH($E88,Roadmap!$D:$D,0)+COUNTIF($E88:T88,"u")+COUNTIF($E88:T88,"t")+COUNTIF($E88:T88,"¶")+COUNTIF($E88:T88,"²")+COUNTIF($E88:T88,"µ")+COUNTIF($E88:T88,1)-1,INDEX(Roadmap!$D:$K,MATCH($E88,Roadmap!$D:$D,0)-1+COUNTIF($E88:T88,"u")+COUNTIF($E88:T88,"t")+COUNTIF($E88:T88,"¶")+COUNTIF($E88:T88,"²")+COUNTIF($E88:T88,"µ")+COUNTIF($E88:T88,1),ColDescriptionCourte)),""),
  "")),"")</f>
        <v/>
      </c>
      <c r="V88" s="40" t="str">
        <f ca="1">IFERROR(IF(AND(
  INDEX(Roadmap!$D:$K,MATCH($E88,Roadmap!$D:$D,0)+COUNTIF($E88:U88,"u")+COUNTIF($E88:U88,"t")+COUNTIF($E88:U88,"¶")+COUNTIF($E88:U88,"²")+COUNTIF($E88:U88,"µ")+COUNTIF($E88:U88,1),ColLivraison)=V$6,
  VLOOKUP($E88,INDIRECT("tri!"&amp; CHAR(64+ C0Col) &amp;":"&amp; CHAR(65+C0Col)),2,FALSE)&gt;COUNTIF($E88:U88,"u")+COUNTIF($E88:U88,"t")+COUNTIF($E88:U88,"¶")+COUNTIF($E88:U88,"²")+COUNTIF($E88:U88,"µ")+COUNTIF($E88:U88,1)),
HYPERLINK("#Roadmap!C"&amp; MATCH($E88,Roadmap!$D:$D,0)+COUNTIF($E88:U88,"u")+COUNTIF($E88:U88,"t"),
     INDEX(Roadmap!$D:$K,MATCH($E88,Roadmap!$D:$D,0)+COUNTIF($E88:U88,"u")+COUNTIF($E88:U88,"t")+COUNTIF($E88:U88,"¶")+COUNTIF($E88:U88,"²")+COUNTIF($E88:U88,"µ")+COUNTIF($E88:U88,1),ColTypeEcheance)),
  IF(LEN(U88)=1,
  IF(LEN(INDEX(Roadmap!$D:$K,MATCH($E88,Roadmap!$D:$D,0)-1+COUNTIF($E88:U88,"u")+COUNTIF($E88:U88,"t")+COUNTIF($E88:U88,"¶")+COUNTIF($E88:U88,"²")+COUNTIF($E88:U88,"µ")+COUNTIF($E88:U88,1),ColDescriptionCourte))&gt;1,
HYPERLINK("#Roadmap!C"&amp; MATCH($E88,Roadmap!$D:$D,0)+COUNTIF($E88:U88,"u")+COUNTIF($E88:U88,"t")+COUNTIF($E88:U88,"¶")+COUNTIF($E88:U88,"²")+COUNTIF($E88:U88,"µ")+COUNTIF($E88:U88,1)-1,INDEX(Roadmap!$D:$K,MATCH($E88,Roadmap!$D:$D,0)-1+COUNTIF($E88:U88,"u")+COUNTIF($E88:U88,"t")+COUNTIF($E88:U88,"¶")+COUNTIF($E88:U88,"²")+COUNTIF($E88:U88,"µ")+COUNTIF($E88:U88,1),ColDescriptionCourte)),""),
  "")),"")</f>
        <v/>
      </c>
      <c r="W88" s="40" t="str">
        <f ca="1">IFERROR(IF(AND(
  INDEX(Roadmap!$D:$K,MATCH($E88,Roadmap!$D:$D,0)+COUNTIF($E88:V88,"u")+COUNTIF($E88:V88,"t")+COUNTIF($E88:V88,"¶")+COUNTIF($E88:V88,"²")+COUNTIF($E88:V88,"µ")+COUNTIF($E88:V88,1),ColLivraison)=W$6,
  VLOOKUP($E88,INDIRECT("tri!"&amp; CHAR(64+ C0Col) &amp;":"&amp; CHAR(65+C0Col)),2,FALSE)&gt;COUNTIF($E88:V88,"u")+COUNTIF($E88:V88,"t")+COUNTIF($E88:V88,"¶")+COUNTIF($E88:V88,"²")+COUNTIF($E88:V88,"µ")+COUNTIF($E88:V88,1)),
HYPERLINK("#Roadmap!C"&amp; MATCH($E88,Roadmap!$D:$D,0)+COUNTIF($E88:V88,"u")+COUNTIF($E88:V88,"t"),
     INDEX(Roadmap!$D:$K,MATCH($E88,Roadmap!$D:$D,0)+COUNTIF($E88:V88,"u")+COUNTIF($E88:V88,"t")+COUNTIF($E88:V88,"¶")+COUNTIF($E88:V88,"²")+COUNTIF($E88:V88,"µ")+COUNTIF($E88:V88,1),ColTypeEcheance)),
  IF(LEN(V88)=1,
  IF(LEN(INDEX(Roadmap!$D:$K,MATCH($E88,Roadmap!$D:$D,0)-1+COUNTIF($E88:V88,"u")+COUNTIF($E88:V88,"t")+COUNTIF($E88:V88,"¶")+COUNTIF($E88:V88,"²")+COUNTIF($E88:V88,"µ")+COUNTIF($E88:V88,1),ColDescriptionCourte))&gt;1,
HYPERLINK("#Roadmap!C"&amp; MATCH($E88,Roadmap!$D:$D,0)+COUNTIF($E88:V88,"u")+COUNTIF($E88:V88,"t")+COUNTIF($E88:V88,"¶")+COUNTIF($E88:V88,"²")+COUNTIF($E88:V88,"µ")+COUNTIF($E88:V88,1)-1,INDEX(Roadmap!$D:$K,MATCH($E88,Roadmap!$D:$D,0)-1+COUNTIF($E88:V88,"u")+COUNTIF($E88:V88,"t")+COUNTIF($E88:V88,"¶")+COUNTIF($E88:V88,"²")+COUNTIF($E88:V88,"µ")+COUNTIF($E88:V88,1),ColDescriptionCourte)),""),
  "")),"")</f>
        <v/>
      </c>
      <c r="X88" s="40" t="str">
        <f ca="1">IFERROR(IF(AND(
  INDEX(Roadmap!$D:$K,MATCH($E88,Roadmap!$D:$D,0)+COUNTIF($E88:W88,"u")+COUNTIF($E88:W88,"t")+COUNTIF($E88:W88,"¶")+COUNTIF($E88:W88,"²")+COUNTIF($E88:W88,"µ")+COUNTIF($E88:W88,1),ColLivraison)=X$6,
  VLOOKUP($E88,INDIRECT("tri!"&amp; CHAR(64+ C0Col) &amp;":"&amp; CHAR(65+C0Col)),2,FALSE)&gt;COUNTIF($E88:W88,"u")+COUNTIF($E88:W88,"t")+COUNTIF($E88:W88,"¶")+COUNTIF($E88:W88,"²")+COUNTIF($E88:W88,"µ")+COUNTIF($E88:W88,1)),
HYPERLINK("#Roadmap!C"&amp; MATCH($E88,Roadmap!$D:$D,0)+COUNTIF($E88:W88,"u")+COUNTIF($E88:W88,"t"),
     INDEX(Roadmap!$D:$K,MATCH($E88,Roadmap!$D:$D,0)+COUNTIF($E88:W88,"u")+COUNTIF($E88:W88,"t")+COUNTIF($E88:W88,"¶")+COUNTIF($E88:W88,"²")+COUNTIF($E88:W88,"µ")+COUNTIF($E88:W88,1),ColTypeEcheance)),
  IF(LEN(W88)=1,
  IF(LEN(INDEX(Roadmap!$D:$K,MATCH($E88,Roadmap!$D:$D,0)-1+COUNTIF($E88:W88,"u")+COUNTIF($E88:W88,"t")+COUNTIF($E88:W88,"¶")+COUNTIF($E88:W88,"²")+COUNTIF($E88:W88,"µ")+COUNTIF($E88:W88,1),ColDescriptionCourte))&gt;1,
HYPERLINK("#Roadmap!C"&amp; MATCH($E88,Roadmap!$D:$D,0)+COUNTIF($E88:W88,"u")+COUNTIF($E88:W88,"t")+COUNTIF($E88:W88,"¶")+COUNTIF($E88:W88,"²")+COUNTIF($E88:W88,"µ")+COUNTIF($E88:W88,1)-1,INDEX(Roadmap!$D:$K,MATCH($E88,Roadmap!$D:$D,0)-1+COUNTIF($E88:W88,"u")+COUNTIF($E88:W88,"t")+COUNTIF($E88:W88,"¶")+COUNTIF($E88:W88,"²")+COUNTIF($E88:W88,"µ")+COUNTIF($E88:W88,1),ColDescriptionCourte)),""),
  "")),"")</f>
        <v/>
      </c>
      <c r="Y88" s="40" t="str">
        <f ca="1">IFERROR(IF(AND(
  INDEX(Roadmap!$D:$K,MATCH($E88,Roadmap!$D:$D,0)+COUNTIF($E88:X88,"u")+COUNTIF($E88:X88,"t")+COUNTIF($E88:X88,"¶")+COUNTIF($E88:X88,"²")+COUNTIF($E88:X88,"µ")+COUNTIF($E88:X88,1),ColLivraison)=Y$6,
  VLOOKUP($E88,INDIRECT("tri!"&amp; CHAR(64+ C0Col) &amp;":"&amp; CHAR(65+C0Col)),2,FALSE)&gt;COUNTIF($E88:X88,"u")+COUNTIF($E88:X88,"t")+COUNTIF($E88:X88,"¶")+COUNTIF($E88:X88,"²")+COUNTIF($E88:X88,"µ")+COUNTIF($E88:X88,1)),
HYPERLINK("#Roadmap!C"&amp; MATCH($E88,Roadmap!$D:$D,0)+COUNTIF($E88:X88,"u")+COUNTIF($E88:X88,"t"),
     INDEX(Roadmap!$D:$K,MATCH($E88,Roadmap!$D:$D,0)+COUNTIF($E88:X88,"u")+COUNTIF($E88:X88,"t")+COUNTIF($E88:X88,"¶")+COUNTIF($E88:X88,"²")+COUNTIF($E88:X88,"µ")+COUNTIF($E88:X88,1),ColTypeEcheance)),
  IF(LEN(X88)=1,
  IF(LEN(INDEX(Roadmap!$D:$K,MATCH($E88,Roadmap!$D:$D,0)-1+COUNTIF($E88:X88,"u")+COUNTIF($E88:X88,"t")+COUNTIF($E88:X88,"¶")+COUNTIF($E88:X88,"²")+COUNTIF($E88:X88,"µ")+COUNTIF($E88:X88,1),ColDescriptionCourte))&gt;1,
HYPERLINK("#Roadmap!C"&amp; MATCH($E88,Roadmap!$D:$D,0)+COUNTIF($E88:X88,"u")+COUNTIF($E88:X88,"t")+COUNTIF($E88:X88,"¶")+COUNTIF($E88:X88,"²")+COUNTIF($E88:X88,"µ")+COUNTIF($E88:X88,1)-1,INDEX(Roadmap!$D:$K,MATCH($E88,Roadmap!$D:$D,0)-1+COUNTIF($E88:X88,"u")+COUNTIF($E88:X88,"t")+COUNTIF($E88:X88,"¶")+COUNTIF($E88:X88,"²")+COUNTIF($E88:X88,"µ")+COUNTIF($E88:X88,1),ColDescriptionCourte)),""),
  "")),"")</f>
        <v/>
      </c>
      <c r="Z88" s="40" t="str">
        <f ca="1">IFERROR(IF(AND(
  INDEX(Roadmap!$D:$K,MATCH($E88,Roadmap!$D:$D,0)+COUNTIF($E88:Y88,"u")+COUNTIF($E88:Y88,"t")+COUNTIF($E88:Y88,"¶")+COUNTIF($E88:Y88,"²")+COUNTIF($E88:Y88,"µ")+COUNTIF($E88:Y88,1),ColLivraison)=Z$6,
  VLOOKUP($E88,INDIRECT("tri!"&amp; CHAR(64+ C0Col) &amp;":"&amp; CHAR(65+C0Col)),2,FALSE)&gt;COUNTIF($E88:Y88,"u")+COUNTIF($E88:Y88,"t")+COUNTIF($E88:Y88,"¶")+COUNTIF($E88:Y88,"²")+COUNTIF($E88:Y88,"µ")+COUNTIF($E88:Y88,1)),
HYPERLINK("#Roadmap!C"&amp; MATCH($E88,Roadmap!$D:$D,0)+COUNTIF($E88:Y88,"u")+COUNTIF($E88:Y88,"t"),
     INDEX(Roadmap!$D:$K,MATCH($E88,Roadmap!$D:$D,0)+COUNTIF($E88:Y88,"u")+COUNTIF($E88:Y88,"t")+COUNTIF($E88:Y88,"¶")+COUNTIF($E88:Y88,"²")+COUNTIF($E88:Y88,"µ")+COUNTIF($E88:Y88,1),ColTypeEcheance)),
  IF(LEN(Y88)=1,
  IF(LEN(INDEX(Roadmap!$D:$K,MATCH($E88,Roadmap!$D:$D,0)-1+COUNTIF($E88:Y88,"u")+COUNTIF($E88:Y88,"t")+COUNTIF($E88:Y88,"¶")+COUNTIF($E88:Y88,"²")+COUNTIF($E88:Y88,"µ")+COUNTIF($E88:Y88,1),ColDescriptionCourte))&gt;1,
HYPERLINK("#Roadmap!C"&amp; MATCH($E88,Roadmap!$D:$D,0)+COUNTIF($E88:Y88,"u")+COUNTIF($E88:Y88,"t")+COUNTIF($E88:Y88,"¶")+COUNTIF($E88:Y88,"²")+COUNTIF($E88:Y88,"µ")+COUNTIF($E88:Y88,1)-1,INDEX(Roadmap!$D:$K,MATCH($E88,Roadmap!$D:$D,0)-1+COUNTIF($E88:Y88,"u")+COUNTIF($E88:Y88,"t")+COUNTIF($E88:Y88,"¶")+COUNTIF($E88:Y88,"²")+COUNTIF($E88:Y88,"µ")+COUNTIF($E88:Y88,1),ColDescriptionCourte)),""),
  "")),"")</f>
        <v/>
      </c>
      <c r="AA88" s="40" t="str">
        <f ca="1">IFERROR(IF(AND(
  INDEX(Roadmap!$D:$K,MATCH($E88,Roadmap!$D:$D,0)+COUNTIF($E88:Z88,"u")+COUNTIF($E88:Z88,"t")+COUNTIF($E88:Z88,"¶")+COUNTIF($E88:Z88,"²")+COUNTIF($E88:Z88,"µ")+COUNTIF($E88:Z88,1),ColLivraison)=AA$6,
  VLOOKUP($E88,INDIRECT("tri!"&amp; CHAR(64+ C0Col) &amp;":"&amp; CHAR(65+C0Col)),2,FALSE)&gt;COUNTIF($E88:Z88,"u")+COUNTIF($E88:Z88,"t")+COUNTIF($E88:Z88,"¶")+COUNTIF($E88:Z88,"²")+COUNTIF($E88:Z88,"µ")+COUNTIF($E88:Z88,1)),
HYPERLINK("#Roadmap!C"&amp; MATCH($E88,Roadmap!$D:$D,0)+COUNTIF($E88:Z88,"u")+COUNTIF($E88:Z88,"t"),
     INDEX(Roadmap!$D:$K,MATCH($E88,Roadmap!$D:$D,0)+COUNTIF($E88:Z88,"u")+COUNTIF($E88:Z88,"t")+COUNTIF($E88:Z88,"¶")+COUNTIF($E88:Z88,"²")+COUNTIF($E88:Z88,"µ")+COUNTIF($E88:Z88,1),ColTypeEcheance)),
  IF(LEN(Z88)=1,
  IF(LEN(INDEX(Roadmap!$D:$K,MATCH($E88,Roadmap!$D:$D,0)-1+COUNTIF($E88:Z88,"u")+COUNTIF($E88:Z88,"t")+COUNTIF($E88:Z88,"¶")+COUNTIF($E88:Z88,"²")+COUNTIF($E88:Z88,"µ")+COUNTIF($E88:Z88,1),ColDescriptionCourte))&gt;1,
HYPERLINK("#Roadmap!C"&amp; MATCH($E88,Roadmap!$D:$D,0)+COUNTIF($E88:Z88,"u")+COUNTIF($E88:Z88,"t")+COUNTIF($E88:Z88,"¶")+COUNTIF($E88:Z88,"²")+COUNTIF($E88:Z88,"µ")+COUNTIF($E88:Z88,1)-1,INDEX(Roadmap!$D:$K,MATCH($E88,Roadmap!$D:$D,0)-1+COUNTIF($E88:Z88,"u")+COUNTIF($E88:Z88,"t")+COUNTIF($E88:Z88,"¶")+COUNTIF($E88:Z88,"²")+COUNTIF($E88:Z88,"µ")+COUNTIF($E88:Z88,1),ColDescriptionCourte)),""),
  "")),"")</f>
        <v/>
      </c>
      <c r="AB88" s="40" t="str">
        <f ca="1">IFERROR(IF(AND(
  INDEX(Roadmap!$D:$K,MATCH($E88,Roadmap!$D:$D,0)+COUNTIF($E88:AA88,"u")+COUNTIF($E88:AA88,"t")+COUNTIF($E88:AA88,"¶")+COUNTIF($E88:AA88,"²")+COUNTIF($E88:AA88,"µ")+COUNTIF($E88:AA88,1),ColLivraison)=AB$6,
  VLOOKUP($E88,INDIRECT("tri!"&amp; CHAR(64+ C0Col) &amp;":"&amp; CHAR(65+C0Col)),2,FALSE)&gt;COUNTIF($E88:AA88,"u")+COUNTIF($E88:AA88,"t")+COUNTIF($E88:AA88,"¶")+COUNTIF($E88:AA88,"²")+COUNTIF($E88:AA88,"µ")+COUNTIF($E88:AA88,1)),
HYPERLINK("#Roadmap!C"&amp; MATCH($E88,Roadmap!$D:$D,0)+COUNTIF($E88:AA88,"u")+COUNTIF($E88:AA88,"t"),
     INDEX(Roadmap!$D:$K,MATCH($E88,Roadmap!$D:$D,0)+COUNTIF($E88:AA88,"u")+COUNTIF($E88:AA88,"t")+COUNTIF($E88:AA88,"¶")+COUNTIF($E88:AA88,"²")+COUNTIF($E88:AA88,"µ")+COUNTIF($E88:AA88,1),ColTypeEcheance)),
  IF(LEN(AA88)=1,
  IF(LEN(INDEX(Roadmap!$D:$K,MATCH($E88,Roadmap!$D:$D,0)-1+COUNTIF($E88:AA88,"u")+COUNTIF($E88:AA88,"t")+COUNTIF($E88:AA88,"¶")+COUNTIF($E88:AA88,"²")+COUNTIF($E88:AA88,"µ")+COUNTIF($E88:AA88,1),ColDescriptionCourte))&gt;1,
HYPERLINK("#Roadmap!C"&amp; MATCH($E88,Roadmap!$D:$D,0)+COUNTIF($E88:AA88,"u")+COUNTIF($E88:AA88,"t")+COUNTIF($E88:AA88,"¶")+COUNTIF($E88:AA88,"²")+COUNTIF($E88:AA88,"µ")+COUNTIF($E88:AA88,1)-1,INDEX(Roadmap!$D:$K,MATCH($E88,Roadmap!$D:$D,0)-1+COUNTIF($E88:AA88,"u")+COUNTIF($E88:AA88,"t")+COUNTIF($E88:AA88,"¶")+COUNTIF($E88:AA88,"²")+COUNTIF($E88:AA88,"µ")+COUNTIF($E88:AA88,1),ColDescriptionCourte)),""),
  "")),"")</f>
        <v/>
      </c>
      <c r="AC88" s="40" t="str">
        <f ca="1">IFERROR(IF(AND(
  INDEX(Roadmap!$D:$K,MATCH($E88,Roadmap!$D:$D,0)+COUNTIF($E88:AB88,"u")+COUNTIF($E88:AB88,"t")+COUNTIF($E88:AB88,"¶")+COUNTIF($E88:AB88,"²")+COUNTIF($E88:AB88,"µ")+COUNTIF($E88:AB88,1),ColLivraison)=AC$6,
  VLOOKUP($E88,INDIRECT("tri!"&amp; CHAR(64+ C0Col) &amp;":"&amp; CHAR(65+C0Col)),2,FALSE)&gt;COUNTIF($E88:AB88,"u")+COUNTIF($E88:AB88,"t")+COUNTIF($E88:AB88,"¶")+COUNTIF($E88:AB88,"²")+COUNTIF($E88:AB88,"µ")+COUNTIF($E88:AB88,1)),
HYPERLINK("#Roadmap!C"&amp; MATCH($E88,Roadmap!$D:$D,0)+COUNTIF($E88:AB88,"u")+COUNTIF($E88:AB88,"t"),
     INDEX(Roadmap!$D:$K,MATCH($E88,Roadmap!$D:$D,0)+COUNTIF($E88:AB88,"u")+COUNTIF($E88:AB88,"t")+COUNTIF($E88:AB88,"¶")+COUNTIF($E88:AB88,"²")+COUNTIF($E88:AB88,"µ")+COUNTIF($E88:AB88,1),ColTypeEcheance)),
  IF(LEN(AB88)=1,
  IF(LEN(INDEX(Roadmap!$D:$K,MATCH($E88,Roadmap!$D:$D,0)-1+COUNTIF($E88:AB88,"u")+COUNTIF($E88:AB88,"t")+COUNTIF($E88:AB88,"¶")+COUNTIF($E88:AB88,"²")+COUNTIF($E88:AB88,"µ")+COUNTIF($E88:AB88,1),ColDescriptionCourte))&gt;1,
HYPERLINK("#Roadmap!C"&amp; MATCH($E88,Roadmap!$D:$D,0)+COUNTIF($E88:AB88,"u")+COUNTIF($E88:AB88,"t")+COUNTIF($E88:AB88,"¶")+COUNTIF($E88:AB88,"²")+COUNTIF($E88:AB88,"µ")+COUNTIF($E88:AB88,1)-1,INDEX(Roadmap!$D:$K,MATCH($E88,Roadmap!$D:$D,0)-1+COUNTIF($E88:AB88,"u")+COUNTIF($E88:AB88,"t")+COUNTIF($E88:AB88,"¶")+COUNTIF($E88:AB88,"²")+COUNTIF($E88:AB88,"µ")+COUNTIF($E88:AB88,1),ColDescriptionCourte)),""),
  "")),"")</f>
        <v/>
      </c>
      <c r="AD88" s="40" t="str">
        <f ca="1">IFERROR(IF(AND(
  INDEX(Roadmap!$D:$K,MATCH($E88,Roadmap!$D:$D,0)+COUNTIF($E88:AC88,"u")+COUNTIF($E88:AC88,"t")+COUNTIF($E88:AC88,"¶")+COUNTIF($E88:AC88,"²")+COUNTIF($E88:AC88,"µ")+COUNTIF($E88:AC88,1),ColLivraison)=AD$6,
  VLOOKUP($E88,INDIRECT("tri!"&amp; CHAR(64+ C0Col) &amp;":"&amp; CHAR(65+C0Col)),2,FALSE)&gt;COUNTIF($E88:AC88,"u")+COUNTIF($E88:AC88,"t")+COUNTIF($E88:AC88,"¶")+COUNTIF($E88:AC88,"²")+COUNTIF($E88:AC88,"µ")+COUNTIF($E88:AC88,1)),
HYPERLINK("#Roadmap!C"&amp; MATCH($E88,Roadmap!$D:$D,0)+COUNTIF($E88:AC88,"u")+COUNTIF($E88:AC88,"t"),
     INDEX(Roadmap!$D:$K,MATCH($E88,Roadmap!$D:$D,0)+COUNTIF($E88:AC88,"u")+COUNTIF($E88:AC88,"t")+COUNTIF($E88:AC88,"¶")+COUNTIF($E88:AC88,"²")+COUNTIF($E88:AC88,"µ")+COUNTIF($E88:AC88,1),ColTypeEcheance)),
  IF(LEN(AC88)=1,
  IF(LEN(INDEX(Roadmap!$D:$K,MATCH($E88,Roadmap!$D:$D,0)-1+COUNTIF($E88:AC88,"u")+COUNTIF($E88:AC88,"t")+COUNTIF($E88:AC88,"¶")+COUNTIF($E88:AC88,"²")+COUNTIF($E88:AC88,"µ")+COUNTIF($E88:AC88,1),ColDescriptionCourte))&gt;1,
HYPERLINK("#Roadmap!C"&amp; MATCH($E88,Roadmap!$D:$D,0)+COUNTIF($E88:AC88,"u")+COUNTIF($E88:AC88,"t")+COUNTIF($E88:AC88,"¶")+COUNTIF($E88:AC88,"²")+COUNTIF($E88:AC88,"µ")+COUNTIF($E88:AC88,1)-1,INDEX(Roadmap!$D:$K,MATCH($E88,Roadmap!$D:$D,0)-1+COUNTIF($E88:AC88,"u")+COUNTIF($E88:AC88,"t")+COUNTIF($E88:AC88,"¶")+COUNTIF($E88:AC88,"²")+COUNTIF($E88:AC88,"µ")+COUNTIF($E88:AC88,1),ColDescriptionCourte)),""),
  "")),"")</f>
        <v/>
      </c>
      <c r="AE88" s="40" t="str">
        <f ca="1">IFERROR(IF(AND(
  INDEX(Roadmap!$D:$K,MATCH($E88,Roadmap!$D:$D,0)+COUNTIF($E88:AD88,"u")+COUNTIF($E88:AD88,"t")+COUNTIF($E88:AD88,"¶")+COUNTIF($E88:AD88,"²")+COUNTIF($E88:AD88,"µ")+COUNTIF($E88:AD88,1),ColLivraison)=AE$6,
  VLOOKUP($E88,INDIRECT("tri!"&amp; CHAR(64+ C0Col) &amp;":"&amp; CHAR(65+C0Col)),2,FALSE)&gt;COUNTIF($E88:AD88,"u")+COUNTIF($E88:AD88,"t")+COUNTIF($E88:AD88,"¶")+COUNTIF($E88:AD88,"²")+COUNTIF($E88:AD88,"µ")+COUNTIF($E88:AD88,1)),
HYPERLINK("#Roadmap!C"&amp; MATCH($E88,Roadmap!$D:$D,0)+COUNTIF($E88:AD88,"u")+COUNTIF($E88:AD88,"t"),
     INDEX(Roadmap!$D:$K,MATCH($E88,Roadmap!$D:$D,0)+COUNTIF($E88:AD88,"u")+COUNTIF($E88:AD88,"t")+COUNTIF($E88:AD88,"¶")+COUNTIF($E88:AD88,"²")+COUNTIF($E88:AD88,"µ")+COUNTIF($E88:AD88,1),ColTypeEcheance)),
  IF(LEN(AD88)=1,
  IF(LEN(INDEX(Roadmap!$D:$K,MATCH($E88,Roadmap!$D:$D,0)-1+COUNTIF($E88:AD88,"u")+COUNTIF($E88:AD88,"t")+COUNTIF($E88:AD88,"¶")+COUNTIF($E88:AD88,"²")+COUNTIF($E88:AD88,"µ")+COUNTIF($E88:AD88,1),ColDescriptionCourte))&gt;1,
HYPERLINK("#Roadmap!C"&amp; MATCH($E88,Roadmap!$D:$D,0)+COUNTIF($E88:AD88,"u")+COUNTIF($E88:AD88,"t")+COUNTIF($E88:AD88,"¶")+COUNTIF($E88:AD88,"²")+COUNTIF($E88:AD88,"µ")+COUNTIF($E88:AD88,1)-1,INDEX(Roadmap!$D:$K,MATCH($E88,Roadmap!$D:$D,0)-1+COUNTIF($E88:AD88,"u")+COUNTIF($E88:AD88,"t")+COUNTIF($E88:AD88,"¶")+COUNTIF($E88:AD88,"²")+COUNTIF($E88:AD88,"µ")+COUNTIF($E88:AD88,1),ColDescriptionCourte)),""),
  "")),"")</f>
        <v/>
      </c>
      <c r="AF88" s="40" t="str">
        <f ca="1">IFERROR(IF(AND(
  INDEX(Roadmap!$D:$K,MATCH($E88,Roadmap!$D:$D,0)+COUNTIF($E88:AE88,"u")+COUNTIF($E88:AE88,"t")+COUNTIF($E88:AE88,"¶")+COUNTIF($E88:AE88,"²")+COUNTIF($E88:AE88,"µ")+COUNTIF($E88:AE88,1),ColLivraison)=AF$6,
  VLOOKUP($E88,INDIRECT("tri!"&amp; CHAR(64+ C0Col) &amp;":"&amp; CHAR(65+C0Col)),2,FALSE)&gt;COUNTIF($E88:AE88,"u")+COUNTIF($E88:AE88,"t")+COUNTIF($E88:AE88,"¶")+COUNTIF($E88:AE88,"²")+COUNTIF($E88:AE88,"µ")+COUNTIF($E88:AE88,1)),
HYPERLINK("#Roadmap!C"&amp; MATCH($E88,Roadmap!$D:$D,0)+COUNTIF($E88:AE88,"u")+COUNTIF($E88:AE88,"t"),
     INDEX(Roadmap!$D:$K,MATCH($E88,Roadmap!$D:$D,0)+COUNTIF($E88:AE88,"u")+COUNTIF($E88:AE88,"t")+COUNTIF($E88:AE88,"¶")+COUNTIF($E88:AE88,"²")+COUNTIF($E88:AE88,"µ")+COUNTIF($E88:AE88,1),ColTypeEcheance)),
  IF(LEN(AE88)=1,
  IF(LEN(INDEX(Roadmap!$D:$K,MATCH($E88,Roadmap!$D:$D,0)-1+COUNTIF($E88:AE88,"u")+COUNTIF($E88:AE88,"t")+COUNTIF($E88:AE88,"¶")+COUNTIF($E88:AE88,"²")+COUNTIF($E88:AE88,"µ")+COUNTIF($E88:AE88,1),ColDescriptionCourte))&gt;1,
HYPERLINK("#Roadmap!C"&amp; MATCH($E88,Roadmap!$D:$D,0)+COUNTIF($E88:AE88,"u")+COUNTIF($E88:AE88,"t")+COUNTIF($E88:AE88,"¶")+COUNTIF($E88:AE88,"²")+COUNTIF($E88:AE88,"µ")+COUNTIF($E88:AE88,1)-1,INDEX(Roadmap!$D:$K,MATCH($E88,Roadmap!$D:$D,0)-1+COUNTIF($E88:AE88,"u")+COUNTIF($E88:AE88,"t")+COUNTIF($E88:AE88,"¶")+COUNTIF($E88:AE88,"²")+COUNTIF($E88:AE88,"µ")+COUNTIF($E88:AE88,1),ColDescriptionCourte)),""),
  "")),"")</f>
        <v/>
      </c>
      <c r="AG88" s="40" t="str">
        <f ca="1">IFERROR(IF(AND(
  INDEX(Roadmap!$D:$K,MATCH($E88,Roadmap!$D:$D,0)+COUNTIF($E88:AF88,"u")+COUNTIF($E88:AF88,"t")+COUNTIF($E88:AF88,"¶")+COUNTIF($E88:AF88,"²")+COUNTIF($E88:AF88,"µ")+COUNTIF($E88:AF88,1),ColLivraison)=AG$6,
  VLOOKUP($E88,INDIRECT("tri!"&amp; CHAR(64+ C0Col) &amp;":"&amp; CHAR(65+C0Col)),2,FALSE)&gt;COUNTIF($E88:AF88,"u")+COUNTIF($E88:AF88,"t")+COUNTIF($E88:AF88,"¶")+COUNTIF($E88:AF88,"²")+COUNTIF($E88:AF88,"µ")+COUNTIF($E88:AF88,1)),
HYPERLINK("#Roadmap!C"&amp; MATCH($E88,Roadmap!$D:$D,0)+COUNTIF($E88:AF88,"u")+COUNTIF($E88:AF88,"t"),
     INDEX(Roadmap!$D:$K,MATCH($E88,Roadmap!$D:$D,0)+COUNTIF($E88:AF88,"u")+COUNTIF($E88:AF88,"t")+COUNTIF($E88:AF88,"¶")+COUNTIF($E88:AF88,"²")+COUNTIF($E88:AF88,"µ")+COUNTIF($E88:AF88,1),ColTypeEcheance)),
  IF(LEN(AF88)=1,
  IF(LEN(INDEX(Roadmap!$D:$K,MATCH($E88,Roadmap!$D:$D,0)-1+COUNTIF($E88:AF88,"u")+COUNTIF($E88:AF88,"t")+COUNTIF($E88:AF88,"¶")+COUNTIF($E88:AF88,"²")+COUNTIF($E88:AF88,"µ")+COUNTIF($E88:AF88,1),ColDescriptionCourte))&gt;1,
HYPERLINK("#Roadmap!C"&amp; MATCH($E88,Roadmap!$D:$D,0)+COUNTIF($E88:AF88,"u")+COUNTIF($E88:AF88,"t")+COUNTIF($E88:AF88,"¶")+COUNTIF($E88:AF88,"²")+COUNTIF($E88:AF88,"µ")+COUNTIF($E88:AF88,1)-1,INDEX(Roadmap!$D:$K,MATCH($E88,Roadmap!$D:$D,0)-1+COUNTIF($E88:AF88,"u")+COUNTIF($E88:AF88,"t")+COUNTIF($E88:AF88,"¶")+COUNTIF($E88:AF88,"²")+COUNTIF($E88:AF88,"µ")+COUNTIF($E88:AF88,1),ColDescriptionCourte)),""),
  "")),"")</f>
        <v/>
      </c>
    </row>
    <row r="89" spans="3:33" ht="14.25" customHeight="1">
      <c r="C89" s="1" t="str">
        <f t="shared" ca="1" si="47"/>
        <v/>
      </c>
      <c r="D89" s="1" t="str">
        <f t="shared" ca="1" si="48"/>
        <v/>
      </c>
      <c r="E89" s="35" t="str">
        <f t="shared" ca="1" si="46"/>
        <v/>
      </c>
      <c r="F89" s="39" t="str">
        <f ca="1">IFERROR(IF(AND(
  INDEX(Roadmap!$D:$K,MATCH($E89,Roadmap!$D:$D,0)+COUNTIF($E89:E89,"u")+COUNTIF($E89:E89,"t")+COUNTIF($E89:E89,"¶")+COUNTIF($E89:E89,"²")+COUNTIF($E89:E89,"µ")+COUNTIF($E89:E89,1),ColLivraison)=F$6,
  VLOOKUP($E89,INDIRECT("tri!"&amp; CHAR(64+ C0Col) &amp;":"&amp; CHAR(65+C0Col)),2,FALSE)&gt;COUNTIF($E89:E89,"u")+COUNTIF($E89:E89,"t")+COUNTIF($E89:E89,"¶")+COUNTIF($E89:E89,"²")+COUNTIF($E89:E89,"µ")+COUNTIF($E89:E89,1)),
HYPERLINK("#Roadmap!C"&amp; MATCH($E89,Roadmap!$D:$D,0)+COUNTIF($E89:E89,"u")+COUNTIF($E89:E89,"t"),
     INDEX(Roadmap!$D:$K,MATCH($E89,Roadmap!$D:$D,0)+COUNTIF($E89:E89,"u")+COUNTIF($E89:E89,"t")+COUNTIF($E89:E89,"¶")+COUNTIF($E89:E89,"²")+COUNTIF($E89:E89,"µ")+COUNTIF($E89:E89,1),ColTypeEcheance)),
  IF(LEN(E89)=1,
  IF(LEN(INDEX(Roadmap!$D:$K,MATCH($E89,Roadmap!$D:$D,0)-1+COUNTIF($E89:E89,"u")+COUNTIF($E89:E89,"t")+COUNTIF($E89:E89,"¶")+COUNTIF($E89:E89,"²")+COUNTIF($E89:E89,"µ")+COUNTIF($E89:E89,1),ColDescriptionCourte))&gt;1,
HYPERLINK("#Roadmap!C"&amp; MATCH($E89,Roadmap!$D:$D,0)+COUNTIF($E89:E89,"u")+COUNTIF($E89:E89,"t")+COUNTIF($E89:E89,"¶")+COUNTIF($E89:E89,"²")+COUNTIF($E89:E89,"µ")+COUNTIF($E89:E89,1)-1,INDEX(Roadmap!$D:$K,MATCH($E89,Roadmap!$D:$D,0)-1+COUNTIF($E89:E89,"u")+COUNTIF($E89:E89,"t")+COUNTIF($E89:E89,"¶")+COUNTIF($E89:E89,"²")+COUNTIF($E89:E89,"µ")+COUNTIF($E89:E89,1),ColDescriptionCourte)),""),
  "")),"")</f>
        <v/>
      </c>
      <c r="G89" s="40" t="str">
        <f ca="1">IFERROR(IF(AND(
  INDEX(Roadmap!$D:$K,MATCH($E89,Roadmap!$D:$D,0)+COUNTIF($E89:F89,"u")+COUNTIF($E89:F89,"t")+COUNTIF($E89:F89,"¶")+COUNTIF($E89:F89,"²")+COUNTIF($E89:F89,"µ")+COUNTIF($E89:F89,1),ColLivraison)=G$6,
  VLOOKUP($E89,INDIRECT("tri!"&amp; CHAR(64+ C0Col) &amp;":"&amp; CHAR(65+C0Col)),2,FALSE)&gt;COUNTIF($E89:F89,"u")+COUNTIF($E89:F89,"t")+COUNTIF($E89:F89,"¶")+COUNTIF($E89:F89,"²")+COUNTIF($E89:F89,"µ")+COUNTIF($E89:F89,1)),
HYPERLINK("#Roadmap!C"&amp; MATCH($E89,Roadmap!$D:$D,0)+COUNTIF($E89:F89,"u")+COUNTIF($E89:F89,"t"),
     INDEX(Roadmap!$D:$K,MATCH($E89,Roadmap!$D:$D,0)+COUNTIF($E89:F89,"u")+COUNTIF($E89:F89,"t")+COUNTIF($E89:F89,"¶")+COUNTIF($E89:F89,"²")+COUNTIF($E89:F89,"µ")+COUNTIF($E89:F89,1),ColTypeEcheance)),
  IF(LEN(F89)=1,
  IF(LEN(INDEX(Roadmap!$D:$K,MATCH($E89,Roadmap!$D:$D,0)-1+COUNTIF($E89:F89,"u")+COUNTIF($E89:F89,"t")+COUNTIF($E89:F89,"¶")+COUNTIF($E89:F89,"²")+COUNTIF($E89:F89,"µ")+COUNTIF($E89:F89,1),ColDescriptionCourte))&gt;1,
HYPERLINK("#Roadmap!C"&amp; MATCH($E89,Roadmap!$D:$D,0)+COUNTIF($E89:F89,"u")+COUNTIF($E89:F89,"t")+COUNTIF($E89:F89,"¶")+COUNTIF($E89:F89,"²")+COUNTIF($E89:F89,"µ")+COUNTIF($E89:F89,1)-1,INDEX(Roadmap!$D:$K,MATCH($E89,Roadmap!$D:$D,0)-1+COUNTIF($E89:F89,"u")+COUNTIF($E89:F89,"t")+COUNTIF($E89:F89,"¶")+COUNTIF($E89:F89,"²")+COUNTIF($E89:F89,"µ")+COUNTIF($E89:F89,1),ColDescriptionCourte)),""),
  "")),"")</f>
        <v/>
      </c>
      <c r="H89" s="40" t="str">
        <f ca="1">IFERROR(IF(AND(
  INDEX(Roadmap!$D:$K,MATCH($E89,Roadmap!$D:$D,0)+COUNTIF($E89:G89,"u")+COUNTIF($E89:G89,"t")+COUNTIF($E89:G89,"¶")+COUNTIF($E89:G89,"²")+COUNTIF($E89:G89,"µ")+COUNTIF($E89:G89,1),ColLivraison)=H$6,
  VLOOKUP($E89,INDIRECT("tri!"&amp; CHAR(64+ C0Col) &amp;":"&amp; CHAR(65+C0Col)),2,FALSE)&gt;COUNTIF($E89:G89,"u")+COUNTIF($E89:G89,"t")+COUNTIF($E89:G89,"¶")+COUNTIF($E89:G89,"²")+COUNTIF($E89:G89,"µ")+COUNTIF($E89:G89,1)),
HYPERLINK("#Roadmap!C"&amp; MATCH($E89,Roadmap!$D:$D,0)+COUNTIF($E89:G89,"u")+COUNTIF($E89:G89,"t"),
     INDEX(Roadmap!$D:$K,MATCH($E89,Roadmap!$D:$D,0)+COUNTIF($E89:G89,"u")+COUNTIF($E89:G89,"t")+COUNTIF($E89:G89,"¶")+COUNTIF($E89:G89,"²")+COUNTIF($E89:G89,"µ")+COUNTIF($E89:G89,1),ColTypeEcheance)),
  IF(LEN(G89)=1,
  IF(LEN(INDEX(Roadmap!$D:$K,MATCH($E89,Roadmap!$D:$D,0)-1+COUNTIF($E89:G89,"u")+COUNTIF($E89:G89,"t")+COUNTIF($E89:G89,"¶")+COUNTIF($E89:G89,"²")+COUNTIF($E89:G89,"µ")+COUNTIF($E89:G89,1),ColDescriptionCourte))&gt;1,
HYPERLINK("#Roadmap!C"&amp; MATCH($E89,Roadmap!$D:$D,0)+COUNTIF($E89:G89,"u")+COUNTIF($E89:G89,"t")+COUNTIF($E89:G89,"¶")+COUNTIF($E89:G89,"²")+COUNTIF($E89:G89,"µ")+COUNTIF($E89:G89,1)-1,INDEX(Roadmap!$D:$K,MATCH($E89,Roadmap!$D:$D,0)-1+COUNTIF($E89:G89,"u")+COUNTIF($E89:G89,"t")+COUNTIF($E89:G89,"¶")+COUNTIF($E89:G89,"²")+COUNTIF($E89:G89,"µ")+COUNTIF($E89:G89,1),ColDescriptionCourte)),""),
  "")),"")</f>
        <v/>
      </c>
      <c r="I89" s="40" t="str">
        <f ca="1">IFERROR(IF(AND(
  INDEX(Roadmap!$D:$K,MATCH($E89,Roadmap!$D:$D,0)+COUNTIF($E89:H89,"u")+COUNTIF($E89:H89,"t")+COUNTIF($E89:H89,"¶")+COUNTIF($E89:H89,"²")+COUNTIF($E89:H89,"µ")+COUNTIF($E89:H89,1),ColLivraison)=I$6,
  VLOOKUP($E89,INDIRECT("tri!"&amp; CHAR(64+ C0Col) &amp;":"&amp; CHAR(65+C0Col)),2,FALSE)&gt;COUNTIF($E89:H89,"u")+COUNTIF($E89:H89,"t")+COUNTIF($E89:H89,"¶")+COUNTIF($E89:H89,"²")+COUNTIF($E89:H89,"µ")+COUNTIF($E89:H89,1)),
HYPERLINK("#Roadmap!C"&amp; MATCH($E89,Roadmap!$D:$D,0)+COUNTIF($E89:H89,"u")+COUNTIF($E89:H89,"t"),
     INDEX(Roadmap!$D:$K,MATCH($E89,Roadmap!$D:$D,0)+COUNTIF($E89:H89,"u")+COUNTIF($E89:H89,"t")+COUNTIF($E89:H89,"¶")+COUNTIF($E89:H89,"²")+COUNTIF($E89:H89,"µ")+COUNTIF($E89:H89,1),ColTypeEcheance)),
  IF(LEN(H89)=1,
  IF(LEN(INDEX(Roadmap!$D:$K,MATCH($E89,Roadmap!$D:$D,0)-1+COUNTIF($E89:H89,"u")+COUNTIF($E89:H89,"t")+COUNTIF($E89:H89,"¶")+COUNTIF($E89:H89,"²")+COUNTIF($E89:H89,"µ")+COUNTIF($E89:H89,1),ColDescriptionCourte))&gt;1,
HYPERLINK("#Roadmap!C"&amp; MATCH($E89,Roadmap!$D:$D,0)+COUNTIF($E89:H89,"u")+COUNTIF($E89:H89,"t")+COUNTIF($E89:H89,"¶")+COUNTIF($E89:H89,"²")+COUNTIF($E89:H89,"µ")+COUNTIF($E89:H89,1)-1,INDEX(Roadmap!$D:$K,MATCH($E89,Roadmap!$D:$D,0)-1+COUNTIF($E89:H89,"u")+COUNTIF($E89:H89,"t")+COUNTIF($E89:H89,"¶")+COUNTIF($E89:H89,"²")+COUNTIF($E89:H89,"µ")+COUNTIF($E89:H89,1),ColDescriptionCourte)),""),
  "")),"")</f>
        <v/>
      </c>
      <c r="J89" s="40" t="str">
        <f ca="1">IFERROR(IF(AND(
  INDEX(Roadmap!$D:$K,MATCH($E89,Roadmap!$D:$D,0)+COUNTIF($E89:I89,"u")+COUNTIF($E89:I89,"t")+COUNTIF($E89:I89,"¶")+COUNTIF($E89:I89,"²")+COUNTIF($E89:I89,"µ")+COUNTIF($E89:I89,1),ColLivraison)=J$6,
  VLOOKUP($E89,INDIRECT("tri!"&amp; CHAR(64+ C0Col) &amp;":"&amp; CHAR(65+C0Col)),2,FALSE)&gt;COUNTIF($E89:I89,"u")+COUNTIF($E89:I89,"t")+COUNTIF($E89:I89,"¶")+COUNTIF($E89:I89,"²")+COUNTIF($E89:I89,"µ")+COUNTIF($E89:I89,1)),
HYPERLINK("#Roadmap!C"&amp; MATCH($E89,Roadmap!$D:$D,0)+COUNTIF($E89:I89,"u")+COUNTIF($E89:I89,"t"),
     INDEX(Roadmap!$D:$K,MATCH($E89,Roadmap!$D:$D,0)+COUNTIF($E89:I89,"u")+COUNTIF($E89:I89,"t")+COUNTIF($E89:I89,"¶")+COUNTIF($E89:I89,"²")+COUNTIF($E89:I89,"µ")+COUNTIF($E89:I89,1),ColTypeEcheance)),
  IF(LEN(I89)=1,
  IF(LEN(INDEX(Roadmap!$D:$K,MATCH($E89,Roadmap!$D:$D,0)-1+COUNTIF($E89:I89,"u")+COUNTIF($E89:I89,"t")+COUNTIF($E89:I89,"¶")+COUNTIF($E89:I89,"²")+COUNTIF($E89:I89,"µ")+COUNTIF($E89:I89,1),ColDescriptionCourte))&gt;1,
HYPERLINK("#Roadmap!C"&amp; MATCH($E89,Roadmap!$D:$D,0)+COUNTIF($E89:I89,"u")+COUNTIF($E89:I89,"t")+COUNTIF($E89:I89,"¶")+COUNTIF($E89:I89,"²")+COUNTIF($E89:I89,"µ")+COUNTIF($E89:I89,1)-1,INDEX(Roadmap!$D:$K,MATCH($E89,Roadmap!$D:$D,0)-1+COUNTIF($E89:I89,"u")+COUNTIF($E89:I89,"t")+COUNTIF($E89:I89,"¶")+COUNTIF($E89:I89,"²")+COUNTIF($E89:I89,"µ")+COUNTIF($E89:I89,1),ColDescriptionCourte)),""),
  "")),"")</f>
        <v/>
      </c>
      <c r="K89" s="40" t="str">
        <f ca="1">IFERROR(IF(AND(
  INDEX(Roadmap!$D:$K,MATCH($E89,Roadmap!$D:$D,0)+COUNTIF($E89:J89,"u")+COUNTIF($E89:J89,"t")+COUNTIF($E89:J89,"¶")+COUNTIF($E89:J89,"²")+COUNTIF($E89:J89,"µ")+COUNTIF($E89:J89,1),ColLivraison)=K$6,
  VLOOKUP($E89,INDIRECT("tri!"&amp; CHAR(64+ C0Col) &amp;":"&amp; CHAR(65+C0Col)),2,FALSE)&gt;COUNTIF($E89:J89,"u")+COUNTIF($E89:J89,"t")+COUNTIF($E89:J89,"¶")+COUNTIF($E89:J89,"²")+COUNTIF($E89:J89,"µ")+COUNTIF($E89:J89,1)),
HYPERLINK("#Roadmap!C"&amp; MATCH($E89,Roadmap!$D:$D,0)+COUNTIF($E89:J89,"u")+COUNTIF($E89:J89,"t"),
     INDEX(Roadmap!$D:$K,MATCH($E89,Roadmap!$D:$D,0)+COUNTIF($E89:J89,"u")+COUNTIF($E89:J89,"t")+COUNTIF($E89:J89,"¶")+COUNTIF($E89:J89,"²")+COUNTIF($E89:J89,"µ")+COUNTIF($E89:J89,1),ColTypeEcheance)),
  IF(LEN(J89)=1,
  IF(LEN(INDEX(Roadmap!$D:$K,MATCH($E89,Roadmap!$D:$D,0)-1+COUNTIF($E89:J89,"u")+COUNTIF($E89:J89,"t")+COUNTIF($E89:J89,"¶")+COUNTIF($E89:J89,"²")+COUNTIF($E89:J89,"µ")+COUNTIF($E89:J89,1),ColDescriptionCourte))&gt;1,
HYPERLINK("#Roadmap!C"&amp; MATCH($E89,Roadmap!$D:$D,0)+COUNTIF($E89:J89,"u")+COUNTIF($E89:J89,"t")+COUNTIF($E89:J89,"¶")+COUNTIF($E89:J89,"²")+COUNTIF($E89:J89,"µ")+COUNTIF($E89:J89,1)-1,INDEX(Roadmap!$D:$K,MATCH($E89,Roadmap!$D:$D,0)-1+COUNTIF($E89:J89,"u")+COUNTIF($E89:J89,"t")+COUNTIF($E89:J89,"¶")+COUNTIF($E89:J89,"²")+COUNTIF($E89:J89,"µ")+COUNTIF($E89:J89,1),ColDescriptionCourte)),""),
  "")),"")</f>
        <v/>
      </c>
      <c r="L89" s="39" t="str">
        <f ca="1">IFERROR(IF(AND(
  INDEX(Roadmap!$D:$K,MATCH($E89,Roadmap!$D:$D,0)+COUNTIF($E89:K89,"u")+COUNTIF($E89:K89,"t")+COUNTIF($E89:K89,"¶")+COUNTIF($E89:K89,"²")+COUNTIF($E89:K89,"µ")+COUNTIF($E89:K89,1),ColLivraison)=L$6,
  VLOOKUP($E89,INDIRECT("tri!"&amp; CHAR(64+ C0Col) &amp;":"&amp; CHAR(65+C0Col)),2,FALSE)&gt;COUNTIF($E89:K89,"u")+COUNTIF($E89:K89,"t")+COUNTIF($E89:K89,"¶")+COUNTIF($E89:K89,"²")+COUNTIF($E89:K89,"µ")+COUNTIF($E89:K89,1)),
HYPERLINK("#Roadmap!C"&amp; MATCH($E89,Roadmap!$D:$D,0)+COUNTIF($E89:K89,"u")+COUNTIF($E89:K89,"t"),
     INDEX(Roadmap!$D:$K,MATCH($E89,Roadmap!$D:$D,0)+COUNTIF($E89:K89,"u")+COUNTIF($E89:K89,"t")+COUNTIF($E89:K89,"¶")+COUNTIF($E89:K89,"²")+COUNTIF($E89:K89,"µ")+COUNTIF($E89:K89,1),ColTypeEcheance)),
  IF(LEN(K89)=1,
  IF(LEN(INDEX(Roadmap!$D:$K,MATCH($E89,Roadmap!$D:$D,0)-1+COUNTIF($E89:K89,"u")+COUNTIF($E89:K89,"t")+COUNTIF($E89:K89,"¶")+COUNTIF($E89:K89,"²")+COUNTIF($E89:K89,"µ")+COUNTIF($E89:K89,1),ColDescriptionCourte))&gt;1,
HYPERLINK("#Roadmap!C"&amp; MATCH($E89,Roadmap!$D:$D,0)+COUNTIF($E89:K89,"u")+COUNTIF($E89:K89,"t")+COUNTIF($E89:K89,"¶")+COUNTIF($E89:K89,"²")+COUNTIF($E89:K89,"µ")+COUNTIF($E89:K89,1)-1,INDEX(Roadmap!$D:$K,MATCH($E89,Roadmap!$D:$D,0)-1+COUNTIF($E89:K89,"u")+COUNTIF($E89:K89,"t")+COUNTIF($E89:K89,"¶")+COUNTIF($E89:K89,"²")+COUNTIF($E89:K89,"µ")+COUNTIF($E89:K89,1),ColDescriptionCourte)),""),
  "")),"")</f>
        <v/>
      </c>
      <c r="M89" s="40" t="str">
        <f ca="1">IFERROR(IF(AND(
  INDEX(Roadmap!$D:$K,MATCH($E89,Roadmap!$D:$D,0)+COUNTIF($E89:L89,"u")+COUNTIF($E89:L89,"t")+COUNTIF($E89:L89,"¶")+COUNTIF($E89:L89,"²")+COUNTIF($E89:L89,"µ")+COUNTIF($E89:L89,1),ColLivraison)=M$6,
  VLOOKUP($E89,INDIRECT("tri!"&amp; CHAR(64+ C0Col) &amp;":"&amp; CHAR(65+C0Col)),2,FALSE)&gt;COUNTIF($E89:L89,"u")+COUNTIF($E89:L89,"t")+COUNTIF($E89:L89,"¶")+COUNTIF($E89:L89,"²")+COUNTIF($E89:L89,"µ")+COUNTIF($E89:L89,1)),
HYPERLINK("#Roadmap!C"&amp; MATCH($E89,Roadmap!$D:$D,0)+COUNTIF($E89:L89,"u")+COUNTIF($E89:L89,"t"),
     INDEX(Roadmap!$D:$K,MATCH($E89,Roadmap!$D:$D,0)+COUNTIF($E89:L89,"u")+COUNTIF($E89:L89,"t")+COUNTIF($E89:L89,"¶")+COUNTIF($E89:L89,"²")+COUNTIF($E89:L89,"µ")+COUNTIF($E89:L89,1),ColTypeEcheance)),
  IF(LEN(L89)=1,
  IF(LEN(INDEX(Roadmap!$D:$K,MATCH($E89,Roadmap!$D:$D,0)-1+COUNTIF($E89:L89,"u")+COUNTIF($E89:L89,"t")+COUNTIF($E89:L89,"¶")+COUNTIF($E89:L89,"²")+COUNTIF($E89:L89,"µ")+COUNTIF($E89:L89,1),ColDescriptionCourte))&gt;1,
HYPERLINK("#Roadmap!C"&amp; MATCH($E89,Roadmap!$D:$D,0)+COUNTIF($E89:L89,"u")+COUNTIF($E89:L89,"t")+COUNTIF($E89:L89,"¶")+COUNTIF($E89:L89,"²")+COUNTIF($E89:L89,"µ")+COUNTIF($E89:L89,1)-1,INDEX(Roadmap!$D:$K,MATCH($E89,Roadmap!$D:$D,0)-1+COUNTIF($E89:L89,"u")+COUNTIF($E89:L89,"t")+COUNTIF($E89:L89,"¶")+COUNTIF($E89:L89,"²")+COUNTIF($E89:L89,"µ")+COUNTIF($E89:L89,1),ColDescriptionCourte)),""),
  "")),"")</f>
        <v/>
      </c>
      <c r="N89" s="40" t="str">
        <f ca="1">IFERROR(IF(AND(
  INDEX(Roadmap!$D:$K,MATCH($E89,Roadmap!$D:$D,0)+COUNTIF($E89:M89,"u")+COUNTIF($E89:M89,"t")+COUNTIF($E89:M89,"¶")+COUNTIF($E89:M89,"²")+COUNTIF($E89:M89,"µ")+COUNTIF($E89:M89,1),ColLivraison)=N$6,
  VLOOKUP($E89,INDIRECT("tri!"&amp; CHAR(64+ C0Col) &amp;":"&amp; CHAR(65+C0Col)),2,FALSE)&gt;COUNTIF($E89:M89,"u")+COUNTIF($E89:M89,"t")+COUNTIF($E89:M89,"¶")+COUNTIF($E89:M89,"²")+COUNTIF($E89:M89,"µ")+COUNTIF($E89:M89,1)),
HYPERLINK("#Roadmap!C"&amp; MATCH($E89,Roadmap!$D:$D,0)+COUNTIF($E89:M89,"u")+COUNTIF($E89:M89,"t"),
     INDEX(Roadmap!$D:$K,MATCH($E89,Roadmap!$D:$D,0)+COUNTIF($E89:M89,"u")+COUNTIF($E89:M89,"t")+COUNTIF($E89:M89,"¶")+COUNTIF($E89:M89,"²")+COUNTIF($E89:M89,"µ")+COUNTIF($E89:M89,1),ColTypeEcheance)),
  IF(LEN(M89)=1,
  IF(LEN(INDEX(Roadmap!$D:$K,MATCH($E89,Roadmap!$D:$D,0)-1+COUNTIF($E89:M89,"u")+COUNTIF($E89:M89,"t")+COUNTIF($E89:M89,"¶")+COUNTIF($E89:M89,"²")+COUNTIF($E89:M89,"µ")+COUNTIF($E89:M89,1),ColDescriptionCourte))&gt;1,
HYPERLINK("#Roadmap!C"&amp; MATCH($E89,Roadmap!$D:$D,0)+COUNTIF($E89:M89,"u")+COUNTIF($E89:M89,"t")+COUNTIF($E89:M89,"¶")+COUNTIF($E89:M89,"²")+COUNTIF($E89:M89,"µ")+COUNTIF($E89:M89,1)-1,INDEX(Roadmap!$D:$K,MATCH($E89,Roadmap!$D:$D,0)-1+COUNTIF($E89:M89,"u")+COUNTIF($E89:M89,"t")+COUNTIF($E89:M89,"¶")+COUNTIF($E89:M89,"²")+COUNTIF($E89:M89,"µ")+COUNTIF($E89:M89,1),ColDescriptionCourte)),""),
  "")),"")</f>
        <v/>
      </c>
      <c r="O89" s="40" t="str">
        <f ca="1">IFERROR(IF(AND(
  INDEX(Roadmap!$D:$K,MATCH($E89,Roadmap!$D:$D,0)+COUNTIF($E89:N89,"u")+COUNTIF($E89:N89,"t")+COUNTIF($E89:N89,"¶")+COUNTIF($E89:N89,"²")+COUNTIF($E89:N89,"µ")+COUNTIF($E89:N89,1),ColLivraison)=O$6,
  VLOOKUP($E89,INDIRECT("tri!"&amp; CHAR(64+ C0Col) &amp;":"&amp; CHAR(65+C0Col)),2,FALSE)&gt;COUNTIF($E89:N89,"u")+COUNTIF($E89:N89,"t")+COUNTIF($E89:N89,"¶")+COUNTIF($E89:N89,"²")+COUNTIF($E89:N89,"µ")+COUNTIF($E89:N89,1)),
HYPERLINK("#Roadmap!C"&amp; MATCH($E89,Roadmap!$D:$D,0)+COUNTIF($E89:N89,"u")+COUNTIF($E89:N89,"t"),
     INDEX(Roadmap!$D:$K,MATCH($E89,Roadmap!$D:$D,0)+COUNTIF($E89:N89,"u")+COUNTIF($E89:N89,"t")+COUNTIF($E89:N89,"¶")+COUNTIF($E89:N89,"²")+COUNTIF($E89:N89,"µ")+COUNTIF($E89:N89,1),ColTypeEcheance)),
  IF(LEN(N89)=1,
  IF(LEN(INDEX(Roadmap!$D:$K,MATCH($E89,Roadmap!$D:$D,0)-1+COUNTIF($E89:N89,"u")+COUNTIF($E89:N89,"t")+COUNTIF($E89:N89,"¶")+COUNTIF($E89:N89,"²")+COUNTIF($E89:N89,"µ")+COUNTIF($E89:N89,1),ColDescriptionCourte))&gt;1,
HYPERLINK("#Roadmap!C"&amp; MATCH($E89,Roadmap!$D:$D,0)+COUNTIF($E89:N89,"u")+COUNTIF($E89:N89,"t")+COUNTIF($E89:N89,"¶")+COUNTIF($E89:N89,"²")+COUNTIF($E89:N89,"µ")+COUNTIF($E89:N89,1)-1,INDEX(Roadmap!$D:$K,MATCH($E89,Roadmap!$D:$D,0)-1+COUNTIF($E89:N89,"u")+COUNTIF($E89:N89,"t")+COUNTIF($E89:N89,"¶")+COUNTIF($E89:N89,"²")+COUNTIF($E89:N89,"µ")+COUNTIF($E89:N89,1),ColDescriptionCourte)),""),
  "")),"")</f>
        <v/>
      </c>
      <c r="P89" s="40" t="str">
        <f ca="1">IFERROR(IF(AND(
  INDEX(Roadmap!$D:$K,MATCH($E89,Roadmap!$D:$D,0)+COUNTIF($E89:O89,"u")+COUNTIF($E89:O89,"t")+COUNTIF($E89:O89,"¶")+COUNTIF($E89:O89,"²")+COUNTIF($E89:O89,"µ")+COUNTIF($E89:O89,1),ColLivraison)=P$6,
  VLOOKUP($E89,INDIRECT("tri!"&amp; CHAR(64+ C0Col) &amp;":"&amp; CHAR(65+C0Col)),2,FALSE)&gt;COUNTIF($E89:O89,"u")+COUNTIF($E89:O89,"t")+COUNTIF($E89:O89,"¶")+COUNTIF($E89:O89,"²")+COUNTIF($E89:O89,"µ")+COUNTIF($E89:O89,1)),
HYPERLINK("#Roadmap!C"&amp; MATCH($E89,Roadmap!$D:$D,0)+COUNTIF($E89:O89,"u")+COUNTIF($E89:O89,"t"),
     INDEX(Roadmap!$D:$K,MATCH($E89,Roadmap!$D:$D,0)+COUNTIF($E89:O89,"u")+COUNTIF($E89:O89,"t")+COUNTIF($E89:O89,"¶")+COUNTIF($E89:O89,"²")+COUNTIF($E89:O89,"µ")+COUNTIF($E89:O89,1),ColTypeEcheance)),
  IF(LEN(O89)=1,
  IF(LEN(INDEX(Roadmap!$D:$K,MATCH($E89,Roadmap!$D:$D,0)-1+COUNTIF($E89:O89,"u")+COUNTIF($E89:O89,"t")+COUNTIF($E89:O89,"¶")+COUNTIF($E89:O89,"²")+COUNTIF($E89:O89,"µ")+COUNTIF($E89:O89,1),ColDescriptionCourte))&gt;1,
HYPERLINK("#Roadmap!C"&amp; MATCH($E89,Roadmap!$D:$D,0)+COUNTIF($E89:O89,"u")+COUNTIF($E89:O89,"t")+COUNTIF($E89:O89,"¶")+COUNTIF($E89:O89,"²")+COUNTIF($E89:O89,"µ")+COUNTIF($E89:O89,1)-1,INDEX(Roadmap!$D:$K,MATCH($E89,Roadmap!$D:$D,0)-1+COUNTIF($E89:O89,"u")+COUNTIF($E89:O89,"t")+COUNTIF($E89:O89,"¶")+COUNTIF($E89:O89,"²")+COUNTIF($E89:O89,"µ")+COUNTIF($E89:O89,1),ColDescriptionCourte)),""),
  "")),"")</f>
        <v/>
      </c>
      <c r="Q89" s="40" t="str">
        <f ca="1">IFERROR(IF(AND(
  INDEX(Roadmap!$D:$K,MATCH($E89,Roadmap!$D:$D,0)+COUNTIF($E89:P89,"u")+COUNTIF($E89:P89,"t")+COUNTIF($E89:P89,"¶")+COUNTIF($E89:P89,"²")+COUNTIF($E89:P89,"µ")+COUNTIF($E89:P89,1),ColLivraison)=Q$6,
  VLOOKUP($E89,INDIRECT("tri!"&amp; CHAR(64+ C0Col) &amp;":"&amp; CHAR(65+C0Col)),2,FALSE)&gt;COUNTIF($E89:P89,"u")+COUNTIF($E89:P89,"t")+COUNTIF($E89:P89,"¶")+COUNTIF($E89:P89,"²")+COUNTIF($E89:P89,"µ")+COUNTIF($E89:P89,1)),
HYPERLINK("#Roadmap!C"&amp; MATCH($E89,Roadmap!$D:$D,0)+COUNTIF($E89:P89,"u")+COUNTIF($E89:P89,"t"),
     INDEX(Roadmap!$D:$K,MATCH($E89,Roadmap!$D:$D,0)+COUNTIF($E89:P89,"u")+COUNTIF($E89:P89,"t")+COUNTIF($E89:P89,"¶")+COUNTIF($E89:P89,"²")+COUNTIF($E89:P89,"µ")+COUNTIF($E89:P89,1),ColTypeEcheance)),
  IF(LEN(P89)=1,
  IF(LEN(INDEX(Roadmap!$D:$K,MATCH($E89,Roadmap!$D:$D,0)-1+COUNTIF($E89:P89,"u")+COUNTIF($E89:P89,"t")+COUNTIF($E89:P89,"¶")+COUNTIF($E89:P89,"²")+COUNTIF($E89:P89,"µ")+COUNTIF($E89:P89,1),ColDescriptionCourte))&gt;1,
HYPERLINK("#Roadmap!C"&amp; MATCH($E89,Roadmap!$D:$D,0)+COUNTIF($E89:P89,"u")+COUNTIF($E89:P89,"t")+COUNTIF($E89:P89,"¶")+COUNTIF($E89:P89,"²")+COUNTIF($E89:P89,"µ")+COUNTIF($E89:P89,1)-1,INDEX(Roadmap!$D:$K,MATCH($E89,Roadmap!$D:$D,0)-1+COUNTIF($E89:P89,"u")+COUNTIF($E89:P89,"t")+COUNTIF($E89:P89,"¶")+COUNTIF($E89:P89,"²")+COUNTIF($E89:P89,"µ")+COUNTIF($E89:P89,1),ColDescriptionCourte)),""),
  "")),"")</f>
        <v/>
      </c>
      <c r="R89" s="40" t="str">
        <f ca="1">IFERROR(IF(AND(
  INDEX(Roadmap!$D:$K,MATCH($E89,Roadmap!$D:$D,0)+COUNTIF($E89:Q89,"u")+COUNTIF($E89:Q89,"t")+COUNTIF($E89:Q89,"¶")+COUNTIF($E89:Q89,"²")+COUNTIF($E89:Q89,"µ")+COUNTIF($E89:Q89,1),ColLivraison)=R$6,
  VLOOKUP($E89,INDIRECT("tri!"&amp; CHAR(64+ C0Col) &amp;":"&amp; CHAR(65+C0Col)),2,FALSE)&gt;COUNTIF($E89:Q89,"u")+COUNTIF($E89:Q89,"t")+COUNTIF($E89:Q89,"¶")+COUNTIF($E89:Q89,"²")+COUNTIF($E89:Q89,"µ")+COUNTIF($E89:Q89,1)),
HYPERLINK("#Roadmap!C"&amp; MATCH($E89,Roadmap!$D:$D,0)+COUNTIF($E89:Q89,"u")+COUNTIF($E89:Q89,"t"),
     INDEX(Roadmap!$D:$K,MATCH($E89,Roadmap!$D:$D,0)+COUNTIF($E89:Q89,"u")+COUNTIF($E89:Q89,"t")+COUNTIF($E89:Q89,"¶")+COUNTIF($E89:Q89,"²")+COUNTIF($E89:Q89,"µ")+COUNTIF($E89:Q89,1),ColTypeEcheance)),
  IF(LEN(Q89)=1,
  IF(LEN(INDEX(Roadmap!$D:$K,MATCH($E89,Roadmap!$D:$D,0)-1+COUNTIF($E89:Q89,"u")+COUNTIF($E89:Q89,"t")+COUNTIF($E89:Q89,"¶")+COUNTIF($E89:Q89,"²")+COUNTIF($E89:Q89,"µ")+COUNTIF($E89:Q89,1),ColDescriptionCourte))&gt;1,
HYPERLINK("#Roadmap!C"&amp; MATCH($E89,Roadmap!$D:$D,0)+COUNTIF($E89:Q89,"u")+COUNTIF($E89:Q89,"t")+COUNTIF($E89:Q89,"¶")+COUNTIF($E89:Q89,"²")+COUNTIF($E89:Q89,"µ")+COUNTIF($E89:Q89,1)-1,INDEX(Roadmap!$D:$K,MATCH($E89,Roadmap!$D:$D,0)-1+COUNTIF($E89:Q89,"u")+COUNTIF($E89:Q89,"t")+COUNTIF($E89:Q89,"¶")+COUNTIF($E89:Q89,"²")+COUNTIF($E89:Q89,"µ")+COUNTIF($E89:Q89,1),ColDescriptionCourte)),""),
  "")),"")</f>
        <v/>
      </c>
      <c r="S89" s="40" t="str">
        <f ca="1">IFERROR(IF(AND(
  INDEX(Roadmap!$D:$K,MATCH($E89,Roadmap!$D:$D,0)+COUNTIF($E89:R89,"u")+COUNTIF($E89:R89,"t")+COUNTIF($E89:R89,"¶")+COUNTIF($E89:R89,"²")+COUNTIF($E89:R89,"µ")+COUNTIF($E89:R89,1),ColLivraison)=S$6,
  VLOOKUP($E89,INDIRECT("tri!"&amp; CHAR(64+ C0Col) &amp;":"&amp; CHAR(65+C0Col)),2,FALSE)&gt;COUNTIF($E89:R89,"u")+COUNTIF($E89:R89,"t")+COUNTIF($E89:R89,"¶")+COUNTIF($E89:R89,"²")+COUNTIF($E89:R89,"µ")+COUNTIF($E89:R89,1)),
HYPERLINK("#Roadmap!C"&amp; MATCH($E89,Roadmap!$D:$D,0)+COUNTIF($E89:R89,"u")+COUNTIF($E89:R89,"t"),
     INDEX(Roadmap!$D:$K,MATCH($E89,Roadmap!$D:$D,0)+COUNTIF($E89:R89,"u")+COUNTIF($E89:R89,"t")+COUNTIF($E89:R89,"¶")+COUNTIF($E89:R89,"²")+COUNTIF($E89:R89,"µ")+COUNTIF($E89:R89,1),ColTypeEcheance)),
  IF(LEN(R89)=1,
  IF(LEN(INDEX(Roadmap!$D:$K,MATCH($E89,Roadmap!$D:$D,0)-1+COUNTIF($E89:R89,"u")+COUNTIF($E89:R89,"t")+COUNTIF($E89:R89,"¶")+COUNTIF($E89:R89,"²")+COUNTIF($E89:R89,"µ")+COUNTIF($E89:R89,1),ColDescriptionCourte))&gt;1,
HYPERLINK("#Roadmap!C"&amp; MATCH($E89,Roadmap!$D:$D,0)+COUNTIF($E89:R89,"u")+COUNTIF($E89:R89,"t")+COUNTIF($E89:R89,"¶")+COUNTIF($E89:R89,"²")+COUNTIF($E89:R89,"µ")+COUNTIF($E89:R89,1)-1,INDEX(Roadmap!$D:$K,MATCH($E89,Roadmap!$D:$D,0)-1+COUNTIF($E89:R89,"u")+COUNTIF($E89:R89,"t")+COUNTIF($E89:R89,"¶")+COUNTIF($E89:R89,"²")+COUNTIF($E89:R89,"µ")+COUNTIF($E89:R89,1),ColDescriptionCourte)),""),
  "")),"")</f>
        <v/>
      </c>
      <c r="T89" s="40" t="str">
        <f ca="1">IFERROR(IF(AND(
  INDEX(Roadmap!$D:$K,MATCH($E89,Roadmap!$D:$D,0)+COUNTIF($E89:S89,"u")+COUNTIF($E89:S89,"t")+COUNTIF($E89:S89,"¶")+COUNTIF($E89:S89,"²")+COUNTIF($E89:S89,"µ")+COUNTIF($E89:S89,1),ColLivraison)=T$6,
  VLOOKUP($E89,INDIRECT("tri!"&amp; CHAR(64+ C0Col) &amp;":"&amp; CHAR(65+C0Col)),2,FALSE)&gt;COUNTIF($E89:S89,"u")+COUNTIF($E89:S89,"t")+COUNTIF($E89:S89,"¶")+COUNTIF($E89:S89,"²")+COUNTIF($E89:S89,"µ")+COUNTIF($E89:S89,1)),
HYPERLINK("#Roadmap!C"&amp; MATCH($E89,Roadmap!$D:$D,0)+COUNTIF($E89:S89,"u")+COUNTIF($E89:S89,"t"),
     INDEX(Roadmap!$D:$K,MATCH($E89,Roadmap!$D:$D,0)+COUNTIF($E89:S89,"u")+COUNTIF($E89:S89,"t")+COUNTIF($E89:S89,"¶")+COUNTIF($E89:S89,"²")+COUNTIF($E89:S89,"µ")+COUNTIF($E89:S89,1),ColTypeEcheance)),
  IF(LEN(S89)=1,
  IF(LEN(INDEX(Roadmap!$D:$K,MATCH($E89,Roadmap!$D:$D,0)-1+COUNTIF($E89:S89,"u")+COUNTIF($E89:S89,"t")+COUNTIF($E89:S89,"¶")+COUNTIF($E89:S89,"²")+COUNTIF($E89:S89,"µ")+COUNTIF($E89:S89,1),ColDescriptionCourte))&gt;1,
HYPERLINK("#Roadmap!C"&amp; MATCH($E89,Roadmap!$D:$D,0)+COUNTIF($E89:S89,"u")+COUNTIF($E89:S89,"t")+COUNTIF($E89:S89,"¶")+COUNTIF($E89:S89,"²")+COUNTIF($E89:S89,"µ")+COUNTIF($E89:S89,1)-1,INDEX(Roadmap!$D:$K,MATCH($E89,Roadmap!$D:$D,0)-1+COUNTIF($E89:S89,"u")+COUNTIF($E89:S89,"t")+COUNTIF($E89:S89,"¶")+COUNTIF($E89:S89,"²")+COUNTIF($E89:S89,"µ")+COUNTIF($E89:S89,1),ColDescriptionCourte)),""),
  "")),"")</f>
        <v/>
      </c>
      <c r="U89" s="40" t="str">
        <f ca="1">IFERROR(IF(AND(
  INDEX(Roadmap!$D:$K,MATCH($E89,Roadmap!$D:$D,0)+COUNTIF($E89:T89,"u")+COUNTIF($E89:T89,"t")+COUNTIF($E89:T89,"¶")+COUNTIF($E89:T89,"²")+COUNTIF($E89:T89,"µ")+COUNTIF($E89:T89,1),ColLivraison)=U$6,
  VLOOKUP($E89,INDIRECT("tri!"&amp; CHAR(64+ C0Col) &amp;":"&amp; CHAR(65+C0Col)),2,FALSE)&gt;COUNTIF($E89:T89,"u")+COUNTIF($E89:T89,"t")+COUNTIF($E89:T89,"¶")+COUNTIF($E89:T89,"²")+COUNTIF($E89:T89,"µ")+COUNTIF($E89:T89,1)),
HYPERLINK("#Roadmap!C"&amp; MATCH($E89,Roadmap!$D:$D,0)+COUNTIF($E89:T89,"u")+COUNTIF($E89:T89,"t"),
     INDEX(Roadmap!$D:$K,MATCH($E89,Roadmap!$D:$D,0)+COUNTIF($E89:T89,"u")+COUNTIF($E89:T89,"t")+COUNTIF($E89:T89,"¶")+COUNTIF($E89:T89,"²")+COUNTIF($E89:T89,"µ")+COUNTIF($E89:T89,1),ColTypeEcheance)),
  IF(LEN(T89)=1,
  IF(LEN(INDEX(Roadmap!$D:$K,MATCH($E89,Roadmap!$D:$D,0)-1+COUNTIF($E89:T89,"u")+COUNTIF($E89:T89,"t")+COUNTIF($E89:T89,"¶")+COUNTIF($E89:T89,"²")+COUNTIF($E89:T89,"µ")+COUNTIF($E89:T89,1),ColDescriptionCourte))&gt;1,
HYPERLINK("#Roadmap!C"&amp; MATCH($E89,Roadmap!$D:$D,0)+COUNTIF($E89:T89,"u")+COUNTIF($E89:T89,"t")+COUNTIF($E89:T89,"¶")+COUNTIF($E89:T89,"²")+COUNTIF($E89:T89,"µ")+COUNTIF($E89:T89,1)-1,INDEX(Roadmap!$D:$K,MATCH($E89,Roadmap!$D:$D,0)-1+COUNTIF($E89:T89,"u")+COUNTIF($E89:T89,"t")+COUNTIF($E89:T89,"¶")+COUNTIF($E89:T89,"²")+COUNTIF($E89:T89,"µ")+COUNTIF($E89:T89,1),ColDescriptionCourte)),""),
  "")),"")</f>
        <v/>
      </c>
      <c r="V89" s="40" t="str">
        <f ca="1">IFERROR(IF(AND(
  INDEX(Roadmap!$D:$K,MATCH($E89,Roadmap!$D:$D,0)+COUNTIF($E89:U89,"u")+COUNTIF($E89:U89,"t")+COUNTIF($E89:U89,"¶")+COUNTIF($E89:U89,"²")+COUNTIF($E89:U89,"µ")+COUNTIF($E89:U89,1),ColLivraison)=V$6,
  VLOOKUP($E89,INDIRECT("tri!"&amp; CHAR(64+ C0Col) &amp;":"&amp; CHAR(65+C0Col)),2,FALSE)&gt;COUNTIF($E89:U89,"u")+COUNTIF($E89:U89,"t")+COUNTIF($E89:U89,"¶")+COUNTIF($E89:U89,"²")+COUNTIF($E89:U89,"µ")+COUNTIF($E89:U89,1)),
HYPERLINK("#Roadmap!C"&amp; MATCH($E89,Roadmap!$D:$D,0)+COUNTIF($E89:U89,"u")+COUNTIF($E89:U89,"t"),
     INDEX(Roadmap!$D:$K,MATCH($E89,Roadmap!$D:$D,0)+COUNTIF($E89:U89,"u")+COUNTIF($E89:U89,"t")+COUNTIF($E89:U89,"¶")+COUNTIF($E89:U89,"²")+COUNTIF($E89:U89,"µ")+COUNTIF($E89:U89,1),ColTypeEcheance)),
  IF(LEN(U89)=1,
  IF(LEN(INDEX(Roadmap!$D:$K,MATCH($E89,Roadmap!$D:$D,0)-1+COUNTIF($E89:U89,"u")+COUNTIF($E89:U89,"t")+COUNTIF($E89:U89,"¶")+COUNTIF($E89:U89,"²")+COUNTIF($E89:U89,"µ")+COUNTIF($E89:U89,1),ColDescriptionCourte))&gt;1,
HYPERLINK("#Roadmap!C"&amp; MATCH($E89,Roadmap!$D:$D,0)+COUNTIF($E89:U89,"u")+COUNTIF($E89:U89,"t")+COUNTIF($E89:U89,"¶")+COUNTIF($E89:U89,"²")+COUNTIF($E89:U89,"µ")+COUNTIF($E89:U89,1)-1,INDEX(Roadmap!$D:$K,MATCH($E89,Roadmap!$D:$D,0)-1+COUNTIF($E89:U89,"u")+COUNTIF($E89:U89,"t")+COUNTIF($E89:U89,"¶")+COUNTIF($E89:U89,"²")+COUNTIF($E89:U89,"µ")+COUNTIF($E89:U89,1),ColDescriptionCourte)),""),
  "")),"")</f>
        <v/>
      </c>
      <c r="W89" s="40" t="str">
        <f ca="1">IFERROR(IF(AND(
  INDEX(Roadmap!$D:$K,MATCH($E89,Roadmap!$D:$D,0)+COUNTIF($E89:V89,"u")+COUNTIF($E89:V89,"t")+COUNTIF($E89:V89,"¶")+COUNTIF($E89:V89,"²")+COUNTIF($E89:V89,"µ")+COUNTIF($E89:V89,1),ColLivraison)=W$6,
  VLOOKUP($E89,INDIRECT("tri!"&amp; CHAR(64+ C0Col) &amp;":"&amp; CHAR(65+C0Col)),2,FALSE)&gt;COUNTIF($E89:V89,"u")+COUNTIF($E89:V89,"t")+COUNTIF($E89:V89,"¶")+COUNTIF($E89:V89,"²")+COUNTIF($E89:V89,"µ")+COUNTIF($E89:V89,1)),
HYPERLINK("#Roadmap!C"&amp; MATCH($E89,Roadmap!$D:$D,0)+COUNTIF($E89:V89,"u")+COUNTIF($E89:V89,"t"),
     INDEX(Roadmap!$D:$K,MATCH($E89,Roadmap!$D:$D,0)+COUNTIF($E89:V89,"u")+COUNTIF($E89:V89,"t")+COUNTIF($E89:V89,"¶")+COUNTIF($E89:V89,"²")+COUNTIF($E89:V89,"µ")+COUNTIF($E89:V89,1),ColTypeEcheance)),
  IF(LEN(V89)=1,
  IF(LEN(INDEX(Roadmap!$D:$K,MATCH($E89,Roadmap!$D:$D,0)-1+COUNTIF($E89:V89,"u")+COUNTIF($E89:V89,"t")+COUNTIF($E89:V89,"¶")+COUNTIF($E89:V89,"²")+COUNTIF($E89:V89,"µ")+COUNTIF($E89:V89,1),ColDescriptionCourte))&gt;1,
HYPERLINK("#Roadmap!C"&amp; MATCH($E89,Roadmap!$D:$D,0)+COUNTIF($E89:V89,"u")+COUNTIF($E89:V89,"t")+COUNTIF($E89:V89,"¶")+COUNTIF($E89:V89,"²")+COUNTIF($E89:V89,"µ")+COUNTIF($E89:V89,1)-1,INDEX(Roadmap!$D:$K,MATCH($E89,Roadmap!$D:$D,0)-1+COUNTIF($E89:V89,"u")+COUNTIF($E89:V89,"t")+COUNTIF($E89:V89,"¶")+COUNTIF($E89:V89,"²")+COUNTIF($E89:V89,"µ")+COUNTIF($E89:V89,1),ColDescriptionCourte)),""),
  "")),"")</f>
        <v/>
      </c>
      <c r="X89" s="40" t="str">
        <f ca="1">IFERROR(IF(AND(
  INDEX(Roadmap!$D:$K,MATCH($E89,Roadmap!$D:$D,0)+COUNTIF($E89:W89,"u")+COUNTIF($E89:W89,"t")+COUNTIF($E89:W89,"¶")+COUNTIF($E89:W89,"²")+COUNTIF($E89:W89,"µ")+COUNTIF($E89:W89,1),ColLivraison)=X$6,
  VLOOKUP($E89,INDIRECT("tri!"&amp; CHAR(64+ C0Col) &amp;":"&amp; CHAR(65+C0Col)),2,FALSE)&gt;COUNTIF($E89:W89,"u")+COUNTIF($E89:W89,"t")+COUNTIF($E89:W89,"¶")+COUNTIF($E89:W89,"²")+COUNTIF($E89:W89,"µ")+COUNTIF($E89:W89,1)),
HYPERLINK("#Roadmap!C"&amp; MATCH($E89,Roadmap!$D:$D,0)+COUNTIF($E89:W89,"u")+COUNTIF($E89:W89,"t"),
     INDEX(Roadmap!$D:$K,MATCH($E89,Roadmap!$D:$D,0)+COUNTIF($E89:W89,"u")+COUNTIF($E89:W89,"t")+COUNTIF($E89:W89,"¶")+COUNTIF($E89:W89,"²")+COUNTIF($E89:W89,"µ")+COUNTIF($E89:W89,1),ColTypeEcheance)),
  IF(LEN(W89)=1,
  IF(LEN(INDEX(Roadmap!$D:$K,MATCH($E89,Roadmap!$D:$D,0)-1+COUNTIF($E89:W89,"u")+COUNTIF($E89:W89,"t")+COUNTIF($E89:W89,"¶")+COUNTIF($E89:W89,"²")+COUNTIF($E89:W89,"µ")+COUNTIF($E89:W89,1),ColDescriptionCourte))&gt;1,
HYPERLINK("#Roadmap!C"&amp; MATCH($E89,Roadmap!$D:$D,0)+COUNTIF($E89:W89,"u")+COUNTIF($E89:W89,"t")+COUNTIF($E89:W89,"¶")+COUNTIF($E89:W89,"²")+COUNTIF($E89:W89,"µ")+COUNTIF($E89:W89,1)-1,INDEX(Roadmap!$D:$K,MATCH($E89,Roadmap!$D:$D,0)-1+COUNTIF($E89:W89,"u")+COUNTIF($E89:W89,"t")+COUNTIF($E89:W89,"¶")+COUNTIF($E89:W89,"²")+COUNTIF($E89:W89,"µ")+COUNTIF($E89:W89,1),ColDescriptionCourte)),""),
  "")),"")</f>
        <v/>
      </c>
      <c r="Y89" s="40" t="str">
        <f ca="1">IFERROR(IF(AND(
  INDEX(Roadmap!$D:$K,MATCH($E89,Roadmap!$D:$D,0)+COUNTIF($E89:X89,"u")+COUNTIF($E89:X89,"t")+COUNTIF($E89:X89,"¶")+COUNTIF($E89:X89,"²")+COUNTIF($E89:X89,"µ")+COUNTIF($E89:X89,1),ColLivraison)=Y$6,
  VLOOKUP($E89,INDIRECT("tri!"&amp; CHAR(64+ C0Col) &amp;":"&amp; CHAR(65+C0Col)),2,FALSE)&gt;COUNTIF($E89:X89,"u")+COUNTIF($E89:X89,"t")+COUNTIF($E89:X89,"¶")+COUNTIF($E89:X89,"²")+COUNTIF($E89:X89,"µ")+COUNTIF($E89:X89,1)),
HYPERLINK("#Roadmap!C"&amp; MATCH($E89,Roadmap!$D:$D,0)+COUNTIF($E89:X89,"u")+COUNTIF($E89:X89,"t"),
     INDEX(Roadmap!$D:$K,MATCH($E89,Roadmap!$D:$D,0)+COUNTIF($E89:X89,"u")+COUNTIF($E89:X89,"t")+COUNTIF($E89:X89,"¶")+COUNTIF($E89:X89,"²")+COUNTIF($E89:X89,"µ")+COUNTIF($E89:X89,1),ColTypeEcheance)),
  IF(LEN(X89)=1,
  IF(LEN(INDEX(Roadmap!$D:$K,MATCH($E89,Roadmap!$D:$D,0)-1+COUNTIF($E89:X89,"u")+COUNTIF($E89:X89,"t")+COUNTIF($E89:X89,"¶")+COUNTIF($E89:X89,"²")+COUNTIF($E89:X89,"µ")+COUNTIF($E89:X89,1),ColDescriptionCourte))&gt;1,
HYPERLINK("#Roadmap!C"&amp; MATCH($E89,Roadmap!$D:$D,0)+COUNTIF($E89:X89,"u")+COUNTIF($E89:X89,"t")+COUNTIF($E89:X89,"¶")+COUNTIF($E89:X89,"²")+COUNTIF($E89:X89,"µ")+COUNTIF($E89:X89,1)-1,INDEX(Roadmap!$D:$K,MATCH($E89,Roadmap!$D:$D,0)-1+COUNTIF($E89:X89,"u")+COUNTIF($E89:X89,"t")+COUNTIF($E89:X89,"¶")+COUNTIF($E89:X89,"²")+COUNTIF($E89:X89,"µ")+COUNTIF($E89:X89,1),ColDescriptionCourte)),""),
  "")),"")</f>
        <v/>
      </c>
      <c r="Z89" s="40" t="str">
        <f ca="1">IFERROR(IF(AND(
  INDEX(Roadmap!$D:$K,MATCH($E89,Roadmap!$D:$D,0)+COUNTIF($E89:Y89,"u")+COUNTIF($E89:Y89,"t")+COUNTIF($E89:Y89,"¶")+COUNTIF($E89:Y89,"²")+COUNTIF($E89:Y89,"µ")+COUNTIF($E89:Y89,1),ColLivraison)=Z$6,
  VLOOKUP($E89,INDIRECT("tri!"&amp; CHAR(64+ C0Col) &amp;":"&amp; CHAR(65+C0Col)),2,FALSE)&gt;COUNTIF($E89:Y89,"u")+COUNTIF($E89:Y89,"t")+COUNTIF($E89:Y89,"¶")+COUNTIF($E89:Y89,"²")+COUNTIF($E89:Y89,"µ")+COUNTIF($E89:Y89,1)),
HYPERLINK("#Roadmap!C"&amp; MATCH($E89,Roadmap!$D:$D,0)+COUNTIF($E89:Y89,"u")+COUNTIF($E89:Y89,"t"),
     INDEX(Roadmap!$D:$K,MATCH($E89,Roadmap!$D:$D,0)+COUNTIF($E89:Y89,"u")+COUNTIF($E89:Y89,"t")+COUNTIF($E89:Y89,"¶")+COUNTIF($E89:Y89,"²")+COUNTIF($E89:Y89,"µ")+COUNTIF($E89:Y89,1),ColTypeEcheance)),
  IF(LEN(Y89)=1,
  IF(LEN(INDEX(Roadmap!$D:$K,MATCH($E89,Roadmap!$D:$D,0)-1+COUNTIF($E89:Y89,"u")+COUNTIF($E89:Y89,"t")+COUNTIF($E89:Y89,"¶")+COUNTIF($E89:Y89,"²")+COUNTIF($E89:Y89,"µ")+COUNTIF($E89:Y89,1),ColDescriptionCourte))&gt;1,
HYPERLINK("#Roadmap!C"&amp; MATCH($E89,Roadmap!$D:$D,0)+COUNTIF($E89:Y89,"u")+COUNTIF($E89:Y89,"t")+COUNTIF($E89:Y89,"¶")+COUNTIF($E89:Y89,"²")+COUNTIF($E89:Y89,"µ")+COUNTIF($E89:Y89,1)-1,INDEX(Roadmap!$D:$K,MATCH($E89,Roadmap!$D:$D,0)-1+COUNTIF($E89:Y89,"u")+COUNTIF($E89:Y89,"t")+COUNTIF($E89:Y89,"¶")+COUNTIF($E89:Y89,"²")+COUNTIF($E89:Y89,"µ")+COUNTIF($E89:Y89,1),ColDescriptionCourte)),""),
  "")),"")</f>
        <v/>
      </c>
      <c r="AA89" s="40" t="str">
        <f ca="1">IFERROR(IF(AND(
  INDEX(Roadmap!$D:$K,MATCH($E89,Roadmap!$D:$D,0)+COUNTIF($E89:Z89,"u")+COUNTIF($E89:Z89,"t")+COUNTIF($E89:Z89,"¶")+COUNTIF($E89:Z89,"²")+COUNTIF($E89:Z89,"µ")+COUNTIF($E89:Z89,1),ColLivraison)=AA$6,
  VLOOKUP($E89,INDIRECT("tri!"&amp; CHAR(64+ C0Col) &amp;":"&amp; CHAR(65+C0Col)),2,FALSE)&gt;COUNTIF($E89:Z89,"u")+COUNTIF($E89:Z89,"t")+COUNTIF($E89:Z89,"¶")+COUNTIF($E89:Z89,"²")+COUNTIF($E89:Z89,"µ")+COUNTIF($E89:Z89,1)),
HYPERLINK("#Roadmap!C"&amp; MATCH($E89,Roadmap!$D:$D,0)+COUNTIF($E89:Z89,"u")+COUNTIF($E89:Z89,"t"),
     INDEX(Roadmap!$D:$K,MATCH($E89,Roadmap!$D:$D,0)+COUNTIF($E89:Z89,"u")+COUNTIF($E89:Z89,"t")+COUNTIF($E89:Z89,"¶")+COUNTIF($E89:Z89,"²")+COUNTIF($E89:Z89,"µ")+COUNTIF($E89:Z89,1),ColTypeEcheance)),
  IF(LEN(Z89)=1,
  IF(LEN(INDEX(Roadmap!$D:$K,MATCH($E89,Roadmap!$D:$D,0)-1+COUNTIF($E89:Z89,"u")+COUNTIF($E89:Z89,"t")+COUNTIF($E89:Z89,"¶")+COUNTIF($E89:Z89,"²")+COUNTIF($E89:Z89,"µ")+COUNTIF($E89:Z89,1),ColDescriptionCourte))&gt;1,
HYPERLINK("#Roadmap!C"&amp; MATCH($E89,Roadmap!$D:$D,0)+COUNTIF($E89:Z89,"u")+COUNTIF($E89:Z89,"t")+COUNTIF($E89:Z89,"¶")+COUNTIF($E89:Z89,"²")+COUNTIF($E89:Z89,"µ")+COUNTIF($E89:Z89,1)-1,INDEX(Roadmap!$D:$K,MATCH($E89,Roadmap!$D:$D,0)-1+COUNTIF($E89:Z89,"u")+COUNTIF($E89:Z89,"t")+COUNTIF($E89:Z89,"¶")+COUNTIF($E89:Z89,"²")+COUNTIF($E89:Z89,"µ")+COUNTIF($E89:Z89,1),ColDescriptionCourte)),""),
  "")),"")</f>
        <v/>
      </c>
      <c r="AB89" s="40" t="str">
        <f ca="1">IFERROR(IF(AND(
  INDEX(Roadmap!$D:$K,MATCH($E89,Roadmap!$D:$D,0)+COUNTIF($E89:AA89,"u")+COUNTIF($E89:AA89,"t")+COUNTIF($E89:AA89,"¶")+COUNTIF($E89:AA89,"²")+COUNTIF($E89:AA89,"µ")+COUNTIF($E89:AA89,1),ColLivraison)=AB$6,
  VLOOKUP($E89,INDIRECT("tri!"&amp; CHAR(64+ C0Col) &amp;":"&amp; CHAR(65+C0Col)),2,FALSE)&gt;COUNTIF($E89:AA89,"u")+COUNTIF($E89:AA89,"t")+COUNTIF($E89:AA89,"¶")+COUNTIF($E89:AA89,"²")+COUNTIF($E89:AA89,"µ")+COUNTIF($E89:AA89,1)),
HYPERLINK("#Roadmap!C"&amp; MATCH($E89,Roadmap!$D:$D,0)+COUNTIF($E89:AA89,"u")+COUNTIF($E89:AA89,"t"),
     INDEX(Roadmap!$D:$K,MATCH($E89,Roadmap!$D:$D,0)+COUNTIF($E89:AA89,"u")+COUNTIF($E89:AA89,"t")+COUNTIF($E89:AA89,"¶")+COUNTIF($E89:AA89,"²")+COUNTIF($E89:AA89,"µ")+COUNTIF($E89:AA89,1),ColTypeEcheance)),
  IF(LEN(AA89)=1,
  IF(LEN(INDEX(Roadmap!$D:$K,MATCH($E89,Roadmap!$D:$D,0)-1+COUNTIF($E89:AA89,"u")+COUNTIF($E89:AA89,"t")+COUNTIF($E89:AA89,"¶")+COUNTIF($E89:AA89,"²")+COUNTIF($E89:AA89,"µ")+COUNTIF($E89:AA89,1),ColDescriptionCourte))&gt;1,
HYPERLINK("#Roadmap!C"&amp; MATCH($E89,Roadmap!$D:$D,0)+COUNTIF($E89:AA89,"u")+COUNTIF($E89:AA89,"t")+COUNTIF($E89:AA89,"¶")+COUNTIF($E89:AA89,"²")+COUNTIF($E89:AA89,"µ")+COUNTIF($E89:AA89,1)-1,INDEX(Roadmap!$D:$K,MATCH($E89,Roadmap!$D:$D,0)-1+COUNTIF($E89:AA89,"u")+COUNTIF($E89:AA89,"t")+COUNTIF($E89:AA89,"¶")+COUNTIF($E89:AA89,"²")+COUNTIF($E89:AA89,"µ")+COUNTIF($E89:AA89,1),ColDescriptionCourte)),""),
  "")),"")</f>
        <v/>
      </c>
      <c r="AC89" s="40" t="str">
        <f ca="1">IFERROR(IF(AND(
  INDEX(Roadmap!$D:$K,MATCH($E89,Roadmap!$D:$D,0)+COUNTIF($E89:AB89,"u")+COUNTIF($E89:AB89,"t")+COUNTIF($E89:AB89,"¶")+COUNTIF($E89:AB89,"²")+COUNTIF($E89:AB89,"µ")+COUNTIF($E89:AB89,1),ColLivraison)=AC$6,
  VLOOKUP($E89,INDIRECT("tri!"&amp; CHAR(64+ C0Col) &amp;":"&amp; CHAR(65+C0Col)),2,FALSE)&gt;COUNTIF($E89:AB89,"u")+COUNTIF($E89:AB89,"t")+COUNTIF($E89:AB89,"¶")+COUNTIF($E89:AB89,"²")+COUNTIF($E89:AB89,"µ")+COUNTIF($E89:AB89,1)),
HYPERLINK("#Roadmap!C"&amp; MATCH($E89,Roadmap!$D:$D,0)+COUNTIF($E89:AB89,"u")+COUNTIF($E89:AB89,"t"),
     INDEX(Roadmap!$D:$K,MATCH($E89,Roadmap!$D:$D,0)+COUNTIF($E89:AB89,"u")+COUNTIF($E89:AB89,"t")+COUNTIF($E89:AB89,"¶")+COUNTIF($E89:AB89,"²")+COUNTIF($E89:AB89,"µ")+COUNTIF($E89:AB89,1),ColTypeEcheance)),
  IF(LEN(AB89)=1,
  IF(LEN(INDEX(Roadmap!$D:$K,MATCH($E89,Roadmap!$D:$D,0)-1+COUNTIF($E89:AB89,"u")+COUNTIF($E89:AB89,"t")+COUNTIF($E89:AB89,"¶")+COUNTIF($E89:AB89,"²")+COUNTIF($E89:AB89,"µ")+COUNTIF($E89:AB89,1),ColDescriptionCourte))&gt;1,
HYPERLINK("#Roadmap!C"&amp; MATCH($E89,Roadmap!$D:$D,0)+COUNTIF($E89:AB89,"u")+COUNTIF($E89:AB89,"t")+COUNTIF($E89:AB89,"¶")+COUNTIF($E89:AB89,"²")+COUNTIF($E89:AB89,"µ")+COUNTIF($E89:AB89,1)-1,INDEX(Roadmap!$D:$K,MATCH($E89,Roadmap!$D:$D,0)-1+COUNTIF($E89:AB89,"u")+COUNTIF($E89:AB89,"t")+COUNTIF($E89:AB89,"¶")+COUNTIF($E89:AB89,"²")+COUNTIF($E89:AB89,"µ")+COUNTIF($E89:AB89,1),ColDescriptionCourte)),""),
  "")),"")</f>
        <v/>
      </c>
      <c r="AD89" s="40" t="str">
        <f ca="1">IFERROR(IF(AND(
  INDEX(Roadmap!$D:$K,MATCH($E89,Roadmap!$D:$D,0)+COUNTIF($E89:AC89,"u")+COUNTIF($E89:AC89,"t")+COUNTIF($E89:AC89,"¶")+COUNTIF($E89:AC89,"²")+COUNTIF($E89:AC89,"µ")+COUNTIF($E89:AC89,1),ColLivraison)=AD$6,
  VLOOKUP($E89,INDIRECT("tri!"&amp; CHAR(64+ C0Col) &amp;":"&amp; CHAR(65+C0Col)),2,FALSE)&gt;COUNTIF($E89:AC89,"u")+COUNTIF($E89:AC89,"t")+COUNTIF($E89:AC89,"¶")+COUNTIF($E89:AC89,"²")+COUNTIF($E89:AC89,"µ")+COUNTIF($E89:AC89,1)),
HYPERLINK("#Roadmap!C"&amp; MATCH($E89,Roadmap!$D:$D,0)+COUNTIF($E89:AC89,"u")+COUNTIF($E89:AC89,"t"),
     INDEX(Roadmap!$D:$K,MATCH($E89,Roadmap!$D:$D,0)+COUNTIF($E89:AC89,"u")+COUNTIF($E89:AC89,"t")+COUNTIF($E89:AC89,"¶")+COUNTIF($E89:AC89,"²")+COUNTIF($E89:AC89,"µ")+COUNTIF($E89:AC89,1),ColTypeEcheance)),
  IF(LEN(AC89)=1,
  IF(LEN(INDEX(Roadmap!$D:$K,MATCH($E89,Roadmap!$D:$D,0)-1+COUNTIF($E89:AC89,"u")+COUNTIF($E89:AC89,"t")+COUNTIF($E89:AC89,"¶")+COUNTIF($E89:AC89,"²")+COUNTIF($E89:AC89,"µ")+COUNTIF($E89:AC89,1),ColDescriptionCourte))&gt;1,
HYPERLINK("#Roadmap!C"&amp; MATCH($E89,Roadmap!$D:$D,0)+COUNTIF($E89:AC89,"u")+COUNTIF($E89:AC89,"t")+COUNTIF($E89:AC89,"¶")+COUNTIF($E89:AC89,"²")+COUNTIF($E89:AC89,"µ")+COUNTIF($E89:AC89,1)-1,INDEX(Roadmap!$D:$K,MATCH($E89,Roadmap!$D:$D,0)-1+COUNTIF($E89:AC89,"u")+COUNTIF($E89:AC89,"t")+COUNTIF($E89:AC89,"¶")+COUNTIF($E89:AC89,"²")+COUNTIF($E89:AC89,"µ")+COUNTIF($E89:AC89,1),ColDescriptionCourte)),""),
  "")),"")</f>
        <v/>
      </c>
      <c r="AE89" s="40" t="str">
        <f ca="1">IFERROR(IF(AND(
  INDEX(Roadmap!$D:$K,MATCH($E89,Roadmap!$D:$D,0)+COUNTIF($E89:AD89,"u")+COUNTIF($E89:AD89,"t")+COUNTIF($E89:AD89,"¶")+COUNTIF($E89:AD89,"²")+COUNTIF($E89:AD89,"µ")+COUNTIF($E89:AD89,1),ColLivraison)=AE$6,
  VLOOKUP($E89,INDIRECT("tri!"&amp; CHAR(64+ C0Col) &amp;":"&amp; CHAR(65+C0Col)),2,FALSE)&gt;COUNTIF($E89:AD89,"u")+COUNTIF($E89:AD89,"t")+COUNTIF($E89:AD89,"¶")+COUNTIF($E89:AD89,"²")+COUNTIF($E89:AD89,"µ")+COUNTIF($E89:AD89,1)),
HYPERLINK("#Roadmap!C"&amp; MATCH($E89,Roadmap!$D:$D,0)+COUNTIF($E89:AD89,"u")+COUNTIF($E89:AD89,"t"),
     INDEX(Roadmap!$D:$K,MATCH($E89,Roadmap!$D:$D,0)+COUNTIF($E89:AD89,"u")+COUNTIF($E89:AD89,"t")+COUNTIF($E89:AD89,"¶")+COUNTIF($E89:AD89,"²")+COUNTIF($E89:AD89,"µ")+COUNTIF($E89:AD89,1),ColTypeEcheance)),
  IF(LEN(AD89)=1,
  IF(LEN(INDEX(Roadmap!$D:$K,MATCH($E89,Roadmap!$D:$D,0)-1+COUNTIF($E89:AD89,"u")+COUNTIF($E89:AD89,"t")+COUNTIF($E89:AD89,"¶")+COUNTIF($E89:AD89,"²")+COUNTIF($E89:AD89,"µ")+COUNTIF($E89:AD89,1),ColDescriptionCourte))&gt;1,
HYPERLINK("#Roadmap!C"&amp; MATCH($E89,Roadmap!$D:$D,0)+COUNTIF($E89:AD89,"u")+COUNTIF($E89:AD89,"t")+COUNTIF($E89:AD89,"¶")+COUNTIF($E89:AD89,"²")+COUNTIF($E89:AD89,"µ")+COUNTIF($E89:AD89,1)-1,INDEX(Roadmap!$D:$K,MATCH($E89,Roadmap!$D:$D,0)-1+COUNTIF($E89:AD89,"u")+COUNTIF($E89:AD89,"t")+COUNTIF($E89:AD89,"¶")+COUNTIF($E89:AD89,"²")+COUNTIF($E89:AD89,"µ")+COUNTIF($E89:AD89,1),ColDescriptionCourte)),""),
  "")),"")</f>
        <v/>
      </c>
      <c r="AF89" s="40" t="str">
        <f ca="1">IFERROR(IF(AND(
  INDEX(Roadmap!$D:$K,MATCH($E89,Roadmap!$D:$D,0)+COUNTIF($E89:AE89,"u")+COUNTIF($E89:AE89,"t")+COUNTIF($E89:AE89,"¶")+COUNTIF($E89:AE89,"²")+COUNTIF($E89:AE89,"µ")+COUNTIF($E89:AE89,1),ColLivraison)=AF$6,
  VLOOKUP($E89,INDIRECT("tri!"&amp; CHAR(64+ C0Col) &amp;":"&amp; CHAR(65+C0Col)),2,FALSE)&gt;COUNTIF($E89:AE89,"u")+COUNTIF($E89:AE89,"t")+COUNTIF($E89:AE89,"¶")+COUNTIF($E89:AE89,"²")+COUNTIF($E89:AE89,"µ")+COUNTIF($E89:AE89,1)),
HYPERLINK("#Roadmap!C"&amp; MATCH($E89,Roadmap!$D:$D,0)+COUNTIF($E89:AE89,"u")+COUNTIF($E89:AE89,"t"),
     INDEX(Roadmap!$D:$K,MATCH($E89,Roadmap!$D:$D,0)+COUNTIF($E89:AE89,"u")+COUNTIF($E89:AE89,"t")+COUNTIF($E89:AE89,"¶")+COUNTIF($E89:AE89,"²")+COUNTIF($E89:AE89,"µ")+COUNTIF($E89:AE89,1),ColTypeEcheance)),
  IF(LEN(AE89)=1,
  IF(LEN(INDEX(Roadmap!$D:$K,MATCH($E89,Roadmap!$D:$D,0)-1+COUNTIF($E89:AE89,"u")+COUNTIF($E89:AE89,"t")+COUNTIF($E89:AE89,"¶")+COUNTIF($E89:AE89,"²")+COUNTIF($E89:AE89,"µ")+COUNTIF($E89:AE89,1),ColDescriptionCourte))&gt;1,
HYPERLINK("#Roadmap!C"&amp; MATCH($E89,Roadmap!$D:$D,0)+COUNTIF($E89:AE89,"u")+COUNTIF($E89:AE89,"t")+COUNTIF($E89:AE89,"¶")+COUNTIF($E89:AE89,"²")+COUNTIF($E89:AE89,"µ")+COUNTIF($E89:AE89,1)-1,INDEX(Roadmap!$D:$K,MATCH($E89,Roadmap!$D:$D,0)-1+COUNTIF($E89:AE89,"u")+COUNTIF($E89:AE89,"t")+COUNTIF($E89:AE89,"¶")+COUNTIF($E89:AE89,"²")+COUNTIF($E89:AE89,"µ")+COUNTIF($E89:AE89,1),ColDescriptionCourte)),""),
  "")),"")</f>
        <v/>
      </c>
      <c r="AG89" s="40" t="str">
        <f ca="1">IFERROR(IF(AND(
  INDEX(Roadmap!$D:$K,MATCH($E89,Roadmap!$D:$D,0)+COUNTIF($E89:AF89,"u")+COUNTIF($E89:AF89,"t")+COUNTIF($E89:AF89,"¶")+COUNTIF($E89:AF89,"²")+COUNTIF($E89:AF89,"µ")+COUNTIF($E89:AF89,1),ColLivraison)=AG$6,
  VLOOKUP($E89,INDIRECT("tri!"&amp; CHAR(64+ C0Col) &amp;":"&amp; CHAR(65+C0Col)),2,FALSE)&gt;COUNTIF($E89:AF89,"u")+COUNTIF($E89:AF89,"t")+COUNTIF($E89:AF89,"¶")+COUNTIF($E89:AF89,"²")+COUNTIF($E89:AF89,"µ")+COUNTIF($E89:AF89,1)),
HYPERLINK("#Roadmap!C"&amp; MATCH($E89,Roadmap!$D:$D,0)+COUNTIF($E89:AF89,"u")+COUNTIF($E89:AF89,"t"),
     INDEX(Roadmap!$D:$K,MATCH($E89,Roadmap!$D:$D,0)+COUNTIF($E89:AF89,"u")+COUNTIF($E89:AF89,"t")+COUNTIF($E89:AF89,"¶")+COUNTIF($E89:AF89,"²")+COUNTIF($E89:AF89,"µ")+COUNTIF($E89:AF89,1),ColTypeEcheance)),
  IF(LEN(AF89)=1,
  IF(LEN(INDEX(Roadmap!$D:$K,MATCH($E89,Roadmap!$D:$D,0)-1+COUNTIF($E89:AF89,"u")+COUNTIF($E89:AF89,"t")+COUNTIF($E89:AF89,"¶")+COUNTIF($E89:AF89,"²")+COUNTIF($E89:AF89,"µ")+COUNTIF($E89:AF89,1),ColDescriptionCourte))&gt;1,
HYPERLINK("#Roadmap!C"&amp; MATCH($E89,Roadmap!$D:$D,0)+COUNTIF($E89:AF89,"u")+COUNTIF($E89:AF89,"t")+COUNTIF($E89:AF89,"¶")+COUNTIF($E89:AF89,"²")+COUNTIF($E89:AF89,"µ")+COUNTIF($E89:AF89,1)-1,INDEX(Roadmap!$D:$K,MATCH($E89,Roadmap!$D:$D,0)-1+COUNTIF($E89:AF89,"u")+COUNTIF($E89:AF89,"t")+COUNTIF($E89:AF89,"¶")+COUNTIF($E89:AF89,"²")+COUNTIF($E89:AF89,"µ")+COUNTIF($E89:AF89,1),ColDescriptionCourte)),""),
  "")),"")</f>
        <v/>
      </c>
    </row>
    <row r="90" spans="3:33" ht="14.25" customHeight="1">
      <c r="C90" s="1" t="str">
        <f t="shared" ca="1" si="47"/>
        <v/>
      </c>
      <c r="D90" s="1" t="str">
        <f t="shared" ca="1" si="48"/>
        <v/>
      </c>
      <c r="E90" s="35" t="str">
        <f t="shared" ca="1" si="46"/>
        <v/>
      </c>
      <c r="F90" s="39" t="str">
        <f ca="1">IFERROR(IF(AND(
  INDEX(Roadmap!$D:$K,MATCH($E90,Roadmap!$D:$D,0)+COUNTIF($E90:E90,"u")+COUNTIF($E90:E90,"t")+COUNTIF($E90:E90,"¶")+COUNTIF($E90:E90,"²")+COUNTIF($E90:E90,"µ")+COUNTIF($E90:E90,1),ColLivraison)=F$6,
  VLOOKUP($E90,INDIRECT("tri!"&amp; CHAR(64+ C0Col) &amp;":"&amp; CHAR(65+C0Col)),2,FALSE)&gt;COUNTIF($E90:E90,"u")+COUNTIF($E90:E90,"t")+COUNTIF($E90:E90,"¶")+COUNTIF($E90:E90,"²")+COUNTIF($E90:E90,"µ")+COUNTIF($E90:E90,1)),
HYPERLINK("#Roadmap!C"&amp; MATCH($E90,Roadmap!$D:$D,0)+COUNTIF($E90:E90,"u")+COUNTIF($E90:E90,"t"),
     INDEX(Roadmap!$D:$K,MATCH($E90,Roadmap!$D:$D,0)+COUNTIF($E90:E90,"u")+COUNTIF($E90:E90,"t")+COUNTIF($E90:E90,"¶")+COUNTIF($E90:E90,"²")+COUNTIF($E90:E90,"µ")+COUNTIF($E90:E90,1),ColTypeEcheance)),
  IF(LEN(E90)=1,
  IF(LEN(INDEX(Roadmap!$D:$K,MATCH($E90,Roadmap!$D:$D,0)-1+COUNTIF($E90:E90,"u")+COUNTIF($E90:E90,"t")+COUNTIF($E90:E90,"¶")+COUNTIF($E90:E90,"²")+COUNTIF($E90:E90,"µ")+COUNTIF($E90:E90,1),ColDescriptionCourte))&gt;1,
HYPERLINK("#Roadmap!C"&amp; MATCH($E90,Roadmap!$D:$D,0)+COUNTIF($E90:E90,"u")+COUNTIF($E90:E90,"t")+COUNTIF($E90:E90,"¶")+COUNTIF($E90:E90,"²")+COUNTIF($E90:E90,"µ")+COUNTIF($E90:E90,1)-1,INDEX(Roadmap!$D:$K,MATCH($E90,Roadmap!$D:$D,0)-1+COUNTIF($E90:E90,"u")+COUNTIF($E90:E90,"t")+COUNTIF($E90:E90,"¶")+COUNTIF($E90:E90,"²")+COUNTIF($E90:E90,"µ")+COUNTIF($E90:E90,1),ColDescriptionCourte)),""),
  "")),"")</f>
        <v/>
      </c>
      <c r="G90" s="40" t="str">
        <f ca="1">IFERROR(IF(AND(
  INDEX(Roadmap!$D:$K,MATCH($E90,Roadmap!$D:$D,0)+COUNTIF($E90:F90,"u")+COUNTIF($E90:F90,"t")+COUNTIF($E90:F90,"¶")+COUNTIF($E90:F90,"²")+COUNTIF($E90:F90,"µ")+COUNTIF($E90:F90,1),ColLivraison)=G$6,
  VLOOKUP($E90,INDIRECT("tri!"&amp; CHAR(64+ C0Col) &amp;":"&amp; CHAR(65+C0Col)),2,FALSE)&gt;COUNTIF($E90:F90,"u")+COUNTIF($E90:F90,"t")+COUNTIF($E90:F90,"¶")+COUNTIF($E90:F90,"²")+COUNTIF($E90:F90,"µ")+COUNTIF($E90:F90,1)),
HYPERLINK("#Roadmap!C"&amp; MATCH($E90,Roadmap!$D:$D,0)+COUNTIF($E90:F90,"u")+COUNTIF($E90:F90,"t"),
     INDEX(Roadmap!$D:$K,MATCH($E90,Roadmap!$D:$D,0)+COUNTIF($E90:F90,"u")+COUNTIF($E90:F90,"t")+COUNTIF($E90:F90,"¶")+COUNTIF($E90:F90,"²")+COUNTIF($E90:F90,"µ")+COUNTIF($E90:F90,1),ColTypeEcheance)),
  IF(LEN(F90)=1,
  IF(LEN(INDEX(Roadmap!$D:$K,MATCH($E90,Roadmap!$D:$D,0)-1+COUNTIF($E90:F90,"u")+COUNTIF($E90:F90,"t")+COUNTIF($E90:F90,"¶")+COUNTIF($E90:F90,"²")+COUNTIF($E90:F90,"µ")+COUNTIF($E90:F90,1),ColDescriptionCourte))&gt;1,
HYPERLINK("#Roadmap!C"&amp; MATCH($E90,Roadmap!$D:$D,0)+COUNTIF($E90:F90,"u")+COUNTIF($E90:F90,"t")+COUNTIF($E90:F90,"¶")+COUNTIF($E90:F90,"²")+COUNTIF($E90:F90,"µ")+COUNTIF($E90:F90,1)-1,INDEX(Roadmap!$D:$K,MATCH($E90,Roadmap!$D:$D,0)-1+COUNTIF($E90:F90,"u")+COUNTIF($E90:F90,"t")+COUNTIF($E90:F90,"¶")+COUNTIF($E90:F90,"²")+COUNTIF($E90:F90,"µ")+COUNTIF($E90:F90,1),ColDescriptionCourte)),""),
  "")),"")</f>
        <v/>
      </c>
      <c r="H90" s="40" t="str">
        <f ca="1">IFERROR(IF(AND(
  INDEX(Roadmap!$D:$K,MATCH($E90,Roadmap!$D:$D,0)+COUNTIF($E90:G90,"u")+COUNTIF($E90:G90,"t")+COUNTIF($E90:G90,"¶")+COUNTIF($E90:G90,"²")+COUNTIF($E90:G90,"µ")+COUNTIF($E90:G90,1),ColLivraison)=H$6,
  VLOOKUP($E90,INDIRECT("tri!"&amp; CHAR(64+ C0Col) &amp;":"&amp; CHAR(65+C0Col)),2,FALSE)&gt;COUNTIF($E90:G90,"u")+COUNTIF($E90:G90,"t")+COUNTIF($E90:G90,"¶")+COUNTIF($E90:G90,"²")+COUNTIF($E90:G90,"µ")+COUNTIF($E90:G90,1)),
HYPERLINK("#Roadmap!C"&amp; MATCH($E90,Roadmap!$D:$D,0)+COUNTIF($E90:G90,"u")+COUNTIF($E90:G90,"t"),
     INDEX(Roadmap!$D:$K,MATCH($E90,Roadmap!$D:$D,0)+COUNTIF($E90:G90,"u")+COUNTIF($E90:G90,"t")+COUNTIF($E90:G90,"¶")+COUNTIF($E90:G90,"²")+COUNTIF($E90:G90,"µ")+COUNTIF($E90:G90,1),ColTypeEcheance)),
  IF(LEN(G90)=1,
  IF(LEN(INDEX(Roadmap!$D:$K,MATCH($E90,Roadmap!$D:$D,0)-1+COUNTIF($E90:G90,"u")+COUNTIF($E90:G90,"t")+COUNTIF($E90:G90,"¶")+COUNTIF($E90:G90,"²")+COUNTIF($E90:G90,"µ")+COUNTIF($E90:G90,1),ColDescriptionCourte))&gt;1,
HYPERLINK("#Roadmap!C"&amp; MATCH($E90,Roadmap!$D:$D,0)+COUNTIF($E90:G90,"u")+COUNTIF($E90:G90,"t")+COUNTIF($E90:G90,"¶")+COUNTIF($E90:G90,"²")+COUNTIF($E90:G90,"µ")+COUNTIF($E90:G90,1)-1,INDEX(Roadmap!$D:$K,MATCH($E90,Roadmap!$D:$D,0)-1+COUNTIF($E90:G90,"u")+COUNTIF($E90:G90,"t")+COUNTIF($E90:G90,"¶")+COUNTIF($E90:G90,"²")+COUNTIF($E90:G90,"µ")+COUNTIF($E90:G90,1),ColDescriptionCourte)),""),
  "")),"")</f>
        <v/>
      </c>
      <c r="I90" s="40" t="str">
        <f ca="1">IFERROR(IF(AND(
  INDEX(Roadmap!$D:$K,MATCH($E90,Roadmap!$D:$D,0)+COUNTIF($E90:H90,"u")+COUNTIF($E90:H90,"t")+COUNTIF($E90:H90,"¶")+COUNTIF($E90:H90,"²")+COUNTIF($E90:H90,"µ")+COUNTIF($E90:H90,1),ColLivraison)=I$6,
  VLOOKUP($E90,INDIRECT("tri!"&amp; CHAR(64+ C0Col) &amp;":"&amp; CHAR(65+C0Col)),2,FALSE)&gt;COUNTIF($E90:H90,"u")+COUNTIF($E90:H90,"t")+COUNTIF($E90:H90,"¶")+COUNTIF($E90:H90,"²")+COUNTIF($E90:H90,"µ")+COUNTIF($E90:H90,1)),
HYPERLINK("#Roadmap!C"&amp; MATCH($E90,Roadmap!$D:$D,0)+COUNTIF($E90:H90,"u")+COUNTIF($E90:H90,"t"),
     INDEX(Roadmap!$D:$K,MATCH($E90,Roadmap!$D:$D,0)+COUNTIF($E90:H90,"u")+COUNTIF($E90:H90,"t")+COUNTIF($E90:H90,"¶")+COUNTIF($E90:H90,"²")+COUNTIF($E90:H90,"µ")+COUNTIF($E90:H90,1),ColTypeEcheance)),
  IF(LEN(H90)=1,
  IF(LEN(INDEX(Roadmap!$D:$K,MATCH($E90,Roadmap!$D:$D,0)-1+COUNTIF($E90:H90,"u")+COUNTIF($E90:H90,"t")+COUNTIF($E90:H90,"¶")+COUNTIF($E90:H90,"²")+COUNTIF($E90:H90,"µ")+COUNTIF($E90:H90,1),ColDescriptionCourte))&gt;1,
HYPERLINK("#Roadmap!C"&amp; MATCH($E90,Roadmap!$D:$D,0)+COUNTIF($E90:H90,"u")+COUNTIF($E90:H90,"t")+COUNTIF($E90:H90,"¶")+COUNTIF($E90:H90,"²")+COUNTIF($E90:H90,"µ")+COUNTIF($E90:H90,1)-1,INDEX(Roadmap!$D:$K,MATCH($E90,Roadmap!$D:$D,0)-1+COUNTIF($E90:H90,"u")+COUNTIF($E90:H90,"t")+COUNTIF($E90:H90,"¶")+COUNTIF($E90:H90,"²")+COUNTIF($E90:H90,"µ")+COUNTIF($E90:H90,1),ColDescriptionCourte)),""),
  "")),"")</f>
        <v/>
      </c>
      <c r="J90" s="40" t="str">
        <f ca="1">IFERROR(IF(AND(
  INDEX(Roadmap!$D:$K,MATCH($E90,Roadmap!$D:$D,0)+COUNTIF($E90:I90,"u")+COUNTIF($E90:I90,"t")+COUNTIF($E90:I90,"¶")+COUNTIF($E90:I90,"²")+COUNTIF($E90:I90,"µ")+COUNTIF($E90:I90,1),ColLivraison)=J$6,
  VLOOKUP($E90,INDIRECT("tri!"&amp; CHAR(64+ C0Col) &amp;":"&amp; CHAR(65+C0Col)),2,FALSE)&gt;COUNTIF($E90:I90,"u")+COUNTIF($E90:I90,"t")+COUNTIF($E90:I90,"¶")+COUNTIF($E90:I90,"²")+COUNTIF($E90:I90,"µ")+COUNTIF($E90:I90,1)),
HYPERLINK("#Roadmap!C"&amp; MATCH($E90,Roadmap!$D:$D,0)+COUNTIF($E90:I90,"u")+COUNTIF($E90:I90,"t"),
     INDEX(Roadmap!$D:$K,MATCH($E90,Roadmap!$D:$D,0)+COUNTIF($E90:I90,"u")+COUNTIF($E90:I90,"t")+COUNTIF($E90:I90,"¶")+COUNTIF($E90:I90,"²")+COUNTIF($E90:I90,"µ")+COUNTIF($E90:I90,1),ColTypeEcheance)),
  IF(LEN(I90)=1,
  IF(LEN(INDEX(Roadmap!$D:$K,MATCH($E90,Roadmap!$D:$D,0)-1+COUNTIF($E90:I90,"u")+COUNTIF($E90:I90,"t")+COUNTIF($E90:I90,"¶")+COUNTIF($E90:I90,"²")+COUNTIF($E90:I90,"µ")+COUNTIF($E90:I90,1),ColDescriptionCourte))&gt;1,
HYPERLINK("#Roadmap!C"&amp; MATCH($E90,Roadmap!$D:$D,0)+COUNTIF($E90:I90,"u")+COUNTIF($E90:I90,"t")+COUNTIF($E90:I90,"¶")+COUNTIF($E90:I90,"²")+COUNTIF($E90:I90,"µ")+COUNTIF($E90:I90,1)-1,INDEX(Roadmap!$D:$K,MATCH($E90,Roadmap!$D:$D,0)-1+COUNTIF($E90:I90,"u")+COUNTIF($E90:I90,"t")+COUNTIF($E90:I90,"¶")+COUNTIF($E90:I90,"²")+COUNTIF($E90:I90,"µ")+COUNTIF($E90:I90,1),ColDescriptionCourte)),""),
  "")),"")</f>
        <v/>
      </c>
      <c r="K90" s="40" t="str">
        <f ca="1">IFERROR(IF(AND(
  INDEX(Roadmap!$D:$K,MATCH($E90,Roadmap!$D:$D,0)+COUNTIF($E90:J90,"u")+COUNTIF($E90:J90,"t")+COUNTIF($E90:J90,"¶")+COUNTIF($E90:J90,"²")+COUNTIF($E90:J90,"µ")+COUNTIF($E90:J90,1),ColLivraison)=K$6,
  VLOOKUP($E90,INDIRECT("tri!"&amp; CHAR(64+ C0Col) &amp;":"&amp; CHAR(65+C0Col)),2,FALSE)&gt;COUNTIF($E90:J90,"u")+COUNTIF($E90:J90,"t")+COUNTIF($E90:J90,"¶")+COUNTIF($E90:J90,"²")+COUNTIF($E90:J90,"µ")+COUNTIF($E90:J90,1)),
HYPERLINK("#Roadmap!C"&amp; MATCH($E90,Roadmap!$D:$D,0)+COUNTIF($E90:J90,"u")+COUNTIF($E90:J90,"t"),
     INDEX(Roadmap!$D:$K,MATCH($E90,Roadmap!$D:$D,0)+COUNTIF($E90:J90,"u")+COUNTIF($E90:J90,"t")+COUNTIF($E90:J90,"¶")+COUNTIF($E90:J90,"²")+COUNTIF($E90:J90,"µ")+COUNTIF($E90:J90,1),ColTypeEcheance)),
  IF(LEN(J90)=1,
  IF(LEN(INDEX(Roadmap!$D:$K,MATCH($E90,Roadmap!$D:$D,0)-1+COUNTIF($E90:J90,"u")+COUNTIF($E90:J90,"t")+COUNTIF($E90:J90,"¶")+COUNTIF($E90:J90,"²")+COUNTIF($E90:J90,"µ")+COUNTIF($E90:J90,1),ColDescriptionCourte))&gt;1,
HYPERLINK("#Roadmap!C"&amp; MATCH($E90,Roadmap!$D:$D,0)+COUNTIF($E90:J90,"u")+COUNTIF($E90:J90,"t")+COUNTIF($E90:J90,"¶")+COUNTIF($E90:J90,"²")+COUNTIF($E90:J90,"µ")+COUNTIF($E90:J90,1)-1,INDEX(Roadmap!$D:$K,MATCH($E90,Roadmap!$D:$D,0)-1+COUNTIF($E90:J90,"u")+COUNTIF($E90:J90,"t")+COUNTIF($E90:J90,"¶")+COUNTIF($E90:J90,"²")+COUNTIF($E90:J90,"µ")+COUNTIF($E90:J90,1),ColDescriptionCourte)),""),
  "")),"")</f>
        <v/>
      </c>
      <c r="L90" s="39" t="str">
        <f ca="1">IFERROR(IF(AND(
  INDEX(Roadmap!$D:$K,MATCH($E90,Roadmap!$D:$D,0)+COUNTIF($E90:K90,"u")+COUNTIF($E90:K90,"t")+COUNTIF($E90:K90,"¶")+COUNTIF($E90:K90,"²")+COUNTIF($E90:K90,"µ")+COUNTIF($E90:K90,1),ColLivraison)=L$6,
  VLOOKUP($E90,INDIRECT("tri!"&amp; CHAR(64+ C0Col) &amp;":"&amp; CHAR(65+C0Col)),2,FALSE)&gt;COUNTIF($E90:K90,"u")+COUNTIF($E90:K90,"t")+COUNTIF($E90:K90,"¶")+COUNTIF($E90:K90,"²")+COUNTIF($E90:K90,"µ")+COUNTIF($E90:K90,1)),
HYPERLINK("#Roadmap!C"&amp; MATCH($E90,Roadmap!$D:$D,0)+COUNTIF($E90:K90,"u")+COUNTIF($E90:K90,"t"),
     INDEX(Roadmap!$D:$K,MATCH($E90,Roadmap!$D:$D,0)+COUNTIF($E90:K90,"u")+COUNTIF($E90:K90,"t")+COUNTIF($E90:K90,"¶")+COUNTIF($E90:K90,"²")+COUNTIF($E90:K90,"µ")+COUNTIF($E90:K90,1),ColTypeEcheance)),
  IF(LEN(K90)=1,
  IF(LEN(INDEX(Roadmap!$D:$K,MATCH($E90,Roadmap!$D:$D,0)-1+COUNTIF($E90:K90,"u")+COUNTIF($E90:K90,"t")+COUNTIF($E90:K90,"¶")+COUNTIF($E90:K90,"²")+COUNTIF($E90:K90,"µ")+COUNTIF($E90:K90,1),ColDescriptionCourte))&gt;1,
HYPERLINK("#Roadmap!C"&amp; MATCH($E90,Roadmap!$D:$D,0)+COUNTIF($E90:K90,"u")+COUNTIF($E90:K90,"t")+COUNTIF($E90:K90,"¶")+COUNTIF($E90:K90,"²")+COUNTIF($E90:K90,"µ")+COUNTIF($E90:K90,1)-1,INDEX(Roadmap!$D:$K,MATCH($E90,Roadmap!$D:$D,0)-1+COUNTIF($E90:K90,"u")+COUNTIF($E90:K90,"t")+COUNTIF($E90:K90,"¶")+COUNTIF($E90:K90,"²")+COUNTIF($E90:K90,"µ")+COUNTIF($E90:K90,1),ColDescriptionCourte)),""),
  "")),"")</f>
        <v/>
      </c>
      <c r="M90" s="40" t="str">
        <f ca="1">IFERROR(IF(AND(
  INDEX(Roadmap!$D:$K,MATCH($E90,Roadmap!$D:$D,0)+COUNTIF($E90:L90,"u")+COUNTIF($E90:L90,"t")+COUNTIF($E90:L90,"¶")+COUNTIF($E90:L90,"²")+COUNTIF($E90:L90,"µ")+COUNTIF($E90:L90,1),ColLivraison)=M$6,
  VLOOKUP($E90,INDIRECT("tri!"&amp; CHAR(64+ C0Col) &amp;":"&amp; CHAR(65+C0Col)),2,FALSE)&gt;COUNTIF($E90:L90,"u")+COUNTIF($E90:L90,"t")+COUNTIF($E90:L90,"¶")+COUNTIF($E90:L90,"²")+COUNTIF($E90:L90,"µ")+COUNTIF($E90:L90,1)),
HYPERLINK("#Roadmap!C"&amp; MATCH($E90,Roadmap!$D:$D,0)+COUNTIF($E90:L90,"u")+COUNTIF($E90:L90,"t"),
     INDEX(Roadmap!$D:$K,MATCH($E90,Roadmap!$D:$D,0)+COUNTIF($E90:L90,"u")+COUNTIF($E90:L90,"t")+COUNTIF($E90:L90,"¶")+COUNTIF($E90:L90,"²")+COUNTIF($E90:L90,"µ")+COUNTIF($E90:L90,1),ColTypeEcheance)),
  IF(LEN(L90)=1,
  IF(LEN(INDEX(Roadmap!$D:$K,MATCH($E90,Roadmap!$D:$D,0)-1+COUNTIF($E90:L90,"u")+COUNTIF($E90:L90,"t")+COUNTIF($E90:L90,"¶")+COUNTIF($E90:L90,"²")+COUNTIF($E90:L90,"µ")+COUNTIF($E90:L90,1),ColDescriptionCourte))&gt;1,
HYPERLINK("#Roadmap!C"&amp; MATCH($E90,Roadmap!$D:$D,0)+COUNTIF($E90:L90,"u")+COUNTIF($E90:L90,"t")+COUNTIF($E90:L90,"¶")+COUNTIF($E90:L90,"²")+COUNTIF($E90:L90,"µ")+COUNTIF($E90:L90,1)-1,INDEX(Roadmap!$D:$K,MATCH($E90,Roadmap!$D:$D,0)-1+COUNTIF($E90:L90,"u")+COUNTIF($E90:L90,"t")+COUNTIF($E90:L90,"¶")+COUNTIF($E90:L90,"²")+COUNTIF($E90:L90,"µ")+COUNTIF($E90:L90,1),ColDescriptionCourte)),""),
  "")),"")</f>
        <v/>
      </c>
      <c r="N90" s="40" t="str">
        <f ca="1">IFERROR(IF(AND(
  INDEX(Roadmap!$D:$K,MATCH($E90,Roadmap!$D:$D,0)+COUNTIF($E90:M90,"u")+COUNTIF($E90:M90,"t")+COUNTIF($E90:M90,"¶")+COUNTIF($E90:M90,"²")+COUNTIF($E90:M90,"µ")+COUNTIF($E90:M90,1),ColLivraison)=N$6,
  VLOOKUP($E90,INDIRECT("tri!"&amp; CHAR(64+ C0Col) &amp;":"&amp; CHAR(65+C0Col)),2,FALSE)&gt;COUNTIF($E90:M90,"u")+COUNTIF($E90:M90,"t")+COUNTIF($E90:M90,"¶")+COUNTIF($E90:M90,"²")+COUNTIF($E90:M90,"µ")+COUNTIF($E90:M90,1)),
HYPERLINK("#Roadmap!C"&amp; MATCH($E90,Roadmap!$D:$D,0)+COUNTIF($E90:M90,"u")+COUNTIF($E90:M90,"t"),
     INDEX(Roadmap!$D:$K,MATCH($E90,Roadmap!$D:$D,0)+COUNTIF($E90:M90,"u")+COUNTIF($E90:M90,"t")+COUNTIF($E90:M90,"¶")+COUNTIF($E90:M90,"²")+COUNTIF($E90:M90,"µ")+COUNTIF($E90:M90,1),ColTypeEcheance)),
  IF(LEN(M90)=1,
  IF(LEN(INDEX(Roadmap!$D:$K,MATCH($E90,Roadmap!$D:$D,0)-1+COUNTIF($E90:M90,"u")+COUNTIF($E90:M90,"t")+COUNTIF($E90:M90,"¶")+COUNTIF($E90:M90,"²")+COUNTIF($E90:M90,"µ")+COUNTIF($E90:M90,1),ColDescriptionCourte))&gt;1,
HYPERLINK("#Roadmap!C"&amp; MATCH($E90,Roadmap!$D:$D,0)+COUNTIF($E90:M90,"u")+COUNTIF($E90:M90,"t")+COUNTIF($E90:M90,"¶")+COUNTIF($E90:M90,"²")+COUNTIF($E90:M90,"µ")+COUNTIF($E90:M90,1)-1,INDEX(Roadmap!$D:$K,MATCH($E90,Roadmap!$D:$D,0)-1+COUNTIF($E90:M90,"u")+COUNTIF($E90:M90,"t")+COUNTIF($E90:M90,"¶")+COUNTIF($E90:M90,"²")+COUNTIF($E90:M90,"µ")+COUNTIF($E90:M90,1),ColDescriptionCourte)),""),
  "")),"")</f>
        <v/>
      </c>
      <c r="O90" s="40" t="str">
        <f ca="1">IFERROR(IF(AND(
  INDEX(Roadmap!$D:$K,MATCH($E90,Roadmap!$D:$D,0)+COUNTIF($E90:N90,"u")+COUNTIF($E90:N90,"t")+COUNTIF($E90:N90,"¶")+COUNTIF($E90:N90,"²")+COUNTIF($E90:N90,"µ")+COUNTIF($E90:N90,1),ColLivraison)=O$6,
  VLOOKUP($E90,INDIRECT("tri!"&amp; CHAR(64+ C0Col) &amp;":"&amp; CHAR(65+C0Col)),2,FALSE)&gt;COUNTIF($E90:N90,"u")+COUNTIF($E90:N90,"t")+COUNTIF($E90:N90,"¶")+COUNTIF($E90:N90,"²")+COUNTIF($E90:N90,"µ")+COUNTIF($E90:N90,1)),
HYPERLINK("#Roadmap!C"&amp; MATCH($E90,Roadmap!$D:$D,0)+COUNTIF($E90:N90,"u")+COUNTIF($E90:N90,"t"),
     INDEX(Roadmap!$D:$K,MATCH($E90,Roadmap!$D:$D,0)+COUNTIF($E90:N90,"u")+COUNTIF($E90:N90,"t")+COUNTIF($E90:N90,"¶")+COUNTIF($E90:N90,"²")+COUNTIF($E90:N90,"µ")+COUNTIF($E90:N90,1),ColTypeEcheance)),
  IF(LEN(N90)=1,
  IF(LEN(INDEX(Roadmap!$D:$K,MATCH($E90,Roadmap!$D:$D,0)-1+COUNTIF($E90:N90,"u")+COUNTIF($E90:N90,"t")+COUNTIF($E90:N90,"¶")+COUNTIF($E90:N90,"²")+COUNTIF($E90:N90,"µ")+COUNTIF($E90:N90,1),ColDescriptionCourte))&gt;1,
HYPERLINK("#Roadmap!C"&amp; MATCH($E90,Roadmap!$D:$D,0)+COUNTIF($E90:N90,"u")+COUNTIF($E90:N90,"t")+COUNTIF($E90:N90,"¶")+COUNTIF($E90:N90,"²")+COUNTIF($E90:N90,"µ")+COUNTIF($E90:N90,1)-1,INDEX(Roadmap!$D:$K,MATCH($E90,Roadmap!$D:$D,0)-1+COUNTIF($E90:N90,"u")+COUNTIF($E90:N90,"t")+COUNTIF($E90:N90,"¶")+COUNTIF($E90:N90,"²")+COUNTIF($E90:N90,"µ")+COUNTIF($E90:N90,1),ColDescriptionCourte)),""),
  "")),"")</f>
        <v/>
      </c>
      <c r="P90" s="40" t="str">
        <f ca="1">IFERROR(IF(AND(
  INDEX(Roadmap!$D:$K,MATCH($E90,Roadmap!$D:$D,0)+COUNTIF($E90:O90,"u")+COUNTIF($E90:O90,"t")+COUNTIF($E90:O90,"¶")+COUNTIF($E90:O90,"²")+COUNTIF($E90:O90,"µ")+COUNTIF($E90:O90,1),ColLivraison)=P$6,
  VLOOKUP($E90,INDIRECT("tri!"&amp; CHAR(64+ C0Col) &amp;":"&amp; CHAR(65+C0Col)),2,FALSE)&gt;COUNTIF($E90:O90,"u")+COUNTIF($E90:O90,"t")+COUNTIF($E90:O90,"¶")+COUNTIF($E90:O90,"²")+COUNTIF($E90:O90,"µ")+COUNTIF($E90:O90,1)),
HYPERLINK("#Roadmap!C"&amp; MATCH($E90,Roadmap!$D:$D,0)+COUNTIF($E90:O90,"u")+COUNTIF($E90:O90,"t"),
     INDEX(Roadmap!$D:$K,MATCH($E90,Roadmap!$D:$D,0)+COUNTIF($E90:O90,"u")+COUNTIF($E90:O90,"t")+COUNTIF($E90:O90,"¶")+COUNTIF($E90:O90,"²")+COUNTIF($E90:O90,"µ")+COUNTIF($E90:O90,1),ColTypeEcheance)),
  IF(LEN(O90)=1,
  IF(LEN(INDEX(Roadmap!$D:$K,MATCH($E90,Roadmap!$D:$D,0)-1+COUNTIF($E90:O90,"u")+COUNTIF($E90:O90,"t")+COUNTIF($E90:O90,"¶")+COUNTIF($E90:O90,"²")+COUNTIF($E90:O90,"µ")+COUNTIF($E90:O90,1),ColDescriptionCourte))&gt;1,
HYPERLINK("#Roadmap!C"&amp; MATCH($E90,Roadmap!$D:$D,0)+COUNTIF($E90:O90,"u")+COUNTIF($E90:O90,"t")+COUNTIF($E90:O90,"¶")+COUNTIF($E90:O90,"²")+COUNTIF($E90:O90,"µ")+COUNTIF($E90:O90,1)-1,INDEX(Roadmap!$D:$K,MATCH($E90,Roadmap!$D:$D,0)-1+COUNTIF($E90:O90,"u")+COUNTIF($E90:O90,"t")+COUNTIF($E90:O90,"¶")+COUNTIF($E90:O90,"²")+COUNTIF($E90:O90,"µ")+COUNTIF($E90:O90,1),ColDescriptionCourte)),""),
  "")),"")</f>
        <v/>
      </c>
      <c r="Q90" s="40" t="str">
        <f ca="1">IFERROR(IF(AND(
  INDEX(Roadmap!$D:$K,MATCH($E90,Roadmap!$D:$D,0)+COUNTIF($E90:P90,"u")+COUNTIF($E90:P90,"t")+COUNTIF($E90:P90,"¶")+COUNTIF($E90:P90,"²")+COUNTIF($E90:P90,"µ")+COUNTIF($E90:P90,1),ColLivraison)=Q$6,
  VLOOKUP($E90,INDIRECT("tri!"&amp; CHAR(64+ C0Col) &amp;":"&amp; CHAR(65+C0Col)),2,FALSE)&gt;COUNTIF($E90:P90,"u")+COUNTIF($E90:P90,"t")+COUNTIF($E90:P90,"¶")+COUNTIF($E90:P90,"²")+COUNTIF($E90:P90,"µ")+COUNTIF($E90:P90,1)),
HYPERLINK("#Roadmap!C"&amp; MATCH($E90,Roadmap!$D:$D,0)+COUNTIF($E90:P90,"u")+COUNTIF($E90:P90,"t"),
     INDEX(Roadmap!$D:$K,MATCH($E90,Roadmap!$D:$D,0)+COUNTIF($E90:P90,"u")+COUNTIF($E90:P90,"t")+COUNTIF($E90:P90,"¶")+COUNTIF($E90:P90,"²")+COUNTIF($E90:P90,"µ")+COUNTIF($E90:P90,1),ColTypeEcheance)),
  IF(LEN(P90)=1,
  IF(LEN(INDEX(Roadmap!$D:$K,MATCH($E90,Roadmap!$D:$D,0)-1+COUNTIF($E90:P90,"u")+COUNTIF($E90:P90,"t")+COUNTIF($E90:P90,"¶")+COUNTIF($E90:P90,"²")+COUNTIF($E90:P90,"µ")+COUNTIF($E90:P90,1),ColDescriptionCourte))&gt;1,
HYPERLINK("#Roadmap!C"&amp; MATCH($E90,Roadmap!$D:$D,0)+COUNTIF($E90:P90,"u")+COUNTIF($E90:P90,"t")+COUNTIF($E90:P90,"¶")+COUNTIF($E90:P90,"²")+COUNTIF($E90:P90,"µ")+COUNTIF($E90:P90,1)-1,INDEX(Roadmap!$D:$K,MATCH($E90,Roadmap!$D:$D,0)-1+COUNTIF($E90:P90,"u")+COUNTIF($E90:P90,"t")+COUNTIF($E90:P90,"¶")+COUNTIF($E90:P90,"²")+COUNTIF($E90:P90,"µ")+COUNTIF($E90:P90,1),ColDescriptionCourte)),""),
  "")),"")</f>
        <v/>
      </c>
      <c r="R90" s="40" t="str">
        <f ca="1">IFERROR(IF(AND(
  INDEX(Roadmap!$D:$K,MATCH($E90,Roadmap!$D:$D,0)+COUNTIF($E90:Q90,"u")+COUNTIF($E90:Q90,"t")+COUNTIF($E90:Q90,"¶")+COUNTIF($E90:Q90,"²")+COUNTIF($E90:Q90,"µ")+COUNTIF($E90:Q90,1),ColLivraison)=R$6,
  VLOOKUP($E90,INDIRECT("tri!"&amp; CHAR(64+ C0Col) &amp;":"&amp; CHAR(65+C0Col)),2,FALSE)&gt;COUNTIF($E90:Q90,"u")+COUNTIF($E90:Q90,"t")+COUNTIF($E90:Q90,"¶")+COUNTIF($E90:Q90,"²")+COUNTIF($E90:Q90,"µ")+COUNTIF($E90:Q90,1)),
HYPERLINK("#Roadmap!C"&amp; MATCH($E90,Roadmap!$D:$D,0)+COUNTIF($E90:Q90,"u")+COUNTIF($E90:Q90,"t"),
     INDEX(Roadmap!$D:$K,MATCH($E90,Roadmap!$D:$D,0)+COUNTIF($E90:Q90,"u")+COUNTIF($E90:Q90,"t")+COUNTIF($E90:Q90,"¶")+COUNTIF($E90:Q90,"²")+COUNTIF($E90:Q90,"µ")+COUNTIF($E90:Q90,1),ColTypeEcheance)),
  IF(LEN(Q90)=1,
  IF(LEN(INDEX(Roadmap!$D:$K,MATCH($E90,Roadmap!$D:$D,0)-1+COUNTIF($E90:Q90,"u")+COUNTIF($E90:Q90,"t")+COUNTIF($E90:Q90,"¶")+COUNTIF($E90:Q90,"²")+COUNTIF($E90:Q90,"µ")+COUNTIF($E90:Q90,1),ColDescriptionCourte))&gt;1,
HYPERLINK("#Roadmap!C"&amp; MATCH($E90,Roadmap!$D:$D,0)+COUNTIF($E90:Q90,"u")+COUNTIF($E90:Q90,"t")+COUNTIF($E90:Q90,"¶")+COUNTIF($E90:Q90,"²")+COUNTIF($E90:Q90,"µ")+COUNTIF($E90:Q90,1)-1,INDEX(Roadmap!$D:$K,MATCH($E90,Roadmap!$D:$D,0)-1+COUNTIF($E90:Q90,"u")+COUNTIF($E90:Q90,"t")+COUNTIF($E90:Q90,"¶")+COUNTIF($E90:Q90,"²")+COUNTIF($E90:Q90,"µ")+COUNTIF($E90:Q90,1),ColDescriptionCourte)),""),
  "")),"")</f>
        <v/>
      </c>
      <c r="S90" s="40" t="str">
        <f ca="1">IFERROR(IF(AND(
  INDEX(Roadmap!$D:$K,MATCH($E90,Roadmap!$D:$D,0)+COUNTIF($E90:R90,"u")+COUNTIF($E90:R90,"t")+COUNTIF($E90:R90,"¶")+COUNTIF($E90:R90,"²")+COUNTIF($E90:R90,"µ")+COUNTIF($E90:R90,1),ColLivraison)=S$6,
  VLOOKUP($E90,INDIRECT("tri!"&amp; CHAR(64+ C0Col) &amp;":"&amp; CHAR(65+C0Col)),2,FALSE)&gt;COUNTIF($E90:R90,"u")+COUNTIF($E90:R90,"t")+COUNTIF($E90:R90,"¶")+COUNTIF($E90:R90,"²")+COUNTIF($E90:R90,"µ")+COUNTIF($E90:R90,1)),
HYPERLINK("#Roadmap!C"&amp; MATCH($E90,Roadmap!$D:$D,0)+COUNTIF($E90:R90,"u")+COUNTIF($E90:R90,"t"),
     INDEX(Roadmap!$D:$K,MATCH($E90,Roadmap!$D:$D,0)+COUNTIF($E90:R90,"u")+COUNTIF($E90:R90,"t")+COUNTIF($E90:R90,"¶")+COUNTIF($E90:R90,"²")+COUNTIF($E90:R90,"µ")+COUNTIF($E90:R90,1),ColTypeEcheance)),
  IF(LEN(R90)=1,
  IF(LEN(INDEX(Roadmap!$D:$K,MATCH($E90,Roadmap!$D:$D,0)-1+COUNTIF($E90:R90,"u")+COUNTIF($E90:R90,"t")+COUNTIF($E90:R90,"¶")+COUNTIF($E90:R90,"²")+COUNTIF($E90:R90,"µ")+COUNTIF($E90:R90,1),ColDescriptionCourte))&gt;1,
HYPERLINK("#Roadmap!C"&amp; MATCH($E90,Roadmap!$D:$D,0)+COUNTIF($E90:R90,"u")+COUNTIF($E90:R90,"t")+COUNTIF($E90:R90,"¶")+COUNTIF($E90:R90,"²")+COUNTIF($E90:R90,"µ")+COUNTIF($E90:R90,1)-1,INDEX(Roadmap!$D:$K,MATCH($E90,Roadmap!$D:$D,0)-1+COUNTIF($E90:R90,"u")+COUNTIF($E90:R90,"t")+COUNTIF($E90:R90,"¶")+COUNTIF($E90:R90,"²")+COUNTIF($E90:R90,"µ")+COUNTIF($E90:R90,1),ColDescriptionCourte)),""),
  "")),"")</f>
        <v/>
      </c>
      <c r="T90" s="40" t="str">
        <f ca="1">IFERROR(IF(AND(
  INDEX(Roadmap!$D:$K,MATCH($E90,Roadmap!$D:$D,0)+COUNTIF($E90:S90,"u")+COUNTIF($E90:S90,"t")+COUNTIF($E90:S90,"¶")+COUNTIF($E90:S90,"²")+COUNTIF($E90:S90,"µ")+COUNTIF($E90:S90,1),ColLivraison)=T$6,
  VLOOKUP($E90,INDIRECT("tri!"&amp; CHAR(64+ C0Col) &amp;":"&amp; CHAR(65+C0Col)),2,FALSE)&gt;COUNTIF($E90:S90,"u")+COUNTIF($E90:S90,"t")+COUNTIF($E90:S90,"¶")+COUNTIF($E90:S90,"²")+COUNTIF($E90:S90,"µ")+COUNTIF($E90:S90,1)),
HYPERLINK("#Roadmap!C"&amp; MATCH($E90,Roadmap!$D:$D,0)+COUNTIF($E90:S90,"u")+COUNTIF($E90:S90,"t"),
     INDEX(Roadmap!$D:$K,MATCH($E90,Roadmap!$D:$D,0)+COUNTIF($E90:S90,"u")+COUNTIF($E90:S90,"t")+COUNTIF($E90:S90,"¶")+COUNTIF($E90:S90,"²")+COUNTIF($E90:S90,"µ")+COUNTIF($E90:S90,1),ColTypeEcheance)),
  IF(LEN(S90)=1,
  IF(LEN(INDEX(Roadmap!$D:$K,MATCH($E90,Roadmap!$D:$D,0)-1+COUNTIF($E90:S90,"u")+COUNTIF($E90:S90,"t")+COUNTIF($E90:S90,"¶")+COUNTIF($E90:S90,"²")+COUNTIF($E90:S90,"µ")+COUNTIF($E90:S90,1),ColDescriptionCourte))&gt;1,
HYPERLINK("#Roadmap!C"&amp; MATCH($E90,Roadmap!$D:$D,0)+COUNTIF($E90:S90,"u")+COUNTIF($E90:S90,"t")+COUNTIF($E90:S90,"¶")+COUNTIF($E90:S90,"²")+COUNTIF($E90:S90,"µ")+COUNTIF($E90:S90,1)-1,INDEX(Roadmap!$D:$K,MATCH($E90,Roadmap!$D:$D,0)-1+COUNTIF($E90:S90,"u")+COUNTIF($E90:S90,"t")+COUNTIF($E90:S90,"¶")+COUNTIF($E90:S90,"²")+COUNTIF($E90:S90,"µ")+COUNTIF($E90:S90,1),ColDescriptionCourte)),""),
  "")),"")</f>
        <v/>
      </c>
      <c r="U90" s="40" t="str">
        <f ca="1">IFERROR(IF(AND(
  INDEX(Roadmap!$D:$K,MATCH($E90,Roadmap!$D:$D,0)+COUNTIF($E90:T90,"u")+COUNTIF($E90:T90,"t")+COUNTIF($E90:T90,"¶")+COUNTIF($E90:T90,"²")+COUNTIF($E90:T90,"µ")+COUNTIF($E90:T90,1),ColLivraison)=U$6,
  VLOOKUP($E90,INDIRECT("tri!"&amp; CHAR(64+ C0Col) &amp;":"&amp; CHAR(65+C0Col)),2,FALSE)&gt;COUNTIF($E90:T90,"u")+COUNTIF($E90:T90,"t")+COUNTIF($E90:T90,"¶")+COUNTIF($E90:T90,"²")+COUNTIF($E90:T90,"µ")+COUNTIF($E90:T90,1)),
HYPERLINK("#Roadmap!C"&amp; MATCH($E90,Roadmap!$D:$D,0)+COUNTIF($E90:T90,"u")+COUNTIF($E90:T90,"t"),
     INDEX(Roadmap!$D:$K,MATCH($E90,Roadmap!$D:$D,0)+COUNTIF($E90:T90,"u")+COUNTIF($E90:T90,"t")+COUNTIF($E90:T90,"¶")+COUNTIF($E90:T90,"²")+COUNTIF($E90:T90,"µ")+COUNTIF($E90:T90,1),ColTypeEcheance)),
  IF(LEN(T90)=1,
  IF(LEN(INDEX(Roadmap!$D:$K,MATCH($E90,Roadmap!$D:$D,0)-1+COUNTIF($E90:T90,"u")+COUNTIF($E90:T90,"t")+COUNTIF($E90:T90,"¶")+COUNTIF($E90:T90,"²")+COUNTIF($E90:T90,"µ")+COUNTIF($E90:T90,1),ColDescriptionCourte))&gt;1,
HYPERLINK("#Roadmap!C"&amp; MATCH($E90,Roadmap!$D:$D,0)+COUNTIF($E90:T90,"u")+COUNTIF($E90:T90,"t")+COUNTIF($E90:T90,"¶")+COUNTIF($E90:T90,"²")+COUNTIF($E90:T90,"µ")+COUNTIF($E90:T90,1)-1,INDEX(Roadmap!$D:$K,MATCH($E90,Roadmap!$D:$D,0)-1+COUNTIF($E90:T90,"u")+COUNTIF($E90:T90,"t")+COUNTIF($E90:T90,"¶")+COUNTIF($E90:T90,"²")+COUNTIF($E90:T90,"µ")+COUNTIF($E90:T90,1),ColDescriptionCourte)),""),
  "")),"")</f>
        <v/>
      </c>
      <c r="V90" s="40" t="str">
        <f ca="1">IFERROR(IF(AND(
  INDEX(Roadmap!$D:$K,MATCH($E90,Roadmap!$D:$D,0)+COUNTIF($E90:U90,"u")+COUNTIF($E90:U90,"t")+COUNTIF($E90:U90,"¶")+COUNTIF($E90:U90,"²")+COUNTIF($E90:U90,"µ")+COUNTIF($E90:U90,1),ColLivraison)=V$6,
  VLOOKUP($E90,INDIRECT("tri!"&amp; CHAR(64+ C0Col) &amp;":"&amp; CHAR(65+C0Col)),2,FALSE)&gt;COUNTIF($E90:U90,"u")+COUNTIF($E90:U90,"t")+COUNTIF($E90:U90,"¶")+COUNTIF($E90:U90,"²")+COUNTIF($E90:U90,"µ")+COUNTIF($E90:U90,1)),
HYPERLINK("#Roadmap!C"&amp; MATCH($E90,Roadmap!$D:$D,0)+COUNTIF($E90:U90,"u")+COUNTIF($E90:U90,"t"),
     INDEX(Roadmap!$D:$K,MATCH($E90,Roadmap!$D:$D,0)+COUNTIF($E90:U90,"u")+COUNTIF($E90:U90,"t")+COUNTIF($E90:U90,"¶")+COUNTIF($E90:U90,"²")+COUNTIF($E90:U90,"µ")+COUNTIF($E90:U90,1),ColTypeEcheance)),
  IF(LEN(U90)=1,
  IF(LEN(INDEX(Roadmap!$D:$K,MATCH($E90,Roadmap!$D:$D,0)-1+COUNTIF($E90:U90,"u")+COUNTIF($E90:U90,"t")+COUNTIF($E90:U90,"¶")+COUNTIF($E90:U90,"²")+COUNTIF($E90:U90,"µ")+COUNTIF($E90:U90,1),ColDescriptionCourte))&gt;1,
HYPERLINK("#Roadmap!C"&amp; MATCH($E90,Roadmap!$D:$D,0)+COUNTIF($E90:U90,"u")+COUNTIF($E90:U90,"t")+COUNTIF($E90:U90,"¶")+COUNTIF($E90:U90,"²")+COUNTIF($E90:U90,"µ")+COUNTIF($E90:U90,1)-1,INDEX(Roadmap!$D:$K,MATCH($E90,Roadmap!$D:$D,0)-1+COUNTIF($E90:U90,"u")+COUNTIF($E90:U90,"t")+COUNTIF($E90:U90,"¶")+COUNTIF($E90:U90,"²")+COUNTIF($E90:U90,"µ")+COUNTIF($E90:U90,1),ColDescriptionCourte)),""),
  "")),"")</f>
        <v/>
      </c>
      <c r="W90" s="40" t="str">
        <f ca="1">IFERROR(IF(AND(
  INDEX(Roadmap!$D:$K,MATCH($E90,Roadmap!$D:$D,0)+COUNTIF($E90:V90,"u")+COUNTIF($E90:V90,"t")+COUNTIF($E90:V90,"¶")+COUNTIF($E90:V90,"²")+COUNTIF($E90:V90,"µ")+COUNTIF($E90:V90,1),ColLivraison)=W$6,
  VLOOKUP($E90,INDIRECT("tri!"&amp; CHAR(64+ C0Col) &amp;":"&amp; CHAR(65+C0Col)),2,FALSE)&gt;COUNTIF($E90:V90,"u")+COUNTIF($E90:V90,"t")+COUNTIF($E90:V90,"¶")+COUNTIF($E90:V90,"²")+COUNTIF($E90:V90,"µ")+COUNTIF($E90:V90,1)),
HYPERLINK("#Roadmap!C"&amp; MATCH($E90,Roadmap!$D:$D,0)+COUNTIF($E90:V90,"u")+COUNTIF($E90:V90,"t"),
     INDEX(Roadmap!$D:$K,MATCH($E90,Roadmap!$D:$D,0)+COUNTIF($E90:V90,"u")+COUNTIF($E90:V90,"t")+COUNTIF($E90:V90,"¶")+COUNTIF($E90:V90,"²")+COUNTIF($E90:V90,"µ")+COUNTIF($E90:V90,1),ColTypeEcheance)),
  IF(LEN(V90)=1,
  IF(LEN(INDEX(Roadmap!$D:$K,MATCH($E90,Roadmap!$D:$D,0)-1+COUNTIF($E90:V90,"u")+COUNTIF($E90:V90,"t")+COUNTIF($E90:V90,"¶")+COUNTIF($E90:V90,"²")+COUNTIF($E90:V90,"µ")+COUNTIF($E90:V90,1),ColDescriptionCourte))&gt;1,
HYPERLINK("#Roadmap!C"&amp; MATCH($E90,Roadmap!$D:$D,0)+COUNTIF($E90:V90,"u")+COUNTIF($E90:V90,"t")+COUNTIF($E90:V90,"¶")+COUNTIF($E90:V90,"²")+COUNTIF($E90:V90,"µ")+COUNTIF($E90:V90,1)-1,INDEX(Roadmap!$D:$K,MATCH($E90,Roadmap!$D:$D,0)-1+COUNTIF($E90:V90,"u")+COUNTIF($E90:V90,"t")+COUNTIF($E90:V90,"¶")+COUNTIF($E90:V90,"²")+COUNTIF($E90:V90,"µ")+COUNTIF($E90:V90,1),ColDescriptionCourte)),""),
  "")),"")</f>
        <v/>
      </c>
      <c r="X90" s="40" t="str">
        <f ca="1">IFERROR(IF(AND(
  INDEX(Roadmap!$D:$K,MATCH($E90,Roadmap!$D:$D,0)+COUNTIF($E90:W90,"u")+COUNTIF($E90:W90,"t")+COUNTIF($E90:W90,"¶")+COUNTIF($E90:W90,"²")+COUNTIF($E90:W90,"µ")+COUNTIF($E90:W90,1),ColLivraison)=X$6,
  VLOOKUP($E90,INDIRECT("tri!"&amp; CHAR(64+ C0Col) &amp;":"&amp; CHAR(65+C0Col)),2,FALSE)&gt;COUNTIF($E90:W90,"u")+COUNTIF($E90:W90,"t")+COUNTIF($E90:W90,"¶")+COUNTIF($E90:W90,"²")+COUNTIF($E90:W90,"µ")+COUNTIF($E90:W90,1)),
HYPERLINK("#Roadmap!C"&amp; MATCH($E90,Roadmap!$D:$D,0)+COUNTIF($E90:W90,"u")+COUNTIF($E90:W90,"t"),
     INDEX(Roadmap!$D:$K,MATCH($E90,Roadmap!$D:$D,0)+COUNTIF($E90:W90,"u")+COUNTIF($E90:W90,"t")+COUNTIF($E90:W90,"¶")+COUNTIF($E90:W90,"²")+COUNTIF($E90:W90,"µ")+COUNTIF($E90:W90,1),ColTypeEcheance)),
  IF(LEN(W90)=1,
  IF(LEN(INDEX(Roadmap!$D:$K,MATCH($E90,Roadmap!$D:$D,0)-1+COUNTIF($E90:W90,"u")+COUNTIF($E90:W90,"t")+COUNTIF($E90:W90,"¶")+COUNTIF($E90:W90,"²")+COUNTIF($E90:W90,"µ")+COUNTIF($E90:W90,1),ColDescriptionCourte))&gt;1,
HYPERLINK("#Roadmap!C"&amp; MATCH($E90,Roadmap!$D:$D,0)+COUNTIF($E90:W90,"u")+COUNTIF($E90:W90,"t")+COUNTIF($E90:W90,"¶")+COUNTIF($E90:W90,"²")+COUNTIF($E90:W90,"µ")+COUNTIF($E90:W90,1)-1,INDEX(Roadmap!$D:$K,MATCH($E90,Roadmap!$D:$D,0)-1+COUNTIF($E90:W90,"u")+COUNTIF($E90:W90,"t")+COUNTIF($E90:W90,"¶")+COUNTIF($E90:W90,"²")+COUNTIF($E90:W90,"µ")+COUNTIF($E90:W90,1),ColDescriptionCourte)),""),
  "")),"")</f>
        <v/>
      </c>
      <c r="Y90" s="40" t="str">
        <f ca="1">IFERROR(IF(AND(
  INDEX(Roadmap!$D:$K,MATCH($E90,Roadmap!$D:$D,0)+COUNTIF($E90:X90,"u")+COUNTIF($E90:X90,"t")+COUNTIF($E90:X90,"¶")+COUNTIF($E90:X90,"²")+COUNTIF($E90:X90,"µ")+COUNTIF($E90:X90,1),ColLivraison)=Y$6,
  VLOOKUP($E90,INDIRECT("tri!"&amp; CHAR(64+ C0Col) &amp;":"&amp; CHAR(65+C0Col)),2,FALSE)&gt;COUNTIF($E90:X90,"u")+COUNTIF($E90:X90,"t")+COUNTIF($E90:X90,"¶")+COUNTIF($E90:X90,"²")+COUNTIF($E90:X90,"µ")+COUNTIF($E90:X90,1)),
HYPERLINK("#Roadmap!C"&amp; MATCH($E90,Roadmap!$D:$D,0)+COUNTIF($E90:X90,"u")+COUNTIF($E90:X90,"t"),
     INDEX(Roadmap!$D:$K,MATCH($E90,Roadmap!$D:$D,0)+COUNTIF($E90:X90,"u")+COUNTIF($E90:X90,"t")+COUNTIF($E90:X90,"¶")+COUNTIF($E90:X90,"²")+COUNTIF($E90:X90,"µ")+COUNTIF($E90:X90,1),ColTypeEcheance)),
  IF(LEN(X90)=1,
  IF(LEN(INDEX(Roadmap!$D:$K,MATCH($E90,Roadmap!$D:$D,0)-1+COUNTIF($E90:X90,"u")+COUNTIF($E90:X90,"t")+COUNTIF($E90:X90,"¶")+COUNTIF($E90:X90,"²")+COUNTIF($E90:X90,"µ")+COUNTIF($E90:X90,1),ColDescriptionCourte))&gt;1,
HYPERLINK("#Roadmap!C"&amp; MATCH($E90,Roadmap!$D:$D,0)+COUNTIF($E90:X90,"u")+COUNTIF($E90:X90,"t")+COUNTIF($E90:X90,"¶")+COUNTIF($E90:X90,"²")+COUNTIF($E90:X90,"µ")+COUNTIF($E90:X90,1)-1,INDEX(Roadmap!$D:$K,MATCH($E90,Roadmap!$D:$D,0)-1+COUNTIF($E90:X90,"u")+COUNTIF($E90:X90,"t")+COUNTIF($E90:X90,"¶")+COUNTIF($E90:X90,"²")+COUNTIF($E90:X90,"µ")+COUNTIF($E90:X90,1),ColDescriptionCourte)),""),
  "")),"")</f>
        <v/>
      </c>
      <c r="Z90" s="40" t="str">
        <f ca="1">IFERROR(IF(AND(
  INDEX(Roadmap!$D:$K,MATCH($E90,Roadmap!$D:$D,0)+COUNTIF($E90:Y90,"u")+COUNTIF($E90:Y90,"t")+COUNTIF($E90:Y90,"¶")+COUNTIF($E90:Y90,"²")+COUNTIF($E90:Y90,"µ")+COUNTIF($E90:Y90,1),ColLivraison)=Z$6,
  VLOOKUP($E90,INDIRECT("tri!"&amp; CHAR(64+ C0Col) &amp;":"&amp; CHAR(65+C0Col)),2,FALSE)&gt;COUNTIF($E90:Y90,"u")+COUNTIF($E90:Y90,"t")+COUNTIF($E90:Y90,"¶")+COUNTIF($E90:Y90,"²")+COUNTIF($E90:Y90,"µ")+COUNTIF($E90:Y90,1)),
HYPERLINK("#Roadmap!C"&amp; MATCH($E90,Roadmap!$D:$D,0)+COUNTIF($E90:Y90,"u")+COUNTIF($E90:Y90,"t"),
     INDEX(Roadmap!$D:$K,MATCH($E90,Roadmap!$D:$D,0)+COUNTIF($E90:Y90,"u")+COUNTIF($E90:Y90,"t")+COUNTIF($E90:Y90,"¶")+COUNTIF($E90:Y90,"²")+COUNTIF($E90:Y90,"µ")+COUNTIF($E90:Y90,1),ColTypeEcheance)),
  IF(LEN(Y90)=1,
  IF(LEN(INDEX(Roadmap!$D:$K,MATCH($E90,Roadmap!$D:$D,0)-1+COUNTIF($E90:Y90,"u")+COUNTIF($E90:Y90,"t")+COUNTIF($E90:Y90,"¶")+COUNTIF($E90:Y90,"²")+COUNTIF($E90:Y90,"µ")+COUNTIF($E90:Y90,1),ColDescriptionCourte))&gt;1,
HYPERLINK("#Roadmap!C"&amp; MATCH($E90,Roadmap!$D:$D,0)+COUNTIF($E90:Y90,"u")+COUNTIF($E90:Y90,"t")+COUNTIF($E90:Y90,"¶")+COUNTIF($E90:Y90,"²")+COUNTIF($E90:Y90,"µ")+COUNTIF($E90:Y90,1)-1,INDEX(Roadmap!$D:$K,MATCH($E90,Roadmap!$D:$D,0)-1+COUNTIF($E90:Y90,"u")+COUNTIF($E90:Y90,"t")+COUNTIF($E90:Y90,"¶")+COUNTIF($E90:Y90,"²")+COUNTIF($E90:Y90,"µ")+COUNTIF($E90:Y90,1),ColDescriptionCourte)),""),
  "")),"")</f>
        <v/>
      </c>
      <c r="AA90" s="40" t="str">
        <f ca="1">IFERROR(IF(AND(
  INDEX(Roadmap!$D:$K,MATCH($E90,Roadmap!$D:$D,0)+COUNTIF($E90:Z90,"u")+COUNTIF($E90:Z90,"t")+COUNTIF($E90:Z90,"¶")+COUNTIF($E90:Z90,"²")+COUNTIF($E90:Z90,"µ")+COUNTIF($E90:Z90,1),ColLivraison)=AA$6,
  VLOOKUP($E90,INDIRECT("tri!"&amp; CHAR(64+ C0Col) &amp;":"&amp; CHAR(65+C0Col)),2,FALSE)&gt;COUNTIF($E90:Z90,"u")+COUNTIF($E90:Z90,"t")+COUNTIF($E90:Z90,"¶")+COUNTIF($E90:Z90,"²")+COUNTIF($E90:Z90,"µ")+COUNTIF($E90:Z90,1)),
HYPERLINK("#Roadmap!C"&amp; MATCH($E90,Roadmap!$D:$D,0)+COUNTIF($E90:Z90,"u")+COUNTIF($E90:Z90,"t"),
     INDEX(Roadmap!$D:$K,MATCH($E90,Roadmap!$D:$D,0)+COUNTIF($E90:Z90,"u")+COUNTIF($E90:Z90,"t")+COUNTIF($E90:Z90,"¶")+COUNTIF($E90:Z90,"²")+COUNTIF($E90:Z90,"µ")+COUNTIF($E90:Z90,1),ColTypeEcheance)),
  IF(LEN(Z90)=1,
  IF(LEN(INDEX(Roadmap!$D:$K,MATCH($E90,Roadmap!$D:$D,0)-1+COUNTIF($E90:Z90,"u")+COUNTIF($E90:Z90,"t")+COUNTIF($E90:Z90,"¶")+COUNTIF($E90:Z90,"²")+COUNTIF($E90:Z90,"µ")+COUNTIF($E90:Z90,1),ColDescriptionCourte))&gt;1,
HYPERLINK("#Roadmap!C"&amp; MATCH($E90,Roadmap!$D:$D,0)+COUNTIF($E90:Z90,"u")+COUNTIF($E90:Z90,"t")+COUNTIF($E90:Z90,"¶")+COUNTIF($E90:Z90,"²")+COUNTIF($E90:Z90,"µ")+COUNTIF($E90:Z90,1)-1,INDEX(Roadmap!$D:$K,MATCH($E90,Roadmap!$D:$D,0)-1+COUNTIF($E90:Z90,"u")+COUNTIF($E90:Z90,"t")+COUNTIF($E90:Z90,"¶")+COUNTIF($E90:Z90,"²")+COUNTIF($E90:Z90,"µ")+COUNTIF($E90:Z90,1),ColDescriptionCourte)),""),
  "")),"")</f>
        <v/>
      </c>
      <c r="AB90" s="40" t="str">
        <f ca="1">IFERROR(IF(AND(
  INDEX(Roadmap!$D:$K,MATCH($E90,Roadmap!$D:$D,0)+COUNTIF($E90:AA90,"u")+COUNTIF($E90:AA90,"t")+COUNTIF($E90:AA90,"¶")+COUNTIF($E90:AA90,"²")+COUNTIF($E90:AA90,"µ")+COUNTIF($E90:AA90,1),ColLivraison)=AB$6,
  VLOOKUP($E90,INDIRECT("tri!"&amp; CHAR(64+ C0Col) &amp;":"&amp; CHAR(65+C0Col)),2,FALSE)&gt;COUNTIF($E90:AA90,"u")+COUNTIF($E90:AA90,"t")+COUNTIF($E90:AA90,"¶")+COUNTIF($E90:AA90,"²")+COUNTIF($E90:AA90,"µ")+COUNTIF($E90:AA90,1)),
HYPERLINK("#Roadmap!C"&amp; MATCH($E90,Roadmap!$D:$D,0)+COUNTIF($E90:AA90,"u")+COUNTIF($E90:AA90,"t"),
     INDEX(Roadmap!$D:$K,MATCH($E90,Roadmap!$D:$D,0)+COUNTIF($E90:AA90,"u")+COUNTIF($E90:AA90,"t")+COUNTIF($E90:AA90,"¶")+COUNTIF($E90:AA90,"²")+COUNTIF($E90:AA90,"µ")+COUNTIF($E90:AA90,1),ColTypeEcheance)),
  IF(LEN(AA90)=1,
  IF(LEN(INDEX(Roadmap!$D:$K,MATCH($E90,Roadmap!$D:$D,0)-1+COUNTIF($E90:AA90,"u")+COUNTIF($E90:AA90,"t")+COUNTIF($E90:AA90,"¶")+COUNTIF($E90:AA90,"²")+COUNTIF($E90:AA90,"µ")+COUNTIF($E90:AA90,1),ColDescriptionCourte))&gt;1,
HYPERLINK("#Roadmap!C"&amp; MATCH($E90,Roadmap!$D:$D,0)+COUNTIF($E90:AA90,"u")+COUNTIF($E90:AA90,"t")+COUNTIF($E90:AA90,"¶")+COUNTIF($E90:AA90,"²")+COUNTIF($E90:AA90,"µ")+COUNTIF($E90:AA90,1)-1,INDEX(Roadmap!$D:$K,MATCH($E90,Roadmap!$D:$D,0)-1+COUNTIF($E90:AA90,"u")+COUNTIF($E90:AA90,"t")+COUNTIF($E90:AA90,"¶")+COUNTIF($E90:AA90,"²")+COUNTIF($E90:AA90,"µ")+COUNTIF($E90:AA90,1),ColDescriptionCourte)),""),
  "")),"")</f>
        <v/>
      </c>
      <c r="AC90" s="40" t="str">
        <f ca="1">IFERROR(IF(AND(
  INDEX(Roadmap!$D:$K,MATCH($E90,Roadmap!$D:$D,0)+COUNTIF($E90:AB90,"u")+COUNTIF($E90:AB90,"t")+COUNTIF($E90:AB90,"¶")+COUNTIF($E90:AB90,"²")+COUNTIF($E90:AB90,"µ")+COUNTIF($E90:AB90,1),ColLivraison)=AC$6,
  VLOOKUP($E90,INDIRECT("tri!"&amp; CHAR(64+ C0Col) &amp;":"&amp; CHAR(65+C0Col)),2,FALSE)&gt;COUNTIF($E90:AB90,"u")+COUNTIF($E90:AB90,"t")+COUNTIF($E90:AB90,"¶")+COUNTIF($E90:AB90,"²")+COUNTIF($E90:AB90,"µ")+COUNTIF($E90:AB90,1)),
HYPERLINK("#Roadmap!C"&amp; MATCH($E90,Roadmap!$D:$D,0)+COUNTIF($E90:AB90,"u")+COUNTIF($E90:AB90,"t"),
     INDEX(Roadmap!$D:$K,MATCH($E90,Roadmap!$D:$D,0)+COUNTIF($E90:AB90,"u")+COUNTIF($E90:AB90,"t")+COUNTIF($E90:AB90,"¶")+COUNTIF($E90:AB90,"²")+COUNTIF($E90:AB90,"µ")+COUNTIF($E90:AB90,1),ColTypeEcheance)),
  IF(LEN(AB90)=1,
  IF(LEN(INDEX(Roadmap!$D:$K,MATCH($E90,Roadmap!$D:$D,0)-1+COUNTIF($E90:AB90,"u")+COUNTIF($E90:AB90,"t")+COUNTIF($E90:AB90,"¶")+COUNTIF($E90:AB90,"²")+COUNTIF($E90:AB90,"µ")+COUNTIF($E90:AB90,1),ColDescriptionCourte))&gt;1,
HYPERLINK("#Roadmap!C"&amp; MATCH($E90,Roadmap!$D:$D,0)+COUNTIF($E90:AB90,"u")+COUNTIF($E90:AB90,"t")+COUNTIF($E90:AB90,"¶")+COUNTIF($E90:AB90,"²")+COUNTIF($E90:AB90,"µ")+COUNTIF($E90:AB90,1)-1,INDEX(Roadmap!$D:$K,MATCH($E90,Roadmap!$D:$D,0)-1+COUNTIF($E90:AB90,"u")+COUNTIF($E90:AB90,"t")+COUNTIF($E90:AB90,"¶")+COUNTIF($E90:AB90,"²")+COUNTIF($E90:AB90,"µ")+COUNTIF($E90:AB90,1),ColDescriptionCourte)),""),
  "")),"")</f>
        <v/>
      </c>
      <c r="AD90" s="40" t="str">
        <f ca="1">IFERROR(IF(AND(
  INDEX(Roadmap!$D:$K,MATCH($E90,Roadmap!$D:$D,0)+COUNTIF($E90:AC90,"u")+COUNTIF($E90:AC90,"t")+COUNTIF($E90:AC90,"¶")+COUNTIF($E90:AC90,"²")+COUNTIF($E90:AC90,"µ")+COUNTIF($E90:AC90,1),ColLivraison)=AD$6,
  VLOOKUP($E90,INDIRECT("tri!"&amp; CHAR(64+ C0Col) &amp;":"&amp; CHAR(65+C0Col)),2,FALSE)&gt;COUNTIF($E90:AC90,"u")+COUNTIF($E90:AC90,"t")+COUNTIF($E90:AC90,"¶")+COUNTIF($E90:AC90,"²")+COUNTIF($E90:AC90,"µ")+COUNTIF($E90:AC90,1)),
HYPERLINK("#Roadmap!C"&amp; MATCH($E90,Roadmap!$D:$D,0)+COUNTIF($E90:AC90,"u")+COUNTIF($E90:AC90,"t"),
     INDEX(Roadmap!$D:$K,MATCH($E90,Roadmap!$D:$D,0)+COUNTIF($E90:AC90,"u")+COUNTIF($E90:AC90,"t")+COUNTIF($E90:AC90,"¶")+COUNTIF($E90:AC90,"²")+COUNTIF($E90:AC90,"µ")+COUNTIF($E90:AC90,1),ColTypeEcheance)),
  IF(LEN(AC90)=1,
  IF(LEN(INDEX(Roadmap!$D:$K,MATCH($E90,Roadmap!$D:$D,0)-1+COUNTIF($E90:AC90,"u")+COUNTIF($E90:AC90,"t")+COUNTIF($E90:AC90,"¶")+COUNTIF($E90:AC90,"²")+COUNTIF($E90:AC90,"µ")+COUNTIF($E90:AC90,1),ColDescriptionCourte))&gt;1,
HYPERLINK("#Roadmap!C"&amp; MATCH($E90,Roadmap!$D:$D,0)+COUNTIF($E90:AC90,"u")+COUNTIF($E90:AC90,"t")+COUNTIF($E90:AC90,"¶")+COUNTIF($E90:AC90,"²")+COUNTIF($E90:AC90,"µ")+COUNTIF($E90:AC90,1)-1,INDEX(Roadmap!$D:$K,MATCH($E90,Roadmap!$D:$D,0)-1+COUNTIF($E90:AC90,"u")+COUNTIF($E90:AC90,"t")+COUNTIF($E90:AC90,"¶")+COUNTIF($E90:AC90,"²")+COUNTIF($E90:AC90,"µ")+COUNTIF($E90:AC90,1),ColDescriptionCourte)),""),
  "")),"")</f>
        <v/>
      </c>
      <c r="AE90" s="40" t="str">
        <f ca="1">IFERROR(IF(AND(
  INDEX(Roadmap!$D:$K,MATCH($E90,Roadmap!$D:$D,0)+COUNTIF($E90:AD90,"u")+COUNTIF($E90:AD90,"t")+COUNTIF($E90:AD90,"¶")+COUNTIF($E90:AD90,"²")+COUNTIF($E90:AD90,"µ")+COUNTIF($E90:AD90,1),ColLivraison)=AE$6,
  VLOOKUP($E90,INDIRECT("tri!"&amp; CHAR(64+ C0Col) &amp;":"&amp; CHAR(65+C0Col)),2,FALSE)&gt;COUNTIF($E90:AD90,"u")+COUNTIF($E90:AD90,"t")+COUNTIF($E90:AD90,"¶")+COUNTIF($E90:AD90,"²")+COUNTIF($E90:AD90,"µ")+COUNTIF($E90:AD90,1)),
HYPERLINK("#Roadmap!C"&amp; MATCH($E90,Roadmap!$D:$D,0)+COUNTIF($E90:AD90,"u")+COUNTIF($E90:AD90,"t"),
     INDEX(Roadmap!$D:$K,MATCH($E90,Roadmap!$D:$D,0)+COUNTIF($E90:AD90,"u")+COUNTIF($E90:AD90,"t")+COUNTIF($E90:AD90,"¶")+COUNTIF($E90:AD90,"²")+COUNTIF($E90:AD90,"µ")+COUNTIF($E90:AD90,1),ColTypeEcheance)),
  IF(LEN(AD90)=1,
  IF(LEN(INDEX(Roadmap!$D:$K,MATCH($E90,Roadmap!$D:$D,0)-1+COUNTIF($E90:AD90,"u")+COUNTIF($E90:AD90,"t")+COUNTIF($E90:AD90,"¶")+COUNTIF($E90:AD90,"²")+COUNTIF($E90:AD90,"µ")+COUNTIF($E90:AD90,1),ColDescriptionCourte))&gt;1,
HYPERLINK("#Roadmap!C"&amp; MATCH($E90,Roadmap!$D:$D,0)+COUNTIF($E90:AD90,"u")+COUNTIF($E90:AD90,"t")+COUNTIF($E90:AD90,"¶")+COUNTIF($E90:AD90,"²")+COUNTIF($E90:AD90,"µ")+COUNTIF($E90:AD90,1)-1,INDEX(Roadmap!$D:$K,MATCH($E90,Roadmap!$D:$D,0)-1+COUNTIF($E90:AD90,"u")+COUNTIF($E90:AD90,"t")+COUNTIF($E90:AD90,"¶")+COUNTIF($E90:AD90,"²")+COUNTIF($E90:AD90,"µ")+COUNTIF($E90:AD90,1),ColDescriptionCourte)),""),
  "")),"")</f>
        <v/>
      </c>
      <c r="AF90" s="40" t="str">
        <f ca="1">IFERROR(IF(AND(
  INDEX(Roadmap!$D:$K,MATCH($E90,Roadmap!$D:$D,0)+COUNTIF($E90:AE90,"u")+COUNTIF($E90:AE90,"t")+COUNTIF($E90:AE90,"¶")+COUNTIF($E90:AE90,"²")+COUNTIF($E90:AE90,"µ")+COUNTIF($E90:AE90,1),ColLivraison)=AF$6,
  VLOOKUP($E90,INDIRECT("tri!"&amp; CHAR(64+ C0Col) &amp;":"&amp; CHAR(65+C0Col)),2,FALSE)&gt;COUNTIF($E90:AE90,"u")+COUNTIF($E90:AE90,"t")+COUNTIF($E90:AE90,"¶")+COUNTIF($E90:AE90,"²")+COUNTIF($E90:AE90,"µ")+COUNTIF($E90:AE90,1)),
HYPERLINK("#Roadmap!C"&amp; MATCH($E90,Roadmap!$D:$D,0)+COUNTIF($E90:AE90,"u")+COUNTIF($E90:AE90,"t"),
     INDEX(Roadmap!$D:$K,MATCH($E90,Roadmap!$D:$D,0)+COUNTIF($E90:AE90,"u")+COUNTIF($E90:AE90,"t")+COUNTIF($E90:AE90,"¶")+COUNTIF($E90:AE90,"²")+COUNTIF($E90:AE90,"µ")+COUNTIF($E90:AE90,1),ColTypeEcheance)),
  IF(LEN(AE90)=1,
  IF(LEN(INDEX(Roadmap!$D:$K,MATCH($E90,Roadmap!$D:$D,0)-1+COUNTIF($E90:AE90,"u")+COUNTIF($E90:AE90,"t")+COUNTIF($E90:AE90,"¶")+COUNTIF($E90:AE90,"²")+COUNTIF($E90:AE90,"µ")+COUNTIF($E90:AE90,1),ColDescriptionCourte))&gt;1,
HYPERLINK("#Roadmap!C"&amp; MATCH($E90,Roadmap!$D:$D,0)+COUNTIF($E90:AE90,"u")+COUNTIF($E90:AE90,"t")+COUNTIF($E90:AE90,"¶")+COUNTIF($E90:AE90,"²")+COUNTIF($E90:AE90,"µ")+COUNTIF($E90:AE90,1)-1,INDEX(Roadmap!$D:$K,MATCH($E90,Roadmap!$D:$D,0)-1+COUNTIF($E90:AE90,"u")+COUNTIF($E90:AE90,"t")+COUNTIF($E90:AE90,"¶")+COUNTIF($E90:AE90,"²")+COUNTIF($E90:AE90,"µ")+COUNTIF($E90:AE90,1),ColDescriptionCourte)),""),
  "")),"")</f>
        <v/>
      </c>
      <c r="AG90" s="40" t="str">
        <f ca="1">IFERROR(IF(AND(
  INDEX(Roadmap!$D:$K,MATCH($E90,Roadmap!$D:$D,0)+COUNTIF($E90:AF90,"u")+COUNTIF($E90:AF90,"t")+COUNTIF($E90:AF90,"¶")+COUNTIF($E90:AF90,"²")+COUNTIF($E90:AF90,"µ")+COUNTIF($E90:AF90,1),ColLivraison)=AG$6,
  VLOOKUP($E90,INDIRECT("tri!"&amp; CHAR(64+ C0Col) &amp;":"&amp; CHAR(65+C0Col)),2,FALSE)&gt;COUNTIF($E90:AF90,"u")+COUNTIF($E90:AF90,"t")+COUNTIF($E90:AF90,"¶")+COUNTIF($E90:AF90,"²")+COUNTIF($E90:AF90,"µ")+COUNTIF($E90:AF90,1)),
HYPERLINK("#Roadmap!C"&amp; MATCH($E90,Roadmap!$D:$D,0)+COUNTIF($E90:AF90,"u")+COUNTIF($E90:AF90,"t"),
     INDEX(Roadmap!$D:$K,MATCH($E90,Roadmap!$D:$D,0)+COUNTIF($E90:AF90,"u")+COUNTIF($E90:AF90,"t")+COUNTIF($E90:AF90,"¶")+COUNTIF($E90:AF90,"²")+COUNTIF($E90:AF90,"µ")+COUNTIF($E90:AF90,1),ColTypeEcheance)),
  IF(LEN(AF90)=1,
  IF(LEN(INDEX(Roadmap!$D:$K,MATCH($E90,Roadmap!$D:$D,0)-1+COUNTIF($E90:AF90,"u")+COUNTIF($E90:AF90,"t")+COUNTIF($E90:AF90,"¶")+COUNTIF($E90:AF90,"²")+COUNTIF($E90:AF90,"µ")+COUNTIF($E90:AF90,1),ColDescriptionCourte))&gt;1,
HYPERLINK("#Roadmap!C"&amp; MATCH($E90,Roadmap!$D:$D,0)+COUNTIF($E90:AF90,"u")+COUNTIF($E90:AF90,"t")+COUNTIF($E90:AF90,"¶")+COUNTIF($E90:AF90,"²")+COUNTIF($E90:AF90,"µ")+COUNTIF($E90:AF90,1)-1,INDEX(Roadmap!$D:$K,MATCH($E90,Roadmap!$D:$D,0)-1+COUNTIF($E90:AF90,"u")+COUNTIF($E90:AF90,"t")+COUNTIF($E90:AF90,"¶")+COUNTIF($E90:AF90,"²")+COUNTIF($E90:AF90,"µ")+COUNTIF($E90:AF90,1),ColDescriptionCourte)),""),
  "")),"")</f>
        <v/>
      </c>
    </row>
    <row r="91" spans="3:33" ht="14.25" customHeight="1">
      <c r="C91" s="1" t="str">
        <f t="shared" ca="1" si="47"/>
        <v/>
      </c>
      <c r="D91" s="1" t="str">
        <f t="shared" ca="1" si="48"/>
        <v/>
      </c>
      <c r="E91" s="35" t="str">
        <f t="shared" ca="1" si="46"/>
        <v/>
      </c>
      <c r="F91" s="39" t="str">
        <f ca="1">IFERROR(IF(AND(
  INDEX(Roadmap!$D:$K,MATCH($E91,Roadmap!$D:$D,0)+COUNTIF($E91:E91,"u")+COUNTIF($E91:E91,"t")+COUNTIF($E91:E91,"¶")+COUNTIF($E91:E91,"²")+COUNTIF($E91:E91,"µ")+COUNTIF($E91:E91,1),ColLivraison)=F$6,
  VLOOKUP($E91,INDIRECT("tri!"&amp; CHAR(64+ C0Col) &amp;":"&amp; CHAR(65+C0Col)),2,FALSE)&gt;COUNTIF($E91:E91,"u")+COUNTIF($E91:E91,"t")+COUNTIF($E91:E91,"¶")+COUNTIF($E91:E91,"²")+COUNTIF($E91:E91,"µ")+COUNTIF($E91:E91,1)),
HYPERLINK("#Roadmap!C"&amp; MATCH($E91,Roadmap!$D:$D,0)+COUNTIF($E91:E91,"u")+COUNTIF($E91:E91,"t"),
     INDEX(Roadmap!$D:$K,MATCH($E91,Roadmap!$D:$D,0)+COUNTIF($E91:E91,"u")+COUNTIF($E91:E91,"t")+COUNTIF($E91:E91,"¶")+COUNTIF($E91:E91,"²")+COUNTIF($E91:E91,"µ")+COUNTIF($E91:E91,1),ColTypeEcheance)),
  IF(LEN(E91)=1,
  IF(LEN(INDEX(Roadmap!$D:$K,MATCH($E91,Roadmap!$D:$D,0)-1+COUNTIF($E91:E91,"u")+COUNTIF($E91:E91,"t")+COUNTIF($E91:E91,"¶")+COUNTIF($E91:E91,"²")+COUNTIF($E91:E91,"µ")+COUNTIF($E91:E91,1),ColDescriptionCourte))&gt;1,
HYPERLINK("#Roadmap!C"&amp; MATCH($E91,Roadmap!$D:$D,0)+COUNTIF($E91:E91,"u")+COUNTIF($E91:E91,"t")+COUNTIF($E91:E91,"¶")+COUNTIF($E91:E91,"²")+COUNTIF($E91:E91,"µ")+COUNTIF($E91:E91,1)-1,INDEX(Roadmap!$D:$K,MATCH($E91,Roadmap!$D:$D,0)-1+COUNTIF($E91:E91,"u")+COUNTIF($E91:E91,"t")+COUNTIF($E91:E91,"¶")+COUNTIF($E91:E91,"²")+COUNTIF($E91:E91,"µ")+COUNTIF($E91:E91,1),ColDescriptionCourte)),""),
  "")),"")</f>
        <v/>
      </c>
      <c r="G91" s="40" t="str">
        <f ca="1">IFERROR(IF(AND(
  INDEX(Roadmap!$D:$K,MATCH($E91,Roadmap!$D:$D,0)+COUNTIF($E91:F91,"u")+COUNTIF($E91:F91,"t")+COUNTIF($E91:F91,"¶")+COUNTIF($E91:F91,"²")+COUNTIF($E91:F91,"µ")+COUNTIF($E91:F91,1),ColLivraison)=G$6,
  VLOOKUP($E91,INDIRECT("tri!"&amp; CHAR(64+ C0Col) &amp;":"&amp; CHAR(65+C0Col)),2,FALSE)&gt;COUNTIF($E91:F91,"u")+COUNTIF($E91:F91,"t")+COUNTIF($E91:F91,"¶")+COUNTIF($E91:F91,"²")+COUNTIF($E91:F91,"µ")+COUNTIF($E91:F91,1)),
HYPERLINK("#Roadmap!C"&amp; MATCH($E91,Roadmap!$D:$D,0)+COUNTIF($E91:F91,"u")+COUNTIF($E91:F91,"t"),
     INDEX(Roadmap!$D:$K,MATCH($E91,Roadmap!$D:$D,0)+COUNTIF($E91:F91,"u")+COUNTIF($E91:F91,"t")+COUNTIF($E91:F91,"¶")+COUNTIF($E91:F91,"²")+COUNTIF($E91:F91,"µ")+COUNTIF($E91:F91,1),ColTypeEcheance)),
  IF(LEN(F91)=1,
  IF(LEN(INDEX(Roadmap!$D:$K,MATCH($E91,Roadmap!$D:$D,0)-1+COUNTIF($E91:F91,"u")+COUNTIF($E91:F91,"t")+COUNTIF($E91:F91,"¶")+COUNTIF($E91:F91,"²")+COUNTIF($E91:F91,"µ")+COUNTIF($E91:F91,1),ColDescriptionCourte))&gt;1,
HYPERLINK("#Roadmap!C"&amp; MATCH($E91,Roadmap!$D:$D,0)+COUNTIF($E91:F91,"u")+COUNTIF($E91:F91,"t")+COUNTIF($E91:F91,"¶")+COUNTIF($E91:F91,"²")+COUNTIF($E91:F91,"µ")+COUNTIF($E91:F91,1)-1,INDEX(Roadmap!$D:$K,MATCH($E91,Roadmap!$D:$D,0)-1+COUNTIF($E91:F91,"u")+COUNTIF($E91:F91,"t")+COUNTIF($E91:F91,"¶")+COUNTIF($E91:F91,"²")+COUNTIF($E91:F91,"µ")+COUNTIF($E91:F91,1),ColDescriptionCourte)),""),
  "")),"")</f>
        <v/>
      </c>
      <c r="H91" s="40" t="str">
        <f ca="1">IFERROR(IF(AND(
  INDEX(Roadmap!$D:$K,MATCH($E91,Roadmap!$D:$D,0)+COUNTIF($E91:G91,"u")+COUNTIF($E91:G91,"t")+COUNTIF($E91:G91,"¶")+COUNTIF($E91:G91,"²")+COUNTIF($E91:G91,"µ")+COUNTIF($E91:G91,1),ColLivraison)=H$6,
  VLOOKUP($E91,INDIRECT("tri!"&amp; CHAR(64+ C0Col) &amp;":"&amp; CHAR(65+C0Col)),2,FALSE)&gt;COUNTIF($E91:G91,"u")+COUNTIF($E91:G91,"t")+COUNTIF($E91:G91,"¶")+COUNTIF($E91:G91,"²")+COUNTIF($E91:G91,"µ")+COUNTIF($E91:G91,1)),
HYPERLINK("#Roadmap!C"&amp; MATCH($E91,Roadmap!$D:$D,0)+COUNTIF($E91:G91,"u")+COUNTIF($E91:G91,"t"),
     INDEX(Roadmap!$D:$K,MATCH($E91,Roadmap!$D:$D,0)+COUNTIF($E91:G91,"u")+COUNTIF($E91:G91,"t")+COUNTIF($E91:G91,"¶")+COUNTIF($E91:G91,"²")+COUNTIF($E91:G91,"µ")+COUNTIF($E91:G91,1),ColTypeEcheance)),
  IF(LEN(G91)=1,
  IF(LEN(INDEX(Roadmap!$D:$K,MATCH($E91,Roadmap!$D:$D,0)-1+COUNTIF($E91:G91,"u")+COUNTIF($E91:G91,"t")+COUNTIF($E91:G91,"¶")+COUNTIF($E91:G91,"²")+COUNTIF($E91:G91,"µ")+COUNTIF($E91:G91,1),ColDescriptionCourte))&gt;1,
HYPERLINK("#Roadmap!C"&amp; MATCH($E91,Roadmap!$D:$D,0)+COUNTIF($E91:G91,"u")+COUNTIF($E91:G91,"t")+COUNTIF($E91:G91,"¶")+COUNTIF($E91:G91,"²")+COUNTIF($E91:G91,"µ")+COUNTIF($E91:G91,1)-1,INDEX(Roadmap!$D:$K,MATCH($E91,Roadmap!$D:$D,0)-1+COUNTIF($E91:G91,"u")+COUNTIF($E91:G91,"t")+COUNTIF($E91:G91,"¶")+COUNTIF($E91:G91,"²")+COUNTIF($E91:G91,"µ")+COUNTIF($E91:G91,1),ColDescriptionCourte)),""),
  "")),"")</f>
        <v/>
      </c>
      <c r="I91" s="40" t="str">
        <f ca="1">IFERROR(IF(AND(
  INDEX(Roadmap!$D:$K,MATCH($E91,Roadmap!$D:$D,0)+COUNTIF($E91:H91,"u")+COUNTIF($E91:H91,"t")+COUNTIF($E91:H91,"¶")+COUNTIF($E91:H91,"²")+COUNTIF($E91:H91,"µ")+COUNTIF($E91:H91,1),ColLivraison)=I$6,
  VLOOKUP($E91,INDIRECT("tri!"&amp; CHAR(64+ C0Col) &amp;":"&amp; CHAR(65+C0Col)),2,FALSE)&gt;COUNTIF($E91:H91,"u")+COUNTIF($E91:H91,"t")+COUNTIF($E91:H91,"¶")+COUNTIF($E91:H91,"²")+COUNTIF($E91:H91,"µ")+COUNTIF($E91:H91,1)),
HYPERLINK("#Roadmap!C"&amp; MATCH($E91,Roadmap!$D:$D,0)+COUNTIF($E91:H91,"u")+COUNTIF($E91:H91,"t"),
     INDEX(Roadmap!$D:$K,MATCH($E91,Roadmap!$D:$D,0)+COUNTIF($E91:H91,"u")+COUNTIF($E91:H91,"t")+COUNTIF($E91:H91,"¶")+COUNTIF($E91:H91,"²")+COUNTIF($E91:H91,"µ")+COUNTIF($E91:H91,1),ColTypeEcheance)),
  IF(LEN(H91)=1,
  IF(LEN(INDEX(Roadmap!$D:$K,MATCH($E91,Roadmap!$D:$D,0)-1+COUNTIF($E91:H91,"u")+COUNTIF($E91:H91,"t")+COUNTIF($E91:H91,"¶")+COUNTIF($E91:H91,"²")+COUNTIF($E91:H91,"µ")+COUNTIF($E91:H91,1),ColDescriptionCourte))&gt;1,
HYPERLINK("#Roadmap!C"&amp; MATCH($E91,Roadmap!$D:$D,0)+COUNTIF($E91:H91,"u")+COUNTIF($E91:H91,"t")+COUNTIF($E91:H91,"¶")+COUNTIF($E91:H91,"²")+COUNTIF($E91:H91,"µ")+COUNTIF($E91:H91,1)-1,INDEX(Roadmap!$D:$K,MATCH($E91,Roadmap!$D:$D,0)-1+COUNTIF($E91:H91,"u")+COUNTIF($E91:H91,"t")+COUNTIF($E91:H91,"¶")+COUNTIF($E91:H91,"²")+COUNTIF($E91:H91,"µ")+COUNTIF($E91:H91,1),ColDescriptionCourte)),""),
  "")),"")</f>
        <v/>
      </c>
      <c r="J91" s="40" t="str">
        <f ca="1">IFERROR(IF(AND(
  INDEX(Roadmap!$D:$K,MATCH($E91,Roadmap!$D:$D,0)+COUNTIF($E91:I91,"u")+COUNTIF($E91:I91,"t")+COUNTIF($E91:I91,"¶")+COUNTIF($E91:I91,"²")+COUNTIF($E91:I91,"µ")+COUNTIF($E91:I91,1),ColLivraison)=J$6,
  VLOOKUP($E91,INDIRECT("tri!"&amp; CHAR(64+ C0Col) &amp;":"&amp; CHAR(65+C0Col)),2,FALSE)&gt;COUNTIF($E91:I91,"u")+COUNTIF($E91:I91,"t")+COUNTIF($E91:I91,"¶")+COUNTIF($E91:I91,"²")+COUNTIF($E91:I91,"µ")+COUNTIF($E91:I91,1)),
HYPERLINK("#Roadmap!C"&amp; MATCH($E91,Roadmap!$D:$D,0)+COUNTIF($E91:I91,"u")+COUNTIF($E91:I91,"t"),
     INDEX(Roadmap!$D:$K,MATCH($E91,Roadmap!$D:$D,0)+COUNTIF($E91:I91,"u")+COUNTIF($E91:I91,"t")+COUNTIF($E91:I91,"¶")+COUNTIF($E91:I91,"²")+COUNTIF($E91:I91,"µ")+COUNTIF($E91:I91,1),ColTypeEcheance)),
  IF(LEN(I91)=1,
  IF(LEN(INDEX(Roadmap!$D:$K,MATCH($E91,Roadmap!$D:$D,0)-1+COUNTIF($E91:I91,"u")+COUNTIF($E91:I91,"t")+COUNTIF($E91:I91,"¶")+COUNTIF($E91:I91,"²")+COUNTIF($E91:I91,"µ")+COUNTIF($E91:I91,1),ColDescriptionCourte))&gt;1,
HYPERLINK("#Roadmap!C"&amp; MATCH($E91,Roadmap!$D:$D,0)+COUNTIF($E91:I91,"u")+COUNTIF($E91:I91,"t")+COUNTIF($E91:I91,"¶")+COUNTIF($E91:I91,"²")+COUNTIF($E91:I91,"µ")+COUNTIF($E91:I91,1)-1,INDEX(Roadmap!$D:$K,MATCH($E91,Roadmap!$D:$D,0)-1+COUNTIF($E91:I91,"u")+COUNTIF($E91:I91,"t")+COUNTIF($E91:I91,"¶")+COUNTIF($E91:I91,"²")+COUNTIF($E91:I91,"µ")+COUNTIF($E91:I91,1),ColDescriptionCourte)),""),
  "")),"")</f>
        <v/>
      </c>
      <c r="K91" s="40" t="str">
        <f ca="1">IFERROR(IF(AND(
  INDEX(Roadmap!$D:$K,MATCH($E91,Roadmap!$D:$D,0)+COUNTIF($E91:J91,"u")+COUNTIF($E91:J91,"t")+COUNTIF($E91:J91,"¶")+COUNTIF($E91:J91,"²")+COUNTIF($E91:J91,"µ")+COUNTIF($E91:J91,1),ColLivraison)=K$6,
  VLOOKUP($E91,INDIRECT("tri!"&amp; CHAR(64+ C0Col) &amp;":"&amp; CHAR(65+C0Col)),2,FALSE)&gt;COUNTIF($E91:J91,"u")+COUNTIF($E91:J91,"t")+COUNTIF($E91:J91,"¶")+COUNTIF($E91:J91,"²")+COUNTIF($E91:J91,"µ")+COUNTIF($E91:J91,1)),
HYPERLINK("#Roadmap!C"&amp; MATCH($E91,Roadmap!$D:$D,0)+COUNTIF($E91:J91,"u")+COUNTIF($E91:J91,"t"),
     INDEX(Roadmap!$D:$K,MATCH($E91,Roadmap!$D:$D,0)+COUNTIF($E91:J91,"u")+COUNTIF($E91:J91,"t")+COUNTIF($E91:J91,"¶")+COUNTIF($E91:J91,"²")+COUNTIF($E91:J91,"µ")+COUNTIF($E91:J91,1),ColTypeEcheance)),
  IF(LEN(J91)=1,
  IF(LEN(INDEX(Roadmap!$D:$K,MATCH($E91,Roadmap!$D:$D,0)-1+COUNTIF($E91:J91,"u")+COUNTIF($E91:J91,"t")+COUNTIF($E91:J91,"¶")+COUNTIF($E91:J91,"²")+COUNTIF($E91:J91,"µ")+COUNTIF($E91:J91,1),ColDescriptionCourte))&gt;1,
HYPERLINK("#Roadmap!C"&amp; MATCH($E91,Roadmap!$D:$D,0)+COUNTIF($E91:J91,"u")+COUNTIF($E91:J91,"t")+COUNTIF($E91:J91,"¶")+COUNTIF($E91:J91,"²")+COUNTIF($E91:J91,"µ")+COUNTIF($E91:J91,1)-1,INDEX(Roadmap!$D:$K,MATCH($E91,Roadmap!$D:$D,0)-1+COUNTIF($E91:J91,"u")+COUNTIF($E91:J91,"t")+COUNTIF($E91:J91,"¶")+COUNTIF($E91:J91,"²")+COUNTIF($E91:J91,"µ")+COUNTIF($E91:J91,1),ColDescriptionCourte)),""),
  "")),"")</f>
        <v/>
      </c>
      <c r="L91" s="39" t="str">
        <f ca="1">IFERROR(IF(AND(
  INDEX(Roadmap!$D:$K,MATCH($E91,Roadmap!$D:$D,0)+COUNTIF($E91:K91,"u")+COUNTIF($E91:K91,"t")+COUNTIF($E91:K91,"¶")+COUNTIF($E91:K91,"²")+COUNTIF($E91:K91,"µ")+COUNTIF($E91:K91,1),ColLivraison)=L$6,
  VLOOKUP($E91,INDIRECT("tri!"&amp; CHAR(64+ C0Col) &amp;":"&amp; CHAR(65+C0Col)),2,FALSE)&gt;COUNTIF($E91:K91,"u")+COUNTIF($E91:K91,"t")+COUNTIF($E91:K91,"¶")+COUNTIF($E91:K91,"²")+COUNTIF($E91:K91,"µ")+COUNTIF($E91:K91,1)),
HYPERLINK("#Roadmap!C"&amp; MATCH($E91,Roadmap!$D:$D,0)+COUNTIF($E91:K91,"u")+COUNTIF($E91:K91,"t"),
     INDEX(Roadmap!$D:$K,MATCH($E91,Roadmap!$D:$D,0)+COUNTIF($E91:K91,"u")+COUNTIF($E91:K91,"t")+COUNTIF($E91:K91,"¶")+COUNTIF($E91:K91,"²")+COUNTIF($E91:K91,"µ")+COUNTIF($E91:K91,1),ColTypeEcheance)),
  IF(LEN(K91)=1,
  IF(LEN(INDEX(Roadmap!$D:$K,MATCH($E91,Roadmap!$D:$D,0)-1+COUNTIF($E91:K91,"u")+COUNTIF($E91:K91,"t")+COUNTIF($E91:K91,"¶")+COUNTIF($E91:K91,"²")+COUNTIF($E91:K91,"µ")+COUNTIF($E91:K91,1),ColDescriptionCourte))&gt;1,
HYPERLINK("#Roadmap!C"&amp; MATCH($E91,Roadmap!$D:$D,0)+COUNTIF($E91:K91,"u")+COUNTIF($E91:K91,"t")+COUNTIF($E91:K91,"¶")+COUNTIF($E91:K91,"²")+COUNTIF($E91:K91,"µ")+COUNTIF($E91:K91,1)-1,INDEX(Roadmap!$D:$K,MATCH($E91,Roadmap!$D:$D,0)-1+COUNTIF($E91:K91,"u")+COUNTIF($E91:K91,"t")+COUNTIF($E91:K91,"¶")+COUNTIF($E91:K91,"²")+COUNTIF($E91:K91,"µ")+COUNTIF($E91:K91,1),ColDescriptionCourte)),""),
  "")),"")</f>
        <v/>
      </c>
      <c r="M91" s="40" t="str">
        <f ca="1">IFERROR(IF(AND(
  INDEX(Roadmap!$D:$K,MATCH($E91,Roadmap!$D:$D,0)+COUNTIF($E91:L91,"u")+COUNTIF($E91:L91,"t")+COUNTIF($E91:L91,"¶")+COUNTIF($E91:L91,"²")+COUNTIF($E91:L91,"µ")+COUNTIF($E91:L91,1),ColLivraison)=M$6,
  VLOOKUP($E91,INDIRECT("tri!"&amp; CHAR(64+ C0Col) &amp;":"&amp; CHAR(65+C0Col)),2,FALSE)&gt;COUNTIF($E91:L91,"u")+COUNTIF($E91:L91,"t")+COUNTIF($E91:L91,"¶")+COUNTIF($E91:L91,"²")+COUNTIF($E91:L91,"µ")+COUNTIF($E91:L91,1)),
HYPERLINK("#Roadmap!C"&amp; MATCH($E91,Roadmap!$D:$D,0)+COUNTIF($E91:L91,"u")+COUNTIF($E91:L91,"t"),
     INDEX(Roadmap!$D:$K,MATCH($E91,Roadmap!$D:$D,0)+COUNTIF($E91:L91,"u")+COUNTIF($E91:L91,"t")+COUNTIF($E91:L91,"¶")+COUNTIF($E91:L91,"²")+COUNTIF($E91:L91,"µ")+COUNTIF($E91:L91,1),ColTypeEcheance)),
  IF(LEN(L91)=1,
  IF(LEN(INDEX(Roadmap!$D:$K,MATCH($E91,Roadmap!$D:$D,0)-1+COUNTIF($E91:L91,"u")+COUNTIF($E91:L91,"t")+COUNTIF($E91:L91,"¶")+COUNTIF($E91:L91,"²")+COUNTIF($E91:L91,"µ")+COUNTIF($E91:L91,1),ColDescriptionCourte))&gt;1,
HYPERLINK("#Roadmap!C"&amp; MATCH($E91,Roadmap!$D:$D,0)+COUNTIF($E91:L91,"u")+COUNTIF($E91:L91,"t")+COUNTIF($E91:L91,"¶")+COUNTIF($E91:L91,"²")+COUNTIF($E91:L91,"µ")+COUNTIF($E91:L91,1)-1,INDEX(Roadmap!$D:$K,MATCH($E91,Roadmap!$D:$D,0)-1+COUNTIF($E91:L91,"u")+COUNTIF($E91:L91,"t")+COUNTIF($E91:L91,"¶")+COUNTIF($E91:L91,"²")+COUNTIF($E91:L91,"µ")+COUNTIF($E91:L91,1),ColDescriptionCourte)),""),
  "")),"")</f>
        <v/>
      </c>
      <c r="N91" s="40" t="str">
        <f ca="1">IFERROR(IF(AND(
  INDEX(Roadmap!$D:$K,MATCH($E91,Roadmap!$D:$D,0)+COUNTIF($E91:M91,"u")+COUNTIF($E91:M91,"t")+COUNTIF($E91:M91,"¶")+COUNTIF($E91:M91,"²")+COUNTIF($E91:M91,"µ")+COUNTIF($E91:M91,1),ColLivraison)=N$6,
  VLOOKUP($E91,INDIRECT("tri!"&amp; CHAR(64+ C0Col) &amp;":"&amp; CHAR(65+C0Col)),2,FALSE)&gt;COUNTIF($E91:M91,"u")+COUNTIF($E91:M91,"t")+COUNTIF($E91:M91,"¶")+COUNTIF($E91:M91,"²")+COUNTIF($E91:M91,"µ")+COUNTIF($E91:M91,1)),
HYPERLINK("#Roadmap!C"&amp; MATCH($E91,Roadmap!$D:$D,0)+COUNTIF($E91:M91,"u")+COUNTIF($E91:M91,"t"),
     INDEX(Roadmap!$D:$K,MATCH($E91,Roadmap!$D:$D,0)+COUNTIF($E91:M91,"u")+COUNTIF($E91:M91,"t")+COUNTIF($E91:M91,"¶")+COUNTIF($E91:M91,"²")+COUNTIF($E91:M91,"µ")+COUNTIF($E91:M91,1),ColTypeEcheance)),
  IF(LEN(M91)=1,
  IF(LEN(INDEX(Roadmap!$D:$K,MATCH($E91,Roadmap!$D:$D,0)-1+COUNTIF($E91:M91,"u")+COUNTIF($E91:M91,"t")+COUNTIF($E91:M91,"¶")+COUNTIF($E91:M91,"²")+COUNTIF($E91:M91,"µ")+COUNTIF($E91:M91,1),ColDescriptionCourte))&gt;1,
HYPERLINK("#Roadmap!C"&amp; MATCH($E91,Roadmap!$D:$D,0)+COUNTIF($E91:M91,"u")+COUNTIF($E91:M91,"t")+COUNTIF($E91:M91,"¶")+COUNTIF($E91:M91,"²")+COUNTIF($E91:M91,"µ")+COUNTIF($E91:M91,1)-1,INDEX(Roadmap!$D:$K,MATCH($E91,Roadmap!$D:$D,0)-1+COUNTIF($E91:M91,"u")+COUNTIF($E91:M91,"t")+COUNTIF($E91:M91,"¶")+COUNTIF($E91:M91,"²")+COUNTIF($E91:M91,"µ")+COUNTIF($E91:M91,1),ColDescriptionCourte)),""),
  "")),"")</f>
        <v/>
      </c>
      <c r="O91" s="40" t="str">
        <f ca="1">IFERROR(IF(AND(
  INDEX(Roadmap!$D:$K,MATCH($E91,Roadmap!$D:$D,0)+COUNTIF($E91:N91,"u")+COUNTIF($E91:N91,"t")+COUNTIF($E91:N91,"¶")+COUNTIF($E91:N91,"²")+COUNTIF($E91:N91,"µ")+COUNTIF($E91:N91,1),ColLivraison)=O$6,
  VLOOKUP($E91,INDIRECT("tri!"&amp; CHAR(64+ C0Col) &amp;":"&amp; CHAR(65+C0Col)),2,FALSE)&gt;COUNTIF($E91:N91,"u")+COUNTIF($E91:N91,"t")+COUNTIF($E91:N91,"¶")+COUNTIF($E91:N91,"²")+COUNTIF($E91:N91,"µ")+COUNTIF($E91:N91,1)),
HYPERLINK("#Roadmap!C"&amp; MATCH($E91,Roadmap!$D:$D,0)+COUNTIF($E91:N91,"u")+COUNTIF($E91:N91,"t"),
     INDEX(Roadmap!$D:$K,MATCH($E91,Roadmap!$D:$D,0)+COUNTIF($E91:N91,"u")+COUNTIF($E91:N91,"t")+COUNTIF($E91:N91,"¶")+COUNTIF($E91:N91,"²")+COUNTIF($E91:N91,"µ")+COUNTIF($E91:N91,1),ColTypeEcheance)),
  IF(LEN(N91)=1,
  IF(LEN(INDEX(Roadmap!$D:$K,MATCH($E91,Roadmap!$D:$D,0)-1+COUNTIF($E91:N91,"u")+COUNTIF($E91:N91,"t")+COUNTIF($E91:N91,"¶")+COUNTIF($E91:N91,"²")+COUNTIF($E91:N91,"µ")+COUNTIF($E91:N91,1),ColDescriptionCourte))&gt;1,
HYPERLINK("#Roadmap!C"&amp; MATCH($E91,Roadmap!$D:$D,0)+COUNTIF($E91:N91,"u")+COUNTIF($E91:N91,"t")+COUNTIF($E91:N91,"¶")+COUNTIF($E91:N91,"²")+COUNTIF($E91:N91,"µ")+COUNTIF($E91:N91,1)-1,INDEX(Roadmap!$D:$K,MATCH($E91,Roadmap!$D:$D,0)-1+COUNTIF($E91:N91,"u")+COUNTIF($E91:N91,"t")+COUNTIF($E91:N91,"¶")+COUNTIF($E91:N91,"²")+COUNTIF($E91:N91,"µ")+COUNTIF($E91:N91,1),ColDescriptionCourte)),""),
  "")),"")</f>
        <v/>
      </c>
      <c r="P91" s="40" t="str">
        <f ca="1">IFERROR(IF(AND(
  INDEX(Roadmap!$D:$K,MATCH($E91,Roadmap!$D:$D,0)+COUNTIF($E91:O91,"u")+COUNTIF($E91:O91,"t")+COUNTIF($E91:O91,"¶")+COUNTIF($E91:O91,"²")+COUNTIF($E91:O91,"µ")+COUNTIF($E91:O91,1),ColLivraison)=P$6,
  VLOOKUP($E91,INDIRECT("tri!"&amp; CHAR(64+ C0Col) &amp;":"&amp; CHAR(65+C0Col)),2,FALSE)&gt;COUNTIF($E91:O91,"u")+COUNTIF($E91:O91,"t")+COUNTIF($E91:O91,"¶")+COUNTIF($E91:O91,"²")+COUNTIF($E91:O91,"µ")+COUNTIF($E91:O91,1)),
HYPERLINK("#Roadmap!C"&amp; MATCH($E91,Roadmap!$D:$D,0)+COUNTIF($E91:O91,"u")+COUNTIF($E91:O91,"t"),
     INDEX(Roadmap!$D:$K,MATCH($E91,Roadmap!$D:$D,0)+COUNTIF($E91:O91,"u")+COUNTIF($E91:O91,"t")+COUNTIF($E91:O91,"¶")+COUNTIF($E91:O91,"²")+COUNTIF($E91:O91,"µ")+COUNTIF($E91:O91,1),ColTypeEcheance)),
  IF(LEN(O91)=1,
  IF(LEN(INDEX(Roadmap!$D:$K,MATCH($E91,Roadmap!$D:$D,0)-1+COUNTIF($E91:O91,"u")+COUNTIF($E91:O91,"t")+COUNTIF($E91:O91,"¶")+COUNTIF($E91:O91,"²")+COUNTIF($E91:O91,"µ")+COUNTIF($E91:O91,1),ColDescriptionCourte))&gt;1,
HYPERLINK("#Roadmap!C"&amp; MATCH($E91,Roadmap!$D:$D,0)+COUNTIF($E91:O91,"u")+COUNTIF($E91:O91,"t")+COUNTIF($E91:O91,"¶")+COUNTIF($E91:O91,"²")+COUNTIF($E91:O91,"µ")+COUNTIF($E91:O91,1)-1,INDEX(Roadmap!$D:$K,MATCH($E91,Roadmap!$D:$D,0)-1+COUNTIF($E91:O91,"u")+COUNTIF($E91:O91,"t")+COUNTIF($E91:O91,"¶")+COUNTIF($E91:O91,"²")+COUNTIF($E91:O91,"µ")+COUNTIF($E91:O91,1),ColDescriptionCourte)),""),
  "")),"")</f>
        <v/>
      </c>
      <c r="Q91" s="40" t="str">
        <f ca="1">IFERROR(IF(AND(
  INDEX(Roadmap!$D:$K,MATCH($E91,Roadmap!$D:$D,0)+COUNTIF($E91:P91,"u")+COUNTIF($E91:P91,"t")+COUNTIF($E91:P91,"¶")+COUNTIF($E91:P91,"²")+COUNTIF($E91:P91,"µ")+COUNTIF($E91:P91,1),ColLivraison)=Q$6,
  VLOOKUP($E91,INDIRECT("tri!"&amp; CHAR(64+ C0Col) &amp;":"&amp; CHAR(65+C0Col)),2,FALSE)&gt;COUNTIF($E91:P91,"u")+COUNTIF($E91:P91,"t")+COUNTIF($E91:P91,"¶")+COUNTIF($E91:P91,"²")+COUNTIF($E91:P91,"µ")+COUNTIF($E91:P91,1)),
HYPERLINK("#Roadmap!C"&amp; MATCH($E91,Roadmap!$D:$D,0)+COUNTIF($E91:P91,"u")+COUNTIF($E91:P91,"t"),
     INDEX(Roadmap!$D:$K,MATCH($E91,Roadmap!$D:$D,0)+COUNTIF($E91:P91,"u")+COUNTIF($E91:P91,"t")+COUNTIF($E91:P91,"¶")+COUNTIF($E91:P91,"²")+COUNTIF($E91:P91,"µ")+COUNTIF($E91:P91,1),ColTypeEcheance)),
  IF(LEN(P91)=1,
  IF(LEN(INDEX(Roadmap!$D:$K,MATCH($E91,Roadmap!$D:$D,0)-1+COUNTIF($E91:P91,"u")+COUNTIF($E91:P91,"t")+COUNTIF($E91:P91,"¶")+COUNTIF($E91:P91,"²")+COUNTIF($E91:P91,"µ")+COUNTIF($E91:P91,1),ColDescriptionCourte))&gt;1,
HYPERLINK("#Roadmap!C"&amp; MATCH($E91,Roadmap!$D:$D,0)+COUNTIF($E91:P91,"u")+COUNTIF($E91:P91,"t")+COUNTIF($E91:P91,"¶")+COUNTIF($E91:P91,"²")+COUNTIF($E91:P91,"µ")+COUNTIF($E91:P91,1)-1,INDEX(Roadmap!$D:$K,MATCH($E91,Roadmap!$D:$D,0)-1+COUNTIF($E91:P91,"u")+COUNTIF($E91:P91,"t")+COUNTIF($E91:P91,"¶")+COUNTIF($E91:P91,"²")+COUNTIF($E91:P91,"µ")+COUNTIF($E91:P91,1),ColDescriptionCourte)),""),
  "")),"")</f>
        <v/>
      </c>
      <c r="R91" s="40" t="str">
        <f ca="1">IFERROR(IF(AND(
  INDEX(Roadmap!$D:$K,MATCH($E91,Roadmap!$D:$D,0)+COUNTIF($E91:Q91,"u")+COUNTIF($E91:Q91,"t")+COUNTIF($E91:Q91,"¶")+COUNTIF($E91:Q91,"²")+COUNTIF($E91:Q91,"µ")+COUNTIF($E91:Q91,1),ColLivraison)=R$6,
  VLOOKUP($E91,INDIRECT("tri!"&amp; CHAR(64+ C0Col) &amp;":"&amp; CHAR(65+C0Col)),2,FALSE)&gt;COUNTIF($E91:Q91,"u")+COUNTIF($E91:Q91,"t")+COUNTIF($E91:Q91,"¶")+COUNTIF($E91:Q91,"²")+COUNTIF($E91:Q91,"µ")+COUNTIF($E91:Q91,1)),
HYPERLINK("#Roadmap!C"&amp; MATCH($E91,Roadmap!$D:$D,0)+COUNTIF($E91:Q91,"u")+COUNTIF($E91:Q91,"t"),
     INDEX(Roadmap!$D:$K,MATCH($E91,Roadmap!$D:$D,0)+COUNTIF($E91:Q91,"u")+COUNTIF($E91:Q91,"t")+COUNTIF($E91:Q91,"¶")+COUNTIF($E91:Q91,"²")+COUNTIF($E91:Q91,"µ")+COUNTIF($E91:Q91,1),ColTypeEcheance)),
  IF(LEN(Q91)=1,
  IF(LEN(INDEX(Roadmap!$D:$K,MATCH($E91,Roadmap!$D:$D,0)-1+COUNTIF($E91:Q91,"u")+COUNTIF($E91:Q91,"t")+COUNTIF($E91:Q91,"¶")+COUNTIF($E91:Q91,"²")+COUNTIF($E91:Q91,"µ")+COUNTIF($E91:Q91,1),ColDescriptionCourte))&gt;1,
HYPERLINK("#Roadmap!C"&amp; MATCH($E91,Roadmap!$D:$D,0)+COUNTIF($E91:Q91,"u")+COUNTIF($E91:Q91,"t")+COUNTIF($E91:Q91,"¶")+COUNTIF($E91:Q91,"²")+COUNTIF($E91:Q91,"µ")+COUNTIF($E91:Q91,1)-1,INDEX(Roadmap!$D:$K,MATCH($E91,Roadmap!$D:$D,0)-1+COUNTIF($E91:Q91,"u")+COUNTIF($E91:Q91,"t")+COUNTIF($E91:Q91,"¶")+COUNTIF($E91:Q91,"²")+COUNTIF($E91:Q91,"µ")+COUNTIF($E91:Q91,1),ColDescriptionCourte)),""),
  "")),"")</f>
        <v/>
      </c>
      <c r="S91" s="40" t="str">
        <f ca="1">IFERROR(IF(AND(
  INDEX(Roadmap!$D:$K,MATCH($E91,Roadmap!$D:$D,0)+COUNTIF($E91:R91,"u")+COUNTIF($E91:R91,"t")+COUNTIF($E91:R91,"¶")+COUNTIF($E91:R91,"²")+COUNTIF($E91:R91,"µ")+COUNTIF($E91:R91,1),ColLivraison)=S$6,
  VLOOKUP($E91,INDIRECT("tri!"&amp; CHAR(64+ C0Col) &amp;":"&amp; CHAR(65+C0Col)),2,FALSE)&gt;COUNTIF($E91:R91,"u")+COUNTIF($E91:R91,"t")+COUNTIF($E91:R91,"¶")+COUNTIF($E91:R91,"²")+COUNTIF($E91:R91,"µ")+COUNTIF($E91:R91,1)),
HYPERLINK("#Roadmap!C"&amp; MATCH($E91,Roadmap!$D:$D,0)+COUNTIF($E91:R91,"u")+COUNTIF($E91:R91,"t"),
     INDEX(Roadmap!$D:$K,MATCH($E91,Roadmap!$D:$D,0)+COUNTIF($E91:R91,"u")+COUNTIF($E91:R91,"t")+COUNTIF($E91:R91,"¶")+COUNTIF($E91:R91,"²")+COUNTIF($E91:R91,"µ")+COUNTIF($E91:R91,1),ColTypeEcheance)),
  IF(LEN(R91)=1,
  IF(LEN(INDEX(Roadmap!$D:$K,MATCH($E91,Roadmap!$D:$D,0)-1+COUNTIF($E91:R91,"u")+COUNTIF($E91:R91,"t")+COUNTIF($E91:R91,"¶")+COUNTIF($E91:R91,"²")+COUNTIF($E91:R91,"µ")+COUNTIF($E91:R91,1),ColDescriptionCourte))&gt;1,
HYPERLINK("#Roadmap!C"&amp; MATCH($E91,Roadmap!$D:$D,0)+COUNTIF($E91:R91,"u")+COUNTIF($E91:R91,"t")+COUNTIF($E91:R91,"¶")+COUNTIF($E91:R91,"²")+COUNTIF($E91:R91,"µ")+COUNTIF($E91:R91,1)-1,INDEX(Roadmap!$D:$K,MATCH($E91,Roadmap!$D:$D,0)-1+COUNTIF($E91:R91,"u")+COUNTIF($E91:R91,"t")+COUNTIF($E91:R91,"¶")+COUNTIF($E91:R91,"²")+COUNTIF($E91:R91,"µ")+COUNTIF($E91:R91,1),ColDescriptionCourte)),""),
  "")),"")</f>
        <v/>
      </c>
      <c r="T91" s="40" t="str">
        <f ca="1">IFERROR(IF(AND(
  INDEX(Roadmap!$D:$K,MATCH($E91,Roadmap!$D:$D,0)+COUNTIF($E91:S91,"u")+COUNTIF($E91:S91,"t")+COUNTIF($E91:S91,"¶")+COUNTIF($E91:S91,"²")+COUNTIF($E91:S91,"µ")+COUNTIF($E91:S91,1),ColLivraison)=T$6,
  VLOOKUP($E91,INDIRECT("tri!"&amp; CHAR(64+ C0Col) &amp;":"&amp; CHAR(65+C0Col)),2,FALSE)&gt;COUNTIF($E91:S91,"u")+COUNTIF($E91:S91,"t")+COUNTIF($E91:S91,"¶")+COUNTIF($E91:S91,"²")+COUNTIF($E91:S91,"µ")+COUNTIF($E91:S91,1)),
HYPERLINK("#Roadmap!C"&amp; MATCH($E91,Roadmap!$D:$D,0)+COUNTIF($E91:S91,"u")+COUNTIF($E91:S91,"t"),
     INDEX(Roadmap!$D:$K,MATCH($E91,Roadmap!$D:$D,0)+COUNTIF($E91:S91,"u")+COUNTIF($E91:S91,"t")+COUNTIF($E91:S91,"¶")+COUNTIF($E91:S91,"²")+COUNTIF($E91:S91,"µ")+COUNTIF($E91:S91,1),ColTypeEcheance)),
  IF(LEN(S91)=1,
  IF(LEN(INDEX(Roadmap!$D:$K,MATCH($E91,Roadmap!$D:$D,0)-1+COUNTIF($E91:S91,"u")+COUNTIF($E91:S91,"t")+COUNTIF($E91:S91,"¶")+COUNTIF($E91:S91,"²")+COUNTIF($E91:S91,"µ")+COUNTIF($E91:S91,1),ColDescriptionCourte))&gt;1,
HYPERLINK("#Roadmap!C"&amp; MATCH($E91,Roadmap!$D:$D,0)+COUNTIF($E91:S91,"u")+COUNTIF($E91:S91,"t")+COUNTIF($E91:S91,"¶")+COUNTIF($E91:S91,"²")+COUNTIF($E91:S91,"µ")+COUNTIF($E91:S91,1)-1,INDEX(Roadmap!$D:$K,MATCH($E91,Roadmap!$D:$D,0)-1+COUNTIF($E91:S91,"u")+COUNTIF($E91:S91,"t")+COUNTIF($E91:S91,"¶")+COUNTIF($E91:S91,"²")+COUNTIF($E91:S91,"µ")+COUNTIF($E91:S91,1),ColDescriptionCourte)),""),
  "")),"")</f>
        <v/>
      </c>
      <c r="U91" s="40" t="str">
        <f ca="1">IFERROR(IF(AND(
  INDEX(Roadmap!$D:$K,MATCH($E91,Roadmap!$D:$D,0)+COUNTIF($E91:T91,"u")+COUNTIF($E91:T91,"t")+COUNTIF($E91:T91,"¶")+COUNTIF($E91:T91,"²")+COUNTIF($E91:T91,"µ")+COUNTIF($E91:T91,1),ColLivraison)=U$6,
  VLOOKUP($E91,INDIRECT("tri!"&amp; CHAR(64+ C0Col) &amp;":"&amp; CHAR(65+C0Col)),2,FALSE)&gt;COUNTIF($E91:T91,"u")+COUNTIF($E91:T91,"t")+COUNTIF($E91:T91,"¶")+COUNTIF($E91:T91,"²")+COUNTIF($E91:T91,"µ")+COUNTIF($E91:T91,1)),
HYPERLINK("#Roadmap!C"&amp; MATCH($E91,Roadmap!$D:$D,0)+COUNTIF($E91:T91,"u")+COUNTIF($E91:T91,"t"),
     INDEX(Roadmap!$D:$K,MATCH($E91,Roadmap!$D:$D,0)+COUNTIF($E91:T91,"u")+COUNTIF($E91:T91,"t")+COUNTIF($E91:T91,"¶")+COUNTIF($E91:T91,"²")+COUNTIF($E91:T91,"µ")+COUNTIF($E91:T91,1),ColTypeEcheance)),
  IF(LEN(T91)=1,
  IF(LEN(INDEX(Roadmap!$D:$K,MATCH($E91,Roadmap!$D:$D,0)-1+COUNTIF($E91:T91,"u")+COUNTIF($E91:T91,"t")+COUNTIF($E91:T91,"¶")+COUNTIF($E91:T91,"²")+COUNTIF($E91:T91,"µ")+COUNTIF($E91:T91,1),ColDescriptionCourte))&gt;1,
HYPERLINK("#Roadmap!C"&amp; MATCH($E91,Roadmap!$D:$D,0)+COUNTIF($E91:T91,"u")+COUNTIF($E91:T91,"t")+COUNTIF($E91:T91,"¶")+COUNTIF($E91:T91,"²")+COUNTIF($E91:T91,"µ")+COUNTIF($E91:T91,1)-1,INDEX(Roadmap!$D:$K,MATCH($E91,Roadmap!$D:$D,0)-1+COUNTIF($E91:T91,"u")+COUNTIF($E91:T91,"t")+COUNTIF($E91:T91,"¶")+COUNTIF($E91:T91,"²")+COUNTIF($E91:T91,"µ")+COUNTIF($E91:T91,1),ColDescriptionCourte)),""),
  "")),"")</f>
        <v/>
      </c>
      <c r="V91" s="40" t="str">
        <f ca="1">IFERROR(IF(AND(
  INDEX(Roadmap!$D:$K,MATCH($E91,Roadmap!$D:$D,0)+COUNTIF($E91:U91,"u")+COUNTIF($E91:U91,"t")+COUNTIF($E91:U91,"¶")+COUNTIF($E91:U91,"²")+COUNTIF($E91:U91,"µ")+COUNTIF($E91:U91,1),ColLivraison)=V$6,
  VLOOKUP($E91,INDIRECT("tri!"&amp; CHAR(64+ C0Col) &amp;":"&amp; CHAR(65+C0Col)),2,FALSE)&gt;COUNTIF($E91:U91,"u")+COUNTIF($E91:U91,"t")+COUNTIF($E91:U91,"¶")+COUNTIF($E91:U91,"²")+COUNTIF($E91:U91,"µ")+COUNTIF($E91:U91,1)),
HYPERLINK("#Roadmap!C"&amp; MATCH($E91,Roadmap!$D:$D,0)+COUNTIF($E91:U91,"u")+COUNTIF($E91:U91,"t"),
     INDEX(Roadmap!$D:$K,MATCH($E91,Roadmap!$D:$D,0)+COUNTIF($E91:U91,"u")+COUNTIF($E91:U91,"t")+COUNTIF($E91:U91,"¶")+COUNTIF($E91:U91,"²")+COUNTIF($E91:U91,"µ")+COUNTIF($E91:U91,1),ColTypeEcheance)),
  IF(LEN(U91)=1,
  IF(LEN(INDEX(Roadmap!$D:$K,MATCH($E91,Roadmap!$D:$D,0)-1+COUNTIF($E91:U91,"u")+COUNTIF($E91:U91,"t")+COUNTIF($E91:U91,"¶")+COUNTIF($E91:U91,"²")+COUNTIF($E91:U91,"µ")+COUNTIF($E91:U91,1),ColDescriptionCourte))&gt;1,
HYPERLINK("#Roadmap!C"&amp; MATCH($E91,Roadmap!$D:$D,0)+COUNTIF($E91:U91,"u")+COUNTIF($E91:U91,"t")+COUNTIF($E91:U91,"¶")+COUNTIF($E91:U91,"²")+COUNTIF($E91:U91,"µ")+COUNTIF($E91:U91,1)-1,INDEX(Roadmap!$D:$K,MATCH($E91,Roadmap!$D:$D,0)-1+COUNTIF($E91:U91,"u")+COUNTIF($E91:U91,"t")+COUNTIF($E91:U91,"¶")+COUNTIF($E91:U91,"²")+COUNTIF($E91:U91,"µ")+COUNTIF($E91:U91,1),ColDescriptionCourte)),""),
  "")),"")</f>
        <v/>
      </c>
      <c r="W91" s="40" t="str">
        <f ca="1">IFERROR(IF(AND(
  INDEX(Roadmap!$D:$K,MATCH($E91,Roadmap!$D:$D,0)+COUNTIF($E91:V91,"u")+COUNTIF($E91:V91,"t")+COUNTIF($E91:V91,"¶")+COUNTIF($E91:V91,"²")+COUNTIF($E91:V91,"µ")+COUNTIF($E91:V91,1),ColLivraison)=W$6,
  VLOOKUP($E91,INDIRECT("tri!"&amp; CHAR(64+ C0Col) &amp;":"&amp; CHAR(65+C0Col)),2,FALSE)&gt;COUNTIF($E91:V91,"u")+COUNTIF($E91:V91,"t")+COUNTIF($E91:V91,"¶")+COUNTIF($E91:V91,"²")+COUNTIF($E91:V91,"µ")+COUNTIF($E91:V91,1)),
HYPERLINK("#Roadmap!C"&amp; MATCH($E91,Roadmap!$D:$D,0)+COUNTIF($E91:V91,"u")+COUNTIF($E91:V91,"t"),
     INDEX(Roadmap!$D:$K,MATCH($E91,Roadmap!$D:$D,0)+COUNTIF($E91:V91,"u")+COUNTIF($E91:V91,"t")+COUNTIF($E91:V91,"¶")+COUNTIF($E91:V91,"²")+COUNTIF($E91:V91,"µ")+COUNTIF($E91:V91,1),ColTypeEcheance)),
  IF(LEN(V91)=1,
  IF(LEN(INDEX(Roadmap!$D:$K,MATCH($E91,Roadmap!$D:$D,0)-1+COUNTIF($E91:V91,"u")+COUNTIF($E91:V91,"t")+COUNTIF($E91:V91,"¶")+COUNTIF($E91:V91,"²")+COUNTIF($E91:V91,"µ")+COUNTIF($E91:V91,1),ColDescriptionCourte))&gt;1,
HYPERLINK("#Roadmap!C"&amp; MATCH($E91,Roadmap!$D:$D,0)+COUNTIF($E91:V91,"u")+COUNTIF($E91:V91,"t")+COUNTIF($E91:V91,"¶")+COUNTIF($E91:V91,"²")+COUNTIF($E91:V91,"µ")+COUNTIF($E91:V91,1)-1,INDEX(Roadmap!$D:$K,MATCH($E91,Roadmap!$D:$D,0)-1+COUNTIF($E91:V91,"u")+COUNTIF($E91:V91,"t")+COUNTIF($E91:V91,"¶")+COUNTIF($E91:V91,"²")+COUNTIF($E91:V91,"µ")+COUNTIF($E91:V91,1),ColDescriptionCourte)),""),
  "")),"")</f>
        <v/>
      </c>
      <c r="X91" s="40" t="str">
        <f ca="1">IFERROR(IF(AND(
  INDEX(Roadmap!$D:$K,MATCH($E91,Roadmap!$D:$D,0)+COUNTIF($E91:W91,"u")+COUNTIF($E91:W91,"t")+COUNTIF($E91:W91,"¶")+COUNTIF($E91:W91,"²")+COUNTIF($E91:W91,"µ")+COUNTIF($E91:W91,1),ColLivraison)=X$6,
  VLOOKUP($E91,INDIRECT("tri!"&amp; CHAR(64+ C0Col) &amp;":"&amp; CHAR(65+C0Col)),2,FALSE)&gt;COUNTIF($E91:W91,"u")+COUNTIF($E91:W91,"t")+COUNTIF($E91:W91,"¶")+COUNTIF($E91:W91,"²")+COUNTIF($E91:W91,"µ")+COUNTIF($E91:W91,1)),
HYPERLINK("#Roadmap!C"&amp; MATCH($E91,Roadmap!$D:$D,0)+COUNTIF($E91:W91,"u")+COUNTIF($E91:W91,"t"),
     INDEX(Roadmap!$D:$K,MATCH($E91,Roadmap!$D:$D,0)+COUNTIF($E91:W91,"u")+COUNTIF($E91:W91,"t")+COUNTIF($E91:W91,"¶")+COUNTIF($E91:W91,"²")+COUNTIF($E91:W91,"µ")+COUNTIF($E91:W91,1),ColTypeEcheance)),
  IF(LEN(W91)=1,
  IF(LEN(INDEX(Roadmap!$D:$K,MATCH($E91,Roadmap!$D:$D,0)-1+COUNTIF($E91:W91,"u")+COUNTIF($E91:W91,"t")+COUNTIF($E91:W91,"¶")+COUNTIF($E91:W91,"²")+COUNTIF($E91:W91,"µ")+COUNTIF($E91:W91,1),ColDescriptionCourte))&gt;1,
HYPERLINK("#Roadmap!C"&amp; MATCH($E91,Roadmap!$D:$D,0)+COUNTIF($E91:W91,"u")+COUNTIF($E91:W91,"t")+COUNTIF($E91:W91,"¶")+COUNTIF($E91:W91,"²")+COUNTIF($E91:W91,"µ")+COUNTIF($E91:W91,1)-1,INDEX(Roadmap!$D:$K,MATCH($E91,Roadmap!$D:$D,0)-1+COUNTIF($E91:W91,"u")+COUNTIF($E91:W91,"t")+COUNTIF($E91:W91,"¶")+COUNTIF($E91:W91,"²")+COUNTIF($E91:W91,"µ")+COUNTIF($E91:W91,1),ColDescriptionCourte)),""),
  "")),"")</f>
        <v/>
      </c>
      <c r="Y91" s="40" t="str">
        <f ca="1">IFERROR(IF(AND(
  INDEX(Roadmap!$D:$K,MATCH($E91,Roadmap!$D:$D,0)+COUNTIF($E91:X91,"u")+COUNTIF($E91:X91,"t")+COUNTIF($E91:X91,"¶")+COUNTIF($E91:X91,"²")+COUNTIF($E91:X91,"µ")+COUNTIF($E91:X91,1),ColLivraison)=Y$6,
  VLOOKUP($E91,INDIRECT("tri!"&amp; CHAR(64+ C0Col) &amp;":"&amp; CHAR(65+C0Col)),2,FALSE)&gt;COUNTIF($E91:X91,"u")+COUNTIF($E91:X91,"t")+COUNTIF($E91:X91,"¶")+COUNTIF($E91:X91,"²")+COUNTIF($E91:X91,"µ")+COUNTIF($E91:X91,1)),
HYPERLINK("#Roadmap!C"&amp; MATCH($E91,Roadmap!$D:$D,0)+COUNTIF($E91:X91,"u")+COUNTIF($E91:X91,"t"),
     INDEX(Roadmap!$D:$K,MATCH($E91,Roadmap!$D:$D,0)+COUNTIF($E91:X91,"u")+COUNTIF($E91:X91,"t")+COUNTIF($E91:X91,"¶")+COUNTIF($E91:X91,"²")+COUNTIF($E91:X91,"µ")+COUNTIF($E91:X91,1),ColTypeEcheance)),
  IF(LEN(X91)=1,
  IF(LEN(INDEX(Roadmap!$D:$K,MATCH($E91,Roadmap!$D:$D,0)-1+COUNTIF($E91:X91,"u")+COUNTIF($E91:X91,"t")+COUNTIF($E91:X91,"¶")+COUNTIF($E91:X91,"²")+COUNTIF($E91:X91,"µ")+COUNTIF($E91:X91,1),ColDescriptionCourte))&gt;1,
HYPERLINK("#Roadmap!C"&amp; MATCH($E91,Roadmap!$D:$D,0)+COUNTIF($E91:X91,"u")+COUNTIF($E91:X91,"t")+COUNTIF($E91:X91,"¶")+COUNTIF($E91:X91,"²")+COUNTIF($E91:X91,"µ")+COUNTIF($E91:X91,1)-1,INDEX(Roadmap!$D:$K,MATCH($E91,Roadmap!$D:$D,0)-1+COUNTIF($E91:X91,"u")+COUNTIF($E91:X91,"t")+COUNTIF($E91:X91,"¶")+COUNTIF($E91:X91,"²")+COUNTIF($E91:X91,"µ")+COUNTIF($E91:X91,1),ColDescriptionCourte)),""),
  "")),"")</f>
        <v/>
      </c>
      <c r="Z91" s="40" t="str">
        <f ca="1">IFERROR(IF(AND(
  INDEX(Roadmap!$D:$K,MATCH($E91,Roadmap!$D:$D,0)+COUNTIF($E91:Y91,"u")+COUNTIF($E91:Y91,"t")+COUNTIF($E91:Y91,"¶")+COUNTIF($E91:Y91,"²")+COUNTIF($E91:Y91,"µ")+COUNTIF($E91:Y91,1),ColLivraison)=Z$6,
  VLOOKUP($E91,INDIRECT("tri!"&amp; CHAR(64+ C0Col) &amp;":"&amp; CHAR(65+C0Col)),2,FALSE)&gt;COUNTIF($E91:Y91,"u")+COUNTIF($E91:Y91,"t")+COUNTIF($E91:Y91,"¶")+COUNTIF($E91:Y91,"²")+COUNTIF($E91:Y91,"µ")+COUNTIF($E91:Y91,1)),
HYPERLINK("#Roadmap!C"&amp; MATCH($E91,Roadmap!$D:$D,0)+COUNTIF($E91:Y91,"u")+COUNTIF($E91:Y91,"t"),
     INDEX(Roadmap!$D:$K,MATCH($E91,Roadmap!$D:$D,0)+COUNTIF($E91:Y91,"u")+COUNTIF($E91:Y91,"t")+COUNTIF($E91:Y91,"¶")+COUNTIF($E91:Y91,"²")+COUNTIF($E91:Y91,"µ")+COUNTIF($E91:Y91,1),ColTypeEcheance)),
  IF(LEN(Y91)=1,
  IF(LEN(INDEX(Roadmap!$D:$K,MATCH($E91,Roadmap!$D:$D,0)-1+COUNTIF($E91:Y91,"u")+COUNTIF($E91:Y91,"t")+COUNTIF($E91:Y91,"¶")+COUNTIF($E91:Y91,"²")+COUNTIF($E91:Y91,"µ")+COUNTIF($E91:Y91,1),ColDescriptionCourte))&gt;1,
HYPERLINK("#Roadmap!C"&amp; MATCH($E91,Roadmap!$D:$D,0)+COUNTIF($E91:Y91,"u")+COUNTIF($E91:Y91,"t")+COUNTIF($E91:Y91,"¶")+COUNTIF($E91:Y91,"²")+COUNTIF($E91:Y91,"µ")+COUNTIF($E91:Y91,1)-1,INDEX(Roadmap!$D:$K,MATCH($E91,Roadmap!$D:$D,0)-1+COUNTIF($E91:Y91,"u")+COUNTIF($E91:Y91,"t")+COUNTIF($E91:Y91,"¶")+COUNTIF($E91:Y91,"²")+COUNTIF($E91:Y91,"µ")+COUNTIF($E91:Y91,1),ColDescriptionCourte)),""),
  "")),"")</f>
        <v/>
      </c>
      <c r="AA91" s="40" t="str">
        <f ca="1">IFERROR(IF(AND(
  INDEX(Roadmap!$D:$K,MATCH($E91,Roadmap!$D:$D,0)+COUNTIF($E91:Z91,"u")+COUNTIF($E91:Z91,"t")+COUNTIF($E91:Z91,"¶")+COUNTIF($E91:Z91,"²")+COUNTIF($E91:Z91,"µ")+COUNTIF($E91:Z91,1),ColLivraison)=AA$6,
  VLOOKUP($E91,INDIRECT("tri!"&amp; CHAR(64+ C0Col) &amp;":"&amp; CHAR(65+C0Col)),2,FALSE)&gt;COUNTIF($E91:Z91,"u")+COUNTIF($E91:Z91,"t")+COUNTIF($E91:Z91,"¶")+COUNTIF($E91:Z91,"²")+COUNTIF($E91:Z91,"µ")+COUNTIF($E91:Z91,1)),
HYPERLINK("#Roadmap!C"&amp; MATCH($E91,Roadmap!$D:$D,0)+COUNTIF($E91:Z91,"u")+COUNTIF($E91:Z91,"t"),
     INDEX(Roadmap!$D:$K,MATCH($E91,Roadmap!$D:$D,0)+COUNTIF($E91:Z91,"u")+COUNTIF($E91:Z91,"t")+COUNTIF($E91:Z91,"¶")+COUNTIF($E91:Z91,"²")+COUNTIF($E91:Z91,"µ")+COUNTIF($E91:Z91,1),ColTypeEcheance)),
  IF(LEN(Z91)=1,
  IF(LEN(INDEX(Roadmap!$D:$K,MATCH($E91,Roadmap!$D:$D,0)-1+COUNTIF($E91:Z91,"u")+COUNTIF($E91:Z91,"t")+COUNTIF($E91:Z91,"¶")+COUNTIF($E91:Z91,"²")+COUNTIF($E91:Z91,"µ")+COUNTIF($E91:Z91,1),ColDescriptionCourte))&gt;1,
HYPERLINK("#Roadmap!C"&amp; MATCH($E91,Roadmap!$D:$D,0)+COUNTIF($E91:Z91,"u")+COUNTIF($E91:Z91,"t")+COUNTIF($E91:Z91,"¶")+COUNTIF($E91:Z91,"²")+COUNTIF($E91:Z91,"µ")+COUNTIF($E91:Z91,1)-1,INDEX(Roadmap!$D:$K,MATCH($E91,Roadmap!$D:$D,0)-1+COUNTIF($E91:Z91,"u")+COUNTIF($E91:Z91,"t")+COUNTIF($E91:Z91,"¶")+COUNTIF($E91:Z91,"²")+COUNTIF($E91:Z91,"µ")+COUNTIF($E91:Z91,1),ColDescriptionCourte)),""),
  "")),"")</f>
        <v/>
      </c>
      <c r="AB91" s="40" t="str">
        <f ca="1">IFERROR(IF(AND(
  INDEX(Roadmap!$D:$K,MATCH($E91,Roadmap!$D:$D,0)+COUNTIF($E91:AA91,"u")+COUNTIF($E91:AA91,"t")+COUNTIF($E91:AA91,"¶")+COUNTIF($E91:AA91,"²")+COUNTIF($E91:AA91,"µ")+COUNTIF($E91:AA91,1),ColLivraison)=AB$6,
  VLOOKUP($E91,INDIRECT("tri!"&amp; CHAR(64+ C0Col) &amp;":"&amp; CHAR(65+C0Col)),2,FALSE)&gt;COUNTIF($E91:AA91,"u")+COUNTIF($E91:AA91,"t")+COUNTIF($E91:AA91,"¶")+COUNTIF($E91:AA91,"²")+COUNTIF($E91:AA91,"µ")+COUNTIF($E91:AA91,1)),
HYPERLINK("#Roadmap!C"&amp; MATCH($E91,Roadmap!$D:$D,0)+COUNTIF($E91:AA91,"u")+COUNTIF($E91:AA91,"t"),
     INDEX(Roadmap!$D:$K,MATCH($E91,Roadmap!$D:$D,0)+COUNTIF($E91:AA91,"u")+COUNTIF($E91:AA91,"t")+COUNTIF($E91:AA91,"¶")+COUNTIF($E91:AA91,"²")+COUNTIF($E91:AA91,"µ")+COUNTIF($E91:AA91,1),ColTypeEcheance)),
  IF(LEN(AA91)=1,
  IF(LEN(INDEX(Roadmap!$D:$K,MATCH($E91,Roadmap!$D:$D,0)-1+COUNTIF($E91:AA91,"u")+COUNTIF($E91:AA91,"t")+COUNTIF($E91:AA91,"¶")+COUNTIF($E91:AA91,"²")+COUNTIF($E91:AA91,"µ")+COUNTIF($E91:AA91,1),ColDescriptionCourte))&gt;1,
HYPERLINK("#Roadmap!C"&amp; MATCH($E91,Roadmap!$D:$D,0)+COUNTIF($E91:AA91,"u")+COUNTIF($E91:AA91,"t")+COUNTIF($E91:AA91,"¶")+COUNTIF($E91:AA91,"²")+COUNTIF($E91:AA91,"µ")+COUNTIF($E91:AA91,1)-1,INDEX(Roadmap!$D:$K,MATCH($E91,Roadmap!$D:$D,0)-1+COUNTIF($E91:AA91,"u")+COUNTIF($E91:AA91,"t")+COUNTIF($E91:AA91,"¶")+COUNTIF($E91:AA91,"²")+COUNTIF($E91:AA91,"µ")+COUNTIF($E91:AA91,1),ColDescriptionCourte)),""),
  "")),"")</f>
        <v/>
      </c>
      <c r="AC91" s="40" t="str">
        <f ca="1">IFERROR(IF(AND(
  INDEX(Roadmap!$D:$K,MATCH($E91,Roadmap!$D:$D,0)+COUNTIF($E91:AB91,"u")+COUNTIF($E91:AB91,"t")+COUNTIF($E91:AB91,"¶")+COUNTIF($E91:AB91,"²")+COUNTIF($E91:AB91,"µ")+COUNTIF($E91:AB91,1),ColLivraison)=AC$6,
  VLOOKUP($E91,INDIRECT("tri!"&amp; CHAR(64+ C0Col) &amp;":"&amp; CHAR(65+C0Col)),2,FALSE)&gt;COUNTIF($E91:AB91,"u")+COUNTIF($E91:AB91,"t")+COUNTIF($E91:AB91,"¶")+COUNTIF($E91:AB91,"²")+COUNTIF($E91:AB91,"µ")+COUNTIF($E91:AB91,1)),
HYPERLINK("#Roadmap!C"&amp; MATCH($E91,Roadmap!$D:$D,0)+COUNTIF($E91:AB91,"u")+COUNTIF($E91:AB91,"t"),
     INDEX(Roadmap!$D:$K,MATCH($E91,Roadmap!$D:$D,0)+COUNTIF($E91:AB91,"u")+COUNTIF($E91:AB91,"t")+COUNTIF($E91:AB91,"¶")+COUNTIF($E91:AB91,"²")+COUNTIF($E91:AB91,"µ")+COUNTIF($E91:AB91,1),ColTypeEcheance)),
  IF(LEN(AB91)=1,
  IF(LEN(INDEX(Roadmap!$D:$K,MATCH($E91,Roadmap!$D:$D,0)-1+COUNTIF($E91:AB91,"u")+COUNTIF($E91:AB91,"t")+COUNTIF($E91:AB91,"¶")+COUNTIF($E91:AB91,"²")+COUNTIF($E91:AB91,"µ")+COUNTIF($E91:AB91,1),ColDescriptionCourte))&gt;1,
HYPERLINK("#Roadmap!C"&amp; MATCH($E91,Roadmap!$D:$D,0)+COUNTIF($E91:AB91,"u")+COUNTIF($E91:AB91,"t")+COUNTIF($E91:AB91,"¶")+COUNTIF($E91:AB91,"²")+COUNTIF($E91:AB91,"µ")+COUNTIF($E91:AB91,1)-1,INDEX(Roadmap!$D:$K,MATCH($E91,Roadmap!$D:$D,0)-1+COUNTIF($E91:AB91,"u")+COUNTIF($E91:AB91,"t")+COUNTIF($E91:AB91,"¶")+COUNTIF($E91:AB91,"²")+COUNTIF($E91:AB91,"µ")+COUNTIF($E91:AB91,1),ColDescriptionCourte)),""),
  "")),"")</f>
        <v/>
      </c>
      <c r="AD91" s="40" t="str">
        <f ca="1">IFERROR(IF(AND(
  INDEX(Roadmap!$D:$K,MATCH($E91,Roadmap!$D:$D,0)+COUNTIF($E91:AC91,"u")+COUNTIF($E91:AC91,"t")+COUNTIF($E91:AC91,"¶")+COUNTIF($E91:AC91,"²")+COUNTIF($E91:AC91,"µ")+COUNTIF($E91:AC91,1),ColLivraison)=AD$6,
  VLOOKUP($E91,INDIRECT("tri!"&amp; CHAR(64+ C0Col) &amp;":"&amp; CHAR(65+C0Col)),2,FALSE)&gt;COUNTIF($E91:AC91,"u")+COUNTIF($E91:AC91,"t")+COUNTIF($E91:AC91,"¶")+COUNTIF($E91:AC91,"²")+COUNTIF($E91:AC91,"µ")+COUNTIF($E91:AC91,1)),
HYPERLINK("#Roadmap!C"&amp; MATCH($E91,Roadmap!$D:$D,0)+COUNTIF($E91:AC91,"u")+COUNTIF($E91:AC91,"t"),
     INDEX(Roadmap!$D:$K,MATCH($E91,Roadmap!$D:$D,0)+COUNTIF($E91:AC91,"u")+COUNTIF($E91:AC91,"t")+COUNTIF($E91:AC91,"¶")+COUNTIF($E91:AC91,"²")+COUNTIF($E91:AC91,"µ")+COUNTIF($E91:AC91,1),ColTypeEcheance)),
  IF(LEN(AC91)=1,
  IF(LEN(INDEX(Roadmap!$D:$K,MATCH($E91,Roadmap!$D:$D,0)-1+COUNTIF($E91:AC91,"u")+COUNTIF($E91:AC91,"t")+COUNTIF($E91:AC91,"¶")+COUNTIF($E91:AC91,"²")+COUNTIF($E91:AC91,"µ")+COUNTIF($E91:AC91,1),ColDescriptionCourte))&gt;1,
HYPERLINK("#Roadmap!C"&amp; MATCH($E91,Roadmap!$D:$D,0)+COUNTIF($E91:AC91,"u")+COUNTIF($E91:AC91,"t")+COUNTIF($E91:AC91,"¶")+COUNTIF($E91:AC91,"²")+COUNTIF($E91:AC91,"µ")+COUNTIF($E91:AC91,1)-1,INDEX(Roadmap!$D:$K,MATCH($E91,Roadmap!$D:$D,0)-1+COUNTIF($E91:AC91,"u")+COUNTIF($E91:AC91,"t")+COUNTIF($E91:AC91,"¶")+COUNTIF($E91:AC91,"²")+COUNTIF($E91:AC91,"µ")+COUNTIF($E91:AC91,1),ColDescriptionCourte)),""),
  "")),"")</f>
        <v/>
      </c>
      <c r="AE91" s="40" t="str">
        <f ca="1">IFERROR(IF(AND(
  INDEX(Roadmap!$D:$K,MATCH($E91,Roadmap!$D:$D,0)+COUNTIF($E91:AD91,"u")+COUNTIF($E91:AD91,"t")+COUNTIF($E91:AD91,"¶")+COUNTIF($E91:AD91,"²")+COUNTIF($E91:AD91,"µ")+COUNTIF($E91:AD91,1),ColLivraison)=AE$6,
  VLOOKUP($E91,INDIRECT("tri!"&amp; CHAR(64+ C0Col) &amp;":"&amp; CHAR(65+C0Col)),2,FALSE)&gt;COUNTIF($E91:AD91,"u")+COUNTIF($E91:AD91,"t")+COUNTIF($E91:AD91,"¶")+COUNTIF($E91:AD91,"²")+COUNTIF($E91:AD91,"µ")+COUNTIF($E91:AD91,1)),
HYPERLINK("#Roadmap!C"&amp; MATCH($E91,Roadmap!$D:$D,0)+COUNTIF($E91:AD91,"u")+COUNTIF($E91:AD91,"t"),
     INDEX(Roadmap!$D:$K,MATCH($E91,Roadmap!$D:$D,0)+COUNTIF($E91:AD91,"u")+COUNTIF($E91:AD91,"t")+COUNTIF($E91:AD91,"¶")+COUNTIF($E91:AD91,"²")+COUNTIF($E91:AD91,"µ")+COUNTIF($E91:AD91,1),ColTypeEcheance)),
  IF(LEN(AD91)=1,
  IF(LEN(INDEX(Roadmap!$D:$K,MATCH($E91,Roadmap!$D:$D,0)-1+COUNTIF($E91:AD91,"u")+COUNTIF($E91:AD91,"t")+COUNTIF($E91:AD91,"¶")+COUNTIF($E91:AD91,"²")+COUNTIF($E91:AD91,"µ")+COUNTIF($E91:AD91,1),ColDescriptionCourte))&gt;1,
HYPERLINK("#Roadmap!C"&amp; MATCH($E91,Roadmap!$D:$D,0)+COUNTIF($E91:AD91,"u")+COUNTIF($E91:AD91,"t")+COUNTIF($E91:AD91,"¶")+COUNTIF($E91:AD91,"²")+COUNTIF($E91:AD91,"µ")+COUNTIF($E91:AD91,1)-1,INDEX(Roadmap!$D:$K,MATCH($E91,Roadmap!$D:$D,0)-1+COUNTIF($E91:AD91,"u")+COUNTIF($E91:AD91,"t")+COUNTIF($E91:AD91,"¶")+COUNTIF($E91:AD91,"²")+COUNTIF($E91:AD91,"µ")+COUNTIF($E91:AD91,1),ColDescriptionCourte)),""),
  "")),"")</f>
        <v/>
      </c>
      <c r="AF91" s="40" t="str">
        <f ca="1">IFERROR(IF(AND(
  INDEX(Roadmap!$D:$K,MATCH($E91,Roadmap!$D:$D,0)+COUNTIF($E91:AE91,"u")+COUNTIF($E91:AE91,"t")+COUNTIF($E91:AE91,"¶")+COUNTIF($E91:AE91,"²")+COUNTIF($E91:AE91,"µ")+COUNTIF($E91:AE91,1),ColLivraison)=AF$6,
  VLOOKUP($E91,INDIRECT("tri!"&amp; CHAR(64+ C0Col) &amp;":"&amp; CHAR(65+C0Col)),2,FALSE)&gt;COUNTIF($E91:AE91,"u")+COUNTIF($E91:AE91,"t")+COUNTIF($E91:AE91,"¶")+COUNTIF($E91:AE91,"²")+COUNTIF($E91:AE91,"µ")+COUNTIF($E91:AE91,1)),
HYPERLINK("#Roadmap!C"&amp; MATCH($E91,Roadmap!$D:$D,0)+COUNTIF($E91:AE91,"u")+COUNTIF($E91:AE91,"t"),
     INDEX(Roadmap!$D:$K,MATCH($E91,Roadmap!$D:$D,0)+COUNTIF($E91:AE91,"u")+COUNTIF($E91:AE91,"t")+COUNTIF($E91:AE91,"¶")+COUNTIF($E91:AE91,"²")+COUNTIF($E91:AE91,"µ")+COUNTIF($E91:AE91,1),ColTypeEcheance)),
  IF(LEN(AE91)=1,
  IF(LEN(INDEX(Roadmap!$D:$K,MATCH($E91,Roadmap!$D:$D,0)-1+COUNTIF($E91:AE91,"u")+COUNTIF($E91:AE91,"t")+COUNTIF($E91:AE91,"¶")+COUNTIF($E91:AE91,"²")+COUNTIF($E91:AE91,"µ")+COUNTIF($E91:AE91,1),ColDescriptionCourte))&gt;1,
HYPERLINK("#Roadmap!C"&amp; MATCH($E91,Roadmap!$D:$D,0)+COUNTIF($E91:AE91,"u")+COUNTIF($E91:AE91,"t")+COUNTIF($E91:AE91,"¶")+COUNTIF($E91:AE91,"²")+COUNTIF($E91:AE91,"µ")+COUNTIF($E91:AE91,1)-1,INDEX(Roadmap!$D:$K,MATCH($E91,Roadmap!$D:$D,0)-1+COUNTIF($E91:AE91,"u")+COUNTIF($E91:AE91,"t")+COUNTIF($E91:AE91,"¶")+COUNTIF($E91:AE91,"²")+COUNTIF($E91:AE91,"µ")+COUNTIF($E91:AE91,1),ColDescriptionCourte)),""),
  "")),"")</f>
        <v/>
      </c>
      <c r="AG91" s="40" t="str">
        <f ca="1">IFERROR(IF(AND(
  INDEX(Roadmap!$D:$K,MATCH($E91,Roadmap!$D:$D,0)+COUNTIF($E91:AF91,"u")+COUNTIF($E91:AF91,"t")+COUNTIF($E91:AF91,"¶")+COUNTIF($E91:AF91,"²")+COUNTIF($E91:AF91,"µ")+COUNTIF($E91:AF91,1),ColLivraison)=AG$6,
  VLOOKUP($E91,INDIRECT("tri!"&amp; CHAR(64+ C0Col) &amp;":"&amp; CHAR(65+C0Col)),2,FALSE)&gt;COUNTIF($E91:AF91,"u")+COUNTIF($E91:AF91,"t")+COUNTIF($E91:AF91,"¶")+COUNTIF($E91:AF91,"²")+COUNTIF($E91:AF91,"µ")+COUNTIF($E91:AF91,1)),
HYPERLINK("#Roadmap!C"&amp; MATCH($E91,Roadmap!$D:$D,0)+COUNTIF($E91:AF91,"u")+COUNTIF($E91:AF91,"t"),
     INDEX(Roadmap!$D:$K,MATCH($E91,Roadmap!$D:$D,0)+COUNTIF($E91:AF91,"u")+COUNTIF($E91:AF91,"t")+COUNTIF($E91:AF91,"¶")+COUNTIF($E91:AF91,"²")+COUNTIF($E91:AF91,"µ")+COUNTIF($E91:AF91,1),ColTypeEcheance)),
  IF(LEN(AF91)=1,
  IF(LEN(INDEX(Roadmap!$D:$K,MATCH($E91,Roadmap!$D:$D,0)-1+COUNTIF($E91:AF91,"u")+COUNTIF($E91:AF91,"t")+COUNTIF($E91:AF91,"¶")+COUNTIF($E91:AF91,"²")+COUNTIF($E91:AF91,"µ")+COUNTIF($E91:AF91,1),ColDescriptionCourte))&gt;1,
HYPERLINK("#Roadmap!C"&amp; MATCH($E91,Roadmap!$D:$D,0)+COUNTIF($E91:AF91,"u")+COUNTIF($E91:AF91,"t")+COUNTIF($E91:AF91,"¶")+COUNTIF($E91:AF91,"²")+COUNTIF($E91:AF91,"µ")+COUNTIF($E91:AF91,1)-1,INDEX(Roadmap!$D:$K,MATCH($E91,Roadmap!$D:$D,0)-1+COUNTIF($E91:AF91,"u")+COUNTIF($E91:AF91,"t")+COUNTIF($E91:AF91,"¶")+COUNTIF($E91:AF91,"²")+COUNTIF($E91:AF91,"µ")+COUNTIF($E91:AF91,1),ColDescriptionCourte)),""),
  "")),"")</f>
        <v/>
      </c>
    </row>
    <row r="92" spans="3:33" ht="14.25" customHeight="1">
      <c r="C92" s="1" t="str">
        <f t="shared" ca="1" si="47"/>
        <v/>
      </c>
      <c r="D92" s="1" t="str">
        <f t="shared" ca="1" si="48"/>
        <v/>
      </c>
      <c r="E92" s="35" t="str">
        <f t="shared" ca="1" si="46"/>
        <v/>
      </c>
      <c r="F92" s="39" t="str">
        <f ca="1">IFERROR(IF(AND(
  INDEX(Roadmap!$D:$K,MATCH($E92,Roadmap!$D:$D,0)+COUNTIF($E92:E92,"u")+COUNTIF($E92:E92,"t")+COUNTIF($E92:E92,"¶")+COUNTIF($E92:E92,"²")+COUNTIF($E92:E92,"µ")+COUNTIF($E92:E92,1),ColLivraison)=F$6,
  VLOOKUP($E92,INDIRECT("tri!"&amp; CHAR(64+ C0Col) &amp;":"&amp; CHAR(65+C0Col)),2,FALSE)&gt;COUNTIF($E92:E92,"u")+COUNTIF($E92:E92,"t")+COUNTIF($E92:E92,"¶")+COUNTIF($E92:E92,"²")+COUNTIF($E92:E92,"µ")+COUNTIF($E92:E92,1)),
HYPERLINK("#Roadmap!C"&amp; MATCH($E92,Roadmap!$D:$D,0)+COUNTIF($E92:E92,"u")+COUNTIF($E92:E92,"t"),
     INDEX(Roadmap!$D:$K,MATCH($E92,Roadmap!$D:$D,0)+COUNTIF($E92:E92,"u")+COUNTIF($E92:E92,"t")+COUNTIF($E92:E92,"¶")+COUNTIF($E92:E92,"²")+COUNTIF($E92:E92,"µ")+COUNTIF($E92:E92,1),ColTypeEcheance)),
  IF(LEN(E92)=1,
  IF(LEN(INDEX(Roadmap!$D:$K,MATCH($E92,Roadmap!$D:$D,0)-1+COUNTIF($E92:E92,"u")+COUNTIF($E92:E92,"t")+COUNTIF($E92:E92,"¶")+COUNTIF($E92:E92,"²")+COUNTIF($E92:E92,"µ")+COUNTIF($E92:E92,1),ColDescriptionCourte))&gt;1,
HYPERLINK("#Roadmap!C"&amp; MATCH($E92,Roadmap!$D:$D,0)+COUNTIF($E92:E92,"u")+COUNTIF($E92:E92,"t")+COUNTIF($E92:E92,"¶")+COUNTIF($E92:E92,"²")+COUNTIF($E92:E92,"µ")+COUNTIF($E92:E92,1)-1,INDEX(Roadmap!$D:$K,MATCH($E92,Roadmap!$D:$D,0)-1+COUNTIF($E92:E92,"u")+COUNTIF($E92:E92,"t")+COUNTIF($E92:E92,"¶")+COUNTIF($E92:E92,"²")+COUNTIF($E92:E92,"µ")+COUNTIF($E92:E92,1),ColDescriptionCourte)),""),
  "")),"")</f>
        <v/>
      </c>
      <c r="G92" s="40" t="str">
        <f ca="1">IFERROR(IF(AND(
  INDEX(Roadmap!$D:$K,MATCH($E92,Roadmap!$D:$D,0)+COUNTIF($E92:F92,"u")+COUNTIF($E92:F92,"t")+COUNTIF($E92:F92,"¶")+COUNTIF($E92:F92,"²")+COUNTIF($E92:F92,"µ")+COUNTIF($E92:F92,1),ColLivraison)=G$6,
  VLOOKUP($E92,INDIRECT("tri!"&amp; CHAR(64+ C0Col) &amp;":"&amp; CHAR(65+C0Col)),2,FALSE)&gt;COUNTIF($E92:F92,"u")+COUNTIF($E92:F92,"t")+COUNTIF($E92:F92,"¶")+COUNTIF($E92:F92,"²")+COUNTIF($E92:F92,"µ")+COUNTIF($E92:F92,1)),
HYPERLINK("#Roadmap!C"&amp; MATCH($E92,Roadmap!$D:$D,0)+COUNTIF($E92:F92,"u")+COUNTIF($E92:F92,"t"),
     INDEX(Roadmap!$D:$K,MATCH($E92,Roadmap!$D:$D,0)+COUNTIF($E92:F92,"u")+COUNTIF($E92:F92,"t")+COUNTIF($E92:F92,"¶")+COUNTIF($E92:F92,"²")+COUNTIF($E92:F92,"µ")+COUNTIF($E92:F92,1),ColTypeEcheance)),
  IF(LEN(F92)=1,
  IF(LEN(INDEX(Roadmap!$D:$K,MATCH($E92,Roadmap!$D:$D,0)-1+COUNTIF($E92:F92,"u")+COUNTIF($E92:F92,"t")+COUNTIF($E92:F92,"¶")+COUNTIF($E92:F92,"²")+COUNTIF($E92:F92,"µ")+COUNTIF($E92:F92,1),ColDescriptionCourte))&gt;1,
HYPERLINK("#Roadmap!C"&amp; MATCH($E92,Roadmap!$D:$D,0)+COUNTIF($E92:F92,"u")+COUNTIF($E92:F92,"t")+COUNTIF($E92:F92,"¶")+COUNTIF($E92:F92,"²")+COUNTIF($E92:F92,"µ")+COUNTIF($E92:F92,1)-1,INDEX(Roadmap!$D:$K,MATCH($E92,Roadmap!$D:$D,0)-1+COUNTIF($E92:F92,"u")+COUNTIF($E92:F92,"t")+COUNTIF($E92:F92,"¶")+COUNTIF($E92:F92,"²")+COUNTIF($E92:F92,"µ")+COUNTIF($E92:F92,1),ColDescriptionCourte)),""),
  "")),"")</f>
        <v/>
      </c>
      <c r="H92" s="40" t="str">
        <f ca="1">IFERROR(IF(AND(
  INDEX(Roadmap!$D:$K,MATCH($E92,Roadmap!$D:$D,0)+COUNTIF($E92:G92,"u")+COUNTIF($E92:G92,"t")+COUNTIF($E92:G92,"¶")+COUNTIF($E92:G92,"²")+COUNTIF($E92:G92,"µ")+COUNTIF($E92:G92,1),ColLivraison)=H$6,
  VLOOKUP($E92,INDIRECT("tri!"&amp; CHAR(64+ C0Col) &amp;":"&amp; CHAR(65+C0Col)),2,FALSE)&gt;COUNTIF($E92:G92,"u")+COUNTIF($E92:G92,"t")+COUNTIF($E92:G92,"¶")+COUNTIF($E92:G92,"²")+COUNTIF($E92:G92,"µ")+COUNTIF($E92:G92,1)),
HYPERLINK("#Roadmap!C"&amp; MATCH($E92,Roadmap!$D:$D,0)+COUNTIF($E92:G92,"u")+COUNTIF($E92:G92,"t"),
     INDEX(Roadmap!$D:$K,MATCH($E92,Roadmap!$D:$D,0)+COUNTIF($E92:G92,"u")+COUNTIF($E92:G92,"t")+COUNTIF($E92:G92,"¶")+COUNTIF($E92:G92,"²")+COUNTIF($E92:G92,"µ")+COUNTIF($E92:G92,1),ColTypeEcheance)),
  IF(LEN(G92)=1,
  IF(LEN(INDEX(Roadmap!$D:$K,MATCH($E92,Roadmap!$D:$D,0)-1+COUNTIF($E92:G92,"u")+COUNTIF($E92:G92,"t")+COUNTIF($E92:G92,"¶")+COUNTIF($E92:G92,"²")+COUNTIF($E92:G92,"µ")+COUNTIF($E92:G92,1),ColDescriptionCourte))&gt;1,
HYPERLINK("#Roadmap!C"&amp; MATCH($E92,Roadmap!$D:$D,0)+COUNTIF($E92:G92,"u")+COUNTIF($E92:G92,"t")+COUNTIF($E92:G92,"¶")+COUNTIF($E92:G92,"²")+COUNTIF($E92:G92,"µ")+COUNTIF($E92:G92,1)-1,INDEX(Roadmap!$D:$K,MATCH($E92,Roadmap!$D:$D,0)-1+COUNTIF($E92:G92,"u")+COUNTIF($E92:G92,"t")+COUNTIF($E92:G92,"¶")+COUNTIF($E92:G92,"²")+COUNTIF($E92:G92,"µ")+COUNTIF($E92:G92,1),ColDescriptionCourte)),""),
  "")),"")</f>
        <v/>
      </c>
      <c r="I92" s="40" t="str">
        <f ca="1">IFERROR(IF(AND(
  INDEX(Roadmap!$D:$K,MATCH($E92,Roadmap!$D:$D,0)+COUNTIF($E92:H92,"u")+COUNTIF($E92:H92,"t")+COUNTIF($E92:H92,"¶")+COUNTIF($E92:H92,"²")+COUNTIF($E92:H92,"µ")+COUNTIF($E92:H92,1),ColLivraison)=I$6,
  VLOOKUP($E92,INDIRECT("tri!"&amp; CHAR(64+ C0Col) &amp;":"&amp; CHAR(65+C0Col)),2,FALSE)&gt;COUNTIF($E92:H92,"u")+COUNTIF($E92:H92,"t")+COUNTIF($E92:H92,"¶")+COUNTIF($E92:H92,"²")+COUNTIF($E92:H92,"µ")+COUNTIF($E92:H92,1)),
HYPERLINK("#Roadmap!C"&amp; MATCH($E92,Roadmap!$D:$D,0)+COUNTIF($E92:H92,"u")+COUNTIF($E92:H92,"t"),
     INDEX(Roadmap!$D:$K,MATCH($E92,Roadmap!$D:$D,0)+COUNTIF($E92:H92,"u")+COUNTIF($E92:H92,"t")+COUNTIF($E92:H92,"¶")+COUNTIF($E92:H92,"²")+COUNTIF($E92:H92,"µ")+COUNTIF($E92:H92,1),ColTypeEcheance)),
  IF(LEN(H92)=1,
  IF(LEN(INDEX(Roadmap!$D:$K,MATCH($E92,Roadmap!$D:$D,0)-1+COUNTIF($E92:H92,"u")+COUNTIF($E92:H92,"t")+COUNTIF($E92:H92,"¶")+COUNTIF($E92:H92,"²")+COUNTIF($E92:H92,"µ")+COUNTIF($E92:H92,1),ColDescriptionCourte))&gt;1,
HYPERLINK("#Roadmap!C"&amp; MATCH($E92,Roadmap!$D:$D,0)+COUNTIF($E92:H92,"u")+COUNTIF($E92:H92,"t")+COUNTIF($E92:H92,"¶")+COUNTIF($E92:H92,"²")+COUNTIF($E92:H92,"µ")+COUNTIF($E92:H92,1)-1,INDEX(Roadmap!$D:$K,MATCH($E92,Roadmap!$D:$D,0)-1+COUNTIF($E92:H92,"u")+COUNTIF($E92:H92,"t")+COUNTIF($E92:H92,"¶")+COUNTIF($E92:H92,"²")+COUNTIF($E92:H92,"µ")+COUNTIF($E92:H92,1),ColDescriptionCourte)),""),
  "")),"")</f>
        <v/>
      </c>
      <c r="J92" s="40" t="str">
        <f ca="1">IFERROR(IF(AND(
  INDEX(Roadmap!$D:$K,MATCH($E92,Roadmap!$D:$D,0)+COUNTIF($E92:I92,"u")+COUNTIF($E92:I92,"t")+COUNTIF($E92:I92,"¶")+COUNTIF($E92:I92,"²")+COUNTIF($E92:I92,"µ")+COUNTIF($E92:I92,1),ColLivraison)=J$6,
  VLOOKUP($E92,INDIRECT("tri!"&amp; CHAR(64+ C0Col) &amp;":"&amp; CHAR(65+C0Col)),2,FALSE)&gt;COUNTIF($E92:I92,"u")+COUNTIF($E92:I92,"t")+COUNTIF($E92:I92,"¶")+COUNTIF($E92:I92,"²")+COUNTIF($E92:I92,"µ")+COUNTIF($E92:I92,1)),
HYPERLINK("#Roadmap!C"&amp; MATCH($E92,Roadmap!$D:$D,0)+COUNTIF($E92:I92,"u")+COUNTIF($E92:I92,"t"),
     INDEX(Roadmap!$D:$K,MATCH($E92,Roadmap!$D:$D,0)+COUNTIF($E92:I92,"u")+COUNTIF($E92:I92,"t")+COUNTIF($E92:I92,"¶")+COUNTIF($E92:I92,"²")+COUNTIF($E92:I92,"µ")+COUNTIF($E92:I92,1),ColTypeEcheance)),
  IF(LEN(I92)=1,
  IF(LEN(INDEX(Roadmap!$D:$K,MATCH($E92,Roadmap!$D:$D,0)-1+COUNTIF($E92:I92,"u")+COUNTIF($E92:I92,"t")+COUNTIF($E92:I92,"¶")+COUNTIF($E92:I92,"²")+COUNTIF($E92:I92,"µ")+COUNTIF($E92:I92,1),ColDescriptionCourte))&gt;1,
HYPERLINK("#Roadmap!C"&amp; MATCH($E92,Roadmap!$D:$D,0)+COUNTIF($E92:I92,"u")+COUNTIF($E92:I92,"t")+COUNTIF($E92:I92,"¶")+COUNTIF($E92:I92,"²")+COUNTIF($E92:I92,"µ")+COUNTIF($E92:I92,1)-1,INDEX(Roadmap!$D:$K,MATCH($E92,Roadmap!$D:$D,0)-1+COUNTIF($E92:I92,"u")+COUNTIF($E92:I92,"t")+COUNTIF($E92:I92,"¶")+COUNTIF($E92:I92,"²")+COUNTIF($E92:I92,"µ")+COUNTIF($E92:I92,1),ColDescriptionCourte)),""),
  "")),"")</f>
        <v/>
      </c>
      <c r="K92" s="40" t="str">
        <f ca="1">IFERROR(IF(AND(
  INDEX(Roadmap!$D:$K,MATCH($E92,Roadmap!$D:$D,0)+COUNTIF($E92:J92,"u")+COUNTIF($E92:J92,"t")+COUNTIF($E92:J92,"¶")+COUNTIF($E92:J92,"²")+COUNTIF($E92:J92,"µ")+COUNTIF($E92:J92,1),ColLivraison)=K$6,
  VLOOKUP($E92,INDIRECT("tri!"&amp; CHAR(64+ C0Col) &amp;":"&amp; CHAR(65+C0Col)),2,FALSE)&gt;COUNTIF($E92:J92,"u")+COUNTIF($E92:J92,"t")+COUNTIF($E92:J92,"¶")+COUNTIF($E92:J92,"²")+COUNTIF($E92:J92,"µ")+COUNTIF($E92:J92,1)),
HYPERLINK("#Roadmap!C"&amp; MATCH($E92,Roadmap!$D:$D,0)+COUNTIF($E92:J92,"u")+COUNTIF($E92:J92,"t"),
     INDEX(Roadmap!$D:$K,MATCH($E92,Roadmap!$D:$D,0)+COUNTIF($E92:J92,"u")+COUNTIF($E92:J92,"t")+COUNTIF($E92:J92,"¶")+COUNTIF($E92:J92,"²")+COUNTIF($E92:J92,"µ")+COUNTIF($E92:J92,1),ColTypeEcheance)),
  IF(LEN(J92)=1,
  IF(LEN(INDEX(Roadmap!$D:$K,MATCH($E92,Roadmap!$D:$D,0)-1+COUNTIF($E92:J92,"u")+COUNTIF($E92:J92,"t")+COUNTIF($E92:J92,"¶")+COUNTIF($E92:J92,"²")+COUNTIF($E92:J92,"µ")+COUNTIF($E92:J92,1),ColDescriptionCourte))&gt;1,
HYPERLINK("#Roadmap!C"&amp; MATCH($E92,Roadmap!$D:$D,0)+COUNTIF($E92:J92,"u")+COUNTIF($E92:J92,"t")+COUNTIF($E92:J92,"¶")+COUNTIF($E92:J92,"²")+COUNTIF($E92:J92,"µ")+COUNTIF($E92:J92,1)-1,INDEX(Roadmap!$D:$K,MATCH($E92,Roadmap!$D:$D,0)-1+COUNTIF($E92:J92,"u")+COUNTIF($E92:J92,"t")+COUNTIF($E92:J92,"¶")+COUNTIF($E92:J92,"²")+COUNTIF($E92:J92,"µ")+COUNTIF($E92:J92,1),ColDescriptionCourte)),""),
  "")),"")</f>
        <v/>
      </c>
      <c r="L92" s="39" t="str">
        <f ca="1">IFERROR(IF(AND(
  INDEX(Roadmap!$D:$K,MATCH($E92,Roadmap!$D:$D,0)+COUNTIF($E92:K92,"u")+COUNTIF($E92:K92,"t")+COUNTIF($E92:K92,"¶")+COUNTIF($E92:K92,"²")+COUNTIF($E92:K92,"µ")+COUNTIF($E92:K92,1),ColLivraison)=L$6,
  VLOOKUP($E92,INDIRECT("tri!"&amp; CHAR(64+ C0Col) &amp;":"&amp; CHAR(65+C0Col)),2,FALSE)&gt;COUNTIF($E92:K92,"u")+COUNTIF($E92:K92,"t")+COUNTIF($E92:K92,"¶")+COUNTIF($E92:K92,"²")+COUNTIF($E92:K92,"µ")+COUNTIF($E92:K92,1)),
HYPERLINK("#Roadmap!C"&amp; MATCH($E92,Roadmap!$D:$D,0)+COUNTIF($E92:K92,"u")+COUNTIF($E92:K92,"t"),
     INDEX(Roadmap!$D:$K,MATCH($E92,Roadmap!$D:$D,0)+COUNTIF($E92:K92,"u")+COUNTIF($E92:K92,"t")+COUNTIF($E92:K92,"¶")+COUNTIF($E92:K92,"²")+COUNTIF($E92:K92,"µ")+COUNTIF($E92:K92,1),ColTypeEcheance)),
  IF(LEN(K92)=1,
  IF(LEN(INDEX(Roadmap!$D:$K,MATCH($E92,Roadmap!$D:$D,0)-1+COUNTIF($E92:K92,"u")+COUNTIF($E92:K92,"t")+COUNTIF($E92:K92,"¶")+COUNTIF($E92:K92,"²")+COUNTIF($E92:K92,"µ")+COUNTIF($E92:K92,1),ColDescriptionCourte))&gt;1,
HYPERLINK("#Roadmap!C"&amp; MATCH($E92,Roadmap!$D:$D,0)+COUNTIF($E92:K92,"u")+COUNTIF($E92:K92,"t")+COUNTIF($E92:K92,"¶")+COUNTIF($E92:K92,"²")+COUNTIF($E92:K92,"µ")+COUNTIF($E92:K92,1)-1,INDEX(Roadmap!$D:$K,MATCH($E92,Roadmap!$D:$D,0)-1+COUNTIF($E92:K92,"u")+COUNTIF($E92:K92,"t")+COUNTIF($E92:K92,"¶")+COUNTIF($E92:K92,"²")+COUNTIF($E92:K92,"µ")+COUNTIF($E92:K92,1),ColDescriptionCourte)),""),
  "")),"")</f>
        <v/>
      </c>
      <c r="M92" s="40" t="str">
        <f ca="1">IFERROR(IF(AND(
  INDEX(Roadmap!$D:$K,MATCH($E92,Roadmap!$D:$D,0)+COUNTIF($E92:L92,"u")+COUNTIF($E92:L92,"t")+COUNTIF($E92:L92,"¶")+COUNTIF($E92:L92,"²")+COUNTIF($E92:L92,"µ")+COUNTIF($E92:L92,1),ColLivraison)=M$6,
  VLOOKUP($E92,INDIRECT("tri!"&amp; CHAR(64+ C0Col) &amp;":"&amp; CHAR(65+C0Col)),2,FALSE)&gt;COUNTIF($E92:L92,"u")+COUNTIF($E92:L92,"t")+COUNTIF($E92:L92,"¶")+COUNTIF($E92:L92,"²")+COUNTIF($E92:L92,"µ")+COUNTIF($E92:L92,1)),
HYPERLINK("#Roadmap!C"&amp; MATCH($E92,Roadmap!$D:$D,0)+COUNTIF($E92:L92,"u")+COUNTIF($E92:L92,"t"),
     INDEX(Roadmap!$D:$K,MATCH($E92,Roadmap!$D:$D,0)+COUNTIF($E92:L92,"u")+COUNTIF($E92:L92,"t")+COUNTIF($E92:L92,"¶")+COUNTIF($E92:L92,"²")+COUNTIF($E92:L92,"µ")+COUNTIF($E92:L92,1),ColTypeEcheance)),
  IF(LEN(L92)=1,
  IF(LEN(INDEX(Roadmap!$D:$K,MATCH($E92,Roadmap!$D:$D,0)-1+COUNTIF($E92:L92,"u")+COUNTIF($E92:L92,"t")+COUNTIF($E92:L92,"¶")+COUNTIF($E92:L92,"²")+COUNTIF($E92:L92,"µ")+COUNTIF($E92:L92,1),ColDescriptionCourte))&gt;1,
HYPERLINK("#Roadmap!C"&amp; MATCH($E92,Roadmap!$D:$D,0)+COUNTIF($E92:L92,"u")+COUNTIF($E92:L92,"t")+COUNTIF($E92:L92,"¶")+COUNTIF($E92:L92,"²")+COUNTIF($E92:L92,"µ")+COUNTIF($E92:L92,1)-1,INDEX(Roadmap!$D:$K,MATCH($E92,Roadmap!$D:$D,0)-1+COUNTIF($E92:L92,"u")+COUNTIF($E92:L92,"t")+COUNTIF($E92:L92,"¶")+COUNTIF($E92:L92,"²")+COUNTIF($E92:L92,"µ")+COUNTIF($E92:L92,1),ColDescriptionCourte)),""),
  "")),"")</f>
        <v/>
      </c>
      <c r="N92" s="40" t="str">
        <f ca="1">IFERROR(IF(AND(
  INDEX(Roadmap!$D:$K,MATCH($E92,Roadmap!$D:$D,0)+COUNTIF($E92:M92,"u")+COUNTIF($E92:M92,"t")+COUNTIF($E92:M92,"¶")+COUNTIF($E92:M92,"²")+COUNTIF($E92:M92,"µ")+COUNTIF($E92:M92,1),ColLivraison)=N$6,
  VLOOKUP($E92,INDIRECT("tri!"&amp; CHAR(64+ C0Col) &amp;":"&amp; CHAR(65+C0Col)),2,FALSE)&gt;COUNTIF($E92:M92,"u")+COUNTIF($E92:M92,"t")+COUNTIF($E92:M92,"¶")+COUNTIF($E92:M92,"²")+COUNTIF($E92:M92,"µ")+COUNTIF($E92:M92,1)),
HYPERLINK("#Roadmap!C"&amp; MATCH($E92,Roadmap!$D:$D,0)+COUNTIF($E92:M92,"u")+COUNTIF($E92:M92,"t"),
     INDEX(Roadmap!$D:$K,MATCH($E92,Roadmap!$D:$D,0)+COUNTIF($E92:M92,"u")+COUNTIF($E92:M92,"t")+COUNTIF($E92:M92,"¶")+COUNTIF($E92:M92,"²")+COUNTIF($E92:M92,"µ")+COUNTIF($E92:M92,1),ColTypeEcheance)),
  IF(LEN(M92)=1,
  IF(LEN(INDEX(Roadmap!$D:$K,MATCH($E92,Roadmap!$D:$D,0)-1+COUNTIF($E92:M92,"u")+COUNTIF($E92:M92,"t")+COUNTIF($E92:M92,"¶")+COUNTIF($E92:M92,"²")+COUNTIF($E92:M92,"µ")+COUNTIF($E92:M92,1),ColDescriptionCourte))&gt;1,
HYPERLINK("#Roadmap!C"&amp; MATCH($E92,Roadmap!$D:$D,0)+COUNTIF($E92:M92,"u")+COUNTIF($E92:M92,"t")+COUNTIF($E92:M92,"¶")+COUNTIF($E92:M92,"²")+COUNTIF($E92:M92,"µ")+COUNTIF($E92:M92,1)-1,INDEX(Roadmap!$D:$K,MATCH($E92,Roadmap!$D:$D,0)-1+COUNTIF($E92:M92,"u")+COUNTIF($E92:M92,"t")+COUNTIF($E92:M92,"¶")+COUNTIF($E92:M92,"²")+COUNTIF($E92:M92,"µ")+COUNTIF($E92:M92,1),ColDescriptionCourte)),""),
  "")),"")</f>
        <v/>
      </c>
      <c r="O92" s="40" t="str">
        <f ca="1">IFERROR(IF(AND(
  INDEX(Roadmap!$D:$K,MATCH($E92,Roadmap!$D:$D,0)+COUNTIF($E92:N92,"u")+COUNTIF($E92:N92,"t")+COUNTIF($E92:N92,"¶")+COUNTIF($E92:N92,"²")+COUNTIF($E92:N92,"µ")+COUNTIF($E92:N92,1),ColLivraison)=O$6,
  VLOOKUP($E92,INDIRECT("tri!"&amp; CHAR(64+ C0Col) &amp;":"&amp; CHAR(65+C0Col)),2,FALSE)&gt;COUNTIF($E92:N92,"u")+COUNTIF($E92:N92,"t")+COUNTIF($E92:N92,"¶")+COUNTIF($E92:N92,"²")+COUNTIF($E92:N92,"µ")+COUNTIF($E92:N92,1)),
HYPERLINK("#Roadmap!C"&amp; MATCH($E92,Roadmap!$D:$D,0)+COUNTIF($E92:N92,"u")+COUNTIF($E92:N92,"t"),
     INDEX(Roadmap!$D:$K,MATCH($E92,Roadmap!$D:$D,0)+COUNTIF($E92:N92,"u")+COUNTIF($E92:N92,"t")+COUNTIF($E92:N92,"¶")+COUNTIF($E92:N92,"²")+COUNTIF($E92:N92,"µ")+COUNTIF($E92:N92,1),ColTypeEcheance)),
  IF(LEN(N92)=1,
  IF(LEN(INDEX(Roadmap!$D:$K,MATCH($E92,Roadmap!$D:$D,0)-1+COUNTIF($E92:N92,"u")+COUNTIF($E92:N92,"t")+COUNTIF($E92:N92,"¶")+COUNTIF($E92:N92,"²")+COUNTIF($E92:N92,"µ")+COUNTIF($E92:N92,1),ColDescriptionCourte))&gt;1,
HYPERLINK("#Roadmap!C"&amp; MATCH($E92,Roadmap!$D:$D,0)+COUNTIF($E92:N92,"u")+COUNTIF($E92:N92,"t")+COUNTIF($E92:N92,"¶")+COUNTIF($E92:N92,"²")+COUNTIF($E92:N92,"µ")+COUNTIF($E92:N92,1)-1,INDEX(Roadmap!$D:$K,MATCH($E92,Roadmap!$D:$D,0)-1+COUNTIF($E92:N92,"u")+COUNTIF($E92:N92,"t")+COUNTIF($E92:N92,"¶")+COUNTIF($E92:N92,"²")+COUNTIF($E92:N92,"µ")+COUNTIF($E92:N92,1),ColDescriptionCourte)),""),
  "")),"")</f>
        <v/>
      </c>
      <c r="P92" s="40" t="str">
        <f ca="1">IFERROR(IF(AND(
  INDEX(Roadmap!$D:$K,MATCH($E92,Roadmap!$D:$D,0)+COUNTIF($E92:O92,"u")+COUNTIF($E92:O92,"t")+COUNTIF($E92:O92,"¶")+COUNTIF($E92:O92,"²")+COUNTIF($E92:O92,"µ")+COUNTIF($E92:O92,1),ColLivraison)=P$6,
  VLOOKUP($E92,INDIRECT("tri!"&amp; CHAR(64+ C0Col) &amp;":"&amp; CHAR(65+C0Col)),2,FALSE)&gt;COUNTIF($E92:O92,"u")+COUNTIF($E92:O92,"t")+COUNTIF($E92:O92,"¶")+COUNTIF($E92:O92,"²")+COUNTIF($E92:O92,"µ")+COUNTIF($E92:O92,1)),
HYPERLINK("#Roadmap!C"&amp; MATCH($E92,Roadmap!$D:$D,0)+COUNTIF($E92:O92,"u")+COUNTIF($E92:O92,"t"),
     INDEX(Roadmap!$D:$K,MATCH($E92,Roadmap!$D:$D,0)+COUNTIF($E92:O92,"u")+COUNTIF($E92:O92,"t")+COUNTIF($E92:O92,"¶")+COUNTIF($E92:O92,"²")+COUNTIF($E92:O92,"µ")+COUNTIF($E92:O92,1),ColTypeEcheance)),
  IF(LEN(O92)=1,
  IF(LEN(INDEX(Roadmap!$D:$K,MATCH($E92,Roadmap!$D:$D,0)-1+COUNTIF($E92:O92,"u")+COUNTIF($E92:O92,"t")+COUNTIF($E92:O92,"¶")+COUNTIF($E92:O92,"²")+COUNTIF($E92:O92,"µ")+COUNTIF($E92:O92,1),ColDescriptionCourte))&gt;1,
HYPERLINK("#Roadmap!C"&amp; MATCH($E92,Roadmap!$D:$D,0)+COUNTIF($E92:O92,"u")+COUNTIF($E92:O92,"t")+COUNTIF($E92:O92,"¶")+COUNTIF($E92:O92,"²")+COUNTIF($E92:O92,"µ")+COUNTIF($E92:O92,1)-1,INDEX(Roadmap!$D:$K,MATCH($E92,Roadmap!$D:$D,0)-1+COUNTIF($E92:O92,"u")+COUNTIF($E92:O92,"t")+COUNTIF($E92:O92,"¶")+COUNTIF($E92:O92,"²")+COUNTIF($E92:O92,"µ")+COUNTIF($E92:O92,1),ColDescriptionCourte)),""),
  "")),"")</f>
        <v/>
      </c>
      <c r="Q92" s="40" t="str">
        <f ca="1">IFERROR(IF(AND(
  INDEX(Roadmap!$D:$K,MATCH($E92,Roadmap!$D:$D,0)+COUNTIF($E92:P92,"u")+COUNTIF($E92:P92,"t")+COUNTIF($E92:P92,"¶")+COUNTIF($E92:P92,"²")+COUNTIF($E92:P92,"µ")+COUNTIF($E92:P92,1),ColLivraison)=Q$6,
  VLOOKUP($E92,INDIRECT("tri!"&amp; CHAR(64+ C0Col) &amp;":"&amp; CHAR(65+C0Col)),2,FALSE)&gt;COUNTIF($E92:P92,"u")+COUNTIF($E92:P92,"t")+COUNTIF($E92:P92,"¶")+COUNTIF($E92:P92,"²")+COUNTIF($E92:P92,"µ")+COUNTIF($E92:P92,1)),
HYPERLINK("#Roadmap!C"&amp; MATCH($E92,Roadmap!$D:$D,0)+COUNTIF($E92:P92,"u")+COUNTIF($E92:P92,"t"),
     INDEX(Roadmap!$D:$K,MATCH($E92,Roadmap!$D:$D,0)+COUNTIF($E92:P92,"u")+COUNTIF($E92:P92,"t")+COUNTIF($E92:P92,"¶")+COUNTIF($E92:P92,"²")+COUNTIF($E92:P92,"µ")+COUNTIF($E92:P92,1),ColTypeEcheance)),
  IF(LEN(P92)=1,
  IF(LEN(INDEX(Roadmap!$D:$K,MATCH($E92,Roadmap!$D:$D,0)-1+COUNTIF($E92:P92,"u")+COUNTIF($E92:P92,"t")+COUNTIF($E92:P92,"¶")+COUNTIF($E92:P92,"²")+COUNTIF($E92:P92,"µ")+COUNTIF($E92:P92,1),ColDescriptionCourte))&gt;1,
HYPERLINK("#Roadmap!C"&amp; MATCH($E92,Roadmap!$D:$D,0)+COUNTIF($E92:P92,"u")+COUNTIF($E92:P92,"t")+COUNTIF($E92:P92,"¶")+COUNTIF($E92:P92,"²")+COUNTIF($E92:P92,"µ")+COUNTIF($E92:P92,1)-1,INDEX(Roadmap!$D:$K,MATCH($E92,Roadmap!$D:$D,0)-1+COUNTIF($E92:P92,"u")+COUNTIF($E92:P92,"t")+COUNTIF($E92:P92,"¶")+COUNTIF($E92:P92,"²")+COUNTIF($E92:P92,"µ")+COUNTIF($E92:P92,1),ColDescriptionCourte)),""),
  "")),"")</f>
        <v/>
      </c>
      <c r="R92" s="40" t="str">
        <f ca="1">IFERROR(IF(AND(
  INDEX(Roadmap!$D:$K,MATCH($E92,Roadmap!$D:$D,0)+COUNTIF($E92:Q92,"u")+COUNTIF($E92:Q92,"t")+COUNTIF($E92:Q92,"¶")+COUNTIF($E92:Q92,"²")+COUNTIF($E92:Q92,"µ")+COUNTIF($E92:Q92,1),ColLivraison)=R$6,
  VLOOKUP($E92,INDIRECT("tri!"&amp; CHAR(64+ C0Col) &amp;":"&amp; CHAR(65+C0Col)),2,FALSE)&gt;COUNTIF($E92:Q92,"u")+COUNTIF($E92:Q92,"t")+COUNTIF($E92:Q92,"¶")+COUNTIF($E92:Q92,"²")+COUNTIF($E92:Q92,"µ")+COUNTIF($E92:Q92,1)),
HYPERLINK("#Roadmap!C"&amp; MATCH($E92,Roadmap!$D:$D,0)+COUNTIF($E92:Q92,"u")+COUNTIF($E92:Q92,"t"),
     INDEX(Roadmap!$D:$K,MATCH($E92,Roadmap!$D:$D,0)+COUNTIF($E92:Q92,"u")+COUNTIF($E92:Q92,"t")+COUNTIF($E92:Q92,"¶")+COUNTIF($E92:Q92,"²")+COUNTIF($E92:Q92,"µ")+COUNTIF($E92:Q92,1),ColTypeEcheance)),
  IF(LEN(Q92)=1,
  IF(LEN(INDEX(Roadmap!$D:$K,MATCH($E92,Roadmap!$D:$D,0)-1+COUNTIF($E92:Q92,"u")+COUNTIF($E92:Q92,"t")+COUNTIF($E92:Q92,"¶")+COUNTIF($E92:Q92,"²")+COUNTIF($E92:Q92,"µ")+COUNTIF($E92:Q92,1),ColDescriptionCourte))&gt;1,
HYPERLINK("#Roadmap!C"&amp; MATCH($E92,Roadmap!$D:$D,0)+COUNTIF($E92:Q92,"u")+COUNTIF($E92:Q92,"t")+COUNTIF($E92:Q92,"¶")+COUNTIF($E92:Q92,"²")+COUNTIF($E92:Q92,"µ")+COUNTIF($E92:Q92,1)-1,INDEX(Roadmap!$D:$K,MATCH($E92,Roadmap!$D:$D,0)-1+COUNTIF($E92:Q92,"u")+COUNTIF($E92:Q92,"t")+COUNTIF($E92:Q92,"¶")+COUNTIF($E92:Q92,"²")+COUNTIF($E92:Q92,"µ")+COUNTIF($E92:Q92,1),ColDescriptionCourte)),""),
  "")),"")</f>
        <v/>
      </c>
      <c r="S92" s="40" t="str">
        <f ca="1">IFERROR(IF(AND(
  INDEX(Roadmap!$D:$K,MATCH($E92,Roadmap!$D:$D,0)+COUNTIF($E92:R92,"u")+COUNTIF($E92:R92,"t")+COUNTIF($E92:R92,"¶")+COUNTIF($E92:R92,"²")+COUNTIF($E92:R92,"µ")+COUNTIF($E92:R92,1),ColLivraison)=S$6,
  VLOOKUP($E92,INDIRECT("tri!"&amp; CHAR(64+ C0Col) &amp;":"&amp; CHAR(65+C0Col)),2,FALSE)&gt;COUNTIF($E92:R92,"u")+COUNTIF($E92:R92,"t")+COUNTIF($E92:R92,"¶")+COUNTIF($E92:R92,"²")+COUNTIF($E92:R92,"µ")+COUNTIF($E92:R92,1)),
HYPERLINK("#Roadmap!C"&amp; MATCH($E92,Roadmap!$D:$D,0)+COUNTIF($E92:R92,"u")+COUNTIF($E92:R92,"t"),
     INDEX(Roadmap!$D:$K,MATCH($E92,Roadmap!$D:$D,0)+COUNTIF($E92:R92,"u")+COUNTIF($E92:R92,"t")+COUNTIF($E92:R92,"¶")+COUNTIF($E92:R92,"²")+COUNTIF($E92:R92,"µ")+COUNTIF($E92:R92,1),ColTypeEcheance)),
  IF(LEN(R92)=1,
  IF(LEN(INDEX(Roadmap!$D:$K,MATCH($E92,Roadmap!$D:$D,0)-1+COUNTIF($E92:R92,"u")+COUNTIF($E92:R92,"t")+COUNTIF($E92:R92,"¶")+COUNTIF($E92:R92,"²")+COUNTIF($E92:R92,"µ")+COUNTIF($E92:R92,1),ColDescriptionCourte))&gt;1,
HYPERLINK("#Roadmap!C"&amp; MATCH($E92,Roadmap!$D:$D,0)+COUNTIF($E92:R92,"u")+COUNTIF($E92:R92,"t")+COUNTIF($E92:R92,"¶")+COUNTIF($E92:R92,"²")+COUNTIF($E92:R92,"µ")+COUNTIF($E92:R92,1)-1,INDEX(Roadmap!$D:$K,MATCH($E92,Roadmap!$D:$D,0)-1+COUNTIF($E92:R92,"u")+COUNTIF($E92:R92,"t")+COUNTIF($E92:R92,"¶")+COUNTIF($E92:R92,"²")+COUNTIF($E92:R92,"µ")+COUNTIF($E92:R92,1),ColDescriptionCourte)),""),
  "")),"")</f>
        <v/>
      </c>
      <c r="T92" s="40" t="str">
        <f ca="1">IFERROR(IF(AND(
  INDEX(Roadmap!$D:$K,MATCH($E92,Roadmap!$D:$D,0)+COUNTIF($E92:S92,"u")+COUNTIF($E92:S92,"t")+COUNTIF($E92:S92,"¶")+COUNTIF($E92:S92,"²")+COUNTIF($E92:S92,"µ")+COUNTIF($E92:S92,1),ColLivraison)=T$6,
  VLOOKUP($E92,INDIRECT("tri!"&amp; CHAR(64+ C0Col) &amp;":"&amp; CHAR(65+C0Col)),2,FALSE)&gt;COUNTIF($E92:S92,"u")+COUNTIF($E92:S92,"t")+COUNTIF($E92:S92,"¶")+COUNTIF($E92:S92,"²")+COUNTIF($E92:S92,"µ")+COUNTIF($E92:S92,1)),
HYPERLINK("#Roadmap!C"&amp; MATCH($E92,Roadmap!$D:$D,0)+COUNTIF($E92:S92,"u")+COUNTIF($E92:S92,"t"),
     INDEX(Roadmap!$D:$K,MATCH($E92,Roadmap!$D:$D,0)+COUNTIF($E92:S92,"u")+COUNTIF($E92:S92,"t")+COUNTIF($E92:S92,"¶")+COUNTIF($E92:S92,"²")+COUNTIF($E92:S92,"µ")+COUNTIF($E92:S92,1),ColTypeEcheance)),
  IF(LEN(S92)=1,
  IF(LEN(INDEX(Roadmap!$D:$K,MATCH($E92,Roadmap!$D:$D,0)-1+COUNTIF($E92:S92,"u")+COUNTIF($E92:S92,"t")+COUNTIF($E92:S92,"¶")+COUNTIF($E92:S92,"²")+COUNTIF($E92:S92,"µ")+COUNTIF($E92:S92,1),ColDescriptionCourte))&gt;1,
HYPERLINK("#Roadmap!C"&amp; MATCH($E92,Roadmap!$D:$D,0)+COUNTIF($E92:S92,"u")+COUNTIF($E92:S92,"t")+COUNTIF($E92:S92,"¶")+COUNTIF($E92:S92,"²")+COUNTIF($E92:S92,"µ")+COUNTIF($E92:S92,1)-1,INDEX(Roadmap!$D:$K,MATCH($E92,Roadmap!$D:$D,0)-1+COUNTIF($E92:S92,"u")+COUNTIF($E92:S92,"t")+COUNTIF($E92:S92,"¶")+COUNTIF($E92:S92,"²")+COUNTIF($E92:S92,"µ")+COUNTIF($E92:S92,1),ColDescriptionCourte)),""),
  "")),"")</f>
        <v/>
      </c>
      <c r="U92" s="40" t="str">
        <f ca="1">IFERROR(IF(AND(
  INDEX(Roadmap!$D:$K,MATCH($E92,Roadmap!$D:$D,0)+COUNTIF($E92:T92,"u")+COUNTIF($E92:T92,"t")+COUNTIF($E92:T92,"¶")+COUNTIF($E92:T92,"²")+COUNTIF($E92:T92,"µ")+COUNTIF($E92:T92,1),ColLivraison)=U$6,
  VLOOKUP($E92,INDIRECT("tri!"&amp; CHAR(64+ C0Col) &amp;":"&amp; CHAR(65+C0Col)),2,FALSE)&gt;COUNTIF($E92:T92,"u")+COUNTIF($E92:T92,"t")+COUNTIF($E92:T92,"¶")+COUNTIF($E92:T92,"²")+COUNTIF($E92:T92,"µ")+COUNTIF($E92:T92,1)),
HYPERLINK("#Roadmap!C"&amp; MATCH($E92,Roadmap!$D:$D,0)+COUNTIF($E92:T92,"u")+COUNTIF($E92:T92,"t"),
     INDEX(Roadmap!$D:$K,MATCH($E92,Roadmap!$D:$D,0)+COUNTIF($E92:T92,"u")+COUNTIF($E92:T92,"t")+COUNTIF($E92:T92,"¶")+COUNTIF($E92:T92,"²")+COUNTIF($E92:T92,"µ")+COUNTIF($E92:T92,1),ColTypeEcheance)),
  IF(LEN(T92)=1,
  IF(LEN(INDEX(Roadmap!$D:$K,MATCH($E92,Roadmap!$D:$D,0)-1+COUNTIF($E92:T92,"u")+COUNTIF($E92:T92,"t")+COUNTIF($E92:T92,"¶")+COUNTIF($E92:T92,"²")+COUNTIF($E92:T92,"µ")+COUNTIF($E92:T92,1),ColDescriptionCourte))&gt;1,
HYPERLINK("#Roadmap!C"&amp; MATCH($E92,Roadmap!$D:$D,0)+COUNTIF($E92:T92,"u")+COUNTIF($E92:T92,"t")+COUNTIF($E92:T92,"¶")+COUNTIF($E92:T92,"²")+COUNTIF($E92:T92,"µ")+COUNTIF($E92:T92,1)-1,INDEX(Roadmap!$D:$K,MATCH($E92,Roadmap!$D:$D,0)-1+COUNTIF($E92:T92,"u")+COUNTIF($E92:T92,"t")+COUNTIF($E92:T92,"¶")+COUNTIF($E92:T92,"²")+COUNTIF($E92:T92,"µ")+COUNTIF($E92:T92,1),ColDescriptionCourte)),""),
  "")),"")</f>
        <v/>
      </c>
      <c r="V92" s="40" t="str">
        <f ca="1">IFERROR(IF(AND(
  INDEX(Roadmap!$D:$K,MATCH($E92,Roadmap!$D:$D,0)+COUNTIF($E92:U92,"u")+COUNTIF($E92:U92,"t")+COUNTIF($E92:U92,"¶")+COUNTIF($E92:U92,"²")+COUNTIF($E92:U92,"µ")+COUNTIF($E92:U92,1),ColLivraison)=V$6,
  VLOOKUP($E92,INDIRECT("tri!"&amp; CHAR(64+ C0Col) &amp;":"&amp; CHAR(65+C0Col)),2,FALSE)&gt;COUNTIF($E92:U92,"u")+COUNTIF($E92:U92,"t")+COUNTIF($E92:U92,"¶")+COUNTIF($E92:U92,"²")+COUNTIF($E92:U92,"µ")+COUNTIF($E92:U92,1)),
HYPERLINK("#Roadmap!C"&amp; MATCH($E92,Roadmap!$D:$D,0)+COUNTIF($E92:U92,"u")+COUNTIF($E92:U92,"t"),
     INDEX(Roadmap!$D:$K,MATCH($E92,Roadmap!$D:$D,0)+COUNTIF($E92:U92,"u")+COUNTIF($E92:U92,"t")+COUNTIF($E92:U92,"¶")+COUNTIF($E92:U92,"²")+COUNTIF($E92:U92,"µ")+COUNTIF($E92:U92,1),ColTypeEcheance)),
  IF(LEN(U92)=1,
  IF(LEN(INDEX(Roadmap!$D:$K,MATCH($E92,Roadmap!$D:$D,0)-1+COUNTIF($E92:U92,"u")+COUNTIF($E92:U92,"t")+COUNTIF($E92:U92,"¶")+COUNTIF($E92:U92,"²")+COUNTIF($E92:U92,"µ")+COUNTIF($E92:U92,1),ColDescriptionCourte))&gt;1,
HYPERLINK("#Roadmap!C"&amp; MATCH($E92,Roadmap!$D:$D,0)+COUNTIF($E92:U92,"u")+COUNTIF($E92:U92,"t")+COUNTIF($E92:U92,"¶")+COUNTIF($E92:U92,"²")+COUNTIF($E92:U92,"µ")+COUNTIF($E92:U92,1)-1,INDEX(Roadmap!$D:$K,MATCH($E92,Roadmap!$D:$D,0)-1+COUNTIF($E92:U92,"u")+COUNTIF($E92:U92,"t")+COUNTIF($E92:U92,"¶")+COUNTIF($E92:U92,"²")+COUNTIF($E92:U92,"µ")+COUNTIF($E92:U92,1),ColDescriptionCourte)),""),
  "")),"")</f>
        <v/>
      </c>
      <c r="W92" s="40" t="str">
        <f ca="1">IFERROR(IF(AND(
  INDEX(Roadmap!$D:$K,MATCH($E92,Roadmap!$D:$D,0)+COUNTIF($E92:V92,"u")+COUNTIF($E92:V92,"t")+COUNTIF($E92:V92,"¶")+COUNTIF($E92:V92,"²")+COUNTIF($E92:V92,"µ")+COUNTIF($E92:V92,1),ColLivraison)=W$6,
  VLOOKUP($E92,INDIRECT("tri!"&amp; CHAR(64+ C0Col) &amp;":"&amp; CHAR(65+C0Col)),2,FALSE)&gt;COUNTIF($E92:V92,"u")+COUNTIF($E92:V92,"t")+COUNTIF($E92:V92,"¶")+COUNTIF($E92:V92,"²")+COUNTIF($E92:V92,"µ")+COUNTIF($E92:V92,1)),
HYPERLINK("#Roadmap!C"&amp; MATCH($E92,Roadmap!$D:$D,0)+COUNTIF($E92:V92,"u")+COUNTIF($E92:V92,"t"),
     INDEX(Roadmap!$D:$K,MATCH($E92,Roadmap!$D:$D,0)+COUNTIF($E92:V92,"u")+COUNTIF($E92:V92,"t")+COUNTIF($E92:V92,"¶")+COUNTIF($E92:V92,"²")+COUNTIF($E92:V92,"µ")+COUNTIF($E92:V92,1),ColTypeEcheance)),
  IF(LEN(V92)=1,
  IF(LEN(INDEX(Roadmap!$D:$K,MATCH($E92,Roadmap!$D:$D,0)-1+COUNTIF($E92:V92,"u")+COUNTIF($E92:V92,"t")+COUNTIF($E92:V92,"¶")+COUNTIF($E92:V92,"²")+COUNTIF($E92:V92,"µ")+COUNTIF($E92:V92,1),ColDescriptionCourte))&gt;1,
HYPERLINK("#Roadmap!C"&amp; MATCH($E92,Roadmap!$D:$D,0)+COUNTIF($E92:V92,"u")+COUNTIF($E92:V92,"t")+COUNTIF($E92:V92,"¶")+COUNTIF($E92:V92,"²")+COUNTIF($E92:V92,"µ")+COUNTIF($E92:V92,1)-1,INDEX(Roadmap!$D:$K,MATCH($E92,Roadmap!$D:$D,0)-1+COUNTIF($E92:V92,"u")+COUNTIF($E92:V92,"t")+COUNTIF($E92:V92,"¶")+COUNTIF($E92:V92,"²")+COUNTIF($E92:V92,"µ")+COUNTIF($E92:V92,1),ColDescriptionCourte)),""),
  "")),"")</f>
        <v/>
      </c>
      <c r="X92" s="40" t="str">
        <f ca="1">IFERROR(IF(AND(
  INDEX(Roadmap!$D:$K,MATCH($E92,Roadmap!$D:$D,0)+COUNTIF($E92:W92,"u")+COUNTIF($E92:W92,"t")+COUNTIF($E92:W92,"¶")+COUNTIF($E92:W92,"²")+COUNTIF($E92:W92,"µ")+COUNTIF($E92:W92,1),ColLivraison)=X$6,
  VLOOKUP($E92,INDIRECT("tri!"&amp; CHAR(64+ C0Col) &amp;":"&amp; CHAR(65+C0Col)),2,FALSE)&gt;COUNTIF($E92:W92,"u")+COUNTIF($E92:W92,"t")+COUNTIF($E92:W92,"¶")+COUNTIF($E92:W92,"²")+COUNTIF($E92:W92,"µ")+COUNTIF($E92:W92,1)),
HYPERLINK("#Roadmap!C"&amp; MATCH($E92,Roadmap!$D:$D,0)+COUNTIF($E92:W92,"u")+COUNTIF($E92:W92,"t"),
     INDEX(Roadmap!$D:$K,MATCH($E92,Roadmap!$D:$D,0)+COUNTIF($E92:W92,"u")+COUNTIF($E92:W92,"t")+COUNTIF($E92:W92,"¶")+COUNTIF($E92:W92,"²")+COUNTIF($E92:W92,"µ")+COUNTIF($E92:W92,1),ColTypeEcheance)),
  IF(LEN(W92)=1,
  IF(LEN(INDEX(Roadmap!$D:$K,MATCH($E92,Roadmap!$D:$D,0)-1+COUNTIF($E92:W92,"u")+COUNTIF($E92:W92,"t")+COUNTIF($E92:W92,"¶")+COUNTIF($E92:W92,"²")+COUNTIF($E92:W92,"µ")+COUNTIF($E92:W92,1),ColDescriptionCourte))&gt;1,
HYPERLINK("#Roadmap!C"&amp; MATCH($E92,Roadmap!$D:$D,0)+COUNTIF($E92:W92,"u")+COUNTIF($E92:W92,"t")+COUNTIF($E92:W92,"¶")+COUNTIF($E92:W92,"²")+COUNTIF($E92:W92,"µ")+COUNTIF($E92:W92,1)-1,INDEX(Roadmap!$D:$K,MATCH($E92,Roadmap!$D:$D,0)-1+COUNTIF($E92:W92,"u")+COUNTIF($E92:W92,"t")+COUNTIF($E92:W92,"¶")+COUNTIF($E92:W92,"²")+COUNTIF($E92:W92,"µ")+COUNTIF($E92:W92,1),ColDescriptionCourte)),""),
  "")),"")</f>
        <v/>
      </c>
      <c r="Y92" s="40" t="str">
        <f ca="1">IFERROR(IF(AND(
  INDEX(Roadmap!$D:$K,MATCH($E92,Roadmap!$D:$D,0)+COUNTIF($E92:X92,"u")+COUNTIF($E92:X92,"t")+COUNTIF($E92:X92,"¶")+COUNTIF($E92:X92,"²")+COUNTIF($E92:X92,"µ")+COUNTIF($E92:X92,1),ColLivraison)=Y$6,
  VLOOKUP($E92,INDIRECT("tri!"&amp; CHAR(64+ C0Col) &amp;":"&amp; CHAR(65+C0Col)),2,FALSE)&gt;COUNTIF($E92:X92,"u")+COUNTIF($E92:X92,"t")+COUNTIF($E92:X92,"¶")+COUNTIF($E92:X92,"²")+COUNTIF($E92:X92,"µ")+COUNTIF($E92:X92,1)),
HYPERLINK("#Roadmap!C"&amp; MATCH($E92,Roadmap!$D:$D,0)+COUNTIF($E92:X92,"u")+COUNTIF($E92:X92,"t"),
     INDEX(Roadmap!$D:$K,MATCH($E92,Roadmap!$D:$D,0)+COUNTIF($E92:X92,"u")+COUNTIF($E92:X92,"t")+COUNTIF($E92:X92,"¶")+COUNTIF($E92:X92,"²")+COUNTIF($E92:X92,"µ")+COUNTIF($E92:X92,1),ColTypeEcheance)),
  IF(LEN(X92)=1,
  IF(LEN(INDEX(Roadmap!$D:$K,MATCH($E92,Roadmap!$D:$D,0)-1+COUNTIF($E92:X92,"u")+COUNTIF($E92:X92,"t")+COUNTIF($E92:X92,"¶")+COUNTIF($E92:X92,"²")+COUNTIF($E92:X92,"µ")+COUNTIF($E92:X92,1),ColDescriptionCourte))&gt;1,
HYPERLINK("#Roadmap!C"&amp; MATCH($E92,Roadmap!$D:$D,0)+COUNTIF($E92:X92,"u")+COUNTIF($E92:X92,"t")+COUNTIF($E92:X92,"¶")+COUNTIF($E92:X92,"²")+COUNTIF($E92:X92,"µ")+COUNTIF($E92:X92,1)-1,INDEX(Roadmap!$D:$K,MATCH($E92,Roadmap!$D:$D,0)-1+COUNTIF($E92:X92,"u")+COUNTIF($E92:X92,"t")+COUNTIF($E92:X92,"¶")+COUNTIF($E92:X92,"²")+COUNTIF($E92:X92,"µ")+COUNTIF($E92:X92,1),ColDescriptionCourte)),""),
  "")),"")</f>
        <v/>
      </c>
      <c r="Z92" s="40" t="str">
        <f ca="1">IFERROR(IF(AND(
  INDEX(Roadmap!$D:$K,MATCH($E92,Roadmap!$D:$D,0)+COUNTIF($E92:Y92,"u")+COUNTIF($E92:Y92,"t")+COUNTIF($E92:Y92,"¶")+COUNTIF($E92:Y92,"²")+COUNTIF($E92:Y92,"µ")+COUNTIF($E92:Y92,1),ColLivraison)=Z$6,
  VLOOKUP($E92,INDIRECT("tri!"&amp; CHAR(64+ C0Col) &amp;":"&amp; CHAR(65+C0Col)),2,FALSE)&gt;COUNTIF($E92:Y92,"u")+COUNTIF($E92:Y92,"t")+COUNTIF($E92:Y92,"¶")+COUNTIF($E92:Y92,"²")+COUNTIF($E92:Y92,"µ")+COUNTIF($E92:Y92,1)),
HYPERLINK("#Roadmap!C"&amp; MATCH($E92,Roadmap!$D:$D,0)+COUNTIF($E92:Y92,"u")+COUNTIF($E92:Y92,"t"),
     INDEX(Roadmap!$D:$K,MATCH($E92,Roadmap!$D:$D,0)+COUNTIF($E92:Y92,"u")+COUNTIF($E92:Y92,"t")+COUNTIF($E92:Y92,"¶")+COUNTIF($E92:Y92,"²")+COUNTIF($E92:Y92,"µ")+COUNTIF($E92:Y92,1),ColTypeEcheance)),
  IF(LEN(Y92)=1,
  IF(LEN(INDEX(Roadmap!$D:$K,MATCH($E92,Roadmap!$D:$D,0)-1+COUNTIF($E92:Y92,"u")+COUNTIF($E92:Y92,"t")+COUNTIF($E92:Y92,"¶")+COUNTIF($E92:Y92,"²")+COUNTIF($E92:Y92,"µ")+COUNTIF($E92:Y92,1),ColDescriptionCourte))&gt;1,
HYPERLINK("#Roadmap!C"&amp; MATCH($E92,Roadmap!$D:$D,0)+COUNTIF($E92:Y92,"u")+COUNTIF($E92:Y92,"t")+COUNTIF($E92:Y92,"¶")+COUNTIF($E92:Y92,"²")+COUNTIF($E92:Y92,"µ")+COUNTIF($E92:Y92,1)-1,INDEX(Roadmap!$D:$K,MATCH($E92,Roadmap!$D:$D,0)-1+COUNTIF($E92:Y92,"u")+COUNTIF($E92:Y92,"t")+COUNTIF($E92:Y92,"¶")+COUNTIF($E92:Y92,"²")+COUNTIF($E92:Y92,"µ")+COUNTIF($E92:Y92,1),ColDescriptionCourte)),""),
  "")),"")</f>
        <v/>
      </c>
      <c r="AA92" s="40" t="str">
        <f ca="1">IFERROR(IF(AND(
  INDEX(Roadmap!$D:$K,MATCH($E92,Roadmap!$D:$D,0)+COUNTIF($E92:Z92,"u")+COUNTIF($E92:Z92,"t")+COUNTIF($E92:Z92,"¶")+COUNTIF($E92:Z92,"²")+COUNTIF($E92:Z92,"µ")+COUNTIF($E92:Z92,1),ColLivraison)=AA$6,
  VLOOKUP($E92,INDIRECT("tri!"&amp; CHAR(64+ C0Col) &amp;":"&amp; CHAR(65+C0Col)),2,FALSE)&gt;COUNTIF($E92:Z92,"u")+COUNTIF($E92:Z92,"t")+COUNTIF($E92:Z92,"¶")+COUNTIF($E92:Z92,"²")+COUNTIF($E92:Z92,"µ")+COUNTIF($E92:Z92,1)),
HYPERLINK("#Roadmap!C"&amp; MATCH($E92,Roadmap!$D:$D,0)+COUNTIF($E92:Z92,"u")+COUNTIF($E92:Z92,"t"),
     INDEX(Roadmap!$D:$K,MATCH($E92,Roadmap!$D:$D,0)+COUNTIF($E92:Z92,"u")+COUNTIF($E92:Z92,"t")+COUNTIF($E92:Z92,"¶")+COUNTIF($E92:Z92,"²")+COUNTIF($E92:Z92,"µ")+COUNTIF($E92:Z92,1),ColTypeEcheance)),
  IF(LEN(Z92)=1,
  IF(LEN(INDEX(Roadmap!$D:$K,MATCH($E92,Roadmap!$D:$D,0)-1+COUNTIF($E92:Z92,"u")+COUNTIF($E92:Z92,"t")+COUNTIF($E92:Z92,"¶")+COUNTIF($E92:Z92,"²")+COUNTIF($E92:Z92,"µ")+COUNTIF($E92:Z92,1),ColDescriptionCourte))&gt;1,
HYPERLINK("#Roadmap!C"&amp; MATCH($E92,Roadmap!$D:$D,0)+COUNTIF($E92:Z92,"u")+COUNTIF($E92:Z92,"t")+COUNTIF($E92:Z92,"¶")+COUNTIF($E92:Z92,"²")+COUNTIF($E92:Z92,"µ")+COUNTIF($E92:Z92,1)-1,INDEX(Roadmap!$D:$K,MATCH($E92,Roadmap!$D:$D,0)-1+COUNTIF($E92:Z92,"u")+COUNTIF($E92:Z92,"t")+COUNTIF($E92:Z92,"¶")+COUNTIF($E92:Z92,"²")+COUNTIF($E92:Z92,"µ")+COUNTIF($E92:Z92,1),ColDescriptionCourte)),""),
  "")),"")</f>
        <v/>
      </c>
      <c r="AB92" s="40" t="str">
        <f ca="1">IFERROR(IF(AND(
  INDEX(Roadmap!$D:$K,MATCH($E92,Roadmap!$D:$D,0)+COUNTIF($E92:AA92,"u")+COUNTIF($E92:AA92,"t")+COUNTIF($E92:AA92,"¶")+COUNTIF($E92:AA92,"²")+COUNTIF($E92:AA92,"µ")+COUNTIF($E92:AA92,1),ColLivraison)=AB$6,
  VLOOKUP($E92,INDIRECT("tri!"&amp; CHAR(64+ C0Col) &amp;":"&amp; CHAR(65+C0Col)),2,FALSE)&gt;COUNTIF($E92:AA92,"u")+COUNTIF($E92:AA92,"t")+COUNTIF($E92:AA92,"¶")+COUNTIF($E92:AA92,"²")+COUNTIF($E92:AA92,"µ")+COUNTIF($E92:AA92,1)),
HYPERLINK("#Roadmap!C"&amp; MATCH($E92,Roadmap!$D:$D,0)+COUNTIF($E92:AA92,"u")+COUNTIF($E92:AA92,"t"),
     INDEX(Roadmap!$D:$K,MATCH($E92,Roadmap!$D:$D,0)+COUNTIF($E92:AA92,"u")+COUNTIF($E92:AA92,"t")+COUNTIF($E92:AA92,"¶")+COUNTIF($E92:AA92,"²")+COUNTIF($E92:AA92,"µ")+COUNTIF($E92:AA92,1),ColTypeEcheance)),
  IF(LEN(AA92)=1,
  IF(LEN(INDEX(Roadmap!$D:$K,MATCH($E92,Roadmap!$D:$D,0)-1+COUNTIF($E92:AA92,"u")+COUNTIF($E92:AA92,"t")+COUNTIF($E92:AA92,"¶")+COUNTIF($E92:AA92,"²")+COUNTIF($E92:AA92,"µ")+COUNTIF($E92:AA92,1),ColDescriptionCourte))&gt;1,
HYPERLINK("#Roadmap!C"&amp; MATCH($E92,Roadmap!$D:$D,0)+COUNTIF($E92:AA92,"u")+COUNTIF($E92:AA92,"t")+COUNTIF($E92:AA92,"¶")+COUNTIF($E92:AA92,"²")+COUNTIF($E92:AA92,"µ")+COUNTIF($E92:AA92,1)-1,INDEX(Roadmap!$D:$K,MATCH($E92,Roadmap!$D:$D,0)-1+COUNTIF($E92:AA92,"u")+COUNTIF($E92:AA92,"t")+COUNTIF($E92:AA92,"¶")+COUNTIF($E92:AA92,"²")+COUNTIF($E92:AA92,"µ")+COUNTIF($E92:AA92,1),ColDescriptionCourte)),""),
  "")),"")</f>
        <v/>
      </c>
      <c r="AC92" s="40" t="str">
        <f ca="1">IFERROR(IF(AND(
  INDEX(Roadmap!$D:$K,MATCH($E92,Roadmap!$D:$D,0)+COUNTIF($E92:AB92,"u")+COUNTIF($E92:AB92,"t")+COUNTIF($E92:AB92,"¶")+COUNTIF($E92:AB92,"²")+COUNTIF($E92:AB92,"µ")+COUNTIF($E92:AB92,1),ColLivraison)=AC$6,
  VLOOKUP($E92,INDIRECT("tri!"&amp; CHAR(64+ C0Col) &amp;":"&amp; CHAR(65+C0Col)),2,FALSE)&gt;COUNTIF($E92:AB92,"u")+COUNTIF($E92:AB92,"t")+COUNTIF($E92:AB92,"¶")+COUNTIF($E92:AB92,"²")+COUNTIF($E92:AB92,"µ")+COUNTIF($E92:AB92,1)),
HYPERLINK("#Roadmap!C"&amp; MATCH($E92,Roadmap!$D:$D,0)+COUNTIF($E92:AB92,"u")+COUNTIF($E92:AB92,"t"),
     INDEX(Roadmap!$D:$K,MATCH($E92,Roadmap!$D:$D,0)+COUNTIF($E92:AB92,"u")+COUNTIF($E92:AB92,"t")+COUNTIF($E92:AB92,"¶")+COUNTIF($E92:AB92,"²")+COUNTIF($E92:AB92,"µ")+COUNTIF($E92:AB92,1),ColTypeEcheance)),
  IF(LEN(AB92)=1,
  IF(LEN(INDEX(Roadmap!$D:$K,MATCH($E92,Roadmap!$D:$D,0)-1+COUNTIF($E92:AB92,"u")+COUNTIF($E92:AB92,"t")+COUNTIF($E92:AB92,"¶")+COUNTIF($E92:AB92,"²")+COUNTIF($E92:AB92,"µ")+COUNTIF($E92:AB92,1),ColDescriptionCourte))&gt;1,
HYPERLINK("#Roadmap!C"&amp; MATCH($E92,Roadmap!$D:$D,0)+COUNTIF($E92:AB92,"u")+COUNTIF($E92:AB92,"t")+COUNTIF($E92:AB92,"¶")+COUNTIF($E92:AB92,"²")+COUNTIF($E92:AB92,"µ")+COUNTIF($E92:AB92,1)-1,INDEX(Roadmap!$D:$K,MATCH($E92,Roadmap!$D:$D,0)-1+COUNTIF($E92:AB92,"u")+COUNTIF($E92:AB92,"t")+COUNTIF($E92:AB92,"¶")+COUNTIF($E92:AB92,"²")+COUNTIF($E92:AB92,"µ")+COUNTIF($E92:AB92,1),ColDescriptionCourte)),""),
  "")),"")</f>
        <v/>
      </c>
      <c r="AD92" s="40" t="str">
        <f ca="1">IFERROR(IF(AND(
  INDEX(Roadmap!$D:$K,MATCH($E92,Roadmap!$D:$D,0)+COUNTIF($E92:AC92,"u")+COUNTIF($E92:AC92,"t")+COUNTIF($E92:AC92,"¶")+COUNTIF($E92:AC92,"²")+COUNTIF($E92:AC92,"µ")+COUNTIF($E92:AC92,1),ColLivraison)=AD$6,
  VLOOKUP($E92,INDIRECT("tri!"&amp; CHAR(64+ C0Col) &amp;":"&amp; CHAR(65+C0Col)),2,FALSE)&gt;COUNTIF($E92:AC92,"u")+COUNTIF($E92:AC92,"t")+COUNTIF($E92:AC92,"¶")+COUNTIF($E92:AC92,"²")+COUNTIF($E92:AC92,"µ")+COUNTIF($E92:AC92,1)),
HYPERLINK("#Roadmap!C"&amp; MATCH($E92,Roadmap!$D:$D,0)+COUNTIF($E92:AC92,"u")+COUNTIF($E92:AC92,"t"),
     INDEX(Roadmap!$D:$K,MATCH($E92,Roadmap!$D:$D,0)+COUNTIF($E92:AC92,"u")+COUNTIF($E92:AC92,"t")+COUNTIF($E92:AC92,"¶")+COUNTIF($E92:AC92,"²")+COUNTIF($E92:AC92,"µ")+COUNTIF($E92:AC92,1),ColTypeEcheance)),
  IF(LEN(AC92)=1,
  IF(LEN(INDEX(Roadmap!$D:$K,MATCH($E92,Roadmap!$D:$D,0)-1+COUNTIF($E92:AC92,"u")+COUNTIF($E92:AC92,"t")+COUNTIF($E92:AC92,"¶")+COUNTIF($E92:AC92,"²")+COUNTIF($E92:AC92,"µ")+COUNTIF($E92:AC92,1),ColDescriptionCourte))&gt;1,
HYPERLINK("#Roadmap!C"&amp; MATCH($E92,Roadmap!$D:$D,0)+COUNTIF($E92:AC92,"u")+COUNTIF($E92:AC92,"t")+COUNTIF($E92:AC92,"¶")+COUNTIF($E92:AC92,"²")+COUNTIF($E92:AC92,"µ")+COUNTIF($E92:AC92,1)-1,INDEX(Roadmap!$D:$K,MATCH($E92,Roadmap!$D:$D,0)-1+COUNTIF($E92:AC92,"u")+COUNTIF($E92:AC92,"t")+COUNTIF($E92:AC92,"¶")+COUNTIF($E92:AC92,"²")+COUNTIF($E92:AC92,"µ")+COUNTIF($E92:AC92,1),ColDescriptionCourte)),""),
  "")),"")</f>
        <v/>
      </c>
      <c r="AE92" s="40" t="str">
        <f ca="1">IFERROR(IF(AND(
  INDEX(Roadmap!$D:$K,MATCH($E92,Roadmap!$D:$D,0)+COUNTIF($E92:AD92,"u")+COUNTIF($E92:AD92,"t")+COUNTIF($E92:AD92,"¶")+COUNTIF($E92:AD92,"²")+COUNTIF($E92:AD92,"µ")+COUNTIF($E92:AD92,1),ColLivraison)=AE$6,
  VLOOKUP($E92,INDIRECT("tri!"&amp; CHAR(64+ C0Col) &amp;":"&amp; CHAR(65+C0Col)),2,FALSE)&gt;COUNTIF($E92:AD92,"u")+COUNTIF($E92:AD92,"t")+COUNTIF($E92:AD92,"¶")+COUNTIF($E92:AD92,"²")+COUNTIF($E92:AD92,"µ")+COUNTIF($E92:AD92,1)),
HYPERLINK("#Roadmap!C"&amp; MATCH($E92,Roadmap!$D:$D,0)+COUNTIF($E92:AD92,"u")+COUNTIF($E92:AD92,"t"),
     INDEX(Roadmap!$D:$K,MATCH($E92,Roadmap!$D:$D,0)+COUNTIF($E92:AD92,"u")+COUNTIF($E92:AD92,"t")+COUNTIF($E92:AD92,"¶")+COUNTIF($E92:AD92,"²")+COUNTIF($E92:AD92,"µ")+COUNTIF($E92:AD92,1),ColTypeEcheance)),
  IF(LEN(AD92)=1,
  IF(LEN(INDEX(Roadmap!$D:$K,MATCH($E92,Roadmap!$D:$D,0)-1+COUNTIF($E92:AD92,"u")+COUNTIF($E92:AD92,"t")+COUNTIF($E92:AD92,"¶")+COUNTIF($E92:AD92,"²")+COUNTIF($E92:AD92,"µ")+COUNTIF($E92:AD92,1),ColDescriptionCourte))&gt;1,
HYPERLINK("#Roadmap!C"&amp; MATCH($E92,Roadmap!$D:$D,0)+COUNTIF($E92:AD92,"u")+COUNTIF($E92:AD92,"t")+COUNTIF($E92:AD92,"¶")+COUNTIF($E92:AD92,"²")+COUNTIF($E92:AD92,"µ")+COUNTIF($E92:AD92,1)-1,INDEX(Roadmap!$D:$K,MATCH($E92,Roadmap!$D:$D,0)-1+COUNTIF($E92:AD92,"u")+COUNTIF($E92:AD92,"t")+COUNTIF($E92:AD92,"¶")+COUNTIF($E92:AD92,"²")+COUNTIF($E92:AD92,"µ")+COUNTIF($E92:AD92,1),ColDescriptionCourte)),""),
  "")),"")</f>
        <v/>
      </c>
      <c r="AF92" s="40" t="str">
        <f ca="1">IFERROR(IF(AND(
  INDEX(Roadmap!$D:$K,MATCH($E92,Roadmap!$D:$D,0)+COUNTIF($E92:AE92,"u")+COUNTIF($E92:AE92,"t")+COUNTIF($E92:AE92,"¶")+COUNTIF($E92:AE92,"²")+COUNTIF($E92:AE92,"µ")+COUNTIF($E92:AE92,1),ColLivraison)=AF$6,
  VLOOKUP($E92,INDIRECT("tri!"&amp; CHAR(64+ C0Col) &amp;":"&amp; CHAR(65+C0Col)),2,FALSE)&gt;COUNTIF($E92:AE92,"u")+COUNTIF($E92:AE92,"t")+COUNTIF($E92:AE92,"¶")+COUNTIF($E92:AE92,"²")+COUNTIF($E92:AE92,"µ")+COUNTIF($E92:AE92,1)),
HYPERLINK("#Roadmap!C"&amp; MATCH($E92,Roadmap!$D:$D,0)+COUNTIF($E92:AE92,"u")+COUNTIF($E92:AE92,"t"),
     INDEX(Roadmap!$D:$K,MATCH($E92,Roadmap!$D:$D,0)+COUNTIF($E92:AE92,"u")+COUNTIF($E92:AE92,"t")+COUNTIF($E92:AE92,"¶")+COUNTIF($E92:AE92,"²")+COUNTIF($E92:AE92,"µ")+COUNTIF($E92:AE92,1),ColTypeEcheance)),
  IF(LEN(AE92)=1,
  IF(LEN(INDEX(Roadmap!$D:$K,MATCH($E92,Roadmap!$D:$D,0)-1+COUNTIF($E92:AE92,"u")+COUNTIF($E92:AE92,"t")+COUNTIF($E92:AE92,"¶")+COUNTIF($E92:AE92,"²")+COUNTIF($E92:AE92,"µ")+COUNTIF($E92:AE92,1),ColDescriptionCourte))&gt;1,
HYPERLINK("#Roadmap!C"&amp; MATCH($E92,Roadmap!$D:$D,0)+COUNTIF($E92:AE92,"u")+COUNTIF($E92:AE92,"t")+COUNTIF($E92:AE92,"¶")+COUNTIF($E92:AE92,"²")+COUNTIF($E92:AE92,"µ")+COUNTIF($E92:AE92,1)-1,INDEX(Roadmap!$D:$K,MATCH($E92,Roadmap!$D:$D,0)-1+COUNTIF($E92:AE92,"u")+COUNTIF($E92:AE92,"t")+COUNTIF($E92:AE92,"¶")+COUNTIF($E92:AE92,"²")+COUNTIF($E92:AE92,"µ")+COUNTIF($E92:AE92,1),ColDescriptionCourte)),""),
  "")),"")</f>
        <v/>
      </c>
      <c r="AG92" s="40" t="str">
        <f ca="1">IFERROR(IF(AND(
  INDEX(Roadmap!$D:$K,MATCH($E92,Roadmap!$D:$D,0)+COUNTIF($E92:AF92,"u")+COUNTIF($E92:AF92,"t")+COUNTIF($E92:AF92,"¶")+COUNTIF($E92:AF92,"²")+COUNTIF($E92:AF92,"µ")+COUNTIF($E92:AF92,1),ColLivraison)=AG$6,
  VLOOKUP($E92,INDIRECT("tri!"&amp; CHAR(64+ C0Col) &amp;":"&amp; CHAR(65+C0Col)),2,FALSE)&gt;COUNTIF($E92:AF92,"u")+COUNTIF($E92:AF92,"t")+COUNTIF($E92:AF92,"¶")+COUNTIF($E92:AF92,"²")+COUNTIF($E92:AF92,"µ")+COUNTIF($E92:AF92,1)),
HYPERLINK("#Roadmap!C"&amp; MATCH($E92,Roadmap!$D:$D,0)+COUNTIF($E92:AF92,"u")+COUNTIF($E92:AF92,"t"),
     INDEX(Roadmap!$D:$K,MATCH($E92,Roadmap!$D:$D,0)+COUNTIF($E92:AF92,"u")+COUNTIF($E92:AF92,"t")+COUNTIF($E92:AF92,"¶")+COUNTIF($E92:AF92,"²")+COUNTIF($E92:AF92,"µ")+COUNTIF($E92:AF92,1),ColTypeEcheance)),
  IF(LEN(AF92)=1,
  IF(LEN(INDEX(Roadmap!$D:$K,MATCH($E92,Roadmap!$D:$D,0)-1+COUNTIF($E92:AF92,"u")+COUNTIF($E92:AF92,"t")+COUNTIF($E92:AF92,"¶")+COUNTIF($E92:AF92,"²")+COUNTIF($E92:AF92,"µ")+COUNTIF($E92:AF92,1),ColDescriptionCourte))&gt;1,
HYPERLINK("#Roadmap!C"&amp; MATCH($E92,Roadmap!$D:$D,0)+COUNTIF($E92:AF92,"u")+COUNTIF($E92:AF92,"t")+COUNTIF($E92:AF92,"¶")+COUNTIF($E92:AF92,"²")+COUNTIF($E92:AF92,"µ")+COUNTIF($E92:AF92,1)-1,INDEX(Roadmap!$D:$K,MATCH($E92,Roadmap!$D:$D,0)-1+COUNTIF($E92:AF92,"u")+COUNTIF($E92:AF92,"t")+COUNTIF($E92:AF92,"¶")+COUNTIF($E92:AF92,"²")+COUNTIF($E92:AF92,"µ")+COUNTIF($E92:AF92,1),ColDescriptionCourte)),""),
  "")),"")</f>
        <v/>
      </c>
    </row>
    <row r="93" spans="3:33" ht="14.25" customHeight="1">
      <c r="C93" s="1" t="str">
        <f t="shared" ca="1" si="47"/>
        <v/>
      </c>
      <c r="D93" s="1" t="str">
        <f t="shared" ca="1" si="48"/>
        <v/>
      </c>
      <c r="E93" s="35" t="str">
        <f t="shared" ca="1" si="46"/>
        <v/>
      </c>
      <c r="F93" s="39" t="str">
        <f ca="1">IFERROR(IF(AND(
  INDEX(Roadmap!$D:$K,MATCH($E93,Roadmap!$D:$D,0)+COUNTIF($E93:E93,"u")+COUNTIF($E93:E93,"t")+COUNTIF($E93:E93,"¶")+COUNTIF($E93:E93,"²")+COUNTIF($E93:E93,"µ")+COUNTIF($E93:E93,1),ColLivraison)=F$6,
  VLOOKUP($E93,INDIRECT("tri!"&amp; CHAR(64+ C0Col) &amp;":"&amp; CHAR(65+C0Col)),2,FALSE)&gt;COUNTIF($E93:E93,"u")+COUNTIF($E93:E93,"t")+COUNTIF($E93:E93,"¶")+COUNTIF($E93:E93,"²")+COUNTIF($E93:E93,"µ")+COUNTIF($E93:E93,1)),
HYPERLINK("#Roadmap!C"&amp; MATCH($E93,Roadmap!$D:$D,0)+COUNTIF($E93:E93,"u")+COUNTIF($E93:E93,"t"),
     INDEX(Roadmap!$D:$K,MATCH($E93,Roadmap!$D:$D,0)+COUNTIF($E93:E93,"u")+COUNTIF($E93:E93,"t")+COUNTIF($E93:E93,"¶")+COUNTIF($E93:E93,"²")+COUNTIF($E93:E93,"µ")+COUNTIF($E93:E93,1),ColTypeEcheance)),
  IF(LEN(E93)=1,
  IF(LEN(INDEX(Roadmap!$D:$K,MATCH($E93,Roadmap!$D:$D,0)-1+COUNTIF($E93:E93,"u")+COUNTIF($E93:E93,"t")+COUNTIF($E93:E93,"¶")+COUNTIF($E93:E93,"²")+COUNTIF($E93:E93,"µ")+COUNTIF($E93:E93,1),ColDescriptionCourte))&gt;1,
HYPERLINK("#Roadmap!C"&amp; MATCH($E93,Roadmap!$D:$D,0)+COUNTIF($E93:E93,"u")+COUNTIF($E93:E93,"t")+COUNTIF($E93:E93,"¶")+COUNTIF($E93:E93,"²")+COUNTIF($E93:E93,"µ")+COUNTIF($E93:E93,1)-1,INDEX(Roadmap!$D:$K,MATCH($E93,Roadmap!$D:$D,0)-1+COUNTIF($E93:E93,"u")+COUNTIF($E93:E93,"t")+COUNTIF($E93:E93,"¶")+COUNTIF($E93:E93,"²")+COUNTIF($E93:E93,"µ")+COUNTIF($E93:E93,1),ColDescriptionCourte)),""),
  "")),"")</f>
        <v/>
      </c>
      <c r="G93" s="40" t="str">
        <f ca="1">IFERROR(IF(AND(
  INDEX(Roadmap!$D:$K,MATCH($E93,Roadmap!$D:$D,0)+COUNTIF($E93:F93,"u")+COUNTIF($E93:F93,"t")+COUNTIF($E93:F93,"¶")+COUNTIF($E93:F93,"²")+COUNTIF($E93:F93,"µ")+COUNTIF($E93:F93,1),ColLivraison)=G$6,
  VLOOKUP($E93,INDIRECT("tri!"&amp; CHAR(64+ C0Col) &amp;":"&amp; CHAR(65+C0Col)),2,FALSE)&gt;COUNTIF($E93:F93,"u")+COUNTIF($E93:F93,"t")+COUNTIF($E93:F93,"¶")+COUNTIF($E93:F93,"²")+COUNTIF($E93:F93,"µ")+COUNTIF($E93:F93,1)),
HYPERLINK("#Roadmap!C"&amp; MATCH($E93,Roadmap!$D:$D,0)+COUNTIF($E93:F93,"u")+COUNTIF($E93:F93,"t"),
     INDEX(Roadmap!$D:$K,MATCH($E93,Roadmap!$D:$D,0)+COUNTIF($E93:F93,"u")+COUNTIF($E93:F93,"t")+COUNTIF($E93:F93,"¶")+COUNTIF($E93:F93,"²")+COUNTIF($E93:F93,"µ")+COUNTIF($E93:F93,1),ColTypeEcheance)),
  IF(LEN(F93)=1,
  IF(LEN(INDEX(Roadmap!$D:$K,MATCH($E93,Roadmap!$D:$D,0)-1+COUNTIF($E93:F93,"u")+COUNTIF($E93:F93,"t")+COUNTIF($E93:F93,"¶")+COUNTIF($E93:F93,"²")+COUNTIF($E93:F93,"µ")+COUNTIF($E93:F93,1),ColDescriptionCourte))&gt;1,
HYPERLINK("#Roadmap!C"&amp; MATCH($E93,Roadmap!$D:$D,0)+COUNTIF($E93:F93,"u")+COUNTIF($E93:F93,"t")+COUNTIF($E93:F93,"¶")+COUNTIF($E93:F93,"²")+COUNTIF($E93:F93,"µ")+COUNTIF($E93:F93,1)-1,INDEX(Roadmap!$D:$K,MATCH($E93,Roadmap!$D:$D,0)-1+COUNTIF($E93:F93,"u")+COUNTIF($E93:F93,"t")+COUNTIF($E93:F93,"¶")+COUNTIF($E93:F93,"²")+COUNTIF($E93:F93,"µ")+COUNTIF($E93:F93,1),ColDescriptionCourte)),""),
  "")),"")</f>
        <v/>
      </c>
      <c r="H93" s="40" t="str">
        <f ca="1">IFERROR(IF(AND(
  INDEX(Roadmap!$D:$K,MATCH($E93,Roadmap!$D:$D,0)+COUNTIF($E93:G93,"u")+COUNTIF($E93:G93,"t")+COUNTIF($E93:G93,"¶")+COUNTIF($E93:G93,"²")+COUNTIF($E93:G93,"µ")+COUNTIF($E93:G93,1),ColLivraison)=H$6,
  VLOOKUP($E93,INDIRECT("tri!"&amp; CHAR(64+ C0Col) &amp;":"&amp; CHAR(65+C0Col)),2,FALSE)&gt;COUNTIF($E93:G93,"u")+COUNTIF($E93:G93,"t")+COUNTIF($E93:G93,"¶")+COUNTIF($E93:G93,"²")+COUNTIF($E93:G93,"µ")+COUNTIF($E93:G93,1)),
HYPERLINK("#Roadmap!C"&amp; MATCH($E93,Roadmap!$D:$D,0)+COUNTIF($E93:G93,"u")+COUNTIF($E93:G93,"t"),
     INDEX(Roadmap!$D:$K,MATCH($E93,Roadmap!$D:$D,0)+COUNTIF($E93:G93,"u")+COUNTIF($E93:G93,"t")+COUNTIF($E93:G93,"¶")+COUNTIF($E93:G93,"²")+COUNTIF($E93:G93,"µ")+COUNTIF($E93:G93,1),ColTypeEcheance)),
  IF(LEN(G93)=1,
  IF(LEN(INDEX(Roadmap!$D:$K,MATCH($E93,Roadmap!$D:$D,0)-1+COUNTIF($E93:G93,"u")+COUNTIF($E93:G93,"t")+COUNTIF($E93:G93,"¶")+COUNTIF($E93:G93,"²")+COUNTIF($E93:G93,"µ")+COUNTIF($E93:G93,1),ColDescriptionCourte))&gt;1,
HYPERLINK("#Roadmap!C"&amp; MATCH($E93,Roadmap!$D:$D,0)+COUNTIF($E93:G93,"u")+COUNTIF($E93:G93,"t")+COUNTIF($E93:G93,"¶")+COUNTIF($E93:G93,"²")+COUNTIF($E93:G93,"µ")+COUNTIF($E93:G93,1)-1,INDEX(Roadmap!$D:$K,MATCH($E93,Roadmap!$D:$D,0)-1+COUNTIF($E93:G93,"u")+COUNTIF($E93:G93,"t")+COUNTIF($E93:G93,"¶")+COUNTIF($E93:G93,"²")+COUNTIF($E93:G93,"µ")+COUNTIF($E93:G93,1),ColDescriptionCourte)),""),
  "")),"")</f>
        <v/>
      </c>
      <c r="I93" s="40" t="str">
        <f ca="1">IFERROR(IF(AND(
  INDEX(Roadmap!$D:$K,MATCH($E93,Roadmap!$D:$D,0)+COUNTIF($E93:H93,"u")+COUNTIF($E93:H93,"t")+COUNTIF($E93:H93,"¶")+COUNTIF($E93:H93,"²")+COUNTIF($E93:H93,"µ")+COUNTIF($E93:H93,1),ColLivraison)=I$6,
  VLOOKUP($E93,INDIRECT("tri!"&amp; CHAR(64+ C0Col) &amp;":"&amp; CHAR(65+C0Col)),2,FALSE)&gt;COUNTIF($E93:H93,"u")+COUNTIF($E93:H93,"t")+COUNTIF($E93:H93,"¶")+COUNTIF($E93:H93,"²")+COUNTIF($E93:H93,"µ")+COUNTIF($E93:H93,1)),
HYPERLINK("#Roadmap!C"&amp; MATCH($E93,Roadmap!$D:$D,0)+COUNTIF($E93:H93,"u")+COUNTIF($E93:H93,"t"),
     INDEX(Roadmap!$D:$K,MATCH($E93,Roadmap!$D:$D,0)+COUNTIF($E93:H93,"u")+COUNTIF($E93:H93,"t")+COUNTIF($E93:H93,"¶")+COUNTIF($E93:H93,"²")+COUNTIF($E93:H93,"µ")+COUNTIF($E93:H93,1),ColTypeEcheance)),
  IF(LEN(H93)=1,
  IF(LEN(INDEX(Roadmap!$D:$K,MATCH($E93,Roadmap!$D:$D,0)-1+COUNTIF($E93:H93,"u")+COUNTIF($E93:H93,"t")+COUNTIF($E93:H93,"¶")+COUNTIF($E93:H93,"²")+COUNTIF($E93:H93,"µ")+COUNTIF($E93:H93,1),ColDescriptionCourte))&gt;1,
HYPERLINK("#Roadmap!C"&amp; MATCH($E93,Roadmap!$D:$D,0)+COUNTIF($E93:H93,"u")+COUNTIF($E93:H93,"t")+COUNTIF($E93:H93,"¶")+COUNTIF($E93:H93,"²")+COUNTIF($E93:H93,"µ")+COUNTIF($E93:H93,1)-1,INDEX(Roadmap!$D:$K,MATCH($E93,Roadmap!$D:$D,0)-1+COUNTIF($E93:H93,"u")+COUNTIF($E93:H93,"t")+COUNTIF($E93:H93,"¶")+COUNTIF($E93:H93,"²")+COUNTIF($E93:H93,"µ")+COUNTIF($E93:H93,1),ColDescriptionCourte)),""),
  "")),"")</f>
        <v/>
      </c>
      <c r="J93" s="40" t="str">
        <f ca="1">IFERROR(IF(AND(
  INDEX(Roadmap!$D:$K,MATCH($E93,Roadmap!$D:$D,0)+COUNTIF($E93:I93,"u")+COUNTIF($E93:I93,"t")+COUNTIF($E93:I93,"¶")+COUNTIF($E93:I93,"²")+COUNTIF($E93:I93,"µ")+COUNTIF($E93:I93,1),ColLivraison)=J$6,
  VLOOKUP($E93,INDIRECT("tri!"&amp; CHAR(64+ C0Col) &amp;":"&amp; CHAR(65+C0Col)),2,FALSE)&gt;COUNTIF($E93:I93,"u")+COUNTIF($E93:I93,"t")+COUNTIF($E93:I93,"¶")+COUNTIF($E93:I93,"²")+COUNTIF($E93:I93,"µ")+COUNTIF($E93:I93,1)),
HYPERLINK("#Roadmap!C"&amp; MATCH($E93,Roadmap!$D:$D,0)+COUNTIF($E93:I93,"u")+COUNTIF($E93:I93,"t"),
     INDEX(Roadmap!$D:$K,MATCH($E93,Roadmap!$D:$D,0)+COUNTIF($E93:I93,"u")+COUNTIF($E93:I93,"t")+COUNTIF($E93:I93,"¶")+COUNTIF($E93:I93,"²")+COUNTIF($E93:I93,"µ")+COUNTIF($E93:I93,1),ColTypeEcheance)),
  IF(LEN(I93)=1,
  IF(LEN(INDEX(Roadmap!$D:$K,MATCH($E93,Roadmap!$D:$D,0)-1+COUNTIF($E93:I93,"u")+COUNTIF($E93:I93,"t")+COUNTIF($E93:I93,"¶")+COUNTIF($E93:I93,"²")+COUNTIF($E93:I93,"µ")+COUNTIF($E93:I93,1),ColDescriptionCourte))&gt;1,
HYPERLINK("#Roadmap!C"&amp; MATCH($E93,Roadmap!$D:$D,0)+COUNTIF($E93:I93,"u")+COUNTIF($E93:I93,"t")+COUNTIF($E93:I93,"¶")+COUNTIF($E93:I93,"²")+COUNTIF($E93:I93,"µ")+COUNTIF($E93:I93,1)-1,INDEX(Roadmap!$D:$K,MATCH($E93,Roadmap!$D:$D,0)-1+COUNTIF($E93:I93,"u")+COUNTIF($E93:I93,"t")+COUNTIF($E93:I93,"¶")+COUNTIF($E93:I93,"²")+COUNTIF($E93:I93,"µ")+COUNTIF($E93:I93,1),ColDescriptionCourte)),""),
  "")),"")</f>
        <v/>
      </c>
      <c r="K93" s="40" t="str">
        <f ca="1">IFERROR(IF(AND(
  INDEX(Roadmap!$D:$K,MATCH($E93,Roadmap!$D:$D,0)+COUNTIF($E93:J93,"u")+COUNTIF($E93:J93,"t")+COUNTIF($E93:J93,"¶")+COUNTIF($E93:J93,"²")+COUNTIF($E93:J93,"µ")+COUNTIF($E93:J93,1),ColLivraison)=K$6,
  VLOOKUP($E93,INDIRECT("tri!"&amp; CHAR(64+ C0Col) &amp;":"&amp; CHAR(65+C0Col)),2,FALSE)&gt;COUNTIF($E93:J93,"u")+COUNTIF($E93:J93,"t")+COUNTIF($E93:J93,"¶")+COUNTIF($E93:J93,"²")+COUNTIF($E93:J93,"µ")+COUNTIF($E93:J93,1)),
HYPERLINK("#Roadmap!C"&amp; MATCH($E93,Roadmap!$D:$D,0)+COUNTIF($E93:J93,"u")+COUNTIF($E93:J93,"t"),
     INDEX(Roadmap!$D:$K,MATCH($E93,Roadmap!$D:$D,0)+COUNTIF($E93:J93,"u")+COUNTIF($E93:J93,"t")+COUNTIF($E93:J93,"¶")+COUNTIF($E93:J93,"²")+COUNTIF($E93:J93,"µ")+COUNTIF($E93:J93,1),ColTypeEcheance)),
  IF(LEN(J93)=1,
  IF(LEN(INDEX(Roadmap!$D:$K,MATCH($E93,Roadmap!$D:$D,0)-1+COUNTIF($E93:J93,"u")+COUNTIF($E93:J93,"t")+COUNTIF($E93:J93,"¶")+COUNTIF($E93:J93,"²")+COUNTIF($E93:J93,"µ")+COUNTIF($E93:J93,1),ColDescriptionCourte))&gt;1,
HYPERLINK("#Roadmap!C"&amp; MATCH($E93,Roadmap!$D:$D,0)+COUNTIF($E93:J93,"u")+COUNTIF($E93:J93,"t")+COUNTIF($E93:J93,"¶")+COUNTIF($E93:J93,"²")+COUNTIF($E93:J93,"µ")+COUNTIF($E93:J93,1)-1,INDEX(Roadmap!$D:$K,MATCH($E93,Roadmap!$D:$D,0)-1+COUNTIF($E93:J93,"u")+COUNTIF($E93:J93,"t")+COUNTIF($E93:J93,"¶")+COUNTIF($E93:J93,"²")+COUNTIF($E93:J93,"µ")+COUNTIF($E93:J93,1),ColDescriptionCourte)),""),
  "")),"")</f>
        <v/>
      </c>
      <c r="L93" s="39" t="str">
        <f ca="1">IFERROR(IF(AND(
  INDEX(Roadmap!$D:$K,MATCH($E93,Roadmap!$D:$D,0)+COUNTIF($E93:K93,"u")+COUNTIF($E93:K93,"t")+COUNTIF($E93:K93,"¶")+COUNTIF($E93:K93,"²")+COUNTIF($E93:K93,"µ")+COUNTIF($E93:K93,1),ColLivraison)=L$6,
  VLOOKUP($E93,INDIRECT("tri!"&amp; CHAR(64+ C0Col) &amp;":"&amp; CHAR(65+C0Col)),2,FALSE)&gt;COUNTIF($E93:K93,"u")+COUNTIF($E93:K93,"t")+COUNTIF($E93:K93,"¶")+COUNTIF($E93:K93,"²")+COUNTIF($E93:K93,"µ")+COUNTIF($E93:K93,1)),
HYPERLINK("#Roadmap!C"&amp; MATCH($E93,Roadmap!$D:$D,0)+COUNTIF($E93:K93,"u")+COUNTIF($E93:K93,"t"),
     INDEX(Roadmap!$D:$K,MATCH($E93,Roadmap!$D:$D,0)+COUNTIF($E93:K93,"u")+COUNTIF($E93:K93,"t")+COUNTIF($E93:K93,"¶")+COUNTIF($E93:K93,"²")+COUNTIF($E93:K93,"µ")+COUNTIF($E93:K93,1),ColTypeEcheance)),
  IF(LEN(K93)=1,
  IF(LEN(INDEX(Roadmap!$D:$K,MATCH($E93,Roadmap!$D:$D,0)-1+COUNTIF($E93:K93,"u")+COUNTIF($E93:K93,"t")+COUNTIF($E93:K93,"¶")+COUNTIF($E93:K93,"²")+COUNTIF($E93:K93,"µ")+COUNTIF($E93:K93,1),ColDescriptionCourte))&gt;1,
HYPERLINK("#Roadmap!C"&amp; MATCH($E93,Roadmap!$D:$D,0)+COUNTIF($E93:K93,"u")+COUNTIF($E93:K93,"t")+COUNTIF($E93:K93,"¶")+COUNTIF($E93:K93,"²")+COUNTIF($E93:K93,"µ")+COUNTIF($E93:K93,1)-1,INDEX(Roadmap!$D:$K,MATCH($E93,Roadmap!$D:$D,0)-1+COUNTIF($E93:K93,"u")+COUNTIF($E93:K93,"t")+COUNTIF($E93:K93,"¶")+COUNTIF($E93:K93,"²")+COUNTIF($E93:K93,"µ")+COUNTIF($E93:K93,1),ColDescriptionCourte)),""),
  "")),"")</f>
        <v/>
      </c>
      <c r="M93" s="40" t="str">
        <f ca="1">IFERROR(IF(AND(
  INDEX(Roadmap!$D:$K,MATCH($E93,Roadmap!$D:$D,0)+COUNTIF($E93:L93,"u")+COUNTIF($E93:L93,"t")+COUNTIF($E93:L93,"¶")+COUNTIF($E93:L93,"²")+COUNTIF($E93:L93,"µ")+COUNTIF($E93:L93,1),ColLivraison)=M$6,
  VLOOKUP($E93,INDIRECT("tri!"&amp; CHAR(64+ C0Col) &amp;":"&amp; CHAR(65+C0Col)),2,FALSE)&gt;COUNTIF($E93:L93,"u")+COUNTIF($E93:L93,"t")+COUNTIF($E93:L93,"¶")+COUNTIF($E93:L93,"²")+COUNTIF($E93:L93,"µ")+COUNTIF($E93:L93,1)),
HYPERLINK("#Roadmap!C"&amp; MATCH($E93,Roadmap!$D:$D,0)+COUNTIF($E93:L93,"u")+COUNTIF($E93:L93,"t"),
     INDEX(Roadmap!$D:$K,MATCH($E93,Roadmap!$D:$D,0)+COUNTIF($E93:L93,"u")+COUNTIF($E93:L93,"t")+COUNTIF($E93:L93,"¶")+COUNTIF($E93:L93,"²")+COUNTIF($E93:L93,"µ")+COUNTIF($E93:L93,1),ColTypeEcheance)),
  IF(LEN(L93)=1,
  IF(LEN(INDEX(Roadmap!$D:$K,MATCH($E93,Roadmap!$D:$D,0)-1+COUNTIF($E93:L93,"u")+COUNTIF($E93:L93,"t")+COUNTIF($E93:L93,"¶")+COUNTIF($E93:L93,"²")+COUNTIF($E93:L93,"µ")+COUNTIF($E93:L93,1),ColDescriptionCourte))&gt;1,
HYPERLINK("#Roadmap!C"&amp; MATCH($E93,Roadmap!$D:$D,0)+COUNTIF($E93:L93,"u")+COUNTIF($E93:L93,"t")+COUNTIF($E93:L93,"¶")+COUNTIF($E93:L93,"²")+COUNTIF($E93:L93,"µ")+COUNTIF($E93:L93,1)-1,INDEX(Roadmap!$D:$K,MATCH($E93,Roadmap!$D:$D,0)-1+COUNTIF($E93:L93,"u")+COUNTIF($E93:L93,"t")+COUNTIF($E93:L93,"¶")+COUNTIF($E93:L93,"²")+COUNTIF($E93:L93,"µ")+COUNTIF($E93:L93,1),ColDescriptionCourte)),""),
  "")),"")</f>
        <v/>
      </c>
      <c r="N93" s="40" t="str">
        <f ca="1">IFERROR(IF(AND(
  INDEX(Roadmap!$D:$K,MATCH($E93,Roadmap!$D:$D,0)+COUNTIF($E93:M93,"u")+COUNTIF($E93:M93,"t")+COUNTIF($E93:M93,"¶")+COUNTIF($E93:M93,"²")+COUNTIF($E93:M93,"µ")+COUNTIF($E93:M93,1),ColLivraison)=N$6,
  VLOOKUP($E93,INDIRECT("tri!"&amp; CHAR(64+ C0Col) &amp;":"&amp; CHAR(65+C0Col)),2,FALSE)&gt;COUNTIF($E93:M93,"u")+COUNTIF($E93:M93,"t")+COUNTIF($E93:M93,"¶")+COUNTIF($E93:M93,"²")+COUNTIF($E93:M93,"µ")+COUNTIF($E93:M93,1)),
HYPERLINK("#Roadmap!C"&amp; MATCH($E93,Roadmap!$D:$D,0)+COUNTIF($E93:M93,"u")+COUNTIF($E93:M93,"t"),
     INDEX(Roadmap!$D:$K,MATCH($E93,Roadmap!$D:$D,0)+COUNTIF($E93:M93,"u")+COUNTIF($E93:M93,"t")+COUNTIF($E93:M93,"¶")+COUNTIF($E93:M93,"²")+COUNTIF($E93:M93,"µ")+COUNTIF($E93:M93,1),ColTypeEcheance)),
  IF(LEN(M93)=1,
  IF(LEN(INDEX(Roadmap!$D:$K,MATCH($E93,Roadmap!$D:$D,0)-1+COUNTIF($E93:M93,"u")+COUNTIF($E93:M93,"t")+COUNTIF($E93:M93,"¶")+COUNTIF($E93:M93,"²")+COUNTIF($E93:M93,"µ")+COUNTIF($E93:M93,1),ColDescriptionCourte))&gt;1,
HYPERLINK("#Roadmap!C"&amp; MATCH($E93,Roadmap!$D:$D,0)+COUNTIF($E93:M93,"u")+COUNTIF($E93:M93,"t")+COUNTIF($E93:M93,"¶")+COUNTIF($E93:M93,"²")+COUNTIF($E93:M93,"µ")+COUNTIF($E93:M93,1)-1,INDEX(Roadmap!$D:$K,MATCH($E93,Roadmap!$D:$D,0)-1+COUNTIF($E93:M93,"u")+COUNTIF($E93:M93,"t")+COUNTIF($E93:M93,"¶")+COUNTIF($E93:M93,"²")+COUNTIF($E93:M93,"µ")+COUNTIF($E93:M93,1),ColDescriptionCourte)),""),
  "")),"")</f>
        <v/>
      </c>
      <c r="O93" s="40" t="str">
        <f ca="1">IFERROR(IF(AND(
  INDEX(Roadmap!$D:$K,MATCH($E93,Roadmap!$D:$D,0)+COUNTIF($E93:N93,"u")+COUNTIF($E93:N93,"t")+COUNTIF($E93:N93,"¶")+COUNTIF($E93:N93,"²")+COUNTIF($E93:N93,"µ")+COUNTIF($E93:N93,1),ColLivraison)=O$6,
  VLOOKUP($E93,INDIRECT("tri!"&amp; CHAR(64+ C0Col) &amp;":"&amp; CHAR(65+C0Col)),2,FALSE)&gt;COUNTIF($E93:N93,"u")+COUNTIF($E93:N93,"t")+COUNTIF($E93:N93,"¶")+COUNTIF($E93:N93,"²")+COUNTIF($E93:N93,"µ")+COUNTIF($E93:N93,1)),
HYPERLINK("#Roadmap!C"&amp; MATCH($E93,Roadmap!$D:$D,0)+COUNTIF($E93:N93,"u")+COUNTIF($E93:N93,"t"),
     INDEX(Roadmap!$D:$K,MATCH($E93,Roadmap!$D:$D,0)+COUNTIF($E93:N93,"u")+COUNTIF($E93:N93,"t")+COUNTIF($E93:N93,"¶")+COUNTIF($E93:N93,"²")+COUNTIF($E93:N93,"µ")+COUNTIF($E93:N93,1),ColTypeEcheance)),
  IF(LEN(N93)=1,
  IF(LEN(INDEX(Roadmap!$D:$K,MATCH($E93,Roadmap!$D:$D,0)-1+COUNTIF($E93:N93,"u")+COUNTIF($E93:N93,"t")+COUNTIF($E93:N93,"¶")+COUNTIF($E93:N93,"²")+COUNTIF($E93:N93,"µ")+COUNTIF($E93:N93,1),ColDescriptionCourte))&gt;1,
HYPERLINK("#Roadmap!C"&amp; MATCH($E93,Roadmap!$D:$D,0)+COUNTIF($E93:N93,"u")+COUNTIF($E93:N93,"t")+COUNTIF($E93:N93,"¶")+COUNTIF($E93:N93,"²")+COUNTIF($E93:N93,"µ")+COUNTIF($E93:N93,1)-1,INDEX(Roadmap!$D:$K,MATCH($E93,Roadmap!$D:$D,0)-1+COUNTIF($E93:N93,"u")+COUNTIF($E93:N93,"t")+COUNTIF($E93:N93,"¶")+COUNTIF($E93:N93,"²")+COUNTIF($E93:N93,"µ")+COUNTIF($E93:N93,1),ColDescriptionCourte)),""),
  "")),"")</f>
        <v/>
      </c>
      <c r="P93" s="40" t="str">
        <f ca="1">IFERROR(IF(AND(
  INDEX(Roadmap!$D:$K,MATCH($E93,Roadmap!$D:$D,0)+COUNTIF($E93:O93,"u")+COUNTIF($E93:O93,"t")+COUNTIF($E93:O93,"¶")+COUNTIF($E93:O93,"²")+COUNTIF($E93:O93,"µ")+COUNTIF($E93:O93,1),ColLivraison)=P$6,
  VLOOKUP($E93,INDIRECT("tri!"&amp; CHAR(64+ C0Col) &amp;":"&amp; CHAR(65+C0Col)),2,FALSE)&gt;COUNTIF($E93:O93,"u")+COUNTIF($E93:O93,"t")+COUNTIF($E93:O93,"¶")+COUNTIF($E93:O93,"²")+COUNTIF($E93:O93,"µ")+COUNTIF($E93:O93,1)),
HYPERLINK("#Roadmap!C"&amp; MATCH($E93,Roadmap!$D:$D,0)+COUNTIF($E93:O93,"u")+COUNTIF($E93:O93,"t"),
     INDEX(Roadmap!$D:$K,MATCH($E93,Roadmap!$D:$D,0)+COUNTIF($E93:O93,"u")+COUNTIF($E93:O93,"t")+COUNTIF($E93:O93,"¶")+COUNTIF($E93:O93,"²")+COUNTIF($E93:O93,"µ")+COUNTIF($E93:O93,1),ColTypeEcheance)),
  IF(LEN(O93)=1,
  IF(LEN(INDEX(Roadmap!$D:$K,MATCH($E93,Roadmap!$D:$D,0)-1+COUNTIF($E93:O93,"u")+COUNTIF($E93:O93,"t")+COUNTIF($E93:O93,"¶")+COUNTIF($E93:O93,"²")+COUNTIF($E93:O93,"µ")+COUNTIF($E93:O93,1),ColDescriptionCourte))&gt;1,
HYPERLINK("#Roadmap!C"&amp; MATCH($E93,Roadmap!$D:$D,0)+COUNTIF($E93:O93,"u")+COUNTIF($E93:O93,"t")+COUNTIF($E93:O93,"¶")+COUNTIF($E93:O93,"²")+COUNTIF($E93:O93,"µ")+COUNTIF($E93:O93,1)-1,INDEX(Roadmap!$D:$K,MATCH($E93,Roadmap!$D:$D,0)-1+COUNTIF($E93:O93,"u")+COUNTIF($E93:O93,"t")+COUNTIF($E93:O93,"¶")+COUNTIF($E93:O93,"²")+COUNTIF($E93:O93,"µ")+COUNTIF($E93:O93,1),ColDescriptionCourte)),""),
  "")),"")</f>
        <v/>
      </c>
      <c r="Q93" s="40" t="str">
        <f ca="1">IFERROR(IF(AND(
  INDEX(Roadmap!$D:$K,MATCH($E93,Roadmap!$D:$D,0)+COUNTIF($E93:P93,"u")+COUNTIF($E93:P93,"t")+COUNTIF($E93:P93,"¶")+COUNTIF($E93:P93,"²")+COUNTIF($E93:P93,"µ")+COUNTIF($E93:P93,1),ColLivraison)=Q$6,
  VLOOKUP($E93,INDIRECT("tri!"&amp; CHAR(64+ C0Col) &amp;":"&amp; CHAR(65+C0Col)),2,FALSE)&gt;COUNTIF($E93:P93,"u")+COUNTIF($E93:P93,"t")+COUNTIF($E93:P93,"¶")+COUNTIF($E93:P93,"²")+COUNTIF($E93:P93,"µ")+COUNTIF($E93:P93,1)),
HYPERLINK("#Roadmap!C"&amp; MATCH($E93,Roadmap!$D:$D,0)+COUNTIF($E93:P93,"u")+COUNTIF($E93:P93,"t"),
     INDEX(Roadmap!$D:$K,MATCH($E93,Roadmap!$D:$D,0)+COUNTIF($E93:P93,"u")+COUNTIF($E93:P93,"t")+COUNTIF($E93:P93,"¶")+COUNTIF($E93:P93,"²")+COUNTIF($E93:P93,"µ")+COUNTIF($E93:P93,1),ColTypeEcheance)),
  IF(LEN(P93)=1,
  IF(LEN(INDEX(Roadmap!$D:$K,MATCH($E93,Roadmap!$D:$D,0)-1+COUNTIF($E93:P93,"u")+COUNTIF($E93:P93,"t")+COUNTIF($E93:P93,"¶")+COUNTIF($E93:P93,"²")+COUNTIF($E93:P93,"µ")+COUNTIF($E93:P93,1),ColDescriptionCourte))&gt;1,
HYPERLINK("#Roadmap!C"&amp; MATCH($E93,Roadmap!$D:$D,0)+COUNTIF($E93:P93,"u")+COUNTIF($E93:P93,"t")+COUNTIF($E93:P93,"¶")+COUNTIF($E93:P93,"²")+COUNTIF($E93:P93,"µ")+COUNTIF($E93:P93,1)-1,INDEX(Roadmap!$D:$K,MATCH($E93,Roadmap!$D:$D,0)-1+COUNTIF($E93:P93,"u")+COUNTIF($E93:P93,"t")+COUNTIF($E93:P93,"¶")+COUNTIF($E93:P93,"²")+COUNTIF($E93:P93,"µ")+COUNTIF($E93:P93,1),ColDescriptionCourte)),""),
  "")),"")</f>
        <v/>
      </c>
      <c r="R93" s="40" t="str">
        <f ca="1">IFERROR(IF(AND(
  INDEX(Roadmap!$D:$K,MATCH($E93,Roadmap!$D:$D,0)+COUNTIF($E93:Q93,"u")+COUNTIF($E93:Q93,"t")+COUNTIF($E93:Q93,"¶")+COUNTIF($E93:Q93,"²")+COUNTIF($E93:Q93,"µ")+COUNTIF($E93:Q93,1),ColLivraison)=R$6,
  VLOOKUP($E93,INDIRECT("tri!"&amp; CHAR(64+ C0Col) &amp;":"&amp; CHAR(65+C0Col)),2,FALSE)&gt;COUNTIF($E93:Q93,"u")+COUNTIF($E93:Q93,"t")+COUNTIF($E93:Q93,"¶")+COUNTIF($E93:Q93,"²")+COUNTIF($E93:Q93,"µ")+COUNTIF($E93:Q93,1)),
HYPERLINK("#Roadmap!C"&amp; MATCH($E93,Roadmap!$D:$D,0)+COUNTIF($E93:Q93,"u")+COUNTIF($E93:Q93,"t"),
     INDEX(Roadmap!$D:$K,MATCH($E93,Roadmap!$D:$D,0)+COUNTIF($E93:Q93,"u")+COUNTIF($E93:Q93,"t")+COUNTIF($E93:Q93,"¶")+COUNTIF($E93:Q93,"²")+COUNTIF($E93:Q93,"µ")+COUNTIF($E93:Q93,1),ColTypeEcheance)),
  IF(LEN(Q93)=1,
  IF(LEN(INDEX(Roadmap!$D:$K,MATCH($E93,Roadmap!$D:$D,0)-1+COUNTIF($E93:Q93,"u")+COUNTIF($E93:Q93,"t")+COUNTIF($E93:Q93,"¶")+COUNTIF($E93:Q93,"²")+COUNTIF($E93:Q93,"µ")+COUNTIF($E93:Q93,1),ColDescriptionCourte))&gt;1,
HYPERLINK("#Roadmap!C"&amp; MATCH($E93,Roadmap!$D:$D,0)+COUNTIF($E93:Q93,"u")+COUNTIF($E93:Q93,"t")+COUNTIF($E93:Q93,"¶")+COUNTIF($E93:Q93,"²")+COUNTIF($E93:Q93,"µ")+COUNTIF($E93:Q93,1)-1,INDEX(Roadmap!$D:$K,MATCH($E93,Roadmap!$D:$D,0)-1+COUNTIF($E93:Q93,"u")+COUNTIF($E93:Q93,"t")+COUNTIF($E93:Q93,"¶")+COUNTIF($E93:Q93,"²")+COUNTIF($E93:Q93,"µ")+COUNTIF($E93:Q93,1),ColDescriptionCourte)),""),
  "")),"")</f>
        <v/>
      </c>
      <c r="S93" s="40" t="str">
        <f ca="1">IFERROR(IF(AND(
  INDEX(Roadmap!$D:$K,MATCH($E93,Roadmap!$D:$D,0)+COUNTIF($E93:R93,"u")+COUNTIF($E93:R93,"t")+COUNTIF($E93:R93,"¶")+COUNTIF($E93:R93,"²")+COUNTIF($E93:R93,"µ")+COUNTIF($E93:R93,1),ColLivraison)=S$6,
  VLOOKUP($E93,INDIRECT("tri!"&amp; CHAR(64+ C0Col) &amp;":"&amp; CHAR(65+C0Col)),2,FALSE)&gt;COUNTIF($E93:R93,"u")+COUNTIF($E93:R93,"t")+COUNTIF($E93:R93,"¶")+COUNTIF($E93:R93,"²")+COUNTIF($E93:R93,"µ")+COUNTIF($E93:R93,1)),
HYPERLINK("#Roadmap!C"&amp; MATCH($E93,Roadmap!$D:$D,0)+COUNTIF($E93:R93,"u")+COUNTIF($E93:R93,"t"),
     INDEX(Roadmap!$D:$K,MATCH($E93,Roadmap!$D:$D,0)+COUNTIF($E93:R93,"u")+COUNTIF($E93:R93,"t")+COUNTIF($E93:R93,"¶")+COUNTIF($E93:R93,"²")+COUNTIF($E93:R93,"µ")+COUNTIF($E93:R93,1),ColTypeEcheance)),
  IF(LEN(R93)=1,
  IF(LEN(INDEX(Roadmap!$D:$K,MATCH($E93,Roadmap!$D:$D,0)-1+COUNTIF($E93:R93,"u")+COUNTIF($E93:R93,"t")+COUNTIF($E93:R93,"¶")+COUNTIF($E93:R93,"²")+COUNTIF($E93:R93,"µ")+COUNTIF($E93:R93,1),ColDescriptionCourte))&gt;1,
HYPERLINK("#Roadmap!C"&amp; MATCH($E93,Roadmap!$D:$D,0)+COUNTIF($E93:R93,"u")+COUNTIF($E93:R93,"t")+COUNTIF($E93:R93,"¶")+COUNTIF($E93:R93,"²")+COUNTIF($E93:R93,"µ")+COUNTIF($E93:R93,1)-1,INDEX(Roadmap!$D:$K,MATCH($E93,Roadmap!$D:$D,0)-1+COUNTIF($E93:R93,"u")+COUNTIF($E93:R93,"t")+COUNTIF($E93:R93,"¶")+COUNTIF($E93:R93,"²")+COUNTIF($E93:R93,"µ")+COUNTIF($E93:R93,1),ColDescriptionCourte)),""),
  "")),"")</f>
        <v/>
      </c>
      <c r="T93" s="40" t="str">
        <f ca="1">IFERROR(IF(AND(
  INDEX(Roadmap!$D:$K,MATCH($E93,Roadmap!$D:$D,0)+COUNTIF($E93:S93,"u")+COUNTIF($E93:S93,"t")+COUNTIF($E93:S93,"¶")+COUNTIF($E93:S93,"²")+COUNTIF($E93:S93,"µ")+COUNTIF($E93:S93,1),ColLivraison)=T$6,
  VLOOKUP($E93,INDIRECT("tri!"&amp; CHAR(64+ C0Col) &amp;":"&amp; CHAR(65+C0Col)),2,FALSE)&gt;COUNTIF($E93:S93,"u")+COUNTIF($E93:S93,"t")+COUNTIF($E93:S93,"¶")+COUNTIF($E93:S93,"²")+COUNTIF($E93:S93,"µ")+COUNTIF($E93:S93,1)),
HYPERLINK("#Roadmap!C"&amp; MATCH($E93,Roadmap!$D:$D,0)+COUNTIF($E93:S93,"u")+COUNTIF($E93:S93,"t"),
     INDEX(Roadmap!$D:$K,MATCH($E93,Roadmap!$D:$D,0)+COUNTIF($E93:S93,"u")+COUNTIF($E93:S93,"t")+COUNTIF($E93:S93,"¶")+COUNTIF($E93:S93,"²")+COUNTIF($E93:S93,"µ")+COUNTIF($E93:S93,1),ColTypeEcheance)),
  IF(LEN(S93)=1,
  IF(LEN(INDEX(Roadmap!$D:$K,MATCH($E93,Roadmap!$D:$D,0)-1+COUNTIF($E93:S93,"u")+COUNTIF($E93:S93,"t")+COUNTIF($E93:S93,"¶")+COUNTIF($E93:S93,"²")+COUNTIF($E93:S93,"µ")+COUNTIF($E93:S93,1),ColDescriptionCourte))&gt;1,
HYPERLINK("#Roadmap!C"&amp; MATCH($E93,Roadmap!$D:$D,0)+COUNTIF($E93:S93,"u")+COUNTIF($E93:S93,"t")+COUNTIF($E93:S93,"¶")+COUNTIF($E93:S93,"²")+COUNTIF($E93:S93,"µ")+COUNTIF($E93:S93,1)-1,INDEX(Roadmap!$D:$K,MATCH($E93,Roadmap!$D:$D,0)-1+COUNTIF($E93:S93,"u")+COUNTIF($E93:S93,"t")+COUNTIF($E93:S93,"¶")+COUNTIF($E93:S93,"²")+COUNTIF($E93:S93,"µ")+COUNTIF($E93:S93,1),ColDescriptionCourte)),""),
  "")),"")</f>
        <v/>
      </c>
      <c r="U93" s="40" t="str">
        <f ca="1">IFERROR(IF(AND(
  INDEX(Roadmap!$D:$K,MATCH($E93,Roadmap!$D:$D,0)+COUNTIF($E93:T93,"u")+COUNTIF($E93:T93,"t")+COUNTIF($E93:T93,"¶")+COUNTIF($E93:T93,"²")+COUNTIF($E93:T93,"µ")+COUNTIF($E93:T93,1),ColLivraison)=U$6,
  VLOOKUP($E93,INDIRECT("tri!"&amp; CHAR(64+ C0Col) &amp;":"&amp; CHAR(65+C0Col)),2,FALSE)&gt;COUNTIF($E93:T93,"u")+COUNTIF($E93:T93,"t")+COUNTIF($E93:T93,"¶")+COUNTIF($E93:T93,"²")+COUNTIF($E93:T93,"µ")+COUNTIF($E93:T93,1)),
HYPERLINK("#Roadmap!C"&amp; MATCH($E93,Roadmap!$D:$D,0)+COUNTIF($E93:T93,"u")+COUNTIF($E93:T93,"t"),
     INDEX(Roadmap!$D:$K,MATCH($E93,Roadmap!$D:$D,0)+COUNTIF($E93:T93,"u")+COUNTIF($E93:T93,"t")+COUNTIF($E93:T93,"¶")+COUNTIF($E93:T93,"²")+COUNTIF($E93:T93,"µ")+COUNTIF($E93:T93,1),ColTypeEcheance)),
  IF(LEN(T93)=1,
  IF(LEN(INDEX(Roadmap!$D:$K,MATCH($E93,Roadmap!$D:$D,0)-1+COUNTIF($E93:T93,"u")+COUNTIF($E93:T93,"t")+COUNTIF($E93:T93,"¶")+COUNTIF($E93:T93,"²")+COUNTIF($E93:T93,"µ")+COUNTIF($E93:T93,1),ColDescriptionCourte))&gt;1,
HYPERLINK("#Roadmap!C"&amp; MATCH($E93,Roadmap!$D:$D,0)+COUNTIF($E93:T93,"u")+COUNTIF($E93:T93,"t")+COUNTIF($E93:T93,"¶")+COUNTIF($E93:T93,"²")+COUNTIF($E93:T93,"µ")+COUNTIF($E93:T93,1)-1,INDEX(Roadmap!$D:$K,MATCH($E93,Roadmap!$D:$D,0)-1+COUNTIF($E93:T93,"u")+COUNTIF($E93:T93,"t")+COUNTIF($E93:T93,"¶")+COUNTIF($E93:T93,"²")+COUNTIF($E93:T93,"µ")+COUNTIF($E93:T93,1),ColDescriptionCourte)),""),
  "")),"")</f>
        <v/>
      </c>
      <c r="V93" s="40" t="str">
        <f ca="1">IFERROR(IF(AND(
  INDEX(Roadmap!$D:$K,MATCH($E93,Roadmap!$D:$D,0)+COUNTIF($E93:U93,"u")+COUNTIF($E93:U93,"t")+COUNTIF($E93:U93,"¶")+COUNTIF($E93:U93,"²")+COUNTIF($E93:U93,"µ")+COUNTIF($E93:U93,1),ColLivraison)=V$6,
  VLOOKUP($E93,INDIRECT("tri!"&amp; CHAR(64+ C0Col) &amp;":"&amp; CHAR(65+C0Col)),2,FALSE)&gt;COUNTIF($E93:U93,"u")+COUNTIF($E93:U93,"t")+COUNTIF($E93:U93,"¶")+COUNTIF($E93:U93,"²")+COUNTIF($E93:U93,"µ")+COUNTIF($E93:U93,1)),
HYPERLINK("#Roadmap!C"&amp; MATCH($E93,Roadmap!$D:$D,0)+COUNTIF($E93:U93,"u")+COUNTIF($E93:U93,"t"),
     INDEX(Roadmap!$D:$K,MATCH($E93,Roadmap!$D:$D,0)+COUNTIF($E93:U93,"u")+COUNTIF($E93:U93,"t")+COUNTIF($E93:U93,"¶")+COUNTIF($E93:U93,"²")+COUNTIF($E93:U93,"µ")+COUNTIF($E93:U93,1),ColTypeEcheance)),
  IF(LEN(U93)=1,
  IF(LEN(INDEX(Roadmap!$D:$K,MATCH($E93,Roadmap!$D:$D,0)-1+COUNTIF($E93:U93,"u")+COUNTIF($E93:U93,"t")+COUNTIF($E93:U93,"¶")+COUNTIF($E93:U93,"²")+COUNTIF($E93:U93,"µ")+COUNTIF($E93:U93,1),ColDescriptionCourte))&gt;1,
HYPERLINK("#Roadmap!C"&amp; MATCH($E93,Roadmap!$D:$D,0)+COUNTIF($E93:U93,"u")+COUNTIF($E93:U93,"t")+COUNTIF($E93:U93,"¶")+COUNTIF($E93:U93,"²")+COUNTIF($E93:U93,"µ")+COUNTIF($E93:U93,1)-1,INDEX(Roadmap!$D:$K,MATCH($E93,Roadmap!$D:$D,0)-1+COUNTIF($E93:U93,"u")+COUNTIF($E93:U93,"t")+COUNTIF($E93:U93,"¶")+COUNTIF($E93:U93,"²")+COUNTIF($E93:U93,"µ")+COUNTIF($E93:U93,1),ColDescriptionCourte)),""),
  "")),"")</f>
        <v/>
      </c>
      <c r="W93" s="40" t="str">
        <f ca="1">IFERROR(IF(AND(
  INDEX(Roadmap!$D:$K,MATCH($E93,Roadmap!$D:$D,0)+COUNTIF($E93:V93,"u")+COUNTIF($E93:V93,"t")+COUNTIF($E93:V93,"¶")+COUNTIF($E93:V93,"²")+COUNTIF($E93:V93,"µ")+COUNTIF($E93:V93,1),ColLivraison)=W$6,
  VLOOKUP($E93,INDIRECT("tri!"&amp; CHAR(64+ C0Col) &amp;":"&amp; CHAR(65+C0Col)),2,FALSE)&gt;COUNTIF($E93:V93,"u")+COUNTIF($E93:V93,"t")+COUNTIF($E93:V93,"¶")+COUNTIF($E93:V93,"²")+COUNTIF($E93:V93,"µ")+COUNTIF($E93:V93,1)),
HYPERLINK("#Roadmap!C"&amp; MATCH($E93,Roadmap!$D:$D,0)+COUNTIF($E93:V93,"u")+COUNTIF($E93:V93,"t"),
     INDEX(Roadmap!$D:$K,MATCH($E93,Roadmap!$D:$D,0)+COUNTIF($E93:V93,"u")+COUNTIF($E93:V93,"t")+COUNTIF($E93:V93,"¶")+COUNTIF($E93:V93,"²")+COUNTIF($E93:V93,"µ")+COUNTIF($E93:V93,1),ColTypeEcheance)),
  IF(LEN(V93)=1,
  IF(LEN(INDEX(Roadmap!$D:$K,MATCH($E93,Roadmap!$D:$D,0)-1+COUNTIF($E93:V93,"u")+COUNTIF($E93:V93,"t")+COUNTIF($E93:V93,"¶")+COUNTIF($E93:V93,"²")+COUNTIF($E93:V93,"µ")+COUNTIF($E93:V93,1),ColDescriptionCourte))&gt;1,
HYPERLINK("#Roadmap!C"&amp; MATCH($E93,Roadmap!$D:$D,0)+COUNTIF($E93:V93,"u")+COUNTIF($E93:V93,"t")+COUNTIF($E93:V93,"¶")+COUNTIF($E93:V93,"²")+COUNTIF($E93:V93,"µ")+COUNTIF($E93:V93,1)-1,INDEX(Roadmap!$D:$K,MATCH($E93,Roadmap!$D:$D,0)-1+COUNTIF($E93:V93,"u")+COUNTIF($E93:V93,"t")+COUNTIF($E93:V93,"¶")+COUNTIF($E93:V93,"²")+COUNTIF($E93:V93,"µ")+COUNTIF($E93:V93,1),ColDescriptionCourte)),""),
  "")),"")</f>
        <v/>
      </c>
      <c r="X93" s="40" t="str">
        <f ca="1">IFERROR(IF(AND(
  INDEX(Roadmap!$D:$K,MATCH($E93,Roadmap!$D:$D,0)+COUNTIF($E93:W93,"u")+COUNTIF($E93:W93,"t")+COUNTIF($E93:W93,"¶")+COUNTIF($E93:W93,"²")+COUNTIF($E93:W93,"µ")+COUNTIF($E93:W93,1),ColLivraison)=X$6,
  VLOOKUP($E93,INDIRECT("tri!"&amp; CHAR(64+ C0Col) &amp;":"&amp; CHAR(65+C0Col)),2,FALSE)&gt;COUNTIF($E93:W93,"u")+COUNTIF($E93:W93,"t")+COUNTIF($E93:W93,"¶")+COUNTIF($E93:W93,"²")+COUNTIF($E93:W93,"µ")+COUNTIF($E93:W93,1)),
HYPERLINK("#Roadmap!C"&amp; MATCH($E93,Roadmap!$D:$D,0)+COUNTIF($E93:W93,"u")+COUNTIF($E93:W93,"t"),
     INDEX(Roadmap!$D:$K,MATCH($E93,Roadmap!$D:$D,0)+COUNTIF($E93:W93,"u")+COUNTIF($E93:W93,"t")+COUNTIF($E93:W93,"¶")+COUNTIF($E93:W93,"²")+COUNTIF($E93:W93,"µ")+COUNTIF($E93:W93,1),ColTypeEcheance)),
  IF(LEN(W93)=1,
  IF(LEN(INDEX(Roadmap!$D:$K,MATCH($E93,Roadmap!$D:$D,0)-1+COUNTIF($E93:W93,"u")+COUNTIF($E93:W93,"t")+COUNTIF($E93:W93,"¶")+COUNTIF($E93:W93,"²")+COUNTIF($E93:W93,"µ")+COUNTIF($E93:W93,1),ColDescriptionCourte))&gt;1,
HYPERLINK("#Roadmap!C"&amp; MATCH($E93,Roadmap!$D:$D,0)+COUNTIF($E93:W93,"u")+COUNTIF($E93:W93,"t")+COUNTIF($E93:W93,"¶")+COUNTIF($E93:W93,"²")+COUNTIF($E93:W93,"µ")+COUNTIF($E93:W93,1)-1,INDEX(Roadmap!$D:$K,MATCH($E93,Roadmap!$D:$D,0)-1+COUNTIF($E93:W93,"u")+COUNTIF($E93:W93,"t")+COUNTIF($E93:W93,"¶")+COUNTIF($E93:W93,"²")+COUNTIF($E93:W93,"µ")+COUNTIF($E93:W93,1),ColDescriptionCourte)),""),
  "")),"")</f>
        <v/>
      </c>
      <c r="Y93" s="40" t="str">
        <f ca="1">IFERROR(IF(AND(
  INDEX(Roadmap!$D:$K,MATCH($E93,Roadmap!$D:$D,0)+COUNTIF($E93:X93,"u")+COUNTIF($E93:X93,"t")+COUNTIF($E93:X93,"¶")+COUNTIF($E93:X93,"²")+COUNTIF($E93:X93,"µ")+COUNTIF($E93:X93,1),ColLivraison)=Y$6,
  VLOOKUP($E93,INDIRECT("tri!"&amp; CHAR(64+ C0Col) &amp;":"&amp; CHAR(65+C0Col)),2,FALSE)&gt;COUNTIF($E93:X93,"u")+COUNTIF($E93:X93,"t")+COUNTIF($E93:X93,"¶")+COUNTIF($E93:X93,"²")+COUNTIF($E93:X93,"µ")+COUNTIF($E93:X93,1)),
HYPERLINK("#Roadmap!C"&amp; MATCH($E93,Roadmap!$D:$D,0)+COUNTIF($E93:X93,"u")+COUNTIF($E93:X93,"t"),
     INDEX(Roadmap!$D:$K,MATCH($E93,Roadmap!$D:$D,0)+COUNTIF($E93:X93,"u")+COUNTIF($E93:X93,"t")+COUNTIF($E93:X93,"¶")+COUNTIF($E93:X93,"²")+COUNTIF($E93:X93,"µ")+COUNTIF($E93:X93,1),ColTypeEcheance)),
  IF(LEN(X93)=1,
  IF(LEN(INDEX(Roadmap!$D:$K,MATCH($E93,Roadmap!$D:$D,0)-1+COUNTIF($E93:X93,"u")+COUNTIF($E93:X93,"t")+COUNTIF($E93:X93,"¶")+COUNTIF($E93:X93,"²")+COUNTIF($E93:X93,"µ")+COUNTIF($E93:X93,1),ColDescriptionCourte))&gt;1,
HYPERLINK("#Roadmap!C"&amp; MATCH($E93,Roadmap!$D:$D,0)+COUNTIF($E93:X93,"u")+COUNTIF($E93:X93,"t")+COUNTIF($E93:X93,"¶")+COUNTIF($E93:X93,"²")+COUNTIF($E93:X93,"µ")+COUNTIF($E93:X93,1)-1,INDEX(Roadmap!$D:$K,MATCH($E93,Roadmap!$D:$D,0)-1+COUNTIF($E93:X93,"u")+COUNTIF($E93:X93,"t")+COUNTIF($E93:X93,"¶")+COUNTIF($E93:X93,"²")+COUNTIF($E93:X93,"µ")+COUNTIF($E93:X93,1),ColDescriptionCourte)),""),
  "")),"")</f>
        <v/>
      </c>
      <c r="Z93" s="40" t="str">
        <f ca="1">IFERROR(IF(AND(
  INDEX(Roadmap!$D:$K,MATCH($E93,Roadmap!$D:$D,0)+COUNTIF($E93:Y93,"u")+COUNTIF($E93:Y93,"t")+COUNTIF($E93:Y93,"¶")+COUNTIF($E93:Y93,"²")+COUNTIF($E93:Y93,"µ")+COUNTIF($E93:Y93,1),ColLivraison)=Z$6,
  VLOOKUP($E93,INDIRECT("tri!"&amp; CHAR(64+ C0Col) &amp;":"&amp; CHAR(65+C0Col)),2,FALSE)&gt;COUNTIF($E93:Y93,"u")+COUNTIF($E93:Y93,"t")+COUNTIF($E93:Y93,"¶")+COUNTIF($E93:Y93,"²")+COUNTIF($E93:Y93,"µ")+COUNTIF($E93:Y93,1)),
HYPERLINK("#Roadmap!C"&amp; MATCH($E93,Roadmap!$D:$D,0)+COUNTIF($E93:Y93,"u")+COUNTIF($E93:Y93,"t"),
     INDEX(Roadmap!$D:$K,MATCH($E93,Roadmap!$D:$D,0)+COUNTIF($E93:Y93,"u")+COUNTIF($E93:Y93,"t")+COUNTIF($E93:Y93,"¶")+COUNTIF($E93:Y93,"²")+COUNTIF($E93:Y93,"µ")+COUNTIF($E93:Y93,1),ColTypeEcheance)),
  IF(LEN(Y93)=1,
  IF(LEN(INDEX(Roadmap!$D:$K,MATCH($E93,Roadmap!$D:$D,0)-1+COUNTIF($E93:Y93,"u")+COUNTIF($E93:Y93,"t")+COUNTIF($E93:Y93,"¶")+COUNTIF($E93:Y93,"²")+COUNTIF($E93:Y93,"µ")+COUNTIF($E93:Y93,1),ColDescriptionCourte))&gt;1,
HYPERLINK("#Roadmap!C"&amp; MATCH($E93,Roadmap!$D:$D,0)+COUNTIF($E93:Y93,"u")+COUNTIF($E93:Y93,"t")+COUNTIF($E93:Y93,"¶")+COUNTIF($E93:Y93,"²")+COUNTIF($E93:Y93,"µ")+COUNTIF($E93:Y93,1)-1,INDEX(Roadmap!$D:$K,MATCH($E93,Roadmap!$D:$D,0)-1+COUNTIF($E93:Y93,"u")+COUNTIF($E93:Y93,"t")+COUNTIF($E93:Y93,"¶")+COUNTIF($E93:Y93,"²")+COUNTIF($E93:Y93,"µ")+COUNTIF($E93:Y93,1),ColDescriptionCourte)),""),
  "")),"")</f>
        <v/>
      </c>
      <c r="AA93" s="40" t="str">
        <f ca="1">IFERROR(IF(AND(
  INDEX(Roadmap!$D:$K,MATCH($E93,Roadmap!$D:$D,0)+COUNTIF($E93:Z93,"u")+COUNTIF($E93:Z93,"t")+COUNTIF($E93:Z93,"¶")+COUNTIF($E93:Z93,"²")+COUNTIF($E93:Z93,"µ")+COUNTIF($E93:Z93,1),ColLivraison)=AA$6,
  VLOOKUP($E93,INDIRECT("tri!"&amp; CHAR(64+ C0Col) &amp;":"&amp; CHAR(65+C0Col)),2,FALSE)&gt;COUNTIF($E93:Z93,"u")+COUNTIF($E93:Z93,"t")+COUNTIF($E93:Z93,"¶")+COUNTIF($E93:Z93,"²")+COUNTIF($E93:Z93,"µ")+COUNTIF($E93:Z93,1)),
HYPERLINK("#Roadmap!C"&amp; MATCH($E93,Roadmap!$D:$D,0)+COUNTIF($E93:Z93,"u")+COUNTIF($E93:Z93,"t"),
     INDEX(Roadmap!$D:$K,MATCH($E93,Roadmap!$D:$D,0)+COUNTIF($E93:Z93,"u")+COUNTIF($E93:Z93,"t")+COUNTIF($E93:Z93,"¶")+COUNTIF($E93:Z93,"²")+COUNTIF($E93:Z93,"µ")+COUNTIF($E93:Z93,1),ColTypeEcheance)),
  IF(LEN(Z93)=1,
  IF(LEN(INDEX(Roadmap!$D:$K,MATCH($E93,Roadmap!$D:$D,0)-1+COUNTIF($E93:Z93,"u")+COUNTIF($E93:Z93,"t")+COUNTIF($E93:Z93,"¶")+COUNTIF($E93:Z93,"²")+COUNTIF($E93:Z93,"µ")+COUNTIF($E93:Z93,1),ColDescriptionCourte))&gt;1,
HYPERLINK("#Roadmap!C"&amp; MATCH($E93,Roadmap!$D:$D,0)+COUNTIF($E93:Z93,"u")+COUNTIF($E93:Z93,"t")+COUNTIF($E93:Z93,"¶")+COUNTIF($E93:Z93,"²")+COUNTIF($E93:Z93,"µ")+COUNTIF($E93:Z93,1)-1,INDEX(Roadmap!$D:$K,MATCH($E93,Roadmap!$D:$D,0)-1+COUNTIF($E93:Z93,"u")+COUNTIF($E93:Z93,"t")+COUNTIF($E93:Z93,"¶")+COUNTIF($E93:Z93,"²")+COUNTIF($E93:Z93,"µ")+COUNTIF($E93:Z93,1),ColDescriptionCourte)),""),
  "")),"")</f>
        <v/>
      </c>
      <c r="AB93" s="40" t="str">
        <f ca="1">IFERROR(IF(AND(
  INDEX(Roadmap!$D:$K,MATCH($E93,Roadmap!$D:$D,0)+COUNTIF($E93:AA93,"u")+COUNTIF($E93:AA93,"t")+COUNTIF($E93:AA93,"¶")+COUNTIF($E93:AA93,"²")+COUNTIF($E93:AA93,"µ")+COUNTIF($E93:AA93,1),ColLivraison)=AB$6,
  VLOOKUP($E93,INDIRECT("tri!"&amp; CHAR(64+ C0Col) &amp;":"&amp; CHAR(65+C0Col)),2,FALSE)&gt;COUNTIF($E93:AA93,"u")+COUNTIF($E93:AA93,"t")+COUNTIF($E93:AA93,"¶")+COUNTIF($E93:AA93,"²")+COUNTIF($E93:AA93,"µ")+COUNTIF($E93:AA93,1)),
HYPERLINK("#Roadmap!C"&amp; MATCH($E93,Roadmap!$D:$D,0)+COUNTIF($E93:AA93,"u")+COUNTIF($E93:AA93,"t"),
     INDEX(Roadmap!$D:$K,MATCH($E93,Roadmap!$D:$D,0)+COUNTIF($E93:AA93,"u")+COUNTIF($E93:AA93,"t")+COUNTIF($E93:AA93,"¶")+COUNTIF($E93:AA93,"²")+COUNTIF($E93:AA93,"µ")+COUNTIF($E93:AA93,1),ColTypeEcheance)),
  IF(LEN(AA93)=1,
  IF(LEN(INDEX(Roadmap!$D:$K,MATCH($E93,Roadmap!$D:$D,0)-1+COUNTIF($E93:AA93,"u")+COUNTIF($E93:AA93,"t")+COUNTIF($E93:AA93,"¶")+COUNTIF($E93:AA93,"²")+COUNTIF($E93:AA93,"µ")+COUNTIF($E93:AA93,1),ColDescriptionCourte))&gt;1,
HYPERLINK("#Roadmap!C"&amp; MATCH($E93,Roadmap!$D:$D,0)+COUNTIF($E93:AA93,"u")+COUNTIF($E93:AA93,"t")+COUNTIF($E93:AA93,"¶")+COUNTIF($E93:AA93,"²")+COUNTIF($E93:AA93,"µ")+COUNTIF($E93:AA93,1)-1,INDEX(Roadmap!$D:$K,MATCH($E93,Roadmap!$D:$D,0)-1+COUNTIF($E93:AA93,"u")+COUNTIF($E93:AA93,"t")+COUNTIF($E93:AA93,"¶")+COUNTIF($E93:AA93,"²")+COUNTIF($E93:AA93,"µ")+COUNTIF($E93:AA93,1),ColDescriptionCourte)),""),
  "")),"")</f>
        <v/>
      </c>
      <c r="AC93" s="40" t="str">
        <f ca="1">IFERROR(IF(AND(
  INDEX(Roadmap!$D:$K,MATCH($E93,Roadmap!$D:$D,0)+COUNTIF($E93:AB93,"u")+COUNTIF($E93:AB93,"t")+COUNTIF($E93:AB93,"¶")+COUNTIF($E93:AB93,"²")+COUNTIF($E93:AB93,"µ")+COUNTIF($E93:AB93,1),ColLivraison)=AC$6,
  VLOOKUP($E93,INDIRECT("tri!"&amp; CHAR(64+ C0Col) &amp;":"&amp; CHAR(65+C0Col)),2,FALSE)&gt;COUNTIF($E93:AB93,"u")+COUNTIF($E93:AB93,"t")+COUNTIF($E93:AB93,"¶")+COUNTIF($E93:AB93,"²")+COUNTIF($E93:AB93,"µ")+COUNTIF($E93:AB93,1)),
HYPERLINK("#Roadmap!C"&amp; MATCH($E93,Roadmap!$D:$D,0)+COUNTIF($E93:AB93,"u")+COUNTIF($E93:AB93,"t"),
     INDEX(Roadmap!$D:$K,MATCH($E93,Roadmap!$D:$D,0)+COUNTIF($E93:AB93,"u")+COUNTIF($E93:AB93,"t")+COUNTIF($E93:AB93,"¶")+COUNTIF($E93:AB93,"²")+COUNTIF($E93:AB93,"µ")+COUNTIF($E93:AB93,1),ColTypeEcheance)),
  IF(LEN(AB93)=1,
  IF(LEN(INDEX(Roadmap!$D:$K,MATCH($E93,Roadmap!$D:$D,0)-1+COUNTIF($E93:AB93,"u")+COUNTIF($E93:AB93,"t")+COUNTIF($E93:AB93,"¶")+COUNTIF($E93:AB93,"²")+COUNTIF($E93:AB93,"µ")+COUNTIF($E93:AB93,1),ColDescriptionCourte))&gt;1,
HYPERLINK("#Roadmap!C"&amp; MATCH($E93,Roadmap!$D:$D,0)+COUNTIF($E93:AB93,"u")+COUNTIF($E93:AB93,"t")+COUNTIF($E93:AB93,"¶")+COUNTIF($E93:AB93,"²")+COUNTIF($E93:AB93,"µ")+COUNTIF($E93:AB93,1)-1,INDEX(Roadmap!$D:$K,MATCH($E93,Roadmap!$D:$D,0)-1+COUNTIF($E93:AB93,"u")+COUNTIF($E93:AB93,"t")+COUNTIF($E93:AB93,"¶")+COUNTIF($E93:AB93,"²")+COUNTIF($E93:AB93,"µ")+COUNTIF($E93:AB93,1),ColDescriptionCourte)),""),
  "")),"")</f>
        <v/>
      </c>
      <c r="AD93" s="40" t="str">
        <f ca="1">IFERROR(IF(AND(
  INDEX(Roadmap!$D:$K,MATCH($E93,Roadmap!$D:$D,0)+COUNTIF($E93:AC93,"u")+COUNTIF($E93:AC93,"t")+COUNTIF($E93:AC93,"¶")+COUNTIF($E93:AC93,"²")+COUNTIF($E93:AC93,"µ")+COUNTIF($E93:AC93,1),ColLivraison)=AD$6,
  VLOOKUP($E93,INDIRECT("tri!"&amp; CHAR(64+ C0Col) &amp;":"&amp; CHAR(65+C0Col)),2,FALSE)&gt;COUNTIF($E93:AC93,"u")+COUNTIF($E93:AC93,"t")+COUNTIF($E93:AC93,"¶")+COUNTIF($E93:AC93,"²")+COUNTIF($E93:AC93,"µ")+COUNTIF($E93:AC93,1)),
HYPERLINK("#Roadmap!C"&amp; MATCH($E93,Roadmap!$D:$D,0)+COUNTIF($E93:AC93,"u")+COUNTIF($E93:AC93,"t"),
     INDEX(Roadmap!$D:$K,MATCH($E93,Roadmap!$D:$D,0)+COUNTIF($E93:AC93,"u")+COUNTIF($E93:AC93,"t")+COUNTIF($E93:AC93,"¶")+COUNTIF($E93:AC93,"²")+COUNTIF($E93:AC93,"µ")+COUNTIF($E93:AC93,1),ColTypeEcheance)),
  IF(LEN(AC93)=1,
  IF(LEN(INDEX(Roadmap!$D:$K,MATCH($E93,Roadmap!$D:$D,0)-1+COUNTIF($E93:AC93,"u")+COUNTIF($E93:AC93,"t")+COUNTIF($E93:AC93,"¶")+COUNTIF($E93:AC93,"²")+COUNTIF($E93:AC93,"µ")+COUNTIF($E93:AC93,1),ColDescriptionCourte))&gt;1,
HYPERLINK("#Roadmap!C"&amp; MATCH($E93,Roadmap!$D:$D,0)+COUNTIF($E93:AC93,"u")+COUNTIF($E93:AC93,"t")+COUNTIF($E93:AC93,"¶")+COUNTIF($E93:AC93,"²")+COUNTIF($E93:AC93,"µ")+COUNTIF($E93:AC93,1)-1,INDEX(Roadmap!$D:$K,MATCH($E93,Roadmap!$D:$D,0)-1+COUNTIF($E93:AC93,"u")+COUNTIF($E93:AC93,"t")+COUNTIF($E93:AC93,"¶")+COUNTIF($E93:AC93,"²")+COUNTIF($E93:AC93,"µ")+COUNTIF($E93:AC93,1),ColDescriptionCourte)),""),
  "")),"")</f>
        <v/>
      </c>
      <c r="AE93" s="40" t="str">
        <f ca="1">IFERROR(IF(AND(
  INDEX(Roadmap!$D:$K,MATCH($E93,Roadmap!$D:$D,0)+COUNTIF($E93:AD93,"u")+COUNTIF($E93:AD93,"t")+COUNTIF($E93:AD93,"¶")+COUNTIF($E93:AD93,"²")+COUNTIF($E93:AD93,"µ")+COUNTIF($E93:AD93,1),ColLivraison)=AE$6,
  VLOOKUP($E93,INDIRECT("tri!"&amp; CHAR(64+ C0Col) &amp;":"&amp; CHAR(65+C0Col)),2,FALSE)&gt;COUNTIF($E93:AD93,"u")+COUNTIF($E93:AD93,"t")+COUNTIF($E93:AD93,"¶")+COUNTIF($E93:AD93,"²")+COUNTIF($E93:AD93,"µ")+COUNTIF($E93:AD93,1)),
HYPERLINK("#Roadmap!C"&amp; MATCH($E93,Roadmap!$D:$D,0)+COUNTIF($E93:AD93,"u")+COUNTIF($E93:AD93,"t"),
     INDEX(Roadmap!$D:$K,MATCH($E93,Roadmap!$D:$D,0)+COUNTIF($E93:AD93,"u")+COUNTIF($E93:AD93,"t")+COUNTIF($E93:AD93,"¶")+COUNTIF($E93:AD93,"²")+COUNTIF($E93:AD93,"µ")+COUNTIF($E93:AD93,1),ColTypeEcheance)),
  IF(LEN(AD93)=1,
  IF(LEN(INDEX(Roadmap!$D:$K,MATCH($E93,Roadmap!$D:$D,0)-1+COUNTIF($E93:AD93,"u")+COUNTIF($E93:AD93,"t")+COUNTIF($E93:AD93,"¶")+COUNTIF($E93:AD93,"²")+COUNTIF($E93:AD93,"µ")+COUNTIF($E93:AD93,1),ColDescriptionCourte))&gt;1,
HYPERLINK("#Roadmap!C"&amp; MATCH($E93,Roadmap!$D:$D,0)+COUNTIF($E93:AD93,"u")+COUNTIF($E93:AD93,"t")+COUNTIF($E93:AD93,"¶")+COUNTIF($E93:AD93,"²")+COUNTIF($E93:AD93,"µ")+COUNTIF($E93:AD93,1)-1,INDEX(Roadmap!$D:$K,MATCH($E93,Roadmap!$D:$D,0)-1+COUNTIF($E93:AD93,"u")+COUNTIF($E93:AD93,"t")+COUNTIF($E93:AD93,"¶")+COUNTIF($E93:AD93,"²")+COUNTIF($E93:AD93,"µ")+COUNTIF($E93:AD93,1),ColDescriptionCourte)),""),
  "")),"")</f>
        <v/>
      </c>
      <c r="AF93" s="40" t="str">
        <f ca="1">IFERROR(IF(AND(
  INDEX(Roadmap!$D:$K,MATCH($E93,Roadmap!$D:$D,0)+COUNTIF($E93:AE93,"u")+COUNTIF($E93:AE93,"t")+COUNTIF($E93:AE93,"¶")+COUNTIF($E93:AE93,"²")+COUNTIF($E93:AE93,"µ")+COUNTIF($E93:AE93,1),ColLivraison)=AF$6,
  VLOOKUP($E93,INDIRECT("tri!"&amp; CHAR(64+ C0Col) &amp;":"&amp; CHAR(65+C0Col)),2,FALSE)&gt;COUNTIF($E93:AE93,"u")+COUNTIF($E93:AE93,"t")+COUNTIF($E93:AE93,"¶")+COUNTIF($E93:AE93,"²")+COUNTIF($E93:AE93,"µ")+COUNTIF($E93:AE93,1)),
HYPERLINK("#Roadmap!C"&amp; MATCH($E93,Roadmap!$D:$D,0)+COUNTIF($E93:AE93,"u")+COUNTIF($E93:AE93,"t"),
     INDEX(Roadmap!$D:$K,MATCH($E93,Roadmap!$D:$D,0)+COUNTIF($E93:AE93,"u")+COUNTIF($E93:AE93,"t")+COUNTIF($E93:AE93,"¶")+COUNTIF($E93:AE93,"²")+COUNTIF($E93:AE93,"µ")+COUNTIF($E93:AE93,1),ColTypeEcheance)),
  IF(LEN(AE93)=1,
  IF(LEN(INDEX(Roadmap!$D:$K,MATCH($E93,Roadmap!$D:$D,0)-1+COUNTIF($E93:AE93,"u")+COUNTIF($E93:AE93,"t")+COUNTIF($E93:AE93,"¶")+COUNTIF($E93:AE93,"²")+COUNTIF($E93:AE93,"µ")+COUNTIF($E93:AE93,1),ColDescriptionCourte))&gt;1,
HYPERLINK("#Roadmap!C"&amp; MATCH($E93,Roadmap!$D:$D,0)+COUNTIF($E93:AE93,"u")+COUNTIF($E93:AE93,"t")+COUNTIF($E93:AE93,"¶")+COUNTIF($E93:AE93,"²")+COUNTIF($E93:AE93,"µ")+COUNTIF($E93:AE93,1)-1,INDEX(Roadmap!$D:$K,MATCH($E93,Roadmap!$D:$D,0)-1+COUNTIF($E93:AE93,"u")+COUNTIF($E93:AE93,"t")+COUNTIF($E93:AE93,"¶")+COUNTIF($E93:AE93,"²")+COUNTIF($E93:AE93,"µ")+COUNTIF($E93:AE93,1),ColDescriptionCourte)),""),
  "")),"")</f>
        <v/>
      </c>
      <c r="AG93" s="40" t="str">
        <f ca="1">IFERROR(IF(AND(
  INDEX(Roadmap!$D:$K,MATCH($E93,Roadmap!$D:$D,0)+COUNTIF($E93:AF93,"u")+COUNTIF($E93:AF93,"t")+COUNTIF($E93:AF93,"¶")+COUNTIF($E93:AF93,"²")+COUNTIF($E93:AF93,"µ")+COUNTIF($E93:AF93,1),ColLivraison)=AG$6,
  VLOOKUP($E93,INDIRECT("tri!"&amp; CHAR(64+ C0Col) &amp;":"&amp; CHAR(65+C0Col)),2,FALSE)&gt;COUNTIF($E93:AF93,"u")+COUNTIF($E93:AF93,"t")+COUNTIF($E93:AF93,"¶")+COUNTIF($E93:AF93,"²")+COUNTIF($E93:AF93,"µ")+COUNTIF($E93:AF93,1)),
HYPERLINK("#Roadmap!C"&amp; MATCH($E93,Roadmap!$D:$D,0)+COUNTIF($E93:AF93,"u")+COUNTIF($E93:AF93,"t"),
     INDEX(Roadmap!$D:$K,MATCH($E93,Roadmap!$D:$D,0)+COUNTIF($E93:AF93,"u")+COUNTIF($E93:AF93,"t")+COUNTIF($E93:AF93,"¶")+COUNTIF($E93:AF93,"²")+COUNTIF($E93:AF93,"µ")+COUNTIF($E93:AF93,1),ColTypeEcheance)),
  IF(LEN(AF93)=1,
  IF(LEN(INDEX(Roadmap!$D:$K,MATCH($E93,Roadmap!$D:$D,0)-1+COUNTIF($E93:AF93,"u")+COUNTIF($E93:AF93,"t")+COUNTIF($E93:AF93,"¶")+COUNTIF($E93:AF93,"²")+COUNTIF($E93:AF93,"µ")+COUNTIF($E93:AF93,1),ColDescriptionCourte))&gt;1,
HYPERLINK("#Roadmap!C"&amp; MATCH($E93,Roadmap!$D:$D,0)+COUNTIF($E93:AF93,"u")+COUNTIF($E93:AF93,"t")+COUNTIF($E93:AF93,"¶")+COUNTIF($E93:AF93,"²")+COUNTIF($E93:AF93,"µ")+COUNTIF($E93:AF93,1)-1,INDEX(Roadmap!$D:$K,MATCH($E93,Roadmap!$D:$D,0)-1+COUNTIF($E93:AF93,"u")+COUNTIF($E93:AF93,"t")+COUNTIF($E93:AF93,"¶")+COUNTIF($E93:AF93,"²")+COUNTIF($E93:AF93,"µ")+COUNTIF($E93:AF93,1),ColDescriptionCourte)),""),
  "")),"")</f>
        <v/>
      </c>
    </row>
    <row r="94" spans="3:33" ht="14.25" customHeight="1">
      <c r="C94" s="1" t="str">
        <f t="shared" ca="1" si="47"/>
        <v/>
      </c>
      <c r="D94" s="1" t="str">
        <f t="shared" ca="1" si="48"/>
        <v/>
      </c>
      <c r="E94" s="35" t="str">
        <f t="shared" ca="1" si="46"/>
        <v/>
      </c>
      <c r="F94" s="39" t="str">
        <f ca="1">IFERROR(IF(AND(
  INDEX(Roadmap!$D:$K,MATCH($E94,Roadmap!$D:$D,0)+COUNTIF($E94:E94,"u")+COUNTIF($E94:E94,"t")+COUNTIF($E94:E94,"¶")+COUNTIF($E94:E94,"²")+COUNTIF($E94:E94,"µ")+COUNTIF($E94:E94,1),ColLivraison)=F$6,
  VLOOKUP($E94,INDIRECT("tri!"&amp; CHAR(64+ C0Col) &amp;":"&amp; CHAR(65+C0Col)),2,FALSE)&gt;COUNTIF($E94:E94,"u")+COUNTIF($E94:E94,"t")+COUNTIF($E94:E94,"¶")+COUNTIF($E94:E94,"²")+COUNTIF($E94:E94,"µ")+COUNTIF($E94:E94,1)),
HYPERLINK("#Roadmap!C"&amp; MATCH($E94,Roadmap!$D:$D,0)+COUNTIF($E94:E94,"u")+COUNTIF($E94:E94,"t"),
     INDEX(Roadmap!$D:$K,MATCH($E94,Roadmap!$D:$D,0)+COUNTIF($E94:E94,"u")+COUNTIF($E94:E94,"t")+COUNTIF($E94:E94,"¶")+COUNTIF($E94:E94,"²")+COUNTIF($E94:E94,"µ")+COUNTIF($E94:E94,1),ColTypeEcheance)),
  IF(LEN(E94)=1,
  IF(LEN(INDEX(Roadmap!$D:$K,MATCH($E94,Roadmap!$D:$D,0)-1+COUNTIF($E94:E94,"u")+COUNTIF($E94:E94,"t")+COUNTIF($E94:E94,"¶")+COUNTIF($E94:E94,"²")+COUNTIF($E94:E94,"µ")+COUNTIF($E94:E94,1),ColDescriptionCourte))&gt;1,
HYPERLINK("#Roadmap!C"&amp; MATCH($E94,Roadmap!$D:$D,0)+COUNTIF($E94:E94,"u")+COUNTIF($E94:E94,"t")+COUNTIF($E94:E94,"¶")+COUNTIF($E94:E94,"²")+COUNTIF($E94:E94,"µ")+COUNTIF($E94:E94,1)-1,INDEX(Roadmap!$D:$K,MATCH($E94,Roadmap!$D:$D,0)-1+COUNTIF($E94:E94,"u")+COUNTIF($E94:E94,"t")+COUNTIF($E94:E94,"¶")+COUNTIF($E94:E94,"²")+COUNTIF($E94:E94,"µ")+COUNTIF($E94:E94,1),ColDescriptionCourte)),""),
  "")),"")</f>
        <v/>
      </c>
      <c r="G94" s="40" t="str">
        <f ca="1">IFERROR(IF(AND(
  INDEX(Roadmap!$D:$K,MATCH($E94,Roadmap!$D:$D,0)+COUNTIF($E94:F94,"u")+COUNTIF($E94:F94,"t")+COUNTIF($E94:F94,"¶")+COUNTIF($E94:F94,"²")+COUNTIF($E94:F94,"µ")+COUNTIF($E94:F94,1),ColLivraison)=G$6,
  VLOOKUP($E94,INDIRECT("tri!"&amp; CHAR(64+ C0Col) &amp;":"&amp; CHAR(65+C0Col)),2,FALSE)&gt;COUNTIF($E94:F94,"u")+COUNTIF($E94:F94,"t")+COUNTIF($E94:F94,"¶")+COUNTIF($E94:F94,"²")+COUNTIF($E94:F94,"µ")+COUNTIF($E94:F94,1)),
HYPERLINK("#Roadmap!C"&amp; MATCH($E94,Roadmap!$D:$D,0)+COUNTIF($E94:F94,"u")+COUNTIF($E94:F94,"t"),
     INDEX(Roadmap!$D:$K,MATCH($E94,Roadmap!$D:$D,0)+COUNTIF($E94:F94,"u")+COUNTIF($E94:F94,"t")+COUNTIF($E94:F94,"¶")+COUNTIF($E94:F94,"²")+COUNTIF($E94:F94,"µ")+COUNTIF($E94:F94,1),ColTypeEcheance)),
  IF(LEN(F94)=1,
  IF(LEN(INDEX(Roadmap!$D:$K,MATCH($E94,Roadmap!$D:$D,0)-1+COUNTIF($E94:F94,"u")+COUNTIF($E94:F94,"t")+COUNTIF($E94:F94,"¶")+COUNTIF($E94:F94,"²")+COUNTIF($E94:F94,"µ")+COUNTIF($E94:F94,1),ColDescriptionCourte))&gt;1,
HYPERLINK("#Roadmap!C"&amp; MATCH($E94,Roadmap!$D:$D,0)+COUNTIF($E94:F94,"u")+COUNTIF($E94:F94,"t")+COUNTIF($E94:F94,"¶")+COUNTIF($E94:F94,"²")+COUNTIF($E94:F94,"µ")+COUNTIF($E94:F94,1)-1,INDEX(Roadmap!$D:$K,MATCH($E94,Roadmap!$D:$D,0)-1+COUNTIF($E94:F94,"u")+COUNTIF($E94:F94,"t")+COUNTIF($E94:F94,"¶")+COUNTIF($E94:F94,"²")+COUNTIF($E94:F94,"µ")+COUNTIF($E94:F94,1),ColDescriptionCourte)),""),
  "")),"")</f>
        <v/>
      </c>
      <c r="H94" s="40" t="str">
        <f ca="1">IFERROR(IF(AND(
  INDEX(Roadmap!$D:$K,MATCH($E94,Roadmap!$D:$D,0)+COUNTIF($E94:G94,"u")+COUNTIF($E94:G94,"t")+COUNTIF($E94:G94,"¶")+COUNTIF($E94:G94,"²")+COUNTIF($E94:G94,"µ")+COUNTIF($E94:G94,1),ColLivraison)=H$6,
  VLOOKUP($E94,INDIRECT("tri!"&amp; CHAR(64+ C0Col) &amp;":"&amp; CHAR(65+C0Col)),2,FALSE)&gt;COUNTIF($E94:G94,"u")+COUNTIF($E94:G94,"t")+COUNTIF($E94:G94,"¶")+COUNTIF($E94:G94,"²")+COUNTIF($E94:G94,"µ")+COUNTIF($E94:G94,1)),
HYPERLINK("#Roadmap!C"&amp; MATCH($E94,Roadmap!$D:$D,0)+COUNTIF($E94:G94,"u")+COUNTIF($E94:G94,"t"),
     INDEX(Roadmap!$D:$K,MATCH($E94,Roadmap!$D:$D,0)+COUNTIF($E94:G94,"u")+COUNTIF($E94:G94,"t")+COUNTIF($E94:G94,"¶")+COUNTIF($E94:G94,"²")+COUNTIF($E94:G94,"µ")+COUNTIF($E94:G94,1),ColTypeEcheance)),
  IF(LEN(G94)=1,
  IF(LEN(INDEX(Roadmap!$D:$K,MATCH($E94,Roadmap!$D:$D,0)-1+COUNTIF($E94:G94,"u")+COUNTIF($E94:G94,"t")+COUNTIF($E94:G94,"¶")+COUNTIF($E94:G94,"²")+COUNTIF($E94:G94,"µ")+COUNTIF($E94:G94,1),ColDescriptionCourte))&gt;1,
HYPERLINK("#Roadmap!C"&amp; MATCH($E94,Roadmap!$D:$D,0)+COUNTIF($E94:G94,"u")+COUNTIF($E94:G94,"t")+COUNTIF($E94:G94,"¶")+COUNTIF($E94:G94,"²")+COUNTIF($E94:G94,"µ")+COUNTIF($E94:G94,1)-1,INDEX(Roadmap!$D:$K,MATCH($E94,Roadmap!$D:$D,0)-1+COUNTIF($E94:G94,"u")+COUNTIF($E94:G94,"t")+COUNTIF($E94:G94,"¶")+COUNTIF($E94:G94,"²")+COUNTIF($E94:G94,"µ")+COUNTIF($E94:G94,1),ColDescriptionCourte)),""),
  "")),"")</f>
        <v/>
      </c>
      <c r="I94" s="40" t="str">
        <f ca="1">IFERROR(IF(AND(
  INDEX(Roadmap!$D:$K,MATCH($E94,Roadmap!$D:$D,0)+COUNTIF($E94:H94,"u")+COUNTIF($E94:H94,"t")+COUNTIF($E94:H94,"¶")+COUNTIF($E94:H94,"²")+COUNTIF($E94:H94,"µ")+COUNTIF($E94:H94,1),ColLivraison)=I$6,
  VLOOKUP($E94,INDIRECT("tri!"&amp; CHAR(64+ C0Col) &amp;":"&amp; CHAR(65+C0Col)),2,FALSE)&gt;COUNTIF($E94:H94,"u")+COUNTIF($E94:H94,"t")+COUNTIF($E94:H94,"¶")+COUNTIF($E94:H94,"²")+COUNTIF($E94:H94,"µ")+COUNTIF($E94:H94,1)),
HYPERLINK("#Roadmap!C"&amp; MATCH($E94,Roadmap!$D:$D,0)+COUNTIF($E94:H94,"u")+COUNTIF($E94:H94,"t"),
     INDEX(Roadmap!$D:$K,MATCH($E94,Roadmap!$D:$D,0)+COUNTIF($E94:H94,"u")+COUNTIF($E94:H94,"t")+COUNTIF($E94:H94,"¶")+COUNTIF($E94:H94,"²")+COUNTIF($E94:H94,"µ")+COUNTIF($E94:H94,1),ColTypeEcheance)),
  IF(LEN(H94)=1,
  IF(LEN(INDEX(Roadmap!$D:$K,MATCH($E94,Roadmap!$D:$D,0)-1+COUNTIF($E94:H94,"u")+COUNTIF($E94:H94,"t")+COUNTIF($E94:H94,"¶")+COUNTIF($E94:H94,"²")+COUNTIF($E94:H94,"µ")+COUNTIF($E94:H94,1),ColDescriptionCourte))&gt;1,
HYPERLINK("#Roadmap!C"&amp; MATCH($E94,Roadmap!$D:$D,0)+COUNTIF($E94:H94,"u")+COUNTIF($E94:H94,"t")+COUNTIF($E94:H94,"¶")+COUNTIF($E94:H94,"²")+COUNTIF($E94:H94,"µ")+COUNTIF($E94:H94,1)-1,INDEX(Roadmap!$D:$K,MATCH($E94,Roadmap!$D:$D,0)-1+COUNTIF($E94:H94,"u")+COUNTIF($E94:H94,"t")+COUNTIF($E94:H94,"¶")+COUNTIF($E94:H94,"²")+COUNTIF($E94:H94,"µ")+COUNTIF($E94:H94,1),ColDescriptionCourte)),""),
  "")),"")</f>
        <v/>
      </c>
      <c r="J94" s="40" t="str">
        <f ca="1">IFERROR(IF(AND(
  INDEX(Roadmap!$D:$K,MATCH($E94,Roadmap!$D:$D,0)+COUNTIF($E94:I94,"u")+COUNTIF($E94:I94,"t")+COUNTIF($E94:I94,"¶")+COUNTIF($E94:I94,"²")+COUNTIF($E94:I94,"µ")+COUNTIF($E94:I94,1),ColLivraison)=J$6,
  VLOOKUP($E94,INDIRECT("tri!"&amp; CHAR(64+ C0Col) &amp;":"&amp; CHAR(65+C0Col)),2,FALSE)&gt;COUNTIF($E94:I94,"u")+COUNTIF($E94:I94,"t")+COUNTIF($E94:I94,"¶")+COUNTIF($E94:I94,"²")+COUNTIF($E94:I94,"µ")+COUNTIF($E94:I94,1)),
HYPERLINK("#Roadmap!C"&amp; MATCH($E94,Roadmap!$D:$D,0)+COUNTIF($E94:I94,"u")+COUNTIF($E94:I94,"t"),
     INDEX(Roadmap!$D:$K,MATCH($E94,Roadmap!$D:$D,0)+COUNTIF($E94:I94,"u")+COUNTIF($E94:I94,"t")+COUNTIF($E94:I94,"¶")+COUNTIF($E94:I94,"²")+COUNTIF($E94:I94,"µ")+COUNTIF($E94:I94,1),ColTypeEcheance)),
  IF(LEN(I94)=1,
  IF(LEN(INDEX(Roadmap!$D:$K,MATCH($E94,Roadmap!$D:$D,0)-1+COUNTIF($E94:I94,"u")+COUNTIF($E94:I94,"t")+COUNTIF($E94:I94,"¶")+COUNTIF($E94:I94,"²")+COUNTIF($E94:I94,"µ")+COUNTIF($E94:I94,1),ColDescriptionCourte))&gt;1,
HYPERLINK("#Roadmap!C"&amp; MATCH($E94,Roadmap!$D:$D,0)+COUNTIF($E94:I94,"u")+COUNTIF($E94:I94,"t")+COUNTIF($E94:I94,"¶")+COUNTIF($E94:I94,"²")+COUNTIF($E94:I94,"µ")+COUNTIF($E94:I94,1)-1,INDEX(Roadmap!$D:$K,MATCH($E94,Roadmap!$D:$D,0)-1+COUNTIF($E94:I94,"u")+COUNTIF($E94:I94,"t")+COUNTIF($E94:I94,"¶")+COUNTIF($E94:I94,"²")+COUNTIF($E94:I94,"µ")+COUNTIF($E94:I94,1),ColDescriptionCourte)),""),
  "")),"")</f>
        <v/>
      </c>
      <c r="K94" s="40" t="str">
        <f ca="1">IFERROR(IF(AND(
  INDEX(Roadmap!$D:$K,MATCH($E94,Roadmap!$D:$D,0)+COUNTIF($E94:J94,"u")+COUNTIF($E94:J94,"t")+COUNTIF($E94:J94,"¶")+COUNTIF($E94:J94,"²")+COUNTIF($E94:J94,"µ")+COUNTIF($E94:J94,1),ColLivraison)=K$6,
  VLOOKUP($E94,INDIRECT("tri!"&amp; CHAR(64+ C0Col) &amp;":"&amp; CHAR(65+C0Col)),2,FALSE)&gt;COUNTIF($E94:J94,"u")+COUNTIF($E94:J94,"t")+COUNTIF($E94:J94,"¶")+COUNTIF($E94:J94,"²")+COUNTIF($E94:J94,"µ")+COUNTIF($E94:J94,1)),
HYPERLINK("#Roadmap!C"&amp; MATCH($E94,Roadmap!$D:$D,0)+COUNTIF($E94:J94,"u")+COUNTIF($E94:J94,"t"),
     INDEX(Roadmap!$D:$K,MATCH($E94,Roadmap!$D:$D,0)+COUNTIF($E94:J94,"u")+COUNTIF($E94:J94,"t")+COUNTIF($E94:J94,"¶")+COUNTIF($E94:J94,"²")+COUNTIF($E94:J94,"µ")+COUNTIF($E94:J94,1),ColTypeEcheance)),
  IF(LEN(J94)=1,
  IF(LEN(INDEX(Roadmap!$D:$K,MATCH($E94,Roadmap!$D:$D,0)-1+COUNTIF($E94:J94,"u")+COUNTIF($E94:J94,"t")+COUNTIF($E94:J94,"¶")+COUNTIF($E94:J94,"²")+COUNTIF($E94:J94,"µ")+COUNTIF($E94:J94,1),ColDescriptionCourte))&gt;1,
HYPERLINK("#Roadmap!C"&amp; MATCH($E94,Roadmap!$D:$D,0)+COUNTIF($E94:J94,"u")+COUNTIF($E94:J94,"t")+COUNTIF($E94:J94,"¶")+COUNTIF($E94:J94,"²")+COUNTIF($E94:J94,"µ")+COUNTIF($E94:J94,1)-1,INDEX(Roadmap!$D:$K,MATCH($E94,Roadmap!$D:$D,0)-1+COUNTIF($E94:J94,"u")+COUNTIF($E94:J94,"t")+COUNTIF($E94:J94,"¶")+COUNTIF($E94:J94,"²")+COUNTIF($E94:J94,"µ")+COUNTIF($E94:J94,1),ColDescriptionCourte)),""),
  "")),"")</f>
        <v/>
      </c>
      <c r="L94" s="39" t="str">
        <f ca="1">IFERROR(IF(AND(
  INDEX(Roadmap!$D:$K,MATCH($E94,Roadmap!$D:$D,0)+COUNTIF($E94:K94,"u")+COUNTIF($E94:K94,"t")+COUNTIF($E94:K94,"¶")+COUNTIF($E94:K94,"²")+COUNTIF($E94:K94,"µ")+COUNTIF($E94:K94,1),ColLivraison)=L$6,
  VLOOKUP($E94,INDIRECT("tri!"&amp; CHAR(64+ C0Col) &amp;":"&amp; CHAR(65+C0Col)),2,FALSE)&gt;COUNTIF($E94:K94,"u")+COUNTIF($E94:K94,"t")+COUNTIF($E94:K94,"¶")+COUNTIF($E94:K94,"²")+COUNTIF($E94:K94,"µ")+COUNTIF($E94:K94,1)),
HYPERLINK("#Roadmap!C"&amp; MATCH($E94,Roadmap!$D:$D,0)+COUNTIF($E94:K94,"u")+COUNTIF($E94:K94,"t"),
     INDEX(Roadmap!$D:$K,MATCH($E94,Roadmap!$D:$D,0)+COUNTIF($E94:K94,"u")+COUNTIF($E94:K94,"t")+COUNTIF($E94:K94,"¶")+COUNTIF($E94:K94,"²")+COUNTIF($E94:K94,"µ")+COUNTIF($E94:K94,1),ColTypeEcheance)),
  IF(LEN(K94)=1,
  IF(LEN(INDEX(Roadmap!$D:$K,MATCH($E94,Roadmap!$D:$D,0)-1+COUNTIF($E94:K94,"u")+COUNTIF($E94:K94,"t")+COUNTIF($E94:K94,"¶")+COUNTIF($E94:K94,"²")+COUNTIF($E94:K94,"µ")+COUNTIF($E94:K94,1),ColDescriptionCourte))&gt;1,
HYPERLINK("#Roadmap!C"&amp; MATCH($E94,Roadmap!$D:$D,0)+COUNTIF($E94:K94,"u")+COUNTIF($E94:K94,"t")+COUNTIF($E94:K94,"¶")+COUNTIF($E94:K94,"²")+COUNTIF($E94:K94,"µ")+COUNTIF($E94:K94,1)-1,INDEX(Roadmap!$D:$K,MATCH($E94,Roadmap!$D:$D,0)-1+COUNTIF($E94:K94,"u")+COUNTIF($E94:K94,"t")+COUNTIF($E94:K94,"¶")+COUNTIF($E94:K94,"²")+COUNTIF($E94:K94,"µ")+COUNTIF($E94:K94,1),ColDescriptionCourte)),""),
  "")),"")</f>
        <v/>
      </c>
      <c r="M94" s="40" t="str">
        <f ca="1">IFERROR(IF(AND(
  INDEX(Roadmap!$D:$K,MATCH($E94,Roadmap!$D:$D,0)+COUNTIF($E94:L94,"u")+COUNTIF($E94:L94,"t")+COUNTIF($E94:L94,"¶")+COUNTIF($E94:L94,"²")+COUNTIF($E94:L94,"µ")+COUNTIF($E94:L94,1),ColLivraison)=M$6,
  VLOOKUP($E94,INDIRECT("tri!"&amp; CHAR(64+ C0Col) &amp;":"&amp; CHAR(65+C0Col)),2,FALSE)&gt;COUNTIF($E94:L94,"u")+COUNTIF($E94:L94,"t")+COUNTIF($E94:L94,"¶")+COUNTIF($E94:L94,"²")+COUNTIF($E94:L94,"µ")+COUNTIF($E94:L94,1)),
HYPERLINK("#Roadmap!C"&amp; MATCH($E94,Roadmap!$D:$D,0)+COUNTIF($E94:L94,"u")+COUNTIF($E94:L94,"t"),
     INDEX(Roadmap!$D:$K,MATCH($E94,Roadmap!$D:$D,0)+COUNTIF($E94:L94,"u")+COUNTIF($E94:L94,"t")+COUNTIF($E94:L94,"¶")+COUNTIF($E94:L94,"²")+COUNTIF($E94:L94,"µ")+COUNTIF($E94:L94,1),ColTypeEcheance)),
  IF(LEN(L94)=1,
  IF(LEN(INDEX(Roadmap!$D:$K,MATCH($E94,Roadmap!$D:$D,0)-1+COUNTIF($E94:L94,"u")+COUNTIF($E94:L94,"t")+COUNTIF($E94:L94,"¶")+COUNTIF($E94:L94,"²")+COUNTIF($E94:L94,"µ")+COUNTIF($E94:L94,1),ColDescriptionCourte))&gt;1,
HYPERLINK("#Roadmap!C"&amp; MATCH($E94,Roadmap!$D:$D,0)+COUNTIF($E94:L94,"u")+COUNTIF($E94:L94,"t")+COUNTIF($E94:L94,"¶")+COUNTIF($E94:L94,"²")+COUNTIF($E94:L94,"µ")+COUNTIF($E94:L94,1)-1,INDEX(Roadmap!$D:$K,MATCH($E94,Roadmap!$D:$D,0)-1+COUNTIF($E94:L94,"u")+COUNTIF($E94:L94,"t")+COUNTIF($E94:L94,"¶")+COUNTIF($E94:L94,"²")+COUNTIF($E94:L94,"µ")+COUNTIF($E94:L94,1),ColDescriptionCourte)),""),
  "")),"")</f>
        <v/>
      </c>
      <c r="N94" s="40" t="str">
        <f ca="1">IFERROR(IF(AND(
  INDEX(Roadmap!$D:$K,MATCH($E94,Roadmap!$D:$D,0)+COUNTIF($E94:M94,"u")+COUNTIF($E94:M94,"t")+COUNTIF($E94:M94,"¶")+COUNTIF($E94:M94,"²")+COUNTIF($E94:M94,"µ")+COUNTIF($E94:M94,1),ColLivraison)=N$6,
  VLOOKUP($E94,INDIRECT("tri!"&amp; CHAR(64+ C0Col) &amp;":"&amp; CHAR(65+C0Col)),2,FALSE)&gt;COUNTIF($E94:M94,"u")+COUNTIF($E94:M94,"t")+COUNTIF($E94:M94,"¶")+COUNTIF($E94:M94,"²")+COUNTIF($E94:M94,"µ")+COUNTIF($E94:M94,1)),
HYPERLINK("#Roadmap!C"&amp; MATCH($E94,Roadmap!$D:$D,0)+COUNTIF($E94:M94,"u")+COUNTIF($E94:M94,"t"),
     INDEX(Roadmap!$D:$K,MATCH($E94,Roadmap!$D:$D,0)+COUNTIF($E94:M94,"u")+COUNTIF($E94:M94,"t")+COUNTIF($E94:M94,"¶")+COUNTIF($E94:M94,"²")+COUNTIF($E94:M94,"µ")+COUNTIF($E94:M94,1),ColTypeEcheance)),
  IF(LEN(M94)=1,
  IF(LEN(INDEX(Roadmap!$D:$K,MATCH($E94,Roadmap!$D:$D,0)-1+COUNTIF($E94:M94,"u")+COUNTIF($E94:M94,"t")+COUNTIF($E94:M94,"¶")+COUNTIF($E94:M94,"²")+COUNTIF($E94:M94,"µ")+COUNTIF($E94:M94,1),ColDescriptionCourte))&gt;1,
HYPERLINK("#Roadmap!C"&amp; MATCH($E94,Roadmap!$D:$D,0)+COUNTIF($E94:M94,"u")+COUNTIF($E94:M94,"t")+COUNTIF($E94:M94,"¶")+COUNTIF($E94:M94,"²")+COUNTIF($E94:M94,"µ")+COUNTIF($E94:M94,1)-1,INDEX(Roadmap!$D:$K,MATCH($E94,Roadmap!$D:$D,0)-1+COUNTIF($E94:M94,"u")+COUNTIF($E94:M94,"t")+COUNTIF($E94:M94,"¶")+COUNTIF($E94:M94,"²")+COUNTIF($E94:M94,"µ")+COUNTIF($E94:M94,1),ColDescriptionCourte)),""),
  "")),"")</f>
        <v/>
      </c>
      <c r="O94" s="40" t="str">
        <f ca="1">IFERROR(IF(AND(
  INDEX(Roadmap!$D:$K,MATCH($E94,Roadmap!$D:$D,0)+COUNTIF($E94:N94,"u")+COUNTIF($E94:N94,"t")+COUNTIF($E94:N94,"¶")+COUNTIF($E94:N94,"²")+COUNTIF($E94:N94,"µ")+COUNTIF($E94:N94,1),ColLivraison)=O$6,
  VLOOKUP($E94,INDIRECT("tri!"&amp; CHAR(64+ C0Col) &amp;":"&amp; CHAR(65+C0Col)),2,FALSE)&gt;COUNTIF($E94:N94,"u")+COUNTIF($E94:N94,"t")+COUNTIF($E94:N94,"¶")+COUNTIF($E94:N94,"²")+COUNTIF($E94:N94,"µ")+COUNTIF($E94:N94,1)),
HYPERLINK("#Roadmap!C"&amp; MATCH($E94,Roadmap!$D:$D,0)+COUNTIF($E94:N94,"u")+COUNTIF($E94:N94,"t"),
     INDEX(Roadmap!$D:$K,MATCH($E94,Roadmap!$D:$D,0)+COUNTIF($E94:N94,"u")+COUNTIF($E94:N94,"t")+COUNTIF($E94:N94,"¶")+COUNTIF($E94:N94,"²")+COUNTIF($E94:N94,"µ")+COUNTIF($E94:N94,1),ColTypeEcheance)),
  IF(LEN(N94)=1,
  IF(LEN(INDEX(Roadmap!$D:$K,MATCH($E94,Roadmap!$D:$D,0)-1+COUNTIF($E94:N94,"u")+COUNTIF($E94:N94,"t")+COUNTIF($E94:N94,"¶")+COUNTIF($E94:N94,"²")+COUNTIF($E94:N94,"µ")+COUNTIF($E94:N94,1),ColDescriptionCourte))&gt;1,
HYPERLINK("#Roadmap!C"&amp; MATCH($E94,Roadmap!$D:$D,0)+COUNTIF($E94:N94,"u")+COUNTIF($E94:N94,"t")+COUNTIF($E94:N94,"¶")+COUNTIF($E94:N94,"²")+COUNTIF($E94:N94,"µ")+COUNTIF($E94:N94,1)-1,INDEX(Roadmap!$D:$K,MATCH($E94,Roadmap!$D:$D,0)-1+COUNTIF($E94:N94,"u")+COUNTIF($E94:N94,"t")+COUNTIF($E94:N94,"¶")+COUNTIF($E94:N94,"²")+COUNTIF($E94:N94,"µ")+COUNTIF($E94:N94,1),ColDescriptionCourte)),""),
  "")),"")</f>
        <v/>
      </c>
      <c r="P94" s="40" t="str">
        <f ca="1">IFERROR(IF(AND(
  INDEX(Roadmap!$D:$K,MATCH($E94,Roadmap!$D:$D,0)+COUNTIF($E94:O94,"u")+COUNTIF($E94:O94,"t")+COUNTIF($E94:O94,"¶")+COUNTIF($E94:O94,"²")+COUNTIF($E94:O94,"µ")+COUNTIF($E94:O94,1),ColLivraison)=P$6,
  VLOOKUP($E94,INDIRECT("tri!"&amp; CHAR(64+ C0Col) &amp;":"&amp; CHAR(65+C0Col)),2,FALSE)&gt;COUNTIF($E94:O94,"u")+COUNTIF($E94:O94,"t")+COUNTIF($E94:O94,"¶")+COUNTIF($E94:O94,"²")+COUNTIF($E94:O94,"µ")+COUNTIF($E94:O94,1)),
HYPERLINK("#Roadmap!C"&amp; MATCH($E94,Roadmap!$D:$D,0)+COUNTIF($E94:O94,"u")+COUNTIF($E94:O94,"t"),
     INDEX(Roadmap!$D:$K,MATCH($E94,Roadmap!$D:$D,0)+COUNTIF($E94:O94,"u")+COUNTIF($E94:O94,"t")+COUNTIF($E94:O94,"¶")+COUNTIF($E94:O94,"²")+COUNTIF($E94:O94,"µ")+COUNTIF($E94:O94,1),ColTypeEcheance)),
  IF(LEN(O94)=1,
  IF(LEN(INDEX(Roadmap!$D:$K,MATCH($E94,Roadmap!$D:$D,0)-1+COUNTIF($E94:O94,"u")+COUNTIF($E94:O94,"t")+COUNTIF($E94:O94,"¶")+COUNTIF($E94:O94,"²")+COUNTIF($E94:O94,"µ")+COUNTIF($E94:O94,1),ColDescriptionCourte))&gt;1,
HYPERLINK("#Roadmap!C"&amp; MATCH($E94,Roadmap!$D:$D,0)+COUNTIF($E94:O94,"u")+COUNTIF($E94:O94,"t")+COUNTIF($E94:O94,"¶")+COUNTIF($E94:O94,"²")+COUNTIF($E94:O94,"µ")+COUNTIF($E94:O94,1)-1,INDEX(Roadmap!$D:$K,MATCH($E94,Roadmap!$D:$D,0)-1+COUNTIF($E94:O94,"u")+COUNTIF($E94:O94,"t")+COUNTIF($E94:O94,"¶")+COUNTIF($E94:O94,"²")+COUNTIF($E94:O94,"µ")+COUNTIF($E94:O94,1),ColDescriptionCourte)),""),
  "")),"")</f>
        <v/>
      </c>
      <c r="Q94" s="40" t="str">
        <f ca="1">IFERROR(IF(AND(
  INDEX(Roadmap!$D:$K,MATCH($E94,Roadmap!$D:$D,0)+COUNTIF($E94:P94,"u")+COUNTIF($E94:P94,"t")+COUNTIF($E94:P94,"¶")+COUNTIF($E94:P94,"²")+COUNTIF($E94:P94,"µ")+COUNTIF($E94:P94,1),ColLivraison)=Q$6,
  VLOOKUP($E94,INDIRECT("tri!"&amp; CHAR(64+ C0Col) &amp;":"&amp; CHAR(65+C0Col)),2,FALSE)&gt;COUNTIF($E94:P94,"u")+COUNTIF($E94:P94,"t")+COUNTIF($E94:P94,"¶")+COUNTIF($E94:P94,"²")+COUNTIF($E94:P94,"µ")+COUNTIF($E94:P94,1)),
HYPERLINK("#Roadmap!C"&amp; MATCH($E94,Roadmap!$D:$D,0)+COUNTIF($E94:P94,"u")+COUNTIF($E94:P94,"t"),
     INDEX(Roadmap!$D:$K,MATCH($E94,Roadmap!$D:$D,0)+COUNTIF($E94:P94,"u")+COUNTIF($E94:P94,"t")+COUNTIF($E94:P94,"¶")+COUNTIF($E94:P94,"²")+COUNTIF($E94:P94,"µ")+COUNTIF($E94:P94,1),ColTypeEcheance)),
  IF(LEN(P94)=1,
  IF(LEN(INDEX(Roadmap!$D:$K,MATCH($E94,Roadmap!$D:$D,0)-1+COUNTIF($E94:P94,"u")+COUNTIF($E94:P94,"t")+COUNTIF($E94:P94,"¶")+COUNTIF($E94:P94,"²")+COUNTIF($E94:P94,"µ")+COUNTIF($E94:P94,1),ColDescriptionCourte))&gt;1,
HYPERLINK("#Roadmap!C"&amp; MATCH($E94,Roadmap!$D:$D,0)+COUNTIF($E94:P94,"u")+COUNTIF($E94:P94,"t")+COUNTIF($E94:P94,"¶")+COUNTIF($E94:P94,"²")+COUNTIF($E94:P94,"µ")+COUNTIF($E94:P94,1)-1,INDEX(Roadmap!$D:$K,MATCH($E94,Roadmap!$D:$D,0)-1+COUNTIF($E94:P94,"u")+COUNTIF($E94:P94,"t")+COUNTIF($E94:P94,"¶")+COUNTIF($E94:P94,"²")+COUNTIF($E94:P94,"µ")+COUNTIF($E94:P94,1),ColDescriptionCourte)),""),
  "")),"")</f>
        <v/>
      </c>
      <c r="R94" s="40" t="str">
        <f ca="1">IFERROR(IF(AND(
  INDEX(Roadmap!$D:$K,MATCH($E94,Roadmap!$D:$D,0)+COUNTIF($E94:Q94,"u")+COUNTIF($E94:Q94,"t")+COUNTIF($E94:Q94,"¶")+COUNTIF($E94:Q94,"²")+COUNTIF($E94:Q94,"µ")+COUNTIF($E94:Q94,1),ColLivraison)=R$6,
  VLOOKUP($E94,INDIRECT("tri!"&amp; CHAR(64+ C0Col) &amp;":"&amp; CHAR(65+C0Col)),2,FALSE)&gt;COUNTIF($E94:Q94,"u")+COUNTIF($E94:Q94,"t")+COUNTIF($E94:Q94,"¶")+COUNTIF($E94:Q94,"²")+COUNTIF($E94:Q94,"µ")+COUNTIF($E94:Q94,1)),
HYPERLINK("#Roadmap!C"&amp; MATCH($E94,Roadmap!$D:$D,0)+COUNTIF($E94:Q94,"u")+COUNTIF($E94:Q94,"t"),
     INDEX(Roadmap!$D:$K,MATCH($E94,Roadmap!$D:$D,0)+COUNTIF($E94:Q94,"u")+COUNTIF($E94:Q94,"t")+COUNTIF($E94:Q94,"¶")+COUNTIF($E94:Q94,"²")+COUNTIF($E94:Q94,"µ")+COUNTIF($E94:Q94,1),ColTypeEcheance)),
  IF(LEN(Q94)=1,
  IF(LEN(INDEX(Roadmap!$D:$K,MATCH($E94,Roadmap!$D:$D,0)-1+COUNTIF($E94:Q94,"u")+COUNTIF($E94:Q94,"t")+COUNTIF($E94:Q94,"¶")+COUNTIF($E94:Q94,"²")+COUNTIF($E94:Q94,"µ")+COUNTIF($E94:Q94,1),ColDescriptionCourte))&gt;1,
HYPERLINK("#Roadmap!C"&amp; MATCH($E94,Roadmap!$D:$D,0)+COUNTIF($E94:Q94,"u")+COUNTIF($E94:Q94,"t")+COUNTIF($E94:Q94,"¶")+COUNTIF($E94:Q94,"²")+COUNTIF($E94:Q94,"µ")+COUNTIF($E94:Q94,1)-1,INDEX(Roadmap!$D:$K,MATCH($E94,Roadmap!$D:$D,0)-1+COUNTIF($E94:Q94,"u")+COUNTIF($E94:Q94,"t")+COUNTIF($E94:Q94,"¶")+COUNTIF($E94:Q94,"²")+COUNTIF($E94:Q94,"µ")+COUNTIF($E94:Q94,1),ColDescriptionCourte)),""),
  "")),"")</f>
        <v/>
      </c>
      <c r="S94" s="40" t="str">
        <f ca="1">IFERROR(IF(AND(
  INDEX(Roadmap!$D:$K,MATCH($E94,Roadmap!$D:$D,0)+COUNTIF($E94:R94,"u")+COUNTIF($E94:R94,"t")+COUNTIF($E94:R94,"¶")+COUNTIF($E94:R94,"²")+COUNTIF($E94:R94,"µ")+COUNTIF($E94:R94,1),ColLivraison)=S$6,
  VLOOKUP($E94,INDIRECT("tri!"&amp; CHAR(64+ C0Col) &amp;":"&amp; CHAR(65+C0Col)),2,FALSE)&gt;COUNTIF($E94:R94,"u")+COUNTIF($E94:R94,"t")+COUNTIF($E94:R94,"¶")+COUNTIF($E94:R94,"²")+COUNTIF($E94:R94,"µ")+COUNTIF($E94:R94,1)),
HYPERLINK("#Roadmap!C"&amp; MATCH($E94,Roadmap!$D:$D,0)+COUNTIF($E94:R94,"u")+COUNTIF($E94:R94,"t"),
     INDEX(Roadmap!$D:$K,MATCH($E94,Roadmap!$D:$D,0)+COUNTIF($E94:R94,"u")+COUNTIF($E94:R94,"t")+COUNTIF($E94:R94,"¶")+COUNTIF($E94:R94,"²")+COUNTIF($E94:R94,"µ")+COUNTIF($E94:R94,1),ColTypeEcheance)),
  IF(LEN(R94)=1,
  IF(LEN(INDEX(Roadmap!$D:$K,MATCH($E94,Roadmap!$D:$D,0)-1+COUNTIF($E94:R94,"u")+COUNTIF($E94:R94,"t")+COUNTIF($E94:R94,"¶")+COUNTIF($E94:R94,"²")+COUNTIF($E94:R94,"µ")+COUNTIF($E94:R94,1),ColDescriptionCourte))&gt;1,
HYPERLINK("#Roadmap!C"&amp; MATCH($E94,Roadmap!$D:$D,0)+COUNTIF($E94:R94,"u")+COUNTIF($E94:R94,"t")+COUNTIF($E94:R94,"¶")+COUNTIF($E94:R94,"²")+COUNTIF($E94:R94,"µ")+COUNTIF($E94:R94,1)-1,INDEX(Roadmap!$D:$K,MATCH($E94,Roadmap!$D:$D,0)-1+COUNTIF($E94:R94,"u")+COUNTIF($E94:R94,"t")+COUNTIF($E94:R94,"¶")+COUNTIF($E94:R94,"²")+COUNTIF($E94:R94,"µ")+COUNTIF($E94:R94,1),ColDescriptionCourte)),""),
  "")),"")</f>
        <v/>
      </c>
      <c r="T94" s="40" t="str">
        <f ca="1">IFERROR(IF(AND(
  INDEX(Roadmap!$D:$K,MATCH($E94,Roadmap!$D:$D,0)+COUNTIF($E94:S94,"u")+COUNTIF($E94:S94,"t")+COUNTIF($E94:S94,"¶")+COUNTIF($E94:S94,"²")+COUNTIF($E94:S94,"µ")+COUNTIF($E94:S94,1),ColLivraison)=T$6,
  VLOOKUP($E94,INDIRECT("tri!"&amp; CHAR(64+ C0Col) &amp;":"&amp; CHAR(65+C0Col)),2,FALSE)&gt;COUNTIF($E94:S94,"u")+COUNTIF($E94:S94,"t")+COUNTIF($E94:S94,"¶")+COUNTIF($E94:S94,"²")+COUNTIF($E94:S94,"µ")+COUNTIF($E94:S94,1)),
HYPERLINK("#Roadmap!C"&amp; MATCH($E94,Roadmap!$D:$D,0)+COUNTIF($E94:S94,"u")+COUNTIF($E94:S94,"t"),
     INDEX(Roadmap!$D:$K,MATCH($E94,Roadmap!$D:$D,0)+COUNTIF($E94:S94,"u")+COUNTIF($E94:S94,"t")+COUNTIF($E94:S94,"¶")+COUNTIF($E94:S94,"²")+COUNTIF($E94:S94,"µ")+COUNTIF($E94:S94,1),ColTypeEcheance)),
  IF(LEN(S94)=1,
  IF(LEN(INDEX(Roadmap!$D:$K,MATCH($E94,Roadmap!$D:$D,0)-1+COUNTIF($E94:S94,"u")+COUNTIF($E94:S94,"t")+COUNTIF($E94:S94,"¶")+COUNTIF($E94:S94,"²")+COUNTIF($E94:S94,"µ")+COUNTIF($E94:S94,1),ColDescriptionCourte))&gt;1,
HYPERLINK("#Roadmap!C"&amp; MATCH($E94,Roadmap!$D:$D,0)+COUNTIF($E94:S94,"u")+COUNTIF($E94:S94,"t")+COUNTIF($E94:S94,"¶")+COUNTIF($E94:S94,"²")+COUNTIF($E94:S94,"µ")+COUNTIF($E94:S94,1)-1,INDEX(Roadmap!$D:$K,MATCH($E94,Roadmap!$D:$D,0)-1+COUNTIF($E94:S94,"u")+COUNTIF($E94:S94,"t")+COUNTIF($E94:S94,"¶")+COUNTIF($E94:S94,"²")+COUNTIF($E94:S94,"µ")+COUNTIF($E94:S94,1),ColDescriptionCourte)),""),
  "")),"")</f>
        <v/>
      </c>
      <c r="U94" s="40" t="str">
        <f ca="1">IFERROR(IF(AND(
  INDEX(Roadmap!$D:$K,MATCH($E94,Roadmap!$D:$D,0)+COUNTIF($E94:T94,"u")+COUNTIF($E94:T94,"t")+COUNTIF($E94:T94,"¶")+COUNTIF($E94:T94,"²")+COUNTIF($E94:T94,"µ")+COUNTIF($E94:T94,1),ColLivraison)=U$6,
  VLOOKUP($E94,INDIRECT("tri!"&amp; CHAR(64+ C0Col) &amp;":"&amp; CHAR(65+C0Col)),2,FALSE)&gt;COUNTIF($E94:T94,"u")+COUNTIF($E94:T94,"t")+COUNTIF($E94:T94,"¶")+COUNTIF($E94:T94,"²")+COUNTIF($E94:T94,"µ")+COUNTIF($E94:T94,1)),
HYPERLINK("#Roadmap!C"&amp; MATCH($E94,Roadmap!$D:$D,0)+COUNTIF($E94:T94,"u")+COUNTIF($E94:T94,"t"),
     INDEX(Roadmap!$D:$K,MATCH($E94,Roadmap!$D:$D,0)+COUNTIF($E94:T94,"u")+COUNTIF($E94:T94,"t")+COUNTIF($E94:T94,"¶")+COUNTIF($E94:T94,"²")+COUNTIF($E94:T94,"µ")+COUNTIF($E94:T94,1),ColTypeEcheance)),
  IF(LEN(T94)=1,
  IF(LEN(INDEX(Roadmap!$D:$K,MATCH($E94,Roadmap!$D:$D,0)-1+COUNTIF($E94:T94,"u")+COUNTIF($E94:T94,"t")+COUNTIF($E94:T94,"¶")+COUNTIF($E94:T94,"²")+COUNTIF($E94:T94,"µ")+COUNTIF($E94:T94,1),ColDescriptionCourte))&gt;1,
HYPERLINK("#Roadmap!C"&amp; MATCH($E94,Roadmap!$D:$D,0)+COUNTIF($E94:T94,"u")+COUNTIF($E94:T94,"t")+COUNTIF($E94:T94,"¶")+COUNTIF($E94:T94,"²")+COUNTIF($E94:T94,"µ")+COUNTIF($E94:T94,1)-1,INDEX(Roadmap!$D:$K,MATCH($E94,Roadmap!$D:$D,0)-1+COUNTIF($E94:T94,"u")+COUNTIF($E94:T94,"t")+COUNTIF($E94:T94,"¶")+COUNTIF($E94:T94,"²")+COUNTIF($E94:T94,"µ")+COUNTIF($E94:T94,1),ColDescriptionCourte)),""),
  "")),"")</f>
        <v/>
      </c>
      <c r="V94" s="40" t="str">
        <f ca="1">IFERROR(IF(AND(
  INDEX(Roadmap!$D:$K,MATCH($E94,Roadmap!$D:$D,0)+COUNTIF($E94:U94,"u")+COUNTIF($E94:U94,"t")+COUNTIF($E94:U94,"¶")+COUNTIF($E94:U94,"²")+COUNTIF($E94:U94,"µ")+COUNTIF($E94:U94,1),ColLivraison)=V$6,
  VLOOKUP($E94,INDIRECT("tri!"&amp; CHAR(64+ C0Col) &amp;":"&amp; CHAR(65+C0Col)),2,FALSE)&gt;COUNTIF($E94:U94,"u")+COUNTIF($E94:U94,"t")+COUNTIF($E94:U94,"¶")+COUNTIF($E94:U94,"²")+COUNTIF($E94:U94,"µ")+COUNTIF($E94:U94,1)),
HYPERLINK("#Roadmap!C"&amp; MATCH($E94,Roadmap!$D:$D,0)+COUNTIF($E94:U94,"u")+COUNTIF($E94:U94,"t"),
     INDEX(Roadmap!$D:$K,MATCH($E94,Roadmap!$D:$D,0)+COUNTIF($E94:U94,"u")+COUNTIF($E94:U94,"t")+COUNTIF($E94:U94,"¶")+COUNTIF($E94:U94,"²")+COUNTIF($E94:U94,"µ")+COUNTIF($E94:U94,1),ColTypeEcheance)),
  IF(LEN(U94)=1,
  IF(LEN(INDEX(Roadmap!$D:$K,MATCH($E94,Roadmap!$D:$D,0)-1+COUNTIF($E94:U94,"u")+COUNTIF($E94:U94,"t")+COUNTIF($E94:U94,"¶")+COUNTIF($E94:U94,"²")+COUNTIF($E94:U94,"µ")+COUNTIF($E94:U94,1),ColDescriptionCourte))&gt;1,
HYPERLINK("#Roadmap!C"&amp; MATCH($E94,Roadmap!$D:$D,0)+COUNTIF($E94:U94,"u")+COUNTIF($E94:U94,"t")+COUNTIF($E94:U94,"¶")+COUNTIF($E94:U94,"²")+COUNTIF($E94:U94,"µ")+COUNTIF($E94:U94,1)-1,INDEX(Roadmap!$D:$K,MATCH($E94,Roadmap!$D:$D,0)-1+COUNTIF($E94:U94,"u")+COUNTIF($E94:U94,"t")+COUNTIF($E94:U94,"¶")+COUNTIF($E94:U94,"²")+COUNTIF($E94:U94,"µ")+COUNTIF($E94:U94,1),ColDescriptionCourte)),""),
  "")),"")</f>
        <v/>
      </c>
      <c r="W94" s="40" t="str">
        <f ca="1">IFERROR(IF(AND(
  INDEX(Roadmap!$D:$K,MATCH($E94,Roadmap!$D:$D,0)+COUNTIF($E94:V94,"u")+COUNTIF($E94:V94,"t")+COUNTIF($E94:V94,"¶")+COUNTIF($E94:V94,"²")+COUNTIF($E94:V94,"µ")+COUNTIF($E94:V94,1),ColLivraison)=W$6,
  VLOOKUP($E94,INDIRECT("tri!"&amp; CHAR(64+ C0Col) &amp;":"&amp; CHAR(65+C0Col)),2,FALSE)&gt;COUNTIF($E94:V94,"u")+COUNTIF($E94:V94,"t")+COUNTIF($E94:V94,"¶")+COUNTIF($E94:V94,"²")+COUNTIF($E94:V94,"µ")+COUNTIF($E94:V94,1)),
HYPERLINK("#Roadmap!C"&amp; MATCH($E94,Roadmap!$D:$D,0)+COUNTIF($E94:V94,"u")+COUNTIF($E94:V94,"t"),
     INDEX(Roadmap!$D:$K,MATCH($E94,Roadmap!$D:$D,0)+COUNTIF($E94:V94,"u")+COUNTIF($E94:V94,"t")+COUNTIF($E94:V94,"¶")+COUNTIF($E94:V94,"²")+COUNTIF($E94:V94,"µ")+COUNTIF($E94:V94,1),ColTypeEcheance)),
  IF(LEN(V94)=1,
  IF(LEN(INDEX(Roadmap!$D:$K,MATCH($E94,Roadmap!$D:$D,0)-1+COUNTIF($E94:V94,"u")+COUNTIF($E94:V94,"t")+COUNTIF($E94:V94,"¶")+COUNTIF($E94:V94,"²")+COUNTIF($E94:V94,"µ")+COUNTIF($E94:V94,1),ColDescriptionCourte))&gt;1,
HYPERLINK("#Roadmap!C"&amp; MATCH($E94,Roadmap!$D:$D,0)+COUNTIF($E94:V94,"u")+COUNTIF($E94:V94,"t")+COUNTIF($E94:V94,"¶")+COUNTIF($E94:V94,"²")+COUNTIF($E94:V94,"µ")+COUNTIF($E94:V94,1)-1,INDEX(Roadmap!$D:$K,MATCH($E94,Roadmap!$D:$D,0)-1+COUNTIF($E94:V94,"u")+COUNTIF($E94:V94,"t")+COUNTIF($E94:V94,"¶")+COUNTIF($E94:V94,"²")+COUNTIF($E94:V94,"µ")+COUNTIF($E94:V94,1),ColDescriptionCourte)),""),
  "")),"")</f>
        <v/>
      </c>
      <c r="X94" s="40" t="str">
        <f ca="1">IFERROR(IF(AND(
  INDEX(Roadmap!$D:$K,MATCH($E94,Roadmap!$D:$D,0)+COUNTIF($E94:W94,"u")+COUNTIF($E94:W94,"t")+COUNTIF($E94:W94,"¶")+COUNTIF($E94:W94,"²")+COUNTIF($E94:W94,"µ")+COUNTIF($E94:W94,1),ColLivraison)=X$6,
  VLOOKUP($E94,INDIRECT("tri!"&amp; CHAR(64+ C0Col) &amp;":"&amp; CHAR(65+C0Col)),2,FALSE)&gt;COUNTIF($E94:W94,"u")+COUNTIF($E94:W94,"t")+COUNTIF($E94:W94,"¶")+COUNTIF($E94:W94,"²")+COUNTIF($E94:W94,"µ")+COUNTIF($E94:W94,1)),
HYPERLINK("#Roadmap!C"&amp; MATCH($E94,Roadmap!$D:$D,0)+COUNTIF($E94:W94,"u")+COUNTIF($E94:W94,"t"),
     INDEX(Roadmap!$D:$K,MATCH($E94,Roadmap!$D:$D,0)+COUNTIF($E94:W94,"u")+COUNTIF($E94:W94,"t")+COUNTIF($E94:W94,"¶")+COUNTIF($E94:W94,"²")+COUNTIF($E94:W94,"µ")+COUNTIF($E94:W94,1),ColTypeEcheance)),
  IF(LEN(W94)=1,
  IF(LEN(INDEX(Roadmap!$D:$K,MATCH($E94,Roadmap!$D:$D,0)-1+COUNTIF($E94:W94,"u")+COUNTIF($E94:W94,"t")+COUNTIF($E94:W94,"¶")+COUNTIF($E94:W94,"²")+COUNTIF($E94:W94,"µ")+COUNTIF($E94:W94,1),ColDescriptionCourte))&gt;1,
HYPERLINK("#Roadmap!C"&amp; MATCH($E94,Roadmap!$D:$D,0)+COUNTIF($E94:W94,"u")+COUNTIF($E94:W94,"t")+COUNTIF($E94:W94,"¶")+COUNTIF($E94:W94,"²")+COUNTIF($E94:W94,"µ")+COUNTIF($E94:W94,1)-1,INDEX(Roadmap!$D:$K,MATCH($E94,Roadmap!$D:$D,0)-1+COUNTIF($E94:W94,"u")+COUNTIF($E94:W94,"t")+COUNTIF($E94:W94,"¶")+COUNTIF($E94:W94,"²")+COUNTIF($E94:W94,"µ")+COUNTIF($E94:W94,1),ColDescriptionCourte)),""),
  "")),"")</f>
        <v/>
      </c>
      <c r="Y94" s="40" t="str">
        <f ca="1">IFERROR(IF(AND(
  INDEX(Roadmap!$D:$K,MATCH($E94,Roadmap!$D:$D,0)+COUNTIF($E94:X94,"u")+COUNTIF($E94:X94,"t")+COUNTIF($E94:X94,"¶")+COUNTIF($E94:X94,"²")+COUNTIF($E94:X94,"µ")+COUNTIF($E94:X94,1),ColLivraison)=Y$6,
  VLOOKUP($E94,INDIRECT("tri!"&amp; CHAR(64+ C0Col) &amp;":"&amp; CHAR(65+C0Col)),2,FALSE)&gt;COUNTIF($E94:X94,"u")+COUNTIF($E94:X94,"t")+COUNTIF($E94:X94,"¶")+COUNTIF($E94:X94,"²")+COUNTIF($E94:X94,"µ")+COUNTIF($E94:X94,1)),
HYPERLINK("#Roadmap!C"&amp; MATCH($E94,Roadmap!$D:$D,0)+COUNTIF($E94:X94,"u")+COUNTIF($E94:X94,"t"),
     INDEX(Roadmap!$D:$K,MATCH($E94,Roadmap!$D:$D,0)+COUNTIF($E94:X94,"u")+COUNTIF($E94:X94,"t")+COUNTIF($E94:X94,"¶")+COUNTIF($E94:X94,"²")+COUNTIF($E94:X94,"µ")+COUNTIF($E94:X94,1),ColTypeEcheance)),
  IF(LEN(X94)=1,
  IF(LEN(INDEX(Roadmap!$D:$K,MATCH($E94,Roadmap!$D:$D,0)-1+COUNTIF($E94:X94,"u")+COUNTIF($E94:X94,"t")+COUNTIF($E94:X94,"¶")+COUNTIF($E94:X94,"²")+COUNTIF($E94:X94,"µ")+COUNTIF($E94:X94,1),ColDescriptionCourte))&gt;1,
HYPERLINK("#Roadmap!C"&amp; MATCH($E94,Roadmap!$D:$D,0)+COUNTIF($E94:X94,"u")+COUNTIF($E94:X94,"t")+COUNTIF($E94:X94,"¶")+COUNTIF($E94:X94,"²")+COUNTIF($E94:X94,"µ")+COUNTIF($E94:X94,1)-1,INDEX(Roadmap!$D:$K,MATCH($E94,Roadmap!$D:$D,0)-1+COUNTIF($E94:X94,"u")+COUNTIF($E94:X94,"t")+COUNTIF($E94:X94,"¶")+COUNTIF($E94:X94,"²")+COUNTIF($E94:X94,"µ")+COUNTIF($E94:X94,1),ColDescriptionCourte)),""),
  "")),"")</f>
        <v/>
      </c>
      <c r="Z94" s="40" t="str">
        <f ca="1">IFERROR(IF(AND(
  INDEX(Roadmap!$D:$K,MATCH($E94,Roadmap!$D:$D,0)+COUNTIF($E94:Y94,"u")+COUNTIF($E94:Y94,"t")+COUNTIF($E94:Y94,"¶")+COUNTIF($E94:Y94,"²")+COUNTIF($E94:Y94,"µ")+COUNTIF($E94:Y94,1),ColLivraison)=Z$6,
  VLOOKUP($E94,INDIRECT("tri!"&amp; CHAR(64+ C0Col) &amp;":"&amp; CHAR(65+C0Col)),2,FALSE)&gt;COUNTIF($E94:Y94,"u")+COUNTIF($E94:Y94,"t")+COUNTIF($E94:Y94,"¶")+COUNTIF($E94:Y94,"²")+COUNTIF($E94:Y94,"µ")+COUNTIF($E94:Y94,1)),
HYPERLINK("#Roadmap!C"&amp; MATCH($E94,Roadmap!$D:$D,0)+COUNTIF($E94:Y94,"u")+COUNTIF($E94:Y94,"t"),
     INDEX(Roadmap!$D:$K,MATCH($E94,Roadmap!$D:$D,0)+COUNTIF($E94:Y94,"u")+COUNTIF($E94:Y94,"t")+COUNTIF($E94:Y94,"¶")+COUNTIF($E94:Y94,"²")+COUNTIF($E94:Y94,"µ")+COUNTIF($E94:Y94,1),ColTypeEcheance)),
  IF(LEN(Y94)=1,
  IF(LEN(INDEX(Roadmap!$D:$K,MATCH($E94,Roadmap!$D:$D,0)-1+COUNTIF($E94:Y94,"u")+COUNTIF($E94:Y94,"t")+COUNTIF($E94:Y94,"¶")+COUNTIF($E94:Y94,"²")+COUNTIF($E94:Y94,"µ")+COUNTIF($E94:Y94,1),ColDescriptionCourte))&gt;1,
HYPERLINK("#Roadmap!C"&amp; MATCH($E94,Roadmap!$D:$D,0)+COUNTIF($E94:Y94,"u")+COUNTIF($E94:Y94,"t")+COUNTIF($E94:Y94,"¶")+COUNTIF($E94:Y94,"²")+COUNTIF($E94:Y94,"µ")+COUNTIF($E94:Y94,1)-1,INDEX(Roadmap!$D:$K,MATCH($E94,Roadmap!$D:$D,0)-1+COUNTIF($E94:Y94,"u")+COUNTIF($E94:Y94,"t")+COUNTIF($E94:Y94,"¶")+COUNTIF($E94:Y94,"²")+COUNTIF($E94:Y94,"µ")+COUNTIF($E94:Y94,1),ColDescriptionCourte)),""),
  "")),"")</f>
        <v/>
      </c>
      <c r="AA94" s="40" t="str">
        <f ca="1">IFERROR(IF(AND(
  INDEX(Roadmap!$D:$K,MATCH($E94,Roadmap!$D:$D,0)+COUNTIF($E94:Z94,"u")+COUNTIF($E94:Z94,"t")+COUNTIF($E94:Z94,"¶")+COUNTIF($E94:Z94,"²")+COUNTIF($E94:Z94,"µ")+COUNTIF($E94:Z94,1),ColLivraison)=AA$6,
  VLOOKUP($E94,INDIRECT("tri!"&amp; CHAR(64+ C0Col) &amp;":"&amp; CHAR(65+C0Col)),2,FALSE)&gt;COUNTIF($E94:Z94,"u")+COUNTIF($E94:Z94,"t")+COUNTIF($E94:Z94,"¶")+COUNTIF($E94:Z94,"²")+COUNTIF($E94:Z94,"µ")+COUNTIF($E94:Z94,1)),
HYPERLINK("#Roadmap!C"&amp; MATCH($E94,Roadmap!$D:$D,0)+COUNTIF($E94:Z94,"u")+COUNTIF($E94:Z94,"t"),
     INDEX(Roadmap!$D:$K,MATCH($E94,Roadmap!$D:$D,0)+COUNTIF($E94:Z94,"u")+COUNTIF($E94:Z94,"t")+COUNTIF($E94:Z94,"¶")+COUNTIF($E94:Z94,"²")+COUNTIF($E94:Z94,"µ")+COUNTIF($E94:Z94,1),ColTypeEcheance)),
  IF(LEN(Z94)=1,
  IF(LEN(INDEX(Roadmap!$D:$K,MATCH($E94,Roadmap!$D:$D,0)-1+COUNTIF($E94:Z94,"u")+COUNTIF($E94:Z94,"t")+COUNTIF($E94:Z94,"¶")+COUNTIF($E94:Z94,"²")+COUNTIF($E94:Z94,"µ")+COUNTIF($E94:Z94,1),ColDescriptionCourte))&gt;1,
HYPERLINK("#Roadmap!C"&amp; MATCH($E94,Roadmap!$D:$D,0)+COUNTIF($E94:Z94,"u")+COUNTIF($E94:Z94,"t")+COUNTIF($E94:Z94,"¶")+COUNTIF($E94:Z94,"²")+COUNTIF($E94:Z94,"µ")+COUNTIF($E94:Z94,1)-1,INDEX(Roadmap!$D:$K,MATCH($E94,Roadmap!$D:$D,0)-1+COUNTIF($E94:Z94,"u")+COUNTIF($E94:Z94,"t")+COUNTIF($E94:Z94,"¶")+COUNTIF($E94:Z94,"²")+COUNTIF($E94:Z94,"µ")+COUNTIF($E94:Z94,1),ColDescriptionCourte)),""),
  "")),"")</f>
        <v/>
      </c>
      <c r="AB94" s="40" t="str">
        <f ca="1">IFERROR(IF(AND(
  INDEX(Roadmap!$D:$K,MATCH($E94,Roadmap!$D:$D,0)+COUNTIF($E94:AA94,"u")+COUNTIF($E94:AA94,"t")+COUNTIF($E94:AA94,"¶")+COUNTIF($E94:AA94,"²")+COUNTIF($E94:AA94,"µ")+COUNTIF($E94:AA94,1),ColLivraison)=AB$6,
  VLOOKUP($E94,INDIRECT("tri!"&amp; CHAR(64+ C0Col) &amp;":"&amp; CHAR(65+C0Col)),2,FALSE)&gt;COUNTIF($E94:AA94,"u")+COUNTIF($E94:AA94,"t")+COUNTIF($E94:AA94,"¶")+COUNTIF($E94:AA94,"²")+COUNTIF($E94:AA94,"µ")+COUNTIF($E94:AA94,1)),
HYPERLINK("#Roadmap!C"&amp; MATCH($E94,Roadmap!$D:$D,0)+COUNTIF($E94:AA94,"u")+COUNTIF($E94:AA94,"t"),
     INDEX(Roadmap!$D:$K,MATCH($E94,Roadmap!$D:$D,0)+COUNTIF($E94:AA94,"u")+COUNTIF($E94:AA94,"t")+COUNTIF($E94:AA94,"¶")+COUNTIF($E94:AA94,"²")+COUNTIF($E94:AA94,"µ")+COUNTIF($E94:AA94,1),ColTypeEcheance)),
  IF(LEN(AA94)=1,
  IF(LEN(INDEX(Roadmap!$D:$K,MATCH($E94,Roadmap!$D:$D,0)-1+COUNTIF($E94:AA94,"u")+COUNTIF($E94:AA94,"t")+COUNTIF($E94:AA94,"¶")+COUNTIF($E94:AA94,"²")+COUNTIF($E94:AA94,"µ")+COUNTIF($E94:AA94,1),ColDescriptionCourte))&gt;1,
HYPERLINK("#Roadmap!C"&amp; MATCH($E94,Roadmap!$D:$D,0)+COUNTIF($E94:AA94,"u")+COUNTIF($E94:AA94,"t")+COUNTIF($E94:AA94,"¶")+COUNTIF($E94:AA94,"²")+COUNTIF($E94:AA94,"µ")+COUNTIF($E94:AA94,1)-1,INDEX(Roadmap!$D:$K,MATCH($E94,Roadmap!$D:$D,0)-1+COUNTIF($E94:AA94,"u")+COUNTIF($E94:AA94,"t")+COUNTIF($E94:AA94,"¶")+COUNTIF($E94:AA94,"²")+COUNTIF($E94:AA94,"µ")+COUNTIF($E94:AA94,1),ColDescriptionCourte)),""),
  "")),"")</f>
        <v/>
      </c>
      <c r="AC94" s="40" t="str">
        <f ca="1">IFERROR(IF(AND(
  INDEX(Roadmap!$D:$K,MATCH($E94,Roadmap!$D:$D,0)+COUNTIF($E94:AB94,"u")+COUNTIF($E94:AB94,"t")+COUNTIF($E94:AB94,"¶")+COUNTIF($E94:AB94,"²")+COUNTIF($E94:AB94,"µ")+COUNTIF($E94:AB94,1),ColLivraison)=AC$6,
  VLOOKUP($E94,INDIRECT("tri!"&amp; CHAR(64+ C0Col) &amp;":"&amp; CHAR(65+C0Col)),2,FALSE)&gt;COUNTIF($E94:AB94,"u")+COUNTIF($E94:AB94,"t")+COUNTIF($E94:AB94,"¶")+COUNTIF($E94:AB94,"²")+COUNTIF($E94:AB94,"µ")+COUNTIF($E94:AB94,1)),
HYPERLINK("#Roadmap!C"&amp; MATCH($E94,Roadmap!$D:$D,0)+COUNTIF($E94:AB94,"u")+COUNTIF($E94:AB94,"t"),
     INDEX(Roadmap!$D:$K,MATCH($E94,Roadmap!$D:$D,0)+COUNTIF($E94:AB94,"u")+COUNTIF($E94:AB94,"t")+COUNTIF($E94:AB94,"¶")+COUNTIF($E94:AB94,"²")+COUNTIF($E94:AB94,"µ")+COUNTIF($E94:AB94,1),ColTypeEcheance)),
  IF(LEN(AB94)=1,
  IF(LEN(INDEX(Roadmap!$D:$K,MATCH($E94,Roadmap!$D:$D,0)-1+COUNTIF($E94:AB94,"u")+COUNTIF($E94:AB94,"t")+COUNTIF($E94:AB94,"¶")+COUNTIF($E94:AB94,"²")+COUNTIF($E94:AB94,"µ")+COUNTIF($E94:AB94,1),ColDescriptionCourte))&gt;1,
HYPERLINK("#Roadmap!C"&amp; MATCH($E94,Roadmap!$D:$D,0)+COUNTIF($E94:AB94,"u")+COUNTIF($E94:AB94,"t")+COUNTIF($E94:AB94,"¶")+COUNTIF($E94:AB94,"²")+COUNTIF($E94:AB94,"µ")+COUNTIF($E94:AB94,1)-1,INDEX(Roadmap!$D:$K,MATCH($E94,Roadmap!$D:$D,0)-1+COUNTIF($E94:AB94,"u")+COUNTIF($E94:AB94,"t")+COUNTIF($E94:AB94,"¶")+COUNTIF($E94:AB94,"²")+COUNTIF($E94:AB94,"µ")+COUNTIF($E94:AB94,1),ColDescriptionCourte)),""),
  "")),"")</f>
        <v/>
      </c>
      <c r="AD94" s="40" t="str">
        <f ca="1">IFERROR(IF(AND(
  INDEX(Roadmap!$D:$K,MATCH($E94,Roadmap!$D:$D,0)+COUNTIF($E94:AC94,"u")+COUNTIF($E94:AC94,"t")+COUNTIF($E94:AC94,"¶")+COUNTIF($E94:AC94,"²")+COUNTIF($E94:AC94,"µ")+COUNTIF($E94:AC94,1),ColLivraison)=AD$6,
  VLOOKUP($E94,INDIRECT("tri!"&amp; CHAR(64+ C0Col) &amp;":"&amp; CHAR(65+C0Col)),2,FALSE)&gt;COUNTIF($E94:AC94,"u")+COUNTIF($E94:AC94,"t")+COUNTIF($E94:AC94,"¶")+COUNTIF($E94:AC94,"²")+COUNTIF($E94:AC94,"µ")+COUNTIF($E94:AC94,1)),
HYPERLINK("#Roadmap!C"&amp; MATCH($E94,Roadmap!$D:$D,0)+COUNTIF($E94:AC94,"u")+COUNTIF($E94:AC94,"t"),
     INDEX(Roadmap!$D:$K,MATCH($E94,Roadmap!$D:$D,0)+COUNTIF($E94:AC94,"u")+COUNTIF($E94:AC94,"t")+COUNTIF($E94:AC94,"¶")+COUNTIF($E94:AC94,"²")+COUNTIF($E94:AC94,"µ")+COUNTIF($E94:AC94,1),ColTypeEcheance)),
  IF(LEN(AC94)=1,
  IF(LEN(INDEX(Roadmap!$D:$K,MATCH($E94,Roadmap!$D:$D,0)-1+COUNTIF($E94:AC94,"u")+COUNTIF($E94:AC94,"t")+COUNTIF($E94:AC94,"¶")+COUNTIF($E94:AC94,"²")+COUNTIF($E94:AC94,"µ")+COUNTIF($E94:AC94,1),ColDescriptionCourte))&gt;1,
HYPERLINK("#Roadmap!C"&amp; MATCH($E94,Roadmap!$D:$D,0)+COUNTIF($E94:AC94,"u")+COUNTIF($E94:AC94,"t")+COUNTIF($E94:AC94,"¶")+COUNTIF($E94:AC94,"²")+COUNTIF($E94:AC94,"µ")+COUNTIF($E94:AC94,1)-1,INDEX(Roadmap!$D:$K,MATCH($E94,Roadmap!$D:$D,0)-1+COUNTIF($E94:AC94,"u")+COUNTIF($E94:AC94,"t")+COUNTIF($E94:AC94,"¶")+COUNTIF($E94:AC94,"²")+COUNTIF($E94:AC94,"µ")+COUNTIF($E94:AC94,1),ColDescriptionCourte)),""),
  "")),"")</f>
        <v/>
      </c>
      <c r="AE94" s="40" t="str">
        <f ca="1">IFERROR(IF(AND(
  INDEX(Roadmap!$D:$K,MATCH($E94,Roadmap!$D:$D,0)+COUNTIF($E94:AD94,"u")+COUNTIF($E94:AD94,"t")+COUNTIF($E94:AD94,"¶")+COUNTIF($E94:AD94,"²")+COUNTIF($E94:AD94,"µ")+COUNTIF($E94:AD94,1),ColLivraison)=AE$6,
  VLOOKUP($E94,INDIRECT("tri!"&amp; CHAR(64+ C0Col) &amp;":"&amp; CHAR(65+C0Col)),2,FALSE)&gt;COUNTIF($E94:AD94,"u")+COUNTIF($E94:AD94,"t")+COUNTIF($E94:AD94,"¶")+COUNTIF($E94:AD94,"²")+COUNTIF($E94:AD94,"µ")+COUNTIF($E94:AD94,1)),
HYPERLINK("#Roadmap!C"&amp; MATCH($E94,Roadmap!$D:$D,0)+COUNTIF($E94:AD94,"u")+COUNTIF($E94:AD94,"t"),
     INDEX(Roadmap!$D:$K,MATCH($E94,Roadmap!$D:$D,0)+COUNTIF($E94:AD94,"u")+COUNTIF($E94:AD94,"t")+COUNTIF($E94:AD94,"¶")+COUNTIF($E94:AD94,"²")+COUNTIF($E94:AD94,"µ")+COUNTIF($E94:AD94,1),ColTypeEcheance)),
  IF(LEN(AD94)=1,
  IF(LEN(INDEX(Roadmap!$D:$K,MATCH($E94,Roadmap!$D:$D,0)-1+COUNTIF($E94:AD94,"u")+COUNTIF($E94:AD94,"t")+COUNTIF($E94:AD94,"¶")+COUNTIF($E94:AD94,"²")+COUNTIF($E94:AD94,"µ")+COUNTIF($E94:AD94,1),ColDescriptionCourte))&gt;1,
HYPERLINK("#Roadmap!C"&amp; MATCH($E94,Roadmap!$D:$D,0)+COUNTIF($E94:AD94,"u")+COUNTIF($E94:AD94,"t")+COUNTIF($E94:AD94,"¶")+COUNTIF($E94:AD94,"²")+COUNTIF($E94:AD94,"µ")+COUNTIF($E94:AD94,1)-1,INDEX(Roadmap!$D:$K,MATCH($E94,Roadmap!$D:$D,0)-1+COUNTIF($E94:AD94,"u")+COUNTIF($E94:AD94,"t")+COUNTIF($E94:AD94,"¶")+COUNTIF($E94:AD94,"²")+COUNTIF($E94:AD94,"µ")+COUNTIF($E94:AD94,1),ColDescriptionCourte)),""),
  "")),"")</f>
        <v/>
      </c>
      <c r="AF94" s="40" t="str">
        <f ca="1">IFERROR(IF(AND(
  INDEX(Roadmap!$D:$K,MATCH($E94,Roadmap!$D:$D,0)+COUNTIF($E94:AE94,"u")+COUNTIF($E94:AE94,"t")+COUNTIF($E94:AE94,"¶")+COUNTIF($E94:AE94,"²")+COUNTIF($E94:AE94,"µ")+COUNTIF($E94:AE94,1),ColLivraison)=AF$6,
  VLOOKUP($E94,INDIRECT("tri!"&amp; CHAR(64+ C0Col) &amp;":"&amp; CHAR(65+C0Col)),2,FALSE)&gt;COUNTIF($E94:AE94,"u")+COUNTIF($E94:AE94,"t")+COUNTIF($E94:AE94,"¶")+COUNTIF($E94:AE94,"²")+COUNTIF($E94:AE94,"µ")+COUNTIF($E94:AE94,1)),
HYPERLINK("#Roadmap!C"&amp; MATCH($E94,Roadmap!$D:$D,0)+COUNTIF($E94:AE94,"u")+COUNTIF($E94:AE94,"t"),
     INDEX(Roadmap!$D:$K,MATCH($E94,Roadmap!$D:$D,0)+COUNTIF($E94:AE94,"u")+COUNTIF($E94:AE94,"t")+COUNTIF($E94:AE94,"¶")+COUNTIF($E94:AE94,"²")+COUNTIF($E94:AE94,"µ")+COUNTIF($E94:AE94,1),ColTypeEcheance)),
  IF(LEN(AE94)=1,
  IF(LEN(INDEX(Roadmap!$D:$K,MATCH($E94,Roadmap!$D:$D,0)-1+COUNTIF($E94:AE94,"u")+COUNTIF($E94:AE94,"t")+COUNTIF($E94:AE94,"¶")+COUNTIF($E94:AE94,"²")+COUNTIF($E94:AE94,"µ")+COUNTIF($E94:AE94,1),ColDescriptionCourte))&gt;1,
HYPERLINK("#Roadmap!C"&amp; MATCH($E94,Roadmap!$D:$D,0)+COUNTIF($E94:AE94,"u")+COUNTIF($E94:AE94,"t")+COUNTIF($E94:AE94,"¶")+COUNTIF($E94:AE94,"²")+COUNTIF($E94:AE94,"µ")+COUNTIF($E94:AE94,1)-1,INDEX(Roadmap!$D:$K,MATCH($E94,Roadmap!$D:$D,0)-1+COUNTIF($E94:AE94,"u")+COUNTIF($E94:AE94,"t")+COUNTIF($E94:AE94,"¶")+COUNTIF($E94:AE94,"²")+COUNTIF($E94:AE94,"µ")+COUNTIF($E94:AE94,1),ColDescriptionCourte)),""),
  "")),"")</f>
        <v/>
      </c>
      <c r="AG94" s="40" t="str">
        <f ca="1">IFERROR(IF(AND(
  INDEX(Roadmap!$D:$K,MATCH($E94,Roadmap!$D:$D,0)+COUNTIF($E94:AF94,"u")+COUNTIF($E94:AF94,"t")+COUNTIF($E94:AF94,"¶")+COUNTIF($E94:AF94,"²")+COUNTIF($E94:AF94,"µ")+COUNTIF($E94:AF94,1),ColLivraison)=AG$6,
  VLOOKUP($E94,INDIRECT("tri!"&amp; CHAR(64+ C0Col) &amp;":"&amp; CHAR(65+C0Col)),2,FALSE)&gt;COUNTIF($E94:AF94,"u")+COUNTIF($E94:AF94,"t")+COUNTIF($E94:AF94,"¶")+COUNTIF($E94:AF94,"²")+COUNTIF($E94:AF94,"µ")+COUNTIF($E94:AF94,1)),
HYPERLINK("#Roadmap!C"&amp; MATCH($E94,Roadmap!$D:$D,0)+COUNTIF($E94:AF94,"u")+COUNTIF($E94:AF94,"t"),
     INDEX(Roadmap!$D:$K,MATCH($E94,Roadmap!$D:$D,0)+COUNTIF($E94:AF94,"u")+COUNTIF($E94:AF94,"t")+COUNTIF($E94:AF94,"¶")+COUNTIF($E94:AF94,"²")+COUNTIF($E94:AF94,"µ")+COUNTIF($E94:AF94,1),ColTypeEcheance)),
  IF(LEN(AF94)=1,
  IF(LEN(INDEX(Roadmap!$D:$K,MATCH($E94,Roadmap!$D:$D,0)-1+COUNTIF($E94:AF94,"u")+COUNTIF($E94:AF94,"t")+COUNTIF($E94:AF94,"¶")+COUNTIF($E94:AF94,"²")+COUNTIF($E94:AF94,"µ")+COUNTIF($E94:AF94,1),ColDescriptionCourte))&gt;1,
HYPERLINK("#Roadmap!C"&amp; MATCH($E94,Roadmap!$D:$D,0)+COUNTIF($E94:AF94,"u")+COUNTIF($E94:AF94,"t")+COUNTIF($E94:AF94,"¶")+COUNTIF($E94:AF94,"²")+COUNTIF($E94:AF94,"µ")+COUNTIF($E94:AF94,1)-1,INDEX(Roadmap!$D:$K,MATCH($E94,Roadmap!$D:$D,0)-1+COUNTIF($E94:AF94,"u")+COUNTIF($E94:AF94,"t")+COUNTIF($E94:AF94,"¶")+COUNTIF($E94:AF94,"²")+COUNTIF($E94:AF94,"µ")+COUNTIF($E94:AF94,1),ColDescriptionCourte)),""),
  "")),"")</f>
        <v/>
      </c>
    </row>
    <row r="95" spans="3:33" ht="14.25" customHeight="1">
      <c r="C95" s="1" t="str">
        <f t="shared" ca="1" si="47"/>
        <v/>
      </c>
      <c r="D95" s="1" t="str">
        <f t="shared" ca="1" si="48"/>
        <v/>
      </c>
      <c r="E95" s="35" t="str">
        <f t="shared" ca="1" si="46"/>
        <v/>
      </c>
      <c r="F95" s="39" t="str">
        <f ca="1">IFERROR(IF(AND(
  INDEX(Roadmap!$D:$K,MATCH($E95,Roadmap!$D:$D,0)+COUNTIF($E95:E95,"u")+COUNTIF($E95:E95,"t")+COUNTIF($E95:E95,"¶")+COUNTIF($E95:E95,"²")+COUNTIF($E95:E95,"µ")+COUNTIF($E95:E95,1),ColLivraison)=F$6,
  VLOOKUP($E95,INDIRECT("tri!"&amp; CHAR(64+ C0Col) &amp;":"&amp; CHAR(65+C0Col)),2,FALSE)&gt;COUNTIF($E95:E95,"u")+COUNTIF($E95:E95,"t")+COUNTIF($E95:E95,"¶")+COUNTIF($E95:E95,"²")+COUNTIF($E95:E95,"µ")+COUNTIF($E95:E95,1)),
HYPERLINK("#Roadmap!C"&amp; MATCH($E95,Roadmap!$D:$D,0)+COUNTIF($E95:E95,"u")+COUNTIF($E95:E95,"t"),
     INDEX(Roadmap!$D:$K,MATCH($E95,Roadmap!$D:$D,0)+COUNTIF($E95:E95,"u")+COUNTIF($E95:E95,"t")+COUNTIF($E95:E95,"¶")+COUNTIF($E95:E95,"²")+COUNTIF($E95:E95,"µ")+COUNTIF($E95:E95,1),ColTypeEcheance)),
  IF(LEN(E95)=1,
  IF(LEN(INDEX(Roadmap!$D:$K,MATCH($E95,Roadmap!$D:$D,0)-1+COUNTIF($E95:E95,"u")+COUNTIF($E95:E95,"t")+COUNTIF($E95:E95,"¶")+COUNTIF($E95:E95,"²")+COUNTIF($E95:E95,"µ")+COUNTIF($E95:E95,1),ColDescriptionCourte))&gt;1,
HYPERLINK("#Roadmap!C"&amp; MATCH($E95,Roadmap!$D:$D,0)+COUNTIF($E95:E95,"u")+COUNTIF($E95:E95,"t")+COUNTIF($E95:E95,"¶")+COUNTIF($E95:E95,"²")+COUNTIF($E95:E95,"µ")+COUNTIF($E95:E95,1)-1,INDEX(Roadmap!$D:$K,MATCH($E95,Roadmap!$D:$D,0)-1+COUNTIF($E95:E95,"u")+COUNTIF($E95:E95,"t")+COUNTIF($E95:E95,"¶")+COUNTIF($E95:E95,"²")+COUNTIF($E95:E95,"µ")+COUNTIF($E95:E95,1),ColDescriptionCourte)),""),
  "")),"")</f>
        <v/>
      </c>
      <c r="G95" s="40" t="str">
        <f ca="1">IFERROR(IF(AND(
  INDEX(Roadmap!$D:$K,MATCH($E95,Roadmap!$D:$D,0)+COUNTIF($E95:F95,"u")+COUNTIF($E95:F95,"t")+COUNTIF($E95:F95,"¶")+COUNTIF($E95:F95,"²")+COUNTIF($E95:F95,"µ")+COUNTIF($E95:F95,1),ColLivraison)=G$6,
  VLOOKUP($E95,INDIRECT("tri!"&amp; CHAR(64+ C0Col) &amp;":"&amp; CHAR(65+C0Col)),2,FALSE)&gt;COUNTIF($E95:F95,"u")+COUNTIF($E95:F95,"t")+COUNTIF($E95:F95,"¶")+COUNTIF($E95:F95,"²")+COUNTIF($E95:F95,"µ")+COUNTIF($E95:F95,1)),
HYPERLINK("#Roadmap!C"&amp; MATCH($E95,Roadmap!$D:$D,0)+COUNTIF($E95:F95,"u")+COUNTIF($E95:F95,"t"),
     INDEX(Roadmap!$D:$K,MATCH($E95,Roadmap!$D:$D,0)+COUNTIF($E95:F95,"u")+COUNTIF($E95:F95,"t")+COUNTIF($E95:F95,"¶")+COUNTIF($E95:F95,"²")+COUNTIF($E95:F95,"µ")+COUNTIF($E95:F95,1),ColTypeEcheance)),
  IF(LEN(F95)=1,
  IF(LEN(INDEX(Roadmap!$D:$K,MATCH($E95,Roadmap!$D:$D,0)-1+COUNTIF($E95:F95,"u")+COUNTIF($E95:F95,"t")+COUNTIF($E95:F95,"¶")+COUNTIF($E95:F95,"²")+COUNTIF($E95:F95,"µ")+COUNTIF($E95:F95,1),ColDescriptionCourte))&gt;1,
HYPERLINK("#Roadmap!C"&amp; MATCH($E95,Roadmap!$D:$D,0)+COUNTIF($E95:F95,"u")+COUNTIF($E95:F95,"t")+COUNTIF($E95:F95,"¶")+COUNTIF($E95:F95,"²")+COUNTIF($E95:F95,"µ")+COUNTIF($E95:F95,1)-1,INDEX(Roadmap!$D:$K,MATCH($E95,Roadmap!$D:$D,0)-1+COUNTIF($E95:F95,"u")+COUNTIF($E95:F95,"t")+COUNTIF($E95:F95,"¶")+COUNTIF($E95:F95,"²")+COUNTIF($E95:F95,"µ")+COUNTIF($E95:F95,1),ColDescriptionCourte)),""),
  "")),"")</f>
        <v/>
      </c>
      <c r="H95" s="40" t="str">
        <f ca="1">IFERROR(IF(AND(
  INDEX(Roadmap!$D:$K,MATCH($E95,Roadmap!$D:$D,0)+COUNTIF($E95:G95,"u")+COUNTIF($E95:G95,"t")+COUNTIF($E95:G95,"¶")+COUNTIF($E95:G95,"²")+COUNTIF($E95:G95,"µ")+COUNTIF($E95:G95,1),ColLivraison)=H$6,
  VLOOKUP($E95,INDIRECT("tri!"&amp; CHAR(64+ C0Col) &amp;":"&amp; CHAR(65+C0Col)),2,FALSE)&gt;COUNTIF($E95:G95,"u")+COUNTIF($E95:G95,"t")+COUNTIF($E95:G95,"¶")+COUNTIF($E95:G95,"²")+COUNTIF($E95:G95,"µ")+COUNTIF($E95:G95,1)),
HYPERLINK("#Roadmap!C"&amp; MATCH($E95,Roadmap!$D:$D,0)+COUNTIF($E95:G95,"u")+COUNTIF($E95:G95,"t"),
     INDEX(Roadmap!$D:$K,MATCH($E95,Roadmap!$D:$D,0)+COUNTIF($E95:G95,"u")+COUNTIF($E95:G95,"t")+COUNTIF($E95:G95,"¶")+COUNTIF($E95:G95,"²")+COUNTIF($E95:G95,"µ")+COUNTIF($E95:G95,1),ColTypeEcheance)),
  IF(LEN(G95)=1,
  IF(LEN(INDEX(Roadmap!$D:$K,MATCH($E95,Roadmap!$D:$D,0)-1+COUNTIF($E95:G95,"u")+COUNTIF($E95:G95,"t")+COUNTIF($E95:G95,"¶")+COUNTIF($E95:G95,"²")+COUNTIF($E95:G95,"µ")+COUNTIF($E95:G95,1),ColDescriptionCourte))&gt;1,
HYPERLINK("#Roadmap!C"&amp; MATCH($E95,Roadmap!$D:$D,0)+COUNTIF($E95:G95,"u")+COUNTIF($E95:G95,"t")+COUNTIF($E95:G95,"¶")+COUNTIF($E95:G95,"²")+COUNTIF($E95:G95,"µ")+COUNTIF($E95:G95,1)-1,INDEX(Roadmap!$D:$K,MATCH($E95,Roadmap!$D:$D,0)-1+COUNTIF($E95:G95,"u")+COUNTIF($E95:G95,"t")+COUNTIF($E95:G95,"¶")+COUNTIF($E95:G95,"²")+COUNTIF($E95:G95,"µ")+COUNTIF($E95:G95,1),ColDescriptionCourte)),""),
  "")),"")</f>
        <v/>
      </c>
      <c r="I95" s="40" t="str">
        <f ca="1">IFERROR(IF(AND(
  INDEX(Roadmap!$D:$K,MATCH($E95,Roadmap!$D:$D,0)+COUNTIF($E95:H95,"u")+COUNTIF($E95:H95,"t")+COUNTIF($E95:H95,"¶")+COUNTIF($E95:H95,"²")+COUNTIF($E95:H95,"µ")+COUNTIF($E95:H95,1),ColLivraison)=I$6,
  VLOOKUP($E95,INDIRECT("tri!"&amp; CHAR(64+ C0Col) &amp;":"&amp; CHAR(65+C0Col)),2,FALSE)&gt;COUNTIF($E95:H95,"u")+COUNTIF($E95:H95,"t")+COUNTIF($E95:H95,"¶")+COUNTIF($E95:H95,"²")+COUNTIF($E95:H95,"µ")+COUNTIF($E95:H95,1)),
HYPERLINK("#Roadmap!C"&amp; MATCH($E95,Roadmap!$D:$D,0)+COUNTIF($E95:H95,"u")+COUNTIF($E95:H95,"t"),
     INDEX(Roadmap!$D:$K,MATCH($E95,Roadmap!$D:$D,0)+COUNTIF($E95:H95,"u")+COUNTIF($E95:H95,"t")+COUNTIF($E95:H95,"¶")+COUNTIF($E95:H95,"²")+COUNTIF($E95:H95,"µ")+COUNTIF($E95:H95,1),ColTypeEcheance)),
  IF(LEN(H95)=1,
  IF(LEN(INDEX(Roadmap!$D:$K,MATCH($E95,Roadmap!$D:$D,0)-1+COUNTIF($E95:H95,"u")+COUNTIF($E95:H95,"t")+COUNTIF($E95:H95,"¶")+COUNTIF($E95:H95,"²")+COUNTIF($E95:H95,"µ")+COUNTIF($E95:H95,1),ColDescriptionCourte))&gt;1,
HYPERLINK("#Roadmap!C"&amp; MATCH($E95,Roadmap!$D:$D,0)+COUNTIF($E95:H95,"u")+COUNTIF($E95:H95,"t")+COUNTIF($E95:H95,"¶")+COUNTIF($E95:H95,"²")+COUNTIF($E95:H95,"µ")+COUNTIF($E95:H95,1)-1,INDEX(Roadmap!$D:$K,MATCH($E95,Roadmap!$D:$D,0)-1+COUNTIF($E95:H95,"u")+COUNTIF($E95:H95,"t")+COUNTIF($E95:H95,"¶")+COUNTIF($E95:H95,"²")+COUNTIF($E95:H95,"µ")+COUNTIF($E95:H95,1),ColDescriptionCourte)),""),
  "")),"")</f>
        <v/>
      </c>
      <c r="J95" s="40" t="str">
        <f ca="1">IFERROR(IF(AND(
  INDEX(Roadmap!$D:$K,MATCH($E95,Roadmap!$D:$D,0)+COUNTIF($E95:I95,"u")+COUNTIF($E95:I95,"t")+COUNTIF($E95:I95,"¶")+COUNTIF($E95:I95,"²")+COUNTIF($E95:I95,"µ")+COUNTIF($E95:I95,1),ColLivraison)=J$6,
  VLOOKUP($E95,INDIRECT("tri!"&amp; CHAR(64+ C0Col) &amp;":"&amp; CHAR(65+C0Col)),2,FALSE)&gt;COUNTIF($E95:I95,"u")+COUNTIF($E95:I95,"t")+COUNTIF($E95:I95,"¶")+COUNTIF($E95:I95,"²")+COUNTIF($E95:I95,"µ")+COUNTIF($E95:I95,1)),
HYPERLINK("#Roadmap!C"&amp; MATCH($E95,Roadmap!$D:$D,0)+COUNTIF($E95:I95,"u")+COUNTIF($E95:I95,"t"),
     INDEX(Roadmap!$D:$K,MATCH($E95,Roadmap!$D:$D,0)+COUNTIF($E95:I95,"u")+COUNTIF($E95:I95,"t")+COUNTIF($E95:I95,"¶")+COUNTIF($E95:I95,"²")+COUNTIF($E95:I95,"µ")+COUNTIF($E95:I95,1),ColTypeEcheance)),
  IF(LEN(I95)=1,
  IF(LEN(INDEX(Roadmap!$D:$K,MATCH($E95,Roadmap!$D:$D,0)-1+COUNTIF($E95:I95,"u")+COUNTIF($E95:I95,"t")+COUNTIF($E95:I95,"¶")+COUNTIF($E95:I95,"²")+COUNTIF($E95:I95,"µ")+COUNTIF($E95:I95,1),ColDescriptionCourte))&gt;1,
HYPERLINK("#Roadmap!C"&amp; MATCH($E95,Roadmap!$D:$D,0)+COUNTIF($E95:I95,"u")+COUNTIF($E95:I95,"t")+COUNTIF($E95:I95,"¶")+COUNTIF($E95:I95,"²")+COUNTIF($E95:I95,"µ")+COUNTIF($E95:I95,1)-1,INDEX(Roadmap!$D:$K,MATCH($E95,Roadmap!$D:$D,0)-1+COUNTIF($E95:I95,"u")+COUNTIF($E95:I95,"t")+COUNTIF($E95:I95,"¶")+COUNTIF($E95:I95,"²")+COUNTIF($E95:I95,"µ")+COUNTIF($E95:I95,1),ColDescriptionCourte)),""),
  "")),"")</f>
        <v/>
      </c>
      <c r="K95" s="40" t="str">
        <f ca="1">IFERROR(IF(AND(
  INDEX(Roadmap!$D:$K,MATCH($E95,Roadmap!$D:$D,0)+COUNTIF($E95:J95,"u")+COUNTIF($E95:J95,"t")+COUNTIF($E95:J95,"¶")+COUNTIF($E95:J95,"²")+COUNTIF($E95:J95,"µ")+COUNTIF($E95:J95,1),ColLivraison)=K$6,
  VLOOKUP($E95,INDIRECT("tri!"&amp; CHAR(64+ C0Col) &amp;":"&amp; CHAR(65+C0Col)),2,FALSE)&gt;COUNTIF($E95:J95,"u")+COUNTIF($E95:J95,"t")+COUNTIF($E95:J95,"¶")+COUNTIF($E95:J95,"²")+COUNTIF($E95:J95,"µ")+COUNTIF($E95:J95,1)),
HYPERLINK("#Roadmap!C"&amp; MATCH($E95,Roadmap!$D:$D,0)+COUNTIF($E95:J95,"u")+COUNTIF($E95:J95,"t"),
     INDEX(Roadmap!$D:$K,MATCH($E95,Roadmap!$D:$D,0)+COUNTIF($E95:J95,"u")+COUNTIF($E95:J95,"t")+COUNTIF($E95:J95,"¶")+COUNTIF($E95:J95,"²")+COUNTIF($E95:J95,"µ")+COUNTIF($E95:J95,1),ColTypeEcheance)),
  IF(LEN(J95)=1,
  IF(LEN(INDEX(Roadmap!$D:$K,MATCH($E95,Roadmap!$D:$D,0)-1+COUNTIF($E95:J95,"u")+COUNTIF($E95:J95,"t")+COUNTIF($E95:J95,"¶")+COUNTIF($E95:J95,"²")+COUNTIF($E95:J95,"µ")+COUNTIF($E95:J95,1),ColDescriptionCourte))&gt;1,
HYPERLINK("#Roadmap!C"&amp; MATCH($E95,Roadmap!$D:$D,0)+COUNTIF($E95:J95,"u")+COUNTIF($E95:J95,"t")+COUNTIF($E95:J95,"¶")+COUNTIF($E95:J95,"²")+COUNTIF($E95:J95,"µ")+COUNTIF($E95:J95,1)-1,INDEX(Roadmap!$D:$K,MATCH($E95,Roadmap!$D:$D,0)-1+COUNTIF($E95:J95,"u")+COUNTIF($E95:J95,"t")+COUNTIF($E95:J95,"¶")+COUNTIF($E95:J95,"²")+COUNTIF($E95:J95,"µ")+COUNTIF($E95:J95,1),ColDescriptionCourte)),""),
  "")),"")</f>
        <v/>
      </c>
      <c r="L95" s="39" t="str">
        <f ca="1">IFERROR(IF(AND(
  INDEX(Roadmap!$D:$K,MATCH($E95,Roadmap!$D:$D,0)+COUNTIF($E95:K95,"u")+COUNTIF($E95:K95,"t")+COUNTIF($E95:K95,"¶")+COUNTIF($E95:K95,"²")+COUNTIF($E95:K95,"µ")+COUNTIF($E95:K95,1),ColLivraison)=L$6,
  VLOOKUP($E95,INDIRECT("tri!"&amp; CHAR(64+ C0Col) &amp;":"&amp; CHAR(65+C0Col)),2,FALSE)&gt;COUNTIF($E95:K95,"u")+COUNTIF($E95:K95,"t")+COUNTIF($E95:K95,"¶")+COUNTIF($E95:K95,"²")+COUNTIF($E95:K95,"µ")+COUNTIF($E95:K95,1)),
HYPERLINK("#Roadmap!C"&amp; MATCH($E95,Roadmap!$D:$D,0)+COUNTIF($E95:K95,"u")+COUNTIF($E95:K95,"t"),
     INDEX(Roadmap!$D:$K,MATCH($E95,Roadmap!$D:$D,0)+COUNTIF($E95:K95,"u")+COUNTIF($E95:K95,"t")+COUNTIF($E95:K95,"¶")+COUNTIF($E95:K95,"²")+COUNTIF($E95:K95,"µ")+COUNTIF($E95:K95,1),ColTypeEcheance)),
  IF(LEN(K95)=1,
  IF(LEN(INDEX(Roadmap!$D:$K,MATCH($E95,Roadmap!$D:$D,0)-1+COUNTIF($E95:K95,"u")+COUNTIF($E95:K95,"t")+COUNTIF($E95:K95,"¶")+COUNTIF($E95:K95,"²")+COUNTIF($E95:K95,"µ")+COUNTIF($E95:K95,1),ColDescriptionCourte))&gt;1,
HYPERLINK("#Roadmap!C"&amp; MATCH($E95,Roadmap!$D:$D,0)+COUNTIF($E95:K95,"u")+COUNTIF($E95:K95,"t")+COUNTIF($E95:K95,"¶")+COUNTIF($E95:K95,"²")+COUNTIF($E95:K95,"µ")+COUNTIF($E95:K95,1)-1,INDEX(Roadmap!$D:$K,MATCH($E95,Roadmap!$D:$D,0)-1+COUNTIF($E95:K95,"u")+COUNTIF($E95:K95,"t")+COUNTIF($E95:K95,"¶")+COUNTIF($E95:K95,"²")+COUNTIF($E95:K95,"µ")+COUNTIF($E95:K95,1),ColDescriptionCourte)),""),
  "")),"")</f>
        <v/>
      </c>
      <c r="M95" s="40" t="str">
        <f ca="1">IFERROR(IF(AND(
  INDEX(Roadmap!$D:$K,MATCH($E95,Roadmap!$D:$D,0)+COUNTIF($E95:L95,"u")+COUNTIF($E95:L95,"t")+COUNTIF($E95:L95,"¶")+COUNTIF($E95:L95,"²")+COUNTIF($E95:L95,"µ")+COUNTIF($E95:L95,1),ColLivraison)=M$6,
  VLOOKUP($E95,INDIRECT("tri!"&amp; CHAR(64+ C0Col) &amp;":"&amp; CHAR(65+C0Col)),2,FALSE)&gt;COUNTIF($E95:L95,"u")+COUNTIF($E95:L95,"t")+COUNTIF($E95:L95,"¶")+COUNTIF($E95:L95,"²")+COUNTIF($E95:L95,"µ")+COUNTIF($E95:L95,1)),
HYPERLINK("#Roadmap!C"&amp; MATCH($E95,Roadmap!$D:$D,0)+COUNTIF($E95:L95,"u")+COUNTIF($E95:L95,"t"),
     INDEX(Roadmap!$D:$K,MATCH($E95,Roadmap!$D:$D,0)+COUNTIF($E95:L95,"u")+COUNTIF($E95:L95,"t")+COUNTIF($E95:L95,"¶")+COUNTIF($E95:L95,"²")+COUNTIF($E95:L95,"µ")+COUNTIF($E95:L95,1),ColTypeEcheance)),
  IF(LEN(L95)=1,
  IF(LEN(INDEX(Roadmap!$D:$K,MATCH($E95,Roadmap!$D:$D,0)-1+COUNTIF($E95:L95,"u")+COUNTIF($E95:L95,"t")+COUNTIF($E95:L95,"¶")+COUNTIF($E95:L95,"²")+COUNTIF($E95:L95,"µ")+COUNTIF($E95:L95,1),ColDescriptionCourte))&gt;1,
HYPERLINK("#Roadmap!C"&amp; MATCH($E95,Roadmap!$D:$D,0)+COUNTIF($E95:L95,"u")+COUNTIF($E95:L95,"t")+COUNTIF($E95:L95,"¶")+COUNTIF($E95:L95,"²")+COUNTIF($E95:L95,"µ")+COUNTIF($E95:L95,1)-1,INDEX(Roadmap!$D:$K,MATCH($E95,Roadmap!$D:$D,0)-1+COUNTIF($E95:L95,"u")+COUNTIF($E95:L95,"t")+COUNTIF($E95:L95,"¶")+COUNTIF($E95:L95,"²")+COUNTIF($E95:L95,"µ")+COUNTIF($E95:L95,1),ColDescriptionCourte)),""),
  "")),"")</f>
        <v/>
      </c>
      <c r="N95" s="40" t="str">
        <f ca="1">IFERROR(IF(AND(
  INDEX(Roadmap!$D:$K,MATCH($E95,Roadmap!$D:$D,0)+COUNTIF($E95:M95,"u")+COUNTIF($E95:M95,"t")+COUNTIF($E95:M95,"¶")+COUNTIF($E95:M95,"²")+COUNTIF($E95:M95,"µ")+COUNTIF($E95:M95,1),ColLivraison)=N$6,
  VLOOKUP($E95,INDIRECT("tri!"&amp; CHAR(64+ C0Col) &amp;":"&amp; CHAR(65+C0Col)),2,FALSE)&gt;COUNTIF($E95:M95,"u")+COUNTIF($E95:M95,"t")+COUNTIF($E95:M95,"¶")+COUNTIF($E95:M95,"²")+COUNTIF($E95:M95,"µ")+COUNTIF($E95:M95,1)),
HYPERLINK("#Roadmap!C"&amp; MATCH($E95,Roadmap!$D:$D,0)+COUNTIF($E95:M95,"u")+COUNTIF($E95:M95,"t"),
     INDEX(Roadmap!$D:$K,MATCH($E95,Roadmap!$D:$D,0)+COUNTIF($E95:M95,"u")+COUNTIF($E95:M95,"t")+COUNTIF($E95:M95,"¶")+COUNTIF($E95:M95,"²")+COUNTIF($E95:M95,"µ")+COUNTIF($E95:M95,1),ColTypeEcheance)),
  IF(LEN(M95)=1,
  IF(LEN(INDEX(Roadmap!$D:$K,MATCH($E95,Roadmap!$D:$D,0)-1+COUNTIF($E95:M95,"u")+COUNTIF($E95:M95,"t")+COUNTIF($E95:M95,"¶")+COUNTIF($E95:M95,"²")+COUNTIF($E95:M95,"µ")+COUNTIF($E95:M95,1),ColDescriptionCourte))&gt;1,
HYPERLINK("#Roadmap!C"&amp; MATCH($E95,Roadmap!$D:$D,0)+COUNTIF($E95:M95,"u")+COUNTIF($E95:M95,"t")+COUNTIF($E95:M95,"¶")+COUNTIF($E95:M95,"²")+COUNTIF($E95:M95,"µ")+COUNTIF($E95:M95,1)-1,INDEX(Roadmap!$D:$K,MATCH($E95,Roadmap!$D:$D,0)-1+COUNTIF($E95:M95,"u")+COUNTIF($E95:M95,"t")+COUNTIF($E95:M95,"¶")+COUNTIF($E95:M95,"²")+COUNTIF($E95:M95,"µ")+COUNTIF($E95:M95,1),ColDescriptionCourte)),""),
  "")),"")</f>
        <v/>
      </c>
      <c r="O95" s="40" t="str">
        <f ca="1">IFERROR(IF(AND(
  INDEX(Roadmap!$D:$K,MATCH($E95,Roadmap!$D:$D,0)+COUNTIF($E95:N95,"u")+COUNTIF($E95:N95,"t")+COUNTIF($E95:N95,"¶")+COUNTIF($E95:N95,"²")+COUNTIF($E95:N95,"µ")+COUNTIF($E95:N95,1),ColLivraison)=O$6,
  VLOOKUP($E95,INDIRECT("tri!"&amp; CHAR(64+ C0Col) &amp;":"&amp; CHAR(65+C0Col)),2,FALSE)&gt;COUNTIF($E95:N95,"u")+COUNTIF($E95:N95,"t")+COUNTIF($E95:N95,"¶")+COUNTIF($E95:N95,"²")+COUNTIF($E95:N95,"µ")+COUNTIF($E95:N95,1)),
HYPERLINK("#Roadmap!C"&amp; MATCH($E95,Roadmap!$D:$D,0)+COUNTIF($E95:N95,"u")+COUNTIF($E95:N95,"t"),
     INDEX(Roadmap!$D:$K,MATCH($E95,Roadmap!$D:$D,0)+COUNTIF($E95:N95,"u")+COUNTIF($E95:N95,"t")+COUNTIF($E95:N95,"¶")+COUNTIF($E95:N95,"²")+COUNTIF($E95:N95,"µ")+COUNTIF($E95:N95,1),ColTypeEcheance)),
  IF(LEN(N95)=1,
  IF(LEN(INDEX(Roadmap!$D:$K,MATCH($E95,Roadmap!$D:$D,0)-1+COUNTIF($E95:N95,"u")+COUNTIF($E95:N95,"t")+COUNTIF($E95:N95,"¶")+COUNTIF($E95:N95,"²")+COUNTIF($E95:N95,"µ")+COUNTIF($E95:N95,1),ColDescriptionCourte))&gt;1,
HYPERLINK("#Roadmap!C"&amp; MATCH($E95,Roadmap!$D:$D,0)+COUNTIF($E95:N95,"u")+COUNTIF($E95:N95,"t")+COUNTIF($E95:N95,"¶")+COUNTIF($E95:N95,"²")+COUNTIF($E95:N95,"µ")+COUNTIF($E95:N95,1)-1,INDEX(Roadmap!$D:$K,MATCH($E95,Roadmap!$D:$D,0)-1+COUNTIF($E95:N95,"u")+COUNTIF($E95:N95,"t")+COUNTIF($E95:N95,"¶")+COUNTIF($E95:N95,"²")+COUNTIF($E95:N95,"µ")+COUNTIF($E95:N95,1),ColDescriptionCourte)),""),
  "")),"")</f>
        <v/>
      </c>
      <c r="P95" s="40" t="str">
        <f ca="1">IFERROR(IF(AND(
  INDEX(Roadmap!$D:$K,MATCH($E95,Roadmap!$D:$D,0)+COUNTIF($E95:O95,"u")+COUNTIF($E95:O95,"t")+COUNTIF($E95:O95,"¶")+COUNTIF($E95:O95,"²")+COUNTIF($E95:O95,"µ")+COUNTIF($E95:O95,1),ColLivraison)=P$6,
  VLOOKUP($E95,INDIRECT("tri!"&amp; CHAR(64+ C0Col) &amp;":"&amp; CHAR(65+C0Col)),2,FALSE)&gt;COUNTIF($E95:O95,"u")+COUNTIF($E95:O95,"t")+COUNTIF($E95:O95,"¶")+COUNTIF($E95:O95,"²")+COUNTIF($E95:O95,"µ")+COUNTIF($E95:O95,1)),
HYPERLINK("#Roadmap!C"&amp; MATCH($E95,Roadmap!$D:$D,0)+COUNTIF($E95:O95,"u")+COUNTIF($E95:O95,"t"),
     INDEX(Roadmap!$D:$K,MATCH($E95,Roadmap!$D:$D,0)+COUNTIF($E95:O95,"u")+COUNTIF($E95:O95,"t")+COUNTIF($E95:O95,"¶")+COUNTIF($E95:O95,"²")+COUNTIF($E95:O95,"µ")+COUNTIF($E95:O95,1),ColTypeEcheance)),
  IF(LEN(O95)=1,
  IF(LEN(INDEX(Roadmap!$D:$K,MATCH($E95,Roadmap!$D:$D,0)-1+COUNTIF($E95:O95,"u")+COUNTIF($E95:O95,"t")+COUNTIF($E95:O95,"¶")+COUNTIF($E95:O95,"²")+COUNTIF($E95:O95,"µ")+COUNTIF($E95:O95,1),ColDescriptionCourte))&gt;1,
HYPERLINK("#Roadmap!C"&amp; MATCH($E95,Roadmap!$D:$D,0)+COUNTIF($E95:O95,"u")+COUNTIF($E95:O95,"t")+COUNTIF($E95:O95,"¶")+COUNTIF($E95:O95,"²")+COUNTIF($E95:O95,"µ")+COUNTIF($E95:O95,1)-1,INDEX(Roadmap!$D:$K,MATCH($E95,Roadmap!$D:$D,0)-1+COUNTIF($E95:O95,"u")+COUNTIF($E95:O95,"t")+COUNTIF($E95:O95,"¶")+COUNTIF($E95:O95,"²")+COUNTIF($E95:O95,"µ")+COUNTIF($E95:O95,1),ColDescriptionCourte)),""),
  "")),"")</f>
        <v/>
      </c>
      <c r="Q95" s="40" t="str">
        <f ca="1">IFERROR(IF(AND(
  INDEX(Roadmap!$D:$K,MATCH($E95,Roadmap!$D:$D,0)+COUNTIF($E95:P95,"u")+COUNTIF($E95:P95,"t")+COUNTIF($E95:P95,"¶")+COUNTIF($E95:P95,"²")+COUNTIF($E95:P95,"µ")+COUNTIF($E95:P95,1),ColLivraison)=Q$6,
  VLOOKUP($E95,INDIRECT("tri!"&amp; CHAR(64+ C0Col) &amp;":"&amp; CHAR(65+C0Col)),2,FALSE)&gt;COUNTIF($E95:P95,"u")+COUNTIF($E95:P95,"t")+COUNTIF($E95:P95,"¶")+COUNTIF($E95:P95,"²")+COUNTIF($E95:P95,"µ")+COUNTIF($E95:P95,1)),
HYPERLINK("#Roadmap!C"&amp; MATCH($E95,Roadmap!$D:$D,0)+COUNTIF($E95:P95,"u")+COUNTIF($E95:P95,"t"),
     INDEX(Roadmap!$D:$K,MATCH($E95,Roadmap!$D:$D,0)+COUNTIF($E95:P95,"u")+COUNTIF($E95:P95,"t")+COUNTIF($E95:P95,"¶")+COUNTIF($E95:P95,"²")+COUNTIF($E95:P95,"µ")+COUNTIF($E95:P95,1),ColTypeEcheance)),
  IF(LEN(P95)=1,
  IF(LEN(INDEX(Roadmap!$D:$K,MATCH($E95,Roadmap!$D:$D,0)-1+COUNTIF($E95:P95,"u")+COUNTIF($E95:P95,"t")+COUNTIF($E95:P95,"¶")+COUNTIF($E95:P95,"²")+COUNTIF($E95:P95,"µ")+COUNTIF($E95:P95,1),ColDescriptionCourte))&gt;1,
HYPERLINK("#Roadmap!C"&amp; MATCH($E95,Roadmap!$D:$D,0)+COUNTIF($E95:P95,"u")+COUNTIF($E95:P95,"t")+COUNTIF($E95:P95,"¶")+COUNTIF($E95:P95,"²")+COUNTIF($E95:P95,"µ")+COUNTIF($E95:P95,1)-1,INDEX(Roadmap!$D:$K,MATCH($E95,Roadmap!$D:$D,0)-1+COUNTIF($E95:P95,"u")+COUNTIF($E95:P95,"t")+COUNTIF($E95:P95,"¶")+COUNTIF($E95:P95,"²")+COUNTIF($E95:P95,"µ")+COUNTIF($E95:P95,1),ColDescriptionCourte)),""),
  "")),"")</f>
        <v/>
      </c>
      <c r="R95" s="40" t="str">
        <f ca="1">IFERROR(IF(AND(
  INDEX(Roadmap!$D:$K,MATCH($E95,Roadmap!$D:$D,0)+COUNTIF($E95:Q95,"u")+COUNTIF($E95:Q95,"t")+COUNTIF($E95:Q95,"¶")+COUNTIF($E95:Q95,"²")+COUNTIF($E95:Q95,"µ")+COUNTIF($E95:Q95,1),ColLivraison)=R$6,
  VLOOKUP($E95,INDIRECT("tri!"&amp; CHAR(64+ C0Col) &amp;":"&amp; CHAR(65+C0Col)),2,FALSE)&gt;COUNTIF($E95:Q95,"u")+COUNTIF($E95:Q95,"t")+COUNTIF($E95:Q95,"¶")+COUNTIF($E95:Q95,"²")+COUNTIF($E95:Q95,"µ")+COUNTIF($E95:Q95,1)),
HYPERLINK("#Roadmap!C"&amp; MATCH($E95,Roadmap!$D:$D,0)+COUNTIF($E95:Q95,"u")+COUNTIF($E95:Q95,"t"),
     INDEX(Roadmap!$D:$K,MATCH($E95,Roadmap!$D:$D,0)+COUNTIF($E95:Q95,"u")+COUNTIF($E95:Q95,"t")+COUNTIF($E95:Q95,"¶")+COUNTIF($E95:Q95,"²")+COUNTIF($E95:Q95,"µ")+COUNTIF($E95:Q95,1),ColTypeEcheance)),
  IF(LEN(Q95)=1,
  IF(LEN(INDEX(Roadmap!$D:$K,MATCH($E95,Roadmap!$D:$D,0)-1+COUNTIF($E95:Q95,"u")+COUNTIF($E95:Q95,"t")+COUNTIF($E95:Q95,"¶")+COUNTIF($E95:Q95,"²")+COUNTIF($E95:Q95,"µ")+COUNTIF($E95:Q95,1),ColDescriptionCourte))&gt;1,
HYPERLINK("#Roadmap!C"&amp; MATCH($E95,Roadmap!$D:$D,0)+COUNTIF($E95:Q95,"u")+COUNTIF($E95:Q95,"t")+COUNTIF($E95:Q95,"¶")+COUNTIF($E95:Q95,"²")+COUNTIF($E95:Q95,"µ")+COUNTIF($E95:Q95,1)-1,INDEX(Roadmap!$D:$K,MATCH($E95,Roadmap!$D:$D,0)-1+COUNTIF($E95:Q95,"u")+COUNTIF($E95:Q95,"t")+COUNTIF($E95:Q95,"¶")+COUNTIF($E95:Q95,"²")+COUNTIF($E95:Q95,"µ")+COUNTIF($E95:Q95,1),ColDescriptionCourte)),""),
  "")),"")</f>
        <v/>
      </c>
      <c r="S95" s="40" t="str">
        <f ca="1">IFERROR(IF(AND(
  INDEX(Roadmap!$D:$K,MATCH($E95,Roadmap!$D:$D,0)+COUNTIF($E95:R95,"u")+COUNTIF($E95:R95,"t")+COUNTIF($E95:R95,"¶")+COUNTIF($E95:R95,"²")+COUNTIF($E95:R95,"µ")+COUNTIF($E95:R95,1),ColLivraison)=S$6,
  VLOOKUP($E95,INDIRECT("tri!"&amp; CHAR(64+ C0Col) &amp;":"&amp; CHAR(65+C0Col)),2,FALSE)&gt;COUNTIF($E95:R95,"u")+COUNTIF($E95:R95,"t")+COUNTIF($E95:R95,"¶")+COUNTIF($E95:R95,"²")+COUNTIF($E95:R95,"µ")+COUNTIF($E95:R95,1)),
HYPERLINK("#Roadmap!C"&amp; MATCH($E95,Roadmap!$D:$D,0)+COUNTIF($E95:R95,"u")+COUNTIF($E95:R95,"t"),
     INDEX(Roadmap!$D:$K,MATCH($E95,Roadmap!$D:$D,0)+COUNTIF($E95:R95,"u")+COUNTIF($E95:R95,"t")+COUNTIF($E95:R95,"¶")+COUNTIF($E95:R95,"²")+COUNTIF($E95:R95,"µ")+COUNTIF($E95:R95,1),ColTypeEcheance)),
  IF(LEN(R95)=1,
  IF(LEN(INDEX(Roadmap!$D:$K,MATCH($E95,Roadmap!$D:$D,0)-1+COUNTIF($E95:R95,"u")+COUNTIF($E95:R95,"t")+COUNTIF($E95:R95,"¶")+COUNTIF($E95:R95,"²")+COUNTIF($E95:R95,"µ")+COUNTIF($E95:R95,1),ColDescriptionCourte))&gt;1,
HYPERLINK("#Roadmap!C"&amp; MATCH($E95,Roadmap!$D:$D,0)+COUNTIF($E95:R95,"u")+COUNTIF($E95:R95,"t")+COUNTIF($E95:R95,"¶")+COUNTIF($E95:R95,"²")+COUNTIF($E95:R95,"µ")+COUNTIF($E95:R95,1)-1,INDEX(Roadmap!$D:$K,MATCH($E95,Roadmap!$D:$D,0)-1+COUNTIF($E95:R95,"u")+COUNTIF($E95:R95,"t")+COUNTIF($E95:R95,"¶")+COUNTIF($E95:R95,"²")+COUNTIF($E95:R95,"µ")+COUNTIF($E95:R95,1),ColDescriptionCourte)),""),
  "")),"")</f>
        <v/>
      </c>
      <c r="T95" s="40" t="str">
        <f ca="1">IFERROR(IF(AND(
  INDEX(Roadmap!$D:$K,MATCH($E95,Roadmap!$D:$D,0)+COUNTIF($E95:S95,"u")+COUNTIF($E95:S95,"t")+COUNTIF($E95:S95,"¶")+COUNTIF($E95:S95,"²")+COUNTIF($E95:S95,"µ")+COUNTIF($E95:S95,1),ColLivraison)=T$6,
  VLOOKUP($E95,INDIRECT("tri!"&amp; CHAR(64+ C0Col) &amp;":"&amp; CHAR(65+C0Col)),2,FALSE)&gt;COUNTIF($E95:S95,"u")+COUNTIF($E95:S95,"t")+COUNTIF($E95:S95,"¶")+COUNTIF($E95:S95,"²")+COUNTIF($E95:S95,"µ")+COUNTIF($E95:S95,1)),
HYPERLINK("#Roadmap!C"&amp; MATCH($E95,Roadmap!$D:$D,0)+COUNTIF($E95:S95,"u")+COUNTIF($E95:S95,"t"),
     INDEX(Roadmap!$D:$K,MATCH($E95,Roadmap!$D:$D,0)+COUNTIF($E95:S95,"u")+COUNTIF($E95:S95,"t")+COUNTIF($E95:S95,"¶")+COUNTIF($E95:S95,"²")+COUNTIF($E95:S95,"µ")+COUNTIF($E95:S95,1),ColTypeEcheance)),
  IF(LEN(S95)=1,
  IF(LEN(INDEX(Roadmap!$D:$K,MATCH($E95,Roadmap!$D:$D,0)-1+COUNTIF($E95:S95,"u")+COUNTIF($E95:S95,"t")+COUNTIF($E95:S95,"¶")+COUNTIF($E95:S95,"²")+COUNTIF($E95:S95,"µ")+COUNTIF($E95:S95,1),ColDescriptionCourte))&gt;1,
HYPERLINK("#Roadmap!C"&amp; MATCH($E95,Roadmap!$D:$D,0)+COUNTIF($E95:S95,"u")+COUNTIF($E95:S95,"t")+COUNTIF($E95:S95,"¶")+COUNTIF($E95:S95,"²")+COUNTIF($E95:S95,"µ")+COUNTIF($E95:S95,1)-1,INDEX(Roadmap!$D:$K,MATCH($E95,Roadmap!$D:$D,0)-1+COUNTIF($E95:S95,"u")+COUNTIF($E95:S95,"t")+COUNTIF($E95:S95,"¶")+COUNTIF($E95:S95,"²")+COUNTIF($E95:S95,"µ")+COUNTIF($E95:S95,1),ColDescriptionCourte)),""),
  "")),"")</f>
        <v/>
      </c>
      <c r="U95" s="40" t="str">
        <f ca="1">IFERROR(IF(AND(
  INDEX(Roadmap!$D:$K,MATCH($E95,Roadmap!$D:$D,0)+COUNTIF($E95:T95,"u")+COUNTIF($E95:T95,"t")+COUNTIF($E95:T95,"¶")+COUNTIF($E95:T95,"²")+COUNTIF($E95:T95,"µ")+COUNTIF($E95:T95,1),ColLivraison)=U$6,
  VLOOKUP($E95,INDIRECT("tri!"&amp; CHAR(64+ C0Col) &amp;":"&amp; CHAR(65+C0Col)),2,FALSE)&gt;COUNTIF($E95:T95,"u")+COUNTIF($E95:T95,"t")+COUNTIF($E95:T95,"¶")+COUNTIF($E95:T95,"²")+COUNTIF($E95:T95,"µ")+COUNTIF($E95:T95,1)),
HYPERLINK("#Roadmap!C"&amp; MATCH($E95,Roadmap!$D:$D,0)+COUNTIF($E95:T95,"u")+COUNTIF($E95:T95,"t"),
     INDEX(Roadmap!$D:$K,MATCH($E95,Roadmap!$D:$D,0)+COUNTIF($E95:T95,"u")+COUNTIF($E95:T95,"t")+COUNTIF($E95:T95,"¶")+COUNTIF($E95:T95,"²")+COUNTIF($E95:T95,"µ")+COUNTIF($E95:T95,1),ColTypeEcheance)),
  IF(LEN(T95)=1,
  IF(LEN(INDEX(Roadmap!$D:$K,MATCH($E95,Roadmap!$D:$D,0)-1+COUNTIF($E95:T95,"u")+COUNTIF($E95:T95,"t")+COUNTIF($E95:T95,"¶")+COUNTIF($E95:T95,"²")+COUNTIF($E95:T95,"µ")+COUNTIF($E95:T95,1),ColDescriptionCourte))&gt;1,
HYPERLINK("#Roadmap!C"&amp; MATCH($E95,Roadmap!$D:$D,0)+COUNTIF($E95:T95,"u")+COUNTIF($E95:T95,"t")+COUNTIF($E95:T95,"¶")+COUNTIF($E95:T95,"²")+COUNTIF($E95:T95,"µ")+COUNTIF($E95:T95,1)-1,INDEX(Roadmap!$D:$K,MATCH($E95,Roadmap!$D:$D,0)-1+COUNTIF($E95:T95,"u")+COUNTIF($E95:T95,"t")+COUNTIF($E95:T95,"¶")+COUNTIF($E95:T95,"²")+COUNTIF($E95:T95,"µ")+COUNTIF($E95:T95,1),ColDescriptionCourte)),""),
  "")),"")</f>
        <v/>
      </c>
      <c r="V95" s="40" t="str">
        <f ca="1">IFERROR(IF(AND(
  INDEX(Roadmap!$D:$K,MATCH($E95,Roadmap!$D:$D,0)+COUNTIF($E95:U95,"u")+COUNTIF($E95:U95,"t")+COUNTIF($E95:U95,"¶")+COUNTIF($E95:U95,"²")+COUNTIF($E95:U95,"µ")+COUNTIF($E95:U95,1),ColLivraison)=V$6,
  VLOOKUP($E95,INDIRECT("tri!"&amp; CHAR(64+ C0Col) &amp;":"&amp; CHAR(65+C0Col)),2,FALSE)&gt;COUNTIF($E95:U95,"u")+COUNTIF($E95:U95,"t")+COUNTIF($E95:U95,"¶")+COUNTIF($E95:U95,"²")+COUNTIF($E95:U95,"µ")+COUNTIF($E95:U95,1)),
HYPERLINK("#Roadmap!C"&amp; MATCH($E95,Roadmap!$D:$D,0)+COUNTIF($E95:U95,"u")+COUNTIF($E95:U95,"t"),
     INDEX(Roadmap!$D:$K,MATCH($E95,Roadmap!$D:$D,0)+COUNTIF($E95:U95,"u")+COUNTIF($E95:U95,"t")+COUNTIF($E95:U95,"¶")+COUNTIF($E95:U95,"²")+COUNTIF($E95:U95,"µ")+COUNTIF($E95:U95,1),ColTypeEcheance)),
  IF(LEN(U95)=1,
  IF(LEN(INDEX(Roadmap!$D:$K,MATCH($E95,Roadmap!$D:$D,0)-1+COUNTIF($E95:U95,"u")+COUNTIF($E95:U95,"t")+COUNTIF($E95:U95,"¶")+COUNTIF($E95:U95,"²")+COUNTIF($E95:U95,"µ")+COUNTIF($E95:U95,1),ColDescriptionCourte))&gt;1,
HYPERLINK("#Roadmap!C"&amp; MATCH($E95,Roadmap!$D:$D,0)+COUNTIF($E95:U95,"u")+COUNTIF($E95:U95,"t")+COUNTIF($E95:U95,"¶")+COUNTIF($E95:U95,"²")+COUNTIF($E95:U95,"µ")+COUNTIF($E95:U95,1)-1,INDEX(Roadmap!$D:$K,MATCH($E95,Roadmap!$D:$D,0)-1+COUNTIF($E95:U95,"u")+COUNTIF($E95:U95,"t")+COUNTIF($E95:U95,"¶")+COUNTIF($E95:U95,"²")+COUNTIF($E95:U95,"µ")+COUNTIF($E95:U95,1),ColDescriptionCourte)),""),
  "")),"")</f>
        <v/>
      </c>
      <c r="W95" s="40" t="str">
        <f ca="1">IFERROR(IF(AND(
  INDEX(Roadmap!$D:$K,MATCH($E95,Roadmap!$D:$D,0)+COUNTIF($E95:V95,"u")+COUNTIF($E95:V95,"t")+COUNTIF($E95:V95,"¶")+COUNTIF($E95:V95,"²")+COUNTIF($E95:V95,"µ")+COUNTIF($E95:V95,1),ColLivraison)=W$6,
  VLOOKUP($E95,INDIRECT("tri!"&amp; CHAR(64+ C0Col) &amp;":"&amp; CHAR(65+C0Col)),2,FALSE)&gt;COUNTIF($E95:V95,"u")+COUNTIF($E95:V95,"t")+COUNTIF($E95:V95,"¶")+COUNTIF($E95:V95,"²")+COUNTIF($E95:V95,"µ")+COUNTIF($E95:V95,1)),
HYPERLINK("#Roadmap!C"&amp; MATCH($E95,Roadmap!$D:$D,0)+COUNTIF($E95:V95,"u")+COUNTIF($E95:V95,"t"),
     INDEX(Roadmap!$D:$K,MATCH($E95,Roadmap!$D:$D,0)+COUNTIF($E95:V95,"u")+COUNTIF($E95:V95,"t")+COUNTIF($E95:V95,"¶")+COUNTIF($E95:V95,"²")+COUNTIF($E95:V95,"µ")+COUNTIF($E95:V95,1),ColTypeEcheance)),
  IF(LEN(V95)=1,
  IF(LEN(INDEX(Roadmap!$D:$K,MATCH($E95,Roadmap!$D:$D,0)-1+COUNTIF($E95:V95,"u")+COUNTIF($E95:V95,"t")+COUNTIF($E95:V95,"¶")+COUNTIF($E95:V95,"²")+COUNTIF($E95:V95,"µ")+COUNTIF($E95:V95,1),ColDescriptionCourte))&gt;1,
HYPERLINK("#Roadmap!C"&amp; MATCH($E95,Roadmap!$D:$D,0)+COUNTIF($E95:V95,"u")+COUNTIF($E95:V95,"t")+COUNTIF($E95:V95,"¶")+COUNTIF($E95:V95,"²")+COUNTIF($E95:V95,"µ")+COUNTIF($E95:V95,1)-1,INDEX(Roadmap!$D:$K,MATCH($E95,Roadmap!$D:$D,0)-1+COUNTIF($E95:V95,"u")+COUNTIF($E95:V95,"t")+COUNTIF($E95:V95,"¶")+COUNTIF($E95:V95,"²")+COUNTIF($E95:V95,"µ")+COUNTIF($E95:V95,1),ColDescriptionCourte)),""),
  "")),"")</f>
        <v/>
      </c>
      <c r="X95" s="40" t="str">
        <f ca="1">IFERROR(IF(AND(
  INDEX(Roadmap!$D:$K,MATCH($E95,Roadmap!$D:$D,0)+COUNTIF($E95:W95,"u")+COUNTIF($E95:W95,"t")+COUNTIF($E95:W95,"¶")+COUNTIF($E95:W95,"²")+COUNTIF($E95:W95,"µ")+COUNTIF($E95:W95,1),ColLivraison)=X$6,
  VLOOKUP($E95,INDIRECT("tri!"&amp; CHAR(64+ C0Col) &amp;":"&amp; CHAR(65+C0Col)),2,FALSE)&gt;COUNTIF($E95:W95,"u")+COUNTIF($E95:W95,"t")+COUNTIF($E95:W95,"¶")+COUNTIF($E95:W95,"²")+COUNTIF($E95:W95,"µ")+COUNTIF($E95:W95,1)),
HYPERLINK("#Roadmap!C"&amp; MATCH($E95,Roadmap!$D:$D,0)+COUNTIF($E95:W95,"u")+COUNTIF($E95:W95,"t"),
     INDEX(Roadmap!$D:$K,MATCH($E95,Roadmap!$D:$D,0)+COUNTIF($E95:W95,"u")+COUNTIF($E95:W95,"t")+COUNTIF($E95:W95,"¶")+COUNTIF($E95:W95,"²")+COUNTIF($E95:W95,"µ")+COUNTIF($E95:W95,1),ColTypeEcheance)),
  IF(LEN(W95)=1,
  IF(LEN(INDEX(Roadmap!$D:$K,MATCH($E95,Roadmap!$D:$D,0)-1+COUNTIF($E95:W95,"u")+COUNTIF($E95:W95,"t")+COUNTIF($E95:W95,"¶")+COUNTIF($E95:W95,"²")+COUNTIF($E95:W95,"µ")+COUNTIF($E95:W95,1),ColDescriptionCourte))&gt;1,
HYPERLINK("#Roadmap!C"&amp; MATCH($E95,Roadmap!$D:$D,0)+COUNTIF($E95:W95,"u")+COUNTIF($E95:W95,"t")+COUNTIF($E95:W95,"¶")+COUNTIF($E95:W95,"²")+COUNTIF($E95:W95,"µ")+COUNTIF($E95:W95,1)-1,INDEX(Roadmap!$D:$K,MATCH($E95,Roadmap!$D:$D,0)-1+COUNTIF($E95:W95,"u")+COUNTIF($E95:W95,"t")+COUNTIF($E95:W95,"¶")+COUNTIF($E95:W95,"²")+COUNTIF($E95:W95,"µ")+COUNTIF($E95:W95,1),ColDescriptionCourte)),""),
  "")),"")</f>
        <v/>
      </c>
      <c r="Y95" s="40" t="str">
        <f ca="1">IFERROR(IF(AND(
  INDEX(Roadmap!$D:$K,MATCH($E95,Roadmap!$D:$D,0)+COUNTIF($E95:X95,"u")+COUNTIF($E95:X95,"t")+COUNTIF($E95:X95,"¶")+COUNTIF($E95:X95,"²")+COUNTIF($E95:X95,"µ")+COUNTIF($E95:X95,1),ColLivraison)=Y$6,
  VLOOKUP($E95,INDIRECT("tri!"&amp; CHAR(64+ C0Col) &amp;":"&amp; CHAR(65+C0Col)),2,FALSE)&gt;COUNTIF($E95:X95,"u")+COUNTIF($E95:X95,"t")+COUNTIF($E95:X95,"¶")+COUNTIF($E95:X95,"²")+COUNTIF($E95:X95,"µ")+COUNTIF($E95:X95,1)),
HYPERLINK("#Roadmap!C"&amp; MATCH($E95,Roadmap!$D:$D,0)+COUNTIF($E95:X95,"u")+COUNTIF($E95:X95,"t"),
     INDEX(Roadmap!$D:$K,MATCH($E95,Roadmap!$D:$D,0)+COUNTIF($E95:X95,"u")+COUNTIF($E95:X95,"t")+COUNTIF($E95:X95,"¶")+COUNTIF($E95:X95,"²")+COUNTIF($E95:X95,"µ")+COUNTIF($E95:X95,1),ColTypeEcheance)),
  IF(LEN(X95)=1,
  IF(LEN(INDEX(Roadmap!$D:$K,MATCH($E95,Roadmap!$D:$D,0)-1+COUNTIF($E95:X95,"u")+COUNTIF($E95:X95,"t")+COUNTIF($E95:X95,"¶")+COUNTIF($E95:X95,"²")+COUNTIF($E95:X95,"µ")+COUNTIF($E95:X95,1),ColDescriptionCourte))&gt;1,
HYPERLINK("#Roadmap!C"&amp; MATCH($E95,Roadmap!$D:$D,0)+COUNTIF($E95:X95,"u")+COUNTIF($E95:X95,"t")+COUNTIF($E95:X95,"¶")+COUNTIF($E95:X95,"²")+COUNTIF($E95:X95,"µ")+COUNTIF($E95:X95,1)-1,INDEX(Roadmap!$D:$K,MATCH($E95,Roadmap!$D:$D,0)-1+COUNTIF($E95:X95,"u")+COUNTIF($E95:X95,"t")+COUNTIF($E95:X95,"¶")+COUNTIF($E95:X95,"²")+COUNTIF($E95:X95,"µ")+COUNTIF($E95:X95,1),ColDescriptionCourte)),""),
  "")),"")</f>
        <v/>
      </c>
      <c r="Z95" s="40" t="str">
        <f ca="1">IFERROR(IF(AND(
  INDEX(Roadmap!$D:$K,MATCH($E95,Roadmap!$D:$D,0)+COUNTIF($E95:Y95,"u")+COUNTIF($E95:Y95,"t")+COUNTIF($E95:Y95,"¶")+COUNTIF($E95:Y95,"²")+COUNTIF($E95:Y95,"µ")+COUNTIF($E95:Y95,1),ColLivraison)=Z$6,
  VLOOKUP($E95,INDIRECT("tri!"&amp; CHAR(64+ C0Col) &amp;":"&amp; CHAR(65+C0Col)),2,FALSE)&gt;COUNTIF($E95:Y95,"u")+COUNTIF($E95:Y95,"t")+COUNTIF($E95:Y95,"¶")+COUNTIF($E95:Y95,"²")+COUNTIF($E95:Y95,"µ")+COUNTIF($E95:Y95,1)),
HYPERLINK("#Roadmap!C"&amp; MATCH($E95,Roadmap!$D:$D,0)+COUNTIF($E95:Y95,"u")+COUNTIF($E95:Y95,"t"),
     INDEX(Roadmap!$D:$K,MATCH($E95,Roadmap!$D:$D,0)+COUNTIF($E95:Y95,"u")+COUNTIF($E95:Y95,"t")+COUNTIF($E95:Y95,"¶")+COUNTIF($E95:Y95,"²")+COUNTIF($E95:Y95,"µ")+COUNTIF($E95:Y95,1),ColTypeEcheance)),
  IF(LEN(Y95)=1,
  IF(LEN(INDEX(Roadmap!$D:$K,MATCH($E95,Roadmap!$D:$D,0)-1+COUNTIF($E95:Y95,"u")+COUNTIF($E95:Y95,"t")+COUNTIF($E95:Y95,"¶")+COUNTIF($E95:Y95,"²")+COUNTIF($E95:Y95,"µ")+COUNTIF($E95:Y95,1),ColDescriptionCourte))&gt;1,
HYPERLINK("#Roadmap!C"&amp; MATCH($E95,Roadmap!$D:$D,0)+COUNTIF($E95:Y95,"u")+COUNTIF($E95:Y95,"t")+COUNTIF($E95:Y95,"¶")+COUNTIF($E95:Y95,"²")+COUNTIF($E95:Y95,"µ")+COUNTIF($E95:Y95,1)-1,INDEX(Roadmap!$D:$K,MATCH($E95,Roadmap!$D:$D,0)-1+COUNTIF($E95:Y95,"u")+COUNTIF($E95:Y95,"t")+COUNTIF($E95:Y95,"¶")+COUNTIF($E95:Y95,"²")+COUNTIF($E95:Y95,"µ")+COUNTIF($E95:Y95,1),ColDescriptionCourte)),""),
  "")),"")</f>
        <v/>
      </c>
      <c r="AA95" s="40" t="str">
        <f ca="1">IFERROR(IF(AND(
  INDEX(Roadmap!$D:$K,MATCH($E95,Roadmap!$D:$D,0)+COUNTIF($E95:Z95,"u")+COUNTIF($E95:Z95,"t")+COUNTIF($E95:Z95,"¶")+COUNTIF($E95:Z95,"²")+COUNTIF($E95:Z95,"µ")+COUNTIF($E95:Z95,1),ColLivraison)=AA$6,
  VLOOKUP($E95,INDIRECT("tri!"&amp; CHAR(64+ C0Col) &amp;":"&amp; CHAR(65+C0Col)),2,FALSE)&gt;COUNTIF($E95:Z95,"u")+COUNTIF($E95:Z95,"t")+COUNTIF($E95:Z95,"¶")+COUNTIF($E95:Z95,"²")+COUNTIF($E95:Z95,"µ")+COUNTIF($E95:Z95,1)),
HYPERLINK("#Roadmap!C"&amp; MATCH($E95,Roadmap!$D:$D,0)+COUNTIF($E95:Z95,"u")+COUNTIF($E95:Z95,"t"),
     INDEX(Roadmap!$D:$K,MATCH($E95,Roadmap!$D:$D,0)+COUNTIF($E95:Z95,"u")+COUNTIF($E95:Z95,"t")+COUNTIF($E95:Z95,"¶")+COUNTIF($E95:Z95,"²")+COUNTIF($E95:Z95,"µ")+COUNTIF($E95:Z95,1),ColTypeEcheance)),
  IF(LEN(Z95)=1,
  IF(LEN(INDEX(Roadmap!$D:$K,MATCH($E95,Roadmap!$D:$D,0)-1+COUNTIF($E95:Z95,"u")+COUNTIF($E95:Z95,"t")+COUNTIF($E95:Z95,"¶")+COUNTIF($E95:Z95,"²")+COUNTIF($E95:Z95,"µ")+COUNTIF($E95:Z95,1),ColDescriptionCourte))&gt;1,
HYPERLINK("#Roadmap!C"&amp; MATCH($E95,Roadmap!$D:$D,0)+COUNTIF($E95:Z95,"u")+COUNTIF($E95:Z95,"t")+COUNTIF($E95:Z95,"¶")+COUNTIF($E95:Z95,"²")+COUNTIF($E95:Z95,"µ")+COUNTIF($E95:Z95,1)-1,INDEX(Roadmap!$D:$K,MATCH($E95,Roadmap!$D:$D,0)-1+COUNTIF($E95:Z95,"u")+COUNTIF($E95:Z95,"t")+COUNTIF($E95:Z95,"¶")+COUNTIF($E95:Z95,"²")+COUNTIF($E95:Z95,"µ")+COUNTIF($E95:Z95,1),ColDescriptionCourte)),""),
  "")),"")</f>
        <v/>
      </c>
      <c r="AB95" s="40" t="str">
        <f ca="1">IFERROR(IF(AND(
  INDEX(Roadmap!$D:$K,MATCH($E95,Roadmap!$D:$D,0)+COUNTIF($E95:AA95,"u")+COUNTIF($E95:AA95,"t")+COUNTIF($E95:AA95,"¶")+COUNTIF($E95:AA95,"²")+COUNTIF($E95:AA95,"µ")+COUNTIF($E95:AA95,1),ColLivraison)=AB$6,
  VLOOKUP($E95,INDIRECT("tri!"&amp; CHAR(64+ C0Col) &amp;":"&amp; CHAR(65+C0Col)),2,FALSE)&gt;COUNTIF($E95:AA95,"u")+COUNTIF($E95:AA95,"t")+COUNTIF($E95:AA95,"¶")+COUNTIF($E95:AA95,"²")+COUNTIF($E95:AA95,"µ")+COUNTIF($E95:AA95,1)),
HYPERLINK("#Roadmap!C"&amp; MATCH($E95,Roadmap!$D:$D,0)+COUNTIF($E95:AA95,"u")+COUNTIF($E95:AA95,"t"),
     INDEX(Roadmap!$D:$K,MATCH($E95,Roadmap!$D:$D,0)+COUNTIF($E95:AA95,"u")+COUNTIF($E95:AA95,"t")+COUNTIF($E95:AA95,"¶")+COUNTIF($E95:AA95,"²")+COUNTIF($E95:AA95,"µ")+COUNTIF($E95:AA95,1),ColTypeEcheance)),
  IF(LEN(AA95)=1,
  IF(LEN(INDEX(Roadmap!$D:$K,MATCH($E95,Roadmap!$D:$D,0)-1+COUNTIF($E95:AA95,"u")+COUNTIF($E95:AA95,"t")+COUNTIF($E95:AA95,"¶")+COUNTIF($E95:AA95,"²")+COUNTIF($E95:AA95,"µ")+COUNTIF($E95:AA95,1),ColDescriptionCourte))&gt;1,
HYPERLINK("#Roadmap!C"&amp; MATCH($E95,Roadmap!$D:$D,0)+COUNTIF($E95:AA95,"u")+COUNTIF($E95:AA95,"t")+COUNTIF($E95:AA95,"¶")+COUNTIF($E95:AA95,"²")+COUNTIF($E95:AA95,"µ")+COUNTIF($E95:AA95,1)-1,INDEX(Roadmap!$D:$K,MATCH($E95,Roadmap!$D:$D,0)-1+COUNTIF($E95:AA95,"u")+COUNTIF($E95:AA95,"t")+COUNTIF($E95:AA95,"¶")+COUNTIF($E95:AA95,"²")+COUNTIF($E95:AA95,"µ")+COUNTIF($E95:AA95,1),ColDescriptionCourte)),""),
  "")),"")</f>
        <v/>
      </c>
      <c r="AC95" s="40" t="str">
        <f ca="1">IFERROR(IF(AND(
  INDEX(Roadmap!$D:$K,MATCH($E95,Roadmap!$D:$D,0)+COUNTIF($E95:AB95,"u")+COUNTIF($E95:AB95,"t")+COUNTIF($E95:AB95,"¶")+COUNTIF($E95:AB95,"²")+COUNTIF($E95:AB95,"µ")+COUNTIF($E95:AB95,1),ColLivraison)=AC$6,
  VLOOKUP($E95,INDIRECT("tri!"&amp; CHAR(64+ C0Col) &amp;":"&amp; CHAR(65+C0Col)),2,FALSE)&gt;COUNTIF($E95:AB95,"u")+COUNTIF($E95:AB95,"t")+COUNTIF($E95:AB95,"¶")+COUNTIF($E95:AB95,"²")+COUNTIF($E95:AB95,"µ")+COUNTIF($E95:AB95,1)),
HYPERLINK("#Roadmap!C"&amp; MATCH($E95,Roadmap!$D:$D,0)+COUNTIF($E95:AB95,"u")+COUNTIF($E95:AB95,"t"),
     INDEX(Roadmap!$D:$K,MATCH($E95,Roadmap!$D:$D,0)+COUNTIF($E95:AB95,"u")+COUNTIF($E95:AB95,"t")+COUNTIF($E95:AB95,"¶")+COUNTIF($E95:AB95,"²")+COUNTIF($E95:AB95,"µ")+COUNTIF($E95:AB95,1),ColTypeEcheance)),
  IF(LEN(AB95)=1,
  IF(LEN(INDEX(Roadmap!$D:$K,MATCH($E95,Roadmap!$D:$D,0)-1+COUNTIF($E95:AB95,"u")+COUNTIF($E95:AB95,"t")+COUNTIF($E95:AB95,"¶")+COUNTIF($E95:AB95,"²")+COUNTIF($E95:AB95,"µ")+COUNTIF($E95:AB95,1),ColDescriptionCourte))&gt;1,
HYPERLINK("#Roadmap!C"&amp; MATCH($E95,Roadmap!$D:$D,0)+COUNTIF($E95:AB95,"u")+COUNTIF($E95:AB95,"t")+COUNTIF($E95:AB95,"¶")+COUNTIF($E95:AB95,"²")+COUNTIF($E95:AB95,"µ")+COUNTIF($E95:AB95,1)-1,INDEX(Roadmap!$D:$K,MATCH($E95,Roadmap!$D:$D,0)-1+COUNTIF($E95:AB95,"u")+COUNTIF($E95:AB95,"t")+COUNTIF($E95:AB95,"¶")+COUNTIF($E95:AB95,"²")+COUNTIF($E95:AB95,"µ")+COUNTIF($E95:AB95,1),ColDescriptionCourte)),""),
  "")),"")</f>
        <v/>
      </c>
      <c r="AD95" s="40" t="str">
        <f ca="1">IFERROR(IF(AND(
  INDEX(Roadmap!$D:$K,MATCH($E95,Roadmap!$D:$D,0)+COUNTIF($E95:AC95,"u")+COUNTIF($E95:AC95,"t")+COUNTIF($E95:AC95,"¶")+COUNTIF($E95:AC95,"²")+COUNTIF($E95:AC95,"µ")+COUNTIF($E95:AC95,1),ColLivraison)=AD$6,
  VLOOKUP($E95,INDIRECT("tri!"&amp; CHAR(64+ C0Col) &amp;":"&amp; CHAR(65+C0Col)),2,FALSE)&gt;COUNTIF($E95:AC95,"u")+COUNTIF($E95:AC95,"t")+COUNTIF($E95:AC95,"¶")+COUNTIF($E95:AC95,"²")+COUNTIF($E95:AC95,"µ")+COUNTIF($E95:AC95,1)),
HYPERLINK("#Roadmap!C"&amp; MATCH($E95,Roadmap!$D:$D,0)+COUNTIF($E95:AC95,"u")+COUNTIF($E95:AC95,"t"),
     INDEX(Roadmap!$D:$K,MATCH($E95,Roadmap!$D:$D,0)+COUNTIF($E95:AC95,"u")+COUNTIF($E95:AC95,"t")+COUNTIF($E95:AC95,"¶")+COUNTIF($E95:AC95,"²")+COUNTIF($E95:AC95,"µ")+COUNTIF($E95:AC95,1),ColTypeEcheance)),
  IF(LEN(AC95)=1,
  IF(LEN(INDEX(Roadmap!$D:$K,MATCH($E95,Roadmap!$D:$D,0)-1+COUNTIF($E95:AC95,"u")+COUNTIF($E95:AC95,"t")+COUNTIF($E95:AC95,"¶")+COUNTIF($E95:AC95,"²")+COUNTIF($E95:AC95,"µ")+COUNTIF($E95:AC95,1),ColDescriptionCourte))&gt;1,
HYPERLINK("#Roadmap!C"&amp; MATCH($E95,Roadmap!$D:$D,0)+COUNTIF($E95:AC95,"u")+COUNTIF($E95:AC95,"t")+COUNTIF($E95:AC95,"¶")+COUNTIF($E95:AC95,"²")+COUNTIF($E95:AC95,"µ")+COUNTIF($E95:AC95,1)-1,INDEX(Roadmap!$D:$K,MATCH($E95,Roadmap!$D:$D,0)-1+COUNTIF($E95:AC95,"u")+COUNTIF($E95:AC95,"t")+COUNTIF($E95:AC95,"¶")+COUNTIF($E95:AC95,"²")+COUNTIF($E95:AC95,"µ")+COUNTIF($E95:AC95,1),ColDescriptionCourte)),""),
  "")),"")</f>
        <v/>
      </c>
      <c r="AE95" s="40" t="str">
        <f ca="1">IFERROR(IF(AND(
  INDEX(Roadmap!$D:$K,MATCH($E95,Roadmap!$D:$D,0)+COUNTIF($E95:AD95,"u")+COUNTIF($E95:AD95,"t")+COUNTIF($E95:AD95,"¶")+COUNTIF($E95:AD95,"²")+COUNTIF($E95:AD95,"µ")+COUNTIF($E95:AD95,1),ColLivraison)=AE$6,
  VLOOKUP($E95,INDIRECT("tri!"&amp; CHAR(64+ C0Col) &amp;":"&amp; CHAR(65+C0Col)),2,FALSE)&gt;COUNTIF($E95:AD95,"u")+COUNTIF($E95:AD95,"t")+COUNTIF($E95:AD95,"¶")+COUNTIF($E95:AD95,"²")+COUNTIF($E95:AD95,"µ")+COUNTIF($E95:AD95,1)),
HYPERLINK("#Roadmap!C"&amp; MATCH($E95,Roadmap!$D:$D,0)+COUNTIF($E95:AD95,"u")+COUNTIF($E95:AD95,"t"),
     INDEX(Roadmap!$D:$K,MATCH($E95,Roadmap!$D:$D,0)+COUNTIF($E95:AD95,"u")+COUNTIF($E95:AD95,"t")+COUNTIF($E95:AD95,"¶")+COUNTIF($E95:AD95,"²")+COUNTIF($E95:AD95,"µ")+COUNTIF($E95:AD95,1),ColTypeEcheance)),
  IF(LEN(AD95)=1,
  IF(LEN(INDEX(Roadmap!$D:$K,MATCH($E95,Roadmap!$D:$D,0)-1+COUNTIF($E95:AD95,"u")+COUNTIF($E95:AD95,"t")+COUNTIF($E95:AD95,"¶")+COUNTIF($E95:AD95,"²")+COUNTIF($E95:AD95,"µ")+COUNTIF($E95:AD95,1),ColDescriptionCourte))&gt;1,
HYPERLINK("#Roadmap!C"&amp; MATCH($E95,Roadmap!$D:$D,0)+COUNTIF($E95:AD95,"u")+COUNTIF($E95:AD95,"t")+COUNTIF($E95:AD95,"¶")+COUNTIF($E95:AD95,"²")+COUNTIF($E95:AD95,"µ")+COUNTIF($E95:AD95,1)-1,INDEX(Roadmap!$D:$K,MATCH($E95,Roadmap!$D:$D,0)-1+COUNTIF($E95:AD95,"u")+COUNTIF($E95:AD95,"t")+COUNTIF($E95:AD95,"¶")+COUNTIF($E95:AD95,"²")+COUNTIF($E95:AD95,"µ")+COUNTIF($E95:AD95,1),ColDescriptionCourte)),""),
  "")),"")</f>
        <v/>
      </c>
      <c r="AF95" s="40" t="str">
        <f ca="1">IFERROR(IF(AND(
  INDEX(Roadmap!$D:$K,MATCH($E95,Roadmap!$D:$D,0)+COUNTIF($E95:AE95,"u")+COUNTIF($E95:AE95,"t")+COUNTIF($E95:AE95,"¶")+COUNTIF($E95:AE95,"²")+COUNTIF($E95:AE95,"µ")+COUNTIF($E95:AE95,1),ColLivraison)=AF$6,
  VLOOKUP($E95,INDIRECT("tri!"&amp; CHAR(64+ C0Col) &amp;":"&amp; CHAR(65+C0Col)),2,FALSE)&gt;COUNTIF($E95:AE95,"u")+COUNTIF($E95:AE95,"t")+COUNTIF($E95:AE95,"¶")+COUNTIF($E95:AE95,"²")+COUNTIF($E95:AE95,"µ")+COUNTIF($E95:AE95,1)),
HYPERLINK("#Roadmap!C"&amp; MATCH($E95,Roadmap!$D:$D,0)+COUNTIF($E95:AE95,"u")+COUNTIF($E95:AE95,"t"),
     INDEX(Roadmap!$D:$K,MATCH($E95,Roadmap!$D:$D,0)+COUNTIF($E95:AE95,"u")+COUNTIF($E95:AE95,"t")+COUNTIF($E95:AE95,"¶")+COUNTIF($E95:AE95,"²")+COUNTIF($E95:AE95,"µ")+COUNTIF($E95:AE95,1),ColTypeEcheance)),
  IF(LEN(AE95)=1,
  IF(LEN(INDEX(Roadmap!$D:$K,MATCH($E95,Roadmap!$D:$D,0)-1+COUNTIF($E95:AE95,"u")+COUNTIF($E95:AE95,"t")+COUNTIF($E95:AE95,"¶")+COUNTIF($E95:AE95,"²")+COUNTIF($E95:AE95,"µ")+COUNTIF($E95:AE95,1),ColDescriptionCourte))&gt;1,
HYPERLINK("#Roadmap!C"&amp; MATCH($E95,Roadmap!$D:$D,0)+COUNTIF($E95:AE95,"u")+COUNTIF($E95:AE95,"t")+COUNTIF($E95:AE95,"¶")+COUNTIF($E95:AE95,"²")+COUNTIF($E95:AE95,"µ")+COUNTIF($E95:AE95,1)-1,INDEX(Roadmap!$D:$K,MATCH($E95,Roadmap!$D:$D,0)-1+COUNTIF($E95:AE95,"u")+COUNTIF($E95:AE95,"t")+COUNTIF($E95:AE95,"¶")+COUNTIF($E95:AE95,"²")+COUNTIF($E95:AE95,"µ")+COUNTIF($E95:AE95,1),ColDescriptionCourte)),""),
  "")),"")</f>
        <v/>
      </c>
      <c r="AG95" s="40" t="str">
        <f ca="1">IFERROR(IF(AND(
  INDEX(Roadmap!$D:$K,MATCH($E95,Roadmap!$D:$D,0)+COUNTIF($E95:AF95,"u")+COUNTIF($E95:AF95,"t")+COUNTIF($E95:AF95,"¶")+COUNTIF($E95:AF95,"²")+COUNTIF($E95:AF95,"µ")+COUNTIF($E95:AF95,1),ColLivraison)=AG$6,
  VLOOKUP($E95,INDIRECT("tri!"&amp; CHAR(64+ C0Col) &amp;":"&amp; CHAR(65+C0Col)),2,FALSE)&gt;COUNTIF($E95:AF95,"u")+COUNTIF($E95:AF95,"t")+COUNTIF($E95:AF95,"¶")+COUNTIF($E95:AF95,"²")+COUNTIF($E95:AF95,"µ")+COUNTIF($E95:AF95,1)),
HYPERLINK("#Roadmap!C"&amp; MATCH($E95,Roadmap!$D:$D,0)+COUNTIF($E95:AF95,"u")+COUNTIF($E95:AF95,"t"),
     INDEX(Roadmap!$D:$K,MATCH($E95,Roadmap!$D:$D,0)+COUNTIF($E95:AF95,"u")+COUNTIF($E95:AF95,"t")+COUNTIF($E95:AF95,"¶")+COUNTIF($E95:AF95,"²")+COUNTIF($E95:AF95,"µ")+COUNTIF($E95:AF95,1),ColTypeEcheance)),
  IF(LEN(AF95)=1,
  IF(LEN(INDEX(Roadmap!$D:$K,MATCH($E95,Roadmap!$D:$D,0)-1+COUNTIF($E95:AF95,"u")+COUNTIF($E95:AF95,"t")+COUNTIF($E95:AF95,"¶")+COUNTIF($E95:AF95,"²")+COUNTIF($E95:AF95,"µ")+COUNTIF($E95:AF95,1),ColDescriptionCourte))&gt;1,
HYPERLINK("#Roadmap!C"&amp; MATCH($E95,Roadmap!$D:$D,0)+COUNTIF($E95:AF95,"u")+COUNTIF($E95:AF95,"t")+COUNTIF($E95:AF95,"¶")+COUNTIF($E95:AF95,"²")+COUNTIF($E95:AF95,"µ")+COUNTIF($E95:AF95,1)-1,INDEX(Roadmap!$D:$K,MATCH($E95,Roadmap!$D:$D,0)-1+COUNTIF($E95:AF95,"u")+COUNTIF($E95:AF95,"t")+COUNTIF($E95:AF95,"¶")+COUNTIF($E95:AF95,"²")+COUNTIF($E95:AF95,"µ")+COUNTIF($E95:AF95,1),ColDescriptionCourte)),""),
  "")),"")</f>
        <v/>
      </c>
    </row>
    <row r="96" spans="3:33" ht="14.25" customHeight="1">
      <c r="C96" s="1" t="str">
        <f t="shared" ca="1" si="47"/>
        <v/>
      </c>
      <c r="D96" s="1" t="str">
        <f t="shared" ca="1" si="48"/>
        <v/>
      </c>
      <c r="E96" s="35" t="str">
        <f t="shared" ca="1" si="46"/>
        <v/>
      </c>
      <c r="F96" s="39" t="str">
        <f ca="1">IFERROR(IF(AND(
  INDEX(Roadmap!$D:$K,MATCH($E96,Roadmap!$D:$D,0)+COUNTIF($E96:E96,"u")+COUNTIF($E96:E96,"t")+COUNTIF($E96:E96,"¶")+COUNTIF($E96:E96,"²")+COUNTIF($E96:E96,"µ")+COUNTIF($E96:E96,1),ColLivraison)=F$6,
  VLOOKUP($E96,INDIRECT("tri!"&amp; CHAR(64+ C0Col) &amp;":"&amp; CHAR(65+C0Col)),2,FALSE)&gt;COUNTIF($E96:E96,"u")+COUNTIF($E96:E96,"t")+COUNTIF($E96:E96,"¶")+COUNTIF($E96:E96,"²")+COUNTIF($E96:E96,"µ")+COUNTIF($E96:E96,1)),
HYPERLINK("#Roadmap!C"&amp; MATCH($E96,Roadmap!$D:$D,0)+COUNTIF($E96:E96,"u")+COUNTIF($E96:E96,"t"),
     INDEX(Roadmap!$D:$K,MATCH($E96,Roadmap!$D:$D,0)+COUNTIF($E96:E96,"u")+COUNTIF($E96:E96,"t")+COUNTIF($E96:E96,"¶")+COUNTIF($E96:E96,"²")+COUNTIF($E96:E96,"µ")+COUNTIF($E96:E96,1),ColTypeEcheance)),
  IF(LEN(E96)=1,
  IF(LEN(INDEX(Roadmap!$D:$K,MATCH($E96,Roadmap!$D:$D,0)-1+COUNTIF($E96:E96,"u")+COUNTIF($E96:E96,"t")+COUNTIF($E96:E96,"¶")+COUNTIF($E96:E96,"²")+COUNTIF($E96:E96,"µ")+COUNTIF($E96:E96,1),ColDescriptionCourte))&gt;1,
HYPERLINK("#Roadmap!C"&amp; MATCH($E96,Roadmap!$D:$D,0)+COUNTIF($E96:E96,"u")+COUNTIF($E96:E96,"t")+COUNTIF($E96:E96,"¶")+COUNTIF($E96:E96,"²")+COUNTIF($E96:E96,"µ")+COUNTIF($E96:E96,1)-1,INDEX(Roadmap!$D:$K,MATCH($E96,Roadmap!$D:$D,0)-1+COUNTIF($E96:E96,"u")+COUNTIF($E96:E96,"t")+COUNTIF($E96:E96,"¶")+COUNTIF($E96:E96,"²")+COUNTIF($E96:E96,"µ")+COUNTIF($E96:E96,1),ColDescriptionCourte)),""),
  "")),"")</f>
        <v/>
      </c>
      <c r="G96" s="40" t="str">
        <f ca="1">IFERROR(IF(AND(
  INDEX(Roadmap!$D:$K,MATCH($E96,Roadmap!$D:$D,0)+COUNTIF($E96:F96,"u")+COUNTIF($E96:F96,"t")+COUNTIF($E96:F96,"¶")+COUNTIF($E96:F96,"²")+COUNTIF($E96:F96,"µ")+COUNTIF($E96:F96,1),ColLivraison)=G$6,
  VLOOKUP($E96,INDIRECT("tri!"&amp; CHAR(64+ C0Col) &amp;":"&amp; CHAR(65+C0Col)),2,FALSE)&gt;COUNTIF($E96:F96,"u")+COUNTIF($E96:F96,"t")+COUNTIF($E96:F96,"¶")+COUNTIF($E96:F96,"²")+COUNTIF($E96:F96,"µ")+COUNTIF($E96:F96,1)),
HYPERLINK("#Roadmap!C"&amp; MATCH($E96,Roadmap!$D:$D,0)+COUNTIF($E96:F96,"u")+COUNTIF($E96:F96,"t"),
     INDEX(Roadmap!$D:$K,MATCH($E96,Roadmap!$D:$D,0)+COUNTIF($E96:F96,"u")+COUNTIF($E96:F96,"t")+COUNTIF($E96:F96,"¶")+COUNTIF($E96:F96,"²")+COUNTIF($E96:F96,"µ")+COUNTIF($E96:F96,1),ColTypeEcheance)),
  IF(LEN(F96)=1,
  IF(LEN(INDEX(Roadmap!$D:$K,MATCH($E96,Roadmap!$D:$D,0)-1+COUNTIF($E96:F96,"u")+COUNTIF($E96:F96,"t")+COUNTIF($E96:F96,"¶")+COUNTIF($E96:F96,"²")+COUNTIF($E96:F96,"µ")+COUNTIF($E96:F96,1),ColDescriptionCourte))&gt;1,
HYPERLINK("#Roadmap!C"&amp; MATCH($E96,Roadmap!$D:$D,0)+COUNTIF($E96:F96,"u")+COUNTIF($E96:F96,"t")+COUNTIF($E96:F96,"¶")+COUNTIF($E96:F96,"²")+COUNTIF($E96:F96,"µ")+COUNTIF($E96:F96,1)-1,INDEX(Roadmap!$D:$K,MATCH($E96,Roadmap!$D:$D,0)-1+COUNTIF($E96:F96,"u")+COUNTIF($E96:F96,"t")+COUNTIF($E96:F96,"¶")+COUNTIF($E96:F96,"²")+COUNTIF($E96:F96,"µ")+COUNTIF($E96:F96,1),ColDescriptionCourte)),""),
  "")),"")</f>
        <v/>
      </c>
      <c r="H96" s="40" t="str">
        <f ca="1">IFERROR(IF(AND(
  INDEX(Roadmap!$D:$K,MATCH($E96,Roadmap!$D:$D,0)+COUNTIF($E96:G96,"u")+COUNTIF($E96:G96,"t")+COUNTIF($E96:G96,"¶")+COUNTIF($E96:G96,"²")+COUNTIF($E96:G96,"µ")+COUNTIF($E96:G96,1),ColLivraison)=H$6,
  VLOOKUP($E96,INDIRECT("tri!"&amp; CHAR(64+ C0Col) &amp;":"&amp; CHAR(65+C0Col)),2,FALSE)&gt;COUNTIF($E96:G96,"u")+COUNTIF($E96:G96,"t")+COUNTIF($E96:G96,"¶")+COUNTIF($E96:G96,"²")+COUNTIF($E96:G96,"µ")+COUNTIF($E96:G96,1)),
HYPERLINK("#Roadmap!C"&amp; MATCH($E96,Roadmap!$D:$D,0)+COUNTIF($E96:G96,"u")+COUNTIF($E96:G96,"t"),
     INDEX(Roadmap!$D:$K,MATCH($E96,Roadmap!$D:$D,0)+COUNTIF($E96:G96,"u")+COUNTIF($E96:G96,"t")+COUNTIF($E96:G96,"¶")+COUNTIF($E96:G96,"²")+COUNTIF($E96:G96,"µ")+COUNTIF($E96:G96,1),ColTypeEcheance)),
  IF(LEN(G96)=1,
  IF(LEN(INDEX(Roadmap!$D:$K,MATCH($E96,Roadmap!$D:$D,0)-1+COUNTIF($E96:G96,"u")+COUNTIF($E96:G96,"t")+COUNTIF($E96:G96,"¶")+COUNTIF($E96:G96,"²")+COUNTIF($E96:G96,"µ")+COUNTIF($E96:G96,1),ColDescriptionCourte))&gt;1,
HYPERLINK("#Roadmap!C"&amp; MATCH($E96,Roadmap!$D:$D,0)+COUNTIF($E96:G96,"u")+COUNTIF($E96:G96,"t")+COUNTIF($E96:G96,"¶")+COUNTIF($E96:G96,"²")+COUNTIF($E96:G96,"µ")+COUNTIF($E96:G96,1)-1,INDEX(Roadmap!$D:$K,MATCH($E96,Roadmap!$D:$D,0)-1+COUNTIF($E96:G96,"u")+COUNTIF($E96:G96,"t")+COUNTIF($E96:G96,"¶")+COUNTIF($E96:G96,"²")+COUNTIF($E96:G96,"µ")+COUNTIF($E96:G96,1),ColDescriptionCourte)),""),
  "")),"")</f>
        <v/>
      </c>
      <c r="I96" s="40" t="str">
        <f ca="1">IFERROR(IF(AND(
  INDEX(Roadmap!$D:$K,MATCH($E96,Roadmap!$D:$D,0)+COUNTIF($E96:H96,"u")+COUNTIF($E96:H96,"t")+COUNTIF($E96:H96,"¶")+COUNTIF($E96:H96,"²")+COUNTIF($E96:H96,"µ")+COUNTIF($E96:H96,1),ColLivraison)=I$6,
  VLOOKUP($E96,INDIRECT("tri!"&amp; CHAR(64+ C0Col) &amp;":"&amp; CHAR(65+C0Col)),2,FALSE)&gt;COUNTIF($E96:H96,"u")+COUNTIF($E96:H96,"t")+COUNTIF($E96:H96,"¶")+COUNTIF($E96:H96,"²")+COUNTIF($E96:H96,"µ")+COUNTIF($E96:H96,1)),
HYPERLINK("#Roadmap!C"&amp; MATCH($E96,Roadmap!$D:$D,0)+COUNTIF($E96:H96,"u")+COUNTIF($E96:H96,"t"),
     INDEX(Roadmap!$D:$K,MATCH($E96,Roadmap!$D:$D,0)+COUNTIF($E96:H96,"u")+COUNTIF($E96:H96,"t")+COUNTIF($E96:H96,"¶")+COUNTIF($E96:H96,"²")+COUNTIF($E96:H96,"µ")+COUNTIF($E96:H96,1),ColTypeEcheance)),
  IF(LEN(H96)=1,
  IF(LEN(INDEX(Roadmap!$D:$K,MATCH($E96,Roadmap!$D:$D,0)-1+COUNTIF($E96:H96,"u")+COUNTIF($E96:H96,"t")+COUNTIF($E96:H96,"¶")+COUNTIF($E96:H96,"²")+COUNTIF($E96:H96,"µ")+COUNTIF($E96:H96,1),ColDescriptionCourte))&gt;1,
HYPERLINK("#Roadmap!C"&amp; MATCH($E96,Roadmap!$D:$D,0)+COUNTIF($E96:H96,"u")+COUNTIF($E96:H96,"t")+COUNTIF($E96:H96,"¶")+COUNTIF($E96:H96,"²")+COUNTIF($E96:H96,"µ")+COUNTIF($E96:H96,1)-1,INDEX(Roadmap!$D:$K,MATCH($E96,Roadmap!$D:$D,0)-1+COUNTIF($E96:H96,"u")+COUNTIF($E96:H96,"t")+COUNTIF($E96:H96,"¶")+COUNTIF($E96:H96,"²")+COUNTIF($E96:H96,"µ")+COUNTIF($E96:H96,1),ColDescriptionCourte)),""),
  "")),"")</f>
        <v/>
      </c>
      <c r="J96" s="40" t="str">
        <f ca="1">IFERROR(IF(AND(
  INDEX(Roadmap!$D:$K,MATCH($E96,Roadmap!$D:$D,0)+COUNTIF($E96:I96,"u")+COUNTIF($E96:I96,"t")+COUNTIF($E96:I96,"¶")+COUNTIF($E96:I96,"²")+COUNTIF($E96:I96,"µ")+COUNTIF($E96:I96,1),ColLivraison)=J$6,
  VLOOKUP($E96,INDIRECT("tri!"&amp; CHAR(64+ C0Col) &amp;":"&amp; CHAR(65+C0Col)),2,FALSE)&gt;COUNTIF($E96:I96,"u")+COUNTIF($E96:I96,"t")+COUNTIF($E96:I96,"¶")+COUNTIF($E96:I96,"²")+COUNTIF($E96:I96,"µ")+COUNTIF($E96:I96,1)),
HYPERLINK("#Roadmap!C"&amp; MATCH($E96,Roadmap!$D:$D,0)+COUNTIF($E96:I96,"u")+COUNTIF($E96:I96,"t"),
     INDEX(Roadmap!$D:$K,MATCH($E96,Roadmap!$D:$D,0)+COUNTIF($E96:I96,"u")+COUNTIF($E96:I96,"t")+COUNTIF($E96:I96,"¶")+COUNTIF($E96:I96,"²")+COUNTIF($E96:I96,"µ")+COUNTIF($E96:I96,1),ColTypeEcheance)),
  IF(LEN(I96)=1,
  IF(LEN(INDEX(Roadmap!$D:$K,MATCH($E96,Roadmap!$D:$D,0)-1+COUNTIF($E96:I96,"u")+COUNTIF($E96:I96,"t")+COUNTIF($E96:I96,"¶")+COUNTIF($E96:I96,"²")+COUNTIF($E96:I96,"µ")+COUNTIF($E96:I96,1),ColDescriptionCourte))&gt;1,
HYPERLINK("#Roadmap!C"&amp; MATCH($E96,Roadmap!$D:$D,0)+COUNTIF($E96:I96,"u")+COUNTIF($E96:I96,"t")+COUNTIF($E96:I96,"¶")+COUNTIF($E96:I96,"²")+COUNTIF($E96:I96,"µ")+COUNTIF($E96:I96,1)-1,INDEX(Roadmap!$D:$K,MATCH($E96,Roadmap!$D:$D,0)-1+COUNTIF($E96:I96,"u")+COUNTIF($E96:I96,"t")+COUNTIF($E96:I96,"¶")+COUNTIF($E96:I96,"²")+COUNTIF($E96:I96,"µ")+COUNTIF($E96:I96,1),ColDescriptionCourte)),""),
  "")),"")</f>
        <v/>
      </c>
      <c r="K96" s="40" t="str">
        <f ca="1">IFERROR(IF(AND(
  INDEX(Roadmap!$D:$K,MATCH($E96,Roadmap!$D:$D,0)+COUNTIF($E96:J96,"u")+COUNTIF($E96:J96,"t")+COUNTIF($E96:J96,"¶")+COUNTIF($E96:J96,"²")+COUNTIF($E96:J96,"µ")+COUNTIF($E96:J96,1),ColLivraison)=K$6,
  VLOOKUP($E96,INDIRECT("tri!"&amp; CHAR(64+ C0Col) &amp;":"&amp; CHAR(65+C0Col)),2,FALSE)&gt;COUNTIF($E96:J96,"u")+COUNTIF($E96:J96,"t")+COUNTIF($E96:J96,"¶")+COUNTIF($E96:J96,"²")+COUNTIF($E96:J96,"µ")+COUNTIF($E96:J96,1)),
HYPERLINK("#Roadmap!C"&amp; MATCH($E96,Roadmap!$D:$D,0)+COUNTIF($E96:J96,"u")+COUNTIF($E96:J96,"t"),
     INDEX(Roadmap!$D:$K,MATCH($E96,Roadmap!$D:$D,0)+COUNTIF($E96:J96,"u")+COUNTIF($E96:J96,"t")+COUNTIF($E96:J96,"¶")+COUNTIF($E96:J96,"²")+COUNTIF($E96:J96,"µ")+COUNTIF($E96:J96,1),ColTypeEcheance)),
  IF(LEN(J96)=1,
  IF(LEN(INDEX(Roadmap!$D:$K,MATCH($E96,Roadmap!$D:$D,0)-1+COUNTIF($E96:J96,"u")+COUNTIF($E96:J96,"t")+COUNTIF($E96:J96,"¶")+COUNTIF($E96:J96,"²")+COUNTIF($E96:J96,"µ")+COUNTIF($E96:J96,1),ColDescriptionCourte))&gt;1,
HYPERLINK("#Roadmap!C"&amp; MATCH($E96,Roadmap!$D:$D,0)+COUNTIF($E96:J96,"u")+COUNTIF($E96:J96,"t")+COUNTIF($E96:J96,"¶")+COUNTIF($E96:J96,"²")+COUNTIF($E96:J96,"µ")+COUNTIF($E96:J96,1)-1,INDEX(Roadmap!$D:$K,MATCH($E96,Roadmap!$D:$D,0)-1+COUNTIF($E96:J96,"u")+COUNTIF($E96:J96,"t")+COUNTIF($E96:J96,"¶")+COUNTIF($E96:J96,"²")+COUNTIF($E96:J96,"µ")+COUNTIF($E96:J96,1),ColDescriptionCourte)),""),
  "")),"")</f>
        <v/>
      </c>
      <c r="L96" s="39" t="str">
        <f ca="1">IFERROR(IF(AND(
  INDEX(Roadmap!$D:$K,MATCH($E96,Roadmap!$D:$D,0)+COUNTIF($E96:K96,"u")+COUNTIF($E96:K96,"t")+COUNTIF($E96:K96,"¶")+COUNTIF($E96:K96,"²")+COUNTIF($E96:K96,"µ")+COUNTIF($E96:K96,1),ColLivraison)=L$6,
  VLOOKUP($E96,INDIRECT("tri!"&amp; CHAR(64+ C0Col) &amp;":"&amp; CHAR(65+C0Col)),2,FALSE)&gt;COUNTIF($E96:K96,"u")+COUNTIF($E96:K96,"t")+COUNTIF($E96:K96,"¶")+COUNTIF($E96:K96,"²")+COUNTIF($E96:K96,"µ")+COUNTIF($E96:K96,1)),
HYPERLINK("#Roadmap!C"&amp; MATCH($E96,Roadmap!$D:$D,0)+COUNTIF($E96:K96,"u")+COUNTIF($E96:K96,"t"),
     INDEX(Roadmap!$D:$K,MATCH($E96,Roadmap!$D:$D,0)+COUNTIF($E96:K96,"u")+COUNTIF($E96:K96,"t")+COUNTIF($E96:K96,"¶")+COUNTIF($E96:K96,"²")+COUNTIF($E96:K96,"µ")+COUNTIF($E96:K96,1),ColTypeEcheance)),
  IF(LEN(K96)=1,
  IF(LEN(INDEX(Roadmap!$D:$K,MATCH($E96,Roadmap!$D:$D,0)-1+COUNTIF($E96:K96,"u")+COUNTIF($E96:K96,"t")+COUNTIF($E96:K96,"¶")+COUNTIF($E96:K96,"²")+COUNTIF($E96:K96,"µ")+COUNTIF($E96:K96,1),ColDescriptionCourte))&gt;1,
HYPERLINK("#Roadmap!C"&amp; MATCH($E96,Roadmap!$D:$D,0)+COUNTIF($E96:K96,"u")+COUNTIF($E96:K96,"t")+COUNTIF($E96:K96,"¶")+COUNTIF($E96:K96,"²")+COUNTIF($E96:K96,"µ")+COUNTIF($E96:K96,1)-1,INDEX(Roadmap!$D:$K,MATCH($E96,Roadmap!$D:$D,0)-1+COUNTIF($E96:K96,"u")+COUNTIF($E96:K96,"t")+COUNTIF($E96:K96,"¶")+COUNTIF($E96:K96,"²")+COUNTIF($E96:K96,"µ")+COUNTIF($E96:K96,1),ColDescriptionCourte)),""),
  "")),"")</f>
        <v/>
      </c>
      <c r="M96" s="40" t="str">
        <f ca="1">IFERROR(IF(AND(
  INDEX(Roadmap!$D:$K,MATCH($E96,Roadmap!$D:$D,0)+COUNTIF($E96:L96,"u")+COUNTIF($E96:L96,"t")+COUNTIF($E96:L96,"¶")+COUNTIF($E96:L96,"²")+COUNTIF($E96:L96,"µ")+COUNTIF($E96:L96,1),ColLivraison)=M$6,
  VLOOKUP($E96,INDIRECT("tri!"&amp; CHAR(64+ C0Col) &amp;":"&amp; CHAR(65+C0Col)),2,FALSE)&gt;COUNTIF($E96:L96,"u")+COUNTIF($E96:L96,"t")+COUNTIF($E96:L96,"¶")+COUNTIF($E96:L96,"²")+COUNTIF($E96:L96,"µ")+COUNTIF($E96:L96,1)),
HYPERLINK("#Roadmap!C"&amp; MATCH($E96,Roadmap!$D:$D,0)+COUNTIF($E96:L96,"u")+COUNTIF($E96:L96,"t"),
     INDEX(Roadmap!$D:$K,MATCH($E96,Roadmap!$D:$D,0)+COUNTIF($E96:L96,"u")+COUNTIF($E96:L96,"t")+COUNTIF($E96:L96,"¶")+COUNTIF($E96:L96,"²")+COUNTIF($E96:L96,"µ")+COUNTIF($E96:L96,1),ColTypeEcheance)),
  IF(LEN(L96)=1,
  IF(LEN(INDEX(Roadmap!$D:$K,MATCH($E96,Roadmap!$D:$D,0)-1+COUNTIF($E96:L96,"u")+COUNTIF($E96:L96,"t")+COUNTIF($E96:L96,"¶")+COUNTIF($E96:L96,"²")+COUNTIF($E96:L96,"µ")+COUNTIF($E96:L96,1),ColDescriptionCourte))&gt;1,
HYPERLINK("#Roadmap!C"&amp; MATCH($E96,Roadmap!$D:$D,0)+COUNTIF($E96:L96,"u")+COUNTIF($E96:L96,"t")+COUNTIF($E96:L96,"¶")+COUNTIF($E96:L96,"²")+COUNTIF($E96:L96,"µ")+COUNTIF($E96:L96,1)-1,INDEX(Roadmap!$D:$K,MATCH($E96,Roadmap!$D:$D,0)-1+COUNTIF($E96:L96,"u")+COUNTIF($E96:L96,"t")+COUNTIF($E96:L96,"¶")+COUNTIF($E96:L96,"²")+COUNTIF($E96:L96,"µ")+COUNTIF($E96:L96,1),ColDescriptionCourte)),""),
  "")),"")</f>
        <v/>
      </c>
      <c r="N96" s="40" t="str">
        <f ca="1">IFERROR(IF(AND(
  INDEX(Roadmap!$D:$K,MATCH($E96,Roadmap!$D:$D,0)+COUNTIF($E96:M96,"u")+COUNTIF($E96:M96,"t")+COUNTIF($E96:M96,"¶")+COUNTIF($E96:M96,"²")+COUNTIF($E96:M96,"µ")+COUNTIF($E96:M96,1),ColLivraison)=N$6,
  VLOOKUP($E96,INDIRECT("tri!"&amp; CHAR(64+ C0Col) &amp;":"&amp; CHAR(65+C0Col)),2,FALSE)&gt;COUNTIF($E96:M96,"u")+COUNTIF($E96:M96,"t")+COUNTIF($E96:M96,"¶")+COUNTIF($E96:M96,"²")+COUNTIF($E96:M96,"µ")+COUNTIF($E96:M96,1)),
HYPERLINK("#Roadmap!C"&amp; MATCH($E96,Roadmap!$D:$D,0)+COUNTIF($E96:M96,"u")+COUNTIF($E96:M96,"t"),
     INDEX(Roadmap!$D:$K,MATCH($E96,Roadmap!$D:$D,0)+COUNTIF($E96:M96,"u")+COUNTIF($E96:M96,"t")+COUNTIF($E96:M96,"¶")+COUNTIF($E96:M96,"²")+COUNTIF($E96:M96,"µ")+COUNTIF($E96:M96,1),ColTypeEcheance)),
  IF(LEN(M96)=1,
  IF(LEN(INDEX(Roadmap!$D:$K,MATCH($E96,Roadmap!$D:$D,0)-1+COUNTIF($E96:M96,"u")+COUNTIF($E96:M96,"t")+COUNTIF($E96:M96,"¶")+COUNTIF($E96:M96,"²")+COUNTIF($E96:M96,"µ")+COUNTIF($E96:M96,1),ColDescriptionCourte))&gt;1,
HYPERLINK("#Roadmap!C"&amp; MATCH($E96,Roadmap!$D:$D,0)+COUNTIF($E96:M96,"u")+COUNTIF($E96:M96,"t")+COUNTIF($E96:M96,"¶")+COUNTIF($E96:M96,"²")+COUNTIF($E96:M96,"µ")+COUNTIF($E96:M96,1)-1,INDEX(Roadmap!$D:$K,MATCH($E96,Roadmap!$D:$D,0)-1+COUNTIF($E96:M96,"u")+COUNTIF($E96:M96,"t")+COUNTIF($E96:M96,"¶")+COUNTIF($E96:M96,"²")+COUNTIF($E96:M96,"µ")+COUNTIF($E96:M96,1),ColDescriptionCourte)),""),
  "")),"")</f>
        <v/>
      </c>
      <c r="O96" s="40" t="str">
        <f ca="1">IFERROR(IF(AND(
  INDEX(Roadmap!$D:$K,MATCH($E96,Roadmap!$D:$D,0)+COUNTIF($E96:N96,"u")+COUNTIF($E96:N96,"t")+COUNTIF($E96:N96,"¶")+COUNTIF($E96:N96,"²")+COUNTIF($E96:N96,"µ")+COUNTIF($E96:N96,1),ColLivraison)=O$6,
  VLOOKUP($E96,INDIRECT("tri!"&amp; CHAR(64+ C0Col) &amp;":"&amp; CHAR(65+C0Col)),2,FALSE)&gt;COUNTIF($E96:N96,"u")+COUNTIF($E96:N96,"t")+COUNTIF($E96:N96,"¶")+COUNTIF($E96:N96,"²")+COUNTIF($E96:N96,"µ")+COUNTIF($E96:N96,1)),
HYPERLINK("#Roadmap!C"&amp; MATCH($E96,Roadmap!$D:$D,0)+COUNTIF($E96:N96,"u")+COUNTIF($E96:N96,"t"),
     INDEX(Roadmap!$D:$K,MATCH($E96,Roadmap!$D:$D,0)+COUNTIF($E96:N96,"u")+COUNTIF($E96:N96,"t")+COUNTIF($E96:N96,"¶")+COUNTIF($E96:N96,"²")+COUNTIF($E96:N96,"µ")+COUNTIF($E96:N96,1),ColTypeEcheance)),
  IF(LEN(N96)=1,
  IF(LEN(INDEX(Roadmap!$D:$K,MATCH($E96,Roadmap!$D:$D,0)-1+COUNTIF($E96:N96,"u")+COUNTIF($E96:N96,"t")+COUNTIF($E96:N96,"¶")+COUNTIF($E96:N96,"²")+COUNTIF($E96:N96,"µ")+COUNTIF($E96:N96,1),ColDescriptionCourte))&gt;1,
HYPERLINK("#Roadmap!C"&amp; MATCH($E96,Roadmap!$D:$D,0)+COUNTIF($E96:N96,"u")+COUNTIF($E96:N96,"t")+COUNTIF($E96:N96,"¶")+COUNTIF($E96:N96,"²")+COUNTIF($E96:N96,"µ")+COUNTIF($E96:N96,1)-1,INDEX(Roadmap!$D:$K,MATCH($E96,Roadmap!$D:$D,0)-1+COUNTIF($E96:N96,"u")+COUNTIF($E96:N96,"t")+COUNTIF($E96:N96,"¶")+COUNTIF($E96:N96,"²")+COUNTIF($E96:N96,"µ")+COUNTIF($E96:N96,1),ColDescriptionCourte)),""),
  "")),"")</f>
        <v/>
      </c>
      <c r="P96" s="40" t="str">
        <f ca="1">IFERROR(IF(AND(
  INDEX(Roadmap!$D:$K,MATCH($E96,Roadmap!$D:$D,0)+COUNTIF($E96:O96,"u")+COUNTIF($E96:O96,"t")+COUNTIF($E96:O96,"¶")+COUNTIF($E96:O96,"²")+COUNTIF($E96:O96,"µ")+COUNTIF($E96:O96,1),ColLivraison)=P$6,
  VLOOKUP($E96,INDIRECT("tri!"&amp; CHAR(64+ C0Col) &amp;":"&amp; CHAR(65+C0Col)),2,FALSE)&gt;COUNTIF($E96:O96,"u")+COUNTIF($E96:O96,"t")+COUNTIF($E96:O96,"¶")+COUNTIF($E96:O96,"²")+COUNTIF($E96:O96,"µ")+COUNTIF($E96:O96,1)),
HYPERLINK("#Roadmap!C"&amp; MATCH($E96,Roadmap!$D:$D,0)+COUNTIF($E96:O96,"u")+COUNTIF($E96:O96,"t"),
     INDEX(Roadmap!$D:$K,MATCH($E96,Roadmap!$D:$D,0)+COUNTIF($E96:O96,"u")+COUNTIF($E96:O96,"t")+COUNTIF($E96:O96,"¶")+COUNTIF($E96:O96,"²")+COUNTIF($E96:O96,"µ")+COUNTIF($E96:O96,1),ColTypeEcheance)),
  IF(LEN(O96)=1,
  IF(LEN(INDEX(Roadmap!$D:$K,MATCH($E96,Roadmap!$D:$D,0)-1+COUNTIF($E96:O96,"u")+COUNTIF($E96:O96,"t")+COUNTIF($E96:O96,"¶")+COUNTIF($E96:O96,"²")+COUNTIF($E96:O96,"µ")+COUNTIF($E96:O96,1),ColDescriptionCourte))&gt;1,
HYPERLINK("#Roadmap!C"&amp; MATCH($E96,Roadmap!$D:$D,0)+COUNTIF($E96:O96,"u")+COUNTIF($E96:O96,"t")+COUNTIF($E96:O96,"¶")+COUNTIF($E96:O96,"²")+COUNTIF($E96:O96,"µ")+COUNTIF($E96:O96,1)-1,INDEX(Roadmap!$D:$K,MATCH($E96,Roadmap!$D:$D,0)-1+COUNTIF($E96:O96,"u")+COUNTIF($E96:O96,"t")+COUNTIF($E96:O96,"¶")+COUNTIF($E96:O96,"²")+COUNTIF($E96:O96,"µ")+COUNTIF($E96:O96,1),ColDescriptionCourte)),""),
  "")),"")</f>
        <v/>
      </c>
      <c r="Q96" s="40" t="str">
        <f ca="1">IFERROR(IF(AND(
  INDEX(Roadmap!$D:$K,MATCH($E96,Roadmap!$D:$D,0)+COUNTIF($E96:P96,"u")+COUNTIF($E96:P96,"t")+COUNTIF($E96:P96,"¶")+COUNTIF($E96:P96,"²")+COUNTIF($E96:P96,"µ")+COUNTIF($E96:P96,1),ColLivraison)=Q$6,
  VLOOKUP($E96,INDIRECT("tri!"&amp; CHAR(64+ C0Col) &amp;":"&amp; CHAR(65+C0Col)),2,FALSE)&gt;COUNTIF($E96:P96,"u")+COUNTIF($E96:P96,"t")+COUNTIF($E96:P96,"¶")+COUNTIF($E96:P96,"²")+COUNTIF($E96:P96,"µ")+COUNTIF($E96:P96,1)),
HYPERLINK("#Roadmap!C"&amp; MATCH($E96,Roadmap!$D:$D,0)+COUNTIF($E96:P96,"u")+COUNTIF($E96:P96,"t"),
     INDEX(Roadmap!$D:$K,MATCH($E96,Roadmap!$D:$D,0)+COUNTIF($E96:P96,"u")+COUNTIF($E96:P96,"t")+COUNTIF($E96:P96,"¶")+COUNTIF($E96:P96,"²")+COUNTIF($E96:P96,"µ")+COUNTIF($E96:P96,1),ColTypeEcheance)),
  IF(LEN(P96)=1,
  IF(LEN(INDEX(Roadmap!$D:$K,MATCH($E96,Roadmap!$D:$D,0)-1+COUNTIF($E96:P96,"u")+COUNTIF($E96:P96,"t")+COUNTIF($E96:P96,"¶")+COUNTIF($E96:P96,"²")+COUNTIF($E96:P96,"µ")+COUNTIF($E96:P96,1),ColDescriptionCourte))&gt;1,
HYPERLINK("#Roadmap!C"&amp; MATCH($E96,Roadmap!$D:$D,0)+COUNTIF($E96:P96,"u")+COUNTIF($E96:P96,"t")+COUNTIF($E96:P96,"¶")+COUNTIF($E96:P96,"²")+COUNTIF($E96:P96,"µ")+COUNTIF($E96:P96,1)-1,INDEX(Roadmap!$D:$K,MATCH($E96,Roadmap!$D:$D,0)-1+COUNTIF($E96:P96,"u")+COUNTIF($E96:P96,"t")+COUNTIF($E96:P96,"¶")+COUNTIF($E96:P96,"²")+COUNTIF($E96:P96,"µ")+COUNTIF($E96:P96,1),ColDescriptionCourte)),""),
  "")),"")</f>
        <v/>
      </c>
      <c r="R96" s="40" t="str">
        <f ca="1">IFERROR(IF(AND(
  INDEX(Roadmap!$D:$K,MATCH($E96,Roadmap!$D:$D,0)+COUNTIF($E96:Q96,"u")+COUNTIF($E96:Q96,"t")+COUNTIF($E96:Q96,"¶")+COUNTIF($E96:Q96,"²")+COUNTIF($E96:Q96,"µ")+COUNTIF($E96:Q96,1),ColLivraison)=R$6,
  VLOOKUP($E96,INDIRECT("tri!"&amp; CHAR(64+ C0Col) &amp;":"&amp; CHAR(65+C0Col)),2,FALSE)&gt;COUNTIF($E96:Q96,"u")+COUNTIF($E96:Q96,"t")+COUNTIF($E96:Q96,"¶")+COUNTIF($E96:Q96,"²")+COUNTIF($E96:Q96,"µ")+COUNTIF($E96:Q96,1)),
HYPERLINK("#Roadmap!C"&amp; MATCH($E96,Roadmap!$D:$D,0)+COUNTIF($E96:Q96,"u")+COUNTIF($E96:Q96,"t"),
     INDEX(Roadmap!$D:$K,MATCH($E96,Roadmap!$D:$D,0)+COUNTIF($E96:Q96,"u")+COUNTIF($E96:Q96,"t")+COUNTIF($E96:Q96,"¶")+COUNTIF($E96:Q96,"²")+COUNTIF($E96:Q96,"µ")+COUNTIF($E96:Q96,1),ColTypeEcheance)),
  IF(LEN(Q96)=1,
  IF(LEN(INDEX(Roadmap!$D:$K,MATCH($E96,Roadmap!$D:$D,0)-1+COUNTIF($E96:Q96,"u")+COUNTIF($E96:Q96,"t")+COUNTIF($E96:Q96,"¶")+COUNTIF($E96:Q96,"²")+COUNTIF($E96:Q96,"µ")+COUNTIF($E96:Q96,1),ColDescriptionCourte))&gt;1,
HYPERLINK("#Roadmap!C"&amp; MATCH($E96,Roadmap!$D:$D,0)+COUNTIF($E96:Q96,"u")+COUNTIF($E96:Q96,"t")+COUNTIF($E96:Q96,"¶")+COUNTIF($E96:Q96,"²")+COUNTIF($E96:Q96,"µ")+COUNTIF($E96:Q96,1)-1,INDEX(Roadmap!$D:$K,MATCH($E96,Roadmap!$D:$D,0)-1+COUNTIF($E96:Q96,"u")+COUNTIF($E96:Q96,"t")+COUNTIF($E96:Q96,"¶")+COUNTIF($E96:Q96,"²")+COUNTIF($E96:Q96,"µ")+COUNTIF($E96:Q96,1),ColDescriptionCourte)),""),
  "")),"")</f>
        <v/>
      </c>
      <c r="S96" s="40" t="str">
        <f ca="1">IFERROR(IF(AND(
  INDEX(Roadmap!$D:$K,MATCH($E96,Roadmap!$D:$D,0)+COUNTIF($E96:R96,"u")+COUNTIF($E96:R96,"t")+COUNTIF($E96:R96,"¶")+COUNTIF($E96:R96,"²")+COUNTIF($E96:R96,"µ")+COUNTIF($E96:R96,1),ColLivraison)=S$6,
  VLOOKUP($E96,INDIRECT("tri!"&amp; CHAR(64+ C0Col) &amp;":"&amp; CHAR(65+C0Col)),2,FALSE)&gt;COUNTIF($E96:R96,"u")+COUNTIF($E96:R96,"t")+COUNTIF($E96:R96,"¶")+COUNTIF($E96:R96,"²")+COUNTIF($E96:R96,"µ")+COUNTIF($E96:R96,1)),
HYPERLINK("#Roadmap!C"&amp; MATCH($E96,Roadmap!$D:$D,0)+COUNTIF($E96:R96,"u")+COUNTIF($E96:R96,"t"),
     INDEX(Roadmap!$D:$K,MATCH($E96,Roadmap!$D:$D,0)+COUNTIF($E96:R96,"u")+COUNTIF($E96:R96,"t")+COUNTIF($E96:R96,"¶")+COUNTIF($E96:R96,"²")+COUNTIF($E96:R96,"µ")+COUNTIF($E96:R96,1),ColTypeEcheance)),
  IF(LEN(R96)=1,
  IF(LEN(INDEX(Roadmap!$D:$K,MATCH($E96,Roadmap!$D:$D,0)-1+COUNTIF($E96:R96,"u")+COUNTIF($E96:R96,"t")+COUNTIF($E96:R96,"¶")+COUNTIF($E96:R96,"²")+COUNTIF($E96:R96,"µ")+COUNTIF($E96:R96,1),ColDescriptionCourte))&gt;1,
HYPERLINK("#Roadmap!C"&amp; MATCH($E96,Roadmap!$D:$D,0)+COUNTIF($E96:R96,"u")+COUNTIF($E96:R96,"t")+COUNTIF($E96:R96,"¶")+COUNTIF($E96:R96,"²")+COUNTIF($E96:R96,"µ")+COUNTIF($E96:R96,1)-1,INDEX(Roadmap!$D:$K,MATCH($E96,Roadmap!$D:$D,0)-1+COUNTIF($E96:R96,"u")+COUNTIF($E96:R96,"t")+COUNTIF($E96:R96,"¶")+COUNTIF($E96:R96,"²")+COUNTIF($E96:R96,"µ")+COUNTIF($E96:R96,1),ColDescriptionCourte)),""),
  "")),"")</f>
        <v/>
      </c>
      <c r="T96" s="40" t="str">
        <f ca="1">IFERROR(IF(AND(
  INDEX(Roadmap!$D:$K,MATCH($E96,Roadmap!$D:$D,0)+COUNTIF($E96:S96,"u")+COUNTIF($E96:S96,"t")+COUNTIF($E96:S96,"¶")+COUNTIF($E96:S96,"²")+COUNTIF($E96:S96,"µ")+COUNTIF($E96:S96,1),ColLivraison)=T$6,
  VLOOKUP($E96,INDIRECT("tri!"&amp; CHAR(64+ C0Col) &amp;":"&amp; CHAR(65+C0Col)),2,FALSE)&gt;COUNTIF($E96:S96,"u")+COUNTIF($E96:S96,"t")+COUNTIF($E96:S96,"¶")+COUNTIF($E96:S96,"²")+COUNTIF($E96:S96,"µ")+COUNTIF($E96:S96,1)),
HYPERLINK("#Roadmap!C"&amp; MATCH($E96,Roadmap!$D:$D,0)+COUNTIF($E96:S96,"u")+COUNTIF($E96:S96,"t"),
     INDEX(Roadmap!$D:$K,MATCH($E96,Roadmap!$D:$D,0)+COUNTIF($E96:S96,"u")+COUNTIF($E96:S96,"t")+COUNTIF($E96:S96,"¶")+COUNTIF($E96:S96,"²")+COUNTIF($E96:S96,"µ")+COUNTIF($E96:S96,1),ColTypeEcheance)),
  IF(LEN(S96)=1,
  IF(LEN(INDEX(Roadmap!$D:$K,MATCH($E96,Roadmap!$D:$D,0)-1+COUNTIF($E96:S96,"u")+COUNTIF($E96:S96,"t")+COUNTIF($E96:S96,"¶")+COUNTIF($E96:S96,"²")+COUNTIF($E96:S96,"µ")+COUNTIF($E96:S96,1),ColDescriptionCourte))&gt;1,
HYPERLINK("#Roadmap!C"&amp; MATCH($E96,Roadmap!$D:$D,0)+COUNTIF($E96:S96,"u")+COUNTIF($E96:S96,"t")+COUNTIF($E96:S96,"¶")+COUNTIF($E96:S96,"²")+COUNTIF($E96:S96,"µ")+COUNTIF($E96:S96,1)-1,INDEX(Roadmap!$D:$K,MATCH($E96,Roadmap!$D:$D,0)-1+COUNTIF($E96:S96,"u")+COUNTIF($E96:S96,"t")+COUNTIF($E96:S96,"¶")+COUNTIF($E96:S96,"²")+COUNTIF($E96:S96,"µ")+COUNTIF($E96:S96,1),ColDescriptionCourte)),""),
  "")),"")</f>
        <v/>
      </c>
      <c r="U96" s="40" t="str">
        <f ca="1">IFERROR(IF(AND(
  INDEX(Roadmap!$D:$K,MATCH($E96,Roadmap!$D:$D,0)+COUNTIF($E96:T96,"u")+COUNTIF($E96:T96,"t")+COUNTIF($E96:T96,"¶")+COUNTIF($E96:T96,"²")+COUNTIF($E96:T96,"µ")+COUNTIF($E96:T96,1),ColLivraison)=U$6,
  VLOOKUP($E96,INDIRECT("tri!"&amp; CHAR(64+ C0Col) &amp;":"&amp; CHAR(65+C0Col)),2,FALSE)&gt;COUNTIF($E96:T96,"u")+COUNTIF($E96:T96,"t")+COUNTIF($E96:T96,"¶")+COUNTIF($E96:T96,"²")+COUNTIF($E96:T96,"µ")+COUNTIF($E96:T96,1)),
HYPERLINK("#Roadmap!C"&amp; MATCH($E96,Roadmap!$D:$D,0)+COUNTIF($E96:T96,"u")+COUNTIF($E96:T96,"t"),
     INDEX(Roadmap!$D:$K,MATCH($E96,Roadmap!$D:$D,0)+COUNTIF($E96:T96,"u")+COUNTIF($E96:T96,"t")+COUNTIF($E96:T96,"¶")+COUNTIF($E96:T96,"²")+COUNTIF($E96:T96,"µ")+COUNTIF($E96:T96,1),ColTypeEcheance)),
  IF(LEN(T96)=1,
  IF(LEN(INDEX(Roadmap!$D:$K,MATCH($E96,Roadmap!$D:$D,0)-1+COUNTIF($E96:T96,"u")+COUNTIF($E96:T96,"t")+COUNTIF($E96:T96,"¶")+COUNTIF($E96:T96,"²")+COUNTIF($E96:T96,"µ")+COUNTIF($E96:T96,1),ColDescriptionCourte))&gt;1,
HYPERLINK("#Roadmap!C"&amp; MATCH($E96,Roadmap!$D:$D,0)+COUNTIF($E96:T96,"u")+COUNTIF($E96:T96,"t")+COUNTIF($E96:T96,"¶")+COUNTIF($E96:T96,"²")+COUNTIF($E96:T96,"µ")+COUNTIF($E96:T96,1)-1,INDEX(Roadmap!$D:$K,MATCH($E96,Roadmap!$D:$D,0)-1+COUNTIF($E96:T96,"u")+COUNTIF($E96:T96,"t")+COUNTIF($E96:T96,"¶")+COUNTIF($E96:T96,"²")+COUNTIF($E96:T96,"µ")+COUNTIF($E96:T96,1),ColDescriptionCourte)),""),
  "")),"")</f>
        <v/>
      </c>
      <c r="V96" s="40" t="str">
        <f ca="1">IFERROR(IF(AND(
  INDEX(Roadmap!$D:$K,MATCH($E96,Roadmap!$D:$D,0)+COUNTIF($E96:U96,"u")+COUNTIF($E96:U96,"t")+COUNTIF($E96:U96,"¶")+COUNTIF($E96:U96,"²")+COUNTIF($E96:U96,"µ")+COUNTIF($E96:U96,1),ColLivraison)=V$6,
  VLOOKUP($E96,INDIRECT("tri!"&amp; CHAR(64+ C0Col) &amp;":"&amp; CHAR(65+C0Col)),2,FALSE)&gt;COUNTIF($E96:U96,"u")+COUNTIF($E96:U96,"t")+COUNTIF($E96:U96,"¶")+COUNTIF($E96:U96,"²")+COUNTIF($E96:U96,"µ")+COUNTIF($E96:U96,1)),
HYPERLINK("#Roadmap!C"&amp; MATCH($E96,Roadmap!$D:$D,0)+COUNTIF($E96:U96,"u")+COUNTIF($E96:U96,"t"),
     INDEX(Roadmap!$D:$K,MATCH($E96,Roadmap!$D:$D,0)+COUNTIF($E96:U96,"u")+COUNTIF($E96:U96,"t")+COUNTIF($E96:U96,"¶")+COUNTIF($E96:U96,"²")+COUNTIF($E96:U96,"µ")+COUNTIF($E96:U96,1),ColTypeEcheance)),
  IF(LEN(U96)=1,
  IF(LEN(INDEX(Roadmap!$D:$K,MATCH($E96,Roadmap!$D:$D,0)-1+COUNTIF($E96:U96,"u")+COUNTIF($E96:U96,"t")+COUNTIF($E96:U96,"¶")+COUNTIF($E96:U96,"²")+COUNTIF($E96:U96,"µ")+COUNTIF($E96:U96,1),ColDescriptionCourte))&gt;1,
HYPERLINK("#Roadmap!C"&amp; MATCH($E96,Roadmap!$D:$D,0)+COUNTIF($E96:U96,"u")+COUNTIF($E96:U96,"t")+COUNTIF($E96:U96,"¶")+COUNTIF($E96:U96,"²")+COUNTIF($E96:U96,"µ")+COUNTIF($E96:U96,1)-1,INDEX(Roadmap!$D:$K,MATCH($E96,Roadmap!$D:$D,0)-1+COUNTIF($E96:U96,"u")+COUNTIF($E96:U96,"t")+COUNTIF($E96:U96,"¶")+COUNTIF($E96:U96,"²")+COUNTIF($E96:U96,"µ")+COUNTIF($E96:U96,1),ColDescriptionCourte)),""),
  "")),"")</f>
        <v/>
      </c>
      <c r="W96" s="40" t="str">
        <f ca="1">IFERROR(IF(AND(
  INDEX(Roadmap!$D:$K,MATCH($E96,Roadmap!$D:$D,0)+COUNTIF($E96:V96,"u")+COUNTIF($E96:V96,"t")+COUNTIF($E96:V96,"¶")+COUNTIF($E96:V96,"²")+COUNTIF($E96:V96,"µ")+COUNTIF($E96:V96,1),ColLivraison)=W$6,
  VLOOKUP($E96,INDIRECT("tri!"&amp; CHAR(64+ C0Col) &amp;":"&amp; CHAR(65+C0Col)),2,FALSE)&gt;COUNTIF($E96:V96,"u")+COUNTIF($E96:V96,"t")+COUNTIF($E96:V96,"¶")+COUNTIF($E96:V96,"²")+COUNTIF($E96:V96,"µ")+COUNTIF($E96:V96,1)),
HYPERLINK("#Roadmap!C"&amp; MATCH($E96,Roadmap!$D:$D,0)+COUNTIF($E96:V96,"u")+COUNTIF($E96:V96,"t"),
     INDEX(Roadmap!$D:$K,MATCH($E96,Roadmap!$D:$D,0)+COUNTIF($E96:V96,"u")+COUNTIF($E96:V96,"t")+COUNTIF($E96:V96,"¶")+COUNTIF($E96:V96,"²")+COUNTIF($E96:V96,"µ")+COUNTIF($E96:V96,1),ColTypeEcheance)),
  IF(LEN(V96)=1,
  IF(LEN(INDEX(Roadmap!$D:$K,MATCH($E96,Roadmap!$D:$D,0)-1+COUNTIF($E96:V96,"u")+COUNTIF($E96:V96,"t")+COUNTIF($E96:V96,"¶")+COUNTIF($E96:V96,"²")+COUNTIF($E96:V96,"µ")+COUNTIF($E96:V96,1),ColDescriptionCourte))&gt;1,
HYPERLINK("#Roadmap!C"&amp; MATCH($E96,Roadmap!$D:$D,0)+COUNTIF($E96:V96,"u")+COUNTIF($E96:V96,"t")+COUNTIF($E96:V96,"¶")+COUNTIF($E96:V96,"²")+COUNTIF($E96:V96,"µ")+COUNTIF($E96:V96,1)-1,INDEX(Roadmap!$D:$K,MATCH($E96,Roadmap!$D:$D,0)-1+COUNTIF($E96:V96,"u")+COUNTIF($E96:V96,"t")+COUNTIF($E96:V96,"¶")+COUNTIF($E96:V96,"²")+COUNTIF($E96:V96,"µ")+COUNTIF($E96:V96,1),ColDescriptionCourte)),""),
  "")),"")</f>
        <v/>
      </c>
      <c r="X96" s="40" t="str">
        <f ca="1">IFERROR(IF(AND(
  INDEX(Roadmap!$D:$K,MATCH($E96,Roadmap!$D:$D,0)+COUNTIF($E96:W96,"u")+COUNTIF($E96:W96,"t")+COUNTIF($E96:W96,"¶")+COUNTIF($E96:W96,"²")+COUNTIF($E96:W96,"µ")+COUNTIF($E96:W96,1),ColLivraison)=X$6,
  VLOOKUP($E96,INDIRECT("tri!"&amp; CHAR(64+ C0Col) &amp;":"&amp; CHAR(65+C0Col)),2,FALSE)&gt;COUNTIF($E96:W96,"u")+COUNTIF($E96:W96,"t")+COUNTIF($E96:W96,"¶")+COUNTIF($E96:W96,"²")+COUNTIF($E96:W96,"µ")+COUNTIF($E96:W96,1)),
HYPERLINK("#Roadmap!C"&amp; MATCH($E96,Roadmap!$D:$D,0)+COUNTIF($E96:W96,"u")+COUNTIF($E96:W96,"t"),
     INDEX(Roadmap!$D:$K,MATCH($E96,Roadmap!$D:$D,0)+COUNTIF($E96:W96,"u")+COUNTIF($E96:W96,"t")+COUNTIF($E96:W96,"¶")+COUNTIF($E96:W96,"²")+COUNTIF($E96:W96,"µ")+COUNTIF($E96:W96,1),ColTypeEcheance)),
  IF(LEN(W96)=1,
  IF(LEN(INDEX(Roadmap!$D:$K,MATCH($E96,Roadmap!$D:$D,0)-1+COUNTIF($E96:W96,"u")+COUNTIF($E96:W96,"t")+COUNTIF($E96:W96,"¶")+COUNTIF($E96:W96,"²")+COUNTIF($E96:W96,"µ")+COUNTIF($E96:W96,1),ColDescriptionCourte))&gt;1,
HYPERLINK("#Roadmap!C"&amp; MATCH($E96,Roadmap!$D:$D,0)+COUNTIF($E96:W96,"u")+COUNTIF($E96:W96,"t")+COUNTIF($E96:W96,"¶")+COUNTIF($E96:W96,"²")+COUNTIF($E96:W96,"µ")+COUNTIF($E96:W96,1)-1,INDEX(Roadmap!$D:$K,MATCH($E96,Roadmap!$D:$D,0)-1+COUNTIF($E96:W96,"u")+COUNTIF($E96:W96,"t")+COUNTIF($E96:W96,"¶")+COUNTIF($E96:W96,"²")+COUNTIF($E96:W96,"µ")+COUNTIF($E96:W96,1),ColDescriptionCourte)),""),
  "")),"")</f>
        <v/>
      </c>
      <c r="Y96" s="40" t="str">
        <f ca="1">IFERROR(IF(AND(
  INDEX(Roadmap!$D:$K,MATCH($E96,Roadmap!$D:$D,0)+COUNTIF($E96:X96,"u")+COUNTIF($E96:X96,"t")+COUNTIF($E96:X96,"¶")+COUNTIF($E96:X96,"²")+COUNTIF($E96:X96,"µ")+COUNTIF($E96:X96,1),ColLivraison)=Y$6,
  VLOOKUP($E96,INDIRECT("tri!"&amp; CHAR(64+ C0Col) &amp;":"&amp; CHAR(65+C0Col)),2,FALSE)&gt;COUNTIF($E96:X96,"u")+COUNTIF($E96:X96,"t")+COUNTIF($E96:X96,"¶")+COUNTIF($E96:X96,"²")+COUNTIF($E96:X96,"µ")+COUNTIF($E96:X96,1)),
HYPERLINK("#Roadmap!C"&amp; MATCH($E96,Roadmap!$D:$D,0)+COUNTIF($E96:X96,"u")+COUNTIF($E96:X96,"t"),
     INDEX(Roadmap!$D:$K,MATCH($E96,Roadmap!$D:$D,0)+COUNTIF($E96:X96,"u")+COUNTIF($E96:X96,"t")+COUNTIF($E96:X96,"¶")+COUNTIF($E96:X96,"²")+COUNTIF($E96:X96,"µ")+COUNTIF($E96:X96,1),ColTypeEcheance)),
  IF(LEN(X96)=1,
  IF(LEN(INDEX(Roadmap!$D:$K,MATCH($E96,Roadmap!$D:$D,0)-1+COUNTIF($E96:X96,"u")+COUNTIF($E96:X96,"t")+COUNTIF($E96:X96,"¶")+COUNTIF($E96:X96,"²")+COUNTIF($E96:X96,"µ")+COUNTIF($E96:X96,1),ColDescriptionCourte))&gt;1,
HYPERLINK("#Roadmap!C"&amp; MATCH($E96,Roadmap!$D:$D,0)+COUNTIF($E96:X96,"u")+COUNTIF($E96:X96,"t")+COUNTIF($E96:X96,"¶")+COUNTIF($E96:X96,"²")+COUNTIF($E96:X96,"µ")+COUNTIF($E96:X96,1)-1,INDEX(Roadmap!$D:$K,MATCH($E96,Roadmap!$D:$D,0)-1+COUNTIF($E96:X96,"u")+COUNTIF($E96:X96,"t")+COUNTIF($E96:X96,"¶")+COUNTIF($E96:X96,"²")+COUNTIF($E96:X96,"µ")+COUNTIF($E96:X96,1),ColDescriptionCourte)),""),
  "")),"")</f>
        <v/>
      </c>
      <c r="Z96" s="40" t="str">
        <f ca="1">IFERROR(IF(AND(
  INDEX(Roadmap!$D:$K,MATCH($E96,Roadmap!$D:$D,0)+COUNTIF($E96:Y96,"u")+COUNTIF($E96:Y96,"t")+COUNTIF($E96:Y96,"¶")+COUNTIF($E96:Y96,"²")+COUNTIF($E96:Y96,"µ")+COUNTIF($E96:Y96,1),ColLivraison)=Z$6,
  VLOOKUP($E96,INDIRECT("tri!"&amp; CHAR(64+ C0Col) &amp;":"&amp; CHAR(65+C0Col)),2,FALSE)&gt;COUNTIF($E96:Y96,"u")+COUNTIF($E96:Y96,"t")+COUNTIF($E96:Y96,"¶")+COUNTIF($E96:Y96,"²")+COUNTIF($E96:Y96,"µ")+COUNTIF($E96:Y96,1)),
HYPERLINK("#Roadmap!C"&amp; MATCH($E96,Roadmap!$D:$D,0)+COUNTIF($E96:Y96,"u")+COUNTIF($E96:Y96,"t"),
     INDEX(Roadmap!$D:$K,MATCH($E96,Roadmap!$D:$D,0)+COUNTIF($E96:Y96,"u")+COUNTIF($E96:Y96,"t")+COUNTIF($E96:Y96,"¶")+COUNTIF($E96:Y96,"²")+COUNTIF($E96:Y96,"µ")+COUNTIF($E96:Y96,1),ColTypeEcheance)),
  IF(LEN(Y96)=1,
  IF(LEN(INDEX(Roadmap!$D:$K,MATCH($E96,Roadmap!$D:$D,0)-1+COUNTIF($E96:Y96,"u")+COUNTIF($E96:Y96,"t")+COUNTIF($E96:Y96,"¶")+COUNTIF($E96:Y96,"²")+COUNTIF($E96:Y96,"µ")+COUNTIF($E96:Y96,1),ColDescriptionCourte))&gt;1,
HYPERLINK("#Roadmap!C"&amp; MATCH($E96,Roadmap!$D:$D,0)+COUNTIF($E96:Y96,"u")+COUNTIF($E96:Y96,"t")+COUNTIF($E96:Y96,"¶")+COUNTIF($E96:Y96,"²")+COUNTIF($E96:Y96,"µ")+COUNTIF($E96:Y96,1)-1,INDEX(Roadmap!$D:$K,MATCH($E96,Roadmap!$D:$D,0)-1+COUNTIF($E96:Y96,"u")+COUNTIF($E96:Y96,"t")+COUNTIF($E96:Y96,"¶")+COUNTIF($E96:Y96,"²")+COUNTIF($E96:Y96,"µ")+COUNTIF($E96:Y96,1),ColDescriptionCourte)),""),
  "")),"")</f>
        <v/>
      </c>
      <c r="AA96" s="40" t="str">
        <f ca="1">IFERROR(IF(AND(
  INDEX(Roadmap!$D:$K,MATCH($E96,Roadmap!$D:$D,0)+COUNTIF($E96:Z96,"u")+COUNTIF($E96:Z96,"t")+COUNTIF($E96:Z96,"¶")+COUNTIF($E96:Z96,"²")+COUNTIF($E96:Z96,"µ")+COUNTIF($E96:Z96,1),ColLivraison)=AA$6,
  VLOOKUP($E96,INDIRECT("tri!"&amp; CHAR(64+ C0Col) &amp;":"&amp; CHAR(65+C0Col)),2,FALSE)&gt;COUNTIF($E96:Z96,"u")+COUNTIF($E96:Z96,"t")+COUNTIF($E96:Z96,"¶")+COUNTIF($E96:Z96,"²")+COUNTIF($E96:Z96,"µ")+COUNTIF($E96:Z96,1)),
HYPERLINK("#Roadmap!C"&amp; MATCH($E96,Roadmap!$D:$D,0)+COUNTIF($E96:Z96,"u")+COUNTIF($E96:Z96,"t"),
     INDEX(Roadmap!$D:$K,MATCH($E96,Roadmap!$D:$D,0)+COUNTIF($E96:Z96,"u")+COUNTIF($E96:Z96,"t")+COUNTIF($E96:Z96,"¶")+COUNTIF($E96:Z96,"²")+COUNTIF($E96:Z96,"µ")+COUNTIF($E96:Z96,1),ColTypeEcheance)),
  IF(LEN(Z96)=1,
  IF(LEN(INDEX(Roadmap!$D:$K,MATCH($E96,Roadmap!$D:$D,0)-1+COUNTIF($E96:Z96,"u")+COUNTIF($E96:Z96,"t")+COUNTIF($E96:Z96,"¶")+COUNTIF($E96:Z96,"²")+COUNTIF($E96:Z96,"µ")+COUNTIF($E96:Z96,1),ColDescriptionCourte))&gt;1,
HYPERLINK("#Roadmap!C"&amp; MATCH($E96,Roadmap!$D:$D,0)+COUNTIF($E96:Z96,"u")+COUNTIF($E96:Z96,"t")+COUNTIF($E96:Z96,"¶")+COUNTIF($E96:Z96,"²")+COUNTIF($E96:Z96,"µ")+COUNTIF($E96:Z96,1)-1,INDEX(Roadmap!$D:$K,MATCH($E96,Roadmap!$D:$D,0)-1+COUNTIF($E96:Z96,"u")+COUNTIF($E96:Z96,"t")+COUNTIF($E96:Z96,"¶")+COUNTIF($E96:Z96,"²")+COUNTIF($E96:Z96,"µ")+COUNTIF($E96:Z96,1),ColDescriptionCourte)),""),
  "")),"")</f>
        <v/>
      </c>
      <c r="AB96" s="40" t="str">
        <f ca="1">IFERROR(IF(AND(
  INDEX(Roadmap!$D:$K,MATCH($E96,Roadmap!$D:$D,0)+COUNTIF($E96:AA96,"u")+COUNTIF($E96:AA96,"t")+COUNTIF($E96:AA96,"¶")+COUNTIF($E96:AA96,"²")+COUNTIF($E96:AA96,"µ")+COUNTIF($E96:AA96,1),ColLivraison)=AB$6,
  VLOOKUP($E96,INDIRECT("tri!"&amp; CHAR(64+ C0Col) &amp;":"&amp; CHAR(65+C0Col)),2,FALSE)&gt;COUNTIF($E96:AA96,"u")+COUNTIF($E96:AA96,"t")+COUNTIF($E96:AA96,"¶")+COUNTIF($E96:AA96,"²")+COUNTIF($E96:AA96,"µ")+COUNTIF($E96:AA96,1)),
HYPERLINK("#Roadmap!C"&amp; MATCH($E96,Roadmap!$D:$D,0)+COUNTIF($E96:AA96,"u")+COUNTIF($E96:AA96,"t"),
     INDEX(Roadmap!$D:$K,MATCH($E96,Roadmap!$D:$D,0)+COUNTIF($E96:AA96,"u")+COUNTIF($E96:AA96,"t")+COUNTIF($E96:AA96,"¶")+COUNTIF($E96:AA96,"²")+COUNTIF($E96:AA96,"µ")+COUNTIF($E96:AA96,1),ColTypeEcheance)),
  IF(LEN(AA96)=1,
  IF(LEN(INDEX(Roadmap!$D:$K,MATCH($E96,Roadmap!$D:$D,0)-1+COUNTIF($E96:AA96,"u")+COUNTIF($E96:AA96,"t")+COUNTIF($E96:AA96,"¶")+COUNTIF($E96:AA96,"²")+COUNTIF($E96:AA96,"µ")+COUNTIF($E96:AA96,1),ColDescriptionCourte))&gt;1,
HYPERLINK("#Roadmap!C"&amp; MATCH($E96,Roadmap!$D:$D,0)+COUNTIF($E96:AA96,"u")+COUNTIF($E96:AA96,"t")+COUNTIF($E96:AA96,"¶")+COUNTIF($E96:AA96,"²")+COUNTIF($E96:AA96,"µ")+COUNTIF($E96:AA96,1)-1,INDEX(Roadmap!$D:$K,MATCH($E96,Roadmap!$D:$D,0)-1+COUNTIF($E96:AA96,"u")+COUNTIF($E96:AA96,"t")+COUNTIF($E96:AA96,"¶")+COUNTIF($E96:AA96,"²")+COUNTIF($E96:AA96,"µ")+COUNTIF($E96:AA96,1),ColDescriptionCourte)),""),
  "")),"")</f>
        <v/>
      </c>
      <c r="AC96" s="40" t="str">
        <f ca="1">IFERROR(IF(AND(
  INDEX(Roadmap!$D:$K,MATCH($E96,Roadmap!$D:$D,0)+COUNTIF($E96:AB96,"u")+COUNTIF($E96:AB96,"t")+COUNTIF($E96:AB96,"¶")+COUNTIF($E96:AB96,"²")+COUNTIF($E96:AB96,"µ")+COUNTIF($E96:AB96,1),ColLivraison)=AC$6,
  VLOOKUP($E96,INDIRECT("tri!"&amp; CHAR(64+ C0Col) &amp;":"&amp; CHAR(65+C0Col)),2,FALSE)&gt;COUNTIF($E96:AB96,"u")+COUNTIF($E96:AB96,"t")+COUNTIF($E96:AB96,"¶")+COUNTIF($E96:AB96,"²")+COUNTIF($E96:AB96,"µ")+COUNTIF($E96:AB96,1)),
HYPERLINK("#Roadmap!C"&amp; MATCH($E96,Roadmap!$D:$D,0)+COUNTIF($E96:AB96,"u")+COUNTIF($E96:AB96,"t"),
     INDEX(Roadmap!$D:$K,MATCH($E96,Roadmap!$D:$D,0)+COUNTIF($E96:AB96,"u")+COUNTIF($E96:AB96,"t")+COUNTIF($E96:AB96,"¶")+COUNTIF($E96:AB96,"²")+COUNTIF($E96:AB96,"µ")+COUNTIF($E96:AB96,1),ColTypeEcheance)),
  IF(LEN(AB96)=1,
  IF(LEN(INDEX(Roadmap!$D:$K,MATCH($E96,Roadmap!$D:$D,0)-1+COUNTIF($E96:AB96,"u")+COUNTIF($E96:AB96,"t")+COUNTIF($E96:AB96,"¶")+COUNTIF($E96:AB96,"²")+COUNTIF($E96:AB96,"µ")+COUNTIF($E96:AB96,1),ColDescriptionCourte))&gt;1,
HYPERLINK("#Roadmap!C"&amp; MATCH($E96,Roadmap!$D:$D,0)+COUNTIF($E96:AB96,"u")+COUNTIF($E96:AB96,"t")+COUNTIF($E96:AB96,"¶")+COUNTIF($E96:AB96,"²")+COUNTIF($E96:AB96,"µ")+COUNTIF($E96:AB96,1)-1,INDEX(Roadmap!$D:$K,MATCH($E96,Roadmap!$D:$D,0)-1+COUNTIF($E96:AB96,"u")+COUNTIF($E96:AB96,"t")+COUNTIF($E96:AB96,"¶")+COUNTIF($E96:AB96,"²")+COUNTIF($E96:AB96,"µ")+COUNTIF($E96:AB96,1),ColDescriptionCourte)),""),
  "")),"")</f>
        <v/>
      </c>
      <c r="AD96" s="40" t="str">
        <f ca="1">IFERROR(IF(AND(
  INDEX(Roadmap!$D:$K,MATCH($E96,Roadmap!$D:$D,0)+COUNTIF($E96:AC96,"u")+COUNTIF($E96:AC96,"t")+COUNTIF($E96:AC96,"¶")+COUNTIF($E96:AC96,"²")+COUNTIF($E96:AC96,"µ")+COUNTIF($E96:AC96,1),ColLivraison)=AD$6,
  VLOOKUP($E96,INDIRECT("tri!"&amp; CHAR(64+ C0Col) &amp;":"&amp; CHAR(65+C0Col)),2,FALSE)&gt;COUNTIF($E96:AC96,"u")+COUNTIF($E96:AC96,"t")+COUNTIF($E96:AC96,"¶")+COUNTIF($E96:AC96,"²")+COUNTIF($E96:AC96,"µ")+COUNTIF($E96:AC96,1)),
HYPERLINK("#Roadmap!C"&amp; MATCH($E96,Roadmap!$D:$D,0)+COUNTIF($E96:AC96,"u")+COUNTIF($E96:AC96,"t"),
     INDEX(Roadmap!$D:$K,MATCH($E96,Roadmap!$D:$D,0)+COUNTIF($E96:AC96,"u")+COUNTIF($E96:AC96,"t")+COUNTIF($E96:AC96,"¶")+COUNTIF($E96:AC96,"²")+COUNTIF($E96:AC96,"µ")+COUNTIF($E96:AC96,1),ColTypeEcheance)),
  IF(LEN(AC96)=1,
  IF(LEN(INDEX(Roadmap!$D:$K,MATCH($E96,Roadmap!$D:$D,0)-1+COUNTIF($E96:AC96,"u")+COUNTIF($E96:AC96,"t")+COUNTIF($E96:AC96,"¶")+COUNTIF($E96:AC96,"²")+COUNTIF($E96:AC96,"µ")+COUNTIF($E96:AC96,1),ColDescriptionCourte))&gt;1,
HYPERLINK("#Roadmap!C"&amp; MATCH($E96,Roadmap!$D:$D,0)+COUNTIF($E96:AC96,"u")+COUNTIF($E96:AC96,"t")+COUNTIF($E96:AC96,"¶")+COUNTIF($E96:AC96,"²")+COUNTIF($E96:AC96,"µ")+COUNTIF($E96:AC96,1)-1,INDEX(Roadmap!$D:$K,MATCH($E96,Roadmap!$D:$D,0)-1+COUNTIF($E96:AC96,"u")+COUNTIF($E96:AC96,"t")+COUNTIF($E96:AC96,"¶")+COUNTIF($E96:AC96,"²")+COUNTIF($E96:AC96,"µ")+COUNTIF($E96:AC96,1),ColDescriptionCourte)),""),
  "")),"")</f>
        <v/>
      </c>
      <c r="AE96" s="40" t="str">
        <f ca="1">IFERROR(IF(AND(
  INDEX(Roadmap!$D:$K,MATCH($E96,Roadmap!$D:$D,0)+COUNTIF($E96:AD96,"u")+COUNTIF($E96:AD96,"t")+COUNTIF($E96:AD96,"¶")+COUNTIF($E96:AD96,"²")+COUNTIF($E96:AD96,"µ")+COUNTIF($E96:AD96,1),ColLivraison)=AE$6,
  VLOOKUP($E96,INDIRECT("tri!"&amp; CHAR(64+ C0Col) &amp;":"&amp; CHAR(65+C0Col)),2,FALSE)&gt;COUNTIF($E96:AD96,"u")+COUNTIF($E96:AD96,"t")+COUNTIF($E96:AD96,"¶")+COUNTIF($E96:AD96,"²")+COUNTIF($E96:AD96,"µ")+COUNTIF($E96:AD96,1)),
HYPERLINK("#Roadmap!C"&amp; MATCH($E96,Roadmap!$D:$D,0)+COUNTIF($E96:AD96,"u")+COUNTIF($E96:AD96,"t"),
     INDEX(Roadmap!$D:$K,MATCH($E96,Roadmap!$D:$D,0)+COUNTIF($E96:AD96,"u")+COUNTIF($E96:AD96,"t")+COUNTIF($E96:AD96,"¶")+COUNTIF($E96:AD96,"²")+COUNTIF($E96:AD96,"µ")+COUNTIF($E96:AD96,1),ColTypeEcheance)),
  IF(LEN(AD96)=1,
  IF(LEN(INDEX(Roadmap!$D:$K,MATCH($E96,Roadmap!$D:$D,0)-1+COUNTIF($E96:AD96,"u")+COUNTIF($E96:AD96,"t")+COUNTIF($E96:AD96,"¶")+COUNTIF($E96:AD96,"²")+COUNTIF($E96:AD96,"µ")+COUNTIF($E96:AD96,1),ColDescriptionCourte))&gt;1,
HYPERLINK("#Roadmap!C"&amp; MATCH($E96,Roadmap!$D:$D,0)+COUNTIF($E96:AD96,"u")+COUNTIF($E96:AD96,"t")+COUNTIF($E96:AD96,"¶")+COUNTIF($E96:AD96,"²")+COUNTIF($E96:AD96,"µ")+COUNTIF($E96:AD96,1)-1,INDEX(Roadmap!$D:$K,MATCH($E96,Roadmap!$D:$D,0)-1+COUNTIF($E96:AD96,"u")+COUNTIF($E96:AD96,"t")+COUNTIF($E96:AD96,"¶")+COUNTIF($E96:AD96,"²")+COUNTIF($E96:AD96,"µ")+COUNTIF($E96:AD96,1),ColDescriptionCourte)),""),
  "")),"")</f>
        <v/>
      </c>
      <c r="AF96" s="40" t="str">
        <f ca="1">IFERROR(IF(AND(
  INDEX(Roadmap!$D:$K,MATCH($E96,Roadmap!$D:$D,0)+COUNTIF($E96:AE96,"u")+COUNTIF($E96:AE96,"t")+COUNTIF($E96:AE96,"¶")+COUNTIF($E96:AE96,"²")+COUNTIF($E96:AE96,"µ")+COUNTIF($E96:AE96,1),ColLivraison)=AF$6,
  VLOOKUP($E96,INDIRECT("tri!"&amp; CHAR(64+ C0Col) &amp;":"&amp; CHAR(65+C0Col)),2,FALSE)&gt;COUNTIF($E96:AE96,"u")+COUNTIF($E96:AE96,"t")+COUNTIF($E96:AE96,"¶")+COUNTIF($E96:AE96,"²")+COUNTIF($E96:AE96,"µ")+COUNTIF($E96:AE96,1)),
HYPERLINK("#Roadmap!C"&amp; MATCH($E96,Roadmap!$D:$D,0)+COUNTIF($E96:AE96,"u")+COUNTIF($E96:AE96,"t"),
     INDEX(Roadmap!$D:$K,MATCH($E96,Roadmap!$D:$D,0)+COUNTIF($E96:AE96,"u")+COUNTIF($E96:AE96,"t")+COUNTIF($E96:AE96,"¶")+COUNTIF($E96:AE96,"²")+COUNTIF($E96:AE96,"µ")+COUNTIF($E96:AE96,1),ColTypeEcheance)),
  IF(LEN(AE96)=1,
  IF(LEN(INDEX(Roadmap!$D:$K,MATCH($E96,Roadmap!$D:$D,0)-1+COUNTIF($E96:AE96,"u")+COUNTIF($E96:AE96,"t")+COUNTIF($E96:AE96,"¶")+COUNTIF($E96:AE96,"²")+COUNTIF($E96:AE96,"µ")+COUNTIF($E96:AE96,1),ColDescriptionCourte))&gt;1,
HYPERLINK("#Roadmap!C"&amp; MATCH($E96,Roadmap!$D:$D,0)+COUNTIF($E96:AE96,"u")+COUNTIF($E96:AE96,"t")+COUNTIF($E96:AE96,"¶")+COUNTIF($E96:AE96,"²")+COUNTIF($E96:AE96,"µ")+COUNTIF($E96:AE96,1)-1,INDEX(Roadmap!$D:$K,MATCH($E96,Roadmap!$D:$D,0)-1+COUNTIF($E96:AE96,"u")+COUNTIF($E96:AE96,"t")+COUNTIF($E96:AE96,"¶")+COUNTIF($E96:AE96,"²")+COUNTIF($E96:AE96,"µ")+COUNTIF($E96:AE96,1),ColDescriptionCourte)),""),
  "")),"")</f>
        <v/>
      </c>
      <c r="AG96" s="40" t="str">
        <f ca="1">IFERROR(IF(AND(
  INDEX(Roadmap!$D:$K,MATCH($E96,Roadmap!$D:$D,0)+COUNTIF($E96:AF96,"u")+COUNTIF($E96:AF96,"t")+COUNTIF($E96:AF96,"¶")+COUNTIF($E96:AF96,"²")+COUNTIF($E96:AF96,"µ")+COUNTIF($E96:AF96,1),ColLivraison)=AG$6,
  VLOOKUP($E96,INDIRECT("tri!"&amp; CHAR(64+ C0Col) &amp;":"&amp; CHAR(65+C0Col)),2,FALSE)&gt;COUNTIF($E96:AF96,"u")+COUNTIF($E96:AF96,"t")+COUNTIF($E96:AF96,"¶")+COUNTIF($E96:AF96,"²")+COUNTIF($E96:AF96,"µ")+COUNTIF($E96:AF96,1)),
HYPERLINK("#Roadmap!C"&amp; MATCH($E96,Roadmap!$D:$D,0)+COUNTIF($E96:AF96,"u")+COUNTIF($E96:AF96,"t"),
     INDEX(Roadmap!$D:$K,MATCH($E96,Roadmap!$D:$D,0)+COUNTIF($E96:AF96,"u")+COUNTIF($E96:AF96,"t")+COUNTIF($E96:AF96,"¶")+COUNTIF($E96:AF96,"²")+COUNTIF($E96:AF96,"µ")+COUNTIF($E96:AF96,1),ColTypeEcheance)),
  IF(LEN(AF96)=1,
  IF(LEN(INDEX(Roadmap!$D:$K,MATCH($E96,Roadmap!$D:$D,0)-1+COUNTIF($E96:AF96,"u")+COUNTIF($E96:AF96,"t")+COUNTIF($E96:AF96,"¶")+COUNTIF($E96:AF96,"²")+COUNTIF($E96:AF96,"µ")+COUNTIF($E96:AF96,1),ColDescriptionCourte))&gt;1,
HYPERLINK("#Roadmap!C"&amp; MATCH($E96,Roadmap!$D:$D,0)+COUNTIF($E96:AF96,"u")+COUNTIF($E96:AF96,"t")+COUNTIF($E96:AF96,"¶")+COUNTIF($E96:AF96,"²")+COUNTIF($E96:AF96,"µ")+COUNTIF($E96:AF96,1)-1,INDEX(Roadmap!$D:$K,MATCH($E96,Roadmap!$D:$D,0)-1+COUNTIF($E96:AF96,"u")+COUNTIF($E96:AF96,"t")+COUNTIF($E96:AF96,"¶")+COUNTIF($E96:AF96,"²")+COUNTIF($E96:AF96,"µ")+COUNTIF($E96:AF96,1),ColDescriptionCourte)),""),
  "")),"")</f>
        <v/>
      </c>
    </row>
    <row r="97" spans="3:33" ht="14.25" customHeight="1">
      <c r="C97" s="1" t="str">
        <f t="shared" ca="1" si="47"/>
        <v/>
      </c>
      <c r="D97" s="1" t="str">
        <f t="shared" ca="1" si="48"/>
        <v/>
      </c>
      <c r="E97" s="35" t="str">
        <f t="shared" ca="1" si="46"/>
        <v/>
      </c>
      <c r="F97" s="39" t="str">
        <f ca="1">IFERROR(IF(AND(
  INDEX(Roadmap!$D:$K,MATCH($E97,Roadmap!$D:$D,0)+COUNTIF($E97:E97,"u")+COUNTIF($E97:E97,"t")+COUNTIF($E97:E97,"¶")+COUNTIF($E97:E97,"²")+COUNTIF($E97:E97,"µ")+COUNTIF($E97:E97,1),ColLivraison)=F$6,
  VLOOKUP($E97,INDIRECT("tri!"&amp; CHAR(64+ C0Col) &amp;":"&amp; CHAR(65+C0Col)),2,FALSE)&gt;COUNTIF($E97:E97,"u")+COUNTIF($E97:E97,"t")+COUNTIF($E97:E97,"¶")+COUNTIF($E97:E97,"²")+COUNTIF($E97:E97,"µ")+COUNTIF($E97:E97,1)),
HYPERLINK("#Roadmap!C"&amp; MATCH($E97,Roadmap!$D:$D,0)+COUNTIF($E97:E97,"u")+COUNTIF($E97:E97,"t"),
     INDEX(Roadmap!$D:$K,MATCH($E97,Roadmap!$D:$D,0)+COUNTIF($E97:E97,"u")+COUNTIF($E97:E97,"t")+COUNTIF($E97:E97,"¶")+COUNTIF($E97:E97,"²")+COUNTIF($E97:E97,"µ")+COUNTIF($E97:E97,1),ColTypeEcheance)),
  IF(LEN(E97)=1,
  IF(LEN(INDEX(Roadmap!$D:$K,MATCH($E97,Roadmap!$D:$D,0)-1+COUNTIF($E97:E97,"u")+COUNTIF($E97:E97,"t")+COUNTIF($E97:E97,"¶")+COUNTIF($E97:E97,"²")+COUNTIF($E97:E97,"µ")+COUNTIF($E97:E97,1),ColDescriptionCourte))&gt;1,
HYPERLINK("#Roadmap!C"&amp; MATCH($E97,Roadmap!$D:$D,0)+COUNTIF($E97:E97,"u")+COUNTIF($E97:E97,"t")+COUNTIF($E97:E97,"¶")+COUNTIF($E97:E97,"²")+COUNTIF($E97:E97,"µ")+COUNTIF($E97:E97,1)-1,INDEX(Roadmap!$D:$K,MATCH($E97,Roadmap!$D:$D,0)-1+COUNTIF($E97:E97,"u")+COUNTIF($E97:E97,"t")+COUNTIF($E97:E97,"¶")+COUNTIF($E97:E97,"²")+COUNTIF($E97:E97,"µ")+COUNTIF($E97:E97,1),ColDescriptionCourte)),""),
  "")),"")</f>
        <v/>
      </c>
      <c r="G97" s="40" t="str">
        <f ca="1">IFERROR(IF(AND(
  INDEX(Roadmap!$D:$K,MATCH($E97,Roadmap!$D:$D,0)+COUNTIF($E97:F97,"u")+COUNTIF($E97:F97,"t")+COUNTIF($E97:F97,"¶")+COUNTIF($E97:F97,"²")+COUNTIF($E97:F97,"µ")+COUNTIF($E97:F97,1),ColLivraison)=G$6,
  VLOOKUP($E97,INDIRECT("tri!"&amp; CHAR(64+ C0Col) &amp;":"&amp; CHAR(65+C0Col)),2,FALSE)&gt;COUNTIF($E97:F97,"u")+COUNTIF($E97:F97,"t")+COUNTIF($E97:F97,"¶")+COUNTIF($E97:F97,"²")+COUNTIF($E97:F97,"µ")+COUNTIF($E97:F97,1)),
HYPERLINK("#Roadmap!C"&amp; MATCH($E97,Roadmap!$D:$D,0)+COUNTIF($E97:F97,"u")+COUNTIF($E97:F97,"t"),
     INDEX(Roadmap!$D:$K,MATCH($E97,Roadmap!$D:$D,0)+COUNTIF($E97:F97,"u")+COUNTIF($E97:F97,"t")+COUNTIF($E97:F97,"¶")+COUNTIF($E97:F97,"²")+COUNTIF($E97:F97,"µ")+COUNTIF($E97:F97,1),ColTypeEcheance)),
  IF(LEN(F97)=1,
  IF(LEN(INDEX(Roadmap!$D:$K,MATCH($E97,Roadmap!$D:$D,0)-1+COUNTIF($E97:F97,"u")+COUNTIF($E97:F97,"t")+COUNTIF($E97:F97,"¶")+COUNTIF($E97:F97,"²")+COUNTIF($E97:F97,"µ")+COUNTIF($E97:F97,1),ColDescriptionCourte))&gt;1,
HYPERLINK("#Roadmap!C"&amp; MATCH($E97,Roadmap!$D:$D,0)+COUNTIF($E97:F97,"u")+COUNTIF($E97:F97,"t")+COUNTIF($E97:F97,"¶")+COUNTIF($E97:F97,"²")+COUNTIF($E97:F97,"µ")+COUNTIF($E97:F97,1)-1,INDEX(Roadmap!$D:$K,MATCH($E97,Roadmap!$D:$D,0)-1+COUNTIF($E97:F97,"u")+COUNTIF($E97:F97,"t")+COUNTIF($E97:F97,"¶")+COUNTIF($E97:F97,"²")+COUNTIF($E97:F97,"µ")+COUNTIF($E97:F97,1),ColDescriptionCourte)),""),
  "")),"")</f>
        <v/>
      </c>
      <c r="H97" s="40" t="str">
        <f ca="1">IFERROR(IF(AND(
  INDEX(Roadmap!$D:$K,MATCH($E97,Roadmap!$D:$D,0)+COUNTIF($E97:G97,"u")+COUNTIF($E97:G97,"t")+COUNTIF($E97:G97,"¶")+COUNTIF($E97:G97,"²")+COUNTIF($E97:G97,"µ")+COUNTIF($E97:G97,1),ColLivraison)=H$6,
  VLOOKUP($E97,INDIRECT("tri!"&amp; CHAR(64+ C0Col) &amp;":"&amp; CHAR(65+C0Col)),2,FALSE)&gt;COUNTIF($E97:G97,"u")+COUNTIF($E97:G97,"t")+COUNTIF($E97:G97,"¶")+COUNTIF($E97:G97,"²")+COUNTIF($E97:G97,"µ")+COUNTIF($E97:G97,1)),
HYPERLINK("#Roadmap!C"&amp; MATCH($E97,Roadmap!$D:$D,0)+COUNTIF($E97:G97,"u")+COUNTIF($E97:G97,"t"),
     INDEX(Roadmap!$D:$K,MATCH($E97,Roadmap!$D:$D,0)+COUNTIF($E97:G97,"u")+COUNTIF($E97:G97,"t")+COUNTIF($E97:G97,"¶")+COUNTIF($E97:G97,"²")+COUNTIF($E97:G97,"µ")+COUNTIF($E97:G97,1),ColTypeEcheance)),
  IF(LEN(G97)=1,
  IF(LEN(INDEX(Roadmap!$D:$K,MATCH($E97,Roadmap!$D:$D,0)-1+COUNTIF($E97:G97,"u")+COUNTIF($E97:G97,"t")+COUNTIF($E97:G97,"¶")+COUNTIF($E97:G97,"²")+COUNTIF($E97:G97,"µ")+COUNTIF($E97:G97,1),ColDescriptionCourte))&gt;1,
HYPERLINK("#Roadmap!C"&amp; MATCH($E97,Roadmap!$D:$D,0)+COUNTIF($E97:G97,"u")+COUNTIF($E97:G97,"t")+COUNTIF($E97:G97,"¶")+COUNTIF($E97:G97,"²")+COUNTIF($E97:G97,"µ")+COUNTIF($E97:G97,1)-1,INDEX(Roadmap!$D:$K,MATCH($E97,Roadmap!$D:$D,0)-1+COUNTIF($E97:G97,"u")+COUNTIF($E97:G97,"t")+COUNTIF($E97:G97,"¶")+COUNTIF($E97:G97,"²")+COUNTIF($E97:G97,"µ")+COUNTIF($E97:G97,1),ColDescriptionCourte)),""),
  "")),"")</f>
        <v/>
      </c>
      <c r="I97" s="40" t="str">
        <f ca="1">IFERROR(IF(AND(
  INDEX(Roadmap!$D:$K,MATCH($E97,Roadmap!$D:$D,0)+COUNTIF($E97:H97,"u")+COUNTIF($E97:H97,"t")+COUNTIF($E97:H97,"¶")+COUNTIF($E97:H97,"²")+COUNTIF($E97:H97,"µ")+COUNTIF($E97:H97,1),ColLivraison)=I$6,
  VLOOKUP($E97,INDIRECT("tri!"&amp; CHAR(64+ C0Col) &amp;":"&amp; CHAR(65+C0Col)),2,FALSE)&gt;COUNTIF($E97:H97,"u")+COUNTIF($E97:H97,"t")+COUNTIF($E97:H97,"¶")+COUNTIF($E97:H97,"²")+COUNTIF($E97:H97,"µ")+COUNTIF($E97:H97,1)),
HYPERLINK("#Roadmap!C"&amp; MATCH($E97,Roadmap!$D:$D,0)+COUNTIF($E97:H97,"u")+COUNTIF($E97:H97,"t"),
     INDEX(Roadmap!$D:$K,MATCH($E97,Roadmap!$D:$D,0)+COUNTIF($E97:H97,"u")+COUNTIF($E97:H97,"t")+COUNTIF($E97:H97,"¶")+COUNTIF($E97:H97,"²")+COUNTIF($E97:H97,"µ")+COUNTIF($E97:H97,1),ColTypeEcheance)),
  IF(LEN(H97)=1,
  IF(LEN(INDEX(Roadmap!$D:$K,MATCH($E97,Roadmap!$D:$D,0)-1+COUNTIF($E97:H97,"u")+COUNTIF($E97:H97,"t")+COUNTIF($E97:H97,"¶")+COUNTIF($E97:H97,"²")+COUNTIF($E97:H97,"µ")+COUNTIF($E97:H97,1),ColDescriptionCourte))&gt;1,
HYPERLINK("#Roadmap!C"&amp; MATCH($E97,Roadmap!$D:$D,0)+COUNTIF($E97:H97,"u")+COUNTIF($E97:H97,"t")+COUNTIF($E97:H97,"¶")+COUNTIF($E97:H97,"²")+COUNTIF($E97:H97,"µ")+COUNTIF($E97:H97,1)-1,INDEX(Roadmap!$D:$K,MATCH($E97,Roadmap!$D:$D,0)-1+COUNTIF($E97:H97,"u")+COUNTIF($E97:H97,"t")+COUNTIF($E97:H97,"¶")+COUNTIF($E97:H97,"²")+COUNTIF($E97:H97,"µ")+COUNTIF($E97:H97,1),ColDescriptionCourte)),""),
  "")),"")</f>
        <v/>
      </c>
      <c r="J97" s="40" t="str">
        <f ca="1">IFERROR(IF(AND(
  INDEX(Roadmap!$D:$K,MATCH($E97,Roadmap!$D:$D,0)+COUNTIF($E97:I97,"u")+COUNTIF($E97:I97,"t")+COUNTIF($E97:I97,"¶")+COUNTIF($E97:I97,"²")+COUNTIF($E97:I97,"µ")+COUNTIF($E97:I97,1),ColLivraison)=J$6,
  VLOOKUP($E97,INDIRECT("tri!"&amp; CHAR(64+ C0Col) &amp;":"&amp; CHAR(65+C0Col)),2,FALSE)&gt;COUNTIF($E97:I97,"u")+COUNTIF($E97:I97,"t")+COUNTIF($E97:I97,"¶")+COUNTIF($E97:I97,"²")+COUNTIF($E97:I97,"µ")+COUNTIF($E97:I97,1)),
HYPERLINK("#Roadmap!C"&amp; MATCH($E97,Roadmap!$D:$D,0)+COUNTIF($E97:I97,"u")+COUNTIF($E97:I97,"t"),
     INDEX(Roadmap!$D:$K,MATCH($E97,Roadmap!$D:$D,0)+COUNTIF($E97:I97,"u")+COUNTIF($E97:I97,"t")+COUNTIF($E97:I97,"¶")+COUNTIF($E97:I97,"²")+COUNTIF($E97:I97,"µ")+COUNTIF($E97:I97,1),ColTypeEcheance)),
  IF(LEN(I97)=1,
  IF(LEN(INDEX(Roadmap!$D:$K,MATCH($E97,Roadmap!$D:$D,0)-1+COUNTIF($E97:I97,"u")+COUNTIF($E97:I97,"t")+COUNTIF($E97:I97,"¶")+COUNTIF($E97:I97,"²")+COUNTIF($E97:I97,"µ")+COUNTIF($E97:I97,1),ColDescriptionCourte))&gt;1,
HYPERLINK("#Roadmap!C"&amp; MATCH($E97,Roadmap!$D:$D,0)+COUNTIF($E97:I97,"u")+COUNTIF($E97:I97,"t")+COUNTIF($E97:I97,"¶")+COUNTIF($E97:I97,"²")+COUNTIF($E97:I97,"µ")+COUNTIF($E97:I97,1)-1,INDEX(Roadmap!$D:$K,MATCH($E97,Roadmap!$D:$D,0)-1+COUNTIF($E97:I97,"u")+COUNTIF($E97:I97,"t")+COUNTIF($E97:I97,"¶")+COUNTIF($E97:I97,"²")+COUNTIF($E97:I97,"µ")+COUNTIF($E97:I97,1),ColDescriptionCourte)),""),
  "")),"")</f>
        <v/>
      </c>
      <c r="K97" s="40" t="str">
        <f ca="1">IFERROR(IF(AND(
  INDEX(Roadmap!$D:$K,MATCH($E97,Roadmap!$D:$D,0)+COUNTIF($E97:J97,"u")+COUNTIF($E97:J97,"t")+COUNTIF($E97:J97,"¶")+COUNTIF($E97:J97,"²")+COUNTIF($E97:J97,"µ")+COUNTIF($E97:J97,1),ColLivraison)=K$6,
  VLOOKUP($E97,INDIRECT("tri!"&amp; CHAR(64+ C0Col) &amp;":"&amp; CHAR(65+C0Col)),2,FALSE)&gt;COUNTIF($E97:J97,"u")+COUNTIF($E97:J97,"t")+COUNTIF($E97:J97,"¶")+COUNTIF($E97:J97,"²")+COUNTIF($E97:J97,"µ")+COUNTIF($E97:J97,1)),
HYPERLINK("#Roadmap!C"&amp; MATCH($E97,Roadmap!$D:$D,0)+COUNTIF($E97:J97,"u")+COUNTIF($E97:J97,"t"),
     INDEX(Roadmap!$D:$K,MATCH($E97,Roadmap!$D:$D,0)+COUNTIF($E97:J97,"u")+COUNTIF($E97:J97,"t")+COUNTIF($E97:J97,"¶")+COUNTIF($E97:J97,"²")+COUNTIF($E97:J97,"µ")+COUNTIF($E97:J97,1),ColTypeEcheance)),
  IF(LEN(J97)=1,
  IF(LEN(INDEX(Roadmap!$D:$K,MATCH($E97,Roadmap!$D:$D,0)-1+COUNTIF($E97:J97,"u")+COUNTIF($E97:J97,"t")+COUNTIF($E97:J97,"¶")+COUNTIF($E97:J97,"²")+COUNTIF($E97:J97,"µ")+COUNTIF($E97:J97,1),ColDescriptionCourte))&gt;1,
HYPERLINK("#Roadmap!C"&amp; MATCH($E97,Roadmap!$D:$D,0)+COUNTIF($E97:J97,"u")+COUNTIF($E97:J97,"t")+COUNTIF($E97:J97,"¶")+COUNTIF($E97:J97,"²")+COUNTIF($E97:J97,"µ")+COUNTIF($E97:J97,1)-1,INDEX(Roadmap!$D:$K,MATCH($E97,Roadmap!$D:$D,0)-1+COUNTIF($E97:J97,"u")+COUNTIF($E97:J97,"t")+COUNTIF($E97:J97,"¶")+COUNTIF($E97:J97,"²")+COUNTIF($E97:J97,"µ")+COUNTIF($E97:J97,1),ColDescriptionCourte)),""),
  "")),"")</f>
        <v/>
      </c>
      <c r="L97" s="39" t="str">
        <f ca="1">IFERROR(IF(AND(
  INDEX(Roadmap!$D:$K,MATCH($E97,Roadmap!$D:$D,0)+COUNTIF($E97:K97,"u")+COUNTIF($E97:K97,"t")+COUNTIF($E97:K97,"¶")+COUNTIF($E97:K97,"²")+COUNTIF($E97:K97,"µ")+COUNTIF($E97:K97,1),ColLivraison)=L$6,
  VLOOKUP($E97,INDIRECT("tri!"&amp; CHAR(64+ C0Col) &amp;":"&amp; CHAR(65+C0Col)),2,FALSE)&gt;COUNTIF($E97:K97,"u")+COUNTIF($E97:K97,"t")+COUNTIF($E97:K97,"¶")+COUNTIF($E97:K97,"²")+COUNTIF($E97:K97,"µ")+COUNTIF($E97:K97,1)),
HYPERLINK("#Roadmap!C"&amp; MATCH($E97,Roadmap!$D:$D,0)+COUNTIF($E97:K97,"u")+COUNTIF($E97:K97,"t"),
     INDEX(Roadmap!$D:$K,MATCH($E97,Roadmap!$D:$D,0)+COUNTIF($E97:K97,"u")+COUNTIF($E97:K97,"t")+COUNTIF($E97:K97,"¶")+COUNTIF($E97:K97,"²")+COUNTIF($E97:K97,"µ")+COUNTIF($E97:K97,1),ColTypeEcheance)),
  IF(LEN(K97)=1,
  IF(LEN(INDEX(Roadmap!$D:$K,MATCH($E97,Roadmap!$D:$D,0)-1+COUNTIF($E97:K97,"u")+COUNTIF($E97:K97,"t")+COUNTIF($E97:K97,"¶")+COUNTIF($E97:K97,"²")+COUNTIF($E97:K97,"µ")+COUNTIF($E97:K97,1),ColDescriptionCourte))&gt;1,
HYPERLINK("#Roadmap!C"&amp; MATCH($E97,Roadmap!$D:$D,0)+COUNTIF($E97:K97,"u")+COUNTIF($E97:K97,"t")+COUNTIF($E97:K97,"¶")+COUNTIF($E97:K97,"²")+COUNTIF($E97:K97,"µ")+COUNTIF($E97:K97,1)-1,INDEX(Roadmap!$D:$K,MATCH($E97,Roadmap!$D:$D,0)-1+COUNTIF($E97:K97,"u")+COUNTIF($E97:K97,"t")+COUNTIF($E97:K97,"¶")+COUNTIF($E97:K97,"²")+COUNTIF($E97:K97,"µ")+COUNTIF($E97:K97,1),ColDescriptionCourte)),""),
  "")),"")</f>
        <v/>
      </c>
      <c r="M97" s="40" t="str">
        <f ca="1">IFERROR(IF(AND(
  INDEX(Roadmap!$D:$K,MATCH($E97,Roadmap!$D:$D,0)+COUNTIF($E97:L97,"u")+COUNTIF($E97:L97,"t")+COUNTIF($E97:L97,"¶")+COUNTIF($E97:L97,"²")+COUNTIF($E97:L97,"µ")+COUNTIF($E97:L97,1),ColLivraison)=M$6,
  VLOOKUP($E97,INDIRECT("tri!"&amp; CHAR(64+ C0Col) &amp;":"&amp; CHAR(65+C0Col)),2,FALSE)&gt;COUNTIF($E97:L97,"u")+COUNTIF($E97:L97,"t")+COUNTIF($E97:L97,"¶")+COUNTIF($E97:L97,"²")+COUNTIF($E97:L97,"µ")+COUNTIF($E97:L97,1)),
HYPERLINK("#Roadmap!C"&amp; MATCH($E97,Roadmap!$D:$D,0)+COUNTIF($E97:L97,"u")+COUNTIF($E97:L97,"t"),
     INDEX(Roadmap!$D:$K,MATCH($E97,Roadmap!$D:$D,0)+COUNTIF($E97:L97,"u")+COUNTIF($E97:L97,"t")+COUNTIF($E97:L97,"¶")+COUNTIF($E97:L97,"²")+COUNTIF($E97:L97,"µ")+COUNTIF($E97:L97,1),ColTypeEcheance)),
  IF(LEN(L97)=1,
  IF(LEN(INDEX(Roadmap!$D:$K,MATCH($E97,Roadmap!$D:$D,0)-1+COUNTIF($E97:L97,"u")+COUNTIF($E97:L97,"t")+COUNTIF($E97:L97,"¶")+COUNTIF($E97:L97,"²")+COUNTIF($E97:L97,"µ")+COUNTIF($E97:L97,1),ColDescriptionCourte))&gt;1,
HYPERLINK("#Roadmap!C"&amp; MATCH($E97,Roadmap!$D:$D,0)+COUNTIF($E97:L97,"u")+COUNTIF($E97:L97,"t")+COUNTIF($E97:L97,"¶")+COUNTIF($E97:L97,"²")+COUNTIF($E97:L97,"µ")+COUNTIF($E97:L97,1)-1,INDEX(Roadmap!$D:$K,MATCH($E97,Roadmap!$D:$D,0)-1+COUNTIF($E97:L97,"u")+COUNTIF($E97:L97,"t")+COUNTIF($E97:L97,"¶")+COUNTIF($E97:L97,"²")+COUNTIF($E97:L97,"µ")+COUNTIF($E97:L97,1),ColDescriptionCourte)),""),
  "")),"")</f>
        <v/>
      </c>
      <c r="N97" s="40" t="str">
        <f ca="1">IFERROR(IF(AND(
  INDEX(Roadmap!$D:$K,MATCH($E97,Roadmap!$D:$D,0)+COUNTIF($E97:M97,"u")+COUNTIF($E97:M97,"t")+COUNTIF($E97:M97,"¶")+COUNTIF($E97:M97,"²")+COUNTIF($E97:M97,"µ")+COUNTIF($E97:M97,1),ColLivraison)=N$6,
  VLOOKUP($E97,INDIRECT("tri!"&amp; CHAR(64+ C0Col) &amp;":"&amp; CHAR(65+C0Col)),2,FALSE)&gt;COUNTIF($E97:M97,"u")+COUNTIF($E97:M97,"t")+COUNTIF($E97:M97,"¶")+COUNTIF($E97:M97,"²")+COUNTIF($E97:M97,"µ")+COUNTIF($E97:M97,1)),
HYPERLINK("#Roadmap!C"&amp; MATCH($E97,Roadmap!$D:$D,0)+COUNTIF($E97:M97,"u")+COUNTIF($E97:M97,"t"),
     INDEX(Roadmap!$D:$K,MATCH($E97,Roadmap!$D:$D,0)+COUNTIF($E97:M97,"u")+COUNTIF($E97:M97,"t")+COUNTIF($E97:M97,"¶")+COUNTIF($E97:M97,"²")+COUNTIF($E97:M97,"µ")+COUNTIF($E97:M97,1),ColTypeEcheance)),
  IF(LEN(M97)=1,
  IF(LEN(INDEX(Roadmap!$D:$K,MATCH($E97,Roadmap!$D:$D,0)-1+COUNTIF($E97:M97,"u")+COUNTIF($E97:M97,"t")+COUNTIF($E97:M97,"¶")+COUNTIF($E97:M97,"²")+COUNTIF($E97:M97,"µ")+COUNTIF($E97:M97,1),ColDescriptionCourte))&gt;1,
HYPERLINK("#Roadmap!C"&amp; MATCH($E97,Roadmap!$D:$D,0)+COUNTIF($E97:M97,"u")+COUNTIF($E97:M97,"t")+COUNTIF($E97:M97,"¶")+COUNTIF($E97:M97,"²")+COUNTIF($E97:M97,"µ")+COUNTIF($E97:M97,1)-1,INDEX(Roadmap!$D:$K,MATCH($E97,Roadmap!$D:$D,0)-1+COUNTIF($E97:M97,"u")+COUNTIF($E97:M97,"t")+COUNTIF($E97:M97,"¶")+COUNTIF($E97:M97,"²")+COUNTIF($E97:M97,"µ")+COUNTIF($E97:M97,1),ColDescriptionCourte)),""),
  "")),"")</f>
        <v/>
      </c>
      <c r="O97" s="40" t="str">
        <f ca="1">IFERROR(IF(AND(
  INDEX(Roadmap!$D:$K,MATCH($E97,Roadmap!$D:$D,0)+COUNTIF($E97:N97,"u")+COUNTIF($E97:N97,"t")+COUNTIF($E97:N97,"¶")+COUNTIF($E97:N97,"²")+COUNTIF($E97:N97,"µ")+COUNTIF($E97:N97,1),ColLivraison)=O$6,
  VLOOKUP($E97,INDIRECT("tri!"&amp; CHAR(64+ C0Col) &amp;":"&amp; CHAR(65+C0Col)),2,FALSE)&gt;COUNTIF($E97:N97,"u")+COUNTIF($E97:N97,"t")+COUNTIF($E97:N97,"¶")+COUNTIF($E97:N97,"²")+COUNTIF($E97:N97,"µ")+COUNTIF($E97:N97,1)),
HYPERLINK("#Roadmap!C"&amp; MATCH($E97,Roadmap!$D:$D,0)+COUNTIF($E97:N97,"u")+COUNTIF($E97:N97,"t"),
     INDEX(Roadmap!$D:$K,MATCH($E97,Roadmap!$D:$D,0)+COUNTIF($E97:N97,"u")+COUNTIF($E97:N97,"t")+COUNTIF($E97:N97,"¶")+COUNTIF($E97:N97,"²")+COUNTIF($E97:N97,"µ")+COUNTIF($E97:N97,1),ColTypeEcheance)),
  IF(LEN(N97)=1,
  IF(LEN(INDEX(Roadmap!$D:$K,MATCH($E97,Roadmap!$D:$D,0)-1+COUNTIF($E97:N97,"u")+COUNTIF($E97:N97,"t")+COUNTIF($E97:N97,"¶")+COUNTIF($E97:N97,"²")+COUNTIF($E97:N97,"µ")+COUNTIF($E97:N97,1),ColDescriptionCourte))&gt;1,
HYPERLINK("#Roadmap!C"&amp; MATCH($E97,Roadmap!$D:$D,0)+COUNTIF($E97:N97,"u")+COUNTIF($E97:N97,"t")+COUNTIF($E97:N97,"¶")+COUNTIF($E97:N97,"²")+COUNTIF($E97:N97,"µ")+COUNTIF($E97:N97,1)-1,INDEX(Roadmap!$D:$K,MATCH($E97,Roadmap!$D:$D,0)-1+COUNTIF($E97:N97,"u")+COUNTIF($E97:N97,"t")+COUNTIF($E97:N97,"¶")+COUNTIF($E97:N97,"²")+COUNTIF($E97:N97,"µ")+COUNTIF($E97:N97,1),ColDescriptionCourte)),""),
  "")),"")</f>
        <v/>
      </c>
      <c r="P97" s="40" t="str">
        <f ca="1">IFERROR(IF(AND(
  INDEX(Roadmap!$D:$K,MATCH($E97,Roadmap!$D:$D,0)+COUNTIF($E97:O97,"u")+COUNTIF($E97:O97,"t")+COUNTIF($E97:O97,"¶")+COUNTIF($E97:O97,"²")+COUNTIF($E97:O97,"µ")+COUNTIF($E97:O97,1),ColLivraison)=P$6,
  VLOOKUP($E97,INDIRECT("tri!"&amp; CHAR(64+ C0Col) &amp;":"&amp; CHAR(65+C0Col)),2,FALSE)&gt;COUNTIF($E97:O97,"u")+COUNTIF($E97:O97,"t")+COUNTIF($E97:O97,"¶")+COUNTIF($E97:O97,"²")+COUNTIF($E97:O97,"µ")+COUNTIF($E97:O97,1)),
HYPERLINK("#Roadmap!C"&amp; MATCH($E97,Roadmap!$D:$D,0)+COUNTIF($E97:O97,"u")+COUNTIF($E97:O97,"t"),
     INDEX(Roadmap!$D:$K,MATCH($E97,Roadmap!$D:$D,0)+COUNTIF($E97:O97,"u")+COUNTIF($E97:O97,"t")+COUNTIF($E97:O97,"¶")+COUNTIF($E97:O97,"²")+COUNTIF($E97:O97,"µ")+COUNTIF($E97:O97,1),ColTypeEcheance)),
  IF(LEN(O97)=1,
  IF(LEN(INDEX(Roadmap!$D:$K,MATCH($E97,Roadmap!$D:$D,0)-1+COUNTIF($E97:O97,"u")+COUNTIF($E97:O97,"t")+COUNTIF($E97:O97,"¶")+COUNTIF($E97:O97,"²")+COUNTIF($E97:O97,"µ")+COUNTIF($E97:O97,1),ColDescriptionCourte))&gt;1,
HYPERLINK("#Roadmap!C"&amp; MATCH($E97,Roadmap!$D:$D,0)+COUNTIF($E97:O97,"u")+COUNTIF($E97:O97,"t")+COUNTIF($E97:O97,"¶")+COUNTIF($E97:O97,"²")+COUNTIF($E97:O97,"µ")+COUNTIF($E97:O97,1)-1,INDEX(Roadmap!$D:$K,MATCH($E97,Roadmap!$D:$D,0)-1+COUNTIF($E97:O97,"u")+COUNTIF($E97:O97,"t")+COUNTIF($E97:O97,"¶")+COUNTIF($E97:O97,"²")+COUNTIF($E97:O97,"µ")+COUNTIF($E97:O97,1),ColDescriptionCourte)),""),
  "")),"")</f>
        <v/>
      </c>
      <c r="Q97" s="40" t="str">
        <f ca="1">IFERROR(IF(AND(
  INDEX(Roadmap!$D:$K,MATCH($E97,Roadmap!$D:$D,0)+COUNTIF($E97:P97,"u")+COUNTIF($E97:P97,"t")+COUNTIF($E97:P97,"¶")+COUNTIF($E97:P97,"²")+COUNTIF($E97:P97,"µ")+COUNTIF($E97:P97,1),ColLivraison)=Q$6,
  VLOOKUP($E97,INDIRECT("tri!"&amp; CHAR(64+ C0Col) &amp;":"&amp; CHAR(65+C0Col)),2,FALSE)&gt;COUNTIF($E97:P97,"u")+COUNTIF($E97:P97,"t")+COUNTIF($E97:P97,"¶")+COUNTIF($E97:P97,"²")+COUNTIF($E97:P97,"µ")+COUNTIF($E97:P97,1)),
HYPERLINK("#Roadmap!C"&amp; MATCH($E97,Roadmap!$D:$D,0)+COUNTIF($E97:P97,"u")+COUNTIF($E97:P97,"t"),
     INDEX(Roadmap!$D:$K,MATCH($E97,Roadmap!$D:$D,0)+COUNTIF($E97:P97,"u")+COUNTIF($E97:P97,"t")+COUNTIF($E97:P97,"¶")+COUNTIF($E97:P97,"²")+COUNTIF($E97:P97,"µ")+COUNTIF($E97:P97,1),ColTypeEcheance)),
  IF(LEN(P97)=1,
  IF(LEN(INDEX(Roadmap!$D:$K,MATCH($E97,Roadmap!$D:$D,0)-1+COUNTIF($E97:P97,"u")+COUNTIF($E97:P97,"t")+COUNTIF($E97:P97,"¶")+COUNTIF($E97:P97,"²")+COUNTIF($E97:P97,"µ")+COUNTIF($E97:P97,1),ColDescriptionCourte))&gt;1,
HYPERLINK("#Roadmap!C"&amp; MATCH($E97,Roadmap!$D:$D,0)+COUNTIF($E97:P97,"u")+COUNTIF($E97:P97,"t")+COUNTIF($E97:P97,"¶")+COUNTIF($E97:P97,"²")+COUNTIF($E97:P97,"µ")+COUNTIF($E97:P97,1)-1,INDEX(Roadmap!$D:$K,MATCH($E97,Roadmap!$D:$D,0)-1+COUNTIF($E97:P97,"u")+COUNTIF($E97:P97,"t")+COUNTIF($E97:P97,"¶")+COUNTIF($E97:P97,"²")+COUNTIF($E97:P97,"µ")+COUNTIF($E97:P97,1),ColDescriptionCourte)),""),
  "")),"")</f>
        <v/>
      </c>
      <c r="R97" s="40" t="str">
        <f ca="1">IFERROR(IF(AND(
  INDEX(Roadmap!$D:$K,MATCH($E97,Roadmap!$D:$D,0)+COUNTIF($E97:Q97,"u")+COUNTIF($E97:Q97,"t")+COUNTIF($E97:Q97,"¶")+COUNTIF($E97:Q97,"²")+COUNTIF($E97:Q97,"µ")+COUNTIF($E97:Q97,1),ColLivraison)=R$6,
  VLOOKUP($E97,INDIRECT("tri!"&amp; CHAR(64+ C0Col) &amp;":"&amp; CHAR(65+C0Col)),2,FALSE)&gt;COUNTIF($E97:Q97,"u")+COUNTIF($E97:Q97,"t")+COUNTIF($E97:Q97,"¶")+COUNTIF($E97:Q97,"²")+COUNTIF($E97:Q97,"µ")+COUNTIF($E97:Q97,1)),
HYPERLINK("#Roadmap!C"&amp; MATCH($E97,Roadmap!$D:$D,0)+COUNTIF($E97:Q97,"u")+COUNTIF($E97:Q97,"t"),
     INDEX(Roadmap!$D:$K,MATCH($E97,Roadmap!$D:$D,0)+COUNTIF($E97:Q97,"u")+COUNTIF($E97:Q97,"t")+COUNTIF($E97:Q97,"¶")+COUNTIF($E97:Q97,"²")+COUNTIF($E97:Q97,"µ")+COUNTIF($E97:Q97,1),ColTypeEcheance)),
  IF(LEN(Q97)=1,
  IF(LEN(INDEX(Roadmap!$D:$K,MATCH($E97,Roadmap!$D:$D,0)-1+COUNTIF($E97:Q97,"u")+COUNTIF($E97:Q97,"t")+COUNTIF($E97:Q97,"¶")+COUNTIF($E97:Q97,"²")+COUNTIF($E97:Q97,"µ")+COUNTIF($E97:Q97,1),ColDescriptionCourte))&gt;1,
HYPERLINK("#Roadmap!C"&amp; MATCH($E97,Roadmap!$D:$D,0)+COUNTIF($E97:Q97,"u")+COUNTIF($E97:Q97,"t")+COUNTIF($E97:Q97,"¶")+COUNTIF($E97:Q97,"²")+COUNTIF($E97:Q97,"µ")+COUNTIF($E97:Q97,1)-1,INDEX(Roadmap!$D:$K,MATCH($E97,Roadmap!$D:$D,0)-1+COUNTIF($E97:Q97,"u")+COUNTIF($E97:Q97,"t")+COUNTIF($E97:Q97,"¶")+COUNTIF($E97:Q97,"²")+COUNTIF($E97:Q97,"µ")+COUNTIF($E97:Q97,1),ColDescriptionCourte)),""),
  "")),"")</f>
        <v/>
      </c>
      <c r="S97" s="40" t="str">
        <f ca="1">IFERROR(IF(AND(
  INDEX(Roadmap!$D:$K,MATCH($E97,Roadmap!$D:$D,0)+COUNTIF($E97:R97,"u")+COUNTIF($E97:R97,"t")+COUNTIF($E97:R97,"¶")+COUNTIF($E97:R97,"²")+COUNTIF($E97:R97,"µ")+COUNTIF($E97:R97,1),ColLivraison)=S$6,
  VLOOKUP($E97,INDIRECT("tri!"&amp; CHAR(64+ C0Col) &amp;":"&amp; CHAR(65+C0Col)),2,FALSE)&gt;COUNTIF($E97:R97,"u")+COUNTIF($E97:R97,"t")+COUNTIF($E97:R97,"¶")+COUNTIF($E97:R97,"²")+COUNTIF($E97:R97,"µ")+COUNTIF($E97:R97,1)),
HYPERLINK("#Roadmap!C"&amp; MATCH($E97,Roadmap!$D:$D,0)+COUNTIF($E97:R97,"u")+COUNTIF($E97:R97,"t"),
     INDEX(Roadmap!$D:$K,MATCH($E97,Roadmap!$D:$D,0)+COUNTIF($E97:R97,"u")+COUNTIF($E97:R97,"t")+COUNTIF($E97:R97,"¶")+COUNTIF($E97:R97,"²")+COUNTIF($E97:R97,"µ")+COUNTIF($E97:R97,1),ColTypeEcheance)),
  IF(LEN(R97)=1,
  IF(LEN(INDEX(Roadmap!$D:$K,MATCH($E97,Roadmap!$D:$D,0)-1+COUNTIF($E97:R97,"u")+COUNTIF($E97:R97,"t")+COUNTIF($E97:R97,"¶")+COUNTIF($E97:R97,"²")+COUNTIF($E97:R97,"µ")+COUNTIF($E97:R97,1),ColDescriptionCourte))&gt;1,
HYPERLINK("#Roadmap!C"&amp; MATCH($E97,Roadmap!$D:$D,0)+COUNTIF($E97:R97,"u")+COUNTIF($E97:R97,"t")+COUNTIF($E97:R97,"¶")+COUNTIF($E97:R97,"²")+COUNTIF($E97:R97,"µ")+COUNTIF($E97:R97,1)-1,INDEX(Roadmap!$D:$K,MATCH($E97,Roadmap!$D:$D,0)-1+COUNTIF($E97:R97,"u")+COUNTIF($E97:R97,"t")+COUNTIF($E97:R97,"¶")+COUNTIF($E97:R97,"²")+COUNTIF($E97:R97,"µ")+COUNTIF($E97:R97,1),ColDescriptionCourte)),""),
  "")),"")</f>
        <v/>
      </c>
      <c r="T97" s="40" t="str">
        <f ca="1">IFERROR(IF(AND(
  INDEX(Roadmap!$D:$K,MATCH($E97,Roadmap!$D:$D,0)+COUNTIF($E97:S97,"u")+COUNTIF($E97:S97,"t")+COUNTIF($E97:S97,"¶")+COUNTIF($E97:S97,"²")+COUNTIF($E97:S97,"µ")+COUNTIF($E97:S97,1),ColLivraison)=T$6,
  VLOOKUP($E97,INDIRECT("tri!"&amp; CHAR(64+ C0Col) &amp;":"&amp; CHAR(65+C0Col)),2,FALSE)&gt;COUNTIF($E97:S97,"u")+COUNTIF($E97:S97,"t")+COUNTIF($E97:S97,"¶")+COUNTIF($E97:S97,"²")+COUNTIF($E97:S97,"µ")+COUNTIF($E97:S97,1)),
HYPERLINK("#Roadmap!C"&amp; MATCH($E97,Roadmap!$D:$D,0)+COUNTIF($E97:S97,"u")+COUNTIF($E97:S97,"t"),
     INDEX(Roadmap!$D:$K,MATCH($E97,Roadmap!$D:$D,0)+COUNTIF($E97:S97,"u")+COUNTIF($E97:S97,"t")+COUNTIF($E97:S97,"¶")+COUNTIF($E97:S97,"²")+COUNTIF($E97:S97,"µ")+COUNTIF($E97:S97,1),ColTypeEcheance)),
  IF(LEN(S97)=1,
  IF(LEN(INDEX(Roadmap!$D:$K,MATCH($E97,Roadmap!$D:$D,0)-1+COUNTIF($E97:S97,"u")+COUNTIF($E97:S97,"t")+COUNTIF($E97:S97,"¶")+COUNTIF($E97:S97,"²")+COUNTIF($E97:S97,"µ")+COUNTIF($E97:S97,1),ColDescriptionCourte))&gt;1,
HYPERLINK("#Roadmap!C"&amp; MATCH($E97,Roadmap!$D:$D,0)+COUNTIF($E97:S97,"u")+COUNTIF($E97:S97,"t")+COUNTIF($E97:S97,"¶")+COUNTIF($E97:S97,"²")+COUNTIF($E97:S97,"µ")+COUNTIF($E97:S97,1)-1,INDEX(Roadmap!$D:$K,MATCH($E97,Roadmap!$D:$D,0)-1+COUNTIF($E97:S97,"u")+COUNTIF($E97:S97,"t")+COUNTIF($E97:S97,"¶")+COUNTIF($E97:S97,"²")+COUNTIF($E97:S97,"µ")+COUNTIF($E97:S97,1),ColDescriptionCourte)),""),
  "")),"")</f>
        <v/>
      </c>
      <c r="U97" s="40" t="str">
        <f ca="1">IFERROR(IF(AND(
  INDEX(Roadmap!$D:$K,MATCH($E97,Roadmap!$D:$D,0)+COUNTIF($E97:T97,"u")+COUNTIF($E97:T97,"t")+COUNTIF($E97:T97,"¶")+COUNTIF($E97:T97,"²")+COUNTIF($E97:T97,"µ")+COUNTIF($E97:T97,1),ColLivraison)=U$6,
  VLOOKUP($E97,INDIRECT("tri!"&amp; CHAR(64+ C0Col) &amp;":"&amp; CHAR(65+C0Col)),2,FALSE)&gt;COUNTIF($E97:T97,"u")+COUNTIF($E97:T97,"t")+COUNTIF($E97:T97,"¶")+COUNTIF($E97:T97,"²")+COUNTIF($E97:T97,"µ")+COUNTIF($E97:T97,1)),
HYPERLINK("#Roadmap!C"&amp; MATCH($E97,Roadmap!$D:$D,0)+COUNTIF($E97:T97,"u")+COUNTIF($E97:T97,"t"),
     INDEX(Roadmap!$D:$K,MATCH($E97,Roadmap!$D:$D,0)+COUNTIF($E97:T97,"u")+COUNTIF($E97:T97,"t")+COUNTIF($E97:T97,"¶")+COUNTIF($E97:T97,"²")+COUNTIF($E97:T97,"µ")+COUNTIF($E97:T97,1),ColTypeEcheance)),
  IF(LEN(T97)=1,
  IF(LEN(INDEX(Roadmap!$D:$K,MATCH($E97,Roadmap!$D:$D,0)-1+COUNTIF($E97:T97,"u")+COUNTIF($E97:T97,"t")+COUNTIF($E97:T97,"¶")+COUNTIF($E97:T97,"²")+COUNTIF($E97:T97,"µ")+COUNTIF($E97:T97,1),ColDescriptionCourte))&gt;1,
HYPERLINK("#Roadmap!C"&amp; MATCH($E97,Roadmap!$D:$D,0)+COUNTIF($E97:T97,"u")+COUNTIF($E97:T97,"t")+COUNTIF($E97:T97,"¶")+COUNTIF($E97:T97,"²")+COUNTIF($E97:T97,"µ")+COUNTIF($E97:T97,1)-1,INDEX(Roadmap!$D:$K,MATCH($E97,Roadmap!$D:$D,0)-1+COUNTIF($E97:T97,"u")+COUNTIF($E97:T97,"t")+COUNTIF($E97:T97,"¶")+COUNTIF($E97:T97,"²")+COUNTIF($E97:T97,"µ")+COUNTIF($E97:T97,1),ColDescriptionCourte)),""),
  "")),"")</f>
        <v/>
      </c>
      <c r="V97" s="40" t="str">
        <f ca="1">IFERROR(IF(AND(
  INDEX(Roadmap!$D:$K,MATCH($E97,Roadmap!$D:$D,0)+COUNTIF($E97:U97,"u")+COUNTIF($E97:U97,"t")+COUNTIF($E97:U97,"¶")+COUNTIF($E97:U97,"²")+COUNTIF($E97:U97,"µ")+COUNTIF($E97:U97,1),ColLivraison)=V$6,
  VLOOKUP($E97,INDIRECT("tri!"&amp; CHAR(64+ C0Col) &amp;":"&amp; CHAR(65+C0Col)),2,FALSE)&gt;COUNTIF($E97:U97,"u")+COUNTIF($E97:U97,"t")+COUNTIF($E97:U97,"¶")+COUNTIF($E97:U97,"²")+COUNTIF($E97:U97,"µ")+COUNTIF($E97:U97,1)),
HYPERLINK("#Roadmap!C"&amp; MATCH($E97,Roadmap!$D:$D,0)+COUNTIF($E97:U97,"u")+COUNTIF($E97:U97,"t"),
     INDEX(Roadmap!$D:$K,MATCH($E97,Roadmap!$D:$D,0)+COUNTIF($E97:U97,"u")+COUNTIF($E97:U97,"t")+COUNTIF($E97:U97,"¶")+COUNTIF($E97:U97,"²")+COUNTIF($E97:U97,"µ")+COUNTIF($E97:U97,1),ColTypeEcheance)),
  IF(LEN(U97)=1,
  IF(LEN(INDEX(Roadmap!$D:$K,MATCH($E97,Roadmap!$D:$D,0)-1+COUNTIF($E97:U97,"u")+COUNTIF($E97:U97,"t")+COUNTIF($E97:U97,"¶")+COUNTIF($E97:U97,"²")+COUNTIF($E97:U97,"µ")+COUNTIF($E97:U97,1),ColDescriptionCourte))&gt;1,
HYPERLINK("#Roadmap!C"&amp; MATCH($E97,Roadmap!$D:$D,0)+COUNTIF($E97:U97,"u")+COUNTIF($E97:U97,"t")+COUNTIF($E97:U97,"¶")+COUNTIF($E97:U97,"²")+COUNTIF($E97:U97,"µ")+COUNTIF($E97:U97,1)-1,INDEX(Roadmap!$D:$K,MATCH($E97,Roadmap!$D:$D,0)-1+COUNTIF($E97:U97,"u")+COUNTIF($E97:U97,"t")+COUNTIF($E97:U97,"¶")+COUNTIF($E97:U97,"²")+COUNTIF($E97:U97,"µ")+COUNTIF($E97:U97,1),ColDescriptionCourte)),""),
  "")),"")</f>
        <v/>
      </c>
      <c r="W97" s="40" t="str">
        <f ca="1">IFERROR(IF(AND(
  INDEX(Roadmap!$D:$K,MATCH($E97,Roadmap!$D:$D,0)+COUNTIF($E97:V97,"u")+COUNTIF($E97:V97,"t")+COUNTIF($E97:V97,"¶")+COUNTIF($E97:V97,"²")+COUNTIF($E97:V97,"µ")+COUNTIF($E97:V97,1),ColLivraison)=W$6,
  VLOOKUP($E97,INDIRECT("tri!"&amp; CHAR(64+ C0Col) &amp;":"&amp; CHAR(65+C0Col)),2,FALSE)&gt;COUNTIF($E97:V97,"u")+COUNTIF($E97:V97,"t")+COUNTIF($E97:V97,"¶")+COUNTIF($E97:V97,"²")+COUNTIF($E97:V97,"µ")+COUNTIF($E97:V97,1)),
HYPERLINK("#Roadmap!C"&amp; MATCH($E97,Roadmap!$D:$D,0)+COUNTIF($E97:V97,"u")+COUNTIF($E97:V97,"t"),
     INDEX(Roadmap!$D:$K,MATCH($E97,Roadmap!$D:$D,0)+COUNTIF($E97:V97,"u")+COUNTIF($E97:V97,"t")+COUNTIF($E97:V97,"¶")+COUNTIF($E97:V97,"²")+COUNTIF($E97:V97,"µ")+COUNTIF($E97:V97,1),ColTypeEcheance)),
  IF(LEN(V97)=1,
  IF(LEN(INDEX(Roadmap!$D:$K,MATCH($E97,Roadmap!$D:$D,0)-1+COUNTIF($E97:V97,"u")+COUNTIF($E97:V97,"t")+COUNTIF($E97:V97,"¶")+COUNTIF($E97:V97,"²")+COUNTIF($E97:V97,"µ")+COUNTIF($E97:V97,1),ColDescriptionCourte))&gt;1,
HYPERLINK("#Roadmap!C"&amp; MATCH($E97,Roadmap!$D:$D,0)+COUNTIF($E97:V97,"u")+COUNTIF($E97:V97,"t")+COUNTIF($E97:V97,"¶")+COUNTIF($E97:V97,"²")+COUNTIF($E97:V97,"µ")+COUNTIF($E97:V97,1)-1,INDEX(Roadmap!$D:$K,MATCH($E97,Roadmap!$D:$D,0)-1+COUNTIF($E97:V97,"u")+COUNTIF($E97:V97,"t")+COUNTIF($E97:V97,"¶")+COUNTIF($E97:V97,"²")+COUNTIF($E97:V97,"µ")+COUNTIF($E97:V97,1),ColDescriptionCourte)),""),
  "")),"")</f>
        <v/>
      </c>
      <c r="X97" s="40" t="str">
        <f ca="1">IFERROR(IF(AND(
  INDEX(Roadmap!$D:$K,MATCH($E97,Roadmap!$D:$D,0)+COUNTIF($E97:W97,"u")+COUNTIF($E97:W97,"t")+COUNTIF($E97:W97,"¶")+COUNTIF($E97:W97,"²")+COUNTIF($E97:W97,"µ")+COUNTIF($E97:W97,1),ColLivraison)=X$6,
  VLOOKUP($E97,INDIRECT("tri!"&amp; CHAR(64+ C0Col) &amp;":"&amp; CHAR(65+C0Col)),2,FALSE)&gt;COUNTIF($E97:W97,"u")+COUNTIF($E97:W97,"t")+COUNTIF($E97:W97,"¶")+COUNTIF($E97:W97,"²")+COUNTIF($E97:W97,"µ")+COUNTIF($E97:W97,1)),
HYPERLINK("#Roadmap!C"&amp; MATCH($E97,Roadmap!$D:$D,0)+COUNTIF($E97:W97,"u")+COUNTIF($E97:W97,"t"),
     INDEX(Roadmap!$D:$K,MATCH($E97,Roadmap!$D:$D,0)+COUNTIF($E97:W97,"u")+COUNTIF($E97:W97,"t")+COUNTIF($E97:W97,"¶")+COUNTIF($E97:W97,"²")+COUNTIF($E97:W97,"µ")+COUNTIF($E97:W97,1),ColTypeEcheance)),
  IF(LEN(W97)=1,
  IF(LEN(INDEX(Roadmap!$D:$K,MATCH($E97,Roadmap!$D:$D,0)-1+COUNTIF($E97:W97,"u")+COUNTIF($E97:W97,"t")+COUNTIF($E97:W97,"¶")+COUNTIF($E97:W97,"²")+COUNTIF($E97:W97,"µ")+COUNTIF($E97:W97,1),ColDescriptionCourte))&gt;1,
HYPERLINK("#Roadmap!C"&amp; MATCH($E97,Roadmap!$D:$D,0)+COUNTIF($E97:W97,"u")+COUNTIF($E97:W97,"t")+COUNTIF($E97:W97,"¶")+COUNTIF($E97:W97,"²")+COUNTIF($E97:W97,"µ")+COUNTIF($E97:W97,1)-1,INDEX(Roadmap!$D:$K,MATCH($E97,Roadmap!$D:$D,0)-1+COUNTIF($E97:W97,"u")+COUNTIF($E97:W97,"t")+COUNTIF($E97:W97,"¶")+COUNTIF($E97:W97,"²")+COUNTIF($E97:W97,"µ")+COUNTIF($E97:W97,1),ColDescriptionCourte)),""),
  "")),"")</f>
        <v/>
      </c>
      <c r="Y97" s="40" t="str">
        <f ca="1">IFERROR(IF(AND(
  INDEX(Roadmap!$D:$K,MATCH($E97,Roadmap!$D:$D,0)+COUNTIF($E97:X97,"u")+COUNTIF($E97:X97,"t")+COUNTIF($E97:X97,"¶")+COUNTIF($E97:X97,"²")+COUNTIF($E97:X97,"µ")+COUNTIF($E97:X97,1),ColLivraison)=Y$6,
  VLOOKUP($E97,INDIRECT("tri!"&amp; CHAR(64+ C0Col) &amp;":"&amp; CHAR(65+C0Col)),2,FALSE)&gt;COUNTIF($E97:X97,"u")+COUNTIF($E97:X97,"t")+COUNTIF($E97:X97,"¶")+COUNTIF($E97:X97,"²")+COUNTIF($E97:X97,"µ")+COUNTIF($E97:X97,1)),
HYPERLINK("#Roadmap!C"&amp; MATCH($E97,Roadmap!$D:$D,0)+COUNTIF($E97:X97,"u")+COUNTIF($E97:X97,"t"),
     INDEX(Roadmap!$D:$K,MATCH($E97,Roadmap!$D:$D,0)+COUNTIF($E97:X97,"u")+COUNTIF($E97:X97,"t")+COUNTIF($E97:X97,"¶")+COUNTIF($E97:X97,"²")+COUNTIF($E97:X97,"µ")+COUNTIF($E97:X97,1),ColTypeEcheance)),
  IF(LEN(X97)=1,
  IF(LEN(INDEX(Roadmap!$D:$K,MATCH($E97,Roadmap!$D:$D,0)-1+COUNTIF($E97:X97,"u")+COUNTIF($E97:X97,"t")+COUNTIF($E97:X97,"¶")+COUNTIF($E97:X97,"²")+COUNTIF($E97:X97,"µ")+COUNTIF($E97:X97,1),ColDescriptionCourte))&gt;1,
HYPERLINK("#Roadmap!C"&amp; MATCH($E97,Roadmap!$D:$D,0)+COUNTIF($E97:X97,"u")+COUNTIF($E97:X97,"t")+COUNTIF($E97:X97,"¶")+COUNTIF($E97:X97,"²")+COUNTIF($E97:X97,"µ")+COUNTIF($E97:X97,1)-1,INDEX(Roadmap!$D:$K,MATCH($E97,Roadmap!$D:$D,0)-1+COUNTIF($E97:X97,"u")+COUNTIF($E97:X97,"t")+COUNTIF($E97:X97,"¶")+COUNTIF($E97:X97,"²")+COUNTIF($E97:X97,"µ")+COUNTIF($E97:X97,1),ColDescriptionCourte)),""),
  "")),"")</f>
        <v/>
      </c>
      <c r="Z97" s="40" t="str">
        <f ca="1">IFERROR(IF(AND(
  INDEX(Roadmap!$D:$K,MATCH($E97,Roadmap!$D:$D,0)+COUNTIF($E97:Y97,"u")+COUNTIF($E97:Y97,"t")+COUNTIF($E97:Y97,"¶")+COUNTIF($E97:Y97,"²")+COUNTIF($E97:Y97,"µ")+COUNTIF($E97:Y97,1),ColLivraison)=Z$6,
  VLOOKUP($E97,INDIRECT("tri!"&amp; CHAR(64+ C0Col) &amp;":"&amp; CHAR(65+C0Col)),2,FALSE)&gt;COUNTIF($E97:Y97,"u")+COUNTIF($E97:Y97,"t")+COUNTIF($E97:Y97,"¶")+COUNTIF($E97:Y97,"²")+COUNTIF($E97:Y97,"µ")+COUNTIF($E97:Y97,1)),
HYPERLINK("#Roadmap!C"&amp; MATCH($E97,Roadmap!$D:$D,0)+COUNTIF($E97:Y97,"u")+COUNTIF($E97:Y97,"t"),
     INDEX(Roadmap!$D:$K,MATCH($E97,Roadmap!$D:$D,0)+COUNTIF($E97:Y97,"u")+COUNTIF($E97:Y97,"t")+COUNTIF($E97:Y97,"¶")+COUNTIF($E97:Y97,"²")+COUNTIF($E97:Y97,"µ")+COUNTIF($E97:Y97,1),ColTypeEcheance)),
  IF(LEN(Y97)=1,
  IF(LEN(INDEX(Roadmap!$D:$K,MATCH($E97,Roadmap!$D:$D,0)-1+COUNTIF($E97:Y97,"u")+COUNTIF($E97:Y97,"t")+COUNTIF($E97:Y97,"¶")+COUNTIF($E97:Y97,"²")+COUNTIF($E97:Y97,"µ")+COUNTIF($E97:Y97,1),ColDescriptionCourte))&gt;1,
HYPERLINK("#Roadmap!C"&amp; MATCH($E97,Roadmap!$D:$D,0)+COUNTIF($E97:Y97,"u")+COUNTIF($E97:Y97,"t")+COUNTIF($E97:Y97,"¶")+COUNTIF($E97:Y97,"²")+COUNTIF($E97:Y97,"µ")+COUNTIF($E97:Y97,1)-1,INDEX(Roadmap!$D:$K,MATCH($E97,Roadmap!$D:$D,0)-1+COUNTIF($E97:Y97,"u")+COUNTIF($E97:Y97,"t")+COUNTIF($E97:Y97,"¶")+COUNTIF($E97:Y97,"²")+COUNTIF($E97:Y97,"µ")+COUNTIF($E97:Y97,1),ColDescriptionCourte)),""),
  "")),"")</f>
        <v/>
      </c>
      <c r="AA97" s="40" t="str">
        <f ca="1">IFERROR(IF(AND(
  INDEX(Roadmap!$D:$K,MATCH($E97,Roadmap!$D:$D,0)+COUNTIF($E97:Z97,"u")+COUNTIF($E97:Z97,"t")+COUNTIF($E97:Z97,"¶")+COUNTIF($E97:Z97,"²")+COUNTIF($E97:Z97,"µ")+COUNTIF($E97:Z97,1),ColLivraison)=AA$6,
  VLOOKUP($E97,INDIRECT("tri!"&amp; CHAR(64+ C0Col) &amp;":"&amp; CHAR(65+C0Col)),2,FALSE)&gt;COUNTIF($E97:Z97,"u")+COUNTIF($E97:Z97,"t")+COUNTIF($E97:Z97,"¶")+COUNTIF($E97:Z97,"²")+COUNTIF($E97:Z97,"µ")+COUNTIF($E97:Z97,1)),
HYPERLINK("#Roadmap!C"&amp; MATCH($E97,Roadmap!$D:$D,0)+COUNTIF($E97:Z97,"u")+COUNTIF($E97:Z97,"t"),
     INDEX(Roadmap!$D:$K,MATCH($E97,Roadmap!$D:$D,0)+COUNTIF($E97:Z97,"u")+COUNTIF($E97:Z97,"t")+COUNTIF($E97:Z97,"¶")+COUNTIF($E97:Z97,"²")+COUNTIF($E97:Z97,"µ")+COUNTIF($E97:Z97,1),ColTypeEcheance)),
  IF(LEN(Z97)=1,
  IF(LEN(INDEX(Roadmap!$D:$K,MATCH($E97,Roadmap!$D:$D,0)-1+COUNTIF($E97:Z97,"u")+COUNTIF($E97:Z97,"t")+COUNTIF($E97:Z97,"¶")+COUNTIF($E97:Z97,"²")+COUNTIF($E97:Z97,"µ")+COUNTIF($E97:Z97,1),ColDescriptionCourte))&gt;1,
HYPERLINK("#Roadmap!C"&amp; MATCH($E97,Roadmap!$D:$D,0)+COUNTIF($E97:Z97,"u")+COUNTIF($E97:Z97,"t")+COUNTIF($E97:Z97,"¶")+COUNTIF($E97:Z97,"²")+COUNTIF($E97:Z97,"µ")+COUNTIF($E97:Z97,1)-1,INDEX(Roadmap!$D:$K,MATCH($E97,Roadmap!$D:$D,0)-1+COUNTIF($E97:Z97,"u")+COUNTIF($E97:Z97,"t")+COUNTIF($E97:Z97,"¶")+COUNTIF($E97:Z97,"²")+COUNTIF($E97:Z97,"µ")+COUNTIF($E97:Z97,1),ColDescriptionCourte)),""),
  "")),"")</f>
        <v/>
      </c>
      <c r="AB97" s="40" t="str">
        <f ca="1">IFERROR(IF(AND(
  INDEX(Roadmap!$D:$K,MATCH($E97,Roadmap!$D:$D,0)+COUNTIF($E97:AA97,"u")+COUNTIF($E97:AA97,"t")+COUNTIF($E97:AA97,"¶")+COUNTIF($E97:AA97,"²")+COUNTIF($E97:AA97,"µ")+COUNTIF($E97:AA97,1),ColLivraison)=AB$6,
  VLOOKUP($E97,INDIRECT("tri!"&amp; CHAR(64+ C0Col) &amp;":"&amp; CHAR(65+C0Col)),2,FALSE)&gt;COUNTIF($E97:AA97,"u")+COUNTIF($E97:AA97,"t")+COUNTIF($E97:AA97,"¶")+COUNTIF($E97:AA97,"²")+COUNTIF($E97:AA97,"µ")+COUNTIF($E97:AA97,1)),
HYPERLINK("#Roadmap!C"&amp; MATCH($E97,Roadmap!$D:$D,0)+COUNTIF($E97:AA97,"u")+COUNTIF($E97:AA97,"t"),
     INDEX(Roadmap!$D:$K,MATCH($E97,Roadmap!$D:$D,0)+COUNTIF($E97:AA97,"u")+COUNTIF($E97:AA97,"t")+COUNTIF($E97:AA97,"¶")+COUNTIF($E97:AA97,"²")+COUNTIF($E97:AA97,"µ")+COUNTIF($E97:AA97,1),ColTypeEcheance)),
  IF(LEN(AA97)=1,
  IF(LEN(INDEX(Roadmap!$D:$K,MATCH($E97,Roadmap!$D:$D,0)-1+COUNTIF($E97:AA97,"u")+COUNTIF($E97:AA97,"t")+COUNTIF($E97:AA97,"¶")+COUNTIF($E97:AA97,"²")+COUNTIF($E97:AA97,"µ")+COUNTIF($E97:AA97,1),ColDescriptionCourte))&gt;1,
HYPERLINK("#Roadmap!C"&amp; MATCH($E97,Roadmap!$D:$D,0)+COUNTIF($E97:AA97,"u")+COUNTIF($E97:AA97,"t")+COUNTIF($E97:AA97,"¶")+COUNTIF($E97:AA97,"²")+COUNTIF($E97:AA97,"µ")+COUNTIF($E97:AA97,1)-1,INDEX(Roadmap!$D:$K,MATCH($E97,Roadmap!$D:$D,0)-1+COUNTIF($E97:AA97,"u")+COUNTIF($E97:AA97,"t")+COUNTIF($E97:AA97,"¶")+COUNTIF($E97:AA97,"²")+COUNTIF($E97:AA97,"µ")+COUNTIF($E97:AA97,1),ColDescriptionCourte)),""),
  "")),"")</f>
        <v/>
      </c>
      <c r="AC97" s="40" t="str">
        <f ca="1">IFERROR(IF(AND(
  INDEX(Roadmap!$D:$K,MATCH($E97,Roadmap!$D:$D,0)+COUNTIF($E97:AB97,"u")+COUNTIF($E97:AB97,"t")+COUNTIF($E97:AB97,"¶")+COUNTIF($E97:AB97,"²")+COUNTIF($E97:AB97,"µ")+COUNTIF($E97:AB97,1),ColLivraison)=AC$6,
  VLOOKUP($E97,INDIRECT("tri!"&amp; CHAR(64+ C0Col) &amp;":"&amp; CHAR(65+C0Col)),2,FALSE)&gt;COUNTIF($E97:AB97,"u")+COUNTIF($E97:AB97,"t")+COUNTIF($E97:AB97,"¶")+COUNTIF($E97:AB97,"²")+COUNTIF($E97:AB97,"µ")+COUNTIF($E97:AB97,1)),
HYPERLINK("#Roadmap!C"&amp; MATCH($E97,Roadmap!$D:$D,0)+COUNTIF($E97:AB97,"u")+COUNTIF($E97:AB97,"t"),
     INDEX(Roadmap!$D:$K,MATCH($E97,Roadmap!$D:$D,0)+COUNTIF($E97:AB97,"u")+COUNTIF($E97:AB97,"t")+COUNTIF($E97:AB97,"¶")+COUNTIF($E97:AB97,"²")+COUNTIF($E97:AB97,"µ")+COUNTIF($E97:AB97,1),ColTypeEcheance)),
  IF(LEN(AB97)=1,
  IF(LEN(INDEX(Roadmap!$D:$K,MATCH($E97,Roadmap!$D:$D,0)-1+COUNTIF($E97:AB97,"u")+COUNTIF($E97:AB97,"t")+COUNTIF($E97:AB97,"¶")+COUNTIF($E97:AB97,"²")+COUNTIF($E97:AB97,"µ")+COUNTIF($E97:AB97,1),ColDescriptionCourte))&gt;1,
HYPERLINK("#Roadmap!C"&amp; MATCH($E97,Roadmap!$D:$D,0)+COUNTIF($E97:AB97,"u")+COUNTIF($E97:AB97,"t")+COUNTIF($E97:AB97,"¶")+COUNTIF($E97:AB97,"²")+COUNTIF($E97:AB97,"µ")+COUNTIF($E97:AB97,1)-1,INDEX(Roadmap!$D:$K,MATCH($E97,Roadmap!$D:$D,0)-1+COUNTIF($E97:AB97,"u")+COUNTIF($E97:AB97,"t")+COUNTIF($E97:AB97,"¶")+COUNTIF($E97:AB97,"²")+COUNTIF($E97:AB97,"µ")+COUNTIF($E97:AB97,1),ColDescriptionCourte)),""),
  "")),"")</f>
        <v/>
      </c>
      <c r="AD97" s="40" t="str">
        <f ca="1">IFERROR(IF(AND(
  INDEX(Roadmap!$D:$K,MATCH($E97,Roadmap!$D:$D,0)+COUNTIF($E97:AC97,"u")+COUNTIF($E97:AC97,"t")+COUNTIF($E97:AC97,"¶")+COUNTIF($E97:AC97,"²")+COUNTIF($E97:AC97,"µ")+COUNTIF($E97:AC97,1),ColLivraison)=AD$6,
  VLOOKUP($E97,INDIRECT("tri!"&amp; CHAR(64+ C0Col) &amp;":"&amp; CHAR(65+C0Col)),2,FALSE)&gt;COUNTIF($E97:AC97,"u")+COUNTIF($E97:AC97,"t")+COUNTIF($E97:AC97,"¶")+COUNTIF($E97:AC97,"²")+COUNTIF($E97:AC97,"µ")+COUNTIF($E97:AC97,1)),
HYPERLINK("#Roadmap!C"&amp; MATCH($E97,Roadmap!$D:$D,0)+COUNTIF($E97:AC97,"u")+COUNTIF($E97:AC97,"t"),
     INDEX(Roadmap!$D:$K,MATCH($E97,Roadmap!$D:$D,0)+COUNTIF($E97:AC97,"u")+COUNTIF($E97:AC97,"t")+COUNTIF($E97:AC97,"¶")+COUNTIF($E97:AC97,"²")+COUNTIF($E97:AC97,"µ")+COUNTIF($E97:AC97,1),ColTypeEcheance)),
  IF(LEN(AC97)=1,
  IF(LEN(INDEX(Roadmap!$D:$K,MATCH($E97,Roadmap!$D:$D,0)-1+COUNTIF($E97:AC97,"u")+COUNTIF($E97:AC97,"t")+COUNTIF($E97:AC97,"¶")+COUNTIF($E97:AC97,"²")+COUNTIF($E97:AC97,"µ")+COUNTIF($E97:AC97,1),ColDescriptionCourte))&gt;1,
HYPERLINK("#Roadmap!C"&amp; MATCH($E97,Roadmap!$D:$D,0)+COUNTIF($E97:AC97,"u")+COUNTIF($E97:AC97,"t")+COUNTIF($E97:AC97,"¶")+COUNTIF($E97:AC97,"²")+COUNTIF($E97:AC97,"µ")+COUNTIF($E97:AC97,1)-1,INDEX(Roadmap!$D:$K,MATCH($E97,Roadmap!$D:$D,0)-1+COUNTIF($E97:AC97,"u")+COUNTIF($E97:AC97,"t")+COUNTIF($E97:AC97,"¶")+COUNTIF($E97:AC97,"²")+COUNTIF($E97:AC97,"µ")+COUNTIF($E97:AC97,1),ColDescriptionCourte)),""),
  "")),"")</f>
        <v/>
      </c>
      <c r="AE97" s="40" t="str">
        <f ca="1">IFERROR(IF(AND(
  INDEX(Roadmap!$D:$K,MATCH($E97,Roadmap!$D:$D,0)+COUNTIF($E97:AD97,"u")+COUNTIF($E97:AD97,"t")+COUNTIF($E97:AD97,"¶")+COUNTIF($E97:AD97,"²")+COUNTIF($E97:AD97,"µ")+COUNTIF($E97:AD97,1),ColLivraison)=AE$6,
  VLOOKUP($E97,INDIRECT("tri!"&amp; CHAR(64+ C0Col) &amp;":"&amp; CHAR(65+C0Col)),2,FALSE)&gt;COUNTIF($E97:AD97,"u")+COUNTIF($E97:AD97,"t")+COUNTIF($E97:AD97,"¶")+COUNTIF($E97:AD97,"²")+COUNTIF($E97:AD97,"µ")+COUNTIF($E97:AD97,1)),
HYPERLINK("#Roadmap!C"&amp; MATCH($E97,Roadmap!$D:$D,0)+COUNTIF($E97:AD97,"u")+COUNTIF($E97:AD97,"t"),
     INDEX(Roadmap!$D:$K,MATCH($E97,Roadmap!$D:$D,0)+COUNTIF($E97:AD97,"u")+COUNTIF($E97:AD97,"t")+COUNTIF($E97:AD97,"¶")+COUNTIF($E97:AD97,"²")+COUNTIF($E97:AD97,"µ")+COUNTIF($E97:AD97,1),ColTypeEcheance)),
  IF(LEN(AD97)=1,
  IF(LEN(INDEX(Roadmap!$D:$K,MATCH($E97,Roadmap!$D:$D,0)-1+COUNTIF($E97:AD97,"u")+COUNTIF($E97:AD97,"t")+COUNTIF($E97:AD97,"¶")+COUNTIF($E97:AD97,"²")+COUNTIF($E97:AD97,"µ")+COUNTIF($E97:AD97,1),ColDescriptionCourte))&gt;1,
HYPERLINK("#Roadmap!C"&amp; MATCH($E97,Roadmap!$D:$D,0)+COUNTIF($E97:AD97,"u")+COUNTIF($E97:AD97,"t")+COUNTIF($E97:AD97,"¶")+COUNTIF($E97:AD97,"²")+COUNTIF($E97:AD97,"µ")+COUNTIF($E97:AD97,1)-1,INDEX(Roadmap!$D:$K,MATCH($E97,Roadmap!$D:$D,0)-1+COUNTIF($E97:AD97,"u")+COUNTIF($E97:AD97,"t")+COUNTIF($E97:AD97,"¶")+COUNTIF($E97:AD97,"²")+COUNTIF($E97:AD97,"µ")+COUNTIF($E97:AD97,1),ColDescriptionCourte)),""),
  "")),"")</f>
        <v/>
      </c>
      <c r="AF97" s="40" t="str">
        <f ca="1">IFERROR(IF(AND(
  INDEX(Roadmap!$D:$K,MATCH($E97,Roadmap!$D:$D,0)+COUNTIF($E97:AE97,"u")+COUNTIF($E97:AE97,"t")+COUNTIF($E97:AE97,"¶")+COUNTIF($E97:AE97,"²")+COUNTIF($E97:AE97,"µ")+COUNTIF($E97:AE97,1),ColLivraison)=AF$6,
  VLOOKUP($E97,INDIRECT("tri!"&amp; CHAR(64+ C0Col) &amp;":"&amp; CHAR(65+C0Col)),2,FALSE)&gt;COUNTIF($E97:AE97,"u")+COUNTIF($E97:AE97,"t")+COUNTIF($E97:AE97,"¶")+COUNTIF($E97:AE97,"²")+COUNTIF($E97:AE97,"µ")+COUNTIF($E97:AE97,1)),
HYPERLINK("#Roadmap!C"&amp; MATCH($E97,Roadmap!$D:$D,0)+COUNTIF($E97:AE97,"u")+COUNTIF($E97:AE97,"t"),
     INDEX(Roadmap!$D:$K,MATCH($E97,Roadmap!$D:$D,0)+COUNTIF($E97:AE97,"u")+COUNTIF($E97:AE97,"t")+COUNTIF($E97:AE97,"¶")+COUNTIF($E97:AE97,"²")+COUNTIF($E97:AE97,"µ")+COUNTIF($E97:AE97,1),ColTypeEcheance)),
  IF(LEN(AE97)=1,
  IF(LEN(INDEX(Roadmap!$D:$K,MATCH($E97,Roadmap!$D:$D,0)-1+COUNTIF($E97:AE97,"u")+COUNTIF($E97:AE97,"t")+COUNTIF($E97:AE97,"¶")+COUNTIF($E97:AE97,"²")+COUNTIF($E97:AE97,"µ")+COUNTIF($E97:AE97,1),ColDescriptionCourte))&gt;1,
HYPERLINK("#Roadmap!C"&amp; MATCH($E97,Roadmap!$D:$D,0)+COUNTIF($E97:AE97,"u")+COUNTIF($E97:AE97,"t")+COUNTIF($E97:AE97,"¶")+COUNTIF($E97:AE97,"²")+COUNTIF($E97:AE97,"µ")+COUNTIF($E97:AE97,1)-1,INDEX(Roadmap!$D:$K,MATCH($E97,Roadmap!$D:$D,0)-1+COUNTIF($E97:AE97,"u")+COUNTIF($E97:AE97,"t")+COUNTIF($E97:AE97,"¶")+COUNTIF($E97:AE97,"²")+COUNTIF($E97:AE97,"µ")+COUNTIF($E97:AE97,1),ColDescriptionCourte)),""),
  "")),"")</f>
        <v/>
      </c>
      <c r="AG97" s="40" t="str">
        <f ca="1">IFERROR(IF(AND(
  INDEX(Roadmap!$D:$K,MATCH($E97,Roadmap!$D:$D,0)+COUNTIF($E97:AF97,"u")+COUNTIF($E97:AF97,"t")+COUNTIF($E97:AF97,"¶")+COUNTIF($E97:AF97,"²")+COUNTIF($E97:AF97,"µ")+COUNTIF($E97:AF97,1),ColLivraison)=AG$6,
  VLOOKUP($E97,INDIRECT("tri!"&amp; CHAR(64+ C0Col) &amp;":"&amp; CHAR(65+C0Col)),2,FALSE)&gt;COUNTIF($E97:AF97,"u")+COUNTIF($E97:AF97,"t")+COUNTIF($E97:AF97,"¶")+COUNTIF($E97:AF97,"²")+COUNTIF($E97:AF97,"µ")+COUNTIF($E97:AF97,1)),
HYPERLINK("#Roadmap!C"&amp; MATCH($E97,Roadmap!$D:$D,0)+COUNTIF($E97:AF97,"u")+COUNTIF($E97:AF97,"t"),
     INDEX(Roadmap!$D:$K,MATCH($E97,Roadmap!$D:$D,0)+COUNTIF($E97:AF97,"u")+COUNTIF($E97:AF97,"t")+COUNTIF($E97:AF97,"¶")+COUNTIF($E97:AF97,"²")+COUNTIF($E97:AF97,"µ")+COUNTIF($E97:AF97,1),ColTypeEcheance)),
  IF(LEN(AF97)=1,
  IF(LEN(INDEX(Roadmap!$D:$K,MATCH($E97,Roadmap!$D:$D,0)-1+COUNTIF($E97:AF97,"u")+COUNTIF($E97:AF97,"t")+COUNTIF($E97:AF97,"¶")+COUNTIF($E97:AF97,"²")+COUNTIF($E97:AF97,"µ")+COUNTIF($E97:AF97,1),ColDescriptionCourte))&gt;1,
HYPERLINK("#Roadmap!C"&amp; MATCH($E97,Roadmap!$D:$D,0)+COUNTIF($E97:AF97,"u")+COUNTIF($E97:AF97,"t")+COUNTIF($E97:AF97,"¶")+COUNTIF($E97:AF97,"²")+COUNTIF($E97:AF97,"µ")+COUNTIF($E97:AF97,1)-1,INDEX(Roadmap!$D:$K,MATCH($E97,Roadmap!$D:$D,0)-1+COUNTIF($E97:AF97,"u")+COUNTIF($E97:AF97,"t")+COUNTIF($E97:AF97,"¶")+COUNTIF($E97:AF97,"²")+COUNTIF($E97:AF97,"µ")+COUNTIF($E97:AF97,1),ColDescriptionCourte)),""),
  "")),"")</f>
        <v/>
      </c>
    </row>
    <row r="98" spans="3:33" ht="14.25" customHeight="1">
      <c r="C98" s="1" t="str">
        <f t="shared" ca="1" si="47"/>
        <v/>
      </c>
      <c r="D98" s="1" t="str">
        <f t="shared" ca="1" si="48"/>
        <v/>
      </c>
      <c r="E98" s="35" t="str">
        <f t="shared" ca="1" si="46"/>
        <v/>
      </c>
      <c r="F98" s="39" t="str">
        <f ca="1">IFERROR(IF(AND(
  INDEX(Roadmap!$D:$K,MATCH($E98,Roadmap!$D:$D,0)+COUNTIF($E98:E98,"u")+COUNTIF($E98:E98,"t")+COUNTIF($E98:E98,"¶")+COUNTIF($E98:E98,"²")+COUNTIF($E98:E98,"µ")+COUNTIF($E98:E98,1),ColLivraison)=F$6,
  VLOOKUP($E98,INDIRECT("tri!"&amp; CHAR(64+ C0Col) &amp;":"&amp; CHAR(65+C0Col)),2,FALSE)&gt;COUNTIF($E98:E98,"u")+COUNTIF($E98:E98,"t")+COUNTIF($E98:E98,"¶")+COUNTIF($E98:E98,"²")+COUNTIF($E98:E98,"µ")+COUNTIF($E98:E98,1)),
HYPERLINK("#Roadmap!C"&amp; MATCH($E98,Roadmap!$D:$D,0)+COUNTIF($E98:E98,"u")+COUNTIF($E98:E98,"t"),
     INDEX(Roadmap!$D:$K,MATCH($E98,Roadmap!$D:$D,0)+COUNTIF($E98:E98,"u")+COUNTIF($E98:E98,"t")+COUNTIF($E98:E98,"¶")+COUNTIF($E98:E98,"²")+COUNTIF($E98:E98,"µ")+COUNTIF($E98:E98,1),ColTypeEcheance)),
  IF(LEN(E98)=1,
  IF(LEN(INDEX(Roadmap!$D:$K,MATCH($E98,Roadmap!$D:$D,0)-1+COUNTIF($E98:E98,"u")+COUNTIF($E98:E98,"t")+COUNTIF($E98:E98,"¶")+COUNTIF($E98:E98,"²")+COUNTIF($E98:E98,"µ")+COUNTIF($E98:E98,1),ColDescriptionCourte))&gt;1,
HYPERLINK("#Roadmap!C"&amp; MATCH($E98,Roadmap!$D:$D,0)+COUNTIF($E98:E98,"u")+COUNTIF($E98:E98,"t")+COUNTIF($E98:E98,"¶")+COUNTIF($E98:E98,"²")+COUNTIF($E98:E98,"µ")+COUNTIF($E98:E98,1)-1,INDEX(Roadmap!$D:$K,MATCH($E98,Roadmap!$D:$D,0)-1+COUNTIF($E98:E98,"u")+COUNTIF($E98:E98,"t")+COUNTIF($E98:E98,"¶")+COUNTIF($E98:E98,"²")+COUNTIF($E98:E98,"µ")+COUNTIF($E98:E98,1),ColDescriptionCourte)),""),
  "")),"")</f>
        <v/>
      </c>
      <c r="G98" s="40" t="str">
        <f ca="1">IFERROR(IF(AND(
  INDEX(Roadmap!$D:$K,MATCH($E98,Roadmap!$D:$D,0)+COUNTIF($E98:F98,"u")+COUNTIF($E98:F98,"t")+COUNTIF($E98:F98,"¶")+COUNTIF($E98:F98,"²")+COUNTIF($E98:F98,"µ")+COUNTIF($E98:F98,1),ColLivraison)=G$6,
  VLOOKUP($E98,INDIRECT("tri!"&amp; CHAR(64+ C0Col) &amp;":"&amp; CHAR(65+C0Col)),2,FALSE)&gt;COUNTIF($E98:F98,"u")+COUNTIF($E98:F98,"t")+COUNTIF($E98:F98,"¶")+COUNTIF($E98:F98,"²")+COUNTIF($E98:F98,"µ")+COUNTIF($E98:F98,1)),
HYPERLINK("#Roadmap!C"&amp; MATCH($E98,Roadmap!$D:$D,0)+COUNTIF($E98:F98,"u")+COUNTIF($E98:F98,"t"),
     INDEX(Roadmap!$D:$K,MATCH($E98,Roadmap!$D:$D,0)+COUNTIF($E98:F98,"u")+COUNTIF($E98:F98,"t")+COUNTIF($E98:F98,"¶")+COUNTIF($E98:F98,"²")+COUNTIF($E98:F98,"µ")+COUNTIF($E98:F98,1),ColTypeEcheance)),
  IF(LEN(F98)=1,
  IF(LEN(INDEX(Roadmap!$D:$K,MATCH($E98,Roadmap!$D:$D,0)-1+COUNTIF($E98:F98,"u")+COUNTIF($E98:F98,"t")+COUNTIF($E98:F98,"¶")+COUNTIF($E98:F98,"²")+COUNTIF($E98:F98,"µ")+COUNTIF($E98:F98,1),ColDescriptionCourte))&gt;1,
HYPERLINK("#Roadmap!C"&amp; MATCH($E98,Roadmap!$D:$D,0)+COUNTIF($E98:F98,"u")+COUNTIF($E98:F98,"t")+COUNTIF($E98:F98,"¶")+COUNTIF($E98:F98,"²")+COUNTIF($E98:F98,"µ")+COUNTIF($E98:F98,1)-1,INDEX(Roadmap!$D:$K,MATCH($E98,Roadmap!$D:$D,0)-1+COUNTIF($E98:F98,"u")+COUNTIF($E98:F98,"t")+COUNTIF($E98:F98,"¶")+COUNTIF($E98:F98,"²")+COUNTIF($E98:F98,"µ")+COUNTIF($E98:F98,1),ColDescriptionCourte)),""),
  "")),"")</f>
        <v/>
      </c>
      <c r="H98" s="40" t="str">
        <f ca="1">IFERROR(IF(AND(
  INDEX(Roadmap!$D:$K,MATCH($E98,Roadmap!$D:$D,0)+COUNTIF($E98:G98,"u")+COUNTIF($E98:G98,"t")+COUNTIF($E98:G98,"¶")+COUNTIF($E98:G98,"²")+COUNTIF($E98:G98,"µ")+COUNTIF($E98:G98,1),ColLivraison)=H$6,
  VLOOKUP($E98,INDIRECT("tri!"&amp; CHAR(64+ C0Col) &amp;":"&amp; CHAR(65+C0Col)),2,FALSE)&gt;COUNTIF($E98:G98,"u")+COUNTIF($E98:G98,"t")+COUNTIF($E98:G98,"¶")+COUNTIF($E98:G98,"²")+COUNTIF($E98:G98,"µ")+COUNTIF($E98:G98,1)),
HYPERLINK("#Roadmap!C"&amp; MATCH($E98,Roadmap!$D:$D,0)+COUNTIF($E98:G98,"u")+COUNTIF($E98:G98,"t"),
     INDEX(Roadmap!$D:$K,MATCH($E98,Roadmap!$D:$D,0)+COUNTIF($E98:G98,"u")+COUNTIF($E98:G98,"t")+COUNTIF($E98:G98,"¶")+COUNTIF($E98:G98,"²")+COUNTIF($E98:G98,"µ")+COUNTIF($E98:G98,1),ColTypeEcheance)),
  IF(LEN(G98)=1,
  IF(LEN(INDEX(Roadmap!$D:$K,MATCH($E98,Roadmap!$D:$D,0)-1+COUNTIF($E98:G98,"u")+COUNTIF($E98:G98,"t")+COUNTIF($E98:G98,"¶")+COUNTIF($E98:G98,"²")+COUNTIF($E98:G98,"µ")+COUNTIF($E98:G98,1),ColDescriptionCourte))&gt;1,
HYPERLINK("#Roadmap!C"&amp; MATCH($E98,Roadmap!$D:$D,0)+COUNTIF($E98:G98,"u")+COUNTIF($E98:G98,"t")+COUNTIF($E98:G98,"¶")+COUNTIF($E98:G98,"²")+COUNTIF($E98:G98,"µ")+COUNTIF($E98:G98,1)-1,INDEX(Roadmap!$D:$K,MATCH($E98,Roadmap!$D:$D,0)-1+COUNTIF($E98:G98,"u")+COUNTIF($E98:G98,"t")+COUNTIF($E98:G98,"¶")+COUNTIF($E98:G98,"²")+COUNTIF($E98:G98,"µ")+COUNTIF($E98:G98,1),ColDescriptionCourte)),""),
  "")),"")</f>
        <v/>
      </c>
      <c r="I98" s="40" t="str">
        <f ca="1">IFERROR(IF(AND(
  INDEX(Roadmap!$D:$K,MATCH($E98,Roadmap!$D:$D,0)+COUNTIF($E98:H98,"u")+COUNTIF($E98:H98,"t")+COUNTIF($E98:H98,"¶")+COUNTIF($E98:H98,"²")+COUNTIF($E98:H98,"µ")+COUNTIF($E98:H98,1),ColLivraison)=I$6,
  VLOOKUP($E98,INDIRECT("tri!"&amp; CHAR(64+ C0Col) &amp;":"&amp; CHAR(65+C0Col)),2,FALSE)&gt;COUNTIF($E98:H98,"u")+COUNTIF($E98:H98,"t")+COUNTIF($E98:H98,"¶")+COUNTIF($E98:H98,"²")+COUNTIF($E98:H98,"µ")+COUNTIF($E98:H98,1)),
HYPERLINK("#Roadmap!C"&amp; MATCH($E98,Roadmap!$D:$D,0)+COUNTIF($E98:H98,"u")+COUNTIF($E98:H98,"t"),
     INDEX(Roadmap!$D:$K,MATCH($E98,Roadmap!$D:$D,0)+COUNTIF($E98:H98,"u")+COUNTIF($E98:H98,"t")+COUNTIF($E98:H98,"¶")+COUNTIF($E98:H98,"²")+COUNTIF($E98:H98,"µ")+COUNTIF($E98:H98,1),ColTypeEcheance)),
  IF(LEN(H98)=1,
  IF(LEN(INDEX(Roadmap!$D:$K,MATCH($E98,Roadmap!$D:$D,0)-1+COUNTIF($E98:H98,"u")+COUNTIF($E98:H98,"t")+COUNTIF($E98:H98,"¶")+COUNTIF($E98:H98,"²")+COUNTIF($E98:H98,"µ")+COUNTIF($E98:H98,1),ColDescriptionCourte))&gt;1,
HYPERLINK("#Roadmap!C"&amp; MATCH($E98,Roadmap!$D:$D,0)+COUNTIF($E98:H98,"u")+COUNTIF($E98:H98,"t")+COUNTIF($E98:H98,"¶")+COUNTIF($E98:H98,"²")+COUNTIF($E98:H98,"µ")+COUNTIF($E98:H98,1)-1,INDEX(Roadmap!$D:$K,MATCH($E98,Roadmap!$D:$D,0)-1+COUNTIF($E98:H98,"u")+COUNTIF($E98:H98,"t")+COUNTIF($E98:H98,"¶")+COUNTIF($E98:H98,"²")+COUNTIF($E98:H98,"µ")+COUNTIF($E98:H98,1),ColDescriptionCourte)),""),
  "")),"")</f>
        <v/>
      </c>
      <c r="J98" s="40" t="str">
        <f ca="1">IFERROR(IF(AND(
  INDEX(Roadmap!$D:$K,MATCH($E98,Roadmap!$D:$D,0)+COUNTIF($E98:I98,"u")+COUNTIF($E98:I98,"t")+COUNTIF($E98:I98,"¶")+COUNTIF($E98:I98,"²")+COUNTIF($E98:I98,"µ")+COUNTIF($E98:I98,1),ColLivraison)=J$6,
  VLOOKUP($E98,INDIRECT("tri!"&amp; CHAR(64+ C0Col) &amp;":"&amp; CHAR(65+C0Col)),2,FALSE)&gt;COUNTIF($E98:I98,"u")+COUNTIF($E98:I98,"t")+COUNTIF($E98:I98,"¶")+COUNTIF($E98:I98,"²")+COUNTIF($E98:I98,"µ")+COUNTIF($E98:I98,1)),
HYPERLINK("#Roadmap!C"&amp; MATCH($E98,Roadmap!$D:$D,0)+COUNTIF($E98:I98,"u")+COUNTIF($E98:I98,"t"),
     INDEX(Roadmap!$D:$K,MATCH($E98,Roadmap!$D:$D,0)+COUNTIF($E98:I98,"u")+COUNTIF($E98:I98,"t")+COUNTIF($E98:I98,"¶")+COUNTIF($E98:I98,"²")+COUNTIF($E98:I98,"µ")+COUNTIF($E98:I98,1),ColTypeEcheance)),
  IF(LEN(I98)=1,
  IF(LEN(INDEX(Roadmap!$D:$K,MATCH($E98,Roadmap!$D:$D,0)-1+COUNTIF($E98:I98,"u")+COUNTIF($E98:I98,"t")+COUNTIF($E98:I98,"¶")+COUNTIF($E98:I98,"²")+COUNTIF($E98:I98,"µ")+COUNTIF($E98:I98,1),ColDescriptionCourte))&gt;1,
HYPERLINK("#Roadmap!C"&amp; MATCH($E98,Roadmap!$D:$D,0)+COUNTIF($E98:I98,"u")+COUNTIF($E98:I98,"t")+COUNTIF($E98:I98,"¶")+COUNTIF($E98:I98,"²")+COUNTIF($E98:I98,"µ")+COUNTIF($E98:I98,1)-1,INDEX(Roadmap!$D:$K,MATCH($E98,Roadmap!$D:$D,0)-1+COUNTIF($E98:I98,"u")+COUNTIF($E98:I98,"t")+COUNTIF($E98:I98,"¶")+COUNTIF($E98:I98,"²")+COUNTIF($E98:I98,"µ")+COUNTIF($E98:I98,1),ColDescriptionCourte)),""),
  "")),"")</f>
        <v/>
      </c>
      <c r="K98" s="40" t="str">
        <f ca="1">IFERROR(IF(AND(
  INDEX(Roadmap!$D:$K,MATCH($E98,Roadmap!$D:$D,0)+COUNTIF($E98:J98,"u")+COUNTIF($E98:J98,"t")+COUNTIF($E98:J98,"¶")+COUNTIF($E98:J98,"²")+COUNTIF($E98:J98,"µ")+COUNTIF($E98:J98,1),ColLivraison)=K$6,
  VLOOKUP($E98,INDIRECT("tri!"&amp; CHAR(64+ C0Col) &amp;":"&amp; CHAR(65+C0Col)),2,FALSE)&gt;COUNTIF($E98:J98,"u")+COUNTIF($E98:J98,"t")+COUNTIF($E98:J98,"¶")+COUNTIF($E98:J98,"²")+COUNTIF($E98:J98,"µ")+COUNTIF($E98:J98,1)),
HYPERLINK("#Roadmap!C"&amp; MATCH($E98,Roadmap!$D:$D,0)+COUNTIF($E98:J98,"u")+COUNTIF($E98:J98,"t"),
     INDEX(Roadmap!$D:$K,MATCH($E98,Roadmap!$D:$D,0)+COUNTIF($E98:J98,"u")+COUNTIF($E98:J98,"t")+COUNTIF($E98:J98,"¶")+COUNTIF($E98:J98,"²")+COUNTIF($E98:J98,"µ")+COUNTIF($E98:J98,1),ColTypeEcheance)),
  IF(LEN(J98)=1,
  IF(LEN(INDEX(Roadmap!$D:$K,MATCH($E98,Roadmap!$D:$D,0)-1+COUNTIF($E98:J98,"u")+COUNTIF($E98:J98,"t")+COUNTIF($E98:J98,"¶")+COUNTIF($E98:J98,"²")+COUNTIF($E98:J98,"µ")+COUNTIF($E98:J98,1),ColDescriptionCourte))&gt;1,
HYPERLINK("#Roadmap!C"&amp; MATCH($E98,Roadmap!$D:$D,0)+COUNTIF($E98:J98,"u")+COUNTIF($E98:J98,"t")+COUNTIF($E98:J98,"¶")+COUNTIF($E98:J98,"²")+COUNTIF($E98:J98,"µ")+COUNTIF($E98:J98,1)-1,INDEX(Roadmap!$D:$K,MATCH($E98,Roadmap!$D:$D,0)-1+COUNTIF($E98:J98,"u")+COUNTIF($E98:J98,"t")+COUNTIF($E98:J98,"¶")+COUNTIF($E98:J98,"²")+COUNTIF($E98:J98,"µ")+COUNTIF($E98:J98,1),ColDescriptionCourte)),""),
  "")),"")</f>
        <v/>
      </c>
      <c r="L98" s="39" t="str">
        <f ca="1">IFERROR(IF(AND(
  INDEX(Roadmap!$D:$K,MATCH($E98,Roadmap!$D:$D,0)+COUNTIF($E98:K98,"u")+COUNTIF($E98:K98,"t")+COUNTIF($E98:K98,"¶")+COUNTIF($E98:K98,"²")+COUNTIF($E98:K98,"µ")+COUNTIF($E98:K98,1),ColLivraison)=L$6,
  VLOOKUP($E98,INDIRECT("tri!"&amp; CHAR(64+ C0Col) &amp;":"&amp; CHAR(65+C0Col)),2,FALSE)&gt;COUNTIF($E98:K98,"u")+COUNTIF($E98:K98,"t")+COUNTIF($E98:K98,"¶")+COUNTIF($E98:K98,"²")+COUNTIF($E98:K98,"µ")+COUNTIF($E98:K98,1)),
HYPERLINK("#Roadmap!C"&amp; MATCH($E98,Roadmap!$D:$D,0)+COUNTIF($E98:K98,"u")+COUNTIF($E98:K98,"t"),
     INDEX(Roadmap!$D:$K,MATCH($E98,Roadmap!$D:$D,0)+COUNTIF($E98:K98,"u")+COUNTIF($E98:K98,"t")+COUNTIF($E98:K98,"¶")+COUNTIF($E98:K98,"²")+COUNTIF($E98:K98,"µ")+COUNTIF($E98:K98,1),ColTypeEcheance)),
  IF(LEN(K98)=1,
  IF(LEN(INDEX(Roadmap!$D:$K,MATCH($E98,Roadmap!$D:$D,0)-1+COUNTIF($E98:K98,"u")+COUNTIF($E98:K98,"t")+COUNTIF($E98:K98,"¶")+COUNTIF($E98:K98,"²")+COUNTIF($E98:K98,"µ")+COUNTIF($E98:K98,1),ColDescriptionCourte))&gt;1,
HYPERLINK("#Roadmap!C"&amp; MATCH($E98,Roadmap!$D:$D,0)+COUNTIF($E98:K98,"u")+COUNTIF($E98:K98,"t")+COUNTIF($E98:K98,"¶")+COUNTIF($E98:K98,"²")+COUNTIF($E98:K98,"µ")+COUNTIF($E98:K98,1)-1,INDEX(Roadmap!$D:$K,MATCH($E98,Roadmap!$D:$D,0)-1+COUNTIF($E98:K98,"u")+COUNTIF($E98:K98,"t")+COUNTIF($E98:K98,"¶")+COUNTIF($E98:K98,"²")+COUNTIF($E98:K98,"µ")+COUNTIF($E98:K98,1),ColDescriptionCourte)),""),
  "")),"")</f>
        <v/>
      </c>
      <c r="M98" s="40" t="str">
        <f ca="1">IFERROR(IF(AND(
  INDEX(Roadmap!$D:$K,MATCH($E98,Roadmap!$D:$D,0)+COUNTIF($E98:L98,"u")+COUNTIF($E98:L98,"t")+COUNTIF($E98:L98,"¶")+COUNTIF($E98:L98,"²")+COUNTIF($E98:L98,"µ")+COUNTIF($E98:L98,1),ColLivraison)=M$6,
  VLOOKUP($E98,INDIRECT("tri!"&amp; CHAR(64+ C0Col) &amp;":"&amp; CHAR(65+C0Col)),2,FALSE)&gt;COUNTIF($E98:L98,"u")+COUNTIF($E98:L98,"t")+COUNTIF($E98:L98,"¶")+COUNTIF($E98:L98,"²")+COUNTIF($E98:L98,"µ")+COUNTIF($E98:L98,1)),
HYPERLINK("#Roadmap!C"&amp; MATCH($E98,Roadmap!$D:$D,0)+COUNTIF($E98:L98,"u")+COUNTIF($E98:L98,"t"),
     INDEX(Roadmap!$D:$K,MATCH($E98,Roadmap!$D:$D,0)+COUNTIF($E98:L98,"u")+COUNTIF($E98:L98,"t")+COUNTIF($E98:L98,"¶")+COUNTIF($E98:L98,"²")+COUNTIF($E98:L98,"µ")+COUNTIF($E98:L98,1),ColTypeEcheance)),
  IF(LEN(L98)=1,
  IF(LEN(INDEX(Roadmap!$D:$K,MATCH($E98,Roadmap!$D:$D,0)-1+COUNTIF($E98:L98,"u")+COUNTIF($E98:L98,"t")+COUNTIF($E98:L98,"¶")+COUNTIF($E98:L98,"²")+COUNTIF($E98:L98,"µ")+COUNTIF($E98:L98,1),ColDescriptionCourte))&gt;1,
HYPERLINK("#Roadmap!C"&amp; MATCH($E98,Roadmap!$D:$D,0)+COUNTIF($E98:L98,"u")+COUNTIF($E98:L98,"t")+COUNTIF($E98:L98,"¶")+COUNTIF($E98:L98,"²")+COUNTIF($E98:L98,"µ")+COUNTIF($E98:L98,1)-1,INDEX(Roadmap!$D:$K,MATCH($E98,Roadmap!$D:$D,0)-1+COUNTIF($E98:L98,"u")+COUNTIF($E98:L98,"t")+COUNTIF($E98:L98,"¶")+COUNTIF($E98:L98,"²")+COUNTIF($E98:L98,"µ")+COUNTIF($E98:L98,1),ColDescriptionCourte)),""),
  "")),"")</f>
        <v/>
      </c>
      <c r="N98" s="40" t="str">
        <f ca="1">IFERROR(IF(AND(
  INDEX(Roadmap!$D:$K,MATCH($E98,Roadmap!$D:$D,0)+COUNTIF($E98:M98,"u")+COUNTIF($E98:M98,"t")+COUNTIF($E98:M98,"¶")+COUNTIF($E98:M98,"²")+COUNTIF($E98:M98,"µ")+COUNTIF($E98:M98,1),ColLivraison)=N$6,
  VLOOKUP($E98,INDIRECT("tri!"&amp; CHAR(64+ C0Col) &amp;":"&amp; CHAR(65+C0Col)),2,FALSE)&gt;COUNTIF($E98:M98,"u")+COUNTIF($E98:M98,"t")+COUNTIF($E98:M98,"¶")+COUNTIF($E98:M98,"²")+COUNTIF($E98:M98,"µ")+COUNTIF($E98:M98,1)),
HYPERLINK("#Roadmap!C"&amp; MATCH($E98,Roadmap!$D:$D,0)+COUNTIF($E98:M98,"u")+COUNTIF($E98:M98,"t"),
     INDEX(Roadmap!$D:$K,MATCH($E98,Roadmap!$D:$D,0)+COUNTIF($E98:M98,"u")+COUNTIF($E98:M98,"t")+COUNTIF($E98:M98,"¶")+COUNTIF($E98:M98,"²")+COUNTIF($E98:M98,"µ")+COUNTIF($E98:M98,1),ColTypeEcheance)),
  IF(LEN(M98)=1,
  IF(LEN(INDEX(Roadmap!$D:$K,MATCH($E98,Roadmap!$D:$D,0)-1+COUNTIF($E98:M98,"u")+COUNTIF($E98:M98,"t")+COUNTIF($E98:M98,"¶")+COUNTIF($E98:M98,"²")+COUNTIF($E98:M98,"µ")+COUNTIF($E98:M98,1),ColDescriptionCourte))&gt;1,
HYPERLINK("#Roadmap!C"&amp; MATCH($E98,Roadmap!$D:$D,0)+COUNTIF($E98:M98,"u")+COUNTIF($E98:M98,"t")+COUNTIF($E98:M98,"¶")+COUNTIF($E98:M98,"²")+COUNTIF($E98:M98,"µ")+COUNTIF($E98:M98,1)-1,INDEX(Roadmap!$D:$K,MATCH($E98,Roadmap!$D:$D,0)-1+COUNTIF($E98:M98,"u")+COUNTIF($E98:M98,"t")+COUNTIF($E98:M98,"¶")+COUNTIF($E98:M98,"²")+COUNTIF($E98:M98,"µ")+COUNTIF($E98:M98,1),ColDescriptionCourte)),""),
  "")),"")</f>
        <v/>
      </c>
      <c r="O98" s="40" t="str">
        <f ca="1">IFERROR(IF(AND(
  INDEX(Roadmap!$D:$K,MATCH($E98,Roadmap!$D:$D,0)+COUNTIF($E98:N98,"u")+COUNTIF($E98:N98,"t")+COUNTIF($E98:N98,"¶")+COUNTIF($E98:N98,"²")+COUNTIF($E98:N98,"µ")+COUNTIF($E98:N98,1),ColLivraison)=O$6,
  VLOOKUP($E98,INDIRECT("tri!"&amp; CHAR(64+ C0Col) &amp;":"&amp; CHAR(65+C0Col)),2,FALSE)&gt;COUNTIF($E98:N98,"u")+COUNTIF($E98:N98,"t")+COUNTIF($E98:N98,"¶")+COUNTIF($E98:N98,"²")+COUNTIF($E98:N98,"µ")+COUNTIF($E98:N98,1)),
HYPERLINK("#Roadmap!C"&amp; MATCH($E98,Roadmap!$D:$D,0)+COUNTIF($E98:N98,"u")+COUNTIF($E98:N98,"t"),
     INDEX(Roadmap!$D:$K,MATCH($E98,Roadmap!$D:$D,0)+COUNTIF($E98:N98,"u")+COUNTIF($E98:N98,"t")+COUNTIF($E98:N98,"¶")+COUNTIF($E98:N98,"²")+COUNTIF($E98:N98,"µ")+COUNTIF($E98:N98,1),ColTypeEcheance)),
  IF(LEN(N98)=1,
  IF(LEN(INDEX(Roadmap!$D:$K,MATCH($E98,Roadmap!$D:$D,0)-1+COUNTIF($E98:N98,"u")+COUNTIF($E98:N98,"t")+COUNTIF($E98:N98,"¶")+COUNTIF($E98:N98,"²")+COUNTIF($E98:N98,"µ")+COUNTIF($E98:N98,1),ColDescriptionCourte))&gt;1,
HYPERLINK("#Roadmap!C"&amp; MATCH($E98,Roadmap!$D:$D,0)+COUNTIF($E98:N98,"u")+COUNTIF($E98:N98,"t")+COUNTIF($E98:N98,"¶")+COUNTIF($E98:N98,"²")+COUNTIF($E98:N98,"µ")+COUNTIF($E98:N98,1)-1,INDEX(Roadmap!$D:$K,MATCH($E98,Roadmap!$D:$D,0)-1+COUNTIF($E98:N98,"u")+COUNTIF($E98:N98,"t")+COUNTIF($E98:N98,"¶")+COUNTIF($E98:N98,"²")+COUNTIF($E98:N98,"µ")+COUNTIF($E98:N98,1),ColDescriptionCourte)),""),
  "")),"")</f>
        <v/>
      </c>
      <c r="P98" s="40" t="str">
        <f ca="1">IFERROR(IF(AND(
  INDEX(Roadmap!$D:$K,MATCH($E98,Roadmap!$D:$D,0)+COUNTIF($E98:O98,"u")+COUNTIF($E98:O98,"t")+COUNTIF($E98:O98,"¶")+COUNTIF($E98:O98,"²")+COUNTIF($E98:O98,"µ")+COUNTIF($E98:O98,1),ColLivraison)=P$6,
  VLOOKUP($E98,INDIRECT("tri!"&amp; CHAR(64+ C0Col) &amp;":"&amp; CHAR(65+C0Col)),2,FALSE)&gt;COUNTIF($E98:O98,"u")+COUNTIF($E98:O98,"t")+COUNTIF($E98:O98,"¶")+COUNTIF($E98:O98,"²")+COUNTIF($E98:O98,"µ")+COUNTIF($E98:O98,1)),
HYPERLINK("#Roadmap!C"&amp; MATCH($E98,Roadmap!$D:$D,0)+COUNTIF($E98:O98,"u")+COUNTIF($E98:O98,"t"),
     INDEX(Roadmap!$D:$K,MATCH($E98,Roadmap!$D:$D,0)+COUNTIF($E98:O98,"u")+COUNTIF($E98:O98,"t")+COUNTIF($E98:O98,"¶")+COUNTIF($E98:O98,"²")+COUNTIF($E98:O98,"µ")+COUNTIF($E98:O98,1),ColTypeEcheance)),
  IF(LEN(O98)=1,
  IF(LEN(INDEX(Roadmap!$D:$K,MATCH($E98,Roadmap!$D:$D,0)-1+COUNTIF($E98:O98,"u")+COUNTIF($E98:O98,"t")+COUNTIF($E98:O98,"¶")+COUNTIF($E98:O98,"²")+COUNTIF($E98:O98,"µ")+COUNTIF($E98:O98,1),ColDescriptionCourte))&gt;1,
HYPERLINK("#Roadmap!C"&amp; MATCH($E98,Roadmap!$D:$D,0)+COUNTIF($E98:O98,"u")+COUNTIF($E98:O98,"t")+COUNTIF($E98:O98,"¶")+COUNTIF($E98:O98,"²")+COUNTIF($E98:O98,"µ")+COUNTIF($E98:O98,1)-1,INDEX(Roadmap!$D:$K,MATCH($E98,Roadmap!$D:$D,0)-1+COUNTIF($E98:O98,"u")+COUNTIF($E98:O98,"t")+COUNTIF($E98:O98,"¶")+COUNTIF($E98:O98,"²")+COUNTIF($E98:O98,"µ")+COUNTIF($E98:O98,1),ColDescriptionCourte)),""),
  "")),"")</f>
        <v/>
      </c>
      <c r="Q98" s="40" t="str">
        <f ca="1">IFERROR(IF(AND(
  INDEX(Roadmap!$D:$K,MATCH($E98,Roadmap!$D:$D,0)+COUNTIF($E98:P98,"u")+COUNTIF($E98:P98,"t")+COUNTIF($E98:P98,"¶")+COUNTIF($E98:P98,"²")+COUNTIF($E98:P98,"µ")+COUNTIF($E98:P98,1),ColLivraison)=Q$6,
  VLOOKUP($E98,INDIRECT("tri!"&amp; CHAR(64+ C0Col) &amp;":"&amp; CHAR(65+C0Col)),2,FALSE)&gt;COUNTIF($E98:P98,"u")+COUNTIF($E98:P98,"t")+COUNTIF($E98:P98,"¶")+COUNTIF($E98:P98,"²")+COUNTIF($E98:P98,"µ")+COUNTIF($E98:P98,1)),
HYPERLINK("#Roadmap!C"&amp; MATCH($E98,Roadmap!$D:$D,0)+COUNTIF($E98:P98,"u")+COUNTIF($E98:P98,"t"),
     INDEX(Roadmap!$D:$K,MATCH($E98,Roadmap!$D:$D,0)+COUNTIF($E98:P98,"u")+COUNTIF($E98:P98,"t")+COUNTIF($E98:P98,"¶")+COUNTIF($E98:P98,"²")+COUNTIF($E98:P98,"µ")+COUNTIF($E98:P98,1),ColTypeEcheance)),
  IF(LEN(P98)=1,
  IF(LEN(INDEX(Roadmap!$D:$K,MATCH($E98,Roadmap!$D:$D,0)-1+COUNTIF($E98:P98,"u")+COUNTIF($E98:P98,"t")+COUNTIF($E98:P98,"¶")+COUNTIF($E98:P98,"²")+COUNTIF($E98:P98,"µ")+COUNTIF($E98:P98,1),ColDescriptionCourte))&gt;1,
HYPERLINK("#Roadmap!C"&amp; MATCH($E98,Roadmap!$D:$D,0)+COUNTIF($E98:P98,"u")+COUNTIF($E98:P98,"t")+COUNTIF($E98:P98,"¶")+COUNTIF($E98:P98,"²")+COUNTIF($E98:P98,"µ")+COUNTIF($E98:P98,1)-1,INDEX(Roadmap!$D:$K,MATCH($E98,Roadmap!$D:$D,0)-1+COUNTIF($E98:P98,"u")+COUNTIF($E98:P98,"t")+COUNTIF($E98:P98,"¶")+COUNTIF($E98:P98,"²")+COUNTIF($E98:P98,"µ")+COUNTIF($E98:P98,1),ColDescriptionCourte)),""),
  "")),"")</f>
        <v/>
      </c>
      <c r="R98" s="40" t="str">
        <f ca="1">IFERROR(IF(AND(
  INDEX(Roadmap!$D:$K,MATCH($E98,Roadmap!$D:$D,0)+COUNTIF($E98:Q98,"u")+COUNTIF($E98:Q98,"t")+COUNTIF($E98:Q98,"¶")+COUNTIF($E98:Q98,"²")+COUNTIF($E98:Q98,"µ")+COUNTIF($E98:Q98,1),ColLivraison)=R$6,
  VLOOKUP($E98,INDIRECT("tri!"&amp; CHAR(64+ C0Col) &amp;":"&amp; CHAR(65+C0Col)),2,FALSE)&gt;COUNTIF($E98:Q98,"u")+COUNTIF($E98:Q98,"t")+COUNTIF($E98:Q98,"¶")+COUNTIF($E98:Q98,"²")+COUNTIF($E98:Q98,"µ")+COUNTIF($E98:Q98,1)),
HYPERLINK("#Roadmap!C"&amp; MATCH($E98,Roadmap!$D:$D,0)+COUNTIF($E98:Q98,"u")+COUNTIF($E98:Q98,"t"),
     INDEX(Roadmap!$D:$K,MATCH($E98,Roadmap!$D:$D,0)+COUNTIF($E98:Q98,"u")+COUNTIF($E98:Q98,"t")+COUNTIF($E98:Q98,"¶")+COUNTIF($E98:Q98,"²")+COUNTIF($E98:Q98,"µ")+COUNTIF($E98:Q98,1),ColTypeEcheance)),
  IF(LEN(Q98)=1,
  IF(LEN(INDEX(Roadmap!$D:$K,MATCH($E98,Roadmap!$D:$D,0)-1+COUNTIF($E98:Q98,"u")+COUNTIF($E98:Q98,"t")+COUNTIF($E98:Q98,"¶")+COUNTIF($E98:Q98,"²")+COUNTIF($E98:Q98,"µ")+COUNTIF($E98:Q98,1),ColDescriptionCourte))&gt;1,
HYPERLINK("#Roadmap!C"&amp; MATCH($E98,Roadmap!$D:$D,0)+COUNTIF($E98:Q98,"u")+COUNTIF($E98:Q98,"t")+COUNTIF($E98:Q98,"¶")+COUNTIF($E98:Q98,"²")+COUNTIF($E98:Q98,"µ")+COUNTIF($E98:Q98,1)-1,INDEX(Roadmap!$D:$K,MATCH($E98,Roadmap!$D:$D,0)-1+COUNTIF($E98:Q98,"u")+COUNTIF($E98:Q98,"t")+COUNTIF($E98:Q98,"¶")+COUNTIF($E98:Q98,"²")+COUNTIF($E98:Q98,"µ")+COUNTIF($E98:Q98,1),ColDescriptionCourte)),""),
  "")),"")</f>
        <v/>
      </c>
      <c r="S98" s="40" t="str">
        <f ca="1">IFERROR(IF(AND(
  INDEX(Roadmap!$D:$K,MATCH($E98,Roadmap!$D:$D,0)+COUNTIF($E98:R98,"u")+COUNTIF($E98:R98,"t")+COUNTIF($E98:R98,"¶")+COUNTIF($E98:R98,"²")+COUNTIF($E98:R98,"µ")+COUNTIF($E98:R98,1),ColLivraison)=S$6,
  VLOOKUP($E98,INDIRECT("tri!"&amp; CHAR(64+ C0Col) &amp;":"&amp; CHAR(65+C0Col)),2,FALSE)&gt;COUNTIF($E98:R98,"u")+COUNTIF($E98:R98,"t")+COUNTIF($E98:R98,"¶")+COUNTIF($E98:R98,"²")+COUNTIF($E98:R98,"µ")+COUNTIF($E98:R98,1)),
HYPERLINK("#Roadmap!C"&amp; MATCH($E98,Roadmap!$D:$D,0)+COUNTIF($E98:R98,"u")+COUNTIF($E98:R98,"t"),
     INDEX(Roadmap!$D:$K,MATCH($E98,Roadmap!$D:$D,0)+COUNTIF($E98:R98,"u")+COUNTIF($E98:R98,"t")+COUNTIF($E98:R98,"¶")+COUNTIF($E98:R98,"²")+COUNTIF($E98:R98,"µ")+COUNTIF($E98:R98,1),ColTypeEcheance)),
  IF(LEN(R98)=1,
  IF(LEN(INDEX(Roadmap!$D:$K,MATCH($E98,Roadmap!$D:$D,0)-1+COUNTIF($E98:R98,"u")+COUNTIF($E98:R98,"t")+COUNTIF($E98:R98,"¶")+COUNTIF($E98:R98,"²")+COUNTIF($E98:R98,"µ")+COUNTIF($E98:R98,1),ColDescriptionCourte))&gt;1,
HYPERLINK("#Roadmap!C"&amp; MATCH($E98,Roadmap!$D:$D,0)+COUNTIF($E98:R98,"u")+COUNTIF($E98:R98,"t")+COUNTIF($E98:R98,"¶")+COUNTIF($E98:R98,"²")+COUNTIF($E98:R98,"µ")+COUNTIF($E98:R98,1)-1,INDEX(Roadmap!$D:$K,MATCH($E98,Roadmap!$D:$D,0)-1+COUNTIF($E98:R98,"u")+COUNTIF($E98:R98,"t")+COUNTIF($E98:R98,"¶")+COUNTIF($E98:R98,"²")+COUNTIF($E98:R98,"µ")+COUNTIF($E98:R98,1),ColDescriptionCourte)),""),
  "")),"")</f>
        <v/>
      </c>
      <c r="T98" s="40" t="str">
        <f ca="1">IFERROR(IF(AND(
  INDEX(Roadmap!$D:$K,MATCH($E98,Roadmap!$D:$D,0)+COUNTIF($E98:S98,"u")+COUNTIF($E98:S98,"t")+COUNTIF($E98:S98,"¶")+COUNTIF($E98:S98,"²")+COUNTIF($E98:S98,"µ")+COUNTIF($E98:S98,1),ColLivraison)=T$6,
  VLOOKUP($E98,INDIRECT("tri!"&amp; CHAR(64+ C0Col) &amp;":"&amp; CHAR(65+C0Col)),2,FALSE)&gt;COUNTIF($E98:S98,"u")+COUNTIF($E98:S98,"t")+COUNTIF($E98:S98,"¶")+COUNTIF($E98:S98,"²")+COUNTIF($E98:S98,"µ")+COUNTIF($E98:S98,1)),
HYPERLINK("#Roadmap!C"&amp; MATCH($E98,Roadmap!$D:$D,0)+COUNTIF($E98:S98,"u")+COUNTIF($E98:S98,"t"),
     INDEX(Roadmap!$D:$K,MATCH($E98,Roadmap!$D:$D,0)+COUNTIF($E98:S98,"u")+COUNTIF($E98:S98,"t")+COUNTIF($E98:S98,"¶")+COUNTIF($E98:S98,"²")+COUNTIF($E98:S98,"µ")+COUNTIF($E98:S98,1),ColTypeEcheance)),
  IF(LEN(S98)=1,
  IF(LEN(INDEX(Roadmap!$D:$K,MATCH($E98,Roadmap!$D:$D,0)-1+COUNTIF($E98:S98,"u")+COUNTIF($E98:S98,"t")+COUNTIF($E98:S98,"¶")+COUNTIF($E98:S98,"²")+COUNTIF($E98:S98,"µ")+COUNTIF($E98:S98,1),ColDescriptionCourte))&gt;1,
HYPERLINK("#Roadmap!C"&amp; MATCH($E98,Roadmap!$D:$D,0)+COUNTIF($E98:S98,"u")+COUNTIF($E98:S98,"t")+COUNTIF($E98:S98,"¶")+COUNTIF($E98:S98,"²")+COUNTIF($E98:S98,"µ")+COUNTIF($E98:S98,1)-1,INDEX(Roadmap!$D:$K,MATCH($E98,Roadmap!$D:$D,0)-1+COUNTIF($E98:S98,"u")+COUNTIF($E98:S98,"t")+COUNTIF($E98:S98,"¶")+COUNTIF($E98:S98,"²")+COUNTIF($E98:S98,"µ")+COUNTIF($E98:S98,1),ColDescriptionCourte)),""),
  "")),"")</f>
        <v/>
      </c>
      <c r="U98" s="40" t="str">
        <f ca="1">IFERROR(IF(AND(
  INDEX(Roadmap!$D:$K,MATCH($E98,Roadmap!$D:$D,0)+COUNTIF($E98:T98,"u")+COUNTIF($E98:T98,"t")+COUNTIF($E98:T98,"¶")+COUNTIF($E98:T98,"²")+COUNTIF($E98:T98,"µ")+COUNTIF($E98:T98,1),ColLivraison)=U$6,
  VLOOKUP($E98,INDIRECT("tri!"&amp; CHAR(64+ C0Col) &amp;":"&amp; CHAR(65+C0Col)),2,FALSE)&gt;COUNTIF($E98:T98,"u")+COUNTIF($E98:T98,"t")+COUNTIF($E98:T98,"¶")+COUNTIF($E98:T98,"²")+COUNTIF($E98:T98,"µ")+COUNTIF($E98:T98,1)),
HYPERLINK("#Roadmap!C"&amp; MATCH($E98,Roadmap!$D:$D,0)+COUNTIF($E98:T98,"u")+COUNTIF($E98:T98,"t"),
     INDEX(Roadmap!$D:$K,MATCH($E98,Roadmap!$D:$D,0)+COUNTIF($E98:T98,"u")+COUNTIF($E98:T98,"t")+COUNTIF($E98:T98,"¶")+COUNTIF($E98:T98,"²")+COUNTIF($E98:T98,"µ")+COUNTIF($E98:T98,1),ColTypeEcheance)),
  IF(LEN(T98)=1,
  IF(LEN(INDEX(Roadmap!$D:$K,MATCH($E98,Roadmap!$D:$D,0)-1+COUNTIF($E98:T98,"u")+COUNTIF($E98:T98,"t")+COUNTIF($E98:T98,"¶")+COUNTIF($E98:T98,"²")+COUNTIF($E98:T98,"µ")+COUNTIF($E98:T98,1),ColDescriptionCourte))&gt;1,
HYPERLINK("#Roadmap!C"&amp; MATCH($E98,Roadmap!$D:$D,0)+COUNTIF($E98:T98,"u")+COUNTIF($E98:T98,"t")+COUNTIF($E98:T98,"¶")+COUNTIF($E98:T98,"²")+COUNTIF($E98:T98,"µ")+COUNTIF($E98:T98,1)-1,INDEX(Roadmap!$D:$K,MATCH($E98,Roadmap!$D:$D,0)-1+COUNTIF($E98:T98,"u")+COUNTIF($E98:T98,"t")+COUNTIF($E98:T98,"¶")+COUNTIF($E98:T98,"²")+COUNTIF($E98:T98,"µ")+COUNTIF($E98:T98,1),ColDescriptionCourte)),""),
  "")),"")</f>
        <v/>
      </c>
      <c r="V98" s="40" t="str">
        <f ca="1">IFERROR(IF(AND(
  INDEX(Roadmap!$D:$K,MATCH($E98,Roadmap!$D:$D,0)+COUNTIF($E98:U98,"u")+COUNTIF($E98:U98,"t")+COUNTIF($E98:U98,"¶")+COUNTIF($E98:U98,"²")+COUNTIF($E98:U98,"µ")+COUNTIF($E98:U98,1),ColLivraison)=V$6,
  VLOOKUP($E98,INDIRECT("tri!"&amp; CHAR(64+ C0Col) &amp;":"&amp; CHAR(65+C0Col)),2,FALSE)&gt;COUNTIF($E98:U98,"u")+COUNTIF($E98:U98,"t")+COUNTIF($E98:U98,"¶")+COUNTIF($E98:U98,"²")+COUNTIF($E98:U98,"µ")+COUNTIF($E98:U98,1)),
HYPERLINK("#Roadmap!C"&amp; MATCH($E98,Roadmap!$D:$D,0)+COUNTIF($E98:U98,"u")+COUNTIF($E98:U98,"t"),
     INDEX(Roadmap!$D:$K,MATCH($E98,Roadmap!$D:$D,0)+COUNTIF($E98:U98,"u")+COUNTIF($E98:U98,"t")+COUNTIF($E98:U98,"¶")+COUNTIF($E98:U98,"²")+COUNTIF($E98:U98,"µ")+COUNTIF($E98:U98,1),ColTypeEcheance)),
  IF(LEN(U98)=1,
  IF(LEN(INDEX(Roadmap!$D:$K,MATCH($E98,Roadmap!$D:$D,0)-1+COUNTIF($E98:U98,"u")+COUNTIF($E98:U98,"t")+COUNTIF($E98:U98,"¶")+COUNTIF($E98:U98,"²")+COUNTIF($E98:U98,"µ")+COUNTIF($E98:U98,1),ColDescriptionCourte))&gt;1,
HYPERLINK("#Roadmap!C"&amp; MATCH($E98,Roadmap!$D:$D,0)+COUNTIF($E98:U98,"u")+COUNTIF($E98:U98,"t")+COUNTIF($E98:U98,"¶")+COUNTIF($E98:U98,"²")+COUNTIF($E98:U98,"µ")+COUNTIF($E98:U98,1)-1,INDEX(Roadmap!$D:$K,MATCH($E98,Roadmap!$D:$D,0)-1+COUNTIF($E98:U98,"u")+COUNTIF($E98:U98,"t")+COUNTIF($E98:U98,"¶")+COUNTIF($E98:U98,"²")+COUNTIF($E98:U98,"µ")+COUNTIF($E98:U98,1),ColDescriptionCourte)),""),
  "")),"")</f>
        <v/>
      </c>
      <c r="W98" s="40" t="str">
        <f ca="1">IFERROR(IF(AND(
  INDEX(Roadmap!$D:$K,MATCH($E98,Roadmap!$D:$D,0)+COUNTIF($E98:V98,"u")+COUNTIF($E98:V98,"t")+COUNTIF($E98:V98,"¶")+COUNTIF($E98:V98,"²")+COUNTIF($E98:V98,"µ")+COUNTIF($E98:V98,1),ColLivraison)=W$6,
  VLOOKUP($E98,INDIRECT("tri!"&amp; CHAR(64+ C0Col) &amp;":"&amp; CHAR(65+C0Col)),2,FALSE)&gt;COUNTIF($E98:V98,"u")+COUNTIF($E98:V98,"t")+COUNTIF($E98:V98,"¶")+COUNTIF($E98:V98,"²")+COUNTIF($E98:V98,"µ")+COUNTIF($E98:V98,1)),
HYPERLINK("#Roadmap!C"&amp; MATCH($E98,Roadmap!$D:$D,0)+COUNTIF($E98:V98,"u")+COUNTIF($E98:V98,"t"),
     INDEX(Roadmap!$D:$K,MATCH($E98,Roadmap!$D:$D,0)+COUNTIF($E98:V98,"u")+COUNTIF($E98:V98,"t")+COUNTIF($E98:V98,"¶")+COUNTIF($E98:V98,"²")+COUNTIF($E98:V98,"µ")+COUNTIF($E98:V98,1),ColTypeEcheance)),
  IF(LEN(V98)=1,
  IF(LEN(INDEX(Roadmap!$D:$K,MATCH($E98,Roadmap!$D:$D,0)-1+COUNTIF($E98:V98,"u")+COUNTIF($E98:V98,"t")+COUNTIF($E98:V98,"¶")+COUNTIF($E98:V98,"²")+COUNTIF($E98:V98,"µ")+COUNTIF($E98:V98,1),ColDescriptionCourte))&gt;1,
HYPERLINK("#Roadmap!C"&amp; MATCH($E98,Roadmap!$D:$D,0)+COUNTIF($E98:V98,"u")+COUNTIF($E98:V98,"t")+COUNTIF($E98:V98,"¶")+COUNTIF($E98:V98,"²")+COUNTIF($E98:V98,"µ")+COUNTIF($E98:V98,1)-1,INDEX(Roadmap!$D:$K,MATCH($E98,Roadmap!$D:$D,0)-1+COUNTIF($E98:V98,"u")+COUNTIF($E98:V98,"t")+COUNTIF($E98:V98,"¶")+COUNTIF($E98:V98,"²")+COUNTIF($E98:V98,"µ")+COUNTIF($E98:V98,1),ColDescriptionCourte)),""),
  "")),"")</f>
        <v/>
      </c>
      <c r="X98" s="40" t="str">
        <f ca="1">IFERROR(IF(AND(
  INDEX(Roadmap!$D:$K,MATCH($E98,Roadmap!$D:$D,0)+COUNTIF($E98:W98,"u")+COUNTIF($E98:W98,"t")+COUNTIF($E98:W98,"¶")+COUNTIF($E98:W98,"²")+COUNTIF($E98:W98,"µ")+COUNTIF($E98:W98,1),ColLivraison)=X$6,
  VLOOKUP($E98,INDIRECT("tri!"&amp; CHAR(64+ C0Col) &amp;":"&amp; CHAR(65+C0Col)),2,FALSE)&gt;COUNTIF($E98:W98,"u")+COUNTIF($E98:W98,"t")+COUNTIF($E98:W98,"¶")+COUNTIF($E98:W98,"²")+COUNTIF($E98:W98,"µ")+COUNTIF($E98:W98,1)),
HYPERLINK("#Roadmap!C"&amp; MATCH($E98,Roadmap!$D:$D,0)+COUNTIF($E98:W98,"u")+COUNTIF($E98:W98,"t"),
     INDEX(Roadmap!$D:$K,MATCH($E98,Roadmap!$D:$D,0)+COUNTIF($E98:W98,"u")+COUNTIF($E98:W98,"t")+COUNTIF($E98:W98,"¶")+COUNTIF($E98:W98,"²")+COUNTIF($E98:W98,"µ")+COUNTIF($E98:W98,1),ColTypeEcheance)),
  IF(LEN(W98)=1,
  IF(LEN(INDEX(Roadmap!$D:$K,MATCH($E98,Roadmap!$D:$D,0)-1+COUNTIF($E98:W98,"u")+COUNTIF($E98:W98,"t")+COUNTIF($E98:W98,"¶")+COUNTIF($E98:W98,"²")+COUNTIF($E98:W98,"µ")+COUNTIF($E98:W98,1),ColDescriptionCourte))&gt;1,
HYPERLINK("#Roadmap!C"&amp; MATCH($E98,Roadmap!$D:$D,0)+COUNTIF($E98:W98,"u")+COUNTIF($E98:W98,"t")+COUNTIF($E98:W98,"¶")+COUNTIF($E98:W98,"²")+COUNTIF($E98:W98,"µ")+COUNTIF($E98:W98,1)-1,INDEX(Roadmap!$D:$K,MATCH($E98,Roadmap!$D:$D,0)-1+COUNTIF($E98:W98,"u")+COUNTIF($E98:W98,"t")+COUNTIF($E98:W98,"¶")+COUNTIF($E98:W98,"²")+COUNTIF($E98:W98,"µ")+COUNTIF($E98:W98,1),ColDescriptionCourte)),""),
  "")),"")</f>
        <v/>
      </c>
      <c r="Y98" s="40" t="str">
        <f ca="1">IFERROR(IF(AND(
  INDEX(Roadmap!$D:$K,MATCH($E98,Roadmap!$D:$D,0)+COUNTIF($E98:X98,"u")+COUNTIF($E98:X98,"t")+COUNTIF($E98:X98,"¶")+COUNTIF($E98:X98,"²")+COUNTIF($E98:X98,"µ")+COUNTIF($E98:X98,1),ColLivraison)=Y$6,
  VLOOKUP($E98,INDIRECT("tri!"&amp; CHAR(64+ C0Col) &amp;":"&amp; CHAR(65+C0Col)),2,FALSE)&gt;COUNTIF($E98:X98,"u")+COUNTIF($E98:X98,"t")+COUNTIF($E98:X98,"¶")+COUNTIF($E98:X98,"²")+COUNTIF($E98:X98,"µ")+COUNTIF($E98:X98,1)),
HYPERLINK("#Roadmap!C"&amp; MATCH($E98,Roadmap!$D:$D,0)+COUNTIF($E98:X98,"u")+COUNTIF($E98:X98,"t"),
     INDEX(Roadmap!$D:$K,MATCH($E98,Roadmap!$D:$D,0)+COUNTIF($E98:X98,"u")+COUNTIF($E98:X98,"t")+COUNTIF($E98:X98,"¶")+COUNTIF($E98:X98,"²")+COUNTIF($E98:X98,"µ")+COUNTIF($E98:X98,1),ColTypeEcheance)),
  IF(LEN(X98)=1,
  IF(LEN(INDEX(Roadmap!$D:$K,MATCH($E98,Roadmap!$D:$D,0)-1+COUNTIF($E98:X98,"u")+COUNTIF($E98:X98,"t")+COUNTIF($E98:X98,"¶")+COUNTIF($E98:X98,"²")+COUNTIF($E98:X98,"µ")+COUNTIF($E98:X98,1),ColDescriptionCourte))&gt;1,
HYPERLINK("#Roadmap!C"&amp; MATCH($E98,Roadmap!$D:$D,0)+COUNTIF($E98:X98,"u")+COUNTIF($E98:X98,"t")+COUNTIF($E98:X98,"¶")+COUNTIF($E98:X98,"²")+COUNTIF($E98:X98,"µ")+COUNTIF($E98:X98,1)-1,INDEX(Roadmap!$D:$K,MATCH($E98,Roadmap!$D:$D,0)-1+COUNTIF($E98:X98,"u")+COUNTIF($E98:X98,"t")+COUNTIF($E98:X98,"¶")+COUNTIF($E98:X98,"²")+COUNTIF($E98:X98,"µ")+COUNTIF($E98:X98,1),ColDescriptionCourte)),""),
  "")),"")</f>
        <v/>
      </c>
      <c r="Z98" s="40" t="str">
        <f ca="1">IFERROR(IF(AND(
  INDEX(Roadmap!$D:$K,MATCH($E98,Roadmap!$D:$D,0)+COUNTIF($E98:Y98,"u")+COUNTIF($E98:Y98,"t")+COUNTIF($E98:Y98,"¶")+COUNTIF($E98:Y98,"²")+COUNTIF($E98:Y98,"µ")+COUNTIF($E98:Y98,1),ColLivraison)=Z$6,
  VLOOKUP($E98,INDIRECT("tri!"&amp; CHAR(64+ C0Col) &amp;":"&amp; CHAR(65+C0Col)),2,FALSE)&gt;COUNTIF($E98:Y98,"u")+COUNTIF($E98:Y98,"t")+COUNTIF($E98:Y98,"¶")+COUNTIF($E98:Y98,"²")+COUNTIF($E98:Y98,"µ")+COUNTIF($E98:Y98,1)),
HYPERLINK("#Roadmap!C"&amp; MATCH($E98,Roadmap!$D:$D,0)+COUNTIF($E98:Y98,"u")+COUNTIF($E98:Y98,"t"),
     INDEX(Roadmap!$D:$K,MATCH($E98,Roadmap!$D:$D,0)+COUNTIF($E98:Y98,"u")+COUNTIF($E98:Y98,"t")+COUNTIF($E98:Y98,"¶")+COUNTIF($E98:Y98,"²")+COUNTIF($E98:Y98,"µ")+COUNTIF($E98:Y98,1),ColTypeEcheance)),
  IF(LEN(Y98)=1,
  IF(LEN(INDEX(Roadmap!$D:$K,MATCH($E98,Roadmap!$D:$D,0)-1+COUNTIF($E98:Y98,"u")+COUNTIF($E98:Y98,"t")+COUNTIF($E98:Y98,"¶")+COUNTIF($E98:Y98,"²")+COUNTIF($E98:Y98,"µ")+COUNTIF($E98:Y98,1),ColDescriptionCourte))&gt;1,
HYPERLINK("#Roadmap!C"&amp; MATCH($E98,Roadmap!$D:$D,0)+COUNTIF($E98:Y98,"u")+COUNTIF($E98:Y98,"t")+COUNTIF($E98:Y98,"¶")+COUNTIF($E98:Y98,"²")+COUNTIF($E98:Y98,"µ")+COUNTIF($E98:Y98,1)-1,INDEX(Roadmap!$D:$K,MATCH($E98,Roadmap!$D:$D,0)-1+COUNTIF($E98:Y98,"u")+COUNTIF($E98:Y98,"t")+COUNTIF($E98:Y98,"¶")+COUNTIF($E98:Y98,"²")+COUNTIF($E98:Y98,"µ")+COUNTIF($E98:Y98,1),ColDescriptionCourte)),""),
  "")),"")</f>
        <v/>
      </c>
      <c r="AA98" s="40" t="str">
        <f ca="1">IFERROR(IF(AND(
  INDEX(Roadmap!$D:$K,MATCH($E98,Roadmap!$D:$D,0)+COUNTIF($E98:Z98,"u")+COUNTIF($E98:Z98,"t")+COUNTIF($E98:Z98,"¶")+COUNTIF($E98:Z98,"²")+COUNTIF($E98:Z98,"µ")+COUNTIF($E98:Z98,1),ColLivraison)=AA$6,
  VLOOKUP($E98,INDIRECT("tri!"&amp; CHAR(64+ C0Col) &amp;":"&amp; CHAR(65+C0Col)),2,FALSE)&gt;COUNTIF($E98:Z98,"u")+COUNTIF($E98:Z98,"t")+COUNTIF($E98:Z98,"¶")+COUNTIF($E98:Z98,"²")+COUNTIF($E98:Z98,"µ")+COUNTIF($E98:Z98,1)),
HYPERLINK("#Roadmap!C"&amp; MATCH($E98,Roadmap!$D:$D,0)+COUNTIF($E98:Z98,"u")+COUNTIF($E98:Z98,"t"),
     INDEX(Roadmap!$D:$K,MATCH($E98,Roadmap!$D:$D,0)+COUNTIF($E98:Z98,"u")+COUNTIF($E98:Z98,"t")+COUNTIF($E98:Z98,"¶")+COUNTIF($E98:Z98,"²")+COUNTIF($E98:Z98,"µ")+COUNTIF($E98:Z98,1),ColTypeEcheance)),
  IF(LEN(Z98)=1,
  IF(LEN(INDEX(Roadmap!$D:$K,MATCH($E98,Roadmap!$D:$D,0)-1+COUNTIF($E98:Z98,"u")+COUNTIF($E98:Z98,"t")+COUNTIF($E98:Z98,"¶")+COUNTIF($E98:Z98,"²")+COUNTIF($E98:Z98,"µ")+COUNTIF($E98:Z98,1),ColDescriptionCourte))&gt;1,
HYPERLINK("#Roadmap!C"&amp; MATCH($E98,Roadmap!$D:$D,0)+COUNTIF($E98:Z98,"u")+COUNTIF($E98:Z98,"t")+COUNTIF($E98:Z98,"¶")+COUNTIF($E98:Z98,"²")+COUNTIF($E98:Z98,"µ")+COUNTIF($E98:Z98,1)-1,INDEX(Roadmap!$D:$K,MATCH($E98,Roadmap!$D:$D,0)-1+COUNTIF($E98:Z98,"u")+COUNTIF($E98:Z98,"t")+COUNTIF($E98:Z98,"¶")+COUNTIF($E98:Z98,"²")+COUNTIF($E98:Z98,"µ")+COUNTIF($E98:Z98,1),ColDescriptionCourte)),""),
  "")),"")</f>
        <v/>
      </c>
      <c r="AB98" s="40" t="str">
        <f ca="1">IFERROR(IF(AND(
  INDEX(Roadmap!$D:$K,MATCH($E98,Roadmap!$D:$D,0)+COUNTIF($E98:AA98,"u")+COUNTIF($E98:AA98,"t")+COUNTIF($E98:AA98,"¶")+COUNTIF($E98:AA98,"²")+COUNTIF($E98:AA98,"µ")+COUNTIF($E98:AA98,1),ColLivraison)=AB$6,
  VLOOKUP($E98,INDIRECT("tri!"&amp; CHAR(64+ C0Col) &amp;":"&amp; CHAR(65+C0Col)),2,FALSE)&gt;COUNTIF($E98:AA98,"u")+COUNTIF($E98:AA98,"t")+COUNTIF($E98:AA98,"¶")+COUNTIF($E98:AA98,"²")+COUNTIF($E98:AA98,"µ")+COUNTIF($E98:AA98,1)),
HYPERLINK("#Roadmap!C"&amp; MATCH($E98,Roadmap!$D:$D,0)+COUNTIF($E98:AA98,"u")+COUNTIF($E98:AA98,"t"),
     INDEX(Roadmap!$D:$K,MATCH($E98,Roadmap!$D:$D,0)+COUNTIF($E98:AA98,"u")+COUNTIF($E98:AA98,"t")+COUNTIF($E98:AA98,"¶")+COUNTIF($E98:AA98,"²")+COUNTIF($E98:AA98,"µ")+COUNTIF($E98:AA98,1),ColTypeEcheance)),
  IF(LEN(AA98)=1,
  IF(LEN(INDEX(Roadmap!$D:$K,MATCH($E98,Roadmap!$D:$D,0)-1+COUNTIF($E98:AA98,"u")+COUNTIF($E98:AA98,"t")+COUNTIF($E98:AA98,"¶")+COUNTIF($E98:AA98,"²")+COUNTIF($E98:AA98,"µ")+COUNTIF($E98:AA98,1),ColDescriptionCourte))&gt;1,
HYPERLINK("#Roadmap!C"&amp; MATCH($E98,Roadmap!$D:$D,0)+COUNTIF($E98:AA98,"u")+COUNTIF($E98:AA98,"t")+COUNTIF($E98:AA98,"¶")+COUNTIF($E98:AA98,"²")+COUNTIF($E98:AA98,"µ")+COUNTIF($E98:AA98,1)-1,INDEX(Roadmap!$D:$K,MATCH($E98,Roadmap!$D:$D,0)-1+COUNTIF($E98:AA98,"u")+COUNTIF($E98:AA98,"t")+COUNTIF($E98:AA98,"¶")+COUNTIF($E98:AA98,"²")+COUNTIF($E98:AA98,"µ")+COUNTIF($E98:AA98,1),ColDescriptionCourte)),""),
  "")),"")</f>
        <v/>
      </c>
      <c r="AC98" s="40" t="str">
        <f ca="1">IFERROR(IF(AND(
  INDEX(Roadmap!$D:$K,MATCH($E98,Roadmap!$D:$D,0)+COUNTIF($E98:AB98,"u")+COUNTIF($E98:AB98,"t")+COUNTIF($E98:AB98,"¶")+COUNTIF($E98:AB98,"²")+COUNTIF($E98:AB98,"µ")+COUNTIF($E98:AB98,1),ColLivraison)=AC$6,
  VLOOKUP($E98,INDIRECT("tri!"&amp; CHAR(64+ C0Col) &amp;":"&amp; CHAR(65+C0Col)),2,FALSE)&gt;COUNTIF($E98:AB98,"u")+COUNTIF($E98:AB98,"t")+COUNTIF($E98:AB98,"¶")+COUNTIF($E98:AB98,"²")+COUNTIF($E98:AB98,"µ")+COUNTIF($E98:AB98,1)),
HYPERLINK("#Roadmap!C"&amp; MATCH($E98,Roadmap!$D:$D,0)+COUNTIF($E98:AB98,"u")+COUNTIF($E98:AB98,"t"),
     INDEX(Roadmap!$D:$K,MATCH($E98,Roadmap!$D:$D,0)+COUNTIF($E98:AB98,"u")+COUNTIF($E98:AB98,"t")+COUNTIF($E98:AB98,"¶")+COUNTIF($E98:AB98,"²")+COUNTIF($E98:AB98,"µ")+COUNTIF($E98:AB98,1),ColTypeEcheance)),
  IF(LEN(AB98)=1,
  IF(LEN(INDEX(Roadmap!$D:$K,MATCH($E98,Roadmap!$D:$D,0)-1+COUNTIF($E98:AB98,"u")+COUNTIF($E98:AB98,"t")+COUNTIF($E98:AB98,"¶")+COUNTIF($E98:AB98,"²")+COUNTIF($E98:AB98,"µ")+COUNTIF($E98:AB98,1),ColDescriptionCourte))&gt;1,
HYPERLINK("#Roadmap!C"&amp; MATCH($E98,Roadmap!$D:$D,0)+COUNTIF($E98:AB98,"u")+COUNTIF($E98:AB98,"t")+COUNTIF($E98:AB98,"¶")+COUNTIF($E98:AB98,"²")+COUNTIF($E98:AB98,"µ")+COUNTIF($E98:AB98,1)-1,INDEX(Roadmap!$D:$K,MATCH($E98,Roadmap!$D:$D,0)-1+COUNTIF($E98:AB98,"u")+COUNTIF($E98:AB98,"t")+COUNTIF($E98:AB98,"¶")+COUNTIF($E98:AB98,"²")+COUNTIF($E98:AB98,"µ")+COUNTIF($E98:AB98,1),ColDescriptionCourte)),""),
  "")),"")</f>
        <v/>
      </c>
      <c r="AD98" s="40" t="str">
        <f ca="1">IFERROR(IF(AND(
  INDEX(Roadmap!$D:$K,MATCH($E98,Roadmap!$D:$D,0)+COUNTIF($E98:AC98,"u")+COUNTIF($E98:AC98,"t")+COUNTIF($E98:AC98,"¶")+COUNTIF($E98:AC98,"²")+COUNTIF($E98:AC98,"µ")+COUNTIF($E98:AC98,1),ColLivraison)=AD$6,
  VLOOKUP($E98,INDIRECT("tri!"&amp; CHAR(64+ C0Col) &amp;":"&amp; CHAR(65+C0Col)),2,FALSE)&gt;COUNTIF($E98:AC98,"u")+COUNTIF($E98:AC98,"t")+COUNTIF($E98:AC98,"¶")+COUNTIF($E98:AC98,"²")+COUNTIF($E98:AC98,"µ")+COUNTIF($E98:AC98,1)),
HYPERLINK("#Roadmap!C"&amp; MATCH($E98,Roadmap!$D:$D,0)+COUNTIF($E98:AC98,"u")+COUNTIF($E98:AC98,"t"),
     INDEX(Roadmap!$D:$K,MATCH($E98,Roadmap!$D:$D,0)+COUNTIF($E98:AC98,"u")+COUNTIF($E98:AC98,"t")+COUNTIF($E98:AC98,"¶")+COUNTIF($E98:AC98,"²")+COUNTIF($E98:AC98,"µ")+COUNTIF($E98:AC98,1),ColTypeEcheance)),
  IF(LEN(AC98)=1,
  IF(LEN(INDEX(Roadmap!$D:$K,MATCH($E98,Roadmap!$D:$D,0)-1+COUNTIF($E98:AC98,"u")+COUNTIF($E98:AC98,"t")+COUNTIF($E98:AC98,"¶")+COUNTIF($E98:AC98,"²")+COUNTIF($E98:AC98,"µ")+COUNTIF($E98:AC98,1),ColDescriptionCourte))&gt;1,
HYPERLINK("#Roadmap!C"&amp; MATCH($E98,Roadmap!$D:$D,0)+COUNTIF($E98:AC98,"u")+COUNTIF($E98:AC98,"t")+COUNTIF($E98:AC98,"¶")+COUNTIF($E98:AC98,"²")+COUNTIF($E98:AC98,"µ")+COUNTIF($E98:AC98,1)-1,INDEX(Roadmap!$D:$K,MATCH($E98,Roadmap!$D:$D,0)-1+COUNTIF($E98:AC98,"u")+COUNTIF($E98:AC98,"t")+COUNTIF($E98:AC98,"¶")+COUNTIF($E98:AC98,"²")+COUNTIF($E98:AC98,"µ")+COUNTIF($E98:AC98,1),ColDescriptionCourte)),""),
  "")),"")</f>
        <v/>
      </c>
      <c r="AE98" s="40" t="str">
        <f ca="1">IFERROR(IF(AND(
  INDEX(Roadmap!$D:$K,MATCH($E98,Roadmap!$D:$D,0)+COUNTIF($E98:AD98,"u")+COUNTIF($E98:AD98,"t")+COUNTIF($E98:AD98,"¶")+COUNTIF($E98:AD98,"²")+COUNTIF($E98:AD98,"µ")+COUNTIF($E98:AD98,1),ColLivraison)=AE$6,
  VLOOKUP($E98,INDIRECT("tri!"&amp; CHAR(64+ C0Col) &amp;":"&amp; CHAR(65+C0Col)),2,FALSE)&gt;COUNTIF($E98:AD98,"u")+COUNTIF($E98:AD98,"t")+COUNTIF($E98:AD98,"¶")+COUNTIF($E98:AD98,"²")+COUNTIF($E98:AD98,"µ")+COUNTIF($E98:AD98,1)),
HYPERLINK("#Roadmap!C"&amp; MATCH($E98,Roadmap!$D:$D,0)+COUNTIF($E98:AD98,"u")+COUNTIF($E98:AD98,"t"),
     INDEX(Roadmap!$D:$K,MATCH($E98,Roadmap!$D:$D,0)+COUNTIF($E98:AD98,"u")+COUNTIF($E98:AD98,"t")+COUNTIF($E98:AD98,"¶")+COUNTIF($E98:AD98,"²")+COUNTIF($E98:AD98,"µ")+COUNTIF($E98:AD98,1),ColTypeEcheance)),
  IF(LEN(AD98)=1,
  IF(LEN(INDEX(Roadmap!$D:$K,MATCH($E98,Roadmap!$D:$D,0)-1+COUNTIF($E98:AD98,"u")+COUNTIF($E98:AD98,"t")+COUNTIF($E98:AD98,"¶")+COUNTIF($E98:AD98,"²")+COUNTIF($E98:AD98,"µ")+COUNTIF($E98:AD98,1),ColDescriptionCourte))&gt;1,
HYPERLINK("#Roadmap!C"&amp; MATCH($E98,Roadmap!$D:$D,0)+COUNTIF($E98:AD98,"u")+COUNTIF($E98:AD98,"t")+COUNTIF($E98:AD98,"¶")+COUNTIF($E98:AD98,"²")+COUNTIF($E98:AD98,"µ")+COUNTIF($E98:AD98,1)-1,INDEX(Roadmap!$D:$K,MATCH($E98,Roadmap!$D:$D,0)-1+COUNTIF($E98:AD98,"u")+COUNTIF($E98:AD98,"t")+COUNTIF($E98:AD98,"¶")+COUNTIF($E98:AD98,"²")+COUNTIF($E98:AD98,"µ")+COUNTIF($E98:AD98,1),ColDescriptionCourte)),""),
  "")),"")</f>
        <v/>
      </c>
      <c r="AF98" s="40" t="str">
        <f ca="1">IFERROR(IF(AND(
  INDEX(Roadmap!$D:$K,MATCH($E98,Roadmap!$D:$D,0)+COUNTIF($E98:AE98,"u")+COUNTIF($E98:AE98,"t")+COUNTIF($E98:AE98,"¶")+COUNTIF($E98:AE98,"²")+COUNTIF($E98:AE98,"µ")+COUNTIF($E98:AE98,1),ColLivraison)=AF$6,
  VLOOKUP($E98,INDIRECT("tri!"&amp; CHAR(64+ C0Col) &amp;":"&amp; CHAR(65+C0Col)),2,FALSE)&gt;COUNTIF($E98:AE98,"u")+COUNTIF($E98:AE98,"t")+COUNTIF($E98:AE98,"¶")+COUNTIF($E98:AE98,"²")+COUNTIF($E98:AE98,"µ")+COUNTIF($E98:AE98,1)),
HYPERLINK("#Roadmap!C"&amp; MATCH($E98,Roadmap!$D:$D,0)+COUNTIF($E98:AE98,"u")+COUNTIF($E98:AE98,"t"),
     INDEX(Roadmap!$D:$K,MATCH($E98,Roadmap!$D:$D,0)+COUNTIF($E98:AE98,"u")+COUNTIF($E98:AE98,"t")+COUNTIF($E98:AE98,"¶")+COUNTIF($E98:AE98,"²")+COUNTIF($E98:AE98,"µ")+COUNTIF($E98:AE98,1),ColTypeEcheance)),
  IF(LEN(AE98)=1,
  IF(LEN(INDEX(Roadmap!$D:$K,MATCH($E98,Roadmap!$D:$D,0)-1+COUNTIF($E98:AE98,"u")+COUNTIF($E98:AE98,"t")+COUNTIF($E98:AE98,"¶")+COUNTIF($E98:AE98,"²")+COUNTIF($E98:AE98,"µ")+COUNTIF($E98:AE98,1),ColDescriptionCourte))&gt;1,
HYPERLINK("#Roadmap!C"&amp; MATCH($E98,Roadmap!$D:$D,0)+COUNTIF($E98:AE98,"u")+COUNTIF($E98:AE98,"t")+COUNTIF($E98:AE98,"¶")+COUNTIF($E98:AE98,"²")+COUNTIF($E98:AE98,"µ")+COUNTIF($E98:AE98,1)-1,INDEX(Roadmap!$D:$K,MATCH($E98,Roadmap!$D:$D,0)-1+COUNTIF($E98:AE98,"u")+COUNTIF($E98:AE98,"t")+COUNTIF($E98:AE98,"¶")+COUNTIF($E98:AE98,"²")+COUNTIF($E98:AE98,"µ")+COUNTIF($E98:AE98,1),ColDescriptionCourte)),""),
  "")),"")</f>
        <v/>
      </c>
      <c r="AG98" s="40" t="str">
        <f ca="1">IFERROR(IF(AND(
  INDEX(Roadmap!$D:$K,MATCH($E98,Roadmap!$D:$D,0)+COUNTIF($E98:AF98,"u")+COUNTIF($E98:AF98,"t")+COUNTIF($E98:AF98,"¶")+COUNTIF($E98:AF98,"²")+COUNTIF($E98:AF98,"µ")+COUNTIF($E98:AF98,1),ColLivraison)=AG$6,
  VLOOKUP($E98,INDIRECT("tri!"&amp; CHAR(64+ C0Col) &amp;":"&amp; CHAR(65+C0Col)),2,FALSE)&gt;COUNTIF($E98:AF98,"u")+COUNTIF($E98:AF98,"t")+COUNTIF($E98:AF98,"¶")+COUNTIF($E98:AF98,"²")+COUNTIF($E98:AF98,"µ")+COUNTIF($E98:AF98,1)),
HYPERLINK("#Roadmap!C"&amp; MATCH($E98,Roadmap!$D:$D,0)+COUNTIF($E98:AF98,"u")+COUNTIF($E98:AF98,"t"),
     INDEX(Roadmap!$D:$K,MATCH($E98,Roadmap!$D:$D,0)+COUNTIF($E98:AF98,"u")+COUNTIF($E98:AF98,"t")+COUNTIF($E98:AF98,"¶")+COUNTIF($E98:AF98,"²")+COUNTIF($E98:AF98,"µ")+COUNTIF($E98:AF98,1),ColTypeEcheance)),
  IF(LEN(AF98)=1,
  IF(LEN(INDEX(Roadmap!$D:$K,MATCH($E98,Roadmap!$D:$D,0)-1+COUNTIF($E98:AF98,"u")+COUNTIF($E98:AF98,"t")+COUNTIF($E98:AF98,"¶")+COUNTIF($E98:AF98,"²")+COUNTIF($E98:AF98,"µ")+COUNTIF($E98:AF98,1),ColDescriptionCourte))&gt;1,
HYPERLINK("#Roadmap!C"&amp; MATCH($E98,Roadmap!$D:$D,0)+COUNTIF($E98:AF98,"u")+COUNTIF($E98:AF98,"t")+COUNTIF($E98:AF98,"¶")+COUNTIF($E98:AF98,"²")+COUNTIF($E98:AF98,"µ")+COUNTIF($E98:AF98,1)-1,INDEX(Roadmap!$D:$K,MATCH($E98,Roadmap!$D:$D,0)-1+COUNTIF($E98:AF98,"u")+COUNTIF($E98:AF98,"t")+COUNTIF($E98:AF98,"¶")+COUNTIF($E98:AF98,"²")+COUNTIF($E98:AF98,"µ")+COUNTIF($E98:AF98,1),ColDescriptionCourte)),""),
  "")),"")</f>
        <v/>
      </c>
    </row>
    <row r="99" spans="3:33" ht="14.25" customHeight="1">
      <c r="C99" s="1" t="str">
        <f t="shared" ca="1" si="47"/>
        <v/>
      </c>
      <c r="D99" s="1" t="str">
        <f t="shared" ca="1" si="48"/>
        <v/>
      </c>
      <c r="E99" s="35" t="str">
        <f t="shared" ca="1" si="46"/>
        <v/>
      </c>
      <c r="F99" s="39" t="str">
        <f ca="1">IFERROR(IF(AND(
  INDEX(Roadmap!$D:$K,MATCH($E99,Roadmap!$D:$D,0)+COUNTIF($E99:E99,"u")+COUNTIF($E99:E99,"t")+COUNTIF($E99:E99,"¶")+COUNTIF($E99:E99,"²")+COUNTIF($E99:E99,"µ")+COUNTIF($E99:E99,1),ColLivraison)=F$6,
  VLOOKUP($E99,INDIRECT("tri!"&amp; CHAR(64+ C0Col) &amp;":"&amp; CHAR(65+C0Col)),2,FALSE)&gt;COUNTIF($E99:E99,"u")+COUNTIF($E99:E99,"t")+COUNTIF($E99:E99,"¶")+COUNTIF($E99:E99,"²")+COUNTIF($E99:E99,"µ")+COUNTIF($E99:E99,1)),
HYPERLINK("#Roadmap!C"&amp; MATCH($E99,Roadmap!$D:$D,0)+COUNTIF($E99:E99,"u")+COUNTIF($E99:E99,"t"),
     INDEX(Roadmap!$D:$K,MATCH($E99,Roadmap!$D:$D,0)+COUNTIF($E99:E99,"u")+COUNTIF($E99:E99,"t")+COUNTIF($E99:E99,"¶")+COUNTIF($E99:E99,"²")+COUNTIF($E99:E99,"µ")+COUNTIF($E99:E99,1),ColTypeEcheance)),
  IF(LEN(E99)=1,
  IF(LEN(INDEX(Roadmap!$D:$K,MATCH($E99,Roadmap!$D:$D,0)-1+COUNTIF($E99:E99,"u")+COUNTIF($E99:E99,"t")+COUNTIF($E99:E99,"¶")+COUNTIF($E99:E99,"²")+COUNTIF($E99:E99,"µ")+COUNTIF($E99:E99,1),ColDescriptionCourte))&gt;1,
HYPERLINK("#Roadmap!C"&amp; MATCH($E99,Roadmap!$D:$D,0)+COUNTIF($E99:E99,"u")+COUNTIF($E99:E99,"t")+COUNTIF($E99:E99,"¶")+COUNTIF($E99:E99,"²")+COUNTIF($E99:E99,"µ")+COUNTIF($E99:E99,1)-1,INDEX(Roadmap!$D:$K,MATCH($E99,Roadmap!$D:$D,0)-1+COUNTIF($E99:E99,"u")+COUNTIF($E99:E99,"t")+COUNTIF($E99:E99,"¶")+COUNTIF($E99:E99,"²")+COUNTIF($E99:E99,"µ")+COUNTIF($E99:E99,1),ColDescriptionCourte)),""),
  "")),"")</f>
        <v/>
      </c>
      <c r="G99" s="40" t="str">
        <f ca="1">IFERROR(IF(AND(
  INDEX(Roadmap!$D:$K,MATCH($E99,Roadmap!$D:$D,0)+COUNTIF($E99:F99,"u")+COUNTIF($E99:F99,"t")+COUNTIF($E99:F99,"¶")+COUNTIF($E99:F99,"²")+COUNTIF($E99:F99,"µ")+COUNTIF($E99:F99,1),ColLivraison)=G$6,
  VLOOKUP($E99,INDIRECT("tri!"&amp; CHAR(64+ C0Col) &amp;":"&amp; CHAR(65+C0Col)),2,FALSE)&gt;COUNTIF($E99:F99,"u")+COUNTIF($E99:F99,"t")+COUNTIF($E99:F99,"¶")+COUNTIF($E99:F99,"²")+COUNTIF($E99:F99,"µ")+COUNTIF($E99:F99,1)),
HYPERLINK("#Roadmap!C"&amp; MATCH($E99,Roadmap!$D:$D,0)+COUNTIF($E99:F99,"u")+COUNTIF($E99:F99,"t"),
     INDEX(Roadmap!$D:$K,MATCH($E99,Roadmap!$D:$D,0)+COUNTIF($E99:F99,"u")+COUNTIF($E99:F99,"t")+COUNTIF($E99:F99,"¶")+COUNTIF($E99:F99,"²")+COUNTIF($E99:F99,"µ")+COUNTIF($E99:F99,1),ColTypeEcheance)),
  IF(LEN(F99)=1,
  IF(LEN(INDEX(Roadmap!$D:$K,MATCH($E99,Roadmap!$D:$D,0)-1+COUNTIF($E99:F99,"u")+COUNTIF($E99:F99,"t")+COUNTIF($E99:F99,"¶")+COUNTIF($E99:F99,"²")+COUNTIF($E99:F99,"µ")+COUNTIF($E99:F99,1),ColDescriptionCourte))&gt;1,
HYPERLINK("#Roadmap!C"&amp; MATCH($E99,Roadmap!$D:$D,0)+COUNTIF($E99:F99,"u")+COUNTIF($E99:F99,"t")+COUNTIF($E99:F99,"¶")+COUNTIF($E99:F99,"²")+COUNTIF($E99:F99,"µ")+COUNTIF($E99:F99,1)-1,INDEX(Roadmap!$D:$K,MATCH($E99,Roadmap!$D:$D,0)-1+COUNTIF($E99:F99,"u")+COUNTIF($E99:F99,"t")+COUNTIF($E99:F99,"¶")+COUNTIF($E99:F99,"²")+COUNTIF($E99:F99,"µ")+COUNTIF($E99:F99,1),ColDescriptionCourte)),""),
  "")),"")</f>
        <v/>
      </c>
      <c r="H99" s="40" t="str">
        <f ca="1">IFERROR(IF(AND(
  INDEX(Roadmap!$D:$K,MATCH($E99,Roadmap!$D:$D,0)+COUNTIF($E99:G99,"u")+COUNTIF($E99:G99,"t")+COUNTIF($E99:G99,"¶")+COUNTIF($E99:G99,"²")+COUNTIF($E99:G99,"µ")+COUNTIF($E99:G99,1),ColLivraison)=H$6,
  VLOOKUP($E99,INDIRECT("tri!"&amp; CHAR(64+ C0Col) &amp;":"&amp; CHAR(65+C0Col)),2,FALSE)&gt;COUNTIF($E99:G99,"u")+COUNTIF($E99:G99,"t")+COUNTIF($E99:G99,"¶")+COUNTIF($E99:G99,"²")+COUNTIF($E99:G99,"µ")+COUNTIF($E99:G99,1)),
HYPERLINK("#Roadmap!C"&amp; MATCH($E99,Roadmap!$D:$D,0)+COUNTIF($E99:G99,"u")+COUNTIF($E99:G99,"t"),
     INDEX(Roadmap!$D:$K,MATCH($E99,Roadmap!$D:$D,0)+COUNTIF($E99:G99,"u")+COUNTIF($E99:G99,"t")+COUNTIF($E99:G99,"¶")+COUNTIF($E99:G99,"²")+COUNTIF($E99:G99,"µ")+COUNTIF($E99:G99,1),ColTypeEcheance)),
  IF(LEN(G99)=1,
  IF(LEN(INDEX(Roadmap!$D:$K,MATCH($E99,Roadmap!$D:$D,0)-1+COUNTIF($E99:G99,"u")+COUNTIF($E99:G99,"t")+COUNTIF($E99:G99,"¶")+COUNTIF($E99:G99,"²")+COUNTIF($E99:G99,"µ")+COUNTIF($E99:G99,1),ColDescriptionCourte))&gt;1,
HYPERLINK("#Roadmap!C"&amp; MATCH($E99,Roadmap!$D:$D,0)+COUNTIF($E99:G99,"u")+COUNTIF($E99:G99,"t")+COUNTIF($E99:G99,"¶")+COUNTIF($E99:G99,"²")+COUNTIF($E99:G99,"µ")+COUNTIF($E99:G99,1)-1,INDEX(Roadmap!$D:$K,MATCH($E99,Roadmap!$D:$D,0)-1+COUNTIF($E99:G99,"u")+COUNTIF($E99:G99,"t")+COUNTIF($E99:G99,"¶")+COUNTIF($E99:G99,"²")+COUNTIF($E99:G99,"µ")+COUNTIF($E99:G99,1),ColDescriptionCourte)),""),
  "")),"")</f>
        <v/>
      </c>
      <c r="I99" s="40" t="str">
        <f ca="1">IFERROR(IF(AND(
  INDEX(Roadmap!$D:$K,MATCH($E99,Roadmap!$D:$D,0)+COUNTIF($E99:H99,"u")+COUNTIF($E99:H99,"t")+COUNTIF($E99:H99,"¶")+COUNTIF($E99:H99,"²")+COUNTIF($E99:H99,"µ")+COUNTIF($E99:H99,1),ColLivraison)=I$6,
  VLOOKUP($E99,INDIRECT("tri!"&amp; CHAR(64+ C0Col) &amp;":"&amp; CHAR(65+C0Col)),2,FALSE)&gt;COUNTIF($E99:H99,"u")+COUNTIF($E99:H99,"t")+COUNTIF($E99:H99,"¶")+COUNTIF($E99:H99,"²")+COUNTIF($E99:H99,"µ")+COUNTIF($E99:H99,1)),
HYPERLINK("#Roadmap!C"&amp; MATCH($E99,Roadmap!$D:$D,0)+COUNTIF($E99:H99,"u")+COUNTIF($E99:H99,"t"),
     INDEX(Roadmap!$D:$K,MATCH($E99,Roadmap!$D:$D,0)+COUNTIF($E99:H99,"u")+COUNTIF($E99:H99,"t")+COUNTIF($E99:H99,"¶")+COUNTIF($E99:H99,"²")+COUNTIF($E99:H99,"µ")+COUNTIF($E99:H99,1),ColTypeEcheance)),
  IF(LEN(H99)=1,
  IF(LEN(INDEX(Roadmap!$D:$K,MATCH($E99,Roadmap!$D:$D,0)-1+COUNTIF($E99:H99,"u")+COUNTIF($E99:H99,"t")+COUNTIF($E99:H99,"¶")+COUNTIF($E99:H99,"²")+COUNTIF($E99:H99,"µ")+COUNTIF($E99:H99,1),ColDescriptionCourte))&gt;1,
HYPERLINK("#Roadmap!C"&amp; MATCH($E99,Roadmap!$D:$D,0)+COUNTIF($E99:H99,"u")+COUNTIF($E99:H99,"t")+COUNTIF($E99:H99,"¶")+COUNTIF($E99:H99,"²")+COUNTIF($E99:H99,"µ")+COUNTIF($E99:H99,1)-1,INDEX(Roadmap!$D:$K,MATCH($E99,Roadmap!$D:$D,0)-1+COUNTIF($E99:H99,"u")+COUNTIF($E99:H99,"t")+COUNTIF($E99:H99,"¶")+COUNTIF($E99:H99,"²")+COUNTIF($E99:H99,"µ")+COUNTIF($E99:H99,1),ColDescriptionCourte)),""),
  "")),"")</f>
        <v/>
      </c>
      <c r="J99" s="40" t="str">
        <f ca="1">IFERROR(IF(AND(
  INDEX(Roadmap!$D:$K,MATCH($E99,Roadmap!$D:$D,0)+COUNTIF($E99:I99,"u")+COUNTIF($E99:I99,"t")+COUNTIF($E99:I99,"¶")+COUNTIF($E99:I99,"²")+COUNTIF($E99:I99,"µ")+COUNTIF($E99:I99,1),ColLivraison)=J$6,
  VLOOKUP($E99,INDIRECT("tri!"&amp; CHAR(64+ C0Col) &amp;":"&amp; CHAR(65+C0Col)),2,FALSE)&gt;COUNTIF($E99:I99,"u")+COUNTIF($E99:I99,"t")+COUNTIF($E99:I99,"¶")+COUNTIF($E99:I99,"²")+COUNTIF($E99:I99,"µ")+COUNTIF($E99:I99,1)),
HYPERLINK("#Roadmap!C"&amp; MATCH($E99,Roadmap!$D:$D,0)+COUNTIF($E99:I99,"u")+COUNTIF($E99:I99,"t"),
     INDEX(Roadmap!$D:$K,MATCH($E99,Roadmap!$D:$D,0)+COUNTIF($E99:I99,"u")+COUNTIF($E99:I99,"t")+COUNTIF($E99:I99,"¶")+COUNTIF($E99:I99,"²")+COUNTIF($E99:I99,"µ")+COUNTIF($E99:I99,1),ColTypeEcheance)),
  IF(LEN(I99)=1,
  IF(LEN(INDEX(Roadmap!$D:$K,MATCH($E99,Roadmap!$D:$D,0)-1+COUNTIF($E99:I99,"u")+COUNTIF($E99:I99,"t")+COUNTIF($E99:I99,"¶")+COUNTIF($E99:I99,"²")+COUNTIF($E99:I99,"µ")+COUNTIF($E99:I99,1),ColDescriptionCourte))&gt;1,
HYPERLINK("#Roadmap!C"&amp; MATCH($E99,Roadmap!$D:$D,0)+COUNTIF($E99:I99,"u")+COUNTIF($E99:I99,"t")+COUNTIF($E99:I99,"¶")+COUNTIF($E99:I99,"²")+COUNTIF($E99:I99,"µ")+COUNTIF($E99:I99,1)-1,INDEX(Roadmap!$D:$K,MATCH($E99,Roadmap!$D:$D,0)-1+COUNTIF($E99:I99,"u")+COUNTIF($E99:I99,"t")+COUNTIF($E99:I99,"¶")+COUNTIF($E99:I99,"²")+COUNTIF($E99:I99,"µ")+COUNTIF($E99:I99,1),ColDescriptionCourte)),""),
  "")),"")</f>
        <v/>
      </c>
      <c r="K99" s="40" t="str">
        <f ca="1">IFERROR(IF(AND(
  INDEX(Roadmap!$D:$K,MATCH($E99,Roadmap!$D:$D,0)+COUNTIF($E99:J99,"u")+COUNTIF($E99:J99,"t")+COUNTIF($E99:J99,"¶")+COUNTIF($E99:J99,"²")+COUNTIF($E99:J99,"µ")+COUNTIF($E99:J99,1),ColLivraison)=K$6,
  VLOOKUP($E99,INDIRECT("tri!"&amp; CHAR(64+ C0Col) &amp;":"&amp; CHAR(65+C0Col)),2,FALSE)&gt;COUNTIF($E99:J99,"u")+COUNTIF($E99:J99,"t")+COUNTIF($E99:J99,"¶")+COUNTIF($E99:J99,"²")+COUNTIF($E99:J99,"µ")+COUNTIF($E99:J99,1)),
HYPERLINK("#Roadmap!C"&amp; MATCH($E99,Roadmap!$D:$D,0)+COUNTIF($E99:J99,"u")+COUNTIF($E99:J99,"t"),
     INDEX(Roadmap!$D:$K,MATCH($E99,Roadmap!$D:$D,0)+COUNTIF($E99:J99,"u")+COUNTIF($E99:J99,"t")+COUNTIF($E99:J99,"¶")+COUNTIF($E99:J99,"²")+COUNTIF($E99:J99,"µ")+COUNTIF($E99:J99,1),ColTypeEcheance)),
  IF(LEN(J99)=1,
  IF(LEN(INDEX(Roadmap!$D:$K,MATCH($E99,Roadmap!$D:$D,0)-1+COUNTIF($E99:J99,"u")+COUNTIF($E99:J99,"t")+COUNTIF($E99:J99,"¶")+COUNTIF($E99:J99,"²")+COUNTIF($E99:J99,"µ")+COUNTIF($E99:J99,1),ColDescriptionCourte))&gt;1,
HYPERLINK("#Roadmap!C"&amp; MATCH($E99,Roadmap!$D:$D,0)+COUNTIF($E99:J99,"u")+COUNTIF($E99:J99,"t")+COUNTIF($E99:J99,"¶")+COUNTIF($E99:J99,"²")+COUNTIF($E99:J99,"µ")+COUNTIF($E99:J99,1)-1,INDEX(Roadmap!$D:$K,MATCH($E99,Roadmap!$D:$D,0)-1+COUNTIF($E99:J99,"u")+COUNTIF($E99:J99,"t")+COUNTIF($E99:J99,"¶")+COUNTIF($E99:J99,"²")+COUNTIF($E99:J99,"µ")+COUNTIF($E99:J99,1),ColDescriptionCourte)),""),
  "")),"")</f>
        <v/>
      </c>
      <c r="L99" s="39" t="str">
        <f ca="1">IFERROR(IF(AND(
  INDEX(Roadmap!$D:$K,MATCH($E99,Roadmap!$D:$D,0)+COUNTIF($E99:K99,"u")+COUNTIF($E99:K99,"t")+COUNTIF($E99:K99,"¶")+COUNTIF($E99:K99,"²")+COUNTIF($E99:K99,"µ")+COUNTIF($E99:K99,1),ColLivraison)=L$6,
  VLOOKUP($E99,INDIRECT("tri!"&amp; CHAR(64+ C0Col) &amp;":"&amp; CHAR(65+C0Col)),2,FALSE)&gt;COUNTIF($E99:K99,"u")+COUNTIF($E99:K99,"t")+COUNTIF($E99:K99,"¶")+COUNTIF($E99:K99,"²")+COUNTIF($E99:K99,"µ")+COUNTIF($E99:K99,1)),
HYPERLINK("#Roadmap!C"&amp; MATCH($E99,Roadmap!$D:$D,0)+COUNTIF($E99:K99,"u")+COUNTIF($E99:K99,"t"),
     INDEX(Roadmap!$D:$K,MATCH($E99,Roadmap!$D:$D,0)+COUNTIF($E99:K99,"u")+COUNTIF($E99:K99,"t")+COUNTIF($E99:K99,"¶")+COUNTIF($E99:K99,"²")+COUNTIF($E99:K99,"µ")+COUNTIF($E99:K99,1),ColTypeEcheance)),
  IF(LEN(K99)=1,
  IF(LEN(INDEX(Roadmap!$D:$K,MATCH($E99,Roadmap!$D:$D,0)-1+COUNTIF($E99:K99,"u")+COUNTIF($E99:K99,"t")+COUNTIF($E99:K99,"¶")+COUNTIF($E99:K99,"²")+COUNTIF($E99:K99,"µ")+COUNTIF($E99:K99,1),ColDescriptionCourte))&gt;1,
HYPERLINK("#Roadmap!C"&amp; MATCH($E99,Roadmap!$D:$D,0)+COUNTIF($E99:K99,"u")+COUNTIF($E99:K99,"t")+COUNTIF($E99:K99,"¶")+COUNTIF($E99:K99,"²")+COUNTIF($E99:K99,"µ")+COUNTIF($E99:K99,1)-1,INDEX(Roadmap!$D:$K,MATCH($E99,Roadmap!$D:$D,0)-1+COUNTIF($E99:K99,"u")+COUNTIF($E99:K99,"t")+COUNTIF($E99:K99,"¶")+COUNTIF($E99:K99,"²")+COUNTIF($E99:K99,"µ")+COUNTIF($E99:K99,1),ColDescriptionCourte)),""),
  "")),"")</f>
        <v/>
      </c>
      <c r="M99" s="40" t="str">
        <f ca="1">IFERROR(IF(AND(
  INDEX(Roadmap!$D:$K,MATCH($E99,Roadmap!$D:$D,0)+COUNTIF($E99:L99,"u")+COUNTIF($E99:L99,"t")+COUNTIF($E99:L99,"¶")+COUNTIF($E99:L99,"²")+COUNTIF($E99:L99,"µ")+COUNTIF($E99:L99,1),ColLivraison)=M$6,
  VLOOKUP($E99,INDIRECT("tri!"&amp; CHAR(64+ C0Col) &amp;":"&amp; CHAR(65+C0Col)),2,FALSE)&gt;COUNTIF($E99:L99,"u")+COUNTIF($E99:L99,"t")+COUNTIF($E99:L99,"¶")+COUNTIF($E99:L99,"²")+COUNTIF($E99:L99,"µ")+COUNTIF($E99:L99,1)),
HYPERLINK("#Roadmap!C"&amp; MATCH($E99,Roadmap!$D:$D,0)+COUNTIF($E99:L99,"u")+COUNTIF($E99:L99,"t"),
     INDEX(Roadmap!$D:$K,MATCH($E99,Roadmap!$D:$D,0)+COUNTIF($E99:L99,"u")+COUNTIF($E99:L99,"t")+COUNTIF($E99:L99,"¶")+COUNTIF($E99:L99,"²")+COUNTIF($E99:L99,"µ")+COUNTIF($E99:L99,1),ColTypeEcheance)),
  IF(LEN(L99)=1,
  IF(LEN(INDEX(Roadmap!$D:$K,MATCH($E99,Roadmap!$D:$D,0)-1+COUNTIF($E99:L99,"u")+COUNTIF($E99:L99,"t")+COUNTIF($E99:L99,"¶")+COUNTIF($E99:L99,"²")+COUNTIF($E99:L99,"µ")+COUNTIF($E99:L99,1),ColDescriptionCourte))&gt;1,
HYPERLINK("#Roadmap!C"&amp; MATCH($E99,Roadmap!$D:$D,0)+COUNTIF($E99:L99,"u")+COUNTIF($E99:L99,"t")+COUNTIF($E99:L99,"¶")+COUNTIF($E99:L99,"²")+COUNTIF($E99:L99,"µ")+COUNTIF($E99:L99,1)-1,INDEX(Roadmap!$D:$K,MATCH($E99,Roadmap!$D:$D,0)-1+COUNTIF($E99:L99,"u")+COUNTIF($E99:L99,"t")+COUNTIF($E99:L99,"¶")+COUNTIF($E99:L99,"²")+COUNTIF($E99:L99,"µ")+COUNTIF($E99:L99,1),ColDescriptionCourte)),""),
  "")),"")</f>
        <v/>
      </c>
      <c r="N99" s="40" t="str">
        <f ca="1">IFERROR(IF(AND(
  INDEX(Roadmap!$D:$K,MATCH($E99,Roadmap!$D:$D,0)+COUNTIF($E99:M99,"u")+COUNTIF($E99:M99,"t")+COUNTIF($E99:M99,"¶")+COUNTIF($E99:M99,"²")+COUNTIF($E99:M99,"µ")+COUNTIF($E99:M99,1),ColLivraison)=N$6,
  VLOOKUP($E99,INDIRECT("tri!"&amp; CHAR(64+ C0Col) &amp;":"&amp; CHAR(65+C0Col)),2,FALSE)&gt;COUNTIF($E99:M99,"u")+COUNTIF($E99:M99,"t")+COUNTIF($E99:M99,"¶")+COUNTIF($E99:M99,"²")+COUNTIF($E99:M99,"µ")+COUNTIF($E99:M99,1)),
HYPERLINK("#Roadmap!C"&amp; MATCH($E99,Roadmap!$D:$D,0)+COUNTIF($E99:M99,"u")+COUNTIF($E99:M99,"t"),
     INDEX(Roadmap!$D:$K,MATCH($E99,Roadmap!$D:$D,0)+COUNTIF($E99:M99,"u")+COUNTIF($E99:M99,"t")+COUNTIF($E99:M99,"¶")+COUNTIF($E99:M99,"²")+COUNTIF($E99:M99,"µ")+COUNTIF($E99:M99,1),ColTypeEcheance)),
  IF(LEN(M99)=1,
  IF(LEN(INDEX(Roadmap!$D:$K,MATCH($E99,Roadmap!$D:$D,0)-1+COUNTIF($E99:M99,"u")+COUNTIF($E99:M99,"t")+COUNTIF($E99:M99,"¶")+COUNTIF($E99:M99,"²")+COUNTIF($E99:M99,"µ")+COUNTIF($E99:M99,1),ColDescriptionCourte))&gt;1,
HYPERLINK("#Roadmap!C"&amp; MATCH($E99,Roadmap!$D:$D,0)+COUNTIF($E99:M99,"u")+COUNTIF($E99:M99,"t")+COUNTIF($E99:M99,"¶")+COUNTIF($E99:M99,"²")+COUNTIF($E99:M99,"µ")+COUNTIF($E99:M99,1)-1,INDEX(Roadmap!$D:$K,MATCH($E99,Roadmap!$D:$D,0)-1+COUNTIF($E99:M99,"u")+COUNTIF($E99:M99,"t")+COUNTIF($E99:M99,"¶")+COUNTIF($E99:M99,"²")+COUNTIF($E99:M99,"µ")+COUNTIF($E99:M99,1),ColDescriptionCourte)),""),
  "")),"")</f>
        <v/>
      </c>
      <c r="O99" s="40" t="str">
        <f ca="1">IFERROR(IF(AND(
  INDEX(Roadmap!$D:$K,MATCH($E99,Roadmap!$D:$D,0)+COUNTIF($E99:N99,"u")+COUNTIF($E99:N99,"t")+COUNTIF($E99:N99,"¶")+COUNTIF($E99:N99,"²")+COUNTIF($E99:N99,"µ")+COUNTIF($E99:N99,1),ColLivraison)=O$6,
  VLOOKUP($E99,INDIRECT("tri!"&amp; CHAR(64+ C0Col) &amp;":"&amp; CHAR(65+C0Col)),2,FALSE)&gt;COUNTIF($E99:N99,"u")+COUNTIF($E99:N99,"t")+COUNTIF($E99:N99,"¶")+COUNTIF($E99:N99,"²")+COUNTIF($E99:N99,"µ")+COUNTIF($E99:N99,1)),
HYPERLINK("#Roadmap!C"&amp; MATCH($E99,Roadmap!$D:$D,0)+COUNTIF($E99:N99,"u")+COUNTIF($E99:N99,"t"),
     INDEX(Roadmap!$D:$K,MATCH($E99,Roadmap!$D:$D,0)+COUNTIF($E99:N99,"u")+COUNTIF($E99:N99,"t")+COUNTIF($E99:N99,"¶")+COUNTIF($E99:N99,"²")+COUNTIF($E99:N99,"µ")+COUNTIF($E99:N99,1),ColTypeEcheance)),
  IF(LEN(N99)=1,
  IF(LEN(INDEX(Roadmap!$D:$K,MATCH($E99,Roadmap!$D:$D,0)-1+COUNTIF($E99:N99,"u")+COUNTIF($E99:N99,"t")+COUNTIF($E99:N99,"¶")+COUNTIF($E99:N99,"²")+COUNTIF($E99:N99,"µ")+COUNTIF($E99:N99,1),ColDescriptionCourte))&gt;1,
HYPERLINK("#Roadmap!C"&amp; MATCH($E99,Roadmap!$D:$D,0)+COUNTIF($E99:N99,"u")+COUNTIF($E99:N99,"t")+COUNTIF($E99:N99,"¶")+COUNTIF($E99:N99,"²")+COUNTIF($E99:N99,"µ")+COUNTIF($E99:N99,1)-1,INDEX(Roadmap!$D:$K,MATCH($E99,Roadmap!$D:$D,0)-1+COUNTIF($E99:N99,"u")+COUNTIF($E99:N99,"t")+COUNTIF($E99:N99,"¶")+COUNTIF($E99:N99,"²")+COUNTIF($E99:N99,"µ")+COUNTIF($E99:N99,1),ColDescriptionCourte)),""),
  "")),"")</f>
        <v/>
      </c>
      <c r="P99" s="40" t="str">
        <f ca="1">IFERROR(IF(AND(
  INDEX(Roadmap!$D:$K,MATCH($E99,Roadmap!$D:$D,0)+COUNTIF($E99:O99,"u")+COUNTIF($E99:O99,"t")+COUNTIF($E99:O99,"¶")+COUNTIF($E99:O99,"²")+COUNTIF($E99:O99,"µ")+COUNTIF($E99:O99,1),ColLivraison)=P$6,
  VLOOKUP($E99,INDIRECT("tri!"&amp; CHAR(64+ C0Col) &amp;":"&amp; CHAR(65+C0Col)),2,FALSE)&gt;COUNTIF($E99:O99,"u")+COUNTIF($E99:O99,"t")+COUNTIF($E99:O99,"¶")+COUNTIF($E99:O99,"²")+COUNTIF($E99:O99,"µ")+COUNTIF($E99:O99,1)),
HYPERLINK("#Roadmap!C"&amp; MATCH($E99,Roadmap!$D:$D,0)+COUNTIF($E99:O99,"u")+COUNTIF($E99:O99,"t"),
     INDEX(Roadmap!$D:$K,MATCH($E99,Roadmap!$D:$D,0)+COUNTIF($E99:O99,"u")+COUNTIF($E99:O99,"t")+COUNTIF($E99:O99,"¶")+COUNTIF($E99:O99,"²")+COUNTIF($E99:O99,"µ")+COUNTIF($E99:O99,1),ColTypeEcheance)),
  IF(LEN(O99)=1,
  IF(LEN(INDEX(Roadmap!$D:$K,MATCH($E99,Roadmap!$D:$D,0)-1+COUNTIF($E99:O99,"u")+COUNTIF($E99:O99,"t")+COUNTIF($E99:O99,"¶")+COUNTIF($E99:O99,"²")+COUNTIF($E99:O99,"µ")+COUNTIF($E99:O99,1),ColDescriptionCourte))&gt;1,
HYPERLINK("#Roadmap!C"&amp; MATCH($E99,Roadmap!$D:$D,0)+COUNTIF($E99:O99,"u")+COUNTIF($E99:O99,"t")+COUNTIF($E99:O99,"¶")+COUNTIF($E99:O99,"²")+COUNTIF($E99:O99,"µ")+COUNTIF($E99:O99,1)-1,INDEX(Roadmap!$D:$K,MATCH($E99,Roadmap!$D:$D,0)-1+COUNTIF($E99:O99,"u")+COUNTIF($E99:O99,"t")+COUNTIF($E99:O99,"¶")+COUNTIF($E99:O99,"²")+COUNTIF($E99:O99,"µ")+COUNTIF($E99:O99,1),ColDescriptionCourte)),""),
  "")),"")</f>
        <v/>
      </c>
      <c r="Q99" s="40" t="str">
        <f ca="1">IFERROR(IF(AND(
  INDEX(Roadmap!$D:$K,MATCH($E99,Roadmap!$D:$D,0)+COUNTIF($E99:P99,"u")+COUNTIF($E99:P99,"t")+COUNTIF($E99:P99,"¶")+COUNTIF($E99:P99,"²")+COUNTIF($E99:P99,"µ")+COUNTIF($E99:P99,1),ColLivraison)=Q$6,
  VLOOKUP($E99,INDIRECT("tri!"&amp; CHAR(64+ C0Col) &amp;":"&amp; CHAR(65+C0Col)),2,FALSE)&gt;COUNTIF($E99:P99,"u")+COUNTIF($E99:P99,"t")+COUNTIF($E99:P99,"¶")+COUNTIF($E99:P99,"²")+COUNTIF($E99:P99,"µ")+COUNTIF($E99:P99,1)),
HYPERLINK("#Roadmap!C"&amp; MATCH($E99,Roadmap!$D:$D,0)+COUNTIF($E99:P99,"u")+COUNTIF($E99:P99,"t"),
     INDEX(Roadmap!$D:$K,MATCH($E99,Roadmap!$D:$D,0)+COUNTIF($E99:P99,"u")+COUNTIF($E99:P99,"t")+COUNTIF($E99:P99,"¶")+COUNTIF($E99:P99,"²")+COUNTIF($E99:P99,"µ")+COUNTIF($E99:P99,1),ColTypeEcheance)),
  IF(LEN(P99)=1,
  IF(LEN(INDEX(Roadmap!$D:$K,MATCH($E99,Roadmap!$D:$D,0)-1+COUNTIF($E99:P99,"u")+COUNTIF($E99:P99,"t")+COUNTIF($E99:P99,"¶")+COUNTIF($E99:P99,"²")+COUNTIF($E99:P99,"µ")+COUNTIF($E99:P99,1),ColDescriptionCourte))&gt;1,
HYPERLINK("#Roadmap!C"&amp; MATCH($E99,Roadmap!$D:$D,0)+COUNTIF($E99:P99,"u")+COUNTIF($E99:P99,"t")+COUNTIF($E99:P99,"¶")+COUNTIF($E99:P99,"²")+COUNTIF($E99:P99,"µ")+COUNTIF($E99:P99,1)-1,INDEX(Roadmap!$D:$K,MATCH($E99,Roadmap!$D:$D,0)-1+COUNTIF($E99:P99,"u")+COUNTIF($E99:P99,"t")+COUNTIF($E99:P99,"¶")+COUNTIF($E99:P99,"²")+COUNTIF($E99:P99,"µ")+COUNTIF($E99:P99,1),ColDescriptionCourte)),""),
  "")),"")</f>
        <v/>
      </c>
      <c r="R99" s="40" t="str">
        <f ca="1">IFERROR(IF(AND(
  INDEX(Roadmap!$D:$K,MATCH($E99,Roadmap!$D:$D,0)+COUNTIF($E99:Q99,"u")+COUNTIF($E99:Q99,"t")+COUNTIF($E99:Q99,"¶")+COUNTIF($E99:Q99,"²")+COUNTIF($E99:Q99,"µ")+COUNTIF($E99:Q99,1),ColLivraison)=R$6,
  VLOOKUP($E99,INDIRECT("tri!"&amp; CHAR(64+ C0Col) &amp;":"&amp; CHAR(65+C0Col)),2,FALSE)&gt;COUNTIF($E99:Q99,"u")+COUNTIF($E99:Q99,"t")+COUNTIF($E99:Q99,"¶")+COUNTIF($E99:Q99,"²")+COUNTIF($E99:Q99,"µ")+COUNTIF($E99:Q99,1)),
HYPERLINK("#Roadmap!C"&amp; MATCH($E99,Roadmap!$D:$D,0)+COUNTIF($E99:Q99,"u")+COUNTIF($E99:Q99,"t"),
     INDEX(Roadmap!$D:$K,MATCH($E99,Roadmap!$D:$D,0)+COUNTIF($E99:Q99,"u")+COUNTIF($E99:Q99,"t")+COUNTIF($E99:Q99,"¶")+COUNTIF($E99:Q99,"²")+COUNTIF($E99:Q99,"µ")+COUNTIF($E99:Q99,1),ColTypeEcheance)),
  IF(LEN(Q99)=1,
  IF(LEN(INDEX(Roadmap!$D:$K,MATCH($E99,Roadmap!$D:$D,0)-1+COUNTIF($E99:Q99,"u")+COUNTIF($E99:Q99,"t")+COUNTIF($E99:Q99,"¶")+COUNTIF($E99:Q99,"²")+COUNTIF($E99:Q99,"µ")+COUNTIF($E99:Q99,1),ColDescriptionCourte))&gt;1,
HYPERLINK("#Roadmap!C"&amp; MATCH($E99,Roadmap!$D:$D,0)+COUNTIF($E99:Q99,"u")+COUNTIF($E99:Q99,"t")+COUNTIF($E99:Q99,"¶")+COUNTIF($E99:Q99,"²")+COUNTIF($E99:Q99,"µ")+COUNTIF($E99:Q99,1)-1,INDEX(Roadmap!$D:$K,MATCH($E99,Roadmap!$D:$D,0)-1+COUNTIF($E99:Q99,"u")+COUNTIF($E99:Q99,"t")+COUNTIF($E99:Q99,"¶")+COUNTIF($E99:Q99,"²")+COUNTIF($E99:Q99,"µ")+COUNTIF($E99:Q99,1),ColDescriptionCourte)),""),
  "")),"")</f>
        <v/>
      </c>
      <c r="S99" s="40" t="str">
        <f ca="1">IFERROR(IF(AND(
  INDEX(Roadmap!$D:$K,MATCH($E99,Roadmap!$D:$D,0)+COUNTIF($E99:R99,"u")+COUNTIF($E99:R99,"t")+COUNTIF($E99:R99,"¶")+COUNTIF($E99:R99,"²")+COUNTIF($E99:R99,"µ")+COUNTIF($E99:R99,1),ColLivraison)=S$6,
  VLOOKUP($E99,INDIRECT("tri!"&amp; CHAR(64+ C0Col) &amp;":"&amp; CHAR(65+C0Col)),2,FALSE)&gt;COUNTIF($E99:R99,"u")+COUNTIF($E99:R99,"t")+COUNTIF($E99:R99,"¶")+COUNTIF($E99:R99,"²")+COUNTIF($E99:R99,"µ")+COUNTIF($E99:R99,1)),
HYPERLINK("#Roadmap!C"&amp; MATCH($E99,Roadmap!$D:$D,0)+COUNTIF($E99:R99,"u")+COUNTIF($E99:R99,"t"),
     INDEX(Roadmap!$D:$K,MATCH($E99,Roadmap!$D:$D,0)+COUNTIF($E99:R99,"u")+COUNTIF($E99:R99,"t")+COUNTIF($E99:R99,"¶")+COUNTIF($E99:R99,"²")+COUNTIF($E99:R99,"µ")+COUNTIF($E99:R99,1),ColTypeEcheance)),
  IF(LEN(R99)=1,
  IF(LEN(INDEX(Roadmap!$D:$K,MATCH($E99,Roadmap!$D:$D,0)-1+COUNTIF($E99:R99,"u")+COUNTIF($E99:R99,"t")+COUNTIF($E99:R99,"¶")+COUNTIF($E99:R99,"²")+COUNTIF($E99:R99,"µ")+COUNTIF($E99:R99,1),ColDescriptionCourte))&gt;1,
HYPERLINK("#Roadmap!C"&amp; MATCH($E99,Roadmap!$D:$D,0)+COUNTIF($E99:R99,"u")+COUNTIF($E99:R99,"t")+COUNTIF($E99:R99,"¶")+COUNTIF($E99:R99,"²")+COUNTIF($E99:R99,"µ")+COUNTIF($E99:R99,1)-1,INDEX(Roadmap!$D:$K,MATCH($E99,Roadmap!$D:$D,0)-1+COUNTIF($E99:R99,"u")+COUNTIF($E99:R99,"t")+COUNTIF($E99:R99,"¶")+COUNTIF($E99:R99,"²")+COUNTIF($E99:R99,"µ")+COUNTIF($E99:R99,1),ColDescriptionCourte)),""),
  "")),"")</f>
        <v/>
      </c>
      <c r="T99" s="40" t="str">
        <f ca="1">IFERROR(IF(AND(
  INDEX(Roadmap!$D:$K,MATCH($E99,Roadmap!$D:$D,0)+COUNTIF($E99:S99,"u")+COUNTIF($E99:S99,"t")+COUNTIF($E99:S99,"¶")+COUNTIF($E99:S99,"²")+COUNTIF($E99:S99,"µ")+COUNTIF($E99:S99,1),ColLivraison)=T$6,
  VLOOKUP($E99,INDIRECT("tri!"&amp; CHAR(64+ C0Col) &amp;":"&amp; CHAR(65+C0Col)),2,FALSE)&gt;COUNTIF($E99:S99,"u")+COUNTIF($E99:S99,"t")+COUNTIF($E99:S99,"¶")+COUNTIF($E99:S99,"²")+COUNTIF($E99:S99,"µ")+COUNTIF($E99:S99,1)),
HYPERLINK("#Roadmap!C"&amp; MATCH($E99,Roadmap!$D:$D,0)+COUNTIF($E99:S99,"u")+COUNTIF($E99:S99,"t"),
     INDEX(Roadmap!$D:$K,MATCH($E99,Roadmap!$D:$D,0)+COUNTIF($E99:S99,"u")+COUNTIF($E99:S99,"t")+COUNTIF($E99:S99,"¶")+COUNTIF($E99:S99,"²")+COUNTIF($E99:S99,"µ")+COUNTIF($E99:S99,1),ColTypeEcheance)),
  IF(LEN(S99)=1,
  IF(LEN(INDEX(Roadmap!$D:$K,MATCH($E99,Roadmap!$D:$D,0)-1+COUNTIF($E99:S99,"u")+COUNTIF($E99:S99,"t")+COUNTIF($E99:S99,"¶")+COUNTIF($E99:S99,"²")+COUNTIF($E99:S99,"µ")+COUNTIF($E99:S99,1),ColDescriptionCourte))&gt;1,
HYPERLINK("#Roadmap!C"&amp; MATCH($E99,Roadmap!$D:$D,0)+COUNTIF($E99:S99,"u")+COUNTIF($E99:S99,"t")+COUNTIF($E99:S99,"¶")+COUNTIF($E99:S99,"²")+COUNTIF($E99:S99,"µ")+COUNTIF($E99:S99,1)-1,INDEX(Roadmap!$D:$K,MATCH($E99,Roadmap!$D:$D,0)-1+COUNTIF($E99:S99,"u")+COUNTIF($E99:S99,"t")+COUNTIF($E99:S99,"¶")+COUNTIF($E99:S99,"²")+COUNTIF($E99:S99,"µ")+COUNTIF($E99:S99,1),ColDescriptionCourte)),""),
  "")),"")</f>
        <v/>
      </c>
      <c r="U99" s="40" t="str">
        <f ca="1">IFERROR(IF(AND(
  INDEX(Roadmap!$D:$K,MATCH($E99,Roadmap!$D:$D,0)+COUNTIF($E99:T99,"u")+COUNTIF($E99:T99,"t")+COUNTIF($E99:T99,"¶")+COUNTIF($E99:T99,"²")+COUNTIF($E99:T99,"µ")+COUNTIF($E99:T99,1),ColLivraison)=U$6,
  VLOOKUP($E99,INDIRECT("tri!"&amp; CHAR(64+ C0Col) &amp;":"&amp; CHAR(65+C0Col)),2,FALSE)&gt;COUNTIF($E99:T99,"u")+COUNTIF($E99:T99,"t")+COUNTIF($E99:T99,"¶")+COUNTIF($E99:T99,"²")+COUNTIF($E99:T99,"µ")+COUNTIF($E99:T99,1)),
HYPERLINK("#Roadmap!C"&amp; MATCH($E99,Roadmap!$D:$D,0)+COUNTIF($E99:T99,"u")+COUNTIF($E99:T99,"t"),
     INDEX(Roadmap!$D:$K,MATCH($E99,Roadmap!$D:$D,0)+COUNTIF($E99:T99,"u")+COUNTIF($E99:T99,"t")+COUNTIF($E99:T99,"¶")+COUNTIF($E99:T99,"²")+COUNTIF($E99:T99,"µ")+COUNTIF($E99:T99,1),ColTypeEcheance)),
  IF(LEN(T99)=1,
  IF(LEN(INDEX(Roadmap!$D:$K,MATCH($E99,Roadmap!$D:$D,0)-1+COUNTIF($E99:T99,"u")+COUNTIF($E99:T99,"t")+COUNTIF($E99:T99,"¶")+COUNTIF($E99:T99,"²")+COUNTIF($E99:T99,"µ")+COUNTIF($E99:T99,1),ColDescriptionCourte))&gt;1,
HYPERLINK("#Roadmap!C"&amp; MATCH($E99,Roadmap!$D:$D,0)+COUNTIF($E99:T99,"u")+COUNTIF($E99:T99,"t")+COUNTIF($E99:T99,"¶")+COUNTIF($E99:T99,"²")+COUNTIF($E99:T99,"µ")+COUNTIF($E99:T99,1)-1,INDEX(Roadmap!$D:$K,MATCH($E99,Roadmap!$D:$D,0)-1+COUNTIF($E99:T99,"u")+COUNTIF($E99:T99,"t")+COUNTIF($E99:T99,"¶")+COUNTIF($E99:T99,"²")+COUNTIF($E99:T99,"µ")+COUNTIF($E99:T99,1),ColDescriptionCourte)),""),
  "")),"")</f>
        <v/>
      </c>
      <c r="V99" s="40" t="str">
        <f ca="1">IFERROR(IF(AND(
  INDEX(Roadmap!$D:$K,MATCH($E99,Roadmap!$D:$D,0)+COUNTIF($E99:U99,"u")+COUNTIF($E99:U99,"t")+COUNTIF($E99:U99,"¶")+COUNTIF($E99:U99,"²")+COUNTIF($E99:U99,"µ")+COUNTIF($E99:U99,1),ColLivraison)=V$6,
  VLOOKUP($E99,INDIRECT("tri!"&amp; CHAR(64+ C0Col) &amp;":"&amp; CHAR(65+C0Col)),2,FALSE)&gt;COUNTIF($E99:U99,"u")+COUNTIF($E99:U99,"t")+COUNTIF($E99:U99,"¶")+COUNTIF($E99:U99,"²")+COUNTIF($E99:U99,"µ")+COUNTIF($E99:U99,1)),
HYPERLINK("#Roadmap!C"&amp; MATCH($E99,Roadmap!$D:$D,0)+COUNTIF($E99:U99,"u")+COUNTIF($E99:U99,"t"),
     INDEX(Roadmap!$D:$K,MATCH($E99,Roadmap!$D:$D,0)+COUNTIF($E99:U99,"u")+COUNTIF($E99:U99,"t")+COUNTIF($E99:U99,"¶")+COUNTIF($E99:U99,"²")+COUNTIF($E99:U99,"µ")+COUNTIF($E99:U99,1),ColTypeEcheance)),
  IF(LEN(U99)=1,
  IF(LEN(INDEX(Roadmap!$D:$K,MATCH($E99,Roadmap!$D:$D,0)-1+COUNTIF($E99:U99,"u")+COUNTIF($E99:U99,"t")+COUNTIF($E99:U99,"¶")+COUNTIF($E99:U99,"²")+COUNTIF($E99:U99,"µ")+COUNTIF($E99:U99,1),ColDescriptionCourte))&gt;1,
HYPERLINK("#Roadmap!C"&amp; MATCH($E99,Roadmap!$D:$D,0)+COUNTIF($E99:U99,"u")+COUNTIF($E99:U99,"t")+COUNTIF($E99:U99,"¶")+COUNTIF($E99:U99,"²")+COUNTIF($E99:U99,"µ")+COUNTIF($E99:U99,1)-1,INDEX(Roadmap!$D:$K,MATCH($E99,Roadmap!$D:$D,0)-1+COUNTIF($E99:U99,"u")+COUNTIF($E99:U99,"t")+COUNTIF($E99:U99,"¶")+COUNTIF($E99:U99,"²")+COUNTIF($E99:U99,"µ")+COUNTIF($E99:U99,1),ColDescriptionCourte)),""),
  "")),"")</f>
        <v/>
      </c>
      <c r="W99" s="40" t="str">
        <f ca="1">IFERROR(IF(AND(
  INDEX(Roadmap!$D:$K,MATCH($E99,Roadmap!$D:$D,0)+COUNTIF($E99:V99,"u")+COUNTIF($E99:V99,"t")+COUNTIF($E99:V99,"¶")+COUNTIF($E99:V99,"²")+COUNTIF($E99:V99,"µ")+COUNTIF($E99:V99,1),ColLivraison)=W$6,
  VLOOKUP($E99,INDIRECT("tri!"&amp; CHAR(64+ C0Col) &amp;":"&amp; CHAR(65+C0Col)),2,FALSE)&gt;COUNTIF($E99:V99,"u")+COUNTIF($E99:V99,"t")+COUNTIF($E99:V99,"¶")+COUNTIF($E99:V99,"²")+COUNTIF($E99:V99,"µ")+COUNTIF($E99:V99,1)),
HYPERLINK("#Roadmap!C"&amp; MATCH($E99,Roadmap!$D:$D,0)+COUNTIF($E99:V99,"u")+COUNTIF($E99:V99,"t"),
     INDEX(Roadmap!$D:$K,MATCH($E99,Roadmap!$D:$D,0)+COUNTIF($E99:V99,"u")+COUNTIF($E99:V99,"t")+COUNTIF($E99:V99,"¶")+COUNTIF($E99:V99,"²")+COUNTIF($E99:V99,"µ")+COUNTIF($E99:V99,1),ColTypeEcheance)),
  IF(LEN(V99)=1,
  IF(LEN(INDEX(Roadmap!$D:$K,MATCH($E99,Roadmap!$D:$D,0)-1+COUNTIF($E99:V99,"u")+COUNTIF($E99:V99,"t")+COUNTIF($E99:V99,"¶")+COUNTIF($E99:V99,"²")+COUNTIF($E99:V99,"µ")+COUNTIF($E99:V99,1),ColDescriptionCourte))&gt;1,
HYPERLINK("#Roadmap!C"&amp; MATCH($E99,Roadmap!$D:$D,0)+COUNTIF($E99:V99,"u")+COUNTIF($E99:V99,"t")+COUNTIF($E99:V99,"¶")+COUNTIF($E99:V99,"²")+COUNTIF($E99:V99,"µ")+COUNTIF($E99:V99,1)-1,INDEX(Roadmap!$D:$K,MATCH($E99,Roadmap!$D:$D,0)-1+COUNTIF($E99:V99,"u")+COUNTIF($E99:V99,"t")+COUNTIF($E99:V99,"¶")+COUNTIF($E99:V99,"²")+COUNTIF($E99:V99,"µ")+COUNTIF($E99:V99,1),ColDescriptionCourte)),""),
  "")),"")</f>
        <v/>
      </c>
      <c r="X99" s="40" t="str">
        <f ca="1">IFERROR(IF(AND(
  INDEX(Roadmap!$D:$K,MATCH($E99,Roadmap!$D:$D,0)+COUNTIF($E99:W99,"u")+COUNTIF($E99:W99,"t")+COUNTIF($E99:W99,"¶")+COUNTIF($E99:W99,"²")+COUNTIF($E99:W99,"µ")+COUNTIF($E99:W99,1),ColLivraison)=X$6,
  VLOOKUP($E99,INDIRECT("tri!"&amp; CHAR(64+ C0Col) &amp;":"&amp; CHAR(65+C0Col)),2,FALSE)&gt;COUNTIF($E99:W99,"u")+COUNTIF($E99:W99,"t")+COUNTIF($E99:W99,"¶")+COUNTIF($E99:W99,"²")+COUNTIF($E99:W99,"µ")+COUNTIF($E99:W99,1)),
HYPERLINK("#Roadmap!C"&amp; MATCH($E99,Roadmap!$D:$D,0)+COUNTIF($E99:W99,"u")+COUNTIF($E99:W99,"t"),
     INDEX(Roadmap!$D:$K,MATCH($E99,Roadmap!$D:$D,0)+COUNTIF($E99:W99,"u")+COUNTIF($E99:W99,"t")+COUNTIF($E99:W99,"¶")+COUNTIF($E99:W99,"²")+COUNTIF($E99:W99,"µ")+COUNTIF($E99:W99,1),ColTypeEcheance)),
  IF(LEN(W99)=1,
  IF(LEN(INDEX(Roadmap!$D:$K,MATCH($E99,Roadmap!$D:$D,0)-1+COUNTIF($E99:W99,"u")+COUNTIF($E99:W99,"t")+COUNTIF($E99:W99,"¶")+COUNTIF($E99:W99,"²")+COUNTIF($E99:W99,"µ")+COUNTIF($E99:W99,1),ColDescriptionCourte))&gt;1,
HYPERLINK("#Roadmap!C"&amp; MATCH($E99,Roadmap!$D:$D,0)+COUNTIF($E99:W99,"u")+COUNTIF($E99:W99,"t")+COUNTIF($E99:W99,"¶")+COUNTIF($E99:W99,"²")+COUNTIF($E99:W99,"µ")+COUNTIF($E99:W99,1)-1,INDEX(Roadmap!$D:$K,MATCH($E99,Roadmap!$D:$D,0)-1+COUNTIF($E99:W99,"u")+COUNTIF($E99:W99,"t")+COUNTIF($E99:W99,"¶")+COUNTIF($E99:W99,"²")+COUNTIF($E99:W99,"µ")+COUNTIF($E99:W99,1),ColDescriptionCourte)),""),
  "")),"")</f>
        <v/>
      </c>
      <c r="Y99" s="40" t="str">
        <f ca="1">IFERROR(IF(AND(
  INDEX(Roadmap!$D:$K,MATCH($E99,Roadmap!$D:$D,0)+COUNTIF($E99:X99,"u")+COUNTIF($E99:X99,"t")+COUNTIF($E99:X99,"¶")+COUNTIF($E99:X99,"²")+COUNTIF($E99:X99,"µ")+COUNTIF($E99:X99,1),ColLivraison)=Y$6,
  VLOOKUP($E99,INDIRECT("tri!"&amp; CHAR(64+ C0Col) &amp;":"&amp; CHAR(65+C0Col)),2,FALSE)&gt;COUNTIF($E99:X99,"u")+COUNTIF($E99:X99,"t")+COUNTIF($E99:X99,"¶")+COUNTIF($E99:X99,"²")+COUNTIF($E99:X99,"µ")+COUNTIF($E99:X99,1)),
HYPERLINK("#Roadmap!C"&amp; MATCH($E99,Roadmap!$D:$D,0)+COUNTIF($E99:X99,"u")+COUNTIF($E99:X99,"t"),
     INDEX(Roadmap!$D:$K,MATCH($E99,Roadmap!$D:$D,0)+COUNTIF($E99:X99,"u")+COUNTIF($E99:X99,"t")+COUNTIF($E99:X99,"¶")+COUNTIF($E99:X99,"²")+COUNTIF($E99:X99,"µ")+COUNTIF($E99:X99,1),ColTypeEcheance)),
  IF(LEN(X99)=1,
  IF(LEN(INDEX(Roadmap!$D:$K,MATCH($E99,Roadmap!$D:$D,0)-1+COUNTIF($E99:X99,"u")+COUNTIF($E99:X99,"t")+COUNTIF($E99:X99,"¶")+COUNTIF($E99:X99,"²")+COUNTIF($E99:X99,"µ")+COUNTIF($E99:X99,1),ColDescriptionCourte))&gt;1,
HYPERLINK("#Roadmap!C"&amp; MATCH($E99,Roadmap!$D:$D,0)+COUNTIF($E99:X99,"u")+COUNTIF($E99:X99,"t")+COUNTIF($E99:X99,"¶")+COUNTIF($E99:X99,"²")+COUNTIF($E99:X99,"µ")+COUNTIF($E99:X99,1)-1,INDEX(Roadmap!$D:$K,MATCH($E99,Roadmap!$D:$D,0)-1+COUNTIF($E99:X99,"u")+COUNTIF($E99:X99,"t")+COUNTIF($E99:X99,"¶")+COUNTIF($E99:X99,"²")+COUNTIF($E99:X99,"µ")+COUNTIF($E99:X99,1),ColDescriptionCourte)),""),
  "")),"")</f>
        <v/>
      </c>
      <c r="Z99" s="40" t="str">
        <f ca="1">IFERROR(IF(AND(
  INDEX(Roadmap!$D:$K,MATCH($E99,Roadmap!$D:$D,0)+COUNTIF($E99:Y99,"u")+COUNTIF($E99:Y99,"t")+COUNTIF($E99:Y99,"¶")+COUNTIF($E99:Y99,"²")+COUNTIF($E99:Y99,"µ")+COUNTIF($E99:Y99,1),ColLivraison)=Z$6,
  VLOOKUP($E99,INDIRECT("tri!"&amp; CHAR(64+ C0Col) &amp;":"&amp; CHAR(65+C0Col)),2,FALSE)&gt;COUNTIF($E99:Y99,"u")+COUNTIF($E99:Y99,"t")+COUNTIF($E99:Y99,"¶")+COUNTIF($E99:Y99,"²")+COUNTIF($E99:Y99,"µ")+COUNTIF($E99:Y99,1)),
HYPERLINK("#Roadmap!C"&amp; MATCH($E99,Roadmap!$D:$D,0)+COUNTIF($E99:Y99,"u")+COUNTIF($E99:Y99,"t"),
     INDEX(Roadmap!$D:$K,MATCH($E99,Roadmap!$D:$D,0)+COUNTIF($E99:Y99,"u")+COUNTIF($E99:Y99,"t")+COUNTIF($E99:Y99,"¶")+COUNTIF($E99:Y99,"²")+COUNTIF($E99:Y99,"µ")+COUNTIF($E99:Y99,1),ColTypeEcheance)),
  IF(LEN(Y99)=1,
  IF(LEN(INDEX(Roadmap!$D:$K,MATCH($E99,Roadmap!$D:$D,0)-1+COUNTIF($E99:Y99,"u")+COUNTIF($E99:Y99,"t")+COUNTIF($E99:Y99,"¶")+COUNTIF($E99:Y99,"²")+COUNTIF($E99:Y99,"µ")+COUNTIF($E99:Y99,1),ColDescriptionCourte))&gt;1,
HYPERLINK("#Roadmap!C"&amp; MATCH($E99,Roadmap!$D:$D,0)+COUNTIF($E99:Y99,"u")+COUNTIF($E99:Y99,"t")+COUNTIF($E99:Y99,"¶")+COUNTIF($E99:Y99,"²")+COUNTIF($E99:Y99,"µ")+COUNTIF($E99:Y99,1)-1,INDEX(Roadmap!$D:$K,MATCH($E99,Roadmap!$D:$D,0)-1+COUNTIF($E99:Y99,"u")+COUNTIF($E99:Y99,"t")+COUNTIF($E99:Y99,"¶")+COUNTIF($E99:Y99,"²")+COUNTIF($E99:Y99,"µ")+COUNTIF($E99:Y99,1),ColDescriptionCourte)),""),
  "")),"")</f>
        <v/>
      </c>
      <c r="AA99" s="40" t="str">
        <f ca="1">IFERROR(IF(AND(
  INDEX(Roadmap!$D:$K,MATCH($E99,Roadmap!$D:$D,0)+COUNTIF($E99:Z99,"u")+COUNTIF($E99:Z99,"t")+COUNTIF($E99:Z99,"¶")+COUNTIF($E99:Z99,"²")+COUNTIF($E99:Z99,"µ")+COUNTIF($E99:Z99,1),ColLivraison)=AA$6,
  VLOOKUP($E99,INDIRECT("tri!"&amp; CHAR(64+ C0Col) &amp;":"&amp; CHAR(65+C0Col)),2,FALSE)&gt;COUNTIF($E99:Z99,"u")+COUNTIF($E99:Z99,"t")+COUNTIF($E99:Z99,"¶")+COUNTIF($E99:Z99,"²")+COUNTIF($E99:Z99,"µ")+COUNTIF($E99:Z99,1)),
HYPERLINK("#Roadmap!C"&amp; MATCH($E99,Roadmap!$D:$D,0)+COUNTIF($E99:Z99,"u")+COUNTIF($E99:Z99,"t"),
     INDEX(Roadmap!$D:$K,MATCH($E99,Roadmap!$D:$D,0)+COUNTIF($E99:Z99,"u")+COUNTIF($E99:Z99,"t")+COUNTIF($E99:Z99,"¶")+COUNTIF($E99:Z99,"²")+COUNTIF($E99:Z99,"µ")+COUNTIF($E99:Z99,1),ColTypeEcheance)),
  IF(LEN(Z99)=1,
  IF(LEN(INDEX(Roadmap!$D:$K,MATCH($E99,Roadmap!$D:$D,0)-1+COUNTIF($E99:Z99,"u")+COUNTIF($E99:Z99,"t")+COUNTIF($E99:Z99,"¶")+COUNTIF($E99:Z99,"²")+COUNTIF($E99:Z99,"µ")+COUNTIF($E99:Z99,1),ColDescriptionCourte))&gt;1,
HYPERLINK("#Roadmap!C"&amp; MATCH($E99,Roadmap!$D:$D,0)+COUNTIF($E99:Z99,"u")+COUNTIF($E99:Z99,"t")+COUNTIF($E99:Z99,"¶")+COUNTIF($E99:Z99,"²")+COUNTIF($E99:Z99,"µ")+COUNTIF($E99:Z99,1)-1,INDEX(Roadmap!$D:$K,MATCH($E99,Roadmap!$D:$D,0)-1+COUNTIF($E99:Z99,"u")+COUNTIF($E99:Z99,"t")+COUNTIF($E99:Z99,"¶")+COUNTIF($E99:Z99,"²")+COUNTIF($E99:Z99,"µ")+COUNTIF($E99:Z99,1),ColDescriptionCourte)),""),
  "")),"")</f>
        <v/>
      </c>
      <c r="AB99" s="40" t="str">
        <f ca="1">IFERROR(IF(AND(
  INDEX(Roadmap!$D:$K,MATCH($E99,Roadmap!$D:$D,0)+COUNTIF($E99:AA99,"u")+COUNTIF($E99:AA99,"t")+COUNTIF($E99:AA99,"¶")+COUNTIF($E99:AA99,"²")+COUNTIF($E99:AA99,"µ")+COUNTIF($E99:AA99,1),ColLivraison)=AB$6,
  VLOOKUP($E99,INDIRECT("tri!"&amp; CHAR(64+ C0Col) &amp;":"&amp; CHAR(65+C0Col)),2,FALSE)&gt;COUNTIF($E99:AA99,"u")+COUNTIF($E99:AA99,"t")+COUNTIF($E99:AA99,"¶")+COUNTIF($E99:AA99,"²")+COUNTIF($E99:AA99,"µ")+COUNTIF($E99:AA99,1)),
HYPERLINK("#Roadmap!C"&amp; MATCH($E99,Roadmap!$D:$D,0)+COUNTIF($E99:AA99,"u")+COUNTIF($E99:AA99,"t"),
     INDEX(Roadmap!$D:$K,MATCH($E99,Roadmap!$D:$D,0)+COUNTIF($E99:AA99,"u")+COUNTIF($E99:AA99,"t")+COUNTIF($E99:AA99,"¶")+COUNTIF($E99:AA99,"²")+COUNTIF($E99:AA99,"µ")+COUNTIF($E99:AA99,1),ColTypeEcheance)),
  IF(LEN(AA99)=1,
  IF(LEN(INDEX(Roadmap!$D:$K,MATCH($E99,Roadmap!$D:$D,0)-1+COUNTIF($E99:AA99,"u")+COUNTIF($E99:AA99,"t")+COUNTIF($E99:AA99,"¶")+COUNTIF($E99:AA99,"²")+COUNTIF($E99:AA99,"µ")+COUNTIF($E99:AA99,1),ColDescriptionCourte))&gt;1,
HYPERLINK("#Roadmap!C"&amp; MATCH($E99,Roadmap!$D:$D,0)+COUNTIF($E99:AA99,"u")+COUNTIF($E99:AA99,"t")+COUNTIF($E99:AA99,"¶")+COUNTIF($E99:AA99,"²")+COUNTIF($E99:AA99,"µ")+COUNTIF($E99:AA99,1)-1,INDEX(Roadmap!$D:$K,MATCH($E99,Roadmap!$D:$D,0)-1+COUNTIF($E99:AA99,"u")+COUNTIF($E99:AA99,"t")+COUNTIF($E99:AA99,"¶")+COUNTIF($E99:AA99,"²")+COUNTIF($E99:AA99,"µ")+COUNTIF($E99:AA99,1),ColDescriptionCourte)),""),
  "")),"")</f>
        <v/>
      </c>
      <c r="AC99" s="40" t="str">
        <f ca="1">IFERROR(IF(AND(
  INDEX(Roadmap!$D:$K,MATCH($E99,Roadmap!$D:$D,0)+COUNTIF($E99:AB99,"u")+COUNTIF($E99:AB99,"t")+COUNTIF($E99:AB99,"¶")+COUNTIF($E99:AB99,"²")+COUNTIF($E99:AB99,"µ")+COUNTIF($E99:AB99,1),ColLivraison)=AC$6,
  VLOOKUP($E99,INDIRECT("tri!"&amp; CHAR(64+ C0Col) &amp;":"&amp; CHAR(65+C0Col)),2,FALSE)&gt;COUNTIF($E99:AB99,"u")+COUNTIF($E99:AB99,"t")+COUNTIF($E99:AB99,"¶")+COUNTIF($E99:AB99,"²")+COUNTIF($E99:AB99,"µ")+COUNTIF($E99:AB99,1)),
HYPERLINK("#Roadmap!C"&amp; MATCH($E99,Roadmap!$D:$D,0)+COUNTIF($E99:AB99,"u")+COUNTIF($E99:AB99,"t"),
     INDEX(Roadmap!$D:$K,MATCH($E99,Roadmap!$D:$D,0)+COUNTIF($E99:AB99,"u")+COUNTIF($E99:AB99,"t")+COUNTIF($E99:AB99,"¶")+COUNTIF($E99:AB99,"²")+COUNTIF($E99:AB99,"µ")+COUNTIF($E99:AB99,1),ColTypeEcheance)),
  IF(LEN(AB99)=1,
  IF(LEN(INDEX(Roadmap!$D:$K,MATCH($E99,Roadmap!$D:$D,0)-1+COUNTIF($E99:AB99,"u")+COUNTIF($E99:AB99,"t")+COUNTIF($E99:AB99,"¶")+COUNTIF($E99:AB99,"²")+COUNTIF($E99:AB99,"µ")+COUNTIF($E99:AB99,1),ColDescriptionCourte))&gt;1,
HYPERLINK("#Roadmap!C"&amp; MATCH($E99,Roadmap!$D:$D,0)+COUNTIF($E99:AB99,"u")+COUNTIF($E99:AB99,"t")+COUNTIF($E99:AB99,"¶")+COUNTIF($E99:AB99,"²")+COUNTIF($E99:AB99,"µ")+COUNTIF($E99:AB99,1)-1,INDEX(Roadmap!$D:$K,MATCH($E99,Roadmap!$D:$D,0)-1+COUNTIF($E99:AB99,"u")+COUNTIF($E99:AB99,"t")+COUNTIF($E99:AB99,"¶")+COUNTIF($E99:AB99,"²")+COUNTIF($E99:AB99,"µ")+COUNTIF($E99:AB99,1),ColDescriptionCourte)),""),
  "")),"")</f>
        <v/>
      </c>
      <c r="AD99" s="40" t="str">
        <f ca="1">IFERROR(IF(AND(
  INDEX(Roadmap!$D:$K,MATCH($E99,Roadmap!$D:$D,0)+COUNTIF($E99:AC99,"u")+COUNTIF($E99:AC99,"t")+COUNTIF($E99:AC99,"¶")+COUNTIF($E99:AC99,"²")+COUNTIF($E99:AC99,"µ")+COUNTIF($E99:AC99,1),ColLivraison)=AD$6,
  VLOOKUP($E99,INDIRECT("tri!"&amp; CHAR(64+ C0Col) &amp;":"&amp; CHAR(65+C0Col)),2,FALSE)&gt;COUNTIF($E99:AC99,"u")+COUNTIF($E99:AC99,"t")+COUNTIF($E99:AC99,"¶")+COUNTIF($E99:AC99,"²")+COUNTIF($E99:AC99,"µ")+COUNTIF($E99:AC99,1)),
HYPERLINK("#Roadmap!C"&amp; MATCH($E99,Roadmap!$D:$D,0)+COUNTIF($E99:AC99,"u")+COUNTIF($E99:AC99,"t"),
     INDEX(Roadmap!$D:$K,MATCH($E99,Roadmap!$D:$D,0)+COUNTIF($E99:AC99,"u")+COUNTIF($E99:AC99,"t")+COUNTIF($E99:AC99,"¶")+COUNTIF($E99:AC99,"²")+COUNTIF($E99:AC99,"µ")+COUNTIF($E99:AC99,1),ColTypeEcheance)),
  IF(LEN(AC99)=1,
  IF(LEN(INDEX(Roadmap!$D:$K,MATCH($E99,Roadmap!$D:$D,0)-1+COUNTIF($E99:AC99,"u")+COUNTIF($E99:AC99,"t")+COUNTIF($E99:AC99,"¶")+COUNTIF($E99:AC99,"²")+COUNTIF($E99:AC99,"µ")+COUNTIF($E99:AC99,1),ColDescriptionCourte))&gt;1,
HYPERLINK("#Roadmap!C"&amp; MATCH($E99,Roadmap!$D:$D,0)+COUNTIF($E99:AC99,"u")+COUNTIF($E99:AC99,"t")+COUNTIF($E99:AC99,"¶")+COUNTIF($E99:AC99,"²")+COUNTIF($E99:AC99,"µ")+COUNTIF($E99:AC99,1)-1,INDEX(Roadmap!$D:$K,MATCH($E99,Roadmap!$D:$D,0)-1+COUNTIF($E99:AC99,"u")+COUNTIF($E99:AC99,"t")+COUNTIF($E99:AC99,"¶")+COUNTIF($E99:AC99,"²")+COUNTIF($E99:AC99,"µ")+COUNTIF($E99:AC99,1),ColDescriptionCourte)),""),
  "")),"")</f>
        <v/>
      </c>
      <c r="AE99" s="40" t="str">
        <f ca="1">IFERROR(IF(AND(
  INDEX(Roadmap!$D:$K,MATCH($E99,Roadmap!$D:$D,0)+COUNTIF($E99:AD99,"u")+COUNTIF($E99:AD99,"t")+COUNTIF($E99:AD99,"¶")+COUNTIF($E99:AD99,"²")+COUNTIF($E99:AD99,"µ")+COUNTIF($E99:AD99,1),ColLivraison)=AE$6,
  VLOOKUP($E99,INDIRECT("tri!"&amp; CHAR(64+ C0Col) &amp;":"&amp; CHAR(65+C0Col)),2,FALSE)&gt;COUNTIF($E99:AD99,"u")+COUNTIF($E99:AD99,"t")+COUNTIF($E99:AD99,"¶")+COUNTIF($E99:AD99,"²")+COUNTIF($E99:AD99,"µ")+COUNTIF($E99:AD99,1)),
HYPERLINK("#Roadmap!C"&amp; MATCH($E99,Roadmap!$D:$D,0)+COUNTIF($E99:AD99,"u")+COUNTIF($E99:AD99,"t"),
     INDEX(Roadmap!$D:$K,MATCH($E99,Roadmap!$D:$D,0)+COUNTIF($E99:AD99,"u")+COUNTIF($E99:AD99,"t")+COUNTIF($E99:AD99,"¶")+COUNTIF($E99:AD99,"²")+COUNTIF($E99:AD99,"µ")+COUNTIF($E99:AD99,1),ColTypeEcheance)),
  IF(LEN(AD99)=1,
  IF(LEN(INDEX(Roadmap!$D:$K,MATCH($E99,Roadmap!$D:$D,0)-1+COUNTIF($E99:AD99,"u")+COUNTIF($E99:AD99,"t")+COUNTIF($E99:AD99,"¶")+COUNTIF($E99:AD99,"²")+COUNTIF($E99:AD99,"µ")+COUNTIF($E99:AD99,1),ColDescriptionCourte))&gt;1,
HYPERLINK("#Roadmap!C"&amp; MATCH($E99,Roadmap!$D:$D,0)+COUNTIF($E99:AD99,"u")+COUNTIF($E99:AD99,"t")+COUNTIF($E99:AD99,"¶")+COUNTIF($E99:AD99,"²")+COUNTIF($E99:AD99,"µ")+COUNTIF($E99:AD99,1)-1,INDEX(Roadmap!$D:$K,MATCH($E99,Roadmap!$D:$D,0)-1+COUNTIF($E99:AD99,"u")+COUNTIF($E99:AD99,"t")+COUNTIF($E99:AD99,"¶")+COUNTIF($E99:AD99,"²")+COUNTIF($E99:AD99,"µ")+COUNTIF($E99:AD99,1),ColDescriptionCourte)),""),
  "")),"")</f>
        <v/>
      </c>
      <c r="AF99" s="40" t="str">
        <f ca="1">IFERROR(IF(AND(
  INDEX(Roadmap!$D:$K,MATCH($E99,Roadmap!$D:$D,0)+COUNTIF($E99:AE99,"u")+COUNTIF($E99:AE99,"t")+COUNTIF($E99:AE99,"¶")+COUNTIF($E99:AE99,"²")+COUNTIF($E99:AE99,"µ")+COUNTIF($E99:AE99,1),ColLivraison)=AF$6,
  VLOOKUP($E99,INDIRECT("tri!"&amp; CHAR(64+ C0Col) &amp;":"&amp; CHAR(65+C0Col)),2,FALSE)&gt;COUNTIF($E99:AE99,"u")+COUNTIF($E99:AE99,"t")+COUNTIF($E99:AE99,"¶")+COUNTIF($E99:AE99,"²")+COUNTIF($E99:AE99,"µ")+COUNTIF($E99:AE99,1)),
HYPERLINK("#Roadmap!C"&amp; MATCH($E99,Roadmap!$D:$D,0)+COUNTIF($E99:AE99,"u")+COUNTIF($E99:AE99,"t"),
     INDEX(Roadmap!$D:$K,MATCH($E99,Roadmap!$D:$D,0)+COUNTIF($E99:AE99,"u")+COUNTIF($E99:AE99,"t")+COUNTIF($E99:AE99,"¶")+COUNTIF($E99:AE99,"²")+COUNTIF($E99:AE99,"µ")+COUNTIF($E99:AE99,1),ColTypeEcheance)),
  IF(LEN(AE99)=1,
  IF(LEN(INDEX(Roadmap!$D:$K,MATCH($E99,Roadmap!$D:$D,0)-1+COUNTIF($E99:AE99,"u")+COUNTIF($E99:AE99,"t")+COUNTIF($E99:AE99,"¶")+COUNTIF($E99:AE99,"²")+COUNTIF($E99:AE99,"µ")+COUNTIF($E99:AE99,1),ColDescriptionCourte))&gt;1,
HYPERLINK("#Roadmap!C"&amp; MATCH($E99,Roadmap!$D:$D,0)+COUNTIF($E99:AE99,"u")+COUNTIF($E99:AE99,"t")+COUNTIF($E99:AE99,"¶")+COUNTIF($E99:AE99,"²")+COUNTIF($E99:AE99,"µ")+COUNTIF($E99:AE99,1)-1,INDEX(Roadmap!$D:$K,MATCH($E99,Roadmap!$D:$D,0)-1+COUNTIF($E99:AE99,"u")+COUNTIF($E99:AE99,"t")+COUNTIF($E99:AE99,"¶")+COUNTIF($E99:AE99,"²")+COUNTIF($E99:AE99,"µ")+COUNTIF($E99:AE99,1),ColDescriptionCourte)),""),
  "")),"")</f>
        <v/>
      </c>
      <c r="AG99" s="40" t="str">
        <f ca="1">IFERROR(IF(AND(
  INDEX(Roadmap!$D:$K,MATCH($E99,Roadmap!$D:$D,0)+COUNTIF($E99:AF99,"u")+COUNTIF($E99:AF99,"t")+COUNTIF($E99:AF99,"¶")+COUNTIF($E99:AF99,"²")+COUNTIF($E99:AF99,"µ")+COUNTIF($E99:AF99,1),ColLivraison)=AG$6,
  VLOOKUP($E99,INDIRECT("tri!"&amp; CHAR(64+ C0Col) &amp;":"&amp; CHAR(65+C0Col)),2,FALSE)&gt;COUNTIF($E99:AF99,"u")+COUNTIF($E99:AF99,"t")+COUNTIF($E99:AF99,"¶")+COUNTIF($E99:AF99,"²")+COUNTIF($E99:AF99,"µ")+COUNTIF($E99:AF99,1)),
HYPERLINK("#Roadmap!C"&amp; MATCH($E99,Roadmap!$D:$D,0)+COUNTIF($E99:AF99,"u")+COUNTIF($E99:AF99,"t"),
     INDEX(Roadmap!$D:$K,MATCH($E99,Roadmap!$D:$D,0)+COUNTIF($E99:AF99,"u")+COUNTIF($E99:AF99,"t")+COUNTIF($E99:AF99,"¶")+COUNTIF($E99:AF99,"²")+COUNTIF($E99:AF99,"µ")+COUNTIF($E99:AF99,1),ColTypeEcheance)),
  IF(LEN(AF99)=1,
  IF(LEN(INDEX(Roadmap!$D:$K,MATCH($E99,Roadmap!$D:$D,0)-1+COUNTIF($E99:AF99,"u")+COUNTIF($E99:AF99,"t")+COUNTIF($E99:AF99,"¶")+COUNTIF($E99:AF99,"²")+COUNTIF($E99:AF99,"µ")+COUNTIF($E99:AF99,1),ColDescriptionCourte))&gt;1,
HYPERLINK("#Roadmap!C"&amp; MATCH($E99,Roadmap!$D:$D,0)+COUNTIF($E99:AF99,"u")+COUNTIF($E99:AF99,"t")+COUNTIF($E99:AF99,"¶")+COUNTIF($E99:AF99,"²")+COUNTIF($E99:AF99,"µ")+COUNTIF($E99:AF99,1)-1,INDEX(Roadmap!$D:$K,MATCH($E99,Roadmap!$D:$D,0)-1+COUNTIF($E99:AF99,"u")+COUNTIF($E99:AF99,"t")+COUNTIF($E99:AF99,"¶")+COUNTIF($E99:AF99,"²")+COUNTIF($E99:AF99,"µ")+COUNTIF($E99:AF99,1),ColDescriptionCourte)),""),
  "")),"")</f>
        <v/>
      </c>
    </row>
    <row r="100" spans="3:33" ht="14.25" customHeight="1">
      <c r="C100" s="1" t="str">
        <f t="shared" ca="1" si="47"/>
        <v/>
      </c>
      <c r="D100" s="1" t="str">
        <f t="shared" ca="1" si="48"/>
        <v/>
      </c>
      <c r="E100" s="35" t="str">
        <f t="shared" ca="1" si="46"/>
        <v/>
      </c>
      <c r="F100" s="39" t="str">
        <f ca="1">IFERROR(IF(AND(
  INDEX(Roadmap!$D:$K,MATCH($E100,Roadmap!$D:$D,0)+COUNTIF($E100:E100,"u")+COUNTIF($E100:E100,"t")+COUNTIF($E100:E100,"¶")+COUNTIF($E100:E100,"²")+COUNTIF($E100:E100,"µ")+COUNTIF($E100:E100,1),ColLivraison)=F$6,
  VLOOKUP($E100,INDIRECT("tri!"&amp; CHAR(64+ C0Col) &amp;":"&amp; CHAR(65+C0Col)),2,FALSE)&gt;COUNTIF($E100:E100,"u")+COUNTIF($E100:E100,"t")+COUNTIF($E100:E100,"¶")+COUNTIF($E100:E100,"²")+COUNTIF($E100:E100,"µ")+COUNTIF($E100:E100,1)),
HYPERLINK("#Roadmap!C"&amp; MATCH($E100,Roadmap!$D:$D,0)+COUNTIF($E100:E100,"u")+COUNTIF($E100:E100,"t"),
     INDEX(Roadmap!$D:$K,MATCH($E100,Roadmap!$D:$D,0)+COUNTIF($E100:E100,"u")+COUNTIF($E100:E100,"t")+COUNTIF($E100:E100,"¶")+COUNTIF($E100:E100,"²")+COUNTIF($E100:E100,"µ")+COUNTIF($E100:E100,1),ColTypeEcheance)),
  IF(LEN(E100)=1,
  IF(LEN(INDEX(Roadmap!$D:$K,MATCH($E100,Roadmap!$D:$D,0)-1+COUNTIF($E100:E100,"u")+COUNTIF($E100:E100,"t")+COUNTIF($E100:E100,"¶")+COUNTIF($E100:E100,"²")+COUNTIF($E100:E100,"µ")+COUNTIF($E100:E100,1),ColDescriptionCourte))&gt;1,
HYPERLINK("#Roadmap!C"&amp; MATCH($E100,Roadmap!$D:$D,0)+COUNTIF($E100:E100,"u")+COUNTIF($E100:E100,"t")+COUNTIF($E100:E100,"¶")+COUNTIF($E100:E100,"²")+COUNTIF($E100:E100,"µ")+COUNTIF($E100:E100,1)-1,INDEX(Roadmap!$D:$K,MATCH($E100,Roadmap!$D:$D,0)-1+COUNTIF($E100:E100,"u")+COUNTIF($E100:E100,"t")+COUNTIF($E100:E100,"¶")+COUNTIF($E100:E100,"²")+COUNTIF($E100:E100,"µ")+COUNTIF($E100:E100,1),ColDescriptionCourte)),""),
  "")),"")</f>
        <v/>
      </c>
      <c r="G100" s="40" t="str">
        <f ca="1">IFERROR(IF(AND(
  INDEX(Roadmap!$D:$K,MATCH($E100,Roadmap!$D:$D,0)+COUNTIF($E100:F100,"u")+COUNTIF($E100:F100,"t")+COUNTIF($E100:F100,"¶")+COUNTIF($E100:F100,"²")+COUNTIF($E100:F100,"µ")+COUNTIF($E100:F100,1),ColLivraison)=G$6,
  VLOOKUP($E100,INDIRECT("tri!"&amp; CHAR(64+ C0Col) &amp;":"&amp; CHAR(65+C0Col)),2,FALSE)&gt;COUNTIF($E100:F100,"u")+COUNTIF($E100:F100,"t")+COUNTIF($E100:F100,"¶")+COUNTIF($E100:F100,"²")+COUNTIF($E100:F100,"µ")+COUNTIF($E100:F100,1)),
HYPERLINK("#Roadmap!C"&amp; MATCH($E100,Roadmap!$D:$D,0)+COUNTIF($E100:F100,"u")+COUNTIF($E100:F100,"t"),
     INDEX(Roadmap!$D:$K,MATCH($E100,Roadmap!$D:$D,0)+COUNTIF($E100:F100,"u")+COUNTIF($E100:F100,"t")+COUNTIF($E100:F100,"¶")+COUNTIF($E100:F100,"²")+COUNTIF($E100:F100,"µ")+COUNTIF($E100:F100,1),ColTypeEcheance)),
  IF(LEN(F100)=1,
  IF(LEN(INDEX(Roadmap!$D:$K,MATCH($E100,Roadmap!$D:$D,0)-1+COUNTIF($E100:F100,"u")+COUNTIF($E100:F100,"t")+COUNTIF($E100:F100,"¶")+COUNTIF($E100:F100,"²")+COUNTIF($E100:F100,"µ")+COUNTIF($E100:F100,1),ColDescriptionCourte))&gt;1,
HYPERLINK("#Roadmap!C"&amp; MATCH($E100,Roadmap!$D:$D,0)+COUNTIF($E100:F100,"u")+COUNTIF($E100:F100,"t")+COUNTIF($E100:F100,"¶")+COUNTIF($E100:F100,"²")+COUNTIF($E100:F100,"µ")+COUNTIF($E100:F100,1)-1,INDEX(Roadmap!$D:$K,MATCH($E100,Roadmap!$D:$D,0)-1+COUNTIF($E100:F100,"u")+COUNTIF($E100:F100,"t")+COUNTIF($E100:F100,"¶")+COUNTIF($E100:F100,"²")+COUNTIF($E100:F100,"µ")+COUNTIF($E100:F100,1),ColDescriptionCourte)),""),
  "")),"")</f>
        <v/>
      </c>
      <c r="H100" s="40" t="str">
        <f ca="1">IFERROR(IF(AND(
  INDEX(Roadmap!$D:$K,MATCH($E100,Roadmap!$D:$D,0)+COUNTIF($E100:G100,"u")+COUNTIF($E100:G100,"t")+COUNTIF($E100:G100,"¶")+COUNTIF($E100:G100,"²")+COUNTIF($E100:G100,"µ")+COUNTIF($E100:G100,1),ColLivraison)=H$6,
  VLOOKUP($E100,INDIRECT("tri!"&amp; CHAR(64+ C0Col) &amp;":"&amp; CHAR(65+C0Col)),2,FALSE)&gt;COUNTIF($E100:G100,"u")+COUNTIF($E100:G100,"t")+COUNTIF($E100:G100,"¶")+COUNTIF($E100:G100,"²")+COUNTIF($E100:G100,"µ")+COUNTIF($E100:G100,1)),
HYPERLINK("#Roadmap!C"&amp; MATCH($E100,Roadmap!$D:$D,0)+COUNTIF($E100:G100,"u")+COUNTIF($E100:G100,"t"),
     INDEX(Roadmap!$D:$K,MATCH($E100,Roadmap!$D:$D,0)+COUNTIF($E100:G100,"u")+COUNTIF($E100:G100,"t")+COUNTIF($E100:G100,"¶")+COUNTIF($E100:G100,"²")+COUNTIF($E100:G100,"µ")+COUNTIF($E100:G100,1),ColTypeEcheance)),
  IF(LEN(G100)=1,
  IF(LEN(INDEX(Roadmap!$D:$K,MATCH($E100,Roadmap!$D:$D,0)-1+COUNTIF($E100:G100,"u")+COUNTIF($E100:G100,"t")+COUNTIF($E100:G100,"¶")+COUNTIF($E100:G100,"²")+COUNTIF($E100:G100,"µ")+COUNTIF($E100:G100,1),ColDescriptionCourte))&gt;1,
HYPERLINK("#Roadmap!C"&amp; MATCH($E100,Roadmap!$D:$D,0)+COUNTIF($E100:G100,"u")+COUNTIF($E100:G100,"t")+COUNTIF($E100:G100,"¶")+COUNTIF($E100:G100,"²")+COUNTIF($E100:G100,"µ")+COUNTIF($E100:G100,1)-1,INDEX(Roadmap!$D:$K,MATCH($E100,Roadmap!$D:$D,0)-1+COUNTIF($E100:G100,"u")+COUNTIF($E100:G100,"t")+COUNTIF($E100:G100,"¶")+COUNTIF($E100:G100,"²")+COUNTIF($E100:G100,"µ")+COUNTIF($E100:G100,1),ColDescriptionCourte)),""),
  "")),"")</f>
        <v/>
      </c>
      <c r="I100" s="40" t="str">
        <f ca="1">IFERROR(IF(AND(
  INDEX(Roadmap!$D:$K,MATCH($E100,Roadmap!$D:$D,0)+COUNTIF($E100:H100,"u")+COUNTIF($E100:H100,"t")+COUNTIF($E100:H100,"¶")+COUNTIF($E100:H100,"²")+COUNTIF($E100:H100,"µ")+COUNTIF($E100:H100,1),ColLivraison)=I$6,
  VLOOKUP($E100,INDIRECT("tri!"&amp; CHAR(64+ C0Col) &amp;":"&amp; CHAR(65+C0Col)),2,FALSE)&gt;COUNTIF($E100:H100,"u")+COUNTIF($E100:H100,"t")+COUNTIF($E100:H100,"¶")+COUNTIF($E100:H100,"²")+COUNTIF($E100:H100,"µ")+COUNTIF($E100:H100,1)),
HYPERLINK("#Roadmap!C"&amp; MATCH($E100,Roadmap!$D:$D,0)+COUNTIF($E100:H100,"u")+COUNTIF($E100:H100,"t"),
     INDEX(Roadmap!$D:$K,MATCH($E100,Roadmap!$D:$D,0)+COUNTIF($E100:H100,"u")+COUNTIF($E100:H100,"t")+COUNTIF($E100:H100,"¶")+COUNTIF($E100:H100,"²")+COUNTIF($E100:H100,"µ")+COUNTIF($E100:H100,1),ColTypeEcheance)),
  IF(LEN(H100)=1,
  IF(LEN(INDEX(Roadmap!$D:$K,MATCH($E100,Roadmap!$D:$D,0)-1+COUNTIF($E100:H100,"u")+COUNTIF($E100:H100,"t")+COUNTIF($E100:H100,"¶")+COUNTIF($E100:H100,"²")+COUNTIF($E100:H100,"µ")+COUNTIF($E100:H100,1),ColDescriptionCourte))&gt;1,
HYPERLINK("#Roadmap!C"&amp; MATCH($E100,Roadmap!$D:$D,0)+COUNTIF($E100:H100,"u")+COUNTIF($E100:H100,"t")+COUNTIF($E100:H100,"¶")+COUNTIF($E100:H100,"²")+COUNTIF($E100:H100,"µ")+COUNTIF($E100:H100,1)-1,INDEX(Roadmap!$D:$K,MATCH($E100,Roadmap!$D:$D,0)-1+COUNTIF($E100:H100,"u")+COUNTIF($E100:H100,"t")+COUNTIF($E100:H100,"¶")+COUNTIF($E100:H100,"²")+COUNTIF($E100:H100,"µ")+COUNTIF($E100:H100,1),ColDescriptionCourte)),""),
  "")),"")</f>
        <v/>
      </c>
      <c r="J100" s="40" t="str">
        <f ca="1">IFERROR(IF(AND(
  INDEX(Roadmap!$D:$K,MATCH($E100,Roadmap!$D:$D,0)+COUNTIF($E100:I100,"u")+COUNTIF($E100:I100,"t")+COUNTIF($E100:I100,"¶")+COUNTIF($E100:I100,"²")+COUNTIF($E100:I100,"µ")+COUNTIF($E100:I100,1),ColLivraison)=J$6,
  VLOOKUP($E100,INDIRECT("tri!"&amp; CHAR(64+ C0Col) &amp;":"&amp; CHAR(65+C0Col)),2,FALSE)&gt;COUNTIF($E100:I100,"u")+COUNTIF($E100:I100,"t")+COUNTIF($E100:I100,"¶")+COUNTIF($E100:I100,"²")+COUNTIF($E100:I100,"µ")+COUNTIF($E100:I100,1)),
HYPERLINK("#Roadmap!C"&amp; MATCH($E100,Roadmap!$D:$D,0)+COUNTIF($E100:I100,"u")+COUNTIF($E100:I100,"t"),
     INDEX(Roadmap!$D:$K,MATCH($E100,Roadmap!$D:$D,0)+COUNTIF($E100:I100,"u")+COUNTIF($E100:I100,"t")+COUNTIF($E100:I100,"¶")+COUNTIF($E100:I100,"²")+COUNTIF($E100:I100,"µ")+COUNTIF($E100:I100,1),ColTypeEcheance)),
  IF(LEN(I100)=1,
  IF(LEN(INDEX(Roadmap!$D:$K,MATCH($E100,Roadmap!$D:$D,0)-1+COUNTIF($E100:I100,"u")+COUNTIF($E100:I100,"t")+COUNTIF($E100:I100,"¶")+COUNTIF($E100:I100,"²")+COUNTIF($E100:I100,"µ")+COUNTIF($E100:I100,1),ColDescriptionCourte))&gt;1,
HYPERLINK("#Roadmap!C"&amp; MATCH($E100,Roadmap!$D:$D,0)+COUNTIF($E100:I100,"u")+COUNTIF($E100:I100,"t")+COUNTIF($E100:I100,"¶")+COUNTIF($E100:I100,"²")+COUNTIF($E100:I100,"µ")+COUNTIF($E100:I100,1)-1,INDEX(Roadmap!$D:$K,MATCH($E100,Roadmap!$D:$D,0)-1+COUNTIF($E100:I100,"u")+COUNTIF($E100:I100,"t")+COUNTIF($E100:I100,"¶")+COUNTIF($E100:I100,"²")+COUNTIF($E100:I100,"µ")+COUNTIF($E100:I100,1),ColDescriptionCourte)),""),
  "")),"")</f>
        <v/>
      </c>
      <c r="K100" s="40" t="str">
        <f ca="1">IFERROR(IF(AND(
  INDEX(Roadmap!$D:$K,MATCH($E100,Roadmap!$D:$D,0)+COUNTIF($E100:J100,"u")+COUNTIF($E100:J100,"t")+COUNTIF($E100:J100,"¶")+COUNTIF($E100:J100,"²")+COUNTIF($E100:J100,"µ")+COUNTIF($E100:J100,1),ColLivraison)=K$6,
  VLOOKUP($E100,INDIRECT("tri!"&amp; CHAR(64+ C0Col) &amp;":"&amp; CHAR(65+C0Col)),2,FALSE)&gt;COUNTIF($E100:J100,"u")+COUNTIF($E100:J100,"t")+COUNTIF($E100:J100,"¶")+COUNTIF($E100:J100,"²")+COUNTIF($E100:J100,"µ")+COUNTIF($E100:J100,1)),
HYPERLINK("#Roadmap!C"&amp; MATCH($E100,Roadmap!$D:$D,0)+COUNTIF($E100:J100,"u")+COUNTIF($E100:J100,"t"),
     INDEX(Roadmap!$D:$K,MATCH($E100,Roadmap!$D:$D,0)+COUNTIF($E100:J100,"u")+COUNTIF($E100:J100,"t")+COUNTIF($E100:J100,"¶")+COUNTIF($E100:J100,"²")+COUNTIF($E100:J100,"µ")+COUNTIF($E100:J100,1),ColTypeEcheance)),
  IF(LEN(J100)=1,
  IF(LEN(INDEX(Roadmap!$D:$K,MATCH($E100,Roadmap!$D:$D,0)-1+COUNTIF($E100:J100,"u")+COUNTIF($E100:J100,"t")+COUNTIF($E100:J100,"¶")+COUNTIF($E100:J100,"²")+COUNTIF($E100:J100,"µ")+COUNTIF($E100:J100,1),ColDescriptionCourte))&gt;1,
HYPERLINK("#Roadmap!C"&amp; MATCH($E100,Roadmap!$D:$D,0)+COUNTIF($E100:J100,"u")+COUNTIF($E100:J100,"t")+COUNTIF($E100:J100,"¶")+COUNTIF($E100:J100,"²")+COUNTIF($E100:J100,"µ")+COUNTIF($E100:J100,1)-1,INDEX(Roadmap!$D:$K,MATCH($E100,Roadmap!$D:$D,0)-1+COUNTIF($E100:J100,"u")+COUNTIF($E100:J100,"t")+COUNTIF($E100:J100,"¶")+COUNTIF($E100:J100,"²")+COUNTIF($E100:J100,"µ")+COUNTIF($E100:J100,1),ColDescriptionCourte)),""),
  "")),"")</f>
        <v/>
      </c>
      <c r="L100" s="39" t="str">
        <f ca="1">IFERROR(IF(AND(
  INDEX(Roadmap!$D:$K,MATCH($E100,Roadmap!$D:$D,0)+COUNTIF($E100:K100,"u")+COUNTIF($E100:K100,"t")+COUNTIF($E100:K100,"¶")+COUNTIF($E100:K100,"²")+COUNTIF($E100:K100,"µ")+COUNTIF($E100:K100,1),ColLivraison)=L$6,
  VLOOKUP($E100,INDIRECT("tri!"&amp; CHAR(64+ C0Col) &amp;":"&amp; CHAR(65+C0Col)),2,FALSE)&gt;COUNTIF($E100:K100,"u")+COUNTIF($E100:K100,"t")+COUNTIF($E100:K100,"¶")+COUNTIF($E100:K100,"²")+COUNTIF($E100:K100,"µ")+COUNTIF($E100:K100,1)),
HYPERLINK("#Roadmap!C"&amp; MATCH($E100,Roadmap!$D:$D,0)+COUNTIF($E100:K100,"u")+COUNTIF($E100:K100,"t"),
     INDEX(Roadmap!$D:$K,MATCH($E100,Roadmap!$D:$D,0)+COUNTIF($E100:K100,"u")+COUNTIF($E100:K100,"t")+COUNTIF($E100:K100,"¶")+COUNTIF($E100:K100,"²")+COUNTIF($E100:K100,"µ")+COUNTIF($E100:K100,1),ColTypeEcheance)),
  IF(LEN(K100)=1,
  IF(LEN(INDEX(Roadmap!$D:$K,MATCH($E100,Roadmap!$D:$D,0)-1+COUNTIF($E100:K100,"u")+COUNTIF($E100:K100,"t")+COUNTIF($E100:K100,"¶")+COUNTIF($E100:K100,"²")+COUNTIF($E100:K100,"µ")+COUNTIF($E100:K100,1),ColDescriptionCourte))&gt;1,
HYPERLINK("#Roadmap!C"&amp; MATCH($E100,Roadmap!$D:$D,0)+COUNTIF($E100:K100,"u")+COUNTIF($E100:K100,"t")+COUNTIF($E100:K100,"¶")+COUNTIF($E100:K100,"²")+COUNTIF($E100:K100,"µ")+COUNTIF($E100:K100,1)-1,INDEX(Roadmap!$D:$K,MATCH($E100,Roadmap!$D:$D,0)-1+COUNTIF($E100:K100,"u")+COUNTIF($E100:K100,"t")+COUNTIF($E100:K100,"¶")+COUNTIF($E100:K100,"²")+COUNTIF($E100:K100,"µ")+COUNTIF($E100:K100,1),ColDescriptionCourte)),""),
  "")),"")</f>
        <v/>
      </c>
      <c r="M100" s="40" t="str">
        <f ca="1">IFERROR(IF(AND(
  INDEX(Roadmap!$D:$K,MATCH($E100,Roadmap!$D:$D,0)+COUNTIF($E100:L100,"u")+COUNTIF($E100:L100,"t")+COUNTIF($E100:L100,"¶")+COUNTIF($E100:L100,"²")+COUNTIF($E100:L100,"µ")+COUNTIF($E100:L100,1),ColLivraison)=M$6,
  VLOOKUP($E100,INDIRECT("tri!"&amp; CHAR(64+ C0Col) &amp;":"&amp; CHAR(65+C0Col)),2,FALSE)&gt;COUNTIF($E100:L100,"u")+COUNTIF($E100:L100,"t")+COUNTIF($E100:L100,"¶")+COUNTIF($E100:L100,"²")+COUNTIF($E100:L100,"µ")+COUNTIF($E100:L100,1)),
HYPERLINK("#Roadmap!C"&amp; MATCH($E100,Roadmap!$D:$D,0)+COUNTIF($E100:L100,"u")+COUNTIF($E100:L100,"t"),
     INDEX(Roadmap!$D:$K,MATCH($E100,Roadmap!$D:$D,0)+COUNTIF($E100:L100,"u")+COUNTIF($E100:L100,"t")+COUNTIF($E100:L100,"¶")+COUNTIF($E100:L100,"²")+COUNTIF($E100:L100,"µ")+COUNTIF($E100:L100,1),ColTypeEcheance)),
  IF(LEN(L100)=1,
  IF(LEN(INDEX(Roadmap!$D:$K,MATCH($E100,Roadmap!$D:$D,0)-1+COUNTIF($E100:L100,"u")+COUNTIF($E100:L100,"t")+COUNTIF($E100:L100,"¶")+COUNTIF($E100:L100,"²")+COUNTIF($E100:L100,"µ")+COUNTIF($E100:L100,1),ColDescriptionCourte))&gt;1,
HYPERLINK("#Roadmap!C"&amp; MATCH($E100,Roadmap!$D:$D,0)+COUNTIF($E100:L100,"u")+COUNTIF($E100:L100,"t")+COUNTIF($E100:L100,"¶")+COUNTIF($E100:L100,"²")+COUNTIF($E100:L100,"µ")+COUNTIF($E100:L100,1)-1,INDEX(Roadmap!$D:$K,MATCH($E100,Roadmap!$D:$D,0)-1+COUNTIF($E100:L100,"u")+COUNTIF($E100:L100,"t")+COUNTIF($E100:L100,"¶")+COUNTIF($E100:L100,"²")+COUNTIF($E100:L100,"µ")+COUNTIF($E100:L100,1),ColDescriptionCourte)),""),
  "")),"")</f>
        <v/>
      </c>
      <c r="N100" s="40" t="str">
        <f ca="1">IFERROR(IF(AND(
  INDEX(Roadmap!$D:$K,MATCH($E100,Roadmap!$D:$D,0)+COUNTIF($E100:M100,"u")+COUNTIF($E100:M100,"t")+COUNTIF($E100:M100,"¶")+COUNTIF($E100:M100,"²")+COUNTIF($E100:M100,"µ")+COUNTIF($E100:M100,1),ColLivraison)=N$6,
  VLOOKUP($E100,INDIRECT("tri!"&amp; CHAR(64+ C0Col) &amp;":"&amp; CHAR(65+C0Col)),2,FALSE)&gt;COUNTIF($E100:M100,"u")+COUNTIF($E100:M100,"t")+COUNTIF($E100:M100,"¶")+COUNTIF($E100:M100,"²")+COUNTIF($E100:M100,"µ")+COUNTIF($E100:M100,1)),
HYPERLINK("#Roadmap!C"&amp; MATCH($E100,Roadmap!$D:$D,0)+COUNTIF($E100:M100,"u")+COUNTIF($E100:M100,"t"),
     INDEX(Roadmap!$D:$K,MATCH($E100,Roadmap!$D:$D,0)+COUNTIF($E100:M100,"u")+COUNTIF($E100:M100,"t")+COUNTIF($E100:M100,"¶")+COUNTIF($E100:M100,"²")+COUNTIF($E100:M100,"µ")+COUNTIF($E100:M100,1),ColTypeEcheance)),
  IF(LEN(M100)=1,
  IF(LEN(INDEX(Roadmap!$D:$K,MATCH($E100,Roadmap!$D:$D,0)-1+COUNTIF($E100:M100,"u")+COUNTIF($E100:M100,"t")+COUNTIF($E100:M100,"¶")+COUNTIF($E100:M100,"²")+COUNTIF($E100:M100,"µ")+COUNTIF($E100:M100,1),ColDescriptionCourte))&gt;1,
HYPERLINK("#Roadmap!C"&amp; MATCH($E100,Roadmap!$D:$D,0)+COUNTIF($E100:M100,"u")+COUNTIF($E100:M100,"t")+COUNTIF($E100:M100,"¶")+COUNTIF($E100:M100,"²")+COUNTIF($E100:M100,"µ")+COUNTIF($E100:M100,1)-1,INDEX(Roadmap!$D:$K,MATCH($E100,Roadmap!$D:$D,0)-1+COUNTIF($E100:M100,"u")+COUNTIF($E100:M100,"t")+COUNTIF($E100:M100,"¶")+COUNTIF($E100:M100,"²")+COUNTIF($E100:M100,"µ")+COUNTIF($E100:M100,1),ColDescriptionCourte)),""),
  "")),"")</f>
        <v/>
      </c>
      <c r="O100" s="40" t="str">
        <f ca="1">IFERROR(IF(AND(
  INDEX(Roadmap!$D:$K,MATCH($E100,Roadmap!$D:$D,0)+COUNTIF($E100:N100,"u")+COUNTIF($E100:N100,"t")+COUNTIF($E100:N100,"¶")+COUNTIF($E100:N100,"²")+COUNTIF($E100:N100,"µ")+COUNTIF($E100:N100,1),ColLivraison)=O$6,
  VLOOKUP($E100,INDIRECT("tri!"&amp; CHAR(64+ C0Col) &amp;":"&amp; CHAR(65+C0Col)),2,FALSE)&gt;COUNTIF($E100:N100,"u")+COUNTIF($E100:N100,"t")+COUNTIF($E100:N100,"¶")+COUNTIF($E100:N100,"²")+COUNTIF($E100:N100,"µ")+COUNTIF($E100:N100,1)),
HYPERLINK("#Roadmap!C"&amp; MATCH($E100,Roadmap!$D:$D,0)+COUNTIF($E100:N100,"u")+COUNTIF($E100:N100,"t"),
     INDEX(Roadmap!$D:$K,MATCH($E100,Roadmap!$D:$D,0)+COUNTIF($E100:N100,"u")+COUNTIF($E100:N100,"t")+COUNTIF($E100:N100,"¶")+COUNTIF($E100:N100,"²")+COUNTIF($E100:N100,"µ")+COUNTIF($E100:N100,1),ColTypeEcheance)),
  IF(LEN(N100)=1,
  IF(LEN(INDEX(Roadmap!$D:$K,MATCH($E100,Roadmap!$D:$D,0)-1+COUNTIF($E100:N100,"u")+COUNTIF($E100:N100,"t")+COUNTIF($E100:N100,"¶")+COUNTIF($E100:N100,"²")+COUNTIF($E100:N100,"µ")+COUNTIF($E100:N100,1),ColDescriptionCourte))&gt;1,
HYPERLINK("#Roadmap!C"&amp; MATCH($E100,Roadmap!$D:$D,0)+COUNTIF($E100:N100,"u")+COUNTIF($E100:N100,"t")+COUNTIF($E100:N100,"¶")+COUNTIF($E100:N100,"²")+COUNTIF($E100:N100,"µ")+COUNTIF($E100:N100,1)-1,INDEX(Roadmap!$D:$K,MATCH($E100,Roadmap!$D:$D,0)-1+COUNTIF($E100:N100,"u")+COUNTIF($E100:N100,"t")+COUNTIF($E100:N100,"¶")+COUNTIF($E100:N100,"²")+COUNTIF($E100:N100,"µ")+COUNTIF($E100:N100,1),ColDescriptionCourte)),""),
  "")),"")</f>
        <v/>
      </c>
      <c r="P100" s="40" t="str">
        <f ca="1">IFERROR(IF(AND(
  INDEX(Roadmap!$D:$K,MATCH($E100,Roadmap!$D:$D,0)+COUNTIF($E100:O100,"u")+COUNTIF($E100:O100,"t")+COUNTIF($E100:O100,"¶")+COUNTIF($E100:O100,"²")+COUNTIF($E100:O100,"µ")+COUNTIF($E100:O100,1),ColLivraison)=P$6,
  VLOOKUP($E100,INDIRECT("tri!"&amp; CHAR(64+ C0Col) &amp;":"&amp; CHAR(65+C0Col)),2,FALSE)&gt;COUNTIF($E100:O100,"u")+COUNTIF($E100:O100,"t")+COUNTIF($E100:O100,"¶")+COUNTIF($E100:O100,"²")+COUNTIF($E100:O100,"µ")+COUNTIF($E100:O100,1)),
HYPERLINK("#Roadmap!C"&amp; MATCH($E100,Roadmap!$D:$D,0)+COUNTIF($E100:O100,"u")+COUNTIF($E100:O100,"t"),
     INDEX(Roadmap!$D:$K,MATCH($E100,Roadmap!$D:$D,0)+COUNTIF($E100:O100,"u")+COUNTIF($E100:O100,"t")+COUNTIF($E100:O100,"¶")+COUNTIF($E100:O100,"²")+COUNTIF($E100:O100,"µ")+COUNTIF($E100:O100,1),ColTypeEcheance)),
  IF(LEN(O100)=1,
  IF(LEN(INDEX(Roadmap!$D:$K,MATCH($E100,Roadmap!$D:$D,0)-1+COUNTIF($E100:O100,"u")+COUNTIF($E100:O100,"t")+COUNTIF($E100:O100,"¶")+COUNTIF($E100:O100,"²")+COUNTIF($E100:O100,"µ")+COUNTIF($E100:O100,1),ColDescriptionCourte))&gt;1,
HYPERLINK("#Roadmap!C"&amp; MATCH($E100,Roadmap!$D:$D,0)+COUNTIF($E100:O100,"u")+COUNTIF($E100:O100,"t")+COUNTIF($E100:O100,"¶")+COUNTIF($E100:O100,"²")+COUNTIF($E100:O100,"µ")+COUNTIF($E100:O100,1)-1,INDEX(Roadmap!$D:$K,MATCH($E100,Roadmap!$D:$D,0)-1+COUNTIF($E100:O100,"u")+COUNTIF($E100:O100,"t")+COUNTIF($E100:O100,"¶")+COUNTIF($E100:O100,"²")+COUNTIF($E100:O100,"µ")+COUNTIF($E100:O100,1),ColDescriptionCourte)),""),
  "")),"")</f>
        <v/>
      </c>
      <c r="Q100" s="40" t="str">
        <f ca="1">IFERROR(IF(AND(
  INDEX(Roadmap!$D:$K,MATCH($E100,Roadmap!$D:$D,0)+COUNTIF($E100:P100,"u")+COUNTIF($E100:P100,"t")+COUNTIF($E100:P100,"¶")+COUNTIF($E100:P100,"²")+COUNTIF($E100:P100,"µ")+COUNTIF($E100:P100,1),ColLivraison)=Q$6,
  VLOOKUP($E100,INDIRECT("tri!"&amp; CHAR(64+ C0Col) &amp;":"&amp; CHAR(65+C0Col)),2,FALSE)&gt;COUNTIF($E100:P100,"u")+COUNTIF($E100:P100,"t")+COUNTIF($E100:P100,"¶")+COUNTIF($E100:P100,"²")+COUNTIF($E100:P100,"µ")+COUNTIF($E100:P100,1)),
HYPERLINK("#Roadmap!C"&amp; MATCH($E100,Roadmap!$D:$D,0)+COUNTIF($E100:P100,"u")+COUNTIF($E100:P100,"t"),
     INDEX(Roadmap!$D:$K,MATCH($E100,Roadmap!$D:$D,0)+COUNTIF($E100:P100,"u")+COUNTIF($E100:P100,"t")+COUNTIF($E100:P100,"¶")+COUNTIF($E100:P100,"²")+COUNTIF($E100:P100,"µ")+COUNTIF($E100:P100,1),ColTypeEcheance)),
  IF(LEN(P100)=1,
  IF(LEN(INDEX(Roadmap!$D:$K,MATCH($E100,Roadmap!$D:$D,0)-1+COUNTIF($E100:P100,"u")+COUNTIF($E100:P100,"t")+COUNTIF($E100:P100,"¶")+COUNTIF($E100:P100,"²")+COUNTIF($E100:P100,"µ")+COUNTIF($E100:P100,1),ColDescriptionCourte))&gt;1,
HYPERLINK("#Roadmap!C"&amp; MATCH($E100,Roadmap!$D:$D,0)+COUNTIF($E100:P100,"u")+COUNTIF($E100:P100,"t")+COUNTIF($E100:P100,"¶")+COUNTIF($E100:P100,"²")+COUNTIF($E100:P100,"µ")+COUNTIF($E100:P100,1)-1,INDEX(Roadmap!$D:$K,MATCH($E100,Roadmap!$D:$D,0)-1+COUNTIF($E100:P100,"u")+COUNTIF($E100:P100,"t")+COUNTIF($E100:P100,"¶")+COUNTIF($E100:P100,"²")+COUNTIF($E100:P100,"µ")+COUNTIF($E100:P100,1),ColDescriptionCourte)),""),
  "")),"")</f>
        <v/>
      </c>
      <c r="R100" s="40" t="str">
        <f ca="1">IFERROR(IF(AND(
  INDEX(Roadmap!$D:$K,MATCH($E100,Roadmap!$D:$D,0)+COUNTIF($E100:Q100,"u")+COUNTIF($E100:Q100,"t")+COUNTIF($E100:Q100,"¶")+COUNTIF($E100:Q100,"²")+COUNTIF($E100:Q100,"µ")+COUNTIF($E100:Q100,1),ColLivraison)=R$6,
  VLOOKUP($E100,INDIRECT("tri!"&amp; CHAR(64+ C0Col) &amp;":"&amp; CHAR(65+C0Col)),2,FALSE)&gt;COUNTIF($E100:Q100,"u")+COUNTIF($E100:Q100,"t")+COUNTIF($E100:Q100,"¶")+COUNTIF($E100:Q100,"²")+COUNTIF($E100:Q100,"µ")+COUNTIF($E100:Q100,1)),
HYPERLINK("#Roadmap!C"&amp; MATCH($E100,Roadmap!$D:$D,0)+COUNTIF($E100:Q100,"u")+COUNTIF($E100:Q100,"t"),
     INDEX(Roadmap!$D:$K,MATCH($E100,Roadmap!$D:$D,0)+COUNTIF($E100:Q100,"u")+COUNTIF($E100:Q100,"t")+COUNTIF($E100:Q100,"¶")+COUNTIF($E100:Q100,"²")+COUNTIF($E100:Q100,"µ")+COUNTIF($E100:Q100,1),ColTypeEcheance)),
  IF(LEN(Q100)=1,
  IF(LEN(INDEX(Roadmap!$D:$K,MATCH($E100,Roadmap!$D:$D,0)-1+COUNTIF($E100:Q100,"u")+COUNTIF($E100:Q100,"t")+COUNTIF($E100:Q100,"¶")+COUNTIF($E100:Q100,"²")+COUNTIF($E100:Q100,"µ")+COUNTIF($E100:Q100,1),ColDescriptionCourte))&gt;1,
HYPERLINK("#Roadmap!C"&amp; MATCH($E100,Roadmap!$D:$D,0)+COUNTIF($E100:Q100,"u")+COUNTIF($E100:Q100,"t")+COUNTIF($E100:Q100,"¶")+COUNTIF($E100:Q100,"²")+COUNTIF($E100:Q100,"µ")+COUNTIF($E100:Q100,1)-1,INDEX(Roadmap!$D:$K,MATCH($E100,Roadmap!$D:$D,0)-1+COUNTIF($E100:Q100,"u")+COUNTIF($E100:Q100,"t")+COUNTIF($E100:Q100,"¶")+COUNTIF($E100:Q100,"²")+COUNTIF($E100:Q100,"µ")+COUNTIF($E100:Q100,1),ColDescriptionCourte)),""),
  "")),"")</f>
        <v/>
      </c>
      <c r="S100" s="40" t="str">
        <f ca="1">IFERROR(IF(AND(
  INDEX(Roadmap!$D:$K,MATCH($E100,Roadmap!$D:$D,0)+COUNTIF($E100:R100,"u")+COUNTIF($E100:R100,"t")+COUNTIF($E100:R100,"¶")+COUNTIF($E100:R100,"²")+COUNTIF($E100:R100,"µ")+COUNTIF($E100:R100,1),ColLivraison)=S$6,
  VLOOKUP($E100,INDIRECT("tri!"&amp; CHAR(64+ C0Col) &amp;":"&amp; CHAR(65+C0Col)),2,FALSE)&gt;COUNTIF($E100:R100,"u")+COUNTIF($E100:R100,"t")+COUNTIF($E100:R100,"¶")+COUNTIF($E100:R100,"²")+COUNTIF($E100:R100,"µ")+COUNTIF($E100:R100,1)),
HYPERLINK("#Roadmap!C"&amp; MATCH($E100,Roadmap!$D:$D,0)+COUNTIF($E100:R100,"u")+COUNTIF($E100:R100,"t"),
     INDEX(Roadmap!$D:$K,MATCH($E100,Roadmap!$D:$D,0)+COUNTIF($E100:R100,"u")+COUNTIF($E100:R100,"t")+COUNTIF($E100:R100,"¶")+COUNTIF($E100:R100,"²")+COUNTIF($E100:R100,"µ")+COUNTIF($E100:R100,1),ColTypeEcheance)),
  IF(LEN(R100)=1,
  IF(LEN(INDEX(Roadmap!$D:$K,MATCH($E100,Roadmap!$D:$D,0)-1+COUNTIF($E100:R100,"u")+COUNTIF($E100:R100,"t")+COUNTIF($E100:R100,"¶")+COUNTIF($E100:R100,"²")+COUNTIF($E100:R100,"µ")+COUNTIF($E100:R100,1),ColDescriptionCourte))&gt;1,
HYPERLINK("#Roadmap!C"&amp; MATCH($E100,Roadmap!$D:$D,0)+COUNTIF($E100:R100,"u")+COUNTIF($E100:R100,"t")+COUNTIF($E100:R100,"¶")+COUNTIF($E100:R100,"²")+COUNTIF($E100:R100,"µ")+COUNTIF($E100:R100,1)-1,INDEX(Roadmap!$D:$K,MATCH($E100,Roadmap!$D:$D,0)-1+COUNTIF($E100:R100,"u")+COUNTIF($E100:R100,"t")+COUNTIF($E100:R100,"¶")+COUNTIF($E100:R100,"²")+COUNTIF($E100:R100,"µ")+COUNTIF($E100:R100,1),ColDescriptionCourte)),""),
  "")),"")</f>
        <v/>
      </c>
      <c r="T100" s="40" t="str">
        <f ca="1">IFERROR(IF(AND(
  INDEX(Roadmap!$D:$K,MATCH($E100,Roadmap!$D:$D,0)+COUNTIF($E100:S100,"u")+COUNTIF($E100:S100,"t")+COUNTIF($E100:S100,"¶")+COUNTIF($E100:S100,"²")+COUNTIF($E100:S100,"µ")+COUNTIF($E100:S100,1),ColLivraison)=T$6,
  VLOOKUP($E100,INDIRECT("tri!"&amp; CHAR(64+ C0Col) &amp;":"&amp; CHAR(65+C0Col)),2,FALSE)&gt;COUNTIF($E100:S100,"u")+COUNTIF($E100:S100,"t")+COUNTIF($E100:S100,"¶")+COUNTIF($E100:S100,"²")+COUNTIF($E100:S100,"µ")+COUNTIF($E100:S100,1)),
HYPERLINK("#Roadmap!C"&amp; MATCH($E100,Roadmap!$D:$D,0)+COUNTIF($E100:S100,"u")+COUNTIF($E100:S100,"t"),
     INDEX(Roadmap!$D:$K,MATCH($E100,Roadmap!$D:$D,0)+COUNTIF($E100:S100,"u")+COUNTIF($E100:S100,"t")+COUNTIF($E100:S100,"¶")+COUNTIF($E100:S100,"²")+COUNTIF($E100:S100,"µ")+COUNTIF($E100:S100,1),ColTypeEcheance)),
  IF(LEN(S100)=1,
  IF(LEN(INDEX(Roadmap!$D:$K,MATCH($E100,Roadmap!$D:$D,0)-1+COUNTIF($E100:S100,"u")+COUNTIF($E100:S100,"t")+COUNTIF($E100:S100,"¶")+COUNTIF($E100:S100,"²")+COUNTIF($E100:S100,"µ")+COUNTIF($E100:S100,1),ColDescriptionCourte))&gt;1,
HYPERLINK("#Roadmap!C"&amp; MATCH($E100,Roadmap!$D:$D,0)+COUNTIF($E100:S100,"u")+COUNTIF($E100:S100,"t")+COUNTIF($E100:S100,"¶")+COUNTIF($E100:S100,"²")+COUNTIF($E100:S100,"µ")+COUNTIF($E100:S100,1)-1,INDEX(Roadmap!$D:$K,MATCH($E100,Roadmap!$D:$D,0)-1+COUNTIF($E100:S100,"u")+COUNTIF($E100:S100,"t")+COUNTIF($E100:S100,"¶")+COUNTIF($E100:S100,"²")+COUNTIF($E100:S100,"µ")+COUNTIF($E100:S100,1),ColDescriptionCourte)),""),
  "")),"")</f>
        <v/>
      </c>
      <c r="U100" s="40" t="str">
        <f ca="1">IFERROR(IF(AND(
  INDEX(Roadmap!$D:$K,MATCH($E100,Roadmap!$D:$D,0)+COUNTIF($E100:T100,"u")+COUNTIF($E100:T100,"t")+COUNTIF($E100:T100,"¶")+COUNTIF($E100:T100,"²")+COUNTIF($E100:T100,"µ")+COUNTIF($E100:T100,1),ColLivraison)=U$6,
  VLOOKUP($E100,INDIRECT("tri!"&amp; CHAR(64+ C0Col) &amp;":"&amp; CHAR(65+C0Col)),2,FALSE)&gt;COUNTIF($E100:T100,"u")+COUNTIF($E100:T100,"t")+COUNTIF($E100:T100,"¶")+COUNTIF($E100:T100,"²")+COUNTIF($E100:T100,"µ")+COUNTIF($E100:T100,1)),
HYPERLINK("#Roadmap!C"&amp; MATCH($E100,Roadmap!$D:$D,0)+COUNTIF($E100:T100,"u")+COUNTIF($E100:T100,"t"),
     INDEX(Roadmap!$D:$K,MATCH($E100,Roadmap!$D:$D,0)+COUNTIF($E100:T100,"u")+COUNTIF($E100:T100,"t")+COUNTIF($E100:T100,"¶")+COUNTIF($E100:T100,"²")+COUNTIF($E100:T100,"µ")+COUNTIF($E100:T100,1),ColTypeEcheance)),
  IF(LEN(T100)=1,
  IF(LEN(INDEX(Roadmap!$D:$K,MATCH($E100,Roadmap!$D:$D,0)-1+COUNTIF($E100:T100,"u")+COUNTIF($E100:T100,"t")+COUNTIF($E100:T100,"¶")+COUNTIF($E100:T100,"²")+COUNTIF($E100:T100,"µ")+COUNTIF($E100:T100,1),ColDescriptionCourte))&gt;1,
HYPERLINK("#Roadmap!C"&amp; MATCH($E100,Roadmap!$D:$D,0)+COUNTIF($E100:T100,"u")+COUNTIF($E100:T100,"t")+COUNTIF($E100:T100,"¶")+COUNTIF($E100:T100,"²")+COUNTIF($E100:T100,"µ")+COUNTIF($E100:T100,1)-1,INDEX(Roadmap!$D:$K,MATCH($E100,Roadmap!$D:$D,0)-1+COUNTIF($E100:T100,"u")+COUNTIF($E100:T100,"t")+COUNTIF($E100:T100,"¶")+COUNTIF($E100:T100,"²")+COUNTIF($E100:T100,"µ")+COUNTIF($E100:T100,1),ColDescriptionCourte)),""),
  "")),"")</f>
        <v/>
      </c>
      <c r="V100" s="40" t="str">
        <f ca="1">IFERROR(IF(AND(
  INDEX(Roadmap!$D:$K,MATCH($E100,Roadmap!$D:$D,0)+COUNTIF($E100:U100,"u")+COUNTIF($E100:U100,"t")+COUNTIF($E100:U100,"¶")+COUNTIF($E100:U100,"²")+COUNTIF($E100:U100,"µ")+COUNTIF($E100:U100,1),ColLivraison)=V$6,
  VLOOKUP($E100,INDIRECT("tri!"&amp; CHAR(64+ C0Col) &amp;":"&amp; CHAR(65+C0Col)),2,FALSE)&gt;COUNTIF($E100:U100,"u")+COUNTIF($E100:U100,"t")+COUNTIF($E100:U100,"¶")+COUNTIF($E100:U100,"²")+COUNTIF($E100:U100,"µ")+COUNTIF($E100:U100,1)),
HYPERLINK("#Roadmap!C"&amp; MATCH($E100,Roadmap!$D:$D,0)+COUNTIF($E100:U100,"u")+COUNTIF($E100:U100,"t"),
     INDEX(Roadmap!$D:$K,MATCH($E100,Roadmap!$D:$D,0)+COUNTIF($E100:U100,"u")+COUNTIF($E100:U100,"t")+COUNTIF($E100:U100,"¶")+COUNTIF($E100:U100,"²")+COUNTIF($E100:U100,"µ")+COUNTIF($E100:U100,1),ColTypeEcheance)),
  IF(LEN(U100)=1,
  IF(LEN(INDEX(Roadmap!$D:$K,MATCH($E100,Roadmap!$D:$D,0)-1+COUNTIF($E100:U100,"u")+COUNTIF($E100:U100,"t")+COUNTIF($E100:U100,"¶")+COUNTIF($E100:U100,"²")+COUNTIF($E100:U100,"µ")+COUNTIF($E100:U100,1),ColDescriptionCourte))&gt;1,
HYPERLINK("#Roadmap!C"&amp; MATCH($E100,Roadmap!$D:$D,0)+COUNTIF($E100:U100,"u")+COUNTIF($E100:U100,"t")+COUNTIF($E100:U100,"¶")+COUNTIF($E100:U100,"²")+COUNTIF($E100:U100,"µ")+COUNTIF($E100:U100,1)-1,INDEX(Roadmap!$D:$K,MATCH($E100,Roadmap!$D:$D,0)-1+COUNTIF($E100:U100,"u")+COUNTIF($E100:U100,"t")+COUNTIF($E100:U100,"¶")+COUNTIF($E100:U100,"²")+COUNTIF($E100:U100,"µ")+COUNTIF($E100:U100,1),ColDescriptionCourte)),""),
  "")),"")</f>
        <v/>
      </c>
      <c r="W100" s="40" t="str">
        <f ca="1">IFERROR(IF(AND(
  INDEX(Roadmap!$D:$K,MATCH($E100,Roadmap!$D:$D,0)+COUNTIF($E100:V100,"u")+COUNTIF($E100:V100,"t")+COUNTIF($E100:V100,"¶")+COUNTIF($E100:V100,"²")+COUNTIF($E100:V100,"µ")+COUNTIF($E100:V100,1),ColLivraison)=W$6,
  VLOOKUP($E100,INDIRECT("tri!"&amp; CHAR(64+ C0Col) &amp;":"&amp; CHAR(65+C0Col)),2,FALSE)&gt;COUNTIF($E100:V100,"u")+COUNTIF($E100:V100,"t")+COUNTIF($E100:V100,"¶")+COUNTIF($E100:V100,"²")+COUNTIF($E100:V100,"µ")+COUNTIF($E100:V100,1)),
HYPERLINK("#Roadmap!C"&amp; MATCH($E100,Roadmap!$D:$D,0)+COUNTIF($E100:V100,"u")+COUNTIF($E100:V100,"t"),
     INDEX(Roadmap!$D:$K,MATCH($E100,Roadmap!$D:$D,0)+COUNTIF($E100:V100,"u")+COUNTIF($E100:V100,"t")+COUNTIF($E100:V100,"¶")+COUNTIF($E100:V100,"²")+COUNTIF($E100:V100,"µ")+COUNTIF($E100:V100,1),ColTypeEcheance)),
  IF(LEN(V100)=1,
  IF(LEN(INDEX(Roadmap!$D:$K,MATCH($E100,Roadmap!$D:$D,0)-1+COUNTIF($E100:V100,"u")+COUNTIF($E100:V100,"t")+COUNTIF($E100:V100,"¶")+COUNTIF($E100:V100,"²")+COUNTIF($E100:V100,"µ")+COUNTIF($E100:V100,1),ColDescriptionCourte))&gt;1,
HYPERLINK("#Roadmap!C"&amp; MATCH($E100,Roadmap!$D:$D,0)+COUNTIF($E100:V100,"u")+COUNTIF($E100:V100,"t")+COUNTIF($E100:V100,"¶")+COUNTIF($E100:V100,"²")+COUNTIF($E100:V100,"µ")+COUNTIF($E100:V100,1)-1,INDEX(Roadmap!$D:$K,MATCH($E100,Roadmap!$D:$D,0)-1+COUNTIF($E100:V100,"u")+COUNTIF($E100:V100,"t")+COUNTIF($E100:V100,"¶")+COUNTIF($E100:V100,"²")+COUNTIF($E100:V100,"µ")+COUNTIF($E100:V100,1),ColDescriptionCourte)),""),
  "")),"")</f>
        <v/>
      </c>
      <c r="X100" s="40" t="str">
        <f ca="1">IFERROR(IF(AND(
  INDEX(Roadmap!$D:$K,MATCH($E100,Roadmap!$D:$D,0)+COUNTIF($E100:W100,"u")+COUNTIF($E100:W100,"t")+COUNTIF($E100:W100,"¶")+COUNTIF($E100:W100,"²")+COUNTIF($E100:W100,"µ")+COUNTIF($E100:W100,1),ColLivraison)=X$6,
  VLOOKUP($E100,INDIRECT("tri!"&amp; CHAR(64+ C0Col) &amp;":"&amp; CHAR(65+C0Col)),2,FALSE)&gt;COUNTIF($E100:W100,"u")+COUNTIF($E100:W100,"t")+COUNTIF($E100:W100,"¶")+COUNTIF($E100:W100,"²")+COUNTIF($E100:W100,"µ")+COUNTIF($E100:W100,1)),
HYPERLINK("#Roadmap!C"&amp; MATCH($E100,Roadmap!$D:$D,0)+COUNTIF($E100:W100,"u")+COUNTIF($E100:W100,"t"),
     INDEX(Roadmap!$D:$K,MATCH($E100,Roadmap!$D:$D,0)+COUNTIF($E100:W100,"u")+COUNTIF($E100:W100,"t")+COUNTIF($E100:W100,"¶")+COUNTIF($E100:W100,"²")+COUNTIF($E100:W100,"µ")+COUNTIF($E100:W100,1),ColTypeEcheance)),
  IF(LEN(W100)=1,
  IF(LEN(INDEX(Roadmap!$D:$K,MATCH($E100,Roadmap!$D:$D,0)-1+COUNTIF($E100:W100,"u")+COUNTIF($E100:W100,"t")+COUNTIF($E100:W100,"¶")+COUNTIF($E100:W100,"²")+COUNTIF($E100:W100,"µ")+COUNTIF($E100:W100,1),ColDescriptionCourte))&gt;1,
HYPERLINK("#Roadmap!C"&amp; MATCH($E100,Roadmap!$D:$D,0)+COUNTIF($E100:W100,"u")+COUNTIF($E100:W100,"t")+COUNTIF($E100:W100,"¶")+COUNTIF($E100:W100,"²")+COUNTIF($E100:W100,"µ")+COUNTIF($E100:W100,1)-1,INDEX(Roadmap!$D:$K,MATCH($E100,Roadmap!$D:$D,0)-1+COUNTIF($E100:W100,"u")+COUNTIF($E100:W100,"t")+COUNTIF($E100:W100,"¶")+COUNTIF($E100:W100,"²")+COUNTIF($E100:W100,"µ")+COUNTIF($E100:W100,1),ColDescriptionCourte)),""),
  "")),"")</f>
        <v/>
      </c>
      <c r="Y100" s="40" t="str">
        <f ca="1">IFERROR(IF(AND(
  INDEX(Roadmap!$D:$K,MATCH($E100,Roadmap!$D:$D,0)+COUNTIF($E100:X100,"u")+COUNTIF($E100:X100,"t")+COUNTIF($E100:X100,"¶")+COUNTIF($E100:X100,"²")+COUNTIF($E100:X100,"µ")+COUNTIF($E100:X100,1),ColLivraison)=Y$6,
  VLOOKUP($E100,INDIRECT("tri!"&amp; CHAR(64+ C0Col) &amp;":"&amp; CHAR(65+C0Col)),2,FALSE)&gt;COUNTIF($E100:X100,"u")+COUNTIF($E100:X100,"t")+COUNTIF($E100:X100,"¶")+COUNTIF($E100:X100,"²")+COUNTIF($E100:X100,"µ")+COUNTIF($E100:X100,1)),
HYPERLINK("#Roadmap!C"&amp; MATCH($E100,Roadmap!$D:$D,0)+COUNTIF($E100:X100,"u")+COUNTIF($E100:X100,"t"),
     INDEX(Roadmap!$D:$K,MATCH($E100,Roadmap!$D:$D,0)+COUNTIF($E100:X100,"u")+COUNTIF($E100:X100,"t")+COUNTIF($E100:X100,"¶")+COUNTIF($E100:X100,"²")+COUNTIF($E100:X100,"µ")+COUNTIF($E100:X100,1),ColTypeEcheance)),
  IF(LEN(X100)=1,
  IF(LEN(INDEX(Roadmap!$D:$K,MATCH($E100,Roadmap!$D:$D,0)-1+COUNTIF($E100:X100,"u")+COUNTIF($E100:X100,"t")+COUNTIF($E100:X100,"¶")+COUNTIF($E100:X100,"²")+COUNTIF($E100:X100,"µ")+COUNTIF($E100:X100,1),ColDescriptionCourte))&gt;1,
HYPERLINK("#Roadmap!C"&amp; MATCH($E100,Roadmap!$D:$D,0)+COUNTIF($E100:X100,"u")+COUNTIF($E100:X100,"t")+COUNTIF($E100:X100,"¶")+COUNTIF($E100:X100,"²")+COUNTIF($E100:X100,"µ")+COUNTIF($E100:X100,1)-1,INDEX(Roadmap!$D:$K,MATCH($E100,Roadmap!$D:$D,0)-1+COUNTIF($E100:X100,"u")+COUNTIF($E100:X100,"t")+COUNTIF($E100:X100,"¶")+COUNTIF($E100:X100,"²")+COUNTIF($E100:X100,"µ")+COUNTIF($E100:X100,1),ColDescriptionCourte)),""),
  "")),"")</f>
        <v/>
      </c>
      <c r="Z100" s="40" t="str">
        <f ca="1">IFERROR(IF(AND(
  INDEX(Roadmap!$D:$K,MATCH($E100,Roadmap!$D:$D,0)+COUNTIF($E100:Y100,"u")+COUNTIF($E100:Y100,"t")+COUNTIF($E100:Y100,"¶")+COUNTIF($E100:Y100,"²")+COUNTIF($E100:Y100,"µ")+COUNTIF($E100:Y100,1),ColLivraison)=Z$6,
  VLOOKUP($E100,INDIRECT("tri!"&amp; CHAR(64+ C0Col) &amp;":"&amp; CHAR(65+C0Col)),2,FALSE)&gt;COUNTIF($E100:Y100,"u")+COUNTIF($E100:Y100,"t")+COUNTIF($E100:Y100,"¶")+COUNTIF($E100:Y100,"²")+COUNTIF($E100:Y100,"µ")+COUNTIF($E100:Y100,1)),
HYPERLINK("#Roadmap!C"&amp; MATCH($E100,Roadmap!$D:$D,0)+COUNTIF($E100:Y100,"u")+COUNTIF($E100:Y100,"t"),
     INDEX(Roadmap!$D:$K,MATCH($E100,Roadmap!$D:$D,0)+COUNTIF($E100:Y100,"u")+COUNTIF($E100:Y100,"t")+COUNTIF($E100:Y100,"¶")+COUNTIF($E100:Y100,"²")+COUNTIF($E100:Y100,"µ")+COUNTIF($E100:Y100,1),ColTypeEcheance)),
  IF(LEN(Y100)=1,
  IF(LEN(INDEX(Roadmap!$D:$K,MATCH($E100,Roadmap!$D:$D,0)-1+COUNTIF($E100:Y100,"u")+COUNTIF($E100:Y100,"t")+COUNTIF($E100:Y100,"¶")+COUNTIF($E100:Y100,"²")+COUNTIF($E100:Y100,"µ")+COUNTIF($E100:Y100,1),ColDescriptionCourte))&gt;1,
HYPERLINK("#Roadmap!C"&amp; MATCH($E100,Roadmap!$D:$D,0)+COUNTIF($E100:Y100,"u")+COUNTIF($E100:Y100,"t")+COUNTIF($E100:Y100,"¶")+COUNTIF($E100:Y100,"²")+COUNTIF($E100:Y100,"µ")+COUNTIF($E100:Y100,1)-1,INDEX(Roadmap!$D:$K,MATCH($E100,Roadmap!$D:$D,0)-1+COUNTIF($E100:Y100,"u")+COUNTIF($E100:Y100,"t")+COUNTIF($E100:Y100,"¶")+COUNTIF($E100:Y100,"²")+COUNTIF($E100:Y100,"µ")+COUNTIF($E100:Y100,1),ColDescriptionCourte)),""),
  "")),"")</f>
        <v/>
      </c>
      <c r="AA100" s="40" t="str">
        <f ca="1">IFERROR(IF(AND(
  INDEX(Roadmap!$D:$K,MATCH($E100,Roadmap!$D:$D,0)+COUNTIF($E100:Z100,"u")+COUNTIF($E100:Z100,"t")+COUNTIF($E100:Z100,"¶")+COUNTIF($E100:Z100,"²")+COUNTIF($E100:Z100,"µ")+COUNTIF($E100:Z100,1),ColLivraison)=AA$6,
  VLOOKUP($E100,INDIRECT("tri!"&amp; CHAR(64+ C0Col) &amp;":"&amp; CHAR(65+C0Col)),2,FALSE)&gt;COUNTIF($E100:Z100,"u")+COUNTIF($E100:Z100,"t")+COUNTIF($E100:Z100,"¶")+COUNTIF($E100:Z100,"²")+COUNTIF($E100:Z100,"µ")+COUNTIF($E100:Z100,1)),
HYPERLINK("#Roadmap!C"&amp; MATCH($E100,Roadmap!$D:$D,0)+COUNTIF($E100:Z100,"u")+COUNTIF($E100:Z100,"t"),
     INDEX(Roadmap!$D:$K,MATCH($E100,Roadmap!$D:$D,0)+COUNTIF($E100:Z100,"u")+COUNTIF($E100:Z100,"t")+COUNTIF($E100:Z100,"¶")+COUNTIF($E100:Z100,"²")+COUNTIF($E100:Z100,"µ")+COUNTIF($E100:Z100,1),ColTypeEcheance)),
  IF(LEN(Z100)=1,
  IF(LEN(INDEX(Roadmap!$D:$K,MATCH($E100,Roadmap!$D:$D,0)-1+COUNTIF($E100:Z100,"u")+COUNTIF($E100:Z100,"t")+COUNTIF($E100:Z100,"¶")+COUNTIF($E100:Z100,"²")+COUNTIF($E100:Z100,"µ")+COUNTIF($E100:Z100,1),ColDescriptionCourte))&gt;1,
HYPERLINK("#Roadmap!C"&amp; MATCH($E100,Roadmap!$D:$D,0)+COUNTIF($E100:Z100,"u")+COUNTIF($E100:Z100,"t")+COUNTIF($E100:Z100,"¶")+COUNTIF($E100:Z100,"²")+COUNTIF($E100:Z100,"µ")+COUNTIF($E100:Z100,1)-1,INDEX(Roadmap!$D:$K,MATCH($E100,Roadmap!$D:$D,0)-1+COUNTIF($E100:Z100,"u")+COUNTIF($E100:Z100,"t")+COUNTIF($E100:Z100,"¶")+COUNTIF($E100:Z100,"²")+COUNTIF($E100:Z100,"µ")+COUNTIF($E100:Z100,1),ColDescriptionCourte)),""),
  "")),"")</f>
        <v/>
      </c>
      <c r="AB100" s="40" t="str">
        <f ca="1">IFERROR(IF(AND(
  INDEX(Roadmap!$D:$K,MATCH($E100,Roadmap!$D:$D,0)+COUNTIF($E100:AA100,"u")+COUNTIF($E100:AA100,"t")+COUNTIF($E100:AA100,"¶")+COUNTIF($E100:AA100,"²")+COUNTIF($E100:AA100,"µ")+COUNTIF($E100:AA100,1),ColLivraison)=AB$6,
  VLOOKUP($E100,INDIRECT("tri!"&amp; CHAR(64+ C0Col) &amp;":"&amp; CHAR(65+C0Col)),2,FALSE)&gt;COUNTIF($E100:AA100,"u")+COUNTIF($E100:AA100,"t")+COUNTIF($E100:AA100,"¶")+COUNTIF($E100:AA100,"²")+COUNTIF($E100:AA100,"µ")+COUNTIF($E100:AA100,1)),
HYPERLINK("#Roadmap!C"&amp; MATCH($E100,Roadmap!$D:$D,0)+COUNTIF($E100:AA100,"u")+COUNTIF($E100:AA100,"t"),
     INDEX(Roadmap!$D:$K,MATCH($E100,Roadmap!$D:$D,0)+COUNTIF($E100:AA100,"u")+COUNTIF($E100:AA100,"t")+COUNTIF($E100:AA100,"¶")+COUNTIF($E100:AA100,"²")+COUNTIF($E100:AA100,"µ")+COUNTIF($E100:AA100,1),ColTypeEcheance)),
  IF(LEN(AA100)=1,
  IF(LEN(INDEX(Roadmap!$D:$K,MATCH($E100,Roadmap!$D:$D,0)-1+COUNTIF($E100:AA100,"u")+COUNTIF($E100:AA100,"t")+COUNTIF($E100:AA100,"¶")+COUNTIF($E100:AA100,"²")+COUNTIF($E100:AA100,"µ")+COUNTIF($E100:AA100,1),ColDescriptionCourte))&gt;1,
HYPERLINK("#Roadmap!C"&amp; MATCH($E100,Roadmap!$D:$D,0)+COUNTIF($E100:AA100,"u")+COUNTIF($E100:AA100,"t")+COUNTIF($E100:AA100,"¶")+COUNTIF($E100:AA100,"²")+COUNTIF($E100:AA100,"µ")+COUNTIF($E100:AA100,1)-1,INDEX(Roadmap!$D:$K,MATCH($E100,Roadmap!$D:$D,0)-1+COUNTIF($E100:AA100,"u")+COUNTIF($E100:AA100,"t")+COUNTIF($E100:AA100,"¶")+COUNTIF($E100:AA100,"²")+COUNTIF($E100:AA100,"µ")+COUNTIF($E100:AA100,1),ColDescriptionCourte)),""),
  "")),"")</f>
        <v/>
      </c>
      <c r="AC100" s="40" t="str">
        <f ca="1">IFERROR(IF(AND(
  INDEX(Roadmap!$D:$K,MATCH($E100,Roadmap!$D:$D,0)+COUNTIF($E100:AB100,"u")+COUNTIF($E100:AB100,"t")+COUNTIF($E100:AB100,"¶")+COUNTIF($E100:AB100,"²")+COUNTIF($E100:AB100,"µ")+COUNTIF($E100:AB100,1),ColLivraison)=AC$6,
  VLOOKUP($E100,INDIRECT("tri!"&amp; CHAR(64+ C0Col) &amp;":"&amp; CHAR(65+C0Col)),2,FALSE)&gt;COUNTIF($E100:AB100,"u")+COUNTIF($E100:AB100,"t")+COUNTIF($E100:AB100,"¶")+COUNTIF($E100:AB100,"²")+COUNTIF($E100:AB100,"µ")+COUNTIF($E100:AB100,1)),
HYPERLINK("#Roadmap!C"&amp; MATCH($E100,Roadmap!$D:$D,0)+COUNTIF($E100:AB100,"u")+COUNTIF($E100:AB100,"t"),
     INDEX(Roadmap!$D:$K,MATCH($E100,Roadmap!$D:$D,0)+COUNTIF($E100:AB100,"u")+COUNTIF($E100:AB100,"t")+COUNTIF($E100:AB100,"¶")+COUNTIF($E100:AB100,"²")+COUNTIF($E100:AB100,"µ")+COUNTIF($E100:AB100,1),ColTypeEcheance)),
  IF(LEN(AB100)=1,
  IF(LEN(INDEX(Roadmap!$D:$K,MATCH($E100,Roadmap!$D:$D,0)-1+COUNTIF($E100:AB100,"u")+COUNTIF($E100:AB100,"t")+COUNTIF($E100:AB100,"¶")+COUNTIF($E100:AB100,"²")+COUNTIF($E100:AB100,"µ")+COUNTIF($E100:AB100,1),ColDescriptionCourte))&gt;1,
HYPERLINK("#Roadmap!C"&amp; MATCH($E100,Roadmap!$D:$D,0)+COUNTIF($E100:AB100,"u")+COUNTIF($E100:AB100,"t")+COUNTIF($E100:AB100,"¶")+COUNTIF($E100:AB100,"²")+COUNTIF($E100:AB100,"µ")+COUNTIF($E100:AB100,1)-1,INDEX(Roadmap!$D:$K,MATCH($E100,Roadmap!$D:$D,0)-1+COUNTIF($E100:AB100,"u")+COUNTIF($E100:AB100,"t")+COUNTIF($E100:AB100,"¶")+COUNTIF($E100:AB100,"²")+COUNTIF($E100:AB100,"µ")+COUNTIF($E100:AB100,1),ColDescriptionCourte)),""),
  "")),"")</f>
        <v/>
      </c>
      <c r="AD100" s="40" t="str">
        <f ca="1">IFERROR(IF(AND(
  INDEX(Roadmap!$D:$K,MATCH($E100,Roadmap!$D:$D,0)+COUNTIF($E100:AC100,"u")+COUNTIF($E100:AC100,"t")+COUNTIF($E100:AC100,"¶")+COUNTIF($E100:AC100,"²")+COUNTIF($E100:AC100,"µ")+COUNTIF($E100:AC100,1),ColLivraison)=AD$6,
  VLOOKUP($E100,INDIRECT("tri!"&amp; CHAR(64+ C0Col) &amp;":"&amp; CHAR(65+C0Col)),2,FALSE)&gt;COUNTIF($E100:AC100,"u")+COUNTIF($E100:AC100,"t")+COUNTIF($E100:AC100,"¶")+COUNTIF($E100:AC100,"²")+COUNTIF($E100:AC100,"µ")+COUNTIF($E100:AC100,1)),
HYPERLINK("#Roadmap!C"&amp; MATCH($E100,Roadmap!$D:$D,0)+COUNTIF($E100:AC100,"u")+COUNTIF($E100:AC100,"t"),
     INDEX(Roadmap!$D:$K,MATCH($E100,Roadmap!$D:$D,0)+COUNTIF($E100:AC100,"u")+COUNTIF($E100:AC100,"t")+COUNTIF($E100:AC100,"¶")+COUNTIF($E100:AC100,"²")+COUNTIF($E100:AC100,"µ")+COUNTIF($E100:AC100,1),ColTypeEcheance)),
  IF(LEN(AC100)=1,
  IF(LEN(INDEX(Roadmap!$D:$K,MATCH($E100,Roadmap!$D:$D,0)-1+COUNTIF($E100:AC100,"u")+COUNTIF($E100:AC100,"t")+COUNTIF($E100:AC100,"¶")+COUNTIF($E100:AC100,"²")+COUNTIF($E100:AC100,"µ")+COUNTIF($E100:AC100,1),ColDescriptionCourte))&gt;1,
HYPERLINK("#Roadmap!C"&amp; MATCH($E100,Roadmap!$D:$D,0)+COUNTIF($E100:AC100,"u")+COUNTIF($E100:AC100,"t")+COUNTIF($E100:AC100,"¶")+COUNTIF($E100:AC100,"²")+COUNTIF($E100:AC100,"µ")+COUNTIF($E100:AC100,1)-1,INDEX(Roadmap!$D:$K,MATCH($E100,Roadmap!$D:$D,0)-1+COUNTIF($E100:AC100,"u")+COUNTIF($E100:AC100,"t")+COUNTIF($E100:AC100,"¶")+COUNTIF($E100:AC100,"²")+COUNTIF($E100:AC100,"µ")+COUNTIF($E100:AC100,1),ColDescriptionCourte)),""),
  "")),"")</f>
        <v/>
      </c>
      <c r="AE100" s="40" t="str">
        <f ca="1">IFERROR(IF(AND(
  INDEX(Roadmap!$D:$K,MATCH($E100,Roadmap!$D:$D,0)+COUNTIF($E100:AD100,"u")+COUNTIF($E100:AD100,"t")+COUNTIF($E100:AD100,"¶")+COUNTIF($E100:AD100,"²")+COUNTIF($E100:AD100,"µ")+COUNTIF($E100:AD100,1),ColLivraison)=AE$6,
  VLOOKUP($E100,INDIRECT("tri!"&amp; CHAR(64+ C0Col) &amp;":"&amp; CHAR(65+C0Col)),2,FALSE)&gt;COUNTIF($E100:AD100,"u")+COUNTIF($E100:AD100,"t")+COUNTIF($E100:AD100,"¶")+COUNTIF($E100:AD100,"²")+COUNTIF($E100:AD100,"µ")+COUNTIF($E100:AD100,1)),
HYPERLINK("#Roadmap!C"&amp; MATCH($E100,Roadmap!$D:$D,0)+COUNTIF($E100:AD100,"u")+COUNTIF($E100:AD100,"t"),
     INDEX(Roadmap!$D:$K,MATCH($E100,Roadmap!$D:$D,0)+COUNTIF($E100:AD100,"u")+COUNTIF($E100:AD100,"t")+COUNTIF($E100:AD100,"¶")+COUNTIF($E100:AD100,"²")+COUNTIF($E100:AD100,"µ")+COUNTIF($E100:AD100,1),ColTypeEcheance)),
  IF(LEN(AD100)=1,
  IF(LEN(INDEX(Roadmap!$D:$K,MATCH($E100,Roadmap!$D:$D,0)-1+COUNTIF($E100:AD100,"u")+COUNTIF($E100:AD100,"t")+COUNTIF($E100:AD100,"¶")+COUNTIF($E100:AD100,"²")+COUNTIF($E100:AD100,"µ")+COUNTIF($E100:AD100,1),ColDescriptionCourte))&gt;1,
HYPERLINK("#Roadmap!C"&amp; MATCH($E100,Roadmap!$D:$D,0)+COUNTIF($E100:AD100,"u")+COUNTIF($E100:AD100,"t")+COUNTIF($E100:AD100,"¶")+COUNTIF($E100:AD100,"²")+COUNTIF($E100:AD100,"µ")+COUNTIF($E100:AD100,1)-1,INDEX(Roadmap!$D:$K,MATCH($E100,Roadmap!$D:$D,0)-1+COUNTIF($E100:AD100,"u")+COUNTIF($E100:AD100,"t")+COUNTIF($E100:AD100,"¶")+COUNTIF($E100:AD100,"²")+COUNTIF($E100:AD100,"µ")+COUNTIF($E100:AD100,1),ColDescriptionCourte)),""),
  "")),"")</f>
        <v/>
      </c>
      <c r="AF100" s="40" t="str">
        <f ca="1">IFERROR(IF(AND(
  INDEX(Roadmap!$D:$K,MATCH($E100,Roadmap!$D:$D,0)+COUNTIF($E100:AE100,"u")+COUNTIF($E100:AE100,"t")+COUNTIF($E100:AE100,"¶")+COUNTIF($E100:AE100,"²")+COUNTIF($E100:AE100,"µ")+COUNTIF($E100:AE100,1),ColLivraison)=AF$6,
  VLOOKUP($E100,INDIRECT("tri!"&amp; CHAR(64+ C0Col) &amp;":"&amp; CHAR(65+C0Col)),2,FALSE)&gt;COUNTIF($E100:AE100,"u")+COUNTIF($E100:AE100,"t")+COUNTIF($E100:AE100,"¶")+COUNTIF($E100:AE100,"²")+COUNTIF($E100:AE100,"µ")+COUNTIF($E100:AE100,1)),
HYPERLINK("#Roadmap!C"&amp; MATCH($E100,Roadmap!$D:$D,0)+COUNTIF($E100:AE100,"u")+COUNTIF($E100:AE100,"t"),
     INDEX(Roadmap!$D:$K,MATCH($E100,Roadmap!$D:$D,0)+COUNTIF($E100:AE100,"u")+COUNTIF($E100:AE100,"t")+COUNTIF($E100:AE100,"¶")+COUNTIF($E100:AE100,"²")+COUNTIF($E100:AE100,"µ")+COUNTIF($E100:AE100,1),ColTypeEcheance)),
  IF(LEN(AE100)=1,
  IF(LEN(INDEX(Roadmap!$D:$K,MATCH($E100,Roadmap!$D:$D,0)-1+COUNTIF($E100:AE100,"u")+COUNTIF($E100:AE100,"t")+COUNTIF($E100:AE100,"¶")+COUNTIF($E100:AE100,"²")+COUNTIF($E100:AE100,"µ")+COUNTIF($E100:AE100,1),ColDescriptionCourte))&gt;1,
HYPERLINK("#Roadmap!C"&amp; MATCH($E100,Roadmap!$D:$D,0)+COUNTIF($E100:AE100,"u")+COUNTIF($E100:AE100,"t")+COUNTIF($E100:AE100,"¶")+COUNTIF($E100:AE100,"²")+COUNTIF($E100:AE100,"µ")+COUNTIF($E100:AE100,1)-1,INDEX(Roadmap!$D:$K,MATCH($E100,Roadmap!$D:$D,0)-1+COUNTIF($E100:AE100,"u")+COUNTIF($E100:AE100,"t")+COUNTIF($E100:AE100,"¶")+COUNTIF($E100:AE100,"²")+COUNTIF($E100:AE100,"µ")+COUNTIF($E100:AE100,1),ColDescriptionCourte)),""),
  "")),"")</f>
        <v/>
      </c>
      <c r="AG100" s="40" t="str">
        <f ca="1">IFERROR(IF(AND(
  INDEX(Roadmap!$D:$K,MATCH($E100,Roadmap!$D:$D,0)+COUNTIF($E100:AF100,"u")+COUNTIF($E100:AF100,"t")+COUNTIF($E100:AF100,"¶")+COUNTIF($E100:AF100,"²")+COUNTIF($E100:AF100,"µ")+COUNTIF($E100:AF100,1),ColLivraison)=AG$6,
  VLOOKUP($E100,INDIRECT("tri!"&amp; CHAR(64+ C0Col) &amp;":"&amp; CHAR(65+C0Col)),2,FALSE)&gt;COUNTIF($E100:AF100,"u")+COUNTIF($E100:AF100,"t")+COUNTIF($E100:AF100,"¶")+COUNTIF($E100:AF100,"²")+COUNTIF($E100:AF100,"µ")+COUNTIF($E100:AF100,1)),
HYPERLINK("#Roadmap!C"&amp; MATCH($E100,Roadmap!$D:$D,0)+COUNTIF($E100:AF100,"u")+COUNTIF($E100:AF100,"t"),
     INDEX(Roadmap!$D:$K,MATCH($E100,Roadmap!$D:$D,0)+COUNTIF($E100:AF100,"u")+COUNTIF($E100:AF100,"t")+COUNTIF($E100:AF100,"¶")+COUNTIF($E100:AF100,"²")+COUNTIF($E100:AF100,"µ")+COUNTIF($E100:AF100,1),ColTypeEcheance)),
  IF(LEN(AF100)=1,
  IF(LEN(INDEX(Roadmap!$D:$K,MATCH($E100,Roadmap!$D:$D,0)-1+COUNTIF($E100:AF100,"u")+COUNTIF($E100:AF100,"t")+COUNTIF($E100:AF100,"¶")+COUNTIF($E100:AF100,"²")+COUNTIF($E100:AF100,"µ")+COUNTIF($E100:AF100,1),ColDescriptionCourte))&gt;1,
HYPERLINK("#Roadmap!C"&amp; MATCH($E100,Roadmap!$D:$D,0)+COUNTIF($E100:AF100,"u")+COUNTIF($E100:AF100,"t")+COUNTIF($E100:AF100,"¶")+COUNTIF($E100:AF100,"²")+COUNTIF($E100:AF100,"µ")+COUNTIF($E100:AF100,1)-1,INDEX(Roadmap!$D:$K,MATCH($E100,Roadmap!$D:$D,0)-1+COUNTIF($E100:AF100,"u")+COUNTIF($E100:AF100,"t")+COUNTIF($E100:AF100,"¶")+COUNTIF($E100:AF100,"²")+COUNTIF($E100:AF100,"µ")+COUNTIF($E100:AF100,1),ColDescriptionCourte)),""),
  "")),"")</f>
        <v/>
      </c>
    </row>
    <row r="101" spans="3:33" ht="14.25" customHeight="1">
      <c r="C101" s="1" t="str">
        <f t="shared" ca="1" si="47"/>
        <v/>
      </c>
      <c r="D101" s="1" t="str">
        <f t="shared" ca="1" si="48"/>
        <v/>
      </c>
      <c r="E101" s="35" t="str">
        <f t="shared" ca="1" si="46"/>
        <v/>
      </c>
      <c r="F101" s="39" t="str">
        <f ca="1">IFERROR(IF(AND(
  INDEX(Roadmap!$D:$K,MATCH($E101,Roadmap!$D:$D,0)+COUNTIF($E101:E101,"u")+COUNTIF($E101:E101,"t")+COUNTIF($E101:E101,"¶")+COUNTIF($E101:E101,"²")+COUNTIF($E101:E101,"µ")+COUNTIF($E101:E101,1),ColLivraison)=F$6,
  VLOOKUP($E101,INDIRECT("tri!"&amp; CHAR(64+ C0Col) &amp;":"&amp; CHAR(65+C0Col)),2,FALSE)&gt;COUNTIF($E101:E101,"u")+COUNTIF($E101:E101,"t")+COUNTIF($E101:E101,"¶")+COUNTIF($E101:E101,"²")+COUNTIF($E101:E101,"µ")+COUNTIF($E101:E101,1)),
HYPERLINK("#Roadmap!C"&amp; MATCH($E101,Roadmap!$D:$D,0)+COUNTIF($E101:E101,"u")+COUNTIF($E101:E101,"t"),
     INDEX(Roadmap!$D:$K,MATCH($E101,Roadmap!$D:$D,0)+COUNTIF($E101:E101,"u")+COUNTIF($E101:E101,"t")+COUNTIF($E101:E101,"¶")+COUNTIF($E101:E101,"²")+COUNTIF($E101:E101,"µ")+COUNTIF($E101:E101,1),ColTypeEcheance)),
  IF(LEN(E101)=1,
  IF(LEN(INDEX(Roadmap!$D:$K,MATCH($E101,Roadmap!$D:$D,0)-1+COUNTIF($E101:E101,"u")+COUNTIF($E101:E101,"t")+COUNTIF($E101:E101,"¶")+COUNTIF($E101:E101,"²")+COUNTIF($E101:E101,"µ")+COUNTIF($E101:E101,1),ColDescriptionCourte))&gt;1,
HYPERLINK("#Roadmap!C"&amp; MATCH($E101,Roadmap!$D:$D,0)+COUNTIF($E101:E101,"u")+COUNTIF($E101:E101,"t")+COUNTIF($E101:E101,"¶")+COUNTIF($E101:E101,"²")+COUNTIF($E101:E101,"µ")+COUNTIF($E101:E101,1)-1,INDEX(Roadmap!$D:$K,MATCH($E101,Roadmap!$D:$D,0)-1+COUNTIF($E101:E101,"u")+COUNTIF($E101:E101,"t")+COUNTIF($E101:E101,"¶")+COUNTIF($E101:E101,"²")+COUNTIF($E101:E101,"µ")+COUNTIF($E101:E101,1),ColDescriptionCourte)),""),
  "")),"")</f>
        <v/>
      </c>
      <c r="G101" s="40" t="str">
        <f ca="1">IFERROR(IF(AND(
  INDEX(Roadmap!$D:$K,MATCH($E101,Roadmap!$D:$D,0)+COUNTIF($E101:F101,"u")+COUNTIF($E101:F101,"t")+COUNTIF($E101:F101,"¶")+COUNTIF($E101:F101,"²")+COUNTIF($E101:F101,"µ")+COUNTIF($E101:F101,1),ColLivraison)=G$6,
  VLOOKUP($E101,INDIRECT("tri!"&amp; CHAR(64+ C0Col) &amp;":"&amp; CHAR(65+C0Col)),2,FALSE)&gt;COUNTIF($E101:F101,"u")+COUNTIF($E101:F101,"t")+COUNTIF($E101:F101,"¶")+COUNTIF($E101:F101,"²")+COUNTIF($E101:F101,"µ")+COUNTIF($E101:F101,1)),
HYPERLINK("#Roadmap!C"&amp; MATCH($E101,Roadmap!$D:$D,0)+COUNTIF($E101:F101,"u")+COUNTIF($E101:F101,"t"),
     INDEX(Roadmap!$D:$K,MATCH($E101,Roadmap!$D:$D,0)+COUNTIF($E101:F101,"u")+COUNTIF($E101:F101,"t")+COUNTIF($E101:F101,"¶")+COUNTIF($E101:F101,"²")+COUNTIF($E101:F101,"µ")+COUNTIF($E101:F101,1),ColTypeEcheance)),
  IF(LEN(F101)=1,
  IF(LEN(INDEX(Roadmap!$D:$K,MATCH($E101,Roadmap!$D:$D,0)-1+COUNTIF($E101:F101,"u")+COUNTIF($E101:F101,"t")+COUNTIF($E101:F101,"¶")+COUNTIF($E101:F101,"²")+COUNTIF($E101:F101,"µ")+COUNTIF($E101:F101,1),ColDescriptionCourte))&gt;1,
HYPERLINK("#Roadmap!C"&amp; MATCH($E101,Roadmap!$D:$D,0)+COUNTIF($E101:F101,"u")+COUNTIF($E101:F101,"t")+COUNTIF($E101:F101,"¶")+COUNTIF($E101:F101,"²")+COUNTIF($E101:F101,"µ")+COUNTIF($E101:F101,1)-1,INDEX(Roadmap!$D:$K,MATCH($E101,Roadmap!$D:$D,0)-1+COUNTIF($E101:F101,"u")+COUNTIF($E101:F101,"t")+COUNTIF($E101:F101,"¶")+COUNTIF($E101:F101,"²")+COUNTIF($E101:F101,"µ")+COUNTIF($E101:F101,1),ColDescriptionCourte)),""),
  "")),"")</f>
        <v/>
      </c>
      <c r="H101" s="40" t="str">
        <f ca="1">IFERROR(IF(AND(
  INDEX(Roadmap!$D:$K,MATCH($E101,Roadmap!$D:$D,0)+COUNTIF($E101:G101,"u")+COUNTIF($E101:G101,"t")+COUNTIF($E101:G101,"¶")+COUNTIF($E101:G101,"²")+COUNTIF($E101:G101,"µ")+COUNTIF($E101:G101,1),ColLivraison)=H$6,
  VLOOKUP($E101,INDIRECT("tri!"&amp; CHAR(64+ C0Col) &amp;":"&amp; CHAR(65+C0Col)),2,FALSE)&gt;COUNTIF($E101:G101,"u")+COUNTIF($E101:G101,"t")+COUNTIF($E101:G101,"¶")+COUNTIF($E101:G101,"²")+COUNTIF($E101:G101,"µ")+COUNTIF($E101:G101,1)),
HYPERLINK("#Roadmap!C"&amp; MATCH($E101,Roadmap!$D:$D,0)+COUNTIF($E101:G101,"u")+COUNTIF($E101:G101,"t"),
     INDEX(Roadmap!$D:$K,MATCH($E101,Roadmap!$D:$D,0)+COUNTIF($E101:G101,"u")+COUNTIF($E101:G101,"t")+COUNTIF($E101:G101,"¶")+COUNTIF($E101:G101,"²")+COUNTIF($E101:G101,"µ")+COUNTIF($E101:G101,1),ColTypeEcheance)),
  IF(LEN(G101)=1,
  IF(LEN(INDEX(Roadmap!$D:$K,MATCH($E101,Roadmap!$D:$D,0)-1+COUNTIF($E101:G101,"u")+COUNTIF($E101:G101,"t")+COUNTIF($E101:G101,"¶")+COUNTIF($E101:G101,"²")+COUNTIF($E101:G101,"µ")+COUNTIF($E101:G101,1),ColDescriptionCourte))&gt;1,
HYPERLINK("#Roadmap!C"&amp; MATCH($E101,Roadmap!$D:$D,0)+COUNTIF($E101:G101,"u")+COUNTIF($E101:G101,"t")+COUNTIF($E101:G101,"¶")+COUNTIF($E101:G101,"²")+COUNTIF($E101:G101,"µ")+COUNTIF($E101:G101,1)-1,INDEX(Roadmap!$D:$K,MATCH($E101,Roadmap!$D:$D,0)-1+COUNTIF($E101:G101,"u")+COUNTIF($E101:G101,"t")+COUNTIF($E101:G101,"¶")+COUNTIF($E101:G101,"²")+COUNTIF($E101:G101,"µ")+COUNTIF($E101:G101,1),ColDescriptionCourte)),""),
  "")),"")</f>
        <v/>
      </c>
      <c r="I101" s="40" t="str">
        <f ca="1">IFERROR(IF(AND(
  INDEX(Roadmap!$D:$K,MATCH($E101,Roadmap!$D:$D,0)+COUNTIF($E101:H101,"u")+COUNTIF($E101:H101,"t")+COUNTIF($E101:H101,"¶")+COUNTIF($E101:H101,"²")+COUNTIF($E101:H101,"µ")+COUNTIF($E101:H101,1),ColLivraison)=I$6,
  VLOOKUP($E101,INDIRECT("tri!"&amp; CHAR(64+ C0Col) &amp;":"&amp; CHAR(65+C0Col)),2,FALSE)&gt;COUNTIF($E101:H101,"u")+COUNTIF($E101:H101,"t")+COUNTIF($E101:H101,"¶")+COUNTIF($E101:H101,"²")+COUNTIF($E101:H101,"µ")+COUNTIF($E101:H101,1)),
HYPERLINK("#Roadmap!C"&amp; MATCH($E101,Roadmap!$D:$D,0)+COUNTIF($E101:H101,"u")+COUNTIF($E101:H101,"t"),
     INDEX(Roadmap!$D:$K,MATCH($E101,Roadmap!$D:$D,0)+COUNTIF($E101:H101,"u")+COUNTIF($E101:H101,"t")+COUNTIF($E101:H101,"¶")+COUNTIF($E101:H101,"²")+COUNTIF($E101:H101,"µ")+COUNTIF($E101:H101,1),ColTypeEcheance)),
  IF(LEN(H101)=1,
  IF(LEN(INDEX(Roadmap!$D:$K,MATCH($E101,Roadmap!$D:$D,0)-1+COUNTIF($E101:H101,"u")+COUNTIF($E101:H101,"t")+COUNTIF($E101:H101,"¶")+COUNTIF($E101:H101,"²")+COUNTIF($E101:H101,"µ")+COUNTIF($E101:H101,1),ColDescriptionCourte))&gt;1,
HYPERLINK("#Roadmap!C"&amp; MATCH($E101,Roadmap!$D:$D,0)+COUNTIF($E101:H101,"u")+COUNTIF($E101:H101,"t")+COUNTIF($E101:H101,"¶")+COUNTIF($E101:H101,"²")+COUNTIF($E101:H101,"µ")+COUNTIF($E101:H101,1)-1,INDEX(Roadmap!$D:$K,MATCH($E101,Roadmap!$D:$D,0)-1+COUNTIF($E101:H101,"u")+COUNTIF($E101:H101,"t")+COUNTIF($E101:H101,"¶")+COUNTIF($E101:H101,"²")+COUNTIF($E101:H101,"µ")+COUNTIF($E101:H101,1),ColDescriptionCourte)),""),
  "")),"")</f>
        <v/>
      </c>
      <c r="J101" s="40" t="str">
        <f ca="1">IFERROR(IF(AND(
  INDEX(Roadmap!$D:$K,MATCH($E101,Roadmap!$D:$D,0)+COUNTIF($E101:I101,"u")+COUNTIF($E101:I101,"t")+COUNTIF($E101:I101,"¶")+COUNTIF($E101:I101,"²")+COUNTIF($E101:I101,"µ")+COUNTIF($E101:I101,1),ColLivraison)=J$6,
  VLOOKUP($E101,INDIRECT("tri!"&amp; CHAR(64+ C0Col) &amp;":"&amp; CHAR(65+C0Col)),2,FALSE)&gt;COUNTIF($E101:I101,"u")+COUNTIF($E101:I101,"t")+COUNTIF($E101:I101,"¶")+COUNTIF($E101:I101,"²")+COUNTIF($E101:I101,"µ")+COUNTIF($E101:I101,1)),
HYPERLINK("#Roadmap!C"&amp; MATCH($E101,Roadmap!$D:$D,0)+COUNTIF($E101:I101,"u")+COUNTIF($E101:I101,"t"),
     INDEX(Roadmap!$D:$K,MATCH($E101,Roadmap!$D:$D,0)+COUNTIF($E101:I101,"u")+COUNTIF($E101:I101,"t")+COUNTIF($E101:I101,"¶")+COUNTIF($E101:I101,"²")+COUNTIF($E101:I101,"µ")+COUNTIF($E101:I101,1),ColTypeEcheance)),
  IF(LEN(I101)=1,
  IF(LEN(INDEX(Roadmap!$D:$K,MATCH($E101,Roadmap!$D:$D,0)-1+COUNTIF($E101:I101,"u")+COUNTIF($E101:I101,"t")+COUNTIF($E101:I101,"¶")+COUNTIF($E101:I101,"²")+COUNTIF($E101:I101,"µ")+COUNTIF($E101:I101,1),ColDescriptionCourte))&gt;1,
HYPERLINK("#Roadmap!C"&amp; MATCH($E101,Roadmap!$D:$D,0)+COUNTIF($E101:I101,"u")+COUNTIF($E101:I101,"t")+COUNTIF($E101:I101,"¶")+COUNTIF($E101:I101,"²")+COUNTIF($E101:I101,"µ")+COUNTIF($E101:I101,1)-1,INDEX(Roadmap!$D:$K,MATCH($E101,Roadmap!$D:$D,0)-1+COUNTIF($E101:I101,"u")+COUNTIF($E101:I101,"t")+COUNTIF($E101:I101,"¶")+COUNTIF($E101:I101,"²")+COUNTIF($E101:I101,"µ")+COUNTIF($E101:I101,1),ColDescriptionCourte)),""),
  "")),"")</f>
        <v/>
      </c>
      <c r="K101" s="40" t="str">
        <f ca="1">IFERROR(IF(AND(
  INDEX(Roadmap!$D:$K,MATCH($E101,Roadmap!$D:$D,0)+COUNTIF($E101:J101,"u")+COUNTIF($E101:J101,"t")+COUNTIF($E101:J101,"¶")+COUNTIF($E101:J101,"²")+COUNTIF($E101:J101,"µ")+COUNTIF($E101:J101,1),ColLivraison)=K$6,
  VLOOKUP($E101,INDIRECT("tri!"&amp; CHAR(64+ C0Col) &amp;":"&amp; CHAR(65+C0Col)),2,FALSE)&gt;COUNTIF($E101:J101,"u")+COUNTIF($E101:J101,"t")+COUNTIF($E101:J101,"¶")+COUNTIF($E101:J101,"²")+COUNTIF($E101:J101,"µ")+COUNTIF($E101:J101,1)),
HYPERLINK("#Roadmap!C"&amp; MATCH($E101,Roadmap!$D:$D,0)+COUNTIF($E101:J101,"u")+COUNTIF($E101:J101,"t"),
     INDEX(Roadmap!$D:$K,MATCH($E101,Roadmap!$D:$D,0)+COUNTIF($E101:J101,"u")+COUNTIF($E101:J101,"t")+COUNTIF($E101:J101,"¶")+COUNTIF($E101:J101,"²")+COUNTIF($E101:J101,"µ")+COUNTIF($E101:J101,1),ColTypeEcheance)),
  IF(LEN(J101)=1,
  IF(LEN(INDEX(Roadmap!$D:$K,MATCH($E101,Roadmap!$D:$D,0)-1+COUNTIF($E101:J101,"u")+COUNTIF($E101:J101,"t")+COUNTIF($E101:J101,"¶")+COUNTIF($E101:J101,"²")+COUNTIF($E101:J101,"µ")+COUNTIF($E101:J101,1),ColDescriptionCourte))&gt;1,
HYPERLINK("#Roadmap!C"&amp; MATCH($E101,Roadmap!$D:$D,0)+COUNTIF($E101:J101,"u")+COUNTIF($E101:J101,"t")+COUNTIF($E101:J101,"¶")+COUNTIF($E101:J101,"²")+COUNTIF($E101:J101,"µ")+COUNTIF($E101:J101,1)-1,INDEX(Roadmap!$D:$K,MATCH($E101,Roadmap!$D:$D,0)-1+COUNTIF($E101:J101,"u")+COUNTIF($E101:J101,"t")+COUNTIF($E101:J101,"¶")+COUNTIF($E101:J101,"²")+COUNTIF($E101:J101,"µ")+COUNTIF($E101:J101,1),ColDescriptionCourte)),""),
  "")),"")</f>
        <v/>
      </c>
      <c r="L101" s="39" t="str">
        <f ca="1">IFERROR(IF(AND(
  INDEX(Roadmap!$D:$K,MATCH($E101,Roadmap!$D:$D,0)+COUNTIF($E101:K101,"u")+COUNTIF($E101:K101,"t")+COUNTIF($E101:K101,"¶")+COUNTIF($E101:K101,"²")+COUNTIF($E101:K101,"µ")+COUNTIF($E101:K101,1),ColLivraison)=L$6,
  VLOOKUP($E101,INDIRECT("tri!"&amp; CHAR(64+ C0Col) &amp;":"&amp; CHAR(65+C0Col)),2,FALSE)&gt;COUNTIF($E101:K101,"u")+COUNTIF($E101:K101,"t")+COUNTIF($E101:K101,"¶")+COUNTIF($E101:K101,"²")+COUNTIF($E101:K101,"µ")+COUNTIF($E101:K101,1)),
HYPERLINK("#Roadmap!C"&amp; MATCH($E101,Roadmap!$D:$D,0)+COUNTIF($E101:K101,"u")+COUNTIF($E101:K101,"t"),
     INDEX(Roadmap!$D:$K,MATCH($E101,Roadmap!$D:$D,0)+COUNTIF($E101:K101,"u")+COUNTIF($E101:K101,"t")+COUNTIF($E101:K101,"¶")+COUNTIF($E101:K101,"²")+COUNTIF($E101:K101,"µ")+COUNTIF($E101:K101,1),ColTypeEcheance)),
  IF(LEN(K101)=1,
  IF(LEN(INDEX(Roadmap!$D:$K,MATCH($E101,Roadmap!$D:$D,0)-1+COUNTIF($E101:K101,"u")+COUNTIF($E101:K101,"t")+COUNTIF($E101:K101,"¶")+COUNTIF($E101:K101,"²")+COUNTIF($E101:K101,"µ")+COUNTIF($E101:K101,1),ColDescriptionCourte))&gt;1,
HYPERLINK("#Roadmap!C"&amp; MATCH($E101,Roadmap!$D:$D,0)+COUNTIF($E101:K101,"u")+COUNTIF($E101:K101,"t")+COUNTIF($E101:K101,"¶")+COUNTIF($E101:K101,"²")+COUNTIF($E101:K101,"µ")+COUNTIF($E101:K101,1)-1,INDEX(Roadmap!$D:$K,MATCH($E101,Roadmap!$D:$D,0)-1+COUNTIF($E101:K101,"u")+COUNTIF($E101:K101,"t")+COUNTIF($E101:K101,"¶")+COUNTIF($E101:K101,"²")+COUNTIF($E101:K101,"µ")+COUNTIF($E101:K101,1),ColDescriptionCourte)),""),
  "")),"")</f>
        <v/>
      </c>
      <c r="M101" s="40" t="str">
        <f ca="1">IFERROR(IF(AND(
  INDEX(Roadmap!$D:$K,MATCH($E101,Roadmap!$D:$D,0)+COUNTIF($E101:L101,"u")+COUNTIF($E101:L101,"t")+COUNTIF($E101:L101,"¶")+COUNTIF($E101:L101,"²")+COUNTIF($E101:L101,"µ")+COUNTIF($E101:L101,1),ColLivraison)=M$6,
  VLOOKUP($E101,INDIRECT("tri!"&amp; CHAR(64+ C0Col) &amp;":"&amp; CHAR(65+C0Col)),2,FALSE)&gt;COUNTIF($E101:L101,"u")+COUNTIF($E101:L101,"t")+COUNTIF($E101:L101,"¶")+COUNTIF($E101:L101,"²")+COUNTIF($E101:L101,"µ")+COUNTIF($E101:L101,1)),
HYPERLINK("#Roadmap!C"&amp; MATCH($E101,Roadmap!$D:$D,0)+COUNTIF($E101:L101,"u")+COUNTIF($E101:L101,"t"),
     INDEX(Roadmap!$D:$K,MATCH($E101,Roadmap!$D:$D,0)+COUNTIF($E101:L101,"u")+COUNTIF($E101:L101,"t")+COUNTIF($E101:L101,"¶")+COUNTIF($E101:L101,"²")+COUNTIF($E101:L101,"µ")+COUNTIF($E101:L101,1),ColTypeEcheance)),
  IF(LEN(L101)=1,
  IF(LEN(INDEX(Roadmap!$D:$K,MATCH($E101,Roadmap!$D:$D,0)-1+COUNTIF($E101:L101,"u")+COUNTIF($E101:L101,"t")+COUNTIF($E101:L101,"¶")+COUNTIF($E101:L101,"²")+COUNTIF($E101:L101,"µ")+COUNTIF($E101:L101,1),ColDescriptionCourte))&gt;1,
HYPERLINK("#Roadmap!C"&amp; MATCH($E101,Roadmap!$D:$D,0)+COUNTIF($E101:L101,"u")+COUNTIF($E101:L101,"t")+COUNTIF($E101:L101,"¶")+COUNTIF($E101:L101,"²")+COUNTIF($E101:L101,"µ")+COUNTIF($E101:L101,1)-1,INDEX(Roadmap!$D:$K,MATCH($E101,Roadmap!$D:$D,0)-1+COUNTIF($E101:L101,"u")+COUNTIF($E101:L101,"t")+COUNTIF($E101:L101,"¶")+COUNTIF($E101:L101,"²")+COUNTIF($E101:L101,"µ")+COUNTIF($E101:L101,1),ColDescriptionCourte)),""),
  "")),"")</f>
        <v/>
      </c>
      <c r="N101" s="40" t="str">
        <f ca="1">IFERROR(IF(AND(
  INDEX(Roadmap!$D:$K,MATCH($E101,Roadmap!$D:$D,0)+COUNTIF($E101:M101,"u")+COUNTIF($E101:M101,"t")+COUNTIF($E101:M101,"¶")+COUNTIF($E101:M101,"²")+COUNTIF($E101:M101,"µ")+COUNTIF($E101:M101,1),ColLivraison)=N$6,
  VLOOKUP($E101,INDIRECT("tri!"&amp; CHAR(64+ C0Col) &amp;":"&amp; CHAR(65+C0Col)),2,FALSE)&gt;COUNTIF($E101:M101,"u")+COUNTIF($E101:M101,"t")+COUNTIF($E101:M101,"¶")+COUNTIF($E101:M101,"²")+COUNTIF($E101:M101,"µ")+COUNTIF($E101:M101,1)),
HYPERLINK("#Roadmap!C"&amp; MATCH($E101,Roadmap!$D:$D,0)+COUNTIF($E101:M101,"u")+COUNTIF($E101:M101,"t"),
     INDEX(Roadmap!$D:$K,MATCH($E101,Roadmap!$D:$D,0)+COUNTIF($E101:M101,"u")+COUNTIF($E101:M101,"t")+COUNTIF($E101:M101,"¶")+COUNTIF($E101:M101,"²")+COUNTIF($E101:M101,"µ")+COUNTIF($E101:M101,1),ColTypeEcheance)),
  IF(LEN(M101)=1,
  IF(LEN(INDEX(Roadmap!$D:$K,MATCH($E101,Roadmap!$D:$D,0)-1+COUNTIF($E101:M101,"u")+COUNTIF($E101:M101,"t")+COUNTIF($E101:M101,"¶")+COUNTIF($E101:M101,"²")+COUNTIF($E101:M101,"µ")+COUNTIF($E101:M101,1),ColDescriptionCourte))&gt;1,
HYPERLINK("#Roadmap!C"&amp; MATCH($E101,Roadmap!$D:$D,0)+COUNTIF($E101:M101,"u")+COUNTIF($E101:M101,"t")+COUNTIF($E101:M101,"¶")+COUNTIF($E101:M101,"²")+COUNTIF($E101:M101,"µ")+COUNTIF($E101:M101,1)-1,INDEX(Roadmap!$D:$K,MATCH($E101,Roadmap!$D:$D,0)-1+COUNTIF($E101:M101,"u")+COUNTIF($E101:M101,"t")+COUNTIF($E101:M101,"¶")+COUNTIF($E101:M101,"²")+COUNTIF($E101:M101,"µ")+COUNTIF($E101:M101,1),ColDescriptionCourte)),""),
  "")),"")</f>
        <v/>
      </c>
      <c r="O101" s="40" t="str">
        <f ca="1">IFERROR(IF(AND(
  INDEX(Roadmap!$D:$K,MATCH($E101,Roadmap!$D:$D,0)+COUNTIF($E101:N101,"u")+COUNTIF($E101:N101,"t")+COUNTIF($E101:N101,"¶")+COUNTIF($E101:N101,"²")+COUNTIF($E101:N101,"µ")+COUNTIF($E101:N101,1),ColLivraison)=O$6,
  VLOOKUP($E101,INDIRECT("tri!"&amp; CHAR(64+ C0Col) &amp;":"&amp; CHAR(65+C0Col)),2,FALSE)&gt;COUNTIF($E101:N101,"u")+COUNTIF($E101:N101,"t")+COUNTIF($E101:N101,"¶")+COUNTIF($E101:N101,"²")+COUNTIF($E101:N101,"µ")+COUNTIF($E101:N101,1)),
HYPERLINK("#Roadmap!C"&amp; MATCH($E101,Roadmap!$D:$D,0)+COUNTIF($E101:N101,"u")+COUNTIF($E101:N101,"t"),
     INDEX(Roadmap!$D:$K,MATCH($E101,Roadmap!$D:$D,0)+COUNTIF($E101:N101,"u")+COUNTIF($E101:N101,"t")+COUNTIF($E101:N101,"¶")+COUNTIF($E101:N101,"²")+COUNTIF($E101:N101,"µ")+COUNTIF($E101:N101,1),ColTypeEcheance)),
  IF(LEN(N101)=1,
  IF(LEN(INDEX(Roadmap!$D:$K,MATCH($E101,Roadmap!$D:$D,0)-1+COUNTIF($E101:N101,"u")+COUNTIF($E101:N101,"t")+COUNTIF($E101:N101,"¶")+COUNTIF($E101:N101,"²")+COUNTIF($E101:N101,"µ")+COUNTIF($E101:N101,1),ColDescriptionCourte))&gt;1,
HYPERLINK("#Roadmap!C"&amp; MATCH($E101,Roadmap!$D:$D,0)+COUNTIF($E101:N101,"u")+COUNTIF($E101:N101,"t")+COUNTIF($E101:N101,"¶")+COUNTIF($E101:N101,"²")+COUNTIF($E101:N101,"µ")+COUNTIF($E101:N101,1)-1,INDEX(Roadmap!$D:$K,MATCH($E101,Roadmap!$D:$D,0)-1+COUNTIF($E101:N101,"u")+COUNTIF($E101:N101,"t")+COUNTIF($E101:N101,"¶")+COUNTIF($E101:N101,"²")+COUNTIF($E101:N101,"µ")+COUNTIF($E101:N101,1),ColDescriptionCourte)),""),
  "")),"")</f>
        <v/>
      </c>
      <c r="P101" s="40" t="str">
        <f ca="1">IFERROR(IF(AND(
  INDEX(Roadmap!$D:$K,MATCH($E101,Roadmap!$D:$D,0)+COUNTIF($E101:O101,"u")+COUNTIF($E101:O101,"t")+COUNTIF($E101:O101,"¶")+COUNTIF($E101:O101,"²")+COUNTIF($E101:O101,"µ")+COUNTIF($E101:O101,1),ColLivraison)=P$6,
  VLOOKUP($E101,INDIRECT("tri!"&amp; CHAR(64+ C0Col) &amp;":"&amp; CHAR(65+C0Col)),2,FALSE)&gt;COUNTIF($E101:O101,"u")+COUNTIF($E101:O101,"t")+COUNTIF($E101:O101,"¶")+COUNTIF($E101:O101,"²")+COUNTIF($E101:O101,"µ")+COUNTIF($E101:O101,1)),
HYPERLINK("#Roadmap!C"&amp; MATCH($E101,Roadmap!$D:$D,0)+COUNTIF($E101:O101,"u")+COUNTIF($E101:O101,"t"),
     INDEX(Roadmap!$D:$K,MATCH($E101,Roadmap!$D:$D,0)+COUNTIF($E101:O101,"u")+COUNTIF($E101:O101,"t")+COUNTIF($E101:O101,"¶")+COUNTIF($E101:O101,"²")+COUNTIF($E101:O101,"µ")+COUNTIF($E101:O101,1),ColTypeEcheance)),
  IF(LEN(O101)=1,
  IF(LEN(INDEX(Roadmap!$D:$K,MATCH($E101,Roadmap!$D:$D,0)-1+COUNTIF($E101:O101,"u")+COUNTIF($E101:O101,"t")+COUNTIF($E101:O101,"¶")+COUNTIF($E101:O101,"²")+COUNTIF($E101:O101,"µ")+COUNTIF($E101:O101,1),ColDescriptionCourte))&gt;1,
HYPERLINK("#Roadmap!C"&amp; MATCH($E101,Roadmap!$D:$D,0)+COUNTIF($E101:O101,"u")+COUNTIF($E101:O101,"t")+COUNTIF($E101:O101,"¶")+COUNTIF($E101:O101,"²")+COUNTIF($E101:O101,"µ")+COUNTIF($E101:O101,1)-1,INDEX(Roadmap!$D:$K,MATCH($E101,Roadmap!$D:$D,0)-1+COUNTIF($E101:O101,"u")+COUNTIF($E101:O101,"t")+COUNTIF($E101:O101,"¶")+COUNTIF($E101:O101,"²")+COUNTIF($E101:O101,"µ")+COUNTIF($E101:O101,1),ColDescriptionCourte)),""),
  "")),"")</f>
        <v/>
      </c>
      <c r="Q101" s="40" t="str">
        <f ca="1">IFERROR(IF(AND(
  INDEX(Roadmap!$D:$K,MATCH($E101,Roadmap!$D:$D,0)+COUNTIF($E101:P101,"u")+COUNTIF($E101:P101,"t")+COUNTIF($E101:P101,"¶")+COUNTIF($E101:P101,"²")+COUNTIF($E101:P101,"µ")+COUNTIF($E101:P101,1),ColLivraison)=Q$6,
  VLOOKUP($E101,INDIRECT("tri!"&amp; CHAR(64+ C0Col) &amp;":"&amp; CHAR(65+C0Col)),2,FALSE)&gt;COUNTIF($E101:P101,"u")+COUNTIF($E101:P101,"t")+COUNTIF($E101:P101,"¶")+COUNTIF($E101:P101,"²")+COUNTIF($E101:P101,"µ")+COUNTIF($E101:P101,1)),
HYPERLINK("#Roadmap!C"&amp; MATCH($E101,Roadmap!$D:$D,0)+COUNTIF($E101:P101,"u")+COUNTIF($E101:P101,"t"),
     INDEX(Roadmap!$D:$K,MATCH($E101,Roadmap!$D:$D,0)+COUNTIF($E101:P101,"u")+COUNTIF($E101:P101,"t")+COUNTIF($E101:P101,"¶")+COUNTIF($E101:P101,"²")+COUNTIF($E101:P101,"µ")+COUNTIF($E101:P101,1),ColTypeEcheance)),
  IF(LEN(P101)=1,
  IF(LEN(INDEX(Roadmap!$D:$K,MATCH($E101,Roadmap!$D:$D,0)-1+COUNTIF($E101:P101,"u")+COUNTIF($E101:P101,"t")+COUNTIF($E101:P101,"¶")+COUNTIF($E101:P101,"²")+COUNTIF($E101:P101,"µ")+COUNTIF($E101:P101,1),ColDescriptionCourte))&gt;1,
HYPERLINK("#Roadmap!C"&amp; MATCH($E101,Roadmap!$D:$D,0)+COUNTIF($E101:P101,"u")+COUNTIF($E101:P101,"t")+COUNTIF($E101:P101,"¶")+COUNTIF($E101:P101,"²")+COUNTIF($E101:P101,"µ")+COUNTIF($E101:P101,1)-1,INDEX(Roadmap!$D:$K,MATCH($E101,Roadmap!$D:$D,0)-1+COUNTIF($E101:P101,"u")+COUNTIF($E101:P101,"t")+COUNTIF($E101:P101,"¶")+COUNTIF($E101:P101,"²")+COUNTIF($E101:P101,"µ")+COUNTIF($E101:P101,1),ColDescriptionCourte)),""),
  "")),"")</f>
        <v/>
      </c>
      <c r="R101" s="40" t="str">
        <f ca="1">IFERROR(IF(AND(
  INDEX(Roadmap!$D:$K,MATCH($E101,Roadmap!$D:$D,0)+COUNTIF($E101:Q101,"u")+COUNTIF($E101:Q101,"t")+COUNTIF($E101:Q101,"¶")+COUNTIF($E101:Q101,"²")+COUNTIF($E101:Q101,"µ")+COUNTIF($E101:Q101,1),ColLivraison)=R$6,
  VLOOKUP($E101,INDIRECT("tri!"&amp; CHAR(64+ C0Col) &amp;":"&amp; CHAR(65+C0Col)),2,FALSE)&gt;COUNTIF($E101:Q101,"u")+COUNTIF($E101:Q101,"t")+COUNTIF($E101:Q101,"¶")+COUNTIF($E101:Q101,"²")+COUNTIF($E101:Q101,"µ")+COUNTIF($E101:Q101,1)),
HYPERLINK("#Roadmap!C"&amp; MATCH($E101,Roadmap!$D:$D,0)+COUNTIF($E101:Q101,"u")+COUNTIF($E101:Q101,"t"),
     INDEX(Roadmap!$D:$K,MATCH($E101,Roadmap!$D:$D,0)+COUNTIF($E101:Q101,"u")+COUNTIF($E101:Q101,"t")+COUNTIF($E101:Q101,"¶")+COUNTIF($E101:Q101,"²")+COUNTIF($E101:Q101,"µ")+COUNTIF($E101:Q101,1),ColTypeEcheance)),
  IF(LEN(Q101)=1,
  IF(LEN(INDEX(Roadmap!$D:$K,MATCH($E101,Roadmap!$D:$D,0)-1+COUNTIF($E101:Q101,"u")+COUNTIF($E101:Q101,"t")+COUNTIF($E101:Q101,"¶")+COUNTIF($E101:Q101,"²")+COUNTIF($E101:Q101,"µ")+COUNTIF($E101:Q101,1),ColDescriptionCourte))&gt;1,
HYPERLINK("#Roadmap!C"&amp; MATCH($E101,Roadmap!$D:$D,0)+COUNTIF($E101:Q101,"u")+COUNTIF($E101:Q101,"t")+COUNTIF($E101:Q101,"¶")+COUNTIF($E101:Q101,"²")+COUNTIF($E101:Q101,"µ")+COUNTIF($E101:Q101,1)-1,INDEX(Roadmap!$D:$K,MATCH($E101,Roadmap!$D:$D,0)-1+COUNTIF($E101:Q101,"u")+COUNTIF($E101:Q101,"t")+COUNTIF($E101:Q101,"¶")+COUNTIF($E101:Q101,"²")+COUNTIF($E101:Q101,"µ")+COUNTIF($E101:Q101,1),ColDescriptionCourte)),""),
  "")),"")</f>
        <v/>
      </c>
      <c r="S101" s="40" t="str">
        <f ca="1">IFERROR(IF(AND(
  INDEX(Roadmap!$D:$K,MATCH($E101,Roadmap!$D:$D,0)+COUNTIF($E101:R101,"u")+COUNTIF($E101:R101,"t")+COUNTIF($E101:R101,"¶")+COUNTIF($E101:R101,"²")+COUNTIF($E101:R101,"µ")+COUNTIF($E101:R101,1),ColLivraison)=S$6,
  VLOOKUP($E101,INDIRECT("tri!"&amp; CHAR(64+ C0Col) &amp;":"&amp; CHAR(65+C0Col)),2,FALSE)&gt;COUNTIF($E101:R101,"u")+COUNTIF($E101:R101,"t")+COUNTIF($E101:R101,"¶")+COUNTIF($E101:R101,"²")+COUNTIF($E101:R101,"µ")+COUNTIF($E101:R101,1)),
HYPERLINK("#Roadmap!C"&amp; MATCH($E101,Roadmap!$D:$D,0)+COUNTIF($E101:R101,"u")+COUNTIF($E101:R101,"t"),
     INDEX(Roadmap!$D:$K,MATCH($E101,Roadmap!$D:$D,0)+COUNTIF($E101:R101,"u")+COUNTIF($E101:R101,"t")+COUNTIF($E101:R101,"¶")+COUNTIF($E101:R101,"²")+COUNTIF($E101:R101,"µ")+COUNTIF($E101:R101,1),ColTypeEcheance)),
  IF(LEN(R101)=1,
  IF(LEN(INDEX(Roadmap!$D:$K,MATCH($E101,Roadmap!$D:$D,0)-1+COUNTIF($E101:R101,"u")+COUNTIF($E101:R101,"t")+COUNTIF($E101:R101,"¶")+COUNTIF($E101:R101,"²")+COUNTIF($E101:R101,"µ")+COUNTIF($E101:R101,1),ColDescriptionCourte))&gt;1,
HYPERLINK("#Roadmap!C"&amp; MATCH($E101,Roadmap!$D:$D,0)+COUNTIF($E101:R101,"u")+COUNTIF($E101:R101,"t")+COUNTIF($E101:R101,"¶")+COUNTIF($E101:R101,"²")+COUNTIF($E101:R101,"µ")+COUNTIF($E101:R101,1)-1,INDEX(Roadmap!$D:$K,MATCH($E101,Roadmap!$D:$D,0)-1+COUNTIF($E101:R101,"u")+COUNTIF($E101:R101,"t")+COUNTIF($E101:R101,"¶")+COUNTIF($E101:R101,"²")+COUNTIF($E101:R101,"µ")+COUNTIF($E101:R101,1),ColDescriptionCourte)),""),
  "")),"")</f>
        <v/>
      </c>
      <c r="T101" s="40" t="str">
        <f ca="1">IFERROR(IF(AND(
  INDEX(Roadmap!$D:$K,MATCH($E101,Roadmap!$D:$D,0)+COUNTIF($E101:S101,"u")+COUNTIF($E101:S101,"t")+COUNTIF($E101:S101,"¶")+COUNTIF($E101:S101,"²")+COUNTIF($E101:S101,"µ")+COUNTIF($E101:S101,1),ColLivraison)=T$6,
  VLOOKUP($E101,INDIRECT("tri!"&amp; CHAR(64+ C0Col) &amp;":"&amp; CHAR(65+C0Col)),2,FALSE)&gt;COUNTIF($E101:S101,"u")+COUNTIF($E101:S101,"t")+COUNTIF($E101:S101,"¶")+COUNTIF($E101:S101,"²")+COUNTIF($E101:S101,"µ")+COUNTIF($E101:S101,1)),
HYPERLINK("#Roadmap!C"&amp; MATCH($E101,Roadmap!$D:$D,0)+COUNTIF($E101:S101,"u")+COUNTIF($E101:S101,"t"),
     INDEX(Roadmap!$D:$K,MATCH($E101,Roadmap!$D:$D,0)+COUNTIF($E101:S101,"u")+COUNTIF($E101:S101,"t")+COUNTIF($E101:S101,"¶")+COUNTIF($E101:S101,"²")+COUNTIF($E101:S101,"µ")+COUNTIF($E101:S101,1),ColTypeEcheance)),
  IF(LEN(S101)=1,
  IF(LEN(INDEX(Roadmap!$D:$K,MATCH($E101,Roadmap!$D:$D,0)-1+COUNTIF($E101:S101,"u")+COUNTIF($E101:S101,"t")+COUNTIF($E101:S101,"¶")+COUNTIF($E101:S101,"²")+COUNTIF($E101:S101,"µ")+COUNTIF($E101:S101,1),ColDescriptionCourte))&gt;1,
HYPERLINK("#Roadmap!C"&amp; MATCH($E101,Roadmap!$D:$D,0)+COUNTIF($E101:S101,"u")+COUNTIF($E101:S101,"t")+COUNTIF($E101:S101,"¶")+COUNTIF($E101:S101,"²")+COUNTIF($E101:S101,"µ")+COUNTIF($E101:S101,1)-1,INDEX(Roadmap!$D:$K,MATCH($E101,Roadmap!$D:$D,0)-1+COUNTIF($E101:S101,"u")+COUNTIF($E101:S101,"t")+COUNTIF($E101:S101,"¶")+COUNTIF($E101:S101,"²")+COUNTIF($E101:S101,"µ")+COUNTIF($E101:S101,1),ColDescriptionCourte)),""),
  "")),"")</f>
        <v/>
      </c>
      <c r="U101" s="40" t="str">
        <f ca="1">IFERROR(IF(AND(
  INDEX(Roadmap!$D:$K,MATCH($E101,Roadmap!$D:$D,0)+COUNTIF($E101:T101,"u")+COUNTIF($E101:T101,"t")+COUNTIF($E101:T101,"¶")+COUNTIF($E101:T101,"²")+COUNTIF($E101:T101,"µ")+COUNTIF($E101:T101,1),ColLivraison)=U$6,
  VLOOKUP($E101,INDIRECT("tri!"&amp; CHAR(64+ C0Col) &amp;":"&amp; CHAR(65+C0Col)),2,FALSE)&gt;COUNTIF($E101:T101,"u")+COUNTIF($E101:T101,"t")+COUNTIF($E101:T101,"¶")+COUNTIF($E101:T101,"²")+COUNTIF($E101:T101,"µ")+COUNTIF($E101:T101,1)),
HYPERLINK("#Roadmap!C"&amp; MATCH($E101,Roadmap!$D:$D,0)+COUNTIF($E101:T101,"u")+COUNTIF($E101:T101,"t"),
     INDEX(Roadmap!$D:$K,MATCH($E101,Roadmap!$D:$D,0)+COUNTIF($E101:T101,"u")+COUNTIF($E101:T101,"t")+COUNTIF($E101:T101,"¶")+COUNTIF($E101:T101,"²")+COUNTIF($E101:T101,"µ")+COUNTIF($E101:T101,1),ColTypeEcheance)),
  IF(LEN(T101)=1,
  IF(LEN(INDEX(Roadmap!$D:$K,MATCH($E101,Roadmap!$D:$D,0)-1+COUNTIF($E101:T101,"u")+COUNTIF($E101:T101,"t")+COUNTIF($E101:T101,"¶")+COUNTIF($E101:T101,"²")+COUNTIF($E101:T101,"µ")+COUNTIF($E101:T101,1),ColDescriptionCourte))&gt;1,
HYPERLINK("#Roadmap!C"&amp; MATCH($E101,Roadmap!$D:$D,0)+COUNTIF($E101:T101,"u")+COUNTIF($E101:T101,"t")+COUNTIF($E101:T101,"¶")+COUNTIF($E101:T101,"²")+COUNTIF($E101:T101,"µ")+COUNTIF($E101:T101,1)-1,INDEX(Roadmap!$D:$K,MATCH($E101,Roadmap!$D:$D,0)-1+COUNTIF($E101:T101,"u")+COUNTIF($E101:T101,"t")+COUNTIF($E101:T101,"¶")+COUNTIF($E101:T101,"²")+COUNTIF($E101:T101,"µ")+COUNTIF($E101:T101,1),ColDescriptionCourte)),""),
  "")),"")</f>
        <v/>
      </c>
      <c r="V101" s="40" t="str">
        <f ca="1">IFERROR(IF(AND(
  INDEX(Roadmap!$D:$K,MATCH($E101,Roadmap!$D:$D,0)+COUNTIF($E101:U101,"u")+COUNTIF($E101:U101,"t")+COUNTIF($E101:U101,"¶")+COUNTIF($E101:U101,"²")+COUNTIF($E101:U101,"µ")+COUNTIF($E101:U101,1),ColLivraison)=V$6,
  VLOOKUP($E101,INDIRECT("tri!"&amp; CHAR(64+ C0Col) &amp;":"&amp; CHAR(65+C0Col)),2,FALSE)&gt;COUNTIF($E101:U101,"u")+COUNTIF($E101:U101,"t")+COUNTIF($E101:U101,"¶")+COUNTIF($E101:U101,"²")+COUNTIF($E101:U101,"µ")+COUNTIF($E101:U101,1)),
HYPERLINK("#Roadmap!C"&amp; MATCH($E101,Roadmap!$D:$D,0)+COUNTIF($E101:U101,"u")+COUNTIF($E101:U101,"t"),
     INDEX(Roadmap!$D:$K,MATCH($E101,Roadmap!$D:$D,0)+COUNTIF($E101:U101,"u")+COUNTIF($E101:U101,"t")+COUNTIF($E101:U101,"¶")+COUNTIF($E101:U101,"²")+COUNTIF($E101:U101,"µ")+COUNTIF($E101:U101,1),ColTypeEcheance)),
  IF(LEN(U101)=1,
  IF(LEN(INDEX(Roadmap!$D:$K,MATCH($E101,Roadmap!$D:$D,0)-1+COUNTIF($E101:U101,"u")+COUNTIF($E101:U101,"t")+COUNTIF($E101:U101,"¶")+COUNTIF($E101:U101,"²")+COUNTIF($E101:U101,"µ")+COUNTIF($E101:U101,1),ColDescriptionCourte))&gt;1,
HYPERLINK("#Roadmap!C"&amp; MATCH($E101,Roadmap!$D:$D,0)+COUNTIF($E101:U101,"u")+COUNTIF($E101:U101,"t")+COUNTIF($E101:U101,"¶")+COUNTIF($E101:U101,"²")+COUNTIF($E101:U101,"µ")+COUNTIF($E101:U101,1)-1,INDEX(Roadmap!$D:$K,MATCH($E101,Roadmap!$D:$D,0)-1+COUNTIF($E101:U101,"u")+COUNTIF($E101:U101,"t")+COUNTIF($E101:U101,"¶")+COUNTIF($E101:U101,"²")+COUNTIF($E101:U101,"µ")+COUNTIF($E101:U101,1),ColDescriptionCourte)),""),
  "")),"")</f>
        <v/>
      </c>
      <c r="W101" s="40" t="str">
        <f ca="1">IFERROR(IF(AND(
  INDEX(Roadmap!$D:$K,MATCH($E101,Roadmap!$D:$D,0)+COUNTIF($E101:V101,"u")+COUNTIF($E101:V101,"t")+COUNTIF($E101:V101,"¶")+COUNTIF($E101:V101,"²")+COUNTIF($E101:V101,"µ")+COUNTIF($E101:V101,1),ColLivraison)=W$6,
  VLOOKUP($E101,INDIRECT("tri!"&amp; CHAR(64+ C0Col) &amp;":"&amp; CHAR(65+C0Col)),2,FALSE)&gt;COUNTIF($E101:V101,"u")+COUNTIF($E101:V101,"t")+COUNTIF($E101:V101,"¶")+COUNTIF($E101:V101,"²")+COUNTIF($E101:V101,"µ")+COUNTIF($E101:V101,1)),
HYPERLINK("#Roadmap!C"&amp; MATCH($E101,Roadmap!$D:$D,0)+COUNTIF($E101:V101,"u")+COUNTIF($E101:V101,"t"),
     INDEX(Roadmap!$D:$K,MATCH($E101,Roadmap!$D:$D,0)+COUNTIF($E101:V101,"u")+COUNTIF($E101:V101,"t")+COUNTIF($E101:V101,"¶")+COUNTIF($E101:V101,"²")+COUNTIF($E101:V101,"µ")+COUNTIF($E101:V101,1),ColTypeEcheance)),
  IF(LEN(V101)=1,
  IF(LEN(INDEX(Roadmap!$D:$K,MATCH($E101,Roadmap!$D:$D,0)-1+COUNTIF($E101:V101,"u")+COUNTIF($E101:V101,"t")+COUNTIF($E101:V101,"¶")+COUNTIF($E101:V101,"²")+COUNTIF($E101:V101,"µ")+COUNTIF($E101:V101,1),ColDescriptionCourte))&gt;1,
HYPERLINK("#Roadmap!C"&amp; MATCH($E101,Roadmap!$D:$D,0)+COUNTIF($E101:V101,"u")+COUNTIF($E101:V101,"t")+COUNTIF($E101:V101,"¶")+COUNTIF($E101:V101,"²")+COUNTIF($E101:V101,"µ")+COUNTIF($E101:V101,1)-1,INDEX(Roadmap!$D:$K,MATCH($E101,Roadmap!$D:$D,0)-1+COUNTIF($E101:V101,"u")+COUNTIF($E101:V101,"t")+COUNTIF($E101:V101,"¶")+COUNTIF($E101:V101,"²")+COUNTIF($E101:V101,"µ")+COUNTIF($E101:V101,1),ColDescriptionCourte)),""),
  "")),"")</f>
        <v/>
      </c>
      <c r="X101" s="40" t="str">
        <f ca="1">IFERROR(IF(AND(
  INDEX(Roadmap!$D:$K,MATCH($E101,Roadmap!$D:$D,0)+COUNTIF($E101:W101,"u")+COUNTIF($E101:W101,"t")+COUNTIF($E101:W101,"¶")+COUNTIF($E101:W101,"²")+COUNTIF($E101:W101,"µ")+COUNTIF($E101:W101,1),ColLivraison)=X$6,
  VLOOKUP($E101,INDIRECT("tri!"&amp; CHAR(64+ C0Col) &amp;":"&amp; CHAR(65+C0Col)),2,FALSE)&gt;COUNTIF($E101:W101,"u")+COUNTIF($E101:W101,"t")+COUNTIF($E101:W101,"¶")+COUNTIF($E101:W101,"²")+COUNTIF($E101:W101,"µ")+COUNTIF($E101:W101,1)),
HYPERLINK("#Roadmap!C"&amp; MATCH($E101,Roadmap!$D:$D,0)+COUNTIF($E101:W101,"u")+COUNTIF($E101:W101,"t"),
     INDEX(Roadmap!$D:$K,MATCH($E101,Roadmap!$D:$D,0)+COUNTIF($E101:W101,"u")+COUNTIF($E101:W101,"t")+COUNTIF($E101:W101,"¶")+COUNTIF($E101:W101,"²")+COUNTIF($E101:W101,"µ")+COUNTIF($E101:W101,1),ColTypeEcheance)),
  IF(LEN(W101)=1,
  IF(LEN(INDEX(Roadmap!$D:$K,MATCH($E101,Roadmap!$D:$D,0)-1+COUNTIF($E101:W101,"u")+COUNTIF($E101:W101,"t")+COUNTIF($E101:W101,"¶")+COUNTIF($E101:W101,"²")+COUNTIF($E101:W101,"µ")+COUNTIF($E101:W101,1),ColDescriptionCourte))&gt;1,
HYPERLINK("#Roadmap!C"&amp; MATCH($E101,Roadmap!$D:$D,0)+COUNTIF($E101:W101,"u")+COUNTIF($E101:W101,"t")+COUNTIF($E101:W101,"¶")+COUNTIF($E101:W101,"²")+COUNTIF($E101:W101,"µ")+COUNTIF($E101:W101,1)-1,INDEX(Roadmap!$D:$K,MATCH($E101,Roadmap!$D:$D,0)-1+COUNTIF($E101:W101,"u")+COUNTIF($E101:W101,"t")+COUNTIF($E101:W101,"¶")+COUNTIF($E101:W101,"²")+COUNTIF($E101:W101,"µ")+COUNTIF($E101:W101,1),ColDescriptionCourte)),""),
  "")),"")</f>
        <v/>
      </c>
      <c r="Y101" s="40" t="str">
        <f ca="1">IFERROR(IF(AND(
  INDEX(Roadmap!$D:$K,MATCH($E101,Roadmap!$D:$D,0)+COUNTIF($E101:X101,"u")+COUNTIF($E101:X101,"t")+COUNTIF($E101:X101,"¶")+COUNTIF($E101:X101,"²")+COUNTIF($E101:X101,"µ")+COUNTIF($E101:X101,1),ColLivraison)=Y$6,
  VLOOKUP($E101,INDIRECT("tri!"&amp; CHAR(64+ C0Col) &amp;":"&amp; CHAR(65+C0Col)),2,FALSE)&gt;COUNTIF($E101:X101,"u")+COUNTIF($E101:X101,"t")+COUNTIF($E101:X101,"¶")+COUNTIF($E101:X101,"²")+COUNTIF($E101:X101,"µ")+COUNTIF($E101:X101,1)),
HYPERLINK("#Roadmap!C"&amp; MATCH($E101,Roadmap!$D:$D,0)+COUNTIF($E101:X101,"u")+COUNTIF($E101:X101,"t"),
     INDEX(Roadmap!$D:$K,MATCH($E101,Roadmap!$D:$D,0)+COUNTIF($E101:X101,"u")+COUNTIF($E101:X101,"t")+COUNTIF($E101:X101,"¶")+COUNTIF($E101:X101,"²")+COUNTIF($E101:X101,"µ")+COUNTIF($E101:X101,1),ColTypeEcheance)),
  IF(LEN(X101)=1,
  IF(LEN(INDEX(Roadmap!$D:$K,MATCH($E101,Roadmap!$D:$D,0)-1+COUNTIF($E101:X101,"u")+COUNTIF($E101:X101,"t")+COUNTIF($E101:X101,"¶")+COUNTIF($E101:X101,"²")+COUNTIF($E101:X101,"µ")+COUNTIF($E101:X101,1),ColDescriptionCourte))&gt;1,
HYPERLINK("#Roadmap!C"&amp; MATCH($E101,Roadmap!$D:$D,0)+COUNTIF($E101:X101,"u")+COUNTIF($E101:X101,"t")+COUNTIF($E101:X101,"¶")+COUNTIF($E101:X101,"²")+COUNTIF($E101:X101,"µ")+COUNTIF($E101:X101,1)-1,INDEX(Roadmap!$D:$K,MATCH($E101,Roadmap!$D:$D,0)-1+COUNTIF($E101:X101,"u")+COUNTIF($E101:X101,"t")+COUNTIF($E101:X101,"¶")+COUNTIF($E101:X101,"²")+COUNTIF($E101:X101,"µ")+COUNTIF($E101:X101,1),ColDescriptionCourte)),""),
  "")),"")</f>
        <v/>
      </c>
      <c r="Z101" s="40" t="str">
        <f ca="1">IFERROR(IF(AND(
  INDEX(Roadmap!$D:$K,MATCH($E101,Roadmap!$D:$D,0)+COUNTIF($E101:Y101,"u")+COUNTIF($E101:Y101,"t")+COUNTIF($E101:Y101,"¶")+COUNTIF($E101:Y101,"²")+COUNTIF($E101:Y101,"µ")+COUNTIF($E101:Y101,1),ColLivraison)=Z$6,
  VLOOKUP($E101,INDIRECT("tri!"&amp; CHAR(64+ C0Col) &amp;":"&amp; CHAR(65+C0Col)),2,FALSE)&gt;COUNTIF($E101:Y101,"u")+COUNTIF($E101:Y101,"t")+COUNTIF($E101:Y101,"¶")+COUNTIF($E101:Y101,"²")+COUNTIF($E101:Y101,"µ")+COUNTIF($E101:Y101,1)),
HYPERLINK("#Roadmap!C"&amp; MATCH($E101,Roadmap!$D:$D,0)+COUNTIF($E101:Y101,"u")+COUNTIF($E101:Y101,"t"),
     INDEX(Roadmap!$D:$K,MATCH($E101,Roadmap!$D:$D,0)+COUNTIF($E101:Y101,"u")+COUNTIF($E101:Y101,"t")+COUNTIF($E101:Y101,"¶")+COUNTIF($E101:Y101,"²")+COUNTIF($E101:Y101,"µ")+COUNTIF($E101:Y101,1),ColTypeEcheance)),
  IF(LEN(Y101)=1,
  IF(LEN(INDEX(Roadmap!$D:$K,MATCH($E101,Roadmap!$D:$D,0)-1+COUNTIF($E101:Y101,"u")+COUNTIF($E101:Y101,"t")+COUNTIF($E101:Y101,"¶")+COUNTIF($E101:Y101,"²")+COUNTIF($E101:Y101,"µ")+COUNTIF($E101:Y101,1),ColDescriptionCourte))&gt;1,
HYPERLINK("#Roadmap!C"&amp; MATCH($E101,Roadmap!$D:$D,0)+COUNTIF($E101:Y101,"u")+COUNTIF($E101:Y101,"t")+COUNTIF($E101:Y101,"¶")+COUNTIF($E101:Y101,"²")+COUNTIF($E101:Y101,"µ")+COUNTIF($E101:Y101,1)-1,INDEX(Roadmap!$D:$K,MATCH($E101,Roadmap!$D:$D,0)-1+COUNTIF($E101:Y101,"u")+COUNTIF($E101:Y101,"t")+COUNTIF($E101:Y101,"¶")+COUNTIF($E101:Y101,"²")+COUNTIF($E101:Y101,"µ")+COUNTIF($E101:Y101,1),ColDescriptionCourte)),""),
  "")),"")</f>
        <v/>
      </c>
      <c r="AA101" s="40" t="str">
        <f ca="1">IFERROR(IF(AND(
  INDEX(Roadmap!$D:$K,MATCH($E101,Roadmap!$D:$D,0)+COUNTIF($E101:Z101,"u")+COUNTIF($E101:Z101,"t")+COUNTIF($E101:Z101,"¶")+COUNTIF($E101:Z101,"²")+COUNTIF($E101:Z101,"µ")+COUNTIF($E101:Z101,1),ColLivraison)=AA$6,
  VLOOKUP($E101,INDIRECT("tri!"&amp; CHAR(64+ C0Col) &amp;":"&amp; CHAR(65+C0Col)),2,FALSE)&gt;COUNTIF($E101:Z101,"u")+COUNTIF($E101:Z101,"t")+COUNTIF($E101:Z101,"¶")+COUNTIF($E101:Z101,"²")+COUNTIF($E101:Z101,"µ")+COUNTIF($E101:Z101,1)),
HYPERLINK("#Roadmap!C"&amp; MATCH($E101,Roadmap!$D:$D,0)+COUNTIF($E101:Z101,"u")+COUNTIF($E101:Z101,"t"),
     INDEX(Roadmap!$D:$K,MATCH($E101,Roadmap!$D:$D,0)+COUNTIF($E101:Z101,"u")+COUNTIF($E101:Z101,"t")+COUNTIF($E101:Z101,"¶")+COUNTIF($E101:Z101,"²")+COUNTIF($E101:Z101,"µ")+COUNTIF($E101:Z101,1),ColTypeEcheance)),
  IF(LEN(Z101)=1,
  IF(LEN(INDEX(Roadmap!$D:$K,MATCH($E101,Roadmap!$D:$D,0)-1+COUNTIF($E101:Z101,"u")+COUNTIF($E101:Z101,"t")+COUNTIF($E101:Z101,"¶")+COUNTIF($E101:Z101,"²")+COUNTIF($E101:Z101,"µ")+COUNTIF($E101:Z101,1),ColDescriptionCourte))&gt;1,
HYPERLINK("#Roadmap!C"&amp; MATCH($E101,Roadmap!$D:$D,0)+COUNTIF($E101:Z101,"u")+COUNTIF($E101:Z101,"t")+COUNTIF($E101:Z101,"¶")+COUNTIF($E101:Z101,"²")+COUNTIF($E101:Z101,"µ")+COUNTIF($E101:Z101,1)-1,INDEX(Roadmap!$D:$K,MATCH($E101,Roadmap!$D:$D,0)-1+COUNTIF($E101:Z101,"u")+COUNTIF($E101:Z101,"t")+COUNTIF($E101:Z101,"¶")+COUNTIF($E101:Z101,"²")+COUNTIF($E101:Z101,"µ")+COUNTIF($E101:Z101,1),ColDescriptionCourte)),""),
  "")),"")</f>
        <v/>
      </c>
      <c r="AB101" s="40" t="str">
        <f ca="1">IFERROR(IF(AND(
  INDEX(Roadmap!$D:$K,MATCH($E101,Roadmap!$D:$D,0)+COUNTIF($E101:AA101,"u")+COUNTIF($E101:AA101,"t")+COUNTIF($E101:AA101,"¶")+COUNTIF($E101:AA101,"²")+COUNTIF($E101:AA101,"µ")+COUNTIF($E101:AA101,1),ColLivraison)=AB$6,
  VLOOKUP($E101,INDIRECT("tri!"&amp; CHAR(64+ C0Col) &amp;":"&amp; CHAR(65+C0Col)),2,FALSE)&gt;COUNTIF($E101:AA101,"u")+COUNTIF($E101:AA101,"t")+COUNTIF($E101:AA101,"¶")+COUNTIF($E101:AA101,"²")+COUNTIF($E101:AA101,"µ")+COUNTIF($E101:AA101,1)),
HYPERLINK("#Roadmap!C"&amp; MATCH($E101,Roadmap!$D:$D,0)+COUNTIF($E101:AA101,"u")+COUNTIF($E101:AA101,"t"),
     INDEX(Roadmap!$D:$K,MATCH($E101,Roadmap!$D:$D,0)+COUNTIF($E101:AA101,"u")+COUNTIF($E101:AA101,"t")+COUNTIF($E101:AA101,"¶")+COUNTIF($E101:AA101,"²")+COUNTIF($E101:AA101,"µ")+COUNTIF($E101:AA101,1),ColTypeEcheance)),
  IF(LEN(AA101)=1,
  IF(LEN(INDEX(Roadmap!$D:$K,MATCH($E101,Roadmap!$D:$D,0)-1+COUNTIF($E101:AA101,"u")+COUNTIF($E101:AA101,"t")+COUNTIF($E101:AA101,"¶")+COUNTIF($E101:AA101,"²")+COUNTIF($E101:AA101,"µ")+COUNTIF($E101:AA101,1),ColDescriptionCourte))&gt;1,
HYPERLINK("#Roadmap!C"&amp; MATCH($E101,Roadmap!$D:$D,0)+COUNTIF($E101:AA101,"u")+COUNTIF($E101:AA101,"t")+COUNTIF($E101:AA101,"¶")+COUNTIF($E101:AA101,"²")+COUNTIF($E101:AA101,"µ")+COUNTIF($E101:AA101,1)-1,INDEX(Roadmap!$D:$K,MATCH($E101,Roadmap!$D:$D,0)-1+COUNTIF($E101:AA101,"u")+COUNTIF($E101:AA101,"t")+COUNTIF($E101:AA101,"¶")+COUNTIF($E101:AA101,"²")+COUNTIF($E101:AA101,"µ")+COUNTIF($E101:AA101,1),ColDescriptionCourte)),""),
  "")),"")</f>
        <v/>
      </c>
      <c r="AC101" s="40" t="str">
        <f ca="1">IFERROR(IF(AND(
  INDEX(Roadmap!$D:$K,MATCH($E101,Roadmap!$D:$D,0)+COUNTIF($E101:AB101,"u")+COUNTIF($E101:AB101,"t")+COUNTIF($E101:AB101,"¶")+COUNTIF($E101:AB101,"²")+COUNTIF($E101:AB101,"µ")+COUNTIF($E101:AB101,1),ColLivraison)=AC$6,
  VLOOKUP($E101,INDIRECT("tri!"&amp; CHAR(64+ C0Col) &amp;":"&amp; CHAR(65+C0Col)),2,FALSE)&gt;COUNTIF($E101:AB101,"u")+COUNTIF($E101:AB101,"t")+COUNTIF($E101:AB101,"¶")+COUNTIF($E101:AB101,"²")+COUNTIF($E101:AB101,"µ")+COUNTIF($E101:AB101,1)),
HYPERLINK("#Roadmap!C"&amp; MATCH($E101,Roadmap!$D:$D,0)+COUNTIF($E101:AB101,"u")+COUNTIF($E101:AB101,"t"),
     INDEX(Roadmap!$D:$K,MATCH($E101,Roadmap!$D:$D,0)+COUNTIF($E101:AB101,"u")+COUNTIF($E101:AB101,"t")+COUNTIF($E101:AB101,"¶")+COUNTIF($E101:AB101,"²")+COUNTIF($E101:AB101,"µ")+COUNTIF($E101:AB101,1),ColTypeEcheance)),
  IF(LEN(AB101)=1,
  IF(LEN(INDEX(Roadmap!$D:$K,MATCH($E101,Roadmap!$D:$D,0)-1+COUNTIF($E101:AB101,"u")+COUNTIF($E101:AB101,"t")+COUNTIF($E101:AB101,"¶")+COUNTIF($E101:AB101,"²")+COUNTIF($E101:AB101,"µ")+COUNTIF($E101:AB101,1),ColDescriptionCourte))&gt;1,
HYPERLINK("#Roadmap!C"&amp; MATCH($E101,Roadmap!$D:$D,0)+COUNTIF($E101:AB101,"u")+COUNTIF($E101:AB101,"t")+COUNTIF($E101:AB101,"¶")+COUNTIF($E101:AB101,"²")+COUNTIF($E101:AB101,"µ")+COUNTIF($E101:AB101,1)-1,INDEX(Roadmap!$D:$K,MATCH($E101,Roadmap!$D:$D,0)-1+COUNTIF($E101:AB101,"u")+COUNTIF($E101:AB101,"t")+COUNTIF($E101:AB101,"¶")+COUNTIF($E101:AB101,"²")+COUNTIF($E101:AB101,"µ")+COUNTIF($E101:AB101,1),ColDescriptionCourte)),""),
  "")),"")</f>
        <v/>
      </c>
      <c r="AD101" s="40" t="str">
        <f ca="1">IFERROR(IF(AND(
  INDEX(Roadmap!$D:$K,MATCH($E101,Roadmap!$D:$D,0)+COUNTIF($E101:AC101,"u")+COUNTIF($E101:AC101,"t")+COUNTIF($E101:AC101,"¶")+COUNTIF($E101:AC101,"²")+COUNTIF($E101:AC101,"µ")+COUNTIF($E101:AC101,1),ColLivraison)=AD$6,
  VLOOKUP($E101,INDIRECT("tri!"&amp; CHAR(64+ C0Col) &amp;":"&amp; CHAR(65+C0Col)),2,FALSE)&gt;COUNTIF($E101:AC101,"u")+COUNTIF($E101:AC101,"t")+COUNTIF($E101:AC101,"¶")+COUNTIF($E101:AC101,"²")+COUNTIF($E101:AC101,"µ")+COUNTIF($E101:AC101,1)),
HYPERLINK("#Roadmap!C"&amp; MATCH($E101,Roadmap!$D:$D,0)+COUNTIF($E101:AC101,"u")+COUNTIF($E101:AC101,"t"),
     INDEX(Roadmap!$D:$K,MATCH($E101,Roadmap!$D:$D,0)+COUNTIF($E101:AC101,"u")+COUNTIF($E101:AC101,"t")+COUNTIF($E101:AC101,"¶")+COUNTIF($E101:AC101,"²")+COUNTIF($E101:AC101,"µ")+COUNTIF($E101:AC101,1),ColTypeEcheance)),
  IF(LEN(AC101)=1,
  IF(LEN(INDEX(Roadmap!$D:$K,MATCH($E101,Roadmap!$D:$D,0)-1+COUNTIF($E101:AC101,"u")+COUNTIF($E101:AC101,"t")+COUNTIF($E101:AC101,"¶")+COUNTIF($E101:AC101,"²")+COUNTIF($E101:AC101,"µ")+COUNTIF($E101:AC101,1),ColDescriptionCourte))&gt;1,
HYPERLINK("#Roadmap!C"&amp; MATCH($E101,Roadmap!$D:$D,0)+COUNTIF($E101:AC101,"u")+COUNTIF($E101:AC101,"t")+COUNTIF($E101:AC101,"¶")+COUNTIF($E101:AC101,"²")+COUNTIF($E101:AC101,"µ")+COUNTIF($E101:AC101,1)-1,INDEX(Roadmap!$D:$K,MATCH($E101,Roadmap!$D:$D,0)-1+COUNTIF($E101:AC101,"u")+COUNTIF($E101:AC101,"t")+COUNTIF($E101:AC101,"¶")+COUNTIF($E101:AC101,"²")+COUNTIF($E101:AC101,"µ")+COUNTIF($E101:AC101,1),ColDescriptionCourte)),""),
  "")),"")</f>
        <v/>
      </c>
      <c r="AE101" s="40" t="str">
        <f ca="1">IFERROR(IF(AND(
  INDEX(Roadmap!$D:$K,MATCH($E101,Roadmap!$D:$D,0)+COUNTIF($E101:AD101,"u")+COUNTIF($E101:AD101,"t")+COUNTIF($E101:AD101,"¶")+COUNTIF($E101:AD101,"²")+COUNTIF($E101:AD101,"µ")+COUNTIF($E101:AD101,1),ColLivraison)=AE$6,
  VLOOKUP($E101,INDIRECT("tri!"&amp; CHAR(64+ C0Col) &amp;":"&amp; CHAR(65+C0Col)),2,FALSE)&gt;COUNTIF($E101:AD101,"u")+COUNTIF($E101:AD101,"t")+COUNTIF($E101:AD101,"¶")+COUNTIF($E101:AD101,"²")+COUNTIF($E101:AD101,"µ")+COUNTIF($E101:AD101,1)),
HYPERLINK("#Roadmap!C"&amp; MATCH($E101,Roadmap!$D:$D,0)+COUNTIF($E101:AD101,"u")+COUNTIF($E101:AD101,"t"),
     INDEX(Roadmap!$D:$K,MATCH($E101,Roadmap!$D:$D,0)+COUNTIF($E101:AD101,"u")+COUNTIF($E101:AD101,"t")+COUNTIF($E101:AD101,"¶")+COUNTIF($E101:AD101,"²")+COUNTIF($E101:AD101,"µ")+COUNTIF($E101:AD101,1),ColTypeEcheance)),
  IF(LEN(AD101)=1,
  IF(LEN(INDEX(Roadmap!$D:$K,MATCH($E101,Roadmap!$D:$D,0)-1+COUNTIF($E101:AD101,"u")+COUNTIF($E101:AD101,"t")+COUNTIF($E101:AD101,"¶")+COUNTIF($E101:AD101,"²")+COUNTIF($E101:AD101,"µ")+COUNTIF($E101:AD101,1),ColDescriptionCourte))&gt;1,
HYPERLINK("#Roadmap!C"&amp; MATCH($E101,Roadmap!$D:$D,0)+COUNTIF($E101:AD101,"u")+COUNTIF($E101:AD101,"t")+COUNTIF($E101:AD101,"¶")+COUNTIF($E101:AD101,"²")+COUNTIF($E101:AD101,"µ")+COUNTIF($E101:AD101,1)-1,INDEX(Roadmap!$D:$K,MATCH($E101,Roadmap!$D:$D,0)-1+COUNTIF($E101:AD101,"u")+COUNTIF($E101:AD101,"t")+COUNTIF($E101:AD101,"¶")+COUNTIF($E101:AD101,"²")+COUNTIF($E101:AD101,"µ")+COUNTIF($E101:AD101,1),ColDescriptionCourte)),""),
  "")),"")</f>
        <v/>
      </c>
      <c r="AF101" s="40" t="str">
        <f ca="1">IFERROR(IF(AND(
  INDEX(Roadmap!$D:$K,MATCH($E101,Roadmap!$D:$D,0)+COUNTIF($E101:AE101,"u")+COUNTIF($E101:AE101,"t")+COUNTIF($E101:AE101,"¶")+COUNTIF($E101:AE101,"²")+COUNTIF($E101:AE101,"µ")+COUNTIF($E101:AE101,1),ColLivraison)=AF$6,
  VLOOKUP($E101,INDIRECT("tri!"&amp; CHAR(64+ C0Col) &amp;":"&amp; CHAR(65+C0Col)),2,FALSE)&gt;COUNTIF($E101:AE101,"u")+COUNTIF($E101:AE101,"t")+COUNTIF($E101:AE101,"¶")+COUNTIF($E101:AE101,"²")+COUNTIF($E101:AE101,"µ")+COUNTIF($E101:AE101,1)),
HYPERLINK("#Roadmap!C"&amp; MATCH($E101,Roadmap!$D:$D,0)+COUNTIF($E101:AE101,"u")+COUNTIF($E101:AE101,"t"),
     INDEX(Roadmap!$D:$K,MATCH($E101,Roadmap!$D:$D,0)+COUNTIF($E101:AE101,"u")+COUNTIF($E101:AE101,"t")+COUNTIF($E101:AE101,"¶")+COUNTIF($E101:AE101,"²")+COUNTIF($E101:AE101,"µ")+COUNTIF($E101:AE101,1),ColTypeEcheance)),
  IF(LEN(AE101)=1,
  IF(LEN(INDEX(Roadmap!$D:$K,MATCH($E101,Roadmap!$D:$D,0)-1+COUNTIF($E101:AE101,"u")+COUNTIF($E101:AE101,"t")+COUNTIF($E101:AE101,"¶")+COUNTIF($E101:AE101,"²")+COUNTIF($E101:AE101,"µ")+COUNTIF($E101:AE101,1),ColDescriptionCourte))&gt;1,
HYPERLINK("#Roadmap!C"&amp; MATCH($E101,Roadmap!$D:$D,0)+COUNTIF($E101:AE101,"u")+COUNTIF($E101:AE101,"t")+COUNTIF($E101:AE101,"¶")+COUNTIF($E101:AE101,"²")+COUNTIF($E101:AE101,"µ")+COUNTIF($E101:AE101,1)-1,INDEX(Roadmap!$D:$K,MATCH($E101,Roadmap!$D:$D,0)-1+COUNTIF($E101:AE101,"u")+COUNTIF($E101:AE101,"t")+COUNTIF($E101:AE101,"¶")+COUNTIF($E101:AE101,"²")+COUNTIF($E101:AE101,"µ")+COUNTIF($E101:AE101,1),ColDescriptionCourte)),""),
  "")),"")</f>
        <v/>
      </c>
      <c r="AG101" s="40" t="str">
        <f ca="1">IFERROR(IF(AND(
  INDEX(Roadmap!$D:$K,MATCH($E101,Roadmap!$D:$D,0)+COUNTIF($E101:AF101,"u")+COUNTIF($E101:AF101,"t")+COUNTIF($E101:AF101,"¶")+COUNTIF($E101:AF101,"²")+COUNTIF($E101:AF101,"µ")+COUNTIF($E101:AF101,1),ColLivraison)=AG$6,
  VLOOKUP($E101,INDIRECT("tri!"&amp; CHAR(64+ C0Col) &amp;":"&amp; CHAR(65+C0Col)),2,FALSE)&gt;COUNTIF($E101:AF101,"u")+COUNTIF($E101:AF101,"t")+COUNTIF($E101:AF101,"¶")+COUNTIF($E101:AF101,"²")+COUNTIF($E101:AF101,"µ")+COUNTIF($E101:AF101,1)),
HYPERLINK("#Roadmap!C"&amp; MATCH($E101,Roadmap!$D:$D,0)+COUNTIF($E101:AF101,"u")+COUNTIF($E101:AF101,"t"),
     INDEX(Roadmap!$D:$K,MATCH($E101,Roadmap!$D:$D,0)+COUNTIF($E101:AF101,"u")+COUNTIF($E101:AF101,"t")+COUNTIF($E101:AF101,"¶")+COUNTIF($E101:AF101,"²")+COUNTIF($E101:AF101,"µ")+COUNTIF($E101:AF101,1),ColTypeEcheance)),
  IF(LEN(AF101)=1,
  IF(LEN(INDEX(Roadmap!$D:$K,MATCH($E101,Roadmap!$D:$D,0)-1+COUNTIF($E101:AF101,"u")+COUNTIF($E101:AF101,"t")+COUNTIF($E101:AF101,"¶")+COUNTIF($E101:AF101,"²")+COUNTIF($E101:AF101,"µ")+COUNTIF($E101:AF101,1),ColDescriptionCourte))&gt;1,
HYPERLINK("#Roadmap!C"&amp; MATCH($E101,Roadmap!$D:$D,0)+COUNTIF($E101:AF101,"u")+COUNTIF($E101:AF101,"t")+COUNTIF($E101:AF101,"¶")+COUNTIF($E101:AF101,"²")+COUNTIF($E101:AF101,"µ")+COUNTIF($E101:AF101,1)-1,INDEX(Roadmap!$D:$K,MATCH($E101,Roadmap!$D:$D,0)-1+COUNTIF($E101:AF101,"u")+COUNTIF($E101:AF101,"t")+COUNTIF($E101:AF101,"¶")+COUNTIF($E101:AF101,"²")+COUNTIF($E101:AF101,"µ")+COUNTIF($E101:AF101,1),ColDescriptionCourte)),""),
  "")),"")</f>
        <v/>
      </c>
    </row>
    <row r="102" spans="3:33" ht="14.25" customHeight="1">
      <c r="C102" s="1" t="str">
        <f t="shared" ca="1" si="47"/>
        <v/>
      </c>
      <c r="D102" s="1" t="str">
        <f t="shared" ca="1" si="48"/>
        <v/>
      </c>
      <c r="E102" s="35" t="str">
        <f t="shared" ca="1" si="46"/>
        <v/>
      </c>
      <c r="F102" s="39" t="str">
        <f ca="1">IFERROR(IF(AND(
  INDEX(Roadmap!$D:$K,MATCH($E102,Roadmap!$D:$D,0)+COUNTIF($E102:E102,"u")+COUNTIF($E102:E102,"t")+COUNTIF($E102:E102,"¶")+COUNTIF($E102:E102,"²")+COUNTIF($E102:E102,"µ")+COUNTIF($E102:E102,1),ColLivraison)=F$6,
  VLOOKUP($E102,INDIRECT("tri!"&amp; CHAR(64+ C0Col) &amp;":"&amp; CHAR(65+C0Col)),2,FALSE)&gt;COUNTIF($E102:E102,"u")+COUNTIF($E102:E102,"t")+COUNTIF($E102:E102,"¶")+COUNTIF($E102:E102,"²")+COUNTIF($E102:E102,"µ")+COUNTIF($E102:E102,1)),
HYPERLINK("#Roadmap!C"&amp; MATCH($E102,Roadmap!$D:$D,0)+COUNTIF($E102:E102,"u")+COUNTIF($E102:E102,"t"),
     INDEX(Roadmap!$D:$K,MATCH($E102,Roadmap!$D:$D,0)+COUNTIF($E102:E102,"u")+COUNTIF($E102:E102,"t")+COUNTIF($E102:E102,"¶")+COUNTIF($E102:E102,"²")+COUNTIF($E102:E102,"µ")+COUNTIF($E102:E102,1),ColTypeEcheance)),
  IF(LEN(E102)=1,
  IF(LEN(INDEX(Roadmap!$D:$K,MATCH($E102,Roadmap!$D:$D,0)-1+COUNTIF($E102:E102,"u")+COUNTIF($E102:E102,"t")+COUNTIF($E102:E102,"¶")+COUNTIF($E102:E102,"²")+COUNTIF($E102:E102,"µ")+COUNTIF($E102:E102,1),ColDescriptionCourte))&gt;1,
HYPERLINK("#Roadmap!C"&amp; MATCH($E102,Roadmap!$D:$D,0)+COUNTIF($E102:E102,"u")+COUNTIF($E102:E102,"t")+COUNTIF($E102:E102,"¶")+COUNTIF($E102:E102,"²")+COUNTIF($E102:E102,"µ")+COUNTIF($E102:E102,1)-1,INDEX(Roadmap!$D:$K,MATCH($E102,Roadmap!$D:$D,0)-1+COUNTIF($E102:E102,"u")+COUNTIF($E102:E102,"t")+COUNTIF($E102:E102,"¶")+COUNTIF($E102:E102,"²")+COUNTIF($E102:E102,"µ")+COUNTIF($E102:E102,1),ColDescriptionCourte)),""),
  "")),"")</f>
        <v/>
      </c>
      <c r="G102" s="40" t="str">
        <f ca="1">IFERROR(IF(AND(
  INDEX(Roadmap!$D:$K,MATCH($E102,Roadmap!$D:$D,0)+COUNTIF($E102:F102,"u")+COUNTIF($E102:F102,"t")+COUNTIF($E102:F102,"¶")+COUNTIF($E102:F102,"²")+COUNTIF($E102:F102,"µ")+COUNTIF($E102:F102,1),ColLivraison)=G$6,
  VLOOKUP($E102,INDIRECT("tri!"&amp; CHAR(64+ C0Col) &amp;":"&amp; CHAR(65+C0Col)),2,FALSE)&gt;COUNTIF($E102:F102,"u")+COUNTIF($E102:F102,"t")+COUNTIF($E102:F102,"¶")+COUNTIF($E102:F102,"²")+COUNTIF($E102:F102,"µ")+COUNTIF($E102:F102,1)),
HYPERLINK("#Roadmap!C"&amp; MATCH($E102,Roadmap!$D:$D,0)+COUNTIF($E102:F102,"u")+COUNTIF($E102:F102,"t"),
     INDEX(Roadmap!$D:$K,MATCH($E102,Roadmap!$D:$D,0)+COUNTIF($E102:F102,"u")+COUNTIF($E102:F102,"t")+COUNTIF($E102:F102,"¶")+COUNTIF($E102:F102,"²")+COUNTIF($E102:F102,"µ")+COUNTIF($E102:F102,1),ColTypeEcheance)),
  IF(LEN(F102)=1,
  IF(LEN(INDEX(Roadmap!$D:$K,MATCH($E102,Roadmap!$D:$D,0)-1+COUNTIF($E102:F102,"u")+COUNTIF($E102:F102,"t")+COUNTIF($E102:F102,"¶")+COUNTIF($E102:F102,"²")+COUNTIF($E102:F102,"µ")+COUNTIF($E102:F102,1),ColDescriptionCourte))&gt;1,
HYPERLINK("#Roadmap!C"&amp; MATCH($E102,Roadmap!$D:$D,0)+COUNTIF($E102:F102,"u")+COUNTIF($E102:F102,"t")+COUNTIF($E102:F102,"¶")+COUNTIF($E102:F102,"²")+COUNTIF($E102:F102,"µ")+COUNTIF($E102:F102,1)-1,INDEX(Roadmap!$D:$K,MATCH($E102,Roadmap!$D:$D,0)-1+COUNTIF($E102:F102,"u")+COUNTIF($E102:F102,"t")+COUNTIF($E102:F102,"¶")+COUNTIF($E102:F102,"²")+COUNTIF($E102:F102,"µ")+COUNTIF($E102:F102,1),ColDescriptionCourte)),""),
  "")),"")</f>
        <v/>
      </c>
      <c r="H102" s="40" t="str">
        <f ca="1">IFERROR(IF(AND(
  INDEX(Roadmap!$D:$K,MATCH($E102,Roadmap!$D:$D,0)+COUNTIF($E102:G102,"u")+COUNTIF($E102:G102,"t")+COUNTIF($E102:G102,"¶")+COUNTIF($E102:G102,"²")+COUNTIF($E102:G102,"µ")+COUNTIF($E102:G102,1),ColLivraison)=H$6,
  VLOOKUP($E102,INDIRECT("tri!"&amp; CHAR(64+ C0Col) &amp;":"&amp; CHAR(65+C0Col)),2,FALSE)&gt;COUNTIF($E102:G102,"u")+COUNTIF($E102:G102,"t")+COUNTIF($E102:G102,"¶")+COUNTIF($E102:G102,"²")+COUNTIF($E102:G102,"µ")+COUNTIF($E102:G102,1)),
HYPERLINK("#Roadmap!C"&amp; MATCH($E102,Roadmap!$D:$D,0)+COUNTIF($E102:G102,"u")+COUNTIF($E102:G102,"t"),
     INDEX(Roadmap!$D:$K,MATCH($E102,Roadmap!$D:$D,0)+COUNTIF($E102:G102,"u")+COUNTIF($E102:G102,"t")+COUNTIF($E102:G102,"¶")+COUNTIF($E102:G102,"²")+COUNTIF($E102:G102,"µ")+COUNTIF($E102:G102,1),ColTypeEcheance)),
  IF(LEN(G102)=1,
  IF(LEN(INDEX(Roadmap!$D:$K,MATCH($E102,Roadmap!$D:$D,0)-1+COUNTIF($E102:G102,"u")+COUNTIF($E102:G102,"t")+COUNTIF($E102:G102,"¶")+COUNTIF($E102:G102,"²")+COUNTIF($E102:G102,"µ")+COUNTIF($E102:G102,1),ColDescriptionCourte))&gt;1,
HYPERLINK("#Roadmap!C"&amp; MATCH($E102,Roadmap!$D:$D,0)+COUNTIF($E102:G102,"u")+COUNTIF($E102:G102,"t")+COUNTIF($E102:G102,"¶")+COUNTIF($E102:G102,"²")+COUNTIF($E102:G102,"µ")+COUNTIF($E102:G102,1)-1,INDEX(Roadmap!$D:$K,MATCH($E102,Roadmap!$D:$D,0)-1+COUNTIF($E102:G102,"u")+COUNTIF($E102:G102,"t")+COUNTIF($E102:G102,"¶")+COUNTIF($E102:G102,"²")+COUNTIF($E102:G102,"µ")+COUNTIF($E102:G102,1),ColDescriptionCourte)),""),
  "")),"")</f>
        <v/>
      </c>
      <c r="I102" s="40" t="str">
        <f ca="1">IFERROR(IF(AND(
  INDEX(Roadmap!$D:$K,MATCH($E102,Roadmap!$D:$D,0)+COUNTIF($E102:H102,"u")+COUNTIF($E102:H102,"t")+COUNTIF($E102:H102,"¶")+COUNTIF($E102:H102,"²")+COUNTIF($E102:H102,"µ")+COUNTIF($E102:H102,1),ColLivraison)=I$6,
  VLOOKUP($E102,INDIRECT("tri!"&amp; CHAR(64+ C0Col) &amp;":"&amp; CHAR(65+C0Col)),2,FALSE)&gt;COUNTIF($E102:H102,"u")+COUNTIF($E102:H102,"t")+COUNTIF($E102:H102,"¶")+COUNTIF($E102:H102,"²")+COUNTIF($E102:H102,"µ")+COUNTIF($E102:H102,1)),
HYPERLINK("#Roadmap!C"&amp; MATCH($E102,Roadmap!$D:$D,0)+COUNTIF($E102:H102,"u")+COUNTIF($E102:H102,"t"),
     INDEX(Roadmap!$D:$K,MATCH($E102,Roadmap!$D:$D,0)+COUNTIF($E102:H102,"u")+COUNTIF($E102:H102,"t")+COUNTIF($E102:H102,"¶")+COUNTIF($E102:H102,"²")+COUNTIF($E102:H102,"µ")+COUNTIF($E102:H102,1),ColTypeEcheance)),
  IF(LEN(H102)=1,
  IF(LEN(INDEX(Roadmap!$D:$K,MATCH($E102,Roadmap!$D:$D,0)-1+COUNTIF($E102:H102,"u")+COUNTIF($E102:H102,"t")+COUNTIF($E102:H102,"¶")+COUNTIF($E102:H102,"²")+COUNTIF($E102:H102,"µ")+COUNTIF($E102:H102,1),ColDescriptionCourte))&gt;1,
HYPERLINK("#Roadmap!C"&amp; MATCH($E102,Roadmap!$D:$D,0)+COUNTIF($E102:H102,"u")+COUNTIF($E102:H102,"t")+COUNTIF($E102:H102,"¶")+COUNTIF($E102:H102,"²")+COUNTIF($E102:H102,"µ")+COUNTIF($E102:H102,1)-1,INDEX(Roadmap!$D:$K,MATCH($E102,Roadmap!$D:$D,0)-1+COUNTIF($E102:H102,"u")+COUNTIF($E102:H102,"t")+COUNTIF($E102:H102,"¶")+COUNTIF($E102:H102,"²")+COUNTIF($E102:H102,"µ")+COUNTIF($E102:H102,1),ColDescriptionCourte)),""),
  "")),"")</f>
        <v/>
      </c>
      <c r="J102" s="40" t="str">
        <f ca="1">IFERROR(IF(AND(
  INDEX(Roadmap!$D:$K,MATCH($E102,Roadmap!$D:$D,0)+COUNTIF($E102:I102,"u")+COUNTIF($E102:I102,"t")+COUNTIF($E102:I102,"¶")+COUNTIF($E102:I102,"²")+COUNTIF($E102:I102,"µ")+COUNTIF($E102:I102,1),ColLivraison)=J$6,
  VLOOKUP($E102,INDIRECT("tri!"&amp; CHAR(64+ C0Col) &amp;":"&amp; CHAR(65+C0Col)),2,FALSE)&gt;COUNTIF($E102:I102,"u")+COUNTIF($E102:I102,"t")+COUNTIF($E102:I102,"¶")+COUNTIF($E102:I102,"²")+COUNTIF($E102:I102,"µ")+COUNTIF($E102:I102,1)),
HYPERLINK("#Roadmap!C"&amp; MATCH($E102,Roadmap!$D:$D,0)+COUNTIF($E102:I102,"u")+COUNTIF($E102:I102,"t"),
     INDEX(Roadmap!$D:$K,MATCH($E102,Roadmap!$D:$D,0)+COUNTIF($E102:I102,"u")+COUNTIF($E102:I102,"t")+COUNTIF($E102:I102,"¶")+COUNTIF($E102:I102,"²")+COUNTIF($E102:I102,"µ")+COUNTIF($E102:I102,1),ColTypeEcheance)),
  IF(LEN(I102)=1,
  IF(LEN(INDEX(Roadmap!$D:$K,MATCH($E102,Roadmap!$D:$D,0)-1+COUNTIF($E102:I102,"u")+COUNTIF($E102:I102,"t")+COUNTIF($E102:I102,"¶")+COUNTIF($E102:I102,"²")+COUNTIF($E102:I102,"µ")+COUNTIF($E102:I102,1),ColDescriptionCourte))&gt;1,
HYPERLINK("#Roadmap!C"&amp; MATCH($E102,Roadmap!$D:$D,0)+COUNTIF($E102:I102,"u")+COUNTIF($E102:I102,"t")+COUNTIF($E102:I102,"¶")+COUNTIF($E102:I102,"²")+COUNTIF($E102:I102,"µ")+COUNTIF($E102:I102,1)-1,INDEX(Roadmap!$D:$K,MATCH($E102,Roadmap!$D:$D,0)-1+COUNTIF($E102:I102,"u")+COUNTIF($E102:I102,"t")+COUNTIF($E102:I102,"¶")+COUNTIF($E102:I102,"²")+COUNTIF($E102:I102,"µ")+COUNTIF($E102:I102,1),ColDescriptionCourte)),""),
  "")),"")</f>
        <v/>
      </c>
      <c r="K102" s="40" t="str">
        <f ca="1">IFERROR(IF(AND(
  INDEX(Roadmap!$D:$K,MATCH($E102,Roadmap!$D:$D,0)+COUNTIF($E102:J102,"u")+COUNTIF($E102:J102,"t")+COUNTIF($E102:J102,"¶")+COUNTIF($E102:J102,"²")+COUNTIF($E102:J102,"µ")+COUNTIF($E102:J102,1),ColLivraison)=K$6,
  VLOOKUP($E102,INDIRECT("tri!"&amp; CHAR(64+ C0Col) &amp;":"&amp; CHAR(65+C0Col)),2,FALSE)&gt;COUNTIF($E102:J102,"u")+COUNTIF($E102:J102,"t")+COUNTIF($E102:J102,"¶")+COUNTIF($E102:J102,"²")+COUNTIF($E102:J102,"µ")+COUNTIF($E102:J102,1)),
HYPERLINK("#Roadmap!C"&amp; MATCH($E102,Roadmap!$D:$D,0)+COUNTIF($E102:J102,"u")+COUNTIF($E102:J102,"t"),
     INDEX(Roadmap!$D:$K,MATCH($E102,Roadmap!$D:$D,0)+COUNTIF($E102:J102,"u")+COUNTIF($E102:J102,"t")+COUNTIF($E102:J102,"¶")+COUNTIF($E102:J102,"²")+COUNTIF($E102:J102,"µ")+COUNTIF($E102:J102,1),ColTypeEcheance)),
  IF(LEN(J102)=1,
  IF(LEN(INDEX(Roadmap!$D:$K,MATCH($E102,Roadmap!$D:$D,0)-1+COUNTIF($E102:J102,"u")+COUNTIF($E102:J102,"t")+COUNTIF($E102:J102,"¶")+COUNTIF($E102:J102,"²")+COUNTIF($E102:J102,"µ")+COUNTIF($E102:J102,1),ColDescriptionCourte))&gt;1,
HYPERLINK("#Roadmap!C"&amp; MATCH($E102,Roadmap!$D:$D,0)+COUNTIF($E102:J102,"u")+COUNTIF($E102:J102,"t")+COUNTIF($E102:J102,"¶")+COUNTIF($E102:J102,"²")+COUNTIF($E102:J102,"µ")+COUNTIF($E102:J102,1)-1,INDEX(Roadmap!$D:$K,MATCH($E102,Roadmap!$D:$D,0)-1+COUNTIF($E102:J102,"u")+COUNTIF($E102:J102,"t")+COUNTIF($E102:J102,"¶")+COUNTIF($E102:J102,"²")+COUNTIF($E102:J102,"µ")+COUNTIF($E102:J102,1),ColDescriptionCourte)),""),
  "")),"")</f>
        <v/>
      </c>
      <c r="L102" s="39" t="str">
        <f ca="1">IFERROR(IF(AND(
  INDEX(Roadmap!$D:$K,MATCH($E102,Roadmap!$D:$D,0)+COUNTIF($E102:K102,"u")+COUNTIF($E102:K102,"t")+COUNTIF($E102:K102,"¶")+COUNTIF($E102:K102,"²")+COUNTIF($E102:K102,"µ")+COUNTIF($E102:K102,1),ColLivraison)=L$6,
  VLOOKUP($E102,INDIRECT("tri!"&amp; CHAR(64+ C0Col) &amp;":"&amp; CHAR(65+C0Col)),2,FALSE)&gt;COUNTIF($E102:K102,"u")+COUNTIF($E102:K102,"t")+COUNTIF($E102:K102,"¶")+COUNTIF($E102:K102,"²")+COUNTIF($E102:K102,"µ")+COUNTIF($E102:K102,1)),
HYPERLINK("#Roadmap!C"&amp; MATCH($E102,Roadmap!$D:$D,0)+COUNTIF($E102:K102,"u")+COUNTIF($E102:K102,"t"),
     INDEX(Roadmap!$D:$K,MATCH($E102,Roadmap!$D:$D,0)+COUNTIF($E102:K102,"u")+COUNTIF($E102:K102,"t")+COUNTIF($E102:K102,"¶")+COUNTIF($E102:K102,"²")+COUNTIF($E102:K102,"µ")+COUNTIF($E102:K102,1),ColTypeEcheance)),
  IF(LEN(K102)=1,
  IF(LEN(INDEX(Roadmap!$D:$K,MATCH($E102,Roadmap!$D:$D,0)-1+COUNTIF($E102:K102,"u")+COUNTIF($E102:K102,"t")+COUNTIF($E102:K102,"¶")+COUNTIF($E102:K102,"²")+COUNTIF($E102:K102,"µ")+COUNTIF($E102:K102,1),ColDescriptionCourte))&gt;1,
HYPERLINK("#Roadmap!C"&amp; MATCH($E102,Roadmap!$D:$D,0)+COUNTIF($E102:K102,"u")+COUNTIF($E102:K102,"t")+COUNTIF($E102:K102,"¶")+COUNTIF($E102:K102,"²")+COUNTIF($E102:K102,"µ")+COUNTIF($E102:K102,1)-1,INDEX(Roadmap!$D:$K,MATCH($E102,Roadmap!$D:$D,0)-1+COUNTIF($E102:K102,"u")+COUNTIF($E102:K102,"t")+COUNTIF($E102:K102,"¶")+COUNTIF($E102:K102,"²")+COUNTIF($E102:K102,"µ")+COUNTIF($E102:K102,1),ColDescriptionCourte)),""),
  "")),"")</f>
        <v/>
      </c>
      <c r="M102" s="40" t="str">
        <f ca="1">IFERROR(IF(AND(
  INDEX(Roadmap!$D:$K,MATCH($E102,Roadmap!$D:$D,0)+COUNTIF($E102:L102,"u")+COUNTIF($E102:L102,"t")+COUNTIF($E102:L102,"¶")+COUNTIF($E102:L102,"²")+COUNTIF($E102:L102,"µ")+COUNTIF($E102:L102,1),ColLivraison)=M$6,
  VLOOKUP($E102,INDIRECT("tri!"&amp; CHAR(64+ C0Col) &amp;":"&amp; CHAR(65+C0Col)),2,FALSE)&gt;COUNTIF($E102:L102,"u")+COUNTIF($E102:L102,"t")+COUNTIF($E102:L102,"¶")+COUNTIF($E102:L102,"²")+COUNTIF($E102:L102,"µ")+COUNTIF($E102:L102,1)),
HYPERLINK("#Roadmap!C"&amp; MATCH($E102,Roadmap!$D:$D,0)+COUNTIF($E102:L102,"u")+COUNTIF($E102:L102,"t"),
     INDEX(Roadmap!$D:$K,MATCH($E102,Roadmap!$D:$D,0)+COUNTIF($E102:L102,"u")+COUNTIF($E102:L102,"t")+COUNTIF($E102:L102,"¶")+COUNTIF($E102:L102,"²")+COUNTIF($E102:L102,"µ")+COUNTIF($E102:L102,1),ColTypeEcheance)),
  IF(LEN(L102)=1,
  IF(LEN(INDEX(Roadmap!$D:$K,MATCH($E102,Roadmap!$D:$D,0)-1+COUNTIF($E102:L102,"u")+COUNTIF($E102:L102,"t")+COUNTIF($E102:L102,"¶")+COUNTIF($E102:L102,"²")+COUNTIF($E102:L102,"µ")+COUNTIF($E102:L102,1),ColDescriptionCourte))&gt;1,
HYPERLINK("#Roadmap!C"&amp; MATCH($E102,Roadmap!$D:$D,0)+COUNTIF($E102:L102,"u")+COUNTIF($E102:L102,"t")+COUNTIF($E102:L102,"¶")+COUNTIF($E102:L102,"²")+COUNTIF($E102:L102,"µ")+COUNTIF($E102:L102,1)-1,INDEX(Roadmap!$D:$K,MATCH($E102,Roadmap!$D:$D,0)-1+COUNTIF($E102:L102,"u")+COUNTIF($E102:L102,"t")+COUNTIF($E102:L102,"¶")+COUNTIF($E102:L102,"²")+COUNTIF($E102:L102,"µ")+COUNTIF($E102:L102,1),ColDescriptionCourte)),""),
  "")),"")</f>
        <v/>
      </c>
      <c r="N102" s="40" t="str">
        <f ca="1">IFERROR(IF(AND(
  INDEX(Roadmap!$D:$K,MATCH($E102,Roadmap!$D:$D,0)+COUNTIF($E102:M102,"u")+COUNTIF($E102:M102,"t")+COUNTIF($E102:M102,"¶")+COUNTIF($E102:M102,"²")+COUNTIF($E102:M102,"µ")+COUNTIF($E102:M102,1),ColLivraison)=N$6,
  VLOOKUP($E102,INDIRECT("tri!"&amp; CHAR(64+ C0Col) &amp;":"&amp; CHAR(65+C0Col)),2,FALSE)&gt;COUNTIF($E102:M102,"u")+COUNTIF($E102:M102,"t")+COUNTIF($E102:M102,"¶")+COUNTIF($E102:M102,"²")+COUNTIF($E102:M102,"µ")+COUNTIF($E102:M102,1)),
HYPERLINK("#Roadmap!C"&amp; MATCH($E102,Roadmap!$D:$D,0)+COUNTIF($E102:M102,"u")+COUNTIF($E102:M102,"t"),
     INDEX(Roadmap!$D:$K,MATCH($E102,Roadmap!$D:$D,0)+COUNTIF($E102:M102,"u")+COUNTIF($E102:M102,"t")+COUNTIF($E102:M102,"¶")+COUNTIF($E102:M102,"²")+COUNTIF($E102:M102,"µ")+COUNTIF($E102:M102,1),ColTypeEcheance)),
  IF(LEN(M102)=1,
  IF(LEN(INDEX(Roadmap!$D:$K,MATCH($E102,Roadmap!$D:$D,0)-1+COUNTIF($E102:M102,"u")+COUNTIF($E102:M102,"t")+COUNTIF($E102:M102,"¶")+COUNTIF($E102:M102,"²")+COUNTIF($E102:M102,"µ")+COUNTIF($E102:M102,1),ColDescriptionCourte))&gt;1,
HYPERLINK("#Roadmap!C"&amp; MATCH($E102,Roadmap!$D:$D,0)+COUNTIF($E102:M102,"u")+COUNTIF($E102:M102,"t")+COUNTIF($E102:M102,"¶")+COUNTIF($E102:M102,"²")+COUNTIF($E102:M102,"µ")+COUNTIF($E102:M102,1)-1,INDEX(Roadmap!$D:$K,MATCH($E102,Roadmap!$D:$D,0)-1+COUNTIF($E102:M102,"u")+COUNTIF($E102:M102,"t")+COUNTIF($E102:M102,"¶")+COUNTIF($E102:M102,"²")+COUNTIF($E102:M102,"µ")+COUNTIF($E102:M102,1),ColDescriptionCourte)),""),
  "")),"")</f>
        <v/>
      </c>
      <c r="O102" s="40" t="str">
        <f ca="1">IFERROR(IF(AND(
  INDEX(Roadmap!$D:$K,MATCH($E102,Roadmap!$D:$D,0)+COUNTIF($E102:N102,"u")+COUNTIF($E102:N102,"t")+COUNTIF($E102:N102,"¶")+COUNTIF($E102:N102,"²")+COUNTIF($E102:N102,"µ")+COUNTIF($E102:N102,1),ColLivraison)=O$6,
  VLOOKUP($E102,INDIRECT("tri!"&amp; CHAR(64+ C0Col) &amp;":"&amp; CHAR(65+C0Col)),2,FALSE)&gt;COUNTIF($E102:N102,"u")+COUNTIF($E102:N102,"t")+COUNTIF($E102:N102,"¶")+COUNTIF($E102:N102,"²")+COUNTIF($E102:N102,"µ")+COUNTIF($E102:N102,1)),
HYPERLINK("#Roadmap!C"&amp; MATCH($E102,Roadmap!$D:$D,0)+COUNTIF($E102:N102,"u")+COUNTIF($E102:N102,"t"),
     INDEX(Roadmap!$D:$K,MATCH($E102,Roadmap!$D:$D,0)+COUNTIF($E102:N102,"u")+COUNTIF($E102:N102,"t")+COUNTIF($E102:N102,"¶")+COUNTIF($E102:N102,"²")+COUNTIF($E102:N102,"µ")+COUNTIF($E102:N102,1),ColTypeEcheance)),
  IF(LEN(N102)=1,
  IF(LEN(INDEX(Roadmap!$D:$K,MATCH($E102,Roadmap!$D:$D,0)-1+COUNTIF($E102:N102,"u")+COUNTIF($E102:N102,"t")+COUNTIF($E102:N102,"¶")+COUNTIF($E102:N102,"²")+COUNTIF($E102:N102,"µ")+COUNTIF($E102:N102,1),ColDescriptionCourte))&gt;1,
HYPERLINK("#Roadmap!C"&amp; MATCH($E102,Roadmap!$D:$D,0)+COUNTIF($E102:N102,"u")+COUNTIF($E102:N102,"t")+COUNTIF($E102:N102,"¶")+COUNTIF($E102:N102,"²")+COUNTIF($E102:N102,"µ")+COUNTIF($E102:N102,1)-1,INDEX(Roadmap!$D:$K,MATCH($E102,Roadmap!$D:$D,0)-1+COUNTIF($E102:N102,"u")+COUNTIF($E102:N102,"t")+COUNTIF($E102:N102,"¶")+COUNTIF($E102:N102,"²")+COUNTIF($E102:N102,"µ")+COUNTIF($E102:N102,1),ColDescriptionCourte)),""),
  "")),"")</f>
        <v/>
      </c>
      <c r="P102" s="40" t="str">
        <f ca="1">IFERROR(IF(AND(
  INDEX(Roadmap!$D:$K,MATCH($E102,Roadmap!$D:$D,0)+COUNTIF($E102:O102,"u")+COUNTIF($E102:O102,"t")+COUNTIF($E102:O102,"¶")+COUNTIF($E102:O102,"²")+COUNTIF($E102:O102,"µ")+COUNTIF($E102:O102,1),ColLivraison)=P$6,
  VLOOKUP($E102,INDIRECT("tri!"&amp; CHAR(64+ C0Col) &amp;":"&amp; CHAR(65+C0Col)),2,FALSE)&gt;COUNTIF($E102:O102,"u")+COUNTIF($E102:O102,"t")+COUNTIF($E102:O102,"¶")+COUNTIF($E102:O102,"²")+COUNTIF($E102:O102,"µ")+COUNTIF($E102:O102,1)),
HYPERLINK("#Roadmap!C"&amp; MATCH($E102,Roadmap!$D:$D,0)+COUNTIF($E102:O102,"u")+COUNTIF($E102:O102,"t"),
     INDEX(Roadmap!$D:$K,MATCH($E102,Roadmap!$D:$D,0)+COUNTIF($E102:O102,"u")+COUNTIF($E102:O102,"t")+COUNTIF($E102:O102,"¶")+COUNTIF($E102:O102,"²")+COUNTIF($E102:O102,"µ")+COUNTIF($E102:O102,1),ColTypeEcheance)),
  IF(LEN(O102)=1,
  IF(LEN(INDEX(Roadmap!$D:$K,MATCH($E102,Roadmap!$D:$D,0)-1+COUNTIF($E102:O102,"u")+COUNTIF($E102:O102,"t")+COUNTIF($E102:O102,"¶")+COUNTIF($E102:O102,"²")+COUNTIF($E102:O102,"µ")+COUNTIF($E102:O102,1),ColDescriptionCourte))&gt;1,
HYPERLINK("#Roadmap!C"&amp; MATCH($E102,Roadmap!$D:$D,0)+COUNTIF($E102:O102,"u")+COUNTIF($E102:O102,"t")+COUNTIF($E102:O102,"¶")+COUNTIF($E102:O102,"²")+COUNTIF($E102:O102,"µ")+COUNTIF($E102:O102,1)-1,INDEX(Roadmap!$D:$K,MATCH($E102,Roadmap!$D:$D,0)-1+COUNTIF($E102:O102,"u")+COUNTIF($E102:O102,"t")+COUNTIF($E102:O102,"¶")+COUNTIF($E102:O102,"²")+COUNTIF($E102:O102,"µ")+COUNTIF($E102:O102,1),ColDescriptionCourte)),""),
  "")),"")</f>
        <v/>
      </c>
      <c r="Q102" s="40" t="str">
        <f ca="1">IFERROR(IF(AND(
  INDEX(Roadmap!$D:$K,MATCH($E102,Roadmap!$D:$D,0)+COUNTIF($E102:P102,"u")+COUNTIF($E102:P102,"t")+COUNTIF($E102:P102,"¶")+COUNTIF($E102:P102,"²")+COUNTIF($E102:P102,"µ")+COUNTIF($E102:P102,1),ColLivraison)=Q$6,
  VLOOKUP($E102,INDIRECT("tri!"&amp; CHAR(64+ C0Col) &amp;":"&amp; CHAR(65+C0Col)),2,FALSE)&gt;COUNTIF($E102:P102,"u")+COUNTIF($E102:P102,"t")+COUNTIF($E102:P102,"¶")+COUNTIF($E102:P102,"²")+COUNTIF($E102:P102,"µ")+COUNTIF($E102:P102,1)),
HYPERLINK("#Roadmap!C"&amp; MATCH($E102,Roadmap!$D:$D,0)+COUNTIF($E102:P102,"u")+COUNTIF($E102:P102,"t"),
     INDEX(Roadmap!$D:$K,MATCH($E102,Roadmap!$D:$D,0)+COUNTIF($E102:P102,"u")+COUNTIF($E102:P102,"t")+COUNTIF($E102:P102,"¶")+COUNTIF($E102:P102,"²")+COUNTIF($E102:P102,"µ")+COUNTIF($E102:P102,1),ColTypeEcheance)),
  IF(LEN(P102)=1,
  IF(LEN(INDEX(Roadmap!$D:$K,MATCH($E102,Roadmap!$D:$D,0)-1+COUNTIF($E102:P102,"u")+COUNTIF($E102:P102,"t")+COUNTIF($E102:P102,"¶")+COUNTIF($E102:P102,"²")+COUNTIF($E102:P102,"µ")+COUNTIF($E102:P102,1),ColDescriptionCourte))&gt;1,
HYPERLINK("#Roadmap!C"&amp; MATCH($E102,Roadmap!$D:$D,0)+COUNTIF($E102:P102,"u")+COUNTIF($E102:P102,"t")+COUNTIF($E102:P102,"¶")+COUNTIF($E102:P102,"²")+COUNTIF($E102:P102,"µ")+COUNTIF($E102:P102,1)-1,INDEX(Roadmap!$D:$K,MATCH($E102,Roadmap!$D:$D,0)-1+COUNTIF($E102:P102,"u")+COUNTIF($E102:P102,"t")+COUNTIF($E102:P102,"¶")+COUNTIF($E102:P102,"²")+COUNTIF($E102:P102,"µ")+COUNTIF($E102:P102,1),ColDescriptionCourte)),""),
  "")),"")</f>
        <v/>
      </c>
      <c r="R102" s="40" t="str">
        <f ca="1">IFERROR(IF(AND(
  INDEX(Roadmap!$D:$K,MATCH($E102,Roadmap!$D:$D,0)+COUNTIF($E102:Q102,"u")+COUNTIF($E102:Q102,"t")+COUNTIF($E102:Q102,"¶")+COUNTIF($E102:Q102,"²")+COUNTIF($E102:Q102,"µ")+COUNTIF($E102:Q102,1),ColLivraison)=R$6,
  VLOOKUP($E102,INDIRECT("tri!"&amp; CHAR(64+ C0Col) &amp;":"&amp; CHAR(65+C0Col)),2,FALSE)&gt;COUNTIF($E102:Q102,"u")+COUNTIF($E102:Q102,"t")+COUNTIF($E102:Q102,"¶")+COUNTIF($E102:Q102,"²")+COUNTIF($E102:Q102,"µ")+COUNTIF($E102:Q102,1)),
HYPERLINK("#Roadmap!C"&amp; MATCH($E102,Roadmap!$D:$D,0)+COUNTIF($E102:Q102,"u")+COUNTIF($E102:Q102,"t"),
     INDEX(Roadmap!$D:$K,MATCH($E102,Roadmap!$D:$D,0)+COUNTIF($E102:Q102,"u")+COUNTIF($E102:Q102,"t")+COUNTIF($E102:Q102,"¶")+COUNTIF($E102:Q102,"²")+COUNTIF($E102:Q102,"µ")+COUNTIF($E102:Q102,1),ColTypeEcheance)),
  IF(LEN(Q102)=1,
  IF(LEN(INDEX(Roadmap!$D:$K,MATCH($E102,Roadmap!$D:$D,0)-1+COUNTIF($E102:Q102,"u")+COUNTIF($E102:Q102,"t")+COUNTIF($E102:Q102,"¶")+COUNTIF($E102:Q102,"²")+COUNTIF($E102:Q102,"µ")+COUNTIF($E102:Q102,1),ColDescriptionCourte))&gt;1,
HYPERLINK("#Roadmap!C"&amp; MATCH($E102,Roadmap!$D:$D,0)+COUNTIF($E102:Q102,"u")+COUNTIF($E102:Q102,"t")+COUNTIF($E102:Q102,"¶")+COUNTIF($E102:Q102,"²")+COUNTIF($E102:Q102,"µ")+COUNTIF($E102:Q102,1)-1,INDEX(Roadmap!$D:$K,MATCH($E102,Roadmap!$D:$D,0)-1+COUNTIF($E102:Q102,"u")+COUNTIF($E102:Q102,"t")+COUNTIF($E102:Q102,"¶")+COUNTIF($E102:Q102,"²")+COUNTIF($E102:Q102,"µ")+COUNTIF($E102:Q102,1),ColDescriptionCourte)),""),
  "")),"")</f>
        <v/>
      </c>
      <c r="S102" s="40" t="str">
        <f ca="1">IFERROR(IF(AND(
  INDEX(Roadmap!$D:$K,MATCH($E102,Roadmap!$D:$D,0)+COUNTIF($E102:R102,"u")+COUNTIF($E102:R102,"t")+COUNTIF($E102:R102,"¶")+COUNTIF($E102:R102,"²")+COUNTIF($E102:R102,"µ")+COUNTIF($E102:R102,1),ColLivraison)=S$6,
  VLOOKUP($E102,INDIRECT("tri!"&amp; CHAR(64+ C0Col) &amp;":"&amp; CHAR(65+C0Col)),2,FALSE)&gt;COUNTIF($E102:R102,"u")+COUNTIF($E102:R102,"t")+COUNTIF($E102:R102,"¶")+COUNTIF($E102:R102,"²")+COUNTIF($E102:R102,"µ")+COUNTIF($E102:R102,1)),
HYPERLINK("#Roadmap!C"&amp; MATCH($E102,Roadmap!$D:$D,0)+COUNTIF($E102:R102,"u")+COUNTIF($E102:R102,"t"),
     INDEX(Roadmap!$D:$K,MATCH($E102,Roadmap!$D:$D,0)+COUNTIF($E102:R102,"u")+COUNTIF($E102:R102,"t")+COUNTIF($E102:R102,"¶")+COUNTIF($E102:R102,"²")+COUNTIF($E102:R102,"µ")+COUNTIF($E102:R102,1),ColTypeEcheance)),
  IF(LEN(R102)=1,
  IF(LEN(INDEX(Roadmap!$D:$K,MATCH($E102,Roadmap!$D:$D,0)-1+COUNTIF($E102:R102,"u")+COUNTIF($E102:R102,"t")+COUNTIF($E102:R102,"¶")+COUNTIF($E102:R102,"²")+COUNTIF($E102:R102,"µ")+COUNTIF($E102:R102,1),ColDescriptionCourte))&gt;1,
HYPERLINK("#Roadmap!C"&amp; MATCH($E102,Roadmap!$D:$D,0)+COUNTIF($E102:R102,"u")+COUNTIF($E102:R102,"t")+COUNTIF($E102:R102,"¶")+COUNTIF($E102:R102,"²")+COUNTIF($E102:R102,"µ")+COUNTIF($E102:R102,1)-1,INDEX(Roadmap!$D:$K,MATCH($E102,Roadmap!$D:$D,0)-1+COUNTIF($E102:R102,"u")+COUNTIF($E102:R102,"t")+COUNTIF($E102:R102,"¶")+COUNTIF($E102:R102,"²")+COUNTIF($E102:R102,"µ")+COUNTIF($E102:R102,1),ColDescriptionCourte)),""),
  "")),"")</f>
        <v/>
      </c>
      <c r="T102" s="40" t="str">
        <f ca="1">IFERROR(IF(AND(
  INDEX(Roadmap!$D:$K,MATCH($E102,Roadmap!$D:$D,0)+COUNTIF($E102:S102,"u")+COUNTIF($E102:S102,"t")+COUNTIF($E102:S102,"¶")+COUNTIF($E102:S102,"²")+COUNTIF($E102:S102,"µ")+COUNTIF($E102:S102,1),ColLivraison)=T$6,
  VLOOKUP($E102,INDIRECT("tri!"&amp; CHAR(64+ C0Col) &amp;":"&amp; CHAR(65+C0Col)),2,FALSE)&gt;COUNTIF($E102:S102,"u")+COUNTIF($E102:S102,"t")+COUNTIF($E102:S102,"¶")+COUNTIF($E102:S102,"²")+COUNTIF($E102:S102,"µ")+COUNTIF($E102:S102,1)),
HYPERLINK("#Roadmap!C"&amp; MATCH($E102,Roadmap!$D:$D,0)+COUNTIF($E102:S102,"u")+COUNTIF($E102:S102,"t"),
     INDEX(Roadmap!$D:$K,MATCH($E102,Roadmap!$D:$D,0)+COUNTIF($E102:S102,"u")+COUNTIF($E102:S102,"t")+COUNTIF($E102:S102,"¶")+COUNTIF($E102:S102,"²")+COUNTIF($E102:S102,"µ")+COUNTIF($E102:S102,1),ColTypeEcheance)),
  IF(LEN(S102)=1,
  IF(LEN(INDEX(Roadmap!$D:$K,MATCH($E102,Roadmap!$D:$D,0)-1+COUNTIF($E102:S102,"u")+COUNTIF($E102:S102,"t")+COUNTIF($E102:S102,"¶")+COUNTIF($E102:S102,"²")+COUNTIF($E102:S102,"µ")+COUNTIF($E102:S102,1),ColDescriptionCourte))&gt;1,
HYPERLINK("#Roadmap!C"&amp; MATCH($E102,Roadmap!$D:$D,0)+COUNTIF($E102:S102,"u")+COUNTIF($E102:S102,"t")+COUNTIF($E102:S102,"¶")+COUNTIF($E102:S102,"²")+COUNTIF($E102:S102,"µ")+COUNTIF($E102:S102,1)-1,INDEX(Roadmap!$D:$K,MATCH($E102,Roadmap!$D:$D,0)-1+COUNTIF($E102:S102,"u")+COUNTIF($E102:S102,"t")+COUNTIF($E102:S102,"¶")+COUNTIF($E102:S102,"²")+COUNTIF($E102:S102,"µ")+COUNTIF($E102:S102,1),ColDescriptionCourte)),""),
  "")),"")</f>
        <v/>
      </c>
      <c r="U102" s="40" t="str">
        <f ca="1">IFERROR(IF(AND(
  INDEX(Roadmap!$D:$K,MATCH($E102,Roadmap!$D:$D,0)+COUNTIF($E102:T102,"u")+COUNTIF($E102:T102,"t")+COUNTIF($E102:T102,"¶")+COUNTIF($E102:T102,"²")+COUNTIF($E102:T102,"µ")+COUNTIF($E102:T102,1),ColLivraison)=U$6,
  VLOOKUP($E102,INDIRECT("tri!"&amp; CHAR(64+ C0Col) &amp;":"&amp; CHAR(65+C0Col)),2,FALSE)&gt;COUNTIF($E102:T102,"u")+COUNTIF($E102:T102,"t")+COUNTIF($E102:T102,"¶")+COUNTIF($E102:T102,"²")+COUNTIF($E102:T102,"µ")+COUNTIF($E102:T102,1)),
HYPERLINK("#Roadmap!C"&amp; MATCH($E102,Roadmap!$D:$D,0)+COUNTIF($E102:T102,"u")+COUNTIF($E102:T102,"t"),
     INDEX(Roadmap!$D:$K,MATCH($E102,Roadmap!$D:$D,0)+COUNTIF($E102:T102,"u")+COUNTIF($E102:T102,"t")+COUNTIF($E102:T102,"¶")+COUNTIF($E102:T102,"²")+COUNTIF($E102:T102,"µ")+COUNTIF($E102:T102,1),ColTypeEcheance)),
  IF(LEN(T102)=1,
  IF(LEN(INDEX(Roadmap!$D:$K,MATCH($E102,Roadmap!$D:$D,0)-1+COUNTIF($E102:T102,"u")+COUNTIF($E102:T102,"t")+COUNTIF($E102:T102,"¶")+COUNTIF($E102:T102,"²")+COUNTIF($E102:T102,"µ")+COUNTIF($E102:T102,1),ColDescriptionCourte))&gt;1,
HYPERLINK("#Roadmap!C"&amp; MATCH($E102,Roadmap!$D:$D,0)+COUNTIF($E102:T102,"u")+COUNTIF($E102:T102,"t")+COUNTIF($E102:T102,"¶")+COUNTIF($E102:T102,"²")+COUNTIF($E102:T102,"µ")+COUNTIF($E102:T102,1)-1,INDEX(Roadmap!$D:$K,MATCH($E102,Roadmap!$D:$D,0)-1+COUNTIF($E102:T102,"u")+COUNTIF($E102:T102,"t")+COUNTIF($E102:T102,"¶")+COUNTIF($E102:T102,"²")+COUNTIF($E102:T102,"µ")+COUNTIF($E102:T102,1),ColDescriptionCourte)),""),
  "")),"")</f>
        <v/>
      </c>
      <c r="V102" s="40" t="str">
        <f ca="1">IFERROR(IF(AND(
  INDEX(Roadmap!$D:$K,MATCH($E102,Roadmap!$D:$D,0)+COUNTIF($E102:U102,"u")+COUNTIF($E102:U102,"t")+COUNTIF($E102:U102,"¶")+COUNTIF($E102:U102,"²")+COUNTIF($E102:U102,"µ")+COUNTIF($E102:U102,1),ColLivraison)=V$6,
  VLOOKUP($E102,INDIRECT("tri!"&amp; CHAR(64+ C0Col) &amp;":"&amp; CHAR(65+C0Col)),2,FALSE)&gt;COUNTIF($E102:U102,"u")+COUNTIF($E102:U102,"t")+COUNTIF($E102:U102,"¶")+COUNTIF($E102:U102,"²")+COUNTIF($E102:U102,"µ")+COUNTIF($E102:U102,1)),
HYPERLINK("#Roadmap!C"&amp; MATCH($E102,Roadmap!$D:$D,0)+COUNTIF($E102:U102,"u")+COUNTIF($E102:U102,"t"),
     INDEX(Roadmap!$D:$K,MATCH($E102,Roadmap!$D:$D,0)+COUNTIF($E102:U102,"u")+COUNTIF($E102:U102,"t")+COUNTIF($E102:U102,"¶")+COUNTIF($E102:U102,"²")+COUNTIF($E102:U102,"µ")+COUNTIF($E102:U102,1),ColTypeEcheance)),
  IF(LEN(U102)=1,
  IF(LEN(INDEX(Roadmap!$D:$K,MATCH($E102,Roadmap!$D:$D,0)-1+COUNTIF($E102:U102,"u")+COUNTIF($E102:U102,"t")+COUNTIF($E102:U102,"¶")+COUNTIF($E102:U102,"²")+COUNTIF($E102:U102,"µ")+COUNTIF($E102:U102,1),ColDescriptionCourte))&gt;1,
HYPERLINK("#Roadmap!C"&amp; MATCH($E102,Roadmap!$D:$D,0)+COUNTIF($E102:U102,"u")+COUNTIF($E102:U102,"t")+COUNTIF($E102:U102,"¶")+COUNTIF($E102:U102,"²")+COUNTIF($E102:U102,"µ")+COUNTIF($E102:U102,1)-1,INDEX(Roadmap!$D:$K,MATCH($E102,Roadmap!$D:$D,0)-1+COUNTIF($E102:U102,"u")+COUNTIF($E102:U102,"t")+COUNTIF($E102:U102,"¶")+COUNTIF($E102:U102,"²")+COUNTIF($E102:U102,"µ")+COUNTIF($E102:U102,1),ColDescriptionCourte)),""),
  "")),"")</f>
        <v/>
      </c>
      <c r="W102" s="40" t="str">
        <f ca="1">IFERROR(IF(AND(
  INDEX(Roadmap!$D:$K,MATCH($E102,Roadmap!$D:$D,0)+COUNTIF($E102:V102,"u")+COUNTIF($E102:V102,"t")+COUNTIF($E102:V102,"¶")+COUNTIF($E102:V102,"²")+COUNTIF($E102:V102,"µ")+COUNTIF($E102:V102,1),ColLivraison)=W$6,
  VLOOKUP($E102,INDIRECT("tri!"&amp; CHAR(64+ C0Col) &amp;":"&amp; CHAR(65+C0Col)),2,FALSE)&gt;COUNTIF($E102:V102,"u")+COUNTIF($E102:V102,"t")+COUNTIF($E102:V102,"¶")+COUNTIF($E102:V102,"²")+COUNTIF($E102:V102,"µ")+COUNTIF($E102:V102,1)),
HYPERLINK("#Roadmap!C"&amp; MATCH($E102,Roadmap!$D:$D,0)+COUNTIF($E102:V102,"u")+COUNTIF($E102:V102,"t"),
     INDEX(Roadmap!$D:$K,MATCH($E102,Roadmap!$D:$D,0)+COUNTIF($E102:V102,"u")+COUNTIF($E102:V102,"t")+COUNTIF($E102:V102,"¶")+COUNTIF($E102:V102,"²")+COUNTIF($E102:V102,"µ")+COUNTIF($E102:V102,1),ColTypeEcheance)),
  IF(LEN(V102)=1,
  IF(LEN(INDEX(Roadmap!$D:$K,MATCH($E102,Roadmap!$D:$D,0)-1+COUNTIF($E102:V102,"u")+COUNTIF($E102:V102,"t")+COUNTIF($E102:V102,"¶")+COUNTIF($E102:V102,"²")+COUNTIF($E102:V102,"µ")+COUNTIF($E102:V102,1),ColDescriptionCourte))&gt;1,
HYPERLINK("#Roadmap!C"&amp; MATCH($E102,Roadmap!$D:$D,0)+COUNTIF($E102:V102,"u")+COUNTIF($E102:V102,"t")+COUNTIF($E102:V102,"¶")+COUNTIF($E102:V102,"²")+COUNTIF($E102:V102,"µ")+COUNTIF($E102:V102,1)-1,INDEX(Roadmap!$D:$K,MATCH($E102,Roadmap!$D:$D,0)-1+COUNTIF($E102:V102,"u")+COUNTIF($E102:V102,"t")+COUNTIF($E102:V102,"¶")+COUNTIF($E102:V102,"²")+COUNTIF($E102:V102,"µ")+COUNTIF($E102:V102,1),ColDescriptionCourte)),""),
  "")),"")</f>
        <v/>
      </c>
      <c r="X102" s="40" t="str">
        <f ca="1">IFERROR(IF(AND(
  INDEX(Roadmap!$D:$K,MATCH($E102,Roadmap!$D:$D,0)+COUNTIF($E102:W102,"u")+COUNTIF($E102:W102,"t")+COUNTIF($E102:W102,"¶")+COUNTIF($E102:W102,"²")+COUNTIF($E102:W102,"µ")+COUNTIF($E102:W102,1),ColLivraison)=X$6,
  VLOOKUP($E102,INDIRECT("tri!"&amp; CHAR(64+ C0Col) &amp;":"&amp; CHAR(65+C0Col)),2,FALSE)&gt;COUNTIF($E102:W102,"u")+COUNTIF($E102:W102,"t")+COUNTIF($E102:W102,"¶")+COUNTIF($E102:W102,"²")+COUNTIF($E102:W102,"µ")+COUNTIF($E102:W102,1)),
HYPERLINK("#Roadmap!C"&amp; MATCH($E102,Roadmap!$D:$D,0)+COUNTIF($E102:W102,"u")+COUNTIF($E102:W102,"t"),
     INDEX(Roadmap!$D:$K,MATCH($E102,Roadmap!$D:$D,0)+COUNTIF($E102:W102,"u")+COUNTIF($E102:W102,"t")+COUNTIF($E102:W102,"¶")+COUNTIF($E102:W102,"²")+COUNTIF($E102:W102,"µ")+COUNTIF($E102:W102,1),ColTypeEcheance)),
  IF(LEN(W102)=1,
  IF(LEN(INDEX(Roadmap!$D:$K,MATCH($E102,Roadmap!$D:$D,0)-1+COUNTIF($E102:W102,"u")+COUNTIF($E102:W102,"t")+COUNTIF($E102:W102,"¶")+COUNTIF($E102:W102,"²")+COUNTIF($E102:W102,"µ")+COUNTIF($E102:W102,1),ColDescriptionCourte))&gt;1,
HYPERLINK("#Roadmap!C"&amp; MATCH($E102,Roadmap!$D:$D,0)+COUNTIF($E102:W102,"u")+COUNTIF($E102:W102,"t")+COUNTIF($E102:W102,"¶")+COUNTIF($E102:W102,"²")+COUNTIF($E102:W102,"µ")+COUNTIF($E102:W102,1)-1,INDEX(Roadmap!$D:$K,MATCH($E102,Roadmap!$D:$D,0)-1+COUNTIF($E102:W102,"u")+COUNTIF($E102:W102,"t")+COUNTIF($E102:W102,"¶")+COUNTIF($E102:W102,"²")+COUNTIF($E102:W102,"µ")+COUNTIF($E102:W102,1),ColDescriptionCourte)),""),
  "")),"")</f>
        <v/>
      </c>
      <c r="Y102" s="40" t="str">
        <f ca="1">IFERROR(IF(AND(
  INDEX(Roadmap!$D:$K,MATCH($E102,Roadmap!$D:$D,0)+COUNTIF($E102:X102,"u")+COUNTIF($E102:X102,"t")+COUNTIF($E102:X102,"¶")+COUNTIF($E102:X102,"²")+COUNTIF($E102:X102,"µ")+COUNTIF($E102:X102,1),ColLivraison)=Y$6,
  VLOOKUP($E102,INDIRECT("tri!"&amp; CHAR(64+ C0Col) &amp;":"&amp; CHAR(65+C0Col)),2,FALSE)&gt;COUNTIF($E102:X102,"u")+COUNTIF($E102:X102,"t")+COUNTIF($E102:X102,"¶")+COUNTIF($E102:X102,"²")+COUNTIF($E102:X102,"µ")+COUNTIF($E102:X102,1)),
HYPERLINK("#Roadmap!C"&amp; MATCH($E102,Roadmap!$D:$D,0)+COUNTIF($E102:X102,"u")+COUNTIF($E102:X102,"t"),
     INDEX(Roadmap!$D:$K,MATCH($E102,Roadmap!$D:$D,0)+COUNTIF($E102:X102,"u")+COUNTIF($E102:X102,"t")+COUNTIF($E102:X102,"¶")+COUNTIF($E102:X102,"²")+COUNTIF($E102:X102,"µ")+COUNTIF($E102:X102,1),ColTypeEcheance)),
  IF(LEN(X102)=1,
  IF(LEN(INDEX(Roadmap!$D:$K,MATCH($E102,Roadmap!$D:$D,0)-1+COUNTIF($E102:X102,"u")+COUNTIF($E102:X102,"t")+COUNTIF($E102:X102,"¶")+COUNTIF($E102:X102,"²")+COUNTIF($E102:X102,"µ")+COUNTIF($E102:X102,1),ColDescriptionCourte))&gt;1,
HYPERLINK("#Roadmap!C"&amp; MATCH($E102,Roadmap!$D:$D,0)+COUNTIF($E102:X102,"u")+COUNTIF($E102:X102,"t")+COUNTIF($E102:X102,"¶")+COUNTIF($E102:X102,"²")+COUNTIF($E102:X102,"µ")+COUNTIF($E102:X102,1)-1,INDEX(Roadmap!$D:$K,MATCH($E102,Roadmap!$D:$D,0)-1+COUNTIF($E102:X102,"u")+COUNTIF($E102:X102,"t")+COUNTIF($E102:X102,"¶")+COUNTIF($E102:X102,"²")+COUNTIF($E102:X102,"µ")+COUNTIF($E102:X102,1),ColDescriptionCourte)),""),
  "")),"")</f>
        <v/>
      </c>
      <c r="Z102" s="40" t="str">
        <f ca="1">IFERROR(IF(AND(
  INDEX(Roadmap!$D:$K,MATCH($E102,Roadmap!$D:$D,0)+COUNTIF($E102:Y102,"u")+COUNTIF($E102:Y102,"t")+COUNTIF($E102:Y102,"¶")+COUNTIF($E102:Y102,"²")+COUNTIF($E102:Y102,"µ")+COUNTIF($E102:Y102,1),ColLivraison)=Z$6,
  VLOOKUP($E102,INDIRECT("tri!"&amp; CHAR(64+ C0Col) &amp;":"&amp; CHAR(65+C0Col)),2,FALSE)&gt;COUNTIF($E102:Y102,"u")+COUNTIF($E102:Y102,"t")+COUNTIF($E102:Y102,"¶")+COUNTIF($E102:Y102,"²")+COUNTIF($E102:Y102,"µ")+COUNTIF($E102:Y102,1)),
HYPERLINK("#Roadmap!C"&amp; MATCH($E102,Roadmap!$D:$D,0)+COUNTIF($E102:Y102,"u")+COUNTIF($E102:Y102,"t"),
     INDEX(Roadmap!$D:$K,MATCH($E102,Roadmap!$D:$D,0)+COUNTIF($E102:Y102,"u")+COUNTIF($E102:Y102,"t")+COUNTIF($E102:Y102,"¶")+COUNTIF($E102:Y102,"²")+COUNTIF($E102:Y102,"µ")+COUNTIF($E102:Y102,1),ColTypeEcheance)),
  IF(LEN(Y102)=1,
  IF(LEN(INDEX(Roadmap!$D:$K,MATCH($E102,Roadmap!$D:$D,0)-1+COUNTIF($E102:Y102,"u")+COUNTIF($E102:Y102,"t")+COUNTIF($E102:Y102,"¶")+COUNTIF($E102:Y102,"²")+COUNTIF($E102:Y102,"µ")+COUNTIF($E102:Y102,1),ColDescriptionCourte))&gt;1,
HYPERLINK("#Roadmap!C"&amp; MATCH($E102,Roadmap!$D:$D,0)+COUNTIF($E102:Y102,"u")+COUNTIF($E102:Y102,"t")+COUNTIF($E102:Y102,"¶")+COUNTIF($E102:Y102,"²")+COUNTIF($E102:Y102,"µ")+COUNTIF($E102:Y102,1)-1,INDEX(Roadmap!$D:$K,MATCH($E102,Roadmap!$D:$D,0)-1+COUNTIF($E102:Y102,"u")+COUNTIF($E102:Y102,"t")+COUNTIF($E102:Y102,"¶")+COUNTIF($E102:Y102,"²")+COUNTIF($E102:Y102,"µ")+COUNTIF($E102:Y102,1),ColDescriptionCourte)),""),
  "")),"")</f>
        <v/>
      </c>
      <c r="AA102" s="40" t="str">
        <f ca="1">IFERROR(IF(AND(
  INDEX(Roadmap!$D:$K,MATCH($E102,Roadmap!$D:$D,0)+COUNTIF($E102:Z102,"u")+COUNTIF($E102:Z102,"t")+COUNTIF($E102:Z102,"¶")+COUNTIF($E102:Z102,"²")+COUNTIF($E102:Z102,"µ")+COUNTIF($E102:Z102,1),ColLivraison)=AA$6,
  VLOOKUP($E102,INDIRECT("tri!"&amp; CHAR(64+ C0Col) &amp;":"&amp; CHAR(65+C0Col)),2,FALSE)&gt;COUNTIF($E102:Z102,"u")+COUNTIF($E102:Z102,"t")+COUNTIF($E102:Z102,"¶")+COUNTIF($E102:Z102,"²")+COUNTIF($E102:Z102,"µ")+COUNTIF($E102:Z102,1)),
HYPERLINK("#Roadmap!C"&amp; MATCH($E102,Roadmap!$D:$D,0)+COUNTIF($E102:Z102,"u")+COUNTIF($E102:Z102,"t"),
     INDEX(Roadmap!$D:$K,MATCH($E102,Roadmap!$D:$D,0)+COUNTIF($E102:Z102,"u")+COUNTIF($E102:Z102,"t")+COUNTIF($E102:Z102,"¶")+COUNTIF($E102:Z102,"²")+COUNTIF($E102:Z102,"µ")+COUNTIF($E102:Z102,1),ColTypeEcheance)),
  IF(LEN(Z102)=1,
  IF(LEN(INDEX(Roadmap!$D:$K,MATCH($E102,Roadmap!$D:$D,0)-1+COUNTIF($E102:Z102,"u")+COUNTIF($E102:Z102,"t")+COUNTIF($E102:Z102,"¶")+COUNTIF($E102:Z102,"²")+COUNTIF($E102:Z102,"µ")+COUNTIF($E102:Z102,1),ColDescriptionCourte))&gt;1,
HYPERLINK("#Roadmap!C"&amp; MATCH($E102,Roadmap!$D:$D,0)+COUNTIF($E102:Z102,"u")+COUNTIF($E102:Z102,"t")+COUNTIF($E102:Z102,"¶")+COUNTIF($E102:Z102,"²")+COUNTIF($E102:Z102,"µ")+COUNTIF($E102:Z102,1)-1,INDEX(Roadmap!$D:$K,MATCH($E102,Roadmap!$D:$D,0)-1+COUNTIF($E102:Z102,"u")+COUNTIF($E102:Z102,"t")+COUNTIF($E102:Z102,"¶")+COUNTIF($E102:Z102,"²")+COUNTIF($E102:Z102,"µ")+COUNTIF($E102:Z102,1),ColDescriptionCourte)),""),
  "")),"")</f>
        <v/>
      </c>
      <c r="AB102" s="40" t="str">
        <f ca="1">IFERROR(IF(AND(
  INDEX(Roadmap!$D:$K,MATCH($E102,Roadmap!$D:$D,0)+COUNTIF($E102:AA102,"u")+COUNTIF($E102:AA102,"t")+COUNTIF($E102:AA102,"¶")+COUNTIF($E102:AA102,"²")+COUNTIF($E102:AA102,"µ")+COUNTIF($E102:AA102,1),ColLivraison)=AB$6,
  VLOOKUP($E102,INDIRECT("tri!"&amp; CHAR(64+ C0Col) &amp;":"&amp; CHAR(65+C0Col)),2,FALSE)&gt;COUNTIF($E102:AA102,"u")+COUNTIF($E102:AA102,"t")+COUNTIF($E102:AA102,"¶")+COUNTIF($E102:AA102,"²")+COUNTIF($E102:AA102,"µ")+COUNTIF($E102:AA102,1)),
HYPERLINK("#Roadmap!C"&amp; MATCH($E102,Roadmap!$D:$D,0)+COUNTIF($E102:AA102,"u")+COUNTIF($E102:AA102,"t"),
     INDEX(Roadmap!$D:$K,MATCH($E102,Roadmap!$D:$D,0)+COUNTIF($E102:AA102,"u")+COUNTIF($E102:AA102,"t")+COUNTIF($E102:AA102,"¶")+COUNTIF($E102:AA102,"²")+COUNTIF($E102:AA102,"µ")+COUNTIF($E102:AA102,1),ColTypeEcheance)),
  IF(LEN(AA102)=1,
  IF(LEN(INDEX(Roadmap!$D:$K,MATCH($E102,Roadmap!$D:$D,0)-1+COUNTIF($E102:AA102,"u")+COUNTIF($E102:AA102,"t")+COUNTIF($E102:AA102,"¶")+COUNTIF($E102:AA102,"²")+COUNTIF($E102:AA102,"µ")+COUNTIF($E102:AA102,1),ColDescriptionCourte))&gt;1,
HYPERLINK("#Roadmap!C"&amp; MATCH($E102,Roadmap!$D:$D,0)+COUNTIF($E102:AA102,"u")+COUNTIF($E102:AA102,"t")+COUNTIF($E102:AA102,"¶")+COUNTIF($E102:AA102,"²")+COUNTIF($E102:AA102,"µ")+COUNTIF($E102:AA102,1)-1,INDEX(Roadmap!$D:$K,MATCH($E102,Roadmap!$D:$D,0)-1+COUNTIF($E102:AA102,"u")+COUNTIF($E102:AA102,"t")+COUNTIF($E102:AA102,"¶")+COUNTIF($E102:AA102,"²")+COUNTIF($E102:AA102,"µ")+COUNTIF($E102:AA102,1),ColDescriptionCourte)),""),
  "")),"")</f>
        <v/>
      </c>
      <c r="AC102" s="40" t="str">
        <f ca="1">IFERROR(IF(AND(
  INDEX(Roadmap!$D:$K,MATCH($E102,Roadmap!$D:$D,0)+COUNTIF($E102:AB102,"u")+COUNTIF($E102:AB102,"t")+COUNTIF($E102:AB102,"¶")+COUNTIF($E102:AB102,"²")+COUNTIF($E102:AB102,"µ")+COUNTIF($E102:AB102,1),ColLivraison)=AC$6,
  VLOOKUP($E102,INDIRECT("tri!"&amp; CHAR(64+ C0Col) &amp;":"&amp; CHAR(65+C0Col)),2,FALSE)&gt;COUNTIF($E102:AB102,"u")+COUNTIF($E102:AB102,"t")+COUNTIF($E102:AB102,"¶")+COUNTIF($E102:AB102,"²")+COUNTIF($E102:AB102,"µ")+COUNTIF($E102:AB102,1)),
HYPERLINK("#Roadmap!C"&amp; MATCH($E102,Roadmap!$D:$D,0)+COUNTIF($E102:AB102,"u")+COUNTIF($E102:AB102,"t"),
     INDEX(Roadmap!$D:$K,MATCH($E102,Roadmap!$D:$D,0)+COUNTIF($E102:AB102,"u")+COUNTIF($E102:AB102,"t")+COUNTIF($E102:AB102,"¶")+COUNTIF($E102:AB102,"²")+COUNTIF($E102:AB102,"µ")+COUNTIF($E102:AB102,1),ColTypeEcheance)),
  IF(LEN(AB102)=1,
  IF(LEN(INDEX(Roadmap!$D:$K,MATCH($E102,Roadmap!$D:$D,0)-1+COUNTIF($E102:AB102,"u")+COUNTIF($E102:AB102,"t")+COUNTIF($E102:AB102,"¶")+COUNTIF($E102:AB102,"²")+COUNTIF($E102:AB102,"µ")+COUNTIF($E102:AB102,1),ColDescriptionCourte))&gt;1,
HYPERLINK("#Roadmap!C"&amp; MATCH($E102,Roadmap!$D:$D,0)+COUNTIF($E102:AB102,"u")+COUNTIF($E102:AB102,"t")+COUNTIF($E102:AB102,"¶")+COUNTIF($E102:AB102,"²")+COUNTIF($E102:AB102,"µ")+COUNTIF($E102:AB102,1)-1,INDEX(Roadmap!$D:$K,MATCH($E102,Roadmap!$D:$D,0)-1+COUNTIF($E102:AB102,"u")+COUNTIF($E102:AB102,"t")+COUNTIF($E102:AB102,"¶")+COUNTIF($E102:AB102,"²")+COUNTIF($E102:AB102,"µ")+COUNTIF($E102:AB102,1),ColDescriptionCourte)),""),
  "")),"")</f>
        <v/>
      </c>
      <c r="AD102" s="40" t="str">
        <f ca="1">IFERROR(IF(AND(
  INDEX(Roadmap!$D:$K,MATCH($E102,Roadmap!$D:$D,0)+COUNTIF($E102:AC102,"u")+COUNTIF($E102:AC102,"t")+COUNTIF($E102:AC102,"¶")+COUNTIF($E102:AC102,"²")+COUNTIF($E102:AC102,"µ")+COUNTIF($E102:AC102,1),ColLivraison)=AD$6,
  VLOOKUP($E102,INDIRECT("tri!"&amp; CHAR(64+ C0Col) &amp;":"&amp; CHAR(65+C0Col)),2,FALSE)&gt;COUNTIF($E102:AC102,"u")+COUNTIF($E102:AC102,"t")+COUNTIF($E102:AC102,"¶")+COUNTIF($E102:AC102,"²")+COUNTIF($E102:AC102,"µ")+COUNTIF($E102:AC102,1)),
HYPERLINK("#Roadmap!C"&amp; MATCH($E102,Roadmap!$D:$D,0)+COUNTIF($E102:AC102,"u")+COUNTIF($E102:AC102,"t"),
     INDEX(Roadmap!$D:$K,MATCH($E102,Roadmap!$D:$D,0)+COUNTIF($E102:AC102,"u")+COUNTIF($E102:AC102,"t")+COUNTIF($E102:AC102,"¶")+COUNTIF($E102:AC102,"²")+COUNTIF($E102:AC102,"µ")+COUNTIF($E102:AC102,1),ColTypeEcheance)),
  IF(LEN(AC102)=1,
  IF(LEN(INDEX(Roadmap!$D:$K,MATCH($E102,Roadmap!$D:$D,0)-1+COUNTIF($E102:AC102,"u")+COUNTIF($E102:AC102,"t")+COUNTIF($E102:AC102,"¶")+COUNTIF($E102:AC102,"²")+COUNTIF($E102:AC102,"µ")+COUNTIF($E102:AC102,1),ColDescriptionCourte))&gt;1,
HYPERLINK("#Roadmap!C"&amp; MATCH($E102,Roadmap!$D:$D,0)+COUNTIF($E102:AC102,"u")+COUNTIF($E102:AC102,"t")+COUNTIF($E102:AC102,"¶")+COUNTIF($E102:AC102,"²")+COUNTIF($E102:AC102,"µ")+COUNTIF($E102:AC102,1)-1,INDEX(Roadmap!$D:$K,MATCH($E102,Roadmap!$D:$D,0)-1+COUNTIF($E102:AC102,"u")+COUNTIF($E102:AC102,"t")+COUNTIF($E102:AC102,"¶")+COUNTIF($E102:AC102,"²")+COUNTIF($E102:AC102,"µ")+COUNTIF($E102:AC102,1),ColDescriptionCourte)),""),
  "")),"")</f>
        <v/>
      </c>
      <c r="AE102" s="40" t="str">
        <f ca="1">IFERROR(IF(AND(
  INDEX(Roadmap!$D:$K,MATCH($E102,Roadmap!$D:$D,0)+COUNTIF($E102:AD102,"u")+COUNTIF($E102:AD102,"t")+COUNTIF($E102:AD102,"¶")+COUNTIF($E102:AD102,"²")+COUNTIF($E102:AD102,"µ")+COUNTIF($E102:AD102,1),ColLivraison)=AE$6,
  VLOOKUP($E102,INDIRECT("tri!"&amp; CHAR(64+ C0Col) &amp;":"&amp; CHAR(65+C0Col)),2,FALSE)&gt;COUNTIF($E102:AD102,"u")+COUNTIF($E102:AD102,"t")+COUNTIF($E102:AD102,"¶")+COUNTIF($E102:AD102,"²")+COUNTIF($E102:AD102,"µ")+COUNTIF($E102:AD102,1)),
HYPERLINK("#Roadmap!C"&amp; MATCH($E102,Roadmap!$D:$D,0)+COUNTIF($E102:AD102,"u")+COUNTIF($E102:AD102,"t"),
     INDEX(Roadmap!$D:$K,MATCH($E102,Roadmap!$D:$D,0)+COUNTIF($E102:AD102,"u")+COUNTIF($E102:AD102,"t")+COUNTIF($E102:AD102,"¶")+COUNTIF($E102:AD102,"²")+COUNTIF($E102:AD102,"µ")+COUNTIF($E102:AD102,1),ColTypeEcheance)),
  IF(LEN(AD102)=1,
  IF(LEN(INDEX(Roadmap!$D:$K,MATCH($E102,Roadmap!$D:$D,0)-1+COUNTIF($E102:AD102,"u")+COUNTIF($E102:AD102,"t")+COUNTIF($E102:AD102,"¶")+COUNTIF($E102:AD102,"²")+COUNTIF($E102:AD102,"µ")+COUNTIF($E102:AD102,1),ColDescriptionCourte))&gt;1,
HYPERLINK("#Roadmap!C"&amp; MATCH($E102,Roadmap!$D:$D,0)+COUNTIF($E102:AD102,"u")+COUNTIF($E102:AD102,"t")+COUNTIF($E102:AD102,"¶")+COUNTIF($E102:AD102,"²")+COUNTIF($E102:AD102,"µ")+COUNTIF($E102:AD102,1)-1,INDEX(Roadmap!$D:$K,MATCH($E102,Roadmap!$D:$D,0)-1+COUNTIF($E102:AD102,"u")+COUNTIF($E102:AD102,"t")+COUNTIF($E102:AD102,"¶")+COUNTIF($E102:AD102,"²")+COUNTIF($E102:AD102,"µ")+COUNTIF($E102:AD102,1),ColDescriptionCourte)),""),
  "")),"")</f>
        <v/>
      </c>
      <c r="AF102" s="40" t="str">
        <f ca="1">IFERROR(IF(AND(
  INDEX(Roadmap!$D:$K,MATCH($E102,Roadmap!$D:$D,0)+COUNTIF($E102:AE102,"u")+COUNTIF($E102:AE102,"t")+COUNTIF($E102:AE102,"¶")+COUNTIF($E102:AE102,"²")+COUNTIF($E102:AE102,"µ")+COUNTIF($E102:AE102,1),ColLivraison)=AF$6,
  VLOOKUP($E102,INDIRECT("tri!"&amp; CHAR(64+ C0Col) &amp;":"&amp; CHAR(65+C0Col)),2,FALSE)&gt;COUNTIF($E102:AE102,"u")+COUNTIF($E102:AE102,"t")+COUNTIF($E102:AE102,"¶")+COUNTIF($E102:AE102,"²")+COUNTIF($E102:AE102,"µ")+COUNTIF($E102:AE102,1)),
HYPERLINK("#Roadmap!C"&amp; MATCH($E102,Roadmap!$D:$D,0)+COUNTIF($E102:AE102,"u")+COUNTIF($E102:AE102,"t"),
     INDEX(Roadmap!$D:$K,MATCH($E102,Roadmap!$D:$D,0)+COUNTIF($E102:AE102,"u")+COUNTIF($E102:AE102,"t")+COUNTIF($E102:AE102,"¶")+COUNTIF($E102:AE102,"²")+COUNTIF($E102:AE102,"µ")+COUNTIF($E102:AE102,1),ColTypeEcheance)),
  IF(LEN(AE102)=1,
  IF(LEN(INDEX(Roadmap!$D:$K,MATCH($E102,Roadmap!$D:$D,0)-1+COUNTIF($E102:AE102,"u")+COUNTIF($E102:AE102,"t")+COUNTIF($E102:AE102,"¶")+COUNTIF($E102:AE102,"²")+COUNTIF($E102:AE102,"µ")+COUNTIF($E102:AE102,1),ColDescriptionCourte))&gt;1,
HYPERLINK("#Roadmap!C"&amp; MATCH($E102,Roadmap!$D:$D,0)+COUNTIF($E102:AE102,"u")+COUNTIF($E102:AE102,"t")+COUNTIF($E102:AE102,"¶")+COUNTIF($E102:AE102,"²")+COUNTIF($E102:AE102,"µ")+COUNTIF($E102:AE102,1)-1,INDEX(Roadmap!$D:$K,MATCH($E102,Roadmap!$D:$D,0)-1+COUNTIF($E102:AE102,"u")+COUNTIF($E102:AE102,"t")+COUNTIF($E102:AE102,"¶")+COUNTIF($E102:AE102,"²")+COUNTIF($E102:AE102,"µ")+COUNTIF($E102:AE102,1),ColDescriptionCourte)),""),
  "")),"")</f>
        <v/>
      </c>
      <c r="AG102" s="40" t="str">
        <f ca="1">IFERROR(IF(AND(
  INDEX(Roadmap!$D:$K,MATCH($E102,Roadmap!$D:$D,0)+COUNTIF($E102:AF102,"u")+COUNTIF($E102:AF102,"t")+COUNTIF($E102:AF102,"¶")+COUNTIF($E102:AF102,"²")+COUNTIF($E102:AF102,"µ")+COUNTIF($E102:AF102,1),ColLivraison)=AG$6,
  VLOOKUP($E102,INDIRECT("tri!"&amp; CHAR(64+ C0Col) &amp;":"&amp; CHAR(65+C0Col)),2,FALSE)&gt;COUNTIF($E102:AF102,"u")+COUNTIF($E102:AF102,"t")+COUNTIF($E102:AF102,"¶")+COUNTIF($E102:AF102,"²")+COUNTIF($E102:AF102,"µ")+COUNTIF($E102:AF102,1)),
HYPERLINK("#Roadmap!C"&amp; MATCH($E102,Roadmap!$D:$D,0)+COUNTIF($E102:AF102,"u")+COUNTIF($E102:AF102,"t"),
     INDEX(Roadmap!$D:$K,MATCH($E102,Roadmap!$D:$D,0)+COUNTIF($E102:AF102,"u")+COUNTIF($E102:AF102,"t")+COUNTIF($E102:AF102,"¶")+COUNTIF($E102:AF102,"²")+COUNTIF($E102:AF102,"µ")+COUNTIF($E102:AF102,1),ColTypeEcheance)),
  IF(LEN(AF102)=1,
  IF(LEN(INDEX(Roadmap!$D:$K,MATCH($E102,Roadmap!$D:$D,0)-1+COUNTIF($E102:AF102,"u")+COUNTIF($E102:AF102,"t")+COUNTIF($E102:AF102,"¶")+COUNTIF($E102:AF102,"²")+COUNTIF($E102:AF102,"µ")+COUNTIF($E102:AF102,1),ColDescriptionCourte))&gt;1,
HYPERLINK("#Roadmap!C"&amp; MATCH($E102,Roadmap!$D:$D,0)+COUNTIF($E102:AF102,"u")+COUNTIF($E102:AF102,"t")+COUNTIF($E102:AF102,"¶")+COUNTIF($E102:AF102,"²")+COUNTIF($E102:AF102,"µ")+COUNTIF($E102:AF102,1)-1,INDEX(Roadmap!$D:$K,MATCH($E102,Roadmap!$D:$D,0)-1+COUNTIF($E102:AF102,"u")+COUNTIF($E102:AF102,"t")+COUNTIF($E102:AF102,"¶")+COUNTIF($E102:AF102,"²")+COUNTIF($E102:AF102,"µ")+COUNTIF($E102:AF102,1),ColDescriptionCourte)),""),
  "")),"")</f>
        <v/>
      </c>
    </row>
    <row r="103" spans="3:33" ht="14.25" customHeight="1">
      <c r="C103" s="1" t="str">
        <f t="shared" ref="C103:C134" ca="1" si="49">IFERROR(IF(LEN(INDIRECT(ADDRESS(C0Ligne+ROW()-MaquetteLigne0,C0Col-2,1,1,"Tri")))&lt;2,"",IF(LEFT(INDIRECT(ADDRESS(C0Ligne+ROW()-MaquetteLigne0,C0Col-2,1,1,"Tri")),5)="Total","",INDIRECT(ADDRESS(C0Ligne+ROW()-MaquetteLigne0,C0Col-2,1,1,"Tri")))),"")</f>
        <v/>
      </c>
      <c r="D103" s="1" t="str">
        <f t="shared" ref="D103:D134" ca="1" si="50">IFERROR(IF(LEN(INDIRECT(ADDRESS(C0Ligne+ROW()-MaquetteLigne0,C0Col-1,1,1,"Tri")))&lt;2,"",IF(LEFT(INDIRECT(ADDRESS(C0Ligne+ROW()-MaquetteLigne0,C0Col-1,1,1,"Tri")),5)="Total","",INDIRECT(ADDRESS(C0Ligne+ROW()-MaquetteLigne0,C0Col-1,1,1,"Tri")))),"")</f>
        <v/>
      </c>
      <c r="E103" s="35" t="str">
        <f t="shared" ca="1" si="46"/>
        <v/>
      </c>
      <c r="F103" s="39" t="str">
        <f ca="1">IFERROR(IF(AND(
  INDEX(Roadmap!$D:$K,MATCH($E103,Roadmap!$D:$D,0)+COUNTIF($E103:E103,"u")+COUNTIF($E103:E103,"t")+COUNTIF($E103:E103,"¶")+COUNTIF($E103:E103,"²")+COUNTIF($E103:E103,"µ")+COUNTIF($E103:E103,1),ColLivraison)=F$6,
  VLOOKUP($E103,INDIRECT("tri!"&amp; CHAR(64+ C0Col) &amp;":"&amp; CHAR(65+C0Col)),2,FALSE)&gt;COUNTIF($E103:E103,"u")+COUNTIF($E103:E103,"t")+COUNTIF($E103:E103,"¶")+COUNTIF($E103:E103,"²")+COUNTIF($E103:E103,"µ")+COUNTIF($E103:E103,1)),
HYPERLINK("#Roadmap!C"&amp; MATCH($E103,Roadmap!$D:$D,0)+COUNTIF($E103:E103,"u")+COUNTIF($E103:E103,"t"),
     INDEX(Roadmap!$D:$K,MATCH($E103,Roadmap!$D:$D,0)+COUNTIF($E103:E103,"u")+COUNTIF($E103:E103,"t")+COUNTIF($E103:E103,"¶")+COUNTIF($E103:E103,"²")+COUNTIF($E103:E103,"µ")+COUNTIF($E103:E103,1),ColTypeEcheance)),
  IF(LEN(E103)=1,
  IF(LEN(INDEX(Roadmap!$D:$K,MATCH($E103,Roadmap!$D:$D,0)-1+COUNTIF($E103:E103,"u")+COUNTIF($E103:E103,"t")+COUNTIF($E103:E103,"¶")+COUNTIF($E103:E103,"²")+COUNTIF($E103:E103,"µ")+COUNTIF($E103:E103,1),ColDescriptionCourte))&gt;1,
HYPERLINK("#Roadmap!C"&amp; MATCH($E103,Roadmap!$D:$D,0)+COUNTIF($E103:E103,"u")+COUNTIF($E103:E103,"t")+COUNTIF($E103:E103,"¶")+COUNTIF($E103:E103,"²")+COUNTIF($E103:E103,"µ")+COUNTIF($E103:E103,1)-1,INDEX(Roadmap!$D:$K,MATCH($E103,Roadmap!$D:$D,0)-1+COUNTIF($E103:E103,"u")+COUNTIF($E103:E103,"t")+COUNTIF($E103:E103,"¶")+COUNTIF($E103:E103,"²")+COUNTIF($E103:E103,"µ")+COUNTIF($E103:E103,1),ColDescriptionCourte)),""),
  "")),"")</f>
        <v/>
      </c>
      <c r="G103" s="40" t="str">
        <f ca="1">IFERROR(IF(AND(
  INDEX(Roadmap!$D:$K,MATCH($E103,Roadmap!$D:$D,0)+COUNTIF($E103:F103,"u")+COUNTIF($E103:F103,"t")+COUNTIF($E103:F103,"¶")+COUNTIF($E103:F103,"²")+COUNTIF($E103:F103,"µ")+COUNTIF($E103:F103,1),ColLivraison)=G$6,
  VLOOKUP($E103,INDIRECT("tri!"&amp; CHAR(64+ C0Col) &amp;":"&amp; CHAR(65+C0Col)),2,FALSE)&gt;COUNTIF($E103:F103,"u")+COUNTIF($E103:F103,"t")+COUNTIF($E103:F103,"¶")+COUNTIF($E103:F103,"²")+COUNTIF($E103:F103,"µ")+COUNTIF($E103:F103,1)),
HYPERLINK("#Roadmap!C"&amp; MATCH($E103,Roadmap!$D:$D,0)+COUNTIF($E103:F103,"u")+COUNTIF($E103:F103,"t"),
     INDEX(Roadmap!$D:$K,MATCH($E103,Roadmap!$D:$D,0)+COUNTIF($E103:F103,"u")+COUNTIF($E103:F103,"t")+COUNTIF($E103:F103,"¶")+COUNTIF($E103:F103,"²")+COUNTIF($E103:F103,"µ")+COUNTIF($E103:F103,1),ColTypeEcheance)),
  IF(LEN(F103)=1,
  IF(LEN(INDEX(Roadmap!$D:$K,MATCH($E103,Roadmap!$D:$D,0)-1+COUNTIF($E103:F103,"u")+COUNTIF($E103:F103,"t")+COUNTIF($E103:F103,"¶")+COUNTIF($E103:F103,"²")+COUNTIF($E103:F103,"µ")+COUNTIF($E103:F103,1),ColDescriptionCourte))&gt;1,
HYPERLINK("#Roadmap!C"&amp; MATCH($E103,Roadmap!$D:$D,0)+COUNTIF($E103:F103,"u")+COUNTIF($E103:F103,"t")+COUNTIF($E103:F103,"¶")+COUNTIF($E103:F103,"²")+COUNTIF($E103:F103,"µ")+COUNTIF($E103:F103,1)-1,INDEX(Roadmap!$D:$K,MATCH($E103,Roadmap!$D:$D,0)-1+COUNTIF($E103:F103,"u")+COUNTIF($E103:F103,"t")+COUNTIF($E103:F103,"¶")+COUNTIF($E103:F103,"²")+COUNTIF($E103:F103,"µ")+COUNTIF($E103:F103,1),ColDescriptionCourte)),""),
  "")),"")</f>
        <v/>
      </c>
      <c r="H103" s="40" t="str">
        <f ca="1">IFERROR(IF(AND(
  INDEX(Roadmap!$D:$K,MATCH($E103,Roadmap!$D:$D,0)+COUNTIF($E103:G103,"u")+COUNTIF($E103:G103,"t")+COUNTIF($E103:G103,"¶")+COUNTIF($E103:G103,"²")+COUNTIF($E103:G103,"µ")+COUNTIF($E103:G103,1),ColLivraison)=H$6,
  VLOOKUP($E103,INDIRECT("tri!"&amp; CHAR(64+ C0Col) &amp;":"&amp; CHAR(65+C0Col)),2,FALSE)&gt;COUNTIF($E103:G103,"u")+COUNTIF($E103:G103,"t")+COUNTIF($E103:G103,"¶")+COUNTIF($E103:G103,"²")+COUNTIF($E103:G103,"µ")+COUNTIF($E103:G103,1)),
HYPERLINK("#Roadmap!C"&amp; MATCH($E103,Roadmap!$D:$D,0)+COUNTIF($E103:G103,"u")+COUNTIF($E103:G103,"t"),
     INDEX(Roadmap!$D:$K,MATCH($E103,Roadmap!$D:$D,0)+COUNTIF($E103:G103,"u")+COUNTIF($E103:G103,"t")+COUNTIF($E103:G103,"¶")+COUNTIF($E103:G103,"²")+COUNTIF($E103:G103,"µ")+COUNTIF($E103:G103,1),ColTypeEcheance)),
  IF(LEN(G103)=1,
  IF(LEN(INDEX(Roadmap!$D:$K,MATCH($E103,Roadmap!$D:$D,0)-1+COUNTIF($E103:G103,"u")+COUNTIF($E103:G103,"t")+COUNTIF($E103:G103,"¶")+COUNTIF($E103:G103,"²")+COUNTIF($E103:G103,"µ")+COUNTIF($E103:G103,1),ColDescriptionCourte))&gt;1,
HYPERLINK("#Roadmap!C"&amp; MATCH($E103,Roadmap!$D:$D,0)+COUNTIF($E103:G103,"u")+COUNTIF($E103:G103,"t")+COUNTIF($E103:G103,"¶")+COUNTIF($E103:G103,"²")+COUNTIF($E103:G103,"µ")+COUNTIF($E103:G103,1)-1,INDEX(Roadmap!$D:$K,MATCH($E103,Roadmap!$D:$D,0)-1+COUNTIF($E103:G103,"u")+COUNTIF($E103:G103,"t")+COUNTIF($E103:G103,"¶")+COUNTIF($E103:G103,"²")+COUNTIF($E103:G103,"µ")+COUNTIF($E103:G103,1),ColDescriptionCourte)),""),
  "")),"")</f>
        <v/>
      </c>
      <c r="I103" s="40" t="str">
        <f ca="1">IFERROR(IF(AND(
  INDEX(Roadmap!$D:$K,MATCH($E103,Roadmap!$D:$D,0)+COUNTIF($E103:H103,"u")+COUNTIF($E103:H103,"t")+COUNTIF($E103:H103,"¶")+COUNTIF($E103:H103,"²")+COUNTIF($E103:H103,"µ")+COUNTIF($E103:H103,1),ColLivraison)=I$6,
  VLOOKUP($E103,INDIRECT("tri!"&amp; CHAR(64+ C0Col) &amp;":"&amp; CHAR(65+C0Col)),2,FALSE)&gt;COUNTIF($E103:H103,"u")+COUNTIF($E103:H103,"t")+COUNTIF($E103:H103,"¶")+COUNTIF($E103:H103,"²")+COUNTIF($E103:H103,"µ")+COUNTIF($E103:H103,1)),
HYPERLINK("#Roadmap!C"&amp; MATCH($E103,Roadmap!$D:$D,0)+COUNTIF($E103:H103,"u")+COUNTIF($E103:H103,"t"),
     INDEX(Roadmap!$D:$K,MATCH($E103,Roadmap!$D:$D,0)+COUNTIF($E103:H103,"u")+COUNTIF($E103:H103,"t")+COUNTIF($E103:H103,"¶")+COUNTIF($E103:H103,"²")+COUNTIF($E103:H103,"µ")+COUNTIF($E103:H103,1),ColTypeEcheance)),
  IF(LEN(H103)=1,
  IF(LEN(INDEX(Roadmap!$D:$K,MATCH($E103,Roadmap!$D:$D,0)-1+COUNTIF($E103:H103,"u")+COUNTIF($E103:H103,"t")+COUNTIF($E103:H103,"¶")+COUNTIF($E103:H103,"²")+COUNTIF($E103:H103,"µ")+COUNTIF($E103:H103,1),ColDescriptionCourte))&gt;1,
HYPERLINK("#Roadmap!C"&amp; MATCH($E103,Roadmap!$D:$D,0)+COUNTIF($E103:H103,"u")+COUNTIF($E103:H103,"t")+COUNTIF($E103:H103,"¶")+COUNTIF($E103:H103,"²")+COUNTIF($E103:H103,"µ")+COUNTIF($E103:H103,1)-1,INDEX(Roadmap!$D:$K,MATCH($E103,Roadmap!$D:$D,0)-1+COUNTIF($E103:H103,"u")+COUNTIF($E103:H103,"t")+COUNTIF($E103:H103,"¶")+COUNTIF($E103:H103,"²")+COUNTIF($E103:H103,"µ")+COUNTIF($E103:H103,1),ColDescriptionCourte)),""),
  "")),"")</f>
        <v/>
      </c>
      <c r="J103" s="40" t="str">
        <f ca="1">IFERROR(IF(AND(
  INDEX(Roadmap!$D:$K,MATCH($E103,Roadmap!$D:$D,0)+COUNTIF($E103:I103,"u")+COUNTIF($E103:I103,"t")+COUNTIF($E103:I103,"¶")+COUNTIF($E103:I103,"²")+COUNTIF($E103:I103,"µ")+COUNTIF($E103:I103,1),ColLivraison)=J$6,
  VLOOKUP($E103,INDIRECT("tri!"&amp; CHAR(64+ C0Col) &amp;":"&amp; CHAR(65+C0Col)),2,FALSE)&gt;COUNTIF($E103:I103,"u")+COUNTIF($E103:I103,"t")+COUNTIF($E103:I103,"¶")+COUNTIF($E103:I103,"²")+COUNTIF($E103:I103,"µ")+COUNTIF($E103:I103,1)),
HYPERLINK("#Roadmap!C"&amp; MATCH($E103,Roadmap!$D:$D,0)+COUNTIF($E103:I103,"u")+COUNTIF($E103:I103,"t"),
     INDEX(Roadmap!$D:$K,MATCH($E103,Roadmap!$D:$D,0)+COUNTIF($E103:I103,"u")+COUNTIF($E103:I103,"t")+COUNTIF($E103:I103,"¶")+COUNTIF($E103:I103,"²")+COUNTIF($E103:I103,"µ")+COUNTIF($E103:I103,1),ColTypeEcheance)),
  IF(LEN(I103)=1,
  IF(LEN(INDEX(Roadmap!$D:$K,MATCH($E103,Roadmap!$D:$D,0)-1+COUNTIF($E103:I103,"u")+COUNTIF($E103:I103,"t")+COUNTIF($E103:I103,"¶")+COUNTIF($E103:I103,"²")+COUNTIF($E103:I103,"µ")+COUNTIF($E103:I103,1),ColDescriptionCourte))&gt;1,
HYPERLINK("#Roadmap!C"&amp; MATCH($E103,Roadmap!$D:$D,0)+COUNTIF($E103:I103,"u")+COUNTIF($E103:I103,"t")+COUNTIF($E103:I103,"¶")+COUNTIF($E103:I103,"²")+COUNTIF($E103:I103,"µ")+COUNTIF($E103:I103,1)-1,INDEX(Roadmap!$D:$K,MATCH($E103,Roadmap!$D:$D,0)-1+COUNTIF($E103:I103,"u")+COUNTIF($E103:I103,"t")+COUNTIF($E103:I103,"¶")+COUNTIF($E103:I103,"²")+COUNTIF($E103:I103,"µ")+COUNTIF($E103:I103,1),ColDescriptionCourte)),""),
  "")),"")</f>
        <v/>
      </c>
      <c r="K103" s="40" t="str">
        <f ca="1">IFERROR(IF(AND(
  INDEX(Roadmap!$D:$K,MATCH($E103,Roadmap!$D:$D,0)+COUNTIF($E103:J103,"u")+COUNTIF($E103:J103,"t")+COUNTIF($E103:J103,"¶")+COUNTIF($E103:J103,"²")+COUNTIF($E103:J103,"µ")+COUNTIF($E103:J103,1),ColLivraison)=K$6,
  VLOOKUP($E103,INDIRECT("tri!"&amp; CHAR(64+ C0Col) &amp;":"&amp; CHAR(65+C0Col)),2,FALSE)&gt;COUNTIF($E103:J103,"u")+COUNTIF($E103:J103,"t")+COUNTIF($E103:J103,"¶")+COUNTIF($E103:J103,"²")+COUNTIF($E103:J103,"µ")+COUNTIF($E103:J103,1)),
HYPERLINK("#Roadmap!C"&amp; MATCH($E103,Roadmap!$D:$D,0)+COUNTIF($E103:J103,"u")+COUNTIF($E103:J103,"t"),
     INDEX(Roadmap!$D:$K,MATCH($E103,Roadmap!$D:$D,0)+COUNTIF($E103:J103,"u")+COUNTIF($E103:J103,"t")+COUNTIF($E103:J103,"¶")+COUNTIF($E103:J103,"²")+COUNTIF($E103:J103,"µ")+COUNTIF($E103:J103,1),ColTypeEcheance)),
  IF(LEN(J103)=1,
  IF(LEN(INDEX(Roadmap!$D:$K,MATCH($E103,Roadmap!$D:$D,0)-1+COUNTIF($E103:J103,"u")+COUNTIF($E103:J103,"t")+COUNTIF($E103:J103,"¶")+COUNTIF($E103:J103,"²")+COUNTIF($E103:J103,"µ")+COUNTIF($E103:J103,1),ColDescriptionCourte))&gt;1,
HYPERLINK("#Roadmap!C"&amp; MATCH($E103,Roadmap!$D:$D,0)+COUNTIF($E103:J103,"u")+COUNTIF($E103:J103,"t")+COUNTIF($E103:J103,"¶")+COUNTIF($E103:J103,"²")+COUNTIF($E103:J103,"µ")+COUNTIF($E103:J103,1)-1,INDEX(Roadmap!$D:$K,MATCH($E103,Roadmap!$D:$D,0)-1+COUNTIF($E103:J103,"u")+COUNTIF($E103:J103,"t")+COUNTIF($E103:J103,"¶")+COUNTIF($E103:J103,"²")+COUNTIF($E103:J103,"µ")+COUNTIF($E103:J103,1),ColDescriptionCourte)),""),
  "")),"")</f>
        <v/>
      </c>
      <c r="L103" s="39" t="str">
        <f ca="1">IFERROR(IF(AND(
  INDEX(Roadmap!$D:$K,MATCH($E103,Roadmap!$D:$D,0)+COUNTIF($E103:K103,"u")+COUNTIF($E103:K103,"t")+COUNTIF($E103:K103,"¶")+COUNTIF($E103:K103,"²")+COUNTIF($E103:K103,"µ")+COUNTIF($E103:K103,1),ColLivraison)=L$6,
  VLOOKUP($E103,INDIRECT("tri!"&amp; CHAR(64+ C0Col) &amp;":"&amp; CHAR(65+C0Col)),2,FALSE)&gt;COUNTIF($E103:K103,"u")+COUNTIF($E103:K103,"t")+COUNTIF($E103:K103,"¶")+COUNTIF($E103:K103,"²")+COUNTIF($E103:K103,"µ")+COUNTIF($E103:K103,1)),
HYPERLINK("#Roadmap!C"&amp; MATCH($E103,Roadmap!$D:$D,0)+COUNTIF($E103:K103,"u")+COUNTIF($E103:K103,"t"),
     INDEX(Roadmap!$D:$K,MATCH($E103,Roadmap!$D:$D,0)+COUNTIF($E103:K103,"u")+COUNTIF($E103:K103,"t")+COUNTIF($E103:K103,"¶")+COUNTIF($E103:K103,"²")+COUNTIF($E103:K103,"µ")+COUNTIF($E103:K103,1),ColTypeEcheance)),
  IF(LEN(K103)=1,
  IF(LEN(INDEX(Roadmap!$D:$K,MATCH($E103,Roadmap!$D:$D,0)-1+COUNTIF($E103:K103,"u")+COUNTIF($E103:K103,"t")+COUNTIF($E103:K103,"¶")+COUNTIF($E103:K103,"²")+COUNTIF($E103:K103,"µ")+COUNTIF($E103:K103,1),ColDescriptionCourte))&gt;1,
HYPERLINK("#Roadmap!C"&amp; MATCH($E103,Roadmap!$D:$D,0)+COUNTIF($E103:K103,"u")+COUNTIF($E103:K103,"t")+COUNTIF($E103:K103,"¶")+COUNTIF($E103:K103,"²")+COUNTIF($E103:K103,"µ")+COUNTIF($E103:K103,1)-1,INDEX(Roadmap!$D:$K,MATCH($E103,Roadmap!$D:$D,0)-1+COUNTIF($E103:K103,"u")+COUNTIF($E103:K103,"t")+COUNTIF($E103:K103,"¶")+COUNTIF($E103:K103,"²")+COUNTIF($E103:K103,"µ")+COUNTIF($E103:K103,1),ColDescriptionCourte)),""),
  "")),"")</f>
        <v/>
      </c>
      <c r="M103" s="40" t="str">
        <f ca="1">IFERROR(IF(AND(
  INDEX(Roadmap!$D:$K,MATCH($E103,Roadmap!$D:$D,0)+COUNTIF($E103:L103,"u")+COUNTIF($E103:L103,"t")+COUNTIF($E103:L103,"¶")+COUNTIF($E103:L103,"²")+COUNTIF($E103:L103,"µ")+COUNTIF($E103:L103,1),ColLivraison)=M$6,
  VLOOKUP($E103,INDIRECT("tri!"&amp; CHAR(64+ C0Col) &amp;":"&amp; CHAR(65+C0Col)),2,FALSE)&gt;COUNTIF($E103:L103,"u")+COUNTIF($E103:L103,"t")+COUNTIF($E103:L103,"¶")+COUNTIF($E103:L103,"²")+COUNTIF($E103:L103,"µ")+COUNTIF($E103:L103,1)),
HYPERLINK("#Roadmap!C"&amp; MATCH($E103,Roadmap!$D:$D,0)+COUNTIF($E103:L103,"u")+COUNTIF($E103:L103,"t"),
     INDEX(Roadmap!$D:$K,MATCH($E103,Roadmap!$D:$D,0)+COUNTIF($E103:L103,"u")+COUNTIF($E103:L103,"t")+COUNTIF($E103:L103,"¶")+COUNTIF($E103:L103,"²")+COUNTIF($E103:L103,"µ")+COUNTIF($E103:L103,1),ColTypeEcheance)),
  IF(LEN(L103)=1,
  IF(LEN(INDEX(Roadmap!$D:$K,MATCH($E103,Roadmap!$D:$D,0)-1+COUNTIF($E103:L103,"u")+COUNTIF($E103:L103,"t")+COUNTIF($E103:L103,"¶")+COUNTIF($E103:L103,"²")+COUNTIF($E103:L103,"µ")+COUNTIF($E103:L103,1),ColDescriptionCourte))&gt;1,
HYPERLINK("#Roadmap!C"&amp; MATCH($E103,Roadmap!$D:$D,0)+COUNTIF($E103:L103,"u")+COUNTIF($E103:L103,"t")+COUNTIF($E103:L103,"¶")+COUNTIF($E103:L103,"²")+COUNTIF($E103:L103,"µ")+COUNTIF($E103:L103,1)-1,INDEX(Roadmap!$D:$K,MATCH($E103,Roadmap!$D:$D,0)-1+COUNTIF($E103:L103,"u")+COUNTIF($E103:L103,"t")+COUNTIF($E103:L103,"¶")+COUNTIF($E103:L103,"²")+COUNTIF($E103:L103,"µ")+COUNTIF($E103:L103,1),ColDescriptionCourte)),""),
  "")),"")</f>
        <v/>
      </c>
      <c r="N103" s="40" t="str">
        <f ca="1">IFERROR(IF(AND(
  INDEX(Roadmap!$D:$K,MATCH($E103,Roadmap!$D:$D,0)+COUNTIF($E103:M103,"u")+COUNTIF($E103:M103,"t")+COUNTIF($E103:M103,"¶")+COUNTIF($E103:M103,"²")+COUNTIF($E103:M103,"µ")+COUNTIF($E103:M103,1),ColLivraison)=N$6,
  VLOOKUP($E103,INDIRECT("tri!"&amp; CHAR(64+ C0Col) &amp;":"&amp; CHAR(65+C0Col)),2,FALSE)&gt;COUNTIF($E103:M103,"u")+COUNTIF($E103:M103,"t")+COUNTIF($E103:M103,"¶")+COUNTIF($E103:M103,"²")+COUNTIF($E103:M103,"µ")+COUNTIF($E103:M103,1)),
HYPERLINK("#Roadmap!C"&amp; MATCH($E103,Roadmap!$D:$D,0)+COUNTIF($E103:M103,"u")+COUNTIF($E103:M103,"t"),
     INDEX(Roadmap!$D:$K,MATCH($E103,Roadmap!$D:$D,0)+COUNTIF($E103:M103,"u")+COUNTIF($E103:M103,"t")+COUNTIF($E103:M103,"¶")+COUNTIF($E103:M103,"²")+COUNTIF($E103:M103,"µ")+COUNTIF($E103:M103,1),ColTypeEcheance)),
  IF(LEN(M103)=1,
  IF(LEN(INDEX(Roadmap!$D:$K,MATCH($E103,Roadmap!$D:$D,0)-1+COUNTIF($E103:M103,"u")+COUNTIF($E103:M103,"t")+COUNTIF($E103:M103,"¶")+COUNTIF($E103:M103,"²")+COUNTIF($E103:M103,"µ")+COUNTIF($E103:M103,1),ColDescriptionCourte))&gt;1,
HYPERLINK("#Roadmap!C"&amp; MATCH($E103,Roadmap!$D:$D,0)+COUNTIF($E103:M103,"u")+COUNTIF($E103:M103,"t")+COUNTIF($E103:M103,"¶")+COUNTIF($E103:M103,"²")+COUNTIF($E103:M103,"µ")+COUNTIF($E103:M103,1)-1,INDEX(Roadmap!$D:$K,MATCH($E103,Roadmap!$D:$D,0)-1+COUNTIF($E103:M103,"u")+COUNTIF($E103:M103,"t")+COUNTIF($E103:M103,"¶")+COUNTIF($E103:M103,"²")+COUNTIF($E103:M103,"µ")+COUNTIF($E103:M103,1),ColDescriptionCourte)),""),
  "")),"")</f>
        <v/>
      </c>
      <c r="O103" s="40" t="str">
        <f ca="1">IFERROR(IF(AND(
  INDEX(Roadmap!$D:$K,MATCH($E103,Roadmap!$D:$D,0)+COUNTIF($E103:N103,"u")+COUNTIF($E103:N103,"t")+COUNTIF($E103:N103,"¶")+COUNTIF($E103:N103,"²")+COUNTIF($E103:N103,"µ")+COUNTIF($E103:N103,1),ColLivraison)=O$6,
  VLOOKUP($E103,INDIRECT("tri!"&amp; CHAR(64+ C0Col) &amp;":"&amp; CHAR(65+C0Col)),2,FALSE)&gt;COUNTIF($E103:N103,"u")+COUNTIF($E103:N103,"t")+COUNTIF($E103:N103,"¶")+COUNTIF($E103:N103,"²")+COUNTIF($E103:N103,"µ")+COUNTIF($E103:N103,1)),
HYPERLINK("#Roadmap!C"&amp; MATCH($E103,Roadmap!$D:$D,0)+COUNTIF($E103:N103,"u")+COUNTIF($E103:N103,"t"),
     INDEX(Roadmap!$D:$K,MATCH($E103,Roadmap!$D:$D,0)+COUNTIF($E103:N103,"u")+COUNTIF($E103:N103,"t")+COUNTIF($E103:N103,"¶")+COUNTIF($E103:N103,"²")+COUNTIF($E103:N103,"µ")+COUNTIF($E103:N103,1),ColTypeEcheance)),
  IF(LEN(N103)=1,
  IF(LEN(INDEX(Roadmap!$D:$K,MATCH($E103,Roadmap!$D:$D,0)-1+COUNTIF($E103:N103,"u")+COUNTIF($E103:N103,"t")+COUNTIF($E103:N103,"¶")+COUNTIF($E103:N103,"²")+COUNTIF($E103:N103,"µ")+COUNTIF($E103:N103,1),ColDescriptionCourte))&gt;1,
HYPERLINK("#Roadmap!C"&amp; MATCH($E103,Roadmap!$D:$D,0)+COUNTIF($E103:N103,"u")+COUNTIF($E103:N103,"t")+COUNTIF($E103:N103,"¶")+COUNTIF($E103:N103,"²")+COUNTIF($E103:N103,"µ")+COUNTIF($E103:N103,1)-1,INDEX(Roadmap!$D:$K,MATCH($E103,Roadmap!$D:$D,0)-1+COUNTIF($E103:N103,"u")+COUNTIF($E103:N103,"t")+COUNTIF($E103:N103,"¶")+COUNTIF($E103:N103,"²")+COUNTIF($E103:N103,"µ")+COUNTIF($E103:N103,1),ColDescriptionCourte)),""),
  "")),"")</f>
        <v/>
      </c>
      <c r="P103" s="40" t="str">
        <f ca="1">IFERROR(IF(AND(
  INDEX(Roadmap!$D:$K,MATCH($E103,Roadmap!$D:$D,0)+COUNTIF($E103:O103,"u")+COUNTIF($E103:O103,"t")+COUNTIF($E103:O103,"¶")+COUNTIF($E103:O103,"²")+COUNTIF($E103:O103,"µ")+COUNTIF($E103:O103,1),ColLivraison)=P$6,
  VLOOKUP($E103,INDIRECT("tri!"&amp; CHAR(64+ C0Col) &amp;":"&amp; CHAR(65+C0Col)),2,FALSE)&gt;COUNTIF($E103:O103,"u")+COUNTIF($E103:O103,"t")+COUNTIF($E103:O103,"¶")+COUNTIF($E103:O103,"²")+COUNTIF($E103:O103,"µ")+COUNTIF($E103:O103,1)),
HYPERLINK("#Roadmap!C"&amp; MATCH($E103,Roadmap!$D:$D,0)+COUNTIF($E103:O103,"u")+COUNTIF($E103:O103,"t"),
     INDEX(Roadmap!$D:$K,MATCH($E103,Roadmap!$D:$D,0)+COUNTIF($E103:O103,"u")+COUNTIF($E103:O103,"t")+COUNTIF($E103:O103,"¶")+COUNTIF($E103:O103,"²")+COUNTIF($E103:O103,"µ")+COUNTIF($E103:O103,1),ColTypeEcheance)),
  IF(LEN(O103)=1,
  IF(LEN(INDEX(Roadmap!$D:$K,MATCH($E103,Roadmap!$D:$D,0)-1+COUNTIF($E103:O103,"u")+COUNTIF($E103:O103,"t")+COUNTIF($E103:O103,"¶")+COUNTIF($E103:O103,"²")+COUNTIF($E103:O103,"µ")+COUNTIF($E103:O103,1),ColDescriptionCourte))&gt;1,
HYPERLINK("#Roadmap!C"&amp; MATCH($E103,Roadmap!$D:$D,0)+COUNTIF($E103:O103,"u")+COUNTIF($E103:O103,"t")+COUNTIF($E103:O103,"¶")+COUNTIF($E103:O103,"²")+COUNTIF($E103:O103,"µ")+COUNTIF($E103:O103,1)-1,INDEX(Roadmap!$D:$K,MATCH($E103,Roadmap!$D:$D,0)-1+COUNTIF($E103:O103,"u")+COUNTIF($E103:O103,"t")+COUNTIF($E103:O103,"¶")+COUNTIF($E103:O103,"²")+COUNTIF($E103:O103,"µ")+COUNTIF($E103:O103,1),ColDescriptionCourte)),""),
  "")),"")</f>
        <v/>
      </c>
      <c r="Q103" s="40" t="str">
        <f ca="1">IFERROR(IF(AND(
  INDEX(Roadmap!$D:$K,MATCH($E103,Roadmap!$D:$D,0)+COUNTIF($E103:P103,"u")+COUNTIF($E103:P103,"t")+COUNTIF($E103:P103,"¶")+COUNTIF($E103:P103,"²")+COUNTIF($E103:P103,"µ")+COUNTIF($E103:P103,1),ColLivraison)=Q$6,
  VLOOKUP($E103,INDIRECT("tri!"&amp; CHAR(64+ C0Col) &amp;":"&amp; CHAR(65+C0Col)),2,FALSE)&gt;COUNTIF($E103:P103,"u")+COUNTIF($E103:P103,"t")+COUNTIF($E103:P103,"¶")+COUNTIF($E103:P103,"²")+COUNTIF($E103:P103,"µ")+COUNTIF($E103:P103,1)),
HYPERLINK("#Roadmap!C"&amp; MATCH($E103,Roadmap!$D:$D,0)+COUNTIF($E103:P103,"u")+COUNTIF($E103:P103,"t"),
     INDEX(Roadmap!$D:$K,MATCH($E103,Roadmap!$D:$D,0)+COUNTIF($E103:P103,"u")+COUNTIF($E103:P103,"t")+COUNTIF($E103:P103,"¶")+COUNTIF($E103:P103,"²")+COUNTIF($E103:P103,"µ")+COUNTIF($E103:P103,1),ColTypeEcheance)),
  IF(LEN(P103)=1,
  IF(LEN(INDEX(Roadmap!$D:$K,MATCH($E103,Roadmap!$D:$D,0)-1+COUNTIF($E103:P103,"u")+COUNTIF($E103:P103,"t")+COUNTIF($E103:P103,"¶")+COUNTIF($E103:P103,"²")+COUNTIF($E103:P103,"µ")+COUNTIF($E103:P103,1),ColDescriptionCourte))&gt;1,
HYPERLINK("#Roadmap!C"&amp; MATCH($E103,Roadmap!$D:$D,0)+COUNTIF($E103:P103,"u")+COUNTIF($E103:P103,"t")+COUNTIF($E103:P103,"¶")+COUNTIF($E103:P103,"²")+COUNTIF($E103:P103,"µ")+COUNTIF($E103:P103,1)-1,INDEX(Roadmap!$D:$K,MATCH($E103,Roadmap!$D:$D,0)-1+COUNTIF($E103:P103,"u")+COUNTIF($E103:P103,"t")+COUNTIF($E103:P103,"¶")+COUNTIF($E103:P103,"²")+COUNTIF($E103:P103,"µ")+COUNTIF($E103:P103,1),ColDescriptionCourte)),""),
  "")),"")</f>
        <v/>
      </c>
      <c r="R103" s="40" t="str">
        <f ca="1">IFERROR(IF(AND(
  INDEX(Roadmap!$D:$K,MATCH($E103,Roadmap!$D:$D,0)+COUNTIF($E103:Q103,"u")+COUNTIF($E103:Q103,"t")+COUNTIF($E103:Q103,"¶")+COUNTIF($E103:Q103,"²")+COUNTIF($E103:Q103,"µ")+COUNTIF($E103:Q103,1),ColLivraison)=R$6,
  VLOOKUP($E103,INDIRECT("tri!"&amp; CHAR(64+ C0Col) &amp;":"&amp; CHAR(65+C0Col)),2,FALSE)&gt;COUNTIF($E103:Q103,"u")+COUNTIF($E103:Q103,"t")+COUNTIF($E103:Q103,"¶")+COUNTIF($E103:Q103,"²")+COUNTIF($E103:Q103,"µ")+COUNTIF($E103:Q103,1)),
HYPERLINK("#Roadmap!C"&amp; MATCH($E103,Roadmap!$D:$D,0)+COUNTIF($E103:Q103,"u")+COUNTIF($E103:Q103,"t"),
     INDEX(Roadmap!$D:$K,MATCH($E103,Roadmap!$D:$D,0)+COUNTIF($E103:Q103,"u")+COUNTIF($E103:Q103,"t")+COUNTIF($E103:Q103,"¶")+COUNTIF($E103:Q103,"²")+COUNTIF($E103:Q103,"µ")+COUNTIF($E103:Q103,1),ColTypeEcheance)),
  IF(LEN(Q103)=1,
  IF(LEN(INDEX(Roadmap!$D:$K,MATCH($E103,Roadmap!$D:$D,0)-1+COUNTIF($E103:Q103,"u")+COUNTIF($E103:Q103,"t")+COUNTIF($E103:Q103,"¶")+COUNTIF($E103:Q103,"²")+COUNTIF($E103:Q103,"µ")+COUNTIF($E103:Q103,1),ColDescriptionCourte))&gt;1,
HYPERLINK("#Roadmap!C"&amp; MATCH($E103,Roadmap!$D:$D,0)+COUNTIF($E103:Q103,"u")+COUNTIF($E103:Q103,"t")+COUNTIF($E103:Q103,"¶")+COUNTIF($E103:Q103,"²")+COUNTIF($E103:Q103,"µ")+COUNTIF($E103:Q103,1)-1,INDEX(Roadmap!$D:$K,MATCH($E103,Roadmap!$D:$D,0)-1+COUNTIF($E103:Q103,"u")+COUNTIF($E103:Q103,"t")+COUNTIF($E103:Q103,"¶")+COUNTIF($E103:Q103,"²")+COUNTIF($E103:Q103,"µ")+COUNTIF($E103:Q103,1),ColDescriptionCourte)),""),
  "")),"")</f>
        <v/>
      </c>
      <c r="S103" s="40" t="str">
        <f ca="1">IFERROR(IF(AND(
  INDEX(Roadmap!$D:$K,MATCH($E103,Roadmap!$D:$D,0)+COUNTIF($E103:R103,"u")+COUNTIF($E103:R103,"t")+COUNTIF($E103:R103,"¶")+COUNTIF($E103:R103,"²")+COUNTIF($E103:R103,"µ")+COUNTIF($E103:R103,1),ColLivraison)=S$6,
  VLOOKUP($E103,INDIRECT("tri!"&amp; CHAR(64+ C0Col) &amp;":"&amp; CHAR(65+C0Col)),2,FALSE)&gt;COUNTIF($E103:R103,"u")+COUNTIF($E103:R103,"t")+COUNTIF($E103:R103,"¶")+COUNTIF($E103:R103,"²")+COUNTIF($E103:R103,"µ")+COUNTIF($E103:R103,1)),
HYPERLINK("#Roadmap!C"&amp; MATCH($E103,Roadmap!$D:$D,0)+COUNTIF($E103:R103,"u")+COUNTIF($E103:R103,"t"),
     INDEX(Roadmap!$D:$K,MATCH($E103,Roadmap!$D:$D,0)+COUNTIF($E103:R103,"u")+COUNTIF($E103:R103,"t")+COUNTIF($E103:R103,"¶")+COUNTIF($E103:R103,"²")+COUNTIF($E103:R103,"µ")+COUNTIF($E103:R103,1),ColTypeEcheance)),
  IF(LEN(R103)=1,
  IF(LEN(INDEX(Roadmap!$D:$K,MATCH($E103,Roadmap!$D:$D,0)-1+COUNTIF($E103:R103,"u")+COUNTIF($E103:R103,"t")+COUNTIF($E103:R103,"¶")+COUNTIF($E103:R103,"²")+COUNTIF($E103:R103,"µ")+COUNTIF($E103:R103,1),ColDescriptionCourte))&gt;1,
HYPERLINK("#Roadmap!C"&amp; MATCH($E103,Roadmap!$D:$D,0)+COUNTIF($E103:R103,"u")+COUNTIF($E103:R103,"t")+COUNTIF($E103:R103,"¶")+COUNTIF($E103:R103,"²")+COUNTIF($E103:R103,"µ")+COUNTIF($E103:R103,1)-1,INDEX(Roadmap!$D:$K,MATCH($E103,Roadmap!$D:$D,0)-1+COUNTIF($E103:R103,"u")+COUNTIF($E103:R103,"t")+COUNTIF($E103:R103,"¶")+COUNTIF($E103:R103,"²")+COUNTIF($E103:R103,"µ")+COUNTIF($E103:R103,1),ColDescriptionCourte)),""),
  "")),"")</f>
        <v/>
      </c>
      <c r="T103" s="40" t="str">
        <f ca="1">IFERROR(IF(AND(
  INDEX(Roadmap!$D:$K,MATCH($E103,Roadmap!$D:$D,0)+COUNTIF($E103:S103,"u")+COUNTIF($E103:S103,"t")+COUNTIF($E103:S103,"¶")+COUNTIF($E103:S103,"²")+COUNTIF($E103:S103,"µ")+COUNTIF($E103:S103,1),ColLivraison)=T$6,
  VLOOKUP($E103,INDIRECT("tri!"&amp; CHAR(64+ C0Col) &amp;":"&amp; CHAR(65+C0Col)),2,FALSE)&gt;COUNTIF($E103:S103,"u")+COUNTIF($E103:S103,"t")+COUNTIF($E103:S103,"¶")+COUNTIF($E103:S103,"²")+COUNTIF($E103:S103,"µ")+COUNTIF($E103:S103,1)),
HYPERLINK("#Roadmap!C"&amp; MATCH($E103,Roadmap!$D:$D,0)+COUNTIF($E103:S103,"u")+COUNTIF($E103:S103,"t"),
     INDEX(Roadmap!$D:$K,MATCH($E103,Roadmap!$D:$D,0)+COUNTIF($E103:S103,"u")+COUNTIF($E103:S103,"t")+COUNTIF($E103:S103,"¶")+COUNTIF($E103:S103,"²")+COUNTIF($E103:S103,"µ")+COUNTIF($E103:S103,1),ColTypeEcheance)),
  IF(LEN(S103)=1,
  IF(LEN(INDEX(Roadmap!$D:$K,MATCH($E103,Roadmap!$D:$D,0)-1+COUNTIF($E103:S103,"u")+COUNTIF($E103:S103,"t")+COUNTIF($E103:S103,"¶")+COUNTIF($E103:S103,"²")+COUNTIF($E103:S103,"µ")+COUNTIF($E103:S103,1),ColDescriptionCourte))&gt;1,
HYPERLINK("#Roadmap!C"&amp; MATCH($E103,Roadmap!$D:$D,0)+COUNTIF($E103:S103,"u")+COUNTIF($E103:S103,"t")+COUNTIF($E103:S103,"¶")+COUNTIF($E103:S103,"²")+COUNTIF($E103:S103,"µ")+COUNTIF($E103:S103,1)-1,INDEX(Roadmap!$D:$K,MATCH($E103,Roadmap!$D:$D,0)-1+COUNTIF($E103:S103,"u")+COUNTIF($E103:S103,"t")+COUNTIF($E103:S103,"¶")+COUNTIF($E103:S103,"²")+COUNTIF($E103:S103,"µ")+COUNTIF($E103:S103,1),ColDescriptionCourte)),""),
  "")),"")</f>
        <v/>
      </c>
      <c r="U103" s="40" t="str">
        <f ca="1">IFERROR(IF(AND(
  INDEX(Roadmap!$D:$K,MATCH($E103,Roadmap!$D:$D,0)+COUNTIF($E103:T103,"u")+COUNTIF($E103:T103,"t")+COUNTIF($E103:T103,"¶")+COUNTIF($E103:T103,"²")+COUNTIF($E103:T103,"µ")+COUNTIF($E103:T103,1),ColLivraison)=U$6,
  VLOOKUP($E103,INDIRECT("tri!"&amp; CHAR(64+ C0Col) &amp;":"&amp; CHAR(65+C0Col)),2,FALSE)&gt;COUNTIF($E103:T103,"u")+COUNTIF($E103:T103,"t")+COUNTIF($E103:T103,"¶")+COUNTIF($E103:T103,"²")+COUNTIF($E103:T103,"µ")+COUNTIF($E103:T103,1)),
HYPERLINK("#Roadmap!C"&amp; MATCH($E103,Roadmap!$D:$D,0)+COUNTIF($E103:T103,"u")+COUNTIF($E103:T103,"t"),
     INDEX(Roadmap!$D:$K,MATCH($E103,Roadmap!$D:$D,0)+COUNTIF($E103:T103,"u")+COUNTIF($E103:T103,"t")+COUNTIF($E103:T103,"¶")+COUNTIF($E103:T103,"²")+COUNTIF($E103:T103,"µ")+COUNTIF($E103:T103,1),ColTypeEcheance)),
  IF(LEN(T103)=1,
  IF(LEN(INDEX(Roadmap!$D:$K,MATCH($E103,Roadmap!$D:$D,0)-1+COUNTIF($E103:T103,"u")+COUNTIF($E103:T103,"t")+COUNTIF($E103:T103,"¶")+COUNTIF($E103:T103,"²")+COUNTIF($E103:T103,"µ")+COUNTIF($E103:T103,1),ColDescriptionCourte))&gt;1,
HYPERLINK("#Roadmap!C"&amp; MATCH($E103,Roadmap!$D:$D,0)+COUNTIF($E103:T103,"u")+COUNTIF($E103:T103,"t")+COUNTIF($E103:T103,"¶")+COUNTIF($E103:T103,"²")+COUNTIF($E103:T103,"µ")+COUNTIF($E103:T103,1)-1,INDEX(Roadmap!$D:$K,MATCH($E103,Roadmap!$D:$D,0)-1+COUNTIF($E103:T103,"u")+COUNTIF($E103:T103,"t")+COUNTIF($E103:T103,"¶")+COUNTIF($E103:T103,"²")+COUNTIF($E103:T103,"µ")+COUNTIF($E103:T103,1),ColDescriptionCourte)),""),
  "")),"")</f>
        <v/>
      </c>
      <c r="V103" s="40" t="str">
        <f ca="1">IFERROR(IF(AND(
  INDEX(Roadmap!$D:$K,MATCH($E103,Roadmap!$D:$D,0)+COUNTIF($E103:U103,"u")+COUNTIF($E103:U103,"t")+COUNTIF($E103:U103,"¶")+COUNTIF($E103:U103,"²")+COUNTIF($E103:U103,"µ")+COUNTIF($E103:U103,1),ColLivraison)=V$6,
  VLOOKUP($E103,INDIRECT("tri!"&amp; CHAR(64+ C0Col) &amp;":"&amp; CHAR(65+C0Col)),2,FALSE)&gt;COUNTIF($E103:U103,"u")+COUNTIF($E103:U103,"t")+COUNTIF($E103:U103,"¶")+COUNTIF($E103:U103,"²")+COUNTIF($E103:U103,"µ")+COUNTIF($E103:U103,1)),
HYPERLINK("#Roadmap!C"&amp; MATCH($E103,Roadmap!$D:$D,0)+COUNTIF($E103:U103,"u")+COUNTIF($E103:U103,"t"),
     INDEX(Roadmap!$D:$K,MATCH($E103,Roadmap!$D:$D,0)+COUNTIF($E103:U103,"u")+COUNTIF($E103:U103,"t")+COUNTIF($E103:U103,"¶")+COUNTIF($E103:U103,"²")+COUNTIF($E103:U103,"µ")+COUNTIF($E103:U103,1),ColTypeEcheance)),
  IF(LEN(U103)=1,
  IF(LEN(INDEX(Roadmap!$D:$K,MATCH($E103,Roadmap!$D:$D,0)-1+COUNTIF($E103:U103,"u")+COUNTIF($E103:U103,"t")+COUNTIF($E103:U103,"¶")+COUNTIF($E103:U103,"²")+COUNTIF($E103:U103,"µ")+COUNTIF($E103:U103,1),ColDescriptionCourte))&gt;1,
HYPERLINK("#Roadmap!C"&amp; MATCH($E103,Roadmap!$D:$D,0)+COUNTIF($E103:U103,"u")+COUNTIF($E103:U103,"t")+COUNTIF($E103:U103,"¶")+COUNTIF($E103:U103,"²")+COUNTIF($E103:U103,"µ")+COUNTIF($E103:U103,1)-1,INDEX(Roadmap!$D:$K,MATCH($E103,Roadmap!$D:$D,0)-1+COUNTIF($E103:U103,"u")+COUNTIF($E103:U103,"t")+COUNTIF($E103:U103,"¶")+COUNTIF($E103:U103,"²")+COUNTIF($E103:U103,"µ")+COUNTIF($E103:U103,1),ColDescriptionCourte)),""),
  "")),"")</f>
        <v/>
      </c>
      <c r="W103" s="40" t="str">
        <f ca="1">IFERROR(IF(AND(
  INDEX(Roadmap!$D:$K,MATCH($E103,Roadmap!$D:$D,0)+COUNTIF($E103:V103,"u")+COUNTIF($E103:V103,"t")+COUNTIF($E103:V103,"¶")+COUNTIF($E103:V103,"²")+COUNTIF($E103:V103,"µ")+COUNTIF($E103:V103,1),ColLivraison)=W$6,
  VLOOKUP($E103,INDIRECT("tri!"&amp; CHAR(64+ C0Col) &amp;":"&amp; CHAR(65+C0Col)),2,FALSE)&gt;COUNTIF($E103:V103,"u")+COUNTIF($E103:V103,"t")+COUNTIF($E103:V103,"¶")+COUNTIF($E103:V103,"²")+COUNTIF($E103:V103,"µ")+COUNTIF($E103:V103,1)),
HYPERLINK("#Roadmap!C"&amp; MATCH($E103,Roadmap!$D:$D,0)+COUNTIF($E103:V103,"u")+COUNTIF($E103:V103,"t"),
     INDEX(Roadmap!$D:$K,MATCH($E103,Roadmap!$D:$D,0)+COUNTIF($E103:V103,"u")+COUNTIF($E103:V103,"t")+COUNTIF($E103:V103,"¶")+COUNTIF($E103:V103,"²")+COUNTIF($E103:V103,"µ")+COUNTIF($E103:V103,1),ColTypeEcheance)),
  IF(LEN(V103)=1,
  IF(LEN(INDEX(Roadmap!$D:$K,MATCH($E103,Roadmap!$D:$D,0)-1+COUNTIF($E103:V103,"u")+COUNTIF($E103:V103,"t")+COUNTIF($E103:V103,"¶")+COUNTIF($E103:V103,"²")+COUNTIF($E103:V103,"µ")+COUNTIF($E103:V103,1),ColDescriptionCourte))&gt;1,
HYPERLINK("#Roadmap!C"&amp; MATCH($E103,Roadmap!$D:$D,0)+COUNTIF($E103:V103,"u")+COUNTIF($E103:V103,"t")+COUNTIF($E103:V103,"¶")+COUNTIF($E103:V103,"²")+COUNTIF($E103:V103,"µ")+COUNTIF($E103:V103,1)-1,INDEX(Roadmap!$D:$K,MATCH($E103,Roadmap!$D:$D,0)-1+COUNTIF($E103:V103,"u")+COUNTIF($E103:V103,"t")+COUNTIF($E103:V103,"¶")+COUNTIF($E103:V103,"²")+COUNTIF($E103:V103,"µ")+COUNTIF($E103:V103,1),ColDescriptionCourte)),""),
  "")),"")</f>
        <v/>
      </c>
      <c r="X103" s="40" t="str">
        <f ca="1">IFERROR(IF(AND(
  INDEX(Roadmap!$D:$K,MATCH($E103,Roadmap!$D:$D,0)+COUNTIF($E103:W103,"u")+COUNTIF($E103:W103,"t")+COUNTIF($E103:W103,"¶")+COUNTIF($E103:W103,"²")+COUNTIF($E103:W103,"µ")+COUNTIF($E103:W103,1),ColLivraison)=X$6,
  VLOOKUP($E103,INDIRECT("tri!"&amp; CHAR(64+ C0Col) &amp;":"&amp; CHAR(65+C0Col)),2,FALSE)&gt;COUNTIF($E103:W103,"u")+COUNTIF($E103:W103,"t")+COUNTIF($E103:W103,"¶")+COUNTIF($E103:W103,"²")+COUNTIF($E103:W103,"µ")+COUNTIF($E103:W103,1)),
HYPERLINK("#Roadmap!C"&amp; MATCH($E103,Roadmap!$D:$D,0)+COUNTIF($E103:W103,"u")+COUNTIF($E103:W103,"t"),
     INDEX(Roadmap!$D:$K,MATCH($E103,Roadmap!$D:$D,0)+COUNTIF($E103:W103,"u")+COUNTIF($E103:W103,"t")+COUNTIF($E103:W103,"¶")+COUNTIF($E103:W103,"²")+COUNTIF($E103:W103,"µ")+COUNTIF($E103:W103,1),ColTypeEcheance)),
  IF(LEN(W103)=1,
  IF(LEN(INDEX(Roadmap!$D:$K,MATCH($E103,Roadmap!$D:$D,0)-1+COUNTIF($E103:W103,"u")+COUNTIF($E103:W103,"t")+COUNTIF($E103:W103,"¶")+COUNTIF($E103:W103,"²")+COUNTIF($E103:W103,"µ")+COUNTIF($E103:W103,1),ColDescriptionCourte))&gt;1,
HYPERLINK("#Roadmap!C"&amp; MATCH($E103,Roadmap!$D:$D,0)+COUNTIF($E103:W103,"u")+COUNTIF($E103:W103,"t")+COUNTIF($E103:W103,"¶")+COUNTIF($E103:W103,"²")+COUNTIF($E103:W103,"µ")+COUNTIF($E103:W103,1)-1,INDEX(Roadmap!$D:$K,MATCH($E103,Roadmap!$D:$D,0)-1+COUNTIF($E103:W103,"u")+COUNTIF($E103:W103,"t")+COUNTIF($E103:W103,"¶")+COUNTIF($E103:W103,"²")+COUNTIF($E103:W103,"µ")+COUNTIF($E103:W103,1),ColDescriptionCourte)),""),
  "")),"")</f>
        <v/>
      </c>
      <c r="Y103" s="40" t="str">
        <f ca="1">IFERROR(IF(AND(
  INDEX(Roadmap!$D:$K,MATCH($E103,Roadmap!$D:$D,0)+COUNTIF($E103:X103,"u")+COUNTIF($E103:X103,"t")+COUNTIF($E103:X103,"¶")+COUNTIF($E103:X103,"²")+COUNTIF($E103:X103,"µ")+COUNTIF($E103:X103,1),ColLivraison)=Y$6,
  VLOOKUP($E103,INDIRECT("tri!"&amp; CHAR(64+ C0Col) &amp;":"&amp; CHAR(65+C0Col)),2,FALSE)&gt;COUNTIF($E103:X103,"u")+COUNTIF($E103:X103,"t")+COUNTIF($E103:X103,"¶")+COUNTIF($E103:X103,"²")+COUNTIF($E103:X103,"µ")+COUNTIF($E103:X103,1)),
HYPERLINK("#Roadmap!C"&amp; MATCH($E103,Roadmap!$D:$D,0)+COUNTIF($E103:X103,"u")+COUNTIF($E103:X103,"t"),
     INDEX(Roadmap!$D:$K,MATCH($E103,Roadmap!$D:$D,0)+COUNTIF($E103:X103,"u")+COUNTIF($E103:X103,"t")+COUNTIF($E103:X103,"¶")+COUNTIF($E103:X103,"²")+COUNTIF($E103:X103,"µ")+COUNTIF($E103:X103,1),ColTypeEcheance)),
  IF(LEN(X103)=1,
  IF(LEN(INDEX(Roadmap!$D:$K,MATCH($E103,Roadmap!$D:$D,0)-1+COUNTIF($E103:X103,"u")+COUNTIF($E103:X103,"t")+COUNTIF($E103:X103,"¶")+COUNTIF($E103:X103,"²")+COUNTIF($E103:X103,"µ")+COUNTIF($E103:X103,1),ColDescriptionCourte))&gt;1,
HYPERLINK("#Roadmap!C"&amp; MATCH($E103,Roadmap!$D:$D,0)+COUNTIF($E103:X103,"u")+COUNTIF($E103:X103,"t")+COUNTIF($E103:X103,"¶")+COUNTIF($E103:X103,"²")+COUNTIF($E103:X103,"µ")+COUNTIF($E103:X103,1)-1,INDEX(Roadmap!$D:$K,MATCH($E103,Roadmap!$D:$D,0)-1+COUNTIF($E103:X103,"u")+COUNTIF($E103:X103,"t")+COUNTIF($E103:X103,"¶")+COUNTIF($E103:X103,"²")+COUNTIF($E103:X103,"µ")+COUNTIF($E103:X103,1),ColDescriptionCourte)),""),
  "")),"")</f>
        <v/>
      </c>
      <c r="Z103" s="40" t="str">
        <f ca="1">IFERROR(IF(AND(
  INDEX(Roadmap!$D:$K,MATCH($E103,Roadmap!$D:$D,0)+COUNTIF($E103:Y103,"u")+COUNTIF($E103:Y103,"t")+COUNTIF($E103:Y103,"¶")+COUNTIF($E103:Y103,"²")+COUNTIF($E103:Y103,"µ")+COUNTIF($E103:Y103,1),ColLivraison)=Z$6,
  VLOOKUP($E103,INDIRECT("tri!"&amp; CHAR(64+ C0Col) &amp;":"&amp; CHAR(65+C0Col)),2,FALSE)&gt;COUNTIF($E103:Y103,"u")+COUNTIF($E103:Y103,"t")+COUNTIF($E103:Y103,"¶")+COUNTIF($E103:Y103,"²")+COUNTIF($E103:Y103,"µ")+COUNTIF($E103:Y103,1)),
HYPERLINK("#Roadmap!C"&amp; MATCH($E103,Roadmap!$D:$D,0)+COUNTIF($E103:Y103,"u")+COUNTIF($E103:Y103,"t"),
     INDEX(Roadmap!$D:$K,MATCH($E103,Roadmap!$D:$D,0)+COUNTIF($E103:Y103,"u")+COUNTIF($E103:Y103,"t")+COUNTIF($E103:Y103,"¶")+COUNTIF($E103:Y103,"²")+COUNTIF($E103:Y103,"µ")+COUNTIF($E103:Y103,1),ColTypeEcheance)),
  IF(LEN(Y103)=1,
  IF(LEN(INDEX(Roadmap!$D:$K,MATCH($E103,Roadmap!$D:$D,0)-1+COUNTIF($E103:Y103,"u")+COUNTIF($E103:Y103,"t")+COUNTIF($E103:Y103,"¶")+COUNTIF($E103:Y103,"²")+COUNTIF($E103:Y103,"µ")+COUNTIF($E103:Y103,1),ColDescriptionCourte))&gt;1,
HYPERLINK("#Roadmap!C"&amp; MATCH($E103,Roadmap!$D:$D,0)+COUNTIF($E103:Y103,"u")+COUNTIF($E103:Y103,"t")+COUNTIF($E103:Y103,"¶")+COUNTIF($E103:Y103,"²")+COUNTIF($E103:Y103,"µ")+COUNTIF($E103:Y103,1)-1,INDEX(Roadmap!$D:$K,MATCH($E103,Roadmap!$D:$D,0)-1+COUNTIF($E103:Y103,"u")+COUNTIF($E103:Y103,"t")+COUNTIF($E103:Y103,"¶")+COUNTIF($E103:Y103,"²")+COUNTIF($E103:Y103,"µ")+COUNTIF($E103:Y103,1),ColDescriptionCourte)),""),
  "")),"")</f>
        <v/>
      </c>
      <c r="AA103" s="40" t="str">
        <f ca="1">IFERROR(IF(AND(
  INDEX(Roadmap!$D:$K,MATCH($E103,Roadmap!$D:$D,0)+COUNTIF($E103:Z103,"u")+COUNTIF($E103:Z103,"t")+COUNTIF($E103:Z103,"¶")+COUNTIF($E103:Z103,"²")+COUNTIF($E103:Z103,"µ")+COUNTIF($E103:Z103,1),ColLivraison)=AA$6,
  VLOOKUP($E103,INDIRECT("tri!"&amp; CHAR(64+ C0Col) &amp;":"&amp; CHAR(65+C0Col)),2,FALSE)&gt;COUNTIF($E103:Z103,"u")+COUNTIF($E103:Z103,"t")+COUNTIF($E103:Z103,"¶")+COUNTIF($E103:Z103,"²")+COUNTIF($E103:Z103,"µ")+COUNTIF($E103:Z103,1)),
HYPERLINK("#Roadmap!C"&amp; MATCH($E103,Roadmap!$D:$D,0)+COUNTIF($E103:Z103,"u")+COUNTIF($E103:Z103,"t"),
     INDEX(Roadmap!$D:$K,MATCH($E103,Roadmap!$D:$D,0)+COUNTIF($E103:Z103,"u")+COUNTIF($E103:Z103,"t")+COUNTIF($E103:Z103,"¶")+COUNTIF($E103:Z103,"²")+COUNTIF($E103:Z103,"µ")+COUNTIF($E103:Z103,1),ColTypeEcheance)),
  IF(LEN(Z103)=1,
  IF(LEN(INDEX(Roadmap!$D:$K,MATCH($E103,Roadmap!$D:$D,0)-1+COUNTIF($E103:Z103,"u")+COUNTIF($E103:Z103,"t")+COUNTIF($E103:Z103,"¶")+COUNTIF($E103:Z103,"²")+COUNTIF($E103:Z103,"µ")+COUNTIF($E103:Z103,1),ColDescriptionCourte))&gt;1,
HYPERLINK("#Roadmap!C"&amp; MATCH($E103,Roadmap!$D:$D,0)+COUNTIF($E103:Z103,"u")+COUNTIF($E103:Z103,"t")+COUNTIF($E103:Z103,"¶")+COUNTIF($E103:Z103,"²")+COUNTIF($E103:Z103,"µ")+COUNTIF($E103:Z103,1)-1,INDEX(Roadmap!$D:$K,MATCH($E103,Roadmap!$D:$D,0)-1+COUNTIF($E103:Z103,"u")+COUNTIF($E103:Z103,"t")+COUNTIF($E103:Z103,"¶")+COUNTIF($E103:Z103,"²")+COUNTIF($E103:Z103,"µ")+COUNTIF($E103:Z103,1),ColDescriptionCourte)),""),
  "")),"")</f>
        <v/>
      </c>
      <c r="AB103" s="40" t="str">
        <f ca="1">IFERROR(IF(AND(
  INDEX(Roadmap!$D:$K,MATCH($E103,Roadmap!$D:$D,0)+COUNTIF($E103:AA103,"u")+COUNTIF($E103:AA103,"t")+COUNTIF($E103:AA103,"¶")+COUNTIF($E103:AA103,"²")+COUNTIF($E103:AA103,"µ")+COUNTIF($E103:AA103,1),ColLivraison)=AB$6,
  VLOOKUP($E103,INDIRECT("tri!"&amp; CHAR(64+ C0Col) &amp;":"&amp; CHAR(65+C0Col)),2,FALSE)&gt;COUNTIF($E103:AA103,"u")+COUNTIF($E103:AA103,"t")+COUNTIF($E103:AA103,"¶")+COUNTIF($E103:AA103,"²")+COUNTIF($E103:AA103,"µ")+COUNTIF($E103:AA103,1)),
HYPERLINK("#Roadmap!C"&amp; MATCH($E103,Roadmap!$D:$D,0)+COUNTIF($E103:AA103,"u")+COUNTIF($E103:AA103,"t"),
     INDEX(Roadmap!$D:$K,MATCH($E103,Roadmap!$D:$D,0)+COUNTIF($E103:AA103,"u")+COUNTIF($E103:AA103,"t")+COUNTIF($E103:AA103,"¶")+COUNTIF($E103:AA103,"²")+COUNTIF($E103:AA103,"µ")+COUNTIF($E103:AA103,1),ColTypeEcheance)),
  IF(LEN(AA103)=1,
  IF(LEN(INDEX(Roadmap!$D:$K,MATCH($E103,Roadmap!$D:$D,0)-1+COUNTIF($E103:AA103,"u")+COUNTIF($E103:AA103,"t")+COUNTIF($E103:AA103,"¶")+COUNTIF($E103:AA103,"²")+COUNTIF($E103:AA103,"µ")+COUNTIF($E103:AA103,1),ColDescriptionCourte))&gt;1,
HYPERLINK("#Roadmap!C"&amp; MATCH($E103,Roadmap!$D:$D,0)+COUNTIF($E103:AA103,"u")+COUNTIF($E103:AA103,"t")+COUNTIF($E103:AA103,"¶")+COUNTIF($E103:AA103,"²")+COUNTIF($E103:AA103,"µ")+COUNTIF($E103:AA103,1)-1,INDEX(Roadmap!$D:$K,MATCH($E103,Roadmap!$D:$D,0)-1+COUNTIF($E103:AA103,"u")+COUNTIF($E103:AA103,"t")+COUNTIF($E103:AA103,"¶")+COUNTIF($E103:AA103,"²")+COUNTIF($E103:AA103,"µ")+COUNTIF($E103:AA103,1),ColDescriptionCourte)),""),
  "")),"")</f>
        <v/>
      </c>
      <c r="AC103" s="40" t="str">
        <f ca="1">IFERROR(IF(AND(
  INDEX(Roadmap!$D:$K,MATCH($E103,Roadmap!$D:$D,0)+COUNTIF($E103:AB103,"u")+COUNTIF($E103:AB103,"t")+COUNTIF($E103:AB103,"¶")+COUNTIF($E103:AB103,"²")+COUNTIF($E103:AB103,"µ")+COUNTIF($E103:AB103,1),ColLivraison)=AC$6,
  VLOOKUP($E103,INDIRECT("tri!"&amp; CHAR(64+ C0Col) &amp;":"&amp; CHAR(65+C0Col)),2,FALSE)&gt;COUNTIF($E103:AB103,"u")+COUNTIF($E103:AB103,"t")+COUNTIF($E103:AB103,"¶")+COUNTIF($E103:AB103,"²")+COUNTIF($E103:AB103,"µ")+COUNTIF($E103:AB103,1)),
HYPERLINK("#Roadmap!C"&amp; MATCH($E103,Roadmap!$D:$D,0)+COUNTIF($E103:AB103,"u")+COUNTIF($E103:AB103,"t"),
     INDEX(Roadmap!$D:$K,MATCH($E103,Roadmap!$D:$D,0)+COUNTIF($E103:AB103,"u")+COUNTIF($E103:AB103,"t")+COUNTIF($E103:AB103,"¶")+COUNTIF($E103:AB103,"²")+COUNTIF($E103:AB103,"µ")+COUNTIF($E103:AB103,1),ColTypeEcheance)),
  IF(LEN(AB103)=1,
  IF(LEN(INDEX(Roadmap!$D:$K,MATCH($E103,Roadmap!$D:$D,0)-1+COUNTIF($E103:AB103,"u")+COUNTIF($E103:AB103,"t")+COUNTIF($E103:AB103,"¶")+COUNTIF($E103:AB103,"²")+COUNTIF($E103:AB103,"µ")+COUNTIF($E103:AB103,1),ColDescriptionCourte))&gt;1,
HYPERLINK("#Roadmap!C"&amp; MATCH($E103,Roadmap!$D:$D,0)+COUNTIF($E103:AB103,"u")+COUNTIF($E103:AB103,"t")+COUNTIF($E103:AB103,"¶")+COUNTIF($E103:AB103,"²")+COUNTIF($E103:AB103,"µ")+COUNTIF($E103:AB103,1)-1,INDEX(Roadmap!$D:$K,MATCH($E103,Roadmap!$D:$D,0)-1+COUNTIF($E103:AB103,"u")+COUNTIF($E103:AB103,"t")+COUNTIF($E103:AB103,"¶")+COUNTIF($E103:AB103,"²")+COUNTIF($E103:AB103,"µ")+COUNTIF($E103:AB103,1),ColDescriptionCourte)),""),
  "")),"")</f>
        <v/>
      </c>
      <c r="AD103" s="40" t="str">
        <f ca="1">IFERROR(IF(AND(
  INDEX(Roadmap!$D:$K,MATCH($E103,Roadmap!$D:$D,0)+COUNTIF($E103:AC103,"u")+COUNTIF($E103:AC103,"t")+COUNTIF($E103:AC103,"¶")+COUNTIF($E103:AC103,"²")+COUNTIF($E103:AC103,"µ")+COUNTIF($E103:AC103,1),ColLivraison)=AD$6,
  VLOOKUP($E103,INDIRECT("tri!"&amp; CHAR(64+ C0Col) &amp;":"&amp; CHAR(65+C0Col)),2,FALSE)&gt;COUNTIF($E103:AC103,"u")+COUNTIF($E103:AC103,"t")+COUNTIF($E103:AC103,"¶")+COUNTIF($E103:AC103,"²")+COUNTIF($E103:AC103,"µ")+COUNTIF($E103:AC103,1)),
HYPERLINK("#Roadmap!C"&amp; MATCH($E103,Roadmap!$D:$D,0)+COUNTIF($E103:AC103,"u")+COUNTIF($E103:AC103,"t"),
     INDEX(Roadmap!$D:$K,MATCH($E103,Roadmap!$D:$D,0)+COUNTIF($E103:AC103,"u")+COUNTIF($E103:AC103,"t")+COUNTIF($E103:AC103,"¶")+COUNTIF($E103:AC103,"²")+COUNTIF($E103:AC103,"µ")+COUNTIF($E103:AC103,1),ColTypeEcheance)),
  IF(LEN(AC103)=1,
  IF(LEN(INDEX(Roadmap!$D:$K,MATCH($E103,Roadmap!$D:$D,0)-1+COUNTIF($E103:AC103,"u")+COUNTIF($E103:AC103,"t")+COUNTIF($E103:AC103,"¶")+COUNTIF($E103:AC103,"²")+COUNTIF($E103:AC103,"µ")+COUNTIF($E103:AC103,1),ColDescriptionCourte))&gt;1,
HYPERLINK("#Roadmap!C"&amp; MATCH($E103,Roadmap!$D:$D,0)+COUNTIF($E103:AC103,"u")+COUNTIF($E103:AC103,"t")+COUNTIF($E103:AC103,"¶")+COUNTIF($E103:AC103,"²")+COUNTIF($E103:AC103,"µ")+COUNTIF($E103:AC103,1)-1,INDEX(Roadmap!$D:$K,MATCH($E103,Roadmap!$D:$D,0)-1+COUNTIF($E103:AC103,"u")+COUNTIF($E103:AC103,"t")+COUNTIF($E103:AC103,"¶")+COUNTIF($E103:AC103,"²")+COUNTIF($E103:AC103,"µ")+COUNTIF($E103:AC103,1),ColDescriptionCourte)),""),
  "")),"")</f>
        <v/>
      </c>
      <c r="AE103" s="40" t="str">
        <f ca="1">IFERROR(IF(AND(
  INDEX(Roadmap!$D:$K,MATCH($E103,Roadmap!$D:$D,0)+COUNTIF($E103:AD103,"u")+COUNTIF($E103:AD103,"t")+COUNTIF($E103:AD103,"¶")+COUNTIF($E103:AD103,"²")+COUNTIF($E103:AD103,"µ")+COUNTIF($E103:AD103,1),ColLivraison)=AE$6,
  VLOOKUP($E103,INDIRECT("tri!"&amp; CHAR(64+ C0Col) &amp;":"&amp; CHAR(65+C0Col)),2,FALSE)&gt;COUNTIF($E103:AD103,"u")+COUNTIF($E103:AD103,"t")+COUNTIF($E103:AD103,"¶")+COUNTIF($E103:AD103,"²")+COUNTIF($E103:AD103,"µ")+COUNTIF($E103:AD103,1)),
HYPERLINK("#Roadmap!C"&amp; MATCH($E103,Roadmap!$D:$D,0)+COUNTIF($E103:AD103,"u")+COUNTIF($E103:AD103,"t"),
     INDEX(Roadmap!$D:$K,MATCH($E103,Roadmap!$D:$D,0)+COUNTIF($E103:AD103,"u")+COUNTIF($E103:AD103,"t")+COUNTIF($E103:AD103,"¶")+COUNTIF($E103:AD103,"²")+COUNTIF($E103:AD103,"µ")+COUNTIF($E103:AD103,1),ColTypeEcheance)),
  IF(LEN(AD103)=1,
  IF(LEN(INDEX(Roadmap!$D:$K,MATCH($E103,Roadmap!$D:$D,0)-1+COUNTIF($E103:AD103,"u")+COUNTIF($E103:AD103,"t")+COUNTIF($E103:AD103,"¶")+COUNTIF($E103:AD103,"²")+COUNTIF($E103:AD103,"µ")+COUNTIF($E103:AD103,1),ColDescriptionCourte))&gt;1,
HYPERLINK("#Roadmap!C"&amp; MATCH($E103,Roadmap!$D:$D,0)+COUNTIF($E103:AD103,"u")+COUNTIF($E103:AD103,"t")+COUNTIF($E103:AD103,"¶")+COUNTIF($E103:AD103,"²")+COUNTIF($E103:AD103,"µ")+COUNTIF($E103:AD103,1)-1,INDEX(Roadmap!$D:$K,MATCH($E103,Roadmap!$D:$D,0)-1+COUNTIF($E103:AD103,"u")+COUNTIF($E103:AD103,"t")+COUNTIF($E103:AD103,"¶")+COUNTIF($E103:AD103,"²")+COUNTIF($E103:AD103,"µ")+COUNTIF($E103:AD103,1),ColDescriptionCourte)),""),
  "")),"")</f>
        <v/>
      </c>
      <c r="AF103" s="40" t="str">
        <f ca="1">IFERROR(IF(AND(
  INDEX(Roadmap!$D:$K,MATCH($E103,Roadmap!$D:$D,0)+COUNTIF($E103:AE103,"u")+COUNTIF($E103:AE103,"t")+COUNTIF($E103:AE103,"¶")+COUNTIF($E103:AE103,"²")+COUNTIF($E103:AE103,"µ")+COUNTIF($E103:AE103,1),ColLivraison)=AF$6,
  VLOOKUP($E103,INDIRECT("tri!"&amp; CHAR(64+ C0Col) &amp;":"&amp; CHAR(65+C0Col)),2,FALSE)&gt;COUNTIF($E103:AE103,"u")+COUNTIF($E103:AE103,"t")+COUNTIF($E103:AE103,"¶")+COUNTIF($E103:AE103,"²")+COUNTIF($E103:AE103,"µ")+COUNTIF($E103:AE103,1)),
HYPERLINK("#Roadmap!C"&amp; MATCH($E103,Roadmap!$D:$D,0)+COUNTIF($E103:AE103,"u")+COUNTIF($E103:AE103,"t"),
     INDEX(Roadmap!$D:$K,MATCH($E103,Roadmap!$D:$D,0)+COUNTIF($E103:AE103,"u")+COUNTIF($E103:AE103,"t")+COUNTIF($E103:AE103,"¶")+COUNTIF($E103:AE103,"²")+COUNTIF($E103:AE103,"µ")+COUNTIF($E103:AE103,1),ColTypeEcheance)),
  IF(LEN(AE103)=1,
  IF(LEN(INDEX(Roadmap!$D:$K,MATCH($E103,Roadmap!$D:$D,0)-1+COUNTIF($E103:AE103,"u")+COUNTIF($E103:AE103,"t")+COUNTIF($E103:AE103,"¶")+COUNTIF($E103:AE103,"²")+COUNTIF($E103:AE103,"µ")+COUNTIF($E103:AE103,1),ColDescriptionCourte))&gt;1,
HYPERLINK("#Roadmap!C"&amp; MATCH($E103,Roadmap!$D:$D,0)+COUNTIF($E103:AE103,"u")+COUNTIF($E103:AE103,"t")+COUNTIF($E103:AE103,"¶")+COUNTIF($E103:AE103,"²")+COUNTIF($E103:AE103,"µ")+COUNTIF($E103:AE103,1)-1,INDEX(Roadmap!$D:$K,MATCH($E103,Roadmap!$D:$D,0)-1+COUNTIF($E103:AE103,"u")+COUNTIF($E103:AE103,"t")+COUNTIF($E103:AE103,"¶")+COUNTIF($E103:AE103,"²")+COUNTIF($E103:AE103,"µ")+COUNTIF($E103:AE103,1),ColDescriptionCourte)),""),
  "")),"")</f>
        <v/>
      </c>
      <c r="AG103" s="40" t="str">
        <f ca="1">IFERROR(IF(AND(
  INDEX(Roadmap!$D:$K,MATCH($E103,Roadmap!$D:$D,0)+COUNTIF($E103:AF103,"u")+COUNTIF($E103:AF103,"t")+COUNTIF($E103:AF103,"¶")+COUNTIF($E103:AF103,"²")+COUNTIF($E103:AF103,"µ")+COUNTIF($E103:AF103,1),ColLivraison)=AG$6,
  VLOOKUP($E103,INDIRECT("tri!"&amp; CHAR(64+ C0Col) &amp;":"&amp; CHAR(65+C0Col)),2,FALSE)&gt;COUNTIF($E103:AF103,"u")+COUNTIF($E103:AF103,"t")+COUNTIF($E103:AF103,"¶")+COUNTIF($E103:AF103,"²")+COUNTIF($E103:AF103,"µ")+COUNTIF($E103:AF103,1)),
HYPERLINK("#Roadmap!C"&amp; MATCH($E103,Roadmap!$D:$D,0)+COUNTIF($E103:AF103,"u")+COUNTIF($E103:AF103,"t"),
     INDEX(Roadmap!$D:$K,MATCH($E103,Roadmap!$D:$D,0)+COUNTIF($E103:AF103,"u")+COUNTIF($E103:AF103,"t")+COUNTIF($E103:AF103,"¶")+COUNTIF($E103:AF103,"²")+COUNTIF($E103:AF103,"µ")+COUNTIF($E103:AF103,1),ColTypeEcheance)),
  IF(LEN(AF103)=1,
  IF(LEN(INDEX(Roadmap!$D:$K,MATCH($E103,Roadmap!$D:$D,0)-1+COUNTIF($E103:AF103,"u")+COUNTIF($E103:AF103,"t")+COUNTIF($E103:AF103,"¶")+COUNTIF($E103:AF103,"²")+COUNTIF($E103:AF103,"µ")+COUNTIF($E103:AF103,1),ColDescriptionCourte))&gt;1,
HYPERLINK("#Roadmap!C"&amp; MATCH($E103,Roadmap!$D:$D,0)+COUNTIF($E103:AF103,"u")+COUNTIF($E103:AF103,"t")+COUNTIF($E103:AF103,"¶")+COUNTIF($E103:AF103,"²")+COUNTIF($E103:AF103,"µ")+COUNTIF($E103:AF103,1)-1,INDEX(Roadmap!$D:$K,MATCH($E103,Roadmap!$D:$D,0)-1+COUNTIF($E103:AF103,"u")+COUNTIF($E103:AF103,"t")+COUNTIF($E103:AF103,"¶")+COUNTIF($E103:AF103,"²")+COUNTIF($E103:AF103,"µ")+COUNTIF($E103:AF103,1),ColDescriptionCourte)),""),
  "")),"")</f>
        <v/>
      </c>
    </row>
    <row r="104" spans="3:33" ht="14.25" customHeight="1">
      <c r="C104" s="1" t="str">
        <f t="shared" ca="1" si="49"/>
        <v/>
      </c>
      <c r="D104" s="1" t="str">
        <f t="shared" ca="1" si="50"/>
        <v/>
      </c>
      <c r="E104" s="35" t="str">
        <f t="shared" ca="1" si="46"/>
        <v/>
      </c>
      <c r="F104" s="39" t="str">
        <f ca="1">IFERROR(IF(AND(
  INDEX(Roadmap!$D:$K,MATCH($E104,Roadmap!$D:$D,0)+COUNTIF($E104:E104,"u")+COUNTIF($E104:E104,"t")+COUNTIF($E104:E104,"¶")+COUNTIF($E104:E104,"²")+COUNTIF($E104:E104,"µ")+COUNTIF($E104:E104,1),ColLivraison)=F$6,
  VLOOKUP($E104,INDIRECT("tri!"&amp; CHAR(64+ C0Col) &amp;":"&amp; CHAR(65+C0Col)),2,FALSE)&gt;COUNTIF($E104:E104,"u")+COUNTIF($E104:E104,"t")+COUNTIF($E104:E104,"¶")+COUNTIF($E104:E104,"²")+COUNTIF($E104:E104,"µ")+COUNTIF($E104:E104,1)),
HYPERLINK("#Roadmap!C"&amp; MATCH($E104,Roadmap!$D:$D,0)+COUNTIF($E104:E104,"u")+COUNTIF($E104:E104,"t"),
     INDEX(Roadmap!$D:$K,MATCH($E104,Roadmap!$D:$D,0)+COUNTIF($E104:E104,"u")+COUNTIF($E104:E104,"t")+COUNTIF($E104:E104,"¶")+COUNTIF($E104:E104,"²")+COUNTIF($E104:E104,"µ")+COUNTIF($E104:E104,1),ColTypeEcheance)),
  IF(LEN(E104)=1,
  IF(LEN(INDEX(Roadmap!$D:$K,MATCH($E104,Roadmap!$D:$D,0)-1+COUNTIF($E104:E104,"u")+COUNTIF($E104:E104,"t")+COUNTIF($E104:E104,"¶")+COUNTIF($E104:E104,"²")+COUNTIF($E104:E104,"µ")+COUNTIF($E104:E104,1),ColDescriptionCourte))&gt;1,
HYPERLINK("#Roadmap!C"&amp; MATCH($E104,Roadmap!$D:$D,0)+COUNTIF($E104:E104,"u")+COUNTIF($E104:E104,"t")+COUNTIF($E104:E104,"¶")+COUNTIF($E104:E104,"²")+COUNTIF($E104:E104,"µ")+COUNTIF($E104:E104,1)-1,INDEX(Roadmap!$D:$K,MATCH($E104,Roadmap!$D:$D,0)-1+COUNTIF($E104:E104,"u")+COUNTIF($E104:E104,"t")+COUNTIF($E104:E104,"¶")+COUNTIF($E104:E104,"²")+COUNTIF($E104:E104,"µ")+COUNTIF($E104:E104,1),ColDescriptionCourte)),""),
  "")),"")</f>
        <v/>
      </c>
      <c r="G104" s="40" t="str">
        <f ca="1">IFERROR(IF(AND(
  INDEX(Roadmap!$D:$K,MATCH($E104,Roadmap!$D:$D,0)+COUNTIF($E104:F104,"u")+COUNTIF($E104:F104,"t")+COUNTIF($E104:F104,"¶")+COUNTIF($E104:F104,"²")+COUNTIF($E104:F104,"µ")+COUNTIF($E104:F104,1),ColLivraison)=G$6,
  VLOOKUP($E104,INDIRECT("tri!"&amp; CHAR(64+ C0Col) &amp;":"&amp; CHAR(65+C0Col)),2,FALSE)&gt;COUNTIF($E104:F104,"u")+COUNTIF($E104:F104,"t")+COUNTIF($E104:F104,"¶")+COUNTIF($E104:F104,"²")+COUNTIF($E104:F104,"µ")+COUNTIF($E104:F104,1)),
HYPERLINK("#Roadmap!C"&amp; MATCH($E104,Roadmap!$D:$D,0)+COUNTIF($E104:F104,"u")+COUNTIF($E104:F104,"t"),
     INDEX(Roadmap!$D:$K,MATCH($E104,Roadmap!$D:$D,0)+COUNTIF($E104:F104,"u")+COUNTIF($E104:F104,"t")+COUNTIF($E104:F104,"¶")+COUNTIF($E104:F104,"²")+COUNTIF($E104:F104,"µ")+COUNTIF($E104:F104,1),ColTypeEcheance)),
  IF(LEN(F104)=1,
  IF(LEN(INDEX(Roadmap!$D:$K,MATCH($E104,Roadmap!$D:$D,0)-1+COUNTIF($E104:F104,"u")+COUNTIF($E104:F104,"t")+COUNTIF($E104:F104,"¶")+COUNTIF($E104:F104,"²")+COUNTIF($E104:F104,"µ")+COUNTIF($E104:F104,1),ColDescriptionCourte))&gt;1,
HYPERLINK("#Roadmap!C"&amp; MATCH($E104,Roadmap!$D:$D,0)+COUNTIF($E104:F104,"u")+COUNTIF($E104:F104,"t")+COUNTIF($E104:F104,"¶")+COUNTIF($E104:F104,"²")+COUNTIF($E104:F104,"µ")+COUNTIF($E104:F104,1)-1,INDEX(Roadmap!$D:$K,MATCH($E104,Roadmap!$D:$D,0)-1+COUNTIF($E104:F104,"u")+COUNTIF($E104:F104,"t")+COUNTIF($E104:F104,"¶")+COUNTIF($E104:F104,"²")+COUNTIF($E104:F104,"µ")+COUNTIF($E104:F104,1),ColDescriptionCourte)),""),
  "")),"")</f>
        <v/>
      </c>
      <c r="H104" s="40" t="str">
        <f ca="1">IFERROR(IF(AND(
  INDEX(Roadmap!$D:$K,MATCH($E104,Roadmap!$D:$D,0)+COUNTIF($E104:G104,"u")+COUNTIF($E104:G104,"t")+COUNTIF($E104:G104,"¶")+COUNTIF($E104:G104,"²")+COUNTIF($E104:G104,"µ")+COUNTIF($E104:G104,1),ColLivraison)=H$6,
  VLOOKUP($E104,INDIRECT("tri!"&amp; CHAR(64+ C0Col) &amp;":"&amp; CHAR(65+C0Col)),2,FALSE)&gt;COUNTIF($E104:G104,"u")+COUNTIF($E104:G104,"t")+COUNTIF($E104:G104,"¶")+COUNTIF($E104:G104,"²")+COUNTIF($E104:G104,"µ")+COUNTIF($E104:G104,1)),
HYPERLINK("#Roadmap!C"&amp; MATCH($E104,Roadmap!$D:$D,0)+COUNTIF($E104:G104,"u")+COUNTIF($E104:G104,"t"),
     INDEX(Roadmap!$D:$K,MATCH($E104,Roadmap!$D:$D,0)+COUNTIF($E104:G104,"u")+COUNTIF($E104:G104,"t")+COUNTIF($E104:G104,"¶")+COUNTIF($E104:G104,"²")+COUNTIF($E104:G104,"µ")+COUNTIF($E104:G104,1),ColTypeEcheance)),
  IF(LEN(G104)=1,
  IF(LEN(INDEX(Roadmap!$D:$K,MATCH($E104,Roadmap!$D:$D,0)-1+COUNTIF($E104:G104,"u")+COUNTIF($E104:G104,"t")+COUNTIF($E104:G104,"¶")+COUNTIF($E104:G104,"²")+COUNTIF($E104:G104,"µ")+COUNTIF($E104:G104,1),ColDescriptionCourte))&gt;1,
HYPERLINK("#Roadmap!C"&amp; MATCH($E104,Roadmap!$D:$D,0)+COUNTIF($E104:G104,"u")+COUNTIF($E104:G104,"t")+COUNTIF($E104:G104,"¶")+COUNTIF($E104:G104,"²")+COUNTIF($E104:G104,"µ")+COUNTIF($E104:G104,1)-1,INDEX(Roadmap!$D:$K,MATCH($E104,Roadmap!$D:$D,0)-1+COUNTIF($E104:G104,"u")+COUNTIF($E104:G104,"t")+COUNTIF($E104:G104,"¶")+COUNTIF($E104:G104,"²")+COUNTIF($E104:G104,"µ")+COUNTIF($E104:G104,1),ColDescriptionCourte)),""),
  "")),"")</f>
        <v/>
      </c>
      <c r="I104" s="40" t="str">
        <f ca="1">IFERROR(IF(AND(
  INDEX(Roadmap!$D:$K,MATCH($E104,Roadmap!$D:$D,0)+COUNTIF($E104:H104,"u")+COUNTIF($E104:H104,"t")+COUNTIF($E104:H104,"¶")+COUNTIF($E104:H104,"²")+COUNTIF($E104:H104,"µ")+COUNTIF($E104:H104,1),ColLivraison)=I$6,
  VLOOKUP($E104,INDIRECT("tri!"&amp; CHAR(64+ C0Col) &amp;":"&amp; CHAR(65+C0Col)),2,FALSE)&gt;COUNTIF($E104:H104,"u")+COUNTIF($E104:H104,"t")+COUNTIF($E104:H104,"¶")+COUNTIF($E104:H104,"²")+COUNTIF($E104:H104,"µ")+COUNTIF($E104:H104,1)),
HYPERLINK("#Roadmap!C"&amp; MATCH($E104,Roadmap!$D:$D,0)+COUNTIF($E104:H104,"u")+COUNTIF($E104:H104,"t"),
     INDEX(Roadmap!$D:$K,MATCH($E104,Roadmap!$D:$D,0)+COUNTIF($E104:H104,"u")+COUNTIF($E104:H104,"t")+COUNTIF($E104:H104,"¶")+COUNTIF($E104:H104,"²")+COUNTIF($E104:H104,"µ")+COUNTIF($E104:H104,1),ColTypeEcheance)),
  IF(LEN(H104)=1,
  IF(LEN(INDEX(Roadmap!$D:$K,MATCH($E104,Roadmap!$D:$D,0)-1+COUNTIF($E104:H104,"u")+COUNTIF($E104:H104,"t")+COUNTIF($E104:H104,"¶")+COUNTIF($E104:H104,"²")+COUNTIF($E104:H104,"µ")+COUNTIF($E104:H104,1),ColDescriptionCourte))&gt;1,
HYPERLINK("#Roadmap!C"&amp; MATCH($E104,Roadmap!$D:$D,0)+COUNTIF($E104:H104,"u")+COUNTIF($E104:H104,"t")+COUNTIF($E104:H104,"¶")+COUNTIF($E104:H104,"²")+COUNTIF($E104:H104,"µ")+COUNTIF($E104:H104,1)-1,INDEX(Roadmap!$D:$K,MATCH($E104,Roadmap!$D:$D,0)-1+COUNTIF($E104:H104,"u")+COUNTIF($E104:H104,"t")+COUNTIF($E104:H104,"¶")+COUNTIF($E104:H104,"²")+COUNTIF($E104:H104,"µ")+COUNTIF($E104:H104,1),ColDescriptionCourte)),""),
  "")),"")</f>
        <v/>
      </c>
      <c r="J104" s="40" t="str">
        <f ca="1">IFERROR(IF(AND(
  INDEX(Roadmap!$D:$K,MATCH($E104,Roadmap!$D:$D,0)+COUNTIF($E104:I104,"u")+COUNTIF($E104:I104,"t")+COUNTIF($E104:I104,"¶")+COUNTIF($E104:I104,"²")+COUNTIF($E104:I104,"µ")+COUNTIF($E104:I104,1),ColLivraison)=J$6,
  VLOOKUP($E104,INDIRECT("tri!"&amp; CHAR(64+ C0Col) &amp;":"&amp; CHAR(65+C0Col)),2,FALSE)&gt;COUNTIF($E104:I104,"u")+COUNTIF($E104:I104,"t")+COUNTIF($E104:I104,"¶")+COUNTIF($E104:I104,"²")+COUNTIF($E104:I104,"µ")+COUNTIF($E104:I104,1)),
HYPERLINK("#Roadmap!C"&amp; MATCH($E104,Roadmap!$D:$D,0)+COUNTIF($E104:I104,"u")+COUNTIF($E104:I104,"t"),
     INDEX(Roadmap!$D:$K,MATCH($E104,Roadmap!$D:$D,0)+COUNTIF($E104:I104,"u")+COUNTIF($E104:I104,"t")+COUNTIF($E104:I104,"¶")+COUNTIF($E104:I104,"²")+COUNTIF($E104:I104,"µ")+COUNTIF($E104:I104,1),ColTypeEcheance)),
  IF(LEN(I104)=1,
  IF(LEN(INDEX(Roadmap!$D:$K,MATCH($E104,Roadmap!$D:$D,0)-1+COUNTIF($E104:I104,"u")+COUNTIF($E104:I104,"t")+COUNTIF($E104:I104,"¶")+COUNTIF($E104:I104,"²")+COUNTIF($E104:I104,"µ")+COUNTIF($E104:I104,1),ColDescriptionCourte))&gt;1,
HYPERLINK("#Roadmap!C"&amp; MATCH($E104,Roadmap!$D:$D,0)+COUNTIF($E104:I104,"u")+COUNTIF($E104:I104,"t")+COUNTIF($E104:I104,"¶")+COUNTIF($E104:I104,"²")+COUNTIF($E104:I104,"µ")+COUNTIF($E104:I104,1)-1,INDEX(Roadmap!$D:$K,MATCH($E104,Roadmap!$D:$D,0)-1+COUNTIF($E104:I104,"u")+COUNTIF($E104:I104,"t")+COUNTIF($E104:I104,"¶")+COUNTIF($E104:I104,"²")+COUNTIF($E104:I104,"µ")+COUNTIF($E104:I104,1),ColDescriptionCourte)),""),
  "")),"")</f>
        <v/>
      </c>
      <c r="K104" s="40" t="str">
        <f ca="1">IFERROR(IF(AND(
  INDEX(Roadmap!$D:$K,MATCH($E104,Roadmap!$D:$D,0)+COUNTIF($E104:J104,"u")+COUNTIF($E104:J104,"t")+COUNTIF($E104:J104,"¶")+COUNTIF($E104:J104,"²")+COUNTIF($E104:J104,"µ")+COUNTIF($E104:J104,1),ColLivraison)=K$6,
  VLOOKUP($E104,INDIRECT("tri!"&amp; CHAR(64+ C0Col) &amp;":"&amp; CHAR(65+C0Col)),2,FALSE)&gt;COUNTIF($E104:J104,"u")+COUNTIF($E104:J104,"t")+COUNTIF($E104:J104,"¶")+COUNTIF($E104:J104,"²")+COUNTIF($E104:J104,"µ")+COUNTIF($E104:J104,1)),
HYPERLINK("#Roadmap!C"&amp; MATCH($E104,Roadmap!$D:$D,0)+COUNTIF($E104:J104,"u")+COUNTIF($E104:J104,"t"),
     INDEX(Roadmap!$D:$K,MATCH($E104,Roadmap!$D:$D,0)+COUNTIF($E104:J104,"u")+COUNTIF($E104:J104,"t")+COUNTIF($E104:J104,"¶")+COUNTIF($E104:J104,"²")+COUNTIF($E104:J104,"µ")+COUNTIF($E104:J104,1),ColTypeEcheance)),
  IF(LEN(J104)=1,
  IF(LEN(INDEX(Roadmap!$D:$K,MATCH($E104,Roadmap!$D:$D,0)-1+COUNTIF($E104:J104,"u")+COUNTIF($E104:J104,"t")+COUNTIF($E104:J104,"¶")+COUNTIF($E104:J104,"²")+COUNTIF($E104:J104,"µ")+COUNTIF($E104:J104,1),ColDescriptionCourte))&gt;1,
HYPERLINK("#Roadmap!C"&amp; MATCH($E104,Roadmap!$D:$D,0)+COUNTIF($E104:J104,"u")+COUNTIF($E104:J104,"t")+COUNTIF($E104:J104,"¶")+COUNTIF($E104:J104,"²")+COUNTIF($E104:J104,"µ")+COUNTIF($E104:J104,1)-1,INDEX(Roadmap!$D:$K,MATCH($E104,Roadmap!$D:$D,0)-1+COUNTIF($E104:J104,"u")+COUNTIF($E104:J104,"t")+COUNTIF($E104:J104,"¶")+COUNTIF($E104:J104,"²")+COUNTIF($E104:J104,"µ")+COUNTIF($E104:J104,1),ColDescriptionCourte)),""),
  "")),"")</f>
        <v/>
      </c>
      <c r="L104" s="39" t="str">
        <f ca="1">IFERROR(IF(AND(
  INDEX(Roadmap!$D:$K,MATCH($E104,Roadmap!$D:$D,0)+COUNTIF($E104:K104,"u")+COUNTIF($E104:K104,"t")+COUNTIF($E104:K104,"¶")+COUNTIF($E104:K104,"²")+COUNTIF($E104:K104,"µ")+COUNTIF($E104:K104,1),ColLivraison)=L$6,
  VLOOKUP($E104,INDIRECT("tri!"&amp; CHAR(64+ C0Col) &amp;":"&amp; CHAR(65+C0Col)),2,FALSE)&gt;COUNTIF($E104:K104,"u")+COUNTIF($E104:K104,"t")+COUNTIF($E104:K104,"¶")+COUNTIF($E104:K104,"²")+COUNTIF($E104:K104,"µ")+COUNTIF($E104:K104,1)),
HYPERLINK("#Roadmap!C"&amp; MATCH($E104,Roadmap!$D:$D,0)+COUNTIF($E104:K104,"u")+COUNTIF($E104:K104,"t"),
     INDEX(Roadmap!$D:$K,MATCH($E104,Roadmap!$D:$D,0)+COUNTIF($E104:K104,"u")+COUNTIF($E104:K104,"t")+COUNTIF($E104:K104,"¶")+COUNTIF($E104:K104,"²")+COUNTIF($E104:K104,"µ")+COUNTIF($E104:K104,1),ColTypeEcheance)),
  IF(LEN(K104)=1,
  IF(LEN(INDEX(Roadmap!$D:$K,MATCH($E104,Roadmap!$D:$D,0)-1+COUNTIF($E104:K104,"u")+COUNTIF($E104:K104,"t")+COUNTIF($E104:K104,"¶")+COUNTIF($E104:K104,"²")+COUNTIF($E104:K104,"µ")+COUNTIF($E104:K104,1),ColDescriptionCourte))&gt;1,
HYPERLINK("#Roadmap!C"&amp; MATCH($E104,Roadmap!$D:$D,0)+COUNTIF($E104:K104,"u")+COUNTIF($E104:K104,"t")+COUNTIF($E104:K104,"¶")+COUNTIF($E104:K104,"²")+COUNTIF($E104:K104,"µ")+COUNTIF($E104:K104,1)-1,INDEX(Roadmap!$D:$K,MATCH($E104,Roadmap!$D:$D,0)-1+COUNTIF($E104:K104,"u")+COUNTIF($E104:K104,"t")+COUNTIF($E104:K104,"¶")+COUNTIF($E104:K104,"²")+COUNTIF($E104:K104,"µ")+COUNTIF($E104:K104,1),ColDescriptionCourte)),""),
  "")),"")</f>
        <v/>
      </c>
      <c r="M104" s="40" t="str">
        <f ca="1">IFERROR(IF(AND(
  INDEX(Roadmap!$D:$K,MATCH($E104,Roadmap!$D:$D,0)+COUNTIF($E104:L104,"u")+COUNTIF($E104:L104,"t")+COUNTIF($E104:L104,"¶")+COUNTIF($E104:L104,"²")+COUNTIF($E104:L104,"µ")+COUNTIF($E104:L104,1),ColLivraison)=M$6,
  VLOOKUP($E104,INDIRECT("tri!"&amp; CHAR(64+ C0Col) &amp;":"&amp; CHAR(65+C0Col)),2,FALSE)&gt;COUNTIF($E104:L104,"u")+COUNTIF($E104:L104,"t")+COUNTIF($E104:L104,"¶")+COUNTIF($E104:L104,"²")+COUNTIF($E104:L104,"µ")+COUNTIF($E104:L104,1)),
HYPERLINK("#Roadmap!C"&amp; MATCH($E104,Roadmap!$D:$D,0)+COUNTIF($E104:L104,"u")+COUNTIF($E104:L104,"t"),
     INDEX(Roadmap!$D:$K,MATCH($E104,Roadmap!$D:$D,0)+COUNTIF($E104:L104,"u")+COUNTIF($E104:L104,"t")+COUNTIF($E104:L104,"¶")+COUNTIF($E104:L104,"²")+COUNTIF($E104:L104,"µ")+COUNTIF($E104:L104,1),ColTypeEcheance)),
  IF(LEN(L104)=1,
  IF(LEN(INDEX(Roadmap!$D:$K,MATCH($E104,Roadmap!$D:$D,0)-1+COUNTIF($E104:L104,"u")+COUNTIF($E104:L104,"t")+COUNTIF($E104:L104,"¶")+COUNTIF($E104:L104,"²")+COUNTIF($E104:L104,"µ")+COUNTIF($E104:L104,1),ColDescriptionCourte))&gt;1,
HYPERLINK("#Roadmap!C"&amp; MATCH($E104,Roadmap!$D:$D,0)+COUNTIF($E104:L104,"u")+COUNTIF($E104:L104,"t")+COUNTIF($E104:L104,"¶")+COUNTIF($E104:L104,"²")+COUNTIF($E104:L104,"µ")+COUNTIF($E104:L104,1)-1,INDEX(Roadmap!$D:$K,MATCH($E104,Roadmap!$D:$D,0)-1+COUNTIF($E104:L104,"u")+COUNTIF($E104:L104,"t")+COUNTIF($E104:L104,"¶")+COUNTIF($E104:L104,"²")+COUNTIF($E104:L104,"µ")+COUNTIF($E104:L104,1),ColDescriptionCourte)),""),
  "")),"")</f>
        <v/>
      </c>
      <c r="N104" s="40" t="str">
        <f ca="1">IFERROR(IF(AND(
  INDEX(Roadmap!$D:$K,MATCH($E104,Roadmap!$D:$D,0)+COUNTIF($E104:M104,"u")+COUNTIF($E104:M104,"t")+COUNTIF($E104:M104,"¶")+COUNTIF($E104:M104,"²")+COUNTIF($E104:M104,"µ")+COUNTIF($E104:M104,1),ColLivraison)=N$6,
  VLOOKUP($E104,INDIRECT("tri!"&amp; CHAR(64+ C0Col) &amp;":"&amp; CHAR(65+C0Col)),2,FALSE)&gt;COUNTIF($E104:M104,"u")+COUNTIF($E104:M104,"t")+COUNTIF($E104:M104,"¶")+COUNTIF($E104:M104,"²")+COUNTIF($E104:M104,"µ")+COUNTIF($E104:M104,1)),
HYPERLINK("#Roadmap!C"&amp; MATCH($E104,Roadmap!$D:$D,0)+COUNTIF($E104:M104,"u")+COUNTIF($E104:M104,"t"),
     INDEX(Roadmap!$D:$K,MATCH($E104,Roadmap!$D:$D,0)+COUNTIF($E104:M104,"u")+COUNTIF($E104:M104,"t")+COUNTIF($E104:M104,"¶")+COUNTIF($E104:M104,"²")+COUNTIF($E104:M104,"µ")+COUNTIF($E104:M104,1),ColTypeEcheance)),
  IF(LEN(M104)=1,
  IF(LEN(INDEX(Roadmap!$D:$K,MATCH($E104,Roadmap!$D:$D,0)-1+COUNTIF($E104:M104,"u")+COUNTIF($E104:M104,"t")+COUNTIF($E104:M104,"¶")+COUNTIF($E104:M104,"²")+COUNTIF($E104:M104,"µ")+COUNTIF($E104:M104,1),ColDescriptionCourte))&gt;1,
HYPERLINK("#Roadmap!C"&amp; MATCH($E104,Roadmap!$D:$D,0)+COUNTIF($E104:M104,"u")+COUNTIF($E104:M104,"t")+COUNTIF($E104:M104,"¶")+COUNTIF($E104:M104,"²")+COUNTIF($E104:M104,"µ")+COUNTIF($E104:M104,1)-1,INDEX(Roadmap!$D:$K,MATCH($E104,Roadmap!$D:$D,0)-1+COUNTIF($E104:M104,"u")+COUNTIF($E104:M104,"t")+COUNTIF($E104:M104,"¶")+COUNTIF($E104:M104,"²")+COUNTIF($E104:M104,"µ")+COUNTIF($E104:M104,1),ColDescriptionCourte)),""),
  "")),"")</f>
        <v/>
      </c>
      <c r="O104" s="40" t="str">
        <f ca="1">IFERROR(IF(AND(
  INDEX(Roadmap!$D:$K,MATCH($E104,Roadmap!$D:$D,0)+COUNTIF($E104:N104,"u")+COUNTIF($E104:N104,"t")+COUNTIF($E104:N104,"¶")+COUNTIF($E104:N104,"²")+COUNTIF($E104:N104,"µ")+COUNTIF($E104:N104,1),ColLivraison)=O$6,
  VLOOKUP($E104,INDIRECT("tri!"&amp; CHAR(64+ C0Col) &amp;":"&amp; CHAR(65+C0Col)),2,FALSE)&gt;COUNTIF($E104:N104,"u")+COUNTIF($E104:N104,"t")+COUNTIF($E104:N104,"¶")+COUNTIF($E104:N104,"²")+COUNTIF($E104:N104,"µ")+COUNTIF($E104:N104,1)),
HYPERLINK("#Roadmap!C"&amp; MATCH($E104,Roadmap!$D:$D,0)+COUNTIF($E104:N104,"u")+COUNTIF($E104:N104,"t"),
     INDEX(Roadmap!$D:$K,MATCH($E104,Roadmap!$D:$D,0)+COUNTIF($E104:N104,"u")+COUNTIF($E104:N104,"t")+COUNTIF($E104:N104,"¶")+COUNTIF($E104:N104,"²")+COUNTIF($E104:N104,"µ")+COUNTIF($E104:N104,1),ColTypeEcheance)),
  IF(LEN(N104)=1,
  IF(LEN(INDEX(Roadmap!$D:$K,MATCH($E104,Roadmap!$D:$D,0)-1+COUNTIF($E104:N104,"u")+COUNTIF($E104:N104,"t")+COUNTIF($E104:N104,"¶")+COUNTIF($E104:N104,"²")+COUNTIF($E104:N104,"µ")+COUNTIF($E104:N104,1),ColDescriptionCourte))&gt;1,
HYPERLINK("#Roadmap!C"&amp; MATCH($E104,Roadmap!$D:$D,0)+COUNTIF($E104:N104,"u")+COUNTIF($E104:N104,"t")+COUNTIF($E104:N104,"¶")+COUNTIF($E104:N104,"²")+COUNTIF($E104:N104,"µ")+COUNTIF($E104:N104,1)-1,INDEX(Roadmap!$D:$K,MATCH($E104,Roadmap!$D:$D,0)-1+COUNTIF($E104:N104,"u")+COUNTIF($E104:N104,"t")+COUNTIF($E104:N104,"¶")+COUNTIF($E104:N104,"²")+COUNTIF($E104:N104,"µ")+COUNTIF($E104:N104,1),ColDescriptionCourte)),""),
  "")),"")</f>
        <v/>
      </c>
      <c r="P104" s="40" t="str">
        <f ca="1">IFERROR(IF(AND(
  INDEX(Roadmap!$D:$K,MATCH($E104,Roadmap!$D:$D,0)+COUNTIF($E104:O104,"u")+COUNTIF($E104:O104,"t")+COUNTIF($E104:O104,"¶")+COUNTIF($E104:O104,"²")+COUNTIF($E104:O104,"µ")+COUNTIF($E104:O104,1),ColLivraison)=P$6,
  VLOOKUP($E104,INDIRECT("tri!"&amp; CHAR(64+ C0Col) &amp;":"&amp; CHAR(65+C0Col)),2,FALSE)&gt;COUNTIF($E104:O104,"u")+COUNTIF($E104:O104,"t")+COUNTIF($E104:O104,"¶")+COUNTIF($E104:O104,"²")+COUNTIF($E104:O104,"µ")+COUNTIF($E104:O104,1)),
HYPERLINK("#Roadmap!C"&amp; MATCH($E104,Roadmap!$D:$D,0)+COUNTIF($E104:O104,"u")+COUNTIF($E104:O104,"t"),
     INDEX(Roadmap!$D:$K,MATCH($E104,Roadmap!$D:$D,0)+COUNTIF($E104:O104,"u")+COUNTIF($E104:O104,"t")+COUNTIF($E104:O104,"¶")+COUNTIF($E104:O104,"²")+COUNTIF($E104:O104,"µ")+COUNTIF($E104:O104,1),ColTypeEcheance)),
  IF(LEN(O104)=1,
  IF(LEN(INDEX(Roadmap!$D:$K,MATCH($E104,Roadmap!$D:$D,0)-1+COUNTIF($E104:O104,"u")+COUNTIF($E104:O104,"t")+COUNTIF($E104:O104,"¶")+COUNTIF($E104:O104,"²")+COUNTIF($E104:O104,"µ")+COUNTIF($E104:O104,1),ColDescriptionCourte))&gt;1,
HYPERLINK("#Roadmap!C"&amp; MATCH($E104,Roadmap!$D:$D,0)+COUNTIF($E104:O104,"u")+COUNTIF($E104:O104,"t")+COUNTIF($E104:O104,"¶")+COUNTIF($E104:O104,"²")+COUNTIF($E104:O104,"µ")+COUNTIF($E104:O104,1)-1,INDEX(Roadmap!$D:$K,MATCH($E104,Roadmap!$D:$D,0)-1+COUNTIF($E104:O104,"u")+COUNTIF($E104:O104,"t")+COUNTIF($E104:O104,"¶")+COUNTIF($E104:O104,"²")+COUNTIF($E104:O104,"µ")+COUNTIF($E104:O104,1),ColDescriptionCourte)),""),
  "")),"")</f>
        <v/>
      </c>
      <c r="Q104" s="40" t="str">
        <f ca="1">IFERROR(IF(AND(
  INDEX(Roadmap!$D:$K,MATCH($E104,Roadmap!$D:$D,0)+COUNTIF($E104:P104,"u")+COUNTIF($E104:P104,"t")+COUNTIF($E104:P104,"¶")+COUNTIF($E104:P104,"²")+COUNTIF($E104:P104,"µ")+COUNTIF($E104:P104,1),ColLivraison)=Q$6,
  VLOOKUP($E104,INDIRECT("tri!"&amp; CHAR(64+ C0Col) &amp;":"&amp; CHAR(65+C0Col)),2,FALSE)&gt;COUNTIF($E104:P104,"u")+COUNTIF($E104:P104,"t")+COUNTIF($E104:P104,"¶")+COUNTIF($E104:P104,"²")+COUNTIF($E104:P104,"µ")+COUNTIF($E104:P104,1)),
HYPERLINK("#Roadmap!C"&amp; MATCH($E104,Roadmap!$D:$D,0)+COUNTIF($E104:P104,"u")+COUNTIF($E104:P104,"t"),
     INDEX(Roadmap!$D:$K,MATCH($E104,Roadmap!$D:$D,0)+COUNTIF($E104:P104,"u")+COUNTIF($E104:P104,"t")+COUNTIF($E104:P104,"¶")+COUNTIF($E104:P104,"²")+COUNTIF($E104:P104,"µ")+COUNTIF($E104:P104,1),ColTypeEcheance)),
  IF(LEN(P104)=1,
  IF(LEN(INDEX(Roadmap!$D:$K,MATCH($E104,Roadmap!$D:$D,0)-1+COUNTIF($E104:P104,"u")+COUNTIF($E104:P104,"t")+COUNTIF($E104:P104,"¶")+COUNTIF($E104:P104,"²")+COUNTIF($E104:P104,"µ")+COUNTIF($E104:P104,1),ColDescriptionCourte))&gt;1,
HYPERLINK("#Roadmap!C"&amp; MATCH($E104,Roadmap!$D:$D,0)+COUNTIF($E104:P104,"u")+COUNTIF($E104:P104,"t")+COUNTIF($E104:P104,"¶")+COUNTIF($E104:P104,"²")+COUNTIF($E104:P104,"µ")+COUNTIF($E104:P104,1)-1,INDEX(Roadmap!$D:$K,MATCH($E104,Roadmap!$D:$D,0)-1+COUNTIF($E104:P104,"u")+COUNTIF($E104:P104,"t")+COUNTIF($E104:P104,"¶")+COUNTIF($E104:P104,"²")+COUNTIF($E104:P104,"µ")+COUNTIF($E104:P104,1),ColDescriptionCourte)),""),
  "")),"")</f>
        <v/>
      </c>
      <c r="R104" s="40" t="str">
        <f ca="1">IFERROR(IF(AND(
  INDEX(Roadmap!$D:$K,MATCH($E104,Roadmap!$D:$D,0)+COUNTIF($E104:Q104,"u")+COUNTIF($E104:Q104,"t")+COUNTIF($E104:Q104,"¶")+COUNTIF($E104:Q104,"²")+COUNTIF($E104:Q104,"µ")+COUNTIF($E104:Q104,1),ColLivraison)=R$6,
  VLOOKUP($E104,INDIRECT("tri!"&amp; CHAR(64+ C0Col) &amp;":"&amp; CHAR(65+C0Col)),2,FALSE)&gt;COUNTIF($E104:Q104,"u")+COUNTIF($E104:Q104,"t")+COUNTIF($E104:Q104,"¶")+COUNTIF($E104:Q104,"²")+COUNTIF($E104:Q104,"µ")+COUNTIF($E104:Q104,1)),
HYPERLINK("#Roadmap!C"&amp; MATCH($E104,Roadmap!$D:$D,0)+COUNTIF($E104:Q104,"u")+COUNTIF($E104:Q104,"t"),
     INDEX(Roadmap!$D:$K,MATCH($E104,Roadmap!$D:$D,0)+COUNTIF($E104:Q104,"u")+COUNTIF($E104:Q104,"t")+COUNTIF($E104:Q104,"¶")+COUNTIF($E104:Q104,"²")+COUNTIF($E104:Q104,"µ")+COUNTIF($E104:Q104,1),ColTypeEcheance)),
  IF(LEN(Q104)=1,
  IF(LEN(INDEX(Roadmap!$D:$K,MATCH($E104,Roadmap!$D:$D,0)-1+COUNTIF($E104:Q104,"u")+COUNTIF($E104:Q104,"t")+COUNTIF($E104:Q104,"¶")+COUNTIF($E104:Q104,"²")+COUNTIF($E104:Q104,"µ")+COUNTIF($E104:Q104,1),ColDescriptionCourte))&gt;1,
HYPERLINK("#Roadmap!C"&amp; MATCH($E104,Roadmap!$D:$D,0)+COUNTIF($E104:Q104,"u")+COUNTIF($E104:Q104,"t")+COUNTIF($E104:Q104,"¶")+COUNTIF($E104:Q104,"²")+COUNTIF($E104:Q104,"µ")+COUNTIF($E104:Q104,1)-1,INDEX(Roadmap!$D:$K,MATCH($E104,Roadmap!$D:$D,0)-1+COUNTIF($E104:Q104,"u")+COUNTIF($E104:Q104,"t")+COUNTIF($E104:Q104,"¶")+COUNTIF($E104:Q104,"²")+COUNTIF($E104:Q104,"µ")+COUNTIF($E104:Q104,1),ColDescriptionCourte)),""),
  "")),"")</f>
        <v/>
      </c>
      <c r="S104" s="40" t="str">
        <f ca="1">IFERROR(IF(AND(
  INDEX(Roadmap!$D:$K,MATCH($E104,Roadmap!$D:$D,0)+COUNTIF($E104:R104,"u")+COUNTIF($E104:R104,"t")+COUNTIF($E104:R104,"¶")+COUNTIF($E104:R104,"²")+COUNTIF($E104:R104,"µ")+COUNTIF($E104:R104,1),ColLivraison)=S$6,
  VLOOKUP($E104,INDIRECT("tri!"&amp; CHAR(64+ C0Col) &amp;":"&amp; CHAR(65+C0Col)),2,FALSE)&gt;COUNTIF($E104:R104,"u")+COUNTIF($E104:R104,"t")+COUNTIF($E104:R104,"¶")+COUNTIF($E104:R104,"²")+COUNTIF($E104:R104,"µ")+COUNTIF($E104:R104,1)),
HYPERLINK("#Roadmap!C"&amp; MATCH($E104,Roadmap!$D:$D,0)+COUNTIF($E104:R104,"u")+COUNTIF($E104:R104,"t"),
     INDEX(Roadmap!$D:$K,MATCH($E104,Roadmap!$D:$D,0)+COUNTIF($E104:R104,"u")+COUNTIF($E104:R104,"t")+COUNTIF($E104:R104,"¶")+COUNTIF($E104:R104,"²")+COUNTIF($E104:R104,"µ")+COUNTIF($E104:R104,1),ColTypeEcheance)),
  IF(LEN(R104)=1,
  IF(LEN(INDEX(Roadmap!$D:$K,MATCH($E104,Roadmap!$D:$D,0)-1+COUNTIF($E104:R104,"u")+COUNTIF($E104:R104,"t")+COUNTIF($E104:R104,"¶")+COUNTIF($E104:R104,"²")+COUNTIF($E104:R104,"µ")+COUNTIF($E104:R104,1),ColDescriptionCourte))&gt;1,
HYPERLINK("#Roadmap!C"&amp; MATCH($E104,Roadmap!$D:$D,0)+COUNTIF($E104:R104,"u")+COUNTIF($E104:R104,"t")+COUNTIF($E104:R104,"¶")+COUNTIF($E104:R104,"²")+COUNTIF($E104:R104,"µ")+COUNTIF($E104:R104,1)-1,INDEX(Roadmap!$D:$K,MATCH($E104,Roadmap!$D:$D,0)-1+COUNTIF($E104:R104,"u")+COUNTIF($E104:R104,"t")+COUNTIF($E104:R104,"¶")+COUNTIF($E104:R104,"²")+COUNTIF($E104:R104,"µ")+COUNTIF($E104:R104,1),ColDescriptionCourte)),""),
  "")),"")</f>
        <v/>
      </c>
      <c r="T104" s="40" t="str">
        <f ca="1">IFERROR(IF(AND(
  INDEX(Roadmap!$D:$K,MATCH($E104,Roadmap!$D:$D,0)+COUNTIF($E104:S104,"u")+COUNTIF($E104:S104,"t")+COUNTIF($E104:S104,"¶")+COUNTIF($E104:S104,"²")+COUNTIF($E104:S104,"µ")+COUNTIF($E104:S104,1),ColLivraison)=T$6,
  VLOOKUP($E104,INDIRECT("tri!"&amp; CHAR(64+ C0Col) &amp;":"&amp; CHAR(65+C0Col)),2,FALSE)&gt;COUNTIF($E104:S104,"u")+COUNTIF($E104:S104,"t")+COUNTIF($E104:S104,"¶")+COUNTIF($E104:S104,"²")+COUNTIF($E104:S104,"µ")+COUNTIF($E104:S104,1)),
HYPERLINK("#Roadmap!C"&amp; MATCH($E104,Roadmap!$D:$D,0)+COUNTIF($E104:S104,"u")+COUNTIF($E104:S104,"t"),
     INDEX(Roadmap!$D:$K,MATCH($E104,Roadmap!$D:$D,0)+COUNTIF($E104:S104,"u")+COUNTIF($E104:S104,"t")+COUNTIF($E104:S104,"¶")+COUNTIF($E104:S104,"²")+COUNTIF($E104:S104,"µ")+COUNTIF($E104:S104,1),ColTypeEcheance)),
  IF(LEN(S104)=1,
  IF(LEN(INDEX(Roadmap!$D:$K,MATCH($E104,Roadmap!$D:$D,0)-1+COUNTIF($E104:S104,"u")+COUNTIF($E104:S104,"t")+COUNTIF($E104:S104,"¶")+COUNTIF($E104:S104,"²")+COUNTIF($E104:S104,"µ")+COUNTIF($E104:S104,1),ColDescriptionCourte))&gt;1,
HYPERLINK("#Roadmap!C"&amp; MATCH($E104,Roadmap!$D:$D,0)+COUNTIF($E104:S104,"u")+COUNTIF($E104:S104,"t")+COUNTIF($E104:S104,"¶")+COUNTIF($E104:S104,"²")+COUNTIF($E104:S104,"µ")+COUNTIF($E104:S104,1)-1,INDEX(Roadmap!$D:$K,MATCH($E104,Roadmap!$D:$D,0)-1+COUNTIF($E104:S104,"u")+COUNTIF($E104:S104,"t")+COUNTIF($E104:S104,"¶")+COUNTIF($E104:S104,"²")+COUNTIF($E104:S104,"µ")+COUNTIF($E104:S104,1),ColDescriptionCourte)),""),
  "")),"")</f>
        <v/>
      </c>
      <c r="U104" s="40" t="str">
        <f ca="1">IFERROR(IF(AND(
  INDEX(Roadmap!$D:$K,MATCH($E104,Roadmap!$D:$D,0)+COUNTIF($E104:T104,"u")+COUNTIF($E104:T104,"t")+COUNTIF($E104:T104,"¶")+COUNTIF($E104:T104,"²")+COUNTIF($E104:T104,"µ")+COUNTIF($E104:T104,1),ColLivraison)=U$6,
  VLOOKUP($E104,INDIRECT("tri!"&amp; CHAR(64+ C0Col) &amp;":"&amp; CHAR(65+C0Col)),2,FALSE)&gt;COUNTIF($E104:T104,"u")+COUNTIF($E104:T104,"t")+COUNTIF($E104:T104,"¶")+COUNTIF($E104:T104,"²")+COUNTIF($E104:T104,"µ")+COUNTIF($E104:T104,1)),
HYPERLINK("#Roadmap!C"&amp; MATCH($E104,Roadmap!$D:$D,0)+COUNTIF($E104:T104,"u")+COUNTIF($E104:T104,"t"),
     INDEX(Roadmap!$D:$K,MATCH($E104,Roadmap!$D:$D,0)+COUNTIF($E104:T104,"u")+COUNTIF($E104:T104,"t")+COUNTIF($E104:T104,"¶")+COUNTIF($E104:T104,"²")+COUNTIF($E104:T104,"µ")+COUNTIF($E104:T104,1),ColTypeEcheance)),
  IF(LEN(T104)=1,
  IF(LEN(INDEX(Roadmap!$D:$K,MATCH($E104,Roadmap!$D:$D,0)-1+COUNTIF($E104:T104,"u")+COUNTIF($E104:T104,"t")+COUNTIF($E104:T104,"¶")+COUNTIF($E104:T104,"²")+COUNTIF($E104:T104,"µ")+COUNTIF($E104:T104,1),ColDescriptionCourte))&gt;1,
HYPERLINK("#Roadmap!C"&amp; MATCH($E104,Roadmap!$D:$D,0)+COUNTIF($E104:T104,"u")+COUNTIF($E104:T104,"t")+COUNTIF($E104:T104,"¶")+COUNTIF($E104:T104,"²")+COUNTIF($E104:T104,"µ")+COUNTIF($E104:T104,1)-1,INDEX(Roadmap!$D:$K,MATCH($E104,Roadmap!$D:$D,0)-1+COUNTIF($E104:T104,"u")+COUNTIF($E104:T104,"t")+COUNTIF($E104:T104,"¶")+COUNTIF($E104:T104,"²")+COUNTIF($E104:T104,"µ")+COUNTIF($E104:T104,1),ColDescriptionCourte)),""),
  "")),"")</f>
        <v/>
      </c>
      <c r="V104" s="40" t="str">
        <f ca="1">IFERROR(IF(AND(
  INDEX(Roadmap!$D:$K,MATCH($E104,Roadmap!$D:$D,0)+COUNTIF($E104:U104,"u")+COUNTIF($E104:U104,"t")+COUNTIF($E104:U104,"¶")+COUNTIF($E104:U104,"²")+COUNTIF($E104:U104,"µ")+COUNTIF($E104:U104,1),ColLivraison)=V$6,
  VLOOKUP($E104,INDIRECT("tri!"&amp; CHAR(64+ C0Col) &amp;":"&amp; CHAR(65+C0Col)),2,FALSE)&gt;COUNTIF($E104:U104,"u")+COUNTIF($E104:U104,"t")+COUNTIF($E104:U104,"¶")+COUNTIF($E104:U104,"²")+COUNTIF($E104:U104,"µ")+COUNTIF($E104:U104,1)),
HYPERLINK("#Roadmap!C"&amp; MATCH($E104,Roadmap!$D:$D,0)+COUNTIF($E104:U104,"u")+COUNTIF($E104:U104,"t"),
     INDEX(Roadmap!$D:$K,MATCH($E104,Roadmap!$D:$D,0)+COUNTIF($E104:U104,"u")+COUNTIF($E104:U104,"t")+COUNTIF($E104:U104,"¶")+COUNTIF($E104:U104,"²")+COUNTIF($E104:U104,"µ")+COUNTIF($E104:U104,1),ColTypeEcheance)),
  IF(LEN(U104)=1,
  IF(LEN(INDEX(Roadmap!$D:$K,MATCH($E104,Roadmap!$D:$D,0)-1+COUNTIF($E104:U104,"u")+COUNTIF($E104:U104,"t")+COUNTIF($E104:U104,"¶")+COUNTIF($E104:U104,"²")+COUNTIF($E104:U104,"µ")+COUNTIF($E104:U104,1),ColDescriptionCourte))&gt;1,
HYPERLINK("#Roadmap!C"&amp; MATCH($E104,Roadmap!$D:$D,0)+COUNTIF($E104:U104,"u")+COUNTIF($E104:U104,"t")+COUNTIF($E104:U104,"¶")+COUNTIF($E104:U104,"²")+COUNTIF($E104:U104,"µ")+COUNTIF($E104:U104,1)-1,INDEX(Roadmap!$D:$K,MATCH($E104,Roadmap!$D:$D,0)-1+COUNTIF($E104:U104,"u")+COUNTIF($E104:U104,"t")+COUNTIF($E104:U104,"¶")+COUNTIF($E104:U104,"²")+COUNTIF($E104:U104,"µ")+COUNTIF($E104:U104,1),ColDescriptionCourte)),""),
  "")),"")</f>
        <v/>
      </c>
      <c r="W104" s="40" t="str">
        <f ca="1">IFERROR(IF(AND(
  INDEX(Roadmap!$D:$K,MATCH($E104,Roadmap!$D:$D,0)+COUNTIF($E104:V104,"u")+COUNTIF($E104:V104,"t")+COUNTIF($E104:V104,"¶")+COUNTIF($E104:V104,"²")+COUNTIF($E104:V104,"µ")+COUNTIF($E104:V104,1),ColLivraison)=W$6,
  VLOOKUP($E104,INDIRECT("tri!"&amp; CHAR(64+ C0Col) &amp;":"&amp; CHAR(65+C0Col)),2,FALSE)&gt;COUNTIF($E104:V104,"u")+COUNTIF($E104:V104,"t")+COUNTIF($E104:V104,"¶")+COUNTIF($E104:V104,"²")+COUNTIF($E104:V104,"µ")+COUNTIF($E104:V104,1)),
HYPERLINK("#Roadmap!C"&amp; MATCH($E104,Roadmap!$D:$D,0)+COUNTIF($E104:V104,"u")+COUNTIF($E104:V104,"t"),
     INDEX(Roadmap!$D:$K,MATCH($E104,Roadmap!$D:$D,0)+COUNTIF($E104:V104,"u")+COUNTIF($E104:V104,"t")+COUNTIF($E104:V104,"¶")+COUNTIF($E104:V104,"²")+COUNTIF($E104:V104,"µ")+COUNTIF($E104:V104,1),ColTypeEcheance)),
  IF(LEN(V104)=1,
  IF(LEN(INDEX(Roadmap!$D:$K,MATCH($E104,Roadmap!$D:$D,0)-1+COUNTIF($E104:V104,"u")+COUNTIF($E104:V104,"t")+COUNTIF($E104:V104,"¶")+COUNTIF($E104:V104,"²")+COUNTIF($E104:V104,"µ")+COUNTIF($E104:V104,1),ColDescriptionCourte))&gt;1,
HYPERLINK("#Roadmap!C"&amp; MATCH($E104,Roadmap!$D:$D,0)+COUNTIF($E104:V104,"u")+COUNTIF($E104:V104,"t")+COUNTIF($E104:V104,"¶")+COUNTIF($E104:V104,"²")+COUNTIF($E104:V104,"µ")+COUNTIF($E104:V104,1)-1,INDEX(Roadmap!$D:$K,MATCH($E104,Roadmap!$D:$D,0)-1+COUNTIF($E104:V104,"u")+COUNTIF($E104:V104,"t")+COUNTIF($E104:V104,"¶")+COUNTIF($E104:V104,"²")+COUNTIF($E104:V104,"µ")+COUNTIF($E104:V104,1),ColDescriptionCourte)),""),
  "")),"")</f>
        <v/>
      </c>
      <c r="X104" s="40" t="str">
        <f ca="1">IFERROR(IF(AND(
  INDEX(Roadmap!$D:$K,MATCH($E104,Roadmap!$D:$D,0)+COUNTIF($E104:W104,"u")+COUNTIF($E104:W104,"t")+COUNTIF($E104:W104,"¶")+COUNTIF($E104:W104,"²")+COUNTIF($E104:W104,"µ")+COUNTIF($E104:W104,1),ColLivraison)=X$6,
  VLOOKUP($E104,INDIRECT("tri!"&amp; CHAR(64+ C0Col) &amp;":"&amp; CHAR(65+C0Col)),2,FALSE)&gt;COUNTIF($E104:W104,"u")+COUNTIF($E104:W104,"t")+COUNTIF($E104:W104,"¶")+COUNTIF($E104:W104,"²")+COUNTIF($E104:W104,"µ")+COUNTIF($E104:W104,1)),
HYPERLINK("#Roadmap!C"&amp; MATCH($E104,Roadmap!$D:$D,0)+COUNTIF($E104:W104,"u")+COUNTIF($E104:W104,"t"),
     INDEX(Roadmap!$D:$K,MATCH($E104,Roadmap!$D:$D,0)+COUNTIF($E104:W104,"u")+COUNTIF($E104:W104,"t")+COUNTIF($E104:W104,"¶")+COUNTIF($E104:W104,"²")+COUNTIF($E104:W104,"µ")+COUNTIF($E104:W104,1),ColTypeEcheance)),
  IF(LEN(W104)=1,
  IF(LEN(INDEX(Roadmap!$D:$K,MATCH($E104,Roadmap!$D:$D,0)-1+COUNTIF($E104:W104,"u")+COUNTIF($E104:W104,"t")+COUNTIF($E104:W104,"¶")+COUNTIF($E104:W104,"²")+COUNTIF($E104:W104,"µ")+COUNTIF($E104:W104,1),ColDescriptionCourte))&gt;1,
HYPERLINK("#Roadmap!C"&amp; MATCH($E104,Roadmap!$D:$D,0)+COUNTIF($E104:W104,"u")+COUNTIF($E104:W104,"t")+COUNTIF($E104:W104,"¶")+COUNTIF($E104:W104,"²")+COUNTIF($E104:W104,"µ")+COUNTIF($E104:W104,1)-1,INDEX(Roadmap!$D:$K,MATCH($E104,Roadmap!$D:$D,0)-1+COUNTIF($E104:W104,"u")+COUNTIF($E104:W104,"t")+COUNTIF($E104:W104,"¶")+COUNTIF($E104:W104,"²")+COUNTIF($E104:W104,"µ")+COUNTIF($E104:W104,1),ColDescriptionCourte)),""),
  "")),"")</f>
        <v/>
      </c>
      <c r="Y104" s="40" t="str">
        <f ca="1">IFERROR(IF(AND(
  INDEX(Roadmap!$D:$K,MATCH($E104,Roadmap!$D:$D,0)+COUNTIF($E104:X104,"u")+COUNTIF($E104:X104,"t")+COUNTIF($E104:X104,"¶")+COUNTIF($E104:X104,"²")+COUNTIF($E104:X104,"µ")+COUNTIF($E104:X104,1),ColLivraison)=Y$6,
  VLOOKUP($E104,INDIRECT("tri!"&amp; CHAR(64+ C0Col) &amp;":"&amp; CHAR(65+C0Col)),2,FALSE)&gt;COUNTIF($E104:X104,"u")+COUNTIF($E104:X104,"t")+COUNTIF($E104:X104,"¶")+COUNTIF($E104:X104,"²")+COUNTIF($E104:X104,"µ")+COUNTIF($E104:X104,1)),
HYPERLINK("#Roadmap!C"&amp; MATCH($E104,Roadmap!$D:$D,0)+COUNTIF($E104:X104,"u")+COUNTIF($E104:X104,"t"),
     INDEX(Roadmap!$D:$K,MATCH($E104,Roadmap!$D:$D,0)+COUNTIF($E104:X104,"u")+COUNTIF($E104:X104,"t")+COUNTIF($E104:X104,"¶")+COUNTIF($E104:X104,"²")+COUNTIF($E104:X104,"µ")+COUNTIF($E104:X104,1),ColTypeEcheance)),
  IF(LEN(X104)=1,
  IF(LEN(INDEX(Roadmap!$D:$K,MATCH($E104,Roadmap!$D:$D,0)-1+COUNTIF($E104:X104,"u")+COUNTIF($E104:X104,"t")+COUNTIF($E104:X104,"¶")+COUNTIF($E104:X104,"²")+COUNTIF($E104:X104,"µ")+COUNTIF($E104:X104,1),ColDescriptionCourte))&gt;1,
HYPERLINK("#Roadmap!C"&amp; MATCH($E104,Roadmap!$D:$D,0)+COUNTIF($E104:X104,"u")+COUNTIF($E104:X104,"t")+COUNTIF($E104:X104,"¶")+COUNTIF($E104:X104,"²")+COUNTIF($E104:X104,"µ")+COUNTIF($E104:X104,1)-1,INDEX(Roadmap!$D:$K,MATCH($E104,Roadmap!$D:$D,0)-1+COUNTIF($E104:X104,"u")+COUNTIF($E104:X104,"t")+COUNTIF($E104:X104,"¶")+COUNTIF($E104:X104,"²")+COUNTIF($E104:X104,"µ")+COUNTIF($E104:X104,1),ColDescriptionCourte)),""),
  "")),"")</f>
        <v/>
      </c>
      <c r="Z104" s="40" t="str">
        <f ca="1">IFERROR(IF(AND(
  INDEX(Roadmap!$D:$K,MATCH($E104,Roadmap!$D:$D,0)+COUNTIF($E104:Y104,"u")+COUNTIF($E104:Y104,"t")+COUNTIF($E104:Y104,"¶")+COUNTIF($E104:Y104,"²")+COUNTIF($E104:Y104,"µ")+COUNTIF($E104:Y104,1),ColLivraison)=Z$6,
  VLOOKUP($E104,INDIRECT("tri!"&amp; CHAR(64+ C0Col) &amp;":"&amp; CHAR(65+C0Col)),2,FALSE)&gt;COUNTIF($E104:Y104,"u")+COUNTIF($E104:Y104,"t")+COUNTIF($E104:Y104,"¶")+COUNTIF($E104:Y104,"²")+COUNTIF($E104:Y104,"µ")+COUNTIF($E104:Y104,1)),
HYPERLINK("#Roadmap!C"&amp; MATCH($E104,Roadmap!$D:$D,0)+COUNTIF($E104:Y104,"u")+COUNTIF($E104:Y104,"t"),
     INDEX(Roadmap!$D:$K,MATCH($E104,Roadmap!$D:$D,0)+COUNTIF($E104:Y104,"u")+COUNTIF($E104:Y104,"t")+COUNTIF($E104:Y104,"¶")+COUNTIF($E104:Y104,"²")+COUNTIF($E104:Y104,"µ")+COUNTIF($E104:Y104,1),ColTypeEcheance)),
  IF(LEN(Y104)=1,
  IF(LEN(INDEX(Roadmap!$D:$K,MATCH($E104,Roadmap!$D:$D,0)-1+COUNTIF($E104:Y104,"u")+COUNTIF($E104:Y104,"t")+COUNTIF($E104:Y104,"¶")+COUNTIF($E104:Y104,"²")+COUNTIF($E104:Y104,"µ")+COUNTIF($E104:Y104,1),ColDescriptionCourte))&gt;1,
HYPERLINK("#Roadmap!C"&amp; MATCH($E104,Roadmap!$D:$D,0)+COUNTIF($E104:Y104,"u")+COUNTIF($E104:Y104,"t")+COUNTIF($E104:Y104,"¶")+COUNTIF($E104:Y104,"²")+COUNTIF($E104:Y104,"µ")+COUNTIF($E104:Y104,1)-1,INDEX(Roadmap!$D:$K,MATCH($E104,Roadmap!$D:$D,0)-1+COUNTIF($E104:Y104,"u")+COUNTIF($E104:Y104,"t")+COUNTIF($E104:Y104,"¶")+COUNTIF($E104:Y104,"²")+COUNTIF($E104:Y104,"µ")+COUNTIF($E104:Y104,1),ColDescriptionCourte)),""),
  "")),"")</f>
        <v/>
      </c>
      <c r="AA104" s="40" t="str">
        <f ca="1">IFERROR(IF(AND(
  INDEX(Roadmap!$D:$K,MATCH($E104,Roadmap!$D:$D,0)+COUNTIF($E104:Z104,"u")+COUNTIF($E104:Z104,"t")+COUNTIF($E104:Z104,"¶")+COUNTIF($E104:Z104,"²")+COUNTIF($E104:Z104,"µ")+COUNTIF($E104:Z104,1),ColLivraison)=AA$6,
  VLOOKUP($E104,INDIRECT("tri!"&amp; CHAR(64+ C0Col) &amp;":"&amp; CHAR(65+C0Col)),2,FALSE)&gt;COUNTIF($E104:Z104,"u")+COUNTIF($E104:Z104,"t")+COUNTIF($E104:Z104,"¶")+COUNTIF($E104:Z104,"²")+COUNTIF($E104:Z104,"µ")+COUNTIF($E104:Z104,1)),
HYPERLINK("#Roadmap!C"&amp; MATCH($E104,Roadmap!$D:$D,0)+COUNTIF($E104:Z104,"u")+COUNTIF($E104:Z104,"t"),
     INDEX(Roadmap!$D:$K,MATCH($E104,Roadmap!$D:$D,0)+COUNTIF($E104:Z104,"u")+COUNTIF($E104:Z104,"t")+COUNTIF($E104:Z104,"¶")+COUNTIF($E104:Z104,"²")+COUNTIF($E104:Z104,"µ")+COUNTIF($E104:Z104,1),ColTypeEcheance)),
  IF(LEN(Z104)=1,
  IF(LEN(INDEX(Roadmap!$D:$K,MATCH($E104,Roadmap!$D:$D,0)-1+COUNTIF($E104:Z104,"u")+COUNTIF($E104:Z104,"t")+COUNTIF($E104:Z104,"¶")+COUNTIF($E104:Z104,"²")+COUNTIF($E104:Z104,"µ")+COUNTIF($E104:Z104,1),ColDescriptionCourte))&gt;1,
HYPERLINK("#Roadmap!C"&amp; MATCH($E104,Roadmap!$D:$D,0)+COUNTIF($E104:Z104,"u")+COUNTIF($E104:Z104,"t")+COUNTIF($E104:Z104,"¶")+COUNTIF($E104:Z104,"²")+COUNTIF($E104:Z104,"µ")+COUNTIF($E104:Z104,1)-1,INDEX(Roadmap!$D:$K,MATCH($E104,Roadmap!$D:$D,0)-1+COUNTIF($E104:Z104,"u")+COUNTIF($E104:Z104,"t")+COUNTIF($E104:Z104,"¶")+COUNTIF($E104:Z104,"²")+COUNTIF($E104:Z104,"µ")+COUNTIF($E104:Z104,1),ColDescriptionCourte)),""),
  "")),"")</f>
        <v/>
      </c>
      <c r="AB104" s="40" t="str">
        <f ca="1">IFERROR(IF(AND(
  INDEX(Roadmap!$D:$K,MATCH($E104,Roadmap!$D:$D,0)+COUNTIF($E104:AA104,"u")+COUNTIF($E104:AA104,"t")+COUNTIF($E104:AA104,"¶")+COUNTIF($E104:AA104,"²")+COUNTIF($E104:AA104,"µ")+COUNTIF($E104:AA104,1),ColLivraison)=AB$6,
  VLOOKUP($E104,INDIRECT("tri!"&amp; CHAR(64+ C0Col) &amp;":"&amp; CHAR(65+C0Col)),2,FALSE)&gt;COUNTIF($E104:AA104,"u")+COUNTIF($E104:AA104,"t")+COUNTIF($E104:AA104,"¶")+COUNTIF($E104:AA104,"²")+COUNTIF($E104:AA104,"µ")+COUNTIF($E104:AA104,1)),
HYPERLINK("#Roadmap!C"&amp; MATCH($E104,Roadmap!$D:$D,0)+COUNTIF($E104:AA104,"u")+COUNTIF($E104:AA104,"t"),
     INDEX(Roadmap!$D:$K,MATCH($E104,Roadmap!$D:$D,0)+COUNTIF($E104:AA104,"u")+COUNTIF($E104:AA104,"t")+COUNTIF($E104:AA104,"¶")+COUNTIF($E104:AA104,"²")+COUNTIF($E104:AA104,"µ")+COUNTIF($E104:AA104,1),ColTypeEcheance)),
  IF(LEN(AA104)=1,
  IF(LEN(INDEX(Roadmap!$D:$K,MATCH($E104,Roadmap!$D:$D,0)-1+COUNTIF($E104:AA104,"u")+COUNTIF($E104:AA104,"t")+COUNTIF($E104:AA104,"¶")+COUNTIF($E104:AA104,"²")+COUNTIF($E104:AA104,"µ")+COUNTIF($E104:AA104,1),ColDescriptionCourte))&gt;1,
HYPERLINK("#Roadmap!C"&amp; MATCH($E104,Roadmap!$D:$D,0)+COUNTIF($E104:AA104,"u")+COUNTIF($E104:AA104,"t")+COUNTIF($E104:AA104,"¶")+COUNTIF($E104:AA104,"²")+COUNTIF($E104:AA104,"µ")+COUNTIF($E104:AA104,1)-1,INDEX(Roadmap!$D:$K,MATCH($E104,Roadmap!$D:$D,0)-1+COUNTIF($E104:AA104,"u")+COUNTIF($E104:AA104,"t")+COUNTIF($E104:AA104,"¶")+COUNTIF($E104:AA104,"²")+COUNTIF($E104:AA104,"µ")+COUNTIF($E104:AA104,1),ColDescriptionCourte)),""),
  "")),"")</f>
        <v/>
      </c>
      <c r="AC104" s="40" t="str">
        <f ca="1">IFERROR(IF(AND(
  INDEX(Roadmap!$D:$K,MATCH($E104,Roadmap!$D:$D,0)+COUNTIF($E104:AB104,"u")+COUNTIF($E104:AB104,"t")+COUNTIF($E104:AB104,"¶")+COUNTIF($E104:AB104,"²")+COUNTIF($E104:AB104,"µ")+COUNTIF($E104:AB104,1),ColLivraison)=AC$6,
  VLOOKUP($E104,INDIRECT("tri!"&amp; CHAR(64+ C0Col) &amp;":"&amp; CHAR(65+C0Col)),2,FALSE)&gt;COUNTIF($E104:AB104,"u")+COUNTIF($E104:AB104,"t")+COUNTIF($E104:AB104,"¶")+COUNTIF($E104:AB104,"²")+COUNTIF($E104:AB104,"µ")+COUNTIF($E104:AB104,1)),
HYPERLINK("#Roadmap!C"&amp; MATCH($E104,Roadmap!$D:$D,0)+COUNTIF($E104:AB104,"u")+COUNTIF($E104:AB104,"t"),
     INDEX(Roadmap!$D:$K,MATCH($E104,Roadmap!$D:$D,0)+COUNTIF($E104:AB104,"u")+COUNTIF($E104:AB104,"t")+COUNTIF($E104:AB104,"¶")+COUNTIF($E104:AB104,"²")+COUNTIF($E104:AB104,"µ")+COUNTIF($E104:AB104,1),ColTypeEcheance)),
  IF(LEN(AB104)=1,
  IF(LEN(INDEX(Roadmap!$D:$K,MATCH($E104,Roadmap!$D:$D,0)-1+COUNTIF($E104:AB104,"u")+COUNTIF($E104:AB104,"t")+COUNTIF($E104:AB104,"¶")+COUNTIF($E104:AB104,"²")+COUNTIF($E104:AB104,"µ")+COUNTIF($E104:AB104,1),ColDescriptionCourte))&gt;1,
HYPERLINK("#Roadmap!C"&amp; MATCH($E104,Roadmap!$D:$D,0)+COUNTIF($E104:AB104,"u")+COUNTIF($E104:AB104,"t")+COUNTIF($E104:AB104,"¶")+COUNTIF($E104:AB104,"²")+COUNTIF($E104:AB104,"µ")+COUNTIF($E104:AB104,1)-1,INDEX(Roadmap!$D:$K,MATCH($E104,Roadmap!$D:$D,0)-1+COUNTIF($E104:AB104,"u")+COUNTIF($E104:AB104,"t")+COUNTIF($E104:AB104,"¶")+COUNTIF($E104:AB104,"²")+COUNTIF($E104:AB104,"µ")+COUNTIF($E104:AB104,1),ColDescriptionCourte)),""),
  "")),"")</f>
        <v/>
      </c>
      <c r="AD104" s="40" t="str">
        <f ca="1">IFERROR(IF(AND(
  INDEX(Roadmap!$D:$K,MATCH($E104,Roadmap!$D:$D,0)+COUNTIF($E104:AC104,"u")+COUNTIF($E104:AC104,"t")+COUNTIF($E104:AC104,"¶")+COUNTIF($E104:AC104,"²")+COUNTIF($E104:AC104,"µ")+COUNTIF($E104:AC104,1),ColLivraison)=AD$6,
  VLOOKUP($E104,INDIRECT("tri!"&amp; CHAR(64+ C0Col) &amp;":"&amp; CHAR(65+C0Col)),2,FALSE)&gt;COUNTIF($E104:AC104,"u")+COUNTIF($E104:AC104,"t")+COUNTIF($E104:AC104,"¶")+COUNTIF($E104:AC104,"²")+COUNTIF($E104:AC104,"µ")+COUNTIF($E104:AC104,1)),
HYPERLINK("#Roadmap!C"&amp; MATCH($E104,Roadmap!$D:$D,0)+COUNTIF($E104:AC104,"u")+COUNTIF($E104:AC104,"t"),
     INDEX(Roadmap!$D:$K,MATCH($E104,Roadmap!$D:$D,0)+COUNTIF($E104:AC104,"u")+COUNTIF($E104:AC104,"t")+COUNTIF($E104:AC104,"¶")+COUNTIF($E104:AC104,"²")+COUNTIF($E104:AC104,"µ")+COUNTIF($E104:AC104,1),ColTypeEcheance)),
  IF(LEN(AC104)=1,
  IF(LEN(INDEX(Roadmap!$D:$K,MATCH($E104,Roadmap!$D:$D,0)-1+COUNTIF($E104:AC104,"u")+COUNTIF($E104:AC104,"t")+COUNTIF($E104:AC104,"¶")+COUNTIF($E104:AC104,"²")+COUNTIF($E104:AC104,"µ")+COUNTIF($E104:AC104,1),ColDescriptionCourte))&gt;1,
HYPERLINK("#Roadmap!C"&amp; MATCH($E104,Roadmap!$D:$D,0)+COUNTIF($E104:AC104,"u")+COUNTIF($E104:AC104,"t")+COUNTIF($E104:AC104,"¶")+COUNTIF($E104:AC104,"²")+COUNTIF($E104:AC104,"µ")+COUNTIF($E104:AC104,1)-1,INDEX(Roadmap!$D:$K,MATCH($E104,Roadmap!$D:$D,0)-1+COUNTIF($E104:AC104,"u")+COUNTIF($E104:AC104,"t")+COUNTIF($E104:AC104,"¶")+COUNTIF($E104:AC104,"²")+COUNTIF($E104:AC104,"µ")+COUNTIF($E104:AC104,1),ColDescriptionCourte)),""),
  "")),"")</f>
        <v/>
      </c>
      <c r="AE104" s="40" t="str">
        <f ca="1">IFERROR(IF(AND(
  INDEX(Roadmap!$D:$K,MATCH($E104,Roadmap!$D:$D,0)+COUNTIF($E104:AD104,"u")+COUNTIF($E104:AD104,"t")+COUNTIF($E104:AD104,"¶")+COUNTIF($E104:AD104,"²")+COUNTIF($E104:AD104,"µ")+COUNTIF($E104:AD104,1),ColLivraison)=AE$6,
  VLOOKUP($E104,INDIRECT("tri!"&amp; CHAR(64+ C0Col) &amp;":"&amp; CHAR(65+C0Col)),2,FALSE)&gt;COUNTIF($E104:AD104,"u")+COUNTIF($E104:AD104,"t")+COUNTIF($E104:AD104,"¶")+COUNTIF($E104:AD104,"²")+COUNTIF($E104:AD104,"µ")+COUNTIF($E104:AD104,1)),
HYPERLINK("#Roadmap!C"&amp; MATCH($E104,Roadmap!$D:$D,0)+COUNTIF($E104:AD104,"u")+COUNTIF($E104:AD104,"t"),
     INDEX(Roadmap!$D:$K,MATCH($E104,Roadmap!$D:$D,0)+COUNTIF($E104:AD104,"u")+COUNTIF($E104:AD104,"t")+COUNTIF($E104:AD104,"¶")+COUNTIF($E104:AD104,"²")+COUNTIF($E104:AD104,"µ")+COUNTIF($E104:AD104,1),ColTypeEcheance)),
  IF(LEN(AD104)=1,
  IF(LEN(INDEX(Roadmap!$D:$K,MATCH($E104,Roadmap!$D:$D,0)-1+COUNTIF($E104:AD104,"u")+COUNTIF($E104:AD104,"t")+COUNTIF($E104:AD104,"¶")+COUNTIF($E104:AD104,"²")+COUNTIF($E104:AD104,"µ")+COUNTIF($E104:AD104,1),ColDescriptionCourte))&gt;1,
HYPERLINK("#Roadmap!C"&amp; MATCH($E104,Roadmap!$D:$D,0)+COUNTIF($E104:AD104,"u")+COUNTIF($E104:AD104,"t")+COUNTIF($E104:AD104,"¶")+COUNTIF($E104:AD104,"²")+COUNTIF($E104:AD104,"µ")+COUNTIF($E104:AD104,1)-1,INDEX(Roadmap!$D:$K,MATCH($E104,Roadmap!$D:$D,0)-1+COUNTIF($E104:AD104,"u")+COUNTIF($E104:AD104,"t")+COUNTIF($E104:AD104,"¶")+COUNTIF($E104:AD104,"²")+COUNTIF($E104:AD104,"µ")+COUNTIF($E104:AD104,1),ColDescriptionCourte)),""),
  "")),"")</f>
        <v/>
      </c>
      <c r="AF104" s="40" t="str">
        <f ca="1">IFERROR(IF(AND(
  INDEX(Roadmap!$D:$K,MATCH($E104,Roadmap!$D:$D,0)+COUNTIF($E104:AE104,"u")+COUNTIF($E104:AE104,"t")+COUNTIF($E104:AE104,"¶")+COUNTIF($E104:AE104,"²")+COUNTIF($E104:AE104,"µ")+COUNTIF($E104:AE104,1),ColLivraison)=AF$6,
  VLOOKUP($E104,INDIRECT("tri!"&amp; CHAR(64+ C0Col) &amp;":"&amp; CHAR(65+C0Col)),2,FALSE)&gt;COUNTIF($E104:AE104,"u")+COUNTIF($E104:AE104,"t")+COUNTIF($E104:AE104,"¶")+COUNTIF($E104:AE104,"²")+COUNTIF($E104:AE104,"µ")+COUNTIF($E104:AE104,1)),
HYPERLINK("#Roadmap!C"&amp; MATCH($E104,Roadmap!$D:$D,0)+COUNTIF($E104:AE104,"u")+COUNTIF($E104:AE104,"t"),
     INDEX(Roadmap!$D:$K,MATCH($E104,Roadmap!$D:$D,0)+COUNTIF($E104:AE104,"u")+COUNTIF($E104:AE104,"t")+COUNTIF($E104:AE104,"¶")+COUNTIF($E104:AE104,"²")+COUNTIF($E104:AE104,"µ")+COUNTIF($E104:AE104,1),ColTypeEcheance)),
  IF(LEN(AE104)=1,
  IF(LEN(INDEX(Roadmap!$D:$K,MATCH($E104,Roadmap!$D:$D,0)-1+COUNTIF($E104:AE104,"u")+COUNTIF($E104:AE104,"t")+COUNTIF($E104:AE104,"¶")+COUNTIF($E104:AE104,"²")+COUNTIF($E104:AE104,"µ")+COUNTIF($E104:AE104,1),ColDescriptionCourte))&gt;1,
HYPERLINK("#Roadmap!C"&amp; MATCH($E104,Roadmap!$D:$D,0)+COUNTIF($E104:AE104,"u")+COUNTIF($E104:AE104,"t")+COUNTIF($E104:AE104,"¶")+COUNTIF($E104:AE104,"²")+COUNTIF($E104:AE104,"µ")+COUNTIF($E104:AE104,1)-1,INDEX(Roadmap!$D:$K,MATCH($E104,Roadmap!$D:$D,0)-1+COUNTIF($E104:AE104,"u")+COUNTIF($E104:AE104,"t")+COUNTIF($E104:AE104,"¶")+COUNTIF($E104:AE104,"²")+COUNTIF($E104:AE104,"µ")+COUNTIF($E104:AE104,1),ColDescriptionCourte)),""),
  "")),"")</f>
        <v/>
      </c>
      <c r="AG104" s="40" t="str">
        <f ca="1">IFERROR(IF(AND(
  INDEX(Roadmap!$D:$K,MATCH($E104,Roadmap!$D:$D,0)+COUNTIF($E104:AF104,"u")+COUNTIF($E104:AF104,"t")+COUNTIF($E104:AF104,"¶")+COUNTIF($E104:AF104,"²")+COUNTIF($E104:AF104,"µ")+COUNTIF($E104:AF104,1),ColLivraison)=AG$6,
  VLOOKUP($E104,INDIRECT("tri!"&amp; CHAR(64+ C0Col) &amp;":"&amp; CHAR(65+C0Col)),2,FALSE)&gt;COUNTIF($E104:AF104,"u")+COUNTIF($E104:AF104,"t")+COUNTIF($E104:AF104,"¶")+COUNTIF($E104:AF104,"²")+COUNTIF($E104:AF104,"µ")+COUNTIF($E104:AF104,1)),
HYPERLINK("#Roadmap!C"&amp; MATCH($E104,Roadmap!$D:$D,0)+COUNTIF($E104:AF104,"u")+COUNTIF($E104:AF104,"t"),
     INDEX(Roadmap!$D:$K,MATCH($E104,Roadmap!$D:$D,0)+COUNTIF($E104:AF104,"u")+COUNTIF($E104:AF104,"t")+COUNTIF($E104:AF104,"¶")+COUNTIF($E104:AF104,"²")+COUNTIF($E104:AF104,"µ")+COUNTIF($E104:AF104,1),ColTypeEcheance)),
  IF(LEN(AF104)=1,
  IF(LEN(INDEX(Roadmap!$D:$K,MATCH($E104,Roadmap!$D:$D,0)-1+COUNTIF($E104:AF104,"u")+COUNTIF($E104:AF104,"t")+COUNTIF($E104:AF104,"¶")+COUNTIF($E104:AF104,"²")+COUNTIF($E104:AF104,"µ")+COUNTIF($E104:AF104,1),ColDescriptionCourte))&gt;1,
HYPERLINK("#Roadmap!C"&amp; MATCH($E104,Roadmap!$D:$D,0)+COUNTIF($E104:AF104,"u")+COUNTIF($E104:AF104,"t")+COUNTIF($E104:AF104,"¶")+COUNTIF($E104:AF104,"²")+COUNTIF($E104:AF104,"µ")+COUNTIF($E104:AF104,1)-1,INDEX(Roadmap!$D:$K,MATCH($E104,Roadmap!$D:$D,0)-1+COUNTIF($E104:AF104,"u")+COUNTIF($E104:AF104,"t")+COUNTIF($E104:AF104,"¶")+COUNTIF($E104:AF104,"²")+COUNTIF($E104:AF104,"µ")+COUNTIF($E104:AF104,1),ColDescriptionCourte)),""),
  "")),"")</f>
        <v/>
      </c>
    </row>
    <row r="105" spans="3:33" ht="14.25" customHeight="1">
      <c r="C105" s="1" t="str">
        <f t="shared" ca="1" si="49"/>
        <v/>
      </c>
      <c r="D105" s="1" t="str">
        <f t="shared" ca="1" si="50"/>
        <v/>
      </c>
      <c r="E105" s="35" t="str">
        <f t="shared" ca="1" si="46"/>
        <v/>
      </c>
      <c r="F105" s="39" t="str">
        <f ca="1">IFERROR(IF(AND(
  INDEX(Roadmap!$D:$K,MATCH($E105,Roadmap!$D:$D,0)+COUNTIF($E105:E105,"u")+COUNTIF($E105:E105,"t")+COUNTIF($E105:E105,"¶")+COUNTIF($E105:E105,"²")+COUNTIF($E105:E105,"µ")+COUNTIF($E105:E105,1),ColLivraison)=F$6,
  VLOOKUP($E105,INDIRECT("tri!"&amp; CHAR(64+ C0Col) &amp;":"&amp; CHAR(65+C0Col)),2,FALSE)&gt;COUNTIF($E105:E105,"u")+COUNTIF($E105:E105,"t")+COUNTIF($E105:E105,"¶")+COUNTIF($E105:E105,"²")+COUNTIF($E105:E105,"µ")+COUNTIF($E105:E105,1)),
HYPERLINK("#Roadmap!C"&amp; MATCH($E105,Roadmap!$D:$D,0)+COUNTIF($E105:E105,"u")+COUNTIF($E105:E105,"t"),
     INDEX(Roadmap!$D:$K,MATCH($E105,Roadmap!$D:$D,0)+COUNTIF($E105:E105,"u")+COUNTIF($E105:E105,"t")+COUNTIF($E105:E105,"¶")+COUNTIF($E105:E105,"²")+COUNTIF($E105:E105,"µ")+COUNTIF($E105:E105,1),ColTypeEcheance)),
  IF(LEN(E105)=1,
  IF(LEN(INDEX(Roadmap!$D:$K,MATCH($E105,Roadmap!$D:$D,0)-1+COUNTIF($E105:E105,"u")+COUNTIF($E105:E105,"t")+COUNTIF($E105:E105,"¶")+COUNTIF($E105:E105,"²")+COUNTIF($E105:E105,"µ")+COUNTIF($E105:E105,1),ColDescriptionCourte))&gt;1,
HYPERLINK("#Roadmap!C"&amp; MATCH($E105,Roadmap!$D:$D,0)+COUNTIF($E105:E105,"u")+COUNTIF($E105:E105,"t")+COUNTIF($E105:E105,"¶")+COUNTIF($E105:E105,"²")+COUNTIF($E105:E105,"µ")+COUNTIF($E105:E105,1)-1,INDEX(Roadmap!$D:$K,MATCH($E105,Roadmap!$D:$D,0)-1+COUNTIF($E105:E105,"u")+COUNTIF($E105:E105,"t")+COUNTIF($E105:E105,"¶")+COUNTIF($E105:E105,"²")+COUNTIF($E105:E105,"µ")+COUNTIF($E105:E105,1),ColDescriptionCourte)),""),
  "")),"")</f>
        <v/>
      </c>
      <c r="G105" s="40" t="str">
        <f ca="1">IFERROR(IF(AND(
  INDEX(Roadmap!$D:$K,MATCH($E105,Roadmap!$D:$D,0)+COUNTIF($E105:F105,"u")+COUNTIF($E105:F105,"t")+COUNTIF($E105:F105,"¶")+COUNTIF($E105:F105,"²")+COUNTIF($E105:F105,"µ")+COUNTIF($E105:F105,1),ColLivraison)=G$6,
  VLOOKUP($E105,INDIRECT("tri!"&amp; CHAR(64+ C0Col) &amp;":"&amp; CHAR(65+C0Col)),2,FALSE)&gt;COUNTIF($E105:F105,"u")+COUNTIF($E105:F105,"t")+COUNTIF($E105:F105,"¶")+COUNTIF($E105:F105,"²")+COUNTIF($E105:F105,"µ")+COUNTIF($E105:F105,1)),
HYPERLINK("#Roadmap!C"&amp; MATCH($E105,Roadmap!$D:$D,0)+COUNTIF($E105:F105,"u")+COUNTIF($E105:F105,"t"),
     INDEX(Roadmap!$D:$K,MATCH($E105,Roadmap!$D:$D,0)+COUNTIF($E105:F105,"u")+COUNTIF($E105:F105,"t")+COUNTIF($E105:F105,"¶")+COUNTIF($E105:F105,"²")+COUNTIF($E105:F105,"µ")+COUNTIF($E105:F105,1),ColTypeEcheance)),
  IF(LEN(F105)=1,
  IF(LEN(INDEX(Roadmap!$D:$K,MATCH($E105,Roadmap!$D:$D,0)-1+COUNTIF($E105:F105,"u")+COUNTIF($E105:F105,"t")+COUNTIF($E105:F105,"¶")+COUNTIF($E105:F105,"²")+COUNTIF($E105:F105,"µ")+COUNTIF($E105:F105,1),ColDescriptionCourte))&gt;1,
HYPERLINK("#Roadmap!C"&amp; MATCH($E105,Roadmap!$D:$D,0)+COUNTIF($E105:F105,"u")+COUNTIF($E105:F105,"t")+COUNTIF($E105:F105,"¶")+COUNTIF($E105:F105,"²")+COUNTIF($E105:F105,"µ")+COUNTIF($E105:F105,1)-1,INDEX(Roadmap!$D:$K,MATCH($E105,Roadmap!$D:$D,0)-1+COUNTIF($E105:F105,"u")+COUNTIF($E105:F105,"t")+COUNTIF($E105:F105,"¶")+COUNTIF($E105:F105,"²")+COUNTIF($E105:F105,"µ")+COUNTIF($E105:F105,1),ColDescriptionCourte)),""),
  "")),"")</f>
        <v/>
      </c>
      <c r="H105" s="40" t="str">
        <f ca="1">IFERROR(IF(AND(
  INDEX(Roadmap!$D:$K,MATCH($E105,Roadmap!$D:$D,0)+COUNTIF($E105:G105,"u")+COUNTIF($E105:G105,"t")+COUNTIF($E105:G105,"¶")+COUNTIF($E105:G105,"²")+COUNTIF($E105:G105,"µ")+COUNTIF($E105:G105,1),ColLivraison)=H$6,
  VLOOKUP($E105,INDIRECT("tri!"&amp; CHAR(64+ C0Col) &amp;":"&amp; CHAR(65+C0Col)),2,FALSE)&gt;COUNTIF($E105:G105,"u")+COUNTIF($E105:G105,"t")+COUNTIF($E105:G105,"¶")+COUNTIF($E105:G105,"²")+COUNTIF($E105:G105,"µ")+COUNTIF($E105:G105,1)),
HYPERLINK("#Roadmap!C"&amp; MATCH($E105,Roadmap!$D:$D,0)+COUNTIF($E105:G105,"u")+COUNTIF($E105:G105,"t"),
     INDEX(Roadmap!$D:$K,MATCH($E105,Roadmap!$D:$D,0)+COUNTIF($E105:G105,"u")+COUNTIF($E105:G105,"t")+COUNTIF($E105:G105,"¶")+COUNTIF($E105:G105,"²")+COUNTIF($E105:G105,"µ")+COUNTIF($E105:G105,1),ColTypeEcheance)),
  IF(LEN(G105)=1,
  IF(LEN(INDEX(Roadmap!$D:$K,MATCH($E105,Roadmap!$D:$D,0)-1+COUNTIF($E105:G105,"u")+COUNTIF($E105:G105,"t")+COUNTIF($E105:G105,"¶")+COUNTIF($E105:G105,"²")+COUNTIF($E105:G105,"µ")+COUNTIF($E105:G105,1),ColDescriptionCourte))&gt;1,
HYPERLINK("#Roadmap!C"&amp; MATCH($E105,Roadmap!$D:$D,0)+COUNTIF($E105:G105,"u")+COUNTIF($E105:G105,"t")+COUNTIF($E105:G105,"¶")+COUNTIF($E105:G105,"²")+COUNTIF($E105:G105,"µ")+COUNTIF($E105:G105,1)-1,INDEX(Roadmap!$D:$K,MATCH($E105,Roadmap!$D:$D,0)-1+COUNTIF($E105:G105,"u")+COUNTIF($E105:G105,"t")+COUNTIF($E105:G105,"¶")+COUNTIF($E105:G105,"²")+COUNTIF($E105:G105,"µ")+COUNTIF($E105:G105,1),ColDescriptionCourte)),""),
  "")),"")</f>
        <v/>
      </c>
      <c r="I105" s="40" t="str">
        <f ca="1">IFERROR(IF(AND(
  INDEX(Roadmap!$D:$K,MATCH($E105,Roadmap!$D:$D,0)+COUNTIF($E105:H105,"u")+COUNTIF($E105:H105,"t")+COUNTIF($E105:H105,"¶")+COUNTIF($E105:H105,"²")+COUNTIF($E105:H105,"µ")+COUNTIF($E105:H105,1),ColLivraison)=I$6,
  VLOOKUP($E105,INDIRECT("tri!"&amp; CHAR(64+ C0Col) &amp;":"&amp; CHAR(65+C0Col)),2,FALSE)&gt;COUNTIF($E105:H105,"u")+COUNTIF($E105:H105,"t")+COUNTIF($E105:H105,"¶")+COUNTIF($E105:H105,"²")+COUNTIF($E105:H105,"µ")+COUNTIF($E105:H105,1)),
HYPERLINK("#Roadmap!C"&amp; MATCH($E105,Roadmap!$D:$D,0)+COUNTIF($E105:H105,"u")+COUNTIF($E105:H105,"t"),
     INDEX(Roadmap!$D:$K,MATCH($E105,Roadmap!$D:$D,0)+COUNTIF($E105:H105,"u")+COUNTIF($E105:H105,"t")+COUNTIF($E105:H105,"¶")+COUNTIF($E105:H105,"²")+COUNTIF($E105:H105,"µ")+COUNTIF($E105:H105,1),ColTypeEcheance)),
  IF(LEN(H105)=1,
  IF(LEN(INDEX(Roadmap!$D:$K,MATCH($E105,Roadmap!$D:$D,0)-1+COUNTIF($E105:H105,"u")+COUNTIF($E105:H105,"t")+COUNTIF($E105:H105,"¶")+COUNTIF($E105:H105,"²")+COUNTIF($E105:H105,"µ")+COUNTIF($E105:H105,1),ColDescriptionCourte))&gt;1,
HYPERLINK("#Roadmap!C"&amp; MATCH($E105,Roadmap!$D:$D,0)+COUNTIF($E105:H105,"u")+COUNTIF($E105:H105,"t")+COUNTIF($E105:H105,"¶")+COUNTIF($E105:H105,"²")+COUNTIF($E105:H105,"µ")+COUNTIF($E105:H105,1)-1,INDEX(Roadmap!$D:$K,MATCH($E105,Roadmap!$D:$D,0)-1+COUNTIF($E105:H105,"u")+COUNTIF($E105:H105,"t")+COUNTIF($E105:H105,"¶")+COUNTIF($E105:H105,"²")+COUNTIF($E105:H105,"µ")+COUNTIF($E105:H105,1),ColDescriptionCourte)),""),
  "")),"")</f>
        <v/>
      </c>
      <c r="J105" s="40" t="str">
        <f ca="1">IFERROR(IF(AND(
  INDEX(Roadmap!$D:$K,MATCH($E105,Roadmap!$D:$D,0)+COUNTIF($E105:I105,"u")+COUNTIF($E105:I105,"t")+COUNTIF($E105:I105,"¶")+COUNTIF($E105:I105,"²")+COUNTIF($E105:I105,"µ")+COUNTIF($E105:I105,1),ColLivraison)=J$6,
  VLOOKUP($E105,INDIRECT("tri!"&amp; CHAR(64+ C0Col) &amp;":"&amp; CHAR(65+C0Col)),2,FALSE)&gt;COUNTIF($E105:I105,"u")+COUNTIF($E105:I105,"t")+COUNTIF($E105:I105,"¶")+COUNTIF($E105:I105,"²")+COUNTIF($E105:I105,"µ")+COUNTIF($E105:I105,1)),
HYPERLINK("#Roadmap!C"&amp; MATCH($E105,Roadmap!$D:$D,0)+COUNTIF($E105:I105,"u")+COUNTIF($E105:I105,"t"),
     INDEX(Roadmap!$D:$K,MATCH($E105,Roadmap!$D:$D,0)+COUNTIF($E105:I105,"u")+COUNTIF($E105:I105,"t")+COUNTIF($E105:I105,"¶")+COUNTIF($E105:I105,"²")+COUNTIF($E105:I105,"µ")+COUNTIF($E105:I105,1),ColTypeEcheance)),
  IF(LEN(I105)=1,
  IF(LEN(INDEX(Roadmap!$D:$K,MATCH($E105,Roadmap!$D:$D,0)-1+COUNTIF($E105:I105,"u")+COUNTIF($E105:I105,"t")+COUNTIF($E105:I105,"¶")+COUNTIF($E105:I105,"²")+COUNTIF($E105:I105,"µ")+COUNTIF($E105:I105,1),ColDescriptionCourte))&gt;1,
HYPERLINK("#Roadmap!C"&amp; MATCH($E105,Roadmap!$D:$D,0)+COUNTIF($E105:I105,"u")+COUNTIF($E105:I105,"t")+COUNTIF($E105:I105,"¶")+COUNTIF($E105:I105,"²")+COUNTIF($E105:I105,"µ")+COUNTIF($E105:I105,1)-1,INDEX(Roadmap!$D:$K,MATCH($E105,Roadmap!$D:$D,0)-1+COUNTIF($E105:I105,"u")+COUNTIF($E105:I105,"t")+COUNTIF($E105:I105,"¶")+COUNTIF($E105:I105,"²")+COUNTIF($E105:I105,"µ")+COUNTIF($E105:I105,1),ColDescriptionCourte)),""),
  "")),"")</f>
        <v/>
      </c>
      <c r="K105" s="40" t="str">
        <f ca="1">IFERROR(IF(AND(
  INDEX(Roadmap!$D:$K,MATCH($E105,Roadmap!$D:$D,0)+COUNTIF($E105:J105,"u")+COUNTIF($E105:J105,"t")+COUNTIF($E105:J105,"¶")+COUNTIF($E105:J105,"²")+COUNTIF($E105:J105,"µ")+COUNTIF($E105:J105,1),ColLivraison)=K$6,
  VLOOKUP($E105,INDIRECT("tri!"&amp; CHAR(64+ C0Col) &amp;":"&amp; CHAR(65+C0Col)),2,FALSE)&gt;COUNTIF($E105:J105,"u")+COUNTIF($E105:J105,"t")+COUNTIF($E105:J105,"¶")+COUNTIF($E105:J105,"²")+COUNTIF($E105:J105,"µ")+COUNTIF($E105:J105,1)),
HYPERLINK("#Roadmap!C"&amp; MATCH($E105,Roadmap!$D:$D,0)+COUNTIF($E105:J105,"u")+COUNTIF($E105:J105,"t"),
     INDEX(Roadmap!$D:$K,MATCH($E105,Roadmap!$D:$D,0)+COUNTIF($E105:J105,"u")+COUNTIF($E105:J105,"t")+COUNTIF($E105:J105,"¶")+COUNTIF($E105:J105,"²")+COUNTIF($E105:J105,"µ")+COUNTIF($E105:J105,1),ColTypeEcheance)),
  IF(LEN(J105)=1,
  IF(LEN(INDEX(Roadmap!$D:$K,MATCH($E105,Roadmap!$D:$D,0)-1+COUNTIF($E105:J105,"u")+COUNTIF($E105:J105,"t")+COUNTIF($E105:J105,"¶")+COUNTIF($E105:J105,"²")+COUNTIF($E105:J105,"µ")+COUNTIF($E105:J105,1),ColDescriptionCourte))&gt;1,
HYPERLINK("#Roadmap!C"&amp; MATCH($E105,Roadmap!$D:$D,0)+COUNTIF($E105:J105,"u")+COUNTIF($E105:J105,"t")+COUNTIF($E105:J105,"¶")+COUNTIF($E105:J105,"²")+COUNTIF($E105:J105,"µ")+COUNTIF($E105:J105,1)-1,INDEX(Roadmap!$D:$K,MATCH($E105,Roadmap!$D:$D,0)-1+COUNTIF($E105:J105,"u")+COUNTIF($E105:J105,"t")+COUNTIF($E105:J105,"¶")+COUNTIF($E105:J105,"²")+COUNTIF($E105:J105,"µ")+COUNTIF($E105:J105,1),ColDescriptionCourte)),""),
  "")),"")</f>
        <v/>
      </c>
      <c r="L105" s="39" t="str">
        <f ca="1">IFERROR(IF(AND(
  INDEX(Roadmap!$D:$K,MATCH($E105,Roadmap!$D:$D,0)+COUNTIF($E105:K105,"u")+COUNTIF($E105:K105,"t")+COUNTIF($E105:K105,"¶")+COUNTIF($E105:K105,"²")+COUNTIF($E105:K105,"µ")+COUNTIF($E105:K105,1),ColLivraison)=L$6,
  VLOOKUP($E105,INDIRECT("tri!"&amp; CHAR(64+ C0Col) &amp;":"&amp; CHAR(65+C0Col)),2,FALSE)&gt;COUNTIF($E105:K105,"u")+COUNTIF($E105:K105,"t")+COUNTIF($E105:K105,"¶")+COUNTIF($E105:K105,"²")+COUNTIF($E105:K105,"µ")+COUNTIF($E105:K105,1)),
HYPERLINK("#Roadmap!C"&amp; MATCH($E105,Roadmap!$D:$D,0)+COUNTIF($E105:K105,"u")+COUNTIF($E105:K105,"t"),
     INDEX(Roadmap!$D:$K,MATCH($E105,Roadmap!$D:$D,0)+COUNTIF($E105:K105,"u")+COUNTIF($E105:K105,"t")+COUNTIF($E105:K105,"¶")+COUNTIF($E105:K105,"²")+COUNTIF($E105:K105,"µ")+COUNTIF($E105:K105,1),ColTypeEcheance)),
  IF(LEN(K105)=1,
  IF(LEN(INDEX(Roadmap!$D:$K,MATCH($E105,Roadmap!$D:$D,0)-1+COUNTIF($E105:K105,"u")+COUNTIF($E105:K105,"t")+COUNTIF($E105:K105,"¶")+COUNTIF($E105:K105,"²")+COUNTIF($E105:K105,"µ")+COUNTIF($E105:K105,1),ColDescriptionCourte))&gt;1,
HYPERLINK("#Roadmap!C"&amp; MATCH($E105,Roadmap!$D:$D,0)+COUNTIF($E105:K105,"u")+COUNTIF($E105:K105,"t")+COUNTIF($E105:K105,"¶")+COUNTIF($E105:K105,"²")+COUNTIF($E105:K105,"µ")+COUNTIF($E105:K105,1)-1,INDEX(Roadmap!$D:$K,MATCH($E105,Roadmap!$D:$D,0)-1+COUNTIF($E105:K105,"u")+COUNTIF($E105:K105,"t")+COUNTIF($E105:K105,"¶")+COUNTIF($E105:K105,"²")+COUNTIF($E105:K105,"µ")+COUNTIF($E105:K105,1),ColDescriptionCourte)),""),
  "")),"")</f>
        <v/>
      </c>
      <c r="M105" s="40" t="str">
        <f ca="1">IFERROR(IF(AND(
  INDEX(Roadmap!$D:$K,MATCH($E105,Roadmap!$D:$D,0)+COUNTIF($E105:L105,"u")+COUNTIF($E105:L105,"t")+COUNTIF($E105:L105,"¶")+COUNTIF($E105:L105,"²")+COUNTIF($E105:L105,"µ")+COUNTIF($E105:L105,1),ColLivraison)=M$6,
  VLOOKUP($E105,INDIRECT("tri!"&amp; CHAR(64+ C0Col) &amp;":"&amp; CHAR(65+C0Col)),2,FALSE)&gt;COUNTIF($E105:L105,"u")+COUNTIF($E105:L105,"t")+COUNTIF($E105:L105,"¶")+COUNTIF($E105:L105,"²")+COUNTIF($E105:L105,"µ")+COUNTIF($E105:L105,1)),
HYPERLINK("#Roadmap!C"&amp; MATCH($E105,Roadmap!$D:$D,0)+COUNTIF($E105:L105,"u")+COUNTIF($E105:L105,"t"),
     INDEX(Roadmap!$D:$K,MATCH($E105,Roadmap!$D:$D,0)+COUNTIF($E105:L105,"u")+COUNTIF($E105:L105,"t")+COUNTIF($E105:L105,"¶")+COUNTIF($E105:L105,"²")+COUNTIF($E105:L105,"µ")+COUNTIF($E105:L105,1),ColTypeEcheance)),
  IF(LEN(L105)=1,
  IF(LEN(INDEX(Roadmap!$D:$K,MATCH($E105,Roadmap!$D:$D,0)-1+COUNTIF($E105:L105,"u")+COUNTIF($E105:L105,"t")+COUNTIF($E105:L105,"¶")+COUNTIF($E105:L105,"²")+COUNTIF($E105:L105,"µ")+COUNTIF($E105:L105,1),ColDescriptionCourte))&gt;1,
HYPERLINK("#Roadmap!C"&amp; MATCH($E105,Roadmap!$D:$D,0)+COUNTIF($E105:L105,"u")+COUNTIF($E105:L105,"t")+COUNTIF($E105:L105,"¶")+COUNTIF($E105:L105,"²")+COUNTIF($E105:L105,"µ")+COUNTIF($E105:L105,1)-1,INDEX(Roadmap!$D:$K,MATCH($E105,Roadmap!$D:$D,0)-1+COUNTIF($E105:L105,"u")+COUNTIF($E105:L105,"t")+COUNTIF($E105:L105,"¶")+COUNTIF($E105:L105,"²")+COUNTIF($E105:L105,"µ")+COUNTIF($E105:L105,1),ColDescriptionCourte)),""),
  "")),"")</f>
        <v/>
      </c>
      <c r="N105" s="40" t="str">
        <f ca="1">IFERROR(IF(AND(
  INDEX(Roadmap!$D:$K,MATCH($E105,Roadmap!$D:$D,0)+COUNTIF($E105:M105,"u")+COUNTIF($E105:M105,"t")+COUNTIF($E105:M105,"¶")+COUNTIF($E105:M105,"²")+COUNTIF($E105:M105,"µ")+COUNTIF($E105:M105,1),ColLivraison)=N$6,
  VLOOKUP($E105,INDIRECT("tri!"&amp; CHAR(64+ C0Col) &amp;":"&amp; CHAR(65+C0Col)),2,FALSE)&gt;COUNTIF($E105:M105,"u")+COUNTIF($E105:M105,"t")+COUNTIF($E105:M105,"¶")+COUNTIF($E105:M105,"²")+COUNTIF($E105:M105,"µ")+COUNTIF($E105:M105,1)),
HYPERLINK("#Roadmap!C"&amp; MATCH($E105,Roadmap!$D:$D,0)+COUNTIF($E105:M105,"u")+COUNTIF($E105:M105,"t"),
     INDEX(Roadmap!$D:$K,MATCH($E105,Roadmap!$D:$D,0)+COUNTIF($E105:M105,"u")+COUNTIF($E105:M105,"t")+COUNTIF($E105:M105,"¶")+COUNTIF($E105:M105,"²")+COUNTIF($E105:M105,"µ")+COUNTIF($E105:M105,1),ColTypeEcheance)),
  IF(LEN(M105)=1,
  IF(LEN(INDEX(Roadmap!$D:$K,MATCH($E105,Roadmap!$D:$D,0)-1+COUNTIF($E105:M105,"u")+COUNTIF($E105:M105,"t")+COUNTIF($E105:M105,"¶")+COUNTIF($E105:M105,"²")+COUNTIF($E105:M105,"µ")+COUNTIF($E105:M105,1),ColDescriptionCourte))&gt;1,
HYPERLINK("#Roadmap!C"&amp; MATCH($E105,Roadmap!$D:$D,0)+COUNTIF($E105:M105,"u")+COUNTIF($E105:M105,"t")+COUNTIF($E105:M105,"¶")+COUNTIF($E105:M105,"²")+COUNTIF($E105:M105,"µ")+COUNTIF($E105:M105,1)-1,INDEX(Roadmap!$D:$K,MATCH($E105,Roadmap!$D:$D,0)-1+COUNTIF($E105:M105,"u")+COUNTIF($E105:M105,"t")+COUNTIF($E105:M105,"¶")+COUNTIF($E105:M105,"²")+COUNTIF($E105:M105,"µ")+COUNTIF($E105:M105,1),ColDescriptionCourte)),""),
  "")),"")</f>
        <v/>
      </c>
      <c r="O105" s="40" t="str">
        <f ca="1">IFERROR(IF(AND(
  INDEX(Roadmap!$D:$K,MATCH($E105,Roadmap!$D:$D,0)+COUNTIF($E105:N105,"u")+COUNTIF($E105:N105,"t")+COUNTIF($E105:N105,"¶")+COUNTIF($E105:N105,"²")+COUNTIF($E105:N105,"µ")+COUNTIF($E105:N105,1),ColLivraison)=O$6,
  VLOOKUP($E105,INDIRECT("tri!"&amp; CHAR(64+ C0Col) &amp;":"&amp; CHAR(65+C0Col)),2,FALSE)&gt;COUNTIF($E105:N105,"u")+COUNTIF($E105:N105,"t")+COUNTIF($E105:N105,"¶")+COUNTIF($E105:N105,"²")+COUNTIF($E105:N105,"µ")+COUNTIF($E105:N105,1)),
HYPERLINK("#Roadmap!C"&amp; MATCH($E105,Roadmap!$D:$D,0)+COUNTIF($E105:N105,"u")+COUNTIF($E105:N105,"t"),
     INDEX(Roadmap!$D:$K,MATCH($E105,Roadmap!$D:$D,0)+COUNTIF($E105:N105,"u")+COUNTIF($E105:N105,"t")+COUNTIF($E105:N105,"¶")+COUNTIF($E105:N105,"²")+COUNTIF($E105:N105,"µ")+COUNTIF($E105:N105,1),ColTypeEcheance)),
  IF(LEN(N105)=1,
  IF(LEN(INDEX(Roadmap!$D:$K,MATCH($E105,Roadmap!$D:$D,0)-1+COUNTIF($E105:N105,"u")+COUNTIF($E105:N105,"t")+COUNTIF($E105:N105,"¶")+COUNTIF($E105:N105,"²")+COUNTIF($E105:N105,"µ")+COUNTIF($E105:N105,1),ColDescriptionCourte))&gt;1,
HYPERLINK("#Roadmap!C"&amp; MATCH($E105,Roadmap!$D:$D,0)+COUNTIF($E105:N105,"u")+COUNTIF($E105:N105,"t")+COUNTIF($E105:N105,"¶")+COUNTIF($E105:N105,"²")+COUNTIF($E105:N105,"µ")+COUNTIF($E105:N105,1)-1,INDEX(Roadmap!$D:$K,MATCH($E105,Roadmap!$D:$D,0)-1+COUNTIF($E105:N105,"u")+COUNTIF($E105:N105,"t")+COUNTIF($E105:N105,"¶")+COUNTIF($E105:N105,"²")+COUNTIF($E105:N105,"µ")+COUNTIF($E105:N105,1),ColDescriptionCourte)),""),
  "")),"")</f>
        <v/>
      </c>
      <c r="P105" s="40" t="str">
        <f ca="1">IFERROR(IF(AND(
  INDEX(Roadmap!$D:$K,MATCH($E105,Roadmap!$D:$D,0)+COUNTIF($E105:O105,"u")+COUNTIF($E105:O105,"t")+COUNTIF($E105:O105,"¶")+COUNTIF($E105:O105,"²")+COUNTIF($E105:O105,"µ")+COUNTIF($E105:O105,1),ColLivraison)=P$6,
  VLOOKUP($E105,INDIRECT("tri!"&amp; CHAR(64+ C0Col) &amp;":"&amp; CHAR(65+C0Col)),2,FALSE)&gt;COUNTIF($E105:O105,"u")+COUNTIF($E105:O105,"t")+COUNTIF($E105:O105,"¶")+COUNTIF($E105:O105,"²")+COUNTIF($E105:O105,"µ")+COUNTIF($E105:O105,1)),
HYPERLINK("#Roadmap!C"&amp; MATCH($E105,Roadmap!$D:$D,0)+COUNTIF($E105:O105,"u")+COUNTIF($E105:O105,"t"),
     INDEX(Roadmap!$D:$K,MATCH($E105,Roadmap!$D:$D,0)+COUNTIF($E105:O105,"u")+COUNTIF($E105:O105,"t")+COUNTIF($E105:O105,"¶")+COUNTIF($E105:O105,"²")+COUNTIF($E105:O105,"µ")+COUNTIF($E105:O105,1),ColTypeEcheance)),
  IF(LEN(O105)=1,
  IF(LEN(INDEX(Roadmap!$D:$K,MATCH($E105,Roadmap!$D:$D,0)-1+COUNTIF($E105:O105,"u")+COUNTIF($E105:O105,"t")+COUNTIF($E105:O105,"¶")+COUNTIF($E105:O105,"²")+COUNTIF($E105:O105,"µ")+COUNTIF($E105:O105,1),ColDescriptionCourte))&gt;1,
HYPERLINK("#Roadmap!C"&amp; MATCH($E105,Roadmap!$D:$D,0)+COUNTIF($E105:O105,"u")+COUNTIF($E105:O105,"t")+COUNTIF($E105:O105,"¶")+COUNTIF($E105:O105,"²")+COUNTIF($E105:O105,"µ")+COUNTIF($E105:O105,1)-1,INDEX(Roadmap!$D:$K,MATCH($E105,Roadmap!$D:$D,0)-1+COUNTIF($E105:O105,"u")+COUNTIF($E105:O105,"t")+COUNTIF($E105:O105,"¶")+COUNTIF($E105:O105,"²")+COUNTIF($E105:O105,"µ")+COUNTIF($E105:O105,1),ColDescriptionCourte)),""),
  "")),"")</f>
        <v/>
      </c>
      <c r="Q105" s="40" t="str">
        <f ca="1">IFERROR(IF(AND(
  INDEX(Roadmap!$D:$K,MATCH($E105,Roadmap!$D:$D,0)+COUNTIF($E105:P105,"u")+COUNTIF($E105:P105,"t")+COUNTIF($E105:P105,"¶")+COUNTIF($E105:P105,"²")+COUNTIF($E105:P105,"µ")+COUNTIF($E105:P105,1),ColLivraison)=Q$6,
  VLOOKUP($E105,INDIRECT("tri!"&amp; CHAR(64+ C0Col) &amp;":"&amp; CHAR(65+C0Col)),2,FALSE)&gt;COUNTIF($E105:P105,"u")+COUNTIF($E105:P105,"t")+COUNTIF($E105:P105,"¶")+COUNTIF($E105:P105,"²")+COUNTIF($E105:P105,"µ")+COUNTIF($E105:P105,1)),
HYPERLINK("#Roadmap!C"&amp; MATCH($E105,Roadmap!$D:$D,0)+COUNTIF($E105:P105,"u")+COUNTIF($E105:P105,"t"),
     INDEX(Roadmap!$D:$K,MATCH($E105,Roadmap!$D:$D,0)+COUNTIF($E105:P105,"u")+COUNTIF($E105:P105,"t")+COUNTIF($E105:P105,"¶")+COUNTIF($E105:P105,"²")+COUNTIF($E105:P105,"µ")+COUNTIF($E105:P105,1),ColTypeEcheance)),
  IF(LEN(P105)=1,
  IF(LEN(INDEX(Roadmap!$D:$K,MATCH($E105,Roadmap!$D:$D,0)-1+COUNTIF($E105:P105,"u")+COUNTIF($E105:P105,"t")+COUNTIF($E105:P105,"¶")+COUNTIF($E105:P105,"²")+COUNTIF($E105:P105,"µ")+COUNTIF($E105:P105,1),ColDescriptionCourte))&gt;1,
HYPERLINK("#Roadmap!C"&amp; MATCH($E105,Roadmap!$D:$D,0)+COUNTIF($E105:P105,"u")+COUNTIF($E105:P105,"t")+COUNTIF($E105:P105,"¶")+COUNTIF($E105:P105,"²")+COUNTIF($E105:P105,"µ")+COUNTIF($E105:P105,1)-1,INDEX(Roadmap!$D:$K,MATCH($E105,Roadmap!$D:$D,0)-1+COUNTIF($E105:P105,"u")+COUNTIF($E105:P105,"t")+COUNTIF($E105:P105,"¶")+COUNTIF($E105:P105,"²")+COUNTIF($E105:P105,"µ")+COUNTIF($E105:P105,1),ColDescriptionCourte)),""),
  "")),"")</f>
        <v/>
      </c>
      <c r="R105" s="40" t="str">
        <f ca="1">IFERROR(IF(AND(
  INDEX(Roadmap!$D:$K,MATCH($E105,Roadmap!$D:$D,0)+COUNTIF($E105:Q105,"u")+COUNTIF($E105:Q105,"t")+COUNTIF($E105:Q105,"¶")+COUNTIF($E105:Q105,"²")+COUNTIF($E105:Q105,"µ")+COUNTIF($E105:Q105,1),ColLivraison)=R$6,
  VLOOKUP($E105,INDIRECT("tri!"&amp; CHAR(64+ C0Col) &amp;":"&amp; CHAR(65+C0Col)),2,FALSE)&gt;COUNTIF($E105:Q105,"u")+COUNTIF($E105:Q105,"t")+COUNTIF($E105:Q105,"¶")+COUNTIF($E105:Q105,"²")+COUNTIF($E105:Q105,"µ")+COUNTIF($E105:Q105,1)),
HYPERLINK("#Roadmap!C"&amp; MATCH($E105,Roadmap!$D:$D,0)+COUNTIF($E105:Q105,"u")+COUNTIF($E105:Q105,"t"),
     INDEX(Roadmap!$D:$K,MATCH($E105,Roadmap!$D:$D,0)+COUNTIF($E105:Q105,"u")+COUNTIF($E105:Q105,"t")+COUNTIF($E105:Q105,"¶")+COUNTIF($E105:Q105,"²")+COUNTIF($E105:Q105,"µ")+COUNTIF($E105:Q105,1),ColTypeEcheance)),
  IF(LEN(Q105)=1,
  IF(LEN(INDEX(Roadmap!$D:$K,MATCH($E105,Roadmap!$D:$D,0)-1+COUNTIF($E105:Q105,"u")+COUNTIF($E105:Q105,"t")+COUNTIF($E105:Q105,"¶")+COUNTIF($E105:Q105,"²")+COUNTIF($E105:Q105,"µ")+COUNTIF($E105:Q105,1),ColDescriptionCourte))&gt;1,
HYPERLINK("#Roadmap!C"&amp; MATCH($E105,Roadmap!$D:$D,0)+COUNTIF($E105:Q105,"u")+COUNTIF($E105:Q105,"t")+COUNTIF($E105:Q105,"¶")+COUNTIF($E105:Q105,"²")+COUNTIF($E105:Q105,"µ")+COUNTIF($E105:Q105,1)-1,INDEX(Roadmap!$D:$K,MATCH($E105,Roadmap!$D:$D,0)-1+COUNTIF($E105:Q105,"u")+COUNTIF($E105:Q105,"t")+COUNTIF($E105:Q105,"¶")+COUNTIF($E105:Q105,"²")+COUNTIF($E105:Q105,"µ")+COUNTIF($E105:Q105,1),ColDescriptionCourte)),""),
  "")),"")</f>
        <v/>
      </c>
      <c r="S105" s="40" t="str">
        <f ca="1">IFERROR(IF(AND(
  INDEX(Roadmap!$D:$K,MATCH($E105,Roadmap!$D:$D,0)+COUNTIF($E105:R105,"u")+COUNTIF($E105:R105,"t")+COUNTIF($E105:R105,"¶")+COUNTIF($E105:R105,"²")+COUNTIF($E105:R105,"µ")+COUNTIF($E105:R105,1),ColLivraison)=S$6,
  VLOOKUP($E105,INDIRECT("tri!"&amp; CHAR(64+ C0Col) &amp;":"&amp; CHAR(65+C0Col)),2,FALSE)&gt;COUNTIF($E105:R105,"u")+COUNTIF($E105:R105,"t")+COUNTIF($E105:R105,"¶")+COUNTIF($E105:R105,"²")+COUNTIF($E105:R105,"µ")+COUNTIF($E105:R105,1)),
HYPERLINK("#Roadmap!C"&amp; MATCH($E105,Roadmap!$D:$D,0)+COUNTIF($E105:R105,"u")+COUNTIF($E105:R105,"t"),
     INDEX(Roadmap!$D:$K,MATCH($E105,Roadmap!$D:$D,0)+COUNTIF($E105:R105,"u")+COUNTIF($E105:R105,"t")+COUNTIF($E105:R105,"¶")+COUNTIF($E105:R105,"²")+COUNTIF($E105:R105,"µ")+COUNTIF($E105:R105,1),ColTypeEcheance)),
  IF(LEN(R105)=1,
  IF(LEN(INDEX(Roadmap!$D:$K,MATCH($E105,Roadmap!$D:$D,0)-1+COUNTIF($E105:R105,"u")+COUNTIF($E105:R105,"t")+COUNTIF($E105:R105,"¶")+COUNTIF($E105:R105,"²")+COUNTIF($E105:R105,"µ")+COUNTIF($E105:R105,1),ColDescriptionCourte))&gt;1,
HYPERLINK("#Roadmap!C"&amp; MATCH($E105,Roadmap!$D:$D,0)+COUNTIF($E105:R105,"u")+COUNTIF($E105:R105,"t")+COUNTIF($E105:R105,"¶")+COUNTIF($E105:R105,"²")+COUNTIF($E105:R105,"µ")+COUNTIF($E105:R105,1)-1,INDEX(Roadmap!$D:$K,MATCH($E105,Roadmap!$D:$D,0)-1+COUNTIF($E105:R105,"u")+COUNTIF($E105:R105,"t")+COUNTIF($E105:R105,"¶")+COUNTIF($E105:R105,"²")+COUNTIF($E105:R105,"µ")+COUNTIF($E105:R105,1),ColDescriptionCourte)),""),
  "")),"")</f>
        <v/>
      </c>
      <c r="T105" s="40" t="str">
        <f ca="1">IFERROR(IF(AND(
  INDEX(Roadmap!$D:$K,MATCH($E105,Roadmap!$D:$D,0)+COUNTIF($E105:S105,"u")+COUNTIF($E105:S105,"t")+COUNTIF($E105:S105,"¶")+COUNTIF($E105:S105,"²")+COUNTIF($E105:S105,"µ")+COUNTIF($E105:S105,1),ColLivraison)=T$6,
  VLOOKUP($E105,INDIRECT("tri!"&amp; CHAR(64+ C0Col) &amp;":"&amp; CHAR(65+C0Col)),2,FALSE)&gt;COUNTIF($E105:S105,"u")+COUNTIF($E105:S105,"t")+COUNTIF($E105:S105,"¶")+COUNTIF($E105:S105,"²")+COUNTIF($E105:S105,"µ")+COUNTIF($E105:S105,1)),
HYPERLINK("#Roadmap!C"&amp; MATCH($E105,Roadmap!$D:$D,0)+COUNTIF($E105:S105,"u")+COUNTIF($E105:S105,"t"),
     INDEX(Roadmap!$D:$K,MATCH($E105,Roadmap!$D:$D,0)+COUNTIF($E105:S105,"u")+COUNTIF($E105:S105,"t")+COUNTIF($E105:S105,"¶")+COUNTIF($E105:S105,"²")+COUNTIF($E105:S105,"µ")+COUNTIF($E105:S105,1),ColTypeEcheance)),
  IF(LEN(S105)=1,
  IF(LEN(INDEX(Roadmap!$D:$K,MATCH($E105,Roadmap!$D:$D,0)-1+COUNTIF($E105:S105,"u")+COUNTIF($E105:S105,"t")+COUNTIF($E105:S105,"¶")+COUNTIF($E105:S105,"²")+COUNTIF($E105:S105,"µ")+COUNTIF($E105:S105,1),ColDescriptionCourte))&gt;1,
HYPERLINK("#Roadmap!C"&amp; MATCH($E105,Roadmap!$D:$D,0)+COUNTIF($E105:S105,"u")+COUNTIF($E105:S105,"t")+COUNTIF($E105:S105,"¶")+COUNTIF($E105:S105,"²")+COUNTIF($E105:S105,"µ")+COUNTIF($E105:S105,1)-1,INDEX(Roadmap!$D:$K,MATCH($E105,Roadmap!$D:$D,0)-1+COUNTIF($E105:S105,"u")+COUNTIF($E105:S105,"t")+COUNTIF($E105:S105,"¶")+COUNTIF($E105:S105,"²")+COUNTIF($E105:S105,"µ")+COUNTIF($E105:S105,1),ColDescriptionCourte)),""),
  "")),"")</f>
        <v/>
      </c>
      <c r="U105" s="40" t="str">
        <f ca="1">IFERROR(IF(AND(
  INDEX(Roadmap!$D:$K,MATCH($E105,Roadmap!$D:$D,0)+COUNTIF($E105:T105,"u")+COUNTIF($E105:T105,"t")+COUNTIF($E105:T105,"¶")+COUNTIF($E105:T105,"²")+COUNTIF($E105:T105,"µ")+COUNTIF($E105:T105,1),ColLivraison)=U$6,
  VLOOKUP($E105,INDIRECT("tri!"&amp; CHAR(64+ C0Col) &amp;":"&amp; CHAR(65+C0Col)),2,FALSE)&gt;COUNTIF($E105:T105,"u")+COUNTIF($E105:T105,"t")+COUNTIF($E105:T105,"¶")+COUNTIF($E105:T105,"²")+COUNTIF($E105:T105,"µ")+COUNTIF($E105:T105,1)),
HYPERLINK("#Roadmap!C"&amp; MATCH($E105,Roadmap!$D:$D,0)+COUNTIF($E105:T105,"u")+COUNTIF($E105:T105,"t"),
     INDEX(Roadmap!$D:$K,MATCH($E105,Roadmap!$D:$D,0)+COUNTIF($E105:T105,"u")+COUNTIF($E105:T105,"t")+COUNTIF($E105:T105,"¶")+COUNTIF($E105:T105,"²")+COUNTIF($E105:T105,"µ")+COUNTIF($E105:T105,1),ColTypeEcheance)),
  IF(LEN(T105)=1,
  IF(LEN(INDEX(Roadmap!$D:$K,MATCH($E105,Roadmap!$D:$D,0)-1+COUNTIF($E105:T105,"u")+COUNTIF($E105:T105,"t")+COUNTIF($E105:T105,"¶")+COUNTIF($E105:T105,"²")+COUNTIF($E105:T105,"µ")+COUNTIF($E105:T105,1),ColDescriptionCourte))&gt;1,
HYPERLINK("#Roadmap!C"&amp; MATCH($E105,Roadmap!$D:$D,0)+COUNTIF($E105:T105,"u")+COUNTIF($E105:T105,"t")+COUNTIF($E105:T105,"¶")+COUNTIF($E105:T105,"²")+COUNTIF($E105:T105,"µ")+COUNTIF($E105:T105,1)-1,INDEX(Roadmap!$D:$K,MATCH($E105,Roadmap!$D:$D,0)-1+COUNTIF($E105:T105,"u")+COUNTIF($E105:T105,"t")+COUNTIF($E105:T105,"¶")+COUNTIF($E105:T105,"²")+COUNTIF($E105:T105,"µ")+COUNTIF($E105:T105,1),ColDescriptionCourte)),""),
  "")),"")</f>
        <v/>
      </c>
      <c r="V105" s="40" t="str">
        <f ca="1">IFERROR(IF(AND(
  INDEX(Roadmap!$D:$K,MATCH($E105,Roadmap!$D:$D,0)+COUNTIF($E105:U105,"u")+COUNTIF($E105:U105,"t")+COUNTIF($E105:U105,"¶")+COUNTIF($E105:U105,"²")+COUNTIF($E105:U105,"µ")+COUNTIF($E105:U105,1),ColLivraison)=V$6,
  VLOOKUP($E105,INDIRECT("tri!"&amp; CHAR(64+ C0Col) &amp;":"&amp; CHAR(65+C0Col)),2,FALSE)&gt;COUNTIF($E105:U105,"u")+COUNTIF($E105:U105,"t")+COUNTIF($E105:U105,"¶")+COUNTIF($E105:U105,"²")+COUNTIF($E105:U105,"µ")+COUNTIF($E105:U105,1)),
HYPERLINK("#Roadmap!C"&amp; MATCH($E105,Roadmap!$D:$D,0)+COUNTIF($E105:U105,"u")+COUNTIF($E105:U105,"t"),
     INDEX(Roadmap!$D:$K,MATCH($E105,Roadmap!$D:$D,0)+COUNTIF($E105:U105,"u")+COUNTIF($E105:U105,"t")+COUNTIF($E105:U105,"¶")+COUNTIF($E105:U105,"²")+COUNTIF($E105:U105,"µ")+COUNTIF($E105:U105,1),ColTypeEcheance)),
  IF(LEN(U105)=1,
  IF(LEN(INDEX(Roadmap!$D:$K,MATCH($E105,Roadmap!$D:$D,0)-1+COUNTIF($E105:U105,"u")+COUNTIF($E105:U105,"t")+COUNTIF($E105:U105,"¶")+COUNTIF($E105:U105,"²")+COUNTIF($E105:U105,"µ")+COUNTIF($E105:U105,1),ColDescriptionCourte))&gt;1,
HYPERLINK("#Roadmap!C"&amp; MATCH($E105,Roadmap!$D:$D,0)+COUNTIF($E105:U105,"u")+COUNTIF($E105:U105,"t")+COUNTIF($E105:U105,"¶")+COUNTIF($E105:U105,"²")+COUNTIF($E105:U105,"µ")+COUNTIF($E105:U105,1)-1,INDEX(Roadmap!$D:$K,MATCH($E105,Roadmap!$D:$D,0)-1+COUNTIF($E105:U105,"u")+COUNTIF($E105:U105,"t")+COUNTIF($E105:U105,"¶")+COUNTIF($E105:U105,"²")+COUNTIF($E105:U105,"µ")+COUNTIF($E105:U105,1),ColDescriptionCourte)),""),
  "")),"")</f>
        <v/>
      </c>
      <c r="W105" s="40" t="str">
        <f ca="1">IFERROR(IF(AND(
  INDEX(Roadmap!$D:$K,MATCH($E105,Roadmap!$D:$D,0)+COUNTIF($E105:V105,"u")+COUNTIF($E105:V105,"t")+COUNTIF($E105:V105,"¶")+COUNTIF($E105:V105,"²")+COUNTIF($E105:V105,"µ")+COUNTIF($E105:V105,1),ColLivraison)=W$6,
  VLOOKUP($E105,INDIRECT("tri!"&amp; CHAR(64+ C0Col) &amp;":"&amp; CHAR(65+C0Col)),2,FALSE)&gt;COUNTIF($E105:V105,"u")+COUNTIF($E105:V105,"t")+COUNTIF($E105:V105,"¶")+COUNTIF($E105:V105,"²")+COUNTIF($E105:V105,"µ")+COUNTIF($E105:V105,1)),
HYPERLINK("#Roadmap!C"&amp; MATCH($E105,Roadmap!$D:$D,0)+COUNTIF($E105:V105,"u")+COUNTIF($E105:V105,"t"),
     INDEX(Roadmap!$D:$K,MATCH($E105,Roadmap!$D:$D,0)+COUNTIF($E105:V105,"u")+COUNTIF($E105:V105,"t")+COUNTIF($E105:V105,"¶")+COUNTIF($E105:V105,"²")+COUNTIF($E105:V105,"µ")+COUNTIF($E105:V105,1),ColTypeEcheance)),
  IF(LEN(V105)=1,
  IF(LEN(INDEX(Roadmap!$D:$K,MATCH($E105,Roadmap!$D:$D,0)-1+COUNTIF($E105:V105,"u")+COUNTIF($E105:V105,"t")+COUNTIF($E105:V105,"¶")+COUNTIF($E105:V105,"²")+COUNTIF($E105:V105,"µ")+COUNTIF($E105:V105,1),ColDescriptionCourte))&gt;1,
HYPERLINK("#Roadmap!C"&amp; MATCH($E105,Roadmap!$D:$D,0)+COUNTIF($E105:V105,"u")+COUNTIF($E105:V105,"t")+COUNTIF($E105:V105,"¶")+COUNTIF($E105:V105,"²")+COUNTIF($E105:V105,"µ")+COUNTIF($E105:V105,1)-1,INDEX(Roadmap!$D:$K,MATCH($E105,Roadmap!$D:$D,0)-1+COUNTIF($E105:V105,"u")+COUNTIF($E105:V105,"t")+COUNTIF($E105:V105,"¶")+COUNTIF($E105:V105,"²")+COUNTIF($E105:V105,"µ")+COUNTIF($E105:V105,1),ColDescriptionCourte)),""),
  "")),"")</f>
        <v/>
      </c>
      <c r="X105" s="40" t="str">
        <f ca="1">IFERROR(IF(AND(
  INDEX(Roadmap!$D:$K,MATCH($E105,Roadmap!$D:$D,0)+COUNTIF($E105:W105,"u")+COUNTIF($E105:W105,"t")+COUNTIF($E105:W105,"¶")+COUNTIF($E105:W105,"²")+COUNTIF($E105:W105,"µ")+COUNTIF($E105:W105,1),ColLivraison)=X$6,
  VLOOKUP($E105,INDIRECT("tri!"&amp; CHAR(64+ C0Col) &amp;":"&amp; CHAR(65+C0Col)),2,FALSE)&gt;COUNTIF($E105:W105,"u")+COUNTIF($E105:W105,"t")+COUNTIF($E105:W105,"¶")+COUNTIF($E105:W105,"²")+COUNTIF($E105:W105,"µ")+COUNTIF($E105:W105,1)),
HYPERLINK("#Roadmap!C"&amp; MATCH($E105,Roadmap!$D:$D,0)+COUNTIF($E105:W105,"u")+COUNTIF($E105:W105,"t"),
     INDEX(Roadmap!$D:$K,MATCH($E105,Roadmap!$D:$D,0)+COUNTIF($E105:W105,"u")+COUNTIF($E105:W105,"t")+COUNTIF($E105:W105,"¶")+COUNTIF($E105:W105,"²")+COUNTIF($E105:W105,"µ")+COUNTIF($E105:W105,1),ColTypeEcheance)),
  IF(LEN(W105)=1,
  IF(LEN(INDEX(Roadmap!$D:$K,MATCH($E105,Roadmap!$D:$D,0)-1+COUNTIF($E105:W105,"u")+COUNTIF($E105:W105,"t")+COUNTIF($E105:W105,"¶")+COUNTIF($E105:W105,"²")+COUNTIF($E105:W105,"µ")+COUNTIF($E105:W105,1),ColDescriptionCourte))&gt;1,
HYPERLINK("#Roadmap!C"&amp; MATCH($E105,Roadmap!$D:$D,0)+COUNTIF($E105:W105,"u")+COUNTIF($E105:W105,"t")+COUNTIF($E105:W105,"¶")+COUNTIF($E105:W105,"²")+COUNTIF($E105:W105,"µ")+COUNTIF($E105:W105,1)-1,INDEX(Roadmap!$D:$K,MATCH($E105,Roadmap!$D:$D,0)-1+COUNTIF($E105:W105,"u")+COUNTIF($E105:W105,"t")+COUNTIF($E105:W105,"¶")+COUNTIF($E105:W105,"²")+COUNTIF($E105:W105,"µ")+COUNTIF($E105:W105,1),ColDescriptionCourte)),""),
  "")),"")</f>
        <v/>
      </c>
      <c r="Y105" s="40" t="str">
        <f ca="1">IFERROR(IF(AND(
  INDEX(Roadmap!$D:$K,MATCH($E105,Roadmap!$D:$D,0)+COUNTIF($E105:X105,"u")+COUNTIF($E105:X105,"t")+COUNTIF($E105:X105,"¶")+COUNTIF($E105:X105,"²")+COUNTIF($E105:X105,"µ")+COUNTIF($E105:X105,1),ColLivraison)=Y$6,
  VLOOKUP($E105,INDIRECT("tri!"&amp; CHAR(64+ C0Col) &amp;":"&amp; CHAR(65+C0Col)),2,FALSE)&gt;COUNTIF($E105:X105,"u")+COUNTIF($E105:X105,"t")+COUNTIF($E105:X105,"¶")+COUNTIF($E105:X105,"²")+COUNTIF($E105:X105,"µ")+COUNTIF($E105:X105,1)),
HYPERLINK("#Roadmap!C"&amp; MATCH($E105,Roadmap!$D:$D,0)+COUNTIF($E105:X105,"u")+COUNTIF($E105:X105,"t"),
     INDEX(Roadmap!$D:$K,MATCH($E105,Roadmap!$D:$D,0)+COUNTIF($E105:X105,"u")+COUNTIF($E105:X105,"t")+COUNTIF($E105:X105,"¶")+COUNTIF($E105:X105,"²")+COUNTIF($E105:X105,"µ")+COUNTIF($E105:X105,1),ColTypeEcheance)),
  IF(LEN(X105)=1,
  IF(LEN(INDEX(Roadmap!$D:$K,MATCH($E105,Roadmap!$D:$D,0)-1+COUNTIF($E105:X105,"u")+COUNTIF($E105:X105,"t")+COUNTIF($E105:X105,"¶")+COUNTIF($E105:X105,"²")+COUNTIF($E105:X105,"µ")+COUNTIF($E105:X105,1),ColDescriptionCourte))&gt;1,
HYPERLINK("#Roadmap!C"&amp; MATCH($E105,Roadmap!$D:$D,0)+COUNTIF($E105:X105,"u")+COUNTIF($E105:X105,"t")+COUNTIF($E105:X105,"¶")+COUNTIF($E105:X105,"²")+COUNTIF($E105:X105,"µ")+COUNTIF($E105:X105,1)-1,INDEX(Roadmap!$D:$K,MATCH($E105,Roadmap!$D:$D,0)-1+COUNTIF($E105:X105,"u")+COUNTIF($E105:X105,"t")+COUNTIF($E105:X105,"¶")+COUNTIF($E105:X105,"²")+COUNTIF($E105:X105,"µ")+COUNTIF($E105:X105,1),ColDescriptionCourte)),""),
  "")),"")</f>
        <v/>
      </c>
      <c r="Z105" s="40" t="str">
        <f ca="1">IFERROR(IF(AND(
  INDEX(Roadmap!$D:$K,MATCH($E105,Roadmap!$D:$D,0)+COUNTIF($E105:Y105,"u")+COUNTIF($E105:Y105,"t")+COUNTIF($E105:Y105,"¶")+COUNTIF($E105:Y105,"²")+COUNTIF($E105:Y105,"µ")+COUNTIF($E105:Y105,1),ColLivraison)=Z$6,
  VLOOKUP($E105,INDIRECT("tri!"&amp; CHAR(64+ C0Col) &amp;":"&amp; CHAR(65+C0Col)),2,FALSE)&gt;COUNTIF($E105:Y105,"u")+COUNTIF($E105:Y105,"t")+COUNTIF($E105:Y105,"¶")+COUNTIF($E105:Y105,"²")+COUNTIF($E105:Y105,"µ")+COUNTIF($E105:Y105,1)),
HYPERLINK("#Roadmap!C"&amp; MATCH($E105,Roadmap!$D:$D,0)+COUNTIF($E105:Y105,"u")+COUNTIF($E105:Y105,"t"),
     INDEX(Roadmap!$D:$K,MATCH($E105,Roadmap!$D:$D,0)+COUNTIF($E105:Y105,"u")+COUNTIF($E105:Y105,"t")+COUNTIF($E105:Y105,"¶")+COUNTIF($E105:Y105,"²")+COUNTIF($E105:Y105,"µ")+COUNTIF($E105:Y105,1),ColTypeEcheance)),
  IF(LEN(Y105)=1,
  IF(LEN(INDEX(Roadmap!$D:$K,MATCH($E105,Roadmap!$D:$D,0)-1+COUNTIF($E105:Y105,"u")+COUNTIF($E105:Y105,"t")+COUNTIF($E105:Y105,"¶")+COUNTIF($E105:Y105,"²")+COUNTIF($E105:Y105,"µ")+COUNTIF($E105:Y105,1),ColDescriptionCourte))&gt;1,
HYPERLINK("#Roadmap!C"&amp; MATCH($E105,Roadmap!$D:$D,0)+COUNTIF($E105:Y105,"u")+COUNTIF($E105:Y105,"t")+COUNTIF($E105:Y105,"¶")+COUNTIF($E105:Y105,"²")+COUNTIF($E105:Y105,"µ")+COUNTIF($E105:Y105,1)-1,INDEX(Roadmap!$D:$K,MATCH($E105,Roadmap!$D:$D,0)-1+COUNTIF($E105:Y105,"u")+COUNTIF($E105:Y105,"t")+COUNTIF($E105:Y105,"¶")+COUNTIF($E105:Y105,"²")+COUNTIF($E105:Y105,"µ")+COUNTIF($E105:Y105,1),ColDescriptionCourte)),""),
  "")),"")</f>
        <v/>
      </c>
      <c r="AA105" s="40" t="str">
        <f ca="1">IFERROR(IF(AND(
  INDEX(Roadmap!$D:$K,MATCH($E105,Roadmap!$D:$D,0)+COUNTIF($E105:Z105,"u")+COUNTIF($E105:Z105,"t")+COUNTIF($E105:Z105,"¶")+COUNTIF($E105:Z105,"²")+COUNTIF($E105:Z105,"µ")+COUNTIF($E105:Z105,1),ColLivraison)=AA$6,
  VLOOKUP($E105,INDIRECT("tri!"&amp; CHAR(64+ C0Col) &amp;":"&amp; CHAR(65+C0Col)),2,FALSE)&gt;COUNTIF($E105:Z105,"u")+COUNTIF($E105:Z105,"t")+COUNTIF($E105:Z105,"¶")+COUNTIF($E105:Z105,"²")+COUNTIF($E105:Z105,"µ")+COUNTIF($E105:Z105,1)),
HYPERLINK("#Roadmap!C"&amp; MATCH($E105,Roadmap!$D:$D,0)+COUNTIF($E105:Z105,"u")+COUNTIF($E105:Z105,"t"),
     INDEX(Roadmap!$D:$K,MATCH($E105,Roadmap!$D:$D,0)+COUNTIF($E105:Z105,"u")+COUNTIF($E105:Z105,"t")+COUNTIF($E105:Z105,"¶")+COUNTIF($E105:Z105,"²")+COUNTIF($E105:Z105,"µ")+COUNTIF($E105:Z105,1),ColTypeEcheance)),
  IF(LEN(Z105)=1,
  IF(LEN(INDEX(Roadmap!$D:$K,MATCH($E105,Roadmap!$D:$D,0)-1+COUNTIF($E105:Z105,"u")+COUNTIF($E105:Z105,"t")+COUNTIF($E105:Z105,"¶")+COUNTIF($E105:Z105,"²")+COUNTIF($E105:Z105,"µ")+COUNTIF($E105:Z105,1),ColDescriptionCourte))&gt;1,
HYPERLINK("#Roadmap!C"&amp; MATCH($E105,Roadmap!$D:$D,0)+COUNTIF($E105:Z105,"u")+COUNTIF($E105:Z105,"t")+COUNTIF($E105:Z105,"¶")+COUNTIF($E105:Z105,"²")+COUNTIF($E105:Z105,"µ")+COUNTIF($E105:Z105,1)-1,INDEX(Roadmap!$D:$K,MATCH($E105,Roadmap!$D:$D,0)-1+COUNTIF($E105:Z105,"u")+COUNTIF($E105:Z105,"t")+COUNTIF($E105:Z105,"¶")+COUNTIF($E105:Z105,"²")+COUNTIF($E105:Z105,"µ")+COUNTIF($E105:Z105,1),ColDescriptionCourte)),""),
  "")),"")</f>
        <v/>
      </c>
      <c r="AB105" s="40" t="str">
        <f ca="1">IFERROR(IF(AND(
  INDEX(Roadmap!$D:$K,MATCH($E105,Roadmap!$D:$D,0)+COUNTIF($E105:AA105,"u")+COUNTIF($E105:AA105,"t")+COUNTIF($E105:AA105,"¶")+COUNTIF($E105:AA105,"²")+COUNTIF($E105:AA105,"µ")+COUNTIF($E105:AA105,1),ColLivraison)=AB$6,
  VLOOKUP($E105,INDIRECT("tri!"&amp; CHAR(64+ C0Col) &amp;":"&amp; CHAR(65+C0Col)),2,FALSE)&gt;COUNTIF($E105:AA105,"u")+COUNTIF($E105:AA105,"t")+COUNTIF($E105:AA105,"¶")+COUNTIF($E105:AA105,"²")+COUNTIF($E105:AA105,"µ")+COUNTIF($E105:AA105,1)),
HYPERLINK("#Roadmap!C"&amp; MATCH($E105,Roadmap!$D:$D,0)+COUNTIF($E105:AA105,"u")+COUNTIF($E105:AA105,"t"),
     INDEX(Roadmap!$D:$K,MATCH($E105,Roadmap!$D:$D,0)+COUNTIF($E105:AA105,"u")+COUNTIF($E105:AA105,"t")+COUNTIF($E105:AA105,"¶")+COUNTIF($E105:AA105,"²")+COUNTIF($E105:AA105,"µ")+COUNTIF($E105:AA105,1),ColTypeEcheance)),
  IF(LEN(AA105)=1,
  IF(LEN(INDEX(Roadmap!$D:$K,MATCH($E105,Roadmap!$D:$D,0)-1+COUNTIF($E105:AA105,"u")+COUNTIF($E105:AA105,"t")+COUNTIF($E105:AA105,"¶")+COUNTIF($E105:AA105,"²")+COUNTIF($E105:AA105,"µ")+COUNTIF($E105:AA105,1),ColDescriptionCourte))&gt;1,
HYPERLINK("#Roadmap!C"&amp; MATCH($E105,Roadmap!$D:$D,0)+COUNTIF($E105:AA105,"u")+COUNTIF($E105:AA105,"t")+COUNTIF($E105:AA105,"¶")+COUNTIF($E105:AA105,"²")+COUNTIF($E105:AA105,"µ")+COUNTIF($E105:AA105,1)-1,INDEX(Roadmap!$D:$K,MATCH($E105,Roadmap!$D:$D,0)-1+COUNTIF($E105:AA105,"u")+COUNTIF($E105:AA105,"t")+COUNTIF($E105:AA105,"¶")+COUNTIF($E105:AA105,"²")+COUNTIF($E105:AA105,"µ")+COUNTIF($E105:AA105,1),ColDescriptionCourte)),""),
  "")),"")</f>
        <v/>
      </c>
      <c r="AC105" s="40" t="str">
        <f ca="1">IFERROR(IF(AND(
  INDEX(Roadmap!$D:$K,MATCH($E105,Roadmap!$D:$D,0)+COUNTIF($E105:AB105,"u")+COUNTIF($E105:AB105,"t")+COUNTIF($E105:AB105,"¶")+COUNTIF($E105:AB105,"²")+COUNTIF($E105:AB105,"µ")+COUNTIF($E105:AB105,1),ColLivraison)=AC$6,
  VLOOKUP($E105,INDIRECT("tri!"&amp; CHAR(64+ C0Col) &amp;":"&amp; CHAR(65+C0Col)),2,FALSE)&gt;COUNTIF($E105:AB105,"u")+COUNTIF($E105:AB105,"t")+COUNTIF($E105:AB105,"¶")+COUNTIF($E105:AB105,"²")+COUNTIF($E105:AB105,"µ")+COUNTIF($E105:AB105,1)),
HYPERLINK("#Roadmap!C"&amp; MATCH($E105,Roadmap!$D:$D,0)+COUNTIF($E105:AB105,"u")+COUNTIF($E105:AB105,"t"),
     INDEX(Roadmap!$D:$K,MATCH($E105,Roadmap!$D:$D,0)+COUNTIF($E105:AB105,"u")+COUNTIF($E105:AB105,"t")+COUNTIF($E105:AB105,"¶")+COUNTIF($E105:AB105,"²")+COUNTIF($E105:AB105,"µ")+COUNTIF($E105:AB105,1),ColTypeEcheance)),
  IF(LEN(AB105)=1,
  IF(LEN(INDEX(Roadmap!$D:$K,MATCH($E105,Roadmap!$D:$D,0)-1+COUNTIF($E105:AB105,"u")+COUNTIF($E105:AB105,"t")+COUNTIF($E105:AB105,"¶")+COUNTIF($E105:AB105,"²")+COUNTIF($E105:AB105,"µ")+COUNTIF($E105:AB105,1),ColDescriptionCourte))&gt;1,
HYPERLINK("#Roadmap!C"&amp; MATCH($E105,Roadmap!$D:$D,0)+COUNTIF($E105:AB105,"u")+COUNTIF($E105:AB105,"t")+COUNTIF($E105:AB105,"¶")+COUNTIF($E105:AB105,"²")+COUNTIF($E105:AB105,"µ")+COUNTIF($E105:AB105,1)-1,INDEX(Roadmap!$D:$K,MATCH($E105,Roadmap!$D:$D,0)-1+COUNTIF($E105:AB105,"u")+COUNTIF($E105:AB105,"t")+COUNTIF($E105:AB105,"¶")+COUNTIF($E105:AB105,"²")+COUNTIF($E105:AB105,"µ")+COUNTIF($E105:AB105,1),ColDescriptionCourte)),""),
  "")),"")</f>
        <v/>
      </c>
      <c r="AD105" s="40" t="str">
        <f ca="1">IFERROR(IF(AND(
  INDEX(Roadmap!$D:$K,MATCH($E105,Roadmap!$D:$D,0)+COUNTIF($E105:AC105,"u")+COUNTIF($E105:AC105,"t")+COUNTIF($E105:AC105,"¶")+COUNTIF($E105:AC105,"²")+COUNTIF($E105:AC105,"µ")+COUNTIF($E105:AC105,1),ColLivraison)=AD$6,
  VLOOKUP($E105,INDIRECT("tri!"&amp; CHAR(64+ C0Col) &amp;":"&amp; CHAR(65+C0Col)),2,FALSE)&gt;COUNTIF($E105:AC105,"u")+COUNTIF($E105:AC105,"t")+COUNTIF($E105:AC105,"¶")+COUNTIF($E105:AC105,"²")+COUNTIF($E105:AC105,"µ")+COUNTIF($E105:AC105,1)),
HYPERLINK("#Roadmap!C"&amp; MATCH($E105,Roadmap!$D:$D,0)+COUNTIF($E105:AC105,"u")+COUNTIF($E105:AC105,"t"),
     INDEX(Roadmap!$D:$K,MATCH($E105,Roadmap!$D:$D,0)+COUNTIF($E105:AC105,"u")+COUNTIF($E105:AC105,"t")+COUNTIF($E105:AC105,"¶")+COUNTIF($E105:AC105,"²")+COUNTIF($E105:AC105,"µ")+COUNTIF($E105:AC105,1),ColTypeEcheance)),
  IF(LEN(AC105)=1,
  IF(LEN(INDEX(Roadmap!$D:$K,MATCH($E105,Roadmap!$D:$D,0)-1+COUNTIF($E105:AC105,"u")+COUNTIF($E105:AC105,"t")+COUNTIF($E105:AC105,"¶")+COUNTIF($E105:AC105,"²")+COUNTIF($E105:AC105,"µ")+COUNTIF($E105:AC105,1),ColDescriptionCourte))&gt;1,
HYPERLINK("#Roadmap!C"&amp; MATCH($E105,Roadmap!$D:$D,0)+COUNTIF($E105:AC105,"u")+COUNTIF($E105:AC105,"t")+COUNTIF($E105:AC105,"¶")+COUNTIF($E105:AC105,"²")+COUNTIF($E105:AC105,"µ")+COUNTIF($E105:AC105,1)-1,INDEX(Roadmap!$D:$K,MATCH($E105,Roadmap!$D:$D,0)-1+COUNTIF($E105:AC105,"u")+COUNTIF($E105:AC105,"t")+COUNTIF($E105:AC105,"¶")+COUNTIF($E105:AC105,"²")+COUNTIF($E105:AC105,"µ")+COUNTIF($E105:AC105,1),ColDescriptionCourte)),""),
  "")),"")</f>
        <v/>
      </c>
      <c r="AE105" s="40" t="str">
        <f ca="1">IFERROR(IF(AND(
  INDEX(Roadmap!$D:$K,MATCH($E105,Roadmap!$D:$D,0)+COUNTIF($E105:AD105,"u")+COUNTIF($E105:AD105,"t")+COUNTIF($E105:AD105,"¶")+COUNTIF($E105:AD105,"²")+COUNTIF($E105:AD105,"µ")+COUNTIF($E105:AD105,1),ColLivraison)=AE$6,
  VLOOKUP($E105,INDIRECT("tri!"&amp; CHAR(64+ C0Col) &amp;":"&amp; CHAR(65+C0Col)),2,FALSE)&gt;COUNTIF($E105:AD105,"u")+COUNTIF($E105:AD105,"t")+COUNTIF($E105:AD105,"¶")+COUNTIF($E105:AD105,"²")+COUNTIF($E105:AD105,"µ")+COUNTIF($E105:AD105,1)),
HYPERLINK("#Roadmap!C"&amp; MATCH($E105,Roadmap!$D:$D,0)+COUNTIF($E105:AD105,"u")+COUNTIF($E105:AD105,"t"),
     INDEX(Roadmap!$D:$K,MATCH($E105,Roadmap!$D:$D,0)+COUNTIF($E105:AD105,"u")+COUNTIF($E105:AD105,"t")+COUNTIF($E105:AD105,"¶")+COUNTIF($E105:AD105,"²")+COUNTIF($E105:AD105,"µ")+COUNTIF($E105:AD105,1),ColTypeEcheance)),
  IF(LEN(AD105)=1,
  IF(LEN(INDEX(Roadmap!$D:$K,MATCH($E105,Roadmap!$D:$D,0)-1+COUNTIF($E105:AD105,"u")+COUNTIF($E105:AD105,"t")+COUNTIF($E105:AD105,"¶")+COUNTIF($E105:AD105,"²")+COUNTIF($E105:AD105,"µ")+COUNTIF($E105:AD105,1),ColDescriptionCourte))&gt;1,
HYPERLINK("#Roadmap!C"&amp; MATCH($E105,Roadmap!$D:$D,0)+COUNTIF($E105:AD105,"u")+COUNTIF($E105:AD105,"t")+COUNTIF($E105:AD105,"¶")+COUNTIF($E105:AD105,"²")+COUNTIF($E105:AD105,"µ")+COUNTIF($E105:AD105,1)-1,INDEX(Roadmap!$D:$K,MATCH($E105,Roadmap!$D:$D,0)-1+COUNTIF($E105:AD105,"u")+COUNTIF($E105:AD105,"t")+COUNTIF($E105:AD105,"¶")+COUNTIF($E105:AD105,"²")+COUNTIF($E105:AD105,"µ")+COUNTIF($E105:AD105,1),ColDescriptionCourte)),""),
  "")),"")</f>
        <v/>
      </c>
      <c r="AF105" s="40" t="str">
        <f ca="1">IFERROR(IF(AND(
  INDEX(Roadmap!$D:$K,MATCH($E105,Roadmap!$D:$D,0)+COUNTIF($E105:AE105,"u")+COUNTIF($E105:AE105,"t")+COUNTIF($E105:AE105,"¶")+COUNTIF($E105:AE105,"²")+COUNTIF($E105:AE105,"µ")+COUNTIF($E105:AE105,1),ColLivraison)=AF$6,
  VLOOKUP($E105,INDIRECT("tri!"&amp; CHAR(64+ C0Col) &amp;":"&amp; CHAR(65+C0Col)),2,FALSE)&gt;COUNTIF($E105:AE105,"u")+COUNTIF($E105:AE105,"t")+COUNTIF($E105:AE105,"¶")+COUNTIF($E105:AE105,"²")+COUNTIF($E105:AE105,"µ")+COUNTIF($E105:AE105,1)),
HYPERLINK("#Roadmap!C"&amp; MATCH($E105,Roadmap!$D:$D,0)+COUNTIF($E105:AE105,"u")+COUNTIF($E105:AE105,"t"),
     INDEX(Roadmap!$D:$K,MATCH($E105,Roadmap!$D:$D,0)+COUNTIF($E105:AE105,"u")+COUNTIF($E105:AE105,"t")+COUNTIF($E105:AE105,"¶")+COUNTIF($E105:AE105,"²")+COUNTIF($E105:AE105,"µ")+COUNTIF($E105:AE105,1),ColTypeEcheance)),
  IF(LEN(AE105)=1,
  IF(LEN(INDEX(Roadmap!$D:$K,MATCH($E105,Roadmap!$D:$D,0)-1+COUNTIF($E105:AE105,"u")+COUNTIF($E105:AE105,"t")+COUNTIF($E105:AE105,"¶")+COUNTIF($E105:AE105,"²")+COUNTIF($E105:AE105,"µ")+COUNTIF($E105:AE105,1),ColDescriptionCourte))&gt;1,
HYPERLINK("#Roadmap!C"&amp; MATCH($E105,Roadmap!$D:$D,0)+COUNTIF($E105:AE105,"u")+COUNTIF($E105:AE105,"t")+COUNTIF($E105:AE105,"¶")+COUNTIF($E105:AE105,"²")+COUNTIF($E105:AE105,"µ")+COUNTIF($E105:AE105,1)-1,INDEX(Roadmap!$D:$K,MATCH($E105,Roadmap!$D:$D,0)-1+COUNTIF($E105:AE105,"u")+COUNTIF($E105:AE105,"t")+COUNTIF($E105:AE105,"¶")+COUNTIF($E105:AE105,"²")+COUNTIF($E105:AE105,"µ")+COUNTIF($E105:AE105,1),ColDescriptionCourte)),""),
  "")),"")</f>
        <v/>
      </c>
      <c r="AG105" s="40" t="str">
        <f ca="1">IFERROR(IF(AND(
  INDEX(Roadmap!$D:$K,MATCH($E105,Roadmap!$D:$D,0)+COUNTIF($E105:AF105,"u")+COUNTIF($E105:AF105,"t")+COUNTIF($E105:AF105,"¶")+COUNTIF($E105:AF105,"²")+COUNTIF($E105:AF105,"µ")+COUNTIF($E105:AF105,1),ColLivraison)=AG$6,
  VLOOKUP($E105,INDIRECT("tri!"&amp; CHAR(64+ C0Col) &amp;":"&amp; CHAR(65+C0Col)),2,FALSE)&gt;COUNTIF($E105:AF105,"u")+COUNTIF($E105:AF105,"t")+COUNTIF($E105:AF105,"¶")+COUNTIF($E105:AF105,"²")+COUNTIF($E105:AF105,"µ")+COUNTIF($E105:AF105,1)),
HYPERLINK("#Roadmap!C"&amp; MATCH($E105,Roadmap!$D:$D,0)+COUNTIF($E105:AF105,"u")+COUNTIF($E105:AF105,"t"),
     INDEX(Roadmap!$D:$K,MATCH($E105,Roadmap!$D:$D,0)+COUNTIF($E105:AF105,"u")+COUNTIF($E105:AF105,"t")+COUNTIF($E105:AF105,"¶")+COUNTIF($E105:AF105,"²")+COUNTIF($E105:AF105,"µ")+COUNTIF($E105:AF105,1),ColTypeEcheance)),
  IF(LEN(AF105)=1,
  IF(LEN(INDEX(Roadmap!$D:$K,MATCH($E105,Roadmap!$D:$D,0)-1+COUNTIF($E105:AF105,"u")+COUNTIF($E105:AF105,"t")+COUNTIF($E105:AF105,"¶")+COUNTIF($E105:AF105,"²")+COUNTIF($E105:AF105,"µ")+COUNTIF($E105:AF105,1),ColDescriptionCourte))&gt;1,
HYPERLINK("#Roadmap!C"&amp; MATCH($E105,Roadmap!$D:$D,0)+COUNTIF($E105:AF105,"u")+COUNTIF($E105:AF105,"t")+COUNTIF($E105:AF105,"¶")+COUNTIF($E105:AF105,"²")+COUNTIF($E105:AF105,"µ")+COUNTIF($E105:AF105,1)-1,INDEX(Roadmap!$D:$K,MATCH($E105,Roadmap!$D:$D,0)-1+COUNTIF($E105:AF105,"u")+COUNTIF($E105:AF105,"t")+COUNTIF($E105:AF105,"¶")+COUNTIF($E105:AF105,"²")+COUNTIF($E105:AF105,"µ")+COUNTIF($E105:AF105,1),ColDescriptionCourte)),""),
  "")),"")</f>
        <v/>
      </c>
    </row>
    <row r="106" spans="3:33" ht="14.25" customHeight="1">
      <c r="C106" s="1" t="str">
        <f t="shared" ca="1" si="49"/>
        <v/>
      </c>
      <c r="D106" s="1" t="str">
        <f t="shared" ca="1" si="50"/>
        <v/>
      </c>
      <c r="E106" s="35" t="str">
        <f t="shared" ca="1" si="46"/>
        <v/>
      </c>
      <c r="F106" s="39" t="str">
        <f ca="1">IFERROR(IF(AND(
  INDEX(Roadmap!$D:$K,MATCH($E106,Roadmap!$D:$D,0)+COUNTIF($E106:E106,"u")+COUNTIF($E106:E106,"t")+COUNTIF($E106:E106,"¶")+COUNTIF($E106:E106,"²")+COUNTIF($E106:E106,"µ")+COUNTIF($E106:E106,1),ColLivraison)=F$6,
  VLOOKUP($E106,INDIRECT("tri!"&amp; CHAR(64+ C0Col) &amp;":"&amp; CHAR(65+C0Col)),2,FALSE)&gt;COUNTIF($E106:E106,"u")+COUNTIF($E106:E106,"t")+COUNTIF($E106:E106,"¶")+COUNTIF($E106:E106,"²")+COUNTIF($E106:E106,"µ")+COUNTIF($E106:E106,1)),
HYPERLINK("#Roadmap!C"&amp; MATCH($E106,Roadmap!$D:$D,0)+COUNTIF($E106:E106,"u")+COUNTIF($E106:E106,"t"),
     INDEX(Roadmap!$D:$K,MATCH($E106,Roadmap!$D:$D,0)+COUNTIF($E106:E106,"u")+COUNTIF($E106:E106,"t")+COUNTIF($E106:E106,"¶")+COUNTIF($E106:E106,"²")+COUNTIF($E106:E106,"µ")+COUNTIF($E106:E106,1),ColTypeEcheance)),
  IF(LEN(E106)=1,
  IF(LEN(INDEX(Roadmap!$D:$K,MATCH($E106,Roadmap!$D:$D,0)-1+COUNTIF($E106:E106,"u")+COUNTIF($E106:E106,"t")+COUNTIF($E106:E106,"¶")+COUNTIF($E106:E106,"²")+COUNTIF($E106:E106,"µ")+COUNTIF($E106:E106,1),ColDescriptionCourte))&gt;1,
HYPERLINK("#Roadmap!C"&amp; MATCH($E106,Roadmap!$D:$D,0)+COUNTIF($E106:E106,"u")+COUNTIF($E106:E106,"t")+COUNTIF($E106:E106,"¶")+COUNTIF($E106:E106,"²")+COUNTIF($E106:E106,"µ")+COUNTIF($E106:E106,1)-1,INDEX(Roadmap!$D:$K,MATCH($E106,Roadmap!$D:$D,0)-1+COUNTIF($E106:E106,"u")+COUNTIF($E106:E106,"t")+COUNTIF($E106:E106,"¶")+COUNTIF($E106:E106,"²")+COUNTIF($E106:E106,"µ")+COUNTIF($E106:E106,1),ColDescriptionCourte)),""),
  "")),"")</f>
        <v/>
      </c>
      <c r="G106" s="40" t="str">
        <f ca="1">IFERROR(IF(AND(
  INDEX(Roadmap!$D:$K,MATCH($E106,Roadmap!$D:$D,0)+COUNTIF($E106:F106,"u")+COUNTIF($E106:F106,"t")+COUNTIF($E106:F106,"¶")+COUNTIF($E106:F106,"²")+COUNTIF($E106:F106,"µ")+COUNTIF($E106:F106,1),ColLivraison)=G$6,
  VLOOKUP($E106,INDIRECT("tri!"&amp; CHAR(64+ C0Col) &amp;":"&amp; CHAR(65+C0Col)),2,FALSE)&gt;COUNTIF($E106:F106,"u")+COUNTIF($E106:F106,"t")+COUNTIF($E106:F106,"¶")+COUNTIF($E106:F106,"²")+COUNTIF($E106:F106,"µ")+COUNTIF($E106:F106,1)),
HYPERLINK("#Roadmap!C"&amp; MATCH($E106,Roadmap!$D:$D,0)+COUNTIF($E106:F106,"u")+COUNTIF($E106:F106,"t"),
     INDEX(Roadmap!$D:$K,MATCH($E106,Roadmap!$D:$D,0)+COUNTIF($E106:F106,"u")+COUNTIF($E106:F106,"t")+COUNTIF($E106:F106,"¶")+COUNTIF($E106:F106,"²")+COUNTIF($E106:F106,"µ")+COUNTIF($E106:F106,1),ColTypeEcheance)),
  IF(LEN(F106)=1,
  IF(LEN(INDEX(Roadmap!$D:$K,MATCH($E106,Roadmap!$D:$D,0)-1+COUNTIF($E106:F106,"u")+COUNTIF($E106:F106,"t")+COUNTIF($E106:F106,"¶")+COUNTIF($E106:F106,"²")+COUNTIF($E106:F106,"µ")+COUNTIF($E106:F106,1),ColDescriptionCourte))&gt;1,
HYPERLINK("#Roadmap!C"&amp; MATCH($E106,Roadmap!$D:$D,0)+COUNTIF($E106:F106,"u")+COUNTIF($E106:F106,"t")+COUNTIF($E106:F106,"¶")+COUNTIF($E106:F106,"²")+COUNTIF($E106:F106,"µ")+COUNTIF($E106:F106,1)-1,INDEX(Roadmap!$D:$K,MATCH($E106,Roadmap!$D:$D,0)-1+COUNTIF($E106:F106,"u")+COUNTIF($E106:F106,"t")+COUNTIF($E106:F106,"¶")+COUNTIF($E106:F106,"²")+COUNTIF($E106:F106,"µ")+COUNTIF($E106:F106,1),ColDescriptionCourte)),""),
  "")),"")</f>
        <v/>
      </c>
      <c r="H106" s="40" t="str">
        <f ca="1">IFERROR(IF(AND(
  INDEX(Roadmap!$D:$K,MATCH($E106,Roadmap!$D:$D,0)+COUNTIF($E106:G106,"u")+COUNTIF($E106:G106,"t")+COUNTIF($E106:G106,"¶")+COUNTIF($E106:G106,"²")+COUNTIF($E106:G106,"µ")+COUNTIF($E106:G106,1),ColLivraison)=H$6,
  VLOOKUP($E106,INDIRECT("tri!"&amp; CHAR(64+ C0Col) &amp;":"&amp; CHAR(65+C0Col)),2,FALSE)&gt;COUNTIF($E106:G106,"u")+COUNTIF($E106:G106,"t")+COUNTIF($E106:G106,"¶")+COUNTIF($E106:G106,"²")+COUNTIF($E106:G106,"µ")+COUNTIF($E106:G106,1)),
HYPERLINK("#Roadmap!C"&amp; MATCH($E106,Roadmap!$D:$D,0)+COUNTIF($E106:G106,"u")+COUNTIF($E106:G106,"t"),
     INDEX(Roadmap!$D:$K,MATCH($E106,Roadmap!$D:$D,0)+COUNTIF($E106:G106,"u")+COUNTIF($E106:G106,"t")+COUNTIF($E106:G106,"¶")+COUNTIF($E106:G106,"²")+COUNTIF($E106:G106,"µ")+COUNTIF($E106:G106,1),ColTypeEcheance)),
  IF(LEN(G106)=1,
  IF(LEN(INDEX(Roadmap!$D:$K,MATCH($E106,Roadmap!$D:$D,0)-1+COUNTIF($E106:G106,"u")+COUNTIF($E106:G106,"t")+COUNTIF($E106:G106,"¶")+COUNTIF($E106:G106,"²")+COUNTIF($E106:G106,"µ")+COUNTIF($E106:G106,1),ColDescriptionCourte))&gt;1,
HYPERLINK("#Roadmap!C"&amp; MATCH($E106,Roadmap!$D:$D,0)+COUNTIF($E106:G106,"u")+COUNTIF($E106:G106,"t")+COUNTIF($E106:G106,"¶")+COUNTIF($E106:G106,"²")+COUNTIF($E106:G106,"µ")+COUNTIF($E106:G106,1)-1,INDEX(Roadmap!$D:$K,MATCH($E106,Roadmap!$D:$D,0)-1+COUNTIF($E106:G106,"u")+COUNTIF($E106:G106,"t")+COUNTIF($E106:G106,"¶")+COUNTIF($E106:G106,"²")+COUNTIF($E106:G106,"µ")+COUNTIF($E106:G106,1),ColDescriptionCourte)),""),
  "")),"")</f>
        <v/>
      </c>
      <c r="I106" s="40" t="str">
        <f ca="1">IFERROR(IF(AND(
  INDEX(Roadmap!$D:$K,MATCH($E106,Roadmap!$D:$D,0)+COUNTIF($E106:H106,"u")+COUNTIF($E106:H106,"t")+COUNTIF($E106:H106,"¶")+COUNTIF($E106:H106,"²")+COUNTIF($E106:H106,"µ")+COUNTIF($E106:H106,1),ColLivraison)=I$6,
  VLOOKUP($E106,INDIRECT("tri!"&amp; CHAR(64+ C0Col) &amp;":"&amp; CHAR(65+C0Col)),2,FALSE)&gt;COUNTIF($E106:H106,"u")+COUNTIF($E106:H106,"t")+COUNTIF($E106:H106,"¶")+COUNTIF($E106:H106,"²")+COUNTIF($E106:H106,"µ")+COUNTIF($E106:H106,1)),
HYPERLINK("#Roadmap!C"&amp; MATCH($E106,Roadmap!$D:$D,0)+COUNTIF($E106:H106,"u")+COUNTIF($E106:H106,"t"),
     INDEX(Roadmap!$D:$K,MATCH($E106,Roadmap!$D:$D,0)+COUNTIF($E106:H106,"u")+COUNTIF($E106:H106,"t")+COUNTIF($E106:H106,"¶")+COUNTIF($E106:H106,"²")+COUNTIF($E106:H106,"µ")+COUNTIF($E106:H106,1),ColTypeEcheance)),
  IF(LEN(H106)=1,
  IF(LEN(INDEX(Roadmap!$D:$K,MATCH($E106,Roadmap!$D:$D,0)-1+COUNTIF($E106:H106,"u")+COUNTIF($E106:H106,"t")+COUNTIF($E106:H106,"¶")+COUNTIF($E106:H106,"²")+COUNTIF($E106:H106,"µ")+COUNTIF($E106:H106,1),ColDescriptionCourte))&gt;1,
HYPERLINK("#Roadmap!C"&amp; MATCH($E106,Roadmap!$D:$D,0)+COUNTIF($E106:H106,"u")+COUNTIF($E106:H106,"t")+COUNTIF($E106:H106,"¶")+COUNTIF($E106:H106,"²")+COUNTIF($E106:H106,"µ")+COUNTIF($E106:H106,1)-1,INDEX(Roadmap!$D:$K,MATCH($E106,Roadmap!$D:$D,0)-1+COUNTIF($E106:H106,"u")+COUNTIF($E106:H106,"t")+COUNTIF($E106:H106,"¶")+COUNTIF($E106:H106,"²")+COUNTIF($E106:H106,"µ")+COUNTIF($E106:H106,1),ColDescriptionCourte)),""),
  "")),"")</f>
        <v/>
      </c>
      <c r="J106" s="40" t="str">
        <f ca="1">IFERROR(IF(AND(
  INDEX(Roadmap!$D:$K,MATCH($E106,Roadmap!$D:$D,0)+COUNTIF($E106:I106,"u")+COUNTIF($E106:I106,"t")+COUNTIF($E106:I106,"¶")+COUNTIF($E106:I106,"²")+COUNTIF($E106:I106,"µ")+COUNTIF($E106:I106,1),ColLivraison)=J$6,
  VLOOKUP($E106,INDIRECT("tri!"&amp; CHAR(64+ C0Col) &amp;":"&amp; CHAR(65+C0Col)),2,FALSE)&gt;COUNTIF($E106:I106,"u")+COUNTIF($E106:I106,"t")+COUNTIF($E106:I106,"¶")+COUNTIF($E106:I106,"²")+COUNTIF($E106:I106,"µ")+COUNTIF($E106:I106,1)),
HYPERLINK("#Roadmap!C"&amp; MATCH($E106,Roadmap!$D:$D,0)+COUNTIF($E106:I106,"u")+COUNTIF($E106:I106,"t"),
     INDEX(Roadmap!$D:$K,MATCH($E106,Roadmap!$D:$D,0)+COUNTIF($E106:I106,"u")+COUNTIF($E106:I106,"t")+COUNTIF($E106:I106,"¶")+COUNTIF($E106:I106,"²")+COUNTIF($E106:I106,"µ")+COUNTIF($E106:I106,1),ColTypeEcheance)),
  IF(LEN(I106)=1,
  IF(LEN(INDEX(Roadmap!$D:$K,MATCH($E106,Roadmap!$D:$D,0)-1+COUNTIF($E106:I106,"u")+COUNTIF($E106:I106,"t")+COUNTIF($E106:I106,"¶")+COUNTIF($E106:I106,"²")+COUNTIF($E106:I106,"µ")+COUNTIF($E106:I106,1),ColDescriptionCourte))&gt;1,
HYPERLINK("#Roadmap!C"&amp; MATCH($E106,Roadmap!$D:$D,0)+COUNTIF($E106:I106,"u")+COUNTIF($E106:I106,"t")+COUNTIF($E106:I106,"¶")+COUNTIF($E106:I106,"²")+COUNTIF($E106:I106,"µ")+COUNTIF($E106:I106,1)-1,INDEX(Roadmap!$D:$K,MATCH($E106,Roadmap!$D:$D,0)-1+COUNTIF($E106:I106,"u")+COUNTIF($E106:I106,"t")+COUNTIF($E106:I106,"¶")+COUNTIF($E106:I106,"²")+COUNTIF($E106:I106,"µ")+COUNTIF($E106:I106,1),ColDescriptionCourte)),""),
  "")),"")</f>
        <v/>
      </c>
      <c r="K106" s="40" t="str">
        <f ca="1">IFERROR(IF(AND(
  INDEX(Roadmap!$D:$K,MATCH($E106,Roadmap!$D:$D,0)+COUNTIF($E106:J106,"u")+COUNTIF($E106:J106,"t")+COUNTIF($E106:J106,"¶")+COUNTIF($E106:J106,"²")+COUNTIF($E106:J106,"µ")+COUNTIF($E106:J106,1),ColLivraison)=K$6,
  VLOOKUP($E106,INDIRECT("tri!"&amp; CHAR(64+ C0Col) &amp;":"&amp; CHAR(65+C0Col)),2,FALSE)&gt;COUNTIF($E106:J106,"u")+COUNTIF($E106:J106,"t")+COUNTIF($E106:J106,"¶")+COUNTIF($E106:J106,"²")+COUNTIF($E106:J106,"µ")+COUNTIF($E106:J106,1)),
HYPERLINK("#Roadmap!C"&amp; MATCH($E106,Roadmap!$D:$D,0)+COUNTIF($E106:J106,"u")+COUNTIF($E106:J106,"t"),
     INDEX(Roadmap!$D:$K,MATCH($E106,Roadmap!$D:$D,0)+COUNTIF($E106:J106,"u")+COUNTIF($E106:J106,"t")+COUNTIF($E106:J106,"¶")+COUNTIF($E106:J106,"²")+COUNTIF($E106:J106,"µ")+COUNTIF($E106:J106,1),ColTypeEcheance)),
  IF(LEN(J106)=1,
  IF(LEN(INDEX(Roadmap!$D:$K,MATCH($E106,Roadmap!$D:$D,0)-1+COUNTIF($E106:J106,"u")+COUNTIF($E106:J106,"t")+COUNTIF($E106:J106,"¶")+COUNTIF($E106:J106,"²")+COUNTIF($E106:J106,"µ")+COUNTIF($E106:J106,1),ColDescriptionCourte))&gt;1,
HYPERLINK("#Roadmap!C"&amp; MATCH($E106,Roadmap!$D:$D,0)+COUNTIF($E106:J106,"u")+COUNTIF($E106:J106,"t")+COUNTIF($E106:J106,"¶")+COUNTIF($E106:J106,"²")+COUNTIF($E106:J106,"µ")+COUNTIF($E106:J106,1)-1,INDEX(Roadmap!$D:$K,MATCH($E106,Roadmap!$D:$D,0)-1+COUNTIF($E106:J106,"u")+COUNTIF($E106:J106,"t")+COUNTIF($E106:J106,"¶")+COUNTIF($E106:J106,"²")+COUNTIF($E106:J106,"µ")+COUNTIF($E106:J106,1),ColDescriptionCourte)),""),
  "")),"")</f>
        <v/>
      </c>
      <c r="L106" s="39" t="str">
        <f ca="1">IFERROR(IF(AND(
  INDEX(Roadmap!$D:$K,MATCH($E106,Roadmap!$D:$D,0)+COUNTIF($E106:K106,"u")+COUNTIF($E106:K106,"t")+COUNTIF($E106:K106,"¶")+COUNTIF($E106:K106,"²")+COUNTIF($E106:K106,"µ")+COUNTIF($E106:K106,1),ColLivraison)=L$6,
  VLOOKUP($E106,INDIRECT("tri!"&amp; CHAR(64+ C0Col) &amp;":"&amp; CHAR(65+C0Col)),2,FALSE)&gt;COUNTIF($E106:K106,"u")+COUNTIF($E106:K106,"t")+COUNTIF($E106:K106,"¶")+COUNTIF($E106:K106,"²")+COUNTIF($E106:K106,"µ")+COUNTIF($E106:K106,1)),
HYPERLINK("#Roadmap!C"&amp; MATCH($E106,Roadmap!$D:$D,0)+COUNTIF($E106:K106,"u")+COUNTIF($E106:K106,"t"),
     INDEX(Roadmap!$D:$K,MATCH($E106,Roadmap!$D:$D,0)+COUNTIF($E106:K106,"u")+COUNTIF($E106:K106,"t")+COUNTIF($E106:K106,"¶")+COUNTIF($E106:K106,"²")+COUNTIF($E106:K106,"µ")+COUNTIF($E106:K106,1),ColTypeEcheance)),
  IF(LEN(K106)=1,
  IF(LEN(INDEX(Roadmap!$D:$K,MATCH($E106,Roadmap!$D:$D,0)-1+COUNTIF($E106:K106,"u")+COUNTIF($E106:K106,"t")+COUNTIF($E106:K106,"¶")+COUNTIF($E106:K106,"²")+COUNTIF($E106:K106,"µ")+COUNTIF($E106:K106,1),ColDescriptionCourte))&gt;1,
HYPERLINK("#Roadmap!C"&amp; MATCH($E106,Roadmap!$D:$D,0)+COUNTIF($E106:K106,"u")+COUNTIF($E106:K106,"t")+COUNTIF($E106:K106,"¶")+COUNTIF($E106:K106,"²")+COUNTIF($E106:K106,"µ")+COUNTIF($E106:K106,1)-1,INDEX(Roadmap!$D:$K,MATCH($E106,Roadmap!$D:$D,0)-1+COUNTIF($E106:K106,"u")+COUNTIF($E106:K106,"t")+COUNTIF($E106:K106,"¶")+COUNTIF($E106:K106,"²")+COUNTIF($E106:K106,"µ")+COUNTIF($E106:K106,1),ColDescriptionCourte)),""),
  "")),"")</f>
        <v/>
      </c>
      <c r="M106" s="40" t="str">
        <f ca="1">IFERROR(IF(AND(
  INDEX(Roadmap!$D:$K,MATCH($E106,Roadmap!$D:$D,0)+COUNTIF($E106:L106,"u")+COUNTIF($E106:L106,"t")+COUNTIF($E106:L106,"¶")+COUNTIF($E106:L106,"²")+COUNTIF($E106:L106,"µ")+COUNTIF($E106:L106,1),ColLivraison)=M$6,
  VLOOKUP($E106,INDIRECT("tri!"&amp; CHAR(64+ C0Col) &amp;":"&amp; CHAR(65+C0Col)),2,FALSE)&gt;COUNTIF($E106:L106,"u")+COUNTIF($E106:L106,"t")+COUNTIF($E106:L106,"¶")+COUNTIF($E106:L106,"²")+COUNTIF($E106:L106,"µ")+COUNTIF($E106:L106,1)),
HYPERLINK("#Roadmap!C"&amp; MATCH($E106,Roadmap!$D:$D,0)+COUNTIF($E106:L106,"u")+COUNTIF($E106:L106,"t"),
     INDEX(Roadmap!$D:$K,MATCH($E106,Roadmap!$D:$D,0)+COUNTIF($E106:L106,"u")+COUNTIF($E106:L106,"t")+COUNTIF($E106:L106,"¶")+COUNTIF($E106:L106,"²")+COUNTIF($E106:L106,"µ")+COUNTIF($E106:L106,1),ColTypeEcheance)),
  IF(LEN(L106)=1,
  IF(LEN(INDEX(Roadmap!$D:$K,MATCH($E106,Roadmap!$D:$D,0)-1+COUNTIF($E106:L106,"u")+COUNTIF($E106:L106,"t")+COUNTIF($E106:L106,"¶")+COUNTIF($E106:L106,"²")+COUNTIF($E106:L106,"µ")+COUNTIF($E106:L106,1),ColDescriptionCourte))&gt;1,
HYPERLINK("#Roadmap!C"&amp; MATCH($E106,Roadmap!$D:$D,0)+COUNTIF($E106:L106,"u")+COUNTIF($E106:L106,"t")+COUNTIF($E106:L106,"¶")+COUNTIF($E106:L106,"²")+COUNTIF($E106:L106,"µ")+COUNTIF($E106:L106,1)-1,INDEX(Roadmap!$D:$K,MATCH($E106,Roadmap!$D:$D,0)-1+COUNTIF($E106:L106,"u")+COUNTIF($E106:L106,"t")+COUNTIF($E106:L106,"¶")+COUNTIF($E106:L106,"²")+COUNTIF($E106:L106,"µ")+COUNTIF($E106:L106,1),ColDescriptionCourte)),""),
  "")),"")</f>
        <v/>
      </c>
      <c r="N106" s="40" t="str">
        <f ca="1">IFERROR(IF(AND(
  INDEX(Roadmap!$D:$K,MATCH($E106,Roadmap!$D:$D,0)+COUNTIF($E106:M106,"u")+COUNTIF($E106:M106,"t")+COUNTIF($E106:M106,"¶")+COUNTIF($E106:M106,"²")+COUNTIF($E106:M106,"µ")+COUNTIF($E106:M106,1),ColLivraison)=N$6,
  VLOOKUP($E106,INDIRECT("tri!"&amp; CHAR(64+ C0Col) &amp;":"&amp; CHAR(65+C0Col)),2,FALSE)&gt;COUNTIF($E106:M106,"u")+COUNTIF($E106:M106,"t")+COUNTIF($E106:M106,"¶")+COUNTIF($E106:M106,"²")+COUNTIF($E106:M106,"µ")+COUNTIF($E106:M106,1)),
HYPERLINK("#Roadmap!C"&amp; MATCH($E106,Roadmap!$D:$D,0)+COUNTIF($E106:M106,"u")+COUNTIF($E106:M106,"t"),
     INDEX(Roadmap!$D:$K,MATCH($E106,Roadmap!$D:$D,0)+COUNTIF($E106:M106,"u")+COUNTIF($E106:M106,"t")+COUNTIF($E106:M106,"¶")+COUNTIF($E106:M106,"²")+COUNTIF($E106:M106,"µ")+COUNTIF($E106:M106,1),ColTypeEcheance)),
  IF(LEN(M106)=1,
  IF(LEN(INDEX(Roadmap!$D:$K,MATCH($E106,Roadmap!$D:$D,0)-1+COUNTIF($E106:M106,"u")+COUNTIF($E106:M106,"t")+COUNTIF($E106:M106,"¶")+COUNTIF($E106:M106,"²")+COUNTIF($E106:M106,"µ")+COUNTIF($E106:M106,1),ColDescriptionCourte))&gt;1,
HYPERLINK("#Roadmap!C"&amp; MATCH($E106,Roadmap!$D:$D,0)+COUNTIF($E106:M106,"u")+COUNTIF($E106:M106,"t")+COUNTIF($E106:M106,"¶")+COUNTIF($E106:M106,"²")+COUNTIF($E106:M106,"µ")+COUNTIF($E106:M106,1)-1,INDEX(Roadmap!$D:$K,MATCH($E106,Roadmap!$D:$D,0)-1+COUNTIF($E106:M106,"u")+COUNTIF($E106:M106,"t")+COUNTIF($E106:M106,"¶")+COUNTIF($E106:M106,"²")+COUNTIF($E106:M106,"µ")+COUNTIF($E106:M106,1),ColDescriptionCourte)),""),
  "")),"")</f>
        <v/>
      </c>
      <c r="O106" s="40" t="str">
        <f ca="1">IFERROR(IF(AND(
  INDEX(Roadmap!$D:$K,MATCH($E106,Roadmap!$D:$D,0)+COUNTIF($E106:N106,"u")+COUNTIF($E106:N106,"t")+COUNTIF($E106:N106,"¶")+COUNTIF($E106:N106,"²")+COUNTIF($E106:N106,"µ")+COUNTIF($E106:N106,1),ColLivraison)=O$6,
  VLOOKUP($E106,INDIRECT("tri!"&amp; CHAR(64+ C0Col) &amp;":"&amp; CHAR(65+C0Col)),2,FALSE)&gt;COUNTIF($E106:N106,"u")+COUNTIF($E106:N106,"t")+COUNTIF($E106:N106,"¶")+COUNTIF($E106:N106,"²")+COUNTIF($E106:N106,"µ")+COUNTIF($E106:N106,1)),
HYPERLINK("#Roadmap!C"&amp; MATCH($E106,Roadmap!$D:$D,0)+COUNTIF($E106:N106,"u")+COUNTIF($E106:N106,"t"),
     INDEX(Roadmap!$D:$K,MATCH($E106,Roadmap!$D:$D,0)+COUNTIF($E106:N106,"u")+COUNTIF($E106:N106,"t")+COUNTIF($E106:N106,"¶")+COUNTIF($E106:N106,"²")+COUNTIF($E106:N106,"µ")+COUNTIF($E106:N106,1),ColTypeEcheance)),
  IF(LEN(N106)=1,
  IF(LEN(INDEX(Roadmap!$D:$K,MATCH($E106,Roadmap!$D:$D,0)-1+COUNTIF($E106:N106,"u")+COUNTIF($E106:N106,"t")+COUNTIF($E106:N106,"¶")+COUNTIF($E106:N106,"²")+COUNTIF($E106:N106,"µ")+COUNTIF($E106:N106,1),ColDescriptionCourte))&gt;1,
HYPERLINK("#Roadmap!C"&amp; MATCH($E106,Roadmap!$D:$D,0)+COUNTIF($E106:N106,"u")+COUNTIF($E106:N106,"t")+COUNTIF($E106:N106,"¶")+COUNTIF($E106:N106,"²")+COUNTIF($E106:N106,"µ")+COUNTIF($E106:N106,1)-1,INDEX(Roadmap!$D:$K,MATCH($E106,Roadmap!$D:$D,0)-1+COUNTIF($E106:N106,"u")+COUNTIF($E106:N106,"t")+COUNTIF($E106:N106,"¶")+COUNTIF($E106:N106,"²")+COUNTIF($E106:N106,"µ")+COUNTIF($E106:N106,1),ColDescriptionCourte)),""),
  "")),"")</f>
        <v/>
      </c>
      <c r="P106" s="40" t="str">
        <f ca="1">IFERROR(IF(AND(
  INDEX(Roadmap!$D:$K,MATCH($E106,Roadmap!$D:$D,0)+COUNTIF($E106:O106,"u")+COUNTIF($E106:O106,"t")+COUNTIF($E106:O106,"¶")+COUNTIF($E106:O106,"²")+COUNTIF($E106:O106,"µ")+COUNTIF($E106:O106,1),ColLivraison)=P$6,
  VLOOKUP($E106,INDIRECT("tri!"&amp; CHAR(64+ C0Col) &amp;":"&amp; CHAR(65+C0Col)),2,FALSE)&gt;COUNTIF($E106:O106,"u")+COUNTIF($E106:O106,"t")+COUNTIF($E106:O106,"¶")+COUNTIF($E106:O106,"²")+COUNTIF($E106:O106,"µ")+COUNTIF($E106:O106,1)),
HYPERLINK("#Roadmap!C"&amp; MATCH($E106,Roadmap!$D:$D,0)+COUNTIF($E106:O106,"u")+COUNTIF($E106:O106,"t"),
     INDEX(Roadmap!$D:$K,MATCH($E106,Roadmap!$D:$D,0)+COUNTIF($E106:O106,"u")+COUNTIF($E106:O106,"t")+COUNTIF($E106:O106,"¶")+COUNTIF($E106:O106,"²")+COUNTIF($E106:O106,"µ")+COUNTIF($E106:O106,1),ColTypeEcheance)),
  IF(LEN(O106)=1,
  IF(LEN(INDEX(Roadmap!$D:$K,MATCH($E106,Roadmap!$D:$D,0)-1+COUNTIF($E106:O106,"u")+COUNTIF($E106:O106,"t")+COUNTIF($E106:O106,"¶")+COUNTIF($E106:O106,"²")+COUNTIF($E106:O106,"µ")+COUNTIF($E106:O106,1),ColDescriptionCourte))&gt;1,
HYPERLINK("#Roadmap!C"&amp; MATCH($E106,Roadmap!$D:$D,0)+COUNTIF($E106:O106,"u")+COUNTIF($E106:O106,"t")+COUNTIF($E106:O106,"¶")+COUNTIF($E106:O106,"²")+COUNTIF($E106:O106,"µ")+COUNTIF($E106:O106,1)-1,INDEX(Roadmap!$D:$K,MATCH($E106,Roadmap!$D:$D,0)-1+COUNTIF($E106:O106,"u")+COUNTIF($E106:O106,"t")+COUNTIF($E106:O106,"¶")+COUNTIF($E106:O106,"²")+COUNTIF($E106:O106,"µ")+COUNTIF($E106:O106,1),ColDescriptionCourte)),""),
  "")),"")</f>
        <v/>
      </c>
      <c r="Q106" s="40" t="str">
        <f ca="1">IFERROR(IF(AND(
  INDEX(Roadmap!$D:$K,MATCH($E106,Roadmap!$D:$D,0)+COUNTIF($E106:P106,"u")+COUNTIF($E106:P106,"t")+COUNTIF($E106:P106,"¶")+COUNTIF($E106:P106,"²")+COUNTIF($E106:P106,"µ")+COUNTIF($E106:P106,1),ColLivraison)=Q$6,
  VLOOKUP($E106,INDIRECT("tri!"&amp; CHAR(64+ C0Col) &amp;":"&amp; CHAR(65+C0Col)),2,FALSE)&gt;COUNTIF($E106:P106,"u")+COUNTIF($E106:P106,"t")+COUNTIF($E106:P106,"¶")+COUNTIF($E106:P106,"²")+COUNTIF($E106:P106,"µ")+COUNTIF($E106:P106,1)),
HYPERLINK("#Roadmap!C"&amp; MATCH($E106,Roadmap!$D:$D,0)+COUNTIF($E106:P106,"u")+COUNTIF($E106:P106,"t"),
     INDEX(Roadmap!$D:$K,MATCH($E106,Roadmap!$D:$D,0)+COUNTIF($E106:P106,"u")+COUNTIF($E106:P106,"t")+COUNTIF($E106:P106,"¶")+COUNTIF($E106:P106,"²")+COUNTIF($E106:P106,"µ")+COUNTIF($E106:P106,1),ColTypeEcheance)),
  IF(LEN(P106)=1,
  IF(LEN(INDEX(Roadmap!$D:$K,MATCH($E106,Roadmap!$D:$D,0)-1+COUNTIF($E106:P106,"u")+COUNTIF($E106:P106,"t")+COUNTIF($E106:P106,"¶")+COUNTIF($E106:P106,"²")+COUNTIF($E106:P106,"µ")+COUNTIF($E106:P106,1),ColDescriptionCourte))&gt;1,
HYPERLINK("#Roadmap!C"&amp; MATCH($E106,Roadmap!$D:$D,0)+COUNTIF($E106:P106,"u")+COUNTIF($E106:P106,"t")+COUNTIF($E106:P106,"¶")+COUNTIF($E106:P106,"²")+COUNTIF($E106:P106,"µ")+COUNTIF($E106:P106,1)-1,INDEX(Roadmap!$D:$K,MATCH($E106,Roadmap!$D:$D,0)-1+COUNTIF($E106:P106,"u")+COUNTIF($E106:P106,"t")+COUNTIF($E106:P106,"¶")+COUNTIF($E106:P106,"²")+COUNTIF($E106:P106,"µ")+COUNTIF($E106:P106,1),ColDescriptionCourte)),""),
  "")),"")</f>
        <v/>
      </c>
      <c r="R106" s="40" t="str">
        <f ca="1">IFERROR(IF(AND(
  INDEX(Roadmap!$D:$K,MATCH($E106,Roadmap!$D:$D,0)+COUNTIF($E106:Q106,"u")+COUNTIF($E106:Q106,"t")+COUNTIF($E106:Q106,"¶")+COUNTIF($E106:Q106,"²")+COUNTIF($E106:Q106,"µ")+COUNTIF($E106:Q106,1),ColLivraison)=R$6,
  VLOOKUP($E106,INDIRECT("tri!"&amp; CHAR(64+ C0Col) &amp;":"&amp; CHAR(65+C0Col)),2,FALSE)&gt;COUNTIF($E106:Q106,"u")+COUNTIF($E106:Q106,"t")+COUNTIF($E106:Q106,"¶")+COUNTIF($E106:Q106,"²")+COUNTIF($E106:Q106,"µ")+COUNTIF($E106:Q106,1)),
HYPERLINK("#Roadmap!C"&amp; MATCH($E106,Roadmap!$D:$D,0)+COUNTIF($E106:Q106,"u")+COUNTIF($E106:Q106,"t"),
     INDEX(Roadmap!$D:$K,MATCH($E106,Roadmap!$D:$D,0)+COUNTIF($E106:Q106,"u")+COUNTIF($E106:Q106,"t")+COUNTIF($E106:Q106,"¶")+COUNTIF($E106:Q106,"²")+COUNTIF($E106:Q106,"µ")+COUNTIF($E106:Q106,1),ColTypeEcheance)),
  IF(LEN(Q106)=1,
  IF(LEN(INDEX(Roadmap!$D:$K,MATCH($E106,Roadmap!$D:$D,0)-1+COUNTIF($E106:Q106,"u")+COUNTIF($E106:Q106,"t")+COUNTIF($E106:Q106,"¶")+COUNTIF($E106:Q106,"²")+COUNTIF($E106:Q106,"µ")+COUNTIF($E106:Q106,1),ColDescriptionCourte))&gt;1,
HYPERLINK("#Roadmap!C"&amp; MATCH($E106,Roadmap!$D:$D,0)+COUNTIF($E106:Q106,"u")+COUNTIF($E106:Q106,"t")+COUNTIF($E106:Q106,"¶")+COUNTIF($E106:Q106,"²")+COUNTIF($E106:Q106,"µ")+COUNTIF($E106:Q106,1)-1,INDEX(Roadmap!$D:$K,MATCH($E106,Roadmap!$D:$D,0)-1+COUNTIF($E106:Q106,"u")+COUNTIF($E106:Q106,"t")+COUNTIF($E106:Q106,"¶")+COUNTIF($E106:Q106,"²")+COUNTIF($E106:Q106,"µ")+COUNTIF($E106:Q106,1),ColDescriptionCourte)),""),
  "")),"")</f>
        <v/>
      </c>
      <c r="S106" s="40" t="str">
        <f ca="1">IFERROR(IF(AND(
  INDEX(Roadmap!$D:$K,MATCH($E106,Roadmap!$D:$D,0)+COUNTIF($E106:R106,"u")+COUNTIF($E106:R106,"t")+COUNTIF($E106:R106,"¶")+COUNTIF($E106:R106,"²")+COUNTIF($E106:R106,"µ")+COUNTIF($E106:R106,1),ColLivraison)=S$6,
  VLOOKUP($E106,INDIRECT("tri!"&amp; CHAR(64+ C0Col) &amp;":"&amp; CHAR(65+C0Col)),2,FALSE)&gt;COUNTIF($E106:R106,"u")+COUNTIF($E106:R106,"t")+COUNTIF($E106:R106,"¶")+COUNTIF($E106:R106,"²")+COUNTIF($E106:R106,"µ")+COUNTIF($E106:R106,1)),
HYPERLINK("#Roadmap!C"&amp; MATCH($E106,Roadmap!$D:$D,0)+COUNTIF($E106:R106,"u")+COUNTIF($E106:R106,"t"),
     INDEX(Roadmap!$D:$K,MATCH($E106,Roadmap!$D:$D,0)+COUNTIF($E106:R106,"u")+COUNTIF($E106:R106,"t")+COUNTIF($E106:R106,"¶")+COUNTIF($E106:R106,"²")+COUNTIF($E106:R106,"µ")+COUNTIF($E106:R106,1),ColTypeEcheance)),
  IF(LEN(R106)=1,
  IF(LEN(INDEX(Roadmap!$D:$K,MATCH($E106,Roadmap!$D:$D,0)-1+COUNTIF($E106:R106,"u")+COUNTIF($E106:R106,"t")+COUNTIF($E106:R106,"¶")+COUNTIF($E106:R106,"²")+COUNTIF($E106:R106,"µ")+COUNTIF($E106:R106,1),ColDescriptionCourte))&gt;1,
HYPERLINK("#Roadmap!C"&amp; MATCH($E106,Roadmap!$D:$D,0)+COUNTIF($E106:R106,"u")+COUNTIF($E106:R106,"t")+COUNTIF($E106:R106,"¶")+COUNTIF($E106:R106,"²")+COUNTIF($E106:R106,"µ")+COUNTIF($E106:R106,1)-1,INDEX(Roadmap!$D:$K,MATCH($E106,Roadmap!$D:$D,0)-1+COUNTIF($E106:R106,"u")+COUNTIF($E106:R106,"t")+COUNTIF($E106:R106,"¶")+COUNTIF($E106:R106,"²")+COUNTIF($E106:R106,"µ")+COUNTIF($E106:R106,1),ColDescriptionCourte)),""),
  "")),"")</f>
        <v/>
      </c>
      <c r="T106" s="40" t="str">
        <f ca="1">IFERROR(IF(AND(
  INDEX(Roadmap!$D:$K,MATCH($E106,Roadmap!$D:$D,0)+COUNTIF($E106:S106,"u")+COUNTIF($E106:S106,"t")+COUNTIF($E106:S106,"¶")+COUNTIF($E106:S106,"²")+COUNTIF($E106:S106,"µ")+COUNTIF($E106:S106,1),ColLivraison)=T$6,
  VLOOKUP($E106,INDIRECT("tri!"&amp; CHAR(64+ C0Col) &amp;":"&amp; CHAR(65+C0Col)),2,FALSE)&gt;COUNTIF($E106:S106,"u")+COUNTIF($E106:S106,"t")+COUNTIF($E106:S106,"¶")+COUNTIF($E106:S106,"²")+COUNTIF($E106:S106,"µ")+COUNTIF($E106:S106,1)),
HYPERLINK("#Roadmap!C"&amp; MATCH($E106,Roadmap!$D:$D,0)+COUNTIF($E106:S106,"u")+COUNTIF($E106:S106,"t"),
     INDEX(Roadmap!$D:$K,MATCH($E106,Roadmap!$D:$D,0)+COUNTIF($E106:S106,"u")+COUNTIF($E106:S106,"t")+COUNTIF($E106:S106,"¶")+COUNTIF($E106:S106,"²")+COUNTIF($E106:S106,"µ")+COUNTIF($E106:S106,1),ColTypeEcheance)),
  IF(LEN(S106)=1,
  IF(LEN(INDEX(Roadmap!$D:$K,MATCH($E106,Roadmap!$D:$D,0)-1+COUNTIF($E106:S106,"u")+COUNTIF($E106:S106,"t")+COUNTIF($E106:S106,"¶")+COUNTIF($E106:S106,"²")+COUNTIF($E106:S106,"µ")+COUNTIF($E106:S106,1),ColDescriptionCourte))&gt;1,
HYPERLINK("#Roadmap!C"&amp; MATCH($E106,Roadmap!$D:$D,0)+COUNTIF($E106:S106,"u")+COUNTIF($E106:S106,"t")+COUNTIF($E106:S106,"¶")+COUNTIF($E106:S106,"²")+COUNTIF($E106:S106,"µ")+COUNTIF($E106:S106,1)-1,INDEX(Roadmap!$D:$K,MATCH($E106,Roadmap!$D:$D,0)-1+COUNTIF($E106:S106,"u")+COUNTIF($E106:S106,"t")+COUNTIF($E106:S106,"¶")+COUNTIF($E106:S106,"²")+COUNTIF($E106:S106,"µ")+COUNTIF($E106:S106,1),ColDescriptionCourte)),""),
  "")),"")</f>
        <v/>
      </c>
      <c r="U106" s="40" t="str">
        <f ca="1">IFERROR(IF(AND(
  INDEX(Roadmap!$D:$K,MATCH($E106,Roadmap!$D:$D,0)+COUNTIF($E106:T106,"u")+COUNTIF($E106:T106,"t")+COUNTIF($E106:T106,"¶")+COUNTIF($E106:T106,"²")+COUNTIF($E106:T106,"µ")+COUNTIF($E106:T106,1),ColLivraison)=U$6,
  VLOOKUP($E106,INDIRECT("tri!"&amp; CHAR(64+ C0Col) &amp;":"&amp; CHAR(65+C0Col)),2,FALSE)&gt;COUNTIF($E106:T106,"u")+COUNTIF($E106:T106,"t")+COUNTIF($E106:T106,"¶")+COUNTIF($E106:T106,"²")+COUNTIF($E106:T106,"µ")+COUNTIF($E106:T106,1)),
HYPERLINK("#Roadmap!C"&amp; MATCH($E106,Roadmap!$D:$D,0)+COUNTIF($E106:T106,"u")+COUNTIF($E106:T106,"t"),
     INDEX(Roadmap!$D:$K,MATCH($E106,Roadmap!$D:$D,0)+COUNTIF($E106:T106,"u")+COUNTIF($E106:T106,"t")+COUNTIF($E106:T106,"¶")+COUNTIF($E106:T106,"²")+COUNTIF($E106:T106,"µ")+COUNTIF($E106:T106,1),ColTypeEcheance)),
  IF(LEN(T106)=1,
  IF(LEN(INDEX(Roadmap!$D:$K,MATCH($E106,Roadmap!$D:$D,0)-1+COUNTIF($E106:T106,"u")+COUNTIF($E106:T106,"t")+COUNTIF($E106:T106,"¶")+COUNTIF($E106:T106,"²")+COUNTIF($E106:T106,"µ")+COUNTIF($E106:T106,1),ColDescriptionCourte))&gt;1,
HYPERLINK("#Roadmap!C"&amp; MATCH($E106,Roadmap!$D:$D,0)+COUNTIF($E106:T106,"u")+COUNTIF($E106:T106,"t")+COUNTIF($E106:T106,"¶")+COUNTIF($E106:T106,"²")+COUNTIF($E106:T106,"µ")+COUNTIF($E106:T106,1)-1,INDEX(Roadmap!$D:$K,MATCH($E106,Roadmap!$D:$D,0)-1+COUNTIF($E106:T106,"u")+COUNTIF($E106:T106,"t")+COUNTIF($E106:T106,"¶")+COUNTIF($E106:T106,"²")+COUNTIF($E106:T106,"µ")+COUNTIF($E106:T106,1),ColDescriptionCourte)),""),
  "")),"")</f>
        <v/>
      </c>
      <c r="V106" s="40" t="str">
        <f ca="1">IFERROR(IF(AND(
  INDEX(Roadmap!$D:$K,MATCH($E106,Roadmap!$D:$D,0)+COUNTIF($E106:U106,"u")+COUNTIF($E106:U106,"t")+COUNTIF($E106:U106,"¶")+COUNTIF($E106:U106,"²")+COUNTIF($E106:U106,"µ")+COUNTIF($E106:U106,1),ColLivraison)=V$6,
  VLOOKUP($E106,INDIRECT("tri!"&amp; CHAR(64+ C0Col) &amp;":"&amp; CHAR(65+C0Col)),2,FALSE)&gt;COUNTIF($E106:U106,"u")+COUNTIF($E106:U106,"t")+COUNTIF($E106:U106,"¶")+COUNTIF($E106:U106,"²")+COUNTIF($E106:U106,"µ")+COUNTIF($E106:U106,1)),
HYPERLINK("#Roadmap!C"&amp; MATCH($E106,Roadmap!$D:$D,0)+COUNTIF($E106:U106,"u")+COUNTIF($E106:U106,"t"),
     INDEX(Roadmap!$D:$K,MATCH($E106,Roadmap!$D:$D,0)+COUNTIF($E106:U106,"u")+COUNTIF($E106:U106,"t")+COUNTIF($E106:U106,"¶")+COUNTIF($E106:U106,"²")+COUNTIF($E106:U106,"µ")+COUNTIF($E106:U106,1),ColTypeEcheance)),
  IF(LEN(U106)=1,
  IF(LEN(INDEX(Roadmap!$D:$K,MATCH($E106,Roadmap!$D:$D,0)-1+COUNTIF($E106:U106,"u")+COUNTIF($E106:U106,"t")+COUNTIF($E106:U106,"¶")+COUNTIF($E106:U106,"²")+COUNTIF($E106:U106,"µ")+COUNTIF($E106:U106,1),ColDescriptionCourte))&gt;1,
HYPERLINK("#Roadmap!C"&amp; MATCH($E106,Roadmap!$D:$D,0)+COUNTIF($E106:U106,"u")+COUNTIF($E106:U106,"t")+COUNTIF($E106:U106,"¶")+COUNTIF($E106:U106,"²")+COUNTIF($E106:U106,"µ")+COUNTIF($E106:U106,1)-1,INDEX(Roadmap!$D:$K,MATCH($E106,Roadmap!$D:$D,0)-1+COUNTIF($E106:U106,"u")+COUNTIF($E106:U106,"t")+COUNTIF($E106:U106,"¶")+COUNTIF($E106:U106,"²")+COUNTIF($E106:U106,"µ")+COUNTIF($E106:U106,1),ColDescriptionCourte)),""),
  "")),"")</f>
        <v/>
      </c>
      <c r="W106" s="40" t="str">
        <f ca="1">IFERROR(IF(AND(
  INDEX(Roadmap!$D:$K,MATCH($E106,Roadmap!$D:$D,0)+COUNTIF($E106:V106,"u")+COUNTIF($E106:V106,"t")+COUNTIF($E106:V106,"¶")+COUNTIF($E106:V106,"²")+COUNTIF($E106:V106,"µ")+COUNTIF($E106:V106,1),ColLivraison)=W$6,
  VLOOKUP($E106,INDIRECT("tri!"&amp; CHAR(64+ C0Col) &amp;":"&amp; CHAR(65+C0Col)),2,FALSE)&gt;COUNTIF($E106:V106,"u")+COUNTIF($E106:V106,"t")+COUNTIF($E106:V106,"¶")+COUNTIF($E106:V106,"²")+COUNTIF($E106:V106,"µ")+COUNTIF($E106:V106,1)),
HYPERLINK("#Roadmap!C"&amp; MATCH($E106,Roadmap!$D:$D,0)+COUNTIF($E106:V106,"u")+COUNTIF($E106:V106,"t"),
     INDEX(Roadmap!$D:$K,MATCH($E106,Roadmap!$D:$D,0)+COUNTIF($E106:V106,"u")+COUNTIF($E106:V106,"t")+COUNTIF($E106:V106,"¶")+COUNTIF($E106:V106,"²")+COUNTIF($E106:V106,"µ")+COUNTIF($E106:V106,1),ColTypeEcheance)),
  IF(LEN(V106)=1,
  IF(LEN(INDEX(Roadmap!$D:$K,MATCH($E106,Roadmap!$D:$D,0)-1+COUNTIF($E106:V106,"u")+COUNTIF($E106:V106,"t")+COUNTIF($E106:V106,"¶")+COUNTIF($E106:V106,"²")+COUNTIF($E106:V106,"µ")+COUNTIF($E106:V106,1),ColDescriptionCourte))&gt;1,
HYPERLINK("#Roadmap!C"&amp; MATCH($E106,Roadmap!$D:$D,0)+COUNTIF($E106:V106,"u")+COUNTIF($E106:V106,"t")+COUNTIF($E106:V106,"¶")+COUNTIF($E106:V106,"²")+COUNTIF($E106:V106,"µ")+COUNTIF($E106:V106,1)-1,INDEX(Roadmap!$D:$K,MATCH($E106,Roadmap!$D:$D,0)-1+COUNTIF($E106:V106,"u")+COUNTIF($E106:V106,"t")+COUNTIF($E106:V106,"¶")+COUNTIF($E106:V106,"²")+COUNTIF($E106:V106,"µ")+COUNTIF($E106:V106,1),ColDescriptionCourte)),""),
  "")),"")</f>
        <v/>
      </c>
      <c r="X106" s="40" t="str">
        <f ca="1">IFERROR(IF(AND(
  INDEX(Roadmap!$D:$K,MATCH($E106,Roadmap!$D:$D,0)+COUNTIF($E106:W106,"u")+COUNTIF($E106:W106,"t")+COUNTIF($E106:W106,"¶")+COUNTIF($E106:W106,"²")+COUNTIF($E106:W106,"µ")+COUNTIF($E106:W106,1),ColLivraison)=X$6,
  VLOOKUP($E106,INDIRECT("tri!"&amp; CHAR(64+ C0Col) &amp;":"&amp; CHAR(65+C0Col)),2,FALSE)&gt;COUNTIF($E106:W106,"u")+COUNTIF($E106:W106,"t")+COUNTIF($E106:W106,"¶")+COUNTIF($E106:W106,"²")+COUNTIF($E106:W106,"µ")+COUNTIF($E106:W106,1)),
HYPERLINK("#Roadmap!C"&amp; MATCH($E106,Roadmap!$D:$D,0)+COUNTIF($E106:W106,"u")+COUNTIF($E106:W106,"t"),
     INDEX(Roadmap!$D:$K,MATCH($E106,Roadmap!$D:$D,0)+COUNTIF($E106:W106,"u")+COUNTIF($E106:W106,"t")+COUNTIF($E106:W106,"¶")+COUNTIF($E106:W106,"²")+COUNTIF($E106:W106,"µ")+COUNTIF($E106:W106,1),ColTypeEcheance)),
  IF(LEN(W106)=1,
  IF(LEN(INDEX(Roadmap!$D:$K,MATCH($E106,Roadmap!$D:$D,0)-1+COUNTIF($E106:W106,"u")+COUNTIF($E106:W106,"t")+COUNTIF($E106:W106,"¶")+COUNTIF($E106:W106,"²")+COUNTIF($E106:W106,"µ")+COUNTIF($E106:W106,1),ColDescriptionCourte))&gt;1,
HYPERLINK("#Roadmap!C"&amp; MATCH($E106,Roadmap!$D:$D,0)+COUNTIF($E106:W106,"u")+COUNTIF($E106:W106,"t")+COUNTIF($E106:W106,"¶")+COUNTIF($E106:W106,"²")+COUNTIF($E106:W106,"µ")+COUNTIF($E106:W106,1)-1,INDEX(Roadmap!$D:$K,MATCH($E106,Roadmap!$D:$D,0)-1+COUNTIF($E106:W106,"u")+COUNTIF($E106:W106,"t")+COUNTIF($E106:W106,"¶")+COUNTIF($E106:W106,"²")+COUNTIF($E106:W106,"µ")+COUNTIF($E106:W106,1),ColDescriptionCourte)),""),
  "")),"")</f>
        <v/>
      </c>
      <c r="Y106" s="40" t="str">
        <f ca="1">IFERROR(IF(AND(
  INDEX(Roadmap!$D:$K,MATCH($E106,Roadmap!$D:$D,0)+COUNTIF($E106:X106,"u")+COUNTIF($E106:X106,"t")+COUNTIF($E106:X106,"¶")+COUNTIF($E106:X106,"²")+COUNTIF($E106:X106,"µ")+COUNTIF($E106:X106,1),ColLivraison)=Y$6,
  VLOOKUP($E106,INDIRECT("tri!"&amp; CHAR(64+ C0Col) &amp;":"&amp; CHAR(65+C0Col)),2,FALSE)&gt;COUNTIF($E106:X106,"u")+COUNTIF($E106:X106,"t")+COUNTIF($E106:X106,"¶")+COUNTIF($E106:X106,"²")+COUNTIF($E106:X106,"µ")+COUNTIF($E106:X106,1)),
HYPERLINK("#Roadmap!C"&amp; MATCH($E106,Roadmap!$D:$D,0)+COUNTIF($E106:X106,"u")+COUNTIF($E106:X106,"t"),
     INDEX(Roadmap!$D:$K,MATCH($E106,Roadmap!$D:$D,0)+COUNTIF($E106:X106,"u")+COUNTIF($E106:X106,"t")+COUNTIF($E106:X106,"¶")+COUNTIF($E106:X106,"²")+COUNTIF($E106:X106,"µ")+COUNTIF($E106:X106,1),ColTypeEcheance)),
  IF(LEN(X106)=1,
  IF(LEN(INDEX(Roadmap!$D:$K,MATCH($E106,Roadmap!$D:$D,0)-1+COUNTIF($E106:X106,"u")+COUNTIF($E106:X106,"t")+COUNTIF($E106:X106,"¶")+COUNTIF($E106:X106,"²")+COUNTIF($E106:X106,"µ")+COUNTIF($E106:X106,1),ColDescriptionCourte))&gt;1,
HYPERLINK("#Roadmap!C"&amp; MATCH($E106,Roadmap!$D:$D,0)+COUNTIF($E106:X106,"u")+COUNTIF($E106:X106,"t")+COUNTIF($E106:X106,"¶")+COUNTIF($E106:X106,"²")+COUNTIF($E106:X106,"µ")+COUNTIF($E106:X106,1)-1,INDEX(Roadmap!$D:$K,MATCH($E106,Roadmap!$D:$D,0)-1+COUNTIF($E106:X106,"u")+COUNTIF($E106:X106,"t")+COUNTIF($E106:X106,"¶")+COUNTIF($E106:X106,"²")+COUNTIF($E106:X106,"µ")+COUNTIF($E106:X106,1),ColDescriptionCourte)),""),
  "")),"")</f>
        <v/>
      </c>
      <c r="Z106" s="40" t="str">
        <f ca="1">IFERROR(IF(AND(
  INDEX(Roadmap!$D:$K,MATCH($E106,Roadmap!$D:$D,0)+COUNTIF($E106:Y106,"u")+COUNTIF($E106:Y106,"t")+COUNTIF($E106:Y106,"¶")+COUNTIF($E106:Y106,"²")+COUNTIF($E106:Y106,"µ")+COUNTIF($E106:Y106,1),ColLivraison)=Z$6,
  VLOOKUP($E106,INDIRECT("tri!"&amp; CHAR(64+ C0Col) &amp;":"&amp; CHAR(65+C0Col)),2,FALSE)&gt;COUNTIF($E106:Y106,"u")+COUNTIF($E106:Y106,"t")+COUNTIF($E106:Y106,"¶")+COUNTIF($E106:Y106,"²")+COUNTIF($E106:Y106,"µ")+COUNTIF($E106:Y106,1)),
HYPERLINK("#Roadmap!C"&amp; MATCH($E106,Roadmap!$D:$D,0)+COUNTIF($E106:Y106,"u")+COUNTIF($E106:Y106,"t"),
     INDEX(Roadmap!$D:$K,MATCH($E106,Roadmap!$D:$D,0)+COUNTIF($E106:Y106,"u")+COUNTIF($E106:Y106,"t")+COUNTIF($E106:Y106,"¶")+COUNTIF($E106:Y106,"²")+COUNTIF($E106:Y106,"µ")+COUNTIF($E106:Y106,1),ColTypeEcheance)),
  IF(LEN(Y106)=1,
  IF(LEN(INDEX(Roadmap!$D:$K,MATCH($E106,Roadmap!$D:$D,0)-1+COUNTIF($E106:Y106,"u")+COUNTIF($E106:Y106,"t")+COUNTIF($E106:Y106,"¶")+COUNTIF($E106:Y106,"²")+COUNTIF($E106:Y106,"µ")+COUNTIF($E106:Y106,1),ColDescriptionCourte))&gt;1,
HYPERLINK("#Roadmap!C"&amp; MATCH($E106,Roadmap!$D:$D,0)+COUNTIF($E106:Y106,"u")+COUNTIF($E106:Y106,"t")+COUNTIF($E106:Y106,"¶")+COUNTIF($E106:Y106,"²")+COUNTIF($E106:Y106,"µ")+COUNTIF($E106:Y106,1)-1,INDEX(Roadmap!$D:$K,MATCH($E106,Roadmap!$D:$D,0)-1+COUNTIF($E106:Y106,"u")+COUNTIF($E106:Y106,"t")+COUNTIF($E106:Y106,"¶")+COUNTIF($E106:Y106,"²")+COUNTIF($E106:Y106,"µ")+COUNTIF($E106:Y106,1),ColDescriptionCourte)),""),
  "")),"")</f>
        <v/>
      </c>
      <c r="AA106" s="40" t="str">
        <f ca="1">IFERROR(IF(AND(
  INDEX(Roadmap!$D:$K,MATCH($E106,Roadmap!$D:$D,0)+COUNTIF($E106:Z106,"u")+COUNTIF($E106:Z106,"t")+COUNTIF($E106:Z106,"¶")+COUNTIF($E106:Z106,"²")+COUNTIF($E106:Z106,"µ")+COUNTIF($E106:Z106,1),ColLivraison)=AA$6,
  VLOOKUP($E106,INDIRECT("tri!"&amp; CHAR(64+ C0Col) &amp;":"&amp; CHAR(65+C0Col)),2,FALSE)&gt;COUNTIF($E106:Z106,"u")+COUNTIF($E106:Z106,"t")+COUNTIF($E106:Z106,"¶")+COUNTIF($E106:Z106,"²")+COUNTIF($E106:Z106,"µ")+COUNTIF($E106:Z106,1)),
HYPERLINK("#Roadmap!C"&amp; MATCH($E106,Roadmap!$D:$D,0)+COUNTIF($E106:Z106,"u")+COUNTIF($E106:Z106,"t"),
     INDEX(Roadmap!$D:$K,MATCH($E106,Roadmap!$D:$D,0)+COUNTIF($E106:Z106,"u")+COUNTIF($E106:Z106,"t")+COUNTIF($E106:Z106,"¶")+COUNTIF($E106:Z106,"²")+COUNTIF($E106:Z106,"µ")+COUNTIF($E106:Z106,1),ColTypeEcheance)),
  IF(LEN(Z106)=1,
  IF(LEN(INDEX(Roadmap!$D:$K,MATCH($E106,Roadmap!$D:$D,0)-1+COUNTIF($E106:Z106,"u")+COUNTIF($E106:Z106,"t")+COUNTIF($E106:Z106,"¶")+COUNTIF($E106:Z106,"²")+COUNTIF($E106:Z106,"µ")+COUNTIF($E106:Z106,1),ColDescriptionCourte))&gt;1,
HYPERLINK("#Roadmap!C"&amp; MATCH($E106,Roadmap!$D:$D,0)+COUNTIF($E106:Z106,"u")+COUNTIF($E106:Z106,"t")+COUNTIF($E106:Z106,"¶")+COUNTIF($E106:Z106,"²")+COUNTIF($E106:Z106,"µ")+COUNTIF($E106:Z106,1)-1,INDEX(Roadmap!$D:$K,MATCH($E106,Roadmap!$D:$D,0)-1+COUNTIF($E106:Z106,"u")+COUNTIF($E106:Z106,"t")+COUNTIF($E106:Z106,"¶")+COUNTIF($E106:Z106,"²")+COUNTIF($E106:Z106,"µ")+COUNTIF($E106:Z106,1),ColDescriptionCourte)),""),
  "")),"")</f>
        <v/>
      </c>
      <c r="AB106" s="40" t="str">
        <f ca="1">IFERROR(IF(AND(
  INDEX(Roadmap!$D:$K,MATCH($E106,Roadmap!$D:$D,0)+COUNTIF($E106:AA106,"u")+COUNTIF($E106:AA106,"t")+COUNTIF($E106:AA106,"¶")+COUNTIF($E106:AA106,"²")+COUNTIF($E106:AA106,"µ")+COUNTIF($E106:AA106,1),ColLivraison)=AB$6,
  VLOOKUP($E106,INDIRECT("tri!"&amp; CHAR(64+ C0Col) &amp;":"&amp; CHAR(65+C0Col)),2,FALSE)&gt;COUNTIF($E106:AA106,"u")+COUNTIF($E106:AA106,"t")+COUNTIF($E106:AA106,"¶")+COUNTIF($E106:AA106,"²")+COUNTIF($E106:AA106,"µ")+COUNTIF($E106:AA106,1)),
HYPERLINK("#Roadmap!C"&amp; MATCH($E106,Roadmap!$D:$D,0)+COUNTIF($E106:AA106,"u")+COUNTIF($E106:AA106,"t"),
     INDEX(Roadmap!$D:$K,MATCH($E106,Roadmap!$D:$D,0)+COUNTIF($E106:AA106,"u")+COUNTIF($E106:AA106,"t")+COUNTIF($E106:AA106,"¶")+COUNTIF($E106:AA106,"²")+COUNTIF($E106:AA106,"µ")+COUNTIF($E106:AA106,1),ColTypeEcheance)),
  IF(LEN(AA106)=1,
  IF(LEN(INDEX(Roadmap!$D:$K,MATCH($E106,Roadmap!$D:$D,0)-1+COUNTIF($E106:AA106,"u")+COUNTIF($E106:AA106,"t")+COUNTIF($E106:AA106,"¶")+COUNTIF($E106:AA106,"²")+COUNTIF($E106:AA106,"µ")+COUNTIF($E106:AA106,1),ColDescriptionCourte))&gt;1,
HYPERLINK("#Roadmap!C"&amp; MATCH($E106,Roadmap!$D:$D,0)+COUNTIF($E106:AA106,"u")+COUNTIF($E106:AA106,"t")+COUNTIF($E106:AA106,"¶")+COUNTIF($E106:AA106,"²")+COUNTIF($E106:AA106,"µ")+COUNTIF($E106:AA106,1)-1,INDEX(Roadmap!$D:$K,MATCH($E106,Roadmap!$D:$D,0)-1+COUNTIF($E106:AA106,"u")+COUNTIF($E106:AA106,"t")+COUNTIF($E106:AA106,"¶")+COUNTIF($E106:AA106,"²")+COUNTIF($E106:AA106,"µ")+COUNTIF($E106:AA106,1),ColDescriptionCourte)),""),
  "")),"")</f>
        <v/>
      </c>
      <c r="AC106" s="40" t="str">
        <f ca="1">IFERROR(IF(AND(
  INDEX(Roadmap!$D:$K,MATCH($E106,Roadmap!$D:$D,0)+COUNTIF($E106:AB106,"u")+COUNTIF($E106:AB106,"t")+COUNTIF($E106:AB106,"¶")+COUNTIF($E106:AB106,"²")+COUNTIF($E106:AB106,"µ")+COUNTIF($E106:AB106,1),ColLivraison)=AC$6,
  VLOOKUP($E106,INDIRECT("tri!"&amp; CHAR(64+ C0Col) &amp;":"&amp; CHAR(65+C0Col)),2,FALSE)&gt;COUNTIF($E106:AB106,"u")+COUNTIF($E106:AB106,"t")+COUNTIF($E106:AB106,"¶")+COUNTIF($E106:AB106,"²")+COUNTIF($E106:AB106,"µ")+COUNTIF($E106:AB106,1)),
HYPERLINK("#Roadmap!C"&amp; MATCH($E106,Roadmap!$D:$D,0)+COUNTIF($E106:AB106,"u")+COUNTIF($E106:AB106,"t"),
     INDEX(Roadmap!$D:$K,MATCH($E106,Roadmap!$D:$D,0)+COUNTIF($E106:AB106,"u")+COUNTIF($E106:AB106,"t")+COUNTIF($E106:AB106,"¶")+COUNTIF($E106:AB106,"²")+COUNTIF($E106:AB106,"µ")+COUNTIF($E106:AB106,1),ColTypeEcheance)),
  IF(LEN(AB106)=1,
  IF(LEN(INDEX(Roadmap!$D:$K,MATCH($E106,Roadmap!$D:$D,0)-1+COUNTIF($E106:AB106,"u")+COUNTIF($E106:AB106,"t")+COUNTIF($E106:AB106,"¶")+COUNTIF($E106:AB106,"²")+COUNTIF($E106:AB106,"µ")+COUNTIF($E106:AB106,1),ColDescriptionCourte))&gt;1,
HYPERLINK("#Roadmap!C"&amp; MATCH($E106,Roadmap!$D:$D,0)+COUNTIF($E106:AB106,"u")+COUNTIF($E106:AB106,"t")+COUNTIF($E106:AB106,"¶")+COUNTIF($E106:AB106,"²")+COUNTIF($E106:AB106,"µ")+COUNTIF($E106:AB106,1)-1,INDEX(Roadmap!$D:$K,MATCH($E106,Roadmap!$D:$D,0)-1+COUNTIF($E106:AB106,"u")+COUNTIF($E106:AB106,"t")+COUNTIF($E106:AB106,"¶")+COUNTIF($E106:AB106,"²")+COUNTIF($E106:AB106,"µ")+COUNTIF($E106:AB106,1),ColDescriptionCourte)),""),
  "")),"")</f>
        <v/>
      </c>
      <c r="AD106" s="40" t="str">
        <f ca="1">IFERROR(IF(AND(
  INDEX(Roadmap!$D:$K,MATCH($E106,Roadmap!$D:$D,0)+COUNTIF($E106:AC106,"u")+COUNTIF($E106:AC106,"t")+COUNTIF($E106:AC106,"¶")+COUNTIF($E106:AC106,"²")+COUNTIF($E106:AC106,"µ")+COUNTIF($E106:AC106,1),ColLivraison)=AD$6,
  VLOOKUP($E106,INDIRECT("tri!"&amp; CHAR(64+ C0Col) &amp;":"&amp; CHAR(65+C0Col)),2,FALSE)&gt;COUNTIF($E106:AC106,"u")+COUNTIF($E106:AC106,"t")+COUNTIF($E106:AC106,"¶")+COUNTIF($E106:AC106,"²")+COUNTIF($E106:AC106,"µ")+COUNTIF($E106:AC106,1)),
HYPERLINK("#Roadmap!C"&amp; MATCH($E106,Roadmap!$D:$D,0)+COUNTIF($E106:AC106,"u")+COUNTIF($E106:AC106,"t"),
     INDEX(Roadmap!$D:$K,MATCH($E106,Roadmap!$D:$D,0)+COUNTIF($E106:AC106,"u")+COUNTIF($E106:AC106,"t")+COUNTIF($E106:AC106,"¶")+COUNTIF($E106:AC106,"²")+COUNTIF($E106:AC106,"µ")+COUNTIF($E106:AC106,1),ColTypeEcheance)),
  IF(LEN(AC106)=1,
  IF(LEN(INDEX(Roadmap!$D:$K,MATCH($E106,Roadmap!$D:$D,0)-1+COUNTIF($E106:AC106,"u")+COUNTIF($E106:AC106,"t")+COUNTIF($E106:AC106,"¶")+COUNTIF($E106:AC106,"²")+COUNTIF($E106:AC106,"µ")+COUNTIF($E106:AC106,1),ColDescriptionCourte))&gt;1,
HYPERLINK("#Roadmap!C"&amp; MATCH($E106,Roadmap!$D:$D,0)+COUNTIF($E106:AC106,"u")+COUNTIF($E106:AC106,"t")+COUNTIF($E106:AC106,"¶")+COUNTIF($E106:AC106,"²")+COUNTIF($E106:AC106,"µ")+COUNTIF($E106:AC106,1)-1,INDEX(Roadmap!$D:$K,MATCH($E106,Roadmap!$D:$D,0)-1+COUNTIF($E106:AC106,"u")+COUNTIF($E106:AC106,"t")+COUNTIF($E106:AC106,"¶")+COUNTIF($E106:AC106,"²")+COUNTIF($E106:AC106,"µ")+COUNTIF($E106:AC106,1),ColDescriptionCourte)),""),
  "")),"")</f>
        <v/>
      </c>
      <c r="AE106" s="40" t="str">
        <f ca="1">IFERROR(IF(AND(
  INDEX(Roadmap!$D:$K,MATCH($E106,Roadmap!$D:$D,0)+COUNTIF($E106:AD106,"u")+COUNTIF($E106:AD106,"t")+COUNTIF($E106:AD106,"¶")+COUNTIF($E106:AD106,"²")+COUNTIF($E106:AD106,"µ")+COUNTIF($E106:AD106,1),ColLivraison)=AE$6,
  VLOOKUP($E106,INDIRECT("tri!"&amp; CHAR(64+ C0Col) &amp;":"&amp; CHAR(65+C0Col)),2,FALSE)&gt;COUNTIF($E106:AD106,"u")+COUNTIF($E106:AD106,"t")+COUNTIF($E106:AD106,"¶")+COUNTIF($E106:AD106,"²")+COUNTIF($E106:AD106,"µ")+COUNTIF($E106:AD106,1)),
HYPERLINK("#Roadmap!C"&amp; MATCH($E106,Roadmap!$D:$D,0)+COUNTIF($E106:AD106,"u")+COUNTIF($E106:AD106,"t"),
     INDEX(Roadmap!$D:$K,MATCH($E106,Roadmap!$D:$D,0)+COUNTIF($E106:AD106,"u")+COUNTIF($E106:AD106,"t")+COUNTIF($E106:AD106,"¶")+COUNTIF($E106:AD106,"²")+COUNTIF($E106:AD106,"µ")+COUNTIF($E106:AD106,1),ColTypeEcheance)),
  IF(LEN(AD106)=1,
  IF(LEN(INDEX(Roadmap!$D:$K,MATCH($E106,Roadmap!$D:$D,0)-1+COUNTIF($E106:AD106,"u")+COUNTIF($E106:AD106,"t")+COUNTIF($E106:AD106,"¶")+COUNTIF($E106:AD106,"²")+COUNTIF($E106:AD106,"µ")+COUNTIF($E106:AD106,1),ColDescriptionCourte))&gt;1,
HYPERLINK("#Roadmap!C"&amp; MATCH($E106,Roadmap!$D:$D,0)+COUNTIF($E106:AD106,"u")+COUNTIF($E106:AD106,"t")+COUNTIF($E106:AD106,"¶")+COUNTIF($E106:AD106,"²")+COUNTIF($E106:AD106,"µ")+COUNTIF($E106:AD106,1)-1,INDEX(Roadmap!$D:$K,MATCH($E106,Roadmap!$D:$D,0)-1+COUNTIF($E106:AD106,"u")+COUNTIF($E106:AD106,"t")+COUNTIF($E106:AD106,"¶")+COUNTIF($E106:AD106,"²")+COUNTIF($E106:AD106,"µ")+COUNTIF($E106:AD106,1),ColDescriptionCourte)),""),
  "")),"")</f>
        <v/>
      </c>
      <c r="AF106" s="40" t="str">
        <f ca="1">IFERROR(IF(AND(
  INDEX(Roadmap!$D:$K,MATCH($E106,Roadmap!$D:$D,0)+COUNTIF($E106:AE106,"u")+COUNTIF($E106:AE106,"t")+COUNTIF($E106:AE106,"¶")+COUNTIF($E106:AE106,"²")+COUNTIF($E106:AE106,"µ")+COUNTIF($E106:AE106,1),ColLivraison)=AF$6,
  VLOOKUP($E106,INDIRECT("tri!"&amp; CHAR(64+ C0Col) &amp;":"&amp; CHAR(65+C0Col)),2,FALSE)&gt;COUNTIF($E106:AE106,"u")+COUNTIF($E106:AE106,"t")+COUNTIF($E106:AE106,"¶")+COUNTIF($E106:AE106,"²")+COUNTIF($E106:AE106,"µ")+COUNTIF($E106:AE106,1)),
HYPERLINK("#Roadmap!C"&amp; MATCH($E106,Roadmap!$D:$D,0)+COUNTIF($E106:AE106,"u")+COUNTIF($E106:AE106,"t"),
     INDEX(Roadmap!$D:$K,MATCH($E106,Roadmap!$D:$D,0)+COUNTIF($E106:AE106,"u")+COUNTIF($E106:AE106,"t")+COUNTIF($E106:AE106,"¶")+COUNTIF($E106:AE106,"²")+COUNTIF($E106:AE106,"µ")+COUNTIF($E106:AE106,1),ColTypeEcheance)),
  IF(LEN(AE106)=1,
  IF(LEN(INDEX(Roadmap!$D:$K,MATCH($E106,Roadmap!$D:$D,0)-1+COUNTIF($E106:AE106,"u")+COUNTIF($E106:AE106,"t")+COUNTIF($E106:AE106,"¶")+COUNTIF($E106:AE106,"²")+COUNTIF($E106:AE106,"µ")+COUNTIF($E106:AE106,1),ColDescriptionCourte))&gt;1,
HYPERLINK("#Roadmap!C"&amp; MATCH($E106,Roadmap!$D:$D,0)+COUNTIF($E106:AE106,"u")+COUNTIF($E106:AE106,"t")+COUNTIF($E106:AE106,"¶")+COUNTIF($E106:AE106,"²")+COUNTIF($E106:AE106,"µ")+COUNTIF($E106:AE106,1)-1,INDEX(Roadmap!$D:$K,MATCH($E106,Roadmap!$D:$D,0)-1+COUNTIF($E106:AE106,"u")+COUNTIF($E106:AE106,"t")+COUNTIF($E106:AE106,"¶")+COUNTIF($E106:AE106,"²")+COUNTIF($E106:AE106,"µ")+COUNTIF($E106:AE106,1),ColDescriptionCourte)),""),
  "")),"")</f>
        <v/>
      </c>
      <c r="AG106" s="40" t="str">
        <f ca="1">IFERROR(IF(AND(
  INDEX(Roadmap!$D:$K,MATCH($E106,Roadmap!$D:$D,0)+COUNTIF($E106:AF106,"u")+COUNTIF($E106:AF106,"t")+COUNTIF($E106:AF106,"¶")+COUNTIF($E106:AF106,"²")+COUNTIF($E106:AF106,"µ")+COUNTIF($E106:AF106,1),ColLivraison)=AG$6,
  VLOOKUP($E106,INDIRECT("tri!"&amp; CHAR(64+ C0Col) &amp;":"&amp; CHAR(65+C0Col)),2,FALSE)&gt;COUNTIF($E106:AF106,"u")+COUNTIF($E106:AF106,"t")+COUNTIF($E106:AF106,"¶")+COUNTIF($E106:AF106,"²")+COUNTIF($E106:AF106,"µ")+COUNTIF($E106:AF106,1)),
HYPERLINK("#Roadmap!C"&amp; MATCH($E106,Roadmap!$D:$D,0)+COUNTIF($E106:AF106,"u")+COUNTIF($E106:AF106,"t"),
     INDEX(Roadmap!$D:$K,MATCH($E106,Roadmap!$D:$D,0)+COUNTIF($E106:AF106,"u")+COUNTIF($E106:AF106,"t")+COUNTIF($E106:AF106,"¶")+COUNTIF($E106:AF106,"²")+COUNTIF($E106:AF106,"µ")+COUNTIF($E106:AF106,1),ColTypeEcheance)),
  IF(LEN(AF106)=1,
  IF(LEN(INDEX(Roadmap!$D:$K,MATCH($E106,Roadmap!$D:$D,0)-1+COUNTIF($E106:AF106,"u")+COUNTIF($E106:AF106,"t")+COUNTIF($E106:AF106,"¶")+COUNTIF($E106:AF106,"²")+COUNTIF($E106:AF106,"µ")+COUNTIF($E106:AF106,1),ColDescriptionCourte))&gt;1,
HYPERLINK("#Roadmap!C"&amp; MATCH($E106,Roadmap!$D:$D,0)+COUNTIF($E106:AF106,"u")+COUNTIF($E106:AF106,"t")+COUNTIF($E106:AF106,"¶")+COUNTIF($E106:AF106,"²")+COUNTIF($E106:AF106,"µ")+COUNTIF($E106:AF106,1)-1,INDEX(Roadmap!$D:$K,MATCH($E106,Roadmap!$D:$D,0)-1+COUNTIF($E106:AF106,"u")+COUNTIF($E106:AF106,"t")+COUNTIF($E106:AF106,"¶")+COUNTIF($E106:AF106,"²")+COUNTIF($E106:AF106,"µ")+COUNTIF($E106:AF106,1),ColDescriptionCourte)),""),
  "")),"")</f>
        <v/>
      </c>
    </row>
    <row r="107" spans="3:33" ht="14.25" customHeight="1">
      <c r="C107" s="1" t="str">
        <f t="shared" ca="1" si="49"/>
        <v/>
      </c>
      <c r="D107" s="1" t="str">
        <f t="shared" ca="1" si="50"/>
        <v/>
      </c>
      <c r="E107" s="35" t="str">
        <f t="shared" ca="1" si="46"/>
        <v/>
      </c>
      <c r="F107" s="39" t="str">
        <f ca="1">IFERROR(IF(AND(
  INDEX(Roadmap!$D:$K,MATCH($E107,Roadmap!$D:$D,0)+COUNTIF($E107:E107,"u")+COUNTIF($E107:E107,"t")+COUNTIF($E107:E107,"¶")+COUNTIF($E107:E107,"²")+COUNTIF($E107:E107,"µ")+COUNTIF($E107:E107,1),ColLivraison)=F$6,
  VLOOKUP($E107,INDIRECT("tri!"&amp; CHAR(64+ C0Col) &amp;":"&amp; CHAR(65+C0Col)),2,FALSE)&gt;COUNTIF($E107:E107,"u")+COUNTIF($E107:E107,"t")+COUNTIF($E107:E107,"¶")+COUNTIF($E107:E107,"²")+COUNTIF($E107:E107,"µ")+COUNTIF($E107:E107,1)),
HYPERLINK("#Roadmap!C"&amp; MATCH($E107,Roadmap!$D:$D,0)+COUNTIF($E107:E107,"u")+COUNTIF($E107:E107,"t"),
     INDEX(Roadmap!$D:$K,MATCH($E107,Roadmap!$D:$D,0)+COUNTIF($E107:E107,"u")+COUNTIF($E107:E107,"t")+COUNTIF($E107:E107,"¶")+COUNTIF($E107:E107,"²")+COUNTIF($E107:E107,"µ")+COUNTIF($E107:E107,1),ColTypeEcheance)),
  IF(LEN(E107)=1,
  IF(LEN(INDEX(Roadmap!$D:$K,MATCH($E107,Roadmap!$D:$D,0)-1+COUNTIF($E107:E107,"u")+COUNTIF($E107:E107,"t")+COUNTIF($E107:E107,"¶")+COUNTIF($E107:E107,"²")+COUNTIF($E107:E107,"µ")+COUNTIF($E107:E107,1),ColDescriptionCourte))&gt;1,
HYPERLINK("#Roadmap!C"&amp; MATCH($E107,Roadmap!$D:$D,0)+COUNTIF($E107:E107,"u")+COUNTIF($E107:E107,"t")+COUNTIF($E107:E107,"¶")+COUNTIF($E107:E107,"²")+COUNTIF($E107:E107,"µ")+COUNTIF($E107:E107,1)-1,INDEX(Roadmap!$D:$K,MATCH($E107,Roadmap!$D:$D,0)-1+COUNTIF($E107:E107,"u")+COUNTIF($E107:E107,"t")+COUNTIF($E107:E107,"¶")+COUNTIF($E107:E107,"²")+COUNTIF($E107:E107,"µ")+COUNTIF($E107:E107,1),ColDescriptionCourte)),""),
  "")),"")</f>
        <v/>
      </c>
      <c r="G107" s="40" t="str">
        <f ca="1">IFERROR(IF(AND(
  INDEX(Roadmap!$D:$K,MATCH($E107,Roadmap!$D:$D,0)+COUNTIF($E107:F107,"u")+COUNTIF($E107:F107,"t")+COUNTIF($E107:F107,"¶")+COUNTIF($E107:F107,"²")+COUNTIF($E107:F107,"µ")+COUNTIF($E107:F107,1),ColLivraison)=G$6,
  VLOOKUP($E107,INDIRECT("tri!"&amp; CHAR(64+ C0Col) &amp;":"&amp; CHAR(65+C0Col)),2,FALSE)&gt;COUNTIF($E107:F107,"u")+COUNTIF($E107:F107,"t")+COUNTIF($E107:F107,"¶")+COUNTIF($E107:F107,"²")+COUNTIF($E107:F107,"µ")+COUNTIF($E107:F107,1)),
HYPERLINK("#Roadmap!C"&amp; MATCH($E107,Roadmap!$D:$D,0)+COUNTIF($E107:F107,"u")+COUNTIF($E107:F107,"t"),
     INDEX(Roadmap!$D:$K,MATCH($E107,Roadmap!$D:$D,0)+COUNTIF($E107:F107,"u")+COUNTIF($E107:F107,"t")+COUNTIF($E107:F107,"¶")+COUNTIF($E107:F107,"²")+COUNTIF($E107:F107,"µ")+COUNTIF($E107:F107,1),ColTypeEcheance)),
  IF(LEN(F107)=1,
  IF(LEN(INDEX(Roadmap!$D:$K,MATCH($E107,Roadmap!$D:$D,0)-1+COUNTIF($E107:F107,"u")+COUNTIF($E107:F107,"t")+COUNTIF($E107:F107,"¶")+COUNTIF($E107:F107,"²")+COUNTIF($E107:F107,"µ")+COUNTIF($E107:F107,1),ColDescriptionCourte))&gt;1,
HYPERLINK("#Roadmap!C"&amp; MATCH($E107,Roadmap!$D:$D,0)+COUNTIF($E107:F107,"u")+COUNTIF($E107:F107,"t")+COUNTIF($E107:F107,"¶")+COUNTIF($E107:F107,"²")+COUNTIF($E107:F107,"µ")+COUNTIF($E107:F107,1)-1,INDEX(Roadmap!$D:$K,MATCH($E107,Roadmap!$D:$D,0)-1+COUNTIF($E107:F107,"u")+COUNTIF($E107:F107,"t")+COUNTIF($E107:F107,"¶")+COUNTIF($E107:F107,"²")+COUNTIF($E107:F107,"µ")+COUNTIF($E107:F107,1),ColDescriptionCourte)),""),
  "")),"")</f>
        <v/>
      </c>
      <c r="H107" s="40" t="str">
        <f ca="1">IFERROR(IF(AND(
  INDEX(Roadmap!$D:$K,MATCH($E107,Roadmap!$D:$D,0)+COUNTIF($E107:G107,"u")+COUNTIF($E107:G107,"t")+COUNTIF($E107:G107,"¶")+COUNTIF($E107:G107,"²")+COUNTIF($E107:G107,"µ")+COUNTIF($E107:G107,1),ColLivraison)=H$6,
  VLOOKUP($E107,INDIRECT("tri!"&amp; CHAR(64+ C0Col) &amp;":"&amp; CHAR(65+C0Col)),2,FALSE)&gt;COUNTIF($E107:G107,"u")+COUNTIF($E107:G107,"t")+COUNTIF($E107:G107,"¶")+COUNTIF($E107:G107,"²")+COUNTIF($E107:G107,"µ")+COUNTIF($E107:G107,1)),
HYPERLINK("#Roadmap!C"&amp; MATCH($E107,Roadmap!$D:$D,0)+COUNTIF($E107:G107,"u")+COUNTIF($E107:G107,"t"),
     INDEX(Roadmap!$D:$K,MATCH($E107,Roadmap!$D:$D,0)+COUNTIF($E107:G107,"u")+COUNTIF($E107:G107,"t")+COUNTIF($E107:G107,"¶")+COUNTIF($E107:G107,"²")+COUNTIF($E107:G107,"µ")+COUNTIF($E107:G107,1),ColTypeEcheance)),
  IF(LEN(G107)=1,
  IF(LEN(INDEX(Roadmap!$D:$K,MATCH($E107,Roadmap!$D:$D,0)-1+COUNTIF($E107:G107,"u")+COUNTIF($E107:G107,"t")+COUNTIF($E107:G107,"¶")+COUNTIF($E107:G107,"²")+COUNTIF($E107:G107,"µ")+COUNTIF($E107:G107,1),ColDescriptionCourte))&gt;1,
HYPERLINK("#Roadmap!C"&amp; MATCH($E107,Roadmap!$D:$D,0)+COUNTIF($E107:G107,"u")+COUNTIF($E107:G107,"t")+COUNTIF($E107:G107,"¶")+COUNTIF($E107:G107,"²")+COUNTIF($E107:G107,"µ")+COUNTIF($E107:G107,1)-1,INDEX(Roadmap!$D:$K,MATCH($E107,Roadmap!$D:$D,0)-1+COUNTIF($E107:G107,"u")+COUNTIF($E107:G107,"t")+COUNTIF($E107:G107,"¶")+COUNTIF($E107:G107,"²")+COUNTIF($E107:G107,"µ")+COUNTIF($E107:G107,1),ColDescriptionCourte)),""),
  "")),"")</f>
        <v/>
      </c>
      <c r="I107" s="40" t="str">
        <f ca="1">IFERROR(IF(AND(
  INDEX(Roadmap!$D:$K,MATCH($E107,Roadmap!$D:$D,0)+COUNTIF($E107:H107,"u")+COUNTIF($E107:H107,"t")+COUNTIF($E107:H107,"¶")+COUNTIF($E107:H107,"²")+COUNTIF($E107:H107,"µ")+COUNTIF($E107:H107,1),ColLivraison)=I$6,
  VLOOKUP($E107,INDIRECT("tri!"&amp; CHAR(64+ C0Col) &amp;":"&amp; CHAR(65+C0Col)),2,FALSE)&gt;COUNTIF($E107:H107,"u")+COUNTIF($E107:H107,"t")+COUNTIF($E107:H107,"¶")+COUNTIF($E107:H107,"²")+COUNTIF($E107:H107,"µ")+COUNTIF($E107:H107,1)),
HYPERLINK("#Roadmap!C"&amp; MATCH($E107,Roadmap!$D:$D,0)+COUNTIF($E107:H107,"u")+COUNTIF($E107:H107,"t"),
     INDEX(Roadmap!$D:$K,MATCH($E107,Roadmap!$D:$D,0)+COUNTIF($E107:H107,"u")+COUNTIF($E107:H107,"t")+COUNTIF($E107:H107,"¶")+COUNTIF($E107:H107,"²")+COUNTIF($E107:H107,"µ")+COUNTIF($E107:H107,1),ColTypeEcheance)),
  IF(LEN(H107)=1,
  IF(LEN(INDEX(Roadmap!$D:$K,MATCH($E107,Roadmap!$D:$D,0)-1+COUNTIF($E107:H107,"u")+COUNTIF($E107:H107,"t")+COUNTIF($E107:H107,"¶")+COUNTIF($E107:H107,"²")+COUNTIF($E107:H107,"µ")+COUNTIF($E107:H107,1),ColDescriptionCourte))&gt;1,
HYPERLINK("#Roadmap!C"&amp; MATCH($E107,Roadmap!$D:$D,0)+COUNTIF($E107:H107,"u")+COUNTIF($E107:H107,"t")+COUNTIF($E107:H107,"¶")+COUNTIF($E107:H107,"²")+COUNTIF($E107:H107,"µ")+COUNTIF($E107:H107,1)-1,INDEX(Roadmap!$D:$K,MATCH($E107,Roadmap!$D:$D,0)-1+COUNTIF($E107:H107,"u")+COUNTIF($E107:H107,"t")+COUNTIF($E107:H107,"¶")+COUNTIF($E107:H107,"²")+COUNTIF($E107:H107,"µ")+COUNTIF($E107:H107,1),ColDescriptionCourte)),""),
  "")),"")</f>
        <v/>
      </c>
      <c r="J107" s="40" t="str">
        <f ca="1">IFERROR(IF(AND(
  INDEX(Roadmap!$D:$K,MATCH($E107,Roadmap!$D:$D,0)+COUNTIF($E107:I107,"u")+COUNTIF($E107:I107,"t")+COUNTIF($E107:I107,"¶")+COUNTIF($E107:I107,"²")+COUNTIF($E107:I107,"µ")+COUNTIF($E107:I107,1),ColLivraison)=J$6,
  VLOOKUP($E107,INDIRECT("tri!"&amp; CHAR(64+ C0Col) &amp;":"&amp; CHAR(65+C0Col)),2,FALSE)&gt;COUNTIF($E107:I107,"u")+COUNTIF($E107:I107,"t")+COUNTIF($E107:I107,"¶")+COUNTIF($E107:I107,"²")+COUNTIF($E107:I107,"µ")+COUNTIF($E107:I107,1)),
HYPERLINK("#Roadmap!C"&amp; MATCH($E107,Roadmap!$D:$D,0)+COUNTIF($E107:I107,"u")+COUNTIF($E107:I107,"t"),
     INDEX(Roadmap!$D:$K,MATCH($E107,Roadmap!$D:$D,0)+COUNTIF($E107:I107,"u")+COUNTIF($E107:I107,"t")+COUNTIF($E107:I107,"¶")+COUNTIF($E107:I107,"²")+COUNTIF($E107:I107,"µ")+COUNTIF($E107:I107,1),ColTypeEcheance)),
  IF(LEN(I107)=1,
  IF(LEN(INDEX(Roadmap!$D:$K,MATCH($E107,Roadmap!$D:$D,0)-1+COUNTIF($E107:I107,"u")+COUNTIF($E107:I107,"t")+COUNTIF($E107:I107,"¶")+COUNTIF($E107:I107,"²")+COUNTIF($E107:I107,"µ")+COUNTIF($E107:I107,1),ColDescriptionCourte))&gt;1,
HYPERLINK("#Roadmap!C"&amp; MATCH($E107,Roadmap!$D:$D,0)+COUNTIF($E107:I107,"u")+COUNTIF($E107:I107,"t")+COUNTIF($E107:I107,"¶")+COUNTIF($E107:I107,"²")+COUNTIF($E107:I107,"µ")+COUNTIF($E107:I107,1)-1,INDEX(Roadmap!$D:$K,MATCH($E107,Roadmap!$D:$D,0)-1+COUNTIF($E107:I107,"u")+COUNTIF($E107:I107,"t")+COUNTIF($E107:I107,"¶")+COUNTIF($E107:I107,"²")+COUNTIF($E107:I107,"µ")+COUNTIF($E107:I107,1),ColDescriptionCourte)),""),
  "")),"")</f>
        <v/>
      </c>
      <c r="K107" s="40" t="str">
        <f ca="1">IFERROR(IF(AND(
  INDEX(Roadmap!$D:$K,MATCH($E107,Roadmap!$D:$D,0)+COUNTIF($E107:J107,"u")+COUNTIF($E107:J107,"t")+COUNTIF($E107:J107,"¶")+COUNTIF($E107:J107,"²")+COUNTIF($E107:J107,"µ")+COUNTIF($E107:J107,1),ColLivraison)=K$6,
  VLOOKUP($E107,INDIRECT("tri!"&amp; CHAR(64+ C0Col) &amp;":"&amp; CHAR(65+C0Col)),2,FALSE)&gt;COUNTIF($E107:J107,"u")+COUNTIF($E107:J107,"t")+COUNTIF($E107:J107,"¶")+COUNTIF($E107:J107,"²")+COUNTIF($E107:J107,"µ")+COUNTIF($E107:J107,1)),
HYPERLINK("#Roadmap!C"&amp; MATCH($E107,Roadmap!$D:$D,0)+COUNTIF($E107:J107,"u")+COUNTIF($E107:J107,"t"),
     INDEX(Roadmap!$D:$K,MATCH($E107,Roadmap!$D:$D,0)+COUNTIF($E107:J107,"u")+COUNTIF($E107:J107,"t")+COUNTIF($E107:J107,"¶")+COUNTIF($E107:J107,"²")+COUNTIF($E107:J107,"µ")+COUNTIF($E107:J107,1),ColTypeEcheance)),
  IF(LEN(J107)=1,
  IF(LEN(INDEX(Roadmap!$D:$K,MATCH($E107,Roadmap!$D:$D,0)-1+COUNTIF($E107:J107,"u")+COUNTIF($E107:J107,"t")+COUNTIF($E107:J107,"¶")+COUNTIF($E107:J107,"²")+COUNTIF($E107:J107,"µ")+COUNTIF($E107:J107,1),ColDescriptionCourte))&gt;1,
HYPERLINK("#Roadmap!C"&amp; MATCH($E107,Roadmap!$D:$D,0)+COUNTIF($E107:J107,"u")+COUNTIF($E107:J107,"t")+COUNTIF($E107:J107,"¶")+COUNTIF($E107:J107,"²")+COUNTIF($E107:J107,"µ")+COUNTIF($E107:J107,1)-1,INDEX(Roadmap!$D:$K,MATCH($E107,Roadmap!$D:$D,0)-1+COUNTIF($E107:J107,"u")+COUNTIF($E107:J107,"t")+COUNTIF($E107:J107,"¶")+COUNTIF($E107:J107,"²")+COUNTIF($E107:J107,"µ")+COUNTIF($E107:J107,1),ColDescriptionCourte)),""),
  "")),"")</f>
        <v/>
      </c>
      <c r="L107" s="39" t="str">
        <f ca="1">IFERROR(IF(AND(
  INDEX(Roadmap!$D:$K,MATCH($E107,Roadmap!$D:$D,0)+COUNTIF($E107:K107,"u")+COUNTIF($E107:K107,"t")+COUNTIF($E107:K107,"¶")+COUNTIF($E107:K107,"²")+COUNTIF($E107:K107,"µ")+COUNTIF($E107:K107,1),ColLivraison)=L$6,
  VLOOKUP($E107,INDIRECT("tri!"&amp; CHAR(64+ C0Col) &amp;":"&amp; CHAR(65+C0Col)),2,FALSE)&gt;COUNTIF($E107:K107,"u")+COUNTIF($E107:K107,"t")+COUNTIF($E107:K107,"¶")+COUNTIF($E107:K107,"²")+COUNTIF($E107:K107,"µ")+COUNTIF($E107:K107,1)),
HYPERLINK("#Roadmap!C"&amp; MATCH($E107,Roadmap!$D:$D,0)+COUNTIF($E107:K107,"u")+COUNTIF($E107:K107,"t"),
     INDEX(Roadmap!$D:$K,MATCH($E107,Roadmap!$D:$D,0)+COUNTIF($E107:K107,"u")+COUNTIF($E107:K107,"t")+COUNTIF($E107:K107,"¶")+COUNTIF($E107:K107,"²")+COUNTIF($E107:K107,"µ")+COUNTIF($E107:K107,1),ColTypeEcheance)),
  IF(LEN(K107)=1,
  IF(LEN(INDEX(Roadmap!$D:$K,MATCH($E107,Roadmap!$D:$D,0)-1+COUNTIF($E107:K107,"u")+COUNTIF($E107:K107,"t")+COUNTIF($E107:K107,"¶")+COUNTIF($E107:K107,"²")+COUNTIF($E107:K107,"µ")+COUNTIF($E107:K107,1),ColDescriptionCourte))&gt;1,
HYPERLINK("#Roadmap!C"&amp; MATCH($E107,Roadmap!$D:$D,0)+COUNTIF($E107:K107,"u")+COUNTIF($E107:K107,"t")+COUNTIF($E107:K107,"¶")+COUNTIF($E107:K107,"²")+COUNTIF($E107:K107,"µ")+COUNTIF($E107:K107,1)-1,INDEX(Roadmap!$D:$K,MATCH($E107,Roadmap!$D:$D,0)-1+COUNTIF($E107:K107,"u")+COUNTIF($E107:K107,"t")+COUNTIF($E107:K107,"¶")+COUNTIF($E107:K107,"²")+COUNTIF($E107:K107,"µ")+COUNTIF($E107:K107,1),ColDescriptionCourte)),""),
  "")),"")</f>
        <v/>
      </c>
      <c r="M107" s="40" t="str">
        <f ca="1">IFERROR(IF(AND(
  INDEX(Roadmap!$D:$K,MATCH($E107,Roadmap!$D:$D,0)+COUNTIF($E107:L107,"u")+COUNTIF($E107:L107,"t")+COUNTIF($E107:L107,"¶")+COUNTIF($E107:L107,"²")+COUNTIF($E107:L107,"µ")+COUNTIF($E107:L107,1),ColLivraison)=M$6,
  VLOOKUP($E107,INDIRECT("tri!"&amp; CHAR(64+ C0Col) &amp;":"&amp; CHAR(65+C0Col)),2,FALSE)&gt;COUNTIF($E107:L107,"u")+COUNTIF($E107:L107,"t")+COUNTIF($E107:L107,"¶")+COUNTIF($E107:L107,"²")+COUNTIF($E107:L107,"µ")+COUNTIF($E107:L107,1)),
HYPERLINK("#Roadmap!C"&amp; MATCH($E107,Roadmap!$D:$D,0)+COUNTIF($E107:L107,"u")+COUNTIF($E107:L107,"t"),
     INDEX(Roadmap!$D:$K,MATCH($E107,Roadmap!$D:$D,0)+COUNTIF($E107:L107,"u")+COUNTIF($E107:L107,"t")+COUNTIF($E107:L107,"¶")+COUNTIF($E107:L107,"²")+COUNTIF($E107:L107,"µ")+COUNTIF($E107:L107,1),ColTypeEcheance)),
  IF(LEN(L107)=1,
  IF(LEN(INDEX(Roadmap!$D:$K,MATCH($E107,Roadmap!$D:$D,0)-1+COUNTIF($E107:L107,"u")+COUNTIF($E107:L107,"t")+COUNTIF($E107:L107,"¶")+COUNTIF($E107:L107,"²")+COUNTIF($E107:L107,"µ")+COUNTIF($E107:L107,1),ColDescriptionCourte))&gt;1,
HYPERLINK("#Roadmap!C"&amp; MATCH($E107,Roadmap!$D:$D,0)+COUNTIF($E107:L107,"u")+COUNTIF($E107:L107,"t")+COUNTIF($E107:L107,"¶")+COUNTIF($E107:L107,"²")+COUNTIF($E107:L107,"µ")+COUNTIF($E107:L107,1)-1,INDEX(Roadmap!$D:$K,MATCH($E107,Roadmap!$D:$D,0)-1+COUNTIF($E107:L107,"u")+COUNTIF($E107:L107,"t")+COUNTIF($E107:L107,"¶")+COUNTIF($E107:L107,"²")+COUNTIF($E107:L107,"µ")+COUNTIF($E107:L107,1),ColDescriptionCourte)),""),
  "")),"")</f>
        <v/>
      </c>
      <c r="N107" s="40" t="str">
        <f ca="1">IFERROR(IF(AND(
  INDEX(Roadmap!$D:$K,MATCH($E107,Roadmap!$D:$D,0)+COUNTIF($E107:M107,"u")+COUNTIF($E107:M107,"t")+COUNTIF($E107:M107,"¶")+COUNTIF($E107:M107,"²")+COUNTIF($E107:M107,"µ")+COUNTIF($E107:M107,1),ColLivraison)=N$6,
  VLOOKUP($E107,INDIRECT("tri!"&amp; CHAR(64+ C0Col) &amp;":"&amp; CHAR(65+C0Col)),2,FALSE)&gt;COUNTIF($E107:M107,"u")+COUNTIF($E107:M107,"t")+COUNTIF($E107:M107,"¶")+COUNTIF($E107:M107,"²")+COUNTIF($E107:M107,"µ")+COUNTIF($E107:M107,1)),
HYPERLINK("#Roadmap!C"&amp; MATCH($E107,Roadmap!$D:$D,0)+COUNTIF($E107:M107,"u")+COUNTIF($E107:M107,"t"),
     INDEX(Roadmap!$D:$K,MATCH($E107,Roadmap!$D:$D,0)+COUNTIF($E107:M107,"u")+COUNTIF($E107:M107,"t")+COUNTIF($E107:M107,"¶")+COUNTIF($E107:M107,"²")+COUNTIF($E107:M107,"µ")+COUNTIF($E107:M107,1),ColTypeEcheance)),
  IF(LEN(M107)=1,
  IF(LEN(INDEX(Roadmap!$D:$K,MATCH($E107,Roadmap!$D:$D,0)-1+COUNTIF($E107:M107,"u")+COUNTIF($E107:M107,"t")+COUNTIF($E107:M107,"¶")+COUNTIF($E107:M107,"²")+COUNTIF($E107:M107,"µ")+COUNTIF($E107:M107,1),ColDescriptionCourte))&gt;1,
HYPERLINK("#Roadmap!C"&amp; MATCH($E107,Roadmap!$D:$D,0)+COUNTIF($E107:M107,"u")+COUNTIF($E107:M107,"t")+COUNTIF($E107:M107,"¶")+COUNTIF($E107:M107,"²")+COUNTIF($E107:M107,"µ")+COUNTIF($E107:M107,1)-1,INDEX(Roadmap!$D:$K,MATCH($E107,Roadmap!$D:$D,0)-1+COUNTIF($E107:M107,"u")+COUNTIF($E107:M107,"t")+COUNTIF($E107:M107,"¶")+COUNTIF($E107:M107,"²")+COUNTIF($E107:M107,"µ")+COUNTIF($E107:M107,1),ColDescriptionCourte)),""),
  "")),"")</f>
        <v/>
      </c>
      <c r="O107" s="40" t="str">
        <f ca="1">IFERROR(IF(AND(
  INDEX(Roadmap!$D:$K,MATCH($E107,Roadmap!$D:$D,0)+COUNTIF($E107:N107,"u")+COUNTIF($E107:N107,"t")+COUNTIF($E107:N107,"¶")+COUNTIF($E107:N107,"²")+COUNTIF($E107:N107,"µ")+COUNTIF($E107:N107,1),ColLivraison)=O$6,
  VLOOKUP($E107,INDIRECT("tri!"&amp; CHAR(64+ C0Col) &amp;":"&amp; CHAR(65+C0Col)),2,FALSE)&gt;COUNTIF($E107:N107,"u")+COUNTIF($E107:N107,"t")+COUNTIF($E107:N107,"¶")+COUNTIF($E107:N107,"²")+COUNTIF($E107:N107,"µ")+COUNTIF($E107:N107,1)),
HYPERLINK("#Roadmap!C"&amp; MATCH($E107,Roadmap!$D:$D,0)+COUNTIF($E107:N107,"u")+COUNTIF($E107:N107,"t"),
     INDEX(Roadmap!$D:$K,MATCH($E107,Roadmap!$D:$D,0)+COUNTIF($E107:N107,"u")+COUNTIF($E107:N107,"t")+COUNTIF($E107:N107,"¶")+COUNTIF($E107:N107,"²")+COUNTIF($E107:N107,"µ")+COUNTIF($E107:N107,1),ColTypeEcheance)),
  IF(LEN(N107)=1,
  IF(LEN(INDEX(Roadmap!$D:$K,MATCH($E107,Roadmap!$D:$D,0)-1+COUNTIF($E107:N107,"u")+COUNTIF($E107:N107,"t")+COUNTIF($E107:N107,"¶")+COUNTIF($E107:N107,"²")+COUNTIF($E107:N107,"µ")+COUNTIF($E107:N107,1),ColDescriptionCourte))&gt;1,
HYPERLINK("#Roadmap!C"&amp; MATCH($E107,Roadmap!$D:$D,0)+COUNTIF($E107:N107,"u")+COUNTIF($E107:N107,"t")+COUNTIF($E107:N107,"¶")+COUNTIF($E107:N107,"²")+COUNTIF($E107:N107,"µ")+COUNTIF($E107:N107,1)-1,INDEX(Roadmap!$D:$K,MATCH($E107,Roadmap!$D:$D,0)-1+COUNTIF($E107:N107,"u")+COUNTIF($E107:N107,"t")+COUNTIF($E107:N107,"¶")+COUNTIF($E107:N107,"²")+COUNTIF($E107:N107,"µ")+COUNTIF($E107:N107,1),ColDescriptionCourte)),""),
  "")),"")</f>
        <v/>
      </c>
      <c r="P107" s="40" t="str">
        <f ca="1">IFERROR(IF(AND(
  INDEX(Roadmap!$D:$K,MATCH($E107,Roadmap!$D:$D,0)+COUNTIF($E107:O107,"u")+COUNTIF($E107:O107,"t")+COUNTIF($E107:O107,"¶")+COUNTIF($E107:O107,"²")+COUNTIF($E107:O107,"µ")+COUNTIF($E107:O107,1),ColLivraison)=P$6,
  VLOOKUP($E107,INDIRECT("tri!"&amp; CHAR(64+ C0Col) &amp;":"&amp; CHAR(65+C0Col)),2,FALSE)&gt;COUNTIF($E107:O107,"u")+COUNTIF($E107:O107,"t")+COUNTIF($E107:O107,"¶")+COUNTIF($E107:O107,"²")+COUNTIF($E107:O107,"µ")+COUNTIF($E107:O107,1)),
HYPERLINK("#Roadmap!C"&amp; MATCH($E107,Roadmap!$D:$D,0)+COUNTIF($E107:O107,"u")+COUNTIF($E107:O107,"t"),
     INDEX(Roadmap!$D:$K,MATCH($E107,Roadmap!$D:$D,0)+COUNTIF($E107:O107,"u")+COUNTIF($E107:O107,"t")+COUNTIF($E107:O107,"¶")+COUNTIF($E107:O107,"²")+COUNTIF($E107:O107,"µ")+COUNTIF($E107:O107,1),ColTypeEcheance)),
  IF(LEN(O107)=1,
  IF(LEN(INDEX(Roadmap!$D:$K,MATCH($E107,Roadmap!$D:$D,0)-1+COUNTIF($E107:O107,"u")+COUNTIF($E107:O107,"t")+COUNTIF($E107:O107,"¶")+COUNTIF($E107:O107,"²")+COUNTIF($E107:O107,"µ")+COUNTIF($E107:O107,1),ColDescriptionCourte))&gt;1,
HYPERLINK("#Roadmap!C"&amp; MATCH($E107,Roadmap!$D:$D,0)+COUNTIF($E107:O107,"u")+COUNTIF($E107:O107,"t")+COUNTIF($E107:O107,"¶")+COUNTIF($E107:O107,"²")+COUNTIF($E107:O107,"µ")+COUNTIF($E107:O107,1)-1,INDEX(Roadmap!$D:$K,MATCH($E107,Roadmap!$D:$D,0)-1+COUNTIF($E107:O107,"u")+COUNTIF($E107:O107,"t")+COUNTIF($E107:O107,"¶")+COUNTIF($E107:O107,"²")+COUNTIF($E107:O107,"µ")+COUNTIF($E107:O107,1),ColDescriptionCourte)),""),
  "")),"")</f>
        <v/>
      </c>
      <c r="Q107" s="40" t="str">
        <f ca="1">IFERROR(IF(AND(
  INDEX(Roadmap!$D:$K,MATCH($E107,Roadmap!$D:$D,0)+COUNTIF($E107:P107,"u")+COUNTIF($E107:P107,"t")+COUNTIF($E107:P107,"¶")+COUNTIF($E107:P107,"²")+COUNTIF($E107:P107,"µ")+COUNTIF($E107:P107,1),ColLivraison)=Q$6,
  VLOOKUP($E107,INDIRECT("tri!"&amp; CHAR(64+ C0Col) &amp;":"&amp; CHAR(65+C0Col)),2,FALSE)&gt;COUNTIF($E107:P107,"u")+COUNTIF($E107:P107,"t")+COUNTIF($E107:P107,"¶")+COUNTIF($E107:P107,"²")+COUNTIF($E107:P107,"µ")+COUNTIF($E107:P107,1)),
HYPERLINK("#Roadmap!C"&amp; MATCH($E107,Roadmap!$D:$D,0)+COUNTIF($E107:P107,"u")+COUNTIF($E107:P107,"t"),
     INDEX(Roadmap!$D:$K,MATCH($E107,Roadmap!$D:$D,0)+COUNTIF($E107:P107,"u")+COUNTIF($E107:P107,"t")+COUNTIF($E107:P107,"¶")+COUNTIF($E107:P107,"²")+COUNTIF($E107:P107,"µ")+COUNTIF($E107:P107,1),ColTypeEcheance)),
  IF(LEN(P107)=1,
  IF(LEN(INDEX(Roadmap!$D:$K,MATCH($E107,Roadmap!$D:$D,0)-1+COUNTIF($E107:P107,"u")+COUNTIF($E107:P107,"t")+COUNTIF($E107:P107,"¶")+COUNTIF($E107:P107,"²")+COUNTIF($E107:P107,"µ")+COUNTIF($E107:P107,1),ColDescriptionCourte))&gt;1,
HYPERLINK("#Roadmap!C"&amp; MATCH($E107,Roadmap!$D:$D,0)+COUNTIF($E107:P107,"u")+COUNTIF($E107:P107,"t")+COUNTIF($E107:P107,"¶")+COUNTIF($E107:P107,"²")+COUNTIF($E107:P107,"µ")+COUNTIF($E107:P107,1)-1,INDEX(Roadmap!$D:$K,MATCH($E107,Roadmap!$D:$D,0)-1+COUNTIF($E107:P107,"u")+COUNTIF($E107:P107,"t")+COUNTIF($E107:P107,"¶")+COUNTIF($E107:P107,"²")+COUNTIF($E107:P107,"µ")+COUNTIF($E107:P107,1),ColDescriptionCourte)),""),
  "")),"")</f>
        <v/>
      </c>
      <c r="R107" s="40" t="str">
        <f ca="1">IFERROR(IF(AND(
  INDEX(Roadmap!$D:$K,MATCH($E107,Roadmap!$D:$D,0)+COUNTIF($E107:Q107,"u")+COUNTIF($E107:Q107,"t")+COUNTIF($E107:Q107,"¶")+COUNTIF($E107:Q107,"²")+COUNTIF($E107:Q107,"µ")+COUNTIF($E107:Q107,1),ColLivraison)=R$6,
  VLOOKUP($E107,INDIRECT("tri!"&amp; CHAR(64+ C0Col) &amp;":"&amp; CHAR(65+C0Col)),2,FALSE)&gt;COUNTIF($E107:Q107,"u")+COUNTIF($E107:Q107,"t")+COUNTIF($E107:Q107,"¶")+COUNTIF($E107:Q107,"²")+COUNTIF($E107:Q107,"µ")+COUNTIF($E107:Q107,1)),
HYPERLINK("#Roadmap!C"&amp; MATCH($E107,Roadmap!$D:$D,0)+COUNTIF($E107:Q107,"u")+COUNTIF($E107:Q107,"t"),
     INDEX(Roadmap!$D:$K,MATCH($E107,Roadmap!$D:$D,0)+COUNTIF($E107:Q107,"u")+COUNTIF($E107:Q107,"t")+COUNTIF($E107:Q107,"¶")+COUNTIF($E107:Q107,"²")+COUNTIF($E107:Q107,"µ")+COUNTIF($E107:Q107,1),ColTypeEcheance)),
  IF(LEN(Q107)=1,
  IF(LEN(INDEX(Roadmap!$D:$K,MATCH($E107,Roadmap!$D:$D,0)-1+COUNTIF($E107:Q107,"u")+COUNTIF($E107:Q107,"t")+COUNTIF($E107:Q107,"¶")+COUNTIF($E107:Q107,"²")+COUNTIF($E107:Q107,"µ")+COUNTIF($E107:Q107,1),ColDescriptionCourte))&gt;1,
HYPERLINK("#Roadmap!C"&amp; MATCH($E107,Roadmap!$D:$D,0)+COUNTIF($E107:Q107,"u")+COUNTIF($E107:Q107,"t")+COUNTIF($E107:Q107,"¶")+COUNTIF($E107:Q107,"²")+COUNTIF($E107:Q107,"µ")+COUNTIF($E107:Q107,1)-1,INDEX(Roadmap!$D:$K,MATCH($E107,Roadmap!$D:$D,0)-1+COUNTIF($E107:Q107,"u")+COUNTIF($E107:Q107,"t")+COUNTIF($E107:Q107,"¶")+COUNTIF($E107:Q107,"²")+COUNTIF($E107:Q107,"µ")+COUNTIF($E107:Q107,1),ColDescriptionCourte)),""),
  "")),"")</f>
        <v/>
      </c>
      <c r="S107" s="40" t="str">
        <f ca="1">IFERROR(IF(AND(
  INDEX(Roadmap!$D:$K,MATCH($E107,Roadmap!$D:$D,0)+COUNTIF($E107:R107,"u")+COUNTIF($E107:R107,"t")+COUNTIF($E107:R107,"¶")+COUNTIF($E107:R107,"²")+COUNTIF($E107:R107,"µ")+COUNTIF($E107:R107,1),ColLivraison)=S$6,
  VLOOKUP($E107,INDIRECT("tri!"&amp; CHAR(64+ C0Col) &amp;":"&amp; CHAR(65+C0Col)),2,FALSE)&gt;COUNTIF($E107:R107,"u")+COUNTIF($E107:R107,"t")+COUNTIF($E107:R107,"¶")+COUNTIF($E107:R107,"²")+COUNTIF($E107:R107,"µ")+COUNTIF($E107:R107,1)),
HYPERLINK("#Roadmap!C"&amp; MATCH($E107,Roadmap!$D:$D,0)+COUNTIF($E107:R107,"u")+COUNTIF($E107:R107,"t"),
     INDEX(Roadmap!$D:$K,MATCH($E107,Roadmap!$D:$D,0)+COUNTIF($E107:R107,"u")+COUNTIF($E107:R107,"t")+COUNTIF($E107:R107,"¶")+COUNTIF($E107:R107,"²")+COUNTIF($E107:R107,"µ")+COUNTIF($E107:R107,1),ColTypeEcheance)),
  IF(LEN(R107)=1,
  IF(LEN(INDEX(Roadmap!$D:$K,MATCH($E107,Roadmap!$D:$D,0)-1+COUNTIF($E107:R107,"u")+COUNTIF($E107:R107,"t")+COUNTIF($E107:R107,"¶")+COUNTIF($E107:R107,"²")+COUNTIF($E107:R107,"µ")+COUNTIF($E107:R107,1),ColDescriptionCourte))&gt;1,
HYPERLINK("#Roadmap!C"&amp; MATCH($E107,Roadmap!$D:$D,0)+COUNTIF($E107:R107,"u")+COUNTIF($E107:R107,"t")+COUNTIF($E107:R107,"¶")+COUNTIF($E107:R107,"²")+COUNTIF($E107:R107,"µ")+COUNTIF($E107:R107,1)-1,INDEX(Roadmap!$D:$K,MATCH($E107,Roadmap!$D:$D,0)-1+COUNTIF($E107:R107,"u")+COUNTIF($E107:R107,"t")+COUNTIF($E107:R107,"¶")+COUNTIF($E107:R107,"²")+COUNTIF($E107:R107,"µ")+COUNTIF($E107:R107,1),ColDescriptionCourte)),""),
  "")),"")</f>
        <v/>
      </c>
      <c r="T107" s="40" t="str">
        <f ca="1">IFERROR(IF(AND(
  INDEX(Roadmap!$D:$K,MATCH($E107,Roadmap!$D:$D,0)+COUNTIF($E107:S107,"u")+COUNTIF($E107:S107,"t")+COUNTIF($E107:S107,"¶")+COUNTIF($E107:S107,"²")+COUNTIF($E107:S107,"µ")+COUNTIF($E107:S107,1),ColLivraison)=T$6,
  VLOOKUP($E107,INDIRECT("tri!"&amp; CHAR(64+ C0Col) &amp;":"&amp; CHAR(65+C0Col)),2,FALSE)&gt;COUNTIF($E107:S107,"u")+COUNTIF($E107:S107,"t")+COUNTIF($E107:S107,"¶")+COUNTIF($E107:S107,"²")+COUNTIF($E107:S107,"µ")+COUNTIF($E107:S107,1)),
HYPERLINK("#Roadmap!C"&amp; MATCH($E107,Roadmap!$D:$D,0)+COUNTIF($E107:S107,"u")+COUNTIF($E107:S107,"t"),
     INDEX(Roadmap!$D:$K,MATCH($E107,Roadmap!$D:$D,0)+COUNTIF($E107:S107,"u")+COUNTIF($E107:S107,"t")+COUNTIF($E107:S107,"¶")+COUNTIF($E107:S107,"²")+COUNTIF($E107:S107,"µ")+COUNTIF($E107:S107,1),ColTypeEcheance)),
  IF(LEN(S107)=1,
  IF(LEN(INDEX(Roadmap!$D:$K,MATCH($E107,Roadmap!$D:$D,0)-1+COUNTIF($E107:S107,"u")+COUNTIF($E107:S107,"t")+COUNTIF($E107:S107,"¶")+COUNTIF($E107:S107,"²")+COUNTIF($E107:S107,"µ")+COUNTIF($E107:S107,1),ColDescriptionCourte))&gt;1,
HYPERLINK("#Roadmap!C"&amp; MATCH($E107,Roadmap!$D:$D,0)+COUNTIF($E107:S107,"u")+COUNTIF($E107:S107,"t")+COUNTIF($E107:S107,"¶")+COUNTIF($E107:S107,"²")+COUNTIF($E107:S107,"µ")+COUNTIF($E107:S107,1)-1,INDEX(Roadmap!$D:$K,MATCH($E107,Roadmap!$D:$D,0)-1+COUNTIF($E107:S107,"u")+COUNTIF($E107:S107,"t")+COUNTIF($E107:S107,"¶")+COUNTIF($E107:S107,"²")+COUNTIF($E107:S107,"µ")+COUNTIF($E107:S107,1),ColDescriptionCourte)),""),
  "")),"")</f>
        <v/>
      </c>
      <c r="U107" s="40" t="str">
        <f ca="1">IFERROR(IF(AND(
  INDEX(Roadmap!$D:$K,MATCH($E107,Roadmap!$D:$D,0)+COUNTIF($E107:T107,"u")+COUNTIF($E107:T107,"t")+COUNTIF($E107:T107,"¶")+COUNTIF($E107:T107,"²")+COUNTIF($E107:T107,"µ")+COUNTIF($E107:T107,1),ColLivraison)=U$6,
  VLOOKUP($E107,INDIRECT("tri!"&amp; CHAR(64+ C0Col) &amp;":"&amp; CHAR(65+C0Col)),2,FALSE)&gt;COUNTIF($E107:T107,"u")+COUNTIF($E107:T107,"t")+COUNTIF($E107:T107,"¶")+COUNTIF($E107:T107,"²")+COUNTIF($E107:T107,"µ")+COUNTIF($E107:T107,1)),
HYPERLINK("#Roadmap!C"&amp; MATCH($E107,Roadmap!$D:$D,0)+COUNTIF($E107:T107,"u")+COUNTIF($E107:T107,"t"),
     INDEX(Roadmap!$D:$K,MATCH($E107,Roadmap!$D:$D,0)+COUNTIF($E107:T107,"u")+COUNTIF($E107:T107,"t")+COUNTIF($E107:T107,"¶")+COUNTIF($E107:T107,"²")+COUNTIF($E107:T107,"µ")+COUNTIF($E107:T107,1),ColTypeEcheance)),
  IF(LEN(T107)=1,
  IF(LEN(INDEX(Roadmap!$D:$K,MATCH($E107,Roadmap!$D:$D,0)-1+COUNTIF($E107:T107,"u")+COUNTIF($E107:T107,"t")+COUNTIF($E107:T107,"¶")+COUNTIF($E107:T107,"²")+COUNTIF($E107:T107,"µ")+COUNTIF($E107:T107,1),ColDescriptionCourte))&gt;1,
HYPERLINK("#Roadmap!C"&amp; MATCH($E107,Roadmap!$D:$D,0)+COUNTIF($E107:T107,"u")+COUNTIF($E107:T107,"t")+COUNTIF($E107:T107,"¶")+COUNTIF($E107:T107,"²")+COUNTIF($E107:T107,"µ")+COUNTIF($E107:T107,1)-1,INDEX(Roadmap!$D:$K,MATCH($E107,Roadmap!$D:$D,0)-1+COUNTIF($E107:T107,"u")+COUNTIF($E107:T107,"t")+COUNTIF($E107:T107,"¶")+COUNTIF($E107:T107,"²")+COUNTIF($E107:T107,"µ")+COUNTIF($E107:T107,1),ColDescriptionCourte)),""),
  "")),"")</f>
        <v/>
      </c>
      <c r="V107" s="40" t="str">
        <f ca="1">IFERROR(IF(AND(
  INDEX(Roadmap!$D:$K,MATCH($E107,Roadmap!$D:$D,0)+COUNTIF($E107:U107,"u")+COUNTIF($E107:U107,"t")+COUNTIF($E107:U107,"¶")+COUNTIF($E107:U107,"²")+COUNTIF($E107:U107,"µ")+COUNTIF($E107:U107,1),ColLivraison)=V$6,
  VLOOKUP($E107,INDIRECT("tri!"&amp; CHAR(64+ C0Col) &amp;":"&amp; CHAR(65+C0Col)),2,FALSE)&gt;COUNTIF($E107:U107,"u")+COUNTIF($E107:U107,"t")+COUNTIF($E107:U107,"¶")+COUNTIF($E107:U107,"²")+COUNTIF($E107:U107,"µ")+COUNTIF($E107:U107,1)),
HYPERLINK("#Roadmap!C"&amp; MATCH($E107,Roadmap!$D:$D,0)+COUNTIF($E107:U107,"u")+COUNTIF($E107:U107,"t"),
     INDEX(Roadmap!$D:$K,MATCH($E107,Roadmap!$D:$D,0)+COUNTIF($E107:U107,"u")+COUNTIF($E107:U107,"t")+COUNTIF($E107:U107,"¶")+COUNTIF($E107:U107,"²")+COUNTIF($E107:U107,"µ")+COUNTIF($E107:U107,1),ColTypeEcheance)),
  IF(LEN(U107)=1,
  IF(LEN(INDEX(Roadmap!$D:$K,MATCH($E107,Roadmap!$D:$D,0)-1+COUNTIF($E107:U107,"u")+COUNTIF($E107:U107,"t")+COUNTIF($E107:U107,"¶")+COUNTIF($E107:U107,"²")+COUNTIF($E107:U107,"µ")+COUNTIF($E107:U107,1),ColDescriptionCourte))&gt;1,
HYPERLINK("#Roadmap!C"&amp; MATCH($E107,Roadmap!$D:$D,0)+COUNTIF($E107:U107,"u")+COUNTIF($E107:U107,"t")+COUNTIF($E107:U107,"¶")+COUNTIF($E107:U107,"²")+COUNTIF($E107:U107,"µ")+COUNTIF($E107:U107,1)-1,INDEX(Roadmap!$D:$K,MATCH($E107,Roadmap!$D:$D,0)-1+COUNTIF($E107:U107,"u")+COUNTIF($E107:U107,"t")+COUNTIF($E107:U107,"¶")+COUNTIF($E107:U107,"²")+COUNTIF($E107:U107,"µ")+COUNTIF($E107:U107,1),ColDescriptionCourte)),""),
  "")),"")</f>
        <v/>
      </c>
      <c r="W107" s="40" t="str">
        <f ca="1">IFERROR(IF(AND(
  INDEX(Roadmap!$D:$K,MATCH($E107,Roadmap!$D:$D,0)+COUNTIF($E107:V107,"u")+COUNTIF($E107:V107,"t")+COUNTIF($E107:V107,"¶")+COUNTIF($E107:V107,"²")+COUNTIF($E107:V107,"µ")+COUNTIF($E107:V107,1),ColLivraison)=W$6,
  VLOOKUP($E107,INDIRECT("tri!"&amp; CHAR(64+ C0Col) &amp;":"&amp; CHAR(65+C0Col)),2,FALSE)&gt;COUNTIF($E107:V107,"u")+COUNTIF($E107:V107,"t")+COUNTIF($E107:V107,"¶")+COUNTIF($E107:V107,"²")+COUNTIF($E107:V107,"µ")+COUNTIF($E107:V107,1)),
HYPERLINK("#Roadmap!C"&amp; MATCH($E107,Roadmap!$D:$D,0)+COUNTIF($E107:V107,"u")+COUNTIF($E107:V107,"t"),
     INDEX(Roadmap!$D:$K,MATCH($E107,Roadmap!$D:$D,0)+COUNTIF($E107:V107,"u")+COUNTIF($E107:V107,"t")+COUNTIF($E107:V107,"¶")+COUNTIF($E107:V107,"²")+COUNTIF($E107:V107,"µ")+COUNTIF($E107:V107,1),ColTypeEcheance)),
  IF(LEN(V107)=1,
  IF(LEN(INDEX(Roadmap!$D:$K,MATCH($E107,Roadmap!$D:$D,0)-1+COUNTIF($E107:V107,"u")+COUNTIF($E107:V107,"t")+COUNTIF($E107:V107,"¶")+COUNTIF($E107:V107,"²")+COUNTIF($E107:V107,"µ")+COUNTIF($E107:V107,1),ColDescriptionCourte))&gt;1,
HYPERLINK("#Roadmap!C"&amp; MATCH($E107,Roadmap!$D:$D,0)+COUNTIF($E107:V107,"u")+COUNTIF($E107:V107,"t")+COUNTIF($E107:V107,"¶")+COUNTIF($E107:V107,"²")+COUNTIF($E107:V107,"µ")+COUNTIF($E107:V107,1)-1,INDEX(Roadmap!$D:$K,MATCH($E107,Roadmap!$D:$D,0)-1+COUNTIF($E107:V107,"u")+COUNTIF($E107:V107,"t")+COUNTIF($E107:V107,"¶")+COUNTIF($E107:V107,"²")+COUNTIF($E107:V107,"µ")+COUNTIF($E107:V107,1),ColDescriptionCourte)),""),
  "")),"")</f>
        <v/>
      </c>
      <c r="X107" s="40" t="str">
        <f ca="1">IFERROR(IF(AND(
  INDEX(Roadmap!$D:$K,MATCH($E107,Roadmap!$D:$D,0)+COUNTIF($E107:W107,"u")+COUNTIF($E107:W107,"t")+COUNTIF($E107:W107,"¶")+COUNTIF($E107:W107,"²")+COUNTIF($E107:W107,"µ")+COUNTIF($E107:W107,1),ColLivraison)=X$6,
  VLOOKUP($E107,INDIRECT("tri!"&amp; CHAR(64+ C0Col) &amp;":"&amp; CHAR(65+C0Col)),2,FALSE)&gt;COUNTIF($E107:W107,"u")+COUNTIF($E107:W107,"t")+COUNTIF($E107:W107,"¶")+COUNTIF($E107:W107,"²")+COUNTIF($E107:W107,"µ")+COUNTIF($E107:W107,1)),
HYPERLINK("#Roadmap!C"&amp; MATCH($E107,Roadmap!$D:$D,0)+COUNTIF($E107:W107,"u")+COUNTIF($E107:W107,"t"),
     INDEX(Roadmap!$D:$K,MATCH($E107,Roadmap!$D:$D,0)+COUNTIF($E107:W107,"u")+COUNTIF($E107:W107,"t")+COUNTIF($E107:W107,"¶")+COUNTIF($E107:W107,"²")+COUNTIF($E107:W107,"µ")+COUNTIF($E107:W107,1),ColTypeEcheance)),
  IF(LEN(W107)=1,
  IF(LEN(INDEX(Roadmap!$D:$K,MATCH($E107,Roadmap!$D:$D,0)-1+COUNTIF($E107:W107,"u")+COUNTIF($E107:W107,"t")+COUNTIF($E107:W107,"¶")+COUNTIF($E107:W107,"²")+COUNTIF($E107:W107,"µ")+COUNTIF($E107:W107,1),ColDescriptionCourte))&gt;1,
HYPERLINK("#Roadmap!C"&amp; MATCH($E107,Roadmap!$D:$D,0)+COUNTIF($E107:W107,"u")+COUNTIF($E107:W107,"t")+COUNTIF($E107:W107,"¶")+COUNTIF($E107:W107,"²")+COUNTIF($E107:W107,"µ")+COUNTIF($E107:W107,1)-1,INDEX(Roadmap!$D:$K,MATCH($E107,Roadmap!$D:$D,0)-1+COUNTIF($E107:W107,"u")+COUNTIF($E107:W107,"t")+COUNTIF($E107:W107,"¶")+COUNTIF($E107:W107,"²")+COUNTIF($E107:W107,"µ")+COUNTIF($E107:W107,1),ColDescriptionCourte)),""),
  "")),"")</f>
        <v/>
      </c>
      <c r="Y107" s="40" t="str">
        <f ca="1">IFERROR(IF(AND(
  INDEX(Roadmap!$D:$K,MATCH($E107,Roadmap!$D:$D,0)+COUNTIF($E107:X107,"u")+COUNTIF($E107:X107,"t")+COUNTIF($E107:X107,"¶")+COUNTIF($E107:X107,"²")+COUNTIF($E107:X107,"µ")+COUNTIF($E107:X107,1),ColLivraison)=Y$6,
  VLOOKUP($E107,INDIRECT("tri!"&amp; CHAR(64+ C0Col) &amp;":"&amp; CHAR(65+C0Col)),2,FALSE)&gt;COUNTIF($E107:X107,"u")+COUNTIF($E107:X107,"t")+COUNTIF($E107:X107,"¶")+COUNTIF($E107:X107,"²")+COUNTIF($E107:X107,"µ")+COUNTIF($E107:X107,1)),
HYPERLINK("#Roadmap!C"&amp; MATCH($E107,Roadmap!$D:$D,0)+COUNTIF($E107:X107,"u")+COUNTIF($E107:X107,"t"),
     INDEX(Roadmap!$D:$K,MATCH($E107,Roadmap!$D:$D,0)+COUNTIF($E107:X107,"u")+COUNTIF($E107:X107,"t")+COUNTIF($E107:X107,"¶")+COUNTIF($E107:X107,"²")+COUNTIF($E107:X107,"µ")+COUNTIF($E107:X107,1),ColTypeEcheance)),
  IF(LEN(X107)=1,
  IF(LEN(INDEX(Roadmap!$D:$K,MATCH($E107,Roadmap!$D:$D,0)-1+COUNTIF($E107:X107,"u")+COUNTIF($E107:X107,"t")+COUNTIF($E107:X107,"¶")+COUNTIF($E107:X107,"²")+COUNTIF($E107:X107,"µ")+COUNTIF($E107:X107,1),ColDescriptionCourte))&gt;1,
HYPERLINK("#Roadmap!C"&amp; MATCH($E107,Roadmap!$D:$D,0)+COUNTIF($E107:X107,"u")+COUNTIF($E107:X107,"t")+COUNTIF($E107:X107,"¶")+COUNTIF($E107:X107,"²")+COUNTIF($E107:X107,"µ")+COUNTIF($E107:X107,1)-1,INDEX(Roadmap!$D:$K,MATCH($E107,Roadmap!$D:$D,0)-1+COUNTIF($E107:X107,"u")+COUNTIF($E107:X107,"t")+COUNTIF($E107:X107,"¶")+COUNTIF($E107:X107,"²")+COUNTIF($E107:X107,"µ")+COUNTIF($E107:X107,1),ColDescriptionCourte)),""),
  "")),"")</f>
        <v/>
      </c>
      <c r="Z107" s="40" t="str">
        <f ca="1">IFERROR(IF(AND(
  INDEX(Roadmap!$D:$K,MATCH($E107,Roadmap!$D:$D,0)+COUNTIF($E107:Y107,"u")+COUNTIF($E107:Y107,"t")+COUNTIF($E107:Y107,"¶")+COUNTIF($E107:Y107,"²")+COUNTIF($E107:Y107,"µ")+COUNTIF($E107:Y107,1),ColLivraison)=Z$6,
  VLOOKUP($E107,INDIRECT("tri!"&amp; CHAR(64+ C0Col) &amp;":"&amp; CHAR(65+C0Col)),2,FALSE)&gt;COUNTIF($E107:Y107,"u")+COUNTIF($E107:Y107,"t")+COUNTIF($E107:Y107,"¶")+COUNTIF($E107:Y107,"²")+COUNTIF($E107:Y107,"µ")+COUNTIF($E107:Y107,1)),
HYPERLINK("#Roadmap!C"&amp; MATCH($E107,Roadmap!$D:$D,0)+COUNTIF($E107:Y107,"u")+COUNTIF($E107:Y107,"t"),
     INDEX(Roadmap!$D:$K,MATCH($E107,Roadmap!$D:$D,0)+COUNTIF($E107:Y107,"u")+COUNTIF($E107:Y107,"t")+COUNTIF($E107:Y107,"¶")+COUNTIF($E107:Y107,"²")+COUNTIF($E107:Y107,"µ")+COUNTIF($E107:Y107,1),ColTypeEcheance)),
  IF(LEN(Y107)=1,
  IF(LEN(INDEX(Roadmap!$D:$K,MATCH($E107,Roadmap!$D:$D,0)-1+COUNTIF($E107:Y107,"u")+COUNTIF($E107:Y107,"t")+COUNTIF($E107:Y107,"¶")+COUNTIF($E107:Y107,"²")+COUNTIF($E107:Y107,"µ")+COUNTIF($E107:Y107,1),ColDescriptionCourte))&gt;1,
HYPERLINK("#Roadmap!C"&amp; MATCH($E107,Roadmap!$D:$D,0)+COUNTIF($E107:Y107,"u")+COUNTIF($E107:Y107,"t")+COUNTIF($E107:Y107,"¶")+COUNTIF($E107:Y107,"²")+COUNTIF($E107:Y107,"µ")+COUNTIF($E107:Y107,1)-1,INDEX(Roadmap!$D:$K,MATCH($E107,Roadmap!$D:$D,0)-1+COUNTIF($E107:Y107,"u")+COUNTIF($E107:Y107,"t")+COUNTIF($E107:Y107,"¶")+COUNTIF($E107:Y107,"²")+COUNTIF($E107:Y107,"µ")+COUNTIF($E107:Y107,1),ColDescriptionCourte)),""),
  "")),"")</f>
        <v/>
      </c>
      <c r="AA107" s="40" t="str">
        <f ca="1">IFERROR(IF(AND(
  INDEX(Roadmap!$D:$K,MATCH($E107,Roadmap!$D:$D,0)+COUNTIF($E107:Z107,"u")+COUNTIF($E107:Z107,"t")+COUNTIF($E107:Z107,"¶")+COUNTIF($E107:Z107,"²")+COUNTIF($E107:Z107,"µ")+COUNTIF($E107:Z107,1),ColLivraison)=AA$6,
  VLOOKUP($E107,INDIRECT("tri!"&amp; CHAR(64+ C0Col) &amp;":"&amp; CHAR(65+C0Col)),2,FALSE)&gt;COUNTIF($E107:Z107,"u")+COUNTIF($E107:Z107,"t")+COUNTIF($E107:Z107,"¶")+COUNTIF($E107:Z107,"²")+COUNTIF($E107:Z107,"µ")+COUNTIF($E107:Z107,1)),
HYPERLINK("#Roadmap!C"&amp; MATCH($E107,Roadmap!$D:$D,0)+COUNTIF($E107:Z107,"u")+COUNTIF($E107:Z107,"t"),
     INDEX(Roadmap!$D:$K,MATCH($E107,Roadmap!$D:$D,0)+COUNTIF($E107:Z107,"u")+COUNTIF($E107:Z107,"t")+COUNTIF($E107:Z107,"¶")+COUNTIF($E107:Z107,"²")+COUNTIF($E107:Z107,"µ")+COUNTIF($E107:Z107,1),ColTypeEcheance)),
  IF(LEN(Z107)=1,
  IF(LEN(INDEX(Roadmap!$D:$K,MATCH($E107,Roadmap!$D:$D,0)-1+COUNTIF($E107:Z107,"u")+COUNTIF($E107:Z107,"t")+COUNTIF($E107:Z107,"¶")+COUNTIF($E107:Z107,"²")+COUNTIF($E107:Z107,"µ")+COUNTIF($E107:Z107,1),ColDescriptionCourte))&gt;1,
HYPERLINK("#Roadmap!C"&amp; MATCH($E107,Roadmap!$D:$D,0)+COUNTIF($E107:Z107,"u")+COUNTIF($E107:Z107,"t")+COUNTIF($E107:Z107,"¶")+COUNTIF($E107:Z107,"²")+COUNTIF($E107:Z107,"µ")+COUNTIF($E107:Z107,1)-1,INDEX(Roadmap!$D:$K,MATCH($E107,Roadmap!$D:$D,0)-1+COUNTIF($E107:Z107,"u")+COUNTIF($E107:Z107,"t")+COUNTIF($E107:Z107,"¶")+COUNTIF($E107:Z107,"²")+COUNTIF($E107:Z107,"µ")+COUNTIF($E107:Z107,1),ColDescriptionCourte)),""),
  "")),"")</f>
        <v/>
      </c>
      <c r="AB107" s="40" t="str">
        <f ca="1">IFERROR(IF(AND(
  INDEX(Roadmap!$D:$K,MATCH($E107,Roadmap!$D:$D,0)+COUNTIF($E107:AA107,"u")+COUNTIF($E107:AA107,"t")+COUNTIF($E107:AA107,"¶")+COUNTIF($E107:AA107,"²")+COUNTIF($E107:AA107,"µ")+COUNTIF($E107:AA107,1),ColLivraison)=AB$6,
  VLOOKUP($E107,INDIRECT("tri!"&amp; CHAR(64+ C0Col) &amp;":"&amp; CHAR(65+C0Col)),2,FALSE)&gt;COUNTIF($E107:AA107,"u")+COUNTIF($E107:AA107,"t")+COUNTIF($E107:AA107,"¶")+COUNTIF($E107:AA107,"²")+COUNTIF($E107:AA107,"µ")+COUNTIF($E107:AA107,1)),
HYPERLINK("#Roadmap!C"&amp; MATCH($E107,Roadmap!$D:$D,0)+COUNTIF($E107:AA107,"u")+COUNTIF($E107:AA107,"t"),
     INDEX(Roadmap!$D:$K,MATCH($E107,Roadmap!$D:$D,0)+COUNTIF($E107:AA107,"u")+COUNTIF($E107:AA107,"t")+COUNTIF($E107:AA107,"¶")+COUNTIF($E107:AA107,"²")+COUNTIF($E107:AA107,"µ")+COUNTIF($E107:AA107,1),ColTypeEcheance)),
  IF(LEN(AA107)=1,
  IF(LEN(INDEX(Roadmap!$D:$K,MATCH($E107,Roadmap!$D:$D,0)-1+COUNTIF($E107:AA107,"u")+COUNTIF($E107:AA107,"t")+COUNTIF($E107:AA107,"¶")+COUNTIF($E107:AA107,"²")+COUNTIF($E107:AA107,"µ")+COUNTIF($E107:AA107,1),ColDescriptionCourte))&gt;1,
HYPERLINK("#Roadmap!C"&amp; MATCH($E107,Roadmap!$D:$D,0)+COUNTIF($E107:AA107,"u")+COUNTIF($E107:AA107,"t")+COUNTIF($E107:AA107,"¶")+COUNTIF($E107:AA107,"²")+COUNTIF($E107:AA107,"µ")+COUNTIF($E107:AA107,1)-1,INDEX(Roadmap!$D:$K,MATCH($E107,Roadmap!$D:$D,0)-1+COUNTIF($E107:AA107,"u")+COUNTIF($E107:AA107,"t")+COUNTIF($E107:AA107,"¶")+COUNTIF($E107:AA107,"²")+COUNTIF($E107:AA107,"µ")+COUNTIF($E107:AA107,1),ColDescriptionCourte)),""),
  "")),"")</f>
        <v/>
      </c>
      <c r="AC107" s="40" t="str">
        <f ca="1">IFERROR(IF(AND(
  INDEX(Roadmap!$D:$K,MATCH($E107,Roadmap!$D:$D,0)+COUNTIF($E107:AB107,"u")+COUNTIF($E107:AB107,"t")+COUNTIF($E107:AB107,"¶")+COUNTIF($E107:AB107,"²")+COUNTIF($E107:AB107,"µ")+COUNTIF($E107:AB107,1),ColLivraison)=AC$6,
  VLOOKUP($E107,INDIRECT("tri!"&amp; CHAR(64+ C0Col) &amp;":"&amp; CHAR(65+C0Col)),2,FALSE)&gt;COUNTIF($E107:AB107,"u")+COUNTIF($E107:AB107,"t")+COUNTIF($E107:AB107,"¶")+COUNTIF($E107:AB107,"²")+COUNTIF($E107:AB107,"µ")+COUNTIF($E107:AB107,1)),
HYPERLINK("#Roadmap!C"&amp; MATCH($E107,Roadmap!$D:$D,0)+COUNTIF($E107:AB107,"u")+COUNTIF($E107:AB107,"t"),
     INDEX(Roadmap!$D:$K,MATCH($E107,Roadmap!$D:$D,0)+COUNTIF($E107:AB107,"u")+COUNTIF($E107:AB107,"t")+COUNTIF($E107:AB107,"¶")+COUNTIF($E107:AB107,"²")+COUNTIF($E107:AB107,"µ")+COUNTIF($E107:AB107,1),ColTypeEcheance)),
  IF(LEN(AB107)=1,
  IF(LEN(INDEX(Roadmap!$D:$K,MATCH($E107,Roadmap!$D:$D,0)-1+COUNTIF($E107:AB107,"u")+COUNTIF($E107:AB107,"t")+COUNTIF($E107:AB107,"¶")+COUNTIF($E107:AB107,"²")+COUNTIF($E107:AB107,"µ")+COUNTIF($E107:AB107,1),ColDescriptionCourte))&gt;1,
HYPERLINK("#Roadmap!C"&amp; MATCH($E107,Roadmap!$D:$D,0)+COUNTIF($E107:AB107,"u")+COUNTIF($E107:AB107,"t")+COUNTIF($E107:AB107,"¶")+COUNTIF($E107:AB107,"²")+COUNTIF($E107:AB107,"µ")+COUNTIF($E107:AB107,1)-1,INDEX(Roadmap!$D:$K,MATCH($E107,Roadmap!$D:$D,0)-1+COUNTIF($E107:AB107,"u")+COUNTIF($E107:AB107,"t")+COUNTIF($E107:AB107,"¶")+COUNTIF($E107:AB107,"²")+COUNTIF($E107:AB107,"µ")+COUNTIF($E107:AB107,1),ColDescriptionCourte)),""),
  "")),"")</f>
        <v/>
      </c>
      <c r="AD107" s="40" t="str">
        <f ca="1">IFERROR(IF(AND(
  INDEX(Roadmap!$D:$K,MATCH($E107,Roadmap!$D:$D,0)+COUNTIF($E107:AC107,"u")+COUNTIF($E107:AC107,"t")+COUNTIF($E107:AC107,"¶")+COUNTIF($E107:AC107,"²")+COUNTIF($E107:AC107,"µ")+COUNTIF($E107:AC107,1),ColLivraison)=AD$6,
  VLOOKUP($E107,INDIRECT("tri!"&amp; CHAR(64+ C0Col) &amp;":"&amp; CHAR(65+C0Col)),2,FALSE)&gt;COUNTIF($E107:AC107,"u")+COUNTIF($E107:AC107,"t")+COUNTIF($E107:AC107,"¶")+COUNTIF($E107:AC107,"²")+COUNTIF($E107:AC107,"µ")+COUNTIF($E107:AC107,1)),
HYPERLINK("#Roadmap!C"&amp; MATCH($E107,Roadmap!$D:$D,0)+COUNTIF($E107:AC107,"u")+COUNTIF($E107:AC107,"t"),
     INDEX(Roadmap!$D:$K,MATCH($E107,Roadmap!$D:$D,0)+COUNTIF($E107:AC107,"u")+COUNTIF($E107:AC107,"t")+COUNTIF($E107:AC107,"¶")+COUNTIF($E107:AC107,"²")+COUNTIF($E107:AC107,"µ")+COUNTIF($E107:AC107,1),ColTypeEcheance)),
  IF(LEN(AC107)=1,
  IF(LEN(INDEX(Roadmap!$D:$K,MATCH($E107,Roadmap!$D:$D,0)-1+COUNTIF($E107:AC107,"u")+COUNTIF($E107:AC107,"t")+COUNTIF($E107:AC107,"¶")+COUNTIF($E107:AC107,"²")+COUNTIF($E107:AC107,"µ")+COUNTIF($E107:AC107,1),ColDescriptionCourte))&gt;1,
HYPERLINK("#Roadmap!C"&amp; MATCH($E107,Roadmap!$D:$D,0)+COUNTIF($E107:AC107,"u")+COUNTIF($E107:AC107,"t")+COUNTIF($E107:AC107,"¶")+COUNTIF($E107:AC107,"²")+COUNTIF($E107:AC107,"µ")+COUNTIF($E107:AC107,1)-1,INDEX(Roadmap!$D:$K,MATCH($E107,Roadmap!$D:$D,0)-1+COUNTIF($E107:AC107,"u")+COUNTIF($E107:AC107,"t")+COUNTIF($E107:AC107,"¶")+COUNTIF($E107:AC107,"²")+COUNTIF($E107:AC107,"µ")+COUNTIF($E107:AC107,1),ColDescriptionCourte)),""),
  "")),"")</f>
        <v/>
      </c>
      <c r="AE107" s="40" t="str">
        <f ca="1">IFERROR(IF(AND(
  INDEX(Roadmap!$D:$K,MATCH($E107,Roadmap!$D:$D,0)+COUNTIF($E107:AD107,"u")+COUNTIF($E107:AD107,"t")+COUNTIF($E107:AD107,"¶")+COUNTIF($E107:AD107,"²")+COUNTIF($E107:AD107,"µ")+COUNTIF($E107:AD107,1),ColLivraison)=AE$6,
  VLOOKUP($E107,INDIRECT("tri!"&amp; CHAR(64+ C0Col) &amp;":"&amp; CHAR(65+C0Col)),2,FALSE)&gt;COUNTIF($E107:AD107,"u")+COUNTIF($E107:AD107,"t")+COUNTIF($E107:AD107,"¶")+COUNTIF($E107:AD107,"²")+COUNTIF($E107:AD107,"µ")+COUNTIF($E107:AD107,1)),
HYPERLINK("#Roadmap!C"&amp; MATCH($E107,Roadmap!$D:$D,0)+COUNTIF($E107:AD107,"u")+COUNTIF($E107:AD107,"t"),
     INDEX(Roadmap!$D:$K,MATCH($E107,Roadmap!$D:$D,0)+COUNTIF($E107:AD107,"u")+COUNTIF($E107:AD107,"t")+COUNTIF($E107:AD107,"¶")+COUNTIF($E107:AD107,"²")+COUNTIF($E107:AD107,"µ")+COUNTIF($E107:AD107,1),ColTypeEcheance)),
  IF(LEN(AD107)=1,
  IF(LEN(INDEX(Roadmap!$D:$K,MATCH($E107,Roadmap!$D:$D,0)-1+COUNTIF($E107:AD107,"u")+COUNTIF($E107:AD107,"t")+COUNTIF($E107:AD107,"¶")+COUNTIF($E107:AD107,"²")+COUNTIF($E107:AD107,"µ")+COUNTIF($E107:AD107,1),ColDescriptionCourte))&gt;1,
HYPERLINK("#Roadmap!C"&amp; MATCH($E107,Roadmap!$D:$D,0)+COUNTIF($E107:AD107,"u")+COUNTIF($E107:AD107,"t")+COUNTIF($E107:AD107,"¶")+COUNTIF($E107:AD107,"²")+COUNTIF($E107:AD107,"µ")+COUNTIF($E107:AD107,1)-1,INDEX(Roadmap!$D:$K,MATCH($E107,Roadmap!$D:$D,0)-1+COUNTIF($E107:AD107,"u")+COUNTIF($E107:AD107,"t")+COUNTIF($E107:AD107,"¶")+COUNTIF($E107:AD107,"²")+COUNTIF($E107:AD107,"µ")+COUNTIF($E107:AD107,1),ColDescriptionCourte)),""),
  "")),"")</f>
        <v/>
      </c>
      <c r="AF107" s="40" t="str">
        <f ca="1">IFERROR(IF(AND(
  INDEX(Roadmap!$D:$K,MATCH($E107,Roadmap!$D:$D,0)+COUNTIF($E107:AE107,"u")+COUNTIF($E107:AE107,"t")+COUNTIF($E107:AE107,"¶")+COUNTIF($E107:AE107,"²")+COUNTIF($E107:AE107,"µ")+COUNTIF($E107:AE107,1),ColLivraison)=AF$6,
  VLOOKUP($E107,INDIRECT("tri!"&amp; CHAR(64+ C0Col) &amp;":"&amp; CHAR(65+C0Col)),2,FALSE)&gt;COUNTIF($E107:AE107,"u")+COUNTIF($E107:AE107,"t")+COUNTIF($E107:AE107,"¶")+COUNTIF($E107:AE107,"²")+COUNTIF($E107:AE107,"µ")+COUNTIF($E107:AE107,1)),
HYPERLINK("#Roadmap!C"&amp; MATCH($E107,Roadmap!$D:$D,0)+COUNTIF($E107:AE107,"u")+COUNTIF($E107:AE107,"t"),
     INDEX(Roadmap!$D:$K,MATCH($E107,Roadmap!$D:$D,0)+COUNTIF($E107:AE107,"u")+COUNTIF($E107:AE107,"t")+COUNTIF($E107:AE107,"¶")+COUNTIF($E107:AE107,"²")+COUNTIF($E107:AE107,"µ")+COUNTIF($E107:AE107,1),ColTypeEcheance)),
  IF(LEN(AE107)=1,
  IF(LEN(INDEX(Roadmap!$D:$K,MATCH($E107,Roadmap!$D:$D,0)-1+COUNTIF($E107:AE107,"u")+COUNTIF($E107:AE107,"t")+COUNTIF($E107:AE107,"¶")+COUNTIF($E107:AE107,"²")+COUNTIF($E107:AE107,"µ")+COUNTIF($E107:AE107,1),ColDescriptionCourte))&gt;1,
HYPERLINK("#Roadmap!C"&amp; MATCH($E107,Roadmap!$D:$D,0)+COUNTIF($E107:AE107,"u")+COUNTIF($E107:AE107,"t")+COUNTIF($E107:AE107,"¶")+COUNTIF($E107:AE107,"²")+COUNTIF($E107:AE107,"µ")+COUNTIF($E107:AE107,1)-1,INDEX(Roadmap!$D:$K,MATCH($E107,Roadmap!$D:$D,0)-1+COUNTIF($E107:AE107,"u")+COUNTIF($E107:AE107,"t")+COUNTIF($E107:AE107,"¶")+COUNTIF($E107:AE107,"²")+COUNTIF($E107:AE107,"µ")+COUNTIF($E107:AE107,1),ColDescriptionCourte)),""),
  "")),"")</f>
        <v/>
      </c>
      <c r="AG107" s="40" t="str">
        <f ca="1">IFERROR(IF(AND(
  INDEX(Roadmap!$D:$K,MATCH($E107,Roadmap!$D:$D,0)+COUNTIF($E107:AF107,"u")+COUNTIF($E107:AF107,"t")+COUNTIF($E107:AF107,"¶")+COUNTIF($E107:AF107,"²")+COUNTIF($E107:AF107,"µ")+COUNTIF($E107:AF107,1),ColLivraison)=AG$6,
  VLOOKUP($E107,INDIRECT("tri!"&amp; CHAR(64+ C0Col) &amp;":"&amp; CHAR(65+C0Col)),2,FALSE)&gt;COUNTIF($E107:AF107,"u")+COUNTIF($E107:AF107,"t")+COUNTIF($E107:AF107,"¶")+COUNTIF($E107:AF107,"²")+COUNTIF($E107:AF107,"µ")+COUNTIF($E107:AF107,1)),
HYPERLINK("#Roadmap!C"&amp; MATCH($E107,Roadmap!$D:$D,0)+COUNTIF($E107:AF107,"u")+COUNTIF($E107:AF107,"t"),
     INDEX(Roadmap!$D:$K,MATCH($E107,Roadmap!$D:$D,0)+COUNTIF($E107:AF107,"u")+COUNTIF($E107:AF107,"t")+COUNTIF($E107:AF107,"¶")+COUNTIF($E107:AF107,"²")+COUNTIF($E107:AF107,"µ")+COUNTIF($E107:AF107,1),ColTypeEcheance)),
  IF(LEN(AF107)=1,
  IF(LEN(INDEX(Roadmap!$D:$K,MATCH($E107,Roadmap!$D:$D,0)-1+COUNTIF($E107:AF107,"u")+COUNTIF($E107:AF107,"t")+COUNTIF($E107:AF107,"¶")+COUNTIF($E107:AF107,"²")+COUNTIF($E107:AF107,"µ")+COUNTIF($E107:AF107,1),ColDescriptionCourte))&gt;1,
HYPERLINK("#Roadmap!C"&amp; MATCH($E107,Roadmap!$D:$D,0)+COUNTIF($E107:AF107,"u")+COUNTIF($E107:AF107,"t")+COUNTIF($E107:AF107,"¶")+COUNTIF($E107:AF107,"²")+COUNTIF($E107:AF107,"µ")+COUNTIF($E107:AF107,1)-1,INDEX(Roadmap!$D:$K,MATCH($E107,Roadmap!$D:$D,0)-1+COUNTIF($E107:AF107,"u")+COUNTIF($E107:AF107,"t")+COUNTIF($E107:AF107,"¶")+COUNTIF($E107:AF107,"²")+COUNTIF($E107:AF107,"µ")+COUNTIF($E107:AF107,1),ColDescriptionCourte)),""),
  "")),"")</f>
        <v/>
      </c>
    </row>
    <row r="108" spans="3:33" ht="14.25" customHeight="1">
      <c r="C108" s="1" t="str">
        <f t="shared" ca="1" si="49"/>
        <v/>
      </c>
      <c r="D108" s="1" t="str">
        <f t="shared" ca="1" si="50"/>
        <v/>
      </c>
      <c r="E108" s="35" t="str">
        <f t="shared" ca="1" si="46"/>
        <v/>
      </c>
      <c r="F108" s="39" t="str">
        <f ca="1">IFERROR(IF(AND(
  INDEX(Roadmap!$D:$K,MATCH($E108,Roadmap!$D:$D,0)+COUNTIF($E108:E108,"u")+COUNTIF($E108:E108,"t")+COUNTIF($E108:E108,"¶")+COUNTIF($E108:E108,"²")+COUNTIF($E108:E108,"µ")+COUNTIF($E108:E108,1),ColLivraison)=F$6,
  VLOOKUP($E108,INDIRECT("tri!"&amp; CHAR(64+ C0Col) &amp;":"&amp; CHAR(65+C0Col)),2,FALSE)&gt;COUNTIF($E108:E108,"u")+COUNTIF($E108:E108,"t")+COUNTIF($E108:E108,"¶")+COUNTIF($E108:E108,"²")+COUNTIF($E108:E108,"µ")+COUNTIF($E108:E108,1)),
HYPERLINK("#Roadmap!C"&amp; MATCH($E108,Roadmap!$D:$D,0)+COUNTIF($E108:E108,"u")+COUNTIF($E108:E108,"t"),
     INDEX(Roadmap!$D:$K,MATCH($E108,Roadmap!$D:$D,0)+COUNTIF($E108:E108,"u")+COUNTIF($E108:E108,"t")+COUNTIF($E108:E108,"¶")+COUNTIF($E108:E108,"²")+COUNTIF($E108:E108,"µ")+COUNTIF($E108:E108,1),ColTypeEcheance)),
  IF(LEN(E108)=1,
  IF(LEN(INDEX(Roadmap!$D:$K,MATCH($E108,Roadmap!$D:$D,0)-1+COUNTIF($E108:E108,"u")+COUNTIF($E108:E108,"t")+COUNTIF($E108:E108,"¶")+COUNTIF($E108:E108,"²")+COUNTIF($E108:E108,"µ")+COUNTIF($E108:E108,1),ColDescriptionCourte))&gt;1,
HYPERLINK("#Roadmap!C"&amp; MATCH($E108,Roadmap!$D:$D,0)+COUNTIF($E108:E108,"u")+COUNTIF($E108:E108,"t")+COUNTIF($E108:E108,"¶")+COUNTIF($E108:E108,"²")+COUNTIF($E108:E108,"µ")+COUNTIF($E108:E108,1)-1,INDEX(Roadmap!$D:$K,MATCH($E108,Roadmap!$D:$D,0)-1+COUNTIF($E108:E108,"u")+COUNTIF($E108:E108,"t")+COUNTIF($E108:E108,"¶")+COUNTIF($E108:E108,"²")+COUNTIF($E108:E108,"µ")+COUNTIF($E108:E108,1),ColDescriptionCourte)),""),
  "")),"")</f>
        <v/>
      </c>
      <c r="G108" s="40" t="str">
        <f ca="1">IFERROR(IF(AND(
  INDEX(Roadmap!$D:$K,MATCH($E108,Roadmap!$D:$D,0)+COUNTIF($E108:F108,"u")+COUNTIF($E108:F108,"t")+COUNTIF($E108:F108,"¶")+COUNTIF($E108:F108,"²")+COUNTIF($E108:F108,"µ")+COUNTIF($E108:F108,1),ColLivraison)=G$6,
  VLOOKUP($E108,INDIRECT("tri!"&amp; CHAR(64+ C0Col) &amp;":"&amp; CHAR(65+C0Col)),2,FALSE)&gt;COUNTIF($E108:F108,"u")+COUNTIF($E108:F108,"t")+COUNTIF($E108:F108,"¶")+COUNTIF($E108:F108,"²")+COUNTIF($E108:F108,"µ")+COUNTIF($E108:F108,1)),
HYPERLINK("#Roadmap!C"&amp; MATCH($E108,Roadmap!$D:$D,0)+COUNTIF($E108:F108,"u")+COUNTIF($E108:F108,"t"),
     INDEX(Roadmap!$D:$K,MATCH($E108,Roadmap!$D:$D,0)+COUNTIF($E108:F108,"u")+COUNTIF($E108:F108,"t")+COUNTIF($E108:F108,"¶")+COUNTIF($E108:F108,"²")+COUNTIF($E108:F108,"µ")+COUNTIF($E108:F108,1),ColTypeEcheance)),
  IF(LEN(F108)=1,
  IF(LEN(INDEX(Roadmap!$D:$K,MATCH($E108,Roadmap!$D:$D,0)-1+COUNTIF($E108:F108,"u")+COUNTIF($E108:F108,"t")+COUNTIF($E108:F108,"¶")+COUNTIF($E108:F108,"²")+COUNTIF($E108:F108,"µ")+COUNTIF($E108:F108,1),ColDescriptionCourte))&gt;1,
HYPERLINK("#Roadmap!C"&amp; MATCH($E108,Roadmap!$D:$D,0)+COUNTIF($E108:F108,"u")+COUNTIF($E108:F108,"t")+COUNTIF($E108:F108,"¶")+COUNTIF($E108:F108,"²")+COUNTIF($E108:F108,"µ")+COUNTIF($E108:F108,1)-1,INDEX(Roadmap!$D:$K,MATCH($E108,Roadmap!$D:$D,0)-1+COUNTIF($E108:F108,"u")+COUNTIF($E108:F108,"t")+COUNTIF($E108:F108,"¶")+COUNTIF($E108:F108,"²")+COUNTIF($E108:F108,"µ")+COUNTIF($E108:F108,1),ColDescriptionCourte)),""),
  "")),"")</f>
        <v/>
      </c>
      <c r="H108" s="40" t="str">
        <f ca="1">IFERROR(IF(AND(
  INDEX(Roadmap!$D:$K,MATCH($E108,Roadmap!$D:$D,0)+COUNTIF($E108:G108,"u")+COUNTIF($E108:G108,"t")+COUNTIF($E108:G108,"¶")+COUNTIF($E108:G108,"²")+COUNTIF($E108:G108,"µ")+COUNTIF($E108:G108,1),ColLivraison)=H$6,
  VLOOKUP($E108,INDIRECT("tri!"&amp; CHAR(64+ C0Col) &amp;":"&amp; CHAR(65+C0Col)),2,FALSE)&gt;COUNTIF($E108:G108,"u")+COUNTIF($E108:G108,"t")+COUNTIF($E108:G108,"¶")+COUNTIF($E108:G108,"²")+COUNTIF($E108:G108,"µ")+COUNTIF($E108:G108,1)),
HYPERLINK("#Roadmap!C"&amp; MATCH($E108,Roadmap!$D:$D,0)+COUNTIF($E108:G108,"u")+COUNTIF($E108:G108,"t"),
     INDEX(Roadmap!$D:$K,MATCH($E108,Roadmap!$D:$D,0)+COUNTIF($E108:G108,"u")+COUNTIF($E108:G108,"t")+COUNTIF($E108:G108,"¶")+COUNTIF($E108:G108,"²")+COUNTIF($E108:G108,"µ")+COUNTIF($E108:G108,1),ColTypeEcheance)),
  IF(LEN(G108)=1,
  IF(LEN(INDEX(Roadmap!$D:$K,MATCH($E108,Roadmap!$D:$D,0)-1+COUNTIF($E108:G108,"u")+COUNTIF($E108:G108,"t")+COUNTIF($E108:G108,"¶")+COUNTIF($E108:G108,"²")+COUNTIF($E108:G108,"µ")+COUNTIF($E108:G108,1),ColDescriptionCourte))&gt;1,
HYPERLINK("#Roadmap!C"&amp; MATCH($E108,Roadmap!$D:$D,0)+COUNTIF($E108:G108,"u")+COUNTIF($E108:G108,"t")+COUNTIF($E108:G108,"¶")+COUNTIF($E108:G108,"²")+COUNTIF($E108:G108,"µ")+COUNTIF($E108:G108,1)-1,INDEX(Roadmap!$D:$K,MATCH($E108,Roadmap!$D:$D,0)-1+COUNTIF($E108:G108,"u")+COUNTIF($E108:G108,"t")+COUNTIF($E108:G108,"¶")+COUNTIF($E108:G108,"²")+COUNTIF($E108:G108,"µ")+COUNTIF($E108:G108,1),ColDescriptionCourte)),""),
  "")),"")</f>
        <v/>
      </c>
      <c r="I108" s="40" t="str">
        <f ca="1">IFERROR(IF(AND(
  INDEX(Roadmap!$D:$K,MATCH($E108,Roadmap!$D:$D,0)+COUNTIF($E108:H108,"u")+COUNTIF($E108:H108,"t")+COUNTIF($E108:H108,"¶")+COUNTIF($E108:H108,"²")+COUNTIF($E108:H108,"µ")+COUNTIF($E108:H108,1),ColLivraison)=I$6,
  VLOOKUP($E108,INDIRECT("tri!"&amp; CHAR(64+ C0Col) &amp;":"&amp; CHAR(65+C0Col)),2,FALSE)&gt;COUNTIF($E108:H108,"u")+COUNTIF($E108:H108,"t")+COUNTIF($E108:H108,"¶")+COUNTIF($E108:H108,"²")+COUNTIF($E108:H108,"µ")+COUNTIF($E108:H108,1)),
HYPERLINK("#Roadmap!C"&amp; MATCH($E108,Roadmap!$D:$D,0)+COUNTIF($E108:H108,"u")+COUNTIF($E108:H108,"t"),
     INDEX(Roadmap!$D:$K,MATCH($E108,Roadmap!$D:$D,0)+COUNTIF($E108:H108,"u")+COUNTIF($E108:H108,"t")+COUNTIF($E108:H108,"¶")+COUNTIF($E108:H108,"²")+COUNTIF($E108:H108,"µ")+COUNTIF($E108:H108,1),ColTypeEcheance)),
  IF(LEN(H108)=1,
  IF(LEN(INDEX(Roadmap!$D:$K,MATCH($E108,Roadmap!$D:$D,0)-1+COUNTIF($E108:H108,"u")+COUNTIF($E108:H108,"t")+COUNTIF($E108:H108,"¶")+COUNTIF($E108:H108,"²")+COUNTIF($E108:H108,"µ")+COUNTIF($E108:H108,1),ColDescriptionCourte))&gt;1,
HYPERLINK("#Roadmap!C"&amp; MATCH($E108,Roadmap!$D:$D,0)+COUNTIF($E108:H108,"u")+COUNTIF($E108:H108,"t")+COUNTIF($E108:H108,"¶")+COUNTIF($E108:H108,"²")+COUNTIF($E108:H108,"µ")+COUNTIF($E108:H108,1)-1,INDEX(Roadmap!$D:$K,MATCH($E108,Roadmap!$D:$D,0)-1+COUNTIF($E108:H108,"u")+COUNTIF($E108:H108,"t")+COUNTIF($E108:H108,"¶")+COUNTIF($E108:H108,"²")+COUNTIF($E108:H108,"µ")+COUNTIF($E108:H108,1),ColDescriptionCourte)),""),
  "")),"")</f>
        <v/>
      </c>
      <c r="J108" s="40" t="str">
        <f ca="1">IFERROR(IF(AND(
  INDEX(Roadmap!$D:$K,MATCH($E108,Roadmap!$D:$D,0)+COUNTIF($E108:I108,"u")+COUNTIF($E108:I108,"t")+COUNTIF($E108:I108,"¶")+COUNTIF($E108:I108,"²")+COUNTIF($E108:I108,"µ")+COUNTIF($E108:I108,1),ColLivraison)=J$6,
  VLOOKUP($E108,INDIRECT("tri!"&amp; CHAR(64+ C0Col) &amp;":"&amp; CHAR(65+C0Col)),2,FALSE)&gt;COUNTIF($E108:I108,"u")+COUNTIF($E108:I108,"t")+COUNTIF($E108:I108,"¶")+COUNTIF($E108:I108,"²")+COUNTIF($E108:I108,"µ")+COUNTIF($E108:I108,1)),
HYPERLINK("#Roadmap!C"&amp; MATCH($E108,Roadmap!$D:$D,0)+COUNTIF($E108:I108,"u")+COUNTIF($E108:I108,"t"),
     INDEX(Roadmap!$D:$K,MATCH($E108,Roadmap!$D:$D,0)+COUNTIF($E108:I108,"u")+COUNTIF($E108:I108,"t")+COUNTIF($E108:I108,"¶")+COUNTIF($E108:I108,"²")+COUNTIF($E108:I108,"µ")+COUNTIF($E108:I108,1),ColTypeEcheance)),
  IF(LEN(I108)=1,
  IF(LEN(INDEX(Roadmap!$D:$K,MATCH($E108,Roadmap!$D:$D,0)-1+COUNTIF($E108:I108,"u")+COUNTIF($E108:I108,"t")+COUNTIF($E108:I108,"¶")+COUNTIF($E108:I108,"²")+COUNTIF($E108:I108,"µ")+COUNTIF($E108:I108,1),ColDescriptionCourte))&gt;1,
HYPERLINK("#Roadmap!C"&amp; MATCH($E108,Roadmap!$D:$D,0)+COUNTIF($E108:I108,"u")+COUNTIF($E108:I108,"t")+COUNTIF($E108:I108,"¶")+COUNTIF($E108:I108,"²")+COUNTIF($E108:I108,"µ")+COUNTIF($E108:I108,1)-1,INDEX(Roadmap!$D:$K,MATCH($E108,Roadmap!$D:$D,0)-1+COUNTIF($E108:I108,"u")+COUNTIF($E108:I108,"t")+COUNTIF($E108:I108,"¶")+COUNTIF($E108:I108,"²")+COUNTIF($E108:I108,"µ")+COUNTIF($E108:I108,1),ColDescriptionCourte)),""),
  "")),"")</f>
        <v/>
      </c>
      <c r="K108" s="40" t="str">
        <f ca="1">IFERROR(IF(AND(
  INDEX(Roadmap!$D:$K,MATCH($E108,Roadmap!$D:$D,0)+COUNTIF($E108:J108,"u")+COUNTIF($E108:J108,"t")+COUNTIF($E108:J108,"¶")+COUNTIF($E108:J108,"²")+COUNTIF($E108:J108,"µ")+COUNTIF($E108:J108,1),ColLivraison)=K$6,
  VLOOKUP($E108,INDIRECT("tri!"&amp; CHAR(64+ C0Col) &amp;":"&amp; CHAR(65+C0Col)),2,FALSE)&gt;COUNTIF($E108:J108,"u")+COUNTIF($E108:J108,"t")+COUNTIF($E108:J108,"¶")+COUNTIF($E108:J108,"²")+COUNTIF($E108:J108,"µ")+COUNTIF($E108:J108,1)),
HYPERLINK("#Roadmap!C"&amp; MATCH($E108,Roadmap!$D:$D,0)+COUNTIF($E108:J108,"u")+COUNTIF($E108:J108,"t"),
     INDEX(Roadmap!$D:$K,MATCH($E108,Roadmap!$D:$D,0)+COUNTIF($E108:J108,"u")+COUNTIF($E108:J108,"t")+COUNTIF($E108:J108,"¶")+COUNTIF($E108:J108,"²")+COUNTIF($E108:J108,"µ")+COUNTIF($E108:J108,1),ColTypeEcheance)),
  IF(LEN(J108)=1,
  IF(LEN(INDEX(Roadmap!$D:$K,MATCH($E108,Roadmap!$D:$D,0)-1+COUNTIF($E108:J108,"u")+COUNTIF($E108:J108,"t")+COUNTIF($E108:J108,"¶")+COUNTIF($E108:J108,"²")+COUNTIF($E108:J108,"µ")+COUNTIF($E108:J108,1),ColDescriptionCourte))&gt;1,
HYPERLINK("#Roadmap!C"&amp; MATCH($E108,Roadmap!$D:$D,0)+COUNTIF($E108:J108,"u")+COUNTIF($E108:J108,"t")+COUNTIF($E108:J108,"¶")+COUNTIF($E108:J108,"²")+COUNTIF($E108:J108,"µ")+COUNTIF($E108:J108,1)-1,INDEX(Roadmap!$D:$K,MATCH($E108,Roadmap!$D:$D,0)-1+COUNTIF($E108:J108,"u")+COUNTIF($E108:J108,"t")+COUNTIF($E108:J108,"¶")+COUNTIF($E108:J108,"²")+COUNTIF($E108:J108,"µ")+COUNTIF($E108:J108,1),ColDescriptionCourte)),""),
  "")),"")</f>
        <v/>
      </c>
      <c r="L108" s="39" t="str">
        <f ca="1">IFERROR(IF(AND(
  INDEX(Roadmap!$D:$K,MATCH($E108,Roadmap!$D:$D,0)+COUNTIF($E108:K108,"u")+COUNTIF($E108:K108,"t")+COUNTIF($E108:K108,"¶")+COUNTIF($E108:K108,"²")+COUNTIF($E108:K108,"µ")+COUNTIF($E108:K108,1),ColLivraison)=L$6,
  VLOOKUP($E108,INDIRECT("tri!"&amp; CHAR(64+ C0Col) &amp;":"&amp; CHAR(65+C0Col)),2,FALSE)&gt;COUNTIF($E108:K108,"u")+COUNTIF($E108:K108,"t")+COUNTIF($E108:K108,"¶")+COUNTIF($E108:K108,"²")+COUNTIF($E108:K108,"µ")+COUNTIF($E108:K108,1)),
HYPERLINK("#Roadmap!C"&amp; MATCH($E108,Roadmap!$D:$D,0)+COUNTIF($E108:K108,"u")+COUNTIF($E108:K108,"t"),
     INDEX(Roadmap!$D:$K,MATCH($E108,Roadmap!$D:$D,0)+COUNTIF($E108:K108,"u")+COUNTIF($E108:K108,"t")+COUNTIF($E108:K108,"¶")+COUNTIF($E108:K108,"²")+COUNTIF($E108:K108,"µ")+COUNTIF($E108:K108,1),ColTypeEcheance)),
  IF(LEN(K108)=1,
  IF(LEN(INDEX(Roadmap!$D:$K,MATCH($E108,Roadmap!$D:$D,0)-1+COUNTIF($E108:K108,"u")+COUNTIF($E108:K108,"t")+COUNTIF($E108:K108,"¶")+COUNTIF($E108:K108,"²")+COUNTIF($E108:K108,"µ")+COUNTIF($E108:K108,1),ColDescriptionCourte))&gt;1,
HYPERLINK("#Roadmap!C"&amp; MATCH($E108,Roadmap!$D:$D,0)+COUNTIF($E108:K108,"u")+COUNTIF($E108:K108,"t")+COUNTIF($E108:K108,"¶")+COUNTIF($E108:K108,"²")+COUNTIF($E108:K108,"µ")+COUNTIF($E108:K108,1)-1,INDEX(Roadmap!$D:$K,MATCH($E108,Roadmap!$D:$D,0)-1+COUNTIF($E108:K108,"u")+COUNTIF($E108:K108,"t")+COUNTIF($E108:K108,"¶")+COUNTIF($E108:K108,"²")+COUNTIF($E108:K108,"µ")+COUNTIF($E108:K108,1),ColDescriptionCourte)),""),
  "")),"")</f>
        <v/>
      </c>
      <c r="M108" s="40" t="str">
        <f ca="1">IFERROR(IF(AND(
  INDEX(Roadmap!$D:$K,MATCH($E108,Roadmap!$D:$D,0)+COUNTIF($E108:L108,"u")+COUNTIF($E108:L108,"t")+COUNTIF($E108:L108,"¶")+COUNTIF($E108:L108,"²")+COUNTIF($E108:L108,"µ")+COUNTIF($E108:L108,1),ColLivraison)=M$6,
  VLOOKUP($E108,INDIRECT("tri!"&amp; CHAR(64+ C0Col) &amp;":"&amp; CHAR(65+C0Col)),2,FALSE)&gt;COUNTIF($E108:L108,"u")+COUNTIF($E108:L108,"t")+COUNTIF($E108:L108,"¶")+COUNTIF($E108:L108,"²")+COUNTIF($E108:L108,"µ")+COUNTIF($E108:L108,1)),
HYPERLINK("#Roadmap!C"&amp; MATCH($E108,Roadmap!$D:$D,0)+COUNTIF($E108:L108,"u")+COUNTIF($E108:L108,"t"),
     INDEX(Roadmap!$D:$K,MATCH($E108,Roadmap!$D:$D,0)+COUNTIF($E108:L108,"u")+COUNTIF($E108:L108,"t")+COUNTIF($E108:L108,"¶")+COUNTIF($E108:L108,"²")+COUNTIF($E108:L108,"µ")+COUNTIF($E108:L108,1),ColTypeEcheance)),
  IF(LEN(L108)=1,
  IF(LEN(INDEX(Roadmap!$D:$K,MATCH($E108,Roadmap!$D:$D,0)-1+COUNTIF($E108:L108,"u")+COUNTIF($E108:L108,"t")+COUNTIF($E108:L108,"¶")+COUNTIF($E108:L108,"²")+COUNTIF($E108:L108,"µ")+COUNTIF($E108:L108,1),ColDescriptionCourte))&gt;1,
HYPERLINK("#Roadmap!C"&amp; MATCH($E108,Roadmap!$D:$D,0)+COUNTIF($E108:L108,"u")+COUNTIF($E108:L108,"t")+COUNTIF($E108:L108,"¶")+COUNTIF($E108:L108,"²")+COUNTIF($E108:L108,"µ")+COUNTIF($E108:L108,1)-1,INDEX(Roadmap!$D:$K,MATCH($E108,Roadmap!$D:$D,0)-1+COUNTIF($E108:L108,"u")+COUNTIF($E108:L108,"t")+COUNTIF($E108:L108,"¶")+COUNTIF($E108:L108,"²")+COUNTIF($E108:L108,"µ")+COUNTIF($E108:L108,1),ColDescriptionCourte)),""),
  "")),"")</f>
        <v/>
      </c>
      <c r="N108" s="40" t="str">
        <f ca="1">IFERROR(IF(AND(
  INDEX(Roadmap!$D:$K,MATCH($E108,Roadmap!$D:$D,0)+COUNTIF($E108:M108,"u")+COUNTIF($E108:M108,"t")+COUNTIF($E108:M108,"¶")+COUNTIF($E108:M108,"²")+COUNTIF($E108:M108,"µ")+COUNTIF($E108:M108,1),ColLivraison)=N$6,
  VLOOKUP($E108,INDIRECT("tri!"&amp; CHAR(64+ C0Col) &amp;":"&amp; CHAR(65+C0Col)),2,FALSE)&gt;COUNTIF($E108:M108,"u")+COUNTIF($E108:M108,"t")+COUNTIF($E108:M108,"¶")+COUNTIF($E108:M108,"²")+COUNTIF($E108:M108,"µ")+COUNTIF($E108:M108,1)),
HYPERLINK("#Roadmap!C"&amp; MATCH($E108,Roadmap!$D:$D,0)+COUNTIF($E108:M108,"u")+COUNTIF($E108:M108,"t"),
     INDEX(Roadmap!$D:$K,MATCH($E108,Roadmap!$D:$D,0)+COUNTIF($E108:M108,"u")+COUNTIF($E108:M108,"t")+COUNTIF($E108:M108,"¶")+COUNTIF($E108:M108,"²")+COUNTIF($E108:M108,"µ")+COUNTIF($E108:M108,1),ColTypeEcheance)),
  IF(LEN(M108)=1,
  IF(LEN(INDEX(Roadmap!$D:$K,MATCH($E108,Roadmap!$D:$D,0)-1+COUNTIF($E108:M108,"u")+COUNTIF($E108:M108,"t")+COUNTIF($E108:M108,"¶")+COUNTIF($E108:M108,"²")+COUNTIF($E108:M108,"µ")+COUNTIF($E108:M108,1),ColDescriptionCourte))&gt;1,
HYPERLINK("#Roadmap!C"&amp; MATCH($E108,Roadmap!$D:$D,0)+COUNTIF($E108:M108,"u")+COUNTIF($E108:M108,"t")+COUNTIF($E108:M108,"¶")+COUNTIF($E108:M108,"²")+COUNTIF($E108:M108,"µ")+COUNTIF($E108:M108,1)-1,INDEX(Roadmap!$D:$K,MATCH($E108,Roadmap!$D:$D,0)-1+COUNTIF($E108:M108,"u")+COUNTIF($E108:M108,"t")+COUNTIF($E108:M108,"¶")+COUNTIF($E108:M108,"²")+COUNTIF($E108:M108,"µ")+COUNTIF($E108:M108,1),ColDescriptionCourte)),""),
  "")),"")</f>
        <v/>
      </c>
      <c r="O108" s="40" t="str">
        <f ca="1">IFERROR(IF(AND(
  INDEX(Roadmap!$D:$K,MATCH($E108,Roadmap!$D:$D,0)+COUNTIF($E108:N108,"u")+COUNTIF($E108:N108,"t")+COUNTIF($E108:N108,"¶")+COUNTIF($E108:N108,"²")+COUNTIF($E108:N108,"µ")+COUNTIF($E108:N108,1),ColLivraison)=O$6,
  VLOOKUP($E108,INDIRECT("tri!"&amp; CHAR(64+ C0Col) &amp;":"&amp; CHAR(65+C0Col)),2,FALSE)&gt;COUNTIF($E108:N108,"u")+COUNTIF($E108:N108,"t")+COUNTIF($E108:N108,"¶")+COUNTIF($E108:N108,"²")+COUNTIF($E108:N108,"µ")+COUNTIF($E108:N108,1)),
HYPERLINK("#Roadmap!C"&amp; MATCH($E108,Roadmap!$D:$D,0)+COUNTIF($E108:N108,"u")+COUNTIF($E108:N108,"t"),
     INDEX(Roadmap!$D:$K,MATCH($E108,Roadmap!$D:$D,0)+COUNTIF($E108:N108,"u")+COUNTIF($E108:N108,"t")+COUNTIF($E108:N108,"¶")+COUNTIF($E108:N108,"²")+COUNTIF($E108:N108,"µ")+COUNTIF($E108:N108,1),ColTypeEcheance)),
  IF(LEN(N108)=1,
  IF(LEN(INDEX(Roadmap!$D:$K,MATCH($E108,Roadmap!$D:$D,0)-1+COUNTIF($E108:N108,"u")+COUNTIF($E108:N108,"t")+COUNTIF($E108:N108,"¶")+COUNTIF($E108:N108,"²")+COUNTIF($E108:N108,"µ")+COUNTIF($E108:N108,1),ColDescriptionCourte))&gt;1,
HYPERLINK("#Roadmap!C"&amp; MATCH($E108,Roadmap!$D:$D,0)+COUNTIF($E108:N108,"u")+COUNTIF($E108:N108,"t")+COUNTIF($E108:N108,"¶")+COUNTIF($E108:N108,"²")+COUNTIF($E108:N108,"µ")+COUNTIF($E108:N108,1)-1,INDEX(Roadmap!$D:$K,MATCH($E108,Roadmap!$D:$D,0)-1+COUNTIF($E108:N108,"u")+COUNTIF($E108:N108,"t")+COUNTIF($E108:N108,"¶")+COUNTIF($E108:N108,"²")+COUNTIF($E108:N108,"µ")+COUNTIF($E108:N108,1),ColDescriptionCourte)),""),
  "")),"")</f>
        <v/>
      </c>
      <c r="P108" s="40" t="str">
        <f ca="1">IFERROR(IF(AND(
  INDEX(Roadmap!$D:$K,MATCH($E108,Roadmap!$D:$D,0)+COUNTIF($E108:O108,"u")+COUNTIF($E108:O108,"t")+COUNTIF($E108:O108,"¶")+COUNTIF($E108:O108,"²")+COUNTIF($E108:O108,"µ")+COUNTIF($E108:O108,1),ColLivraison)=P$6,
  VLOOKUP($E108,INDIRECT("tri!"&amp; CHAR(64+ C0Col) &amp;":"&amp; CHAR(65+C0Col)),2,FALSE)&gt;COUNTIF($E108:O108,"u")+COUNTIF($E108:O108,"t")+COUNTIF($E108:O108,"¶")+COUNTIF($E108:O108,"²")+COUNTIF($E108:O108,"µ")+COUNTIF($E108:O108,1)),
HYPERLINK("#Roadmap!C"&amp; MATCH($E108,Roadmap!$D:$D,0)+COUNTIF($E108:O108,"u")+COUNTIF($E108:O108,"t"),
     INDEX(Roadmap!$D:$K,MATCH($E108,Roadmap!$D:$D,0)+COUNTIF($E108:O108,"u")+COUNTIF($E108:O108,"t")+COUNTIF($E108:O108,"¶")+COUNTIF($E108:O108,"²")+COUNTIF($E108:O108,"µ")+COUNTIF($E108:O108,1),ColTypeEcheance)),
  IF(LEN(O108)=1,
  IF(LEN(INDEX(Roadmap!$D:$K,MATCH($E108,Roadmap!$D:$D,0)-1+COUNTIF($E108:O108,"u")+COUNTIF($E108:O108,"t")+COUNTIF($E108:O108,"¶")+COUNTIF($E108:O108,"²")+COUNTIF($E108:O108,"µ")+COUNTIF($E108:O108,1),ColDescriptionCourte))&gt;1,
HYPERLINK("#Roadmap!C"&amp; MATCH($E108,Roadmap!$D:$D,0)+COUNTIF($E108:O108,"u")+COUNTIF($E108:O108,"t")+COUNTIF($E108:O108,"¶")+COUNTIF($E108:O108,"²")+COUNTIF($E108:O108,"µ")+COUNTIF($E108:O108,1)-1,INDEX(Roadmap!$D:$K,MATCH($E108,Roadmap!$D:$D,0)-1+COUNTIF($E108:O108,"u")+COUNTIF($E108:O108,"t")+COUNTIF($E108:O108,"¶")+COUNTIF($E108:O108,"²")+COUNTIF($E108:O108,"µ")+COUNTIF($E108:O108,1),ColDescriptionCourte)),""),
  "")),"")</f>
        <v/>
      </c>
      <c r="Q108" s="40" t="str">
        <f ca="1">IFERROR(IF(AND(
  INDEX(Roadmap!$D:$K,MATCH($E108,Roadmap!$D:$D,0)+COUNTIF($E108:P108,"u")+COUNTIF($E108:P108,"t")+COUNTIF($E108:P108,"¶")+COUNTIF($E108:P108,"²")+COUNTIF($E108:P108,"µ")+COUNTIF($E108:P108,1),ColLivraison)=Q$6,
  VLOOKUP($E108,INDIRECT("tri!"&amp; CHAR(64+ C0Col) &amp;":"&amp; CHAR(65+C0Col)),2,FALSE)&gt;COUNTIF($E108:P108,"u")+COUNTIF($E108:P108,"t")+COUNTIF($E108:P108,"¶")+COUNTIF($E108:P108,"²")+COUNTIF($E108:P108,"µ")+COUNTIF($E108:P108,1)),
HYPERLINK("#Roadmap!C"&amp; MATCH($E108,Roadmap!$D:$D,0)+COUNTIF($E108:P108,"u")+COUNTIF($E108:P108,"t"),
     INDEX(Roadmap!$D:$K,MATCH($E108,Roadmap!$D:$D,0)+COUNTIF($E108:P108,"u")+COUNTIF($E108:P108,"t")+COUNTIF($E108:P108,"¶")+COUNTIF($E108:P108,"²")+COUNTIF($E108:P108,"µ")+COUNTIF($E108:P108,1),ColTypeEcheance)),
  IF(LEN(P108)=1,
  IF(LEN(INDEX(Roadmap!$D:$K,MATCH($E108,Roadmap!$D:$D,0)-1+COUNTIF($E108:P108,"u")+COUNTIF($E108:P108,"t")+COUNTIF($E108:P108,"¶")+COUNTIF($E108:P108,"²")+COUNTIF($E108:P108,"µ")+COUNTIF($E108:P108,1),ColDescriptionCourte))&gt;1,
HYPERLINK("#Roadmap!C"&amp; MATCH($E108,Roadmap!$D:$D,0)+COUNTIF($E108:P108,"u")+COUNTIF($E108:P108,"t")+COUNTIF($E108:P108,"¶")+COUNTIF($E108:P108,"²")+COUNTIF($E108:P108,"µ")+COUNTIF($E108:P108,1)-1,INDEX(Roadmap!$D:$K,MATCH($E108,Roadmap!$D:$D,0)-1+COUNTIF($E108:P108,"u")+COUNTIF($E108:P108,"t")+COUNTIF($E108:P108,"¶")+COUNTIF($E108:P108,"²")+COUNTIF($E108:P108,"µ")+COUNTIF($E108:P108,1),ColDescriptionCourte)),""),
  "")),"")</f>
        <v/>
      </c>
      <c r="R108" s="40" t="str">
        <f ca="1">IFERROR(IF(AND(
  INDEX(Roadmap!$D:$K,MATCH($E108,Roadmap!$D:$D,0)+COUNTIF($E108:Q108,"u")+COUNTIF($E108:Q108,"t")+COUNTIF($E108:Q108,"¶")+COUNTIF($E108:Q108,"²")+COUNTIF($E108:Q108,"µ")+COUNTIF($E108:Q108,1),ColLivraison)=R$6,
  VLOOKUP($E108,INDIRECT("tri!"&amp; CHAR(64+ C0Col) &amp;":"&amp; CHAR(65+C0Col)),2,FALSE)&gt;COUNTIF($E108:Q108,"u")+COUNTIF($E108:Q108,"t")+COUNTIF($E108:Q108,"¶")+COUNTIF($E108:Q108,"²")+COUNTIF($E108:Q108,"µ")+COUNTIF($E108:Q108,1)),
HYPERLINK("#Roadmap!C"&amp; MATCH($E108,Roadmap!$D:$D,0)+COUNTIF($E108:Q108,"u")+COUNTIF($E108:Q108,"t"),
     INDEX(Roadmap!$D:$K,MATCH($E108,Roadmap!$D:$D,0)+COUNTIF($E108:Q108,"u")+COUNTIF($E108:Q108,"t")+COUNTIF($E108:Q108,"¶")+COUNTIF($E108:Q108,"²")+COUNTIF($E108:Q108,"µ")+COUNTIF($E108:Q108,1),ColTypeEcheance)),
  IF(LEN(Q108)=1,
  IF(LEN(INDEX(Roadmap!$D:$K,MATCH($E108,Roadmap!$D:$D,0)-1+COUNTIF($E108:Q108,"u")+COUNTIF($E108:Q108,"t")+COUNTIF($E108:Q108,"¶")+COUNTIF($E108:Q108,"²")+COUNTIF($E108:Q108,"µ")+COUNTIF($E108:Q108,1),ColDescriptionCourte))&gt;1,
HYPERLINK("#Roadmap!C"&amp; MATCH($E108,Roadmap!$D:$D,0)+COUNTIF($E108:Q108,"u")+COUNTIF($E108:Q108,"t")+COUNTIF($E108:Q108,"¶")+COUNTIF($E108:Q108,"²")+COUNTIF($E108:Q108,"µ")+COUNTIF($E108:Q108,1)-1,INDEX(Roadmap!$D:$K,MATCH($E108,Roadmap!$D:$D,0)-1+COUNTIF($E108:Q108,"u")+COUNTIF($E108:Q108,"t")+COUNTIF($E108:Q108,"¶")+COUNTIF($E108:Q108,"²")+COUNTIF($E108:Q108,"µ")+COUNTIF($E108:Q108,1),ColDescriptionCourte)),""),
  "")),"")</f>
        <v/>
      </c>
      <c r="S108" s="40" t="str">
        <f ca="1">IFERROR(IF(AND(
  INDEX(Roadmap!$D:$K,MATCH($E108,Roadmap!$D:$D,0)+COUNTIF($E108:R108,"u")+COUNTIF($E108:R108,"t")+COUNTIF($E108:R108,"¶")+COUNTIF($E108:R108,"²")+COUNTIF($E108:R108,"µ")+COUNTIF($E108:R108,1),ColLivraison)=S$6,
  VLOOKUP($E108,INDIRECT("tri!"&amp; CHAR(64+ C0Col) &amp;":"&amp; CHAR(65+C0Col)),2,FALSE)&gt;COUNTIF($E108:R108,"u")+COUNTIF($E108:R108,"t")+COUNTIF($E108:R108,"¶")+COUNTIF($E108:R108,"²")+COUNTIF($E108:R108,"µ")+COUNTIF($E108:R108,1)),
HYPERLINK("#Roadmap!C"&amp; MATCH($E108,Roadmap!$D:$D,0)+COUNTIF($E108:R108,"u")+COUNTIF($E108:R108,"t"),
     INDEX(Roadmap!$D:$K,MATCH($E108,Roadmap!$D:$D,0)+COUNTIF($E108:R108,"u")+COUNTIF($E108:R108,"t")+COUNTIF($E108:R108,"¶")+COUNTIF($E108:R108,"²")+COUNTIF($E108:R108,"µ")+COUNTIF($E108:R108,1),ColTypeEcheance)),
  IF(LEN(R108)=1,
  IF(LEN(INDEX(Roadmap!$D:$K,MATCH($E108,Roadmap!$D:$D,0)-1+COUNTIF($E108:R108,"u")+COUNTIF($E108:R108,"t")+COUNTIF($E108:R108,"¶")+COUNTIF($E108:R108,"²")+COUNTIF($E108:R108,"µ")+COUNTIF($E108:R108,1),ColDescriptionCourte))&gt;1,
HYPERLINK("#Roadmap!C"&amp; MATCH($E108,Roadmap!$D:$D,0)+COUNTIF($E108:R108,"u")+COUNTIF($E108:R108,"t")+COUNTIF($E108:R108,"¶")+COUNTIF($E108:R108,"²")+COUNTIF($E108:R108,"µ")+COUNTIF($E108:R108,1)-1,INDEX(Roadmap!$D:$K,MATCH($E108,Roadmap!$D:$D,0)-1+COUNTIF($E108:R108,"u")+COUNTIF($E108:R108,"t")+COUNTIF($E108:R108,"¶")+COUNTIF($E108:R108,"²")+COUNTIF($E108:R108,"µ")+COUNTIF($E108:R108,1),ColDescriptionCourte)),""),
  "")),"")</f>
        <v/>
      </c>
      <c r="T108" s="40" t="str">
        <f ca="1">IFERROR(IF(AND(
  INDEX(Roadmap!$D:$K,MATCH($E108,Roadmap!$D:$D,0)+COUNTIF($E108:S108,"u")+COUNTIF($E108:S108,"t")+COUNTIF($E108:S108,"¶")+COUNTIF($E108:S108,"²")+COUNTIF($E108:S108,"µ")+COUNTIF($E108:S108,1),ColLivraison)=T$6,
  VLOOKUP($E108,INDIRECT("tri!"&amp; CHAR(64+ C0Col) &amp;":"&amp; CHAR(65+C0Col)),2,FALSE)&gt;COUNTIF($E108:S108,"u")+COUNTIF($E108:S108,"t")+COUNTIF($E108:S108,"¶")+COUNTIF($E108:S108,"²")+COUNTIF($E108:S108,"µ")+COUNTIF($E108:S108,1)),
HYPERLINK("#Roadmap!C"&amp; MATCH($E108,Roadmap!$D:$D,0)+COUNTIF($E108:S108,"u")+COUNTIF($E108:S108,"t"),
     INDEX(Roadmap!$D:$K,MATCH($E108,Roadmap!$D:$D,0)+COUNTIF($E108:S108,"u")+COUNTIF($E108:S108,"t")+COUNTIF($E108:S108,"¶")+COUNTIF($E108:S108,"²")+COUNTIF($E108:S108,"µ")+COUNTIF($E108:S108,1),ColTypeEcheance)),
  IF(LEN(S108)=1,
  IF(LEN(INDEX(Roadmap!$D:$K,MATCH($E108,Roadmap!$D:$D,0)-1+COUNTIF($E108:S108,"u")+COUNTIF($E108:S108,"t")+COUNTIF($E108:S108,"¶")+COUNTIF($E108:S108,"²")+COUNTIF($E108:S108,"µ")+COUNTIF($E108:S108,1),ColDescriptionCourte))&gt;1,
HYPERLINK("#Roadmap!C"&amp; MATCH($E108,Roadmap!$D:$D,0)+COUNTIF($E108:S108,"u")+COUNTIF($E108:S108,"t")+COUNTIF($E108:S108,"¶")+COUNTIF($E108:S108,"²")+COUNTIF($E108:S108,"µ")+COUNTIF($E108:S108,1)-1,INDEX(Roadmap!$D:$K,MATCH($E108,Roadmap!$D:$D,0)-1+COUNTIF($E108:S108,"u")+COUNTIF($E108:S108,"t")+COUNTIF($E108:S108,"¶")+COUNTIF($E108:S108,"²")+COUNTIF($E108:S108,"µ")+COUNTIF($E108:S108,1),ColDescriptionCourte)),""),
  "")),"")</f>
        <v/>
      </c>
      <c r="U108" s="40" t="str">
        <f ca="1">IFERROR(IF(AND(
  INDEX(Roadmap!$D:$K,MATCH($E108,Roadmap!$D:$D,0)+COUNTIF($E108:T108,"u")+COUNTIF($E108:T108,"t")+COUNTIF($E108:T108,"¶")+COUNTIF($E108:T108,"²")+COUNTIF($E108:T108,"µ")+COUNTIF($E108:T108,1),ColLivraison)=U$6,
  VLOOKUP($E108,INDIRECT("tri!"&amp; CHAR(64+ C0Col) &amp;":"&amp; CHAR(65+C0Col)),2,FALSE)&gt;COUNTIF($E108:T108,"u")+COUNTIF($E108:T108,"t")+COUNTIF($E108:T108,"¶")+COUNTIF($E108:T108,"²")+COUNTIF($E108:T108,"µ")+COUNTIF($E108:T108,1)),
HYPERLINK("#Roadmap!C"&amp; MATCH($E108,Roadmap!$D:$D,0)+COUNTIF($E108:T108,"u")+COUNTIF($E108:T108,"t"),
     INDEX(Roadmap!$D:$K,MATCH($E108,Roadmap!$D:$D,0)+COUNTIF($E108:T108,"u")+COUNTIF($E108:T108,"t")+COUNTIF($E108:T108,"¶")+COUNTIF($E108:T108,"²")+COUNTIF($E108:T108,"µ")+COUNTIF($E108:T108,1),ColTypeEcheance)),
  IF(LEN(T108)=1,
  IF(LEN(INDEX(Roadmap!$D:$K,MATCH($E108,Roadmap!$D:$D,0)-1+COUNTIF($E108:T108,"u")+COUNTIF($E108:T108,"t")+COUNTIF($E108:T108,"¶")+COUNTIF($E108:T108,"²")+COUNTIF($E108:T108,"µ")+COUNTIF($E108:T108,1),ColDescriptionCourte))&gt;1,
HYPERLINK("#Roadmap!C"&amp; MATCH($E108,Roadmap!$D:$D,0)+COUNTIF($E108:T108,"u")+COUNTIF($E108:T108,"t")+COUNTIF($E108:T108,"¶")+COUNTIF($E108:T108,"²")+COUNTIF($E108:T108,"µ")+COUNTIF($E108:T108,1)-1,INDEX(Roadmap!$D:$K,MATCH($E108,Roadmap!$D:$D,0)-1+COUNTIF($E108:T108,"u")+COUNTIF($E108:T108,"t")+COUNTIF($E108:T108,"¶")+COUNTIF($E108:T108,"²")+COUNTIF($E108:T108,"µ")+COUNTIF($E108:T108,1),ColDescriptionCourte)),""),
  "")),"")</f>
        <v/>
      </c>
      <c r="V108" s="40" t="str">
        <f ca="1">IFERROR(IF(AND(
  INDEX(Roadmap!$D:$K,MATCH($E108,Roadmap!$D:$D,0)+COUNTIF($E108:U108,"u")+COUNTIF($E108:U108,"t")+COUNTIF($E108:U108,"¶")+COUNTIF($E108:U108,"²")+COUNTIF($E108:U108,"µ")+COUNTIF($E108:U108,1),ColLivraison)=V$6,
  VLOOKUP($E108,INDIRECT("tri!"&amp; CHAR(64+ C0Col) &amp;":"&amp; CHAR(65+C0Col)),2,FALSE)&gt;COUNTIF($E108:U108,"u")+COUNTIF($E108:U108,"t")+COUNTIF($E108:U108,"¶")+COUNTIF($E108:U108,"²")+COUNTIF($E108:U108,"µ")+COUNTIF($E108:U108,1)),
HYPERLINK("#Roadmap!C"&amp; MATCH($E108,Roadmap!$D:$D,0)+COUNTIF($E108:U108,"u")+COUNTIF($E108:U108,"t"),
     INDEX(Roadmap!$D:$K,MATCH($E108,Roadmap!$D:$D,0)+COUNTIF($E108:U108,"u")+COUNTIF($E108:U108,"t")+COUNTIF($E108:U108,"¶")+COUNTIF($E108:U108,"²")+COUNTIF($E108:U108,"µ")+COUNTIF($E108:U108,1),ColTypeEcheance)),
  IF(LEN(U108)=1,
  IF(LEN(INDEX(Roadmap!$D:$K,MATCH($E108,Roadmap!$D:$D,0)-1+COUNTIF($E108:U108,"u")+COUNTIF($E108:U108,"t")+COUNTIF($E108:U108,"¶")+COUNTIF($E108:U108,"²")+COUNTIF($E108:U108,"µ")+COUNTIF($E108:U108,1),ColDescriptionCourte))&gt;1,
HYPERLINK("#Roadmap!C"&amp; MATCH($E108,Roadmap!$D:$D,0)+COUNTIF($E108:U108,"u")+COUNTIF($E108:U108,"t")+COUNTIF($E108:U108,"¶")+COUNTIF($E108:U108,"²")+COUNTIF($E108:U108,"µ")+COUNTIF($E108:U108,1)-1,INDEX(Roadmap!$D:$K,MATCH($E108,Roadmap!$D:$D,0)-1+COUNTIF($E108:U108,"u")+COUNTIF($E108:U108,"t")+COUNTIF($E108:U108,"¶")+COUNTIF($E108:U108,"²")+COUNTIF($E108:U108,"µ")+COUNTIF($E108:U108,1),ColDescriptionCourte)),""),
  "")),"")</f>
        <v/>
      </c>
      <c r="W108" s="40" t="str">
        <f ca="1">IFERROR(IF(AND(
  INDEX(Roadmap!$D:$K,MATCH($E108,Roadmap!$D:$D,0)+COUNTIF($E108:V108,"u")+COUNTIF($E108:V108,"t")+COUNTIF($E108:V108,"¶")+COUNTIF($E108:V108,"²")+COUNTIF($E108:V108,"µ")+COUNTIF($E108:V108,1),ColLivraison)=W$6,
  VLOOKUP($E108,INDIRECT("tri!"&amp; CHAR(64+ C0Col) &amp;":"&amp; CHAR(65+C0Col)),2,FALSE)&gt;COUNTIF($E108:V108,"u")+COUNTIF($E108:V108,"t")+COUNTIF($E108:V108,"¶")+COUNTIF($E108:V108,"²")+COUNTIF($E108:V108,"µ")+COUNTIF($E108:V108,1)),
HYPERLINK("#Roadmap!C"&amp; MATCH($E108,Roadmap!$D:$D,0)+COUNTIF($E108:V108,"u")+COUNTIF($E108:V108,"t"),
     INDEX(Roadmap!$D:$K,MATCH($E108,Roadmap!$D:$D,0)+COUNTIF($E108:V108,"u")+COUNTIF($E108:V108,"t")+COUNTIF($E108:V108,"¶")+COUNTIF($E108:V108,"²")+COUNTIF($E108:V108,"µ")+COUNTIF($E108:V108,1),ColTypeEcheance)),
  IF(LEN(V108)=1,
  IF(LEN(INDEX(Roadmap!$D:$K,MATCH($E108,Roadmap!$D:$D,0)-1+COUNTIF($E108:V108,"u")+COUNTIF($E108:V108,"t")+COUNTIF($E108:V108,"¶")+COUNTIF($E108:V108,"²")+COUNTIF($E108:V108,"µ")+COUNTIF($E108:V108,1),ColDescriptionCourte))&gt;1,
HYPERLINK("#Roadmap!C"&amp; MATCH($E108,Roadmap!$D:$D,0)+COUNTIF($E108:V108,"u")+COUNTIF($E108:V108,"t")+COUNTIF($E108:V108,"¶")+COUNTIF($E108:V108,"²")+COUNTIF($E108:V108,"µ")+COUNTIF($E108:V108,1)-1,INDEX(Roadmap!$D:$K,MATCH($E108,Roadmap!$D:$D,0)-1+COUNTIF($E108:V108,"u")+COUNTIF($E108:V108,"t")+COUNTIF($E108:V108,"¶")+COUNTIF($E108:V108,"²")+COUNTIF($E108:V108,"µ")+COUNTIF($E108:V108,1),ColDescriptionCourte)),""),
  "")),"")</f>
        <v/>
      </c>
      <c r="X108" s="40" t="str">
        <f ca="1">IFERROR(IF(AND(
  INDEX(Roadmap!$D:$K,MATCH($E108,Roadmap!$D:$D,0)+COUNTIF($E108:W108,"u")+COUNTIF($E108:W108,"t")+COUNTIF($E108:W108,"¶")+COUNTIF($E108:W108,"²")+COUNTIF($E108:W108,"µ")+COUNTIF($E108:W108,1),ColLivraison)=X$6,
  VLOOKUP($E108,INDIRECT("tri!"&amp; CHAR(64+ C0Col) &amp;":"&amp; CHAR(65+C0Col)),2,FALSE)&gt;COUNTIF($E108:W108,"u")+COUNTIF($E108:W108,"t")+COUNTIF($E108:W108,"¶")+COUNTIF($E108:W108,"²")+COUNTIF($E108:W108,"µ")+COUNTIF($E108:W108,1)),
HYPERLINK("#Roadmap!C"&amp; MATCH($E108,Roadmap!$D:$D,0)+COUNTIF($E108:W108,"u")+COUNTIF($E108:W108,"t"),
     INDEX(Roadmap!$D:$K,MATCH($E108,Roadmap!$D:$D,0)+COUNTIF($E108:W108,"u")+COUNTIF($E108:W108,"t")+COUNTIF($E108:W108,"¶")+COUNTIF($E108:W108,"²")+COUNTIF($E108:W108,"µ")+COUNTIF($E108:W108,1),ColTypeEcheance)),
  IF(LEN(W108)=1,
  IF(LEN(INDEX(Roadmap!$D:$K,MATCH($E108,Roadmap!$D:$D,0)-1+COUNTIF($E108:W108,"u")+COUNTIF($E108:W108,"t")+COUNTIF($E108:W108,"¶")+COUNTIF($E108:W108,"²")+COUNTIF($E108:W108,"µ")+COUNTIF($E108:W108,1),ColDescriptionCourte))&gt;1,
HYPERLINK("#Roadmap!C"&amp; MATCH($E108,Roadmap!$D:$D,0)+COUNTIF($E108:W108,"u")+COUNTIF($E108:W108,"t")+COUNTIF($E108:W108,"¶")+COUNTIF($E108:W108,"²")+COUNTIF($E108:W108,"µ")+COUNTIF($E108:W108,1)-1,INDEX(Roadmap!$D:$K,MATCH($E108,Roadmap!$D:$D,0)-1+COUNTIF($E108:W108,"u")+COUNTIF($E108:W108,"t")+COUNTIF($E108:W108,"¶")+COUNTIF($E108:W108,"²")+COUNTIF($E108:W108,"µ")+COUNTIF($E108:W108,1),ColDescriptionCourte)),""),
  "")),"")</f>
        <v/>
      </c>
      <c r="Y108" s="40" t="str">
        <f ca="1">IFERROR(IF(AND(
  INDEX(Roadmap!$D:$K,MATCH($E108,Roadmap!$D:$D,0)+COUNTIF($E108:X108,"u")+COUNTIF($E108:X108,"t")+COUNTIF($E108:X108,"¶")+COUNTIF($E108:X108,"²")+COUNTIF($E108:X108,"µ")+COUNTIF($E108:X108,1),ColLivraison)=Y$6,
  VLOOKUP($E108,INDIRECT("tri!"&amp; CHAR(64+ C0Col) &amp;":"&amp; CHAR(65+C0Col)),2,FALSE)&gt;COUNTIF($E108:X108,"u")+COUNTIF($E108:X108,"t")+COUNTIF($E108:X108,"¶")+COUNTIF($E108:X108,"²")+COUNTIF($E108:X108,"µ")+COUNTIF($E108:X108,1)),
HYPERLINK("#Roadmap!C"&amp; MATCH($E108,Roadmap!$D:$D,0)+COUNTIF($E108:X108,"u")+COUNTIF($E108:X108,"t"),
     INDEX(Roadmap!$D:$K,MATCH($E108,Roadmap!$D:$D,0)+COUNTIF($E108:X108,"u")+COUNTIF($E108:X108,"t")+COUNTIF($E108:X108,"¶")+COUNTIF($E108:X108,"²")+COUNTIF($E108:X108,"µ")+COUNTIF($E108:X108,1),ColTypeEcheance)),
  IF(LEN(X108)=1,
  IF(LEN(INDEX(Roadmap!$D:$K,MATCH($E108,Roadmap!$D:$D,0)-1+COUNTIF($E108:X108,"u")+COUNTIF($E108:X108,"t")+COUNTIF($E108:X108,"¶")+COUNTIF($E108:X108,"²")+COUNTIF($E108:X108,"µ")+COUNTIF($E108:X108,1),ColDescriptionCourte))&gt;1,
HYPERLINK("#Roadmap!C"&amp; MATCH($E108,Roadmap!$D:$D,0)+COUNTIF($E108:X108,"u")+COUNTIF($E108:X108,"t")+COUNTIF($E108:X108,"¶")+COUNTIF($E108:X108,"²")+COUNTIF($E108:X108,"µ")+COUNTIF($E108:X108,1)-1,INDEX(Roadmap!$D:$K,MATCH($E108,Roadmap!$D:$D,0)-1+COUNTIF($E108:X108,"u")+COUNTIF($E108:X108,"t")+COUNTIF($E108:X108,"¶")+COUNTIF($E108:X108,"²")+COUNTIF($E108:X108,"µ")+COUNTIF($E108:X108,1),ColDescriptionCourte)),""),
  "")),"")</f>
        <v/>
      </c>
      <c r="Z108" s="40" t="str">
        <f ca="1">IFERROR(IF(AND(
  INDEX(Roadmap!$D:$K,MATCH($E108,Roadmap!$D:$D,0)+COUNTIF($E108:Y108,"u")+COUNTIF($E108:Y108,"t")+COUNTIF($E108:Y108,"¶")+COUNTIF($E108:Y108,"²")+COUNTIF($E108:Y108,"µ")+COUNTIF($E108:Y108,1),ColLivraison)=Z$6,
  VLOOKUP($E108,INDIRECT("tri!"&amp; CHAR(64+ C0Col) &amp;":"&amp; CHAR(65+C0Col)),2,FALSE)&gt;COUNTIF($E108:Y108,"u")+COUNTIF($E108:Y108,"t")+COUNTIF($E108:Y108,"¶")+COUNTIF($E108:Y108,"²")+COUNTIF($E108:Y108,"µ")+COUNTIF($E108:Y108,1)),
HYPERLINK("#Roadmap!C"&amp; MATCH($E108,Roadmap!$D:$D,0)+COUNTIF($E108:Y108,"u")+COUNTIF($E108:Y108,"t"),
     INDEX(Roadmap!$D:$K,MATCH($E108,Roadmap!$D:$D,0)+COUNTIF($E108:Y108,"u")+COUNTIF($E108:Y108,"t")+COUNTIF($E108:Y108,"¶")+COUNTIF($E108:Y108,"²")+COUNTIF($E108:Y108,"µ")+COUNTIF($E108:Y108,1),ColTypeEcheance)),
  IF(LEN(Y108)=1,
  IF(LEN(INDEX(Roadmap!$D:$K,MATCH($E108,Roadmap!$D:$D,0)-1+COUNTIF($E108:Y108,"u")+COUNTIF($E108:Y108,"t")+COUNTIF($E108:Y108,"¶")+COUNTIF($E108:Y108,"²")+COUNTIF($E108:Y108,"µ")+COUNTIF($E108:Y108,1),ColDescriptionCourte))&gt;1,
HYPERLINK("#Roadmap!C"&amp; MATCH($E108,Roadmap!$D:$D,0)+COUNTIF($E108:Y108,"u")+COUNTIF($E108:Y108,"t")+COUNTIF($E108:Y108,"¶")+COUNTIF($E108:Y108,"²")+COUNTIF($E108:Y108,"µ")+COUNTIF($E108:Y108,1)-1,INDEX(Roadmap!$D:$K,MATCH($E108,Roadmap!$D:$D,0)-1+COUNTIF($E108:Y108,"u")+COUNTIF($E108:Y108,"t")+COUNTIF($E108:Y108,"¶")+COUNTIF($E108:Y108,"²")+COUNTIF($E108:Y108,"µ")+COUNTIF($E108:Y108,1),ColDescriptionCourte)),""),
  "")),"")</f>
        <v/>
      </c>
      <c r="AA108" s="40" t="str">
        <f ca="1">IFERROR(IF(AND(
  INDEX(Roadmap!$D:$K,MATCH($E108,Roadmap!$D:$D,0)+COUNTIF($E108:Z108,"u")+COUNTIF($E108:Z108,"t")+COUNTIF($E108:Z108,"¶")+COUNTIF($E108:Z108,"²")+COUNTIF($E108:Z108,"µ")+COUNTIF($E108:Z108,1),ColLivraison)=AA$6,
  VLOOKUP($E108,INDIRECT("tri!"&amp; CHAR(64+ C0Col) &amp;":"&amp; CHAR(65+C0Col)),2,FALSE)&gt;COUNTIF($E108:Z108,"u")+COUNTIF($E108:Z108,"t")+COUNTIF($E108:Z108,"¶")+COUNTIF($E108:Z108,"²")+COUNTIF($E108:Z108,"µ")+COUNTIF($E108:Z108,1)),
HYPERLINK("#Roadmap!C"&amp; MATCH($E108,Roadmap!$D:$D,0)+COUNTIF($E108:Z108,"u")+COUNTIF($E108:Z108,"t"),
     INDEX(Roadmap!$D:$K,MATCH($E108,Roadmap!$D:$D,0)+COUNTIF($E108:Z108,"u")+COUNTIF($E108:Z108,"t")+COUNTIF($E108:Z108,"¶")+COUNTIF($E108:Z108,"²")+COUNTIF($E108:Z108,"µ")+COUNTIF($E108:Z108,1),ColTypeEcheance)),
  IF(LEN(Z108)=1,
  IF(LEN(INDEX(Roadmap!$D:$K,MATCH($E108,Roadmap!$D:$D,0)-1+COUNTIF($E108:Z108,"u")+COUNTIF($E108:Z108,"t")+COUNTIF($E108:Z108,"¶")+COUNTIF($E108:Z108,"²")+COUNTIF($E108:Z108,"µ")+COUNTIF($E108:Z108,1),ColDescriptionCourte))&gt;1,
HYPERLINK("#Roadmap!C"&amp; MATCH($E108,Roadmap!$D:$D,0)+COUNTIF($E108:Z108,"u")+COUNTIF($E108:Z108,"t")+COUNTIF($E108:Z108,"¶")+COUNTIF($E108:Z108,"²")+COUNTIF($E108:Z108,"µ")+COUNTIF($E108:Z108,1)-1,INDEX(Roadmap!$D:$K,MATCH($E108,Roadmap!$D:$D,0)-1+COUNTIF($E108:Z108,"u")+COUNTIF($E108:Z108,"t")+COUNTIF($E108:Z108,"¶")+COUNTIF($E108:Z108,"²")+COUNTIF($E108:Z108,"µ")+COUNTIF($E108:Z108,1),ColDescriptionCourte)),""),
  "")),"")</f>
        <v/>
      </c>
      <c r="AB108" s="40" t="str">
        <f ca="1">IFERROR(IF(AND(
  INDEX(Roadmap!$D:$K,MATCH($E108,Roadmap!$D:$D,0)+COUNTIF($E108:AA108,"u")+COUNTIF($E108:AA108,"t")+COUNTIF($E108:AA108,"¶")+COUNTIF($E108:AA108,"²")+COUNTIF($E108:AA108,"µ")+COUNTIF($E108:AA108,1),ColLivraison)=AB$6,
  VLOOKUP($E108,INDIRECT("tri!"&amp; CHAR(64+ C0Col) &amp;":"&amp; CHAR(65+C0Col)),2,FALSE)&gt;COUNTIF($E108:AA108,"u")+COUNTIF($E108:AA108,"t")+COUNTIF($E108:AA108,"¶")+COUNTIF($E108:AA108,"²")+COUNTIF($E108:AA108,"µ")+COUNTIF($E108:AA108,1)),
HYPERLINK("#Roadmap!C"&amp; MATCH($E108,Roadmap!$D:$D,0)+COUNTIF($E108:AA108,"u")+COUNTIF($E108:AA108,"t"),
     INDEX(Roadmap!$D:$K,MATCH($E108,Roadmap!$D:$D,0)+COUNTIF($E108:AA108,"u")+COUNTIF($E108:AA108,"t")+COUNTIF($E108:AA108,"¶")+COUNTIF($E108:AA108,"²")+COUNTIF($E108:AA108,"µ")+COUNTIF($E108:AA108,1),ColTypeEcheance)),
  IF(LEN(AA108)=1,
  IF(LEN(INDEX(Roadmap!$D:$K,MATCH($E108,Roadmap!$D:$D,0)-1+COUNTIF($E108:AA108,"u")+COUNTIF($E108:AA108,"t")+COUNTIF($E108:AA108,"¶")+COUNTIF($E108:AA108,"²")+COUNTIF($E108:AA108,"µ")+COUNTIF($E108:AA108,1),ColDescriptionCourte))&gt;1,
HYPERLINK("#Roadmap!C"&amp; MATCH($E108,Roadmap!$D:$D,0)+COUNTIF($E108:AA108,"u")+COUNTIF($E108:AA108,"t")+COUNTIF($E108:AA108,"¶")+COUNTIF($E108:AA108,"²")+COUNTIF($E108:AA108,"µ")+COUNTIF($E108:AA108,1)-1,INDEX(Roadmap!$D:$K,MATCH($E108,Roadmap!$D:$D,0)-1+COUNTIF($E108:AA108,"u")+COUNTIF($E108:AA108,"t")+COUNTIF($E108:AA108,"¶")+COUNTIF($E108:AA108,"²")+COUNTIF($E108:AA108,"µ")+COUNTIF($E108:AA108,1),ColDescriptionCourte)),""),
  "")),"")</f>
        <v/>
      </c>
      <c r="AC108" s="40" t="str">
        <f ca="1">IFERROR(IF(AND(
  INDEX(Roadmap!$D:$K,MATCH($E108,Roadmap!$D:$D,0)+COUNTIF($E108:AB108,"u")+COUNTIF($E108:AB108,"t")+COUNTIF($E108:AB108,"¶")+COUNTIF($E108:AB108,"²")+COUNTIF($E108:AB108,"µ")+COUNTIF($E108:AB108,1),ColLivraison)=AC$6,
  VLOOKUP($E108,INDIRECT("tri!"&amp; CHAR(64+ C0Col) &amp;":"&amp; CHAR(65+C0Col)),2,FALSE)&gt;COUNTIF($E108:AB108,"u")+COUNTIF($E108:AB108,"t")+COUNTIF($E108:AB108,"¶")+COUNTIF($E108:AB108,"²")+COUNTIF($E108:AB108,"µ")+COUNTIF($E108:AB108,1)),
HYPERLINK("#Roadmap!C"&amp; MATCH($E108,Roadmap!$D:$D,0)+COUNTIF($E108:AB108,"u")+COUNTIF($E108:AB108,"t"),
     INDEX(Roadmap!$D:$K,MATCH($E108,Roadmap!$D:$D,0)+COUNTIF($E108:AB108,"u")+COUNTIF($E108:AB108,"t")+COUNTIF($E108:AB108,"¶")+COUNTIF($E108:AB108,"²")+COUNTIF($E108:AB108,"µ")+COUNTIF($E108:AB108,1),ColTypeEcheance)),
  IF(LEN(AB108)=1,
  IF(LEN(INDEX(Roadmap!$D:$K,MATCH($E108,Roadmap!$D:$D,0)-1+COUNTIF($E108:AB108,"u")+COUNTIF($E108:AB108,"t")+COUNTIF($E108:AB108,"¶")+COUNTIF($E108:AB108,"²")+COUNTIF($E108:AB108,"µ")+COUNTIF($E108:AB108,1),ColDescriptionCourte))&gt;1,
HYPERLINK("#Roadmap!C"&amp; MATCH($E108,Roadmap!$D:$D,0)+COUNTIF($E108:AB108,"u")+COUNTIF($E108:AB108,"t")+COUNTIF($E108:AB108,"¶")+COUNTIF($E108:AB108,"²")+COUNTIF($E108:AB108,"µ")+COUNTIF($E108:AB108,1)-1,INDEX(Roadmap!$D:$K,MATCH($E108,Roadmap!$D:$D,0)-1+COUNTIF($E108:AB108,"u")+COUNTIF($E108:AB108,"t")+COUNTIF($E108:AB108,"¶")+COUNTIF($E108:AB108,"²")+COUNTIF($E108:AB108,"µ")+COUNTIF($E108:AB108,1),ColDescriptionCourte)),""),
  "")),"")</f>
        <v/>
      </c>
      <c r="AD108" s="40" t="str">
        <f ca="1">IFERROR(IF(AND(
  INDEX(Roadmap!$D:$K,MATCH($E108,Roadmap!$D:$D,0)+COUNTIF($E108:AC108,"u")+COUNTIF($E108:AC108,"t")+COUNTIF($E108:AC108,"¶")+COUNTIF($E108:AC108,"²")+COUNTIF($E108:AC108,"µ")+COUNTIF($E108:AC108,1),ColLivraison)=AD$6,
  VLOOKUP($E108,INDIRECT("tri!"&amp; CHAR(64+ C0Col) &amp;":"&amp; CHAR(65+C0Col)),2,FALSE)&gt;COUNTIF($E108:AC108,"u")+COUNTIF($E108:AC108,"t")+COUNTIF($E108:AC108,"¶")+COUNTIF($E108:AC108,"²")+COUNTIF($E108:AC108,"µ")+COUNTIF($E108:AC108,1)),
HYPERLINK("#Roadmap!C"&amp; MATCH($E108,Roadmap!$D:$D,0)+COUNTIF($E108:AC108,"u")+COUNTIF($E108:AC108,"t"),
     INDEX(Roadmap!$D:$K,MATCH($E108,Roadmap!$D:$D,0)+COUNTIF($E108:AC108,"u")+COUNTIF($E108:AC108,"t")+COUNTIF($E108:AC108,"¶")+COUNTIF($E108:AC108,"²")+COUNTIF($E108:AC108,"µ")+COUNTIF($E108:AC108,1),ColTypeEcheance)),
  IF(LEN(AC108)=1,
  IF(LEN(INDEX(Roadmap!$D:$K,MATCH($E108,Roadmap!$D:$D,0)-1+COUNTIF($E108:AC108,"u")+COUNTIF($E108:AC108,"t")+COUNTIF($E108:AC108,"¶")+COUNTIF($E108:AC108,"²")+COUNTIF($E108:AC108,"µ")+COUNTIF($E108:AC108,1),ColDescriptionCourte))&gt;1,
HYPERLINK("#Roadmap!C"&amp; MATCH($E108,Roadmap!$D:$D,0)+COUNTIF($E108:AC108,"u")+COUNTIF($E108:AC108,"t")+COUNTIF($E108:AC108,"¶")+COUNTIF($E108:AC108,"²")+COUNTIF($E108:AC108,"µ")+COUNTIF($E108:AC108,1)-1,INDEX(Roadmap!$D:$K,MATCH($E108,Roadmap!$D:$D,0)-1+COUNTIF($E108:AC108,"u")+COUNTIF($E108:AC108,"t")+COUNTIF($E108:AC108,"¶")+COUNTIF($E108:AC108,"²")+COUNTIF($E108:AC108,"µ")+COUNTIF($E108:AC108,1),ColDescriptionCourte)),""),
  "")),"")</f>
        <v/>
      </c>
      <c r="AE108" s="40" t="str">
        <f ca="1">IFERROR(IF(AND(
  INDEX(Roadmap!$D:$K,MATCH($E108,Roadmap!$D:$D,0)+COUNTIF($E108:AD108,"u")+COUNTIF($E108:AD108,"t")+COUNTIF($E108:AD108,"¶")+COUNTIF($E108:AD108,"²")+COUNTIF($E108:AD108,"µ")+COUNTIF($E108:AD108,1),ColLivraison)=AE$6,
  VLOOKUP($E108,INDIRECT("tri!"&amp; CHAR(64+ C0Col) &amp;":"&amp; CHAR(65+C0Col)),2,FALSE)&gt;COUNTIF($E108:AD108,"u")+COUNTIF($E108:AD108,"t")+COUNTIF($E108:AD108,"¶")+COUNTIF($E108:AD108,"²")+COUNTIF($E108:AD108,"µ")+COUNTIF($E108:AD108,1)),
HYPERLINK("#Roadmap!C"&amp; MATCH($E108,Roadmap!$D:$D,0)+COUNTIF($E108:AD108,"u")+COUNTIF($E108:AD108,"t"),
     INDEX(Roadmap!$D:$K,MATCH($E108,Roadmap!$D:$D,0)+COUNTIF($E108:AD108,"u")+COUNTIF($E108:AD108,"t")+COUNTIF($E108:AD108,"¶")+COUNTIF($E108:AD108,"²")+COUNTIF($E108:AD108,"µ")+COUNTIF($E108:AD108,1),ColTypeEcheance)),
  IF(LEN(AD108)=1,
  IF(LEN(INDEX(Roadmap!$D:$K,MATCH($E108,Roadmap!$D:$D,0)-1+COUNTIF($E108:AD108,"u")+COUNTIF($E108:AD108,"t")+COUNTIF($E108:AD108,"¶")+COUNTIF($E108:AD108,"²")+COUNTIF($E108:AD108,"µ")+COUNTIF($E108:AD108,1),ColDescriptionCourte))&gt;1,
HYPERLINK("#Roadmap!C"&amp; MATCH($E108,Roadmap!$D:$D,0)+COUNTIF($E108:AD108,"u")+COUNTIF($E108:AD108,"t")+COUNTIF($E108:AD108,"¶")+COUNTIF($E108:AD108,"²")+COUNTIF($E108:AD108,"µ")+COUNTIF($E108:AD108,1)-1,INDEX(Roadmap!$D:$K,MATCH($E108,Roadmap!$D:$D,0)-1+COUNTIF($E108:AD108,"u")+COUNTIF($E108:AD108,"t")+COUNTIF($E108:AD108,"¶")+COUNTIF($E108:AD108,"²")+COUNTIF($E108:AD108,"µ")+COUNTIF($E108:AD108,1),ColDescriptionCourte)),""),
  "")),"")</f>
        <v/>
      </c>
      <c r="AF108" s="40" t="str">
        <f ca="1">IFERROR(IF(AND(
  INDEX(Roadmap!$D:$K,MATCH($E108,Roadmap!$D:$D,0)+COUNTIF($E108:AE108,"u")+COUNTIF($E108:AE108,"t")+COUNTIF($E108:AE108,"¶")+COUNTIF($E108:AE108,"²")+COUNTIF($E108:AE108,"µ")+COUNTIF($E108:AE108,1),ColLivraison)=AF$6,
  VLOOKUP($E108,INDIRECT("tri!"&amp; CHAR(64+ C0Col) &amp;":"&amp; CHAR(65+C0Col)),2,FALSE)&gt;COUNTIF($E108:AE108,"u")+COUNTIF($E108:AE108,"t")+COUNTIF($E108:AE108,"¶")+COUNTIF($E108:AE108,"²")+COUNTIF($E108:AE108,"µ")+COUNTIF($E108:AE108,1)),
HYPERLINK("#Roadmap!C"&amp; MATCH($E108,Roadmap!$D:$D,0)+COUNTIF($E108:AE108,"u")+COUNTIF($E108:AE108,"t"),
     INDEX(Roadmap!$D:$K,MATCH($E108,Roadmap!$D:$D,0)+COUNTIF($E108:AE108,"u")+COUNTIF($E108:AE108,"t")+COUNTIF($E108:AE108,"¶")+COUNTIF($E108:AE108,"²")+COUNTIF($E108:AE108,"µ")+COUNTIF($E108:AE108,1),ColTypeEcheance)),
  IF(LEN(AE108)=1,
  IF(LEN(INDEX(Roadmap!$D:$K,MATCH($E108,Roadmap!$D:$D,0)-1+COUNTIF($E108:AE108,"u")+COUNTIF($E108:AE108,"t")+COUNTIF($E108:AE108,"¶")+COUNTIF($E108:AE108,"²")+COUNTIF($E108:AE108,"µ")+COUNTIF($E108:AE108,1),ColDescriptionCourte))&gt;1,
HYPERLINK("#Roadmap!C"&amp; MATCH($E108,Roadmap!$D:$D,0)+COUNTIF($E108:AE108,"u")+COUNTIF($E108:AE108,"t")+COUNTIF($E108:AE108,"¶")+COUNTIF($E108:AE108,"²")+COUNTIF($E108:AE108,"µ")+COUNTIF($E108:AE108,1)-1,INDEX(Roadmap!$D:$K,MATCH($E108,Roadmap!$D:$D,0)-1+COUNTIF($E108:AE108,"u")+COUNTIF($E108:AE108,"t")+COUNTIF($E108:AE108,"¶")+COUNTIF($E108:AE108,"²")+COUNTIF($E108:AE108,"µ")+COUNTIF($E108:AE108,1),ColDescriptionCourte)),""),
  "")),"")</f>
        <v/>
      </c>
      <c r="AG108" s="40" t="str">
        <f ca="1">IFERROR(IF(AND(
  INDEX(Roadmap!$D:$K,MATCH($E108,Roadmap!$D:$D,0)+COUNTIF($E108:AF108,"u")+COUNTIF($E108:AF108,"t")+COUNTIF($E108:AF108,"¶")+COUNTIF($E108:AF108,"²")+COUNTIF($E108:AF108,"µ")+COUNTIF($E108:AF108,1),ColLivraison)=AG$6,
  VLOOKUP($E108,INDIRECT("tri!"&amp; CHAR(64+ C0Col) &amp;":"&amp; CHAR(65+C0Col)),2,FALSE)&gt;COUNTIF($E108:AF108,"u")+COUNTIF($E108:AF108,"t")+COUNTIF($E108:AF108,"¶")+COUNTIF($E108:AF108,"²")+COUNTIF($E108:AF108,"µ")+COUNTIF($E108:AF108,1)),
HYPERLINK("#Roadmap!C"&amp; MATCH($E108,Roadmap!$D:$D,0)+COUNTIF($E108:AF108,"u")+COUNTIF($E108:AF108,"t"),
     INDEX(Roadmap!$D:$K,MATCH($E108,Roadmap!$D:$D,0)+COUNTIF($E108:AF108,"u")+COUNTIF($E108:AF108,"t")+COUNTIF($E108:AF108,"¶")+COUNTIF($E108:AF108,"²")+COUNTIF($E108:AF108,"µ")+COUNTIF($E108:AF108,1),ColTypeEcheance)),
  IF(LEN(AF108)=1,
  IF(LEN(INDEX(Roadmap!$D:$K,MATCH($E108,Roadmap!$D:$D,0)-1+COUNTIF($E108:AF108,"u")+COUNTIF($E108:AF108,"t")+COUNTIF($E108:AF108,"¶")+COUNTIF($E108:AF108,"²")+COUNTIF($E108:AF108,"µ")+COUNTIF($E108:AF108,1),ColDescriptionCourte))&gt;1,
HYPERLINK("#Roadmap!C"&amp; MATCH($E108,Roadmap!$D:$D,0)+COUNTIF($E108:AF108,"u")+COUNTIF($E108:AF108,"t")+COUNTIF($E108:AF108,"¶")+COUNTIF($E108:AF108,"²")+COUNTIF($E108:AF108,"µ")+COUNTIF($E108:AF108,1)-1,INDEX(Roadmap!$D:$K,MATCH($E108,Roadmap!$D:$D,0)-1+COUNTIF($E108:AF108,"u")+COUNTIF($E108:AF108,"t")+COUNTIF($E108:AF108,"¶")+COUNTIF($E108:AF108,"²")+COUNTIF($E108:AF108,"µ")+COUNTIF($E108:AF108,1),ColDescriptionCourte)),""),
  "")),"")</f>
        <v/>
      </c>
    </row>
    <row r="109" spans="3:33" ht="14.25" customHeight="1">
      <c r="C109" s="1" t="str">
        <f t="shared" ca="1" si="49"/>
        <v/>
      </c>
      <c r="D109" s="1" t="str">
        <f t="shared" ca="1" si="50"/>
        <v/>
      </c>
      <c r="E109" s="35" t="str">
        <f t="shared" ca="1" si="46"/>
        <v/>
      </c>
      <c r="F109" s="39" t="str">
        <f ca="1">IFERROR(IF(AND(
  INDEX(Roadmap!$D:$K,MATCH($E109,Roadmap!$D:$D,0)+COUNTIF($E109:E109,"u")+COUNTIF($E109:E109,"t")+COUNTIF($E109:E109,"¶")+COUNTIF($E109:E109,"²")+COUNTIF($E109:E109,"µ")+COUNTIF($E109:E109,1),ColLivraison)=F$6,
  VLOOKUP($E109,INDIRECT("tri!"&amp; CHAR(64+ C0Col) &amp;":"&amp; CHAR(65+C0Col)),2,FALSE)&gt;COUNTIF($E109:E109,"u")+COUNTIF($E109:E109,"t")+COUNTIF($E109:E109,"¶")+COUNTIF($E109:E109,"²")+COUNTIF($E109:E109,"µ")+COUNTIF($E109:E109,1)),
HYPERLINK("#Roadmap!C"&amp; MATCH($E109,Roadmap!$D:$D,0)+COUNTIF($E109:E109,"u")+COUNTIF($E109:E109,"t"),
     INDEX(Roadmap!$D:$K,MATCH($E109,Roadmap!$D:$D,0)+COUNTIF($E109:E109,"u")+COUNTIF($E109:E109,"t")+COUNTIF($E109:E109,"¶")+COUNTIF($E109:E109,"²")+COUNTIF($E109:E109,"µ")+COUNTIF($E109:E109,1),ColTypeEcheance)),
  IF(LEN(E109)=1,
  IF(LEN(INDEX(Roadmap!$D:$K,MATCH($E109,Roadmap!$D:$D,0)-1+COUNTIF($E109:E109,"u")+COUNTIF($E109:E109,"t")+COUNTIF($E109:E109,"¶")+COUNTIF($E109:E109,"²")+COUNTIF($E109:E109,"µ")+COUNTIF($E109:E109,1),ColDescriptionCourte))&gt;1,
HYPERLINK("#Roadmap!C"&amp; MATCH($E109,Roadmap!$D:$D,0)+COUNTIF($E109:E109,"u")+COUNTIF($E109:E109,"t")+COUNTIF($E109:E109,"¶")+COUNTIF($E109:E109,"²")+COUNTIF($E109:E109,"µ")+COUNTIF($E109:E109,1)-1,INDEX(Roadmap!$D:$K,MATCH($E109,Roadmap!$D:$D,0)-1+COUNTIF($E109:E109,"u")+COUNTIF($E109:E109,"t")+COUNTIF($E109:E109,"¶")+COUNTIF($E109:E109,"²")+COUNTIF($E109:E109,"µ")+COUNTIF($E109:E109,1),ColDescriptionCourte)),""),
  "")),"")</f>
        <v/>
      </c>
      <c r="G109" s="40" t="str">
        <f ca="1">IFERROR(IF(AND(
  INDEX(Roadmap!$D:$K,MATCH($E109,Roadmap!$D:$D,0)+COUNTIF($E109:F109,"u")+COUNTIF($E109:F109,"t")+COUNTIF($E109:F109,"¶")+COUNTIF($E109:F109,"²")+COUNTIF($E109:F109,"µ")+COUNTIF($E109:F109,1),ColLivraison)=G$6,
  VLOOKUP($E109,INDIRECT("tri!"&amp; CHAR(64+ C0Col) &amp;":"&amp; CHAR(65+C0Col)),2,FALSE)&gt;COUNTIF($E109:F109,"u")+COUNTIF($E109:F109,"t")+COUNTIF($E109:F109,"¶")+COUNTIF($E109:F109,"²")+COUNTIF($E109:F109,"µ")+COUNTIF($E109:F109,1)),
HYPERLINK("#Roadmap!C"&amp; MATCH($E109,Roadmap!$D:$D,0)+COUNTIF($E109:F109,"u")+COUNTIF($E109:F109,"t"),
     INDEX(Roadmap!$D:$K,MATCH($E109,Roadmap!$D:$D,0)+COUNTIF($E109:F109,"u")+COUNTIF($E109:F109,"t")+COUNTIF($E109:F109,"¶")+COUNTIF($E109:F109,"²")+COUNTIF($E109:F109,"µ")+COUNTIF($E109:F109,1),ColTypeEcheance)),
  IF(LEN(F109)=1,
  IF(LEN(INDEX(Roadmap!$D:$K,MATCH($E109,Roadmap!$D:$D,0)-1+COUNTIF($E109:F109,"u")+COUNTIF($E109:F109,"t")+COUNTIF($E109:F109,"¶")+COUNTIF($E109:F109,"²")+COUNTIF($E109:F109,"µ")+COUNTIF($E109:F109,1),ColDescriptionCourte))&gt;1,
HYPERLINK("#Roadmap!C"&amp; MATCH($E109,Roadmap!$D:$D,0)+COUNTIF($E109:F109,"u")+COUNTIF($E109:F109,"t")+COUNTIF($E109:F109,"¶")+COUNTIF($E109:F109,"²")+COUNTIF($E109:F109,"µ")+COUNTIF($E109:F109,1)-1,INDEX(Roadmap!$D:$K,MATCH($E109,Roadmap!$D:$D,0)-1+COUNTIF($E109:F109,"u")+COUNTIF($E109:F109,"t")+COUNTIF($E109:F109,"¶")+COUNTIF($E109:F109,"²")+COUNTIF($E109:F109,"µ")+COUNTIF($E109:F109,1),ColDescriptionCourte)),""),
  "")),"")</f>
        <v/>
      </c>
      <c r="H109" s="40" t="str">
        <f ca="1">IFERROR(IF(AND(
  INDEX(Roadmap!$D:$K,MATCH($E109,Roadmap!$D:$D,0)+COUNTIF($E109:G109,"u")+COUNTIF($E109:G109,"t")+COUNTIF($E109:G109,"¶")+COUNTIF($E109:G109,"²")+COUNTIF($E109:G109,"µ")+COUNTIF($E109:G109,1),ColLivraison)=H$6,
  VLOOKUP($E109,INDIRECT("tri!"&amp; CHAR(64+ C0Col) &amp;":"&amp; CHAR(65+C0Col)),2,FALSE)&gt;COUNTIF($E109:G109,"u")+COUNTIF($E109:G109,"t")+COUNTIF($E109:G109,"¶")+COUNTIF($E109:G109,"²")+COUNTIF($E109:G109,"µ")+COUNTIF($E109:G109,1)),
HYPERLINK("#Roadmap!C"&amp; MATCH($E109,Roadmap!$D:$D,0)+COUNTIF($E109:G109,"u")+COUNTIF($E109:G109,"t"),
     INDEX(Roadmap!$D:$K,MATCH($E109,Roadmap!$D:$D,0)+COUNTIF($E109:G109,"u")+COUNTIF($E109:G109,"t")+COUNTIF($E109:G109,"¶")+COUNTIF($E109:G109,"²")+COUNTIF($E109:G109,"µ")+COUNTIF($E109:G109,1),ColTypeEcheance)),
  IF(LEN(G109)=1,
  IF(LEN(INDEX(Roadmap!$D:$K,MATCH($E109,Roadmap!$D:$D,0)-1+COUNTIF($E109:G109,"u")+COUNTIF($E109:G109,"t")+COUNTIF($E109:G109,"¶")+COUNTIF($E109:G109,"²")+COUNTIF($E109:G109,"µ")+COUNTIF($E109:G109,1),ColDescriptionCourte))&gt;1,
HYPERLINK("#Roadmap!C"&amp; MATCH($E109,Roadmap!$D:$D,0)+COUNTIF($E109:G109,"u")+COUNTIF($E109:G109,"t")+COUNTIF($E109:G109,"¶")+COUNTIF($E109:G109,"²")+COUNTIF($E109:G109,"µ")+COUNTIF($E109:G109,1)-1,INDEX(Roadmap!$D:$K,MATCH($E109,Roadmap!$D:$D,0)-1+COUNTIF($E109:G109,"u")+COUNTIF($E109:G109,"t")+COUNTIF($E109:G109,"¶")+COUNTIF($E109:G109,"²")+COUNTIF($E109:G109,"µ")+COUNTIF($E109:G109,1),ColDescriptionCourte)),""),
  "")),"")</f>
        <v/>
      </c>
      <c r="I109" s="40" t="str">
        <f ca="1">IFERROR(IF(AND(
  INDEX(Roadmap!$D:$K,MATCH($E109,Roadmap!$D:$D,0)+COUNTIF($E109:H109,"u")+COUNTIF($E109:H109,"t")+COUNTIF($E109:H109,"¶")+COUNTIF($E109:H109,"²")+COUNTIF($E109:H109,"µ")+COUNTIF($E109:H109,1),ColLivraison)=I$6,
  VLOOKUP($E109,INDIRECT("tri!"&amp; CHAR(64+ C0Col) &amp;":"&amp; CHAR(65+C0Col)),2,FALSE)&gt;COUNTIF($E109:H109,"u")+COUNTIF($E109:H109,"t")+COUNTIF($E109:H109,"¶")+COUNTIF($E109:H109,"²")+COUNTIF($E109:H109,"µ")+COUNTIF($E109:H109,1)),
HYPERLINK("#Roadmap!C"&amp; MATCH($E109,Roadmap!$D:$D,0)+COUNTIF($E109:H109,"u")+COUNTIF($E109:H109,"t"),
     INDEX(Roadmap!$D:$K,MATCH($E109,Roadmap!$D:$D,0)+COUNTIF($E109:H109,"u")+COUNTIF($E109:H109,"t")+COUNTIF($E109:H109,"¶")+COUNTIF($E109:H109,"²")+COUNTIF($E109:H109,"µ")+COUNTIF($E109:H109,1),ColTypeEcheance)),
  IF(LEN(H109)=1,
  IF(LEN(INDEX(Roadmap!$D:$K,MATCH($E109,Roadmap!$D:$D,0)-1+COUNTIF($E109:H109,"u")+COUNTIF($E109:H109,"t")+COUNTIF($E109:H109,"¶")+COUNTIF($E109:H109,"²")+COUNTIF($E109:H109,"µ")+COUNTIF($E109:H109,1),ColDescriptionCourte))&gt;1,
HYPERLINK("#Roadmap!C"&amp; MATCH($E109,Roadmap!$D:$D,0)+COUNTIF($E109:H109,"u")+COUNTIF($E109:H109,"t")+COUNTIF($E109:H109,"¶")+COUNTIF($E109:H109,"²")+COUNTIF($E109:H109,"µ")+COUNTIF($E109:H109,1)-1,INDEX(Roadmap!$D:$K,MATCH($E109,Roadmap!$D:$D,0)-1+COUNTIF($E109:H109,"u")+COUNTIF($E109:H109,"t")+COUNTIF($E109:H109,"¶")+COUNTIF($E109:H109,"²")+COUNTIF($E109:H109,"µ")+COUNTIF($E109:H109,1),ColDescriptionCourte)),""),
  "")),"")</f>
        <v/>
      </c>
      <c r="J109" s="40" t="str">
        <f ca="1">IFERROR(IF(AND(
  INDEX(Roadmap!$D:$K,MATCH($E109,Roadmap!$D:$D,0)+COUNTIF($E109:I109,"u")+COUNTIF($E109:I109,"t")+COUNTIF($E109:I109,"¶")+COUNTIF($E109:I109,"²")+COUNTIF($E109:I109,"µ")+COUNTIF($E109:I109,1),ColLivraison)=J$6,
  VLOOKUP($E109,INDIRECT("tri!"&amp; CHAR(64+ C0Col) &amp;":"&amp; CHAR(65+C0Col)),2,FALSE)&gt;COUNTIF($E109:I109,"u")+COUNTIF($E109:I109,"t")+COUNTIF($E109:I109,"¶")+COUNTIF($E109:I109,"²")+COUNTIF($E109:I109,"µ")+COUNTIF($E109:I109,1)),
HYPERLINK("#Roadmap!C"&amp; MATCH($E109,Roadmap!$D:$D,0)+COUNTIF($E109:I109,"u")+COUNTIF($E109:I109,"t"),
     INDEX(Roadmap!$D:$K,MATCH($E109,Roadmap!$D:$D,0)+COUNTIF($E109:I109,"u")+COUNTIF($E109:I109,"t")+COUNTIF($E109:I109,"¶")+COUNTIF($E109:I109,"²")+COUNTIF($E109:I109,"µ")+COUNTIF($E109:I109,1),ColTypeEcheance)),
  IF(LEN(I109)=1,
  IF(LEN(INDEX(Roadmap!$D:$K,MATCH($E109,Roadmap!$D:$D,0)-1+COUNTIF($E109:I109,"u")+COUNTIF($E109:I109,"t")+COUNTIF($E109:I109,"¶")+COUNTIF($E109:I109,"²")+COUNTIF($E109:I109,"µ")+COUNTIF($E109:I109,1),ColDescriptionCourte))&gt;1,
HYPERLINK("#Roadmap!C"&amp; MATCH($E109,Roadmap!$D:$D,0)+COUNTIF($E109:I109,"u")+COUNTIF($E109:I109,"t")+COUNTIF($E109:I109,"¶")+COUNTIF($E109:I109,"²")+COUNTIF($E109:I109,"µ")+COUNTIF($E109:I109,1)-1,INDEX(Roadmap!$D:$K,MATCH($E109,Roadmap!$D:$D,0)-1+COUNTIF($E109:I109,"u")+COUNTIF($E109:I109,"t")+COUNTIF($E109:I109,"¶")+COUNTIF($E109:I109,"²")+COUNTIF($E109:I109,"µ")+COUNTIF($E109:I109,1),ColDescriptionCourte)),""),
  "")),"")</f>
        <v/>
      </c>
      <c r="K109" s="40" t="str">
        <f ca="1">IFERROR(IF(AND(
  INDEX(Roadmap!$D:$K,MATCH($E109,Roadmap!$D:$D,0)+COUNTIF($E109:J109,"u")+COUNTIF($E109:J109,"t")+COUNTIF($E109:J109,"¶")+COUNTIF($E109:J109,"²")+COUNTIF($E109:J109,"µ")+COUNTIF($E109:J109,1),ColLivraison)=K$6,
  VLOOKUP($E109,INDIRECT("tri!"&amp; CHAR(64+ C0Col) &amp;":"&amp; CHAR(65+C0Col)),2,FALSE)&gt;COUNTIF($E109:J109,"u")+COUNTIF($E109:J109,"t")+COUNTIF($E109:J109,"¶")+COUNTIF($E109:J109,"²")+COUNTIF($E109:J109,"µ")+COUNTIF($E109:J109,1)),
HYPERLINK("#Roadmap!C"&amp; MATCH($E109,Roadmap!$D:$D,0)+COUNTIF($E109:J109,"u")+COUNTIF($E109:J109,"t"),
     INDEX(Roadmap!$D:$K,MATCH($E109,Roadmap!$D:$D,0)+COUNTIF($E109:J109,"u")+COUNTIF($E109:J109,"t")+COUNTIF($E109:J109,"¶")+COUNTIF($E109:J109,"²")+COUNTIF($E109:J109,"µ")+COUNTIF($E109:J109,1),ColTypeEcheance)),
  IF(LEN(J109)=1,
  IF(LEN(INDEX(Roadmap!$D:$K,MATCH($E109,Roadmap!$D:$D,0)-1+COUNTIF($E109:J109,"u")+COUNTIF($E109:J109,"t")+COUNTIF($E109:J109,"¶")+COUNTIF($E109:J109,"²")+COUNTIF($E109:J109,"µ")+COUNTIF($E109:J109,1),ColDescriptionCourte))&gt;1,
HYPERLINK("#Roadmap!C"&amp; MATCH($E109,Roadmap!$D:$D,0)+COUNTIF($E109:J109,"u")+COUNTIF($E109:J109,"t")+COUNTIF($E109:J109,"¶")+COUNTIF($E109:J109,"²")+COUNTIF($E109:J109,"µ")+COUNTIF($E109:J109,1)-1,INDEX(Roadmap!$D:$K,MATCH($E109,Roadmap!$D:$D,0)-1+COUNTIF($E109:J109,"u")+COUNTIF($E109:J109,"t")+COUNTIF($E109:J109,"¶")+COUNTIF($E109:J109,"²")+COUNTIF($E109:J109,"µ")+COUNTIF($E109:J109,1),ColDescriptionCourte)),""),
  "")),"")</f>
        <v/>
      </c>
      <c r="L109" s="39" t="str">
        <f ca="1">IFERROR(IF(AND(
  INDEX(Roadmap!$D:$K,MATCH($E109,Roadmap!$D:$D,0)+COUNTIF($E109:K109,"u")+COUNTIF($E109:K109,"t")+COUNTIF($E109:K109,"¶")+COUNTIF($E109:K109,"²")+COUNTIF($E109:K109,"µ")+COUNTIF($E109:K109,1),ColLivraison)=L$6,
  VLOOKUP($E109,INDIRECT("tri!"&amp; CHAR(64+ C0Col) &amp;":"&amp; CHAR(65+C0Col)),2,FALSE)&gt;COUNTIF($E109:K109,"u")+COUNTIF($E109:K109,"t")+COUNTIF($E109:K109,"¶")+COUNTIF($E109:K109,"²")+COUNTIF($E109:K109,"µ")+COUNTIF($E109:K109,1)),
HYPERLINK("#Roadmap!C"&amp; MATCH($E109,Roadmap!$D:$D,0)+COUNTIF($E109:K109,"u")+COUNTIF($E109:K109,"t"),
     INDEX(Roadmap!$D:$K,MATCH($E109,Roadmap!$D:$D,0)+COUNTIF($E109:K109,"u")+COUNTIF($E109:K109,"t")+COUNTIF($E109:K109,"¶")+COUNTIF($E109:K109,"²")+COUNTIF($E109:K109,"µ")+COUNTIF($E109:K109,1),ColTypeEcheance)),
  IF(LEN(K109)=1,
  IF(LEN(INDEX(Roadmap!$D:$K,MATCH($E109,Roadmap!$D:$D,0)-1+COUNTIF($E109:K109,"u")+COUNTIF($E109:K109,"t")+COUNTIF($E109:K109,"¶")+COUNTIF($E109:K109,"²")+COUNTIF($E109:K109,"µ")+COUNTIF($E109:K109,1),ColDescriptionCourte))&gt;1,
HYPERLINK("#Roadmap!C"&amp; MATCH($E109,Roadmap!$D:$D,0)+COUNTIF($E109:K109,"u")+COUNTIF($E109:K109,"t")+COUNTIF($E109:K109,"¶")+COUNTIF($E109:K109,"²")+COUNTIF($E109:K109,"µ")+COUNTIF($E109:K109,1)-1,INDEX(Roadmap!$D:$K,MATCH($E109,Roadmap!$D:$D,0)-1+COUNTIF($E109:K109,"u")+COUNTIF($E109:K109,"t")+COUNTIF($E109:K109,"¶")+COUNTIF($E109:K109,"²")+COUNTIF($E109:K109,"µ")+COUNTIF($E109:K109,1),ColDescriptionCourte)),""),
  "")),"")</f>
        <v/>
      </c>
      <c r="M109" s="40" t="str">
        <f ca="1">IFERROR(IF(AND(
  INDEX(Roadmap!$D:$K,MATCH($E109,Roadmap!$D:$D,0)+COUNTIF($E109:L109,"u")+COUNTIF($E109:L109,"t")+COUNTIF($E109:L109,"¶")+COUNTIF($E109:L109,"²")+COUNTIF($E109:L109,"µ")+COUNTIF($E109:L109,1),ColLivraison)=M$6,
  VLOOKUP($E109,INDIRECT("tri!"&amp; CHAR(64+ C0Col) &amp;":"&amp; CHAR(65+C0Col)),2,FALSE)&gt;COUNTIF($E109:L109,"u")+COUNTIF($E109:L109,"t")+COUNTIF($E109:L109,"¶")+COUNTIF($E109:L109,"²")+COUNTIF($E109:L109,"µ")+COUNTIF($E109:L109,1)),
HYPERLINK("#Roadmap!C"&amp; MATCH($E109,Roadmap!$D:$D,0)+COUNTIF($E109:L109,"u")+COUNTIF($E109:L109,"t"),
     INDEX(Roadmap!$D:$K,MATCH($E109,Roadmap!$D:$D,0)+COUNTIF($E109:L109,"u")+COUNTIF($E109:L109,"t")+COUNTIF($E109:L109,"¶")+COUNTIF($E109:L109,"²")+COUNTIF($E109:L109,"µ")+COUNTIF($E109:L109,1),ColTypeEcheance)),
  IF(LEN(L109)=1,
  IF(LEN(INDEX(Roadmap!$D:$K,MATCH($E109,Roadmap!$D:$D,0)-1+COUNTIF($E109:L109,"u")+COUNTIF($E109:L109,"t")+COUNTIF($E109:L109,"¶")+COUNTIF($E109:L109,"²")+COUNTIF($E109:L109,"µ")+COUNTIF($E109:L109,1),ColDescriptionCourte))&gt;1,
HYPERLINK("#Roadmap!C"&amp; MATCH($E109,Roadmap!$D:$D,0)+COUNTIF($E109:L109,"u")+COUNTIF($E109:L109,"t")+COUNTIF($E109:L109,"¶")+COUNTIF($E109:L109,"²")+COUNTIF($E109:L109,"µ")+COUNTIF($E109:L109,1)-1,INDEX(Roadmap!$D:$K,MATCH($E109,Roadmap!$D:$D,0)-1+COUNTIF($E109:L109,"u")+COUNTIF($E109:L109,"t")+COUNTIF($E109:L109,"¶")+COUNTIF($E109:L109,"²")+COUNTIF($E109:L109,"µ")+COUNTIF($E109:L109,1),ColDescriptionCourte)),""),
  "")),"")</f>
        <v/>
      </c>
      <c r="N109" s="40" t="str">
        <f ca="1">IFERROR(IF(AND(
  INDEX(Roadmap!$D:$K,MATCH($E109,Roadmap!$D:$D,0)+COUNTIF($E109:M109,"u")+COUNTIF($E109:M109,"t")+COUNTIF($E109:M109,"¶")+COUNTIF($E109:M109,"²")+COUNTIF($E109:M109,"µ")+COUNTIF($E109:M109,1),ColLivraison)=N$6,
  VLOOKUP($E109,INDIRECT("tri!"&amp; CHAR(64+ C0Col) &amp;":"&amp; CHAR(65+C0Col)),2,FALSE)&gt;COUNTIF($E109:M109,"u")+COUNTIF($E109:M109,"t")+COUNTIF($E109:M109,"¶")+COUNTIF($E109:M109,"²")+COUNTIF($E109:M109,"µ")+COUNTIF($E109:M109,1)),
HYPERLINK("#Roadmap!C"&amp; MATCH($E109,Roadmap!$D:$D,0)+COUNTIF($E109:M109,"u")+COUNTIF($E109:M109,"t"),
     INDEX(Roadmap!$D:$K,MATCH($E109,Roadmap!$D:$D,0)+COUNTIF($E109:M109,"u")+COUNTIF($E109:M109,"t")+COUNTIF($E109:M109,"¶")+COUNTIF($E109:M109,"²")+COUNTIF($E109:M109,"µ")+COUNTIF($E109:M109,1),ColTypeEcheance)),
  IF(LEN(M109)=1,
  IF(LEN(INDEX(Roadmap!$D:$K,MATCH($E109,Roadmap!$D:$D,0)-1+COUNTIF($E109:M109,"u")+COUNTIF($E109:M109,"t")+COUNTIF($E109:M109,"¶")+COUNTIF($E109:M109,"²")+COUNTIF($E109:M109,"µ")+COUNTIF($E109:M109,1),ColDescriptionCourte))&gt;1,
HYPERLINK("#Roadmap!C"&amp; MATCH($E109,Roadmap!$D:$D,0)+COUNTIF($E109:M109,"u")+COUNTIF($E109:M109,"t")+COUNTIF($E109:M109,"¶")+COUNTIF($E109:M109,"²")+COUNTIF($E109:M109,"µ")+COUNTIF($E109:M109,1)-1,INDEX(Roadmap!$D:$K,MATCH($E109,Roadmap!$D:$D,0)-1+COUNTIF($E109:M109,"u")+COUNTIF($E109:M109,"t")+COUNTIF($E109:M109,"¶")+COUNTIF($E109:M109,"²")+COUNTIF($E109:M109,"µ")+COUNTIF($E109:M109,1),ColDescriptionCourte)),""),
  "")),"")</f>
        <v/>
      </c>
      <c r="O109" s="40" t="str">
        <f ca="1">IFERROR(IF(AND(
  INDEX(Roadmap!$D:$K,MATCH($E109,Roadmap!$D:$D,0)+COUNTIF($E109:N109,"u")+COUNTIF($E109:N109,"t")+COUNTIF($E109:N109,"¶")+COUNTIF($E109:N109,"²")+COUNTIF($E109:N109,"µ")+COUNTIF($E109:N109,1),ColLivraison)=O$6,
  VLOOKUP($E109,INDIRECT("tri!"&amp; CHAR(64+ C0Col) &amp;":"&amp; CHAR(65+C0Col)),2,FALSE)&gt;COUNTIF($E109:N109,"u")+COUNTIF($E109:N109,"t")+COUNTIF($E109:N109,"¶")+COUNTIF($E109:N109,"²")+COUNTIF($E109:N109,"µ")+COUNTIF($E109:N109,1)),
HYPERLINK("#Roadmap!C"&amp; MATCH($E109,Roadmap!$D:$D,0)+COUNTIF($E109:N109,"u")+COUNTIF($E109:N109,"t"),
     INDEX(Roadmap!$D:$K,MATCH($E109,Roadmap!$D:$D,0)+COUNTIF($E109:N109,"u")+COUNTIF($E109:N109,"t")+COUNTIF($E109:N109,"¶")+COUNTIF($E109:N109,"²")+COUNTIF($E109:N109,"µ")+COUNTIF($E109:N109,1),ColTypeEcheance)),
  IF(LEN(N109)=1,
  IF(LEN(INDEX(Roadmap!$D:$K,MATCH($E109,Roadmap!$D:$D,0)-1+COUNTIF($E109:N109,"u")+COUNTIF($E109:N109,"t")+COUNTIF($E109:N109,"¶")+COUNTIF($E109:N109,"²")+COUNTIF($E109:N109,"µ")+COUNTIF($E109:N109,1),ColDescriptionCourte))&gt;1,
HYPERLINK("#Roadmap!C"&amp; MATCH($E109,Roadmap!$D:$D,0)+COUNTIF($E109:N109,"u")+COUNTIF($E109:N109,"t")+COUNTIF($E109:N109,"¶")+COUNTIF($E109:N109,"²")+COUNTIF($E109:N109,"µ")+COUNTIF($E109:N109,1)-1,INDEX(Roadmap!$D:$K,MATCH($E109,Roadmap!$D:$D,0)-1+COUNTIF($E109:N109,"u")+COUNTIF($E109:N109,"t")+COUNTIF($E109:N109,"¶")+COUNTIF($E109:N109,"²")+COUNTIF($E109:N109,"µ")+COUNTIF($E109:N109,1),ColDescriptionCourte)),""),
  "")),"")</f>
        <v/>
      </c>
      <c r="P109" s="40" t="str">
        <f ca="1">IFERROR(IF(AND(
  INDEX(Roadmap!$D:$K,MATCH($E109,Roadmap!$D:$D,0)+COUNTIF($E109:O109,"u")+COUNTIF($E109:O109,"t")+COUNTIF($E109:O109,"¶")+COUNTIF($E109:O109,"²")+COUNTIF($E109:O109,"µ")+COUNTIF($E109:O109,1),ColLivraison)=P$6,
  VLOOKUP($E109,INDIRECT("tri!"&amp; CHAR(64+ C0Col) &amp;":"&amp; CHAR(65+C0Col)),2,FALSE)&gt;COUNTIF($E109:O109,"u")+COUNTIF($E109:O109,"t")+COUNTIF($E109:O109,"¶")+COUNTIF($E109:O109,"²")+COUNTIF($E109:O109,"µ")+COUNTIF($E109:O109,1)),
HYPERLINK("#Roadmap!C"&amp; MATCH($E109,Roadmap!$D:$D,0)+COUNTIF($E109:O109,"u")+COUNTIF($E109:O109,"t"),
     INDEX(Roadmap!$D:$K,MATCH($E109,Roadmap!$D:$D,0)+COUNTIF($E109:O109,"u")+COUNTIF($E109:O109,"t")+COUNTIF($E109:O109,"¶")+COUNTIF($E109:O109,"²")+COUNTIF($E109:O109,"µ")+COUNTIF($E109:O109,1),ColTypeEcheance)),
  IF(LEN(O109)=1,
  IF(LEN(INDEX(Roadmap!$D:$K,MATCH($E109,Roadmap!$D:$D,0)-1+COUNTIF($E109:O109,"u")+COUNTIF($E109:O109,"t")+COUNTIF($E109:O109,"¶")+COUNTIF($E109:O109,"²")+COUNTIF($E109:O109,"µ")+COUNTIF($E109:O109,1),ColDescriptionCourte))&gt;1,
HYPERLINK("#Roadmap!C"&amp; MATCH($E109,Roadmap!$D:$D,0)+COUNTIF($E109:O109,"u")+COUNTIF($E109:O109,"t")+COUNTIF($E109:O109,"¶")+COUNTIF($E109:O109,"²")+COUNTIF($E109:O109,"µ")+COUNTIF($E109:O109,1)-1,INDEX(Roadmap!$D:$K,MATCH($E109,Roadmap!$D:$D,0)-1+COUNTIF($E109:O109,"u")+COUNTIF($E109:O109,"t")+COUNTIF($E109:O109,"¶")+COUNTIF($E109:O109,"²")+COUNTIF($E109:O109,"µ")+COUNTIF($E109:O109,1),ColDescriptionCourte)),""),
  "")),"")</f>
        <v/>
      </c>
      <c r="Q109" s="40" t="str">
        <f ca="1">IFERROR(IF(AND(
  INDEX(Roadmap!$D:$K,MATCH($E109,Roadmap!$D:$D,0)+COUNTIF($E109:P109,"u")+COUNTIF($E109:P109,"t")+COUNTIF($E109:P109,"¶")+COUNTIF($E109:P109,"²")+COUNTIF($E109:P109,"µ")+COUNTIF($E109:P109,1),ColLivraison)=Q$6,
  VLOOKUP($E109,INDIRECT("tri!"&amp; CHAR(64+ C0Col) &amp;":"&amp; CHAR(65+C0Col)),2,FALSE)&gt;COUNTIF($E109:P109,"u")+COUNTIF($E109:P109,"t")+COUNTIF($E109:P109,"¶")+COUNTIF($E109:P109,"²")+COUNTIF($E109:P109,"µ")+COUNTIF($E109:P109,1)),
HYPERLINK("#Roadmap!C"&amp; MATCH($E109,Roadmap!$D:$D,0)+COUNTIF($E109:P109,"u")+COUNTIF($E109:P109,"t"),
     INDEX(Roadmap!$D:$K,MATCH($E109,Roadmap!$D:$D,0)+COUNTIF($E109:P109,"u")+COUNTIF($E109:P109,"t")+COUNTIF($E109:P109,"¶")+COUNTIF($E109:P109,"²")+COUNTIF($E109:P109,"µ")+COUNTIF($E109:P109,1),ColTypeEcheance)),
  IF(LEN(P109)=1,
  IF(LEN(INDEX(Roadmap!$D:$K,MATCH($E109,Roadmap!$D:$D,0)-1+COUNTIF($E109:P109,"u")+COUNTIF($E109:P109,"t")+COUNTIF($E109:P109,"¶")+COUNTIF($E109:P109,"²")+COUNTIF($E109:P109,"µ")+COUNTIF($E109:P109,1),ColDescriptionCourte))&gt;1,
HYPERLINK("#Roadmap!C"&amp; MATCH($E109,Roadmap!$D:$D,0)+COUNTIF($E109:P109,"u")+COUNTIF($E109:P109,"t")+COUNTIF($E109:P109,"¶")+COUNTIF($E109:P109,"²")+COUNTIF($E109:P109,"µ")+COUNTIF($E109:P109,1)-1,INDEX(Roadmap!$D:$K,MATCH($E109,Roadmap!$D:$D,0)-1+COUNTIF($E109:P109,"u")+COUNTIF($E109:P109,"t")+COUNTIF($E109:P109,"¶")+COUNTIF($E109:P109,"²")+COUNTIF($E109:P109,"µ")+COUNTIF($E109:P109,1),ColDescriptionCourte)),""),
  "")),"")</f>
        <v/>
      </c>
      <c r="R109" s="40" t="str">
        <f ca="1">IFERROR(IF(AND(
  INDEX(Roadmap!$D:$K,MATCH($E109,Roadmap!$D:$D,0)+COUNTIF($E109:Q109,"u")+COUNTIF($E109:Q109,"t")+COUNTIF($E109:Q109,"¶")+COUNTIF($E109:Q109,"²")+COUNTIF($E109:Q109,"µ")+COUNTIF($E109:Q109,1),ColLivraison)=R$6,
  VLOOKUP($E109,INDIRECT("tri!"&amp; CHAR(64+ C0Col) &amp;":"&amp; CHAR(65+C0Col)),2,FALSE)&gt;COUNTIF($E109:Q109,"u")+COUNTIF($E109:Q109,"t")+COUNTIF($E109:Q109,"¶")+COUNTIF($E109:Q109,"²")+COUNTIF($E109:Q109,"µ")+COUNTIF($E109:Q109,1)),
HYPERLINK("#Roadmap!C"&amp; MATCH($E109,Roadmap!$D:$D,0)+COUNTIF($E109:Q109,"u")+COUNTIF($E109:Q109,"t"),
     INDEX(Roadmap!$D:$K,MATCH($E109,Roadmap!$D:$D,0)+COUNTIF($E109:Q109,"u")+COUNTIF($E109:Q109,"t")+COUNTIF($E109:Q109,"¶")+COUNTIF($E109:Q109,"²")+COUNTIF($E109:Q109,"µ")+COUNTIF($E109:Q109,1),ColTypeEcheance)),
  IF(LEN(Q109)=1,
  IF(LEN(INDEX(Roadmap!$D:$K,MATCH($E109,Roadmap!$D:$D,0)-1+COUNTIF($E109:Q109,"u")+COUNTIF($E109:Q109,"t")+COUNTIF($E109:Q109,"¶")+COUNTIF($E109:Q109,"²")+COUNTIF($E109:Q109,"µ")+COUNTIF($E109:Q109,1),ColDescriptionCourte))&gt;1,
HYPERLINK("#Roadmap!C"&amp; MATCH($E109,Roadmap!$D:$D,0)+COUNTIF($E109:Q109,"u")+COUNTIF($E109:Q109,"t")+COUNTIF($E109:Q109,"¶")+COUNTIF($E109:Q109,"²")+COUNTIF($E109:Q109,"µ")+COUNTIF($E109:Q109,1)-1,INDEX(Roadmap!$D:$K,MATCH($E109,Roadmap!$D:$D,0)-1+COUNTIF($E109:Q109,"u")+COUNTIF($E109:Q109,"t")+COUNTIF($E109:Q109,"¶")+COUNTIF($E109:Q109,"²")+COUNTIF($E109:Q109,"µ")+COUNTIF($E109:Q109,1),ColDescriptionCourte)),""),
  "")),"")</f>
        <v/>
      </c>
      <c r="S109" s="40" t="str">
        <f ca="1">IFERROR(IF(AND(
  INDEX(Roadmap!$D:$K,MATCH($E109,Roadmap!$D:$D,0)+COUNTIF($E109:R109,"u")+COUNTIF($E109:R109,"t")+COUNTIF($E109:R109,"¶")+COUNTIF($E109:R109,"²")+COUNTIF($E109:R109,"µ")+COUNTIF($E109:R109,1),ColLivraison)=S$6,
  VLOOKUP($E109,INDIRECT("tri!"&amp; CHAR(64+ C0Col) &amp;":"&amp; CHAR(65+C0Col)),2,FALSE)&gt;COUNTIF($E109:R109,"u")+COUNTIF($E109:R109,"t")+COUNTIF($E109:R109,"¶")+COUNTIF($E109:R109,"²")+COUNTIF($E109:R109,"µ")+COUNTIF($E109:R109,1)),
HYPERLINK("#Roadmap!C"&amp; MATCH($E109,Roadmap!$D:$D,0)+COUNTIF($E109:R109,"u")+COUNTIF($E109:R109,"t"),
     INDEX(Roadmap!$D:$K,MATCH($E109,Roadmap!$D:$D,0)+COUNTIF($E109:R109,"u")+COUNTIF($E109:R109,"t")+COUNTIF($E109:R109,"¶")+COUNTIF($E109:R109,"²")+COUNTIF($E109:R109,"µ")+COUNTIF($E109:R109,1),ColTypeEcheance)),
  IF(LEN(R109)=1,
  IF(LEN(INDEX(Roadmap!$D:$K,MATCH($E109,Roadmap!$D:$D,0)-1+COUNTIF($E109:R109,"u")+COUNTIF($E109:R109,"t")+COUNTIF($E109:R109,"¶")+COUNTIF($E109:R109,"²")+COUNTIF($E109:R109,"µ")+COUNTIF($E109:R109,1),ColDescriptionCourte))&gt;1,
HYPERLINK("#Roadmap!C"&amp; MATCH($E109,Roadmap!$D:$D,0)+COUNTIF($E109:R109,"u")+COUNTIF($E109:R109,"t")+COUNTIF($E109:R109,"¶")+COUNTIF($E109:R109,"²")+COUNTIF($E109:R109,"µ")+COUNTIF($E109:R109,1)-1,INDEX(Roadmap!$D:$K,MATCH($E109,Roadmap!$D:$D,0)-1+COUNTIF($E109:R109,"u")+COUNTIF($E109:R109,"t")+COUNTIF($E109:R109,"¶")+COUNTIF($E109:R109,"²")+COUNTIF($E109:R109,"µ")+COUNTIF($E109:R109,1),ColDescriptionCourte)),""),
  "")),"")</f>
        <v/>
      </c>
      <c r="T109" s="40" t="str">
        <f ca="1">IFERROR(IF(AND(
  INDEX(Roadmap!$D:$K,MATCH($E109,Roadmap!$D:$D,0)+COUNTIF($E109:S109,"u")+COUNTIF($E109:S109,"t")+COUNTIF($E109:S109,"¶")+COUNTIF($E109:S109,"²")+COUNTIF($E109:S109,"µ")+COUNTIF($E109:S109,1),ColLivraison)=T$6,
  VLOOKUP($E109,INDIRECT("tri!"&amp; CHAR(64+ C0Col) &amp;":"&amp; CHAR(65+C0Col)),2,FALSE)&gt;COUNTIF($E109:S109,"u")+COUNTIF($E109:S109,"t")+COUNTIF($E109:S109,"¶")+COUNTIF($E109:S109,"²")+COUNTIF($E109:S109,"µ")+COUNTIF($E109:S109,1)),
HYPERLINK("#Roadmap!C"&amp; MATCH($E109,Roadmap!$D:$D,0)+COUNTIF($E109:S109,"u")+COUNTIF($E109:S109,"t"),
     INDEX(Roadmap!$D:$K,MATCH($E109,Roadmap!$D:$D,0)+COUNTIF($E109:S109,"u")+COUNTIF($E109:S109,"t")+COUNTIF($E109:S109,"¶")+COUNTIF($E109:S109,"²")+COUNTIF($E109:S109,"µ")+COUNTIF($E109:S109,1),ColTypeEcheance)),
  IF(LEN(S109)=1,
  IF(LEN(INDEX(Roadmap!$D:$K,MATCH($E109,Roadmap!$D:$D,0)-1+COUNTIF($E109:S109,"u")+COUNTIF($E109:S109,"t")+COUNTIF($E109:S109,"¶")+COUNTIF($E109:S109,"²")+COUNTIF($E109:S109,"µ")+COUNTIF($E109:S109,1),ColDescriptionCourte))&gt;1,
HYPERLINK("#Roadmap!C"&amp; MATCH($E109,Roadmap!$D:$D,0)+COUNTIF($E109:S109,"u")+COUNTIF($E109:S109,"t")+COUNTIF($E109:S109,"¶")+COUNTIF($E109:S109,"²")+COUNTIF($E109:S109,"µ")+COUNTIF($E109:S109,1)-1,INDEX(Roadmap!$D:$K,MATCH($E109,Roadmap!$D:$D,0)-1+COUNTIF($E109:S109,"u")+COUNTIF($E109:S109,"t")+COUNTIF($E109:S109,"¶")+COUNTIF($E109:S109,"²")+COUNTIF($E109:S109,"µ")+COUNTIF($E109:S109,1),ColDescriptionCourte)),""),
  "")),"")</f>
        <v/>
      </c>
      <c r="U109" s="40" t="str">
        <f ca="1">IFERROR(IF(AND(
  INDEX(Roadmap!$D:$K,MATCH($E109,Roadmap!$D:$D,0)+COUNTIF($E109:T109,"u")+COUNTIF($E109:T109,"t")+COUNTIF($E109:T109,"¶")+COUNTIF($E109:T109,"²")+COUNTIF($E109:T109,"µ")+COUNTIF($E109:T109,1),ColLivraison)=U$6,
  VLOOKUP($E109,INDIRECT("tri!"&amp; CHAR(64+ C0Col) &amp;":"&amp; CHAR(65+C0Col)),2,FALSE)&gt;COUNTIF($E109:T109,"u")+COUNTIF($E109:T109,"t")+COUNTIF($E109:T109,"¶")+COUNTIF($E109:T109,"²")+COUNTIF($E109:T109,"µ")+COUNTIF($E109:T109,1)),
HYPERLINK("#Roadmap!C"&amp; MATCH($E109,Roadmap!$D:$D,0)+COUNTIF($E109:T109,"u")+COUNTIF($E109:T109,"t"),
     INDEX(Roadmap!$D:$K,MATCH($E109,Roadmap!$D:$D,0)+COUNTIF($E109:T109,"u")+COUNTIF($E109:T109,"t")+COUNTIF($E109:T109,"¶")+COUNTIF($E109:T109,"²")+COUNTIF($E109:T109,"µ")+COUNTIF($E109:T109,1),ColTypeEcheance)),
  IF(LEN(T109)=1,
  IF(LEN(INDEX(Roadmap!$D:$K,MATCH($E109,Roadmap!$D:$D,0)-1+COUNTIF($E109:T109,"u")+COUNTIF($E109:T109,"t")+COUNTIF($E109:T109,"¶")+COUNTIF($E109:T109,"²")+COUNTIF($E109:T109,"µ")+COUNTIF($E109:T109,1),ColDescriptionCourte))&gt;1,
HYPERLINK("#Roadmap!C"&amp; MATCH($E109,Roadmap!$D:$D,0)+COUNTIF($E109:T109,"u")+COUNTIF($E109:T109,"t")+COUNTIF($E109:T109,"¶")+COUNTIF($E109:T109,"²")+COUNTIF($E109:T109,"µ")+COUNTIF($E109:T109,1)-1,INDEX(Roadmap!$D:$K,MATCH($E109,Roadmap!$D:$D,0)-1+COUNTIF($E109:T109,"u")+COUNTIF($E109:T109,"t")+COUNTIF($E109:T109,"¶")+COUNTIF($E109:T109,"²")+COUNTIF($E109:T109,"µ")+COUNTIF($E109:T109,1),ColDescriptionCourte)),""),
  "")),"")</f>
        <v/>
      </c>
      <c r="V109" s="40" t="str">
        <f ca="1">IFERROR(IF(AND(
  INDEX(Roadmap!$D:$K,MATCH($E109,Roadmap!$D:$D,0)+COUNTIF($E109:U109,"u")+COUNTIF($E109:U109,"t")+COUNTIF($E109:U109,"¶")+COUNTIF($E109:U109,"²")+COUNTIF($E109:U109,"µ")+COUNTIF($E109:U109,1),ColLivraison)=V$6,
  VLOOKUP($E109,INDIRECT("tri!"&amp; CHAR(64+ C0Col) &amp;":"&amp; CHAR(65+C0Col)),2,FALSE)&gt;COUNTIF($E109:U109,"u")+COUNTIF($E109:U109,"t")+COUNTIF($E109:U109,"¶")+COUNTIF($E109:U109,"²")+COUNTIF($E109:U109,"µ")+COUNTIF($E109:U109,1)),
HYPERLINK("#Roadmap!C"&amp; MATCH($E109,Roadmap!$D:$D,0)+COUNTIF($E109:U109,"u")+COUNTIF($E109:U109,"t"),
     INDEX(Roadmap!$D:$K,MATCH($E109,Roadmap!$D:$D,0)+COUNTIF($E109:U109,"u")+COUNTIF($E109:U109,"t")+COUNTIF($E109:U109,"¶")+COUNTIF($E109:U109,"²")+COUNTIF($E109:U109,"µ")+COUNTIF($E109:U109,1),ColTypeEcheance)),
  IF(LEN(U109)=1,
  IF(LEN(INDEX(Roadmap!$D:$K,MATCH($E109,Roadmap!$D:$D,0)-1+COUNTIF($E109:U109,"u")+COUNTIF($E109:U109,"t")+COUNTIF($E109:U109,"¶")+COUNTIF($E109:U109,"²")+COUNTIF($E109:U109,"µ")+COUNTIF($E109:U109,1),ColDescriptionCourte))&gt;1,
HYPERLINK("#Roadmap!C"&amp; MATCH($E109,Roadmap!$D:$D,0)+COUNTIF($E109:U109,"u")+COUNTIF($E109:U109,"t")+COUNTIF($E109:U109,"¶")+COUNTIF($E109:U109,"²")+COUNTIF($E109:U109,"µ")+COUNTIF($E109:U109,1)-1,INDEX(Roadmap!$D:$K,MATCH($E109,Roadmap!$D:$D,0)-1+COUNTIF($E109:U109,"u")+COUNTIF($E109:U109,"t")+COUNTIF($E109:U109,"¶")+COUNTIF($E109:U109,"²")+COUNTIF($E109:U109,"µ")+COUNTIF($E109:U109,1),ColDescriptionCourte)),""),
  "")),"")</f>
        <v/>
      </c>
      <c r="W109" s="40" t="str">
        <f ca="1">IFERROR(IF(AND(
  INDEX(Roadmap!$D:$K,MATCH($E109,Roadmap!$D:$D,0)+COUNTIF($E109:V109,"u")+COUNTIF($E109:V109,"t")+COUNTIF($E109:V109,"¶")+COUNTIF($E109:V109,"²")+COUNTIF($E109:V109,"µ")+COUNTIF($E109:V109,1),ColLivraison)=W$6,
  VLOOKUP($E109,INDIRECT("tri!"&amp; CHAR(64+ C0Col) &amp;":"&amp; CHAR(65+C0Col)),2,FALSE)&gt;COUNTIF($E109:V109,"u")+COUNTIF($E109:V109,"t")+COUNTIF($E109:V109,"¶")+COUNTIF($E109:V109,"²")+COUNTIF($E109:V109,"µ")+COUNTIF($E109:V109,1)),
HYPERLINK("#Roadmap!C"&amp; MATCH($E109,Roadmap!$D:$D,0)+COUNTIF($E109:V109,"u")+COUNTIF($E109:V109,"t"),
     INDEX(Roadmap!$D:$K,MATCH($E109,Roadmap!$D:$D,0)+COUNTIF($E109:V109,"u")+COUNTIF($E109:V109,"t")+COUNTIF($E109:V109,"¶")+COUNTIF($E109:V109,"²")+COUNTIF($E109:V109,"µ")+COUNTIF($E109:V109,1),ColTypeEcheance)),
  IF(LEN(V109)=1,
  IF(LEN(INDEX(Roadmap!$D:$K,MATCH($E109,Roadmap!$D:$D,0)-1+COUNTIF($E109:V109,"u")+COUNTIF($E109:V109,"t")+COUNTIF($E109:V109,"¶")+COUNTIF($E109:V109,"²")+COUNTIF($E109:V109,"µ")+COUNTIF($E109:V109,1),ColDescriptionCourte))&gt;1,
HYPERLINK("#Roadmap!C"&amp; MATCH($E109,Roadmap!$D:$D,0)+COUNTIF($E109:V109,"u")+COUNTIF($E109:V109,"t")+COUNTIF($E109:V109,"¶")+COUNTIF($E109:V109,"²")+COUNTIF($E109:V109,"µ")+COUNTIF($E109:V109,1)-1,INDEX(Roadmap!$D:$K,MATCH($E109,Roadmap!$D:$D,0)-1+COUNTIF($E109:V109,"u")+COUNTIF($E109:V109,"t")+COUNTIF($E109:V109,"¶")+COUNTIF($E109:V109,"²")+COUNTIF($E109:V109,"µ")+COUNTIF($E109:V109,1),ColDescriptionCourte)),""),
  "")),"")</f>
        <v/>
      </c>
      <c r="X109" s="40" t="str">
        <f ca="1">IFERROR(IF(AND(
  INDEX(Roadmap!$D:$K,MATCH($E109,Roadmap!$D:$D,0)+COUNTIF($E109:W109,"u")+COUNTIF($E109:W109,"t")+COUNTIF($E109:W109,"¶")+COUNTIF($E109:W109,"²")+COUNTIF($E109:W109,"µ")+COUNTIF($E109:W109,1),ColLivraison)=X$6,
  VLOOKUP($E109,INDIRECT("tri!"&amp; CHAR(64+ C0Col) &amp;":"&amp; CHAR(65+C0Col)),2,FALSE)&gt;COUNTIF($E109:W109,"u")+COUNTIF($E109:W109,"t")+COUNTIF($E109:W109,"¶")+COUNTIF($E109:W109,"²")+COUNTIF($E109:W109,"µ")+COUNTIF($E109:W109,1)),
HYPERLINK("#Roadmap!C"&amp; MATCH($E109,Roadmap!$D:$D,0)+COUNTIF($E109:W109,"u")+COUNTIF($E109:W109,"t"),
     INDEX(Roadmap!$D:$K,MATCH($E109,Roadmap!$D:$D,0)+COUNTIF($E109:W109,"u")+COUNTIF($E109:W109,"t")+COUNTIF($E109:W109,"¶")+COUNTIF($E109:W109,"²")+COUNTIF($E109:W109,"µ")+COUNTIF($E109:W109,1),ColTypeEcheance)),
  IF(LEN(W109)=1,
  IF(LEN(INDEX(Roadmap!$D:$K,MATCH($E109,Roadmap!$D:$D,0)-1+COUNTIF($E109:W109,"u")+COUNTIF($E109:W109,"t")+COUNTIF($E109:W109,"¶")+COUNTIF($E109:W109,"²")+COUNTIF($E109:W109,"µ")+COUNTIF($E109:W109,1),ColDescriptionCourte))&gt;1,
HYPERLINK("#Roadmap!C"&amp; MATCH($E109,Roadmap!$D:$D,0)+COUNTIF($E109:W109,"u")+COUNTIF($E109:W109,"t")+COUNTIF($E109:W109,"¶")+COUNTIF($E109:W109,"²")+COUNTIF($E109:W109,"µ")+COUNTIF($E109:W109,1)-1,INDEX(Roadmap!$D:$K,MATCH($E109,Roadmap!$D:$D,0)-1+COUNTIF($E109:W109,"u")+COUNTIF($E109:W109,"t")+COUNTIF($E109:W109,"¶")+COUNTIF($E109:W109,"²")+COUNTIF($E109:W109,"µ")+COUNTIF($E109:W109,1),ColDescriptionCourte)),""),
  "")),"")</f>
        <v/>
      </c>
      <c r="Y109" s="40" t="str">
        <f ca="1">IFERROR(IF(AND(
  INDEX(Roadmap!$D:$K,MATCH($E109,Roadmap!$D:$D,0)+COUNTIF($E109:X109,"u")+COUNTIF($E109:X109,"t")+COUNTIF($E109:X109,"¶")+COUNTIF($E109:X109,"²")+COUNTIF($E109:X109,"µ")+COUNTIF($E109:X109,1),ColLivraison)=Y$6,
  VLOOKUP($E109,INDIRECT("tri!"&amp; CHAR(64+ C0Col) &amp;":"&amp; CHAR(65+C0Col)),2,FALSE)&gt;COUNTIF($E109:X109,"u")+COUNTIF($E109:X109,"t")+COUNTIF($E109:X109,"¶")+COUNTIF($E109:X109,"²")+COUNTIF($E109:X109,"µ")+COUNTIF($E109:X109,1)),
HYPERLINK("#Roadmap!C"&amp; MATCH($E109,Roadmap!$D:$D,0)+COUNTIF($E109:X109,"u")+COUNTIF($E109:X109,"t"),
     INDEX(Roadmap!$D:$K,MATCH($E109,Roadmap!$D:$D,0)+COUNTIF($E109:X109,"u")+COUNTIF($E109:X109,"t")+COUNTIF($E109:X109,"¶")+COUNTIF($E109:X109,"²")+COUNTIF($E109:X109,"µ")+COUNTIF($E109:X109,1),ColTypeEcheance)),
  IF(LEN(X109)=1,
  IF(LEN(INDEX(Roadmap!$D:$K,MATCH($E109,Roadmap!$D:$D,0)-1+COUNTIF($E109:X109,"u")+COUNTIF($E109:X109,"t")+COUNTIF($E109:X109,"¶")+COUNTIF($E109:X109,"²")+COUNTIF($E109:X109,"µ")+COUNTIF($E109:X109,1),ColDescriptionCourte))&gt;1,
HYPERLINK("#Roadmap!C"&amp; MATCH($E109,Roadmap!$D:$D,0)+COUNTIF($E109:X109,"u")+COUNTIF($E109:X109,"t")+COUNTIF($E109:X109,"¶")+COUNTIF($E109:X109,"²")+COUNTIF($E109:X109,"µ")+COUNTIF($E109:X109,1)-1,INDEX(Roadmap!$D:$K,MATCH($E109,Roadmap!$D:$D,0)-1+COUNTIF($E109:X109,"u")+COUNTIF($E109:X109,"t")+COUNTIF($E109:X109,"¶")+COUNTIF($E109:X109,"²")+COUNTIF($E109:X109,"µ")+COUNTIF($E109:X109,1),ColDescriptionCourte)),""),
  "")),"")</f>
        <v/>
      </c>
      <c r="Z109" s="40" t="str">
        <f ca="1">IFERROR(IF(AND(
  INDEX(Roadmap!$D:$K,MATCH($E109,Roadmap!$D:$D,0)+COUNTIF($E109:Y109,"u")+COUNTIF($E109:Y109,"t")+COUNTIF($E109:Y109,"¶")+COUNTIF($E109:Y109,"²")+COUNTIF($E109:Y109,"µ")+COUNTIF($E109:Y109,1),ColLivraison)=Z$6,
  VLOOKUP($E109,INDIRECT("tri!"&amp; CHAR(64+ C0Col) &amp;":"&amp; CHAR(65+C0Col)),2,FALSE)&gt;COUNTIF($E109:Y109,"u")+COUNTIF($E109:Y109,"t")+COUNTIF($E109:Y109,"¶")+COUNTIF($E109:Y109,"²")+COUNTIF($E109:Y109,"µ")+COUNTIF($E109:Y109,1)),
HYPERLINK("#Roadmap!C"&amp; MATCH($E109,Roadmap!$D:$D,0)+COUNTIF($E109:Y109,"u")+COUNTIF($E109:Y109,"t"),
     INDEX(Roadmap!$D:$K,MATCH($E109,Roadmap!$D:$D,0)+COUNTIF($E109:Y109,"u")+COUNTIF($E109:Y109,"t")+COUNTIF($E109:Y109,"¶")+COUNTIF($E109:Y109,"²")+COUNTIF($E109:Y109,"µ")+COUNTIF($E109:Y109,1),ColTypeEcheance)),
  IF(LEN(Y109)=1,
  IF(LEN(INDEX(Roadmap!$D:$K,MATCH($E109,Roadmap!$D:$D,0)-1+COUNTIF($E109:Y109,"u")+COUNTIF($E109:Y109,"t")+COUNTIF($E109:Y109,"¶")+COUNTIF($E109:Y109,"²")+COUNTIF($E109:Y109,"µ")+COUNTIF($E109:Y109,1),ColDescriptionCourte))&gt;1,
HYPERLINK("#Roadmap!C"&amp; MATCH($E109,Roadmap!$D:$D,0)+COUNTIF($E109:Y109,"u")+COUNTIF($E109:Y109,"t")+COUNTIF($E109:Y109,"¶")+COUNTIF($E109:Y109,"²")+COUNTIF($E109:Y109,"µ")+COUNTIF($E109:Y109,1)-1,INDEX(Roadmap!$D:$K,MATCH($E109,Roadmap!$D:$D,0)-1+COUNTIF($E109:Y109,"u")+COUNTIF($E109:Y109,"t")+COUNTIF($E109:Y109,"¶")+COUNTIF($E109:Y109,"²")+COUNTIF($E109:Y109,"µ")+COUNTIF($E109:Y109,1),ColDescriptionCourte)),""),
  "")),"")</f>
        <v/>
      </c>
      <c r="AA109" s="40" t="str">
        <f ca="1">IFERROR(IF(AND(
  INDEX(Roadmap!$D:$K,MATCH($E109,Roadmap!$D:$D,0)+COUNTIF($E109:Z109,"u")+COUNTIF($E109:Z109,"t")+COUNTIF($E109:Z109,"¶")+COUNTIF($E109:Z109,"²")+COUNTIF($E109:Z109,"µ")+COUNTIF($E109:Z109,1),ColLivraison)=AA$6,
  VLOOKUP($E109,INDIRECT("tri!"&amp; CHAR(64+ C0Col) &amp;":"&amp; CHAR(65+C0Col)),2,FALSE)&gt;COUNTIF($E109:Z109,"u")+COUNTIF($E109:Z109,"t")+COUNTIF($E109:Z109,"¶")+COUNTIF($E109:Z109,"²")+COUNTIF($E109:Z109,"µ")+COUNTIF($E109:Z109,1)),
HYPERLINK("#Roadmap!C"&amp; MATCH($E109,Roadmap!$D:$D,0)+COUNTIF($E109:Z109,"u")+COUNTIF($E109:Z109,"t"),
     INDEX(Roadmap!$D:$K,MATCH($E109,Roadmap!$D:$D,0)+COUNTIF($E109:Z109,"u")+COUNTIF($E109:Z109,"t")+COUNTIF($E109:Z109,"¶")+COUNTIF($E109:Z109,"²")+COUNTIF($E109:Z109,"µ")+COUNTIF($E109:Z109,1),ColTypeEcheance)),
  IF(LEN(Z109)=1,
  IF(LEN(INDEX(Roadmap!$D:$K,MATCH($E109,Roadmap!$D:$D,0)-1+COUNTIF($E109:Z109,"u")+COUNTIF($E109:Z109,"t")+COUNTIF($E109:Z109,"¶")+COUNTIF($E109:Z109,"²")+COUNTIF($E109:Z109,"µ")+COUNTIF($E109:Z109,1),ColDescriptionCourte))&gt;1,
HYPERLINK("#Roadmap!C"&amp; MATCH($E109,Roadmap!$D:$D,0)+COUNTIF($E109:Z109,"u")+COUNTIF($E109:Z109,"t")+COUNTIF($E109:Z109,"¶")+COUNTIF($E109:Z109,"²")+COUNTIF($E109:Z109,"µ")+COUNTIF($E109:Z109,1)-1,INDEX(Roadmap!$D:$K,MATCH($E109,Roadmap!$D:$D,0)-1+COUNTIF($E109:Z109,"u")+COUNTIF($E109:Z109,"t")+COUNTIF($E109:Z109,"¶")+COUNTIF($E109:Z109,"²")+COUNTIF($E109:Z109,"µ")+COUNTIF($E109:Z109,1),ColDescriptionCourte)),""),
  "")),"")</f>
        <v/>
      </c>
      <c r="AB109" s="40" t="str">
        <f ca="1">IFERROR(IF(AND(
  INDEX(Roadmap!$D:$K,MATCH($E109,Roadmap!$D:$D,0)+COUNTIF($E109:AA109,"u")+COUNTIF($E109:AA109,"t")+COUNTIF($E109:AA109,"¶")+COUNTIF($E109:AA109,"²")+COUNTIF($E109:AA109,"µ")+COUNTIF($E109:AA109,1),ColLivraison)=AB$6,
  VLOOKUP($E109,INDIRECT("tri!"&amp; CHAR(64+ C0Col) &amp;":"&amp; CHAR(65+C0Col)),2,FALSE)&gt;COUNTIF($E109:AA109,"u")+COUNTIF($E109:AA109,"t")+COUNTIF($E109:AA109,"¶")+COUNTIF($E109:AA109,"²")+COUNTIF($E109:AA109,"µ")+COUNTIF($E109:AA109,1)),
HYPERLINK("#Roadmap!C"&amp; MATCH($E109,Roadmap!$D:$D,0)+COUNTIF($E109:AA109,"u")+COUNTIF($E109:AA109,"t"),
     INDEX(Roadmap!$D:$K,MATCH($E109,Roadmap!$D:$D,0)+COUNTIF($E109:AA109,"u")+COUNTIF($E109:AA109,"t")+COUNTIF($E109:AA109,"¶")+COUNTIF($E109:AA109,"²")+COUNTIF($E109:AA109,"µ")+COUNTIF($E109:AA109,1),ColTypeEcheance)),
  IF(LEN(AA109)=1,
  IF(LEN(INDEX(Roadmap!$D:$K,MATCH($E109,Roadmap!$D:$D,0)-1+COUNTIF($E109:AA109,"u")+COUNTIF($E109:AA109,"t")+COUNTIF($E109:AA109,"¶")+COUNTIF($E109:AA109,"²")+COUNTIF($E109:AA109,"µ")+COUNTIF($E109:AA109,1),ColDescriptionCourte))&gt;1,
HYPERLINK("#Roadmap!C"&amp; MATCH($E109,Roadmap!$D:$D,0)+COUNTIF($E109:AA109,"u")+COUNTIF($E109:AA109,"t")+COUNTIF($E109:AA109,"¶")+COUNTIF($E109:AA109,"²")+COUNTIF($E109:AA109,"µ")+COUNTIF($E109:AA109,1)-1,INDEX(Roadmap!$D:$K,MATCH($E109,Roadmap!$D:$D,0)-1+COUNTIF($E109:AA109,"u")+COUNTIF($E109:AA109,"t")+COUNTIF($E109:AA109,"¶")+COUNTIF($E109:AA109,"²")+COUNTIF($E109:AA109,"µ")+COUNTIF($E109:AA109,1),ColDescriptionCourte)),""),
  "")),"")</f>
        <v/>
      </c>
      <c r="AC109" s="40" t="str">
        <f ca="1">IFERROR(IF(AND(
  INDEX(Roadmap!$D:$K,MATCH($E109,Roadmap!$D:$D,0)+COUNTIF($E109:AB109,"u")+COUNTIF($E109:AB109,"t")+COUNTIF($E109:AB109,"¶")+COUNTIF($E109:AB109,"²")+COUNTIF($E109:AB109,"µ")+COUNTIF($E109:AB109,1),ColLivraison)=AC$6,
  VLOOKUP($E109,INDIRECT("tri!"&amp; CHAR(64+ C0Col) &amp;":"&amp; CHAR(65+C0Col)),2,FALSE)&gt;COUNTIF($E109:AB109,"u")+COUNTIF($E109:AB109,"t")+COUNTIF($E109:AB109,"¶")+COUNTIF($E109:AB109,"²")+COUNTIF($E109:AB109,"µ")+COUNTIF($E109:AB109,1)),
HYPERLINK("#Roadmap!C"&amp; MATCH($E109,Roadmap!$D:$D,0)+COUNTIF($E109:AB109,"u")+COUNTIF($E109:AB109,"t"),
     INDEX(Roadmap!$D:$K,MATCH($E109,Roadmap!$D:$D,0)+COUNTIF($E109:AB109,"u")+COUNTIF($E109:AB109,"t")+COUNTIF($E109:AB109,"¶")+COUNTIF($E109:AB109,"²")+COUNTIF($E109:AB109,"µ")+COUNTIF($E109:AB109,1),ColTypeEcheance)),
  IF(LEN(AB109)=1,
  IF(LEN(INDEX(Roadmap!$D:$K,MATCH($E109,Roadmap!$D:$D,0)-1+COUNTIF($E109:AB109,"u")+COUNTIF($E109:AB109,"t")+COUNTIF($E109:AB109,"¶")+COUNTIF($E109:AB109,"²")+COUNTIF($E109:AB109,"µ")+COUNTIF($E109:AB109,1),ColDescriptionCourte))&gt;1,
HYPERLINK("#Roadmap!C"&amp; MATCH($E109,Roadmap!$D:$D,0)+COUNTIF($E109:AB109,"u")+COUNTIF($E109:AB109,"t")+COUNTIF($E109:AB109,"¶")+COUNTIF($E109:AB109,"²")+COUNTIF($E109:AB109,"µ")+COUNTIF($E109:AB109,1)-1,INDEX(Roadmap!$D:$K,MATCH($E109,Roadmap!$D:$D,0)-1+COUNTIF($E109:AB109,"u")+COUNTIF($E109:AB109,"t")+COUNTIF($E109:AB109,"¶")+COUNTIF($E109:AB109,"²")+COUNTIF($E109:AB109,"µ")+COUNTIF($E109:AB109,1),ColDescriptionCourte)),""),
  "")),"")</f>
        <v/>
      </c>
      <c r="AD109" s="40" t="str">
        <f ca="1">IFERROR(IF(AND(
  INDEX(Roadmap!$D:$K,MATCH($E109,Roadmap!$D:$D,0)+COUNTIF($E109:AC109,"u")+COUNTIF($E109:AC109,"t")+COUNTIF($E109:AC109,"¶")+COUNTIF($E109:AC109,"²")+COUNTIF($E109:AC109,"µ")+COUNTIF($E109:AC109,1),ColLivraison)=AD$6,
  VLOOKUP($E109,INDIRECT("tri!"&amp; CHAR(64+ C0Col) &amp;":"&amp; CHAR(65+C0Col)),2,FALSE)&gt;COUNTIF($E109:AC109,"u")+COUNTIF($E109:AC109,"t")+COUNTIF($E109:AC109,"¶")+COUNTIF($E109:AC109,"²")+COUNTIF($E109:AC109,"µ")+COUNTIF($E109:AC109,1)),
HYPERLINK("#Roadmap!C"&amp; MATCH($E109,Roadmap!$D:$D,0)+COUNTIF($E109:AC109,"u")+COUNTIF($E109:AC109,"t"),
     INDEX(Roadmap!$D:$K,MATCH($E109,Roadmap!$D:$D,0)+COUNTIF($E109:AC109,"u")+COUNTIF($E109:AC109,"t")+COUNTIF($E109:AC109,"¶")+COUNTIF($E109:AC109,"²")+COUNTIF($E109:AC109,"µ")+COUNTIF($E109:AC109,1),ColTypeEcheance)),
  IF(LEN(AC109)=1,
  IF(LEN(INDEX(Roadmap!$D:$K,MATCH($E109,Roadmap!$D:$D,0)-1+COUNTIF($E109:AC109,"u")+COUNTIF($E109:AC109,"t")+COUNTIF($E109:AC109,"¶")+COUNTIF($E109:AC109,"²")+COUNTIF($E109:AC109,"µ")+COUNTIF($E109:AC109,1),ColDescriptionCourte))&gt;1,
HYPERLINK("#Roadmap!C"&amp; MATCH($E109,Roadmap!$D:$D,0)+COUNTIF($E109:AC109,"u")+COUNTIF($E109:AC109,"t")+COUNTIF($E109:AC109,"¶")+COUNTIF($E109:AC109,"²")+COUNTIF($E109:AC109,"µ")+COUNTIF($E109:AC109,1)-1,INDEX(Roadmap!$D:$K,MATCH($E109,Roadmap!$D:$D,0)-1+COUNTIF($E109:AC109,"u")+COUNTIF($E109:AC109,"t")+COUNTIF($E109:AC109,"¶")+COUNTIF($E109:AC109,"²")+COUNTIF($E109:AC109,"µ")+COUNTIF($E109:AC109,1),ColDescriptionCourte)),""),
  "")),"")</f>
        <v/>
      </c>
      <c r="AE109" s="40" t="str">
        <f ca="1">IFERROR(IF(AND(
  INDEX(Roadmap!$D:$K,MATCH($E109,Roadmap!$D:$D,0)+COUNTIF($E109:AD109,"u")+COUNTIF($E109:AD109,"t")+COUNTIF($E109:AD109,"¶")+COUNTIF($E109:AD109,"²")+COUNTIF($E109:AD109,"µ")+COUNTIF($E109:AD109,1),ColLivraison)=AE$6,
  VLOOKUP($E109,INDIRECT("tri!"&amp; CHAR(64+ C0Col) &amp;":"&amp; CHAR(65+C0Col)),2,FALSE)&gt;COUNTIF($E109:AD109,"u")+COUNTIF($E109:AD109,"t")+COUNTIF($E109:AD109,"¶")+COUNTIF($E109:AD109,"²")+COUNTIF($E109:AD109,"µ")+COUNTIF($E109:AD109,1)),
HYPERLINK("#Roadmap!C"&amp; MATCH($E109,Roadmap!$D:$D,0)+COUNTIF($E109:AD109,"u")+COUNTIF($E109:AD109,"t"),
     INDEX(Roadmap!$D:$K,MATCH($E109,Roadmap!$D:$D,0)+COUNTIF($E109:AD109,"u")+COUNTIF($E109:AD109,"t")+COUNTIF($E109:AD109,"¶")+COUNTIF($E109:AD109,"²")+COUNTIF($E109:AD109,"µ")+COUNTIF($E109:AD109,1),ColTypeEcheance)),
  IF(LEN(AD109)=1,
  IF(LEN(INDEX(Roadmap!$D:$K,MATCH($E109,Roadmap!$D:$D,0)-1+COUNTIF($E109:AD109,"u")+COUNTIF($E109:AD109,"t")+COUNTIF($E109:AD109,"¶")+COUNTIF($E109:AD109,"²")+COUNTIF($E109:AD109,"µ")+COUNTIF($E109:AD109,1),ColDescriptionCourte))&gt;1,
HYPERLINK("#Roadmap!C"&amp; MATCH($E109,Roadmap!$D:$D,0)+COUNTIF($E109:AD109,"u")+COUNTIF($E109:AD109,"t")+COUNTIF($E109:AD109,"¶")+COUNTIF($E109:AD109,"²")+COUNTIF($E109:AD109,"µ")+COUNTIF($E109:AD109,1)-1,INDEX(Roadmap!$D:$K,MATCH($E109,Roadmap!$D:$D,0)-1+COUNTIF($E109:AD109,"u")+COUNTIF($E109:AD109,"t")+COUNTIF($E109:AD109,"¶")+COUNTIF($E109:AD109,"²")+COUNTIF($E109:AD109,"µ")+COUNTIF($E109:AD109,1),ColDescriptionCourte)),""),
  "")),"")</f>
        <v/>
      </c>
      <c r="AF109" s="40" t="str">
        <f ca="1">IFERROR(IF(AND(
  INDEX(Roadmap!$D:$K,MATCH($E109,Roadmap!$D:$D,0)+COUNTIF($E109:AE109,"u")+COUNTIF($E109:AE109,"t")+COUNTIF($E109:AE109,"¶")+COUNTIF($E109:AE109,"²")+COUNTIF($E109:AE109,"µ")+COUNTIF($E109:AE109,1),ColLivraison)=AF$6,
  VLOOKUP($E109,INDIRECT("tri!"&amp; CHAR(64+ C0Col) &amp;":"&amp; CHAR(65+C0Col)),2,FALSE)&gt;COUNTIF($E109:AE109,"u")+COUNTIF($E109:AE109,"t")+COUNTIF($E109:AE109,"¶")+COUNTIF($E109:AE109,"²")+COUNTIF($E109:AE109,"µ")+COUNTIF($E109:AE109,1)),
HYPERLINK("#Roadmap!C"&amp; MATCH($E109,Roadmap!$D:$D,0)+COUNTIF($E109:AE109,"u")+COUNTIF($E109:AE109,"t"),
     INDEX(Roadmap!$D:$K,MATCH($E109,Roadmap!$D:$D,0)+COUNTIF($E109:AE109,"u")+COUNTIF($E109:AE109,"t")+COUNTIF($E109:AE109,"¶")+COUNTIF($E109:AE109,"²")+COUNTIF($E109:AE109,"µ")+COUNTIF($E109:AE109,1),ColTypeEcheance)),
  IF(LEN(AE109)=1,
  IF(LEN(INDEX(Roadmap!$D:$K,MATCH($E109,Roadmap!$D:$D,0)-1+COUNTIF($E109:AE109,"u")+COUNTIF($E109:AE109,"t")+COUNTIF($E109:AE109,"¶")+COUNTIF($E109:AE109,"²")+COUNTIF($E109:AE109,"µ")+COUNTIF($E109:AE109,1),ColDescriptionCourte))&gt;1,
HYPERLINK("#Roadmap!C"&amp; MATCH($E109,Roadmap!$D:$D,0)+COUNTIF($E109:AE109,"u")+COUNTIF($E109:AE109,"t")+COUNTIF($E109:AE109,"¶")+COUNTIF($E109:AE109,"²")+COUNTIF($E109:AE109,"µ")+COUNTIF($E109:AE109,1)-1,INDEX(Roadmap!$D:$K,MATCH($E109,Roadmap!$D:$D,0)-1+COUNTIF($E109:AE109,"u")+COUNTIF($E109:AE109,"t")+COUNTIF($E109:AE109,"¶")+COUNTIF($E109:AE109,"²")+COUNTIF($E109:AE109,"µ")+COUNTIF($E109:AE109,1),ColDescriptionCourte)),""),
  "")),"")</f>
        <v/>
      </c>
      <c r="AG109" s="40" t="str">
        <f ca="1">IFERROR(IF(AND(
  INDEX(Roadmap!$D:$K,MATCH($E109,Roadmap!$D:$D,0)+COUNTIF($E109:AF109,"u")+COUNTIF($E109:AF109,"t")+COUNTIF($E109:AF109,"¶")+COUNTIF($E109:AF109,"²")+COUNTIF($E109:AF109,"µ")+COUNTIF($E109:AF109,1),ColLivraison)=AG$6,
  VLOOKUP($E109,INDIRECT("tri!"&amp; CHAR(64+ C0Col) &amp;":"&amp; CHAR(65+C0Col)),2,FALSE)&gt;COUNTIF($E109:AF109,"u")+COUNTIF($E109:AF109,"t")+COUNTIF($E109:AF109,"¶")+COUNTIF($E109:AF109,"²")+COUNTIF($E109:AF109,"µ")+COUNTIF($E109:AF109,1)),
HYPERLINK("#Roadmap!C"&amp; MATCH($E109,Roadmap!$D:$D,0)+COUNTIF($E109:AF109,"u")+COUNTIF($E109:AF109,"t"),
     INDEX(Roadmap!$D:$K,MATCH($E109,Roadmap!$D:$D,0)+COUNTIF($E109:AF109,"u")+COUNTIF($E109:AF109,"t")+COUNTIF($E109:AF109,"¶")+COUNTIF($E109:AF109,"²")+COUNTIF($E109:AF109,"µ")+COUNTIF($E109:AF109,1),ColTypeEcheance)),
  IF(LEN(AF109)=1,
  IF(LEN(INDEX(Roadmap!$D:$K,MATCH($E109,Roadmap!$D:$D,0)-1+COUNTIF($E109:AF109,"u")+COUNTIF($E109:AF109,"t")+COUNTIF($E109:AF109,"¶")+COUNTIF($E109:AF109,"²")+COUNTIF($E109:AF109,"µ")+COUNTIF($E109:AF109,1),ColDescriptionCourte))&gt;1,
HYPERLINK("#Roadmap!C"&amp; MATCH($E109,Roadmap!$D:$D,0)+COUNTIF($E109:AF109,"u")+COUNTIF($E109:AF109,"t")+COUNTIF($E109:AF109,"¶")+COUNTIF($E109:AF109,"²")+COUNTIF($E109:AF109,"µ")+COUNTIF($E109:AF109,1)-1,INDEX(Roadmap!$D:$K,MATCH($E109,Roadmap!$D:$D,0)-1+COUNTIF($E109:AF109,"u")+COUNTIF($E109:AF109,"t")+COUNTIF($E109:AF109,"¶")+COUNTIF($E109:AF109,"²")+COUNTIF($E109:AF109,"µ")+COUNTIF($E109:AF109,1),ColDescriptionCourte)),""),
  "")),"")</f>
        <v/>
      </c>
    </row>
    <row r="110" spans="3:33" ht="14.25" customHeight="1">
      <c r="C110" s="1" t="str">
        <f t="shared" ca="1" si="49"/>
        <v/>
      </c>
      <c r="D110" s="1" t="str">
        <f t="shared" ca="1" si="50"/>
        <v/>
      </c>
      <c r="E110" s="35" t="str">
        <f t="shared" ca="1" si="46"/>
        <v/>
      </c>
      <c r="F110" s="39" t="str">
        <f ca="1">IFERROR(IF(AND(
  INDEX(Roadmap!$D:$K,MATCH($E110,Roadmap!$D:$D,0)+COUNTIF($E110:E110,"u")+COUNTIF($E110:E110,"t")+COUNTIF($E110:E110,"¶")+COUNTIF($E110:E110,"²")+COUNTIF($E110:E110,"µ")+COUNTIF($E110:E110,1),ColLivraison)=F$6,
  VLOOKUP($E110,INDIRECT("tri!"&amp; CHAR(64+ C0Col) &amp;":"&amp; CHAR(65+C0Col)),2,FALSE)&gt;COUNTIF($E110:E110,"u")+COUNTIF($E110:E110,"t")+COUNTIF($E110:E110,"¶")+COUNTIF($E110:E110,"²")+COUNTIF($E110:E110,"µ")+COUNTIF($E110:E110,1)),
HYPERLINK("#Roadmap!C"&amp; MATCH($E110,Roadmap!$D:$D,0)+COUNTIF($E110:E110,"u")+COUNTIF($E110:E110,"t"),
     INDEX(Roadmap!$D:$K,MATCH($E110,Roadmap!$D:$D,0)+COUNTIF($E110:E110,"u")+COUNTIF($E110:E110,"t")+COUNTIF($E110:E110,"¶")+COUNTIF($E110:E110,"²")+COUNTIF($E110:E110,"µ")+COUNTIF($E110:E110,1),ColTypeEcheance)),
  IF(LEN(E110)=1,
  IF(LEN(INDEX(Roadmap!$D:$K,MATCH($E110,Roadmap!$D:$D,0)-1+COUNTIF($E110:E110,"u")+COUNTIF($E110:E110,"t")+COUNTIF($E110:E110,"¶")+COUNTIF($E110:E110,"²")+COUNTIF($E110:E110,"µ")+COUNTIF($E110:E110,1),ColDescriptionCourte))&gt;1,
HYPERLINK("#Roadmap!C"&amp; MATCH($E110,Roadmap!$D:$D,0)+COUNTIF($E110:E110,"u")+COUNTIF($E110:E110,"t")+COUNTIF($E110:E110,"¶")+COUNTIF($E110:E110,"²")+COUNTIF($E110:E110,"µ")+COUNTIF($E110:E110,1)-1,INDEX(Roadmap!$D:$K,MATCH($E110,Roadmap!$D:$D,0)-1+COUNTIF($E110:E110,"u")+COUNTIF($E110:E110,"t")+COUNTIF($E110:E110,"¶")+COUNTIF($E110:E110,"²")+COUNTIF($E110:E110,"µ")+COUNTIF($E110:E110,1),ColDescriptionCourte)),""),
  "")),"")</f>
        <v/>
      </c>
      <c r="G110" s="40" t="str">
        <f ca="1">IFERROR(IF(AND(
  INDEX(Roadmap!$D:$K,MATCH($E110,Roadmap!$D:$D,0)+COUNTIF($E110:F110,"u")+COUNTIF($E110:F110,"t")+COUNTIF($E110:F110,"¶")+COUNTIF($E110:F110,"²")+COUNTIF($E110:F110,"µ")+COUNTIF($E110:F110,1),ColLivraison)=G$6,
  VLOOKUP($E110,INDIRECT("tri!"&amp; CHAR(64+ C0Col) &amp;":"&amp; CHAR(65+C0Col)),2,FALSE)&gt;COUNTIF($E110:F110,"u")+COUNTIF($E110:F110,"t")+COUNTIF($E110:F110,"¶")+COUNTIF($E110:F110,"²")+COUNTIF($E110:F110,"µ")+COUNTIF($E110:F110,1)),
HYPERLINK("#Roadmap!C"&amp; MATCH($E110,Roadmap!$D:$D,0)+COUNTIF($E110:F110,"u")+COUNTIF($E110:F110,"t"),
     INDEX(Roadmap!$D:$K,MATCH($E110,Roadmap!$D:$D,0)+COUNTIF($E110:F110,"u")+COUNTIF($E110:F110,"t")+COUNTIF($E110:F110,"¶")+COUNTIF($E110:F110,"²")+COUNTIF($E110:F110,"µ")+COUNTIF($E110:F110,1),ColTypeEcheance)),
  IF(LEN(F110)=1,
  IF(LEN(INDEX(Roadmap!$D:$K,MATCH($E110,Roadmap!$D:$D,0)-1+COUNTIF($E110:F110,"u")+COUNTIF($E110:F110,"t")+COUNTIF($E110:F110,"¶")+COUNTIF($E110:F110,"²")+COUNTIF($E110:F110,"µ")+COUNTIF($E110:F110,1),ColDescriptionCourte))&gt;1,
HYPERLINK("#Roadmap!C"&amp; MATCH($E110,Roadmap!$D:$D,0)+COUNTIF($E110:F110,"u")+COUNTIF($E110:F110,"t")+COUNTIF($E110:F110,"¶")+COUNTIF($E110:F110,"²")+COUNTIF($E110:F110,"µ")+COUNTIF($E110:F110,1)-1,INDEX(Roadmap!$D:$K,MATCH($E110,Roadmap!$D:$D,0)-1+COUNTIF($E110:F110,"u")+COUNTIF($E110:F110,"t")+COUNTIF($E110:F110,"¶")+COUNTIF($E110:F110,"²")+COUNTIF($E110:F110,"µ")+COUNTIF($E110:F110,1),ColDescriptionCourte)),""),
  "")),"")</f>
        <v/>
      </c>
      <c r="H110" s="40" t="str">
        <f ca="1">IFERROR(IF(AND(
  INDEX(Roadmap!$D:$K,MATCH($E110,Roadmap!$D:$D,0)+COUNTIF($E110:G110,"u")+COUNTIF($E110:G110,"t")+COUNTIF($E110:G110,"¶")+COUNTIF($E110:G110,"²")+COUNTIF($E110:G110,"µ")+COUNTIF($E110:G110,1),ColLivraison)=H$6,
  VLOOKUP($E110,INDIRECT("tri!"&amp; CHAR(64+ C0Col) &amp;":"&amp; CHAR(65+C0Col)),2,FALSE)&gt;COUNTIF($E110:G110,"u")+COUNTIF($E110:G110,"t")+COUNTIF($E110:G110,"¶")+COUNTIF($E110:G110,"²")+COUNTIF($E110:G110,"µ")+COUNTIF($E110:G110,1)),
HYPERLINK("#Roadmap!C"&amp; MATCH($E110,Roadmap!$D:$D,0)+COUNTIF($E110:G110,"u")+COUNTIF($E110:G110,"t"),
     INDEX(Roadmap!$D:$K,MATCH($E110,Roadmap!$D:$D,0)+COUNTIF($E110:G110,"u")+COUNTIF($E110:G110,"t")+COUNTIF($E110:G110,"¶")+COUNTIF($E110:G110,"²")+COUNTIF($E110:G110,"µ")+COUNTIF($E110:G110,1),ColTypeEcheance)),
  IF(LEN(G110)=1,
  IF(LEN(INDEX(Roadmap!$D:$K,MATCH($E110,Roadmap!$D:$D,0)-1+COUNTIF($E110:G110,"u")+COUNTIF($E110:G110,"t")+COUNTIF($E110:G110,"¶")+COUNTIF($E110:G110,"²")+COUNTIF($E110:G110,"µ")+COUNTIF($E110:G110,1),ColDescriptionCourte))&gt;1,
HYPERLINK("#Roadmap!C"&amp; MATCH($E110,Roadmap!$D:$D,0)+COUNTIF($E110:G110,"u")+COUNTIF($E110:G110,"t")+COUNTIF($E110:G110,"¶")+COUNTIF($E110:G110,"²")+COUNTIF($E110:G110,"µ")+COUNTIF($E110:G110,1)-1,INDEX(Roadmap!$D:$K,MATCH($E110,Roadmap!$D:$D,0)-1+COUNTIF($E110:G110,"u")+COUNTIF($E110:G110,"t")+COUNTIF($E110:G110,"¶")+COUNTIF($E110:G110,"²")+COUNTIF($E110:G110,"µ")+COUNTIF($E110:G110,1),ColDescriptionCourte)),""),
  "")),"")</f>
        <v/>
      </c>
      <c r="I110" s="40" t="str">
        <f ca="1">IFERROR(IF(AND(
  INDEX(Roadmap!$D:$K,MATCH($E110,Roadmap!$D:$D,0)+COUNTIF($E110:H110,"u")+COUNTIF($E110:H110,"t")+COUNTIF($E110:H110,"¶")+COUNTIF($E110:H110,"²")+COUNTIF($E110:H110,"µ")+COUNTIF($E110:H110,1),ColLivraison)=I$6,
  VLOOKUP($E110,INDIRECT("tri!"&amp; CHAR(64+ C0Col) &amp;":"&amp; CHAR(65+C0Col)),2,FALSE)&gt;COUNTIF($E110:H110,"u")+COUNTIF($E110:H110,"t")+COUNTIF($E110:H110,"¶")+COUNTIF($E110:H110,"²")+COUNTIF($E110:H110,"µ")+COUNTIF($E110:H110,1)),
HYPERLINK("#Roadmap!C"&amp; MATCH($E110,Roadmap!$D:$D,0)+COUNTIF($E110:H110,"u")+COUNTIF($E110:H110,"t"),
     INDEX(Roadmap!$D:$K,MATCH($E110,Roadmap!$D:$D,0)+COUNTIF($E110:H110,"u")+COUNTIF($E110:H110,"t")+COUNTIF($E110:H110,"¶")+COUNTIF($E110:H110,"²")+COUNTIF($E110:H110,"µ")+COUNTIF($E110:H110,1),ColTypeEcheance)),
  IF(LEN(H110)=1,
  IF(LEN(INDEX(Roadmap!$D:$K,MATCH($E110,Roadmap!$D:$D,0)-1+COUNTIF($E110:H110,"u")+COUNTIF($E110:H110,"t")+COUNTIF($E110:H110,"¶")+COUNTIF($E110:H110,"²")+COUNTIF($E110:H110,"µ")+COUNTIF($E110:H110,1),ColDescriptionCourte))&gt;1,
HYPERLINK("#Roadmap!C"&amp; MATCH($E110,Roadmap!$D:$D,0)+COUNTIF($E110:H110,"u")+COUNTIF($E110:H110,"t")+COUNTIF($E110:H110,"¶")+COUNTIF($E110:H110,"²")+COUNTIF($E110:H110,"µ")+COUNTIF($E110:H110,1)-1,INDEX(Roadmap!$D:$K,MATCH($E110,Roadmap!$D:$D,0)-1+COUNTIF($E110:H110,"u")+COUNTIF($E110:H110,"t")+COUNTIF($E110:H110,"¶")+COUNTIF($E110:H110,"²")+COUNTIF($E110:H110,"µ")+COUNTIF($E110:H110,1),ColDescriptionCourte)),""),
  "")),"")</f>
        <v/>
      </c>
      <c r="J110" s="40" t="str">
        <f ca="1">IFERROR(IF(AND(
  INDEX(Roadmap!$D:$K,MATCH($E110,Roadmap!$D:$D,0)+COUNTIF($E110:I110,"u")+COUNTIF($E110:I110,"t")+COUNTIF($E110:I110,"¶")+COUNTIF($E110:I110,"²")+COUNTIF($E110:I110,"µ")+COUNTIF($E110:I110,1),ColLivraison)=J$6,
  VLOOKUP($E110,INDIRECT("tri!"&amp; CHAR(64+ C0Col) &amp;":"&amp; CHAR(65+C0Col)),2,FALSE)&gt;COUNTIF($E110:I110,"u")+COUNTIF($E110:I110,"t")+COUNTIF($E110:I110,"¶")+COUNTIF($E110:I110,"²")+COUNTIF($E110:I110,"µ")+COUNTIF($E110:I110,1)),
HYPERLINK("#Roadmap!C"&amp; MATCH($E110,Roadmap!$D:$D,0)+COUNTIF($E110:I110,"u")+COUNTIF($E110:I110,"t"),
     INDEX(Roadmap!$D:$K,MATCH($E110,Roadmap!$D:$D,0)+COUNTIF($E110:I110,"u")+COUNTIF($E110:I110,"t")+COUNTIF($E110:I110,"¶")+COUNTIF($E110:I110,"²")+COUNTIF($E110:I110,"µ")+COUNTIF($E110:I110,1),ColTypeEcheance)),
  IF(LEN(I110)=1,
  IF(LEN(INDEX(Roadmap!$D:$K,MATCH($E110,Roadmap!$D:$D,0)-1+COUNTIF($E110:I110,"u")+COUNTIF($E110:I110,"t")+COUNTIF($E110:I110,"¶")+COUNTIF($E110:I110,"²")+COUNTIF($E110:I110,"µ")+COUNTIF($E110:I110,1),ColDescriptionCourte))&gt;1,
HYPERLINK("#Roadmap!C"&amp; MATCH($E110,Roadmap!$D:$D,0)+COUNTIF($E110:I110,"u")+COUNTIF($E110:I110,"t")+COUNTIF($E110:I110,"¶")+COUNTIF($E110:I110,"²")+COUNTIF($E110:I110,"µ")+COUNTIF($E110:I110,1)-1,INDEX(Roadmap!$D:$K,MATCH($E110,Roadmap!$D:$D,0)-1+COUNTIF($E110:I110,"u")+COUNTIF($E110:I110,"t")+COUNTIF($E110:I110,"¶")+COUNTIF($E110:I110,"²")+COUNTIF($E110:I110,"µ")+COUNTIF($E110:I110,1),ColDescriptionCourte)),""),
  "")),"")</f>
        <v/>
      </c>
      <c r="K110" s="40" t="str">
        <f ca="1">IFERROR(IF(AND(
  INDEX(Roadmap!$D:$K,MATCH($E110,Roadmap!$D:$D,0)+COUNTIF($E110:J110,"u")+COUNTIF($E110:J110,"t")+COUNTIF($E110:J110,"¶")+COUNTIF($E110:J110,"²")+COUNTIF($E110:J110,"µ")+COUNTIF($E110:J110,1),ColLivraison)=K$6,
  VLOOKUP($E110,INDIRECT("tri!"&amp; CHAR(64+ C0Col) &amp;":"&amp; CHAR(65+C0Col)),2,FALSE)&gt;COUNTIF($E110:J110,"u")+COUNTIF($E110:J110,"t")+COUNTIF($E110:J110,"¶")+COUNTIF($E110:J110,"²")+COUNTIF($E110:J110,"µ")+COUNTIF($E110:J110,1)),
HYPERLINK("#Roadmap!C"&amp; MATCH($E110,Roadmap!$D:$D,0)+COUNTIF($E110:J110,"u")+COUNTIF($E110:J110,"t"),
     INDEX(Roadmap!$D:$K,MATCH($E110,Roadmap!$D:$D,0)+COUNTIF($E110:J110,"u")+COUNTIF($E110:J110,"t")+COUNTIF($E110:J110,"¶")+COUNTIF($E110:J110,"²")+COUNTIF($E110:J110,"µ")+COUNTIF($E110:J110,1),ColTypeEcheance)),
  IF(LEN(J110)=1,
  IF(LEN(INDEX(Roadmap!$D:$K,MATCH($E110,Roadmap!$D:$D,0)-1+COUNTIF($E110:J110,"u")+COUNTIF($E110:J110,"t")+COUNTIF($E110:J110,"¶")+COUNTIF($E110:J110,"²")+COUNTIF($E110:J110,"µ")+COUNTIF($E110:J110,1),ColDescriptionCourte))&gt;1,
HYPERLINK("#Roadmap!C"&amp; MATCH($E110,Roadmap!$D:$D,0)+COUNTIF($E110:J110,"u")+COUNTIF($E110:J110,"t")+COUNTIF($E110:J110,"¶")+COUNTIF($E110:J110,"²")+COUNTIF($E110:J110,"µ")+COUNTIF($E110:J110,1)-1,INDEX(Roadmap!$D:$K,MATCH($E110,Roadmap!$D:$D,0)-1+COUNTIF($E110:J110,"u")+COUNTIF($E110:J110,"t")+COUNTIF($E110:J110,"¶")+COUNTIF($E110:J110,"²")+COUNTIF($E110:J110,"µ")+COUNTIF($E110:J110,1),ColDescriptionCourte)),""),
  "")),"")</f>
        <v/>
      </c>
      <c r="L110" s="39" t="str">
        <f ca="1">IFERROR(IF(AND(
  INDEX(Roadmap!$D:$K,MATCH($E110,Roadmap!$D:$D,0)+COUNTIF($E110:K110,"u")+COUNTIF($E110:K110,"t")+COUNTIF($E110:K110,"¶")+COUNTIF($E110:K110,"²")+COUNTIF($E110:K110,"µ")+COUNTIF($E110:K110,1),ColLivraison)=L$6,
  VLOOKUP($E110,INDIRECT("tri!"&amp; CHAR(64+ C0Col) &amp;":"&amp; CHAR(65+C0Col)),2,FALSE)&gt;COUNTIF($E110:K110,"u")+COUNTIF($E110:K110,"t")+COUNTIF($E110:K110,"¶")+COUNTIF($E110:K110,"²")+COUNTIF($E110:K110,"µ")+COUNTIF($E110:K110,1)),
HYPERLINK("#Roadmap!C"&amp; MATCH($E110,Roadmap!$D:$D,0)+COUNTIF($E110:K110,"u")+COUNTIF($E110:K110,"t"),
     INDEX(Roadmap!$D:$K,MATCH($E110,Roadmap!$D:$D,0)+COUNTIF($E110:K110,"u")+COUNTIF($E110:K110,"t")+COUNTIF($E110:K110,"¶")+COUNTIF($E110:K110,"²")+COUNTIF($E110:K110,"µ")+COUNTIF($E110:K110,1),ColTypeEcheance)),
  IF(LEN(K110)=1,
  IF(LEN(INDEX(Roadmap!$D:$K,MATCH($E110,Roadmap!$D:$D,0)-1+COUNTIF($E110:K110,"u")+COUNTIF($E110:K110,"t")+COUNTIF($E110:K110,"¶")+COUNTIF($E110:K110,"²")+COUNTIF($E110:K110,"µ")+COUNTIF($E110:K110,1),ColDescriptionCourte))&gt;1,
HYPERLINK("#Roadmap!C"&amp; MATCH($E110,Roadmap!$D:$D,0)+COUNTIF($E110:K110,"u")+COUNTIF($E110:K110,"t")+COUNTIF($E110:K110,"¶")+COUNTIF($E110:K110,"²")+COUNTIF($E110:K110,"µ")+COUNTIF($E110:K110,1)-1,INDEX(Roadmap!$D:$K,MATCH($E110,Roadmap!$D:$D,0)-1+COUNTIF($E110:K110,"u")+COUNTIF($E110:K110,"t")+COUNTIF($E110:K110,"¶")+COUNTIF($E110:K110,"²")+COUNTIF($E110:K110,"µ")+COUNTIF($E110:K110,1),ColDescriptionCourte)),""),
  "")),"")</f>
        <v/>
      </c>
      <c r="M110" s="40" t="str">
        <f ca="1">IFERROR(IF(AND(
  INDEX(Roadmap!$D:$K,MATCH($E110,Roadmap!$D:$D,0)+COUNTIF($E110:L110,"u")+COUNTIF($E110:L110,"t")+COUNTIF($E110:L110,"¶")+COUNTIF($E110:L110,"²")+COUNTIF($E110:L110,"µ")+COUNTIF($E110:L110,1),ColLivraison)=M$6,
  VLOOKUP($E110,INDIRECT("tri!"&amp; CHAR(64+ C0Col) &amp;":"&amp; CHAR(65+C0Col)),2,FALSE)&gt;COUNTIF($E110:L110,"u")+COUNTIF($E110:L110,"t")+COUNTIF($E110:L110,"¶")+COUNTIF($E110:L110,"²")+COUNTIF($E110:L110,"µ")+COUNTIF($E110:L110,1)),
HYPERLINK("#Roadmap!C"&amp; MATCH($E110,Roadmap!$D:$D,0)+COUNTIF($E110:L110,"u")+COUNTIF($E110:L110,"t"),
     INDEX(Roadmap!$D:$K,MATCH($E110,Roadmap!$D:$D,0)+COUNTIF($E110:L110,"u")+COUNTIF($E110:L110,"t")+COUNTIF($E110:L110,"¶")+COUNTIF($E110:L110,"²")+COUNTIF($E110:L110,"µ")+COUNTIF($E110:L110,1),ColTypeEcheance)),
  IF(LEN(L110)=1,
  IF(LEN(INDEX(Roadmap!$D:$K,MATCH($E110,Roadmap!$D:$D,0)-1+COUNTIF($E110:L110,"u")+COUNTIF($E110:L110,"t")+COUNTIF($E110:L110,"¶")+COUNTIF($E110:L110,"²")+COUNTIF($E110:L110,"µ")+COUNTIF($E110:L110,1),ColDescriptionCourte))&gt;1,
HYPERLINK("#Roadmap!C"&amp; MATCH($E110,Roadmap!$D:$D,0)+COUNTIF($E110:L110,"u")+COUNTIF($E110:L110,"t")+COUNTIF($E110:L110,"¶")+COUNTIF($E110:L110,"²")+COUNTIF($E110:L110,"µ")+COUNTIF($E110:L110,1)-1,INDEX(Roadmap!$D:$K,MATCH($E110,Roadmap!$D:$D,0)-1+COUNTIF($E110:L110,"u")+COUNTIF($E110:L110,"t")+COUNTIF($E110:L110,"¶")+COUNTIF($E110:L110,"²")+COUNTIF($E110:L110,"µ")+COUNTIF($E110:L110,1),ColDescriptionCourte)),""),
  "")),"")</f>
        <v/>
      </c>
      <c r="N110" s="40" t="str">
        <f ca="1">IFERROR(IF(AND(
  INDEX(Roadmap!$D:$K,MATCH($E110,Roadmap!$D:$D,0)+COUNTIF($E110:M110,"u")+COUNTIF($E110:M110,"t")+COUNTIF($E110:M110,"¶")+COUNTIF($E110:M110,"²")+COUNTIF($E110:M110,"µ")+COUNTIF($E110:M110,1),ColLivraison)=N$6,
  VLOOKUP($E110,INDIRECT("tri!"&amp; CHAR(64+ C0Col) &amp;":"&amp; CHAR(65+C0Col)),2,FALSE)&gt;COUNTIF($E110:M110,"u")+COUNTIF($E110:M110,"t")+COUNTIF($E110:M110,"¶")+COUNTIF($E110:M110,"²")+COUNTIF($E110:M110,"µ")+COUNTIF($E110:M110,1)),
HYPERLINK("#Roadmap!C"&amp; MATCH($E110,Roadmap!$D:$D,0)+COUNTIF($E110:M110,"u")+COUNTIF($E110:M110,"t"),
     INDEX(Roadmap!$D:$K,MATCH($E110,Roadmap!$D:$D,0)+COUNTIF($E110:M110,"u")+COUNTIF($E110:M110,"t")+COUNTIF($E110:M110,"¶")+COUNTIF($E110:M110,"²")+COUNTIF($E110:M110,"µ")+COUNTIF($E110:M110,1),ColTypeEcheance)),
  IF(LEN(M110)=1,
  IF(LEN(INDEX(Roadmap!$D:$K,MATCH($E110,Roadmap!$D:$D,0)-1+COUNTIF($E110:M110,"u")+COUNTIF($E110:M110,"t")+COUNTIF($E110:M110,"¶")+COUNTIF($E110:M110,"²")+COUNTIF($E110:M110,"µ")+COUNTIF($E110:M110,1),ColDescriptionCourte))&gt;1,
HYPERLINK("#Roadmap!C"&amp; MATCH($E110,Roadmap!$D:$D,0)+COUNTIF($E110:M110,"u")+COUNTIF($E110:M110,"t")+COUNTIF($E110:M110,"¶")+COUNTIF($E110:M110,"²")+COUNTIF($E110:M110,"µ")+COUNTIF($E110:M110,1)-1,INDEX(Roadmap!$D:$K,MATCH($E110,Roadmap!$D:$D,0)-1+COUNTIF($E110:M110,"u")+COUNTIF($E110:M110,"t")+COUNTIF($E110:M110,"¶")+COUNTIF($E110:M110,"²")+COUNTIF($E110:M110,"µ")+COUNTIF($E110:M110,1),ColDescriptionCourte)),""),
  "")),"")</f>
        <v/>
      </c>
      <c r="O110" s="40" t="str">
        <f ca="1">IFERROR(IF(AND(
  INDEX(Roadmap!$D:$K,MATCH($E110,Roadmap!$D:$D,0)+COUNTIF($E110:N110,"u")+COUNTIF($E110:N110,"t")+COUNTIF($E110:N110,"¶")+COUNTIF($E110:N110,"²")+COUNTIF($E110:N110,"µ")+COUNTIF($E110:N110,1),ColLivraison)=O$6,
  VLOOKUP($E110,INDIRECT("tri!"&amp; CHAR(64+ C0Col) &amp;":"&amp; CHAR(65+C0Col)),2,FALSE)&gt;COUNTIF($E110:N110,"u")+COUNTIF($E110:N110,"t")+COUNTIF($E110:N110,"¶")+COUNTIF($E110:N110,"²")+COUNTIF($E110:N110,"µ")+COUNTIF($E110:N110,1)),
HYPERLINK("#Roadmap!C"&amp; MATCH($E110,Roadmap!$D:$D,0)+COUNTIF($E110:N110,"u")+COUNTIF($E110:N110,"t"),
     INDEX(Roadmap!$D:$K,MATCH($E110,Roadmap!$D:$D,0)+COUNTIF($E110:N110,"u")+COUNTIF($E110:N110,"t")+COUNTIF($E110:N110,"¶")+COUNTIF($E110:N110,"²")+COUNTIF($E110:N110,"µ")+COUNTIF($E110:N110,1),ColTypeEcheance)),
  IF(LEN(N110)=1,
  IF(LEN(INDEX(Roadmap!$D:$K,MATCH($E110,Roadmap!$D:$D,0)-1+COUNTIF($E110:N110,"u")+COUNTIF($E110:N110,"t")+COUNTIF($E110:N110,"¶")+COUNTIF($E110:N110,"²")+COUNTIF($E110:N110,"µ")+COUNTIF($E110:N110,1),ColDescriptionCourte))&gt;1,
HYPERLINK("#Roadmap!C"&amp; MATCH($E110,Roadmap!$D:$D,0)+COUNTIF($E110:N110,"u")+COUNTIF($E110:N110,"t")+COUNTIF($E110:N110,"¶")+COUNTIF($E110:N110,"²")+COUNTIF($E110:N110,"µ")+COUNTIF($E110:N110,1)-1,INDEX(Roadmap!$D:$K,MATCH($E110,Roadmap!$D:$D,0)-1+COUNTIF($E110:N110,"u")+COUNTIF($E110:N110,"t")+COUNTIF($E110:N110,"¶")+COUNTIF($E110:N110,"²")+COUNTIF($E110:N110,"µ")+COUNTIF($E110:N110,1),ColDescriptionCourte)),""),
  "")),"")</f>
        <v/>
      </c>
      <c r="P110" s="40" t="str">
        <f ca="1">IFERROR(IF(AND(
  INDEX(Roadmap!$D:$K,MATCH($E110,Roadmap!$D:$D,0)+COUNTIF($E110:O110,"u")+COUNTIF($E110:O110,"t")+COUNTIF($E110:O110,"¶")+COUNTIF($E110:O110,"²")+COUNTIF($E110:O110,"µ")+COUNTIF($E110:O110,1),ColLivraison)=P$6,
  VLOOKUP($E110,INDIRECT("tri!"&amp; CHAR(64+ C0Col) &amp;":"&amp; CHAR(65+C0Col)),2,FALSE)&gt;COUNTIF($E110:O110,"u")+COUNTIF($E110:O110,"t")+COUNTIF($E110:O110,"¶")+COUNTIF($E110:O110,"²")+COUNTIF($E110:O110,"µ")+COUNTIF($E110:O110,1)),
HYPERLINK("#Roadmap!C"&amp; MATCH($E110,Roadmap!$D:$D,0)+COUNTIF($E110:O110,"u")+COUNTIF($E110:O110,"t"),
     INDEX(Roadmap!$D:$K,MATCH($E110,Roadmap!$D:$D,0)+COUNTIF($E110:O110,"u")+COUNTIF($E110:O110,"t")+COUNTIF($E110:O110,"¶")+COUNTIF($E110:O110,"²")+COUNTIF($E110:O110,"µ")+COUNTIF($E110:O110,1),ColTypeEcheance)),
  IF(LEN(O110)=1,
  IF(LEN(INDEX(Roadmap!$D:$K,MATCH($E110,Roadmap!$D:$D,0)-1+COUNTIF($E110:O110,"u")+COUNTIF($E110:O110,"t")+COUNTIF($E110:O110,"¶")+COUNTIF($E110:O110,"²")+COUNTIF($E110:O110,"µ")+COUNTIF($E110:O110,1),ColDescriptionCourte))&gt;1,
HYPERLINK("#Roadmap!C"&amp; MATCH($E110,Roadmap!$D:$D,0)+COUNTIF($E110:O110,"u")+COUNTIF($E110:O110,"t")+COUNTIF($E110:O110,"¶")+COUNTIF($E110:O110,"²")+COUNTIF($E110:O110,"µ")+COUNTIF($E110:O110,1)-1,INDEX(Roadmap!$D:$K,MATCH($E110,Roadmap!$D:$D,0)-1+COUNTIF($E110:O110,"u")+COUNTIF($E110:O110,"t")+COUNTIF($E110:O110,"¶")+COUNTIF($E110:O110,"²")+COUNTIF($E110:O110,"µ")+COUNTIF($E110:O110,1),ColDescriptionCourte)),""),
  "")),"")</f>
        <v/>
      </c>
      <c r="Q110" s="40" t="str">
        <f ca="1">IFERROR(IF(AND(
  INDEX(Roadmap!$D:$K,MATCH($E110,Roadmap!$D:$D,0)+COUNTIF($E110:P110,"u")+COUNTIF($E110:P110,"t")+COUNTIF($E110:P110,"¶")+COUNTIF($E110:P110,"²")+COUNTIF($E110:P110,"µ")+COUNTIF($E110:P110,1),ColLivraison)=Q$6,
  VLOOKUP($E110,INDIRECT("tri!"&amp; CHAR(64+ C0Col) &amp;":"&amp; CHAR(65+C0Col)),2,FALSE)&gt;COUNTIF($E110:P110,"u")+COUNTIF($E110:P110,"t")+COUNTIF($E110:P110,"¶")+COUNTIF($E110:P110,"²")+COUNTIF($E110:P110,"µ")+COUNTIF($E110:P110,1)),
HYPERLINK("#Roadmap!C"&amp; MATCH($E110,Roadmap!$D:$D,0)+COUNTIF($E110:P110,"u")+COUNTIF($E110:P110,"t"),
     INDEX(Roadmap!$D:$K,MATCH($E110,Roadmap!$D:$D,0)+COUNTIF($E110:P110,"u")+COUNTIF($E110:P110,"t")+COUNTIF($E110:P110,"¶")+COUNTIF($E110:P110,"²")+COUNTIF($E110:P110,"µ")+COUNTIF($E110:P110,1),ColTypeEcheance)),
  IF(LEN(P110)=1,
  IF(LEN(INDEX(Roadmap!$D:$K,MATCH($E110,Roadmap!$D:$D,0)-1+COUNTIF($E110:P110,"u")+COUNTIF($E110:P110,"t")+COUNTIF($E110:P110,"¶")+COUNTIF($E110:P110,"²")+COUNTIF($E110:P110,"µ")+COUNTIF($E110:P110,1),ColDescriptionCourte))&gt;1,
HYPERLINK("#Roadmap!C"&amp; MATCH($E110,Roadmap!$D:$D,0)+COUNTIF($E110:P110,"u")+COUNTIF($E110:P110,"t")+COUNTIF($E110:P110,"¶")+COUNTIF($E110:P110,"²")+COUNTIF($E110:P110,"µ")+COUNTIF($E110:P110,1)-1,INDEX(Roadmap!$D:$K,MATCH($E110,Roadmap!$D:$D,0)-1+COUNTIF($E110:P110,"u")+COUNTIF($E110:P110,"t")+COUNTIF($E110:P110,"¶")+COUNTIF($E110:P110,"²")+COUNTIF($E110:P110,"µ")+COUNTIF($E110:P110,1),ColDescriptionCourte)),""),
  "")),"")</f>
        <v/>
      </c>
      <c r="R110" s="40" t="str">
        <f ca="1">IFERROR(IF(AND(
  INDEX(Roadmap!$D:$K,MATCH($E110,Roadmap!$D:$D,0)+COUNTIF($E110:Q110,"u")+COUNTIF($E110:Q110,"t")+COUNTIF($E110:Q110,"¶")+COUNTIF($E110:Q110,"²")+COUNTIF($E110:Q110,"µ")+COUNTIF($E110:Q110,1),ColLivraison)=R$6,
  VLOOKUP($E110,INDIRECT("tri!"&amp; CHAR(64+ C0Col) &amp;":"&amp; CHAR(65+C0Col)),2,FALSE)&gt;COUNTIF($E110:Q110,"u")+COUNTIF($E110:Q110,"t")+COUNTIF($E110:Q110,"¶")+COUNTIF($E110:Q110,"²")+COUNTIF($E110:Q110,"µ")+COUNTIF($E110:Q110,1)),
HYPERLINK("#Roadmap!C"&amp; MATCH($E110,Roadmap!$D:$D,0)+COUNTIF($E110:Q110,"u")+COUNTIF($E110:Q110,"t"),
     INDEX(Roadmap!$D:$K,MATCH($E110,Roadmap!$D:$D,0)+COUNTIF($E110:Q110,"u")+COUNTIF($E110:Q110,"t")+COUNTIF($E110:Q110,"¶")+COUNTIF($E110:Q110,"²")+COUNTIF($E110:Q110,"µ")+COUNTIF($E110:Q110,1),ColTypeEcheance)),
  IF(LEN(Q110)=1,
  IF(LEN(INDEX(Roadmap!$D:$K,MATCH($E110,Roadmap!$D:$D,0)-1+COUNTIF($E110:Q110,"u")+COUNTIF($E110:Q110,"t")+COUNTIF($E110:Q110,"¶")+COUNTIF($E110:Q110,"²")+COUNTIF($E110:Q110,"µ")+COUNTIF($E110:Q110,1),ColDescriptionCourte))&gt;1,
HYPERLINK("#Roadmap!C"&amp; MATCH($E110,Roadmap!$D:$D,0)+COUNTIF($E110:Q110,"u")+COUNTIF($E110:Q110,"t")+COUNTIF($E110:Q110,"¶")+COUNTIF($E110:Q110,"²")+COUNTIF($E110:Q110,"µ")+COUNTIF($E110:Q110,1)-1,INDEX(Roadmap!$D:$K,MATCH($E110,Roadmap!$D:$D,0)-1+COUNTIF($E110:Q110,"u")+COUNTIF($E110:Q110,"t")+COUNTIF($E110:Q110,"¶")+COUNTIF($E110:Q110,"²")+COUNTIF($E110:Q110,"µ")+COUNTIF($E110:Q110,1),ColDescriptionCourte)),""),
  "")),"")</f>
        <v/>
      </c>
      <c r="S110" s="40" t="str">
        <f ca="1">IFERROR(IF(AND(
  INDEX(Roadmap!$D:$K,MATCH($E110,Roadmap!$D:$D,0)+COUNTIF($E110:R110,"u")+COUNTIF($E110:R110,"t")+COUNTIF($E110:R110,"¶")+COUNTIF($E110:R110,"²")+COUNTIF($E110:R110,"µ")+COUNTIF($E110:R110,1),ColLivraison)=S$6,
  VLOOKUP($E110,INDIRECT("tri!"&amp; CHAR(64+ C0Col) &amp;":"&amp; CHAR(65+C0Col)),2,FALSE)&gt;COUNTIF($E110:R110,"u")+COUNTIF($E110:R110,"t")+COUNTIF($E110:R110,"¶")+COUNTIF($E110:R110,"²")+COUNTIF($E110:R110,"µ")+COUNTIF($E110:R110,1)),
HYPERLINK("#Roadmap!C"&amp; MATCH($E110,Roadmap!$D:$D,0)+COUNTIF($E110:R110,"u")+COUNTIF($E110:R110,"t"),
     INDEX(Roadmap!$D:$K,MATCH($E110,Roadmap!$D:$D,0)+COUNTIF($E110:R110,"u")+COUNTIF($E110:R110,"t")+COUNTIF($E110:R110,"¶")+COUNTIF($E110:R110,"²")+COUNTIF($E110:R110,"µ")+COUNTIF($E110:R110,1),ColTypeEcheance)),
  IF(LEN(R110)=1,
  IF(LEN(INDEX(Roadmap!$D:$K,MATCH($E110,Roadmap!$D:$D,0)-1+COUNTIF($E110:R110,"u")+COUNTIF($E110:R110,"t")+COUNTIF($E110:R110,"¶")+COUNTIF($E110:R110,"²")+COUNTIF($E110:R110,"µ")+COUNTIF($E110:R110,1),ColDescriptionCourte))&gt;1,
HYPERLINK("#Roadmap!C"&amp; MATCH($E110,Roadmap!$D:$D,0)+COUNTIF($E110:R110,"u")+COUNTIF($E110:R110,"t")+COUNTIF($E110:R110,"¶")+COUNTIF($E110:R110,"²")+COUNTIF($E110:R110,"µ")+COUNTIF($E110:R110,1)-1,INDEX(Roadmap!$D:$K,MATCH($E110,Roadmap!$D:$D,0)-1+COUNTIF($E110:R110,"u")+COUNTIF($E110:R110,"t")+COUNTIF($E110:R110,"¶")+COUNTIF($E110:R110,"²")+COUNTIF($E110:R110,"µ")+COUNTIF($E110:R110,1),ColDescriptionCourte)),""),
  "")),"")</f>
        <v/>
      </c>
      <c r="T110" s="40" t="str">
        <f ca="1">IFERROR(IF(AND(
  INDEX(Roadmap!$D:$K,MATCH($E110,Roadmap!$D:$D,0)+COUNTIF($E110:S110,"u")+COUNTIF($E110:S110,"t")+COUNTIF($E110:S110,"¶")+COUNTIF($E110:S110,"²")+COUNTIF($E110:S110,"µ")+COUNTIF($E110:S110,1),ColLivraison)=T$6,
  VLOOKUP($E110,INDIRECT("tri!"&amp; CHAR(64+ C0Col) &amp;":"&amp; CHAR(65+C0Col)),2,FALSE)&gt;COUNTIF($E110:S110,"u")+COUNTIF($E110:S110,"t")+COUNTIF($E110:S110,"¶")+COUNTIF($E110:S110,"²")+COUNTIF($E110:S110,"µ")+COUNTIF($E110:S110,1)),
HYPERLINK("#Roadmap!C"&amp; MATCH($E110,Roadmap!$D:$D,0)+COUNTIF($E110:S110,"u")+COUNTIF($E110:S110,"t"),
     INDEX(Roadmap!$D:$K,MATCH($E110,Roadmap!$D:$D,0)+COUNTIF($E110:S110,"u")+COUNTIF($E110:S110,"t")+COUNTIF($E110:S110,"¶")+COUNTIF($E110:S110,"²")+COUNTIF($E110:S110,"µ")+COUNTIF($E110:S110,1),ColTypeEcheance)),
  IF(LEN(S110)=1,
  IF(LEN(INDEX(Roadmap!$D:$K,MATCH($E110,Roadmap!$D:$D,0)-1+COUNTIF($E110:S110,"u")+COUNTIF($E110:S110,"t")+COUNTIF($E110:S110,"¶")+COUNTIF($E110:S110,"²")+COUNTIF($E110:S110,"µ")+COUNTIF($E110:S110,1),ColDescriptionCourte))&gt;1,
HYPERLINK("#Roadmap!C"&amp; MATCH($E110,Roadmap!$D:$D,0)+COUNTIF($E110:S110,"u")+COUNTIF($E110:S110,"t")+COUNTIF($E110:S110,"¶")+COUNTIF($E110:S110,"²")+COUNTIF($E110:S110,"µ")+COUNTIF($E110:S110,1)-1,INDEX(Roadmap!$D:$K,MATCH($E110,Roadmap!$D:$D,0)-1+COUNTIF($E110:S110,"u")+COUNTIF($E110:S110,"t")+COUNTIF($E110:S110,"¶")+COUNTIF($E110:S110,"²")+COUNTIF($E110:S110,"µ")+COUNTIF($E110:S110,1),ColDescriptionCourte)),""),
  "")),"")</f>
        <v/>
      </c>
      <c r="U110" s="40" t="str">
        <f ca="1">IFERROR(IF(AND(
  INDEX(Roadmap!$D:$K,MATCH($E110,Roadmap!$D:$D,0)+COUNTIF($E110:T110,"u")+COUNTIF($E110:T110,"t")+COUNTIF($E110:T110,"¶")+COUNTIF($E110:T110,"²")+COUNTIF($E110:T110,"µ")+COUNTIF($E110:T110,1),ColLivraison)=U$6,
  VLOOKUP($E110,INDIRECT("tri!"&amp; CHAR(64+ C0Col) &amp;":"&amp; CHAR(65+C0Col)),2,FALSE)&gt;COUNTIF($E110:T110,"u")+COUNTIF($E110:T110,"t")+COUNTIF($E110:T110,"¶")+COUNTIF($E110:T110,"²")+COUNTIF($E110:T110,"µ")+COUNTIF($E110:T110,1)),
HYPERLINK("#Roadmap!C"&amp; MATCH($E110,Roadmap!$D:$D,0)+COUNTIF($E110:T110,"u")+COUNTIF($E110:T110,"t"),
     INDEX(Roadmap!$D:$K,MATCH($E110,Roadmap!$D:$D,0)+COUNTIF($E110:T110,"u")+COUNTIF($E110:T110,"t")+COUNTIF($E110:T110,"¶")+COUNTIF($E110:T110,"²")+COUNTIF($E110:T110,"µ")+COUNTIF($E110:T110,1),ColTypeEcheance)),
  IF(LEN(T110)=1,
  IF(LEN(INDEX(Roadmap!$D:$K,MATCH($E110,Roadmap!$D:$D,0)-1+COUNTIF($E110:T110,"u")+COUNTIF($E110:T110,"t")+COUNTIF($E110:T110,"¶")+COUNTIF($E110:T110,"²")+COUNTIF($E110:T110,"µ")+COUNTIF($E110:T110,1),ColDescriptionCourte))&gt;1,
HYPERLINK("#Roadmap!C"&amp; MATCH($E110,Roadmap!$D:$D,0)+COUNTIF($E110:T110,"u")+COUNTIF($E110:T110,"t")+COUNTIF($E110:T110,"¶")+COUNTIF($E110:T110,"²")+COUNTIF($E110:T110,"µ")+COUNTIF($E110:T110,1)-1,INDEX(Roadmap!$D:$K,MATCH($E110,Roadmap!$D:$D,0)-1+COUNTIF($E110:T110,"u")+COUNTIF($E110:T110,"t")+COUNTIF($E110:T110,"¶")+COUNTIF($E110:T110,"²")+COUNTIF($E110:T110,"µ")+COUNTIF($E110:T110,1),ColDescriptionCourte)),""),
  "")),"")</f>
        <v/>
      </c>
      <c r="V110" s="40" t="str">
        <f ca="1">IFERROR(IF(AND(
  INDEX(Roadmap!$D:$K,MATCH($E110,Roadmap!$D:$D,0)+COUNTIF($E110:U110,"u")+COUNTIF($E110:U110,"t")+COUNTIF($E110:U110,"¶")+COUNTIF($E110:U110,"²")+COUNTIF($E110:U110,"µ")+COUNTIF($E110:U110,1),ColLivraison)=V$6,
  VLOOKUP($E110,INDIRECT("tri!"&amp; CHAR(64+ C0Col) &amp;":"&amp; CHAR(65+C0Col)),2,FALSE)&gt;COUNTIF($E110:U110,"u")+COUNTIF($E110:U110,"t")+COUNTIF($E110:U110,"¶")+COUNTIF($E110:U110,"²")+COUNTIF($E110:U110,"µ")+COUNTIF($E110:U110,1)),
HYPERLINK("#Roadmap!C"&amp; MATCH($E110,Roadmap!$D:$D,0)+COUNTIF($E110:U110,"u")+COUNTIF($E110:U110,"t"),
     INDEX(Roadmap!$D:$K,MATCH($E110,Roadmap!$D:$D,0)+COUNTIF($E110:U110,"u")+COUNTIF($E110:U110,"t")+COUNTIF($E110:U110,"¶")+COUNTIF($E110:U110,"²")+COUNTIF($E110:U110,"µ")+COUNTIF($E110:U110,1),ColTypeEcheance)),
  IF(LEN(U110)=1,
  IF(LEN(INDEX(Roadmap!$D:$K,MATCH($E110,Roadmap!$D:$D,0)-1+COUNTIF($E110:U110,"u")+COUNTIF($E110:U110,"t")+COUNTIF($E110:U110,"¶")+COUNTIF($E110:U110,"²")+COUNTIF($E110:U110,"µ")+COUNTIF($E110:U110,1),ColDescriptionCourte))&gt;1,
HYPERLINK("#Roadmap!C"&amp; MATCH($E110,Roadmap!$D:$D,0)+COUNTIF($E110:U110,"u")+COUNTIF($E110:U110,"t")+COUNTIF($E110:U110,"¶")+COUNTIF($E110:U110,"²")+COUNTIF($E110:U110,"µ")+COUNTIF($E110:U110,1)-1,INDEX(Roadmap!$D:$K,MATCH($E110,Roadmap!$D:$D,0)-1+COUNTIF($E110:U110,"u")+COUNTIF($E110:U110,"t")+COUNTIF($E110:U110,"¶")+COUNTIF($E110:U110,"²")+COUNTIF($E110:U110,"µ")+COUNTIF($E110:U110,1),ColDescriptionCourte)),""),
  "")),"")</f>
        <v/>
      </c>
      <c r="W110" s="40" t="str">
        <f ca="1">IFERROR(IF(AND(
  INDEX(Roadmap!$D:$K,MATCH($E110,Roadmap!$D:$D,0)+COUNTIF($E110:V110,"u")+COUNTIF($E110:V110,"t")+COUNTIF($E110:V110,"¶")+COUNTIF($E110:V110,"²")+COUNTIF($E110:V110,"µ")+COUNTIF($E110:V110,1),ColLivraison)=W$6,
  VLOOKUP($E110,INDIRECT("tri!"&amp; CHAR(64+ C0Col) &amp;":"&amp; CHAR(65+C0Col)),2,FALSE)&gt;COUNTIF($E110:V110,"u")+COUNTIF($E110:V110,"t")+COUNTIF($E110:V110,"¶")+COUNTIF($E110:V110,"²")+COUNTIF($E110:V110,"µ")+COUNTIF($E110:V110,1)),
HYPERLINK("#Roadmap!C"&amp; MATCH($E110,Roadmap!$D:$D,0)+COUNTIF($E110:V110,"u")+COUNTIF($E110:V110,"t"),
     INDEX(Roadmap!$D:$K,MATCH($E110,Roadmap!$D:$D,0)+COUNTIF($E110:V110,"u")+COUNTIF($E110:V110,"t")+COUNTIF($E110:V110,"¶")+COUNTIF($E110:V110,"²")+COUNTIF($E110:V110,"µ")+COUNTIF($E110:V110,1),ColTypeEcheance)),
  IF(LEN(V110)=1,
  IF(LEN(INDEX(Roadmap!$D:$K,MATCH($E110,Roadmap!$D:$D,0)-1+COUNTIF($E110:V110,"u")+COUNTIF($E110:V110,"t")+COUNTIF($E110:V110,"¶")+COUNTIF($E110:V110,"²")+COUNTIF($E110:V110,"µ")+COUNTIF($E110:V110,1),ColDescriptionCourte))&gt;1,
HYPERLINK("#Roadmap!C"&amp; MATCH($E110,Roadmap!$D:$D,0)+COUNTIF($E110:V110,"u")+COUNTIF($E110:V110,"t")+COUNTIF($E110:V110,"¶")+COUNTIF($E110:V110,"²")+COUNTIF($E110:V110,"µ")+COUNTIF($E110:V110,1)-1,INDEX(Roadmap!$D:$K,MATCH($E110,Roadmap!$D:$D,0)-1+COUNTIF($E110:V110,"u")+COUNTIF($E110:V110,"t")+COUNTIF($E110:V110,"¶")+COUNTIF($E110:V110,"²")+COUNTIF($E110:V110,"µ")+COUNTIF($E110:V110,1),ColDescriptionCourte)),""),
  "")),"")</f>
        <v/>
      </c>
      <c r="X110" s="40" t="str">
        <f ca="1">IFERROR(IF(AND(
  INDEX(Roadmap!$D:$K,MATCH($E110,Roadmap!$D:$D,0)+COUNTIF($E110:W110,"u")+COUNTIF($E110:W110,"t")+COUNTIF($E110:W110,"¶")+COUNTIF($E110:W110,"²")+COUNTIF($E110:W110,"µ")+COUNTIF($E110:W110,1),ColLivraison)=X$6,
  VLOOKUP($E110,INDIRECT("tri!"&amp; CHAR(64+ C0Col) &amp;":"&amp; CHAR(65+C0Col)),2,FALSE)&gt;COUNTIF($E110:W110,"u")+COUNTIF($E110:W110,"t")+COUNTIF($E110:W110,"¶")+COUNTIF($E110:W110,"²")+COUNTIF($E110:W110,"µ")+COUNTIF($E110:W110,1)),
HYPERLINK("#Roadmap!C"&amp; MATCH($E110,Roadmap!$D:$D,0)+COUNTIF($E110:W110,"u")+COUNTIF($E110:W110,"t"),
     INDEX(Roadmap!$D:$K,MATCH($E110,Roadmap!$D:$D,0)+COUNTIF($E110:W110,"u")+COUNTIF($E110:W110,"t")+COUNTIF($E110:W110,"¶")+COUNTIF($E110:W110,"²")+COUNTIF($E110:W110,"µ")+COUNTIF($E110:W110,1),ColTypeEcheance)),
  IF(LEN(W110)=1,
  IF(LEN(INDEX(Roadmap!$D:$K,MATCH($E110,Roadmap!$D:$D,0)-1+COUNTIF($E110:W110,"u")+COUNTIF($E110:W110,"t")+COUNTIF($E110:W110,"¶")+COUNTIF($E110:W110,"²")+COUNTIF($E110:W110,"µ")+COUNTIF($E110:W110,1),ColDescriptionCourte))&gt;1,
HYPERLINK("#Roadmap!C"&amp; MATCH($E110,Roadmap!$D:$D,0)+COUNTIF($E110:W110,"u")+COUNTIF($E110:W110,"t")+COUNTIF($E110:W110,"¶")+COUNTIF($E110:W110,"²")+COUNTIF($E110:W110,"µ")+COUNTIF($E110:W110,1)-1,INDEX(Roadmap!$D:$K,MATCH($E110,Roadmap!$D:$D,0)-1+COUNTIF($E110:W110,"u")+COUNTIF($E110:W110,"t")+COUNTIF($E110:W110,"¶")+COUNTIF($E110:W110,"²")+COUNTIF($E110:W110,"µ")+COUNTIF($E110:W110,1),ColDescriptionCourte)),""),
  "")),"")</f>
        <v/>
      </c>
      <c r="Y110" s="40" t="str">
        <f ca="1">IFERROR(IF(AND(
  INDEX(Roadmap!$D:$K,MATCH($E110,Roadmap!$D:$D,0)+COUNTIF($E110:X110,"u")+COUNTIF($E110:X110,"t")+COUNTIF($E110:X110,"¶")+COUNTIF($E110:X110,"²")+COUNTIF($E110:X110,"µ")+COUNTIF($E110:X110,1),ColLivraison)=Y$6,
  VLOOKUP($E110,INDIRECT("tri!"&amp; CHAR(64+ C0Col) &amp;":"&amp; CHAR(65+C0Col)),2,FALSE)&gt;COUNTIF($E110:X110,"u")+COUNTIF($E110:X110,"t")+COUNTIF($E110:X110,"¶")+COUNTIF($E110:X110,"²")+COUNTIF($E110:X110,"µ")+COUNTIF($E110:X110,1)),
HYPERLINK("#Roadmap!C"&amp; MATCH($E110,Roadmap!$D:$D,0)+COUNTIF($E110:X110,"u")+COUNTIF($E110:X110,"t"),
     INDEX(Roadmap!$D:$K,MATCH($E110,Roadmap!$D:$D,0)+COUNTIF($E110:X110,"u")+COUNTIF($E110:X110,"t")+COUNTIF($E110:X110,"¶")+COUNTIF($E110:X110,"²")+COUNTIF($E110:X110,"µ")+COUNTIF($E110:X110,1),ColTypeEcheance)),
  IF(LEN(X110)=1,
  IF(LEN(INDEX(Roadmap!$D:$K,MATCH($E110,Roadmap!$D:$D,0)-1+COUNTIF($E110:X110,"u")+COUNTIF($E110:X110,"t")+COUNTIF($E110:X110,"¶")+COUNTIF($E110:X110,"²")+COUNTIF($E110:X110,"µ")+COUNTIF($E110:X110,1),ColDescriptionCourte))&gt;1,
HYPERLINK("#Roadmap!C"&amp; MATCH($E110,Roadmap!$D:$D,0)+COUNTIF($E110:X110,"u")+COUNTIF($E110:X110,"t")+COUNTIF($E110:X110,"¶")+COUNTIF($E110:X110,"²")+COUNTIF($E110:X110,"µ")+COUNTIF($E110:X110,1)-1,INDEX(Roadmap!$D:$K,MATCH($E110,Roadmap!$D:$D,0)-1+COUNTIF($E110:X110,"u")+COUNTIF($E110:X110,"t")+COUNTIF($E110:X110,"¶")+COUNTIF($E110:X110,"²")+COUNTIF($E110:X110,"µ")+COUNTIF($E110:X110,1),ColDescriptionCourte)),""),
  "")),"")</f>
        <v/>
      </c>
      <c r="Z110" s="40" t="str">
        <f ca="1">IFERROR(IF(AND(
  INDEX(Roadmap!$D:$K,MATCH($E110,Roadmap!$D:$D,0)+COUNTIF($E110:Y110,"u")+COUNTIF($E110:Y110,"t")+COUNTIF($E110:Y110,"¶")+COUNTIF($E110:Y110,"²")+COUNTIF($E110:Y110,"µ")+COUNTIF($E110:Y110,1),ColLivraison)=Z$6,
  VLOOKUP($E110,INDIRECT("tri!"&amp; CHAR(64+ C0Col) &amp;":"&amp; CHAR(65+C0Col)),2,FALSE)&gt;COUNTIF($E110:Y110,"u")+COUNTIF($E110:Y110,"t")+COUNTIF($E110:Y110,"¶")+COUNTIF($E110:Y110,"²")+COUNTIF($E110:Y110,"µ")+COUNTIF($E110:Y110,1)),
HYPERLINK("#Roadmap!C"&amp; MATCH($E110,Roadmap!$D:$D,0)+COUNTIF($E110:Y110,"u")+COUNTIF($E110:Y110,"t"),
     INDEX(Roadmap!$D:$K,MATCH($E110,Roadmap!$D:$D,0)+COUNTIF($E110:Y110,"u")+COUNTIF($E110:Y110,"t")+COUNTIF($E110:Y110,"¶")+COUNTIF($E110:Y110,"²")+COUNTIF($E110:Y110,"µ")+COUNTIF($E110:Y110,1),ColTypeEcheance)),
  IF(LEN(Y110)=1,
  IF(LEN(INDEX(Roadmap!$D:$K,MATCH($E110,Roadmap!$D:$D,0)-1+COUNTIF($E110:Y110,"u")+COUNTIF($E110:Y110,"t")+COUNTIF($E110:Y110,"¶")+COUNTIF($E110:Y110,"²")+COUNTIF($E110:Y110,"µ")+COUNTIF($E110:Y110,1),ColDescriptionCourte))&gt;1,
HYPERLINK("#Roadmap!C"&amp; MATCH($E110,Roadmap!$D:$D,0)+COUNTIF($E110:Y110,"u")+COUNTIF($E110:Y110,"t")+COUNTIF($E110:Y110,"¶")+COUNTIF($E110:Y110,"²")+COUNTIF($E110:Y110,"µ")+COUNTIF($E110:Y110,1)-1,INDEX(Roadmap!$D:$K,MATCH($E110,Roadmap!$D:$D,0)-1+COUNTIF($E110:Y110,"u")+COUNTIF($E110:Y110,"t")+COUNTIF($E110:Y110,"¶")+COUNTIF($E110:Y110,"²")+COUNTIF($E110:Y110,"µ")+COUNTIF($E110:Y110,1),ColDescriptionCourte)),""),
  "")),"")</f>
        <v/>
      </c>
      <c r="AA110" s="40" t="str">
        <f ca="1">IFERROR(IF(AND(
  INDEX(Roadmap!$D:$K,MATCH($E110,Roadmap!$D:$D,0)+COUNTIF($E110:Z110,"u")+COUNTIF($E110:Z110,"t")+COUNTIF($E110:Z110,"¶")+COUNTIF($E110:Z110,"²")+COUNTIF($E110:Z110,"µ")+COUNTIF($E110:Z110,1),ColLivraison)=AA$6,
  VLOOKUP($E110,INDIRECT("tri!"&amp; CHAR(64+ C0Col) &amp;":"&amp; CHAR(65+C0Col)),2,FALSE)&gt;COUNTIF($E110:Z110,"u")+COUNTIF($E110:Z110,"t")+COUNTIF($E110:Z110,"¶")+COUNTIF($E110:Z110,"²")+COUNTIF($E110:Z110,"µ")+COUNTIF($E110:Z110,1)),
HYPERLINK("#Roadmap!C"&amp; MATCH($E110,Roadmap!$D:$D,0)+COUNTIF($E110:Z110,"u")+COUNTIF($E110:Z110,"t"),
     INDEX(Roadmap!$D:$K,MATCH($E110,Roadmap!$D:$D,0)+COUNTIF($E110:Z110,"u")+COUNTIF($E110:Z110,"t")+COUNTIF($E110:Z110,"¶")+COUNTIF($E110:Z110,"²")+COUNTIF($E110:Z110,"µ")+COUNTIF($E110:Z110,1),ColTypeEcheance)),
  IF(LEN(Z110)=1,
  IF(LEN(INDEX(Roadmap!$D:$K,MATCH($E110,Roadmap!$D:$D,0)-1+COUNTIF($E110:Z110,"u")+COUNTIF($E110:Z110,"t")+COUNTIF($E110:Z110,"¶")+COUNTIF($E110:Z110,"²")+COUNTIF($E110:Z110,"µ")+COUNTIF($E110:Z110,1),ColDescriptionCourte))&gt;1,
HYPERLINK("#Roadmap!C"&amp; MATCH($E110,Roadmap!$D:$D,0)+COUNTIF($E110:Z110,"u")+COUNTIF($E110:Z110,"t")+COUNTIF($E110:Z110,"¶")+COUNTIF($E110:Z110,"²")+COUNTIF($E110:Z110,"µ")+COUNTIF($E110:Z110,1)-1,INDEX(Roadmap!$D:$K,MATCH($E110,Roadmap!$D:$D,0)-1+COUNTIF($E110:Z110,"u")+COUNTIF($E110:Z110,"t")+COUNTIF($E110:Z110,"¶")+COUNTIF($E110:Z110,"²")+COUNTIF($E110:Z110,"µ")+COUNTIF($E110:Z110,1),ColDescriptionCourte)),""),
  "")),"")</f>
        <v/>
      </c>
      <c r="AB110" s="40" t="str">
        <f ca="1">IFERROR(IF(AND(
  INDEX(Roadmap!$D:$K,MATCH($E110,Roadmap!$D:$D,0)+COUNTIF($E110:AA110,"u")+COUNTIF($E110:AA110,"t")+COUNTIF($E110:AA110,"¶")+COUNTIF($E110:AA110,"²")+COUNTIF($E110:AA110,"µ")+COUNTIF($E110:AA110,1),ColLivraison)=AB$6,
  VLOOKUP($E110,INDIRECT("tri!"&amp; CHAR(64+ C0Col) &amp;":"&amp; CHAR(65+C0Col)),2,FALSE)&gt;COUNTIF($E110:AA110,"u")+COUNTIF($E110:AA110,"t")+COUNTIF($E110:AA110,"¶")+COUNTIF($E110:AA110,"²")+COUNTIF($E110:AA110,"µ")+COUNTIF($E110:AA110,1)),
HYPERLINK("#Roadmap!C"&amp; MATCH($E110,Roadmap!$D:$D,0)+COUNTIF($E110:AA110,"u")+COUNTIF($E110:AA110,"t"),
     INDEX(Roadmap!$D:$K,MATCH($E110,Roadmap!$D:$D,0)+COUNTIF($E110:AA110,"u")+COUNTIF($E110:AA110,"t")+COUNTIF($E110:AA110,"¶")+COUNTIF($E110:AA110,"²")+COUNTIF($E110:AA110,"µ")+COUNTIF($E110:AA110,1),ColTypeEcheance)),
  IF(LEN(AA110)=1,
  IF(LEN(INDEX(Roadmap!$D:$K,MATCH($E110,Roadmap!$D:$D,0)-1+COUNTIF($E110:AA110,"u")+COUNTIF($E110:AA110,"t")+COUNTIF($E110:AA110,"¶")+COUNTIF($E110:AA110,"²")+COUNTIF($E110:AA110,"µ")+COUNTIF($E110:AA110,1),ColDescriptionCourte))&gt;1,
HYPERLINK("#Roadmap!C"&amp; MATCH($E110,Roadmap!$D:$D,0)+COUNTIF($E110:AA110,"u")+COUNTIF($E110:AA110,"t")+COUNTIF($E110:AA110,"¶")+COUNTIF($E110:AA110,"²")+COUNTIF($E110:AA110,"µ")+COUNTIF($E110:AA110,1)-1,INDEX(Roadmap!$D:$K,MATCH($E110,Roadmap!$D:$D,0)-1+COUNTIF($E110:AA110,"u")+COUNTIF($E110:AA110,"t")+COUNTIF($E110:AA110,"¶")+COUNTIF($E110:AA110,"²")+COUNTIF($E110:AA110,"µ")+COUNTIF($E110:AA110,1),ColDescriptionCourte)),""),
  "")),"")</f>
        <v/>
      </c>
      <c r="AC110" s="40" t="str">
        <f ca="1">IFERROR(IF(AND(
  INDEX(Roadmap!$D:$K,MATCH($E110,Roadmap!$D:$D,0)+COUNTIF($E110:AB110,"u")+COUNTIF($E110:AB110,"t")+COUNTIF($E110:AB110,"¶")+COUNTIF($E110:AB110,"²")+COUNTIF($E110:AB110,"µ")+COUNTIF($E110:AB110,1),ColLivraison)=AC$6,
  VLOOKUP($E110,INDIRECT("tri!"&amp; CHAR(64+ C0Col) &amp;":"&amp; CHAR(65+C0Col)),2,FALSE)&gt;COUNTIF($E110:AB110,"u")+COUNTIF($E110:AB110,"t")+COUNTIF($E110:AB110,"¶")+COUNTIF($E110:AB110,"²")+COUNTIF($E110:AB110,"µ")+COUNTIF($E110:AB110,1)),
HYPERLINK("#Roadmap!C"&amp; MATCH($E110,Roadmap!$D:$D,0)+COUNTIF($E110:AB110,"u")+COUNTIF($E110:AB110,"t"),
     INDEX(Roadmap!$D:$K,MATCH($E110,Roadmap!$D:$D,0)+COUNTIF($E110:AB110,"u")+COUNTIF($E110:AB110,"t")+COUNTIF($E110:AB110,"¶")+COUNTIF($E110:AB110,"²")+COUNTIF($E110:AB110,"µ")+COUNTIF($E110:AB110,1),ColTypeEcheance)),
  IF(LEN(AB110)=1,
  IF(LEN(INDEX(Roadmap!$D:$K,MATCH($E110,Roadmap!$D:$D,0)-1+COUNTIF($E110:AB110,"u")+COUNTIF($E110:AB110,"t")+COUNTIF($E110:AB110,"¶")+COUNTIF($E110:AB110,"²")+COUNTIF($E110:AB110,"µ")+COUNTIF($E110:AB110,1),ColDescriptionCourte))&gt;1,
HYPERLINK("#Roadmap!C"&amp; MATCH($E110,Roadmap!$D:$D,0)+COUNTIF($E110:AB110,"u")+COUNTIF($E110:AB110,"t")+COUNTIF($E110:AB110,"¶")+COUNTIF($E110:AB110,"²")+COUNTIF($E110:AB110,"µ")+COUNTIF($E110:AB110,1)-1,INDEX(Roadmap!$D:$K,MATCH($E110,Roadmap!$D:$D,0)-1+COUNTIF($E110:AB110,"u")+COUNTIF($E110:AB110,"t")+COUNTIF($E110:AB110,"¶")+COUNTIF($E110:AB110,"²")+COUNTIF($E110:AB110,"µ")+COUNTIF($E110:AB110,1),ColDescriptionCourte)),""),
  "")),"")</f>
        <v/>
      </c>
      <c r="AD110" s="40" t="str">
        <f ca="1">IFERROR(IF(AND(
  INDEX(Roadmap!$D:$K,MATCH($E110,Roadmap!$D:$D,0)+COUNTIF($E110:AC110,"u")+COUNTIF($E110:AC110,"t")+COUNTIF($E110:AC110,"¶")+COUNTIF($E110:AC110,"²")+COUNTIF($E110:AC110,"µ")+COUNTIF($E110:AC110,1),ColLivraison)=AD$6,
  VLOOKUP($E110,INDIRECT("tri!"&amp; CHAR(64+ C0Col) &amp;":"&amp; CHAR(65+C0Col)),2,FALSE)&gt;COUNTIF($E110:AC110,"u")+COUNTIF($E110:AC110,"t")+COUNTIF($E110:AC110,"¶")+COUNTIF($E110:AC110,"²")+COUNTIF($E110:AC110,"µ")+COUNTIF($E110:AC110,1)),
HYPERLINK("#Roadmap!C"&amp; MATCH($E110,Roadmap!$D:$D,0)+COUNTIF($E110:AC110,"u")+COUNTIF($E110:AC110,"t"),
     INDEX(Roadmap!$D:$K,MATCH($E110,Roadmap!$D:$D,0)+COUNTIF($E110:AC110,"u")+COUNTIF($E110:AC110,"t")+COUNTIF($E110:AC110,"¶")+COUNTIF($E110:AC110,"²")+COUNTIF($E110:AC110,"µ")+COUNTIF($E110:AC110,1),ColTypeEcheance)),
  IF(LEN(AC110)=1,
  IF(LEN(INDEX(Roadmap!$D:$K,MATCH($E110,Roadmap!$D:$D,0)-1+COUNTIF($E110:AC110,"u")+COUNTIF($E110:AC110,"t")+COUNTIF($E110:AC110,"¶")+COUNTIF($E110:AC110,"²")+COUNTIF($E110:AC110,"µ")+COUNTIF($E110:AC110,1),ColDescriptionCourte))&gt;1,
HYPERLINK("#Roadmap!C"&amp; MATCH($E110,Roadmap!$D:$D,0)+COUNTIF($E110:AC110,"u")+COUNTIF($E110:AC110,"t")+COUNTIF($E110:AC110,"¶")+COUNTIF($E110:AC110,"²")+COUNTIF($E110:AC110,"µ")+COUNTIF($E110:AC110,1)-1,INDEX(Roadmap!$D:$K,MATCH($E110,Roadmap!$D:$D,0)-1+COUNTIF($E110:AC110,"u")+COUNTIF($E110:AC110,"t")+COUNTIF($E110:AC110,"¶")+COUNTIF($E110:AC110,"²")+COUNTIF($E110:AC110,"µ")+COUNTIF($E110:AC110,1),ColDescriptionCourte)),""),
  "")),"")</f>
        <v/>
      </c>
      <c r="AE110" s="40" t="str">
        <f ca="1">IFERROR(IF(AND(
  INDEX(Roadmap!$D:$K,MATCH($E110,Roadmap!$D:$D,0)+COUNTIF($E110:AD110,"u")+COUNTIF($E110:AD110,"t")+COUNTIF($E110:AD110,"¶")+COUNTIF($E110:AD110,"²")+COUNTIF($E110:AD110,"µ")+COUNTIF($E110:AD110,1),ColLivraison)=AE$6,
  VLOOKUP($E110,INDIRECT("tri!"&amp; CHAR(64+ C0Col) &amp;":"&amp; CHAR(65+C0Col)),2,FALSE)&gt;COUNTIF($E110:AD110,"u")+COUNTIF($E110:AD110,"t")+COUNTIF($E110:AD110,"¶")+COUNTIF($E110:AD110,"²")+COUNTIF($E110:AD110,"µ")+COUNTIF($E110:AD110,1)),
HYPERLINK("#Roadmap!C"&amp; MATCH($E110,Roadmap!$D:$D,0)+COUNTIF($E110:AD110,"u")+COUNTIF($E110:AD110,"t"),
     INDEX(Roadmap!$D:$K,MATCH($E110,Roadmap!$D:$D,0)+COUNTIF($E110:AD110,"u")+COUNTIF($E110:AD110,"t")+COUNTIF($E110:AD110,"¶")+COUNTIF($E110:AD110,"²")+COUNTIF($E110:AD110,"µ")+COUNTIF($E110:AD110,1),ColTypeEcheance)),
  IF(LEN(AD110)=1,
  IF(LEN(INDEX(Roadmap!$D:$K,MATCH($E110,Roadmap!$D:$D,0)-1+COUNTIF($E110:AD110,"u")+COUNTIF($E110:AD110,"t")+COUNTIF($E110:AD110,"¶")+COUNTIF($E110:AD110,"²")+COUNTIF($E110:AD110,"µ")+COUNTIF($E110:AD110,1),ColDescriptionCourte))&gt;1,
HYPERLINK("#Roadmap!C"&amp; MATCH($E110,Roadmap!$D:$D,0)+COUNTIF($E110:AD110,"u")+COUNTIF($E110:AD110,"t")+COUNTIF($E110:AD110,"¶")+COUNTIF($E110:AD110,"²")+COUNTIF($E110:AD110,"µ")+COUNTIF($E110:AD110,1)-1,INDEX(Roadmap!$D:$K,MATCH($E110,Roadmap!$D:$D,0)-1+COUNTIF($E110:AD110,"u")+COUNTIF($E110:AD110,"t")+COUNTIF($E110:AD110,"¶")+COUNTIF($E110:AD110,"²")+COUNTIF($E110:AD110,"µ")+COUNTIF($E110:AD110,1),ColDescriptionCourte)),""),
  "")),"")</f>
        <v/>
      </c>
      <c r="AF110" s="40" t="str">
        <f ca="1">IFERROR(IF(AND(
  INDEX(Roadmap!$D:$K,MATCH($E110,Roadmap!$D:$D,0)+COUNTIF($E110:AE110,"u")+COUNTIF($E110:AE110,"t")+COUNTIF($E110:AE110,"¶")+COUNTIF($E110:AE110,"²")+COUNTIF($E110:AE110,"µ")+COUNTIF($E110:AE110,1),ColLivraison)=AF$6,
  VLOOKUP($E110,INDIRECT("tri!"&amp; CHAR(64+ C0Col) &amp;":"&amp; CHAR(65+C0Col)),2,FALSE)&gt;COUNTIF($E110:AE110,"u")+COUNTIF($E110:AE110,"t")+COUNTIF($E110:AE110,"¶")+COUNTIF($E110:AE110,"²")+COUNTIF($E110:AE110,"µ")+COUNTIF($E110:AE110,1)),
HYPERLINK("#Roadmap!C"&amp; MATCH($E110,Roadmap!$D:$D,0)+COUNTIF($E110:AE110,"u")+COUNTIF($E110:AE110,"t"),
     INDEX(Roadmap!$D:$K,MATCH($E110,Roadmap!$D:$D,0)+COUNTIF($E110:AE110,"u")+COUNTIF($E110:AE110,"t")+COUNTIF($E110:AE110,"¶")+COUNTIF($E110:AE110,"²")+COUNTIF($E110:AE110,"µ")+COUNTIF($E110:AE110,1),ColTypeEcheance)),
  IF(LEN(AE110)=1,
  IF(LEN(INDEX(Roadmap!$D:$K,MATCH($E110,Roadmap!$D:$D,0)-1+COUNTIF($E110:AE110,"u")+COUNTIF($E110:AE110,"t")+COUNTIF($E110:AE110,"¶")+COUNTIF($E110:AE110,"²")+COUNTIF($E110:AE110,"µ")+COUNTIF($E110:AE110,1),ColDescriptionCourte))&gt;1,
HYPERLINK("#Roadmap!C"&amp; MATCH($E110,Roadmap!$D:$D,0)+COUNTIF($E110:AE110,"u")+COUNTIF($E110:AE110,"t")+COUNTIF($E110:AE110,"¶")+COUNTIF($E110:AE110,"²")+COUNTIF($E110:AE110,"µ")+COUNTIF($E110:AE110,1)-1,INDEX(Roadmap!$D:$K,MATCH($E110,Roadmap!$D:$D,0)-1+COUNTIF($E110:AE110,"u")+COUNTIF($E110:AE110,"t")+COUNTIF($E110:AE110,"¶")+COUNTIF($E110:AE110,"²")+COUNTIF($E110:AE110,"µ")+COUNTIF($E110:AE110,1),ColDescriptionCourte)),""),
  "")),"")</f>
        <v/>
      </c>
      <c r="AG110" s="40" t="str">
        <f ca="1">IFERROR(IF(AND(
  INDEX(Roadmap!$D:$K,MATCH($E110,Roadmap!$D:$D,0)+COUNTIF($E110:AF110,"u")+COUNTIF($E110:AF110,"t")+COUNTIF($E110:AF110,"¶")+COUNTIF($E110:AF110,"²")+COUNTIF($E110:AF110,"µ")+COUNTIF($E110:AF110,1),ColLivraison)=AG$6,
  VLOOKUP($E110,INDIRECT("tri!"&amp; CHAR(64+ C0Col) &amp;":"&amp; CHAR(65+C0Col)),2,FALSE)&gt;COUNTIF($E110:AF110,"u")+COUNTIF($E110:AF110,"t")+COUNTIF($E110:AF110,"¶")+COUNTIF($E110:AF110,"²")+COUNTIF($E110:AF110,"µ")+COUNTIF($E110:AF110,1)),
HYPERLINK("#Roadmap!C"&amp; MATCH($E110,Roadmap!$D:$D,0)+COUNTIF($E110:AF110,"u")+COUNTIF($E110:AF110,"t"),
     INDEX(Roadmap!$D:$K,MATCH($E110,Roadmap!$D:$D,0)+COUNTIF($E110:AF110,"u")+COUNTIF($E110:AF110,"t")+COUNTIF($E110:AF110,"¶")+COUNTIF($E110:AF110,"²")+COUNTIF($E110:AF110,"µ")+COUNTIF($E110:AF110,1),ColTypeEcheance)),
  IF(LEN(AF110)=1,
  IF(LEN(INDEX(Roadmap!$D:$K,MATCH($E110,Roadmap!$D:$D,0)-1+COUNTIF($E110:AF110,"u")+COUNTIF($E110:AF110,"t")+COUNTIF($E110:AF110,"¶")+COUNTIF($E110:AF110,"²")+COUNTIF($E110:AF110,"µ")+COUNTIF($E110:AF110,1),ColDescriptionCourte))&gt;1,
HYPERLINK("#Roadmap!C"&amp; MATCH($E110,Roadmap!$D:$D,0)+COUNTIF($E110:AF110,"u")+COUNTIF($E110:AF110,"t")+COUNTIF($E110:AF110,"¶")+COUNTIF($E110:AF110,"²")+COUNTIF($E110:AF110,"µ")+COUNTIF($E110:AF110,1)-1,INDEX(Roadmap!$D:$K,MATCH($E110,Roadmap!$D:$D,0)-1+COUNTIF($E110:AF110,"u")+COUNTIF($E110:AF110,"t")+COUNTIF($E110:AF110,"¶")+COUNTIF($E110:AF110,"²")+COUNTIF($E110:AF110,"µ")+COUNTIF($E110:AF110,1),ColDescriptionCourte)),""),
  "")),"")</f>
        <v/>
      </c>
    </row>
    <row r="111" spans="3:33" ht="14.25" customHeight="1">
      <c r="C111" s="1" t="str">
        <f t="shared" ca="1" si="49"/>
        <v/>
      </c>
      <c r="D111" s="1" t="str">
        <f t="shared" ca="1" si="50"/>
        <v/>
      </c>
      <c r="E111" s="35" t="str">
        <f t="shared" ca="1" si="46"/>
        <v/>
      </c>
      <c r="F111" s="39" t="str">
        <f ca="1">IFERROR(IF(AND(
  INDEX(Roadmap!$D:$K,MATCH($E111,Roadmap!$D:$D,0)+COUNTIF($E111:E111,"u")+COUNTIF($E111:E111,"t")+COUNTIF($E111:E111,"¶")+COUNTIF($E111:E111,"²")+COUNTIF($E111:E111,"µ")+COUNTIF($E111:E111,1),ColLivraison)=F$6,
  VLOOKUP($E111,INDIRECT("tri!"&amp; CHAR(64+ C0Col) &amp;":"&amp; CHAR(65+C0Col)),2,FALSE)&gt;COUNTIF($E111:E111,"u")+COUNTIF($E111:E111,"t")+COUNTIF($E111:E111,"¶")+COUNTIF($E111:E111,"²")+COUNTIF($E111:E111,"µ")+COUNTIF($E111:E111,1)),
HYPERLINK("#Roadmap!C"&amp; MATCH($E111,Roadmap!$D:$D,0)+COUNTIF($E111:E111,"u")+COUNTIF($E111:E111,"t"),
     INDEX(Roadmap!$D:$K,MATCH($E111,Roadmap!$D:$D,0)+COUNTIF($E111:E111,"u")+COUNTIF($E111:E111,"t")+COUNTIF($E111:E111,"¶")+COUNTIF($E111:E111,"²")+COUNTIF($E111:E111,"µ")+COUNTIF($E111:E111,1),ColTypeEcheance)),
  IF(LEN(E111)=1,
  IF(LEN(INDEX(Roadmap!$D:$K,MATCH($E111,Roadmap!$D:$D,0)-1+COUNTIF($E111:E111,"u")+COUNTIF($E111:E111,"t")+COUNTIF($E111:E111,"¶")+COUNTIF($E111:E111,"²")+COUNTIF($E111:E111,"µ")+COUNTIF($E111:E111,1),ColDescriptionCourte))&gt;1,
HYPERLINK("#Roadmap!C"&amp; MATCH($E111,Roadmap!$D:$D,0)+COUNTIF($E111:E111,"u")+COUNTIF($E111:E111,"t")+COUNTIF($E111:E111,"¶")+COUNTIF($E111:E111,"²")+COUNTIF($E111:E111,"µ")+COUNTIF($E111:E111,1)-1,INDEX(Roadmap!$D:$K,MATCH($E111,Roadmap!$D:$D,0)-1+COUNTIF($E111:E111,"u")+COUNTIF($E111:E111,"t")+COUNTIF($E111:E111,"¶")+COUNTIF($E111:E111,"²")+COUNTIF($E111:E111,"µ")+COUNTIF($E111:E111,1),ColDescriptionCourte)),""),
  "")),"")</f>
        <v/>
      </c>
      <c r="G111" s="40" t="str">
        <f ca="1">IFERROR(IF(AND(
  INDEX(Roadmap!$D:$K,MATCH($E111,Roadmap!$D:$D,0)+COUNTIF($E111:F111,"u")+COUNTIF($E111:F111,"t")+COUNTIF($E111:F111,"¶")+COUNTIF($E111:F111,"²")+COUNTIF($E111:F111,"µ")+COUNTIF($E111:F111,1),ColLivraison)=G$6,
  VLOOKUP($E111,INDIRECT("tri!"&amp; CHAR(64+ C0Col) &amp;":"&amp; CHAR(65+C0Col)),2,FALSE)&gt;COUNTIF($E111:F111,"u")+COUNTIF($E111:F111,"t")+COUNTIF($E111:F111,"¶")+COUNTIF($E111:F111,"²")+COUNTIF($E111:F111,"µ")+COUNTIF($E111:F111,1)),
HYPERLINK("#Roadmap!C"&amp; MATCH($E111,Roadmap!$D:$D,0)+COUNTIF($E111:F111,"u")+COUNTIF($E111:F111,"t"),
     INDEX(Roadmap!$D:$K,MATCH($E111,Roadmap!$D:$D,0)+COUNTIF($E111:F111,"u")+COUNTIF($E111:F111,"t")+COUNTIF($E111:F111,"¶")+COUNTIF($E111:F111,"²")+COUNTIF($E111:F111,"µ")+COUNTIF($E111:F111,1),ColTypeEcheance)),
  IF(LEN(F111)=1,
  IF(LEN(INDEX(Roadmap!$D:$K,MATCH($E111,Roadmap!$D:$D,0)-1+COUNTIF($E111:F111,"u")+COUNTIF($E111:F111,"t")+COUNTIF($E111:F111,"¶")+COUNTIF($E111:F111,"²")+COUNTIF($E111:F111,"µ")+COUNTIF($E111:F111,1),ColDescriptionCourte))&gt;1,
HYPERLINK("#Roadmap!C"&amp; MATCH($E111,Roadmap!$D:$D,0)+COUNTIF($E111:F111,"u")+COUNTIF($E111:F111,"t")+COUNTIF($E111:F111,"¶")+COUNTIF($E111:F111,"²")+COUNTIF($E111:F111,"µ")+COUNTIF($E111:F111,1)-1,INDEX(Roadmap!$D:$K,MATCH($E111,Roadmap!$D:$D,0)-1+COUNTIF($E111:F111,"u")+COUNTIF($E111:F111,"t")+COUNTIF($E111:F111,"¶")+COUNTIF($E111:F111,"²")+COUNTIF($E111:F111,"µ")+COUNTIF($E111:F111,1),ColDescriptionCourte)),""),
  "")),"")</f>
        <v/>
      </c>
      <c r="H111" s="40" t="str">
        <f ca="1">IFERROR(IF(AND(
  INDEX(Roadmap!$D:$K,MATCH($E111,Roadmap!$D:$D,0)+COUNTIF($E111:G111,"u")+COUNTIF($E111:G111,"t")+COUNTIF($E111:G111,"¶")+COUNTIF($E111:G111,"²")+COUNTIF($E111:G111,"µ")+COUNTIF($E111:G111,1),ColLivraison)=H$6,
  VLOOKUP($E111,INDIRECT("tri!"&amp; CHAR(64+ C0Col) &amp;":"&amp; CHAR(65+C0Col)),2,FALSE)&gt;COUNTIF($E111:G111,"u")+COUNTIF($E111:G111,"t")+COUNTIF($E111:G111,"¶")+COUNTIF($E111:G111,"²")+COUNTIF($E111:G111,"µ")+COUNTIF($E111:G111,1)),
HYPERLINK("#Roadmap!C"&amp; MATCH($E111,Roadmap!$D:$D,0)+COUNTIF($E111:G111,"u")+COUNTIF($E111:G111,"t"),
     INDEX(Roadmap!$D:$K,MATCH($E111,Roadmap!$D:$D,0)+COUNTIF($E111:G111,"u")+COUNTIF($E111:G111,"t")+COUNTIF($E111:G111,"¶")+COUNTIF($E111:G111,"²")+COUNTIF($E111:G111,"µ")+COUNTIF($E111:G111,1),ColTypeEcheance)),
  IF(LEN(G111)=1,
  IF(LEN(INDEX(Roadmap!$D:$K,MATCH($E111,Roadmap!$D:$D,0)-1+COUNTIF($E111:G111,"u")+COUNTIF($E111:G111,"t")+COUNTIF($E111:G111,"¶")+COUNTIF($E111:G111,"²")+COUNTIF($E111:G111,"µ")+COUNTIF($E111:G111,1),ColDescriptionCourte))&gt;1,
HYPERLINK("#Roadmap!C"&amp; MATCH($E111,Roadmap!$D:$D,0)+COUNTIF($E111:G111,"u")+COUNTIF($E111:G111,"t")+COUNTIF($E111:G111,"¶")+COUNTIF($E111:G111,"²")+COUNTIF($E111:G111,"µ")+COUNTIF($E111:G111,1)-1,INDEX(Roadmap!$D:$K,MATCH($E111,Roadmap!$D:$D,0)-1+COUNTIF($E111:G111,"u")+COUNTIF($E111:G111,"t")+COUNTIF($E111:G111,"¶")+COUNTIF($E111:G111,"²")+COUNTIF($E111:G111,"µ")+COUNTIF($E111:G111,1),ColDescriptionCourte)),""),
  "")),"")</f>
        <v/>
      </c>
      <c r="I111" s="40" t="str">
        <f ca="1">IFERROR(IF(AND(
  INDEX(Roadmap!$D:$K,MATCH($E111,Roadmap!$D:$D,0)+COUNTIF($E111:H111,"u")+COUNTIF($E111:H111,"t")+COUNTIF($E111:H111,"¶")+COUNTIF($E111:H111,"²")+COUNTIF($E111:H111,"µ")+COUNTIF($E111:H111,1),ColLivraison)=I$6,
  VLOOKUP($E111,INDIRECT("tri!"&amp; CHAR(64+ C0Col) &amp;":"&amp; CHAR(65+C0Col)),2,FALSE)&gt;COUNTIF($E111:H111,"u")+COUNTIF($E111:H111,"t")+COUNTIF($E111:H111,"¶")+COUNTIF($E111:H111,"²")+COUNTIF($E111:H111,"µ")+COUNTIF($E111:H111,1)),
HYPERLINK("#Roadmap!C"&amp; MATCH($E111,Roadmap!$D:$D,0)+COUNTIF($E111:H111,"u")+COUNTIF($E111:H111,"t"),
     INDEX(Roadmap!$D:$K,MATCH($E111,Roadmap!$D:$D,0)+COUNTIF($E111:H111,"u")+COUNTIF($E111:H111,"t")+COUNTIF($E111:H111,"¶")+COUNTIF($E111:H111,"²")+COUNTIF($E111:H111,"µ")+COUNTIF($E111:H111,1),ColTypeEcheance)),
  IF(LEN(H111)=1,
  IF(LEN(INDEX(Roadmap!$D:$K,MATCH($E111,Roadmap!$D:$D,0)-1+COUNTIF($E111:H111,"u")+COUNTIF($E111:H111,"t")+COUNTIF($E111:H111,"¶")+COUNTIF($E111:H111,"²")+COUNTIF($E111:H111,"µ")+COUNTIF($E111:H111,1),ColDescriptionCourte))&gt;1,
HYPERLINK("#Roadmap!C"&amp; MATCH($E111,Roadmap!$D:$D,0)+COUNTIF($E111:H111,"u")+COUNTIF($E111:H111,"t")+COUNTIF($E111:H111,"¶")+COUNTIF($E111:H111,"²")+COUNTIF($E111:H111,"µ")+COUNTIF($E111:H111,1)-1,INDEX(Roadmap!$D:$K,MATCH($E111,Roadmap!$D:$D,0)-1+COUNTIF($E111:H111,"u")+COUNTIF($E111:H111,"t")+COUNTIF($E111:H111,"¶")+COUNTIF($E111:H111,"²")+COUNTIF($E111:H111,"µ")+COUNTIF($E111:H111,1),ColDescriptionCourte)),""),
  "")),"")</f>
        <v/>
      </c>
      <c r="J111" s="40" t="str">
        <f ca="1">IFERROR(IF(AND(
  INDEX(Roadmap!$D:$K,MATCH($E111,Roadmap!$D:$D,0)+COUNTIF($E111:I111,"u")+COUNTIF($E111:I111,"t")+COUNTIF($E111:I111,"¶")+COUNTIF($E111:I111,"²")+COUNTIF($E111:I111,"µ")+COUNTIF($E111:I111,1),ColLivraison)=J$6,
  VLOOKUP($E111,INDIRECT("tri!"&amp; CHAR(64+ C0Col) &amp;":"&amp; CHAR(65+C0Col)),2,FALSE)&gt;COUNTIF($E111:I111,"u")+COUNTIF($E111:I111,"t")+COUNTIF($E111:I111,"¶")+COUNTIF($E111:I111,"²")+COUNTIF($E111:I111,"µ")+COUNTIF($E111:I111,1)),
HYPERLINK("#Roadmap!C"&amp; MATCH($E111,Roadmap!$D:$D,0)+COUNTIF($E111:I111,"u")+COUNTIF($E111:I111,"t"),
     INDEX(Roadmap!$D:$K,MATCH($E111,Roadmap!$D:$D,0)+COUNTIF($E111:I111,"u")+COUNTIF($E111:I111,"t")+COUNTIF($E111:I111,"¶")+COUNTIF($E111:I111,"²")+COUNTIF($E111:I111,"µ")+COUNTIF($E111:I111,1),ColTypeEcheance)),
  IF(LEN(I111)=1,
  IF(LEN(INDEX(Roadmap!$D:$K,MATCH($E111,Roadmap!$D:$D,0)-1+COUNTIF($E111:I111,"u")+COUNTIF($E111:I111,"t")+COUNTIF($E111:I111,"¶")+COUNTIF($E111:I111,"²")+COUNTIF($E111:I111,"µ")+COUNTIF($E111:I111,1),ColDescriptionCourte))&gt;1,
HYPERLINK("#Roadmap!C"&amp; MATCH($E111,Roadmap!$D:$D,0)+COUNTIF($E111:I111,"u")+COUNTIF($E111:I111,"t")+COUNTIF($E111:I111,"¶")+COUNTIF($E111:I111,"²")+COUNTIF($E111:I111,"µ")+COUNTIF($E111:I111,1)-1,INDEX(Roadmap!$D:$K,MATCH($E111,Roadmap!$D:$D,0)-1+COUNTIF($E111:I111,"u")+COUNTIF($E111:I111,"t")+COUNTIF($E111:I111,"¶")+COUNTIF($E111:I111,"²")+COUNTIF($E111:I111,"µ")+COUNTIF($E111:I111,1),ColDescriptionCourte)),""),
  "")),"")</f>
        <v/>
      </c>
      <c r="K111" s="40" t="str">
        <f ca="1">IFERROR(IF(AND(
  INDEX(Roadmap!$D:$K,MATCH($E111,Roadmap!$D:$D,0)+COUNTIF($E111:J111,"u")+COUNTIF($E111:J111,"t")+COUNTIF($E111:J111,"¶")+COUNTIF($E111:J111,"²")+COUNTIF($E111:J111,"µ")+COUNTIF($E111:J111,1),ColLivraison)=K$6,
  VLOOKUP($E111,INDIRECT("tri!"&amp; CHAR(64+ C0Col) &amp;":"&amp; CHAR(65+C0Col)),2,FALSE)&gt;COUNTIF($E111:J111,"u")+COUNTIF($E111:J111,"t")+COUNTIF($E111:J111,"¶")+COUNTIF($E111:J111,"²")+COUNTIF($E111:J111,"µ")+COUNTIF($E111:J111,1)),
HYPERLINK("#Roadmap!C"&amp; MATCH($E111,Roadmap!$D:$D,0)+COUNTIF($E111:J111,"u")+COUNTIF($E111:J111,"t"),
     INDEX(Roadmap!$D:$K,MATCH($E111,Roadmap!$D:$D,0)+COUNTIF($E111:J111,"u")+COUNTIF($E111:J111,"t")+COUNTIF($E111:J111,"¶")+COUNTIF($E111:J111,"²")+COUNTIF($E111:J111,"µ")+COUNTIF($E111:J111,1),ColTypeEcheance)),
  IF(LEN(J111)=1,
  IF(LEN(INDEX(Roadmap!$D:$K,MATCH($E111,Roadmap!$D:$D,0)-1+COUNTIF($E111:J111,"u")+COUNTIF($E111:J111,"t")+COUNTIF($E111:J111,"¶")+COUNTIF($E111:J111,"²")+COUNTIF($E111:J111,"µ")+COUNTIF($E111:J111,1),ColDescriptionCourte))&gt;1,
HYPERLINK("#Roadmap!C"&amp; MATCH($E111,Roadmap!$D:$D,0)+COUNTIF($E111:J111,"u")+COUNTIF($E111:J111,"t")+COUNTIF($E111:J111,"¶")+COUNTIF($E111:J111,"²")+COUNTIF($E111:J111,"µ")+COUNTIF($E111:J111,1)-1,INDEX(Roadmap!$D:$K,MATCH($E111,Roadmap!$D:$D,0)-1+COUNTIF($E111:J111,"u")+COUNTIF($E111:J111,"t")+COUNTIF($E111:J111,"¶")+COUNTIF($E111:J111,"²")+COUNTIF($E111:J111,"µ")+COUNTIF($E111:J111,1),ColDescriptionCourte)),""),
  "")),"")</f>
        <v/>
      </c>
      <c r="L111" s="39" t="str">
        <f ca="1">IFERROR(IF(AND(
  INDEX(Roadmap!$D:$K,MATCH($E111,Roadmap!$D:$D,0)+COUNTIF($E111:K111,"u")+COUNTIF($E111:K111,"t")+COUNTIF($E111:K111,"¶")+COUNTIF($E111:K111,"²")+COUNTIF($E111:K111,"µ")+COUNTIF($E111:K111,1),ColLivraison)=L$6,
  VLOOKUP($E111,INDIRECT("tri!"&amp; CHAR(64+ C0Col) &amp;":"&amp; CHAR(65+C0Col)),2,FALSE)&gt;COUNTIF($E111:K111,"u")+COUNTIF($E111:K111,"t")+COUNTIF($E111:K111,"¶")+COUNTIF($E111:K111,"²")+COUNTIF($E111:K111,"µ")+COUNTIF($E111:K111,1)),
HYPERLINK("#Roadmap!C"&amp; MATCH($E111,Roadmap!$D:$D,0)+COUNTIF($E111:K111,"u")+COUNTIF($E111:K111,"t"),
     INDEX(Roadmap!$D:$K,MATCH($E111,Roadmap!$D:$D,0)+COUNTIF($E111:K111,"u")+COUNTIF($E111:K111,"t")+COUNTIF($E111:K111,"¶")+COUNTIF($E111:K111,"²")+COUNTIF($E111:K111,"µ")+COUNTIF($E111:K111,1),ColTypeEcheance)),
  IF(LEN(K111)=1,
  IF(LEN(INDEX(Roadmap!$D:$K,MATCH($E111,Roadmap!$D:$D,0)-1+COUNTIF($E111:K111,"u")+COUNTIF($E111:K111,"t")+COUNTIF($E111:K111,"¶")+COUNTIF($E111:K111,"²")+COUNTIF($E111:K111,"µ")+COUNTIF($E111:K111,1),ColDescriptionCourte))&gt;1,
HYPERLINK("#Roadmap!C"&amp; MATCH($E111,Roadmap!$D:$D,0)+COUNTIF($E111:K111,"u")+COUNTIF($E111:K111,"t")+COUNTIF($E111:K111,"¶")+COUNTIF($E111:K111,"²")+COUNTIF($E111:K111,"µ")+COUNTIF($E111:K111,1)-1,INDEX(Roadmap!$D:$K,MATCH($E111,Roadmap!$D:$D,0)-1+COUNTIF($E111:K111,"u")+COUNTIF($E111:K111,"t")+COUNTIF($E111:K111,"¶")+COUNTIF($E111:K111,"²")+COUNTIF($E111:K111,"µ")+COUNTIF($E111:K111,1),ColDescriptionCourte)),""),
  "")),"")</f>
        <v/>
      </c>
      <c r="M111" s="40" t="str">
        <f ca="1">IFERROR(IF(AND(
  INDEX(Roadmap!$D:$K,MATCH($E111,Roadmap!$D:$D,0)+COUNTIF($E111:L111,"u")+COUNTIF($E111:L111,"t")+COUNTIF($E111:L111,"¶")+COUNTIF($E111:L111,"²")+COUNTIF($E111:L111,"µ")+COUNTIF($E111:L111,1),ColLivraison)=M$6,
  VLOOKUP($E111,INDIRECT("tri!"&amp; CHAR(64+ C0Col) &amp;":"&amp; CHAR(65+C0Col)),2,FALSE)&gt;COUNTIF($E111:L111,"u")+COUNTIF($E111:L111,"t")+COUNTIF($E111:L111,"¶")+COUNTIF($E111:L111,"²")+COUNTIF($E111:L111,"µ")+COUNTIF($E111:L111,1)),
HYPERLINK("#Roadmap!C"&amp; MATCH($E111,Roadmap!$D:$D,0)+COUNTIF($E111:L111,"u")+COUNTIF($E111:L111,"t"),
     INDEX(Roadmap!$D:$K,MATCH($E111,Roadmap!$D:$D,0)+COUNTIF($E111:L111,"u")+COUNTIF($E111:L111,"t")+COUNTIF($E111:L111,"¶")+COUNTIF($E111:L111,"²")+COUNTIF($E111:L111,"µ")+COUNTIF($E111:L111,1),ColTypeEcheance)),
  IF(LEN(L111)=1,
  IF(LEN(INDEX(Roadmap!$D:$K,MATCH($E111,Roadmap!$D:$D,0)-1+COUNTIF($E111:L111,"u")+COUNTIF($E111:L111,"t")+COUNTIF($E111:L111,"¶")+COUNTIF($E111:L111,"²")+COUNTIF($E111:L111,"µ")+COUNTIF($E111:L111,1),ColDescriptionCourte))&gt;1,
HYPERLINK("#Roadmap!C"&amp; MATCH($E111,Roadmap!$D:$D,0)+COUNTIF($E111:L111,"u")+COUNTIF($E111:L111,"t")+COUNTIF($E111:L111,"¶")+COUNTIF($E111:L111,"²")+COUNTIF($E111:L111,"µ")+COUNTIF($E111:L111,1)-1,INDEX(Roadmap!$D:$K,MATCH($E111,Roadmap!$D:$D,0)-1+COUNTIF($E111:L111,"u")+COUNTIF($E111:L111,"t")+COUNTIF($E111:L111,"¶")+COUNTIF($E111:L111,"²")+COUNTIF($E111:L111,"µ")+COUNTIF($E111:L111,1),ColDescriptionCourte)),""),
  "")),"")</f>
        <v/>
      </c>
      <c r="N111" s="40" t="str">
        <f ca="1">IFERROR(IF(AND(
  INDEX(Roadmap!$D:$K,MATCH($E111,Roadmap!$D:$D,0)+COUNTIF($E111:M111,"u")+COUNTIF($E111:M111,"t")+COUNTIF($E111:M111,"¶")+COUNTIF($E111:M111,"²")+COUNTIF($E111:M111,"µ")+COUNTIF($E111:M111,1),ColLivraison)=N$6,
  VLOOKUP($E111,INDIRECT("tri!"&amp; CHAR(64+ C0Col) &amp;":"&amp; CHAR(65+C0Col)),2,FALSE)&gt;COUNTIF($E111:M111,"u")+COUNTIF($E111:M111,"t")+COUNTIF($E111:M111,"¶")+COUNTIF($E111:M111,"²")+COUNTIF($E111:M111,"µ")+COUNTIF($E111:M111,1)),
HYPERLINK("#Roadmap!C"&amp; MATCH($E111,Roadmap!$D:$D,0)+COUNTIF($E111:M111,"u")+COUNTIF($E111:M111,"t"),
     INDEX(Roadmap!$D:$K,MATCH($E111,Roadmap!$D:$D,0)+COUNTIF($E111:M111,"u")+COUNTIF($E111:M111,"t")+COUNTIF($E111:M111,"¶")+COUNTIF($E111:M111,"²")+COUNTIF($E111:M111,"µ")+COUNTIF($E111:M111,1),ColTypeEcheance)),
  IF(LEN(M111)=1,
  IF(LEN(INDEX(Roadmap!$D:$K,MATCH($E111,Roadmap!$D:$D,0)-1+COUNTIF($E111:M111,"u")+COUNTIF($E111:M111,"t")+COUNTIF($E111:M111,"¶")+COUNTIF($E111:M111,"²")+COUNTIF($E111:M111,"µ")+COUNTIF($E111:M111,1),ColDescriptionCourte))&gt;1,
HYPERLINK("#Roadmap!C"&amp; MATCH($E111,Roadmap!$D:$D,0)+COUNTIF($E111:M111,"u")+COUNTIF($E111:M111,"t")+COUNTIF($E111:M111,"¶")+COUNTIF($E111:M111,"²")+COUNTIF($E111:M111,"µ")+COUNTIF($E111:M111,1)-1,INDEX(Roadmap!$D:$K,MATCH($E111,Roadmap!$D:$D,0)-1+COUNTIF($E111:M111,"u")+COUNTIF($E111:M111,"t")+COUNTIF($E111:M111,"¶")+COUNTIF($E111:M111,"²")+COUNTIF($E111:M111,"µ")+COUNTIF($E111:M111,1),ColDescriptionCourte)),""),
  "")),"")</f>
        <v/>
      </c>
      <c r="O111" s="40" t="str">
        <f ca="1">IFERROR(IF(AND(
  INDEX(Roadmap!$D:$K,MATCH($E111,Roadmap!$D:$D,0)+COUNTIF($E111:N111,"u")+COUNTIF($E111:N111,"t")+COUNTIF($E111:N111,"¶")+COUNTIF($E111:N111,"²")+COUNTIF($E111:N111,"µ")+COUNTIF($E111:N111,1),ColLivraison)=O$6,
  VLOOKUP($E111,INDIRECT("tri!"&amp; CHAR(64+ C0Col) &amp;":"&amp; CHAR(65+C0Col)),2,FALSE)&gt;COUNTIF($E111:N111,"u")+COUNTIF($E111:N111,"t")+COUNTIF($E111:N111,"¶")+COUNTIF($E111:N111,"²")+COUNTIF($E111:N111,"µ")+COUNTIF($E111:N111,1)),
HYPERLINK("#Roadmap!C"&amp; MATCH($E111,Roadmap!$D:$D,0)+COUNTIF($E111:N111,"u")+COUNTIF($E111:N111,"t"),
     INDEX(Roadmap!$D:$K,MATCH($E111,Roadmap!$D:$D,0)+COUNTIF($E111:N111,"u")+COUNTIF($E111:N111,"t")+COUNTIF($E111:N111,"¶")+COUNTIF($E111:N111,"²")+COUNTIF($E111:N111,"µ")+COUNTIF($E111:N111,1),ColTypeEcheance)),
  IF(LEN(N111)=1,
  IF(LEN(INDEX(Roadmap!$D:$K,MATCH($E111,Roadmap!$D:$D,0)-1+COUNTIF($E111:N111,"u")+COUNTIF($E111:N111,"t")+COUNTIF($E111:N111,"¶")+COUNTIF($E111:N111,"²")+COUNTIF($E111:N111,"µ")+COUNTIF($E111:N111,1),ColDescriptionCourte))&gt;1,
HYPERLINK("#Roadmap!C"&amp; MATCH($E111,Roadmap!$D:$D,0)+COUNTIF($E111:N111,"u")+COUNTIF($E111:N111,"t")+COUNTIF($E111:N111,"¶")+COUNTIF($E111:N111,"²")+COUNTIF($E111:N111,"µ")+COUNTIF($E111:N111,1)-1,INDEX(Roadmap!$D:$K,MATCH($E111,Roadmap!$D:$D,0)-1+COUNTIF($E111:N111,"u")+COUNTIF($E111:N111,"t")+COUNTIF($E111:N111,"¶")+COUNTIF($E111:N111,"²")+COUNTIF($E111:N111,"µ")+COUNTIF($E111:N111,1),ColDescriptionCourte)),""),
  "")),"")</f>
        <v/>
      </c>
      <c r="P111" s="40" t="str">
        <f ca="1">IFERROR(IF(AND(
  INDEX(Roadmap!$D:$K,MATCH($E111,Roadmap!$D:$D,0)+COUNTIF($E111:O111,"u")+COUNTIF($E111:O111,"t")+COUNTIF($E111:O111,"¶")+COUNTIF($E111:O111,"²")+COUNTIF($E111:O111,"µ")+COUNTIF($E111:O111,1),ColLivraison)=P$6,
  VLOOKUP($E111,INDIRECT("tri!"&amp; CHAR(64+ C0Col) &amp;":"&amp; CHAR(65+C0Col)),2,FALSE)&gt;COUNTIF($E111:O111,"u")+COUNTIF($E111:O111,"t")+COUNTIF($E111:O111,"¶")+COUNTIF($E111:O111,"²")+COUNTIF($E111:O111,"µ")+COUNTIF($E111:O111,1)),
HYPERLINK("#Roadmap!C"&amp; MATCH($E111,Roadmap!$D:$D,0)+COUNTIF($E111:O111,"u")+COUNTIF($E111:O111,"t"),
     INDEX(Roadmap!$D:$K,MATCH($E111,Roadmap!$D:$D,0)+COUNTIF($E111:O111,"u")+COUNTIF($E111:O111,"t")+COUNTIF($E111:O111,"¶")+COUNTIF($E111:O111,"²")+COUNTIF($E111:O111,"µ")+COUNTIF($E111:O111,1),ColTypeEcheance)),
  IF(LEN(O111)=1,
  IF(LEN(INDEX(Roadmap!$D:$K,MATCH($E111,Roadmap!$D:$D,0)-1+COUNTIF($E111:O111,"u")+COUNTIF($E111:O111,"t")+COUNTIF($E111:O111,"¶")+COUNTIF($E111:O111,"²")+COUNTIF($E111:O111,"µ")+COUNTIF($E111:O111,1),ColDescriptionCourte))&gt;1,
HYPERLINK("#Roadmap!C"&amp; MATCH($E111,Roadmap!$D:$D,0)+COUNTIF($E111:O111,"u")+COUNTIF($E111:O111,"t")+COUNTIF($E111:O111,"¶")+COUNTIF($E111:O111,"²")+COUNTIF($E111:O111,"µ")+COUNTIF($E111:O111,1)-1,INDEX(Roadmap!$D:$K,MATCH($E111,Roadmap!$D:$D,0)-1+COUNTIF($E111:O111,"u")+COUNTIF($E111:O111,"t")+COUNTIF($E111:O111,"¶")+COUNTIF($E111:O111,"²")+COUNTIF($E111:O111,"µ")+COUNTIF($E111:O111,1),ColDescriptionCourte)),""),
  "")),"")</f>
        <v/>
      </c>
      <c r="Q111" s="40" t="str">
        <f ca="1">IFERROR(IF(AND(
  INDEX(Roadmap!$D:$K,MATCH($E111,Roadmap!$D:$D,0)+COUNTIF($E111:P111,"u")+COUNTIF($E111:P111,"t")+COUNTIF($E111:P111,"¶")+COUNTIF($E111:P111,"²")+COUNTIF($E111:P111,"µ")+COUNTIF($E111:P111,1),ColLivraison)=Q$6,
  VLOOKUP($E111,INDIRECT("tri!"&amp; CHAR(64+ C0Col) &amp;":"&amp; CHAR(65+C0Col)),2,FALSE)&gt;COUNTIF($E111:P111,"u")+COUNTIF($E111:P111,"t")+COUNTIF($E111:P111,"¶")+COUNTIF($E111:P111,"²")+COUNTIF($E111:P111,"µ")+COUNTIF($E111:P111,1)),
HYPERLINK("#Roadmap!C"&amp; MATCH($E111,Roadmap!$D:$D,0)+COUNTIF($E111:P111,"u")+COUNTIF($E111:P111,"t"),
     INDEX(Roadmap!$D:$K,MATCH($E111,Roadmap!$D:$D,0)+COUNTIF($E111:P111,"u")+COUNTIF($E111:P111,"t")+COUNTIF($E111:P111,"¶")+COUNTIF($E111:P111,"²")+COUNTIF($E111:P111,"µ")+COUNTIF($E111:P111,1),ColTypeEcheance)),
  IF(LEN(P111)=1,
  IF(LEN(INDEX(Roadmap!$D:$K,MATCH($E111,Roadmap!$D:$D,0)-1+COUNTIF($E111:P111,"u")+COUNTIF($E111:P111,"t")+COUNTIF($E111:P111,"¶")+COUNTIF($E111:P111,"²")+COUNTIF($E111:P111,"µ")+COUNTIF($E111:P111,1),ColDescriptionCourte))&gt;1,
HYPERLINK("#Roadmap!C"&amp; MATCH($E111,Roadmap!$D:$D,0)+COUNTIF($E111:P111,"u")+COUNTIF($E111:P111,"t")+COUNTIF($E111:P111,"¶")+COUNTIF($E111:P111,"²")+COUNTIF($E111:P111,"µ")+COUNTIF($E111:P111,1)-1,INDEX(Roadmap!$D:$K,MATCH($E111,Roadmap!$D:$D,0)-1+COUNTIF($E111:P111,"u")+COUNTIF($E111:P111,"t")+COUNTIF($E111:P111,"¶")+COUNTIF($E111:P111,"²")+COUNTIF($E111:P111,"µ")+COUNTIF($E111:P111,1),ColDescriptionCourte)),""),
  "")),"")</f>
        <v/>
      </c>
      <c r="R111" s="40" t="str">
        <f ca="1">IFERROR(IF(AND(
  INDEX(Roadmap!$D:$K,MATCH($E111,Roadmap!$D:$D,0)+COUNTIF($E111:Q111,"u")+COUNTIF($E111:Q111,"t")+COUNTIF($E111:Q111,"¶")+COUNTIF($E111:Q111,"²")+COUNTIF($E111:Q111,"µ")+COUNTIF($E111:Q111,1),ColLivraison)=R$6,
  VLOOKUP($E111,INDIRECT("tri!"&amp; CHAR(64+ C0Col) &amp;":"&amp; CHAR(65+C0Col)),2,FALSE)&gt;COUNTIF($E111:Q111,"u")+COUNTIF($E111:Q111,"t")+COUNTIF($E111:Q111,"¶")+COUNTIF($E111:Q111,"²")+COUNTIF($E111:Q111,"µ")+COUNTIF($E111:Q111,1)),
HYPERLINK("#Roadmap!C"&amp; MATCH($E111,Roadmap!$D:$D,0)+COUNTIF($E111:Q111,"u")+COUNTIF($E111:Q111,"t"),
     INDEX(Roadmap!$D:$K,MATCH($E111,Roadmap!$D:$D,0)+COUNTIF($E111:Q111,"u")+COUNTIF($E111:Q111,"t")+COUNTIF($E111:Q111,"¶")+COUNTIF($E111:Q111,"²")+COUNTIF($E111:Q111,"µ")+COUNTIF($E111:Q111,1),ColTypeEcheance)),
  IF(LEN(Q111)=1,
  IF(LEN(INDEX(Roadmap!$D:$K,MATCH($E111,Roadmap!$D:$D,0)-1+COUNTIF($E111:Q111,"u")+COUNTIF($E111:Q111,"t")+COUNTIF($E111:Q111,"¶")+COUNTIF($E111:Q111,"²")+COUNTIF($E111:Q111,"µ")+COUNTIF($E111:Q111,1),ColDescriptionCourte))&gt;1,
HYPERLINK("#Roadmap!C"&amp; MATCH($E111,Roadmap!$D:$D,0)+COUNTIF($E111:Q111,"u")+COUNTIF($E111:Q111,"t")+COUNTIF($E111:Q111,"¶")+COUNTIF($E111:Q111,"²")+COUNTIF($E111:Q111,"µ")+COUNTIF($E111:Q111,1)-1,INDEX(Roadmap!$D:$K,MATCH($E111,Roadmap!$D:$D,0)-1+COUNTIF($E111:Q111,"u")+COUNTIF($E111:Q111,"t")+COUNTIF($E111:Q111,"¶")+COUNTIF($E111:Q111,"²")+COUNTIF($E111:Q111,"µ")+COUNTIF($E111:Q111,1),ColDescriptionCourte)),""),
  "")),"")</f>
        <v/>
      </c>
      <c r="S111" s="40" t="str">
        <f ca="1">IFERROR(IF(AND(
  INDEX(Roadmap!$D:$K,MATCH($E111,Roadmap!$D:$D,0)+COUNTIF($E111:R111,"u")+COUNTIF($E111:R111,"t")+COUNTIF($E111:R111,"¶")+COUNTIF($E111:R111,"²")+COUNTIF($E111:R111,"µ")+COUNTIF($E111:R111,1),ColLivraison)=S$6,
  VLOOKUP($E111,INDIRECT("tri!"&amp; CHAR(64+ C0Col) &amp;":"&amp; CHAR(65+C0Col)),2,FALSE)&gt;COUNTIF($E111:R111,"u")+COUNTIF($E111:R111,"t")+COUNTIF($E111:R111,"¶")+COUNTIF($E111:R111,"²")+COUNTIF($E111:R111,"µ")+COUNTIF($E111:R111,1)),
HYPERLINK("#Roadmap!C"&amp; MATCH($E111,Roadmap!$D:$D,0)+COUNTIF($E111:R111,"u")+COUNTIF($E111:R111,"t"),
     INDEX(Roadmap!$D:$K,MATCH($E111,Roadmap!$D:$D,0)+COUNTIF($E111:R111,"u")+COUNTIF($E111:R111,"t")+COUNTIF($E111:R111,"¶")+COUNTIF($E111:R111,"²")+COUNTIF($E111:R111,"µ")+COUNTIF($E111:R111,1),ColTypeEcheance)),
  IF(LEN(R111)=1,
  IF(LEN(INDEX(Roadmap!$D:$K,MATCH($E111,Roadmap!$D:$D,0)-1+COUNTIF($E111:R111,"u")+COUNTIF($E111:R111,"t")+COUNTIF($E111:R111,"¶")+COUNTIF($E111:R111,"²")+COUNTIF($E111:R111,"µ")+COUNTIF($E111:R111,1),ColDescriptionCourte))&gt;1,
HYPERLINK("#Roadmap!C"&amp; MATCH($E111,Roadmap!$D:$D,0)+COUNTIF($E111:R111,"u")+COUNTIF($E111:R111,"t")+COUNTIF($E111:R111,"¶")+COUNTIF($E111:R111,"²")+COUNTIF($E111:R111,"µ")+COUNTIF($E111:R111,1)-1,INDEX(Roadmap!$D:$K,MATCH($E111,Roadmap!$D:$D,0)-1+COUNTIF($E111:R111,"u")+COUNTIF($E111:R111,"t")+COUNTIF($E111:R111,"¶")+COUNTIF($E111:R111,"²")+COUNTIF($E111:R111,"µ")+COUNTIF($E111:R111,1),ColDescriptionCourte)),""),
  "")),"")</f>
        <v/>
      </c>
      <c r="T111" s="40" t="str">
        <f ca="1">IFERROR(IF(AND(
  INDEX(Roadmap!$D:$K,MATCH($E111,Roadmap!$D:$D,0)+COUNTIF($E111:S111,"u")+COUNTIF($E111:S111,"t")+COUNTIF($E111:S111,"¶")+COUNTIF($E111:S111,"²")+COUNTIF($E111:S111,"µ")+COUNTIF($E111:S111,1),ColLivraison)=T$6,
  VLOOKUP($E111,INDIRECT("tri!"&amp; CHAR(64+ C0Col) &amp;":"&amp; CHAR(65+C0Col)),2,FALSE)&gt;COUNTIF($E111:S111,"u")+COUNTIF($E111:S111,"t")+COUNTIF($E111:S111,"¶")+COUNTIF($E111:S111,"²")+COUNTIF($E111:S111,"µ")+COUNTIF($E111:S111,1)),
HYPERLINK("#Roadmap!C"&amp; MATCH($E111,Roadmap!$D:$D,0)+COUNTIF($E111:S111,"u")+COUNTIF($E111:S111,"t"),
     INDEX(Roadmap!$D:$K,MATCH($E111,Roadmap!$D:$D,0)+COUNTIF($E111:S111,"u")+COUNTIF($E111:S111,"t")+COUNTIF($E111:S111,"¶")+COUNTIF($E111:S111,"²")+COUNTIF($E111:S111,"µ")+COUNTIF($E111:S111,1),ColTypeEcheance)),
  IF(LEN(S111)=1,
  IF(LEN(INDEX(Roadmap!$D:$K,MATCH($E111,Roadmap!$D:$D,0)-1+COUNTIF($E111:S111,"u")+COUNTIF($E111:S111,"t")+COUNTIF($E111:S111,"¶")+COUNTIF($E111:S111,"²")+COUNTIF($E111:S111,"µ")+COUNTIF($E111:S111,1),ColDescriptionCourte))&gt;1,
HYPERLINK("#Roadmap!C"&amp; MATCH($E111,Roadmap!$D:$D,0)+COUNTIF($E111:S111,"u")+COUNTIF($E111:S111,"t")+COUNTIF($E111:S111,"¶")+COUNTIF($E111:S111,"²")+COUNTIF($E111:S111,"µ")+COUNTIF($E111:S111,1)-1,INDEX(Roadmap!$D:$K,MATCH($E111,Roadmap!$D:$D,0)-1+COUNTIF($E111:S111,"u")+COUNTIF($E111:S111,"t")+COUNTIF($E111:S111,"¶")+COUNTIF($E111:S111,"²")+COUNTIF($E111:S111,"µ")+COUNTIF($E111:S111,1),ColDescriptionCourte)),""),
  "")),"")</f>
        <v/>
      </c>
      <c r="U111" s="40" t="str">
        <f ca="1">IFERROR(IF(AND(
  INDEX(Roadmap!$D:$K,MATCH($E111,Roadmap!$D:$D,0)+COUNTIF($E111:T111,"u")+COUNTIF($E111:T111,"t")+COUNTIF($E111:T111,"¶")+COUNTIF($E111:T111,"²")+COUNTIF($E111:T111,"µ")+COUNTIF($E111:T111,1),ColLivraison)=U$6,
  VLOOKUP($E111,INDIRECT("tri!"&amp; CHAR(64+ C0Col) &amp;":"&amp; CHAR(65+C0Col)),2,FALSE)&gt;COUNTIF($E111:T111,"u")+COUNTIF($E111:T111,"t")+COUNTIF($E111:T111,"¶")+COUNTIF($E111:T111,"²")+COUNTIF($E111:T111,"µ")+COUNTIF($E111:T111,1)),
HYPERLINK("#Roadmap!C"&amp; MATCH($E111,Roadmap!$D:$D,0)+COUNTIF($E111:T111,"u")+COUNTIF($E111:T111,"t"),
     INDEX(Roadmap!$D:$K,MATCH($E111,Roadmap!$D:$D,0)+COUNTIF($E111:T111,"u")+COUNTIF($E111:T111,"t")+COUNTIF($E111:T111,"¶")+COUNTIF($E111:T111,"²")+COUNTIF($E111:T111,"µ")+COUNTIF($E111:T111,1),ColTypeEcheance)),
  IF(LEN(T111)=1,
  IF(LEN(INDEX(Roadmap!$D:$K,MATCH($E111,Roadmap!$D:$D,0)-1+COUNTIF($E111:T111,"u")+COUNTIF($E111:T111,"t")+COUNTIF($E111:T111,"¶")+COUNTIF($E111:T111,"²")+COUNTIF($E111:T111,"µ")+COUNTIF($E111:T111,1),ColDescriptionCourte))&gt;1,
HYPERLINK("#Roadmap!C"&amp; MATCH($E111,Roadmap!$D:$D,0)+COUNTIF($E111:T111,"u")+COUNTIF($E111:T111,"t")+COUNTIF($E111:T111,"¶")+COUNTIF($E111:T111,"²")+COUNTIF($E111:T111,"µ")+COUNTIF($E111:T111,1)-1,INDEX(Roadmap!$D:$K,MATCH($E111,Roadmap!$D:$D,0)-1+COUNTIF($E111:T111,"u")+COUNTIF($E111:T111,"t")+COUNTIF($E111:T111,"¶")+COUNTIF($E111:T111,"²")+COUNTIF($E111:T111,"µ")+COUNTIF($E111:T111,1),ColDescriptionCourte)),""),
  "")),"")</f>
        <v/>
      </c>
      <c r="V111" s="40" t="str">
        <f ca="1">IFERROR(IF(AND(
  INDEX(Roadmap!$D:$K,MATCH($E111,Roadmap!$D:$D,0)+COUNTIF($E111:U111,"u")+COUNTIF($E111:U111,"t")+COUNTIF($E111:U111,"¶")+COUNTIF($E111:U111,"²")+COUNTIF($E111:U111,"µ")+COUNTIF($E111:U111,1),ColLivraison)=V$6,
  VLOOKUP($E111,INDIRECT("tri!"&amp; CHAR(64+ C0Col) &amp;":"&amp; CHAR(65+C0Col)),2,FALSE)&gt;COUNTIF($E111:U111,"u")+COUNTIF($E111:U111,"t")+COUNTIF($E111:U111,"¶")+COUNTIF($E111:U111,"²")+COUNTIF($E111:U111,"µ")+COUNTIF($E111:U111,1)),
HYPERLINK("#Roadmap!C"&amp; MATCH($E111,Roadmap!$D:$D,0)+COUNTIF($E111:U111,"u")+COUNTIF($E111:U111,"t"),
     INDEX(Roadmap!$D:$K,MATCH($E111,Roadmap!$D:$D,0)+COUNTIF($E111:U111,"u")+COUNTIF($E111:U111,"t")+COUNTIF($E111:U111,"¶")+COUNTIF($E111:U111,"²")+COUNTIF($E111:U111,"µ")+COUNTIF($E111:U111,1),ColTypeEcheance)),
  IF(LEN(U111)=1,
  IF(LEN(INDEX(Roadmap!$D:$K,MATCH($E111,Roadmap!$D:$D,0)-1+COUNTIF($E111:U111,"u")+COUNTIF($E111:U111,"t")+COUNTIF($E111:U111,"¶")+COUNTIF($E111:U111,"²")+COUNTIF($E111:U111,"µ")+COUNTIF($E111:U111,1),ColDescriptionCourte))&gt;1,
HYPERLINK("#Roadmap!C"&amp; MATCH($E111,Roadmap!$D:$D,0)+COUNTIF($E111:U111,"u")+COUNTIF($E111:U111,"t")+COUNTIF($E111:U111,"¶")+COUNTIF($E111:U111,"²")+COUNTIF($E111:U111,"µ")+COUNTIF($E111:U111,1)-1,INDEX(Roadmap!$D:$K,MATCH($E111,Roadmap!$D:$D,0)-1+COUNTIF($E111:U111,"u")+COUNTIF($E111:U111,"t")+COUNTIF($E111:U111,"¶")+COUNTIF($E111:U111,"²")+COUNTIF($E111:U111,"µ")+COUNTIF($E111:U111,1),ColDescriptionCourte)),""),
  "")),"")</f>
        <v/>
      </c>
      <c r="W111" s="40" t="str">
        <f ca="1">IFERROR(IF(AND(
  INDEX(Roadmap!$D:$K,MATCH($E111,Roadmap!$D:$D,0)+COUNTIF($E111:V111,"u")+COUNTIF($E111:V111,"t")+COUNTIF($E111:V111,"¶")+COUNTIF($E111:V111,"²")+COUNTIF($E111:V111,"µ")+COUNTIF($E111:V111,1),ColLivraison)=W$6,
  VLOOKUP($E111,INDIRECT("tri!"&amp; CHAR(64+ C0Col) &amp;":"&amp; CHAR(65+C0Col)),2,FALSE)&gt;COUNTIF($E111:V111,"u")+COUNTIF($E111:V111,"t")+COUNTIF($E111:V111,"¶")+COUNTIF($E111:V111,"²")+COUNTIF($E111:V111,"µ")+COUNTIF($E111:V111,1)),
HYPERLINK("#Roadmap!C"&amp; MATCH($E111,Roadmap!$D:$D,0)+COUNTIF($E111:V111,"u")+COUNTIF($E111:V111,"t"),
     INDEX(Roadmap!$D:$K,MATCH($E111,Roadmap!$D:$D,0)+COUNTIF($E111:V111,"u")+COUNTIF($E111:V111,"t")+COUNTIF($E111:V111,"¶")+COUNTIF($E111:V111,"²")+COUNTIF($E111:V111,"µ")+COUNTIF($E111:V111,1),ColTypeEcheance)),
  IF(LEN(V111)=1,
  IF(LEN(INDEX(Roadmap!$D:$K,MATCH($E111,Roadmap!$D:$D,0)-1+COUNTIF($E111:V111,"u")+COUNTIF($E111:V111,"t")+COUNTIF($E111:V111,"¶")+COUNTIF($E111:V111,"²")+COUNTIF($E111:V111,"µ")+COUNTIF($E111:V111,1),ColDescriptionCourte))&gt;1,
HYPERLINK("#Roadmap!C"&amp; MATCH($E111,Roadmap!$D:$D,0)+COUNTIF($E111:V111,"u")+COUNTIF($E111:V111,"t")+COUNTIF($E111:V111,"¶")+COUNTIF($E111:V111,"²")+COUNTIF($E111:V111,"µ")+COUNTIF($E111:V111,1)-1,INDEX(Roadmap!$D:$K,MATCH($E111,Roadmap!$D:$D,0)-1+COUNTIF($E111:V111,"u")+COUNTIF($E111:V111,"t")+COUNTIF($E111:V111,"¶")+COUNTIF($E111:V111,"²")+COUNTIF($E111:V111,"µ")+COUNTIF($E111:V111,1),ColDescriptionCourte)),""),
  "")),"")</f>
        <v/>
      </c>
      <c r="X111" s="40" t="str">
        <f ca="1">IFERROR(IF(AND(
  INDEX(Roadmap!$D:$K,MATCH($E111,Roadmap!$D:$D,0)+COUNTIF($E111:W111,"u")+COUNTIF($E111:W111,"t")+COUNTIF($E111:W111,"¶")+COUNTIF($E111:W111,"²")+COUNTIF($E111:W111,"µ")+COUNTIF($E111:W111,1),ColLivraison)=X$6,
  VLOOKUP($E111,INDIRECT("tri!"&amp; CHAR(64+ C0Col) &amp;":"&amp; CHAR(65+C0Col)),2,FALSE)&gt;COUNTIF($E111:W111,"u")+COUNTIF($E111:W111,"t")+COUNTIF($E111:W111,"¶")+COUNTIF($E111:W111,"²")+COUNTIF($E111:W111,"µ")+COUNTIF($E111:W111,1)),
HYPERLINK("#Roadmap!C"&amp; MATCH($E111,Roadmap!$D:$D,0)+COUNTIF($E111:W111,"u")+COUNTIF($E111:W111,"t"),
     INDEX(Roadmap!$D:$K,MATCH($E111,Roadmap!$D:$D,0)+COUNTIF($E111:W111,"u")+COUNTIF($E111:W111,"t")+COUNTIF($E111:W111,"¶")+COUNTIF($E111:W111,"²")+COUNTIF($E111:W111,"µ")+COUNTIF($E111:W111,1),ColTypeEcheance)),
  IF(LEN(W111)=1,
  IF(LEN(INDEX(Roadmap!$D:$K,MATCH($E111,Roadmap!$D:$D,0)-1+COUNTIF($E111:W111,"u")+COUNTIF($E111:W111,"t")+COUNTIF($E111:W111,"¶")+COUNTIF($E111:W111,"²")+COUNTIF($E111:W111,"µ")+COUNTIF($E111:W111,1),ColDescriptionCourte))&gt;1,
HYPERLINK("#Roadmap!C"&amp; MATCH($E111,Roadmap!$D:$D,0)+COUNTIF($E111:W111,"u")+COUNTIF($E111:W111,"t")+COUNTIF($E111:W111,"¶")+COUNTIF($E111:W111,"²")+COUNTIF($E111:W111,"µ")+COUNTIF($E111:W111,1)-1,INDEX(Roadmap!$D:$K,MATCH($E111,Roadmap!$D:$D,0)-1+COUNTIF($E111:W111,"u")+COUNTIF($E111:W111,"t")+COUNTIF($E111:W111,"¶")+COUNTIF($E111:W111,"²")+COUNTIF($E111:W111,"µ")+COUNTIF($E111:W111,1),ColDescriptionCourte)),""),
  "")),"")</f>
        <v/>
      </c>
      <c r="Y111" s="40" t="str">
        <f ca="1">IFERROR(IF(AND(
  INDEX(Roadmap!$D:$K,MATCH($E111,Roadmap!$D:$D,0)+COUNTIF($E111:X111,"u")+COUNTIF($E111:X111,"t")+COUNTIF($E111:X111,"¶")+COUNTIF($E111:X111,"²")+COUNTIF($E111:X111,"µ")+COUNTIF($E111:X111,1),ColLivraison)=Y$6,
  VLOOKUP($E111,INDIRECT("tri!"&amp; CHAR(64+ C0Col) &amp;":"&amp; CHAR(65+C0Col)),2,FALSE)&gt;COUNTIF($E111:X111,"u")+COUNTIF($E111:X111,"t")+COUNTIF($E111:X111,"¶")+COUNTIF($E111:X111,"²")+COUNTIF($E111:X111,"µ")+COUNTIF($E111:X111,1)),
HYPERLINK("#Roadmap!C"&amp; MATCH($E111,Roadmap!$D:$D,0)+COUNTIF($E111:X111,"u")+COUNTIF($E111:X111,"t"),
     INDEX(Roadmap!$D:$K,MATCH($E111,Roadmap!$D:$D,0)+COUNTIF($E111:X111,"u")+COUNTIF($E111:X111,"t")+COUNTIF($E111:X111,"¶")+COUNTIF($E111:X111,"²")+COUNTIF($E111:X111,"µ")+COUNTIF($E111:X111,1),ColTypeEcheance)),
  IF(LEN(X111)=1,
  IF(LEN(INDEX(Roadmap!$D:$K,MATCH($E111,Roadmap!$D:$D,0)-1+COUNTIF($E111:X111,"u")+COUNTIF($E111:X111,"t")+COUNTIF($E111:X111,"¶")+COUNTIF($E111:X111,"²")+COUNTIF($E111:X111,"µ")+COUNTIF($E111:X111,1),ColDescriptionCourte))&gt;1,
HYPERLINK("#Roadmap!C"&amp; MATCH($E111,Roadmap!$D:$D,0)+COUNTIF($E111:X111,"u")+COUNTIF($E111:X111,"t")+COUNTIF($E111:X111,"¶")+COUNTIF($E111:X111,"²")+COUNTIF($E111:X111,"µ")+COUNTIF($E111:X111,1)-1,INDEX(Roadmap!$D:$K,MATCH($E111,Roadmap!$D:$D,0)-1+COUNTIF($E111:X111,"u")+COUNTIF($E111:X111,"t")+COUNTIF($E111:X111,"¶")+COUNTIF($E111:X111,"²")+COUNTIF($E111:X111,"µ")+COUNTIF($E111:X111,1),ColDescriptionCourte)),""),
  "")),"")</f>
        <v/>
      </c>
      <c r="Z111" s="40" t="str">
        <f ca="1">IFERROR(IF(AND(
  INDEX(Roadmap!$D:$K,MATCH($E111,Roadmap!$D:$D,0)+COUNTIF($E111:Y111,"u")+COUNTIF($E111:Y111,"t")+COUNTIF($E111:Y111,"¶")+COUNTIF($E111:Y111,"²")+COUNTIF($E111:Y111,"µ")+COUNTIF($E111:Y111,1),ColLivraison)=Z$6,
  VLOOKUP($E111,INDIRECT("tri!"&amp; CHAR(64+ C0Col) &amp;":"&amp; CHAR(65+C0Col)),2,FALSE)&gt;COUNTIF($E111:Y111,"u")+COUNTIF($E111:Y111,"t")+COUNTIF($E111:Y111,"¶")+COUNTIF($E111:Y111,"²")+COUNTIF($E111:Y111,"µ")+COUNTIF($E111:Y111,1)),
HYPERLINK("#Roadmap!C"&amp; MATCH($E111,Roadmap!$D:$D,0)+COUNTIF($E111:Y111,"u")+COUNTIF($E111:Y111,"t"),
     INDEX(Roadmap!$D:$K,MATCH($E111,Roadmap!$D:$D,0)+COUNTIF($E111:Y111,"u")+COUNTIF($E111:Y111,"t")+COUNTIF($E111:Y111,"¶")+COUNTIF($E111:Y111,"²")+COUNTIF($E111:Y111,"µ")+COUNTIF($E111:Y111,1),ColTypeEcheance)),
  IF(LEN(Y111)=1,
  IF(LEN(INDEX(Roadmap!$D:$K,MATCH($E111,Roadmap!$D:$D,0)-1+COUNTIF($E111:Y111,"u")+COUNTIF($E111:Y111,"t")+COUNTIF($E111:Y111,"¶")+COUNTIF($E111:Y111,"²")+COUNTIF($E111:Y111,"µ")+COUNTIF($E111:Y111,1),ColDescriptionCourte))&gt;1,
HYPERLINK("#Roadmap!C"&amp; MATCH($E111,Roadmap!$D:$D,0)+COUNTIF($E111:Y111,"u")+COUNTIF($E111:Y111,"t")+COUNTIF($E111:Y111,"¶")+COUNTIF($E111:Y111,"²")+COUNTIF($E111:Y111,"µ")+COUNTIF($E111:Y111,1)-1,INDEX(Roadmap!$D:$K,MATCH($E111,Roadmap!$D:$D,0)-1+COUNTIF($E111:Y111,"u")+COUNTIF($E111:Y111,"t")+COUNTIF($E111:Y111,"¶")+COUNTIF($E111:Y111,"²")+COUNTIF($E111:Y111,"µ")+COUNTIF($E111:Y111,1),ColDescriptionCourte)),""),
  "")),"")</f>
        <v/>
      </c>
      <c r="AA111" s="40" t="str">
        <f ca="1">IFERROR(IF(AND(
  INDEX(Roadmap!$D:$K,MATCH($E111,Roadmap!$D:$D,0)+COUNTIF($E111:Z111,"u")+COUNTIF($E111:Z111,"t")+COUNTIF($E111:Z111,"¶")+COUNTIF($E111:Z111,"²")+COUNTIF($E111:Z111,"µ")+COUNTIF($E111:Z111,1),ColLivraison)=AA$6,
  VLOOKUP($E111,INDIRECT("tri!"&amp; CHAR(64+ C0Col) &amp;":"&amp; CHAR(65+C0Col)),2,FALSE)&gt;COUNTIF($E111:Z111,"u")+COUNTIF($E111:Z111,"t")+COUNTIF($E111:Z111,"¶")+COUNTIF($E111:Z111,"²")+COUNTIF($E111:Z111,"µ")+COUNTIF($E111:Z111,1)),
HYPERLINK("#Roadmap!C"&amp; MATCH($E111,Roadmap!$D:$D,0)+COUNTIF($E111:Z111,"u")+COUNTIF($E111:Z111,"t"),
     INDEX(Roadmap!$D:$K,MATCH($E111,Roadmap!$D:$D,0)+COUNTIF($E111:Z111,"u")+COUNTIF($E111:Z111,"t")+COUNTIF($E111:Z111,"¶")+COUNTIF($E111:Z111,"²")+COUNTIF($E111:Z111,"µ")+COUNTIF($E111:Z111,1),ColTypeEcheance)),
  IF(LEN(Z111)=1,
  IF(LEN(INDEX(Roadmap!$D:$K,MATCH($E111,Roadmap!$D:$D,0)-1+COUNTIF($E111:Z111,"u")+COUNTIF($E111:Z111,"t")+COUNTIF($E111:Z111,"¶")+COUNTIF($E111:Z111,"²")+COUNTIF($E111:Z111,"µ")+COUNTIF($E111:Z111,1),ColDescriptionCourte))&gt;1,
HYPERLINK("#Roadmap!C"&amp; MATCH($E111,Roadmap!$D:$D,0)+COUNTIF($E111:Z111,"u")+COUNTIF($E111:Z111,"t")+COUNTIF($E111:Z111,"¶")+COUNTIF($E111:Z111,"²")+COUNTIF($E111:Z111,"µ")+COUNTIF($E111:Z111,1)-1,INDEX(Roadmap!$D:$K,MATCH($E111,Roadmap!$D:$D,0)-1+COUNTIF($E111:Z111,"u")+COUNTIF($E111:Z111,"t")+COUNTIF($E111:Z111,"¶")+COUNTIF($E111:Z111,"²")+COUNTIF($E111:Z111,"µ")+COUNTIF($E111:Z111,1),ColDescriptionCourte)),""),
  "")),"")</f>
        <v/>
      </c>
      <c r="AB111" s="40" t="str">
        <f ca="1">IFERROR(IF(AND(
  INDEX(Roadmap!$D:$K,MATCH($E111,Roadmap!$D:$D,0)+COUNTIF($E111:AA111,"u")+COUNTIF($E111:AA111,"t")+COUNTIF($E111:AA111,"¶")+COUNTIF($E111:AA111,"²")+COUNTIF($E111:AA111,"µ")+COUNTIF($E111:AA111,1),ColLivraison)=AB$6,
  VLOOKUP($E111,INDIRECT("tri!"&amp; CHAR(64+ C0Col) &amp;":"&amp; CHAR(65+C0Col)),2,FALSE)&gt;COUNTIF($E111:AA111,"u")+COUNTIF($E111:AA111,"t")+COUNTIF($E111:AA111,"¶")+COUNTIF($E111:AA111,"²")+COUNTIF($E111:AA111,"µ")+COUNTIF($E111:AA111,1)),
HYPERLINK("#Roadmap!C"&amp; MATCH($E111,Roadmap!$D:$D,0)+COUNTIF($E111:AA111,"u")+COUNTIF($E111:AA111,"t"),
     INDEX(Roadmap!$D:$K,MATCH($E111,Roadmap!$D:$D,0)+COUNTIF($E111:AA111,"u")+COUNTIF($E111:AA111,"t")+COUNTIF($E111:AA111,"¶")+COUNTIF($E111:AA111,"²")+COUNTIF($E111:AA111,"µ")+COUNTIF($E111:AA111,1),ColTypeEcheance)),
  IF(LEN(AA111)=1,
  IF(LEN(INDEX(Roadmap!$D:$K,MATCH($E111,Roadmap!$D:$D,0)-1+COUNTIF($E111:AA111,"u")+COUNTIF($E111:AA111,"t")+COUNTIF($E111:AA111,"¶")+COUNTIF($E111:AA111,"²")+COUNTIF($E111:AA111,"µ")+COUNTIF($E111:AA111,1),ColDescriptionCourte))&gt;1,
HYPERLINK("#Roadmap!C"&amp; MATCH($E111,Roadmap!$D:$D,0)+COUNTIF($E111:AA111,"u")+COUNTIF($E111:AA111,"t")+COUNTIF($E111:AA111,"¶")+COUNTIF($E111:AA111,"²")+COUNTIF($E111:AA111,"µ")+COUNTIF($E111:AA111,1)-1,INDEX(Roadmap!$D:$K,MATCH($E111,Roadmap!$D:$D,0)-1+COUNTIF($E111:AA111,"u")+COUNTIF($E111:AA111,"t")+COUNTIF($E111:AA111,"¶")+COUNTIF($E111:AA111,"²")+COUNTIF($E111:AA111,"µ")+COUNTIF($E111:AA111,1),ColDescriptionCourte)),""),
  "")),"")</f>
        <v/>
      </c>
      <c r="AC111" s="40" t="str">
        <f ca="1">IFERROR(IF(AND(
  INDEX(Roadmap!$D:$K,MATCH($E111,Roadmap!$D:$D,0)+COUNTIF($E111:AB111,"u")+COUNTIF($E111:AB111,"t")+COUNTIF($E111:AB111,"¶")+COUNTIF($E111:AB111,"²")+COUNTIF($E111:AB111,"µ")+COUNTIF($E111:AB111,1),ColLivraison)=AC$6,
  VLOOKUP($E111,INDIRECT("tri!"&amp; CHAR(64+ C0Col) &amp;":"&amp; CHAR(65+C0Col)),2,FALSE)&gt;COUNTIF($E111:AB111,"u")+COUNTIF($E111:AB111,"t")+COUNTIF($E111:AB111,"¶")+COUNTIF($E111:AB111,"²")+COUNTIF($E111:AB111,"µ")+COUNTIF($E111:AB111,1)),
HYPERLINK("#Roadmap!C"&amp; MATCH($E111,Roadmap!$D:$D,0)+COUNTIF($E111:AB111,"u")+COUNTIF($E111:AB111,"t"),
     INDEX(Roadmap!$D:$K,MATCH($E111,Roadmap!$D:$D,0)+COUNTIF($E111:AB111,"u")+COUNTIF($E111:AB111,"t")+COUNTIF($E111:AB111,"¶")+COUNTIF($E111:AB111,"²")+COUNTIF($E111:AB111,"µ")+COUNTIF($E111:AB111,1),ColTypeEcheance)),
  IF(LEN(AB111)=1,
  IF(LEN(INDEX(Roadmap!$D:$K,MATCH($E111,Roadmap!$D:$D,0)-1+COUNTIF($E111:AB111,"u")+COUNTIF($E111:AB111,"t")+COUNTIF($E111:AB111,"¶")+COUNTIF($E111:AB111,"²")+COUNTIF($E111:AB111,"µ")+COUNTIF($E111:AB111,1),ColDescriptionCourte))&gt;1,
HYPERLINK("#Roadmap!C"&amp; MATCH($E111,Roadmap!$D:$D,0)+COUNTIF($E111:AB111,"u")+COUNTIF($E111:AB111,"t")+COUNTIF($E111:AB111,"¶")+COUNTIF($E111:AB111,"²")+COUNTIF($E111:AB111,"µ")+COUNTIF($E111:AB111,1)-1,INDEX(Roadmap!$D:$K,MATCH($E111,Roadmap!$D:$D,0)-1+COUNTIF($E111:AB111,"u")+COUNTIF($E111:AB111,"t")+COUNTIF($E111:AB111,"¶")+COUNTIF($E111:AB111,"²")+COUNTIF($E111:AB111,"µ")+COUNTIF($E111:AB111,1),ColDescriptionCourte)),""),
  "")),"")</f>
        <v/>
      </c>
      <c r="AD111" s="40" t="str">
        <f ca="1">IFERROR(IF(AND(
  INDEX(Roadmap!$D:$K,MATCH($E111,Roadmap!$D:$D,0)+COUNTIF($E111:AC111,"u")+COUNTIF($E111:AC111,"t")+COUNTIF($E111:AC111,"¶")+COUNTIF($E111:AC111,"²")+COUNTIF($E111:AC111,"µ")+COUNTIF($E111:AC111,1),ColLivraison)=AD$6,
  VLOOKUP($E111,INDIRECT("tri!"&amp; CHAR(64+ C0Col) &amp;":"&amp; CHAR(65+C0Col)),2,FALSE)&gt;COUNTIF($E111:AC111,"u")+COUNTIF($E111:AC111,"t")+COUNTIF($E111:AC111,"¶")+COUNTIF($E111:AC111,"²")+COUNTIF($E111:AC111,"µ")+COUNTIF($E111:AC111,1)),
HYPERLINK("#Roadmap!C"&amp; MATCH($E111,Roadmap!$D:$D,0)+COUNTIF($E111:AC111,"u")+COUNTIF($E111:AC111,"t"),
     INDEX(Roadmap!$D:$K,MATCH($E111,Roadmap!$D:$D,0)+COUNTIF($E111:AC111,"u")+COUNTIF($E111:AC111,"t")+COUNTIF($E111:AC111,"¶")+COUNTIF($E111:AC111,"²")+COUNTIF($E111:AC111,"µ")+COUNTIF($E111:AC111,1),ColTypeEcheance)),
  IF(LEN(AC111)=1,
  IF(LEN(INDEX(Roadmap!$D:$K,MATCH($E111,Roadmap!$D:$D,0)-1+COUNTIF($E111:AC111,"u")+COUNTIF($E111:AC111,"t")+COUNTIF($E111:AC111,"¶")+COUNTIF($E111:AC111,"²")+COUNTIF($E111:AC111,"µ")+COUNTIF($E111:AC111,1),ColDescriptionCourte))&gt;1,
HYPERLINK("#Roadmap!C"&amp; MATCH($E111,Roadmap!$D:$D,0)+COUNTIF($E111:AC111,"u")+COUNTIF($E111:AC111,"t")+COUNTIF($E111:AC111,"¶")+COUNTIF($E111:AC111,"²")+COUNTIF($E111:AC111,"µ")+COUNTIF($E111:AC111,1)-1,INDEX(Roadmap!$D:$K,MATCH($E111,Roadmap!$D:$D,0)-1+COUNTIF($E111:AC111,"u")+COUNTIF($E111:AC111,"t")+COUNTIF($E111:AC111,"¶")+COUNTIF($E111:AC111,"²")+COUNTIF($E111:AC111,"µ")+COUNTIF($E111:AC111,1),ColDescriptionCourte)),""),
  "")),"")</f>
        <v/>
      </c>
      <c r="AE111" s="40" t="str">
        <f ca="1">IFERROR(IF(AND(
  INDEX(Roadmap!$D:$K,MATCH($E111,Roadmap!$D:$D,0)+COUNTIF($E111:AD111,"u")+COUNTIF($E111:AD111,"t")+COUNTIF($E111:AD111,"¶")+COUNTIF($E111:AD111,"²")+COUNTIF($E111:AD111,"µ")+COUNTIF($E111:AD111,1),ColLivraison)=AE$6,
  VLOOKUP($E111,INDIRECT("tri!"&amp; CHAR(64+ C0Col) &amp;":"&amp; CHAR(65+C0Col)),2,FALSE)&gt;COUNTIF($E111:AD111,"u")+COUNTIF($E111:AD111,"t")+COUNTIF($E111:AD111,"¶")+COUNTIF($E111:AD111,"²")+COUNTIF($E111:AD111,"µ")+COUNTIF($E111:AD111,1)),
HYPERLINK("#Roadmap!C"&amp; MATCH($E111,Roadmap!$D:$D,0)+COUNTIF($E111:AD111,"u")+COUNTIF($E111:AD111,"t"),
     INDEX(Roadmap!$D:$K,MATCH($E111,Roadmap!$D:$D,0)+COUNTIF($E111:AD111,"u")+COUNTIF($E111:AD111,"t")+COUNTIF($E111:AD111,"¶")+COUNTIF($E111:AD111,"²")+COUNTIF($E111:AD111,"µ")+COUNTIF($E111:AD111,1),ColTypeEcheance)),
  IF(LEN(AD111)=1,
  IF(LEN(INDEX(Roadmap!$D:$K,MATCH($E111,Roadmap!$D:$D,0)-1+COUNTIF($E111:AD111,"u")+COUNTIF($E111:AD111,"t")+COUNTIF($E111:AD111,"¶")+COUNTIF($E111:AD111,"²")+COUNTIF($E111:AD111,"µ")+COUNTIF($E111:AD111,1),ColDescriptionCourte))&gt;1,
HYPERLINK("#Roadmap!C"&amp; MATCH($E111,Roadmap!$D:$D,0)+COUNTIF($E111:AD111,"u")+COUNTIF($E111:AD111,"t")+COUNTIF($E111:AD111,"¶")+COUNTIF($E111:AD111,"²")+COUNTIF($E111:AD111,"µ")+COUNTIF($E111:AD111,1)-1,INDEX(Roadmap!$D:$K,MATCH($E111,Roadmap!$D:$D,0)-1+COUNTIF($E111:AD111,"u")+COUNTIF($E111:AD111,"t")+COUNTIF($E111:AD111,"¶")+COUNTIF($E111:AD111,"²")+COUNTIF($E111:AD111,"µ")+COUNTIF($E111:AD111,1),ColDescriptionCourte)),""),
  "")),"")</f>
        <v/>
      </c>
      <c r="AF111" s="40" t="str">
        <f ca="1">IFERROR(IF(AND(
  INDEX(Roadmap!$D:$K,MATCH($E111,Roadmap!$D:$D,0)+COUNTIF($E111:AE111,"u")+COUNTIF($E111:AE111,"t")+COUNTIF($E111:AE111,"¶")+COUNTIF($E111:AE111,"²")+COUNTIF($E111:AE111,"µ")+COUNTIF($E111:AE111,1),ColLivraison)=AF$6,
  VLOOKUP($E111,INDIRECT("tri!"&amp; CHAR(64+ C0Col) &amp;":"&amp; CHAR(65+C0Col)),2,FALSE)&gt;COUNTIF($E111:AE111,"u")+COUNTIF($E111:AE111,"t")+COUNTIF($E111:AE111,"¶")+COUNTIF($E111:AE111,"²")+COUNTIF($E111:AE111,"µ")+COUNTIF($E111:AE111,1)),
HYPERLINK("#Roadmap!C"&amp; MATCH($E111,Roadmap!$D:$D,0)+COUNTIF($E111:AE111,"u")+COUNTIF($E111:AE111,"t"),
     INDEX(Roadmap!$D:$K,MATCH($E111,Roadmap!$D:$D,0)+COUNTIF($E111:AE111,"u")+COUNTIF($E111:AE111,"t")+COUNTIF($E111:AE111,"¶")+COUNTIF($E111:AE111,"²")+COUNTIF($E111:AE111,"µ")+COUNTIF($E111:AE111,1),ColTypeEcheance)),
  IF(LEN(AE111)=1,
  IF(LEN(INDEX(Roadmap!$D:$K,MATCH($E111,Roadmap!$D:$D,0)-1+COUNTIF($E111:AE111,"u")+COUNTIF($E111:AE111,"t")+COUNTIF($E111:AE111,"¶")+COUNTIF($E111:AE111,"²")+COUNTIF($E111:AE111,"µ")+COUNTIF($E111:AE111,1),ColDescriptionCourte))&gt;1,
HYPERLINK("#Roadmap!C"&amp; MATCH($E111,Roadmap!$D:$D,0)+COUNTIF($E111:AE111,"u")+COUNTIF($E111:AE111,"t")+COUNTIF($E111:AE111,"¶")+COUNTIF($E111:AE111,"²")+COUNTIF($E111:AE111,"µ")+COUNTIF($E111:AE111,1)-1,INDEX(Roadmap!$D:$K,MATCH($E111,Roadmap!$D:$D,0)-1+COUNTIF($E111:AE111,"u")+COUNTIF($E111:AE111,"t")+COUNTIF($E111:AE111,"¶")+COUNTIF($E111:AE111,"²")+COUNTIF($E111:AE111,"µ")+COUNTIF($E111:AE111,1),ColDescriptionCourte)),""),
  "")),"")</f>
        <v/>
      </c>
      <c r="AG111" s="40" t="str">
        <f ca="1">IFERROR(IF(AND(
  INDEX(Roadmap!$D:$K,MATCH($E111,Roadmap!$D:$D,0)+COUNTIF($E111:AF111,"u")+COUNTIF($E111:AF111,"t")+COUNTIF($E111:AF111,"¶")+COUNTIF($E111:AF111,"²")+COUNTIF($E111:AF111,"µ")+COUNTIF($E111:AF111,1),ColLivraison)=AG$6,
  VLOOKUP($E111,INDIRECT("tri!"&amp; CHAR(64+ C0Col) &amp;":"&amp; CHAR(65+C0Col)),2,FALSE)&gt;COUNTIF($E111:AF111,"u")+COUNTIF($E111:AF111,"t")+COUNTIF($E111:AF111,"¶")+COUNTIF($E111:AF111,"²")+COUNTIF($E111:AF111,"µ")+COUNTIF($E111:AF111,1)),
HYPERLINK("#Roadmap!C"&amp; MATCH($E111,Roadmap!$D:$D,0)+COUNTIF($E111:AF111,"u")+COUNTIF($E111:AF111,"t"),
     INDEX(Roadmap!$D:$K,MATCH($E111,Roadmap!$D:$D,0)+COUNTIF($E111:AF111,"u")+COUNTIF($E111:AF111,"t")+COUNTIF($E111:AF111,"¶")+COUNTIF($E111:AF111,"²")+COUNTIF($E111:AF111,"µ")+COUNTIF($E111:AF111,1),ColTypeEcheance)),
  IF(LEN(AF111)=1,
  IF(LEN(INDEX(Roadmap!$D:$K,MATCH($E111,Roadmap!$D:$D,0)-1+COUNTIF($E111:AF111,"u")+COUNTIF($E111:AF111,"t")+COUNTIF($E111:AF111,"¶")+COUNTIF($E111:AF111,"²")+COUNTIF($E111:AF111,"µ")+COUNTIF($E111:AF111,1),ColDescriptionCourte))&gt;1,
HYPERLINK("#Roadmap!C"&amp; MATCH($E111,Roadmap!$D:$D,0)+COUNTIF($E111:AF111,"u")+COUNTIF($E111:AF111,"t")+COUNTIF($E111:AF111,"¶")+COUNTIF($E111:AF111,"²")+COUNTIF($E111:AF111,"µ")+COUNTIF($E111:AF111,1)-1,INDEX(Roadmap!$D:$K,MATCH($E111,Roadmap!$D:$D,0)-1+COUNTIF($E111:AF111,"u")+COUNTIF($E111:AF111,"t")+COUNTIF($E111:AF111,"¶")+COUNTIF($E111:AF111,"²")+COUNTIF($E111:AF111,"µ")+COUNTIF($E111:AF111,1),ColDescriptionCourte)),""),
  "")),"")</f>
        <v/>
      </c>
    </row>
    <row r="112" spans="3:33" ht="14.25" customHeight="1">
      <c r="C112" s="1" t="str">
        <f t="shared" ca="1" si="49"/>
        <v/>
      </c>
      <c r="D112" s="1" t="str">
        <f t="shared" ca="1" si="50"/>
        <v/>
      </c>
      <c r="E112" s="35" t="str">
        <f t="shared" ca="1" si="46"/>
        <v/>
      </c>
      <c r="F112" s="39" t="str">
        <f ca="1">IFERROR(IF(AND(
  INDEX(Roadmap!$D:$K,MATCH($E112,Roadmap!$D:$D,0)+COUNTIF($E112:E112,"u")+COUNTIF($E112:E112,"t")+COUNTIF($E112:E112,"¶")+COUNTIF($E112:E112,"²")+COUNTIF($E112:E112,"µ")+COUNTIF($E112:E112,1),ColLivraison)=F$6,
  VLOOKUP($E112,INDIRECT("tri!"&amp; CHAR(64+ C0Col) &amp;":"&amp; CHAR(65+C0Col)),2,FALSE)&gt;COUNTIF($E112:E112,"u")+COUNTIF($E112:E112,"t")+COUNTIF($E112:E112,"¶")+COUNTIF($E112:E112,"²")+COUNTIF($E112:E112,"µ")+COUNTIF($E112:E112,1)),
HYPERLINK("#Roadmap!C"&amp; MATCH($E112,Roadmap!$D:$D,0)+COUNTIF($E112:E112,"u")+COUNTIF($E112:E112,"t"),
     INDEX(Roadmap!$D:$K,MATCH($E112,Roadmap!$D:$D,0)+COUNTIF($E112:E112,"u")+COUNTIF($E112:E112,"t")+COUNTIF($E112:E112,"¶")+COUNTIF($E112:E112,"²")+COUNTIF($E112:E112,"µ")+COUNTIF($E112:E112,1),ColTypeEcheance)),
  IF(LEN(E112)=1,
  IF(LEN(INDEX(Roadmap!$D:$K,MATCH($E112,Roadmap!$D:$D,0)-1+COUNTIF($E112:E112,"u")+COUNTIF($E112:E112,"t")+COUNTIF($E112:E112,"¶")+COUNTIF($E112:E112,"²")+COUNTIF($E112:E112,"µ")+COUNTIF($E112:E112,1),ColDescriptionCourte))&gt;1,
HYPERLINK("#Roadmap!C"&amp; MATCH($E112,Roadmap!$D:$D,0)+COUNTIF($E112:E112,"u")+COUNTIF($E112:E112,"t")+COUNTIF($E112:E112,"¶")+COUNTIF($E112:E112,"²")+COUNTIF($E112:E112,"µ")+COUNTIF($E112:E112,1)-1,INDEX(Roadmap!$D:$K,MATCH($E112,Roadmap!$D:$D,0)-1+COUNTIF($E112:E112,"u")+COUNTIF($E112:E112,"t")+COUNTIF($E112:E112,"¶")+COUNTIF($E112:E112,"²")+COUNTIF($E112:E112,"µ")+COUNTIF($E112:E112,1),ColDescriptionCourte)),""),
  "")),"")</f>
        <v/>
      </c>
      <c r="G112" s="40" t="str">
        <f ca="1">IFERROR(IF(AND(
  INDEX(Roadmap!$D:$K,MATCH($E112,Roadmap!$D:$D,0)+COUNTIF($E112:F112,"u")+COUNTIF($E112:F112,"t")+COUNTIF($E112:F112,"¶")+COUNTIF($E112:F112,"²")+COUNTIF($E112:F112,"µ")+COUNTIF($E112:F112,1),ColLivraison)=G$6,
  VLOOKUP($E112,INDIRECT("tri!"&amp; CHAR(64+ C0Col) &amp;":"&amp; CHAR(65+C0Col)),2,FALSE)&gt;COUNTIF($E112:F112,"u")+COUNTIF($E112:F112,"t")+COUNTIF($E112:F112,"¶")+COUNTIF($E112:F112,"²")+COUNTIF($E112:F112,"µ")+COUNTIF($E112:F112,1)),
HYPERLINK("#Roadmap!C"&amp; MATCH($E112,Roadmap!$D:$D,0)+COUNTIF($E112:F112,"u")+COUNTIF($E112:F112,"t"),
     INDEX(Roadmap!$D:$K,MATCH($E112,Roadmap!$D:$D,0)+COUNTIF($E112:F112,"u")+COUNTIF($E112:F112,"t")+COUNTIF($E112:F112,"¶")+COUNTIF($E112:F112,"²")+COUNTIF($E112:F112,"µ")+COUNTIF($E112:F112,1),ColTypeEcheance)),
  IF(LEN(F112)=1,
  IF(LEN(INDEX(Roadmap!$D:$K,MATCH($E112,Roadmap!$D:$D,0)-1+COUNTIF($E112:F112,"u")+COUNTIF($E112:F112,"t")+COUNTIF($E112:F112,"¶")+COUNTIF($E112:F112,"²")+COUNTIF($E112:F112,"µ")+COUNTIF($E112:F112,1),ColDescriptionCourte))&gt;1,
HYPERLINK("#Roadmap!C"&amp; MATCH($E112,Roadmap!$D:$D,0)+COUNTIF($E112:F112,"u")+COUNTIF($E112:F112,"t")+COUNTIF($E112:F112,"¶")+COUNTIF($E112:F112,"²")+COUNTIF($E112:F112,"µ")+COUNTIF($E112:F112,1)-1,INDEX(Roadmap!$D:$K,MATCH($E112,Roadmap!$D:$D,0)-1+COUNTIF($E112:F112,"u")+COUNTIF($E112:F112,"t")+COUNTIF($E112:F112,"¶")+COUNTIF($E112:F112,"²")+COUNTIF($E112:F112,"µ")+COUNTIF($E112:F112,1),ColDescriptionCourte)),""),
  "")),"")</f>
        <v/>
      </c>
      <c r="H112" s="40" t="str">
        <f ca="1">IFERROR(IF(AND(
  INDEX(Roadmap!$D:$K,MATCH($E112,Roadmap!$D:$D,0)+COUNTIF($E112:G112,"u")+COUNTIF($E112:G112,"t")+COUNTIF($E112:G112,"¶")+COUNTIF($E112:G112,"²")+COUNTIF($E112:G112,"µ")+COUNTIF($E112:G112,1),ColLivraison)=H$6,
  VLOOKUP($E112,INDIRECT("tri!"&amp; CHAR(64+ C0Col) &amp;":"&amp; CHAR(65+C0Col)),2,FALSE)&gt;COUNTIF($E112:G112,"u")+COUNTIF($E112:G112,"t")+COUNTIF($E112:G112,"¶")+COUNTIF($E112:G112,"²")+COUNTIF($E112:G112,"µ")+COUNTIF($E112:G112,1)),
HYPERLINK("#Roadmap!C"&amp; MATCH($E112,Roadmap!$D:$D,0)+COUNTIF($E112:G112,"u")+COUNTIF($E112:G112,"t"),
     INDEX(Roadmap!$D:$K,MATCH($E112,Roadmap!$D:$D,0)+COUNTIF($E112:G112,"u")+COUNTIF($E112:G112,"t")+COUNTIF($E112:G112,"¶")+COUNTIF($E112:G112,"²")+COUNTIF($E112:G112,"µ")+COUNTIF($E112:G112,1),ColTypeEcheance)),
  IF(LEN(G112)=1,
  IF(LEN(INDEX(Roadmap!$D:$K,MATCH($E112,Roadmap!$D:$D,0)-1+COUNTIF($E112:G112,"u")+COUNTIF($E112:G112,"t")+COUNTIF($E112:G112,"¶")+COUNTIF($E112:G112,"²")+COUNTIF($E112:G112,"µ")+COUNTIF($E112:G112,1),ColDescriptionCourte))&gt;1,
HYPERLINK("#Roadmap!C"&amp; MATCH($E112,Roadmap!$D:$D,0)+COUNTIF($E112:G112,"u")+COUNTIF($E112:G112,"t")+COUNTIF($E112:G112,"¶")+COUNTIF($E112:G112,"²")+COUNTIF($E112:G112,"µ")+COUNTIF($E112:G112,1)-1,INDEX(Roadmap!$D:$K,MATCH($E112,Roadmap!$D:$D,0)-1+COUNTIF($E112:G112,"u")+COUNTIF($E112:G112,"t")+COUNTIF($E112:G112,"¶")+COUNTIF($E112:G112,"²")+COUNTIF($E112:G112,"µ")+COUNTIF($E112:G112,1),ColDescriptionCourte)),""),
  "")),"")</f>
        <v/>
      </c>
      <c r="I112" s="40" t="str">
        <f ca="1">IFERROR(IF(AND(
  INDEX(Roadmap!$D:$K,MATCH($E112,Roadmap!$D:$D,0)+COUNTIF($E112:H112,"u")+COUNTIF($E112:H112,"t")+COUNTIF($E112:H112,"¶")+COUNTIF($E112:H112,"²")+COUNTIF($E112:H112,"µ")+COUNTIF($E112:H112,1),ColLivraison)=I$6,
  VLOOKUP($E112,INDIRECT("tri!"&amp; CHAR(64+ C0Col) &amp;":"&amp; CHAR(65+C0Col)),2,FALSE)&gt;COUNTIF($E112:H112,"u")+COUNTIF($E112:H112,"t")+COUNTIF($E112:H112,"¶")+COUNTIF($E112:H112,"²")+COUNTIF($E112:H112,"µ")+COUNTIF($E112:H112,1)),
HYPERLINK("#Roadmap!C"&amp; MATCH($E112,Roadmap!$D:$D,0)+COUNTIF($E112:H112,"u")+COUNTIF($E112:H112,"t"),
     INDEX(Roadmap!$D:$K,MATCH($E112,Roadmap!$D:$D,0)+COUNTIF($E112:H112,"u")+COUNTIF($E112:H112,"t")+COUNTIF($E112:H112,"¶")+COUNTIF($E112:H112,"²")+COUNTIF($E112:H112,"µ")+COUNTIF($E112:H112,1),ColTypeEcheance)),
  IF(LEN(H112)=1,
  IF(LEN(INDEX(Roadmap!$D:$K,MATCH($E112,Roadmap!$D:$D,0)-1+COUNTIF($E112:H112,"u")+COUNTIF($E112:H112,"t")+COUNTIF($E112:H112,"¶")+COUNTIF($E112:H112,"²")+COUNTIF($E112:H112,"µ")+COUNTIF($E112:H112,1),ColDescriptionCourte))&gt;1,
HYPERLINK("#Roadmap!C"&amp; MATCH($E112,Roadmap!$D:$D,0)+COUNTIF($E112:H112,"u")+COUNTIF($E112:H112,"t")+COUNTIF($E112:H112,"¶")+COUNTIF($E112:H112,"²")+COUNTIF($E112:H112,"µ")+COUNTIF($E112:H112,1)-1,INDEX(Roadmap!$D:$K,MATCH($E112,Roadmap!$D:$D,0)-1+COUNTIF($E112:H112,"u")+COUNTIF($E112:H112,"t")+COUNTIF($E112:H112,"¶")+COUNTIF($E112:H112,"²")+COUNTIF($E112:H112,"µ")+COUNTIF($E112:H112,1),ColDescriptionCourte)),""),
  "")),"")</f>
        <v/>
      </c>
      <c r="J112" s="40" t="str">
        <f ca="1">IFERROR(IF(AND(
  INDEX(Roadmap!$D:$K,MATCH($E112,Roadmap!$D:$D,0)+COUNTIF($E112:I112,"u")+COUNTIF($E112:I112,"t")+COUNTIF($E112:I112,"¶")+COUNTIF($E112:I112,"²")+COUNTIF($E112:I112,"µ")+COUNTIF($E112:I112,1),ColLivraison)=J$6,
  VLOOKUP($E112,INDIRECT("tri!"&amp; CHAR(64+ C0Col) &amp;":"&amp; CHAR(65+C0Col)),2,FALSE)&gt;COUNTIF($E112:I112,"u")+COUNTIF($E112:I112,"t")+COUNTIF($E112:I112,"¶")+COUNTIF($E112:I112,"²")+COUNTIF($E112:I112,"µ")+COUNTIF($E112:I112,1)),
HYPERLINK("#Roadmap!C"&amp; MATCH($E112,Roadmap!$D:$D,0)+COUNTIF($E112:I112,"u")+COUNTIF($E112:I112,"t"),
     INDEX(Roadmap!$D:$K,MATCH($E112,Roadmap!$D:$D,0)+COUNTIF($E112:I112,"u")+COUNTIF($E112:I112,"t")+COUNTIF($E112:I112,"¶")+COUNTIF($E112:I112,"²")+COUNTIF($E112:I112,"µ")+COUNTIF($E112:I112,1),ColTypeEcheance)),
  IF(LEN(I112)=1,
  IF(LEN(INDEX(Roadmap!$D:$K,MATCH($E112,Roadmap!$D:$D,0)-1+COUNTIF($E112:I112,"u")+COUNTIF($E112:I112,"t")+COUNTIF($E112:I112,"¶")+COUNTIF($E112:I112,"²")+COUNTIF($E112:I112,"µ")+COUNTIF($E112:I112,1),ColDescriptionCourte))&gt;1,
HYPERLINK("#Roadmap!C"&amp; MATCH($E112,Roadmap!$D:$D,0)+COUNTIF($E112:I112,"u")+COUNTIF($E112:I112,"t")+COUNTIF($E112:I112,"¶")+COUNTIF($E112:I112,"²")+COUNTIF($E112:I112,"µ")+COUNTIF($E112:I112,1)-1,INDEX(Roadmap!$D:$K,MATCH($E112,Roadmap!$D:$D,0)-1+COUNTIF($E112:I112,"u")+COUNTIF($E112:I112,"t")+COUNTIF($E112:I112,"¶")+COUNTIF($E112:I112,"²")+COUNTIF($E112:I112,"µ")+COUNTIF($E112:I112,1),ColDescriptionCourte)),""),
  "")),"")</f>
        <v/>
      </c>
      <c r="K112" s="40" t="str">
        <f ca="1">IFERROR(IF(AND(
  INDEX(Roadmap!$D:$K,MATCH($E112,Roadmap!$D:$D,0)+COUNTIF($E112:J112,"u")+COUNTIF($E112:J112,"t")+COUNTIF($E112:J112,"¶")+COUNTIF($E112:J112,"²")+COUNTIF($E112:J112,"µ")+COUNTIF($E112:J112,1),ColLivraison)=K$6,
  VLOOKUP($E112,INDIRECT("tri!"&amp; CHAR(64+ C0Col) &amp;":"&amp; CHAR(65+C0Col)),2,FALSE)&gt;COUNTIF($E112:J112,"u")+COUNTIF($E112:J112,"t")+COUNTIF($E112:J112,"¶")+COUNTIF($E112:J112,"²")+COUNTIF($E112:J112,"µ")+COUNTIF($E112:J112,1)),
HYPERLINK("#Roadmap!C"&amp; MATCH($E112,Roadmap!$D:$D,0)+COUNTIF($E112:J112,"u")+COUNTIF($E112:J112,"t"),
     INDEX(Roadmap!$D:$K,MATCH($E112,Roadmap!$D:$D,0)+COUNTIF($E112:J112,"u")+COUNTIF($E112:J112,"t")+COUNTIF($E112:J112,"¶")+COUNTIF($E112:J112,"²")+COUNTIF($E112:J112,"µ")+COUNTIF($E112:J112,1),ColTypeEcheance)),
  IF(LEN(J112)=1,
  IF(LEN(INDEX(Roadmap!$D:$K,MATCH($E112,Roadmap!$D:$D,0)-1+COUNTIF($E112:J112,"u")+COUNTIF($E112:J112,"t")+COUNTIF($E112:J112,"¶")+COUNTIF($E112:J112,"²")+COUNTIF($E112:J112,"µ")+COUNTIF($E112:J112,1),ColDescriptionCourte))&gt;1,
HYPERLINK("#Roadmap!C"&amp; MATCH($E112,Roadmap!$D:$D,0)+COUNTIF($E112:J112,"u")+COUNTIF($E112:J112,"t")+COUNTIF($E112:J112,"¶")+COUNTIF($E112:J112,"²")+COUNTIF($E112:J112,"µ")+COUNTIF($E112:J112,1)-1,INDEX(Roadmap!$D:$K,MATCH($E112,Roadmap!$D:$D,0)-1+COUNTIF($E112:J112,"u")+COUNTIF($E112:J112,"t")+COUNTIF($E112:J112,"¶")+COUNTIF($E112:J112,"²")+COUNTIF($E112:J112,"µ")+COUNTIF($E112:J112,1),ColDescriptionCourte)),""),
  "")),"")</f>
        <v/>
      </c>
      <c r="L112" s="39" t="str">
        <f ca="1">IFERROR(IF(AND(
  INDEX(Roadmap!$D:$K,MATCH($E112,Roadmap!$D:$D,0)+COUNTIF($E112:K112,"u")+COUNTIF($E112:K112,"t")+COUNTIF($E112:K112,"¶")+COUNTIF($E112:K112,"²")+COUNTIF($E112:K112,"µ")+COUNTIF($E112:K112,1),ColLivraison)=L$6,
  VLOOKUP($E112,INDIRECT("tri!"&amp; CHAR(64+ C0Col) &amp;":"&amp; CHAR(65+C0Col)),2,FALSE)&gt;COUNTIF($E112:K112,"u")+COUNTIF($E112:K112,"t")+COUNTIF($E112:K112,"¶")+COUNTIF($E112:K112,"²")+COUNTIF($E112:K112,"µ")+COUNTIF($E112:K112,1)),
HYPERLINK("#Roadmap!C"&amp; MATCH($E112,Roadmap!$D:$D,0)+COUNTIF($E112:K112,"u")+COUNTIF($E112:K112,"t"),
     INDEX(Roadmap!$D:$K,MATCH($E112,Roadmap!$D:$D,0)+COUNTIF($E112:K112,"u")+COUNTIF($E112:K112,"t")+COUNTIF($E112:K112,"¶")+COUNTIF($E112:K112,"²")+COUNTIF($E112:K112,"µ")+COUNTIF($E112:K112,1),ColTypeEcheance)),
  IF(LEN(K112)=1,
  IF(LEN(INDEX(Roadmap!$D:$K,MATCH($E112,Roadmap!$D:$D,0)-1+COUNTIF($E112:K112,"u")+COUNTIF($E112:K112,"t")+COUNTIF($E112:K112,"¶")+COUNTIF($E112:K112,"²")+COUNTIF($E112:K112,"µ")+COUNTIF($E112:K112,1),ColDescriptionCourte))&gt;1,
HYPERLINK("#Roadmap!C"&amp; MATCH($E112,Roadmap!$D:$D,0)+COUNTIF($E112:K112,"u")+COUNTIF($E112:K112,"t")+COUNTIF($E112:K112,"¶")+COUNTIF($E112:K112,"²")+COUNTIF($E112:K112,"µ")+COUNTIF($E112:K112,1)-1,INDEX(Roadmap!$D:$K,MATCH($E112,Roadmap!$D:$D,0)-1+COUNTIF($E112:K112,"u")+COUNTIF($E112:K112,"t")+COUNTIF($E112:K112,"¶")+COUNTIF($E112:K112,"²")+COUNTIF($E112:K112,"µ")+COUNTIF($E112:K112,1),ColDescriptionCourte)),""),
  "")),"")</f>
        <v/>
      </c>
      <c r="M112" s="40" t="str">
        <f ca="1">IFERROR(IF(AND(
  INDEX(Roadmap!$D:$K,MATCH($E112,Roadmap!$D:$D,0)+COUNTIF($E112:L112,"u")+COUNTIF($E112:L112,"t")+COUNTIF($E112:L112,"¶")+COUNTIF($E112:L112,"²")+COUNTIF($E112:L112,"µ")+COUNTIF($E112:L112,1),ColLivraison)=M$6,
  VLOOKUP($E112,INDIRECT("tri!"&amp; CHAR(64+ C0Col) &amp;":"&amp; CHAR(65+C0Col)),2,FALSE)&gt;COUNTIF($E112:L112,"u")+COUNTIF($E112:L112,"t")+COUNTIF($E112:L112,"¶")+COUNTIF($E112:L112,"²")+COUNTIF($E112:L112,"µ")+COUNTIF($E112:L112,1)),
HYPERLINK("#Roadmap!C"&amp; MATCH($E112,Roadmap!$D:$D,0)+COUNTIF($E112:L112,"u")+COUNTIF($E112:L112,"t"),
     INDEX(Roadmap!$D:$K,MATCH($E112,Roadmap!$D:$D,0)+COUNTIF($E112:L112,"u")+COUNTIF($E112:L112,"t")+COUNTIF($E112:L112,"¶")+COUNTIF($E112:L112,"²")+COUNTIF($E112:L112,"µ")+COUNTIF($E112:L112,1),ColTypeEcheance)),
  IF(LEN(L112)=1,
  IF(LEN(INDEX(Roadmap!$D:$K,MATCH($E112,Roadmap!$D:$D,0)-1+COUNTIF($E112:L112,"u")+COUNTIF($E112:L112,"t")+COUNTIF($E112:L112,"¶")+COUNTIF($E112:L112,"²")+COUNTIF($E112:L112,"µ")+COUNTIF($E112:L112,1),ColDescriptionCourte))&gt;1,
HYPERLINK("#Roadmap!C"&amp; MATCH($E112,Roadmap!$D:$D,0)+COUNTIF($E112:L112,"u")+COUNTIF($E112:L112,"t")+COUNTIF($E112:L112,"¶")+COUNTIF($E112:L112,"²")+COUNTIF($E112:L112,"µ")+COUNTIF($E112:L112,1)-1,INDEX(Roadmap!$D:$K,MATCH($E112,Roadmap!$D:$D,0)-1+COUNTIF($E112:L112,"u")+COUNTIF($E112:L112,"t")+COUNTIF($E112:L112,"¶")+COUNTIF($E112:L112,"²")+COUNTIF($E112:L112,"µ")+COUNTIF($E112:L112,1),ColDescriptionCourte)),""),
  "")),"")</f>
        <v/>
      </c>
      <c r="N112" s="40" t="str">
        <f ca="1">IFERROR(IF(AND(
  INDEX(Roadmap!$D:$K,MATCH($E112,Roadmap!$D:$D,0)+COUNTIF($E112:M112,"u")+COUNTIF($E112:M112,"t")+COUNTIF($E112:M112,"¶")+COUNTIF($E112:M112,"²")+COUNTIF($E112:M112,"µ")+COUNTIF($E112:M112,1),ColLivraison)=N$6,
  VLOOKUP($E112,INDIRECT("tri!"&amp; CHAR(64+ C0Col) &amp;":"&amp; CHAR(65+C0Col)),2,FALSE)&gt;COUNTIF($E112:M112,"u")+COUNTIF($E112:M112,"t")+COUNTIF($E112:M112,"¶")+COUNTIF($E112:M112,"²")+COUNTIF($E112:M112,"µ")+COUNTIF($E112:M112,1)),
HYPERLINK("#Roadmap!C"&amp; MATCH($E112,Roadmap!$D:$D,0)+COUNTIF($E112:M112,"u")+COUNTIF($E112:M112,"t"),
     INDEX(Roadmap!$D:$K,MATCH($E112,Roadmap!$D:$D,0)+COUNTIF($E112:M112,"u")+COUNTIF($E112:M112,"t")+COUNTIF($E112:M112,"¶")+COUNTIF($E112:M112,"²")+COUNTIF($E112:M112,"µ")+COUNTIF($E112:M112,1),ColTypeEcheance)),
  IF(LEN(M112)=1,
  IF(LEN(INDEX(Roadmap!$D:$K,MATCH($E112,Roadmap!$D:$D,0)-1+COUNTIF($E112:M112,"u")+COUNTIF($E112:M112,"t")+COUNTIF($E112:M112,"¶")+COUNTIF($E112:M112,"²")+COUNTIF($E112:M112,"µ")+COUNTIF($E112:M112,1),ColDescriptionCourte))&gt;1,
HYPERLINK("#Roadmap!C"&amp; MATCH($E112,Roadmap!$D:$D,0)+COUNTIF($E112:M112,"u")+COUNTIF($E112:M112,"t")+COUNTIF($E112:M112,"¶")+COUNTIF($E112:M112,"²")+COUNTIF($E112:M112,"µ")+COUNTIF($E112:M112,1)-1,INDEX(Roadmap!$D:$K,MATCH($E112,Roadmap!$D:$D,0)-1+COUNTIF($E112:M112,"u")+COUNTIF($E112:M112,"t")+COUNTIF($E112:M112,"¶")+COUNTIF($E112:M112,"²")+COUNTIF($E112:M112,"µ")+COUNTIF($E112:M112,1),ColDescriptionCourte)),""),
  "")),"")</f>
        <v/>
      </c>
      <c r="O112" s="40" t="str">
        <f ca="1">IFERROR(IF(AND(
  INDEX(Roadmap!$D:$K,MATCH($E112,Roadmap!$D:$D,0)+COUNTIF($E112:N112,"u")+COUNTIF($E112:N112,"t")+COUNTIF($E112:N112,"¶")+COUNTIF($E112:N112,"²")+COUNTIF($E112:N112,"µ")+COUNTIF($E112:N112,1),ColLivraison)=O$6,
  VLOOKUP($E112,INDIRECT("tri!"&amp; CHAR(64+ C0Col) &amp;":"&amp; CHAR(65+C0Col)),2,FALSE)&gt;COUNTIF($E112:N112,"u")+COUNTIF($E112:N112,"t")+COUNTIF($E112:N112,"¶")+COUNTIF($E112:N112,"²")+COUNTIF($E112:N112,"µ")+COUNTIF($E112:N112,1)),
HYPERLINK("#Roadmap!C"&amp; MATCH($E112,Roadmap!$D:$D,0)+COUNTIF($E112:N112,"u")+COUNTIF($E112:N112,"t"),
     INDEX(Roadmap!$D:$K,MATCH($E112,Roadmap!$D:$D,0)+COUNTIF($E112:N112,"u")+COUNTIF($E112:N112,"t")+COUNTIF($E112:N112,"¶")+COUNTIF($E112:N112,"²")+COUNTIF($E112:N112,"µ")+COUNTIF($E112:N112,1),ColTypeEcheance)),
  IF(LEN(N112)=1,
  IF(LEN(INDEX(Roadmap!$D:$K,MATCH($E112,Roadmap!$D:$D,0)-1+COUNTIF($E112:N112,"u")+COUNTIF($E112:N112,"t")+COUNTIF($E112:N112,"¶")+COUNTIF($E112:N112,"²")+COUNTIF($E112:N112,"µ")+COUNTIF($E112:N112,1),ColDescriptionCourte))&gt;1,
HYPERLINK("#Roadmap!C"&amp; MATCH($E112,Roadmap!$D:$D,0)+COUNTIF($E112:N112,"u")+COUNTIF($E112:N112,"t")+COUNTIF($E112:N112,"¶")+COUNTIF($E112:N112,"²")+COUNTIF($E112:N112,"µ")+COUNTIF($E112:N112,1)-1,INDEX(Roadmap!$D:$K,MATCH($E112,Roadmap!$D:$D,0)-1+COUNTIF($E112:N112,"u")+COUNTIF($E112:N112,"t")+COUNTIF($E112:N112,"¶")+COUNTIF($E112:N112,"²")+COUNTIF($E112:N112,"µ")+COUNTIF($E112:N112,1),ColDescriptionCourte)),""),
  "")),"")</f>
        <v/>
      </c>
      <c r="P112" s="40" t="str">
        <f ca="1">IFERROR(IF(AND(
  INDEX(Roadmap!$D:$K,MATCH($E112,Roadmap!$D:$D,0)+COUNTIF($E112:O112,"u")+COUNTIF($E112:O112,"t")+COUNTIF($E112:O112,"¶")+COUNTIF($E112:O112,"²")+COUNTIF($E112:O112,"µ")+COUNTIF($E112:O112,1),ColLivraison)=P$6,
  VLOOKUP($E112,INDIRECT("tri!"&amp; CHAR(64+ C0Col) &amp;":"&amp; CHAR(65+C0Col)),2,FALSE)&gt;COUNTIF($E112:O112,"u")+COUNTIF($E112:O112,"t")+COUNTIF($E112:O112,"¶")+COUNTIF($E112:O112,"²")+COUNTIF($E112:O112,"µ")+COUNTIF($E112:O112,1)),
HYPERLINK("#Roadmap!C"&amp; MATCH($E112,Roadmap!$D:$D,0)+COUNTIF($E112:O112,"u")+COUNTIF($E112:O112,"t"),
     INDEX(Roadmap!$D:$K,MATCH($E112,Roadmap!$D:$D,0)+COUNTIF($E112:O112,"u")+COUNTIF($E112:O112,"t")+COUNTIF($E112:O112,"¶")+COUNTIF($E112:O112,"²")+COUNTIF($E112:O112,"µ")+COUNTIF($E112:O112,1),ColTypeEcheance)),
  IF(LEN(O112)=1,
  IF(LEN(INDEX(Roadmap!$D:$K,MATCH($E112,Roadmap!$D:$D,0)-1+COUNTIF($E112:O112,"u")+COUNTIF($E112:O112,"t")+COUNTIF($E112:O112,"¶")+COUNTIF($E112:O112,"²")+COUNTIF($E112:O112,"µ")+COUNTIF($E112:O112,1),ColDescriptionCourte))&gt;1,
HYPERLINK("#Roadmap!C"&amp; MATCH($E112,Roadmap!$D:$D,0)+COUNTIF($E112:O112,"u")+COUNTIF($E112:O112,"t")+COUNTIF($E112:O112,"¶")+COUNTIF($E112:O112,"²")+COUNTIF($E112:O112,"µ")+COUNTIF($E112:O112,1)-1,INDEX(Roadmap!$D:$K,MATCH($E112,Roadmap!$D:$D,0)-1+COUNTIF($E112:O112,"u")+COUNTIF($E112:O112,"t")+COUNTIF($E112:O112,"¶")+COUNTIF($E112:O112,"²")+COUNTIF($E112:O112,"µ")+COUNTIF($E112:O112,1),ColDescriptionCourte)),""),
  "")),"")</f>
        <v/>
      </c>
      <c r="Q112" s="40" t="str">
        <f ca="1">IFERROR(IF(AND(
  INDEX(Roadmap!$D:$K,MATCH($E112,Roadmap!$D:$D,0)+COUNTIF($E112:P112,"u")+COUNTIF($E112:P112,"t")+COUNTIF($E112:P112,"¶")+COUNTIF($E112:P112,"²")+COUNTIF($E112:P112,"µ")+COUNTIF($E112:P112,1),ColLivraison)=Q$6,
  VLOOKUP($E112,INDIRECT("tri!"&amp; CHAR(64+ C0Col) &amp;":"&amp; CHAR(65+C0Col)),2,FALSE)&gt;COUNTIF($E112:P112,"u")+COUNTIF($E112:P112,"t")+COUNTIF($E112:P112,"¶")+COUNTIF($E112:P112,"²")+COUNTIF($E112:P112,"µ")+COUNTIF($E112:P112,1)),
HYPERLINK("#Roadmap!C"&amp; MATCH($E112,Roadmap!$D:$D,0)+COUNTIF($E112:P112,"u")+COUNTIF($E112:P112,"t"),
     INDEX(Roadmap!$D:$K,MATCH($E112,Roadmap!$D:$D,0)+COUNTIF($E112:P112,"u")+COUNTIF($E112:P112,"t")+COUNTIF($E112:P112,"¶")+COUNTIF($E112:P112,"²")+COUNTIF($E112:P112,"µ")+COUNTIF($E112:P112,1),ColTypeEcheance)),
  IF(LEN(P112)=1,
  IF(LEN(INDEX(Roadmap!$D:$K,MATCH($E112,Roadmap!$D:$D,0)-1+COUNTIF($E112:P112,"u")+COUNTIF($E112:P112,"t")+COUNTIF($E112:P112,"¶")+COUNTIF($E112:P112,"²")+COUNTIF($E112:P112,"µ")+COUNTIF($E112:P112,1),ColDescriptionCourte))&gt;1,
HYPERLINK("#Roadmap!C"&amp; MATCH($E112,Roadmap!$D:$D,0)+COUNTIF($E112:P112,"u")+COUNTIF($E112:P112,"t")+COUNTIF($E112:P112,"¶")+COUNTIF($E112:P112,"²")+COUNTIF($E112:P112,"µ")+COUNTIF($E112:P112,1)-1,INDEX(Roadmap!$D:$K,MATCH($E112,Roadmap!$D:$D,0)-1+COUNTIF($E112:P112,"u")+COUNTIF($E112:P112,"t")+COUNTIF($E112:P112,"¶")+COUNTIF($E112:P112,"²")+COUNTIF($E112:P112,"µ")+COUNTIF($E112:P112,1),ColDescriptionCourte)),""),
  "")),"")</f>
        <v/>
      </c>
      <c r="R112" s="40" t="str">
        <f ca="1">IFERROR(IF(AND(
  INDEX(Roadmap!$D:$K,MATCH($E112,Roadmap!$D:$D,0)+COUNTIF($E112:Q112,"u")+COUNTIF($E112:Q112,"t")+COUNTIF($E112:Q112,"¶")+COUNTIF($E112:Q112,"²")+COUNTIF($E112:Q112,"µ")+COUNTIF($E112:Q112,1),ColLivraison)=R$6,
  VLOOKUP($E112,INDIRECT("tri!"&amp; CHAR(64+ C0Col) &amp;":"&amp; CHAR(65+C0Col)),2,FALSE)&gt;COUNTIF($E112:Q112,"u")+COUNTIF($E112:Q112,"t")+COUNTIF($E112:Q112,"¶")+COUNTIF($E112:Q112,"²")+COUNTIF($E112:Q112,"µ")+COUNTIF($E112:Q112,1)),
HYPERLINK("#Roadmap!C"&amp; MATCH($E112,Roadmap!$D:$D,0)+COUNTIF($E112:Q112,"u")+COUNTIF($E112:Q112,"t"),
     INDEX(Roadmap!$D:$K,MATCH($E112,Roadmap!$D:$D,0)+COUNTIF($E112:Q112,"u")+COUNTIF($E112:Q112,"t")+COUNTIF($E112:Q112,"¶")+COUNTIF($E112:Q112,"²")+COUNTIF($E112:Q112,"µ")+COUNTIF($E112:Q112,1),ColTypeEcheance)),
  IF(LEN(Q112)=1,
  IF(LEN(INDEX(Roadmap!$D:$K,MATCH($E112,Roadmap!$D:$D,0)-1+COUNTIF($E112:Q112,"u")+COUNTIF($E112:Q112,"t")+COUNTIF($E112:Q112,"¶")+COUNTIF($E112:Q112,"²")+COUNTIF($E112:Q112,"µ")+COUNTIF($E112:Q112,1),ColDescriptionCourte))&gt;1,
HYPERLINK("#Roadmap!C"&amp; MATCH($E112,Roadmap!$D:$D,0)+COUNTIF($E112:Q112,"u")+COUNTIF($E112:Q112,"t")+COUNTIF($E112:Q112,"¶")+COUNTIF($E112:Q112,"²")+COUNTIF($E112:Q112,"µ")+COUNTIF($E112:Q112,1)-1,INDEX(Roadmap!$D:$K,MATCH($E112,Roadmap!$D:$D,0)-1+COUNTIF($E112:Q112,"u")+COUNTIF($E112:Q112,"t")+COUNTIF($E112:Q112,"¶")+COUNTIF($E112:Q112,"²")+COUNTIF($E112:Q112,"µ")+COUNTIF($E112:Q112,1),ColDescriptionCourte)),""),
  "")),"")</f>
        <v/>
      </c>
      <c r="S112" s="40" t="str">
        <f ca="1">IFERROR(IF(AND(
  INDEX(Roadmap!$D:$K,MATCH($E112,Roadmap!$D:$D,0)+COUNTIF($E112:R112,"u")+COUNTIF($E112:R112,"t")+COUNTIF($E112:R112,"¶")+COUNTIF($E112:R112,"²")+COUNTIF($E112:R112,"µ")+COUNTIF($E112:R112,1),ColLivraison)=S$6,
  VLOOKUP($E112,INDIRECT("tri!"&amp; CHAR(64+ C0Col) &amp;":"&amp; CHAR(65+C0Col)),2,FALSE)&gt;COUNTIF($E112:R112,"u")+COUNTIF($E112:R112,"t")+COUNTIF($E112:R112,"¶")+COUNTIF($E112:R112,"²")+COUNTIF($E112:R112,"µ")+COUNTIF($E112:R112,1)),
HYPERLINK("#Roadmap!C"&amp; MATCH($E112,Roadmap!$D:$D,0)+COUNTIF($E112:R112,"u")+COUNTIF($E112:R112,"t"),
     INDEX(Roadmap!$D:$K,MATCH($E112,Roadmap!$D:$D,0)+COUNTIF($E112:R112,"u")+COUNTIF($E112:R112,"t")+COUNTIF($E112:R112,"¶")+COUNTIF($E112:R112,"²")+COUNTIF($E112:R112,"µ")+COUNTIF($E112:R112,1),ColTypeEcheance)),
  IF(LEN(R112)=1,
  IF(LEN(INDEX(Roadmap!$D:$K,MATCH($E112,Roadmap!$D:$D,0)-1+COUNTIF($E112:R112,"u")+COUNTIF($E112:R112,"t")+COUNTIF($E112:R112,"¶")+COUNTIF($E112:R112,"²")+COUNTIF($E112:R112,"µ")+COUNTIF($E112:R112,1),ColDescriptionCourte))&gt;1,
HYPERLINK("#Roadmap!C"&amp; MATCH($E112,Roadmap!$D:$D,0)+COUNTIF($E112:R112,"u")+COUNTIF($E112:R112,"t")+COUNTIF($E112:R112,"¶")+COUNTIF($E112:R112,"²")+COUNTIF($E112:R112,"µ")+COUNTIF($E112:R112,1)-1,INDEX(Roadmap!$D:$K,MATCH($E112,Roadmap!$D:$D,0)-1+COUNTIF($E112:R112,"u")+COUNTIF($E112:R112,"t")+COUNTIF($E112:R112,"¶")+COUNTIF($E112:R112,"²")+COUNTIF($E112:R112,"µ")+COUNTIF($E112:R112,1),ColDescriptionCourte)),""),
  "")),"")</f>
        <v/>
      </c>
      <c r="T112" s="40" t="str">
        <f ca="1">IFERROR(IF(AND(
  INDEX(Roadmap!$D:$K,MATCH($E112,Roadmap!$D:$D,0)+COUNTIF($E112:S112,"u")+COUNTIF($E112:S112,"t")+COUNTIF($E112:S112,"¶")+COUNTIF($E112:S112,"²")+COUNTIF($E112:S112,"µ")+COUNTIF($E112:S112,1),ColLivraison)=T$6,
  VLOOKUP($E112,INDIRECT("tri!"&amp; CHAR(64+ C0Col) &amp;":"&amp; CHAR(65+C0Col)),2,FALSE)&gt;COUNTIF($E112:S112,"u")+COUNTIF($E112:S112,"t")+COUNTIF($E112:S112,"¶")+COUNTIF($E112:S112,"²")+COUNTIF($E112:S112,"µ")+COUNTIF($E112:S112,1)),
HYPERLINK("#Roadmap!C"&amp; MATCH($E112,Roadmap!$D:$D,0)+COUNTIF($E112:S112,"u")+COUNTIF($E112:S112,"t"),
     INDEX(Roadmap!$D:$K,MATCH($E112,Roadmap!$D:$D,0)+COUNTIF($E112:S112,"u")+COUNTIF($E112:S112,"t")+COUNTIF($E112:S112,"¶")+COUNTIF($E112:S112,"²")+COUNTIF($E112:S112,"µ")+COUNTIF($E112:S112,1),ColTypeEcheance)),
  IF(LEN(S112)=1,
  IF(LEN(INDEX(Roadmap!$D:$K,MATCH($E112,Roadmap!$D:$D,0)-1+COUNTIF($E112:S112,"u")+COUNTIF($E112:S112,"t")+COUNTIF($E112:S112,"¶")+COUNTIF($E112:S112,"²")+COUNTIF($E112:S112,"µ")+COUNTIF($E112:S112,1),ColDescriptionCourte))&gt;1,
HYPERLINK("#Roadmap!C"&amp; MATCH($E112,Roadmap!$D:$D,0)+COUNTIF($E112:S112,"u")+COUNTIF($E112:S112,"t")+COUNTIF($E112:S112,"¶")+COUNTIF($E112:S112,"²")+COUNTIF($E112:S112,"µ")+COUNTIF($E112:S112,1)-1,INDEX(Roadmap!$D:$K,MATCH($E112,Roadmap!$D:$D,0)-1+COUNTIF($E112:S112,"u")+COUNTIF($E112:S112,"t")+COUNTIF($E112:S112,"¶")+COUNTIF($E112:S112,"²")+COUNTIF($E112:S112,"µ")+COUNTIF($E112:S112,1),ColDescriptionCourte)),""),
  "")),"")</f>
        <v/>
      </c>
      <c r="U112" s="40" t="str">
        <f ca="1">IFERROR(IF(AND(
  INDEX(Roadmap!$D:$K,MATCH($E112,Roadmap!$D:$D,0)+COUNTIF($E112:T112,"u")+COUNTIF($E112:T112,"t")+COUNTIF($E112:T112,"¶")+COUNTIF($E112:T112,"²")+COUNTIF($E112:T112,"µ")+COUNTIF($E112:T112,1),ColLivraison)=U$6,
  VLOOKUP($E112,INDIRECT("tri!"&amp; CHAR(64+ C0Col) &amp;":"&amp; CHAR(65+C0Col)),2,FALSE)&gt;COUNTIF($E112:T112,"u")+COUNTIF($E112:T112,"t")+COUNTIF($E112:T112,"¶")+COUNTIF($E112:T112,"²")+COUNTIF($E112:T112,"µ")+COUNTIF($E112:T112,1)),
HYPERLINK("#Roadmap!C"&amp; MATCH($E112,Roadmap!$D:$D,0)+COUNTIF($E112:T112,"u")+COUNTIF($E112:T112,"t"),
     INDEX(Roadmap!$D:$K,MATCH($E112,Roadmap!$D:$D,0)+COUNTIF($E112:T112,"u")+COUNTIF($E112:T112,"t")+COUNTIF($E112:T112,"¶")+COUNTIF($E112:T112,"²")+COUNTIF($E112:T112,"µ")+COUNTIF($E112:T112,1),ColTypeEcheance)),
  IF(LEN(T112)=1,
  IF(LEN(INDEX(Roadmap!$D:$K,MATCH($E112,Roadmap!$D:$D,0)-1+COUNTIF($E112:T112,"u")+COUNTIF($E112:T112,"t")+COUNTIF($E112:T112,"¶")+COUNTIF($E112:T112,"²")+COUNTIF($E112:T112,"µ")+COUNTIF($E112:T112,1),ColDescriptionCourte))&gt;1,
HYPERLINK("#Roadmap!C"&amp; MATCH($E112,Roadmap!$D:$D,0)+COUNTIF($E112:T112,"u")+COUNTIF($E112:T112,"t")+COUNTIF($E112:T112,"¶")+COUNTIF($E112:T112,"²")+COUNTIF($E112:T112,"µ")+COUNTIF($E112:T112,1)-1,INDEX(Roadmap!$D:$K,MATCH($E112,Roadmap!$D:$D,0)-1+COUNTIF($E112:T112,"u")+COUNTIF($E112:T112,"t")+COUNTIF($E112:T112,"¶")+COUNTIF($E112:T112,"²")+COUNTIF($E112:T112,"µ")+COUNTIF($E112:T112,1),ColDescriptionCourte)),""),
  "")),"")</f>
        <v/>
      </c>
      <c r="V112" s="40" t="str">
        <f ca="1">IFERROR(IF(AND(
  INDEX(Roadmap!$D:$K,MATCH($E112,Roadmap!$D:$D,0)+COUNTIF($E112:U112,"u")+COUNTIF($E112:U112,"t")+COUNTIF($E112:U112,"¶")+COUNTIF($E112:U112,"²")+COUNTIF($E112:U112,"µ")+COUNTIF($E112:U112,1),ColLivraison)=V$6,
  VLOOKUP($E112,INDIRECT("tri!"&amp; CHAR(64+ C0Col) &amp;":"&amp; CHAR(65+C0Col)),2,FALSE)&gt;COUNTIF($E112:U112,"u")+COUNTIF($E112:U112,"t")+COUNTIF($E112:U112,"¶")+COUNTIF($E112:U112,"²")+COUNTIF($E112:U112,"µ")+COUNTIF($E112:U112,1)),
HYPERLINK("#Roadmap!C"&amp; MATCH($E112,Roadmap!$D:$D,0)+COUNTIF($E112:U112,"u")+COUNTIF($E112:U112,"t"),
     INDEX(Roadmap!$D:$K,MATCH($E112,Roadmap!$D:$D,0)+COUNTIF($E112:U112,"u")+COUNTIF($E112:U112,"t")+COUNTIF($E112:U112,"¶")+COUNTIF($E112:U112,"²")+COUNTIF($E112:U112,"µ")+COUNTIF($E112:U112,1),ColTypeEcheance)),
  IF(LEN(U112)=1,
  IF(LEN(INDEX(Roadmap!$D:$K,MATCH($E112,Roadmap!$D:$D,0)-1+COUNTIF($E112:U112,"u")+COUNTIF($E112:U112,"t")+COUNTIF($E112:U112,"¶")+COUNTIF($E112:U112,"²")+COUNTIF($E112:U112,"µ")+COUNTIF($E112:U112,1),ColDescriptionCourte))&gt;1,
HYPERLINK("#Roadmap!C"&amp; MATCH($E112,Roadmap!$D:$D,0)+COUNTIF($E112:U112,"u")+COUNTIF($E112:U112,"t")+COUNTIF($E112:U112,"¶")+COUNTIF($E112:U112,"²")+COUNTIF($E112:U112,"µ")+COUNTIF($E112:U112,1)-1,INDEX(Roadmap!$D:$K,MATCH($E112,Roadmap!$D:$D,0)-1+COUNTIF($E112:U112,"u")+COUNTIF($E112:U112,"t")+COUNTIF($E112:U112,"¶")+COUNTIF($E112:U112,"²")+COUNTIF($E112:U112,"µ")+COUNTIF($E112:U112,1),ColDescriptionCourte)),""),
  "")),"")</f>
        <v/>
      </c>
      <c r="W112" s="40" t="str">
        <f ca="1">IFERROR(IF(AND(
  INDEX(Roadmap!$D:$K,MATCH($E112,Roadmap!$D:$D,0)+COUNTIF($E112:V112,"u")+COUNTIF($E112:V112,"t")+COUNTIF($E112:V112,"¶")+COUNTIF($E112:V112,"²")+COUNTIF($E112:V112,"µ")+COUNTIF($E112:V112,1),ColLivraison)=W$6,
  VLOOKUP($E112,INDIRECT("tri!"&amp; CHAR(64+ C0Col) &amp;":"&amp; CHAR(65+C0Col)),2,FALSE)&gt;COUNTIF($E112:V112,"u")+COUNTIF($E112:V112,"t")+COUNTIF($E112:V112,"¶")+COUNTIF($E112:V112,"²")+COUNTIF($E112:V112,"µ")+COUNTIF($E112:V112,1)),
HYPERLINK("#Roadmap!C"&amp; MATCH($E112,Roadmap!$D:$D,0)+COUNTIF($E112:V112,"u")+COUNTIF($E112:V112,"t"),
     INDEX(Roadmap!$D:$K,MATCH($E112,Roadmap!$D:$D,0)+COUNTIF($E112:V112,"u")+COUNTIF($E112:V112,"t")+COUNTIF($E112:V112,"¶")+COUNTIF($E112:V112,"²")+COUNTIF($E112:V112,"µ")+COUNTIF($E112:V112,1),ColTypeEcheance)),
  IF(LEN(V112)=1,
  IF(LEN(INDEX(Roadmap!$D:$K,MATCH($E112,Roadmap!$D:$D,0)-1+COUNTIF($E112:V112,"u")+COUNTIF($E112:V112,"t")+COUNTIF($E112:V112,"¶")+COUNTIF($E112:V112,"²")+COUNTIF($E112:V112,"µ")+COUNTIF($E112:V112,1),ColDescriptionCourte))&gt;1,
HYPERLINK("#Roadmap!C"&amp; MATCH($E112,Roadmap!$D:$D,0)+COUNTIF($E112:V112,"u")+COUNTIF($E112:V112,"t")+COUNTIF($E112:V112,"¶")+COUNTIF($E112:V112,"²")+COUNTIF($E112:V112,"µ")+COUNTIF($E112:V112,1)-1,INDEX(Roadmap!$D:$K,MATCH($E112,Roadmap!$D:$D,0)-1+COUNTIF($E112:V112,"u")+COUNTIF($E112:V112,"t")+COUNTIF($E112:V112,"¶")+COUNTIF($E112:V112,"²")+COUNTIF($E112:V112,"µ")+COUNTIF($E112:V112,1),ColDescriptionCourte)),""),
  "")),"")</f>
        <v/>
      </c>
      <c r="X112" s="40" t="str">
        <f ca="1">IFERROR(IF(AND(
  INDEX(Roadmap!$D:$K,MATCH($E112,Roadmap!$D:$D,0)+COUNTIF($E112:W112,"u")+COUNTIF($E112:W112,"t")+COUNTIF($E112:W112,"¶")+COUNTIF($E112:W112,"²")+COUNTIF($E112:W112,"µ")+COUNTIF($E112:W112,1),ColLivraison)=X$6,
  VLOOKUP($E112,INDIRECT("tri!"&amp; CHAR(64+ C0Col) &amp;":"&amp; CHAR(65+C0Col)),2,FALSE)&gt;COUNTIF($E112:W112,"u")+COUNTIF($E112:W112,"t")+COUNTIF($E112:W112,"¶")+COUNTIF($E112:W112,"²")+COUNTIF($E112:W112,"µ")+COUNTIF($E112:W112,1)),
HYPERLINK("#Roadmap!C"&amp; MATCH($E112,Roadmap!$D:$D,0)+COUNTIF($E112:W112,"u")+COUNTIF($E112:W112,"t"),
     INDEX(Roadmap!$D:$K,MATCH($E112,Roadmap!$D:$D,0)+COUNTIF($E112:W112,"u")+COUNTIF($E112:W112,"t")+COUNTIF($E112:W112,"¶")+COUNTIF($E112:W112,"²")+COUNTIF($E112:W112,"µ")+COUNTIF($E112:W112,1),ColTypeEcheance)),
  IF(LEN(W112)=1,
  IF(LEN(INDEX(Roadmap!$D:$K,MATCH($E112,Roadmap!$D:$D,0)-1+COUNTIF($E112:W112,"u")+COUNTIF($E112:W112,"t")+COUNTIF($E112:W112,"¶")+COUNTIF($E112:W112,"²")+COUNTIF($E112:W112,"µ")+COUNTIF($E112:W112,1),ColDescriptionCourte))&gt;1,
HYPERLINK("#Roadmap!C"&amp; MATCH($E112,Roadmap!$D:$D,0)+COUNTIF($E112:W112,"u")+COUNTIF($E112:W112,"t")+COUNTIF($E112:W112,"¶")+COUNTIF($E112:W112,"²")+COUNTIF($E112:W112,"µ")+COUNTIF($E112:W112,1)-1,INDEX(Roadmap!$D:$K,MATCH($E112,Roadmap!$D:$D,0)-1+COUNTIF($E112:W112,"u")+COUNTIF($E112:W112,"t")+COUNTIF($E112:W112,"¶")+COUNTIF($E112:W112,"²")+COUNTIF($E112:W112,"µ")+COUNTIF($E112:W112,1),ColDescriptionCourte)),""),
  "")),"")</f>
        <v/>
      </c>
      <c r="Y112" s="40" t="str">
        <f ca="1">IFERROR(IF(AND(
  INDEX(Roadmap!$D:$K,MATCH($E112,Roadmap!$D:$D,0)+COUNTIF($E112:X112,"u")+COUNTIF($E112:X112,"t")+COUNTIF($E112:X112,"¶")+COUNTIF($E112:X112,"²")+COUNTIF($E112:X112,"µ")+COUNTIF($E112:X112,1),ColLivraison)=Y$6,
  VLOOKUP($E112,INDIRECT("tri!"&amp; CHAR(64+ C0Col) &amp;":"&amp; CHAR(65+C0Col)),2,FALSE)&gt;COUNTIF($E112:X112,"u")+COUNTIF($E112:X112,"t")+COUNTIF($E112:X112,"¶")+COUNTIF($E112:X112,"²")+COUNTIF($E112:X112,"µ")+COUNTIF($E112:X112,1)),
HYPERLINK("#Roadmap!C"&amp; MATCH($E112,Roadmap!$D:$D,0)+COUNTIF($E112:X112,"u")+COUNTIF($E112:X112,"t"),
     INDEX(Roadmap!$D:$K,MATCH($E112,Roadmap!$D:$D,0)+COUNTIF($E112:X112,"u")+COUNTIF($E112:X112,"t")+COUNTIF($E112:X112,"¶")+COUNTIF($E112:X112,"²")+COUNTIF($E112:X112,"µ")+COUNTIF($E112:X112,1),ColTypeEcheance)),
  IF(LEN(X112)=1,
  IF(LEN(INDEX(Roadmap!$D:$K,MATCH($E112,Roadmap!$D:$D,0)-1+COUNTIF($E112:X112,"u")+COUNTIF($E112:X112,"t")+COUNTIF($E112:X112,"¶")+COUNTIF($E112:X112,"²")+COUNTIF($E112:X112,"µ")+COUNTIF($E112:X112,1),ColDescriptionCourte))&gt;1,
HYPERLINK("#Roadmap!C"&amp; MATCH($E112,Roadmap!$D:$D,0)+COUNTIF($E112:X112,"u")+COUNTIF($E112:X112,"t")+COUNTIF($E112:X112,"¶")+COUNTIF($E112:X112,"²")+COUNTIF($E112:X112,"µ")+COUNTIF($E112:X112,1)-1,INDEX(Roadmap!$D:$K,MATCH($E112,Roadmap!$D:$D,0)-1+COUNTIF($E112:X112,"u")+COUNTIF($E112:X112,"t")+COUNTIF($E112:X112,"¶")+COUNTIF($E112:X112,"²")+COUNTIF($E112:X112,"µ")+COUNTIF($E112:X112,1),ColDescriptionCourte)),""),
  "")),"")</f>
        <v/>
      </c>
      <c r="Z112" s="40" t="str">
        <f ca="1">IFERROR(IF(AND(
  INDEX(Roadmap!$D:$K,MATCH($E112,Roadmap!$D:$D,0)+COUNTIF($E112:Y112,"u")+COUNTIF($E112:Y112,"t")+COUNTIF($E112:Y112,"¶")+COUNTIF($E112:Y112,"²")+COUNTIF($E112:Y112,"µ")+COUNTIF($E112:Y112,1),ColLivraison)=Z$6,
  VLOOKUP($E112,INDIRECT("tri!"&amp; CHAR(64+ C0Col) &amp;":"&amp; CHAR(65+C0Col)),2,FALSE)&gt;COUNTIF($E112:Y112,"u")+COUNTIF($E112:Y112,"t")+COUNTIF($E112:Y112,"¶")+COUNTIF($E112:Y112,"²")+COUNTIF($E112:Y112,"µ")+COUNTIF($E112:Y112,1)),
HYPERLINK("#Roadmap!C"&amp; MATCH($E112,Roadmap!$D:$D,0)+COUNTIF($E112:Y112,"u")+COUNTIF($E112:Y112,"t"),
     INDEX(Roadmap!$D:$K,MATCH($E112,Roadmap!$D:$D,0)+COUNTIF($E112:Y112,"u")+COUNTIF($E112:Y112,"t")+COUNTIF($E112:Y112,"¶")+COUNTIF($E112:Y112,"²")+COUNTIF($E112:Y112,"µ")+COUNTIF($E112:Y112,1),ColTypeEcheance)),
  IF(LEN(Y112)=1,
  IF(LEN(INDEX(Roadmap!$D:$K,MATCH($E112,Roadmap!$D:$D,0)-1+COUNTIF($E112:Y112,"u")+COUNTIF($E112:Y112,"t")+COUNTIF($E112:Y112,"¶")+COUNTIF($E112:Y112,"²")+COUNTIF($E112:Y112,"µ")+COUNTIF($E112:Y112,1),ColDescriptionCourte))&gt;1,
HYPERLINK("#Roadmap!C"&amp; MATCH($E112,Roadmap!$D:$D,0)+COUNTIF($E112:Y112,"u")+COUNTIF($E112:Y112,"t")+COUNTIF($E112:Y112,"¶")+COUNTIF($E112:Y112,"²")+COUNTIF($E112:Y112,"µ")+COUNTIF($E112:Y112,1)-1,INDEX(Roadmap!$D:$K,MATCH($E112,Roadmap!$D:$D,0)-1+COUNTIF($E112:Y112,"u")+COUNTIF($E112:Y112,"t")+COUNTIF($E112:Y112,"¶")+COUNTIF($E112:Y112,"²")+COUNTIF($E112:Y112,"µ")+COUNTIF($E112:Y112,1),ColDescriptionCourte)),""),
  "")),"")</f>
        <v/>
      </c>
      <c r="AA112" s="40" t="str">
        <f ca="1">IFERROR(IF(AND(
  INDEX(Roadmap!$D:$K,MATCH($E112,Roadmap!$D:$D,0)+COUNTIF($E112:Z112,"u")+COUNTIF($E112:Z112,"t")+COUNTIF($E112:Z112,"¶")+COUNTIF($E112:Z112,"²")+COUNTIF($E112:Z112,"µ")+COUNTIF($E112:Z112,1),ColLivraison)=AA$6,
  VLOOKUP($E112,INDIRECT("tri!"&amp; CHAR(64+ C0Col) &amp;":"&amp; CHAR(65+C0Col)),2,FALSE)&gt;COUNTIF($E112:Z112,"u")+COUNTIF($E112:Z112,"t")+COUNTIF($E112:Z112,"¶")+COUNTIF($E112:Z112,"²")+COUNTIF($E112:Z112,"µ")+COUNTIF($E112:Z112,1)),
HYPERLINK("#Roadmap!C"&amp; MATCH($E112,Roadmap!$D:$D,0)+COUNTIF($E112:Z112,"u")+COUNTIF($E112:Z112,"t"),
     INDEX(Roadmap!$D:$K,MATCH($E112,Roadmap!$D:$D,0)+COUNTIF($E112:Z112,"u")+COUNTIF($E112:Z112,"t")+COUNTIF($E112:Z112,"¶")+COUNTIF($E112:Z112,"²")+COUNTIF($E112:Z112,"µ")+COUNTIF($E112:Z112,1),ColTypeEcheance)),
  IF(LEN(Z112)=1,
  IF(LEN(INDEX(Roadmap!$D:$K,MATCH($E112,Roadmap!$D:$D,0)-1+COUNTIF($E112:Z112,"u")+COUNTIF($E112:Z112,"t")+COUNTIF($E112:Z112,"¶")+COUNTIF($E112:Z112,"²")+COUNTIF($E112:Z112,"µ")+COUNTIF($E112:Z112,1),ColDescriptionCourte))&gt;1,
HYPERLINK("#Roadmap!C"&amp; MATCH($E112,Roadmap!$D:$D,0)+COUNTIF($E112:Z112,"u")+COUNTIF($E112:Z112,"t")+COUNTIF($E112:Z112,"¶")+COUNTIF($E112:Z112,"²")+COUNTIF($E112:Z112,"µ")+COUNTIF($E112:Z112,1)-1,INDEX(Roadmap!$D:$K,MATCH($E112,Roadmap!$D:$D,0)-1+COUNTIF($E112:Z112,"u")+COUNTIF($E112:Z112,"t")+COUNTIF($E112:Z112,"¶")+COUNTIF($E112:Z112,"²")+COUNTIF($E112:Z112,"µ")+COUNTIF($E112:Z112,1),ColDescriptionCourte)),""),
  "")),"")</f>
        <v/>
      </c>
      <c r="AB112" s="40" t="str">
        <f ca="1">IFERROR(IF(AND(
  INDEX(Roadmap!$D:$K,MATCH($E112,Roadmap!$D:$D,0)+COUNTIF($E112:AA112,"u")+COUNTIF($E112:AA112,"t")+COUNTIF($E112:AA112,"¶")+COUNTIF($E112:AA112,"²")+COUNTIF($E112:AA112,"µ")+COUNTIF($E112:AA112,1),ColLivraison)=AB$6,
  VLOOKUP($E112,INDIRECT("tri!"&amp; CHAR(64+ C0Col) &amp;":"&amp; CHAR(65+C0Col)),2,FALSE)&gt;COUNTIF($E112:AA112,"u")+COUNTIF($E112:AA112,"t")+COUNTIF($E112:AA112,"¶")+COUNTIF($E112:AA112,"²")+COUNTIF($E112:AA112,"µ")+COUNTIF($E112:AA112,1)),
HYPERLINK("#Roadmap!C"&amp; MATCH($E112,Roadmap!$D:$D,0)+COUNTIF($E112:AA112,"u")+COUNTIF($E112:AA112,"t"),
     INDEX(Roadmap!$D:$K,MATCH($E112,Roadmap!$D:$D,0)+COUNTIF($E112:AA112,"u")+COUNTIF($E112:AA112,"t")+COUNTIF($E112:AA112,"¶")+COUNTIF($E112:AA112,"²")+COUNTIF($E112:AA112,"µ")+COUNTIF($E112:AA112,1),ColTypeEcheance)),
  IF(LEN(AA112)=1,
  IF(LEN(INDEX(Roadmap!$D:$K,MATCH($E112,Roadmap!$D:$D,0)-1+COUNTIF($E112:AA112,"u")+COUNTIF($E112:AA112,"t")+COUNTIF($E112:AA112,"¶")+COUNTIF($E112:AA112,"²")+COUNTIF($E112:AA112,"µ")+COUNTIF($E112:AA112,1),ColDescriptionCourte))&gt;1,
HYPERLINK("#Roadmap!C"&amp; MATCH($E112,Roadmap!$D:$D,0)+COUNTIF($E112:AA112,"u")+COUNTIF($E112:AA112,"t")+COUNTIF($E112:AA112,"¶")+COUNTIF($E112:AA112,"²")+COUNTIF($E112:AA112,"µ")+COUNTIF($E112:AA112,1)-1,INDEX(Roadmap!$D:$K,MATCH($E112,Roadmap!$D:$D,0)-1+COUNTIF($E112:AA112,"u")+COUNTIF($E112:AA112,"t")+COUNTIF($E112:AA112,"¶")+COUNTIF($E112:AA112,"²")+COUNTIF($E112:AA112,"µ")+COUNTIF($E112:AA112,1),ColDescriptionCourte)),""),
  "")),"")</f>
        <v/>
      </c>
      <c r="AC112" s="40" t="str">
        <f ca="1">IFERROR(IF(AND(
  INDEX(Roadmap!$D:$K,MATCH($E112,Roadmap!$D:$D,0)+COUNTIF($E112:AB112,"u")+COUNTIF($E112:AB112,"t")+COUNTIF($E112:AB112,"¶")+COUNTIF($E112:AB112,"²")+COUNTIF($E112:AB112,"µ")+COUNTIF($E112:AB112,1),ColLivraison)=AC$6,
  VLOOKUP($E112,INDIRECT("tri!"&amp; CHAR(64+ C0Col) &amp;":"&amp; CHAR(65+C0Col)),2,FALSE)&gt;COUNTIF($E112:AB112,"u")+COUNTIF($E112:AB112,"t")+COUNTIF($E112:AB112,"¶")+COUNTIF($E112:AB112,"²")+COUNTIF($E112:AB112,"µ")+COUNTIF($E112:AB112,1)),
HYPERLINK("#Roadmap!C"&amp; MATCH($E112,Roadmap!$D:$D,0)+COUNTIF($E112:AB112,"u")+COUNTIF($E112:AB112,"t"),
     INDEX(Roadmap!$D:$K,MATCH($E112,Roadmap!$D:$D,0)+COUNTIF($E112:AB112,"u")+COUNTIF($E112:AB112,"t")+COUNTIF($E112:AB112,"¶")+COUNTIF($E112:AB112,"²")+COUNTIF($E112:AB112,"µ")+COUNTIF($E112:AB112,1),ColTypeEcheance)),
  IF(LEN(AB112)=1,
  IF(LEN(INDEX(Roadmap!$D:$K,MATCH($E112,Roadmap!$D:$D,0)-1+COUNTIF($E112:AB112,"u")+COUNTIF($E112:AB112,"t")+COUNTIF($E112:AB112,"¶")+COUNTIF($E112:AB112,"²")+COUNTIF($E112:AB112,"µ")+COUNTIF($E112:AB112,1),ColDescriptionCourte))&gt;1,
HYPERLINK("#Roadmap!C"&amp; MATCH($E112,Roadmap!$D:$D,0)+COUNTIF($E112:AB112,"u")+COUNTIF($E112:AB112,"t")+COUNTIF($E112:AB112,"¶")+COUNTIF($E112:AB112,"²")+COUNTIF($E112:AB112,"µ")+COUNTIF($E112:AB112,1)-1,INDEX(Roadmap!$D:$K,MATCH($E112,Roadmap!$D:$D,0)-1+COUNTIF($E112:AB112,"u")+COUNTIF($E112:AB112,"t")+COUNTIF($E112:AB112,"¶")+COUNTIF($E112:AB112,"²")+COUNTIF($E112:AB112,"µ")+COUNTIF($E112:AB112,1),ColDescriptionCourte)),""),
  "")),"")</f>
        <v/>
      </c>
      <c r="AD112" s="40" t="str">
        <f ca="1">IFERROR(IF(AND(
  INDEX(Roadmap!$D:$K,MATCH($E112,Roadmap!$D:$D,0)+COUNTIF($E112:AC112,"u")+COUNTIF($E112:AC112,"t")+COUNTIF($E112:AC112,"¶")+COUNTIF($E112:AC112,"²")+COUNTIF($E112:AC112,"µ")+COUNTIF($E112:AC112,1),ColLivraison)=AD$6,
  VLOOKUP($E112,INDIRECT("tri!"&amp; CHAR(64+ C0Col) &amp;":"&amp; CHAR(65+C0Col)),2,FALSE)&gt;COUNTIF($E112:AC112,"u")+COUNTIF($E112:AC112,"t")+COUNTIF($E112:AC112,"¶")+COUNTIF($E112:AC112,"²")+COUNTIF($E112:AC112,"µ")+COUNTIF($E112:AC112,1)),
HYPERLINK("#Roadmap!C"&amp; MATCH($E112,Roadmap!$D:$D,0)+COUNTIF($E112:AC112,"u")+COUNTIF($E112:AC112,"t"),
     INDEX(Roadmap!$D:$K,MATCH($E112,Roadmap!$D:$D,0)+COUNTIF($E112:AC112,"u")+COUNTIF($E112:AC112,"t")+COUNTIF($E112:AC112,"¶")+COUNTIF($E112:AC112,"²")+COUNTIF($E112:AC112,"µ")+COUNTIF($E112:AC112,1),ColTypeEcheance)),
  IF(LEN(AC112)=1,
  IF(LEN(INDEX(Roadmap!$D:$K,MATCH($E112,Roadmap!$D:$D,0)-1+COUNTIF($E112:AC112,"u")+COUNTIF($E112:AC112,"t")+COUNTIF($E112:AC112,"¶")+COUNTIF($E112:AC112,"²")+COUNTIF($E112:AC112,"µ")+COUNTIF($E112:AC112,1),ColDescriptionCourte))&gt;1,
HYPERLINK("#Roadmap!C"&amp; MATCH($E112,Roadmap!$D:$D,0)+COUNTIF($E112:AC112,"u")+COUNTIF($E112:AC112,"t")+COUNTIF($E112:AC112,"¶")+COUNTIF($E112:AC112,"²")+COUNTIF($E112:AC112,"µ")+COUNTIF($E112:AC112,1)-1,INDEX(Roadmap!$D:$K,MATCH($E112,Roadmap!$D:$D,0)-1+COUNTIF($E112:AC112,"u")+COUNTIF($E112:AC112,"t")+COUNTIF($E112:AC112,"¶")+COUNTIF($E112:AC112,"²")+COUNTIF($E112:AC112,"µ")+COUNTIF($E112:AC112,1),ColDescriptionCourte)),""),
  "")),"")</f>
        <v/>
      </c>
      <c r="AE112" s="40" t="str">
        <f ca="1">IFERROR(IF(AND(
  INDEX(Roadmap!$D:$K,MATCH($E112,Roadmap!$D:$D,0)+COUNTIF($E112:AD112,"u")+COUNTIF($E112:AD112,"t")+COUNTIF($E112:AD112,"¶")+COUNTIF($E112:AD112,"²")+COUNTIF($E112:AD112,"µ")+COUNTIF($E112:AD112,1),ColLivraison)=AE$6,
  VLOOKUP($E112,INDIRECT("tri!"&amp; CHAR(64+ C0Col) &amp;":"&amp; CHAR(65+C0Col)),2,FALSE)&gt;COUNTIF($E112:AD112,"u")+COUNTIF($E112:AD112,"t")+COUNTIF($E112:AD112,"¶")+COUNTIF($E112:AD112,"²")+COUNTIF($E112:AD112,"µ")+COUNTIF($E112:AD112,1)),
HYPERLINK("#Roadmap!C"&amp; MATCH($E112,Roadmap!$D:$D,0)+COUNTIF($E112:AD112,"u")+COUNTIF($E112:AD112,"t"),
     INDEX(Roadmap!$D:$K,MATCH($E112,Roadmap!$D:$D,0)+COUNTIF($E112:AD112,"u")+COUNTIF($E112:AD112,"t")+COUNTIF($E112:AD112,"¶")+COUNTIF($E112:AD112,"²")+COUNTIF($E112:AD112,"µ")+COUNTIF($E112:AD112,1),ColTypeEcheance)),
  IF(LEN(AD112)=1,
  IF(LEN(INDEX(Roadmap!$D:$K,MATCH($E112,Roadmap!$D:$D,0)-1+COUNTIF($E112:AD112,"u")+COUNTIF($E112:AD112,"t")+COUNTIF($E112:AD112,"¶")+COUNTIF($E112:AD112,"²")+COUNTIF($E112:AD112,"µ")+COUNTIF($E112:AD112,1),ColDescriptionCourte))&gt;1,
HYPERLINK("#Roadmap!C"&amp; MATCH($E112,Roadmap!$D:$D,0)+COUNTIF($E112:AD112,"u")+COUNTIF($E112:AD112,"t")+COUNTIF($E112:AD112,"¶")+COUNTIF($E112:AD112,"²")+COUNTIF($E112:AD112,"µ")+COUNTIF($E112:AD112,1)-1,INDEX(Roadmap!$D:$K,MATCH($E112,Roadmap!$D:$D,0)-1+COUNTIF($E112:AD112,"u")+COUNTIF($E112:AD112,"t")+COUNTIF($E112:AD112,"¶")+COUNTIF($E112:AD112,"²")+COUNTIF($E112:AD112,"µ")+COUNTIF($E112:AD112,1),ColDescriptionCourte)),""),
  "")),"")</f>
        <v/>
      </c>
      <c r="AF112" s="40" t="str">
        <f ca="1">IFERROR(IF(AND(
  INDEX(Roadmap!$D:$K,MATCH($E112,Roadmap!$D:$D,0)+COUNTIF($E112:AE112,"u")+COUNTIF($E112:AE112,"t")+COUNTIF($E112:AE112,"¶")+COUNTIF($E112:AE112,"²")+COUNTIF($E112:AE112,"µ")+COUNTIF($E112:AE112,1),ColLivraison)=AF$6,
  VLOOKUP($E112,INDIRECT("tri!"&amp; CHAR(64+ C0Col) &amp;":"&amp; CHAR(65+C0Col)),2,FALSE)&gt;COUNTIF($E112:AE112,"u")+COUNTIF($E112:AE112,"t")+COUNTIF($E112:AE112,"¶")+COUNTIF($E112:AE112,"²")+COUNTIF($E112:AE112,"µ")+COUNTIF($E112:AE112,1)),
HYPERLINK("#Roadmap!C"&amp; MATCH($E112,Roadmap!$D:$D,0)+COUNTIF($E112:AE112,"u")+COUNTIF($E112:AE112,"t"),
     INDEX(Roadmap!$D:$K,MATCH($E112,Roadmap!$D:$D,0)+COUNTIF($E112:AE112,"u")+COUNTIF($E112:AE112,"t")+COUNTIF($E112:AE112,"¶")+COUNTIF($E112:AE112,"²")+COUNTIF($E112:AE112,"µ")+COUNTIF($E112:AE112,1),ColTypeEcheance)),
  IF(LEN(AE112)=1,
  IF(LEN(INDEX(Roadmap!$D:$K,MATCH($E112,Roadmap!$D:$D,0)-1+COUNTIF($E112:AE112,"u")+COUNTIF($E112:AE112,"t")+COUNTIF($E112:AE112,"¶")+COUNTIF($E112:AE112,"²")+COUNTIF($E112:AE112,"µ")+COUNTIF($E112:AE112,1),ColDescriptionCourte))&gt;1,
HYPERLINK("#Roadmap!C"&amp; MATCH($E112,Roadmap!$D:$D,0)+COUNTIF($E112:AE112,"u")+COUNTIF($E112:AE112,"t")+COUNTIF($E112:AE112,"¶")+COUNTIF($E112:AE112,"²")+COUNTIF($E112:AE112,"µ")+COUNTIF($E112:AE112,1)-1,INDEX(Roadmap!$D:$K,MATCH($E112,Roadmap!$D:$D,0)-1+COUNTIF($E112:AE112,"u")+COUNTIF($E112:AE112,"t")+COUNTIF($E112:AE112,"¶")+COUNTIF($E112:AE112,"²")+COUNTIF($E112:AE112,"µ")+COUNTIF($E112:AE112,1),ColDescriptionCourte)),""),
  "")),"")</f>
        <v/>
      </c>
      <c r="AG112" s="40" t="str">
        <f ca="1">IFERROR(IF(AND(
  INDEX(Roadmap!$D:$K,MATCH($E112,Roadmap!$D:$D,0)+COUNTIF($E112:AF112,"u")+COUNTIF($E112:AF112,"t")+COUNTIF($E112:AF112,"¶")+COUNTIF($E112:AF112,"²")+COUNTIF($E112:AF112,"µ")+COUNTIF($E112:AF112,1),ColLivraison)=AG$6,
  VLOOKUP($E112,INDIRECT("tri!"&amp; CHAR(64+ C0Col) &amp;":"&amp; CHAR(65+C0Col)),2,FALSE)&gt;COUNTIF($E112:AF112,"u")+COUNTIF($E112:AF112,"t")+COUNTIF($E112:AF112,"¶")+COUNTIF($E112:AF112,"²")+COUNTIF($E112:AF112,"µ")+COUNTIF($E112:AF112,1)),
HYPERLINK("#Roadmap!C"&amp; MATCH($E112,Roadmap!$D:$D,0)+COUNTIF($E112:AF112,"u")+COUNTIF($E112:AF112,"t"),
     INDEX(Roadmap!$D:$K,MATCH($E112,Roadmap!$D:$D,0)+COUNTIF($E112:AF112,"u")+COUNTIF($E112:AF112,"t")+COUNTIF($E112:AF112,"¶")+COUNTIF($E112:AF112,"²")+COUNTIF($E112:AF112,"µ")+COUNTIF($E112:AF112,1),ColTypeEcheance)),
  IF(LEN(AF112)=1,
  IF(LEN(INDEX(Roadmap!$D:$K,MATCH($E112,Roadmap!$D:$D,0)-1+COUNTIF($E112:AF112,"u")+COUNTIF($E112:AF112,"t")+COUNTIF($E112:AF112,"¶")+COUNTIF($E112:AF112,"²")+COUNTIF($E112:AF112,"µ")+COUNTIF($E112:AF112,1),ColDescriptionCourte))&gt;1,
HYPERLINK("#Roadmap!C"&amp; MATCH($E112,Roadmap!$D:$D,0)+COUNTIF($E112:AF112,"u")+COUNTIF($E112:AF112,"t")+COUNTIF($E112:AF112,"¶")+COUNTIF($E112:AF112,"²")+COUNTIF($E112:AF112,"µ")+COUNTIF($E112:AF112,1)-1,INDEX(Roadmap!$D:$K,MATCH($E112,Roadmap!$D:$D,0)-1+COUNTIF($E112:AF112,"u")+COUNTIF($E112:AF112,"t")+COUNTIF($E112:AF112,"¶")+COUNTIF($E112:AF112,"²")+COUNTIF($E112:AF112,"µ")+COUNTIF($E112:AF112,1),ColDescriptionCourte)),""),
  "")),"")</f>
        <v/>
      </c>
    </row>
    <row r="113" spans="3:33" ht="14.25" customHeight="1">
      <c r="C113" s="1" t="str">
        <f t="shared" ca="1" si="49"/>
        <v/>
      </c>
      <c r="D113" s="1" t="str">
        <f t="shared" ca="1" si="50"/>
        <v/>
      </c>
      <c r="E113" s="35" t="str">
        <f t="shared" ca="1" si="46"/>
        <v/>
      </c>
      <c r="F113" s="39" t="str">
        <f ca="1">IFERROR(IF(AND(
  INDEX(Roadmap!$D:$K,MATCH($E113,Roadmap!$D:$D,0)+COUNTIF($E113:E113,"u")+COUNTIF($E113:E113,"t")+COUNTIF($E113:E113,"¶")+COUNTIF($E113:E113,"²")+COUNTIF($E113:E113,"µ")+COUNTIF($E113:E113,1),ColLivraison)=F$6,
  VLOOKUP($E113,INDIRECT("tri!"&amp; CHAR(64+ C0Col) &amp;":"&amp; CHAR(65+C0Col)),2,FALSE)&gt;COUNTIF($E113:E113,"u")+COUNTIF($E113:E113,"t")+COUNTIF($E113:E113,"¶")+COUNTIF($E113:E113,"²")+COUNTIF($E113:E113,"µ")+COUNTIF($E113:E113,1)),
HYPERLINK("#Roadmap!C"&amp; MATCH($E113,Roadmap!$D:$D,0)+COUNTIF($E113:E113,"u")+COUNTIF($E113:E113,"t"),
     INDEX(Roadmap!$D:$K,MATCH($E113,Roadmap!$D:$D,0)+COUNTIF($E113:E113,"u")+COUNTIF($E113:E113,"t")+COUNTIF($E113:E113,"¶")+COUNTIF($E113:E113,"²")+COUNTIF($E113:E113,"µ")+COUNTIF($E113:E113,1),ColTypeEcheance)),
  IF(LEN(E113)=1,
  IF(LEN(INDEX(Roadmap!$D:$K,MATCH($E113,Roadmap!$D:$D,0)-1+COUNTIF($E113:E113,"u")+COUNTIF($E113:E113,"t")+COUNTIF($E113:E113,"¶")+COUNTIF($E113:E113,"²")+COUNTIF($E113:E113,"µ")+COUNTIF($E113:E113,1),ColDescriptionCourte))&gt;1,
HYPERLINK("#Roadmap!C"&amp; MATCH($E113,Roadmap!$D:$D,0)+COUNTIF($E113:E113,"u")+COUNTIF($E113:E113,"t")+COUNTIF($E113:E113,"¶")+COUNTIF($E113:E113,"²")+COUNTIF($E113:E113,"µ")+COUNTIF($E113:E113,1)-1,INDEX(Roadmap!$D:$K,MATCH($E113,Roadmap!$D:$D,0)-1+COUNTIF($E113:E113,"u")+COUNTIF($E113:E113,"t")+COUNTIF($E113:E113,"¶")+COUNTIF($E113:E113,"²")+COUNTIF($E113:E113,"µ")+COUNTIF($E113:E113,1),ColDescriptionCourte)),""),
  "")),"")</f>
        <v/>
      </c>
      <c r="G113" s="40" t="str">
        <f ca="1">IFERROR(IF(AND(
  INDEX(Roadmap!$D:$K,MATCH($E113,Roadmap!$D:$D,0)+COUNTIF($E113:F113,"u")+COUNTIF($E113:F113,"t")+COUNTIF($E113:F113,"¶")+COUNTIF($E113:F113,"²")+COUNTIF($E113:F113,"µ")+COUNTIF($E113:F113,1),ColLivraison)=G$6,
  VLOOKUP($E113,INDIRECT("tri!"&amp; CHAR(64+ C0Col) &amp;":"&amp; CHAR(65+C0Col)),2,FALSE)&gt;COUNTIF($E113:F113,"u")+COUNTIF($E113:F113,"t")+COUNTIF($E113:F113,"¶")+COUNTIF($E113:F113,"²")+COUNTIF($E113:F113,"µ")+COUNTIF($E113:F113,1)),
HYPERLINK("#Roadmap!C"&amp; MATCH($E113,Roadmap!$D:$D,0)+COUNTIF($E113:F113,"u")+COUNTIF($E113:F113,"t"),
     INDEX(Roadmap!$D:$K,MATCH($E113,Roadmap!$D:$D,0)+COUNTIF($E113:F113,"u")+COUNTIF($E113:F113,"t")+COUNTIF($E113:F113,"¶")+COUNTIF($E113:F113,"²")+COUNTIF($E113:F113,"µ")+COUNTIF($E113:F113,1),ColTypeEcheance)),
  IF(LEN(F113)=1,
  IF(LEN(INDEX(Roadmap!$D:$K,MATCH($E113,Roadmap!$D:$D,0)-1+COUNTIF($E113:F113,"u")+COUNTIF($E113:F113,"t")+COUNTIF($E113:F113,"¶")+COUNTIF($E113:F113,"²")+COUNTIF($E113:F113,"µ")+COUNTIF($E113:F113,1),ColDescriptionCourte))&gt;1,
HYPERLINK("#Roadmap!C"&amp; MATCH($E113,Roadmap!$D:$D,0)+COUNTIF($E113:F113,"u")+COUNTIF($E113:F113,"t")+COUNTIF($E113:F113,"¶")+COUNTIF($E113:F113,"²")+COUNTIF($E113:F113,"µ")+COUNTIF($E113:F113,1)-1,INDEX(Roadmap!$D:$K,MATCH($E113,Roadmap!$D:$D,0)-1+COUNTIF($E113:F113,"u")+COUNTIF($E113:F113,"t")+COUNTIF($E113:F113,"¶")+COUNTIF($E113:F113,"²")+COUNTIF($E113:F113,"µ")+COUNTIF($E113:F113,1),ColDescriptionCourte)),""),
  "")),"")</f>
        <v/>
      </c>
      <c r="H113" s="40" t="str">
        <f ca="1">IFERROR(IF(AND(
  INDEX(Roadmap!$D:$K,MATCH($E113,Roadmap!$D:$D,0)+COUNTIF($E113:G113,"u")+COUNTIF($E113:G113,"t")+COUNTIF($E113:G113,"¶")+COUNTIF($E113:G113,"²")+COUNTIF($E113:G113,"µ")+COUNTIF($E113:G113,1),ColLivraison)=H$6,
  VLOOKUP($E113,INDIRECT("tri!"&amp; CHAR(64+ C0Col) &amp;":"&amp; CHAR(65+C0Col)),2,FALSE)&gt;COUNTIF($E113:G113,"u")+COUNTIF($E113:G113,"t")+COUNTIF($E113:G113,"¶")+COUNTIF($E113:G113,"²")+COUNTIF($E113:G113,"µ")+COUNTIF($E113:G113,1)),
HYPERLINK("#Roadmap!C"&amp; MATCH($E113,Roadmap!$D:$D,0)+COUNTIF($E113:G113,"u")+COUNTIF($E113:G113,"t"),
     INDEX(Roadmap!$D:$K,MATCH($E113,Roadmap!$D:$D,0)+COUNTIF($E113:G113,"u")+COUNTIF($E113:G113,"t")+COUNTIF($E113:G113,"¶")+COUNTIF($E113:G113,"²")+COUNTIF($E113:G113,"µ")+COUNTIF($E113:G113,1),ColTypeEcheance)),
  IF(LEN(G113)=1,
  IF(LEN(INDEX(Roadmap!$D:$K,MATCH($E113,Roadmap!$D:$D,0)-1+COUNTIF($E113:G113,"u")+COUNTIF($E113:G113,"t")+COUNTIF($E113:G113,"¶")+COUNTIF($E113:G113,"²")+COUNTIF($E113:G113,"µ")+COUNTIF($E113:G113,1),ColDescriptionCourte))&gt;1,
HYPERLINK("#Roadmap!C"&amp; MATCH($E113,Roadmap!$D:$D,0)+COUNTIF($E113:G113,"u")+COUNTIF($E113:G113,"t")+COUNTIF($E113:G113,"¶")+COUNTIF($E113:G113,"²")+COUNTIF($E113:G113,"µ")+COUNTIF($E113:G113,1)-1,INDEX(Roadmap!$D:$K,MATCH($E113,Roadmap!$D:$D,0)-1+COUNTIF($E113:G113,"u")+COUNTIF($E113:G113,"t")+COUNTIF($E113:G113,"¶")+COUNTIF($E113:G113,"²")+COUNTIF($E113:G113,"µ")+COUNTIF($E113:G113,1),ColDescriptionCourte)),""),
  "")),"")</f>
        <v/>
      </c>
      <c r="I113" s="40" t="str">
        <f ca="1">IFERROR(IF(AND(
  INDEX(Roadmap!$D:$K,MATCH($E113,Roadmap!$D:$D,0)+COUNTIF($E113:H113,"u")+COUNTIF($E113:H113,"t")+COUNTIF($E113:H113,"¶")+COUNTIF($E113:H113,"²")+COUNTIF($E113:H113,"µ")+COUNTIF($E113:H113,1),ColLivraison)=I$6,
  VLOOKUP($E113,INDIRECT("tri!"&amp; CHAR(64+ C0Col) &amp;":"&amp; CHAR(65+C0Col)),2,FALSE)&gt;COUNTIF($E113:H113,"u")+COUNTIF($E113:H113,"t")+COUNTIF($E113:H113,"¶")+COUNTIF($E113:H113,"²")+COUNTIF($E113:H113,"µ")+COUNTIF($E113:H113,1)),
HYPERLINK("#Roadmap!C"&amp; MATCH($E113,Roadmap!$D:$D,0)+COUNTIF($E113:H113,"u")+COUNTIF($E113:H113,"t"),
     INDEX(Roadmap!$D:$K,MATCH($E113,Roadmap!$D:$D,0)+COUNTIF($E113:H113,"u")+COUNTIF($E113:H113,"t")+COUNTIF($E113:H113,"¶")+COUNTIF($E113:H113,"²")+COUNTIF($E113:H113,"µ")+COUNTIF($E113:H113,1),ColTypeEcheance)),
  IF(LEN(H113)=1,
  IF(LEN(INDEX(Roadmap!$D:$K,MATCH($E113,Roadmap!$D:$D,0)-1+COUNTIF($E113:H113,"u")+COUNTIF($E113:H113,"t")+COUNTIF($E113:H113,"¶")+COUNTIF($E113:H113,"²")+COUNTIF($E113:H113,"µ")+COUNTIF($E113:H113,1),ColDescriptionCourte))&gt;1,
HYPERLINK("#Roadmap!C"&amp; MATCH($E113,Roadmap!$D:$D,0)+COUNTIF($E113:H113,"u")+COUNTIF($E113:H113,"t")+COUNTIF($E113:H113,"¶")+COUNTIF($E113:H113,"²")+COUNTIF($E113:H113,"µ")+COUNTIF($E113:H113,1)-1,INDEX(Roadmap!$D:$K,MATCH($E113,Roadmap!$D:$D,0)-1+COUNTIF($E113:H113,"u")+COUNTIF($E113:H113,"t")+COUNTIF($E113:H113,"¶")+COUNTIF($E113:H113,"²")+COUNTIF($E113:H113,"µ")+COUNTIF($E113:H113,1),ColDescriptionCourte)),""),
  "")),"")</f>
        <v/>
      </c>
      <c r="J113" s="40" t="str">
        <f ca="1">IFERROR(IF(AND(
  INDEX(Roadmap!$D:$K,MATCH($E113,Roadmap!$D:$D,0)+COUNTIF($E113:I113,"u")+COUNTIF($E113:I113,"t")+COUNTIF($E113:I113,"¶")+COUNTIF($E113:I113,"²")+COUNTIF($E113:I113,"µ")+COUNTIF($E113:I113,1),ColLivraison)=J$6,
  VLOOKUP($E113,INDIRECT("tri!"&amp; CHAR(64+ C0Col) &amp;":"&amp; CHAR(65+C0Col)),2,FALSE)&gt;COUNTIF($E113:I113,"u")+COUNTIF($E113:I113,"t")+COUNTIF($E113:I113,"¶")+COUNTIF($E113:I113,"²")+COUNTIF($E113:I113,"µ")+COUNTIF($E113:I113,1)),
HYPERLINK("#Roadmap!C"&amp; MATCH($E113,Roadmap!$D:$D,0)+COUNTIF($E113:I113,"u")+COUNTIF($E113:I113,"t"),
     INDEX(Roadmap!$D:$K,MATCH($E113,Roadmap!$D:$D,0)+COUNTIF($E113:I113,"u")+COUNTIF($E113:I113,"t")+COUNTIF($E113:I113,"¶")+COUNTIF($E113:I113,"²")+COUNTIF($E113:I113,"µ")+COUNTIF($E113:I113,1),ColTypeEcheance)),
  IF(LEN(I113)=1,
  IF(LEN(INDEX(Roadmap!$D:$K,MATCH($E113,Roadmap!$D:$D,0)-1+COUNTIF($E113:I113,"u")+COUNTIF($E113:I113,"t")+COUNTIF($E113:I113,"¶")+COUNTIF($E113:I113,"²")+COUNTIF($E113:I113,"µ")+COUNTIF($E113:I113,1),ColDescriptionCourte))&gt;1,
HYPERLINK("#Roadmap!C"&amp; MATCH($E113,Roadmap!$D:$D,0)+COUNTIF($E113:I113,"u")+COUNTIF($E113:I113,"t")+COUNTIF($E113:I113,"¶")+COUNTIF($E113:I113,"²")+COUNTIF($E113:I113,"µ")+COUNTIF($E113:I113,1)-1,INDEX(Roadmap!$D:$K,MATCH($E113,Roadmap!$D:$D,0)-1+COUNTIF($E113:I113,"u")+COUNTIF($E113:I113,"t")+COUNTIF($E113:I113,"¶")+COUNTIF($E113:I113,"²")+COUNTIF($E113:I113,"µ")+COUNTIF($E113:I113,1),ColDescriptionCourte)),""),
  "")),"")</f>
        <v/>
      </c>
      <c r="K113" s="40" t="str">
        <f ca="1">IFERROR(IF(AND(
  INDEX(Roadmap!$D:$K,MATCH($E113,Roadmap!$D:$D,0)+COUNTIF($E113:J113,"u")+COUNTIF($E113:J113,"t")+COUNTIF($E113:J113,"¶")+COUNTIF($E113:J113,"²")+COUNTIF($E113:J113,"µ")+COUNTIF($E113:J113,1),ColLivraison)=K$6,
  VLOOKUP($E113,INDIRECT("tri!"&amp; CHAR(64+ C0Col) &amp;":"&amp; CHAR(65+C0Col)),2,FALSE)&gt;COUNTIF($E113:J113,"u")+COUNTIF($E113:J113,"t")+COUNTIF($E113:J113,"¶")+COUNTIF($E113:J113,"²")+COUNTIF($E113:J113,"µ")+COUNTIF($E113:J113,1)),
HYPERLINK("#Roadmap!C"&amp; MATCH($E113,Roadmap!$D:$D,0)+COUNTIF($E113:J113,"u")+COUNTIF($E113:J113,"t"),
     INDEX(Roadmap!$D:$K,MATCH($E113,Roadmap!$D:$D,0)+COUNTIF($E113:J113,"u")+COUNTIF($E113:J113,"t")+COUNTIF($E113:J113,"¶")+COUNTIF($E113:J113,"²")+COUNTIF($E113:J113,"µ")+COUNTIF($E113:J113,1),ColTypeEcheance)),
  IF(LEN(J113)=1,
  IF(LEN(INDEX(Roadmap!$D:$K,MATCH($E113,Roadmap!$D:$D,0)-1+COUNTIF($E113:J113,"u")+COUNTIF($E113:J113,"t")+COUNTIF($E113:J113,"¶")+COUNTIF($E113:J113,"²")+COUNTIF($E113:J113,"µ")+COUNTIF($E113:J113,1),ColDescriptionCourte))&gt;1,
HYPERLINK("#Roadmap!C"&amp; MATCH($E113,Roadmap!$D:$D,0)+COUNTIF($E113:J113,"u")+COUNTIF($E113:J113,"t")+COUNTIF($E113:J113,"¶")+COUNTIF($E113:J113,"²")+COUNTIF($E113:J113,"µ")+COUNTIF($E113:J113,1)-1,INDEX(Roadmap!$D:$K,MATCH($E113,Roadmap!$D:$D,0)-1+COUNTIF($E113:J113,"u")+COUNTIF($E113:J113,"t")+COUNTIF($E113:J113,"¶")+COUNTIF($E113:J113,"²")+COUNTIF($E113:J113,"µ")+COUNTIF($E113:J113,1),ColDescriptionCourte)),""),
  "")),"")</f>
        <v/>
      </c>
      <c r="L113" s="39" t="str">
        <f ca="1">IFERROR(IF(AND(
  INDEX(Roadmap!$D:$K,MATCH($E113,Roadmap!$D:$D,0)+COUNTIF($E113:K113,"u")+COUNTIF($E113:K113,"t")+COUNTIF($E113:K113,"¶")+COUNTIF($E113:K113,"²")+COUNTIF($E113:K113,"µ")+COUNTIF($E113:K113,1),ColLivraison)=L$6,
  VLOOKUP($E113,INDIRECT("tri!"&amp; CHAR(64+ C0Col) &amp;":"&amp; CHAR(65+C0Col)),2,FALSE)&gt;COUNTIF($E113:K113,"u")+COUNTIF($E113:K113,"t")+COUNTIF($E113:K113,"¶")+COUNTIF($E113:K113,"²")+COUNTIF($E113:K113,"µ")+COUNTIF($E113:K113,1)),
HYPERLINK("#Roadmap!C"&amp; MATCH($E113,Roadmap!$D:$D,0)+COUNTIF($E113:K113,"u")+COUNTIF($E113:K113,"t"),
     INDEX(Roadmap!$D:$K,MATCH($E113,Roadmap!$D:$D,0)+COUNTIF($E113:K113,"u")+COUNTIF($E113:K113,"t")+COUNTIF($E113:K113,"¶")+COUNTIF($E113:K113,"²")+COUNTIF($E113:K113,"µ")+COUNTIF($E113:K113,1),ColTypeEcheance)),
  IF(LEN(K113)=1,
  IF(LEN(INDEX(Roadmap!$D:$K,MATCH($E113,Roadmap!$D:$D,0)-1+COUNTIF($E113:K113,"u")+COUNTIF($E113:K113,"t")+COUNTIF($E113:K113,"¶")+COUNTIF($E113:K113,"²")+COUNTIF($E113:K113,"µ")+COUNTIF($E113:K113,1),ColDescriptionCourte))&gt;1,
HYPERLINK("#Roadmap!C"&amp; MATCH($E113,Roadmap!$D:$D,0)+COUNTIF($E113:K113,"u")+COUNTIF($E113:K113,"t")+COUNTIF($E113:K113,"¶")+COUNTIF($E113:K113,"²")+COUNTIF($E113:K113,"µ")+COUNTIF($E113:K113,1)-1,INDEX(Roadmap!$D:$K,MATCH($E113,Roadmap!$D:$D,0)-1+COUNTIF($E113:K113,"u")+COUNTIF($E113:K113,"t")+COUNTIF($E113:K113,"¶")+COUNTIF($E113:K113,"²")+COUNTIF($E113:K113,"µ")+COUNTIF($E113:K113,1),ColDescriptionCourte)),""),
  "")),"")</f>
        <v/>
      </c>
      <c r="M113" s="40" t="str">
        <f ca="1">IFERROR(IF(AND(
  INDEX(Roadmap!$D:$K,MATCH($E113,Roadmap!$D:$D,0)+COUNTIF($E113:L113,"u")+COUNTIF($E113:L113,"t")+COUNTIF($E113:L113,"¶")+COUNTIF($E113:L113,"²")+COUNTIF($E113:L113,"µ")+COUNTIF($E113:L113,1),ColLivraison)=M$6,
  VLOOKUP($E113,INDIRECT("tri!"&amp; CHAR(64+ C0Col) &amp;":"&amp; CHAR(65+C0Col)),2,FALSE)&gt;COUNTIF($E113:L113,"u")+COUNTIF($E113:L113,"t")+COUNTIF($E113:L113,"¶")+COUNTIF($E113:L113,"²")+COUNTIF($E113:L113,"µ")+COUNTIF($E113:L113,1)),
HYPERLINK("#Roadmap!C"&amp; MATCH($E113,Roadmap!$D:$D,0)+COUNTIF($E113:L113,"u")+COUNTIF($E113:L113,"t"),
     INDEX(Roadmap!$D:$K,MATCH($E113,Roadmap!$D:$D,0)+COUNTIF($E113:L113,"u")+COUNTIF($E113:L113,"t")+COUNTIF($E113:L113,"¶")+COUNTIF($E113:L113,"²")+COUNTIF($E113:L113,"µ")+COUNTIF($E113:L113,1),ColTypeEcheance)),
  IF(LEN(L113)=1,
  IF(LEN(INDEX(Roadmap!$D:$K,MATCH($E113,Roadmap!$D:$D,0)-1+COUNTIF($E113:L113,"u")+COUNTIF($E113:L113,"t")+COUNTIF($E113:L113,"¶")+COUNTIF($E113:L113,"²")+COUNTIF($E113:L113,"µ")+COUNTIF($E113:L113,1),ColDescriptionCourte))&gt;1,
HYPERLINK("#Roadmap!C"&amp; MATCH($E113,Roadmap!$D:$D,0)+COUNTIF($E113:L113,"u")+COUNTIF($E113:L113,"t")+COUNTIF($E113:L113,"¶")+COUNTIF($E113:L113,"²")+COUNTIF($E113:L113,"µ")+COUNTIF($E113:L113,1)-1,INDEX(Roadmap!$D:$K,MATCH($E113,Roadmap!$D:$D,0)-1+COUNTIF($E113:L113,"u")+COUNTIF($E113:L113,"t")+COUNTIF($E113:L113,"¶")+COUNTIF($E113:L113,"²")+COUNTIF($E113:L113,"µ")+COUNTIF($E113:L113,1),ColDescriptionCourte)),""),
  "")),"")</f>
        <v/>
      </c>
      <c r="N113" s="40" t="str">
        <f ca="1">IFERROR(IF(AND(
  INDEX(Roadmap!$D:$K,MATCH($E113,Roadmap!$D:$D,0)+COUNTIF($E113:M113,"u")+COUNTIF($E113:M113,"t")+COUNTIF($E113:M113,"¶")+COUNTIF($E113:M113,"²")+COUNTIF($E113:M113,"µ")+COUNTIF($E113:M113,1),ColLivraison)=N$6,
  VLOOKUP($E113,INDIRECT("tri!"&amp; CHAR(64+ C0Col) &amp;":"&amp; CHAR(65+C0Col)),2,FALSE)&gt;COUNTIF($E113:M113,"u")+COUNTIF($E113:M113,"t")+COUNTIF($E113:M113,"¶")+COUNTIF($E113:M113,"²")+COUNTIF($E113:M113,"µ")+COUNTIF($E113:M113,1)),
HYPERLINK("#Roadmap!C"&amp; MATCH($E113,Roadmap!$D:$D,0)+COUNTIF($E113:M113,"u")+COUNTIF($E113:M113,"t"),
     INDEX(Roadmap!$D:$K,MATCH($E113,Roadmap!$D:$D,0)+COUNTIF($E113:M113,"u")+COUNTIF($E113:M113,"t")+COUNTIF($E113:M113,"¶")+COUNTIF($E113:M113,"²")+COUNTIF($E113:M113,"µ")+COUNTIF($E113:M113,1),ColTypeEcheance)),
  IF(LEN(M113)=1,
  IF(LEN(INDEX(Roadmap!$D:$K,MATCH($E113,Roadmap!$D:$D,0)-1+COUNTIF($E113:M113,"u")+COUNTIF($E113:M113,"t")+COUNTIF($E113:M113,"¶")+COUNTIF($E113:M113,"²")+COUNTIF($E113:M113,"µ")+COUNTIF($E113:M113,1),ColDescriptionCourte))&gt;1,
HYPERLINK("#Roadmap!C"&amp; MATCH($E113,Roadmap!$D:$D,0)+COUNTIF($E113:M113,"u")+COUNTIF($E113:M113,"t")+COUNTIF($E113:M113,"¶")+COUNTIF($E113:M113,"²")+COUNTIF($E113:M113,"µ")+COUNTIF($E113:M113,1)-1,INDEX(Roadmap!$D:$K,MATCH($E113,Roadmap!$D:$D,0)-1+COUNTIF($E113:M113,"u")+COUNTIF($E113:M113,"t")+COUNTIF($E113:M113,"¶")+COUNTIF($E113:M113,"²")+COUNTIF($E113:M113,"µ")+COUNTIF($E113:M113,1),ColDescriptionCourte)),""),
  "")),"")</f>
        <v/>
      </c>
      <c r="O113" s="40" t="str">
        <f ca="1">IFERROR(IF(AND(
  INDEX(Roadmap!$D:$K,MATCH($E113,Roadmap!$D:$D,0)+COUNTIF($E113:N113,"u")+COUNTIF($E113:N113,"t")+COUNTIF($E113:N113,"¶")+COUNTIF($E113:N113,"²")+COUNTIF($E113:N113,"µ")+COUNTIF($E113:N113,1),ColLivraison)=O$6,
  VLOOKUP($E113,INDIRECT("tri!"&amp; CHAR(64+ C0Col) &amp;":"&amp; CHAR(65+C0Col)),2,FALSE)&gt;COUNTIF($E113:N113,"u")+COUNTIF($E113:N113,"t")+COUNTIF($E113:N113,"¶")+COUNTIF($E113:N113,"²")+COUNTIF($E113:N113,"µ")+COUNTIF($E113:N113,1)),
HYPERLINK("#Roadmap!C"&amp; MATCH($E113,Roadmap!$D:$D,0)+COUNTIF($E113:N113,"u")+COUNTIF($E113:N113,"t"),
     INDEX(Roadmap!$D:$K,MATCH($E113,Roadmap!$D:$D,0)+COUNTIF($E113:N113,"u")+COUNTIF($E113:N113,"t")+COUNTIF($E113:N113,"¶")+COUNTIF($E113:N113,"²")+COUNTIF($E113:N113,"µ")+COUNTIF($E113:N113,1),ColTypeEcheance)),
  IF(LEN(N113)=1,
  IF(LEN(INDEX(Roadmap!$D:$K,MATCH($E113,Roadmap!$D:$D,0)-1+COUNTIF($E113:N113,"u")+COUNTIF($E113:N113,"t")+COUNTIF($E113:N113,"¶")+COUNTIF($E113:N113,"²")+COUNTIF($E113:N113,"µ")+COUNTIF($E113:N113,1),ColDescriptionCourte))&gt;1,
HYPERLINK("#Roadmap!C"&amp; MATCH($E113,Roadmap!$D:$D,0)+COUNTIF($E113:N113,"u")+COUNTIF($E113:N113,"t")+COUNTIF($E113:N113,"¶")+COUNTIF($E113:N113,"²")+COUNTIF($E113:N113,"µ")+COUNTIF($E113:N113,1)-1,INDEX(Roadmap!$D:$K,MATCH($E113,Roadmap!$D:$D,0)-1+COUNTIF($E113:N113,"u")+COUNTIF($E113:N113,"t")+COUNTIF($E113:N113,"¶")+COUNTIF($E113:N113,"²")+COUNTIF($E113:N113,"µ")+COUNTIF($E113:N113,1),ColDescriptionCourte)),""),
  "")),"")</f>
        <v/>
      </c>
      <c r="P113" s="40" t="str">
        <f ca="1">IFERROR(IF(AND(
  INDEX(Roadmap!$D:$K,MATCH($E113,Roadmap!$D:$D,0)+COUNTIF($E113:O113,"u")+COUNTIF($E113:O113,"t")+COUNTIF($E113:O113,"¶")+COUNTIF($E113:O113,"²")+COUNTIF($E113:O113,"µ")+COUNTIF($E113:O113,1),ColLivraison)=P$6,
  VLOOKUP($E113,INDIRECT("tri!"&amp; CHAR(64+ C0Col) &amp;":"&amp; CHAR(65+C0Col)),2,FALSE)&gt;COUNTIF($E113:O113,"u")+COUNTIF($E113:O113,"t")+COUNTIF($E113:O113,"¶")+COUNTIF($E113:O113,"²")+COUNTIF($E113:O113,"µ")+COUNTIF($E113:O113,1)),
HYPERLINK("#Roadmap!C"&amp; MATCH($E113,Roadmap!$D:$D,0)+COUNTIF($E113:O113,"u")+COUNTIF($E113:O113,"t"),
     INDEX(Roadmap!$D:$K,MATCH($E113,Roadmap!$D:$D,0)+COUNTIF($E113:O113,"u")+COUNTIF($E113:O113,"t")+COUNTIF($E113:O113,"¶")+COUNTIF($E113:O113,"²")+COUNTIF($E113:O113,"µ")+COUNTIF($E113:O113,1),ColTypeEcheance)),
  IF(LEN(O113)=1,
  IF(LEN(INDEX(Roadmap!$D:$K,MATCH($E113,Roadmap!$D:$D,0)-1+COUNTIF($E113:O113,"u")+COUNTIF($E113:O113,"t")+COUNTIF($E113:O113,"¶")+COUNTIF($E113:O113,"²")+COUNTIF($E113:O113,"µ")+COUNTIF($E113:O113,1),ColDescriptionCourte))&gt;1,
HYPERLINK("#Roadmap!C"&amp; MATCH($E113,Roadmap!$D:$D,0)+COUNTIF($E113:O113,"u")+COUNTIF($E113:O113,"t")+COUNTIF($E113:O113,"¶")+COUNTIF($E113:O113,"²")+COUNTIF($E113:O113,"µ")+COUNTIF($E113:O113,1)-1,INDEX(Roadmap!$D:$K,MATCH($E113,Roadmap!$D:$D,0)-1+COUNTIF($E113:O113,"u")+COUNTIF($E113:O113,"t")+COUNTIF($E113:O113,"¶")+COUNTIF($E113:O113,"²")+COUNTIF($E113:O113,"µ")+COUNTIF($E113:O113,1),ColDescriptionCourte)),""),
  "")),"")</f>
        <v/>
      </c>
      <c r="Q113" s="40" t="str">
        <f ca="1">IFERROR(IF(AND(
  INDEX(Roadmap!$D:$K,MATCH($E113,Roadmap!$D:$D,0)+COUNTIF($E113:P113,"u")+COUNTIF($E113:P113,"t")+COUNTIF($E113:P113,"¶")+COUNTIF($E113:P113,"²")+COUNTIF($E113:P113,"µ")+COUNTIF($E113:P113,1),ColLivraison)=Q$6,
  VLOOKUP($E113,INDIRECT("tri!"&amp; CHAR(64+ C0Col) &amp;":"&amp; CHAR(65+C0Col)),2,FALSE)&gt;COUNTIF($E113:P113,"u")+COUNTIF($E113:P113,"t")+COUNTIF($E113:P113,"¶")+COUNTIF($E113:P113,"²")+COUNTIF($E113:P113,"µ")+COUNTIF($E113:P113,1)),
HYPERLINK("#Roadmap!C"&amp; MATCH($E113,Roadmap!$D:$D,0)+COUNTIF($E113:P113,"u")+COUNTIF($E113:P113,"t"),
     INDEX(Roadmap!$D:$K,MATCH($E113,Roadmap!$D:$D,0)+COUNTIF($E113:P113,"u")+COUNTIF($E113:P113,"t")+COUNTIF($E113:P113,"¶")+COUNTIF($E113:P113,"²")+COUNTIF($E113:P113,"µ")+COUNTIF($E113:P113,1),ColTypeEcheance)),
  IF(LEN(P113)=1,
  IF(LEN(INDEX(Roadmap!$D:$K,MATCH($E113,Roadmap!$D:$D,0)-1+COUNTIF($E113:P113,"u")+COUNTIF($E113:P113,"t")+COUNTIF($E113:P113,"¶")+COUNTIF($E113:P113,"²")+COUNTIF($E113:P113,"µ")+COUNTIF($E113:P113,1),ColDescriptionCourte))&gt;1,
HYPERLINK("#Roadmap!C"&amp; MATCH($E113,Roadmap!$D:$D,0)+COUNTIF($E113:P113,"u")+COUNTIF($E113:P113,"t")+COUNTIF($E113:P113,"¶")+COUNTIF($E113:P113,"²")+COUNTIF($E113:P113,"µ")+COUNTIF($E113:P113,1)-1,INDEX(Roadmap!$D:$K,MATCH($E113,Roadmap!$D:$D,0)-1+COUNTIF($E113:P113,"u")+COUNTIF($E113:P113,"t")+COUNTIF($E113:P113,"¶")+COUNTIF($E113:P113,"²")+COUNTIF($E113:P113,"µ")+COUNTIF($E113:P113,1),ColDescriptionCourte)),""),
  "")),"")</f>
        <v/>
      </c>
      <c r="R113" s="40" t="str">
        <f ca="1">IFERROR(IF(AND(
  INDEX(Roadmap!$D:$K,MATCH($E113,Roadmap!$D:$D,0)+COUNTIF($E113:Q113,"u")+COUNTIF($E113:Q113,"t")+COUNTIF($E113:Q113,"¶")+COUNTIF($E113:Q113,"²")+COUNTIF($E113:Q113,"µ")+COUNTIF($E113:Q113,1),ColLivraison)=R$6,
  VLOOKUP($E113,INDIRECT("tri!"&amp; CHAR(64+ C0Col) &amp;":"&amp; CHAR(65+C0Col)),2,FALSE)&gt;COUNTIF($E113:Q113,"u")+COUNTIF($E113:Q113,"t")+COUNTIF($E113:Q113,"¶")+COUNTIF($E113:Q113,"²")+COUNTIF($E113:Q113,"µ")+COUNTIF($E113:Q113,1)),
HYPERLINK("#Roadmap!C"&amp; MATCH($E113,Roadmap!$D:$D,0)+COUNTIF($E113:Q113,"u")+COUNTIF($E113:Q113,"t"),
     INDEX(Roadmap!$D:$K,MATCH($E113,Roadmap!$D:$D,0)+COUNTIF($E113:Q113,"u")+COUNTIF($E113:Q113,"t")+COUNTIF($E113:Q113,"¶")+COUNTIF($E113:Q113,"²")+COUNTIF($E113:Q113,"µ")+COUNTIF($E113:Q113,1),ColTypeEcheance)),
  IF(LEN(Q113)=1,
  IF(LEN(INDEX(Roadmap!$D:$K,MATCH($E113,Roadmap!$D:$D,0)-1+COUNTIF($E113:Q113,"u")+COUNTIF($E113:Q113,"t")+COUNTIF($E113:Q113,"¶")+COUNTIF($E113:Q113,"²")+COUNTIF($E113:Q113,"µ")+COUNTIF($E113:Q113,1),ColDescriptionCourte))&gt;1,
HYPERLINK("#Roadmap!C"&amp; MATCH($E113,Roadmap!$D:$D,0)+COUNTIF($E113:Q113,"u")+COUNTIF($E113:Q113,"t")+COUNTIF($E113:Q113,"¶")+COUNTIF($E113:Q113,"²")+COUNTIF($E113:Q113,"µ")+COUNTIF($E113:Q113,1)-1,INDEX(Roadmap!$D:$K,MATCH($E113,Roadmap!$D:$D,0)-1+COUNTIF($E113:Q113,"u")+COUNTIF($E113:Q113,"t")+COUNTIF($E113:Q113,"¶")+COUNTIF($E113:Q113,"²")+COUNTIF($E113:Q113,"µ")+COUNTIF($E113:Q113,1),ColDescriptionCourte)),""),
  "")),"")</f>
        <v/>
      </c>
      <c r="S113" s="40" t="str">
        <f ca="1">IFERROR(IF(AND(
  INDEX(Roadmap!$D:$K,MATCH($E113,Roadmap!$D:$D,0)+COUNTIF($E113:R113,"u")+COUNTIF($E113:R113,"t")+COUNTIF($E113:R113,"¶")+COUNTIF($E113:R113,"²")+COUNTIF($E113:R113,"µ")+COUNTIF($E113:R113,1),ColLivraison)=S$6,
  VLOOKUP($E113,INDIRECT("tri!"&amp; CHAR(64+ C0Col) &amp;":"&amp; CHAR(65+C0Col)),2,FALSE)&gt;COUNTIF($E113:R113,"u")+COUNTIF($E113:R113,"t")+COUNTIF($E113:R113,"¶")+COUNTIF($E113:R113,"²")+COUNTIF($E113:R113,"µ")+COUNTIF($E113:R113,1)),
HYPERLINK("#Roadmap!C"&amp; MATCH($E113,Roadmap!$D:$D,0)+COUNTIF($E113:R113,"u")+COUNTIF($E113:R113,"t"),
     INDEX(Roadmap!$D:$K,MATCH($E113,Roadmap!$D:$D,0)+COUNTIF($E113:R113,"u")+COUNTIF($E113:R113,"t")+COUNTIF($E113:R113,"¶")+COUNTIF($E113:R113,"²")+COUNTIF($E113:R113,"µ")+COUNTIF($E113:R113,1),ColTypeEcheance)),
  IF(LEN(R113)=1,
  IF(LEN(INDEX(Roadmap!$D:$K,MATCH($E113,Roadmap!$D:$D,0)-1+COUNTIF($E113:R113,"u")+COUNTIF($E113:R113,"t")+COUNTIF($E113:R113,"¶")+COUNTIF($E113:R113,"²")+COUNTIF($E113:R113,"µ")+COUNTIF($E113:R113,1),ColDescriptionCourte))&gt;1,
HYPERLINK("#Roadmap!C"&amp; MATCH($E113,Roadmap!$D:$D,0)+COUNTIF($E113:R113,"u")+COUNTIF($E113:R113,"t")+COUNTIF($E113:R113,"¶")+COUNTIF($E113:R113,"²")+COUNTIF($E113:R113,"µ")+COUNTIF($E113:R113,1)-1,INDEX(Roadmap!$D:$K,MATCH($E113,Roadmap!$D:$D,0)-1+COUNTIF($E113:R113,"u")+COUNTIF($E113:R113,"t")+COUNTIF($E113:R113,"¶")+COUNTIF($E113:R113,"²")+COUNTIF($E113:R113,"µ")+COUNTIF($E113:R113,1),ColDescriptionCourte)),""),
  "")),"")</f>
        <v/>
      </c>
      <c r="T113" s="40" t="str">
        <f ca="1">IFERROR(IF(AND(
  INDEX(Roadmap!$D:$K,MATCH($E113,Roadmap!$D:$D,0)+COUNTIF($E113:S113,"u")+COUNTIF($E113:S113,"t")+COUNTIF($E113:S113,"¶")+COUNTIF($E113:S113,"²")+COUNTIF($E113:S113,"µ")+COUNTIF($E113:S113,1),ColLivraison)=T$6,
  VLOOKUP($E113,INDIRECT("tri!"&amp; CHAR(64+ C0Col) &amp;":"&amp; CHAR(65+C0Col)),2,FALSE)&gt;COUNTIF($E113:S113,"u")+COUNTIF($E113:S113,"t")+COUNTIF($E113:S113,"¶")+COUNTIF($E113:S113,"²")+COUNTIF($E113:S113,"µ")+COUNTIF($E113:S113,1)),
HYPERLINK("#Roadmap!C"&amp; MATCH($E113,Roadmap!$D:$D,0)+COUNTIF($E113:S113,"u")+COUNTIF($E113:S113,"t"),
     INDEX(Roadmap!$D:$K,MATCH($E113,Roadmap!$D:$D,0)+COUNTIF($E113:S113,"u")+COUNTIF($E113:S113,"t")+COUNTIF($E113:S113,"¶")+COUNTIF($E113:S113,"²")+COUNTIF($E113:S113,"µ")+COUNTIF($E113:S113,1),ColTypeEcheance)),
  IF(LEN(S113)=1,
  IF(LEN(INDEX(Roadmap!$D:$K,MATCH($E113,Roadmap!$D:$D,0)-1+COUNTIF($E113:S113,"u")+COUNTIF($E113:S113,"t")+COUNTIF($E113:S113,"¶")+COUNTIF($E113:S113,"²")+COUNTIF($E113:S113,"µ")+COUNTIF($E113:S113,1),ColDescriptionCourte))&gt;1,
HYPERLINK("#Roadmap!C"&amp; MATCH($E113,Roadmap!$D:$D,0)+COUNTIF($E113:S113,"u")+COUNTIF($E113:S113,"t")+COUNTIF($E113:S113,"¶")+COUNTIF($E113:S113,"²")+COUNTIF($E113:S113,"µ")+COUNTIF($E113:S113,1)-1,INDEX(Roadmap!$D:$K,MATCH($E113,Roadmap!$D:$D,0)-1+COUNTIF($E113:S113,"u")+COUNTIF($E113:S113,"t")+COUNTIF($E113:S113,"¶")+COUNTIF($E113:S113,"²")+COUNTIF($E113:S113,"µ")+COUNTIF($E113:S113,1),ColDescriptionCourte)),""),
  "")),"")</f>
        <v/>
      </c>
      <c r="U113" s="40" t="str">
        <f ca="1">IFERROR(IF(AND(
  INDEX(Roadmap!$D:$K,MATCH($E113,Roadmap!$D:$D,0)+COUNTIF($E113:T113,"u")+COUNTIF($E113:T113,"t")+COUNTIF($E113:T113,"¶")+COUNTIF($E113:T113,"²")+COUNTIF($E113:T113,"µ")+COUNTIF($E113:T113,1),ColLivraison)=U$6,
  VLOOKUP($E113,INDIRECT("tri!"&amp; CHAR(64+ C0Col) &amp;":"&amp; CHAR(65+C0Col)),2,FALSE)&gt;COUNTIF($E113:T113,"u")+COUNTIF($E113:T113,"t")+COUNTIF($E113:T113,"¶")+COUNTIF($E113:T113,"²")+COUNTIF($E113:T113,"µ")+COUNTIF($E113:T113,1)),
HYPERLINK("#Roadmap!C"&amp; MATCH($E113,Roadmap!$D:$D,0)+COUNTIF($E113:T113,"u")+COUNTIF($E113:T113,"t"),
     INDEX(Roadmap!$D:$K,MATCH($E113,Roadmap!$D:$D,0)+COUNTIF($E113:T113,"u")+COUNTIF($E113:T113,"t")+COUNTIF($E113:T113,"¶")+COUNTIF($E113:T113,"²")+COUNTIF($E113:T113,"µ")+COUNTIF($E113:T113,1),ColTypeEcheance)),
  IF(LEN(T113)=1,
  IF(LEN(INDEX(Roadmap!$D:$K,MATCH($E113,Roadmap!$D:$D,0)-1+COUNTIF($E113:T113,"u")+COUNTIF($E113:T113,"t")+COUNTIF($E113:T113,"¶")+COUNTIF($E113:T113,"²")+COUNTIF($E113:T113,"µ")+COUNTIF($E113:T113,1),ColDescriptionCourte))&gt;1,
HYPERLINK("#Roadmap!C"&amp; MATCH($E113,Roadmap!$D:$D,0)+COUNTIF($E113:T113,"u")+COUNTIF($E113:T113,"t")+COUNTIF($E113:T113,"¶")+COUNTIF($E113:T113,"²")+COUNTIF($E113:T113,"µ")+COUNTIF($E113:T113,1)-1,INDEX(Roadmap!$D:$K,MATCH($E113,Roadmap!$D:$D,0)-1+COUNTIF($E113:T113,"u")+COUNTIF($E113:T113,"t")+COUNTIF($E113:T113,"¶")+COUNTIF($E113:T113,"²")+COUNTIF($E113:T113,"µ")+COUNTIF($E113:T113,1),ColDescriptionCourte)),""),
  "")),"")</f>
        <v/>
      </c>
      <c r="V113" s="40" t="str">
        <f ca="1">IFERROR(IF(AND(
  INDEX(Roadmap!$D:$K,MATCH($E113,Roadmap!$D:$D,0)+COUNTIF($E113:U113,"u")+COUNTIF($E113:U113,"t")+COUNTIF($E113:U113,"¶")+COUNTIF($E113:U113,"²")+COUNTIF($E113:U113,"µ")+COUNTIF($E113:U113,1),ColLivraison)=V$6,
  VLOOKUP($E113,INDIRECT("tri!"&amp; CHAR(64+ C0Col) &amp;":"&amp; CHAR(65+C0Col)),2,FALSE)&gt;COUNTIF($E113:U113,"u")+COUNTIF($E113:U113,"t")+COUNTIF($E113:U113,"¶")+COUNTIF($E113:U113,"²")+COUNTIF($E113:U113,"µ")+COUNTIF($E113:U113,1)),
HYPERLINK("#Roadmap!C"&amp; MATCH($E113,Roadmap!$D:$D,0)+COUNTIF($E113:U113,"u")+COUNTIF($E113:U113,"t"),
     INDEX(Roadmap!$D:$K,MATCH($E113,Roadmap!$D:$D,0)+COUNTIF($E113:U113,"u")+COUNTIF($E113:U113,"t")+COUNTIF($E113:U113,"¶")+COUNTIF($E113:U113,"²")+COUNTIF($E113:U113,"µ")+COUNTIF($E113:U113,1),ColTypeEcheance)),
  IF(LEN(U113)=1,
  IF(LEN(INDEX(Roadmap!$D:$K,MATCH($E113,Roadmap!$D:$D,0)-1+COUNTIF($E113:U113,"u")+COUNTIF($E113:U113,"t")+COUNTIF($E113:U113,"¶")+COUNTIF($E113:U113,"²")+COUNTIF($E113:U113,"µ")+COUNTIF($E113:U113,1),ColDescriptionCourte))&gt;1,
HYPERLINK("#Roadmap!C"&amp; MATCH($E113,Roadmap!$D:$D,0)+COUNTIF($E113:U113,"u")+COUNTIF($E113:U113,"t")+COUNTIF($E113:U113,"¶")+COUNTIF($E113:U113,"²")+COUNTIF($E113:U113,"µ")+COUNTIF($E113:U113,1)-1,INDEX(Roadmap!$D:$K,MATCH($E113,Roadmap!$D:$D,0)-1+COUNTIF($E113:U113,"u")+COUNTIF($E113:U113,"t")+COUNTIF($E113:U113,"¶")+COUNTIF($E113:U113,"²")+COUNTIF($E113:U113,"µ")+COUNTIF($E113:U113,1),ColDescriptionCourte)),""),
  "")),"")</f>
        <v/>
      </c>
      <c r="W113" s="40" t="str">
        <f ca="1">IFERROR(IF(AND(
  INDEX(Roadmap!$D:$K,MATCH($E113,Roadmap!$D:$D,0)+COUNTIF($E113:V113,"u")+COUNTIF($E113:V113,"t")+COUNTIF($E113:V113,"¶")+COUNTIF($E113:V113,"²")+COUNTIF($E113:V113,"µ")+COUNTIF($E113:V113,1),ColLivraison)=W$6,
  VLOOKUP($E113,INDIRECT("tri!"&amp; CHAR(64+ C0Col) &amp;":"&amp; CHAR(65+C0Col)),2,FALSE)&gt;COUNTIF($E113:V113,"u")+COUNTIF($E113:V113,"t")+COUNTIF($E113:V113,"¶")+COUNTIF($E113:V113,"²")+COUNTIF($E113:V113,"µ")+COUNTIF($E113:V113,1)),
HYPERLINK("#Roadmap!C"&amp; MATCH($E113,Roadmap!$D:$D,0)+COUNTIF($E113:V113,"u")+COUNTIF($E113:V113,"t"),
     INDEX(Roadmap!$D:$K,MATCH($E113,Roadmap!$D:$D,0)+COUNTIF($E113:V113,"u")+COUNTIF($E113:V113,"t")+COUNTIF($E113:V113,"¶")+COUNTIF($E113:V113,"²")+COUNTIF($E113:V113,"µ")+COUNTIF($E113:V113,1),ColTypeEcheance)),
  IF(LEN(V113)=1,
  IF(LEN(INDEX(Roadmap!$D:$K,MATCH($E113,Roadmap!$D:$D,0)-1+COUNTIF($E113:V113,"u")+COUNTIF($E113:V113,"t")+COUNTIF($E113:V113,"¶")+COUNTIF($E113:V113,"²")+COUNTIF($E113:V113,"µ")+COUNTIF($E113:V113,1),ColDescriptionCourte))&gt;1,
HYPERLINK("#Roadmap!C"&amp; MATCH($E113,Roadmap!$D:$D,0)+COUNTIF($E113:V113,"u")+COUNTIF($E113:V113,"t")+COUNTIF($E113:V113,"¶")+COUNTIF($E113:V113,"²")+COUNTIF($E113:V113,"µ")+COUNTIF($E113:V113,1)-1,INDEX(Roadmap!$D:$K,MATCH($E113,Roadmap!$D:$D,0)-1+COUNTIF($E113:V113,"u")+COUNTIF($E113:V113,"t")+COUNTIF($E113:V113,"¶")+COUNTIF($E113:V113,"²")+COUNTIF($E113:V113,"µ")+COUNTIF($E113:V113,1),ColDescriptionCourte)),""),
  "")),"")</f>
        <v/>
      </c>
      <c r="X113" s="40" t="str">
        <f ca="1">IFERROR(IF(AND(
  INDEX(Roadmap!$D:$K,MATCH($E113,Roadmap!$D:$D,0)+COUNTIF($E113:W113,"u")+COUNTIF($E113:W113,"t")+COUNTIF($E113:W113,"¶")+COUNTIF($E113:W113,"²")+COUNTIF($E113:W113,"µ")+COUNTIF($E113:W113,1),ColLivraison)=X$6,
  VLOOKUP($E113,INDIRECT("tri!"&amp; CHAR(64+ C0Col) &amp;":"&amp; CHAR(65+C0Col)),2,FALSE)&gt;COUNTIF($E113:W113,"u")+COUNTIF($E113:W113,"t")+COUNTIF($E113:W113,"¶")+COUNTIF($E113:W113,"²")+COUNTIF($E113:W113,"µ")+COUNTIF($E113:W113,1)),
HYPERLINK("#Roadmap!C"&amp; MATCH($E113,Roadmap!$D:$D,0)+COUNTIF($E113:W113,"u")+COUNTIF($E113:W113,"t"),
     INDEX(Roadmap!$D:$K,MATCH($E113,Roadmap!$D:$D,0)+COUNTIF($E113:W113,"u")+COUNTIF($E113:W113,"t")+COUNTIF($E113:W113,"¶")+COUNTIF($E113:W113,"²")+COUNTIF($E113:W113,"µ")+COUNTIF($E113:W113,1),ColTypeEcheance)),
  IF(LEN(W113)=1,
  IF(LEN(INDEX(Roadmap!$D:$K,MATCH($E113,Roadmap!$D:$D,0)-1+COUNTIF($E113:W113,"u")+COUNTIF($E113:W113,"t")+COUNTIF($E113:W113,"¶")+COUNTIF($E113:W113,"²")+COUNTIF($E113:W113,"µ")+COUNTIF($E113:W113,1),ColDescriptionCourte))&gt;1,
HYPERLINK("#Roadmap!C"&amp; MATCH($E113,Roadmap!$D:$D,0)+COUNTIF($E113:W113,"u")+COUNTIF($E113:W113,"t")+COUNTIF($E113:W113,"¶")+COUNTIF($E113:W113,"²")+COUNTIF($E113:W113,"µ")+COUNTIF($E113:W113,1)-1,INDEX(Roadmap!$D:$K,MATCH($E113,Roadmap!$D:$D,0)-1+COUNTIF($E113:W113,"u")+COUNTIF($E113:W113,"t")+COUNTIF($E113:W113,"¶")+COUNTIF($E113:W113,"²")+COUNTIF($E113:W113,"µ")+COUNTIF($E113:W113,1),ColDescriptionCourte)),""),
  "")),"")</f>
        <v/>
      </c>
      <c r="Y113" s="40" t="str">
        <f ca="1">IFERROR(IF(AND(
  INDEX(Roadmap!$D:$K,MATCH($E113,Roadmap!$D:$D,0)+COUNTIF($E113:X113,"u")+COUNTIF($E113:X113,"t")+COUNTIF($E113:X113,"¶")+COUNTIF($E113:X113,"²")+COUNTIF($E113:X113,"µ")+COUNTIF($E113:X113,1),ColLivraison)=Y$6,
  VLOOKUP($E113,INDIRECT("tri!"&amp; CHAR(64+ C0Col) &amp;":"&amp; CHAR(65+C0Col)),2,FALSE)&gt;COUNTIF($E113:X113,"u")+COUNTIF($E113:X113,"t")+COUNTIF($E113:X113,"¶")+COUNTIF($E113:X113,"²")+COUNTIF($E113:X113,"µ")+COUNTIF($E113:X113,1)),
HYPERLINK("#Roadmap!C"&amp; MATCH($E113,Roadmap!$D:$D,0)+COUNTIF($E113:X113,"u")+COUNTIF($E113:X113,"t"),
     INDEX(Roadmap!$D:$K,MATCH($E113,Roadmap!$D:$D,0)+COUNTIF($E113:X113,"u")+COUNTIF($E113:X113,"t")+COUNTIF($E113:X113,"¶")+COUNTIF($E113:X113,"²")+COUNTIF($E113:X113,"µ")+COUNTIF($E113:X113,1),ColTypeEcheance)),
  IF(LEN(X113)=1,
  IF(LEN(INDEX(Roadmap!$D:$K,MATCH($E113,Roadmap!$D:$D,0)-1+COUNTIF($E113:X113,"u")+COUNTIF($E113:X113,"t")+COUNTIF($E113:X113,"¶")+COUNTIF($E113:X113,"²")+COUNTIF($E113:X113,"µ")+COUNTIF($E113:X113,1),ColDescriptionCourte))&gt;1,
HYPERLINK("#Roadmap!C"&amp; MATCH($E113,Roadmap!$D:$D,0)+COUNTIF($E113:X113,"u")+COUNTIF($E113:X113,"t")+COUNTIF($E113:X113,"¶")+COUNTIF($E113:X113,"²")+COUNTIF($E113:X113,"µ")+COUNTIF($E113:X113,1)-1,INDEX(Roadmap!$D:$K,MATCH($E113,Roadmap!$D:$D,0)-1+COUNTIF($E113:X113,"u")+COUNTIF($E113:X113,"t")+COUNTIF($E113:X113,"¶")+COUNTIF($E113:X113,"²")+COUNTIF($E113:X113,"µ")+COUNTIF($E113:X113,1),ColDescriptionCourte)),""),
  "")),"")</f>
        <v/>
      </c>
      <c r="Z113" s="40" t="str">
        <f ca="1">IFERROR(IF(AND(
  INDEX(Roadmap!$D:$K,MATCH($E113,Roadmap!$D:$D,0)+COUNTIF($E113:Y113,"u")+COUNTIF($E113:Y113,"t")+COUNTIF($E113:Y113,"¶")+COUNTIF($E113:Y113,"²")+COUNTIF($E113:Y113,"µ")+COUNTIF($E113:Y113,1),ColLivraison)=Z$6,
  VLOOKUP($E113,INDIRECT("tri!"&amp; CHAR(64+ C0Col) &amp;":"&amp; CHAR(65+C0Col)),2,FALSE)&gt;COUNTIF($E113:Y113,"u")+COUNTIF($E113:Y113,"t")+COUNTIF($E113:Y113,"¶")+COUNTIF($E113:Y113,"²")+COUNTIF($E113:Y113,"µ")+COUNTIF($E113:Y113,1)),
HYPERLINK("#Roadmap!C"&amp; MATCH($E113,Roadmap!$D:$D,0)+COUNTIF($E113:Y113,"u")+COUNTIF($E113:Y113,"t"),
     INDEX(Roadmap!$D:$K,MATCH($E113,Roadmap!$D:$D,0)+COUNTIF($E113:Y113,"u")+COUNTIF($E113:Y113,"t")+COUNTIF($E113:Y113,"¶")+COUNTIF($E113:Y113,"²")+COUNTIF($E113:Y113,"µ")+COUNTIF($E113:Y113,1),ColTypeEcheance)),
  IF(LEN(Y113)=1,
  IF(LEN(INDEX(Roadmap!$D:$K,MATCH($E113,Roadmap!$D:$D,0)-1+COUNTIF($E113:Y113,"u")+COUNTIF($E113:Y113,"t")+COUNTIF($E113:Y113,"¶")+COUNTIF($E113:Y113,"²")+COUNTIF($E113:Y113,"µ")+COUNTIF($E113:Y113,1),ColDescriptionCourte))&gt;1,
HYPERLINK("#Roadmap!C"&amp; MATCH($E113,Roadmap!$D:$D,0)+COUNTIF($E113:Y113,"u")+COUNTIF($E113:Y113,"t")+COUNTIF($E113:Y113,"¶")+COUNTIF($E113:Y113,"²")+COUNTIF($E113:Y113,"µ")+COUNTIF($E113:Y113,1)-1,INDEX(Roadmap!$D:$K,MATCH($E113,Roadmap!$D:$D,0)-1+COUNTIF($E113:Y113,"u")+COUNTIF($E113:Y113,"t")+COUNTIF($E113:Y113,"¶")+COUNTIF($E113:Y113,"²")+COUNTIF($E113:Y113,"µ")+COUNTIF($E113:Y113,1),ColDescriptionCourte)),""),
  "")),"")</f>
        <v/>
      </c>
      <c r="AA113" s="40" t="str">
        <f ca="1">IFERROR(IF(AND(
  INDEX(Roadmap!$D:$K,MATCH($E113,Roadmap!$D:$D,0)+COUNTIF($E113:Z113,"u")+COUNTIF($E113:Z113,"t")+COUNTIF($E113:Z113,"¶")+COUNTIF($E113:Z113,"²")+COUNTIF($E113:Z113,"µ")+COUNTIF($E113:Z113,1),ColLivraison)=AA$6,
  VLOOKUP($E113,INDIRECT("tri!"&amp; CHAR(64+ C0Col) &amp;":"&amp; CHAR(65+C0Col)),2,FALSE)&gt;COUNTIF($E113:Z113,"u")+COUNTIF($E113:Z113,"t")+COUNTIF($E113:Z113,"¶")+COUNTIF($E113:Z113,"²")+COUNTIF($E113:Z113,"µ")+COUNTIF($E113:Z113,1)),
HYPERLINK("#Roadmap!C"&amp; MATCH($E113,Roadmap!$D:$D,0)+COUNTIF($E113:Z113,"u")+COUNTIF($E113:Z113,"t"),
     INDEX(Roadmap!$D:$K,MATCH($E113,Roadmap!$D:$D,0)+COUNTIF($E113:Z113,"u")+COUNTIF($E113:Z113,"t")+COUNTIF($E113:Z113,"¶")+COUNTIF($E113:Z113,"²")+COUNTIF($E113:Z113,"µ")+COUNTIF($E113:Z113,1),ColTypeEcheance)),
  IF(LEN(Z113)=1,
  IF(LEN(INDEX(Roadmap!$D:$K,MATCH($E113,Roadmap!$D:$D,0)-1+COUNTIF($E113:Z113,"u")+COUNTIF($E113:Z113,"t")+COUNTIF($E113:Z113,"¶")+COUNTIF($E113:Z113,"²")+COUNTIF($E113:Z113,"µ")+COUNTIF($E113:Z113,1),ColDescriptionCourte))&gt;1,
HYPERLINK("#Roadmap!C"&amp; MATCH($E113,Roadmap!$D:$D,0)+COUNTIF($E113:Z113,"u")+COUNTIF($E113:Z113,"t")+COUNTIF($E113:Z113,"¶")+COUNTIF($E113:Z113,"²")+COUNTIF($E113:Z113,"µ")+COUNTIF($E113:Z113,1)-1,INDEX(Roadmap!$D:$K,MATCH($E113,Roadmap!$D:$D,0)-1+COUNTIF($E113:Z113,"u")+COUNTIF($E113:Z113,"t")+COUNTIF($E113:Z113,"¶")+COUNTIF($E113:Z113,"²")+COUNTIF($E113:Z113,"µ")+COUNTIF($E113:Z113,1),ColDescriptionCourte)),""),
  "")),"")</f>
        <v/>
      </c>
      <c r="AB113" s="40" t="str">
        <f ca="1">IFERROR(IF(AND(
  INDEX(Roadmap!$D:$K,MATCH($E113,Roadmap!$D:$D,0)+COUNTIF($E113:AA113,"u")+COUNTIF($E113:AA113,"t")+COUNTIF($E113:AA113,"¶")+COUNTIF($E113:AA113,"²")+COUNTIF($E113:AA113,"µ")+COUNTIF($E113:AA113,1),ColLivraison)=AB$6,
  VLOOKUP($E113,INDIRECT("tri!"&amp; CHAR(64+ C0Col) &amp;":"&amp; CHAR(65+C0Col)),2,FALSE)&gt;COUNTIF($E113:AA113,"u")+COUNTIF($E113:AA113,"t")+COUNTIF($E113:AA113,"¶")+COUNTIF($E113:AA113,"²")+COUNTIF($E113:AA113,"µ")+COUNTIF($E113:AA113,1)),
HYPERLINK("#Roadmap!C"&amp; MATCH($E113,Roadmap!$D:$D,0)+COUNTIF($E113:AA113,"u")+COUNTIF($E113:AA113,"t"),
     INDEX(Roadmap!$D:$K,MATCH($E113,Roadmap!$D:$D,0)+COUNTIF($E113:AA113,"u")+COUNTIF($E113:AA113,"t")+COUNTIF($E113:AA113,"¶")+COUNTIF($E113:AA113,"²")+COUNTIF($E113:AA113,"µ")+COUNTIF($E113:AA113,1),ColTypeEcheance)),
  IF(LEN(AA113)=1,
  IF(LEN(INDEX(Roadmap!$D:$K,MATCH($E113,Roadmap!$D:$D,0)-1+COUNTIF($E113:AA113,"u")+COUNTIF($E113:AA113,"t")+COUNTIF($E113:AA113,"¶")+COUNTIF($E113:AA113,"²")+COUNTIF($E113:AA113,"µ")+COUNTIF($E113:AA113,1),ColDescriptionCourte))&gt;1,
HYPERLINK("#Roadmap!C"&amp; MATCH($E113,Roadmap!$D:$D,0)+COUNTIF($E113:AA113,"u")+COUNTIF($E113:AA113,"t")+COUNTIF($E113:AA113,"¶")+COUNTIF($E113:AA113,"²")+COUNTIF($E113:AA113,"µ")+COUNTIF($E113:AA113,1)-1,INDEX(Roadmap!$D:$K,MATCH($E113,Roadmap!$D:$D,0)-1+COUNTIF($E113:AA113,"u")+COUNTIF($E113:AA113,"t")+COUNTIF($E113:AA113,"¶")+COUNTIF($E113:AA113,"²")+COUNTIF($E113:AA113,"µ")+COUNTIF($E113:AA113,1),ColDescriptionCourte)),""),
  "")),"")</f>
        <v/>
      </c>
      <c r="AC113" s="40" t="str">
        <f ca="1">IFERROR(IF(AND(
  INDEX(Roadmap!$D:$K,MATCH($E113,Roadmap!$D:$D,0)+COUNTIF($E113:AB113,"u")+COUNTIF($E113:AB113,"t")+COUNTIF($E113:AB113,"¶")+COUNTIF($E113:AB113,"²")+COUNTIF($E113:AB113,"µ")+COUNTIF($E113:AB113,1),ColLivraison)=AC$6,
  VLOOKUP($E113,INDIRECT("tri!"&amp; CHAR(64+ C0Col) &amp;":"&amp; CHAR(65+C0Col)),2,FALSE)&gt;COUNTIF($E113:AB113,"u")+COUNTIF($E113:AB113,"t")+COUNTIF($E113:AB113,"¶")+COUNTIF($E113:AB113,"²")+COUNTIF($E113:AB113,"µ")+COUNTIF($E113:AB113,1)),
HYPERLINK("#Roadmap!C"&amp; MATCH($E113,Roadmap!$D:$D,0)+COUNTIF($E113:AB113,"u")+COUNTIF($E113:AB113,"t"),
     INDEX(Roadmap!$D:$K,MATCH($E113,Roadmap!$D:$D,0)+COUNTIF($E113:AB113,"u")+COUNTIF($E113:AB113,"t")+COUNTIF($E113:AB113,"¶")+COUNTIF($E113:AB113,"²")+COUNTIF($E113:AB113,"µ")+COUNTIF($E113:AB113,1),ColTypeEcheance)),
  IF(LEN(AB113)=1,
  IF(LEN(INDEX(Roadmap!$D:$K,MATCH($E113,Roadmap!$D:$D,0)-1+COUNTIF($E113:AB113,"u")+COUNTIF($E113:AB113,"t")+COUNTIF($E113:AB113,"¶")+COUNTIF($E113:AB113,"²")+COUNTIF($E113:AB113,"µ")+COUNTIF($E113:AB113,1),ColDescriptionCourte))&gt;1,
HYPERLINK("#Roadmap!C"&amp; MATCH($E113,Roadmap!$D:$D,0)+COUNTIF($E113:AB113,"u")+COUNTIF($E113:AB113,"t")+COUNTIF($E113:AB113,"¶")+COUNTIF($E113:AB113,"²")+COUNTIF($E113:AB113,"µ")+COUNTIF($E113:AB113,1)-1,INDEX(Roadmap!$D:$K,MATCH($E113,Roadmap!$D:$D,0)-1+COUNTIF($E113:AB113,"u")+COUNTIF($E113:AB113,"t")+COUNTIF($E113:AB113,"¶")+COUNTIF($E113:AB113,"²")+COUNTIF($E113:AB113,"µ")+COUNTIF($E113:AB113,1),ColDescriptionCourte)),""),
  "")),"")</f>
        <v/>
      </c>
      <c r="AD113" s="40" t="str">
        <f ca="1">IFERROR(IF(AND(
  INDEX(Roadmap!$D:$K,MATCH($E113,Roadmap!$D:$D,0)+COUNTIF($E113:AC113,"u")+COUNTIF($E113:AC113,"t")+COUNTIF($E113:AC113,"¶")+COUNTIF($E113:AC113,"²")+COUNTIF($E113:AC113,"µ")+COUNTIF($E113:AC113,1),ColLivraison)=AD$6,
  VLOOKUP($E113,INDIRECT("tri!"&amp; CHAR(64+ C0Col) &amp;":"&amp; CHAR(65+C0Col)),2,FALSE)&gt;COUNTIF($E113:AC113,"u")+COUNTIF($E113:AC113,"t")+COUNTIF($E113:AC113,"¶")+COUNTIF($E113:AC113,"²")+COUNTIF($E113:AC113,"µ")+COUNTIF($E113:AC113,1)),
HYPERLINK("#Roadmap!C"&amp; MATCH($E113,Roadmap!$D:$D,0)+COUNTIF($E113:AC113,"u")+COUNTIF($E113:AC113,"t"),
     INDEX(Roadmap!$D:$K,MATCH($E113,Roadmap!$D:$D,0)+COUNTIF($E113:AC113,"u")+COUNTIF($E113:AC113,"t")+COUNTIF($E113:AC113,"¶")+COUNTIF($E113:AC113,"²")+COUNTIF($E113:AC113,"µ")+COUNTIF($E113:AC113,1),ColTypeEcheance)),
  IF(LEN(AC113)=1,
  IF(LEN(INDEX(Roadmap!$D:$K,MATCH($E113,Roadmap!$D:$D,0)-1+COUNTIF($E113:AC113,"u")+COUNTIF($E113:AC113,"t")+COUNTIF($E113:AC113,"¶")+COUNTIF($E113:AC113,"²")+COUNTIF($E113:AC113,"µ")+COUNTIF($E113:AC113,1),ColDescriptionCourte))&gt;1,
HYPERLINK("#Roadmap!C"&amp; MATCH($E113,Roadmap!$D:$D,0)+COUNTIF($E113:AC113,"u")+COUNTIF($E113:AC113,"t")+COUNTIF($E113:AC113,"¶")+COUNTIF($E113:AC113,"²")+COUNTIF($E113:AC113,"µ")+COUNTIF($E113:AC113,1)-1,INDEX(Roadmap!$D:$K,MATCH($E113,Roadmap!$D:$D,0)-1+COUNTIF($E113:AC113,"u")+COUNTIF($E113:AC113,"t")+COUNTIF($E113:AC113,"¶")+COUNTIF($E113:AC113,"²")+COUNTIF($E113:AC113,"µ")+COUNTIF($E113:AC113,1),ColDescriptionCourte)),""),
  "")),"")</f>
        <v/>
      </c>
      <c r="AE113" s="40" t="str">
        <f ca="1">IFERROR(IF(AND(
  INDEX(Roadmap!$D:$K,MATCH($E113,Roadmap!$D:$D,0)+COUNTIF($E113:AD113,"u")+COUNTIF($E113:AD113,"t")+COUNTIF($E113:AD113,"¶")+COUNTIF($E113:AD113,"²")+COUNTIF($E113:AD113,"µ")+COUNTIF($E113:AD113,1),ColLivraison)=AE$6,
  VLOOKUP($E113,INDIRECT("tri!"&amp; CHAR(64+ C0Col) &amp;":"&amp; CHAR(65+C0Col)),2,FALSE)&gt;COUNTIF($E113:AD113,"u")+COUNTIF($E113:AD113,"t")+COUNTIF($E113:AD113,"¶")+COUNTIF($E113:AD113,"²")+COUNTIF($E113:AD113,"µ")+COUNTIF($E113:AD113,1)),
HYPERLINK("#Roadmap!C"&amp; MATCH($E113,Roadmap!$D:$D,0)+COUNTIF($E113:AD113,"u")+COUNTIF($E113:AD113,"t"),
     INDEX(Roadmap!$D:$K,MATCH($E113,Roadmap!$D:$D,0)+COUNTIF($E113:AD113,"u")+COUNTIF($E113:AD113,"t")+COUNTIF($E113:AD113,"¶")+COUNTIF($E113:AD113,"²")+COUNTIF($E113:AD113,"µ")+COUNTIF($E113:AD113,1),ColTypeEcheance)),
  IF(LEN(AD113)=1,
  IF(LEN(INDEX(Roadmap!$D:$K,MATCH($E113,Roadmap!$D:$D,0)-1+COUNTIF($E113:AD113,"u")+COUNTIF($E113:AD113,"t")+COUNTIF($E113:AD113,"¶")+COUNTIF($E113:AD113,"²")+COUNTIF($E113:AD113,"µ")+COUNTIF($E113:AD113,1),ColDescriptionCourte))&gt;1,
HYPERLINK("#Roadmap!C"&amp; MATCH($E113,Roadmap!$D:$D,0)+COUNTIF($E113:AD113,"u")+COUNTIF($E113:AD113,"t")+COUNTIF($E113:AD113,"¶")+COUNTIF($E113:AD113,"²")+COUNTIF($E113:AD113,"µ")+COUNTIF($E113:AD113,1)-1,INDEX(Roadmap!$D:$K,MATCH($E113,Roadmap!$D:$D,0)-1+COUNTIF($E113:AD113,"u")+COUNTIF($E113:AD113,"t")+COUNTIF($E113:AD113,"¶")+COUNTIF($E113:AD113,"²")+COUNTIF($E113:AD113,"µ")+COUNTIF($E113:AD113,1),ColDescriptionCourte)),""),
  "")),"")</f>
        <v/>
      </c>
      <c r="AF113" s="40" t="str">
        <f ca="1">IFERROR(IF(AND(
  INDEX(Roadmap!$D:$K,MATCH($E113,Roadmap!$D:$D,0)+COUNTIF($E113:AE113,"u")+COUNTIF($E113:AE113,"t")+COUNTIF($E113:AE113,"¶")+COUNTIF($E113:AE113,"²")+COUNTIF($E113:AE113,"µ")+COUNTIF($E113:AE113,1),ColLivraison)=AF$6,
  VLOOKUP($E113,INDIRECT("tri!"&amp; CHAR(64+ C0Col) &amp;":"&amp; CHAR(65+C0Col)),2,FALSE)&gt;COUNTIF($E113:AE113,"u")+COUNTIF($E113:AE113,"t")+COUNTIF($E113:AE113,"¶")+COUNTIF($E113:AE113,"²")+COUNTIF($E113:AE113,"µ")+COUNTIF($E113:AE113,1)),
HYPERLINK("#Roadmap!C"&amp; MATCH($E113,Roadmap!$D:$D,0)+COUNTIF($E113:AE113,"u")+COUNTIF($E113:AE113,"t"),
     INDEX(Roadmap!$D:$K,MATCH($E113,Roadmap!$D:$D,0)+COUNTIF($E113:AE113,"u")+COUNTIF($E113:AE113,"t")+COUNTIF($E113:AE113,"¶")+COUNTIF($E113:AE113,"²")+COUNTIF($E113:AE113,"µ")+COUNTIF($E113:AE113,1),ColTypeEcheance)),
  IF(LEN(AE113)=1,
  IF(LEN(INDEX(Roadmap!$D:$K,MATCH($E113,Roadmap!$D:$D,0)-1+COUNTIF($E113:AE113,"u")+COUNTIF($E113:AE113,"t")+COUNTIF($E113:AE113,"¶")+COUNTIF($E113:AE113,"²")+COUNTIF($E113:AE113,"µ")+COUNTIF($E113:AE113,1),ColDescriptionCourte))&gt;1,
HYPERLINK("#Roadmap!C"&amp; MATCH($E113,Roadmap!$D:$D,0)+COUNTIF($E113:AE113,"u")+COUNTIF($E113:AE113,"t")+COUNTIF($E113:AE113,"¶")+COUNTIF($E113:AE113,"²")+COUNTIF($E113:AE113,"µ")+COUNTIF($E113:AE113,1)-1,INDEX(Roadmap!$D:$K,MATCH($E113,Roadmap!$D:$D,0)-1+COUNTIF($E113:AE113,"u")+COUNTIF($E113:AE113,"t")+COUNTIF($E113:AE113,"¶")+COUNTIF($E113:AE113,"²")+COUNTIF($E113:AE113,"µ")+COUNTIF($E113:AE113,1),ColDescriptionCourte)),""),
  "")),"")</f>
        <v/>
      </c>
      <c r="AG113" s="40" t="str">
        <f ca="1">IFERROR(IF(AND(
  INDEX(Roadmap!$D:$K,MATCH($E113,Roadmap!$D:$D,0)+COUNTIF($E113:AF113,"u")+COUNTIF($E113:AF113,"t")+COUNTIF($E113:AF113,"¶")+COUNTIF($E113:AF113,"²")+COUNTIF($E113:AF113,"µ")+COUNTIF($E113:AF113,1),ColLivraison)=AG$6,
  VLOOKUP($E113,INDIRECT("tri!"&amp; CHAR(64+ C0Col) &amp;":"&amp; CHAR(65+C0Col)),2,FALSE)&gt;COUNTIF($E113:AF113,"u")+COUNTIF($E113:AF113,"t")+COUNTIF($E113:AF113,"¶")+COUNTIF($E113:AF113,"²")+COUNTIF($E113:AF113,"µ")+COUNTIF($E113:AF113,1)),
HYPERLINK("#Roadmap!C"&amp; MATCH($E113,Roadmap!$D:$D,0)+COUNTIF($E113:AF113,"u")+COUNTIF($E113:AF113,"t"),
     INDEX(Roadmap!$D:$K,MATCH($E113,Roadmap!$D:$D,0)+COUNTIF($E113:AF113,"u")+COUNTIF($E113:AF113,"t")+COUNTIF($E113:AF113,"¶")+COUNTIF($E113:AF113,"²")+COUNTIF($E113:AF113,"µ")+COUNTIF($E113:AF113,1),ColTypeEcheance)),
  IF(LEN(AF113)=1,
  IF(LEN(INDEX(Roadmap!$D:$K,MATCH($E113,Roadmap!$D:$D,0)-1+COUNTIF($E113:AF113,"u")+COUNTIF($E113:AF113,"t")+COUNTIF($E113:AF113,"¶")+COUNTIF($E113:AF113,"²")+COUNTIF($E113:AF113,"µ")+COUNTIF($E113:AF113,1),ColDescriptionCourte))&gt;1,
HYPERLINK("#Roadmap!C"&amp; MATCH($E113,Roadmap!$D:$D,0)+COUNTIF($E113:AF113,"u")+COUNTIF($E113:AF113,"t")+COUNTIF($E113:AF113,"¶")+COUNTIF($E113:AF113,"²")+COUNTIF($E113:AF113,"µ")+COUNTIF($E113:AF113,1)-1,INDEX(Roadmap!$D:$K,MATCH($E113,Roadmap!$D:$D,0)-1+COUNTIF($E113:AF113,"u")+COUNTIF($E113:AF113,"t")+COUNTIF($E113:AF113,"¶")+COUNTIF($E113:AF113,"²")+COUNTIF($E113:AF113,"µ")+COUNTIF($E113:AF113,1),ColDescriptionCourte)),""),
  "")),"")</f>
        <v/>
      </c>
    </row>
    <row r="114" spans="3:33" ht="14.25" customHeight="1">
      <c r="C114" s="1" t="str">
        <f t="shared" ca="1" si="49"/>
        <v/>
      </c>
      <c r="D114" s="1" t="str">
        <f t="shared" ca="1" si="50"/>
        <v/>
      </c>
      <c r="E114" s="35" t="str">
        <f t="shared" ca="1" si="46"/>
        <v/>
      </c>
      <c r="F114" s="39" t="str">
        <f ca="1">IFERROR(IF(AND(
  INDEX(Roadmap!$D:$K,MATCH($E114,Roadmap!$D:$D,0)+COUNTIF($E114:E114,"u")+COUNTIF($E114:E114,"t")+COUNTIF($E114:E114,"¶")+COUNTIF($E114:E114,"²")+COUNTIF($E114:E114,"µ")+COUNTIF($E114:E114,1),ColLivraison)=F$6,
  VLOOKUP($E114,INDIRECT("tri!"&amp; CHAR(64+ C0Col) &amp;":"&amp; CHAR(65+C0Col)),2,FALSE)&gt;COUNTIF($E114:E114,"u")+COUNTIF($E114:E114,"t")+COUNTIF($E114:E114,"¶")+COUNTIF($E114:E114,"²")+COUNTIF($E114:E114,"µ")+COUNTIF($E114:E114,1)),
HYPERLINK("#Roadmap!C"&amp; MATCH($E114,Roadmap!$D:$D,0)+COUNTIF($E114:E114,"u")+COUNTIF($E114:E114,"t"),
     INDEX(Roadmap!$D:$K,MATCH($E114,Roadmap!$D:$D,0)+COUNTIF($E114:E114,"u")+COUNTIF($E114:E114,"t")+COUNTIF($E114:E114,"¶")+COUNTIF($E114:E114,"²")+COUNTIF($E114:E114,"µ")+COUNTIF($E114:E114,1),ColTypeEcheance)),
  IF(LEN(E114)=1,
  IF(LEN(INDEX(Roadmap!$D:$K,MATCH($E114,Roadmap!$D:$D,0)-1+COUNTIF($E114:E114,"u")+COUNTIF($E114:E114,"t")+COUNTIF($E114:E114,"¶")+COUNTIF($E114:E114,"²")+COUNTIF($E114:E114,"µ")+COUNTIF($E114:E114,1),ColDescriptionCourte))&gt;1,
HYPERLINK("#Roadmap!C"&amp; MATCH($E114,Roadmap!$D:$D,0)+COUNTIF($E114:E114,"u")+COUNTIF($E114:E114,"t")+COUNTIF($E114:E114,"¶")+COUNTIF($E114:E114,"²")+COUNTIF($E114:E114,"µ")+COUNTIF($E114:E114,1)-1,INDEX(Roadmap!$D:$K,MATCH($E114,Roadmap!$D:$D,0)-1+COUNTIF($E114:E114,"u")+COUNTIF($E114:E114,"t")+COUNTIF($E114:E114,"¶")+COUNTIF($E114:E114,"²")+COUNTIF($E114:E114,"µ")+COUNTIF($E114:E114,1),ColDescriptionCourte)),""),
  "")),"")</f>
        <v/>
      </c>
      <c r="G114" s="40" t="str">
        <f ca="1">IFERROR(IF(AND(
  INDEX(Roadmap!$D:$K,MATCH($E114,Roadmap!$D:$D,0)+COUNTIF($E114:F114,"u")+COUNTIF($E114:F114,"t")+COUNTIF($E114:F114,"¶")+COUNTIF($E114:F114,"²")+COUNTIF($E114:F114,"µ")+COUNTIF($E114:F114,1),ColLivraison)=G$6,
  VLOOKUP($E114,INDIRECT("tri!"&amp; CHAR(64+ C0Col) &amp;":"&amp; CHAR(65+C0Col)),2,FALSE)&gt;COUNTIF($E114:F114,"u")+COUNTIF($E114:F114,"t")+COUNTIF($E114:F114,"¶")+COUNTIF($E114:F114,"²")+COUNTIF($E114:F114,"µ")+COUNTIF($E114:F114,1)),
HYPERLINK("#Roadmap!C"&amp; MATCH($E114,Roadmap!$D:$D,0)+COUNTIF($E114:F114,"u")+COUNTIF($E114:F114,"t"),
     INDEX(Roadmap!$D:$K,MATCH($E114,Roadmap!$D:$D,0)+COUNTIF($E114:F114,"u")+COUNTIF($E114:F114,"t")+COUNTIF($E114:F114,"¶")+COUNTIF($E114:F114,"²")+COUNTIF($E114:F114,"µ")+COUNTIF($E114:F114,1),ColTypeEcheance)),
  IF(LEN(F114)=1,
  IF(LEN(INDEX(Roadmap!$D:$K,MATCH($E114,Roadmap!$D:$D,0)-1+COUNTIF($E114:F114,"u")+COUNTIF($E114:F114,"t")+COUNTIF($E114:F114,"¶")+COUNTIF($E114:F114,"²")+COUNTIF($E114:F114,"µ")+COUNTIF($E114:F114,1),ColDescriptionCourte))&gt;1,
HYPERLINK("#Roadmap!C"&amp; MATCH($E114,Roadmap!$D:$D,0)+COUNTIF($E114:F114,"u")+COUNTIF($E114:F114,"t")+COUNTIF($E114:F114,"¶")+COUNTIF($E114:F114,"²")+COUNTIF($E114:F114,"µ")+COUNTIF($E114:F114,1)-1,INDEX(Roadmap!$D:$K,MATCH($E114,Roadmap!$D:$D,0)-1+COUNTIF($E114:F114,"u")+COUNTIF($E114:F114,"t")+COUNTIF($E114:F114,"¶")+COUNTIF($E114:F114,"²")+COUNTIF($E114:F114,"µ")+COUNTIF($E114:F114,1),ColDescriptionCourte)),""),
  "")),"")</f>
        <v/>
      </c>
      <c r="H114" s="40" t="str">
        <f ca="1">IFERROR(IF(AND(
  INDEX(Roadmap!$D:$K,MATCH($E114,Roadmap!$D:$D,0)+COUNTIF($E114:G114,"u")+COUNTIF($E114:G114,"t")+COUNTIF($E114:G114,"¶")+COUNTIF($E114:G114,"²")+COUNTIF($E114:G114,"µ")+COUNTIF($E114:G114,1),ColLivraison)=H$6,
  VLOOKUP($E114,INDIRECT("tri!"&amp; CHAR(64+ C0Col) &amp;":"&amp; CHAR(65+C0Col)),2,FALSE)&gt;COUNTIF($E114:G114,"u")+COUNTIF($E114:G114,"t")+COUNTIF($E114:G114,"¶")+COUNTIF($E114:G114,"²")+COUNTIF($E114:G114,"µ")+COUNTIF($E114:G114,1)),
HYPERLINK("#Roadmap!C"&amp; MATCH($E114,Roadmap!$D:$D,0)+COUNTIF($E114:G114,"u")+COUNTIF($E114:G114,"t"),
     INDEX(Roadmap!$D:$K,MATCH($E114,Roadmap!$D:$D,0)+COUNTIF($E114:G114,"u")+COUNTIF($E114:G114,"t")+COUNTIF($E114:G114,"¶")+COUNTIF($E114:G114,"²")+COUNTIF($E114:G114,"µ")+COUNTIF($E114:G114,1),ColTypeEcheance)),
  IF(LEN(G114)=1,
  IF(LEN(INDEX(Roadmap!$D:$K,MATCH($E114,Roadmap!$D:$D,0)-1+COUNTIF($E114:G114,"u")+COUNTIF($E114:G114,"t")+COUNTIF($E114:G114,"¶")+COUNTIF($E114:G114,"²")+COUNTIF($E114:G114,"µ")+COUNTIF($E114:G114,1),ColDescriptionCourte))&gt;1,
HYPERLINK("#Roadmap!C"&amp; MATCH($E114,Roadmap!$D:$D,0)+COUNTIF($E114:G114,"u")+COUNTIF($E114:G114,"t")+COUNTIF($E114:G114,"¶")+COUNTIF($E114:G114,"²")+COUNTIF($E114:G114,"µ")+COUNTIF($E114:G114,1)-1,INDEX(Roadmap!$D:$K,MATCH($E114,Roadmap!$D:$D,0)-1+COUNTIF($E114:G114,"u")+COUNTIF($E114:G114,"t")+COUNTIF($E114:G114,"¶")+COUNTIF($E114:G114,"²")+COUNTIF($E114:G114,"µ")+COUNTIF($E114:G114,1),ColDescriptionCourte)),""),
  "")),"")</f>
        <v/>
      </c>
      <c r="I114" s="40" t="str">
        <f ca="1">IFERROR(IF(AND(
  INDEX(Roadmap!$D:$K,MATCH($E114,Roadmap!$D:$D,0)+COUNTIF($E114:H114,"u")+COUNTIF($E114:H114,"t")+COUNTIF($E114:H114,"¶")+COUNTIF($E114:H114,"²")+COUNTIF($E114:H114,"µ")+COUNTIF($E114:H114,1),ColLivraison)=I$6,
  VLOOKUP($E114,INDIRECT("tri!"&amp; CHAR(64+ C0Col) &amp;":"&amp; CHAR(65+C0Col)),2,FALSE)&gt;COUNTIF($E114:H114,"u")+COUNTIF($E114:H114,"t")+COUNTIF($E114:H114,"¶")+COUNTIF($E114:H114,"²")+COUNTIF($E114:H114,"µ")+COUNTIF($E114:H114,1)),
HYPERLINK("#Roadmap!C"&amp; MATCH($E114,Roadmap!$D:$D,0)+COUNTIF($E114:H114,"u")+COUNTIF($E114:H114,"t"),
     INDEX(Roadmap!$D:$K,MATCH($E114,Roadmap!$D:$D,0)+COUNTIF($E114:H114,"u")+COUNTIF($E114:H114,"t")+COUNTIF($E114:H114,"¶")+COUNTIF($E114:H114,"²")+COUNTIF($E114:H114,"µ")+COUNTIF($E114:H114,1),ColTypeEcheance)),
  IF(LEN(H114)=1,
  IF(LEN(INDEX(Roadmap!$D:$K,MATCH($E114,Roadmap!$D:$D,0)-1+COUNTIF($E114:H114,"u")+COUNTIF($E114:H114,"t")+COUNTIF($E114:H114,"¶")+COUNTIF($E114:H114,"²")+COUNTIF($E114:H114,"µ")+COUNTIF($E114:H114,1),ColDescriptionCourte))&gt;1,
HYPERLINK("#Roadmap!C"&amp; MATCH($E114,Roadmap!$D:$D,0)+COUNTIF($E114:H114,"u")+COUNTIF($E114:H114,"t")+COUNTIF($E114:H114,"¶")+COUNTIF($E114:H114,"²")+COUNTIF($E114:H114,"µ")+COUNTIF($E114:H114,1)-1,INDEX(Roadmap!$D:$K,MATCH($E114,Roadmap!$D:$D,0)-1+COUNTIF($E114:H114,"u")+COUNTIF($E114:H114,"t")+COUNTIF($E114:H114,"¶")+COUNTIF($E114:H114,"²")+COUNTIF($E114:H114,"µ")+COUNTIF($E114:H114,1),ColDescriptionCourte)),""),
  "")),"")</f>
        <v/>
      </c>
      <c r="J114" s="40" t="str">
        <f ca="1">IFERROR(IF(AND(
  INDEX(Roadmap!$D:$K,MATCH($E114,Roadmap!$D:$D,0)+COUNTIF($E114:I114,"u")+COUNTIF($E114:I114,"t")+COUNTIF($E114:I114,"¶")+COUNTIF($E114:I114,"²")+COUNTIF($E114:I114,"µ")+COUNTIF($E114:I114,1),ColLivraison)=J$6,
  VLOOKUP($E114,INDIRECT("tri!"&amp; CHAR(64+ C0Col) &amp;":"&amp; CHAR(65+C0Col)),2,FALSE)&gt;COUNTIF($E114:I114,"u")+COUNTIF($E114:I114,"t")+COUNTIF($E114:I114,"¶")+COUNTIF($E114:I114,"²")+COUNTIF($E114:I114,"µ")+COUNTIF($E114:I114,1)),
HYPERLINK("#Roadmap!C"&amp; MATCH($E114,Roadmap!$D:$D,0)+COUNTIF($E114:I114,"u")+COUNTIF($E114:I114,"t"),
     INDEX(Roadmap!$D:$K,MATCH($E114,Roadmap!$D:$D,0)+COUNTIF($E114:I114,"u")+COUNTIF($E114:I114,"t")+COUNTIF($E114:I114,"¶")+COUNTIF($E114:I114,"²")+COUNTIF($E114:I114,"µ")+COUNTIF($E114:I114,1),ColTypeEcheance)),
  IF(LEN(I114)=1,
  IF(LEN(INDEX(Roadmap!$D:$K,MATCH($E114,Roadmap!$D:$D,0)-1+COUNTIF($E114:I114,"u")+COUNTIF($E114:I114,"t")+COUNTIF($E114:I114,"¶")+COUNTIF($E114:I114,"²")+COUNTIF($E114:I114,"µ")+COUNTIF($E114:I114,1),ColDescriptionCourte))&gt;1,
HYPERLINK("#Roadmap!C"&amp; MATCH($E114,Roadmap!$D:$D,0)+COUNTIF($E114:I114,"u")+COUNTIF($E114:I114,"t")+COUNTIF($E114:I114,"¶")+COUNTIF($E114:I114,"²")+COUNTIF($E114:I114,"µ")+COUNTIF($E114:I114,1)-1,INDEX(Roadmap!$D:$K,MATCH($E114,Roadmap!$D:$D,0)-1+COUNTIF($E114:I114,"u")+COUNTIF($E114:I114,"t")+COUNTIF($E114:I114,"¶")+COUNTIF($E114:I114,"²")+COUNTIF($E114:I114,"µ")+COUNTIF($E114:I114,1),ColDescriptionCourte)),""),
  "")),"")</f>
        <v/>
      </c>
      <c r="K114" s="40" t="str">
        <f ca="1">IFERROR(IF(AND(
  INDEX(Roadmap!$D:$K,MATCH($E114,Roadmap!$D:$D,0)+COUNTIF($E114:J114,"u")+COUNTIF($E114:J114,"t")+COUNTIF($E114:J114,"¶")+COUNTIF($E114:J114,"²")+COUNTIF($E114:J114,"µ")+COUNTIF($E114:J114,1),ColLivraison)=K$6,
  VLOOKUP($E114,INDIRECT("tri!"&amp; CHAR(64+ C0Col) &amp;":"&amp; CHAR(65+C0Col)),2,FALSE)&gt;COUNTIF($E114:J114,"u")+COUNTIF($E114:J114,"t")+COUNTIF($E114:J114,"¶")+COUNTIF($E114:J114,"²")+COUNTIF($E114:J114,"µ")+COUNTIF($E114:J114,1)),
HYPERLINK("#Roadmap!C"&amp; MATCH($E114,Roadmap!$D:$D,0)+COUNTIF($E114:J114,"u")+COUNTIF($E114:J114,"t"),
     INDEX(Roadmap!$D:$K,MATCH($E114,Roadmap!$D:$D,0)+COUNTIF($E114:J114,"u")+COUNTIF($E114:J114,"t")+COUNTIF($E114:J114,"¶")+COUNTIF($E114:J114,"²")+COUNTIF($E114:J114,"µ")+COUNTIF($E114:J114,1),ColTypeEcheance)),
  IF(LEN(J114)=1,
  IF(LEN(INDEX(Roadmap!$D:$K,MATCH($E114,Roadmap!$D:$D,0)-1+COUNTIF($E114:J114,"u")+COUNTIF($E114:J114,"t")+COUNTIF($E114:J114,"¶")+COUNTIF($E114:J114,"²")+COUNTIF($E114:J114,"µ")+COUNTIF($E114:J114,1),ColDescriptionCourte))&gt;1,
HYPERLINK("#Roadmap!C"&amp; MATCH($E114,Roadmap!$D:$D,0)+COUNTIF($E114:J114,"u")+COUNTIF($E114:J114,"t")+COUNTIF($E114:J114,"¶")+COUNTIF($E114:J114,"²")+COUNTIF($E114:J114,"µ")+COUNTIF($E114:J114,1)-1,INDEX(Roadmap!$D:$K,MATCH($E114,Roadmap!$D:$D,0)-1+COUNTIF($E114:J114,"u")+COUNTIF($E114:J114,"t")+COUNTIF($E114:J114,"¶")+COUNTIF($E114:J114,"²")+COUNTIF($E114:J114,"µ")+COUNTIF($E114:J114,1),ColDescriptionCourte)),""),
  "")),"")</f>
        <v/>
      </c>
      <c r="L114" s="39" t="str">
        <f ca="1">IFERROR(IF(AND(
  INDEX(Roadmap!$D:$K,MATCH($E114,Roadmap!$D:$D,0)+COUNTIF($E114:K114,"u")+COUNTIF($E114:K114,"t")+COUNTIF($E114:K114,"¶")+COUNTIF($E114:K114,"²")+COUNTIF($E114:K114,"µ")+COUNTIF($E114:K114,1),ColLivraison)=L$6,
  VLOOKUP($E114,INDIRECT("tri!"&amp; CHAR(64+ C0Col) &amp;":"&amp; CHAR(65+C0Col)),2,FALSE)&gt;COUNTIF($E114:K114,"u")+COUNTIF($E114:K114,"t")+COUNTIF($E114:K114,"¶")+COUNTIF($E114:K114,"²")+COUNTIF($E114:K114,"µ")+COUNTIF($E114:K114,1)),
HYPERLINK("#Roadmap!C"&amp; MATCH($E114,Roadmap!$D:$D,0)+COUNTIF($E114:K114,"u")+COUNTIF($E114:K114,"t"),
     INDEX(Roadmap!$D:$K,MATCH($E114,Roadmap!$D:$D,0)+COUNTIF($E114:K114,"u")+COUNTIF($E114:K114,"t")+COUNTIF($E114:K114,"¶")+COUNTIF($E114:K114,"²")+COUNTIF($E114:K114,"µ")+COUNTIF($E114:K114,1),ColTypeEcheance)),
  IF(LEN(K114)=1,
  IF(LEN(INDEX(Roadmap!$D:$K,MATCH($E114,Roadmap!$D:$D,0)-1+COUNTIF($E114:K114,"u")+COUNTIF($E114:K114,"t")+COUNTIF($E114:K114,"¶")+COUNTIF($E114:K114,"²")+COUNTIF($E114:K114,"µ")+COUNTIF($E114:K114,1),ColDescriptionCourte))&gt;1,
HYPERLINK("#Roadmap!C"&amp; MATCH($E114,Roadmap!$D:$D,0)+COUNTIF($E114:K114,"u")+COUNTIF($E114:K114,"t")+COUNTIF($E114:K114,"¶")+COUNTIF($E114:K114,"²")+COUNTIF($E114:K114,"µ")+COUNTIF($E114:K114,1)-1,INDEX(Roadmap!$D:$K,MATCH($E114,Roadmap!$D:$D,0)-1+COUNTIF($E114:K114,"u")+COUNTIF($E114:K114,"t")+COUNTIF($E114:K114,"¶")+COUNTIF($E114:K114,"²")+COUNTIF($E114:K114,"µ")+COUNTIF($E114:K114,1),ColDescriptionCourte)),""),
  "")),"")</f>
        <v/>
      </c>
      <c r="M114" s="40" t="str">
        <f ca="1">IFERROR(IF(AND(
  INDEX(Roadmap!$D:$K,MATCH($E114,Roadmap!$D:$D,0)+COUNTIF($E114:L114,"u")+COUNTIF($E114:L114,"t")+COUNTIF($E114:L114,"¶")+COUNTIF($E114:L114,"²")+COUNTIF($E114:L114,"µ")+COUNTIF($E114:L114,1),ColLivraison)=M$6,
  VLOOKUP($E114,INDIRECT("tri!"&amp; CHAR(64+ C0Col) &amp;":"&amp; CHAR(65+C0Col)),2,FALSE)&gt;COUNTIF($E114:L114,"u")+COUNTIF($E114:L114,"t")+COUNTIF($E114:L114,"¶")+COUNTIF($E114:L114,"²")+COUNTIF($E114:L114,"µ")+COUNTIF($E114:L114,1)),
HYPERLINK("#Roadmap!C"&amp; MATCH($E114,Roadmap!$D:$D,0)+COUNTIF($E114:L114,"u")+COUNTIF($E114:L114,"t"),
     INDEX(Roadmap!$D:$K,MATCH($E114,Roadmap!$D:$D,0)+COUNTIF($E114:L114,"u")+COUNTIF($E114:L114,"t")+COUNTIF($E114:L114,"¶")+COUNTIF($E114:L114,"²")+COUNTIF($E114:L114,"µ")+COUNTIF($E114:L114,1),ColTypeEcheance)),
  IF(LEN(L114)=1,
  IF(LEN(INDEX(Roadmap!$D:$K,MATCH($E114,Roadmap!$D:$D,0)-1+COUNTIF($E114:L114,"u")+COUNTIF($E114:L114,"t")+COUNTIF($E114:L114,"¶")+COUNTIF($E114:L114,"²")+COUNTIF($E114:L114,"µ")+COUNTIF($E114:L114,1),ColDescriptionCourte))&gt;1,
HYPERLINK("#Roadmap!C"&amp; MATCH($E114,Roadmap!$D:$D,0)+COUNTIF($E114:L114,"u")+COUNTIF($E114:L114,"t")+COUNTIF($E114:L114,"¶")+COUNTIF($E114:L114,"²")+COUNTIF($E114:L114,"µ")+COUNTIF($E114:L114,1)-1,INDEX(Roadmap!$D:$K,MATCH($E114,Roadmap!$D:$D,0)-1+COUNTIF($E114:L114,"u")+COUNTIF($E114:L114,"t")+COUNTIF($E114:L114,"¶")+COUNTIF($E114:L114,"²")+COUNTIF($E114:L114,"µ")+COUNTIF($E114:L114,1),ColDescriptionCourte)),""),
  "")),"")</f>
        <v/>
      </c>
      <c r="N114" s="40" t="str">
        <f ca="1">IFERROR(IF(AND(
  INDEX(Roadmap!$D:$K,MATCH($E114,Roadmap!$D:$D,0)+COUNTIF($E114:M114,"u")+COUNTIF($E114:M114,"t")+COUNTIF($E114:M114,"¶")+COUNTIF($E114:M114,"²")+COUNTIF($E114:M114,"µ")+COUNTIF($E114:M114,1),ColLivraison)=N$6,
  VLOOKUP($E114,INDIRECT("tri!"&amp; CHAR(64+ C0Col) &amp;":"&amp; CHAR(65+C0Col)),2,FALSE)&gt;COUNTIF($E114:M114,"u")+COUNTIF($E114:M114,"t")+COUNTIF($E114:M114,"¶")+COUNTIF($E114:M114,"²")+COUNTIF($E114:M114,"µ")+COUNTIF($E114:M114,1)),
HYPERLINK("#Roadmap!C"&amp; MATCH($E114,Roadmap!$D:$D,0)+COUNTIF($E114:M114,"u")+COUNTIF($E114:M114,"t"),
     INDEX(Roadmap!$D:$K,MATCH($E114,Roadmap!$D:$D,0)+COUNTIF($E114:M114,"u")+COUNTIF($E114:M114,"t")+COUNTIF($E114:M114,"¶")+COUNTIF($E114:M114,"²")+COUNTIF($E114:M114,"µ")+COUNTIF($E114:M114,1),ColTypeEcheance)),
  IF(LEN(M114)=1,
  IF(LEN(INDEX(Roadmap!$D:$K,MATCH($E114,Roadmap!$D:$D,0)-1+COUNTIF($E114:M114,"u")+COUNTIF($E114:M114,"t")+COUNTIF($E114:M114,"¶")+COUNTIF($E114:M114,"²")+COUNTIF($E114:M114,"µ")+COUNTIF($E114:M114,1),ColDescriptionCourte))&gt;1,
HYPERLINK("#Roadmap!C"&amp; MATCH($E114,Roadmap!$D:$D,0)+COUNTIF($E114:M114,"u")+COUNTIF($E114:M114,"t")+COUNTIF($E114:M114,"¶")+COUNTIF($E114:M114,"²")+COUNTIF($E114:M114,"µ")+COUNTIF($E114:M114,1)-1,INDEX(Roadmap!$D:$K,MATCH($E114,Roadmap!$D:$D,0)-1+COUNTIF($E114:M114,"u")+COUNTIF($E114:M114,"t")+COUNTIF($E114:M114,"¶")+COUNTIF($E114:M114,"²")+COUNTIF($E114:M114,"µ")+COUNTIF($E114:M114,1),ColDescriptionCourte)),""),
  "")),"")</f>
        <v/>
      </c>
      <c r="O114" s="40" t="str">
        <f ca="1">IFERROR(IF(AND(
  INDEX(Roadmap!$D:$K,MATCH($E114,Roadmap!$D:$D,0)+COUNTIF($E114:N114,"u")+COUNTIF($E114:N114,"t")+COUNTIF($E114:N114,"¶")+COUNTIF($E114:N114,"²")+COUNTIF($E114:N114,"µ")+COUNTIF($E114:N114,1),ColLivraison)=O$6,
  VLOOKUP($E114,INDIRECT("tri!"&amp; CHAR(64+ C0Col) &amp;":"&amp; CHAR(65+C0Col)),2,FALSE)&gt;COUNTIF($E114:N114,"u")+COUNTIF($E114:N114,"t")+COUNTIF($E114:N114,"¶")+COUNTIF($E114:N114,"²")+COUNTIF($E114:N114,"µ")+COUNTIF($E114:N114,1)),
HYPERLINK("#Roadmap!C"&amp; MATCH($E114,Roadmap!$D:$D,0)+COUNTIF($E114:N114,"u")+COUNTIF($E114:N114,"t"),
     INDEX(Roadmap!$D:$K,MATCH($E114,Roadmap!$D:$D,0)+COUNTIF($E114:N114,"u")+COUNTIF($E114:N114,"t")+COUNTIF($E114:N114,"¶")+COUNTIF($E114:N114,"²")+COUNTIF($E114:N114,"µ")+COUNTIF($E114:N114,1),ColTypeEcheance)),
  IF(LEN(N114)=1,
  IF(LEN(INDEX(Roadmap!$D:$K,MATCH($E114,Roadmap!$D:$D,0)-1+COUNTIF($E114:N114,"u")+COUNTIF($E114:N114,"t")+COUNTIF($E114:N114,"¶")+COUNTIF($E114:N114,"²")+COUNTIF($E114:N114,"µ")+COUNTIF($E114:N114,1),ColDescriptionCourte))&gt;1,
HYPERLINK("#Roadmap!C"&amp; MATCH($E114,Roadmap!$D:$D,0)+COUNTIF($E114:N114,"u")+COUNTIF($E114:N114,"t")+COUNTIF($E114:N114,"¶")+COUNTIF($E114:N114,"²")+COUNTIF($E114:N114,"µ")+COUNTIF($E114:N114,1)-1,INDEX(Roadmap!$D:$K,MATCH($E114,Roadmap!$D:$D,0)-1+COUNTIF($E114:N114,"u")+COUNTIF($E114:N114,"t")+COUNTIF($E114:N114,"¶")+COUNTIF($E114:N114,"²")+COUNTIF($E114:N114,"µ")+COUNTIF($E114:N114,1),ColDescriptionCourte)),""),
  "")),"")</f>
        <v/>
      </c>
      <c r="P114" s="40" t="str">
        <f ca="1">IFERROR(IF(AND(
  INDEX(Roadmap!$D:$K,MATCH($E114,Roadmap!$D:$D,0)+COUNTIF($E114:O114,"u")+COUNTIF($E114:O114,"t")+COUNTIF($E114:O114,"¶")+COUNTIF($E114:O114,"²")+COUNTIF($E114:O114,"µ")+COUNTIF($E114:O114,1),ColLivraison)=P$6,
  VLOOKUP($E114,INDIRECT("tri!"&amp; CHAR(64+ C0Col) &amp;":"&amp; CHAR(65+C0Col)),2,FALSE)&gt;COUNTIF($E114:O114,"u")+COUNTIF($E114:O114,"t")+COUNTIF($E114:O114,"¶")+COUNTIF($E114:O114,"²")+COUNTIF($E114:O114,"µ")+COUNTIF($E114:O114,1)),
HYPERLINK("#Roadmap!C"&amp; MATCH($E114,Roadmap!$D:$D,0)+COUNTIF($E114:O114,"u")+COUNTIF($E114:O114,"t"),
     INDEX(Roadmap!$D:$K,MATCH($E114,Roadmap!$D:$D,0)+COUNTIF($E114:O114,"u")+COUNTIF($E114:O114,"t")+COUNTIF($E114:O114,"¶")+COUNTIF($E114:O114,"²")+COUNTIF($E114:O114,"µ")+COUNTIF($E114:O114,1),ColTypeEcheance)),
  IF(LEN(O114)=1,
  IF(LEN(INDEX(Roadmap!$D:$K,MATCH($E114,Roadmap!$D:$D,0)-1+COUNTIF($E114:O114,"u")+COUNTIF($E114:O114,"t")+COUNTIF($E114:O114,"¶")+COUNTIF($E114:O114,"²")+COUNTIF($E114:O114,"µ")+COUNTIF($E114:O114,1),ColDescriptionCourte))&gt;1,
HYPERLINK("#Roadmap!C"&amp; MATCH($E114,Roadmap!$D:$D,0)+COUNTIF($E114:O114,"u")+COUNTIF($E114:O114,"t")+COUNTIF($E114:O114,"¶")+COUNTIF($E114:O114,"²")+COUNTIF($E114:O114,"µ")+COUNTIF($E114:O114,1)-1,INDEX(Roadmap!$D:$K,MATCH($E114,Roadmap!$D:$D,0)-1+COUNTIF($E114:O114,"u")+COUNTIF($E114:O114,"t")+COUNTIF($E114:O114,"¶")+COUNTIF($E114:O114,"²")+COUNTIF($E114:O114,"µ")+COUNTIF($E114:O114,1),ColDescriptionCourte)),""),
  "")),"")</f>
        <v/>
      </c>
      <c r="Q114" s="40" t="str">
        <f ca="1">IFERROR(IF(AND(
  INDEX(Roadmap!$D:$K,MATCH($E114,Roadmap!$D:$D,0)+COUNTIF($E114:P114,"u")+COUNTIF($E114:P114,"t")+COUNTIF($E114:P114,"¶")+COUNTIF($E114:P114,"²")+COUNTIF($E114:P114,"µ")+COUNTIF($E114:P114,1),ColLivraison)=Q$6,
  VLOOKUP($E114,INDIRECT("tri!"&amp; CHAR(64+ C0Col) &amp;":"&amp; CHAR(65+C0Col)),2,FALSE)&gt;COUNTIF($E114:P114,"u")+COUNTIF($E114:P114,"t")+COUNTIF($E114:P114,"¶")+COUNTIF($E114:P114,"²")+COUNTIF($E114:P114,"µ")+COUNTIF($E114:P114,1)),
HYPERLINK("#Roadmap!C"&amp; MATCH($E114,Roadmap!$D:$D,0)+COUNTIF($E114:P114,"u")+COUNTIF($E114:P114,"t"),
     INDEX(Roadmap!$D:$K,MATCH($E114,Roadmap!$D:$D,0)+COUNTIF($E114:P114,"u")+COUNTIF($E114:P114,"t")+COUNTIF($E114:P114,"¶")+COUNTIF($E114:P114,"²")+COUNTIF($E114:P114,"µ")+COUNTIF($E114:P114,1),ColTypeEcheance)),
  IF(LEN(P114)=1,
  IF(LEN(INDEX(Roadmap!$D:$K,MATCH($E114,Roadmap!$D:$D,0)-1+COUNTIF($E114:P114,"u")+COUNTIF($E114:P114,"t")+COUNTIF($E114:P114,"¶")+COUNTIF($E114:P114,"²")+COUNTIF($E114:P114,"µ")+COUNTIF($E114:P114,1),ColDescriptionCourte))&gt;1,
HYPERLINK("#Roadmap!C"&amp; MATCH($E114,Roadmap!$D:$D,0)+COUNTIF($E114:P114,"u")+COUNTIF($E114:P114,"t")+COUNTIF($E114:P114,"¶")+COUNTIF($E114:P114,"²")+COUNTIF($E114:P114,"µ")+COUNTIF($E114:P114,1)-1,INDEX(Roadmap!$D:$K,MATCH($E114,Roadmap!$D:$D,0)-1+COUNTIF($E114:P114,"u")+COUNTIF($E114:P114,"t")+COUNTIF($E114:P114,"¶")+COUNTIF($E114:P114,"²")+COUNTIF($E114:P114,"µ")+COUNTIF($E114:P114,1),ColDescriptionCourte)),""),
  "")),"")</f>
        <v/>
      </c>
      <c r="R114" s="40" t="str">
        <f ca="1">IFERROR(IF(AND(
  INDEX(Roadmap!$D:$K,MATCH($E114,Roadmap!$D:$D,0)+COUNTIF($E114:Q114,"u")+COUNTIF($E114:Q114,"t")+COUNTIF($E114:Q114,"¶")+COUNTIF($E114:Q114,"²")+COUNTIF($E114:Q114,"µ")+COUNTIF($E114:Q114,1),ColLivraison)=R$6,
  VLOOKUP($E114,INDIRECT("tri!"&amp; CHAR(64+ C0Col) &amp;":"&amp; CHAR(65+C0Col)),2,FALSE)&gt;COUNTIF($E114:Q114,"u")+COUNTIF($E114:Q114,"t")+COUNTIF($E114:Q114,"¶")+COUNTIF($E114:Q114,"²")+COUNTIF($E114:Q114,"µ")+COUNTIF($E114:Q114,1)),
HYPERLINK("#Roadmap!C"&amp; MATCH($E114,Roadmap!$D:$D,0)+COUNTIF($E114:Q114,"u")+COUNTIF($E114:Q114,"t"),
     INDEX(Roadmap!$D:$K,MATCH($E114,Roadmap!$D:$D,0)+COUNTIF($E114:Q114,"u")+COUNTIF($E114:Q114,"t")+COUNTIF($E114:Q114,"¶")+COUNTIF($E114:Q114,"²")+COUNTIF($E114:Q114,"µ")+COUNTIF($E114:Q114,1),ColTypeEcheance)),
  IF(LEN(Q114)=1,
  IF(LEN(INDEX(Roadmap!$D:$K,MATCH($E114,Roadmap!$D:$D,0)-1+COUNTIF($E114:Q114,"u")+COUNTIF($E114:Q114,"t")+COUNTIF($E114:Q114,"¶")+COUNTIF($E114:Q114,"²")+COUNTIF($E114:Q114,"µ")+COUNTIF($E114:Q114,1),ColDescriptionCourte))&gt;1,
HYPERLINK("#Roadmap!C"&amp; MATCH($E114,Roadmap!$D:$D,0)+COUNTIF($E114:Q114,"u")+COUNTIF($E114:Q114,"t")+COUNTIF($E114:Q114,"¶")+COUNTIF($E114:Q114,"²")+COUNTIF($E114:Q114,"µ")+COUNTIF($E114:Q114,1)-1,INDEX(Roadmap!$D:$K,MATCH($E114,Roadmap!$D:$D,0)-1+COUNTIF($E114:Q114,"u")+COUNTIF($E114:Q114,"t")+COUNTIF($E114:Q114,"¶")+COUNTIF($E114:Q114,"²")+COUNTIF($E114:Q114,"µ")+COUNTIF($E114:Q114,1),ColDescriptionCourte)),""),
  "")),"")</f>
        <v/>
      </c>
      <c r="S114" s="40" t="str">
        <f ca="1">IFERROR(IF(AND(
  INDEX(Roadmap!$D:$K,MATCH($E114,Roadmap!$D:$D,0)+COUNTIF($E114:R114,"u")+COUNTIF($E114:R114,"t")+COUNTIF($E114:R114,"¶")+COUNTIF($E114:R114,"²")+COUNTIF($E114:R114,"µ")+COUNTIF($E114:R114,1),ColLivraison)=S$6,
  VLOOKUP($E114,INDIRECT("tri!"&amp; CHAR(64+ C0Col) &amp;":"&amp; CHAR(65+C0Col)),2,FALSE)&gt;COUNTIF($E114:R114,"u")+COUNTIF($E114:R114,"t")+COUNTIF($E114:R114,"¶")+COUNTIF($E114:R114,"²")+COUNTIF($E114:R114,"µ")+COUNTIF($E114:R114,1)),
HYPERLINK("#Roadmap!C"&amp; MATCH($E114,Roadmap!$D:$D,0)+COUNTIF($E114:R114,"u")+COUNTIF($E114:R114,"t"),
     INDEX(Roadmap!$D:$K,MATCH($E114,Roadmap!$D:$D,0)+COUNTIF($E114:R114,"u")+COUNTIF($E114:R114,"t")+COUNTIF($E114:R114,"¶")+COUNTIF($E114:R114,"²")+COUNTIF($E114:R114,"µ")+COUNTIF($E114:R114,1),ColTypeEcheance)),
  IF(LEN(R114)=1,
  IF(LEN(INDEX(Roadmap!$D:$K,MATCH($E114,Roadmap!$D:$D,0)-1+COUNTIF($E114:R114,"u")+COUNTIF($E114:R114,"t")+COUNTIF($E114:R114,"¶")+COUNTIF($E114:R114,"²")+COUNTIF($E114:R114,"µ")+COUNTIF($E114:R114,1),ColDescriptionCourte))&gt;1,
HYPERLINK("#Roadmap!C"&amp; MATCH($E114,Roadmap!$D:$D,0)+COUNTIF($E114:R114,"u")+COUNTIF($E114:R114,"t")+COUNTIF($E114:R114,"¶")+COUNTIF($E114:R114,"²")+COUNTIF($E114:R114,"µ")+COUNTIF($E114:R114,1)-1,INDEX(Roadmap!$D:$K,MATCH($E114,Roadmap!$D:$D,0)-1+COUNTIF($E114:R114,"u")+COUNTIF($E114:R114,"t")+COUNTIF($E114:R114,"¶")+COUNTIF($E114:R114,"²")+COUNTIF($E114:R114,"µ")+COUNTIF($E114:R114,1),ColDescriptionCourte)),""),
  "")),"")</f>
        <v/>
      </c>
      <c r="T114" s="40" t="str">
        <f ca="1">IFERROR(IF(AND(
  INDEX(Roadmap!$D:$K,MATCH($E114,Roadmap!$D:$D,0)+COUNTIF($E114:S114,"u")+COUNTIF($E114:S114,"t")+COUNTIF($E114:S114,"¶")+COUNTIF($E114:S114,"²")+COUNTIF($E114:S114,"µ")+COUNTIF($E114:S114,1),ColLivraison)=T$6,
  VLOOKUP($E114,INDIRECT("tri!"&amp; CHAR(64+ C0Col) &amp;":"&amp; CHAR(65+C0Col)),2,FALSE)&gt;COUNTIF($E114:S114,"u")+COUNTIF($E114:S114,"t")+COUNTIF($E114:S114,"¶")+COUNTIF($E114:S114,"²")+COUNTIF($E114:S114,"µ")+COUNTIF($E114:S114,1)),
HYPERLINK("#Roadmap!C"&amp; MATCH($E114,Roadmap!$D:$D,0)+COUNTIF($E114:S114,"u")+COUNTIF($E114:S114,"t"),
     INDEX(Roadmap!$D:$K,MATCH($E114,Roadmap!$D:$D,0)+COUNTIF($E114:S114,"u")+COUNTIF($E114:S114,"t")+COUNTIF($E114:S114,"¶")+COUNTIF($E114:S114,"²")+COUNTIF($E114:S114,"µ")+COUNTIF($E114:S114,1),ColTypeEcheance)),
  IF(LEN(S114)=1,
  IF(LEN(INDEX(Roadmap!$D:$K,MATCH($E114,Roadmap!$D:$D,0)-1+COUNTIF($E114:S114,"u")+COUNTIF($E114:S114,"t")+COUNTIF($E114:S114,"¶")+COUNTIF($E114:S114,"²")+COUNTIF($E114:S114,"µ")+COUNTIF($E114:S114,1),ColDescriptionCourte))&gt;1,
HYPERLINK("#Roadmap!C"&amp; MATCH($E114,Roadmap!$D:$D,0)+COUNTIF($E114:S114,"u")+COUNTIF($E114:S114,"t")+COUNTIF($E114:S114,"¶")+COUNTIF($E114:S114,"²")+COUNTIF($E114:S114,"µ")+COUNTIF($E114:S114,1)-1,INDEX(Roadmap!$D:$K,MATCH($E114,Roadmap!$D:$D,0)-1+COUNTIF($E114:S114,"u")+COUNTIF($E114:S114,"t")+COUNTIF($E114:S114,"¶")+COUNTIF($E114:S114,"²")+COUNTIF($E114:S114,"µ")+COUNTIF($E114:S114,1),ColDescriptionCourte)),""),
  "")),"")</f>
        <v/>
      </c>
      <c r="U114" s="40" t="str">
        <f ca="1">IFERROR(IF(AND(
  INDEX(Roadmap!$D:$K,MATCH($E114,Roadmap!$D:$D,0)+COUNTIF($E114:T114,"u")+COUNTIF($E114:T114,"t")+COUNTIF($E114:T114,"¶")+COUNTIF($E114:T114,"²")+COUNTIF($E114:T114,"µ")+COUNTIF($E114:T114,1),ColLivraison)=U$6,
  VLOOKUP($E114,INDIRECT("tri!"&amp; CHAR(64+ C0Col) &amp;":"&amp; CHAR(65+C0Col)),2,FALSE)&gt;COUNTIF($E114:T114,"u")+COUNTIF($E114:T114,"t")+COUNTIF($E114:T114,"¶")+COUNTIF($E114:T114,"²")+COUNTIF($E114:T114,"µ")+COUNTIF($E114:T114,1)),
HYPERLINK("#Roadmap!C"&amp; MATCH($E114,Roadmap!$D:$D,0)+COUNTIF($E114:T114,"u")+COUNTIF($E114:T114,"t"),
     INDEX(Roadmap!$D:$K,MATCH($E114,Roadmap!$D:$D,0)+COUNTIF($E114:T114,"u")+COUNTIF($E114:T114,"t")+COUNTIF($E114:T114,"¶")+COUNTIF($E114:T114,"²")+COUNTIF($E114:T114,"µ")+COUNTIF($E114:T114,1),ColTypeEcheance)),
  IF(LEN(T114)=1,
  IF(LEN(INDEX(Roadmap!$D:$K,MATCH($E114,Roadmap!$D:$D,0)-1+COUNTIF($E114:T114,"u")+COUNTIF($E114:T114,"t")+COUNTIF($E114:T114,"¶")+COUNTIF($E114:T114,"²")+COUNTIF($E114:T114,"µ")+COUNTIF($E114:T114,1),ColDescriptionCourte))&gt;1,
HYPERLINK("#Roadmap!C"&amp; MATCH($E114,Roadmap!$D:$D,0)+COUNTIF($E114:T114,"u")+COUNTIF($E114:T114,"t")+COUNTIF($E114:T114,"¶")+COUNTIF($E114:T114,"²")+COUNTIF($E114:T114,"µ")+COUNTIF($E114:T114,1)-1,INDEX(Roadmap!$D:$K,MATCH($E114,Roadmap!$D:$D,0)-1+COUNTIF($E114:T114,"u")+COUNTIF($E114:T114,"t")+COUNTIF($E114:T114,"¶")+COUNTIF($E114:T114,"²")+COUNTIF($E114:T114,"µ")+COUNTIF($E114:T114,1),ColDescriptionCourte)),""),
  "")),"")</f>
        <v/>
      </c>
      <c r="V114" s="40" t="str">
        <f ca="1">IFERROR(IF(AND(
  INDEX(Roadmap!$D:$K,MATCH($E114,Roadmap!$D:$D,0)+COUNTIF($E114:U114,"u")+COUNTIF($E114:U114,"t")+COUNTIF($E114:U114,"¶")+COUNTIF($E114:U114,"²")+COUNTIF($E114:U114,"µ")+COUNTIF($E114:U114,1),ColLivraison)=V$6,
  VLOOKUP($E114,INDIRECT("tri!"&amp; CHAR(64+ C0Col) &amp;":"&amp; CHAR(65+C0Col)),2,FALSE)&gt;COUNTIF($E114:U114,"u")+COUNTIF($E114:U114,"t")+COUNTIF($E114:U114,"¶")+COUNTIF($E114:U114,"²")+COUNTIF($E114:U114,"µ")+COUNTIF($E114:U114,1)),
HYPERLINK("#Roadmap!C"&amp; MATCH($E114,Roadmap!$D:$D,0)+COUNTIF($E114:U114,"u")+COUNTIF($E114:U114,"t"),
     INDEX(Roadmap!$D:$K,MATCH($E114,Roadmap!$D:$D,0)+COUNTIF($E114:U114,"u")+COUNTIF($E114:U114,"t")+COUNTIF($E114:U114,"¶")+COUNTIF($E114:U114,"²")+COUNTIF($E114:U114,"µ")+COUNTIF($E114:U114,1),ColTypeEcheance)),
  IF(LEN(U114)=1,
  IF(LEN(INDEX(Roadmap!$D:$K,MATCH($E114,Roadmap!$D:$D,0)-1+COUNTIF($E114:U114,"u")+COUNTIF($E114:U114,"t")+COUNTIF($E114:U114,"¶")+COUNTIF($E114:U114,"²")+COUNTIF($E114:U114,"µ")+COUNTIF($E114:U114,1),ColDescriptionCourte))&gt;1,
HYPERLINK("#Roadmap!C"&amp; MATCH($E114,Roadmap!$D:$D,0)+COUNTIF($E114:U114,"u")+COUNTIF($E114:U114,"t")+COUNTIF($E114:U114,"¶")+COUNTIF($E114:U114,"²")+COUNTIF($E114:U114,"µ")+COUNTIF($E114:U114,1)-1,INDEX(Roadmap!$D:$K,MATCH($E114,Roadmap!$D:$D,0)-1+COUNTIF($E114:U114,"u")+COUNTIF($E114:U114,"t")+COUNTIF($E114:U114,"¶")+COUNTIF($E114:U114,"²")+COUNTIF($E114:U114,"µ")+COUNTIF($E114:U114,1),ColDescriptionCourte)),""),
  "")),"")</f>
        <v/>
      </c>
      <c r="W114" s="40" t="str">
        <f ca="1">IFERROR(IF(AND(
  INDEX(Roadmap!$D:$K,MATCH($E114,Roadmap!$D:$D,0)+COUNTIF($E114:V114,"u")+COUNTIF($E114:V114,"t")+COUNTIF($E114:V114,"¶")+COUNTIF($E114:V114,"²")+COUNTIF($E114:V114,"µ")+COUNTIF($E114:V114,1),ColLivraison)=W$6,
  VLOOKUP($E114,INDIRECT("tri!"&amp; CHAR(64+ C0Col) &amp;":"&amp; CHAR(65+C0Col)),2,FALSE)&gt;COUNTIF($E114:V114,"u")+COUNTIF($E114:V114,"t")+COUNTIF($E114:V114,"¶")+COUNTIF($E114:V114,"²")+COUNTIF($E114:V114,"µ")+COUNTIF($E114:V114,1)),
HYPERLINK("#Roadmap!C"&amp; MATCH($E114,Roadmap!$D:$D,0)+COUNTIF($E114:V114,"u")+COUNTIF($E114:V114,"t"),
     INDEX(Roadmap!$D:$K,MATCH($E114,Roadmap!$D:$D,0)+COUNTIF($E114:V114,"u")+COUNTIF($E114:V114,"t")+COUNTIF($E114:V114,"¶")+COUNTIF($E114:V114,"²")+COUNTIF($E114:V114,"µ")+COUNTIF($E114:V114,1),ColTypeEcheance)),
  IF(LEN(V114)=1,
  IF(LEN(INDEX(Roadmap!$D:$K,MATCH($E114,Roadmap!$D:$D,0)-1+COUNTIF($E114:V114,"u")+COUNTIF($E114:V114,"t")+COUNTIF($E114:V114,"¶")+COUNTIF($E114:V114,"²")+COUNTIF($E114:V114,"µ")+COUNTIF($E114:V114,1),ColDescriptionCourte))&gt;1,
HYPERLINK("#Roadmap!C"&amp; MATCH($E114,Roadmap!$D:$D,0)+COUNTIF($E114:V114,"u")+COUNTIF($E114:V114,"t")+COUNTIF($E114:V114,"¶")+COUNTIF($E114:V114,"²")+COUNTIF($E114:V114,"µ")+COUNTIF($E114:V114,1)-1,INDEX(Roadmap!$D:$K,MATCH($E114,Roadmap!$D:$D,0)-1+COUNTIF($E114:V114,"u")+COUNTIF($E114:V114,"t")+COUNTIF($E114:V114,"¶")+COUNTIF($E114:V114,"²")+COUNTIF($E114:V114,"µ")+COUNTIF($E114:V114,1),ColDescriptionCourte)),""),
  "")),"")</f>
        <v/>
      </c>
      <c r="X114" s="40" t="str">
        <f ca="1">IFERROR(IF(AND(
  INDEX(Roadmap!$D:$K,MATCH($E114,Roadmap!$D:$D,0)+COUNTIF($E114:W114,"u")+COUNTIF($E114:W114,"t")+COUNTIF($E114:W114,"¶")+COUNTIF($E114:W114,"²")+COUNTIF($E114:W114,"µ")+COUNTIF($E114:W114,1),ColLivraison)=X$6,
  VLOOKUP($E114,INDIRECT("tri!"&amp; CHAR(64+ C0Col) &amp;":"&amp; CHAR(65+C0Col)),2,FALSE)&gt;COUNTIF($E114:W114,"u")+COUNTIF($E114:W114,"t")+COUNTIF($E114:W114,"¶")+COUNTIF($E114:W114,"²")+COUNTIF($E114:W114,"µ")+COUNTIF($E114:W114,1)),
HYPERLINK("#Roadmap!C"&amp; MATCH($E114,Roadmap!$D:$D,0)+COUNTIF($E114:W114,"u")+COUNTIF($E114:W114,"t"),
     INDEX(Roadmap!$D:$K,MATCH($E114,Roadmap!$D:$D,0)+COUNTIF($E114:W114,"u")+COUNTIF($E114:W114,"t")+COUNTIF($E114:W114,"¶")+COUNTIF($E114:W114,"²")+COUNTIF($E114:W114,"µ")+COUNTIF($E114:W114,1),ColTypeEcheance)),
  IF(LEN(W114)=1,
  IF(LEN(INDEX(Roadmap!$D:$K,MATCH($E114,Roadmap!$D:$D,0)-1+COUNTIF($E114:W114,"u")+COUNTIF($E114:W114,"t")+COUNTIF($E114:W114,"¶")+COUNTIF($E114:W114,"²")+COUNTIF($E114:W114,"µ")+COUNTIF($E114:W114,1),ColDescriptionCourte))&gt;1,
HYPERLINK("#Roadmap!C"&amp; MATCH($E114,Roadmap!$D:$D,0)+COUNTIF($E114:W114,"u")+COUNTIF($E114:W114,"t")+COUNTIF($E114:W114,"¶")+COUNTIF($E114:W114,"²")+COUNTIF($E114:W114,"µ")+COUNTIF($E114:W114,1)-1,INDEX(Roadmap!$D:$K,MATCH($E114,Roadmap!$D:$D,0)-1+COUNTIF($E114:W114,"u")+COUNTIF($E114:W114,"t")+COUNTIF($E114:W114,"¶")+COUNTIF($E114:W114,"²")+COUNTIF($E114:W114,"µ")+COUNTIF($E114:W114,1),ColDescriptionCourte)),""),
  "")),"")</f>
        <v/>
      </c>
      <c r="Y114" s="40" t="str">
        <f ca="1">IFERROR(IF(AND(
  INDEX(Roadmap!$D:$K,MATCH($E114,Roadmap!$D:$D,0)+COUNTIF($E114:X114,"u")+COUNTIF($E114:X114,"t")+COUNTIF($E114:X114,"¶")+COUNTIF($E114:X114,"²")+COUNTIF($E114:X114,"µ")+COUNTIF($E114:X114,1),ColLivraison)=Y$6,
  VLOOKUP($E114,INDIRECT("tri!"&amp; CHAR(64+ C0Col) &amp;":"&amp; CHAR(65+C0Col)),2,FALSE)&gt;COUNTIF($E114:X114,"u")+COUNTIF($E114:X114,"t")+COUNTIF($E114:X114,"¶")+COUNTIF($E114:X114,"²")+COUNTIF($E114:X114,"µ")+COUNTIF($E114:X114,1)),
HYPERLINK("#Roadmap!C"&amp; MATCH($E114,Roadmap!$D:$D,0)+COUNTIF($E114:X114,"u")+COUNTIF($E114:X114,"t"),
     INDEX(Roadmap!$D:$K,MATCH($E114,Roadmap!$D:$D,0)+COUNTIF($E114:X114,"u")+COUNTIF($E114:X114,"t")+COUNTIF($E114:X114,"¶")+COUNTIF($E114:X114,"²")+COUNTIF($E114:X114,"µ")+COUNTIF($E114:X114,1),ColTypeEcheance)),
  IF(LEN(X114)=1,
  IF(LEN(INDEX(Roadmap!$D:$K,MATCH($E114,Roadmap!$D:$D,0)-1+COUNTIF($E114:X114,"u")+COUNTIF($E114:X114,"t")+COUNTIF($E114:X114,"¶")+COUNTIF($E114:X114,"²")+COUNTIF($E114:X114,"µ")+COUNTIF($E114:X114,1),ColDescriptionCourte))&gt;1,
HYPERLINK("#Roadmap!C"&amp; MATCH($E114,Roadmap!$D:$D,0)+COUNTIF($E114:X114,"u")+COUNTIF($E114:X114,"t")+COUNTIF($E114:X114,"¶")+COUNTIF($E114:X114,"²")+COUNTIF($E114:X114,"µ")+COUNTIF($E114:X114,1)-1,INDEX(Roadmap!$D:$K,MATCH($E114,Roadmap!$D:$D,0)-1+COUNTIF($E114:X114,"u")+COUNTIF($E114:X114,"t")+COUNTIF($E114:X114,"¶")+COUNTIF($E114:X114,"²")+COUNTIF($E114:X114,"µ")+COUNTIF($E114:X114,1),ColDescriptionCourte)),""),
  "")),"")</f>
        <v/>
      </c>
      <c r="Z114" s="40" t="str">
        <f ca="1">IFERROR(IF(AND(
  INDEX(Roadmap!$D:$K,MATCH($E114,Roadmap!$D:$D,0)+COUNTIF($E114:Y114,"u")+COUNTIF($E114:Y114,"t")+COUNTIF($E114:Y114,"¶")+COUNTIF($E114:Y114,"²")+COUNTIF($E114:Y114,"µ")+COUNTIF($E114:Y114,1),ColLivraison)=Z$6,
  VLOOKUP($E114,INDIRECT("tri!"&amp; CHAR(64+ C0Col) &amp;":"&amp; CHAR(65+C0Col)),2,FALSE)&gt;COUNTIF($E114:Y114,"u")+COUNTIF($E114:Y114,"t")+COUNTIF($E114:Y114,"¶")+COUNTIF($E114:Y114,"²")+COUNTIF($E114:Y114,"µ")+COUNTIF($E114:Y114,1)),
HYPERLINK("#Roadmap!C"&amp; MATCH($E114,Roadmap!$D:$D,0)+COUNTIF($E114:Y114,"u")+COUNTIF($E114:Y114,"t"),
     INDEX(Roadmap!$D:$K,MATCH($E114,Roadmap!$D:$D,0)+COUNTIF($E114:Y114,"u")+COUNTIF($E114:Y114,"t")+COUNTIF($E114:Y114,"¶")+COUNTIF($E114:Y114,"²")+COUNTIF($E114:Y114,"µ")+COUNTIF($E114:Y114,1),ColTypeEcheance)),
  IF(LEN(Y114)=1,
  IF(LEN(INDEX(Roadmap!$D:$K,MATCH($E114,Roadmap!$D:$D,0)-1+COUNTIF($E114:Y114,"u")+COUNTIF($E114:Y114,"t")+COUNTIF($E114:Y114,"¶")+COUNTIF($E114:Y114,"²")+COUNTIF($E114:Y114,"µ")+COUNTIF($E114:Y114,1),ColDescriptionCourte))&gt;1,
HYPERLINK("#Roadmap!C"&amp; MATCH($E114,Roadmap!$D:$D,0)+COUNTIF($E114:Y114,"u")+COUNTIF($E114:Y114,"t")+COUNTIF($E114:Y114,"¶")+COUNTIF($E114:Y114,"²")+COUNTIF($E114:Y114,"µ")+COUNTIF($E114:Y114,1)-1,INDEX(Roadmap!$D:$K,MATCH($E114,Roadmap!$D:$D,0)-1+COUNTIF($E114:Y114,"u")+COUNTIF($E114:Y114,"t")+COUNTIF($E114:Y114,"¶")+COUNTIF($E114:Y114,"²")+COUNTIF($E114:Y114,"µ")+COUNTIF($E114:Y114,1),ColDescriptionCourte)),""),
  "")),"")</f>
        <v/>
      </c>
      <c r="AA114" s="40" t="str">
        <f ca="1">IFERROR(IF(AND(
  INDEX(Roadmap!$D:$K,MATCH($E114,Roadmap!$D:$D,0)+COUNTIF($E114:Z114,"u")+COUNTIF($E114:Z114,"t")+COUNTIF($E114:Z114,"¶")+COUNTIF($E114:Z114,"²")+COUNTIF($E114:Z114,"µ")+COUNTIF($E114:Z114,1),ColLivraison)=AA$6,
  VLOOKUP($E114,INDIRECT("tri!"&amp; CHAR(64+ C0Col) &amp;":"&amp; CHAR(65+C0Col)),2,FALSE)&gt;COUNTIF($E114:Z114,"u")+COUNTIF($E114:Z114,"t")+COUNTIF($E114:Z114,"¶")+COUNTIF($E114:Z114,"²")+COUNTIF($E114:Z114,"µ")+COUNTIF($E114:Z114,1)),
HYPERLINK("#Roadmap!C"&amp; MATCH($E114,Roadmap!$D:$D,0)+COUNTIF($E114:Z114,"u")+COUNTIF($E114:Z114,"t"),
     INDEX(Roadmap!$D:$K,MATCH($E114,Roadmap!$D:$D,0)+COUNTIF($E114:Z114,"u")+COUNTIF($E114:Z114,"t")+COUNTIF($E114:Z114,"¶")+COUNTIF($E114:Z114,"²")+COUNTIF($E114:Z114,"µ")+COUNTIF($E114:Z114,1),ColTypeEcheance)),
  IF(LEN(Z114)=1,
  IF(LEN(INDEX(Roadmap!$D:$K,MATCH($E114,Roadmap!$D:$D,0)-1+COUNTIF($E114:Z114,"u")+COUNTIF($E114:Z114,"t")+COUNTIF($E114:Z114,"¶")+COUNTIF($E114:Z114,"²")+COUNTIF($E114:Z114,"µ")+COUNTIF($E114:Z114,1),ColDescriptionCourte))&gt;1,
HYPERLINK("#Roadmap!C"&amp; MATCH($E114,Roadmap!$D:$D,0)+COUNTIF($E114:Z114,"u")+COUNTIF($E114:Z114,"t")+COUNTIF($E114:Z114,"¶")+COUNTIF($E114:Z114,"²")+COUNTIF($E114:Z114,"µ")+COUNTIF($E114:Z114,1)-1,INDEX(Roadmap!$D:$K,MATCH($E114,Roadmap!$D:$D,0)-1+COUNTIF($E114:Z114,"u")+COUNTIF($E114:Z114,"t")+COUNTIF($E114:Z114,"¶")+COUNTIF($E114:Z114,"²")+COUNTIF($E114:Z114,"µ")+COUNTIF($E114:Z114,1),ColDescriptionCourte)),""),
  "")),"")</f>
        <v/>
      </c>
      <c r="AB114" s="40" t="str">
        <f ca="1">IFERROR(IF(AND(
  INDEX(Roadmap!$D:$K,MATCH($E114,Roadmap!$D:$D,0)+COUNTIF($E114:AA114,"u")+COUNTIF($E114:AA114,"t")+COUNTIF($E114:AA114,"¶")+COUNTIF($E114:AA114,"²")+COUNTIF($E114:AA114,"µ")+COUNTIF($E114:AA114,1),ColLivraison)=AB$6,
  VLOOKUP($E114,INDIRECT("tri!"&amp; CHAR(64+ C0Col) &amp;":"&amp; CHAR(65+C0Col)),2,FALSE)&gt;COUNTIF($E114:AA114,"u")+COUNTIF($E114:AA114,"t")+COUNTIF($E114:AA114,"¶")+COUNTIF($E114:AA114,"²")+COUNTIF($E114:AA114,"µ")+COUNTIF($E114:AA114,1)),
HYPERLINK("#Roadmap!C"&amp; MATCH($E114,Roadmap!$D:$D,0)+COUNTIF($E114:AA114,"u")+COUNTIF($E114:AA114,"t"),
     INDEX(Roadmap!$D:$K,MATCH($E114,Roadmap!$D:$D,0)+COUNTIF($E114:AA114,"u")+COUNTIF($E114:AA114,"t")+COUNTIF($E114:AA114,"¶")+COUNTIF($E114:AA114,"²")+COUNTIF($E114:AA114,"µ")+COUNTIF($E114:AA114,1),ColTypeEcheance)),
  IF(LEN(AA114)=1,
  IF(LEN(INDEX(Roadmap!$D:$K,MATCH($E114,Roadmap!$D:$D,0)-1+COUNTIF($E114:AA114,"u")+COUNTIF($E114:AA114,"t")+COUNTIF($E114:AA114,"¶")+COUNTIF($E114:AA114,"²")+COUNTIF($E114:AA114,"µ")+COUNTIF($E114:AA114,1),ColDescriptionCourte))&gt;1,
HYPERLINK("#Roadmap!C"&amp; MATCH($E114,Roadmap!$D:$D,0)+COUNTIF($E114:AA114,"u")+COUNTIF($E114:AA114,"t")+COUNTIF($E114:AA114,"¶")+COUNTIF($E114:AA114,"²")+COUNTIF($E114:AA114,"µ")+COUNTIF($E114:AA114,1)-1,INDEX(Roadmap!$D:$K,MATCH($E114,Roadmap!$D:$D,0)-1+COUNTIF($E114:AA114,"u")+COUNTIF($E114:AA114,"t")+COUNTIF($E114:AA114,"¶")+COUNTIF($E114:AA114,"²")+COUNTIF($E114:AA114,"µ")+COUNTIF($E114:AA114,1),ColDescriptionCourte)),""),
  "")),"")</f>
        <v/>
      </c>
      <c r="AC114" s="40" t="str">
        <f ca="1">IFERROR(IF(AND(
  INDEX(Roadmap!$D:$K,MATCH($E114,Roadmap!$D:$D,0)+COUNTIF($E114:AB114,"u")+COUNTIF($E114:AB114,"t")+COUNTIF($E114:AB114,"¶")+COUNTIF($E114:AB114,"²")+COUNTIF($E114:AB114,"µ")+COUNTIF($E114:AB114,1),ColLivraison)=AC$6,
  VLOOKUP($E114,INDIRECT("tri!"&amp; CHAR(64+ C0Col) &amp;":"&amp; CHAR(65+C0Col)),2,FALSE)&gt;COUNTIF($E114:AB114,"u")+COUNTIF($E114:AB114,"t")+COUNTIF($E114:AB114,"¶")+COUNTIF($E114:AB114,"²")+COUNTIF($E114:AB114,"µ")+COUNTIF($E114:AB114,1)),
HYPERLINK("#Roadmap!C"&amp; MATCH($E114,Roadmap!$D:$D,0)+COUNTIF($E114:AB114,"u")+COUNTIF($E114:AB114,"t"),
     INDEX(Roadmap!$D:$K,MATCH($E114,Roadmap!$D:$D,0)+COUNTIF($E114:AB114,"u")+COUNTIF($E114:AB114,"t")+COUNTIF($E114:AB114,"¶")+COUNTIF($E114:AB114,"²")+COUNTIF($E114:AB114,"µ")+COUNTIF($E114:AB114,1),ColTypeEcheance)),
  IF(LEN(AB114)=1,
  IF(LEN(INDEX(Roadmap!$D:$K,MATCH($E114,Roadmap!$D:$D,0)-1+COUNTIF($E114:AB114,"u")+COUNTIF($E114:AB114,"t")+COUNTIF($E114:AB114,"¶")+COUNTIF($E114:AB114,"²")+COUNTIF($E114:AB114,"µ")+COUNTIF($E114:AB114,1),ColDescriptionCourte))&gt;1,
HYPERLINK("#Roadmap!C"&amp; MATCH($E114,Roadmap!$D:$D,0)+COUNTIF($E114:AB114,"u")+COUNTIF($E114:AB114,"t")+COUNTIF($E114:AB114,"¶")+COUNTIF($E114:AB114,"²")+COUNTIF($E114:AB114,"µ")+COUNTIF($E114:AB114,1)-1,INDEX(Roadmap!$D:$K,MATCH($E114,Roadmap!$D:$D,0)-1+COUNTIF($E114:AB114,"u")+COUNTIF($E114:AB114,"t")+COUNTIF($E114:AB114,"¶")+COUNTIF($E114:AB114,"²")+COUNTIF($E114:AB114,"µ")+COUNTIF($E114:AB114,1),ColDescriptionCourte)),""),
  "")),"")</f>
        <v/>
      </c>
      <c r="AD114" s="40" t="str">
        <f ca="1">IFERROR(IF(AND(
  INDEX(Roadmap!$D:$K,MATCH($E114,Roadmap!$D:$D,0)+COUNTIF($E114:AC114,"u")+COUNTIF($E114:AC114,"t")+COUNTIF($E114:AC114,"¶")+COUNTIF($E114:AC114,"²")+COUNTIF($E114:AC114,"µ")+COUNTIF($E114:AC114,1),ColLivraison)=AD$6,
  VLOOKUP($E114,INDIRECT("tri!"&amp; CHAR(64+ C0Col) &amp;":"&amp; CHAR(65+C0Col)),2,FALSE)&gt;COUNTIF($E114:AC114,"u")+COUNTIF($E114:AC114,"t")+COUNTIF($E114:AC114,"¶")+COUNTIF($E114:AC114,"²")+COUNTIF($E114:AC114,"µ")+COUNTIF($E114:AC114,1)),
HYPERLINK("#Roadmap!C"&amp; MATCH($E114,Roadmap!$D:$D,0)+COUNTIF($E114:AC114,"u")+COUNTIF($E114:AC114,"t"),
     INDEX(Roadmap!$D:$K,MATCH($E114,Roadmap!$D:$D,0)+COUNTIF($E114:AC114,"u")+COUNTIF($E114:AC114,"t")+COUNTIF($E114:AC114,"¶")+COUNTIF($E114:AC114,"²")+COUNTIF($E114:AC114,"µ")+COUNTIF($E114:AC114,1),ColTypeEcheance)),
  IF(LEN(AC114)=1,
  IF(LEN(INDEX(Roadmap!$D:$K,MATCH($E114,Roadmap!$D:$D,0)-1+COUNTIF($E114:AC114,"u")+COUNTIF($E114:AC114,"t")+COUNTIF($E114:AC114,"¶")+COUNTIF($E114:AC114,"²")+COUNTIF($E114:AC114,"µ")+COUNTIF($E114:AC114,1),ColDescriptionCourte))&gt;1,
HYPERLINK("#Roadmap!C"&amp; MATCH($E114,Roadmap!$D:$D,0)+COUNTIF($E114:AC114,"u")+COUNTIF($E114:AC114,"t")+COUNTIF($E114:AC114,"¶")+COUNTIF($E114:AC114,"²")+COUNTIF($E114:AC114,"µ")+COUNTIF($E114:AC114,1)-1,INDEX(Roadmap!$D:$K,MATCH($E114,Roadmap!$D:$D,0)-1+COUNTIF($E114:AC114,"u")+COUNTIF($E114:AC114,"t")+COUNTIF($E114:AC114,"¶")+COUNTIF($E114:AC114,"²")+COUNTIF($E114:AC114,"µ")+COUNTIF($E114:AC114,1),ColDescriptionCourte)),""),
  "")),"")</f>
        <v/>
      </c>
      <c r="AE114" s="40" t="str">
        <f ca="1">IFERROR(IF(AND(
  INDEX(Roadmap!$D:$K,MATCH($E114,Roadmap!$D:$D,0)+COUNTIF($E114:AD114,"u")+COUNTIF($E114:AD114,"t")+COUNTIF($E114:AD114,"¶")+COUNTIF($E114:AD114,"²")+COUNTIF($E114:AD114,"µ")+COUNTIF($E114:AD114,1),ColLivraison)=AE$6,
  VLOOKUP($E114,INDIRECT("tri!"&amp; CHAR(64+ C0Col) &amp;":"&amp; CHAR(65+C0Col)),2,FALSE)&gt;COUNTIF($E114:AD114,"u")+COUNTIF($E114:AD114,"t")+COUNTIF($E114:AD114,"¶")+COUNTIF($E114:AD114,"²")+COUNTIF($E114:AD114,"µ")+COUNTIF($E114:AD114,1)),
HYPERLINK("#Roadmap!C"&amp; MATCH($E114,Roadmap!$D:$D,0)+COUNTIF($E114:AD114,"u")+COUNTIF($E114:AD114,"t"),
     INDEX(Roadmap!$D:$K,MATCH($E114,Roadmap!$D:$D,0)+COUNTIF($E114:AD114,"u")+COUNTIF($E114:AD114,"t")+COUNTIF($E114:AD114,"¶")+COUNTIF($E114:AD114,"²")+COUNTIF($E114:AD114,"µ")+COUNTIF($E114:AD114,1),ColTypeEcheance)),
  IF(LEN(AD114)=1,
  IF(LEN(INDEX(Roadmap!$D:$K,MATCH($E114,Roadmap!$D:$D,0)-1+COUNTIF($E114:AD114,"u")+COUNTIF($E114:AD114,"t")+COUNTIF($E114:AD114,"¶")+COUNTIF($E114:AD114,"²")+COUNTIF($E114:AD114,"µ")+COUNTIF($E114:AD114,1),ColDescriptionCourte))&gt;1,
HYPERLINK("#Roadmap!C"&amp; MATCH($E114,Roadmap!$D:$D,0)+COUNTIF($E114:AD114,"u")+COUNTIF($E114:AD114,"t")+COUNTIF($E114:AD114,"¶")+COUNTIF($E114:AD114,"²")+COUNTIF($E114:AD114,"µ")+COUNTIF($E114:AD114,1)-1,INDEX(Roadmap!$D:$K,MATCH($E114,Roadmap!$D:$D,0)-1+COUNTIF($E114:AD114,"u")+COUNTIF($E114:AD114,"t")+COUNTIF($E114:AD114,"¶")+COUNTIF($E114:AD114,"²")+COUNTIF($E114:AD114,"µ")+COUNTIF($E114:AD114,1),ColDescriptionCourte)),""),
  "")),"")</f>
        <v/>
      </c>
      <c r="AF114" s="40" t="str">
        <f ca="1">IFERROR(IF(AND(
  INDEX(Roadmap!$D:$K,MATCH($E114,Roadmap!$D:$D,0)+COUNTIF($E114:AE114,"u")+COUNTIF($E114:AE114,"t")+COUNTIF($E114:AE114,"¶")+COUNTIF($E114:AE114,"²")+COUNTIF($E114:AE114,"µ")+COUNTIF($E114:AE114,1),ColLivraison)=AF$6,
  VLOOKUP($E114,INDIRECT("tri!"&amp; CHAR(64+ C0Col) &amp;":"&amp; CHAR(65+C0Col)),2,FALSE)&gt;COUNTIF($E114:AE114,"u")+COUNTIF($E114:AE114,"t")+COUNTIF($E114:AE114,"¶")+COUNTIF($E114:AE114,"²")+COUNTIF($E114:AE114,"µ")+COUNTIF($E114:AE114,1)),
HYPERLINK("#Roadmap!C"&amp; MATCH($E114,Roadmap!$D:$D,0)+COUNTIF($E114:AE114,"u")+COUNTIF($E114:AE114,"t"),
     INDEX(Roadmap!$D:$K,MATCH($E114,Roadmap!$D:$D,0)+COUNTIF($E114:AE114,"u")+COUNTIF($E114:AE114,"t")+COUNTIF($E114:AE114,"¶")+COUNTIF($E114:AE114,"²")+COUNTIF($E114:AE114,"µ")+COUNTIF($E114:AE114,1),ColTypeEcheance)),
  IF(LEN(AE114)=1,
  IF(LEN(INDEX(Roadmap!$D:$K,MATCH($E114,Roadmap!$D:$D,0)-1+COUNTIF($E114:AE114,"u")+COUNTIF($E114:AE114,"t")+COUNTIF($E114:AE114,"¶")+COUNTIF($E114:AE114,"²")+COUNTIF($E114:AE114,"µ")+COUNTIF($E114:AE114,1),ColDescriptionCourte))&gt;1,
HYPERLINK("#Roadmap!C"&amp; MATCH($E114,Roadmap!$D:$D,0)+COUNTIF($E114:AE114,"u")+COUNTIF($E114:AE114,"t")+COUNTIF($E114:AE114,"¶")+COUNTIF($E114:AE114,"²")+COUNTIF($E114:AE114,"µ")+COUNTIF($E114:AE114,1)-1,INDEX(Roadmap!$D:$K,MATCH($E114,Roadmap!$D:$D,0)-1+COUNTIF($E114:AE114,"u")+COUNTIF($E114:AE114,"t")+COUNTIF($E114:AE114,"¶")+COUNTIF($E114:AE114,"²")+COUNTIF($E114:AE114,"µ")+COUNTIF($E114:AE114,1),ColDescriptionCourte)),""),
  "")),"")</f>
        <v/>
      </c>
      <c r="AG114" s="40" t="str">
        <f ca="1">IFERROR(IF(AND(
  INDEX(Roadmap!$D:$K,MATCH($E114,Roadmap!$D:$D,0)+COUNTIF($E114:AF114,"u")+COUNTIF($E114:AF114,"t")+COUNTIF($E114:AF114,"¶")+COUNTIF($E114:AF114,"²")+COUNTIF($E114:AF114,"µ")+COUNTIF($E114:AF114,1),ColLivraison)=AG$6,
  VLOOKUP($E114,INDIRECT("tri!"&amp; CHAR(64+ C0Col) &amp;":"&amp; CHAR(65+C0Col)),2,FALSE)&gt;COUNTIF($E114:AF114,"u")+COUNTIF($E114:AF114,"t")+COUNTIF($E114:AF114,"¶")+COUNTIF($E114:AF114,"²")+COUNTIF($E114:AF114,"µ")+COUNTIF($E114:AF114,1)),
HYPERLINK("#Roadmap!C"&amp; MATCH($E114,Roadmap!$D:$D,0)+COUNTIF($E114:AF114,"u")+COUNTIF($E114:AF114,"t"),
     INDEX(Roadmap!$D:$K,MATCH($E114,Roadmap!$D:$D,0)+COUNTIF($E114:AF114,"u")+COUNTIF($E114:AF114,"t")+COUNTIF($E114:AF114,"¶")+COUNTIF($E114:AF114,"²")+COUNTIF($E114:AF114,"µ")+COUNTIF($E114:AF114,1),ColTypeEcheance)),
  IF(LEN(AF114)=1,
  IF(LEN(INDEX(Roadmap!$D:$K,MATCH($E114,Roadmap!$D:$D,0)-1+COUNTIF($E114:AF114,"u")+COUNTIF($E114:AF114,"t")+COUNTIF($E114:AF114,"¶")+COUNTIF($E114:AF114,"²")+COUNTIF($E114:AF114,"µ")+COUNTIF($E114:AF114,1),ColDescriptionCourte))&gt;1,
HYPERLINK("#Roadmap!C"&amp; MATCH($E114,Roadmap!$D:$D,0)+COUNTIF($E114:AF114,"u")+COUNTIF($E114:AF114,"t")+COUNTIF($E114:AF114,"¶")+COUNTIF($E114:AF114,"²")+COUNTIF($E114:AF114,"µ")+COUNTIF($E114:AF114,1)-1,INDEX(Roadmap!$D:$K,MATCH($E114,Roadmap!$D:$D,0)-1+COUNTIF($E114:AF114,"u")+COUNTIF($E114:AF114,"t")+COUNTIF($E114:AF114,"¶")+COUNTIF($E114:AF114,"²")+COUNTIF($E114:AF114,"µ")+COUNTIF($E114:AF114,1),ColDescriptionCourte)),""),
  "")),"")</f>
        <v/>
      </c>
    </row>
    <row r="115" spans="3:33" ht="14.25" customHeight="1">
      <c r="C115" s="1" t="str">
        <f t="shared" ca="1" si="49"/>
        <v/>
      </c>
      <c r="D115" s="1" t="str">
        <f t="shared" ca="1" si="50"/>
        <v/>
      </c>
      <c r="E115" s="35" t="str">
        <f t="shared" ca="1" si="46"/>
        <v/>
      </c>
      <c r="F115" s="39" t="str">
        <f ca="1">IFERROR(IF(AND(
  INDEX(Roadmap!$D:$K,MATCH($E115,Roadmap!$D:$D,0)+COUNTIF($E115:E115,"u")+COUNTIF($E115:E115,"t")+COUNTIF($E115:E115,"¶")+COUNTIF($E115:E115,"²")+COUNTIF($E115:E115,"µ")+COUNTIF($E115:E115,1),ColLivraison)=F$6,
  VLOOKUP($E115,INDIRECT("tri!"&amp; CHAR(64+ C0Col) &amp;":"&amp; CHAR(65+C0Col)),2,FALSE)&gt;COUNTIF($E115:E115,"u")+COUNTIF($E115:E115,"t")+COUNTIF($E115:E115,"¶")+COUNTIF($E115:E115,"²")+COUNTIF($E115:E115,"µ")+COUNTIF($E115:E115,1)),
HYPERLINK("#Roadmap!C"&amp; MATCH($E115,Roadmap!$D:$D,0)+COUNTIF($E115:E115,"u")+COUNTIF($E115:E115,"t"),
     INDEX(Roadmap!$D:$K,MATCH($E115,Roadmap!$D:$D,0)+COUNTIF($E115:E115,"u")+COUNTIF($E115:E115,"t")+COUNTIF($E115:E115,"¶")+COUNTIF($E115:E115,"²")+COUNTIF($E115:E115,"µ")+COUNTIF($E115:E115,1),ColTypeEcheance)),
  IF(LEN(E115)=1,
  IF(LEN(INDEX(Roadmap!$D:$K,MATCH($E115,Roadmap!$D:$D,0)-1+COUNTIF($E115:E115,"u")+COUNTIF($E115:E115,"t")+COUNTIF($E115:E115,"¶")+COUNTIF($E115:E115,"²")+COUNTIF($E115:E115,"µ")+COUNTIF($E115:E115,1),ColDescriptionCourte))&gt;1,
HYPERLINK("#Roadmap!C"&amp; MATCH($E115,Roadmap!$D:$D,0)+COUNTIF($E115:E115,"u")+COUNTIF($E115:E115,"t")+COUNTIF($E115:E115,"¶")+COUNTIF($E115:E115,"²")+COUNTIF($E115:E115,"µ")+COUNTIF($E115:E115,1)-1,INDEX(Roadmap!$D:$K,MATCH($E115,Roadmap!$D:$D,0)-1+COUNTIF($E115:E115,"u")+COUNTIF($E115:E115,"t")+COUNTIF($E115:E115,"¶")+COUNTIF($E115:E115,"²")+COUNTIF($E115:E115,"µ")+COUNTIF($E115:E115,1),ColDescriptionCourte)),""),
  "")),"")</f>
        <v/>
      </c>
      <c r="G115" s="40" t="str">
        <f ca="1">IFERROR(IF(AND(
  INDEX(Roadmap!$D:$K,MATCH($E115,Roadmap!$D:$D,0)+COUNTIF($E115:F115,"u")+COUNTIF($E115:F115,"t")+COUNTIF($E115:F115,"¶")+COUNTIF($E115:F115,"²")+COUNTIF($E115:F115,"µ")+COUNTIF($E115:F115,1),ColLivraison)=G$6,
  VLOOKUP($E115,INDIRECT("tri!"&amp; CHAR(64+ C0Col) &amp;":"&amp; CHAR(65+C0Col)),2,FALSE)&gt;COUNTIF($E115:F115,"u")+COUNTIF($E115:F115,"t")+COUNTIF($E115:F115,"¶")+COUNTIF($E115:F115,"²")+COUNTIF($E115:F115,"µ")+COUNTIF($E115:F115,1)),
HYPERLINK("#Roadmap!C"&amp; MATCH($E115,Roadmap!$D:$D,0)+COUNTIF($E115:F115,"u")+COUNTIF($E115:F115,"t"),
     INDEX(Roadmap!$D:$K,MATCH($E115,Roadmap!$D:$D,0)+COUNTIF($E115:F115,"u")+COUNTIF($E115:F115,"t")+COUNTIF($E115:F115,"¶")+COUNTIF($E115:F115,"²")+COUNTIF($E115:F115,"µ")+COUNTIF($E115:F115,1),ColTypeEcheance)),
  IF(LEN(F115)=1,
  IF(LEN(INDEX(Roadmap!$D:$K,MATCH($E115,Roadmap!$D:$D,0)-1+COUNTIF($E115:F115,"u")+COUNTIF($E115:F115,"t")+COUNTIF($E115:F115,"¶")+COUNTIF($E115:F115,"²")+COUNTIF($E115:F115,"µ")+COUNTIF($E115:F115,1),ColDescriptionCourte))&gt;1,
HYPERLINK("#Roadmap!C"&amp; MATCH($E115,Roadmap!$D:$D,0)+COUNTIF($E115:F115,"u")+COUNTIF($E115:F115,"t")+COUNTIF($E115:F115,"¶")+COUNTIF($E115:F115,"²")+COUNTIF($E115:F115,"µ")+COUNTIF($E115:F115,1)-1,INDEX(Roadmap!$D:$K,MATCH($E115,Roadmap!$D:$D,0)-1+COUNTIF($E115:F115,"u")+COUNTIF($E115:F115,"t")+COUNTIF($E115:F115,"¶")+COUNTIF($E115:F115,"²")+COUNTIF($E115:F115,"µ")+COUNTIF($E115:F115,1),ColDescriptionCourte)),""),
  "")),"")</f>
        <v/>
      </c>
      <c r="H115" s="40" t="str">
        <f ca="1">IFERROR(IF(AND(
  INDEX(Roadmap!$D:$K,MATCH($E115,Roadmap!$D:$D,0)+COUNTIF($E115:G115,"u")+COUNTIF($E115:G115,"t")+COUNTIF($E115:G115,"¶")+COUNTIF($E115:G115,"²")+COUNTIF($E115:G115,"µ")+COUNTIF($E115:G115,1),ColLivraison)=H$6,
  VLOOKUP($E115,INDIRECT("tri!"&amp; CHAR(64+ C0Col) &amp;":"&amp; CHAR(65+C0Col)),2,FALSE)&gt;COUNTIF($E115:G115,"u")+COUNTIF($E115:G115,"t")+COUNTIF($E115:G115,"¶")+COUNTIF($E115:G115,"²")+COUNTIF($E115:G115,"µ")+COUNTIF($E115:G115,1)),
HYPERLINK("#Roadmap!C"&amp; MATCH($E115,Roadmap!$D:$D,0)+COUNTIF($E115:G115,"u")+COUNTIF($E115:G115,"t"),
     INDEX(Roadmap!$D:$K,MATCH($E115,Roadmap!$D:$D,0)+COUNTIF($E115:G115,"u")+COUNTIF($E115:G115,"t")+COUNTIF($E115:G115,"¶")+COUNTIF($E115:G115,"²")+COUNTIF($E115:G115,"µ")+COUNTIF($E115:G115,1),ColTypeEcheance)),
  IF(LEN(G115)=1,
  IF(LEN(INDEX(Roadmap!$D:$K,MATCH($E115,Roadmap!$D:$D,0)-1+COUNTIF($E115:G115,"u")+COUNTIF($E115:G115,"t")+COUNTIF($E115:G115,"¶")+COUNTIF($E115:G115,"²")+COUNTIF($E115:G115,"µ")+COUNTIF($E115:G115,1),ColDescriptionCourte))&gt;1,
HYPERLINK("#Roadmap!C"&amp; MATCH($E115,Roadmap!$D:$D,0)+COUNTIF($E115:G115,"u")+COUNTIF($E115:G115,"t")+COUNTIF($E115:G115,"¶")+COUNTIF($E115:G115,"²")+COUNTIF($E115:G115,"µ")+COUNTIF($E115:G115,1)-1,INDEX(Roadmap!$D:$K,MATCH($E115,Roadmap!$D:$D,0)-1+COUNTIF($E115:G115,"u")+COUNTIF($E115:G115,"t")+COUNTIF($E115:G115,"¶")+COUNTIF($E115:G115,"²")+COUNTIF($E115:G115,"µ")+COUNTIF($E115:G115,1),ColDescriptionCourte)),""),
  "")),"")</f>
        <v/>
      </c>
      <c r="I115" s="40" t="str">
        <f ca="1">IFERROR(IF(AND(
  INDEX(Roadmap!$D:$K,MATCH($E115,Roadmap!$D:$D,0)+COUNTIF($E115:H115,"u")+COUNTIF($E115:H115,"t")+COUNTIF($E115:H115,"¶")+COUNTIF($E115:H115,"²")+COUNTIF($E115:H115,"µ")+COUNTIF($E115:H115,1),ColLivraison)=I$6,
  VLOOKUP($E115,INDIRECT("tri!"&amp; CHAR(64+ C0Col) &amp;":"&amp; CHAR(65+C0Col)),2,FALSE)&gt;COUNTIF($E115:H115,"u")+COUNTIF($E115:H115,"t")+COUNTIF($E115:H115,"¶")+COUNTIF($E115:H115,"²")+COUNTIF($E115:H115,"µ")+COUNTIF($E115:H115,1)),
HYPERLINK("#Roadmap!C"&amp; MATCH($E115,Roadmap!$D:$D,0)+COUNTIF($E115:H115,"u")+COUNTIF($E115:H115,"t"),
     INDEX(Roadmap!$D:$K,MATCH($E115,Roadmap!$D:$D,0)+COUNTIF($E115:H115,"u")+COUNTIF($E115:H115,"t")+COUNTIF($E115:H115,"¶")+COUNTIF($E115:H115,"²")+COUNTIF($E115:H115,"µ")+COUNTIF($E115:H115,1),ColTypeEcheance)),
  IF(LEN(H115)=1,
  IF(LEN(INDEX(Roadmap!$D:$K,MATCH($E115,Roadmap!$D:$D,0)-1+COUNTIF($E115:H115,"u")+COUNTIF($E115:H115,"t")+COUNTIF($E115:H115,"¶")+COUNTIF($E115:H115,"²")+COUNTIF($E115:H115,"µ")+COUNTIF($E115:H115,1),ColDescriptionCourte))&gt;1,
HYPERLINK("#Roadmap!C"&amp; MATCH($E115,Roadmap!$D:$D,0)+COUNTIF($E115:H115,"u")+COUNTIF($E115:H115,"t")+COUNTIF($E115:H115,"¶")+COUNTIF($E115:H115,"²")+COUNTIF($E115:H115,"µ")+COUNTIF($E115:H115,1)-1,INDEX(Roadmap!$D:$K,MATCH($E115,Roadmap!$D:$D,0)-1+COUNTIF($E115:H115,"u")+COUNTIF($E115:H115,"t")+COUNTIF($E115:H115,"¶")+COUNTIF($E115:H115,"²")+COUNTIF($E115:H115,"µ")+COUNTIF($E115:H115,1),ColDescriptionCourte)),""),
  "")),"")</f>
        <v/>
      </c>
      <c r="J115" s="40" t="str">
        <f ca="1">IFERROR(IF(AND(
  INDEX(Roadmap!$D:$K,MATCH($E115,Roadmap!$D:$D,0)+COUNTIF($E115:I115,"u")+COUNTIF($E115:I115,"t")+COUNTIF($E115:I115,"¶")+COUNTIF($E115:I115,"²")+COUNTIF($E115:I115,"µ")+COUNTIF($E115:I115,1),ColLivraison)=J$6,
  VLOOKUP($E115,INDIRECT("tri!"&amp; CHAR(64+ C0Col) &amp;":"&amp; CHAR(65+C0Col)),2,FALSE)&gt;COUNTIF($E115:I115,"u")+COUNTIF($E115:I115,"t")+COUNTIF($E115:I115,"¶")+COUNTIF($E115:I115,"²")+COUNTIF($E115:I115,"µ")+COUNTIF($E115:I115,1)),
HYPERLINK("#Roadmap!C"&amp; MATCH($E115,Roadmap!$D:$D,0)+COUNTIF($E115:I115,"u")+COUNTIF($E115:I115,"t"),
     INDEX(Roadmap!$D:$K,MATCH($E115,Roadmap!$D:$D,0)+COUNTIF($E115:I115,"u")+COUNTIF($E115:I115,"t")+COUNTIF($E115:I115,"¶")+COUNTIF($E115:I115,"²")+COUNTIF($E115:I115,"µ")+COUNTIF($E115:I115,1),ColTypeEcheance)),
  IF(LEN(I115)=1,
  IF(LEN(INDEX(Roadmap!$D:$K,MATCH($E115,Roadmap!$D:$D,0)-1+COUNTIF($E115:I115,"u")+COUNTIF($E115:I115,"t")+COUNTIF($E115:I115,"¶")+COUNTIF($E115:I115,"²")+COUNTIF($E115:I115,"µ")+COUNTIF($E115:I115,1),ColDescriptionCourte))&gt;1,
HYPERLINK("#Roadmap!C"&amp; MATCH($E115,Roadmap!$D:$D,0)+COUNTIF($E115:I115,"u")+COUNTIF($E115:I115,"t")+COUNTIF($E115:I115,"¶")+COUNTIF($E115:I115,"²")+COUNTIF($E115:I115,"µ")+COUNTIF($E115:I115,1)-1,INDEX(Roadmap!$D:$K,MATCH($E115,Roadmap!$D:$D,0)-1+COUNTIF($E115:I115,"u")+COUNTIF($E115:I115,"t")+COUNTIF($E115:I115,"¶")+COUNTIF($E115:I115,"²")+COUNTIF($E115:I115,"µ")+COUNTIF($E115:I115,1),ColDescriptionCourte)),""),
  "")),"")</f>
        <v/>
      </c>
      <c r="K115" s="40" t="str">
        <f ca="1">IFERROR(IF(AND(
  INDEX(Roadmap!$D:$K,MATCH($E115,Roadmap!$D:$D,0)+COUNTIF($E115:J115,"u")+COUNTIF($E115:J115,"t")+COUNTIF($E115:J115,"¶")+COUNTIF($E115:J115,"²")+COUNTIF($E115:J115,"µ")+COUNTIF($E115:J115,1),ColLivraison)=K$6,
  VLOOKUP($E115,INDIRECT("tri!"&amp; CHAR(64+ C0Col) &amp;":"&amp; CHAR(65+C0Col)),2,FALSE)&gt;COUNTIF($E115:J115,"u")+COUNTIF($E115:J115,"t")+COUNTIF($E115:J115,"¶")+COUNTIF($E115:J115,"²")+COUNTIF($E115:J115,"µ")+COUNTIF($E115:J115,1)),
HYPERLINK("#Roadmap!C"&amp; MATCH($E115,Roadmap!$D:$D,0)+COUNTIF($E115:J115,"u")+COUNTIF($E115:J115,"t"),
     INDEX(Roadmap!$D:$K,MATCH($E115,Roadmap!$D:$D,0)+COUNTIF($E115:J115,"u")+COUNTIF($E115:J115,"t")+COUNTIF($E115:J115,"¶")+COUNTIF($E115:J115,"²")+COUNTIF($E115:J115,"µ")+COUNTIF($E115:J115,1),ColTypeEcheance)),
  IF(LEN(J115)=1,
  IF(LEN(INDEX(Roadmap!$D:$K,MATCH($E115,Roadmap!$D:$D,0)-1+COUNTIF($E115:J115,"u")+COUNTIF($E115:J115,"t")+COUNTIF($E115:J115,"¶")+COUNTIF($E115:J115,"²")+COUNTIF($E115:J115,"µ")+COUNTIF($E115:J115,1),ColDescriptionCourte))&gt;1,
HYPERLINK("#Roadmap!C"&amp; MATCH($E115,Roadmap!$D:$D,0)+COUNTIF($E115:J115,"u")+COUNTIF($E115:J115,"t")+COUNTIF($E115:J115,"¶")+COUNTIF($E115:J115,"²")+COUNTIF($E115:J115,"µ")+COUNTIF($E115:J115,1)-1,INDEX(Roadmap!$D:$K,MATCH($E115,Roadmap!$D:$D,0)-1+COUNTIF($E115:J115,"u")+COUNTIF($E115:J115,"t")+COUNTIF($E115:J115,"¶")+COUNTIF($E115:J115,"²")+COUNTIF($E115:J115,"µ")+COUNTIF($E115:J115,1),ColDescriptionCourte)),""),
  "")),"")</f>
        <v/>
      </c>
      <c r="L115" s="39" t="str">
        <f ca="1">IFERROR(IF(AND(
  INDEX(Roadmap!$D:$K,MATCH($E115,Roadmap!$D:$D,0)+COUNTIF($E115:K115,"u")+COUNTIF($E115:K115,"t")+COUNTIF($E115:K115,"¶")+COUNTIF($E115:K115,"²")+COUNTIF($E115:K115,"µ")+COUNTIF($E115:K115,1),ColLivraison)=L$6,
  VLOOKUP($E115,INDIRECT("tri!"&amp; CHAR(64+ C0Col) &amp;":"&amp; CHAR(65+C0Col)),2,FALSE)&gt;COUNTIF($E115:K115,"u")+COUNTIF($E115:K115,"t")+COUNTIF($E115:K115,"¶")+COUNTIF($E115:K115,"²")+COUNTIF($E115:K115,"µ")+COUNTIF($E115:K115,1)),
HYPERLINK("#Roadmap!C"&amp; MATCH($E115,Roadmap!$D:$D,0)+COUNTIF($E115:K115,"u")+COUNTIF($E115:K115,"t"),
     INDEX(Roadmap!$D:$K,MATCH($E115,Roadmap!$D:$D,0)+COUNTIF($E115:K115,"u")+COUNTIF($E115:K115,"t")+COUNTIF($E115:K115,"¶")+COUNTIF($E115:K115,"²")+COUNTIF($E115:K115,"µ")+COUNTIF($E115:K115,1),ColTypeEcheance)),
  IF(LEN(K115)=1,
  IF(LEN(INDEX(Roadmap!$D:$K,MATCH($E115,Roadmap!$D:$D,0)-1+COUNTIF($E115:K115,"u")+COUNTIF($E115:K115,"t")+COUNTIF($E115:K115,"¶")+COUNTIF($E115:K115,"²")+COUNTIF($E115:K115,"µ")+COUNTIF($E115:K115,1),ColDescriptionCourte))&gt;1,
HYPERLINK("#Roadmap!C"&amp; MATCH($E115,Roadmap!$D:$D,0)+COUNTIF($E115:K115,"u")+COUNTIF($E115:K115,"t")+COUNTIF($E115:K115,"¶")+COUNTIF($E115:K115,"²")+COUNTIF($E115:K115,"µ")+COUNTIF($E115:K115,1)-1,INDEX(Roadmap!$D:$K,MATCH($E115,Roadmap!$D:$D,0)-1+COUNTIF($E115:K115,"u")+COUNTIF($E115:K115,"t")+COUNTIF($E115:K115,"¶")+COUNTIF($E115:K115,"²")+COUNTIF($E115:K115,"µ")+COUNTIF($E115:K115,1),ColDescriptionCourte)),""),
  "")),"")</f>
        <v/>
      </c>
      <c r="M115" s="40" t="str">
        <f ca="1">IFERROR(IF(AND(
  INDEX(Roadmap!$D:$K,MATCH($E115,Roadmap!$D:$D,0)+COUNTIF($E115:L115,"u")+COUNTIF($E115:L115,"t")+COUNTIF($E115:L115,"¶")+COUNTIF($E115:L115,"²")+COUNTIF($E115:L115,"µ")+COUNTIF($E115:L115,1),ColLivraison)=M$6,
  VLOOKUP($E115,INDIRECT("tri!"&amp; CHAR(64+ C0Col) &amp;":"&amp; CHAR(65+C0Col)),2,FALSE)&gt;COUNTIF($E115:L115,"u")+COUNTIF($E115:L115,"t")+COUNTIF($E115:L115,"¶")+COUNTIF($E115:L115,"²")+COUNTIF($E115:L115,"µ")+COUNTIF($E115:L115,1)),
HYPERLINK("#Roadmap!C"&amp; MATCH($E115,Roadmap!$D:$D,0)+COUNTIF($E115:L115,"u")+COUNTIF($E115:L115,"t"),
     INDEX(Roadmap!$D:$K,MATCH($E115,Roadmap!$D:$D,0)+COUNTIF($E115:L115,"u")+COUNTIF($E115:L115,"t")+COUNTIF($E115:L115,"¶")+COUNTIF($E115:L115,"²")+COUNTIF($E115:L115,"µ")+COUNTIF($E115:L115,1),ColTypeEcheance)),
  IF(LEN(L115)=1,
  IF(LEN(INDEX(Roadmap!$D:$K,MATCH($E115,Roadmap!$D:$D,0)-1+COUNTIF($E115:L115,"u")+COUNTIF($E115:L115,"t")+COUNTIF($E115:L115,"¶")+COUNTIF($E115:L115,"²")+COUNTIF($E115:L115,"µ")+COUNTIF($E115:L115,1),ColDescriptionCourte))&gt;1,
HYPERLINK("#Roadmap!C"&amp; MATCH($E115,Roadmap!$D:$D,0)+COUNTIF($E115:L115,"u")+COUNTIF($E115:L115,"t")+COUNTIF($E115:L115,"¶")+COUNTIF($E115:L115,"²")+COUNTIF($E115:L115,"µ")+COUNTIF($E115:L115,1)-1,INDEX(Roadmap!$D:$K,MATCH($E115,Roadmap!$D:$D,0)-1+COUNTIF($E115:L115,"u")+COUNTIF($E115:L115,"t")+COUNTIF($E115:L115,"¶")+COUNTIF($E115:L115,"²")+COUNTIF($E115:L115,"µ")+COUNTIF($E115:L115,1),ColDescriptionCourte)),""),
  "")),"")</f>
        <v/>
      </c>
      <c r="N115" s="40" t="str">
        <f ca="1">IFERROR(IF(AND(
  INDEX(Roadmap!$D:$K,MATCH($E115,Roadmap!$D:$D,0)+COUNTIF($E115:M115,"u")+COUNTIF($E115:M115,"t")+COUNTIF($E115:M115,"¶")+COUNTIF($E115:M115,"²")+COUNTIF($E115:M115,"µ")+COUNTIF($E115:M115,1),ColLivraison)=N$6,
  VLOOKUP($E115,INDIRECT("tri!"&amp; CHAR(64+ C0Col) &amp;":"&amp; CHAR(65+C0Col)),2,FALSE)&gt;COUNTIF($E115:M115,"u")+COUNTIF($E115:M115,"t")+COUNTIF($E115:M115,"¶")+COUNTIF($E115:M115,"²")+COUNTIF($E115:M115,"µ")+COUNTIF($E115:M115,1)),
HYPERLINK("#Roadmap!C"&amp; MATCH($E115,Roadmap!$D:$D,0)+COUNTIF($E115:M115,"u")+COUNTIF($E115:M115,"t"),
     INDEX(Roadmap!$D:$K,MATCH($E115,Roadmap!$D:$D,0)+COUNTIF($E115:M115,"u")+COUNTIF($E115:M115,"t")+COUNTIF($E115:M115,"¶")+COUNTIF($E115:M115,"²")+COUNTIF($E115:M115,"µ")+COUNTIF($E115:M115,1),ColTypeEcheance)),
  IF(LEN(M115)=1,
  IF(LEN(INDEX(Roadmap!$D:$K,MATCH($E115,Roadmap!$D:$D,0)-1+COUNTIF($E115:M115,"u")+COUNTIF($E115:M115,"t")+COUNTIF($E115:M115,"¶")+COUNTIF($E115:M115,"²")+COUNTIF($E115:M115,"µ")+COUNTIF($E115:M115,1),ColDescriptionCourte))&gt;1,
HYPERLINK("#Roadmap!C"&amp; MATCH($E115,Roadmap!$D:$D,0)+COUNTIF($E115:M115,"u")+COUNTIF($E115:M115,"t")+COUNTIF($E115:M115,"¶")+COUNTIF($E115:M115,"²")+COUNTIF($E115:M115,"µ")+COUNTIF($E115:M115,1)-1,INDEX(Roadmap!$D:$K,MATCH($E115,Roadmap!$D:$D,0)-1+COUNTIF($E115:M115,"u")+COUNTIF($E115:M115,"t")+COUNTIF($E115:M115,"¶")+COUNTIF($E115:M115,"²")+COUNTIF($E115:M115,"µ")+COUNTIF($E115:M115,1),ColDescriptionCourte)),""),
  "")),"")</f>
        <v/>
      </c>
      <c r="O115" s="40" t="str">
        <f ca="1">IFERROR(IF(AND(
  INDEX(Roadmap!$D:$K,MATCH($E115,Roadmap!$D:$D,0)+COUNTIF($E115:N115,"u")+COUNTIF($E115:N115,"t")+COUNTIF($E115:N115,"¶")+COUNTIF($E115:N115,"²")+COUNTIF($E115:N115,"µ")+COUNTIF($E115:N115,1),ColLivraison)=O$6,
  VLOOKUP($E115,INDIRECT("tri!"&amp; CHAR(64+ C0Col) &amp;":"&amp; CHAR(65+C0Col)),2,FALSE)&gt;COUNTIF($E115:N115,"u")+COUNTIF($E115:N115,"t")+COUNTIF($E115:N115,"¶")+COUNTIF($E115:N115,"²")+COUNTIF($E115:N115,"µ")+COUNTIF($E115:N115,1)),
HYPERLINK("#Roadmap!C"&amp; MATCH($E115,Roadmap!$D:$D,0)+COUNTIF($E115:N115,"u")+COUNTIF($E115:N115,"t"),
     INDEX(Roadmap!$D:$K,MATCH($E115,Roadmap!$D:$D,0)+COUNTIF($E115:N115,"u")+COUNTIF($E115:N115,"t")+COUNTIF($E115:N115,"¶")+COUNTIF($E115:N115,"²")+COUNTIF($E115:N115,"µ")+COUNTIF($E115:N115,1),ColTypeEcheance)),
  IF(LEN(N115)=1,
  IF(LEN(INDEX(Roadmap!$D:$K,MATCH($E115,Roadmap!$D:$D,0)-1+COUNTIF($E115:N115,"u")+COUNTIF($E115:N115,"t")+COUNTIF($E115:N115,"¶")+COUNTIF($E115:N115,"²")+COUNTIF($E115:N115,"µ")+COUNTIF($E115:N115,1),ColDescriptionCourte))&gt;1,
HYPERLINK("#Roadmap!C"&amp; MATCH($E115,Roadmap!$D:$D,0)+COUNTIF($E115:N115,"u")+COUNTIF($E115:N115,"t")+COUNTIF($E115:N115,"¶")+COUNTIF($E115:N115,"²")+COUNTIF($E115:N115,"µ")+COUNTIF($E115:N115,1)-1,INDEX(Roadmap!$D:$K,MATCH($E115,Roadmap!$D:$D,0)-1+COUNTIF($E115:N115,"u")+COUNTIF($E115:N115,"t")+COUNTIF($E115:N115,"¶")+COUNTIF($E115:N115,"²")+COUNTIF($E115:N115,"µ")+COUNTIF($E115:N115,1),ColDescriptionCourte)),""),
  "")),"")</f>
        <v/>
      </c>
      <c r="P115" s="40" t="str">
        <f ca="1">IFERROR(IF(AND(
  INDEX(Roadmap!$D:$K,MATCH($E115,Roadmap!$D:$D,0)+COUNTIF($E115:O115,"u")+COUNTIF($E115:O115,"t")+COUNTIF($E115:O115,"¶")+COUNTIF($E115:O115,"²")+COUNTIF($E115:O115,"µ")+COUNTIF($E115:O115,1),ColLivraison)=P$6,
  VLOOKUP($E115,INDIRECT("tri!"&amp; CHAR(64+ C0Col) &amp;":"&amp; CHAR(65+C0Col)),2,FALSE)&gt;COUNTIF($E115:O115,"u")+COUNTIF($E115:O115,"t")+COUNTIF($E115:O115,"¶")+COUNTIF($E115:O115,"²")+COUNTIF($E115:O115,"µ")+COUNTIF($E115:O115,1)),
HYPERLINK("#Roadmap!C"&amp; MATCH($E115,Roadmap!$D:$D,0)+COUNTIF($E115:O115,"u")+COUNTIF($E115:O115,"t"),
     INDEX(Roadmap!$D:$K,MATCH($E115,Roadmap!$D:$D,0)+COUNTIF($E115:O115,"u")+COUNTIF($E115:O115,"t")+COUNTIF($E115:O115,"¶")+COUNTIF($E115:O115,"²")+COUNTIF($E115:O115,"µ")+COUNTIF($E115:O115,1),ColTypeEcheance)),
  IF(LEN(O115)=1,
  IF(LEN(INDEX(Roadmap!$D:$K,MATCH($E115,Roadmap!$D:$D,0)-1+COUNTIF($E115:O115,"u")+COUNTIF($E115:O115,"t")+COUNTIF($E115:O115,"¶")+COUNTIF($E115:O115,"²")+COUNTIF($E115:O115,"µ")+COUNTIF($E115:O115,1),ColDescriptionCourte))&gt;1,
HYPERLINK("#Roadmap!C"&amp; MATCH($E115,Roadmap!$D:$D,0)+COUNTIF($E115:O115,"u")+COUNTIF($E115:O115,"t")+COUNTIF($E115:O115,"¶")+COUNTIF($E115:O115,"²")+COUNTIF($E115:O115,"µ")+COUNTIF($E115:O115,1)-1,INDEX(Roadmap!$D:$K,MATCH($E115,Roadmap!$D:$D,0)-1+COUNTIF($E115:O115,"u")+COUNTIF($E115:O115,"t")+COUNTIF($E115:O115,"¶")+COUNTIF($E115:O115,"²")+COUNTIF($E115:O115,"µ")+COUNTIF($E115:O115,1),ColDescriptionCourte)),""),
  "")),"")</f>
        <v/>
      </c>
      <c r="Q115" s="40" t="str">
        <f ca="1">IFERROR(IF(AND(
  INDEX(Roadmap!$D:$K,MATCH($E115,Roadmap!$D:$D,0)+COUNTIF($E115:P115,"u")+COUNTIF($E115:P115,"t")+COUNTIF($E115:P115,"¶")+COUNTIF($E115:P115,"²")+COUNTIF($E115:P115,"µ")+COUNTIF($E115:P115,1),ColLivraison)=Q$6,
  VLOOKUP($E115,INDIRECT("tri!"&amp; CHAR(64+ C0Col) &amp;":"&amp; CHAR(65+C0Col)),2,FALSE)&gt;COUNTIF($E115:P115,"u")+COUNTIF($E115:P115,"t")+COUNTIF($E115:P115,"¶")+COUNTIF($E115:P115,"²")+COUNTIF($E115:P115,"µ")+COUNTIF($E115:P115,1)),
HYPERLINK("#Roadmap!C"&amp; MATCH($E115,Roadmap!$D:$D,0)+COUNTIF($E115:P115,"u")+COUNTIF($E115:P115,"t"),
     INDEX(Roadmap!$D:$K,MATCH($E115,Roadmap!$D:$D,0)+COUNTIF($E115:P115,"u")+COUNTIF($E115:P115,"t")+COUNTIF($E115:P115,"¶")+COUNTIF($E115:P115,"²")+COUNTIF($E115:P115,"µ")+COUNTIF($E115:P115,1),ColTypeEcheance)),
  IF(LEN(P115)=1,
  IF(LEN(INDEX(Roadmap!$D:$K,MATCH($E115,Roadmap!$D:$D,0)-1+COUNTIF($E115:P115,"u")+COUNTIF($E115:P115,"t")+COUNTIF($E115:P115,"¶")+COUNTIF($E115:P115,"²")+COUNTIF($E115:P115,"µ")+COUNTIF($E115:P115,1),ColDescriptionCourte))&gt;1,
HYPERLINK("#Roadmap!C"&amp; MATCH($E115,Roadmap!$D:$D,0)+COUNTIF($E115:P115,"u")+COUNTIF($E115:P115,"t")+COUNTIF($E115:P115,"¶")+COUNTIF($E115:P115,"²")+COUNTIF($E115:P115,"µ")+COUNTIF($E115:P115,1)-1,INDEX(Roadmap!$D:$K,MATCH($E115,Roadmap!$D:$D,0)-1+COUNTIF($E115:P115,"u")+COUNTIF($E115:P115,"t")+COUNTIF($E115:P115,"¶")+COUNTIF($E115:P115,"²")+COUNTIF($E115:P115,"µ")+COUNTIF($E115:P115,1),ColDescriptionCourte)),""),
  "")),"")</f>
        <v/>
      </c>
      <c r="R115" s="40" t="str">
        <f ca="1">IFERROR(IF(AND(
  INDEX(Roadmap!$D:$K,MATCH($E115,Roadmap!$D:$D,0)+COUNTIF($E115:Q115,"u")+COUNTIF($E115:Q115,"t")+COUNTIF($E115:Q115,"¶")+COUNTIF($E115:Q115,"²")+COUNTIF($E115:Q115,"µ")+COUNTIF($E115:Q115,1),ColLivraison)=R$6,
  VLOOKUP($E115,INDIRECT("tri!"&amp; CHAR(64+ C0Col) &amp;":"&amp; CHAR(65+C0Col)),2,FALSE)&gt;COUNTIF($E115:Q115,"u")+COUNTIF($E115:Q115,"t")+COUNTIF($E115:Q115,"¶")+COUNTIF($E115:Q115,"²")+COUNTIF($E115:Q115,"µ")+COUNTIF($E115:Q115,1)),
HYPERLINK("#Roadmap!C"&amp; MATCH($E115,Roadmap!$D:$D,0)+COUNTIF($E115:Q115,"u")+COUNTIF($E115:Q115,"t"),
     INDEX(Roadmap!$D:$K,MATCH($E115,Roadmap!$D:$D,0)+COUNTIF($E115:Q115,"u")+COUNTIF($E115:Q115,"t")+COUNTIF($E115:Q115,"¶")+COUNTIF($E115:Q115,"²")+COUNTIF($E115:Q115,"µ")+COUNTIF($E115:Q115,1),ColTypeEcheance)),
  IF(LEN(Q115)=1,
  IF(LEN(INDEX(Roadmap!$D:$K,MATCH($E115,Roadmap!$D:$D,0)-1+COUNTIF($E115:Q115,"u")+COUNTIF($E115:Q115,"t")+COUNTIF($E115:Q115,"¶")+COUNTIF($E115:Q115,"²")+COUNTIF($E115:Q115,"µ")+COUNTIF($E115:Q115,1),ColDescriptionCourte))&gt;1,
HYPERLINK("#Roadmap!C"&amp; MATCH($E115,Roadmap!$D:$D,0)+COUNTIF($E115:Q115,"u")+COUNTIF($E115:Q115,"t")+COUNTIF($E115:Q115,"¶")+COUNTIF($E115:Q115,"²")+COUNTIF($E115:Q115,"µ")+COUNTIF($E115:Q115,1)-1,INDEX(Roadmap!$D:$K,MATCH($E115,Roadmap!$D:$D,0)-1+COUNTIF($E115:Q115,"u")+COUNTIF($E115:Q115,"t")+COUNTIF($E115:Q115,"¶")+COUNTIF($E115:Q115,"²")+COUNTIF($E115:Q115,"µ")+COUNTIF($E115:Q115,1),ColDescriptionCourte)),""),
  "")),"")</f>
        <v/>
      </c>
      <c r="S115" s="40" t="str">
        <f ca="1">IFERROR(IF(AND(
  INDEX(Roadmap!$D:$K,MATCH($E115,Roadmap!$D:$D,0)+COUNTIF($E115:R115,"u")+COUNTIF($E115:R115,"t")+COUNTIF($E115:R115,"¶")+COUNTIF($E115:R115,"²")+COUNTIF($E115:R115,"µ")+COUNTIF($E115:R115,1),ColLivraison)=S$6,
  VLOOKUP($E115,INDIRECT("tri!"&amp; CHAR(64+ C0Col) &amp;":"&amp; CHAR(65+C0Col)),2,FALSE)&gt;COUNTIF($E115:R115,"u")+COUNTIF($E115:R115,"t")+COUNTIF($E115:R115,"¶")+COUNTIF($E115:R115,"²")+COUNTIF($E115:R115,"µ")+COUNTIF($E115:R115,1)),
HYPERLINK("#Roadmap!C"&amp; MATCH($E115,Roadmap!$D:$D,0)+COUNTIF($E115:R115,"u")+COUNTIF($E115:R115,"t"),
     INDEX(Roadmap!$D:$K,MATCH($E115,Roadmap!$D:$D,0)+COUNTIF($E115:R115,"u")+COUNTIF($E115:R115,"t")+COUNTIF($E115:R115,"¶")+COUNTIF($E115:R115,"²")+COUNTIF($E115:R115,"µ")+COUNTIF($E115:R115,1),ColTypeEcheance)),
  IF(LEN(R115)=1,
  IF(LEN(INDEX(Roadmap!$D:$K,MATCH($E115,Roadmap!$D:$D,0)-1+COUNTIF($E115:R115,"u")+COUNTIF($E115:R115,"t")+COUNTIF($E115:R115,"¶")+COUNTIF($E115:R115,"²")+COUNTIF($E115:R115,"µ")+COUNTIF($E115:R115,1),ColDescriptionCourte))&gt;1,
HYPERLINK("#Roadmap!C"&amp; MATCH($E115,Roadmap!$D:$D,0)+COUNTIF($E115:R115,"u")+COUNTIF($E115:R115,"t")+COUNTIF($E115:R115,"¶")+COUNTIF($E115:R115,"²")+COUNTIF($E115:R115,"µ")+COUNTIF($E115:R115,1)-1,INDEX(Roadmap!$D:$K,MATCH($E115,Roadmap!$D:$D,0)-1+COUNTIF($E115:R115,"u")+COUNTIF($E115:R115,"t")+COUNTIF($E115:R115,"¶")+COUNTIF($E115:R115,"²")+COUNTIF($E115:R115,"µ")+COUNTIF($E115:R115,1),ColDescriptionCourte)),""),
  "")),"")</f>
        <v/>
      </c>
      <c r="T115" s="40" t="str">
        <f ca="1">IFERROR(IF(AND(
  INDEX(Roadmap!$D:$K,MATCH($E115,Roadmap!$D:$D,0)+COUNTIF($E115:S115,"u")+COUNTIF($E115:S115,"t")+COUNTIF($E115:S115,"¶")+COUNTIF($E115:S115,"²")+COUNTIF($E115:S115,"µ")+COUNTIF($E115:S115,1),ColLivraison)=T$6,
  VLOOKUP($E115,INDIRECT("tri!"&amp; CHAR(64+ C0Col) &amp;":"&amp; CHAR(65+C0Col)),2,FALSE)&gt;COUNTIF($E115:S115,"u")+COUNTIF($E115:S115,"t")+COUNTIF($E115:S115,"¶")+COUNTIF($E115:S115,"²")+COUNTIF($E115:S115,"µ")+COUNTIF($E115:S115,1)),
HYPERLINK("#Roadmap!C"&amp; MATCH($E115,Roadmap!$D:$D,0)+COUNTIF($E115:S115,"u")+COUNTIF($E115:S115,"t"),
     INDEX(Roadmap!$D:$K,MATCH($E115,Roadmap!$D:$D,0)+COUNTIF($E115:S115,"u")+COUNTIF($E115:S115,"t")+COUNTIF($E115:S115,"¶")+COUNTIF($E115:S115,"²")+COUNTIF($E115:S115,"µ")+COUNTIF($E115:S115,1),ColTypeEcheance)),
  IF(LEN(S115)=1,
  IF(LEN(INDEX(Roadmap!$D:$K,MATCH($E115,Roadmap!$D:$D,0)-1+COUNTIF($E115:S115,"u")+COUNTIF($E115:S115,"t")+COUNTIF($E115:S115,"¶")+COUNTIF($E115:S115,"²")+COUNTIF($E115:S115,"µ")+COUNTIF($E115:S115,1),ColDescriptionCourte))&gt;1,
HYPERLINK("#Roadmap!C"&amp; MATCH($E115,Roadmap!$D:$D,0)+COUNTIF($E115:S115,"u")+COUNTIF($E115:S115,"t")+COUNTIF($E115:S115,"¶")+COUNTIF($E115:S115,"²")+COUNTIF($E115:S115,"µ")+COUNTIF($E115:S115,1)-1,INDEX(Roadmap!$D:$K,MATCH($E115,Roadmap!$D:$D,0)-1+COUNTIF($E115:S115,"u")+COUNTIF($E115:S115,"t")+COUNTIF($E115:S115,"¶")+COUNTIF($E115:S115,"²")+COUNTIF($E115:S115,"µ")+COUNTIF($E115:S115,1),ColDescriptionCourte)),""),
  "")),"")</f>
        <v/>
      </c>
      <c r="U115" s="40" t="str">
        <f ca="1">IFERROR(IF(AND(
  INDEX(Roadmap!$D:$K,MATCH($E115,Roadmap!$D:$D,0)+COUNTIF($E115:T115,"u")+COUNTIF($E115:T115,"t")+COUNTIF($E115:T115,"¶")+COUNTIF($E115:T115,"²")+COUNTIF($E115:T115,"µ")+COUNTIF($E115:T115,1),ColLivraison)=U$6,
  VLOOKUP($E115,INDIRECT("tri!"&amp; CHAR(64+ C0Col) &amp;":"&amp; CHAR(65+C0Col)),2,FALSE)&gt;COUNTIF($E115:T115,"u")+COUNTIF($E115:T115,"t")+COUNTIF($E115:T115,"¶")+COUNTIF($E115:T115,"²")+COUNTIF($E115:T115,"µ")+COUNTIF($E115:T115,1)),
HYPERLINK("#Roadmap!C"&amp; MATCH($E115,Roadmap!$D:$D,0)+COUNTIF($E115:T115,"u")+COUNTIF($E115:T115,"t"),
     INDEX(Roadmap!$D:$K,MATCH($E115,Roadmap!$D:$D,0)+COUNTIF($E115:T115,"u")+COUNTIF($E115:T115,"t")+COUNTIF($E115:T115,"¶")+COUNTIF($E115:T115,"²")+COUNTIF($E115:T115,"µ")+COUNTIF($E115:T115,1),ColTypeEcheance)),
  IF(LEN(T115)=1,
  IF(LEN(INDEX(Roadmap!$D:$K,MATCH($E115,Roadmap!$D:$D,0)-1+COUNTIF($E115:T115,"u")+COUNTIF($E115:T115,"t")+COUNTIF($E115:T115,"¶")+COUNTIF($E115:T115,"²")+COUNTIF($E115:T115,"µ")+COUNTIF($E115:T115,1),ColDescriptionCourte))&gt;1,
HYPERLINK("#Roadmap!C"&amp; MATCH($E115,Roadmap!$D:$D,0)+COUNTIF($E115:T115,"u")+COUNTIF($E115:T115,"t")+COUNTIF($E115:T115,"¶")+COUNTIF($E115:T115,"²")+COUNTIF($E115:T115,"µ")+COUNTIF($E115:T115,1)-1,INDEX(Roadmap!$D:$K,MATCH($E115,Roadmap!$D:$D,0)-1+COUNTIF($E115:T115,"u")+COUNTIF($E115:T115,"t")+COUNTIF($E115:T115,"¶")+COUNTIF($E115:T115,"²")+COUNTIF($E115:T115,"µ")+COUNTIF($E115:T115,1),ColDescriptionCourte)),""),
  "")),"")</f>
        <v/>
      </c>
      <c r="V115" s="40" t="str">
        <f ca="1">IFERROR(IF(AND(
  INDEX(Roadmap!$D:$K,MATCH($E115,Roadmap!$D:$D,0)+COUNTIF($E115:U115,"u")+COUNTIF($E115:U115,"t")+COUNTIF($E115:U115,"¶")+COUNTIF($E115:U115,"²")+COUNTIF($E115:U115,"µ")+COUNTIF($E115:U115,1),ColLivraison)=V$6,
  VLOOKUP($E115,INDIRECT("tri!"&amp; CHAR(64+ C0Col) &amp;":"&amp; CHAR(65+C0Col)),2,FALSE)&gt;COUNTIF($E115:U115,"u")+COUNTIF($E115:U115,"t")+COUNTIF($E115:U115,"¶")+COUNTIF($E115:U115,"²")+COUNTIF($E115:U115,"µ")+COUNTIF($E115:U115,1)),
HYPERLINK("#Roadmap!C"&amp; MATCH($E115,Roadmap!$D:$D,0)+COUNTIF($E115:U115,"u")+COUNTIF($E115:U115,"t"),
     INDEX(Roadmap!$D:$K,MATCH($E115,Roadmap!$D:$D,0)+COUNTIF($E115:U115,"u")+COUNTIF($E115:U115,"t")+COUNTIF($E115:U115,"¶")+COUNTIF($E115:U115,"²")+COUNTIF($E115:U115,"µ")+COUNTIF($E115:U115,1),ColTypeEcheance)),
  IF(LEN(U115)=1,
  IF(LEN(INDEX(Roadmap!$D:$K,MATCH($E115,Roadmap!$D:$D,0)-1+COUNTIF($E115:U115,"u")+COUNTIF($E115:U115,"t")+COUNTIF($E115:U115,"¶")+COUNTIF($E115:U115,"²")+COUNTIF($E115:U115,"µ")+COUNTIF($E115:U115,1),ColDescriptionCourte))&gt;1,
HYPERLINK("#Roadmap!C"&amp; MATCH($E115,Roadmap!$D:$D,0)+COUNTIF($E115:U115,"u")+COUNTIF($E115:U115,"t")+COUNTIF($E115:U115,"¶")+COUNTIF($E115:U115,"²")+COUNTIF($E115:U115,"µ")+COUNTIF($E115:U115,1)-1,INDEX(Roadmap!$D:$K,MATCH($E115,Roadmap!$D:$D,0)-1+COUNTIF($E115:U115,"u")+COUNTIF($E115:U115,"t")+COUNTIF($E115:U115,"¶")+COUNTIF($E115:U115,"²")+COUNTIF($E115:U115,"µ")+COUNTIF($E115:U115,1),ColDescriptionCourte)),""),
  "")),"")</f>
        <v/>
      </c>
      <c r="W115" s="40" t="str">
        <f ca="1">IFERROR(IF(AND(
  INDEX(Roadmap!$D:$K,MATCH($E115,Roadmap!$D:$D,0)+COUNTIF($E115:V115,"u")+COUNTIF($E115:V115,"t")+COUNTIF($E115:V115,"¶")+COUNTIF($E115:V115,"²")+COUNTIF($E115:V115,"µ")+COUNTIF($E115:V115,1),ColLivraison)=W$6,
  VLOOKUP($E115,INDIRECT("tri!"&amp; CHAR(64+ C0Col) &amp;":"&amp; CHAR(65+C0Col)),2,FALSE)&gt;COUNTIF($E115:V115,"u")+COUNTIF($E115:V115,"t")+COUNTIF($E115:V115,"¶")+COUNTIF($E115:V115,"²")+COUNTIF($E115:V115,"µ")+COUNTIF($E115:V115,1)),
HYPERLINK("#Roadmap!C"&amp; MATCH($E115,Roadmap!$D:$D,0)+COUNTIF($E115:V115,"u")+COUNTIF($E115:V115,"t"),
     INDEX(Roadmap!$D:$K,MATCH($E115,Roadmap!$D:$D,0)+COUNTIF($E115:V115,"u")+COUNTIF($E115:V115,"t")+COUNTIF($E115:V115,"¶")+COUNTIF($E115:V115,"²")+COUNTIF($E115:V115,"µ")+COUNTIF($E115:V115,1),ColTypeEcheance)),
  IF(LEN(V115)=1,
  IF(LEN(INDEX(Roadmap!$D:$K,MATCH($E115,Roadmap!$D:$D,0)-1+COUNTIF($E115:V115,"u")+COUNTIF($E115:V115,"t")+COUNTIF($E115:V115,"¶")+COUNTIF($E115:V115,"²")+COUNTIF($E115:V115,"µ")+COUNTIF($E115:V115,1),ColDescriptionCourte))&gt;1,
HYPERLINK("#Roadmap!C"&amp; MATCH($E115,Roadmap!$D:$D,0)+COUNTIF($E115:V115,"u")+COUNTIF($E115:V115,"t")+COUNTIF($E115:V115,"¶")+COUNTIF($E115:V115,"²")+COUNTIF($E115:V115,"µ")+COUNTIF($E115:V115,1)-1,INDEX(Roadmap!$D:$K,MATCH($E115,Roadmap!$D:$D,0)-1+COUNTIF($E115:V115,"u")+COUNTIF($E115:V115,"t")+COUNTIF($E115:V115,"¶")+COUNTIF($E115:V115,"²")+COUNTIF($E115:V115,"µ")+COUNTIF($E115:V115,1),ColDescriptionCourte)),""),
  "")),"")</f>
        <v/>
      </c>
      <c r="X115" s="40" t="str">
        <f ca="1">IFERROR(IF(AND(
  INDEX(Roadmap!$D:$K,MATCH($E115,Roadmap!$D:$D,0)+COUNTIF($E115:W115,"u")+COUNTIF($E115:W115,"t")+COUNTIF($E115:W115,"¶")+COUNTIF($E115:W115,"²")+COUNTIF($E115:W115,"µ")+COUNTIF($E115:W115,1),ColLivraison)=X$6,
  VLOOKUP($E115,INDIRECT("tri!"&amp; CHAR(64+ C0Col) &amp;":"&amp; CHAR(65+C0Col)),2,FALSE)&gt;COUNTIF($E115:W115,"u")+COUNTIF($E115:W115,"t")+COUNTIF($E115:W115,"¶")+COUNTIF($E115:W115,"²")+COUNTIF($E115:W115,"µ")+COUNTIF($E115:W115,1)),
HYPERLINK("#Roadmap!C"&amp; MATCH($E115,Roadmap!$D:$D,0)+COUNTIF($E115:W115,"u")+COUNTIF($E115:W115,"t"),
     INDEX(Roadmap!$D:$K,MATCH($E115,Roadmap!$D:$D,0)+COUNTIF($E115:W115,"u")+COUNTIF($E115:W115,"t")+COUNTIF($E115:W115,"¶")+COUNTIF($E115:W115,"²")+COUNTIF($E115:W115,"µ")+COUNTIF($E115:W115,1),ColTypeEcheance)),
  IF(LEN(W115)=1,
  IF(LEN(INDEX(Roadmap!$D:$K,MATCH($E115,Roadmap!$D:$D,0)-1+COUNTIF($E115:W115,"u")+COUNTIF($E115:W115,"t")+COUNTIF($E115:W115,"¶")+COUNTIF($E115:W115,"²")+COUNTIF($E115:W115,"µ")+COUNTIF($E115:W115,1),ColDescriptionCourte))&gt;1,
HYPERLINK("#Roadmap!C"&amp; MATCH($E115,Roadmap!$D:$D,0)+COUNTIF($E115:W115,"u")+COUNTIF($E115:W115,"t")+COUNTIF($E115:W115,"¶")+COUNTIF($E115:W115,"²")+COUNTIF($E115:W115,"µ")+COUNTIF($E115:W115,1)-1,INDEX(Roadmap!$D:$K,MATCH($E115,Roadmap!$D:$D,0)-1+COUNTIF($E115:W115,"u")+COUNTIF($E115:W115,"t")+COUNTIF($E115:W115,"¶")+COUNTIF($E115:W115,"²")+COUNTIF($E115:W115,"µ")+COUNTIF($E115:W115,1),ColDescriptionCourte)),""),
  "")),"")</f>
        <v/>
      </c>
      <c r="Y115" s="40" t="str">
        <f ca="1">IFERROR(IF(AND(
  INDEX(Roadmap!$D:$K,MATCH($E115,Roadmap!$D:$D,0)+COUNTIF($E115:X115,"u")+COUNTIF($E115:X115,"t")+COUNTIF($E115:X115,"¶")+COUNTIF($E115:X115,"²")+COUNTIF($E115:X115,"µ")+COUNTIF($E115:X115,1),ColLivraison)=Y$6,
  VLOOKUP($E115,INDIRECT("tri!"&amp; CHAR(64+ C0Col) &amp;":"&amp; CHAR(65+C0Col)),2,FALSE)&gt;COUNTIF($E115:X115,"u")+COUNTIF($E115:X115,"t")+COUNTIF($E115:X115,"¶")+COUNTIF($E115:X115,"²")+COUNTIF($E115:X115,"µ")+COUNTIF($E115:X115,1)),
HYPERLINK("#Roadmap!C"&amp; MATCH($E115,Roadmap!$D:$D,0)+COUNTIF($E115:X115,"u")+COUNTIF($E115:X115,"t"),
     INDEX(Roadmap!$D:$K,MATCH($E115,Roadmap!$D:$D,0)+COUNTIF($E115:X115,"u")+COUNTIF($E115:X115,"t")+COUNTIF($E115:X115,"¶")+COUNTIF($E115:X115,"²")+COUNTIF($E115:X115,"µ")+COUNTIF($E115:X115,1),ColTypeEcheance)),
  IF(LEN(X115)=1,
  IF(LEN(INDEX(Roadmap!$D:$K,MATCH($E115,Roadmap!$D:$D,0)-1+COUNTIF($E115:X115,"u")+COUNTIF($E115:X115,"t")+COUNTIF($E115:X115,"¶")+COUNTIF($E115:X115,"²")+COUNTIF($E115:X115,"µ")+COUNTIF($E115:X115,1),ColDescriptionCourte))&gt;1,
HYPERLINK("#Roadmap!C"&amp; MATCH($E115,Roadmap!$D:$D,0)+COUNTIF($E115:X115,"u")+COUNTIF($E115:X115,"t")+COUNTIF($E115:X115,"¶")+COUNTIF($E115:X115,"²")+COUNTIF($E115:X115,"µ")+COUNTIF($E115:X115,1)-1,INDEX(Roadmap!$D:$K,MATCH($E115,Roadmap!$D:$D,0)-1+COUNTIF($E115:X115,"u")+COUNTIF($E115:X115,"t")+COUNTIF($E115:X115,"¶")+COUNTIF($E115:X115,"²")+COUNTIF($E115:X115,"µ")+COUNTIF($E115:X115,1),ColDescriptionCourte)),""),
  "")),"")</f>
        <v/>
      </c>
      <c r="Z115" s="40" t="str">
        <f ca="1">IFERROR(IF(AND(
  INDEX(Roadmap!$D:$K,MATCH($E115,Roadmap!$D:$D,0)+COUNTIF($E115:Y115,"u")+COUNTIF($E115:Y115,"t")+COUNTIF($E115:Y115,"¶")+COUNTIF($E115:Y115,"²")+COUNTIF($E115:Y115,"µ")+COUNTIF($E115:Y115,1),ColLivraison)=Z$6,
  VLOOKUP($E115,INDIRECT("tri!"&amp; CHAR(64+ C0Col) &amp;":"&amp; CHAR(65+C0Col)),2,FALSE)&gt;COUNTIF($E115:Y115,"u")+COUNTIF($E115:Y115,"t")+COUNTIF($E115:Y115,"¶")+COUNTIF($E115:Y115,"²")+COUNTIF($E115:Y115,"µ")+COUNTIF($E115:Y115,1)),
HYPERLINK("#Roadmap!C"&amp; MATCH($E115,Roadmap!$D:$D,0)+COUNTIF($E115:Y115,"u")+COUNTIF($E115:Y115,"t"),
     INDEX(Roadmap!$D:$K,MATCH($E115,Roadmap!$D:$D,0)+COUNTIF($E115:Y115,"u")+COUNTIF($E115:Y115,"t")+COUNTIF($E115:Y115,"¶")+COUNTIF($E115:Y115,"²")+COUNTIF($E115:Y115,"µ")+COUNTIF($E115:Y115,1),ColTypeEcheance)),
  IF(LEN(Y115)=1,
  IF(LEN(INDEX(Roadmap!$D:$K,MATCH($E115,Roadmap!$D:$D,0)-1+COUNTIF($E115:Y115,"u")+COUNTIF($E115:Y115,"t")+COUNTIF($E115:Y115,"¶")+COUNTIF($E115:Y115,"²")+COUNTIF($E115:Y115,"µ")+COUNTIF($E115:Y115,1),ColDescriptionCourte))&gt;1,
HYPERLINK("#Roadmap!C"&amp; MATCH($E115,Roadmap!$D:$D,0)+COUNTIF($E115:Y115,"u")+COUNTIF($E115:Y115,"t")+COUNTIF($E115:Y115,"¶")+COUNTIF($E115:Y115,"²")+COUNTIF($E115:Y115,"µ")+COUNTIF($E115:Y115,1)-1,INDEX(Roadmap!$D:$K,MATCH($E115,Roadmap!$D:$D,0)-1+COUNTIF($E115:Y115,"u")+COUNTIF($E115:Y115,"t")+COUNTIF($E115:Y115,"¶")+COUNTIF($E115:Y115,"²")+COUNTIF($E115:Y115,"µ")+COUNTIF($E115:Y115,1),ColDescriptionCourte)),""),
  "")),"")</f>
        <v/>
      </c>
      <c r="AA115" s="40" t="str">
        <f ca="1">IFERROR(IF(AND(
  INDEX(Roadmap!$D:$K,MATCH($E115,Roadmap!$D:$D,0)+COUNTIF($E115:Z115,"u")+COUNTIF($E115:Z115,"t")+COUNTIF($E115:Z115,"¶")+COUNTIF($E115:Z115,"²")+COUNTIF($E115:Z115,"µ")+COUNTIF($E115:Z115,1),ColLivraison)=AA$6,
  VLOOKUP($E115,INDIRECT("tri!"&amp; CHAR(64+ C0Col) &amp;":"&amp; CHAR(65+C0Col)),2,FALSE)&gt;COUNTIF($E115:Z115,"u")+COUNTIF($E115:Z115,"t")+COUNTIF($E115:Z115,"¶")+COUNTIF($E115:Z115,"²")+COUNTIF($E115:Z115,"µ")+COUNTIF($E115:Z115,1)),
HYPERLINK("#Roadmap!C"&amp; MATCH($E115,Roadmap!$D:$D,0)+COUNTIF($E115:Z115,"u")+COUNTIF($E115:Z115,"t"),
     INDEX(Roadmap!$D:$K,MATCH($E115,Roadmap!$D:$D,0)+COUNTIF($E115:Z115,"u")+COUNTIF($E115:Z115,"t")+COUNTIF($E115:Z115,"¶")+COUNTIF($E115:Z115,"²")+COUNTIF($E115:Z115,"µ")+COUNTIF($E115:Z115,1),ColTypeEcheance)),
  IF(LEN(Z115)=1,
  IF(LEN(INDEX(Roadmap!$D:$K,MATCH($E115,Roadmap!$D:$D,0)-1+COUNTIF($E115:Z115,"u")+COUNTIF($E115:Z115,"t")+COUNTIF($E115:Z115,"¶")+COUNTIF($E115:Z115,"²")+COUNTIF($E115:Z115,"µ")+COUNTIF($E115:Z115,1),ColDescriptionCourte))&gt;1,
HYPERLINK("#Roadmap!C"&amp; MATCH($E115,Roadmap!$D:$D,0)+COUNTIF($E115:Z115,"u")+COUNTIF($E115:Z115,"t")+COUNTIF($E115:Z115,"¶")+COUNTIF($E115:Z115,"²")+COUNTIF($E115:Z115,"µ")+COUNTIF($E115:Z115,1)-1,INDEX(Roadmap!$D:$K,MATCH($E115,Roadmap!$D:$D,0)-1+COUNTIF($E115:Z115,"u")+COUNTIF($E115:Z115,"t")+COUNTIF($E115:Z115,"¶")+COUNTIF($E115:Z115,"²")+COUNTIF($E115:Z115,"µ")+COUNTIF($E115:Z115,1),ColDescriptionCourte)),""),
  "")),"")</f>
        <v/>
      </c>
      <c r="AB115" s="40" t="str">
        <f ca="1">IFERROR(IF(AND(
  INDEX(Roadmap!$D:$K,MATCH($E115,Roadmap!$D:$D,0)+COUNTIF($E115:AA115,"u")+COUNTIF($E115:AA115,"t")+COUNTIF($E115:AA115,"¶")+COUNTIF($E115:AA115,"²")+COUNTIF($E115:AA115,"µ")+COUNTIF($E115:AA115,1),ColLivraison)=AB$6,
  VLOOKUP($E115,INDIRECT("tri!"&amp; CHAR(64+ C0Col) &amp;":"&amp; CHAR(65+C0Col)),2,FALSE)&gt;COUNTIF($E115:AA115,"u")+COUNTIF($E115:AA115,"t")+COUNTIF($E115:AA115,"¶")+COUNTIF($E115:AA115,"²")+COUNTIF($E115:AA115,"µ")+COUNTIF($E115:AA115,1)),
HYPERLINK("#Roadmap!C"&amp; MATCH($E115,Roadmap!$D:$D,0)+COUNTIF($E115:AA115,"u")+COUNTIF($E115:AA115,"t"),
     INDEX(Roadmap!$D:$K,MATCH($E115,Roadmap!$D:$D,0)+COUNTIF($E115:AA115,"u")+COUNTIF($E115:AA115,"t")+COUNTIF($E115:AA115,"¶")+COUNTIF($E115:AA115,"²")+COUNTIF($E115:AA115,"µ")+COUNTIF($E115:AA115,1),ColTypeEcheance)),
  IF(LEN(AA115)=1,
  IF(LEN(INDEX(Roadmap!$D:$K,MATCH($E115,Roadmap!$D:$D,0)-1+COUNTIF($E115:AA115,"u")+COUNTIF($E115:AA115,"t")+COUNTIF($E115:AA115,"¶")+COUNTIF($E115:AA115,"²")+COUNTIF($E115:AA115,"µ")+COUNTIF($E115:AA115,1),ColDescriptionCourte))&gt;1,
HYPERLINK("#Roadmap!C"&amp; MATCH($E115,Roadmap!$D:$D,0)+COUNTIF($E115:AA115,"u")+COUNTIF($E115:AA115,"t")+COUNTIF($E115:AA115,"¶")+COUNTIF($E115:AA115,"²")+COUNTIF($E115:AA115,"µ")+COUNTIF($E115:AA115,1)-1,INDEX(Roadmap!$D:$K,MATCH($E115,Roadmap!$D:$D,0)-1+COUNTIF($E115:AA115,"u")+COUNTIF($E115:AA115,"t")+COUNTIF($E115:AA115,"¶")+COUNTIF($E115:AA115,"²")+COUNTIF($E115:AA115,"µ")+COUNTIF($E115:AA115,1),ColDescriptionCourte)),""),
  "")),"")</f>
        <v/>
      </c>
      <c r="AC115" s="40" t="str">
        <f ca="1">IFERROR(IF(AND(
  INDEX(Roadmap!$D:$K,MATCH($E115,Roadmap!$D:$D,0)+COUNTIF($E115:AB115,"u")+COUNTIF($E115:AB115,"t")+COUNTIF($E115:AB115,"¶")+COUNTIF($E115:AB115,"²")+COUNTIF($E115:AB115,"µ")+COUNTIF($E115:AB115,1),ColLivraison)=AC$6,
  VLOOKUP($E115,INDIRECT("tri!"&amp; CHAR(64+ C0Col) &amp;":"&amp; CHAR(65+C0Col)),2,FALSE)&gt;COUNTIF($E115:AB115,"u")+COUNTIF($E115:AB115,"t")+COUNTIF($E115:AB115,"¶")+COUNTIF($E115:AB115,"²")+COUNTIF($E115:AB115,"µ")+COUNTIF($E115:AB115,1)),
HYPERLINK("#Roadmap!C"&amp; MATCH($E115,Roadmap!$D:$D,0)+COUNTIF($E115:AB115,"u")+COUNTIF($E115:AB115,"t"),
     INDEX(Roadmap!$D:$K,MATCH($E115,Roadmap!$D:$D,0)+COUNTIF($E115:AB115,"u")+COUNTIF($E115:AB115,"t")+COUNTIF($E115:AB115,"¶")+COUNTIF($E115:AB115,"²")+COUNTIF($E115:AB115,"µ")+COUNTIF($E115:AB115,1),ColTypeEcheance)),
  IF(LEN(AB115)=1,
  IF(LEN(INDEX(Roadmap!$D:$K,MATCH($E115,Roadmap!$D:$D,0)-1+COUNTIF($E115:AB115,"u")+COUNTIF($E115:AB115,"t")+COUNTIF($E115:AB115,"¶")+COUNTIF($E115:AB115,"²")+COUNTIF($E115:AB115,"µ")+COUNTIF($E115:AB115,1),ColDescriptionCourte))&gt;1,
HYPERLINK("#Roadmap!C"&amp; MATCH($E115,Roadmap!$D:$D,0)+COUNTIF($E115:AB115,"u")+COUNTIF($E115:AB115,"t")+COUNTIF($E115:AB115,"¶")+COUNTIF($E115:AB115,"²")+COUNTIF($E115:AB115,"µ")+COUNTIF($E115:AB115,1)-1,INDEX(Roadmap!$D:$K,MATCH($E115,Roadmap!$D:$D,0)-1+COUNTIF($E115:AB115,"u")+COUNTIF($E115:AB115,"t")+COUNTIF($E115:AB115,"¶")+COUNTIF($E115:AB115,"²")+COUNTIF($E115:AB115,"µ")+COUNTIF($E115:AB115,1),ColDescriptionCourte)),""),
  "")),"")</f>
        <v/>
      </c>
      <c r="AD115" s="40" t="str">
        <f ca="1">IFERROR(IF(AND(
  INDEX(Roadmap!$D:$K,MATCH($E115,Roadmap!$D:$D,0)+COUNTIF($E115:AC115,"u")+COUNTIF($E115:AC115,"t")+COUNTIF($E115:AC115,"¶")+COUNTIF($E115:AC115,"²")+COUNTIF($E115:AC115,"µ")+COUNTIF($E115:AC115,1),ColLivraison)=AD$6,
  VLOOKUP($E115,INDIRECT("tri!"&amp; CHAR(64+ C0Col) &amp;":"&amp; CHAR(65+C0Col)),2,FALSE)&gt;COUNTIF($E115:AC115,"u")+COUNTIF($E115:AC115,"t")+COUNTIF($E115:AC115,"¶")+COUNTIF($E115:AC115,"²")+COUNTIF($E115:AC115,"µ")+COUNTIF($E115:AC115,1)),
HYPERLINK("#Roadmap!C"&amp; MATCH($E115,Roadmap!$D:$D,0)+COUNTIF($E115:AC115,"u")+COUNTIF($E115:AC115,"t"),
     INDEX(Roadmap!$D:$K,MATCH($E115,Roadmap!$D:$D,0)+COUNTIF($E115:AC115,"u")+COUNTIF($E115:AC115,"t")+COUNTIF($E115:AC115,"¶")+COUNTIF($E115:AC115,"²")+COUNTIF($E115:AC115,"µ")+COUNTIF($E115:AC115,1),ColTypeEcheance)),
  IF(LEN(AC115)=1,
  IF(LEN(INDEX(Roadmap!$D:$K,MATCH($E115,Roadmap!$D:$D,0)-1+COUNTIF($E115:AC115,"u")+COUNTIF($E115:AC115,"t")+COUNTIF($E115:AC115,"¶")+COUNTIF($E115:AC115,"²")+COUNTIF($E115:AC115,"µ")+COUNTIF($E115:AC115,1),ColDescriptionCourte))&gt;1,
HYPERLINK("#Roadmap!C"&amp; MATCH($E115,Roadmap!$D:$D,0)+COUNTIF($E115:AC115,"u")+COUNTIF($E115:AC115,"t")+COUNTIF($E115:AC115,"¶")+COUNTIF($E115:AC115,"²")+COUNTIF($E115:AC115,"µ")+COUNTIF($E115:AC115,1)-1,INDEX(Roadmap!$D:$K,MATCH($E115,Roadmap!$D:$D,0)-1+COUNTIF($E115:AC115,"u")+COUNTIF($E115:AC115,"t")+COUNTIF($E115:AC115,"¶")+COUNTIF($E115:AC115,"²")+COUNTIF($E115:AC115,"µ")+COUNTIF($E115:AC115,1),ColDescriptionCourte)),""),
  "")),"")</f>
        <v/>
      </c>
      <c r="AE115" s="40" t="str">
        <f ca="1">IFERROR(IF(AND(
  INDEX(Roadmap!$D:$K,MATCH($E115,Roadmap!$D:$D,0)+COUNTIF($E115:AD115,"u")+COUNTIF($E115:AD115,"t")+COUNTIF($E115:AD115,"¶")+COUNTIF($E115:AD115,"²")+COUNTIF($E115:AD115,"µ")+COUNTIF($E115:AD115,1),ColLivraison)=AE$6,
  VLOOKUP($E115,INDIRECT("tri!"&amp; CHAR(64+ C0Col) &amp;":"&amp; CHAR(65+C0Col)),2,FALSE)&gt;COUNTIF($E115:AD115,"u")+COUNTIF($E115:AD115,"t")+COUNTIF($E115:AD115,"¶")+COUNTIF($E115:AD115,"²")+COUNTIF($E115:AD115,"µ")+COUNTIF($E115:AD115,1)),
HYPERLINK("#Roadmap!C"&amp; MATCH($E115,Roadmap!$D:$D,0)+COUNTIF($E115:AD115,"u")+COUNTIF($E115:AD115,"t"),
     INDEX(Roadmap!$D:$K,MATCH($E115,Roadmap!$D:$D,0)+COUNTIF($E115:AD115,"u")+COUNTIF($E115:AD115,"t")+COUNTIF($E115:AD115,"¶")+COUNTIF($E115:AD115,"²")+COUNTIF($E115:AD115,"µ")+COUNTIF($E115:AD115,1),ColTypeEcheance)),
  IF(LEN(AD115)=1,
  IF(LEN(INDEX(Roadmap!$D:$K,MATCH($E115,Roadmap!$D:$D,0)-1+COUNTIF($E115:AD115,"u")+COUNTIF($E115:AD115,"t")+COUNTIF($E115:AD115,"¶")+COUNTIF($E115:AD115,"²")+COUNTIF($E115:AD115,"µ")+COUNTIF($E115:AD115,1),ColDescriptionCourte))&gt;1,
HYPERLINK("#Roadmap!C"&amp; MATCH($E115,Roadmap!$D:$D,0)+COUNTIF($E115:AD115,"u")+COUNTIF($E115:AD115,"t")+COUNTIF($E115:AD115,"¶")+COUNTIF($E115:AD115,"²")+COUNTIF($E115:AD115,"µ")+COUNTIF($E115:AD115,1)-1,INDEX(Roadmap!$D:$K,MATCH($E115,Roadmap!$D:$D,0)-1+COUNTIF($E115:AD115,"u")+COUNTIF($E115:AD115,"t")+COUNTIF($E115:AD115,"¶")+COUNTIF($E115:AD115,"²")+COUNTIF($E115:AD115,"µ")+COUNTIF($E115:AD115,1),ColDescriptionCourte)),""),
  "")),"")</f>
        <v/>
      </c>
      <c r="AF115" s="40" t="str">
        <f ca="1">IFERROR(IF(AND(
  INDEX(Roadmap!$D:$K,MATCH($E115,Roadmap!$D:$D,0)+COUNTIF($E115:AE115,"u")+COUNTIF($E115:AE115,"t")+COUNTIF($E115:AE115,"¶")+COUNTIF($E115:AE115,"²")+COUNTIF($E115:AE115,"µ")+COUNTIF($E115:AE115,1),ColLivraison)=AF$6,
  VLOOKUP($E115,INDIRECT("tri!"&amp; CHAR(64+ C0Col) &amp;":"&amp; CHAR(65+C0Col)),2,FALSE)&gt;COUNTIF($E115:AE115,"u")+COUNTIF($E115:AE115,"t")+COUNTIF($E115:AE115,"¶")+COUNTIF($E115:AE115,"²")+COUNTIF($E115:AE115,"µ")+COUNTIF($E115:AE115,1)),
HYPERLINK("#Roadmap!C"&amp; MATCH($E115,Roadmap!$D:$D,0)+COUNTIF($E115:AE115,"u")+COUNTIF($E115:AE115,"t"),
     INDEX(Roadmap!$D:$K,MATCH($E115,Roadmap!$D:$D,0)+COUNTIF($E115:AE115,"u")+COUNTIF($E115:AE115,"t")+COUNTIF($E115:AE115,"¶")+COUNTIF($E115:AE115,"²")+COUNTIF($E115:AE115,"µ")+COUNTIF($E115:AE115,1),ColTypeEcheance)),
  IF(LEN(AE115)=1,
  IF(LEN(INDEX(Roadmap!$D:$K,MATCH($E115,Roadmap!$D:$D,0)-1+COUNTIF($E115:AE115,"u")+COUNTIF($E115:AE115,"t")+COUNTIF($E115:AE115,"¶")+COUNTIF($E115:AE115,"²")+COUNTIF($E115:AE115,"µ")+COUNTIF($E115:AE115,1),ColDescriptionCourte))&gt;1,
HYPERLINK("#Roadmap!C"&amp; MATCH($E115,Roadmap!$D:$D,0)+COUNTIF($E115:AE115,"u")+COUNTIF($E115:AE115,"t")+COUNTIF($E115:AE115,"¶")+COUNTIF($E115:AE115,"²")+COUNTIF($E115:AE115,"µ")+COUNTIF($E115:AE115,1)-1,INDEX(Roadmap!$D:$K,MATCH($E115,Roadmap!$D:$D,0)-1+COUNTIF($E115:AE115,"u")+COUNTIF($E115:AE115,"t")+COUNTIF($E115:AE115,"¶")+COUNTIF($E115:AE115,"²")+COUNTIF($E115:AE115,"µ")+COUNTIF($E115:AE115,1),ColDescriptionCourte)),""),
  "")),"")</f>
        <v/>
      </c>
      <c r="AG115" s="40" t="str">
        <f ca="1">IFERROR(IF(AND(
  INDEX(Roadmap!$D:$K,MATCH($E115,Roadmap!$D:$D,0)+COUNTIF($E115:AF115,"u")+COUNTIF($E115:AF115,"t")+COUNTIF($E115:AF115,"¶")+COUNTIF($E115:AF115,"²")+COUNTIF($E115:AF115,"µ")+COUNTIF($E115:AF115,1),ColLivraison)=AG$6,
  VLOOKUP($E115,INDIRECT("tri!"&amp; CHAR(64+ C0Col) &amp;":"&amp; CHAR(65+C0Col)),2,FALSE)&gt;COUNTIF($E115:AF115,"u")+COUNTIF($E115:AF115,"t")+COUNTIF($E115:AF115,"¶")+COUNTIF($E115:AF115,"²")+COUNTIF($E115:AF115,"µ")+COUNTIF($E115:AF115,1)),
HYPERLINK("#Roadmap!C"&amp; MATCH($E115,Roadmap!$D:$D,0)+COUNTIF($E115:AF115,"u")+COUNTIF($E115:AF115,"t"),
     INDEX(Roadmap!$D:$K,MATCH($E115,Roadmap!$D:$D,0)+COUNTIF($E115:AF115,"u")+COUNTIF($E115:AF115,"t")+COUNTIF($E115:AF115,"¶")+COUNTIF($E115:AF115,"²")+COUNTIF($E115:AF115,"µ")+COUNTIF($E115:AF115,1),ColTypeEcheance)),
  IF(LEN(AF115)=1,
  IF(LEN(INDEX(Roadmap!$D:$K,MATCH($E115,Roadmap!$D:$D,0)-1+COUNTIF($E115:AF115,"u")+COUNTIF($E115:AF115,"t")+COUNTIF($E115:AF115,"¶")+COUNTIF($E115:AF115,"²")+COUNTIF($E115:AF115,"µ")+COUNTIF($E115:AF115,1),ColDescriptionCourte))&gt;1,
HYPERLINK("#Roadmap!C"&amp; MATCH($E115,Roadmap!$D:$D,0)+COUNTIF($E115:AF115,"u")+COUNTIF($E115:AF115,"t")+COUNTIF($E115:AF115,"¶")+COUNTIF($E115:AF115,"²")+COUNTIF($E115:AF115,"µ")+COUNTIF($E115:AF115,1)-1,INDEX(Roadmap!$D:$K,MATCH($E115,Roadmap!$D:$D,0)-1+COUNTIF($E115:AF115,"u")+COUNTIF($E115:AF115,"t")+COUNTIF($E115:AF115,"¶")+COUNTIF($E115:AF115,"²")+COUNTIF($E115:AF115,"µ")+COUNTIF($E115:AF115,1),ColDescriptionCourte)),""),
  "")),"")</f>
        <v/>
      </c>
    </row>
    <row r="116" spans="3:33" ht="14.25" customHeight="1">
      <c r="C116" s="1" t="str">
        <f t="shared" ca="1" si="49"/>
        <v/>
      </c>
      <c r="D116" s="1" t="str">
        <f t="shared" ca="1" si="50"/>
        <v/>
      </c>
      <c r="E116" s="35" t="str">
        <f t="shared" ca="1" si="46"/>
        <v/>
      </c>
      <c r="F116" s="39" t="str">
        <f ca="1">IFERROR(IF(AND(
  INDEX(Roadmap!$D:$K,MATCH($E116,Roadmap!$D:$D,0)+COUNTIF($E116:E116,"u")+COUNTIF($E116:E116,"t")+COUNTIF($E116:E116,"¶")+COUNTIF($E116:E116,"²")+COUNTIF($E116:E116,"µ")+COUNTIF($E116:E116,1),ColLivraison)=F$6,
  VLOOKUP($E116,INDIRECT("tri!"&amp; CHAR(64+ C0Col) &amp;":"&amp; CHAR(65+C0Col)),2,FALSE)&gt;COUNTIF($E116:E116,"u")+COUNTIF($E116:E116,"t")+COUNTIF($E116:E116,"¶")+COUNTIF($E116:E116,"²")+COUNTIF($E116:E116,"µ")+COUNTIF($E116:E116,1)),
HYPERLINK("#Roadmap!C"&amp; MATCH($E116,Roadmap!$D:$D,0)+COUNTIF($E116:E116,"u")+COUNTIF($E116:E116,"t"),
     INDEX(Roadmap!$D:$K,MATCH($E116,Roadmap!$D:$D,0)+COUNTIF($E116:E116,"u")+COUNTIF($E116:E116,"t")+COUNTIF($E116:E116,"¶")+COUNTIF($E116:E116,"²")+COUNTIF($E116:E116,"µ")+COUNTIF($E116:E116,1),ColTypeEcheance)),
  IF(LEN(E116)=1,
  IF(LEN(INDEX(Roadmap!$D:$K,MATCH($E116,Roadmap!$D:$D,0)-1+COUNTIF($E116:E116,"u")+COUNTIF($E116:E116,"t")+COUNTIF($E116:E116,"¶")+COUNTIF($E116:E116,"²")+COUNTIF($E116:E116,"µ")+COUNTIF($E116:E116,1),ColDescriptionCourte))&gt;1,
HYPERLINK("#Roadmap!C"&amp; MATCH($E116,Roadmap!$D:$D,0)+COUNTIF($E116:E116,"u")+COUNTIF($E116:E116,"t")+COUNTIF($E116:E116,"¶")+COUNTIF($E116:E116,"²")+COUNTIF($E116:E116,"µ")+COUNTIF($E116:E116,1)-1,INDEX(Roadmap!$D:$K,MATCH($E116,Roadmap!$D:$D,0)-1+COUNTIF($E116:E116,"u")+COUNTIF($E116:E116,"t")+COUNTIF($E116:E116,"¶")+COUNTIF($E116:E116,"²")+COUNTIF($E116:E116,"µ")+COUNTIF($E116:E116,1),ColDescriptionCourte)),""),
  "")),"")</f>
        <v/>
      </c>
      <c r="G116" s="40" t="str">
        <f ca="1">IFERROR(IF(AND(
  INDEX(Roadmap!$D:$K,MATCH($E116,Roadmap!$D:$D,0)+COUNTIF($E116:F116,"u")+COUNTIF($E116:F116,"t")+COUNTIF($E116:F116,"¶")+COUNTIF($E116:F116,"²")+COUNTIF($E116:F116,"µ")+COUNTIF($E116:F116,1),ColLivraison)=G$6,
  VLOOKUP($E116,INDIRECT("tri!"&amp; CHAR(64+ C0Col) &amp;":"&amp; CHAR(65+C0Col)),2,FALSE)&gt;COUNTIF($E116:F116,"u")+COUNTIF($E116:F116,"t")+COUNTIF($E116:F116,"¶")+COUNTIF($E116:F116,"²")+COUNTIF($E116:F116,"µ")+COUNTIF($E116:F116,1)),
HYPERLINK("#Roadmap!C"&amp; MATCH($E116,Roadmap!$D:$D,0)+COUNTIF($E116:F116,"u")+COUNTIF($E116:F116,"t"),
     INDEX(Roadmap!$D:$K,MATCH($E116,Roadmap!$D:$D,0)+COUNTIF($E116:F116,"u")+COUNTIF($E116:F116,"t")+COUNTIF($E116:F116,"¶")+COUNTIF($E116:F116,"²")+COUNTIF($E116:F116,"µ")+COUNTIF($E116:F116,1),ColTypeEcheance)),
  IF(LEN(F116)=1,
  IF(LEN(INDEX(Roadmap!$D:$K,MATCH($E116,Roadmap!$D:$D,0)-1+COUNTIF($E116:F116,"u")+COUNTIF($E116:F116,"t")+COUNTIF($E116:F116,"¶")+COUNTIF($E116:F116,"²")+COUNTIF($E116:F116,"µ")+COUNTIF($E116:F116,1),ColDescriptionCourte))&gt;1,
HYPERLINK("#Roadmap!C"&amp; MATCH($E116,Roadmap!$D:$D,0)+COUNTIF($E116:F116,"u")+COUNTIF($E116:F116,"t")+COUNTIF($E116:F116,"¶")+COUNTIF($E116:F116,"²")+COUNTIF($E116:F116,"µ")+COUNTIF($E116:F116,1)-1,INDEX(Roadmap!$D:$K,MATCH($E116,Roadmap!$D:$D,0)-1+COUNTIF($E116:F116,"u")+COUNTIF($E116:F116,"t")+COUNTIF($E116:F116,"¶")+COUNTIF($E116:F116,"²")+COUNTIF($E116:F116,"µ")+COUNTIF($E116:F116,1),ColDescriptionCourte)),""),
  "")),"")</f>
        <v/>
      </c>
      <c r="H116" s="40" t="str">
        <f ca="1">IFERROR(IF(AND(
  INDEX(Roadmap!$D:$K,MATCH($E116,Roadmap!$D:$D,0)+COUNTIF($E116:G116,"u")+COUNTIF($E116:G116,"t")+COUNTIF($E116:G116,"¶")+COUNTIF($E116:G116,"²")+COUNTIF($E116:G116,"µ")+COUNTIF($E116:G116,1),ColLivraison)=H$6,
  VLOOKUP($E116,INDIRECT("tri!"&amp; CHAR(64+ C0Col) &amp;":"&amp; CHAR(65+C0Col)),2,FALSE)&gt;COUNTIF($E116:G116,"u")+COUNTIF($E116:G116,"t")+COUNTIF($E116:G116,"¶")+COUNTIF($E116:G116,"²")+COUNTIF($E116:G116,"µ")+COUNTIF($E116:G116,1)),
HYPERLINK("#Roadmap!C"&amp; MATCH($E116,Roadmap!$D:$D,0)+COUNTIF($E116:G116,"u")+COUNTIF($E116:G116,"t"),
     INDEX(Roadmap!$D:$K,MATCH($E116,Roadmap!$D:$D,0)+COUNTIF($E116:G116,"u")+COUNTIF($E116:G116,"t")+COUNTIF($E116:G116,"¶")+COUNTIF($E116:G116,"²")+COUNTIF($E116:G116,"µ")+COUNTIF($E116:G116,1),ColTypeEcheance)),
  IF(LEN(G116)=1,
  IF(LEN(INDEX(Roadmap!$D:$K,MATCH($E116,Roadmap!$D:$D,0)-1+COUNTIF($E116:G116,"u")+COUNTIF($E116:G116,"t")+COUNTIF($E116:G116,"¶")+COUNTIF($E116:G116,"²")+COUNTIF($E116:G116,"µ")+COUNTIF($E116:G116,1),ColDescriptionCourte))&gt;1,
HYPERLINK("#Roadmap!C"&amp; MATCH($E116,Roadmap!$D:$D,0)+COUNTIF($E116:G116,"u")+COUNTIF($E116:G116,"t")+COUNTIF($E116:G116,"¶")+COUNTIF($E116:G116,"²")+COUNTIF($E116:G116,"µ")+COUNTIF($E116:G116,1)-1,INDEX(Roadmap!$D:$K,MATCH($E116,Roadmap!$D:$D,0)-1+COUNTIF($E116:G116,"u")+COUNTIF($E116:G116,"t")+COUNTIF($E116:G116,"¶")+COUNTIF($E116:G116,"²")+COUNTIF($E116:G116,"µ")+COUNTIF($E116:G116,1),ColDescriptionCourte)),""),
  "")),"")</f>
        <v/>
      </c>
      <c r="I116" s="40" t="str">
        <f ca="1">IFERROR(IF(AND(
  INDEX(Roadmap!$D:$K,MATCH($E116,Roadmap!$D:$D,0)+COUNTIF($E116:H116,"u")+COUNTIF($E116:H116,"t")+COUNTIF($E116:H116,"¶")+COUNTIF($E116:H116,"²")+COUNTIF($E116:H116,"µ")+COUNTIF($E116:H116,1),ColLivraison)=I$6,
  VLOOKUP($E116,INDIRECT("tri!"&amp; CHAR(64+ C0Col) &amp;":"&amp; CHAR(65+C0Col)),2,FALSE)&gt;COUNTIF($E116:H116,"u")+COUNTIF($E116:H116,"t")+COUNTIF($E116:H116,"¶")+COUNTIF($E116:H116,"²")+COUNTIF($E116:H116,"µ")+COUNTIF($E116:H116,1)),
HYPERLINK("#Roadmap!C"&amp; MATCH($E116,Roadmap!$D:$D,0)+COUNTIF($E116:H116,"u")+COUNTIF($E116:H116,"t"),
     INDEX(Roadmap!$D:$K,MATCH($E116,Roadmap!$D:$D,0)+COUNTIF($E116:H116,"u")+COUNTIF($E116:H116,"t")+COUNTIF($E116:H116,"¶")+COUNTIF($E116:H116,"²")+COUNTIF($E116:H116,"µ")+COUNTIF($E116:H116,1),ColTypeEcheance)),
  IF(LEN(H116)=1,
  IF(LEN(INDEX(Roadmap!$D:$K,MATCH($E116,Roadmap!$D:$D,0)-1+COUNTIF($E116:H116,"u")+COUNTIF($E116:H116,"t")+COUNTIF($E116:H116,"¶")+COUNTIF($E116:H116,"²")+COUNTIF($E116:H116,"µ")+COUNTIF($E116:H116,1),ColDescriptionCourte))&gt;1,
HYPERLINK("#Roadmap!C"&amp; MATCH($E116,Roadmap!$D:$D,0)+COUNTIF($E116:H116,"u")+COUNTIF($E116:H116,"t")+COUNTIF($E116:H116,"¶")+COUNTIF($E116:H116,"²")+COUNTIF($E116:H116,"µ")+COUNTIF($E116:H116,1)-1,INDEX(Roadmap!$D:$K,MATCH($E116,Roadmap!$D:$D,0)-1+COUNTIF($E116:H116,"u")+COUNTIF($E116:H116,"t")+COUNTIF($E116:H116,"¶")+COUNTIF($E116:H116,"²")+COUNTIF($E116:H116,"µ")+COUNTIF($E116:H116,1),ColDescriptionCourte)),""),
  "")),"")</f>
        <v/>
      </c>
      <c r="J116" s="40" t="str">
        <f ca="1">IFERROR(IF(AND(
  INDEX(Roadmap!$D:$K,MATCH($E116,Roadmap!$D:$D,0)+COUNTIF($E116:I116,"u")+COUNTIF($E116:I116,"t")+COUNTIF($E116:I116,"¶")+COUNTIF($E116:I116,"²")+COUNTIF($E116:I116,"µ")+COUNTIF($E116:I116,1),ColLivraison)=J$6,
  VLOOKUP($E116,INDIRECT("tri!"&amp; CHAR(64+ C0Col) &amp;":"&amp; CHAR(65+C0Col)),2,FALSE)&gt;COUNTIF($E116:I116,"u")+COUNTIF($E116:I116,"t")+COUNTIF($E116:I116,"¶")+COUNTIF($E116:I116,"²")+COUNTIF($E116:I116,"µ")+COUNTIF($E116:I116,1)),
HYPERLINK("#Roadmap!C"&amp; MATCH($E116,Roadmap!$D:$D,0)+COUNTIF($E116:I116,"u")+COUNTIF($E116:I116,"t"),
     INDEX(Roadmap!$D:$K,MATCH($E116,Roadmap!$D:$D,0)+COUNTIF($E116:I116,"u")+COUNTIF($E116:I116,"t")+COUNTIF($E116:I116,"¶")+COUNTIF($E116:I116,"²")+COUNTIF($E116:I116,"µ")+COUNTIF($E116:I116,1),ColTypeEcheance)),
  IF(LEN(I116)=1,
  IF(LEN(INDEX(Roadmap!$D:$K,MATCH($E116,Roadmap!$D:$D,0)-1+COUNTIF($E116:I116,"u")+COUNTIF($E116:I116,"t")+COUNTIF($E116:I116,"¶")+COUNTIF($E116:I116,"²")+COUNTIF($E116:I116,"µ")+COUNTIF($E116:I116,1),ColDescriptionCourte))&gt;1,
HYPERLINK("#Roadmap!C"&amp; MATCH($E116,Roadmap!$D:$D,0)+COUNTIF($E116:I116,"u")+COUNTIF($E116:I116,"t")+COUNTIF($E116:I116,"¶")+COUNTIF($E116:I116,"²")+COUNTIF($E116:I116,"µ")+COUNTIF($E116:I116,1)-1,INDEX(Roadmap!$D:$K,MATCH($E116,Roadmap!$D:$D,0)-1+COUNTIF($E116:I116,"u")+COUNTIF($E116:I116,"t")+COUNTIF($E116:I116,"¶")+COUNTIF($E116:I116,"²")+COUNTIF($E116:I116,"µ")+COUNTIF($E116:I116,1),ColDescriptionCourte)),""),
  "")),"")</f>
        <v/>
      </c>
      <c r="K116" s="40" t="str">
        <f ca="1">IFERROR(IF(AND(
  INDEX(Roadmap!$D:$K,MATCH($E116,Roadmap!$D:$D,0)+COUNTIF($E116:J116,"u")+COUNTIF($E116:J116,"t")+COUNTIF($E116:J116,"¶")+COUNTIF($E116:J116,"²")+COUNTIF($E116:J116,"µ")+COUNTIF($E116:J116,1),ColLivraison)=K$6,
  VLOOKUP($E116,INDIRECT("tri!"&amp; CHAR(64+ C0Col) &amp;":"&amp; CHAR(65+C0Col)),2,FALSE)&gt;COUNTIF($E116:J116,"u")+COUNTIF($E116:J116,"t")+COUNTIF($E116:J116,"¶")+COUNTIF($E116:J116,"²")+COUNTIF($E116:J116,"µ")+COUNTIF($E116:J116,1)),
HYPERLINK("#Roadmap!C"&amp; MATCH($E116,Roadmap!$D:$D,0)+COUNTIF($E116:J116,"u")+COUNTIF($E116:J116,"t"),
     INDEX(Roadmap!$D:$K,MATCH($E116,Roadmap!$D:$D,0)+COUNTIF($E116:J116,"u")+COUNTIF($E116:J116,"t")+COUNTIF($E116:J116,"¶")+COUNTIF($E116:J116,"²")+COUNTIF($E116:J116,"µ")+COUNTIF($E116:J116,1),ColTypeEcheance)),
  IF(LEN(J116)=1,
  IF(LEN(INDEX(Roadmap!$D:$K,MATCH($E116,Roadmap!$D:$D,0)-1+COUNTIF($E116:J116,"u")+COUNTIF($E116:J116,"t")+COUNTIF($E116:J116,"¶")+COUNTIF($E116:J116,"²")+COUNTIF($E116:J116,"µ")+COUNTIF($E116:J116,1),ColDescriptionCourte))&gt;1,
HYPERLINK("#Roadmap!C"&amp; MATCH($E116,Roadmap!$D:$D,0)+COUNTIF($E116:J116,"u")+COUNTIF($E116:J116,"t")+COUNTIF($E116:J116,"¶")+COUNTIF($E116:J116,"²")+COUNTIF($E116:J116,"µ")+COUNTIF($E116:J116,1)-1,INDEX(Roadmap!$D:$K,MATCH($E116,Roadmap!$D:$D,0)-1+COUNTIF($E116:J116,"u")+COUNTIF($E116:J116,"t")+COUNTIF($E116:J116,"¶")+COUNTIF($E116:J116,"²")+COUNTIF($E116:J116,"µ")+COUNTIF($E116:J116,1),ColDescriptionCourte)),""),
  "")),"")</f>
        <v/>
      </c>
      <c r="L116" s="39" t="str">
        <f ca="1">IFERROR(IF(AND(
  INDEX(Roadmap!$D:$K,MATCH($E116,Roadmap!$D:$D,0)+COUNTIF($E116:K116,"u")+COUNTIF($E116:K116,"t")+COUNTIF($E116:K116,"¶")+COUNTIF($E116:K116,"²")+COUNTIF($E116:K116,"µ")+COUNTIF($E116:K116,1),ColLivraison)=L$6,
  VLOOKUP($E116,INDIRECT("tri!"&amp; CHAR(64+ C0Col) &amp;":"&amp; CHAR(65+C0Col)),2,FALSE)&gt;COUNTIF($E116:K116,"u")+COUNTIF($E116:K116,"t")+COUNTIF($E116:K116,"¶")+COUNTIF($E116:K116,"²")+COUNTIF($E116:K116,"µ")+COUNTIF($E116:K116,1)),
HYPERLINK("#Roadmap!C"&amp; MATCH($E116,Roadmap!$D:$D,0)+COUNTIF($E116:K116,"u")+COUNTIF($E116:K116,"t"),
     INDEX(Roadmap!$D:$K,MATCH($E116,Roadmap!$D:$D,0)+COUNTIF($E116:K116,"u")+COUNTIF($E116:K116,"t")+COUNTIF($E116:K116,"¶")+COUNTIF($E116:K116,"²")+COUNTIF($E116:K116,"µ")+COUNTIF($E116:K116,1),ColTypeEcheance)),
  IF(LEN(K116)=1,
  IF(LEN(INDEX(Roadmap!$D:$K,MATCH($E116,Roadmap!$D:$D,0)-1+COUNTIF($E116:K116,"u")+COUNTIF($E116:K116,"t")+COUNTIF($E116:K116,"¶")+COUNTIF($E116:K116,"²")+COUNTIF($E116:K116,"µ")+COUNTIF($E116:K116,1),ColDescriptionCourte))&gt;1,
HYPERLINK("#Roadmap!C"&amp; MATCH($E116,Roadmap!$D:$D,0)+COUNTIF($E116:K116,"u")+COUNTIF($E116:K116,"t")+COUNTIF($E116:K116,"¶")+COUNTIF($E116:K116,"²")+COUNTIF($E116:K116,"µ")+COUNTIF($E116:K116,1)-1,INDEX(Roadmap!$D:$K,MATCH($E116,Roadmap!$D:$D,0)-1+COUNTIF($E116:K116,"u")+COUNTIF($E116:K116,"t")+COUNTIF($E116:K116,"¶")+COUNTIF($E116:K116,"²")+COUNTIF($E116:K116,"µ")+COUNTIF($E116:K116,1),ColDescriptionCourte)),""),
  "")),"")</f>
        <v/>
      </c>
      <c r="M116" s="40" t="str">
        <f ca="1">IFERROR(IF(AND(
  INDEX(Roadmap!$D:$K,MATCH($E116,Roadmap!$D:$D,0)+COUNTIF($E116:L116,"u")+COUNTIF($E116:L116,"t")+COUNTIF($E116:L116,"¶")+COUNTIF($E116:L116,"²")+COUNTIF($E116:L116,"µ")+COUNTIF($E116:L116,1),ColLivraison)=M$6,
  VLOOKUP($E116,INDIRECT("tri!"&amp; CHAR(64+ C0Col) &amp;":"&amp; CHAR(65+C0Col)),2,FALSE)&gt;COUNTIF($E116:L116,"u")+COUNTIF($E116:L116,"t")+COUNTIF($E116:L116,"¶")+COUNTIF($E116:L116,"²")+COUNTIF($E116:L116,"µ")+COUNTIF($E116:L116,1)),
HYPERLINK("#Roadmap!C"&amp; MATCH($E116,Roadmap!$D:$D,0)+COUNTIF($E116:L116,"u")+COUNTIF($E116:L116,"t"),
     INDEX(Roadmap!$D:$K,MATCH($E116,Roadmap!$D:$D,0)+COUNTIF($E116:L116,"u")+COUNTIF($E116:L116,"t")+COUNTIF($E116:L116,"¶")+COUNTIF($E116:L116,"²")+COUNTIF($E116:L116,"µ")+COUNTIF($E116:L116,1),ColTypeEcheance)),
  IF(LEN(L116)=1,
  IF(LEN(INDEX(Roadmap!$D:$K,MATCH($E116,Roadmap!$D:$D,0)-1+COUNTIF($E116:L116,"u")+COUNTIF($E116:L116,"t")+COUNTIF($E116:L116,"¶")+COUNTIF($E116:L116,"²")+COUNTIF($E116:L116,"µ")+COUNTIF($E116:L116,1),ColDescriptionCourte))&gt;1,
HYPERLINK("#Roadmap!C"&amp; MATCH($E116,Roadmap!$D:$D,0)+COUNTIF($E116:L116,"u")+COUNTIF($E116:L116,"t")+COUNTIF($E116:L116,"¶")+COUNTIF($E116:L116,"²")+COUNTIF($E116:L116,"µ")+COUNTIF($E116:L116,1)-1,INDEX(Roadmap!$D:$K,MATCH($E116,Roadmap!$D:$D,0)-1+COUNTIF($E116:L116,"u")+COUNTIF($E116:L116,"t")+COUNTIF($E116:L116,"¶")+COUNTIF($E116:L116,"²")+COUNTIF($E116:L116,"µ")+COUNTIF($E116:L116,1),ColDescriptionCourte)),""),
  "")),"")</f>
        <v/>
      </c>
      <c r="N116" s="40" t="str">
        <f ca="1">IFERROR(IF(AND(
  INDEX(Roadmap!$D:$K,MATCH($E116,Roadmap!$D:$D,0)+COUNTIF($E116:M116,"u")+COUNTIF($E116:M116,"t")+COUNTIF($E116:M116,"¶")+COUNTIF($E116:M116,"²")+COUNTIF($E116:M116,"µ")+COUNTIF($E116:M116,1),ColLivraison)=N$6,
  VLOOKUP($E116,INDIRECT("tri!"&amp; CHAR(64+ C0Col) &amp;":"&amp; CHAR(65+C0Col)),2,FALSE)&gt;COUNTIF($E116:M116,"u")+COUNTIF($E116:M116,"t")+COUNTIF($E116:M116,"¶")+COUNTIF($E116:M116,"²")+COUNTIF($E116:M116,"µ")+COUNTIF($E116:M116,1)),
HYPERLINK("#Roadmap!C"&amp; MATCH($E116,Roadmap!$D:$D,0)+COUNTIF($E116:M116,"u")+COUNTIF($E116:M116,"t"),
     INDEX(Roadmap!$D:$K,MATCH($E116,Roadmap!$D:$D,0)+COUNTIF($E116:M116,"u")+COUNTIF($E116:M116,"t")+COUNTIF($E116:M116,"¶")+COUNTIF($E116:M116,"²")+COUNTIF($E116:M116,"µ")+COUNTIF($E116:M116,1),ColTypeEcheance)),
  IF(LEN(M116)=1,
  IF(LEN(INDEX(Roadmap!$D:$K,MATCH($E116,Roadmap!$D:$D,0)-1+COUNTIF($E116:M116,"u")+COUNTIF($E116:M116,"t")+COUNTIF($E116:M116,"¶")+COUNTIF($E116:M116,"²")+COUNTIF($E116:M116,"µ")+COUNTIF($E116:M116,1),ColDescriptionCourte))&gt;1,
HYPERLINK("#Roadmap!C"&amp; MATCH($E116,Roadmap!$D:$D,0)+COUNTIF($E116:M116,"u")+COUNTIF($E116:M116,"t")+COUNTIF($E116:M116,"¶")+COUNTIF($E116:M116,"²")+COUNTIF($E116:M116,"µ")+COUNTIF($E116:M116,1)-1,INDEX(Roadmap!$D:$K,MATCH($E116,Roadmap!$D:$D,0)-1+COUNTIF($E116:M116,"u")+COUNTIF($E116:M116,"t")+COUNTIF($E116:M116,"¶")+COUNTIF($E116:M116,"²")+COUNTIF($E116:M116,"µ")+COUNTIF($E116:M116,1),ColDescriptionCourte)),""),
  "")),"")</f>
        <v/>
      </c>
      <c r="O116" s="40" t="str">
        <f ca="1">IFERROR(IF(AND(
  INDEX(Roadmap!$D:$K,MATCH($E116,Roadmap!$D:$D,0)+COUNTIF($E116:N116,"u")+COUNTIF($E116:N116,"t")+COUNTIF($E116:N116,"¶")+COUNTIF($E116:N116,"²")+COUNTIF($E116:N116,"µ")+COUNTIF($E116:N116,1),ColLivraison)=O$6,
  VLOOKUP($E116,INDIRECT("tri!"&amp; CHAR(64+ C0Col) &amp;":"&amp; CHAR(65+C0Col)),2,FALSE)&gt;COUNTIF($E116:N116,"u")+COUNTIF($E116:N116,"t")+COUNTIF($E116:N116,"¶")+COUNTIF($E116:N116,"²")+COUNTIF($E116:N116,"µ")+COUNTIF($E116:N116,1)),
HYPERLINK("#Roadmap!C"&amp; MATCH($E116,Roadmap!$D:$D,0)+COUNTIF($E116:N116,"u")+COUNTIF($E116:N116,"t"),
     INDEX(Roadmap!$D:$K,MATCH($E116,Roadmap!$D:$D,0)+COUNTIF($E116:N116,"u")+COUNTIF($E116:N116,"t")+COUNTIF($E116:N116,"¶")+COUNTIF($E116:N116,"²")+COUNTIF($E116:N116,"µ")+COUNTIF($E116:N116,1),ColTypeEcheance)),
  IF(LEN(N116)=1,
  IF(LEN(INDEX(Roadmap!$D:$K,MATCH($E116,Roadmap!$D:$D,0)-1+COUNTIF($E116:N116,"u")+COUNTIF($E116:N116,"t")+COUNTIF($E116:N116,"¶")+COUNTIF($E116:N116,"²")+COUNTIF($E116:N116,"µ")+COUNTIF($E116:N116,1),ColDescriptionCourte))&gt;1,
HYPERLINK("#Roadmap!C"&amp; MATCH($E116,Roadmap!$D:$D,0)+COUNTIF($E116:N116,"u")+COUNTIF($E116:N116,"t")+COUNTIF($E116:N116,"¶")+COUNTIF($E116:N116,"²")+COUNTIF($E116:N116,"µ")+COUNTIF($E116:N116,1)-1,INDEX(Roadmap!$D:$K,MATCH($E116,Roadmap!$D:$D,0)-1+COUNTIF($E116:N116,"u")+COUNTIF($E116:N116,"t")+COUNTIF($E116:N116,"¶")+COUNTIF($E116:N116,"²")+COUNTIF($E116:N116,"µ")+COUNTIF($E116:N116,1),ColDescriptionCourte)),""),
  "")),"")</f>
        <v/>
      </c>
      <c r="P116" s="40" t="str">
        <f ca="1">IFERROR(IF(AND(
  INDEX(Roadmap!$D:$K,MATCH($E116,Roadmap!$D:$D,0)+COUNTIF($E116:O116,"u")+COUNTIF($E116:O116,"t")+COUNTIF($E116:O116,"¶")+COUNTIF($E116:O116,"²")+COUNTIF($E116:O116,"µ")+COUNTIF($E116:O116,1),ColLivraison)=P$6,
  VLOOKUP($E116,INDIRECT("tri!"&amp; CHAR(64+ C0Col) &amp;":"&amp; CHAR(65+C0Col)),2,FALSE)&gt;COUNTIF($E116:O116,"u")+COUNTIF($E116:O116,"t")+COUNTIF($E116:O116,"¶")+COUNTIF($E116:O116,"²")+COUNTIF($E116:O116,"µ")+COUNTIF($E116:O116,1)),
HYPERLINK("#Roadmap!C"&amp; MATCH($E116,Roadmap!$D:$D,0)+COUNTIF($E116:O116,"u")+COUNTIF($E116:O116,"t"),
     INDEX(Roadmap!$D:$K,MATCH($E116,Roadmap!$D:$D,0)+COUNTIF($E116:O116,"u")+COUNTIF($E116:O116,"t")+COUNTIF($E116:O116,"¶")+COUNTIF($E116:O116,"²")+COUNTIF($E116:O116,"µ")+COUNTIF($E116:O116,1),ColTypeEcheance)),
  IF(LEN(O116)=1,
  IF(LEN(INDEX(Roadmap!$D:$K,MATCH($E116,Roadmap!$D:$D,0)-1+COUNTIF($E116:O116,"u")+COUNTIF($E116:O116,"t")+COUNTIF($E116:O116,"¶")+COUNTIF($E116:O116,"²")+COUNTIF($E116:O116,"µ")+COUNTIF($E116:O116,1),ColDescriptionCourte))&gt;1,
HYPERLINK("#Roadmap!C"&amp; MATCH($E116,Roadmap!$D:$D,0)+COUNTIF($E116:O116,"u")+COUNTIF($E116:O116,"t")+COUNTIF($E116:O116,"¶")+COUNTIF($E116:O116,"²")+COUNTIF($E116:O116,"µ")+COUNTIF($E116:O116,1)-1,INDEX(Roadmap!$D:$K,MATCH($E116,Roadmap!$D:$D,0)-1+COUNTIF($E116:O116,"u")+COUNTIF($E116:O116,"t")+COUNTIF($E116:O116,"¶")+COUNTIF($E116:O116,"²")+COUNTIF($E116:O116,"µ")+COUNTIF($E116:O116,1),ColDescriptionCourte)),""),
  "")),"")</f>
        <v/>
      </c>
      <c r="Q116" s="40" t="str">
        <f ca="1">IFERROR(IF(AND(
  INDEX(Roadmap!$D:$K,MATCH($E116,Roadmap!$D:$D,0)+COUNTIF($E116:P116,"u")+COUNTIF($E116:P116,"t")+COUNTIF($E116:P116,"¶")+COUNTIF($E116:P116,"²")+COUNTIF($E116:P116,"µ")+COUNTIF($E116:P116,1),ColLivraison)=Q$6,
  VLOOKUP($E116,INDIRECT("tri!"&amp; CHAR(64+ C0Col) &amp;":"&amp; CHAR(65+C0Col)),2,FALSE)&gt;COUNTIF($E116:P116,"u")+COUNTIF($E116:P116,"t")+COUNTIF($E116:P116,"¶")+COUNTIF($E116:P116,"²")+COUNTIF($E116:P116,"µ")+COUNTIF($E116:P116,1)),
HYPERLINK("#Roadmap!C"&amp; MATCH($E116,Roadmap!$D:$D,0)+COUNTIF($E116:P116,"u")+COUNTIF($E116:P116,"t"),
     INDEX(Roadmap!$D:$K,MATCH($E116,Roadmap!$D:$D,0)+COUNTIF($E116:P116,"u")+COUNTIF($E116:P116,"t")+COUNTIF($E116:P116,"¶")+COUNTIF($E116:P116,"²")+COUNTIF($E116:P116,"µ")+COUNTIF($E116:P116,1),ColTypeEcheance)),
  IF(LEN(P116)=1,
  IF(LEN(INDEX(Roadmap!$D:$K,MATCH($E116,Roadmap!$D:$D,0)-1+COUNTIF($E116:P116,"u")+COUNTIF($E116:P116,"t")+COUNTIF($E116:P116,"¶")+COUNTIF($E116:P116,"²")+COUNTIF($E116:P116,"µ")+COUNTIF($E116:P116,1),ColDescriptionCourte))&gt;1,
HYPERLINK("#Roadmap!C"&amp; MATCH($E116,Roadmap!$D:$D,0)+COUNTIF($E116:P116,"u")+COUNTIF($E116:P116,"t")+COUNTIF($E116:P116,"¶")+COUNTIF($E116:P116,"²")+COUNTIF($E116:P116,"µ")+COUNTIF($E116:P116,1)-1,INDEX(Roadmap!$D:$K,MATCH($E116,Roadmap!$D:$D,0)-1+COUNTIF($E116:P116,"u")+COUNTIF($E116:P116,"t")+COUNTIF($E116:P116,"¶")+COUNTIF($E116:P116,"²")+COUNTIF($E116:P116,"µ")+COUNTIF($E116:P116,1),ColDescriptionCourte)),""),
  "")),"")</f>
        <v/>
      </c>
      <c r="R116" s="40" t="str">
        <f ca="1">IFERROR(IF(AND(
  INDEX(Roadmap!$D:$K,MATCH($E116,Roadmap!$D:$D,0)+COUNTIF($E116:Q116,"u")+COUNTIF($E116:Q116,"t")+COUNTIF($E116:Q116,"¶")+COUNTIF($E116:Q116,"²")+COUNTIF($E116:Q116,"µ")+COUNTIF($E116:Q116,1),ColLivraison)=R$6,
  VLOOKUP($E116,INDIRECT("tri!"&amp; CHAR(64+ C0Col) &amp;":"&amp; CHAR(65+C0Col)),2,FALSE)&gt;COUNTIF($E116:Q116,"u")+COUNTIF($E116:Q116,"t")+COUNTIF($E116:Q116,"¶")+COUNTIF($E116:Q116,"²")+COUNTIF($E116:Q116,"µ")+COUNTIF($E116:Q116,1)),
HYPERLINK("#Roadmap!C"&amp; MATCH($E116,Roadmap!$D:$D,0)+COUNTIF($E116:Q116,"u")+COUNTIF($E116:Q116,"t"),
     INDEX(Roadmap!$D:$K,MATCH($E116,Roadmap!$D:$D,0)+COUNTIF($E116:Q116,"u")+COUNTIF($E116:Q116,"t")+COUNTIF($E116:Q116,"¶")+COUNTIF($E116:Q116,"²")+COUNTIF($E116:Q116,"µ")+COUNTIF($E116:Q116,1),ColTypeEcheance)),
  IF(LEN(Q116)=1,
  IF(LEN(INDEX(Roadmap!$D:$K,MATCH($E116,Roadmap!$D:$D,0)-1+COUNTIF($E116:Q116,"u")+COUNTIF($E116:Q116,"t")+COUNTIF($E116:Q116,"¶")+COUNTIF($E116:Q116,"²")+COUNTIF($E116:Q116,"µ")+COUNTIF($E116:Q116,1),ColDescriptionCourte))&gt;1,
HYPERLINK("#Roadmap!C"&amp; MATCH($E116,Roadmap!$D:$D,0)+COUNTIF($E116:Q116,"u")+COUNTIF($E116:Q116,"t")+COUNTIF($E116:Q116,"¶")+COUNTIF($E116:Q116,"²")+COUNTIF($E116:Q116,"µ")+COUNTIF($E116:Q116,1)-1,INDEX(Roadmap!$D:$K,MATCH($E116,Roadmap!$D:$D,0)-1+COUNTIF($E116:Q116,"u")+COUNTIF($E116:Q116,"t")+COUNTIF($E116:Q116,"¶")+COUNTIF($E116:Q116,"²")+COUNTIF($E116:Q116,"µ")+COUNTIF($E116:Q116,1),ColDescriptionCourte)),""),
  "")),"")</f>
        <v/>
      </c>
      <c r="S116" s="40" t="str">
        <f ca="1">IFERROR(IF(AND(
  INDEX(Roadmap!$D:$K,MATCH($E116,Roadmap!$D:$D,0)+COUNTIF($E116:R116,"u")+COUNTIF($E116:R116,"t")+COUNTIF($E116:R116,"¶")+COUNTIF($E116:R116,"²")+COUNTIF($E116:R116,"µ")+COUNTIF($E116:R116,1),ColLivraison)=S$6,
  VLOOKUP($E116,INDIRECT("tri!"&amp; CHAR(64+ C0Col) &amp;":"&amp; CHAR(65+C0Col)),2,FALSE)&gt;COUNTIF($E116:R116,"u")+COUNTIF($E116:R116,"t")+COUNTIF($E116:R116,"¶")+COUNTIF($E116:R116,"²")+COUNTIF($E116:R116,"µ")+COUNTIF($E116:R116,1)),
HYPERLINK("#Roadmap!C"&amp; MATCH($E116,Roadmap!$D:$D,0)+COUNTIF($E116:R116,"u")+COUNTIF($E116:R116,"t"),
     INDEX(Roadmap!$D:$K,MATCH($E116,Roadmap!$D:$D,0)+COUNTIF($E116:R116,"u")+COUNTIF($E116:R116,"t")+COUNTIF($E116:R116,"¶")+COUNTIF($E116:R116,"²")+COUNTIF($E116:R116,"µ")+COUNTIF($E116:R116,1),ColTypeEcheance)),
  IF(LEN(R116)=1,
  IF(LEN(INDEX(Roadmap!$D:$K,MATCH($E116,Roadmap!$D:$D,0)-1+COUNTIF($E116:R116,"u")+COUNTIF($E116:R116,"t")+COUNTIF($E116:R116,"¶")+COUNTIF($E116:R116,"²")+COUNTIF($E116:R116,"µ")+COUNTIF($E116:R116,1),ColDescriptionCourte))&gt;1,
HYPERLINK("#Roadmap!C"&amp; MATCH($E116,Roadmap!$D:$D,0)+COUNTIF($E116:R116,"u")+COUNTIF($E116:R116,"t")+COUNTIF($E116:R116,"¶")+COUNTIF($E116:R116,"²")+COUNTIF($E116:R116,"µ")+COUNTIF($E116:R116,1)-1,INDEX(Roadmap!$D:$K,MATCH($E116,Roadmap!$D:$D,0)-1+COUNTIF($E116:R116,"u")+COUNTIF($E116:R116,"t")+COUNTIF($E116:R116,"¶")+COUNTIF($E116:R116,"²")+COUNTIF($E116:R116,"µ")+COUNTIF($E116:R116,1),ColDescriptionCourte)),""),
  "")),"")</f>
        <v/>
      </c>
      <c r="T116" s="40" t="str">
        <f ca="1">IFERROR(IF(AND(
  INDEX(Roadmap!$D:$K,MATCH($E116,Roadmap!$D:$D,0)+COUNTIF($E116:S116,"u")+COUNTIF($E116:S116,"t")+COUNTIF($E116:S116,"¶")+COUNTIF($E116:S116,"²")+COUNTIF($E116:S116,"µ")+COUNTIF($E116:S116,1),ColLivraison)=T$6,
  VLOOKUP($E116,INDIRECT("tri!"&amp; CHAR(64+ C0Col) &amp;":"&amp; CHAR(65+C0Col)),2,FALSE)&gt;COUNTIF($E116:S116,"u")+COUNTIF($E116:S116,"t")+COUNTIF($E116:S116,"¶")+COUNTIF($E116:S116,"²")+COUNTIF($E116:S116,"µ")+COUNTIF($E116:S116,1)),
HYPERLINK("#Roadmap!C"&amp; MATCH($E116,Roadmap!$D:$D,0)+COUNTIF($E116:S116,"u")+COUNTIF($E116:S116,"t"),
     INDEX(Roadmap!$D:$K,MATCH($E116,Roadmap!$D:$D,0)+COUNTIF($E116:S116,"u")+COUNTIF($E116:S116,"t")+COUNTIF($E116:S116,"¶")+COUNTIF($E116:S116,"²")+COUNTIF($E116:S116,"µ")+COUNTIF($E116:S116,1),ColTypeEcheance)),
  IF(LEN(S116)=1,
  IF(LEN(INDEX(Roadmap!$D:$K,MATCH($E116,Roadmap!$D:$D,0)-1+COUNTIF($E116:S116,"u")+COUNTIF($E116:S116,"t")+COUNTIF($E116:S116,"¶")+COUNTIF($E116:S116,"²")+COUNTIF($E116:S116,"µ")+COUNTIF($E116:S116,1),ColDescriptionCourte))&gt;1,
HYPERLINK("#Roadmap!C"&amp; MATCH($E116,Roadmap!$D:$D,0)+COUNTIF($E116:S116,"u")+COUNTIF($E116:S116,"t")+COUNTIF($E116:S116,"¶")+COUNTIF($E116:S116,"²")+COUNTIF($E116:S116,"µ")+COUNTIF($E116:S116,1)-1,INDEX(Roadmap!$D:$K,MATCH($E116,Roadmap!$D:$D,0)-1+COUNTIF($E116:S116,"u")+COUNTIF($E116:S116,"t")+COUNTIF($E116:S116,"¶")+COUNTIF($E116:S116,"²")+COUNTIF($E116:S116,"µ")+COUNTIF($E116:S116,1),ColDescriptionCourte)),""),
  "")),"")</f>
        <v/>
      </c>
      <c r="U116" s="40" t="str">
        <f ca="1">IFERROR(IF(AND(
  INDEX(Roadmap!$D:$K,MATCH($E116,Roadmap!$D:$D,0)+COUNTIF($E116:T116,"u")+COUNTIF($E116:T116,"t")+COUNTIF($E116:T116,"¶")+COUNTIF($E116:T116,"²")+COUNTIF($E116:T116,"µ")+COUNTIF($E116:T116,1),ColLivraison)=U$6,
  VLOOKUP($E116,INDIRECT("tri!"&amp; CHAR(64+ C0Col) &amp;":"&amp; CHAR(65+C0Col)),2,FALSE)&gt;COUNTIF($E116:T116,"u")+COUNTIF($E116:T116,"t")+COUNTIF($E116:T116,"¶")+COUNTIF($E116:T116,"²")+COUNTIF($E116:T116,"µ")+COUNTIF($E116:T116,1)),
HYPERLINK("#Roadmap!C"&amp; MATCH($E116,Roadmap!$D:$D,0)+COUNTIF($E116:T116,"u")+COUNTIF($E116:T116,"t"),
     INDEX(Roadmap!$D:$K,MATCH($E116,Roadmap!$D:$D,0)+COUNTIF($E116:T116,"u")+COUNTIF($E116:T116,"t")+COUNTIF($E116:T116,"¶")+COUNTIF($E116:T116,"²")+COUNTIF($E116:T116,"µ")+COUNTIF($E116:T116,1),ColTypeEcheance)),
  IF(LEN(T116)=1,
  IF(LEN(INDEX(Roadmap!$D:$K,MATCH($E116,Roadmap!$D:$D,0)-1+COUNTIF($E116:T116,"u")+COUNTIF($E116:T116,"t")+COUNTIF($E116:T116,"¶")+COUNTIF($E116:T116,"²")+COUNTIF($E116:T116,"µ")+COUNTIF($E116:T116,1),ColDescriptionCourte))&gt;1,
HYPERLINK("#Roadmap!C"&amp; MATCH($E116,Roadmap!$D:$D,0)+COUNTIF($E116:T116,"u")+COUNTIF($E116:T116,"t")+COUNTIF($E116:T116,"¶")+COUNTIF($E116:T116,"²")+COUNTIF($E116:T116,"µ")+COUNTIF($E116:T116,1)-1,INDEX(Roadmap!$D:$K,MATCH($E116,Roadmap!$D:$D,0)-1+COUNTIF($E116:T116,"u")+COUNTIF($E116:T116,"t")+COUNTIF($E116:T116,"¶")+COUNTIF($E116:T116,"²")+COUNTIF($E116:T116,"µ")+COUNTIF($E116:T116,1),ColDescriptionCourte)),""),
  "")),"")</f>
        <v/>
      </c>
      <c r="V116" s="40" t="str">
        <f ca="1">IFERROR(IF(AND(
  INDEX(Roadmap!$D:$K,MATCH($E116,Roadmap!$D:$D,0)+COUNTIF($E116:U116,"u")+COUNTIF($E116:U116,"t")+COUNTIF($E116:U116,"¶")+COUNTIF($E116:U116,"²")+COUNTIF($E116:U116,"µ")+COUNTIF($E116:U116,1),ColLivraison)=V$6,
  VLOOKUP($E116,INDIRECT("tri!"&amp; CHAR(64+ C0Col) &amp;":"&amp; CHAR(65+C0Col)),2,FALSE)&gt;COUNTIF($E116:U116,"u")+COUNTIF($E116:U116,"t")+COUNTIF($E116:U116,"¶")+COUNTIF($E116:U116,"²")+COUNTIF($E116:U116,"µ")+COUNTIF($E116:U116,1)),
HYPERLINK("#Roadmap!C"&amp; MATCH($E116,Roadmap!$D:$D,0)+COUNTIF($E116:U116,"u")+COUNTIF($E116:U116,"t"),
     INDEX(Roadmap!$D:$K,MATCH($E116,Roadmap!$D:$D,0)+COUNTIF($E116:U116,"u")+COUNTIF($E116:U116,"t")+COUNTIF($E116:U116,"¶")+COUNTIF($E116:U116,"²")+COUNTIF($E116:U116,"µ")+COUNTIF($E116:U116,1),ColTypeEcheance)),
  IF(LEN(U116)=1,
  IF(LEN(INDEX(Roadmap!$D:$K,MATCH($E116,Roadmap!$D:$D,0)-1+COUNTIF($E116:U116,"u")+COUNTIF($E116:U116,"t")+COUNTIF($E116:U116,"¶")+COUNTIF($E116:U116,"²")+COUNTIF($E116:U116,"µ")+COUNTIF($E116:U116,1),ColDescriptionCourte))&gt;1,
HYPERLINK("#Roadmap!C"&amp; MATCH($E116,Roadmap!$D:$D,0)+COUNTIF($E116:U116,"u")+COUNTIF($E116:U116,"t")+COUNTIF($E116:U116,"¶")+COUNTIF($E116:U116,"²")+COUNTIF($E116:U116,"µ")+COUNTIF($E116:U116,1)-1,INDEX(Roadmap!$D:$K,MATCH($E116,Roadmap!$D:$D,0)-1+COUNTIF($E116:U116,"u")+COUNTIF($E116:U116,"t")+COUNTIF($E116:U116,"¶")+COUNTIF($E116:U116,"²")+COUNTIF($E116:U116,"µ")+COUNTIF($E116:U116,1),ColDescriptionCourte)),""),
  "")),"")</f>
        <v/>
      </c>
      <c r="W116" s="40" t="str">
        <f ca="1">IFERROR(IF(AND(
  INDEX(Roadmap!$D:$K,MATCH($E116,Roadmap!$D:$D,0)+COUNTIF($E116:V116,"u")+COUNTIF($E116:V116,"t")+COUNTIF($E116:V116,"¶")+COUNTIF($E116:V116,"²")+COUNTIF($E116:V116,"µ")+COUNTIF($E116:V116,1),ColLivraison)=W$6,
  VLOOKUP($E116,INDIRECT("tri!"&amp; CHAR(64+ C0Col) &amp;":"&amp; CHAR(65+C0Col)),2,FALSE)&gt;COUNTIF($E116:V116,"u")+COUNTIF($E116:V116,"t")+COUNTIF($E116:V116,"¶")+COUNTIF($E116:V116,"²")+COUNTIF($E116:V116,"µ")+COUNTIF($E116:V116,1)),
HYPERLINK("#Roadmap!C"&amp; MATCH($E116,Roadmap!$D:$D,0)+COUNTIF($E116:V116,"u")+COUNTIF($E116:V116,"t"),
     INDEX(Roadmap!$D:$K,MATCH($E116,Roadmap!$D:$D,0)+COUNTIF($E116:V116,"u")+COUNTIF($E116:V116,"t")+COUNTIF($E116:V116,"¶")+COUNTIF($E116:V116,"²")+COUNTIF($E116:V116,"µ")+COUNTIF($E116:V116,1),ColTypeEcheance)),
  IF(LEN(V116)=1,
  IF(LEN(INDEX(Roadmap!$D:$K,MATCH($E116,Roadmap!$D:$D,0)-1+COUNTIF($E116:V116,"u")+COUNTIF($E116:V116,"t")+COUNTIF($E116:V116,"¶")+COUNTIF($E116:V116,"²")+COUNTIF($E116:V116,"µ")+COUNTIF($E116:V116,1),ColDescriptionCourte))&gt;1,
HYPERLINK("#Roadmap!C"&amp; MATCH($E116,Roadmap!$D:$D,0)+COUNTIF($E116:V116,"u")+COUNTIF($E116:V116,"t")+COUNTIF($E116:V116,"¶")+COUNTIF($E116:V116,"²")+COUNTIF($E116:V116,"µ")+COUNTIF($E116:V116,1)-1,INDEX(Roadmap!$D:$K,MATCH($E116,Roadmap!$D:$D,0)-1+COUNTIF($E116:V116,"u")+COUNTIF($E116:V116,"t")+COUNTIF($E116:V116,"¶")+COUNTIF($E116:V116,"²")+COUNTIF($E116:V116,"µ")+COUNTIF($E116:V116,1),ColDescriptionCourte)),""),
  "")),"")</f>
        <v/>
      </c>
      <c r="X116" s="40" t="str">
        <f ca="1">IFERROR(IF(AND(
  INDEX(Roadmap!$D:$K,MATCH($E116,Roadmap!$D:$D,0)+COUNTIF($E116:W116,"u")+COUNTIF($E116:W116,"t")+COUNTIF($E116:W116,"¶")+COUNTIF($E116:W116,"²")+COUNTIF($E116:W116,"µ")+COUNTIF($E116:W116,1),ColLivraison)=X$6,
  VLOOKUP($E116,INDIRECT("tri!"&amp; CHAR(64+ C0Col) &amp;":"&amp; CHAR(65+C0Col)),2,FALSE)&gt;COUNTIF($E116:W116,"u")+COUNTIF($E116:W116,"t")+COUNTIF($E116:W116,"¶")+COUNTIF($E116:W116,"²")+COUNTIF($E116:W116,"µ")+COUNTIF($E116:W116,1)),
HYPERLINK("#Roadmap!C"&amp; MATCH($E116,Roadmap!$D:$D,0)+COUNTIF($E116:W116,"u")+COUNTIF($E116:W116,"t"),
     INDEX(Roadmap!$D:$K,MATCH($E116,Roadmap!$D:$D,0)+COUNTIF($E116:W116,"u")+COUNTIF($E116:W116,"t")+COUNTIF($E116:W116,"¶")+COUNTIF($E116:W116,"²")+COUNTIF($E116:W116,"µ")+COUNTIF($E116:W116,1),ColTypeEcheance)),
  IF(LEN(W116)=1,
  IF(LEN(INDEX(Roadmap!$D:$K,MATCH($E116,Roadmap!$D:$D,0)-1+COUNTIF($E116:W116,"u")+COUNTIF($E116:W116,"t")+COUNTIF($E116:W116,"¶")+COUNTIF($E116:W116,"²")+COUNTIF($E116:W116,"µ")+COUNTIF($E116:W116,1),ColDescriptionCourte))&gt;1,
HYPERLINK("#Roadmap!C"&amp; MATCH($E116,Roadmap!$D:$D,0)+COUNTIF($E116:W116,"u")+COUNTIF($E116:W116,"t")+COUNTIF($E116:W116,"¶")+COUNTIF($E116:W116,"²")+COUNTIF($E116:W116,"µ")+COUNTIF($E116:W116,1)-1,INDEX(Roadmap!$D:$K,MATCH($E116,Roadmap!$D:$D,0)-1+COUNTIF($E116:W116,"u")+COUNTIF($E116:W116,"t")+COUNTIF($E116:W116,"¶")+COUNTIF($E116:W116,"²")+COUNTIF($E116:W116,"µ")+COUNTIF($E116:W116,1),ColDescriptionCourte)),""),
  "")),"")</f>
        <v/>
      </c>
      <c r="Y116" s="40" t="str">
        <f ca="1">IFERROR(IF(AND(
  INDEX(Roadmap!$D:$K,MATCH($E116,Roadmap!$D:$D,0)+COUNTIF($E116:X116,"u")+COUNTIF($E116:X116,"t")+COUNTIF($E116:X116,"¶")+COUNTIF($E116:X116,"²")+COUNTIF($E116:X116,"µ")+COUNTIF($E116:X116,1),ColLivraison)=Y$6,
  VLOOKUP($E116,INDIRECT("tri!"&amp; CHAR(64+ C0Col) &amp;":"&amp; CHAR(65+C0Col)),2,FALSE)&gt;COUNTIF($E116:X116,"u")+COUNTIF($E116:X116,"t")+COUNTIF($E116:X116,"¶")+COUNTIF($E116:X116,"²")+COUNTIF($E116:X116,"µ")+COUNTIF($E116:X116,1)),
HYPERLINK("#Roadmap!C"&amp; MATCH($E116,Roadmap!$D:$D,0)+COUNTIF($E116:X116,"u")+COUNTIF($E116:X116,"t"),
     INDEX(Roadmap!$D:$K,MATCH($E116,Roadmap!$D:$D,0)+COUNTIF($E116:X116,"u")+COUNTIF($E116:X116,"t")+COUNTIF($E116:X116,"¶")+COUNTIF($E116:X116,"²")+COUNTIF($E116:X116,"µ")+COUNTIF($E116:X116,1),ColTypeEcheance)),
  IF(LEN(X116)=1,
  IF(LEN(INDEX(Roadmap!$D:$K,MATCH($E116,Roadmap!$D:$D,0)-1+COUNTIF($E116:X116,"u")+COUNTIF($E116:X116,"t")+COUNTIF($E116:X116,"¶")+COUNTIF($E116:X116,"²")+COUNTIF($E116:X116,"µ")+COUNTIF($E116:X116,1),ColDescriptionCourte))&gt;1,
HYPERLINK("#Roadmap!C"&amp; MATCH($E116,Roadmap!$D:$D,0)+COUNTIF($E116:X116,"u")+COUNTIF($E116:X116,"t")+COUNTIF($E116:X116,"¶")+COUNTIF($E116:X116,"²")+COUNTIF($E116:X116,"µ")+COUNTIF($E116:X116,1)-1,INDEX(Roadmap!$D:$K,MATCH($E116,Roadmap!$D:$D,0)-1+COUNTIF($E116:X116,"u")+COUNTIF($E116:X116,"t")+COUNTIF($E116:X116,"¶")+COUNTIF($E116:X116,"²")+COUNTIF($E116:X116,"µ")+COUNTIF($E116:X116,1),ColDescriptionCourte)),""),
  "")),"")</f>
        <v/>
      </c>
      <c r="Z116" s="40" t="str">
        <f ca="1">IFERROR(IF(AND(
  INDEX(Roadmap!$D:$K,MATCH($E116,Roadmap!$D:$D,0)+COUNTIF($E116:Y116,"u")+COUNTIF($E116:Y116,"t")+COUNTIF($E116:Y116,"¶")+COUNTIF($E116:Y116,"²")+COUNTIF($E116:Y116,"µ")+COUNTIF($E116:Y116,1),ColLivraison)=Z$6,
  VLOOKUP($E116,INDIRECT("tri!"&amp; CHAR(64+ C0Col) &amp;":"&amp; CHAR(65+C0Col)),2,FALSE)&gt;COUNTIF($E116:Y116,"u")+COUNTIF($E116:Y116,"t")+COUNTIF($E116:Y116,"¶")+COUNTIF($E116:Y116,"²")+COUNTIF($E116:Y116,"µ")+COUNTIF($E116:Y116,1)),
HYPERLINK("#Roadmap!C"&amp; MATCH($E116,Roadmap!$D:$D,0)+COUNTIF($E116:Y116,"u")+COUNTIF($E116:Y116,"t"),
     INDEX(Roadmap!$D:$K,MATCH($E116,Roadmap!$D:$D,0)+COUNTIF($E116:Y116,"u")+COUNTIF($E116:Y116,"t")+COUNTIF($E116:Y116,"¶")+COUNTIF($E116:Y116,"²")+COUNTIF($E116:Y116,"µ")+COUNTIF($E116:Y116,1),ColTypeEcheance)),
  IF(LEN(Y116)=1,
  IF(LEN(INDEX(Roadmap!$D:$K,MATCH($E116,Roadmap!$D:$D,0)-1+COUNTIF($E116:Y116,"u")+COUNTIF($E116:Y116,"t")+COUNTIF($E116:Y116,"¶")+COUNTIF($E116:Y116,"²")+COUNTIF($E116:Y116,"µ")+COUNTIF($E116:Y116,1),ColDescriptionCourte))&gt;1,
HYPERLINK("#Roadmap!C"&amp; MATCH($E116,Roadmap!$D:$D,0)+COUNTIF($E116:Y116,"u")+COUNTIF($E116:Y116,"t")+COUNTIF($E116:Y116,"¶")+COUNTIF($E116:Y116,"²")+COUNTIF($E116:Y116,"µ")+COUNTIF($E116:Y116,1)-1,INDEX(Roadmap!$D:$K,MATCH($E116,Roadmap!$D:$D,0)-1+COUNTIF($E116:Y116,"u")+COUNTIF($E116:Y116,"t")+COUNTIF($E116:Y116,"¶")+COUNTIF($E116:Y116,"²")+COUNTIF($E116:Y116,"µ")+COUNTIF($E116:Y116,1),ColDescriptionCourte)),""),
  "")),"")</f>
        <v/>
      </c>
      <c r="AA116" s="40" t="str">
        <f ca="1">IFERROR(IF(AND(
  INDEX(Roadmap!$D:$K,MATCH($E116,Roadmap!$D:$D,0)+COUNTIF($E116:Z116,"u")+COUNTIF($E116:Z116,"t")+COUNTIF($E116:Z116,"¶")+COUNTIF($E116:Z116,"²")+COUNTIF($E116:Z116,"µ")+COUNTIF($E116:Z116,1),ColLivraison)=AA$6,
  VLOOKUP($E116,INDIRECT("tri!"&amp; CHAR(64+ C0Col) &amp;":"&amp; CHAR(65+C0Col)),2,FALSE)&gt;COUNTIF($E116:Z116,"u")+COUNTIF($E116:Z116,"t")+COUNTIF($E116:Z116,"¶")+COUNTIF($E116:Z116,"²")+COUNTIF($E116:Z116,"µ")+COUNTIF($E116:Z116,1)),
HYPERLINK("#Roadmap!C"&amp; MATCH($E116,Roadmap!$D:$D,0)+COUNTIF($E116:Z116,"u")+COUNTIF($E116:Z116,"t"),
     INDEX(Roadmap!$D:$K,MATCH($E116,Roadmap!$D:$D,0)+COUNTIF($E116:Z116,"u")+COUNTIF($E116:Z116,"t")+COUNTIF($E116:Z116,"¶")+COUNTIF($E116:Z116,"²")+COUNTIF($E116:Z116,"µ")+COUNTIF($E116:Z116,1),ColTypeEcheance)),
  IF(LEN(Z116)=1,
  IF(LEN(INDEX(Roadmap!$D:$K,MATCH($E116,Roadmap!$D:$D,0)-1+COUNTIF($E116:Z116,"u")+COUNTIF($E116:Z116,"t")+COUNTIF($E116:Z116,"¶")+COUNTIF($E116:Z116,"²")+COUNTIF($E116:Z116,"µ")+COUNTIF($E116:Z116,1),ColDescriptionCourte))&gt;1,
HYPERLINK("#Roadmap!C"&amp; MATCH($E116,Roadmap!$D:$D,0)+COUNTIF($E116:Z116,"u")+COUNTIF($E116:Z116,"t")+COUNTIF($E116:Z116,"¶")+COUNTIF($E116:Z116,"²")+COUNTIF($E116:Z116,"µ")+COUNTIF($E116:Z116,1)-1,INDEX(Roadmap!$D:$K,MATCH($E116,Roadmap!$D:$D,0)-1+COUNTIF($E116:Z116,"u")+COUNTIF($E116:Z116,"t")+COUNTIF($E116:Z116,"¶")+COUNTIF($E116:Z116,"²")+COUNTIF($E116:Z116,"µ")+COUNTIF($E116:Z116,1),ColDescriptionCourte)),""),
  "")),"")</f>
        <v/>
      </c>
      <c r="AB116" s="40" t="str">
        <f ca="1">IFERROR(IF(AND(
  INDEX(Roadmap!$D:$K,MATCH($E116,Roadmap!$D:$D,0)+COUNTIF($E116:AA116,"u")+COUNTIF($E116:AA116,"t")+COUNTIF($E116:AA116,"¶")+COUNTIF($E116:AA116,"²")+COUNTIF($E116:AA116,"µ")+COUNTIF($E116:AA116,1),ColLivraison)=AB$6,
  VLOOKUP($E116,INDIRECT("tri!"&amp; CHAR(64+ C0Col) &amp;":"&amp; CHAR(65+C0Col)),2,FALSE)&gt;COUNTIF($E116:AA116,"u")+COUNTIF($E116:AA116,"t")+COUNTIF($E116:AA116,"¶")+COUNTIF($E116:AA116,"²")+COUNTIF($E116:AA116,"µ")+COUNTIF($E116:AA116,1)),
HYPERLINK("#Roadmap!C"&amp; MATCH($E116,Roadmap!$D:$D,0)+COUNTIF($E116:AA116,"u")+COUNTIF($E116:AA116,"t"),
     INDEX(Roadmap!$D:$K,MATCH($E116,Roadmap!$D:$D,0)+COUNTIF($E116:AA116,"u")+COUNTIF($E116:AA116,"t")+COUNTIF($E116:AA116,"¶")+COUNTIF($E116:AA116,"²")+COUNTIF($E116:AA116,"µ")+COUNTIF($E116:AA116,1),ColTypeEcheance)),
  IF(LEN(AA116)=1,
  IF(LEN(INDEX(Roadmap!$D:$K,MATCH($E116,Roadmap!$D:$D,0)-1+COUNTIF($E116:AA116,"u")+COUNTIF($E116:AA116,"t")+COUNTIF($E116:AA116,"¶")+COUNTIF($E116:AA116,"²")+COUNTIF($E116:AA116,"µ")+COUNTIF($E116:AA116,1),ColDescriptionCourte))&gt;1,
HYPERLINK("#Roadmap!C"&amp; MATCH($E116,Roadmap!$D:$D,0)+COUNTIF($E116:AA116,"u")+COUNTIF($E116:AA116,"t")+COUNTIF($E116:AA116,"¶")+COUNTIF($E116:AA116,"²")+COUNTIF($E116:AA116,"µ")+COUNTIF($E116:AA116,1)-1,INDEX(Roadmap!$D:$K,MATCH($E116,Roadmap!$D:$D,0)-1+COUNTIF($E116:AA116,"u")+COUNTIF($E116:AA116,"t")+COUNTIF($E116:AA116,"¶")+COUNTIF($E116:AA116,"²")+COUNTIF($E116:AA116,"µ")+COUNTIF($E116:AA116,1),ColDescriptionCourte)),""),
  "")),"")</f>
        <v/>
      </c>
      <c r="AC116" s="40" t="str">
        <f ca="1">IFERROR(IF(AND(
  INDEX(Roadmap!$D:$K,MATCH($E116,Roadmap!$D:$D,0)+COUNTIF($E116:AB116,"u")+COUNTIF($E116:AB116,"t")+COUNTIF($E116:AB116,"¶")+COUNTIF($E116:AB116,"²")+COUNTIF($E116:AB116,"µ")+COUNTIF($E116:AB116,1),ColLivraison)=AC$6,
  VLOOKUP($E116,INDIRECT("tri!"&amp; CHAR(64+ C0Col) &amp;":"&amp; CHAR(65+C0Col)),2,FALSE)&gt;COUNTIF($E116:AB116,"u")+COUNTIF($E116:AB116,"t")+COUNTIF($E116:AB116,"¶")+COUNTIF($E116:AB116,"²")+COUNTIF($E116:AB116,"µ")+COUNTIF($E116:AB116,1)),
HYPERLINK("#Roadmap!C"&amp; MATCH($E116,Roadmap!$D:$D,0)+COUNTIF($E116:AB116,"u")+COUNTIF($E116:AB116,"t"),
     INDEX(Roadmap!$D:$K,MATCH($E116,Roadmap!$D:$D,0)+COUNTIF($E116:AB116,"u")+COUNTIF($E116:AB116,"t")+COUNTIF($E116:AB116,"¶")+COUNTIF($E116:AB116,"²")+COUNTIF($E116:AB116,"µ")+COUNTIF($E116:AB116,1),ColTypeEcheance)),
  IF(LEN(AB116)=1,
  IF(LEN(INDEX(Roadmap!$D:$K,MATCH($E116,Roadmap!$D:$D,0)-1+COUNTIF($E116:AB116,"u")+COUNTIF($E116:AB116,"t")+COUNTIF($E116:AB116,"¶")+COUNTIF($E116:AB116,"²")+COUNTIF($E116:AB116,"µ")+COUNTIF($E116:AB116,1),ColDescriptionCourte))&gt;1,
HYPERLINK("#Roadmap!C"&amp; MATCH($E116,Roadmap!$D:$D,0)+COUNTIF($E116:AB116,"u")+COUNTIF($E116:AB116,"t")+COUNTIF($E116:AB116,"¶")+COUNTIF($E116:AB116,"²")+COUNTIF($E116:AB116,"µ")+COUNTIF($E116:AB116,1)-1,INDEX(Roadmap!$D:$K,MATCH($E116,Roadmap!$D:$D,0)-1+COUNTIF($E116:AB116,"u")+COUNTIF($E116:AB116,"t")+COUNTIF($E116:AB116,"¶")+COUNTIF($E116:AB116,"²")+COUNTIF($E116:AB116,"µ")+COUNTIF($E116:AB116,1),ColDescriptionCourte)),""),
  "")),"")</f>
        <v/>
      </c>
      <c r="AD116" s="40" t="str">
        <f ca="1">IFERROR(IF(AND(
  INDEX(Roadmap!$D:$K,MATCH($E116,Roadmap!$D:$D,0)+COUNTIF($E116:AC116,"u")+COUNTIF($E116:AC116,"t")+COUNTIF($E116:AC116,"¶")+COUNTIF($E116:AC116,"²")+COUNTIF($E116:AC116,"µ")+COUNTIF($E116:AC116,1),ColLivraison)=AD$6,
  VLOOKUP($E116,INDIRECT("tri!"&amp; CHAR(64+ C0Col) &amp;":"&amp; CHAR(65+C0Col)),2,FALSE)&gt;COUNTIF($E116:AC116,"u")+COUNTIF($E116:AC116,"t")+COUNTIF($E116:AC116,"¶")+COUNTIF($E116:AC116,"²")+COUNTIF($E116:AC116,"µ")+COUNTIF($E116:AC116,1)),
HYPERLINK("#Roadmap!C"&amp; MATCH($E116,Roadmap!$D:$D,0)+COUNTIF($E116:AC116,"u")+COUNTIF($E116:AC116,"t"),
     INDEX(Roadmap!$D:$K,MATCH($E116,Roadmap!$D:$D,0)+COUNTIF($E116:AC116,"u")+COUNTIF($E116:AC116,"t")+COUNTIF($E116:AC116,"¶")+COUNTIF($E116:AC116,"²")+COUNTIF($E116:AC116,"µ")+COUNTIF($E116:AC116,1),ColTypeEcheance)),
  IF(LEN(AC116)=1,
  IF(LEN(INDEX(Roadmap!$D:$K,MATCH($E116,Roadmap!$D:$D,0)-1+COUNTIF($E116:AC116,"u")+COUNTIF($E116:AC116,"t")+COUNTIF($E116:AC116,"¶")+COUNTIF($E116:AC116,"²")+COUNTIF($E116:AC116,"µ")+COUNTIF($E116:AC116,1),ColDescriptionCourte))&gt;1,
HYPERLINK("#Roadmap!C"&amp; MATCH($E116,Roadmap!$D:$D,0)+COUNTIF($E116:AC116,"u")+COUNTIF($E116:AC116,"t")+COUNTIF($E116:AC116,"¶")+COUNTIF($E116:AC116,"²")+COUNTIF($E116:AC116,"µ")+COUNTIF($E116:AC116,1)-1,INDEX(Roadmap!$D:$K,MATCH($E116,Roadmap!$D:$D,0)-1+COUNTIF($E116:AC116,"u")+COUNTIF($E116:AC116,"t")+COUNTIF($E116:AC116,"¶")+COUNTIF($E116:AC116,"²")+COUNTIF($E116:AC116,"µ")+COUNTIF($E116:AC116,1),ColDescriptionCourte)),""),
  "")),"")</f>
        <v/>
      </c>
      <c r="AE116" s="40" t="str">
        <f ca="1">IFERROR(IF(AND(
  INDEX(Roadmap!$D:$K,MATCH($E116,Roadmap!$D:$D,0)+COUNTIF($E116:AD116,"u")+COUNTIF($E116:AD116,"t")+COUNTIF($E116:AD116,"¶")+COUNTIF($E116:AD116,"²")+COUNTIF($E116:AD116,"µ")+COUNTIF($E116:AD116,1),ColLivraison)=AE$6,
  VLOOKUP($E116,INDIRECT("tri!"&amp; CHAR(64+ C0Col) &amp;":"&amp; CHAR(65+C0Col)),2,FALSE)&gt;COUNTIF($E116:AD116,"u")+COUNTIF($E116:AD116,"t")+COUNTIF($E116:AD116,"¶")+COUNTIF($E116:AD116,"²")+COUNTIF($E116:AD116,"µ")+COUNTIF($E116:AD116,1)),
HYPERLINK("#Roadmap!C"&amp; MATCH($E116,Roadmap!$D:$D,0)+COUNTIF($E116:AD116,"u")+COUNTIF($E116:AD116,"t"),
     INDEX(Roadmap!$D:$K,MATCH($E116,Roadmap!$D:$D,0)+COUNTIF($E116:AD116,"u")+COUNTIF($E116:AD116,"t")+COUNTIF($E116:AD116,"¶")+COUNTIF($E116:AD116,"²")+COUNTIF($E116:AD116,"µ")+COUNTIF($E116:AD116,1),ColTypeEcheance)),
  IF(LEN(AD116)=1,
  IF(LEN(INDEX(Roadmap!$D:$K,MATCH($E116,Roadmap!$D:$D,0)-1+COUNTIF($E116:AD116,"u")+COUNTIF($E116:AD116,"t")+COUNTIF($E116:AD116,"¶")+COUNTIF($E116:AD116,"²")+COUNTIF($E116:AD116,"µ")+COUNTIF($E116:AD116,1),ColDescriptionCourte))&gt;1,
HYPERLINK("#Roadmap!C"&amp; MATCH($E116,Roadmap!$D:$D,0)+COUNTIF($E116:AD116,"u")+COUNTIF($E116:AD116,"t")+COUNTIF($E116:AD116,"¶")+COUNTIF($E116:AD116,"²")+COUNTIF($E116:AD116,"µ")+COUNTIF($E116:AD116,1)-1,INDEX(Roadmap!$D:$K,MATCH($E116,Roadmap!$D:$D,0)-1+COUNTIF($E116:AD116,"u")+COUNTIF($E116:AD116,"t")+COUNTIF($E116:AD116,"¶")+COUNTIF($E116:AD116,"²")+COUNTIF($E116:AD116,"µ")+COUNTIF($E116:AD116,1),ColDescriptionCourte)),""),
  "")),"")</f>
        <v/>
      </c>
      <c r="AF116" s="40" t="str">
        <f ca="1">IFERROR(IF(AND(
  INDEX(Roadmap!$D:$K,MATCH($E116,Roadmap!$D:$D,0)+COUNTIF($E116:AE116,"u")+COUNTIF($E116:AE116,"t")+COUNTIF($E116:AE116,"¶")+COUNTIF($E116:AE116,"²")+COUNTIF($E116:AE116,"µ")+COUNTIF($E116:AE116,1),ColLivraison)=AF$6,
  VLOOKUP($E116,INDIRECT("tri!"&amp; CHAR(64+ C0Col) &amp;":"&amp; CHAR(65+C0Col)),2,FALSE)&gt;COUNTIF($E116:AE116,"u")+COUNTIF($E116:AE116,"t")+COUNTIF($E116:AE116,"¶")+COUNTIF($E116:AE116,"²")+COUNTIF($E116:AE116,"µ")+COUNTIF($E116:AE116,1)),
HYPERLINK("#Roadmap!C"&amp; MATCH($E116,Roadmap!$D:$D,0)+COUNTIF($E116:AE116,"u")+COUNTIF($E116:AE116,"t"),
     INDEX(Roadmap!$D:$K,MATCH($E116,Roadmap!$D:$D,0)+COUNTIF($E116:AE116,"u")+COUNTIF($E116:AE116,"t")+COUNTIF($E116:AE116,"¶")+COUNTIF($E116:AE116,"²")+COUNTIF($E116:AE116,"µ")+COUNTIF($E116:AE116,1),ColTypeEcheance)),
  IF(LEN(AE116)=1,
  IF(LEN(INDEX(Roadmap!$D:$K,MATCH($E116,Roadmap!$D:$D,0)-1+COUNTIF($E116:AE116,"u")+COUNTIF($E116:AE116,"t")+COUNTIF($E116:AE116,"¶")+COUNTIF($E116:AE116,"²")+COUNTIF($E116:AE116,"µ")+COUNTIF($E116:AE116,1),ColDescriptionCourte))&gt;1,
HYPERLINK("#Roadmap!C"&amp; MATCH($E116,Roadmap!$D:$D,0)+COUNTIF($E116:AE116,"u")+COUNTIF($E116:AE116,"t")+COUNTIF($E116:AE116,"¶")+COUNTIF($E116:AE116,"²")+COUNTIF($E116:AE116,"µ")+COUNTIF($E116:AE116,1)-1,INDEX(Roadmap!$D:$K,MATCH($E116,Roadmap!$D:$D,0)-1+COUNTIF($E116:AE116,"u")+COUNTIF($E116:AE116,"t")+COUNTIF($E116:AE116,"¶")+COUNTIF($E116:AE116,"²")+COUNTIF($E116:AE116,"µ")+COUNTIF($E116:AE116,1),ColDescriptionCourte)),""),
  "")),"")</f>
        <v/>
      </c>
      <c r="AG116" s="40" t="str">
        <f ca="1">IFERROR(IF(AND(
  INDEX(Roadmap!$D:$K,MATCH($E116,Roadmap!$D:$D,0)+COUNTIF($E116:AF116,"u")+COUNTIF($E116:AF116,"t")+COUNTIF($E116:AF116,"¶")+COUNTIF($E116:AF116,"²")+COUNTIF($E116:AF116,"µ")+COUNTIF($E116:AF116,1),ColLivraison)=AG$6,
  VLOOKUP($E116,INDIRECT("tri!"&amp; CHAR(64+ C0Col) &amp;":"&amp; CHAR(65+C0Col)),2,FALSE)&gt;COUNTIF($E116:AF116,"u")+COUNTIF($E116:AF116,"t")+COUNTIF($E116:AF116,"¶")+COUNTIF($E116:AF116,"²")+COUNTIF($E116:AF116,"µ")+COUNTIF($E116:AF116,1)),
HYPERLINK("#Roadmap!C"&amp; MATCH($E116,Roadmap!$D:$D,0)+COUNTIF($E116:AF116,"u")+COUNTIF($E116:AF116,"t"),
     INDEX(Roadmap!$D:$K,MATCH($E116,Roadmap!$D:$D,0)+COUNTIF($E116:AF116,"u")+COUNTIF($E116:AF116,"t")+COUNTIF($E116:AF116,"¶")+COUNTIF($E116:AF116,"²")+COUNTIF($E116:AF116,"µ")+COUNTIF($E116:AF116,1),ColTypeEcheance)),
  IF(LEN(AF116)=1,
  IF(LEN(INDEX(Roadmap!$D:$K,MATCH($E116,Roadmap!$D:$D,0)-1+COUNTIF($E116:AF116,"u")+COUNTIF($E116:AF116,"t")+COUNTIF($E116:AF116,"¶")+COUNTIF($E116:AF116,"²")+COUNTIF($E116:AF116,"µ")+COUNTIF($E116:AF116,1),ColDescriptionCourte))&gt;1,
HYPERLINK("#Roadmap!C"&amp; MATCH($E116,Roadmap!$D:$D,0)+COUNTIF($E116:AF116,"u")+COUNTIF($E116:AF116,"t")+COUNTIF($E116:AF116,"¶")+COUNTIF($E116:AF116,"²")+COUNTIF($E116:AF116,"µ")+COUNTIF($E116:AF116,1)-1,INDEX(Roadmap!$D:$K,MATCH($E116,Roadmap!$D:$D,0)-1+COUNTIF($E116:AF116,"u")+COUNTIF($E116:AF116,"t")+COUNTIF($E116:AF116,"¶")+COUNTIF($E116:AF116,"²")+COUNTIF($E116:AF116,"µ")+COUNTIF($E116:AF116,1),ColDescriptionCourte)),""),
  "")),"")</f>
        <v/>
      </c>
    </row>
    <row r="117" spans="3:33" ht="14.25" customHeight="1">
      <c r="C117" s="1" t="str">
        <f t="shared" ca="1" si="49"/>
        <v/>
      </c>
      <c r="D117" s="1" t="str">
        <f t="shared" ca="1" si="50"/>
        <v/>
      </c>
      <c r="E117" s="35" t="str">
        <f t="shared" ca="1" si="46"/>
        <v/>
      </c>
      <c r="F117" s="39" t="str">
        <f ca="1">IFERROR(IF(AND(
  INDEX(Roadmap!$D:$K,MATCH($E117,Roadmap!$D:$D,0)+COUNTIF($E117:E117,"u")+COUNTIF($E117:E117,"t")+COUNTIF($E117:E117,"¶")+COUNTIF($E117:E117,"²")+COUNTIF($E117:E117,"µ")+COUNTIF($E117:E117,1),ColLivraison)=F$6,
  VLOOKUP($E117,INDIRECT("tri!"&amp; CHAR(64+ C0Col) &amp;":"&amp; CHAR(65+C0Col)),2,FALSE)&gt;COUNTIF($E117:E117,"u")+COUNTIF($E117:E117,"t")+COUNTIF($E117:E117,"¶")+COUNTIF($E117:E117,"²")+COUNTIF($E117:E117,"µ")+COUNTIF($E117:E117,1)),
HYPERLINK("#Roadmap!C"&amp; MATCH($E117,Roadmap!$D:$D,0)+COUNTIF($E117:E117,"u")+COUNTIF($E117:E117,"t"),
     INDEX(Roadmap!$D:$K,MATCH($E117,Roadmap!$D:$D,0)+COUNTIF($E117:E117,"u")+COUNTIF($E117:E117,"t")+COUNTIF($E117:E117,"¶")+COUNTIF($E117:E117,"²")+COUNTIF($E117:E117,"µ")+COUNTIF($E117:E117,1),ColTypeEcheance)),
  IF(LEN(E117)=1,
  IF(LEN(INDEX(Roadmap!$D:$K,MATCH($E117,Roadmap!$D:$D,0)-1+COUNTIF($E117:E117,"u")+COUNTIF($E117:E117,"t")+COUNTIF($E117:E117,"¶")+COUNTIF($E117:E117,"²")+COUNTIF($E117:E117,"µ")+COUNTIF($E117:E117,1),ColDescriptionCourte))&gt;1,
HYPERLINK("#Roadmap!C"&amp; MATCH($E117,Roadmap!$D:$D,0)+COUNTIF($E117:E117,"u")+COUNTIF($E117:E117,"t")+COUNTIF($E117:E117,"¶")+COUNTIF($E117:E117,"²")+COUNTIF($E117:E117,"µ")+COUNTIF($E117:E117,1)-1,INDEX(Roadmap!$D:$K,MATCH($E117,Roadmap!$D:$D,0)-1+COUNTIF($E117:E117,"u")+COUNTIF($E117:E117,"t")+COUNTIF($E117:E117,"¶")+COUNTIF($E117:E117,"²")+COUNTIF($E117:E117,"µ")+COUNTIF($E117:E117,1),ColDescriptionCourte)),""),
  "")),"")</f>
        <v/>
      </c>
      <c r="G117" s="40" t="str">
        <f ca="1">IFERROR(IF(AND(
  INDEX(Roadmap!$D:$K,MATCH($E117,Roadmap!$D:$D,0)+COUNTIF($E117:F117,"u")+COUNTIF($E117:F117,"t")+COUNTIF($E117:F117,"¶")+COUNTIF($E117:F117,"²")+COUNTIF($E117:F117,"µ")+COUNTIF($E117:F117,1),ColLivraison)=G$6,
  VLOOKUP($E117,INDIRECT("tri!"&amp; CHAR(64+ C0Col) &amp;":"&amp; CHAR(65+C0Col)),2,FALSE)&gt;COUNTIF($E117:F117,"u")+COUNTIF($E117:F117,"t")+COUNTIF($E117:F117,"¶")+COUNTIF($E117:F117,"²")+COUNTIF($E117:F117,"µ")+COUNTIF($E117:F117,1)),
HYPERLINK("#Roadmap!C"&amp; MATCH($E117,Roadmap!$D:$D,0)+COUNTIF($E117:F117,"u")+COUNTIF($E117:F117,"t"),
     INDEX(Roadmap!$D:$K,MATCH($E117,Roadmap!$D:$D,0)+COUNTIF($E117:F117,"u")+COUNTIF($E117:F117,"t")+COUNTIF($E117:F117,"¶")+COUNTIF($E117:F117,"²")+COUNTIF($E117:F117,"µ")+COUNTIF($E117:F117,1),ColTypeEcheance)),
  IF(LEN(F117)=1,
  IF(LEN(INDEX(Roadmap!$D:$K,MATCH($E117,Roadmap!$D:$D,0)-1+COUNTIF($E117:F117,"u")+COUNTIF($E117:F117,"t")+COUNTIF($E117:F117,"¶")+COUNTIF($E117:F117,"²")+COUNTIF($E117:F117,"µ")+COUNTIF($E117:F117,1),ColDescriptionCourte))&gt;1,
HYPERLINK("#Roadmap!C"&amp; MATCH($E117,Roadmap!$D:$D,0)+COUNTIF($E117:F117,"u")+COUNTIF($E117:F117,"t")+COUNTIF($E117:F117,"¶")+COUNTIF($E117:F117,"²")+COUNTIF($E117:F117,"µ")+COUNTIF($E117:F117,1)-1,INDEX(Roadmap!$D:$K,MATCH($E117,Roadmap!$D:$D,0)-1+COUNTIF($E117:F117,"u")+COUNTIF($E117:F117,"t")+COUNTIF($E117:F117,"¶")+COUNTIF($E117:F117,"²")+COUNTIF($E117:F117,"µ")+COUNTIF($E117:F117,1),ColDescriptionCourte)),""),
  "")),"")</f>
        <v/>
      </c>
      <c r="H117" s="40" t="str">
        <f ca="1">IFERROR(IF(AND(
  INDEX(Roadmap!$D:$K,MATCH($E117,Roadmap!$D:$D,0)+COUNTIF($E117:G117,"u")+COUNTIF($E117:G117,"t")+COUNTIF($E117:G117,"¶")+COUNTIF($E117:G117,"²")+COUNTIF($E117:G117,"µ")+COUNTIF($E117:G117,1),ColLivraison)=H$6,
  VLOOKUP($E117,INDIRECT("tri!"&amp; CHAR(64+ C0Col) &amp;":"&amp; CHAR(65+C0Col)),2,FALSE)&gt;COUNTIF($E117:G117,"u")+COUNTIF($E117:G117,"t")+COUNTIF($E117:G117,"¶")+COUNTIF($E117:G117,"²")+COUNTIF($E117:G117,"µ")+COUNTIF($E117:G117,1)),
HYPERLINK("#Roadmap!C"&amp; MATCH($E117,Roadmap!$D:$D,0)+COUNTIF($E117:G117,"u")+COUNTIF($E117:G117,"t"),
     INDEX(Roadmap!$D:$K,MATCH($E117,Roadmap!$D:$D,0)+COUNTIF($E117:G117,"u")+COUNTIF($E117:G117,"t")+COUNTIF($E117:G117,"¶")+COUNTIF($E117:G117,"²")+COUNTIF($E117:G117,"µ")+COUNTIF($E117:G117,1),ColTypeEcheance)),
  IF(LEN(G117)=1,
  IF(LEN(INDEX(Roadmap!$D:$K,MATCH($E117,Roadmap!$D:$D,0)-1+COUNTIF($E117:G117,"u")+COUNTIF($E117:G117,"t")+COUNTIF($E117:G117,"¶")+COUNTIF($E117:G117,"²")+COUNTIF($E117:G117,"µ")+COUNTIF($E117:G117,1),ColDescriptionCourte))&gt;1,
HYPERLINK("#Roadmap!C"&amp; MATCH($E117,Roadmap!$D:$D,0)+COUNTIF($E117:G117,"u")+COUNTIF($E117:G117,"t")+COUNTIF($E117:G117,"¶")+COUNTIF($E117:G117,"²")+COUNTIF($E117:G117,"µ")+COUNTIF($E117:G117,1)-1,INDEX(Roadmap!$D:$K,MATCH($E117,Roadmap!$D:$D,0)-1+COUNTIF($E117:G117,"u")+COUNTIF($E117:G117,"t")+COUNTIF($E117:G117,"¶")+COUNTIF($E117:G117,"²")+COUNTIF($E117:G117,"µ")+COUNTIF($E117:G117,1),ColDescriptionCourte)),""),
  "")),"")</f>
        <v/>
      </c>
      <c r="I117" s="40" t="str">
        <f ca="1">IFERROR(IF(AND(
  INDEX(Roadmap!$D:$K,MATCH($E117,Roadmap!$D:$D,0)+COUNTIF($E117:H117,"u")+COUNTIF($E117:H117,"t")+COUNTIF($E117:H117,"¶")+COUNTIF($E117:H117,"²")+COUNTIF($E117:H117,"µ")+COUNTIF($E117:H117,1),ColLivraison)=I$6,
  VLOOKUP($E117,INDIRECT("tri!"&amp; CHAR(64+ C0Col) &amp;":"&amp; CHAR(65+C0Col)),2,FALSE)&gt;COUNTIF($E117:H117,"u")+COUNTIF($E117:H117,"t")+COUNTIF($E117:H117,"¶")+COUNTIF($E117:H117,"²")+COUNTIF($E117:H117,"µ")+COUNTIF($E117:H117,1)),
HYPERLINK("#Roadmap!C"&amp; MATCH($E117,Roadmap!$D:$D,0)+COUNTIF($E117:H117,"u")+COUNTIF($E117:H117,"t"),
     INDEX(Roadmap!$D:$K,MATCH($E117,Roadmap!$D:$D,0)+COUNTIF($E117:H117,"u")+COUNTIF($E117:H117,"t")+COUNTIF($E117:H117,"¶")+COUNTIF($E117:H117,"²")+COUNTIF($E117:H117,"µ")+COUNTIF($E117:H117,1),ColTypeEcheance)),
  IF(LEN(H117)=1,
  IF(LEN(INDEX(Roadmap!$D:$K,MATCH($E117,Roadmap!$D:$D,0)-1+COUNTIF($E117:H117,"u")+COUNTIF($E117:H117,"t")+COUNTIF($E117:H117,"¶")+COUNTIF($E117:H117,"²")+COUNTIF($E117:H117,"µ")+COUNTIF($E117:H117,1),ColDescriptionCourte))&gt;1,
HYPERLINK("#Roadmap!C"&amp; MATCH($E117,Roadmap!$D:$D,0)+COUNTIF($E117:H117,"u")+COUNTIF($E117:H117,"t")+COUNTIF($E117:H117,"¶")+COUNTIF($E117:H117,"²")+COUNTIF($E117:H117,"µ")+COUNTIF($E117:H117,1)-1,INDEX(Roadmap!$D:$K,MATCH($E117,Roadmap!$D:$D,0)-1+COUNTIF($E117:H117,"u")+COUNTIF($E117:H117,"t")+COUNTIF($E117:H117,"¶")+COUNTIF($E117:H117,"²")+COUNTIF($E117:H117,"µ")+COUNTIF($E117:H117,1),ColDescriptionCourte)),""),
  "")),"")</f>
        <v/>
      </c>
      <c r="J117" s="40" t="str">
        <f ca="1">IFERROR(IF(AND(
  INDEX(Roadmap!$D:$K,MATCH($E117,Roadmap!$D:$D,0)+COUNTIF($E117:I117,"u")+COUNTIF($E117:I117,"t")+COUNTIF($E117:I117,"¶")+COUNTIF($E117:I117,"²")+COUNTIF($E117:I117,"µ")+COUNTIF($E117:I117,1),ColLivraison)=J$6,
  VLOOKUP($E117,INDIRECT("tri!"&amp; CHAR(64+ C0Col) &amp;":"&amp; CHAR(65+C0Col)),2,FALSE)&gt;COUNTIF($E117:I117,"u")+COUNTIF($E117:I117,"t")+COUNTIF($E117:I117,"¶")+COUNTIF($E117:I117,"²")+COUNTIF($E117:I117,"µ")+COUNTIF($E117:I117,1)),
HYPERLINK("#Roadmap!C"&amp; MATCH($E117,Roadmap!$D:$D,0)+COUNTIF($E117:I117,"u")+COUNTIF($E117:I117,"t"),
     INDEX(Roadmap!$D:$K,MATCH($E117,Roadmap!$D:$D,0)+COUNTIF($E117:I117,"u")+COUNTIF($E117:I117,"t")+COUNTIF($E117:I117,"¶")+COUNTIF($E117:I117,"²")+COUNTIF($E117:I117,"µ")+COUNTIF($E117:I117,1),ColTypeEcheance)),
  IF(LEN(I117)=1,
  IF(LEN(INDEX(Roadmap!$D:$K,MATCH($E117,Roadmap!$D:$D,0)-1+COUNTIF($E117:I117,"u")+COUNTIF($E117:I117,"t")+COUNTIF($E117:I117,"¶")+COUNTIF($E117:I117,"²")+COUNTIF($E117:I117,"µ")+COUNTIF($E117:I117,1),ColDescriptionCourte))&gt;1,
HYPERLINK("#Roadmap!C"&amp; MATCH($E117,Roadmap!$D:$D,0)+COUNTIF($E117:I117,"u")+COUNTIF($E117:I117,"t")+COUNTIF($E117:I117,"¶")+COUNTIF($E117:I117,"²")+COUNTIF($E117:I117,"µ")+COUNTIF($E117:I117,1)-1,INDEX(Roadmap!$D:$K,MATCH($E117,Roadmap!$D:$D,0)-1+COUNTIF($E117:I117,"u")+COUNTIF($E117:I117,"t")+COUNTIF($E117:I117,"¶")+COUNTIF($E117:I117,"²")+COUNTIF($E117:I117,"µ")+COUNTIF($E117:I117,1),ColDescriptionCourte)),""),
  "")),"")</f>
        <v/>
      </c>
      <c r="K117" s="40" t="str">
        <f ca="1">IFERROR(IF(AND(
  INDEX(Roadmap!$D:$K,MATCH($E117,Roadmap!$D:$D,0)+COUNTIF($E117:J117,"u")+COUNTIF($E117:J117,"t")+COUNTIF($E117:J117,"¶")+COUNTIF($E117:J117,"²")+COUNTIF($E117:J117,"µ")+COUNTIF($E117:J117,1),ColLivraison)=K$6,
  VLOOKUP($E117,INDIRECT("tri!"&amp; CHAR(64+ C0Col) &amp;":"&amp; CHAR(65+C0Col)),2,FALSE)&gt;COUNTIF($E117:J117,"u")+COUNTIF($E117:J117,"t")+COUNTIF($E117:J117,"¶")+COUNTIF($E117:J117,"²")+COUNTIF($E117:J117,"µ")+COUNTIF($E117:J117,1)),
HYPERLINK("#Roadmap!C"&amp; MATCH($E117,Roadmap!$D:$D,0)+COUNTIF($E117:J117,"u")+COUNTIF($E117:J117,"t"),
     INDEX(Roadmap!$D:$K,MATCH($E117,Roadmap!$D:$D,0)+COUNTIF($E117:J117,"u")+COUNTIF($E117:J117,"t")+COUNTIF($E117:J117,"¶")+COUNTIF($E117:J117,"²")+COUNTIF($E117:J117,"µ")+COUNTIF($E117:J117,1),ColTypeEcheance)),
  IF(LEN(J117)=1,
  IF(LEN(INDEX(Roadmap!$D:$K,MATCH($E117,Roadmap!$D:$D,0)-1+COUNTIF($E117:J117,"u")+COUNTIF($E117:J117,"t")+COUNTIF($E117:J117,"¶")+COUNTIF($E117:J117,"²")+COUNTIF($E117:J117,"µ")+COUNTIF($E117:J117,1),ColDescriptionCourte))&gt;1,
HYPERLINK("#Roadmap!C"&amp; MATCH($E117,Roadmap!$D:$D,0)+COUNTIF($E117:J117,"u")+COUNTIF($E117:J117,"t")+COUNTIF($E117:J117,"¶")+COUNTIF($E117:J117,"²")+COUNTIF($E117:J117,"µ")+COUNTIF($E117:J117,1)-1,INDEX(Roadmap!$D:$K,MATCH($E117,Roadmap!$D:$D,0)-1+COUNTIF($E117:J117,"u")+COUNTIF($E117:J117,"t")+COUNTIF($E117:J117,"¶")+COUNTIF($E117:J117,"²")+COUNTIF($E117:J117,"µ")+COUNTIF($E117:J117,1),ColDescriptionCourte)),""),
  "")),"")</f>
        <v/>
      </c>
      <c r="L117" s="39" t="str">
        <f ca="1">IFERROR(IF(AND(
  INDEX(Roadmap!$D:$K,MATCH($E117,Roadmap!$D:$D,0)+COUNTIF($E117:K117,"u")+COUNTIF($E117:K117,"t")+COUNTIF($E117:K117,"¶")+COUNTIF($E117:K117,"²")+COUNTIF($E117:K117,"µ")+COUNTIF($E117:K117,1),ColLivraison)=L$6,
  VLOOKUP($E117,INDIRECT("tri!"&amp; CHAR(64+ C0Col) &amp;":"&amp; CHAR(65+C0Col)),2,FALSE)&gt;COUNTIF($E117:K117,"u")+COUNTIF($E117:K117,"t")+COUNTIF($E117:K117,"¶")+COUNTIF($E117:K117,"²")+COUNTIF($E117:K117,"µ")+COUNTIF($E117:K117,1)),
HYPERLINK("#Roadmap!C"&amp; MATCH($E117,Roadmap!$D:$D,0)+COUNTIF($E117:K117,"u")+COUNTIF($E117:K117,"t"),
     INDEX(Roadmap!$D:$K,MATCH($E117,Roadmap!$D:$D,0)+COUNTIF($E117:K117,"u")+COUNTIF($E117:K117,"t")+COUNTIF($E117:K117,"¶")+COUNTIF($E117:K117,"²")+COUNTIF($E117:K117,"µ")+COUNTIF($E117:K117,1),ColTypeEcheance)),
  IF(LEN(K117)=1,
  IF(LEN(INDEX(Roadmap!$D:$K,MATCH($E117,Roadmap!$D:$D,0)-1+COUNTIF($E117:K117,"u")+COUNTIF($E117:K117,"t")+COUNTIF($E117:K117,"¶")+COUNTIF($E117:K117,"²")+COUNTIF($E117:K117,"µ")+COUNTIF($E117:K117,1),ColDescriptionCourte))&gt;1,
HYPERLINK("#Roadmap!C"&amp; MATCH($E117,Roadmap!$D:$D,0)+COUNTIF($E117:K117,"u")+COUNTIF($E117:K117,"t")+COUNTIF($E117:K117,"¶")+COUNTIF($E117:K117,"²")+COUNTIF($E117:K117,"µ")+COUNTIF($E117:K117,1)-1,INDEX(Roadmap!$D:$K,MATCH($E117,Roadmap!$D:$D,0)-1+COUNTIF($E117:K117,"u")+COUNTIF($E117:K117,"t")+COUNTIF($E117:K117,"¶")+COUNTIF($E117:K117,"²")+COUNTIF($E117:K117,"µ")+COUNTIF($E117:K117,1),ColDescriptionCourte)),""),
  "")),"")</f>
        <v/>
      </c>
      <c r="M117" s="40" t="str">
        <f ca="1">IFERROR(IF(AND(
  INDEX(Roadmap!$D:$K,MATCH($E117,Roadmap!$D:$D,0)+COUNTIF($E117:L117,"u")+COUNTIF($E117:L117,"t")+COUNTIF($E117:L117,"¶")+COUNTIF($E117:L117,"²")+COUNTIF($E117:L117,"µ")+COUNTIF($E117:L117,1),ColLivraison)=M$6,
  VLOOKUP($E117,INDIRECT("tri!"&amp; CHAR(64+ C0Col) &amp;":"&amp; CHAR(65+C0Col)),2,FALSE)&gt;COUNTIF($E117:L117,"u")+COUNTIF($E117:L117,"t")+COUNTIF($E117:L117,"¶")+COUNTIF($E117:L117,"²")+COUNTIF($E117:L117,"µ")+COUNTIF($E117:L117,1)),
HYPERLINK("#Roadmap!C"&amp; MATCH($E117,Roadmap!$D:$D,0)+COUNTIF($E117:L117,"u")+COUNTIF($E117:L117,"t"),
     INDEX(Roadmap!$D:$K,MATCH($E117,Roadmap!$D:$D,0)+COUNTIF($E117:L117,"u")+COUNTIF($E117:L117,"t")+COUNTIF($E117:L117,"¶")+COUNTIF($E117:L117,"²")+COUNTIF($E117:L117,"µ")+COUNTIF($E117:L117,1),ColTypeEcheance)),
  IF(LEN(L117)=1,
  IF(LEN(INDEX(Roadmap!$D:$K,MATCH($E117,Roadmap!$D:$D,0)-1+COUNTIF($E117:L117,"u")+COUNTIF($E117:L117,"t")+COUNTIF($E117:L117,"¶")+COUNTIF($E117:L117,"²")+COUNTIF($E117:L117,"µ")+COUNTIF($E117:L117,1),ColDescriptionCourte))&gt;1,
HYPERLINK("#Roadmap!C"&amp; MATCH($E117,Roadmap!$D:$D,0)+COUNTIF($E117:L117,"u")+COUNTIF($E117:L117,"t")+COUNTIF($E117:L117,"¶")+COUNTIF($E117:L117,"²")+COUNTIF($E117:L117,"µ")+COUNTIF($E117:L117,1)-1,INDEX(Roadmap!$D:$K,MATCH($E117,Roadmap!$D:$D,0)-1+COUNTIF($E117:L117,"u")+COUNTIF($E117:L117,"t")+COUNTIF($E117:L117,"¶")+COUNTIF($E117:L117,"²")+COUNTIF($E117:L117,"µ")+COUNTIF($E117:L117,1),ColDescriptionCourte)),""),
  "")),"")</f>
        <v/>
      </c>
      <c r="N117" s="40" t="str">
        <f ca="1">IFERROR(IF(AND(
  INDEX(Roadmap!$D:$K,MATCH($E117,Roadmap!$D:$D,0)+COUNTIF($E117:M117,"u")+COUNTIF($E117:M117,"t")+COUNTIF($E117:M117,"¶")+COUNTIF($E117:M117,"²")+COUNTIF($E117:M117,"µ")+COUNTIF($E117:M117,1),ColLivraison)=N$6,
  VLOOKUP($E117,INDIRECT("tri!"&amp; CHAR(64+ C0Col) &amp;":"&amp; CHAR(65+C0Col)),2,FALSE)&gt;COUNTIF($E117:M117,"u")+COUNTIF($E117:M117,"t")+COUNTIF($E117:M117,"¶")+COUNTIF($E117:M117,"²")+COUNTIF($E117:M117,"µ")+COUNTIF($E117:M117,1)),
HYPERLINK("#Roadmap!C"&amp; MATCH($E117,Roadmap!$D:$D,0)+COUNTIF($E117:M117,"u")+COUNTIF($E117:M117,"t"),
     INDEX(Roadmap!$D:$K,MATCH($E117,Roadmap!$D:$D,0)+COUNTIF($E117:M117,"u")+COUNTIF($E117:M117,"t")+COUNTIF($E117:M117,"¶")+COUNTIF($E117:M117,"²")+COUNTIF($E117:M117,"µ")+COUNTIF($E117:M117,1),ColTypeEcheance)),
  IF(LEN(M117)=1,
  IF(LEN(INDEX(Roadmap!$D:$K,MATCH($E117,Roadmap!$D:$D,0)-1+COUNTIF($E117:M117,"u")+COUNTIF($E117:M117,"t")+COUNTIF($E117:M117,"¶")+COUNTIF($E117:M117,"²")+COUNTIF($E117:M117,"µ")+COUNTIF($E117:M117,1),ColDescriptionCourte))&gt;1,
HYPERLINK("#Roadmap!C"&amp; MATCH($E117,Roadmap!$D:$D,0)+COUNTIF($E117:M117,"u")+COUNTIF($E117:M117,"t")+COUNTIF($E117:M117,"¶")+COUNTIF($E117:M117,"²")+COUNTIF($E117:M117,"µ")+COUNTIF($E117:M117,1)-1,INDEX(Roadmap!$D:$K,MATCH($E117,Roadmap!$D:$D,0)-1+COUNTIF($E117:M117,"u")+COUNTIF($E117:M117,"t")+COUNTIF($E117:M117,"¶")+COUNTIF($E117:M117,"²")+COUNTIF($E117:M117,"µ")+COUNTIF($E117:M117,1),ColDescriptionCourte)),""),
  "")),"")</f>
        <v/>
      </c>
      <c r="O117" s="40" t="str">
        <f ca="1">IFERROR(IF(AND(
  INDEX(Roadmap!$D:$K,MATCH($E117,Roadmap!$D:$D,0)+COUNTIF($E117:N117,"u")+COUNTIF($E117:N117,"t")+COUNTIF($E117:N117,"¶")+COUNTIF($E117:N117,"²")+COUNTIF($E117:N117,"µ")+COUNTIF($E117:N117,1),ColLivraison)=O$6,
  VLOOKUP($E117,INDIRECT("tri!"&amp; CHAR(64+ C0Col) &amp;":"&amp; CHAR(65+C0Col)),2,FALSE)&gt;COUNTIF($E117:N117,"u")+COUNTIF($E117:N117,"t")+COUNTIF($E117:N117,"¶")+COUNTIF($E117:N117,"²")+COUNTIF($E117:N117,"µ")+COUNTIF($E117:N117,1)),
HYPERLINK("#Roadmap!C"&amp; MATCH($E117,Roadmap!$D:$D,0)+COUNTIF($E117:N117,"u")+COUNTIF($E117:N117,"t"),
     INDEX(Roadmap!$D:$K,MATCH($E117,Roadmap!$D:$D,0)+COUNTIF($E117:N117,"u")+COUNTIF($E117:N117,"t")+COUNTIF($E117:N117,"¶")+COUNTIF($E117:N117,"²")+COUNTIF($E117:N117,"µ")+COUNTIF($E117:N117,1),ColTypeEcheance)),
  IF(LEN(N117)=1,
  IF(LEN(INDEX(Roadmap!$D:$K,MATCH($E117,Roadmap!$D:$D,0)-1+COUNTIF($E117:N117,"u")+COUNTIF($E117:N117,"t")+COUNTIF($E117:N117,"¶")+COUNTIF($E117:N117,"²")+COUNTIF($E117:N117,"µ")+COUNTIF($E117:N117,1),ColDescriptionCourte))&gt;1,
HYPERLINK("#Roadmap!C"&amp; MATCH($E117,Roadmap!$D:$D,0)+COUNTIF($E117:N117,"u")+COUNTIF($E117:N117,"t")+COUNTIF($E117:N117,"¶")+COUNTIF($E117:N117,"²")+COUNTIF($E117:N117,"µ")+COUNTIF($E117:N117,1)-1,INDEX(Roadmap!$D:$K,MATCH($E117,Roadmap!$D:$D,0)-1+COUNTIF($E117:N117,"u")+COUNTIF($E117:N117,"t")+COUNTIF($E117:N117,"¶")+COUNTIF($E117:N117,"²")+COUNTIF($E117:N117,"µ")+COUNTIF($E117:N117,1),ColDescriptionCourte)),""),
  "")),"")</f>
        <v/>
      </c>
      <c r="P117" s="40" t="str">
        <f ca="1">IFERROR(IF(AND(
  INDEX(Roadmap!$D:$K,MATCH($E117,Roadmap!$D:$D,0)+COUNTIF($E117:O117,"u")+COUNTIF($E117:O117,"t")+COUNTIF($E117:O117,"¶")+COUNTIF($E117:O117,"²")+COUNTIF($E117:O117,"µ")+COUNTIF($E117:O117,1),ColLivraison)=P$6,
  VLOOKUP($E117,INDIRECT("tri!"&amp; CHAR(64+ C0Col) &amp;":"&amp; CHAR(65+C0Col)),2,FALSE)&gt;COUNTIF($E117:O117,"u")+COUNTIF($E117:O117,"t")+COUNTIF($E117:O117,"¶")+COUNTIF($E117:O117,"²")+COUNTIF($E117:O117,"µ")+COUNTIF($E117:O117,1)),
HYPERLINK("#Roadmap!C"&amp; MATCH($E117,Roadmap!$D:$D,0)+COUNTIF($E117:O117,"u")+COUNTIF($E117:O117,"t"),
     INDEX(Roadmap!$D:$K,MATCH($E117,Roadmap!$D:$D,0)+COUNTIF($E117:O117,"u")+COUNTIF($E117:O117,"t")+COUNTIF($E117:O117,"¶")+COUNTIF($E117:O117,"²")+COUNTIF($E117:O117,"µ")+COUNTIF($E117:O117,1),ColTypeEcheance)),
  IF(LEN(O117)=1,
  IF(LEN(INDEX(Roadmap!$D:$K,MATCH($E117,Roadmap!$D:$D,0)-1+COUNTIF($E117:O117,"u")+COUNTIF($E117:O117,"t")+COUNTIF($E117:O117,"¶")+COUNTIF($E117:O117,"²")+COUNTIF($E117:O117,"µ")+COUNTIF($E117:O117,1),ColDescriptionCourte))&gt;1,
HYPERLINK("#Roadmap!C"&amp; MATCH($E117,Roadmap!$D:$D,0)+COUNTIF($E117:O117,"u")+COUNTIF($E117:O117,"t")+COUNTIF($E117:O117,"¶")+COUNTIF($E117:O117,"²")+COUNTIF($E117:O117,"µ")+COUNTIF($E117:O117,1)-1,INDEX(Roadmap!$D:$K,MATCH($E117,Roadmap!$D:$D,0)-1+COUNTIF($E117:O117,"u")+COUNTIF($E117:O117,"t")+COUNTIF($E117:O117,"¶")+COUNTIF($E117:O117,"²")+COUNTIF($E117:O117,"µ")+COUNTIF($E117:O117,1),ColDescriptionCourte)),""),
  "")),"")</f>
        <v/>
      </c>
      <c r="Q117" s="40" t="str">
        <f ca="1">IFERROR(IF(AND(
  INDEX(Roadmap!$D:$K,MATCH($E117,Roadmap!$D:$D,0)+COUNTIF($E117:P117,"u")+COUNTIF($E117:P117,"t")+COUNTIF($E117:P117,"¶")+COUNTIF($E117:P117,"²")+COUNTIF($E117:P117,"µ")+COUNTIF($E117:P117,1),ColLivraison)=Q$6,
  VLOOKUP($E117,INDIRECT("tri!"&amp; CHAR(64+ C0Col) &amp;":"&amp; CHAR(65+C0Col)),2,FALSE)&gt;COUNTIF($E117:P117,"u")+COUNTIF($E117:P117,"t")+COUNTIF($E117:P117,"¶")+COUNTIF($E117:P117,"²")+COUNTIF($E117:P117,"µ")+COUNTIF($E117:P117,1)),
HYPERLINK("#Roadmap!C"&amp; MATCH($E117,Roadmap!$D:$D,0)+COUNTIF($E117:P117,"u")+COUNTIF($E117:P117,"t"),
     INDEX(Roadmap!$D:$K,MATCH($E117,Roadmap!$D:$D,0)+COUNTIF($E117:P117,"u")+COUNTIF($E117:P117,"t")+COUNTIF($E117:P117,"¶")+COUNTIF($E117:P117,"²")+COUNTIF($E117:P117,"µ")+COUNTIF($E117:P117,1),ColTypeEcheance)),
  IF(LEN(P117)=1,
  IF(LEN(INDEX(Roadmap!$D:$K,MATCH($E117,Roadmap!$D:$D,0)-1+COUNTIF($E117:P117,"u")+COUNTIF($E117:P117,"t")+COUNTIF($E117:P117,"¶")+COUNTIF($E117:P117,"²")+COUNTIF($E117:P117,"µ")+COUNTIF($E117:P117,1),ColDescriptionCourte))&gt;1,
HYPERLINK("#Roadmap!C"&amp; MATCH($E117,Roadmap!$D:$D,0)+COUNTIF($E117:P117,"u")+COUNTIF($E117:P117,"t")+COUNTIF($E117:P117,"¶")+COUNTIF($E117:P117,"²")+COUNTIF($E117:P117,"µ")+COUNTIF($E117:P117,1)-1,INDEX(Roadmap!$D:$K,MATCH($E117,Roadmap!$D:$D,0)-1+COUNTIF($E117:P117,"u")+COUNTIF($E117:P117,"t")+COUNTIF($E117:P117,"¶")+COUNTIF($E117:P117,"²")+COUNTIF($E117:P117,"µ")+COUNTIF($E117:P117,1),ColDescriptionCourte)),""),
  "")),"")</f>
        <v/>
      </c>
      <c r="R117" s="40" t="str">
        <f ca="1">IFERROR(IF(AND(
  INDEX(Roadmap!$D:$K,MATCH($E117,Roadmap!$D:$D,0)+COUNTIF($E117:Q117,"u")+COUNTIF($E117:Q117,"t")+COUNTIF($E117:Q117,"¶")+COUNTIF($E117:Q117,"²")+COUNTIF($E117:Q117,"µ")+COUNTIF($E117:Q117,1),ColLivraison)=R$6,
  VLOOKUP($E117,INDIRECT("tri!"&amp; CHAR(64+ C0Col) &amp;":"&amp; CHAR(65+C0Col)),2,FALSE)&gt;COUNTIF($E117:Q117,"u")+COUNTIF($E117:Q117,"t")+COUNTIF($E117:Q117,"¶")+COUNTIF($E117:Q117,"²")+COUNTIF($E117:Q117,"µ")+COUNTIF($E117:Q117,1)),
HYPERLINK("#Roadmap!C"&amp; MATCH($E117,Roadmap!$D:$D,0)+COUNTIF($E117:Q117,"u")+COUNTIF($E117:Q117,"t"),
     INDEX(Roadmap!$D:$K,MATCH($E117,Roadmap!$D:$D,0)+COUNTIF($E117:Q117,"u")+COUNTIF($E117:Q117,"t")+COUNTIF($E117:Q117,"¶")+COUNTIF($E117:Q117,"²")+COUNTIF($E117:Q117,"µ")+COUNTIF($E117:Q117,1),ColTypeEcheance)),
  IF(LEN(Q117)=1,
  IF(LEN(INDEX(Roadmap!$D:$K,MATCH($E117,Roadmap!$D:$D,0)-1+COUNTIF($E117:Q117,"u")+COUNTIF($E117:Q117,"t")+COUNTIF($E117:Q117,"¶")+COUNTIF($E117:Q117,"²")+COUNTIF($E117:Q117,"µ")+COUNTIF($E117:Q117,1),ColDescriptionCourte))&gt;1,
HYPERLINK("#Roadmap!C"&amp; MATCH($E117,Roadmap!$D:$D,0)+COUNTIF($E117:Q117,"u")+COUNTIF($E117:Q117,"t")+COUNTIF($E117:Q117,"¶")+COUNTIF($E117:Q117,"²")+COUNTIF($E117:Q117,"µ")+COUNTIF($E117:Q117,1)-1,INDEX(Roadmap!$D:$K,MATCH($E117,Roadmap!$D:$D,0)-1+COUNTIF($E117:Q117,"u")+COUNTIF($E117:Q117,"t")+COUNTIF($E117:Q117,"¶")+COUNTIF($E117:Q117,"²")+COUNTIF($E117:Q117,"µ")+COUNTIF($E117:Q117,1),ColDescriptionCourte)),""),
  "")),"")</f>
        <v/>
      </c>
      <c r="S117" s="40" t="str">
        <f ca="1">IFERROR(IF(AND(
  INDEX(Roadmap!$D:$K,MATCH($E117,Roadmap!$D:$D,0)+COUNTIF($E117:R117,"u")+COUNTIF($E117:R117,"t")+COUNTIF($E117:R117,"¶")+COUNTIF($E117:R117,"²")+COUNTIF($E117:R117,"µ")+COUNTIF($E117:R117,1),ColLivraison)=S$6,
  VLOOKUP($E117,INDIRECT("tri!"&amp; CHAR(64+ C0Col) &amp;":"&amp; CHAR(65+C0Col)),2,FALSE)&gt;COUNTIF($E117:R117,"u")+COUNTIF($E117:R117,"t")+COUNTIF($E117:R117,"¶")+COUNTIF($E117:R117,"²")+COUNTIF($E117:R117,"µ")+COUNTIF($E117:R117,1)),
HYPERLINK("#Roadmap!C"&amp; MATCH($E117,Roadmap!$D:$D,0)+COUNTIF($E117:R117,"u")+COUNTIF($E117:R117,"t"),
     INDEX(Roadmap!$D:$K,MATCH($E117,Roadmap!$D:$D,0)+COUNTIF($E117:R117,"u")+COUNTIF($E117:R117,"t")+COUNTIF($E117:R117,"¶")+COUNTIF($E117:R117,"²")+COUNTIF($E117:R117,"µ")+COUNTIF($E117:R117,1),ColTypeEcheance)),
  IF(LEN(R117)=1,
  IF(LEN(INDEX(Roadmap!$D:$K,MATCH($E117,Roadmap!$D:$D,0)-1+COUNTIF($E117:R117,"u")+COUNTIF($E117:R117,"t")+COUNTIF($E117:R117,"¶")+COUNTIF($E117:R117,"²")+COUNTIF($E117:R117,"µ")+COUNTIF($E117:R117,1),ColDescriptionCourte))&gt;1,
HYPERLINK("#Roadmap!C"&amp; MATCH($E117,Roadmap!$D:$D,0)+COUNTIF($E117:R117,"u")+COUNTIF($E117:R117,"t")+COUNTIF($E117:R117,"¶")+COUNTIF($E117:R117,"²")+COUNTIF($E117:R117,"µ")+COUNTIF($E117:R117,1)-1,INDEX(Roadmap!$D:$K,MATCH($E117,Roadmap!$D:$D,0)-1+COUNTIF($E117:R117,"u")+COUNTIF($E117:R117,"t")+COUNTIF($E117:R117,"¶")+COUNTIF($E117:R117,"²")+COUNTIF($E117:R117,"µ")+COUNTIF($E117:R117,1),ColDescriptionCourte)),""),
  "")),"")</f>
        <v/>
      </c>
      <c r="T117" s="40" t="str">
        <f ca="1">IFERROR(IF(AND(
  INDEX(Roadmap!$D:$K,MATCH($E117,Roadmap!$D:$D,0)+COUNTIF($E117:S117,"u")+COUNTIF($E117:S117,"t")+COUNTIF($E117:S117,"¶")+COUNTIF($E117:S117,"²")+COUNTIF($E117:S117,"µ")+COUNTIF($E117:S117,1),ColLivraison)=T$6,
  VLOOKUP($E117,INDIRECT("tri!"&amp; CHAR(64+ C0Col) &amp;":"&amp; CHAR(65+C0Col)),2,FALSE)&gt;COUNTIF($E117:S117,"u")+COUNTIF($E117:S117,"t")+COUNTIF($E117:S117,"¶")+COUNTIF($E117:S117,"²")+COUNTIF($E117:S117,"µ")+COUNTIF($E117:S117,1)),
HYPERLINK("#Roadmap!C"&amp; MATCH($E117,Roadmap!$D:$D,0)+COUNTIF($E117:S117,"u")+COUNTIF($E117:S117,"t"),
     INDEX(Roadmap!$D:$K,MATCH($E117,Roadmap!$D:$D,0)+COUNTIF($E117:S117,"u")+COUNTIF($E117:S117,"t")+COUNTIF($E117:S117,"¶")+COUNTIF($E117:S117,"²")+COUNTIF($E117:S117,"µ")+COUNTIF($E117:S117,1),ColTypeEcheance)),
  IF(LEN(S117)=1,
  IF(LEN(INDEX(Roadmap!$D:$K,MATCH($E117,Roadmap!$D:$D,0)-1+COUNTIF($E117:S117,"u")+COUNTIF($E117:S117,"t")+COUNTIF($E117:S117,"¶")+COUNTIF($E117:S117,"²")+COUNTIF($E117:S117,"µ")+COUNTIF($E117:S117,1),ColDescriptionCourte))&gt;1,
HYPERLINK("#Roadmap!C"&amp; MATCH($E117,Roadmap!$D:$D,0)+COUNTIF($E117:S117,"u")+COUNTIF($E117:S117,"t")+COUNTIF($E117:S117,"¶")+COUNTIF($E117:S117,"²")+COUNTIF($E117:S117,"µ")+COUNTIF($E117:S117,1)-1,INDEX(Roadmap!$D:$K,MATCH($E117,Roadmap!$D:$D,0)-1+COUNTIF($E117:S117,"u")+COUNTIF($E117:S117,"t")+COUNTIF($E117:S117,"¶")+COUNTIF($E117:S117,"²")+COUNTIF($E117:S117,"µ")+COUNTIF($E117:S117,1),ColDescriptionCourte)),""),
  "")),"")</f>
        <v/>
      </c>
      <c r="U117" s="40" t="str">
        <f ca="1">IFERROR(IF(AND(
  INDEX(Roadmap!$D:$K,MATCH($E117,Roadmap!$D:$D,0)+COUNTIF($E117:T117,"u")+COUNTIF($E117:T117,"t")+COUNTIF($E117:T117,"¶")+COUNTIF($E117:T117,"²")+COUNTIF($E117:T117,"µ")+COUNTIF($E117:T117,1),ColLivraison)=U$6,
  VLOOKUP($E117,INDIRECT("tri!"&amp; CHAR(64+ C0Col) &amp;":"&amp; CHAR(65+C0Col)),2,FALSE)&gt;COUNTIF($E117:T117,"u")+COUNTIF($E117:T117,"t")+COUNTIF($E117:T117,"¶")+COUNTIF($E117:T117,"²")+COUNTIF($E117:T117,"µ")+COUNTIF($E117:T117,1)),
HYPERLINK("#Roadmap!C"&amp; MATCH($E117,Roadmap!$D:$D,0)+COUNTIF($E117:T117,"u")+COUNTIF($E117:T117,"t"),
     INDEX(Roadmap!$D:$K,MATCH($E117,Roadmap!$D:$D,0)+COUNTIF($E117:T117,"u")+COUNTIF($E117:T117,"t")+COUNTIF($E117:T117,"¶")+COUNTIF($E117:T117,"²")+COUNTIF($E117:T117,"µ")+COUNTIF($E117:T117,1),ColTypeEcheance)),
  IF(LEN(T117)=1,
  IF(LEN(INDEX(Roadmap!$D:$K,MATCH($E117,Roadmap!$D:$D,0)-1+COUNTIF($E117:T117,"u")+COUNTIF($E117:T117,"t")+COUNTIF($E117:T117,"¶")+COUNTIF($E117:T117,"²")+COUNTIF($E117:T117,"µ")+COUNTIF($E117:T117,1),ColDescriptionCourte))&gt;1,
HYPERLINK("#Roadmap!C"&amp; MATCH($E117,Roadmap!$D:$D,0)+COUNTIF($E117:T117,"u")+COUNTIF($E117:T117,"t")+COUNTIF($E117:T117,"¶")+COUNTIF($E117:T117,"²")+COUNTIF($E117:T117,"µ")+COUNTIF($E117:T117,1)-1,INDEX(Roadmap!$D:$K,MATCH($E117,Roadmap!$D:$D,0)-1+COUNTIF($E117:T117,"u")+COUNTIF($E117:T117,"t")+COUNTIF($E117:T117,"¶")+COUNTIF($E117:T117,"²")+COUNTIF($E117:T117,"µ")+COUNTIF($E117:T117,1),ColDescriptionCourte)),""),
  "")),"")</f>
        <v/>
      </c>
      <c r="V117" s="40" t="str">
        <f ca="1">IFERROR(IF(AND(
  INDEX(Roadmap!$D:$K,MATCH($E117,Roadmap!$D:$D,0)+COUNTIF($E117:U117,"u")+COUNTIF($E117:U117,"t")+COUNTIF($E117:U117,"¶")+COUNTIF($E117:U117,"²")+COUNTIF($E117:U117,"µ")+COUNTIF($E117:U117,1),ColLivraison)=V$6,
  VLOOKUP($E117,INDIRECT("tri!"&amp; CHAR(64+ C0Col) &amp;":"&amp; CHAR(65+C0Col)),2,FALSE)&gt;COUNTIF($E117:U117,"u")+COUNTIF($E117:U117,"t")+COUNTIF($E117:U117,"¶")+COUNTIF($E117:U117,"²")+COUNTIF($E117:U117,"µ")+COUNTIF($E117:U117,1)),
HYPERLINK("#Roadmap!C"&amp; MATCH($E117,Roadmap!$D:$D,0)+COUNTIF($E117:U117,"u")+COUNTIF($E117:U117,"t"),
     INDEX(Roadmap!$D:$K,MATCH($E117,Roadmap!$D:$D,0)+COUNTIF($E117:U117,"u")+COUNTIF($E117:U117,"t")+COUNTIF($E117:U117,"¶")+COUNTIF($E117:U117,"²")+COUNTIF($E117:U117,"µ")+COUNTIF($E117:U117,1),ColTypeEcheance)),
  IF(LEN(U117)=1,
  IF(LEN(INDEX(Roadmap!$D:$K,MATCH($E117,Roadmap!$D:$D,0)-1+COUNTIF($E117:U117,"u")+COUNTIF($E117:U117,"t")+COUNTIF($E117:U117,"¶")+COUNTIF($E117:U117,"²")+COUNTIF($E117:U117,"µ")+COUNTIF($E117:U117,1),ColDescriptionCourte))&gt;1,
HYPERLINK("#Roadmap!C"&amp; MATCH($E117,Roadmap!$D:$D,0)+COUNTIF($E117:U117,"u")+COUNTIF($E117:U117,"t")+COUNTIF($E117:U117,"¶")+COUNTIF($E117:U117,"²")+COUNTIF($E117:U117,"µ")+COUNTIF($E117:U117,1)-1,INDEX(Roadmap!$D:$K,MATCH($E117,Roadmap!$D:$D,0)-1+COUNTIF($E117:U117,"u")+COUNTIF($E117:U117,"t")+COUNTIF($E117:U117,"¶")+COUNTIF($E117:U117,"²")+COUNTIF($E117:U117,"µ")+COUNTIF($E117:U117,1),ColDescriptionCourte)),""),
  "")),"")</f>
        <v/>
      </c>
      <c r="W117" s="40" t="str">
        <f ca="1">IFERROR(IF(AND(
  INDEX(Roadmap!$D:$K,MATCH($E117,Roadmap!$D:$D,0)+COUNTIF($E117:V117,"u")+COUNTIF($E117:V117,"t")+COUNTIF($E117:V117,"¶")+COUNTIF($E117:V117,"²")+COUNTIF($E117:V117,"µ")+COUNTIF($E117:V117,1),ColLivraison)=W$6,
  VLOOKUP($E117,INDIRECT("tri!"&amp; CHAR(64+ C0Col) &amp;":"&amp; CHAR(65+C0Col)),2,FALSE)&gt;COUNTIF($E117:V117,"u")+COUNTIF($E117:V117,"t")+COUNTIF($E117:V117,"¶")+COUNTIF($E117:V117,"²")+COUNTIF($E117:V117,"µ")+COUNTIF($E117:V117,1)),
HYPERLINK("#Roadmap!C"&amp; MATCH($E117,Roadmap!$D:$D,0)+COUNTIF($E117:V117,"u")+COUNTIF($E117:V117,"t"),
     INDEX(Roadmap!$D:$K,MATCH($E117,Roadmap!$D:$D,0)+COUNTIF($E117:V117,"u")+COUNTIF($E117:V117,"t")+COUNTIF($E117:V117,"¶")+COUNTIF($E117:V117,"²")+COUNTIF($E117:V117,"µ")+COUNTIF($E117:V117,1),ColTypeEcheance)),
  IF(LEN(V117)=1,
  IF(LEN(INDEX(Roadmap!$D:$K,MATCH($E117,Roadmap!$D:$D,0)-1+COUNTIF($E117:V117,"u")+COUNTIF($E117:V117,"t")+COUNTIF($E117:V117,"¶")+COUNTIF($E117:V117,"²")+COUNTIF($E117:V117,"µ")+COUNTIF($E117:V117,1),ColDescriptionCourte))&gt;1,
HYPERLINK("#Roadmap!C"&amp; MATCH($E117,Roadmap!$D:$D,0)+COUNTIF($E117:V117,"u")+COUNTIF($E117:V117,"t")+COUNTIF($E117:V117,"¶")+COUNTIF($E117:V117,"²")+COUNTIF($E117:V117,"µ")+COUNTIF($E117:V117,1)-1,INDEX(Roadmap!$D:$K,MATCH($E117,Roadmap!$D:$D,0)-1+COUNTIF($E117:V117,"u")+COUNTIF($E117:V117,"t")+COUNTIF($E117:V117,"¶")+COUNTIF($E117:V117,"²")+COUNTIF($E117:V117,"µ")+COUNTIF($E117:V117,1),ColDescriptionCourte)),""),
  "")),"")</f>
        <v/>
      </c>
      <c r="X117" s="40" t="str">
        <f ca="1">IFERROR(IF(AND(
  INDEX(Roadmap!$D:$K,MATCH($E117,Roadmap!$D:$D,0)+COUNTIF($E117:W117,"u")+COUNTIF($E117:W117,"t")+COUNTIF($E117:W117,"¶")+COUNTIF($E117:W117,"²")+COUNTIF($E117:W117,"µ")+COUNTIF($E117:W117,1),ColLivraison)=X$6,
  VLOOKUP($E117,INDIRECT("tri!"&amp; CHAR(64+ C0Col) &amp;":"&amp; CHAR(65+C0Col)),2,FALSE)&gt;COUNTIF($E117:W117,"u")+COUNTIF($E117:W117,"t")+COUNTIF($E117:W117,"¶")+COUNTIF($E117:W117,"²")+COUNTIF($E117:W117,"µ")+COUNTIF($E117:W117,1)),
HYPERLINK("#Roadmap!C"&amp; MATCH($E117,Roadmap!$D:$D,0)+COUNTIF($E117:W117,"u")+COUNTIF($E117:W117,"t"),
     INDEX(Roadmap!$D:$K,MATCH($E117,Roadmap!$D:$D,0)+COUNTIF($E117:W117,"u")+COUNTIF($E117:W117,"t")+COUNTIF($E117:W117,"¶")+COUNTIF($E117:W117,"²")+COUNTIF($E117:W117,"µ")+COUNTIF($E117:W117,1),ColTypeEcheance)),
  IF(LEN(W117)=1,
  IF(LEN(INDEX(Roadmap!$D:$K,MATCH($E117,Roadmap!$D:$D,0)-1+COUNTIF($E117:W117,"u")+COUNTIF($E117:W117,"t")+COUNTIF($E117:W117,"¶")+COUNTIF($E117:W117,"²")+COUNTIF($E117:W117,"µ")+COUNTIF($E117:W117,1),ColDescriptionCourte))&gt;1,
HYPERLINK("#Roadmap!C"&amp; MATCH($E117,Roadmap!$D:$D,0)+COUNTIF($E117:W117,"u")+COUNTIF($E117:W117,"t")+COUNTIF($E117:W117,"¶")+COUNTIF($E117:W117,"²")+COUNTIF($E117:W117,"µ")+COUNTIF($E117:W117,1)-1,INDEX(Roadmap!$D:$K,MATCH($E117,Roadmap!$D:$D,0)-1+COUNTIF($E117:W117,"u")+COUNTIF($E117:W117,"t")+COUNTIF($E117:W117,"¶")+COUNTIF($E117:W117,"²")+COUNTIF($E117:W117,"µ")+COUNTIF($E117:W117,1),ColDescriptionCourte)),""),
  "")),"")</f>
        <v/>
      </c>
      <c r="Y117" s="40" t="str">
        <f ca="1">IFERROR(IF(AND(
  INDEX(Roadmap!$D:$K,MATCH($E117,Roadmap!$D:$D,0)+COUNTIF($E117:X117,"u")+COUNTIF($E117:X117,"t")+COUNTIF($E117:X117,"¶")+COUNTIF($E117:X117,"²")+COUNTIF($E117:X117,"µ")+COUNTIF($E117:X117,1),ColLivraison)=Y$6,
  VLOOKUP($E117,INDIRECT("tri!"&amp; CHAR(64+ C0Col) &amp;":"&amp; CHAR(65+C0Col)),2,FALSE)&gt;COUNTIF($E117:X117,"u")+COUNTIF($E117:X117,"t")+COUNTIF($E117:X117,"¶")+COUNTIF($E117:X117,"²")+COUNTIF($E117:X117,"µ")+COUNTIF($E117:X117,1)),
HYPERLINK("#Roadmap!C"&amp; MATCH($E117,Roadmap!$D:$D,0)+COUNTIF($E117:X117,"u")+COUNTIF($E117:X117,"t"),
     INDEX(Roadmap!$D:$K,MATCH($E117,Roadmap!$D:$D,0)+COUNTIF($E117:X117,"u")+COUNTIF($E117:X117,"t")+COUNTIF($E117:X117,"¶")+COUNTIF($E117:X117,"²")+COUNTIF($E117:X117,"µ")+COUNTIF($E117:X117,1),ColTypeEcheance)),
  IF(LEN(X117)=1,
  IF(LEN(INDEX(Roadmap!$D:$K,MATCH($E117,Roadmap!$D:$D,0)-1+COUNTIF($E117:X117,"u")+COUNTIF($E117:X117,"t")+COUNTIF($E117:X117,"¶")+COUNTIF($E117:X117,"²")+COUNTIF($E117:X117,"µ")+COUNTIF($E117:X117,1),ColDescriptionCourte))&gt;1,
HYPERLINK("#Roadmap!C"&amp; MATCH($E117,Roadmap!$D:$D,0)+COUNTIF($E117:X117,"u")+COUNTIF($E117:X117,"t")+COUNTIF($E117:X117,"¶")+COUNTIF($E117:X117,"²")+COUNTIF($E117:X117,"µ")+COUNTIF($E117:X117,1)-1,INDEX(Roadmap!$D:$K,MATCH($E117,Roadmap!$D:$D,0)-1+COUNTIF($E117:X117,"u")+COUNTIF($E117:X117,"t")+COUNTIF($E117:X117,"¶")+COUNTIF($E117:X117,"²")+COUNTIF($E117:X117,"µ")+COUNTIF($E117:X117,1),ColDescriptionCourte)),""),
  "")),"")</f>
        <v/>
      </c>
      <c r="Z117" s="40" t="str">
        <f ca="1">IFERROR(IF(AND(
  INDEX(Roadmap!$D:$K,MATCH($E117,Roadmap!$D:$D,0)+COUNTIF($E117:Y117,"u")+COUNTIF($E117:Y117,"t")+COUNTIF($E117:Y117,"¶")+COUNTIF($E117:Y117,"²")+COUNTIF($E117:Y117,"µ")+COUNTIF($E117:Y117,1),ColLivraison)=Z$6,
  VLOOKUP($E117,INDIRECT("tri!"&amp; CHAR(64+ C0Col) &amp;":"&amp; CHAR(65+C0Col)),2,FALSE)&gt;COUNTIF($E117:Y117,"u")+COUNTIF($E117:Y117,"t")+COUNTIF($E117:Y117,"¶")+COUNTIF($E117:Y117,"²")+COUNTIF($E117:Y117,"µ")+COUNTIF($E117:Y117,1)),
HYPERLINK("#Roadmap!C"&amp; MATCH($E117,Roadmap!$D:$D,0)+COUNTIF($E117:Y117,"u")+COUNTIF($E117:Y117,"t"),
     INDEX(Roadmap!$D:$K,MATCH($E117,Roadmap!$D:$D,0)+COUNTIF($E117:Y117,"u")+COUNTIF($E117:Y117,"t")+COUNTIF($E117:Y117,"¶")+COUNTIF($E117:Y117,"²")+COUNTIF($E117:Y117,"µ")+COUNTIF($E117:Y117,1),ColTypeEcheance)),
  IF(LEN(Y117)=1,
  IF(LEN(INDEX(Roadmap!$D:$K,MATCH($E117,Roadmap!$D:$D,0)-1+COUNTIF($E117:Y117,"u")+COUNTIF($E117:Y117,"t")+COUNTIF($E117:Y117,"¶")+COUNTIF($E117:Y117,"²")+COUNTIF($E117:Y117,"µ")+COUNTIF($E117:Y117,1),ColDescriptionCourte))&gt;1,
HYPERLINK("#Roadmap!C"&amp; MATCH($E117,Roadmap!$D:$D,0)+COUNTIF($E117:Y117,"u")+COUNTIF($E117:Y117,"t")+COUNTIF($E117:Y117,"¶")+COUNTIF($E117:Y117,"²")+COUNTIF($E117:Y117,"µ")+COUNTIF($E117:Y117,1)-1,INDEX(Roadmap!$D:$K,MATCH($E117,Roadmap!$D:$D,0)-1+COUNTIF($E117:Y117,"u")+COUNTIF($E117:Y117,"t")+COUNTIF($E117:Y117,"¶")+COUNTIF($E117:Y117,"²")+COUNTIF($E117:Y117,"µ")+COUNTIF($E117:Y117,1),ColDescriptionCourte)),""),
  "")),"")</f>
        <v/>
      </c>
      <c r="AA117" s="40" t="str">
        <f ca="1">IFERROR(IF(AND(
  INDEX(Roadmap!$D:$K,MATCH($E117,Roadmap!$D:$D,0)+COUNTIF($E117:Z117,"u")+COUNTIF($E117:Z117,"t")+COUNTIF($E117:Z117,"¶")+COUNTIF($E117:Z117,"²")+COUNTIF($E117:Z117,"µ")+COUNTIF($E117:Z117,1),ColLivraison)=AA$6,
  VLOOKUP($E117,INDIRECT("tri!"&amp; CHAR(64+ C0Col) &amp;":"&amp; CHAR(65+C0Col)),2,FALSE)&gt;COUNTIF($E117:Z117,"u")+COUNTIF($E117:Z117,"t")+COUNTIF($E117:Z117,"¶")+COUNTIF($E117:Z117,"²")+COUNTIF($E117:Z117,"µ")+COUNTIF($E117:Z117,1)),
HYPERLINK("#Roadmap!C"&amp; MATCH($E117,Roadmap!$D:$D,0)+COUNTIF($E117:Z117,"u")+COUNTIF($E117:Z117,"t"),
     INDEX(Roadmap!$D:$K,MATCH($E117,Roadmap!$D:$D,0)+COUNTIF($E117:Z117,"u")+COUNTIF($E117:Z117,"t")+COUNTIF($E117:Z117,"¶")+COUNTIF($E117:Z117,"²")+COUNTIF($E117:Z117,"µ")+COUNTIF($E117:Z117,1),ColTypeEcheance)),
  IF(LEN(Z117)=1,
  IF(LEN(INDEX(Roadmap!$D:$K,MATCH($E117,Roadmap!$D:$D,0)-1+COUNTIF($E117:Z117,"u")+COUNTIF($E117:Z117,"t")+COUNTIF($E117:Z117,"¶")+COUNTIF($E117:Z117,"²")+COUNTIF($E117:Z117,"µ")+COUNTIF($E117:Z117,1),ColDescriptionCourte))&gt;1,
HYPERLINK("#Roadmap!C"&amp; MATCH($E117,Roadmap!$D:$D,0)+COUNTIF($E117:Z117,"u")+COUNTIF($E117:Z117,"t")+COUNTIF($E117:Z117,"¶")+COUNTIF($E117:Z117,"²")+COUNTIF($E117:Z117,"µ")+COUNTIF($E117:Z117,1)-1,INDEX(Roadmap!$D:$K,MATCH($E117,Roadmap!$D:$D,0)-1+COUNTIF($E117:Z117,"u")+COUNTIF($E117:Z117,"t")+COUNTIF($E117:Z117,"¶")+COUNTIF($E117:Z117,"²")+COUNTIF($E117:Z117,"µ")+COUNTIF($E117:Z117,1),ColDescriptionCourte)),""),
  "")),"")</f>
        <v/>
      </c>
      <c r="AB117" s="40" t="str">
        <f ca="1">IFERROR(IF(AND(
  INDEX(Roadmap!$D:$K,MATCH($E117,Roadmap!$D:$D,0)+COUNTIF($E117:AA117,"u")+COUNTIF($E117:AA117,"t")+COUNTIF($E117:AA117,"¶")+COUNTIF($E117:AA117,"²")+COUNTIF($E117:AA117,"µ")+COUNTIF($E117:AA117,1),ColLivraison)=AB$6,
  VLOOKUP($E117,INDIRECT("tri!"&amp; CHAR(64+ C0Col) &amp;":"&amp; CHAR(65+C0Col)),2,FALSE)&gt;COUNTIF($E117:AA117,"u")+COUNTIF($E117:AA117,"t")+COUNTIF($E117:AA117,"¶")+COUNTIF($E117:AA117,"²")+COUNTIF($E117:AA117,"µ")+COUNTIF($E117:AA117,1)),
HYPERLINK("#Roadmap!C"&amp; MATCH($E117,Roadmap!$D:$D,0)+COUNTIF($E117:AA117,"u")+COUNTIF($E117:AA117,"t"),
     INDEX(Roadmap!$D:$K,MATCH($E117,Roadmap!$D:$D,0)+COUNTIF($E117:AA117,"u")+COUNTIF($E117:AA117,"t")+COUNTIF($E117:AA117,"¶")+COUNTIF($E117:AA117,"²")+COUNTIF($E117:AA117,"µ")+COUNTIF($E117:AA117,1),ColTypeEcheance)),
  IF(LEN(AA117)=1,
  IF(LEN(INDEX(Roadmap!$D:$K,MATCH($E117,Roadmap!$D:$D,0)-1+COUNTIF($E117:AA117,"u")+COUNTIF($E117:AA117,"t")+COUNTIF($E117:AA117,"¶")+COUNTIF($E117:AA117,"²")+COUNTIF($E117:AA117,"µ")+COUNTIF($E117:AA117,1),ColDescriptionCourte))&gt;1,
HYPERLINK("#Roadmap!C"&amp; MATCH($E117,Roadmap!$D:$D,0)+COUNTIF($E117:AA117,"u")+COUNTIF($E117:AA117,"t")+COUNTIF($E117:AA117,"¶")+COUNTIF($E117:AA117,"²")+COUNTIF($E117:AA117,"µ")+COUNTIF($E117:AA117,1)-1,INDEX(Roadmap!$D:$K,MATCH($E117,Roadmap!$D:$D,0)-1+COUNTIF($E117:AA117,"u")+COUNTIF($E117:AA117,"t")+COUNTIF($E117:AA117,"¶")+COUNTIF($E117:AA117,"²")+COUNTIF($E117:AA117,"µ")+COUNTIF($E117:AA117,1),ColDescriptionCourte)),""),
  "")),"")</f>
        <v/>
      </c>
      <c r="AC117" s="40" t="str">
        <f ca="1">IFERROR(IF(AND(
  INDEX(Roadmap!$D:$K,MATCH($E117,Roadmap!$D:$D,0)+COUNTIF($E117:AB117,"u")+COUNTIF($E117:AB117,"t")+COUNTIF($E117:AB117,"¶")+COUNTIF($E117:AB117,"²")+COUNTIF($E117:AB117,"µ")+COUNTIF($E117:AB117,1),ColLivraison)=AC$6,
  VLOOKUP($E117,INDIRECT("tri!"&amp; CHAR(64+ C0Col) &amp;":"&amp; CHAR(65+C0Col)),2,FALSE)&gt;COUNTIF($E117:AB117,"u")+COUNTIF($E117:AB117,"t")+COUNTIF($E117:AB117,"¶")+COUNTIF($E117:AB117,"²")+COUNTIF($E117:AB117,"µ")+COUNTIF($E117:AB117,1)),
HYPERLINK("#Roadmap!C"&amp; MATCH($E117,Roadmap!$D:$D,0)+COUNTIF($E117:AB117,"u")+COUNTIF($E117:AB117,"t"),
     INDEX(Roadmap!$D:$K,MATCH($E117,Roadmap!$D:$D,0)+COUNTIF($E117:AB117,"u")+COUNTIF($E117:AB117,"t")+COUNTIF($E117:AB117,"¶")+COUNTIF($E117:AB117,"²")+COUNTIF($E117:AB117,"µ")+COUNTIF($E117:AB117,1),ColTypeEcheance)),
  IF(LEN(AB117)=1,
  IF(LEN(INDEX(Roadmap!$D:$K,MATCH($E117,Roadmap!$D:$D,0)-1+COUNTIF($E117:AB117,"u")+COUNTIF($E117:AB117,"t")+COUNTIF($E117:AB117,"¶")+COUNTIF($E117:AB117,"²")+COUNTIF($E117:AB117,"µ")+COUNTIF($E117:AB117,1),ColDescriptionCourte))&gt;1,
HYPERLINK("#Roadmap!C"&amp; MATCH($E117,Roadmap!$D:$D,0)+COUNTIF($E117:AB117,"u")+COUNTIF($E117:AB117,"t")+COUNTIF($E117:AB117,"¶")+COUNTIF($E117:AB117,"²")+COUNTIF($E117:AB117,"µ")+COUNTIF($E117:AB117,1)-1,INDEX(Roadmap!$D:$K,MATCH($E117,Roadmap!$D:$D,0)-1+COUNTIF($E117:AB117,"u")+COUNTIF($E117:AB117,"t")+COUNTIF($E117:AB117,"¶")+COUNTIF($E117:AB117,"²")+COUNTIF($E117:AB117,"µ")+COUNTIF($E117:AB117,1),ColDescriptionCourte)),""),
  "")),"")</f>
        <v/>
      </c>
      <c r="AD117" s="40" t="str">
        <f ca="1">IFERROR(IF(AND(
  INDEX(Roadmap!$D:$K,MATCH($E117,Roadmap!$D:$D,0)+COUNTIF($E117:AC117,"u")+COUNTIF($E117:AC117,"t")+COUNTIF($E117:AC117,"¶")+COUNTIF($E117:AC117,"²")+COUNTIF($E117:AC117,"µ")+COUNTIF($E117:AC117,1),ColLivraison)=AD$6,
  VLOOKUP($E117,INDIRECT("tri!"&amp; CHAR(64+ C0Col) &amp;":"&amp; CHAR(65+C0Col)),2,FALSE)&gt;COUNTIF($E117:AC117,"u")+COUNTIF($E117:AC117,"t")+COUNTIF($E117:AC117,"¶")+COUNTIF($E117:AC117,"²")+COUNTIF($E117:AC117,"µ")+COUNTIF($E117:AC117,1)),
HYPERLINK("#Roadmap!C"&amp; MATCH($E117,Roadmap!$D:$D,0)+COUNTIF($E117:AC117,"u")+COUNTIF($E117:AC117,"t"),
     INDEX(Roadmap!$D:$K,MATCH($E117,Roadmap!$D:$D,0)+COUNTIF($E117:AC117,"u")+COUNTIF($E117:AC117,"t")+COUNTIF($E117:AC117,"¶")+COUNTIF($E117:AC117,"²")+COUNTIF($E117:AC117,"µ")+COUNTIF($E117:AC117,1),ColTypeEcheance)),
  IF(LEN(AC117)=1,
  IF(LEN(INDEX(Roadmap!$D:$K,MATCH($E117,Roadmap!$D:$D,0)-1+COUNTIF($E117:AC117,"u")+COUNTIF($E117:AC117,"t")+COUNTIF($E117:AC117,"¶")+COUNTIF($E117:AC117,"²")+COUNTIF($E117:AC117,"µ")+COUNTIF($E117:AC117,1),ColDescriptionCourte))&gt;1,
HYPERLINK("#Roadmap!C"&amp; MATCH($E117,Roadmap!$D:$D,0)+COUNTIF($E117:AC117,"u")+COUNTIF($E117:AC117,"t")+COUNTIF($E117:AC117,"¶")+COUNTIF($E117:AC117,"²")+COUNTIF($E117:AC117,"µ")+COUNTIF($E117:AC117,1)-1,INDEX(Roadmap!$D:$K,MATCH($E117,Roadmap!$D:$D,0)-1+COUNTIF($E117:AC117,"u")+COUNTIF($E117:AC117,"t")+COUNTIF($E117:AC117,"¶")+COUNTIF($E117:AC117,"²")+COUNTIF($E117:AC117,"µ")+COUNTIF($E117:AC117,1),ColDescriptionCourte)),""),
  "")),"")</f>
        <v/>
      </c>
      <c r="AE117" s="40" t="str">
        <f ca="1">IFERROR(IF(AND(
  INDEX(Roadmap!$D:$K,MATCH($E117,Roadmap!$D:$D,0)+COUNTIF($E117:AD117,"u")+COUNTIF($E117:AD117,"t")+COUNTIF($E117:AD117,"¶")+COUNTIF($E117:AD117,"²")+COUNTIF($E117:AD117,"µ")+COUNTIF($E117:AD117,1),ColLivraison)=AE$6,
  VLOOKUP($E117,INDIRECT("tri!"&amp; CHAR(64+ C0Col) &amp;":"&amp; CHAR(65+C0Col)),2,FALSE)&gt;COUNTIF($E117:AD117,"u")+COUNTIF($E117:AD117,"t")+COUNTIF($E117:AD117,"¶")+COUNTIF($E117:AD117,"²")+COUNTIF($E117:AD117,"µ")+COUNTIF($E117:AD117,1)),
HYPERLINK("#Roadmap!C"&amp; MATCH($E117,Roadmap!$D:$D,0)+COUNTIF($E117:AD117,"u")+COUNTIF($E117:AD117,"t"),
     INDEX(Roadmap!$D:$K,MATCH($E117,Roadmap!$D:$D,0)+COUNTIF($E117:AD117,"u")+COUNTIF($E117:AD117,"t")+COUNTIF($E117:AD117,"¶")+COUNTIF($E117:AD117,"²")+COUNTIF($E117:AD117,"µ")+COUNTIF($E117:AD117,1),ColTypeEcheance)),
  IF(LEN(AD117)=1,
  IF(LEN(INDEX(Roadmap!$D:$K,MATCH($E117,Roadmap!$D:$D,0)-1+COUNTIF($E117:AD117,"u")+COUNTIF($E117:AD117,"t")+COUNTIF($E117:AD117,"¶")+COUNTIF($E117:AD117,"²")+COUNTIF($E117:AD117,"µ")+COUNTIF($E117:AD117,1),ColDescriptionCourte))&gt;1,
HYPERLINK("#Roadmap!C"&amp; MATCH($E117,Roadmap!$D:$D,0)+COUNTIF($E117:AD117,"u")+COUNTIF($E117:AD117,"t")+COUNTIF($E117:AD117,"¶")+COUNTIF($E117:AD117,"²")+COUNTIF($E117:AD117,"µ")+COUNTIF($E117:AD117,1)-1,INDEX(Roadmap!$D:$K,MATCH($E117,Roadmap!$D:$D,0)-1+COUNTIF($E117:AD117,"u")+COUNTIF($E117:AD117,"t")+COUNTIF($E117:AD117,"¶")+COUNTIF($E117:AD117,"²")+COUNTIF($E117:AD117,"µ")+COUNTIF($E117:AD117,1),ColDescriptionCourte)),""),
  "")),"")</f>
        <v/>
      </c>
      <c r="AF117" s="40" t="str">
        <f ca="1">IFERROR(IF(AND(
  INDEX(Roadmap!$D:$K,MATCH($E117,Roadmap!$D:$D,0)+COUNTIF($E117:AE117,"u")+COUNTIF($E117:AE117,"t")+COUNTIF($E117:AE117,"¶")+COUNTIF($E117:AE117,"²")+COUNTIF($E117:AE117,"µ")+COUNTIF($E117:AE117,1),ColLivraison)=AF$6,
  VLOOKUP($E117,INDIRECT("tri!"&amp; CHAR(64+ C0Col) &amp;":"&amp; CHAR(65+C0Col)),2,FALSE)&gt;COUNTIF($E117:AE117,"u")+COUNTIF($E117:AE117,"t")+COUNTIF($E117:AE117,"¶")+COUNTIF($E117:AE117,"²")+COUNTIF($E117:AE117,"µ")+COUNTIF($E117:AE117,1)),
HYPERLINK("#Roadmap!C"&amp; MATCH($E117,Roadmap!$D:$D,0)+COUNTIF($E117:AE117,"u")+COUNTIF($E117:AE117,"t"),
     INDEX(Roadmap!$D:$K,MATCH($E117,Roadmap!$D:$D,0)+COUNTIF($E117:AE117,"u")+COUNTIF($E117:AE117,"t")+COUNTIF($E117:AE117,"¶")+COUNTIF($E117:AE117,"²")+COUNTIF($E117:AE117,"µ")+COUNTIF($E117:AE117,1),ColTypeEcheance)),
  IF(LEN(AE117)=1,
  IF(LEN(INDEX(Roadmap!$D:$K,MATCH($E117,Roadmap!$D:$D,0)-1+COUNTIF($E117:AE117,"u")+COUNTIF($E117:AE117,"t")+COUNTIF($E117:AE117,"¶")+COUNTIF($E117:AE117,"²")+COUNTIF($E117:AE117,"µ")+COUNTIF($E117:AE117,1),ColDescriptionCourte))&gt;1,
HYPERLINK("#Roadmap!C"&amp; MATCH($E117,Roadmap!$D:$D,0)+COUNTIF($E117:AE117,"u")+COUNTIF($E117:AE117,"t")+COUNTIF($E117:AE117,"¶")+COUNTIF($E117:AE117,"²")+COUNTIF($E117:AE117,"µ")+COUNTIF($E117:AE117,1)-1,INDEX(Roadmap!$D:$K,MATCH($E117,Roadmap!$D:$D,0)-1+COUNTIF($E117:AE117,"u")+COUNTIF($E117:AE117,"t")+COUNTIF($E117:AE117,"¶")+COUNTIF($E117:AE117,"²")+COUNTIF($E117:AE117,"µ")+COUNTIF($E117:AE117,1),ColDescriptionCourte)),""),
  "")),"")</f>
        <v/>
      </c>
      <c r="AG117" s="40" t="str">
        <f ca="1">IFERROR(IF(AND(
  INDEX(Roadmap!$D:$K,MATCH($E117,Roadmap!$D:$D,0)+COUNTIF($E117:AF117,"u")+COUNTIF($E117:AF117,"t")+COUNTIF($E117:AF117,"¶")+COUNTIF($E117:AF117,"²")+COUNTIF($E117:AF117,"µ")+COUNTIF($E117:AF117,1),ColLivraison)=AG$6,
  VLOOKUP($E117,INDIRECT("tri!"&amp; CHAR(64+ C0Col) &amp;":"&amp; CHAR(65+C0Col)),2,FALSE)&gt;COUNTIF($E117:AF117,"u")+COUNTIF($E117:AF117,"t")+COUNTIF($E117:AF117,"¶")+COUNTIF($E117:AF117,"²")+COUNTIF($E117:AF117,"µ")+COUNTIF($E117:AF117,1)),
HYPERLINK("#Roadmap!C"&amp; MATCH($E117,Roadmap!$D:$D,0)+COUNTIF($E117:AF117,"u")+COUNTIF($E117:AF117,"t"),
     INDEX(Roadmap!$D:$K,MATCH($E117,Roadmap!$D:$D,0)+COUNTIF($E117:AF117,"u")+COUNTIF($E117:AF117,"t")+COUNTIF($E117:AF117,"¶")+COUNTIF($E117:AF117,"²")+COUNTIF($E117:AF117,"µ")+COUNTIF($E117:AF117,1),ColTypeEcheance)),
  IF(LEN(AF117)=1,
  IF(LEN(INDEX(Roadmap!$D:$K,MATCH($E117,Roadmap!$D:$D,0)-1+COUNTIF($E117:AF117,"u")+COUNTIF($E117:AF117,"t")+COUNTIF($E117:AF117,"¶")+COUNTIF($E117:AF117,"²")+COUNTIF($E117:AF117,"µ")+COUNTIF($E117:AF117,1),ColDescriptionCourte))&gt;1,
HYPERLINK("#Roadmap!C"&amp; MATCH($E117,Roadmap!$D:$D,0)+COUNTIF($E117:AF117,"u")+COUNTIF($E117:AF117,"t")+COUNTIF($E117:AF117,"¶")+COUNTIF($E117:AF117,"²")+COUNTIF($E117:AF117,"µ")+COUNTIF($E117:AF117,1)-1,INDEX(Roadmap!$D:$K,MATCH($E117,Roadmap!$D:$D,0)-1+COUNTIF($E117:AF117,"u")+COUNTIF($E117:AF117,"t")+COUNTIF($E117:AF117,"¶")+COUNTIF($E117:AF117,"²")+COUNTIF($E117:AF117,"µ")+COUNTIF($E117:AF117,1),ColDescriptionCourte)),""),
  "")),"")</f>
        <v/>
      </c>
    </row>
    <row r="118" spans="3:33" ht="14.25" customHeight="1">
      <c r="C118" s="1" t="str">
        <f t="shared" ca="1" si="49"/>
        <v/>
      </c>
      <c r="D118" s="1" t="str">
        <f t="shared" ca="1" si="50"/>
        <v/>
      </c>
      <c r="E118" s="35" t="str">
        <f t="shared" ca="1" si="46"/>
        <v/>
      </c>
      <c r="F118" s="39" t="str">
        <f ca="1">IFERROR(IF(AND(
  INDEX(Roadmap!$D:$K,MATCH($E118,Roadmap!$D:$D,0)+COUNTIF($E118:E118,"u")+COUNTIF($E118:E118,"t")+COUNTIF($E118:E118,"¶")+COUNTIF($E118:E118,"²")+COUNTIF($E118:E118,"µ")+COUNTIF($E118:E118,1),ColLivraison)=F$6,
  VLOOKUP($E118,INDIRECT("tri!"&amp; CHAR(64+ C0Col) &amp;":"&amp; CHAR(65+C0Col)),2,FALSE)&gt;COUNTIF($E118:E118,"u")+COUNTIF($E118:E118,"t")+COUNTIF($E118:E118,"¶")+COUNTIF($E118:E118,"²")+COUNTIF($E118:E118,"µ")+COUNTIF($E118:E118,1)),
HYPERLINK("#Roadmap!C"&amp; MATCH($E118,Roadmap!$D:$D,0)+COUNTIF($E118:E118,"u")+COUNTIF($E118:E118,"t"),
     INDEX(Roadmap!$D:$K,MATCH($E118,Roadmap!$D:$D,0)+COUNTIF($E118:E118,"u")+COUNTIF($E118:E118,"t")+COUNTIF($E118:E118,"¶")+COUNTIF($E118:E118,"²")+COUNTIF($E118:E118,"µ")+COUNTIF($E118:E118,1),ColTypeEcheance)),
  IF(LEN(E118)=1,
  IF(LEN(INDEX(Roadmap!$D:$K,MATCH($E118,Roadmap!$D:$D,0)-1+COUNTIF($E118:E118,"u")+COUNTIF($E118:E118,"t")+COUNTIF($E118:E118,"¶")+COUNTIF($E118:E118,"²")+COUNTIF($E118:E118,"µ")+COUNTIF($E118:E118,1),ColDescriptionCourte))&gt;1,
HYPERLINK("#Roadmap!C"&amp; MATCH($E118,Roadmap!$D:$D,0)+COUNTIF($E118:E118,"u")+COUNTIF($E118:E118,"t")+COUNTIF($E118:E118,"¶")+COUNTIF($E118:E118,"²")+COUNTIF($E118:E118,"µ")+COUNTIF($E118:E118,1)-1,INDEX(Roadmap!$D:$K,MATCH($E118,Roadmap!$D:$D,0)-1+COUNTIF($E118:E118,"u")+COUNTIF($E118:E118,"t")+COUNTIF($E118:E118,"¶")+COUNTIF($E118:E118,"²")+COUNTIF($E118:E118,"µ")+COUNTIF($E118:E118,1),ColDescriptionCourte)),""),
  "")),"")</f>
        <v/>
      </c>
      <c r="G118" s="40" t="str">
        <f ca="1">IFERROR(IF(AND(
  INDEX(Roadmap!$D:$K,MATCH($E118,Roadmap!$D:$D,0)+COUNTIF($E118:F118,"u")+COUNTIF($E118:F118,"t")+COUNTIF($E118:F118,"¶")+COUNTIF($E118:F118,"²")+COUNTIF($E118:F118,"µ")+COUNTIF($E118:F118,1),ColLivraison)=G$6,
  VLOOKUP($E118,INDIRECT("tri!"&amp; CHAR(64+ C0Col) &amp;":"&amp; CHAR(65+C0Col)),2,FALSE)&gt;COUNTIF($E118:F118,"u")+COUNTIF($E118:F118,"t")+COUNTIF($E118:F118,"¶")+COUNTIF($E118:F118,"²")+COUNTIF($E118:F118,"µ")+COUNTIF($E118:F118,1)),
HYPERLINK("#Roadmap!C"&amp; MATCH($E118,Roadmap!$D:$D,0)+COUNTIF($E118:F118,"u")+COUNTIF($E118:F118,"t"),
     INDEX(Roadmap!$D:$K,MATCH($E118,Roadmap!$D:$D,0)+COUNTIF($E118:F118,"u")+COUNTIF($E118:F118,"t")+COUNTIF($E118:F118,"¶")+COUNTIF($E118:F118,"²")+COUNTIF($E118:F118,"µ")+COUNTIF($E118:F118,1),ColTypeEcheance)),
  IF(LEN(F118)=1,
  IF(LEN(INDEX(Roadmap!$D:$K,MATCH($E118,Roadmap!$D:$D,0)-1+COUNTIF($E118:F118,"u")+COUNTIF($E118:F118,"t")+COUNTIF($E118:F118,"¶")+COUNTIF($E118:F118,"²")+COUNTIF($E118:F118,"µ")+COUNTIF($E118:F118,1),ColDescriptionCourte))&gt;1,
HYPERLINK("#Roadmap!C"&amp; MATCH($E118,Roadmap!$D:$D,0)+COUNTIF($E118:F118,"u")+COUNTIF($E118:F118,"t")+COUNTIF($E118:F118,"¶")+COUNTIF($E118:F118,"²")+COUNTIF($E118:F118,"µ")+COUNTIF($E118:F118,1)-1,INDEX(Roadmap!$D:$K,MATCH($E118,Roadmap!$D:$D,0)-1+COUNTIF($E118:F118,"u")+COUNTIF($E118:F118,"t")+COUNTIF($E118:F118,"¶")+COUNTIF($E118:F118,"²")+COUNTIF($E118:F118,"µ")+COUNTIF($E118:F118,1),ColDescriptionCourte)),""),
  "")),"")</f>
        <v/>
      </c>
      <c r="H118" s="40" t="str">
        <f ca="1">IFERROR(IF(AND(
  INDEX(Roadmap!$D:$K,MATCH($E118,Roadmap!$D:$D,0)+COUNTIF($E118:G118,"u")+COUNTIF($E118:G118,"t")+COUNTIF($E118:G118,"¶")+COUNTIF($E118:G118,"²")+COUNTIF($E118:G118,"µ")+COUNTIF($E118:G118,1),ColLivraison)=H$6,
  VLOOKUP($E118,INDIRECT("tri!"&amp; CHAR(64+ C0Col) &amp;":"&amp; CHAR(65+C0Col)),2,FALSE)&gt;COUNTIF($E118:G118,"u")+COUNTIF($E118:G118,"t")+COUNTIF($E118:G118,"¶")+COUNTIF($E118:G118,"²")+COUNTIF($E118:G118,"µ")+COUNTIF($E118:G118,1)),
HYPERLINK("#Roadmap!C"&amp; MATCH($E118,Roadmap!$D:$D,0)+COUNTIF($E118:G118,"u")+COUNTIF($E118:G118,"t"),
     INDEX(Roadmap!$D:$K,MATCH($E118,Roadmap!$D:$D,0)+COUNTIF($E118:G118,"u")+COUNTIF($E118:G118,"t")+COUNTIF($E118:G118,"¶")+COUNTIF($E118:G118,"²")+COUNTIF($E118:G118,"µ")+COUNTIF($E118:G118,1),ColTypeEcheance)),
  IF(LEN(G118)=1,
  IF(LEN(INDEX(Roadmap!$D:$K,MATCH($E118,Roadmap!$D:$D,0)-1+COUNTIF($E118:G118,"u")+COUNTIF($E118:G118,"t")+COUNTIF($E118:G118,"¶")+COUNTIF($E118:G118,"²")+COUNTIF($E118:G118,"µ")+COUNTIF($E118:G118,1),ColDescriptionCourte))&gt;1,
HYPERLINK("#Roadmap!C"&amp; MATCH($E118,Roadmap!$D:$D,0)+COUNTIF($E118:G118,"u")+COUNTIF($E118:G118,"t")+COUNTIF($E118:G118,"¶")+COUNTIF($E118:G118,"²")+COUNTIF($E118:G118,"µ")+COUNTIF($E118:G118,1)-1,INDEX(Roadmap!$D:$K,MATCH($E118,Roadmap!$D:$D,0)-1+COUNTIF($E118:G118,"u")+COUNTIF($E118:G118,"t")+COUNTIF($E118:G118,"¶")+COUNTIF($E118:G118,"²")+COUNTIF($E118:G118,"µ")+COUNTIF($E118:G118,1),ColDescriptionCourte)),""),
  "")),"")</f>
        <v/>
      </c>
      <c r="I118" s="40" t="str">
        <f ca="1">IFERROR(IF(AND(
  INDEX(Roadmap!$D:$K,MATCH($E118,Roadmap!$D:$D,0)+COUNTIF($E118:H118,"u")+COUNTIF($E118:H118,"t")+COUNTIF($E118:H118,"¶")+COUNTIF($E118:H118,"²")+COUNTIF($E118:H118,"µ")+COUNTIF($E118:H118,1),ColLivraison)=I$6,
  VLOOKUP($E118,INDIRECT("tri!"&amp; CHAR(64+ C0Col) &amp;":"&amp; CHAR(65+C0Col)),2,FALSE)&gt;COUNTIF($E118:H118,"u")+COUNTIF($E118:H118,"t")+COUNTIF($E118:H118,"¶")+COUNTIF($E118:H118,"²")+COUNTIF($E118:H118,"µ")+COUNTIF($E118:H118,1)),
HYPERLINK("#Roadmap!C"&amp; MATCH($E118,Roadmap!$D:$D,0)+COUNTIF($E118:H118,"u")+COUNTIF($E118:H118,"t"),
     INDEX(Roadmap!$D:$K,MATCH($E118,Roadmap!$D:$D,0)+COUNTIF($E118:H118,"u")+COUNTIF($E118:H118,"t")+COUNTIF($E118:H118,"¶")+COUNTIF($E118:H118,"²")+COUNTIF($E118:H118,"µ")+COUNTIF($E118:H118,1),ColTypeEcheance)),
  IF(LEN(H118)=1,
  IF(LEN(INDEX(Roadmap!$D:$K,MATCH($E118,Roadmap!$D:$D,0)-1+COUNTIF($E118:H118,"u")+COUNTIF($E118:H118,"t")+COUNTIF($E118:H118,"¶")+COUNTIF($E118:H118,"²")+COUNTIF($E118:H118,"µ")+COUNTIF($E118:H118,1),ColDescriptionCourte))&gt;1,
HYPERLINK("#Roadmap!C"&amp; MATCH($E118,Roadmap!$D:$D,0)+COUNTIF($E118:H118,"u")+COUNTIF($E118:H118,"t")+COUNTIF($E118:H118,"¶")+COUNTIF($E118:H118,"²")+COUNTIF($E118:H118,"µ")+COUNTIF($E118:H118,1)-1,INDEX(Roadmap!$D:$K,MATCH($E118,Roadmap!$D:$D,0)-1+COUNTIF($E118:H118,"u")+COUNTIF($E118:H118,"t")+COUNTIF($E118:H118,"¶")+COUNTIF($E118:H118,"²")+COUNTIF($E118:H118,"µ")+COUNTIF($E118:H118,1),ColDescriptionCourte)),""),
  "")),"")</f>
        <v/>
      </c>
      <c r="J118" s="40" t="str">
        <f ca="1">IFERROR(IF(AND(
  INDEX(Roadmap!$D:$K,MATCH($E118,Roadmap!$D:$D,0)+COUNTIF($E118:I118,"u")+COUNTIF($E118:I118,"t")+COUNTIF($E118:I118,"¶")+COUNTIF($E118:I118,"²")+COUNTIF($E118:I118,"µ")+COUNTIF($E118:I118,1),ColLivraison)=J$6,
  VLOOKUP($E118,INDIRECT("tri!"&amp; CHAR(64+ C0Col) &amp;":"&amp; CHAR(65+C0Col)),2,FALSE)&gt;COUNTIF($E118:I118,"u")+COUNTIF($E118:I118,"t")+COUNTIF($E118:I118,"¶")+COUNTIF($E118:I118,"²")+COUNTIF($E118:I118,"µ")+COUNTIF($E118:I118,1)),
HYPERLINK("#Roadmap!C"&amp; MATCH($E118,Roadmap!$D:$D,0)+COUNTIF($E118:I118,"u")+COUNTIF($E118:I118,"t"),
     INDEX(Roadmap!$D:$K,MATCH($E118,Roadmap!$D:$D,0)+COUNTIF($E118:I118,"u")+COUNTIF($E118:I118,"t")+COUNTIF($E118:I118,"¶")+COUNTIF($E118:I118,"²")+COUNTIF($E118:I118,"µ")+COUNTIF($E118:I118,1),ColTypeEcheance)),
  IF(LEN(I118)=1,
  IF(LEN(INDEX(Roadmap!$D:$K,MATCH($E118,Roadmap!$D:$D,0)-1+COUNTIF($E118:I118,"u")+COUNTIF($E118:I118,"t")+COUNTIF($E118:I118,"¶")+COUNTIF($E118:I118,"²")+COUNTIF($E118:I118,"µ")+COUNTIF($E118:I118,1),ColDescriptionCourte))&gt;1,
HYPERLINK("#Roadmap!C"&amp; MATCH($E118,Roadmap!$D:$D,0)+COUNTIF($E118:I118,"u")+COUNTIF($E118:I118,"t")+COUNTIF($E118:I118,"¶")+COUNTIF($E118:I118,"²")+COUNTIF($E118:I118,"µ")+COUNTIF($E118:I118,1)-1,INDEX(Roadmap!$D:$K,MATCH($E118,Roadmap!$D:$D,0)-1+COUNTIF($E118:I118,"u")+COUNTIF($E118:I118,"t")+COUNTIF($E118:I118,"¶")+COUNTIF($E118:I118,"²")+COUNTIF($E118:I118,"µ")+COUNTIF($E118:I118,1),ColDescriptionCourte)),""),
  "")),"")</f>
        <v/>
      </c>
      <c r="K118" s="40" t="str">
        <f ca="1">IFERROR(IF(AND(
  INDEX(Roadmap!$D:$K,MATCH($E118,Roadmap!$D:$D,0)+COUNTIF($E118:J118,"u")+COUNTIF($E118:J118,"t")+COUNTIF($E118:J118,"¶")+COUNTIF($E118:J118,"²")+COUNTIF($E118:J118,"µ")+COUNTIF($E118:J118,1),ColLivraison)=K$6,
  VLOOKUP($E118,INDIRECT("tri!"&amp; CHAR(64+ C0Col) &amp;":"&amp; CHAR(65+C0Col)),2,FALSE)&gt;COUNTIF($E118:J118,"u")+COUNTIF($E118:J118,"t")+COUNTIF($E118:J118,"¶")+COUNTIF($E118:J118,"²")+COUNTIF($E118:J118,"µ")+COUNTIF($E118:J118,1)),
HYPERLINK("#Roadmap!C"&amp; MATCH($E118,Roadmap!$D:$D,0)+COUNTIF($E118:J118,"u")+COUNTIF($E118:J118,"t"),
     INDEX(Roadmap!$D:$K,MATCH($E118,Roadmap!$D:$D,0)+COUNTIF($E118:J118,"u")+COUNTIF($E118:J118,"t")+COUNTIF($E118:J118,"¶")+COUNTIF($E118:J118,"²")+COUNTIF($E118:J118,"µ")+COUNTIF($E118:J118,1),ColTypeEcheance)),
  IF(LEN(J118)=1,
  IF(LEN(INDEX(Roadmap!$D:$K,MATCH($E118,Roadmap!$D:$D,0)-1+COUNTIF($E118:J118,"u")+COUNTIF($E118:J118,"t")+COUNTIF($E118:J118,"¶")+COUNTIF($E118:J118,"²")+COUNTIF($E118:J118,"µ")+COUNTIF($E118:J118,1),ColDescriptionCourte))&gt;1,
HYPERLINK("#Roadmap!C"&amp; MATCH($E118,Roadmap!$D:$D,0)+COUNTIF($E118:J118,"u")+COUNTIF($E118:J118,"t")+COUNTIF($E118:J118,"¶")+COUNTIF($E118:J118,"²")+COUNTIF($E118:J118,"µ")+COUNTIF($E118:J118,1)-1,INDEX(Roadmap!$D:$K,MATCH($E118,Roadmap!$D:$D,0)-1+COUNTIF($E118:J118,"u")+COUNTIF($E118:J118,"t")+COUNTIF($E118:J118,"¶")+COUNTIF($E118:J118,"²")+COUNTIF($E118:J118,"µ")+COUNTIF($E118:J118,1),ColDescriptionCourte)),""),
  "")),"")</f>
        <v/>
      </c>
      <c r="L118" s="39" t="str">
        <f ca="1">IFERROR(IF(AND(
  INDEX(Roadmap!$D:$K,MATCH($E118,Roadmap!$D:$D,0)+COUNTIF($E118:K118,"u")+COUNTIF($E118:K118,"t")+COUNTIF($E118:K118,"¶")+COUNTIF($E118:K118,"²")+COUNTIF($E118:K118,"µ")+COUNTIF($E118:K118,1),ColLivraison)=L$6,
  VLOOKUP($E118,INDIRECT("tri!"&amp; CHAR(64+ C0Col) &amp;":"&amp; CHAR(65+C0Col)),2,FALSE)&gt;COUNTIF($E118:K118,"u")+COUNTIF($E118:K118,"t")+COUNTIF($E118:K118,"¶")+COUNTIF($E118:K118,"²")+COUNTIF($E118:K118,"µ")+COUNTIF($E118:K118,1)),
HYPERLINK("#Roadmap!C"&amp; MATCH($E118,Roadmap!$D:$D,0)+COUNTIF($E118:K118,"u")+COUNTIF($E118:K118,"t"),
     INDEX(Roadmap!$D:$K,MATCH($E118,Roadmap!$D:$D,0)+COUNTIF($E118:K118,"u")+COUNTIF($E118:K118,"t")+COUNTIF($E118:K118,"¶")+COUNTIF($E118:K118,"²")+COUNTIF($E118:K118,"µ")+COUNTIF($E118:K118,1),ColTypeEcheance)),
  IF(LEN(K118)=1,
  IF(LEN(INDEX(Roadmap!$D:$K,MATCH($E118,Roadmap!$D:$D,0)-1+COUNTIF($E118:K118,"u")+COUNTIF($E118:K118,"t")+COUNTIF($E118:K118,"¶")+COUNTIF($E118:K118,"²")+COUNTIF($E118:K118,"µ")+COUNTIF($E118:K118,1),ColDescriptionCourte))&gt;1,
HYPERLINK("#Roadmap!C"&amp; MATCH($E118,Roadmap!$D:$D,0)+COUNTIF($E118:K118,"u")+COUNTIF($E118:K118,"t")+COUNTIF($E118:K118,"¶")+COUNTIF($E118:K118,"²")+COUNTIF($E118:K118,"µ")+COUNTIF($E118:K118,1)-1,INDEX(Roadmap!$D:$K,MATCH($E118,Roadmap!$D:$D,0)-1+COUNTIF($E118:K118,"u")+COUNTIF($E118:K118,"t")+COUNTIF($E118:K118,"¶")+COUNTIF($E118:K118,"²")+COUNTIF($E118:K118,"µ")+COUNTIF($E118:K118,1),ColDescriptionCourte)),""),
  "")),"")</f>
        <v/>
      </c>
      <c r="M118" s="40" t="str">
        <f ca="1">IFERROR(IF(AND(
  INDEX(Roadmap!$D:$K,MATCH($E118,Roadmap!$D:$D,0)+COUNTIF($E118:L118,"u")+COUNTIF($E118:L118,"t")+COUNTIF($E118:L118,"¶")+COUNTIF($E118:L118,"²")+COUNTIF($E118:L118,"µ")+COUNTIF($E118:L118,1),ColLivraison)=M$6,
  VLOOKUP($E118,INDIRECT("tri!"&amp; CHAR(64+ C0Col) &amp;":"&amp; CHAR(65+C0Col)),2,FALSE)&gt;COUNTIF($E118:L118,"u")+COUNTIF($E118:L118,"t")+COUNTIF($E118:L118,"¶")+COUNTIF($E118:L118,"²")+COUNTIF($E118:L118,"µ")+COUNTIF($E118:L118,1)),
HYPERLINK("#Roadmap!C"&amp; MATCH($E118,Roadmap!$D:$D,0)+COUNTIF($E118:L118,"u")+COUNTIF($E118:L118,"t"),
     INDEX(Roadmap!$D:$K,MATCH($E118,Roadmap!$D:$D,0)+COUNTIF($E118:L118,"u")+COUNTIF($E118:L118,"t")+COUNTIF($E118:L118,"¶")+COUNTIF($E118:L118,"²")+COUNTIF($E118:L118,"µ")+COUNTIF($E118:L118,1),ColTypeEcheance)),
  IF(LEN(L118)=1,
  IF(LEN(INDEX(Roadmap!$D:$K,MATCH($E118,Roadmap!$D:$D,0)-1+COUNTIF($E118:L118,"u")+COUNTIF($E118:L118,"t")+COUNTIF($E118:L118,"¶")+COUNTIF($E118:L118,"²")+COUNTIF($E118:L118,"µ")+COUNTIF($E118:L118,1),ColDescriptionCourte))&gt;1,
HYPERLINK("#Roadmap!C"&amp; MATCH($E118,Roadmap!$D:$D,0)+COUNTIF($E118:L118,"u")+COUNTIF($E118:L118,"t")+COUNTIF($E118:L118,"¶")+COUNTIF($E118:L118,"²")+COUNTIF($E118:L118,"µ")+COUNTIF($E118:L118,1)-1,INDEX(Roadmap!$D:$K,MATCH($E118,Roadmap!$D:$D,0)-1+COUNTIF($E118:L118,"u")+COUNTIF($E118:L118,"t")+COUNTIF($E118:L118,"¶")+COUNTIF($E118:L118,"²")+COUNTIF($E118:L118,"µ")+COUNTIF($E118:L118,1),ColDescriptionCourte)),""),
  "")),"")</f>
        <v/>
      </c>
      <c r="N118" s="40" t="str">
        <f ca="1">IFERROR(IF(AND(
  INDEX(Roadmap!$D:$K,MATCH($E118,Roadmap!$D:$D,0)+COUNTIF($E118:M118,"u")+COUNTIF($E118:M118,"t")+COUNTIF($E118:M118,"¶")+COUNTIF($E118:M118,"²")+COUNTIF($E118:M118,"µ")+COUNTIF($E118:M118,1),ColLivraison)=N$6,
  VLOOKUP($E118,INDIRECT("tri!"&amp; CHAR(64+ C0Col) &amp;":"&amp; CHAR(65+C0Col)),2,FALSE)&gt;COUNTIF($E118:M118,"u")+COUNTIF($E118:M118,"t")+COUNTIF($E118:M118,"¶")+COUNTIF($E118:M118,"²")+COUNTIF($E118:M118,"µ")+COUNTIF($E118:M118,1)),
HYPERLINK("#Roadmap!C"&amp; MATCH($E118,Roadmap!$D:$D,0)+COUNTIF($E118:M118,"u")+COUNTIF($E118:M118,"t"),
     INDEX(Roadmap!$D:$K,MATCH($E118,Roadmap!$D:$D,0)+COUNTIF($E118:M118,"u")+COUNTIF($E118:M118,"t")+COUNTIF($E118:M118,"¶")+COUNTIF($E118:M118,"²")+COUNTIF($E118:M118,"µ")+COUNTIF($E118:M118,1),ColTypeEcheance)),
  IF(LEN(M118)=1,
  IF(LEN(INDEX(Roadmap!$D:$K,MATCH($E118,Roadmap!$D:$D,0)-1+COUNTIF($E118:M118,"u")+COUNTIF($E118:M118,"t")+COUNTIF($E118:M118,"¶")+COUNTIF($E118:M118,"²")+COUNTIF($E118:M118,"µ")+COUNTIF($E118:M118,1),ColDescriptionCourte))&gt;1,
HYPERLINK("#Roadmap!C"&amp; MATCH($E118,Roadmap!$D:$D,0)+COUNTIF($E118:M118,"u")+COUNTIF($E118:M118,"t")+COUNTIF($E118:M118,"¶")+COUNTIF($E118:M118,"²")+COUNTIF($E118:M118,"µ")+COUNTIF($E118:M118,1)-1,INDEX(Roadmap!$D:$K,MATCH($E118,Roadmap!$D:$D,0)-1+COUNTIF($E118:M118,"u")+COUNTIF($E118:M118,"t")+COUNTIF($E118:M118,"¶")+COUNTIF($E118:M118,"²")+COUNTIF($E118:M118,"µ")+COUNTIF($E118:M118,1),ColDescriptionCourte)),""),
  "")),"")</f>
        <v/>
      </c>
      <c r="O118" s="40" t="str">
        <f ca="1">IFERROR(IF(AND(
  INDEX(Roadmap!$D:$K,MATCH($E118,Roadmap!$D:$D,0)+COUNTIF($E118:N118,"u")+COUNTIF($E118:N118,"t")+COUNTIF($E118:N118,"¶")+COUNTIF($E118:N118,"²")+COUNTIF($E118:N118,"µ")+COUNTIF($E118:N118,1),ColLivraison)=O$6,
  VLOOKUP($E118,INDIRECT("tri!"&amp; CHAR(64+ C0Col) &amp;":"&amp; CHAR(65+C0Col)),2,FALSE)&gt;COUNTIF($E118:N118,"u")+COUNTIF($E118:N118,"t")+COUNTIF($E118:N118,"¶")+COUNTIF($E118:N118,"²")+COUNTIF($E118:N118,"µ")+COUNTIF($E118:N118,1)),
HYPERLINK("#Roadmap!C"&amp; MATCH($E118,Roadmap!$D:$D,0)+COUNTIF($E118:N118,"u")+COUNTIF($E118:N118,"t"),
     INDEX(Roadmap!$D:$K,MATCH($E118,Roadmap!$D:$D,0)+COUNTIF($E118:N118,"u")+COUNTIF($E118:N118,"t")+COUNTIF($E118:N118,"¶")+COUNTIF($E118:N118,"²")+COUNTIF($E118:N118,"µ")+COUNTIF($E118:N118,1),ColTypeEcheance)),
  IF(LEN(N118)=1,
  IF(LEN(INDEX(Roadmap!$D:$K,MATCH($E118,Roadmap!$D:$D,0)-1+COUNTIF($E118:N118,"u")+COUNTIF($E118:N118,"t")+COUNTIF($E118:N118,"¶")+COUNTIF($E118:N118,"²")+COUNTIF($E118:N118,"µ")+COUNTIF($E118:N118,1),ColDescriptionCourte))&gt;1,
HYPERLINK("#Roadmap!C"&amp; MATCH($E118,Roadmap!$D:$D,0)+COUNTIF($E118:N118,"u")+COUNTIF($E118:N118,"t")+COUNTIF($E118:N118,"¶")+COUNTIF($E118:N118,"²")+COUNTIF($E118:N118,"µ")+COUNTIF($E118:N118,1)-1,INDEX(Roadmap!$D:$K,MATCH($E118,Roadmap!$D:$D,0)-1+COUNTIF($E118:N118,"u")+COUNTIF($E118:N118,"t")+COUNTIF($E118:N118,"¶")+COUNTIF($E118:N118,"²")+COUNTIF($E118:N118,"µ")+COUNTIF($E118:N118,1),ColDescriptionCourte)),""),
  "")),"")</f>
        <v/>
      </c>
      <c r="P118" s="40" t="str">
        <f ca="1">IFERROR(IF(AND(
  INDEX(Roadmap!$D:$K,MATCH($E118,Roadmap!$D:$D,0)+COUNTIF($E118:O118,"u")+COUNTIF($E118:O118,"t")+COUNTIF($E118:O118,"¶")+COUNTIF($E118:O118,"²")+COUNTIF($E118:O118,"µ")+COUNTIF($E118:O118,1),ColLivraison)=P$6,
  VLOOKUP($E118,INDIRECT("tri!"&amp; CHAR(64+ C0Col) &amp;":"&amp; CHAR(65+C0Col)),2,FALSE)&gt;COUNTIF($E118:O118,"u")+COUNTIF($E118:O118,"t")+COUNTIF($E118:O118,"¶")+COUNTIF($E118:O118,"²")+COUNTIF($E118:O118,"µ")+COUNTIF($E118:O118,1)),
HYPERLINK("#Roadmap!C"&amp; MATCH($E118,Roadmap!$D:$D,0)+COUNTIF($E118:O118,"u")+COUNTIF($E118:O118,"t"),
     INDEX(Roadmap!$D:$K,MATCH($E118,Roadmap!$D:$D,0)+COUNTIF($E118:O118,"u")+COUNTIF($E118:O118,"t")+COUNTIF($E118:O118,"¶")+COUNTIF($E118:O118,"²")+COUNTIF($E118:O118,"µ")+COUNTIF($E118:O118,1),ColTypeEcheance)),
  IF(LEN(O118)=1,
  IF(LEN(INDEX(Roadmap!$D:$K,MATCH($E118,Roadmap!$D:$D,0)-1+COUNTIF($E118:O118,"u")+COUNTIF($E118:O118,"t")+COUNTIF($E118:O118,"¶")+COUNTIF($E118:O118,"²")+COUNTIF($E118:O118,"µ")+COUNTIF($E118:O118,1),ColDescriptionCourte))&gt;1,
HYPERLINK("#Roadmap!C"&amp; MATCH($E118,Roadmap!$D:$D,0)+COUNTIF($E118:O118,"u")+COUNTIF($E118:O118,"t")+COUNTIF($E118:O118,"¶")+COUNTIF($E118:O118,"²")+COUNTIF($E118:O118,"µ")+COUNTIF($E118:O118,1)-1,INDEX(Roadmap!$D:$K,MATCH($E118,Roadmap!$D:$D,0)-1+COUNTIF($E118:O118,"u")+COUNTIF($E118:O118,"t")+COUNTIF($E118:O118,"¶")+COUNTIF($E118:O118,"²")+COUNTIF($E118:O118,"µ")+COUNTIF($E118:O118,1),ColDescriptionCourte)),""),
  "")),"")</f>
        <v/>
      </c>
      <c r="Q118" s="40" t="str">
        <f ca="1">IFERROR(IF(AND(
  INDEX(Roadmap!$D:$K,MATCH($E118,Roadmap!$D:$D,0)+COUNTIF($E118:P118,"u")+COUNTIF($E118:P118,"t")+COUNTIF($E118:P118,"¶")+COUNTIF($E118:P118,"²")+COUNTIF($E118:P118,"µ")+COUNTIF($E118:P118,1),ColLivraison)=Q$6,
  VLOOKUP($E118,INDIRECT("tri!"&amp; CHAR(64+ C0Col) &amp;":"&amp; CHAR(65+C0Col)),2,FALSE)&gt;COUNTIF($E118:P118,"u")+COUNTIF($E118:P118,"t")+COUNTIF($E118:P118,"¶")+COUNTIF($E118:P118,"²")+COUNTIF($E118:P118,"µ")+COUNTIF($E118:P118,1)),
HYPERLINK("#Roadmap!C"&amp; MATCH($E118,Roadmap!$D:$D,0)+COUNTIF($E118:P118,"u")+COUNTIF($E118:P118,"t"),
     INDEX(Roadmap!$D:$K,MATCH($E118,Roadmap!$D:$D,0)+COUNTIF($E118:P118,"u")+COUNTIF($E118:P118,"t")+COUNTIF($E118:P118,"¶")+COUNTIF($E118:P118,"²")+COUNTIF($E118:P118,"µ")+COUNTIF($E118:P118,1),ColTypeEcheance)),
  IF(LEN(P118)=1,
  IF(LEN(INDEX(Roadmap!$D:$K,MATCH($E118,Roadmap!$D:$D,0)-1+COUNTIF($E118:P118,"u")+COUNTIF($E118:P118,"t")+COUNTIF($E118:P118,"¶")+COUNTIF($E118:P118,"²")+COUNTIF($E118:P118,"µ")+COUNTIF($E118:P118,1),ColDescriptionCourte))&gt;1,
HYPERLINK("#Roadmap!C"&amp; MATCH($E118,Roadmap!$D:$D,0)+COUNTIF($E118:P118,"u")+COUNTIF($E118:P118,"t")+COUNTIF($E118:P118,"¶")+COUNTIF($E118:P118,"²")+COUNTIF($E118:P118,"µ")+COUNTIF($E118:P118,1)-1,INDEX(Roadmap!$D:$K,MATCH($E118,Roadmap!$D:$D,0)-1+COUNTIF($E118:P118,"u")+COUNTIF($E118:P118,"t")+COUNTIF($E118:P118,"¶")+COUNTIF($E118:P118,"²")+COUNTIF($E118:P118,"µ")+COUNTIF($E118:P118,1),ColDescriptionCourte)),""),
  "")),"")</f>
        <v/>
      </c>
      <c r="R118" s="40" t="str">
        <f ca="1">IFERROR(IF(AND(
  INDEX(Roadmap!$D:$K,MATCH($E118,Roadmap!$D:$D,0)+COUNTIF($E118:Q118,"u")+COUNTIF($E118:Q118,"t")+COUNTIF($E118:Q118,"¶")+COUNTIF($E118:Q118,"²")+COUNTIF($E118:Q118,"µ")+COUNTIF($E118:Q118,1),ColLivraison)=R$6,
  VLOOKUP($E118,INDIRECT("tri!"&amp; CHAR(64+ C0Col) &amp;":"&amp; CHAR(65+C0Col)),2,FALSE)&gt;COUNTIF($E118:Q118,"u")+COUNTIF($E118:Q118,"t")+COUNTIF($E118:Q118,"¶")+COUNTIF($E118:Q118,"²")+COUNTIF($E118:Q118,"µ")+COUNTIF($E118:Q118,1)),
HYPERLINK("#Roadmap!C"&amp; MATCH($E118,Roadmap!$D:$D,0)+COUNTIF($E118:Q118,"u")+COUNTIF($E118:Q118,"t"),
     INDEX(Roadmap!$D:$K,MATCH($E118,Roadmap!$D:$D,0)+COUNTIF($E118:Q118,"u")+COUNTIF($E118:Q118,"t")+COUNTIF($E118:Q118,"¶")+COUNTIF($E118:Q118,"²")+COUNTIF($E118:Q118,"µ")+COUNTIF($E118:Q118,1),ColTypeEcheance)),
  IF(LEN(Q118)=1,
  IF(LEN(INDEX(Roadmap!$D:$K,MATCH($E118,Roadmap!$D:$D,0)-1+COUNTIF($E118:Q118,"u")+COUNTIF($E118:Q118,"t")+COUNTIF($E118:Q118,"¶")+COUNTIF($E118:Q118,"²")+COUNTIF($E118:Q118,"µ")+COUNTIF($E118:Q118,1),ColDescriptionCourte))&gt;1,
HYPERLINK("#Roadmap!C"&amp; MATCH($E118,Roadmap!$D:$D,0)+COUNTIF($E118:Q118,"u")+COUNTIF($E118:Q118,"t")+COUNTIF($E118:Q118,"¶")+COUNTIF($E118:Q118,"²")+COUNTIF($E118:Q118,"µ")+COUNTIF($E118:Q118,1)-1,INDEX(Roadmap!$D:$K,MATCH($E118,Roadmap!$D:$D,0)-1+COUNTIF($E118:Q118,"u")+COUNTIF($E118:Q118,"t")+COUNTIF($E118:Q118,"¶")+COUNTIF($E118:Q118,"²")+COUNTIF($E118:Q118,"µ")+COUNTIF($E118:Q118,1),ColDescriptionCourte)),""),
  "")),"")</f>
        <v/>
      </c>
      <c r="S118" s="40" t="str">
        <f ca="1">IFERROR(IF(AND(
  INDEX(Roadmap!$D:$K,MATCH($E118,Roadmap!$D:$D,0)+COUNTIF($E118:R118,"u")+COUNTIF($E118:R118,"t")+COUNTIF($E118:R118,"¶")+COUNTIF($E118:R118,"²")+COUNTIF($E118:R118,"µ")+COUNTIF($E118:R118,1),ColLivraison)=S$6,
  VLOOKUP($E118,INDIRECT("tri!"&amp; CHAR(64+ C0Col) &amp;":"&amp; CHAR(65+C0Col)),2,FALSE)&gt;COUNTIF($E118:R118,"u")+COUNTIF($E118:R118,"t")+COUNTIF($E118:R118,"¶")+COUNTIF($E118:R118,"²")+COUNTIF($E118:R118,"µ")+COUNTIF($E118:R118,1)),
HYPERLINK("#Roadmap!C"&amp; MATCH($E118,Roadmap!$D:$D,0)+COUNTIF($E118:R118,"u")+COUNTIF($E118:R118,"t"),
     INDEX(Roadmap!$D:$K,MATCH($E118,Roadmap!$D:$D,0)+COUNTIF($E118:R118,"u")+COUNTIF($E118:R118,"t")+COUNTIF($E118:R118,"¶")+COUNTIF($E118:R118,"²")+COUNTIF($E118:R118,"µ")+COUNTIF($E118:R118,1),ColTypeEcheance)),
  IF(LEN(R118)=1,
  IF(LEN(INDEX(Roadmap!$D:$K,MATCH($E118,Roadmap!$D:$D,0)-1+COUNTIF($E118:R118,"u")+COUNTIF($E118:R118,"t")+COUNTIF($E118:R118,"¶")+COUNTIF($E118:R118,"²")+COUNTIF($E118:R118,"µ")+COUNTIF($E118:R118,1),ColDescriptionCourte))&gt;1,
HYPERLINK("#Roadmap!C"&amp; MATCH($E118,Roadmap!$D:$D,0)+COUNTIF($E118:R118,"u")+COUNTIF($E118:R118,"t")+COUNTIF($E118:R118,"¶")+COUNTIF($E118:R118,"²")+COUNTIF($E118:R118,"µ")+COUNTIF($E118:R118,1)-1,INDEX(Roadmap!$D:$K,MATCH($E118,Roadmap!$D:$D,0)-1+COUNTIF($E118:R118,"u")+COUNTIF($E118:R118,"t")+COUNTIF($E118:R118,"¶")+COUNTIF($E118:R118,"²")+COUNTIF($E118:R118,"µ")+COUNTIF($E118:R118,1),ColDescriptionCourte)),""),
  "")),"")</f>
        <v/>
      </c>
      <c r="T118" s="40" t="str">
        <f ca="1">IFERROR(IF(AND(
  INDEX(Roadmap!$D:$K,MATCH($E118,Roadmap!$D:$D,0)+COUNTIF($E118:S118,"u")+COUNTIF($E118:S118,"t")+COUNTIF($E118:S118,"¶")+COUNTIF($E118:S118,"²")+COUNTIF($E118:S118,"µ")+COUNTIF($E118:S118,1),ColLivraison)=T$6,
  VLOOKUP($E118,INDIRECT("tri!"&amp; CHAR(64+ C0Col) &amp;":"&amp; CHAR(65+C0Col)),2,FALSE)&gt;COUNTIF($E118:S118,"u")+COUNTIF($E118:S118,"t")+COUNTIF($E118:S118,"¶")+COUNTIF($E118:S118,"²")+COUNTIF($E118:S118,"µ")+COUNTIF($E118:S118,1)),
HYPERLINK("#Roadmap!C"&amp; MATCH($E118,Roadmap!$D:$D,0)+COUNTIF($E118:S118,"u")+COUNTIF($E118:S118,"t"),
     INDEX(Roadmap!$D:$K,MATCH($E118,Roadmap!$D:$D,0)+COUNTIF($E118:S118,"u")+COUNTIF($E118:S118,"t")+COUNTIF($E118:S118,"¶")+COUNTIF($E118:S118,"²")+COUNTIF($E118:S118,"µ")+COUNTIF($E118:S118,1),ColTypeEcheance)),
  IF(LEN(S118)=1,
  IF(LEN(INDEX(Roadmap!$D:$K,MATCH($E118,Roadmap!$D:$D,0)-1+COUNTIF($E118:S118,"u")+COUNTIF($E118:S118,"t")+COUNTIF($E118:S118,"¶")+COUNTIF($E118:S118,"²")+COUNTIF($E118:S118,"µ")+COUNTIF($E118:S118,1),ColDescriptionCourte))&gt;1,
HYPERLINK("#Roadmap!C"&amp; MATCH($E118,Roadmap!$D:$D,0)+COUNTIF($E118:S118,"u")+COUNTIF($E118:S118,"t")+COUNTIF($E118:S118,"¶")+COUNTIF($E118:S118,"²")+COUNTIF($E118:S118,"µ")+COUNTIF($E118:S118,1)-1,INDEX(Roadmap!$D:$K,MATCH($E118,Roadmap!$D:$D,0)-1+COUNTIF($E118:S118,"u")+COUNTIF($E118:S118,"t")+COUNTIF($E118:S118,"¶")+COUNTIF($E118:S118,"²")+COUNTIF($E118:S118,"µ")+COUNTIF($E118:S118,1),ColDescriptionCourte)),""),
  "")),"")</f>
        <v/>
      </c>
      <c r="U118" s="40" t="str">
        <f ca="1">IFERROR(IF(AND(
  INDEX(Roadmap!$D:$K,MATCH($E118,Roadmap!$D:$D,0)+COUNTIF($E118:T118,"u")+COUNTIF($E118:T118,"t")+COUNTIF($E118:T118,"¶")+COUNTIF($E118:T118,"²")+COUNTIF($E118:T118,"µ")+COUNTIF($E118:T118,1),ColLivraison)=U$6,
  VLOOKUP($E118,INDIRECT("tri!"&amp; CHAR(64+ C0Col) &amp;":"&amp; CHAR(65+C0Col)),2,FALSE)&gt;COUNTIF($E118:T118,"u")+COUNTIF($E118:T118,"t")+COUNTIF($E118:T118,"¶")+COUNTIF($E118:T118,"²")+COUNTIF($E118:T118,"µ")+COUNTIF($E118:T118,1)),
HYPERLINK("#Roadmap!C"&amp; MATCH($E118,Roadmap!$D:$D,0)+COUNTIF($E118:T118,"u")+COUNTIF($E118:T118,"t"),
     INDEX(Roadmap!$D:$K,MATCH($E118,Roadmap!$D:$D,0)+COUNTIF($E118:T118,"u")+COUNTIF($E118:T118,"t")+COUNTIF($E118:T118,"¶")+COUNTIF($E118:T118,"²")+COUNTIF($E118:T118,"µ")+COUNTIF($E118:T118,1),ColTypeEcheance)),
  IF(LEN(T118)=1,
  IF(LEN(INDEX(Roadmap!$D:$K,MATCH($E118,Roadmap!$D:$D,0)-1+COUNTIF($E118:T118,"u")+COUNTIF($E118:T118,"t")+COUNTIF($E118:T118,"¶")+COUNTIF($E118:T118,"²")+COUNTIF($E118:T118,"µ")+COUNTIF($E118:T118,1),ColDescriptionCourte))&gt;1,
HYPERLINK("#Roadmap!C"&amp; MATCH($E118,Roadmap!$D:$D,0)+COUNTIF($E118:T118,"u")+COUNTIF($E118:T118,"t")+COUNTIF($E118:T118,"¶")+COUNTIF($E118:T118,"²")+COUNTIF($E118:T118,"µ")+COUNTIF($E118:T118,1)-1,INDEX(Roadmap!$D:$K,MATCH($E118,Roadmap!$D:$D,0)-1+COUNTIF($E118:T118,"u")+COUNTIF($E118:T118,"t")+COUNTIF($E118:T118,"¶")+COUNTIF($E118:T118,"²")+COUNTIF($E118:T118,"µ")+COUNTIF($E118:T118,1),ColDescriptionCourte)),""),
  "")),"")</f>
        <v/>
      </c>
      <c r="V118" s="40" t="str">
        <f ca="1">IFERROR(IF(AND(
  INDEX(Roadmap!$D:$K,MATCH($E118,Roadmap!$D:$D,0)+COUNTIF($E118:U118,"u")+COUNTIF($E118:U118,"t")+COUNTIF($E118:U118,"¶")+COUNTIF($E118:U118,"²")+COUNTIF($E118:U118,"µ")+COUNTIF($E118:U118,1),ColLivraison)=V$6,
  VLOOKUP($E118,INDIRECT("tri!"&amp; CHAR(64+ C0Col) &amp;":"&amp; CHAR(65+C0Col)),2,FALSE)&gt;COUNTIF($E118:U118,"u")+COUNTIF($E118:U118,"t")+COUNTIF($E118:U118,"¶")+COUNTIF($E118:U118,"²")+COUNTIF($E118:U118,"µ")+COUNTIF($E118:U118,1)),
HYPERLINK("#Roadmap!C"&amp; MATCH($E118,Roadmap!$D:$D,0)+COUNTIF($E118:U118,"u")+COUNTIF($E118:U118,"t"),
     INDEX(Roadmap!$D:$K,MATCH($E118,Roadmap!$D:$D,0)+COUNTIF($E118:U118,"u")+COUNTIF($E118:U118,"t")+COUNTIF($E118:U118,"¶")+COUNTIF($E118:U118,"²")+COUNTIF($E118:U118,"µ")+COUNTIF($E118:U118,1),ColTypeEcheance)),
  IF(LEN(U118)=1,
  IF(LEN(INDEX(Roadmap!$D:$K,MATCH($E118,Roadmap!$D:$D,0)-1+COUNTIF($E118:U118,"u")+COUNTIF($E118:U118,"t")+COUNTIF($E118:U118,"¶")+COUNTIF($E118:U118,"²")+COUNTIF($E118:U118,"µ")+COUNTIF($E118:U118,1),ColDescriptionCourte))&gt;1,
HYPERLINK("#Roadmap!C"&amp; MATCH($E118,Roadmap!$D:$D,0)+COUNTIF($E118:U118,"u")+COUNTIF($E118:U118,"t")+COUNTIF($E118:U118,"¶")+COUNTIF($E118:U118,"²")+COUNTIF($E118:U118,"µ")+COUNTIF($E118:U118,1)-1,INDEX(Roadmap!$D:$K,MATCH($E118,Roadmap!$D:$D,0)-1+COUNTIF($E118:U118,"u")+COUNTIF($E118:U118,"t")+COUNTIF($E118:U118,"¶")+COUNTIF($E118:U118,"²")+COUNTIF($E118:U118,"µ")+COUNTIF($E118:U118,1),ColDescriptionCourte)),""),
  "")),"")</f>
        <v/>
      </c>
      <c r="W118" s="40" t="str">
        <f ca="1">IFERROR(IF(AND(
  INDEX(Roadmap!$D:$K,MATCH($E118,Roadmap!$D:$D,0)+COUNTIF($E118:V118,"u")+COUNTIF($E118:V118,"t")+COUNTIF($E118:V118,"¶")+COUNTIF($E118:V118,"²")+COUNTIF($E118:V118,"µ")+COUNTIF($E118:V118,1),ColLivraison)=W$6,
  VLOOKUP($E118,INDIRECT("tri!"&amp; CHAR(64+ C0Col) &amp;":"&amp; CHAR(65+C0Col)),2,FALSE)&gt;COUNTIF($E118:V118,"u")+COUNTIF($E118:V118,"t")+COUNTIF($E118:V118,"¶")+COUNTIF($E118:V118,"²")+COUNTIF($E118:V118,"µ")+COUNTIF($E118:V118,1)),
HYPERLINK("#Roadmap!C"&amp; MATCH($E118,Roadmap!$D:$D,0)+COUNTIF($E118:V118,"u")+COUNTIF($E118:V118,"t"),
     INDEX(Roadmap!$D:$K,MATCH($E118,Roadmap!$D:$D,0)+COUNTIF($E118:V118,"u")+COUNTIF($E118:V118,"t")+COUNTIF($E118:V118,"¶")+COUNTIF($E118:V118,"²")+COUNTIF($E118:V118,"µ")+COUNTIF($E118:V118,1),ColTypeEcheance)),
  IF(LEN(V118)=1,
  IF(LEN(INDEX(Roadmap!$D:$K,MATCH($E118,Roadmap!$D:$D,0)-1+COUNTIF($E118:V118,"u")+COUNTIF($E118:V118,"t")+COUNTIF($E118:V118,"¶")+COUNTIF($E118:V118,"²")+COUNTIF($E118:V118,"µ")+COUNTIF($E118:V118,1),ColDescriptionCourte))&gt;1,
HYPERLINK("#Roadmap!C"&amp; MATCH($E118,Roadmap!$D:$D,0)+COUNTIF($E118:V118,"u")+COUNTIF($E118:V118,"t")+COUNTIF($E118:V118,"¶")+COUNTIF($E118:V118,"²")+COUNTIF($E118:V118,"µ")+COUNTIF($E118:V118,1)-1,INDEX(Roadmap!$D:$K,MATCH($E118,Roadmap!$D:$D,0)-1+COUNTIF($E118:V118,"u")+COUNTIF($E118:V118,"t")+COUNTIF($E118:V118,"¶")+COUNTIF($E118:V118,"²")+COUNTIF($E118:V118,"µ")+COUNTIF($E118:V118,1),ColDescriptionCourte)),""),
  "")),"")</f>
        <v/>
      </c>
      <c r="X118" s="40" t="str">
        <f ca="1">IFERROR(IF(AND(
  INDEX(Roadmap!$D:$K,MATCH($E118,Roadmap!$D:$D,0)+COUNTIF($E118:W118,"u")+COUNTIF($E118:W118,"t")+COUNTIF($E118:W118,"¶")+COUNTIF($E118:W118,"²")+COUNTIF($E118:W118,"µ")+COUNTIF($E118:W118,1),ColLivraison)=X$6,
  VLOOKUP($E118,INDIRECT("tri!"&amp; CHAR(64+ C0Col) &amp;":"&amp; CHAR(65+C0Col)),2,FALSE)&gt;COUNTIF($E118:W118,"u")+COUNTIF($E118:W118,"t")+COUNTIF($E118:W118,"¶")+COUNTIF($E118:W118,"²")+COUNTIF($E118:W118,"µ")+COUNTIF($E118:W118,1)),
HYPERLINK("#Roadmap!C"&amp; MATCH($E118,Roadmap!$D:$D,0)+COUNTIF($E118:W118,"u")+COUNTIF($E118:W118,"t"),
     INDEX(Roadmap!$D:$K,MATCH($E118,Roadmap!$D:$D,0)+COUNTIF($E118:W118,"u")+COUNTIF($E118:W118,"t")+COUNTIF($E118:W118,"¶")+COUNTIF($E118:W118,"²")+COUNTIF($E118:W118,"µ")+COUNTIF($E118:W118,1),ColTypeEcheance)),
  IF(LEN(W118)=1,
  IF(LEN(INDEX(Roadmap!$D:$K,MATCH($E118,Roadmap!$D:$D,0)-1+COUNTIF($E118:W118,"u")+COUNTIF($E118:W118,"t")+COUNTIF($E118:W118,"¶")+COUNTIF($E118:W118,"²")+COUNTIF($E118:W118,"µ")+COUNTIF($E118:W118,1),ColDescriptionCourte))&gt;1,
HYPERLINK("#Roadmap!C"&amp; MATCH($E118,Roadmap!$D:$D,0)+COUNTIF($E118:W118,"u")+COUNTIF($E118:W118,"t")+COUNTIF($E118:W118,"¶")+COUNTIF($E118:W118,"²")+COUNTIF($E118:W118,"µ")+COUNTIF($E118:W118,1)-1,INDEX(Roadmap!$D:$K,MATCH($E118,Roadmap!$D:$D,0)-1+COUNTIF($E118:W118,"u")+COUNTIF($E118:W118,"t")+COUNTIF($E118:W118,"¶")+COUNTIF($E118:W118,"²")+COUNTIF($E118:W118,"µ")+COUNTIF($E118:W118,1),ColDescriptionCourte)),""),
  "")),"")</f>
        <v/>
      </c>
      <c r="Y118" s="40" t="str">
        <f ca="1">IFERROR(IF(AND(
  INDEX(Roadmap!$D:$K,MATCH($E118,Roadmap!$D:$D,0)+COUNTIF($E118:X118,"u")+COUNTIF($E118:X118,"t")+COUNTIF($E118:X118,"¶")+COUNTIF($E118:X118,"²")+COUNTIF($E118:X118,"µ")+COUNTIF($E118:X118,1),ColLivraison)=Y$6,
  VLOOKUP($E118,INDIRECT("tri!"&amp; CHAR(64+ C0Col) &amp;":"&amp; CHAR(65+C0Col)),2,FALSE)&gt;COUNTIF($E118:X118,"u")+COUNTIF($E118:X118,"t")+COUNTIF($E118:X118,"¶")+COUNTIF($E118:X118,"²")+COUNTIF($E118:X118,"µ")+COUNTIF($E118:X118,1)),
HYPERLINK("#Roadmap!C"&amp; MATCH($E118,Roadmap!$D:$D,0)+COUNTIF($E118:X118,"u")+COUNTIF($E118:X118,"t"),
     INDEX(Roadmap!$D:$K,MATCH($E118,Roadmap!$D:$D,0)+COUNTIF($E118:X118,"u")+COUNTIF($E118:X118,"t")+COUNTIF($E118:X118,"¶")+COUNTIF($E118:X118,"²")+COUNTIF($E118:X118,"µ")+COUNTIF($E118:X118,1),ColTypeEcheance)),
  IF(LEN(X118)=1,
  IF(LEN(INDEX(Roadmap!$D:$K,MATCH($E118,Roadmap!$D:$D,0)-1+COUNTIF($E118:X118,"u")+COUNTIF($E118:X118,"t")+COUNTIF($E118:X118,"¶")+COUNTIF($E118:X118,"²")+COUNTIF($E118:X118,"µ")+COUNTIF($E118:X118,1),ColDescriptionCourte))&gt;1,
HYPERLINK("#Roadmap!C"&amp; MATCH($E118,Roadmap!$D:$D,0)+COUNTIF($E118:X118,"u")+COUNTIF($E118:X118,"t")+COUNTIF($E118:X118,"¶")+COUNTIF($E118:X118,"²")+COUNTIF($E118:X118,"µ")+COUNTIF($E118:X118,1)-1,INDEX(Roadmap!$D:$K,MATCH($E118,Roadmap!$D:$D,0)-1+COUNTIF($E118:X118,"u")+COUNTIF($E118:X118,"t")+COUNTIF($E118:X118,"¶")+COUNTIF($E118:X118,"²")+COUNTIF($E118:X118,"µ")+COUNTIF($E118:X118,1),ColDescriptionCourte)),""),
  "")),"")</f>
        <v/>
      </c>
      <c r="Z118" s="40" t="str">
        <f ca="1">IFERROR(IF(AND(
  INDEX(Roadmap!$D:$K,MATCH($E118,Roadmap!$D:$D,0)+COUNTIF($E118:Y118,"u")+COUNTIF($E118:Y118,"t")+COUNTIF($E118:Y118,"¶")+COUNTIF($E118:Y118,"²")+COUNTIF($E118:Y118,"µ")+COUNTIF($E118:Y118,1),ColLivraison)=Z$6,
  VLOOKUP($E118,INDIRECT("tri!"&amp; CHAR(64+ C0Col) &amp;":"&amp; CHAR(65+C0Col)),2,FALSE)&gt;COUNTIF($E118:Y118,"u")+COUNTIF($E118:Y118,"t")+COUNTIF($E118:Y118,"¶")+COUNTIF($E118:Y118,"²")+COUNTIF($E118:Y118,"µ")+COUNTIF($E118:Y118,1)),
HYPERLINK("#Roadmap!C"&amp; MATCH($E118,Roadmap!$D:$D,0)+COUNTIF($E118:Y118,"u")+COUNTIF($E118:Y118,"t"),
     INDEX(Roadmap!$D:$K,MATCH($E118,Roadmap!$D:$D,0)+COUNTIF($E118:Y118,"u")+COUNTIF($E118:Y118,"t")+COUNTIF($E118:Y118,"¶")+COUNTIF($E118:Y118,"²")+COUNTIF($E118:Y118,"µ")+COUNTIF($E118:Y118,1),ColTypeEcheance)),
  IF(LEN(Y118)=1,
  IF(LEN(INDEX(Roadmap!$D:$K,MATCH($E118,Roadmap!$D:$D,0)-1+COUNTIF($E118:Y118,"u")+COUNTIF($E118:Y118,"t")+COUNTIF($E118:Y118,"¶")+COUNTIF($E118:Y118,"²")+COUNTIF($E118:Y118,"µ")+COUNTIF($E118:Y118,1),ColDescriptionCourte))&gt;1,
HYPERLINK("#Roadmap!C"&amp; MATCH($E118,Roadmap!$D:$D,0)+COUNTIF($E118:Y118,"u")+COUNTIF($E118:Y118,"t")+COUNTIF($E118:Y118,"¶")+COUNTIF($E118:Y118,"²")+COUNTIF($E118:Y118,"µ")+COUNTIF($E118:Y118,1)-1,INDEX(Roadmap!$D:$K,MATCH($E118,Roadmap!$D:$D,0)-1+COUNTIF($E118:Y118,"u")+COUNTIF($E118:Y118,"t")+COUNTIF($E118:Y118,"¶")+COUNTIF($E118:Y118,"²")+COUNTIF($E118:Y118,"µ")+COUNTIF($E118:Y118,1),ColDescriptionCourte)),""),
  "")),"")</f>
        <v/>
      </c>
      <c r="AA118" s="40" t="str">
        <f ca="1">IFERROR(IF(AND(
  INDEX(Roadmap!$D:$K,MATCH($E118,Roadmap!$D:$D,0)+COUNTIF($E118:Z118,"u")+COUNTIF($E118:Z118,"t")+COUNTIF($E118:Z118,"¶")+COUNTIF($E118:Z118,"²")+COUNTIF($E118:Z118,"µ")+COUNTIF($E118:Z118,1),ColLivraison)=AA$6,
  VLOOKUP($E118,INDIRECT("tri!"&amp; CHAR(64+ C0Col) &amp;":"&amp; CHAR(65+C0Col)),2,FALSE)&gt;COUNTIF($E118:Z118,"u")+COUNTIF($E118:Z118,"t")+COUNTIF($E118:Z118,"¶")+COUNTIF($E118:Z118,"²")+COUNTIF($E118:Z118,"µ")+COUNTIF($E118:Z118,1)),
HYPERLINK("#Roadmap!C"&amp; MATCH($E118,Roadmap!$D:$D,0)+COUNTIF($E118:Z118,"u")+COUNTIF($E118:Z118,"t"),
     INDEX(Roadmap!$D:$K,MATCH($E118,Roadmap!$D:$D,0)+COUNTIF($E118:Z118,"u")+COUNTIF($E118:Z118,"t")+COUNTIF($E118:Z118,"¶")+COUNTIF($E118:Z118,"²")+COUNTIF($E118:Z118,"µ")+COUNTIF($E118:Z118,1),ColTypeEcheance)),
  IF(LEN(Z118)=1,
  IF(LEN(INDEX(Roadmap!$D:$K,MATCH($E118,Roadmap!$D:$D,0)-1+COUNTIF($E118:Z118,"u")+COUNTIF($E118:Z118,"t")+COUNTIF($E118:Z118,"¶")+COUNTIF($E118:Z118,"²")+COUNTIF($E118:Z118,"µ")+COUNTIF($E118:Z118,1),ColDescriptionCourte))&gt;1,
HYPERLINK("#Roadmap!C"&amp; MATCH($E118,Roadmap!$D:$D,0)+COUNTIF($E118:Z118,"u")+COUNTIF($E118:Z118,"t")+COUNTIF($E118:Z118,"¶")+COUNTIF($E118:Z118,"²")+COUNTIF($E118:Z118,"µ")+COUNTIF($E118:Z118,1)-1,INDEX(Roadmap!$D:$K,MATCH($E118,Roadmap!$D:$D,0)-1+COUNTIF($E118:Z118,"u")+COUNTIF($E118:Z118,"t")+COUNTIF($E118:Z118,"¶")+COUNTIF($E118:Z118,"²")+COUNTIF($E118:Z118,"µ")+COUNTIF($E118:Z118,1),ColDescriptionCourte)),""),
  "")),"")</f>
        <v/>
      </c>
      <c r="AB118" s="40" t="str">
        <f ca="1">IFERROR(IF(AND(
  INDEX(Roadmap!$D:$K,MATCH($E118,Roadmap!$D:$D,0)+COUNTIF($E118:AA118,"u")+COUNTIF($E118:AA118,"t")+COUNTIF($E118:AA118,"¶")+COUNTIF($E118:AA118,"²")+COUNTIF($E118:AA118,"µ")+COUNTIF($E118:AA118,1),ColLivraison)=AB$6,
  VLOOKUP($E118,INDIRECT("tri!"&amp; CHAR(64+ C0Col) &amp;":"&amp; CHAR(65+C0Col)),2,FALSE)&gt;COUNTIF($E118:AA118,"u")+COUNTIF($E118:AA118,"t")+COUNTIF($E118:AA118,"¶")+COUNTIF($E118:AA118,"²")+COUNTIF($E118:AA118,"µ")+COUNTIF($E118:AA118,1)),
HYPERLINK("#Roadmap!C"&amp; MATCH($E118,Roadmap!$D:$D,0)+COUNTIF($E118:AA118,"u")+COUNTIF($E118:AA118,"t"),
     INDEX(Roadmap!$D:$K,MATCH($E118,Roadmap!$D:$D,0)+COUNTIF($E118:AA118,"u")+COUNTIF($E118:AA118,"t")+COUNTIF($E118:AA118,"¶")+COUNTIF($E118:AA118,"²")+COUNTIF($E118:AA118,"µ")+COUNTIF($E118:AA118,1),ColTypeEcheance)),
  IF(LEN(AA118)=1,
  IF(LEN(INDEX(Roadmap!$D:$K,MATCH($E118,Roadmap!$D:$D,0)-1+COUNTIF($E118:AA118,"u")+COUNTIF($E118:AA118,"t")+COUNTIF($E118:AA118,"¶")+COUNTIF($E118:AA118,"²")+COUNTIF($E118:AA118,"µ")+COUNTIF($E118:AA118,1),ColDescriptionCourte))&gt;1,
HYPERLINK("#Roadmap!C"&amp; MATCH($E118,Roadmap!$D:$D,0)+COUNTIF($E118:AA118,"u")+COUNTIF($E118:AA118,"t")+COUNTIF($E118:AA118,"¶")+COUNTIF($E118:AA118,"²")+COUNTIF($E118:AA118,"µ")+COUNTIF($E118:AA118,1)-1,INDEX(Roadmap!$D:$K,MATCH($E118,Roadmap!$D:$D,0)-1+COUNTIF($E118:AA118,"u")+COUNTIF($E118:AA118,"t")+COUNTIF($E118:AA118,"¶")+COUNTIF($E118:AA118,"²")+COUNTIF($E118:AA118,"µ")+COUNTIF($E118:AA118,1),ColDescriptionCourte)),""),
  "")),"")</f>
        <v/>
      </c>
      <c r="AC118" s="40" t="str">
        <f ca="1">IFERROR(IF(AND(
  INDEX(Roadmap!$D:$K,MATCH($E118,Roadmap!$D:$D,0)+COUNTIF($E118:AB118,"u")+COUNTIF($E118:AB118,"t")+COUNTIF($E118:AB118,"¶")+COUNTIF($E118:AB118,"²")+COUNTIF($E118:AB118,"µ")+COUNTIF($E118:AB118,1),ColLivraison)=AC$6,
  VLOOKUP($E118,INDIRECT("tri!"&amp; CHAR(64+ C0Col) &amp;":"&amp; CHAR(65+C0Col)),2,FALSE)&gt;COUNTIF($E118:AB118,"u")+COUNTIF($E118:AB118,"t")+COUNTIF($E118:AB118,"¶")+COUNTIF($E118:AB118,"²")+COUNTIF($E118:AB118,"µ")+COUNTIF($E118:AB118,1)),
HYPERLINK("#Roadmap!C"&amp; MATCH($E118,Roadmap!$D:$D,0)+COUNTIF($E118:AB118,"u")+COUNTIF($E118:AB118,"t"),
     INDEX(Roadmap!$D:$K,MATCH($E118,Roadmap!$D:$D,0)+COUNTIF($E118:AB118,"u")+COUNTIF($E118:AB118,"t")+COUNTIF($E118:AB118,"¶")+COUNTIF($E118:AB118,"²")+COUNTIF($E118:AB118,"µ")+COUNTIF($E118:AB118,1),ColTypeEcheance)),
  IF(LEN(AB118)=1,
  IF(LEN(INDEX(Roadmap!$D:$K,MATCH($E118,Roadmap!$D:$D,0)-1+COUNTIF($E118:AB118,"u")+COUNTIF($E118:AB118,"t")+COUNTIF($E118:AB118,"¶")+COUNTIF($E118:AB118,"²")+COUNTIF($E118:AB118,"µ")+COUNTIF($E118:AB118,1),ColDescriptionCourte))&gt;1,
HYPERLINK("#Roadmap!C"&amp; MATCH($E118,Roadmap!$D:$D,0)+COUNTIF($E118:AB118,"u")+COUNTIF($E118:AB118,"t")+COUNTIF($E118:AB118,"¶")+COUNTIF($E118:AB118,"²")+COUNTIF($E118:AB118,"µ")+COUNTIF($E118:AB118,1)-1,INDEX(Roadmap!$D:$K,MATCH($E118,Roadmap!$D:$D,0)-1+COUNTIF($E118:AB118,"u")+COUNTIF($E118:AB118,"t")+COUNTIF($E118:AB118,"¶")+COUNTIF($E118:AB118,"²")+COUNTIF($E118:AB118,"µ")+COUNTIF($E118:AB118,1),ColDescriptionCourte)),""),
  "")),"")</f>
        <v/>
      </c>
      <c r="AD118" s="40" t="str">
        <f ca="1">IFERROR(IF(AND(
  INDEX(Roadmap!$D:$K,MATCH($E118,Roadmap!$D:$D,0)+COUNTIF($E118:AC118,"u")+COUNTIF($E118:AC118,"t")+COUNTIF($E118:AC118,"¶")+COUNTIF($E118:AC118,"²")+COUNTIF($E118:AC118,"µ")+COUNTIF($E118:AC118,1),ColLivraison)=AD$6,
  VLOOKUP($E118,INDIRECT("tri!"&amp; CHAR(64+ C0Col) &amp;":"&amp; CHAR(65+C0Col)),2,FALSE)&gt;COUNTIF($E118:AC118,"u")+COUNTIF($E118:AC118,"t")+COUNTIF($E118:AC118,"¶")+COUNTIF($E118:AC118,"²")+COUNTIF($E118:AC118,"µ")+COUNTIF($E118:AC118,1)),
HYPERLINK("#Roadmap!C"&amp; MATCH($E118,Roadmap!$D:$D,0)+COUNTIF($E118:AC118,"u")+COUNTIF($E118:AC118,"t"),
     INDEX(Roadmap!$D:$K,MATCH($E118,Roadmap!$D:$D,0)+COUNTIF($E118:AC118,"u")+COUNTIF($E118:AC118,"t")+COUNTIF($E118:AC118,"¶")+COUNTIF($E118:AC118,"²")+COUNTIF($E118:AC118,"µ")+COUNTIF($E118:AC118,1),ColTypeEcheance)),
  IF(LEN(AC118)=1,
  IF(LEN(INDEX(Roadmap!$D:$K,MATCH($E118,Roadmap!$D:$D,0)-1+COUNTIF($E118:AC118,"u")+COUNTIF($E118:AC118,"t")+COUNTIF($E118:AC118,"¶")+COUNTIF($E118:AC118,"²")+COUNTIF($E118:AC118,"µ")+COUNTIF($E118:AC118,1),ColDescriptionCourte))&gt;1,
HYPERLINK("#Roadmap!C"&amp; MATCH($E118,Roadmap!$D:$D,0)+COUNTIF($E118:AC118,"u")+COUNTIF($E118:AC118,"t")+COUNTIF($E118:AC118,"¶")+COUNTIF($E118:AC118,"²")+COUNTIF($E118:AC118,"µ")+COUNTIF($E118:AC118,1)-1,INDEX(Roadmap!$D:$K,MATCH($E118,Roadmap!$D:$D,0)-1+COUNTIF($E118:AC118,"u")+COUNTIF($E118:AC118,"t")+COUNTIF($E118:AC118,"¶")+COUNTIF($E118:AC118,"²")+COUNTIF($E118:AC118,"µ")+COUNTIF($E118:AC118,1),ColDescriptionCourte)),""),
  "")),"")</f>
        <v/>
      </c>
      <c r="AE118" s="40" t="str">
        <f ca="1">IFERROR(IF(AND(
  INDEX(Roadmap!$D:$K,MATCH($E118,Roadmap!$D:$D,0)+COUNTIF($E118:AD118,"u")+COUNTIF($E118:AD118,"t")+COUNTIF($E118:AD118,"¶")+COUNTIF($E118:AD118,"²")+COUNTIF($E118:AD118,"µ")+COUNTIF($E118:AD118,1),ColLivraison)=AE$6,
  VLOOKUP($E118,INDIRECT("tri!"&amp; CHAR(64+ C0Col) &amp;":"&amp; CHAR(65+C0Col)),2,FALSE)&gt;COUNTIF($E118:AD118,"u")+COUNTIF($E118:AD118,"t")+COUNTIF($E118:AD118,"¶")+COUNTIF($E118:AD118,"²")+COUNTIF($E118:AD118,"µ")+COUNTIF($E118:AD118,1)),
HYPERLINK("#Roadmap!C"&amp; MATCH($E118,Roadmap!$D:$D,0)+COUNTIF($E118:AD118,"u")+COUNTIF($E118:AD118,"t"),
     INDEX(Roadmap!$D:$K,MATCH($E118,Roadmap!$D:$D,0)+COUNTIF($E118:AD118,"u")+COUNTIF($E118:AD118,"t")+COUNTIF($E118:AD118,"¶")+COUNTIF($E118:AD118,"²")+COUNTIF($E118:AD118,"µ")+COUNTIF($E118:AD118,1),ColTypeEcheance)),
  IF(LEN(AD118)=1,
  IF(LEN(INDEX(Roadmap!$D:$K,MATCH($E118,Roadmap!$D:$D,0)-1+COUNTIF($E118:AD118,"u")+COUNTIF($E118:AD118,"t")+COUNTIF($E118:AD118,"¶")+COUNTIF($E118:AD118,"²")+COUNTIF($E118:AD118,"µ")+COUNTIF($E118:AD118,1),ColDescriptionCourte))&gt;1,
HYPERLINK("#Roadmap!C"&amp; MATCH($E118,Roadmap!$D:$D,0)+COUNTIF($E118:AD118,"u")+COUNTIF($E118:AD118,"t")+COUNTIF($E118:AD118,"¶")+COUNTIF($E118:AD118,"²")+COUNTIF($E118:AD118,"µ")+COUNTIF($E118:AD118,1)-1,INDEX(Roadmap!$D:$K,MATCH($E118,Roadmap!$D:$D,0)-1+COUNTIF($E118:AD118,"u")+COUNTIF($E118:AD118,"t")+COUNTIF($E118:AD118,"¶")+COUNTIF($E118:AD118,"²")+COUNTIF($E118:AD118,"µ")+COUNTIF($E118:AD118,1),ColDescriptionCourte)),""),
  "")),"")</f>
        <v/>
      </c>
      <c r="AF118" s="40" t="str">
        <f ca="1">IFERROR(IF(AND(
  INDEX(Roadmap!$D:$K,MATCH($E118,Roadmap!$D:$D,0)+COUNTIF($E118:AE118,"u")+COUNTIF($E118:AE118,"t")+COUNTIF($E118:AE118,"¶")+COUNTIF($E118:AE118,"²")+COUNTIF($E118:AE118,"µ")+COUNTIF($E118:AE118,1),ColLivraison)=AF$6,
  VLOOKUP($E118,INDIRECT("tri!"&amp; CHAR(64+ C0Col) &amp;":"&amp; CHAR(65+C0Col)),2,FALSE)&gt;COUNTIF($E118:AE118,"u")+COUNTIF($E118:AE118,"t")+COUNTIF($E118:AE118,"¶")+COUNTIF($E118:AE118,"²")+COUNTIF($E118:AE118,"µ")+COUNTIF($E118:AE118,1)),
HYPERLINK("#Roadmap!C"&amp; MATCH($E118,Roadmap!$D:$D,0)+COUNTIF($E118:AE118,"u")+COUNTIF($E118:AE118,"t"),
     INDEX(Roadmap!$D:$K,MATCH($E118,Roadmap!$D:$D,0)+COUNTIF($E118:AE118,"u")+COUNTIF($E118:AE118,"t")+COUNTIF($E118:AE118,"¶")+COUNTIF($E118:AE118,"²")+COUNTIF($E118:AE118,"µ")+COUNTIF($E118:AE118,1),ColTypeEcheance)),
  IF(LEN(AE118)=1,
  IF(LEN(INDEX(Roadmap!$D:$K,MATCH($E118,Roadmap!$D:$D,0)-1+COUNTIF($E118:AE118,"u")+COUNTIF($E118:AE118,"t")+COUNTIF($E118:AE118,"¶")+COUNTIF($E118:AE118,"²")+COUNTIF($E118:AE118,"µ")+COUNTIF($E118:AE118,1),ColDescriptionCourte))&gt;1,
HYPERLINK("#Roadmap!C"&amp; MATCH($E118,Roadmap!$D:$D,0)+COUNTIF($E118:AE118,"u")+COUNTIF($E118:AE118,"t")+COUNTIF($E118:AE118,"¶")+COUNTIF($E118:AE118,"²")+COUNTIF($E118:AE118,"µ")+COUNTIF($E118:AE118,1)-1,INDEX(Roadmap!$D:$K,MATCH($E118,Roadmap!$D:$D,0)-1+COUNTIF($E118:AE118,"u")+COUNTIF($E118:AE118,"t")+COUNTIF($E118:AE118,"¶")+COUNTIF($E118:AE118,"²")+COUNTIF($E118:AE118,"µ")+COUNTIF($E118:AE118,1),ColDescriptionCourte)),""),
  "")),"")</f>
        <v/>
      </c>
      <c r="AG118" s="40" t="str">
        <f ca="1">IFERROR(IF(AND(
  INDEX(Roadmap!$D:$K,MATCH($E118,Roadmap!$D:$D,0)+COUNTIF($E118:AF118,"u")+COUNTIF($E118:AF118,"t")+COUNTIF($E118:AF118,"¶")+COUNTIF($E118:AF118,"²")+COUNTIF($E118:AF118,"µ")+COUNTIF($E118:AF118,1),ColLivraison)=AG$6,
  VLOOKUP($E118,INDIRECT("tri!"&amp; CHAR(64+ C0Col) &amp;":"&amp; CHAR(65+C0Col)),2,FALSE)&gt;COUNTIF($E118:AF118,"u")+COUNTIF($E118:AF118,"t")+COUNTIF($E118:AF118,"¶")+COUNTIF($E118:AF118,"²")+COUNTIF($E118:AF118,"µ")+COUNTIF($E118:AF118,1)),
HYPERLINK("#Roadmap!C"&amp; MATCH($E118,Roadmap!$D:$D,0)+COUNTIF($E118:AF118,"u")+COUNTIF($E118:AF118,"t"),
     INDEX(Roadmap!$D:$K,MATCH($E118,Roadmap!$D:$D,0)+COUNTIF($E118:AF118,"u")+COUNTIF($E118:AF118,"t")+COUNTIF($E118:AF118,"¶")+COUNTIF($E118:AF118,"²")+COUNTIF($E118:AF118,"µ")+COUNTIF($E118:AF118,1),ColTypeEcheance)),
  IF(LEN(AF118)=1,
  IF(LEN(INDEX(Roadmap!$D:$K,MATCH($E118,Roadmap!$D:$D,0)-1+COUNTIF($E118:AF118,"u")+COUNTIF($E118:AF118,"t")+COUNTIF($E118:AF118,"¶")+COUNTIF($E118:AF118,"²")+COUNTIF($E118:AF118,"µ")+COUNTIF($E118:AF118,1),ColDescriptionCourte))&gt;1,
HYPERLINK("#Roadmap!C"&amp; MATCH($E118,Roadmap!$D:$D,0)+COUNTIF($E118:AF118,"u")+COUNTIF($E118:AF118,"t")+COUNTIF($E118:AF118,"¶")+COUNTIF($E118:AF118,"²")+COUNTIF($E118:AF118,"µ")+COUNTIF($E118:AF118,1)-1,INDEX(Roadmap!$D:$K,MATCH($E118,Roadmap!$D:$D,0)-1+COUNTIF($E118:AF118,"u")+COUNTIF($E118:AF118,"t")+COUNTIF($E118:AF118,"¶")+COUNTIF($E118:AF118,"²")+COUNTIF($E118:AF118,"µ")+COUNTIF($E118:AF118,1),ColDescriptionCourte)),""),
  "")),"")</f>
        <v/>
      </c>
    </row>
    <row r="119" spans="3:33" ht="14.25" customHeight="1">
      <c r="C119" s="1" t="str">
        <f t="shared" ca="1" si="49"/>
        <v/>
      </c>
      <c r="D119" s="1" t="str">
        <f t="shared" ca="1" si="50"/>
        <v/>
      </c>
      <c r="E119" s="35" t="str">
        <f t="shared" ca="1" si="46"/>
        <v/>
      </c>
      <c r="F119" s="39" t="str">
        <f ca="1">IFERROR(IF(AND(
  INDEX(Roadmap!$D:$K,MATCH($E119,Roadmap!$D:$D,0)+COUNTIF($E119:E119,"u")+COUNTIF($E119:E119,"t")+COUNTIF($E119:E119,"¶")+COUNTIF($E119:E119,"²")+COUNTIF($E119:E119,"µ")+COUNTIF($E119:E119,1),ColLivraison)=F$6,
  VLOOKUP($E119,INDIRECT("tri!"&amp; CHAR(64+ C0Col) &amp;":"&amp; CHAR(65+C0Col)),2,FALSE)&gt;COUNTIF($E119:E119,"u")+COUNTIF($E119:E119,"t")+COUNTIF($E119:E119,"¶")+COUNTIF($E119:E119,"²")+COUNTIF($E119:E119,"µ")+COUNTIF($E119:E119,1)),
HYPERLINK("#Roadmap!C"&amp; MATCH($E119,Roadmap!$D:$D,0)+COUNTIF($E119:E119,"u")+COUNTIF($E119:E119,"t"),
     INDEX(Roadmap!$D:$K,MATCH($E119,Roadmap!$D:$D,0)+COUNTIF($E119:E119,"u")+COUNTIF($E119:E119,"t")+COUNTIF($E119:E119,"¶")+COUNTIF($E119:E119,"²")+COUNTIF($E119:E119,"µ")+COUNTIF($E119:E119,1),ColTypeEcheance)),
  IF(LEN(E119)=1,
  IF(LEN(INDEX(Roadmap!$D:$K,MATCH($E119,Roadmap!$D:$D,0)-1+COUNTIF($E119:E119,"u")+COUNTIF($E119:E119,"t")+COUNTIF($E119:E119,"¶")+COUNTIF($E119:E119,"²")+COUNTIF($E119:E119,"µ")+COUNTIF($E119:E119,1),ColDescriptionCourte))&gt;1,
HYPERLINK("#Roadmap!C"&amp; MATCH($E119,Roadmap!$D:$D,0)+COUNTIF($E119:E119,"u")+COUNTIF($E119:E119,"t")+COUNTIF($E119:E119,"¶")+COUNTIF($E119:E119,"²")+COUNTIF($E119:E119,"µ")+COUNTIF($E119:E119,1)-1,INDEX(Roadmap!$D:$K,MATCH($E119,Roadmap!$D:$D,0)-1+COUNTIF($E119:E119,"u")+COUNTIF($E119:E119,"t")+COUNTIF($E119:E119,"¶")+COUNTIF($E119:E119,"²")+COUNTIF($E119:E119,"µ")+COUNTIF($E119:E119,1),ColDescriptionCourte)),""),
  "")),"")</f>
        <v/>
      </c>
      <c r="G119" s="40" t="str">
        <f ca="1">IFERROR(IF(AND(
  INDEX(Roadmap!$D:$K,MATCH($E119,Roadmap!$D:$D,0)+COUNTIF($E119:F119,"u")+COUNTIF($E119:F119,"t")+COUNTIF($E119:F119,"¶")+COUNTIF($E119:F119,"²")+COUNTIF($E119:F119,"µ")+COUNTIF($E119:F119,1),ColLivraison)=G$6,
  VLOOKUP($E119,INDIRECT("tri!"&amp; CHAR(64+ C0Col) &amp;":"&amp; CHAR(65+C0Col)),2,FALSE)&gt;COUNTIF($E119:F119,"u")+COUNTIF($E119:F119,"t")+COUNTIF($E119:F119,"¶")+COUNTIF($E119:F119,"²")+COUNTIF($E119:F119,"µ")+COUNTIF($E119:F119,1)),
HYPERLINK("#Roadmap!C"&amp; MATCH($E119,Roadmap!$D:$D,0)+COUNTIF($E119:F119,"u")+COUNTIF($E119:F119,"t"),
     INDEX(Roadmap!$D:$K,MATCH($E119,Roadmap!$D:$D,0)+COUNTIF($E119:F119,"u")+COUNTIF($E119:F119,"t")+COUNTIF($E119:F119,"¶")+COUNTIF($E119:F119,"²")+COUNTIF($E119:F119,"µ")+COUNTIF($E119:F119,1),ColTypeEcheance)),
  IF(LEN(F119)=1,
  IF(LEN(INDEX(Roadmap!$D:$K,MATCH($E119,Roadmap!$D:$D,0)-1+COUNTIF($E119:F119,"u")+COUNTIF($E119:F119,"t")+COUNTIF($E119:F119,"¶")+COUNTIF($E119:F119,"²")+COUNTIF($E119:F119,"µ")+COUNTIF($E119:F119,1),ColDescriptionCourte))&gt;1,
HYPERLINK("#Roadmap!C"&amp; MATCH($E119,Roadmap!$D:$D,0)+COUNTIF($E119:F119,"u")+COUNTIF($E119:F119,"t")+COUNTIF($E119:F119,"¶")+COUNTIF($E119:F119,"²")+COUNTIF($E119:F119,"µ")+COUNTIF($E119:F119,1)-1,INDEX(Roadmap!$D:$K,MATCH($E119,Roadmap!$D:$D,0)-1+COUNTIF($E119:F119,"u")+COUNTIF($E119:F119,"t")+COUNTIF($E119:F119,"¶")+COUNTIF($E119:F119,"²")+COUNTIF($E119:F119,"µ")+COUNTIF($E119:F119,1),ColDescriptionCourte)),""),
  "")),"")</f>
        <v/>
      </c>
      <c r="H119" s="40" t="str">
        <f ca="1">IFERROR(IF(AND(
  INDEX(Roadmap!$D:$K,MATCH($E119,Roadmap!$D:$D,0)+COUNTIF($E119:G119,"u")+COUNTIF($E119:G119,"t")+COUNTIF($E119:G119,"¶")+COUNTIF($E119:G119,"²")+COUNTIF($E119:G119,"µ")+COUNTIF($E119:G119,1),ColLivraison)=H$6,
  VLOOKUP($E119,INDIRECT("tri!"&amp; CHAR(64+ C0Col) &amp;":"&amp; CHAR(65+C0Col)),2,FALSE)&gt;COUNTIF($E119:G119,"u")+COUNTIF($E119:G119,"t")+COUNTIF($E119:G119,"¶")+COUNTIF($E119:G119,"²")+COUNTIF($E119:G119,"µ")+COUNTIF($E119:G119,1)),
HYPERLINK("#Roadmap!C"&amp; MATCH($E119,Roadmap!$D:$D,0)+COUNTIF($E119:G119,"u")+COUNTIF($E119:G119,"t"),
     INDEX(Roadmap!$D:$K,MATCH($E119,Roadmap!$D:$D,0)+COUNTIF($E119:G119,"u")+COUNTIF($E119:G119,"t")+COUNTIF($E119:G119,"¶")+COUNTIF($E119:G119,"²")+COUNTIF($E119:G119,"µ")+COUNTIF($E119:G119,1),ColTypeEcheance)),
  IF(LEN(G119)=1,
  IF(LEN(INDEX(Roadmap!$D:$K,MATCH($E119,Roadmap!$D:$D,0)-1+COUNTIF($E119:G119,"u")+COUNTIF($E119:G119,"t")+COUNTIF($E119:G119,"¶")+COUNTIF($E119:G119,"²")+COUNTIF($E119:G119,"µ")+COUNTIF($E119:G119,1),ColDescriptionCourte))&gt;1,
HYPERLINK("#Roadmap!C"&amp; MATCH($E119,Roadmap!$D:$D,0)+COUNTIF($E119:G119,"u")+COUNTIF($E119:G119,"t")+COUNTIF($E119:G119,"¶")+COUNTIF($E119:G119,"²")+COUNTIF($E119:G119,"µ")+COUNTIF($E119:G119,1)-1,INDEX(Roadmap!$D:$K,MATCH($E119,Roadmap!$D:$D,0)-1+COUNTIF($E119:G119,"u")+COUNTIF($E119:G119,"t")+COUNTIF($E119:G119,"¶")+COUNTIF($E119:G119,"²")+COUNTIF($E119:G119,"µ")+COUNTIF($E119:G119,1),ColDescriptionCourte)),""),
  "")),"")</f>
        <v/>
      </c>
      <c r="I119" s="40" t="str">
        <f ca="1">IFERROR(IF(AND(
  INDEX(Roadmap!$D:$K,MATCH($E119,Roadmap!$D:$D,0)+COUNTIF($E119:H119,"u")+COUNTIF($E119:H119,"t")+COUNTIF($E119:H119,"¶")+COUNTIF($E119:H119,"²")+COUNTIF($E119:H119,"µ")+COUNTIF($E119:H119,1),ColLivraison)=I$6,
  VLOOKUP($E119,INDIRECT("tri!"&amp; CHAR(64+ C0Col) &amp;":"&amp; CHAR(65+C0Col)),2,FALSE)&gt;COUNTIF($E119:H119,"u")+COUNTIF($E119:H119,"t")+COUNTIF($E119:H119,"¶")+COUNTIF($E119:H119,"²")+COUNTIF($E119:H119,"µ")+COUNTIF($E119:H119,1)),
HYPERLINK("#Roadmap!C"&amp; MATCH($E119,Roadmap!$D:$D,0)+COUNTIF($E119:H119,"u")+COUNTIF($E119:H119,"t"),
     INDEX(Roadmap!$D:$K,MATCH($E119,Roadmap!$D:$D,0)+COUNTIF($E119:H119,"u")+COUNTIF($E119:H119,"t")+COUNTIF($E119:H119,"¶")+COUNTIF($E119:H119,"²")+COUNTIF($E119:H119,"µ")+COUNTIF($E119:H119,1),ColTypeEcheance)),
  IF(LEN(H119)=1,
  IF(LEN(INDEX(Roadmap!$D:$K,MATCH($E119,Roadmap!$D:$D,0)-1+COUNTIF($E119:H119,"u")+COUNTIF($E119:H119,"t")+COUNTIF($E119:H119,"¶")+COUNTIF($E119:H119,"²")+COUNTIF($E119:H119,"µ")+COUNTIF($E119:H119,1),ColDescriptionCourte))&gt;1,
HYPERLINK("#Roadmap!C"&amp; MATCH($E119,Roadmap!$D:$D,0)+COUNTIF($E119:H119,"u")+COUNTIF($E119:H119,"t")+COUNTIF($E119:H119,"¶")+COUNTIF($E119:H119,"²")+COUNTIF($E119:H119,"µ")+COUNTIF($E119:H119,1)-1,INDEX(Roadmap!$D:$K,MATCH($E119,Roadmap!$D:$D,0)-1+COUNTIF($E119:H119,"u")+COUNTIF($E119:H119,"t")+COUNTIF($E119:H119,"¶")+COUNTIF($E119:H119,"²")+COUNTIF($E119:H119,"µ")+COUNTIF($E119:H119,1),ColDescriptionCourte)),""),
  "")),"")</f>
        <v/>
      </c>
      <c r="J119" s="40" t="str">
        <f ca="1">IFERROR(IF(AND(
  INDEX(Roadmap!$D:$K,MATCH($E119,Roadmap!$D:$D,0)+COUNTIF($E119:I119,"u")+COUNTIF($E119:I119,"t")+COUNTIF($E119:I119,"¶")+COUNTIF($E119:I119,"²")+COUNTIF($E119:I119,"µ")+COUNTIF($E119:I119,1),ColLivraison)=J$6,
  VLOOKUP($E119,INDIRECT("tri!"&amp; CHAR(64+ C0Col) &amp;":"&amp; CHAR(65+C0Col)),2,FALSE)&gt;COUNTIF($E119:I119,"u")+COUNTIF($E119:I119,"t")+COUNTIF($E119:I119,"¶")+COUNTIF($E119:I119,"²")+COUNTIF($E119:I119,"µ")+COUNTIF($E119:I119,1)),
HYPERLINK("#Roadmap!C"&amp; MATCH($E119,Roadmap!$D:$D,0)+COUNTIF($E119:I119,"u")+COUNTIF($E119:I119,"t"),
     INDEX(Roadmap!$D:$K,MATCH($E119,Roadmap!$D:$D,0)+COUNTIF($E119:I119,"u")+COUNTIF($E119:I119,"t")+COUNTIF($E119:I119,"¶")+COUNTIF($E119:I119,"²")+COUNTIF($E119:I119,"µ")+COUNTIF($E119:I119,1),ColTypeEcheance)),
  IF(LEN(I119)=1,
  IF(LEN(INDEX(Roadmap!$D:$K,MATCH($E119,Roadmap!$D:$D,0)-1+COUNTIF($E119:I119,"u")+COUNTIF($E119:I119,"t")+COUNTIF($E119:I119,"¶")+COUNTIF($E119:I119,"²")+COUNTIF($E119:I119,"µ")+COUNTIF($E119:I119,1),ColDescriptionCourte))&gt;1,
HYPERLINK("#Roadmap!C"&amp; MATCH($E119,Roadmap!$D:$D,0)+COUNTIF($E119:I119,"u")+COUNTIF($E119:I119,"t")+COUNTIF($E119:I119,"¶")+COUNTIF($E119:I119,"²")+COUNTIF($E119:I119,"µ")+COUNTIF($E119:I119,1)-1,INDEX(Roadmap!$D:$K,MATCH($E119,Roadmap!$D:$D,0)-1+COUNTIF($E119:I119,"u")+COUNTIF($E119:I119,"t")+COUNTIF($E119:I119,"¶")+COUNTIF($E119:I119,"²")+COUNTIF($E119:I119,"µ")+COUNTIF($E119:I119,1),ColDescriptionCourte)),""),
  "")),"")</f>
        <v/>
      </c>
      <c r="K119" s="40" t="str">
        <f ca="1">IFERROR(IF(AND(
  INDEX(Roadmap!$D:$K,MATCH($E119,Roadmap!$D:$D,0)+COUNTIF($E119:J119,"u")+COUNTIF($E119:J119,"t")+COUNTIF($E119:J119,"¶")+COUNTIF($E119:J119,"²")+COUNTIF($E119:J119,"µ")+COUNTIF($E119:J119,1),ColLivraison)=K$6,
  VLOOKUP($E119,INDIRECT("tri!"&amp; CHAR(64+ C0Col) &amp;":"&amp; CHAR(65+C0Col)),2,FALSE)&gt;COUNTIF($E119:J119,"u")+COUNTIF($E119:J119,"t")+COUNTIF($E119:J119,"¶")+COUNTIF($E119:J119,"²")+COUNTIF($E119:J119,"µ")+COUNTIF($E119:J119,1)),
HYPERLINK("#Roadmap!C"&amp; MATCH($E119,Roadmap!$D:$D,0)+COUNTIF($E119:J119,"u")+COUNTIF($E119:J119,"t"),
     INDEX(Roadmap!$D:$K,MATCH($E119,Roadmap!$D:$D,0)+COUNTIF($E119:J119,"u")+COUNTIF($E119:J119,"t")+COUNTIF($E119:J119,"¶")+COUNTIF($E119:J119,"²")+COUNTIF($E119:J119,"µ")+COUNTIF($E119:J119,1),ColTypeEcheance)),
  IF(LEN(J119)=1,
  IF(LEN(INDEX(Roadmap!$D:$K,MATCH($E119,Roadmap!$D:$D,0)-1+COUNTIF($E119:J119,"u")+COUNTIF($E119:J119,"t")+COUNTIF($E119:J119,"¶")+COUNTIF($E119:J119,"²")+COUNTIF($E119:J119,"µ")+COUNTIF($E119:J119,1),ColDescriptionCourte))&gt;1,
HYPERLINK("#Roadmap!C"&amp; MATCH($E119,Roadmap!$D:$D,0)+COUNTIF($E119:J119,"u")+COUNTIF($E119:J119,"t")+COUNTIF($E119:J119,"¶")+COUNTIF($E119:J119,"²")+COUNTIF($E119:J119,"µ")+COUNTIF($E119:J119,1)-1,INDEX(Roadmap!$D:$K,MATCH($E119,Roadmap!$D:$D,0)-1+COUNTIF($E119:J119,"u")+COUNTIF($E119:J119,"t")+COUNTIF($E119:J119,"¶")+COUNTIF($E119:J119,"²")+COUNTIF($E119:J119,"µ")+COUNTIF($E119:J119,1),ColDescriptionCourte)),""),
  "")),"")</f>
        <v/>
      </c>
      <c r="L119" s="39" t="str">
        <f ca="1">IFERROR(IF(AND(
  INDEX(Roadmap!$D:$K,MATCH($E119,Roadmap!$D:$D,0)+COUNTIF($E119:K119,"u")+COUNTIF($E119:K119,"t")+COUNTIF($E119:K119,"¶")+COUNTIF($E119:K119,"²")+COUNTIF($E119:K119,"µ")+COUNTIF($E119:K119,1),ColLivraison)=L$6,
  VLOOKUP($E119,INDIRECT("tri!"&amp; CHAR(64+ C0Col) &amp;":"&amp; CHAR(65+C0Col)),2,FALSE)&gt;COUNTIF($E119:K119,"u")+COUNTIF($E119:K119,"t")+COUNTIF($E119:K119,"¶")+COUNTIF($E119:K119,"²")+COUNTIF($E119:K119,"µ")+COUNTIF($E119:K119,1)),
HYPERLINK("#Roadmap!C"&amp; MATCH($E119,Roadmap!$D:$D,0)+COUNTIF($E119:K119,"u")+COUNTIF($E119:K119,"t"),
     INDEX(Roadmap!$D:$K,MATCH($E119,Roadmap!$D:$D,0)+COUNTIF($E119:K119,"u")+COUNTIF($E119:K119,"t")+COUNTIF($E119:K119,"¶")+COUNTIF($E119:K119,"²")+COUNTIF($E119:K119,"µ")+COUNTIF($E119:K119,1),ColTypeEcheance)),
  IF(LEN(K119)=1,
  IF(LEN(INDEX(Roadmap!$D:$K,MATCH($E119,Roadmap!$D:$D,0)-1+COUNTIF($E119:K119,"u")+COUNTIF($E119:K119,"t")+COUNTIF($E119:K119,"¶")+COUNTIF($E119:K119,"²")+COUNTIF($E119:K119,"µ")+COUNTIF($E119:K119,1),ColDescriptionCourte))&gt;1,
HYPERLINK("#Roadmap!C"&amp; MATCH($E119,Roadmap!$D:$D,0)+COUNTIF($E119:K119,"u")+COUNTIF($E119:K119,"t")+COUNTIF($E119:K119,"¶")+COUNTIF($E119:K119,"²")+COUNTIF($E119:K119,"µ")+COUNTIF($E119:K119,1)-1,INDEX(Roadmap!$D:$K,MATCH($E119,Roadmap!$D:$D,0)-1+COUNTIF($E119:K119,"u")+COUNTIF($E119:K119,"t")+COUNTIF($E119:K119,"¶")+COUNTIF($E119:K119,"²")+COUNTIF($E119:K119,"µ")+COUNTIF($E119:K119,1),ColDescriptionCourte)),""),
  "")),"")</f>
        <v/>
      </c>
      <c r="M119" s="40" t="str">
        <f ca="1">IFERROR(IF(AND(
  INDEX(Roadmap!$D:$K,MATCH($E119,Roadmap!$D:$D,0)+COUNTIF($E119:L119,"u")+COUNTIF($E119:L119,"t")+COUNTIF($E119:L119,"¶")+COUNTIF($E119:L119,"²")+COUNTIF($E119:L119,"µ")+COUNTIF($E119:L119,1),ColLivraison)=M$6,
  VLOOKUP($E119,INDIRECT("tri!"&amp; CHAR(64+ C0Col) &amp;":"&amp; CHAR(65+C0Col)),2,FALSE)&gt;COUNTIF($E119:L119,"u")+COUNTIF($E119:L119,"t")+COUNTIF($E119:L119,"¶")+COUNTIF($E119:L119,"²")+COUNTIF($E119:L119,"µ")+COUNTIF($E119:L119,1)),
HYPERLINK("#Roadmap!C"&amp; MATCH($E119,Roadmap!$D:$D,0)+COUNTIF($E119:L119,"u")+COUNTIF($E119:L119,"t"),
     INDEX(Roadmap!$D:$K,MATCH($E119,Roadmap!$D:$D,0)+COUNTIF($E119:L119,"u")+COUNTIF($E119:L119,"t")+COUNTIF($E119:L119,"¶")+COUNTIF($E119:L119,"²")+COUNTIF($E119:L119,"µ")+COUNTIF($E119:L119,1),ColTypeEcheance)),
  IF(LEN(L119)=1,
  IF(LEN(INDEX(Roadmap!$D:$K,MATCH($E119,Roadmap!$D:$D,0)-1+COUNTIF($E119:L119,"u")+COUNTIF($E119:L119,"t")+COUNTIF($E119:L119,"¶")+COUNTIF($E119:L119,"²")+COUNTIF($E119:L119,"µ")+COUNTIF($E119:L119,1),ColDescriptionCourte))&gt;1,
HYPERLINK("#Roadmap!C"&amp; MATCH($E119,Roadmap!$D:$D,0)+COUNTIF($E119:L119,"u")+COUNTIF($E119:L119,"t")+COUNTIF($E119:L119,"¶")+COUNTIF($E119:L119,"²")+COUNTIF($E119:L119,"µ")+COUNTIF($E119:L119,1)-1,INDEX(Roadmap!$D:$K,MATCH($E119,Roadmap!$D:$D,0)-1+COUNTIF($E119:L119,"u")+COUNTIF($E119:L119,"t")+COUNTIF($E119:L119,"¶")+COUNTIF($E119:L119,"²")+COUNTIF($E119:L119,"µ")+COUNTIF($E119:L119,1),ColDescriptionCourte)),""),
  "")),"")</f>
        <v/>
      </c>
      <c r="N119" s="40" t="str">
        <f ca="1">IFERROR(IF(AND(
  INDEX(Roadmap!$D:$K,MATCH($E119,Roadmap!$D:$D,0)+COUNTIF($E119:M119,"u")+COUNTIF($E119:M119,"t")+COUNTIF($E119:M119,"¶")+COUNTIF($E119:M119,"²")+COUNTIF($E119:M119,"µ")+COUNTIF($E119:M119,1),ColLivraison)=N$6,
  VLOOKUP($E119,INDIRECT("tri!"&amp; CHAR(64+ C0Col) &amp;":"&amp; CHAR(65+C0Col)),2,FALSE)&gt;COUNTIF($E119:M119,"u")+COUNTIF($E119:M119,"t")+COUNTIF($E119:M119,"¶")+COUNTIF($E119:M119,"²")+COUNTIF($E119:M119,"µ")+COUNTIF($E119:M119,1)),
HYPERLINK("#Roadmap!C"&amp; MATCH($E119,Roadmap!$D:$D,0)+COUNTIF($E119:M119,"u")+COUNTIF($E119:M119,"t"),
     INDEX(Roadmap!$D:$K,MATCH($E119,Roadmap!$D:$D,0)+COUNTIF($E119:M119,"u")+COUNTIF($E119:M119,"t")+COUNTIF($E119:M119,"¶")+COUNTIF($E119:M119,"²")+COUNTIF($E119:M119,"µ")+COUNTIF($E119:M119,1),ColTypeEcheance)),
  IF(LEN(M119)=1,
  IF(LEN(INDEX(Roadmap!$D:$K,MATCH($E119,Roadmap!$D:$D,0)-1+COUNTIF($E119:M119,"u")+COUNTIF($E119:M119,"t")+COUNTIF($E119:M119,"¶")+COUNTIF($E119:M119,"²")+COUNTIF($E119:M119,"µ")+COUNTIF($E119:M119,1),ColDescriptionCourte))&gt;1,
HYPERLINK("#Roadmap!C"&amp; MATCH($E119,Roadmap!$D:$D,0)+COUNTIF($E119:M119,"u")+COUNTIF($E119:M119,"t")+COUNTIF($E119:M119,"¶")+COUNTIF($E119:M119,"²")+COUNTIF($E119:M119,"µ")+COUNTIF($E119:M119,1)-1,INDEX(Roadmap!$D:$K,MATCH($E119,Roadmap!$D:$D,0)-1+COUNTIF($E119:M119,"u")+COUNTIF($E119:M119,"t")+COUNTIF($E119:M119,"¶")+COUNTIF($E119:M119,"²")+COUNTIF($E119:M119,"µ")+COUNTIF($E119:M119,1),ColDescriptionCourte)),""),
  "")),"")</f>
        <v/>
      </c>
      <c r="O119" s="40" t="str">
        <f ca="1">IFERROR(IF(AND(
  INDEX(Roadmap!$D:$K,MATCH($E119,Roadmap!$D:$D,0)+COUNTIF($E119:N119,"u")+COUNTIF($E119:N119,"t")+COUNTIF($E119:N119,"¶")+COUNTIF($E119:N119,"²")+COUNTIF($E119:N119,"µ")+COUNTIF($E119:N119,1),ColLivraison)=O$6,
  VLOOKUP($E119,INDIRECT("tri!"&amp; CHAR(64+ C0Col) &amp;":"&amp; CHAR(65+C0Col)),2,FALSE)&gt;COUNTIF($E119:N119,"u")+COUNTIF($E119:N119,"t")+COUNTIF($E119:N119,"¶")+COUNTIF($E119:N119,"²")+COUNTIF($E119:N119,"µ")+COUNTIF($E119:N119,1)),
HYPERLINK("#Roadmap!C"&amp; MATCH($E119,Roadmap!$D:$D,0)+COUNTIF($E119:N119,"u")+COUNTIF($E119:N119,"t"),
     INDEX(Roadmap!$D:$K,MATCH($E119,Roadmap!$D:$D,0)+COUNTIF($E119:N119,"u")+COUNTIF($E119:N119,"t")+COUNTIF($E119:N119,"¶")+COUNTIF($E119:N119,"²")+COUNTIF($E119:N119,"µ")+COUNTIF($E119:N119,1),ColTypeEcheance)),
  IF(LEN(N119)=1,
  IF(LEN(INDEX(Roadmap!$D:$K,MATCH($E119,Roadmap!$D:$D,0)-1+COUNTIF($E119:N119,"u")+COUNTIF($E119:N119,"t")+COUNTIF($E119:N119,"¶")+COUNTIF($E119:N119,"²")+COUNTIF($E119:N119,"µ")+COUNTIF($E119:N119,1),ColDescriptionCourte))&gt;1,
HYPERLINK("#Roadmap!C"&amp; MATCH($E119,Roadmap!$D:$D,0)+COUNTIF($E119:N119,"u")+COUNTIF($E119:N119,"t")+COUNTIF($E119:N119,"¶")+COUNTIF($E119:N119,"²")+COUNTIF($E119:N119,"µ")+COUNTIF($E119:N119,1)-1,INDEX(Roadmap!$D:$K,MATCH($E119,Roadmap!$D:$D,0)-1+COUNTIF($E119:N119,"u")+COUNTIF($E119:N119,"t")+COUNTIF($E119:N119,"¶")+COUNTIF($E119:N119,"²")+COUNTIF($E119:N119,"µ")+COUNTIF($E119:N119,1),ColDescriptionCourte)),""),
  "")),"")</f>
        <v/>
      </c>
      <c r="P119" s="40" t="str">
        <f ca="1">IFERROR(IF(AND(
  INDEX(Roadmap!$D:$K,MATCH($E119,Roadmap!$D:$D,0)+COUNTIF($E119:O119,"u")+COUNTIF($E119:O119,"t")+COUNTIF($E119:O119,"¶")+COUNTIF($E119:O119,"²")+COUNTIF($E119:O119,"µ")+COUNTIF($E119:O119,1),ColLivraison)=P$6,
  VLOOKUP($E119,INDIRECT("tri!"&amp; CHAR(64+ C0Col) &amp;":"&amp; CHAR(65+C0Col)),2,FALSE)&gt;COUNTIF($E119:O119,"u")+COUNTIF($E119:O119,"t")+COUNTIF($E119:O119,"¶")+COUNTIF($E119:O119,"²")+COUNTIF($E119:O119,"µ")+COUNTIF($E119:O119,1)),
HYPERLINK("#Roadmap!C"&amp; MATCH($E119,Roadmap!$D:$D,0)+COUNTIF($E119:O119,"u")+COUNTIF($E119:O119,"t"),
     INDEX(Roadmap!$D:$K,MATCH($E119,Roadmap!$D:$D,0)+COUNTIF($E119:O119,"u")+COUNTIF($E119:O119,"t")+COUNTIF($E119:O119,"¶")+COUNTIF($E119:O119,"²")+COUNTIF($E119:O119,"µ")+COUNTIF($E119:O119,1),ColTypeEcheance)),
  IF(LEN(O119)=1,
  IF(LEN(INDEX(Roadmap!$D:$K,MATCH($E119,Roadmap!$D:$D,0)-1+COUNTIF($E119:O119,"u")+COUNTIF($E119:O119,"t")+COUNTIF($E119:O119,"¶")+COUNTIF($E119:O119,"²")+COUNTIF($E119:O119,"µ")+COUNTIF($E119:O119,1),ColDescriptionCourte))&gt;1,
HYPERLINK("#Roadmap!C"&amp; MATCH($E119,Roadmap!$D:$D,0)+COUNTIF($E119:O119,"u")+COUNTIF($E119:O119,"t")+COUNTIF($E119:O119,"¶")+COUNTIF($E119:O119,"²")+COUNTIF($E119:O119,"µ")+COUNTIF($E119:O119,1)-1,INDEX(Roadmap!$D:$K,MATCH($E119,Roadmap!$D:$D,0)-1+COUNTIF($E119:O119,"u")+COUNTIF($E119:O119,"t")+COUNTIF($E119:O119,"¶")+COUNTIF($E119:O119,"²")+COUNTIF($E119:O119,"µ")+COUNTIF($E119:O119,1),ColDescriptionCourte)),""),
  "")),"")</f>
        <v/>
      </c>
      <c r="Q119" s="40" t="str">
        <f ca="1">IFERROR(IF(AND(
  INDEX(Roadmap!$D:$K,MATCH($E119,Roadmap!$D:$D,0)+COUNTIF($E119:P119,"u")+COUNTIF($E119:P119,"t")+COUNTIF($E119:P119,"¶")+COUNTIF($E119:P119,"²")+COUNTIF($E119:P119,"µ")+COUNTIF($E119:P119,1),ColLivraison)=Q$6,
  VLOOKUP($E119,INDIRECT("tri!"&amp; CHAR(64+ C0Col) &amp;":"&amp; CHAR(65+C0Col)),2,FALSE)&gt;COUNTIF($E119:P119,"u")+COUNTIF($E119:P119,"t")+COUNTIF($E119:P119,"¶")+COUNTIF($E119:P119,"²")+COUNTIF($E119:P119,"µ")+COUNTIF($E119:P119,1)),
HYPERLINK("#Roadmap!C"&amp; MATCH($E119,Roadmap!$D:$D,0)+COUNTIF($E119:P119,"u")+COUNTIF($E119:P119,"t"),
     INDEX(Roadmap!$D:$K,MATCH($E119,Roadmap!$D:$D,0)+COUNTIF($E119:P119,"u")+COUNTIF($E119:P119,"t")+COUNTIF($E119:P119,"¶")+COUNTIF($E119:P119,"²")+COUNTIF($E119:P119,"µ")+COUNTIF($E119:P119,1),ColTypeEcheance)),
  IF(LEN(P119)=1,
  IF(LEN(INDEX(Roadmap!$D:$K,MATCH($E119,Roadmap!$D:$D,0)-1+COUNTIF($E119:P119,"u")+COUNTIF($E119:P119,"t")+COUNTIF($E119:P119,"¶")+COUNTIF($E119:P119,"²")+COUNTIF($E119:P119,"µ")+COUNTIF($E119:P119,1),ColDescriptionCourte))&gt;1,
HYPERLINK("#Roadmap!C"&amp; MATCH($E119,Roadmap!$D:$D,0)+COUNTIF($E119:P119,"u")+COUNTIF($E119:P119,"t")+COUNTIF($E119:P119,"¶")+COUNTIF($E119:P119,"²")+COUNTIF($E119:P119,"µ")+COUNTIF($E119:P119,1)-1,INDEX(Roadmap!$D:$K,MATCH($E119,Roadmap!$D:$D,0)-1+COUNTIF($E119:P119,"u")+COUNTIF($E119:P119,"t")+COUNTIF($E119:P119,"¶")+COUNTIF($E119:P119,"²")+COUNTIF($E119:P119,"µ")+COUNTIF($E119:P119,1),ColDescriptionCourte)),""),
  "")),"")</f>
        <v/>
      </c>
      <c r="R119" s="40" t="str">
        <f ca="1">IFERROR(IF(AND(
  INDEX(Roadmap!$D:$K,MATCH($E119,Roadmap!$D:$D,0)+COUNTIF($E119:Q119,"u")+COUNTIF($E119:Q119,"t")+COUNTIF($E119:Q119,"¶")+COUNTIF($E119:Q119,"²")+COUNTIF($E119:Q119,"µ")+COUNTIF($E119:Q119,1),ColLivraison)=R$6,
  VLOOKUP($E119,INDIRECT("tri!"&amp; CHAR(64+ C0Col) &amp;":"&amp; CHAR(65+C0Col)),2,FALSE)&gt;COUNTIF($E119:Q119,"u")+COUNTIF($E119:Q119,"t")+COUNTIF($E119:Q119,"¶")+COUNTIF($E119:Q119,"²")+COUNTIF($E119:Q119,"µ")+COUNTIF($E119:Q119,1)),
HYPERLINK("#Roadmap!C"&amp; MATCH($E119,Roadmap!$D:$D,0)+COUNTIF($E119:Q119,"u")+COUNTIF($E119:Q119,"t"),
     INDEX(Roadmap!$D:$K,MATCH($E119,Roadmap!$D:$D,0)+COUNTIF($E119:Q119,"u")+COUNTIF($E119:Q119,"t")+COUNTIF($E119:Q119,"¶")+COUNTIF($E119:Q119,"²")+COUNTIF($E119:Q119,"µ")+COUNTIF($E119:Q119,1),ColTypeEcheance)),
  IF(LEN(Q119)=1,
  IF(LEN(INDEX(Roadmap!$D:$K,MATCH($E119,Roadmap!$D:$D,0)-1+COUNTIF($E119:Q119,"u")+COUNTIF($E119:Q119,"t")+COUNTIF($E119:Q119,"¶")+COUNTIF($E119:Q119,"²")+COUNTIF($E119:Q119,"µ")+COUNTIF($E119:Q119,1),ColDescriptionCourte))&gt;1,
HYPERLINK("#Roadmap!C"&amp; MATCH($E119,Roadmap!$D:$D,0)+COUNTIF($E119:Q119,"u")+COUNTIF($E119:Q119,"t")+COUNTIF($E119:Q119,"¶")+COUNTIF($E119:Q119,"²")+COUNTIF($E119:Q119,"µ")+COUNTIF($E119:Q119,1)-1,INDEX(Roadmap!$D:$K,MATCH($E119,Roadmap!$D:$D,0)-1+COUNTIF($E119:Q119,"u")+COUNTIF($E119:Q119,"t")+COUNTIF($E119:Q119,"¶")+COUNTIF($E119:Q119,"²")+COUNTIF($E119:Q119,"µ")+COUNTIF($E119:Q119,1),ColDescriptionCourte)),""),
  "")),"")</f>
        <v/>
      </c>
      <c r="S119" s="40" t="str">
        <f ca="1">IFERROR(IF(AND(
  INDEX(Roadmap!$D:$K,MATCH($E119,Roadmap!$D:$D,0)+COUNTIF($E119:R119,"u")+COUNTIF($E119:R119,"t")+COUNTIF($E119:R119,"¶")+COUNTIF($E119:R119,"²")+COUNTIF($E119:R119,"µ")+COUNTIF($E119:R119,1),ColLivraison)=S$6,
  VLOOKUP($E119,INDIRECT("tri!"&amp; CHAR(64+ C0Col) &amp;":"&amp; CHAR(65+C0Col)),2,FALSE)&gt;COUNTIF($E119:R119,"u")+COUNTIF($E119:R119,"t")+COUNTIF($E119:R119,"¶")+COUNTIF($E119:R119,"²")+COUNTIF($E119:R119,"µ")+COUNTIF($E119:R119,1)),
HYPERLINK("#Roadmap!C"&amp; MATCH($E119,Roadmap!$D:$D,0)+COUNTIF($E119:R119,"u")+COUNTIF($E119:R119,"t"),
     INDEX(Roadmap!$D:$K,MATCH($E119,Roadmap!$D:$D,0)+COUNTIF($E119:R119,"u")+COUNTIF($E119:R119,"t")+COUNTIF($E119:R119,"¶")+COUNTIF($E119:R119,"²")+COUNTIF($E119:R119,"µ")+COUNTIF($E119:R119,1),ColTypeEcheance)),
  IF(LEN(R119)=1,
  IF(LEN(INDEX(Roadmap!$D:$K,MATCH($E119,Roadmap!$D:$D,0)-1+COUNTIF($E119:R119,"u")+COUNTIF($E119:R119,"t")+COUNTIF($E119:R119,"¶")+COUNTIF($E119:R119,"²")+COUNTIF($E119:R119,"µ")+COUNTIF($E119:R119,1),ColDescriptionCourte))&gt;1,
HYPERLINK("#Roadmap!C"&amp; MATCH($E119,Roadmap!$D:$D,0)+COUNTIF($E119:R119,"u")+COUNTIF($E119:R119,"t")+COUNTIF($E119:R119,"¶")+COUNTIF($E119:R119,"²")+COUNTIF($E119:R119,"µ")+COUNTIF($E119:R119,1)-1,INDEX(Roadmap!$D:$K,MATCH($E119,Roadmap!$D:$D,0)-1+COUNTIF($E119:R119,"u")+COUNTIF($E119:R119,"t")+COUNTIF($E119:R119,"¶")+COUNTIF($E119:R119,"²")+COUNTIF($E119:R119,"µ")+COUNTIF($E119:R119,1),ColDescriptionCourte)),""),
  "")),"")</f>
        <v/>
      </c>
      <c r="T119" s="40" t="str">
        <f ca="1">IFERROR(IF(AND(
  INDEX(Roadmap!$D:$K,MATCH($E119,Roadmap!$D:$D,0)+COUNTIF($E119:S119,"u")+COUNTIF($E119:S119,"t")+COUNTIF($E119:S119,"¶")+COUNTIF($E119:S119,"²")+COUNTIF($E119:S119,"µ")+COUNTIF($E119:S119,1),ColLivraison)=T$6,
  VLOOKUP($E119,INDIRECT("tri!"&amp; CHAR(64+ C0Col) &amp;":"&amp; CHAR(65+C0Col)),2,FALSE)&gt;COUNTIF($E119:S119,"u")+COUNTIF($E119:S119,"t")+COUNTIF($E119:S119,"¶")+COUNTIF($E119:S119,"²")+COUNTIF($E119:S119,"µ")+COUNTIF($E119:S119,1)),
HYPERLINK("#Roadmap!C"&amp; MATCH($E119,Roadmap!$D:$D,0)+COUNTIF($E119:S119,"u")+COUNTIF($E119:S119,"t"),
     INDEX(Roadmap!$D:$K,MATCH($E119,Roadmap!$D:$D,0)+COUNTIF($E119:S119,"u")+COUNTIF($E119:S119,"t")+COUNTIF($E119:S119,"¶")+COUNTIF($E119:S119,"²")+COUNTIF($E119:S119,"µ")+COUNTIF($E119:S119,1),ColTypeEcheance)),
  IF(LEN(S119)=1,
  IF(LEN(INDEX(Roadmap!$D:$K,MATCH($E119,Roadmap!$D:$D,0)-1+COUNTIF($E119:S119,"u")+COUNTIF($E119:S119,"t")+COUNTIF($E119:S119,"¶")+COUNTIF($E119:S119,"²")+COUNTIF($E119:S119,"µ")+COUNTIF($E119:S119,1),ColDescriptionCourte))&gt;1,
HYPERLINK("#Roadmap!C"&amp; MATCH($E119,Roadmap!$D:$D,0)+COUNTIF($E119:S119,"u")+COUNTIF($E119:S119,"t")+COUNTIF($E119:S119,"¶")+COUNTIF($E119:S119,"²")+COUNTIF($E119:S119,"µ")+COUNTIF($E119:S119,1)-1,INDEX(Roadmap!$D:$K,MATCH($E119,Roadmap!$D:$D,0)-1+COUNTIF($E119:S119,"u")+COUNTIF($E119:S119,"t")+COUNTIF($E119:S119,"¶")+COUNTIF($E119:S119,"²")+COUNTIF($E119:S119,"µ")+COUNTIF($E119:S119,1),ColDescriptionCourte)),""),
  "")),"")</f>
        <v/>
      </c>
      <c r="U119" s="40" t="str">
        <f ca="1">IFERROR(IF(AND(
  INDEX(Roadmap!$D:$K,MATCH($E119,Roadmap!$D:$D,0)+COUNTIF($E119:T119,"u")+COUNTIF($E119:T119,"t")+COUNTIF($E119:T119,"¶")+COUNTIF($E119:T119,"²")+COUNTIF($E119:T119,"µ")+COUNTIF($E119:T119,1),ColLivraison)=U$6,
  VLOOKUP($E119,INDIRECT("tri!"&amp; CHAR(64+ C0Col) &amp;":"&amp; CHAR(65+C0Col)),2,FALSE)&gt;COUNTIF($E119:T119,"u")+COUNTIF($E119:T119,"t")+COUNTIF($E119:T119,"¶")+COUNTIF($E119:T119,"²")+COUNTIF($E119:T119,"µ")+COUNTIF($E119:T119,1)),
HYPERLINK("#Roadmap!C"&amp; MATCH($E119,Roadmap!$D:$D,0)+COUNTIF($E119:T119,"u")+COUNTIF($E119:T119,"t"),
     INDEX(Roadmap!$D:$K,MATCH($E119,Roadmap!$D:$D,0)+COUNTIF($E119:T119,"u")+COUNTIF($E119:T119,"t")+COUNTIF($E119:T119,"¶")+COUNTIF($E119:T119,"²")+COUNTIF($E119:T119,"µ")+COUNTIF($E119:T119,1),ColTypeEcheance)),
  IF(LEN(T119)=1,
  IF(LEN(INDEX(Roadmap!$D:$K,MATCH($E119,Roadmap!$D:$D,0)-1+COUNTIF($E119:T119,"u")+COUNTIF($E119:T119,"t")+COUNTIF($E119:T119,"¶")+COUNTIF($E119:T119,"²")+COUNTIF($E119:T119,"µ")+COUNTIF($E119:T119,1),ColDescriptionCourte))&gt;1,
HYPERLINK("#Roadmap!C"&amp; MATCH($E119,Roadmap!$D:$D,0)+COUNTIF($E119:T119,"u")+COUNTIF($E119:T119,"t")+COUNTIF($E119:T119,"¶")+COUNTIF($E119:T119,"²")+COUNTIF($E119:T119,"µ")+COUNTIF($E119:T119,1)-1,INDEX(Roadmap!$D:$K,MATCH($E119,Roadmap!$D:$D,0)-1+COUNTIF($E119:T119,"u")+COUNTIF($E119:T119,"t")+COUNTIF($E119:T119,"¶")+COUNTIF($E119:T119,"²")+COUNTIF($E119:T119,"µ")+COUNTIF($E119:T119,1),ColDescriptionCourte)),""),
  "")),"")</f>
        <v/>
      </c>
      <c r="V119" s="40" t="str">
        <f ca="1">IFERROR(IF(AND(
  INDEX(Roadmap!$D:$K,MATCH($E119,Roadmap!$D:$D,0)+COUNTIF($E119:U119,"u")+COUNTIF($E119:U119,"t")+COUNTIF($E119:U119,"¶")+COUNTIF($E119:U119,"²")+COUNTIF($E119:U119,"µ")+COUNTIF($E119:U119,1),ColLivraison)=V$6,
  VLOOKUP($E119,INDIRECT("tri!"&amp; CHAR(64+ C0Col) &amp;":"&amp; CHAR(65+C0Col)),2,FALSE)&gt;COUNTIF($E119:U119,"u")+COUNTIF($E119:U119,"t")+COUNTIF($E119:U119,"¶")+COUNTIF($E119:U119,"²")+COUNTIF($E119:U119,"µ")+COUNTIF($E119:U119,1)),
HYPERLINK("#Roadmap!C"&amp; MATCH($E119,Roadmap!$D:$D,0)+COUNTIF($E119:U119,"u")+COUNTIF($E119:U119,"t"),
     INDEX(Roadmap!$D:$K,MATCH($E119,Roadmap!$D:$D,0)+COUNTIF($E119:U119,"u")+COUNTIF($E119:U119,"t")+COUNTIF($E119:U119,"¶")+COUNTIF($E119:U119,"²")+COUNTIF($E119:U119,"µ")+COUNTIF($E119:U119,1),ColTypeEcheance)),
  IF(LEN(U119)=1,
  IF(LEN(INDEX(Roadmap!$D:$K,MATCH($E119,Roadmap!$D:$D,0)-1+COUNTIF($E119:U119,"u")+COUNTIF($E119:U119,"t")+COUNTIF($E119:U119,"¶")+COUNTIF($E119:U119,"²")+COUNTIF($E119:U119,"µ")+COUNTIF($E119:U119,1),ColDescriptionCourte))&gt;1,
HYPERLINK("#Roadmap!C"&amp; MATCH($E119,Roadmap!$D:$D,0)+COUNTIF($E119:U119,"u")+COUNTIF($E119:U119,"t")+COUNTIF($E119:U119,"¶")+COUNTIF($E119:U119,"²")+COUNTIF($E119:U119,"µ")+COUNTIF($E119:U119,1)-1,INDEX(Roadmap!$D:$K,MATCH($E119,Roadmap!$D:$D,0)-1+COUNTIF($E119:U119,"u")+COUNTIF($E119:U119,"t")+COUNTIF($E119:U119,"¶")+COUNTIF($E119:U119,"²")+COUNTIF($E119:U119,"µ")+COUNTIF($E119:U119,1),ColDescriptionCourte)),""),
  "")),"")</f>
        <v/>
      </c>
      <c r="W119" s="40" t="str">
        <f ca="1">IFERROR(IF(AND(
  INDEX(Roadmap!$D:$K,MATCH($E119,Roadmap!$D:$D,0)+COUNTIF($E119:V119,"u")+COUNTIF($E119:V119,"t")+COUNTIF($E119:V119,"¶")+COUNTIF($E119:V119,"²")+COUNTIF($E119:V119,"µ")+COUNTIF($E119:V119,1),ColLivraison)=W$6,
  VLOOKUP($E119,INDIRECT("tri!"&amp; CHAR(64+ C0Col) &amp;":"&amp; CHAR(65+C0Col)),2,FALSE)&gt;COUNTIF($E119:V119,"u")+COUNTIF($E119:V119,"t")+COUNTIF($E119:V119,"¶")+COUNTIF($E119:V119,"²")+COUNTIF($E119:V119,"µ")+COUNTIF($E119:V119,1)),
HYPERLINK("#Roadmap!C"&amp; MATCH($E119,Roadmap!$D:$D,0)+COUNTIF($E119:V119,"u")+COUNTIF($E119:V119,"t"),
     INDEX(Roadmap!$D:$K,MATCH($E119,Roadmap!$D:$D,0)+COUNTIF($E119:V119,"u")+COUNTIF($E119:V119,"t")+COUNTIF($E119:V119,"¶")+COUNTIF($E119:V119,"²")+COUNTIF($E119:V119,"µ")+COUNTIF($E119:V119,1),ColTypeEcheance)),
  IF(LEN(V119)=1,
  IF(LEN(INDEX(Roadmap!$D:$K,MATCH($E119,Roadmap!$D:$D,0)-1+COUNTIF($E119:V119,"u")+COUNTIF($E119:V119,"t")+COUNTIF($E119:V119,"¶")+COUNTIF($E119:V119,"²")+COUNTIF($E119:V119,"µ")+COUNTIF($E119:V119,1),ColDescriptionCourte))&gt;1,
HYPERLINK("#Roadmap!C"&amp; MATCH($E119,Roadmap!$D:$D,0)+COUNTIF($E119:V119,"u")+COUNTIF($E119:V119,"t")+COUNTIF($E119:V119,"¶")+COUNTIF($E119:V119,"²")+COUNTIF($E119:V119,"µ")+COUNTIF($E119:V119,1)-1,INDEX(Roadmap!$D:$K,MATCH($E119,Roadmap!$D:$D,0)-1+COUNTIF($E119:V119,"u")+COUNTIF($E119:V119,"t")+COUNTIF($E119:V119,"¶")+COUNTIF($E119:V119,"²")+COUNTIF($E119:V119,"µ")+COUNTIF($E119:V119,1),ColDescriptionCourte)),""),
  "")),"")</f>
        <v/>
      </c>
      <c r="X119" s="40" t="str">
        <f ca="1">IFERROR(IF(AND(
  INDEX(Roadmap!$D:$K,MATCH($E119,Roadmap!$D:$D,0)+COUNTIF($E119:W119,"u")+COUNTIF($E119:W119,"t")+COUNTIF($E119:W119,"¶")+COUNTIF($E119:W119,"²")+COUNTIF($E119:W119,"µ")+COUNTIF($E119:W119,1),ColLivraison)=X$6,
  VLOOKUP($E119,INDIRECT("tri!"&amp; CHAR(64+ C0Col) &amp;":"&amp; CHAR(65+C0Col)),2,FALSE)&gt;COUNTIF($E119:W119,"u")+COUNTIF($E119:W119,"t")+COUNTIF($E119:W119,"¶")+COUNTIF($E119:W119,"²")+COUNTIF($E119:W119,"µ")+COUNTIF($E119:W119,1)),
HYPERLINK("#Roadmap!C"&amp; MATCH($E119,Roadmap!$D:$D,0)+COUNTIF($E119:W119,"u")+COUNTIF($E119:W119,"t"),
     INDEX(Roadmap!$D:$K,MATCH($E119,Roadmap!$D:$D,0)+COUNTIF($E119:W119,"u")+COUNTIF($E119:W119,"t")+COUNTIF($E119:W119,"¶")+COUNTIF($E119:W119,"²")+COUNTIF($E119:W119,"µ")+COUNTIF($E119:W119,1),ColTypeEcheance)),
  IF(LEN(W119)=1,
  IF(LEN(INDEX(Roadmap!$D:$K,MATCH($E119,Roadmap!$D:$D,0)-1+COUNTIF($E119:W119,"u")+COUNTIF($E119:W119,"t")+COUNTIF($E119:W119,"¶")+COUNTIF($E119:W119,"²")+COUNTIF($E119:W119,"µ")+COUNTIF($E119:W119,1),ColDescriptionCourte))&gt;1,
HYPERLINK("#Roadmap!C"&amp; MATCH($E119,Roadmap!$D:$D,0)+COUNTIF($E119:W119,"u")+COUNTIF($E119:W119,"t")+COUNTIF($E119:W119,"¶")+COUNTIF($E119:W119,"²")+COUNTIF($E119:W119,"µ")+COUNTIF($E119:W119,1)-1,INDEX(Roadmap!$D:$K,MATCH($E119,Roadmap!$D:$D,0)-1+COUNTIF($E119:W119,"u")+COUNTIF($E119:W119,"t")+COUNTIF($E119:W119,"¶")+COUNTIF($E119:W119,"²")+COUNTIF($E119:W119,"µ")+COUNTIF($E119:W119,1),ColDescriptionCourte)),""),
  "")),"")</f>
        <v/>
      </c>
      <c r="Y119" s="40" t="str">
        <f ca="1">IFERROR(IF(AND(
  INDEX(Roadmap!$D:$K,MATCH($E119,Roadmap!$D:$D,0)+COUNTIF($E119:X119,"u")+COUNTIF($E119:X119,"t")+COUNTIF($E119:X119,"¶")+COUNTIF($E119:X119,"²")+COUNTIF($E119:X119,"µ")+COUNTIF($E119:X119,1),ColLivraison)=Y$6,
  VLOOKUP($E119,INDIRECT("tri!"&amp; CHAR(64+ C0Col) &amp;":"&amp; CHAR(65+C0Col)),2,FALSE)&gt;COUNTIF($E119:X119,"u")+COUNTIF($E119:X119,"t")+COUNTIF($E119:X119,"¶")+COUNTIF($E119:X119,"²")+COUNTIF($E119:X119,"µ")+COUNTIF($E119:X119,1)),
HYPERLINK("#Roadmap!C"&amp; MATCH($E119,Roadmap!$D:$D,0)+COUNTIF($E119:X119,"u")+COUNTIF($E119:X119,"t"),
     INDEX(Roadmap!$D:$K,MATCH($E119,Roadmap!$D:$D,0)+COUNTIF($E119:X119,"u")+COUNTIF($E119:X119,"t")+COUNTIF($E119:X119,"¶")+COUNTIF($E119:X119,"²")+COUNTIF($E119:X119,"µ")+COUNTIF($E119:X119,1),ColTypeEcheance)),
  IF(LEN(X119)=1,
  IF(LEN(INDEX(Roadmap!$D:$K,MATCH($E119,Roadmap!$D:$D,0)-1+COUNTIF($E119:X119,"u")+COUNTIF($E119:X119,"t")+COUNTIF($E119:X119,"¶")+COUNTIF($E119:X119,"²")+COUNTIF($E119:X119,"µ")+COUNTIF($E119:X119,1),ColDescriptionCourte))&gt;1,
HYPERLINK("#Roadmap!C"&amp; MATCH($E119,Roadmap!$D:$D,0)+COUNTIF($E119:X119,"u")+COUNTIF($E119:X119,"t")+COUNTIF($E119:X119,"¶")+COUNTIF($E119:X119,"²")+COUNTIF($E119:X119,"µ")+COUNTIF($E119:X119,1)-1,INDEX(Roadmap!$D:$K,MATCH($E119,Roadmap!$D:$D,0)-1+COUNTIF($E119:X119,"u")+COUNTIF($E119:X119,"t")+COUNTIF($E119:X119,"¶")+COUNTIF($E119:X119,"²")+COUNTIF($E119:X119,"µ")+COUNTIF($E119:X119,1),ColDescriptionCourte)),""),
  "")),"")</f>
        <v/>
      </c>
      <c r="Z119" s="40" t="str">
        <f ca="1">IFERROR(IF(AND(
  INDEX(Roadmap!$D:$K,MATCH($E119,Roadmap!$D:$D,0)+COUNTIF($E119:Y119,"u")+COUNTIF($E119:Y119,"t")+COUNTIF($E119:Y119,"¶")+COUNTIF($E119:Y119,"²")+COUNTIF($E119:Y119,"µ")+COUNTIF($E119:Y119,1),ColLivraison)=Z$6,
  VLOOKUP($E119,INDIRECT("tri!"&amp; CHAR(64+ C0Col) &amp;":"&amp; CHAR(65+C0Col)),2,FALSE)&gt;COUNTIF($E119:Y119,"u")+COUNTIF($E119:Y119,"t")+COUNTIF($E119:Y119,"¶")+COUNTIF($E119:Y119,"²")+COUNTIF($E119:Y119,"µ")+COUNTIF($E119:Y119,1)),
HYPERLINK("#Roadmap!C"&amp; MATCH($E119,Roadmap!$D:$D,0)+COUNTIF($E119:Y119,"u")+COUNTIF($E119:Y119,"t"),
     INDEX(Roadmap!$D:$K,MATCH($E119,Roadmap!$D:$D,0)+COUNTIF($E119:Y119,"u")+COUNTIF($E119:Y119,"t")+COUNTIF($E119:Y119,"¶")+COUNTIF($E119:Y119,"²")+COUNTIF($E119:Y119,"µ")+COUNTIF($E119:Y119,1),ColTypeEcheance)),
  IF(LEN(Y119)=1,
  IF(LEN(INDEX(Roadmap!$D:$K,MATCH($E119,Roadmap!$D:$D,0)-1+COUNTIF($E119:Y119,"u")+COUNTIF($E119:Y119,"t")+COUNTIF($E119:Y119,"¶")+COUNTIF($E119:Y119,"²")+COUNTIF($E119:Y119,"µ")+COUNTIF($E119:Y119,1),ColDescriptionCourte))&gt;1,
HYPERLINK("#Roadmap!C"&amp; MATCH($E119,Roadmap!$D:$D,0)+COUNTIF($E119:Y119,"u")+COUNTIF($E119:Y119,"t")+COUNTIF($E119:Y119,"¶")+COUNTIF($E119:Y119,"²")+COUNTIF($E119:Y119,"µ")+COUNTIF($E119:Y119,1)-1,INDEX(Roadmap!$D:$K,MATCH($E119,Roadmap!$D:$D,0)-1+COUNTIF($E119:Y119,"u")+COUNTIF($E119:Y119,"t")+COUNTIF($E119:Y119,"¶")+COUNTIF($E119:Y119,"²")+COUNTIF($E119:Y119,"µ")+COUNTIF($E119:Y119,1),ColDescriptionCourte)),""),
  "")),"")</f>
        <v/>
      </c>
      <c r="AA119" s="40" t="str">
        <f ca="1">IFERROR(IF(AND(
  INDEX(Roadmap!$D:$K,MATCH($E119,Roadmap!$D:$D,0)+COUNTIF($E119:Z119,"u")+COUNTIF($E119:Z119,"t")+COUNTIF($E119:Z119,"¶")+COUNTIF($E119:Z119,"²")+COUNTIF($E119:Z119,"µ")+COUNTIF($E119:Z119,1),ColLivraison)=AA$6,
  VLOOKUP($E119,INDIRECT("tri!"&amp; CHAR(64+ C0Col) &amp;":"&amp; CHAR(65+C0Col)),2,FALSE)&gt;COUNTIF($E119:Z119,"u")+COUNTIF($E119:Z119,"t")+COUNTIF($E119:Z119,"¶")+COUNTIF($E119:Z119,"²")+COUNTIF($E119:Z119,"µ")+COUNTIF($E119:Z119,1)),
HYPERLINK("#Roadmap!C"&amp; MATCH($E119,Roadmap!$D:$D,0)+COUNTIF($E119:Z119,"u")+COUNTIF($E119:Z119,"t"),
     INDEX(Roadmap!$D:$K,MATCH($E119,Roadmap!$D:$D,0)+COUNTIF($E119:Z119,"u")+COUNTIF($E119:Z119,"t")+COUNTIF($E119:Z119,"¶")+COUNTIF($E119:Z119,"²")+COUNTIF($E119:Z119,"µ")+COUNTIF($E119:Z119,1),ColTypeEcheance)),
  IF(LEN(Z119)=1,
  IF(LEN(INDEX(Roadmap!$D:$K,MATCH($E119,Roadmap!$D:$D,0)-1+COUNTIF($E119:Z119,"u")+COUNTIF($E119:Z119,"t")+COUNTIF($E119:Z119,"¶")+COUNTIF($E119:Z119,"²")+COUNTIF($E119:Z119,"µ")+COUNTIF($E119:Z119,1),ColDescriptionCourte))&gt;1,
HYPERLINK("#Roadmap!C"&amp; MATCH($E119,Roadmap!$D:$D,0)+COUNTIF($E119:Z119,"u")+COUNTIF($E119:Z119,"t")+COUNTIF($E119:Z119,"¶")+COUNTIF($E119:Z119,"²")+COUNTIF($E119:Z119,"µ")+COUNTIF($E119:Z119,1)-1,INDEX(Roadmap!$D:$K,MATCH($E119,Roadmap!$D:$D,0)-1+COUNTIF($E119:Z119,"u")+COUNTIF($E119:Z119,"t")+COUNTIF($E119:Z119,"¶")+COUNTIF($E119:Z119,"²")+COUNTIF($E119:Z119,"µ")+COUNTIF($E119:Z119,1),ColDescriptionCourte)),""),
  "")),"")</f>
        <v/>
      </c>
      <c r="AB119" s="40" t="str">
        <f ca="1">IFERROR(IF(AND(
  INDEX(Roadmap!$D:$K,MATCH($E119,Roadmap!$D:$D,0)+COUNTIF($E119:AA119,"u")+COUNTIF($E119:AA119,"t")+COUNTIF($E119:AA119,"¶")+COUNTIF($E119:AA119,"²")+COUNTIF($E119:AA119,"µ")+COUNTIF($E119:AA119,1),ColLivraison)=AB$6,
  VLOOKUP($E119,INDIRECT("tri!"&amp; CHAR(64+ C0Col) &amp;":"&amp; CHAR(65+C0Col)),2,FALSE)&gt;COUNTIF($E119:AA119,"u")+COUNTIF($E119:AA119,"t")+COUNTIF($E119:AA119,"¶")+COUNTIF($E119:AA119,"²")+COUNTIF($E119:AA119,"µ")+COUNTIF($E119:AA119,1)),
HYPERLINK("#Roadmap!C"&amp; MATCH($E119,Roadmap!$D:$D,0)+COUNTIF($E119:AA119,"u")+COUNTIF($E119:AA119,"t"),
     INDEX(Roadmap!$D:$K,MATCH($E119,Roadmap!$D:$D,0)+COUNTIF($E119:AA119,"u")+COUNTIF($E119:AA119,"t")+COUNTIF($E119:AA119,"¶")+COUNTIF($E119:AA119,"²")+COUNTIF($E119:AA119,"µ")+COUNTIF($E119:AA119,1),ColTypeEcheance)),
  IF(LEN(AA119)=1,
  IF(LEN(INDEX(Roadmap!$D:$K,MATCH($E119,Roadmap!$D:$D,0)-1+COUNTIF($E119:AA119,"u")+COUNTIF($E119:AA119,"t")+COUNTIF($E119:AA119,"¶")+COUNTIF($E119:AA119,"²")+COUNTIF($E119:AA119,"µ")+COUNTIF($E119:AA119,1),ColDescriptionCourte))&gt;1,
HYPERLINK("#Roadmap!C"&amp; MATCH($E119,Roadmap!$D:$D,0)+COUNTIF($E119:AA119,"u")+COUNTIF($E119:AA119,"t")+COUNTIF($E119:AA119,"¶")+COUNTIF($E119:AA119,"²")+COUNTIF($E119:AA119,"µ")+COUNTIF($E119:AA119,1)-1,INDEX(Roadmap!$D:$K,MATCH($E119,Roadmap!$D:$D,0)-1+COUNTIF($E119:AA119,"u")+COUNTIF($E119:AA119,"t")+COUNTIF($E119:AA119,"¶")+COUNTIF($E119:AA119,"²")+COUNTIF($E119:AA119,"µ")+COUNTIF($E119:AA119,1),ColDescriptionCourte)),""),
  "")),"")</f>
        <v/>
      </c>
      <c r="AC119" s="40" t="str">
        <f ca="1">IFERROR(IF(AND(
  INDEX(Roadmap!$D:$K,MATCH($E119,Roadmap!$D:$D,0)+COUNTIF($E119:AB119,"u")+COUNTIF($E119:AB119,"t")+COUNTIF($E119:AB119,"¶")+COUNTIF($E119:AB119,"²")+COUNTIF($E119:AB119,"µ")+COUNTIF($E119:AB119,1),ColLivraison)=AC$6,
  VLOOKUP($E119,INDIRECT("tri!"&amp; CHAR(64+ C0Col) &amp;":"&amp; CHAR(65+C0Col)),2,FALSE)&gt;COUNTIF($E119:AB119,"u")+COUNTIF($E119:AB119,"t")+COUNTIF($E119:AB119,"¶")+COUNTIF($E119:AB119,"²")+COUNTIF($E119:AB119,"µ")+COUNTIF($E119:AB119,1)),
HYPERLINK("#Roadmap!C"&amp; MATCH($E119,Roadmap!$D:$D,0)+COUNTIF($E119:AB119,"u")+COUNTIF($E119:AB119,"t"),
     INDEX(Roadmap!$D:$K,MATCH($E119,Roadmap!$D:$D,0)+COUNTIF($E119:AB119,"u")+COUNTIF($E119:AB119,"t")+COUNTIF($E119:AB119,"¶")+COUNTIF($E119:AB119,"²")+COUNTIF($E119:AB119,"µ")+COUNTIF($E119:AB119,1),ColTypeEcheance)),
  IF(LEN(AB119)=1,
  IF(LEN(INDEX(Roadmap!$D:$K,MATCH($E119,Roadmap!$D:$D,0)-1+COUNTIF($E119:AB119,"u")+COUNTIF($E119:AB119,"t")+COUNTIF($E119:AB119,"¶")+COUNTIF($E119:AB119,"²")+COUNTIF($E119:AB119,"µ")+COUNTIF($E119:AB119,1),ColDescriptionCourte))&gt;1,
HYPERLINK("#Roadmap!C"&amp; MATCH($E119,Roadmap!$D:$D,0)+COUNTIF($E119:AB119,"u")+COUNTIF($E119:AB119,"t")+COUNTIF($E119:AB119,"¶")+COUNTIF($E119:AB119,"²")+COUNTIF($E119:AB119,"µ")+COUNTIF($E119:AB119,1)-1,INDEX(Roadmap!$D:$K,MATCH($E119,Roadmap!$D:$D,0)-1+COUNTIF($E119:AB119,"u")+COUNTIF($E119:AB119,"t")+COUNTIF($E119:AB119,"¶")+COUNTIF($E119:AB119,"²")+COUNTIF($E119:AB119,"µ")+COUNTIF($E119:AB119,1),ColDescriptionCourte)),""),
  "")),"")</f>
        <v/>
      </c>
      <c r="AD119" s="40" t="str">
        <f ca="1">IFERROR(IF(AND(
  INDEX(Roadmap!$D:$K,MATCH($E119,Roadmap!$D:$D,0)+COUNTIF($E119:AC119,"u")+COUNTIF($E119:AC119,"t")+COUNTIF($E119:AC119,"¶")+COUNTIF($E119:AC119,"²")+COUNTIF($E119:AC119,"µ")+COUNTIF($E119:AC119,1),ColLivraison)=AD$6,
  VLOOKUP($E119,INDIRECT("tri!"&amp; CHAR(64+ C0Col) &amp;":"&amp; CHAR(65+C0Col)),2,FALSE)&gt;COUNTIF($E119:AC119,"u")+COUNTIF($E119:AC119,"t")+COUNTIF($E119:AC119,"¶")+COUNTIF($E119:AC119,"²")+COUNTIF($E119:AC119,"µ")+COUNTIF($E119:AC119,1)),
HYPERLINK("#Roadmap!C"&amp; MATCH($E119,Roadmap!$D:$D,0)+COUNTIF($E119:AC119,"u")+COUNTIF($E119:AC119,"t"),
     INDEX(Roadmap!$D:$K,MATCH($E119,Roadmap!$D:$D,0)+COUNTIF($E119:AC119,"u")+COUNTIF($E119:AC119,"t")+COUNTIF($E119:AC119,"¶")+COUNTIF($E119:AC119,"²")+COUNTIF($E119:AC119,"µ")+COUNTIF($E119:AC119,1),ColTypeEcheance)),
  IF(LEN(AC119)=1,
  IF(LEN(INDEX(Roadmap!$D:$K,MATCH($E119,Roadmap!$D:$D,0)-1+COUNTIF($E119:AC119,"u")+COUNTIF($E119:AC119,"t")+COUNTIF($E119:AC119,"¶")+COUNTIF($E119:AC119,"²")+COUNTIF($E119:AC119,"µ")+COUNTIF($E119:AC119,1),ColDescriptionCourte))&gt;1,
HYPERLINK("#Roadmap!C"&amp; MATCH($E119,Roadmap!$D:$D,0)+COUNTIF($E119:AC119,"u")+COUNTIF($E119:AC119,"t")+COUNTIF($E119:AC119,"¶")+COUNTIF($E119:AC119,"²")+COUNTIF($E119:AC119,"µ")+COUNTIF($E119:AC119,1)-1,INDEX(Roadmap!$D:$K,MATCH($E119,Roadmap!$D:$D,0)-1+COUNTIF($E119:AC119,"u")+COUNTIF($E119:AC119,"t")+COUNTIF($E119:AC119,"¶")+COUNTIF($E119:AC119,"²")+COUNTIF($E119:AC119,"µ")+COUNTIF($E119:AC119,1),ColDescriptionCourte)),""),
  "")),"")</f>
        <v/>
      </c>
      <c r="AE119" s="40" t="str">
        <f ca="1">IFERROR(IF(AND(
  INDEX(Roadmap!$D:$K,MATCH($E119,Roadmap!$D:$D,0)+COUNTIF($E119:AD119,"u")+COUNTIF($E119:AD119,"t")+COUNTIF($E119:AD119,"¶")+COUNTIF($E119:AD119,"²")+COUNTIF($E119:AD119,"µ")+COUNTIF($E119:AD119,1),ColLivraison)=AE$6,
  VLOOKUP($E119,INDIRECT("tri!"&amp; CHAR(64+ C0Col) &amp;":"&amp; CHAR(65+C0Col)),2,FALSE)&gt;COUNTIF($E119:AD119,"u")+COUNTIF($E119:AD119,"t")+COUNTIF($E119:AD119,"¶")+COUNTIF($E119:AD119,"²")+COUNTIF($E119:AD119,"µ")+COUNTIF($E119:AD119,1)),
HYPERLINK("#Roadmap!C"&amp; MATCH($E119,Roadmap!$D:$D,0)+COUNTIF($E119:AD119,"u")+COUNTIF($E119:AD119,"t"),
     INDEX(Roadmap!$D:$K,MATCH($E119,Roadmap!$D:$D,0)+COUNTIF($E119:AD119,"u")+COUNTIF($E119:AD119,"t")+COUNTIF($E119:AD119,"¶")+COUNTIF($E119:AD119,"²")+COUNTIF($E119:AD119,"µ")+COUNTIF($E119:AD119,1),ColTypeEcheance)),
  IF(LEN(AD119)=1,
  IF(LEN(INDEX(Roadmap!$D:$K,MATCH($E119,Roadmap!$D:$D,0)-1+COUNTIF($E119:AD119,"u")+COUNTIF($E119:AD119,"t")+COUNTIF($E119:AD119,"¶")+COUNTIF($E119:AD119,"²")+COUNTIF($E119:AD119,"µ")+COUNTIF($E119:AD119,1),ColDescriptionCourte))&gt;1,
HYPERLINK("#Roadmap!C"&amp; MATCH($E119,Roadmap!$D:$D,0)+COUNTIF($E119:AD119,"u")+COUNTIF($E119:AD119,"t")+COUNTIF($E119:AD119,"¶")+COUNTIF($E119:AD119,"²")+COUNTIF($E119:AD119,"µ")+COUNTIF($E119:AD119,1)-1,INDEX(Roadmap!$D:$K,MATCH($E119,Roadmap!$D:$D,0)-1+COUNTIF($E119:AD119,"u")+COUNTIF($E119:AD119,"t")+COUNTIF($E119:AD119,"¶")+COUNTIF($E119:AD119,"²")+COUNTIF($E119:AD119,"µ")+COUNTIF($E119:AD119,1),ColDescriptionCourte)),""),
  "")),"")</f>
        <v/>
      </c>
      <c r="AF119" s="40" t="str">
        <f ca="1">IFERROR(IF(AND(
  INDEX(Roadmap!$D:$K,MATCH($E119,Roadmap!$D:$D,0)+COUNTIF($E119:AE119,"u")+COUNTIF($E119:AE119,"t")+COUNTIF($E119:AE119,"¶")+COUNTIF($E119:AE119,"²")+COUNTIF($E119:AE119,"µ")+COUNTIF($E119:AE119,1),ColLivraison)=AF$6,
  VLOOKUP($E119,INDIRECT("tri!"&amp; CHAR(64+ C0Col) &amp;":"&amp; CHAR(65+C0Col)),2,FALSE)&gt;COUNTIF($E119:AE119,"u")+COUNTIF($E119:AE119,"t")+COUNTIF($E119:AE119,"¶")+COUNTIF($E119:AE119,"²")+COUNTIF($E119:AE119,"µ")+COUNTIF($E119:AE119,1)),
HYPERLINK("#Roadmap!C"&amp; MATCH($E119,Roadmap!$D:$D,0)+COUNTIF($E119:AE119,"u")+COUNTIF($E119:AE119,"t"),
     INDEX(Roadmap!$D:$K,MATCH($E119,Roadmap!$D:$D,0)+COUNTIF($E119:AE119,"u")+COUNTIF($E119:AE119,"t")+COUNTIF($E119:AE119,"¶")+COUNTIF($E119:AE119,"²")+COUNTIF($E119:AE119,"µ")+COUNTIF($E119:AE119,1),ColTypeEcheance)),
  IF(LEN(AE119)=1,
  IF(LEN(INDEX(Roadmap!$D:$K,MATCH($E119,Roadmap!$D:$D,0)-1+COUNTIF($E119:AE119,"u")+COUNTIF($E119:AE119,"t")+COUNTIF($E119:AE119,"¶")+COUNTIF($E119:AE119,"²")+COUNTIF($E119:AE119,"µ")+COUNTIF($E119:AE119,1),ColDescriptionCourte))&gt;1,
HYPERLINK("#Roadmap!C"&amp; MATCH($E119,Roadmap!$D:$D,0)+COUNTIF($E119:AE119,"u")+COUNTIF($E119:AE119,"t")+COUNTIF($E119:AE119,"¶")+COUNTIF($E119:AE119,"²")+COUNTIF($E119:AE119,"µ")+COUNTIF($E119:AE119,1)-1,INDEX(Roadmap!$D:$K,MATCH($E119,Roadmap!$D:$D,0)-1+COUNTIF($E119:AE119,"u")+COUNTIF($E119:AE119,"t")+COUNTIF($E119:AE119,"¶")+COUNTIF($E119:AE119,"²")+COUNTIF($E119:AE119,"µ")+COUNTIF($E119:AE119,1),ColDescriptionCourte)),""),
  "")),"")</f>
        <v/>
      </c>
      <c r="AG119" s="40" t="str">
        <f ca="1">IFERROR(IF(AND(
  INDEX(Roadmap!$D:$K,MATCH($E119,Roadmap!$D:$D,0)+COUNTIF($E119:AF119,"u")+COUNTIF($E119:AF119,"t")+COUNTIF($E119:AF119,"¶")+COUNTIF($E119:AF119,"²")+COUNTIF($E119:AF119,"µ")+COUNTIF($E119:AF119,1),ColLivraison)=AG$6,
  VLOOKUP($E119,INDIRECT("tri!"&amp; CHAR(64+ C0Col) &amp;":"&amp; CHAR(65+C0Col)),2,FALSE)&gt;COUNTIF($E119:AF119,"u")+COUNTIF($E119:AF119,"t")+COUNTIF($E119:AF119,"¶")+COUNTIF($E119:AF119,"²")+COUNTIF($E119:AF119,"µ")+COUNTIF($E119:AF119,1)),
HYPERLINK("#Roadmap!C"&amp; MATCH($E119,Roadmap!$D:$D,0)+COUNTIF($E119:AF119,"u")+COUNTIF($E119:AF119,"t"),
     INDEX(Roadmap!$D:$K,MATCH($E119,Roadmap!$D:$D,0)+COUNTIF($E119:AF119,"u")+COUNTIF($E119:AF119,"t")+COUNTIF($E119:AF119,"¶")+COUNTIF($E119:AF119,"²")+COUNTIF($E119:AF119,"µ")+COUNTIF($E119:AF119,1),ColTypeEcheance)),
  IF(LEN(AF119)=1,
  IF(LEN(INDEX(Roadmap!$D:$K,MATCH($E119,Roadmap!$D:$D,0)-1+COUNTIF($E119:AF119,"u")+COUNTIF($E119:AF119,"t")+COUNTIF($E119:AF119,"¶")+COUNTIF($E119:AF119,"²")+COUNTIF($E119:AF119,"µ")+COUNTIF($E119:AF119,1),ColDescriptionCourte))&gt;1,
HYPERLINK("#Roadmap!C"&amp; MATCH($E119,Roadmap!$D:$D,0)+COUNTIF($E119:AF119,"u")+COUNTIF($E119:AF119,"t")+COUNTIF($E119:AF119,"¶")+COUNTIF($E119:AF119,"²")+COUNTIF($E119:AF119,"µ")+COUNTIF($E119:AF119,1)-1,INDEX(Roadmap!$D:$K,MATCH($E119,Roadmap!$D:$D,0)-1+COUNTIF($E119:AF119,"u")+COUNTIF($E119:AF119,"t")+COUNTIF($E119:AF119,"¶")+COUNTIF($E119:AF119,"²")+COUNTIF($E119:AF119,"µ")+COUNTIF($E119:AF119,1),ColDescriptionCourte)),""),
  "")),"")</f>
        <v/>
      </c>
    </row>
    <row r="120" spans="3:33" ht="14.25" customHeight="1">
      <c r="C120" s="1" t="str">
        <f t="shared" ca="1" si="49"/>
        <v/>
      </c>
      <c r="D120" s="1" t="str">
        <f t="shared" ca="1" si="50"/>
        <v/>
      </c>
      <c r="E120" s="35" t="str">
        <f t="shared" ca="1" si="46"/>
        <v/>
      </c>
      <c r="F120" s="39" t="str">
        <f ca="1">IFERROR(IF(AND(
  INDEX(Roadmap!$D:$K,MATCH($E120,Roadmap!$D:$D,0)+COUNTIF($E120:E120,"u")+COUNTIF($E120:E120,"t")+COUNTIF($E120:E120,"¶")+COUNTIF($E120:E120,"²")+COUNTIF($E120:E120,"µ")+COUNTIF($E120:E120,1),ColLivraison)=F$6,
  VLOOKUP($E120,INDIRECT("tri!"&amp; CHAR(64+ C0Col) &amp;":"&amp; CHAR(65+C0Col)),2,FALSE)&gt;COUNTIF($E120:E120,"u")+COUNTIF($E120:E120,"t")+COUNTIF($E120:E120,"¶")+COUNTIF($E120:E120,"²")+COUNTIF($E120:E120,"µ")+COUNTIF($E120:E120,1)),
HYPERLINK("#Roadmap!C"&amp; MATCH($E120,Roadmap!$D:$D,0)+COUNTIF($E120:E120,"u")+COUNTIF($E120:E120,"t"),
     INDEX(Roadmap!$D:$K,MATCH($E120,Roadmap!$D:$D,0)+COUNTIF($E120:E120,"u")+COUNTIF($E120:E120,"t")+COUNTIF($E120:E120,"¶")+COUNTIF($E120:E120,"²")+COUNTIF($E120:E120,"µ")+COUNTIF($E120:E120,1),ColTypeEcheance)),
  IF(LEN(E120)=1,
  IF(LEN(INDEX(Roadmap!$D:$K,MATCH($E120,Roadmap!$D:$D,0)-1+COUNTIF($E120:E120,"u")+COUNTIF($E120:E120,"t")+COUNTIF($E120:E120,"¶")+COUNTIF($E120:E120,"²")+COUNTIF($E120:E120,"µ")+COUNTIF($E120:E120,1),ColDescriptionCourte))&gt;1,
HYPERLINK("#Roadmap!C"&amp; MATCH($E120,Roadmap!$D:$D,0)+COUNTIF($E120:E120,"u")+COUNTIF($E120:E120,"t")+COUNTIF($E120:E120,"¶")+COUNTIF($E120:E120,"²")+COUNTIF($E120:E120,"µ")+COUNTIF($E120:E120,1)-1,INDEX(Roadmap!$D:$K,MATCH($E120,Roadmap!$D:$D,0)-1+COUNTIF($E120:E120,"u")+COUNTIF($E120:E120,"t")+COUNTIF($E120:E120,"¶")+COUNTIF($E120:E120,"²")+COUNTIF($E120:E120,"µ")+COUNTIF($E120:E120,1),ColDescriptionCourte)),""),
  "")),"")</f>
        <v/>
      </c>
      <c r="G120" s="40" t="str">
        <f ca="1">IFERROR(IF(AND(
  INDEX(Roadmap!$D:$K,MATCH($E120,Roadmap!$D:$D,0)+COUNTIF($E120:F120,"u")+COUNTIF($E120:F120,"t")+COUNTIF($E120:F120,"¶")+COUNTIF($E120:F120,"²")+COUNTIF($E120:F120,"µ")+COUNTIF($E120:F120,1),ColLivraison)=G$6,
  VLOOKUP($E120,INDIRECT("tri!"&amp; CHAR(64+ C0Col) &amp;":"&amp; CHAR(65+C0Col)),2,FALSE)&gt;COUNTIF($E120:F120,"u")+COUNTIF($E120:F120,"t")+COUNTIF($E120:F120,"¶")+COUNTIF($E120:F120,"²")+COUNTIF($E120:F120,"µ")+COUNTIF($E120:F120,1)),
HYPERLINK("#Roadmap!C"&amp; MATCH($E120,Roadmap!$D:$D,0)+COUNTIF($E120:F120,"u")+COUNTIF($E120:F120,"t"),
     INDEX(Roadmap!$D:$K,MATCH($E120,Roadmap!$D:$D,0)+COUNTIF($E120:F120,"u")+COUNTIF($E120:F120,"t")+COUNTIF($E120:F120,"¶")+COUNTIF($E120:F120,"²")+COUNTIF($E120:F120,"µ")+COUNTIF($E120:F120,1),ColTypeEcheance)),
  IF(LEN(F120)=1,
  IF(LEN(INDEX(Roadmap!$D:$K,MATCH($E120,Roadmap!$D:$D,0)-1+COUNTIF($E120:F120,"u")+COUNTIF($E120:F120,"t")+COUNTIF($E120:F120,"¶")+COUNTIF($E120:F120,"²")+COUNTIF($E120:F120,"µ")+COUNTIF($E120:F120,1),ColDescriptionCourte))&gt;1,
HYPERLINK("#Roadmap!C"&amp; MATCH($E120,Roadmap!$D:$D,0)+COUNTIF($E120:F120,"u")+COUNTIF($E120:F120,"t")+COUNTIF($E120:F120,"¶")+COUNTIF($E120:F120,"²")+COUNTIF($E120:F120,"µ")+COUNTIF($E120:F120,1)-1,INDEX(Roadmap!$D:$K,MATCH($E120,Roadmap!$D:$D,0)-1+COUNTIF($E120:F120,"u")+COUNTIF($E120:F120,"t")+COUNTIF($E120:F120,"¶")+COUNTIF($E120:F120,"²")+COUNTIF($E120:F120,"µ")+COUNTIF($E120:F120,1),ColDescriptionCourte)),""),
  "")),"")</f>
        <v/>
      </c>
      <c r="H120" s="40" t="str">
        <f ca="1">IFERROR(IF(AND(
  INDEX(Roadmap!$D:$K,MATCH($E120,Roadmap!$D:$D,0)+COUNTIF($E120:G120,"u")+COUNTIF($E120:G120,"t")+COUNTIF($E120:G120,"¶")+COUNTIF($E120:G120,"²")+COUNTIF($E120:G120,"µ")+COUNTIF($E120:G120,1),ColLivraison)=H$6,
  VLOOKUP($E120,INDIRECT("tri!"&amp; CHAR(64+ C0Col) &amp;":"&amp; CHAR(65+C0Col)),2,FALSE)&gt;COUNTIF($E120:G120,"u")+COUNTIF($E120:G120,"t")+COUNTIF($E120:G120,"¶")+COUNTIF($E120:G120,"²")+COUNTIF($E120:G120,"µ")+COUNTIF($E120:G120,1)),
HYPERLINK("#Roadmap!C"&amp; MATCH($E120,Roadmap!$D:$D,0)+COUNTIF($E120:G120,"u")+COUNTIF($E120:G120,"t"),
     INDEX(Roadmap!$D:$K,MATCH($E120,Roadmap!$D:$D,0)+COUNTIF($E120:G120,"u")+COUNTIF($E120:G120,"t")+COUNTIF($E120:G120,"¶")+COUNTIF($E120:G120,"²")+COUNTIF($E120:G120,"µ")+COUNTIF($E120:G120,1),ColTypeEcheance)),
  IF(LEN(G120)=1,
  IF(LEN(INDEX(Roadmap!$D:$K,MATCH($E120,Roadmap!$D:$D,0)-1+COUNTIF($E120:G120,"u")+COUNTIF($E120:G120,"t")+COUNTIF($E120:G120,"¶")+COUNTIF($E120:G120,"²")+COUNTIF($E120:G120,"µ")+COUNTIF($E120:G120,1),ColDescriptionCourte))&gt;1,
HYPERLINK("#Roadmap!C"&amp; MATCH($E120,Roadmap!$D:$D,0)+COUNTIF($E120:G120,"u")+COUNTIF($E120:G120,"t")+COUNTIF($E120:G120,"¶")+COUNTIF($E120:G120,"²")+COUNTIF($E120:G120,"µ")+COUNTIF($E120:G120,1)-1,INDEX(Roadmap!$D:$K,MATCH($E120,Roadmap!$D:$D,0)-1+COUNTIF($E120:G120,"u")+COUNTIF($E120:G120,"t")+COUNTIF($E120:G120,"¶")+COUNTIF($E120:G120,"²")+COUNTIF($E120:G120,"µ")+COUNTIF($E120:G120,1),ColDescriptionCourte)),""),
  "")),"")</f>
        <v/>
      </c>
      <c r="I120" s="40" t="str">
        <f ca="1">IFERROR(IF(AND(
  INDEX(Roadmap!$D:$K,MATCH($E120,Roadmap!$D:$D,0)+COUNTIF($E120:H120,"u")+COUNTIF($E120:H120,"t")+COUNTIF($E120:H120,"¶")+COUNTIF($E120:H120,"²")+COUNTIF($E120:H120,"µ")+COUNTIF($E120:H120,1),ColLivraison)=I$6,
  VLOOKUP($E120,INDIRECT("tri!"&amp; CHAR(64+ C0Col) &amp;":"&amp; CHAR(65+C0Col)),2,FALSE)&gt;COUNTIF($E120:H120,"u")+COUNTIF($E120:H120,"t")+COUNTIF($E120:H120,"¶")+COUNTIF($E120:H120,"²")+COUNTIF($E120:H120,"µ")+COUNTIF($E120:H120,1)),
HYPERLINK("#Roadmap!C"&amp; MATCH($E120,Roadmap!$D:$D,0)+COUNTIF($E120:H120,"u")+COUNTIF($E120:H120,"t"),
     INDEX(Roadmap!$D:$K,MATCH($E120,Roadmap!$D:$D,0)+COUNTIF($E120:H120,"u")+COUNTIF($E120:H120,"t")+COUNTIF($E120:H120,"¶")+COUNTIF($E120:H120,"²")+COUNTIF($E120:H120,"µ")+COUNTIF($E120:H120,1),ColTypeEcheance)),
  IF(LEN(H120)=1,
  IF(LEN(INDEX(Roadmap!$D:$K,MATCH($E120,Roadmap!$D:$D,0)-1+COUNTIF($E120:H120,"u")+COUNTIF($E120:H120,"t")+COUNTIF($E120:H120,"¶")+COUNTIF($E120:H120,"²")+COUNTIF($E120:H120,"µ")+COUNTIF($E120:H120,1),ColDescriptionCourte))&gt;1,
HYPERLINK("#Roadmap!C"&amp; MATCH($E120,Roadmap!$D:$D,0)+COUNTIF($E120:H120,"u")+COUNTIF($E120:H120,"t")+COUNTIF($E120:H120,"¶")+COUNTIF($E120:H120,"²")+COUNTIF($E120:H120,"µ")+COUNTIF($E120:H120,1)-1,INDEX(Roadmap!$D:$K,MATCH($E120,Roadmap!$D:$D,0)-1+COUNTIF($E120:H120,"u")+COUNTIF($E120:H120,"t")+COUNTIF($E120:H120,"¶")+COUNTIF($E120:H120,"²")+COUNTIF($E120:H120,"µ")+COUNTIF($E120:H120,1),ColDescriptionCourte)),""),
  "")),"")</f>
        <v/>
      </c>
      <c r="J120" s="40" t="str">
        <f ca="1">IFERROR(IF(AND(
  INDEX(Roadmap!$D:$K,MATCH($E120,Roadmap!$D:$D,0)+COUNTIF($E120:I120,"u")+COUNTIF($E120:I120,"t")+COUNTIF($E120:I120,"¶")+COUNTIF($E120:I120,"²")+COUNTIF($E120:I120,"µ")+COUNTIF($E120:I120,1),ColLivraison)=J$6,
  VLOOKUP($E120,INDIRECT("tri!"&amp; CHAR(64+ C0Col) &amp;":"&amp; CHAR(65+C0Col)),2,FALSE)&gt;COUNTIF($E120:I120,"u")+COUNTIF($E120:I120,"t")+COUNTIF($E120:I120,"¶")+COUNTIF($E120:I120,"²")+COUNTIF($E120:I120,"µ")+COUNTIF($E120:I120,1)),
HYPERLINK("#Roadmap!C"&amp; MATCH($E120,Roadmap!$D:$D,0)+COUNTIF($E120:I120,"u")+COUNTIF($E120:I120,"t"),
     INDEX(Roadmap!$D:$K,MATCH($E120,Roadmap!$D:$D,0)+COUNTIF($E120:I120,"u")+COUNTIF($E120:I120,"t")+COUNTIF($E120:I120,"¶")+COUNTIF($E120:I120,"²")+COUNTIF($E120:I120,"µ")+COUNTIF($E120:I120,1),ColTypeEcheance)),
  IF(LEN(I120)=1,
  IF(LEN(INDEX(Roadmap!$D:$K,MATCH($E120,Roadmap!$D:$D,0)-1+COUNTIF($E120:I120,"u")+COUNTIF($E120:I120,"t")+COUNTIF($E120:I120,"¶")+COUNTIF($E120:I120,"²")+COUNTIF($E120:I120,"µ")+COUNTIF($E120:I120,1),ColDescriptionCourte))&gt;1,
HYPERLINK("#Roadmap!C"&amp; MATCH($E120,Roadmap!$D:$D,0)+COUNTIF($E120:I120,"u")+COUNTIF($E120:I120,"t")+COUNTIF($E120:I120,"¶")+COUNTIF($E120:I120,"²")+COUNTIF($E120:I120,"µ")+COUNTIF($E120:I120,1)-1,INDEX(Roadmap!$D:$K,MATCH($E120,Roadmap!$D:$D,0)-1+COUNTIF($E120:I120,"u")+COUNTIF($E120:I120,"t")+COUNTIF($E120:I120,"¶")+COUNTIF($E120:I120,"²")+COUNTIF($E120:I120,"µ")+COUNTIF($E120:I120,1),ColDescriptionCourte)),""),
  "")),"")</f>
        <v/>
      </c>
      <c r="K120" s="40" t="str">
        <f ca="1">IFERROR(IF(AND(
  INDEX(Roadmap!$D:$K,MATCH($E120,Roadmap!$D:$D,0)+COUNTIF($E120:J120,"u")+COUNTIF($E120:J120,"t")+COUNTIF($E120:J120,"¶")+COUNTIF($E120:J120,"²")+COUNTIF($E120:J120,"µ")+COUNTIF($E120:J120,1),ColLivraison)=K$6,
  VLOOKUP($E120,INDIRECT("tri!"&amp; CHAR(64+ C0Col) &amp;":"&amp; CHAR(65+C0Col)),2,FALSE)&gt;COUNTIF($E120:J120,"u")+COUNTIF($E120:J120,"t")+COUNTIF($E120:J120,"¶")+COUNTIF($E120:J120,"²")+COUNTIF($E120:J120,"µ")+COUNTIF($E120:J120,1)),
HYPERLINK("#Roadmap!C"&amp; MATCH($E120,Roadmap!$D:$D,0)+COUNTIF($E120:J120,"u")+COUNTIF($E120:J120,"t"),
     INDEX(Roadmap!$D:$K,MATCH($E120,Roadmap!$D:$D,0)+COUNTIF($E120:J120,"u")+COUNTIF($E120:J120,"t")+COUNTIF($E120:J120,"¶")+COUNTIF($E120:J120,"²")+COUNTIF($E120:J120,"µ")+COUNTIF($E120:J120,1),ColTypeEcheance)),
  IF(LEN(J120)=1,
  IF(LEN(INDEX(Roadmap!$D:$K,MATCH($E120,Roadmap!$D:$D,0)-1+COUNTIF($E120:J120,"u")+COUNTIF($E120:J120,"t")+COUNTIF($E120:J120,"¶")+COUNTIF($E120:J120,"²")+COUNTIF($E120:J120,"µ")+COUNTIF($E120:J120,1),ColDescriptionCourte))&gt;1,
HYPERLINK("#Roadmap!C"&amp; MATCH($E120,Roadmap!$D:$D,0)+COUNTIF($E120:J120,"u")+COUNTIF($E120:J120,"t")+COUNTIF($E120:J120,"¶")+COUNTIF($E120:J120,"²")+COUNTIF($E120:J120,"µ")+COUNTIF($E120:J120,1)-1,INDEX(Roadmap!$D:$K,MATCH($E120,Roadmap!$D:$D,0)-1+COUNTIF($E120:J120,"u")+COUNTIF($E120:J120,"t")+COUNTIF($E120:J120,"¶")+COUNTIF($E120:J120,"²")+COUNTIF($E120:J120,"µ")+COUNTIF($E120:J120,1),ColDescriptionCourte)),""),
  "")),"")</f>
        <v/>
      </c>
      <c r="L120" s="39" t="str">
        <f ca="1">IFERROR(IF(AND(
  INDEX(Roadmap!$D:$K,MATCH($E120,Roadmap!$D:$D,0)+COUNTIF($E120:K120,"u")+COUNTIF($E120:K120,"t")+COUNTIF($E120:K120,"¶")+COUNTIF($E120:K120,"²")+COUNTIF($E120:K120,"µ")+COUNTIF($E120:K120,1),ColLivraison)=L$6,
  VLOOKUP($E120,INDIRECT("tri!"&amp; CHAR(64+ C0Col) &amp;":"&amp; CHAR(65+C0Col)),2,FALSE)&gt;COUNTIF($E120:K120,"u")+COUNTIF($E120:K120,"t")+COUNTIF($E120:K120,"¶")+COUNTIF($E120:K120,"²")+COUNTIF($E120:K120,"µ")+COUNTIF($E120:K120,1)),
HYPERLINK("#Roadmap!C"&amp; MATCH($E120,Roadmap!$D:$D,0)+COUNTIF($E120:K120,"u")+COUNTIF($E120:K120,"t"),
     INDEX(Roadmap!$D:$K,MATCH($E120,Roadmap!$D:$D,0)+COUNTIF($E120:K120,"u")+COUNTIF($E120:K120,"t")+COUNTIF($E120:K120,"¶")+COUNTIF($E120:K120,"²")+COUNTIF($E120:K120,"µ")+COUNTIF($E120:K120,1),ColTypeEcheance)),
  IF(LEN(K120)=1,
  IF(LEN(INDEX(Roadmap!$D:$K,MATCH($E120,Roadmap!$D:$D,0)-1+COUNTIF($E120:K120,"u")+COUNTIF($E120:K120,"t")+COUNTIF($E120:K120,"¶")+COUNTIF($E120:K120,"²")+COUNTIF($E120:K120,"µ")+COUNTIF($E120:K120,1),ColDescriptionCourte))&gt;1,
HYPERLINK("#Roadmap!C"&amp; MATCH($E120,Roadmap!$D:$D,0)+COUNTIF($E120:K120,"u")+COUNTIF($E120:K120,"t")+COUNTIF($E120:K120,"¶")+COUNTIF($E120:K120,"²")+COUNTIF($E120:K120,"µ")+COUNTIF($E120:K120,1)-1,INDEX(Roadmap!$D:$K,MATCH($E120,Roadmap!$D:$D,0)-1+COUNTIF($E120:K120,"u")+COUNTIF($E120:K120,"t")+COUNTIF($E120:K120,"¶")+COUNTIF($E120:K120,"²")+COUNTIF($E120:K120,"µ")+COUNTIF($E120:K120,1),ColDescriptionCourte)),""),
  "")),"")</f>
        <v/>
      </c>
      <c r="M120" s="40" t="str">
        <f ca="1">IFERROR(IF(AND(
  INDEX(Roadmap!$D:$K,MATCH($E120,Roadmap!$D:$D,0)+COUNTIF($E120:L120,"u")+COUNTIF($E120:L120,"t")+COUNTIF($E120:L120,"¶")+COUNTIF($E120:L120,"²")+COUNTIF($E120:L120,"µ")+COUNTIF($E120:L120,1),ColLivraison)=M$6,
  VLOOKUP($E120,INDIRECT("tri!"&amp; CHAR(64+ C0Col) &amp;":"&amp; CHAR(65+C0Col)),2,FALSE)&gt;COUNTIF($E120:L120,"u")+COUNTIF($E120:L120,"t")+COUNTIF($E120:L120,"¶")+COUNTIF($E120:L120,"²")+COUNTIF($E120:L120,"µ")+COUNTIF($E120:L120,1)),
HYPERLINK("#Roadmap!C"&amp; MATCH($E120,Roadmap!$D:$D,0)+COUNTIF($E120:L120,"u")+COUNTIF($E120:L120,"t"),
     INDEX(Roadmap!$D:$K,MATCH($E120,Roadmap!$D:$D,0)+COUNTIF($E120:L120,"u")+COUNTIF($E120:L120,"t")+COUNTIF($E120:L120,"¶")+COUNTIF($E120:L120,"²")+COUNTIF($E120:L120,"µ")+COUNTIF($E120:L120,1),ColTypeEcheance)),
  IF(LEN(L120)=1,
  IF(LEN(INDEX(Roadmap!$D:$K,MATCH($E120,Roadmap!$D:$D,0)-1+COUNTIF($E120:L120,"u")+COUNTIF($E120:L120,"t")+COUNTIF($E120:L120,"¶")+COUNTIF($E120:L120,"²")+COUNTIF($E120:L120,"µ")+COUNTIF($E120:L120,1),ColDescriptionCourte))&gt;1,
HYPERLINK("#Roadmap!C"&amp; MATCH($E120,Roadmap!$D:$D,0)+COUNTIF($E120:L120,"u")+COUNTIF($E120:L120,"t")+COUNTIF($E120:L120,"¶")+COUNTIF($E120:L120,"²")+COUNTIF($E120:L120,"µ")+COUNTIF($E120:L120,1)-1,INDEX(Roadmap!$D:$K,MATCH($E120,Roadmap!$D:$D,0)-1+COUNTIF($E120:L120,"u")+COUNTIF($E120:L120,"t")+COUNTIF($E120:L120,"¶")+COUNTIF($E120:L120,"²")+COUNTIF($E120:L120,"µ")+COUNTIF($E120:L120,1),ColDescriptionCourte)),""),
  "")),"")</f>
        <v/>
      </c>
      <c r="N120" s="40" t="str">
        <f ca="1">IFERROR(IF(AND(
  INDEX(Roadmap!$D:$K,MATCH($E120,Roadmap!$D:$D,0)+COUNTIF($E120:M120,"u")+COUNTIF($E120:M120,"t")+COUNTIF($E120:M120,"¶")+COUNTIF($E120:M120,"²")+COUNTIF($E120:M120,"µ")+COUNTIF($E120:M120,1),ColLivraison)=N$6,
  VLOOKUP($E120,INDIRECT("tri!"&amp; CHAR(64+ C0Col) &amp;":"&amp; CHAR(65+C0Col)),2,FALSE)&gt;COUNTIF($E120:M120,"u")+COUNTIF($E120:M120,"t")+COUNTIF($E120:M120,"¶")+COUNTIF($E120:M120,"²")+COUNTIF($E120:M120,"µ")+COUNTIF($E120:M120,1)),
HYPERLINK("#Roadmap!C"&amp; MATCH($E120,Roadmap!$D:$D,0)+COUNTIF($E120:M120,"u")+COUNTIF($E120:M120,"t"),
     INDEX(Roadmap!$D:$K,MATCH($E120,Roadmap!$D:$D,0)+COUNTIF($E120:M120,"u")+COUNTIF($E120:M120,"t")+COUNTIF($E120:M120,"¶")+COUNTIF($E120:M120,"²")+COUNTIF($E120:M120,"µ")+COUNTIF($E120:M120,1),ColTypeEcheance)),
  IF(LEN(M120)=1,
  IF(LEN(INDEX(Roadmap!$D:$K,MATCH($E120,Roadmap!$D:$D,0)-1+COUNTIF($E120:M120,"u")+COUNTIF($E120:M120,"t")+COUNTIF($E120:M120,"¶")+COUNTIF($E120:M120,"²")+COUNTIF($E120:M120,"µ")+COUNTIF($E120:M120,1),ColDescriptionCourte))&gt;1,
HYPERLINK("#Roadmap!C"&amp; MATCH($E120,Roadmap!$D:$D,0)+COUNTIF($E120:M120,"u")+COUNTIF($E120:M120,"t")+COUNTIF($E120:M120,"¶")+COUNTIF($E120:M120,"²")+COUNTIF($E120:M120,"µ")+COUNTIF($E120:M120,1)-1,INDEX(Roadmap!$D:$K,MATCH($E120,Roadmap!$D:$D,0)-1+COUNTIF($E120:M120,"u")+COUNTIF($E120:M120,"t")+COUNTIF($E120:M120,"¶")+COUNTIF($E120:M120,"²")+COUNTIF($E120:M120,"µ")+COUNTIF($E120:M120,1),ColDescriptionCourte)),""),
  "")),"")</f>
        <v/>
      </c>
      <c r="O120" s="40" t="str">
        <f ca="1">IFERROR(IF(AND(
  INDEX(Roadmap!$D:$K,MATCH($E120,Roadmap!$D:$D,0)+COUNTIF($E120:N120,"u")+COUNTIF($E120:N120,"t")+COUNTIF($E120:N120,"¶")+COUNTIF($E120:N120,"²")+COUNTIF($E120:N120,"µ")+COUNTIF($E120:N120,1),ColLivraison)=O$6,
  VLOOKUP($E120,INDIRECT("tri!"&amp; CHAR(64+ C0Col) &amp;":"&amp; CHAR(65+C0Col)),2,FALSE)&gt;COUNTIF($E120:N120,"u")+COUNTIF($E120:N120,"t")+COUNTIF($E120:N120,"¶")+COUNTIF($E120:N120,"²")+COUNTIF($E120:N120,"µ")+COUNTIF($E120:N120,1)),
HYPERLINK("#Roadmap!C"&amp; MATCH($E120,Roadmap!$D:$D,0)+COUNTIF($E120:N120,"u")+COUNTIF($E120:N120,"t"),
     INDEX(Roadmap!$D:$K,MATCH($E120,Roadmap!$D:$D,0)+COUNTIF($E120:N120,"u")+COUNTIF($E120:N120,"t")+COUNTIF($E120:N120,"¶")+COUNTIF($E120:N120,"²")+COUNTIF($E120:N120,"µ")+COUNTIF($E120:N120,1),ColTypeEcheance)),
  IF(LEN(N120)=1,
  IF(LEN(INDEX(Roadmap!$D:$K,MATCH($E120,Roadmap!$D:$D,0)-1+COUNTIF($E120:N120,"u")+COUNTIF($E120:N120,"t")+COUNTIF($E120:N120,"¶")+COUNTIF($E120:N120,"²")+COUNTIF($E120:N120,"µ")+COUNTIF($E120:N120,1),ColDescriptionCourte))&gt;1,
HYPERLINK("#Roadmap!C"&amp; MATCH($E120,Roadmap!$D:$D,0)+COUNTIF($E120:N120,"u")+COUNTIF($E120:N120,"t")+COUNTIF($E120:N120,"¶")+COUNTIF($E120:N120,"²")+COUNTIF($E120:N120,"µ")+COUNTIF($E120:N120,1)-1,INDEX(Roadmap!$D:$K,MATCH($E120,Roadmap!$D:$D,0)-1+COUNTIF($E120:N120,"u")+COUNTIF($E120:N120,"t")+COUNTIF($E120:N120,"¶")+COUNTIF($E120:N120,"²")+COUNTIF($E120:N120,"µ")+COUNTIF($E120:N120,1),ColDescriptionCourte)),""),
  "")),"")</f>
        <v/>
      </c>
      <c r="P120" s="40" t="str">
        <f ca="1">IFERROR(IF(AND(
  INDEX(Roadmap!$D:$K,MATCH($E120,Roadmap!$D:$D,0)+COUNTIF($E120:O120,"u")+COUNTIF($E120:O120,"t")+COUNTIF($E120:O120,"¶")+COUNTIF($E120:O120,"²")+COUNTIF($E120:O120,"µ")+COUNTIF($E120:O120,1),ColLivraison)=P$6,
  VLOOKUP($E120,INDIRECT("tri!"&amp; CHAR(64+ C0Col) &amp;":"&amp; CHAR(65+C0Col)),2,FALSE)&gt;COUNTIF($E120:O120,"u")+COUNTIF($E120:O120,"t")+COUNTIF($E120:O120,"¶")+COUNTIF($E120:O120,"²")+COUNTIF($E120:O120,"µ")+COUNTIF($E120:O120,1)),
HYPERLINK("#Roadmap!C"&amp; MATCH($E120,Roadmap!$D:$D,0)+COUNTIF($E120:O120,"u")+COUNTIF($E120:O120,"t"),
     INDEX(Roadmap!$D:$K,MATCH($E120,Roadmap!$D:$D,0)+COUNTIF($E120:O120,"u")+COUNTIF($E120:O120,"t")+COUNTIF($E120:O120,"¶")+COUNTIF($E120:O120,"²")+COUNTIF($E120:O120,"µ")+COUNTIF($E120:O120,1),ColTypeEcheance)),
  IF(LEN(O120)=1,
  IF(LEN(INDEX(Roadmap!$D:$K,MATCH($E120,Roadmap!$D:$D,0)-1+COUNTIF($E120:O120,"u")+COUNTIF($E120:O120,"t")+COUNTIF($E120:O120,"¶")+COUNTIF($E120:O120,"²")+COUNTIF($E120:O120,"µ")+COUNTIF($E120:O120,1),ColDescriptionCourte))&gt;1,
HYPERLINK("#Roadmap!C"&amp; MATCH($E120,Roadmap!$D:$D,0)+COUNTIF($E120:O120,"u")+COUNTIF($E120:O120,"t")+COUNTIF($E120:O120,"¶")+COUNTIF($E120:O120,"²")+COUNTIF($E120:O120,"µ")+COUNTIF($E120:O120,1)-1,INDEX(Roadmap!$D:$K,MATCH($E120,Roadmap!$D:$D,0)-1+COUNTIF($E120:O120,"u")+COUNTIF($E120:O120,"t")+COUNTIF($E120:O120,"¶")+COUNTIF($E120:O120,"²")+COUNTIF($E120:O120,"µ")+COUNTIF($E120:O120,1),ColDescriptionCourte)),""),
  "")),"")</f>
        <v/>
      </c>
      <c r="Q120" s="40" t="str">
        <f ca="1">IFERROR(IF(AND(
  INDEX(Roadmap!$D:$K,MATCH($E120,Roadmap!$D:$D,0)+COUNTIF($E120:P120,"u")+COUNTIF($E120:P120,"t")+COUNTIF($E120:P120,"¶")+COUNTIF($E120:P120,"²")+COUNTIF($E120:P120,"µ")+COUNTIF($E120:P120,1),ColLivraison)=Q$6,
  VLOOKUP($E120,INDIRECT("tri!"&amp; CHAR(64+ C0Col) &amp;":"&amp; CHAR(65+C0Col)),2,FALSE)&gt;COUNTIF($E120:P120,"u")+COUNTIF($E120:P120,"t")+COUNTIF($E120:P120,"¶")+COUNTIF($E120:P120,"²")+COUNTIF($E120:P120,"µ")+COUNTIF($E120:P120,1)),
HYPERLINK("#Roadmap!C"&amp; MATCH($E120,Roadmap!$D:$D,0)+COUNTIF($E120:P120,"u")+COUNTIF($E120:P120,"t"),
     INDEX(Roadmap!$D:$K,MATCH($E120,Roadmap!$D:$D,0)+COUNTIF($E120:P120,"u")+COUNTIF($E120:P120,"t")+COUNTIF($E120:P120,"¶")+COUNTIF($E120:P120,"²")+COUNTIF($E120:P120,"µ")+COUNTIF($E120:P120,1),ColTypeEcheance)),
  IF(LEN(P120)=1,
  IF(LEN(INDEX(Roadmap!$D:$K,MATCH($E120,Roadmap!$D:$D,0)-1+COUNTIF($E120:P120,"u")+COUNTIF($E120:P120,"t")+COUNTIF($E120:P120,"¶")+COUNTIF($E120:P120,"²")+COUNTIF($E120:P120,"µ")+COUNTIF($E120:P120,1),ColDescriptionCourte))&gt;1,
HYPERLINK("#Roadmap!C"&amp; MATCH($E120,Roadmap!$D:$D,0)+COUNTIF($E120:P120,"u")+COUNTIF($E120:P120,"t")+COUNTIF($E120:P120,"¶")+COUNTIF($E120:P120,"²")+COUNTIF($E120:P120,"µ")+COUNTIF($E120:P120,1)-1,INDEX(Roadmap!$D:$K,MATCH($E120,Roadmap!$D:$D,0)-1+COUNTIF($E120:P120,"u")+COUNTIF($E120:P120,"t")+COUNTIF($E120:P120,"¶")+COUNTIF($E120:P120,"²")+COUNTIF($E120:P120,"µ")+COUNTIF($E120:P120,1),ColDescriptionCourte)),""),
  "")),"")</f>
        <v/>
      </c>
      <c r="R120" s="40" t="str">
        <f ca="1">IFERROR(IF(AND(
  INDEX(Roadmap!$D:$K,MATCH($E120,Roadmap!$D:$D,0)+COUNTIF($E120:Q120,"u")+COUNTIF($E120:Q120,"t")+COUNTIF($E120:Q120,"¶")+COUNTIF($E120:Q120,"²")+COUNTIF($E120:Q120,"µ")+COUNTIF($E120:Q120,1),ColLivraison)=R$6,
  VLOOKUP($E120,INDIRECT("tri!"&amp; CHAR(64+ C0Col) &amp;":"&amp; CHAR(65+C0Col)),2,FALSE)&gt;COUNTIF($E120:Q120,"u")+COUNTIF($E120:Q120,"t")+COUNTIF($E120:Q120,"¶")+COUNTIF($E120:Q120,"²")+COUNTIF($E120:Q120,"µ")+COUNTIF($E120:Q120,1)),
HYPERLINK("#Roadmap!C"&amp; MATCH($E120,Roadmap!$D:$D,0)+COUNTIF($E120:Q120,"u")+COUNTIF($E120:Q120,"t"),
     INDEX(Roadmap!$D:$K,MATCH($E120,Roadmap!$D:$D,0)+COUNTIF($E120:Q120,"u")+COUNTIF($E120:Q120,"t")+COUNTIF($E120:Q120,"¶")+COUNTIF($E120:Q120,"²")+COUNTIF($E120:Q120,"µ")+COUNTIF($E120:Q120,1),ColTypeEcheance)),
  IF(LEN(Q120)=1,
  IF(LEN(INDEX(Roadmap!$D:$K,MATCH($E120,Roadmap!$D:$D,0)-1+COUNTIF($E120:Q120,"u")+COUNTIF($E120:Q120,"t")+COUNTIF($E120:Q120,"¶")+COUNTIF($E120:Q120,"²")+COUNTIF($E120:Q120,"µ")+COUNTIF($E120:Q120,1),ColDescriptionCourte))&gt;1,
HYPERLINK("#Roadmap!C"&amp; MATCH($E120,Roadmap!$D:$D,0)+COUNTIF($E120:Q120,"u")+COUNTIF($E120:Q120,"t")+COUNTIF($E120:Q120,"¶")+COUNTIF($E120:Q120,"²")+COUNTIF($E120:Q120,"µ")+COUNTIF($E120:Q120,1)-1,INDEX(Roadmap!$D:$K,MATCH($E120,Roadmap!$D:$D,0)-1+COUNTIF($E120:Q120,"u")+COUNTIF($E120:Q120,"t")+COUNTIF($E120:Q120,"¶")+COUNTIF($E120:Q120,"²")+COUNTIF($E120:Q120,"µ")+COUNTIF($E120:Q120,1),ColDescriptionCourte)),""),
  "")),"")</f>
        <v/>
      </c>
      <c r="S120" s="40" t="str">
        <f ca="1">IFERROR(IF(AND(
  INDEX(Roadmap!$D:$K,MATCH($E120,Roadmap!$D:$D,0)+COUNTIF($E120:R120,"u")+COUNTIF($E120:R120,"t")+COUNTIF($E120:R120,"¶")+COUNTIF($E120:R120,"²")+COUNTIF($E120:R120,"µ")+COUNTIF($E120:R120,1),ColLivraison)=S$6,
  VLOOKUP($E120,INDIRECT("tri!"&amp; CHAR(64+ C0Col) &amp;":"&amp; CHAR(65+C0Col)),2,FALSE)&gt;COUNTIF($E120:R120,"u")+COUNTIF($E120:R120,"t")+COUNTIF($E120:R120,"¶")+COUNTIF($E120:R120,"²")+COUNTIF($E120:R120,"µ")+COUNTIF($E120:R120,1)),
HYPERLINK("#Roadmap!C"&amp; MATCH($E120,Roadmap!$D:$D,0)+COUNTIF($E120:R120,"u")+COUNTIF($E120:R120,"t"),
     INDEX(Roadmap!$D:$K,MATCH($E120,Roadmap!$D:$D,0)+COUNTIF($E120:R120,"u")+COUNTIF($E120:R120,"t")+COUNTIF($E120:R120,"¶")+COUNTIF($E120:R120,"²")+COUNTIF($E120:R120,"µ")+COUNTIF($E120:R120,1),ColTypeEcheance)),
  IF(LEN(R120)=1,
  IF(LEN(INDEX(Roadmap!$D:$K,MATCH($E120,Roadmap!$D:$D,0)-1+COUNTIF($E120:R120,"u")+COUNTIF($E120:R120,"t")+COUNTIF($E120:R120,"¶")+COUNTIF($E120:R120,"²")+COUNTIF($E120:R120,"µ")+COUNTIF($E120:R120,1),ColDescriptionCourte))&gt;1,
HYPERLINK("#Roadmap!C"&amp; MATCH($E120,Roadmap!$D:$D,0)+COUNTIF($E120:R120,"u")+COUNTIF($E120:R120,"t")+COUNTIF($E120:R120,"¶")+COUNTIF($E120:R120,"²")+COUNTIF($E120:R120,"µ")+COUNTIF($E120:R120,1)-1,INDEX(Roadmap!$D:$K,MATCH($E120,Roadmap!$D:$D,0)-1+COUNTIF($E120:R120,"u")+COUNTIF($E120:R120,"t")+COUNTIF($E120:R120,"¶")+COUNTIF($E120:R120,"²")+COUNTIF($E120:R120,"µ")+COUNTIF($E120:R120,1),ColDescriptionCourte)),""),
  "")),"")</f>
        <v/>
      </c>
      <c r="T120" s="40" t="str">
        <f ca="1">IFERROR(IF(AND(
  INDEX(Roadmap!$D:$K,MATCH($E120,Roadmap!$D:$D,0)+COUNTIF($E120:S120,"u")+COUNTIF($E120:S120,"t")+COUNTIF($E120:S120,"¶")+COUNTIF($E120:S120,"²")+COUNTIF($E120:S120,"µ")+COUNTIF($E120:S120,1),ColLivraison)=T$6,
  VLOOKUP($E120,INDIRECT("tri!"&amp; CHAR(64+ C0Col) &amp;":"&amp; CHAR(65+C0Col)),2,FALSE)&gt;COUNTIF($E120:S120,"u")+COUNTIF($E120:S120,"t")+COUNTIF($E120:S120,"¶")+COUNTIF($E120:S120,"²")+COUNTIF($E120:S120,"µ")+COUNTIF($E120:S120,1)),
HYPERLINK("#Roadmap!C"&amp; MATCH($E120,Roadmap!$D:$D,0)+COUNTIF($E120:S120,"u")+COUNTIF($E120:S120,"t"),
     INDEX(Roadmap!$D:$K,MATCH($E120,Roadmap!$D:$D,0)+COUNTIF($E120:S120,"u")+COUNTIF($E120:S120,"t")+COUNTIF($E120:S120,"¶")+COUNTIF($E120:S120,"²")+COUNTIF($E120:S120,"µ")+COUNTIF($E120:S120,1),ColTypeEcheance)),
  IF(LEN(S120)=1,
  IF(LEN(INDEX(Roadmap!$D:$K,MATCH($E120,Roadmap!$D:$D,0)-1+COUNTIF($E120:S120,"u")+COUNTIF($E120:S120,"t")+COUNTIF($E120:S120,"¶")+COUNTIF($E120:S120,"²")+COUNTIF($E120:S120,"µ")+COUNTIF($E120:S120,1),ColDescriptionCourte))&gt;1,
HYPERLINK("#Roadmap!C"&amp; MATCH($E120,Roadmap!$D:$D,0)+COUNTIF($E120:S120,"u")+COUNTIF($E120:S120,"t")+COUNTIF($E120:S120,"¶")+COUNTIF($E120:S120,"²")+COUNTIF($E120:S120,"µ")+COUNTIF($E120:S120,1)-1,INDEX(Roadmap!$D:$K,MATCH($E120,Roadmap!$D:$D,0)-1+COUNTIF($E120:S120,"u")+COUNTIF($E120:S120,"t")+COUNTIF($E120:S120,"¶")+COUNTIF($E120:S120,"²")+COUNTIF($E120:S120,"µ")+COUNTIF($E120:S120,1),ColDescriptionCourte)),""),
  "")),"")</f>
        <v/>
      </c>
      <c r="U120" s="40" t="str">
        <f ca="1">IFERROR(IF(AND(
  INDEX(Roadmap!$D:$K,MATCH($E120,Roadmap!$D:$D,0)+COUNTIF($E120:T120,"u")+COUNTIF($E120:T120,"t")+COUNTIF($E120:T120,"¶")+COUNTIF($E120:T120,"²")+COUNTIF($E120:T120,"µ")+COUNTIF($E120:T120,1),ColLivraison)=U$6,
  VLOOKUP($E120,INDIRECT("tri!"&amp; CHAR(64+ C0Col) &amp;":"&amp; CHAR(65+C0Col)),2,FALSE)&gt;COUNTIF($E120:T120,"u")+COUNTIF($E120:T120,"t")+COUNTIF($E120:T120,"¶")+COUNTIF($E120:T120,"²")+COUNTIF($E120:T120,"µ")+COUNTIF($E120:T120,1)),
HYPERLINK("#Roadmap!C"&amp; MATCH($E120,Roadmap!$D:$D,0)+COUNTIF($E120:T120,"u")+COUNTIF($E120:T120,"t"),
     INDEX(Roadmap!$D:$K,MATCH($E120,Roadmap!$D:$D,0)+COUNTIF($E120:T120,"u")+COUNTIF($E120:T120,"t")+COUNTIF($E120:T120,"¶")+COUNTIF($E120:T120,"²")+COUNTIF($E120:T120,"µ")+COUNTIF($E120:T120,1),ColTypeEcheance)),
  IF(LEN(T120)=1,
  IF(LEN(INDEX(Roadmap!$D:$K,MATCH($E120,Roadmap!$D:$D,0)-1+COUNTIF($E120:T120,"u")+COUNTIF($E120:T120,"t")+COUNTIF($E120:T120,"¶")+COUNTIF($E120:T120,"²")+COUNTIF($E120:T120,"µ")+COUNTIF($E120:T120,1),ColDescriptionCourte))&gt;1,
HYPERLINK("#Roadmap!C"&amp; MATCH($E120,Roadmap!$D:$D,0)+COUNTIF($E120:T120,"u")+COUNTIF($E120:T120,"t")+COUNTIF($E120:T120,"¶")+COUNTIF($E120:T120,"²")+COUNTIF($E120:T120,"µ")+COUNTIF($E120:T120,1)-1,INDEX(Roadmap!$D:$K,MATCH($E120,Roadmap!$D:$D,0)-1+COUNTIF($E120:T120,"u")+COUNTIF($E120:T120,"t")+COUNTIF($E120:T120,"¶")+COUNTIF($E120:T120,"²")+COUNTIF($E120:T120,"µ")+COUNTIF($E120:T120,1),ColDescriptionCourte)),""),
  "")),"")</f>
        <v/>
      </c>
      <c r="V120" s="40" t="str">
        <f ca="1">IFERROR(IF(AND(
  INDEX(Roadmap!$D:$K,MATCH($E120,Roadmap!$D:$D,0)+COUNTIF($E120:U120,"u")+COUNTIF($E120:U120,"t")+COUNTIF($E120:U120,"¶")+COUNTIF($E120:U120,"²")+COUNTIF($E120:U120,"µ")+COUNTIF($E120:U120,1),ColLivraison)=V$6,
  VLOOKUP($E120,INDIRECT("tri!"&amp; CHAR(64+ C0Col) &amp;":"&amp; CHAR(65+C0Col)),2,FALSE)&gt;COUNTIF($E120:U120,"u")+COUNTIF($E120:U120,"t")+COUNTIF($E120:U120,"¶")+COUNTIF($E120:U120,"²")+COUNTIF($E120:U120,"µ")+COUNTIF($E120:U120,1)),
HYPERLINK("#Roadmap!C"&amp; MATCH($E120,Roadmap!$D:$D,0)+COUNTIF($E120:U120,"u")+COUNTIF($E120:U120,"t"),
     INDEX(Roadmap!$D:$K,MATCH($E120,Roadmap!$D:$D,0)+COUNTIF($E120:U120,"u")+COUNTIF($E120:U120,"t")+COUNTIF($E120:U120,"¶")+COUNTIF($E120:U120,"²")+COUNTIF($E120:U120,"µ")+COUNTIF($E120:U120,1),ColTypeEcheance)),
  IF(LEN(U120)=1,
  IF(LEN(INDEX(Roadmap!$D:$K,MATCH($E120,Roadmap!$D:$D,0)-1+COUNTIF($E120:U120,"u")+COUNTIF($E120:U120,"t")+COUNTIF($E120:U120,"¶")+COUNTIF($E120:U120,"²")+COUNTIF($E120:U120,"µ")+COUNTIF($E120:U120,1),ColDescriptionCourte))&gt;1,
HYPERLINK("#Roadmap!C"&amp; MATCH($E120,Roadmap!$D:$D,0)+COUNTIF($E120:U120,"u")+COUNTIF($E120:U120,"t")+COUNTIF($E120:U120,"¶")+COUNTIF($E120:U120,"²")+COUNTIF($E120:U120,"µ")+COUNTIF($E120:U120,1)-1,INDEX(Roadmap!$D:$K,MATCH($E120,Roadmap!$D:$D,0)-1+COUNTIF($E120:U120,"u")+COUNTIF($E120:U120,"t")+COUNTIF($E120:U120,"¶")+COUNTIF($E120:U120,"²")+COUNTIF($E120:U120,"µ")+COUNTIF($E120:U120,1),ColDescriptionCourte)),""),
  "")),"")</f>
        <v/>
      </c>
      <c r="W120" s="40" t="str">
        <f ca="1">IFERROR(IF(AND(
  INDEX(Roadmap!$D:$K,MATCH($E120,Roadmap!$D:$D,0)+COUNTIF($E120:V120,"u")+COUNTIF($E120:V120,"t")+COUNTIF($E120:V120,"¶")+COUNTIF($E120:V120,"²")+COUNTIF($E120:V120,"µ")+COUNTIF($E120:V120,1),ColLivraison)=W$6,
  VLOOKUP($E120,INDIRECT("tri!"&amp; CHAR(64+ C0Col) &amp;":"&amp; CHAR(65+C0Col)),2,FALSE)&gt;COUNTIF($E120:V120,"u")+COUNTIF($E120:V120,"t")+COUNTIF($E120:V120,"¶")+COUNTIF($E120:V120,"²")+COUNTIF($E120:V120,"µ")+COUNTIF($E120:V120,1)),
HYPERLINK("#Roadmap!C"&amp; MATCH($E120,Roadmap!$D:$D,0)+COUNTIF($E120:V120,"u")+COUNTIF($E120:V120,"t"),
     INDEX(Roadmap!$D:$K,MATCH($E120,Roadmap!$D:$D,0)+COUNTIF($E120:V120,"u")+COUNTIF($E120:V120,"t")+COUNTIF($E120:V120,"¶")+COUNTIF($E120:V120,"²")+COUNTIF($E120:V120,"µ")+COUNTIF($E120:V120,1),ColTypeEcheance)),
  IF(LEN(V120)=1,
  IF(LEN(INDEX(Roadmap!$D:$K,MATCH($E120,Roadmap!$D:$D,0)-1+COUNTIF($E120:V120,"u")+COUNTIF($E120:V120,"t")+COUNTIF($E120:V120,"¶")+COUNTIF($E120:V120,"²")+COUNTIF($E120:V120,"µ")+COUNTIF($E120:V120,1),ColDescriptionCourte))&gt;1,
HYPERLINK("#Roadmap!C"&amp; MATCH($E120,Roadmap!$D:$D,0)+COUNTIF($E120:V120,"u")+COUNTIF($E120:V120,"t")+COUNTIF($E120:V120,"¶")+COUNTIF($E120:V120,"²")+COUNTIF($E120:V120,"µ")+COUNTIF($E120:V120,1)-1,INDEX(Roadmap!$D:$K,MATCH($E120,Roadmap!$D:$D,0)-1+COUNTIF($E120:V120,"u")+COUNTIF($E120:V120,"t")+COUNTIF($E120:V120,"¶")+COUNTIF($E120:V120,"²")+COUNTIF($E120:V120,"µ")+COUNTIF($E120:V120,1),ColDescriptionCourte)),""),
  "")),"")</f>
        <v/>
      </c>
      <c r="X120" s="40" t="str">
        <f ca="1">IFERROR(IF(AND(
  INDEX(Roadmap!$D:$K,MATCH($E120,Roadmap!$D:$D,0)+COUNTIF($E120:W120,"u")+COUNTIF($E120:W120,"t")+COUNTIF($E120:W120,"¶")+COUNTIF($E120:W120,"²")+COUNTIF($E120:W120,"µ")+COUNTIF($E120:W120,1),ColLivraison)=X$6,
  VLOOKUP($E120,INDIRECT("tri!"&amp; CHAR(64+ C0Col) &amp;":"&amp; CHAR(65+C0Col)),2,FALSE)&gt;COUNTIF($E120:W120,"u")+COUNTIF($E120:W120,"t")+COUNTIF($E120:W120,"¶")+COUNTIF($E120:W120,"²")+COUNTIF($E120:W120,"µ")+COUNTIF($E120:W120,1)),
HYPERLINK("#Roadmap!C"&amp; MATCH($E120,Roadmap!$D:$D,0)+COUNTIF($E120:W120,"u")+COUNTIF($E120:W120,"t"),
     INDEX(Roadmap!$D:$K,MATCH($E120,Roadmap!$D:$D,0)+COUNTIF($E120:W120,"u")+COUNTIF($E120:W120,"t")+COUNTIF($E120:W120,"¶")+COUNTIF($E120:W120,"²")+COUNTIF($E120:W120,"µ")+COUNTIF($E120:W120,1),ColTypeEcheance)),
  IF(LEN(W120)=1,
  IF(LEN(INDEX(Roadmap!$D:$K,MATCH($E120,Roadmap!$D:$D,0)-1+COUNTIF($E120:W120,"u")+COUNTIF($E120:W120,"t")+COUNTIF($E120:W120,"¶")+COUNTIF($E120:W120,"²")+COUNTIF($E120:W120,"µ")+COUNTIF($E120:W120,1),ColDescriptionCourte))&gt;1,
HYPERLINK("#Roadmap!C"&amp; MATCH($E120,Roadmap!$D:$D,0)+COUNTIF($E120:W120,"u")+COUNTIF($E120:W120,"t")+COUNTIF($E120:W120,"¶")+COUNTIF($E120:W120,"²")+COUNTIF($E120:W120,"µ")+COUNTIF($E120:W120,1)-1,INDEX(Roadmap!$D:$K,MATCH($E120,Roadmap!$D:$D,0)-1+COUNTIF($E120:W120,"u")+COUNTIF($E120:W120,"t")+COUNTIF($E120:W120,"¶")+COUNTIF($E120:W120,"²")+COUNTIF($E120:W120,"µ")+COUNTIF($E120:W120,1),ColDescriptionCourte)),""),
  "")),"")</f>
        <v/>
      </c>
      <c r="Y120" s="40" t="str">
        <f ca="1">IFERROR(IF(AND(
  INDEX(Roadmap!$D:$K,MATCH($E120,Roadmap!$D:$D,0)+COUNTIF($E120:X120,"u")+COUNTIF($E120:X120,"t")+COUNTIF($E120:X120,"¶")+COUNTIF($E120:X120,"²")+COUNTIF($E120:X120,"µ")+COUNTIF($E120:X120,1),ColLivraison)=Y$6,
  VLOOKUP($E120,INDIRECT("tri!"&amp; CHAR(64+ C0Col) &amp;":"&amp; CHAR(65+C0Col)),2,FALSE)&gt;COUNTIF($E120:X120,"u")+COUNTIF($E120:X120,"t")+COUNTIF($E120:X120,"¶")+COUNTIF($E120:X120,"²")+COUNTIF($E120:X120,"µ")+COUNTIF($E120:X120,1)),
HYPERLINK("#Roadmap!C"&amp; MATCH($E120,Roadmap!$D:$D,0)+COUNTIF($E120:X120,"u")+COUNTIF($E120:X120,"t"),
     INDEX(Roadmap!$D:$K,MATCH($E120,Roadmap!$D:$D,0)+COUNTIF($E120:X120,"u")+COUNTIF($E120:X120,"t")+COUNTIF($E120:X120,"¶")+COUNTIF($E120:X120,"²")+COUNTIF($E120:X120,"µ")+COUNTIF($E120:X120,1),ColTypeEcheance)),
  IF(LEN(X120)=1,
  IF(LEN(INDEX(Roadmap!$D:$K,MATCH($E120,Roadmap!$D:$D,0)-1+COUNTIF($E120:X120,"u")+COUNTIF($E120:X120,"t")+COUNTIF($E120:X120,"¶")+COUNTIF($E120:X120,"²")+COUNTIF($E120:X120,"µ")+COUNTIF($E120:X120,1),ColDescriptionCourte))&gt;1,
HYPERLINK("#Roadmap!C"&amp; MATCH($E120,Roadmap!$D:$D,0)+COUNTIF($E120:X120,"u")+COUNTIF($E120:X120,"t")+COUNTIF($E120:X120,"¶")+COUNTIF($E120:X120,"²")+COUNTIF($E120:X120,"µ")+COUNTIF($E120:X120,1)-1,INDEX(Roadmap!$D:$K,MATCH($E120,Roadmap!$D:$D,0)-1+COUNTIF($E120:X120,"u")+COUNTIF($E120:X120,"t")+COUNTIF($E120:X120,"¶")+COUNTIF($E120:X120,"²")+COUNTIF($E120:X120,"µ")+COUNTIF($E120:X120,1),ColDescriptionCourte)),""),
  "")),"")</f>
        <v/>
      </c>
      <c r="Z120" s="40" t="str">
        <f ca="1">IFERROR(IF(AND(
  INDEX(Roadmap!$D:$K,MATCH($E120,Roadmap!$D:$D,0)+COUNTIF($E120:Y120,"u")+COUNTIF($E120:Y120,"t")+COUNTIF($E120:Y120,"¶")+COUNTIF($E120:Y120,"²")+COUNTIF($E120:Y120,"µ")+COUNTIF($E120:Y120,1),ColLivraison)=Z$6,
  VLOOKUP($E120,INDIRECT("tri!"&amp; CHAR(64+ C0Col) &amp;":"&amp; CHAR(65+C0Col)),2,FALSE)&gt;COUNTIF($E120:Y120,"u")+COUNTIF($E120:Y120,"t")+COUNTIF($E120:Y120,"¶")+COUNTIF($E120:Y120,"²")+COUNTIF($E120:Y120,"µ")+COUNTIF($E120:Y120,1)),
HYPERLINK("#Roadmap!C"&amp; MATCH($E120,Roadmap!$D:$D,0)+COUNTIF($E120:Y120,"u")+COUNTIF($E120:Y120,"t"),
     INDEX(Roadmap!$D:$K,MATCH($E120,Roadmap!$D:$D,0)+COUNTIF($E120:Y120,"u")+COUNTIF($E120:Y120,"t")+COUNTIF($E120:Y120,"¶")+COUNTIF($E120:Y120,"²")+COUNTIF($E120:Y120,"µ")+COUNTIF($E120:Y120,1),ColTypeEcheance)),
  IF(LEN(Y120)=1,
  IF(LEN(INDEX(Roadmap!$D:$K,MATCH($E120,Roadmap!$D:$D,0)-1+COUNTIF($E120:Y120,"u")+COUNTIF($E120:Y120,"t")+COUNTIF($E120:Y120,"¶")+COUNTIF($E120:Y120,"²")+COUNTIF($E120:Y120,"µ")+COUNTIF($E120:Y120,1),ColDescriptionCourte))&gt;1,
HYPERLINK("#Roadmap!C"&amp; MATCH($E120,Roadmap!$D:$D,0)+COUNTIF($E120:Y120,"u")+COUNTIF($E120:Y120,"t")+COUNTIF($E120:Y120,"¶")+COUNTIF($E120:Y120,"²")+COUNTIF($E120:Y120,"µ")+COUNTIF($E120:Y120,1)-1,INDEX(Roadmap!$D:$K,MATCH($E120,Roadmap!$D:$D,0)-1+COUNTIF($E120:Y120,"u")+COUNTIF($E120:Y120,"t")+COUNTIF($E120:Y120,"¶")+COUNTIF($E120:Y120,"²")+COUNTIF($E120:Y120,"µ")+COUNTIF($E120:Y120,1),ColDescriptionCourte)),""),
  "")),"")</f>
        <v/>
      </c>
      <c r="AA120" s="40" t="str">
        <f ca="1">IFERROR(IF(AND(
  INDEX(Roadmap!$D:$K,MATCH($E120,Roadmap!$D:$D,0)+COUNTIF($E120:Z120,"u")+COUNTIF($E120:Z120,"t")+COUNTIF($E120:Z120,"¶")+COUNTIF($E120:Z120,"²")+COUNTIF($E120:Z120,"µ")+COUNTIF($E120:Z120,1),ColLivraison)=AA$6,
  VLOOKUP($E120,INDIRECT("tri!"&amp; CHAR(64+ C0Col) &amp;":"&amp; CHAR(65+C0Col)),2,FALSE)&gt;COUNTIF($E120:Z120,"u")+COUNTIF($E120:Z120,"t")+COUNTIF($E120:Z120,"¶")+COUNTIF($E120:Z120,"²")+COUNTIF($E120:Z120,"µ")+COUNTIF($E120:Z120,1)),
HYPERLINK("#Roadmap!C"&amp; MATCH($E120,Roadmap!$D:$D,0)+COUNTIF($E120:Z120,"u")+COUNTIF($E120:Z120,"t"),
     INDEX(Roadmap!$D:$K,MATCH($E120,Roadmap!$D:$D,0)+COUNTIF($E120:Z120,"u")+COUNTIF($E120:Z120,"t")+COUNTIF($E120:Z120,"¶")+COUNTIF($E120:Z120,"²")+COUNTIF($E120:Z120,"µ")+COUNTIF($E120:Z120,1),ColTypeEcheance)),
  IF(LEN(Z120)=1,
  IF(LEN(INDEX(Roadmap!$D:$K,MATCH($E120,Roadmap!$D:$D,0)-1+COUNTIF($E120:Z120,"u")+COUNTIF($E120:Z120,"t")+COUNTIF($E120:Z120,"¶")+COUNTIF($E120:Z120,"²")+COUNTIF($E120:Z120,"µ")+COUNTIF($E120:Z120,1),ColDescriptionCourte))&gt;1,
HYPERLINK("#Roadmap!C"&amp; MATCH($E120,Roadmap!$D:$D,0)+COUNTIF($E120:Z120,"u")+COUNTIF($E120:Z120,"t")+COUNTIF($E120:Z120,"¶")+COUNTIF($E120:Z120,"²")+COUNTIF($E120:Z120,"µ")+COUNTIF($E120:Z120,1)-1,INDEX(Roadmap!$D:$K,MATCH($E120,Roadmap!$D:$D,0)-1+COUNTIF($E120:Z120,"u")+COUNTIF($E120:Z120,"t")+COUNTIF($E120:Z120,"¶")+COUNTIF($E120:Z120,"²")+COUNTIF($E120:Z120,"µ")+COUNTIF($E120:Z120,1),ColDescriptionCourte)),""),
  "")),"")</f>
        <v/>
      </c>
      <c r="AB120" s="40" t="str">
        <f ca="1">IFERROR(IF(AND(
  INDEX(Roadmap!$D:$K,MATCH($E120,Roadmap!$D:$D,0)+COUNTIF($E120:AA120,"u")+COUNTIF($E120:AA120,"t")+COUNTIF($E120:AA120,"¶")+COUNTIF($E120:AA120,"²")+COUNTIF($E120:AA120,"µ")+COUNTIF($E120:AA120,1),ColLivraison)=AB$6,
  VLOOKUP($E120,INDIRECT("tri!"&amp; CHAR(64+ C0Col) &amp;":"&amp; CHAR(65+C0Col)),2,FALSE)&gt;COUNTIF($E120:AA120,"u")+COUNTIF($E120:AA120,"t")+COUNTIF($E120:AA120,"¶")+COUNTIF($E120:AA120,"²")+COUNTIF($E120:AA120,"µ")+COUNTIF($E120:AA120,1)),
HYPERLINK("#Roadmap!C"&amp; MATCH($E120,Roadmap!$D:$D,0)+COUNTIF($E120:AA120,"u")+COUNTIF($E120:AA120,"t"),
     INDEX(Roadmap!$D:$K,MATCH($E120,Roadmap!$D:$D,0)+COUNTIF($E120:AA120,"u")+COUNTIF($E120:AA120,"t")+COUNTIF($E120:AA120,"¶")+COUNTIF($E120:AA120,"²")+COUNTIF($E120:AA120,"µ")+COUNTIF($E120:AA120,1),ColTypeEcheance)),
  IF(LEN(AA120)=1,
  IF(LEN(INDEX(Roadmap!$D:$K,MATCH($E120,Roadmap!$D:$D,0)-1+COUNTIF($E120:AA120,"u")+COUNTIF($E120:AA120,"t")+COUNTIF($E120:AA120,"¶")+COUNTIF($E120:AA120,"²")+COUNTIF($E120:AA120,"µ")+COUNTIF($E120:AA120,1),ColDescriptionCourte))&gt;1,
HYPERLINK("#Roadmap!C"&amp; MATCH($E120,Roadmap!$D:$D,0)+COUNTIF($E120:AA120,"u")+COUNTIF($E120:AA120,"t")+COUNTIF($E120:AA120,"¶")+COUNTIF($E120:AA120,"²")+COUNTIF($E120:AA120,"µ")+COUNTIF($E120:AA120,1)-1,INDEX(Roadmap!$D:$K,MATCH($E120,Roadmap!$D:$D,0)-1+COUNTIF($E120:AA120,"u")+COUNTIF($E120:AA120,"t")+COUNTIF($E120:AA120,"¶")+COUNTIF($E120:AA120,"²")+COUNTIF($E120:AA120,"µ")+COUNTIF($E120:AA120,1),ColDescriptionCourte)),""),
  "")),"")</f>
        <v/>
      </c>
      <c r="AC120" s="40" t="str">
        <f ca="1">IFERROR(IF(AND(
  INDEX(Roadmap!$D:$K,MATCH($E120,Roadmap!$D:$D,0)+COUNTIF($E120:AB120,"u")+COUNTIF($E120:AB120,"t")+COUNTIF($E120:AB120,"¶")+COUNTIF($E120:AB120,"²")+COUNTIF($E120:AB120,"µ")+COUNTIF($E120:AB120,1),ColLivraison)=AC$6,
  VLOOKUP($E120,INDIRECT("tri!"&amp; CHAR(64+ C0Col) &amp;":"&amp; CHAR(65+C0Col)),2,FALSE)&gt;COUNTIF($E120:AB120,"u")+COUNTIF($E120:AB120,"t")+COUNTIF($E120:AB120,"¶")+COUNTIF($E120:AB120,"²")+COUNTIF($E120:AB120,"µ")+COUNTIF($E120:AB120,1)),
HYPERLINK("#Roadmap!C"&amp; MATCH($E120,Roadmap!$D:$D,0)+COUNTIF($E120:AB120,"u")+COUNTIF($E120:AB120,"t"),
     INDEX(Roadmap!$D:$K,MATCH($E120,Roadmap!$D:$D,0)+COUNTIF($E120:AB120,"u")+COUNTIF($E120:AB120,"t")+COUNTIF($E120:AB120,"¶")+COUNTIF($E120:AB120,"²")+COUNTIF($E120:AB120,"µ")+COUNTIF($E120:AB120,1),ColTypeEcheance)),
  IF(LEN(AB120)=1,
  IF(LEN(INDEX(Roadmap!$D:$K,MATCH($E120,Roadmap!$D:$D,0)-1+COUNTIF($E120:AB120,"u")+COUNTIF($E120:AB120,"t")+COUNTIF($E120:AB120,"¶")+COUNTIF($E120:AB120,"²")+COUNTIF($E120:AB120,"µ")+COUNTIF($E120:AB120,1),ColDescriptionCourte))&gt;1,
HYPERLINK("#Roadmap!C"&amp; MATCH($E120,Roadmap!$D:$D,0)+COUNTIF($E120:AB120,"u")+COUNTIF($E120:AB120,"t")+COUNTIF($E120:AB120,"¶")+COUNTIF($E120:AB120,"²")+COUNTIF($E120:AB120,"µ")+COUNTIF($E120:AB120,1)-1,INDEX(Roadmap!$D:$K,MATCH($E120,Roadmap!$D:$D,0)-1+COUNTIF($E120:AB120,"u")+COUNTIF($E120:AB120,"t")+COUNTIF($E120:AB120,"¶")+COUNTIF($E120:AB120,"²")+COUNTIF($E120:AB120,"µ")+COUNTIF($E120:AB120,1),ColDescriptionCourte)),""),
  "")),"")</f>
        <v/>
      </c>
      <c r="AD120" s="40" t="str">
        <f ca="1">IFERROR(IF(AND(
  INDEX(Roadmap!$D:$K,MATCH($E120,Roadmap!$D:$D,0)+COUNTIF($E120:AC120,"u")+COUNTIF($E120:AC120,"t")+COUNTIF($E120:AC120,"¶")+COUNTIF($E120:AC120,"²")+COUNTIF($E120:AC120,"µ")+COUNTIF($E120:AC120,1),ColLivraison)=AD$6,
  VLOOKUP($E120,INDIRECT("tri!"&amp; CHAR(64+ C0Col) &amp;":"&amp; CHAR(65+C0Col)),2,FALSE)&gt;COUNTIF($E120:AC120,"u")+COUNTIF($E120:AC120,"t")+COUNTIF($E120:AC120,"¶")+COUNTIF($E120:AC120,"²")+COUNTIF($E120:AC120,"µ")+COUNTIF($E120:AC120,1)),
HYPERLINK("#Roadmap!C"&amp; MATCH($E120,Roadmap!$D:$D,0)+COUNTIF($E120:AC120,"u")+COUNTIF($E120:AC120,"t"),
     INDEX(Roadmap!$D:$K,MATCH($E120,Roadmap!$D:$D,0)+COUNTIF($E120:AC120,"u")+COUNTIF($E120:AC120,"t")+COUNTIF($E120:AC120,"¶")+COUNTIF($E120:AC120,"²")+COUNTIF($E120:AC120,"µ")+COUNTIF($E120:AC120,1),ColTypeEcheance)),
  IF(LEN(AC120)=1,
  IF(LEN(INDEX(Roadmap!$D:$K,MATCH($E120,Roadmap!$D:$D,0)-1+COUNTIF($E120:AC120,"u")+COUNTIF($E120:AC120,"t")+COUNTIF($E120:AC120,"¶")+COUNTIF($E120:AC120,"²")+COUNTIF($E120:AC120,"µ")+COUNTIF($E120:AC120,1),ColDescriptionCourte))&gt;1,
HYPERLINK("#Roadmap!C"&amp; MATCH($E120,Roadmap!$D:$D,0)+COUNTIF($E120:AC120,"u")+COUNTIF($E120:AC120,"t")+COUNTIF($E120:AC120,"¶")+COUNTIF($E120:AC120,"²")+COUNTIF($E120:AC120,"µ")+COUNTIF($E120:AC120,1)-1,INDEX(Roadmap!$D:$K,MATCH($E120,Roadmap!$D:$D,0)-1+COUNTIF($E120:AC120,"u")+COUNTIF($E120:AC120,"t")+COUNTIF($E120:AC120,"¶")+COUNTIF($E120:AC120,"²")+COUNTIF($E120:AC120,"µ")+COUNTIF($E120:AC120,1),ColDescriptionCourte)),""),
  "")),"")</f>
        <v/>
      </c>
      <c r="AE120" s="40" t="str">
        <f ca="1">IFERROR(IF(AND(
  INDEX(Roadmap!$D:$K,MATCH($E120,Roadmap!$D:$D,0)+COUNTIF($E120:AD120,"u")+COUNTIF($E120:AD120,"t")+COUNTIF($E120:AD120,"¶")+COUNTIF($E120:AD120,"²")+COUNTIF($E120:AD120,"µ")+COUNTIF($E120:AD120,1),ColLivraison)=AE$6,
  VLOOKUP($E120,INDIRECT("tri!"&amp; CHAR(64+ C0Col) &amp;":"&amp; CHAR(65+C0Col)),2,FALSE)&gt;COUNTIF($E120:AD120,"u")+COUNTIF($E120:AD120,"t")+COUNTIF($E120:AD120,"¶")+COUNTIF($E120:AD120,"²")+COUNTIF($E120:AD120,"µ")+COUNTIF($E120:AD120,1)),
HYPERLINK("#Roadmap!C"&amp; MATCH($E120,Roadmap!$D:$D,0)+COUNTIF($E120:AD120,"u")+COUNTIF($E120:AD120,"t"),
     INDEX(Roadmap!$D:$K,MATCH($E120,Roadmap!$D:$D,0)+COUNTIF($E120:AD120,"u")+COUNTIF($E120:AD120,"t")+COUNTIF($E120:AD120,"¶")+COUNTIF($E120:AD120,"²")+COUNTIF($E120:AD120,"µ")+COUNTIF($E120:AD120,1),ColTypeEcheance)),
  IF(LEN(AD120)=1,
  IF(LEN(INDEX(Roadmap!$D:$K,MATCH($E120,Roadmap!$D:$D,0)-1+COUNTIF($E120:AD120,"u")+COUNTIF($E120:AD120,"t")+COUNTIF($E120:AD120,"¶")+COUNTIF($E120:AD120,"²")+COUNTIF($E120:AD120,"µ")+COUNTIF($E120:AD120,1),ColDescriptionCourte))&gt;1,
HYPERLINK("#Roadmap!C"&amp; MATCH($E120,Roadmap!$D:$D,0)+COUNTIF($E120:AD120,"u")+COUNTIF($E120:AD120,"t")+COUNTIF($E120:AD120,"¶")+COUNTIF($E120:AD120,"²")+COUNTIF($E120:AD120,"µ")+COUNTIF($E120:AD120,1)-1,INDEX(Roadmap!$D:$K,MATCH($E120,Roadmap!$D:$D,0)-1+COUNTIF($E120:AD120,"u")+COUNTIF($E120:AD120,"t")+COUNTIF($E120:AD120,"¶")+COUNTIF($E120:AD120,"²")+COUNTIF($E120:AD120,"µ")+COUNTIF($E120:AD120,1),ColDescriptionCourte)),""),
  "")),"")</f>
        <v/>
      </c>
      <c r="AF120" s="40" t="str">
        <f ca="1">IFERROR(IF(AND(
  INDEX(Roadmap!$D:$K,MATCH($E120,Roadmap!$D:$D,0)+COUNTIF($E120:AE120,"u")+COUNTIF($E120:AE120,"t")+COUNTIF($E120:AE120,"¶")+COUNTIF($E120:AE120,"²")+COUNTIF($E120:AE120,"µ")+COUNTIF($E120:AE120,1),ColLivraison)=AF$6,
  VLOOKUP($E120,INDIRECT("tri!"&amp; CHAR(64+ C0Col) &amp;":"&amp; CHAR(65+C0Col)),2,FALSE)&gt;COUNTIF($E120:AE120,"u")+COUNTIF($E120:AE120,"t")+COUNTIF($E120:AE120,"¶")+COUNTIF($E120:AE120,"²")+COUNTIF($E120:AE120,"µ")+COUNTIF($E120:AE120,1)),
HYPERLINK("#Roadmap!C"&amp; MATCH($E120,Roadmap!$D:$D,0)+COUNTIF($E120:AE120,"u")+COUNTIF($E120:AE120,"t"),
     INDEX(Roadmap!$D:$K,MATCH($E120,Roadmap!$D:$D,0)+COUNTIF($E120:AE120,"u")+COUNTIF($E120:AE120,"t")+COUNTIF($E120:AE120,"¶")+COUNTIF($E120:AE120,"²")+COUNTIF($E120:AE120,"µ")+COUNTIF($E120:AE120,1),ColTypeEcheance)),
  IF(LEN(AE120)=1,
  IF(LEN(INDEX(Roadmap!$D:$K,MATCH($E120,Roadmap!$D:$D,0)-1+COUNTIF($E120:AE120,"u")+COUNTIF($E120:AE120,"t")+COUNTIF($E120:AE120,"¶")+COUNTIF($E120:AE120,"²")+COUNTIF($E120:AE120,"µ")+COUNTIF($E120:AE120,1),ColDescriptionCourte))&gt;1,
HYPERLINK("#Roadmap!C"&amp; MATCH($E120,Roadmap!$D:$D,0)+COUNTIF($E120:AE120,"u")+COUNTIF($E120:AE120,"t")+COUNTIF($E120:AE120,"¶")+COUNTIF($E120:AE120,"²")+COUNTIF($E120:AE120,"µ")+COUNTIF($E120:AE120,1)-1,INDEX(Roadmap!$D:$K,MATCH($E120,Roadmap!$D:$D,0)-1+COUNTIF($E120:AE120,"u")+COUNTIF($E120:AE120,"t")+COUNTIF($E120:AE120,"¶")+COUNTIF($E120:AE120,"²")+COUNTIF($E120:AE120,"µ")+COUNTIF($E120:AE120,1),ColDescriptionCourte)),""),
  "")),"")</f>
        <v/>
      </c>
      <c r="AG120" s="40" t="str">
        <f ca="1">IFERROR(IF(AND(
  INDEX(Roadmap!$D:$K,MATCH($E120,Roadmap!$D:$D,0)+COUNTIF($E120:AF120,"u")+COUNTIF($E120:AF120,"t")+COUNTIF($E120:AF120,"¶")+COUNTIF($E120:AF120,"²")+COUNTIF($E120:AF120,"µ")+COUNTIF($E120:AF120,1),ColLivraison)=AG$6,
  VLOOKUP($E120,INDIRECT("tri!"&amp; CHAR(64+ C0Col) &amp;":"&amp; CHAR(65+C0Col)),2,FALSE)&gt;COUNTIF($E120:AF120,"u")+COUNTIF($E120:AF120,"t")+COUNTIF($E120:AF120,"¶")+COUNTIF($E120:AF120,"²")+COUNTIF($E120:AF120,"µ")+COUNTIF($E120:AF120,1)),
HYPERLINK("#Roadmap!C"&amp; MATCH($E120,Roadmap!$D:$D,0)+COUNTIF($E120:AF120,"u")+COUNTIF($E120:AF120,"t"),
     INDEX(Roadmap!$D:$K,MATCH($E120,Roadmap!$D:$D,0)+COUNTIF($E120:AF120,"u")+COUNTIF($E120:AF120,"t")+COUNTIF($E120:AF120,"¶")+COUNTIF($E120:AF120,"²")+COUNTIF($E120:AF120,"µ")+COUNTIF($E120:AF120,1),ColTypeEcheance)),
  IF(LEN(AF120)=1,
  IF(LEN(INDEX(Roadmap!$D:$K,MATCH($E120,Roadmap!$D:$D,0)-1+COUNTIF($E120:AF120,"u")+COUNTIF($E120:AF120,"t")+COUNTIF($E120:AF120,"¶")+COUNTIF($E120:AF120,"²")+COUNTIF($E120:AF120,"µ")+COUNTIF($E120:AF120,1),ColDescriptionCourte))&gt;1,
HYPERLINK("#Roadmap!C"&amp; MATCH($E120,Roadmap!$D:$D,0)+COUNTIF($E120:AF120,"u")+COUNTIF($E120:AF120,"t")+COUNTIF($E120:AF120,"¶")+COUNTIF($E120:AF120,"²")+COUNTIF($E120:AF120,"µ")+COUNTIF($E120:AF120,1)-1,INDEX(Roadmap!$D:$K,MATCH($E120,Roadmap!$D:$D,0)-1+COUNTIF($E120:AF120,"u")+COUNTIF($E120:AF120,"t")+COUNTIF($E120:AF120,"¶")+COUNTIF($E120:AF120,"²")+COUNTIF($E120:AF120,"µ")+COUNTIF($E120:AF120,1),ColDescriptionCourte)),""),
  "")),"")</f>
        <v/>
      </c>
    </row>
    <row r="121" spans="3:33" ht="14.25" customHeight="1">
      <c r="C121" s="1" t="str">
        <f t="shared" ca="1" si="49"/>
        <v/>
      </c>
      <c r="D121" s="1" t="str">
        <f t="shared" ca="1" si="50"/>
        <v/>
      </c>
      <c r="E121" s="35" t="str">
        <f t="shared" ca="1" si="46"/>
        <v/>
      </c>
      <c r="F121" s="39" t="str">
        <f ca="1">IFERROR(IF(AND(
  INDEX(Roadmap!$D:$K,MATCH($E121,Roadmap!$D:$D,0)+COUNTIF($E121:E121,"u")+COUNTIF($E121:E121,"t")+COUNTIF($E121:E121,"¶")+COUNTIF($E121:E121,"²")+COUNTIF($E121:E121,"µ")+COUNTIF($E121:E121,1),ColLivraison)=F$6,
  VLOOKUP($E121,INDIRECT("tri!"&amp; CHAR(64+ C0Col) &amp;":"&amp; CHAR(65+C0Col)),2,FALSE)&gt;COUNTIF($E121:E121,"u")+COUNTIF($E121:E121,"t")+COUNTIF($E121:E121,"¶")+COUNTIF($E121:E121,"²")+COUNTIF($E121:E121,"µ")+COUNTIF($E121:E121,1)),
HYPERLINK("#Roadmap!C"&amp; MATCH($E121,Roadmap!$D:$D,0)+COUNTIF($E121:E121,"u")+COUNTIF($E121:E121,"t"),
     INDEX(Roadmap!$D:$K,MATCH($E121,Roadmap!$D:$D,0)+COUNTIF($E121:E121,"u")+COUNTIF($E121:E121,"t")+COUNTIF($E121:E121,"¶")+COUNTIF($E121:E121,"²")+COUNTIF($E121:E121,"µ")+COUNTIF($E121:E121,1),ColTypeEcheance)),
  IF(LEN(E121)=1,
  IF(LEN(INDEX(Roadmap!$D:$K,MATCH($E121,Roadmap!$D:$D,0)-1+COUNTIF($E121:E121,"u")+COUNTIF($E121:E121,"t")+COUNTIF($E121:E121,"¶")+COUNTIF($E121:E121,"²")+COUNTIF($E121:E121,"µ")+COUNTIF($E121:E121,1),ColDescriptionCourte))&gt;1,
HYPERLINK("#Roadmap!C"&amp; MATCH($E121,Roadmap!$D:$D,0)+COUNTIF($E121:E121,"u")+COUNTIF($E121:E121,"t")+COUNTIF($E121:E121,"¶")+COUNTIF($E121:E121,"²")+COUNTIF($E121:E121,"µ")+COUNTIF($E121:E121,1)-1,INDEX(Roadmap!$D:$K,MATCH($E121,Roadmap!$D:$D,0)-1+COUNTIF($E121:E121,"u")+COUNTIF($E121:E121,"t")+COUNTIF($E121:E121,"¶")+COUNTIF($E121:E121,"²")+COUNTIF($E121:E121,"µ")+COUNTIF($E121:E121,1),ColDescriptionCourte)),""),
  "")),"")</f>
        <v/>
      </c>
      <c r="G121" s="40" t="str">
        <f ca="1">IFERROR(IF(AND(
  INDEX(Roadmap!$D:$K,MATCH($E121,Roadmap!$D:$D,0)+COUNTIF($E121:F121,"u")+COUNTIF($E121:F121,"t")+COUNTIF($E121:F121,"¶")+COUNTIF($E121:F121,"²")+COUNTIF($E121:F121,"µ")+COUNTIF($E121:F121,1),ColLivraison)=G$6,
  VLOOKUP($E121,INDIRECT("tri!"&amp; CHAR(64+ C0Col) &amp;":"&amp; CHAR(65+C0Col)),2,FALSE)&gt;COUNTIF($E121:F121,"u")+COUNTIF($E121:F121,"t")+COUNTIF($E121:F121,"¶")+COUNTIF($E121:F121,"²")+COUNTIF($E121:F121,"µ")+COUNTIF($E121:F121,1)),
HYPERLINK("#Roadmap!C"&amp; MATCH($E121,Roadmap!$D:$D,0)+COUNTIF($E121:F121,"u")+COUNTIF($E121:F121,"t"),
     INDEX(Roadmap!$D:$K,MATCH($E121,Roadmap!$D:$D,0)+COUNTIF($E121:F121,"u")+COUNTIF($E121:F121,"t")+COUNTIF($E121:F121,"¶")+COUNTIF($E121:F121,"²")+COUNTIF($E121:F121,"µ")+COUNTIF($E121:F121,1),ColTypeEcheance)),
  IF(LEN(F121)=1,
  IF(LEN(INDEX(Roadmap!$D:$K,MATCH($E121,Roadmap!$D:$D,0)-1+COUNTIF($E121:F121,"u")+COUNTIF($E121:F121,"t")+COUNTIF($E121:F121,"¶")+COUNTIF($E121:F121,"²")+COUNTIF($E121:F121,"µ")+COUNTIF($E121:F121,1),ColDescriptionCourte))&gt;1,
HYPERLINK("#Roadmap!C"&amp; MATCH($E121,Roadmap!$D:$D,0)+COUNTIF($E121:F121,"u")+COUNTIF($E121:F121,"t")+COUNTIF($E121:F121,"¶")+COUNTIF($E121:F121,"²")+COUNTIF($E121:F121,"µ")+COUNTIF($E121:F121,1)-1,INDEX(Roadmap!$D:$K,MATCH($E121,Roadmap!$D:$D,0)-1+COUNTIF($E121:F121,"u")+COUNTIF($E121:F121,"t")+COUNTIF($E121:F121,"¶")+COUNTIF($E121:F121,"²")+COUNTIF($E121:F121,"µ")+COUNTIF($E121:F121,1),ColDescriptionCourte)),""),
  "")),"")</f>
        <v/>
      </c>
      <c r="H121" s="40" t="str">
        <f ca="1">IFERROR(IF(AND(
  INDEX(Roadmap!$D:$K,MATCH($E121,Roadmap!$D:$D,0)+COUNTIF($E121:G121,"u")+COUNTIF($E121:G121,"t")+COUNTIF($E121:G121,"¶")+COUNTIF($E121:G121,"²")+COUNTIF($E121:G121,"µ")+COUNTIF($E121:G121,1),ColLivraison)=H$6,
  VLOOKUP($E121,INDIRECT("tri!"&amp; CHAR(64+ C0Col) &amp;":"&amp; CHAR(65+C0Col)),2,FALSE)&gt;COUNTIF($E121:G121,"u")+COUNTIF($E121:G121,"t")+COUNTIF($E121:G121,"¶")+COUNTIF($E121:G121,"²")+COUNTIF($E121:G121,"µ")+COUNTIF($E121:G121,1)),
HYPERLINK("#Roadmap!C"&amp; MATCH($E121,Roadmap!$D:$D,0)+COUNTIF($E121:G121,"u")+COUNTIF($E121:G121,"t"),
     INDEX(Roadmap!$D:$K,MATCH($E121,Roadmap!$D:$D,0)+COUNTIF($E121:G121,"u")+COUNTIF($E121:G121,"t")+COUNTIF($E121:G121,"¶")+COUNTIF($E121:G121,"²")+COUNTIF($E121:G121,"µ")+COUNTIF($E121:G121,1),ColTypeEcheance)),
  IF(LEN(G121)=1,
  IF(LEN(INDEX(Roadmap!$D:$K,MATCH($E121,Roadmap!$D:$D,0)-1+COUNTIF($E121:G121,"u")+COUNTIF($E121:G121,"t")+COUNTIF($E121:G121,"¶")+COUNTIF($E121:G121,"²")+COUNTIF($E121:G121,"µ")+COUNTIF($E121:G121,1),ColDescriptionCourte))&gt;1,
HYPERLINK("#Roadmap!C"&amp; MATCH($E121,Roadmap!$D:$D,0)+COUNTIF($E121:G121,"u")+COUNTIF($E121:G121,"t")+COUNTIF($E121:G121,"¶")+COUNTIF($E121:G121,"²")+COUNTIF($E121:G121,"µ")+COUNTIF($E121:G121,1)-1,INDEX(Roadmap!$D:$K,MATCH($E121,Roadmap!$D:$D,0)-1+COUNTIF($E121:G121,"u")+COUNTIF($E121:G121,"t")+COUNTIF($E121:G121,"¶")+COUNTIF($E121:G121,"²")+COUNTIF($E121:G121,"µ")+COUNTIF($E121:G121,1),ColDescriptionCourte)),""),
  "")),"")</f>
        <v/>
      </c>
      <c r="I121" s="40" t="str">
        <f ca="1">IFERROR(IF(AND(
  INDEX(Roadmap!$D:$K,MATCH($E121,Roadmap!$D:$D,0)+COUNTIF($E121:H121,"u")+COUNTIF($E121:H121,"t")+COUNTIF($E121:H121,"¶")+COUNTIF($E121:H121,"²")+COUNTIF($E121:H121,"µ")+COUNTIF($E121:H121,1),ColLivraison)=I$6,
  VLOOKUP($E121,INDIRECT("tri!"&amp; CHAR(64+ C0Col) &amp;":"&amp; CHAR(65+C0Col)),2,FALSE)&gt;COUNTIF($E121:H121,"u")+COUNTIF($E121:H121,"t")+COUNTIF($E121:H121,"¶")+COUNTIF($E121:H121,"²")+COUNTIF($E121:H121,"µ")+COUNTIF($E121:H121,1)),
HYPERLINK("#Roadmap!C"&amp; MATCH($E121,Roadmap!$D:$D,0)+COUNTIF($E121:H121,"u")+COUNTIF($E121:H121,"t"),
     INDEX(Roadmap!$D:$K,MATCH($E121,Roadmap!$D:$D,0)+COUNTIF($E121:H121,"u")+COUNTIF($E121:H121,"t")+COUNTIF($E121:H121,"¶")+COUNTIF($E121:H121,"²")+COUNTIF($E121:H121,"µ")+COUNTIF($E121:H121,1),ColTypeEcheance)),
  IF(LEN(H121)=1,
  IF(LEN(INDEX(Roadmap!$D:$K,MATCH($E121,Roadmap!$D:$D,0)-1+COUNTIF($E121:H121,"u")+COUNTIF($E121:H121,"t")+COUNTIF($E121:H121,"¶")+COUNTIF($E121:H121,"²")+COUNTIF($E121:H121,"µ")+COUNTIF($E121:H121,1),ColDescriptionCourte))&gt;1,
HYPERLINK("#Roadmap!C"&amp; MATCH($E121,Roadmap!$D:$D,0)+COUNTIF($E121:H121,"u")+COUNTIF($E121:H121,"t")+COUNTIF($E121:H121,"¶")+COUNTIF($E121:H121,"²")+COUNTIF($E121:H121,"µ")+COUNTIF($E121:H121,1)-1,INDEX(Roadmap!$D:$K,MATCH($E121,Roadmap!$D:$D,0)-1+COUNTIF($E121:H121,"u")+COUNTIF($E121:H121,"t")+COUNTIF($E121:H121,"¶")+COUNTIF($E121:H121,"²")+COUNTIF($E121:H121,"µ")+COUNTIF($E121:H121,1),ColDescriptionCourte)),""),
  "")),"")</f>
        <v/>
      </c>
      <c r="J121" s="40" t="str">
        <f ca="1">IFERROR(IF(AND(
  INDEX(Roadmap!$D:$K,MATCH($E121,Roadmap!$D:$D,0)+COUNTIF($E121:I121,"u")+COUNTIF($E121:I121,"t")+COUNTIF($E121:I121,"¶")+COUNTIF($E121:I121,"²")+COUNTIF($E121:I121,"µ")+COUNTIF($E121:I121,1),ColLivraison)=J$6,
  VLOOKUP($E121,INDIRECT("tri!"&amp; CHAR(64+ C0Col) &amp;":"&amp; CHAR(65+C0Col)),2,FALSE)&gt;COUNTIF($E121:I121,"u")+COUNTIF($E121:I121,"t")+COUNTIF($E121:I121,"¶")+COUNTIF($E121:I121,"²")+COUNTIF($E121:I121,"µ")+COUNTIF($E121:I121,1)),
HYPERLINK("#Roadmap!C"&amp; MATCH($E121,Roadmap!$D:$D,0)+COUNTIF($E121:I121,"u")+COUNTIF($E121:I121,"t"),
     INDEX(Roadmap!$D:$K,MATCH($E121,Roadmap!$D:$D,0)+COUNTIF($E121:I121,"u")+COUNTIF($E121:I121,"t")+COUNTIF($E121:I121,"¶")+COUNTIF($E121:I121,"²")+COUNTIF($E121:I121,"µ")+COUNTIF($E121:I121,1),ColTypeEcheance)),
  IF(LEN(I121)=1,
  IF(LEN(INDEX(Roadmap!$D:$K,MATCH($E121,Roadmap!$D:$D,0)-1+COUNTIF($E121:I121,"u")+COUNTIF($E121:I121,"t")+COUNTIF($E121:I121,"¶")+COUNTIF($E121:I121,"²")+COUNTIF($E121:I121,"µ")+COUNTIF($E121:I121,1),ColDescriptionCourte))&gt;1,
HYPERLINK("#Roadmap!C"&amp; MATCH($E121,Roadmap!$D:$D,0)+COUNTIF($E121:I121,"u")+COUNTIF($E121:I121,"t")+COUNTIF($E121:I121,"¶")+COUNTIF($E121:I121,"²")+COUNTIF($E121:I121,"µ")+COUNTIF($E121:I121,1)-1,INDEX(Roadmap!$D:$K,MATCH($E121,Roadmap!$D:$D,0)-1+COUNTIF($E121:I121,"u")+COUNTIF($E121:I121,"t")+COUNTIF($E121:I121,"¶")+COUNTIF($E121:I121,"²")+COUNTIF($E121:I121,"µ")+COUNTIF($E121:I121,1),ColDescriptionCourte)),""),
  "")),"")</f>
        <v/>
      </c>
      <c r="K121" s="40" t="str">
        <f ca="1">IFERROR(IF(AND(
  INDEX(Roadmap!$D:$K,MATCH($E121,Roadmap!$D:$D,0)+COUNTIF($E121:J121,"u")+COUNTIF($E121:J121,"t")+COUNTIF($E121:J121,"¶")+COUNTIF($E121:J121,"²")+COUNTIF($E121:J121,"µ")+COUNTIF($E121:J121,1),ColLivraison)=K$6,
  VLOOKUP($E121,INDIRECT("tri!"&amp; CHAR(64+ C0Col) &amp;":"&amp; CHAR(65+C0Col)),2,FALSE)&gt;COUNTIF($E121:J121,"u")+COUNTIF($E121:J121,"t")+COUNTIF($E121:J121,"¶")+COUNTIF($E121:J121,"²")+COUNTIF($E121:J121,"µ")+COUNTIF($E121:J121,1)),
HYPERLINK("#Roadmap!C"&amp; MATCH($E121,Roadmap!$D:$D,0)+COUNTIF($E121:J121,"u")+COUNTIF($E121:J121,"t"),
     INDEX(Roadmap!$D:$K,MATCH($E121,Roadmap!$D:$D,0)+COUNTIF($E121:J121,"u")+COUNTIF($E121:J121,"t")+COUNTIF($E121:J121,"¶")+COUNTIF($E121:J121,"²")+COUNTIF($E121:J121,"µ")+COUNTIF($E121:J121,1),ColTypeEcheance)),
  IF(LEN(J121)=1,
  IF(LEN(INDEX(Roadmap!$D:$K,MATCH($E121,Roadmap!$D:$D,0)-1+COUNTIF($E121:J121,"u")+COUNTIF($E121:J121,"t")+COUNTIF($E121:J121,"¶")+COUNTIF($E121:J121,"²")+COUNTIF($E121:J121,"µ")+COUNTIF($E121:J121,1),ColDescriptionCourte))&gt;1,
HYPERLINK("#Roadmap!C"&amp; MATCH($E121,Roadmap!$D:$D,0)+COUNTIF($E121:J121,"u")+COUNTIF($E121:J121,"t")+COUNTIF($E121:J121,"¶")+COUNTIF($E121:J121,"²")+COUNTIF($E121:J121,"µ")+COUNTIF($E121:J121,1)-1,INDEX(Roadmap!$D:$K,MATCH($E121,Roadmap!$D:$D,0)-1+COUNTIF($E121:J121,"u")+COUNTIF($E121:J121,"t")+COUNTIF($E121:J121,"¶")+COUNTIF($E121:J121,"²")+COUNTIF($E121:J121,"µ")+COUNTIF($E121:J121,1),ColDescriptionCourte)),""),
  "")),"")</f>
        <v/>
      </c>
      <c r="L121" s="39" t="str">
        <f ca="1">IFERROR(IF(AND(
  INDEX(Roadmap!$D:$K,MATCH($E121,Roadmap!$D:$D,0)+COUNTIF($E121:K121,"u")+COUNTIF($E121:K121,"t")+COUNTIF($E121:K121,"¶")+COUNTIF($E121:K121,"²")+COUNTIF($E121:K121,"µ")+COUNTIF($E121:K121,1),ColLivraison)=L$6,
  VLOOKUP($E121,INDIRECT("tri!"&amp; CHAR(64+ C0Col) &amp;":"&amp; CHAR(65+C0Col)),2,FALSE)&gt;COUNTIF($E121:K121,"u")+COUNTIF($E121:K121,"t")+COUNTIF($E121:K121,"¶")+COUNTIF($E121:K121,"²")+COUNTIF($E121:K121,"µ")+COUNTIF($E121:K121,1)),
HYPERLINK("#Roadmap!C"&amp; MATCH($E121,Roadmap!$D:$D,0)+COUNTIF($E121:K121,"u")+COUNTIF($E121:K121,"t"),
     INDEX(Roadmap!$D:$K,MATCH($E121,Roadmap!$D:$D,0)+COUNTIF($E121:K121,"u")+COUNTIF($E121:K121,"t")+COUNTIF($E121:K121,"¶")+COUNTIF($E121:K121,"²")+COUNTIF($E121:K121,"µ")+COUNTIF($E121:K121,1),ColTypeEcheance)),
  IF(LEN(K121)=1,
  IF(LEN(INDEX(Roadmap!$D:$K,MATCH($E121,Roadmap!$D:$D,0)-1+COUNTIF($E121:K121,"u")+COUNTIF($E121:K121,"t")+COUNTIF($E121:K121,"¶")+COUNTIF($E121:K121,"²")+COUNTIF($E121:K121,"µ")+COUNTIF($E121:K121,1),ColDescriptionCourte))&gt;1,
HYPERLINK("#Roadmap!C"&amp; MATCH($E121,Roadmap!$D:$D,0)+COUNTIF($E121:K121,"u")+COUNTIF($E121:K121,"t")+COUNTIF($E121:K121,"¶")+COUNTIF($E121:K121,"²")+COUNTIF($E121:K121,"µ")+COUNTIF($E121:K121,1)-1,INDEX(Roadmap!$D:$K,MATCH($E121,Roadmap!$D:$D,0)-1+COUNTIF($E121:K121,"u")+COUNTIF($E121:K121,"t")+COUNTIF($E121:K121,"¶")+COUNTIF($E121:K121,"²")+COUNTIF($E121:K121,"µ")+COUNTIF($E121:K121,1),ColDescriptionCourte)),""),
  "")),"")</f>
        <v/>
      </c>
      <c r="M121" s="40" t="str">
        <f ca="1">IFERROR(IF(AND(
  INDEX(Roadmap!$D:$K,MATCH($E121,Roadmap!$D:$D,0)+COUNTIF($E121:L121,"u")+COUNTIF($E121:L121,"t")+COUNTIF($E121:L121,"¶")+COUNTIF($E121:L121,"²")+COUNTIF($E121:L121,"µ")+COUNTIF($E121:L121,1),ColLivraison)=M$6,
  VLOOKUP($E121,INDIRECT("tri!"&amp; CHAR(64+ C0Col) &amp;":"&amp; CHAR(65+C0Col)),2,FALSE)&gt;COUNTIF($E121:L121,"u")+COUNTIF($E121:L121,"t")+COUNTIF($E121:L121,"¶")+COUNTIF($E121:L121,"²")+COUNTIF($E121:L121,"µ")+COUNTIF($E121:L121,1)),
HYPERLINK("#Roadmap!C"&amp; MATCH($E121,Roadmap!$D:$D,0)+COUNTIF($E121:L121,"u")+COUNTIF($E121:L121,"t"),
     INDEX(Roadmap!$D:$K,MATCH($E121,Roadmap!$D:$D,0)+COUNTIF($E121:L121,"u")+COUNTIF($E121:L121,"t")+COUNTIF($E121:L121,"¶")+COUNTIF($E121:L121,"²")+COUNTIF($E121:L121,"µ")+COUNTIF($E121:L121,1),ColTypeEcheance)),
  IF(LEN(L121)=1,
  IF(LEN(INDEX(Roadmap!$D:$K,MATCH($E121,Roadmap!$D:$D,0)-1+COUNTIF($E121:L121,"u")+COUNTIF($E121:L121,"t")+COUNTIF($E121:L121,"¶")+COUNTIF($E121:L121,"²")+COUNTIF($E121:L121,"µ")+COUNTIF($E121:L121,1),ColDescriptionCourte))&gt;1,
HYPERLINK("#Roadmap!C"&amp; MATCH($E121,Roadmap!$D:$D,0)+COUNTIF($E121:L121,"u")+COUNTIF($E121:L121,"t")+COUNTIF($E121:L121,"¶")+COUNTIF($E121:L121,"²")+COUNTIF($E121:L121,"µ")+COUNTIF($E121:L121,1)-1,INDEX(Roadmap!$D:$K,MATCH($E121,Roadmap!$D:$D,0)-1+COUNTIF($E121:L121,"u")+COUNTIF($E121:L121,"t")+COUNTIF($E121:L121,"¶")+COUNTIF($E121:L121,"²")+COUNTIF($E121:L121,"µ")+COUNTIF($E121:L121,1),ColDescriptionCourte)),""),
  "")),"")</f>
        <v/>
      </c>
      <c r="N121" s="40" t="str">
        <f ca="1">IFERROR(IF(AND(
  INDEX(Roadmap!$D:$K,MATCH($E121,Roadmap!$D:$D,0)+COUNTIF($E121:M121,"u")+COUNTIF($E121:M121,"t")+COUNTIF($E121:M121,"¶")+COUNTIF($E121:M121,"²")+COUNTIF($E121:M121,"µ")+COUNTIF($E121:M121,1),ColLivraison)=N$6,
  VLOOKUP($E121,INDIRECT("tri!"&amp; CHAR(64+ C0Col) &amp;":"&amp; CHAR(65+C0Col)),2,FALSE)&gt;COUNTIF($E121:M121,"u")+COUNTIF($E121:M121,"t")+COUNTIF($E121:M121,"¶")+COUNTIF($E121:M121,"²")+COUNTIF($E121:M121,"µ")+COUNTIF($E121:M121,1)),
HYPERLINK("#Roadmap!C"&amp; MATCH($E121,Roadmap!$D:$D,0)+COUNTIF($E121:M121,"u")+COUNTIF($E121:M121,"t"),
     INDEX(Roadmap!$D:$K,MATCH($E121,Roadmap!$D:$D,0)+COUNTIF($E121:M121,"u")+COUNTIF($E121:M121,"t")+COUNTIF($E121:M121,"¶")+COUNTIF($E121:M121,"²")+COUNTIF($E121:M121,"µ")+COUNTIF($E121:M121,1),ColTypeEcheance)),
  IF(LEN(M121)=1,
  IF(LEN(INDEX(Roadmap!$D:$K,MATCH($E121,Roadmap!$D:$D,0)-1+COUNTIF($E121:M121,"u")+COUNTIF($E121:M121,"t")+COUNTIF($E121:M121,"¶")+COUNTIF($E121:M121,"²")+COUNTIF($E121:M121,"µ")+COUNTIF($E121:M121,1),ColDescriptionCourte))&gt;1,
HYPERLINK("#Roadmap!C"&amp; MATCH($E121,Roadmap!$D:$D,0)+COUNTIF($E121:M121,"u")+COUNTIF($E121:M121,"t")+COUNTIF($E121:M121,"¶")+COUNTIF($E121:M121,"²")+COUNTIF($E121:M121,"µ")+COUNTIF($E121:M121,1)-1,INDEX(Roadmap!$D:$K,MATCH($E121,Roadmap!$D:$D,0)-1+COUNTIF($E121:M121,"u")+COUNTIF($E121:M121,"t")+COUNTIF($E121:M121,"¶")+COUNTIF($E121:M121,"²")+COUNTIF($E121:M121,"µ")+COUNTIF($E121:M121,1),ColDescriptionCourte)),""),
  "")),"")</f>
        <v/>
      </c>
      <c r="O121" s="40" t="str">
        <f ca="1">IFERROR(IF(AND(
  INDEX(Roadmap!$D:$K,MATCH($E121,Roadmap!$D:$D,0)+COUNTIF($E121:N121,"u")+COUNTIF($E121:N121,"t")+COUNTIF($E121:N121,"¶")+COUNTIF($E121:N121,"²")+COUNTIF($E121:N121,"µ")+COUNTIF($E121:N121,1),ColLivraison)=O$6,
  VLOOKUP($E121,INDIRECT("tri!"&amp; CHAR(64+ C0Col) &amp;":"&amp; CHAR(65+C0Col)),2,FALSE)&gt;COUNTIF($E121:N121,"u")+COUNTIF($E121:N121,"t")+COUNTIF($E121:N121,"¶")+COUNTIF($E121:N121,"²")+COUNTIF($E121:N121,"µ")+COUNTIF($E121:N121,1)),
HYPERLINK("#Roadmap!C"&amp; MATCH($E121,Roadmap!$D:$D,0)+COUNTIF($E121:N121,"u")+COUNTIF($E121:N121,"t"),
     INDEX(Roadmap!$D:$K,MATCH($E121,Roadmap!$D:$D,0)+COUNTIF($E121:N121,"u")+COUNTIF($E121:N121,"t")+COUNTIF($E121:N121,"¶")+COUNTIF($E121:N121,"²")+COUNTIF($E121:N121,"µ")+COUNTIF($E121:N121,1),ColTypeEcheance)),
  IF(LEN(N121)=1,
  IF(LEN(INDEX(Roadmap!$D:$K,MATCH($E121,Roadmap!$D:$D,0)-1+COUNTIF($E121:N121,"u")+COUNTIF($E121:N121,"t")+COUNTIF($E121:N121,"¶")+COUNTIF($E121:N121,"²")+COUNTIF($E121:N121,"µ")+COUNTIF($E121:N121,1),ColDescriptionCourte))&gt;1,
HYPERLINK("#Roadmap!C"&amp; MATCH($E121,Roadmap!$D:$D,0)+COUNTIF($E121:N121,"u")+COUNTIF($E121:N121,"t")+COUNTIF($E121:N121,"¶")+COUNTIF($E121:N121,"²")+COUNTIF($E121:N121,"µ")+COUNTIF($E121:N121,1)-1,INDEX(Roadmap!$D:$K,MATCH($E121,Roadmap!$D:$D,0)-1+COUNTIF($E121:N121,"u")+COUNTIF($E121:N121,"t")+COUNTIF($E121:N121,"¶")+COUNTIF($E121:N121,"²")+COUNTIF($E121:N121,"µ")+COUNTIF($E121:N121,1),ColDescriptionCourte)),""),
  "")),"")</f>
        <v/>
      </c>
      <c r="P121" s="40" t="str">
        <f ca="1">IFERROR(IF(AND(
  INDEX(Roadmap!$D:$K,MATCH($E121,Roadmap!$D:$D,0)+COUNTIF($E121:O121,"u")+COUNTIF($E121:O121,"t")+COUNTIF($E121:O121,"¶")+COUNTIF($E121:O121,"²")+COUNTIF($E121:O121,"µ")+COUNTIF($E121:O121,1),ColLivraison)=P$6,
  VLOOKUP($E121,INDIRECT("tri!"&amp; CHAR(64+ C0Col) &amp;":"&amp; CHAR(65+C0Col)),2,FALSE)&gt;COUNTIF($E121:O121,"u")+COUNTIF($E121:O121,"t")+COUNTIF($E121:O121,"¶")+COUNTIF($E121:O121,"²")+COUNTIF($E121:O121,"µ")+COUNTIF($E121:O121,1)),
HYPERLINK("#Roadmap!C"&amp; MATCH($E121,Roadmap!$D:$D,0)+COUNTIF($E121:O121,"u")+COUNTIF($E121:O121,"t"),
     INDEX(Roadmap!$D:$K,MATCH($E121,Roadmap!$D:$D,0)+COUNTIF($E121:O121,"u")+COUNTIF($E121:O121,"t")+COUNTIF($E121:O121,"¶")+COUNTIF($E121:O121,"²")+COUNTIF($E121:O121,"µ")+COUNTIF($E121:O121,1),ColTypeEcheance)),
  IF(LEN(O121)=1,
  IF(LEN(INDEX(Roadmap!$D:$K,MATCH($E121,Roadmap!$D:$D,0)-1+COUNTIF($E121:O121,"u")+COUNTIF($E121:O121,"t")+COUNTIF($E121:O121,"¶")+COUNTIF($E121:O121,"²")+COUNTIF($E121:O121,"µ")+COUNTIF($E121:O121,1),ColDescriptionCourte))&gt;1,
HYPERLINK("#Roadmap!C"&amp; MATCH($E121,Roadmap!$D:$D,0)+COUNTIF($E121:O121,"u")+COUNTIF($E121:O121,"t")+COUNTIF($E121:O121,"¶")+COUNTIF($E121:O121,"²")+COUNTIF($E121:O121,"µ")+COUNTIF($E121:O121,1)-1,INDEX(Roadmap!$D:$K,MATCH($E121,Roadmap!$D:$D,0)-1+COUNTIF($E121:O121,"u")+COUNTIF($E121:O121,"t")+COUNTIF($E121:O121,"¶")+COUNTIF($E121:O121,"²")+COUNTIF($E121:O121,"µ")+COUNTIF($E121:O121,1),ColDescriptionCourte)),""),
  "")),"")</f>
        <v/>
      </c>
      <c r="Q121" s="40" t="str">
        <f ca="1">IFERROR(IF(AND(
  INDEX(Roadmap!$D:$K,MATCH($E121,Roadmap!$D:$D,0)+COUNTIF($E121:P121,"u")+COUNTIF($E121:P121,"t")+COUNTIF($E121:P121,"¶")+COUNTIF($E121:P121,"²")+COUNTIF($E121:P121,"µ")+COUNTIF($E121:P121,1),ColLivraison)=Q$6,
  VLOOKUP($E121,INDIRECT("tri!"&amp; CHAR(64+ C0Col) &amp;":"&amp; CHAR(65+C0Col)),2,FALSE)&gt;COUNTIF($E121:P121,"u")+COUNTIF($E121:P121,"t")+COUNTIF($E121:P121,"¶")+COUNTIF($E121:P121,"²")+COUNTIF($E121:P121,"µ")+COUNTIF($E121:P121,1)),
HYPERLINK("#Roadmap!C"&amp; MATCH($E121,Roadmap!$D:$D,0)+COUNTIF($E121:P121,"u")+COUNTIF($E121:P121,"t"),
     INDEX(Roadmap!$D:$K,MATCH($E121,Roadmap!$D:$D,0)+COUNTIF($E121:P121,"u")+COUNTIF($E121:P121,"t")+COUNTIF($E121:P121,"¶")+COUNTIF($E121:P121,"²")+COUNTIF($E121:P121,"µ")+COUNTIF($E121:P121,1),ColTypeEcheance)),
  IF(LEN(P121)=1,
  IF(LEN(INDEX(Roadmap!$D:$K,MATCH($E121,Roadmap!$D:$D,0)-1+COUNTIF($E121:P121,"u")+COUNTIF($E121:P121,"t")+COUNTIF($E121:P121,"¶")+COUNTIF($E121:P121,"²")+COUNTIF($E121:P121,"µ")+COUNTIF($E121:P121,1),ColDescriptionCourte))&gt;1,
HYPERLINK("#Roadmap!C"&amp; MATCH($E121,Roadmap!$D:$D,0)+COUNTIF($E121:P121,"u")+COUNTIF($E121:P121,"t")+COUNTIF($E121:P121,"¶")+COUNTIF($E121:P121,"²")+COUNTIF($E121:P121,"µ")+COUNTIF($E121:P121,1)-1,INDEX(Roadmap!$D:$K,MATCH($E121,Roadmap!$D:$D,0)-1+COUNTIF($E121:P121,"u")+COUNTIF($E121:P121,"t")+COUNTIF($E121:P121,"¶")+COUNTIF($E121:P121,"²")+COUNTIF($E121:P121,"µ")+COUNTIF($E121:P121,1),ColDescriptionCourte)),""),
  "")),"")</f>
        <v/>
      </c>
      <c r="R121" s="40" t="str">
        <f ca="1">IFERROR(IF(AND(
  INDEX(Roadmap!$D:$K,MATCH($E121,Roadmap!$D:$D,0)+COUNTIF($E121:Q121,"u")+COUNTIF($E121:Q121,"t")+COUNTIF($E121:Q121,"¶")+COUNTIF($E121:Q121,"²")+COUNTIF($E121:Q121,"µ")+COUNTIF($E121:Q121,1),ColLivraison)=R$6,
  VLOOKUP($E121,INDIRECT("tri!"&amp; CHAR(64+ C0Col) &amp;":"&amp; CHAR(65+C0Col)),2,FALSE)&gt;COUNTIF($E121:Q121,"u")+COUNTIF($E121:Q121,"t")+COUNTIF($E121:Q121,"¶")+COUNTIF($E121:Q121,"²")+COUNTIF($E121:Q121,"µ")+COUNTIF($E121:Q121,1)),
HYPERLINK("#Roadmap!C"&amp; MATCH($E121,Roadmap!$D:$D,0)+COUNTIF($E121:Q121,"u")+COUNTIF($E121:Q121,"t"),
     INDEX(Roadmap!$D:$K,MATCH($E121,Roadmap!$D:$D,0)+COUNTIF($E121:Q121,"u")+COUNTIF($E121:Q121,"t")+COUNTIF($E121:Q121,"¶")+COUNTIF($E121:Q121,"²")+COUNTIF($E121:Q121,"µ")+COUNTIF($E121:Q121,1),ColTypeEcheance)),
  IF(LEN(Q121)=1,
  IF(LEN(INDEX(Roadmap!$D:$K,MATCH($E121,Roadmap!$D:$D,0)-1+COUNTIF($E121:Q121,"u")+COUNTIF($E121:Q121,"t")+COUNTIF($E121:Q121,"¶")+COUNTIF($E121:Q121,"²")+COUNTIF($E121:Q121,"µ")+COUNTIF($E121:Q121,1),ColDescriptionCourte))&gt;1,
HYPERLINK("#Roadmap!C"&amp; MATCH($E121,Roadmap!$D:$D,0)+COUNTIF($E121:Q121,"u")+COUNTIF($E121:Q121,"t")+COUNTIF($E121:Q121,"¶")+COUNTIF($E121:Q121,"²")+COUNTIF($E121:Q121,"µ")+COUNTIF($E121:Q121,1)-1,INDEX(Roadmap!$D:$K,MATCH($E121,Roadmap!$D:$D,0)-1+COUNTIF($E121:Q121,"u")+COUNTIF($E121:Q121,"t")+COUNTIF($E121:Q121,"¶")+COUNTIF($E121:Q121,"²")+COUNTIF($E121:Q121,"µ")+COUNTIF($E121:Q121,1),ColDescriptionCourte)),""),
  "")),"")</f>
        <v/>
      </c>
      <c r="S121" s="40" t="str">
        <f ca="1">IFERROR(IF(AND(
  INDEX(Roadmap!$D:$K,MATCH($E121,Roadmap!$D:$D,0)+COUNTIF($E121:R121,"u")+COUNTIF($E121:R121,"t")+COUNTIF($E121:R121,"¶")+COUNTIF($E121:R121,"²")+COUNTIF($E121:R121,"µ")+COUNTIF($E121:R121,1),ColLivraison)=S$6,
  VLOOKUP($E121,INDIRECT("tri!"&amp; CHAR(64+ C0Col) &amp;":"&amp; CHAR(65+C0Col)),2,FALSE)&gt;COUNTIF($E121:R121,"u")+COUNTIF($E121:R121,"t")+COUNTIF($E121:R121,"¶")+COUNTIF($E121:R121,"²")+COUNTIF($E121:R121,"µ")+COUNTIF($E121:R121,1)),
HYPERLINK("#Roadmap!C"&amp; MATCH($E121,Roadmap!$D:$D,0)+COUNTIF($E121:R121,"u")+COUNTIF($E121:R121,"t"),
     INDEX(Roadmap!$D:$K,MATCH($E121,Roadmap!$D:$D,0)+COUNTIF($E121:R121,"u")+COUNTIF($E121:R121,"t")+COUNTIF($E121:R121,"¶")+COUNTIF($E121:R121,"²")+COUNTIF($E121:R121,"µ")+COUNTIF($E121:R121,1),ColTypeEcheance)),
  IF(LEN(R121)=1,
  IF(LEN(INDEX(Roadmap!$D:$K,MATCH($E121,Roadmap!$D:$D,0)-1+COUNTIF($E121:R121,"u")+COUNTIF($E121:R121,"t")+COUNTIF($E121:R121,"¶")+COUNTIF($E121:R121,"²")+COUNTIF($E121:R121,"µ")+COUNTIF($E121:R121,1),ColDescriptionCourte))&gt;1,
HYPERLINK("#Roadmap!C"&amp; MATCH($E121,Roadmap!$D:$D,0)+COUNTIF($E121:R121,"u")+COUNTIF($E121:R121,"t")+COUNTIF($E121:R121,"¶")+COUNTIF($E121:R121,"²")+COUNTIF($E121:R121,"µ")+COUNTIF($E121:R121,1)-1,INDEX(Roadmap!$D:$K,MATCH($E121,Roadmap!$D:$D,0)-1+COUNTIF($E121:R121,"u")+COUNTIF($E121:R121,"t")+COUNTIF($E121:R121,"¶")+COUNTIF($E121:R121,"²")+COUNTIF($E121:R121,"µ")+COUNTIF($E121:R121,1),ColDescriptionCourte)),""),
  "")),"")</f>
        <v/>
      </c>
      <c r="T121" s="40" t="str">
        <f ca="1">IFERROR(IF(AND(
  INDEX(Roadmap!$D:$K,MATCH($E121,Roadmap!$D:$D,0)+COUNTIF($E121:S121,"u")+COUNTIF($E121:S121,"t")+COUNTIF($E121:S121,"¶")+COUNTIF($E121:S121,"²")+COUNTIF($E121:S121,"µ")+COUNTIF($E121:S121,1),ColLivraison)=T$6,
  VLOOKUP($E121,INDIRECT("tri!"&amp; CHAR(64+ C0Col) &amp;":"&amp; CHAR(65+C0Col)),2,FALSE)&gt;COUNTIF($E121:S121,"u")+COUNTIF($E121:S121,"t")+COUNTIF($E121:S121,"¶")+COUNTIF($E121:S121,"²")+COUNTIF($E121:S121,"µ")+COUNTIF($E121:S121,1)),
HYPERLINK("#Roadmap!C"&amp; MATCH($E121,Roadmap!$D:$D,0)+COUNTIF($E121:S121,"u")+COUNTIF($E121:S121,"t"),
     INDEX(Roadmap!$D:$K,MATCH($E121,Roadmap!$D:$D,0)+COUNTIF($E121:S121,"u")+COUNTIF($E121:S121,"t")+COUNTIF($E121:S121,"¶")+COUNTIF($E121:S121,"²")+COUNTIF($E121:S121,"µ")+COUNTIF($E121:S121,1),ColTypeEcheance)),
  IF(LEN(S121)=1,
  IF(LEN(INDEX(Roadmap!$D:$K,MATCH($E121,Roadmap!$D:$D,0)-1+COUNTIF($E121:S121,"u")+COUNTIF($E121:S121,"t")+COUNTIF($E121:S121,"¶")+COUNTIF($E121:S121,"²")+COUNTIF($E121:S121,"µ")+COUNTIF($E121:S121,1),ColDescriptionCourte))&gt;1,
HYPERLINK("#Roadmap!C"&amp; MATCH($E121,Roadmap!$D:$D,0)+COUNTIF($E121:S121,"u")+COUNTIF($E121:S121,"t")+COUNTIF($E121:S121,"¶")+COUNTIF($E121:S121,"²")+COUNTIF($E121:S121,"µ")+COUNTIF($E121:S121,1)-1,INDEX(Roadmap!$D:$K,MATCH($E121,Roadmap!$D:$D,0)-1+COUNTIF($E121:S121,"u")+COUNTIF($E121:S121,"t")+COUNTIF($E121:S121,"¶")+COUNTIF($E121:S121,"²")+COUNTIF($E121:S121,"µ")+COUNTIF($E121:S121,1),ColDescriptionCourte)),""),
  "")),"")</f>
        <v/>
      </c>
      <c r="U121" s="40" t="str">
        <f ca="1">IFERROR(IF(AND(
  INDEX(Roadmap!$D:$K,MATCH($E121,Roadmap!$D:$D,0)+COUNTIF($E121:T121,"u")+COUNTIF($E121:T121,"t")+COUNTIF($E121:T121,"¶")+COUNTIF($E121:T121,"²")+COUNTIF($E121:T121,"µ")+COUNTIF($E121:T121,1),ColLivraison)=U$6,
  VLOOKUP($E121,INDIRECT("tri!"&amp; CHAR(64+ C0Col) &amp;":"&amp; CHAR(65+C0Col)),2,FALSE)&gt;COUNTIF($E121:T121,"u")+COUNTIF($E121:T121,"t")+COUNTIF($E121:T121,"¶")+COUNTIF($E121:T121,"²")+COUNTIF($E121:T121,"µ")+COUNTIF($E121:T121,1)),
HYPERLINK("#Roadmap!C"&amp; MATCH($E121,Roadmap!$D:$D,0)+COUNTIF($E121:T121,"u")+COUNTIF($E121:T121,"t"),
     INDEX(Roadmap!$D:$K,MATCH($E121,Roadmap!$D:$D,0)+COUNTIF($E121:T121,"u")+COUNTIF($E121:T121,"t")+COUNTIF($E121:T121,"¶")+COUNTIF($E121:T121,"²")+COUNTIF($E121:T121,"µ")+COUNTIF($E121:T121,1),ColTypeEcheance)),
  IF(LEN(T121)=1,
  IF(LEN(INDEX(Roadmap!$D:$K,MATCH($E121,Roadmap!$D:$D,0)-1+COUNTIF($E121:T121,"u")+COUNTIF($E121:T121,"t")+COUNTIF($E121:T121,"¶")+COUNTIF($E121:T121,"²")+COUNTIF($E121:T121,"µ")+COUNTIF($E121:T121,1),ColDescriptionCourte))&gt;1,
HYPERLINK("#Roadmap!C"&amp; MATCH($E121,Roadmap!$D:$D,0)+COUNTIF($E121:T121,"u")+COUNTIF($E121:T121,"t")+COUNTIF($E121:T121,"¶")+COUNTIF($E121:T121,"²")+COUNTIF($E121:T121,"µ")+COUNTIF($E121:T121,1)-1,INDEX(Roadmap!$D:$K,MATCH($E121,Roadmap!$D:$D,0)-1+COUNTIF($E121:T121,"u")+COUNTIF($E121:T121,"t")+COUNTIF($E121:T121,"¶")+COUNTIF($E121:T121,"²")+COUNTIF($E121:T121,"µ")+COUNTIF($E121:T121,1),ColDescriptionCourte)),""),
  "")),"")</f>
        <v/>
      </c>
      <c r="V121" s="40" t="str">
        <f ca="1">IFERROR(IF(AND(
  INDEX(Roadmap!$D:$K,MATCH($E121,Roadmap!$D:$D,0)+COUNTIF($E121:U121,"u")+COUNTIF($E121:U121,"t")+COUNTIF($E121:U121,"¶")+COUNTIF($E121:U121,"²")+COUNTIF($E121:U121,"µ")+COUNTIF($E121:U121,1),ColLivraison)=V$6,
  VLOOKUP($E121,INDIRECT("tri!"&amp; CHAR(64+ C0Col) &amp;":"&amp; CHAR(65+C0Col)),2,FALSE)&gt;COUNTIF($E121:U121,"u")+COUNTIF($E121:U121,"t")+COUNTIF($E121:U121,"¶")+COUNTIF($E121:U121,"²")+COUNTIF($E121:U121,"µ")+COUNTIF($E121:U121,1)),
HYPERLINK("#Roadmap!C"&amp; MATCH($E121,Roadmap!$D:$D,0)+COUNTIF($E121:U121,"u")+COUNTIF($E121:U121,"t"),
     INDEX(Roadmap!$D:$K,MATCH($E121,Roadmap!$D:$D,0)+COUNTIF($E121:U121,"u")+COUNTIF($E121:U121,"t")+COUNTIF($E121:U121,"¶")+COUNTIF($E121:U121,"²")+COUNTIF($E121:U121,"µ")+COUNTIF($E121:U121,1),ColTypeEcheance)),
  IF(LEN(U121)=1,
  IF(LEN(INDEX(Roadmap!$D:$K,MATCH($E121,Roadmap!$D:$D,0)-1+COUNTIF($E121:U121,"u")+COUNTIF($E121:U121,"t")+COUNTIF($E121:U121,"¶")+COUNTIF($E121:U121,"²")+COUNTIF($E121:U121,"µ")+COUNTIF($E121:U121,1),ColDescriptionCourte))&gt;1,
HYPERLINK("#Roadmap!C"&amp; MATCH($E121,Roadmap!$D:$D,0)+COUNTIF($E121:U121,"u")+COUNTIF($E121:U121,"t")+COUNTIF($E121:U121,"¶")+COUNTIF($E121:U121,"²")+COUNTIF($E121:U121,"µ")+COUNTIF($E121:U121,1)-1,INDEX(Roadmap!$D:$K,MATCH($E121,Roadmap!$D:$D,0)-1+COUNTIF($E121:U121,"u")+COUNTIF($E121:U121,"t")+COUNTIF($E121:U121,"¶")+COUNTIF($E121:U121,"²")+COUNTIF($E121:U121,"µ")+COUNTIF($E121:U121,1),ColDescriptionCourte)),""),
  "")),"")</f>
        <v/>
      </c>
      <c r="W121" s="40" t="str">
        <f ca="1">IFERROR(IF(AND(
  INDEX(Roadmap!$D:$K,MATCH($E121,Roadmap!$D:$D,0)+COUNTIF($E121:V121,"u")+COUNTIF($E121:V121,"t")+COUNTIF($E121:V121,"¶")+COUNTIF($E121:V121,"²")+COUNTIF($E121:V121,"µ")+COUNTIF($E121:V121,1),ColLivraison)=W$6,
  VLOOKUP($E121,INDIRECT("tri!"&amp; CHAR(64+ C0Col) &amp;":"&amp; CHAR(65+C0Col)),2,FALSE)&gt;COUNTIF($E121:V121,"u")+COUNTIF($E121:V121,"t")+COUNTIF($E121:V121,"¶")+COUNTIF($E121:V121,"²")+COUNTIF($E121:V121,"µ")+COUNTIF($E121:V121,1)),
HYPERLINK("#Roadmap!C"&amp; MATCH($E121,Roadmap!$D:$D,0)+COUNTIF($E121:V121,"u")+COUNTIF($E121:V121,"t"),
     INDEX(Roadmap!$D:$K,MATCH($E121,Roadmap!$D:$D,0)+COUNTIF($E121:V121,"u")+COUNTIF($E121:V121,"t")+COUNTIF($E121:V121,"¶")+COUNTIF($E121:V121,"²")+COUNTIF($E121:V121,"µ")+COUNTIF($E121:V121,1),ColTypeEcheance)),
  IF(LEN(V121)=1,
  IF(LEN(INDEX(Roadmap!$D:$K,MATCH($E121,Roadmap!$D:$D,0)-1+COUNTIF($E121:V121,"u")+COUNTIF($E121:V121,"t")+COUNTIF($E121:V121,"¶")+COUNTIF($E121:V121,"²")+COUNTIF($E121:V121,"µ")+COUNTIF($E121:V121,1),ColDescriptionCourte))&gt;1,
HYPERLINK("#Roadmap!C"&amp; MATCH($E121,Roadmap!$D:$D,0)+COUNTIF($E121:V121,"u")+COUNTIF($E121:V121,"t")+COUNTIF($E121:V121,"¶")+COUNTIF($E121:V121,"²")+COUNTIF($E121:V121,"µ")+COUNTIF($E121:V121,1)-1,INDEX(Roadmap!$D:$K,MATCH($E121,Roadmap!$D:$D,0)-1+COUNTIF($E121:V121,"u")+COUNTIF($E121:V121,"t")+COUNTIF($E121:V121,"¶")+COUNTIF($E121:V121,"²")+COUNTIF($E121:V121,"µ")+COUNTIF($E121:V121,1),ColDescriptionCourte)),""),
  "")),"")</f>
        <v/>
      </c>
      <c r="X121" s="40" t="str">
        <f ca="1">IFERROR(IF(AND(
  INDEX(Roadmap!$D:$K,MATCH($E121,Roadmap!$D:$D,0)+COUNTIF($E121:W121,"u")+COUNTIF($E121:W121,"t")+COUNTIF($E121:W121,"¶")+COUNTIF($E121:W121,"²")+COUNTIF($E121:W121,"µ")+COUNTIF($E121:W121,1),ColLivraison)=X$6,
  VLOOKUP($E121,INDIRECT("tri!"&amp; CHAR(64+ C0Col) &amp;":"&amp; CHAR(65+C0Col)),2,FALSE)&gt;COUNTIF($E121:W121,"u")+COUNTIF($E121:W121,"t")+COUNTIF($E121:W121,"¶")+COUNTIF($E121:W121,"²")+COUNTIF($E121:W121,"µ")+COUNTIF($E121:W121,1)),
HYPERLINK("#Roadmap!C"&amp; MATCH($E121,Roadmap!$D:$D,0)+COUNTIF($E121:W121,"u")+COUNTIF($E121:W121,"t"),
     INDEX(Roadmap!$D:$K,MATCH($E121,Roadmap!$D:$D,0)+COUNTIF($E121:W121,"u")+COUNTIF($E121:W121,"t")+COUNTIF($E121:W121,"¶")+COUNTIF($E121:W121,"²")+COUNTIF($E121:W121,"µ")+COUNTIF($E121:W121,1),ColTypeEcheance)),
  IF(LEN(W121)=1,
  IF(LEN(INDEX(Roadmap!$D:$K,MATCH($E121,Roadmap!$D:$D,0)-1+COUNTIF($E121:W121,"u")+COUNTIF($E121:W121,"t")+COUNTIF($E121:W121,"¶")+COUNTIF($E121:W121,"²")+COUNTIF($E121:W121,"µ")+COUNTIF($E121:W121,1),ColDescriptionCourte))&gt;1,
HYPERLINK("#Roadmap!C"&amp; MATCH($E121,Roadmap!$D:$D,0)+COUNTIF($E121:W121,"u")+COUNTIF($E121:W121,"t")+COUNTIF($E121:W121,"¶")+COUNTIF($E121:W121,"²")+COUNTIF($E121:W121,"µ")+COUNTIF($E121:W121,1)-1,INDEX(Roadmap!$D:$K,MATCH($E121,Roadmap!$D:$D,0)-1+COUNTIF($E121:W121,"u")+COUNTIF($E121:W121,"t")+COUNTIF($E121:W121,"¶")+COUNTIF($E121:W121,"²")+COUNTIF($E121:W121,"µ")+COUNTIF($E121:W121,1),ColDescriptionCourte)),""),
  "")),"")</f>
        <v/>
      </c>
      <c r="Y121" s="40" t="str">
        <f ca="1">IFERROR(IF(AND(
  INDEX(Roadmap!$D:$K,MATCH($E121,Roadmap!$D:$D,0)+COUNTIF($E121:X121,"u")+COUNTIF($E121:X121,"t")+COUNTIF($E121:X121,"¶")+COUNTIF($E121:X121,"²")+COUNTIF($E121:X121,"µ")+COUNTIF($E121:X121,1),ColLivraison)=Y$6,
  VLOOKUP($E121,INDIRECT("tri!"&amp; CHAR(64+ C0Col) &amp;":"&amp; CHAR(65+C0Col)),2,FALSE)&gt;COUNTIF($E121:X121,"u")+COUNTIF($E121:X121,"t")+COUNTIF($E121:X121,"¶")+COUNTIF($E121:X121,"²")+COUNTIF($E121:X121,"µ")+COUNTIF($E121:X121,1)),
HYPERLINK("#Roadmap!C"&amp; MATCH($E121,Roadmap!$D:$D,0)+COUNTIF($E121:X121,"u")+COUNTIF($E121:X121,"t"),
     INDEX(Roadmap!$D:$K,MATCH($E121,Roadmap!$D:$D,0)+COUNTIF($E121:X121,"u")+COUNTIF($E121:X121,"t")+COUNTIF($E121:X121,"¶")+COUNTIF($E121:X121,"²")+COUNTIF($E121:X121,"µ")+COUNTIF($E121:X121,1),ColTypeEcheance)),
  IF(LEN(X121)=1,
  IF(LEN(INDEX(Roadmap!$D:$K,MATCH($E121,Roadmap!$D:$D,0)-1+COUNTIF($E121:X121,"u")+COUNTIF($E121:X121,"t")+COUNTIF($E121:X121,"¶")+COUNTIF($E121:X121,"²")+COUNTIF($E121:X121,"µ")+COUNTIF($E121:X121,1),ColDescriptionCourte))&gt;1,
HYPERLINK("#Roadmap!C"&amp; MATCH($E121,Roadmap!$D:$D,0)+COUNTIF($E121:X121,"u")+COUNTIF($E121:X121,"t")+COUNTIF($E121:X121,"¶")+COUNTIF($E121:X121,"²")+COUNTIF($E121:X121,"µ")+COUNTIF($E121:X121,1)-1,INDEX(Roadmap!$D:$K,MATCH($E121,Roadmap!$D:$D,0)-1+COUNTIF($E121:X121,"u")+COUNTIF($E121:X121,"t")+COUNTIF($E121:X121,"¶")+COUNTIF($E121:X121,"²")+COUNTIF($E121:X121,"µ")+COUNTIF($E121:X121,1),ColDescriptionCourte)),""),
  "")),"")</f>
        <v/>
      </c>
      <c r="Z121" s="40" t="str">
        <f ca="1">IFERROR(IF(AND(
  INDEX(Roadmap!$D:$K,MATCH($E121,Roadmap!$D:$D,0)+COUNTIF($E121:Y121,"u")+COUNTIF($E121:Y121,"t")+COUNTIF($E121:Y121,"¶")+COUNTIF($E121:Y121,"²")+COUNTIF($E121:Y121,"µ")+COUNTIF($E121:Y121,1),ColLivraison)=Z$6,
  VLOOKUP($E121,INDIRECT("tri!"&amp; CHAR(64+ C0Col) &amp;":"&amp; CHAR(65+C0Col)),2,FALSE)&gt;COUNTIF($E121:Y121,"u")+COUNTIF($E121:Y121,"t")+COUNTIF($E121:Y121,"¶")+COUNTIF($E121:Y121,"²")+COUNTIF($E121:Y121,"µ")+COUNTIF($E121:Y121,1)),
HYPERLINK("#Roadmap!C"&amp; MATCH($E121,Roadmap!$D:$D,0)+COUNTIF($E121:Y121,"u")+COUNTIF($E121:Y121,"t"),
     INDEX(Roadmap!$D:$K,MATCH($E121,Roadmap!$D:$D,0)+COUNTIF($E121:Y121,"u")+COUNTIF($E121:Y121,"t")+COUNTIF($E121:Y121,"¶")+COUNTIF($E121:Y121,"²")+COUNTIF($E121:Y121,"µ")+COUNTIF($E121:Y121,1),ColTypeEcheance)),
  IF(LEN(Y121)=1,
  IF(LEN(INDEX(Roadmap!$D:$K,MATCH($E121,Roadmap!$D:$D,0)-1+COUNTIF($E121:Y121,"u")+COUNTIF($E121:Y121,"t")+COUNTIF($E121:Y121,"¶")+COUNTIF($E121:Y121,"²")+COUNTIF($E121:Y121,"µ")+COUNTIF($E121:Y121,1),ColDescriptionCourte))&gt;1,
HYPERLINK("#Roadmap!C"&amp; MATCH($E121,Roadmap!$D:$D,0)+COUNTIF($E121:Y121,"u")+COUNTIF($E121:Y121,"t")+COUNTIF($E121:Y121,"¶")+COUNTIF($E121:Y121,"²")+COUNTIF($E121:Y121,"µ")+COUNTIF($E121:Y121,1)-1,INDEX(Roadmap!$D:$K,MATCH($E121,Roadmap!$D:$D,0)-1+COUNTIF($E121:Y121,"u")+COUNTIF($E121:Y121,"t")+COUNTIF($E121:Y121,"¶")+COUNTIF($E121:Y121,"²")+COUNTIF($E121:Y121,"µ")+COUNTIF($E121:Y121,1),ColDescriptionCourte)),""),
  "")),"")</f>
        <v/>
      </c>
      <c r="AA121" s="40" t="str">
        <f ca="1">IFERROR(IF(AND(
  INDEX(Roadmap!$D:$K,MATCH($E121,Roadmap!$D:$D,0)+COUNTIF($E121:Z121,"u")+COUNTIF($E121:Z121,"t")+COUNTIF($E121:Z121,"¶")+COUNTIF($E121:Z121,"²")+COUNTIF($E121:Z121,"µ")+COUNTIF($E121:Z121,1),ColLivraison)=AA$6,
  VLOOKUP($E121,INDIRECT("tri!"&amp; CHAR(64+ C0Col) &amp;":"&amp; CHAR(65+C0Col)),2,FALSE)&gt;COUNTIF($E121:Z121,"u")+COUNTIF($E121:Z121,"t")+COUNTIF($E121:Z121,"¶")+COUNTIF($E121:Z121,"²")+COUNTIF($E121:Z121,"µ")+COUNTIF($E121:Z121,1)),
HYPERLINK("#Roadmap!C"&amp; MATCH($E121,Roadmap!$D:$D,0)+COUNTIF($E121:Z121,"u")+COUNTIF($E121:Z121,"t"),
     INDEX(Roadmap!$D:$K,MATCH($E121,Roadmap!$D:$D,0)+COUNTIF($E121:Z121,"u")+COUNTIF($E121:Z121,"t")+COUNTIF($E121:Z121,"¶")+COUNTIF($E121:Z121,"²")+COUNTIF($E121:Z121,"µ")+COUNTIF($E121:Z121,1),ColTypeEcheance)),
  IF(LEN(Z121)=1,
  IF(LEN(INDEX(Roadmap!$D:$K,MATCH($E121,Roadmap!$D:$D,0)-1+COUNTIF($E121:Z121,"u")+COUNTIF($E121:Z121,"t")+COUNTIF($E121:Z121,"¶")+COUNTIF($E121:Z121,"²")+COUNTIF($E121:Z121,"µ")+COUNTIF($E121:Z121,1),ColDescriptionCourte))&gt;1,
HYPERLINK("#Roadmap!C"&amp; MATCH($E121,Roadmap!$D:$D,0)+COUNTIF($E121:Z121,"u")+COUNTIF($E121:Z121,"t")+COUNTIF($E121:Z121,"¶")+COUNTIF($E121:Z121,"²")+COUNTIF($E121:Z121,"µ")+COUNTIF($E121:Z121,1)-1,INDEX(Roadmap!$D:$K,MATCH($E121,Roadmap!$D:$D,0)-1+COUNTIF($E121:Z121,"u")+COUNTIF($E121:Z121,"t")+COUNTIF($E121:Z121,"¶")+COUNTIF($E121:Z121,"²")+COUNTIF($E121:Z121,"µ")+COUNTIF($E121:Z121,1),ColDescriptionCourte)),""),
  "")),"")</f>
        <v/>
      </c>
      <c r="AB121" s="40" t="str">
        <f ca="1">IFERROR(IF(AND(
  INDEX(Roadmap!$D:$K,MATCH($E121,Roadmap!$D:$D,0)+COUNTIF($E121:AA121,"u")+COUNTIF($E121:AA121,"t")+COUNTIF($E121:AA121,"¶")+COUNTIF($E121:AA121,"²")+COUNTIF($E121:AA121,"µ")+COUNTIF($E121:AA121,1),ColLivraison)=AB$6,
  VLOOKUP($E121,INDIRECT("tri!"&amp; CHAR(64+ C0Col) &amp;":"&amp; CHAR(65+C0Col)),2,FALSE)&gt;COUNTIF($E121:AA121,"u")+COUNTIF($E121:AA121,"t")+COUNTIF($E121:AA121,"¶")+COUNTIF($E121:AA121,"²")+COUNTIF($E121:AA121,"µ")+COUNTIF($E121:AA121,1)),
HYPERLINK("#Roadmap!C"&amp; MATCH($E121,Roadmap!$D:$D,0)+COUNTIF($E121:AA121,"u")+COUNTIF($E121:AA121,"t"),
     INDEX(Roadmap!$D:$K,MATCH($E121,Roadmap!$D:$D,0)+COUNTIF($E121:AA121,"u")+COUNTIF($E121:AA121,"t")+COUNTIF($E121:AA121,"¶")+COUNTIF($E121:AA121,"²")+COUNTIF($E121:AA121,"µ")+COUNTIF($E121:AA121,1),ColTypeEcheance)),
  IF(LEN(AA121)=1,
  IF(LEN(INDEX(Roadmap!$D:$K,MATCH($E121,Roadmap!$D:$D,0)-1+COUNTIF($E121:AA121,"u")+COUNTIF($E121:AA121,"t")+COUNTIF($E121:AA121,"¶")+COUNTIF($E121:AA121,"²")+COUNTIF($E121:AA121,"µ")+COUNTIF($E121:AA121,1),ColDescriptionCourte))&gt;1,
HYPERLINK("#Roadmap!C"&amp; MATCH($E121,Roadmap!$D:$D,0)+COUNTIF($E121:AA121,"u")+COUNTIF($E121:AA121,"t")+COUNTIF($E121:AA121,"¶")+COUNTIF($E121:AA121,"²")+COUNTIF($E121:AA121,"µ")+COUNTIF($E121:AA121,1)-1,INDEX(Roadmap!$D:$K,MATCH($E121,Roadmap!$D:$D,0)-1+COUNTIF($E121:AA121,"u")+COUNTIF($E121:AA121,"t")+COUNTIF($E121:AA121,"¶")+COUNTIF($E121:AA121,"²")+COUNTIF($E121:AA121,"µ")+COUNTIF($E121:AA121,1),ColDescriptionCourte)),""),
  "")),"")</f>
        <v/>
      </c>
      <c r="AC121" s="40" t="str">
        <f ca="1">IFERROR(IF(AND(
  INDEX(Roadmap!$D:$K,MATCH($E121,Roadmap!$D:$D,0)+COUNTIF($E121:AB121,"u")+COUNTIF($E121:AB121,"t")+COUNTIF($E121:AB121,"¶")+COUNTIF($E121:AB121,"²")+COUNTIF($E121:AB121,"µ")+COUNTIF($E121:AB121,1),ColLivraison)=AC$6,
  VLOOKUP($E121,INDIRECT("tri!"&amp; CHAR(64+ C0Col) &amp;":"&amp; CHAR(65+C0Col)),2,FALSE)&gt;COUNTIF($E121:AB121,"u")+COUNTIF($E121:AB121,"t")+COUNTIF($E121:AB121,"¶")+COUNTIF($E121:AB121,"²")+COUNTIF($E121:AB121,"µ")+COUNTIF($E121:AB121,1)),
HYPERLINK("#Roadmap!C"&amp; MATCH($E121,Roadmap!$D:$D,0)+COUNTIF($E121:AB121,"u")+COUNTIF($E121:AB121,"t"),
     INDEX(Roadmap!$D:$K,MATCH($E121,Roadmap!$D:$D,0)+COUNTIF($E121:AB121,"u")+COUNTIF($E121:AB121,"t")+COUNTIF($E121:AB121,"¶")+COUNTIF($E121:AB121,"²")+COUNTIF($E121:AB121,"µ")+COUNTIF($E121:AB121,1),ColTypeEcheance)),
  IF(LEN(AB121)=1,
  IF(LEN(INDEX(Roadmap!$D:$K,MATCH($E121,Roadmap!$D:$D,0)-1+COUNTIF($E121:AB121,"u")+COUNTIF($E121:AB121,"t")+COUNTIF($E121:AB121,"¶")+COUNTIF($E121:AB121,"²")+COUNTIF($E121:AB121,"µ")+COUNTIF($E121:AB121,1),ColDescriptionCourte))&gt;1,
HYPERLINK("#Roadmap!C"&amp; MATCH($E121,Roadmap!$D:$D,0)+COUNTIF($E121:AB121,"u")+COUNTIF($E121:AB121,"t")+COUNTIF($E121:AB121,"¶")+COUNTIF($E121:AB121,"²")+COUNTIF($E121:AB121,"µ")+COUNTIF($E121:AB121,1)-1,INDEX(Roadmap!$D:$K,MATCH($E121,Roadmap!$D:$D,0)-1+COUNTIF($E121:AB121,"u")+COUNTIF($E121:AB121,"t")+COUNTIF($E121:AB121,"¶")+COUNTIF($E121:AB121,"²")+COUNTIF($E121:AB121,"µ")+COUNTIF($E121:AB121,1),ColDescriptionCourte)),""),
  "")),"")</f>
        <v/>
      </c>
      <c r="AD121" s="40" t="str">
        <f ca="1">IFERROR(IF(AND(
  INDEX(Roadmap!$D:$K,MATCH($E121,Roadmap!$D:$D,0)+COUNTIF($E121:AC121,"u")+COUNTIF($E121:AC121,"t")+COUNTIF($E121:AC121,"¶")+COUNTIF($E121:AC121,"²")+COUNTIF($E121:AC121,"µ")+COUNTIF($E121:AC121,1),ColLivraison)=AD$6,
  VLOOKUP($E121,INDIRECT("tri!"&amp; CHAR(64+ C0Col) &amp;":"&amp; CHAR(65+C0Col)),2,FALSE)&gt;COUNTIF($E121:AC121,"u")+COUNTIF($E121:AC121,"t")+COUNTIF($E121:AC121,"¶")+COUNTIF($E121:AC121,"²")+COUNTIF($E121:AC121,"µ")+COUNTIF($E121:AC121,1)),
HYPERLINK("#Roadmap!C"&amp; MATCH($E121,Roadmap!$D:$D,0)+COUNTIF($E121:AC121,"u")+COUNTIF($E121:AC121,"t"),
     INDEX(Roadmap!$D:$K,MATCH($E121,Roadmap!$D:$D,0)+COUNTIF($E121:AC121,"u")+COUNTIF($E121:AC121,"t")+COUNTIF($E121:AC121,"¶")+COUNTIF($E121:AC121,"²")+COUNTIF($E121:AC121,"µ")+COUNTIF($E121:AC121,1),ColTypeEcheance)),
  IF(LEN(AC121)=1,
  IF(LEN(INDEX(Roadmap!$D:$K,MATCH($E121,Roadmap!$D:$D,0)-1+COUNTIF($E121:AC121,"u")+COUNTIF($E121:AC121,"t")+COUNTIF($E121:AC121,"¶")+COUNTIF($E121:AC121,"²")+COUNTIF($E121:AC121,"µ")+COUNTIF($E121:AC121,1),ColDescriptionCourte))&gt;1,
HYPERLINK("#Roadmap!C"&amp; MATCH($E121,Roadmap!$D:$D,0)+COUNTIF($E121:AC121,"u")+COUNTIF($E121:AC121,"t")+COUNTIF($E121:AC121,"¶")+COUNTIF($E121:AC121,"²")+COUNTIF($E121:AC121,"µ")+COUNTIF($E121:AC121,1)-1,INDEX(Roadmap!$D:$K,MATCH($E121,Roadmap!$D:$D,0)-1+COUNTIF($E121:AC121,"u")+COUNTIF($E121:AC121,"t")+COUNTIF($E121:AC121,"¶")+COUNTIF($E121:AC121,"²")+COUNTIF($E121:AC121,"µ")+COUNTIF($E121:AC121,1),ColDescriptionCourte)),""),
  "")),"")</f>
        <v/>
      </c>
      <c r="AE121" s="40" t="str">
        <f ca="1">IFERROR(IF(AND(
  INDEX(Roadmap!$D:$K,MATCH($E121,Roadmap!$D:$D,0)+COUNTIF($E121:AD121,"u")+COUNTIF($E121:AD121,"t")+COUNTIF($E121:AD121,"¶")+COUNTIF($E121:AD121,"²")+COUNTIF($E121:AD121,"µ")+COUNTIF($E121:AD121,1),ColLivraison)=AE$6,
  VLOOKUP($E121,INDIRECT("tri!"&amp; CHAR(64+ C0Col) &amp;":"&amp; CHAR(65+C0Col)),2,FALSE)&gt;COUNTIF($E121:AD121,"u")+COUNTIF($E121:AD121,"t")+COUNTIF($E121:AD121,"¶")+COUNTIF($E121:AD121,"²")+COUNTIF($E121:AD121,"µ")+COUNTIF($E121:AD121,1)),
HYPERLINK("#Roadmap!C"&amp; MATCH($E121,Roadmap!$D:$D,0)+COUNTIF($E121:AD121,"u")+COUNTIF($E121:AD121,"t"),
     INDEX(Roadmap!$D:$K,MATCH($E121,Roadmap!$D:$D,0)+COUNTIF($E121:AD121,"u")+COUNTIF($E121:AD121,"t")+COUNTIF($E121:AD121,"¶")+COUNTIF($E121:AD121,"²")+COUNTIF($E121:AD121,"µ")+COUNTIF($E121:AD121,1),ColTypeEcheance)),
  IF(LEN(AD121)=1,
  IF(LEN(INDEX(Roadmap!$D:$K,MATCH($E121,Roadmap!$D:$D,0)-1+COUNTIF($E121:AD121,"u")+COUNTIF($E121:AD121,"t")+COUNTIF($E121:AD121,"¶")+COUNTIF($E121:AD121,"²")+COUNTIF($E121:AD121,"µ")+COUNTIF($E121:AD121,1),ColDescriptionCourte))&gt;1,
HYPERLINK("#Roadmap!C"&amp; MATCH($E121,Roadmap!$D:$D,0)+COUNTIF($E121:AD121,"u")+COUNTIF($E121:AD121,"t")+COUNTIF($E121:AD121,"¶")+COUNTIF($E121:AD121,"²")+COUNTIF($E121:AD121,"µ")+COUNTIF($E121:AD121,1)-1,INDEX(Roadmap!$D:$K,MATCH($E121,Roadmap!$D:$D,0)-1+COUNTIF($E121:AD121,"u")+COUNTIF($E121:AD121,"t")+COUNTIF($E121:AD121,"¶")+COUNTIF($E121:AD121,"²")+COUNTIF($E121:AD121,"µ")+COUNTIF($E121:AD121,1),ColDescriptionCourte)),""),
  "")),"")</f>
        <v/>
      </c>
      <c r="AF121" s="40" t="str">
        <f ca="1">IFERROR(IF(AND(
  INDEX(Roadmap!$D:$K,MATCH($E121,Roadmap!$D:$D,0)+COUNTIF($E121:AE121,"u")+COUNTIF($E121:AE121,"t")+COUNTIF($E121:AE121,"¶")+COUNTIF($E121:AE121,"²")+COUNTIF($E121:AE121,"µ")+COUNTIF($E121:AE121,1),ColLivraison)=AF$6,
  VLOOKUP($E121,INDIRECT("tri!"&amp; CHAR(64+ C0Col) &amp;":"&amp; CHAR(65+C0Col)),2,FALSE)&gt;COUNTIF($E121:AE121,"u")+COUNTIF($E121:AE121,"t")+COUNTIF($E121:AE121,"¶")+COUNTIF($E121:AE121,"²")+COUNTIF($E121:AE121,"µ")+COUNTIF($E121:AE121,1)),
HYPERLINK("#Roadmap!C"&amp; MATCH($E121,Roadmap!$D:$D,0)+COUNTIF($E121:AE121,"u")+COUNTIF($E121:AE121,"t"),
     INDEX(Roadmap!$D:$K,MATCH($E121,Roadmap!$D:$D,0)+COUNTIF($E121:AE121,"u")+COUNTIF($E121:AE121,"t")+COUNTIF($E121:AE121,"¶")+COUNTIF($E121:AE121,"²")+COUNTIF($E121:AE121,"µ")+COUNTIF($E121:AE121,1),ColTypeEcheance)),
  IF(LEN(AE121)=1,
  IF(LEN(INDEX(Roadmap!$D:$K,MATCH($E121,Roadmap!$D:$D,0)-1+COUNTIF($E121:AE121,"u")+COUNTIF($E121:AE121,"t")+COUNTIF($E121:AE121,"¶")+COUNTIF($E121:AE121,"²")+COUNTIF($E121:AE121,"µ")+COUNTIF($E121:AE121,1),ColDescriptionCourte))&gt;1,
HYPERLINK("#Roadmap!C"&amp; MATCH($E121,Roadmap!$D:$D,0)+COUNTIF($E121:AE121,"u")+COUNTIF($E121:AE121,"t")+COUNTIF($E121:AE121,"¶")+COUNTIF($E121:AE121,"²")+COUNTIF($E121:AE121,"µ")+COUNTIF($E121:AE121,1)-1,INDEX(Roadmap!$D:$K,MATCH($E121,Roadmap!$D:$D,0)-1+COUNTIF($E121:AE121,"u")+COUNTIF($E121:AE121,"t")+COUNTIF($E121:AE121,"¶")+COUNTIF($E121:AE121,"²")+COUNTIF($E121:AE121,"µ")+COUNTIF($E121:AE121,1),ColDescriptionCourte)),""),
  "")),"")</f>
        <v/>
      </c>
      <c r="AG121" s="40" t="str">
        <f ca="1">IFERROR(IF(AND(
  INDEX(Roadmap!$D:$K,MATCH($E121,Roadmap!$D:$D,0)+COUNTIF($E121:AF121,"u")+COUNTIF($E121:AF121,"t")+COUNTIF($E121:AF121,"¶")+COUNTIF($E121:AF121,"²")+COUNTIF($E121:AF121,"µ")+COUNTIF($E121:AF121,1),ColLivraison)=AG$6,
  VLOOKUP($E121,INDIRECT("tri!"&amp; CHAR(64+ C0Col) &amp;":"&amp; CHAR(65+C0Col)),2,FALSE)&gt;COUNTIF($E121:AF121,"u")+COUNTIF($E121:AF121,"t")+COUNTIF($E121:AF121,"¶")+COUNTIF($E121:AF121,"²")+COUNTIF($E121:AF121,"µ")+COUNTIF($E121:AF121,1)),
HYPERLINK("#Roadmap!C"&amp; MATCH($E121,Roadmap!$D:$D,0)+COUNTIF($E121:AF121,"u")+COUNTIF($E121:AF121,"t"),
     INDEX(Roadmap!$D:$K,MATCH($E121,Roadmap!$D:$D,0)+COUNTIF($E121:AF121,"u")+COUNTIF($E121:AF121,"t")+COUNTIF($E121:AF121,"¶")+COUNTIF($E121:AF121,"²")+COUNTIF($E121:AF121,"µ")+COUNTIF($E121:AF121,1),ColTypeEcheance)),
  IF(LEN(AF121)=1,
  IF(LEN(INDEX(Roadmap!$D:$K,MATCH($E121,Roadmap!$D:$D,0)-1+COUNTIF($E121:AF121,"u")+COUNTIF($E121:AF121,"t")+COUNTIF($E121:AF121,"¶")+COUNTIF($E121:AF121,"²")+COUNTIF($E121:AF121,"µ")+COUNTIF($E121:AF121,1),ColDescriptionCourte))&gt;1,
HYPERLINK("#Roadmap!C"&amp; MATCH($E121,Roadmap!$D:$D,0)+COUNTIF($E121:AF121,"u")+COUNTIF($E121:AF121,"t")+COUNTIF($E121:AF121,"¶")+COUNTIF($E121:AF121,"²")+COUNTIF($E121:AF121,"µ")+COUNTIF($E121:AF121,1)-1,INDEX(Roadmap!$D:$K,MATCH($E121,Roadmap!$D:$D,0)-1+COUNTIF($E121:AF121,"u")+COUNTIF($E121:AF121,"t")+COUNTIF($E121:AF121,"¶")+COUNTIF($E121:AF121,"²")+COUNTIF($E121:AF121,"µ")+COUNTIF($E121:AF121,1),ColDescriptionCourte)),""),
  "")),"")</f>
        <v/>
      </c>
    </row>
    <row r="122" spans="3:33" ht="14.25" customHeight="1">
      <c r="C122" s="1" t="str">
        <f t="shared" ca="1" si="49"/>
        <v/>
      </c>
      <c r="D122" s="1" t="str">
        <f t="shared" ca="1" si="50"/>
        <v/>
      </c>
      <c r="E122" s="35" t="str">
        <f t="shared" ca="1" si="46"/>
        <v/>
      </c>
      <c r="F122" s="39" t="str">
        <f ca="1">IFERROR(IF(AND(
  INDEX(Roadmap!$D:$K,MATCH($E122,Roadmap!$D:$D,0)+COUNTIF($E122:E122,"u")+COUNTIF($E122:E122,"t")+COUNTIF($E122:E122,"¶")+COUNTIF($E122:E122,"²")+COUNTIF($E122:E122,"µ")+COUNTIF($E122:E122,1),ColLivraison)=F$6,
  VLOOKUP($E122,INDIRECT("tri!"&amp; CHAR(64+ C0Col) &amp;":"&amp; CHAR(65+C0Col)),2,FALSE)&gt;COUNTIF($E122:E122,"u")+COUNTIF($E122:E122,"t")+COUNTIF($E122:E122,"¶")+COUNTIF($E122:E122,"²")+COUNTIF($E122:E122,"µ")+COUNTIF($E122:E122,1)),
HYPERLINK("#Roadmap!C"&amp; MATCH($E122,Roadmap!$D:$D,0)+COUNTIF($E122:E122,"u")+COUNTIF($E122:E122,"t"),
     INDEX(Roadmap!$D:$K,MATCH($E122,Roadmap!$D:$D,0)+COUNTIF($E122:E122,"u")+COUNTIF($E122:E122,"t")+COUNTIF($E122:E122,"¶")+COUNTIF($E122:E122,"²")+COUNTIF($E122:E122,"µ")+COUNTIF($E122:E122,1),ColTypeEcheance)),
  IF(LEN(E122)=1,
  IF(LEN(INDEX(Roadmap!$D:$K,MATCH($E122,Roadmap!$D:$D,0)-1+COUNTIF($E122:E122,"u")+COUNTIF($E122:E122,"t")+COUNTIF($E122:E122,"¶")+COUNTIF($E122:E122,"²")+COUNTIF($E122:E122,"µ")+COUNTIF($E122:E122,1),ColDescriptionCourte))&gt;1,
HYPERLINK("#Roadmap!C"&amp; MATCH($E122,Roadmap!$D:$D,0)+COUNTIF($E122:E122,"u")+COUNTIF($E122:E122,"t")+COUNTIF($E122:E122,"¶")+COUNTIF($E122:E122,"²")+COUNTIF($E122:E122,"µ")+COUNTIF($E122:E122,1)-1,INDEX(Roadmap!$D:$K,MATCH($E122,Roadmap!$D:$D,0)-1+COUNTIF($E122:E122,"u")+COUNTIF($E122:E122,"t")+COUNTIF($E122:E122,"¶")+COUNTIF($E122:E122,"²")+COUNTIF($E122:E122,"µ")+COUNTIF($E122:E122,1),ColDescriptionCourte)),""),
  "")),"")</f>
        <v/>
      </c>
      <c r="G122" s="40" t="str">
        <f ca="1">IFERROR(IF(AND(
  INDEX(Roadmap!$D:$K,MATCH($E122,Roadmap!$D:$D,0)+COUNTIF($E122:F122,"u")+COUNTIF($E122:F122,"t")+COUNTIF($E122:F122,"¶")+COUNTIF($E122:F122,"²")+COUNTIF($E122:F122,"µ")+COUNTIF($E122:F122,1),ColLivraison)=G$6,
  VLOOKUP($E122,INDIRECT("tri!"&amp; CHAR(64+ C0Col) &amp;":"&amp; CHAR(65+C0Col)),2,FALSE)&gt;COUNTIF($E122:F122,"u")+COUNTIF($E122:F122,"t")+COUNTIF($E122:F122,"¶")+COUNTIF($E122:F122,"²")+COUNTIF($E122:F122,"µ")+COUNTIF($E122:F122,1)),
HYPERLINK("#Roadmap!C"&amp; MATCH($E122,Roadmap!$D:$D,0)+COUNTIF($E122:F122,"u")+COUNTIF($E122:F122,"t"),
     INDEX(Roadmap!$D:$K,MATCH($E122,Roadmap!$D:$D,0)+COUNTIF($E122:F122,"u")+COUNTIF($E122:F122,"t")+COUNTIF($E122:F122,"¶")+COUNTIF($E122:F122,"²")+COUNTIF($E122:F122,"µ")+COUNTIF($E122:F122,1),ColTypeEcheance)),
  IF(LEN(F122)=1,
  IF(LEN(INDEX(Roadmap!$D:$K,MATCH($E122,Roadmap!$D:$D,0)-1+COUNTIF($E122:F122,"u")+COUNTIF($E122:F122,"t")+COUNTIF($E122:F122,"¶")+COUNTIF($E122:F122,"²")+COUNTIF($E122:F122,"µ")+COUNTIF($E122:F122,1),ColDescriptionCourte))&gt;1,
HYPERLINK("#Roadmap!C"&amp; MATCH($E122,Roadmap!$D:$D,0)+COUNTIF($E122:F122,"u")+COUNTIF($E122:F122,"t")+COUNTIF($E122:F122,"¶")+COUNTIF($E122:F122,"²")+COUNTIF($E122:F122,"µ")+COUNTIF($E122:F122,1)-1,INDEX(Roadmap!$D:$K,MATCH($E122,Roadmap!$D:$D,0)-1+COUNTIF($E122:F122,"u")+COUNTIF($E122:F122,"t")+COUNTIF($E122:F122,"¶")+COUNTIF($E122:F122,"²")+COUNTIF($E122:F122,"µ")+COUNTIF($E122:F122,1),ColDescriptionCourte)),""),
  "")),"")</f>
        <v/>
      </c>
      <c r="H122" s="40" t="str">
        <f ca="1">IFERROR(IF(AND(
  INDEX(Roadmap!$D:$K,MATCH($E122,Roadmap!$D:$D,0)+COUNTIF($E122:G122,"u")+COUNTIF($E122:G122,"t")+COUNTIF($E122:G122,"¶")+COUNTIF($E122:G122,"²")+COUNTIF($E122:G122,"µ")+COUNTIF($E122:G122,1),ColLivraison)=H$6,
  VLOOKUP($E122,INDIRECT("tri!"&amp; CHAR(64+ C0Col) &amp;":"&amp; CHAR(65+C0Col)),2,FALSE)&gt;COUNTIF($E122:G122,"u")+COUNTIF($E122:G122,"t")+COUNTIF($E122:G122,"¶")+COUNTIF($E122:G122,"²")+COUNTIF($E122:G122,"µ")+COUNTIF($E122:G122,1)),
HYPERLINK("#Roadmap!C"&amp; MATCH($E122,Roadmap!$D:$D,0)+COUNTIF($E122:G122,"u")+COUNTIF($E122:G122,"t"),
     INDEX(Roadmap!$D:$K,MATCH($E122,Roadmap!$D:$D,0)+COUNTIF($E122:G122,"u")+COUNTIF($E122:G122,"t")+COUNTIF($E122:G122,"¶")+COUNTIF($E122:G122,"²")+COUNTIF($E122:G122,"µ")+COUNTIF($E122:G122,1),ColTypeEcheance)),
  IF(LEN(G122)=1,
  IF(LEN(INDEX(Roadmap!$D:$K,MATCH($E122,Roadmap!$D:$D,0)-1+COUNTIF($E122:G122,"u")+COUNTIF($E122:G122,"t")+COUNTIF($E122:G122,"¶")+COUNTIF($E122:G122,"²")+COUNTIF($E122:G122,"µ")+COUNTIF($E122:G122,1),ColDescriptionCourte))&gt;1,
HYPERLINK("#Roadmap!C"&amp; MATCH($E122,Roadmap!$D:$D,0)+COUNTIF($E122:G122,"u")+COUNTIF($E122:G122,"t")+COUNTIF($E122:G122,"¶")+COUNTIF($E122:G122,"²")+COUNTIF($E122:G122,"µ")+COUNTIF($E122:G122,1)-1,INDEX(Roadmap!$D:$K,MATCH($E122,Roadmap!$D:$D,0)-1+COUNTIF($E122:G122,"u")+COUNTIF($E122:G122,"t")+COUNTIF($E122:G122,"¶")+COUNTIF($E122:G122,"²")+COUNTIF($E122:G122,"µ")+COUNTIF($E122:G122,1),ColDescriptionCourte)),""),
  "")),"")</f>
        <v/>
      </c>
      <c r="I122" s="40" t="str">
        <f ca="1">IFERROR(IF(AND(
  INDEX(Roadmap!$D:$K,MATCH($E122,Roadmap!$D:$D,0)+COUNTIF($E122:H122,"u")+COUNTIF($E122:H122,"t")+COUNTIF($E122:H122,"¶")+COUNTIF($E122:H122,"²")+COUNTIF($E122:H122,"µ")+COUNTIF($E122:H122,1),ColLivraison)=I$6,
  VLOOKUP($E122,INDIRECT("tri!"&amp; CHAR(64+ C0Col) &amp;":"&amp; CHAR(65+C0Col)),2,FALSE)&gt;COUNTIF($E122:H122,"u")+COUNTIF($E122:H122,"t")+COUNTIF($E122:H122,"¶")+COUNTIF($E122:H122,"²")+COUNTIF($E122:H122,"µ")+COUNTIF($E122:H122,1)),
HYPERLINK("#Roadmap!C"&amp; MATCH($E122,Roadmap!$D:$D,0)+COUNTIF($E122:H122,"u")+COUNTIF($E122:H122,"t"),
     INDEX(Roadmap!$D:$K,MATCH($E122,Roadmap!$D:$D,0)+COUNTIF($E122:H122,"u")+COUNTIF($E122:H122,"t")+COUNTIF($E122:H122,"¶")+COUNTIF($E122:H122,"²")+COUNTIF($E122:H122,"µ")+COUNTIF($E122:H122,1),ColTypeEcheance)),
  IF(LEN(H122)=1,
  IF(LEN(INDEX(Roadmap!$D:$K,MATCH($E122,Roadmap!$D:$D,0)-1+COUNTIF($E122:H122,"u")+COUNTIF($E122:H122,"t")+COUNTIF($E122:H122,"¶")+COUNTIF($E122:H122,"²")+COUNTIF($E122:H122,"µ")+COUNTIF($E122:H122,1),ColDescriptionCourte))&gt;1,
HYPERLINK("#Roadmap!C"&amp; MATCH($E122,Roadmap!$D:$D,0)+COUNTIF($E122:H122,"u")+COUNTIF($E122:H122,"t")+COUNTIF($E122:H122,"¶")+COUNTIF($E122:H122,"²")+COUNTIF($E122:H122,"µ")+COUNTIF($E122:H122,1)-1,INDEX(Roadmap!$D:$K,MATCH($E122,Roadmap!$D:$D,0)-1+COUNTIF($E122:H122,"u")+COUNTIF($E122:H122,"t")+COUNTIF($E122:H122,"¶")+COUNTIF($E122:H122,"²")+COUNTIF($E122:H122,"µ")+COUNTIF($E122:H122,1),ColDescriptionCourte)),""),
  "")),"")</f>
        <v/>
      </c>
      <c r="J122" s="40" t="str">
        <f ca="1">IFERROR(IF(AND(
  INDEX(Roadmap!$D:$K,MATCH($E122,Roadmap!$D:$D,0)+COUNTIF($E122:I122,"u")+COUNTIF($E122:I122,"t")+COUNTIF($E122:I122,"¶")+COUNTIF($E122:I122,"²")+COUNTIF($E122:I122,"µ")+COUNTIF($E122:I122,1),ColLivraison)=J$6,
  VLOOKUP($E122,INDIRECT("tri!"&amp; CHAR(64+ C0Col) &amp;":"&amp; CHAR(65+C0Col)),2,FALSE)&gt;COUNTIF($E122:I122,"u")+COUNTIF($E122:I122,"t")+COUNTIF($E122:I122,"¶")+COUNTIF($E122:I122,"²")+COUNTIF($E122:I122,"µ")+COUNTIF($E122:I122,1)),
HYPERLINK("#Roadmap!C"&amp; MATCH($E122,Roadmap!$D:$D,0)+COUNTIF($E122:I122,"u")+COUNTIF($E122:I122,"t"),
     INDEX(Roadmap!$D:$K,MATCH($E122,Roadmap!$D:$D,0)+COUNTIF($E122:I122,"u")+COUNTIF($E122:I122,"t")+COUNTIF($E122:I122,"¶")+COUNTIF($E122:I122,"²")+COUNTIF($E122:I122,"µ")+COUNTIF($E122:I122,1),ColTypeEcheance)),
  IF(LEN(I122)=1,
  IF(LEN(INDEX(Roadmap!$D:$K,MATCH($E122,Roadmap!$D:$D,0)-1+COUNTIF($E122:I122,"u")+COUNTIF($E122:I122,"t")+COUNTIF($E122:I122,"¶")+COUNTIF($E122:I122,"²")+COUNTIF($E122:I122,"µ")+COUNTIF($E122:I122,1),ColDescriptionCourte))&gt;1,
HYPERLINK("#Roadmap!C"&amp; MATCH($E122,Roadmap!$D:$D,0)+COUNTIF($E122:I122,"u")+COUNTIF($E122:I122,"t")+COUNTIF($E122:I122,"¶")+COUNTIF($E122:I122,"²")+COUNTIF($E122:I122,"µ")+COUNTIF($E122:I122,1)-1,INDEX(Roadmap!$D:$K,MATCH($E122,Roadmap!$D:$D,0)-1+COUNTIF($E122:I122,"u")+COUNTIF($E122:I122,"t")+COUNTIF($E122:I122,"¶")+COUNTIF($E122:I122,"²")+COUNTIF($E122:I122,"µ")+COUNTIF($E122:I122,1),ColDescriptionCourte)),""),
  "")),"")</f>
        <v/>
      </c>
      <c r="K122" s="40" t="str">
        <f ca="1">IFERROR(IF(AND(
  INDEX(Roadmap!$D:$K,MATCH($E122,Roadmap!$D:$D,0)+COUNTIF($E122:J122,"u")+COUNTIF($E122:J122,"t")+COUNTIF($E122:J122,"¶")+COUNTIF($E122:J122,"²")+COUNTIF($E122:J122,"µ")+COUNTIF($E122:J122,1),ColLivraison)=K$6,
  VLOOKUP($E122,INDIRECT("tri!"&amp; CHAR(64+ C0Col) &amp;":"&amp; CHAR(65+C0Col)),2,FALSE)&gt;COUNTIF($E122:J122,"u")+COUNTIF($E122:J122,"t")+COUNTIF($E122:J122,"¶")+COUNTIF($E122:J122,"²")+COUNTIF($E122:J122,"µ")+COUNTIF($E122:J122,1)),
HYPERLINK("#Roadmap!C"&amp; MATCH($E122,Roadmap!$D:$D,0)+COUNTIF($E122:J122,"u")+COUNTIF($E122:J122,"t"),
     INDEX(Roadmap!$D:$K,MATCH($E122,Roadmap!$D:$D,0)+COUNTIF($E122:J122,"u")+COUNTIF($E122:J122,"t")+COUNTIF($E122:J122,"¶")+COUNTIF($E122:J122,"²")+COUNTIF($E122:J122,"µ")+COUNTIF($E122:J122,1),ColTypeEcheance)),
  IF(LEN(J122)=1,
  IF(LEN(INDEX(Roadmap!$D:$K,MATCH($E122,Roadmap!$D:$D,0)-1+COUNTIF($E122:J122,"u")+COUNTIF($E122:J122,"t")+COUNTIF($E122:J122,"¶")+COUNTIF($E122:J122,"²")+COUNTIF($E122:J122,"µ")+COUNTIF($E122:J122,1),ColDescriptionCourte))&gt;1,
HYPERLINK("#Roadmap!C"&amp; MATCH($E122,Roadmap!$D:$D,0)+COUNTIF($E122:J122,"u")+COUNTIF($E122:J122,"t")+COUNTIF($E122:J122,"¶")+COUNTIF($E122:J122,"²")+COUNTIF($E122:J122,"µ")+COUNTIF($E122:J122,1)-1,INDEX(Roadmap!$D:$K,MATCH($E122,Roadmap!$D:$D,0)-1+COUNTIF($E122:J122,"u")+COUNTIF($E122:J122,"t")+COUNTIF($E122:J122,"¶")+COUNTIF($E122:J122,"²")+COUNTIF($E122:J122,"µ")+COUNTIF($E122:J122,1),ColDescriptionCourte)),""),
  "")),"")</f>
        <v/>
      </c>
      <c r="L122" s="39" t="str">
        <f ca="1">IFERROR(IF(AND(
  INDEX(Roadmap!$D:$K,MATCH($E122,Roadmap!$D:$D,0)+COUNTIF($E122:K122,"u")+COUNTIF($E122:K122,"t")+COUNTIF($E122:K122,"¶")+COUNTIF($E122:K122,"²")+COUNTIF($E122:K122,"µ")+COUNTIF($E122:K122,1),ColLivraison)=L$6,
  VLOOKUP($E122,INDIRECT("tri!"&amp; CHAR(64+ C0Col) &amp;":"&amp; CHAR(65+C0Col)),2,FALSE)&gt;COUNTIF($E122:K122,"u")+COUNTIF($E122:K122,"t")+COUNTIF($E122:K122,"¶")+COUNTIF($E122:K122,"²")+COUNTIF($E122:K122,"µ")+COUNTIF($E122:K122,1)),
HYPERLINK("#Roadmap!C"&amp; MATCH($E122,Roadmap!$D:$D,0)+COUNTIF($E122:K122,"u")+COUNTIF($E122:K122,"t"),
     INDEX(Roadmap!$D:$K,MATCH($E122,Roadmap!$D:$D,0)+COUNTIF($E122:K122,"u")+COUNTIF($E122:K122,"t")+COUNTIF($E122:K122,"¶")+COUNTIF($E122:K122,"²")+COUNTIF($E122:K122,"µ")+COUNTIF($E122:K122,1),ColTypeEcheance)),
  IF(LEN(K122)=1,
  IF(LEN(INDEX(Roadmap!$D:$K,MATCH($E122,Roadmap!$D:$D,0)-1+COUNTIF($E122:K122,"u")+COUNTIF($E122:K122,"t")+COUNTIF($E122:K122,"¶")+COUNTIF($E122:K122,"²")+COUNTIF($E122:K122,"µ")+COUNTIF($E122:K122,1),ColDescriptionCourte))&gt;1,
HYPERLINK("#Roadmap!C"&amp; MATCH($E122,Roadmap!$D:$D,0)+COUNTIF($E122:K122,"u")+COUNTIF($E122:K122,"t")+COUNTIF($E122:K122,"¶")+COUNTIF($E122:K122,"²")+COUNTIF($E122:K122,"µ")+COUNTIF($E122:K122,1)-1,INDEX(Roadmap!$D:$K,MATCH($E122,Roadmap!$D:$D,0)-1+COUNTIF($E122:K122,"u")+COUNTIF($E122:K122,"t")+COUNTIF($E122:K122,"¶")+COUNTIF($E122:K122,"²")+COUNTIF($E122:K122,"µ")+COUNTIF($E122:K122,1),ColDescriptionCourte)),""),
  "")),"")</f>
        <v/>
      </c>
      <c r="M122" s="40" t="str">
        <f ca="1">IFERROR(IF(AND(
  INDEX(Roadmap!$D:$K,MATCH($E122,Roadmap!$D:$D,0)+COUNTIF($E122:L122,"u")+COUNTIF($E122:L122,"t")+COUNTIF($E122:L122,"¶")+COUNTIF($E122:L122,"²")+COUNTIF($E122:L122,"µ")+COUNTIF($E122:L122,1),ColLivraison)=M$6,
  VLOOKUP($E122,INDIRECT("tri!"&amp; CHAR(64+ C0Col) &amp;":"&amp; CHAR(65+C0Col)),2,FALSE)&gt;COUNTIF($E122:L122,"u")+COUNTIF($E122:L122,"t")+COUNTIF($E122:L122,"¶")+COUNTIF($E122:L122,"²")+COUNTIF($E122:L122,"µ")+COUNTIF($E122:L122,1)),
HYPERLINK("#Roadmap!C"&amp; MATCH($E122,Roadmap!$D:$D,0)+COUNTIF($E122:L122,"u")+COUNTIF($E122:L122,"t"),
     INDEX(Roadmap!$D:$K,MATCH($E122,Roadmap!$D:$D,0)+COUNTIF($E122:L122,"u")+COUNTIF($E122:L122,"t")+COUNTIF($E122:L122,"¶")+COUNTIF($E122:L122,"²")+COUNTIF($E122:L122,"µ")+COUNTIF($E122:L122,1),ColTypeEcheance)),
  IF(LEN(L122)=1,
  IF(LEN(INDEX(Roadmap!$D:$K,MATCH($E122,Roadmap!$D:$D,0)-1+COUNTIF($E122:L122,"u")+COUNTIF($E122:L122,"t")+COUNTIF($E122:L122,"¶")+COUNTIF($E122:L122,"²")+COUNTIF($E122:L122,"µ")+COUNTIF($E122:L122,1),ColDescriptionCourte))&gt;1,
HYPERLINK("#Roadmap!C"&amp; MATCH($E122,Roadmap!$D:$D,0)+COUNTIF($E122:L122,"u")+COUNTIF($E122:L122,"t")+COUNTIF($E122:L122,"¶")+COUNTIF($E122:L122,"²")+COUNTIF($E122:L122,"µ")+COUNTIF($E122:L122,1)-1,INDEX(Roadmap!$D:$K,MATCH($E122,Roadmap!$D:$D,0)-1+COUNTIF($E122:L122,"u")+COUNTIF($E122:L122,"t")+COUNTIF($E122:L122,"¶")+COUNTIF($E122:L122,"²")+COUNTIF($E122:L122,"µ")+COUNTIF($E122:L122,1),ColDescriptionCourte)),""),
  "")),"")</f>
        <v/>
      </c>
      <c r="N122" s="40" t="str">
        <f ca="1">IFERROR(IF(AND(
  INDEX(Roadmap!$D:$K,MATCH($E122,Roadmap!$D:$D,0)+COUNTIF($E122:M122,"u")+COUNTIF($E122:M122,"t")+COUNTIF($E122:M122,"¶")+COUNTIF($E122:M122,"²")+COUNTIF($E122:M122,"µ")+COUNTIF($E122:M122,1),ColLivraison)=N$6,
  VLOOKUP($E122,INDIRECT("tri!"&amp; CHAR(64+ C0Col) &amp;":"&amp; CHAR(65+C0Col)),2,FALSE)&gt;COUNTIF($E122:M122,"u")+COUNTIF($E122:M122,"t")+COUNTIF($E122:M122,"¶")+COUNTIF($E122:M122,"²")+COUNTIF($E122:M122,"µ")+COUNTIF($E122:M122,1)),
HYPERLINK("#Roadmap!C"&amp; MATCH($E122,Roadmap!$D:$D,0)+COUNTIF($E122:M122,"u")+COUNTIF($E122:M122,"t"),
     INDEX(Roadmap!$D:$K,MATCH($E122,Roadmap!$D:$D,0)+COUNTIF($E122:M122,"u")+COUNTIF($E122:M122,"t")+COUNTIF($E122:M122,"¶")+COUNTIF($E122:M122,"²")+COUNTIF($E122:M122,"µ")+COUNTIF($E122:M122,1),ColTypeEcheance)),
  IF(LEN(M122)=1,
  IF(LEN(INDEX(Roadmap!$D:$K,MATCH($E122,Roadmap!$D:$D,0)-1+COUNTIF($E122:M122,"u")+COUNTIF($E122:M122,"t")+COUNTIF($E122:M122,"¶")+COUNTIF($E122:M122,"²")+COUNTIF($E122:M122,"µ")+COUNTIF($E122:M122,1),ColDescriptionCourte))&gt;1,
HYPERLINK("#Roadmap!C"&amp; MATCH($E122,Roadmap!$D:$D,0)+COUNTIF($E122:M122,"u")+COUNTIF($E122:M122,"t")+COUNTIF($E122:M122,"¶")+COUNTIF($E122:M122,"²")+COUNTIF($E122:M122,"µ")+COUNTIF($E122:M122,1)-1,INDEX(Roadmap!$D:$K,MATCH($E122,Roadmap!$D:$D,0)-1+COUNTIF($E122:M122,"u")+COUNTIF($E122:M122,"t")+COUNTIF($E122:M122,"¶")+COUNTIF($E122:M122,"²")+COUNTIF($E122:M122,"µ")+COUNTIF($E122:M122,1),ColDescriptionCourte)),""),
  "")),"")</f>
        <v/>
      </c>
      <c r="O122" s="40" t="str">
        <f ca="1">IFERROR(IF(AND(
  INDEX(Roadmap!$D:$K,MATCH($E122,Roadmap!$D:$D,0)+COUNTIF($E122:N122,"u")+COUNTIF($E122:N122,"t")+COUNTIF($E122:N122,"¶")+COUNTIF($E122:N122,"²")+COUNTIF($E122:N122,"µ")+COUNTIF($E122:N122,1),ColLivraison)=O$6,
  VLOOKUP($E122,INDIRECT("tri!"&amp; CHAR(64+ C0Col) &amp;":"&amp; CHAR(65+C0Col)),2,FALSE)&gt;COUNTIF($E122:N122,"u")+COUNTIF($E122:N122,"t")+COUNTIF($E122:N122,"¶")+COUNTIF($E122:N122,"²")+COUNTIF($E122:N122,"µ")+COUNTIF($E122:N122,1)),
HYPERLINK("#Roadmap!C"&amp; MATCH($E122,Roadmap!$D:$D,0)+COUNTIF($E122:N122,"u")+COUNTIF($E122:N122,"t"),
     INDEX(Roadmap!$D:$K,MATCH($E122,Roadmap!$D:$D,0)+COUNTIF($E122:N122,"u")+COUNTIF($E122:N122,"t")+COUNTIF($E122:N122,"¶")+COUNTIF($E122:N122,"²")+COUNTIF($E122:N122,"µ")+COUNTIF($E122:N122,1),ColTypeEcheance)),
  IF(LEN(N122)=1,
  IF(LEN(INDEX(Roadmap!$D:$K,MATCH($E122,Roadmap!$D:$D,0)-1+COUNTIF($E122:N122,"u")+COUNTIF($E122:N122,"t")+COUNTIF($E122:N122,"¶")+COUNTIF($E122:N122,"²")+COUNTIF($E122:N122,"µ")+COUNTIF($E122:N122,1),ColDescriptionCourte))&gt;1,
HYPERLINK("#Roadmap!C"&amp; MATCH($E122,Roadmap!$D:$D,0)+COUNTIF($E122:N122,"u")+COUNTIF($E122:N122,"t")+COUNTIF($E122:N122,"¶")+COUNTIF($E122:N122,"²")+COUNTIF($E122:N122,"µ")+COUNTIF($E122:N122,1)-1,INDEX(Roadmap!$D:$K,MATCH($E122,Roadmap!$D:$D,0)-1+COUNTIF($E122:N122,"u")+COUNTIF($E122:N122,"t")+COUNTIF($E122:N122,"¶")+COUNTIF($E122:N122,"²")+COUNTIF($E122:N122,"µ")+COUNTIF($E122:N122,1),ColDescriptionCourte)),""),
  "")),"")</f>
        <v/>
      </c>
      <c r="P122" s="40" t="str">
        <f ca="1">IFERROR(IF(AND(
  INDEX(Roadmap!$D:$K,MATCH($E122,Roadmap!$D:$D,0)+COUNTIF($E122:O122,"u")+COUNTIF($E122:O122,"t")+COUNTIF($E122:O122,"¶")+COUNTIF($E122:O122,"²")+COUNTIF($E122:O122,"µ")+COUNTIF($E122:O122,1),ColLivraison)=P$6,
  VLOOKUP($E122,INDIRECT("tri!"&amp; CHAR(64+ C0Col) &amp;":"&amp; CHAR(65+C0Col)),2,FALSE)&gt;COUNTIF($E122:O122,"u")+COUNTIF($E122:O122,"t")+COUNTIF($E122:O122,"¶")+COUNTIF($E122:O122,"²")+COUNTIF($E122:O122,"µ")+COUNTIF($E122:O122,1)),
HYPERLINK("#Roadmap!C"&amp; MATCH($E122,Roadmap!$D:$D,0)+COUNTIF($E122:O122,"u")+COUNTIF($E122:O122,"t"),
     INDEX(Roadmap!$D:$K,MATCH($E122,Roadmap!$D:$D,0)+COUNTIF($E122:O122,"u")+COUNTIF($E122:O122,"t")+COUNTIF($E122:O122,"¶")+COUNTIF($E122:O122,"²")+COUNTIF($E122:O122,"µ")+COUNTIF($E122:O122,1),ColTypeEcheance)),
  IF(LEN(O122)=1,
  IF(LEN(INDEX(Roadmap!$D:$K,MATCH($E122,Roadmap!$D:$D,0)-1+COUNTIF($E122:O122,"u")+COUNTIF($E122:O122,"t")+COUNTIF($E122:O122,"¶")+COUNTIF($E122:O122,"²")+COUNTIF($E122:O122,"µ")+COUNTIF($E122:O122,1),ColDescriptionCourte))&gt;1,
HYPERLINK("#Roadmap!C"&amp; MATCH($E122,Roadmap!$D:$D,0)+COUNTIF($E122:O122,"u")+COUNTIF($E122:O122,"t")+COUNTIF($E122:O122,"¶")+COUNTIF($E122:O122,"²")+COUNTIF($E122:O122,"µ")+COUNTIF($E122:O122,1)-1,INDEX(Roadmap!$D:$K,MATCH($E122,Roadmap!$D:$D,0)-1+COUNTIF($E122:O122,"u")+COUNTIF($E122:O122,"t")+COUNTIF($E122:O122,"¶")+COUNTIF($E122:O122,"²")+COUNTIF($E122:O122,"µ")+COUNTIF($E122:O122,1),ColDescriptionCourte)),""),
  "")),"")</f>
        <v/>
      </c>
      <c r="Q122" s="40" t="str">
        <f ca="1">IFERROR(IF(AND(
  INDEX(Roadmap!$D:$K,MATCH($E122,Roadmap!$D:$D,0)+COUNTIF($E122:P122,"u")+COUNTIF($E122:P122,"t")+COUNTIF($E122:P122,"¶")+COUNTIF($E122:P122,"²")+COUNTIF($E122:P122,"µ")+COUNTIF($E122:P122,1),ColLivraison)=Q$6,
  VLOOKUP($E122,INDIRECT("tri!"&amp; CHAR(64+ C0Col) &amp;":"&amp; CHAR(65+C0Col)),2,FALSE)&gt;COUNTIF($E122:P122,"u")+COUNTIF($E122:P122,"t")+COUNTIF($E122:P122,"¶")+COUNTIF($E122:P122,"²")+COUNTIF($E122:P122,"µ")+COUNTIF($E122:P122,1)),
HYPERLINK("#Roadmap!C"&amp; MATCH($E122,Roadmap!$D:$D,0)+COUNTIF($E122:P122,"u")+COUNTIF($E122:P122,"t"),
     INDEX(Roadmap!$D:$K,MATCH($E122,Roadmap!$D:$D,0)+COUNTIF($E122:P122,"u")+COUNTIF($E122:P122,"t")+COUNTIF($E122:P122,"¶")+COUNTIF($E122:P122,"²")+COUNTIF($E122:P122,"µ")+COUNTIF($E122:P122,1),ColTypeEcheance)),
  IF(LEN(P122)=1,
  IF(LEN(INDEX(Roadmap!$D:$K,MATCH($E122,Roadmap!$D:$D,0)-1+COUNTIF($E122:P122,"u")+COUNTIF($E122:P122,"t")+COUNTIF($E122:P122,"¶")+COUNTIF($E122:P122,"²")+COUNTIF($E122:P122,"µ")+COUNTIF($E122:P122,1),ColDescriptionCourte))&gt;1,
HYPERLINK("#Roadmap!C"&amp; MATCH($E122,Roadmap!$D:$D,0)+COUNTIF($E122:P122,"u")+COUNTIF($E122:P122,"t")+COUNTIF($E122:P122,"¶")+COUNTIF($E122:P122,"²")+COUNTIF($E122:P122,"µ")+COUNTIF($E122:P122,1)-1,INDEX(Roadmap!$D:$K,MATCH($E122,Roadmap!$D:$D,0)-1+COUNTIF($E122:P122,"u")+COUNTIF($E122:P122,"t")+COUNTIF($E122:P122,"¶")+COUNTIF($E122:P122,"²")+COUNTIF($E122:P122,"µ")+COUNTIF($E122:P122,1),ColDescriptionCourte)),""),
  "")),"")</f>
        <v/>
      </c>
      <c r="R122" s="40" t="str">
        <f ca="1">IFERROR(IF(AND(
  INDEX(Roadmap!$D:$K,MATCH($E122,Roadmap!$D:$D,0)+COUNTIF($E122:Q122,"u")+COUNTIF($E122:Q122,"t")+COUNTIF($E122:Q122,"¶")+COUNTIF($E122:Q122,"²")+COUNTIF($E122:Q122,"µ")+COUNTIF($E122:Q122,1),ColLivraison)=R$6,
  VLOOKUP($E122,INDIRECT("tri!"&amp; CHAR(64+ C0Col) &amp;":"&amp; CHAR(65+C0Col)),2,FALSE)&gt;COUNTIF($E122:Q122,"u")+COUNTIF($E122:Q122,"t")+COUNTIF($E122:Q122,"¶")+COUNTIF($E122:Q122,"²")+COUNTIF($E122:Q122,"µ")+COUNTIF($E122:Q122,1)),
HYPERLINK("#Roadmap!C"&amp; MATCH($E122,Roadmap!$D:$D,0)+COUNTIF($E122:Q122,"u")+COUNTIF($E122:Q122,"t"),
     INDEX(Roadmap!$D:$K,MATCH($E122,Roadmap!$D:$D,0)+COUNTIF($E122:Q122,"u")+COUNTIF($E122:Q122,"t")+COUNTIF($E122:Q122,"¶")+COUNTIF($E122:Q122,"²")+COUNTIF($E122:Q122,"µ")+COUNTIF($E122:Q122,1),ColTypeEcheance)),
  IF(LEN(Q122)=1,
  IF(LEN(INDEX(Roadmap!$D:$K,MATCH($E122,Roadmap!$D:$D,0)-1+COUNTIF($E122:Q122,"u")+COUNTIF($E122:Q122,"t")+COUNTIF($E122:Q122,"¶")+COUNTIF($E122:Q122,"²")+COUNTIF($E122:Q122,"µ")+COUNTIF($E122:Q122,1),ColDescriptionCourte))&gt;1,
HYPERLINK("#Roadmap!C"&amp; MATCH($E122,Roadmap!$D:$D,0)+COUNTIF($E122:Q122,"u")+COUNTIF($E122:Q122,"t")+COUNTIF($E122:Q122,"¶")+COUNTIF($E122:Q122,"²")+COUNTIF($E122:Q122,"µ")+COUNTIF($E122:Q122,1)-1,INDEX(Roadmap!$D:$K,MATCH($E122,Roadmap!$D:$D,0)-1+COUNTIF($E122:Q122,"u")+COUNTIF($E122:Q122,"t")+COUNTIF($E122:Q122,"¶")+COUNTIF($E122:Q122,"²")+COUNTIF($E122:Q122,"µ")+COUNTIF($E122:Q122,1),ColDescriptionCourte)),""),
  "")),"")</f>
        <v/>
      </c>
      <c r="S122" s="40" t="str">
        <f ca="1">IFERROR(IF(AND(
  INDEX(Roadmap!$D:$K,MATCH($E122,Roadmap!$D:$D,0)+COUNTIF($E122:R122,"u")+COUNTIF($E122:R122,"t")+COUNTIF($E122:R122,"¶")+COUNTIF($E122:R122,"²")+COUNTIF($E122:R122,"µ")+COUNTIF($E122:R122,1),ColLivraison)=S$6,
  VLOOKUP($E122,INDIRECT("tri!"&amp; CHAR(64+ C0Col) &amp;":"&amp; CHAR(65+C0Col)),2,FALSE)&gt;COUNTIF($E122:R122,"u")+COUNTIF($E122:R122,"t")+COUNTIF($E122:R122,"¶")+COUNTIF($E122:R122,"²")+COUNTIF($E122:R122,"µ")+COUNTIF($E122:R122,1)),
HYPERLINK("#Roadmap!C"&amp; MATCH($E122,Roadmap!$D:$D,0)+COUNTIF($E122:R122,"u")+COUNTIF($E122:R122,"t"),
     INDEX(Roadmap!$D:$K,MATCH($E122,Roadmap!$D:$D,0)+COUNTIF($E122:R122,"u")+COUNTIF($E122:R122,"t")+COUNTIF($E122:R122,"¶")+COUNTIF($E122:R122,"²")+COUNTIF($E122:R122,"µ")+COUNTIF($E122:R122,1),ColTypeEcheance)),
  IF(LEN(R122)=1,
  IF(LEN(INDEX(Roadmap!$D:$K,MATCH($E122,Roadmap!$D:$D,0)-1+COUNTIF($E122:R122,"u")+COUNTIF($E122:R122,"t")+COUNTIF($E122:R122,"¶")+COUNTIF($E122:R122,"²")+COUNTIF($E122:R122,"µ")+COUNTIF($E122:R122,1),ColDescriptionCourte))&gt;1,
HYPERLINK("#Roadmap!C"&amp; MATCH($E122,Roadmap!$D:$D,0)+COUNTIF($E122:R122,"u")+COUNTIF($E122:R122,"t")+COUNTIF($E122:R122,"¶")+COUNTIF($E122:R122,"²")+COUNTIF($E122:R122,"µ")+COUNTIF($E122:R122,1)-1,INDEX(Roadmap!$D:$K,MATCH($E122,Roadmap!$D:$D,0)-1+COUNTIF($E122:R122,"u")+COUNTIF($E122:R122,"t")+COUNTIF($E122:R122,"¶")+COUNTIF($E122:R122,"²")+COUNTIF($E122:R122,"µ")+COUNTIF($E122:R122,1),ColDescriptionCourte)),""),
  "")),"")</f>
        <v/>
      </c>
      <c r="T122" s="40" t="str">
        <f ca="1">IFERROR(IF(AND(
  INDEX(Roadmap!$D:$K,MATCH($E122,Roadmap!$D:$D,0)+COUNTIF($E122:S122,"u")+COUNTIF($E122:S122,"t")+COUNTIF($E122:S122,"¶")+COUNTIF($E122:S122,"²")+COUNTIF($E122:S122,"µ")+COUNTIF($E122:S122,1),ColLivraison)=T$6,
  VLOOKUP($E122,INDIRECT("tri!"&amp; CHAR(64+ C0Col) &amp;":"&amp; CHAR(65+C0Col)),2,FALSE)&gt;COUNTIF($E122:S122,"u")+COUNTIF($E122:S122,"t")+COUNTIF($E122:S122,"¶")+COUNTIF($E122:S122,"²")+COUNTIF($E122:S122,"µ")+COUNTIF($E122:S122,1)),
HYPERLINK("#Roadmap!C"&amp; MATCH($E122,Roadmap!$D:$D,0)+COUNTIF($E122:S122,"u")+COUNTIF($E122:S122,"t"),
     INDEX(Roadmap!$D:$K,MATCH($E122,Roadmap!$D:$D,0)+COUNTIF($E122:S122,"u")+COUNTIF($E122:S122,"t")+COUNTIF($E122:S122,"¶")+COUNTIF($E122:S122,"²")+COUNTIF($E122:S122,"µ")+COUNTIF($E122:S122,1),ColTypeEcheance)),
  IF(LEN(S122)=1,
  IF(LEN(INDEX(Roadmap!$D:$K,MATCH($E122,Roadmap!$D:$D,0)-1+COUNTIF($E122:S122,"u")+COUNTIF($E122:S122,"t")+COUNTIF($E122:S122,"¶")+COUNTIF($E122:S122,"²")+COUNTIF($E122:S122,"µ")+COUNTIF($E122:S122,1),ColDescriptionCourte))&gt;1,
HYPERLINK("#Roadmap!C"&amp; MATCH($E122,Roadmap!$D:$D,0)+COUNTIF($E122:S122,"u")+COUNTIF($E122:S122,"t")+COUNTIF($E122:S122,"¶")+COUNTIF($E122:S122,"²")+COUNTIF($E122:S122,"µ")+COUNTIF($E122:S122,1)-1,INDEX(Roadmap!$D:$K,MATCH($E122,Roadmap!$D:$D,0)-1+COUNTIF($E122:S122,"u")+COUNTIF($E122:S122,"t")+COUNTIF($E122:S122,"¶")+COUNTIF($E122:S122,"²")+COUNTIF($E122:S122,"µ")+COUNTIF($E122:S122,1),ColDescriptionCourte)),""),
  "")),"")</f>
        <v/>
      </c>
      <c r="U122" s="40" t="str">
        <f ca="1">IFERROR(IF(AND(
  INDEX(Roadmap!$D:$K,MATCH($E122,Roadmap!$D:$D,0)+COUNTIF($E122:T122,"u")+COUNTIF($E122:T122,"t")+COUNTIF($E122:T122,"¶")+COUNTIF($E122:T122,"²")+COUNTIF($E122:T122,"µ")+COUNTIF($E122:T122,1),ColLivraison)=U$6,
  VLOOKUP($E122,INDIRECT("tri!"&amp; CHAR(64+ C0Col) &amp;":"&amp; CHAR(65+C0Col)),2,FALSE)&gt;COUNTIF($E122:T122,"u")+COUNTIF($E122:T122,"t")+COUNTIF($E122:T122,"¶")+COUNTIF($E122:T122,"²")+COUNTIF($E122:T122,"µ")+COUNTIF($E122:T122,1)),
HYPERLINK("#Roadmap!C"&amp; MATCH($E122,Roadmap!$D:$D,0)+COUNTIF($E122:T122,"u")+COUNTIF($E122:T122,"t"),
     INDEX(Roadmap!$D:$K,MATCH($E122,Roadmap!$D:$D,0)+COUNTIF($E122:T122,"u")+COUNTIF($E122:T122,"t")+COUNTIF($E122:T122,"¶")+COUNTIF($E122:T122,"²")+COUNTIF($E122:T122,"µ")+COUNTIF($E122:T122,1),ColTypeEcheance)),
  IF(LEN(T122)=1,
  IF(LEN(INDEX(Roadmap!$D:$K,MATCH($E122,Roadmap!$D:$D,0)-1+COUNTIF($E122:T122,"u")+COUNTIF($E122:T122,"t")+COUNTIF($E122:T122,"¶")+COUNTIF($E122:T122,"²")+COUNTIF($E122:T122,"µ")+COUNTIF($E122:T122,1),ColDescriptionCourte))&gt;1,
HYPERLINK("#Roadmap!C"&amp; MATCH($E122,Roadmap!$D:$D,0)+COUNTIF($E122:T122,"u")+COUNTIF($E122:T122,"t")+COUNTIF($E122:T122,"¶")+COUNTIF($E122:T122,"²")+COUNTIF($E122:T122,"µ")+COUNTIF($E122:T122,1)-1,INDEX(Roadmap!$D:$K,MATCH($E122,Roadmap!$D:$D,0)-1+COUNTIF($E122:T122,"u")+COUNTIF($E122:T122,"t")+COUNTIF($E122:T122,"¶")+COUNTIF($E122:T122,"²")+COUNTIF($E122:T122,"µ")+COUNTIF($E122:T122,1),ColDescriptionCourte)),""),
  "")),"")</f>
        <v/>
      </c>
      <c r="V122" s="40" t="str">
        <f ca="1">IFERROR(IF(AND(
  INDEX(Roadmap!$D:$K,MATCH($E122,Roadmap!$D:$D,0)+COUNTIF($E122:U122,"u")+COUNTIF($E122:U122,"t")+COUNTIF($E122:U122,"¶")+COUNTIF($E122:U122,"²")+COUNTIF($E122:U122,"µ")+COUNTIF($E122:U122,1),ColLivraison)=V$6,
  VLOOKUP($E122,INDIRECT("tri!"&amp; CHAR(64+ C0Col) &amp;":"&amp; CHAR(65+C0Col)),2,FALSE)&gt;COUNTIF($E122:U122,"u")+COUNTIF($E122:U122,"t")+COUNTIF($E122:U122,"¶")+COUNTIF($E122:U122,"²")+COUNTIF($E122:U122,"µ")+COUNTIF($E122:U122,1)),
HYPERLINK("#Roadmap!C"&amp; MATCH($E122,Roadmap!$D:$D,0)+COUNTIF($E122:U122,"u")+COUNTIF($E122:U122,"t"),
     INDEX(Roadmap!$D:$K,MATCH($E122,Roadmap!$D:$D,0)+COUNTIF($E122:U122,"u")+COUNTIF($E122:U122,"t")+COUNTIF($E122:U122,"¶")+COUNTIF($E122:U122,"²")+COUNTIF($E122:U122,"µ")+COUNTIF($E122:U122,1),ColTypeEcheance)),
  IF(LEN(U122)=1,
  IF(LEN(INDEX(Roadmap!$D:$K,MATCH($E122,Roadmap!$D:$D,0)-1+COUNTIF($E122:U122,"u")+COUNTIF($E122:U122,"t")+COUNTIF($E122:U122,"¶")+COUNTIF($E122:U122,"²")+COUNTIF($E122:U122,"µ")+COUNTIF($E122:U122,1),ColDescriptionCourte))&gt;1,
HYPERLINK("#Roadmap!C"&amp; MATCH($E122,Roadmap!$D:$D,0)+COUNTIF($E122:U122,"u")+COUNTIF($E122:U122,"t")+COUNTIF($E122:U122,"¶")+COUNTIF($E122:U122,"²")+COUNTIF($E122:U122,"µ")+COUNTIF($E122:U122,1)-1,INDEX(Roadmap!$D:$K,MATCH($E122,Roadmap!$D:$D,0)-1+COUNTIF($E122:U122,"u")+COUNTIF($E122:U122,"t")+COUNTIF($E122:U122,"¶")+COUNTIF($E122:U122,"²")+COUNTIF($E122:U122,"µ")+COUNTIF($E122:U122,1),ColDescriptionCourte)),""),
  "")),"")</f>
        <v/>
      </c>
      <c r="W122" s="40" t="str">
        <f ca="1">IFERROR(IF(AND(
  INDEX(Roadmap!$D:$K,MATCH($E122,Roadmap!$D:$D,0)+COUNTIF($E122:V122,"u")+COUNTIF($E122:V122,"t")+COUNTIF($E122:V122,"¶")+COUNTIF($E122:V122,"²")+COUNTIF($E122:V122,"µ")+COUNTIF($E122:V122,1),ColLivraison)=W$6,
  VLOOKUP($E122,INDIRECT("tri!"&amp; CHAR(64+ C0Col) &amp;":"&amp; CHAR(65+C0Col)),2,FALSE)&gt;COUNTIF($E122:V122,"u")+COUNTIF($E122:V122,"t")+COUNTIF($E122:V122,"¶")+COUNTIF($E122:V122,"²")+COUNTIF($E122:V122,"µ")+COUNTIF($E122:V122,1)),
HYPERLINK("#Roadmap!C"&amp; MATCH($E122,Roadmap!$D:$D,0)+COUNTIF($E122:V122,"u")+COUNTIF($E122:V122,"t"),
     INDEX(Roadmap!$D:$K,MATCH($E122,Roadmap!$D:$D,0)+COUNTIF($E122:V122,"u")+COUNTIF($E122:V122,"t")+COUNTIF($E122:V122,"¶")+COUNTIF($E122:V122,"²")+COUNTIF($E122:V122,"µ")+COUNTIF($E122:V122,1),ColTypeEcheance)),
  IF(LEN(V122)=1,
  IF(LEN(INDEX(Roadmap!$D:$K,MATCH($E122,Roadmap!$D:$D,0)-1+COUNTIF($E122:V122,"u")+COUNTIF($E122:V122,"t")+COUNTIF($E122:V122,"¶")+COUNTIF($E122:V122,"²")+COUNTIF($E122:V122,"µ")+COUNTIF($E122:V122,1),ColDescriptionCourte))&gt;1,
HYPERLINK("#Roadmap!C"&amp; MATCH($E122,Roadmap!$D:$D,0)+COUNTIF($E122:V122,"u")+COUNTIF($E122:V122,"t")+COUNTIF($E122:V122,"¶")+COUNTIF($E122:V122,"²")+COUNTIF($E122:V122,"µ")+COUNTIF($E122:V122,1)-1,INDEX(Roadmap!$D:$K,MATCH($E122,Roadmap!$D:$D,0)-1+COUNTIF($E122:V122,"u")+COUNTIF($E122:V122,"t")+COUNTIF($E122:V122,"¶")+COUNTIF($E122:V122,"²")+COUNTIF($E122:V122,"µ")+COUNTIF($E122:V122,1),ColDescriptionCourte)),""),
  "")),"")</f>
        <v/>
      </c>
      <c r="X122" s="40" t="str">
        <f ca="1">IFERROR(IF(AND(
  INDEX(Roadmap!$D:$K,MATCH($E122,Roadmap!$D:$D,0)+COUNTIF($E122:W122,"u")+COUNTIF($E122:W122,"t")+COUNTIF($E122:W122,"¶")+COUNTIF($E122:W122,"²")+COUNTIF($E122:W122,"µ")+COUNTIF($E122:W122,1),ColLivraison)=X$6,
  VLOOKUP($E122,INDIRECT("tri!"&amp; CHAR(64+ C0Col) &amp;":"&amp; CHAR(65+C0Col)),2,FALSE)&gt;COUNTIF($E122:W122,"u")+COUNTIF($E122:W122,"t")+COUNTIF($E122:W122,"¶")+COUNTIF($E122:W122,"²")+COUNTIF($E122:W122,"µ")+COUNTIF($E122:W122,1)),
HYPERLINK("#Roadmap!C"&amp; MATCH($E122,Roadmap!$D:$D,0)+COUNTIF($E122:W122,"u")+COUNTIF($E122:W122,"t"),
     INDEX(Roadmap!$D:$K,MATCH($E122,Roadmap!$D:$D,0)+COUNTIF($E122:W122,"u")+COUNTIF($E122:W122,"t")+COUNTIF($E122:W122,"¶")+COUNTIF($E122:W122,"²")+COUNTIF($E122:W122,"µ")+COUNTIF($E122:W122,1),ColTypeEcheance)),
  IF(LEN(W122)=1,
  IF(LEN(INDEX(Roadmap!$D:$K,MATCH($E122,Roadmap!$D:$D,0)-1+COUNTIF($E122:W122,"u")+COUNTIF($E122:W122,"t")+COUNTIF($E122:W122,"¶")+COUNTIF($E122:W122,"²")+COUNTIF($E122:W122,"µ")+COUNTIF($E122:W122,1),ColDescriptionCourte))&gt;1,
HYPERLINK("#Roadmap!C"&amp; MATCH($E122,Roadmap!$D:$D,0)+COUNTIF($E122:W122,"u")+COUNTIF($E122:W122,"t")+COUNTIF($E122:W122,"¶")+COUNTIF($E122:W122,"²")+COUNTIF($E122:W122,"µ")+COUNTIF($E122:W122,1)-1,INDEX(Roadmap!$D:$K,MATCH($E122,Roadmap!$D:$D,0)-1+COUNTIF($E122:W122,"u")+COUNTIF($E122:W122,"t")+COUNTIF($E122:W122,"¶")+COUNTIF($E122:W122,"²")+COUNTIF($E122:W122,"µ")+COUNTIF($E122:W122,1),ColDescriptionCourte)),""),
  "")),"")</f>
        <v/>
      </c>
      <c r="Y122" s="40" t="str">
        <f ca="1">IFERROR(IF(AND(
  INDEX(Roadmap!$D:$K,MATCH($E122,Roadmap!$D:$D,0)+COUNTIF($E122:X122,"u")+COUNTIF($E122:X122,"t")+COUNTIF($E122:X122,"¶")+COUNTIF($E122:X122,"²")+COUNTIF($E122:X122,"µ")+COUNTIF($E122:X122,1),ColLivraison)=Y$6,
  VLOOKUP($E122,INDIRECT("tri!"&amp; CHAR(64+ C0Col) &amp;":"&amp; CHAR(65+C0Col)),2,FALSE)&gt;COUNTIF($E122:X122,"u")+COUNTIF($E122:X122,"t")+COUNTIF($E122:X122,"¶")+COUNTIF($E122:X122,"²")+COUNTIF($E122:X122,"µ")+COUNTIF($E122:X122,1)),
HYPERLINK("#Roadmap!C"&amp; MATCH($E122,Roadmap!$D:$D,0)+COUNTIF($E122:X122,"u")+COUNTIF($E122:X122,"t"),
     INDEX(Roadmap!$D:$K,MATCH($E122,Roadmap!$D:$D,0)+COUNTIF($E122:X122,"u")+COUNTIF($E122:X122,"t")+COUNTIF($E122:X122,"¶")+COUNTIF($E122:X122,"²")+COUNTIF($E122:X122,"µ")+COUNTIF($E122:X122,1),ColTypeEcheance)),
  IF(LEN(X122)=1,
  IF(LEN(INDEX(Roadmap!$D:$K,MATCH($E122,Roadmap!$D:$D,0)-1+COUNTIF($E122:X122,"u")+COUNTIF($E122:X122,"t")+COUNTIF($E122:X122,"¶")+COUNTIF($E122:X122,"²")+COUNTIF($E122:X122,"µ")+COUNTIF($E122:X122,1),ColDescriptionCourte))&gt;1,
HYPERLINK("#Roadmap!C"&amp; MATCH($E122,Roadmap!$D:$D,0)+COUNTIF($E122:X122,"u")+COUNTIF($E122:X122,"t")+COUNTIF($E122:X122,"¶")+COUNTIF($E122:X122,"²")+COUNTIF($E122:X122,"µ")+COUNTIF($E122:X122,1)-1,INDEX(Roadmap!$D:$K,MATCH($E122,Roadmap!$D:$D,0)-1+COUNTIF($E122:X122,"u")+COUNTIF($E122:X122,"t")+COUNTIF($E122:X122,"¶")+COUNTIF($E122:X122,"²")+COUNTIF($E122:X122,"µ")+COUNTIF($E122:X122,1),ColDescriptionCourte)),""),
  "")),"")</f>
        <v/>
      </c>
      <c r="Z122" s="40" t="str">
        <f ca="1">IFERROR(IF(AND(
  INDEX(Roadmap!$D:$K,MATCH($E122,Roadmap!$D:$D,0)+COUNTIF($E122:Y122,"u")+COUNTIF($E122:Y122,"t")+COUNTIF($E122:Y122,"¶")+COUNTIF($E122:Y122,"²")+COUNTIF($E122:Y122,"µ")+COUNTIF($E122:Y122,1),ColLivraison)=Z$6,
  VLOOKUP($E122,INDIRECT("tri!"&amp; CHAR(64+ C0Col) &amp;":"&amp; CHAR(65+C0Col)),2,FALSE)&gt;COUNTIF($E122:Y122,"u")+COUNTIF($E122:Y122,"t")+COUNTIF($E122:Y122,"¶")+COUNTIF($E122:Y122,"²")+COUNTIF($E122:Y122,"µ")+COUNTIF($E122:Y122,1)),
HYPERLINK("#Roadmap!C"&amp; MATCH($E122,Roadmap!$D:$D,0)+COUNTIF($E122:Y122,"u")+COUNTIF($E122:Y122,"t"),
     INDEX(Roadmap!$D:$K,MATCH($E122,Roadmap!$D:$D,0)+COUNTIF($E122:Y122,"u")+COUNTIF($E122:Y122,"t")+COUNTIF($E122:Y122,"¶")+COUNTIF($E122:Y122,"²")+COUNTIF($E122:Y122,"µ")+COUNTIF($E122:Y122,1),ColTypeEcheance)),
  IF(LEN(Y122)=1,
  IF(LEN(INDEX(Roadmap!$D:$K,MATCH($E122,Roadmap!$D:$D,0)-1+COUNTIF($E122:Y122,"u")+COUNTIF($E122:Y122,"t")+COUNTIF($E122:Y122,"¶")+COUNTIF($E122:Y122,"²")+COUNTIF($E122:Y122,"µ")+COUNTIF($E122:Y122,1),ColDescriptionCourte))&gt;1,
HYPERLINK("#Roadmap!C"&amp; MATCH($E122,Roadmap!$D:$D,0)+COUNTIF($E122:Y122,"u")+COUNTIF($E122:Y122,"t")+COUNTIF($E122:Y122,"¶")+COUNTIF($E122:Y122,"²")+COUNTIF($E122:Y122,"µ")+COUNTIF($E122:Y122,1)-1,INDEX(Roadmap!$D:$K,MATCH($E122,Roadmap!$D:$D,0)-1+COUNTIF($E122:Y122,"u")+COUNTIF($E122:Y122,"t")+COUNTIF($E122:Y122,"¶")+COUNTIF($E122:Y122,"²")+COUNTIF($E122:Y122,"µ")+COUNTIF($E122:Y122,1),ColDescriptionCourte)),""),
  "")),"")</f>
        <v/>
      </c>
      <c r="AA122" s="40" t="str">
        <f ca="1">IFERROR(IF(AND(
  INDEX(Roadmap!$D:$K,MATCH($E122,Roadmap!$D:$D,0)+COUNTIF($E122:Z122,"u")+COUNTIF($E122:Z122,"t")+COUNTIF($E122:Z122,"¶")+COUNTIF($E122:Z122,"²")+COUNTIF($E122:Z122,"µ")+COUNTIF($E122:Z122,1),ColLivraison)=AA$6,
  VLOOKUP($E122,INDIRECT("tri!"&amp; CHAR(64+ C0Col) &amp;":"&amp; CHAR(65+C0Col)),2,FALSE)&gt;COUNTIF($E122:Z122,"u")+COUNTIF($E122:Z122,"t")+COUNTIF($E122:Z122,"¶")+COUNTIF($E122:Z122,"²")+COUNTIF($E122:Z122,"µ")+COUNTIF($E122:Z122,1)),
HYPERLINK("#Roadmap!C"&amp; MATCH($E122,Roadmap!$D:$D,0)+COUNTIF($E122:Z122,"u")+COUNTIF($E122:Z122,"t"),
     INDEX(Roadmap!$D:$K,MATCH($E122,Roadmap!$D:$D,0)+COUNTIF($E122:Z122,"u")+COUNTIF($E122:Z122,"t")+COUNTIF($E122:Z122,"¶")+COUNTIF($E122:Z122,"²")+COUNTIF($E122:Z122,"µ")+COUNTIF($E122:Z122,1),ColTypeEcheance)),
  IF(LEN(Z122)=1,
  IF(LEN(INDEX(Roadmap!$D:$K,MATCH($E122,Roadmap!$D:$D,0)-1+COUNTIF($E122:Z122,"u")+COUNTIF($E122:Z122,"t")+COUNTIF($E122:Z122,"¶")+COUNTIF($E122:Z122,"²")+COUNTIF($E122:Z122,"µ")+COUNTIF($E122:Z122,1),ColDescriptionCourte))&gt;1,
HYPERLINK("#Roadmap!C"&amp; MATCH($E122,Roadmap!$D:$D,0)+COUNTIF($E122:Z122,"u")+COUNTIF($E122:Z122,"t")+COUNTIF($E122:Z122,"¶")+COUNTIF($E122:Z122,"²")+COUNTIF($E122:Z122,"µ")+COUNTIF($E122:Z122,1)-1,INDEX(Roadmap!$D:$K,MATCH($E122,Roadmap!$D:$D,0)-1+COUNTIF($E122:Z122,"u")+COUNTIF($E122:Z122,"t")+COUNTIF($E122:Z122,"¶")+COUNTIF($E122:Z122,"²")+COUNTIF($E122:Z122,"µ")+COUNTIF($E122:Z122,1),ColDescriptionCourte)),""),
  "")),"")</f>
        <v/>
      </c>
      <c r="AB122" s="40" t="str">
        <f ca="1">IFERROR(IF(AND(
  INDEX(Roadmap!$D:$K,MATCH($E122,Roadmap!$D:$D,0)+COUNTIF($E122:AA122,"u")+COUNTIF($E122:AA122,"t")+COUNTIF($E122:AA122,"¶")+COUNTIF($E122:AA122,"²")+COUNTIF($E122:AA122,"µ")+COUNTIF($E122:AA122,1),ColLivraison)=AB$6,
  VLOOKUP($E122,INDIRECT("tri!"&amp; CHAR(64+ C0Col) &amp;":"&amp; CHAR(65+C0Col)),2,FALSE)&gt;COUNTIF($E122:AA122,"u")+COUNTIF($E122:AA122,"t")+COUNTIF($E122:AA122,"¶")+COUNTIF($E122:AA122,"²")+COUNTIF($E122:AA122,"µ")+COUNTIF($E122:AA122,1)),
HYPERLINK("#Roadmap!C"&amp; MATCH($E122,Roadmap!$D:$D,0)+COUNTIF($E122:AA122,"u")+COUNTIF($E122:AA122,"t"),
     INDEX(Roadmap!$D:$K,MATCH($E122,Roadmap!$D:$D,0)+COUNTIF($E122:AA122,"u")+COUNTIF($E122:AA122,"t")+COUNTIF($E122:AA122,"¶")+COUNTIF($E122:AA122,"²")+COUNTIF($E122:AA122,"µ")+COUNTIF($E122:AA122,1),ColTypeEcheance)),
  IF(LEN(AA122)=1,
  IF(LEN(INDEX(Roadmap!$D:$K,MATCH($E122,Roadmap!$D:$D,0)-1+COUNTIF($E122:AA122,"u")+COUNTIF($E122:AA122,"t")+COUNTIF($E122:AA122,"¶")+COUNTIF($E122:AA122,"²")+COUNTIF($E122:AA122,"µ")+COUNTIF($E122:AA122,1),ColDescriptionCourte))&gt;1,
HYPERLINK("#Roadmap!C"&amp; MATCH($E122,Roadmap!$D:$D,0)+COUNTIF($E122:AA122,"u")+COUNTIF($E122:AA122,"t")+COUNTIF($E122:AA122,"¶")+COUNTIF($E122:AA122,"²")+COUNTIF($E122:AA122,"µ")+COUNTIF($E122:AA122,1)-1,INDEX(Roadmap!$D:$K,MATCH($E122,Roadmap!$D:$D,0)-1+COUNTIF($E122:AA122,"u")+COUNTIF($E122:AA122,"t")+COUNTIF($E122:AA122,"¶")+COUNTIF($E122:AA122,"²")+COUNTIF($E122:AA122,"µ")+COUNTIF($E122:AA122,1),ColDescriptionCourte)),""),
  "")),"")</f>
        <v/>
      </c>
      <c r="AC122" s="40" t="str">
        <f ca="1">IFERROR(IF(AND(
  INDEX(Roadmap!$D:$K,MATCH($E122,Roadmap!$D:$D,0)+COUNTIF($E122:AB122,"u")+COUNTIF($E122:AB122,"t")+COUNTIF($E122:AB122,"¶")+COUNTIF($E122:AB122,"²")+COUNTIF($E122:AB122,"µ")+COUNTIF($E122:AB122,1),ColLivraison)=AC$6,
  VLOOKUP($E122,INDIRECT("tri!"&amp; CHAR(64+ C0Col) &amp;":"&amp; CHAR(65+C0Col)),2,FALSE)&gt;COUNTIF($E122:AB122,"u")+COUNTIF($E122:AB122,"t")+COUNTIF($E122:AB122,"¶")+COUNTIF($E122:AB122,"²")+COUNTIF($E122:AB122,"µ")+COUNTIF($E122:AB122,1)),
HYPERLINK("#Roadmap!C"&amp; MATCH($E122,Roadmap!$D:$D,0)+COUNTIF($E122:AB122,"u")+COUNTIF($E122:AB122,"t"),
     INDEX(Roadmap!$D:$K,MATCH($E122,Roadmap!$D:$D,0)+COUNTIF($E122:AB122,"u")+COUNTIF($E122:AB122,"t")+COUNTIF($E122:AB122,"¶")+COUNTIF($E122:AB122,"²")+COUNTIF($E122:AB122,"µ")+COUNTIF($E122:AB122,1),ColTypeEcheance)),
  IF(LEN(AB122)=1,
  IF(LEN(INDEX(Roadmap!$D:$K,MATCH($E122,Roadmap!$D:$D,0)-1+COUNTIF($E122:AB122,"u")+COUNTIF($E122:AB122,"t")+COUNTIF($E122:AB122,"¶")+COUNTIF($E122:AB122,"²")+COUNTIF($E122:AB122,"µ")+COUNTIF($E122:AB122,1),ColDescriptionCourte))&gt;1,
HYPERLINK("#Roadmap!C"&amp; MATCH($E122,Roadmap!$D:$D,0)+COUNTIF($E122:AB122,"u")+COUNTIF($E122:AB122,"t")+COUNTIF($E122:AB122,"¶")+COUNTIF($E122:AB122,"²")+COUNTIF($E122:AB122,"µ")+COUNTIF($E122:AB122,1)-1,INDEX(Roadmap!$D:$K,MATCH($E122,Roadmap!$D:$D,0)-1+COUNTIF($E122:AB122,"u")+COUNTIF($E122:AB122,"t")+COUNTIF($E122:AB122,"¶")+COUNTIF($E122:AB122,"²")+COUNTIF($E122:AB122,"µ")+COUNTIF($E122:AB122,1),ColDescriptionCourte)),""),
  "")),"")</f>
        <v/>
      </c>
      <c r="AD122" s="40" t="str">
        <f ca="1">IFERROR(IF(AND(
  INDEX(Roadmap!$D:$K,MATCH($E122,Roadmap!$D:$D,0)+COUNTIF($E122:AC122,"u")+COUNTIF($E122:AC122,"t")+COUNTIF($E122:AC122,"¶")+COUNTIF($E122:AC122,"²")+COUNTIF($E122:AC122,"µ")+COUNTIF($E122:AC122,1),ColLivraison)=AD$6,
  VLOOKUP($E122,INDIRECT("tri!"&amp; CHAR(64+ C0Col) &amp;":"&amp; CHAR(65+C0Col)),2,FALSE)&gt;COUNTIF($E122:AC122,"u")+COUNTIF($E122:AC122,"t")+COUNTIF($E122:AC122,"¶")+COUNTIF($E122:AC122,"²")+COUNTIF($E122:AC122,"µ")+COUNTIF($E122:AC122,1)),
HYPERLINK("#Roadmap!C"&amp; MATCH($E122,Roadmap!$D:$D,0)+COUNTIF($E122:AC122,"u")+COUNTIF($E122:AC122,"t"),
     INDEX(Roadmap!$D:$K,MATCH($E122,Roadmap!$D:$D,0)+COUNTIF($E122:AC122,"u")+COUNTIF($E122:AC122,"t")+COUNTIF($E122:AC122,"¶")+COUNTIF($E122:AC122,"²")+COUNTIF($E122:AC122,"µ")+COUNTIF($E122:AC122,1),ColTypeEcheance)),
  IF(LEN(AC122)=1,
  IF(LEN(INDEX(Roadmap!$D:$K,MATCH($E122,Roadmap!$D:$D,0)-1+COUNTIF($E122:AC122,"u")+COUNTIF($E122:AC122,"t")+COUNTIF($E122:AC122,"¶")+COUNTIF($E122:AC122,"²")+COUNTIF($E122:AC122,"µ")+COUNTIF($E122:AC122,1),ColDescriptionCourte))&gt;1,
HYPERLINK("#Roadmap!C"&amp; MATCH($E122,Roadmap!$D:$D,0)+COUNTIF($E122:AC122,"u")+COUNTIF($E122:AC122,"t")+COUNTIF($E122:AC122,"¶")+COUNTIF($E122:AC122,"²")+COUNTIF($E122:AC122,"µ")+COUNTIF($E122:AC122,1)-1,INDEX(Roadmap!$D:$K,MATCH($E122,Roadmap!$D:$D,0)-1+COUNTIF($E122:AC122,"u")+COUNTIF($E122:AC122,"t")+COUNTIF($E122:AC122,"¶")+COUNTIF($E122:AC122,"²")+COUNTIF($E122:AC122,"µ")+COUNTIF($E122:AC122,1),ColDescriptionCourte)),""),
  "")),"")</f>
        <v/>
      </c>
      <c r="AE122" s="40" t="str">
        <f ca="1">IFERROR(IF(AND(
  INDEX(Roadmap!$D:$K,MATCH($E122,Roadmap!$D:$D,0)+COUNTIF($E122:AD122,"u")+COUNTIF($E122:AD122,"t")+COUNTIF($E122:AD122,"¶")+COUNTIF($E122:AD122,"²")+COUNTIF($E122:AD122,"µ")+COUNTIF($E122:AD122,1),ColLivraison)=AE$6,
  VLOOKUP($E122,INDIRECT("tri!"&amp; CHAR(64+ C0Col) &amp;":"&amp; CHAR(65+C0Col)),2,FALSE)&gt;COUNTIF($E122:AD122,"u")+COUNTIF($E122:AD122,"t")+COUNTIF($E122:AD122,"¶")+COUNTIF($E122:AD122,"²")+COUNTIF($E122:AD122,"µ")+COUNTIF($E122:AD122,1)),
HYPERLINK("#Roadmap!C"&amp; MATCH($E122,Roadmap!$D:$D,0)+COUNTIF($E122:AD122,"u")+COUNTIF($E122:AD122,"t"),
     INDEX(Roadmap!$D:$K,MATCH($E122,Roadmap!$D:$D,0)+COUNTIF($E122:AD122,"u")+COUNTIF($E122:AD122,"t")+COUNTIF($E122:AD122,"¶")+COUNTIF($E122:AD122,"²")+COUNTIF($E122:AD122,"µ")+COUNTIF($E122:AD122,1),ColTypeEcheance)),
  IF(LEN(AD122)=1,
  IF(LEN(INDEX(Roadmap!$D:$K,MATCH($E122,Roadmap!$D:$D,0)-1+COUNTIF($E122:AD122,"u")+COUNTIF($E122:AD122,"t")+COUNTIF($E122:AD122,"¶")+COUNTIF($E122:AD122,"²")+COUNTIF($E122:AD122,"µ")+COUNTIF($E122:AD122,1),ColDescriptionCourte))&gt;1,
HYPERLINK("#Roadmap!C"&amp; MATCH($E122,Roadmap!$D:$D,0)+COUNTIF($E122:AD122,"u")+COUNTIF($E122:AD122,"t")+COUNTIF($E122:AD122,"¶")+COUNTIF($E122:AD122,"²")+COUNTIF($E122:AD122,"µ")+COUNTIF($E122:AD122,1)-1,INDEX(Roadmap!$D:$K,MATCH($E122,Roadmap!$D:$D,0)-1+COUNTIF($E122:AD122,"u")+COUNTIF($E122:AD122,"t")+COUNTIF($E122:AD122,"¶")+COUNTIF($E122:AD122,"²")+COUNTIF($E122:AD122,"µ")+COUNTIF($E122:AD122,1),ColDescriptionCourte)),""),
  "")),"")</f>
        <v/>
      </c>
      <c r="AF122" s="40" t="str">
        <f ca="1">IFERROR(IF(AND(
  INDEX(Roadmap!$D:$K,MATCH($E122,Roadmap!$D:$D,0)+COUNTIF($E122:AE122,"u")+COUNTIF($E122:AE122,"t")+COUNTIF($E122:AE122,"¶")+COUNTIF($E122:AE122,"²")+COUNTIF($E122:AE122,"µ")+COUNTIF($E122:AE122,1),ColLivraison)=AF$6,
  VLOOKUP($E122,INDIRECT("tri!"&amp; CHAR(64+ C0Col) &amp;":"&amp; CHAR(65+C0Col)),2,FALSE)&gt;COUNTIF($E122:AE122,"u")+COUNTIF($E122:AE122,"t")+COUNTIF($E122:AE122,"¶")+COUNTIF($E122:AE122,"²")+COUNTIF($E122:AE122,"µ")+COUNTIF($E122:AE122,1)),
HYPERLINK("#Roadmap!C"&amp; MATCH($E122,Roadmap!$D:$D,0)+COUNTIF($E122:AE122,"u")+COUNTIF($E122:AE122,"t"),
     INDEX(Roadmap!$D:$K,MATCH($E122,Roadmap!$D:$D,0)+COUNTIF($E122:AE122,"u")+COUNTIF($E122:AE122,"t")+COUNTIF($E122:AE122,"¶")+COUNTIF($E122:AE122,"²")+COUNTIF($E122:AE122,"µ")+COUNTIF($E122:AE122,1),ColTypeEcheance)),
  IF(LEN(AE122)=1,
  IF(LEN(INDEX(Roadmap!$D:$K,MATCH($E122,Roadmap!$D:$D,0)-1+COUNTIF($E122:AE122,"u")+COUNTIF($E122:AE122,"t")+COUNTIF($E122:AE122,"¶")+COUNTIF($E122:AE122,"²")+COUNTIF($E122:AE122,"µ")+COUNTIF($E122:AE122,1),ColDescriptionCourte))&gt;1,
HYPERLINK("#Roadmap!C"&amp; MATCH($E122,Roadmap!$D:$D,0)+COUNTIF($E122:AE122,"u")+COUNTIF($E122:AE122,"t")+COUNTIF($E122:AE122,"¶")+COUNTIF($E122:AE122,"²")+COUNTIF($E122:AE122,"µ")+COUNTIF($E122:AE122,1)-1,INDEX(Roadmap!$D:$K,MATCH($E122,Roadmap!$D:$D,0)-1+COUNTIF($E122:AE122,"u")+COUNTIF($E122:AE122,"t")+COUNTIF($E122:AE122,"¶")+COUNTIF($E122:AE122,"²")+COUNTIF($E122:AE122,"µ")+COUNTIF($E122:AE122,1),ColDescriptionCourte)),""),
  "")),"")</f>
        <v/>
      </c>
      <c r="AG122" s="40" t="str">
        <f ca="1">IFERROR(IF(AND(
  INDEX(Roadmap!$D:$K,MATCH($E122,Roadmap!$D:$D,0)+COUNTIF($E122:AF122,"u")+COUNTIF($E122:AF122,"t")+COUNTIF($E122:AF122,"¶")+COUNTIF($E122:AF122,"²")+COUNTIF($E122:AF122,"µ")+COUNTIF($E122:AF122,1),ColLivraison)=AG$6,
  VLOOKUP($E122,INDIRECT("tri!"&amp; CHAR(64+ C0Col) &amp;":"&amp; CHAR(65+C0Col)),2,FALSE)&gt;COUNTIF($E122:AF122,"u")+COUNTIF($E122:AF122,"t")+COUNTIF($E122:AF122,"¶")+COUNTIF($E122:AF122,"²")+COUNTIF($E122:AF122,"µ")+COUNTIF($E122:AF122,1)),
HYPERLINK("#Roadmap!C"&amp; MATCH($E122,Roadmap!$D:$D,0)+COUNTIF($E122:AF122,"u")+COUNTIF($E122:AF122,"t"),
     INDEX(Roadmap!$D:$K,MATCH($E122,Roadmap!$D:$D,0)+COUNTIF($E122:AF122,"u")+COUNTIF($E122:AF122,"t")+COUNTIF($E122:AF122,"¶")+COUNTIF($E122:AF122,"²")+COUNTIF($E122:AF122,"µ")+COUNTIF($E122:AF122,1),ColTypeEcheance)),
  IF(LEN(AF122)=1,
  IF(LEN(INDEX(Roadmap!$D:$K,MATCH($E122,Roadmap!$D:$D,0)-1+COUNTIF($E122:AF122,"u")+COUNTIF($E122:AF122,"t")+COUNTIF($E122:AF122,"¶")+COUNTIF($E122:AF122,"²")+COUNTIF($E122:AF122,"µ")+COUNTIF($E122:AF122,1),ColDescriptionCourte))&gt;1,
HYPERLINK("#Roadmap!C"&amp; MATCH($E122,Roadmap!$D:$D,0)+COUNTIF($E122:AF122,"u")+COUNTIF($E122:AF122,"t")+COUNTIF($E122:AF122,"¶")+COUNTIF($E122:AF122,"²")+COUNTIF($E122:AF122,"µ")+COUNTIF($E122:AF122,1)-1,INDEX(Roadmap!$D:$K,MATCH($E122,Roadmap!$D:$D,0)-1+COUNTIF($E122:AF122,"u")+COUNTIF($E122:AF122,"t")+COUNTIF($E122:AF122,"¶")+COUNTIF($E122:AF122,"²")+COUNTIF($E122:AF122,"µ")+COUNTIF($E122:AF122,1),ColDescriptionCourte)),""),
  "")),"")</f>
        <v/>
      </c>
    </row>
    <row r="123" spans="3:33" ht="14.25" customHeight="1">
      <c r="C123" s="1" t="str">
        <f t="shared" ca="1" si="49"/>
        <v/>
      </c>
      <c r="D123" s="1" t="str">
        <f t="shared" ca="1" si="50"/>
        <v/>
      </c>
      <c r="E123" s="35" t="str">
        <f t="shared" ca="1" si="46"/>
        <v/>
      </c>
      <c r="F123" s="39" t="str">
        <f ca="1">IFERROR(IF(AND(
  INDEX(Roadmap!$D:$K,MATCH($E123,Roadmap!$D:$D,0)+COUNTIF($E123:E123,"u")+COUNTIF($E123:E123,"t")+COUNTIF($E123:E123,"¶")+COUNTIF($E123:E123,"²")+COUNTIF($E123:E123,"µ")+COUNTIF($E123:E123,1),ColLivraison)=F$6,
  VLOOKUP($E123,INDIRECT("tri!"&amp; CHAR(64+ C0Col) &amp;":"&amp; CHAR(65+C0Col)),2,FALSE)&gt;COUNTIF($E123:E123,"u")+COUNTIF($E123:E123,"t")+COUNTIF($E123:E123,"¶")+COUNTIF($E123:E123,"²")+COUNTIF($E123:E123,"µ")+COUNTIF($E123:E123,1)),
HYPERLINK("#Roadmap!C"&amp; MATCH($E123,Roadmap!$D:$D,0)+COUNTIF($E123:E123,"u")+COUNTIF($E123:E123,"t"),
     INDEX(Roadmap!$D:$K,MATCH($E123,Roadmap!$D:$D,0)+COUNTIF($E123:E123,"u")+COUNTIF($E123:E123,"t")+COUNTIF($E123:E123,"¶")+COUNTIF($E123:E123,"²")+COUNTIF($E123:E123,"µ")+COUNTIF($E123:E123,1),ColTypeEcheance)),
  IF(LEN(E123)=1,
  IF(LEN(INDEX(Roadmap!$D:$K,MATCH($E123,Roadmap!$D:$D,0)-1+COUNTIF($E123:E123,"u")+COUNTIF($E123:E123,"t")+COUNTIF($E123:E123,"¶")+COUNTIF($E123:E123,"²")+COUNTIF($E123:E123,"µ")+COUNTIF($E123:E123,1),ColDescriptionCourte))&gt;1,
HYPERLINK("#Roadmap!C"&amp; MATCH($E123,Roadmap!$D:$D,0)+COUNTIF($E123:E123,"u")+COUNTIF($E123:E123,"t")+COUNTIF($E123:E123,"¶")+COUNTIF($E123:E123,"²")+COUNTIF($E123:E123,"µ")+COUNTIF($E123:E123,1)-1,INDEX(Roadmap!$D:$K,MATCH($E123,Roadmap!$D:$D,0)-1+COUNTIF($E123:E123,"u")+COUNTIF($E123:E123,"t")+COUNTIF($E123:E123,"¶")+COUNTIF($E123:E123,"²")+COUNTIF($E123:E123,"µ")+COUNTIF($E123:E123,1),ColDescriptionCourte)),""),
  "")),"")</f>
        <v/>
      </c>
      <c r="G123" s="40" t="str">
        <f ca="1">IFERROR(IF(AND(
  INDEX(Roadmap!$D:$K,MATCH($E123,Roadmap!$D:$D,0)+COUNTIF($E123:F123,"u")+COUNTIF($E123:F123,"t")+COUNTIF($E123:F123,"¶")+COUNTIF($E123:F123,"²")+COUNTIF($E123:F123,"µ")+COUNTIF($E123:F123,1),ColLivraison)=G$6,
  VLOOKUP($E123,INDIRECT("tri!"&amp; CHAR(64+ C0Col) &amp;":"&amp; CHAR(65+C0Col)),2,FALSE)&gt;COUNTIF($E123:F123,"u")+COUNTIF($E123:F123,"t")+COUNTIF($E123:F123,"¶")+COUNTIF($E123:F123,"²")+COUNTIF($E123:F123,"µ")+COUNTIF($E123:F123,1)),
HYPERLINK("#Roadmap!C"&amp; MATCH($E123,Roadmap!$D:$D,0)+COUNTIF($E123:F123,"u")+COUNTIF($E123:F123,"t"),
     INDEX(Roadmap!$D:$K,MATCH($E123,Roadmap!$D:$D,0)+COUNTIF($E123:F123,"u")+COUNTIF($E123:F123,"t")+COUNTIF($E123:F123,"¶")+COUNTIF($E123:F123,"²")+COUNTIF($E123:F123,"µ")+COUNTIF($E123:F123,1),ColTypeEcheance)),
  IF(LEN(F123)=1,
  IF(LEN(INDEX(Roadmap!$D:$K,MATCH($E123,Roadmap!$D:$D,0)-1+COUNTIF($E123:F123,"u")+COUNTIF($E123:F123,"t")+COUNTIF($E123:F123,"¶")+COUNTIF($E123:F123,"²")+COUNTIF($E123:F123,"µ")+COUNTIF($E123:F123,1),ColDescriptionCourte))&gt;1,
HYPERLINK("#Roadmap!C"&amp; MATCH($E123,Roadmap!$D:$D,0)+COUNTIF($E123:F123,"u")+COUNTIF($E123:F123,"t")+COUNTIF($E123:F123,"¶")+COUNTIF($E123:F123,"²")+COUNTIF($E123:F123,"µ")+COUNTIF($E123:F123,1)-1,INDEX(Roadmap!$D:$K,MATCH($E123,Roadmap!$D:$D,0)-1+COUNTIF($E123:F123,"u")+COUNTIF($E123:F123,"t")+COUNTIF($E123:F123,"¶")+COUNTIF($E123:F123,"²")+COUNTIF($E123:F123,"µ")+COUNTIF($E123:F123,1),ColDescriptionCourte)),""),
  "")),"")</f>
        <v/>
      </c>
      <c r="H123" s="40" t="str">
        <f ca="1">IFERROR(IF(AND(
  INDEX(Roadmap!$D:$K,MATCH($E123,Roadmap!$D:$D,0)+COUNTIF($E123:G123,"u")+COUNTIF($E123:G123,"t")+COUNTIF($E123:G123,"¶")+COUNTIF($E123:G123,"²")+COUNTIF($E123:G123,"µ")+COUNTIF($E123:G123,1),ColLivraison)=H$6,
  VLOOKUP($E123,INDIRECT("tri!"&amp; CHAR(64+ C0Col) &amp;":"&amp; CHAR(65+C0Col)),2,FALSE)&gt;COUNTIF($E123:G123,"u")+COUNTIF($E123:G123,"t")+COUNTIF($E123:G123,"¶")+COUNTIF($E123:G123,"²")+COUNTIF($E123:G123,"µ")+COUNTIF($E123:G123,1)),
HYPERLINK("#Roadmap!C"&amp; MATCH($E123,Roadmap!$D:$D,0)+COUNTIF($E123:G123,"u")+COUNTIF($E123:G123,"t"),
     INDEX(Roadmap!$D:$K,MATCH($E123,Roadmap!$D:$D,0)+COUNTIF($E123:G123,"u")+COUNTIF($E123:G123,"t")+COUNTIF($E123:G123,"¶")+COUNTIF($E123:G123,"²")+COUNTIF($E123:G123,"µ")+COUNTIF($E123:G123,1),ColTypeEcheance)),
  IF(LEN(G123)=1,
  IF(LEN(INDEX(Roadmap!$D:$K,MATCH($E123,Roadmap!$D:$D,0)-1+COUNTIF($E123:G123,"u")+COUNTIF($E123:G123,"t")+COUNTIF($E123:G123,"¶")+COUNTIF($E123:G123,"²")+COUNTIF($E123:G123,"µ")+COUNTIF($E123:G123,1),ColDescriptionCourte))&gt;1,
HYPERLINK("#Roadmap!C"&amp; MATCH($E123,Roadmap!$D:$D,0)+COUNTIF($E123:G123,"u")+COUNTIF($E123:G123,"t")+COUNTIF($E123:G123,"¶")+COUNTIF($E123:G123,"²")+COUNTIF($E123:G123,"µ")+COUNTIF($E123:G123,1)-1,INDEX(Roadmap!$D:$K,MATCH($E123,Roadmap!$D:$D,0)-1+COUNTIF($E123:G123,"u")+COUNTIF($E123:G123,"t")+COUNTIF($E123:G123,"¶")+COUNTIF($E123:G123,"²")+COUNTIF($E123:G123,"µ")+COUNTIF($E123:G123,1),ColDescriptionCourte)),""),
  "")),"")</f>
        <v/>
      </c>
      <c r="I123" s="40" t="str">
        <f ca="1">IFERROR(IF(AND(
  INDEX(Roadmap!$D:$K,MATCH($E123,Roadmap!$D:$D,0)+COUNTIF($E123:H123,"u")+COUNTIF($E123:H123,"t")+COUNTIF($E123:H123,"¶")+COUNTIF($E123:H123,"²")+COUNTIF($E123:H123,"µ")+COUNTIF($E123:H123,1),ColLivraison)=I$6,
  VLOOKUP($E123,INDIRECT("tri!"&amp; CHAR(64+ C0Col) &amp;":"&amp; CHAR(65+C0Col)),2,FALSE)&gt;COUNTIF($E123:H123,"u")+COUNTIF($E123:H123,"t")+COUNTIF($E123:H123,"¶")+COUNTIF($E123:H123,"²")+COUNTIF($E123:H123,"µ")+COUNTIF($E123:H123,1)),
HYPERLINK("#Roadmap!C"&amp; MATCH($E123,Roadmap!$D:$D,0)+COUNTIF($E123:H123,"u")+COUNTIF($E123:H123,"t"),
     INDEX(Roadmap!$D:$K,MATCH($E123,Roadmap!$D:$D,0)+COUNTIF($E123:H123,"u")+COUNTIF($E123:H123,"t")+COUNTIF($E123:H123,"¶")+COUNTIF($E123:H123,"²")+COUNTIF($E123:H123,"µ")+COUNTIF($E123:H123,1),ColTypeEcheance)),
  IF(LEN(H123)=1,
  IF(LEN(INDEX(Roadmap!$D:$K,MATCH($E123,Roadmap!$D:$D,0)-1+COUNTIF($E123:H123,"u")+COUNTIF($E123:H123,"t")+COUNTIF($E123:H123,"¶")+COUNTIF($E123:H123,"²")+COUNTIF($E123:H123,"µ")+COUNTIF($E123:H123,1),ColDescriptionCourte))&gt;1,
HYPERLINK("#Roadmap!C"&amp; MATCH($E123,Roadmap!$D:$D,0)+COUNTIF($E123:H123,"u")+COUNTIF($E123:H123,"t")+COUNTIF($E123:H123,"¶")+COUNTIF($E123:H123,"²")+COUNTIF($E123:H123,"µ")+COUNTIF($E123:H123,1)-1,INDEX(Roadmap!$D:$K,MATCH($E123,Roadmap!$D:$D,0)-1+COUNTIF($E123:H123,"u")+COUNTIF($E123:H123,"t")+COUNTIF($E123:H123,"¶")+COUNTIF($E123:H123,"²")+COUNTIF($E123:H123,"µ")+COUNTIF($E123:H123,1),ColDescriptionCourte)),""),
  "")),"")</f>
        <v/>
      </c>
      <c r="J123" s="40" t="str">
        <f ca="1">IFERROR(IF(AND(
  INDEX(Roadmap!$D:$K,MATCH($E123,Roadmap!$D:$D,0)+COUNTIF($E123:I123,"u")+COUNTIF($E123:I123,"t")+COUNTIF($E123:I123,"¶")+COUNTIF($E123:I123,"²")+COUNTIF($E123:I123,"µ")+COUNTIF($E123:I123,1),ColLivraison)=J$6,
  VLOOKUP($E123,INDIRECT("tri!"&amp; CHAR(64+ C0Col) &amp;":"&amp; CHAR(65+C0Col)),2,FALSE)&gt;COUNTIF($E123:I123,"u")+COUNTIF($E123:I123,"t")+COUNTIF($E123:I123,"¶")+COUNTIF($E123:I123,"²")+COUNTIF($E123:I123,"µ")+COUNTIF($E123:I123,1)),
HYPERLINK("#Roadmap!C"&amp; MATCH($E123,Roadmap!$D:$D,0)+COUNTIF($E123:I123,"u")+COUNTIF($E123:I123,"t"),
     INDEX(Roadmap!$D:$K,MATCH($E123,Roadmap!$D:$D,0)+COUNTIF($E123:I123,"u")+COUNTIF($E123:I123,"t")+COUNTIF($E123:I123,"¶")+COUNTIF($E123:I123,"²")+COUNTIF($E123:I123,"µ")+COUNTIF($E123:I123,1),ColTypeEcheance)),
  IF(LEN(I123)=1,
  IF(LEN(INDEX(Roadmap!$D:$K,MATCH($E123,Roadmap!$D:$D,0)-1+COUNTIF($E123:I123,"u")+COUNTIF($E123:I123,"t")+COUNTIF($E123:I123,"¶")+COUNTIF($E123:I123,"²")+COUNTIF($E123:I123,"µ")+COUNTIF($E123:I123,1),ColDescriptionCourte))&gt;1,
HYPERLINK("#Roadmap!C"&amp; MATCH($E123,Roadmap!$D:$D,0)+COUNTIF($E123:I123,"u")+COUNTIF($E123:I123,"t")+COUNTIF($E123:I123,"¶")+COUNTIF($E123:I123,"²")+COUNTIF($E123:I123,"µ")+COUNTIF($E123:I123,1)-1,INDEX(Roadmap!$D:$K,MATCH($E123,Roadmap!$D:$D,0)-1+COUNTIF($E123:I123,"u")+COUNTIF($E123:I123,"t")+COUNTIF($E123:I123,"¶")+COUNTIF($E123:I123,"²")+COUNTIF($E123:I123,"µ")+COUNTIF($E123:I123,1),ColDescriptionCourte)),""),
  "")),"")</f>
        <v/>
      </c>
      <c r="K123" s="40" t="str">
        <f ca="1">IFERROR(IF(AND(
  INDEX(Roadmap!$D:$K,MATCH($E123,Roadmap!$D:$D,0)+COUNTIF($E123:J123,"u")+COUNTIF($E123:J123,"t")+COUNTIF($E123:J123,"¶")+COUNTIF($E123:J123,"²")+COUNTIF($E123:J123,"µ")+COUNTIF($E123:J123,1),ColLivraison)=K$6,
  VLOOKUP($E123,INDIRECT("tri!"&amp; CHAR(64+ C0Col) &amp;":"&amp; CHAR(65+C0Col)),2,FALSE)&gt;COUNTIF($E123:J123,"u")+COUNTIF($E123:J123,"t")+COUNTIF($E123:J123,"¶")+COUNTIF($E123:J123,"²")+COUNTIF($E123:J123,"µ")+COUNTIF($E123:J123,1)),
HYPERLINK("#Roadmap!C"&amp; MATCH($E123,Roadmap!$D:$D,0)+COUNTIF($E123:J123,"u")+COUNTIF($E123:J123,"t"),
     INDEX(Roadmap!$D:$K,MATCH($E123,Roadmap!$D:$D,0)+COUNTIF($E123:J123,"u")+COUNTIF($E123:J123,"t")+COUNTIF($E123:J123,"¶")+COUNTIF($E123:J123,"²")+COUNTIF($E123:J123,"µ")+COUNTIF($E123:J123,1),ColTypeEcheance)),
  IF(LEN(J123)=1,
  IF(LEN(INDEX(Roadmap!$D:$K,MATCH($E123,Roadmap!$D:$D,0)-1+COUNTIF($E123:J123,"u")+COUNTIF($E123:J123,"t")+COUNTIF($E123:J123,"¶")+COUNTIF($E123:J123,"²")+COUNTIF($E123:J123,"µ")+COUNTIF($E123:J123,1),ColDescriptionCourte))&gt;1,
HYPERLINK("#Roadmap!C"&amp; MATCH($E123,Roadmap!$D:$D,0)+COUNTIF($E123:J123,"u")+COUNTIF($E123:J123,"t")+COUNTIF($E123:J123,"¶")+COUNTIF($E123:J123,"²")+COUNTIF($E123:J123,"µ")+COUNTIF($E123:J123,1)-1,INDEX(Roadmap!$D:$K,MATCH($E123,Roadmap!$D:$D,0)-1+COUNTIF($E123:J123,"u")+COUNTIF($E123:J123,"t")+COUNTIF($E123:J123,"¶")+COUNTIF($E123:J123,"²")+COUNTIF($E123:J123,"µ")+COUNTIF($E123:J123,1),ColDescriptionCourte)),""),
  "")),"")</f>
        <v/>
      </c>
      <c r="L123" s="39" t="str">
        <f ca="1">IFERROR(IF(AND(
  INDEX(Roadmap!$D:$K,MATCH($E123,Roadmap!$D:$D,0)+COUNTIF($E123:K123,"u")+COUNTIF($E123:K123,"t")+COUNTIF($E123:K123,"¶")+COUNTIF($E123:K123,"²")+COUNTIF($E123:K123,"µ")+COUNTIF($E123:K123,1),ColLivraison)=L$6,
  VLOOKUP($E123,INDIRECT("tri!"&amp; CHAR(64+ C0Col) &amp;":"&amp; CHAR(65+C0Col)),2,FALSE)&gt;COUNTIF($E123:K123,"u")+COUNTIF($E123:K123,"t")+COUNTIF($E123:K123,"¶")+COUNTIF($E123:K123,"²")+COUNTIF($E123:K123,"µ")+COUNTIF($E123:K123,1)),
HYPERLINK("#Roadmap!C"&amp; MATCH($E123,Roadmap!$D:$D,0)+COUNTIF($E123:K123,"u")+COUNTIF($E123:K123,"t"),
     INDEX(Roadmap!$D:$K,MATCH($E123,Roadmap!$D:$D,0)+COUNTIF($E123:K123,"u")+COUNTIF($E123:K123,"t")+COUNTIF($E123:K123,"¶")+COUNTIF($E123:K123,"²")+COUNTIF($E123:K123,"µ")+COUNTIF($E123:K123,1),ColTypeEcheance)),
  IF(LEN(K123)=1,
  IF(LEN(INDEX(Roadmap!$D:$K,MATCH($E123,Roadmap!$D:$D,0)-1+COUNTIF($E123:K123,"u")+COUNTIF($E123:K123,"t")+COUNTIF($E123:K123,"¶")+COUNTIF($E123:K123,"²")+COUNTIF($E123:K123,"µ")+COUNTIF($E123:K123,1),ColDescriptionCourte))&gt;1,
HYPERLINK("#Roadmap!C"&amp; MATCH($E123,Roadmap!$D:$D,0)+COUNTIF($E123:K123,"u")+COUNTIF($E123:K123,"t")+COUNTIF($E123:K123,"¶")+COUNTIF($E123:K123,"²")+COUNTIF($E123:K123,"µ")+COUNTIF($E123:K123,1)-1,INDEX(Roadmap!$D:$K,MATCH($E123,Roadmap!$D:$D,0)-1+COUNTIF($E123:K123,"u")+COUNTIF($E123:K123,"t")+COUNTIF($E123:K123,"¶")+COUNTIF($E123:K123,"²")+COUNTIF($E123:K123,"µ")+COUNTIF($E123:K123,1),ColDescriptionCourte)),""),
  "")),"")</f>
        <v/>
      </c>
      <c r="M123" s="40" t="str">
        <f ca="1">IFERROR(IF(AND(
  INDEX(Roadmap!$D:$K,MATCH($E123,Roadmap!$D:$D,0)+COUNTIF($E123:L123,"u")+COUNTIF($E123:L123,"t")+COUNTIF($E123:L123,"¶")+COUNTIF($E123:L123,"²")+COUNTIF($E123:L123,"µ")+COUNTIF($E123:L123,1),ColLivraison)=M$6,
  VLOOKUP($E123,INDIRECT("tri!"&amp; CHAR(64+ C0Col) &amp;":"&amp; CHAR(65+C0Col)),2,FALSE)&gt;COUNTIF($E123:L123,"u")+COUNTIF($E123:L123,"t")+COUNTIF($E123:L123,"¶")+COUNTIF($E123:L123,"²")+COUNTIF($E123:L123,"µ")+COUNTIF($E123:L123,1)),
HYPERLINK("#Roadmap!C"&amp; MATCH($E123,Roadmap!$D:$D,0)+COUNTIF($E123:L123,"u")+COUNTIF($E123:L123,"t"),
     INDEX(Roadmap!$D:$K,MATCH($E123,Roadmap!$D:$D,0)+COUNTIF($E123:L123,"u")+COUNTIF($E123:L123,"t")+COUNTIF($E123:L123,"¶")+COUNTIF($E123:L123,"²")+COUNTIF($E123:L123,"µ")+COUNTIF($E123:L123,1),ColTypeEcheance)),
  IF(LEN(L123)=1,
  IF(LEN(INDEX(Roadmap!$D:$K,MATCH($E123,Roadmap!$D:$D,0)-1+COUNTIF($E123:L123,"u")+COUNTIF($E123:L123,"t")+COUNTIF($E123:L123,"¶")+COUNTIF($E123:L123,"²")+COUNTIF($E123:L123,"µ")+COUNTIF($E123:L123,1),ColDescriptionCourte))&gt;1,
HYPERLINK("#Roadmap!C"&amp; MATCH($E123,Roadmap!$D:$D,0)+COUNTIF($E123:L123,"u")+COUNTIF($E123:L123,"t")+COUNTIF($E123:L123,"¶")+COUNTIF($E123:L123,"²")+COUNTIF($E123:L123,"µ")+COUNTIF($E123:L123,1)-1,INDEX(Roadmap!$D:$K,MATCH($E123,Roadmap!$D:$D,0)-1+COUNTIF($E123:L123,"u")+COUNTIF($E123:L123,"t")+COUNTIF($E123:L123,"¶")+COUNTIF($E123:L123,"²")+COUNTIF($E123:L123,"µ")+COUNTIF($E123:L123,1),ColDescriptionCourte)),""),
  "")),"")</f>
        <v/>
      </c>
      <c r="N123" s="40" t="str">
        <f ca="1">IFERROR(IF(AND(
  INDEX(Roadmap!$D:$K,MATCH($E123,Roadmap!$D:$D,0)+COUNTIF($E123:M123,"u")+COUNTIF($E123:M123,"t")+COUNTIF($E123:M123,"¶")+COUNTIF($E123:M123,"²")+COUNTIF($E123:M123,"µ")+COUNTIF($E123:M123,1),ColLivraison)=N$6,
  VLOOKUP($E123,INDIRECT("tri!"&amp; CHAR(64+ C0Col) &amp;":"&amp; CHAR(65+C0Col)),2,FALSE)&gt;COUNTIF($E123:M123,"u")+COUNTIF($E123:M123,"t")+COUNTIF($E123:M123,"¶")+COUNTIF($E123:M123,"²")+COUNTIF($E123:M123,"µ")+COUNTIF($E123:M123,1)),
HYPERLINK("#Roadmap!C"&amp; MATCH($E123,Roadmap!$D:$D,0)+COUNTIF($E123:M123,"u")+COUNTIF($E123:M123,"t"),
     INDEX(Roadmap!$D:$K,MATCH($E123,Roadmap!$D:$D,0)+COUNTIF($E123:M123,"u")+COUNTIF($E123:M123,"t")+COUNTIF($E123:M123,"¶")+COUNTIF($E123:M123,"²")+COUNTIF($E123:M123,"µ")+COUNTIF($E123:M123,1),ColTypeEcheance)),
  IF(LEN(M123)=1,
  IF(LEN(INDEX(Roadmap!$D:$K,MATCH($E123,Roadmap!$D:$D,0)-1+COUNTIF($E123:M123,"u")+COUNTIF($E123:M123,"t")+COUNTIF($E123:M123,"¶")+COUNTIF($E123:M123,"²")+COUNTIF($E123:M123,"µ")+COUNTIF($E123:M123,1),ColDescriptionCourte))&gt;1,
HYPERLINK("#Roadmap!C"&amp; MATCH($E123,Roadmap!$D:$D,0)+COUNTIF($E123:M123,"u")+COUNTIF($E123:M123,"t")+COUNTIF($E123:M123,"¶")+COUNTIF($E123:M123,"²")+COUNTIF($E123:M123,"µ")+COUNTIF($E123:M123,1)-1,INDEX(Roadmap!$D:$K,MATCH($E123,Roadmap!$D:$D,0)-1+COUNTIF($E123:M123,"u")+COUNTIF($E123:M123,"t")+COUNTIF($E123:M123,"¶")+COUNTIF($E123:M123,"²")+COUNTIF($E123:M123,"µ")+COUNTIF($E123:M123,1),ColDescriptionCourte)),""),
  "")),"")</f>
        <v/>
      </c>
      <c r="O123" s="40" t="str">
        <f ca="1">IFERROR(IF(AND(
  INDEX(Roadmap!$D:$K,MATCH($E123,Roadmap!$D:$D,0)+COUNTIF($E123:N123,"u")+COUNTIF($E123:N123,"t")+COUNTIF($E123:N123,"¶")+COUNTIF($E123:N123,"²")+COUNTIF($E123:N123,"µ")+COUNTIF($E123:N123,1),ColLivraison)=O$6,
  VLOOKUP($E123,INDIRECT("tri!"&amp; CHAR(64+ C0Col) &amp;":"&amp; CHAR(65+C0Col)),2,FALSE)&gt;COUNTIF($E123:N123,"u")+COUNTIF($E123:N123,"t")+COUNTIF($E123:N123,"¶")+COUNTIF($E123:N123,"²")+COUNTIF($E123:N123,"µ")+COUNTIF($E123:N123,1)),
HYPERLINK("#Roadmap!C"&amp; MATCH($E123,Roadmap!$D:$D,0)+COUNTIF($E123:N123,"u")+COUNTIF($E123:N123,"t"),
     INDEX(Roadmap!$D:$K,MATCH($E123,Roadmap!$D:$D,0)+COUNTIF($E123:N123,"u")+COUNTIF($E123:N123,"t")+COUNTIF($E123:N123,"¶")+COUNTIF($E123:N123,"²")+COUNTIF($E123:N123,"µ")+COUNTIF($E123:N123,1),ColTypeEcheance)),
  IF(LEN(N123)=1,
  IF(LEN(INDEX(Roadmap!$D:$K,MATCH($E123,Roadmap!$D:$D,0)-1+COUNTIF($E123:N123,"u")+COUNTIF($E123:N123,"t")+COUNTIF($E123:N123,"¶")+COUNTIF($E123:N123,"²")+COUNTIF($E123:N123,"µ")+COUNTIF($E123:N123,1),ColDescriptionCourte))&gt;1,
HYPERLINK("#Roadmap!C"&amp; MATCH($E123,Roadmap!$D:$D,0)+COUNTIF($E123:N123,"u")+COUNTIF($E123:N123,"t")+COUNTIF($E123:N123,"¶")+COUNTIF($E123:N123,"²")+COUNTIF($E123:N123,"µ")+COUNTIF($E123:N123,1)-1,INDEX(Roadmap!$D:$K,MATCH($E123,Roadmap!$D:$D,0)-1+COUNTIF($E123:N123,"u")+COUNTIF($E123:N123,"t")+COUNTIF($E123:N123,"¶")+COUNTIF($E123:N123,"²")+COUNTIF($E123:N123,"µ")+COUNTIF($E123:N123,1),ColDescriptionCourte)),""),
  "")),"")</f>
        <v/>
      </c>
      <c r="P123" s="40" t="str">
        <f ca="1">IFERROR(IF(AND(
  INDEX(Roadmap!$D:$K,MATCH($E123,Roadmap!$D:$D,0)+COUNTIF($E123:O123,"u")+COUNTIF($E123:O123,"t")+COUNTIF($E123:O123,"¶")+COUNTIF($E123:O123,"²")+COUNTIF($E123:O123,"µ")+COUNTIF($E123:O123,1),ColLivraison)=P$6,
  VLOOKUP($E123,INDIRECT("tri!"&amp; CHAR(64+ C0Col) &amp;":"&amp; CHAR(65+C0Col)),2,FALSE)&gt;COUNTIF($E123:O123,"u")+COUNTIF($E123:O123,"t")+COUNTIF($E123:O123,"¶")+COUNTIF($E123:O123,"²")+COUNTIF($E123:O123,"µ")+COUNTIF($E123:O123,1)),
HYPERLINK("#Roadmap!C"&amp; MATCH($E123,Roadmap!$D:$D,0)+COUNTIF($E123:O123,"u")+COUNTIF($E123:O123,"t"),
     INDEX(Roadmap!$D:$K,MATCH($E123,Roadmap!$D:$D,0)+COUNTIF($E123:O123,"u")+COUNTIF($E123:O123,"t")+COUNTIF($E123:O123,"¶")+COUNTIF($E123:O123,"²")+COUNTIF($E123:O123,"µ")+COUNTIF($E123:O123,1),ColTypeEcheance)),
  IF(LEN(O123)=1,
  IF(LEN(INDEX(Roadmap!$D:$K,MATCH($E123,Roadmap!$D:$D,0)-1+COUNTIF($E123:O123,"u")+COUNTIF($E123:O123,"t")+COUNTIF($E123:O123,"¶")+COUNTIF($E123:O123,"²")+COUNTIF($E123:O123,"µ")+COUNTIF($E123:O123,1),ColDescriptionCourte))&gt;1,
HYPERLINK("#Roadmap!C"&amp; MATCH($E123,Roadmap!$D:$D,0)+COUNTIF($E123:O123,"u")+COUNTIF($E123:O123,"t")+COUNTIF($E123:O123,"¶")+COUNTIF($E123:O123,"²")+COUNTIF($E123:O123,"µ")+COUNTIF($E123:O123,1)-1,INDEX(Roadmap!$D:$K,MATCH($E123,Roadmap!$D:$D,0)-1+COUNTIF($E123:O123,"u")+COUNTIF($E123:O123,"t")+COUNTIF($E123:O123,"¶")+COUNTIF($E123:O123,"²")+COUNTIF($E123:O123,"µ")+COUNTIF($E123:O123,1),ColDescriptionCourte)),""),
  "")),"")</f>
        <v/>
      </c>
      <c r="Q123" s="40" t="str">
        <f ca="1">IFERROR(IF(AND(
  INDEX(Roadmap!$D:$K,MATCH($E123,Roadmap!$D:$D,0)+COUNTIF($E123:P123,"u")+COUNTIF($E123:P123,"t")+COUNTIF($E123:P123,"¶")+COUNTIF($E123:P123,"²")+COUNTIF($E123:P123,"µ")+COUNTIF($E123:P123,1),ColLivraison)=Q$6,
  VLOOKUP($E123,INDIRECT("tri!"&amp; CHAR(64+ C0Col) &amp;":"&amp; CHAR(65+C0Col)),2,FALSE)&gt;COUNTIF($E123:P123,"u")+COUNTIF($E123:P123,"t")+COUNTIF($E123:P123,"¶")+COUNTIF($E123:P123,"²")+COUNTIF($E123:P123,"µ")+COUNTIF($E123:P123,1)),
HYPERLINK("#Roadmap!C"&amp; MATCH($E123,Roadmap!$D:$D,0)+COUNTIF($E123:P123,"u")+COUNTIF($E123:P123,"t"),
     INDEX(Roadmap!$D:$K,MATCH($E123,Roadmap!$D:$D,0)+COUNTIF($E123:P123,"u")+COUNTIF($E123:P123,"t")+COUNTIF($E123:P123,"¶")+COUNTIF($E123:P123,"²")+COUNTIF($E123:P123,"µ")+COUNTIF($E123:P123,1),ColTypeEcheance)),
  IF(LEN(P123)=1,
  IF(LEN(INDEX(Roadmap!$D:$K,MATCH($E123,Roadmap!$D:$D,0)-1+COUNTIF($E123:P123,"u")+COUNTIF($E123:P123,"t")+COUNTIF($E123:P123,"¶")+COUNTIF($E123:P123,"²")+COUNTIF($E123:P123,"µ")+COUNTIF($E123:P123,1),ColDescriptionCourte))&gt;1,
HYPERLINK("#Roadmap!C"&amp; MATCH($E123,Roadmap!$D:$D,0)+COUNTIF($E123:P123,"u")+COUNTIF($E123:P123,"t")+COUNTIF($E123:P123,"¶")+COUNTIF($E123:P123,"²")+COUNTIF($E123:P123,"µ")+COUNTIF($E123:P123,1)-1,INDEX(Roadmap!$D:$K,MATCH($E123,Roadmap!$D:$D,0)-1+COUNTIF($E123:P123,"u")+COUNTIF($E123:P123,"t")+COUNTIF($E123:P123,"¶")+COUNTIF($E123:P123,"²")+COUNTIF($E123:P123,"µ")+COUNTIF($E123:P123,1),ColDescriptionCourte)),""),
  "")),"")</f>
        <v/>
      </c>
      <c r="R123" s="40" t="str">
        <f ca="1">IFERROR(IF(AND(
  INDEX(Roadmap!$D:$K,MATCH($E123,Roadmap!$D:$D,0)+COUNTIF($E123:Q123,"u")+COUNTIF($E123:Q123,"t")+COUNTIF($E123:Q123,"¶")+COUNTIF($E123:Q123,"²")+COUNTIF($E123:Q123,"µ")+COUNTIF($E123:Q123,1),ColLivraison)=R$6,
  VLOOKUP($E123,INDIRECT("tri!"&amp; CHAR(64+ C0Col) &amp;":"&amp; CHAR(65+C0Col)),2,FALSE)&gt;COUNTIF($E123:Q123,"u")+COUNTIF($E123:Q123,"t")+COUNTIF($E123:Q123,"¶")+COUNTIF($E123:Q123,"²")+COUNTIF($E123:Q123,"µ")+COUNTIF($E123:Q123,1)),
HYPERLINK("#Roadmap!C"&amp; MATCH($E123,Roadmap!$D:$D,0)+COUNTIF($E123:Q123,"u")+COUNTIF($E123:Q123,"t"),
     INDEX(Roadmap!$D:$K,MATCH($E123,Roadmap!$D:$D,0)+COUNTIF($E123:Q123,"u")+COUNTIF($E123:Q123,"t")+COUNTIF($E123:Q123,"¶")+COUNTIF($E123:Q123,"²")+COUNTIF($E123:Q123,"µ")+COUNTIF($E123:Q123,1),ColTypeEcheance)),
  IF(LEN(Q123)=1,
  IF(LEN(INDEX(Roadmap!$D:$K,MATCH($E123,Roadmap!$D:$D,0)-1+COUNTIF($E123:Q123,"u")+COUNTIF($E123:Q123,"t")+COUNTIF($E123:Q123,"¶")+COUNTIF($E123:Q123,"²")+COUNTIF($E123:Q123,"µ")+COUNTIF($E123:Q123,1),ColDescriptionCourte))&gt;1,
HYPERLINK("#Roadmap!C"&amp; MATCH($E123,Roadmap!$D:$D,0)+COUNTIF($E123:Q123,"u")+COUNTIF($E123:Q123,"t")+COUNTIF($E123:Q123,"¶")+COUNTIF($E123:Q123,"²")+COUNTIF($E123:Q123,"µ")+COUNTIF($E123:Q123,1)-1,INDEX(Roadmap!$D:$K,MATCH($E123,Roadmap!$D:$D,0)-1+COUNTIF($E123:Q123,"u")+COUNTIF($E123:Q123,"t")+COUNTIF($E123:Q123,"¶")+COUNTIF($E123:Q123,"²")+COUNTIF($E123:Q123,"µ")+COUNTIF($E123:Q123,1),ColDescriptionCourte)),""),
  "")),"")</f>
        <v/>
      </c>
      <c r="S123" s="40" t="str">
        <f ca="1">IFERROR(IF(AND(
  INDEX(Roadmap!$D:$K,MATCH($E123,Roadmap!$D:$D,0)+COUNTIF($E123:R123,"u")+COUNTIF($E123:R123,"t")+COUNTIF($E123:R123,"¶")+COUNTIF($E123:R123,"²")+COUNTIF($E123:R123,"µ")+COUNTIF($E123:R123,1),ColLivraison)=S$6,
  VLOOKUP($E123,INDIRECT("tri!"&amp; CHAR(64+ C0Col) &amp;":"&amp; CHAR(65+C0Col)),2,FALSE)&gt;COUNTIF($E123:R123,"u")+COUNTIF($E123:R123,"t")+COUNTIF($E123:R123,"¶")+COUNTIF($E123:R123,"²")+COUNTIF($E123:R123,"µ")+COUNTIF($E123:R123,1)),
HYPERLINK("#Roadmap!C"&amp; MATCH($E123,Roadmap!$D:$D,0)+COUNTIF($E123:R123,"u")+COUNTIF($E123:R123,"t"),
     INDEX(Roadmap!$D:$K,MATCH($E123,Roadmap!$D:$D,0)+COUNTIF($E123:R123,"u")+COUNTIF($E123:R123,"t")+COUNTIF($E123:R123,"¶")+COUNTIF($E123:R123,"²")+COUNTIF($E123:R123,"µ")+COUNTIF($E123:R123,1),ColTypeEcheance)),
  IF(LEN(R123)=1,
  IF(LEN(INDEX(Roadmap!$D:$K,MATCH($E123,Roadmap!$D:$D,0)-1+COUNTIF($E123:R123,"u")+COUNTIF($E123:R123,"t")+COUNTIF($E123:R123,"¶")+COUNTIF($E123:R123,"²")+COUNTIF($E123:R123,"µ")+COUNTIF($E123:R123,1),ColDescriptionCourte))&gt;1,
HYPERLINK("#Roadmap!C"&amp; MATCH($E123,Roadmap!$D:$D,0)+COUNTIF($E123:R123,"u")+COUNTIF($E123:R123,"t")+COUNTIF($E123:R123,"¶")+COUNTIF($E123:R123,"²")+COUNTIF($E123:R123,"µ")+COUNTIF($E123:R123,1)-1,INDEX(Roadmap!$D:$K,MATCH($E123,Roadmap!$D:$D,0)-1+COUNTIF($E123:R123,"u")+COUNTIF($E123:R123,"t")+COUNTIF($E123:R123,"¶")+COUNTIF($E123:R123,"²")+COUNTIF($E123:R123,"µ")+COUNTIF($E123:R123,1),ColDescriptionCourte)),""),
  "")),"")</f>
        <v/>
      </c>
      <c r="T123" s="40" t="str">
        <f ca="1">IFERROR(IF(AND(
  INDEX(Roadmap!$D:$K,MATCH($E123,Roadmap!$D:$D,0)+COUNTIF($E123:S123,"u")+COUNTIF($E123:S123,"t")+COUNTIF($E123:S123,"¶")+COUNTIF($E123:S123,"²")+COUNTIF($E123:S123,"µ")+COUNTIF($E123:S123,1),ColLivraison)=T$6,
  VLOOKUP($E123,INDIRECT("tri!"&amp; CHAR(64+ C0Col) &amp;":"&amp; CHAR(65+C0Col)),2,FALSE)&gt;COUNTIF($E123:S123,"u")+COUNTIF($E123:S123,"t")+COUNTIF($E123:S123,"¶")+COUNTIF($E123:S123,"²")+COUNTIF($E123:S123,"µ")+COUNTIF($E123:S123,1)),
HYPERLINK("#Roadmap!C"&amp; MATCH($E123,Roadmap!$D:$D,0)+COUNTIF($E123:S123,"u")+COUNTIF($E123:S123,"t"),
     INDEX(Roadmap!$D:$K,MATCH($E123,Roadmap!$D:$D,0)+COUNTIF($E123:S123,"u")+COUNTIF($E123:S123,"t")+COUNTIF($E123:S123,"¶")+COUNTIF($E123:S123,"²")+COUNTIF($E123:S123,"µ")+COUNTIF($E123:S123,1),ColTypeEcheance)),
  IF(LEN(S123)=1,
  IF(LEN(INDEX(Roadmap!$D:$K,MATCH($E123,Roadmap!$D:$D,0)-1+COUNTIF($E123:S123,"u")+COUNTIF($E123:S123,"t")+COUNTIF($E123:S123,"¶")+COUNTIF($E123:S123,"²")+COUNTIF($E123:S123,"µ")+COUNTIF($E123:S123,1),ColDescriptionCourte))&gt;1,
HYPERLINK("#Roadmap!C"&amp; MATCH($E123,Roadmap!$D:$D,0)+COUNTIF($E123:S123,"u")+COUNTIF($E123:S123,"t")+COUNTIF($E123:S123,"¶")+COUNTIF($E123:S123,"²")+COUNTIF($E123:S123,"µ")+COUNTIF($E123:S123,1)-1,INDEX(Roadmap!$D:$K,MATCH($E123,Roadmap!$D:$D,0)-1+COUNTIF($E123:S123,"u")+COUNTIF($E123:S123,"t")+COUNTIF($E123:S123,"¶")+COUNTIF($E123:S123,"²")+COUNTIF($E123:S123,"µ")+COUNTIF($E123:S123,1),ColDescriptionCourte)),""),
  "")),"")</f>
        <v/>
      </c>
      <c r="U123" s="40" t="str">
        <f ca="1">IFERROR(IF(AND(
  INDEX(Roadmap!$D:$K,MATCH($E123,Roadmap!$D:$D,0)+COUNTIF($E123:T123,"u")+COUNTIF($E123:T123,"t")+COUNTIF($E123:T123,"¶")+COUNTIF($E123:T123,"²")+COUNTIF($E123:T123,"µ")+COUNTIF($E123:T123,1),ColLivraison)=U$6,
  VLOOKUP($E123,INDIRECT("tri!"&amp; CHAR(64+ C0Col) &amp;":"&amp; CHAR(65+C0Col)),2,FALSE)&gt;COUNTIF($E123:T123,"u")+COUNTIF($E123:T123,"t")+COUNTIF($E123:T123,"¶")+COUNTIF($E123:T123,"²")+COUNTIF($E123:T123,"µ")+COUNTIF($E123:T123,1)),
HYPERLINK("#Roadmap!C"&amp; MATCH($E123,Roadmap!$D:$D,0)+COUNTIF($E123:T123,"u")+COUNTIF($E123:T123,"t"),
     INDEX(Roadmap!$D:$K,MATCH($E123,Roadmap!$D:$D,0)+COUNTIF($E123:T123,"u")+COUNTIF($E123:T123,"t")+COUNTIF($E123:T123,"¶")+COUNTIF($E123:T123,"²")+COUNTIF($E123:T123,"µ")+COUNTIF($E123:T123,1),ColTypeEcheance)),
  IF(LEN(T123)=1,
  IF(LEN(INDEX(Roadmap!$D:$K,MATCH($E123,Roadmap!$D:$D,0)-1+COUNTIF($E123:T123,"u")+COUNTIF($E123:T123,"t")+COUNTIF($E123:T123,"¶")+COUNTIF($E123:T123,"²")+COUNTIF($E123:T123,"µ")+COUNTIF($E123:T123,1),ColDescriptionCourte))&gt;1,
HYPERLINK("#Roadmap!C"&amp; MATCH($E123,Roadmap!$D:$D,0)+COUNTIF($E123:T123,"u")+COUNTIF($E123:T123,"t")+COUNTIF($E123:T123,"¶")+COUNTIF($E123:T123,"²")+COUNTIF($E123:T123,"µ")+COUNTIF($E123:T123,1)-1,INDEX(Roadmap!$D:$K,MATCH($E123,Roadmap!$D:$D,0)-1+COUNTIF($E123:T123,"u")+COUNTIF($E123:T123,"t")+COUNTIF($E123:T123,"¶")+COUNTIF($E123:T123,"²")+COUNTIF($E123:T123,"µ")+COUNTIF($E123:T123,1),ColDescriptionCourte)),""),
  "")),"")</f>
        <v/>
      </c>
      <c r="V123" s="40" t="str">
        <f ca="1">IFERROR(IF(AND(
  INDEX(Roadmap!$D:$K,MATCH($E123,Roadmap!$D:$D,0)+COUNTIF($E123:U123,"u")+COUNTIF($E123:U123,"t")+COUNTIF($E123:U123,"¶")+COUNTIF($E123:U123,"²")+COUNTIF($E123:U123,"µ")+COUNTIF($E123:U123,1),ColLivraison)=V$6,
  VLOOKUP($E123,INDIRECT("tri!"&amp; CHAR(64+ C0Col) &amp;":"&amp; CHAR(65+C0Col)),2,FALSE)&gt;COUNTIF($E123:U123,"u")+COUNTIF($E123:U123,"t")+COUNTIF($E123:U123,"¶")+COUNTIF($E123:U123,"²")+COUNTIF($E123:U123,"µ")+COUNTIF($E123:U123,1)),
HYPERLINK("#Roadmap!C"&amp; MATCH($E123,Roadmap!$D:$D,0)+COUNTIF($E123:U123,"u")+COUNTIF($E123:U123,"t"),
     INDEX(Roadmap!$D:$K,MATCH($E123,Roadmap!$D:$D,0)+COUNTIF($E123:U123,"u")+COUNTIF($E123:U123,"t")+COUNTIF($E123:U123,"¶")+COUNTIF($E123:U123,"²")+COUNTIF($E123:U123,"µ")+COUNTIF($E123:U123,1),ColTypeEcheance)),
  IF(LEN(U123)=1,
  IF(LEN(INDEX(Roadmap!$D:$K,MATCH($E123,Roadmap!$D:$D,0)-1+COUNTIF($E123:U123,"u")+COUNTIF($E123:U123,"t")+COUNTIF($E123:U123,"¶")+COUNTIF($E123:U123,"²")+COUNTIF($E123:U123,"µ")+COUNTIF($E123:U123,1),ColDescriptionCourte))&gt;1,
HYPERLINK("#Roadmap!C"&amp; MATCH($E123,Roadmap!$D:$D,0)+COUNTIF($E123:U123,"u")+COUNTIF($E123:U123,"t")+COUNTIF($E123:U123,"¶")+COUNTIF($E123:U123,"²")+COUNTIF($E123:U123,"µ")+COUNTIF($E123:U123,1)-1,INDEX(Roadmap!$D:$K,MATCH($E123,Roadmap!$D:$D,0)-1+COUNTIF($E123:U123,"u")+COUNTIF($E123:U123,"t")+COUNTIF($E123:U123,"¶")+COUNTIF($E123:U123,"²")+COUNTIF($E123:U123,"µ")+COUNTIF($E123:U123,1),ColDescriptionCourte)),""),
  "")),"")</f>
        <v/>
      </c>
      <c r="W123" s="40" t="str">
        <f ca="1">IFERROR(IF(AND(
  INDEX(Roadmap!$D:$K,MATCH($E123,Roadmap!$D:$D,0)+COUNTIF($E123:V123,"u")+COUNTIF($E123:V123,"t")+COUNTIF($E123:V123,"¶")+COUNTIF($E123:V123,"²")+COUNTIF($E123:V123,"µ")+COUNTIF($E123:V123,1),ColLivraison)=W$6,
  VLOOKUP($E123,INDIRECT("tri!"&amp; CHAR(64+ C0Col) &amp;":"&amp; CHAR(65+C0Col)),2,FALSE)&gt;COUNTIF($E123:V123,"u")+COUNTIF($E123:V123,"t")+COUNTIF($E123:V123,"¶")+COUNTIF($E123:V123,"²")+COUNTIF($E123:V123,"µ")+COUNTIF($E123:V123,1)),
HYPERLINK("#Roadmap!C"&amp; MATCH($E123,Roadmap!$D:$D,0)+COUNTIF($E123:V123,"u")+COUNTIF($E123:V123,"t"),
     INDEX(Roadmap!$D:$K,MATCH($E123,Roadmap!$D:$D,0)+COUNTIF($E123:V123,"u")+COUNTIF($E123:V123,"t")+COUNTIF($E123:V123,"¶")+COUNTIF($E123:V123,"²")+COUNTIF($E123:V123,"µ")+COUNTIF($E123:V123,1),ColTypeEcheance)),
  IF(LEN(V123)=1,
  IF(LEN(INDEX(Roadmap!$D:$K,MATCH($E123,Roadmap!$D:$D,0)-1+COUNTIF($E123:V123,"u")+COUNTIF($E123:V123,"t")+COUNTIF($E123:V123,"¶")+COUNTIF($E123:V123,"²")+COUNTIF($E123:V123,"µ")+COUNTIF($E123:V123,1),ColDescriptionCourte))&gt;1,
HYPERLINK("#Roadmap!C"&amp; MATCH($E123,Roadmap!$D:$D,0)+COUNTIF($E123:V123,"u")+COUNTIF($E123:V123,"t")+COUNTIF($E123:V123,"¶")+COUNTIF($E123:V123,"²")+COUNTIF($E123:V123,"µ")+COUNTIF($E123:V123,1)-1,INDEX(Roadmap!$D:$K,MATCH($E123,Roadmap!$D:$D,0)-1+COUNTIF($E123:V123,"u")+COUNTIF($E123:V123,"t")+COUNTIF($E123:V123,"¶")+COUNTIF($E123:V123,"²")+COUNTIF($E123:V123,"µ")+COUNTIF($E123:V123,1),ColDescriptionCourte)),""),
  "")),"")</f>
        <v/>
      </c>
      <c r="X123" s="40" t="str">
        <f ca="1">IFERROR(IF(AND(
  INDEX(Roadmap!$D:$K,MATCH($E123,Roadmap!$D:$D,0)+COUNTIF($E123:W123,"u")+COUNTIF($E123:W123,"t")+COUNTIF($E123:W123,"¶")+COUNTIF($E123:W123,"²")+COUNTIF($E123:W123,"µ")+COUNTIF($E123:W123,1),ColLivraison)=X$6,
  VLOOKUP($E123,INDIRECT("tri!"&amp; CHAR(64+ C0Col) &amp;":"&amp; CHAR(65+C0Col)),2,FALSE)&gt;COUNTIF($E123:W123,"u")+COUNTIF($E123:W123,"t")+COUNTIF($E123:W123,"¶")+COUNTIF($E123:W123,"²")+COUNTIF($E123:W123,"µ")+COUNTIF($E123:W123,1)),
HYPERLINK("#Roadmap!C"&amp; MATCH($E123,Roadmap!$D:$D,0)+COUNTIF($E123:W123,"u")+COUNTIF($E123:W123,"t"),
     INDEX(Roadmap!$D:$K,MATCH($E123,Roadmap!$D:$D,0)+COUNTIF($E123:W123,"u")+COUNTIF($E123:W123,"t")+COUNTIF($E123:W123,"¶")+COUNTIF($E123:W123,"²")+COUNTIF($E123:W123,"µ")+COUNTIF($E123:W123,1),ColTypeEcheance)),
  IF(LEN(W123)=1,
  IF(LEN(INDEX(Roadmap!$D:$K,MATCH($E123,Roadmap!$D:$D,0)-1+COUNTIF($E123:W123,"u")+COUNTIF($E123:W123,"t")+COUNTIF($E123:W123,"¶")+COUNTIF($E123:W123,"²")+COUNTIF($E123:W123,"µ")+COUNTIF($E123:W123,1),ColDescriptionCourte))&gt;1,
HYPERLINK("#Roadmap!C"&amp; MATCH($E123,Roadmap!$D:$D,0)+COUNTIF($E123:W123,"u")+COUNTIF($E123:W123,"t")+COUNTIF($E123:W123,"¶")+COUNTIF($E123:W123,"²")+COUNTIF($E123:W123,"µ")+COUNTIF($E123:W123,1)-1,INDEX(Roadmap!$D:$K,MATCH($E123,Roadmap!$D:$D,0)-1+COUNTIF($E123:W123,"u")+COUNTIF($E123:W123,"t")+COUNTIF($E123:W123,"¶")+COUNTIF($E123:W123,"²")+COUNTIF($E123:W123,"µ")+COUNTIF($E123:W123,1),ColDescriptionCourte)),""),
  "")),"")</f>
        <v/>
      </c>
      <c r="Y123" s="40" t="str">
        <f ca="1">IFERROR(IF(AND(
  INDEX(Roadmap!$D:$K,MATCH($E123,Roadmap!$D:$D,0)+COUNTIF($E123:X123,"u")+COUNTIF($E123:X123,"t")+COUNTIF($E123:X123,"¶")+COUNTIF($E123:X123,"²")+COUNTIF($E123:X123,"µ")+COUNTIF($E123:X123,1),ColLivraison)=Y$6,
  VLOOKUP($E123,INDIRECT("tri!"&amp; CHAR(64+ C0Col) &amp;":"&amp; CHAR(65+C0Col)),2,FALSE)&gt;COUNTIF($E123:X123,"u")+COUNTIF($E123:X123,"t")+COUNTIF($E123:X123,"¶")+COUNTIF($E123:X123,"²")+COUNTIF($E123:X123,"µ")+COUNTIF($E123:X123,1)),
HYPERLINK("#Roadmap!C"&amp; MATCH($E123,Roadmap!$D:$D,0)+COUNTIF($E123:X123,"u")+COUNTIF($E123:X123,"t"),
     INDEX(Roadmap!$D:$K,MATCH($E123,Roadmap!$D:$D,0)+COUNTIF($E123:X123,"u")+COUNTIF($E123:X123,"t")+COUNTIF($E123:X123,"¶")+COUNTIF($E123:X123,"²")+COUNTIF($E123:X123,"µ")+COUNTIF($E123:X123,1),ColTypeEcheance)),
  IF(LEN(X123)=1,
  IF(LEN(INDEX(Roadmap!$D:$K,MATCH($E123,Roadmap!$D:$D,0)-1+COUNTIF($E123:X123,"u")+COUNTIF($E123:X123,"t")+COUNTIF($E123:X123,"¶")+COUNTIF($E123:X123,"²")+COUNTIF($E123:X123,"µ")+COUNTIF($E123:X123,1),ColDescriptionCourte))&gt;1,
HYPERLINK("#Roadmap!C"&amp; MATCH($E123,Roadmap!$D:$D,0)+COUNTIF($E123:X123,"u")+COUNTIF($E123:X123,"t")+COUNTIF($E123:X123,"¶")+COUNTIF($E123:X123,"²")+COUNTIF($E123:X123,"µ")+COUNTIF($E123:X123,1)-1,INDEX(Roadmap!$D:$K,MATCH($E123,Roadmap!$D:$D,0)-1+COUNTIF($E123:X123,"u")+COUNTIF($E123:X123,"t")+COUNTIF($E123:X123,"¶")+COUNTIF($E123:X123,"²")+COUNTIF($E123:X123,"µ")+COUNTIF($E123:X123,1),ColDescriptionCourte)),""),
  "")),"")</f>
        <v/>
      </c>
      <c r="Z123" s="40" t="str">
        <f ca="1">IFERROR(IF(AND(
  INDEX(Roadmap!$D:$K,MATCH($E123,Roadmap!$D:$D,0)+COUNTIF($E123:Y123,"u")+COUNTIF($E123:Y123,"t")+COUNTIF($E123:Y123,"¶")+COUNTIF($E123:Y123,"²")+COUNTIF($E123:Y123,"µ")+COUNTIF($E123:Y123,1),ColLivraison)=Z$6,
  VLOOKUP($E123,INDIRECT("tri!"&amp; CHAR(64+ C0Col) &amp;":"&amp; CHAR(65+C0Col)),2,FALSE)&gt;COUNTIF($E123:Y123,"u")+COUNTIF($E123:Y123,"t")+COUNTIF($E123:Y123,"¶")+COUNTIF($E123:Y123,"²")+COUNTIF($E123:Y123,"µ")+COUNTIF($E123:Y123,1)),
HYPERLINK("#Roadmap!C"&amp; MATCH($E123,Roadmap!$D:$D,0)+COUNTIF($E123:Y123,"u")+COUNTIF($E123:Y123,"t"),
     INDEX(Roadmap!$D:$K,MATCH($E123,Roadmap!$D:$D,0)+COUNTIF($E123:Y123,"u")+COUNTIF($E123:Y123,"t")+COUNTIF($E123:Y123,"¶")+COUNTIF($E123:Y123,"²")+COUNTIF($E123:Y123,"µ")+COUNTIF($E123:Y123,1),ColTypeEcheance)),
  IF(LEN(Y123)=1,
  IF(LEN(INDEX(Roadmap!$D:$K,MATCH($E123,Roadmap!$D:$D,0)-1+COUNTIF($E123:Y123,"u")+COUNTIF($E123:Y123,"t")+COUNTIF($E123:Y123,"¶")+COUNTIF($E123:Y123,"²")+COUNTIF($E123:Y123,"µ")+COUNTIF($E123:Y123,1),ColDescriptionCourte))&gt;1,
HYPERLINK("#Roadmap!C"&amp; MATCH($E123,Roadmap!$D:$D,0)+COUNTIF($E123:Y123,"u")+COUNTIF($E123:Y123,"t")+COUNTIF($E123:Y123,"¶")+COUNTIF($E123:Y123,"²")+COUNTIF($E123:Y123,"µ")+COUNTIF($E123:Y123,1)-1,INDEX(Roadmap!$D:$K,MATCH($E123,Roadmap!$D:$D,0)-1+COUNTIF($E123:Y123,"u")+COUNTIF($E123:Y123,"t")+COUNTIF($E123:Y123,"¶")+COUNTIF($E123:Y123,"²")+COUNTIF($E123:Y123,"µ")+COUNTIF($E123:Y123,1),ColDescriptionCourte)),""),
  "")),"")</f>
        <v/>
      </c>
      <c r="AA123" s="40" t="str">
        <f ca="1">IFERROR(IF(AND(
  INDEX(Roadmap!$D:$K,MATCH($E123,Roadmap!$D:$D,0)+COUNTIF($E123:Z123,"u")+COUNTIF($E123:Z123,"t")+COUNTIF($E123:Z123,"¶")+COUNTIF($E123:Z123,"²")+COUNTIF($E123:Z123,"µ")+COUNTIF($E123:Z123,1),ColLivraison)=AA$6,
  VLOOKUP($E123,INDIRECT("tri!"&amp; CHAR(64+ C0Col) &amp;":"&amp; CHAR(65+C0Col)),2,FALSE)&gt;COUNTIF($E123:Z123,"u")+COUNTIF($E123:Z123,"t")+COUNTIF($E123:Z123,"¶")+COUNTIF($E123:Z123,"²")+COUNTIF($E123:Z123,"µ")+COUNTIF($E123:Z123,1)),
HYPERLINK("#Roadmap!C"&amp; MATCH($E123,Roadmap!$D:$D,0)+COUNTIF($E123:Z123,"u")+COUNTIF($E123:Z123,"t"),
     INDEX(Roadmap!$D:$K,MATCH($E123,Roadmap!$D:$D,0)+COUNTIF($E123:Z123,"u")+COUNTIF($E123:Z123,"t")+COUNTIF($E123:Z123,"¶")+COUNTIF($E123:Z123,"²")+COUNTIF($E123:Z123,"µ")+COUNTIF($E123:Z123,1),ColTypeEcheance)),
  IF(LEN(Z123)=1,
  IF(LEN(INDEX(Roadmap!$D:$K,MATCH($E123,Roadmap!$D:$D,0)-1+COUNTIF($E123:Z123,"u")+COUNTIF($E123:Z123,"t")+COUNTIF($E123:Z123,"¶")+COUNTIF($E123:Z123,"²")+COUNTIF($E123:Z123,"µ")+COUNTIF($E123:Z123,1),ColDescriptionCourte))&gt;1,
HYPERLINK("#Roadmap!C"&amp; MATCH($E123,Roadmap!$D:$D,0)+COUNTIF($E123:Z123,"u")+COUNTIF($E123:Z123,"t")+COUNTIF($E123:Z123,"¶")+COUNTIF($E123:Z123,"²")+COUNTIF($E123:Z123,"µ")+COUNTIF($E123:Z123,1)-1,INDEX(Roadmap!$D:$K,MATCH($E123,Roadmap!$D:$D,0)-1+COUNTIF($E123:Z123,"u")+COUNTIF($E123:Z123,"t")+COUNTIF($E123:Z123,"¶")+COUNTIF($E123:Z123,"²")+COUNTIF($E123:Z123,"µ")+COUNTIF($E123:Z123,1),ColDescriptionCourte)),""),
  "")),"")</f>
        <v/>
      </c>
      <c r="AB123" s="40" t="str">
        <f ca="1">IFERROR(IF(AND(
  INDEX(Roadmap!$D:$K,MATCH($E123,Roadmap!$D:$D,0)+COUNTIF($E123:AA123,"u")+COUNTIF($E123:AA123,"t")+COUNTIF($E123:AA123,"¶")+COUNTIF($E123:AA123,"²")+COUNTIF($E123:AA123,"µ")+COUNTIF($E123:AA123,1),ColLivraison)=AB$6,
  VLOOKUP($E123,INDIRECT("tri!"&amp; CHAR(64+ C0Col) &amp;":"&amp; CHAR(65+C0Col)),2,FALSE)&gt;COUNTIF($E123:AA123,"u")+COUNTIF($E123:AA123,"t")+COUNTIF($E123:AA123,"¶")+COUNTIF($E123:AA123,"²")+COUNTIF($E123:AA123,"µ")+COUNTIF($E123:AA123,1)),
HYPERLINK("#Roadmap!C"&amp; MATCH($E123,Roadmap!$D:$D,0)+COUNTIF($E123:AA123,"u")+COUNTIF($E123:AA123,"t"),
     INDEX(Roadmap!$D:$K,MATCH($E123,Roadmap!$D:$D,0)+COUNTIF($E123:AA123,"u")+COUNTIF($E123:AA123,"t")+COUNTIF($E123:AA123,"¶")+COUNTIF($E123:AA123,"²")+COUNTIF($E123:AA123,"µ")+COUNTIF($E123:AA123,1),ColTypeEcheance)),
  IF(LEN(AA123)=1,
  IF(LEN(INDEX(Roadmap!$D:$K,MATCH($E123,Roadmap!$D:$D,0)-1+COUNTIF($E123:AA123,"u")+COUNTIF($E123:AA123,"t")+COUNTIF($E123:AA123,"¶")+COUNTIF($E123:AA123,"²")+COUNTIF($E123:AA123,"µ")+COUNTIF($E123:AA123,1),ColDescriptionCourte))&gt;1,
HYPERLINK("#Roadmap!C"&amp; MATCH($E123,Roadmap!$D:$D,0)+COUNTIF($E123:AA123,"u")+COUNTIF($E123:AA123,"t")+COUNTIF($E123:AA123,"¶")+COUNTIF($E123:AA123,"²")+COUNTIF($E123:AA123,"µ")+COUNTIF($E123:AA123,1)-1,INDEX(Roadmap!$D:$K,MATCH($E123,Roadmap!$D:$D,0)-1+COUNTIF($E123:AA123,"u")+COUNTIF($E123:AA123,"t")+COUNTIF($E123:AA123,"¶")+COUNTIF($E123:AA123,"²")+COUNTIF($E123:AA123,"µ")+COUNTIF($E123:AA123,1),ColDescriptionCourte)),""),
  "")),"")</f>
        <v/>
      </c>
      <c r="AC123" s="40" t="str">
        <f ca="1">IFERROR(IF(AND(
  INDEX(Roadmap!$D:$K,MATCH($E123,Roadmap!$D:$D,0)+COUNTIF($E123:AB123,"u")+COUNTIF($E123:AB123,"t")+COUNTIF($E123:AB123,"¶")+COUNTIF($E123:AB123,"²")+COUNTIF($E123:AB123,"µ")+COUNTIF($E123:AB123,1),ColLivraison)=AC$6,
  VLOOKUP($E123,INDIRECT("tri!"&amp; CHAR(64+ C0Col) &amp;":"&amp; CHAR(65+C0Col)),2,FALSE)&gt;COUNTIF($E123:AB123,"u")+COUNTIF($E123:AB123,"t")+COUNTIF($E123:AB123,"¶")+COUNTIF($E123:AB123,"²")+COUNTIF($E123:AB123,"µ")+COUNTIF($E123:AB123,1)),
HYPERLINK("#Roadmap!C"&amp; MATCH($E123,Roadmap!$D:$D,0)+COUNTIF($E123:AB123,"u")+COUNTIF($E123:AB123,"t"),
     INDEX(Roadmap!$D:$K,MATCH($E123,Roadmap!$D:$D,0)+COUNTIF($E123:AB123,"u")+COUNTIF($E123:AB123,"t")+COUNTIF($E123:AB123,"¶")+COUNTIF($E123:AB123,"²")+COUNTIF($E123:AB123,"µ")+COUNTIF($E123:AB123,1),ColTypeEcheance)),
  IF(LEN(AB123)=1,
  IF(LEN(INDEX(Roadmap!$D:$K,MATCH($E123,Roadmap!$D:$D,0)-1+COUNTIF($E123:AB123,"u")+COUNTIF($E123:AB123,"t")+COUNTIF($E123:AB123,"¶")+COUNTIF($E123:AB123,"²")+COUNTIF($E123:AB123,"µ")+COUNTIF($E123:AB123,1),ColDescriptionCourte))&gt;1,
HYPERLINK("#Roadmap!C"&amp; MATCH($E123,Roadmap!$D:$D,0)+COUNTIF($E123:AB123,"u")+COUNTIF($E123:AB123,"t")+COUNTIF($E123:AB123,"¶")+COUNTIF($E123:AB123,"²")+COUNTIF($E123:AB123,"µ")+COUNTIF($E123:AB123,1)-1,INDEX(Roadmap!$D:$K,MATCH($E123,Roadmap!$D:$D,0)-1+COUNTIF($E123:AB123,"u")+COUNTIF($E123:AB123,"t")+COUNTIF($E123:AB123,"¶")+COUNTIF($E123:AB123,"²")+COUNTIF($E123:AB123,"µ")+COUNTIF($E123:AB123,1),ColDescriptionCourte)),""),
  "")),"")</f>
        <v/>
      </c>
      <c r="AD123" s="40" t="str">
        <f ca="1">IFERROR(IF(AND(
  INDEX(Roadmap!$D:$K,MATCH($E123,Roadmap!$D:$D,0)+COUNTIF($E123:AC123,"u")+COUNTIF($E123:AC123,"t")+COUNTIF($E123:AC123,"¶")+COUNTIF($E123:AC123,"²")+COUNTIF($E123:AC123,"µ")+COUNTIF($E123:AC123,1),ColLivraison)=AD$6,
  VLOOKUP($E123,INDIRECT("tri!"&amp; CHAR(64+ C0Col) &amp;":"&amp; CHAR(65+C0Col)),2,FALSE)&gt;COUNTIF($E123:AC123,"u")+COUNTIF($E123:AC123,"t")+COUNTIF($E123:AC123,"¶")+COUNTIF($E123:AC123,"²")+COUNTIF($E123:AC123,"µ")+COUNTIF($E123:AC123,1)),
HYPERLINK("#Roadmap!C"&amp; MATCH($E123,Roadmap!$D:$D,0)+COUNTIF($E123:AC123,"u")+COUNTIF($E123:AC123,"t"),
     INDEX(Roadmap!$D:$K,MATCH($E123,Roadmap!$D:$D,0)+COUNTIF($E123:AC123,"u")+COUNTIF($E123:AC123,"t")+COUNTIF($E123:AC123,"¶")+COUNTIF($E123:AC123,"²")+COUNTIF($E123:AC123,"µ")+COUNTIF($E123:AC123,1),ColTypeEcheance)),
  IF(LEN(AC123)=1,
  IF(LEN(INDEX(Roadmap!$D:$K,MATCH($E123,Roadmap!$D:$D,0)-1+COUNTIF($E123:AC123,"u")+COUNTIF($E123:AC123,"t")+COUNTIF($E123:AC123,"¶")+COUNTIF($E123:AC123,"²")+COUNTIF($E123:AC123,"µ")+COUNTIF($E123:AC123,1),ColDescriptionCourte))&gt;1,
HYPERLINK("#Roadmap!C"&amp; MATCH($E123,Roadmap!$D:$D,0)+COUNTIF($E123:AC123,"u")+COUNTIF($E123:AC123,"t")+COUNTIF($E123:AC123,"¶")+COUNTIF($E123:AC123,"²")+COUNTIF($E123:AC123,"µ")+COUNTIF($E123:AC123,1)-1,INDEX(Roadmap!$D:$K,MATCH($E123,Roadmap!$D:$D,0)-1+COUNTIF($E123:AC123,"u")+COUNTIF($E123:AC123,"t")+COUNTIF($E123:AC123,"¶")+COUNTIF($E123:AC123,"²")+COUNTIF($E123:AC123,"µ")+COUNTIF($E123:AC123,1),ColDescriptionCourte)),""),
  "")),"")</f>
        <v/>
      </c>
      <c r="AE123" s="40" t="str">
        <f ca="1">IFERROR(IF(AND(
  INDEX(Roadmap!$D:$K,MATCH($E123,Roadmap!$D:$D,0)+COUNTIF($E123:AD123,"u")+COUNTIF($E123:AD123,"t")+COUNTIF($E123:AD123,"¶")+COUNTIF($E123:AD123,"²")+COUNTIF($E123:AD123,"µ")+COUNTIF($E123:AD123,1),ColLivraison)=AE$6,
  VLOOKUP($E123,INDIRECT("tri!"&amp; CHAR(64+ C0Col) &amp;":"&amp; CHAR(65+C0Col)),2,FALSE)&gt;COUNTIF($E123:AD123,"u")+COUNTIF($E123:AD123,"t")+COUNTIF($E123:AD123,"¶")+COUNTIF($E123:AD123,"²")+COUNTIF($E123:AD123,"µ")+COUNTIF($E123:AD123,1)),
HYPERLINK("#Roadmap!C"&amp; MATCH($E123,Roadmap!$D:$D,0)+COUNTIF($E123:AD123,"u")+COUNTIF($E123:AD123,"t"),
     INDEX(Roadmap!$D:$K,MATCH($E123,Roadmap!$D:$D,0)+COUNTIF($E123:AD123,"u")+COUNTIF($E123:AD123,"t")+COUNTIF($E123:AD123,"¶")+COUNTIF($E123:AD123,"²")+COUNTIF($E123:AD123,"µ")+COUNTIF($E123:AD123,1),ColTypeEcheance)),
  IF(LEN(AD123)=1,
  IF(LEN(INDEX(Roadmap!$D:$K,MATCH($E123,Roadmap!$D:$D,0)-1+COUNTIF($E123:AD123,"u")+COUNTIF($E123:AD123,"t")+COUNTIF($E123:AD123,"¶")+COUNTIF($E123:AD123,"²")+COUNTIF($E123:AD123,"µ")+COUNTIF($E123:AD123,1),ColDescriptionCourte))&gt;1,
HYPERLINK("#Roadmap!C"&amp; MATCH($E123,Roadmap!$D:$D,0)+COUNTIF($E123:AD123,"u")+COUNTIF($E123:AD123,"t")+COUNTIF($E123:AD123,"¶")+COUNTIF($E123:AD123,"²")+COUNTIF($E123:AD123,"µ")+COUNTIF($E123:AD123,1)-1,INDEX(Roadmap!$D:$K,MATCH($E123,Roadmap!$D:$D,0)-1+COUNTIF($E123:AD123,"u")+COUNTIF($E123:AD123,"t")+COUNTIF($E123:AD123,"¶")+COUNTIF($E123:AD123,"²")+COUNTIF($E123:AD123,"µ")+COUNTIF($E123:AD123,1),ColDescriptionCourte)),""),
  "")),"")</f>
        <v/>
      </c>
      <c r="AF123" s="40" t="str">
        <f ca="1">IFERROR(IF(AND(
  INDEX(Roadmap!$D:$K,MATCH($E123,Roadmap!$D:$D,0)+COUNTIF($E123:AE123,"u")+COUNTIF($E123:AE123,"t")+COUNTIF($E123:AE123,"¶")+COUNTIF($E123:AE123,"²")+COUNTIF($E123:AE123,"µ")+COUNTIF($E123:AE123,1),ColLivraison)=AF$6,
  VLOOKUP($E123,INDIRECT("tri!"&amp; CHAR(64+ C0Col) &amp;":"&amp; CHAR(65+C0Col)),2,FALSE)&gt;COUNTIF($E123:AE123,"u")+COUNTIF($E123:AE123,"t")+COUNTIF($E123:AE123,"¶")+COUNTIF($E123:AE123,"²")+COUNTIF($E123:AE123,"µ")+COUNTIF($E123:AE123,1)),
HYPERLINK("#Roadmap!C"&amp; MATCH($E123,Roadmap!$D:$D,0)+COUNTIF($E123:AE123,"u")+COUNTIF($E123:AE123,"t"),
     INDEX(Roadmap!$D:$K,MATCH($E123,Roadmap!$D:$D,0)+COUNTIF($E123:AE123,"u")+COUNTIF($E123:AE123,"t")+COUNTIF($E123:AE123,"¶")+COUNTIF($E123:AE123,"²")+COUNTIF($E123:AE123,"µ")+COUNTIF($E123:AE123,1),ColTypeEcheance)),
  IF(LEN(AE123)=1,
  IF(LEN(INDEX(Roadmap!$D:$K,MATCH($E123,Roadmap!$D:$D,0)-1+COUNTIF($E123:AE123,"u")+COUNTIF($E123:AE123,"t")+COUNTIF($E123:AE123,"¶")+COUNTIF($E123:AE123,"²")+COUNTIF($E123:AE123,"µ")+COUNTIF($E123:AE123,1),ColDescriptionCourte))&gt;1,
HYPERLINK("#Roadmap!C"&amp; MATCH($E123,Roadmap!$D:$D,0)+COUNTIF($E123:AE123,"u")+COUNTIF($E123:AE123,"t")+COUNTIF($E123:AE123,"¶")+COUNTIF($E123:AE123,"²")+COUNTIF($E123:AE123,"µ")+COUNTIF($E123:AE123,1)-1,INDEX(Roadmap!$D:$K,MATCH($E123,Roadmap!$D:$D,0)-1+COUNTIF($E123:AE123,"u")+COUNTIF($E123:AE123,"t")+COUNTIF($E123:AE123,"¶")+COUNTIF($E123:AE123,"²")+COUNTIF($E123:AE123,"µ")+COUNTIF($E123:AE123,1),ColDescriptionCourte)),""),
  "")),"")</f>
        <v/>
      </c>
      <c r="AG123" s="40" t="str">
        <f ca="1">IFERROR(IF(AND(
  INDEX(Roadmap!$D:$K,MATCH($E123,Roadmap!$D:$D,0)+COUNTIF($E123:AF123,"u")+COUNTIF($E123:AF123,"t")+COUNTIF($E123:AF123,"¶")+COUNTIF($E123:AF123,"²")+COUNTIF($E123:AF123,"µ")+COUNTIF($E123:AF123,1),ColLivraison)=AG$6,
  VLOOKUP($E123,INDIRECT("tri!"&amp; CHAR(64+ C0Col) &amp;":"&amp; CHAR(65+C0Col)),2,FALSE)&gt;COUNTIF($E123:AF123,"u")+COUNTIF($E123:AF123,"t")+COUNTIF($E123:AF123,"¶")+COUNTIF($E123:AF123,"²")+COUNTIF($E123:AF123,"µ")+COUNTIF($E123:AF123,1)),
HYPERLINK("#Roadmap!C"&amp; MATCH($E123,Roadmap!$D:$D,0)+COUNTIF($E123:AF123,"u")+COUNTIF($E123:AF123,"t"),
     INDEX(Roadmap!$D:$K,MATCH($E123,Roadmap!$D:$D,0)+COUNTIF($E123:AF123,"u")+COUNTIF($E123:AF123,"t")+COUNTIF($E123:AF123,"¶")+COUNTIF($E123:AF123,"²")+COUNTIF($E123:AF123,"µ")+COUNTIF($E123:AF123,1),ColTypeEcheance)),
  IF(LEN(AF123)=1,
  IF(LEN(INDEX(Roadmap!$D:$K,MATCH($E123,Roadmap!$D:$D,0)-1+COUNTIF($E123:AF123,"u")+COUNTIF($E123:AF123,"t")+COUNTIF($E123:AF123,"¶")+COUNTIF($E123:AF123,"²")+COUNTIF($E123:AF123,"µ")+COUNTIF($E123:AF123,1),ColDescriptionCourte))&gt;1,
HYPERLINK("#Roadmap!C"&amp; MATCH($E123,Roadmap!$D:$D,0)+COUNTIF($E123:AF123,"u")+COUNTIF($E123:AF123,"t")+COUNTIF($E123:AF123,"¶")+COUNTIF($E123:AF123,"²")+COUNTIF($E123:AF123,"µ")+COUNTIF($E123:AF123,1)-1,INDEX(Roadmap!$D:$K,MATCH($E123,Roadmap!$D:$D,0)-1+COUNTIF($E123:AF123,"u")+COUNTIF($E123:AF123,"t")+COUNTIF($E123:AF123,"¶")+COUNTIF($E123:AF123,"²")+COUNTIF($E123:AF123,"µ")+COUNTIF($E123:AF123,1),ColDescriptionCourte)),""),
  "")),"")</f>
        <v/>
      </c>
    </row>
    <row r="124" spans="3:33" ht="14.25" customHeight="1">
      <c r="C124" s="1" t="str">
        <f t="shared" ca="1" si="49"/>
        <v/>
      </c>
      <c r="D124" s="1" t="str">
        <f t="shared" ca="1" si="50"/>
        <v/>
      </c>
      <c r="E124" s="35" t="str">
        <f t="shared" ca="1" si="46"/>
        <v/>
      </c>
      <c r="F124" s="39" t="str">
        <f ca="1">IFERROR(IF(AND(
  INDEX(Roadmap!$D:$K,MATCH($E124,Roadmap!$D:$D,0)+COUNTIF($E124:E124,"u")+COUNTIF($E124:E124,"t")+COUNTIF($E124:E124,"¶")+COUNTIF($E124:E124,"²")+COUNTIF($E124:E124,"µ")+COUNTIF($E124:E124,1),ColLivraison)=F$6,
  VLOOKUP($E124,INDIRECT("tri!"&amp; CHAR(64+ C0Col) &amp;":"&amp; CHAR(65+C0Col)),2,FALSE)&gt;COUNTIF($E124:E124,"u")+COUNTIF($E124:E124,"t")+COUNTIF($E124:E124,"¶")+COUNTIF($E124:E124,"²")+COUNTIF($E124:E124,"µ")+COUNTIF($E124:E124,1)),
HYPERLINK("#Roadmap!C"&amp; MATCH($E124,Roadmap!$D:$D,0)+COUNTIF($E124:E124,"u")+COUNTIF($E124:E124,"t"),
     INDEX(Roadmap!$D:$K,MATCH($E124,Roadmap!$D:$D,0)+COUNTIF($E124:E124,"u")+COUNTIF($E124:E124,"t")+COUNTIF($E124:E124,"¶")+COUNTIF($E124:E124,"²")+COUNTIF($E124:E124,"µ")+COUNTIF($E124:E124,1),ColTypeEcheance)),
  IF(LEN(E124)=1,
  IF(LEN(INDEX(Roadmap!$D:$K,MATCH($E124,Roadmap!$D:$D,0)-1+COUNTIF($E124:E124,"u")+COUNTIF($E124:E124,"t")+COUNTIF($E124:E124,"¶")+COUNTIF($E124:E124,"²")+COUNTIF($E124:E124,"µ")+COUNTIF($E124:E124,1),ColDescriptionCourte))&gt;1,
HYPERLINK("#Roadmap!C"&amp; MATCH($E124,Roadmap!$D:$D,0)+COUNTIF($E124:E124,"u")+COUNTIF($E124:E124,"t")+COUNTIF($E124:E124,"¶")+COUNTIF($E124:E124,"²")+COUNTIF($E124:E124,"µ")+COUNTIF($E124:E124,1)-1,INDEX(Roadmap!$D:$K,MATCH($E124,Roadmap!$D:$D,0)-1+COUNTIF($E124:E124,"u")+COUNTIF($E124:E124,"t")+COUNTIF($E124:E124,"¶")+COUNTIF($E124:E124,"²")+COUNTIF($E124:E124,"µ")+COUNTIF($E124:E124,1),ColDescriptionCourte)),""),
  "")),"")</f>
        <v/>
      </c>
      <c r="G124" s="40" t="str">
        <f ca="1">IFERROR(IF(AND(
  INDEX(Roadmap!$D:$K,MATCH($E124,Roadmap!$D:$D,0)+COUNTIF($E124:F124,"u")+COUNTIF($E124:F124,"t")+COUNTIF($E124:F124,"¶")+COUNTIF($E124:F124,"²")+COUNTIF($E124:F124,"µ")+COUNTIF($E124:F124,1),ColLivraison)=G$6,
  VLOOKUP($E124,INDIRECT("tri!"&amp; CHAR(64+ C0Col) &amp;":"&amp; CHAR(65+C0Col)),2,FALSE)&gt;COUNTIF($E124:F124,"u")+COUNTIF($E124:F124,"t")+COUNTIF($E124:F124,"¶")+COUNTIF($E124:F124,"²")+COUNTIF($E124:F124,"µ")+COUNTIF($E124:F124,1)),
HYPERLINK("#Roadmap!C"&amp; MATCH($E124,Roadmap!$D:$D,0)+COUNTIF($E124:F124,"u")+COUNTIF($E124:F124,"t"),
     INDEX(Roadmap!$D:$K,MATCH($E124,Roadmap!$D:$D,0)+COUNTIF($E124:F124,"u")+COUNTIF($E124:F124,"t")+COUNTIF($E124:F124,"¶")+COUNTIF($E124:F124,"²")+COUNTIF($E124:F124,"µ")+COUNTIF($E124:F124,1),ColTypeEcheance)),
  IF(LEN(F124)=1,
  IF(LEN(INDEX(Roadmap!$D:$K,MATCH($E124,Roadmap!$D:$D,0)-1+COUNTIF($E124:F124,"u")+COUNTIF($E124:F124,"t")+COUNTIF($E124:F124,"¶")+COUNTIF($E124:F124,"²")+COUNTIF($E124:F124,"µ")+COUNTIF($E124:F124,1),ColDescriptionCourte))&gt;1,
HYPERLINK("#Roadmap!C"&amp; MATCH($E124,Roadmap!$D:$D,0)+COUNTIF($E124:F124,"u")+COUNTIF($E124:F124,"t")+COUNTIF($E124:F124,"¶")+COUNTIF($E124:F124,"²")+COUNTIF($E124:F124,"µ")+COUNTIF($E124:F124,1)-1,INDEX(Roadmap!$D:$K,MATCH($E124,Roadmap!$D:$D,0)-1+COUNTIF($E124:F124,"u")+COUNTIF($E124:F124,"t")+COUNTIF($E124:F124,"¶")+COUNTIF($E124:F124,"²")+COUNTIF($E124:F124,"µ")+COUNTIF($E124:F124,1),ColDescriptionCourte)),""),
  "")),"")</f>
        <v/>
      </c>
      <c r="H124" s="40" t="str">
        <f ca="1">IFERROR(IF(AND(
  INDEX(Roadmap!$D:$K,MATCH($E124,Roadmap!$D:$D,0)+COUNTIF($E124:G124,"u")+COUNTIF($E124:G124,"t")+COUNTIF($E124:G124,"¶")+COUNTIF($E124:G124,"²")+COUNTIF($E124:G124,"µ")+COUNTIF($E124:G124,1),ColLivraison)=H$6,
  VLOOKUP($E124,INDIRECT("tri!"&amp; CHAR(64+ C0Col) &amp;":"&amp; CHAR(65+C0Col)),2,FALSE)&gt;COUNTIF($E124:G124,"u")+COUNTIF($E124:G124,"t")+COUNTIF($E124:G124,"¶")+COUNTIF($E124:G124,"²")+COUNTIF($E124:G124,"µ")+COUNTIF($E124:G124,1)),
HYPERLINK("#Roadmap!C"&amp; MATCH($E124,Roadmap!$D:$D,0)+COUNTIF($E124:G124,"u")+COUNTIF($E124:G124,"t"),
     INDEX(Roadmap!$D:$K,MATCH($E124,Roadmap!$D:$D,0)+COUNTIF($E124:G124,"u")+COUNTIF($E124:G124,"t")+COUNTIF($E124:G124,"¶")+COUNTIF($E124:G124,"²")+COUNTIF($E124:G124,"µ")+COUNTIF($E124:G124,1),ColTypeEcheance)),
  IF(LEN(G124)=1,
  IF(LEN(INDEX(Roadmap!$D:$K,MATCH($E124,Roadmap!$D:$D,0)-1+COUNTIF($E124:G124,"u")+COUNTIF($E124:G124,"t")+COUNTIF($E124:G124,"¶")+COUNTIF($E124:G124,"²")+COUNTIF($E124:G124,"µ")+COUNTIF($E124:G124,1),ColDescriptionCourte))&gt;1,
HYPERLINK("#Roadmap!C"&amp; MATCH($E124,Roadmap!$D:$D,0)+COUNTIF($E124:G124,"u")+COUNTIF($E124:G124,"t")+COUNTIF($E124:G124,"¶")+COUNTIF($E124:G124,"²")+COUNTIF($E124:G124,"µ")+COUNTIF($E124:G124,1)-1,INDEX(Roadmap!$D:$K,MATCH($E124,Roadmap!$D:$D,0)-1+COUNTIF($E124:G124,"u")+COUNTIF($E124:G124,"t")+COUNTIF($E124:G124,"¶")+COUNTIF($E124:G124,"²")+COUNTIF($E124:G124,"µ")+COUNTIF($E124:G124,1),ColDescriptionCourte)),""),
  "")),"")</f>
        <v/>
      </c>
      <c r="I124" s="40" t="str">
        <f ca="1">IFERROR(IF(AND(
  INDEX(Roadmap!$D:$K,MATCH($E124,Roadmap!$D:$D,0)+COUNTIF($E124:H124,"u")+COUNTIF($E124:H124,"t")+COUNTIF($E124:H124,"¶")+COUNTIF($E124:H124,"²")+COUNTIF($E124:H124,"µ")+COUNTIF($E124:H124,1),ColLivraison)=I$6,
  VLOOKUP($E124,INDIRECT("tri!"&amp; CHAR(64+ C0Col) &amp;":"&amp; CHAR(65+C0Col)),2,FALSE)&gt;COUNTIF($E124:H124,"u")+COUNTIF($E124:H124,"t")+COUNTIF($E124:H124,"¶")+COUNTIF($E124:H124,"²")+COUNTIF($E124:H124,"µ")+COUNTIF($E124:H124,1)),
HYPERLINK("#Roadmap!C"&amp; MATCH($E124,Roadmap!$D:$D,0)+COUNTIF($E124:H124,"u")+COUNTIF($E124:H124,"t"),
     INDEX(Roadmap!$D:$K,MATCH($E124,Roadmap!$D:$D,0)+COUNTIF($E124:H124,"u")+COUNTIF($E124:H124,"t")+COUNTIF($E124:H124,"¶")+COUNTIF($E124:H124,"²")+COUNTIF($E124:H124,"µ")+COUNTIF($E124:H124,1),ColTypeEcheance)),
  IF(LEN(H124)=1,
  IF(LEN(INDEX(Roadmap!$D:$K,MATCH($E124,Roadmap!$D:$D,0)-1+COUNTIF($E124:H124,"u")+COUNTIF($E124:H124,"t")+COUNTIF($E124:H124,"¶")+COUNTIF($E124:H124,"²")+COUNTIF($E124:H124,"µ")+COUNTIF($E124:H124,1),ColDescriptionCourte))&gt;1,
HYPERLINK("#Roadmap!C"&amp; MATCH($E124,Roadmap!$D:$D,0)+COUNTIF($E124:H124,"u")+COUNTIF($E124:H124,"t")+COUNTIF($E124:H124,"¶")+COUNTIF($E124:H124,"²")+COUNTIF($E124:H124,"µ")+COUNTIF($E124:H124,1)-1,INDEX(Roadmap!$D:$K,MATCH($E124,Roadmap!$D:$D,0)-1+COUNTIF($E124:H124,"u")+COUNTIF($E124:H124,"t")+COUNTIF($E124:H124,"¶")+COUNTIF($E124:H124,"²")+COUNTIF($E124:H124,"µ")+COUNTIF($E124:H124,1),ColDescriptionCourte)),""),
  "")),"")</f>
        <v/>
      </c>
      <c r="J124" s="40" t="str">
        <f ca="1">IFERROR(IF(AND(
  INDEX(Roadmap!$D:$K,MATCH($E124,Roadmap!$D:$D,0)+COUNTIF($E124:I124,"u")+COUNTIF($E124:I124,"t")+COUNTIF($E124:I124,"¶")+COUNTIF($E124:I124,"²")+COUNTIF($E124:I124,"µ")+COUNTIF($E124:I124,1),ColLivraison)=J$6,
  VLOOKUP($E124,INDIRECT("tri!"&amp; CHAR(64+ C0Col) &amp;":"&amp; CHAR(65+C0Col)),2,FALSE)&gt;COUNTIF($E124:I124,"u")+COUNTIF($E124:I124,"t")+COUNTIF($E124:I124,"¶")+COUNTIF($E124:I124,"²")+COUNTIF($E124:I124,"µ")+COUNTIF($E124:I124,1)),
HYPERLINK("#Roadmap!C"&amp; MATCH($E124,Roadmap!$D:$D,0)+COUNTIF($E124:I124,"u")+COUNTIF($E124:I124,"t"),
     INDEX(Roadmap!$D:$K,MATCH($E124,Roadmap!$D:$D,0)+COUNTIF($E124:I124,"u")+COUNTIF($E124:I124,"t")+COUNTIF($E124:I124,"¶")+COUNTIF($E124:I124,"²")+COUNTIF($E124:I124,"µ")+COUNTIF($E124:I124,1),ColTypeEcheance)),
  IF(LEN(I124)=1,
  IF(LEN(INDEX(Roadmap!$D:$K,MATCH($E124,Roadmap!$D:$D,0)-1+COUNTIF($E124:I124,"u")+COUNTIF($E124:I124,"t")+COUNTIF($E124:I124,"¶")+COUNTIF($E124:I124,"²")+COUNTIF($E124:I124,"µ")+COUNTIF($E124:I124,1),ColDescriptionCourte))&gt;1,
HYPERLINK("#Roadmap!C"&amp; MATCH($E124,Roadmap!$D:$D,0)+COUNTIF($E124:I124,"u")+COUNTIF($E124:I124,"t")+COUNTIF($E124:I124,"¶")+COUNTIF($E124:I124,"²")+COUNTIF($E124:I124,"µ")+COUNTIF($E124:I124,1)-1,INDEX(Roadmap!$D:$K,MATCH($E124,Roadmap!$D:$D,0)-1+COUNTIF($E124:I124,"u")+COUNTIF($E124:I124,"t")+COUNTIF($E124:I124,"¶")+COUNTIF($E124:I124,"²")+COUNTIF($E124:I124,"µ")+COUNTIF($E124:I124,1),ColDescriptionCourte)),""),
  "")),"")</f>
        <v/>
      </c>
      <c r="K124" s="40" t="str">
        <f ca="1">IFERROR(IF(AND(
  INDEX(Roadmap!$D:$K,MATCH($E124,Roadmap!$D:$D,0)+COUNTIF($E124:J124,"u")+COUNTIF($E124:J124,"t")+COUNTIF($E124:J124,"¶")+COUNTIF($E124:J124,"²")+COUNTIF($E124:J124,"µ")+COUNTIF($E124:J124,1),ColLivraison)=K$6,
  VLOOKUP($E124,INDIRECT("tri!"&amp; CHAR(64+ C0Col) &amp;":"&amp; CHAR(65+C0Col)),2,FALSE)&gt;COUNTIF($E124:J124,"u")+COUNTIF($E124:J124,"t")+COUNTIF($E124:J124,"¶")+COUNTIF($E124:J124,"²")+COUNTIF($E124:J124,"µ")+COUNTIF($E124:J124,1)),
HYPERLINK("#Roadmap!C"&amp; MATCH($E124,Roadmap!$D:$D,0)+COUNTIF($E124:J124,"u")+COUNTIF($E124:J124,"t"),
     INDEX(Roadmap!$D:$K,MATCH($E124,Roadmap!$D:$D,0)+COUNTIF($E124:J124,"u")+COUNTIF($E124:J124,"t")+COUNTIF($E124:J124,"¶")+COUNTIF($E124:J124,"²")+COUNTIF($E124:J124,"µ")+COUNTIF($E124:J124,1),ColTypeEcheance)),
  IF(LEN(J124)=1,
  IF(LEN(INDEX(Roadmap!$D:$K,MATCH($E124,Roadmap!$D:$D,0)-1+COUNTIF($E124:J124,"u")+COUNTIF($E124:J124,"t")+COUNTIF($E124:J124,"¶")+COUNTIF($E124:J124,"²")+COUNTIF($E124:J124,"µ")+COUNTIF($E124:J124,1),ColDescriptionCourte))&gt;1,
HYPERLINK("#Roadmap!C"&amp; MATCH($E124,Roadmap!$D:$D,0)+COUNTIF($E124:J124,"u")+COUNTIF($E124:J124,"t")+COUNTIF($E124:J124,"¶")+COUNTIF($E124:J124,"²")+COUNTIF($E124:J124,"µ")+COUNTIF($E124:J124,1)-1,INDEX(Roadmap!$D:$K,MATCH($E124,Roadmap!$D:$D,0)-1+COUNTIF($E124:J124,"u")+COUNTIF($E124:J124,"t")+COUNTIF($E124:J124,"¶")+COUNTIF($E124:J124,"²")+COUNTIF($E124:J124,"µ")+COUNTIF($E124:J124,1),ColDescriptionCourte)),""),
  "")),"")</f>
        <v/>
      </c>
      <c r="L124" s="39" t="str">
        <f ca="1">IFERROR(IF(AND(
  INDEX(Roadmap!$D:$K,MATCH($E124,Roadmap!$D:$D,0)+COUNTIF($E124:K124,"u")+COUNTIF($E124:K124,"t")+COUNTIF($E124:K124,"¶")+COUNTIF($E124:K124,"²")+COUNTIF($E124:K124,"µ")+COUNTIF($E124:K124,1),ColLivraison)=L$6,
  VLOOKUP($E124,INDIRECT("tri!"&amp; CHAR(64+ C0Col) &amp;":"&amp; CHAR(65+C0Col)),2,FALSE)&gt;COUNTIF($E124:K124,"u")+COUNTIF($E124:K124,"t")+COUNTIF($E124:K124,"¶")+COUNTIF($E124:K124,"²")+COUNTIF($E124:K124,"µ")+COUNTIF($E124:K124,1)),
HYPERLINK("#Roadmap!C"&amp; MATCH($E124,Roadmap!$D:$D,0)+COUNTIF($E124:K124,"u")+COUNTIF($E124:K124,"t"),
     INDEX(Roadmap!$D:$K,MATCH($E124,Roadmap!$D:$D,0)+COUNTIF($E124:K124,"u")+COUNTIF($E124:K124,"t")+COUNTIF($E124:K124,"¶")+COUNTIF($E124:K124,"²")+COUNTIF($E124:K124,"µ")+COUNTIF($E124:K124,1),ColTypeEcheance)),
  IF(LEN(K124)=1,
  IF(LEN(INDEX(Roadmap!$D:$K,MATCH($E124,Roadmap!$D:$D,0)-1+COUNTIF($E124:K124,"u")+COUNTIF($E124:K124,"t")+COUNTIF($E124:K124,"¶")+COUNTIF($E124:K124,"²")+COUNTIF($E124:K124,"µ")+COUNTIF($E124:K124,1),ColDescriptionCourte))&gt;1,
HYPERLINK("#Roadmap!C"&amp; MATCH($E124,Roadmap!$D:$D,0)+COUNTIF($E124:K124,"u")+COUNTIF($E124:K124,"t")+COUNTIF($E124:K124,"¶")+COUNTIF($E124:K124,"²")+COUNTIF($E124:K124,"µ")+COUNTIF($E124:K124,1)-1,INDEX(Roadmap!$D:$K,MATCH($E124,Roadmap!$D:$D,0)-1+COUNTIF($E124:K124,"u")+COUNTIF($E124:K124,"t")+COUNTIF($E124:K124,"¶")+COUNTIF($E124:K124,"²")+COUNTIF($E124:K124,"µ")+COUNTIF($E124:K124,1),ColDescriptionCourte)),""),
  "")),"")</f>
        <v/>
      </c>
      <c r="M124" s="40" t="str">
        <f ca="1">IFERROR(IF(AND(
  INDEX(Roadmap!$D:$K,MATCH($E124,Roadmap!$D:$D,0)+COUNTIF($E124:L124,"u")+COUNTIF($E124:L124,"t")+COUNTIF($E124:L124,"¶")+COUNTIF($E124:L124,"²")+COUNTIF($E124:L124,"µ")+COUNTIF($E124:L124,1),ColLivraison)=M$6,
  VLOOKUP($E124,INDIRECT("tri!"&amp; CHAR(64+ C0Col) &amp;":"&amp; CHAR(65+C0Col)),2,FALSE)&gt;COUNTIF($E124:L124,"u")+COUNTIF($E124:L124,"t")+COUNTIF($E124:L124,"¶")+COUNTIF($E124:L124,"²")+COUNTIF($E124:L124,"µ")+COUNTIF($E124:L124,1)),
HYPERLINK("#Roadmap!C"&amp; MATCH($E124,Roadmap!$D:$D,0)+COUNTIF($E124:L124,"u")+COUNTIF($E124:L124,"t"),
     INDEX(Roadmap!$D:$K,MATCH($E124,Roadmap!$D:$D,0)+COUNTIF($E124:L124,"u")+COUNTIF($E124:L124,"t")+COUNTIF($E124:L124,"¶")+COUNTIF($E124:L124,"²")+COUNTIF($E124:L124,"µ")+COUNTIF($E124:L124,1),ColTypeEcheance)),
  IF(LEN(L124)=1,
  IF(LEN(INDEX(Roadmap!$D:$K,MATCH($E124,Roadmap!$D:$D,0)-1+COUNTIF($E124:L124,"u")+COUNTIF($E124:L124,"t")+COUNTIF($E124:L124,"¶")+COUNTIF($E124:L124,"²")+COUNTIF($E124:L124,"µ")+COUNTIF($E124:L124,1),ColDescriptionCourte))&gt;1,
HYPERLINK("#Roadmap!C"&amp; MATCH($E124,Roadmap!$D:$D,0)+COUNTIF($E124:L124,"u")+COUNTIF($E124:L124,"t")+COUNTIF($E124:L124,"¶")+COUNTIF($E124:L124,"²")+COUNTIF($E124:L124,"µ")+COUNTIF($E124:L124,1)-1,INDEX(Roadmap!$D:$K,MATCH($E124,Roadmap!$D:$D,0)-1+COUNTIF($E124:L124,"u")+COUNTIF($E124:L124,"t")+COUNTIF($E124:L124,"¶")+COUNTIF($E124:L124,"²")+COUNTIF($E124:L124,"µ")+COUNTIF($E124:L124,1),ColDescriptionCourte)),""),
  "")),"")</f>
        <v/>
      </c>
      <c r="N124" s="40" t="str">
        <f ca="1">IFERROR(IF(AND(
  INDEX(Roadmap!$D:$K,MATCH($E124,Roadmap!$D:$D,0)+COUNTIF($E124:M124,"u")+COUNTIF($E124:M124,"t")+COUNTIF($E124:M124,"¶")+COUNTIF($E124:M124,"²")+COUNTIF($E124:M124,"µ")+COUNTIF($E124:M124,1),ColLivraison)=N$6,
  VLOOKUP($E124,INDIRECT("tri!"&amp; CHAR(64+ C0Col) &amp;":"&amp; CHAR(65+C0Col)),2,FALSE)&gt;COUNTIF($E124:M124,"u")+COUNTIF($E124:M124,"t")+COUNTIF($E124:M124,"¶")+COUNTIF($E124:M124,"²")+COUNTIF($E124:M124,"µ")+COUNTIF($E124:M124,1)),
HYPERLINK("#Roadmap!C"&amp; MATCH($E124,Roadmap!$D:$D,0)+COUNTIF($E124:M124,"u")+COUNTIF($E124:M124,"t"),
     INDEX(Roadmap!$D:$K,MATCH($E124,Roadmap!$D:$D,0)+COUNTIF($E124:M124,"u")+COUNTIF($E124:M124,"t")+COUNTIF($E124:M124,"¶")+COUNTIF($E124:M124,"²")+COUNTIF($E124:M124,"µ")+COUNTIF($E124:M124,1),ColTypeEcheance)),
  IF(LEN(M124)=1,
  IF(LEN(INDEX(Roadmap!$D:$K,MATCH($E124,Roadmap!$D:$D,0)-1+COUNTIF($E124:M124,"u")+COUNTIF($E124:M124,"t")+COUNTIF($E124:M124,"¶")+COUNTIF($E124:M124,"²")+COUNTIF($E124:M124,"µ")+COUNTIF($E124:M124,1),ColDescriptionCourte))&gt;1,
HYPERLINK("#Roadmap!C"&amp; MATCH($E124,Roadmap!$D:$D,0)+COUNTIF($E124:M124,"u")+COUNTIF($E124:M124,"t")+COUNTIF($E124:M124,"¶")+COUNTIF($E124:M124,"²")+COUNTIF($E124:M124,"µ")+COUNTIF($E124:M124,1)-1,INDEX(Roadmap!$D:$K,MATCH($E124,Roadmap!$D:$D,0)-1+COUNTIF($E124:M124,"u")+COUNTIF($E124:M124,"t")+COUNTIF($E124:M124,"¶")+COUNTIF($E124:M124,"²")+COUNTIF($E124:M124,"µ")+COUNTIF($E124:M124,1),ColDescriptionCourte)),""),
  "")),"")</f>
        <v/>
      </c>
      <c r="O124" s="40" t="str">
        <f ca="1">IFERROR(IF(AND(
  INDEX(Roadmap!$D:$K,MATCH($E124,Roadmap!$D:$D,0)+COUNTIF($E124:N124,"u")+COUNTIF($E124:N124,"t")+COUNTIF($E124:N124,"¶")+COUNTIF($E124:N124,"²")+COUNTIF($E124:N124,"µ")+COUNTIF($E124:N124,1),ColLivraison)=O$6,
  VLOOKUP($E124,INDIRECT("tri!"&amp; CHAR(64+ C0Col) &amp;":"&amp; CHAR(65+C0Col)),2,FALSE)&gt;COUNTIF($E124:N124,"u")+COUNTIF($E124:N124,"t")+COUNTIF($E124:N124,"¶")+COUNTIF($E124:N124,"²")+COUNTIF($E124:N124,"µ")+COUNTIF($E124:N124,1)),
HYPERLINK("#Roadmap!C"&amp; MATCH($E124,Roadmap!$D:$D,0)+COUNTIF($E124:N124,"u")+COUNTIF($E124:N124,"t"),
     INDEX(Roadmap!$D:$K,MATCH($E124,Roadmap!$D:$D,0)+COUNTIF($E124:N124,"u")+COUNTIF($E124:N124,"t")+COUNTIF($E124:N124,"¶")+COUNTIF($E124:N124,"²")+COUNTIF($E124:N124,"µ")+COUNTIF($E124:N124,1),ColTypeEcheance)),
  IF(LEN(N124)=1,
  IF(LEN(INDEX(Roadmap!$D:$K,MATCH($E124,Roadmap!$D:$D,0)-1+COUNTIF($E124:N124,"u")+COUNTIF($E124:N124,"t")+COUNTIF($E124:N124,"¶")+COUNTIF($E124:N124,"²")+COUNTIF($E124:N124,"µ")+COUNTIF($E124:N124,1),ColDescriptionCourte))&gt;1,
HYPERLINK("#Roadmap!C"&amp; MATCH($E124,Roadmap!$D:$D,0)+COUNTIF($E124:N124,"u")+COUNTIF($E124:N124,"t")+COUNTIF($E124:N124,"¶")+COUNTIF($E124:N124,"²")+COUNTIF($E124:N124,"µ")+COUNTIF($E124:N124,1)-1,INDEX(Roadmap!$D:$K,MATCH($E124,Roadmap!$D:$D,0)-1+COUNTIF($E124:N124,"u")+COUNTIF($E124:N124,"t")+COUNTIF($E124:N124,"¶")+COUNTIF($E124:N124,"²")+COUNTIF($E124:N124,"µ")+COUNTIF($E124:N124,1),ColDescriptionCourte)),""),
  "")),"")</f>
        <v/>
      </c>
      <c r="P124" s="40" t="str">
        <f ca="1">IFERROR(IF(AND(
  INDEX(Roadmap!$D:$K,MATCH($E124,Roadmap!$D:$D,0)+COUNTIF($E124:O124,"u")+COUNTIF($E124:O124,"t")+COUNTIF($E124:O124,"¶")+COUNTIF($E124:O124,"²")+COUNTIF($E124:O124,"µ")+COUNTIF($E124:O124,1),ColLivraison)=P$6,
  VLOOKUP($E124,INDIRECT("tri!"&amp; CHAR(64+ C0Col) &amp;":"&amp; CHAR(65+C0Col)),2,FALSE)&gt;COUNTIF($E124:O124,"u")+COUNTIF($E124:O124,"t")+COUNTIF($E124:O124,"¶")+COUNTIF($E124:O124,"²")+COUNTIF($E124:O124,"µ")+COUNTIF($E124:O124,1)),
HYPERLINK("#Roadmap!C"&amp; MATCH($E124,Roadmap!$D:$D,0)+COUNTIF($E124:O124,"u")+COUNTIF($E124:O124,"t"),
     INDEX(Roadmap!$D:$K,MATCH($E124,Roadmap!$D:$D,0)+COUNTIF($E124:O124,"u")+COUNTIF($E124:O124,"t")+COUNTIF($E124:O124,"¶")+COUNTIF($E124:O124,"²")+COUNTIF($E124:O124,"µ")+COUNTIF($E124:O124,1),ColTypeEcheance)),
  IF(LEN(O124)=1,
  IF(LEN(INDEX(Roadmap!$D:$K,MATCH($E124,Roadmap!$D:$D,0)-1+COUNTIF($E124:O124,"u")+COUNTIF($E124:O124,"t")+COUNTIF($E124:O124,"¶")+COUNTIF($E124:O124,"²")+COUNTIF($E124:O124,"µ")+COUNTIF($E124:O124,1),ColDescriptionCourte))&gt;1,
HYPERLINK("#Roadmap!C"&amp; MATCH($E124,Roadmap!$D:$D,0)+COUNTIF($E124:O124,"u")+COUNTIF($E124:O124,"t")+COUNTIF($E124:O124,"¶")+COUNTIF($E124:O124,"²")+COUNTIF($E124:O124,"µ")+COUNTIF($E124:O124,1)-1,INDEX(Roadmap!$D:$K,MATCH($E124,Roadmap!$D:$D,0)-1+COUNTIF($E124:O124,"u")+COUNTIF($E124:O124,"t")+COUNTIF($E124:O124,"¶")+COUNTIF($E124:O124,"²")+COUNTIF($E124:O124,"µ")+COUNTIF($E124:O124,1),ColDescriptionCourte)),""),
  "")),"")</f>
        <v/>
      </c>
      <c r="Q124" s="40" t="str">
        <f ca="1">IFERROR(IF(AND(
  INDEX(Roadmap!$D:$K,MATCH($E124,Roadmap!$D:$D,0)+COUNTIF($E124:P124,"u")+COUNTIF($E124:P124,"t")+COUNTIF($E124:P124,"¶")+COUNTIF($E124:P124,"²")+COUNTIF($E124:P124,"µ")+COUNTIF($E124:P124,1),ColLivraison)=Q$6,
  VLOOKUP($E124,INDIRECT("tri!"&amp; CHAR(64+ C0Col) &amp;":"&amp; CHAR(65+C0Col)),2,FALSE)&gt;COUNTIF($E124:P124,"u")+COUNTIF($E124:P124,"t")+COUNTIF($E124:P124,"¶")+COUNTIF($E124:P124,"²")+COUNTIF($E124:P124,"µ")+COUNTIF($E124:P124,1)),
HYPERLINK("#Roadmap!C"&amp; MATCH($E124,Roadmap!$D:$D,0)+COUNTIF($E124:P124,"u")+COUNTIF($E124:P124,"t"),
     INDEX(Roadmap!$D:$K,MATCH($E124,Roadmap!$D:$D,0)+COUNTIF($E124:P124,"u")+COUNTIF($E124:P124,"t")+COUNTIF($E124:P124,"¶")+COUNTIF($E124:P124,"²")+COUNTIF($E124:P124,"µ")+COUNTIF($E124:P124,1),ColTypeEcheance)),
  IF(LEN(P124)=1,
  IF(LEN(INDEX(Roadmap!$D:$K,MATCH($E124,Roadmap!$D:$D,0)-1+COUNTIF($E124:P124,"u")+COUNTIF($E124:P124,"t")+COUNTIF($E124:P124,"¶")+COUNTIF($E124:P124,"²")+COUNTIF($E124:P124,"µ")+COUNTIF($E124:P124,1),ColDescriptionCourte))&gt;1,
HYPERLINK("#Roadmap!C"&amp; MATCH($E124,Roadmap!$D:$D,0)+COUNTIF($E124:P124,"u")+COUNTIF($E124:P124,"t")+COUNTIF($E124:P124,"¶")+COUNTIF($E124:P124,"²")+COUNTIF($E124:P124,"µ")+COUNTIF($E124:P124,1)-1,INDEX(Roadmap!$D:$K,MATCH($E124,Roadmap!$D:$D,0)-1+COUNTIF($E124:P124,"u")+COUNTIF($E124:P124,"t")+COUNTIF($E124:P124,"¶")+COUNTIF($E124:P124,"²")+COUNTIF($E124:P124,"µ")+COUNTIF($E124:P124,1),ColDescriptionCourte)),""),
  "")),"")</f>
        <v/>
      </c>
      <c r="R124" s="40" t="str">
        <f ca="1">IFERROR(IF(AND(
  INDEX(Roadmap!$D:$K,MATCH($E124,Roadmap!$D:$D,0)+COUNTIF($E124:Q124,"u")+COUNTIF($E124:Q124,"t")+COUNTIF($E124:Q124,"¶")+COUNTIF($E124:Q124,"²")+COUNTIF($E124:Q124,"µ")+COUNTIF($E124:Q124,1),ColLivraison)=R$6,
  VLOOKUP($E124,INDIRECT("tri!"&amp; CHAR(64+ C0Col) &amp;":"&amp; CHAR(65+C0Col)),2,FALSE)&gt;COUNTIF($E124:Q124,"u")+COUNTIF($E124:Q124,"t")+COUNTIF($E124:Q124,"¶")+COUNTIF($E124:Q124,"²")+COUNTIF($E124:Q124,"µ")+COUNTIF($E124:Q124,1)),
HYPERLINK("#Roadmap!C"&amp; MATCH($E124,Roadmap!$D:$D,0)+COUNTIF($E124:Q124,"u")+COUNTIF($E124:Q124,"t"),
     INDEX(Roadmap!$D:$K,MATCH($E124,Roadmap!$D:$D,0)+COUNTIF($E124:Q124,"u")+COUNTIF($E124:Q124,"t")+COUNTIF($E124:Q124,"¶")+COUNTIF($E124:Q124,"²")+COUNTIF($E124:Q124,"µ")+COUNTIF($E124:Q124,1),ColTypeEcheance)),
  IF(LEN(Q124)=1,
  IF(LEN(INDEX(Roadmap!$D:$K,MATCH($E124,Roadmap!$D:$D,0)-1+COUNTIF($E124:Q124,"u")+COUNTIF($E124:Q124,"t")+COUNTIF($E124:Q124,"¶")+COUNTIF($E124:Q124,"²")+COUNTIF($E124:Q124,"µ")+COUNTIF($E124:Q124,1),ColDescriptionCourte))&gt;1,
HYPERLINK("#Roadmap!C"&amp; MATCH($E124,Roadmap!$D:$D,0)+COUNTIF($E124:Q124,"u")+COUNTIF($E124:Q124,"t")+COUNTIF($E124:Q124,"¶")+COUNTIF($E124:Q124,"²")+COUNTIF($E124:Q124,"µ")+COUNTIF($E124:Q124,1)-1,INDEX(Roadmap!$D:$K,MATCH($E124,Roadmap!$D:$D,0)-1+COUNTIF($E124:Q124,"u")+COUNTIF($E124:Q124,"t")+COUNTIF($E124:Q124,"¶")+COUNTIF($E124:Q124,"²")+COUNTIF($E124:Q124,"µ")+COUNTIF($E124:Q124,1),ColDescriptionCourte)),""),
  "")),"")</f>
        <v/>
      </c>
      <c r="S124" s="40" t="str">
        <f ca="1">IFERROR(IF(AND(
  INDEX(Roadmap!$D:$K,MATCH($E124,Roadmap!$D:$D,0)+COUNTIF($E124:R124,"u")+COUNTIF($E124:R124,"t")+COUNTIF($E124:R124,"¶")+COUNTIF($E124:R124,"²")+COUNTIF($E124:R124,"µ")+COUNTIF($E124:R124,1),ColLivraison)=S$6,
  VLOOKUP($E124,INDIRECT("tri!"&amp; CHAR(64+ C0Col) &amp;":"&amp; CHAR(65+C0Col)),2,FALSE)&gt;COUNTIF($E124:R124,"u")+COUNTIF($E124:R124,"t")+COUNTIF($E124:R124,"¶")+COUNTIF($E124:R124,"²")+COUNTIF($E124:R124,"µ")+COUNTIF($E124:R124,1)),
HYPERLINK("#Roadmap!C"&amp; MATCH($E124,Roadmap!$D:$D,0)+COUNTIF($E124:R124,"u")+COUNTIF($E124:R124,"t"),
     INDEX(Roadmap!$D:$K,MATCH($E124,Roadmap!$D:$D,0)+COUNTIF($E124:R124,"u")+COUNTIF($E124:R124,"t")+COUNTIF($E124:R124,"¶")+COUNTIF($E124:R124,"²")+COUNTIF($E124:R124,"µ")+COUNTIF($E124:R124,1),ColTypeEcheance)),
  IF(LEN(R124)=1,
  IF(LEN(INDEX(Roadmap!$D:$K,MATCH($E124,Roadmap!$D:$D,0)-1+COUNTIF($E124:R124,"u")+COUNTIF($E124:R124,"t")+COUNTIF($E124:R124,"¶")+COUNTIF($E124:R124,"²")+COUNTIF($E124:R124,"µ")+COUNTIF($E124:R124,1),ColDescriptionCourte))&gt;1,
HYPERLINK("#Roadmap!C"&amp; MATCH($E124,Roadmap!$D:$D,0)+COUNTIF($E124:R124,"u")+COUNTIF($E124:R124,"t")+COUNTIF($E124:R124,"¶")+COUNTIF($E124:R124,"²")+COUNTIF($E124:R124,"µ")+COUNTIF($E124:R124,1)-1,INDEX(Roadmap!$D:$K,MATCH($E124,Roadmap!$D:$D,0)-1+COUNTIF($E124:R124,"u")+COUNTIF($E124:R124,"t")+COUNTIF($E124:R124,"¶")+COUNTIF($E124:R124,"²")+COUNTIF($E124:R124,"µ")+COUNTIF($E124:R124,1),ColDescriptionCourte)),""),
  "")),"")</f>
        <v/>
      </c>
      <c r="T124" s="40" t="str">
        <f ca="1">IFERROR(IF(AND(
  INDEX(Roadmap!$D:$K,MATCH($E124,Roadmap!$D:$D,0)+COUNTIF($E124:S124,"u")+COUNTIF($E124:S124,"t")+COUNTIF($E124:S124,"¶")+COUNTIF($E124:S124,"²")+COUNTIF($E124:S124,"µ")+COUNTIF($E124:S124,1),ColLivraison)=T$6,
  VLOOKUP($E124,INDIRECT("tri!"&amp; CHAR(64+ C0Col) &amp;":"&amp; CHAR(65+C0Col)),2,FALSE)&gt;COUNTIF($E124:S124,"u")+COUNTIF($E124:S124,"t")+COUNTIF($E124:S124,"¶")+COUNTIF($E124:S124,"²")+COUNTIF($E124:S124,"µ")+COUNTIF($E124:S124,1)),
HYPERLINK("#Roadmap!C"&amp; MATCH($E124,Roadmap!$D:$D,0)+COUNTIF($E124:S124,"u")+COUNTIF($E124:S124,"t"),
     INDEX(Roadmap!$D:$K,MATCH($E124,Roadmap!$D:$D,0)+COUNTIF($E124:S124,"u")+COUNTIF($E124:S124,"t")+COUNTIF($E124:S124,"¶")+COUNTIF($E124:S124,"²")+COUNTIF($E124:S124,"µ")+COUNTIF($E124:S124,1),ColTypeEcheance)),
  IF(LEN(S124)=1,
  IF(LEN(INDEX(Roadmap!$D:$K,MATCH($E124,Roadmap!$D:$D,0)-1+COUNTIF($E124:S124,"u")+COUNTIF($E124:S124,"t")+COUNTIF($E124:S124,"¶")+COUNTIF($E124:S124,"²")+COUNTIF($E124:S124,"µ")+COUNTIF($E124:S124,1),ColDescriptionCourte))&gt;1,
HYPERLINK("#Roadmap!C"&amp; MATCH($E124,Roadmap!$D:$D,0)+COUNTIF($E124:S124,"u")+COUNTIF($E124:S124,"t")+COUNTIF($E124:S124,"¶")+COUNTIF($E124:S124,"²")+COUNTIF($E124:S124,"µ")+COUNTIF($E124:S124,1)-1,INDEX(Roadmap!$D:$K,MATCH($E124,Roadmap!$D:$D,0)-1+COUNTIF($E124:S124,"u")+COUNTIF($E124:S124,"t")+COUNTIF($E124:S124,"¶")+COUNTIF($E124:S124,"²")+COUNTIF($E124:S124,"µ")+COUNTIF($E124:S124,1),ColDescriptionCourte)),""),
  "")),"")</f>
        <v/>
      </c>
      <c r="U124" s="40" t="str">
        <f ca="1">IFERROR(IF(AND(
  INDEX(Roadmap!$D:$K,MATCH($E124,Roadmap!$D:$D,0)+COUNTIF($E124:T124,"u")+COUNTIF($E124:T124,"t")+COUNTIF($E124:T124,"¶")+COUNTIF($E124:T124,"²")+COUNTIF($E124:T124,"µ")+COUNTIF($E124:T124,1),ColLivraison)=U$6,
  VLOOKUP($E124,INDIRECT("tri!"&amp; CHAR(64+ C0Col) &amp;":"&amp; CHAR(65+C0Col)),2,FALSE)&gt;COUNTIF($E124:T124,"u")+COUNTIF($E124:T124,"t")+COUNTIF($E124:T124,"¶")+COUNTIF($E124:T124,"²")+COUNTIF($E124:T124,"µ")+COUNTIF($E124:T124,1)),
HYPERLINK("#Roadmap!C"&amp; MATCH($E124,Roadmap!$D:$D,0)+COUNTIF($E124:T124,"u")+COUNTIF($E124:T124,"t"),
     INDEX(Roadmap!$D:$K,MATCH($E124,Roadmap!$D:$D,0)+COUNTIF($E124:T124,"u")+COUNTIF($E124:T124,"t")+COUNTIF($E124:T124,"¶")+COUNTIF($E124:T124,"²")+COUNTIF($E124:T124,"µ")+COUNTIF($E124:T124,1),ColTypeEcheance)),
  IF(LEN(T124)=1,
  IF(LEN(INDEX(Roadmap!$D:$K,MATCH($E124,Roadmap!$D:$D,0)-1+COUNTIF($E124:T124,"u")+COUNTIF($E124:T124,"t")+COUNTIF($E124:T124,"¶")+COUNTIF($E124:T124,"²")+COUNTIF($E124:T124,"µ")+COUNTIF($E124:T124,1),ColDescriptionCourte))&gt;1,
HYPERLINK("#Roadmap!C"&amp; MATCH($E124,Roadmap!$D:$D,0)+COUNTIF($E124:T124,"u")+COUNTIF($E124:T124,"t")+COUNTIF($E124:T124,"¶")+COUNTIF($E124:T124,"²")+COUNTIF($E124:T124,"µ")+COUNTIF($E124:T124,1)-1,INDEX(Roadmap!$D:$K,MATCH($E124,Roadmap!$D:$D,0)-1+COUNTIF($E124:T124,"u")+COUNTIF($E124:T124,"t")+COUNTIF($E124:T124,"¶")+COUNTIF($E124:T124,"²")+COUNTIF($E124:T124,"µ")+COUNTIF($E124:T124,1),ColDescriptionCourte)),""),
  "")),"")</f>
        <v/>
      </c>
      <c r="V124" s="40" t="str">
        <f ca="1">IFERROR(IF(AND(
  INDEX(Roadmap!$D:$K,MATCH($E124,Roadmap!$D:$D,0)+COUNTIF($E124:U124,"u")+COUNTIF($E124:U124,"t")+COUNTIF($E124:U124,"¶")+COUNTIF($E124:U124,"²")+COUNTIF($E124:U124,"µ")+COUNTIF($E124:U124,1),ColLivraison)=V$6,
  VLOOKUP($E124,INDIRECT("tri!"&amp; CHAR(64+ C0Col) &amp;":"&amp; CHAR(65+C0Col)),2,FALSE)&gt;COUNTIF($E124:U124,"u")+COUNTIF($E124:U124,"t")+COUNTIF($E124:U124,"¶")+COUNTIF($E124:U124,"²")+COUNTIF($E124:U124,"µ")+COUNTIF($E124:U124,1)),
HYPERLINK("#Roadmap!C"&amp; MATCH($E124,Roadmap!$D:$D,0)+COUNTIF($E124:U124,"u")+COUNTIF($E124:U124,"t"),
     INDEX(Roadmap!$D:$K,MATCH($E124,Roadmap!$D:$D,0)+COUNTIF($E124:U124,"u")+COUNTIF($E124:U124,"t")+COUNTIF($E124:U124,"¶")+COUNTIF($E124:U124,"²")+COUNTIF($E124:U124,"µ")+COUNTIF($E124:U124,1),ColTypeEcheance)),
  IF(LEN(U124)=1,
  IF(LEN(INDEX(Roadmap!$D:$K,MATCH($E124,Roadmap!$D:$D,0)-1+COUNTIF($E124:U124,"u")+COUNTIF($E124:U124,"t")+COUNTIF($E124:U124,"¶")+COUNTIF($E124:U124,"²")+COUNTIF($E124:U124,"µ")+COUNTIF($E124:U124,1),ColDescriptionCourte))&gt;1,
HYPERLINK("#Roadmap!C"&amp; MATCH($E124,Roadmap!$D:$D,0)+COUNTIF($E124:U124,"u")+COUNTIF($E124:U124,"t")+COUNTIF($E124:U124,"¶")+COUNTIF($E124:U124,"²")+COUNTIF($E124:U124,"µ")+COUNTIF($E124:U124,1)-1,INDEX(Roadmap!$D:$K,MATCH($E124,Roadmap!$D:$D,0)-1+COUNTIF($E124:U124,"u")+COUNTIF($E124:U124,"t")+COUNTIF($E124:U124,"¶")+COUNTIF($E124:U124,"²")+COUNTIF($E124:U124,"µ")+COUNTIF($E124:U124,1),ColDescriptionCourte)),""),
  "")),"")</f>
        <v/>
      </c>
      <c r="W124" s="40" t="str">
        <f ca="1">IFERROR(IF(AND(
  INDEX(Roadmap!$D:$K,MATCH($E124,Roadmap!$D:$D,0)+COUNTIF($E124:V124,"u")+COUNTIF($E124:V124,"t")+COUNTIF($E124:V124,"¶")+COUNTIF($E124:V124,"²")+COUNTIF($E124:V124,"µ")+COUNTIF($E124:V124,1),ColLivraison)=W$6,
  VLOOKUP($E124,INDIRECT("tri!"&amp; CHAR(64+ C0Col) &amp;":"&amp; CHAR(65+C0Col)),2,FALSE)&gt;COUNTIF($E124:V124,"u")+COUNTIF($E124:V124,"t")+COUNTIF($E124:V124,"¶")+COUNTIF($E124:V124,"²")+COUNTIF($E124:V124,"µ")+COUNTIF($E124:V124,1)),
HYPERLINK("#Roadmap!C"&amp; MATCH($E124,Roadmap!$D:$D,0)+COUNTIF($E124:V124,"u")+COUNTIF($E124:V124,"t"),
     INDEX(Roadmap!$D:$K,MATCH($E124,Roadmap!$D:$D,0)+COUNTIF($E124:V124,"u")+COUNTIF($E124:V124,"t")+COUNTIF($E124:V124,"¶")+COUNTIF($E124:V124,"²")+COUNTIF($E124:V124,"µ")+COUNTIF($E124:V124,1),ColTypeEcheance)),
  IF(LEN(V124)=1,
  IF(LEN(INDEX(Roadmap!$D:$K,MATCH($E124,Roadmap!$D:$D,0)-1+COUNTIF($E124:V124,"u")+COUNTIF($E124:V124,"t")+COUNTIF($E124:V124,"¶")+COUNTIF($E124:V124,"²")+COUNTIF($E124:V124,"µ")+COUNTIF($E124:V124,1),ColDescriptionCourte))&gt;1,
HYPERLINK("#Roadmap!C"&amp; MATCH($E124,Roadmap!$D:$D,0)+COUNTIF($E124:V124,"u")+COUNTIF($E124:V124,"t")+COUNTIF($E124:V124,"¶")+COUNTIF($E124:V124,"²")+COUNTIF($E124:V124,"µ")+COUNTIF($E124:V124,1)-1,INDEX(Roadmap!$D:$K,MATCH($E124,Roadmap!$D:$D,0)-1+COUNTIF($E124:V124,"u")+COUNTIF($E124:V124,"t")+COUNTIF($E124:V124,"¶")+COUNTIF($E124:V124,"²")+COUNTIF($E124:V124,"µ")+COUNTIF($E124:V124,1),ColDescriptionCourte)),""),
  "")),"")</f>
        <v/>
      </c>
      <c r="X124" s="40" t="str">
        <f ca="1">IFERROR(IF(AND(
  INDEX(Roadmap!$D:$K,MATCH($E124,Roadmap!$D:$D,0)+COUNTIF($E124:W124,"u")+COUNTIF($E124:W124,"t")+COUNTIF($E124:W124,"¶")+COUNTIF($E124:W124,"²")+COUNTIF($E124:W124,"µ")+COUNTIF($E124:W124,1),ColLivraison)=X$6,
  VLOOKUP($E124,INDIRECT("tri!"&amp; CHAR(64+ C0Col) &amp;":"&amp; CHAR(65+C0Col)),2,FALSE)&gt;COUNTIF($E124:W124,"u")+COUNTIF($E124:W124,"t")+COUNTIF($E124:W124,"¶")+COUNTIF($E124:W124,"²")+COUNTIF($E124:W124,"µ")+COUNTIF($E124:W124,1)),
HYPERLINK("#Roadmap!C"&amp; MATCH($E124,Roadmap!$D:$D,0)+COUNTIF($E124:W124,"u")+COUNTIF($E124:W124,"t"),
     INDEX(Roadmap!$D:$K,MATCH($E124,Roadmap!$D:$D,0)+COUNTIF($E124:W124,"u")+COUNTIF($E124:W124,"t")+COUNTIF($E124:W124,"¶")+COUNTIF($E124:W124,"²")+COUNTIF($E124:W124,"µ")+COUNTIF($E124:W124,1),ColTypeEcheance)),
  IF(LEN(W124)=1,
  IF(LEN(INDEX(Roadmap!$D:$K,MATCH($E124,Roadmap!$D:$D,0)-1+COUNTIF($E124:W124,"u")+COUNTIF($E124:W124,"t")+COUNTIF($E124:W124,"¶")+COUNTIF($E124:W124,"²")+COUNTIF($E124:W124,"µ")+COUNTIF($E124:W124,1),ColDescriptionCourte))&gt;1,
HYPERLINK("#Roadmap!C"&amp; MATCH($E124,Roadmap!$D:$D,0)+COUNTIF($E124:W124,"u")+COUNTIF($E124:W124,"t")+COUNTIF($E124:W124,"¶")+COUNTIF($E124:W124,"²")+COUNTIF($E124:W124,"µ")+COUNTIF($E124:W124,1)-1,INDEX(Roadmap!$D:$K,MATCH($E124,Roadmap!$D:$D,0)-1+COUNTIF($E124:W124,"u")+COUNTIF($E124:W124,"t")+COUNTIF($E124:W124,"¶")+COUNTIF($E124:W124,"²")+COUNTIF($E124:W124,"µ")+COUNTIF($E124:W124,1),ColDescriptionCourte)),""),
  "")),"")</f>
        <v/>
      </c>
      <c r="Y124" s="40" t="str">
        <f ca="1">IFERROR(IF(AND(
  INDEX(Roadmap!$D:$K,MATCH($E124,Roadmap!$D:$D,0)+COUNTIF($E124:X124,"u")+COUNTIF($E124:X124,"t")+COUNTIF($E124:X124,"¶")+COUNTIF($E124:X124,"²")+COUNTIF($E124:X124,"µ")+COUNTIF($E124:X124,1),ColLivraison)=Y$6,
  VLOOKUP($E124,INDIRECT("tri!"&amp; CHAR(64+ C0Col) &amp;":"&amp; CHAR(65+C0Col)),2,FALSE)&gt;COUNTIF($E124:X124,"u")+COUNTIF($E124:X124,"t")+COUNTIF($E124:X124,"¶")+COUNTIF($E124:X124,"²")+COUNTIF($E124:X124,"µ")+COUNTIF($E124:X124,1)),
HYPERLINK("#Roadmap!C"&amp; MATCH($E124,Roadmap!$D:$D,0)+COUNTIF($E124:X124,"u")+COUNTIF($E124:X124,"t"),
     INDEX(Roadmap!$D:$K,MATCH($E124,Roadmap!$D:$D,0)+COUNTIF($E124:X124,"u")+COUNTIF($E124:X124,"t")+COUNTIF($E124:X124,"¶")+COUNTIF($E124:X124,"²")+COUNTIF($E124:X124,"µ")+COUNTIF($E124:X124,1),ColTypeEcheance)),
  IF(LEN(X124)=1,
  IF(LEN(INDEX(Roadmap!$D:$K,MATCH($E124,Roadmap!$D:$D,0)-1+COUNTIF($E124:X124,"u")+COUNTIF($E124:X124,"t")+COUNTIF($E124:X124,"¶")+COUNTIF($E124:X124,"²")+COUNTIF($E124:X124,"µ")+COUNTIF($E124:X124,1),ColDescriptionCourte))&gt;1,
HYPERLINK("#Roadmap!C"&amp; MATCH($E124,Roadmap!$D:$D,0)+COUNTIF($E124:X124,"u")+COUNTIF($E124:X124,"t")+COUNTIF($E124:X124,"¶")+COUNTIF($E124:X124,"²")+COUNTIF($E124:X124,"µ")+COUNTIF($E124:X124,1)-1,INDEX(Roadmap!$D:$K,MATCH($E124,Roadmap!$D:$D,0)-1+COUNTIF($E124:X124,"u")+COUNTIF($E124:X124,"t")+COUNTIF($E124:X124,"¶")+COUNTIF($E124:X124,"²")+COUNTIF($E124:X124,"µ")+COUNTIF($E124:X124,1),ColDescriptionCourte)),""),
  "")),"")</f>
        <v/>
      </c>
      <c r="Z124" s="40" t="str">
        <f ca="1">IFERROR(IF(AND(
  INDEX(Roadmap!$D:$K,MATCH($E124,Roadmap!$D:$D,0)+COUNTIF($E124:Y124,"u")+COUNTIF($E124:Y124,"t")+COUNTIF($E124:Y124,"¶")+COUNTIF($E124:Y124,"²")+COUNTIF($E124:Y124,"µ")+COUNTIF($E124:Y124,1),ColLivraison)=Z$6,
  VLOOKUP($E124,INDIRECT("tri!"&amp; CHAR(64+ C0Col) &amp;":"&amp; CHAR(65+C0Col)),2,FALSE)&gt;COUNTIF($E124:Y124,"u")+COUNTIF($E124:Y124,"t")+COUNTIF($E124:Y124,"¶")+COUNTIF($E124:Y124,"²")+COUNTIF($E124:Y124,"µ")+COUNTIF($E124:Y124,1)),
HYPERLINK("#Roadmap!C"&amp; MATCH($E124,Roadmap!$D:$D,0)+COUNTIF($E124:Y124,"u")+COUNTIF($E124:Y124,"t"),
     INDEX(Roadmap!$D:$K,MATCH($E124,Roadmap!$D:$D,0)+COUNTIF($E124:Y124,"u")+COUNTIF($E124:Y124,"t")+COUNTIF($E124:Y124,"¶")+COUNTIF($E124:Y124,"²")+COUNTIF($E124:Y124,"µ")+COUNTIF($E124:Y124,1),ColTypeEcheance)),
  IF(LEN(Y124)=1,
  IF(LEN(INDEX(Roadmap!$D:$K,MATCH($E124,Roadmap!$D:$D,0)-1+COUNTIF($E124:Y124,"u")+COUNTIF($E124:Y124,"t")+COUNTIF($E124:Y124,"¶")+COUNTIF($E124:Y124,"²")+COUNTIF($E124:Y124,"µ")+COUNTIF($E124:Y124,1),ColDescriptionCourte))&gt;1,
HYPERLINK("#Roadmap!C"&amp; MATCH($E124,Roadmap!$D:$D,0)+COUNTIF($E124:Y124,"u")+COUNTIF($E124:Y124,"t")+COUNTIF($E124:Y124,"¶")+COUNTIF($E124:Y124,"²")+COUNTIF($E124:Y124,"µ")+COUNTIF($E124:Y124,1)-1,INDEX(Roadmap!$D:$K,MATCH($E124,Roadmap!$D:$D,0)-1+COUNTIF($E124:Y124,"u")+COUNTIF($E124:Y124,"t")+COUNTIF($E124:Y124,"¶")+COUNTIF($E124:Y124,"²")+COUNTIF($E124:Y124,"µ")+COUNTIF($E124:Y124,1),ColDescriptionCourte)),""),
  "")),"")</f>
        <v/>
      </c>
      <c r="AA124" s="40" t="str">
        <f ca="1">IFERROR(IF(AND(
  INDEX(Roadmap!$D:$K,MATCH($E124,Roadmap!$D:$D,0)+COUNTIF($E124:Z124,"u")+COUNTIF($E124:Z124,"t")+COUNTIF($E124:Z124,"¶")+COUNTIF($E124:Z124,"²")+COUNTIF($E124:Z124,"µ")+COUNTIF($E124:Z124,1),ColLivraison)=AA$6,
  VLOOKUP($E124,INDIRECT("tri!"&amp; CHAR(64+ C0Col) &amp;":"&amp; CHAR(65+C0Col)),2,FALSE)&gt;COUNTIF($E124:Z124,"u")+COUNTIF($E124:Z124,"t")+COUNTIF($E124:Z124,"¶")+COUNTIF($E124:Z124,"²")+COUNTIF($E124:Z124,"µ")+COUNTIF($E124:Z124,1)),
HYPERLINK("#Roadmap!C"&amp; MATCH($E124,Roadmap!$D:$D,0)+COUNTIF($E124:Z124,"u")+COUNTIF($E124:Z124,"t"),
     INDEX(Roadmap!$D:$K,MATCH($E124,Roadmap!$D:$D,0)+COUNTIF($E124:Z124,"u")+COUNTIF($E124:Z124,"t")+COUNTIF($E124:Z124,"¶")+COUNTIF($E124:Z124,"²")+COUNTIF($E124:Z124,"µ")+COUNTIF($E124:Z124,1),ColTypeEcheance)),
  IF(LEN(Z124)=1,
  IF(LEN(INDEX(Roadmap!$D:$K,MATCH($E124,Roadmap!$D:$D,0)-1+COUNTIF($E124:Z124,"u")+COUNTIF($E124:Z124,"t")+COUNTIF($E124:Z124,"¶")+COUNTIF($E124:Z124,"²")+COUNTIF($E124:Z124,"µ")+COUNTIF($E124:Z124,1),ColDescriptionCourte))&gt;1,
HYPERLINK("#Roadmap!C"&amp; MATCH($E124,Roadmap!$D:$D,0)+COUNTIF($E124:Z124,"u")+COUNTIF($E124:Z124,"t")+COUNTIF($E124:Z124,"¶")+COUNTIF($E124:Z124,"²")+COUNTIF($E124:Z124,"µ")+COUNTIF($E124:Z124,1)-1,INDEX(Roadmap!$D:$K,MATCH($E124,Roadmap!$D:$D,0)-1+COUNTIF($E124:Z124,"u")+COUNTIF($E124:Z124,"t")+COUNTIF($E124:Z124,"¶")+COUNTIF($E124:Z124,"²")+COUNTIF($E124:Z124,"µ")+COUNTIF($E124:Z124,1),ColDescriptionCourte)),""),
  "")),"")</f>
        <v/>
      </c>
      <c r="AB124" s="40" t="str">
        <f ca="1">IFERROR(IF(AND(
  INDEX(Roadmap!$D:$K,MATCH($E124,Roadmap!$D:$D,0)+COUNTIF($E124:AA124,"u")+COUNTIF($E124:AA124,"t")+COUNTIF($E124:AA124,"¶")+COUNTIF($E124:AA124,"²")+COUNTIF($E124:AA124,"µ")+COUNTIF($E124:AA124,1),ColLivraison)=AB$6,
  VLOOKUP($E124,INDIRECT("tri!"&amp; CHAR(64+ C0Col) &amp;":"&amp; CHAR(65+C0Col)),2,FALSE)&gt;COUNTIF($E124:AA124,"u")+COUNTIF($E124:AA124,"t")+COUNTIF($E124:AA124,"¶")+COUNTIF($E124:AA124,"²")+COUNTIF($E124:AA124,"µ")+COUNTIF($E124:AA124,1)),
HYPERLINK("#Roadmap!C"&amp; MATCH($E124,Roadmap!$D:$D,0)+COUNTIF($E124:AA124,"u")+COUNTIF($E124:AA124,"t"),
     INDEX(Roadmap!$D:$K,MATCH($E124,Roadmap!$D:$D,0)+COUNTIF($E124:AA124,"u")+COUNTIF($E124:AA124,"t")+COUNTIF($E124:AA124,"¶")+COUNTIF($E124:AA124,"²")+COUNTIF($E124:AA124,"µ")+COUNTIF($E124:AA124,1),ColTypeEcheance)),
  IF(LEN(AA124)=1,
  IF(LEN(INDEX(Roadmap!$D:$K,MATCH($E124,Roadmap!$D:$D,0)-1+COUNTIF($E124:AA124,"u")+COUNTIF($E124:AA124,"t")+COUNTIF($E124:AA124,"¶")+COUNTIF($E124:AA124,"²")+COUNTIF($E124:AA124,"µ")+COUNTIF($E124:AA124,1),ColDescriptionCourte))&gt;1,
HYPERLINK("#Roadmap!C"&amp; MATCH($E124,Roadmap!$D:$D,0)+COUNTIF($E124:AA124,"u")+COUNTIF($E124:AA124,"t")+COUNTIF($E124:AA124,"¶")+COUNTIF($E124:AA124,"²")+COUNTIF($E124:AA124,"µ")+COUNTIF($E124:AA124,1)-1,INDEX(Roadmap!$D:$K,MATCH($E124,Roadmap!$D:$D,0)-1+COUNTIF($E124:AA124,"u")+COUNTIF($E124:AA124,"t")+COUNTIF($E124:AA124,"¶")+COUNTIF($E124:AA124,"²")+COUNTIF($E124:AA124,"µ")+COUNTIF($E124:AA124,1),ColDescriptionCourte)),""),
  "")),"")</f>
        <v/>
      </c>
      <c r="AC124" s="40" t="str">
        <f ca="1">IFERROR(IF(AND(
  INDEX(Roadmap!$D:$K,MATCH($E124,Roadmap!$D:$D,0)+COUNTIF($E124:AB124,"u")+COUNTIF($E124:AB124,"t")+COUNTIF($E124:AB124,"¶")+COUNTIF($E124:AB124,"²")+COUNTIF($E124:AB124,"µ")+COUNTIF($E124:AB124,1),ColLivraison)=AC$6,
  VLOOKUP($E124,INDIRECT("tri!"&amp; CHAR(64+ C0Col) &amp;":"&amp; CHAR(65+C0Col)),2,FALSE)&gt;COUNTIF($E124:AB124,"u")+COUNTIF($E124:AB124,"t")+COUNTIF($E124:AB124,"¶")+COUNTIF($E124:AB124,"²")+COUNTIF($E124:AB124,"µ")+COUNTIF($E124:AB124,1)),
HYPERLINK("#Roadmap!C"&amp; MATCH($E124,Roadmap!$D:$D,0)+COUNTIF($E124:AB124,"u")+COUNTIF($E124:AB124,"t"),
     INDEX(Roadmap!$D:$K,MATCH($E124,Roadmap!$D:$D,0)+COUNTIF($E124:AB124,"u")+COUNTIF($E124:AB124,"t")+COUNTIF($E124:AB124,"¶")+COUNTIF($E124:AB124,"²")+COUNTIF($E124:AB124,"µ")+COUNTIF($E124:AB124,1),ColTypeEcheance)),
  IF(LEN(AB124)=1,
  IF(LEN(INDEX(Roadmap!$D:$K,MATCH($E124,Roadmap!$D:$D,0)-1+COUNTIF($E124:AB124,"u")+COUNTIF($E124:AB124,"t")+COUNTIF($E124:AB124,"¶")+COUNTIF($E124:AB124,"²")+COUNTIF($E124:AB124,"µ")+COUNTIF($E124:AB124,1),ColDescriptionCourte))&gt;1,
HYPERLINK("#Roadmap!C"&amp; MATCH($E124,Roadmap!$D:$D,0)+COUNTIF($E124:AB124,"u")+COUNTIF($E124:AB124,"t")+COUNTIF($E124:AB124,"¶")+COUNTIF($E124:AB124,"²")+COUNTIF($E124:AB124,"µ")+COUNTIF($E124:AB124,1)-1,INDEX(Roadmap!$D:$K,MATCH($E124,Roadmap!$D:$D,0)-1+COUNTIF($E124:AB124,"u")+COUNTIF($E124:AB124,"t")+COUNTIF($E124:AB124,"¶")+COUNTIF($E124:AB124,"²")+COUNTIF($E124:AB124,"µ")+COUNTIF($E124:AB124,1),ColDescriptionCourte)),""),
  "")),"")</f>
        <v/>
      </c>
      <c r="AD124" s="40" t="str">
        <f ca="1">IFERROR(IF(AND(
  INDEX(Roadmap!$D:$K,MATCH($E124,Roadmap!$D:$D,0)+COUNTIF($E124:AC124,"u")+COUNTIF($E124:AC124,"t")+COUNTIF($E124:AC124,"¶")+COUNTIF($E124:AC124,"²")+COUNTIF($E124:AC124,"µ")+COUNTIF($E124:AC124,1),ColLivraison)=AD$6,
  VLOOKUP($E124,INDIRECT("tri!"&amp; CHAR(64+ C0Col) &amp;":"&amp; CHAR(65+C0Col)),2,FALSE)&gt;COUNTIF($E124:AC124,"u")+COUNTIF($E124:AC124,"t")+COUNTIF($E124:AC124,"¶")+COUNTIF($E124:AC124,"²")+COUNTIF($E124:AC124,"µ")+COUNTIF($E124:AC124,1)),
HYPERLINK("#Roadmap!C"&amp; MATCH($E124,Roadmap!$D:$D,0)+COUNTIF($E124:AC124,"u")+COUNTIF($E124:AC124,"t"),
     INDEX(Roadmap!$D:$K,MATCH($E124,Roadmap!$D:$D,0)+COUNTIF($E124:AC124,"u")+COUNTIF($E124:AC124,"t")+COUNTIF($E124:AC124,"¶")+COUNTIF($E124:AC124,"²")+COUNTIF($E124:AC124,"µ")+COUNTIF($E124:AC124,1),ColTypeEcheance)),
  IF(LEN(AC124)=1,
  IF(LEN(INDEX(Roadmap!$D:$K,MATCH($E124,Roadmap!$D:$D,0)-1+COUNTIF($E124:AC124,"u")+COUNTIF($E124:AC124,"t")+COUNTIF($E124:AC124,"¶")+COUNTIF($E124:AC124,"²")+COUNTIF($E124:AC124,"µ")+COUNTIF($E124:AC124,1),ColDescriptionCourte))&gt;1,
HYPERLINK("#Roadmap!C"&amp; MATCH($E124,Roadmap!$D:$D,0)+COUNTIF($E124:AC124,"u")+COUNTIF($E124:AC124,"t")+COUNTIF($E124:AC124,"¶")+COUNTIF($E124:AC124,"²")+COUNTIF($E124:AC124,"µ")+COUNTIF($E124:AC124,1)-1,INDEX(Roadmap!$D:$K,MATCH($E124,Roadmap!$D:$D,0)-1+COUNTIF($E124:AC124,"u")+COUNTIF($E124:AC124,"t")+COUNTIF($E124:AC124,"¶")+COUNTIF($E124:AC124,"²")+COUNTIF($E124:AC124,"µ")+COUNTIF($E124:AC124,1),ColDescriptionCourte)),""),
  "")),"")</f>
        <v/>
      </c>
      <c r="AE124" s="40" t="str">
        <f ca="1">IFERROR(IF(AND(
  INDEX(Roadmap!$D:$K,MATCH($E124,Roadmap!$D:$D,0)+COUNTIF($E124:AD124,"u")+COUNTIF($E124:AD124,"t")+COUNTIF($E124:AD124,"¶")+COUNTIF($E124:AD124,"²")+COUNTIF($E124:AD124,"µ")+COUNTIF($E124:AD124,1),ColLivraison)=AE$6,
  VLOOKUP($E124,INDIRECT("tri!"&amp; CHAR(64+ C0Col) &amp;":"&amp; CHAR(65+C0Col)),2,FALSE)&gt;COUNTIF($E124:AD124,"u")+COUNTIF($E124:AD124,"t")+COUNTIF($E124:AD124,"¶")+COUNTIF($E124:AD124,"²")+COUNTIF($E124:AD124,"µ")+COUNTIF($E124:AD124,1)),
HYPERLINK("#Roadmap!C"&amp; MATCH($E124,Roadmap!$D:$D,0)+COUNTIF($E124:AD124,"u")+COUNTIF($E124:AD124,"t"),
     INDEX(Roadmap!$D:$K,MATCH($E124,Roadmap!$D:$D,0)+COUNTIF($E124:AD124,"u")+COUNTIF($E124:AD124,"t")+COUNTIF($E124:AD124,"¶")+COUNTIF($E124:AD124,"²")+COUNTIF($E124:AD124,"µ")+COUNTIF($E124:AD124,1),ColTypeEcheance)),
  IF(LEN(AD124)=1,
  IF(LEN(INDEX(Roadmap!$D:$K,MATCH($E124,Roadmap!$D:$D,0)-1+COUNTIF($E124:AD124,"u")+COUNTIF($E124:AD124,"t")+COUNTIF($E124:AD124,"¶")+COUNTIF($E124:AD124,"²")+COUNTIF($E124:AD124,"µ")+COUNTIF($E124:AD124,1),ColDescriptionCourte))&gt;1,
HYPERLINK("#Roadmap!C"&amp; MATCH($E124,Roadmap!$D:$D,0)+COUNTIF($E124:AD124,"u")+COUNTIF($E124:AD124,"t")+COUNTIF($E124:AD124,"¶")+COUNTIF($E124:AD124,"²")+COUNTIF($E124:AD124,"µ")+COUNTIF($E124:AD124,1)-1,INDEX(Roadmap!$D:$K,MATCH($E124,Roadmap!$D:$D,0)-1+COUNTIF($E124:AD124,"u")+COUNTIF($E124:AD124,"t")+COUNTIF($E124:AD124,"¶")+COUNTIF($E124:AD124,"²")+COUNTIF($E124:AD124,"µ")+COUNTIF($E124:AD124,1),ColDescriptionCourte)),""),
  "")),"")</f>
        <v/>
      </c>
      <c r="AF124" s="40" t="str">
        <f ca="1">IFERROR(IF(AND(
  INDEX(Roadmap!$D:$K,MATCH($E124,Roadmap!$D:$D,0)+COUNTIF($E124:AE124,"u")+COUNTIF($E124:AE124,"t")+COUNTIF($E124:AE124,"¶")+COUNTIF($E124:AE124,"²")+COUNTIF($E124:AE124,"µ")+COUNTIF($E124:AE124,1),ColLivraison)=AF$6,
  VLOOKUP($E124,INDIRECT("tri!"&amp; CHAR(64+ C0Col) &amp;":"&amp; CHAR(65+C0Col)),2,FALSE)&gt;COUNTIF($E124:AE124,"u")+COUNTIF($E124:AE124,"t")+COUNTIF($E124:AE124,"¶")+COUNTIF($E124:AE124,"²")+COUNTIF($E124:AE124,"µ")+COUNTIF($E124:AE124,1)),
HYPERLINK("#Roadmap!C"&amp; MATCH($E124,Roadmap!$D:$D,0)+COUNTIF($E124:AE124,"u")+COUNTIF($E124:AE124,"t"),
     INDEX(Roadmap!$D:$K,MATCH($E124,Roadmap!$D:$D,0)+COUNTIF($E124:AE124,"u")+COUNTIF($E124:AE124,"t")+COUNTIF($E124:AE124,"¶")+COUNTIF($E124:AE124,"²")+COUNTIF($E124:AE124,"µ")+COUNTIF($E124:AE124,1),ColTypeEcheance)),
  IF(LEN(AE124)=1,
  IF(LEN(INDEX(Roadmap!$D:$K,MATCH($E124,Roadmap!$D:$D,0)-1+COUNTIF($E124:AE124,"u")+COUNTIF($E124:AE124,"t")+COUNTIF($E124:AE124,"¶")+COUNTIF($E124:AE124,"²")+COUNTIF($E124:AE124,"µ")+COUNTIF($E124:AE124,1),ColDescriptionCourte))&gt;1,
HYPERLINK("#Roadmap!C"&amp; MATCH($E124,Roadmap!$D:$D,0)+COUNTIF($E124:AE124,"u")+COUNTIF($E124:AE124,"t")+COUNTIF($E124:AE124,"¶")+COUNTIF($E124:AE124,"²")+COUNTIF($E124:AE124,"µ")+COUNTIF($E124:AE124,1)-1,INDEX(Roadmap!$D:$K,MATCH($E124,Roadmap!$D:$D,0)-1+COUNTIF($E124:AE124,"u")+COUNTIF($E124:AE124,"t")+COUNTIF($E124:AE124,"¶")+COUNTIF($E124:AE124,"²")+COUNTIF($E124:AE124,"µ")+COUNTIF($E124:AE124,1),ColDescriptionCourte)),""),
  "")),"")</f>
        <v/>
      </c>
      <c r="AG124" s="40" t="str">
        <f ca="1">IFERROR(IF(AND(
  INDEX(Roadmap!$D:$K,MATCH($E124,Roadmap!$D:$D,0)+COUNTIF($E124:AF124,"u")+COUNTIF($E124:AF124,"t")+COUNTIF($E124:AF124,"¶")+COUNTIF($E124:AF124,"²")+COUNTIF($E124:AF124,"µ")+COUNTIF($E124:AF124,1),ColLivraison)=AG$6,
  VLOOKUP($E124,INDIRECT("tri!"&amp; CHAR(64+ C0Col) &amp;":"&amp; CHAR(65+C0Col)),2,FALSE)&gt;COUNTIF($E124:AF124,"u")+COUNTIF($E124:AF124,"t")+COUNTIF($E124:AF124,"¶")+COUNTIF($E124:AF124,"²")+COUNTIF($E124:AF124,"µ")+COUNTIF($E124:AF124,1)),
HYPERLINK("#Roadmap!C"&amp; MATCH($E124,Roadmap!$D:$D,0)+COUNTIF($E124:AF124,"u")+COUNTIF($E124:AF124,"t"),
     INDEX(Roadmap!$D:$K,MATCH($E124,Roadmap!$D:$D,0)+COUNTIF($E124:AF124,"u")+COUNTIF($E124:AF124,"t")+COUNTIF($E124:AF124,"¶")+COUNTIF($E124:AF124,"²")+COUNTIF($E124:AF124,"µ")+COUNTIF($E124:AF124,1),ColTypeEcheance)),
  IF(LEN(AF124)=1,
  IF(LEN(INDEX(Roadmap!$D:$K,MATCH($E124,Roadmap!$D:$D,0)-1+COUNTIF($E124:AF124,"u")+COUNTIF($E124:AF124,"t")+COUNTIF($E124:AF124,"¶")+COUNTIF($E124:AF124,"²")+COUNTIF($E124:AF124,"µ")+COUNTIF($E124:AF124,1),ColDescriptionCourte))&gt;1,
HYPERLINK("#Roadmap!C"&amp; MATCH($E124,Roadmap!$D:$D,0)+COUNTIF($E124:AF124,"u")+COUNTIF($E124:AF124,"t")+COUNTIF($E124:AF124,"¶")+COUNTIF($E124:AF124,"²")+COUNTIF($E124:AF124,"µ")+COUNTIF($E124:AF124,1)-1,INDEX(Roadmap!$D:$K,MATCH($E124,Roadmap!$D:$D,0)-1+COUNTIF($E124:AF124,"u")+COUNTIF($E124:AF124,"t")+COUNTIF($E124:AF124,"¶")+COUNTIF($E124:AF124,"²")+COUNTIF($E124:AF124,"µ")+COUNTIF($E124:AF124,1),ColDescriptionCourte)),""),
  "")),"")</f>
        <v/>
      </c>
    </row>
    <row r="125" spans="3:33" ht="14.25" customHeight="1">
      <c r="C125" s="1" t="str">
        <f t="shared" ca="1" si="49"/>
        <v/>
      </c>
      <c r="D125" s="1" t="str">
        <f t="shared" ca="1" si="50"/>
        <v/>
      </c>
      <c r="E125" s="35" t="str">
        <f t="shared" ca="1" si="46"/>
        <v/>
      </c>
      <c r="F125" s="39" t="str">
        <f ca="1">IFERROR(IF(AND(
  INDEX(Roadmap!$D:$K,MATCH($E125,Roadmap!$D:$D,0)+COUNTIF($E125:E125,"u")+COUNTIF($E125:E125,"t")+COUNTIF($E125:E125,"¶")+COUNTIF($E125:E125,"²")+COUNTIF($E125:E125,"µ")+COUNTIF($E125:E125,1),ColLivraison)=F$6,
  VLOOKUP($E125,INDIRECT("tri!"&amp; CHAR(64+ C0Col) &amp;":"&amp; CHAR(65+C0Col)),2,FALSE)&gt;COUNTIF($E125:E125,"u")+COUNTIF($E125:E125,"t")+COUNTIF($E125:E125,"¶")+COUNTIF($E125:E125,"²")+COUNTIF($E125:E125,"µ")+COUNTIF($E125:E125,1)),
HYPERLINK("#Roadmap!C"&amp; MATCH($E125,Roadmap!$D:$D,0)+COUNTIF($E125:E125,"u")+COUNTIF($E125:E125,"t"),
     INDEX(Roadmap!$D:$K,MATCH($E125,Roadmap!$D:$D,0)+COUNTIF($E125:E125,"u")+COUNTIF($E125:E125,"t")+COUNTIF($E125:E125,"¶")+COUNTIF($E125:E125,"²")+COUNTIF($E125:E125,"µ")+COUNTIF($E125:E125,1),ColTypeEcheance)),
  IF(LEN(E125)=1,
  IF(LEN(INDEX(Roadmap!$D:$K,MATCH($E125,Roadmap!$D:$D,0)-1+COUNTIF($E125:E125,"u")+COUNTIF($E125:E125,"t")+COUNTIF($E125:E125,"¶")+COUNTIF($E125:E125,"²")+COUNTIF($E125:E125,"µ")+COUNTIF($E125:E125,1),ColDescriptionCourte))&gt;1,
HYPERLINK("#Roadmap!C"&amp; MATCH($E125,Roadmap!$D:$D,0)+COUNTIF($E125:E125,"u")+COUNTIF($E125:E125,"t")+COUNTIF($E125:E125,"¶")+COUNTIF($E125:E125,"²")+COUNTIF($E125:E125,"µ")+COUNTIF($E125:E125,1)-1,INDEX(Roadmap!$D:$K,MATCH($E125,Roadmap!$D:$D,0)-1+COUNTIF($E125:E125,"u")+COUNTIF($E125:E125,"t")+COUNTIF($E125:E125,"¶")+COUNTIF($E125:E125,"²")+COUNTIF($E125:E125,"µ")+COUNTIF($E125:E125,1),ColDescriptionCourte)),""),
  "")),"")</f>
        <v/>
      </c>
      <c r="G125" s="40" t="str">
        <f ca="1">IFERROR(IF(AND(
  INDEX(Roadmap!$D:$K,MATCH($E125,Roadmap!$D:$D,0)+COUNTIF($E125:F125,"u")+COUNTIF($E125:F125,"t")+COUNTIF($E125:F125,"¶")+COUNTIF($E125:F125,"²")+COUNTIF($E125:F125,"µ")+COUNTIF($E125:F125,1),ColLivraison)=G$6,
  VLOOKUP($E125,INDIRECT("tri!"&amp; CHAR(64+ C0Col) &amp;":"&amp; CHAR(65+C0Col)),2,FALSE)&gt;COUNTIF($E125:F125,"u")+COUNTIF($E125:F125,"t")+COUNTIF($E125:F125,"¶")+COUNTIF($E125:F125,"²")+COUNTIF($E125:F125,"µ")+COUNTIF($E125:F125,1)),
HYPERLINK("#Roadmap!C"&amp; MATCH($E125,Roadmap!$D:$D,0)+COUNTIF($E125:F125,"u")+COUNTIF($E125:F125,"t"),
     INDEX(Roadmap!$D:$K,MATCH($E125,Roadmap!$D:$D,0)+COUNTIF($E125:F125,"u")+COUNTIF($E125:F125,"t")+COUNTIF($E125:F125,"¶")+COUNTIF($E125:F125,"²")+COUNTIF($E125:F125,"µ")+COUNTIF($E125:F125,1),ColTypeEcheance)),
  IF(LEN(F125)=1,
  IF(LEN(INDEX(Roadmap!$D:$K,MATCH($E125,Roadmap!$D:$D,0)-1+COUNTIF($E125:F125,"u")+COUNTIF($E125:F125,"t")+COUNTIF($E125:F125,"¶")+COUNTIF($E125:F125,"²")+COUNTIF($E125:F125,"µ")+COUNTIF($E125:F125,1),ColDescriptionCourte))&gt;1,
HYPERLINK("#Roadmap!C"&amp; MATCH($E125,Roadmap!$D:$D,0)+COUNTIF($E125:F125,"u")+COUNTIF($E125:F125,"t")+COUNTIF($E125:F125,"¶")+COUNTIF($E125:F125,"²")+COUNTIF($E125:F125,"µ")+COUNTIF($E125:F125,1)-1,INDEX(Roadmap!$D:$K,MATCH($E125,Roadmap!$D:$D,0)-1+COUNTIF($E125:F125,"u")+COUNTIF($E125:F125,"t")+COUNTIF($E125:F125,"¶")+COUNTIF($E125:F125,"²")+COUNTIF($E125:F125,"µ")+COUNTIF($E125:F125,1),ColDescriptionCourte)),""),
  "")),"")</f>
        <v/>
      </c>
      <c r="H125" s="40" t="str">
        <f ca="1">IFERROR(IF(AND(
  INDEX(Roadmap!$D:$K,MATCH($E125,Roadmap!$D:$D,0)+COUNTIF($E125:G125,"u")+COUNTIF($E125:G125,"t")+COUNTIF($E125:G125,"¶")+COUNTIF($E125:G125,"²")+COUNTIF($E125:G125,"µ")+COUNTIF($E125:G125,1),ColLivraison)=H$6,
  VLOOKUP($E125,INDIRECT("tri!"&amp; CHAR(64+ C0Col) &amp;":"&amp; CHAR(65+C0Col)),2,FALSE)&gt;COUNTIF($E125:G125,"u")+COUNTIF($E125:G125,"t")+COUNTIF($E125:G125,"¶")+COUNTIF($E125:G125,"²")+COUNTIF($E125:G125,"µ")+COUNTIF($E125:G125,1)),
HYPERLINK("#Roadmap!C"&amp; MATCH($E125,Roadmap!$D:$D,0)+COUNTIF($E125:G125,"u")+COUNTIF($E125:G125,"t"),
     INDEX(Roadmap!$D:$K,MATCH($E125,Roadmap!$D:$D,0)+COUNTIF($E125:G125,"u")+COUNTIF($E125:G125,"t")+COUNTIF($E125:G125,"¶")+COUNTIF($E125:G125,"²")+COUNTIF($E125:G125,"µ")+COUNTIF($E125:G125,1),ColTypeEcheance)),
  IF(LEN(G125)=1,
  IF(LEN(INDEX(Roadmap!$D:$K,MATCH($E125,Roadmap!$D:$D,0)-1+COUNTIF($E125:G125,"u")+COUNTIF($E125:G125,"t")+COUNTIF($E125:G125,"¶")+COUNTIF($E125:G125,"²")+COUNTIF($E125:G125,"µ")+COUNTIF($E125:G125,1),ColDescriptionCourte))&gt;1,
HYPERLINK("#Roadmap!C"&amp; MATCH($E125,Roadmap!$D:$D,0)+COUNTIF($E125:G125,"u")+COUNTIF($E125:G125,"t")+COUNTIF($E125:G125,"¶")+COUNTIF($E125:G125,"²")+COUNTIF($E125:G125,"µ")+COUNTIF($E125:G125,1)-1,INDEX(Roadmap!$D:$K,MATCH($E125,Roadmap!$D:$D,0)-1+COUNTIF($E125:G125,"u")+COUNTIF($E125:G125,"t")+COUNTIF($E125:G125,"¶")+COUNTIF($E125:G125,"²")+COUNTIF($E125:G125,"µ")+COUNTIF($E125:G125,1),ColDescriptionCourte)),""),
  "")),"")</f>
        <v/>
      </c>
      <c r="I125" s="40" t="str">
        <f ca="1">IFERROR(IF(AND(
  INDEX(Roadmap!$D:$K,MATCH($E125,Roadmap!$D:$D,0)+COUNTIF($E125:H125,"u")+COUNTIF($E125:H125,"t")+COUNTIF($E125:H125,"¶")+COUNTIF($E125:H125,"²")+COUNTIF($E125:H125,"µ")+COUNTIF($E125:H125,1),ColLivraison)=I$6,
  VLOOKUP($E125,INDIRECT("tri!"&amp; CHAR(64+ C0Col) &amp;":"&amp; CHAR(65+C0Col)),2,FALSE)&gt;COUNTIF($E125:H125,"u")+COUNTIF($E125:H125,"t")+COUNTIF($E125:H125,"¶")+COUNTIF($E125:H125,"²")+COUNTIF($E125:H125,"µ")+COUNTIF($E125:H125,1)),
HYPERLINK("#Roadmap!C"&amp; MATCH($E125,Roadmap!$D:$D,0)+COUNTIF($E125:H125,"u")+COUNTIF($E125:H125,"t"),
     INDEX(Roadmap!$D:$K,MATCH($E125,Roadmap!$D:$D,0)+COUNTIF($E125:H125,"u")+COUNTIF($E125:H125,"t")+COUNTIF($E125:H125,"¶")+COUNTIF($E125:H125,"²")+COUNTIF($E125:H125,"µ")+COUNTIF($E125:H125,1),ColTypeEcheance)),
  IF(LEN(H125)=1,
  IF(LEN(INDEX(Roadmap!$D:$K,MATCH($E125,Roadmap!$D:$D,0)-1+COUNTIF($E125:H125,"u")+COUNTIF($E125:H125,"t")+COUNTIF($E125:H125,"¶")+COUNTIF($E125:H125,"²")+COUNTIF($E125:H125,"µ")+COUNTIF($E125:H125,1),ColDescriptionCourte))&gt;1,
HYPERLINK("#Roadmap!C"&amp; MATCH($E125,Roadmap!$D:$D,0)+COUNTIF($E125:H125,"u")+COUNTIF($E125:H125,"t")+COUNTIF($E125:H125,"¶")+COUNTIF($E125:H125,"²")+COUNTIF($E125:H125,"µ")+COUNTIF($E125:H125,1)-1,INDEX(Roadmap!$D:$K,MATCH($E125,Roadmap!$D:$D,0)-1+COUNTIF($E125:H125,"u")+COUNTIF($E125:H125,"t")+COUNTIF($E125:H125,"¶")+COUNTIF($E125:H125,"²")+COUNTIF($E125:H125,"µ")+COUNTIF($E125:H125,1),ColDescriptionCourte)),""),
  "")),"")</f>
        <v/>
      </c>
      <c r="J125" s="40" t="str">
        <f ca="1">IFERROR(IF(AND(
  INDEX(Roadmap!$D:$K,MATCH($E125,Roadmap!$D:$D,0)+COUNTIF($E125:I125,"u")+COUNTIF($E125:I125,"t")+COUNTIF($E125:I125,"¶")+COUNTIF($E125:I125,"²")+COUNTIF($E125:I125,"µ")+COUNTIF($E125:I125,1),ColLivraison)=J$6,
  VLOOKUP($E125,INDIRECT("tri!"&amp; CHAR(64+ C0Col) &amp;":"&amp; CHAR(65+C0Col)),2,FALSE)&gt;COUNTIF($E125:I125,"u")+COUNTIF($E125:I125,"t")+COUNTIF($E125:I125,"¶")+COUNTIF($E125:I125,"²")+COUNTIF($E125:I125,"µ")+COUNTIF($E125:I125,1)),
HYPERLINK("#Roadmap!C"&amp; MATCH($E125,Roadmap!$D:$D,0)+COUNTIF($E125:I125,"u")+COUNTIF($E125:I125,"t"),
     INDEX(Roadmap!$D:$K,MATCH($E125,Roadmap!$D:$D,0)+COUNTIF($E125:I125,"u")+COUNTIF($E125:I125,"t")+COUNTIF($E125:I125,"¶")+COUNTIF($E125:I125,"²")+COUNTIF($E125:I125,"µ")+COUNTIF($E125:I125,1),ColTypeEcheance)),
  IF(LEN(I125)=1,
  IF(LEN(INDEX(Roadmap!$D:$K,MATCH($E125,Roadmap!$D:$D,0)-1+COUNTIF($E125:I125,"u")+COUNTIF($E125:I125,"t")+COUNTIF($E125:I125,"¶")+COUNTIF($E125:I125,"²")+COUNTIF($E125:I125,"µ")+COUNTIF($E125:I125,1),ColDescriptionCourte))&gt;1,
HYPERLINK("#Roadmap!C"&amp; MATCH($E125,Roadmap!$D:$D,0)+COUNTIF($E125:I125,"u")+COUNTIF($E125:I125,"t")+COUNTIF($E125:I125,"¶")+COUNTIF($E125:I125,"²")+COUNTIF($E125:I125,"µ")+COUNTIF($E125:I125,1)-1,INDEX(Roadmap!$D:$K,MATCH($E125,Roadmap!$D:$D,0)-1+COUNTIF($E125:I125,"u")+COUNTIF($E125:I125,"t")+COUNTIF($E125:I125,"¶")+COUNTIF($E125:I125,"²")+COUNTIF($E125:I125,"µ")+COUNTIF($E125:I125,1),ColDescriptionCourte)),""),
  "")),"")</f>
        <v/>
      </c>
      <c r="K125" s="40" t="str">
        <f ca="1">IFERROR(IF(AND(
  INDEX(Roadmap!$D:$K,MATCH($E125,Roadmap!$D:$D,0)+COUNTIF($E125:J125,"u")+COUNTIF($E125:J125,"t")+COUNTIF($E125:J125,"¶")+COUNTIF($E125:J125,"²")+COUNTIF($E125:J125,"µ")+COUNTIF($E125:J125,1),ColLivraison)=K$6,
  VLOOKUP($E125,INDIRECT("tri!"&amp; CHAR(64+ C0Col) &amp;":"&amp; CHAR(65+C0Col)),2,FALSE)&gt;COUNTIF($E125:J125,"u")+COUNTIF($E125:J125,"t")+COUNTIF($E125:J125,"¶")+COUNTIF($E125:J125,"²")+COUNTIF($E125:J125,"µ")+COUNTIF($E125:J125,1)),
HYPERLINK("#Roadmap!C"&amp; MATCH($E125,Roadmap!$D:$D,0)+COUNTIF($E125:J125,"u")+COUNTIF($E125:J125,"t"),
     INDEX(Roadmap!$D:$K,MATCH($E125,Roadmap!$D:$D,0)+COUNTIF($E125:J125,"u")+COUNTIF($E125:J125,"t")+COUNTIF($E125:J125,"¶")+COUNTIF($E125:J125,"²")+COUNTIF($E125:J125,"µ")+COUNTIF($E125:J125,1),ColTypeEcheance)),
  IF(LEN(J125)=1,
  IF(LEN(INDEX(Roadmap!$D:$K,MATCH($E125,Roadmap!$D:$D,0)-1+COUNTIF($E125:J125,"u")+COUNTIF($E125:J125,"t")+COUNTIF($E125:J125,"¶")+COUNTIF($E125:J125,"²")+COUNTIF($E125:J125,"µ")+COUNTIF($E125:J125,1),ColDescriptionCourte))&gt;1,
HYPERLINK("#Roadmap!C"&amp; MATCH($E125,Roadmap!$D:$D,0)+COUNTIF($E125:J125,"u")+COUNTIF($E125:J125,"t")+COUNTIF($E125:J125,"¶")+COUNTIF($E125:J125,"²")+COUNTIF($E125:J125,"µ")+COUNTIF($E125:J125,1)-1,INDEX(Roadmap!$D:$K,MATCH($E125,Roadmap!$D:$D,0)-1+COUNTIF($E125:J125,"u")+COUNTIF($E125:J125,"t")+COUNTIF($E125:J125,"¶")+COUNTIF($E125:J125,"²")+COUNTIF($E125:J125,"µ")+COUNTIF($E125:J125,1),ColDescriptionCourte)),""),
  "")),"")</f>
        <v/>
      </c>
      <c r="L125" s="39" t="str">
        <f ca="1">IFERROR(IF(AND(
  INDEX(Roadmap!$D:$K,MATCH($E125,Roadmap!$D:$D,0)+COUNTIF($E125:K125,"u")+COUNTIF($E125:K125,"t")+COUNTIF($E125:K125,"¶")+COUNTIF($E125:K125,"²")+COUNTIF($E125:K125,"µ")+COUNTIF($E125:K125,1),ColLivraison)=L$6,
  VLOOKUP($E125,INDIRECT("tri!"&amp; CHAR(64+ C0Col) &amp;":"&amp; CHAR(65+C0Col)),2,FALSE)&gt;COUNTIF($E125:K125,"u")+COUNTIF($E125:K125,"t")+COUNTIF($E125:K125,"¶")+COUNTIF($E125:K125,"²")+COUNTIF($E125:K125,"µ")+COUNTIF($E125:K125,1)),
HYPERLINK("#Roadmap!C"&amp; MATCH($E125,Roadmap!$D:$D,0)+COUNTIF($E125:K125,"u")+COUNTIF($E125:K125,"t"),
     INDEX(Roadmap!$D:$K,MATCH($E125,Roadmap!$D:$D,0)+COUNTIF($E125:K125,"u")+COUNTIF($E125:K125,"t")+COUNTIF($E125:K125,"¶")+COUNTIF($E125:K125,"²")+COUNTIF($E125:K125,"µ")+COUNTIF($E125:K125,1),ColTypeEcheance)),
  IF(LEN(K125)=1,
  IF(LEN(INDEX(Roadmap!$D:$K,MATCH($E125,Roadmap!$D:$D,0)-1+COUNTIF($E125:K125,"u")+COUNTIF($E125:K125,"t")+COUNTIF($E125:K125,"¶")+COUNTIF($E125:K125,"²")+COUNTIF($E125:K125,"µ")+COUNTIF($E125:K125,1),ColDescriptionCourte))&gt;1,
HYPERLINK("#Roadmap!C"&amp; MATCH($E125,Roadmap!$D:$D,0)+COUNTIF($E125:K125,"u")+COUNTIF($E125:K125,"t")+COUNTIF($E125:K125,"¶")+COUNTIF($E125:K125,"²")+COUNTIF($E125:K125,"µ")+COUNTIF($E125:K125,1)-1,INDEX(Roadmap!$D:$K,MATCH($E125,Roadmap!$D:$D,0)-1+COUNTIF($E125:K125,"u")+COUNTIF($E125:K125,"t")+COUNTIF($E125:K125,"¶")+COUNTIF($E125:K125,"²")+COUNTIF($E125:K125,"µ")+COUNTIF($E125:K125,1),ColDescriptionCourte)),""),
  "")),"")</f>
        <v/>
      </c>
      <c r="M125" s="40" t="str">
        <f ca="1">IFERROR(IF(AND(
  INDEX(Roadmap!$D:$K,MATCH($E125,Roadmap!$D:$D,0)+COUNTIF($E125:L125,"u")+COUNTIF($E125:L125,"t")+COUNTIF($E125:L125,"¶")+COUNTIF($E125:L125,"²")+COUNTIF($E125:L125,"µ")+COUNTIF($E125:L125,1),ColLivraison)=M$6,
  VLOOKUP($E125,INDIRECT("tri!"&amp; CHAR(64+ C0Col) &amp;":"&amp; CHAR(65+C0Col)),2,FALSE)&gt;COUNTIF($E125:L125,"u")+COUNTIF($E125:L125,"t")+COUNTIF($E125:L125,"¶")+COUNTIF($E125:L125,"²")+COUNTIF($E125:L125,"µ")+COUNTIF($E125:L125,1)),
HYPERLINK("#Roadmap!C"&amp; MATCH($E125,Roadmap!$D:$D,0)+COUNTIF($E125:L125,"u")+COUNTIF($E125:L125,"t"),
     INDEX(Roadmap!$D:$K,MATCH($E125,Roadmap!$D:$D,0)+COUNTIF($E125:L125,"u")+COUNTIF($E125:L125,"t")+COUNTIF($E125:L125,"¶")+COUNTIF($E125:L125,"²")+COUNTIF($E125:L125,"µ")+COUNTIF($E125:L125,1),ColTypeEcheance)),
  IF(LEN(L125)=1,
  IF(LEN(INDEX(Roadmap!$D:$K,MATCH($E125,Roadmap!$D:$D,0)-1+COUNTIF($E125:L125,"u")+COUNTIF($E125:L125,"t")+COUNTIF($E125:L125,"¶")+COUNTIF($E125:L125,"²")+COUNTIF($E125:L125,"µ")+COUNTIF($E125:L125,1),ColDescriptionCourte))&gt;1,
HYPERLINK("#Roadmap!C"&amp; MATCH($E125,Roadmap!$D:$D,0)+COUNTIF($E125:L125,"u")+COUNTIF($E125:L125,"t")+COUNTIF($E125:L125,"¶")+COUNTIF($E125:L125,"²")+COUNTIF($E125:L125,"µ")+COUNTIF($E125:L125,1)-1,INDEX(Roadmap!$D:$K,MATCH($E125,Roadmap!$D:$D,0)-1+COUNTIF($E125:L125,"u")+COUNTIF($E125:L125,"t")+COUNTIF($E125:L125,"¶")+COUNTIF($E125:L125,"²")+COUNTIF($E125:L125,"µ")+COUNTIF($E125:L125,1),ColDescriptionCourte)),""),
  "")),"")</f>
        <v/>
      </c>
      <c r="N125" s="40" t="str">
        <f ca="1">IFERROR(IF(AND(
  INDEX(Roadmap!$D:$K,MATCH($E125,Roadmap!$D:$D,0)+COUNTIF($E125:M125,"u")+COUNTIF($E125:M125,"t")+COUNTIF($E125:M125,"¶")+COUNTIF($E125:M125,"²")+COUNTIF($E125:M125,"µ")+COUNTIF($E125:M125,1),ColLivraison)=N$6,
  VLOOKUP($E125,INDIRECT("tri!"&amp; CHAR(64+ C0Col) &amp;":"&amp; CHAR(65+C0Col)),2,FALSE)&gt;COUNTIF($E125:M125,"u")+COUNTIF($E125:M125,"t")+COUNTIF($E125:M125,"¶")+COUNTIF($E125:M125,"²")+COUNTIF($E125:M125,"µ")+COUNTIF($E125:M125,1)),
HYPERLINK("#Roadmap!C"&amp; MATCH($E125,Roadmap!$D:$D,0)+COUNTIF($E125:M125,"u")+COUNTIF($E125:M125,"t"),
     INDEX(Roadmap!$D:$K,MATCH($E125,Roadmap!$D:$D,0)+COUNTIF($E125:M125,"u")+COUNTIF($E125:M125,"t")+COUNTIF($E125:M125,"¶")+COUNTIF($E125:M125,"²")+COUNTIF($E125:M125,"µ")+COUNTIF($E125:M125,1),ColTypeEcheance)),
  IF(LEN(M125)=1,
  IF(LEN(INDEX(Roadmap!$D:$K,MATCH($E125,Roadmap!$D:$D,0)-1+COUNTIF($E125:M125,"u")+COUNTIF($E125:M125,"t")+COUNTIF($E125:M125,"¶")+COUNTIF($E125:M125,"²")+COUNTIF($E125:M125,"µ")+COUNTIF($E125:M125,1),ColDescriptionCourte))&gt;1,
HYPERLINK("#Roadmap!C"&amp; MATCH($E125,Roadmap!$D:$D,0)+COUNTIF($E125:M125,"u")+COUNTIF($E125:M125,"t")+COUNTIF($E125:M125,"¶")+COUNTIF($E125:M125,"²")+COUNTIF($E125:M125,"µ")+COUNTIF($E125:M125,1)-1,INDEX(Roadmap!$D:$K,MATCH($E125,Roadmap!$D:$D,0)-1+COUNTIF($E125:M125,"u")+COUNTIF($E125:M125,"t")+COUNTIF($E125:M125,"¶")+COUNTIF($E125:M125,"²")+COUNTIF($E125:M125,"µ")+COUNTIF($E125:M125,1),ColDescriptionCourte)),""),
  "")),"")</f>
        <v/>
      </c>
      <c r="O125" s="40" t="str">
        <f ca="1">IFERROR(IF(AND(
  INDEX(Roadmap!$D:$K,MATCH($E125,Roadmap!$D:$D,0)+COUNTIF($E125:N125,"u")+COUNTIF($E125:N125,"t")+COUNTIF($E125:N125,"¶")+COUNTIF($E125:N125,"²")+COUNTIF($E125:N125,"µ")+COUNTIF($E125:N125,1),ColLivraison)=O$6,
  VLOOKUP($E125,INDIRECT("tri!"&amp; CHAR(64+ C0Col) &amp;":"&amp; CHAR(65+C0Col)),2,FALSE)&gt;COUNTIF($E125:N125,"u")+COUNTIF($E125:N125,"t")+COUNTIF($E125:N125,"¶")+COUNTIF($E125:N125,"²")+COUNTIF($E125:N125,"µ")+COUNTIF($E125:N125,1)),
HYPERLINK("#Roadmap!C"&amp; MATCH($E125,Roadmap!$D:$D,0)+COUNTIF($E125:N125,"u")+COUNTIF($E125:N125,"t"),
     INDEX(Roadmap!$D:$K,MATCH($E125,Roadmap!$D:$D,0)+COUNTIF($E125:N125,"u")+COUNTIF($E125:N125,"t")+COUNTIF($E125:N125,"¶")+COUNTIF($E125:N125,"²")+COUNTIF($E125:N125,"µ")+COUNTIF($E125:N125,1),ColTypeEcheance)),
  IF(LEN(N125)=1,
  IF(LEN(INDEX(Roadmap!$D:$K,MATCH($E125,Roadmap!$D:$D,0)-1+COUNTIF($E125:N125,"u")+COUNTIF($E125:N125,"t")+COUNTIF($E125:N125,"¶")+COUNTIF($E125:N125,"²")+COUNTIF($E125:N125,"µ")+COUNTIF($E125:N125,1),ColDescriptionCourte))&gt;1,
HYPERLINK("#Roadmap!C"&amp; MATCH($E125,Roadmap!$D:$D,0)+COUNTIF($E125:N125,"u")+COUNTIF($E125:N125,"t")+COUNTIF($E125:N125,"¶")+COUNTIF($E125:N125,"²")+COUNTIF($E125:N125,"µ")+COUNTIF($E125:N125,1)-1,INDEX(Roadmap!$D:$K,MATCH($E125,Roadmap!$D:$D,0)-1+COUNTIF($E125:N125,"u")+COUNTIF($E125:N125,"t")+COUNTIF($E125:N125,"¶")+COUNTIF($E125:N125,"²")+COUNTIF($E125:N125,"µ")+COUNTIF($E125:N125,1),ColDescriptionCourte)),""),
  "")),"")</f>
        <v/>
      </c>
      <c r="P125" s="40" t="str">
        <f ca="1">IFERROR(IF(AND(
  INDEX(Roadmap!$D:$K,MATCH($E125,Roadmap!$D:$D,0)+COUNTIF($E125:O125,"u")+COUNTIF($E125:O125,"t")+COUNTIF($E125:O125,"¶")+COUNTIF($E125:O125,"²")+COUNTIF($E125:O125,"µ")+COUNTIF($E125:O125,1),ColLivraison)=P$6,
  VLOOKUP($E125,INDIRECT("tri!"&amp; CHAR(64+ C0Col) &amp;":"&amp; CHAR(65+C0Col)),2,FALSE)&gt;COUNTIF($E125:O125,"u")+COUNTIF($E125:O125,"t")+COUNTIF($E125:O125,"¶")+COUNTIF($E125:O125,"²")+COUNTIF($E125:O125,"µ")+COUNTIF($E125:O125,1)),
HYPERLINK("#Roadmap!C"&amp; MATCH($E125,Roadmap!$D:$D,0)+COUNTIF($E125:O125,"u")+COUNTIF($E125:O125,"t"),
     INDEX(Roadmap!$D:$K,MATCH($E125,Roadmap!$D:$D,0)+COUNTIF($E125:O125,"u")+COUNTIF($E125:O125,"t")+COUNTIF($E125:O125,"¶")+COUNTIF($E125:O125,"²")+COUNTIF($E125:O125,"µ")+COUNTIF($E125:O125,1),ColTypeEcheance)),
  IF(LEN(O125)=1,
  IF(LEN(INDEX(Roadmap!$D:$K,MATCH($E125,Roadmap!$D:$D,0)-1+COUNTIF($E125:O125,"u")+COUNTIF($E125:O125,"t")+COUNTIF($E125:O125,"¶")+COUNTIF($E125:O125,"²")+COUNTIF($E125:O125,"µ")+COUNTIF($E125:O125,1),ColDescriptionCourte))&gt;1,
HYPERLINK("#Roadmap!C"&amp; MATCH($E125,Roadmap!$D:$D,0)+COUNTIF($E125:O125,"u")+COUNTIF($E125:O125,"t")+COUNTIF($E125:O125,"¶")+COUNTIF($E125:O125,"²")+COUNTIF($E125:O125,"µ")+COUNTIF($E125:O125,1)-1,INDEX(Roadmap!$D:$K,MATCH($E125,Roadmap!$D:$D,0)-1+COUNTIF($E125:O125,"u")+COUNTIF($E125:O125,"t")+COUNTIF($E125:O125,"¶")+COUNTIF($E125:O125,"²")+COUNTIF($E125:O125,"µ")+COUNTIF($E125:O125,1),ColDescriptionCourte)),""),
  "")),"")</f>
        <v/>
      </c>
      <c r="Q125" s="40" t="str">
        <f ca="1">IFERROR(IF(AND(
  INDEX(Roadmap!$D:$K,MATCH($E125,Roadmap!$D:$D,0)+COUNTIF($E125:P125,"u")+COUNTIF($E125:P125,"t")+COUNTIF($E125:P125,"¶")+COUNTIF($E125:P125,"²")+COUNTIF($E125:P125,"µ")+COUNTIF($E125:P125,1),ColLivraison)=Q$6,
  VLOOKUP($E125,INDIRECT("tri!"&amp; CHAR(64+ C0Col) &amp;":"&amp; CHAR(65+C0Col)),2,FALSE)&gt;COUNTIF($E125:P125,"u")+COUNTIF($E125:P125,"t")+COUNTIF($E125:P125,"¶")+COUNTIF($E125:P125,"²")+COUNTIF($E125:P125,"µ")+COUNTIF($E125:P125,1)),
HYPERLINK("#Roadmap!C"&amp; MATCH($E125,Roadmap!$D:$D,0)+COUNTIF($E125:P125,"u")+COUNTIF($E125:P125,"t"),
     INDEX(Roadmap!$D:$K,MATCH($E125,Roadmap!$D:$D,0)+COUNTIF($E125:P125,"u")+COUNTIF($E125:P125,"t")+COUNTIF($E125:P125,"¶")+COUNTIF($E125:P125,"²")+COUNTIF($E125:P125,"µ")+COUNTIF($E125:P125,1),ColTypeEcheance)),
  IF(LEN(P125)=1,
  IF(LEN(INDEX(Roadmap!$D:$K,MATCH($E125,Roadmap!$D:$D,0)-1+COUNTIF($E125:P125,"u")+COUNTIF($E125:P125,"t")+COUNTIF($E125:P125,"¶")+COUNTIF($E125:P125,"²")+COUNTIF($E125:P125,"µ")+COUNTIF($E125:P125,1),ColDescriptionCourte))&gt;1,
HYPERLINK("#Roadmap!C"&amp; MATCH($E125,Roadmap!$D:$D,0)+COUNTIF($E125:P125,"u")+COUNTIF($E125:P125,"t")+COUNTIF($E125:P125,"¶")+COUNTIF($E125:P125,"²")+COUNTIF($E125:P125,"µ")+COUNTIF($E125:P125,1)-1,INDEX(Roadmap!$D:$K,MATCH($E125,Roadmap!$D:$D,0)-1+COUNTIF($E125:P125,"u")+COUNTIF($E125:P125,"t")+COUNTIF($E125:P125,"¶")+COUNTIF($E125:P125,"²")+COUNTIF($E125:P125,"µ")+COUNTIF($E125:P125,1),ColDescriptionCourte)),""),
  "")),"")</f>
        <v/>
      </c>
      <c r="R125" s="40" t="str">
        <f ca="1">IFERROR(IF(AND(
  INDEX(Roadmap!$D:$K,MATCH($E125,Roadmap!$D:$D,0)+COUNTIF($E125:Q125,"u")+COUNTIF($E125:Q125,"t")+COUNTIF($E125:Q125,"¶")+COUNTIF($E125:Q125,"²")+COUNTIF($E125:Q125,"µ")+COUNTIF($E125:Q125,1),ColLivraison)=R$6,
  VLOOKUP($E125,INDIRECT("tri!"&amp; CHAR(64+ C0Col) &amp;":"&amp; CHAR(65+C0Col)),2,FALSE)&gt;COUNTIF($E125:Q125,"u")+COUNTIF($E125:Q125,"t")+COUNTIF($E125:Q125,"¶")+COUNTIF($E125:Q125,"²")+COUNTIF($E125:Q125,"µ")+COUNTIF($E125:Q125,1)),
HYPERLINK("#Roadmap!C"&amp; MATCH($E125,Roadmap!$D:$D,0)+COUNTIF($E125:Q125,"u")+COUNTIF($E125:Q125,"t"),
     INDEX(Roadmap!$D:$K,MATCH($E125,Roadmap!$D:$D,0)+COUNTIF($E125:Q125,"u")+COUNTIF($E125:Q125,"t")+COUNTIF($E125:Q125,"¶")+COUNTIF($E125:Q125,"²")+COUNTIF($E125:Q125,"µ")+COUNTIF($E125:Q125,1),ColTypeEcheance)),
  IF(LEN(Q125)=1,
  IF(LEN(INDEX(Roadmap!$D:$K,MATCH($E125,Roadmap!$D:$D,0)-1+COUNTIF($E125:Q125,"u")+COUNTIF($E125:Q125,"t")+COUNTIF($E125:Q125,"¶")+COUNTIF($E125:Q125,"²")+COUNTIF($E125:Q125,"µ")+COUNTIF($E125:Q125,1),ColDescriptionCourte))&gt;1,
HYPERLINK("#Roadmap!C"&amp; MATCH($E125,Roadmap!$D:$D,0)+COUNTIF($E125:Q125,"u")+COUNTIF($E125:Q125,"t")+COUNTIF($E125:Q125,"¶")+COUNTIF($E125:Q125,"²")+COUNTIF($E125:Q125,"µ")+COUNTIF($E125:Q125,1)-1,INDEX(Roadmap!$D:$K,MATCH($E125,Roadmap!$D:$D,0)-1+COUNTIF($E125:Q125,"u")+COUNTIF($E125:Q125,"t")+COUNTIF($E125:Q125,"¶")+COUNTIF($E125:Q125,"²")+COUNTIF($E125:Q125,"µ")+COUNTIF($E125:Q125,1),ColDescriptionCourte)),""),
  "")),"")</f>
        <v/>
      </c>
      <c r="S125" s="40" t="str">
        <f ca="1">IFERROR(IF(AND(
  INDEX(Roadmap!$D:$K,MATCH($E125,Roadmap!$D:$D,0)+COUNTIF($E125:R125,"u")+COUNTIF($E125:R125,"t")+COUNTIF($E125:R125,"¶")+COUNTIF($E125:R125,"²")+COUNTIF($E125:R125,"µ")+COUNTIF($E125:R125,1),ColLivraison)=S$6,
  VLOOKUP($E125,INDIRECT("tri!"&amp; CHAR(64+ C0Col) &amp;":"&amp; CHAR(65+C0Col)),2,FALSE)&gt;COUNTIF($E125:R125,"u")+COUNTIF($E125:R125,"t")+COUNTIF($E125:R125,"¶")+COUNTIF($E125:R125,"²")+COUNTIF($E125:R125,"µ")+COUNTIF($E125:R125,1)),
HYPERLINK("#Roadmap!C"&amp; MATCH($E125,Roadmap!$D:$D,0)+COUNTIF($E125:R125,"u")+COUNTIF($E125:R125,"t"),
     INDEX(Roadmap!$D:$K,MATCH($E125,Roadmap!$D:$D,0)+COUNTIF($E125:R125,"u")+COUNTIF($E125:R125,"t")+COUNTIF($E125:R125,"¶")+COUNTIF($E125:R125,"²")+COUNTIF($E125:R125,"µ")+COUNTIF($E125:R125,1),ColTypeEcheance)),
  IF(LEN(R125)=1,
  IF(LEN(INDEX(Roadmap!$D:$K,MATCH($E125,Roadmap!$D:$D,0)-1+COUNTIF($E125:R125,"u")+COUNTIF($E125:R125,"t")+COUNTIF($E125:R125,"¶")+COUNTIF($E125:R125,"²")+COUNTIF($E125:R125,"µ")+COUNTIF($E125:R125,1),ColDescriptionCourte))&gt;1,
HYPERLINK("#Roadmap!C"&amp; MATCH($E125,Roadmap!$D:$D,0)+COUNTIF($E125:R125,"u")+COUNTIF($E125:R125,"t")+COUNTIF($E125:R125,"¶")+COUNTIF($E125:R125,"²")+COUNTIF($E125:R125,"µ")+COUNTIF($E125:R125,1)-1,INDEX(Roadmap!$D:$K,MATCH($E125,Roadmap!$D:$D,0)-1+COUNTIF($E125:R125,"u")+COUNTIF($E125:R125,"t")+COUNTIF($E125:R125,"¶")+COUNTIF($E125:R125,"²")+COUNTIF($E125:R125,"µ")+COUNTIF($E125:R125,1),ColDescriptionCourte)),""),
  "")),"")</f>
        <v/>
      </c>
      <c r="T125" s="40" t="str">
        <f ca="1">IFERROR(IF(AND(
  INDEX(Roadmap!$D:$K,MATCH($E125,Roadmap!$D:$D,0)+COUNTIF($E125:S125,"u")+COUNTIF($E125:S125,"t")+COUNTIF($E125:S125,"¶")+COUNTIF($E125:S125,"²")+COUNTIF($E125:S125,"µ")+COUNTIF($E125:S125,1),ColLivraison)=T$6,
  VLOOKUP($E125,INDIRECT("tri!"&amp; CHAR(64+ C0Col) &amp;":"&amp; CHAR(65+C0Col)),2,FALSE)&gt;COUNTIF($E125:S125,"u")+COUNTIF($E125:S125,"t")+COUNTIF($E125:S125,"¶")+COUNTIF($E125:S125,"²")+COUNTIF($E125:S125,"µ")+COUNTIF($E125:S125,1)),
HYPERLINK("#Roadmap!C"&amp; MATCH($E125,Roadmap!$D:$D,0)+COUNTIF($E125:S125,"u")+COUNTIF($E125:S125,"t"),
     INDEX(Roadmap!$D:$K,MATCH($E125,Roadmap!$D:$D,0)+COUNTIF($E125:S125,"u")+COUNTIF($E125:S125,"t")+COUNTIF($E125:S125,"¶")+COUNTIF($E125:S125,"²")+COUNTIF($E125:S125,"µ")+COUNTIF($E125:S125,1),ColTypeEcheance)),
  IF(LEN(S125)=1,
  IF(LEN(INDEX(Roadmap!$D:$K,MATCH($E125,Roadmap!$D:$D,0)-1+COUNTIF($E125:S125,"u")+COUNTIF($E125:S125,"t")+COUNTIF($E125:S125,"¶")+COUNTIF($E125:S125,"²")+COUNTIF($E125:S125,"µ")+COUNTIF($E125:S125,1),ColDescriptionCourte))&gt;1,
HYPERLINK("#Roadmap!C"&amp; MATCH($E125,Roadmap!$D:$D,0)+COUNTIF($E125:S125,"u")+COUNTIF($E125:S125,"t")+COUNTIF($E125:S125,"¶")+COUNTIF($E125:S125,"²")+COUNTIF($E125:S125,"µ")+COUNTIF($E125:S125,1)-1,INDEX(Roadmap!$D:$K,MATCH($E125,Roadmap!$D:$D,0)-1+COUNTIF($E125:S125,"u")+COUNTIF($E125:S125,"t")+COUNTIF($E125:S125,"¶")+COUNTIF($E125:S125,"²")+COUNTIF($E125:S125,"µ")+COUNTIF($E125:S125,1),ColDescriptionCourte)),""),
  "")),"")</f>
        <v/>
      </c>
      <c r="U125" s="40" t="str">
        <f ca="1">IFERROR(IF(AND(
  INDEX(Roadmap!$D:$K,MATCH($E125,Roadmap!$D:$D,0)+COUNTIF($E125:T125,"u")+COUNTIF($E125:T125,"t")+COUNTIF($E125:T125,"¶")+COUNTIF($E125:T125,"²")+COUNTIF($E125:T125,"µ")+COUNTIF($E125:T125,1),ColLivraison)=U$6,
  VLOOKUP($E125,INDIRECT("tri!"&amp; CHAR(64+ C0Col) &amp;":"&amp; CHAR(65+C0Col)),2,FALSE)&gt;COUNTIF($E125:T125,"u")+COUNTIF($E125:T125,"t")+COUNTIF($E125:T125,"¶")+COUNTIF($E125:T125,"²")+COUNTIF($E125:T125,"µ")+COUNTIF($E125:T125,1)),
HYPERLINK("#Roadmap!C"&amp; MATCH($E125,Roadmap!$D:$D,0)+COUNTIF($E125:T125,"u")+COUNTIF($E125:T125,"t"),
     INDEX(Roadmap!$D:$K,MATCH($E125,Roadmap!$D:$D,0)+COUNTIF($E125:T125,"u")+COUNTIF($E125:T125,"t")+COUNTIF($E125:T125,"¶")+COUNTIF($E125:T125,"²")+COUNTIF($E125:T125,"µ")+COUNTIF($E125:T125,1),ColTypeEcheance)),
  IF(LEN(T125)=1,
  IF(LEN(INDEX(Roadmap!$D:$K,MATCH($E125,Roadmap!$D:$D,0)-1+COUNTIF($E125:T125,"u")+COUNTIF($E125:T125,"t")+COUNTIF($E125:T125,"¶")+COUNTIF($E125:T125,"²")+COUNTIF($E125:T125,"µ")+COUNTIF($E125:T125,1),ColDescriptionCourte))&gt;1,
HYPERLINK("#Roadmap!C"&amp; MATCH($E125,Roadmap!$D:$D,0)+COUNTIF($E125:T125,"u")+COUNTIF($E125:T125,"t")+COUNTIF($E125:T125,"¶")+COUNTIF($E125:T125,"²")+COUNTIF($E125:T125,"µ")+COUNTIF($E125:T125,1)-1,INDEX(Roadmap!$D:$K,MATCH($E125,Roadmap!$D:$D,0)-1+COUNTIF($E125:T125,"u")+COUNTIF($E125:T125,"t")+COUNTIF($E125:T125,"¶")+COUNTIF($E125:T125,"²")+COUNTIF($E125:T125,"µ")+COUNTIF($E125:T125,1),ColDescriptionCourte)),""),
  "")),"")</f>
        <v/>
      </c>
      <c r="V125" s="40" t="str">
        <f ca="1">IFERROR(IF(AND(
  INDEX(Roadmap!$D:$K,MATCH($E125,Roadmap!$D:$D,0)+COUNTIF($E125:U125,"u")+COUNTIF($E125:U125,"t")+COUNTIF($E125:U125,"¶")+COUNTIF($E125:U125,"²")+COUNTIF($E125:U125,"µ")+COUNTIF($E125:U125,1),ColLivraison)=V$6,
  VLOOKUP($E125,INDIRECT("tri!"&amp; CHAR(64+ C0Col) &amp;":"&amp; CHAR(65+C0Col)),2,FALSE)&gt;COUNTIF($E125:U125,"u")+COUNTIF($E125:U125,"t")+COUNTIF($E125:U125,"¶")+COUNTIF($E125:U125,"²")+COUNTIF($E125:U125,"µ")+COUNTIF($E125:U125,1)),
HYPERLINK("#Roadmap!C"&amp; MATCH($E125,Roadmap!$D:$D,0)+COUNTIF($E125:U125,"u")+COUNTIF($E125:U125,"t"),
     INDEX(Roadmap!$D:$K,MATCH($E125,Roadmap!$D:$D,0)+COUNTIF($E125:U125,"u")+COUNTIF($E125:U125,"t")+COUNTIF($E125:U125,"¶")+COUNTIF($E125:U125,"²")+COUNTIF($E125:U125,"µ")+COUNTIF($E125:U125,1),ColTypeEcheance)),
  IF(LEN(U125)=1,
  IF(LEN(INDEX(Roadmap!$D:$K,MATCH($E125,Roadmap!$D:$D,0)-1+COUNTIF($E125:U125,"u")+COUNTIF($E125:U125,"t")+COUNTIF($E125:U125,"¶")+COUNTIF($E125:U125,"²")+COUNTIF($E125:U125,"µ")+COUNTIF($E125:U125,1),ColDescriptionCourte))&gt;1,
HYPERLINK("#Roadmap!C"&amp; MATCH($E125,Roadmap!$D:$D,0)+COUNTIF($E125:U125,"u")+COUNTIF($E125:U125,"t")+COUNTIF($E125:U125,"¶")+COUNTIF($E125:U125,"²")+COUNTIF($E125:U125,"µ")+COUNTIF($E125:U125,1)-1,INDEX(Roadmap!$D:$K,MATCH($E125,Roadmap!$D:$D,0)-1+COUNTIF($E125:U125,"u")+COUNTIF($E125:U125,"t")+COUNTIF($E125:U125,"¶")+COUNTIF($E125:U125,"²")+COUNTIF($E125:U125,"µ")+COUNTIF($E125:U125,1),ColDescriptionCourte)),""),
  "")),"")</f>
        <v/>
      </c>
      <c r="W125" s="40" t="str">
        <f ca="1">IFERROR(IF(AND(
  INDEX(Roadmap!$D:$K,MATCH($E125,Roadmap!$D:$D,0)+COUNTIF($E125:V125,"u")+COUNTIF($E125:V125,"t")+COUNTIF($E125:V125,"¶")+COUNTIF($E125:V125,"²")+COUNTIF($E125:V125,"µ")+COUNTIF($E125:V125,1),ColLivraison)=W$6,
  VLOOKUP($E125,INDIRECT("tri!"&amp; CHAR(64+ C0Col) &amp;":"&amp; CHAR(65+C0Col)),2,FALSE)&gt;COUNTIF($E125:V125,"u")+COUNTIF($E125:V125,"t")+COUNTIF($E125:V125,"¶")+COUNTIF($E125:V125,"²")+COUNTIF($E125:V125,"µ")+COUNTIF($E125:V125,1)),
HYPERLINK("#Roadmap!C"&amp; MATCH($E125,Roadmap!$D:$D,0)+COUNTIF($E125:V125,"u")+COUNTIF($E125:V125,"t"),
     INDEX(Roadmap!$D:$K,MATCH($E125,Roadmap!$D:$D,0)+COUNTIF($E125:V125,"u")+COUNTIF($E125:V125,"t")+COUNTIF($E125:V125,"¶")+COUNTIF($E125:V125,"²")+COUNTIF($E125:V125,"µ")+COUNTIF($E125:V125,1),ColTypeEcheance)),
  IF(LEN(V125)=1,
  IF(LEN(INDEX(Roadmap!$D:$K,MATCH($E125,Roadmap!$D:$D,0)-1+COUNTIF($E125:V125,"u")+COUNTIF($E125:V125,"t")+COUNTIF($E125:V125,"¶")+COUNTIF($E125:V125,"²")+COUNTIF($E125:V125,"µ")+COUNTIF($E125:V125,1),ColDescriptionCourte))&gt;1,
HYPERLINK("#Roadmap!C"&amp; MATCH($E125,Roadmap!$D:$D,0)+COUNTIF($E125:V125,"u")+COUNTIF($E125:V125,"t")+COUNTIF($E125:V125,"¶")+COUNTIF($E125:V125,"²")+COUNTIF($E125:V125,"µ")+COUNTIF($E125:V125,1)-1,INDEX(Roadmap!$D:$K,MATCH($E125,Roadmap!$D:$D,0)-1+COUNTIF($E125:V125,"u")+COUNTIF($E125:V125,"t")+COUNTIF($E125:V125,"¶")+COUNTIF($E125:V125,"²")+COUNTIF($E125:V125,"µ")+COUNTIF($E125:V125,1),ColDescriptionCourte)),""),
  "")),"")</f>
        <v/>
      </c>
      <c r="X125" s="40" t="str">
        <f ca="1">IFERROR(IF(AND(
  INDEX(Roadmap!$D:$K,MATCH($E125,Roadmap!$D:$D,0)+COUNTIF($E125:W125,"u")+COUNTIF($E125:W125,"t")+COUNTIF($E125:W125,"¶")+COUNTIF($E125:W125,"²")+COUNTIF($E125:W125,"µ")+COUNTIF($E125:W125,1),ColLivraison)=X$6,
  VLOOKUP($E125,INDIRECT("tri!"&amp; CHAR(64+ C0Col) &amp;":"&amp; CHAR(65+C0Col)),2,FALSE)&gt;COUNTIF($E125:W125,"u")+COUNTIF($E125:W125,"t")+COUNTIF($E125:W125,"¶")+COUNTIF($E125:W125,"²")+COUNTIF($E125:W125,"µ")+COUNTIF($E125:W125,1)),
HYPERLINK("#Roadmap!C"&amp; MATCH($E125,Roadmap!$D:$D,0)+COUNTIF($E125:W125,"u")+COUNTIF($E125:W125,"t"),
     INDEX(Roadmap!$D:$K,MATCH($E125,Roadmap!$D:$D,0)+COUNTIF($E125:W125,"u")+COUNTIF($E125:W125,"t")+COUNTIF($E125:W125,"¶")+COUNTIF($E125:W125,"²")+COUNTIF($E125:W125,"µ")+COUNTIF($E125:W125,1),ColTypeEcheance)),
  IF(LEN(W125)=1,
  IF(LEN(INDEX(Roadmap!$D:$K,MATCH($E125,Roadmap!$D:$D,0)-1+COUNTIF($E125:W125,"u")+COUNTIF($E125:W125,"t")+COUNTIF($E125:W125,"¶")+COUNTIF($E125:W125,"²")+COUNTIF($E125:W125,"µ")+COUNTIF($E125:W125,1),ColDescriptionCourte))&gt;1,
HYPERLINK("#Roadmap!C"&amp; MATCH($E125,Roadmap!$D:$D,0)+COUNTIF($E125:W125,"u")+COUNTIF($E125:W125,"t")+COUNTIF($E125:W125,"¶")+COUNTIF($E125:W125,"²")+COUNTIF($E125:W125,"µ")+COUNTIF($E125:W125,1)-1,INDEX(Roadmap!$D:$K,MATCH($E125,Roadmap!$D:$D,0)-1+COUNTIF($E125:W125,"u")+COUNTIF($E125:W125,"t")+COUNTIF($E125:W125,"¶")+COUNTIF($E125:W125,"²")+COUNTIF($E125:W125,"µ")+COUNTIF($E125:W125,1),ColDescriptionCourte)),""),
  "")),"")</f>
        <v/>
      </c>
      <c r="Y125" s="40" t="str">
        <f ca="1">IFERROR(IF(AND(
  INDEX(Roadmap!$D:$K,MATCH($E125,Roadmap!$D:$D,0)+COUNTIF($E125:X125,"u")+COUNTIF($E125:X125,"t")+COUNTIF($E125:X125,"¶")+COUNTIF($E125:X125,"²")+COUNTIF($E125:X125,"µ")+COUNTIF($E125:X125,1),ColLivraison)=Y$6,
  VLOOKUP($E125,INDIRECT("tri!"&amp; CHAR(64+ C0Col) &amp;":"&amp; CHAR(65+C0Col)),2,FALSE)&gt;COUNTIF($E125:X125,"u")+COUNTIF($E125:X125,"t")+COUNTIF($E125:X125,"¶")+COUNTIF($E125:X125,"²")+COUNTIF($E125:X125,"µ")+COUNTIF($E125:X125,1)),
HYPERLINK("#Roadmap!C"&amp; MATCH($E125,Roadmap!$D:$D,0)+COUNTIF($E125:X125,"u")+COUNTIF($E125:X125,"t"),
     INDEX(Roadmap!$D:$K,MATCH($E125,Roadmap!$D:$D,0)+COUNTIF($E125:X125,"u")+COUNTIF($E125:X125,"t")+COUNTIF($E125:X125,"¶")+COUNTIF($E125:X125,"²")+COUNTIF($E125:X125,"µ")+COUNTIF($E125:X125,1),ColTypeEcheance)),
  IF(LEN(X125)=1,
  IF(LEN(INDEX(Roadmap!$D:$K,MATCH($E125,Roadmap!$D:$D,0)-1+COUNTIF($E125:X125,"u")+COUNTIF($E125:X125,"t")+COUNTIF($E125:X125,"¶")+COUNTIF($E125:X125,"²")+COUNTIF($E125:X125,"µ")+COUNTIF($E125:X125,1),ColDescriptionCourte))&gt;1,
HYPERLINK("#Roadmap!C"&amp; MATCH($E125,Roadmap!$D:$D,0)+COUNTIF($E125:X125,"u")+COUNTIF($E125:X125,"t")+COUNTIF($E125:X125,"¶")+COUNTIF($E125:X125,"²")+COUNTIF($E125:X125,"µ")+COUNTIF($E125:X125,1)-1,INDEX(Roadmap!$D:$K,MATCH($E125,Roadmap!$D:$D,0)-1+COUNTIF($E125:X125,"u")+COUNTIF($E125:X125,"t")+COUNTIF($E125:X125,"¶")+COUNTIF($E125:X125,"²")+COUNTIF($E125:X125,"µ")+COUNTIF($E125:X125,1),ColDescriptionCourte)),""),
  "")),"")</f>
        <v/>
      </c>
      <c r="Z125" s="40" t="str">
        <f ca="1">IFERROR(IF(AND(
  INDEX(Roadmap!$D:$K,MATCH($E125,Roadmap!$D:$D,0)+COUNTIF($E125:Y125,"u")+COUNTIF($E125:Y125,"t")+COUNTIF($E125:Y125,"¶")+COUNTIF($E125:Y125,"²")+COUNTIF($E125:Y125,"µ")+COUNTIF($E125:Y125,1),ColLivraison)=Z$6,
  VLOOKUP($E125,INDIRECT("tri!"&amp; CHAR(64+ C0Col) &amp;":"&amp; CHAR(65+C0Col)),2,FALSE)&gt;COUNTIF($E125:Y125,"u")+COUNTIF($E125:Y125,"t")+COUNTIF($E125:Y125,"¶")+COUNTIF($E125:Y125,"²")+COUNTIF($E125:Y125,"µ")+COUNTIF($E125:Y125,1)),
HYPERLINK("#Roadmap!C"&amp; MATCH($E125,Roadmap!$D:$D,0)+COUNTIF($E125:Y125,"u")+COUNTIF($E125:Y125,"t"),
     INDEX(Roadmap!$D:$K,MATCH($E125,Roadmap!$D:$D,0)+COUNTIF($E125:Y125,"u")+COUNTIF($E125:Y125,"t")+COUNTIF($E125:Y125,"¶")+COUNTIF($E125:Y125,"²")+COUNTIF($E125:Y125,"µ")+COUNTIF($E125:Y125,1),ColTypeEcheance)),
  IF(LEN(Y125)=1,
  IF(LEN(INDEX(Roadmap!$D:$K,MATCH($E125,Roadmap!$D:$D,0)-1+COUNTIF($E125:Y125,"u")+COUNTIF($E125:Y125,"t")+COUNTIF($E125:Y125,"¶")+COUNTIF($E125:Y125,"²")+COUNTIF($E125:Y125,"µ")+COUNTIF($E125:Y125,1),ColDescriptionCourte))&gt;1,
HYPERLINK("#Roadmap!C"&amp; MATCH($E125,Roadmap!$D:$D,0)+COUNTIF($E125:Y125,"u")+COUNTIF($E125:Y125,"t")+COUNTIF($E125:Y125,"¶")+COUNTIF($E125:Y125,"²")+COUNTIF($E125:Y125,"µ")+COUNTIF($E125:Y125,1)-1,INDEX(Roadmap!$D:$K,MATCH($E125,Roadmap!$D:$D,0)-1+COUNTIF($E125:Y125,"u")+COUNTIF($E125:Y125,"t")+COUNTIF($E125:Y125,"¶")+COUNTIF($E125:Y125,"²")+COUNTIF($E125:Y125,"µ")+COUNTIF($E125:Y125,1),ColDescriptionCourte)),""),
  "")),"")</f>
        <v/>
      </c>
      <c r="AA125" s="40" t="str">
        <f ca="1">IFERROR(IF(AND(
  INDEX(Roadmap!$D:$K,MATCH($E125,Roadmap!$D:$D,0)+COUNTIF($E125:Z125,"u")+COUNTIF($E125:Z125,"t")+COUNTIF($E125:Z125,"¶")+COUNTIF($E125:Z125,"²")+COUNTIF($E125:Z125,"µ")+COUNTIF($E125:Z125,1),ColLivraison)=AA$6,
  VLOOKUP($E125,INDIRECT("tri!"&amp; CHAR(64+ C0Col) &amp;":"&amp; CHAR(65+C0Col)),2,FALSE)&gt;COUNTIF($E125:Z125,"u")+COUNTIF($E125:Z125,"t")+COUNTIF($E125:Z125,"¶")+COUNTIF($E125:Z125,"²")+COUNTIF($E125:Z125,"µ")+COUNTIF($E125:Z125,1)),
HYPERLINK("#Roadmap!C"&amp; MATCH($E125,Roadmap!$D:$D,0)+COUNTIF($E125:Z125,"u")+COUNTIF($E125:Z125,"t"),
     INDEX(Roadmap!$D:$K,MATCH($E125,Roadmap!$D:$D,0)+COUNTIF($E125:Z125,"u")+COUNTIF($E125:Z125,"t")+COUNTIF($E125:Z125,"¶")+COUNTIF($E125:Z125,"²")+COUNTIF($E125:Z125,"µ")+COUNTIF($E125:Z125,1),ColTypeEcheance)),
  IF(LEN(Z125)=1,
  IF(LEN(INDEX(Roadmap!$D:$K,MATCH($E125,Roadmap!$D:$D,0)-1+COUNTIF($E125:Z125,"u")+COUNTIF($E125:Z125,"t")+COUNTIF($E125:Z125,"¶")+COUNTIF($E125:Z125,"²")+COUNTIF($E125:Z125,"µ")+COUNTIF($E125:Z125,1),ColDescriptionCourte))&gt;1,
HYPERLINK("#Roadmap!C"&amp; MATCH($E125,Roadmap!$D:$D,0)+COUNTIF($E125:Z125,"u")+COUNTIF($E125:Z125,"t")+COUNTIF($E125:Z125,"¶")+COUNTIF($E125:Z125,"²")+COUNTIF($E125:Z125,"µ")+COUNTIF($E125:Z125,1)-1,INDEX(Roadmap!$D:$K,MATCH($E125,Roadmap!$D:$D,0)-1+COUNTIF($E125:Z125,"u")+COUNTIF($E125:Z125,"t")+COUNTIF($E125:Z125,"¶")+COUNTIF($E125:Z125,"²")+COUNTIF($E125:Z125,"µ")+COUNTIF($E125:Z125,1),ColDescriptionCourte)),""),
  "")),"")</f>
        <v/>
      </c>
      <c r="AB125" s="40" t="str">
        <f ca="1">IFERROR(IF(AND(
  INDEX(Roadmap!$D:$K,MATCH($E125,Roadmap!$D:$D,0)+COUNTIF($E125:AA125,"u")+COUNTIF($E125:AA125,"t")+COUNTIF($E125:AA125,"¶")+COUNTIF($E125:AA125,"²")+COUNTIF($E125:AA125,"µ")+COUNTIF($E125:AA125,1),ColLivraison)=AB$6,
  VLOOKUP($E125,INDIRECT("tri!"&amp; CHAR(64+ C0Col) &amp;":"&amp; CHAR(65+C0Col)),2,FALSE)&gt;COUNTIF($E125:AA125,"u")+COUNTIF($E125:AA125,"t")+COUNTIF($E125:AA125,"¶")+COUNTIF($E125:AA125,"²")+COUNTIF($E125:AA125,"µ")+COUNTIF($E125:AA125,1)),
HYPERLINK("#Roadmap!C"&amp; MATCH($E125,Roadmap!$D:$D,0)+COUNTIF($E125:AA125,"u")+COUNTIF($E125:AA125,"t"),
     INDEX(Roadmap!$D:$K,MATCH($E125,Roadmap!$D:$D,0)+COUNTIF($E125:AA125,"u")+COUNTIF($E125:AA125,"t")+COUNTIF($E125:AA125,"¶")+COUNTIF($E125:AA125,"²")+COUNTIF($E125:AA125,"µ")+COUNTIF($E125:AA125,1),ColTypeEcheance)),
  IF(LEN(AA125)=1,
  IF(LEN(INDEX(Roadmap!$D:$K,MATCH($E125,Roadmap!$D:$D,0)-1+COUNTIF($E125:AA125,"u")+COUNTIF($E125:AA125,"t")+COUNTIF($E125:AA125,"¶")+COUNTIF($E125:AA125,"²")+COUNTIF($E125:AA125,"µ")+COUNTIF($E125:AA125,1),ColDescriptionCourte))&gt;1,
HYPERLINK("#Roadmap!C"&amp; MATCH($E125,Roadmap!$D:$D,0)+COUNTIF($E125:AA125,"u")+COUNTIF($E125:AA125,"t")+COUNTIF($E125:AA125,"¶")+COUNTIF($E125:AA125,"²")+COUNTIF($E125:AA125,"µ")+COUNTIF($E125:AA125,1)-1,INDEX(Roadmap!$D:$K,MATCH($E125,Roadmap!$D:$D,0)-1+COUNTIF($E125:AA125,"u")+COUNTIF($E125:AA125,"t")+COUNTIF($E125:AA125,"¶")+COUNTIF($E125:AA125,"²")+COUNTIF($E125:AA125,"µ")+COUNTIF($E125:AA125,1),ColDescriptionCourte)),""),
  "")),"")</f>
        <v/>
      </c>
      <c r="AC125" s="40" t="str">
        <f ca="1">IFERROR(IF(AND(
  INDEX(Roadmap!$D:$K,MATCH($E125,Roadmap!$D:$D,0)+COUNTIF($E125:AB125,"u")+COUNTIF($E125:AB125,"t")+COUNTIF($E125:AB125,"¶")+COUNTIF($E125:AB125,"²")+COUNTIF($E125:AB125,"µ")+COUNTIF($E125:AB125,1),ColLivraison)=AC$6,
  VLOOKUP($E125,INDIRECT("tri!"&amp; CHAR(64+ C0Col) &amp;":"&amp; CHAR(65+C0Col)),2,FALSE)&gt;COUNTIF($E125:AB125,"u")+COUNTIF($E125:AB125,"t")+COUNTIF($E125:AB125,"¶")+COUNTIF($E125:AB125,"²")+COUNTIF($E125:AB125,"µ")+COUNTIF($E125:AB125,1)),
HYPERLINK("#Roadmap!C"&amp; MATCH($E125,Roadmap!$D:$D,0)+COUNTIF($E125:AB125,"u")+COUNTIF($E125:AB125,"t"),
     INDEX(Roadmap!$D:$K,MATCH($E125,Roadmap!$D:$D,0)+COUNTIF($E125:AB125,"u")+COUNTIF($E125:AB125,"t")+COUNTIF($E125:AB125,"¶")+COUNTIF($E125:AB125,"²")+COUNTIF($E125:AB125,"µ")+COUNTIF($E125:AB125,1),ColTypeEcheance)),
  IF(LEN(AB125)=1,
  IF(LEN(INDEX(Roadmap!$D:$K,MATCH($E125,Roadmap!$D:$D,0)-1+COUNTIF($E125:AB125,"u")+COUNTIF($E125:AB125,"t")+COUNTIF($E125:AB125,"¶")+COUNTIF($E125:AB125,"²")+COUNTIF($E125:AB125,"µ")+COUNTIF($E125:AB125,1),ColDescriptionCourte))&gt;1,
HYPERLINK("#Roadmap!C"&amp; MATCH($E125,Roadmap!$D:$D,0)+COUNTIF($E125:AB125,"u")+COUNTIF($E125:AB125,"t")+COUNTIF($E125:AB125,"¶")+COUNTIF($E125:AB125,"²")+COUNTIF($E125:AB125,"µ")+COUNTIF($E125:AB125,1)-1,INDEX(Roadmap!$D:$K,MATCH($E125,Roadmap!$D:$D,0)-1+COUNTIF($E125:AB125,"u")+COUNTIF($E125:AB125,"t")+COUNTIF($E125:AB125,"¶")+COUNTIF($E125:AB125,"²")+COUNTIF($E125:AB125,"µ")+COUNTIF($E125:AB125,1),ColDescriptionCourte)),""),
  "")),"")</f>
        <v/>
      </c>
      <c r="AD125" s="40" t="str">
        <f ca="1">IFERROR(IF(AND(
  INDEX(Roadmap!$D:$K,MATCH($E125,Roadmap!$D:$D,0)+COUNTIF($E125:AC125,"u")+COUNTIF($E125:AC125,"t")+COUNTIF($E125:AC125,"¶")+COUNTIF($E125:AC125,"²")+COUNTIF($E125:AC125,"µ")+COUNTIF($E125:AC125,1),ColLivraison)=AD$6,
  VLOOKUP($E125,INDIRECT("tri!"&amp; CHAR(64+ C0Col) &amp;":"&amp; CHAR(65+C0Col)),2,FALSE)&gt;COUNTIF($E125:AC125,"u")+COUNTIF($E125:AC125,"t")+COUNTIF($E125:AC125,"¶")+COUNTIF($E125:AC125,"²")+COUNTIF($E125:AC125,"µ")+COUNTIF($E125:AC125,1)),
HYPERLINK("#Roadmap!C"&amp; MATCH($E125,Roadmap!$D:$D,0)+COUNTIF($E125:AC125,"u")+COUNTIF($E125:AC125,"t"),
     INDEX(Roadmap!$D:$K,MATCH($E125,Roadmap!$D:$D,0)+COUNTIF($E125:AC125,"u")+COUNTIF($E125:AC125,"t")+COUNTIF($E125:AC125,"¶")+COUNTIF($E125:AC125,"²")+COUNTIF($E125:AC125,"µ")+COUNTIF($E125:AC125,1),ColTypeEcheance)),
  IF(LEN(AC125)=1,
  IF(LEN(INDEX(Roadmap!$D:$K,MATCH($E125,Roadmap!$D:$D,0)-1+COUNTIF($E125:AC125,"u")+COUNTIF($E125:AC125,"t")+COUNTIF($E125:AC125,"¶")+COUNTIF($E125:AC125,"²")+COUNTIF($E125:AC125,"µ")+COUNTIF($E125:AC125,1),ColDescriptionCourte))&gt;1,
HYPERLINK("#Roadmap!C"&amp; MATCH($E125,Roadmap!$D:$D,0)+COUNTIF($E125:AC125,"u")+COUNTIF($E125:AC125,"t")+COUNTIF($E125:AC125,"¶")+COUNTIF($E125:AC125,"²")+COUNTIF($E125:AC125,"µ")+COUNTIF($E125:AC125,1)-1,INDEX(Roadmap!$D:$K,MATCH($E125,Roadmap!$D:$D,0)-1+COUNTIF($E125:AC125,"u")+COUNTIF($E125:AC125,"t")+COUNTIF($E125:AC125,"¶")+COUNTIF($E125:AC125,"²")+COUNTIF($E125:AC125,"µ")+COUNTIF($E125:AC125,1),ColDescriptionCourte)),""),
  "")),"")</f>
        <v/>
      </c>
      <c r="AE125" s="40" t="str">
        <f ca="1">IFERROR(IF(AND(
  INDEX(Roadmap!$D:$K,MATCH($E125,Roadmap!$D:$D,0)+COUNTIF($E125:AD125,"u")+COUNTIF($E125:AD125,"t")+COUNTIF($E125:AD125,"¶")+COUNTIF($E125:AD125,"²")+COUNTIF($E125:AD125,"µ")+COUNTIF($E125:AD125,1),ColLivraison)=AE$6,
  VLOOKUP($E125,INDIRECT("tri!"&amp; CHAR(64+ C0Col) &amp;":"&amp; CHAR(65+C0Col)),2,FALSE)&gt;COUNTIF($E125:AD125,"u")+COUNTIF($E125:AD125,"t")+COUNTIF($E125:AD125,"¶")+COUNTIF($E125:AD125,"²")+COUNTIF($E125:AD125,"µ")+COUNTIF($E125:AD125,1)),
HYPERLINK("#Roadmap!C"&amp; MATCH($E125,Roadmap!$D:$D,0)+COUNTIF($E125:AD125,"u")+COUNTIF($E125:AD125,"t"),
     INDEX(Roadmap!$D:$K,MATCH($E125,Roadmap!$D:$D,0)+COUNTIF($E125:AD125,"u")+COUNTIF($E125:AD125,"t")+COUNTIF($E125:AD125,"¶")+COUNTIF($E125:AD125,"²")+COUNTIF($E125:AD125,"µ")+COUNTIF($E125:AD125,1),ColTypeEcheance)),
  IF(LEN(AD125)=1,
  IF(LEN(INDEX(Roadmap!$D:$K,MATCH($E125,Roadmap!$D:$D,0)-1+COUNTIF($E125:AD125,"u")+COUNTIF($E125:AD125,"t")+COUNTIF($E125:AD125,"¶")+COUNTIF($E125:AD125,"²")+COUNTIF($E125:AD125,"µ")+COUNTIF($E125:AD125,1),ColDescriptionCourte))&gt;1,
HYPERLINK("#Roadmap!C"&amp; MATCH($E125,Roadmap!$D:$D,0)+COUNTIF($E125:AD125,"u")+COUNTIF($E125:AD125,"t")+COUNTIF($E125:AD125,"¶")+COUNTIF($E125:AD125,"²")+COUNTIF($E125:AD125,"µ")+COUNTIF($E125:AD125,1)-1,INDEX(Roadmap!$D:$K,MATCH($E125,Roadmap!$D:$D,0)-1+COUNTIF($E125:AD125,"u")+COUNTIF($E125:AD125,"t")+COUNTIF($E125:AD125,"¶")+COUNTIF($E125:AD125,"²")+COUNTIF($E125:AD125,"µ")+COUNTIF($E125:AD125,1),ColDescriptionCourte)),""),
  "")),"")</f>
        <v/>
      </c>
      <c r="AF125" s="40" t="str">
        <f ca="1">IFERROR(IF(AND(
  INDEX(Roadmap!$D:$K,MATCH($E125,Roadmap!$D:$D,0)+COUNTIF($E125:AE125,"u")+COUNTIF($E125:AE125,"t")+COUNTIF($E125:AE125,"¶")+COUNTIF($E125:AE125,"²")+COUNTIF($E125:AE125,"µ")+COUNTIF($E125:AE125,1),ColLivraison)=AF$6,
  VLOOKUP($E125,INDIRECT("tri!"&amp; CHAR(64+ C0Col) &amp;":"&amp; CHAR(65+C0Col)),2,FALSE)&gt;COUNTIF($E125:AE125,"u")+COUNTIF($E125:AE125,"t")+COUNTIF($E125:AE125,"¶")+COUNTIF($E125:AE125,"²")+COUNTIF($E125:AE125,"µ")+COUNTIF($E125:AE125,1)),
HYPERLINK("#Roadmap!C"&amp; MATCH($E125,Roadmap!$D:$D,0)+COUNTIF($E125:AE125,"u")+COUNTIF($E125:AE125,"t"),
     INDEX(Roadmap!$D:$K,MATCH($E125,Roadmap!$D:$D,0)+COUNTIF($E125:AE125,"u")+COUNTIF($E125:AE125,"t")+COUNTIF($E125:AE125,"¶")+COUNTIF($E125:AE125,"²")+COUNTIF($E125:AE125,"µ")+COUNTIF($E125:AE125,1),ColTypeEcheance)),
  IF(LEN(AE125)=1,
  IF(LEN(INDEX(Roadmap!$D:$K,MATCH($E125,Roadmap!$D:$D,0)-1+COUNTIF($E125:AE125,"u")+COUNTIF($E125:AE125,"t")+COUNTIF($E125:AE125,"¶")+COUNTIF($E125:AE125,"²")+COUNTIF($E125:AE125,"µ")+COUNTIF($E125:AE125,1),ColDescriptionCourte))&gt;1,
HYPERLINK("#Roadmap!C"&amp; MATCH($E125,Roadmap!$D:$D,0)+COUNTIF($E125:AE125,"u")+COUNTIF($E125:AE125,"t")+COUNTIF($E125:AE125,"¶")+COUNTIF($E125:AE125,"²")+COUNTIF($E125:AE125,"µ")+COUNTIF($E125:AE125,1)-1,INDEX(Roadmap!$D:$K,MATCH($E125,Roadmap!$D:$D,0)-1+COUNTIF($E125:AE125,"u")+COUNTIF($E125:AE125,"t")+COUNTIF($E125:AE125,"¶")+COUNTIF($E125:AE125,"²")+COUNTIF($E125:AE125,"µ")+COUNTIF($E125:AE125,1),ColDescriptionCourte)),""),
  "")),"")</f>
        <v/>
      </c>
      <c r="AG125" s="40" t="str">
        <f ca="1">IFERROR(IF(AND(
  INDEX(Roadmap!$D:$K,MATCH($E125,Roadmap!$D:$D,0)+COUNTIF($E125:AF125,"u")+COUNTIF($E125:AF125,"t")+COUNTIF($E125:AF125,"¶")+COUNTIF($E125:AF125,"²")+COUNTIF($E125:AF125,"µ")+COUNTIF($E125:AF125,1),ColLivraison)=AG$6,
  VLOOKUP($E125,INDIRECT("tri!"&amp; CHAR(64+ C0Col) &amp;":"&amp; CHAR(65+C0Col)),2,FALSE)&gt;COUNTIF($E125:AF125,"u")+COUNTIF($E125:AF125,"t")+COUNTIF($E125:AF125,"¶")+COUNTIF($E125:AF125,"²")+COUNTIF($E125:AF125,"µ")+COUNTIF($E125:AF125,1)),
HYPERLINK("#Roadmap!C"&amp; MATCH($E125,Roadmap!$D:$D,0)+COUNTIF($E125:AF125,"u")+COUNTIF($E125:AF125,"t"),
     INDEX(Roadmap!$D:$K,MATCH($E125,Roadmap!$D:$D,0)+COUNTIF($E125:AF125,"u")+COUNTIF($E125:AF125,"t")+COUNTIF($E125:AF125,"¶")+COUNTIF($E125:AF125,"²")+COUNTIF($E125:AF125,"µ")+COUNTIF($E125:AF125,1),ColTypeEcheance)),
  IF(LEN(AF125)=1,
  IF(LEN(INDEX(Roadmap!$D:$K,MATCH($E125,Roadmap!$D:$D,0)-1+COUNTIF($E125:AF125,"u")+COUNTIF($E125:AF125,"t")+COUNTIF($E125:AF125,"¶")+COUNTIF($E125:AF125,"²")+COUNTIF($E125:AF125,"µ")+COUNTIF($E125:AF125,1),ColDescriptionCourte))&gt;1,
HYPERLINK("#Roadmap!C"&amp; MATCH($E125,Roadmap!$D:$D,0)+COUNTIF($E125:AF125,"u")+COUNTIF($E125:AF125,"t")+COUNTIF($E125:AF125,"¶")+COUNTIF($E125:AF125,"²")+COUNTIF($E125:AF125,"µ")+COUNTIF($E125:AF125,1)-1,INDEX(Roadmap!$D:$K,MATCH($E125,Roadmap!$D:$D,0)-1+COUNTIF($E125:AF125,"u")+COUNTIF($E125:AF125,"t")+COUNTIF($E125:AF125,"¶")+COUNTIF($E125:AF125,"²")+COUNTIF($E125:AF125,"µ")+COUNTIF($E125:AF125,1),ColDescriptionCourte)),""),
  "")),"")</f>
        <v/>
      </c>
    </row>
    <row r="126" spans="3:33" ht="14.25" customHeight="1">
      <c r="C126" s="1" t="str">
        <f t="shared" ca="1" si="49"/>
        <v/>
      </c>
      <c r="D126" s="1" t="str">
        <f t="shared" ca="1" si="50"/>
        <v/>
      </c>
      <c r="E126" s="35" t="str">
        <f t="shared" ca="1" si="46"/>
        <v/>
      </c>
      <c r="F126" s="39" t="str">
        <f ca="1">IFERROR(IF(AND(
  INDEX(Roadmap!$D:$K,MATCH($E126,Roadmap!$D:$D,0)+COUNTIF($E126:E126,"u")+COUNTIF($E126:E126,"t")+COUNTIF($E126:E126,"¶")+COUNTIF($E126:E126,"²")+COUNTIF($E126:E126,"µ")+COUNTIF($E126:E126,1),ColLivraison)=F$6,
  VLOOKUP($E126,INDIRECT("tri!"&amp; CHAR(64+ C0Col) &amp;":"&amp; CHAR(65+C0Col)),2,FALSE)&gt;COUNTIF($E126:E126,"u")+COUNTIF($E126:E126,"t")+COUNTIF($E126:E126,"¶")+COUNTIF($E126:E126,"²")+COUNTIF($E126:E126,"µ")+COUNTIF($E126:E126,1)),
HYPERLINK("#Roadmap!C"&amp; MATCH($E126,Roadmap!$D:$D,0)+COUNTIF($E126:E126,"u")+COUNTIF($E126:E126,"t"),
     INDEX(Roadmap!$D:$K,MATCH($E126,Roadmap!$D:$D,0)+COUNTIF($E126:E126,"u")+COUNTIF($E126:E126,"t")+COUNTIF($E126:E126,"¶")+COUNTIF($E126:E126,"²")+COUNTIF($E126:E126,"µ")+COUNTIF($E126:E126,1),ColTypeEcheance)),
  IF(LEN(E126)=1,
  IF(LEN(INDEX(Roadmap!$D:$K,MATCH($E126,Roadmap!$D:$D,0)-1+COUNTIF($E126:E126,"u")+COUNTIF($E126:E126,"t")+COUNTIF($E126:E126,"¶")+COUNTIF($E126:E126,"²")+COUNTIF($E126:E126,"µ")+COUNTIF($E126:E126,1),ColDescriptionCourte))&gt;1,
HYPERLINK("#Roadmap!C"&amp; MATCH($E126,Roadmap!$D:$D,0)+COUNTIF($E126:E126,"u")+COUNTIF($E126:E126,"t")+COUNTIF($E126:E126,"¶")+COUNTIF($E126:E126,"²")+COUNTIF($E126:E126,"µ")+COUNTIF($E126:E126,1)-1,INDEX(Roadmap!$D:$K,MATCH($E126,Roadmap!$D:$D,0)-1+COUNTIF($E126:E126,"u")+COUNTIF($E126:E126,"t")+COUNTIF($E126:E126,"¶")+COUNTIF($E126:E126,"²")+COUNTIF($E126:E126,"µ")+COUNTIF($E126:E126,1),ColDescriptionCourte)),""),
  "")),"")</f>
        <v/>
      </c>
      <c r="G126" s="40" t="str">
        <f ca="1">IFERROR(IF(AND(
  INDEX(Roadmap!$D:$K,MATCH($E126,Roadmap!$D:$D,0)+COUNTIF($E126:F126,"u")+COUNTIF($E126:F126,"t")+COUNTIF($E126:F126,"¶")+COUNTIF($E126:F126,"²")+COUNTIF($E126:F126,"µ")+COUNTIF($E126:F126,1),ColLivraison)=G$6,
  VLOOKUP($E126,INDIRECT("tri!"&amp; CHAR(64+ C0Col) &amp;":"&amp; CHAR(65+C0Col)),2,FALSE)&gt;COUNTIF($E126:F126,"u")+COUNTIF($E126:F126,"t")+COUNTIF($E126:F126,"¶")+COUNTIF($E126:F126,"²")+COUNTIF($E126:F126,"µ")+COUNTIF($E126:F126,1)),
HYPERLINK("#Roadmap!C"&amp; MATCH($E126,Roadmap!$D:$D,0)+COUNTIF($E126:F126,"u")+COUNTIF($E126:F126,"t"),
     INDEX(Roadmap!$D:$K,MATCH($E126,Roadmap!$D:$D,0)+COUNTIF($E126:F126,"u")+COUNTIF($E126:F126,"t")+COUNTIF($E126:F126,"¶")+COUNTIF($E126:F126,"²")+COUNTIF($E126:F126,"µ")+COUNTIF($E126:F126,1),ColTypeEcheance)),
  IF(LEN(F126)=1,
  IF(LEN(INDEX(Roadmap!$D:$K,MATCH($E126,Roadmap!$D:$D,0)-1+COUNTIF($E126:F126,"u")+COUNTIF($E126:F126,"t")+COUNTIF($E126:F126,"¶")+COUNTIF($E126:F126,"²")+COUNTIF($E126:F126,"µ")+COUNTIF($E126:F126,1),ColDescriptionCourte))&gt;1,
HYPERLINK("#Roadmap!C"&amp; MATCH($E126,Roadmap!$D:$D,0)+COUNTIF($E126:F126,"u")+COUNTIF($E126:F126,"t")+COUNTIF($E126:F126,"¶")+COUNTIF($E126:F126,"²")+COUNTIF($E126:F126,"µ")+COUNTIF($E126:F126,1)-1,INDEX(Roadmap!$D:$K,MATCH($E126,Roadmap!$D:$D,0)-1+COUNTIF($E126:F126,"u")+COUNTIF($E126:F126,"t")+COUNTIF($E126:F126,"¶")+COUNTIF($E126:F126,"²")+COUNTIF($E126:F126,"µ")+COUNTIF($E126:F126,1),ColDescriptionCourte)),""),
  "")),"")</f>
        <v/>
      </c>
      <c r="H126" s="40" t="str">
        <f ca="1">IFERROR(IF(AND(
  INDEX(Roadmap!$D:$K,MATCH($E126,Roadmap!$D:$D,0)+COUNTIF($E126:G126,"u")+COUNTIF($E126:G126,"t")+COUNTIF($E126:G126,"¶")+COUNTIF($E126:G126,"²")+COUNTIF($E126:G126,"µ")+COUNTIF($E126:G126,1),ColLivraison)=H$6,
  VLOOKUP($E126,INDIRECT("tri!"&amp; CHAR(64+ C0Col) &amp;":"&amp; CHAR(65+C0Col)),2,FALSE)&gt;COUNTIF($E126:G126,"u")+COUNTIF($E126:G126,"t")+COUNTIF($E126:G126,"¶")+COUNTIF($E126:G126,"²")+COUNTIF($E126:G126,"µ")+COUNTIF($E126:G126,1)),
HYPERLINK("#Roadmap!C"&amp; MATCH($E126,Roadmap!$D:$D,0)+COUNTIF($E126:G126,"u")+COUNTIF($E126:G126,"t"),
     INDEX(Roadmap!$D:$K,MATCH($E126,Roadmap!$D:$D,0)+COUNTIF($E126:G126,"u")+COUNTIF($E126:G126,"t")+COUNTIF($E126:G126,"¶")+COUNTIF($E126:G126,"²")+COUNTIF($E126:G126,"µ")+COUNTIF($E126:G126,1),ColTypeEcheance)),
  IF(LEN(G126)=1,
  IF(LEN(INDEX(Roadmap!$D:$K,MATCH($E126,Roadmap!$D:$D,0)-1+COUNTIF($E126:G126,"u")+COUNTIF($E126:G126,"t")+COUNTIF($E126:G126,"¶")+COUNTIF($E126:G126,"²")+COUNTIF($E126:G126,"µ")+COUNTIF($E126:G126,1),ColDescriptionCourte))&gt;1,
HYPERLINK("#Roadmap!C"&amp; MATCH($E126,Roadmap!$D:$D,0)+COUNTIF($E126:G126,"u")+COUNTIF($E126:G126,"t")+COUNTIF($E126:G126,"¶")+COUNTIF($E126:G126,"²")+COUNTIF($E126:G126,"µ")+COUNTIF($E126:G126,1)-1,INDEX(Roadmap!$D:$K,MATCH($E126,Roadmap!$D:$D,0)-1+COUNTIF($E126:G126,"u")+COUNTIF($E126:G126,"t")+COUNTIF($E126:G126,"¶")+COUNTIF($E126:G126,"²")+COUNTIF($E126:G126,"µ")+COUNTIF($E126:G126,1),ColDescriptionCourte)),""),
  "")),"")</f>
        <v/>
      </c>
      <c r="I126" s="40" t="str">
        <f ca="1">IFERROR(IF(AND(
  INDEX(Roadmap!$D:$K,MATCH($E126,Roadmap!$D:$D,0)+COUNTIF($E126:H126,"u")+COUNTIF($E126:H126,"t")+COUNTIF($E126:H126,"¶")+COUNTIF($E126:H126,"²")+COUNTIF($E126:H126,"µ")+COUNTIF($E126:H126,1),ColLivraison)=I$6,
  VLOOKUP($E126,INDIRECT("tri!"&amp; CHAR(64+ C0Col) &amp;":"&amp; CHAR(65+C0Col)),2,FALSE)&gt;COUNTIF($E126:H126,"u")+COUNTIF($E126:H126,"t")+COUNTIF($E126:H126,"¶")+COUNTIF($E126:H126,"²")+COUNTIF($E126:H126,"µ")+COUNTIF($E126:H126,1)),
HYPERLINK("#Roadmap!C"&amp; MATCH($E126,Roadmap!$D:$D,0)+COUNTIF($E126:H126,"u")+COUNTIF($E126:H126,"t"),
     INDEX(Roadmap!$D:$K,MATCH($E126,Roadmap!$D:$D,0)+COUNTIF($E126:H126,"u")+COUNTIF($E126:H126,"t")+COUNTIF($E126:H126,"¶")+COUNTIF($E126:H126,"²")+COUNTIF($E126:H126,"µ")+COUNTIF($E126:H126,1),ColTypeEcheance)),
  IF(LEN(H126)=1,
  IF(LEN(INDEX(Roadmap!$D:$K,MATCH($E126,Roadmap!$D:$D,0)-1+COUNTIF($E126:H126,"u")+COUNTIF($E126:H126,"t")+COUNTIF($E126:H126,"¶")+COUNTIF($E126:H126,"²")+COUNTIF($E126:H126,"µ")+COUNTIF($E126:H126,1),ColDescriptionCourte))&gt;1,
HYPERLINK("#Roadmap!C"&amp; MATCH($E126,Roadmap!$D:$D,0)+COUNTIF($E126:H126,"u")+COUNTIF($E126:H126,"t")+COUNTIF($E126:H126,"¶")+COUNTIF($E126:H126,"²")+COUNTIF($E126:H126,"µ")+COUNTIF($E126:H126,1)-1,INDEX(Roadmap!$D:$K,MATCH($E126,Roadmap!$D:$D,0)-1+COUNTIF($E126:H126,"u")+COUNTIF($E126:H126,"t")+COUNTIF($E126:H126,"¶")+COUNTIF($E126:H126,"²")+COUNTIF($E126:H126,"µ")+COUNTIF($E126:H126,1),ColDescriptionCourte)),""),
  "")),"")</f>
        <v/>
      </c>
      <c r="J126" s="40" t="str">
        <f ca="1">IFERROR(IF(AND(
  INDEX(Roadmap!$D:$K,MATCH($E126,Roadmap!$D:$D,0)+COUNTIF($E126:I126,"u")+COUNTIF($E126:I126,"t")+COUNTIF($E126:I126,"¶")+COUNTIF($E126:I126,"²")+COUNTIF($E126:I126,"µ")+COUNTIF($E126:I126,1),ColLivraison)=J$6,
  VLOOKUP($E126,INDIRECT("tri!"&amp; CHAR(64+ C0Col) &amp;":"&amp; CHAR(65+C0Col)),2,FALSE)&gt;COUNTIF($E126:I126,"u")+COUNTIF($E126:I126,"t")+COUNTIF($E126:I126,"¶")+COUNTIF($E126:I126,"²")+COUNTIF($E126:I126,"µ")+COUNTIF($E126:I126,1)),
HYPERLINK("#Roadmap!C"&amp; MATCH($E126,Roadmap!$D:$D,0)+COUNTIF($E126:I126,"u")+COUNTIF($E126:I126,"t"),
     INDEX(Roadmap!$D:$K,MATCH($E126,Roadmap!$D:$D,0)+COUNTIF($E126:I126,"u")+COUNTIF($E126:I126,"t")+COUNTIF($E126:I126,"¶")+COUNTIF($E126:I126,"²")+COUNTIF($E126:I126,"µ")+COUNTIF($E126:I126,1),ColTypeEcheance)),
  IF(LEN(I126)=1,
  IF(LEN(INDEX(Roadmap!$D:$K,MATCH($E126,Roadmap!$D:$D,0)-1+COUNTIF($E126:I126,"u")+COUNTIF($E126:I126,"t")+COUNTIF($E126:I126,"¶")+COUNTIF($E126:I126,"²")+COUNTIF($E126:I126,"µ")+COUNTIF($E126:I126,1),ColDescriptionCourte))&gt;1,
HYPERLINK("#Roadmap!C"&amp; MATCH($E126,Roadmap!$D:$D,0)+COUNTIF($E126:I126,"u")+COUNTIF($E126:I126,"t")+COUNTIF($E126:I126,"¶")+COUNTIF($E126:I126,"²")+COUNTIF($E126:I126,"µ")+COUNTIF($E126:I126,1)-1,INDEX(Roadmap!$D:$K,MATCH($E126,Roadmap!$D:$D,0)-1+COUNTIF($E126:I126,"u")+COUNTIF($E126:I126,"t")+COUNTIF($E126:I126,"¶")+COUNTIF($E126:I126,"²")+COUNTIF($E126:I126,"µ")+COUNTIF($E126:I126,1),ColDescriptionCourte)),""),
  "")),"")</f>
        <v/>
      </c>
      <c r="K126" s="40" t="str">
        <f ca="1">IFERROR(IF(AND(
  INDEX(Roadmap!$D:$K,MATCH($E126,Roadmap!$D:$D,0)+COUNTIF($E126:J126,"u")+COUNTIF($E126:J126,"t")+COUNTIF($E126:J126,"¶")+COUNTIF($E126:J126,"²")+COUNTIF($E126:J126,"µ")+COUNTIF($E126:J126,1),ColLivraison)=K$6,
  VLOOKUP($E126,INDIRECT("tri!"&amp; CHAR(64+ C0Col) &amp;":"&amp; CHAR(65+C0Col)),2,FALSE)&gt;COUNTIF($E126:J126,"u")+COUNTIF($E126:J126,"t")+COUNTIF($E126:J126,"¶")+COUNTIF($E126:J126,"²")+COUNTIF($E126:J126,"µ")+COUNTIF($E126:J126,1)),
HYPERLINK("#Roadmap!C"&amp; MATCH($E126,Roadmap!$D:$D,0)+COUNTIF($E126:J126,"u")+COUNTIF($E126:J126,"t"),
     INDEX(Roadmap!$D:$K,MATCH($E126,Roadmap!$D:$D,0)+COUNTIF($E126:J126,"u")+COUNTIF($E126:J126,"t")+COUNTIF($E126:J126,"¶")+COUNTIF($E126:J126,"²")+COUNTIF($E126:J126,"µ")+COUNTIF($E126:J126,1),ColTypeEcheance)),
  IF(LEN(J126)=1,
  IF(LEN(INDEX(Roadmap!$D:$K,MATCH($E126,Roadmap!$D:$D,0)-1+COUNTIF($E126:J126,"u")+COUNTIF($E126:J126,"t")+COUNTIF($E126:J126,"¶")+COUNTIF($E126:J126,"²")+COUNTIF($E126:J126,"µ")+COUNTIF($E126:J126,1),ColDescriptionCourte))&gt;1,
HYPERLINK("#Roadmap!C"&amp; MATCH($E126,Roadmap!$D:$D,0)+COUNTIF($E126:J126,"u")+COUNTIF($E126:J126,"t")+COUNTIF($E126:J126,"¶")+COUNTIF($E126:J126,"²")+COUNTIF($E126:J126,"µ")+COUNTIF($E126:J126,1)-1,INDEX(Roadmap!$D:$K,MATCH($E126,Roadmap!$D:$D,0)-1+COUNTIF($E126:J126,"u")+COUNTIF($E126:J126,"t")+COUNTIF($E126:J126,"¶")+COUNTIF($E126:J126,"²")+COUNTIF($E126:J126,"µ")+COUNTIF($E126:J126,1),ColDescriptionCourte)),""),
  "")),"")</f>
        <v/>
      </c>
      <c r="L126" s="39" t="str">
        <f ca="1">IFERROR(IF(AND(
  INDEX(Roadmap!$D:$K,MATCH($E126,Roadmap!$D:$D,0)+COUNTIF($E126:K126,"u")+COUNTIF($E126:K126,"t")+COUNTIF($E126:K126,"¶")+COUNTIF($E126:K126,"²")+COUNTIF($E126:K126,"µ")+COUNTIF($E126:K126,1),ColLivraison)=L$6,
  VLOOKUP($E126,INDIRECT("tri!"&amp; CHAR(64+ C0Col) &amp;":"&amp; CHAR(65+C0Col)),2,FALSE)&gt;COUNTIF($E126:K126,"u")+COUNTIF($E126:K126,"t")+COUNTIF($E126:K126,"¶")+COUNTIF($E126:K126,"²")+COUNTIF($E126:K126,"µ")+COUNTIF($E126:K126,1)),
HYPERLINK("#Roadmap!C"&amp; MATCH($E126,Roadmap!$D:$D,0)+COUNTIF($E126:K126,"u")+COUNTIF($E126:K126,"t"),
     INDEX(Roadmap!$D:$K,MATCH($E126,Roadmap!$D:$D,0)+COUNTIF($E126:K126,"u")+COUNTIF($E126:K126,"t")+COUNTIF($E126:K126,"¶")+COUNTIF($E126:K126,"²")+COUNTIF($E126:K126,"µ")+COUNTIF($E126:K126,1),ColTypeEcheance)),
  IF(LEN(K126)=1,
  IF(LEN(INDEX(Roadmap!$D:$K,MATCH($E126,Roadmap!$D:$D,0)-1+COUNTIF($E126:K126,"u")+COUNTIF($E126:K126,"t")+COUNTIF($E126:K126,"¶")+COUNTIF($E126:K126,"²")+COUNTIF($E126:K126,"µ")+COUNTIF($E126:K126,1),ColDescriptionCourte))&gt;1,
HYPERLINK("#Roadmap!C"&amp; MATCH($E126,Roadmap!$D:$D,0)+COUNTIF($E126:K126,"u")+COUNTIF($E126:K126,"t")+COUNTIF($E126:K126,"¶")+COUNTIF($E126:K126,"²")+COUNTIF($E126:K126,"µ")+COUNTIF($E126:K126,1)-1,INDEX(Roadmap!$D:$K,MATCH($E126,Roadmap!$D:$D,0)-1+COUNTIF($E126:K126,"u")+COUNTIF($E126:K126,"t")+COUNTIF($E126:K126,"¶")+COUNTIF($E126:K126,"²")+COUNTIF($E126:K126,"µ")+COUNTIF($E126:K126,1),ColDescriptionCourte)),""),
  "")),"")</f>
        <v/>
      </c>
      <c r="M126" s="40" t="str">
        <f ca="1">IFERROR(IF(AND(
  INDEX(Roadmap!$D:$K,MATCH($E126,Roadmap!$D:$D,0)+COUNTIF($E126:L126,"u")+COUNTIF($E126:L126,"t")+COUNTIF($E126:L126,"¶")+COUNTIF($E126:L126,"²")+COUNTIF($E126:L126,"µ")+COUNTIF($E126:L126,1),ColLivraison)=M$6,
  VLOOKUP($E126,INDIRECT("tri!"&amp; CHAR(64+ C0Col) &amp;":"&amp; CHAR(65+C0Col)),2,FALSE)&gt;COUNTIF($E126:L126,"u")+COUNTIF($E126:L126,"t")+COUNTIF($E126:L126,"¶")+COUNTIF($E126:L126,"²")+COUNTIF($E126:L126,"µ")+COUNTIF($E126:L126,1)),
HYPERLINK("#Roadmap!C"&amp; MATCH($E126,Roadmap!$D:$D,0)+COUNTIF($E126:L126,"u")+COUNTIF($E126:L126,"t"),
     INDEX(Roadmap!$D:$K,MATCH($E126,Roadmap!$D:$D,0)+COUNTIF($E126:L126,"u")+COUNTIF($E126:L126,"t")+COUNTIF($E126:L126,"¶")+COUNTIF($E126:L126,"²")+COUNTIF($E126:L126,"µ")+COUNTIF($E126:L126,1),ColTypeEcheance)),
  IF(LEN(L126)=1,
  IF(LEN(INDEX(Roadmap!$D:$K,MATCH($E126,Roadmap!$D:$D,0)-1+COUNTIF($E126:L126,"u")+COUNTIF($E126:L126,"t")+COUNTIF($E126:L126,"¶")+COUNTIF($E126:L126,"²")+COUNTIF($E126:L126,"µ")+COUNTIF($E126:L126,1),ColDescriptionCourte))&gt;1,
HYPERLINK("#Roadmap!C"&amp; MATCH($E126,Roadmap!$D:$D,0)+COUNTIF($E126:L126,"u")+COUNTIF($E126:L126,"t")+COUNTIF($E126:L126,"¶")+COUNTIF($E126:L126,"²")+COUNTIF($E126:L126,"µ")+COUNTIF($E126:L126,1)-1,INDEX(Roadmap!$D:$K,MATCH($E126,Roadmap!$D:$D,0)-1+COUNTIF($E126:L126,"u")+COUNTIF($E126:L126,"t")+COUNTIF($E126:L126,"¶")+COUNTIF($E126:L126,"²")+COUNTIF($E126:L126,"µ")+COUNTIF($E126:L126,1),ColDescriptionCourte)),""),
  "")),"")</f>
        <v/>
      </c>
      <c r="N126" s="40" t="str">
        <f ca="1">IFERROR(IF(AND(
  INDEX(Roadmap!$D:$K,MATCH($E126,Roadmap!$D:$D,0)+COUNTIF($E126:M126,"u")+COUNTIF($E126:M126,"t")+COUNTIF($E126:M126,"¶")+COUNTIF($E126:M126,"²")+COUNTIF($E126:M126,"µ")+COUNTIF($E126:M126,1),ColLivraison)=N$6,
  VLOOKUP($E126,INDIRECT("tri!"&amp; CHAR(64+ C0Col) &amp;":"&amp; CHAR(65+C0Col)),2,FALSE)&gt;COUNTIF($E126:M126,"u")+COUNTIF($E126:M126,"t")+COUNTIF($E126:M126,"¶")+COUNTIF($E126:M126,"²")+COUNTIF($E126:M126,"µ")+COUNTIF($E126:M126,1)),
HYPERLINK("#Roadmap!C"&amp; MATCH($E126,Roadmap!$D:$D,0)+COUNTIF($E126:M126,"u")+COUNTIF($E126:M126,"t"),
     INDEX(Roadmap!$D:$K,MATCH($E126,Roadmap!$D:$D,0)+COUNTIF($E126:M126,"u")+COUNTIF($E126:M126,"t")+COUNTIF($E126:M126,"¶")+COUNTIF($E126:M126,"²")+COUNTIF($E126:M126,"µ")+COUNTIF($E126:M126,1),ColTypeEcheance)),
  IF(LEN(M126)=1,
  IF(LEN(INDEX(Roadmap!$D:$K,MATCH($E126,Roadmap!$D:$D,0)-1+COUNTIF($E126:M126,"u")+COUNTIF($E126:M126,"t")+COUNTIF($E126:M126,"¶")+COUNTIF($E126:M126,"²")+COUNTIF($E126:M126,"µ")+COUNTIF($E126:M126,1),ColDescriptionCourte))&gt;1,
HYPERLINK("#Roadmap!C"&amp; MATCH($E126,Roadmap!$D:$D,0)+COUNTIF($E126:M126,"u")+COUNTIF($E126:M126,"t")+COUNTIF($E126:M126,"¶")+COUNTIF($E126:M126,"²")+COUNTIF($E126:M126,"µ")+COUNTIF($E126:M126,1)-1,INDEX(Roadmap!$D:$K,MATCH($E126,Roadmap!$D:$D,0)-1+COUNTIF($E126:M126,"u")+COUNTIF($E126:M126,"t")+COUNTIF($E126:M126,"¶")+COUNTIF($E126:M126,"²")+COUNTIF($E126:M126,"µ")+COUNTIF($E126:M126,1),ColDescriptionCourte)),""),
  "")),"")</f>
        <v/>
      </c>
      <c r="O126" s="40" t="str">
        <f ca="1">IFERROR(IF(AND(
  INDEX(Roadmap!$D:$K,MATCH($E126,Roadmap!$D:$D,0)+COUNTIF($E126:N126,"u")+COUNTIF($E126:N126,"t")+COUNTIF($E126:N126,"¶")+COUNTIF($E126:N126,"²")+COUNTIF($E126:N126,"µ")+COUNTIF($E126:N126,1),ColLivraison)=O$6,
  VLOOKUP($E126,INDIRECT("tri!"&amp; CHAR(64+ C0Col) &amp;":"&amp; CHAR(65+C0Col)),2,FALSE)&gt;COUNTIF($E126:N126,"u")+COUNTIF($E126:N126,"t")+COUNTIF($E126:N126,"¶")+COUNTIF($E126:N126,"²")+COUNTIF($E126:N126,"µ")+COUNTIF($E126:N126,1)),
HYPERLINK("#Roadmap!C"&amp; MATCH($E126,Roadmap!$D:$D,0)+COUNTIF($E126:N126,"u")+COUNTIF($E126:N126,"t"),
     INDEX(Roadmap!$D:$K,MATCH($E126,Roadmap!$D:$D,0)+COUNTIF($E126:N126,"u")+COUNTIF($E126:N126,"t")+COUNTIF($E126:N126,"¶")+COUNTIF($E126:N126,"²")+COUNTIF($E126:N126,"µ")+COUNTIF($E126:N126,1),ColTypeEcheance)),
  IF(LEN(N126)=1,
  IF(LEN(INDEX(Roadmap!$D:$K,MATCH($E126,Roadmap!$D:$D,0)-1+COUNTIF($E126:N126,"u")+COUNTIF($E126:N126,"t")+COUNTIF($E126:N126,"¶")+COUNTIF($E126:N126,"²")+COUNTIF($E126:N126,"µ")+COUNTIF($E126:N126,1),ColDescriptionCourte))&gt;1,
HYPERLINK("#Roadmap!C"&amp; MATCH($E126,Roadmap!$D:$D,0)+COUNTIF($E126:N126,"u")+COUNTIF($E126:N126,"t")+COUNTIF($E126:N126,"¶")+COUNTIF($E126:N126,"²")+COUNTIF($E126:N126,"µ")+COUNTIF($E126:N126,1)-1,INDEX(Roadmap!$D:$K,MATCH($E126,Roadmap!$D:$D,0)-1+COUNTIF($E126:N126,"u")+COUNTIF($E126:N126,"t")+COUNTIF($E126:N126,"¶")+COUNTIF($E126:N126,"²")+COUNTIF($E126:N126,"µ")+COUNTIF($E126:N126,1),ColDescriptionCourte)),""),
  "")),"")</f>
        <v/>
      </c>
      <c r="P126" s="40" t="str">
        <f ca="1">IFERROR(IF(AND(
  INDEX(Roadmap!$D:$K,MATCH($E126,Roadmap!$D:$D,0)+COUNTIF($E126:O126,"u")+COUNTIF($E126:O126,"t")+COUNTIF($E126:O126,"¶")+COUNTIF($E126:O126,"²")+COUNTIF($E126:O126,"µ")+COUNTIF($E126:O126,1),ColLivraison)=P$6,
  VLOOKUP($E126,INDIRECT("tri!"&amp; CHAR(64+ C0Col) &amp;":"&amp; CHAR(65+C0Col)),2,FALSE)&gt;COUNTIF($E126:O126,"u")+COUNTIF($E126:O126,"t")+COUNTIF($E126:O126,"¶")+COUNTIF($E126:O126,"²")+COUNTIF($E126:O126,"µ")+COUNTIF($E126:O126,1)),
HYPERLINK("#Roadmap!C"&amp; MATCH($E126,Roadmap!$D:$D,0)+COUNTIF($E126:O126,"u")+COUNTIF($E126:O126,"t"),
     INDEX(Roadmap!$D:$K,MATCH($E126,Roadmap!$D:$D,0)+COUNTIF($E126:O126,"u")+COUNTIF($E126:O126,"t")+COUNTIF($E126:O126,"¶")+COUNTIF($E126:O126,"²")+COUNTIF($E126:O126,"µ")+COUNTIF($E126:O126,1),ColTypeEcheance)),
  IF(LEN(O126)=1,
  IF(LEN(INDEX(Roadmap!$D:$K,MATCH($E126,Roadmap!$D:$D,0)-1+COUNTIF($E126:O126,"u")+COUNTIF($E126:O126,"t")+COUNTIF($E126:O126,"¶")+COUNTIF($E126:O126,"²")+COUNTIF($E126:O126,"µ")+COUNTIF($E126:O126,1),ColDescriptionCourte))&gt;1,
HYPERLINK("#Roadmap!C"&amp; MATCH($E126,Roadmap!$D:$D,0)+COUNTIF($E126:O126,"u")+COUNTIF($E126:O126,"t")+COUNTIF($E126:O126,"¶")+COUNTIF($E126:O126,"²")+COUNTIF($E126:O126,"µ")+COUNTIF($E126:O126,1)-1,INDEX(Roadmap!$D:$K,MATCH($E126,Roadmap!$D:$D,0)-1+COUNTIF($E126:O126,"u")+COUNTIF($E126:O126,"t")+COUNTIF($E126:O126,"¶")+COUNTIF($E126:O126,"²")+COUNTIF($E126:O126,"µ")+COUNTIF($E126:O126,1),ColDescriptionCourte)),""),
  "")),"")</f>
        <v/>
      </c>
      <c r="Q126" s="40" t="str">
        <f ca="1">IFERROR(IF(AND(
  INDEX(Roadmap!$D:$K,MATCH($E126,Roadmap!$D:$D,0)+COUNTIF($E126:P126,"u")+COUNTIF($E126:P126,"t")+COUNTIF($E126:P126,"¶")+COUNTIF($E126:P126,"²")+COUNTIF($E126:P126,"µ")+COUNTIF($E126:P126,1),ColLivraison)=Q$6,
  VLOOKUP($E126,INDIRECT("tri!"&amp; CHAR(64+ C0Col) &amp;":"&amp; CHAR(65+C0Col)),2,FALSE)&gt;COUNTIF($E126:P126,"u")+COUNTIF($E126:P126,"t")+COUNTIF($E126:P126,"¶")+COUNTIF($E126:P126,"²")+COUNTIF($E126:P126,"µ")+COUNTIF($E126:P126,1)),
HYPERLINK("#Roadmap!C"&amp; MATCH($E126,Roadmap!$D:$D,0)+COUNTIF($E126:P126,"u")+COUNTIF($E126:P126,"t"),
     INDEX(Roadmap!$D:$K,MATCH($E126,Roadmap!$D:$D,0)+COUNTIF($E126:P126,"u")+COUNTIF($E126:P126,"t")+COUNTIF($E126:P126,"¶")+COUNTIF($E126:P126,"²")+COUNTIF($E126:P126,"µ")+COUNTIF($E126:P126,1),ColTypeEcheance)),
  IF(LEN(P126)=1,
  IF(LEN(INDEX(Roadmap!$D:$K,MATCH($E126,Roadmap!$D:$D,0)-1+COUNTIF($E126:P126,"u")+COUNTIF($E126:P126,"t")+COUNTIF($E126:P126,"¶")+COUNTIF($E126:P126,"²")+COUNTIF($E126:P126,"µ")+COUNTIF($E126:P126,1),ColDescriptionCourte))&gt;1,
HYPERLINK("#Roadmap!C"&amp; MATCH($E126,Roadmap!$D:$D,0)+COUNTIF($E126:P126,"u")+COUNTIF($E126:P126,"t")+COUNTIF($E126:P126,"¶")+COUNTIF($E126:P126,"²")+COUNTIF($E126:P126,"µ")+COUNTIF($E126:P126,1)-1,INDEX(Roadmap!$D:$K,MATCH($E126,Roadmap!$D:$D,0)-1+COUNTIF($E126:P126,"u")+COUNTIF($E126:P126,"t")+COUNTIF($E126:P126,"¶")+COUNTIF($E126:P126,"²")+COUNTIF($E126:P126,"µ")+COUNTIF($E126:P126,1),ColDescriptionCourte)),""),
  "")),"")</f>
        <v/>
      </c>
      <c r="R126" s="40" t="str">
        <f ca="1">IFERROR(IF(AND(
  INDEX(Roadmap!$D:$K,MATCH($E126,Roadmap!$D:$D,0)+COUNTIF($E126:Q126,"u")+COUNTIF($E126:Q126,"t")+COUNTIF($E126:Q126,"¶")+COUNTIF($E126:Q126,"²")+COUNTIF($E126:Q126,"µ")+COUNTIF($E126:Q126,1),ColLivraison)=R$6,
  VLOOKUP($E126,INDIRECT("tri!"&amp; CHAR(64+ C0Col) &amp;":"&amp; CHAR(65+C0Col)),2,FALSE)&gt;COUNTIF($E126:Q126,"u")+COUNTIF($E126:Q126,"t")+COUNTIF($E126:Q126,"¶")+COUNTIF($E126:Q126,"²")+COUNTIF($E126:Q126,"µ")+COUNTIF($E126:Q126,1)),
HYPERLINK("#Roadmap!C"&amp; MATCH($E126,Roadmap!$D:$D,0)+COUNTIF($E126:Q126,"u")+COUNTIF($E126:Q126,"t"),
     INDEX(Roadmap!$D:$K,MATCH($E126,Roadmap!$D:$D,0)+COUNTIF($E126:Q126,"u")+COUNTIF($E126:Q126,"t")+COUNTIF($E126:Q126,"¶")+COUNTIF($E126:Q126,"²")+COUNTIF($E126:Q126,"µ")+COUNTIF($E126:Q126,1),ColTypeEcheance)),
  IF(LEN(Q126)=1,
  IF(LEN(INDEX(Roadmap!$D:$K,MATCH($E126,Roadmap!$D:$D,0)-1+COUNTIF($E126:Q126,"u")+COUNTIF($E126:Q126,"t")+COUNTIF($E126:Q126,"¶")+COUNTIF($E126:Q126,"²")+COUNTIF($E126:Q126,"µ")+COUNTIF($E126:Q126,1),ColDescriptionCourte))&gt;1,
HYPERLINK("#Roadmap!C"&amp; MATCH($E126,Roadmap!$D:$D,0)+COUNTIF($E126:Q126,"u")+COUNTIF($E126:Q126,"t")+COUNTIF($E126:Q126,"¶")+COUNTIF($E126:Q126,"²")+COUNTIF($E126:Q126,"µ")+COUNTIF($E126:Q126,1)-1,INDEX(Roadmap!$D:$K,MATCH($E126,Roadmap!$D:$D,0)-1+COUNTIF($E126:Q126,"u")+COUNTIF($E126:Q126,"t")+COUNTIF($E126:Q126,"¶")+COUNTIF($E126:Q126,"²")+COUNTIF($E126:Q126,"µ")+COUNTIF($E126:Q126,1),ColDescriptionCourte)),""),
  "")),"")</f>
        <v/>
      </c>
      <c r="S126" s="40" t="str">
        <f ca="1">IFERROR(IF(AND(
  INDEX(Roadmap!$D:$K,MATCH($E126,Roadmap!$D:$D,0)+COUNTIF($E126:R126,"u")+COUNTIF($E126:R126,"t")+COUNTIF($E126:R126,"¶")+COUNTIF($E126:R126,"²")+COUNTIF($E126:R126,"µ")+COUNTIF($E126:R126,1),ColLivraison)=S$6,
  VLOOKUP($E126,INDIRECT("tri!"&amp; CHAR(64+ C0Col) &amp;":"&amp; CHAR(65+C0Col)),2,FALSE)&gt;COUNTIF($E126:R126,"u")+COUNTIF($E126:R126,"t")+COUNTIF($E126:R126,"¶")+COUNTIF($E126:R126,"²")+COUNTIF($E126:R126,"µ")+COUNTIF($E126:R126,1)),
HYPERLINK("#Roadmap!C"&amp; MATCH($E126,Roadmap!$D:$D,0)+COUNTIF($E126:R126,"u")+COUNTIF($E126:R126,"t"),
     INDEX(Roadmap!$D:$K,MATCH($E126,Roadmap!$D:$D,0)+COUNTIF($E126:R126,"u")+COUNTIF($E126:R126,"t")+COUNTIF($E126:R126,"¶")+COUNTIF($E126:R126,"²")+COUNTIF($E126:R126,"µ")+COUNTIF($E126:R126,1),ColTypeEcheance)),
  IF(LEN(R126)=1,
  IF(LEN(INDEX(Roadmap!$D:$K,MATCH($E126,Roadmap!$D:$D,0)-1+COUNTIF($E126:R126,"u")+COUNTIF($E126:R126,"t")+COUNTIF($E126:R126,"¶")+COUNTIF($E126:R126,"²")+COUNTIF($E126:R126,"µ")+COUNTIF($E126:R126,1),ColDescriptionCourte))&gt;1,
HYPERLINK("#Roadmap!C"&amp; MATCH($E126,Roadmap!$D:$D,0)+COUNTIF($E126:R126,"u")+COUNTIF($E126:R126,"t")+COUNTIF($E126:R126,"¶")+COUNTIF($E126:R126,"²")+COUNTIF($E126:R126,"µ")+COUNTIF($E126:R126,1)-1,INDEX(Roadmap!$D:$K,MATCH($E126,Roadmap!$D:$D,0)-1+COUNTIF($E126:R126,"u")+COUNTIF($E126:R126,"t")+COUNTIF($E126:R126,"¶")+COUNTIF($E126:R126,"²")+COUNTIF($E126:R126,"µ")+COUNTIF($E126:R126,1),ColDescriptionCourte)),""),
  "")),"")</f>
        <v/>
      </c>
      <c r="T126" s="40" t="str">
        <f ca="1">IFERROR(IF(AND(
  INDEX(Roadmap!$D:$K,MATCH($E126,Roadmap!$D:$D,0)+COUNTIF($E126:S126,"u")+COUNTIF($E126:S126,"t")+COUNTIF($E126:S126,"¶")+COUNTIF($E126:S126,"²")+COUNTIF($E126:S126,"µ")+COUNTIF($E126:S126,1),ColLivraison)=T$6,
  VLOOKUP($E126,INDIRECT("tri!"&amp; CHAR(64+ C0Col) &amp;":"&amp; CHAR(65+C0Col)),2,FALSE)&gt;COUNTIF($E126:S126,"u")+COUNTIF($E126:S126,"t")+COUNTIF($E126:S126,"¶")+COUNTIF($E126:S126,"²")+COUNTIF($E126:S126,"µ")+COUNTIF($E126:S126,1)),
HYPERLINK("#Roadmap!C"&amp; MATCH($E126,Roadmap!$D:$D,0)+COUNTIF($E126:S126,"u")+COUNTIF($E126:S126,"t"),
     INDEX(Roadmap!$D:$K,MATCH($E126,Roadmap!$D:$D,0)+COUNTIF($E126:S126,"u")+COUNTIF($E126:S126,"t")+COUNTIF($E126:S126,"¶")+COUNTIF($E126:S126,"²")+COUNTIF($E126:S126,"µ")+COUNTIF($E126:S126,1),ColTypeEcheance)),
  IF(LEN(S126)=1,
  IF(LEN(INDEX(Roadmap!$D:$K,MATCH($E126,Roadmap!$D:$D,0)-1+COUNTIF($E126:S126,"u")+COUNTIF($E126:S126,"t")+COUNTIF($E126:S126,"¶")+COUNTIF($E126:S126,"²")+COUNTIF($E126:S126,"µ")+COUNTIF($E126:S126,1),ColDescriptionCourte))&gt;1,
HYPERLINK("#Roadmap!C"&amp; MATCH($E126,Roadmap!$D:$D,0)+COUNTIF($E126:S126,"u")+COUNTIF($E126:S126,"t")+COUNTIF($E126:S126,"¶")+COUNTIF($E126:S126,"²")+COUNTIF($E126:S126,"µ")+COUNTIF($E126:S126,1)-1,INDEX(Roadmap!$D:$K,MATCH($E126,Roadmap!$D:$D,0)-1+COUNTIF($E126:S126,"u")+COUNTIF($E126:S126,"t")+COUNTIF($E126:S126,"¶")+COUNTIF($E126:S126,"²")+COUNTIF($E126:S126,"µ")+COUNTIF($E126:S126,1),ColDescriptionCourte)),""),
  "")),"")</f>
        <v/>
      </c>
      <c r="U126" s="40" t="str">
        <f ca="1">IFERROR(IF(AND(
  INDEX(Roadmap!$D:$K,MATCH($E126,Roadmap!$D:$D,0)+COUNTIF($E126:T126,"u")+COUNTIF($E126:T126,"t")+COUNTIF($E126:T126,"¶")+COUNTIF($E126:T126,"²")+COUNTIF($E126:T126,"µ")+COUNTIF($E126:T126,1),ColLivraison)=U$6,
  VLOOKUP($E126,INDIRECT("tri!"&amp; CHAR(64+ C0Col) &amp;":"&amp; CHAR(65+C0Col)),2,FALSE)&gt;COUNTIF($E126:T126,"u")+COUNTIF($E126:T126,"t")+COUNTIF($E126:T126,"¶")+COUNTIF($E126:T126,"²")+COUNTIF($E126:T126,"µ")+COUNTIF($E126:T126,1)),
HYPERLINK("#Roadmap!C"&amp; MATCH($E126,Roadmap!$D:$D,0)+COUNTIF($E126:T126,"u")+COUNTIF($E126:T126,"t"),
     INDEX(Roadmap!$D:$K,MATCH($E126,Roadmap!$D:$D,0)+COUNTIF($E126:T126,"u")+COUNTIF($E126:T126,"t")+COUNTIF($E126:T126,"¶")+COUNTIF($E126:T126,"²")+COUNTIF($E126:T126,"µ")+COUNTIF($E126:T126,1),ColTypeEcheance)),
  IF(LEN(T126)=1,
  IF(LEN(INDEX(Roadmap!$D:$K,MATCH($E126,Roadmap!$D:$D,0)-1+COUNTIF($E126:T126,"u")+COUNTIF($E126:T126,"t")+COUNTIF($E126:T126,"¶")+COUNTIF($E126:T126,"²")+COUNTIF($E126:T126,"µ")+COUNTIF($E126:T126,1),ColDescriptionCourte))&gt;1,
HYPERLINK("#Roadmap!C"&amp; MATCH($E126,Roadmap!$D:$D,0)+COUNTIF($E126:T126,"u")+COUNTIF($E126:T126,"t")+COUNTIF($E126:T126,"¶")+COUNTIF($E126:T126,"²")+COUNTIF($E126:T126,"µ")+COUNTIF($E126:T126,1)-1,INDEX(Roadmap!$D:$K,MATCH($E126,Roadmap!$D:$D,0)-1+COUNTIF($E126:T126,"u")+COUNTIF($E126:T126,"t")+COUNTIF($E126:T126,"¶")+COUNTIF($E126:T126,"²")+COUNTIF($E126:T126,"µ")+COUNTIF($E126:T126,1),ColDescriptionCourte)),""),
  "")),"")</f>
        <v/>
      </c>
      <c r="V126" s="40" t="str">
        <f ca="1">IFERROR(IF(AND(
  INDEX(Roadmap!$D:$K,MATCH($E126,Roadmap!$D:$D,0)+COUNTIF($E126:U126,"u")+COUNTIF($E126:U126,"t")+COUNTIF($E126:U126,"¶")+COUNTIF($E126:U126,"²")+COUNTIF($E126:U126,"µ")+COUNTIF($E126:U126,1),ColLivraison)=V$6,
  VLOOKUP($E126,INDIRECT("tri!"&amp; CHAR(64+ C0Col) &amp;":"&amp; CHAR(65+C0Col)),2,FALSE)&gt;COUNTIF($E126:U126,"u")+COUNTIF($E126:U126,"t")+COUNTIF($E126:U126,"¶")+COUNTIF($E126:U126,"²")+COUNTIF($E126:U126,"µ")+COUNTIF($E126:U126,1)),
HYPERLINK("#Roadmap!C"&amp; MATCH($E126,Roadmap!$D:$D,0)+COUNTIF($E126:U126,"u")+COUNTIF($E126:U126,"t"),
     INDEX(Roadmap!$D:$K,MATCH($E126,Roadmap!$D:$D,0)+COUNTIF($E126:U126,"u")+COUNTIF($E126:U126,"t")+COUNTIF($E126:U126,"¶")+COUNTIF($E126:U126,"²")+COUNTIF($E126:U126,"µ")+COUNTIF($E126:U126,1),ColTypeEcheance)),
  IF(LEN(U126)=1,
  IF(LEN(INDEX(Roadmap!$D:$K,MATCH($E126,Roadmap!$D:$D,0)-1+COUNTIF($E126:U126,"u")+COUNTIF($E126:U126,"t")+COUNTIF($E126:U126,"¶")+COUNTIF($E126:U126,"²")+COUNTIF($E126:U126,"µ")+COUNTIF($E126:U126,1),ColDescriptionCourte))&gt;1,
HYPERLINK("#Roadmap!C"&amp; MATCH($E126,Roadmap!$D:$D,0)+COUNTIF($E126:U126,"u")+COUNTIF($E126:U126,"t")+COUNTIF($E126:U126,"¶")+COUNTIF($E126:U126,"²")+COUNTIF($E126:U126,"µ")+COUNTIF($E126:U126,1)-1,INDEX(Roadmap!$D:$K,MATCH($E126,Roadmap!$D:$D,0)-1+COUNTIF($E126:U126,"u")+COUNTIF($E126:U126,"t")+COUNTIF($E126:U126,"¶")+COUNTIF($E126:U126,"²")+COUNTIF($E126:U126,"µ")+COUNTIF($E126:U126,1),ColDescriptionCourte)),""),
  "")),"")</f>
        <v/>
      </c>
      <c r="W126" s="40" t="str">
        <f ca="1">IFERROR(IF(AND(
  INDEX(Roadmap!$D:$K,MATCH($E126,Roadmap!$D:$D,0)+COUNTIF($E126:V126,"u")+COUNTIF($E126:V126,"t")+COUNTIF($E126:V126,"¶")+COUNTIF($E126:V126,"²")+COUNTIF($E126:V126,"µ")+COUNTIF($E126:V126,1),ColLivraison)=W$6,
  VLOOKUP($E126,INDIRECT("tri!"&amp; CHAR(64+ C0Col) &amp;":"&amp; CHAR(65+C0Col)),2,FALSE)&gt;COUNTIF($E126:V126,"u")+COUNTIF($E126:V126,"t")+COUNTIF($E126:V126,"¶")+COUNTIF($E126:V126,"²")+COUNTIF($E126:V126,"µ")+COUNTIF($E126:V126,1)),
HYPERLINK("#Roadmap!C"&amp; MATCH($E126,Roadmap!$D:$D,0)+COUNTIF($E126:V126,"u")+COUNTIF($E126:V126,"t"),
     INDEX(Roadmap!$D:$K,MATCH($E126,Roadmap!$D:$D,0)+COUNTIF($E126:V126,"u")+COUNTIF($E126:V126,"t")+COUNTIF($E126:V126,"¶")+COUNTIF($E126:V126,"²")+COUNTIF($E126:V126,"µ")+COUNTIF($E126:V126,1),ColTypeEcheance)),
  IF(LEN(V126)=1,
  IF(LEN(INDEX(Roadmap!$D:$K,MATCH($E126,Roadmap!$D:$D,0)-1+COUNTIF($E126:V126,"u")+COUNTIF($E126:V126,"t")+COUNTIF($E126:V126,"¶")+COUNTIF($E126:V126,"²")+COUNTIF($E126:V126,"µ")+COUNTIF($E126:V126,1),ColDescriptionCourte))&gt;1,
HYPERLINK("#Roadmap!C"&amp; MATCH($E126,Roadmap!$D:$D,0)+COUNTIF($E126:V126,"u")+COUNTIF($E126:V126,"t")+COUNTIF($E126:V126,"¶")+COUNTIF($E126:V126,"²")+COUNTIF($E126:V126,"µ")+COUNTIF($E126:V126,1)-1,INDEX(Roadmap!$D:$K,MATCH($E126,Roadmap!$D:$D,0)-1+COUNTIF($E126:V126,"u")+COUNTIF($E126:V126,"t")+COUNTIF($E126:V126,"¶")+COUNTIF($E126:V126,"²")+COUNTIF($E126:V126,"µ")+COUNTIF($E126:V126,1),ColDescriptionCourte)),""),
  "")),"")</f>
        <v/>
      </c>
      <c r="X126" s="40" t="str">
        <f ca="1">IFERROR(IF(AND(
  INDEX(Roadmap!$D:$K,MATCH($E126,Roadmap!$D:$D,0)+COUNTIF($E126:W126,"u")+COUNTIF($E126:W126,"t")+COUNTIF($E126:W126,"¶")+COUNTIF($E126:W126,"²")+COUNTIF($E126:W126,"µ")+COUNTIF($E126:W126,1),ColLivraison)=X$6,
  VLOOKUP($E126,INDIRECT("tri!"&amp; CHAR(64+ C0Col) &amp;":"&amp; CHAR(65+C0Col)),2,FALSE)&gt;COUNTIF($E126:W126,"u")+COUNTIF($E126:W126,"t")+COUNTIF($E126:W126,"¶")+COUNTIF($E126:W126,"²")+COUNTIF($E126:W126,"µ")+COUNTIF($E126:W126,1)),
HYPERLINK("#Roadmap!C"&amp; MATCH($E126,Roadmap!$D:$D,0)+COUNTIF($E126:W126,"u")+COUNTIF($E126:W126,"t"),
     INDEX(Roadmap!$D:$K,MATCH($E126,Roadmap!$D:$D,0)+COUNTIF($E126:W126,"u")+COUNTIF($E126:W126,"t")+COUNTIF($E126:W126,"¶")+COUNTIF($E126:W126,"²")+COUNTIF($E126:W126,"µ")+COUNTIF($E126:W126,1),ColTypeEcheance)),
  IF(LEN(W126)=1,
  IF(LEN(INDEX(Roadmap!$D:$K,MATCH($E126,Roadmap!$D:$D,0)-1+COUNTIF($E126:W126,"u")+COUNTIF($E126:W126,"t")+COUNTIF($E126:W126,"¶")+COUNTIF($E126:W126,"²")+COUNTIF($E126:W126,"µ")+COUNTIF($E126:W126,1),ColDescriptionCourte))&gt;1,
HYPERLINK("#Roadmap!C"&amp; MATCH($E126,Roadmap!$D:$D,0)+COUNTIF($E126:W126,"u")+COUNTIF($E126:W126,"t")+COUNTIF($E126:W126,"¶")+COUNTIF($E126:W126,"²")+COUNTIF($E126:W126,"µ")+COUNTIF($E126:W126,1)-1,INDEX(Roadmap!$D:$K,MATCH($E126,Roadmap!$D:$D,0)-1+COUNTIF($E126:W126,"u")+COUNTIF($E126:W126,"t")+COUNTIF($E126:W126,"¶")+COUNTIF($E126:W126,"²")+COUNTIF($E126:W126,"µ")+COUNTIF($E126:W126,1),ColDescriptionCourte)),""),
  "")),"")</f>
        <v/>
      </c>
      <c r="Y126" s="40" t="str">
        <f ca="1">IFERROR(IF(AND(
  INDEX(Roadmap!$D:$K,MATCH($E126,Roadmap!$D:$D,0)+COUNTIF($E126:X126,"u")+COUNTIF($E126:X126,"t")+COUNTIF($E126:X126,"¶")+COUNTIF($E126:X126,"²")+COUNTIF($E126:X126,"µ")+COUNTIF($E126:X126,1),ColLivraison)=Y$6,
  VLOOKUP($E126,INDIRECT("tri!"&amp; CHAR(64+ C0Col) &amp;":"&amp; CHAR(65+C0Col)),2,FALSE)&gt;COUNTIF($E126:X126,"u")+COUNTIF($E126:X126,"t")+COUNTIF($E126:X126,"¶")+COUNTIF($E126:X126,"²")+COUNTIF($E126:X126,"µ")+COUNTIF($E126:X126,1)),
HYPERLINK("#Roadmap!C"&amp; MATCH($E126,Roadmap!$D:$D,0)+COUNTIF($E126:X126,"u")+COUNTIF($E126:X126,"t"),
     INDEX(Roadmap!$D:$K,MATCH($E126,Roadmap!$D:$D,0)+COUNTIF($E126:X126,"u")+COUNTIF($E126:X126,"t")+COUNTIF($E126:X126,"¶")+COUNTIF($E126:X126,"²")+COUNTIF($E126:X126,"µ")+COUNTIF($E126:X126,1),ColTypeEcheance)),
  IF(LEN(X126)=1,
  IF(LEN(INDEX(Roadmap!$D:$K,MATCH($E126,Roadmap!$D:$D,0)-1+COUNTIF($E126:X126,"u")+COUNTIF($E126:X126,"t")+COUNTIF($E126:X126,"¶")+COUNTIF($E126:X126,"²")+COUNTIF($E126:X126,"µ")+COUNTIF($E126:X126,1),ColDescriptionCourte))&gt;1,
HYPERLINK("#Roadmap!C"&amp; MATCH($E126,Roadmap!$D:$D,0)+COUNTIF($E126:X126,"u")+COUNTIF($E126:X126,"t")+COUNTIF($E126:X126,"¶")+COUNTIF($E126:X126,"²")+COUNTIF($E126:X126,"µ")+COUNTIF($E126:X126,1)-1,INDEX(Roadmap!$D:$K,MATCH($E126,Roadmap!$D:$D,0)-1+COUNTIF($E126:X126,"u")+COUNTIF($E126:X126,"t")+COUNTIF($E126:X126,"¶")+COUNTIF($E126:X126,"²")+COUNTIF($E126:X126,"µ")+COUNTIF($E126:X126,1),ColDescriptionCourte)),""),
  "")),"")</f>
        <v/>
      </c>
      <c r="Z126" s="40" t="str">
        <f ca="1">IFERROR(IF(AND(
  INDEX(Roadmap!$D:$K,MATCH($E126,Roadmap!$D:$D,0)+COUNTIF($E126:Y126,"u")+COUNTIF($E126:Y126,"t")+COUNTIF($E126:Y126,"¶")+COUNTIF($E126:Y126,"²")+COUNTIF($E126:Y126,"µ")+COUNTIF($E126:Y126,1),ColLivraison)=Z$6,
  VLOOKUP($E126,INDIRECT("tri!"&amp; CHAR(64+ C0Col) &amp;":"&amp; CHAR(65+C0Col)),2,FALSE)&gt;COUNTIF($E126:Y126,"u")+COUNTIF($E126:Y126,"t")+COUNTIF($E126:Y126,"¶")+COUNTIF($E126:Y126,"²")+COUNTIF($E126:Y126,"µ")+COUNTIF($E126:Y126,1)),
HYPERLINK("#Roadmap!C"&amp; MATCH($E126,Roadmap!$D:$D,0)+COUNTIF($E126:Y126,"u")+COUNTIF($E126:Y126,"t"),
     INDEX(Roadmap!$D:$K,MATCH($E126,Roadmap!$D:$D,0)+COUNTIF($E126:Y126,"u")+COUNTIF($E126:Y126,"t")+COUNTIF($E126:Y126,"¶")+COUNTIF($E126:Y126,"²")+COUNTIF($E126:Y126,"µ")+COUNTIF($E126:Y126,1),ColTypeEcheance)),
  IF(LEN(Y126)=1,
  IF(LEN(INDEX(Roadmap!$D:$K,MATCH($E126,Roadmap!$D:$D,0)-1+COUNTIF($E126:Y126,"u")+COUNTIF($E126:Y126,"t")+COUNTIF($E126:Y126,"¶")+COUNTIF($E126:Y126,"²")+COUNTIF($E126:Y126,"µ")+COUNTIF($E126:Y126,1),ColDescriptionCourte))&gt;1,
HYPERLINK("#Roadmap!C"&amp; MATCH($E126,Roadmap!$D:$D,0)+COUNTIF($E126:Y126,"u")+COUNTIF($E126:Y126,"t")+COUNTIF($E126:Y126,"¶")+COUNTIF($E126:Y126,"²")+COUNTIF($E126:Y126,"µ")+COUNTIF($E126:Y126,1)-1,INDEX(Roadmap!$D:$K,MATCH($E126,Roadmap!$D:$D,0)-1+COUNTIF($E126:Y126,"u")+COUNTIF($E126:Y126,"t")+COUNTIF($E126:Y126,"¶")+COUNTIF($E126:Y126,"²")+COUNTIF($E126:Y126,"µ")+COUNTIF($E126:Y126,1),ColDescriptionCourte)),""),
  "")),"")</f>
        <v/>
      </c>
      <c r="AA126" s="40" t="str">
        <f ca="1">IFERROR(IF(AND(
  INDEX(Roadmap!$D:$K,MATCH($E126,Roadmap!$D:$D,0)+COUNTIF($E126:Z126,"u")+COUNTIF($E126:Z126,"t")+COUNTIF($E126:Z126,"¶")+COUNTIF($E126:Z126,"²")+COUNTIF($E126:Z126,"µ")+COUNTIF($E126:Z126,1),ColLivraison)=AA$6,
  VLOOKUP($E126,INDIRECT("tri!"&amp; CHAR(64+ C0Col) &amp;":"&amp; CHAR(65+C0Col)),2,FALSE)&gt;COUNTIF($E126:Z126,"u")+COUNTIF($E126:Z126,"t")+COUNTIF($E126:Z126,"¶")+COUNTIF($E126:Z126,"²")+COUNTIF($E126:Z126,"µ")+COUNTIF($E126:Z126,1)),
HYPERLINK("#Roadmap!C"&amp; MATCH($E126,Roadmap!$D:$D,0)+COUNTIF($E126:Z126,"u")+COUNTIF($E126:Z126,"t"),
     INDEX(Roadmap!$D:$K,MATCH($E126,Roadmap!$D:$D,0)+COUNTIF($E126:Z126,"u")+COUNTIF($E126:Z126,"t")+COUNTIF($E126:Z126,"¶")+COUNTIF($E126:Z126,"²")+COUNTIF($E126:Z126,"µ")+COUNTIF($E126:Z126,1),ColTypeEcheance)),
  IF(LEN(Z126)=1,
  IF(LEN(INDEX(Roadmap!$D:$K,MATCH($E126,Roadmap!$D:$D,0)-1+COUNTIF($E126:Z126,"u")+COUNTIF($E126:Z126,"t")+COUNTIF($E126:Z126,"¶")+COUNTIF($E126:Z126,"²")+COUNTIF($E126:Z126,"µ")+COUNTIF($E126:Z126,1),ColDescriptionCourte))&gt;1,
HYPERLINK("#Roadmap!C"&amp; MATCH($E126,Roadmap!$D:$D,0)+COUNTIF($E126:Z126,"u")+COUNTIF($E126:Z126,"t")+COUNTIF($E126:Z126,"¶")+COUNTIF($E126:Z126,"²")+COUNTIF($E126:Z126,"µ")+COUNTIF($E126:Z126,1)-1,INDEX(Roadmap!$D:$K,MATCH($E126,Roadmap!$D:$D,0)-1+COUNTIF($E126:Z126,"u")+COUNTIF($E126:Z126,"t")+COUNTIF($E126:Z126,"¶")+COUNTIF($E126:Z126,"²")+COUNTIF($E126:Z126,"µ")+COUNTIF($E126:Z126,1),ColDescriptionCourte)),""),
  "")),"")</f>
        <v/>
      </c>
      <c r="AB126" s="40" t="str">
        <f ca="1">IFERROR(IF(AND(
  INDEX(Roadmap!$D:$K,MATCH($E126,Roadmap!$D:$D,0)+COUNTIF($E126:AA126,"u")+COUNTIF($E126:AA126,"t")+COUNTIF($E126:AA126,"¶")+COUNTIF($E126:AA126,"²")+COUNTIF($E126:AA126,"µ")+COUNTIF($E126:AA126,1),ColLivraison)=AB$6,
  VLOOKUP($E126,INDIRECT("tri!"&amp; CHAR(64+ C0Col) &amp;":"&amp; CHAR(65+C0Col)),2,FALSE)&gt;COUNTIF($E126:AA126,"u")+COUNTIF($E126:AA126,"t")+COUNTIF($E126:AA126,"¶")+COUNTIF($E126:AA126,"²")+COUNTIF($E126:AA126,"µ")+COUNTIF($E126:AA126,1)),
HYPERLINK("#Roadmap!C"&amp; MATCH($E126,Roadmap!$D:$D,0)+COUNTIF($E126:AA126,"u")+COUNTIF($E126:AA126,"t"),
     INDEX(Roadmap!$D:$K,MATCH($E126,Roadmap!$D:$D,0)+COUNTIF($E126:AA126,"u")+COUNTIF($E126:AA126,"t")+COUNTIF($E126:AA126,"¶")+COUNTIF($E126:AA126,"²")+COUNTIF($E126:AA126,"µ")+COUNTIF($E126:AA126,1),ColTypeEcheance)),
  IF(LEN(AA126)=1,
  IF(LEN(INDEX(Roadmap!$D:$K,MATCH($E126,Roadmap!$D:$D,0)-1+COUNTIF($E126:AA126,"u")+COUNTIF($E126:AA126,"t")+COUNTIF($E126:AA126,"¶")+COUNTIF($E126:AA126,"²")+COUNTIF($E126:AA126,"µ")+COUNTIF($E126:AA126,1),ColDescriptionCourte))&gt;1,
HYPERLINK("#Roadmap!C"&amp; MATCH($E126,Roadmap!$D:$D,0)+COUNTIF($E126:AA126,"u")+COUNTIF($E126:AA126,"t")+COUNTIF($E126:AA126,"¶")+COUNTIF($E126:AA126,"²")+COUNTIF($E126:AA126,"µ")+COUNTIF($E126:AA126,1)-1,INDEX(Roadmap!$D:$K,MATCH($E126,Roadmap!$D:$D,0)-1+COUNTIF($E126:AA126,"u")+COUNTIF($E126:AA126,"t")+COUNTIF($E126:AA126,"¶")+COUNTIF($E126:AA126,"²")+COUNTIF($E126:AA126,"µ")+COUNTIF($E126:AA126,1),ColDescriptionCourte)),""),
  "")),"")</f>
        <v/>
      </c>
      <c r="AC126" s="40" t="str">
        <f ca="1">IFERROR(IF(AND(
  INDEX(Roadmap!$D:$K,MATCH($E126,Roadmap!$D:$D,0)+COUNTIF($E126:AB126,"u")+COUNTIF($E126:AB126,"t")+COUNTIF($E126:AB126,"¶")+COUNTIF($E126:AB126,"²")+COUNTIF($E126:AB126,"µ")+COUNTIF($E126:AB126,1),ColLivraison)=AC$6,
  VLOOKUP($E126,INDIRECT("tri!"&amp; CHAR(64+ C0Col) &amp;":"&amp; CHAR(65+C0Col)),2,FALSE)&gt;COUNTIF($E126:AB126,"u")+COUNTIF($E126:AB126,"t")+COUNTIF($E126:AB126,"¶")+COUNTIF($E126:AB126,"²")+COUNTIF($E126:AB126,"µ")+COUNTIF($E126:AB126,1)),
HYPERLINK("#Roadmap!C"&amp; MATCH($E126,Roadmap!$D:$D,0)+COUNTIF($E126:AB126,"u")+COUNTIF($E126:AB126,"t"),
     INDEX(Roadmap!$D:$K,MATCH($E126,Roadmap!$D:$D,0)+COUNTIF($E126:AB126,"u")+COUNTIF($E126:AB126,"t")+COUNTIF($E126:AB126,"¶")+COUNTIF($E126:AB126,"²")+COUNTIF($E126:AB126,"µ")+COUNTIF($E126:AB126,1),ColTypeEcheance)),
  IF(LEN(AB126)=1,
  IF(LEN(INDEX(Roadmap!$D:$K,MATCH($E126,Roadmap!$D:$D,0)-1+COUNTIF($E126:AB126,"u")+COUNTIF($E126:AB126,"t")+COUNTIF($E126:AB126,"¶")+COUNTIF($E126:AB126,"²")+COUNTIF($E126:AB126,"µ")+COUNTIF($E126:AB126,1),ColDescriptionCourte))&gt;1,
HYPERLINK("#Roadmap!C"&amp; MATCH($E126,Roadmap!$D:$D,0)+COUNTIF($E126:AB126,"u")+COUNTIF($E126:AB126,"t")+COUNTIF($E126:AB126,"¶")+COUNTIF($E126:AB126,"²")+COUNTIF($E126:AB126,"µ")+COUNTIF($E126:AB126,1)-1,INDEX(Roadmap!$D:$K,MATCH($E126,Roadmap!$D:$D,0)-1+COUNTIF($E126:AB126,"u")+COUNTIF($E126:AB126,"t")+COUNTIF($E126:AB126,"¶")+COUNTIF($E126:AB126,"²")+COUNTIF($E126:AB126,"µ")+COUNTIF($E126:AB126,1),ColDescriptionCourte)),""),
  "")),"")</f>
        <v/>
      </c>
      <c r="AD126" s="40" t="str">
        <f ca="1">IFERROR(IF(AND(
  INDEX(Roadmap!$D:$K,MATCH($E126,Roadmap!$D:$D,0)+COUNTIF($E126:AC126,"u")+COUNTIF($E126:AC126,"t")+COUNTIF($E126:AC126,"¶")+COUNTIF($E126:AC126,"²")+COUNTIF($E126:AC126,"µ")+COUNTIF($E126:AC126,1),ColLivraison)=AD$6,
  VLOOKUP($E126,INDIRECT("tri!"&amp; CHAR(64+ C0Col) &amp;":"&amp; CHAR(65+C0Col)),2,FALSE)&gt;COUNTIF($E126:AC126,"u")+COUNTIF($E126:AC126,"t")+COUNTIF($E126:AC126,"¶")+COUNTIF($E126:AC126,"²")+COUNTIF($E126:AC126,"µ")+COUNTIF($E126:AC126,1)),
HYPERLINK("#Roadmap!C"&amp; MATCH($E126,Roadmap!$D:$D,0)+COUNTIF($E126:AC126,"u")+COUNTIF($E126:AC126,"t"),
     INDEX(Roadmap!$D:$K,MATCH($E126,Roadmap!$D:$D,0)+COUNTIF($E126:AC126,"u")+COUNTIF($E126:AC126,"t")+COUNTIF($E126:AC126,"¶")+COUNTIF($E126:AC126,"²")+COUNTIF($E126:AC126,"µ")+COUNTIF($E126:AC126,1),ColTypeEcheance)),
  IF(LEN(AC126)=1,
  IF(LEN(INDEX(Roadmap!$D:$K,MATCH($E126,Roadmap!$D:$D,0)-1+COUNTIF($E126:AC126,"u")+COUNTIF($E126:AC126,"t")+COUNTIF($E126:AC126,"¶")+COUNTIF($E126:AC126,"²")+COUNTIF($E126:AC126,"µ")+COUNTIF($E126:AC126,1),ColDescriptionCourte))&gt;1,
HYPERLINK("#Roadmap!C"&amp; MATCH($E126,Roadmap!$D:$D,0)+COUNTIF($E126:AC126,"u")+COUNTIF($E126:AC126,"t")+COUNTIF($E126:AC126,"¶")+COUNTIF($E126:AC126,"²")+COUNTIF($E126:AC126,"µ")+COUNTIF($E126:AC126,1)-1,INDEX(Roadmap!$D:$K,MATCH($E126,Roadmap!$D:$D,0)-1+COUNTIF($E126:AC126,"u")+COUNTIF($E126:AC126,"t")+COUNTIF($E126:AC126,"¶")+COUNTIF($E126:AC126,"²")+COUNTIF($E126:AC126,"µ")+COUNTIF($E126:AC126,1),ColDescriptionCourte)),""),
  "")),"")</f>
        <v/>
      </c>
      <c r="AE126" s="40" t="str">
        <f ca="1">IFERROR(IF(AND(
  INDEX(Roadmap!$D:$K,MATCH($E126,Roadmap!$D:$D,0)+COUNTIF($E126:AD126,"u")+COUNTIF($E126:AD126,"t")+COUNTIF($E126:AD126,"¶")+COUNTIF($E126:AD126,"²")+COUNTIF($E126:AD126,"µ")+COUNTIF($E126:AD126,1),ColLivraison)=AE$6,
  VLOOKUP($E126,INDIRECT("tri!"&amp; CHAR(64+ C0Col) &amp;":"&amp; CHAR(65+C0Col)),2,FALSE)&gt;COUNTIF($E126:AD126,"u")+COUNTIF($E126:AD126,"t")+COUNTIF($E126:AD126,"¶")+COUNTIF($E126:AD126,"²")+COUNTIF($E126:AD126,"µ")+COUNTIF($E126:AD126,1)),
HYPERLINK("#Roadmap!C"&amp; MATCH($E126,Roadmap!$D:$D,0)+COUNTIF($E126:AD126,"u")+COUNTIF($E126:AD126,"t"),
     INDEX(Roadmap!$D:$K,MATCH($E126,Roadmap!$D:$D,0)+COUNTIF($E126:AD126,"u")+COUNTIF($E126:AD126,"t")+COUNTIF($E126:AD126,"¶")+COUNTIF($E126:AD126,"²")+COUNTIF($E126:AD126,"µ")+COUNTIF($E126:AD126,1),ColTypeEcheance)),
  IF(LEN(AD126)=1,
  IF(LEN(INDEX(Roadmap!$D:$K,MATCH($E126,Roadmap!$D:$D,0)-1+COUNTIF($E126:AD126,"u")+COUNTIF($E126:AD126,"t")+COUNTIF($E126:AD126,"¶")+COUNTIF($E126:AD126,"²")+COUNTIF($E126:AD126,"µ")+COUNTIF($E126:AD126,1),ColDescriptionCourte))&gt;1,
HYPERLINK("#Roadmap!C"&amp; MATCH($E126,Roadmap!$D:$D,0)+COUNTIF($E126:AD126,"u")+COUNTIF($E126:AD126,"t")+COUNTIF($E126:AD126,"¶")+COUNTIF($E126:AD126,"²")+COUNTIF($E126:AD126,"µ")+COUNTIF($E126:AD126,1)-1,INDEX(Roadmap!$D:$K,MATCH($E126,Roadmap!$D:$D,0)-1+COUNTIF($E126:AD126,"u")+COUNTIF($E126:AD126,"t")+COUNTIF($E126:AD126,"¶")+COUNTIF($E126:AD126,"²")+COUNTIF($E126:AD126,"µ")+COUNTIF($E126:AD126,1),ColDescriptionCourte)),""),
  "")),"")</f>
        <v/>
      </c>
      <c r="AF126" s="40" t="str">
        <f ca="1">IFERROR(IF(AND(
  INDEX(Roadmap!$D:$K,MATCH($E126,Roadmap!$D:$D,0)+COUNTIF($E126:AE126,"u")+COUNTIF($E126:AE126,"t")+COUNTIF($E126:AE126,"¶")+COUNTIF($E126:AE126,"²")+COUNTIF($E126:AE126,"µ")+COUNTIF($E126:AE126,1),ColLivraison)=AF$6,
  VLOOKUP($E126,INDIRECT("tri!"&amp; CHAR(64+ C0Col) &amp;":"&amp; CHAR(65+C0Col)),2,FALSE)&gt;COUNTIF($E126:AE126,"u")+COUNTIF($E126:AE126,"t")+COUNTIF($E126:AE126,"¶")+COUNTIF($E126:AE126,"²")+COUNTIF($E126:AE126,"µ")+COUNTIF($E126:AE126,1)),
HYPERLINK("#Roadmap!C"&amp; MATCH($E126,Roadmap!$D:$D,0)+COUNTIF($E126:AE126,"u")+COUNTIF($E126:AE126,"t"),
     INDEX(Roadmap!$D:$K,MATCH($E126,Roadmap!$D:$D,0)+COUNTIF($E126:AE126,"u")+COUNTIF($E126:AE126,"t")+COUNTIF($E126:AE126,"¶")+COUNTIF($E126:AE126,"²")+COUNTIF($E126:AE126,"µ")+COUNTIF($E126:AE126,1),ColTypeEcheance)),
  IF(LEN(AE126)=1,
  IF(LEN(INDEX(Roadmap!$D:$K,MATCH($E126,Roadmap!$D:$D,0)-1+COUNTIF($E126:AE126,"u")+COUNTIF($E126:AE126,"t")+COUNTIF($E126:AE126,"¶")+COUNTIF($E126:AE126,"²")+COUNTIF($E126:AE126,"µ")+COUNTIF($E126:AE126,1),ColDescriptionCourte))&gt;1,
HYPERLINK("#Roadmap!C"&amp; MATCH($E126,Roadmap!$D:$D,0)+COUNTIF($E126:AE126,"u")+COUNTIF($E126:AE126,"t")+COUNTIF($E126:AE126,"¶")+COUNTIF($E126:AE126,"²")+COUNTIF($E126:AE126,"µ")+COUNTIF($E126:AE126,1)-1,INDEX(Roadmap!$D:$K,MATCH($E126,Roadmap!$D:$D,0)-1+COUNTIF($E126:AE126,"u")+COUNTIF($E126:AE126,"t")+COUNTIF($E126:AE126,"¶")+COUNTIF($E126:AE126,"²")+COUNTIF($E126:AE126,"µ")+COUNTIF($E126:AE126,1),ColDescriptionCourte)),""),
  "")),"")</f>
        <v/>
      </c>
      <c r="AG126" s="40" t="str">
        <f ca="1">IFERROR(IF(AND(
  INDEX(Roadmap!$D:$K,MATCH($E126,Roadmap!$D:$D,0)+COUNTIF($E126:AF126,"u")+COUNTIF($E126:AF126,"t")+COUNTIF($E126:AF126,"¶")+COUNTIF($E126:AF126,"²")+COUNTIF($E126:AF126,"µ")+COUNTIF($E126:AF126,1),ColLivraison)=AG$6,
  VLOOKUP($E126,INDIRECT("tri!"&amp; CHAR(64+ C0Col) &amp;":"&amp; CHAR(65+C0Col)),2,FALSE)&gt;COUNTIF($E126:AF126,"u")+COUNTIF($E126:AF126,"t")+COUNTIF($E126:AF126,"¶")+COUNTIF($E126:AF126,"²")+COUNTIF($E126:AF126,"µ")+COUNTIF($E126:AF126,1)),
HYPERLINK("#Roadmap!C"&amp; MATCH($E126,Roadmap!$D:$D,0)+COUNTIF($E126:AF126,"u")+COUNTIF($E126:AF126,"t"),
     INDEX(Roadmap!$D:$K,MATCH($E126,Roadmap!$D:$D,0)+COUNTIF($E126:AF126,"u")+COUNTIF($E126:AF126,"t")+COUNTIF($E126:AF126,"¶")+COUNTIF($E126:AF126,"²")+COUNTIF($E126:AF126,"µ")+COUNTIF($E126:AF126,1),ColTypeEcheance)),
  IF(LEN(AF126)=1,
  IF(LEN(INDEX(Roadmap!$D:$K,MATCH($E126,Roadmap!$D:$D,0)-1+COUNTIF($E126:AF126,"u")+COUNTIF($E126:AF126,"t")+COUNTIF($E126:AF126,"¶")+COUNTIF($E126:AF126,"²")+COUNTIF($E126:AF126,"µ")+COUNTIF($E126:AF126,1),ColDescriptionCourte))&gt;1,
HYPERLINK("#Roadmap!C"&amp; MATCH($E126,Roadmap!$D:$D,0)+COUNTIF($E126:AF126,"u")+COUNTIF($E126:AF126,"t")+COUNTIF($E126:AF126,"¶")+COUNTIF($E126:AF126,"²")+COUNTIF($E126:AF126,"µ")+COUNTIF($E126:AF126,1)-1,INDEX(Roadmap!$D:$K,MATCH($E126,Roadmap!$D:$D,0)-1+COUNTIF($E126:AF126,"u")+COUNTIF($E126:AF126,"t")+COUNTIF($E126:AF126,"¶")+COUNTIF($E126:AF126,"²")+COUNTIF($E126:AF126,"µ")+COUNTIF($E126:AF126,1),ColDescriptionCourte)),""),
  "")),"")</f>
        <v/>
      </c>
    </row>
    <row r="127" spans="3:33" ht="14.25" customHeight="1">
      <c r="C127" s="1" t="str">
        <f t="shared" ca="1" si="49"/>
        <v/>
      </c>
      <c r="D127" s="1" t="str">
        <f t="shared" ca="1" si="50"/>
        <v/>
      </c>
      <c r="E127" s="35" t="str">
        <f t="shared" ca="1" si="46"/>
        <v/>
      </c>
      <c r="F127" s="39" t="str">
        <f ca="1">IFERROR(IF(AND(
  INDEX(Roadmap!$D:$K,MATCH($E127,Roadmap!$D:$D,0)+COUNTIF($E127:E127,"u")+COUNTIF($E127:E127,"t")+COUNTIF($E127:E127,"¶")+COUNTIF($E127:E127,"²")+COUNTIF($E127:E127,"µ")+COUNTIF($E127:E127,1),ColLivraison)=F$6,
  VLOOKUP($E127,INDIRECT("tri!"&amp; CHAR(64+ C0Col) &amp;":"&amp; CHAR(65+C0Col)),2,FALSE)&gt;COUNTIF($E127:E127,"u")+COUNTIF($E127:E127,"t")+COUNTIF($E127:E127,"¶")+COUNTIF($E127:E127,"²")+COUNTIF($E127:E127,"µ")+COUNTIF($E127:E127,1)),
HYPERLINK("#Roadmap!C"&amp; MATCH($E127,Roadmap!$D:$D,0)+COUNTIF($E127:E127,"u")+COUNTIF($E127:E127,"t"),
     INDEX(Roadmap!$D:$K,MATCH($E127,Roadmap!$D:$D,0)+COUNTIF($E127:E127,"u")+COUNTIF($E127:E127,"t")+COUNTIF($E127:E127,"¶")+COUNTIF($E127:E127,"²")+COUNTIF($E127:E127,"µ")+COUNTIF($E127:E127,1),ColTypeEcheance)),
  IF(LEN(E127)=1,
  IF(LEN(INDEX(Roadmap!$D:$K,MATCH($E127,Roadmap!$D:$D,0)-1+COUNTIF($E127:E127,"u")+COUNTIF($E127:E127,"t")+COUNTIF($E127:E127,"¶")+COUNTIF($E127:E127,"²")+COUNTIF($E127:E127,"µ")+COUNTIF($E127:E127,1),ColDescriptionCourte))&gt;1,
HYPERLINK("#Roadmap!C"&amp; MATCH($E127,Roadmap!$D:$D,0)+COUNTIF($E127:E127,"u")+COUNTIF($E127:E127,"t")+COUNTIF($E127:E127,"¶")+COUNTIF($E127:E127,"²")+COUNTIF($E127:E127,"µ")+COUNTIF($E127:E127,1)-1,INDEX(Roadmap!$D:$K,MATCH($E127,Roadmap!$D:$D,0)-1+COUNTIF($E127:E127,"u")+COUNTIF($E127:E127,"t")+COUNTIF($E127:E127,"¶")+COUNTIF($E127:E127,"²")+COUNTIF($E127:E127,"µ")+COUNTIF($E127:E127,1),ColDescriptionCourte)),""),
  "")),"")</f>
        <v/>
      </c>
      <c r="G127" s="40" t="str">
        <f ca="1">IFERROR(IF(AND(
  INDEX(Roadmap!$D:$K,MATCH($E127,Roadmap!$D:$D,0)+COUNTIF($E127:F127,"u")+COUNTIF($E127:F127,"t")+COUNTIF($E127:F127,"¶")+COUNTIF($E127:F127,"²")+COUNTIF($E127:F127,"µ")+COUNTIF($E127:F127,1),ColLivraison)=G$6,
  VLOOKUP($E127,INDIRECT("tri!"&amp; CHAR(64+ C0Col) &amp;":"&amp; CHAR(65+C0Col)),2,FALSE)&gt;COUNTIF($E127:F127,"u")+COUNTIF($E127:F127,"t")+COUNTIF($E127:F127,"¶")+COUNTIF($E127:F127,"²")+COUNTIF($E127:F127,"µ")+COUNTIF($E127:F127,1)),
HYPERLINK("#Roadmap!C"&amp; MATCH($E127,Roadmap!$D:$D,0)+COUNTIF($E127:F127,"u")+COUNTIF($E127:F127,"t"),
     INDEX(Roadmap!$D:$K,MATCH($E127,Roadmap!$D:$D,0)+COUNTIF($E127:F127,"u")+COUNTIF($E127:F127,"t")+COUNTIF($E127:F127,"¶")+COUNTIF($E127:F127,"²")+COUNTIF($E127:F127,"µ")+COUNTIF($E127:F127,1),ColTypeEcheance)),
  IF(LEN(F127)=1,
  IF(LEN(INDEX(Roadmap!$D:$K,MATCH($E127,Roadmap!$D:$D,0)-1+COUNTIF($E127:F127,"u")+COUNTIF($E127:F127,"t")+COUNTIF($E127:F127,"¶")+COUNTIF($E127:F127,"²")+COUNTIF($E127:F127,"µ")+COUNTIF($E127:F127,1),ColDescriptionCourte))&gt;1,
HYPERLINK("#Roadmap!C"&amp; MATCH($E127,Roadmap!$D:$D,0)+COUNTIF($E127:F127,"u")+COUNTIF($E127:F127,"t")+COUNTIF($E127:F127,"¶")+COUNTIF($E127:F127,"²")+COUNTIF($E127:F127,"µ")+COUNTIF($E127:F127,1)-1,INDEX(Roadmap!$D:$K,MATCH($E127,Roadmap!$D:$D,0)-1+COUNTIF($E127:F127,"u")+COUNTIF($E127:F127,"t")+COUNTIF($E127:F127,"¶")+COUNTIF($E127:F127,"²")+COUNTIF($E127:F127,"µ")+COUNTIF($E127:F127,1),ColDescriptionCourte)),""),
  "")),"")</f>
        <v/>
      </c>
      <c r="H127" s="40" t="str">
        <f ca="1">IFERROR(IF(AND(
  INDEX(Roadmap!$D:$K,MATCH($E127,Roadmap!$D:$D,0)+COUNTIF($E127:G127,"u")+COUNTIF($E127:G127,"t")+COUNTIF($E127:G127,"¶")+COUNTIF($E127:G127,"²")+COUNTIF($E127:G127,"µ")+COUNTIF($E127:G127,1),ColLivraison)=H$6,
  VLOOKUP($E127,INDIRECT("tri!"&amp; CHAR(64+ C0Col) &amp;":"&amp; CHAR(65+C0Col)),2,FALSE)&gt;COUNTIF($E127:G127,"u")+COUNTIF($E127:G127,"t")+COUNTIF($E127:G127,"¶")+COUNTIF($E127:G127,"²")+COUNTIF($E127:G127,"µ")+COUNTIF($E127:G127,1)),
HYPERLINK("#Roadmap!C"&amp; MATCH($E127,Roadmap!$D:$D,0)+COUNTIF($E127:G127,"u")+COUNTIF($E127:G127,"t"),
     INDEX(Roadmap!$D:$K,MATCH($E127,Roadmap!$D:$D,0)+COUNTIF($E127:G127,"u")+COUNTIF($E127:G127,"t")+COUNTIF($E127:G127,"¶")+COUNTIF($E127:G127,"²")+COUNTIF($E127:G127,"µ")+COUNTIF($E127:G127,1),ColTypeEcheance)),
  IF(LEN(G127)=1,
  IF(LEN(INDEX(Roadmap!$D:$K,MATCH($E127,Roadmap!$D:$D,0)-1+COUNTIF($E127:G127,"u")+COUNTIF($E127:G127,"t")+COUNTIF($E127:G127,"¶")+COUNTIF($E127:G127,"²")+COUNTIF($E127:G127,"µ")+COUNTIF($E127:G127,1),ColDescriptionCourte))&gt;1,
HYPERLINK("#Roadmap!C"&amp; MATCH($E127,Roadmap!$D:$D,0)+COUNTIF($E127:G127,"u")+COUNTIF($E127:G127,"t")+COUNTIF($E127:G127,"¶")+COUNTIF($E127:G127,"²")+COUNTIF($E127:G127,"µ")+COUNTIF($E127:G127,1)-1,INDEX(Roadmap!$D:$K,MATCH($E127,Roadmap!$D:$D,0)-1+COUNTIF($E127:G127,"u")+COUNTIF($E127:G127,"t")+COUNTIF($E127:G127,"¶")+COUNTIF($E127:G127,"²")+COUNTIF($E127:G127,"µ")+COUNTIF($E127:G127,1),ColDescriptionCourte)),""),
  "")),"")</f>
        <v/>
      </c>
      <c r="I127" s="40" t="str">
        <f ca="1">IFERROR(IF(AND(
  INDEX(Roadmap!$D:$K,MATCH($E127,Roadmap!$D:$D,0)+COUNTIF($E127:H127,"u")+COUNTIF($E127:H127,"t")+COUNTIF($E127:H127,"¶")+COUNTIF($E127:H127,"²")+COUNTIF($E127:H127,"µ")+COUNTIF($E127:H127,1),ColLivraison)=I$6,
  VLOOKUP($E127,INDIRECT("tri!"&amp; CHAR(64+ C0Col) &amp;":"&amp; CHAR(65+C0Col)),2,FALSE)&gt;COUNTIF($E127:H127,"u")+COUNTIF($E127:H127,"t")+COUNTIF($E127:H127,"¶")+COUNTIF($E127:H127,"²")+COUNTIF($E127:H127,"µ")+COUNTIF($E127:H127,1)),
HYPERLINK("#Roadmap!C"&amp; MATCH($E127,Roadmap!$D:$D,0)+COUNTIF($E127:H127,"u")+COUNTIF($E127:H127,"t"),
     INDEX(Roadmap!$D:$K,MATCH($E127,Roadmap!$D:$D,0)+COUNTIF($E127:H127,"u")+COUNTIF($E127:H127,"t")+COUNTIF($E127:H127,"¶")+COUNTIF($E127:H127,"²")+COUNTIF($E127:H127,"µ")+COUNTIF($E127:H127,1),ColTypeEcheance)),
  IF(LEN(H127)=1,
  IF(LEN(INDEX(Roadmap!$D:$K,MATCH($E127,Roadmap!$D:$D,0)-1+COUNTIF($E127:H127,"u")+COUNTIF($E127:H127,"t")+COUNTIF($E127:H127,"¶")+COUNTIF($E127:H127,"²")+COUNTIF($E127:H127,"µ")+COUNTIF($E127:H127,1),ColDescriptionCourte))&gt;1,
HYPERLINK("#Roadmap!C"&amp; MATCH($E127,Roadmap!$D:$D,0)+COUNTIF($E127:H127,"u")+COUNTIF($E127:H127,"t")+COUNTIF($E127:H127,"¶")+COUNTIF($E127:H127,"²")+COUNTIF($E127:H127,"µ")+COUNTIF($E127:H127,1)-1,INDEX(Roadmap!$D:$K,MATCH($E127,Roadmap!$D:$D,0)-1+COUNTIF($E127:H127,"u")+COUNTIF($E127:H127,"t")+COUNTIF($E127:H127,"¶")+COUNTIF($E127:H127,"²")+COUNTIF($E127:H127,"µ")+COUNTIF($E127:H127,1),ColDescriptionCourte)),""),
  "")),"")</f>
        <v/>
      </c>
      <c r="J127" s="40" t="str">
        <f ca="1">IFERROR(IF(AND(
  INDEX(Roadmap!$D:$K,MATCH($E127,Roadmap!$D:$D,0)+COUNTIF($E127:I127,"u")+COUNTIF($E127:I127,"t")+COUNTIF($E127:I127,"¶")+COUNTIF($E127:I127,"²")+COUNTIF($E127:I127,"µ")+COUNTIF($E127:I127,1),ColLivraison)=J$6,
  VLOOKUP($E127,INDIRECT("tri!"&amp; CHAR(64+ C0Col) &amp;":"&amp; CHAR(65+C0Col)),2,FALSE)&gt;COUNTIF($E127:I127,"u")+COUNTIF($E127:I127,"t")+COUNTIF($E127:I127,"¶")+COUNTIF($E127:I127,"²")+COUNTIF($E127:I127,"µ")+COUNTIF($E127:I127,1)),
HYPERLINK("#Roadmap!C"&amp; MATCH($E127,Roadmap!$D:$D,0)+COUNTIF($E127:I127,"u")+COUNTIF($E127:I127,"t"),
     INDEX(Roadmap!$D:$K,MATCH($E127,Roadmap!$D:$D,0)+COUNTIF($E127:I127,"u")+COUNTIF($E127:I127,"t")+COUNTIF($E127:I127,"¶")+COUNTIF($E127:I127,"²")+COUNTIF($E127:I127,"µ")+COUNTIF($E127:I127,1),ColTypeEcheance)),
  IF(LEN(I127)=1,
  IF(LEN(INDEX(Roadmap!$D:$K,MATCH($E127,Roadmap!$D:$D,0)-1+COUNTIF($E127:I127,"u")+COUNTIF($E127:I127,"t")+COUNTIF($E127:I127,"¶")+COUNTIF($E127:I127,"²")+COUNTIF($E127:I127,"µ")+COUNTIF($E127:I127,1),ColDescriptionCourte))&gt;1,
HYPERLINK("#Roadmap!C"&amp; MATCH($E127,Roadmap!$D:$D,0)+COUNTIF($E127:I127,"u")+COUNTIF($E127:I127,"t")+COUNTIF($E127:I127,"¶")+COUNTIF($E127:I127,"²")+COUNTIF($E127:I127,"µ")+COUNTIF($E127:I127,1)-1,INDEX(Roadmap!$D:$K,MATCH($E127,Roadmap!$D:$D,0)-1+COUNTIF($E127:I127,"u")+COUNTIF($E127:I127,"t")+COUNTIF($E127:I127,"¶")+COUNTIF($E127:I127,"²")+COUNTIF($E127:I127,"µ")+COUNTIF($E127:I127,1),ColDescriptionCourte)),""),
  "")),"")</f>
        <v/>
      </c>
      <c r="K127" s="40" t="str">
        <f ca="1">IFERROR(IF(AND(
  INDEX(Roadmap!$D:$K,MATCH($E127,Roadmap!$D:$D,0)+COUNTIF($E127:J127,"u")+COUNTIF($E127:J127,"t")+COUNTIF($E127:J127,"¶")+COUNTIF($E127:J127,"²")+COUNTIF($E127:J127,"µ")+COUNTIF($E127:J127,1),ColLivraison)=K$6,
  VLOOKUP($E127,INDIRECT("tri!"&amp; CHAR(64+ C0Col) &amp;":"&amp; CHAR(65+C0Col)),2,FALSE)&gt;COUNTIF($E127:J127,"u")+COUNTIF($E127:J127,"t")+COUNTIF($E127:J127,"¶")+COUNTIF($E127:J127,"²")+COUNTIF($E127:J127,"µ")+COUNTIF($E127:J127,1)),
HYPERLINK("#Roadmap!C"&amp; MATCH($E127,Roadmap!$D:$D,0)+COUNTIF($E127:J127,"u")+COUNTIF($E127:J127,"t"),
     INDEX(Roadmap!$D:$K,MATCH($E127,Roadmap!$D:$D,0)+COUNTIF($E127:J127,"u")+COUNTIF($E127:J127,"t")+COUNTIF($E127:J127,"¶")+COUNTIF($E127:J127,"²")+COUNTIF($E127:J127,"µ")+COUNTIF($E127:J127,1),ColTypeEcheance)),
  IF(LEN(J127)=1,
  IF(LEN(INDEX(Roadmap!$D:$K,MATCH($E127,Roadmap!$D:$D,0)-1+COUNTIF($E127:J127,"u")+COUNTIF($E127:J127,"t")+COUNTIF($E127:J127,"¶")+COUNTIF($E127:J127,"²")+COUNTIF($E127:J127,"µ")+COUNTIF($E127:J127,1),ColDescriptionCourte))&gt;1,
HYPERLINK("#Roadmap!C"&amp; MATCH($E127,Roadmap!$D:$D,0)+COUNTIF($E127:J127,"u")+COUNTIF($E127:J127,"t")+COUNTIF($E127:J127,"¶")+COUNTIF($E127:J127,"²")+COUNTIF($E127:J127,"µ")+COUNTIF($E127:J127,1)-1,INDEX(Roadmap!$D:$K,MATCH($E127,Roadmap!$D:$D,0)-1+COUNTIF($E127:J127,"u")+COUNTIF($E127:J127,"t")+COUNTIF($E127:J127,"¶")+COUNTIF($E127:J127,"²")+COUNTIF($E127:J127,"µ")+COUNTIF($E127:J127,1),ColDescriptionCourte)),""),
  "")),"")</f>
        <v/>
      </c>
      <c r="L127" s="39" t="str">
        <f ca="1">IFERROR(IF(AND(
  INDEX(Roadmap!$D:$K,MATCH($E127,Roadmap!$D:$D,0)+COUNTIF($E127:K127,"u")+COUNTIF($E127:K127,"t")+COUNTIF($E127:K127,"¶")+COUNTIF($E127:K127,"²")+COUNTIF($E127:K127,"µ")+COUNTIF($E127:K127,1),ColLivraison)=L$6,
  VLOOKUP($E127,INDIRECT("tri!"&amp; CHAR(64+ C0Col) &amp;":"&amp; CHAR(65+C0Col)),2,FALSE)&gt;COUNTIF($E127:K127,"u")+COUNTIF($E127:K127,"t")+COUNTIF($E127:K127,"¶")+COUNTIF($E127:K127,"²")+COUNTIF($E127:K127,"µ")+COUNTIF($E127:K127,1)),
HYPERLINK("#Roadmap!C"&amp; MATCH($E127,Roadmap!$D:$D,0)+COUNTIF($E127:K127,"u")+COUNTIF($E127:K127,"t"),
     INDEX(Roadmap!$D:$K,MATCH($E127,Roadmap!$D:$D,0)+COUNTIF($E127:K127,"u")+COUNTIF($E127:K127,"t")+COUNTIF($E127:K127,"¶")+COUNTIF($E127:K127,"²")+COUNTIF($E127:K127,"µ")+COUNTIF($E127:K127,1),ColTypeEcheance)),
  IF(LEN(K127)=1,
  IF(LEN(INDEX(Roadmap!$D:$K,MATCH($E127,Roadmap!$D:$D,0)-1+COUNTIF($E127:K127,"u")+COUNTIF($E127:K127,"t")+COUNTIF($E127:K127,"¶")+COUNTIF($E127:K127,"²")+COUNTIF($E127:K127,"µ")+COUNTIF($E127:K127,1),ColDescriptionCourte))&gt;1,
HYPERLINK("#Roadmap!C"&amp; MATCH($E127,Roadmap!$D:$D,0)+COUNTIF($E127:K127,"u")+COUNTIF($E127:K127,"t")+COUNTIF($E127:K127,"¶")+COUNTIF($E127:K127,"²")+COUNTIF($E127:K127,"µ")+COUNTIF($E127:K127,1)-1,INDEX(Roadmap!$D:$K,MATCH($E127,Roadmap!$D:$D,0)-1+COUNTIF($E127:K127,"u")+COUNTIF($E127:K127,"t")+COUNTIF($E127:K127,"¶")+COUNTIF($E127:K127,"²")+COUNTIF($E127:K127,"µ")+COUNTIF($E127:K127,1),ColDescriptionCourte)),""),
  "")),"")</f>
        <v/>
      </c>
      <c r="M127" s="40" t="str">
        <f ca="1">IFERROR(IF(AND(
  INDEX(Roadmap!$D:$K,MATCH($E127,Roadmap!$D:$D,0)+COUNTIF($E127:L127,"u")+COUNTIF($E127:L127,"t")+COUNTIF($E127:L127,"¶")+COUNTIF($E127:L127,"²")+COUNTIF($E127:L127,"µ")+COUNTIF($E127:L127,1),ColLivraison)=M$6,
  VLOOKUP($E127,INDIRECT("tri!"&amp; CHAR(64+ C0Col) &amp;":"&amp; CHAR(65+C0Col)),2,FALSE)&gt;COUNTIF($E127:L127,"u")+COUNTIF($E127:L127,"t")+COUNTIF($E127:L127,"¶")+COUNTIF($E127:L127,"²")+COUNTIF($E127:L127,"µ")+COUNTIF($E127:L127,1)),
HYPERLINK("#Roadmap!C"&amp; MATCH($E127,Roadmap!$D:$D,0)+COUNTIF($E127:L127,"u")+COUNTIF($E127:L127,"t"),
     INDEX(Roadmap!$D:$K,MATCH($E127,Roadmap!$D:$D,0)+COUNTIF($E127:L127,"u")+COUNTIF($E127:L127,"t")+COUNTIF($E127:L127,"¶")+COUNTIF($E127:L127,"²")+COUNTIF($E127:L127,"µ")+COUNTIF($E127:L127,1),ColTypeEcheance)),
  IF(LEN(L127)=1,
  IF(LEN(INDEX(Roadmap!$D:$K,MATCH($E127,Roadmap!$D:$D,0)-1+COUNTIF($E127:L127,"u")+COUNTIF($E127:L127,"t")+COUNTIF($E127:L127,"¶")+COUNTIF($E127:L127,"²")+COUNTIF($E127:L127,"µ")+COUNTIF($E127:L127,1),ColDescriptionCourte))&gt;1,
HYPERLINK("#Roadmap!C"&amp; MATCH($E127,Roadmap!$D:$D,0)+COUNTIF($E127:L127,"u")+COUNTIF($E127:L127,"t")+COUNTIF($E127:L127,"¶")+COUNTIF($E127:L127,"²")+COUNTIF($E127:L127,"µ")+COUNTIF($E127:L127,1)-1,INDEX(Roadmap!$D:$K,MATCH($E127,Roadmap!$D:$D,0)-1+COUNTIF($E127:L127,"u")+COUNTIF($E127:L127,"t")+COUNTIF($E127:L127,"¶")+COUNTIF($E127:L127,"²")+COUNTIF($E127:L127,"µ")+COUNTIF($E127:L127,1),ColDescriptionCourte)),""),
  "")),"")</f>
        <v/>
      </c>
      <c r="N127" s="40" t="str">
        <f ca="1">IFERROR(IF(AND(
  INDEX(Roadmap!$D:$K,MATCH($E127,Roadmap!$D:$D,0)+COUNTIF($E127:M127,"u")+COUNTIF($E127:M127,"t")+COUNTIF($E127:M127,"¶")+COUNTIF($E127:M127,"²")+COUNTIF($E127:M127,"µ")+COUNTIF($E127:M127,1),ColLivraison)=N$6,
  VLOOKUP($E127,INDIRECT("tri!"&amp; CHAR(64+ C0Col) &amp;":"&amp; CHAR(65+C0Col)),2,FALSE)&gt;COUNTIF($E127:M127,"u")+COUNTIF($E127:M127,"t")+COUNTIF($E127:M127,"¶")+COUNTIF($E127:M127,"²")+COUNTIF($E127:M127,"µ")+COUNTIF($E127:M127,1)),
HYPERLINK("#Roadmap!C"&amp; MATCH($E127,Roadmap!$D:$D,0)+COUNTIF($E127:M127,"u")+COUNTIF($E127:M127,"t"),
     INDEX(Roadmap!$D:$K,MATCH($E127,Roadmap!$D:$D,0)+COUNTIF($E127:M127,"u")+COUNTIF($E127:M127,"t")+COUNTIF($E127:M127,"¶")+COUNTIF($E127:M127,"²")+COUNTIF($E127:M127,"µ")+COUNTIF($E127:M127,1),ColTypeEcheance)),
  IF(LEN(M127)=1,
  IF(LEN(INDEX(Roadmap!$D:$K,MATCH($E127,Roadmap!$D:$D,0)-1+COUNTIF($E127:M127,"u")+COUNTIF($E127:M127,"t")+COUNTIF($E127:M127,"¶")+COUNTIF($E127:M127,"²")+COUNTIF($E127:M127,"µ")+COUNTIF($E127:M127,1),ColDescriptionCourte))&gt;1,
HYPERLINK("#Roadmap!C"&amp; MATCH($E127,Roadmap!$D:$D,0)+COUNTIF($E127:M127,"u")+COUNTIF($E127:M127,"t")+COUNTIF($E127:M127,"¶")+COUNTIF($E127:M127,"²")+COUNTIF($E127:M127,"µ")+COUNTIF($E127:M127,1)-1,INDEX(Roadmap!$D:$K,MATCH($E127,Roadmap!$D:$D,0)-1+COUNTIF($E127:M127,"u")+COUNTIF($E127:M127,"t")+COUNTIF($E127:M127,"¶")+COUNTIF($E127:M127,"²")+COUNTIF($E127:M127,"µ")+COUNTIF($E127:M127,1),ColDescriptionCourte)),""),
  "")),"")</f>
        <v/>
      </c>
      <c r="O127" s="40" t="str">
        <f ca="1">IFERROR(IF(AND(
  INDEX(Roadmap!$D:$K,MATCH($E127,Roadmap!$D:$D,0)+COUNTIF($E127:N127,"u")+COUNTIF($E127:N127,"t")+COUNTIF($E127:N127,"¶")+COUNTIF($E127:N127,"²")+COUNTIF($E127:N127,"µ")+COUNTIF($E127:N127,1),ColLivraison)=O$6,
  VLOOKUP($E127,INDIRECT("tri!"&amp; CHAR(64+ C0Col) &amp;":"&amp; CHAR(65+C0Col)),2,FALSE)&gt;COUNTIF($E127:N127,"u")+COUNTIF($E127:N127,"t")+COUNTIF($E127:N127,"¶")+COUNTIF($E127:N127,"²")+COUNTIF($E127:N127,"µ")+COUNTIF($E127:N127,1)),
HYPERLINK("#Roadmap!C"&amp; MATCH($E127,Roadmap!$D:$D,0)+COUNTIF($E127:N127,"u")+COUNTIF($E127:N127,"t"),
     INDEX(Roadmap!$D:$K,MATCH($E127,Roadmap!$D:$D,0)+COUNTIF($E127:N127,"u")+COUNTIF($E127:N127,"t")+COUNTIF($E127:N127,"¶")+COUNTIF($E127:N127,"²")+COUNTIF($E127:N127,"µ")+COUNTIF($E127:N127,1),ColTypeEcheance)),
  IF(LEN(N127)=1,
  IF(LEN(INDEX(Roadmap!$D:$K,MATCH($E127,Roadmap!$D:$D,0)-1+COUNTIF($E127:N127,"u")+COUNTIF($E127:N127,"t")+COUNTIF($E127:N127,"¶")+COUNTIF($E127:N127,"²")+COUNTIF($E127:N127,"µ")+COUNTIF($E127:N127,1),ColDescriptionCourte))&gt;1,
HYPERLINK("#Roadmap!C"&amp; MATCH($E127,Roadmap!$D:$D,0)+COUNTIF($E127:N127,"u")+COUNTIF($E127:N127,"t")+COUNTIF($E127:N127,"¶")+COUNTIF($E127:N127,"²")+COUNTIF($E127:N127,"µ")+COUNTIF($E127:N127,1)-1,INDEX(Roadmap!$D:$K,MATCH($E127,Roadmap!$D:$D,0)-1+COUNTIF($E127:N127,"u")+COUNTIF($E127:N127,"t")+COUNTIF($E127:N127,"¶")+COUNTIF($E127:N127,"²")+COUNTIF($E127:N127,"µ")+COUNTIF($E127:N127,1),ColDescriptionCourte)),""),
  "")),"")</f>
        <v/>
      </c>
      <c r="P127" s="40" t="str">
        <f ca="1">IFERROR(IF(AND(
  INDEX(Roadmap!$D:$K,MATCH($E127,Roadmap!$D:$D,0)+COUNTIF($E127:O127,"u")+COUNTIF($E127:O127,"t")+COUNTIF($E127:O127,"¶")+COUNTIF($E127:O127,"²")+COUNTIF($E127:O127,"µ")+COUNTIF($E127:O127,1),ColLivraison)=P$6,
  VLOOKUP($E127,INDIRECT("tri!"&amp; CHAR(64+ C0Col) &amp;":"&amp; CHAR(65+C0Col)),2,FALSE)&gt;COUNTIF($E127:O127,"u")+COUNTIF($E127:O127,"t")+COUNTIF($E127:O127,"¶")+COUNTIF($E127:O127,"²")+COUNTIF($E127:O127,"µ")+COUNTIF($E127:O127,1)),
HYPERLINK("#Roadmap!C"&amp; MATCH($E127,Roadmap!$D:$D,0)+COUNTIF($E127:O127,"u")+COUNTIF($E127:O127,"t"),
     INDEX(Roadmap!$D:$K,MATCH($E127,Roadmap!$D:$D,0)+COUNTIF($E127:O127,"u")+COUNTIF($E127:O127,"t")+COUNTIF($E127:O127,"¶")+COUNTIF($E127:O127,"²")+COUNTIF($E127:O127,"µ")+COUNTIF($E127:O127,1),ColTypeEcheance)),
  IF(LEN(O127)=1,
  IF(LEN(INDEX(Roadmap!$D:$K,MATCH($E127,Roadmap!$D:$D,0)-1+COUNTIF($E127:O127,"u")+COUNTIF($E127:O127,"t")+COUNTIF($E127:O127,"¶")+COUNTIF($E127:O127,"²")+COUNTIF($E127:O127,"µ")+COUNTIF($E127:O127,1),ColDescriptionCourte))&gt;1,
HYPERLINK("#Roadmap!C"&amp; MATCH($E127,Roadmap!$D:$D,0)+COUNTIF($E127:O127,"u")+COUNTIF($E127:O127,"t")+COUNTIF($E127:O127,"¶")+COUNTIF($E127:O127,"²")+COUNTIF($E127:O127,"µ")+COUNTIF($E127:O127,1)-1,INDEX(Roadmap!$D:$K,MATCH($E127,Roadmap!$D:$D,0)-1+COUNTIF($E127:O127,"u")+COUNTIF($E127:O127,"t")+COUNTIF($E127:O127,"¶")+COUNTIF($E127:O127,"²")+COUNTIF($E127:O127,"µ")+COUNTIF($E127:O127,1),ColDescriptionCourte)),""),
  "")),"")</f>
        <v/>
      </c>
      <c r="Q127" s="40" t="str">
        <f ca="1">IFERROR(IF(AND(
  INDEX(Roadmap!$D:$K,MATCH($E127,Roadmap!$D:$D,0)+COUNTIF($E127:P127,"u")+COUNTIF($E127:P127,"t")+COUNTIF($E127:P127,"¶")+COUNTIF($E127:P127,"²")+COUNTIF($E127:P127,"µ")+COUNTIF($E127:P127,1),ColLivraison)=Q$6,
  VLOOKUP($E127,INDIRECT("tri!"&amp; CHAR(64+ C0Col) &amp;":"&amp; CHAR(65+C0Col)),2,FALSE)&gt;COUNTIF($E127:P127,"u")+COUNTIF($E127:P127,"t")+COUNTIF($E127:P127,"¶")+COUNTIF($E127:P127,"²")+COUNTIF($E127:P127,"µ")+COUNTIF($E127:P127,1)),
HYPERLINK("#Roadmap!C"&amp; MATCH($E127,Roadmap!$D:$D,0)+COUNTIF($E127:P127,"u")+COUNTIF($E127:P127,"t"),
     INDEX(Roadmap!$D:$K,MATCH($E127,Roadmap!$D:$D,0)+COUNTIF($E127:P127,"u")+COUNTIF($E127:P127,"t")+COUNTIF($E127:P127,"¶")+COUNTIF($E127:P127,"²")+COUNTIF($E127:P127,"µ")+COUNTIF($E127:P127,1),ColTypeEcheance)),
  IF(LEN(P127)=1,
  IF(LEN(INDEX(Roadmap!$D:$K,MATCH($E127,Roadmap!$D:$D,0)-1+COUNTIF($E127:P127,"u")+COUNTIF($E127:P127,"t")+COUNTIF($E127:P127,"¶")+COUNTIF($E127:P127,"²")+COUNTIF($E127:P127,"µ")+COUNTIF($E127:P127,1),ColDescriptionCourte))&gt;1,
HYPERLINK("#Roadmap!C"&amp; MATCH($E127,Roadmap!$D:$D,0)+COUNTIF($E127:P127,"u")+COUNTIF($E127:P127,"t")+COUNTIF($E127:P127,"¶")+COUNTIF($E127:P127,"²")+COUNTIF($E127:P127,"µ")+COUNTIF($E127:P127,1)-1,INDEX(Roadmap!$D:$K,MATCH($E127,Roadmap!$D:$D,0)-1+COUNTIF($E127:P127,"u")+COUNTIF($E127:P127,"t")+COUNTIF($E127:P127,"¶")+COUNTIF($E127:P127,"²")+COUNTIF($E127:P127,"µ")+COUNTIF($E127:P127,1),ColDescriptionCourte)),""),
  "")),"")</f>
        <v/>
      </c>
      <c r="R127" s="40" t="str">
        <f ca="1">IFERROR(IF(AND(
  INDEX(Roadmap!$D:$K,MATCH($E127,Roadmap!$D:$D,0)+COUNTIF($E127:Q127,"u")+COUNTIF($E127:Q127,"t")+COUNTIF($E127:Q127,"¶")+COUNTIF($E127:Q127,"²")+COUNTIF($E127:Q127,"µ")+COUNTIF($E127:Q127,1),ColLivraison)=R$6,
  VLOOKUP($E127,INDIRECT("tri!"&amp; CHAR(64+ C0Col) &amp;":"&amp; CHAR(65+C0Col)),2,FALSE)&gt;COUNTIF($E127:Q127,"u")+COUNTIF($E127:Q127,"t")+COUNTIF($E127:Q127,"¶")+COUNTIF($E127:Q127,"²")+COUNTIF($E127:Q127,"µ")+COUNTIF($E127:Q127,1)),
HYPERLINK("#Roadmap!C"&amp; MATCH($E127,Roadmap!$D:$D,0)+COUNTIF($E127:Q127,"u")+COUNTIF($E127:Q127,"t"),
     INDEX(Roadmap!$D:$K,MATCH($E127,Roadmap!$D:$D,0)+COUNTIF($E127:Q127,"u")+COUNTIF($E127:Q127,"t")+COUNTIF($E127:Q127,"¶")+COUNTIF($E127:Q127,"²")+COUNTIF($E127:Q127,"µ")+COUNTIF($E127:Q127,1),ColTypeEcheance)),
  IF(LEN(Q127)=1,
  IF(LEN(INDEX(Roadmap!$D:$K,MATCH($E127,Roadmap!$D:$D,0)-1+COUNTIF($E127:Q127,"u")+COUNTIF($E127:Q127,"t")+COUNTIF($E127:Q127,"¶")+COUNTIF($E127:Q127,"²")+COUNTIF($E127:Q127,"µ")+COUNTIF($E127:Q127,1),ColDescriptionCourte))&gt;1,
HYPERLINK("#Roadmap!C"&amp; MATCH($E127,Roadmap!$D:$D,0)+COUNTIF($E127:Q127,"u")+COUNTIF($E127:Q127,"t")+COUNTIF($E127:Q127,"¶")+COUNTIF($E127:Q127,"²")+COUNTIF($E127:Q127,"µ")+COUNTIF($E127:Q127,1)-1,INDEX(Roadmap!$D:$K,MATCH($E127,Roadmap!$D:$D,0)-1+COUNTIF($E127:Q127,"u")+COUNTIF($E127:Q127,"t")+COUNTIF($E127:Q127,"¶")+COUNTIF($E127:Q127,"²")+COUNTIF($E127:Q127,"µ")+COUNTIF($E127:Q127,1),ColDescriptionCourte)),""),
  "")),"")</f>
        <v/>
      </c>
      <c r="S127" s="40" t="str">
        <f ca="1">IFERROR(IF(AND(
  INDEX(Roadmap!$D:$K,MATCH($E127,Roadmap!$D:$D,0)+COUNTIF($E127:R127,"u")+COUNTIF($E127:R127,"t")+COUNTIF($E127:R127,"¶")+COUNTIF($E127:R127,"²")+COUNTIF($E127:R127,"µ")+COUNTIF($E127:R127,1),ColLivraison)=S$6,
  VLOOKUP($E127,INDIRECT("tri!"&amp; CHAR(64+ C0Col) &amp;":"&amp; CHAR(65+C0Col)),2,FALSE)&gt;COUNTIF($E127:R127,"u")+COUNTIF($E127:R127,"t")+COUNTIF($E127:R127,"¶")+COUNTIF($E127:R127,"²")+COUNTIF($E127:R127,"µ")+COUNTIF($E127:R127,1)),
HYPERLINK("#Roadmap!C"&amp; MATCH($E127,Roadmap!$D:$D,0)+COUNTIF($E127:R127,"u")+COUNTIF($E127:R127,"t"),
     INDEX(Roadmap!$D:$K,MATCH($E127,Roadmap!$D:$D,0)+COUNTIF($E127:R127,"u")+COUNTIF($E127:R127,"t")+COUNTIF($E127:R127,"¶")+COUNTIF($E127:R127,"²")+COUNTIF($E127:R127,"µ")+COUNTIF($E127:R127,1),ColTypeEcheance)),
  IF(LEN(R127)=1,
  IF(LEN(INDEX(Roadmap!$D:$K,MATCH($E127,Roadmap!$D:$D,0)-1+COUNTIF($E127:R127,"u")+COUNTIF($E127:R127,"t")+COUNTIF($E127:R127,"¶")+COUNTIF($E127:R127,"²")+COUNTIF($E127:R127,"µ")+COUNTIF($E127:R127,1),ColDescriptionCourte))&gt;1,
HYPERLINK("#Roadmap!C"&amp; MATCH($E127,Roadmap!$D:$D,0)+COUNTIF($E127:R127,"u")+COUNTIF($E127:R127,"t")+COUNTIF($E127:R127,"¶")+COUNTIF($E127:R127,"²")+COUNTIF($E127:R127,"µ")+COUNTIF($E127:R127,1)-1,INDEX(Roadmap!$D:$K,MATCH($E127,Roadmap!$D:$D,0)-1+COUNTIF($E127:R127,"u")+COUNTIF($E127:R127,"t")+COUNTIF($E127:R127,"¶")+COUNTIF($E127:R127,"²")+COUNTIF($E127:R127,"µ")+COUNTIF($E127:R127,1),ColDescriptionCourte)),""),
  "")),"")</f>
        <v/>
      </c>
      <c r="T127" s="40" t="str">
        <f ca="1">IFERROR(IF(AND(
  INDEX(Roadmap!$D:$K,MATCH($E127,Roadmap!$D:$D,0)+COUNTIF($E127:S127,"u")+COUNTIF($E127:S127,"t")+COUNTIF($E127:S127,"¶")+COUNTIF($E127:S127,"²")+COUNTIF($E127:S127,"µ")+COUNTIF($E127:S127,1),ColLivraison)=T$6,
  VLOOKUP($E127,INDIRECT("tri!"&amp; CHAR(64+ C0Col) &amp;":"&amp; CHAR(65+C0Col)),2,FALSE)&gt;COUNTIF($E127:S127,"u")+COUNTIF($E127:S127,"t")+COUNTIF($E127:S127,"¶")+COUNTIF($E127:S127,"²")+COUNTIF($E127:S127,"µ")+COUNTIF($E127:S127,1)),
HYPERLINK("#Roadmap!C"&amp; MATCH($E127,Roadmap!$D:$D,0)+COUNTIF($E127:S127,"u")+COUNTIF($E127:S127,"t"),
     INDEX(Roadmap!$D:$K,MATCH($E127,Roadmap!$D:$D,0)+COUNTIF($E127:S127,"u")+COUNTIF($E127:S127,"t")+COUNTIF($E127:S127,"¶")+COUNTIF($E127:S127,"²")+COUNTIF($E127:S127,"µ")+COUNTIF($E127:S127,1),ColTypeEcheance)),
  IF(LEN(S127)=1,
  IF(LEN(INDEX(Roadmap!$D:$K,MATCH($E127,Roadmap!$D:$D,0)-1+COUNTIF($E127:S127,"u")+COUNTIF($E127:S127,"t")+COUNTIF($E127:S127,"¶")+COUNTIF($E127:S127,"²")+COUNTIF($E127:S127,"µ")+COUNTIF($E127:S127,1),ColDescriptionCourte))&gt;1,
HYPERLINK("#Roadmap!C"&amp; MATCH($E127,Roadmap!$D:$D,0)+COUNTIF($E127:S127,"u")+COUNTIF($E127:S127,"t")+COUNTIF($E127:S127,"¶")+COUNTIF($E127:S127,"²")+COUNTIF($E127:S127,"µ")+COUNTIF($E127:S127,1)-1,INDEX(Roadmap!$D:$K,MATCH($E127,Roadmap!$D:$D,0)-1+COUNTIF($E127:S127,"u")+COUNTIF($E127:S127,"t")+COUNTIF($E127:S127,"¶")+COUNTIF($E127:S127,"²")+COUNTIF($E127:S127,"µ")+COUNTIF($E127:S127,1),ColDescriptionCourte)),""),
  "")),"")</f>
        <v/>
      </c>
      <c r="U127" s="40" t="str">
        <f ca="1">IFERROR(IF(AND(
  INDEX(Roadmap!$D:$K,MATCH($E127,Roadmap!$D:$D,0)+COUNTIF($E127:T127,"u")+COUNTIF($E127:T127,"t")+COUNTIF($E127:T127,"¶")+COUNTIF($E127:T127,"²")+COUNTIF($E127:T127,"µ")+COUNTIF($E127:T127,1),ColLivraison)=U$6,
  VLOOKUP($E127,INDIRECT("tri!"&amp; CHAR(64+ C0Col) &amp;":"&amp; CHAR(65+C0Col)),2,FALSE)&gt;COUNTIF($E127:T127,"u")+COUNTIF($E127:T127,"t")+COUNTIF($E127:T127,"¶")+COUNTIF($E127:T127,"²")+COUNTIF($E127:T127,"µ")+COUNTIF($E127:T127,1)),
HYPERLINK("#Roadmap!C"&amp; MATCH($E127,Roadmap!$D:$D,0)+COUNTIF($E127:T127,"u")+COUNTIF($E127:T127,"t"),
     INDEX(Roadmap!$D:$K,MATCH($E127,Roadmap!$D:$D,0)+COUNTIF($E127:T127,"u")+COUNTIF($E127:T127,"t")+COUNTIF($E127:T127,"¶")+COUNTIF($E127:T127,"²")+COUNTIF($E127:T127,"µ")+COUNTIF($E127:T127,1),ColTypeEcheance)),
  IF(LEN(T127)=1,
  IF(LEN(INDEX(Roadmap!$D:$K,MATCH($E127,Roadmap!$D:$D,0)-1+COUNTIF($E127:T127,"u")+COUNTIF($E127:T127,"t")+COUNTIF($E127:T127,"¶")+COUNTIF($E127:T127,"²")+COUNTIF($E127:T127,"µ")+COUNTIF($E127:T127,1),ColDescriptionCourte))&gt;1,
HYPERLINK("#Roadmap!C"&amp; MATCH($E127,Roadmap!$D:$D,0)+COUNTIF($E127:T127,"u")+COUNTIF($E127:T127,"t")+COUNTIF($E127:T127,"¶")+COUNTIF($E127:T127,"²")+COUNTIF($E127:T127,"µ")+COUNTIF($E127:T127,1)-1,INDEX(Roadmap!$D:$K,MATCH($E127,Roadmap!$D:$D,0)-1+COUNTIF($E127:T127,"u")+COUNTIF($E127:T127,"t")+COUNTIF($E127:T127,"¶")+COUNTIF($E127:T127,"²")+COUNTIF($E127:T127,"µ")+COUNTIF($E127:T127,1),ColDescriptionCourte)),""),
  "")),"")</f>
        <v/>
      </c>
      <c r="V127" s="40" t="str">
        <f ca="1">IFERROR(IF(AND(
  INDEX(Roadmap!$D:$K,MATCH($E127,Roadmap!$D:$D,0)+COUNTIF($E127:U127,"u")+COUNTIF($E127:U127,"t")+COUNTIF($E127:U127,"¶")+COUNTIF($E127:U127,"²")+COUNTIF($E127:U127,"µ")+COUNTIF($E127:U127,1),ColLivraison)=V$6,
  VLOOKUP($E127,INDIRECT("tri!"&amp; CHAR(64+ C0Col) &amp;":"&amp; CHAR(65+C0Col)),2,FALSE)&gt;COUNTIF($E127:U127,"u")+COUNTIF($E127:U127,"t")+COUNTIF($E127:U127,"¶")+COUNTIF($E127:U127,"²")+COUNTIF($E127:U127,"µ")+COUNTIF($E127:U127,1)),
HYPERLINK("#Roadmap!C"&amp; MATCH($E127,Roadmap!$D:$D,0)+COUNTIF($E127:U127,"u")+COUNTIF($E127:U127,"t"),
     INDEX(Roadmap!$D:$K,MATCH($E127,Roadmap!$D:$D,0)+COUNTIF($E127:U127,"u")+COUNTIF($E127:U127,"t")+COUNTIF($E127:U127,"¶")+COUNTIF($E127:U127,"²")+COUNTIF($E127:U127,"µ")+COUNTIF($E127:U127,1),ColTypeEcheance)),
  IF(LEN(U127)=1,
  IF(LEN(INDEX(Roadmap!$D:$K,MATCH($E127,Roadmap!$D:$D,0)-1+COUNTIF($E127:U127,"u")+COUNTIF($E127:U127,"t")+COUNTIF($E127:U127,"¶")+COUNTIF($E127:U127,"²")+COUNTIF($E127:U127,"µ")+COUNTIF($E127:U127,1),ColDescriptionCourte))&gt;1,
HYPERLINK("#Roadmap!C"&amp; MATCH($E127,Roadmap!$D:$D,0)+COUNTIF($E127:U127,"u")+COUNTIF($E127:U127,"t")+COUNTIF($E127:U127,"¶")+COUNTIF($E127:U127,"²")+COUNTIF($E127:U127,"µ")+COUNTIF($E127:U127,1)-1,INDEX(Roadmap!$D:$K,MATCH($E127,Roadmap!$D:$D,0)-1+COUNTIF($E127:U127,"u")+COUNTIF($E127:U127,"t")+COUNTIF($E127:U127,"¶")+COUNTIF($E127:U127,"²")+COUNTIF($E127:U127,"µ")+COUNTIF($E127:U127,1),ColDescriptionCourte)),""),
  "")),"")</f>
        <v/>
      </c>
      <c r="W127" s="40" t="str">
        <f ca="1">IFERROR(IF(AND(
  INDEX(Roadmap!$D:$K,MATCH($E127,Roadmap!$D:$D,0)+COUNTIF($E127:V127,"u")+COUNTIF($E127:V127,"t")+COUNTIF($E127:V127,"¶")+COUNTIF($E127:V127,"²")+COUNTIF($E127:V127,"µ")+COUNTIF($E127:V127,1),ColLivraison)=W$6,
  VLOOKUP($E127,INDIRECT("tri!"&amp; CHAR(64+ C0Col) &amp;":"&amp; CHAR(65+C0Col)),2,FALSE)&gt;COUNTIF($E127:V127,"u")+COUNTIF($E127:V127,"t")+COUNTIF($E127:V127,"¶")+COUNTIF($E127:V127,"²")+COUNTIF($E127:V127,"µ")+COUNTIF($E127:V127,1)),
HYPERLINK("#Roadmap!C"&amp; MATCH($E127,Roadmap!$D:$D,0)+COUNTIF($E127:V127,"u")+COUNTIF($E127:V127,"t"),
     INDEX(Roadmap!$D:$K,MATCH($E127,Roadmap!$D:$D,0)+COUNTIF($E127:V127,"u")+COUNTIF($E127:V127,"t")+COUNTIF($E127:V127,"¶")+COUNTIF($E127:V127,"²")+COUNTIF($E127:V127,"µ")+COUNTIF($E127:V127,1),ColTypeEcheance)),
  IF(LEN(V127)=1,
  IF(LEN(INDEX(Roadmap!$D:$K,MATCH($E127,Roadmap!$D:$D,0)-1+COUNTIF($E127:V127,"u")+COUNTIF($E127:V127,"t")+COUNTIF($E127:V127,"¶")+COUNTIF($E127:V127,"²")+COUNTIF($E127:V127,"µ")+COUNTIF($E127:V127,1),ColDescriptionCourte))&gt;1,
HYPERLINK("#Roadmap!C"&amp; MATCH($E127,Roadmap!$D:$D,0)+COUNTIF($E127:V127,"u")+COUNTIF($E127:V127,"t")+COUNTIF($E127:V127,"¶")+COUNTIF($E127:V127,"²")+COUNTIF($E127:V127,"µ")+COUNTIF($E127:V127,1)-1,INDEX(Roadmap!$D:$K,MATCH($E127,Roadmap!$D:$D,0)-1+COUNTIF($E127:V127,"u")+COUNTIF($E127:V127,"t")+COUNTIF($E127:V127,"¶")+COUNTIF($E127:V127,"²")+COUNTIF($E127:V127,"µ")+COUNTIF($E127:V127,1),ColDescriptionCourte)),""),
  "")),"")</f>
        <v/>
      </c>
      <c r="X127" s="40" t="str">
        <f ca="1">IFERROR(IF(AND(
  INDEX(Roadmap!$D:$K,MATCH($E127,Roadmap!$D:$D,0)+COUNTIF($E127:W127,"u")+COUNTIF($E127:W127,"t")+COUNTIF($E127:W127,"¶")+COUNTIF($E127:W127,"²")+COUNTIF($E127:W127,"µ")+COUNTIF($E127:W127,1),ColLivraison)=X$6,
  VLOOKUP($E127,INDIRECT("tri!"&amp; CHAR(64+ C0Col) &amp;":"&amp; CHAR(65+C0Col)),2,FALSE)&gt;COUNTIF($E127:W127,"u")+COUNTIF($E127:W127,"t")+COUNTIF($E127:W127,"¶")+COUNTIF($E127:W127,"²")+COUNTIF($E127:W127,"µ")+COUNTIF($E127:W127,1)),
HYPERLINK("#Roadmap!C"&amp; MATCH($E127,Roadmap!$D:$D,0)+COUNTIF($E127:W127,"u")+COUNTIF($E127:W127,"t"),
     INDEX(Roadmap!$D:$K,MATCH($E127,Roadmap!$D:$D,0)+COUNTIF($E127:W127,"u")+COUNTIF($E127:W127,"t")+COUNTIF($E127:W127,"¶")+COUNTIF($E127:W127,"²")+COUNTIF($E127:W127,"µ")+COUNTIF($E127:W127,1),ColTypeEcheance)),
  IF(LEN(W127)=1,
  IF(LEN(INDEX(Roadmap!$D:$K,MATCH($E127,Roadmap!$D:$D,0)-1+COUNTIF($E127:W127,"u")+COUNTIF($E127:W127,"t")+COUNTIF($E127:W127,"¶")+COUNTIF($E127:W127,"²")+COUNTIF($E127:W127,"µ")+COUNTIF($E127:W127,1),ColDescriptionCourte))&gt;1,
HYPERLINK("#Roadmap!C"&amp; MATCH($E127,Roadmap!$D:$D,0)+COUNTIF($E127:W127,"u")+COUNTIF($E127:W127,"t")+COUNTIF($E127:W127,"¶")+COUNTIF($E127:W127,"²")+COUNTIF($E127:W127,"µ")+COUNTIF($E127:W127,1)-1,INDEX(Roadmap!$D:$K,MATCH($E127,Roadmap!$D:$D,0)-1+COUNTIF($E127:W127,"u")+COUNTIF($E127:W127,"t")+COUNTIF($E127:W127,"¶")+COUNTIF($E127:W127,"²")+COUNTIF($E127:W127,"µ")+COUNTIF($E127:W127,1),ColDescriptionCourte)),""),
  "")),"")</f>
        <v/>
      </c>
      <c r="Y127" s="40" t="str">
        <f ca="1">IFERROR(IF(AND(
  INDEX(Roadmap!$D:$K,MATCH($E127,Roadmap!$D:$D,0)+COUNTIF($E127:X127,"u")+COUNTIF($E127:X127,"t")+COUNTIF($E127:X127,"¶")+COUNTIF($E127:X127,"²")+COUNTIF($E127:X127,"µ")+COUNTIF($E127:X127,1),ColLivraison)=Y$6,
  VLOOKUP($E127,INDIRECT("tri!"&amp; CHAR(64+ C0Col) &amp;":"&amp; CHAR(65+C0Col)),2,FALSE)&gt;COUNTIF($E127:X127,"u")+COUNTIF($E127:X127,"t")+COUNTIF($E127:X127,"¶")+COUNTIF($E127:X127,"²")+COUNTIF($E127:X127,"µ")+COUNTIF($E127:X127,1)),
HYPERLINK("#Roadmap!C"&amp; MATCH($E127,Roadmap!$D:$D,0)+COUNTIF($E127:X127,"u")+COUNTIF($E127:X127,"t"),
     INDEX(Roadmap!$D:$K,MATCH($E127,Roadmap!$D:$D,0)+COUNTIF($E127:X127,"u")+COUNTIF($E127:X127,"t")+COUNTIF($E127:X127,"¶")+COUNTIF($E127:X127,"²")+COUNTIF($E127:X127,"µ")+COUNTIF($E127:X127,1),ColTypeEcheance)),
  IF(LEN(X127)=1,
  IF(LEN(INDEX(Roadmap!$D:$K,MATCH($E127,Roadmap!$D:$D,0)-1+COUNTIF($E127:X127,"u")+COUNTIF($E127:X127,"t")+COUNTIF($E127:X127,"¶")+COUNTIF($E127:X127,"²")+COUNTIF($E127:X127,"µ")+COUNTIF($E127:X127,1),ColDescriptionCourte))&gt;1,
HYPERLINK("#Roadmap!C"&amp; MATCH($E127,Roadmap!$D:$D,0)+COUNTIF($E127:X127,"u")+COUNTIF($E127:X127,"t")+COUNTIF($E127:X127,"¶")+COUNTIF($E127:X127,"²")+COUNTIF($E127:X127,"µ")+COUNTIF($E127:X127,1)-1,INDEX(Roadmap!$D:$K,MATCH($E127,Roadmap!$D:$D,0)-1+COUNTIF($E127:X127,"u")+COUNTIF($E127:X127,"t")+COUNTIF($E127:X127,"¶")+COUNTIF($E127:X127,"²")+COUNTIF($E127:X127,"µ")+COUNTIF($E127:X127,1),ColDescriptionCourte)),""),
  "")),"")</f>
        <v/>
      </c>
      <c r="Z127" s="40" t="str">
        <f ca="1">IFERROR(IF(AND(
  INDEX(Roadmap!$D:$K,MATCH($E127,Roadmap!$D:$D,0)+COUNTIF($E127:Y127,"u")+COUNTIF($E127:Y127,"t")+COUNTIF($E127:Y127,"¶")+COUNTIF($E127:Y127,"²")+COUNTIF($E127:Y127,"µ")+COUNTIF($E127:Y127,1),ColLivraison)=Z$6,
  VLOOKUP($E127,INDIRECT("tri!"&amp; CHAR(64+ C0Col) &amp;":"&amp; CHAR(65+C0Col)),2,FALSE)&gt;COUNTIF($E127:Y127,"u")+COUNTIF($E127:Y127,"t")+COUNTIF($E127:Y127,"¶")+COUNTIF($E127:Y127,"²")+COUNTIF($E127:Y127,"µ")+COUNTIF($E127:Y127,1)),
HYPERLINK("#Roadmap!C"&amp; MATCH($E127,Roadmap!$D:$D,0)+COUNTIF($E127:Y127,"u")+COUNTIF($E127:Y127,"t"),
     INDEX(Roadmap!$D:$K,MATCH($E127,Roadmap!$D:$D,0)+COUNTIF($E127:Y127,"u")+COUNTIF($E127:Y127,"t")+COUNTIF($E127:Y127,"¶")+COUNTIF($E127:Y127,"²")+COUNTIF($E127:Y127,"µ")+COUNTIF($E127:Y127,1),ColTypeEcheance)),
  IF(LEN(Y127)=1,
  IF(LEN(INDEX(Roadmap!$D:$K,MATCH($E127,Roadmap!$D:$D,0)-1+COUNTIF($E127:Y127,"u")+COUNTIF($E127:Y127,"t")+COUNTIF($E127:Y127,"¶")+COUNTIF($E127:Y127,"²")+COUNTIF($E127:Y127,"µ")+COUNTIF($E127:Y127,1),ColDescriptionCourte))&gt;1,
HYPERLINK("#Roadmap!C"&amp; MATCH($E127,Roadmap!$D:$D,0)+COUNTIF($E127:Y127,"u")+COUNTIF($E127:Y127,"t")+COUNTIF($E127:Y127,"¶")+COUNTIF($E127:Y127,"²")+COUNTIF($E127:Y127,"µ")+COUNTIF($E127:Y127,1)-1,INDEX(Roadmap!$D:$K,MATCH($E127,Roadmap!$D:$D,0)-1+COUNTIF($E127:Y127,"u")+COUNTIF($E127:Y127,"t")+COUNTIF($E127:Y127,"¶")+COUNTIF($E127:Y127,"²")+COUNTIF($E127:Y127,"µ")+COUNTIF($E127:Y127,1),ColDescriptionCourte)),""),
  "")),"")</f>
        <v/>
      </c>
      <c r="AA127" s="40" t="str">
        <f ca="1">IFERROR(IF(AND(
  INDEX(Roadmap!$D:$K,MATCH($E127,Roadmap!$D:$D,0)+COUNTIF($E127:Z127,"u")+COUNTIF($E127:Z127,"t")+COUNTIF($E127:Z127,"¶")+COUNTIF($E127:Z127,"²")+COUNTIF($E127:Z127,"µ")+COUNTIF($E127:Z127,1),ColLivraison)=AA$6,
  VLOOKUP($E127,INDIRECT("tri!"&amp; CHAR(64+ C0Col) &amp;":"&amp; CHAR(65+C0Col)),2,FALSE)&gt;COUNTIF($E127:Z127,"u")+COUNTIF($E127:Z127,"t")+COUNTIF($E127:Z127,"¶")+COUNTIF($E127:Z127,"²")+COUNTIF($E127:Z127,"µ")+COUNTIF($E127:Z127,1)),
HYPERLINK("#Roadmap!C"&amp; MATCH($E127,Roadmap!$D:$D,0)+COUNTIF($E127:Z127,"u")+COUNTIF($E127:Z127,"t"),
     INDEX(Roadmap!$D:$K,MATCH($E127,Roadmap!$D:$D,0)+COUNTIF($E127:Z127,"u")+COUNTIF($E127:Z127,"t")+COUNTIF($E127:Z127,"¶")+COUNTIF($E127:Z127,"²")+COUNTIF($E127:Z127,"µ")+COUNTIF($E127:Z127,1),ColTypeEcheance)),
  IF(LEN(Z127)=1,
  IF(LEN(INDEX(Roadmap!$D:$K,MATCH($E127,Roadmap!$D:$D,0)-1+COUNTIF($E127:Z127,"u")+COUNTIF($E127:Z127,"t")+COUNTIF($E127:Z127,"¶")+COUNTIF($E127:Z127,"²")+COUNTIF($E127:Z127,"µ")+COUNTIF($E127:Z127,1),ColDescriptionCourte))&gt;1,
HYPERLINK("#Roadmap!C"&amp; MATCH($E127,Roadmap!$D:$D,0)+COUNTIF($E127:Z127,"u")+COUNTIF($E127:Z127,"t")+COUNTIF($E127:Z127,"¶")+COUNTIF($E127:Z127,"²")+COUNTIF($E127:Z127,"µ")+COUNTIF($E127:Z127,1)-1,INDEX(Roadmap!$D:$K,MATCH($E127,Roadmap!$D:$D,0)-1+COUNTIF($E127:Z127,"u")+COUNTIF($E127:Z127,"t")+COUNTIF($E127:Z127,"¶")+COUNTIF($E127:Z127,"²")+COUNTIF($E127:Z127,"µ")+COUNTIF($E127:Z127,1),ColDescriptionCourte)),""),
  "")),"")</f>
        <v/>
      </c>
      <c r="AB127" s="40" t="str">
        <f ca="1">IFERROR(IF(AND(
  INDEX(Roadmap!$D:$K,MATCH($E127,Roadmap!$D:$D,0)+COUNTIF($E127:AA127,"u")+COUNTIF($E127:AA127,"t")+COUNTIF($E127:AA127,"¶")+COUNTIF($E127:AA127,"²")+COUNTIF($E127:AA127,"µ")+COUNTIF($E127:AA127,1),ColLivraison)=AB$6,
  VLOOKUP($E127,INDIRECT("tri!"&amp; CHAR(64+ C0Col) &amp;":"&amp; CHAR(65+C0Col)),2,FALSE)&gt;COUNTIF($E127:AA127,"u")+COUNTIF($E127:AA127,"t")+COUNTIF($E127:AA127,"¶")+COUNTIF($E127:AA127,"²")+COUNTIF($E127:AA127,"µ")+COUNTIF($E127:AA127,1)),
HYPERLINK("#Roadmap!C"&amp; MATCH($E127,Roadmap!$D:$D,0)+COUNTIF($E127:AA127,"u")+COUNTIF($E127:AA127,"t"),
     INDEX(Roadmap!$D:$K,MATCH($E127,Roadmap!$D:$D,0)+COUNTIF($E127:AA127,"u")+COUNTIF($E127:AA127,"t")+COUNTIF($E127:AA127,"¶")+COUNTIF($E127:AA127,"²")+COUNTIF($E127:AA127,"µ")+COUNTIF($E127:AA127,1),ColTypeEcheance)),
  IF(LEN(AA127)=1,
  IF(LEN(INDEX(Roadmap!$D:$K,MATCH($E127,Roadmap!$D:$D,0)-1+COUNTIF($E127:AA127,"u")+COUNTIF($E127:AA127,"t")+COUNTIF($E127:AA127,"¶")+COUNTIF($E127:AA127,"²")+COUNTIF($E127:AA127,"µ")+COUNTIF($E127:AA127,1),ColDescriptionCourte))&gt;1,
HYPERLINK("#Roadmap!C"&amp; MATCH($E127,Roadmap!$D:$D,0)+COUNTIF($E127:AA127,"u")+COUNTIF($E127:AA127,"t")+COUNTIF($E127:AA127,"¶")+COUNTIF($E127:AA127,"²")+COUNTIF($E127:AA127,"µ")+COUNTIF($E127:AA127,1)-1,INDEX(Roadmap!$D:$K,MATCH($E127,Roadmap!$D:$D,0)-1+COUNTIF($E127:AA127,"u")+COUNTIF($E127:AA127,"t")+COUNTIF($E127:AA127,"¶")+COUNTIF($E127:AA127,"²")+COUNTIF($E127:AA127,"µ")+COUNTIF($E127:AA127,1),ColDescriptionCourte)),""),
  "")),"")</f>
        <v/>
      </c>
      <c r="AC127" s="40" t="str">
        <f ca="1">IFERROR(IF(AND(
  INDEX(Roadmap!$D:$K,MATCH($E127,Roadmap!$D:$D,0)+COUNTIF($E127:AB127,"u")+COUNTIF($E127:AB127,"t")+COUNTIF($E127:AB127,"¶")+COUNTIF($E127:AB127,"²")+COUNTIF($E127:AB127,"µ")+COUNTIF($E127:AB127,1),ColLivraison)=AC$6,
  VLOOKUP($E127,INDIRECT("tri!"&amp; CHAR(64+ C0Col) &amp;":"&amp; CHAR(65+C0Col)),2,FALSE)&gt;COUNTIF($E127:AB127,"u")+COUNTIF($E127:AB127,"t")+COUNTIF($E127:AB127,"¶")+COUNTIF($E127:AB127,"²")+COUNTIF($E127:AB127,"µ")+COUNTIF($E127:AB127,1)),
HYPERLINK("#Roadmap!C"&amp; MATCH($E127,Roadmap!$D:$D,0)+COUNTIF($E127:AB127,"u")+COUNTIF($E127:AB127,"t"),
     INDEX(Roadmap!$D:$K,MATCH($E127,Roadmap!$D:$D,0)+COUNTIF($E127:AB127,"u")+COUNTIF($E127:AB127,"t")+COUNTIF($E127:AB127,"¶")+COUNTIF($E127:AB127,"²")+COUNTIF($E127:AB127,"µ")+COUNTIF($E127:AB127,1),ColTypeEcheance)),
  IF(LEN(AB127)=1,
  IF(LEN(INDEX(Roadmap!$D:$K,MATCH($E127,Roadmap!$D:$D,0)-1+COUNTIF($E127:AB127,"u")+COUNTIF($E127:AB127,"t")+COUNTIF($E127:AB127,"¶")+COUNTIF($E127:AB127,"²")+COUNTIF($E127:AB127,"µ")+COUNTIF($E127:AB127,1),ColDescriptionCourte))&gt;1,
HYPERLINK("#Roadmap!C"&amp; MATCH($E127,Roadmap!$D:$D,0)+COUNTIF($E127:AB127,"u")+COUNTIF($E127:AB127,"t")+COUNTIF($E127:AB127,"¶")+COUNTIF($E127:AB127,"²")+COUNTIF($E127:AB127,"µ")+COUNTIF($E127:AB127,1)-1,INDEX(Roadmap!$D:$K,MATCH($E127,Roadmap!$D:$D,0)-1+COUNTIF($E127:AB127,"u")+COUNTIF($E127:AB127,"t")+COUNTIF($E127:AB127,"¶")+COUNTIF($E127:AB127,"²")+COUNTIF($E127:AB127,"µ")+COUNTIF($E127:AB127,1),ColDescriptionCourte)),""),
  "")),"")</f>
        <v/>
      </c>
      <c r="AD127" s="40" t="str">
        <f ca="1">IFERROR(IF(AND(
  INDEX(Roadmap!$D:$K,MATCH($E127,Roadmap!$D:$D,0)+COUNTIF($E127:AC127,"u")+COUNTIF($E127:AC127,"t")+COUNTIF($E127:AC127,"¶")+COUNTIF($E127:AC127,"²")+COUNTIF($E127:AC127,"µ")+COUNTIF($E127:AC127,1),ColLivraison)=AD$6,
  VLOOKUP($E127,INDIRECT("tri!"&amp; CHAR(64+ C0Col) &amp;":"&amp; CHAR(65+C0Col)),2,FALSE)&gt;COUNTIF($E127:AC127,"u")+COUNTIF($E127:AC127,"t")+COUNTIF($E127:AC127,"¶")+COUNTIF($E127:AC127,"²")+COUNTIF($E127:AC127,"µ")+COUNTIF($E127:AC127,1)),
HYPERLINK("#Roadmap!C"&amp; MATCH($E127,Roadmap!$D:$D,0)+COUNTIF($E127:AC127,"u")+COUNTIF($E127:AC127,"t"),
     INDEX(Roadmap!$D:$K,MATCH($E127,Roadmap!$D:$D,0)+COUNTIF($E127:AC127,"u")+COUNTIF($E127:AC127,"t")+COUNTIF($E127:AC127,"¶")+COUNTIF($E127:AC127,"²")+COUNTIF($E127:AC127,"µ")+COUNTIF($E127:AC127,1),ColTypeEcheance)),
  IF(LEN(AC127)=1,
  IF(LEN(INDEX(Roadmap!$D:$K,MATCH($E127,Roadmap!$D:$D,0)-1+COUNTIF($E127:AC127,"u")+COUNTIF($E127:AC127,"t")+COUNTIF($E127:AC127,"¶")+COUNTIF($E127:AC127,"²")+COUNTIF($E127:AC127,"µ")+COUNTIF($E127:AC127,1),ColDescriptionCourte))&gt;1,
HYPERLINK("#Roadmap!C"&amp; MATCH($E127,Roadmap!$D:$D,0)+COUNTIF($E127:AC127,"u")+COUNTIF($E127:AC127,"t")+COUNTIF($E127:AC127,"¶")+COUNTIF($E127:AC127,"²")+COUNTIF($E127:AC127,"µ")+COUNTIF($E127:AC127,1)-1,INDEX(Roadmap!$D:$K,MATCH($E127,Roadmap!$D:$D,0)-1+COUNTIF($E127:AC127,"u")+COUNTIF($E127:AC127,"t")+COUNTIF($E127:AC127,"¶")+COUNTIF($E127:AC127,"²")+COUNTIF($E127:AC127,"µ")+COUNTIF($E127:AC127,1),ColDescriptionCourte)),""),
  "")),"")</f>
        <v/>
      </c>
      <c r="AE127" s="40" t="str">
        <f ca="1">IFERROR(IF(AND(
  INDEX(Roadmap!$D:$K,MATCH($E127,Roadmap!$D:$D,0)+COUNTIF($E127:AD127,"u")+COUNTIF($E127:AD127,"t")+COUNTIF($E127:AD127,"¶")+COUNTIF($E127:AD127,"²")+COUNTIF($E127:AD127,"µ")+COUNTIF($E127:AD127,1),ColLivraison)=AE$6,
  VLOOKUP($E127,INDIRECT("tri!"&amp; CHAR(64+ C0Col) &amp;":"&amp; CHAR(65+C0Col)),2,FALSE)&gt;COUNTIF($E127:AD127,"u")+COUNTIF($E127:AD127,"t")+COUNTIF($E127:AD127,"¶")+COUNTIF($E127:AD127,"²")+COUNTIF($E127:AD127,"µ")+COUNTIF($E127:AD127,1)),
HYPERLINK("#Roadmap!C"&amp; MATCH($E127,Roadmap!$D:$D,0)+COUNTIF($E127:AD127,"u")+COUNTIF($E127:AD127,"t"),
     INDEX(Roadmap!$D:$K,MATCH($E127,Roadmap!$D:$D,0)+COUNTIF($E127:AD127,"u")+COUNTIF($E127:AD127,"t")+COUNTIF($E127:AD127,"¶")+COUNTIF($E127:AD127,"²")+COUNTIF($E127:AD127,"µ")+COUNTIF($E127:AD127,1),ColTypeEcheance)),
  IF(LEN(AD127)=1,
  IF(LEN(INDEX(Roadmap!$D:$K,MATCH($E127,Roadmap!$D:$D,0)-1+COUNTIF($E127:AD127,"u")+COUNTIF($E127:AD127,"t")+COUNTIF($E127:AD127,"¶")+COUNTIF($E127:AD127,"²")+COUNTIF($E127:AD127,"µ")+COUNTIF($E127:AD127,1),ColDescriptionCourte))&gt;1,
HYPERLINK("#Roadmap!C"&amp; MATCH($E127,Roadmap!$D:$D,0)+COUNTIF($E127:AD127,"u")+COUNTIF($E127:AD127,"t")+COUNTIF($E127:AD127,"¶")+COUNTIF($E127:AD127,"²")+COUNTIF($E127:AD127,"µ")+COUNTIF($E127:AD127,1)-1,INDEX(Roadmap!$D:$K,MATCH($E127,Roadmap!$D:$D,0)-1+COUNTIF($E127:AD127,"u")+COUNTIF($E127:AD127,"t")+COUNTIF($E127:AD127,"¶")+COUNTIF($E127:AD127,"²")+COUNTIF($E127:AD127,"µ")+COUNTIF($E127:AD127,1),ColDescriptionCourte)),""),
  "")),"")</f>
        <v/>
      </c>
      <c r="AF127" s="40" t="str">
        <f ca="1">IFERROR(IF(AND(
  INDEX(Roadmap!$D:$K,MATCH($E127,Roadmap!$D:$D,0)+COUNTIF($E127:AE127,"u")+COUNTIF($E127:AE127,"t")+COUNTIF($E127:AE127,"¶")+COUNTIF($E127:AE127,"²")+COUNTIF($E127:AE127,"µ")+COUNTIF($E127:AE127,1),ColLivraison)=AF$6,
  VLOOKUP($E127,INDIRECT("tri!"&amp; CHAR(64+ C0Col) &amp;":"&amp; CHAR(65+C0Col)),2,FALSE)&gt;COUNTIF($E127:AE127,"u")+COUNTIF($E127:AE127,"t")+COUNTIF($E127:AE127,"¶")+COUNTIF($E127:AE127,"²")+COUNTIF($E127:AE127,"µ")+COUNTIF($E127:AE127,1)),
HYPERLINK("#Roadmap!C"&amp; MATCH($E127,Roadmap!$D:$D,0)+COUNTIF($E127:AE127,"u")+COUNTIF($E127:AE127,"t"),
     INDEX(Roadmap!$D:$K,MATCH($E127,Roadmap!$D:$D,0)+COUNTIF($E127:AE127,"u")+COUNTIF($E127:AE127,"t")+COUNTIF($E127:AE127,"¶")+COUNTIF($E127:AE127,"²")+COUNTIF($E127:AE127,"µ")+COUNTIF($E127:AE127,1),ColTypeEcheance)),
  IF(LEN(AE127)=1,
  IF(LEN(INDEX(Roadmap!$D:$K,MATCH($E127,Roadmap!$D:$D,0)-1+COUNTIF($E127:AE127,"u")+COUNTIF($E127:AE127,"t")+COUNTIF($E127:AE127,"¶")+COUNTIF($E127:AE127,"²")+COUNTIF($E127:AE127,"µ")+COUNTIF($E127:AE127,1),ColDescriptionCourte))&gt;1,
HYPERLINK("#Roadmap!C"&amp; MATCH($E127,Roadmap!$D:$D,0)+COUNTIF($E127:AE127,"u")+COUNTIF($E127:AE127,"t")+COUNTIF($E127:AE127,"¶")+COUNTIF($E127:AE127,"²")+COUNTIF($E127:AE127,"µ")+COUNTIF($E127:AE127,1)-1,INDEX(Roadmap!$D:$K,MATCH($E127,Roadmap!$D:$D,0)-1+COUNTIF($E127:AE127,"u")+COUNTIF($E127:AE127,"t")+COUNTIF($E127:AE127,"¶")+COUNTIF($E127:AE127,"²")+COUNTIF($E127:AE127,"µ")+COUNTIF($E127:AE127,1),ColDescriptionCourte)),""),
  "")),"")</f>
        <v/>
      </c>
      <c r="AG127" s="40" t="str">
        <f ca="1">IFERROR(IF(AND(
  INDEX(Roadmap!$D:$K,MATCH($E127,Roadmap!$D:$D,0)+COUNTIF($E127:AF127,"u")+COUNTIF($E127:AF127,"t")+COUNTIF($E127:AF127,"¶")+COUNTIF($E127:AF127,"²")+COUNTIF($E127:AF127,"µ")+COUNTIF($E127:AF127,1),ColLivraison)=AG$6,
  VLOOKUP($E127,INDIRECT("tri!"&amp; CHAR(64+ C0Col) &amp;":"&amp; CHAR(65+C0Col)),2,FALSE)&gt;COUNTIF($E127:AF127,"u")+COUNTIF($E127:AF127,"t")+COUNTIF($E127:AF127,"¶")+COUNTIF($E127:AF127,"²")+COUNTIF($E127:AF127,"µ")+COUNTIF($E127:AF127,1)),
HYPERLINK("#Roadmap!C"&amp; MATCH($E127,Roadmap!$D:$D,0)+COUNTIF($E127:AF127,"u")+COUNTIF($E127:AF127,"t"),
     INDEX(Roadmap!$D:$K,MATCH($E127,Roadmap!$D:$D,0)+COUNTIF($E127:AF127,"u")+COUNTIF($E127:AF127,"t")+COUNTIF($E127:AF127,"¶")+COUNTIF($E127:AF127,"²")+COUNTIF($E127:AF127,"µ")+COUNTIF($E127:AF127,1),ColTypeEcheance)),
  IF(LEN(AF127)=1,
  IF(LEN(INDEX(Roadmap!$D:$K,MATCH($E127,Roadmap!$D:$D,0)-1+COUNTIF($E127:AF127,"u")+COUNTIF($E127:AF127,"t")+COUNTIF($E127:AF127,"¶")+COUNTIF($E127:AF127,"²")+COUNTIF($E127:AF127,"µ")+COUNTIF($E127:AF127,1),ColDescriptionCourte))&gt;1,
HYPERLINK("#Roadmap!C"&amp; MATCH($E127,Roadmap!$D:$D,0)+COUNTIF($E127:AF127,"u")+COUNTIF($E127:AF127,"t")+COUNTIF($E127:AF127,"¶")+COUNTIF($E127:AF127,"²")+COUNTIF($E127:AF127,"µ")+COUNTIF($E127:AF127,1)-1,INDEX(Roadmap!$D:$K,MATCH($E127,Roadmap!$D:$D,0)-1+COUNTIF($E127:AF127,"u")+COUNTIF($E127:AF127,"t")+COUNTIF($E127:AF127,"¶")+COUNTIF($E127:AF127,"²")+COUNTIF($E127:AF127,"µ")+COUNTIF($E127:AF127,1),ColDescriptionCourte)),""),
  "")),"")</f>
        <v/>
      </c>
    </row>
    <row r="128" spans="3:33" ht="14.25" customHeight="1">
      <c r="C128" s="1" t="str">
        <f t="shared" ca="1" si="49"/>
        <v/>
      </c>
      <c r="D128" s="1" t="str">
        <f t="shared" ca="1" si="50"/>
        <v/>
      </c>
      <c r="E128" s="35" t="str">
        <f t="shared" ca="1" si="46"/>
        <v/>
      </c>
      <c r="F128" s="39" t="str">
        <f ca="1">IFERROR(IF(AND(
  INDEX(Roadmap!$D:$K,MATCH($E128,Roadmap!$D:$D,0)+COUNTIF($E128:E128,"u")+COUNTIF($E128:E128,"t")+COUNTIF($E128:E128,"¶")+COUNTIF($E128:E128,"²")+COUNTIF($E128:E128,"µ")+COUNTIF($E128:E128,1),ColLivraison)=F$6,
  VLOOKUP($E128,INDIRECT("tri!"&amp; CHAR(64+ C0Col) &amp;":"&amp; CHAR(65+C0Col)),2,FALSE)&gt;COUNTIF($E128:E128,"u")+COUNTIF($E128:E128,"t")+COUNTIF($E128:E128,"¶")+COUNTIF($E128:E128,"²")+COUNTIF($E128:E128,"µ")+COUNTIF($E128:E128,1)),
HYPERLINK("#Roadmap!C"&amp; MATCH($E128,Roadmap!$D:$D,0)+COUNTIF($E128:E128,"u")+COUNTIF($E128:E128,"t"),
     INDEX(Roadmap!$D:$K,MATCH($E128,Roadmap!$D:$D,0)+COUNTIF($E128:E128,"u")+COUNTIF($E128:E128,"t")+COUNTIF($E128:E128,"¶")+COUNTIF($E128:E128,"²")+COUNTIF($E128:E128,"µ")+COUNTIF($E128:E128,1),ColTypeEcheance)),
  IF(LEN(E128)=1,
  IF(LEN(INDEX(Roadmap!$D:$K,MATCH($E128,Roadmap!$D:$D,0)-1+COUNTIF($E128:E128,"u")+COUNTIF($E128:E128,"t")+COUNTIF($E128:E128,"¶")+COUNTIF($E128:E128,"²")+COUNTIF($E128:E128,"µ")+COUNTIF($E128:E128,1),ColDescriptionCourte))&gt;1,
HYPERLINK("#Roadmap!C"&amp; MATCH($E128,Roadmap!$D:$D,0)+COUNTIF($E128:E128,"u")+COUNTIF($E128:E128,"t")+COUNTIF($E128:E128,"¶")+COUNTIF($E128:E128,"²")+COUNTIF($E128:E128,"µ")+COUNTIF($E128:E128,1)-1,INDEX(Roadmap!$D:$K,MATCH($E128,Roadmap!$D:$D,0)-1+COUNTIF($E128:E128,"u")+COUNTIF($E128:E128,"t")+COUNTIF($E128:E128,"¶")+COUNTIF($E128:E128,"²")+COUNTIF($E128:E128,"µ")+COUNTIF($E128:E128,1),ColDescriptionCourte)),""),
  "")),"")</f>
        <v/>
      </c>
      <c r="G128" s="40" t="str">
        <f ca="1">IFERROR(IF(AND(
  INDEX(Roadmap!$D:$K,MATCH($E128,Roadmap!$D:$D,0)+COUNTIF($E128:F128,"u")+COUNTIF($E128:F128,"t")+COUNTIF($E128:F128,"¶")+COUNTIF($E128:F128,"²")+COUNTIF($E128:F128,"µ")+COUNTIF($E128:F128,1),ColLivraison)=G$6,
  VLOOKUP($E128,INDIRECT("tri!"&amp; CHAR(64+ C0Col) &amp;":"&amp; CHAR(65+C0Col)),2,FALSE)&gt;COUNTIF($E128:F128,"u")+COUNTIF($E128:F128,"t")+COUNTIF($E128:F128,"¶")+COUNTIF($E128:F128,"²")+COUNTIF($E128:F128,"µ")+COUNTIF($E128:F128,1)),
HYPERLINK("#Roadmap!C"&amp; MATCH($E128,Roadmap!$D:$D,0)+COUNTIF($E128:F128,"u")+COUNTIF($E128:F128,"t"),
     INDEX(Roadmap!$D:$K,MATCH($E128,Roadmap!$D:$D,0)+COUNTIF($E128:F128,"u")+COUNTIF($E128:F128,"t")+COUNTIF($E128:F128,"¶")+COUNTIF($E128:F128,"²")+COUNTIF($E128:F128,"µ")+COUNTIF($E128:F128,1),ColTypeEcheance)),
  IF(LEN(F128)=1,
  IF(LEN(INDEX(Roadmap!$D:$K,MATCH($E128,Roadmap!$D:$D,0)-1+COUNTIF($E128:F128,"u")+COUNTIF($E128:F128,"t")+COUNTIF($E128:F128,"¶")+COUNTIF($E128:F128,"²")+COUNTIF($E128:F128,"µ")+COUNTIF($E128:F128,1),ColDescriptionCourte))&gt;1,
HYPERLINK("#Roadmap!C"&amp; MATCH($E128,Roadmap!$D:$D,0)+COUNTIF($E128:F128,"u")+COUNTIF($E128:F128,"t")+COUNTIF($E128:F128,"¶")+COUNTIF($E128:F128,"²")+COUNTIF($E128:F128,"µ")+COUNTIF($E128:F128,1)-1,INDEX(Roadmap!$D:$K,MATCH($E128,Roadmap!$D:$D,0)-1+COUNTIF($E128:F128,"u")+COUNTIF($E128:F128,"t")+COUNTIF($E128:F128,"¶")+COUNTIF($E128:F128,"²")+COUNTIF($E128:F128,"µ")+COUNTIF($E128:F128,1),ColDescriptionCourte)),""),
  "")),"")</f>
        <v/>
      </c>
      <c r="H128" s="40" t="str">
        <f ca="1">IFERROR(IF(AND(
  INDEX(Roadmap!$D:$K,MATCH($E128,Roadmap!$D:$D,0)+COUNTIF($E128:G128,"u")+COUNTIF($E128:G128,"t")+COUNTIF($E128:G128,"¶")+COUNTIF($E128:G128,"²")+COUNTIF($E128:G128,"µ")+COUNTIF($E128:G128,1),ColLivraison)=H$6,
  VLOOKUP($E128,INDIRECT("tri!"&amp; CHAR(64+ C0Col) &amp;":"&amp; CHAR(65+C0Col)),2,FALSE)&gt;COUNTIF($E128:G128,"u")+COUNTIF($E128:G128,"t")+COUNTIF($E128:G128,"¶")+COUNTIF($E128:G128,"²")+COUNTIF($E128:G128,"µ")+COUNTIF($E128:G128,1)),
HYPERLINK("#Roadmap!C"&amp; MATCH($E128,Roadmap!$D:$D,0)+COUNTIF($E128:G128,"u")+COUNTIF($E128:G128,"t"),
     INDEX(Roadmap!$D:$K,MATCH($E128,Roadmap!$D:$D,0)+COUNTIF($E128:G128,"u")+COUNTIF($E128:G128,"t")+COUNTIF($E128:G128,"¶")+COUNTIF($E128:G128,"²")+COUNTIF($E128:G128,"µ")+COUNTIF($E128:G128,1),ColTypeEcheance)),
  IF(LEN(G128)=1,
  IF(LEN(INDEX(Roadmap!$D:$K,MATCH($E128,Roadmap!$D:$D,0)-1+COUNTIF($E128:G128,"u")+COUNTIF($E128:G128,"t")+COUNTIF($E128:G128,"¶")+COUNTIF($E128:G128,"²")+COUNTIF($E128:G128,"µ")+COUNTIF($E128:G128,1),ColDescriptionCourte))&gt;1,
HYPERLINK("#Roadmap!C"&amp; MATCH($E128,Roadmap!$D:$D,0)+COUNTIF($E128:G128,"u")+COUNTIF($E128:G128,"t")+COUNTIF($E128:G128,"¶")+COUNTIF($E128:G128,"²")+COUNTIF($E128:G128,"µ")+COUNTIF($E128:G128,1)-1,INDEX(Roadmap!$D:$K,MATCH($E128,Roadmap!$D:$D,0)-1+COUNTIF($E128:G128,"u")+COUNTIF($E128:G128,"t")+COUNTIF($E128:G128,"¶")+COUNTIF($E128:G128,"²")+COUNTIF($E128:G128,"µ")+COUNTIF($E128:G128,1),ColDescriptionCourte)),""),
  "")),"")</f>
        <v/>
      </c>
      <c r="I128" s="40" t="str">
        <f ca="1">IFERROR(IF(AND(
  INDEX(Roadmap!$D:$K,MATCH($E128,Roadmap!$D:$D,0)+COUNTIF($E128:H128,"u")+COUNTIF($E128:H128,"t")+COUNTIF($E128:H128,"¶")+COUNTIF($E128:H128,"²")+COUNTIF($E128:H128,"µ")+COUNTIF($E128:H128,1),ColLivraison)=I$6,
  VLOOKUP($E128,INDIRECT("tri!"&amp; CHAR(64+ C0Col) &amp;":"&amp; CHAR(65+C0Col)),2,FALSE)&gt;COUNTIF($E128:H128,"u")+COUNTIF($E128:H128,"t")+COUNTIF($E128:H128,"¶")+COUNTIF($E128:H128,"²")+COUNTIF($E128:H128,"µ")+COUNTIF($E128:H128,1)),
HYPERLINK("#Roadmap!C"&amp; MATCH($E128,Roadmap!$D:$D,0)+COUNTIF($E128:H128,"u")+COUNTIF($E128:H128,"t"),
     INDEX(Roadmap!$D:$K,MATCH($E128,Roadmap!$D:$D,0)+COUNTIF($E128:H128,"u")+COUNTIF($E128:H128,"t")+COUNTIF($E128:H128,"¶")+COUNTIF($E128:H128,"²")+COUNTIF($E128:H128,"µ")+COUNTIF($E128:H128,1),ColTypeEcheance)),
  IF(LEN(H128)=1,
  IF(LEN(INDEX(Roadmap!$D:$K,MATCH($E128,Roadmap!$D:$D,0)-1+COUNTIF($E128:H128,"u")+COUNTIF($E128:H128,"t")+COUNTIF($E128:H128,"¶")+COUNTIF($E128:H128,"²")+COUNTIF($E128:H128,"µ")+COUNTIF($E128:H128,1),ColDescriptionCourte))&gt;1,
HYPERLINK("#Roadmap!C"&amp; MATCH($E128,Roadmap!$D:$D,0)+COUNTIF($E128:H128,"u")+COUNTIF($E128:H128,"t")+COUNTIF($E128:H128,"¶")+COUNTIF($E128:H128,"²")+COUNTIF($E128:H128,"µ")+COUNTIF($E128:H128,1)-1,INDEX(Roadmap!$D:$K,MATCH($E128,Roadmap!$D:$D,0)-1+COUNTIF($E128:H128,"u")+COUNTIF($E128:H128,"t")+COUNTIF($E128:H128,"¶")+COUNTIF($E128:H128,"²")+COUNTIF($E128:H128,"µ")+COUNTIF($E128:H128,1),ColDescriptionCourte)),""),
  "")),"")</f>
        <v/>
      </c>
      <c r="J128" s="40" t="str">
        <f ca="1">IFERROR(IF(AND(
  INDEX(Roadmap!$D:$K,MATCH($E128,Roadmap!$D:$D,0)+COUNTIF($E128:I128,"u")+COUNTIF($E128:I128,"t")+COUNTIF($E128:I128,"¶")+COUNTIF($E128:I128,"²")+COUNTIF($E128:I128,"µ")+COUNTIF($E128:I128,1),ColLivraison)=J$6,
  VLOOKUP($E128,INDIRECT("tri!"&amp; CHAR(64+ C0Col) &amp;":"&amp; CHAR(65+C0Col)),2,FALSE)&gt;COUNTIF($E128:I128,"u")+COUNTIF($E128:I128,"t")+COUNTIF($E128:I128,"¶")+COUNTIF($E128:I128,"²")+COUNTIF($E128:I128,"µ")+COUNTIF($E128:I128,1)),
HYPERLINK("#Roadmap!C"&amp; MATCH($E128,Roadmap!$D:$D,0)+COUNTIF($E128:I128,"u")+COUNTIF($E128:I128,"t"),
     INDEX(Roadmap!$D:$K,MATCH($E128,Roadmap!$D:$D,0)+COUNTIF($E128:I128,"u")+COUNTIF($E128:I128,"t")+COUNTIF($E128:I128,"¶")+COUNTIF($E128:I128,"²")+COUNTIF($E128:I128,"µ")+COUNTIF($E128:I128,1),ColTypeEcheance)),
  IF(LEN(I128)=1,
  IF(LEN(INDEX(Roadmap!$D:$K,MATCH($E128,Roadmap!$D:$D,0)-1+COUNTIF($E128:I128,"u")+COUNTIF($E128:I128,"t")+COUNTIF($E128:I128,"¶")+COUNTIF($E128:I128,"²")+COUNTIF($E128:I128,"µ")+COUNTIF($E128:I128,1),ColDescriptionCourte))&gt;1,
HYPERLINK("#Roadmap!C"&amp; MATCH($E128,Roadmap!$D:$D,0)+COUNTIF($E128:I128,"u")+COUNTIF($E128:I128,"t")+COUNTIF($E128:I128,"¶")+COUNTIF($E128:I128,"²")+COUNTIF($E128:I128,"µ")+COUNTIF($E128:I128,1)-1,INDEX(Roadmap!$D:$K,MATCH($E128,Roadmap!$D:$D,0)-1+COUNTIF($E128:I128,"u")+COUNTIF($E128:I128,"t")+COUNTIF($E128:I128,"¶")+COUNTIF($E128:I128,"²")+COUNTIF($E128:I128,"µ")+COUNTIF($E128:I128,1),ColDescriptionCourte)),""),
  "")),"")</f>
        <v/>
      </c>
      <c r="K128" s="40" t="str">
        <f ca="1">IFERROR(IF(AND(
  INDEX(Roadmap!$D:$K,MATCH($E128,Roadmap!$D:$D,0)+COUNTIF($E128:J128,"u")+COUNTIF($E128:J128,"t")+COUNTIF($E128:J128,"¶")+COUNTIF($E128:J128,"²")+COUNTIF($E128:J128,"µ")+COUNTIF($E128:J128,1),ColLivraison)=K$6,
  VLOOKUP($E128,INDIRECT("tri!"&amp; CHAR(64+ C0Col) &amp;":"&amp; CHAR(65+C0Col)),2,FALSE)&gt;COUNTIF($E128:J128,"u")+COUNTIF($E128:J128,"t")+COUNTIF($E128:J128,"¶")+COUNTIF($E128:J128,"²")+COUNTIF($E128:J128,"µ")+COUNTIF($E128:J128,1)),
HYPERLINK("#Roadmap!C"&amp; MATCH($E128,Roadmap!$D:$D,0)+COUNTIF($E128:J128,"u")+COUNTIF($E128:J128,"t"),
     INDEX(Roadmap!$D:$K,MATCH($E128,Roadmap!$D:$D,0)+COUNTIF($E128:J128,"u")+COUNTIF($E128:J128,"t")+COUNTIF($E128:J128,"¶")+COUNTIF($E128:J128,"²")+COUNTIF($E128:J128,"µ")+COUNTIF($E128:J128,1),ColTypeEcheance)),
  IF(LEN(J128)=1,
  IF(LEN(INDEX(Roadmap!$D:$K,MATCH($E128,Roadmap!$D:$D,0)-1+COUNTIF($E128:J128,"u")+COUNTIF($E128:J128,"t")+COUNTIF($E128:J128,"¶")+COUNTIF($E128:J128,"²")+COUNTIF($E128:J128,"µ")+COUNTIF($E128:J128,1),ColDescriptionCourte))&gt;1,
HYPERLINK("#Roadmap!C"&amp; MATCH($E128,Roadmap!$D:$D,0)+COUNTIF($E128:J128,"u")+COUNTIF($E128:J128,"t")+COUNTIF($E128:J128,"¶")+COUNTIF($E128:J128,"²")+COUNTIF($E128:J128,"µ")+COUNTIF($E128:J128,1)-1,INDEX(Roadmap!$D:$K,MATCH($E128,Roadmap!$D:$D,0)-1+COUNTIF($E128:J128,"u")+COUNTIF($E128:J128,"t")+COUNTIF($E128:J128,"¶")+COUNTIF($E128:J128,"²")+COUNTIF($E128:J128,"µ")+COUNTIF($E128:J128,1),ColDescriptionCourte)),""),
  "")),"")</f>
        <v/>
      </c>
      <c r="L128" s="39" t="str">
        <f ca="1">IFERROR(IF(AND(
  INDEX(Roadmap!$D:$K,MATCH($E128,Roadmap!$D:$D,0)+COUNTIF($E128:K128,"u")+COUNTIF($E128:K128,"t")+COUNTIF($E128:K128,"¶")+COUNTIF($E128:K128,"²")+COUNTIF($E128:K128,"µ")+COUNTIF($E128:K128,1),ColLivraison)=L$6,
  VLOOKUP($E128,INDIRECT("tri!"&amp; CHAR(64+ C0Col) &amp;":"&amp; CHAR(65+C0Col)),2,FALSE)&gt;COUNTIF($E128:K128,"u")+COUNTIF($E128:K128,"t")+COUNTIF($E128:K128,"¶")+COUNTIF($E128:K128,"²")+COUNTIF($E128:K128,"µ")+COUNTIF($E128:K128,1)),
HYPERLINK("#Roadmap!C"&amp; MATCH($E128,Roadmap!$D:$D,0)+COUNTIF($E128:K128,"u")+COUNTIF($E128:K128,"t"),
     INDEX(Roadmap!$D:$K,MATCH($E128,Roadmap!$D:$D,0)+COUNTIF($E128:K128,"u")+COUNTIF($E128:K128,"t")+COUNTIF($E128:K128,"¶")+COUNTIF($E128:K128,"²")+COUNTIF($E128:K128,"µ")+COUNTIF($E128:K128,1),ColTypeEcheance)),
  IF(LEN(K128)=1,
  IF(LEN(INDEX(Roadmap!$D:$K,MATCH($E128,Roadmap!$D:$D,0)-1+COUNTIF($E128:K128,"u")+COUNTIF($E128:K128,"t")+COUNTIF($E128:K128,"¶")+COUNTIF($E128:K128,"²")+COUNTIF($E128:K128,"µ")+COUNTIF($E128:K128,1),ColDescriptionCourte))&gt;1,
HYPERLINK("#Roadmap!C"&amp; MATCH($E128,Roadmap!$D:$D,0)+COUNTIF($E128:K128,"u")+COUNTIF($E128:K128,"t")+COUNTIF($E128:K128,"¶")+COUNTIF($E128:K128,"²")+COUNTIF($E128:K128,"µ")+COUNTIF($E128:K128,1)-1,INDEX(Roadmap!$D:$K,MATCH($E128,Roadmap!$D:$D,0)-1+COUNTIF($E128:K128,"u")+COUNTIF($E128:K128,"t")+COUNTIF($E128:K128,"¶")+COUNTIF($E128:K128,"²")+COUNTIF($E128:K128,"µ")+COUNTIF($E128:K128,1),ColDescriptionCourte)),""),
  "")),"")</f>
        <v/>
      </c>
      <c r="M128" s="40" t="str">
        <f ca="1">IFERROR(IF(AND(
  INDEX(Roadmap!$D:$K,MATCH($E128,Roadmap!$D:$D,0)+COUNTIF($E128:L128,"u")+COUNTIF($E128:L128,"t")+COUNTIF($E128:L128,"¶")+COUNTIF($E128:L128,"²")+COUNTIF($E128:L128,"µ")+COUNTIF($E128:L128,1),ColLivraison)=M$6,
  VLOOKUP($E128,INDIRECT("tri!"&amp; CHAR(64+ C0Col) &amp;":"&amp; CHAR(65+C0Col)),2,FALSE)&gt;COUNTIF($E128:L128,"u")+COUNTIF($E128:L128,"t")+COUNTIF($E128:L128,"¶")+COUNTIF($E128:L128,"²")+COUNTIF($E128:L128,"µ")+COUNTIF($E128:L128,1)),
HYPERLINK("#Roadmap!C"&amp; MATCH($E128,Roadmap!$D:$D,0)+COUNTIF($E128:L128,"u")+COUNTIF($E128:L128,"t"),
     INDEX(Roadmap!$D:$K,MATCH($E128,Roadmap!$D:$D,0)+COUNTIF($E128:L128,"u")+COUNTIF($E128:L128,"t")+COUNTIF($E128:L128,"¶")+COUNTIF($E128:L128,"²")+COUNTIF($E128:L128,"µ")+COUNTIF($E128:L128,1),ColTypeEcheance)),
  IF(LEN(L128)=1,
  IF(LEN(INDEX(Roadmap!$D:$K,MATCH($E128,Roadmap!$D:$D,0)-1+COUNTIF($E128:L128,"u")+COUNTIF($E128:L128,"t")+COUNTIF($E128:L128,"¶")+COUNTIF($E128:L128,"²")+COUNTIF($E128:L128,"µ")+COUNTIF($E128:L128,1),ColDescriptionCourte))&gt;1,
HYPERLINK("#Roadmap!C"&amp; MATCH($E128,Roadmap!$D:$D,0)+COUNTIF($E128:L128,"u")+COUNTIF($E128:L128,"t")+COUNTIF($E128:L128,"¶")+COUNTIF($E128:L128,"²")+COUNTIF($E128:L128,"µ")+COUNTIF($E128:L128,1)-1,INDEX(Roadmap!$D:$K,MATCH($E128,Roadmap!$D:$D,0)-1+COUNTIF($E128:L128,"u")+COUNTIF($E128:L128,"t")+COUNTIF($E128:L128,"¶")+COUNTIF($E128:L128,"²")+COUNTIF($E128:L128,"µ")+COUNTIF($E128:L128,1),ColDescriptionCourte)),""),
  "")),"")</f>
        <v/>
      </c>
      <c r="N128" s="40" t="str">
        <f ca="1">IFERROR(IF(AND(
  INDEX(Roadmap!$D:$K,MATCH($E128,Roadmap!$D:$D,0)+COUNTIF($E128:M128,"u")+COUNTIF($E128:M128,"t")+COUNTIF($E128:M128,"¶")+COUNTIF($E128:M128,"²")+COUNTIF($E128:M128,"µ")+COUNTIF($E128:M128,1),ColLivraison)=N$6,
  VLOOKUP($E128,INDIRECT("tri!"&amp; CHAR(64+ C0Col) &amp;":"&amp; CHAR(65+C0Col)),2,FALSE)&gt;COUNTIF($E128:M128,"u")+COUNTIF($E128:M128,"t")+COUNTIF($E128:M128,"¶")+COUNTIF($E128:M128,"²")+COUNTIF($E128:M128,"µ")+COUNTIF($E128:M128,1)),
HYPERLINK("#Roadmap!C"&amp; MATCH($E128,Roadmap!$D:$D,0)+COUNTIF($E128:M128,"u")+COUNTIF($E128:M128,"t"),
     INDEX(Roadmap!$D:$K,MATCH($E128,Roadmap!$D:$D,0)+COUNTIF($E128:M128,"u")+COUNTIF($E128:M128,"t")+COUNTIF($E128:M128,"¶")+COUNTIF($E128:M128,"²")+COUNTIF($E128:M128,"µ")+COUNTIF($E128:M128,1),ColTypeEcheance)),
  IF(LEN(M128)=1,
  IF(LEN(INDEX(Roadmap!$D:$K,MATCH($E128,Roadmap!$D:$D,0)-1+COUNTIF($E128:M128,"u")+COUNTIF($E128:M128,"t")+COUNTIF($E128:M128,"¶")+COUNTIF($E128:M128,"²")+COUNTIF($E128:M128,"µ")+COUNTIF($E128:M128,1),ColDescriptionCourte))&gt;1,
HYPERLINK("#Roadmap!C"&amp; MATCH($E128,Roadmap!$D:$D,0)+COUNTIF($E128:M128,"u")+COUNTIF($E128:M128,"t")+COUNTIF($E128:M128,"¶")+COUNTIF($E128:M128,"²")+COUNTIF($E128:M128,"µ")+COUNTIF($E128:M128,1)-1,INDEX(Roadmap!$D:$K,MATCH($E128,Roadmap!$D:$D,0)-1+COUNTIF($E128:M128,"u")+COUNTIF($E128:M128,"t")+COUNTIF($E128:M128,"¶")+COUNTIF($E128:M128,"²")+COUNTIF($E128:M128,"µ")+COUNTIF($E128:M128,1),ColDescriptionCourte)),""),
  "")),"")</f>
        <v/>
      </c>
      <c r="O128" s="40" t="str">
        <f ca="1">IFERROR(IF(AND(
  INDEX(Roadmap!$D:$K,MATCH($E128,Roadmap!$D:$D,0)+COUNTIF($E128:N128,"u")+COUNTIF($E128:N128,"t")+COUNTIF($E128:N128,"¶")+COUNTIF($E128:N128,"²")+COUNTIF($E128:N128,"µ")+COUNTIF($E128:N128,1),ColLivraison)=O$6,
  VLOOKUP($E128,INDIRECT("tri!"&amp; CHAR(64+ C0Col) &amp;":"&amp; CHAR(65+C0Col)),2,FALSE)&gt;COUNTIF($E128:N128,"u")+COUNTIF($E128:N128,"t")+COUNTIF($E128:N128,"¶")+COUNTIF($E128:N128,"²")+COUNTIF($E128:N128,"µ")+COUNTIF($E128:N128,1)),
HYPERLINK("#Roadmap!C"&amp; MATCH($E128,Roadmap!$D:$D,0)+COUNTIF($E128:N128,"u")+COUNTIF($E128:N128,"t"),
     INDEX(Roadmap!$D:$K,MATCH($E128,Roadmap!$D:$D,0)+COUNTIF($E128:N128,"u")+COUNTIF($E128:N128,"t")+COUNTIF($E128:N128,"¶")+COUNTIF($E128:N128,"²")+COUNTIF($E128:N128,"µ")+COUNTIF($E128:N128,1),ColTypeEcheance)),
  IF(LEN(N128)=1,
  IF(LEN(INDEX(Roadmap!$D:$K,MATCH($E128,Roadmap!$D:$D,0)-1+COUNTIF($E128:N128,"u")+COUNTIF($E128:N128,"t")+COUNTIF($E128:N128,"¶")+COUNTIF($E128:N128,"²")+COUNTIF($E128:N128,"µ")+COUNTIF($E128:N128,1),ColDescriptionCourte))&gt;1,
HYPERLINK("#Roadmap!C"&amp; MATCH($E128,Roadmap!$D:$D,0)+COUNTIF($E128:N128,"u")+COUNTIF($E128:N128,"t")+COUNTIF($E128:N128,"¶")+COUNTIF($E128:N128,"²")+COUNTIF($E128:N128,"µ")+COUNTIF($E128:N128,1)-1,INDEX(Roadmap!$D:$K,MATCH($E128,Roadmap!$D:$D,0)-1+COUNTIF($E128:N128,"u")+COUNTIF($E128:N128,"t")+COUNTIF($E128:N128,"¶")+COUNTIF($E128:N128,"²")+COUNTIF($E128:N128,"µ")+COUNTIF($E128:N128,1),ColDescriptionCourte)),""),
  "")),"")</f>
        <v/>
      </c>
      <c r="P128" s="40" t="str">
        <f ca="1">IFERROR(IF(AND(
  INDEX(Roadmap!$D:$K,MATCH($E128,Roadmap!$D:$D,0)+COUNTIF($E128:O128,"u")+COUNTIF($E128:O128,"t")+COUNTIF($E128:O128,"¶")+COUNTIF($E128:O128,"²")+COUNTIF($E128:O128,"µ")+COUNTIF($E128:O128,1),ColLivraison)=P$6,
  VLOOKUP($E128,INDIRECT("tri!"&amp; CHAR(64+ C0Col) &amp;":"&amp; CHAR(65+C0Col)),2,FALSE)&gt;COUNTIF($E128:O128,"u")+COUNTIF($E128:O128,"t")+COUNTIF($E128:O128,"¶")+COUNTIF($E128:O128,"²")+COUNTIF($E128:O128,"µ")+COUNTIF($E128:O128,1)),
HYPERLINK("#Roadmap!C"&amp; MATCH($E128,Roadmap!$D:$D,0)+COUNTIF($E128:O128,"u")+COUNTIF($E128:O128,"t"),
     INDEX(Roadmap!$D:$K,MATCH($E128,Roadmap!$D:$D,0)+COUNTIF($E128:O128,"u")+COUNTIF($E128:O128,"t")+COUNTIF($E128:O128,"¶")+COUNTIF($E128:O128,"²")+COUNTIF($E128:O128,"µ")+COUNTIF($E128:O128,1),ColTypeEcheance)),
  IF(LEN(O128)=1,
  IF(LEN(INDEX(Roadmap!$D:$K,MATCH($E128,Roadmap!$D:$D,0)-1+COUNTIF($E128:O128,"u")+COUNTIF($E128:O128,"t")+COUNTIF($E128:O128,"¶")+COUNTIF($E128:O128,"²")+COUNTIF($E128:O128,"µ")+COUNTIF($E128:O128,1),ColDescriptionCourte))&gt;1,
HYPERLINK("#Roadmap!C"&amp; MATCH($E128,Roadmap!$D:$D,0)+COUNTIF($E128:O128,"u")+COUNTIF($E128:O128,"t")+COUNTIF($E128:O128,"¶")+COUNTIF($E128:O128,"²")+COUNTIF($E128:O128,"µ")+COUNTIF($E128:O128,1)-1,INDEX(Roadmap!$D:$K,MATCH($E128,Roadmap!$D:$D,0)-1+COUNTIF($E128:O128,"u")+COUNTIF($E128:O128,"t")+COUNTIF($E128:O128,"¶")+COUNTIF($E128:O128,"²")+COUNTIF($E128:O128,"µ")+COUNTIF($E128:O128,1),ColDescriptionCourte)),""),
  "")),"")</f>
        <v/>
      </c>
      <c r="Q128" s="40" t="str">
        <f ca="1">IFERROR(IF(AND(
  INDEX(Roadmap!$D:$K,MATCH($E128,Roadmap!$D:$D,0)+COUNTIF($E128:P128,"u")+COUNTIF($E128:P128,"t")+COUNTIF($E128:P128,"¶")+COUNTIF($E128:P128,"²")+COUNTIF($E128:P128,"µ")+COUNTIF($E128:P128,1),ColLivraison)=Q$6,
  VLOOKUP($E128,INDIRECT("tri!"&amp; CHAR(64+ C0Col) &amp;":"&amp; CHAR(65+C0Col)),2,FALSE)&gt;COUNTIF($E128:P128,"u")+COUNTIF($E128:P128,"t")+COUNTIF($E128:P128,"¶")+COUNTIF($E128:P128,"²")+COUNTIF($E128:P128,"µ")+COUNTIF($E128:P128,1)),
HYPERLINK("#Roadmap!C"&amp; MATCH($E128,Roadmap!$D:$D,0)+COUNTIF($E128:P128,"u")+COUNTIF($E128:P128,"t"),
     INDEX(Roadmap!$D:$K,MATCH($E128,Roadmap!$D:$D,0)+COUNTIF($E128:P128,"u")+COUNTIF($E128:P128,"t")+COUNTIF($E128:P128,"¶")+COUNTIF($E128:P128,"²")+COUNTIF($E128:P128,"µ")+COUNTIF($E128:P128,1),ColTypeEcheance)),
  IF(LEN(P128)=1,
  IF(LEN(INDEX(Roadmap!$D:$K,MATCH($E128,Roadmap!$D:$D,0)-1+COUNTIF($E128:P128,"u")+COUNTIF($E128:P128,"t")+COUNTIF($E128:P128,"¶")+COUNTIF($E128:P128,"²")+COUNTIF($E128:P128,"µ")+COUNTIF($E128:P128,1),ColDescriptionCourte))&gt;1,
HYPERLINK("#Roadmap!C"&amp; MATCH($E128,Roadmap!$D:$D,0)+COUNTIF($E128:P128,"u")+COUNTIF($E128:P128,"t")+COUNTIF($E128:P128,"¶")+COUNTIF($E128:P128,"²")+COUNTIF($E128:P128,"µ")+COUNTIF($E128:P128,1)-1,INDEX(Roadmap!$D:$K,MATCH($E128,Roadmap!$D:$D,0)-1+COUNTIF($E128:P128,"u")+COUNTIF($E128:P128,"t")+COUNTIF($E128:P128,"¶")+COUNTIF($E128:P128,"²")+COUNTIF($E128:P128,"µ")+COUNTIF($E128:P128,1),ColDescriptionCourte)),""),
  "")),"")</f>
        <v/>
      </c>
      <c r="R128" s="40" t="str">
        <f ca="1">IFERROR(IF(AND(
  INDEX(Roadmap!$D:$K,MATCH($E128,Roadmap!$D:$D,0)+COUNTIF($E128:Q128,"u")+COUNTIF($E128:Q128,"t")+COUNTIF($E128:Q128,"¶")+COUNTIF($E128:Q128,"²")+COUNTIF($E128:Q128,"µ")+COUNTIF($E128:Q128,1),ColLivraison)=R$6,
  VLOOKUP($E128,INDIRECT("tri!"&amp; CHAR(64+ C0Col) &amp;":"&amp; CHAR(65+C0Col)),2,FALSE)&gt;COUNTIF($E128:Q128,"u")+COUNTIF($E128:Q128,"t")+COUNTIF($E128:Q128,"¶")+COUNTIF($E128:Q128,"²")+COUNTIF($E128:Q128,"µ")+COUNTIF($E128:Q128,1)),
HYPERLINK("#Roadmap!C"&amp; MATCH($E128,Roadmap!$D:$D,0)+COUNTIF($E128:Q128,"u")+COUNTIF($E128:Q128,"t"),
     INDEX(Roadmap!$D:$K,MATCH($E128,Roadmap!$D:$D,0)+COUNTIF($E128:Q128,"u")+COUNTIF($E128:Q128,"t")+COUNTIF($E128:Q128,"¶")+COUNTIF($E128:Q128,"²")+COUNTIF($E128:Q128,"µ")+COUNTIF($E128:Q128,1),ColTypeEcheance)),
  IF(LEN(Q128)=1,
  IF(LEN(INDEX(Roadmap!$D:$K,MATCH($E128,Roadmap!$D:$D,0)-1+COUNTIF($E128:Q128,"u")+COUNTIF($E128:Q128,"t")+COUNTIF($E128:Q128,"¶")+COUNTIF($E128:Q128,"²")+COUNTIF($E128:Q128,"µ")+COUNTIF($E128:Q128,1),ColDescriptionCourte))&gt;1,
HYPERLINK("#Roadmap!C"&amp; MATCH($E128,Roadmap!$D:$D,0)+COUNTIF($E128:Q128,"u")+COUNTIF($E128:Q128,"t")+COUNTIF($E128:Q128,"¶")+COUNTIF($E128:Q128,"²")+COUNTIF($E128:Q128,"µ")+COUNTIF($E128:Q128,1)-1,INDEX(Roadmap!$D:$K,MATCH($E128,Roadmap!$D:$D,0)-1+COUNTIF($E128:Q128,"u")+COUNTIF($E128:Q128,"t")+COUNTIF($E128:Q128,"¶")+COUNTIF($E128:Q128,"²")+COUNTIF($E128:Q128,"µ")+COUNTIF($E128:Q128,1),ColDescriptionCourte)),""),
  "")),"")</f>
        <v/>
      </c>
      <c r="S128" s="40" t="str">
        <f ca="1">IFERROR(IF(AND(
  INDEX(Roadmap!$D:$K,MATCH($E128,Roadmap!$D:$D,0)+COUNTIF($E128:R128,"u")+COUNTIF($E128:R128,"t")+COUNTIF($E128:R128,"¶")+COUNTIF($E128:R128,"²")+COUNTIF($E128:R128,"µ")+COUNTIF($E128:R128,1),ColLivraison)=S$6,
  VLOOKUP($E128,INDIRECT("tri!"&amp; CHAR(64+ C0Col) &amp;":"&amp; CHAR(65+C0Col)),2,FALSE)&gt;COUNTIF($E128:R128,"u")+COUNTIF($E128:R128,"t")+COUNTIF($E128:R128,"¶")+COUNTIF($E128:R128,"²")+COUNTIF($E128:R128,"µ")+COUNTIF($E128:R128,1)),
HYPERLINK("#Roadmap!C"&amp; MATCH($E128,Roadmap!$D:$D,0)+COUNTIF($E128:R128,"u")+COUNTIF($E128:R128,"t"),
     INDEX(Roadmap!$D:$K,MATCH($E128,Roadmap!$D:$D,0)+COUNTIF($E128:R128,"u")+COUNTIF($E128:R128,"t")+COUNTIF($E128:R128,"¶")+COUNTIF($E128:R128,"²")+COUNTIF($E128:R128,"µ")+COUNTIF($E128:R128,1),ColTypeEcheance)),
  IF(LEN(R128)=1,
  IF(LEN(INDEX(Roadmap!$D:$K,MATCH($E128,Roadmap!$D:$D,0)-1+COUNTIF($E128:R128,"u")+COUNTIF($E128:R128,"t")+COUNTIF($E128:R128,"¶")+COUNTIF($E128:R128,"²")+COUNTIF($E128:R128,"µ")+COUNTIF($E128:R128,1),ColDescriptionCourte))&gt;1,
HYPERLINK("#Roadmap!C"&amp; MATCH($E128,Roadmap!$D:$D,0)+COUNTIF($E128:R128,"u")+COUNTIF($E128:R128,"t")+COUNTIF($E128:R128,"¶")+COUNTIF($E128:R128,"²")+COUNTIF($E128:R128,"µ")+COUNTIF($E128:R128,1)-1,INDEX(Roadmap!$D:$K,MATCH($E128,Roadmap!$D:$D,0)-1+COUNTIF($E128:R128,"u")+COUNTIF($E128:R128,"t")+COUNTIF($E128:R128,"¶")+COUNTIF($E128:R128,"²")+COUNTIF($E128:R128,"µ")+COUNTIF($E128:R128,1),ColDescriptionCourte)),""),
  "")),"")</f>
        <v/>
      </c>
      <c r="T128" s="40" t="str">
        <f ca="1">IFERROR(IF(AND(
  INDEX(Roadmap!$D:$K,MATCH($E128,Roadmap!$D:$D,0)+COUNTIF($E128:S128,"u")+COUNTIF($E128:S128,"t")+COUNTIF($E128:S128,"¶")+COUNTIF($E128:S128,"²")+COUNTIF($E128:S128,"µ")+COUNTIF($E128:S128,1),ColLivraison)=T$6,
  VLOOKUP($E128,INDIRECT("tri!"&amp; CHAR(64+ C0Col) &amp;":"&amp; CHAR(65+C0Col)),2,FALSE)&gt;COUNTIF($E128:S128,"u")+COUNTIF($E128:S128,"t")+COUNTIF($E128:S128,"¶")+COUNTIF($E128:S128,"²")+COUNTIF($E128:S128,"µ")+COUNTIF($E128:S128,1)),
HYPERLINK("#Roadmap!C"&amp; MATCH($E128,Roadmap!$D:$D,0)+COUNTIF($E128:S128,"u")+COUNTIF($E128:S128,"t"),
     INDEX(Roadmap!$D:$K,MATCH($E128,Roadmap!$D:$D,0)+COUNTIF($E128:S128,"u")+COUNTIF($E128:S128,"t")+COUNTIF($E128:S128,"¶")+COUNTIF($E128:S128,"²")+COUNTIF($E128:S128,"µ")+COUNTIF($E128:S128,1),ColTypeEcheance)),
  IF(LEN(S128)=1,
  IF(LEN(INDEX(Roadmap!$D:$K,MATCH($E128,Roadmap!$D:$D,0)-1+COUNTIF($E128:S128,"u")+COUNTIF($E128:S128,"t")+COUNTIF($E128:S128,"¶")+COUNTIF($E128:S128,"²")+COUNTIF($E128:S128,"µ")+COUNTIF($E128:S128,1),ColDescriptionCourte))&gt;1,
HYPERLINK("#Roadmap!C"&amp; MATCH($E128,Roadmap!$D:$D,0)+COUNTIF($E128:S128,"u")+COUNTIF($E128:S128,"t")+COUNTIF($E128:S128,"¶")+COUNTIF($E128:S128,"²")+COUNTIF($E128:S128,"µ")+COUNTIF($E128:S128,1)-1,INDEX(Roadmap!$D:$K,MATCH($E128,Roadmap!$D:$D,0)-1+COUNTIF($E128:S128,"u")+COUNTIF($E128:S128,"t")+COUNTIF($E128:S128,"¶")+COUNTIF($E128:S128,"²")+COUNTIF($E128:S128,"µ")+COUNTIF($E128:S128,1),ColDescriptionCourte)),""),
  "")),"")</f>
        <v/>
      </c>
      <c r="U128" s="40" t="str">
        <f ca="1">IFERROR(IF(AND(
  INDEX(Roadmap!$D:$K,MATCH($E128,Roadmap!$D:$D,0)+COUNTIF($E128:T128,"u")+COUNTIF($E128:T128,"t")+COUNTIF($E128:T128,"¶")+COUNTIF($E128:T128,"²")+COUNTIF($E128:T128,"µ")+COUNTIF($E128:T128,1),ColLivraison)=U$6,
  VLOOKUP($E128,INDIRECT("tri!"&amp; CHAR(64+ C0Col) &amp;":"&amp; CHAR(65+C0Col)),2,FALSE)&gt;COUNTIF($E128:T128,"u")+COUNTIF($E128:T128,"t")+COUNTIF($E128:T128,"¶")+COUNTIF($E128:T128,"²")+COUNTIF($E128:T128,"µ")+COUNTIF($E128:T128,1)),
HYPERLINK("#Roadmap!C"&amp; MATCH($E128,Roadmap!$D:$D,0)+COUNTIF($E128:T128,"u")+COUNTIF($E128:T128,"t"),
     INDEX(Roadmap!$D:$K,MATCH($E128,Roadmap!$D:$D,0)+COUNTIF($E128:T128,"u")+COUNTIF($E128:T128,"t")+COUNTIF($E128:T128,"¶")+COUNTIF($E128:T128,"²")+COUNTIF($E128:T128,"µ")+COUNTIF($E128:T128,1),ColTypeEcheance)),
  IF(LEN(T128)=1,
  IF(LEN(INDEX(Roadmap!$D:$K,MATCH($E128,Roadmap!$D:$D,0)-1+COUNTIF($E128:T128,"u")+COUNTIF($E128:T128,"t")+COUNTIF($E128:T128,"¶")+COUNTIF($E128:T128,"²")+COUNTIF($E128:T128,"µ")+COUNTIF($E128:T128,1),ColDescriptionCourte))&gt;1,
HYPERLINK("#Roadmap!C"&amp; MATCH($E128,Roadmap!$D:$D,0)+COUNTIF($E128:T128,"u")+COUNTIF($E128:T128,"t")+COUNTIF($E128:T128,"¶")+COUNTIF($E128:T128,"²")+COUNTIF($E128:T128,"µ")+COUNTIF($E128:T128,1)-1,INDEX(Roadmap!$D:$K,MATCH($E128,Roadmap!$D:$D,0)-1+COUNTIF($E128:T128,"u")+COUNTIF($E128:T128,"t")+COUNTIF($E128:T128,"¶")+COUNTIF($E128:T128,"²")+COUNTIF($E128:T128,"µ")+COUNTIF($E128:T128,1),ColDescriptionCourte)),""),
  "")),"")</f>
        <v/>
      </c>
      <c r="V128" s="40" t="str">
        <f ca="1">IFERROR(IF(AND(
  INDEX(Roadmap!$D:$K,MATCH($E128,Roadmap!$D:$D,0)+COUNTIF($E128:U128,"u")+COUNTIF($E128:U128,"t")+COUNTIF($E128:U128,"¶")+COUNTIF($E128:U128,"²")+COUNTIF($E128:U128,"µ")+COUNTIF($E128:U128,1),ColLivraison)=V$6,
  VLOOKUP($E128,INDIRECT("tri!"&amp; CHAR(64+ C0Col) &amp;":"&amp; CHAR(65+C0Col)),2,FALSE)&gt;COUNTIF($E128:U128,"u")+COUNTIF($E128:U128,"t")+COUNTIF($E128:U128,"¶")+COUNTIF($E128:U128,"²")+COUNTIF($E128:U128,"µ")+COUNTIF($E128:U128,1)),
HYPERLINK("#Roadmap!C"&amp; MATCH($E128,Roadmap!$D:$D,0)+COUNTIF($E128:U128,"u")+COUNTIF($E128:U128,"t"),
     INDEX(Roadmap!$D:$K,MATCH($E128,Roadmap!$D:$D,0)+COUNTIF($E128:U128,"u")+COUNTIF($E128:U128,"t")+COUNTIF($E128:U128,"¶")+COUNTIF($E128:U128,"²")+COUNTIF($E128:U128,"µ")+COUNTIF($E128:U128,1),ColTypeEcheance)),
  IF(LEN(U128)=1,
  IF(LEN(INDEX(Roadmap!$D:$K,MATCH($E128,Roadmap!$D:$D,0)-1+COUNTIF($E128:U128,"u")+COUNTIF($E128:U128,"t")+COUNTIF($E128:U128,"¶")+COUNTIF($E128:U128,"²")+COUNTIF($E128:U128,"µ")+COUNTIF($E128:U128,1),ColDescriptionCourte))&gt;1,
HYPERLINK("#Roadmap!C"&amp; MATCH($E128,Roadmap!$D:$D,0)+COUNTIF($E128:U128,"u")+COUNTIF($E128:U128,"t")+COUNTIF($E128:U128,"¶")+COUNTIF($E128:U128,"²")+COUNTIF($E128:U128,"µ")+COUNTIF($E128:U128,1)-1,INDEX(Roadmap!$D:$K,MATCH($E128,Roadmap!$D:$D,0)-1+COUNTIF($E128:U128,"u")+COUNTIF($E128:U128,"t")+COUNTIF($E128:U128,"¶")+COUNTIF($E128:U128,"²")+COUNTIF($E128:U128,"µ")+COUNTIF($E128:U128,1),ColDescriptionCourte)),""),
  "")),"")</f>
        <v/>
      </c>
      <c r="W128" s="40" t="str">
        <f ca="1">IFERROR(IF(AND(
  INDEX(Roadmap!$D:$K,MATCH($E128,Roadmap!$D:$D,0)+COUNTIF($E128:V128,"u")+COUNTIF($E128:V128,"t")+COUNTIF($E128:V128,"¶")+COUNTIF($E128:V128,"²")+COUNTIF($E128:V128,"µ")+COUNTIF($E128:V128,1),ColLivraison)=W$6,
  VLOOKUP($E128,INDIRECT("tri!"&amp; CHAR(64+ C0Col) &amp;":"&amp; CHAR(65+C0Col)),2,FALSE)&gt;COUNTIF($E128:V128,"u")+COUNTIF($E128:V128,"t")+COUNTIF($E128:V128,"¶")+COUNTIF($E128:V128,"²")+COUNTIF($E128:V128,"µ")+COUNTIF($E128:V128,1)),
HYPERLINK("#Roadmap!C"&amp; MATCH($E128,Roadmap!$D:$D,0)+COUNTIF($E128:V128,"u")+COUNTIF($E128:V128,"t"),
     INDEX(Roadmap!$D:$K,MATCH($E128,Roadmap!$D:$D,0)+COUNTIF($E128:V128,"u")+COUNTIF($E128:V128,"t")+COUNTIF($E128:V128,"¶")+COUNTIF($E128:V128,"²")+COUNTIF($E128:V128,"µ")+COUNTIF($E128:V128,1),ColTypeEcheance)),
  IF(LEN(V128)=1,
  IF(LEN(INDEX(Roadmap!$D:$K,MATCH($E128,Roadmap!$D:$D,0)-1+COUNTIF($E128:V128,"u")+COUNTIF($E128:V128,"t")+COUNTIF($E128:V128,"¶")+COUNTIF($E128:V128,"²")+COUNTIF($E128:V128,"µ")+COUNTIF($E128:V128,1),ColDescriptionCourte))&gt;1,
HYPERLINK("#Roadmap!C"&amp; MATCH($E128,Roadmap!$D:$D,0)+COUNTIF($E128:V128,"u")+COUNTIF($E128:V128,"t")+COUNTIF($E128:V128,"¶")+COUNTIF($E128:V128,"²")+COUNTIF($E128:V128,"µ")+COUNTIF($E128:V128,1)-1,INDEX(Roadmap!$D:$K,MATCH($E128,Roadmap!$D:$D,0)-1+COUNTIF($E128:V128,"u")+COUNTIF($E128:V128,"t")+COUNTIF($E128:V128,"¶")+COUNTIF($E128:V128,"²")+COUNTIF($E128:V128,"µ")+COUNTIF($E128:V128,1),ColDescriptionCourte)),""),
  "")),"")</f>
        <v/>
      </c>
      <c r="X128" s="40" t="str">
        <f ca="1">IFERROR(IF(AND(
  INDEX(Roadmap!$D:$K,MATCH($E128,Roadmap!$D:$D,0)+COUNTIF($E128:W128,"u")+COUNTIF($E128:W128,"t")+COUNTIF($E128:W128,"¶")+COUNTIF($E128:W128,"²")+COUNTIF($E128:W128,"µ")+COUNTIF($E128:W128,1),ColLivraison)=X$6,
  VLOOKUP($E128,INDIRECT("tri!"&amp; CHAR(64+ C0Col) &amp;":"&amp; CHAR(65+C0Col)),2,FALSE)&gt;COUNTIF($E128:W128,"u")+COUNTIF($E128:W128,"t")+COUNTIF($E128:W128,"¶")+COUNTIF($E128:W128,"²")+COUNTIF($E128:W128,"µ")+COUNTIF($E128:W128,1)),
HYPERLINK("#Roadmap!C"&amp; MATCH($E128,Roadmap!$D:$D,0)+COUNTIF($E128:W128,"u")+COUNTIF($E128:W128,"t"),
     INDEX(Roadmap!$D:$K,MATCH($E128,Roadmap!$D:$D,0)+COUNTIF($E128:W128,"u")+COUNTIF($E128:W128,"t")+COUNTIF($E128:W128,"¶")+COUNTIF($E128:W128,"²")+COUNTIF($E128:W128,"µ")+COUNTIF($E128:W128,1),ColTypeEcheance)),
  IF(LEN(W128)=1,
  IF(LEN(INDEX(Roadmap!$D:$K,MATCH($E128,Roadmap!$D:$D,0)-1+COUNTIF($E128:W128,"u")+COUNTIF($E128:W128,"t")+COUNTIF($E128:W128,"¶")+COUNTIF($E128:W128,"²")+COUNTIF($E128:W128,"µ")+COUNTIF($E128:W128,1),ColDescriptionCourte))&gt;1,
HYPERLINK("#Roadmap!C"&amp; MATCH($E128,Roadmap!$D:$D,0)+COUNTIF($E128:W128,"u")+COUNTIF($E128:W128,"t")+COUNTIF($E128:W128,"¶")+COUNTIF($E128:W128,"²")+COUNTIF($E128:W128,"µ")+COUNTIF($E128:W128,1)-1,INDEX(Roadmap!$D:$K,MATCH($E128,Roadmap!$D:$D,0)-1+COUNTIF($E128:W128,"u")+COUNTIF($E128:W128,"t")+COUNTIF($E128:W128,"¶")+COUNTIF($E128:W128,"²")+COUNTIF($E128:W128,"µ")+COUNTIF($E128:W128,1),ColDescriptionCourte)),""),
  "")),"")</f>
        <v/>
      </c>
      <c r="Y128" s="40" t="str">
        <f ca="1">IFERROR(IF(AND(
  INDEX(Roadmap!$D:$K,MATCH($E128,Roadmap!$D:$D,0)+COUNTIF($E128:X128,"u")+COUNTIF($E128:X128,"t")+COUNTIF($E128:X128,"¶")+COUNTIF($E128:X128,"²")+COUNTIF($E128:X128,"µ")+COUNTIF($E128:X128,1),ColLivraison)=Y$6,
  VLOOKUP($E128,INDIRECT("tri!"&amp; CHAR(64+ C0Col) &amp;":"&amp; CHAR(65+C0Col)),2,FALSE)&gt;COUNTIF($E128:X128,"u")+COUNTIF($E128:X128,"t")+COUNTIF($E128:X128,"¶")+COUNTIF($E128:X128,"²")+COUNTIF($E128:X128,"µ")+COUNTIF($E128:X128,1)),
HYPERLINK("#Roadmap!C"&amp; MATCH($E128,Roadmap!$D:$D,0)+COUNTIF($E128:X128,"u")+COUNTIF($E128:X128,"t"),
     INDEX(Roadmap!$D:$K,MATCH($E128,Roadmap!$D:$D,0)+COUNTIF($E128:X128,"u")+COUNTIF($E128:X128,"t")+COUNTIF($E128:X128,"¶")+COUNTIF($E128:X128,"²")+COUNTIF($E128:X128,"µ")+COUNTIF($E128:X128,1),ColTypeEcheance)),
  IF(LEN(X128)=1,
  IF(LEN(INDEX(Roadmap!$D:$K,MATCH($E128,Roadmap!$D:$D,0)-1+COUNTIF($E128:X128,"u")+COUNTIF($E128:X128,"t")+COUNTIF($E128:X128,"¶")+COUNTIF($E128:X128,"²")+COUNTIF($E128:X128,"µ")+COUNTIF($E128:X128,1),ColDescriptionCourte))&gt;1,
HYPERLINK("#Roadmap!C"&amp; MATCH($E128,Roadmap!$D:$D,0)+COUNTIF($E128:X128,"u")+COUNTIF($E128:X128,"t")+COUNTIF($E128:X128,"¶")+COUNTIF($E128:X128,"²")+COUNTIF($E128:X128,"µ")+COUNTIF($E128:X128,1)-1,INDEX(Roadmap!$D:$K,MATCH($E128,Roadmap!$D:$D,0)-1+COUNTIF($E128:X128,"u")+COUNTIF($E128:X128,"t")+COUNTIF($E128:X128,"¶")+COUNTIF($E128:X128,"²")+COUNTIF($E128:X128,"µ")+COUNTIF($E128:X128,1),ColDescriptionCourte)),""),
  "")),"")</f>
        <v/>
      </c>
      <c r="Z128" s="40" t="str">
        <f ca="1">IFERROR(IF(AND(
  INDEX(Roadmap!$D:$K,MATCH($E128,Roadmap!$D:$D,0)+COUNTIF($E128:Y128,"u")+COUNTIF($E128:Y128,"t")+COUNTIF($E128:Y128,"¶")+COUNTIF($E128:Y128,"²")+COUNTIF($E128:Y128,"µ")+COUNTIF($E128:Y128,1),ColLivraison)=Z$6,
  VLOOKUP($E128,INDIRECT("tri!"&amp; CHAR(64+ C0Col) &amp;":"&amp; CHAR(65+C0Col)),2,FALSE)&gt;COUNTIF($E128:Y128,"u")+COUNTIF($E128:Y128,"t")+COUNTIF($E128:Y128,"¶")+COUNTIF($E128:Y128,"²")+COUNTIF($E128:Y128,"µ")+COUNTIF($E128:Y128,1)),
HYPERLINK("#Roadmap!C"&amp; MATCH($E128,Roadmap!$D:$D,0)+COUNTIF($E128:Y128,"u")+COUNTIF($E128:Y128,"t"),
     INDEX(Roadmap!$D:$K,MATCH($E128,Roadmap!$D:$D,0)+COUNTIF($E128:Y128,"u")+COUNTIF($E128:Y128,"t")+COUNTIF($E128:Y128,"¶")+COUNTIF($E128:Y128,"²")+COUNTIF($E128:Y128,"µ")+COUNTIF($E128:Y128,1),ColTypeEcheance)),
  IF(LEN(Y128)=1,
  IF(LEN(INDEX(Roadmap!$D:$K,MATCH($E128,Roadmap!$D:$D,0)-1+COUNTIF($E128:Y128,"u")+COUNTIF($E128:Y128,"t")+COUNTIF($E128:Y128,"¶")+COUNTIF($E128:Y128,"²")+COUNTIF($E128:Y128,"µ")+COUNTIF($E128:Y128,1),ColDescriptionCourte))&gt;1,
HYPERLINK("#Roadmap!C"&amp; MATCH($E128,Roadmap!$D:$D,0)+COUNTIF($E128:Y128,"u")+COUNTIF($E128:Y128,"t")+COUNTIF($E128:Y128,"¶")+COUNTIF($E128:Y128,"²")+COUNTIF($E128:Y128,"µ")+COUNTIF($E128:Y128,1)-1,INDEX(Roadmap!$D:$K,MATCH($E128,Roadmap!$D:$D,0)-1+COUNTIF($E128:Y128,"u")+COUNTIF($E128:Y128,"t")+COUNTIF($E128:Y128,"¶")+COUNTIF($E128:Y128,"²")+COUNTIF($E128:Y128,"µ")+COUNTIF($E128:Y128,1),ColDescriptionCourte)),""),
  "")),"")</f>
        <v/>
      </c>
      <c r="AA128" s="40" t="str">
        <f ca="1">IFERROR(IF(AND(
  INDEX(Roadmap!$D:$K,MATCH($E128,Roadmap!$D:$D,0)+COUNTIF($E128:Z128,"u")+COUNTIF($E128:Z128,"t")+COUNTIF($E128:Z128,"¶")+COUNTIF($E128:Z128,"²")+COUNTIF($E128:Z128,"µ")+COUNTIF($E128:Z128,1),ColLivraison)=AA$6,
  VLOOKUP($E128,INDIRECT("tri!"&amp; CHAR(64+ C0Col) &amp;":"&amp; CHAR(65+C0Col)),2,FALSE)&gt;COUNTIF($E128:Z128,"u")+COUNTIF($E128:Z128,"t")+COUNTIF($E128:Z128,"¶")+COUNTIF($E128:Z128,"²")+COUNTIF($E128:Z128,"µ")+COUNTIF($E128:Z128,1)),
HYPERLINK("#Roadmap!C"&amp; MATCH($E128,Roadmap!$D:$D,0)+COUNTIF($E128:Z128,"u")+COUNTIF($E128:Z128,"t"),
     INDEX(Roadmap!$D:$K,MATCH($E128,Roadmap!$D:$D,0)+COUNTIF($E128:Z128,"u")+COUNTIF($E128:Z128,"t")+COUNTIF($E128:Z128,"¶")+COUNTIF($E128:Z128,"²")+COUNTIF($E128:Z128,"µ")+COUNTIF($E128:Z128,1),ColTypeEcheance)),
  IF(LEN(Z128)=1,
  IF(LEN(INDEX(Roadmap!$D:$K,MATCH($E128,Roadmap!$D:$D,0)-1+COUNTIF($E128:Z128,"u")+COUNTIF($E128:Z128,"t")+COUNTIF($E128:Z128,"¶")+COUNTIF($E128:Z128,"²")+COUNTIF($E128:Z128,"µ")+COUNTIF($E128:Z128,1),ColDescriptionCourte))&gt;1,
HYPERLINK("#Roadmap!C"&amp; MATCH($E128,Roadmap!$D:$D,0)+COUNTIF($E128:Z128,"u")+COUNTIF($E128:Z128,"t")+COUNTIF($E128:Z128,"¶")+COUNTIF($E128:Z128,"²")+COUNTIF($E128:Z128,"µ")+COUNTIF($E128:Z128,1)-1,INDEX(Roadmap!$D:$K,MATCH($E128,Roadmap!$D:$D,0)-1+COUNTIF($E128:Z128,"u")+COUNTIF($E128:Z128,"t")+COUNTIF($E128:Z128,"¶")+COUNTIF($E128:Z128,"²")+COUNTIF($E128:Z128,"µ")+COUNTIF($E128:Z128,1),ColDescriptionCourte)),""),
  "")),"")</f>
        <v/>
      </c>
      <c r="AB128" s="40" t="str">
        <f ca="1">IFERROR(IF(AND(
  INDEX(Roadmap!$D:$K,MATCH($E128,Roadmap!$D:$D,0)+COUNTIF($E128:AA128,"u")+COUNTIF($E128:AA128,"t")+COUNTIF($E128:AA128,"¶")+COUNTIF($E128:AA128,"²")+COUNTIF($E128:AA128,"µ")+COUNTIF($E128:AA128,1),ColLivraison)=AB$6,
  VLOOKUP($E128,INDIRECT("tri!"&amp; CHAR(64+ C0Col) &amp;":"&amp; CHAR(65+C0Col)),2,FALSE)&gt;COUNTIF($E128:AA128,"u")+COUNTIF($E128:AA128,"t")+COUNTIF($E128:AA128,"¶")+COUNTIF($E128:AA128,"²")+COUNTIF($E128:AA128,"µ")+COUNTIF($E128:AA128,1)),
HYPERLINK("#Roadmap!C"&amp; MATCH($E128,Roadmap!$D:$D,0)+COUNTIF($E128:AA128,"u")+COUNTIF($E128:AA128,"t"),
     INDEX(Roadmap!$D:$K,MATCH($E128,Roadmap!$D:$D,0)+COUNTIF($E128:AA128,"u")+COUNTIF($E128:AA128,"t")+COUNTIF($E128:AA128,"¶")+COUNTIF($E128:AA128,"²")+COUNTIF($E128:AA128,"µ")+COUNTIF($E128:AA128,1),ColTypeEcheance)),
  IF(LEN(AA128)=1,
  IF(LEN(INDEX(Roadmap!$D:$K,MATCH($E128,Roadmap!$D:$D,0)-1+COUNTIF($E128:AA128,"u")+COUNTIF($E128:AA128,"t")+COUNTIF($E128:AA128,"¶")+COUNTIF($E128:AA128,"²")+COUNTIF($E128:AA128,"µ")+COUNTIF($E128:AA128,1),ColDescriptionCourte))&gt;1,
HYPERLINK("#Roadmap!C"&amp; MATCH($E128,Roadmap!$D:$D,0)+COUNTIF($E128:AA128,"u")+COUNTIF($E128:AA128,"t")+COUNTIF($E128:AA128,"¶")+COUNTIF($E128:AA128,"²")+COUNTIF($E128:AA128,"µ")+COUNTIF($E128:AA128,1)-1,INDEX(Roadmap!$D:$K,MATCH($E128,Roadmap!$D:$D,0)-1+COUNTIF($E128:AA128,"u")+COUNTIF($E128:AA128,"t")+COUNTIF($E128:AA128,"¶")+COUNTIF($E128:AA128,"²")+COUNTIF($E128:AA128,"µ")+COUNTIF($E128:AA128,1),ColDescriptionCourte)),""),
  "")),"")</f>
        <v/>
      </c>
      <c r="AC128" s="40" t="str">
        <f ca="1">IFERROR(IF(AND(
  INDEX(Roadmap!$D:$K,MATCH($E128,Roadmap!$D:$D,0)+COUNTIF($E128:AB128,"u")+COUNTIF($E128:AB128,"t")+COUNTIF($E128:AB128,"¶")+COUNTIF($E128:AB128,"²")+COUNTIF($E128:AB128,"µ")+COUNTIF($E128:AB128,1),ColLivraison)=AC$6,
  VLOOKUP($E128,INDIRECT("tri!"&amp; CHAR(64+ C0Col) &amp;":"&amp; CHAR(65+C0Col)),2,FALSE)&gt;COUNTIF($E128:AB128,"u")+COUNTIF($E128:AB128,"t")+COUNTIF($E128:AB128,"¶")+COUNTIF($E128:AB128,"²")+COUNTIF($E128:AB128,"µ")+COUNTIF($E128:AB128,1)),
HYPERLINK("#Roadmap!C"&amp; MATCH($E128,Roadmap!$D:$D,0)+COUNTIF($E128:AB128,"u")+COUNTIF($E128:AB128,"t"),
     INDEX(Roadmap!$D:$K,MATCH($E128,Roadmap!$D:$D,0)+COUNTIF($E128:AB128,"u")+COUNTIF($E128:AB128,"t")+COUNTIF($E128:AB128,"¶")+COUNTIF($E128:AB128,"²")+COUNTIF($E128:AB128,"µ")+COUNTIF($E128:AB128,1),ColTypeEcheance)),
  IF(LEN(AB128)=1,
  IF(LEN(INDEX(Roadmap!$D:$K,MATCH($E128,Roadmap!$D:$D,0)-1+COUNTIF($E128:AB128,"u")+COUNTIF($E128:AB128,"t")+COUNTIF($E128:AB128,"¶")+COUNTIF($E128:AB128,"²")+COUNTIF($E128:AB128,"µ")+COUNTIF($E128:AB128,1),ColDescriptionCourte))&gt;1,
HYPERLINK("#Roadmap!C"&amp; MATCH($E128,Roadmap!$D:$D,0)+COUNTIF($E128:AB128,"u")+COUNTIF($E128:AB128,"t")+COUNTIF($E128:AB128,"¶")+COUNTIF($E128:AB128,"²")+COUNTIF($E128:AB128,"µ")+COUNTIF($E128:AB128,1)-1,INDEX(Roadmap!$D:$K,MATCH($E128,Roadmap!$D:$D,0)-1+COUNTIF($E128:AB128,"u")+COUNTIF($E128:AB128,"t")+COUNTIF($E128:AB128,"¶")+COUNTIF($E128:AB128,"²")+COUNTIF($E128:AB128,"µ")+COUNTIF($E128:AB128,1),ColDescriptionCourte)),""),
  "")),"")</f>
        <v/>
      </c>
      <c r="AD128" s="40" t="str">
        <f ca="1">IFERROR(IF(AND(
  INDEX(Roadmap!$D:$K,MATCH($E128,Roadmap!$D:$D,0)+COUNTIF($E128:AC128,"u")+COUNTIF($E128:AC128,"t")+COUNTIF($E128:AC128,"¶")+COUNTIF($E128:AC128,"²")+COUNTIF($E128:AC128,"µ")+COUNTIF($E128:AC128,1),ColLivraison)=AD$6,
  VLOOKUP($E128,INDIRECT("tri!"&amp; CHAR(64+ C0Col) &amp;":"&amp; CHAR(65+C0Col)),2,FALSE)&gt;COUNTIF($E128:AC128,"u")+COUNTIF($E128:AC128,"t")+COUNTIF($E128:AC128,"¶")+COUNTIF($E128:AC128,"²")+COUNTIF($E128:AC128,"µ")+COUNTIF($E128:AC128,1)),
HYPERLINK("#Roadmap!C"&amp; MATCH($E128,Roadmap!$D:$D,0)+COUNTIF($E128:AC128,"u")+COUNTIF($E128:AC128,"t"),
     INDEX(Roadmap!$D:$K,MATCH($E128,Roadmap!$D:$D,0)+COUNTIF($E128:AC128,"u")+COUNTIF($E128:AC128,"t")+COUNTIF($E128:AC128,"¶")+COUNTIF($E128:AC128,"²")+COUNTIF($E128:AC128,"µ")+COUNTIF($E128:AC128,1),ColTypeEcheance)),
  IF(LEN(AC128)=1,
  IF(LEN(INDEX(Roadmap!$D:$K,MATCH($E128,Roadmap!$D:$D,0)-1+COUNTIF($E128:AC128,"u")+COUNTIF($E128:AC128,"t")+COUNTIF($E128:AC128,"¶")+COUNTIF($E128:AC128,"²")+COUNTIF($E128:AC128,"µ")+COUNTIF($E128:AC128,1),ColDescriptionCourte))&gt;1,
HYPERLINK("#Roadmap!C"&amp; MATCH($E128,Roadmap!$D:$D,0)+COUNTIF($E128:AC128,"u")+COUNTIF($E128:AC128,"t")+COUNTIF($E128:AC128,"¶")+COUNTIF($E128:AC128,"²")+COUNTIF($E128:AC128,"µ")+COUNTIF($E128:AC128,1)-1,INDEX(Roadmap!$D:$K,MATCH($E128,Roadmap!$D:$D,0)-1+COUNTIF($E128:AC128,"u")+COUNTIF($E128:AC128,"t")+COUNTIF($E128:AC128,"¶")+COUNTIF($E128:AC128,"²")+COUNTIF($E128:AC128,"µ")+COUNTIF($E128:AC128,1),ColDescriptionCourte)),""),
  "")),"")</f>
        <v/>
      </c>
      <c r="AE128" s="40" t="str">
        <f ca="1">IFERROR(IF(AND(
  INDEX(Roadmap!$D:$K,MATCH($E128,Roadmap!$D:$D,0)+COUNTIF($E128:AD128,"u")+COUNTIF($E128:AD128,"t")+COUNTIF($E128:AD128,"¶")+COUNTIF($E128:AD128,"²")+COUNTIF($E128:AD128,"µ")+COUNTIF($E128:AD128,1),ColLivraison)=AE$6,
  VLOOKUP($E128,INDIRECT("tri!"&amp; CHAR(64+ C0Col) &amp;":"&amp; CHAR(65+C0Col)),2,FALSE)&gt;COUNTIF($E128:AD128,"u")+COUNTIF($E128:AD128,"t")+COUNTIF($E128:AD128,"¶")+COUNTIF($E128:AD128,"²")+COUNTIF($E128:AD128,"µ")+COUNTIF($E128:AD128,1)),
HYPERLINK("#Roadmap!C"&amp; MATCH($E128,Roadmap!$D:$D,0)+COUNTIF($E128:AD128,"u")+COUNTIF($E128:AD128,"t"),
     INDEX(Roadmap!$D:$K,MATCH($E128,Roadmap!$D:$D,0)+COUNTIF($E128:AD128,"u")+COUNTIF($E128:AD128,"t")+COUNTIF($E128:AD128,"¶")+COUNTIF($E128:AD128,"²")+COUNTIF($E128:AD128,"µ")+COUNTIF($E128:AD128,1),ColTypeEcheance)),
  IF(LEN(AD128)=1,
  IF(LEN(INDEX(Roadmap!$D:$K,MATCH($E128,Roadmap!$D:$D,0)-1+COUNTIF($E128:AD128,"u")+COUNTIF($E128:AD128,"t")+COUNTIF($E128:AD128,"¶")+COUNTIF($E128:AD128,"²")+COUNTIF($E128:AD128,"µ")+COUNTIF($E128:AD128,1),ColDescriptionCourte))&gt;1,
HYPERLINK("#Roadmap!C"&amp; MATCH($E128,Roadmap!$D:$D,0)+COUNTIF($E128:AD128,"u")+COUNTIF($E128:AD128,"t")+COUNTIF($E128:AD128,"¶")+COUNTIF($E128:AD128,"²")+COUNTIF($E128:AD128,"µ")+COUNTIF($E128:AD128,1)-1,INDEX(Roadmap!$D:$K,MATCH($E128,Roadmap!$D:$D,0)-1+COUNTIF($E128:AD128,"u")+COUNTIF($E128:AD128,"t")+COUNTIF($E128:AD128,"¶")+COUNTIF($E128:AD128,"²")+COUNTIF($E128:AD128,"µ")+COUNTIF($E128:AD128,1),ColDescriptionCourte)),""),
  "")),"")</f>
        <v/>
      </c>
      <c r="AF128" s="40" t="str">
        <f ca="1">IFERROR(IF(AND(
  INDEX(Roadmap!$D:$K,MATCH($E128,Roadmap!$D:$D,0)+COUNTIF($E128:AE128,"u")+COUNTIF($E128:AE128,"t")+COUNTIF($E128:AE128,"¶")+COUNTIF($E128:AE128,"²")+COUNTIF($E128:AE128,"µ")+COUNTIF($E128:AE128,1),ColLivraison)=AF$6,
  VLOOKUP($E128,INDIRECT("tri!"&amp; CHAR(64+ C0Col) &amp;":"&amp; CHAR(65+C0Col)),2,FALSE)&gt;COUNTIF($E128:AE128,"u")+COUNTIF($E128:AE128,"t")+COUNTIF($E128:AE128,"¶")+COUNTIF($E128:AE128,"²")+COUNTIF($E128:AE128,"µ")+COUNTIF($E128:AE128,1)),
HYPERLINK("#Roadmap!C"&amp; MATCH($E128,Roadmap!$D:$D,0)+COUNTIF($E128:AE128,"u")+COUNTIF($E128:AE128,"t"),
     INDEX(Roadmap!$D:$K,MATCH($E128,Roadmap!$D:$D,0)+COUNTIF($E128:AE128,"u")+COUNTIF($E128:AE128,"t")+COUNTIF($E128:AE128,"¶")+COUNTIF($E128:AE128,"²")+COUNTIF($E128:AE128,"µ")+COUNTIF($E128:AE128,1),ColTypeEcheance)),
  IF(LEN(AE128)=1,
  IF(LEN(INDEX(Roadmap!$D:$K,MATCH($E128,Roadmap!$D:$D,0)-1+COUNTIF($E128:AE128,"u")+COUNTIF($E128:AE128,"t")+COUNTIF($E128:AE128,"¶")+COUNTIF($E128:AE128,"²")+COUNTIF($E128:AE128,"µ")+COUNTIF($E128:AE128,1),ColDescriptionCourte))&gt;1,
HYPERLINK("#Roadmap!C"&amp; MATCH($E128,Roadmap!$D:$D,0)+COUNTIF($E128:AE128,"u")+COUNTIF($E128:AE128,"t")+COUNTIF($E128:AE128,"¶")+COUNTIF($E128:AE128,"²")+COUNTIF($E128:AE128,"µ")+COUNTIF($E128:AE128,1)-1,INDEX(Roadmap!$D:$K,MATCH($E128,Roadmap!$D:$D,0)-1+COUNTIF($E128:AE128,"u")+COUNTIF($E128:AE128,"t")+COUNTIF($E128:AE128,"¶")+COUNTIF($E128:AE128,"²")+COUNTIF($E128:AE128,"µ")+COUNTIF($E128:AE128,1),ColDescriptionCourte)),""),
  "")),"")</f>
        <v/>
      </c>
      <c r="AG128" s="40" t="str">
        <f ca="1">IFERROR(IF(AND(
  INDEX(Roadmap!$D:$K,MATCH($E128,Roadmap!$D:$D,0)+COUNTIF($E128:AF128,"u")+COUNTIF($E128:AF128,"t")+COUNTIF($E128:AF128,"¶")+COUNTIF($E128:AF128,"²")+COUNTIF($E128:AF128,"µ")+COUNTIF($E128:AF128,1),ColLivraison)=AG$6,
  VLOOKUP($E128,INDIRECT("tri!"&amp; CHAR(64+ C0Col) &amp;":"&amp; CHAR(65+C0Col)),2,FALSE)&gt;COUNTIF($E128:AF128,"u")+COUNTIF($E128:AF128,"t")+COUNTIF($E128:AF128,"¶")+COUNTIF($E128:AF128,"²")+COUNTIF($E128:AF128,"µ")+COUNTIF($E128:AF128,1)),
HYPERLINK("#Roadmap!C"&amp; MATCH($E128,Roadmap!$D:$D,0)+COUNTIF($E128:AF128,"u")+COUNTIF($E128:AF128,"t"),
     INDEX(Roadmap!$D:$K,MATCH($E128,Roadmap!$D:$D,0)+COUNTIF($E128:AF128,"u")+COUNTIF($E128:AF128,"t")+COUNTIF($E128:AF128,"¶")+COUNTIF($E128:AF128,"²")+COUNTIF($E128:AF128,"µ")+COUNTIF($E128:AF128,1),ColTypeEcheance)),
  IF(LEN(AF128)=1,
  IF(LEN(INDEX(Roadmap!$D:$K,MATCH($E128,Roadmap!$D:$D,0)-1+COUNTIF($E128:AF128,"u")+COUNTIF($E128:AF128,"t")+COUNTIF($E128:AF128,"¶")+COUNTIF($E128:AF128,"²")+COUNTIF($E128:AF128,"µ")+COUNTIF($E128:AF128,1),ColDescriptionCourte))&gt;1,
HYPERLINK("#Roadmap!C"&amp; MATCH($E128,Roadmap!$D:$D,0)+COUNTIF($E128:AF128,"u")+COUNTIF($E128:AF128,"t")+COUNTIF($E128:AF128,"¶")+COUNTIF($E128:AF128,"²")+COUNTIF($E128:AF128,"µ")+COUNTIF($E128:AF128,1)-1,INDEX(Roadmap!$D:$K,MATCH($E128,Roadmap!$D:$D,0)-1+COUNTIF($E128:AF128,"u")+COUNTIF($E128:AF128,"t")+COUNTIF($E128:AF128,"¶")+COUNTIF($E128:AF128,"²")+COUNTIF($E128:AF128,"µ")+COUNTIF($E128:AF128,1),ColDescriptionCourte)),""),
  "")),"")</f>
        <v/>
      </c>
    </row>
    <row r="129" spans="3:33" ht="14.25" customHeight="1">
      <c r="C129" s="1" t="str">
        <f t="shared" ca="1" si="49"/>
        <v/>
      </c>
      <c r="D129" s="1" t="str">
        <f t="shared" ca="1" si="50"/>
        <v/>
      </c>
      <c r="E129" s="35" t="str">
        <f t="shared" ca="1" si="46"/>
        <v/>
      </c>
      <c r="F129" s="39" t="str">
        <f ca="1">IFERROR(IF(AND(
  INDEX(Roadmap!$D:$K,MATCH($E129,Roadmap!$D:$D,0)+COUNTIF($E129:E129,"u")+COUNTIF($E129:E129,"t")+COUNTIF($E129:E129,"¶")+COUNTIF($E129:E129,"²")+COUNTIF($E129:E129,"µ")+COUNTIF($E129:E129,1),ColLivraison)=F$6,
  VLOOKUP($E129,INDIRECT("tri!"&amp; CHAR(64+ C0Col) &amp;":"&amp; CHAR(65+C0Col)),2,FALSE)&gt;COUNTIF($E129:E129,"u")+COUNTIF($E129:E129,"t")+COUNTIF($E129:E129,"¶")+COUNTIF($E129:E129,"²")+COUNTIF($E129:E129,"µ")+COUNTIF($E129:E129,1)),
HYPERLINK("#Roadmap!C"&amp; MATCH($E129,Roadmap!$D:$D,0)+COUNTIF($E129:E129,"u")+COUNTIF($E129:E129,"t"),
     INDEX(Roadmap!$D:$K,MATCH($E129,Roadmap!$D:$D,0)+COUNTIF($E129:E129,"u")+COUNTIF($E129:E129,"t")+COUNTIF($E129:E129,"¶")+COUNTIF($E129:E129,"²")+COUNTIF($E129:E129,"µ")+COUNTIF($E129:E129,1),ColTypeEcheance)),
  IF(LEN(E129)=1,
  IF(LEN(INDEX(Roadmap!$D:$K,MATCH($E129,Roadmap!$D:$D,0)-1+COUNTIF($E129:E129,"u")+COUNTIF($E129:E129,"t")+COUNTIF($E129:E129,"¶")+COUNTIF($E129:E129,"²")+COUNTIF($E129:E129,"µ")+COUNTIF($E129:E129,1),ColDescriptionCourte))&gt;1,
HYPERLINK("#Roadmap!C"&amp; MATCH($E129,Roadmap!$D:$D,0)+COUNTIF($E129:E129,"u")+COUNTIF($E129:E129,"t")+COUNTIF($E129:E129,"¶")+COUNTIF($E129:E129,"²")+COUNTIF($E129:E129,"µ")+COUNTIF($E129:E129,1)-1,INDEX(Roadmap!$D:$K,MATCH($E129,Roadmap!$D:$D,0)-1+COUNTIF($E129:E129,"u")+COUNTIF($E129:E129,"t")+COUNTIF($E129:E129,"¶")+COUNTIF($E129:E129,"²")+COUNTIF($E129:E129,"µ")+COUNTIF($E129:E129,1),ColDescriptionCourte)),""),
  "")),"")</f>
        <v/>
      </c>
      <c r="G129" s="40" t="str">
        <f ca="1">IFERROR(IF(AND(
  INDEX(Roadmap!$D:$K,MATCH($E129,Roadmap!$D:$D,0)+COUNTIF($E129:F129,"u")+COUNTIF($E129:F129,"t")+COUNTIF($E129:F129,"¶")+COUNTIF($E129:F129,"²")+COUNTIF($E129:F129,"µ")+COUNTIF($E129:F129,1),ColLivraison)=G$6,
  VLOOKUP($E129,INDIRECT("tri!"&amp; CHAR(64+ C0Col) &amp;":"&amp; CHAR(65+C0Col)),2,FALSE)&gt;COUNTIF($E129:F129,"u")+COUNTIF($E129:F129,"t")+COUNTIF($E129:F129,"¶")+COUNTIF($E129:F129,"²")+COUNTIF($E129:F129,"µ")+COUNTIF($E129:F129,1)),
HYPERLINK("#Roadmap!C"&amp; MATCH($E129,Roadmap!$D:$D,0)+COUNTIF($E129:F129,"u")+COUNTIF($E129:F129,"t"),
     INDEX(Roadmap!$D:$K,MATCH($E129,Roadmap!$D:$D,0)+COUNTIF($E129:F129,"u")+COUNTIF($E129:F129,"t")+COUNTIF($E129:F129,"¶")+COUNTIF($E129:F129,"²")+COUNTIF($E129:F129,"µ")+COUNTIF($E129:F129,1),ColTypeEcheance)),
  IF(LEN(F129)=1,
  IF(LEN(INDEX(Roadmap!$D:$K,MATCH($E129,Roadmap!$D:$D,0)-1+COUNTIF($E129:F129,"u")+COUNTIF($E129:F129,"t")+COUNTIF($E129:F129,"¶")+COUNTIF($E129:F129,"²")+COUNTIF($E129:F129,"µ")+COUNTIF($E129:F129,1),ColDescriptionCourte))&gt;1,
HYPERLINK("#Roadmap!C"&amp; MATCH($E129,Roadmap!$D:$D,0)+COUNTIF($E129:F129,"u")+COUNTIF($E129:F129,"t")+COUNTIF($E129:F129,"¶")+COUNTIF($E129:F129,"²")+COUNTIF($E129:F129,"µ")+COUNTIF($E129:F129,1)-1,INDEX(Roadmap!$D:$K,MATCH($E129,Roadmap!$D:$D,0)-1+COUNTIF($E129:F129,"u")+COUNTIF($E129:F129,"t")+COUNTIF($E129:F129,"¶")+COUNTIF($E129:F129,"²")+COUNTIF($E129:F129,"µ")+COUNTIF($E129:F129,1),ColDescriptionCourte)),""),
  "")),"")</f>
        <v/>
      </c>
      <c r="H129" s="40" t="str">
        <f ca="1">IFERROR(IF(AND(
  INDEX(Roadmap!$D:$K,MATCH($E129,Roadmap!$D:$D,0)+COUNTIF($E129:G129,"u")+COUNTIF($E129:G129,"t")+COUNTIF($E129:G129,"¶")+COUNTIF($E129:G129,"²")+COUNTIF($E129:G129,"µ")+COUNTIF($E129:G129,1),ColLivraison)=H$6,
  VLOOKUP($E129,INDIRECT("tri!"&amp; CHAR(64+ C0Col) &amp;":"&amp; CHAR(65+C0Col)),2,FALSE)&gt;COUNTIF($E129:G129,"u")+COUNTIF($E129:G129,"t")+COUNTIF($E129:G129,"¶")+COUNTIF($E129:G129,"²")+COUNTIF($E129:G129,"µ")+COUNTIF($E129:G129,1)),
HYPERLINK("#Roadmap!C"&amp; MATCH($E129,Roadmap!$D:$D,0)+COUNTIF($E129:G129,"u")+COUNTIF($E129:G129,"t"),
     INDEX(Roadmap!$D:$K,MATCH($E129,Roadmap!$D:$D,0)+COUNTIF($E129:G129,"u")+COUNTIF($E129:G129,"t")+COUNTIF($E129:G129,"¶")+COUNTIF($E129:G129,"²")+COUNTIF($E129:G129,"µ")+COUNTIF($E129:G129,1),ColTypeEcheance)),
  IF(LEN(G129)=1,
  IF(LEN(INDEX(Roadmap!$D:$K,MATCH($E129,Roadmap!$D:$D,0)-1+COUNTIF($E129:G129,"u")+COUNTIF($E129:G129,"t")+COUNTIF($E129:G129,"¶")+COUNTIF($E129:G129,"²")+COUNTIF($E129:G129,"µ")+COUNTIF($E129:G129,1),ColDescriptionCourte))&gt;1,
HYPERLINK("#Roadmap!C"&amp; MATCH($E129,Roadmap!$D:$D,0)+COUNTIF($E129:G129,"u")+COUNTIF($E129:G129,"t")+COUNTIF($E129:G129,"¶")+COUNTIF($E129:G129,"²")+COUNTIF($E129:G129,"µ")+COUNTIF($E129:G129,1)-1,INDEX(Roadmap!$D:$K,MATCH($E129,Roadmap!$D:$D,0)-1+COUNTIF($E129:G129,"u")+COUNTIF($E129:G129,"t")+COUNTIF($E129:G129,"¶")+COUNTIF($E129:G129,"²")+COUNTIF($E129:G129,"µ")+COUNTIF($E129:G129,1),ColDescriptionCourte)),""),
  "")),"")</f>
        <v/>
      </c>
      <c r="I129" s="40" t="str">
        <f ca="1">IFERROR(IF(AND(
  INDEX(Roadmap!$D:$K,MATCH($E129,Roadmap!$D:$D,0)+COUNTIF($E129:H129,"u")+COUNTIF($E129:H129,"t")+COUNTIF($E129:H129,"¶")+COUNTIF($E129:H129,"²")+COUNTIF($E129:H129,"µ")+COUNTIF($E129:H129,1),ColLivraison)=I$6,
  VLOOKUP($E129,INDIRECT("tri!"&amp; CHAR(64+ C0Col) &amp;":"&amp; CHAR(65+C0Col)),2,FALSE)&gt;COUNTIF($E129:H129,"u")+COUNTIF($E129:H129,"t")+COUNTIF($E129:H129,"¶")+COUNTIF($E129:H129,"²")+COUNTIF($E129:H129,"µ")+COUNTIF($E129:H129,1)),
HYPERLINK("#Roadmap!C"&amp; MATCH($E129,Roadmap!$D:$D,0)+COUNTIF($E129:H129,"u")+COUNTIF($E129:H129,"t"),
     INDEX(Roadmap!$D:$K,MATCH($E129,Roadmap!$D:$D,0)+COUNTIF($E129:H129,"u")+COUNTIF($E129:H129,"t")+COUNTIF($E129:H129,"¶")+COUNTIF($E129:H129,"²")+COUNTIF($E129:H129,"µ")+COUNTIF($E129:H129,1),ColTypeEcheance)),
  IF(LEN(H129)=1,
  IF(LEN(INDEX(Roadmap!$D:$K,MATCH($E129,Roadmap!$D:$D,0)-1+COUNTIF($E129:H129,"u")+COUNTIF($E129:H129,"t")+COUNTIF($E129:H129,"¶")+COUNTIF($E129:H129,"²")+COUNTIF($E129:H129,"µ")+COUNTIF($E129:H129,1),ColDescriptionCourte))&gt;1,
HYPERLINK("#Roadmap!C"&amp; MATCH($E129,Roadmap!$D:$D,0)+COUNTIF($E129:H129,"u")+COUNTIF($E129:H129,"t")+COUNTIF($E129:H129,"¶")+COUNTIF($E129:H129,"²")+COUNTIF($E129:H129,"µ")+COUNTIF($E129:H129,1)-1,INDEX(Roadmap!$D:$K,MATCH($E129,Roadmap!$D:$D,0)-1+COUNTIF($E129:H129,"u")+COUNTIF($E129:H129,"t")+COUNTIF($E129:H129,"¶")+COUNTIF($E129:H129,"²")+COUNTIF($E129:H129,"µ")+COUNTIF($E129:H129,1),ColDescriptionCourte)),""),
  "")),"")</f>
        <v/>
      </c>
      <c r="J129" s="40" t="str">
        <f ca="1">IFERROR(IF(AND(
  INDEX(Roadmap!$D:$K,MATCH($E129,Roadmap!$D:$D,0)+COUNTIF($E129:I129,"u")+COUNTIF($E129:I129,"t")+COUNTIF($E129:I129,"¶")+COUNTIF($E129:I129,"²")+COUNTIF($E129:I129,"µ")+COUNTIF($E129:I129,1),ColLivraison)=J$6,
  VLOOKUP($E129,INDIRECT("tri!"&amp; CHAR(64+ C0Col) &amp;":"&amp; CHAR(65+C0Col)),2,FALSE)&gt;COUNTIF($E129:I129,"u")+COUNTIF($E129:I129,"t")+COUNTIF($E129:I129,"¶")+COUNTIF($E129:I129,"²")+COUNTIF($E129:I129,"µ")+COUNTIF($E129:I129,1)),
HYPERLINK("#Roadmap!C"&amp; MATCH($E129,Roadmap!$D:$D,0)+COUNTIF($E129:I129,"u")+COUNTIF($E129:I129,"t"),
     INDEX(Roadmap!$D:$K,MATCH($E129,Roadmap!$D:$D,0)+COUNTIF($E129:I129,"u")+COUNTIF($E129:I129,"t")+COUNTIF($E129:I129,"¶")+COUNTIF($E129:I129,"²")+COUNTIF($E129:I129,"µ")+COUNTIF($E129:I129,1),ColTypeEcheance)),
  IF(LEN(I129)=1,
  IF(LEN(INDEX(Roadmap!$D:$K,MATCH($E129,Roadmap!$D:$D,0)-1+COUNTIF($E129:I129,"u")+COUNTIF($E129:I129,"t")+COUNTIF($E129:I129,"¶")+COUNTIF($E129:I129,"²")+COUNTIF($E129:I129,"µ")+COUNTIF($E129:I129,1),ColDescriptionCourte))&gt;1,
HYPERLINK("#Roadmap!C"&amp; MATCH($E129,Roadmap!$D:$D,0)+COUNTIF($E129:I129,"u")+COUNTIF($E129:I129,"t")+COUNTIF($E129:I129,"¶")+COUNTIF($E129:I129,"²")+COUNTIF($E129:I129,"µ")+COUNTIF($E129:I129,1)-1,INDEX(Roadmap!$D:$K,MATCH($E129,Roadmap!$D:$D,0)-1+COUNTIF($E129:I129,"u")+COUNTIF($E129:I129,"t")+COUNTIF($E129:I129,"¶")+COUNTIF($E129:I129,"²")+COUNTIF($E129:I129,"µ")+COUNTIF($E129:I129,1),ColDescriptionCourte)),""),
  "")),"")</f>
        <v/>
      </c>
      <c r="K129" s="40" t="str">
        <f ca="1">IFERROR(IF(AND(
  INDEX(Roadmap!$D:$K,MATCH($E129,Roadmap!$D:$D,0)+COUNTIF($E129:J129,"u")+COUNTIF($E129:J129,"t")+COUNTIF($E129:J129,"¶")+COUNTIF($E129:J129,"²")+COUNTIF($E129:J129,"µ")+COUNTIF($E129:J129,1),ColLivraison)=K$6,
  VLOOKUP($E129,INDIRECT("tri!"&amp; CHAR(64+ C0Col) &amp;":"&amp; CHAR(65+C0Col)),2,FALSE)&gt;COUNTIF($E129:J129,"u")+COUNTIF($E129:J129,"t")+COUNTIF($E129:J129,"¶")+COUNTIF($E129:J129,"²")+COUNTIF($E129:J129,"µ")+COUNTIF($E129:J129,1)),
HYPERLINK("#Roadmap!C"&amp; MATCH($E129,Roadmap!$D:$D,0)+COUNTIF($E129:J129,"u")+COUNTIF($E129:J129,"t"),
     INDEX(Roadmap!$D:$K,MATCH($E129,Roadmap!$D:$D,0)+COUNTIF($E129:J129,"u")+COUNTIF($E129:J129,"t")+COUNTIF($E129:J129,"¶")+COUNTIF($E129:J129,"²")+COUNTIF($E129:J129,"µ")+COUNTIF($E129:J129,1),ColTypeEcheance)),
  IF(LEN(J129)=1,
  IF(LEN(INDEX(Roadmap!$D:$K,MATCH($E129,Roadmap!$D:$D,0)-1+COUNTIF($E129:J129,"u")+COUNTIF($E129:J129,"t")+COUNTIF($E129:J129,"¶")+COUNTIF($E129:J129,"²")+COUNTIF($E129:J129,"µ")+COUNTIF($E129:J129,1),ColDescriptionCourte))&gt;1,
HYPERLINK("#Roadmap!C"&amp; MATCH($E129,Roadmap!$D:$D,0)+COUNTIF($E129:J129,"u")+COUNTIF($E129:J129,"t")+COUNTIF($E129:J129,"¶")+COUNTIF($E129:J129,"²")+COUNTIF($E129:J129,"µ")+COUNTIF($E129:J129,1)-1,INDEX(Roadmap!$D:$K,MATCH($E129,Roadmap!$D:$D,0)-1+COUNTIF($E129:J129,"u")+COUNTIF($E129:J129,"t")+COUNTIF($E129:J129,"¶")+COUNTIF($E129:J129,"²")+COUNTIF($E129:J129,"µ")+COUNTIF($E129:J129,1),ColDescriptionCourte)),""),
  "")),"")</f>
        <v/>
      </c>
      <c r="L129" s="39" t="str">
        <f ca="1">IFERROR(IF(AND(
  INDEX(Roadmap!$D:$K,MATCH($E129,Roadmap!$D:$D,0)+COUNTIF($E129:K129,"u")+COUNTIF($E129:K129,"t")+COUNTIF($E129:K129,"¶")+COUNTIF($E129:K129,"²")+COUNTIF($E129:K129,"µ")+COUNTIF($E129:K129,1),ColLivraison)=L$6,
  VLOOKUP($E129,INDIRECT("tri!"&amp; CHAR(64+ C0Col) &amp;":"&amp; CHAR(65+C0Col)),2,FALSE)&gt;COUNTIF($E129:K129,"u")+COUNTIF($E129:K129,"t")+COUNTIF($E129:K129,"¶")+COUNTIF($E129:K129,"²")+COUNTIF($E129:K129,"µ")+COUNTIF($E129:K129,1)),
HYPERLINK("#Roadmap!C"&amp; MATCH($E129,Roadmap!$D:$D,0)+COUNTIF($E129:K129,"u")+COUNTIF($E129:K129,"t"),
     INDEX(Roadmap!$D:$K,MATCH($E129,Roadmap!$D:$D,0)+COUNTIF($E129:K129,"u")+COUNTIF($E129:K129,"t")+COUNTIF($E129:K129,"¶")+COUNTIF($E129:K129,"²")+COUNTIF($E129:K129,"µ")+COUNTIF($E129:K129,1),ColTypeEcheance)),
  IF(LEN(K129)=1,
  IF(LEN(INDEX(Roadmap!$D:$K,MATCH($E129,Roadmap!$D:$D,0)-1+COUNTIF($E129:K129,"u")+COUNTIF($E129:K129,"t")+COUNTIF($E129:K129,"¶")+COUNTIF($E129:K129,"²")+COUNTIF($E129:K129,"µ")+COUNTIF($E129:K129,1),ColDescriptionCourte))&gt;1,
HYPERLINK("#Roadmap!C"&amp; MATCH($E129,Roadmap!$D:$D,0)+COUNTIF($E129:K129,"u")+COUNTIF($E129:K129,"t")+COUNTIF($E129:K129,"¶")+COUNTIF($E129:K129,"²")+COUNTIF($E129:K129,"µ")+COUNTIF($E129:K129,1)-1,INDEX(Roadmap!$D:$K,MATCH($E129,Roadmap!$D:$D,0)-1+COUNTIF($E129:K129,"u")+COUNTIF($E129:K129,"t")+COUNTIF($E129:K129,"¶")+COUNTIF($E129:K129,"²")+COUNTIF($E129:K129,"µ")+COUNTIF($E129:K129,1),ColDescriptionCourte)),""),
  "")),"")</f>
        <v/>
      </c>
      <c r="M129" s="40" t="str">
        <f ca="1">IFERROR(IF(AND(
  INDEX(Roadmap!$D:$K,MATCH($E129,Roadmap!$D:$D,0)+COUNTIF($E129:L129,"u")+COUNTIF($E129:L129,"t")+COUNTIF($E129:L129,"¶")+COUNTIF($E129:L129,"²")+COUNTIF($E129:L129,"µ")+COUNTIF($E129:L129,1),ColLivraison)=M$6,
  VLOOKUP($E129,INDIRECT("tri!"&amp; CHAR(64+ C0Col) &amp;":"&amp; CHAR(65+C0Col)),2,FALSE)&gt;COUNTIF($E129:L129,"u")+COUNTIF($E129:L129,"t")+COUNTIF($E129:L129,"¶")+COUNTIF($E129:L129,"²")+COUNTIF($E129:L129,"µ")+COUNTIF($E129:L129,1)),
HYPERLINK("#Roadmap!C"&amp; MATCH($E129,Roadmap!$D:$D,0)+COUNTIF($E129:L129,"u")+COUNTIF($E129:L129,"t"),
     INDEX(Roadmap!$D:$K,MATCH($E129,Roadmap!$D:$D,0)+COUNTIF($E129:L129,"u")+COUNTIF($E129:L129,"t")+COUNTIF($E129:L129,"¶")+COUNTIF($E129:L129,"²")+COUNTIF($E129:L129,"µ")+COUNTIF($E129:L129,1),ColTypeEcheance)),
  IF(LEN(L129)=1,
  IF(LEN(INDEX(Roadmap!$D:$K,MATCH($E129,Roadmap!$D:$D,0)-1+COUNTIF($E129:L129,"u")+COUNTIF($E129:L129,"t")+COUNTIF($E129:L129,"¶")+COUNTIF($E129:L129,"²")+COUNTIF($E129:L129,"µ")+COUNTIF($E129:L129,1),ColDescriptionCourte))&gt;1,
HYPERLINK("#Roadmap!C"&amp; MATCH($E129,Roadmap!$D:$D,0)+COUNTIF($E129:L129,"u")+COUNTIF($E129:L129,"t")+COUNTIF($E129:L129,"¶")+COUNTIF($E129:L129,"²")+COUNTIF($E129:L129,"µ")+COUNTIF($E129:L129,1)-1,INDEX(Roadmap!$D:$K,MATCH($E129,Roadmap!$D:$D,0)-1+COUNTIF($E129:L129,"u")+COUNTIF($E129:L129,"t")+COUNTIF($E129:L129,"¶")+COUNTIF($E129:L129,"²")+COUNTIF($E129:L129,"µ")+COUNTIF($E129:L129,1),ColDescriptionCourte)),""),
  "")),"")</f>
        <v/>
      </c>
      <c r="N129" s="40" t="str">
        <f ca="1">IFERROR(IF(AND(
  INDEX(Roadmap!$D:$K,MATCH($E129,Roadmap!$D:$D,0)+COUNTIF($E129:M129,"u")+COUNTIF($E129:M129,"t")+COUNTIF($E129:M129,"¶")+COUNTIF($E129:M129,"²")+COUNTIF($E129:M129,"µ")+COUNTIF($E129:M129,1),ColLivraison)=N$6,
  VLOOKUP($E129,INDIRECT("tri!"&amp; CHAR(64+ C0Col) &amp;":"&amp; CHAR(65+C0Col)),2,FALSE)&gt;COUNTIF($E129:M129,"u")+COUNTIF($E129:M129,"t")+COUNTIF($E129:M129,"¶")+COUNTIF($E129:M129,"²")+COUNTIF($E129:M129,"µ")+COUNTIF($E129:M129,1)),
HYPERLINK("#Roadmap!C"&amp; MATCH($E129,Roadmap!$D:$D,0)+COUNTIF($E129:M129,"u")+COUNTIF($E129:M129,"t"),
     INDEX(Roadmap!$D:$K,MATCH($E129,Roadmap!$D:$D,0)+COUNTIF($E129:M129,"u")+COUNTIF($E129:M129,"t")+COUNTIF($E129:M129,"¶")+COUNTIF($E129:M129,"²")+COUNTIF($E129:M129,"µ")+COUNTIF($E129:M129,1),ColTypeEcheance)),
  IF(LEN(M129)=1,
  IF(LEN(INDEX(Roadmap!$D:$K,MATCH($E129,Roadmap!$D:$D,0)-1+COUNTIF($E129:M129,"u")+COUNTIF($E129:M129,"t")+COUNTIF($E129:M129,"¶")+COUNTIF($E129:M129,"²")+COUNTIF($E129:M129,"µ")+COUNTIF($E129:M129,1),ColDescriptionCourte))&gt;1,
HYPERLINK("#Roadmap!C"&amp; MATCH($E129,Roadmap!$D:$D,0)+COUNTIF($E129:M129,"u")+COUNTIF($E129:M129,"t")+COUNTIF($E129:M129,"¶")+COUNTIF($E129:M129,"²")+COUNTIF($E129:M129,"µ")+COUNTIF($E129:M129,1)-1,INDEX(Roadmap!$D:$K,MATCH($E129,Roadmap!$D:$D,0)-1+COUNTIF($E129:M129,"u")+COUNTIF($E129:M129,"t")+COUNTIF($E129:M129,"¶")+COUNTIF($E129:M129,"²")+COUNTIF($E129:M129,"µ")+COUNTIF($E129:M129,1),ColDescriptionCourte)),""),
  "")),"")</f>
        <v/>
      </c>
      <c r="O129" s="40" t="str">
        <f ca="1">IFERROR(IF(AND(
  INDEX(Roadmap!$D:$K,MATCH($E129,Roadmap!$D:$D,0)+COUNTIF($E129:N129,"u")+COUNTIF($E129:N129,"t")+COUNTIF($E129:N129,"¶")+COUNTIF($E129:N129,"²")+COUNTIF($E129:N129,"µ")+COUNTIF($E129:N129,1),ColLivraison)=O$6,
  VLOOKUP($E129,INDIRECT("tri!"&amp; CHAR(64+ C0Col) &amp;":"&amp; CHAR(65+C0Col)),2,FALSE)&gt;COUNTIF($E129:N129,"u")+COUNTIF($E129:N129,"t")+COUNTIF($E129:N129,"¶")+COUNTIF($E129:N129,"²")+COUNTIF($E129:N129,"µ")+COUNTIF($E129:N129,1)),
HYPERLINK("#Roadmap!C"&amp; MATCH($E129,Roadmap!$D:$D,0)+COUNTIF($E129:N129,"u")+COUNTIF($E129:N129,"t"),
     INDEX(Roadmap!$D:$K,MATCH($E129,Roadmap!$D:$D,0)+COUNTIF($E129:N129,"u")+COUNTIF($E129:N129,"t")+COUNTIF($E129:N129,"¶")+COUNTIF($E129:N129,"²")+COUNTIF($E129:N129,"µ")+COUNTIF($E129:N129,1),ColTypeEcheance)),
  IF(LEN(N129)=1,
  IF(LEN(INDEX(Roadmap!$D:$K,MATCH($E129,Roadmap!$D:$D,0)-1+COUNTIF($E129:N129,"u")+COUNTIF($E129:N129,"t")+COUNTIF($E129:N129,"¶")+COUNTIF($E129:N129,"²")+COUNTIF($E129:N129,"µ")+COUNTIF($E129:N129,1),ColDescriptionCourte))&gt;1,
HYPERLINK("#Roadmap!C"&amp; MATCH($E129,Roadmap!$D:$D,0)+COUNTIF($E129:N129,"u")+COUNTIF($E129:N129,"t")+COUNTIF($E129:N129,"¶")+COUNTIF($E129:N129,"²")+COUNTIF($E129:N129,"µ")+COUNTIF($E129:N129,1)-1,INDEX(Roadmap!$D:$K,MATCH($E129,Roadmap!$D:$D,0)-1+COUNTIF($E129:N129,"u")+COUNTIF($E129:N129,"t")+COUNTIF($E129:N129,"¶")+COUNTIF($E129:N129,"²")+COUNTIF($E129:N129,"µ")+COUNTIF($E129:N129,1),ColDescriptionCourte)),""),
  "")),"")</f>
        <v/>
      </c>
      <c r="P129" s="40" t="str">
        <f ca="1">IFERROR(IF(AND(
  INDEX(Roadmap!$D:$K,MATCH($E129,Roadmap!$D:$D,0)+COUNTIF($E129:O129,"u")+COUNTIF($E129:O129,"t")+COUNTIF($E129:O129,"¶")+COUNTIF($E129:O129,"²")+COUNTIF($E129:O129,"µ")+COUNTIF($E129:O129,1),ColLivraison)=P$6,
  VLOOKUP($E129,INDIRECT("tri!"&amp; CHAR(64+ C0Col) &amp;":"&amp; CHAR(65+C0Col)),2,FALSE)&gt;COUNTIF($E129:O129,"u")+COUNTIF($E129:O129,"t")+COUNTIF($E129:O129,"¶")+COUNTIF($E129:O129,"²")+COUNTIF($E129:O129,"µ")+COUNTIF($E129:O129,1)),
HYPERLINK("#Roadmap!C"&amp; MATCH($E129,Roadmap!$D:$D,0)+COUNTIF($E129:O129,"u")+COUNTIF($E129:O129,"t"),
     INDEX(Roadmap!$D:$K,MATCH($E129,Roadmap!$D:$D,0)+COUNTIF($E129:O129,"u")+COUNTIF($E129:O129,"t")+COUNTIF($E129:O129,"¶")+COUNTIF($E129:O129,"²")+COUNTIF($E129:O129,"µ")+COUNTIF($E129:O129,1),ColTypeEcheance)),
  IF(LEN(O129)=1,
  IF(LEN(INDEX(Roadmap!$D:$K,MATCH($E129,Roadmap!$D:$D,0)-1+COUNTIF($E129:O129,"u")+COUNTIF($E129:O129,"t")+COUNTIF($E129:O129,"¶")+COUNTIF($E129:O129,"²")+COUNTIF($E129:O129,"µ")+COUNTIF($E129:O129,1),ColDescriptionCourte))&gt;1,
HYPERLINK("#Roadmap!C"&amp; MATCH($E129,Roadmap!$D:$D,0)+COUNTIF($E129:O129,"u")+COUNTIF($E129:O129,"t")+COUNTIF($E129:O129,"¶")+COUNTIF($E129:O129,"²")+COUNTIF($E129:O129,"µ")+COUNTIF($E129:O129,1)-1,INDEX(Roadmap!$D:$K,MATCH($E129,Roadmap!$D:$D,0)-1+COUNTIF($E129:O129,"u")+COUNTIF($E129:O129,"t")+COUNTIF($E129:O129,"¶")+COUNTIF($E129:O129,"²")+COUNTIF($E129:O129,"µ")+COUNTIF($E129:O129,1),ColDescriptionCourte)),""),
  "")),"")</f>
        <v/>
      </c>
      <c r="Q129" s="40" t="str">
        <f ca="1">IFERROR(IF(AND(
  INDEX(Roadmap!$D:$K,MATCH($E129,Roadmap!$D:$D,0)+COUNTIF($E129:P129,"u")+COUNTIF($E129:P129,"t")+COUNTIF($E129:P129,"¶")+COUNTIF($E129:P129,"²")+COUNTIF($E129:P129,"µ")+COUNTIF($E129:P129,1),ColLivraison)=Q$6,
  VLOOKUP($E129,INDIRECT("tri!"&amp; CHAR(64+ C0Col) &amp;":"&amp; CHAR(65+C0Col)),2,FALSE)&gt;COUNTIF($E129:P129,"u")+COUNTIF($E129:P129,"t")+COUNTIF($E129:P129,"¶")+COUNTIF($E129:P129,"²")+COUNTIF($E129:P129,"µ")+COUNTIF($E129:P129,1)),
HYPERLINK("#Roadmap!C"&amp; MATCH($E129,Roadmap!$D:$D,0)+COUNTIF($E129:P129,"u")+COUNTIF($E129:P129,"t"),
     INDEX(Roadmap!$D:$K,MATCH($E129,Roadmap!$D:$D,0)+COUNTIF($E129:P129,"u")+COUNTIF($E129:P129,"t")+COUNTIF($E129:P129,"¶")+COUNTIF($E129:P129,"²")+COUNTIF($E129:P129,"µ")+COUNTIF($E129:P129,1),ColTypeEcheance)),
  IF(LEN(P129)=1,
  IF(LEN(INDEX(Roadmap!$D:$K,MATCH($E129,Roadmap!$D:$D,0)-1+COUNTIF($E129:P129,"u")+COUNTIF($E129:P129,"t")+COUNTIF($E129:P129,"¶")+COUNTIF($E129:P129,"²")+COUNTIF($E129:P129,"µ")+COUNTIF($E129:P129,1),ColDescriptionCourte))&gt;1,
HYPERLINK("#Roadmap!C"&amp; MATCH($E129,Roadmap!$D:$D,0)+COUNTIF($E129:P129,"u")+COUNTIF($E129:P129,"t")+COUNTIF($E129:P129,"¶")+COUNTIF($E129:P129,"²")+COUNTIF($E129:P129,"µ")+COUNTIF($E129:P129,1)-1,INDEX(Roadmap!$D:$K,MATCH($E129,Roadmap!$D:$D,0)-1+COUNTIF($E129:P129,"u")+COUNTIF($E129:P129,"t")+COUNTIF($E129:P129,"¶")+COUNTIF($E129:P129,"²")+COUNTIF($E129:P129,"µ")+COUNTIF($E129:P129,1),ColDescriptionCourte)),""),
  "")),"")</f>
        <v/>
      </c>
      <c r="R129" s="40" t="str">
        <f ca="1">IFERROR(IF(AND(
  INDEX(Roadmap!$D:$K,MATCH($E129,Roadmap!$D:$D,0)+COUNTIF($E129:Q129,"u")+COUNTIF($E129:Q129,"t")+COUNTIF($E129:Q129,"¶")+COUNTIF($E129:Q129,"²")+COUNTIF($E129:Q129,"µ")+COUNTIF($E129:Q129,1),ColLivraison)=R$6,
  VLOOKUP($E129,INDIRECT("tri!"&amp; CHAR(64+ C0Col) &amp;":"&amp; CHAR(65+C0Col)),2,FALSE)&gt;COUNTIF($E129:Q129,"u")+COUNTIF($E129:Q129,"t")+COUNTIF($E129:Q129,"¶")+COUNTIF($E129:Q129,"²")+COUNTIF($E129:Q129,"µ")+COUNTIF($E129:Q129,1)),
HYPERLINK("#Roadmap!C"&amp; MATCH($E129,Roadmap!$D:$D,0)+COUNTIF($E129:Q129,"u")+COUNTIF($E129:Q129,"t"),
     INDEX(Roadmap!$D:$K,MATCH($E129,Roadmap!$D:$D,0)+COUNTIF($E129:Q129,"u")+COUNTIF($E129:Q129,"t")+COUNTIF($E129:Q129,"¶")+COUNTIF($E129:Q129,"²")+COUNTIF($E129:Q129,"µ")+COUNTIF($E129:Q129,1),ColTypeEcheance)),
  IF(LEN(Q129)=1,
  IF(LEN(INDEX(Roadmap!$D:$K,MATCH($E129,Roadmap!$D:$D,0)-1+COUNTIF($E129:Q129,"u")+COUNTIF($E129:Q129,"t")+COUNTIF($E129:Q129,"¶")+COUNTIF($E129:Q129,"²")+COUNTIF($E129:Q129,"µ")+COUNTIF($E129:Q129,1),ColDescriptionCourte))&gt;1,
HYPERLINK("#Roadmap!C"&amp; MATCH($E129,Roadmap!$D:$D,0)+COUNTIF($E129:Q129,"u")+COUNTIF($E129:Q129,"t")+COUNTIF($E129:Q129,"¶")+COUNTIF($E129:Q129,"²")+COUNTIF($E129:Q129,"µ")+COUNTIF($E129:Q129,1)-1,INDEX(Roadmap!$D:$K,MATCH($E129,Roadmap!$D:$D,0)-1+COUNTIF($E129:Q129,"u")+COUNTIF($E129:Q129,"t")+COUNTIF($E129:Q129,"¶")+COUNTIF($E129:Q129,"²")+COUNTIF($E129:Q129,"µ")+COUNTIF($E129:Q129,1),ColDescriptionCourte)),""),
  "")),"")</f>
        <v/>
      </c>
      <c r="S129" s="40" t="str">
        <f ca="1">IFERROR(IF(AND(
  INDEX(Roadmap!$D:$K,MATCH($E129,Roadmap!$D:$D,0)+COUNTIF($E129:R129,"u")+COUNTIF($E129:R129,"t")+COUNTIF($E129:R129,"¶")+COUNTIF($E129:R129,"²")+COUNTIF($E129:R129,"µ")+COUNTIF($E129:R129,1),ColLivraison)=S$6,
  VLOOKUP($E129,INDIRECT("tri!"&amp; CHAR(64+ C0Col) &amp;":"&amp; CHAR(65+C0Col)),2,FALSE)&gt;COUNTIF($E129:R129,"u")+COUNTIF($E129:R129,"t")+COUNTIF($E129:R129,"¶")+COUNTIF($E129:R129,"²")+COUNTIF($E129:R129,"µ")+COUNTIF($E129:R129,1)),
HYPERLINK("#Roadmap!C"&amp; MATCH($E129,Roadmap!$D:$D,0)+COUNTIF($E129:R129,"u")+COUNTIF($E129:R129,"t"),
     INDEX(Roadmap!$D:$K,MATCH($E129,Roadmap!$D:$D,0)+COUNTIF($E129:R129,"u")+COUNTIF($E129:R129,"t")+COUNTIF($E129:R129,"¶")+COUNTIF($E129:R129,"²")+COUNTIF($E129:R129,"µ")+COUNTIF($E129:R129,1),ColTypeEcheance)),
  IF(LEN(R129)=1,
  IF(LEN(INDEX(Roadmap!$D:$K,MATCH($E129,Roadmap!$D:$D,0)-1+COUNTIF($E129:R129,"u")+COUNTIF($E129:R129,"t")+COUNTIF($E129:R129,"¶")+COUNTIF($E129:R129,"²")+COUNTIF($E129:R129,"µ")+COUNTIF($E129:R129,1),ColDescriptionCourte))&gt;1,
HYPERLINK("#Roadmap!C"&amp; MATCH($E129,Roadmap!$D:$D,0)+COUNTIF($E129:R129,"u")+COUNTIF($E129:R129,"t")+COUNTIF($E129:R129,"¶")+COUNTIF($E129:R129,"²")+COUNTIF($E129:R129,"µ")+COUNTIF($E129:R129,1)-1,INDEX(Roadmap!$D:$K,MATCH($E129,Roadmap!$D:$D,0)-1+COUNTIF($E129:R129,"u")+COUNTIF($E129:R129,"t")+COUNTIF($E129:R129,"¶")+COUNTIF($E129:R129,"²")+COUNTIF($E129:R129,"µ")+COUNTIF($E129:R129,1),ColDescriptionCourte)),""),
  "")),"")</f>
        <v/>
      </c>
      <c r="T129" s="40" t="str">
        <f ca="1">IFERROR(IF(AND(
  INDEX(Roadmap!$D:$K,MATCH($E129,Roadmap!$D:$D,0)+COUNTIF($E129:S129,"u")+COUNTIF($E129:S129,"t")+COUNTIF($E129:S129,"¶")+COUNTIF($E129:S129,"²")+COUNTIF($E129:S129,"µ")+COUNTIF($E129:S129,1),ColLivraison)=T$6,
  VLOOKUP($E129,INDIRECT("tri!"&amp; CHAR(64+ C0Col) &amp;":"&amp; CHAR(65+C0Col)),2,FALSE)&gt;COUNTIF($E129:S129,"u")+COUNTIF($E129:S129,"t")+COUNTIF($E129:S129,"¶")+COUNTIF($E129:S129,"²")+COUNTIF($E129:S129,"µ")+COUNTIF($E129:S129,1)),
HYPERLINK("#Roadmap!C"&amp; MATCH($E129,Roadmap!$D:$D,0)+COUNTIF($E129:S129,"u")+COUNTIF($E129:S129,"t"),
     INDEX(Roadmap!$D:$K,MATCH($E129,Roadmap!$D:$D,0)+COUNTIF($E129:S129,"u")+COUNTIF($E129:S129,"t")+COUNTIF($E129:S129,"¶")+COUNTIF($E129:S129,"²")+COUNTIF($E129:S129,"µ")+COUNTIF($E129:S129,1),ColTypeEcheance)),
  IF(LEN(S129)=1,
  IF(LEN(INDEX(Roadmap!$D:$K,MATCH($E129,Roadmap!$D:$D,0)-1+COUNTIF($E129:S129,"u")+COUNTIF($E129:S129,"t")+COUNTIF($E129:S129,"¶")+COUNTIF($E129:S129,"²")+COUNTIF($E129:S129,"µ")+COUNTIF($E129:S129,1),ColDescriptionCourte))&gt;1,
HYPERLINK("#Roadmap!C"&amp; MATCH($E129,Roadmap!$D:$D,0)+COUNTIF($E129:S129,"u")+COUNTIF($E129:S129,"t")+COUNTIF($E129:S129,"¶")+COUNTIF($E129:S129,"²")+COUNTIF($E129:S129,"µ")+COUNTIF($E129:S129,1)-1,INDEX(Roadmap!$D:$K,MATCH($E129,Roadmap!$D:$D,0)-1+COUNTIF($E129:S129,"u")+COUNTIF($E129:S129,"t")+COUNTIF($E129:S129,"¶")+COUNTIF($E129:S129,"²")+COUNTIF($E129:S129,"µ")+COUNTIF($E129:S129,1),ColDescriptionCourte)),""),
  "")),"")</f>
        <v/>
      </c>
      <c r="U129" s="40" t="str">
        <f ca="1">IFERROR(IF(AND(
  INDEX(Roadmap!$D:$K,MATCH($E129,Roadmap!$D:$D,0)+COUNTIF($E129:T129,"u")+COUNTIF($E129:T129,"t")+COUNTIF($E129:T129,"¶")+COUNTIF($E129:T129,"²")+COUNTIF($E129:T129,"µ")+COUNTIF($E129:T129,1),ColLivraison)=U$6,
  VLOOKUP($E129,INDIRECT("tri!"&amp; CHAR(64+ C0Col) &amp;":"&amp; CHAR(65+C0Col)),2,FALSE)&gt;COUNTIF($E129:T129,"u")+COUNTIF($E129:T129,"t")+COUNTIF($E129:T129,"¶")+COUNTIF($E129:T129,"²")+COUNTIF($E129:T129,"µ")+COUNTIF($E129:T129,1)),
HYPERLINK("#Roadmap!C"&amp; MATCH($E129,Roadmap!$D:$D,0)+COUNTIF($E129:T129,"u")+COUNTIF($E129:T129,"t"),
     INDEX(Roadmap!$D:$K,MATCH($E129,Roadmap!$D:$D,0)+COUNTIF($E129:T129,"u")+COUNTIF($E129:T129,"t")+COUNTIF($E129:T129,"¶")+COUNTIF($E129:T129,"²")+COUNTIF($E129:T129,"µ")+COUNTIF($E129:T129,1),ColTypeEcheance)),
  IF(LEN(T129)=1,
  IF(LEN(INDEX(Roadmap!$D:$K,MATCH($E129,Roadmap!$D:$D,0)-1+COUNTIF($E129:T129,"u")+COUNTIF($E129:T129,"t")+COUNTIF($E129:T129,"¶")+COUNTIF($E129:T129,"²")+COUNTIF($E129:T129,"µ")+COUNTIF($E129:T129,1),ColDescriptionCourte))&gt;1,
HYPERLINK("#Roadmap!C"&amp; MATCH($E129,Roadmap!$D:$D,0)+COUNTIF($E129:T129,"u")+COUNTIF($E129:T129,"t")+COUNTIF($E129:T129,"¶")+COUNTIF($E129:T129,"²")+COUNTIF($E129:T129,"µ")+COUNTIF($E129:T129,1)-1,INDEX(Roadmap!$D:$K,MATCH($E129,Roadmap!$D:$D,0)-1+COUNTIF($E129:T129,"u")+COUNTIF($E129:T129,"t")+COUNTIF($E129:T129,"¶")+COUNTIF($E129:T129,"²")+COUNTIF($E129:T129,"µ")+COUNTIF($E129:T129,1),ColDescriptionCourte)),""),
  "")),"")</f>
        <v/>
      </c>
      <c r="V129" s="40" t="str">
        <f ca="1">IFERROR(IF(AND(
  INDEX(Roadmap!$D:$K,MATCH($E129,Roadmap!$D:$D,0)+COUNTIF($E129:U129,"u")+COUNTIF($E129:U129,"t")+COUNTIF($E129:U129,"¶")+COUNTIF($E129:U129,"²")+COUNTIF($E129:U129,"µ")+COUNTIF($E129:U129,1),ColLivraison)=V$6,
  VLOOKUP($E129,INDIRECT("tri!"&amp; CHAR(64+ C0Col) &amp;":"&amp; CHAR(65+C0Col)),2,FALSE)&gt;COUNTIF($E129:U129,"u")+COUNTIF($E129:U129,"t")+COUNTIF($E129:U129,"¶")+COUNTIF($E129:U129,"²")+COUNTIF($E129:U129,"µ")+COUNTIF($E129:U129,1)),
HYPERLINK("#Roadmap!C"&amp; MATCH($E129,Roadmap!$D:$D,0)+COUNTIF($E129:U129,"u")+COUNTIF($E129:U129,"t"),
     INDEX(Roadmap!$D:$K,MATCH($E129,Roadmap!$D:$D,0)+COUNTIF($E129:U129,"u")+COUNTIF($E129:U129,"t")+COUNTIF($E129:U129,"¶")+COUNTIF($E129:U129,"²")+COUNTIF($E129:U129,"µ")+COUNTIF($E129:U129,1),ColTypeEcheance)),
  IF(LEN(U129)=1,
  IF(LEN(INDEX(Roadmap!$D:$K,MATCH($E129,Roadmap!$D:$D,0)-1+COUNTIF($E129:U129,"u")+COUNTIF($E129:U129,"t")+COUNTIF($E129:U129,"¶")+COUNTIF($E129:U129,"²")+COUNTIF($E129:U129,"µ")+COUNTIF($E129:U129,1),ColDescriptionCourte))&gt;1,
HYPERLINK("#Roadmap!C"&amp; MATCH($E129,Roadmap!$D:$D,0)+COUNTIF($E129:U129,"u")+COUNTIF($E129:U129,"t")+COUNTIF($E129:U129,"¶")+COUNTIF($E129:U129,"²")+COUNTIF($E129:U129,"µ")+COUNTIF($E129:U129,1)-1,INDEX(Roadmap!$D:$K,MATCH($E129,Roadmap!$D:$D,0)-1+COUNTIF($E129:U129,"u")+COUNTIF($E129:U129,"t")+COUNTIF($E129:U129,"¶")+COUNTIF($E129:U129,"²")+COUNTIF($E129:U129,"µ")+COUNTIF($E129:U129,1),ColDescriptionCourte)),""),
  "")),"")</f>
        <v/>
      </c>
      <c r="W129" s="40" t="str">
        <f ca="1">IFERROR(IF(AND(
  INDEX(Roadmap!$D:$K,MATCH($E129,Roadmap!$D:$D,0)+COUNTIF($E129:V129,"u")+COUNTIF($E129:V129,"t")+COUNTIF($E129:V129,"¶")+COUNTIF($E129:V129,"²")+COUNTIF($E129:V129,"µ")+COUNTIF($E129:V129,1),ColLivraison)=W$6,
  VLOOKUP($E129,INDIRECT("tri!"&amp; CHAR(64+ C0Col) &amp;":"&amp; CHAR(65+C0Col)),2,FALSE)&gt;COUNTIF($E129:V129,"u")+COUNTIF($E129:V129,"t")+COUNTIF($E129:V129,"¶")+COUNTIF($E129:V129,"²")+COUNTIF($E129:V129,"µ")+COUNTIF($E129:V129,1)),
HYPERLINK("#Roadmap!C"&amp; MATCH($E129,Roadmap!$D:$D,0)+COUNTIF($E129:V129,"u")+COUNTIF($E129:V129,"t"),
     INDEX(Roadmap!$D:$K,MATCH($E129,Roadmap!$D:$D,0)+COUNTIF($E129:V129,"u")+COUNTIF($E129:V129,"t")+COUNTIF($E129:V129,"¶")+COUNTIF($E129:V129,"²")+COUNTIF($E129:V129,"µ")+COUNTIF($E129:V129,1),ColTypeEcheance)),
  IF(LEN(V129)=1,
  IF(LEN(INDEX(Roadmap!$D:$K,MATCH($E129,Roadmap!$D:$D,0)-1+COUNTIF($E129:V129,"u")+COUNTIF($E129:V129,"t")+COUNTIF($E129:V129,"¶")+COUNTIF($E129:V129,"²")+COUNTIF($E129:V129,"µ")+COUNTIF($E129:V129,1),ColDescriptionCourte))&gt;1,
HYPERLINK("#Roadmap!C"&amp; MATCH($E129,Roadmap!$D:$D,0)+COUNTIF($E129:V129,"u")+COUNTIF($E129:V129,"t")+COUNTIF($E129:V129,"¶")+COUNTIF($E129:V129,"²")+COUNTIF($E129:V129,"µ")+COUNTIF($E129:V129,1)-1,INDEX(Roadmap!$D:$K,MATCH($E129,Roadmap!$D:$D,0)-1+COUNTIF($E129:V129,"u")+COUNTIF($E129:V129,"t")+COUNTIF($E129:V129,"¶")+COUNTIF($E129:V129,"²")+COUNTIF($E129:V129,"µ")+COUNTIF($E129:V129,1),ColDescriptionCourte)),""),
  "")),"")</f>
        <v/>
      </c>
      <c r="X129" s="40" t="str">
        <f ca="1">IFERROR(IF(AND(
  INDEX(Roadmap!$D:$K,MATCH($E129,Roadmap!$D:$D,0)+COUNTIF($E129:W129,"u")+COUNTIF($E129:W129,"t")+COUNTIF($E129:W129,"¶")+COUNTIF($E129:W129,"²")+COUNTIF($E129:W129,"µ")+COUNTIF($E129:W129,1),ColLivraison)=X$6,
  VLOOKUP($E129,INDIRECT("tri!"&amp; CHAR(64+ C0Col) &amp;":"&amp; CHAR(65+C0Col)),2,FALSE)&gt;COUNTIF($E129:W129,"u")+COUNTIF($E129:W129,"t")+COUNTIF($E129:W129,"¶")+COUNTIF($E129:W129,"²")+COUNTIF($E129:W129,"µ")+COUNTIF($E129:W129,1)),
HYPERLINK("#Roadmap!C"&amp; MATCH($E129,Roadmap!$D:$D,0)+COUNTIF($E129:W129,"u")+COUNTIF($E129:W129,"t"),
     INDEX(Roadmap!$D:$K,MATCH($E129,Roadmap!$D:$D,0)+COUNTIF($E129:W129,"u")+COUNTIF($E129:W129,"t")+COUNTIF($E129:W129,"¶")+COUNTIF($E129:W129,"²")+COUNTIF($E129:W129,"µ")+COUNTIF($E129:W129,1),ColTypeEcheance)),
  IF(LEN(W129)=1,
  IF(LEN(INDEX(Roadmap!$D:$K,MATCH($E129,Roadmap!$D:$D,0)-1+COUNTIF($E129:W129,"u")+COUNTIF($E129:W129,"t")+COUNTIF($E129:W129,"¶")+COUNTIF($E129:W129,"²")+COUNTIF($E129:W129,"µ")+COUNTIF($E129:W129,1),ColDescriptionCourte))&gt;1,
HYPERLINK("#Roadmap!C"&amp; MATCH($E129,Roadmap!$D:$D,0)+COUNTIF($E129:W129,"u")+COUNTIF($E129:W129,"t")+COUNTIF($E129:W129,"¶")+COUNTIF($E129:W129,"²")+COUNTIF($E129:W129,"µ")+COUNTIF($E129:W129,1)-1,INDEX(Roadmap!$D:$K,MATCH($E129,Roadmap!$D:$D,0)-1+COUNTIF($E129:W129,"u")+COUNTIF($E129:W129,"t")+COUNTIF($E129:W129,"¶")+COUNTIF($E129:W129,"²")+COUNTIF($E129:W129,"µ")+COUNTIF($E129:W129,1),ColDescriptionCourte)),""),
  "")),"")</f>
        <v/>
      </c>
      <c r="Y129" s="40" t="str">
        <f ca="1">IFERROR(IF(AND(
  INDEX(Roadmap!$D:$K,MATCH($E129,Roadmap!$D:$D,0)+COUNTIF($E129:X129,"u")+COUNTIF($E129:X129,"t")+COUNTIF($E129:X129,"¶")+COUNTIF($E129:X129,"²")+COUNTIF($E129:X129,"µ")+COUNTIF($E129:X129,1),ColLivraison)=Y$6,
  VLOOKUP($E129,INDIRECT("tri!"&amp; CHAR(64+ C0Col) &amp;":"&amp; CHAR(65+C0Col)),2,FALSE)&gt;COUNTIF($E129:X129,"u")+COUNTIF($E129:X129,"t")+COUNTIF($E129:X129,"¶")+COUNTIF($E129:X129,"²")+COUNTIF($E129:X129,"µ")+COUNTIF($E129:X129,1)),
HYPERLINK("#Roadmap!C"&amp; MATCH($E129,Roadmap!$D:$D,0)+COUNTIF($E129:X129,"u")+COUNTIF($E129:X129,"t"),
     INDEX(Roadmap!$D:$K,MATCH($E129,Roadmap!$D:$D,0)+COUNTIF($E129:X129,"u")+COUNTIF($E129:X129,"t")+COUNTIF($E129:X129,"¶")+COUNTIF($E129:X129,"²")+COUNTIF($E129:X129,"µ")+COUNTIF($E129:X129,1),ColTypeEcheance)),
  IF(LEN(X129)=1,
  IF(LEN(INDEX(Roadmap!$D:$K,MATCH($E129,Roadmap!$D:$D,0)-1+COUNTIF($E129:X129,"u")+COUNTIF($E129:X129,"t")+COUNTIF($E129:X129,"¶")+COUNTIF($E129:X129,"²")+COUNTIF($E129:X129,"µ")+COUNTIF($E129:X129,1),ColDescriptionCourte))&gt;1,
HYPERLINK("#Roadmap!C"&amp; MATCH($E129,Roadmap!$D:$D,0)+COUNTIF($E129:X129,"u")+COUNTIF($E129:X129,"t")+COUNTIF($E129:X129,"¶")+COUNTIF($E129:X129,"²")+COUNTIF($E129:X129,"µ")+COUNTIF($E129:X129,1)-1,INDEX(Roadmap!$D:$K,MATCH($E129,Roadmap!$D:$D,0)-1+COUNTIF($E129:X129,"u")+COUNTIF($E129:X129,"t")+COUNTIF($E129:X129,"¶")+COUNTIF($E129:X129,"²")+COUNTIF($E129:X129,"µ")+COUNTIF($E129:X129,1),ColDescriptionCourte)),""),
  "")),"")</f>
        <v/>
      </c>
      <c r="Z129" s="40" t="str">
        <f ca="1">IFERROR(IF(AND(
  INDEX(Roadmap!$D:$K,MATCH($E129,Roadmap!$D:$D,0)+COUNTIF($E129:Y129,"u")+COUNTIF($E129:Y129,"t")+COUNTIF($E129:Y129,"¶")+COUNTIF($E129:Y129,"²")+COUNTIF($E129:Y129,"µ")+COUNTIF($E129:Y129,1),ColLivraison)=Z$6,
  VLOOKUP($E129,INDIRECT("tri!"&amp; CHAR(64+ C0Col) &amp;":"&amp; CHAR(65+C0Col)),2,FALSE)&gt;COUNTIF($E129:Y129,"u")+COUNTIF($E129:Y129,"t")+COUNTIF($E129:Y129,"¶")+COUNTIF($E129:Y129,"²")+COUNTIF($E129:Y129,"µ")+COUNTIF($E129:Y129,1)),
HYPERLINK("#Roadmap!C"&amp; MATCH($E129,Roadmap!$D:$D,0)+COUNTIF($E129:Y129,"u")+COUNTIF($E129:Y129,"t"),
     INDEX(Roadmap!$D:$K,MATCH($E129,Roadmap!$D:$D,0)+COUNTIF($E129:Y129,"u")+COUNTIF($E129:Y129,"t")+COUNTIF($E129:Y129,"¶")+COUNTIF($E129:Y129,"²")+COUNTIF($E129:Y129,"µ")+COUNTIF($E129:Y129,1),ColTypeEcheance)),
  IF(LEN(Y129)=1,
  IF(LEN(INDEX(Roadmap!$D:$K,MATCH($E129,Roadmap!$D:$D,0)-1+COUNTIF($E129:Y129,"u")+COUNTIF($E129:Y129,"t")+COUNTIF($E129:Y129,"¶")+COUNTIF($E129:Y129,"²")+COUNTIF($E129:Y129,"µ")+COUNTIF($E129:Y129,1),ColDescriptionCourte))&gt;1,
HYPERLINK("#Roadmap!C"&amp; MATCH($E129,Roadmap!$D:$D,0)+COUNTIF($E129:Y129,"u")+COUNTIF($E129:Y129,"t")+COUNTIF($E129:Y129,"¶")+COUNTIF($E129:Y129,"²")+COUNTIF($E129:Y129,"µ")+COUNTIF($E129:Y129,1)-1,INDEX(Roadmap!$D:$K,MATCH($E129,Roadmap!$D:$D,0)-1+COUNTIF($E129:Y129,"u")+COUNTIF($E129:Y129,"t")+COUNTIF($E129:Y129,"¶")+COUNTIF($E129:Y129,"²")+COUNTIF($E129:Y129,"µ")+COUNTIF($E129:Y129,1),ColDescriptionCourte)),""),
  "")),"")</f>
        <v/>
      </c>
      <c r="AA129" s="40" t="str">
        <f ca="1">IFERROR(IF(AND(
  INDEX(Roadmap!$D:$K,MATCH($E129,Roadmap!$D:$D,0)+COUNTIF($E129:Z129,"u")+COUNTIF($E129:Z129,"t")+COUNTIF($E129:Z129,"¶")+COUNTIF($E129:Z129,"²")+COUNTIF($E129:Z129,"µ")+COUNTIF($E129:Z129,1),ColLivraison)=AA$6,
  VLOOKUP($E129,INDIRECT("tri!"&amp; CHAR(64+ C0Col) &amp;":"&amp; CHAR(65+C0Col)),2,FALSE)&gt;COUNTIF($E129:Z129,"u")+COUNTIF($E129:Z129,"t")+COUNTIF($E129:Z129,"¶")+COUNTIF($E129:Z129,"²")+COUNTIF($E129:Z129,"µ")+COUNTIF($E129:Z129,1)),
HYPERLINK("#Roadmap!C"&amp; MATCH($E129,Roadmap!$D:$D,0)+COUNTIF($E129:Z129,"u")+COUNTIF($E129:Z129,"t"),
     INDEX(Roadmap!$D:$K,MATCH($E129,Roadmap!$D:$D,0)+COUNTIF($E129:Z129,"u")+COUNTIF($E129:Z129,"t")+COUNTIF($E129:Z129,"¶")+COUNTIF($E129:Z129,"²")+COUNTIF($E129:Z129,"µ")+COUNTIF($E129:Z129,1),ColTypeEcheance)),
  IF(LEN(Z129)=1,
  IF(LEN(INDEX(Roadmap!$D:$K,MATCH($E129,Roadmap!$D:$D,0)-1+COUNTIF($E129:Z129,"u")+COUNTIF($E129:Z129,"t")+COUNTIF($E129:Z129,"¶")+COUNTIF($E129:Z129,"²")+COUNTIF($E129:Z129,"µ")+COUNTIF($E129:Z129,1),ColDescriptionCourte))&gt;1,
HYPERLINK("#Roadmap!C"&amp; MATCH($E129,Roadmap!$D:$D,0)+COUNTIF($E129:Z129,"u")+COUNTIF($E129:Z129,"t")+COUNTIF($E129:Z129,"¶")+COUNTIF($E129:Z129,"²")+COUNTIF($E129:Z129,"µ")+COUNTIF($E129:Z129,1)-1,INDEX(Roadmap!$D:$K,MATCH($E129,Roadmap!$D:$D,0)-1+COUNTIF($E129:Z129,"u")+COUNTIF($E129:Z129,"t")+COUNTIF($E129:Z129,"¶")+COUNTIF($E129:Z129,"²")+COUNTIF($E129:Z129,"µ")+COUNTIF($E129:Z129,1),ColDescriptionCourte)),""),
  "")),"")</f>
        <v/>
      </c>
      <c r="AB129" s="40" t="str">
        <f ca="1">IFERROR(IF(AND(
  INDEX(Roadmap!$D:$K,MATCH($E129,Roadmap!$D:$D,0)+COUNTIF($E129:AA129,"u")+COUNTIF($E129:AA129,"t")+COUNTIF($E129:AA129,"¶")+COUNTIF($E129:AA129,"²")+COUNTIF($E129:AA129,"µ")+COUNTIF($E129:AA129,1),ColLivraison)=AB$6,
  VLOOKUP($E129,INDIRECT("tri!"&amp; CHAR(64+ C0Col) &amp;":"&amp; CHAR(65+C0Col)),2,FALSE)&gt;COUNTIF($E129:AA129,"u")+COUNTIF($E129:AA129,"t")+COUNTIF($E129:AA129,"¶")+COUNTIF($E129:AA129,"²")+COUNTIF($E129:AA129,"µ")+COUNTIF($E129:AA129,1)),
HYPERLINK("#Roadmap!C"&amp; MATCH($E129,Roadmap!$D:$D,0)+COUNTIF($E129:AA129,"u")+COUNTIF($E129:AA129,"t"),
     INDEX(Roadmap!$D:$K,MATCH($E129,Roadmap!$D:$D,0)+COUNTIF($E129:AA129,"u")+COUNTIF($E129:AA129,"t")+COUNTIF($E129:AA129,"¶")+COUNTIF($E129:AA129,"²")+COUNTIF($E129:AA129,"µ")+COUNTIF($E129:AA129,1),ColTypeEcheance)),
  IF(LEN(AA129)=1,
  IF(LEN(INDEX(Roadmap!$D:$K,MATCH($E129,Roadmap!$D:$D,0)-1+COUNTIF($E129:AA129,"u")+COUNTIF($E129:AA129,"t")+COUNTIF($E129:AA129,"¶")+COUNTIF($E129:AA129,"²")+COUNTIF($E129:AA129,"µ")+COUNTIF($E129:AA129,1),ColDescriptionCourte))&gt;1,
HYPERLINK("#Roadmap!C"&amp; MATCH($E129,Roadmap!$D:$D,0)+COUNTIF($E129:AA129,"u")+COUNTIF($E129:AA129,"t")+COUNTIF($E129:AA129,"¶")+COUNTIF($E129:AA129,"²")+COUNTIF($E129:AA129,"µ")+COUNTIF($E129:AA129,1)-1,INDEX(Roadmap!$D:$K,MATCH($E129,Roadmap!$D:$D,0)-1+COUNTIF($E129:AA129,"u")+COUNTIF($E129:AA129,"t")+COUNTIF($E129:AA129,"¶")+COUNTIF($E129:AA129,"²")+COUNTIF($E129:AA129,"µ")+COUNTIF($E129:AA129,1),ColDescriptionCourte)),""),
  "")),"")</f>
        <v/>
      </c>
      <c r="AC129" s="40" t="str">
        <f ca="1">IFERROR(IF(AND(
  INDEX(Roadmap!$D:$K,MATCH($E129,Roadmap!$D:$D,0)+COUNTIF($E129:AB129,"u")+COUNTIF($E129:AB129,"t")+COUNTIF($E129:AB129,"¶")+COUNTIF($E129:AB129,"²")+COUNTIF($E129:AB129,"µ")+COUNTIF($E129:AB129,1),ColLivraison)=AC$6,
  VLOOKUP($E129,INDIRECT("tri!"&amp; CHAR(64+ C0Col) &amp;":"&amp; CHAR(65+C0Col)),2,FALSE)&gt;COUNTIF($E129:AB129,"u")+COUNTIF($E129:AB129,"t")+COUNTIF($E129:AB129,"¶")+COUNTIF($E129:AB129,"²")+COUNTIF($E129:AB129,"µ")+COUNTIF($E129:AB129,1)),
HYPERLINK("#Roadmap!C"&amp; MATCH($E129,Roadmap!$D:$D,0)+COUNTIF($E129:AB129,"u")+COUNTIF($E129:AB129,"t"),
     INDEX(Roadmap!$D:$K,MATCH($E129,Roadmap!$D:$D,0)+COUNTIF($E129:AB129,"u")+COUNTIF($E129:AB129,"t")+COUNTIF($E129:AB129,"¶")+COUNTIF($E129:AB129,"²")+COUNTIF($E129:AB129,"µ")+COUNTIF($E129:AB129,1),ColTypeEcheance)),
  IF(LEN(AB129)=1,
  IF(LEN(INDEX(Roadmap!$D:$K,MATCH($E129,Roadmap!$D:$D,0)-1+COUNTIF($E129:AB129,"u")+COUNTIF($E129:AB129,"t")+COUNTIF($E129:AB129,"¶")+COUNTIF($E129:AB129,"²")+COUNTIF($E129:AB129,"µ")+COUNTIF($E129:AB129,1),ColDescriptionCourte))&gt;1,
HYPERLINK("#Roadmap!C"&amp; MATCH($E129,Roadmap!$D:$D,0)+COUNTIF($E129:AB129,"u")+COUNTIF($E129:AB129,"t")+COUNTIF($E129:AB129,"¶")+COUNTIF($E129:AB129,"²")+COUNTIF($E129:AB129,"µ")+COUNTIF($E129:AB129,1)-1,INDEX(Roadmap!$D:$K,MATCH($E129,Roadmap!$D:$D,0)-1+COUNTIF($E129:AB129,"u")+COUNTIF($E129:AB129,"t")+COUNTIF($E129:AB129,"¶")+COUNTIF($E129:AB129,"²")+COUNTIF($E129:AB129,"µ")+COUNTIF($E129:AB129,1),ColDescriptionCourte)),""),
  "")),"")</f>
        <v/>
      </c>
      <c r="AD129" s="40" t="str">
        <f ca="1">IFERROR(IF(AND(
  INDEX(Roadmap!$D:$K,MATCH($E129,Roadmap!$D:$D,0)+COUNTIF($E129:AC129,"u")+COUNTIF($E129:AC129,"t")+COUNTIF($E129:AC129,"¶")+COUNTIF($E129:AC129,"²")+COUNTIF($E129:AC129,"µ")+COUNTIF($E129:AC129,1),ColLivraison)=AD$6,
  VLOOKUP($E129,INDIRECT("tri!"&amp; CHAR(64+ C0Col) &amp;":"&amp; CHAR(65+C0Col)),2,FALSE)&gt;COUNTIF($E129:AC129,"u")+COUNTIF($E129:AC129,"t")+COUNTIF($E129:AC129,"¶")+COUNTIF($E129:AC129,"²")+COUNTIF($E129:AC129,"µ")+COUNTIF($E129:AC129,1)),
HYPERLINK("#Roadmap!C"&amp; MATCH($E129,Roadmap!$D:$D,0)+COUNTIF($E129:AC129,"u")+COUNTIF($E129:AC129,"t"),
     INDEX(Roadmap!$D:$K,MATCH($E129,Roadmap!$D:$D,0)+COUNTIF($E129:AC129,"u")+COUNTIF($E129:AC129,"t")+COUNTIF($E129:AC129,"¶")+COUNTIF($E129:AC129,"²")+COUNTIF($E129:AC129,"µ")+COUNTIF($E129:AC129,1),ColTypeEcheance)),
  IF(LEN(AC129)=1,
  IF(LEN(INDEX(Roadmap!$D:$K,MATCH($E129,Roadmap!$D:$D,0)-1+COUNTIF($E129:AC129,"u")+COUNTIF($E129:AC129,"t")+COUNTIF($E129:AC129,"¶")+COUNTIF($E129:AC129,"²")+COUNTIF($E129:AC129,"µ")+COUNTIF($E129:AC129,1),ColDescriptionCourte))&gt;1,
HYPERLINK("#Roadmap!C"&amp; MATCH($E129,Roadmap!$D:$D,0)+COUNTIF($E129:AC129,"u")+COUNTIF($E129:AC129,"t")+COUNTIF($E129:AC129,"¶")+COUNTIF($E129:AC129,"²")+COUNTIF($E129:AC129,"µ")+COUNTIF($E129:AC129,1)-1,INDEX(Roadmap!$D:$K,MATCH($E129,Roadmap!$D:$D,0)-1+COUNTIF($E129:AC129,"u")+COUNTIF($E129:AC129,"t")+COUNTIF($E129:AC129,"¶")+COUNTIF($E129:AC129,"²")+COUNTIF($E129:AC129,"µ")+COUNTIF($E129:AC129,1),ColDescriptionCourte)),""),
  "")),"")</f>
        <v/>
      </c>
      <c r="AE129" s="40" t="str">
        <f ca="1">IFERROR(IF(AND(
  INDEX(Roadmap!$D:$K,MATCH($E129,Roadmap!$D:$D,0)+COUNTIF($E129:AD129,"u")+COUNTIF($E129:AD129,"t")+COUNTIF($E129:AD129,"¶")+COUNTIF($E129:AD129,"²")+COUNTIF($E129:AD129,"µ")+COUNTIF($E129:AD129,1),ColLivraison)=AE$6,
  VLOOKUP($E129,INDIRECT("tri!"&amp; CHAR(64+ C0Col) &amp;":"&amp; CHAR(65+C0Col)),2,FALSE)&gt;COUNTIF($E129:AD129,"u")+COUNTIF($E129:AD129,"t")+COUNTIF($E129:AD129,"¶")+COUNTIF($E129:AD129,"²")+COUNTIF($E129:AD129,"µ")+COUNTIF($E129:AD129,1)),
HYPERLINK("#Roadmap!C"&amp; MATCH($E129,Roadmap!$D:$D,0)+COUNTIF($E129:AD129,"u")+COUNTIF($E129:AD129,"t"),
     INDEX(Roadmap!$D:$K,MATCH($E129,Roadmap!$D:$D,0)+COUNTIF($E129:AD129,"u")+COUNTIF($E129:AD129,"t")+COUNTIF($E129:AD129,"¶")+COUNTIF($E129:AD129,"²")+COUNTIF($E129:AD129,"µ")+COUNTIF($E129:AD129,1),ColTypeEcheance)),
  IF(LEN(AD129)=1,
  IF(LEN(INDEX(Roadmap!$D:$K,MATCH($E129,Roadmap!$D:$D,0)-1+COUNTIF($E129:AD129,"u")+COUNTIF($E129:AD129,"t")+COUNTIF($E129:AD129,"¶")+COUNTIF($E129:AD129,"²")+COUNTIF($E129:AD129,"µ")+COUNTIF($E129:AD129,1),ColDescriptionCourte))&gt;1,
HYPERLINK("#Roadmap!C"&amp; MATCH($E129,Roadmap!$D:$D,0)+COUNTIF($E129:AD129,"u")+COUNTIF($E129:AD129,"t")+COUNTIF($E129:AD129,"¶")+COUNTIF($E129:AD129,"²")+COUNTIF($E129:AD129,"µ")+COUNTIF($E129:AD129,1)-1,INDEX(Roadmap!$D:$K,MATCH($E129,Roadmap!$D:$D,0)-1+COUNTIF($E129:AD129,"u")+COUNTIF($E129:AD129,"t")+COUNTIF($E129:AD129,"¶")+COUNTIF($E129:AD129,"²")+COUNTIF($E129:AD129,"µ")+COUNTIF($E129:AD129,1),ColDescriptionCourte)),""),
  "")),"")</f>
        <v/>
      </c>
      <c r="AF129" s="40" t="str">
        <f ca="1">IFERROR(IF(AND(
  INDEX(Roadmap!$D:$K,MATCH($E129,Roadmap!$D:$D,0)+COUNTIF($E129:AE129,"u")+COUNTIF($E129:AE129,"t")+COUNTIF($E129:AE129,"¶")+COUNTIF($E129:AE129,"²")+COUNTIF($E129:AE129,"µ")+COUNTIF($E129:AE129,1),ColLivraison)=AF$6,
  VLOOKUP($E129,INDIRECT("tri!"&amp; CHAR(64+ C0Col) &amp;":"&amp; CHAR(65+C0Col)),2,FALSE)&gt;COUNTIF($E129:AE129,"u")+COUNTIF($E129:AE129,"t")+COUNTIF($E129:AE129,"¶")+COUNTIF($E129:AE129,"²")+COUNTIF($E129:AE129,"µ")+COUNTIF($E129:AE129,1)),
HYPERLINK("#Roadmap!C"&amp; MATCH($E129,Roadmap!$D:$D,0)+COUNTIF($E129:AE129,"u")+COUNTIF($E129:AE129,"t"),
     INDEX(Roadmap!$D:$K,MATCH($E129,Roadmap!$D:$D,0)+COUNTIF($E129:AE129,"u")+COUNTIF($E129:AE129,"t")+COUNTIF($E129:AE129,"¶")+COUNTIF($E129:AE129,"²")+COUNTIF($E129:AE129,"µ")+COUNTIF($E129:AE129,1),ColTypeEcheance)),
  IF(LEN(AE129)=1,
  IF(LEN(INDEX(Roadmap!$D:$K,MATCH($E129,Roadmap!$D:$D,0)-1+COUNTIF($E129:AE129,"u")+COUNTIF($E129:AE129,"t")+COUNTIF($E129:AE129,"¶")+COUNTIF($E129:AE129,"²")+COUNTIF($E129:AE129,"µ")+COUNTIF($E129:AE129,1),ColDescriptionCourte))&gt;1,
HYPERLINK("#Roadmap!C"&amp; MATCH($E129,Roadmap!$D:$D,0)+COUNTIF($E129:AE129,"u")+COUNTIF($E129:AE129,"t")+COUNTIF($E129:AE129,"¶")+COUNTIF($E129:AE129,"²")+COUNTIF($E129:AE129,"µ")+COUNTIF($E129:AE129,1)-1,INDEX(Roadmap!$D:$K,MATCH($E129,Roadmap!$D:$D,0)-1+COUNTIF($E129:AE129,"u")+COUNTIF($E129:AE129,"t")+COUNTIF($E129:AE129,"¶")+COUNTIF($E129:AE129,"²")+COUNTIF($E129:AE129,"µ")+COUNTIF($E129:AE129,1),ColDescriptionCourte)),""),
  "")),"")</f>
        <v/>
      </c>
      <c r="AG129" s="40" t="str">
        <f ca="1">IFERROR(IF(AND(
  INDEX(Roadmap!$D:$K,MATCH($E129,Roadmap!$D:$D,0)+COUNTIF($E129:AF129,"u")+COUNTIF($E129:AF129,"t")+COUNTIF($E129:AF129,"¶")+COUNTIF($E129:AF129,"²")+COUNTIF($E129:AF129,"µ")+COUNTIF($E129:AF129,1),ColLivraison)=AG$6,
  VLOOKUP($E129,INDIRECT("tri!"&amp; CHAR(64+ C0Col) &amp;":"&amp; CHAR(65+C0Col)),2,FALSE)&gt;COUNTIF($E129:AF129,"u")+COUNTIF($E129:AF129,"t")+COUNTIF($E129:AF129,"¶")+COUNTIF($E129:AF129,"²")+COUNTIF($E129:AF129,"µ")+COUNTIF($E129:AF129,1)),
HYPERLINK("#Roadmap!C"&amp; MATCH($E129,Roadmap!$D:$D,0)+COUNTIF($E129:AF129,"u")+COUNTIF($E129:AF129,"t"),
     INDEX(Roadmap!$D:$K,MATCH($E129,Roadmap!$D:$D,0)+COUNTIF($E129:AF129,"u")+COUNTIF($E129:AF129,"t")+COUNTIF($E129:AF129,"¶")+COUNTIF($E129:AF129,"²")+COUNTIF($E129:AF129,"µ")+COUNTIF($E129:AF129,1),ColTypeEcheance)),
  IF(LEN(AF129)=1,
  IF(LEN(INDEX(Roadmap!$D:$K,MATCH($E129,Roadmap!$D:$D,0)-1+COUNTIF($E129:AF129,"u")+COUNTIF($E129:AF129,"t")+COUNTIF($E129:AF129,"¶")+COUNTIF($E129:AF129,"²")+COUNTIF($E129:AF129,"µ")+COUNTIF($E129:AF129,1),ColDescriptionCourte))&gt;1,
HYPERLINK("#Roadmap!C"&amp; MATCH($E129,Roadmap!$D:$D,0)+COUNTIF($E129:AF129,"u")+COUNTIF($E129:AF129,"t")+COUNTIF($E129:AF129,"¶")+COUNTIF($E129:AF129,"²")+COUNTIF($E129:AF129,"µ")+COUNTIF($E129:AF129,1)-1,INDEX(Roadmap!$D:$K,MATCH($E129,Roadmap!$D:$D,0)-1+COUNTIF($E129:AF129,"u")+COUNTIF($E129:AF129,"t")+COUNTIF($E129:AF129,"¶")+COUNTIF($E129:AF129,"²")+COUNTIF($E129:AF129,"µ")+COUNTIF($E129:AF129,1),ColDescriptionCourte)),""),
  "")),"")</f>
        <v/>
      </c>
    </row>
    <row r="130" spans="3:33" ht="14.25" customHeight="1">
      <c r="C130" s="1" t="str">
        <f t="shared" ca="1" si="49"/>
        <v/>
      </c>
      <c r="D130" s="1" t="str">
        <f t="shared" ca="1" si="50"/>
        <v/>
      </c>
      <c r="E130" s="35" t="str">
        <f t="shared" ca="1" si="46"/>
        <v/>
      </c>
      <c r="F130" s="39" t="str">
        <f ca="1">IFERROR(IF(AND(
  INDEX(Roadmap!$D:$K,MATCH($E130,Roadmap!$D:$D,0)+COUNTIF($E130:E130,"u")+COUNTIF($E130:E130,"t")+COUNTIF($E130:E130,"¶")+COUNTIF($E130:E130,"²")+COUNTIF($E130:E130,"µ")+COUNTIF($E130:E130,1),ColLivraison)=F$6,
  VLOOKUP($E130,INDIRECT("tri!"&amp; CHAR(64+ C0Col) &amp;":"&amp; CHAR(65+C0Col)),2,FALSE)&gt;COUNTIF($E130:E130,"u")+COUNTIF($E130:E130,"t")+COUNTIF($E130:E130,"¶")+COUNTIF($E130:E130,"²")+COUNTIF($E130:E130,"µ")+COUNTIF($E130:E130,1)),
HYPERLINK("#Roadmap!C"&amp; MATCH($E130,Roadmap!$D:$D,0)+COUNTIF($E130:E130,"u")+COUNTIF($E130:E130,"t"),
     INDEX(Roadmap!$D:$K,MATCH($E130,Roadmap!$D:$D,0)+COUNTIF($E130:E130,"u")+COUNTIF($E130:E130,"t")+COUNTIF($E130:E130,"¶")+COUNTIF($E130:E130,"²")+COUNTIF($E130:E130,"µ")+COUNTIF($E130:E130,1),ColTypeEcheance)),
  IF(LEN(E130)=1,
  IF(LEN(INDEX(Roadmap!$D:$K,MATCH($E130,Roadmap!$D:$D,0)-1+COUNTIF($E130:E130,"u")+COUNTIF($E130:E130,"t")+COUNTIF($E130:E130,"¶")+COUNTIF($E130:E130,"²")+COUNTIF($E130:E130,"µ")+COUNTIF($E130:E130,1),ColDescriptionCourte))&gt;1,
HYPERLINK("#Roadmap!C"&amp; MATCH($E130,Roadmap!$D:$D,0)+COUNTIF($E130:E130,"u")+COUNTIF($E130:E130,"t")+COUNTIF($E130:E130,"¶")+COUNTIF($E130:E130,"²")+COUNTIF($E130:E130,"µ")+COUNTIF($E130:E130,1)-1,INDEX(Roadmap!$D:$K,MATCH($E130,Roadmap!$D:$D,0)-1+COUNTIF($E130:E130,"u")+COUNTIF($E130:E130,"t")+COUNTIF($E130:E130,"¶")+COUNTIF($E130:E130,"²")+COUNTIF($E130:E130,"µ")+COUNTIF($E130:E130,1),ColDescriptionCourte)),""),
  "")),"")</f>
        <v/>
      </c>
      <c r="G130" s="40" t="str">
        <f ca="1">IFERROR(IF(AND(
  INDEX(Roadmap!$D:$K,MATCH($E130,Roadmap!$D:$D,0)+COUNTIF($E130:F130,"u")+COUNTIF($E130:F130,"t")+COUNTIF($E130:F130,"¶")+COUNTIF($E130:F130,"²")+COUNTIF($E130:F130,"µ")+COUNTIF($E130:F130,1),ColLivraison)=G$6,
  VLOOKUP($E130,INDIRECT("tri!"&amp; CHAR(64+ C0Col) &amp;":"&amp; CHAR(65+C0Col)),2,FALSE)&gt;COUNTIF($E130:F130,"u")+COUNTIF($E130:F130,"t")+COUNTIF($E130:F130,"¶")+COUNTIF($E130:F130,"²")+COUNTIF($E130:F130,"µ")+COUNTIF($E130:F130,1)),
HYPERLINK("#Roadmap!C"&amp; MATCH($E130,Roadmap!$D:$D,0)+COUNTIF($E130:F130,"u")+COUNTIF($E130:F130,"t"),
     INDEX(Roadmap!$D:$K,MATCH($E130,Roadmap!$D:$D,0)+COUNTIF($E130:F130,"u")+COUNTIF($E130:F130,"t")+COUNTIF($E130:F130,"¶")+COUNTIF($E130:F130,"²")+COUNTIF($E130:F130,"µ")+COUNTIF($E130:F130,1),ColTypeEcheance)),
  IF(LEN(F130)=1,
  IF(LEN(INDEX(Roadmap!$D:$K,MATCH($E130,Roadmap!$D:$D,0)-1+COUNTIF($E130:F130,"u")+COUNTIF($E130:F130,"t")+COUNTIF($E130:F130,"¶")+COUNTIF($E130:F130,"²")+COUNTIF($E130:F130,"µ")+COUNTIF($E130:F130,1),ColDescriptionCourte))&gt;1,
HYPERLINK("#Roadmap!C"&amp; MATCH($E130,Roadmap!$D:$D,0)+COUNTIF($E130:F130,"u")+COUNTIF($E130:F130,"t")+COUNTIF($E130:F130,"¶")+COUNTIF($E130:F130,"²")+COUNTIF($E130:F130,"µ")+COUNTIF($E130:F130,1)-1,INDEX(Roadmap!$D:$K,MATCH($E130,Roadmap!$D:$D,0)-1+COUNTIF($E130:F130,"u")+COUNTIF($E130:F130,"t")+COUNTIF($E130:F130,"¶")+COUNTIF($E130:F130,"²")+COUNTIF($E130:F130,"µ")+COUNTIF($E130:F130,1),ColDescriptionCourte)),""),
  "")),"")</f>
        <v/>
      </c>
      <c r="H130" s="40" t="str">
        <f ca="1">IFERROR(IF(AND(
  INDEX(Roadmap!$D:$K,MATCH($E130,Roadmap!$D:$D,0)+COUNTIF($E130:G130,"u")+COUNTIF($E130:G130,"t")+COUNTIF($E130:G130,"¶")+COUNTIF($E130:G130,"²")+COUNTIF($E130:G130,"µ")+COUNTIF($E130:G130,1),ColLivraison)=H$6,
  VLOOKUP($E130,INDIRECT("tri!"&amp; CHAR(64+ C0Col) &amp;":"&amp; CHAR(65+C0Col)),2,FALSE)&gt;COUNTIF($E130:G130,"u")+COUNTIF($E130:G130,"t")+COUNTIF($E130:G130,"¶")+COUNTIF($E130:G130,"²")+COUNTIF($E130:G130,"µ")+COUNTIF($E130:G130,1)),
HYPERLINK("#Roadmap!C"&amp; MATCH($E130,Roadmap!$D:$D,0)+COUNTIF($E130:G130,"u")+COUNTIF($E130:G130,"t"),
     INDEX(Roadmap!$D:$K,MATCH($E130,Roadmap!$D:$D,0)+COUNTIF($E130:G130,"u")+COUNTIF($E130:G130,"t")+COUNTIF($E130:G130,"¶")+COUNTIF($E130:G130,"²")+COUNTIF($E130:G130,"µ")+COUNTIF($E130:G130,1),ColTypeEcheance)),
  IF(LEN(G130)=1,
  IF(LEN(INDEX(Roadmap!$D:$K,MATCH($E130,Roadmap!$D:$D,0)-1+COUNTIF($E130:G130,"u")+COUNTIF($E130:G130,"t")+COUNTIF($E130:G130,"¶")+COUNTIF($E130:G130,"²")+COUNTIF($E130:G130,"µ")+COUNTIF($E130:G130,1),ColDescriptionCourte))&gt;1,
HYPERLINK("#Roadmap!C"&amp; MATCH($E130,Roadmap!$D:$D,0)+COUNTIF($E130:G130,"u")+COUNTIF($E130:G130,"t")+COUNTIF($E130:G130,"¶")+COUNTIF($E130:G130,"²")+COUNTIF($E130:G130,"µ")+COUNTIF($E130:G130,1)-1,INDEX(Roadmap!$D:$K,MATCH($E130,Roadmap!$D:$D,0)-1+COUNTIF($E130:G130,"u")+COUNTIF($E130:G130,"t")+COUNTIF($E130:G130,"¶")+COUNTIF($E130:G130,"²")+COUNTIF($E130:G130,"µ")+COUNTIF($E130:G130,1),ColDescriptionCourte)),""),
  "")),"")</f>
        <v/>
      </c>
      <c r="I130" s="40" t="str">
        <f ca="1">IFERROR(IF(AND(
  INDEX(Roadmap!$D:$K,MATCH($E130,Roadmap!$D:$D,0)+COUNTIF($E130:H130,"u")+COUNTIF($E130:H130,"t")+COUNTIF($E130:H130,"¶")+COUNTIF($E130:H130,"²")+COUNTIF($E130:H130,"µ")+COUNTIF($E130:H130,1),ColLivraison)=I$6,
  VLOOKUP($E130,INDIRECT("tri!"&amp; CHAR(64+ C0Col) &amp;":"&amp; CHAR(65+C0Col)),2,FALSE)&gt;COUNTIF($E130:H130,"u")+COUNTIF($E130:H130,"t")+COUNTIF($E130:H130,"¶")+COUNTIF($E130:H130,"²")+COUNTIF($E130:H130,"µ")+COUNTIF($E130:H130,1)),
HYPERLINK("#Roadmap!C"&amp; MATCH($E130,Roadmap!$D:$D,0)+COUNTIF($E130:H130,"u")+COUNTIF($E130:H130,"t"),
     INDEX(Roadmap!$D:$K,MATCH($E130,Roadmap!$D:$D,0)+COUNTIF($E130:H130,"u")+COUNTIF($E130:H130,"t")+COUNTIF($E130:H130,"¶")+COUNTIF($E130:H130,"²")+COUNTIF($E130:H130,"µ")+COUNTIF($E130:H130,1),ColTypeEcheance)),
  IF(LEN(H130)=1,
  IF(LEN(INDEX(Roadmap!$D:$K,MATCH($E130,Roadmap!$D:$D,0)-1+COUNTIF($E130:H130,"u")+COUNTIF($E130:H130,"t")+COUNTIF($E130:H130,"¶")+COUNTIF($E130:H130,"²")+COUNTIF($E130:H130,"µ")+COUNTIF($E130:H130,1),ColDescriptionCourte))&gt;1,
HYPERLINK("#Roadmap!C"&amp; MATCH($E130,Roadmap!$D:$D,0)+COUNTIF($E130:H130,"u")+COUNTIF($E130:H130,"t")+COUNTIF($E130:H130,"¶")+COUNTIF($E130:H130,"²")+COUNTIF($E130:H130,"µ")+COUNTIF($E130:H130,1)-1,INDEX(Roadmap!$D:$K,MATCH($E130,Roadmap!$D:$D,0)-1+COUNTIF($E130:H130,"u")+COUNTIF($E130:H130,"t")+COUNTIF($E130:H130,"¶")+COUNTIF($E130:H130,"²")+COUNTIF($E130:H130,"µ")+COUNTIF($E130:H130,1),ColDescriptionCourte)),""),
  "")),"")</f>
        <v/>
      </c>
      <c r="J130" s="40" t="str">
        <f ca="1">IFERROR(IF(AND(
  INDEX(Roadmap!$D:$K,MATCH($E130,Roadmap!$D:$D,0)+COUNTIF($E130:I130,"u")+COUNTIF($E130:I130,"t")+COUNTIF($E130:I130,"¶")+COUNTIF($E130:I130,"²")+COUNTIF($E130:I130,"µ")+COUNTIF($E130:I130,1),ColLivraison)=J$6,
  VLOOKUP($E130,INDIRECT("tri!"&amp; CHAR(64+ C0Col) &amp;":"&amp; CHAR(65+C0Col)),2,FALSE)&gt;COUNTIF($E130:I130,"u")+COUNTIF($E130:I130,"t")+COUNTIF($E130:I130,"¶")+COUNTIF($E130:I130,"²")+COUNTIF($E130:I130,"µ")+COUNTIF($E130:I130,1)),
HYPERLINK("#Roadmap!C"&amp; MATCH($E130,Roadmap!$D:$D,0)+COUNTIF($E130:I130,"u")+COUNTIF($E130:I130,"t"),
     INDEX(Roadmap!$D:$K,MATCH($E130,Roadmap!$D:$D,0)+COUNTIF($E130:I130,"u")+COUNTIF($E130:I130,"t")+COUNTIF($E130:I130,"¶")+COUNTIF($E130:I130,"²")+COUNTIF($E130:I130,"µ")+COUNTIF($E130:I130,1),ColTypeEcheance)),
  IF(LEN(I130)=1,
  IF(LEN(INDEX(Roadmap!$D:$K,MATCH($E130,Roadmap!$D:$D,0)-1+COUNTIF($E130:I130,"u")+COUNTIF($E130:I130,"t")+COUNTIF($E130:I130,"¶")+COUNTIF($E130:I130,"²")+COUNTIF($E130:I130,"µ")+COUNTIF($E130:I130,1),ColDescriptionCourte))&gt;1,
HYPERLINK("#Roadmap!C"&amp; MATCH($E130,Roadmap!$D:$D,0)+COUNTIF($E130:I130,"u")+COUNTIF($E130:I130,"t")+COUNTIF($E130:I130,"¶")+COUNTIF($E130:I130,"²")+COUNTIF($E130:I130,"µ")+COUNTIF($E130:I130,1)-1,INDEX(Roadmap!$D:$K,MATCH($E130,Roadmap!$D:$D,0)-1+COUNTIF($E130:I130,"u")+COUNTIF($E130:I130,"t")+COUNTIF($E130:I130,"¶")+COUNTIF($E130:I130,"²")+COUNTIF($E130:I130,"µ")+COUNTIF($E130:I130,1),ColDescriptionCourte)),""),
  "")),"")</f>
        <v/>
      </c>
      <c r="K130" s="40" t="str">
        <f ca="1">IFERROR(IF(AND(
  INDEX(Roadmap!$D:$K,MATCH($E130,Roadmap!$D:$D,0)+COUNTIF($E130:J130,"u")+COUNTIF($E130:J130,"t")+COUNTIF($E130:J130,"¶")+COUNTIF($E130:J130,"²")+COUNTIF($E130:J130,"µ")+COUNTIF($E130:J130,1),ColLivraison)=K$6,
  VLOOKUP($E130,INDIRECT("tri!"&amp; CHAR(64+ C0Col) &amp;":"&amp; CHAR(65+C0Col)),2,FALSE)&gt;COUNTIF($E130:J130,"u")+COUNTIF($E130:J130,"t")+COUNTIF($E130:J130,"¶")+COUNTIF($E130:J130,"²")+COUNTIF($E130:J130,"µ")+COUNTIF($E130:J130,1)),
HYPERLINK("#Roadmap!C"&amp; MATCH($E130,Roadmap!$D:$D,0)+COUNTIF($E130:J130,"u")+COUNTIF($E130:J130,"t"),
     INDEX(Roadmap!$D:$K,MATCH($E130,Roadmap!$D:$D,0)+COUNTIF($E130:J130,"u")+COUNTIF($E130:J130,"t")+COUNTIF($E130:J130,"¶")+COUNTIF($E130:J130,"²")+COUNTIF($E130:J130,"µ")+COUNTIF($E130:J130,1),ColTypeEcheance)),
  IF(LEN(J130)=1,
  IF(LEN(INDEX(Roadmap!$D:$K,MATCH($E130,Roadmap!$D:$D,0)-1+COUNTIF($E130:J130,"u")+COUNTIF($E130:J130,"t")+COUNTIF($E130:J130,"¶")+COUNTIF($E130:J130,"²")+COUNTIF($E130:J130,"µ")+COUNTIF($E130:J130,1),ColDescriptionCourte))&gt;1,
HYPERLINK("#Roadmap!C"&amp; MATCH($E130,Roadmap!$D:$D,0)+COUNTIF($E130:J130,"u")+COUNTIF($E130:J130,"t")+COUNTIF($E130:J130,"¶")+COUNTIF($E130:J130,"²")+COUNTIF($E130:J130,"µ")+COUNTIF($E130:J130,1)-1,INDEX(Roadmap!$D:$K,MATCH($E130,Roadmap!$D:$D,0)-1+COUNTIF($E130:J130,"u")+COUNTIF($E130:J130,"t")+COUNTIF($E130:J130,"¶")+COUNTIF($E130:J130,"²")+COUNTIF($E130:J130,"µ")+COUNTIF($E130:J130,1),ColDescriptionCourte)),""),
  "")),"")</f>
        <v/>
      </c>
      <c r="L130" s="39" t="str">
        <f ca="1">IFERROR(IF(AND(
  INDEX(Roadmap!$D:$K,MATCH($E130,Roadmap!$D:$D,0)+COUNTIF($E130:K130,"u")+COUNTIF($E130:K130,"t")+COUNTIF($E130:K130,"¶")+COUNTIF($E130:K130,"²")+COUNTIF($E130:K130,"µ")+COUNTIF($E130:K130,1),ColLivraison)=L$6,
  VLOOKUP($E130,INDIRECT("tri!"&amp; CHAR(64+ C0Col) &amp;":"&amp; CHAR(65+C0Col)),2,FALSE)&gt;COUNTIF($E130:K130,"u")+COUNTIF($E130:K130,"t")+COUNTIF($E130:K130,"¶")+COUNTIF($E130:K130,"²")+COUNTIF($E130:K130,"µ")+COUNTIF($E130:K130,1)),
HYPERLINK("#Roadmap!C"&amp; MATCH($E130,Roadmap!$D:$D,0)+COUNTIF($E130:K130,"u")+COUNTIF($E130:K130,"t"),
     INDEX(Roadmap!$D:$K,MATCH($E130,Roadmap!$D:$D,0)+COUNTIF($E130:K130,"u")+COUNTIF($E130:K130,"t")+COUNTIF($E130:K130,"¶")+COUNTIF($E130:K130,"²")+COUNTIF($E130:K130,"µ")+COUNTIF($E130:K130,1),ColTypeEcheance)),
  IF(LEN(K130)=1,
  IF(LEN(INDEX(Roadmap!$D:$K,MATCH($E130,Roadmap!$D:$D,0)-1+COUNTIF($E130:K130,"u")+COUNTIF($E130:K130,"t")+COUNTIF($E130:K130,"¶")+COUNTIF($E130:K130,"²")+COUNTIF($E130:K130,"µ")+COUNTIF($E130:K130,1),ColDescriptionCourte))&gt;1,
HYPERLINK("#Roadmap!C"&amp; MATCH($E130,Roadmap!$D:$D,0)+COUNTIF($E130:K130,"u")+COUNTIF($E130:K130,"t")+COUNTIF($E130:K130,"¶")+COUNTIF($E130:K130,"²")+COUNTIF($E130:K130,"µ")+COUNTIF($E130:K130,1)-1,INDEX(Roadmap!$D:$K,MATCH($E130,Roadmap!$D:$D,0)-1+COUNTIF($E130:K130,"u")+COUNTIF($E130:K130,"t")+COUNTIF($E130:K130,"¶")+COUNTIF($E130:K130,"²")+COUNTIF($E130:K130,"µ")+COUNTIF($E130:K130,1),ColDescriptionCourte)),""),
  "")),"")</f>
        <v/>
      </c>
      <c r="M130" s="40" t="str">
        <f ca="1">IFERROR(IF(AND(
  INDEX(Roadmap!$D:$K,MATCH($E130,Roadmap!$D:$D,0)+COUNTIF($E130:L130,"u")+COUNTIF($E130:L130,"t")+COUNTIF($E130:L130,"¶")+COUNTIF($E130:L130,"²")+COUNTIF($E130:L130,"µ")+COUNTIF($E130:L130,1),ColLivraison)=M$6,
  VLOOKUP($E130,INDIRECT("tri!"&amp; CHAR(64+ C0Col) &amp;":"&amp; CHAR(65+C0Col)),2,FALSE)&gt;COUNTIF($E130:L130,"u")+COUNTIF($E130:L130,"t")+COUNTIF($E130:L130,"¶")+COUNTIF($E130:L130,"²")+COUNTIF($E130:L130,"µ")+COUNTIF($E130:L130,1)),
HYPERLINK("#Roadmap!C"&amp; MATCH($E130,Roadmap!$D:$D,0)+COUNTIF($E130:L130,"u")+COUNTIF($E130:L130,"t"),
     INDEX(Roadmap!$D:$K,MATCH($E130,Roadmap!$D:$D,0)+COUNTIF($E130:L130,"u")+COUNTIF($E130:L130,"t")+COUNTIF($E130:L130,"¶")+COUNTIF($E130:L130,"²")+COUNTIF($E130:L130,"µ")+COUNTIF($E130:L130,1),ColTypeEcheance)),
  IF(LEN(L130)=1,
  IF(LEN(INDEX(Roadmap!$D:$K,MATCH($E130,Roadmap!$D:$D,0)-1+COUNTIF($E130:L130,"u")+COUNTIF($E130:L130,"t")+COUNTIF($E130:L130,"¶")+COUNTIF($E130:L130,"²")+COUNTIF($E130:L130,"µ")+COUNTIF($E130:L130,1),ColDescriptionCourte))&gt;1,
HYPERLINK("#Roadmap!C"&amp; MATCH($E130,Roadmap!$D:$D,0)+COUNTIF($E130:L130,"u")+COUNTIF($E130:L130,"t")+COUNTIF($E130:L130,"¶")+COUNTIF($E130:L130,"²")+COUNTIF($E130:L130,"µ")+COUNTIF($E130:L130,1)-1,INDEX(Roadmap!$D:$K,MATCH($E130,Roadmap!$D:$D,0)-1+COUNTIF($E130:L130,"u")+COUNTIF($E130:L130,"t")+COUNTIF($E130:L130,"¶")+COUNTIF($E130:L130,"²")+COUNTIF($E130:L130,"µ")+COUNTIF($E130:L130,1),ColDescriptionCourte)),""),
  "")),"")</f>
        <v/>
      </c>
      <c r="N130" s="40" t="str">
        <f ca="1">IFERROR(IF(AND(
  INDEX(Roadmap!$D:$K,MATCH($E130,Roadmap!$D:$D,0)+COUNTIF($E130:M130,"u")+COUNTIF($E130:M130,"t")+COUNTIF($E130:M130,"¶")+COUNTIF($E130:M130,"²")+COUNTIF($E130:M130,"µ")+COUNTIF($E130:M130,1),ColLivraison)=N$6,
  VLOOKUP($E130,INDIRECT("tri!"&amp; CHAR(64+ C0Col) &amp;":"&amp; CHAR(65+C0Col)),2,FALSE)&gt;COUNTIF($E130:M130,"u")+COUNTIF($E130:M130,"t")+COUNTIF($E130:M130,"¶")+COUNTIF($E130:M130,"²")+COUNTIF($E130:M130,"µ")+COUNTIF($E130:M130,1)),
HYPERLINK("#Roadmap!C"&amp; MATCH($E130,Roadmap!$D:$D,0)+COUNTIF($E130:M130,"u")+COUNTIF($E130:M130,"t"),
     INDEX(Roadmap!$D:$K,MATCH($E130,Roadmap!$D:$D,0)+COUNTIF($E130:M130,"u")+COUNTIF($E130:M130,"t")+COUNTIF($E130:M130,"¶")+COUNTIF($E130:M130,"²")+COUNTIF($E130:M130,"µ")+COUNTIF($E130:M130,1),ColTypeEcheance)),
  IF(LEN(M130)=1,
  IF(LEN(INDEX(Roadmap!$D:$K,MATCH($E130,Roadmap!$D:$D,0)-1+COUNTIF($E130:M130,"u")+COUNTIF($E130:M130,"t")+COUNTIF($E130:M130,"¶")+COUNTIF($E130:M130,"²")+COUNTIF($E130:M130,"µ")+COUNTIF($E130:M130,1),ColDescriptionCourte))&gt;1,
HYPERLINK("#Roadmap!C"&amp; MATCH($E130,Roadmap!$D:$D,0)+COUNTIF($E130:M130,"u")+COUNTIF($E130:M130,"t")+COUNTIF($E130:M130,"¶")+COUNTIF($E130:M130,"²")+COUNTIF($E130:M130,"µ")+COUNTIF($E130:M130,1)-1,INDEX(Roadmap!$D:$K,MATCH($E130,Roadmap!$D:$D,0)-1+COUNTIF($E130:M130,"u")+COUNTIF($E130:M130,"t")+COUNTIF($E130:M130,"¶")+COUNTIF($E130:M130,"²")+COUNTIF($E130:M130,"µ")+COUNTIF($E130:M130,1),ColDescriptionCourte)),""),
  "")),"")</f>
        <v/>
      </c>
      <c r="O130" s="40" t="str">
        <f ca="1">IFERROR(IF(AND(
  INDEX(Roadmap!$D:$K,MATCH($E130,Roadmap!$D:$D,0)+COUNTIF($E130:N130,"u")+COUNTIF($E130:N130,"t")+COUNTIF($E130:N130,"¶")+COUNTIF($E130:N130,"²")+COUNTIF($E130:N130,"µ")+COUNTIF($E130:N130,1),ColLivraison)=O$6,
  VLOOKUP($E130,INDIRECT("tri!"&amp; CHAR(64+ C0Col) &amp;":"&amp; CHAR(65+C0Col)),2,FALSE)&gt;COUNTIF($E130:N130,"u")+COUNTIF($E130:N130,"t")+COUNTIF($E130:N130,"¶")+COUNTIF($E130:N130,"²")+COUNTIF($E130:N130,"µ")+COUNTIF($E130:N130,1)),
HYPERLINK("#Roadmap!C"&amp; MATCH($E130,Roadmap!$D:$D,0)+COUNTIF($E130:N130,"u")+COUNTIF($E130:N130,"t"),
     INDEX(Roadmap!$D:$K,MATCH($E130,Roadmap!$D:$D,0)+COUNTIF($E130:N130,"u")+COUNTIF($E130:N130,"t")+COUNTIF($E130:N130,"¶")+COUNTIF($E130:N130,"²")+COUNTIF($E130:N130,"µ")+COUNTIF($E130:N130,1),ColTypeEcheance)),
  IF(LEN(N130)=1,
  IF(LEN(INDEX(Roadmap!$D:$K,MATCH($E130,Roadmap!$D:$D,0)-1+COUNTIF($E130:N130,"u")+COUNTIF($E130:N130,"t")+COUNTIF($E130:N130,"¶")+COUNTIF($E130:N130,"²")+COUNTIF($E130:N130,"µ")+COUNTIF($E130:N130,1),ColDescriptionCourte))&gt;1,
HYPERLINK("#Roadmap!C"&amp; MATCH($E130,Roadmap!$D:$D,0)+COUNTIF($E130:N130,"u")+COUNTIF($E130:N130,"t")+COUNTIF($E130:N130,"¶")+COUNTIF($E130:N130,"²")+COUNTIF($E130:N130,"µ")+COUNTIF($E130:N130,1)-1,INDEX(Roadmap!$D:$K,MATCH($E130,Roadmap!$D:$D,0)-1+COUNTIF($E130:N130,"u")+COUNTIF($E130:N130,"t")+COUNTIF($E130:N130,"¶")+COUNTIF($E130:N130,"²")+COUNTIF($E130:N130,"µ")+COUNTIF($E130:N130,1),ColDescriptionCourte)),""),
  "")),"")</f>
        <v/>
      </c>
      <c r="P130" s="40" t="str">
        <f ca="1">IFERROR(IF(AND(
  INDEX(Roadmap!$D:$K,MATCH($E130,Roadmap!$D:$D,0)+COUNTIF($E130:O130,"u")+COUNTIF($E130:O130,"t")+COUNTIF($E130:O130,"¶")+COUNTIF($E130:O130,"²")+COUNTIF($E130:O130,"µ")+COUNTIF($E130:O130,1),ColLivraison)=P$6,
  VLOOKUP($E130,INDIRECT("tri!"&amp; CHAR(64+ C0Col) &amp;":"&amp; CHAR(65+C0Col)),2,FALSE)&gt;COUNTIF($E130:O130,"u")+COUNTIF($E130:O130,"t")+COUNTIF($E130:O130,"¶")+COUNTIF($E130:O130,"²")+COUNTIF($E130:O130,"µ")+COUNTIF($E130:O130,1)),
HYPERLINK("#Roadmap!C"&amp; MATCH($E130,Roadmap!$D:$D,0)+COUNTIF($E130:O130,"u")+COUNTIF($E130:O130,"t"),
     INDEX(Roadmap!$D:$K,MATCH($E130,Roadmap!$D:$D,0)+COUNTIF($E130:O130,"u")+COUNTIF($E130:O130,"t")+COUNTIF($E130:O130,"¶")+COUNTIF($E130:O130,"²")+COUNTIF($E130:O130,"µ")+COUNTIF($E130:O130,1),ColTypeEcheance)),
  IF(LEN(O130)=1,
  IF(LEN(INDEX(Roadmap!$D:$K,MATCH($E130,Roadmap!$D:$D,0)-1+COUNTIF($E130:O130,"u")+COUNTIF($E130:O130,"t")+COUNTIF($E130:O130,"¶")+COUNTIF($E130:O130,"²")+COUNTIF($E130:O130,"µ")+COUNTIF($E130:O130,1),ColDescriptionCourte))&gt;1,
HYPERLINK("#Roadmap!C"&amp; MATCH($E130,Roadmap!$D:$D,0)+COUNTIF($E130:O130,"u")+COUNTIF($E130:O130,"t")+COUNTIF($E130:O130,"¶")+COUNTIF($E130:O130,"²")+COUNTIF($E130:O130,"µ")+COUNTIF($E130:O130,1)-1,INDEX(Roadmap!$D:$K,MATCH($E130,Roadmap!$D:$D,0)-1+COUNTIF($E130:O130,"u")+COUNTIF($E130:O130,"t")+COUNTIF($E130:O130,"¶")+COUNTIF($E130:O130,"²")+COUNTIF($E130:O130,"µ")+COUNTIF($E130:O130,1),ColDescriptionCourte)),""),
  "")),"")</f>
        <v/>
      </c>
      <c r="Q130" s="40" t="str">
        <f ca="1">IFERROR(IF(AND(
  INDEX(Roadmap!$D:$K,MATCH($E130,Roadmap!$D:$D,0)+COUNTIF($E130:P130,"u")+COUNTIF($E130:P130,"t")+COUNTIF($E130:P130,"¶")+COUNTIF($E130:P130,"²")+COUNTIF($E130:P130,"µ")+COUNTIF($E130:P130,1),ColLivraison)=Q$6,
  VLOOKUP($E130,INDIRECT("tri!"&amp; CHAR(64+ C0Col) &amp;":"&amp; CHAR(65+C0Col)),2,FALSE)&gt;COUNTIF($E130:P130,"u")+COUNTIF($E130:P130,"t")+COUNTIF($E130:P130,"¶")+COUNTIF($E130:P130,"²")+COUNTIF($E130:P130,"µ")+COUNTIF($E130:P130,1)),
HYPERLINK("#Roadmap!C"&amp; MATCH($E130,Roadmap!$D:$D,0)+COUNTIF($E130:P130,"u")+COUNTIF($E130:P130,"t"),
     INDEX(Roadmap!$D:$K,MATCH($E130,Roadmap!$D:$D,0)+COUNTIF($E130:P130,"u")+COUNTIF($E130:P130,"t")+COUNTIF($E130:P130,"¶")+COUNTIF($E130:P130,"²")+COUNTIF($E130:P130,"µ")+COUNTIF($E130:P130,1),ColTypeEcheance)),
  IF(LEN(P130)=1,
  IF(LEN(INDEX(Roadmap!$D:$K,MATCH($E130,Roadmap!$D:$D,0)-1+COUNTIF($E130:P130,"u")+COUNTIF($E130:P130,"t")+COUNTIF($E130:P130,"¶")+COUNTIF($E130:P130,"²")+COUNTIF($E130:P130,"µ")+COUNTIF($E130:P130,1),ColDescriptionCourte))&gt;1,
HYPERLINK("#Roadmap!C"&amp; MATCH($E130,Roadmap!$D:$D,0)+COUNTIF($E130:P130,"u")+COUNTIF($E130:P130,"t")+COUNTIF($E130:P130,"¶")+COUNTIF($E130:P130,"²")+COUNTIF($E130:P130,"µ")+COUNTIF($E130:P130,1)-1,INDEX(Roadmap!$D:$K,MATCH($E130,Roadmap!$D:$D,0)-1+COUNTIF($E130:P130,"u")+COUNTIF($E130:P130,"t")+COUNTIF($E130:P130,"¶")+COUNTIF($E130:P130,"²")+COUNTIF($E130:P130,"µ")+COUNTIF($E130:P130,1),ColDescriptionCourte)),""),
  "")),"")</f>
        <v/>
      </c>
      <c r="R130" s="40" t="str">
        <f ca="1">IFERROR(IF(AND(
  INDEX(Roadmap!$D:$K,MATCH($E130,Roadmap!$D:$D,0)+COUNTIF($E130:Q130,"u")+COUNTIF($E130:Q130,"t")+COUNTIF($E130:Q130,"¶")+COUNTIF($E130:Q130,"²")+COUNTIF($E130:Q130,"µ")+COUNTIF($E130:Q130,1),ColLivraison)=R$6,
  VLOOKUP($E130,INDIRECT("tri!"&amp; CHAR(64+ C0Col) &amp;":"&amp; CHAR(65+C0Col)),2,FALSE)&gt;COUNTIF($E130:Q130,"u")+COUNTIF($E130:Q130,"t")+COUNTIF($E130:Q130,"¶")+COUNTIF($E130:Q130,"²")+COUNTIF($E130:Q130,"µ")+COUNTIF($E130:Q130,1)),
HYPERLINK("#Roadmap!C"&amp; MATCH($E130,Roadmap!$D:$D,0)+COUNTIF($E130:Q130,"u")+COUNTIF($E130:Q130,"t"),
     INDEX(Roadmap!$D:$K,MATCH($E130,Roadmap!$D:$D,0)+COUNTIF($E130:Q130,"u")+COUNTIF($E130:Q130,"t")+COUNTIF($E130:Q130,"¶")+COUNTIF($E130:Q130,"²")+COUNTIF($E130:Q130,"µ")+COUNTIF($E130:Q130,1),ColTypeEcheance)),
  IF(LEN(Q130)=1,
  IF(LEN(INDEX(Roadmap!$D:$K,MATCH($E130,Roadmap!$D:$D,0)-1+COUNTIF($E130:Q130,"u")+COUNTIF($E130:Q130,"t")+COUNTIF($E130:Q130,"¶")+COUNTIF($E130:Q130,"²")+COUNTIF($E130:Q130,"µ")+COUNTIF($E130:Q130,1),ColDescriptionCourte))&gt;1,
HYPERLINK("#Roadmap!C"&amp; MATCH($E130,Roadmap!$D:$D,0)+COUNTIF($E130:Q130,"u")+COUNTIF($E130:Q130,"t")+COUNTIF($E130:Q130,"¶")+COUNTIF($E130:Q130,"²")+COUNTIF($E130:Q130,"µ")+COUNTIF($E130:Q130,1)-1,INDEX(Roadmap!$D:$K,MATCH($E130,Roadmap!$D:$D,0)-1+COUNTIF($E130:Q130,"u")+COUNTIF($E130:Q130,"t")+COUNTIF($E130:Q130,"¶")+COUNTIF($E130:Q130,"²")+COUNTIF($E130:Q130,"µ")+COUNTIF($E130:Q130,1),ColDescriptionCourte)),""),
  "")),"")</f>
        <v/>
      </c>
      <c r="S130" s="40" t="str">
        <f ca="1">IFERROR(IF(AND(
  INDEX(Roadmap!$D:$K,MATCH($E130,Roadmap!$D:$D,0)+COUNTIF($E130:R130,"u")+COUNTIF($E130:R130,"t")+COUNTIF($E130:R130,"¶")+COUNTIF($E130:R130,"²")+COUNTIF($E130:R130,"µ")+COUNTIF($E130:R130,1),ColLivraison)=S$6,
  VLOOKUP($E130,INDIRECT("tri!"&amp; CHAR(64+ C0Col) &amp;":"&amp; CHAR(65+C0Col)),2,FALSE)&gt;COUNTIF($E130:R130,"u")+COUNTIF($E130:R130,"t")+COUNTIF($E130:R130,"¶")+COUNTIF($E130:R130,"²")+COUNTIF($E130:R130,"µ")+COUNTIF($E130:R130,1)),
HYPERLINK("#Roadmap!C"&amp; MATCH($E130,Roadmap!$D:$D,0)+COUNTIF($E130:R130,"u")+COUNTIF($E130:R130,"t"),
     INDEX(Roadmap!$D:$K,MATCH($E130,Roadmap!$D:$D,0)+COUNTIF($E130:R130,"u")+COUNTIF($E130:R130,"t")+COUNTIF($E130:R130,"¶")+COUNTIF($E130:R130,"²")+COUNTIF($E130:R130,"µ")+COUNTIF($E130:R130,1),ColTypeEcheance)),
  IF(LEN(R130)=1,
  IF(LEN(INDEX(Roadmap!$D:$K,MATCH($E130,Roadmap!$D:$D,0)-1+COUNTIF($E130:R130,"u")+COUNTIF($E130:R130,"t")+COUNTIF($E130:R130,"¶")+COUNTIF($E130:R130,"²")+COUNTIF($E130:R130,"µ")+COUNTIF($E130:R130,1),ColDescriptionCourte))&gt;1,
HYPERLINK("#Roadmap!C"&amp; MATCH($E130,Roadmap!$D:$D,0)+COUNTIF($E130:R130,"u")+COUNTIF($E130:R130,"t")+COUNTIF($E130:R130,"¶")+COUNTIF($E130:R130,"²")+COUNTIF($E130:R130,"µ")+COUNTIF($E130:R130,1)-1,INDEX(Roadmap!$D:$K,MATCH($E130,Roadmap!$D:$D,0)-1+COUNTIF($E130:R130,"u")+COUNTIF($E130:R130,"t")+COUNTIF($E130:R130,"¶")+COUNTIF($E130:R130,"²")+COUNTIF($E130:R130,"µ")+COUNTIF($E130:R130,1),ColDescriptionCourte)),""),
  "")),"")</f>
        <v/>
      </c>
      <c r="T130" s="40" t="str">
        <f ca="1">IFERROR(IF(AND(
  INDEX(Roadmap!$D:$K,MATCH($E130,Roadmap!$D:$D,0)+COUNTIF($E130:S130,"u")+COUNTIF($E130:S130,"t")+COUNTIF($E130:S130,"¶")+COUNTIF($E130:S130,"²")+COUNTIF($E130:S130,"µ")+COUNTIF($E130:S130,1),ColLivraison)=T$6,
  VLOOKUP($E130,INDIRECT("tri!"&amp; CHAR(64+ C0Col) &amp;":"&amp; CHAR(65+C0Col)),2,FALSE)&gt;COUNTIF($E130:S130,"u")+COUNTIF($E130:S130,"t")+COUNTIF($E130:S130,"¶")+COUNTIF($E130:S130,"²")+COUNTIF($E130:S130,"µ")+COUNTIF($E130:S130,1)),
HYPERLINK("#Roadmap!C"&amp; MATCH($E130,Roadmap!$D:$D,0)+COUNTIF($E130:S130,"u")+COUNTIF($E130:S130,"t"),
     INDEX(Roadmap!$D:$K,MATCH($E130,Roadmap!$D:$D,0)+COUNTIF($E130:S130,"u")+COUNTIF($E130:S130,"t")+COUNTIF($E130:S130,"¶")+COUNTIF($E130:S130,"²")+COUNTIF($E130:S130,"µ")+COUNTIF($E130:S130,1),ColTypeEcheance)),
  IF(LEN(S130)=1,
  IF(LEN(INDEX(Roadmap!$D:$K,MATCH($E130,Roadmap!$D:$D,0)-1+COUNTIF($E130:S130,"u")+COUNTIF($E130:S130,"t")+COUNTIF($E130:S130,"¶")+COUNTIF($E130:S130,"²")+COUNTIF($E130:S130,"µ")+COUNTIF($E130:S130,1),ColDescriptionCourte))&gt;1,
HYPERLINK("#Roadmap!C"&amp; MATCH($E130,Roadmap!$D:$D,0)+COUNTIF($E130:S130,"u")+COUNTIF($E130:S130,"t")+COUNTIF($E130:S130,"¶")+COUNTIF($E130:S130,"²")+COUNTIF($E130:S130,"µ")+COUNTIF($E130:S130,1)-1,INDEX(Roadmap!$D:$K,MATCH($E130,Roadmap!$D:$D,0)-1+COUNTIF($E130:S130,"u")+COUNTIF($E130:S130,"t")+COUNTIF($E130:S130,"¶")+COUNTIF($E130:S130,"²")+COUNTIF($E130:S130,"µ")+COUNTIF($E130:S130,1),ColDescriptionCourte)),""),
  "")),"")</f>
        <v/>
      </c>
      <c r="U130" s="40" t="str">
        <f ca="1">IFERROR(IF(AND(
  INDEX(Roadmap!$D:$K,MATCH($E130,Roadmap!$D:$D,0)+COUNTIF($E130:T130,"u")+COUNTIF($E130:T130,"t")+COUNTIF($E130:T130,"¶")+COUNTIF($E130:T130,"²")+COUNTIF($E130:T130,"µ")+COUNTIF($E130:T130,1),ColLivraison)=U$6,
  VLOOKUP($E130,INDIRECT("tri!"&amp; CHAR(64+ C0Col) &amp;":"&amp; CHAR(65+C0Col)),2,FALSE)&gt;COUNTIF($E130:T130,"u")+COUNTIF($E130:T130,"t")+COUNTIF($E130:T130,"¶")+COUNTIF($E130:T130,"²")+COUNTIF($E130:T130,"µ")+COUNTIF($E130:T130,1)),
HYPERLINK("#Roadmap!C"&amp; MATCH($E130,Roadmap!$D:$D,0)+COUNTIF($E130:T130,"u")+COUNTIF($E130:T130,"t"),
     INDEX(Roadmap!$D:$K,MATCH($E130,Roadmap!$D:$D,0)+COUNTIF($E130:T130,"u")+COUNTIF($E130:T130,"t")+COUNTIF($E130:T130,"¶")+COUNTIF($E130:T130,"²")+COUNTIF($E130:T130,"µ")+COUNTIF($E130:T130,1),ColTypeEcheance)),
  IF(LEN(T130)=1,
  IF(LEN(INDEX(Roadmap!$D:$K,MATCH($E130,Roadmap!$D:$D,0)-1+COUNTIF($E130:T130,"u")+COUNTIF($E130:T130,"t")+COUNTIF($E130:T130,"¶")+COUNTIF($E130:T130,"²")+COUNTIF($E130:T130,"µ")+COUNTIF($E130:T130,1),ColDescriptionCourte))&gt;1,
HYPERLINK("#Roadmap!C"&amp; MATCH($E130,Roadmap!$D:$D,0)+COUNTIF($E130:T130,"u")+COUNTIF($E130:T130,"t")+COUNTIF($E130:T130,"¶")+COUNTIF($E130:T130,"²")+COUNTIF($E130:T130,"µ")+COUNTIF($E130:T130,1)-1,INDEX(Roadmap!$D:$K,MATCH($E130,Roadmap!$D:$D,0)-1+COUNTIF($E130:T130,"u")+COUNTIF($E130:T130,"t")+COUNTIF($E130:T130,"¶")+COUNTIF($E130:T130,"²")+COUNTIF($E130:T130,"µ")+COUNTIF($E130:T130,1),ColDescriptionCourte)),""),
  "")),"")</f>
        <v/>
      </c>
      <c r="V130" s="40" t="str">
        <f ca="1">IFERROR(IF(AND(
  INDEX(Roadmap!$D:$K,MATCH($E130,Roadmap!$D:$D,0)+COUNTIF($E130:U130,"u")+COUNTIF($E130:U130,"t")+COUNTIF($E130:U130,"¶")+COUNTIF($E130:U130,"²")+COUNTIF($E130:U130,"µ")+COUNTIF($E130:U130,1),ColLivraison)=V$6,
  VLOOKUP($E130,INDIRECT("tri!"&amp; CHAR(64+ C0Col) &amp;":"&amp; CHAR(65+C0Col)),2,FALSE)&gt;COUNTIF($E130:U130,"u")+COUNTIF($E130:U130,"t")+COUNTIF($E130:U130,"¶")+COUNTIF($E130:U130,"²")+COUNTIF($E130:U130,"µ")+COUNTIF($E130:U130,1)),
HYPERLINK("#Roadmap!C"&amp; MATCH($E130,Roadmap!$D:$D,0)+COUNTIF($E130:U130,"u")+COUNTIF($E130:U130,"t"),
     INDEX(Roadmap!$D:$K,MATCH($E130,Roadmap!$D:$D,0)+COUNTIF($E130:U130,"u")+COUNTIF($E130:U130,"t")+COUNTIF($E130:U130,"¶")+COUNTIF($E130:U130,"²")+COUNTIF($E130:U130,"µ")+COUNTIF($E130:U130,1),ColTypeEcheance)),
  IF(LEN(U130)=1,
  IF(LEN(INDEX(Roadmap!$D:$K,MATCH($E130,Roadmap!$D:$D,0)-1+COUNTIF($E130:U130,"u")+COUNTIF($E130:U130,"t")+COUNTIF($E130:U130,"¶")+COUNTIF($E130:U130,"²")+COUNTIF($E130:U130,"µ")+COUNTIF($E130:U130,1),ColDescriptionCourte))&gt;1,
HYPERLINK("#Roadmap!C"&amp; MATCH($E130,Roadmap!$D:$D,0)+COUNTIF($E130:U130,"u")+COUNTIF($E130:U130,"t")+COUNTIF($E130:U130,"¶")+COUNTIF($E130:U130,"²")+COUNTIF($E130:U130,"µ")+COUNTIF($E130:U130,1)-1,INDEX(Roadmap!$D:$K,MATCH($E130,Roadmap!$D:$D,0)-1+COUNTIF($E130:U130,"u")+COUNTIF($E130:U130,"t")+COUNTIF($E130:U130,"¶")+COUNTIF($E130:U130,"²")+COUNTIF($E130:U130,"µ")+COUNTIF($E130:U130,1),ColDescriptionCourte)),""),
  "")),"")</f>
        <v/>
      </c>
      <c r="W130" s="40" t="str">
        <f ca="1">IFERROR(IF(AND(
  INDEX(Roadmap!$D:$K,MATCH($E130,Roadmap!$D:$D,0)+COUNTIF($E130:V130,"u")+COUNTIF($E130:V130,"t")+COUNTIF($E130:V130,"¶")+COUNTIF($E130:V130,"²")+COUNTIF($E130:V130,"µ")+COUNTIF($E130:V130,1),ColLivraison)=W$6,
  VLOOKUP($E130,INDIRECT("tri!"&amp; CHAR(64+ C0Col) &amp;":"&amp; CHAR(65+C0Col)),2,FALSE)&gt;COUNTIF($E130:V130,"u")+COUNTIF($E130:V130,"t")+COUNTIF($E130:V130,"¶")+COUNTIF($E130:V130,"²")+COUNTIF($E130:V130,"µ")+COUNTIF($E130:V130,1)),
HYPERLINK("#Roadmap!C"&amp; MATCH($E130,Roadmap!$D:$D,0)+COUNTIF($E130:V130,"u")+COUNTIF($E130:V130,"t"),
     INDEX(Roadmap!$D:$K,MATCH($E130,Roadmap!$D:$D,0)+COUNTIF($E130:V130,"u")+COUNTIF($E130:V130,"t")+COUNTIF($E130:V130,"¶")+COUNTIF($E130:V130,"²")+COUNTIF($E130:V130,"µ")+COUNTIF($E130:V130,1),ColTypeEcheance)),
  IF(LEN(V130)=1,
  IF(LEN(INDEX(Roadmap!$D:$K,MATCH($E130,Roadmap!$D:$D,0)-1+COUNTIF($E130:V130,"u")+COUNTIF($E130:V130,"t")+COUNTIF($E130:V130,"¶")+COUNTIF($E130:V130,"²")+COUNTIF($E130:V130,"µ")+COUNTIF($E130:V130,1),ColDescriptionCourte))&gt;1,
HYPERLINK("#Roadmap!C"&amp; MATCH($E130,Roadmap!$D:$D,0)+COUNTIF($E130:V130,"u")+COUNTIF($E130:V130,"t")+COUNTIF($E130:V130,"¶")+COUNTIF($E130:V130,"²")+COUNTIF($E130:V130,"µ")+COUNTIF($E130:V130,1)-1,INDEX(Roadmap!$D:$K,MATCH($E130,Roadmap!$D:$D,0)-1+COUNTIF($E130:V130,"u")+COUNTIF($E130:V130,"t")+COUNTIF($E130:V130,"¶")+COUNTIF($E130:V130,"²")+COUNTIF($E130:V130,"µ")+COUNTIF($E130:V130,1),ColDescriptionCourte)),""),
  "")),"")</f>
        <v/>
      </c>
      <c r="X130" s="40" t="str">
        <f ca="1">IFERROR(IF(AND(
  INDEX(Roadmap!$D:$K,MATCH($E130,Roadmap!$D:$D,0)+COUNTIF($E130:W130,"u")+COUNTIF($E130:W130,"t")+COUNTIF($E130:W130,"¶")+COUNTIF($E130:W130,"²")+COUNTIF($E130:W130,"µ")+COUNTIF($E130:W130,1),ColLivraison)=X$6,
  VLOOKUP($E130,INDIRECT("tri!"&amp; CHAR(64+ C0Col) &amp;":"&amp; CHAR(65+C0Col)),2,FALSE)&gt;COUNTIF($E130:W130,"u")+COUNTIF($E130:W130,"t")+COUNTIF($E130:W130,"¶")+COUNTIF($E130:W130,"²")+COUNTIF($E130:W130,"µ")+COUNTIF($E130:W130,1)),
HYPERLINK("#Roadmap!C"&amp; MATCH($E130,Roadmap!$D:$D,0)+COUNTIF($E130:W130,"u")+COUNTIF($E130:W130,"t"),
     INDEX(Roadmap!$D:$K,MATCH($E130,Roadmap!$D:$D,0)+COUNTIF($E130:W130,"u")+COUNTIF($E130:W130,"t")+COUNTIF($E130:W130,"¶")+COUNTIF($E130:W130,"²")+COUNTIF($E130:W130,"µ")+COUNTIF($E130:W130,1),ColTypeEcheance)),
  IF(LEN(W130)=1,
  IF(LEN(INDEX(Roadmap!$D:$K,MATCH($E130,Roadmap!$D:$D,0)-1+COUNTIF($E130:W130,"u")+COUNTIF($E130:W130,"t")+COUNTIF($E130:W130,"¶")+COUNTIF($E130:W130,"²")+COUNTIF($E130:W130,"µ")+COUNTIF($E130:W130,1),ColDescriptionCourte))&gt;1,
HYPERLINK("#Roadmap!C"&amp; MATCH($E130,Roadmap!$D:$D,0)+COUNTIF($E130:W130,"u")+COUNTIF($E130:W130,"t")+COUNTIF($E130:W130,"¶")+COUNTIF($E130:W130,"²")+COUNTIF($E130:W130,"µ")+COUNTIF($E130:W130,1)-1,INDEX(Roadmap!$D:$K,MATCH($E130,Roadmap!$D:$D,0)-1+COUNTIF($E130:W130,"u")+COUNTIF($E130:W130,"t")+COUNTIF($E130:W130,"¶")+COUNTIF($E130:W130,"²")+COUNTIF($E130:W130,"µ")+COUNTIF($E130:W130,1),ColDescriptionCourte)),""),
  "")),"")</f>
        <v/>
      </c>
      <c r="Y130" s="40" t="str">
        <f ca="1">IFERROR(IF(AND(
  INDEX(Roadmap!$D:$K,MATCH($E130,Roadmap!$D:$D,0)+COUNTIF($E130:X130,"u")+COUNTIF($E130:X130,"t")+COUNTIF($E130:X130,"¶")+COUNTIF($E130:X130,"²")+COUNTIF($E130:X130,"µ")+COUNTIF($E130:X130,1),ColLivraison)=Y$6,
  VLOOKUP($E130,INDIRECT("tri!"&amp; CHAR(64+ C0Col) &amp;":"&amp; CHAR(65+C0Col)),2,FALSE)&gt;COUNTIF($E130:X130,"u")+COUNTIF($E130:X130,"t")+COUNTIF($E130:X130,"¶")+COUNTIF($E130:X130,"²")+COUNTIF($E130:X130,"µ")+COUNTIF($E130:X130,1)),
HYPERLINK("#Roadmap!C"&amp; MATCH($E130,Roadmap!$D:$D,0)+COUNTIF($E130:X130,"u")+COUNTIF($E130:X130,"t"),
     INDEX(Roadmap!$D:$K,MATCH($E130,Roadmap!$D:$D,0)+COUNTIF($E130:X130,"u")+COUNTIF($E130:X130,"t")+COUNTIF($E130:X130,"¶")+COUNTIF($E130:X130,"²")+COUNTIF($E130:X130,"µ")+COUNTIF($E130:X130,1),ColTypeEcheance)),
  IF(LEN(X130)=1,
  IF(LEN(INDEX(Roadmap!$D:$K,MATCH($E130,Roadmap!$D:$D,0)-1+COUNTIF($E130:X130,"u")+COUNTIF($E130:X130,"t")+COUNTIF($E130:X130,"¶")+COUNTIF($E130:X130,"²")+COUNTIF($E130:X130,"µ")+COUNTIF($E130:X130,1),ColDescriptionCourte))&gt;1,
HYPERLINK("#Roadmap!C"&amp; MATCH($E130,Roadmap!$D:$D,0)+COUNTIF($E130:X130,"u")+COUNTIF($E130:X130,"t")+COUNTIF($E130:X130,"¶")+COUNTIF($E130:X130,"²")+COUNTIF($E130:X130,"µ")+COUNTIF($E130:X130,1)-1,INDEX(Roadmap!$D:$K,MATCH($E130,Roadmap!$D:$D,0)-1+COUNTIF($E130:X130,"u")+COUNTIF($E130:X130,"t")+COUNTIF($E130:X130,"¶")+COUNTIF($E130:X130,"²")+COUNTIF($E130:X130,"µ")+COUNTIF($E130:X130,1),ColDescriptionCourte)),""),
  "")),"")</f>
        <v/>
      </c>
      <c r="Z130" s="40" t="str">
        <f ca="1">IFERROR(IF(AND(
  INDEX(Roadmap!$D:$K,MATCH($E130,Roadmap!$D:$D,0)+COUNTIF($E130:Y130,"u")+COUNTIF($E130:Y130,"t")+COUNTIF($E130:Y130,"¶")+COUNTIF($E130:Y130,"²")+COUNTIF($E130:Y130,"µ")+COUNTIF($E130:Y130,1),ColLivraison)=Z$6,
  VLOOKUP($E130,INDIRECT("tri!"&amp; CHAR(64+ C0Col) &amp;":"&amp; CHAR(65+C0Col)),2,FALSE)&gt;COUNTIF($E130:Y130,"u")+COUNTIF($E130:Y130,"t")+COUNTIF($E130:Y130,"¶")+COUNTIF($E130:Y130,"²")+COUNTIF($E130:Y130,"µ")+COUNTIF($E130:Y130,1)),
HYPERLINK("#Roadmap!C"&amp; MATCH($E130,Roadmap!$D:$D,0)+COUNTIF($E130:Y130,"u")+COUNTIF($E130:Y130,"t"),
     INDEX(Roadmap!$D:$K,MATCH($E130,Roadmap!$D:$D,0)+COUNTIF($E130:Y130,"u")+COUNTIF($E130:Y130,"t")+COUNTIF($E130:Y130,"¶")+COUNTIF($E130:Y130,"²")+COUNTIF($E130:Y130,"µ")+COUNTIF($E130:Y130,1),ColTypeEcheance)),
  IF(LEN(Y130)=1,
  IF(LEN(INDEX(Roadmap!$D:$K,MATCH($E130,Roadmap!$D:$D,0)-1+COUNTIF($E130:Y130,"u")+COUNTIF($E130:Y130,"t")+COUNTIF($E130:Y130,"¶")+COUNTIF($E130:Y130,"²")+COUNTIF($E130:Y130,"µ")+COUNTIF($E130:Y130,1),ColDescriptionCourte))&gt;1,
HYPERLINK("#Roadmap!C"&amp; MATCH($E130,Roadmap!$D:$D,0)+COUNTIF($E130:Y130,"u")+COUNTIF($E130:Y130,"t")+COUNTIF($E130:Y130,"¶")+COUNTIF($E130:Y130,"²")+COUNTIF($E130:Y130,"µ")+COUNTIF($E130:Y130,1)-1,INDEX(Roadmap!$D:$K,MATCH($E130,Roadmap!$D:$D,0)-1+COUNTIF($E130:Y130,"u")+COUNTIF($E130:Y130,"t")+COUNTIF($E130:Y130,"¶")+COUNTIF($E130:Y130,"²")+COUNTIF($E130:Y130,"µ")+COUNTIF($E130:Y130,1),ColDescriptionCourte)),""),
  "")),"")</f>
        <v/>
      </c>
      <c r="AA130" s="40" t="str">
        <f ca="1">IFERROR(IF(AND(
  INDEX(Roadmap!$D:$K,MATCH($E130,Roadmap!$D:$D,0)+COUNTIF($E130:Z130,"u")+COUNTIF($E130:Z130,"t")+COUNTIF($E130:Z130,"¶")+COUNTIF($E130:Z130,"²")+COUNTIF($E130:Z130,"µ")+COUNTIF($E130:Z130,1),ColLivraison)=AA$6,
  VLOOKUP($E130,INDIRECT("tri!"&amp; CHAR(64+ C0Col) &amp;":"&amp; CHAR(65+C0Col)),2,FALSE)&gt;COUNTIF($E130:Z130,"u")+COUNTIF($E130:Z130,"t")+COUNTIF($E130:Z130,"¶")+COUNTIF($E130:Z130,"²")+COUNTIF($E130:Z130,"µ")+COUNTIF($E130:Z130,1)),
HYPERLINK("#Roadmap!C"&amp; MATCH($E130,Roadmap!$D:$D,0)+COUNTIF($E130:Z130,"u")+COUNTIF($E130:Z130,"t"),
     INDEX(Roadmap!$D:$K,MATCH($E130,Roadmap!$D:$D,0)+COUNTIF($E130:Z130,"u")+COUNTIF($E130:Z130,"t")+COUNTIF($E130:Z130,"¶")+COUNTIF($E130:Z130,"²")+COUNTIF($E130:Z130,"µ")+COUNTIF($E130:Z130,1),ColTypeEcheance)),
  IF(LEN(Z130)=1,
  IF(LEN(INDEX(Roadmap!$D:$K,MATCH($E130,Roadmap!$D:$D,0)-1+COUNTIF($E130:Z130,"u")+COUNTIF($E130:Z130,"t")+COUNTIF($E130:Z130,"¶")+COUNTIF($E130:Z130,"²")+COUNTIF($E130:Z130,"µ")+COUNTIF($E130:Z130,1),ColDescriptionCourte))&gt;1,
HYPERLINK("#Roadmap!C"&amp; MATCH($E130,Roadmap!$D:$D,0)+COUNTIF($E130:Z130,"u")+COUNTIF($E130:Z130,"t")+COUNTIF($E130:Z130,"¶")+COUNTIF($E130:Z130,"²")+COUNTIF($E130:Z130,"µ")+COUNTIF($E130:Z130,1)-1,INDEX(Roadmap!$D:$K,MATCH($E130,Roadmap!$D:$D,0)-1+COUNTIF($E130:Z130,"u")+COUNTIF($E130:Z130,"t")+COUNTIF($E130:Z130,"¶")+COUNTIF($E130:Z130,"²")+COUNTIF($E130:Z130,"µ")+COUNTIF($E130:Z130,1),ColDescriptionCourte)),""),
  "")),"")</f>
        <v/>
      </c>
      <c r="AB130" s="40" t="str">
        <f ca="1">IFERROR(IF(AND(
  INDEX(Roadmap!$D:$K,MATCH($E130,Roadmap!$D:$D,0)+COUNTIF($E130:AA130,"u")+COUNTIF($E130:AA130,"t")+COUNTIF($E130:AA130,"¶")+COUNTIF($E130:AA130,"²")+COUNTIF($E130:AA130,"µ")+COUNTIF($E130:AA130,1),ColLivraison)=AB$6,
  VLOOKUP($E130,INDIRECT("tri!"&amp; CHAR(64+ C0Col) &amp;":"&amp; CHAR(65+C0Col)),2,FALSE)&gt;COUNTIF($E130:AA130,"u")+COUNTIF($E130:AA130,"t")+COUNTIF($E130:AA130,"¶")+COUNTIF($E130:AA130,"²")+COUNTIF($E130:AA130,"µ")+COUNTIF($E130:AA130,1)),
HYPERLINK("#Roadmap!C"&amp; MATCH($E130,Roadmap!$D:$D,0)+COUNTIF($E130:AA130,"u")+COUNTIF($E130:AA130,"t"),
     INDEX(Roadmap!$D:$K,MATCH($E130,Roadmap!$D:$D,0)+COUNTIF($E130:AA130,"u")+COUNTIF($E130:AA130,"t")+COUNTIF($E130:AA130,"¶")+COUNTIF($E130:AA130,"²")+COUNTIF($E130:AA130,"µ")+COUNTIF($E130:AA130,1),ColTypeEcheance)),
  IF(LEN(AA130)=1,
  IF(LEN(INDEX(Roadmap!$D:$K,MATCH($E130,Roadmap!$D:$D,0)-1+COUNTIF($E130:AA130,"u")+COUNTIF($E130:AA130,"t")+COUNTIF($E130:AA130,"¶")+COUNTIF($E130:AA130,"²")+COUNTIF($E130:AA130,"µ")+COUNTIF($E130:AA130,1),ColDescriptionCourte))&gt;1,
HYPERLINK("#Roadmap!C"&amp; MATCH($E130,Roadmap!$D:$D,0)+COUNTIF($E130:AA130,"u")+COUNTIF($E130:AA130,"t")+COUNTIF($E130:AA130,"¶")+COUNTIF($E130:AA130,"²")+COUNTIF($E130:AA130,"µ")+COUNTIF($E130:AA130,1)-1,INDEX(Roadmap!$D:$K,MATCH($E130,Roadmap!$D:$D,0)-1+COUNTIF($E130:AA130,"u")+COUNTIF($E130:AA130,"t")+COUNTIF($E130:AA130,"¶")+COUNTIF($E130:AA130,"²")+COUNTIF($E130:AA130,"µ")+COUNTIF($E130:AA130,1),ColDescriptionCourte)),""),
  "")),"")</f>
        <v/>
      </c>
      <c r="AC130" s="40" t="str">
        <f ca="1">IFERROR(IF(AND(
  INDEX(Roadmap!$D:$K,MATCH($E130,Roadmap!$D:$D,0)+COUNTIF($E130:AB130,"u")+COUNTIF($E130:AB130,"t")+COUNTIF($E130:AB130,"¶")+COUNTIF($E130:AB130,"²")+COUNTIF($E130:AB130,"µ")+COUNTIF($E130:AB130,1),ColLivraison)=AC$6,
  VLOOKUP($E130,INDIRECT("tri!"&amp; CHAR(64+ C0Col) &amp;":"&amp; CHAR(65+C0Col)),2,FALSE)&gt;COUNTIF($E130:AB130,"u")+COUNTIF($E130:AB130,"t")+COUNTIF($E130:AB130,"¶")+COUNTIF($E130:AB130,"²")+COUNTIF($E130:AB130,"µ")+COUNTIF($E130:AB130,1)),
HYPERLINK("#Roadmap!C"&amp; MATCH($E130,Roadmap!$D:$D,0)+COUNTIF($E130:AB130,"u")+COUNTIF($E130:AB130,"t"),
     INDEX(Roadmap!$D:$K,MATCH($E130,Roadmap!$D:$D,0)+COUNTIF($E130:AB130,"u")+COUNTIF($E130:AB130,"t")+COUNTIF($E130:AB130,"¶")+COUNTIF($E130:AB130,"²")+COUNTIF($E130:AB130,"µ")+COUNTIF($E130:AB130,1),ColTypeEcheance)),
  IF(LEN(AB130)=1,
  IF(LEN(INDEX(Roadmap!$D:$K,MATCH($E130,Roadmap!$D:$D,0)-1+COUNTIF($E130:AB130,"u")+COUNTIF($E130:AB130,"t")+COUNTIF($E130:AB130,"¶")+COUNTIF($E130:AB130,"²")+COUNTIF($E130:AB130,"µ")+COUNTIF($E130:AB130,1),ColDescriptionCourte))&gt;1,
HYPERLINK("#Roadmap!C"&amp; MATCH($E130,Roadmap!$D:$D,0)+COUNTIF($E130:AB130,"u")+COUNTIF($E130:AB130,"t")+COUNTIF($E130:AB130,"¶")+COUNTIF($E130:AB130,"²")+COUNTIF($E130:AB130,"µ")+COUNTIF($E130:AB130,1)-1,INDEX(Roadmap!$D:$K,MATCH($E130,Roadmap!$D:$D,0)-1+COUNTIF($E130:AB130,"u")+COUNTIF($E130:AB130,"t")+COUNTIF($E130:AB130,"¶")+COUNTIF($E130:AB130,"²")+COUNTIF($E130:AB130,"µ")+COUNTIF($E130:AB130,1),ColDescriptionCourte)),""),
  "")),"")</f>
        <v/>
      </c>
      <c r="AD130" s="40" t="str">
        <f ca="1">IFERROR(IF(AND(
  INDEX(Roadmap!$D:$K,MATCH($E130,Roadmap!$D:$D,0)+COUNTIF($E130:AC130,"u")+COUNTIF($E130:AC130,"t")+COUNTIF($E130:AC130,"¶")+COUNTIF($E130:AC130,"²")+COUNTIF($E130:AC130,"µ")+COUNTIF($E130:AC130,1),ColLivraison)=AD$6,
  VLOOKUP($E130,INDIRECT("tri!"&amp; CHAR(64+ C0Col) &amp;":"&amp; CHAR(65+C0Col)),2,FALSE)&gt;COUNTIF($E130:AC130,"u")+COUNTIF($E130:AC130,"t")+COUNTIF($E130:AC130,"¶")+COUNTIF($E130:AC130,"²")+COUNTIF($E130:AC130,"µ")+COUNTIF($E130:AC130,1)),
HYPERLINK("#Roadmap!C"&amp; MATCH($E130,Roadmap!$D:$D,0)+COUNTIF($E130:AC130,"u")+COUNTIF($E130:AC130,"t"),
     INDEX(Roadmap!$D:$K,MATCH($E130,Roadmap!$D:$D,0)+COUNTIF($E130:AC130,"u")+COUNTIF($E130:AC130,"t")+COUNTIF($E130:AC130,"¶")+COUNTIF($E130:AC130,"²")+COUNTIF($E130:AC130,"µ")+COUNTIF($E130:AC130,1),ColTypeEcheance)),
  IF(LEN(AC130)=1,
  IF(LEN(INDEX(Roadmap!$D:$K,MATCH($E130,Roadmap!$D:$D,0)-1+COUNTIF($E130:AC130,"u")+COUNTIF($E130:AC130,"t")+COUNTIF($E130:AC130,"¶")+COUNTIF($E130:AC130,"²")+COUNTIF($E130:AC130,"µ")+COUNTIF($E130:AC130,1),ColDescriptionCourte))&gt;1,
HYPERLINK("#Roadmap!C"&amp; MATCH($E130,Roadmap!$D:$D,0)+COUNTIF($E130:AC130,"u")+COUNTIF($E130:AC130,"t")+COUNTIF($E130:AC130,"¶")+COUNTIF($E130:AC130,"²")+COUNTIF($E130:AC130,"µ")+COUNTIF($E130:AC130,1)-1,INDEX(Roadmap!$D:$K,MATCH($E130,Roadmap!$D:$D,0)-1+COUNTIF($E130:AC130,"u")+COUNTIF($E130:AC130,"t")+COUNTIF($E130:AC130,"¶")+COUNTIF($E130:AC130,"²")+COUNTIF($E130:AC130,"µ")+COUNTIF($E130:AC130,1),ColDescriptionCourte)),""),
  "")),"")</f>
        <v/>
      </c>
      <c r="AE130" s="40" t="str">
        <f ca="1">IFERROR(IF(AND(
  INDEX(Roadmap!$D:$K,MATCH($E130,Roadmap!$D:$D,0)+COUNTIF($E130:AD130,"u")+COUNTIF($E130:AD130,"t")+COUNTIF($E130:AD130,"¶")+COUNTIF($E130:AD130,"²")+COUNTIF($E130:AD130,"µ")+COUNTIF($E130:AD130,1),ColLivraison)=AE$6,
  VLOOKUP($E130,INDIRECT("tri!"&amp; CHAR(64+ C0Col) &amp;":"&amp; CHAR(65+C0Col)),2,FALSE)&gt;COUNTIF($E130:AD130,"u")+COUNTIF($E130:AD130,"t")+COUNTIF($E130:AD130,"¶")+COUNTIF($E130:AD130,"²")+COUNTIF($E130:AD130,"µ")+COUNTIF($E130:AD130,1)),
HYPERLINK("#Roadmap!C"&amp; MATCH($E130,Roadmap!$D:$D,0)+COUNTIF($E130:AD130,"u")+COUNTIF($E130:AD130,"t"),
     INDEX(Roadmap!$D:$K,MATCH($E130,Roadmap!$D:$D,0)+COUNTIF($E130:AD130,"u")+COUNTIF($E130:AD130,"t")+COUNTIF($E130:AD130,"¶")+COUNTIF($E130:AD130,"²")+COUNTIF($E130:AD130,"µ")+COUNTIF($E130:AD130,1),ColTypeEcheance)),
  IF(LEN(AD130)=1,
  IF(LEN(INDEX(Roadmap!$D:$K,MATCH($E130,Roadmap!$D:$D,0)-1+COUNTIF($E130:AD130,"u")+COUNTIF($E130:AD130,"t")+COUNTIF($E130:AD130,"¶")+COUNTIF($E130:AD130,"²")+COUNTIF($E130:AD130,"µ")+COUNTIF($E130:AD130,1),ColDescriptionCourte))&gt;1,
HYPERLINK("#Roadmap!C"&amp; MATCH($E130,Roadmap!$D:$D,0)+COUNTIF($E130:AD130,"u")+COUNTIF($E130:AD130,"t")+COUNTIF($E130:AD130,"¶")+COUNTIF($E130:AD130,"²")+COUNTIF($E130:AD130,"µ")+COUNTIF($E130:AD130,1)-1,INDEX(Roadmap!$D:$K,MATCH($E130,Roadmap!$D:$D,0)-1+COUNTIF($E130:AD130,"u")+COUNTIF($E130:AD130,"t")+COUNTIF($E130:AD130,"¶")+COUNTIF($E130:AD130,"²")+COUNTIF($E130:AD130,"µ")+COUNTIF($E130:AD130,1),ColDescriptionCourte)),""),
  "")),"")</f>
        <v/>
      </c>
      <c r="AF130" s="40" t="str">
        <f ca="1">IFERROR(IF(AND(
  INDEX(Roadmap!$D:$K,MATCH($E130,Roadmap!$D:$D,0)+COUNTIF($E130:AE130,"u")+COUNTIF($E130:AE130,"t")+COUNTIF($E130:AE130,"¶")+COUNTIF($E130:AE130,"²")+COUNTIF($E130:AE130,"µ")+COUNTIF($E130:AE130,1),ColLivraison)=AF$6,
  VLOOKUP($E130,INDIRECT("tri!"&amp; CHAR(64+ C0Col) &amp;":"&amp; CHAR(65+C0Col)),2,FALSE)&gt;COUNTIF($E130:AE130,"u")+COUNTIF($E130:AE130,"t")+COUNTIF($E130:AE130,"¶")+COUNTIF($E130:AE130,"²")+COUNTIF($E130:AE130,"µ")+COUNTIF($E130:AE130,1)),
HYPERLINK("#Roadmap!C"&amp; MATCH($E130,Roadmap!$D:$D,0)+COUNTIF($E130:AE130,"u")+COUNTIF($E130:AE130,"t"),
     INDEX(Roadmap!$D:$K,MATCH($E130,Roadmap!$D:$D,0)+COUNTIF($E130:AE130,"u")+COUNTIF($E130:AE130,"t")+COUNTIF($E130:AE130,"¶")+COUNTIF($E130:AE130,"²")+COUNTIF($E130:AE130,"µ")+COUNTIF($E130:AE130,1),ColTypeEcheance)),
  IF(LEN(AE130)=1,
  IF(LEN(INDEX(Roadmap!$D:$K,MATCH($E130,Roadmap!$D:$D,0)-1+COUNTIF($E130:AE130,"u")+COUNTIF($E130:AE130,"t")+COUNTIF($E130:AE130,"¶")+COUNTIF($E130:AE130,"²")+COUNTIF($E130:AE130,"µ")+COUNTIF($E130:AE130,1),ColDescriptionCourte))&gt;1,
HYPERLINK("#Roadmap!C"&amp; MATCH($E130,Roadmap!$D:$D,0)+COUNTIF($E130:AE130,"u")+COUNTIF($E130:AE130,"t")+COUNTIF($E130:AE130,"¶")+COUNTIF($E130:AE130,"²")+COUNTIF($E130:AE130,"µ")+COUNTIF($E130:AE130,1)-1,INDEX(Roadmap!$D:$K,MATCH($E130,Roadmap!$D:$D,0)-1+COUNTIF($E130:AE130,"u")+COUNTIF($E130:AE130,"t")+COUNTIF($E130:AE130,"¶")+COUNTIF($E130:AE130,"²")+COUNTIF($E130:AE130,"µ")+COUNTIF($E130:AE130,1),ColDescriptionCourte)),""),
  "")),"")</f>
        <v/>
      </c>
      <c r="AG130" s="40" t="str">
        <f ca="1">IFERROR(IF(AND(
  INDEX(Roadmap!$D:$K,MATCH($E130,Roadmap!$D:$D,0)+COUNTIF($E130:AF130,"u")+COUNTIF($E130:AF130,"t")+COUNTIF($E130:AF130,"¶")+COUNTIF($E130:AF130,"²")+COUNTIF($E130:AF130,"µ")+COUNTIF($E130:AF130,1),ColLivraison)=AG$6,
  VLOOKUP($E130,INDIRECT("tri!"&amp; CHAR(64+ C0Col) &amp;":"&amp; CHAR(65+C0Col)),2,FALSE)&gt;COUNTIF($E130:AF130,"u")+COUNTIF($E130:AF130,"t")+COUNTIF($E130:AF130,"¶")+COUNTIF($E130:AF130,"²")+COUNTIF($E130:AF130,"µ")+COUNTIF($E130:AF130,1)),
HYPERLINK("#Roadmap!C"&amp; MATCH($E130,Roadmap!$D:$D,0)+COUNTIF($E130:AF130,"u")+COUNTIF($E130:AF130,"t"),
     INDEX(Roadmap!$D:$K,MATCH($E130,Roadmap!$D:$D,0)+COUNTIF($E130:AF130,"u")+COUNTIF($E130:AF130,"t")+COUNTIF($E130:AF130,"¶")+COUNTIF($E130:AF130,"²")+COUNTIF($E130:AF130,"µ")+COUNTIF($E130:AF130,1),ColTypeEcheance)),
  IF(LEN(AF130)=1,
  IF(LEN(INDEX(Roadmap!$D:$K,MATCH($E130,Roadmap!$D:$D,0)-1+COUNTIF($E130:AF130,"u")+COUNTIF($E130:AF130,"t")+COUNTIF($E130:AF130,"¶")+COUNTIF($E130:AF130,"²")+COUNTIF($E130:AF130,"µ")+COUNTIF($E130:AF130,1),ColDescriptionCourte))&gt;1,
HYPERLINK("#Roadmap!C"&amp; MATCH($E130,Roadmap!$D:$D,0)+COUNTIF($E130:AF130,"u")+COUNTIF($E130:AF130,"t")+COUNTIF($E130:AF130,"¶")+COUNTIF($E130:AF130,"²")+COUNTIF($E130:AF130,"µ")+COUNTIF($E130:AF130,1)-1,INDEX(Roadmap!$D:$K,MATCH($E130,Roadmap!$D:$D,0)-1+COUNTIF($E130:AF130,"u")+COUNTIF($E130:AF130,"t")+COUNTIF($E130:AF130,"¶")+COUNTIF($E130:AF130,"²")+COUNTIF($E130:AF130,"µ")+COUNTIF($E130:AF130,1),ColDescriptionCourte)),""),
  "")),"")</f>
        <v/>
      </c>
    </row>
    <row r="131" spans="3:33" ht="14.25" customHeight="1">
      <c r="C131" s="1" t="str">
        <f t="shared" ca="1" si="49"/>
        <v/>
      </c>
      <c r="D131" s="1" t="str">
        <f t="shared" ca="1" si="50"/>
        <v/>
      </c>
      <c r="E131" s="35" t="str">
        <f t="shared" ca="1" si="46"/>
        <v/>
      </c>
      <c r="F131" s="39" t="str">
        <f ca="1">IFERROR(IF(AND(
  INDEX(Roadmap!$D:$K,MATCH($E131,Roadmap!$D:$D,0)+COUNTIF($E131:E131,"u")+COUNTIF($E131:E131,"t")+COUNTIF($E131:E131,"¶")+COUNTIF($E131:E131,"²")+COUNTIF($E131:E131,"µ")+COUNTIF($E131:E131,1),ColLivraison)=F$6,
  VLOOKUP($E131,INDIRECT("tri!"&amp; CHAR(64+ C0Col) &amp;":"&amp; CHAR(65+C0Col)),2,FALSE)&gt;COUNTIF($E131:E131,"u")+COUNTIF($E131:E131,"t")+COUNTIF($E131:E131,"¶")+COUNTIF($E131:E131,"²")+COUNTIF($E131:E131,"µ")+COUNTIF($E131:E131,1)),
HYPERLINK("#Roadmap!C"&amp; MATCH($E131,Roadmap!$D:$D,0)+COUNTIF($E131:E131,"u")+COUNTIF($E131:E131,"t"),
     INDEX(Roadmap!$D:$K,MATCH($E131,Roadmap!$D:$D,0)+COUNTIF($E131:E131,"u")+COUNTIF($E131:E131,"t")+COUNTIF($E131:E131,"¶")+COUNTIF($E131:E131,"²")+COUNTIF($E131:E131,"µ")+COUNTIF($E131:E131,1),ColTypeEcheance)),
  IF(LEN(E131)=1,
  IF(LEN(INDEX(Roadmap!$D:$K,MATCH($E131,Roadmap!$D:$D,0)-1+COUNTIF($E131:E131,"u")+COUNTIF($E131:E131,"t")+COUNTIF($E131:E131,"¶")+COUNTIF($E131:E131,"²")+COUNTIF($E131:E131,"µ")+COUNTIF($E131:E131,1),ColDescriptionCourte))&gt;1,
HYPERLINK("#Roadmap!C"&amp; MATCH($E131,Roadmap!$D:$D,0)+COUNTIF($E131:E131,"u")+COUNTIF($E131:E131,"t")+COUNTIF($E131:E131,"¶")+COUNTIF($E131:E131,"²")+COUNTIF($E131:E131,"µ")+COUNTIF($E131:E131,1)-1,INDEX(Roadmap!$D:$K,MATCH($E131,Roadmap!$D:$D,0)-1+COUNTIF($E131:E131,"u")+COUNTIF($E131:E131,"t")+COUNTIF($E131:E131,"¶")+COUNTIF($E131:E131,"²")+COUNTIF($E131:E131,"µ")+COUNTIF($E131:E131,1),ColDescriptionCourte)),""),
  "")),"")</f>
        <v/>
      </c>
      <c r="G131" s="40" t="str">
        <f ca="1">IFERROR(IF(AND(
  INDEX(Roadmap!$D:$K,MATCH($E131,Roadmap!$D:$D,0)+COUNTIF($E131:F131,"u")+COUNTIF($E131:F131,"t")+COUNTIF($E131:F131,"¶")+COUNTIF($E131:F131,"²")+COUNTIF($E131:F131,"µ")+COUNTIF($E131:F131,1),ColLivraison)=G$6,
  VLOOKUP($E131,INDIRECT("tri!"&amp; CHAR(64+ C0Col) &amp;":"&amp; CHAR(65+C0Col)),2,FALSE)&gt;COUNTIF($E131:F131,"u")+COUNTIF($E131:F131,"t")+COUNTIF($E131:F131,"¶")+COUNTIF($E131:F131,"²")+COUNTIF($E131:F131,"µ")+COUNTIF($E131:F131,1)),
HYPERLINK("#Roadmap!C"&amp; MATCH($E131,Roadmap!$D:$D,0)+COUNTIF($E131:F131,"u")+COUNTIF($E131:F131,"t"),
     INDEX(Roadmap!$D:$K,MATCH($E131,Roadmap!$D:$D,0)+COUNTIF($E131:F131,"u")+COUNTIF($E131:F131,"t")+COUNTIF($E131:F131,"¶")+COUNTIF($E131:F131,"²")+COUNTIF($E131:F131,"µ")+COUNTIF($E131:F131,1),ColTypeEcheance)),
  IF(LEN(F131)=1,
  IF(LEN(INDEX(Roadmap!$D:$K,MATCH($E131,Roadmap!$D:$D,0)-1+COUNTIF($E131:F131,"u")+COUNTIF($E131:F131,"t")+COUNTIF($E131:F131,"¶")+COUNTIF($E131:F131,"²")+COUNTIF($E131:F131,"µ")+COUNTIF($E131:F131,1),ColDescriptionCourte))&gt;1,
HYPERLINK("#Roadmap!C"&amp; MATCH($E131,Roadmap!$D:$D,0)+COUNTIF($E131:F131,"u")+COUNTIF($E131:F131,"t")+COUNTIF($E131:F131,"¶")+COUNTIF($E131:F131,"²")+COUNTIF($E131:F131,"µ")+COUNTIF($E131:F131,1)-1,INDEX(Roadmap!$D:$K,MATCH($E131,Roadmap!$D:$D,0)-1+COUNTIF($E131:F131,"u")+COUNTIF($E131:F131,"t")+COUNTIF($E131:F131,"¶")+COUNTIF($E131:F131,"²")+COUNTIF($E131:F131,"µ")+COUNTIF($E131:F131,1),ColDescriptionCourte)),""),
  "")),"")</f>
        <v/>
      </c>
      <c r="H131" s="40" t="str">
        <f ca="1">IFERROR(IF(AND(
  INDEX(Roadmap!$D:$K,MATCH($E131,Roadmap!$D:$D,0)+COUNTIF($E131:G131,"u")+COUNTIF($E131:G131,"t")+COUNTIF($E131:G131,"¶")+COUNTIF($E131:G131,"²")+COUNTIF($E131:G131,"µ")+COUNTIF($E131:G131,1),ColLivraison)=H$6,
  VLOOKUP($E131,INDIRECT("tri!"&amp; CHAR(64+ C0Col) &amp;":"&amp; CHAR(65+C0Col)),2,FALSE)&gt;COUNTIF($E131:G131,"u")+COUNTIF($E131:G131,"t")+COUNTIF($E131:G131,"¶")+COUNTIF($E131:G131,"²")+COUNTIF($E131:G131,"µ")+COUNTIF($E131:G131,1)),
HYPERLINK("#Roadmap!C"&amp; MATCH($E131,Roadmap!$D:$D,0)+COUNTIF($E131:G131,"u")+COUNTIF($E131:G131,"t"),
     INDEX(Roadmap!$D:$K,MATCH($E131,Roadmap!$D:$D,0)+COUNTIF($E131:G131,"u")+COUNTIF($E131:G131,"t")+COUNTIF($E131:G131,"¶")+COUNTIF($E131:G131,"²")+COUNTIF($E131:G131,"µ")+COUNTIF($E131:G131,1),ColTypeEcheance)),
  IF(LEN(G131)=1,
  IF(LEN(INDEX(Roadmap!$D:$K,MATCH($E131,Roadmap!$D:$D,0)-1+COUNTIF($E131:G131,"u")+COUNTIF($E131:G131,"t")+COUNTIF($E131:G131,"¶")+COUNTIF($E131:G131,"²")+COUNTIF($E131:G131,"µ")+COUNTIF($E131:G131,1),ColDescriptionCourte))&gt;1,
HYPERLINK("#Roadmap!C"&amp; MATCH($E131,Roadmap!$D:$D,0)+COUNTIF($E131:G131,"u")+COUNTIF($E131:G131,"t")+COUNTIF($E131:G131,"¶")+COUNTIF($E131:G131,"²")+COUNTIF($E131:G131,"µ")+COUNTIF($E131:G131,1)-1,INDEX(Roadmap!$D:$K,MATCH($E131,Roadmap!$D:$D,0)-1+COUNTIF($E131:G131,"u")+COUNTIF($E131:G131,"t")+COUNTIF($E131:G131,"¶")+COUNTIF($E131:G131,"²")+COUNTIF($E131:G131,"µ")+COUNTIF($E131:G131,1),ColDescriptionCourte)),""),
  "")),"")</f>
        <v/>
      </c>
      <c r="I131" s="40" t="str">
        <f ca="1">IFERROR(IF(AND(
  INDEX(Roadmap!$D:$K,MATCH($E131,Roadmap!$D:$D,0)+COUNTIF($E131:H131,"u")+COUNTIF($E131:H131,"t")+COUNTIF($E131:H131,"¶")+COUNTIF($E131:H131,"²")+COUNTIF($E131:H131,"µ")+COUNTIF($E131:H131,1),ColLivraison)=I$6,
  VLOOKUP($E131,INDIRECT("tri!"&amp; CHAR(64+ C0Col) &amp;":"&amp; CHAR(65+C0Col)),2,FALSE)&gt;COUNTIF($E131:H131,"u")+COUNTIF($E131:H131,"t")+COUNTIF($E131:H131,"¶")+COUNTIF($E131:H131,"²")+COUNTIF($E131:H131,"µ")+COUNTIF($E131:H131,1)),
HYPERLINK("#Roadmap!C"&amp; MATCH($E131,Roadmap!$D:$D,0)+COUNTIF($E131:H131,"u")+COUNTIF($E131:H131,"t"),
     INDEX(Roadmap!$D:$K,MATCH($E131,Roadmap!$D:$D,0)+COUNTIF($E131:H131,"u")+COUNTIF($E131:H131,"t")+COUNTIF($E131:H131,"¶")+COUNTIF($E131:H131,"²")+COUNTIF($E131:H131,"µ")+COUNTIF($E131:H131,1),ColTypeEcheance)),
  IF(LEN(H131)=1,
  IF(LEN(INDEX(Roadmap!$D:$K,MATCH($E131,Roadmap!$D:$D,0)-1+COUNTIF($E131:H131,"u")+COUNTIF($E131:H131,"t")+COUNTIF($E131:H131,"¶")+COUNTIF($E131:H131,"²")+COUNTIF($E131:H131,"µ")+COUNTIF($E131:H131,1),ColDescriptionCourte))&gt;1,
HYPERLINK("#Roadmap!C"&amp; MATCH($E131,Roadmap!$D:$D,0)+COUNTIF($E131:H131,"u")+COUNTIF($E131:H131,"t")+COUNTIF($E131:H131,"¶")+COUNTIF($E131:H131,"²")+COUNTIF($E131:H131,"µ")+COUNTIF($E131:H131,1)-1,INDEX(Roadmap!$D:$K,MATCH($E131,Roadmap!$D:$D,0)-1+COUNTIF($E131:H131,"u")+COUNTIF($E131:H131,"t")+COUNTIF($E131:H131,"¶")+COUNTIF($E131:H131,"²")+COUNTIF($E131:H131,"µ")+COUNTIF($E131:H131,1),ColDescriptionCourte)),""),
  "")),"")</f>
        <v/>
      </c>
      <c r="J131" s="40" t="str">
        <f ca="1">IFERROR(IF(AND(
  INDEX(Roadmap!$D:$K,MATCH($E131,Roadmap!$D:$D,0)+COUNTIF($E131:I131,"u")+COUNTIF($E131:I131,"t")+COUNTIF($E131:I131,"¶")+COUNTIF($E131:I131,"²")+COUNTIF($E131:I131,"µ")+COUNTIF($E131:I131,1),ColLivraison)=J$6,
  VLOOKUP($E131,INDIRECT("tri!"&amp; CHAR(64+ C0Col) &amp;":"&amp; CHAR(65+C0Col)),2,FALSE)&gt;COUNTIF($E131:I131,"u")+COUNTIF($E131:I131,"t")+COUNTIF($E131:I131,"¶")+COUNTIF($E131:I131,"²")+COUNTIF($E131:I131,"µ")+COUNTIF($E131:I131,1)),
HYPERLINK("#Roadmap!C"&amp; MATCH($E131,Roadmap!$D:$D,0)+COUNTIF($E131:I131,"u")+COUNTIF($E131:I131,"t"),
     INDEX(Roadmap!$D:$K,MATCH($E131,Roadmap!$D:$D,0)+COUNTIF($E131:I131,"u")+COUNTIF($E131:I131,"t")+COUNTIF($E131:I131,"¶")+COUNTIF($E131:I131,"²")+COUNTIF($E131:I131,"µ")+COUNTIF($E131:I131,1),ColTypeEcheance)),
  IF(LEN(I131)=1,
  IF(LEN(INDEX(Roadmap!$D:$K,MATCH($E131,Roadmap!$D:$D,0)-1+COUNTIF($E131:I131,"u")+COUNTIF($E131:I131,"t")+COUNTIF($E131:I131,"¶")+COUNTIF($E131:I131,"²")+COUNTIF($E131:I131,"µ")+COUNTIF($E131:I131,1),ColDescriptionCourte))&gt;1,
HYPERLINK("#Roadmap!C"&amp; MATCH($E131,Roadmap!$D:$D,0)+COUNTIF($E131:I131,"u")+COUNTIF($E131:I131,"t")+COUNTIF($E131:I131,"¶")+COUNTIF($E131:I131,"²")+COUNTIF($E131:I131,"µ")+COUNTIF($E131:I131,1)-1,INDEX(Roadmap!$D:$K,MATCH($E131,Roadmap!$D:$D,0)-1+COUNTIF($E131:I131,"u")+COUNTIF($E131:I131,"t")+COUNTIF($E131:I131,"¶")+COUNTIF($E131:I131,"²")+COUNTIF($E131:I131,"µ")+COUNTIF($E131:I131,1),ColDescriptionCourte)),""),
  "")),"")</f>
        <v/>
      </c>
      <c r="K131" s="40" t="str">
        <f ca="1">IFERROR(IF(AND(
  INDEX(Roadmap!$D:$K,MATCH($E131,Roadmap!$D:$D,0)+COUNTIF($E131:J131,"u")+COUNTIF($E131:J131,"t")+COUNTIF($E131:J131,"¶")+COUNTIF($E131:J131,"²")+COUNTIF($E131:J131,"µ")+COUNTIF($E131:J131,1),ColLivraison)=K$6,
  VLOOKUP($E131,INDIRECT("tri!"&amp; CHAR(64+ C0Col) &amp;":"&amp; CHAR(65+C0Col)),2,FALSE)&gt;COUNTIF($E131:J131,"u")+COUNTIF($E131:J131,"t")+COUNTIF($E131:J131,"¶")+COUNTIF($E131:J131,"²")+COUNTIF($E131:J131,"µ")+COUNTIF($E131:J131,1)),
HYPERLINK("#Roadmap!C"&amp; MATCH($E131,Roadmap!$D:$D,0)+COUNTIF($E131:J131,"u")+COUNTIF($E131:J131,"t"),
     INDEX(Roadmap!$D:$K,MATCH($E131,Roadmap!$D:$D,0)+COUNTIF($E131:J131,"u")+COUNTIF($E131:J131,"t")+COUNTIF($E131:J131,"¶")+COUNTIF($E131:J131,"²")+COUNTIF($E131:J131,"µ")+COUNTIF($E131:J131,1),ColTypeEcheance)),
  IF(LEN(J131)=1,
  IF(LEN(INDEX(Roadmap!$D:$K,MATCH($E131,Roadmap!$D:$D,0)-1+COUNTIF($E131:J131,"u")+COUNTIF($E131:J131,"t")+COUNTIF($E131:J131,"¶")+COUNTIF($E131:J131,"²")+COUNTIF($E131:J131,"µ")+COUNTIF($E131:J131,1),ColDescriptionCourte))&gt;1,
HYPERLINK("#Roadmap!C"&amp; MATCH($E131,Roadmap!$D:$D,0)+COUNTIF($E131:J131,"u")+COUNTIF($E131:J131,"t")+COUNTIF($E131:J131,"¶")+COUNTIF($E131:J131,"²")+COUNTIF($E131:J131,"µ")+COUNTIF($E131:J131,1)-1,INDEX(Roadmap!$D:$K,MATCH($E131,Roadmap!$D:$D,0)-1+COUNTIF($E131:J131,"u")+COUNTIF($E131:J131,"t")+COUNTIF($E131:J131,"¶")+COUNTIF($E131:J131,"²")+COUNTIF($E131:J131,"µ")+COUNTIF($E131:J131,1),ColDescriptionCourte)),""),
  "")),"")</f>
        <v/>
      </c>
      <c r="L131" s="39" t="str">
        <f ca="1">IFERROR(IF(AND(
  INDEX(Roadmap!$D:$K,MATCH($E131,Roadmap!$D:$D,0)+COUNTIF($E131:K131,"u")+COUNTIF($E131:K131,"t")+COUNTIF($E131:K131,"¶")+COUNTIF($E131:K131,"²")+COUNTIF($E131:K131,"µ")+COUNTIF($E131:K131,1),ColLivraison)=L$6,
  VLOOKUP($E131,INDIRECT("tri!"&amp; CHAR(64+ C0Col) &amp;":"&amp; CHAR(65+C0Col)),2,FALSE)&gt;COUNTIF($E131:K131,"u")+COUNTIF($E131:K131,"t")+COUNTIF($E131:K131,"¶")+COUNTIF($E131:K131,"²")+COUNTIF($E131:K131,"µ")+COUNTIF($E131:K131,1)),
HYPERLINK("#Roadmap!C"&amp; MATCH($E131,Roadmap!$D:$D,0)+COUNTIF($E131:K131,"u")+COUNTIF($E131:K131,"t"),
     INDEX(Roadmap!$D:$K,MATCH($E131,Roadmap!$D:$D,0)+COUNTIF($E131:K131,"u")+COUNTIF($E131:K131,"t")+COUNTIF($E131:K131,"¶")+COUNTIF($E131:K131,"²")+COUNTIF($E131:K131,"µ")+COUNTIF($E131:K131,1),ColTypeEcheance)),
  IF(LEN(K131)=1,
  IF(LEN(INDEX(Roadmap!$D:$K,MATCH($E131,Roadmap!$D:$D,0)-1+COUNTIF($E131:K131,"u")+COUNTIF($E131:K131,"t")+COUNTIF($E131:K131,"¶")+COUNTIF($E131:K131,"²")+COUNTIF($E131:K131,"µ")+COUNTIF($E131:K131,1),ColDescriptionCourte))&gt;1,
HYPERLINK("#Roadmap!C"&amp; MATCH($E131,Roadmap!$D:$D,0)+COUNTIF($E131:K131,"u")+COUNTIF($E131:K131,"t")+COUNTIF($E131:K131,"¶")+COUNTIF($E131:K131,"²")+COUNTIF($E131:K131,"µ")+COUNTIF($E131:K131,1)-1,INDEX(Roadmap!$D:$K,MATCH($E131,Roadmap!$D:$D,0)-1+COUNTIF($E131:K131,"u")+COUNTIF($E131:K131,"t")+COUNTIF($E131:K131,"¶")+COUNTIF($E131:K131,"²")+COUNTIF($E131:K131,"µ")+COUNTIF($E131:K131,1),ColDescriptionCourte)),""),
  "")),"")</f>
        <v/>
      </c>
      <c r="M131" s="40" t="str">
        <f ca="1">IFERROR(IF(AND(
  INDEX(Roadmap!$D:$K,MATCH($E131,Roadmap!$D:$D,0)+COUNTIF($E131:L131,"u")+COUNTIF($E131:L131,"t")+COUNTIF($E131:L131,"¶")+COUNTIF($E131:L131,"²")+COUNTIF($E131:L131,"µ")+COUNTIF($E131:L131,1),ColLivraison)=M$6,
  VLOOKUP($E131,INDIRECT("tri!"&amp; CHAR(64+ C0Col) &amp;":"&amp; CHAR(65+C0Col)),2,FALSE)&gt;COUNTIF($E131:L131,"u")+COUNTIF($E131:L131,"t")+COUNTIF($E131:L131,"¶")+COUNTIF($E131:L131,"²")+COUNTIF($E131:L131,"µ")+COUNTIF($E131:L131,1)),
HYPERLINK("#Roadmap!C"&amp; MATCH($E131,Roadmap!$D:$D,0)+COUNTIF($E131:L131,"u")+COUNTIF($E131:L131,"t"),
     INDEX(Roadmap!$D:$K,MATCH($E131,Roadmap!$D:$D,0)+COUNTIF($E131:L131,"u")+COUNTIF($E131:L131,"t")+COUNTIF($E131:L131,"¶")+COUNTIF($E131:L131,"²")+COUNTIF($E131:L131,"µ")+COUNTIF($E131:L131,1),ColTypeEcheance)),
  IF(LEN(L131)=1,
  IF(LEN(INDEX(Roadmap!$D:$K,MATCH($E131,Roadmap!$D:$D,0)-1+COUNTIF($E131:L131,"u")+COUNTIF($E131:L131,"t")+COUNTIF($E131:L131,"¶")+COUNTIF($E131:L131,"²")+COUNTIF($E131:L131,"µ")+COUNTIF($E131:L131,1),ColDescriptionCourte))&gt;1,
HYPERLINK("#Roadmap!C"&amp; MATCH($E131,Roadmap!$D:$D,0)+COUNTIF($E131:L131,"u")+COUNTIF($E131:L131,"t")+COUNTIF($E131:L131,"¶")+COUNTIF($E131:L131,"²")+COUNTIF($E131:L131,"µ")+COUNTIF($E131:L131,1)-1,INDEX(Roadmap!$D:$K,MATCH($E131,Roadmap!$D:$D,0)-1+COUNTIF($E131:L131,"u")+COUNTIF($E131:L131,"t")+COUNTIF($E131:L131,"¶")+COUNTIF($E131:L131,"²")+COUNTIF($E131:L131,"µ")+COUNTIF($E131:L131,1),ColDescriptionCourte)),""),
  "")),"")</f>
        <v/>
      </c>
      <c r="N131" s="40" t="str">
        <f ca="1">IFERROR(IF(AND(
  INDEX(Roadmap!$D:$K,MATCH($E131,Roadmap!$D:$D,0)+COUNTIF($E131:M131,"u")+COUNTIF($E131:M131,"t")+COUNTIF($E131:M131,"¶")+COUNTIF($E131:M131,"²")+COUNTIF($E131:M131,"µ")+COUNTIF($E131:M131,1),ColLivraison)=N$6,
  VLOOKUP($E131,INDIRECT("tri!"&amp; CHAR(64+ C0Col) &amp;":"&amp; CHAR(65+C0Col)),2,FALSE)&gt;COUNTIF($E131:M131,"u")+COUNTIF($E131:M131,"t")+COUNTIF($E131:M131,"¶")+COUNTIF($E131:M131,"²")+COUNTIF($E131:M131,"µ")+COUNTIF($E131:M131,1)),
HYPERLINK("#Roadmap!C"&amp; MATCH($E131,Roadmap!$D:$D,0)+COUNTIF($E131:M131,"u")+COUNTIF($E131:M131,"t"),
     INDEX(Roadmap!$D:$K,MATCH($E131,Roadmap!$D:$D,0)+COUNTIF($E131:M131,"u")+COUNTIF($E131:M131,"t")+COUNTIF($E131:M131,"¶")+COUNTIF($E131:M131,"²")+COUNTIF($E131:M131,"µ")+COUNTIF($E131:M131,1),ColTypeEcheance)),
  IF(LEN(M131)=1,
  IF(LEN(INDEX(Roadmap!$D:$K,MATCH($E131,Roadmap!$D:$D,0)-1+COUNTIF($E131:M131,"u")+COUNTIF($E131:M131,"t")+COUNTIF($E131:M131,"¶")+COUNTIF($E131:M131,"²")+COUNTIF($E131:M131,"µ")+COUNTIF($E131:M131,1),ColDescriptionCourte))&gt;1,
HYPERLINK("#Roadmap!C"&amp; MATCH($E131,Roadmap!$D:$D,0)+COUNTIF($E131:M131,"u")+COUNTIF($E131:M131,"t")+COUNTIF($E131:M131,"¶")+COUNTIF($E131:M131,"²")+COUNTIF($E131:M131,"µ")+COUNTIF($E131:M131,1)-1,INDEX(Roadmap!$D:$K,MATCH($E131,Roadmap!$D:$D,0)-1+COUNTIF($E131:M131,"u")+COUNTIF($E131:M131,"t")+COUNTIF($E131:M131,"¶")+COUNTIF($E131:M131,"²")+COUNTIF($E131:M131,"µ")+COUNTIF($E131:M131,1),ColDescriptionCourte)),""),
  "")),"")</f>
        <v/>
      </c>
      <c r="O131" s="40" t="str">
        <f ca="1">IFERROR(IF(AND(
  INDEX(Roadmap!$D:$K,MATCH($E131,Roadmap!$D:$D,0)+COUNTIF($E131:N131,"u")+COUNTIF($E131:N131,"t")+COUNTIF($E131:N131,"¶")+COUNTIF($E131:N131,"²")+COUNTIF($E131:N131,"µ")+COUNTIF($E131:N131,1),ColLivraison)=O$6,
  VLOOKUP($E131,INDIRECT("tri!"&amp; CHAR(64+ C0Col) &amp;":"&amp; CHAR(65+C0Col)),2,FALSE)&gt;COUNTIF($E131:N131,"u")+COUNTIF($E131:N131,"t")+COUNTIF($E131:N131,"¶")+COUNTIF($E131:N131,"²")+COUNTIF($E131:N131,"µ")+COUNTIF($E131:N131,1)),
HYPERLINK("#Roadmap!C"&amp; MATCH($E131,Roadmap!$D:$D,0)+COUNTIF($E131:N131,"u")+COUNTIF($E131:N131,"t"),
     INDEX(Roadmap!$D:$K,MATCH($E131,Roadmap!$D:$D,0)+COUNTIF($E131:N131,"u")+COUNTIF($E131:N131,"t")+COUNTIF($E131:N131,"¶")+COUNTIF($E131:N131,"²")+COUNTIF($E131:N131,"µ")+COUNTIF($E131:N131,1),ColTypeEcheance)),
  IF(LEN(N131)=1,
  IF(LEN(INDEX(Roadmap!$D:$K,MATCH($E131,Roadmap!$D:$D,0)-1+COUNTIF($E131:N131,"u")+COUNTIF($E131:N131,"t")+COUNTIF($E131:N131,"¶")+COUNTIF($E131:N131,"²")+COUNTIF($E131:N131,"µ")+COUNTIF($E131:N131,1),ColDescriptionCourte))&gt;1,
HYPERLINK("#Roadmap!C"&amp; MATCH($E131,Roadmap!$D:$D,0)+COUNTIF($E131:N131,"u")+COUNTIF($E131:N131,"t")+COUNTIF($E131:N131,"¶")+COUNTIF($E131:N131,"²")+COUNTIF($E131:N131,"µ")+COUNTIF($E131:N131,1)-1,INDEX(Roadmap!$D:$K,MATCH($E131,Roadmap!$D:$D,0)-1+COUNTIF($E131:N131,"u")+COUNTIF($E131:N131,"t")+COUNTIF($E131:N131,"¶")+COUNTIF($E131:N131,"²")+COUNTIF($E131:N131,"µ")+COUNTIF($E131:N131,1),ColDescriptionCourte)),""),
  "")),"")</f>
        <v/>
      </c>
      <c r="P131" s="40" t="str">
        <f ca="1">IFERROR(IF(AND(
  INDEX(Roadmap!$D:$K,MATCH($E131,Roadmap!$D:$D,0)+COUNTIF($E131:O131,"u")+COUNTIF($E131:O131,"t")+COUNTIF($E131:O131,"¶")+COUNTIF($E131:O131,"²")+COUNTIF($E131:O131,"µ")+COUNTIF($E131:O131,1),ColLivraison)=P$6,
  VLOOKUP($E131,INDIRECT("tri!"&amp; CHAR(64+ C0Col) &amp;":"&amp; CHAR(65+C0Col)),2,FALSE)&gt;COUNTIF($E131:O131,"u")+COUNTIF($E131:O131,"t")+COUNTIF($E131:O131,"¶")+COUNTIF($E131:O131,"²")+COUNTIF($E131:O131,"µ")+COUNTIF($E131:O131,1)),
HYPERLINK("#Roadmap!C"&amp; MATCH($E131,Roadmap!$D:$D,0)+COUNTIF($E131:O131,"u")+COUNTIF($E131:O131,"t"),
     INDEX(Roadmap!$D:$K,MATCH($E131,Roadmap!$D:$D,0)+COUNTIF($E131:O131,"u")+COUNTIF($E131:O131,"t")+COUNTIF($E131:O131,"¶")+COUNTIF($E131:O131,"²")+COUNTIF($E131:O131,"µ")+COUNTIF($E131:O131,1),ColTypeEcheance)),
  IF(LEN(O131)=1,
  IF(LEN(INDEX(Roadmap!$D:$K,MATCH($E131,Roadmap!$D:$D,0)-1+COUNTIF($E131:O131,"u")+COUNTIF($E131:O131,"t")+COUNTIF($E131:O131,"¶")+COUNTIF($E131:O131,"²")+COUNTIF($E131:O131,"µ")+COUNTIF($E131:O131,1),ColDescriptionCourte))&gt;1,
HYPERLINK("#Roadmap!C"&amp; MATCH($E131,Roadmap!$D:$D,0)+COUNTIF($E131:O131,"u")+COUNTIF($E131:O131,"t")+COUNTIF($E131:O131,"¶")+COUNTIF($E131:O131,"²")+COUNTIF($E131:O131,"µ")+COUNTIF($E131:O131,1)-1,INDEX(Roadmap!$D:$K,MATCH($E131,Roadmap!$D:$D,0)-1+COUNTIF($E131:O131,"u")+COUNTIF($E131:O131,"t")+COUNTIF($E131:O131,"¶")+COUNTIF($E131:O131,"²")+COUNTIF($E131:O131,"µ")+COUNTIF($E131:O131,1),ColDescriptionCourte)),""),
  "")),"")</f>
        <v/>
      </c>
      <c r="Q131" s="40" t="str">
        <f ca="1">IFERROR(IF(AND(
  INDEX(Roadmap!$D:$K,MATCH($E131,Roadmap!$D:$D,0)+COUNTIF($E131:P131,"u")+COUNTIF($E131:P131,"t")+COUNTIF($E131:P131,"¶")+COUNTIF($E131:P131,"²")+COUNTIF($E131:P131,"µ")+COUNTIF($E131:P131,1),ColLivraison)=Q$6,
  VLOOKUP($E131,INDIRECT("tri!"&amp; CHAR(64+ C0Col) &amp;":"&amp; CHAR(65+C0Col)),2,FALSE)&gt;COUNTIF($E131:P131,"u")+COUNTIF($E131:P131,"t")+COUNTIF($E131:P131,"¶")+COUNTIF($E131:P131,"²")+COUNTIF($E131:P131,"µ")+COUNTIF($E131:P131,1)),
HYPERLINK("#Roadmap!C"&amp; MATCH($E131,Roadmap!$D:$D,0)+COUNTIF($E131:P131,"u")+COUNTIF($E131:P131,"t"),
     INDEX(Roadmap!$D:$K,MATCH($E131,Roadmap!$D:$D,0)+COUNTIF($E131:P131,"u")+COUNTIF($E131:P131,"t")+COUNTIF($E131:P131,"¶")+COUNTIF($E131:P131,"²")+COUNTIF($E131:P131,"µ")+COUNTIF($E131:P131,1),ColTypeEcheance)),
  IF(LEN(P131)=1,
  IF(LEN(INDEX(Roadmap!$D:$K,MATCH($E131,Roadmap!$D:$D,0)-1+COUNTIF($E131:P131,"u")+COUNTIF($E131:P131,"t")+COUNTIF($E131:P131,"¶")+COUNTIF($E131:P131,"²")+COUNTIF($E131:P131,"µ")+COUNTIF($E131:P131,1),ColDescriptionCourte))&gt;1,
HYPERLINK("#Roadmap!C"&amp; MATCH($E131,Roadmap!$D:$D,0)+COUNTIF($E131:P131,"u")+COUNTIF($E131:P131,"t")+COUNTIF($E131:P131,"¶")+COUNTIF($E131:P131,"²")+COUNTIF($E131:P131,"µ")+COUNTIF($E131:P131,1)-1,INDEX(Roadmap!$D:$K,MATCH($E131,Roadmap!$D:$D,0)-1+COUNTIF($E131:P131,"u")+COUNTIF($E131:P131,"t")+COUNTIF($E131:P131,"¶")+COUNTIF($E131:P131,"²")+COUNTIF($E131:P131,"µ")+COUNTIF($E131:P131,1),ColDescriptionCourte)),""),
  "")),"")</f>
        <v/>
      </c>
      <c r="R131" s="40" t="str">
        <f ca="1">IFERROR(IF(AND(
  INDEX(Roadmap!$D:$K,MATCH($E131,Roadmap!$D:$D,0)+COUNTIF($E131:Q131,"u")+COUNTIF($E131:Q131,"t")+COUNTIF($E131:Q131,"¶")+COUNTIF($E131:Q131,"²")+COUNTIF($E131:Q131,"µ")+COUNTIF($E131:Q131,1),ColLivraison)=R$6,
  VLOOKUP($E131,INDIRECT("tri!"&amp; CHAR(64+ C0Col) &amp;":"&amp; CHAR(65+C0Col)),2,FALSE)&gt;COUNTIF($E131:Q131,"u")+COUNTIF($E131:Q131,"t")+COUNTIF($E131:Q131,"¶")+COUNTIF($E131:Q131,"²")+COUNTIF($E131:Q131,"µ")+COUNTIF($E131:Q131,1)),
HYPERLINK("#Roadmap!C"&amp; MATCH($E131,Roadmap!$D:$D,0)+COUNTIF($E131:Q131,"u")+COUNTIF($E131:Q131,"t"),
     INDEX(Roadmap!$D:$K,MATCH($E131,Roadmap!$D:$D,0)+COUNTIF($E131:Q131,"u")+COUNTIF($E131:Q131,"t")+COUNTIF($E131:Q131,"¶")+COUNTIF($E131:Q131,"²")+COUNTIF($E131:Q131,"µ")+COUNTIF($E131:Q131,1),ColTypeEcheance)),
  IF(LEN(Q131)=1,
  IF(LEN(INDEX(Roadmap!$D:$K,MATCH($E131,Roadmap!$D:$D,0)-1+COUNTIF($E131:Q131,"u")+COUNTIF($E131:Q131,"t")+COUNTIF($E131:Q131,"¶")+COUNTIF($E131:Q131,"²")+COUNTIF($E131:Q131,"µ")+COUNTIF($E131:Q131,1),ColDescriptionCourte))&gt;1,
HYPERLINK("#Roadmap!C"&amp; MATCH($E131,Roadmap!$D:$D,0)+COUNTIF($E131:Q131,"u")+COUNTIF($E131:Q131,"t")+COUNTIF($E131:Q131,"¶")+COUNTIF($E131:Q131,"²")+COUNTIF($E131:Q131,"µ")+COUNTIF($E131:Q131,1)-1,INDEX(Roadmap!$D:$K,MATCH($E131,Roadmap!$D:$D,0)-1+COUNTIF($E131:Q131,"u")+COUNTIF($E131:Q131,"t")+COUNTIF($E131:Q131,"¶")+COUNTIF($E131:Q131,"²")+COUNTIF($E131:Q131,"µ")+COUNTIF($E131:Q131,1),ColDescriptionCourte)),""),
  "")),"")</f>
        <v/>
      </c>
      <c r="S131" s="40" t="str">
        <f ca="1">IFERROR(IF(AND(
  INDEX(Roadmap!$D:$K,MATCH($E131,Roadmap!$D:$D,0)+COUNTIF($E131:R131,"u")+COUNTIF($E131:R131,"t")+COUNTIF($E131:R131,"¶")+COUNTIF($E131:R131,"²")+COUNTIF($E131:R131,"µ")+COUNTIF($E131:R131,1),ColLivraison)=S$6,
  VLOOKUP($E131,INDIRECT("tri!"&amp; CHAR(64+ C0Col) &amp;":"&amp; CHAR(65+C0Col)),2,FALSE)&gt;COUNTIF($E131:R131,"u")+COUNTIF($E131:R131,"t")+COUNTIF($E131:R131,"¶")+COUNTIF($E131:R131,"²")+COUNTIF($E131:R131,"µ")+COUNTIF($E131:R131,1)),
HYPERLINK("#Roadmap!C"&amp; MATCH($E131,Roadmap!$D:$D,0)+COUNTIF($E131:R131,"u")+COUNTIF($E131:R131,"t"),
     INDEX(Roadmap!$D:$K,MATCH($E131,Roadmap!$D:$D,0)+COUNTIF($E131:R131,"u")+COUNTIF($E131:R131,"t")+COUNTIF($E131:R131,"¶")+COUNTIF($E131:R131,"²")+COUNTIF($E131:R131,"µ")+COUNTIF($E131:R131,1),ColTypeEcheance)),
  IF(LEN(R131)=1,
  IF(LEN(INDEX(Roadmap!$D:$K,MATCH($E131,Roadmap!$D:$D,0)-1+COUNTIF($E131:R131,"u")+COUNTIF($E131:R131,"t")+COUNTIF($E131:R131,"¶")+COUNTIF($E131:R131,"²")+COUNTIF($E131:R131,"µ")+COUNTIF($E131:R131,1),ColDescriptionCourte))&gt;1,
HYPERLINK("#Roadmap!C"&amp; MATCH($E131,Roadmap!$D:$D,0)+COUNTIF($E131:R131,"u")+COUNTIF($E131:R131,"t")+COUNTIF($E131:R131,"¶")+COUNTIF($E131:R131,"²")+COUNTIF($E131:R131,"µ")+COUNTIF($E131:R131,1)-1,INDEX(Roadmap!$D:$K,MATCH($E131,Roadmap!$D:$D,0)-1+COUNTIF($E131:R131,"u")+COUNTIF($E131:R131,"t")+COUNTIF($E131:R131,"¶")+COUNTIF($E131:R131,"²")+COUNTIF($E131:R131,"µ")+COUNTIF($E131:R131,1),ColDescriptionCourte)),""),
  "")),"")</f>
        <v/>
      </c>
      <c r="T131" s="40" t="str">
        <f ca="1">IFERROR(IF(AND(
  INDEX(Roadmap!$D:$K,MATCH($E131,Roadmap!$D:$D,0)+COUNTIF($E131:S131,"u")+COUNTIF($E131:S131,"t")+COUNTIF($E131:S131,"¶")+COUNTIF($E131:S131,"²")+COUNTIF($E131:S131,"µ")+COUNTIF($E131:S131,1),ColLivraison)=T$6,
  VLOOKUP($E131,INDIRECT("tri!"&amp; CHAR(64+ C0Col) &amp;":"&amp; CHAR(65+C0Col)),2,FALSE)&gt;COUNTIF($E131:S131,"u")+COUNTIF($E131:S131,"t")+COUNTIF($E131:S131,"¶")+COUNTIF($E131:S131,"²")+COUNTIF($E131:S131,"µ")+COUNTIF($E131:S131,1)),
HYPERLINK("#Roadmap!C"&amp; MATCH($E131,Roadmap!$D:$D,0)+COUNTIF($E131:S131,"u")+COUNTIF($E131:S131,"t"),
     INDEX(Roadmap!$D:$K,MATCH($E131,Roadmap!$D:$D,0)+COUNTIF($E131:S131,"u")+COUNTIF($E131:S131,"t")+COUNTIF($E131:S131,"¶")+COUNTIF($E131:S131,"²")+COUNTIF($E131:S131,"µ")+COUNTIF($E131:S131,1),ColTypeEcheance)),
  IF(LEN(S131)=1,
  IF(LEN(INDEX(Roadmap!$D:$K,MATCH($E131,Roadmap!$D:$D,0)-1+COUNTIF($E131:S131,"u")+COUNTIF($E131:S131,"t")+COUNTIF($E131:S131,"¶")+COUNTIF($E131:S131,"²")+COUNTIF($E131:S131,"µ")+COUNTIF($E131:S131,1),ColDescriptionCourte))&gt;1,
HYPERLINK("#Roadmap!C"&amp; MATCH($E131,Roadmap!$D:$D,0)+COUNTIF($E131:S131,"u")+COUNTIF($E131:S131,"t")+COUNTIF($E131:S131,"¶")+COUNTIF($E131:S131,"²")+COUNTIF($E131:S131,"µ")+COUNTIF($E131:S131,1)-1,INDEX(Roadmap!$D:$K,MATCH($E131,Roadmap!$D:$D,0)-1+COUNTIF($E131:S131,"u")+COUNTIF($E131:S131,"t")+COUNTIF($E131:S131,"¶")+COUNTIF($E131:S131,"²")+COUNTIF($E131:S131,"µ")+COUNTIF($E131:S131,1),ColDescriptionCourte)),""),
  "")),"")</f>
        <v/>
      </c>
      <c r="U131" s="40" t="str">
        <f ca="1">IFERROR(IF(AND(
  INDEX(Roadmap!$D:$K,MATCH($E131,Roadmap!$D:$D,0)+COUNTIF($E131:T131,"u")+COUNTIF($E131:T131,"t")+COUNTIF($E131:T131,"¶")+COUNTIF($E131:T131,"²")+COUNTIF($E131:T131,"µ")+COUNTIF($E131:T131,1),ColLivraison)=U$6,
  VLOOKUP($E131,INDIRECT("tri!"&amp; CHAR(64+ C0Col) &amp;":"&amp; CHAR(65+C0Col)),2,FALSE)&gt;COUNTIF($E131:T131,"u")+COUNTIF($E131:T131,"t")+COUNTIF($E131:T131,"¶")+COUNTIF($E131:T131,"²")+COUNTIF($E131:T131,"µ")+COUNTIF($E131:T131,1)),
HYPERLINK("#Roadmap!C"&amp; MATCH($E131,Roadmap!$D:$D,0)+COUNTIF($E131:T131,"u")+COUNTIF($E131:T131,"t"),
     INDEX(Roadmap!$D:$K,MATCH($E131,Roadmap!$D:$D,0)+COUNTIF($E131:T131,"u")+COUNTIF($E131:T131,"t")+COUNTIF($E131:T131,"¶")+COUNTIF($E131:T131,"²")+COUNTIF($E131:T131,"µ")+COUNTIF($E131:T131,1),ColTypeEcheance)),
  IF(LEN(T131)=1,
  IF(LEN(INDEX(Roadmap!$D:$K,MATCH($E131,Roadmap!$D:$D,0)-1+COUNTIF($E131:T131,"u")+COUNTIF($E131:T131,"t")+COUNTIF($E131:T131,"¶")+COUNTIF($E131:T131,"²")+COUNTIF($E131:T131,"µ")+COUNTIF($E131:T131,1),ColDescriptionCourte))&gt;1,
HYPERLINK("#Roadmap!C"&amp; MATCH($E131,Roadmap!$D:$D,0)+COUNTIF($E131:T131,"u")+COUNTIF($E131:T131,"t")+COUNTIF($E131:T131,"¶")+COUNTIF($E131:T131,"²")+COUNTIF($E131:T131,"µ")+COUNTIF($E131:T131,1)-1,INDEX(Roadmap!$D:$K,MATCH($E131,Roadmap!$D:$D,0)-1+COUNTIF($E131:T131,"u")+COUNTIF($E131:T131,"t")+COUNTIF($E131:T131,"¶")+COUNTIF($E131:T131,"²")+COUNTIF($E131:T131,"µ")+COUNTIF($E131:T131,1),ColDescriptionCourte)),""),
  "")),"")</f>
        <v/>
      </c>
      <c r="V131" s="40" t="str">
        <f ca="1">IFERROR(IF(AND(
  INDEX(Roadmap!$D:$K,MATCH($E131,Roadmap!$D:$D,0)+COUNTIF($E131:U131,"u")+COUNTIF($E131:U131,"t")+COUNTIF($E131:U131,"¶")+COUNTIF($E131:U131,"²")+COUNTIF($E131:U131,"µ")+COUNTIF($E131:U131,1),ColLivraison)=V$6,
  VLOOKUP($E131,INDIRECT("tri!"&amp; CHAR(64+ C0Col) &amp;":"&amp; CHAR(65+C0Col)),2,FALSE)&gt;COUNTIF($E131:U131,"u")+COUNTIF($E131:U131,"t")+COUNTIF($E131:U131,"¶")+COUNTIF($E131:U131,"²")+COUNTIF($E131:U131,"µ")+COUNTIF($E131:U131,1)),
HYPERLINK("#Roadmap!C"&amp; MATCH($E131,Roadmap!$D:$D,0)+COUNTIF($E131:U131,"u")+COUNTIF($E131:U131,"t"),
     INDEX(Roadmap!$D:$K,MATCH($E131,Roadmap!$D:$D,0)+COUNTIF($E131:U131,"u")+COUNTIF($E131:U131,"t")+COUNTIF($E131:U131,"¶")+COUNTIF($E131:U131,"²")+COUNTIF($E131:U131,"µ")+COUNTIF($E131:U131,1),ColTypeEcheance)),
  IF(LEN(U131)=1,
  IF(LEN(INDEX(Roadmap!$D:$K,MATCH($E131,Roadmap!$D:$D,0)-1+COUNTIF($E131:U131,"u")+COUNTIF($E131:U131,"t")+COUNTIF($E131:U131,"¶")+COUNTIF($E131:U131,"²")+COUNTIF($E131:U131,"µ")+COUNTIF($E131:U131,1),ColDescriptionCourte))&gt;1,
HYPERLINK("#Roadmap!C"&amp; MATCH($E131,Roadmap!$D:$D,0)+COUNTIF($E131:U131,"u")+COUNTIF($E131:U131,"t")+COUNTIF($E131:U131,"¶")+COUNTIF($E131:U131,"²")+COUNTIF($E131:U131,"µ")+COUNTIF($E131:U131,1)-1,INDEX(Roadmap!$D:$K,MATCH($E131,Roadmap!$D:$D,0)-1+COUNTIF($E131:U131,"u")+COUNTIF($E131:U131,"t")+COUNTIF($E131:U131,"¶")+COUNTIF($E131:U131,"²")+COUNTIF($E131:U131,"µ")+COUNTIF($E131:U131,1),ColDescriptionCourte)),""),
  "")),"")</f>
        <v/>
      </c>
      <c r="W131" s="40" t="str">
        <f ca="1">IFERROR(IF(AND(
  INDEX(Roadmap!$D:$K,MATCH($E131,Roadmap!$D:$D,0)+COUNTIF($E131:V131,"u")+COUNTIF($E131:V131,"t")+COUNTIF($E131:V131,"¶")+COUNTIF($E131:V131,"²")+COUNTIF($E131:V131,"µ")+COUNTIF($E131:V131,1),ColLivraison)=W$6,
  VLOOKUP($E131,INDIRECT("tri!"&amp; CHAR(64+ C0Col) &amp;":"&amp; CHAR(65+C0Col)),2,FALSE)&gt;COUNTIF($E131:V131,"u")+COUNTIF($E131:V131,"t")+COUNTIF($E131:V131,"¶")+COUNTIF($E131:V131,"²")+COUNTIF($E131:V131,"µ")+COUNTIF($E131:V131,1)),
HYPERLINK("#Roadmap!C"&amp; MATCH($E131,Roadmap!$D:$D,0)+COUNTIF($E131:V131,"u")+COUNTIF($E131:V131,"t"),
     INDEX(Roadmap!$D:$K,MATCH($E131,Roadmap!$D:$D,0)+COUNTIF($E131:V131,"u")+COUNTIF($E131:V131,"t")+COUNTIF($E131:V131,"¶")+COUNTIF($E131:V131,"²")+COUNTIF($E131:V131,"µ")+COUNTIF($E131:V131,1),ColTypeEcheance)),
  IF(LEN(V131)=1,
  IF(LEN(INDEX(Roadmap!$D:$K,MATCH($E131,Roadmap!$D:$D,0)-1+COUNTIF($E131:V131,"u")+COUNTIF($E131:V131,"t")+COUNTIF($E131:V131,"¶")+COUNTIF($E131:V131,"²")+COUNTIF($E131:V131,"µ")+COUNTIF($E131:V131,1),ColDescriptionCourte))&gt;1,
HYPERLINK("#Roadmap!C"&amp; MATCH($E131,Roadmap!$D:$D,0)+COUNTIF($E131:V131,"u")+COUNTIF($E131:V131,"t")+COUNTIF($E131:V131,"¶")+COUNTIF($E131:V131,"²")+COUNTIF($E131:V131,"µ")+COUNTIF($E131:V131,1)-1,INDEX(Roadmap!$D:$K,MATCH($E131,Roadmap!$D:$D,0)-1+COUNTIF($E131:V131,"u")+COUNTIF($E131:V131,"t")+COUNTIF($E131:V131,"¶")+COUNTIF($E131:V131,"²")+COUNTIF($E131:V131,"µ")+COUNTIF($E131:V131,1),ColDescriptionCourte)),""),
  "")),"")</f>
        <v/>
      </c>
      <c r="X131" s="40" t="str">
        <f ca="1">IFERROR(IF(AND(
  INDEX(Roadmap!$D:$K,MATCH($E131,Roadmap!$D:$D,0)+COUNTIF($E131:W131,"u")+COUNTIF($E131:W131,"t")+COUNTIF($E131:W131,"¶")+COUNTIF($E131:W131,"²")+COUNTIF($E131:W131,"µ")+COUNTIF($E131:W131,1),ColLivraison)=X$6,
  VLOOKUP($E131,INDIRECT("tri!"&amp; CHAR(64+ C0Col) &amp;":"&amp; CHAR(65+C0Col)),2,FALSE)&gt;COUNTIF($E131:W131,"u")+COUNTIF($E131:W131,"t")+COUNTIF($E131:W131,"¶")+COUNTIF($E131:W131,"²")+COUNTIF($E131:W131,"µ")+COUNTIF($E131:W131,1)),
HYPERLINK("#Roadmap!C"&amp; MATCH($E131,Roadmap!$D:$D,0)+COUNTIF($E131:W131,"u")+COUNTIF($E131:W131,"t"),
     INDEX(Roadmap!$D:$K,MATCH($E131,Roadmap!$D:$D,0)+COUNTIF($E131:W131,"u")+COUNTIF($E131:W131,"t")+COUNTIF($E131:W131,"¶")+COUNTIF($E131:W131,"²")+COUNTIF($E131:W131,"µ")+COUNTIF($E131:W131,1),ColTypeEcheance)),
  IF(LEN(W131)=1,
  IF(LEN(INDEX(Roadmap!$D:$K,MATCH($E131,Roadmap!$D:$D,0)-1+COUNTIF($E131:W131,"u")+COUNTIF($E131:W131,"t")+COUNTIF($E131:W131,"¶")+COUNTIF($E131:W131,"²")+COUNTIF($E131:W131,"µ")+COUNTIF($E131:W131,1),ColDescriptionCourte))&gt;1,
HYPERLINK("#Roadmap!C"&amp; MATCH($E131,Roadmap!$D:$D,0)+COUNTIF($E131:W131,"u")+COUNTIF($E131:W131,"t")+COUNTIF($E131:W131,"¶")+COUNTIF($E131:W131,"²")+COUNTIF($E131:W131,"µ")+COUNTIF($E131:W131,1)-1,INDEX(Roadmap!$D:$K,MATCH($E131,Roadmap!$D:$D,0)-1+COUNTIF($E131:W131,"u")+COUNTIF($E131:W131,"t")+COUNTIF($E131:W131,"¶")+COUNTIF($E131:W131,"²")+COUNTIF($E131:W131,"µ")+COUNTIF($E131:W131,1),ColDescriptionCourte)),""),
  "")),"")</f>
        <v/>
      </c>
      <c r="Y131" s="40" t="str">
        <f ca="1">IFERROR(IF(AND(
  INDEX(Roadmap!$D:$K,MATCH($E131,Roadmap!$D:$D,0)+COUNTIF($E131:X131,"u")+COUNTIF($E131:X131,"t")+COUNTIF($E131:X131,"¶")+COUNTIF($E131:X131,"²")+COUNTIF($E131:X131,"µ")+COUNTIF($E131:X131,1),ColLivraison)=Y$6,
  VLOOKUP($E131,INDIRECT("tri!"&amp; CHAR(64+ C0Col) &amp;":"&amp; CHAR(65+C0Col)),2,FALSE)&gt;COUNTIF($E131:X131,"u")+COUNTIF($E131:X131,"t")+COUNTIF($E131:X131,"¶")+COUNTIF($E131:X131,"²")+COUNTIF($E131:X131,"µ")+COUNTIF($E131:X131,1)),
HYPERLINK("#Roadmap!C"&amp; MATCH($E131,Roadmap!$D:$D,0)+COUNTIF($E131:X131,"u")+COUNTIF($E131:X131,"t"),
     INDEX(Roadmap!$D:$K,MATCH($E131,Roadmap!$D:$D,0)+COUNTIF($E131:X131,"u")+COUNTIF($E131:X131,"t")+COUNTIF($E131:X131,"¶")+COUNTIF($E131:X131,"²")+COUNTIF($E131:X131,"µ")+COUNTIF($E131:X131,1),ColTypeEcheance)),
  IF(LEN(X131)=1,
  IF(LEN(INDEX(Roadmap!$D:$K,MATCH($E131,Roadmap!$D:$D,0)-1+COUNTIF($E131:X131,"u")+COUNTIF($E131:X131,"t")+COUNTIF($E131:X131,"¶")+COUNTIF($E131:X131,"²")+COUNTIF($E131:X131,"µ")+COUNTIF($E131:X131,1),ColDescriptionCourte))&gt;1,
HYPERLINK("#Roadmap!C"&amp; MATCH($E131,Roadmap!$D:$D,0)+COUNTIF($E131:X131,"u")+COUNTIF($E131:X131,"t")+COUNTIF($E131:X131,"¶")+COUNTIF($E131:X131,"²")+COUNTIF($E131:X131,"µ")+COUNTIF($E131:X131,1)-1,INDEX(Roadmap!$D:$K,MATCH($E131,Roadmap!$D:$D,0)-1+COUNTIF($E131:X131,"u")+COUNTIF($E131:X131,"t")+COUNTIF($E131:X131,"¶")+COUNTIF($E131:X131,"²")+COUNTIF($E131:X131,"µ")+COUNTIF($E131:X131,1),ColDescriptionCourte)),""),
  "")),"")</f>
        <v/>
      </c>
      <c r="Z131" s="40" t="str">
        <f ca="1">IFERROR(IF(AND(
  INDEX(Roadmap!$D:$K,MATCH($E131,Roadmap!$D:$D,0)+COUNTIF($E131:Y131,"u")+COUNTIF($E131:Y131,"t")+COUNTIF($E131:Y131,"¶")+COUNTIF($E131:Y131,"²")+COUNTIF($E131:Y131,"µ")+COUNTIF($E131:Y131,1),ColLivraison)=Z$6,
  VLOOKUP($E131,INDIRECT("tri!"&amp; CHAR(64+ C0Col) &amp;":"&amp; CHAR(65+C0Col)),2,FALSE)&gt;COUNTIF($E131:Y131,"u")+COUNTIF($E131:Y131,"t")+COUNTIF($E131:Y131,"¶")+COUNTIF($E131:Y131,"²")+COUNTIF($E131:Y131,"µ")+COUNTIF($E131:Y131,1)),
HYPERLINK("#Roadmap!C"&amp; MATCH($E131,Roadmap!$D:$D,0)+COUNTIF($E131:Y131,"u")+COUNTIF($E131:Y131,"t"),
     INDEX(Roadmap!$D:$K,MATCH($E131,Roadmap!$D:$D,0)+COUNTIF($E131:Y131,"u")+COUNTIF($E131:Y131,"t")+COUNTIF($E131:Y131,"¶")+COUNTIF($E131:Y131,"²")+COUNTIF($E131:Y131,"µ")+COUNTIF($E131:Y131,1),ColTypeEcheance)),
  IF(LEN(Y131)=1,
  IF(LEN(INDEX(Roadmap!$D:$K,MATCH($E131,Roadmap!$D:$D,0)-1+COUNTIF($E131:Y131,"u")+COUNTIF($E131:Y131,"t")+COUNTIF($E131:Y131,"¶")+COUNTIF($E131:Y131,"²")+COUNTIF($E131:Y131,"µ")+COUNTIF($E131:Y131,1),ColDescriptionCourte))&gt;1,
HYPERLINK("#Roadmap!C"&amp; MATCH($E131,Roadmap!$D:$D,0)+COUNTIF($E131:Y131,"u")+COUNTIF($E131:Y131,"t")+COUNTIF($E131:Y131,"¶")+COUNTIF($E131:Y131,"²")+COUNTIF($E131:Y131,"µ")+COUNTIF($E131:Y131,1)-1,INDEX(Roadmap!$D:$K,MATCH($E131,Roadmap!$D:$D,0)-1+COUNTIF($E131:Y131,"u")+COUNTIF($E131:Y131,"t")+COUNTIF($E131:Y131,"¶")+COUNTIF($E131:Y131,"²")+COUNTIF($E131:Y131,"µ")+COUNTIF($E131:Y131,1),ColDescriptionCourte)),""),
  "")),"")</f>
        <v/>
      </c>
      <c r="AA131" s="40" t="str">
        <f ca="1">IFERROR(IF(AND(
  INDEX(Roadmap!$D:$K,MATCH($E131,Roadmap!$D:$D,0)+COUNTIF($E131:Z131,"u")+COUNTIF($E131:Z131,"t")+COUNTIF($E131:Z131,"¶")+COUNTIF($E131:Z131,"²")+COUNTIF($E131:Z131,"µ")+COUNTIF($E131:Z131,1),ColLivraison)=AA$6,
  VLOOKUP($E131,INDIRECT("tri!"&amp; CHAR(64+ C0Col) &amp;":"&amp; CHAR(65+C0Col)),2,FALSE)&gt;COUNTIF($E131:Z131,"u")+COUNTIF($E131:Z131,"t")+COUNTIF($E131:Z131,"¶")+COUNTIF($E131:Z131,"²")+COUNTIF($E131:Z131,"µ")+COUNTIF($E131:Z131,1)),
HYPERLINK("#Roadmap!C"&amp; MATCH($E131,Roadmap!$D:$D,0)+COUNTIF($E131:Z131,"u")+COUNTIF($E131:Z131,"t"),
     INDEX(Roadmap!$D:$K,MATCH($E131,Roadmap!$D:$D,0)+COUNTIF($E131:Z131,"u")+COUNTIF($E131:Z131,"t")+COUNTIF($E131:Z131,"¶")+COUNTIF($E131:Z131,"²")+COUNTIF($E131:Z131,"µ")+COUNTIF($E131:Z131,1),ColTypeEcheance)),
  IF(LEN(Z131)=1,
  IF(LEN(INDEX(Roadmap!$D:$K,MATCH($E131,Roadmap!$D:$D,0)-1+COUNTIF($E131:Z131,"u")+COUNTIF($E131:Z131,"t")+COUNTIF($E131:Z131,"¶")+COUNTIF($E131:Z131,"²")+COUNTIF($E131:Z131,"µ")+COUNTIF($E131:Z131,1),ColDescriptionCourte))&gt;1,
HYPERLINK("#Roadmap!C"&amp; MATCH($E131,Roadmap!$D:$D,0)+COUNTIF($E131:Z131,"u")+COUNTIF($E131:Z131,"t")+COUNTIF($E131:Z131,"¶")+COUNTIF($E131:Z131,"²")+COUNTIF($E131:Z131,"µ")+COUNTIF($E131:Z131,1)-1,INDEX(Roadmap!$D:$K,MATCH($E131,Roadmap!$D:$D,0)-1+COUNTIF($E131:Z131,"u")+COUNTIF($E131:Z131,"t")+COUNTIF($E131:Z131,"¶")+COUNTIF($E131:Z131,"²")+COUNTIF($E131:Z131,"µ")+COUNTIF($E131:Z131,1),ColDescriptionCourte)),""),
  "")),"")</f>
        <v/>
      </c>
      <c r="AB131" s="40" t="str">
        <f ca="1">IFERROR(IF(AND(
  INDEX(Roadmap!$D:$K,MATCH($E131,Roadmap!$D:$D,0)+COUNTIF($E131:AA131,"u")+COUNTIF($E131:AA131,"t")+COUNTIF($E131:AA131,"¶")+COUNTIF($E131:AA131,"²")+COUNTIF($E131:AA131,"µ")+COUNTIF($E131:AA131,1),ColLivraison)=AB$6,
  VLOOKUP($E131,INDIRECT("tri!"&amp; CHAR(64+ C0Col) &amp;":"&amp; CHAR(65+C0Col)),2,FALSE)&gt;COUNTIF($E131:AA131,"u")+COUNTIF($E131:AA131,"t")+COUNTIF($E131:AA131,"¶")+COUNTIF($E131:AA131,"²")+COUNTIF($E131:AA131,"µ")+COUNTIF($E131:AA131,1)),
HYPERLINK("#Roadmap!C"&amp; MATCH($E131,Roadmap!$D:$D,0)+COUNTIF($E131:AA131,"u")+COUNTIF($E131:AA131,"t"),
     INDEX(Roadmap!$D:$K,MATCH($E131,Roadmap!$D:$D,0)+COUNTIF($E131:AA131,"u")+COUNTIF($E131:AA131,"t")+COUNTIF($E131:AA131,"¶")+COUNTIF($E131:AA131,"²")+COUNTIF($E131:AA131,"µ")+COUNTIF($E131:AA131,1),ColTypeEcheance)),
  IF(LEN(AA131)=1,
  IF(LEN(INDEX(Roadmap!$D:$K,MATCH($E131,Roadmap!$D:$D,0)-1+COUNTIF($E131:AA131,"u")+COUNTIF($E131:AA131,"t")+COUNTIF($E131:AA131,"¶")+COUNTIF($E131:AA131,"²")+COUNTIF($E131:AA131,"µ")+COUNTIF($E131:AA131,1),ColDescriptionCourte))&gt;1,
HYPERLINK("#Roadmap!C"&amp; MATCH($E131,Roadmap!$D:$D,0)+COUNTIF($E131:AA131,"u")+COUNTIF($E131:AA131,"t")+COUNTIF($E131:AA131,"¶")+COUNTIF($E131:AA131,"²")+COUNTIF($E131:AA131,"µ")+COUNTIF($E131:AA131,1)-1,INDEX(Roadmap!$D:$K,MATCH($E131,Roadmap!$D:$D,0)-1+COUNTIF($E131:AA131,"u")+COUNTIF($E131:AA131,"t")+COUNTIF($E131:AA131,"¶")+COUNTIF($E131:AA131,"²")+COUNTIF($E131:AA131,"µ")+COUNTIF($E131:AA131,1),ColDescriptionCourte)),""),
  "")),"")</f>
        <v/>
      </c>
      <c r="AC131" s="40" t="str">
        <f ca="1">IFERROR(IF(AND(
  INDEX(Roadmap!$D:$K,MATCH($E131,Roadmap!$D:$D,0)+COUNTIF($E131:AB131,"u")+COUNTIF($E131:AB131,"t")+COUNTIF($E131:AB131,"¶")+COUNTIF($E131:AB131,"²")+COUNTIF($E131:AB131,"µ")+COUNTIF($E131:AB131,1),ColLivraison)=AC$6,
  VLOOKUP($E131,INDIRECT("tri!"&amp; CHAR(64+ C0Col) &amp;":"&amp; CHAR(65+C0Col)),2,FALSE)&gt;COUNTIF($E131:AB131,"u")+COUNTIF($E131:AB131,"t")+COUNTIF($E131:AB131,"¶")+COUNTIF($E131:AB131,"²")+COUNTIF($E131:AB131,"µ")+COUNTIF($E131:AB131,1)),
HYPERLINK("#Roadmap!C"&amp; MATCH($E131,Roadmap!$D:$D,0)+COUNTIF($E131:AB131,"u")+COUNTIF($E131:AB131,"t"),
     INDEX(Roadmap!$D:$K,MATCH($E131,Roadmap!$D:$D,0)+COUNTIF($E131:AB131,"u")+COUNTIF($E131:AB131,"t")+COUNTIF($E131:AB131,"¶")+COUNTIF($E131:AB131,"²")+COUNTIF($E131:AB131,"µ")+COUNTIF($E131:AB131,1),ColTypeEcheance)),
  IF(LEN(AB131)=1,
  IF(LEN(INDEX(Roadmap!$D:$K,MATCH($E131,Roadmap!$D:$D,0)-1+COUNTIF($E131:AB131,"u")+COUNTIF($E131:AB131,"t")+COUNTIF($E131:AB131,"¶")+COUNTIF($E131:AB131,"²")+COUNTIF($E131:AB131,"µ")+COUNTIF($E131:AB131,1),ColDescriptionCourte))&gt;1,
HYPERLINK("#Roadmap!C"&amp; MATCH($E131,Roadmap!$D:$D,0)+COUNTIF($E131:AB131,"u")+COUNTIF($E131:AB131,"t")+COUNTIF($E131:AB131,"¶")+COUNTIF($E131:AB131,"²")+COUNTIF($E131:AB131,"µ")+COUNTIF($E131:AB131,1)-1,INDEX(Roadmap!$D:$K,MATCH($E131,Roadmap!$D:$D,0)-1+COUNTIF($E131:AB131,"u")+COUNTIF($E131:AB131,"t")+COUNTIF($E131:AB131,"¶")+COUNTIF($E131:AB131,"²")+COUNTIF($E131:AB131,"µ")+COUNTIF($E131:AB131,1),ColDescriptionCourte)),""),
  "")),"")</f>
        <v/>
      </c>
      <c r="AD131" s="40" t="str">
        <f ca="1">IFERROR(IF(AND(
  INDEX(Roadmap!$D:$K,MATCH($E131,Roadmap!$D:$D,0)+COUNTIF($E131:AC131,"u")+COUNTIF($E131:AC131,"t")+COUNTIF($E131:AC131,"¶")+COUNTIF($E131:AC131,"²")+COUNTIF($E131:AC131,"µ")+COUNTIF($E131:AC131,1),ColLivraison)=AD$6,
  VLOOKUP($E131,INDIRECT("tri!"&amp; CHAR(64+ C0Col) &amp;":"&amp; CHAR(65+C0Col)),2,FALSE)&gt;COUNTIF($E131:AC131,"u")+COUNTIF($E131:AC131,"t")+COUNTIF($E131:AC131,"¶")+COUNTIF($E131:AC131,"²")+COUNTIF($E131:AC131,"µ")+COUNTIF($E131:AC131,1)),
HYPERLINK("#Roadmap!C"&amp; MATCH($E131,Roadmap!$D:$D,0)+COUNTIF($E131:AC131,"u")+COUNTIF($E131:AC131,"t"),
     INDEX(Roadmap!$D:$K,MATCH($E131,Roadmap!$D:$D,0)+COUNTIF($E131:AC131,"u")+COUNTIF($E131:AC131,"t")+COUNTIF($E131:AC131,"¶")+COUNTIF($E131:AC131,"²")+COUNTIF($E131:AC131,"µ")+COUNTIF($E131:AC131,1),ColTypeEcheance)),
  IF(LEN(AC131)=1,
  IF(LEN(INDEX(Roadmap!$D:$K,MATCH($E131,Roadmap!$D:$D,0)-1+COUNTIF($E131:AC131,"u")+COUNTIF($E131:AC131,"t")+COUNTIF($E131:AC131,"¶")+COUNTIF($E131:AC131,"²")+COUNTIF($E131:AC131,"µ")+COUNTIF($E131:AC131,1),ColDescriptionCourte))&gt;1,
HYPERLINK("#Roadmap!C"&amp; MATCH($E131,Roadmap!$D:$D,0)+COUNTIF($E131:AC131,"u")+COUNTIF($E131:AC131,"t")+COUNTIF($E131:AC131,"¶")+COUNTIF($E131:AC131,"²")+COUNTIF($E131:AC131,"µ")+COUNTIF($E131:AC131,1)-1,INDEX(Roadmap!$D:$K,MATCH($E131,Roadmap!$D:$D,0)-1+COUNTIF($E131:AC131,"u")+COUNTIF($E131:AC131,"t")+COUNTIF($E131:AC131,"¶")+COUNTIF($E131:AC131,"²")+COUNTIF($E131:AC131,"µ")+COUNTIF($E131:AC131,1),ColDescriptionCourte)),""),
  "")),"")</f>
        <v/>
      </c>
      <c r="AE131" s="40" t="str">
        <f ca="1">IFERROR(IF(AND(
  INDEX(Roadmap!$D:$K,MATCH($E131,Roadmap!$D:$D,0)+COUNTIF($E131:AD131,"u")+COUNTIF($E131:AD131,"t")+COUNTIF($E131:AD131,"¶")+COUNTIF($E131:AD131,"²")+COUNTIF($E131:AD131,"µ")+COUNTIF($E131:AD131,1),ColLivraison)=AE$6,
  VLOOKUP($E131,INDIRECT("tri!"&amp; CHAR(64+ C0Col) &amp;":"&amp; CHAR(65+C0Col)),2,FALSE)&gt;COUNTIF($E131:AD131,"u")+COUNTIF($E131:AD131,"t")+COUNTIF($E131:AD131,"¶")+COUNTIF($E131:AD131,"²")+COUNTIF($E131:AD131,"µ")+COUNTIF($E131:AD131,1)),
HYPERLINK("#Roadmap!C"&amp; MATCH($E131,Roadmap!$D:$D,0)+COUNTIF($E131:AD131,"u")+COUNTIF($E131:AD131,"t"),
     INDEX(Roadmap!$D:$K,MATCH($E131,Roadmap!$D:$D,0)+COUNTIF($E131:AD131,"u")+COUNTIF($E131:AD131,"t")+COUNTIF($E131:AD131,"¶")+COUNTIF($E131:AD131,"²")+COUNTIF($E131:AD131,"µ")+COUNTIF($E131:AD131,1),ColTypeEcheance)),
  IF(LEN(AD131)=1,
  IF(LEN(INDEX(Roadmap!$D:$K,MATCH($E131,Roadmap!$D:$D,0)-1+COUNTIF($E131:AD131,"u")+COUNTIF($E131:AD131,"t")+COUNTIF($E131:AD131,"¶")+COUNTIF($E131:AD131,"²")+COUNTIF($E131:AD131,"µ")+COUNTIF($E131:AD131,1),ColDescriptionCourte))&gt;1,
HYPERLINK("#Roadmap!C"&amp; MATCH($E131,Roadmap!$D:$D,0)+COUNTIF($E131:AD131,"u")+COUNTIF($E131:AD131,"t")+COUNTIF($E131:AD131,"¶")+COUNTIF($E131:AD131,"²")+COUNTIF($E131:AD131,"µ")+COUNTIF($E131:AD131,1)-1,INDEX(Roadmap!$D:$K,MATCH($E131,Roadmap!$D:$D,0)-1+COUNTIF($E131:AD131,"u")+COUNTIF($E131:AD131,"t")+COUNTIF($E131:AD131,"¶")+COUNTIF($E131:AD131,"²")+COUNTIF($E131:AD131,"µ")+COUNTIF($E131:AD131,1),ColDescriptionCourte)),""),
  "")),"")</f>
        <v/>
      </c>
      <c r="AF131" s="40" t="str">
        <f ca="1">IFERROR(IF(AND(
  INDEX(Roadmap!$D:$K,MATCH($E131,Roadmap!$D:$D,0)+COUNTIF($E131:AE131,"u")+COUNTIF($E131:AE131,"t")+COUNTIF($E131:AE131,"¶")+COUNTIF($E131:AE131,"²")+COUNTIF($E131:AE131,"µ")+COUNTIF($E131:AE131,1),ColLivraison)=AF$6,
  VLOOKUP($E131,INDIRECT("tri!"&amp; CHAR(64+ C0Col) &amp;":"&amp; CHAR(65+C0Col)),2,FALSE)&gt;COUNTIF($E131:AE131,"u")+COUNTIF($E131:AE131,"t")+COUNTIF($E131:AE131,"¶")+COUNTIF($E131:AE131,"²")+COUNTIF($E131:AE131,"µ")+COUNTIF($E131:AE131,1)),
HYPERLINK("#Roadmap!C"&amp; MATCH($E131,Roadmap!$D:$D,0)+COUNTIF($E131:AE131,"u")+COUNTIF($E131:AE131,"t"),
     INDEX(Roadmap!$D:$K,MATCH($E131,Roadmap!$D:$D,0)+COUNTIF($E131:AE131,"u")+COUNTIF($E131:AE131,"t")+COUNTIF($E131:AE131,"¶")+COUNTIF($E131:AE131,"²")+COUNTIF($E131:AE131,"µ")+COUNTIF($E131:AE131,1),ColTypeEcheance)),
  IF(LEN(AE131)=1,
  IF(LEN(INDEX(Roadmap!$D:$K,MATCH($E131,Roadmap!$D:$D,0)-1+COUNTIF($E131:AE131,"u")+COUNTIF($E131:AE131,"t")+COUNTIF($E131:AE131,"¶")+COUNTIF($E131:AE131,"²")+COUNTIF($E131:AE131,"µ")+COUNTIF($E131:AE131,1),ColDescriptionCourte))&gt;1,
HYPERLINK("#Roadmap!C"&amp; MATCH($E131,Roadmap!$D:$D,0)+COUNTIF($E131:AE131,"u")+COUNTIF($E131:AE131,"t")+COUNTIF($E131:AE131,"¶")+COUNTIF($E131:AE131,"²")+COUNTIF($E131:AE131,"µ")+COUNTIF($E131:AE131,1)-1,INDEX(Roadmap!$D:$K,MATCH($E131,Roadmap!$D:$D,0)-1+COUNTIF($E131:AE131,"u")+COUNTIF($E131:AE131,"t")+COUNTIF($E131:AE131,"¶")+COUNTIF($E131:AE131,"²")+COUNTIF($E131:AE131,"µ")+COUNTIF($E131:AE131,1),ColDescriptionCourte)),""),
  "")),"")</f>
        <v/>
      </c>
      <c r="AG131" s="40" t="str">
        <f ca="1">IFERROR(IF(AND(
  INDEX(Roadmap!$D:$K,MATCH($E131,Roadmap!$D:$D,0)+COUNTIF($E131:AF131,"u")+COUNTIF($E131:AF131,"t")+COUNTIF($E131:AF131,"¶")+COUNTIF($E131:AF131,"²")+COUNTIF($E131:AF131,"µ")+COUNTIF($E131:AF131,1),ColLivraison)=AG$6,
  VLOOKUP($E131,INDIRECT("tri!"&amp; CHAR(64+ C0Col) &amp;":"&amp; CHAR(65+C0Col)),2,FALSE)&gt;COUNTIF($E131:AF131,"u")+COUNTIF($E131:AF131,"t")+COUNTIF($E131:AF131,"¶")+COUNTIF($E131:AF131,"²")+COUNTIF($E131:AF131,"µ")+COUNTIF($E131:AF131,1)),
HYPERLINK("#Roadmap!C"&amp; MATCH($E131,Roadmap!$D:$D,0)+COUNTIF($E131:AF131,"u")+COUNTIF($E131:AF131,"t"),
     INDEX(Roadmap!$D:$K,MATCH($E131,Roadmap!$D:$D,0)+COUNTIF($E131:AF131,"u")+COUNTIF($E131:AF131,"t")+COUNTIF($E131:AF131,"¶")+COUNTIF($E131:AF131,"²")+COUNTIF($E131:AF131,"µ")+COUNTIF($E131:AF131,1),ColTypeEcheance)),
  IF(LEN(AF131)=1,
  IF(LEN(INDEX(Roadmap!$D:$K,MATCH($E131,Roadmap!$D:$D,0)-1+COUNTIF($E131:AF131,"u")+COUNTIF($E131:AF131,"t")+COUNTIF($E131:AF131,"¶")+COUNTIF($E131:AF131,"²")+COUNTIF($E131:AF131,"µ")+COUNTIF($E131:AF131,1),ColDescriptionCourte))&gt;1,
HYPERLINK("#Roadmap!C"&amp; MATCH($E131,Roadmap!$D:$D,0)+COUNTIF($E131:AF131,"u")+COUNTIF($E131:AF131,"t")+COUNTIF($E131:AF131,"¶")+COUNTIF($E131:AF131,"²")+COUNTIF($E131:AF131,"µ")+COUNTIF($E131:AF131,1)-1,INDEX(Roadmap!$D:$K,MATCH($E131,Roadmap!$D:$D,0)-1+COUNTIF($E131:AF131,"u")+COUNTIF($E131:AF131,"t")+COUNTIF($E131:AF131,"¶")+COUNTIF($E131:AF131,"²")+COUNTIF($E131:AF131,"µ")+COUNTIF($E131:AF131,1),ColDescriptionCourte)),""),
  "")),"")</f>
        <v/>
      </c>
    </row>
    <row r="132" spans="3:33" ht="14.25" customHeight="1">
      <c r="C132" s="1" t="str">
        <f t="shared" ca="1" si="49"/>
        <v/>
      </c>
      <c r="D132" s="1" t="str">
        <f t="shared" ca="1" si="50"/>
        <v/>
      </c>
      <c r="E132" s="35" t="str">
        <f t="shared" ca="1" si="46"/>
        <v/>
      </c>
      <c r="F132" s="39" t="str">
        <f ca="1">IFERROR(IF(AND(
  INDEX(Roadmap!$D:$K,MATCH($E132,Roadmap!$D:$D,0)+COUNTIF($E132:E132,"u")+COUNTIF($E132:E132,"t")+COUNTIF($E132:E132,"¶")+COUNTIF($E132:E132,"²")+COUNTIF($E132:E132,"µ")+COUNTIF($E132:E132,1),ColLivraison)=F$6,
  VLOOKUP($E132,INDIRECT("tri!"&amp; CHAR(64+ C0Col) &amp;":"&amp; CHAR(65+C0Col)),2,FALSE)&gt;COUNTIF($E132:E132,"u")+COUNTIF($E132:E132,"t")+COUNTIF($E132:E132,"¶")+COUNTIF($E132:E132,"²")+COUNTIF($E132:E132,"µ")+COUNTIF($E132:E132,1)),
HYPERLINK("#Roadmap!C"&amp; MATCH($E132,Roadmap!$D:$D,0)+COUNTIF($E132:E132,"u")+COUNTIF($E132:E132,"t"),
     INDEX(Roadmap!$D:$K,MATCH($E132,Roadmap!$D:$D,0)+COUNTIF($E132:E132,"u")+COUNTIF($E132:E132,"t")+COUNTIF($E132:E132,"¶")+COUNTIF($E132:E132,"²")+COUNTIF($E132:E132,"µ")+COUNTIF($E132:E132,1),ColTypeEcheance)),
  IF(LEN(E132)=1,
  IF(LEN(INDEX(Roadmap!$D:$K,MATCH($E132,Roadmap!$D:$D,0)-1+COUNTIF($E132:E132,"u")+COUNTIF($E132:E132,"t")+COUNTIF($E132:E132,"¶")+COUNTIF($E132:E132,"²")+COUNTIF($E132:E132,"µ")+COUNTIF($E132:E132,1),ColDescriptionCourte))&gt;1,
HYPERLINK("#Roadmap!C"&amp; MATCH($E132,Roadmap!$D:$D,0)+COUNTIF($E132:E132,"u")+COUNTIF($E132:E132,"t")+COUNTIF($E132:E132,"¶")+COUNTIF($E132:E132,"²")+COUNTIF($E132:E132,"µ")+COUNTIF($E132:E132,1)-1,INDEX(Roadmap!$D:$K,MATCH($E132,Roadmap!$D:$D,0)-1+COUNTIF($E132:E132,"u")+COUNTIF($E132:E132,"t")+COUNTIF($E132:E132,"¶")+COUNTIF($E132:E132,"²")+COUNTIF($E132:E132,"µ")+COUNTIF($E132:E132,1),ColDescriptionCourte)),""),
  "")),"")</f>
        <v/>
      </c>
      <c r="G132" s="40" t="str">
        <f ca="1">IFERROR(IF(AND(
  INDEX(Roadmap!$D:$K,MATCH($E132,Roadmap!$D:$D,0)+COUNTIF($E132:F132,"u")+COUNTIF($E132:F132,"t")+COUNTIF($E132:F132,"¶")+COUNTIF($E132:F132,"²")+COUNTIF($E132:F132,"µ")+COUNTIF($E132:F132,1),ColLivraison)=G$6,
  VLOOKUP($E132,INDIRECT("tri!"&amp; CHAR(64+ C0Col) &amp;":"&amp; CHAR(65+C0Col)),2,FALSE)&gt;COUNTIF($E132:F132,"u")+COUNTIF($E132:F132,"t")+COUNTIF($E132:F132,"¶")+COUNTIF($E132:F132,"²")+COUNTIF($E132:F132,"µ")+COUNTIF($E132:F132,1)),
HYPERLINK("#Roadmap!C"&amp; MATCH($E132,Roadmap!$D:$D,0)+COUNTIF($E132:F132,"u")+COUNTIF($E132:F132,"t"),
     INDEX(Roadmap!$D:$K,MATCH($E132,Roadmap!$D:$D,0)+COUNTIF($E132:F132,"u")+COUNTIF($E132:F132,"t")+COUNTIF($E132:F132,"¶")+COUNTIF($E132:F132,"²")+COUNTIF($E132:F132,"µ")+COUNTIF($E132:F132,1),ColTypeEcheance)),
  IF(LEN(F132)=1,
  IF(LEN(INDEX(Roadmap!$D:$K,MATCH($E132,Roadmap!$D:$D,0)-1+COUNTIF($E132:F132,"u")+COUNTIF($E132:F132,"t")+COUNTIF($E132:F132,"¶")+COUNTIF($E132:F132,"²")+COUNTIF($E132:F132,"µ")+COUNTIF($E132:F132,1),ColDescriptionCourte))&gt;1,
HYPERLINK("#Roadmap!C"&amp; MATCH($E132,Roadmap!$D:$D,0)+COUNTIF($E132:F132,"u")+COUNTIF($E132:F132,"t")+COUNTIF($E132:F132,"¶")+COUNTIF($E132:F132,"²")+COUNTIF($E132:F132,"µ")+COUNTIF($E132:F132,1)-1,INDEX(Roadmap!$D:$K,MATCH($E132,Roadmap!$D:$D,0)-1+COUNTIF($E132:F132,"u")+COUNTIF($E132:F132,"t")+COUNTIF($E132:F132,"¶")+COUNTIF($E132:F132,"²")+COUNTIF($E132:F132,"µ")+COUNTIF($E132:F132,1),ColDescriptionCourte)),""),
  "")),"")</f>
        <v/>
      </c>
      <c r="H132" s="40" t="str">
        <f ca="1">IFERROR(IF(AND(
  INDEX(Roadmap!$D:$K,MATCH($E132,Roadmap!$D:$D,0)+COUNTIF($E132:G132,"u")+COUNTIF($E132:G132,"t")+COUNTIF($E132:G132,"¶")+COUNTIF($E132:G132,"²")+COUNTIF($E132:G132,"µ")+COUNTIF($E132:G132,1),ColLivraison)=H$6,
  VLOOKUP($E132,INDIRECT("tri!"&amp; CHAR(64+ C0Col) &amp;":"&amp; CHAR(65+C0Col)),2,FALSE)&gt;COUNTIF($E132:G132,"u")+COUNTIF($E132:G132,"t")+COUNTIF($E132:G132,"¶")+COUNTIF($E132:G132,"²")+COUNTIF($E132:G132,"µ")+COUNTIF($E132:G132,1)),
HYPERLINK("#Roadmap!C"&amp; MATCH($E132,Roadmap!$D:$D,0)+COUNTIF($E132:G132,"u")+COUNTIF($E132:G132,"t"),
     INDEX(Roadmap!$D:$K,MATCH($E132,Roadmap!$D:$D,0)+COUNTIF($E132:G132,"u")+COUNTIF($E132:G132,"t")+COUNTIF($E132:G132,"¶")+COUNTIF($E132:G132,"²")+COUNTIF($E132:G132,"µ")+COUNTIF($E132:G132,1),ColTypeEcheance)),
  IF(LEN(G132)=1,
  IF(LEN(INDEX(Roadmap!$D:$K,MATCH($E132,Roadmap!$D:$D,0)-1+COUNTIF($E132:G132,"u")+COUNTIF($E132:G132,"t")+COUNTIF($E132:G132,"¶")+COUNTIF($E132:G132,"²")+COUNTIF($E132:G132,"µ")+COUNTIF($E132:G132,1),ColDescriptionCourte))&gt;1,
HYPERLINK("#Roadmap!C"&amp; MATCH($E132,Roadmap!$D:$D,0)+COUNTIF($E132:G132,"u")+COUNTIF($E132:G132,"t")+COUNTIF($E132:G132,"¶")+COUNTIF($E132:G132,"²")+COUNTIF($E132:G132,"µ")+COUNTIF($E132:G132,1)-1,INDEX(Roadmap!$D:$K,MATCH($E132,Roadmap!$D:$D,0)-1+COUNTIF($E132:G132,"u")+COUNTIF($E132:G132,"t")+COUNTIF($E132:G132,"¶")+COUNTIF($E132:G132,"²")+COUNTIF($E132:G132,"µ")+COUNTIF($E132:G132,1),ColDescriptionCourte)),""),
  "")),"")</f>
        <v/>
      </c>
      <c r="I132" s="40" t="str">
        <f ca="1">IFERROR(IF(AND(
  INDEX(Roadmap!$D:$K,MATCH($E132,Roadmap!$D:$D,0)+COUNTIF($E132:H132,"u")+COUNTIF($E132:H132,"t")+COUNTIF($E132:H132,"¶")+COUNTIF($E132:H132,"²")+COUNTIF($E132:H132,"µ")+COUNTIF($E132:H132,1),ColLivraison)=I$6,
  VLOOKUP($E132,INDIRECT("tri!"&amp; CHAR(64+ C0Col) &amp;":"&amp; CHAR(65+C0Col)),2,FALSE)&gt;COUNTIF($E132:H132,"u")+COUNTIF($E132:H132,"t")+COUNTIF($E132:H132,"¶")+COUNTIF($E132:H132,"²")+COUNTIF($E132:H132,"µ")+COUNTIF($E132:H132,1)),
HYPERLINK("#Roadmap!C"&amp; MATCH($E132,Roadmap!$D:$D,0)+COUNTIF($E132:H132,"u")+COUNTIF($E132:H132,"t"),
     INDEX(Roadmap!$D:$K,MATCH($E132,Roadmap!$D:$D,0)+COUNTIF($E132:H132,"u")+COUNTIF($E132:H132,"t")+COUNTIF($E132:H132,"¶")+COUNTIF($E132:H132,"²")+COUNTIF($E132:H132,"µ")+COUNTIF($E132:H132,1),ColTypeEcheance)),
  IF(LEN(H132)=1,
  IF(LEN(INDEX(Roadmap!$D:$K,MATCH($E132,Roadmap!$D:$D,0)-1+COUNTIF($E132:H132,"u")+COUNTIF($E132:H132,"t")+COUNTIF($E132:H132,"¶")+COUNTIF($E132:H132,"²")+COUNTIF($E132:H132,"µ")+COUNTIF($E132:H132,1),ColDescriptionCourte))&gt;1,
HYPERLINK("#Roadmap!C"&amp; MATCH($E132,Roadmap!$D:$D,0)+COUNTIF($E132:H132,"u")+COUNTIF($E132:H132,"t")+COUNTIF($E132:H132,"¶")+COUNTIF($E132:H132,"²")+COUNTIF($E132:H132,"µ")+COUNTIF($E132:H132,1)-1,INDEX(Roadmap!$D:$K,MATCH($E132,Roadmap!$D:$D,0)-1+COUNTIF($E132:H132,"u")+COUNTIF($E132:H132,"t")+COUNTIF($E132:H132,"¶")+COUNTIF($E132:H132,"²")+COUNTIF($E132:H132,"µ")+COUNTIF($E132:H132,1),ColDescriptionCourte)),""),
  "")),"")</f>
        <v/>
      </c>
      <c r="J132" s="40" t="str">
        <f ca="1">IFERROR(IF(AND(
  INDEX(Roadmap!$D:$K,MATCH($E132,Roadmap!$D:$D,0)+COUNTIF($E132:I132,"u")+COUNTIF($E132:I132,"t")+COUNTIF($E132:I132,"¶")+COUNTIF($E132:I132,"²")+COUNTIF($E132:I132,"µ")+COUNTIF($E132:I132,1),ColLivraison)=J$6,
  VLOOKUP($E132,INDIRECT("tri!"&amp; CHAR(64+ C0Col) &amp;":"&amp; CHAR(65+C0Col)),2,FALSE)&gt;COUNTIF($E132:I132,"u")+COUNTIF($E132:I132,"t")+COUNTIF($E132:I132,"¶")+COUNTIF($E132:I132,"²")+COUNTIF($E132:I132,"µ")+COUNTIF($E132:I132,1)),
HYPERLINK("#Roadmap!C"&amp; MATCH($E132,Roadmap!$D:$D,0)+COUNTIF($E132:I132,"u")+COUNTIF($E132:I132,"t"),
     INDEX(Roadmap!$D:$K,MATCH($E132,Roadmap!$D:$D,0)+COUNTIF($E132:I132,"u")+COUNTIF($E132:I132,"t")+COUNTIF($E132:I132,"¶")+COUNTIF($E132:I132,"²")+COUNTIF($E132:I132,"µ")+COUNTIF($E132:I132,1),ColTypeEcheance)),
  IF(LEN(I132)=1,
  IF(LEN(INDEX(Roadmap!$D:$K,MATCH($E132,Roadmap!$D:$D,0)-1+COUNTIF($E132:I132,"u")+COUNTIF($E132:I132,"t")+COUNTIF($E132:I132,"¶")+COUNTIF($E132:I132,"²")+COUNTIF($E132:I132,"µ")+COUNTIF($E132:I132,1),ColDescriptionCourte))&gt;1,
HYPERLINK("#Roadmap!C"&amp; MATCH($E132,Roadmap!$D:$D,0)+COUNTIF($E132:I132,"u")+COUNTIF($E132:I132,"t")+COUNTIF($E132:I132,"¶")+COUNTIF($E132:I132,"²")+COUNTIF($E132:I132,"µ")+COUNTIF($E132:I132,1)-1,INDEX(Roadmap!$D:$K,MATCH($E132,Roadmap!$D:$D,0)-1+COUNTIF($E132:I132,"u")+COUNTIF($E132:I132,"t")+COUNTIF($E132:I132,"¶")+COUNTIF($E132:I132,"²")+COUNTIF($E132:I132,"µ")+COUNTIF($E132:I132,1),ColDescriptionCourte)),""),
  "")),"")</f>
        <v/>
      </c>
      <c r="K132" s="40" t="str">
        <f ca="1">IFERROR(IF(AND(
  INDEX(Roadmap!$D:$K,MATCH($E132,Roadmap!$D:$D,0)+COUNTIF($E132:J132,"u")+COUNTIF($E132:J132,"t")+COUNTIF($E132:J132,"¶")+COUNTIF($E132:J132,"²")+COUNTIF($E132:J132,"µ")+COUNTIF($E132:J132,1),ColLivraison)=K$6,
  VLOOKUP($E132,INDIRECT("tri!"&amp; CHAR(64+ C0Col) &amp;":"&amp; CHAR(65+C0Col)),2,FALSE)&gt;COUNTIF($E132:J132,"u")+COUNTIF($E132:J132,"t")+COUNTIF($E132:J132,"¶")+COUNTIF($E132:J132,"²")+COUNTIF($E132:J132,"µ")+COUNTIF($E132:J132,1)),
HYPERLINK("#Roadmap!C"&amp; MATCH($E132,Roadmap!$D:$D,0)+COUNTIF($E132:J132,"u")+COUNTIF($E132:J132,"t"),
     INDEX(Roadmap!$D:$K,MATCH($E132,Roadmap!$D:$D,0)+COUNTIF($E132:J132,"u")+COUNTIF($E132:J132,"t")+COUNTIF($E132:J132,"¶")+COUNTIF($E132:J132,"²")+COUNTIF($E132:J132,"µ")+COUNTIF($E132:J132,1),ColTypeEcheance)),
  IF(LEN(J132)=1,
  IF(LEN(INDEX(Roadmap!$D:$K,MATCH($E132,Roadmap!$D:$D,0)-1+COUNTIF($E132:J132,"u")+COUNTIF($E132:J132,"t")+COUNTIF($E132:J132,"¶")+COUNTIF($E132:J132,"²")+COUNTIF($E132:J132,"µ")+COUNTIF($E132:J132,1),ColDescriptionCourte))&gt;1,
HYPERLINK("#Roadmap!C"&amp; MATCH($E132,Roadmap!$D:$D,0)+COUNTIF($E132:J132,"u")+COUNTIF($E132:J132,"t")+COUNTIF($E132:J132,"¶")+COUNTIF($E132:J132,"²")+COUNTIF($E132:J132,"µ")+COUNTIF($E132:J132,1)-1,INDEX(Roadmap!$D:$K,MATCH($E132,Roadmap!$D:$D,0)-1+COUNTIF($E132:J132,"u")+COUNTIF($E132:J132,"t")+COUNTIF($E132:J132,"¶")+COUNTIF($E132:J132,"²")+COUNTIF($E132:J132,"µ")+COUNTIF($E132:J132,1),ColDescriptionCourte)),""),
  "")),"")</f>
        <v/>
      </c>
      <c r="L132" s="39" t="str">
        <f ca="1">IFERROR(IF(AND(
  INDEX(Roadmap!$D:$K,MATCH($E132,Roadmap!$D:$D,0)+COUNTIF($E132:K132,"u")+COUNTIF($E132:K132,"t")+COUNTIF($E132:K132,"¶")+COUNTIF($E132:K132,"²")+COUNTIF($E132:K132,"µ")+COUNTIF($E132:K132,1),ColLivraison)=L$6,
  VLOOKUP($E132,INDIRECT("tri!"&amp; CHAR(64+ C0Col) &amp;":"&amp; CHAR(65+C0Col)),2,FALSE)&gt;COUNTIF($E132:K132,"u")+COUNTIF($E132:K132,"t")+COUNTIF($E132:K132,"¶")+COUNTIF($E132:K132,"²")+COUNTIF($E132:K132,"µ")+COUNTIF($E132:K132,1)),
HYPERLINK("#Roadmap!C"&amp; MATCH($E132,Roadmap!$D:$D,0)+COUNTIF($E132:K132,"u")+COUNTIF($E132:K132,"t"),
     INDEX(Roadmap!$D:$K,MATCH($E132,Roadmap!$D:$D,0)+COUNTIF($E132:K132,"u")+COUNTIF($E132:K132,"t")+COUNTIF($E132:K132,"¶")+COUNTIF($E132:K132,"²")+COUNTIF($E132:K132,"µ")+COUNTIF($E132:K132,1),ColTypeEcheance)),
  IF(LEN(K132)=1,
  IF(LEN(INDEX(Roadmap!$D:$K,MATCH($E132,Roadmap!$D:$D,0)-1+COUNTIF($E132:K132,"u")+COUNTIF($E132:K132,"t")+COUNTIF($E132:K132,"¶")+COUNTIF($E132:K132,"²")+COUNTIF($E132:K132,"µ")+COUNTIF($E132:K132,1),ColDescriptionCourte))&gt;1,
HYPERLINK("#Roadmap!C"&amp; MATCH($E132,Roadmap!$D:$D,0)+COUNTIF($E132:K132,"u")+COUNTIF($E132:K132,"t")+COUNTIF($E132:K132,"¶")+COUNTIF($E132:K132,"²")+COUNTIF($E132:K132,"µ")+COUNTIF($E132:K132,1)-1,INDEX(Roadmap!$D:$K,MATCH($E132,Roadmap!$D:$D,0)-1+COUNTIF($E132:K132,"u")+COUNTIF($E132:K132,"t")+COUNTIF($E132:K132,"¶")+COUNTIF($E132:K132,"²")+COUNTIF($E132:K132,"µ")+COUNTIF($E132:K132,1),ColDescriptionCourte)),""),
  "")),"")</f>
        <v/>
      </c>
      <c r="M132" s="40" t="str">
        <f ca="1">IFERROR(IF(AND(
  INDEX(Roadmap!$D:$K,MATCH($E132,Roadmap!$D:$D,0)+COUNTIF($E132:L132,"u")+COUNTIF($E132:L132,"t")+COUNTIF($E132:L132,"¶")+COUNTIF($E132:L132,"²")+COUNTIF($E132:L132,"µ")+COUNTIF($E132:L132,1),ColLivraison)=M$6,
  VLOOKUP($E132,INDIRECT("tri!"&amp; CHAR(64+ C0Col) &amp;":"&amp; CHAR(65+C0Col)),2,FALSE)&gt;COUNTIF($E132:L132,"u")+COUNTIF($E132:L132,"t")+COUNTIF($E132:L132,"¶")+COUNTIF($E132:L132,"²")+COUNTIF($E132:L132,"µ")+COUNTIF($E132:L132,1)),
HYPERLINK("#Roadmap!C"&amp; MATCH($E132,Roadmap!$D:$D,0)+COUNTIF($E132:L132,"u")+COUNTIF($E132:L132,"t"),
     INDEX(Roadmap!$D:$K,MATCH($E132,Roadmap!$D:$D,0)+COUNTIF($E132:L132,"u")+COUNTIF($E132:L132,"t")+COUNTIF($E132:L132,"¶")+COUNTIF($E132:L132,"²")+COUNTIF($E132:L132,"µ")+COUNTIF($E132:L132,1),ColTypeEcheance)),
  IF(LEN(L132)=1,
  IF(LEN(INDEX(Roadmap!$D:$K,MATCH($E132,Roadmap!$D:$D,0)-1+COUNTIF($E132:L132,"u")+COUNTIF($E132:L132,"t")+COUNTIF($E132:L132,"¶")+COUNTIF($E132:L132,"²")+COUNTIF($E132:L132,"µ")+COUNTIF($E132:L132,1),ColDescriptionCourte))&gt;1,
HYPERLINK("#Roadmap!C"&amp; MATCH($E132,Roadmap!$D:$D,0)+COUNTIF($E132:L132,"u")+COUNTIF($E132:L132,"t")+COUNTIF($E132:L132,"¶")+COUNTIF($E132:L132,"²")+COUNTIF($E132:L132,"µ")+COUNTIF($E132:L132,1)-1,INDEX(Roadmap!$D:$K,MATCH($E132,Roadmap!$D:$D,0)-1+COUNTIF($E132:L132,"u")+COUNTIF($E132:L132,"t")+COUNTIF($E132:L132,"¶")+COUNTIF($E132:L132,"²")+COUNTIF($E132:L132,"µ")+COUNTIF($E132:L132,1),ColDescriptionCourte)),""),
  "")),"")</f>
        <v/>
      </c>
      <c r="N132" s="40" t="str">
        <f ca="1">IFERROR(IF(AND(
  INDEX(Roadmap!$D:$K,MATCH($E132,Roadmap!$D:$D,0)+COUNTIF($E132:M132,"u")+COUNTIF($E132:M132,"t")+COUNTIF($E132:M132,"¶")+COUNTIF($E132:M132,"²")+COUNTIF($E132:M132,"µ")+COUNTIF($E132:M132,1),ColLivraison)=N$6,
  VLOOKUP($E132,INDIRECT("tri!"&amp; CHAR(64+ C0Col) &amp;":"&amp; CHAR(65+C0Col)),2,FALSE)&gt;COUNTIF($E132:M132,"u")+COUNTIF($E132:M132,"t")+COUNTIF($E132:M132,"¶")+COUNTIF($E132:M132,"²")+COUNTIF($E132:M132,"µ")+COUNTIF($E132:M132,1)),
HYPERLINK("#Roadmap!C"&amp; MATCH($E132,Roadmap!$D:$D,0)+COUNTIF($E132:M132,"u")+COUNTIF($E132:M132,"t"),
     INDEX(Roadmap!$D:$K,MATCH($E132,Roadmap!$D:$D,0)+COUNTIF($E132:M132,"u")+COUNTIF($E132:M132,"t")+COUNTIF($E132:M132,"¶")+COUNTIF($E132:M132,"²")+COUNTIF($E132:M132,"µ")+COUNTIF($E132:M132,1),ColTypeEcheance)),
  IF(LEN(M132)=1,
  IF(LEN(INDEX(Roadmap!$D:$K,MATCH($E132,Roadmap!$D:$D,0)-1+COUNTIF($E132:M132,"u")+COUNTIF($E132:M132,"t")+COUNTIF($E132:M132,"¶")+COUNTIF($E132:M132,"²")+COUNTIF($E132:M132,"µ")+COUNTIF($E132:M132,1),ColDescriptionCourte))&gt;1,
HYPERLINK("#Roadmap!C"&amp; MATCH($E132,Roadmap!$D:$D,0)+COUNTIF($E132:M132,"u")+COUNTIF($E132:M132,"t")+COUNTIF($E132:M132,"¶")+COUNTIF($E132:M132,"²")+COUNTIF($E132:M132,"µ")+COUNTIF($E132:M132,1)-1,INDEX(Roadmap!$D:$K,MATCH($E132,Roadmap!$D:$D,0)-1+COUNTIF($E132:M132,"u")+COUNTIF($E132:M132,"t")+COUNTIF($E132:M132,"¶")+COUNTIF($E132:M132,"²")+COUNTIF($E132:M132,"µ")+COUNTIF($E132:M132,1),ColDescriptionCourte)),""),
  "")),"")</f>
        <v/>
      </c>
      <c r="O132" s="40" t="str">
        <f ca="1">IFERROR(IF(AND(
  INDEX(Roadmap!$D:$K,MATCH($E132,Roadmap!$D:$D,0)+COUNTIF($E132:N132,"u")+COUNTIF($E132:N132,"t")+COUNTIF($E132:N132,"¶")+COUNTIF($E132:N132,"²")+COUNTIF($E132:N132,"µ")+COUNTIF($E132:N132,1),ColLivraison)=O$6,
  VLOOKUP($E132,INDIRECT("tri!"&amp; CHAR(64+ C0Col) &amp;":"&amp; CHAR(65+C0Col)),2,FALSE)&gt;COUNTIF($E132:N132,"u")+COUNTIF($E132:N132,"t")+COUNTIF($E132:N132,"¶")+COUNTIF($E132:N132,"²")+COUNTIF($E132:N132,"µ")+COUNTIF($E132:N132,1)),
HYPERLINK("#Roadmap!C"&amp; MATCH($E132,Roadmap!$D:$D,0)+COUNTIF($E132:N132,"u")+COUNTIF($E132:N132,"t"),
     INDEX(Roadmap!$D:$K,MATCH($E132,Roadmap!$D:$D,0)+COUNTIF($E132:N132,"u")+COUNTIF($E132:N132,"t")+COUNTIF($E132:N132,"¶")+COUNTIF($E132:N132,"²")+COUNTIF($E132:N132,"µ")+COUNTIF($E132:N132,1),ColTypeEcheance)),
  IF(LEN(N132)=1,
  IF(LEN(INDEX(Roadmap!$D:$K,MATCH($E132,Roadmap!$D:$D,0)-1+COUNTIF($E132:N132,"u")+COUNTIF($E132:N132,"t")+COUNTIF($E132:N132,"¶")+COUNTIF($E132:N132,"²")+COUNTIF($E132:N132,"µ")+COUNTIF($E132:N132,1),ColDescriptionCourte))&gt;1,
HYPERLINK("#Roadmap!C"&amp; MATCH($E132,Roadmap!$D:$D,0)+COUNTIF($E132:N132,"u")+COUNTIF($E132:N132,"t")+COUNTIF($E132:N132,"¶")+COUNTIF($E132:N132,"²")+COUNTIF($E132:N132,"µ")+COUNTIF($E132:N132,1)-1,INDEX(Roadmap!$D:$K,MATCH($E132,Roadmap!$D:$D,0)-1+COUNTIF($E132:N132,"u")+COUNTIF($E132:N132,"t")+COUNTIF($E132:N132,"¶")+COUNTIF($E132:N132,"²")+COUNTIF($E132:N132,"µ")+COUNTIF($E132:N132,1),ColDescriptionCourte)),""),
  "")),"")</f>
        <v/>
      </c>
      <c r="P132" s="40" t="str">
        <f ca="1">IFERROR(IF(AND(
  INDEX(Roadmap!$D:$K,MATCH($E132,Roadmap!$D:$D,0)+COUNTIF($E132:O132,"u")+COUNTIF($E132:O132,"t")+COUNTIF($E132:O132,"¶")+COUNTIF($E132:O132,"²")+COUNTIF($E132:O132,"µ")+COUNTIF($E132:O132,1),ColLivraison)=P$6,
  VLOOKUP($E132,INDIRECT("tri!"&amp; CHAR(64+ C0Col) &amp;":"&amp; CHAR(65+C0Col)),2,FALSE)&gt;COUNTIF($E132:O132,"u")+COUNTIF($E132:O132,"t")+COUNTIF($E132:O132,"¶")+COUNTIF($E132:O132,"²")+COUNTIF($E132:O132,"µ")+COUNTIF($E132:O132,1)),
HYPERLINK("#Roadmap!C"&amp; MATCH($E132,Roadmap!$D:$D,0)+COUNTIF($E132:O132,"u")+COUNTIF($E132:O132,"t"),
     INDEX(Roadmap!$D:$K,MATCH($E132,Roadmap!$D:$D,0)+COUNTIF($E132:O132,"u")+COUNTIF($E132:O132,"t")+COUNTIF($E132:O132,"¶")+COUNTIF($E132:O132,"²")+COUNTIF($E132:O132,"µ")+COUNTIF($E132:O132,1),ColTypeEcheance)),
  IF(LEN(O132)=1,
  IF(LEN(INDEX(Roadmap!$D:$K,MATCH($E132,Roadmap!$D:$D,0)-1+COUNTIF($E132:O132,"u")+COUNTIF($E132:O132,"t")+COUNTIF($E132:O132,"¶")+COUNTIF($E132:O132,"²")+COUNTIF($E132:O132,"µ")+COUNTIF($E132:O132,1),ColDescriptionCourte))&gt;1,
HYPERLINK("#Roadmap!C"&amp; MATCH($E132,Roadmap!$D:$D,0)+COUNTIF($E132:O132,"u")+COUNTIF($E132:O132,"t")+COUNTIF($E132:O132,"¶")+COUNTIF($E132:O132,"²")+COUNTIF($E132:O132,"µ")+COUNTIF($E132:O132,1)-1,INDEX(Roadmap!$D:$K,MATCH($E132,Roadmap!$D:$D,0)-1+COUNTIF($E132:O132,"u")+COUNTIF($E132:O132,"t")+COUNTIF($E132:O132,"¶")+COUNTIF($E132:O132,"²")+COUNTIF($E132:O132,"µ")+COUNTIF($E132:O132,1),ColDescriptionCourte)),""),
  "")),"")</f>
        <v/>
      </c>
      <c r="Q132" s="40" t="str">
        <f ca="1">IFERROR(IF(AND(
  INDEX(Roadmap!$D:$K,MATCH($E132,Roadmap!$D:$D,0)+COUNTIF($E132:P132,"u")+COUNTIF($E132:P132,"t")+COUNTIF($E132:P132,"¶")+COUNTIF($E132:P132,"²")+COUNTIF($E132:P132,"µ")+COUNTIF($E132:P132,1),ColLivraison)=Q$6,
  VLOOKUP($E132,INDIRECT("tri!"&amp; CHAR(64+ C0Col) &amp;":"&amp; CHAR(65+C0Col)),2,FALSE)&gt;COUNTIF($E132:P132,"u")+COUNTIF($E132:P132,"t")+COUNTIF($E132:P132,"¶")+COUNTIF($E132:P132,"²")+COUNTIF($E132:P132,"µ")+COUNTIF($E132:P132,1)),
HYPERLINK("#Roadmap!C"&amp; MATCH($E132,Roadmap!$D:$D,0)+COUNTIF($E132:P132,"u")+COUNTIF($E132:P132,"t"),
     INDEX(Roadmap!$D:$K,MATCH($E132,Roadmap!$D:$D,0)+COUNTIF($E132:P132,"u")+COUNTIF($E132:P132,"t")+COUNTIF($E132:P132,"¶")+COUNTIF($E132:P132,"²")+COUNTIF($E132:P132,"µ")+COUNTIF($E132:P132,1),ColTypeEcheance)),
  IF(LEN(P132)=1,
  IF(LEN(INDEX(Roadmap!$D:$K,MATCH($E132,Roadmap!$D:$D,0)-1+COUNTIF($E132:P132,"u")+COUNTIF($E132:P132,"t")+COUNTIF($E132:P132,"¶")+COUNTIF($E132:P132,"²")+COUNTIF($E132:P132,"µ")+COUNTIF($E132:P132,1),ColDescriptionCourte))&gt;1,
HYPERLINK("#Roadmap!C"&amp; MATCH($E132,Roadmap!$D:$D,0)+COUNTIF($E132:P132,"u")+COUNTIF($E132:P132,"t")+COUNTIF($E132:P132,"¶")+COUNTIF($E132:P132,"²")+COUNTIF($E132:P132,"µ")+COUNTIF($E132:P132,1)-1,INDEX(Roadmap!$D:$K,MATCH($E132,Roadmap!$D:$D,0)-1+COUNTIF($E132:P132,"u")+COUNTIF($E132:P132,"t")+COUNTIF($E132:P132,"¶")+COUNTIF($E132:P132,"²")+COUNTIF($E132:P132,"µ")+COUNTIF($E132:P132,1),ColDescriptionCourte)),""),
  "")),"")</f>
        <v/>
      </c>
      <c r="R132" s="40" t="str">
        <f ca="1">IFERROR(IF(AND(
  INDEX(Roadmap!$D:$K,MATCH($E132,Roadmap!$D:$D,0)+COUNTIF($E132:Q132,"u")+COUNTIF($E132:Q132,"t")+COUNTIF($E132:Q132,"¶")+COUNTIF($E132:Q132,"²")+COUNTIF($E132:Q132,"µ")+COUNTIF($E132:Q132,1),ColLivraison)=R$6,
  VLOOKUP($E132,INDIRECT("tri!"&amp; CHAR(64+ C0Col) &amp;":"&amp; CHAR(65+C0Col)),2,FALSE)&gt;COUNTIF($E132:Q132,"u")+COUNTIF($E132:Q132,"t")+COUNTIF($E132:Q132,"¶")+COUNTIF($E132:Q132,"²")+COUNTIF($E132:Q132,"µ")+COUNTIF($E132:Q132,1)),
HYPERLINK("#Roadmap!C"&amp; MATCH($E132,Roadmap!$D:$D,0)+COUNTIF($E132:Q132,"u")+COUNTIF($E132:Q132,"t"),
     INDEX(Roadmap!$D:$K,MATCH($E132,Roadmap!$D:$D,0)+COUNTIF($E132:Q132,"u")+COUNTIF($E132:Q132,"t")+COUNTIF($E132:Q132,"¶")+COUNTIF($E132:Q132,"²")+COUNTIF($E132:Q132,"µ")+COUNTIF($E132:Q132,1),ColTypeEcheance)),
  IF(LEN(Q132)=1,
  IF(LEN(INDEX(Roadmap!$D:$K,MATCH($E132,Roadmap!$D:$D,0)-1+COUNTIF($E132:Q132,"u")+COUNTIF($E132:Q132,"t")+COUNTIF($E132:Q132,"¶")+COUNTIF($E132:Q132,"²")+COUNTIF($E132:Q132,"µ")+COUNTIF($E132:Q132,1),ColDescriptionCourte))&gt;1,
HYPERLINK("#Roadmap!C"&amp; MATCH($E132,Roadmap!$D:$D,0)+COUNTIF($E132:Q132,"u")+COUNTIF($E132:Q132,"t")+COUNTIF($E132:Q132,"¶")+COUNTIF($E132:Q132,"²")+COUNTIF($E132:Q132,"µ")+COUNTIF($E132:Q132,1)-1,INDEX(Roadmap!$D:$K,MATCH($E132,Roadmap!$D:$D,0)-1+COUNTIF($E132:Q132,"u")+COUNTIF($E132:Q132,"t")+COUNTIF($E132:Q132,"¶")+COUNTIF($E132:Q132,"²")+COUNTIF($E132:Q132,"µ")+COUNTIF($E132:Q132,1),ColDescriptionCourte)),""),
  "")),"")</f>
        <v/>
      </c>
      <c r="S132" s="40" t="str">
        <f ca="1">IFERROR(IF(AND(
  INDEX(Roadmap!$D:$K,MATCH($E132,Roadmap!$D:$D,0)+COUNTIF($E132:R132,"u")+COUNTIF($E132:R132,"t")+COUNTIF($E132:R132,"¶")+COUNTIF($E132:R132,"²")+COUNTIF($E132:R132,"µ")+COUNTIF($E132:R132,1),ColLivraison)=S$6,
  VLOOKUP($E132,INDIRECT("tri!"&amp; CHAR(64+ C0Col) &amp;":"&amp; CHAR(65+C0Col)),2,FALSE)&gt;COUNTIF($E132:R132,"u")+COUNTIF($E132:R132,"t")+COUNTIF($E132:R132,"¶")+COUNTIF($E132:R132,"²")+COUNTIF($E132:R132,"µ")+COUNTIF($E132:R132,1)),
HYPERLINK("#Roadmap!C"&amp; MATCH($E132,Roadmap!$D:$D,0)+COUNTIF($E132:R132,"u")+COUNTIF($E132:R132,"t"),
     INDEX(Roadmap!$D:$K,MATCH($E132,Roadmap!$D:$D,0)+COUNTIF($E132:R132,"u")+COUNTIF($E132:R132,"t")+COUNTIF($E132:R132,"¶")+COUNTIF($E132:R132,"²")+COUNTIF($E132:R132,"µ")+COUNTIF($E132:R132,1),ColTypeEcheance)),
  IF(LEN(R132)=1,
  IF(LEN(INDEX(Roadmap!$D:$K,MATCH($E132,Roadmap!$D:$D,0)-1+COUNTIF($E132:R132,"u")+COUNTIF($E132:R132,"t")+COUNTIF($E132:R132,"¶")+COUNTIF($E132:R132,"²")+COUNTIF($E132:R132,"µ")+COUNTIF($E132:R132,1),ColDescriptionCourte))&gt;1,
HYPERLINK("#Roadmap!C"&amp; MATCH($E132,Roadmap!$D:$D,0)+COUNTIF($E132:R132,"u")+COUNTIF($E132:R132,"t")+COUNTIF($E132:R132,"¶")+COUNTIF($E132:R132,"²")+COUNTIF($E132:R132,"µ")+COUNTIF($E132:R132,1)-1,INDEX(Roadmap!$D:$K,MATCH($E132,Roadmap!$D:$D,0)-1+COUNTIF($E132:R132,"u")+COUNTIF($E132:R132,"t")+COUNTIF($E132:R132,"¶")+COUNTIF($E132:R132,"²")+COUNTIF($E132:R132,"µ")+COUNTIF($E132:R132,1),ColDescriptionCourte)),""),
  "")),"")</f>
        <v/>
      </c>
      <c r="T132" s="40" t="str">
        <f ca="1">IFERROR(IF(AND(
  INDEX(Roadmap!$D:$K,MATCH($E132,Roadmap!$D:$D,0)+COUNTIF($E132:S132,"u")+COUNTIF($E132:S132,"t")+COUNTIF($E132:S132,"¶")+COUNTIF($E132:S132,"²")+COUNTIF($E132:S132,"µ")+COUNTIF($E132:S132,1),ColLivraison)=T$6,
  VLOOKUP($E132,INDIRECT("tri!"&amp; CHAR(64+ C0Col) &amp;":"&amp; CHAR(65+C0Col)),2,FALSE)&gt;COUNTIF($E132:S132,"u")+COUNTIF($E132:S132,"t")+COUNTIF($E132:S132,"¶")+COUNTIF($E132:S132,"²")+COUNTIF($E132:S132,"µ")+COUNTIF($E132:S132,1)),
HYPERLINK("#Roadmap!C"&amp; MATCH($E132,Roadmap!$D:$D,0)+COUNTIF($E132:S132,"u")+COUNTIF($E132:S132,"t"),
     INDEX(Roadmap!$D:$K,MATCH($E132,Roadmap!$D:$D,0)+COUNTIF($E132:S132,"u")+COUNTIF($E132:S132,"t")+COUNTIF($E132:S132,"¶")+COUNTIF($E132:S132,"²")+COUNTIF($E132:S132,"µ")+COUNTIF($E132:S132,1),ColTypeEcheance)),
  IF(LEN(S132)=1,
  IF(LEN(INDEX(Roadmap!$D:$K,MATCH($E132,Roadmap!$D:$D,0)-1+COUNTIF($E132:S132,"u")+COUNTIF($E132:S132,"t")+COUNTIF($E132:S132,"¶")+COUNTIF($E132:S132,"²")+COUNTIF($E132:S132,"µ")+COUNTIF($E132:S132,1),ColDescriptionCourte))&gt;1,
HYPERLINK("#Roadmap!C"&amp; MATCH($E132,Roadmap!$D:$D,0)+COUNTIF($E132:S132,"u")+COUNTIF($E132:S132,"t")+COUNTIF($E132:S132,"¶")+COUNTIF($E132:S132,"²")+COUNTIF($E132:S132,"µ")+COUNTIF($E132:S132,1)-1,INDEX(Roadmap!$D:$K,MATCH($E132,Roadmap!$D:$D,0)-1+COUNTIF($E132:S132,"u")+COUNTIF($E132:S132,"t")+COUNTIF($E132:S132,"¶")+COUNTIF($E132:S132,"²")+COUNTIF($E132:S132,"µ")+COUNTIF($E132:S132,1),ColDescriptionCourte)),""),
  "")),"")</f>
        <v/>
      </c>
      <c r="U132" s="40" t="str">
        <f ca="1">IFERROR(IF(AND(
  INDEX(Roadmap!$D:$K,MATCH($E132,Roadmap!$D:$D,0)+COUNTIF($E132:T132,"u")+COUNTIF($E132:T132,"t")+COUNTIF($E132:T132,"¶")+COUNTIF($E132:T132,"²")+COUNTIF($E132:T132,"µ")+COUNTIF($E132:T132,1),ColLivraison)=U$6,
  VLOOKUP($E132,INDIRECT("tri!"&amp; CHAR(64+ C0Col) &amp;":"&amp; CHAR(65+C0Col)),2,FALSE)&gt;COUNTIF($E132:T132,"u")+COUNTIF($E132:T132,"t")+COUNTIF($E132:T132,"¶")+COUNTIF($E132:T132,"²")+COUNTIF($E132:T132,"µ")+COUNTIF($E132:T132,1)),
HYPERLINK("#Roadmap!C"&amp; MATCH($E132,Roadmap!$D:$D,0)+COUNTIF($E132:T132,"u")+COUNTIF($E132:T132,"t"),
     INDEX(Roadmap!$D:$K,MATCH($E132,Roadmap!$D:$D,0)+COUNTIF($E132:T132,"u")+COUNTIF($E132:T132,"t")+COUNTIF($E132:T132,"¶")+COUNTIF($E132:T132,"²")+COUNTIF($E132:T132,"µ")+COUNTIF($E132:T132,1),ColTypeEcheance)),
  IF(LEN(T132)=1,
  IF(LEN(INDEX(Roadmap!$D:$K,MATCH($E132,Roadmap!$D:$D,0)-1+COUNTIF($E132:T132,"u")+COUNTIF($E132:T132,"t")+COUNTIF($E132:T132,"¶")+COUNTIF($E132:T132,"²")+COUNTIF($E132:T132,"µ")+COUNTIF($E132:T132,1),ColDescriptionCourte))&gt;1,
HYPERLINK("#Roadmap!C"&amp; MATCH($E132,Roadmap!$D:$D,0)+COUNTIF($E132:T132,"u")+COUNTIF($E132:T132,"t")+COUNTIF($E132:T132,"¶")+COUNTIF($E132:T132,"²")+COUNTIF($E132:T132,"µ")+COUNTIF($E132:T132,1)-1,INDEX(Roadmap!$D:$K,MATCH($E132,Roadmap!$D:$D,0)-1+COUNTIF($E132:T132,"u")+COUNTIF($E132:T132,"t")+COUNTIF($E132:T132,"¶")+COUNTIF($E132:T132,"²")+COUNTIF($E132:T132,"µ")+COUNTIF($E132:T132,1),ColDescriptionCourte)),""),
  "")),"")</f>
        <v/>
      </c>
      <c r="V132" s="40" t="str">
        <f ca="1">IFERROR(IF(AND(
  INDEX(Roadmap!$D:$K,MATCH($E132,Roadmap!$D:$D,0)+COUNTIF($E132:U132,"u")+COUNTIF($E132:U132,"t")+COUNTIF($E132:U132,"¶")+COUNTIF($E132:U132,"²")+COUNTIF($E132:U132,"µ")+COUNTIF($E132:U132,1),ColLivraison)=V$6,
  VLOOKUP($E132,INDIRECT("tri!"&amp; CHAR(64+ C0Col) &amp;":"&amp; CHAR(65+C0Col)),2,FALSE)&gt;COUNTIF($E132:U132,"u")+COUNTIF($E132:U132,"t")+COUNTIF($E132:U132,"¶")+COUNTIF($E132:U132,"²")+COUNTIF($E132:U132,"µ")+COUNTIF($E132:U132,1)),
HYPERLINK("#Roadmap!C"&amp; MATCH($E132,Roadmap!$D:$D,0)+COUNTIF($E132:U132,"u")+COUNTIF($E132:U132,"t"),
     INDEX(Roadmap!$D:$K,MATCH($E132,Roadmap!$D:$D,0)+COUNTIF($E132:U132,"u")+COUNTIF($E132:U132,"t")+COUNTIF($E132:U132,"¶")+COUNTIF($E132:U132,"²")+COUNTIF($E132:U132,"µ")+COUNTIF($E132:U132,1),ColTypeEcheance)),
  IF(LEN(U132)=1,
  IF(LEN(INDEX(Roadmap!$D:$K,MATCH($E132,Roadmap!$D:$D,0)-1+COUNTIF($E132:U132,"u")+COUNTIF($E132:U132,"t")+COUNTIF($E132:U132,"¶")+COUNTIF($E132:U132,"²")+COUNTIF($E132:U132,"µ")+COUNTIF($E132:U132,1),ColDescriptionCourte))&gt;1,
HYPERLINK("#Roadmap!C"&amp; MATCH($E132,Roadmap!$D:$D,0)+COUNTIF($E132:U132,"u")+COUNTIF($E132:U132,"t")+COUNTIF($E132:U132,"¶")+COUNTIF($E132:U132,"²")+COUNTIF($E132:U132,"µ")+COUNTIF($E132:U132,1)-1,INDEX(Roadmap!$D:$K,MATCH($E132,Roadmap!$D:$D,0)-1+COUNTIF($E132:U132,"u")+COUNTIF($E132:U132,"t")+COUNTIF($E132:U132,"¶")+COUNTIF($E132:U132,"²")+COUNTIF($E132:U132,"µ")+COUNTIF($E132:U132,1),ColDescriptionCourte)),""),
  "")),"")</f>
        <v/>
      </c>
      <c r="W132" s="40" t="str">
        <f ca="1">IFERROR(IF(AND(
  INDEX(Roadmap!$D:$K,MATCH($E132,Roadmap!$D:$D,0)+COUNTIF($E132:V132,"u")+COUNTIF($E132:V132,"t")+COUNTIF($E132:V132,"¶")+COUNTIF($E132:V132,"²")+COUNTIF($E132:V132,"µ")+COUNTIF($E132:V132,1),ColLivraison)=W$6,
  VLOOKUP($E132,INDIRECT("tri!"&amp; CHAR(64+ C0Col) &amp;":"&amp; CHAR(65+C0Col)),2,FALSE)&gt;COUNTIF($E132:V132,"u")+COUNTIF($E132:V132,"t")+COUNTIF($E132:V132,"¶")+COUNTIF($E132:V132,"²")+COUNTIF($E132:V132,"µ")+COUNTIF($E132:V132,1)),
HYPERLINK("#Roadmap!C"&amp; MATCH($E132,Roadmap!$D:$D,0)+COUNTIF($E132:V132,"u")+COUNTIF($E132:V132,"t"),
     INDEX(Roadmap!$D:$K,MATCH($E132,Roadmap!$D:$D,0)+COUNTIF($E132:V132,"u")+COUNTIF($E132:V132,"t")+COUNTIF($E132:V132,"¶")+COUNTIF($E132:V132,"²")+COUNTIF($E132:V132,"µ")+COUNTIF($E132:V132,1),ColTypeEcheance)),
  IF(LEN(V132)=1,
  IF(LEN(INDEX(Roadmap!$D:$K,MATCH($E132,Roadmap!$D:$D,0)-1+COUNTIF($E132:V132,"u")+COUNTIF($E132:V132,"t")+COUNTIF($E132:V132,"¶")+COUNTIF($E132:V132,"²")+COUNTIF($E132:V132,"µ")+COUNTIF($E132:V132,1),ColDescriptionCourte))&gt;1,
HYPERLINK("#Roadmap!C"&amp; MATCH($E132,Roadmap!$D:$D,0)+COUNTIF($E132:V132,"u")+COUNTIF($E132:V132,"t")+COUNTIF($E132:V132,"¶")+COUNTIF($E132:V132,"²")+COUNTIF($E132:V132,"µ")+COUNTIF($E132:V132,1)-1,INDEX(Roadmap!$D:$K,MATCH($E132,Roadmap!$D:$D,0)-1+COUNTIF($E132:V132,"u")+COUNTIF($E132:V132,"t")+COUNTIF($E132:V132,"¶")+COUNTIF($E132:V132,"²")+COUNTIF($E132:V132,"µ")+COUNTIF($E132:V132,1),ColDescriptionCourte)),""),
  "")),"")</f>
        <v/>
      </c>
      <c r="X132" s="40" t="str">
        <f ca="1">IFERROR(IF(AND(
  INDEX(Roadmap!$D:$K,MATCH($E132,Roadmap!$D:$D,0)+COUNTIF($E132:W132,"u")+COUNTIF($E132:W132,"t")+COUNTIF($E132:W132,"¶")+COUNTIF($E132:W132,"²")+COUNTIF($E132:W132,"µ")+COUNTIF($E132:W132,1),ColLivraison)=X$6,
  VLOOKUP($E132,INDIRECT("tri!"&amp; CHAR(64+ C0Col) &amp;":"&amp; CHAR(65+C0Col)),2,FALSE)&gt;COUNTIF($E132:W132,"u")+COUNTIF($E132:W132,"t")+COUNTIF($E132:W132,"¶")+COUNTIF($E132:W132,"²")+COUNTIF($E132:W132,"µ")+COUNTIF($E132:W132,1)),
HYPERLINK("#Roadmap!C"&amp; MATCH($E132,Roadmap!$D:$D,0)+COUNTIF($E132:W132,"u")+COUNTIF($E132:W132,"t"),
     INDEX(Roadmap!$D:$K,MATCH($E132,Roadmap!$D:$D,0)+COUNTIF($E132:W132,"u")+COUNTIF($E132:W132,"t")+COUNTIF($E132:W132,"¶")+COUNTIF($E132:W132,"²")+COUNTIF($E132:W132,"µ")+COUNTIF($E132:W132,1),ColTypeEcheance)),
  IF(LEN(W132)=1,
  IF(LEN(INDEX(Roadmap!$D:$K,MATCH($E132,Roadmap!$D:$D,0)-1+COUNTIF($E132:W132,"u")+COUNTIF($E132:W132,"t")+COUNTIF($E132:W132,"¶")+COUNTIF($E132:W132,"²")+COUNTIF($E132:W132,"µ")+COUNTIF($E132:W132,1),ColDescriptionCourte))&gt;1,
HYPERLINK("#Roadmap!C"&amp; MATCH($E132,Roadmap!$D:$D,0)+COUNTIF($E132:W132,"u")+COUNTIF($E132:W132,"t")+COUNTIF($E132:W132,"¶")+COUNTIF($E132:W132,"²")+COUNTIF($E132:W132,"µ")+COUNTIF($E132:W132,1)-1,INDEX(Roadmap!$D:$K,MATCH($E132,Roadmap!$D:$D,0)-1+COUNTIF($E132:W132,"u")+COUNTIF($E132:W132,"t")+COUNTIF($E132:W132,"¶")+COUNTIF($E132:W132,"²")+COUNTIF($E132:W132,"µ")+COUNTIF($E132:W132,1),ColDescriptionCourte)),""),
  "")),"")</f>
        <v/>
      </c>
      <c r="Y132" s="40" t="str">
        <f ca="1">IFERROR(IF(AND(
  INDEX(Roadmap!$D:$K,MATCH($E132,Roadmap!$D:$D,0)+COUNTIF($E132:X132,"u")+COUNTIF($E132:X132,"t")+COUNTIF($E132:X132,"¶")+COUNTIF($E132:X132,"²")+COUNTIF($E132:X132,"µ")+COUNTIF($E132:X132,1),ColLivraison)=Y$6,
  VLOOKUP($E132,INDIRECT("tri!"&amp; CHAR(64+ C0Col) &amp;":"&amp; CHAR(65+C0Col)),2,FALSE)&gt;COUNTIF($E132:X132,"u")+COUNTIF($E132:X132,"t")+COUNTIF($E132:X132,"¶")+COUNTIF($E132:X132,"²")+COUNTIF($E132:X132,"µ")+COUNTIF($E132:X132,1)),
HYPERLINK("#Roadmap!C"&amp; MATCH($E132,Roadmap!$D:$D,0)+COUNTIF($E132:X132,"u")+COUNTIF($E132:X132,"t"),
     INDEX(Roadmap!$D:$K,MATCH($E132,Roadmap!$D:$D,0)+COUNTIF($E132:X132,"u")+COUNTIF($E132:X132,"t")+COUNTIF($E132:X132,"¶")+COUNTIF($E132:X132,"²")+COUNTIF($E132:X132,"µ")+COUNTIF($E132:X132,1),ColTypeEcheance)),
  IF(LEN(X132)=1,
  IF(LEN(INDEX(Roadmap!$D:$K,MATCH($E132,Roadmap!$D:$D,0)-1+COUNTIF($E132:X132,"u")+COUNTIF($E132:X132,"t")+COUNTIF($E132:X132,"¶")+COUNTIF($E132:X132,"²")+COUNTIF($E132:X132,"µ")+COUNTIF($E132:X132,1),ColDescriptionCourte))&gt;1,
HYPERLINK("#Roadmap!C"&amp; MATCH($E132,Roadmap!$D:$D,0)+COUNTIF($E132:X132,"u")+COUNTIF($E132:X132,"t")+COUNTIF($E132:X132,"¶")+COUNTIF($E132:X132,"²")+COUNTIF($E132:X132,"µ")+COUNTIF($E132:X132,1)-1,INDEX(Roadmap!$D:$K,MATCH($E132,Roadmap!$D:$D,0)-1+COUNTIF($E132:X132,"u")+COUNTIF($E132:X132,"t")+COUNTIF($E132:X132,"¶")+COUNTIF($E132:X132,"²")+COUNTIF($E132:X132,"µ")+COUNTIF($E132:X132,1),ColDescriptionCourte)),""),
  "")),"")</f>
        <v/>
      </c>
      <c r="Z132" s="40" t="str">
        <f ca="1">IFERROR(IF(AND(
  INDEX(Roadmap!$D:$K,MATCH($E132,Roadmap!$D:$D,0)+COUNTIF($E132:Y132,"u")+COUNTIF($E132:Y132,"t")+COUNTIF($E132:Y132,"¶")+COUNTIF($E132:Y132,"²")+COUNTIF($E132:Y132,"µ")+COUNTIF($E132:Y132,1),ColLivraison)=Z$6,
  VLOOKUP($E132,INDIRECT("tri!"&amp; CHAR(64+ C0Col) &amp;":"&amp; CHAR(65+C0Col)),2,FALSE)&gt;COUNTIF($E132:Y132,"u")+COUNTIF($E132:Y132,"t")+COUNTIF($E132:Y132,"¶")+COUNTIF($E132:Y132,"²")+COUNTIF($E132:Y132,"µ")+COUNTIF($E132:Y132,1)),
HYPERLINK("#Roadmap!C"&amp; MATCH($E132,Roadmap!$D:$D,0)+COUNTIF($E132:Y132,"u")+COUNTIF($E132:Y132,"t"),
     INDEX(Roadmap!$D:$K,MATCH($E132,Roadmap!$D:$D,0)+COUNTIF($E132:Y132,"u")+COUNTIF($E132:Y132,"t")+COUNTIF($E132:Y132,"¶")+COUNTIF($E132:Y132,"²")+COUNTIF($E132:Y132,"µ")+COUNTIF($E132:Y132,1),ColTypeEcheance)),
  IF(LEN(Y132)=1,
  IF(LEN(INDEX(Roadmap!$D:$K,MATCH($E132,Roadmap!$D:$D,0)-1+COUNTIF($E132:Y132,"u")+COUNTIF($E132:Y132,"t")+COUNTIF($E132:Y132,"¶")+COUNTIF($E132:Y132,"²")+COUNTIF($E132:Y132,"µ")+COUNTIF($E132:Y132,1),ColDescriptionCourte))&gt;1,
HYPERLINK("#Roadmap!C"&amp; MATCH($E132,Roadmap!$D:$D,0)+COUNTIF($E132:Y132,"u")+COUNTIF($E132:Y132,"t")+COUNTIF($E132:Y132,"¶")+COUNTIF($E132:Y132,"²")+COUNTIF($E132:Y132,"µ")+COUNTIF($E132:Y132,1)-1,INDEX(Roadmap!$D:$K,MATCH($E132,Roadmap!$D:$D,0)-1+COUNTIF($E132:Y132,"u")+COUNTIF($E132:Y132,"t")+COUNTIF($E132:Y132,"¶")+COUNTIF($E132:Y132,"²")+COUNTIF($E132:Y132,"µ")+COUNTIF($E132:Y132,1),ColDescriptionCourte)),""),
  "")),"")</f>
        <v/>
      </c>
      <c r="AA132" s="40" t="str">
        <f ca="1">IFERROR(IF(AND(
  INDEX(Roadmap!$D:$K,MATCH($E132,Roadmap!$D:$D,0)+COUNTIF($E132:Z132,"u")+COUNTIF($E132:Z132,"t")+COUNTIF($E132:Z132,"¶")+COUNTIF($E132:Z132,"²")+COUNTIF($E132:Z132,"µ")+COUNTIF($E132:Z132,1),ColLivraison)=AA$6,
  VLOOKUP($E132,INDIRECT("tri!"&amp; CHAR(64+ C0Col) &amp;":"&amp; CHAR(65+C0Col)),2,FALSE)&gt;COUNTIF($E132:Z132,"u")+COUNTIF($E132:Z132,"t")+COUNTIF($E132:Z132,"¶")+COUNTIF($E132:Z132,"²")+COUNTIF($E132:Z132,"µ")+COUNTIF($E132:Z132,1)),
HYPERLINK("#Roadmap!C"&amp; MATCH($E132,Roadmap!$D:$D,0)+COUNTIF($E132:Z132,"u")+COUNTIF($E132:Z132,"t"),
     INDEX(Roadmap!$D:$K,MATCH($E132,Roadmap!$D:$D,0)+COUNTIF($E132:Z132,"u")+COUNTIF($E132:Z132,"t")+COUNTIF($E132:Z132,"¶")+COUNTIF($E132:Z132,"²")+COUNTIF($E132:Z132,"µ")+COUNTIF($E132:Z132,1),ColTypeEcheance)),
  IF(LEN(Z132)=1,
  IF(LEN(INDEX(Roadmap!$D:$K,MATCH($E132,Roadmap!$D:$D,0)-1+COUNTIF($E132:Z132,"u")+COUNTIF($E132:Z132,"t")+COUNTIF($E132:Z132,"¶")+COUNTIF($E132:Z132,"²")+COUNTIF($E132:Z132,"µ")+COUNTIF($E132:Z132,1),ColDescriptionCourte))&gt;1,
HYPERLINK("#Roadmap!C"&amp; MATCH($E132,Roadmap!$D:$D,0)+COUNTIF($E132:Z132,"u")+COUNTIF($E132:Z132,"t")+COUNTIF($E132:Z132,"¶")+COUNTIF($E132:Z132,"²")+COUNTIF($E132:Z132,"µ")+COUNTIF($E132:Z132,1)-1,INDEX(Roadmap!$D:$K,MATCH($E132,Roadmap!$D:$D,0)-1+COUNTIF($E132:Z132,"u")+COUNTIF($E132:Z132,"t")+COUNTIF($E132:Z132,"¶")+COUNTIF($E132:Z132,"²")+COUNTIF($E132:Z132,"µ")+COUNTIF($E132:Z132,1),ColDescriptionCourte)),""),
  "")),"")</f>
        <v/>
      </c>
      <c r="AB132" s="40" t="str">
        <f ca="1">IFERROR(IF(AND(
  INDEX(Roadmap!$D:$K,MATCH($E132,Roadmap!$D:$D,0)+COUNTIF($E132:AA132,"u")+COUNTIF($E132:AA132,"t")+COUNTIF($E132:AA132,"¶")+COUNTIF($E132:AA132,"²")+COUNTIF($E132:AA132,"µ")+COUNTIF($E132:AA132,1),ColLivraison)=AB$6,
  VLOOKUP($E132,INDIRECT("tri!"&amp; CHAR(64+ C0Col) &amp;":"&amp; CHAR(65+C0Col)),2,FALSE)&gt;COUNTIF($E132:AA132,"u")+COUNTIF($E132:AA132,"t")+COUNTIF($E132:AA132,"¶")+COUNTIF($E132:AA132,"²")+COUNTIF($E132:AA132,"µ")+COUNTIF($E132:AA132,1)),
HYPERLINK("#Roadmap!C"&amp; MATCH($E132,Roadmap!$D:$D,0)+COUNTIF($E132:AA132,"u")+COUNTIF($E132:AA132,"t"),
     INDEX(Roadmap!$D:$K,MATCH($E132,Roadmap!$D:$D,0)+COUNTIF($E132:AA132,"u")+COUNTIF($E132:AA132,"t")+COUNTIF($E132:AA132,"¶")+COUNTIF($E132:AA132,"²")+COUNTIF($E132:AA132,"µ")+COUNTIF($E132:AA132,1),ColTypeEcheance)),
  IF(LEN(AA132)=1,
  IF(LEN(INDEX(Roadmap!$D:$K,MATCH($E132,Roadmap!$D:$D,0)-1+COUNTIF($E132:AA132,"u")+COUNTIF($E132:AA132,"t")+COUNTIF($E132:AA132,"¶")+COUNTIF($E132:AA132,"²")+COUNTIF($E132:AA132,"µ")+COUNTIF($E132:AA132,1),ColDescriptionCourte))&gt;1,
HYPERLINK("#Roadmap!C"&amp; MATCH($E132,Roadmap!$D:$D,0)+COUNTIF($E132:AA132,"u")+COUNTIF($E132:AA132,"t")+COUNTIF($E132:AA132,"¶")+COUNTIF($E132:AA132,"²")+COUNTIF($E132:AA132,"µ")+COUNTIF($E132:AA132,1)-1,INDEX(Roadmap!$D:$K,MATCH($E132,Roadmap!$D:$D,0)-1+COUNTIF($E132:AA132,"u")+COUNTIF($E132:AA132,"t")+COUNTIF($E132:AA132,"¶")+COUNTIF($E132:AA132,"²")+COUNTIF($E132:AA132,"µ")+COUNTIF($E132:AA132,1),ColDescriptionCourte)),""),
  "")),"")</f>
        <v/>
      </c>
      <c r="AC132" s="40" t="str">
        <f ca="1">IFERROR(IF(AND(
  INDEX(Roadmap!$D:$K,MATCH($E132,Roadmap!$D:$D,0)+COUNTIF($E132:AB132,"u")+COUNTIF($E132:AB132,"t")+COUNTIF($E132:AB132,"¶")+COUNTIF($E132:AB132,"²")+COUNTIF($E132:AB132,"µ")+COUNTIF($E132:AB132,1),ColLivraison)=AC$6,
  VLOOKUP($E132,INDIRECT("tri!"&amp; CHAR(64+ C0Col) &amp;":"&amp; CHAR(65+C0Col)),2,FALSE)&gt;COUNTIF($E132:AB132,"u")+COUNTIF($E132:AB132,"t")+COUNTIF($E132:AB132,"¶")+COUNTIF($E132:AB132,"²")+COUNTIF($E132:AB132,"µ")+COUNTIF($E132:AB132,1)),
HYPERLINK("#Roadmap!C"&amp; MATCH($E132,Roadmap!$D:$D,0)+COUNTIF($E132:AB132,"u")+COUNTIF($E132:AB132,"t"),
     INDEX(Roadmap!$D:$K,MATCH($E132,Roadmap!$D:$D,0)+COUNTIF($E132:AB132,"u")+COUNTIF($E132:AB132,"t")+COUNTIF($E132:AB132,"¶")+COUNTIF($E132:AB132,"²")+COUNTIF($E132:AB132,"µ")+COUNTIF($E132:AB132,1),ColTypeEcheance)),
  IF(LEN(AB132)=1,
  IF(LEN(INDEX(Roadmap!$D:$K,MATCH($E132,Roadmap!$D:$D,0)-1+COUNTIF($E132:AB132,"u")+COUNTIF($E132:AB132,"t")+COUNTIF($E132:AB132,"¶")+COUNTIF($E132:AB132,"²")+COUNTIF($E132:AB132,"µ")+COUNTIF($E132:AB132,1),ColDescriptionCourte))&gt;1,
HYPERLINK("#Roadmap!C"&amp; MATCH($E132,Roadmap!$D:$D,0)+COUNTIF($E132:AB132,"u")+COUNTIF($E132:AB132,"t")+COUNTIF($E132:AB132,"¶")+COUNTIF($E132:AB132,"²")+COUNTIF($E132:AB132,"µ")+COUNTIF($E132:AB132,1)-1,INDEX(Roadmap!$D:$K,MATCH($E132,Roadmap!$D:$D,0)-1+COUNTIF($E132:AB132,"u")+COUNTIF($E132:AB132,"t")+COUNTIF($E132:AB132,"¶")+COUNTIF($E132:AB132,"²")+COUNTIF($E132:AB132,"µ")+COUNTIF($E132:AB132,1),ColDescriptionCourte)),""),
  "")),"")</f>
        <v/>
      </c>
      <c r="AD132" s="40" t="str">
        <f ca="1">IFERROR(IF(AND(
  INDEX(Roadmap!$D:$K,MATCH($E132,Roadmap!$D:$D,0)+COUNTIF($E132:AC132,"u")+COUNTIF($E132:AC132,"t")+COUNTIF($E132:AC132,"¶")+COUNTIF($E132:AC132,"²")+COUNTIF($E132:AC132,"µ")+COUNTIF($E132:AC132,1),ColLivraison)=AD$6,
  VLOOKUP($E132,INDIRECT("tri!"&amp; CHAR(64+ C0Col) &amp;":"&amp; CHAR(65+C0Col)),2,FALSE)&gt;COUNTIF($E132:AC132,"u")+COUNTIF($E132:AC132,"t")+COUNTIF($E132:AC132,"¶")+COUNTIF($E132:AC132,"²")+COUNTIF($E132:AC132,"µ")+COUNTIF($E132:AC132,1)),
HYPERLINK("#Roadmap!C"&amp; MATCH($E132,Roadmap!$D:$D,0)+COUNTIF($E132:AC132,"u")+COUNTIF($E132:AC132,"t"),
     INDEX(Roadmap!$D:$K,MATCH($E132,Roadmap!$D:$D,0)+COUNTIF($E132:AC132,"u")+COUNTIF($E132:AC132,"t")+COUNTIF($E132:AC132,"¶")+COUNTIF($E132:AC132,"²")+COUNTIF($E132:AC132,"µ")+COUNTIF($E132:AC132,1),ColTypeEcheance)),
  IF(LEN(AC132)=1,
  IF(LEN(INDEX(Roadmap!$D:$K,MATCH($E132,Roadmap!$D:$D,0)-1+COUNTIF($E132:AC132,"u")+COUNTIF($E132:AC132,"t")+COUNTIF($E132:AC132,"¶")+COUNTIF($E132:AC132,"²")+COUNTIF($E132:AC132,"µ")+COUNTIF($E132:AC132,1),ColDescriptionCourte))&gt;1,
HYPERLINK("#Roadmap!C"&amp; MATCH($E132,Roadmap!$D:$D,0)+COUNTIF($E132:AC132,"u")+COUNTIF($E132:AC132,"t")+COUNTIF($E132:AC132,"¶")+COUNTIF($E132:AC132,"²")+COUNTIF($E132:AC132,"µ")+COUNTIF($E132:AC132,1)-1,INDEX(Roadmap!$D:$K,MATCH($E132,Roadmap!$D:$D,0)-1+COUNTIF($E132:AC132,"u")+COUNTIF($E132:AC132,"t")+COUNTIF($E132:AC132,"¶")+COUNTIF($E132:AC132,"²")+COUNTIF($E132:AC132,"µ")+COUNTIF($E132:AC132,1),ColDescriptionCourte)),""),
  "")),"")</f>
        <v/>
      </c>
      <c r="AE132" s="40" t="str">
        <f ca="1">IFERROR(IF(AND(
  INDEX(Roadmap!$D:$K,MATCH($E132,Roadmap!$D:$D,0)+COUNTIF($E132:AD132,"u")+COUNTIF($E132:AD132,"t")+COUNTIF($E132:AD132,"¶")+COUNTIF($E132:AD132,"²")+COUNTIF($E132:AD132,"µ")+COUNTIF($E132:AD132,1),ColLivraison)=AE$6,
  VLOOKUP($E132,INDIRECT("tri!"&amp; CHAR(64+ C0Col) &amp;":"&amp; CHAR(65+C0Col)),2,FALSE)&gt;COUNTIF($E132:AD132,"u")+COUNTIF($E132:AD132,"t")+COUNTIF($E132:AD132,"¶")+COUNTIF($E132:AD132,"²")+COUNTIF($E132:AD132,"µ")+COUNTIF($E132:AD132,1)),
HYPERLINK("#Roadmap!C"&amp; MATCH($E132,Roadmap!$D:$D,0)+COUNTIF($E132:AD132,"u")+COUNTIF($E132:AD132,"t"),
     INDEX(Roadmap!$D:$K,MATCH($E132,Roadmap!$D:$D,0)+COUNTIF($E132:AD132,"u")+COUNTIF($E132:AD132,"t")+COUNTIF($E132:AD132,"¶")+COUNTIF($E132:AD132,"²")+COUNTIF($E132:AD132,"µ")+COUNTIF($E132:AD132,1),ColTypeEcheance)),
  IF(LEN(AD132)=1,
  IF(LEN(INDEX(Roadmap!$D:$K,MATCH($E132,Roadmap!$D:$D,0)-1+COUNTIF($E132:AD132,"u")+COUNTIF($E132:AD132,"t")+COUNTIF($E132:AD132,"¶")+COUNTIF($E132:AD132,"²")+COUNTIF($E132:AD132,"µ")+COUNTIF($E132:AD132,1),ColDescriptionCourte))&gt;1,
HYPERLINK("#Roadmap!C"&amp; MATCH($E132,Roadmap!$D:$D,0)+COUNTIF($E132:AD132,"u")+COUNTIF($E132:AD132,"t")+COUNTIF($E132:AD132,"¶")+COUNTIF($E132:AD132,"²")+COUNTIF($E132:AD132,"µ")+COUNTIF($E132:AD132,1)-1,INDEX(Roadmap!$D:$K,MATCH($E132,Roadmap!$D:$D,0)-1+COUNTIF($E132:AD132,"u")+COUNTIF($E132:AD132,"t")+COUNTIF($E132:AD132,"¶")+COUNTIF($E132:AD132,"²")+COUNTIF($E132:AD132,"µ")+COUNTIF($E132:AD132,1),ColDescriptionCourte)),""),
  "")),"")</f>
        <v/>
      </c>
      <c r="AF132" s="40" t="str">
        <f ca="1">IFERROR(IF(AND(
  INDEX(Roadmap!$D:$K,MATCH($E132,Roadmap!$D:$D,0)+COUNTIF($E132:AE132,"u")+COUNTIF($E132:AE132,"t")+COUNTIF($E132:AE132,"¶")+COUNTIF($E132:AE132,"²")+COUNTIF($E132:AE132,"µ")+COUNTIF($E132:AE132,1),ColLivraison)=AF$6,
  VLOOKUP($E132,INDIRECT("tri!"&amp; CHAR(64+ C0Col) &amp;":"&amp; CHAR(65+C0Col)),2,FALSE)&gt;COUNTIF($E132:AE132,"u")+COUNTIF($E132:AE132,"t")+COUNTIF($E132:AE132,"¶")+COUNTIF($E132:AE132,"²")+COUNTIF($E132:AE132,"µ")+COUNTIF($E132:AE132,1)),
HYPERLINK("#Roadmap!C"&amp; MATCH($E132,Roadmap!$D:$D,0)+COUNTIF($E132:AE132,"u")+COUNTIF($E132:AE132,"t"),
     INDEX(Roadmap!$D:$K,MATCH($E132,Roadmap!$D:$D,0)+COUNTIF($E132:AE132,"u")+COUNTIF($E132:AE132,"t")+COUNTIF($E132:AE132,"¶")+COUNTIF($E132:AE132,"²")+COUNTIF($E132:AE132,"µ")+COUNTIF($E132:AE132,1),ColTypeEcheance)),
  IF(LEN(AE132)=1,
  IF(LEN(INDEX(Roadmap!$D:$K,MATCH($E132,Roadmap!$D:$D,0)-1+COUNTIF($E132:AE132,"u")+COUNTIF($E132:AE132,"t")+COUNTIF($E132:AE132,"¶")+COUNTIF($E132:AE132,"²")+COUNTIF($E132:AE132,"µ")+COUNTIF($E132:AE132,1),ColDescriptionCourte))&gt;1,
HYPERLINK("#Roadmap!C"&amp; MATCH($E132,Roadmap!$D:$D,0)+COUNTIF($E132:AE132,"u")+COUNTIF($E132:AE132,"t")+COUNTIF($E132:AE132,"¶")+COUNTIF($E132:AE132,"²")+COUNTIF($E132:AE132,"µ")+COUNTIF($E132:AE132,1)-1,INDEX(Roadmap!$D:$K,MATCH($E132,Roadmap!$D:$D,0)-1+COUNTIF($E132:AE132,"u")+COUNTIF($E132:AE132,"t")+COUNTIF($E132:AE132,"¶")+COUNTIF($E132:AE132,"²")+COUNTIF($E132:AE132,"µ")+COUNTIF($E132:AE132,1),ColDescriptionCourte)),""),
  "")),"")</f>
        <v/>
      </c>
      <c r="AG132" s="40" t="str">
        <f ca="1">IFERROR(IF(AND(
  INDEX(Roadmap!$D:$K,MATCH($E132,Roadmap!$D:$D,0)+COUNTIF($E132:AF132,"u")+COUNTIF($E132:AF132,"t")+COUNTIF($E132:AF132,"¶")+COUNTIF($E132:AF132,"²")+COUNTIF($E132:AF132,"µ")+COUNTIF($E132:AF132,1),ColLivraison)=AG$6,
  VLOOKUP($E132,INDIRECT("tri!"&amp; CHAR(64+ C0Col) &amp;":"&amp; CHAR(65+C0Col)),2,FALSE)&gt;COUNTIF($E132:AF132,"u")+COUNTIF($E132:AF132,"t")+COUNTIF($E132:AF132,"¶")+COUNTIF($E132:AF132,"²")+COUNTIF($E132:AF132,"µ")+COUNTIF($E132:AF132,1)),
HYPERLINK("#Roadmap!C"&amp; MATCH($E132,Roadmap!$D:$D,0)+COUNTIF($E132:AF132,"u")+COUNTIF($E132:AF132,"t"),
     INDEX(Roadmap!$D:$K,MATCH($E132,Roadmap!$D:$D,0)+COUNTIF($E132:AF132,"u")+COUNTIF($E132:AF132,"t")+COUNTIF($E132:AF132,"¶")+COUNTIF($E132:AF132,"²")+COUNTIF($E132:AF132,"µ")+COUNTIF($E132:AF132,1),ColTypeEcheance)),
  IF(LEN(AF132)=1,
  IF(LEN(INDEX(Roadmap!$D:$K,MATCH($E132,Roadmap!$D:$D,0)-1+COUNTIF($E132:AF132,"u")+COUNTIF($E132:AF132,"t")+COUNTIF($E132:AF132,"¶")+COUNTIF($E132:AF132,"²")+COUNTIF($E132:AF132,"µ")+COUNTIF($E132:AF132,1),ColDescriptionCourte))&gt;1,
HYPERLINK("#Roadmap!C"&amp; MATCH($E132,Roadmap!$D:$D,0)+COUNTIF($E132:AF132,"u")+COUNTIF($E132:AF132,"t")+COUNTIF($E132:AF132,"¶")+COUNTIF($E132:AF132,"²")+COUNTIF($E132:AF132,"µ")+COUNTIF($E132:AF132,1)-1,INDEX(Roadmap!$D:$K,MATCH($E132,Roadmap!$D:$D,0)-1+COUNTIF($E132:AF132,"u")+COUNTIF($E132:AF132,"t")+COUNTIF($E132:AF132,"¶")+COUNTIF($E132:AF132,"²")+COUNTIF($E132:AF132,"µ")+COUNTIF($E132:AF132,1),ColDescriptionCourte)),""),
  "")),"")</f>
        <v/>
      </c>
    </row>
    <row r="133" spans="3:33" ht="14.25" customHeight="1">
      <c r="C133" s="1" t="str">
        <f t="shared" ca="1" si="49"/>
        <v/>
      </c>
      <c r="D133" s="1" t="str">
        <f t="shared" ca="1" si="50"/>
        <v/>
      </c>
      <c r="E133" s="35" t="str">
        <f t="shared" ca="1" si="46"/>
        <v/>
      </c>
      <c r="F133" s="39" t="str">
        <f ca="1">IFERROR(IF(AND(
  INDEX(Roadmap!$D:$K,MATCH($E133,Roadmap!$D:$D,0)+COUNTIF($E133:E133,"u")+COUNTIF($E133:E133,"t")+COUNTIF($E133:E133,"¶")+COUNTIF($E133:E133,"²")+COUNTIF($E133:E133,"µ")+COUNTIF($E133:E133,1),ColLivraison)=F$6,
  VLOOKUP($E133,INDIRECT("tri!"&amp; CHAR(64+ C0Col) &amp;":"&amp; CHAR(65+C0Col)),2,FALSE)&gt;COUNTIF($E133:E133,"u")+COUNTIF($E133:E133,"t")+COUNTIF($E133:E133,"¶")+COUNTIF($E133:E133,"²")+COUNTIF($E133:E133,"µ")+COUNTIF($E133:E133,1)),
HYPERLINK("#Roadmap!C"&amp; MATCH($E133,Roadmap!$D:$D,0)+COUNTIF($E133:E133,"u")+COUNTIF($E133:E133,"t"),
     INDEX(Roadmap!$D:$K,MATCH($E133,Roadmap!$D:$D,0)+COUNTIF($E133:E133,"u")+COUNTIF($E133:E133,"t")+COUNTIF($E133:E133,"¶")+COUNTIF($E133:E133,"²")+COUNTIF($E133:E133,"µ")+COUNTIF($E133:E133,1),ColTypeEcheance)),
  IF(LEN(E133)=1,
  IF(LEN(INDEX(Roadmap!$D:$K,MATCH($E133,Roadmap!$D:$D,0)-1+COUNTIF($E133:E133,"u")+COUNTIF($E133:E133,"t")+COUNTIF($E133:E133,"¶")+COUNTIF($E133:E133,"²")+COUNTIF($E133:E133,"µ")+COUNTIF($E133:E133,1),ColDescriptionCourte))&gt;1,
HYPERLINK("#Roadmap!C"&amp; MATCH($E133,Roadmap!$D:$D,0)+COUNTIF($E133:E133,"u")+COUNTIF($E133:E133,"t")+COUNTIF($E133:E133,"¶")+COUNTIF($E133:E133,"²")+COUNTIF($E133:E133,"µ")+COUNTIF($E133:E133,1)-1,INDEX(Roadmap!$D:$K,MATCH($E133,Roadmap!$D:$D,0)-1+COUNTIF($E133:E133,"u")+COUNTIF($E133:E133,"t")+COUNTIF($E133:E133,"¶")+COUNTIF($E133:E133,"²")+COUNTIF($E133:E133,"µ")+COUNTIF($E133:E133,1),ColDescriptionCourte)),""),
  "")),"")</f>
        <v/>
      </c>
      <c r="G133" s="40" t="str">
        <f ca="1">IFERROR(IF(AND(
  INDEX(Roadmap!$D:$K,MATCH($E133,Roadmap!$D:$D,0)+COUNTIF($E133:F133,"u")+COUNTIF($E133:F133,"t")+COUNTIF($E133:F133,"¶")+COUNTIF($E133:F133,"²")+COUNTIF($E133:F133,"µ")+COUNTIF($E133:F133,1),ColLivraison)=G$6,
  VLOOKUP($E133,INDIRECT("tri!"&amp; CHAR(64+ C0Col) &amp;":"&amp; CHAR(65+C0Col)),2,FALSE)&gt;COUNTIF($E133:F133,"u")+COUNTIF($E133:F133,"t")+COUNTIF($E133:F133,"¶")+COUNTIF($E133:F133,"²")+COUNTIF($E133:F133,"µ")+COUNTIF($E133:F133,1)),
HYPERLINK("#Roadmap!C"&amp; MATCH($E133,Roadmap!$D:$D,0)+COUNTIF($E133:F133,"u")+COUNTIF($E133:F133,"t"),
     INDEX(Roadmap!$D:$K,MATCH($E133,Roadmap!$D:$D,0)+COUNTIF($E133:F133,"u")+COUNTIF($E133:F133,"t")+COUNTIF($E133:F133,"¶")+COUNTIF($E133:F133,"²")+COUNTIF($E133:F133,"µ")+COUNTIF($E133:F133,1),ColTypeEcheance)),
  IF(LEN(F133)=1,
  IF(LEN(INDEX(Roadmap!$D:$K,MATCH($E133,Roadmap!$D:$D,0)-1+COUNTIF($E133:F133,"u")+COUNTIF($E133:F133,"t")+COUNTIF($E133:F133,"¶")+COUNTIF($E133:F133,"²")+COUNTIF($E133:F133,"µ")+COUNTIF($E133:F133,1),ColDescriptionCourte))&gt;1,
HYPERLINK("#Roadmap!C"&amp; MATCH($E133,Roadmap!$D:$D,0)+COUNTIF($E133:F133,"u")+COUNTIF($E133:F133,"t")+COUNTIF($E133:F133,"¶")+COUNTIF($E133:F133,"²")+COUNTIF($E133:F133,"µ")+COUNTIF($E133:F133,1)-1,INDEX(Roadmap!$D:$K,MATCH($E133,Roadmap!$D:$D,0)-1+COUNTIF($E133:F133,"u")+COUNTIF($E133:F133,"t")+COUNTIF($E133:F133,"¶")+COUNTIF($E133:F133,"²")+COUNTIF($E133:F133,"µ")+COUNTIF($E133:F133,1),ColDescriptionCourte)),""),
  "")),"")</f>
        <v/>
      </c>
      <c r="H133" s="40" t="str">
        <f ca="1">IFERROR(IF(AND(
  INDEX(Roadmap!$D:$K,MATCH($E133,Roadmap!$D:$D,0)+COUNTIF($E133:G133,"u")+COUNTIF($E133:G133,"t")+COUNTIF($E133:G133,"¶")+COUNTIF($E133:G133,"²")+COUNTIF($E133:G133,"µ")+COUNTIF($E133:G133,1),ColLivraison)=H$6,
  VLOOKUP($E133,INDIRECT("tri!"&amp; CHAR(64+ C0Col) &amp;":"&amp; CHAR(65+C0Col)),2,FALSE)&gt;COUNTIF($E133:G133,"u")+COUNTIF($E133:G133,"t")+COUNTIF($E133:G133,"¶")+COUNTIF($E133:G133,"²")+COUNTIF($E133:G133,"µ")+COUNTIF($E133:G133,1)),
HYPERLINK("#Roadmap!C"&amp; MATCH($E133,Roadmap!$D:$D,0)+COUNTIF($E133:G133,"u")+COUNTIF($E133:G133,"t"),
     INDEX(Roadmap!$D:$K,MATCH($E133,Roadmap!$D:$D,0)+COUNTIF($E133:G133,"u")+COUNTIF($E133:G133,"t")+COUNTIF($E133:G133,"¶")+COUNTIF($E133:G133,"²")+COUNTIF($E133:G133,"µ")+COUNTIF($E133:G133,1),ColTypeEcheance)),
  IF(LEN(G133)=1,
  IF(LEN(INDEX(Roadmap!$D:$K,MATCH($E133,Roadmap!$D:$D,0)-1+COUNTIF($E133:G133,"u")+COUNTIF($E133:G133,"t")+COUNTIF($E133:G133,"¶")+COUNTIF($E133:G133,"²")+COUNTIF($E133:G133,"µ")+COUNTIF($E133:G133,1),ColDescriptionCourte))&gt;1,
HYPERLINK("#Roadmap!C"&amp; MATCH($E133,Roadmap!$D:$D,0)+COUNTIF($E133:G133,"u")+COUNTIF($E133:G133,"t")+COUNTIF($E133:G133,"¶")+COUNTIF($E133:G133,"²")+COUNTIF($E133:G133,"µ")+COUNTIF($E133:G133,1)-1,INDEX(Roadmap!$D:$K,MATCH($E133,Roadmap!$D:$D,0)-1+COUNTIF($E133:G133,"u")+COUNTIF($E133:G133,"t")+COUNTIF($E133:G133,"¶")+COUNTIF($E133:G133,"²")+COUNTIF($E133:G133,"µ")+COUNTIF($E133:G133,1),ColDescriptionCourte)),""),
  "")),"")</f>
        <v/>
      </c>
      <c r="I133" s="40" t="str">
        <f ca="1">IFERROR(IF(AND(
  INDEX(Roadmap!$D:$K,MATCH($E133,Roadmap!$D:$D,0)+COUNTIF($E133:H133,"u")+COUNTIF($E133:H133,"t")+COUNTIF($E133:H133,"¶")+COUNTIF($E133:H133,"²")+COUNTIF($E133:H133,"µ")+COUNTIF($E133:H133,1),ColLivraison)=I$6,
  VLOOKUP($E133,INDIRECT("tri!"&amp; CHAR(64+ C0Col) &amp;":"&amp; CHAR(65+C0Col)),2,FALSE)&gt;COUNTIF($E133:H133,"u")+COUNTIF($E133:H133,"t")+COUNTIF($E133:H133,"¶")+COUNTIF($E133:H133,"²")+COUNTIF($E133:H133,"µ")+COUNTIF($E133:H133,1)),
HYPERLINK("#Roadmap!C"&amp; MATCH($E133,Roadmap!$D:$D,0)+COUNTIF($E133:H133,"u")+COUNTIF($E133:H133,"t"),
     INDEX(Roadmap!$D:$K,MATCH($E133,Roadmap!$D:$D,0)+COUNTIF($E133:H133,"u")+COUNTIF($E133:H133,"t")+COUNTIF($E133:H133,"¶")+COUNTIF($E133:H133,"²")+COUNTIF($E133:H133,"µ")+COUNTIF($E133:H133,1),ColTypeEcheance)),
  IF(LEN(H133)=1,
  IF(LEN(INDEX(Roadmap!$D:$K,MATCH($E133,Roadmap!$D:$D,0)-1+COUNTIF($E133:H133,"u")+COUNTIF($E133:H133,"t")+COUNTIF($E133:H133,"¶")+COUNTIF($E133:H133,"²")+COUNTIF($E133:H133,"µ")+COUNTIF($E133:H133,1),ColDescriptionCourte))&gt;1,
HYPERLINK("#Roadmap!C"&amp; MATCH($E133,Roadmap!$D:$D,0)+COUNTIF($E133:H133,"u")+COUNTIF($E133:H133,"t")+COUNTIF($E133:H133,"¶")+COUNTIF($E133:H133,"²")+COUNTIF($E133:H133,"µ")+COUNTIF($E133:H133,1)-1,INDEX(Roadmap!$D:$K,MATCH($E133,Roadmap!$D:$D,0)-1+COUNTIF($E133:H133,"u")+COUNTIF($E133:H133,"t")+COUNTIF($E133:H133,"¶")+COUNTIF($E133:H133,"²")+COUNTIF($E133:H133,"µ")+COUNTIF($E133:H133,1),ColDescriptionCourte)),""),
  "")),"")</f>
        <v/>
      </c>
      <c r="J133" s="40" t="str">
        <f ca="1">IFERROR(IF(AND(
  INDEX(Roadmap!$D:$K,MATCH($E133,Roadmap!$D:$D,0)+COUNTIF($E133:I133,"u")+COUNTIF($E133:I133,"t")+COUNTIF($E133:I133,"¶")+COUNTIF($E133:I133,"²")+COUNTIF($E133:I133,"µ")+COUNTIF($E133:I133,1),ColLivraison)=J$6,
  VLOOKUP($E133,INDIRECT("tri!"&amp; CHAR(64+ C0Col) &amp;":"&amp; CHAR(65+C0Col)),2,FALSE)&gt;COUNTIF($E133:I133,"u")+COUNTIF($E133:I133,"t")+COUNTIF($E133:I133,"¶")+COUNTIF($E133:I133,"²")+COUNTIF($E133:I133,"µ")+COUNTIF($E133:I133,1)),
HYPERLINK("#Roadmap!C"&amp; MATCH($E133,Roadmap!$D:$D,0)+COUNTIF($E133:I133,"u")+COUNTIF($E133:I133,"t"),
     INDEX(Roadmap!$D:$K,MATCH($E133,Roadmap!$D:$D,0)+COUNTIF($E133:I133,"u")+COUNTIF($E133:I133,"t")+COUNTIF($E133:I133,"¶")+COUNTIF($E133:I133,"²")+COUNTIF($E133:I133,"µ")+COUNTIF($E133:I133,1),ColTypeEcheance)),
  IF(LEN(I133)=1,
  IF(LEN(INDEX(Roadmap!$D:$K,MATCH($E133,Roadmap!$D:$D,0)-1+COUNTIF($E133:I133,"u")+COUNTIF($E133:I133,"t")+COUNTIF($E133:I133,"¶")+COUNTIF($E133:I133,"²")+COUNTIF($E133:I133,"µ")+COUNTIF($E133:I133,1),ColDescriptionCourte))&gt;1,
HYPERLINK("#Roadmap!C"&amp; MATCH($E133,Roadmap!$D:$D,0)+COUNTIF($E133:I133,"u")+COUNTIF($E133:I133,"t")+COUNTIF($E133:I133,"¶")+COUNTIF($E133:I133,"²")+COUNTIF($E133:I133,"µ")+COUNTIF($E133:I133,1)-1,INDEX(Roadmap!$D:$K,MATCH($E133,Roadmap!$D:$D,0)-1+COUNTIF($E133:I133,"u")+COUNTIF($E133:I133,"t")+COUNTIF($E133:I133,"¶")+COUNTIF($E133:I133,"²")+COUNTIF($E133:I133,"µ")+COUNTIF($E133:I133,1),ColDescriptionCourte)),""),
  "")),"")</f>
        <v/>
      </c>
      <c r="K133" s="40" t="str">
        <f ca="1">IFERROR(IF(AND(
  INDEX(Roadmap!$D:$K,MATCH($E133,Roadmap!$D:$D,0)+COUNTIF($E133:J133,"u")+COUNTIF($E133:J133,"t")+COUNTIF($E133:J133,"¶")+COUNTIF($E133:J133,"²")+COUNTIF($E133:J133,"µ")+COUNTIF($E133:J133,1),ColLivraison)=K$6,
  VLOOKUP($E133,INDIRECT("tri!"&amp; CHAR(64+ C0Col) &amp;":"&amp; CHAR(65+C0Col)),2,FALSE)&gt;COUNTIF($E133:J133,"u")+COUNTIF($E133:J133,"t")+COUNTIF($E133:J133,"¶")+COUNTIF($E133:J133,"²")+COUNTIF($E133:J133,"µ")+COUNTIF($E133:J133,1)),
HYPERLINK("#Roadmap!C"&amp; MATCH($E133,Roadmap!$D:$D,0)+COUNTIF($E133:J133,"u")+COUNTIF($E133:J133,"t"),
     INDEX(Roadmap!$D:$K,MATCH($E133,Roadmap!$D:$D,0)+COUNTIF($E133:J133,"u")+COUNTIF($E133:J133,"t")+COUNTIF($E133:J133,"¶")+COUNTIF($E133:J133,"²")+COUNTIF($E133:J133,"µ")+COUNTIF($E133:J133,1),ColTypeEcheance)),
  IF(LEN(J133)=1,
  IF(LEN(INDEX(Roadmap!$D:$K,MATCH($E133,Roadmap!$D:$D,0)-1+COUNTIF($E133:J133,"u")+COUNTIF($E133:J133,"t")+COUNTIF($E133:J133,"¶")+COUNTIF($E133:J133,"²")+COUNTIF($E133:J133,"µ")+COUNTIF($E133:J133,1),ColDescriptionCourte))&gt;1,
HYPERLINK("#Roadmap!C"&amp; MATCH($E133,Roadmap!$D:$D,0)+COUNTIF($E133:J133,"u")+COUNTIF($E133:J133,"t")+COUNTIF($E133:J133,"¶")+COUNTIF($E133:J133,"²")+COUNTIF($E133:J133,"µ")+COUNTIF($E133:J133,1)-1,INDEX(Roadmap!$D:$K,MATCH($E133,Roadmap!$D:$D,0)-1+COUNTIF($E133:J133,"u")+COUNTIF($E133:J133,"t")+COUNTIF($E133:J133,"¶")+COUNTIF($E133:J133,"²")+COUNTIF($E133:J133,"µ")+COUNTIF($E133:J133,1),ColDescriptionCourte)),""),
  "")),"")</f>
        <v/>
      </c>
      <c r="L133" s="39" t="str">
        <f ca="1">IFERROR(IF(AND(
  INDEX(Roadmap!$D:$K,MATCH($E133,Roadmap!$D:$D,0)+COUNTIF($E133:K133,"u")+COUNTIF($E133:K133,"t")+COUNTIF($E133:K133,"¶")+COUNTIF($E133:K133,"²")+COUNTIF($E133:K133,"µ")+COUNTIF($E133:K133,1),ColLivraison)=L$6,
  VLOOKUP($E133,INDIRECT("tri!"&amp; CHAR(64+ C0Col) &amp;":"&amp; CHAR(65+C0Col)),2,FALSE)&gt;COUNTIF($E133:K133,"u")+COUNTIF($E133:K133,"t")+COUNTIF($E133:K133,"¶")+COUNTIF($E133:K133,"²")+COUNTIF($E133:K133,"µ")+COUNTIF($E133:K133,1)),
HYPERLINK("#Roadmap!C"&amp; MATCH($E133,Roadmap!$D:$D,0)+COUNTIF($E133:K133,"u")+COUNTIF($E133:K133,"t"),
     INDEX(Roadmap!$D:$K,MATCH($E133,Roadmap!$D:$D,0)+COUNTIF($E133:K133,"u")+COUNTIF($E133:K133,"t")+COUNTIF($E133:K133,"¶")+COUNTIF($E133:K133,"²")+COUNTIF($E133:K133,"µ")+COUNTIF($E133:K133,1),ColTypeEcheance)),
  IF(LEN(K133)=1,
  IF(LEN(INDEX(Roadmap!$D:$K,MATCH($E133,Roadmap!$D:$D,0)-1+COUNTIF($E133:K133,"u")+COUNTIF($E133:K133,"t")+COUNTIF($E133:K133,"¶")+COUNTIF($E133:K133,"²")+COUNTIF($E133:K133,"µ")+COUNTIF($E133:K133,1),ColDescriptionCourte))&gt;1,
HYPERLINK("#Roadmap!C"&amp; MATCH($E133,Roadmap!$D:$D,0)+COUNTIF($E133:K133,"u")+COUNTIF($E133:K133,"t")+COUNTIF($E133:K133,"¶")+COUNTIF($E133:K133,"²")+COUNTIF($E133:K133,"µ")+COUNTIF($E133:K133,1)-1,INDEX(Roadmap!$D:$K,MATCH($E133,Roadmap!$D:$D,0)-1+COUNTIF($E133:K133,"u")+COUNTIF($E133:K133,"t")+COUNTIF($E133:K133,"¶")+COUNTIF($E133:K133,"²")+COUNTIF($E133:K133,"µ")+COUNTIF($E133:K133,1),ColDescriptionCourte)),""),
  "")),"")</f>
        <v/>
      </c>
      <c r="M133" s="40" t="str">
        <f ca="1">IFERROR(IF(AND(
  INDEX(Roadmap!$D:$K,MATCH($E133,Roadmap!$D:$D,0)+COUNTIF($E133:L133,"u")+COUNTIF($E133:L133,"t")+COUNTIF($E133:L133,"¶")+COUNTIF($E133:L133,"²")+COUNTIF($E133:L133,"µ")+COUNTIF($E133:L133,1),ColLivraison)=M$6,
  VLOOKUP($E133,INDIRECT("tri!"&amp; CHAR(64+ C0Col) &amp;":"&amp; CHAR(65+C0Col)),2,FALSE)&gt;COUNTIF($E133:L133,"u")+COUNTIF($E133:L133,"t")+COUNTIF($E133:L133,"¶")+COUNTIF($E133:L133,"²")+COUNTIF($E133:L133,"µ")+COUNTIF($E133:L133,1)),
HYPERLINK("#Roadmap!C"&amp; MATCH($E133,Roadmap!$D:$D,0)+COUNTIF($E133:L133,"u")+COUNTIF($E133:L133,"t"),
     INDEX(Roadmap!$D:$K,MATCH($E133,Roadmap!$D:$D,0)+COUNTIF($E133:L133,"u")+COUNTIF($E133:L133,"t")+COUNTIF($E133:L133,"¶")+COUNTIF($E133:L133,"²")+COUNTIF($E133:L133,"µ")+COUNTIF($E133:L133,1),ColTypeEcheance)),
  IF(LEN(L133)=1,
  IF(LEN(INDEX(Roadmap!$D:$K,MATCH($E133,Roadmap!$D:$D,0)-1+COUNTIF($E133:L133,"u")+COUNTIF($E133:L133,"t")+COUNTIF($E133:L133,"¶")+COUNTIF($E133:L133,"²")+COUNTIF($E133:L133,"µ")+COUNTIF($E133:L133,1),ColDescriptionCourte))&gt;1,
HYPERLINK("#Roadmap!C"&amp; MATCH($E133,Roadmap!$D:$D,0)+COUNTIF($E133:L133,"u")+COUNTIF($E133:L133,"t")+COUNTIF($E133:L133,"¶")+COUNTIF($E133:L133,"²")+COUNTIF($E133:L133,"µ")+COUNTIF($E133:L133,1)-1,INDEX(Roadmap!$D:$K,MATCH($E133,Roadmap!$D:$D,0)-1+COUNTIF($E133:L133,"u")+COUNTIF($E133:L133,"t")+COUNTIF($E133:L133,"¶")+COUNTIF($E133:L133,"²")+COUNTIF($E133:L133,"µ")+COUNTIF($E133:L133,1),ColDescriptionCourte)),""),
  "")),"")</f>
        <v/>
      </c>
      <c r="N133" s="40" t="str">
        <f ca="1">IFERROR(IF(AND(
  INDEX(Roadmap!$D:$K,MATCH($E133,Roadmap!$D:$D,0)+COUNTIF($E133:M133,"u")+COUNTIF($E133:M133,"t")+COUNTIF($E133:M133,"¶")+COUNTIF($E133:M133,"²")+COUNTIF($E133:M133,"µ")+COUNTIF($E133:M133,1),ColLivraison)=N$6,
  VLOOKUP($E133,INDIRECT("tri!"&amp; CHAR(64+ C0Col) &amp;":"&amp; CHAR(65+C0Col)),2,FALSE)&gt;COUNTIF($E133:M133,"u")+COUNTIF($E133:M133,"t")+COUNTIF($E133:M133,"¶")+COUNTIF($E133:M133,"²")+COUNTIF($E133:M133,"µ")+COUNTIF($E133:M133,1)),
HYPERLINK("#Roadmap!C"&amp; MATCH($E133,Roadmap!$D:$D,0)+COUNTIF($E133:M133,"u")+COUNTIF($E133:M133,"t"),
     INDEX(Roadmap!$D:$K,MATCH($E133,Roadmap!$D:$D,0)+COUNTIF($E133:M133,"u")+COUNTIF($E133:M133,"t")+COUNTIF($E133:M133,"¶")+COUNTIF($E133:M133,"²")+COUNTIF($E133:M133,"µ")+COUNTIF($E133:M133,1),ColTypeEcheance)),
  IF(LEN(M133)=1,
  IF(LEN(INDEX(Roadmap!$D:$K,MATCH($E133,Roadmap!$D:$D,0)-1+COUNTIF($E133:M133,"u")+COUNTIF($E133:M133,"t")+COUNTIF($E133:M133,"¶")+COUNTIF($E133:M133,"²")+COUNTIF($E133:M133,"µ")+COUNTIF($E133:M133,1),ColDescriptionCourte))&gt;1,
HYPERLINK("#Roadmap!C"&amp; MATCH($E133,Roadmap!$D:$D,0)+COUNTIF($E133:M133,"u")+COUNTIF($E133:M133,"t")+COUNTIF($E133:M133,"¶")+COUNTIF($E133:M133,"²")+COUNTIF($E133:M133,"µ")+COUNTIF($E133:M133,1)-1,INDEX(Roadmap!$D:$K,MATCH($E133,Roadmap!$D:$D,0)-1+COUNTIF($E133:M133,"u")+COUNTIF($E133:M133,"t")+COUNTIF($E133:M133,"¶")+COUNTIF($E133:M133,"²")+COUNTIF($E133:M133,"µ")+COUNTIF($E133:M133,1),ColDescriptionCourte)),""),
  "")),"")</f>
        <v/>
      </c>
      <c r="O133" s="40" t="str">
        <f ca="1">IFERROR(IF(AND(
  INDEX(Roadmap!$D:$K,MATCH($E133,Roadmap!$D:$D,0)+COUNTIF($E133:N133,"u")+COUNTIF($E133:N133,"t")+COUNTIF($E133:N133,"¶")+COUNTIF($E133:N133,"²")+COUNTIF($E133:N133,"µ")+COUNTIF($E133:N133,1),ColLivraison)=O$6,
  VLOOKUP($E133,INDIRECT("tri!"&amp; CHAR(64+ C0Col) &amp;":"&amp; CHAR(65+C0Col)),2,FALSE)&gt;COUNTIF($E133:N133,"u")+COUNTIF($E133:N133,"t")+COUNTIF($E133:N133,"¶")+COUNTIF($E133:N133,"²")+COUNTIF($E133:N133,"µ")+COUNTIF($E133:N133,1)),
HYPERLINK("#Roadmap!C"&amp; MATCH($E133,Roadmap!$D:$D,0)+COUNTIF($E133:N133,"u")+COUNTIF($E133:N133,"t"),
     INDEX(Roadmap!$D:$K,MATCH($E133,Roadmap!$D:$D,0)+COUNTIF($E133:N133,"u")+COUNTIF($E133:N133,"t")+COUNTIF($E133:N133,"¶")+COUNTIF($E133:N133,"²")+COUNTIF($E133:N133,"µ")+COUNTIF($E133:N133,1),ColTypeEcheance)),
  IF(LEN(N133)=1,
  IF(LEN(INDEX(Roadmap!$D:$K,MATCH($E133,Roadmap!$D:$D,0)-1+COUNTIF($E133:N133,"u")+COUNTIF($E133:N133,"t")+COUNTIF($E133:N133,"¶")+COUNTIF($E133:N133,"²")+COUNTIF($E133:N133,"µ")+COUNTIF($E133:N133,1),ColDescriptionCourte))&gt;1,
HYPERLINK("#Roadmap!C"&amp; MATCH($E133,Roadmap!$D:$D,0)+COUNTIF($E133:N133,"u")+COUNTIF($E133:N133,"t")+COUNTIF($E133:N133,"¶")+COUNTIF($E133:N133,"²")+COUNTIF($E133:N133,"µ")+COUNTIF($E133:N133,1)-1,INDEX(Roadmap!$D:$K,MATCH($E133,Roadmap!$D:$D,0)-1+COUNTIF($E133:N133,"u")+COUNTIF($E133:N133,"t")+COUNTIF($E133:N133,"¶")+COUNTIF($E133:N133,"²")+COUNTIF($E133:N133,"µ")+COUNTIF($E133:N133,1),ColDescriptionCourte)),""),
  "")),"")</f>
        <v/>
      </c>
      <c r="P133" s="40" t="str">
        <f ca="1">IFERROR(IF(AND(
  INDEX(Roadmap!$D:$K,MATCH($E133,Roadmap!$D:$D,0)+COUNTIF($E133:O133,"u")+COUNTIF($E133:O133,"t")+COUNTIF($E133:O133,"¶")+COUNTIF($E133:O133,"²")+COUNTIF($E133:O133,"µ")+COUNTIF($E133:O133,1),ColLivraison)=P$6,
  VLOOKUP($E133,INDIRECT("tri!"&amp; CHAR(64+ C0Col) &amp;":"&amp; CHAR(65+C0Col)),2,FALSE)&gt;COUNTIF($E133:O133,"u")+COUNTIF($E133:O133,"t")+COUNTIF($E133:O133,"¶")+COUNTIF($E133:O133,"²")+COUNTIF($E133:O133,"µ")+COUNTIF($E133:O133,1)),
HYPERLINK("#Roadmap!C"&amp; MATCH($E133,Roadmap!$D:$D,0)+COUNTIF($E133:O133,"u")+COUNTIF($E133:O133,"t"),
     INDEX(Roadmap!$D:$K,MATCH($E133,Roadmap!$D:$D,0)+COUNTIF($E133:O133,"u")+COUNTIF($E133:O133,"t")+COUNTIF($E133:O133,"¶")+COUNTIF($E133:O133,"²")+COUNTIF($E133:O133,"µ")+COUNTIF($E133:O133,1),ColTypeEcheance)),
  IF(LEN(O133)=1,
  IF(LEN(INDEX(Roadmap!$D:$K,MATCH($E133,Roadmap!$D:$D,0)-1+COUNTIF($E133:O133,"u")+COUNTIF($E133:O133,"t")+COUNTIF($E133:O133,"¶")+COUNTIF($E133:O133,"²")+COUNTIF($E133:O133,"µ")+COUNTIF($E133:O133,1),ColDescriptionCourte))&gt;1,
HYPERLINK("#Roadmap!C"&amp; MATCH($E133,Roadmap!$D:$D,0)+COUNTIF($E133:O133,"u")+COUNTIF($E133:O133,"t")+COUNTIF($E133:O133,"¶")+COUNTIF($E133:O133,"²")+COUNTIF($E133:O133,"µ")+COUNTIF($E133:O133,1)-1,INDEX(Roadmap!$D:$K,MATCH($E133,Roadmap!$D:$D,0)-1+COUNTIF($E133:O133,"u")+COUNTIF($E133:O133,"t")+COUNTIF($E133:O133,"¶")+COUNTIF($E133:O133,"²")+COUNTIF($E133:O133,"µ")+COUNTIF($E133:O133,1),ColDescriptionCourte)),""),
  "")),"")</f>
        <v/>
      </c>
      <c r="Q133" s="40" t="str">
        <f ca="1">IFERROR(IF(AND(
  INDEX(Roadmap!$D:$K,MATCH($E133,Roadmap!$D:$D,0)+COUNTIF($E133:P133,"u")+COUNTIF($E133:P133,"t")+COUNTIF($E133:P133,"¶")+COUNTIF($E133:P133,"²")+COUNTIF($E133:P133,"µ")+COUNTIF($E133:P133,1),ColLivraison)=Q$6,
  VLOOKUP($E133,INDIRECT("tri!"&amp; CHAR(64+ C0Col) &amp;":"&amp; CHAR(65+C0Col)),2,FALSE)&gt;COUNTIF($E133:P133,"u")+COUNTIF($E133:P133,"t")+COUNTIF($E133:P133,"¶")+COUNTIF($E133:P133,"²")+COUNTIF($E133:P133,"µ")+COUNTIF($E133:P133,1)),
HYPERLINK("#Roadmap!C"&amp; MATCH($E133,Roadmap!$D:$D,0)+COUNTIF($E133:P133,"u")+COUNTIF($E133:P133,"t"),
     INDEX(Roadmap!$D:$K,MATCH($E133,Roadmap!$D:$D,0)+COUNTIF($E133:P133,"u")+COUNTIF($E133:P133,"t")+COUNTIF($E133:P133,"¶")+COUNTIF($E133:P133,"²")+COUNTIF($E133:P133,"µ")+COUNTIF($E133:P133,1),ColTypeEcheance)),
  IF(LEN(P133)=1,
  IF(LEN(INDEX(Roadmap!$D:$K,MATCH($E133,Roadmap!$D:$D,0)-1+COUNTIF($E133:P133,"u")+COUNTIF($E133:P133,"t")+COUNTIF($E133:P133,"¶")+COUNTIF($E133:P133,"²")+COUNTIF($E133:P133,"µ")+COUNTIF($E133:P133,1),ColDescriptionCourte))&gt;1,
HYPERLINK("#Roadmap!C"&amp; MATCH($E133,Roadmap!$D:$D,0)+COUNTIF($E133:P133,"u")+COUNTIF($E133:P133,"t")+COUNTIF($E133:P133,"¶")+COUNTIF($E133:P133,"²")+COUNTIF($E133:P133,"µ")+COUNTIF($E133:P133,1)-1,INDEX(Roadmap!$D:$K,MATCH($E133,Roadmap!$D:$D,0)-1+COUNTIF($E133:P133,"u")+COUNTIF($E133:P133,"t")+COUNTIF($E133:P133,"¶")+COUNTIF($E133:P133,"²")+COUNTIF($E133:P133,"µ")+COUNTIF($E133:P133,1),ColDescriptionCourte)),""),
  "")),"")</f>
        <v/>
      </c>
      <c r="R133" s="40" t="str">
        <f ca="1">IFERROR(IF(AND(
  INDEX(Roadmap!$D:$K,MATCH($E133,Roadmap!$D:$D,0)+COUNTIF($E133:Q133,"u")+COUNTIF($E133:Q133,"t")+COUNTIF($E133:Q133,"¶")+COUNTIF($E133:Q133,"²")+COUNTIF($E133:Q133,"µ")+COUNTIF($E133:Q133,1),ColLivraison)=R$6,
  VLOOKUP($E133,INDIRECT("tri!"&amp; CHAR(64+ C0Col) &amp;":"&amp; CHAR(65+C0Col)),2,FALSE)&gt;COUNTIF($E133:Q133,"u")+COUNTIF($E133:Q133,"t")+COUNTIF($E133:Q133,"¶")+COUNTIF($E133:Q133,"²")+COUNTIF($E133:Q133,"µ")+COUNTIF($E133:Q133,1)),
HYPERLINK("#Roadmap!C"&amp; MATCH($E133,Roadmap!$D:$D,0)+COUNTIF($E133:Q133,"u")+COUNTIF($E133:Q133,"t"),
     INDEX(Roadmap!$D:$K,MATCH($E133,Roadmap!$D:$D,0)+COUNTIF($E133:Q133,"u")+COUNTIF($E133:Q133,"t")+COUNTIF($E133:Q133,"¶")+COUNTIF($E133:Q133,"²")+COUNTIF($E133:Q133,"µ")+COUNTIF($E133:Q133,1),ColTypeEcheance)),
  IF(LEN(Q133)=1,
  IF(LEN(INDEX(Roadmap!$D:$K,MATCH($E133,Roadmap!$D:$D,0)-1+COUNTIF($E133:Q133,"u")+COUNTIF($E133:Q133,"t")+COUNTIF($E133:Q133,"¶")+COUNTIF($E133:Q133,"²")+COUNTIF($E133:Q133,"µ")+COUNTIF($E133:Q133,1),ColDescriptionCourte))&gt;1,
HYPERLINK("#Roadmap!C"&amp; MATCH($E133,Roadmap!$D:$D,0)+COUNTIF($E133:Q133,"u")+COUNTIF($E133:Q133,"t")+COUNTIF($E133:Q133,"¶")+COUNTIF($E133:Q133,"²")+COUNTIF($E133:Q133,"µ")+COUNTIF($E133:Q133,1)-1,INDEX(Roadmap!$D:$K,MATCH($E133,Roadmap!$D:$D,0)-1+COUNTIF($E133:Q133,"u")+COUNTIF($E133:Q133,"t")+COUNTIF($E133:Q133,"¶")+COUNTIF($E133:Q133,"²")+COUNTIF($E133:Q133,"µ")+COUNTIF($E133:Q133,1),ColDescriptionCourte)),""),
  "")),"")</f>
        <v/>
      </c>
      <c r="S133" s="40" t="str">
        <f ca="1">IFERROR(IF(AND(
  INDEX(Roadmap!$D:$K,MATCH($E133,Roadmap!$D:$D,0)+COUNTIF($E133:R133,"u")+COUNTIF($E133:R133,"t")+COUNTIF($E133:R133,"¶")+COUNTIF($E133:R133,"²")+COUNTIF($E133:R133,"µ")+COUNTIF($E133:R133,1),ColLivraison)=S$6,
  VLOOKUP($E133,INDIRECT("tri!"&amp; CHAR(64+ C0Col) &amp;":"&amp; CHAR(65+C0Col)),2,FALSE)&gt;COUNTIF($E133:R133,"u")+COUNTIF($E133:R133,"t")+COUNTIF($E133:R133,"¶")+COUNTIF($E133:R133,"²")+COUNTIF($E133:R133,"µ")+COUNTIF($E133:R133,1)),
HYPERLINK("#Roadmap!C"&amp; MATCH($E133,Roadmap!$D:$D,0)+COUNTIF($E133:R133,"u")+COUNTIF($E133:R133,"t"),
     INDEX(Roadmap!$D:$K,MATCH($E133,Roadmap!$D:$D,0)+COUNTIF($E133:R133,"u")+COUNTIF($E133:R133,"t")+COUNTIF($E133:R133,"¶")+COUNTIF($E133:R133,"²")+COUNTIF($E133:R133,"µ")+COUNTIF($E133:R133,1),ColTypeEcheance)),
  IF(LEN(R133)=1,
  IF(LEN(INDEX(Roadmap!$D:$K,MATCH($E133,Roadmap!$D:$D,0)-1+COUNTIF($E133:R133,"u")+COUNTIF($E133:R133,"t")+COUNTIF($E133:R133,"¶")+COUNTIF($E133:R133,"²")+COUNTIF($E133:R133,"µ")+COUNTIF($E133:R133,1),ColDescriptionCourte))&gt;1,
HYPERLINK("#Roadmap!C"&amp; MATCH($E133,Roadmap!$D:$D,0)+COUNTIF($E133:R133,"u")+COUNTIF($E133:R133,"t")+COUNTIF($E133:R133,"¶")+COUNTIF($E133:R133,"²")+COUNTIF($E133:R133,"µ")+COUNTIF($E133:R133,1)-1,INDEX(Roadmap!$D:$K,MATCH($E133,Roadmap!$D:$D,0)-1+COUNTIF($E133:R133,"u")+COUNTIF($E133:R133,"t")+COUNTIF($E133:R133,"¶")+COUNTIF($E133:R133,"²")+COUNTIF($E133:R133,"µ")+COUNTIF($E133:R133,1),ColDescriptionCourte)),""),
  "")),"")</f>
        <v/>
      </c>
      <c r="T133" s="40" t="str">
        <f ca="1">IFERROR(IF(AND(
  INDEX(Roadmap!$D:$K,MATCH($E133,Roadmap!$D:$D,0)+COUNTIF($E133:S133,"u")+COUNTIF($E133:S133,"t")+COUNTIF($E133:S133,"¶")+COUNTIF($E133:S133,"²")+COUNTIF($E133:S133,"µ")+COUNTIF($E133:S133,1),ColLivraison)=T$6,
  VLOOKUP($E133,INDIRECT("tri!"&amp; CHAR(64+ C0Col) &amp;":"&amp; CHAR(65+C0Col)),2,FALSE)&gt;COUNTIF($E133:S133,"u")+COUNTIF($E133:S133,"t")+COUNTIF($E133:S133,"¶")+COUNTIF($E133:S133,"²")+COUNTIF($E133:S133,"µ")+COUNTIF($E133:S133,1)),
HYPERLINK("#Roadmap!C"&amp; MATCH($E133,Roadmap!$D:$D,0)+COUNTIF($E133:S133,"u")+COUNTIF($E133:S133,"t"),
     INDEX(Roadmap!$D:$K,MATCH($E133,Roadmap!$D:$D,0)+COUNTIF($E133:S133,"u")+COUNTIF($E133:S133,"t")+COUNTIF($E133:S133,"¶")+COUNTIF($E133:S133,"²")+COUNTIF($E133:S133,"µ")+COUNTIF($E133:S133,1),ColTypeEcheance)),
  IF(LEN(S133)=1,
  IF(LEN(INDEX(Roadmap!$D:$K,MATCH($E133,Roadmap!$D:$D,0)-1+COUNTIF($E133:S133,"u")+COUNTIF($E133:S133,"t")+COUNTIF($E133:S133,"¶")+COUNTIF($E133:S133,"²")+COUNTIF($E133:S133,"µ")+COUNTIF($E133:S133,1),ColDescriptionCourte))&gt;1,
HYPERLINK("#Roadmap!C"&amp; MATCH($E133,Roadmap!$D:$D,0)+COUNTIF($E133:S133,"u")+COUNTIF($E133:S133,"t")+COUNTIF($E133:S133,"¶")+COUNTIF($E133:S133,"²")+COUNTIF($E133:S133,"µ")+COUNTIF($E133:S133,1)-1,INDEX(Roadmap!$D:$K,MATCH($E133,Roadmap!$D:$D,0)-1+COUNTIF($E133:S133,"u")+COUNTIF($E133:S133,"t")+COUNTIF($E133:S133,"¶")+COUNTIF($E133:S133,"²")+COUNTIF($E133:S133,"µ")+COUNTIF($E133:S133,1),ColDescriptionCourte)),""),
  "")),"")</f>
        <v/>
      </c>
      <c r="U133" s="40" t="str">
        <f ca="1">IFERROR(IF(AND(
  INDEX(Roadmap!$D:$K,MATCH($E133,Roadmap!$D:$D,0)+COUNTIF($E133:T133,"u")+COUNTIF($E133:T133,"t")+COUNTIF($E133:T133,"¶")+COUNTIF($E133:T133,"²")+COUNTIF($E133:T133,"µ")+COUNTIF($E133:T133,1),ColLivraison)=U$6,
  VLOOKUP($E133,INDIRECT("tri!"&amp; CHAR(64+ C0Col) &amp;":"&amp; CHAR(65+C0Col)),2,FALSE)&gt;COUNTIF($E133:T133,"u")+COUNTIF($E133:T133,"t")+COUNTIF($E133:T133,"¶")+COUNTIF($E133:T133,"²")+COUNTIF($E133:T133,"µ")+COUNTIF($E133:T133,1)),
HYPERLINK("#Roadmap!C"&amp; MATCH($E133,Roadmap!$D:$D,0)+COUNTIF($E133:T133,"u")+COUNTIF($E133:T133,"t"),
     INDEX(Roadmap!$D:$K,MATCH($E133,Roadmap!$D:$D,0)+COUNTIF($E133:T133,"u")+COUNTIF($E133:T133,"t")+COUNTIF($E133:T133,"¶")+COUNTIF($E133:T133,"²")+COUNTIF($E133:T133,"µ")+COUNTIF($E133:T133,1),ColTypeEcheance)),
  IF(LEN(T133)=1,
  IF(LEN(INDEX(Roadmap!$D:$K,MATCH($E133,Roadmap!$D:$D,0)-1+COUNTIF($E133:T133,"u")+COUNTIF($E133:T133,"t")+COUNTIF($E133:T133,"¶")+COUNTIF($E133:T133,"²")+COUNTIF($E133:T133,"µ")+COUNTIF($E133:T133,1),ColDescriptionCourte))&gt;1,
HYPERLINK("#Roadmap!C"&amp; MATCH($E133,Roadmap!$D:$D,0)+COUNTIF($E133:T133,"u")+COUNTIF($E133:T133,"t")+COUNTIF($E133:T133,"¶")+COUNTIF($E133:T133,"²")+COUNTIF($E133:T133,"µ")+COUNTIF($E133:T133,1)-1,INDEX(Roadmap!$D:$K,MATCH($E133,Roadmap!$D:$D,0)-1+COUNTIF($E133:T133,"u")+COUNTIF($E133:T133,"t")+COUNTIF($E133:T133,"¶")+COUNTIF($E133:T133,"²")+COUNTIF($E133:T133,"µ")+COUNTIF($E133:T133,1),ColDescriptionCourte)),""),
  "")),"")</f>
        <v/>
      </c>
      <c r="V133" s="40" t="str">
        <f ca="1">IFERROR(IF(AND(
  INDEX(Roadmap!$D:$K,MATCH($E133,Roadmap!$D:$D,0)+COUNTIF($E133:U133,"u")+COUNTIF($E133:U133,"t")+COUNTIF($E133:U133,"¶")+COUNTIF($E133:U133,"²")+COUNTIF($E133:U133,"µ")+COUNTIF($E133:U133,1),ColLivraison)=V$6,
  VLOOKUP($E133,INDIRECT("tri!"&amp; CHAR(64+ C0Col) &amp;":"&amp; CHAR(65+C0Col)),2,FALSE)&gt;COUNTIF($E133:U133,"u")+COUNTIF($E133:U133,"t")+COUNTIF($E133:U133,"¶")+COUNTIF($E133:U133,"²")+COUNTIF($E133:U133,"µ")+COUNTIF($E133:U133,1)),
HYPERLINK("#Roadmap!C"&amp; MATCH($E133,Roadmap!$D:$D,0)+COUNTIF($E133:U133,"u")+COUNTIF($E133:U133,"t"),
     INDEX(Roadmap!$D:$K,MATCH($E133,Roadmap!$D:$D,0)+COUNTIF($E133:U133,"u")+COUNTIF($E133:U133,"t")+COUNTIF($E133:U133,"¶")+COUNTIF($E133:U133,"²")+COUNTIF($E133:U133,"µ")+COUNTIF($E133:U133,1),ColTypeEcheance)),
  IF(LEN(U133)=1,
  IF(LEN(INDEX(Roadmap!$D:$K,MATCH($E133,Roadmap!$D:$D,0)-1+COUNTIF($E133:U133,"u")+COUNTIF($E133:U133,"t")+COUNTIF($E133:U133,"¶")+COUNTIF($E133:U133,"²")+COUNTIF($E133:U133,"µ")+COUNTIF($E133:U133,1),ColDescriptionCourte))&gt;1,
HYPERLINK("#Roadmap!C"&amp; MATCH($E133,Roadmap!$D:$D,0)+COUNTIF($E133:U133,"u")+COUNTIF($E133:U133,"t")+COUNTIF($E133:U133,"¶")+COUNTIF($E133:U133,"²")+COUNTIF($E133:U133,"µ")+COUNTIF($E133:U133,1)-1,INDEX(Roadmap!$D:$K,MATCH($E133,Roadmap!$D:$D,0)-1+COUNTIF($E133:U133,"u")+COUNTIF($E133:U133,"t")+COUNTIF($E133:U133,"¶")+COUNTIF($E133:U133,"²")+COUNTIF($E133:U133,"µ")+COUNTIF($E133:U133,1),ColDescriptionCourte)),""),
  "")),"")</f>
        <v/>
      </c>
      <c r="W133" s="40" t="str">
        <f ca="1">IFERROR(IF(AND(
  INDEX(Roadmap!$D:$K,MATCH($E133,Roadmap!$D:$D,0)+COUNTIF($E133:V133,"u")+COUNTIF($E133:V133,"t")+COUNTIF($E133:V133,"¶")+COUNTIF($E133:V133,"²")+COUNTIF($E133:V133,"µ")+COUNTIF($E133:V133,1),ColLivraison)=W$6,
  VLOOKUP($E133,INDIRECT("tri!"&amp; CHAR(64+ C0Col) &amp;":"&amp; CHAR(65+C0Col)),2,FALSE)&gt;COUNTIF($E133:V133,"u")+COUNTIF($E133:V133,"t")+COUNTIF($E133:V133,"¶")+COUNTIF($E133:V133,"²")+COUNTIF($E133:V133,"µ")+COUNTIF($E133:V133,1)),
HYPERLINK("#Roadmap!C"&amp; MATCH($E133,Roadmap!$D:$D,0)+COUNTIF($E133:V133,"u")+COUNTIF($E133:V133,"t"),
     INDEX(Roadmap!$D:$K,MATCH($E133,Roadmap!$D:$D,0)+COUNTIF($E133:V133,"u")+COUNTIF($E133:V133,"t")+COUNTIF($E133:V133,"¶")+COUNTIF($E133:V133,"²")+COUNTIF($E133:V133,"µ")+COUNTIF($E133:V133,1),ColTypeEcheance)),
  IF(LEN(V133)=1,
  IF(LEN(INDEX(Roadmap!$D:$K,MATCH($E133,Roadmap!$D:$D,0)-1+COUNTIF($E133:V133,"u")+COUNTIF($E133:V133,"t")+COUNTIF($E133:V133,"¶")+COUNTIF($E133:V133,"²")+COUNTIF($E133:V133,"µ")+COUNTIF($E133:V133,1),ColDescriptionCourte))&gt;1,
HYPERLINK("#Roadmap!C"&amp; MATCH($E133,Roadmap!$D:$D,0)+COUNTIF($E133:V133,"u")+COUNTIF($E133:V133,"t")+COUNTIF($E133:V133,"¶")+COUNTIF($E133:V133,"²")+COUNTIF($E133:V133,"µ")+COUNTIF($E133:V133,1)-1,INDEX(Roadmap!$D:$K,MATCH($E133,Roadmap!$D:$D,0)-1+COUNTIF($E133:V133,"u")+COUNTIF($E133:V133,"t")+COUNTIF($E133:V133,"¶")+COUNTIF($E133:V133,"²")+COUNTIF($E133:V133,"µ")+COUNTIF($E133:V133,1),ColDescriptionCourte)),""),
  "")),"")</f>
        <v/>
      </c>
      <c r="X133" s="40" t="str">
        <f ca="1">IFERROR(IF(AND(
  INDEX(Roadmap!$D:$K,MATCH($E133,Roadmap!$D:$D,0)+COUNTIF($E133:W133,"u")+COUNTIF($E133:W133,"t")+COUNTIF($E133:W133,"¶")+COUNTIF($E133:W133,"²")+COUNTIF($E133:W133,"µ")+COUNTIF($E133:W133,1),ColLivraison)=X$6,
  VLOOKUP($E133,INDIRECT("tri!"&amp; CHAR(64+ C0Col) &amp;":"&amp; CHAR(65+C0Col)),2,FALSE)&gt;COUNTIF($E133:W133,"u")+COUNTIF($E133:W133,"t")+COUNTIF($E133:W133,"¶")+COUNTIF($E133:W133,"²")+COUNTIF($E133:W133,"µ")+COUNTIF($E133:W133,1)),
HYPERLINK("#Roadmap!C"&amp; MATCH($E133,Roadmap!$D:$D,0)+COUNTIF($E133:W133,"u")+COUNTIF($E133:W133,"t"),
     INDEX(Roadmap!$D:$K,MATCH($E133,Roadmap!$D:$D,0)+COUNTIF($E133:W133,"u")+COUNTIF($E133:W133,"t")+COUNTIF($E133:W133,"¶")+COUNTIF($E133:W133,"²")+COUNTIF($E133:W133,"µ")+COUNTIF($E133:W133,1),ColTypeEcheance)),
  IF(LEN(W133)=1,
  IF(LEN(INDEX(Roadmap!$D:$K,MATCH($E133,Roadmap!$D:$D,0)-1+COUNTIF($E133:W133,"u")+COUNTIF($E133:W133,"t")+COUNTIF($E133:W133,"¶")+COUNTIF($E133:W133,"²")+COUNTIF($E133:W133,"µ")+COUNTIF($E133:W133,1),ColDescriptionCourte))&gt;1,
HYPERLINK("#Roadmap!C"&amp; MATCH($E133,Roadmap!$D:$D,0)+COUNTIF($E133:W133,"u")+COUNTIF($E133:W133,"t")+COUNTIF($E133:W133,"¶")+COUNTIF($E133:W133,"²")+COUNTIF($E133:W133,"µ")+COUNTIF($E133:W133,1)-1,INDEX(Roadmap!$D:$K,MATCH($E133,Roadmap!$D:$D,0)-1+COUNTIF($E133:W133,"u")+COUNTIF($E133:W133,"t")+COUNTIF($E133:W133,"¶")+COUNTIF($E133:W133,"²")+COUNTIF($E133:W133,"µ")+COUNTIF($E133:W133,1),ColDescriptionCourte)),""),
  "")),"")</f>
        <v/>
      </c>
      <c r="Y133" s="40" t="str">
        <f ca="1">IFERROR(IF(AND(
  INDEX(Roadmap!$D:$K,MATCH($E133,Roadmap!$D:$D,0)+COUNTIF($E133:X133,"u")+COUNTIF($E133:X133,"t")+COUNTIF($E133:X133,"¶")+COUNTIF($E133:X133,"²")+COUNTIF($E133:X133,"µ")+COUNTIF($E133:X133,1),ColLivraison)=Y$6,
  VLOOKUP($E133,INDIRECT("tri!"&amp; CHAR(64+ C0Col) &amp;":"&amp; CHAR(65+C0Col)),2,FALSE)&gt;COUNTIF($E133:X133,"u")+COUNTIF($E133:X133,"t")+COUNTIF($E133:X133,"¶")+COUNTIF($E133:X133,"²")+COUNTIF($E133:X133,"µ")+COUNTIF($E133:X133,1)),
HYPERLINK("#Roadmap!C"&amp; MATCH($E133,Roadmap!$D:$D,0)+COUNTIF($E133:X133,"u")+COUNTIF($E133:X133,"t"),
     INDEX(Roadmap!$D:$K,MATCH($E133,Roadmap!$D:$D,0)+COUNTIF($E133:X133,"u")+COUNTIF($E133:X133,"t")+COUNTIF($E133:X133,"¶")+COUNTIF($E133:X133,"²")+COUNTIF($E133:X133,"µ")+COUNTIF($E133:X133,1),ColTypeEcheance)),
  IF(LEN(X133)=1,
  IF(LEN(INDEX(Roadmap!$D:$K,MATCH($E133,Roadmap!$D:$D,0)-1+COUNTIF($E133:X133,"u")+COUNTIF($E133:X133,"t")+COUNTIF($E133:X133,"¶")+COUNTIF($E133:X133,"²")+COUNTIF($E133:X133,"µ")+COUNTIF($E133:X133,1),ColDescriptionCourte))&gt;1,
HYPERLINK("#Roadmap!C"&amp; MATCH($E133,Roadmap!$D:$D,0)+COUNTIF($E133:X133,"u")+COUNTIF($E133:X133,"t")+COUNTIF($E133:X133,"¶")+COUNTIF($E133:X133,"²")+COUNTIF($E133:X133,"µ")+COUNTIF($E133:X133,1)-1,INDEX(Roadmap!$D:$K,MATCH($E133,Roadmap!$D:$D,0)-1+COUNTIF($E133:X133,"u")+COUNTIF($E133:X133,"t")+COUNTIF($E133:X133,"¶")+COUNTIF($E133:X133,"²")+COUNTIF($E133:X133,"µ")+COUNTIF($E133:X133,1),ColDescriptionCourte)),""),
  "")),"")</f>
        <v/>
      </c>
      <c r="Z133" s="40" t="str">
        <f ca="1">IFERROR(IF(AND(
  INDEX(Roadmap!$D:$K,MATCH($E133,Roadmap!$D:$D,0)+COUNTIF($E133:Y133,"u")+COUNTIF($E133:Y133,"t")+COUNTIF($E133:Y133,"¶")+COUNTIF($E133:Y133,"²")+COUNTIF($E133:Y133,"µ")+COUNTIF($E133:Y133,1),ColLivraison)=Z$6,
  VLOOKUP($E133,INDIRECT("tri!"&amp; CHAR(64+ C0Col) &amp;":"&amp; CHAR(65+C0Col)),2,FALSE)&gt;COUNTIF($E133:Y133,"u")+COUNTIF($E133:Y133,"t")+COUNTIF($E133:Y133,"¶")+COUNTIF($E133:Y133,"²")+COUNTIF($E133:Y133,"µ")+COUNTIF($E133:Y133,1)),
HYPERLINK("#Roadmap!C"&amp; MATCH($E133,Roadmap!$D:$D,0)+COUNTIF($E133:Y133,"u")+COUNTIF($E133:Y133,"t"),
     INDEX(Roadmap!$D:$K,MATCH($E133,Roadmap!$D:$D,0)+COUNTIF($E133:Y133,"u")+COUNTIF($E133:Y133,"t")+COUNTIF($E133:Y133,"¶")+COUNTIF($E133:Y133,"²")+COUNTIF($E133:Y133,"µ")+COUNTIF($E133:Y133,1),ColTypeEcheance)),
  IF(LEN(Y133)=1,
  IF(LEN(INDEX(Roadmap!$D:$K,MATCH($E133,Roadmap!$D:$D,0)-1+COUNTIF($E133:Y133,"u")+COUNTIF($E133:Y133,"t")+COUNTIF($E133:Y133,"¶")+COUNTIF($E133:Y133,"²")+COUNTIF($E133:Y133,"µ")+COUNTIF($E133:Y133,1),ColDescriptionCourte))&gt;1,
HYPERLINK("#Roadmap!C"&amp; MATCH($E133,Roadmap!$D:$D,0)+COUNTIF($E133:Y133,"u")+COUNTIF($E133:Y133,"t")+COUNTIF($E133:Y133,"¶")+COUNTIF($E133:Y133,"²")+COUNTIF($E133:Y133,"µ")+COUNTIF($E133:Y133,1)-1,INDEX(Roadmap!$D:$K,MATCH($E133,Roadmap!$D:$D,0)-1+COUNTIF($E133:Y133,"u")+COUNTIF($E133:Y133,"t")+COUNTIF($E133:Y133,"¶")+COUNTIF($E133:Y133,"²")+COUNTIF($E133:Y133,"µ")+COUNTIF($E133:Y133,1),ColDescriptionCourte)),""),
  "")),"")</f>
        <v/>
      </c>
      <c r="AA133" s="40" t="str">
        <f ca="1">IFERROR(IF(AND(
  INDEX(Roadmap!$D:$K,MATCH($E133,Roadmap!$D:$D,0)+COUNTIF($E133:Z133,"u")+COUNTIF($E133:Z133,"t")+COUNTIF($E133:Z133,"¶")+COUNTIF($E133:Z133,"²")+COUNTIF($E133:Z133,"µ")+COUNTIF($E133:Z133,1),ColLivraison)=AA$6,
  VLOOKUP($E133,INDIRECT("tri!"&amp; CHAR(64+ C0Col) &amp;":"&amp; CHAR(65+C0Col)),2,FALSE)&gt;COUNTIF($E133:Z133,"u")+COUNTIF($E133:Z133,"t")+COUNTIF($E133:Z133,"¶")+COUNTIF($E133:Z133,"²")+COUNTIF($E133:Z133,"µ")+COUNTIF($E133:Z133,1)),
HYPERLINK("#Roadmap!C"&amp; MATCH($E133,Roadmap!$D:$D,0)+COUNTIF($E133:Z133,"u")+COUNTIF($E133:Z133,"t"),
     INDEX(Roadmap!$D:$K,MATCH($E133,Roadmap!$D:$D,0)+COUNTIF($E133:Z133,"u")+COUNTIF($E133:Z133,"t")+COUNTIF($E133:Z133,"¶")+COUNTIF($E133:Z133,"²")+COUNTIF($E133:Z133,"µ")+COUNTIF($E133:Z133,1),ColTypeEcheance)),
  IF(LEN(Z133)=1,
  IF(LEN(INDEX(Roadmap!$D:$K,MATCH($E133,Roadmap!$D:$D,0)-1+COUNTIF($E133:Z133,"u")+COUNTIF($E133:Z133,"t")+COUNTIF($E133:Z133,"¶")+COUNTIF($E133:Z133,"²")+COUNTIF($E133:Z133,"µ")+COUNTIF($E133:Z133,1),ColDescriptionCourte))&gt;1,
HYPERLINK("#Roadmap!C"&amp; MATCH($E133,Roadmap!$D:$D,0)+COUNTIF($E133:Z133,"u")+COUNTIF($E133:Z133,"t")+COUNTIF($E133:Z133,"¶")+COUNTIF($E133:Z133,"²")+COUNTIF($E133:Z133,"µ")+COUNTIF($E133:Z133,1)-1,INDEX(Roadmap!$D:$K,MATCH($E133,Roadmap!$D:$D,0)-1+COUNTIF($E133:Z133,"u")+COUNTIF($E133:Z133,"t")+COUNTIF($E133:Z133,"¶")+COUNTIF($E133:Z133,"²")+COUNTIF($E133:Z133,"µ")+COUNTIF($E133:Z133,1),ColDescriptionCourte)),""),
  "")),"")</f>
        <v/>
      </c>
      <c r="AB133" s="40" t="str">
        <f ca="1">IFERROR(IF(AND(
  INDEX(Roadmap!$D:$K,MATCH($E133,Roadmap!$D:$D,0)+COUNTIF($E133:AA133,"u")+COUNTIF($E133:AA133,"t")+COUNTIF($E133:AA133,"¶")+COUNTIF($E133:AA133,"²")+COUNTIF($E133:AA133,"µ")+COUNTIF($E133:AA133,1),ColLivraison)=AB$6,
  VLOOKUP($E133,INDIRECT("tri!"&amp; CHAR(64+ C0Col) &amp;":"&amp; CHAR(65+C0Col)),2,FALSE)&gt;COUNTIF($E133:AA133,"u")+COUNTIF($E133:AA133,"t")+COUNTIF($E133:AA133,"¶")+COUNTIF($E133:AA133,"²")+COUNTIF($E133:AA133,"µ")+COUNTIF($E133:AA133,1)),
HYPERLINK("#Roadmap!C"&amp; MATCH($E133,Roadmap!$D:$D,0)+COUNTIF($E133:AA133,"u")+COUNTIF($E133:AA133,"t"),
     INDEX(Roadmap!$D:$K,MATCH($E133,Roadmap!$D:$D,0)+COUNTIF($E133:AA133,"u")+COUNTIF($E133:AA133,"t")+COUNTIF($E133:AA133,"¶")+COUNTIF($E133:AA133,"²")+COUNTIF($E133:AA133,"µ")+COUNTIF($E133:AA133,1),ColTypeEcheance)),
  IF(LEN(AA133)=1,
  IF(LEN(INDEX(Roadmap!$D:$K,MATCH($E133,Roadmap!$D:$D,0)-1+COUNTIF($E133:AA133,"u")+COUNTIF($E133:AA133,"t")+COUNTIF($E133:AA133,"¶")+COUNTIF($E133:AA133,"²")+COUNTIF($E133:AA133,"µ")+COUNTIF($E133:AA133,1),ColDescriptionCourte))&gt;1,
HYPERLINK("#Roadmap!C"&amp; MATCH($E133,Roadmap!$D:$D,0)+COUNTIF($E133:AA133,"u")+COUNTIF($E133:AA133,"t")+COUNTIF($E133:AA133,"¶")+COUNTIF($E133:AA133,"²")+COUNTIF($E133:AA133,"µ")+COUNTIF($E133:AA133,1)-1,INDEX(Roadmap!$D:$K,MATCH($E133,Roadmap!$D:$D,0)-1+COUNTIF($E133:AA133,"u")+COUNTIF($E133:AA133,"t")+COUNTIF($E133:AA133,"¶")+COUNTIF($E133:AA133,"²")+COUNTIF($E133:AA133,"µ")+COUNTIF($E133:AA133,1),ColDescriptionCourte)),""),
  "")),"")</f>
        <v/>
      </c>
      <c r="AC133" s="40" t="str">
        <f ca="1">IFERROR(IF(AND(
  INDEX(Roadmap!$D:$K,MATCH($E133,Roadmap!$D:$D,0)+COUNTIF($E133:AB133,"u")+COUNTIF($E133:AB133,"t")+COUNTIF($E133:AB133,"¶")+COUNTIF($E133:AB133,"²")+COUNTIF($E133:AB133,"µ")+COUNTIF($E133:AB133,1),ColLivraison)=AC$6,
  VLOOKUP($E133,INDIRECT("tri!"&amp; CHAR(64+ C0Col) &amp;":"&amp; CHAR(65+C0Col)),2,FALSE)&gt;COUNTIF($E133:AB133,"u")+COUNTIF($E133:AB133,"t")+COUNTIF($E133:AB133,"¶")+COUNTIF($E133:AB133,"²")+COUNTIF($E133:AB133,"µ")+COUNTIF($E133:AB133,1)),
HYPERLINK("#Roadmap!C"&amp; MATCH($E133,Roadmap!$D:$D,0)+COUNTIF($E133:AB133,"u")+COUNTIF($E133:AB133,"t"),
     INDEX(Roadmap!$D:$K,MATCH($E133,Roadmap!$D:$D,0)+COUNTIF($E133:AB133,"u")+COUNTIF($E133:AB133,"t")+COUNTIF($E133:AB133,"¶")+COUNTIF($E133:AB133,"²")+COUNTIF($E133:AB133,"µ")+COUNTIF($E133:AB133,1),ColTypeEcheance)),
  IF(LEN(AB133)=1,
  IF(LEN(INDEX(Roadmap!$D:$K,MATCH($E133,Roadmap!$D:$D,0)-1+COUNTIF($E133:AB133,"u")+COUNTIF($E133:AB133,"t")+COUNTIF($E133:AB133,"¶")+COUNTIF($E133:AB133,"²")+COUNTIF($E133:AB133,"µ")+COUNTIF($E133:AB133,1),ColDescriptionCourte))&gt;1,
HYPERLINK("#Roadmap!C"&amp; MATCH($E133,Roadmap!$D:$D,0)+COUNTIF($E133:AB133,"u")+COUNTIF($E133:AB133,"t")+COUNTIF($E133:AB133,"¶")+COUNTIF($E133:AB133,"²")+COUNTIF($E133:AB133,"µ")+COUNTIF($E133:AB133,1)-1,INDEX(Roadmap!$D:$K,MATCH($E133,Roadmap!$D:$D,0)-1+COUNTIF($E133:AB133,"u")+COUNTIF($E133:AB133,"t")+COUNTIF($E133:AB133,"¶")+COUNTIF($E133:AB133,"²")+COUNTIF($E133:AB133,"µ")+COUNTIF($E133:AB133,1),ColDescriptionCourte)),""),
  "")),"")</f>
        <v/>
      </c>
      <c r="AD133" s="40" t="str">
        <f ca="1">IFERROR(IF(AND(
  INDEX(Roadmap!$D:$K,MATCH($E133,Roadmap!$D:$D,0)+COUNTIF($E133:AC133,"u")+COUNTIF($E133:AC133,"t")+COUNTIF($E133:AC133,"¶")+COUNTIF($E133:AC133,"²")+COUNTIF($E133:AC133,"µ")+COUNTIF($E133:AC133,1),ColLivraison)=AD$6,
  VLOOKUP($E133,INDIRECT("tri!"&amp; CHAR(64+ C0Col) &amp;":"&amp; CHAR(65+C0Col)),2,FALSE)&gt;COUNTIF($E133:AC133,"u")+COUNTIF($E133:AC133,"t")+COUNTIF($E133:AC133,"¶")+COUNTIF($E133:AC133,"²")+COUNTIF($E133:AC133,"µ")+COUNTIF($E133:AC133,1)),
HYPERLINK("#Roadmap!C"&amp; MATCH($E133,Roadmap!$D:$D,0)+COUNTIF($E133:AC133,"u")+COUNTIF($E133:AC133,"t"),
     INDEX(Roadmap!$D:$K,MATCH($E133,Roadmap!$D:$D,0)+COUNTIF($E133:AC133,"u")+COUNTIF($E133:AC133,"t")+COUNTIF($E133:AC133,"¶")+COUNTIF($E133:AC133,"²")+COUNTIF($E133:AC133,"µ")+COUNTIF($E133:AC133,1),ColTypeEcheance)),
  IF(LEN(AC133)=1,
  IF(LEN(INDEX(Roadmap!$D:$K,MATCH($E133,Roadmap!$D:$D,0)-1+COUNTIF($E133:AC133,"u")+COUNTIF($E133:AC133,"t")+COUNTIF($E133:AC133,"¶")+COUNTIF($E133:AC133,"²")+COUNTIF($E133:AC133,"µ")+COUNTIF($E133:AC133,1),ColDescriptionCourte))&gt;1,
HYPERLINK("#Roadmap!C"&amp; MATCH($E133,Roadmap!$D:$D,0)+COUNTIF($E133:AC133,"u")+COUNTIF($E133:AC133,"t")+COUNTIF($E133:AC133,"¶")+COUNTIF($E133:AC133,"²")+COUNTIF($E133:AC133,"µ")+COUNTIF($E133:AC133,1)-1,INDEX(Roadmap!$D:$K,MATCH($E133,Roadmap!$D:$D,0)-1+COUNTIF($E133:AC133,"u")+COUNTIF($E133:AC133,"t")+COUNTIF($E133:AC133,"¶")+COUNTIF($E133:AC133,"²")+COUNTIF($E133:AC133,"µ")+COUNTIF($E133:AC133,1),ColDescriptionCourte)),""),
  "")),"")</f>
        <v/>
      </c>
      <c r="AE133" s="40" t="str">
        <f ca="1">IFERROR(IF(AND(
  INDEX(Roadmap!$D:$K,MATCH($E133,Roadmap!$D:$D,0)+COUNTIF($E133:AD133,"u")+COUNTIF($E133:AD133,"t")+COUNTIF($E133:AD133,"¶")+COUNTIF($E133:AD133,"²")+COUNTIF($E133:AD133,"µ")+COUNTIF($E133:AD133,1),ColLivraison)=AE$6,
  VLOOKUP($E133,INDIRECT("tri!"&amp; CHAR(64+ C0Col) &amp;":"&amp; CHAR(65+C0Col)),2,FALSE)&gt;COUNTIF($E133:AD133,"u")+COUNTIF($E133:AD133,"t")+COUNTIF($E133:AD133,"¶")+COUNTIF($E133:AD133,"²")+COUNTIF($E133:AD133,"µ")+COUNTIF($E133:AD133,1)),
HYPERLINK("#Roadmap!C"&amp; MATCH($E133,Roadmap!$D:$D,0)+COUNTIF($E133:AD133,"u")+COUNTIF($E133:AD133,"t"),
     INDEX(Roadmap!$D:$K,MATCH($E133,Roadmap!$D:$D,0)+COUNTIF($E133:AD133,"u")+COUNTIF($E133:AD133,"t")+COUNTIF($E133:AD133,"¶")+COUNTIF($E133:AD133,"²")+COUNTIF($E133:AD133,"µ")+COUNTIF($E133:AD133,1),ColTypeEcheance)),
  IF(LEN(AD133)=1,
  IF(LEN(INDEX(Roadmap!$D:$K,MATCH($E133,Roadmap!$D:$D,0)-1+COUNTIF($E133:AD133,"u")+COUNTIF($E133:AD133,"t")+COUNTIF($E133:AD133,"¶")+COUNTIF($E133:AD133,"²")+COUNTIF($E133:AD133,"µ")+COUNTIF($E133:AD133,1),ColDescriptionCourte))&gt;1,
HYPERLINK("#Roadmap!C"&amp; MATCH($E133,Roadmap!$D:$D,0)+COUNTIF($E133:AD133,"u")+COUNTIF($E133:AD133,"t")+COUNTIF($E133:AD133,"¶")+COUNTIF($E133:AD133,"²")+COUNTIF($E133:AD133,"µ")+COUNTIF($E133:AD133,1)-1,INDEX(Roadmap!$D:$K,MATCH($E133,Roadmap!$D:$D,0)-1+COUNTIF($E133:AD133,"u")+COUNTIF($E133:AD133,"t")+COUNTIF($E133:AD133,"¶")+COUNTIF($E133:AD133,"²")+COUNTIF($E133:AD133,"µ")+COUNTIF($E133:AD133,1),ColDescriptionCourte)),""),
  "")),"")</f>
        <v/>
      </c>
      <c r="AF133" s="40" t="str">
        <f ca="1">IFERROR(IF(AND(
  INDEX(Roadmap!$D:$K,MATCH($E133,Roadmap!$D:$D,0)+COUNTIF($E133:AE133,"u")+COUNTIF($E133:AE133,"t")+COUNTIF($E133:AE133,"¶")+COUNTIF($E133:AE133,"²")+COUNTIF($E133:AE133,"µ")+COUNTIF($E133:AE133,1),ColLivraison)=AF$6,
  VLOOKUP($E133,INDIRECT("tri!"&amp; CHAR(64+ C0Col) &amp;":"&amp; CHAR(65+C0Col)),2,FALSE)&gt;COUNTIF($E133:AE133,"u")+COUNTIF($E133:AE133,"t")+COUNTIF($E133:AE133,"¶")+COUNTIF($E133:AE133,"²")+COUNTIF($E133:AE133,"µ")+COUNTIF($E133:AE133,1)),
HYPERLINK("#Roadmap!C"&amp; MATCH($E133,Roadmap!$D:$D,0)+COUNTIF($E133:AE133,"u")+COUNTIF($E133:AE133,"t"),
     INDEX(Roadmap!$D:$K,MATCH($E133,Roadmap!$D:$D,0)+COUNTIF($E133:AE133,"u")+COUNTIF($E133:AE133,"t")+COUNTIF($E133:AE133,"¶")+COUNTIF($E133:AE133,"²")+COUNTIF($E133:AE133,"µ")+COUNTIF($E133:AE133,1),ColTypeEcheance)),
  IF(LEN(AE133)=1,
  IF(LEN(INDEX(Roadmap!$D:$K,MATCH($E133,Roadmap!$D:$D,0)-1+COUNTIF($E133:AE133,"u")+COUNTIF($E133:AE133,"t")+COUNTIF($E133:AE133,"¶")+COUNTIF($E133:AE133,"²")+COUNTIF($E133:AE133,"µ")+COUNTIF($E133:AE133,1),ColDescriptionCourte))&gt;1,
HYPERLINK("#Roadmap!C"&amp; MATCH($E133,Roadmap!$D:$D,0)+COUNTIF($E133:AE133,"u")+COUNTIF($E133:AE133,"t")+COUNTIF($E133:AE133,"¶")+COUNTIF($E133:AE133,"²")+COUNTIF($E133:AE133,"µ")+COUNTIF($E133:AE133,1)-1,INDEX(Roadmap!$D:$K,MATCH($E133,Roadmap!$D:$D,0)-1+COUNTIF($E133:AE133,"u")+COUNTIF($E133:AE133,"t")+COUNTIF($E133:AE133,"¶")+COUNTIF($E133:AE133,"²")+COUNTIF($E133:AE133,"µ")+COUNTIF($E133:AE133,1),ColDescriptionCourte)),""),
  "")),"")</f>
        <v/>
      </c>
      <c r="AG133" s="40" t="str">
        <f ca="1">IFERROR(IF(AND(
  INDEX(Roadmap!$D:$K,MATCH($E133,Roadmap!$D:$D,0)+COUNTIF($E133:AF133,"u")+COUNTIF($E133:AF133,"t")+COUNTIF($E133:AF133,"¶")+COUNTIF($E133:AF133,"²")+COUNTIF($E133:AF133,"µ")+COUNTIF($E133:AF133,1),ColLivraison)=AG$6,
  VLOOKUP($E133,INDIRECT("tri!"&amp; CHAR(64+ C0Col) &amp;":"&amp; CHAR(65+C0Col)),2,FALSE)&gt;COUNTIF($E133:AF133,"u")+COUNTIF($E133:AF133,"t")+COUNTIF($E133:AF133,"¶")+COUNTIF($E133:AF133,"²")+COUNTIF($E133:AF133,"µ")+COUNTIF($E133:AF133,1)),
HYPERLINK("#Roadmap!C"&amp; MATCH($E133,Roadmap!$D:$D,0)+COUNTIF($E133:AF133,"u")+COUNTIF($E133:AF133,"t"),
     INDEX(Roadmap!$D:$K,MATCH($E133,Roadmap!$D:$D,0)+COUNTIF($E133:AF133,"u")+COUNTIF($E133:AF133,"t")+COUNTIF($E133:AF133,"¶")+COUNTIF($E133:AF133,"²")+COUNTIF($E133:AF133,"µ")+COUNTIF($E133:AF133,1),ColTypeEcheance)),
  IF(LEN(AF133)=1,
  IF(LEN(INDEX(Roadmap!$D:$K,MATCH($E133,Roadmap!$D:$D,0)-1+COUNTIF($E133:AF133,"u")+COUNTIF($E133:AF133,"t")+COUNTIF($E133:AF133,"¶")+COUNTIF($E133:AF133,"²")+COUNTIF($E133:AF133,"µ")+COUNTIF($E133:AF133,1),ColDescriptionCourte))&gt;1,
HYPERLINK("#Roadmap!C"&amp; MATCH($E133,Roadmap!$D:$D,0)+COUNTIF($E133:AF133,"u")+COUNTIF($E133:AF133,"t")+COUNTIF($E133:AF133,"¶")+COUNTIF($E133:AF133,"²")+COUNTIF($E133:AF133,"µ")+COUNTIF($E133:AF133,1)-1,INDEX(Roadmap!$D:$K,MATCH($E133,Roadmap!$D:$D,0)-1+COUNTIF($E133:AF133,"u")+COUNTIF($E133:AF133,"t")+COUNTIF($E133:AF133,"¶")+COUNTIF($E133:AF133,"²")+COUNTIF($E133:AF133,"µ")+COUNTIF($E133:AF133,1),ColDescriptionCourte)),""),
  "")),"")</f>
        <v/>
      </c>
    </row>
    <row r="134" spans="3:33" ht="14.25" customHeight="1">
      <c r="C134" s="1" t="str">
        <f t="shared" ca="1" si="49"/>
        <v/>
      </c>
      <c r="D134" s="1" t="str">
        <f t="shared" ca="1" si="50"/>
        <v/>
      </c>
      <c r="E134" s="35" t="str">
        <f t="shared" ref="E134:E197" ca="1" si="51">IF(LEN(INDIRECT(ADDRESS(C0Ligne+ROW()-MaquetteLigne0,C0Col,1,1,"Tri")))&lt;2,"",INDIRECT(ADDRESS(C0Ligne+ROW()-MaquetteLigne0,C0Col,1,1,"Tri")))</f>
        <v/>
      </c>
      <c r="F134" s="39" t="str">
        <f ca="1">IFERROR(IF(AND(
  INDEX(Roadmap!$D:$K,MATCH($E134,Roadmap!$D:$D,0)+COUNTIF($E134:E134,"u")+COUNTIF($E134:E134,"t")+COUNTIF($E134:E134,"¶")+COUNTIF($E134:E134,"²")+COUNTIF($E134:E134,"µ")+COUNTIF($E134:E134,1),ColLivraison)=F$6,
  VLOOKUP($E134,INDIRECT("tri!"&amp; CHAR(64+ C0Col) &amp;":"&amp; CHAR(65+C0Col)),2,FALSE)&gt;COUNTIF($E134:E134,"u")+COUNTIF($E134:E134,"t")+COUNTIF($E134:E134,"¶")+COUNTIF($E134:E134,"²")+COUNTIF($E134:E134,"µ")+COUNTIF($E134:E134,1)),
HYPERLINK("#Roadmap!C"&amp; MATCH($E134,Roadmap!$D:$D,0)+COUNTIF($E134:E134,"u")+COUNTIF($E134:E134,"t"),
     INDEX(Roadmap!$D:$K,MATCH($E134,Roadmap!$D:$D,0)+COUNTIF($E134:E134,"u")+COUNTIF($E134:E134,"t")+COUNTIF($E134:E134,"¶")+COUNTIF($E134:E134,"²")+COUNTIF($E134:E134,"µ")+COUNTIF($E134:E134,1),ColTypeEcheance)),
  IF(LEN(E134)=1,
  IF(LEN(INDEX(Roadmap!$D:$K,MATCH($E134,Roadmap!$D:$D,0)-1+COUNTIF($E134:E134,"u")+COUNTIF($E134:E134,"t")+COUNTIF($E134:E134,"¶")+COUNTIF($E134:E134,"²")+COUNTIF($E134:E134,"µ")+COUNTIF($E134:E134,1),ColDescriptionCourte))&gt;1,
HYPERLINK("#Roadmap!C"&amp; MATCH($E134,Roadmap!$D:$D,0)+COUNTIF($E134:E134,"u")+COUNTIF($E134:E134,"t")+COUNTIF($E134:E134,"¶")+COUNTIF($E134:E134,"²")+COUNTIF($E134:E134,"µ")+COUNTIF($E134:E134,1)-1,INDEX(Roadmap!$D:$K,MATCH($E134,Roadmap!$D:$D,0)-1+COUNTIF($E134:E134,"u")+COUNTIF($E134:E134,"t")+COUNTIF($E134:E134,"¶")+COUNTIF($E134:E134,"²")+COUNTIF($E134:E134,"µ")+COUNTIF($E134:E134,1),ColDescriptionCourte)),""),
  "")),"")</f>
        <v/>
      </c>
      <c r="G134" s="40" t="str">
        <f ca="1">IFERROR(IF(AND(
  INDEX(Roadmap!$D:$K,MATCH($E134,Roadmap!$D:$D,0)+COUNTIF($E134:F134,"u")+COUNTIF($E134:F134,"t")+COUNTIF($E134:F134,"¶")+COUNTIF($E134:F134,"²")+COUNTIF($E134:F134,"µ")+COUNTIF($E134:F134,1),ColLivraison)=G$6,
  VLOOKUP($E134,INDIRECT("tri!"&amp; CHAR(64+ C0Col) &amp;":"&amp; CHAR(65+C0Col)),2,FALSE)&gt;COUNTIF($E134:F134,"u")+COUNTIF($E134:F134,"t")+COUNTIF($E134:F134,"¶")+COUNTIF($E134:F134,"²")+COUNTIF($E134:F134,"µ")+COUNTIF($E134:F134,1)),
HYPERLINK("#Roadmap!C"&amp; MATCH($E134,Roadmap!$D:$D,0)+COUNTIF($E134:F134,"u")+COUNTIF($E134:F134,"t"),
     INDEX(Roadmap!$D:$K,MATCH($E134,Roadmap!$D:$D,0)+COUNTIF($E134:F134,"u")+COUNTIF($E134:F134,"t")+COUNTIF($E134:F134,"¶")+COUNTIF($E134:F134,"²")+COUNTIF($E134:F134,"µ")+COUNTIF($E134:F134,1),ColTypeEcheance)),
  IF(LEN(F134)=1,
  IF(LEN(INDEX(Roadmap!$D:$K,MATCH($E134,Roadmap!$D:$D,0)-1+COUNTIF($E134:F134,"u")+COUNTIF($E134:F134,"t")+COUNTIF($E134:F134,"¶")+COUNTIF($E134:F134,"²")+COUNTIF($E134:F134,"µ")+COUNTIF($E134:F134,1),ColDescriptionCourte))&gt;1,
HYPERLINK("#Roadmap!C"&amp; MATCH($E134,Roadmap!$D:$D,0)+COUNTIF($E134:F134,"u")+COUNTIF($E134:F134,"t")+COUNTIF($E134:F134,"¶")+COUNTIF($E134:F134,"²")+COUNTIF($E134:F134,"µ")+COUNTIF($E134:F134,1)-1,INDEX(Roadmap!$D:$K,MATCH($E134,Roadmap!$D:$D,0)-1+COUNTIF($E134:F134,"u")+COUNTIF($E134:F134,"t")+COUNTIF($E134:F134,"¶")+COUNTIF($E134:F134,"²")+COUNTIF($E134:F134,"µ")+COUNTIF($E134:F134,1),ColDescriptionCourte)),""),
  "")),"")</f>
        <v/>
      </c>
      <c r="H134" s="40" t="str">
        <f ca="1">IFERROR(IF(AND(
  INDEX(Roadmap!$D:$K,MATCH($E134,Roadmap!$D:$D,0)+COUNTIF($E134:G134,"u")+COUNTIF($E134:G134,"t")+COUNTIF($E134:G134,"¶")+COUNTIF($E134:G134,"²")+COUNTIF($E134:G134,"µ")+COUNTIF($E134:G134,1),ColLivraison)=H$6,
  VLOOKUP($E134,INDIRECT("tri!"&amp; CHAR(64+ C0Col) &amp;":"&amp; CHAR(65+C0Col)),2,FALSE)&gt;COUNTIF($E134:G134,"u")+COUNTIF($E134:G134,"t")+COUNTIF($E134:G134,"¶")+COUNTIF($E134:G134,"²")+COUNTIF($E134:G134,"µ")+COUNTIF($E134:G134,1)),
HYPERLINK("#Roadmap!C"&amp; MATCH($E134,Roadmap!$D:$D,0)+COUNTIF($E134:G134,"u")+COUNTIF($E134:G134,"t"),
     INDEX(Roadmap!$D:$K,MATCH($E134,Roadmap!$D:$D,0)+COUNTIF($E134:G134,"u")+COUNTIF($E134:G134,"t")+COUNTIF($E134:G134,"¶")+COUNTIF($E134:G134,"²")+COUNTIF($E134:G134,"µ")+COUNTIF($E134:G134,1),ColTypeEcheance)),
  IF(LEN(G134)=1,
  IF(LEN(INDEX(Roadmap!$D:$K,MATCH($E134,Roadmap!$D:$D,0)-1+COUNTIF($E134:G134,"u")+COUNTIF($E134:G134,"t")+COUNTIF($E134:G134,"¶")+COUNTIF($E134:G134,"²")+COUNTIF($E134:G134,"µ")+COUNTIF($E134:G134,1),ColDescriptionCourte))&gt;1,
HYPERLINK("#Roadmap!C"&amp; MATCH($E134,Roadmap!$D:$D,0)+COUNTIF($E134:G134,"u")+COUNTIF($E134:G134,"t")+COUNTIF($E134:G134,"¶")+COUNTIF($E134:G134,"²")+COUNTIF($E134:G134,"µ")+COUNTIF($E134:G134,1)-1,INDEX(Roadmap!$D:$K,MATCH($E134,Roadmap!$D:$D,0)-1+COUNTIF($E134:G134,"u")+COUNTIF($E134:G134,"t")+COUNTIF($E134:G134,"¶")+COUNTIF($E134:G134,"²")+COUNTIF($E134:G134,"µ")+COUNTIF($E134:G134,1),ColDescriptionCourte)),""),
  "")),"")</f>
        <v/>
      </c>
      <c r="I134" s="40" t="str">
        <f ca="1">IFERROR(IF(AND(
  INDEX(Roadmap!$D:$K,MATCH($E134,Roadmap!$D:$D,0)+COUNTIF($E134:H134,"u")+COUNTIF($E134:H134,"t")+COUNTIF($E134:H134,"¶")+COUNTIF($E134:H134,"²")+COUNTIF($E134:H134,"µ")+COUNTIF($E134:H134,1),ColLivraison)=I$6,
  VLOOKUP($E134,INDIRECT("tri!"&amp; CHAR(64+ C0Col) &amp;":"&amp; CHAR(65+C0Col)),2,FALSE)&gt;COUNTIF($E134:H134,"u")+COUNTIF($E134:H134,"t")+COUNTIF($E134:H134,"¶")+COUNTIF($E134:H134,"²")+COUNTIF($E134:H134,"µ")+COUNTIF($E134:H134,1)),
HYPERLINK("#Roadmap!C"&amp; MATCH($E134,Roadmap!$D:$D,0)+COUNTIF($E134:H134,"u")+COUNTIF($E134:H134,"t"),
     INDEX(Roadmap!$D:$K,MATCH($E134,Roadmap!$D:$D,0)+COUNTIF($E134:H134,"u")+COUNTIF($E134:H134,"t")+COUNTIF($E134:H134,"¶")+COUNTIF($E134:H134,"²")+COUNTIF($E134:H134,"µ")+COUNTIF($E134:H134,1),ColTypeEcheance)),
  IF(LEN(H134)=1,
  IF(LEN(INDEX(Roadmap!$D:$K,MATCH($E134,Roadmap!$D:$D,0)-1+COUNTIF($E134:H134,"u")+COUNTIF($E134:H134,"t")+COUNTIF($E134:H134,"¶")+COUNTIF($E134:H134,"²")+COUNTIF($E134:H134,"µ")+COUNTIF($E134:H134,1),ColDescriptionCourte))&gt;1,
HYPERLINK("#Roadmap!C"&amp; MATCH($E134,Roadmap!$D:$D,0)+COUNTIF($E134:H134,"u")+COUNTIF($E134:H134,"t")+COUNTIF($E134:H134,"¶")+COUNTIF($E134:H134,"²")+COUNTIF($E134:H134,"µ")+COUNTIF($E134:H134,1)-1,INDEX(Roadmap!$D:$K,MATCH($E134,Roadmap!$D:$D,0)-1+COUNTIF($E134:H134,"u")+COUNTIF($E134:H134,"t")+COUNTIF($E134:H134,"¶")+COUNTIF($E134:H134,"²")+COUNTIF($E134:H134,"µ")+COUNTIF($E134:H134,1),ColDescriptionCourte)),""),
  "")),"")</f>
        <v/>
      </c>
      <c r="J134" s="40" t="str">
        <f ca="1">IFERROR(IF(AND(
  INDEX(Roadmap!$D:$K,MATCH($E134,Roadmap!$D:$D,0)+COUNTIF($E134:I134,"u")+COUNTIF($E134:I134,"t")+COUNTIF($E134:I134,"¶")+COUNTIF($E134:I134,"²")+COUNTIF($E134:I134,"µ")+COUNTIF($E134:I134,1),ColLivraison)=J$6,
  VLOOKUP($E134,INDIRECT("tri!"&amp; CHAR(64+ C0Col) &amp;":"&amp; CHAR(65+C0Col)),2,FALSE)&gt;COUNTIF($E134:I134,"u")+COUNTIF($E134:I134,"t")+COUNTIF($E134:I134,"¶")+COUNTIF($E134:I134,"²")+COUNTIF($E134:I134,"µ")+COUNTIF($E134:I134,1)),
HYPERLINK("#Roadmap!C"&amp; MATCH($E134,Roadmap!$D:$D,0)+COUNTIF($E134:I134,"u")+COUNTIF($E134:I134,"t"),
     INDEX(Roadmap!$D:$K,MATCH($E134,Roadmap!$D:$D,0)+COUNTIF($E134:I134,"u")+COUNTIF($E134:I134,"t")+COUNTIF($E134:I134,"¶")+COUNTIF($E134:I134,"²")+COUNTIF($E134:I134,"µ")+COUNTIF($E134:I134,1),ColTypeEcheance)),
  IF(LEN(I134)=1,
  IF(LEN(INDEX(Roadmap!$D:$K,MATCH($E134,Roadmap!$D:$D,0)-1+COUNTIF($E134:I134,"u")+COUNTIF($E134:I134,"t")+COUNTIF($E134:I134,"¶")+COUNTIF($E134:I134,"²")+COUNTIF($E134:I134,"µ")+COUNTIF($E134:I134,1),ColDescriptionCourte))&gt;1,
HYPERLINK("#Roadmap!C"&amp; MATCH($E134,Roadmap!$D:$D,0)+COUNTIF($E134:I134,"u")+COUNTIF($E134:I134,"t")+COUNTIF($E134:I134,"¶")+COUNTIF($E134:I134,"²")+COUNTIF($E134:I134,"µ")+COUNTIF($E134:I134,1)-1,INDEX(Roadmap!$D:$K,MATCH($E134,Roadmap!$D:$D,0)-1+COUNTIF($E134:I134,"u")+COUNTIF($E134:I134,"t")+COUNTIF($E134:I134,"¶")+COUNTIF($E134:I134,"²")+COUNTIF($E134:I134,"µ")+COUNTIF($E134:I134,1),ColDescriptionCourte)),""),
  "")),"")</f>
        <v/>
      </c>
      <c r="K134" s="40" t="str">
        <f ca="1">IFERROR(IF(AND(
  INDEX(Roadmap!$D:$K,MATCH($E134,Roadmap!$D:$D,0)+COUNTIF($E134:J134,"u")+COUNTIF($E134:J134,"t")+COUNTIF($E134:J134,"¶")+COUNTIF($E134:J134,"²")+COUNTIF($E134:J134,"µ")+COUNTIF($E134:J134,1),ColLivraison)=K$6,
  VLOOKUP($E134,INDIRECT("tri!"&amp; CHAR(64+ C0Col) &amp;":"&amp; CHAR(65+C0Col)),2,FALSE)&gt;COUNTIF($E134:J134,"u")+COUNTIF($E134:J134,"t")+COUNTIF($E134:J134,"¶")+COUNTIF($E134:J134,"²")+COUNTIF($E134:J134,"µ")+COUNTIF($E134:J134,1)),
HYPERLINK("#Roadmap!C"&amp; MATCH($E134,Roadmap!$D:$D,0)+COUNTIF($E134:J134,"u")+COUNTIF($E134:J134,"t"),
     INDEX(Roadmap!$D:$K,MATCH($E134,Roadmap!$D:$D,0)+COUNTIF($E134:J134,"u")+COUNTIF($E134:J134,"t")+COUNTIF($E134:J134,"¶")+COUNTIF($E134:J134,"²")+COUNTIF($E134:J134,"µ")+COUNTIF($E134:J134,1),ColTypeEcheance)),
  IF(LEN(J134)=1,
  IF(LEN(INDEX(Roadmap!$D:$K,MATCH($E134,Roadmap!$D:$D,0)-1+COUNTIF($E134:J134,"u")+COUNTIF($E134:J134,"t")+COUNTIF($E134:J134,"¶")+COUNTIF($E134:J134,"²")+COUNTIF($E134:J134,"µ")+COUNTIF($E134:J134,1),ColDescriptionCourte))&gt;1,
HYPERLINK("#Roadmap!C"&amp; MATCH($E134,Roadmap!$D:$D,0)+COUNTIF($E134:J134,"u")+COUNTIF($E134:J134,"t")+COUNTIF($E134:J134,"¶")+COUNTIF($E134:J134,"²")+COUNTIF($E134:J134,"µ")+COUNTIF($E134:J134,1)-1,INDEX(Roadmap!$D:$K,MATCH($E134,Roadmap!$D:$D,0)-1+COUNTIF($E134:J134,"u")+COUNTIF($E134:J134,"t")+COUNTIF($E134:J134,"¶")+COUNTIF($E134:J134,"²")+COUNTIF($E134:J134,"µ")+COUNTIF($E134:J134,1),ColDescriptionCourte)),""),
  "")),"")</f>
        <v/>
      </c>
      <c r="L134" s="39" t="str">
        <f ca="1">IFERROR(IF(AND(
  INDEX(Roadmap!$D:$K,MATCH($E134,Roadmap!$D:$D,0)+COUNTIF($E134:K134,"u")+COUNTIF($E134:K134,"t")+COUNTIF($E134:K134,"¶")+COUNTIF($E134:K134,"²")+COUNTIF($E134:K134,"µ")+COUNTIF($E134:K134,1),ColLivraison)=L$6,
  VLOOKUP($E134,INDIRECT("tri!"&amp; CHAR(64+ C0Col) &amp;":"&amp; CHAR(65+C0Col)),2,FALSE)&gt;COUNTIF($E134:K134,"u")+COUNTIF($E134:K134,"t")+COUNTIF($E134:K134,"¶")+COUNTIF($E134:K134,"²")+COUNTIF($E134:K134,"µ")+COUNTIF($E134:K134,1)),
HYPERLINK("#Roadmap!C"&amp; MATCH($E134,Roadmap!$D:$D,0)+COUNTIF($E134:K134,"u")+COUNTIF($E134:K134,"t"),
     INDEX(Roadmap!$D:$K,MATCH($E134,Roadmap!$D:$D,0)+COUNTIF($E134:K134,"u")+COUNTIF($E134:K134,"t")+COUNTIF($E134:K134,"¶")+COUNTIF($E134:K134,"²")+COUNTIF($E134:K134,"µ")+COUNTIF($E134:K134,1),ColTypeEcheance)),
  IF(LEN(K134)=1,
  IF(LEN(INDEX(Roadmap!$D:$K,MATCH($E134,Roadmap!$D:$D,0)-1+COUNTIF($E134:K134,"u")+COUNTIF($E134:K134,"t")+COUNTIF($E134:K134,"¶")+COUNTIF($E134:K134,"²")+COUNTIF($E134:K134,"µ")+COUNTIF($E134:K134,1),ColDescriptionCourte))&gt;1,
HYPERLINK("#Roadmap!C"&amp; MATCH($E134,Roadmap!$D:$D,0)+COUNTIF($E134:K134,"u")+COUNTIF($E134:K134,"t")+COUNTIF($E134:K134,"¶")+COUNTIF($E134:K134,"²")+COUNTIF($E134:K134,"µ")+COUNTIF($E134:K134,1)-1,INDEX(Roadmap!$D:$K,MATCH($E134,Roadmap!$D:$D,0)-1+COUNTIF($E134:K134,"u")+COUNTIF($E134:K134,"t")+COUNTIF($E134:K134,"¶")+COUNTIF($E134:K134,"²")+COUNTIF($E134:K134,"µ")+COUNTIF($E134:K134,1),ColDescriptionCourte)),""),
  "")),"")</f>
        <v/>
      </c>
      <c r="M134" s="40" t="str">
        <f ca="1">IFERROR(IF(AND(
  INDEX(Roadmap!$D:$K,MATCH($E134,Roadmap!$D:$D,0)+COUNTIF($E134:L134,"u")+COUNTIF($E134:L134,"t")+COUNTIF($E134:L134,"¶")+COUNTIF($E134:L134,"²")+COUNTIF($E134:L134,"µ")+COUNTIF($E134:L134,1),ColLivraison)=M$6,
  VLOOKUP($E134,INDIRECT("tri!"&amp; CHAR(64+ C0Col) &amp;":"&amp; CHAR(65+C0Col)),2,FALSE)&gt;COUNTIF($E134:L134,"u")+COUNTIF($E134:L134,"t")+COUNTIF($E134:L134,"¶")+COUNTIF($E134:L134,"²")+COUNTIF($E134:L134,"µ")+COUNTIF($E134:L134,1)),
HYPERLINK("#Roadmap!C"&amp; MATCH($E134,Roadmap!$D:$D,0)+COUNTIF($E134:L134,"u")+COUNTIF($E134:L134,"t"),
     INDEX(Roadmap!$D:$K,MATCH($E134,Roadmap!$D:$D,0)+COUNTIF($E134:L134,"u")+COUNTIF($E134:L134,"t")+COUNTIF($E134:L134,"¶")+COUNTIF($E134:L134,"²")+COUNTIF($E134:L134,"µ")+COUNTIF($E134:L134,1),ColTypeEcheance)),
  IF(LEN(L134)=1,
  IF(LEN(INDEX(Roadmap!$D:$K,MATCH($E134,Roadmap!$D:$D,0)-1+COUNTIF($E134:L134,"u")+COUNTIF($E134:L134,"t")+COUNTIF($E134:L134,"¶")+COUNTIF($E134:L134,"²")+COUNTIF($E134:L134,"µ")+COUNTIF($E134:L134,1),ColDescriptionCourte))&gt;1,
HYPERLINK("#Roadmap!C"&amp; MATCH($E134,Roadmap!$D:$D,0)+COUNTIF($E134:L134,"u")+COUNTIF($E134:L134,"t")+COUNTIF($E134:L134,"¶")+COUNTIF($E134:L134,"²")+COUNTIF($E134:L134,"µ")+COUNTIF($E134:L134,1)-1,INDEX(Roadmap!$D:$K,MATCH($E134,Roadmap!$D:$D,0)-1+COUNTIF($E134:L134,"u")+COUNTIF($E134:L134,"t")+COUNTIF($E134:L134,"¶")+COUNTIF($E134:L134,"²")+COUNTIF($E134:L134,"µ")+COUNTIF($E134:L134,1),ColDescriptionCourte)),""),
  "")),"")</f>
        <v/>
      </c>
      <c r="N134" s="40" t="str">
        <f ca="1">IFERROR(IF(AND(
  INDEX(Roadmap!$D:$K,MATCH($E134,Roadmap!$D:$D,0)+COUNTIF($E134:M134,"u")+COUNTIF($E134:M134,"t")+COUNTIF($E134:M134,"¶")+COUNTIF($E134:M134,"²")+COUNTIF($E134:M134,"µ")+COUNTIF($E134:M134,1),ColLivraison)=N$6,
  VLOOKUP($E134,INDIRECT("tri!"&amp; CHAR(64+ C0Col) &amp;":"&amp; CHAR(65+C0Col)),2,FALSE)&gt;COUNTIF($E134:M134,"u")+COUNTIF($E134:M134,"t")+COUNTIF($E134:M134,"¶")+COUNTIF($E134:M134,"²")+COUNTIF($E134:M134,"µ")+COUNTIF($E134:M134,1)),
HYPERLINK("#Roadmap!C"&amp; MATCH($E134,Roadmap!$D:$D,0)+COUNTIF($E134:M134,"u")+COUNTIF($E134:M134,"t"),
     INDEX(Roadmap!$D:$K,MATCH($E134,Roadmap!$D:$D,0)+COUNTIF($E134:M134,"u")+COUNTIF($E134:M134,"t")+COUNTIF($E134:M134,"¶")+COUNTIF($E134:M134,"²")+COUNTIF($E134:M134,"µ")+COUNTIF($E134:M134,1),ColTypeEcheance)),
  IF(LEN(M134)=1,
  IF(LEN(INDEX(Roadmap!$D:$K,MATCH($E134,Roadmap!$D:$D,0)-1+COUNTIF($E134:M134,"u")+COUNTIF($E134:M134,"t")+COUNTIF($E134:M134,"¶")+COUNTIF($E134:M134,"²")+COUNTIF($E134:M134,"µ")+COUNTIF($E134:M134,1),ColDescriptionCourte))&gt;1,
HYPERLINK("#Roadmap!C"&amp; MATCH($E134,Roadmap!$D:$D,0)+COUNTIF($E134:M134,"u")+COUNTIF($E134:M134,"t")+COUNTIF($E134:M134,"¶")+COUNTIF($E134:M134,"²")+COUNTIF($E134:M134,"µ")+COUNTIF($E134:M134,1)-1,INDEX(Roadmap!$D:$K,MATCH($E134,Roadmap!$D:$D,0)-1+COUNTIF($E134:M134,"u")+COUNTIF($E134:M134,"t")+COUNTIF($E134:M134,"¶")+COUNTIF($E134:M134,"²")+COUNTIF($E134:M134,"µ")+COUNTIF($E134:M134,1),ColDescriptionCourte)),""),
  "")),"")</f>
        <v/>
      </c>
      <c r="O134" s="40" t="str">
        <f ca="1">IFERROR(IF(AND(
  INDEX(Roadmap!$D:$K,MATCH($E134,Roadmap!$D:$D,0)+COUNTIF($E134:N134,"u")+COUNTIF($E134:N134,"t")+COUNTIF($E134:N134,"¶")+COUNTIF($E134:N134,"²")+COUNTIF($E134:N134,"µ")+COUNTIF($E134:N134,1),ColLivraison)=O$6,
  VLOOKUP($E134,INDIRECT("tri!"&amp; CHAR(64+ C0Col) &amp;":"&amp; CHAR(65+C0Col)),2,FALSE)&gt;COUNTIF($E134:N134,"u")+COUNTIF($E134:N134,"t")+COUNTIF($E134:N134,"¶")+COUNTIF($E134:N134,"²")+COUNTIF($E134:N134,"µ")+COUNTIF($E134:N134,1)),
HYPERLINK("#Roadmap!C"&amp; MATCH($E134,Roadmap!$D:$D,0)+COUNTIF($E134:N134,"u")+COUNTIF($E134:N134,"t"),
     INDEX(Roadmap!$D:$K,MATCH($E134,Roadmap!$D:$D,0)+COUNTIF($E134:N134,"u")+COUNTIF($E134:N134,"t")+COUNTIF($E134:N134,"¶")+COUNTIF($E134:N134,"²")+COUNTIF($E134:N134,"µ")+COUNTIF($E134:N134,1),ColTypeEcheance)),
  IF(LEN(N134)=1,
  IF(LEN(INDEX(Roadmap!$D:$K,MATCH($E134,Roadmap!$D:$D,0)-1+COUNTIF($E134:N134,"u")+COUNTIF($E134:N134,"t")+COUNTIF($E134:N134,"¶")+COUNTIF($E134:N134,"²")+COUNTIF($E134:N134,"µ")+COUNTIF($E134:N134,1),ColDescriptionCourte))&gt;1,
HYPERLINK("#Roadmap!C"&amp; MATCH($E134,Roadmap!$D:$D,0)+COUNTIF($E134:N134,"u")+COUNTIF($E134:N134,"t")+COUNTIF($E134:N134,"¶")+COUNTIF($E134:N134,"²")+COUNTIF($E134:N134,"µ")+COUNTIF($E134:N134,1)-1,INDEX(Roadmap!$D:$K,MATCH($E134,Roadmap!$D:$D,0)-1+COUNTIF($E134:N134,"u")+COUNTIF($E134:N134,"t")+COUNTIF($E134:N134,"¶")+COUNTIF($E134:N134,"²")+COUNTIF($E134:N134,"µ")+COUNTIF($E134:N134,1),ColDescriptionCourte)),""),
  "")),"")</f>
        <v/>
      </c>
      <c r="P134" s="40" t="str">
        <f ca="1">IFERROR(IF(AND(
  INDEX(Roadmap!$D:$K,MATCH($E134,Roadmap!$D:$D,0)+COUNTIF($E134:O134,"u")+COUNTIF($E134:O134,"t")+COUNTIF($E134:O134,"¶")+COUNTIF($E134:O134,"²")+COUNTIF($E134:O134,"µ")+COUNTIF($E134:O134,1),ColLivraison)=P$6,
  VLOOKUP($E134,INDIRECT("tri!"&amp; CHAR(64+ C0Col) &amp;":"&amp; CHAR(65+C0Col)),2,FALSE)&gt;COUNTIF($E134:O134,"u")+COUNTIF($E134:O134,"t")+COUNTIF($E134:O134,"¶")+COUNTIF($E134:O134,"²")+COUNTIF($E134:O134,"µ")+COUNTIF($E134:O134,1)),
HYPERLINK("#Roadmap!C"&amp; MATCH($E134,Roadmap!$D:$D,0)+COUNTIF($E134:O134,"u")+COUNTIF($E134:O134,"t"),
     INDEX(Roadmap!$D:$K,MATCH($E134,Roadmap!$D:$D,0)+COUNTIF($E134:O134,"u")+COUNTIF($E134:O134,"t")+COUNTIF($E134:O134,"¶")+COUNTIF($E134:O134,"²")+COUNTIF($E134:O134,"µ")+COUNTIF($E134:O134,1),ColTypeEcheance)),
  IF(LEN(O134)=1,
  IF(LEN(INDEX(Roadmap!$D:$K,MATCH($E134,Roadmap!$D:$D,0)-1+COUNTIF($E134:O134,"u")+COUNTIF($E134:O134,"t")+COUNTIF($E134:O134,"¶")+COUNTIF($E134:O134,"²")+COUNTIF($E134:O134,"µ")+COUNTIF($E134:O134,1),ColDescriptionCourte))&gt;1,
HYPERLINK("#Roadmap!C"&amp; MATCH($E134,Roadmap!$D:$D,0)+COUNTIF($E134:O134,"u")+COUNTIF($E134:O134,"t")+COUNTIF($E134:O134,"¶")+COUNTIF($E134:O134,"²")+COUNTIF($E134:O134,"µ")+COUNTIF($E134:O134,1)-1,INDEX(Roadmap!$D:$K,MATCH($E134,Roadmap!$D:$D,0)-1+COUNTIF($E134:O134,"u")+COUNTIF($E134:O134,"t")+COUNTIF($E134:O134,"¶")+COUNTIF($E134:O134,"²")+COUNTIF($E134:O134,"µ")+COUNTIF($E134:O134,1),ColDescriptionCourte)),""),
  "")),"")</f>
        <v/>
      </c>
      <c r="Q134" s="40" t="str">
        <f ca="1">IFERROR(IF(AND(
  INDEX(Roadmap!$D:$K,MATCH($E134,Roadmap!$D:$D,0)+COUNTIF($E134:P134,"u")+COUNTIF($E134:P134,"t")+COUNTIF($E134:P134,"¶")+COUNTIF($E134:P134,"²")+COUNTIF($E134:P134,"µ")+COUNTIF($E134:P134,1),ColLivraison)=Q$6,
  VLOOKUP($E134,INDIRECT("tri!"&amp; CHAR(64+ C0Col) &amp;":"&amp; CHAR(65+C0Col)),2,FALSE)&gt;COUNTIF($E134:P134,"u")+COUNTIF($E134:P134,"t")+COUNTIF($E134:P134,"¶")+COUNTIF($E134:P134,"²")+COUNTIF($E134:P134,"µ")+COUNTIF($E134:P134,1)),
HYPERLINK("#Roadmap!C"&amp; MATCH($E134,Roadmap!$D:$D,0)+COUNTIF($E134:P134,"u")+COUNTIF($E134:P134,"t"),
     INDEX(Roadmap!$D:$K,MATCH($E134,Roadmap!$D:$D,0)+COUNTIF($E134:P134,"u")+COUNTIF($E134:P134,"t")+COUNTIF($E134:P134,"¶")+COUNTIF($E134:P134,"²")+COUNTIF($E134:P134,"µ")+COUNTIF($E134:P134,1),ColTypeEcheance)),
  IF(LEN(P134)=1,
  IF(LEN(INDEX(Roadmap!$D:$K,MATCH($E134,Roadmap!$D:$D,0)-1+COUNTIF($E134:P134,"u")+COUNTIF($E134:P134,"t")+COUNTIF($E134:P134,"¶")+COUNTIF($E134:P134,"²")+COUNTIF($E134:P134,"µ")+COUNTIF($E134:P134,1),ColDescriptionCourte))&gt;1,
HYPERLINK("#Roadmap!C"&amp; MATCH($E134,Roadmap!$D:$D,0)+COUNTIF($E134:P134,"u")+COUNTIF($E134:P134,"t")+COUNTIF($E134:P134,"¶")+COUNTIF($E134:P134,"²")+COUNTIF($E134:P134,"µ")+COUNTIF($E134:P134,1)-1,INDEX(Roadmap!$D:$K,MATCH($E134,Roadmap!$D:$D,0)-1+COUNTIF($E134:P134,"u")+COUNTIF($E134:P134,"t")+COUNTIF($E134:P134,"¶")+COUNTIF($E134:P134,"²")+COUNTIF($E134:P134,"µ")+COUNTIF($E134:P134,1),ColDescriptionCourte)),""),
  "")),"")</f>
        <v/>
      </c>
      <c r="R134" s="40" t="str">
        <f ca="1">IFERROR(IF(AND(
  INDEX(Roadmap!$D:$K,MATCH($E134,Roadmap!$D:$D,0)+COUNTIF($E134:Q134,"u")+COUNTIF($E134:Q134,"t")+COUNTIF($E134:Q134,"¶")+COUNTIF($E134:Q134,"²")+COUNTIF($E134:Q134,"µ")+COUNTIF($E134:Q134,1),ColLivraison)=R$6,
  VLOOKUP($E134,INDIRECT("tri!"&amp; CHAR(64+ C0Col) &amp;":"&amp; CHAR(65+C0Col)),2,FALSE)&gt;COUNTIF($E134:Q134,"u")+COUNTIF($E134:Q134,"t")+COUNTIF($E134:Q134,"¶")+COUNTIF($E134:Q134,"²")+COUNTIF($E134:Q134,"µ")+COUNTIF($E134:Q134,1)),
HYPERLINK("#Roadmap!C"&amp; MATCH($E134,Roadmap!$D:$D,0)+COUNTIF($E134:Q134,"u")+COUNTIF($E134:Q134,"t"),
     INDEX(Roadmap!$D:$K,MATCH($E134,Roadmap!$D:$D,0)+COUNTIF($E134:Q134,"u")+COUNTIF($E134:Q134,"t")+COUNTIF($E134:Q134,"¶")+COUNTIF($E134:Q134,"²")+COUNTIF($E134:Q134,"µ")+COUNTIF($E134:Q134,1),ColTypeEcheance)),
  IF(LEN(Q134)=1,
  IF(LEN(INDEX(Roadmap!$D:$K,MATCH($E134,Roadmap!$D:$D,0)-1+COUNTIF($E134:Q134,"u")+COUNTIF($E134:Q134,"t")+COUNTIF($E134:Q134,"¶")+COUNTIF($E134:Q134,"²")+COUNTIF($E134:Q134,"µ")+COUNTIF($E134:Q134,1),ColDescriptionCourte))&gt;1,
HYPERLINK("#Roadmap!C"&amp; MATCH($E134,Roadmap!$D:$D,0)+COUNTIF($E134:Q134,"u")+COUNTIF($E134:Q134,"t")+COUNTIF($E134:Q134,"¶")+COUNTIF($E134:Q134,"²")+COUNTIF($E134:Q134,"µ")+COUNTIF($E134:Q134,1)-1,INDEX(Roadmap!$D:$K,MATCH($E134,Roadmap!$D:$D,0)-1+COUNTIF($E134:Q134,"u")+COUNTIF($E134:Q134,"t")+COUNTIF($E134:Q134,"¶")+COUNTIF($E134:Q134,"²")+COUNTIF($E134:Q134,"µ")+COUNTIF($E134:Q134,1),ColDescriptionCourte)),""),
  "")),"")</f>
        <v/>
      </c>
      <c r="S134" s="40" t="str">
        <f ca="1">IFERROR(IF(AND(
  INDEX(Roadmap!$D:$K,MATCH($E134,Roadmap!$D:$D,0)+COUNTIF($E134:R134,"u")+COUNTIF($E134:R134,"t")+COUNTIF($E134:R134,"¶")+COUNTIF($E134:R134,"²")+COUNTIF($E134:R134,"µ")+COUNTIF($E134:R134,1),ColLivraison)=S$6,
  VLOOKUP($E134,INDIRECT("tri!"&amp; CHAR(64+ C0Col) &amp;":"&amp; CHAR(65+C0Col)),2,FALSE)&gt;COUNTIF($E134:R134,"u")+COUNTIF($E134:R134,"t")+COUNTIF($E134:R134,"¶")+COUNTIF($E134:R134,"²")+COUNTIF($E134:R134,"µ")+COUNTIF($E134:R134,1)),
HYPERLINK("#Roadmap!C"&amp; MATCH($E134,Roadmap!$D:$D,0)+COUNTIF($E134:R134,"u")+COUNTIF($E134:R134,"t"),
     INDEX(Roadmap!$D:$K,MATCH($E134,Roadmap!$D:$D,0)+COUNTIF($E134:R134,"u")+COUNTIF($E134:R134,"t")+COUNTIF($E134:R134,"¶")+COUNTIF($E134:R134,"²")+COUNTIF($E134:R134,"µ")+COUNTIF($E134:R134,1),ColTypeEcheance)),
  IF(LEN(R134)=1,
  IF(LEN(INDEX(Roadmap!$D:$K,MATCH($E134,Roadmap!$D:$D,0)-1+COUNTIF($E134:R134,"u")+COUNTIF($E134:R134,"t")+COUNTIF($E134:R134,"¶")+COUNTIF($E134:R134,"²")+COUNTIF($E134:R134,"µ")+COUNTIF($E134:R134,1),ColDescriptionCourte))&gt;1,
HYPERLINK("#Roadmap!C"&amp; MATCH($E134,Roadmap!$D:$D,0)+COUNTIF($E134:R134,"u")+COUNTIF($E134:R134,"t")+COUNTIF($E134:R134,"¶")+COUNTIF($E134:R134,"²")+COUNTIF($E134:R134,"µ")+COUNTIF($E134:R134,1)-1,INDEX(Roadmap!$D:$K,MATCH($E134,Roadmap!$D:$D,0)-1+COUNTIF($E134:R134,"u")+COUNTIF($E134:R134,"t")+COUNTIF($E134:R134,"¶")+COUNTIF($E134:R134,"²")+COUNTIF($E134:R134,"µ")+COUNTIF($E134:R134,1),ColDescriptionCourte)),""),
  "")),"")</f>
        <v/>
      </c>
      <c r="T134" s="40" t="str">
        <f ca="1">IFERROR(IF(AND(
  INDEX(Roadmap!$D:$K,MATCH($E134,Roadmap!$D:$D,0)+COUNTIF($E134:S134,"u")+COUNTIF($E134:S134,"t")+COUNTIF($E134:S134,"¶")+COUNTIF($E134:S134,"²")+COUNTIF($E134:S134,"µ")+COUNTIF($E134:S134,1),ColLivraison)=T$6,
  VLOOKUP($E134,INDIRECT("tri!"&amp; CHAR(64+ C0Col) &amp;":"&amp; CHAR(65+C0Col)),2,FALSE)&gt;COUNTIF($E134:S134,"u")+COUNTIF($E134:S134,"t")+COUNTIF($E134:S134,"¶")+COUNTIF($E134:S134,"²")+COUNTIF($E134:S134,"µ")+COUNTIF($E134:S134,1)),
HYPERLINK("#Roadmap!C"&amp; MATCH($E134,Roadmap!$D:$D,0)+COUNTIF($E134:S134,"u")+COUNTIF($E134:S134,"t"),
     INDEX(Roadmap!$D:$K,MATCH($E134,Roadmap!$D:$D,0)+COUNTIF($E134:S134,"u")+COUNTIF($E134:S134,"t")+COUNTIF($E134:S134,"¶")+COUNTIF($E134:S134,"²")+COUNTIF($E134:S134,"µ")+COUNTIF($E134:S134,1),ColTypeEcheance)),
  IF(LEN(S134)=1,
  IF(LEN(INDEX(Roadmap!$D:$K,MATCH($E134,Roadmap!$D:$D,0)-1+COUNTIF($E134:S134,"u")+COUNTIF($E134:S134,"t")+COUNTIF($E134:S134,"¶")+COUNTIF($E134:S134,"²")+COUNTIF($E134:S134,"µ")+COUNTIF($E134:S134,1),ColDescriptionCourte))&gt;1,
HYPERLINK("#Roadmap!C"&amp; MATCH($E134,Roadmap!$D:$D,0)+COUNTIF($E134:S134,"u")+COUNTIF($E134:S134,"t")+COUNTIF($E134:S134,"¶")+COUNTIF($E134:S134,"²")+COUNTIF($E134:S134,"µ")+COUNTIF($E134:S134,1)-1,INDEX(Roadmap!$D:$K,MATCH($E134,Roadmap!$D:$D,0)-1+COUNTIF($E134:S134,"u")+COUNTIF($E134:S134,"t")+COUNTIF($E134:S134,"¶")+COUNTIF($E134:S134,"²")+COUNTIF($E134:S134,"µ")+COUNTIF($E134:S134,1),ColDescriptionCourte)),""),
  "")),"")</f>
        <v/>
      </c>
      <c r="U134" s="40" t="str">
        <f ca="1">IFERROR(IF(AND(
  INDEX(Roadmap!$D:$K,MATCH($E134,Roadmap!$D:$D,0)+COUNTIF($E134:T134,"u")+COUNTIF($E134:T134,"t")+COUNTIF($E134:T134,"¶")+COUNTIF($E134:T134,"²")+COUNTIF($E134:T134,"µ")+COUNTIF($E134:T134,1),ColLivraison)=U$6,
  VLOOKUP($E134,INDIRECT("tri!"&amp; CHAR(64+ C0Col) &amp;":"&amp; CHAR(65+C0Col)),2,FALSE)&gt;COUNTIF($E134:T134,"u")+COUNTIF($E134:T134,"t")+COUNTIF($E134:T134,"¶")+COUNTIF($E134:T134,"²")+COUNTIF($E134:T134,"µ")+COUNTIF($E134:T134,1)),
HYPERLINK("#Roadmap!C"&amp; MATCH($E134,Roadmap!$D:$D,0)+COUNTIF($E134:T134,"u")+COUNTIF($E134:T134,"t"),
     INDEX(Roadmap!$D:$K,MATCH($E134,Roadmap!$D:$D,0)+COUNTIF($E134:T134,"u")+COUNTIF($E134:T134,"t")+COUNTIF($E134:T134,"¶")+COUNTIF($E134:T134,"²")+COUNTIF($E134:T134,"µ")+COUNTIF($E134:T134,1),ColTypeEcheance)),
  IF(LEN(T134)=1,
  IF(LEN(INDEX(Roadmap!$D:$K,MATCH($E134,Roadmap!$D:$D,0)-1+COUNTIF($E134:T134,"u")+COUNTIF($E134:T134,"t")+COUNTIF($E134:T134,"¶")+COUNTIF($E134:T134,"²")+COUNTIF($E134:T134,"µ")+COUNTIF($E134:T134,1),ColDescriptionCourte))&gt;1,
HYPERLINK("#Roadmap!C"&amp; MATCH($E134,Roadmap!$D:$D,0)+COUNTIF($E134:T134,"u")+COUNTIF($E134:T134,"t")+COUNTIF($E134:T134,"¶")+COUNTIF($E134:T134,"²")+COUNTIF($E134:T134,"µ")+COUNTIF($E134:T134,1)-1,INDEX(Roadmap!$D:$K,MATCH($E134,Roadmap!$D:$D,0)-1+COUNTIF($E134:T134,"u")+COUNTIF($E134:T134,"t")+COUNTIF($E134:T134,"¶")+COUNTIF($E134:T134,"²")+COUNTIF($E134:T134,"µ")+COUNTIF($E134:T134,1),ColDescriptionCourte)),""),
  "")),"")</f>
        <v/>
      </c>
      <c r="V134" s="40" t="str">
        <f ca="1">IFERROR(IF(AND(
  INDEX(Roadmap!$D:$K,MATCH($E134,Roadmap!$D:$D,0)+COUNTIF($E134:U134,"u")+COUNTIF($E134:U134,"t")+COUNTIF($E134:U134,"¶")+COUNTIF($E134:U134,"²")+COUNTIF($E134:U134,"µ")+COUNTIF($E134:U134,1),ColLivraison)=V$6,
  VLOOKUP($E134,INDIRECT("tri!"&amp; CHAR(64+ C0Col) &amp;":"&amp; CHAR(65+C0Col)),2,FALSE)&gt;COUNTIF($E134:U134,"u")+COUNTIF($E134:U134,"t")+COUNTIF($E134:U134,"¶")+COUNTIF($E134:U134,"²")+COUNTIF($E134:U134,"µ")+COUNTIF($E134:U134,1)),
HYPERLINK("#Roadmap!C"&amp; MATCH($E134,Roadmap!$D:$D,0)+COUNTIF($E134:U134,"u")+COUNTIF($E134:U134,"t"),
     INDEX(Roadmap!$D:$K,MATCH($E134,Roadmap!$D:$D,0)+COUNTIF($E134:U134,"u")+COUNTIF($E134:U134,"t")+COUNTIF($E134:U134,"¶")+COUNTIF($E134:U134,"²")+COUNTIF($E134:U134,"µ")+COUNTIF($E134:U134,1),ColTypeEcheance)),
  IF(LEN(U134)=1,
  IF(LEN(INDEX(Roadmap!$D:$K,MATCH($E134,Roadmap!$D:$D,0)-1+COUNTIF($E134:U134,"u")+COUNTIF($E134:U134,"t")+COUNTIF($E134:U134,"¶")+COUNTIF($E134:U134,"²")+COUNTIF($E134:U134,"µ")+COUNTIF($E134:U134,1),ColDescriptionCourte))&gt;1,
HYPERLINK("#Roadmap!C"&amp; MATCH($E134,Roadmap!$D:$D,0)+COUNTIF($E134:U134,"u")+COUNTIF($E134:U134,"t")+COUNTIF($E134:U134,"¶")+COUNTIF($E134:U134,"²")+COUNTIF($E134:U134,"µ")+COUNTIF($E134:U134,1)-1,INDEX(Roadmap!$D:$K,MATCH($E134,Roadmap!$D:$D,0)-1+COUNTIF($E134:U134,"u")+COUNTIF($E134:U134,"t")+COUNTIF($E134:U134,"¶")+COUNTIF($E134:U134,"²")+COUNTIF($E134:U134,"µ")+COUNTIF($E134:U134,1),ColDescriptionCourte)),""),
  "")),"")</f>
        <v/>
      </c>
      <c r="W134" s="40" t="str">
        <f ca="1">IFERROR(IF(AND(
  INDEX(Roadmap!$D:$K,MATCH($E134,Roadmap!$D:$D,0)+COUNTIF($E134:V134,"u")+COUNTIF($E134:V134,"t")+COUNTIF($E134:V134,"¶")+COUNTIF($E134:V134,"²")+COUNTIF($E134:V134,"µ")+COUNTIF($E134:V134,1),ColLivraison)=W$6,
  VLOOKUP($E134,INDIRECT("tri!"&amp; CHAR(64+ C0Col) &amp;":"&amp; CHAR(65+C0Col)),2,FALSE)&gt;COUNTIF($E134:V134,"u")+COUNTIF($E134:V134,"t")+COUNTIF($E134:V134,"¶")+COUNTIF($E134:V134,"²")+COUNTIF($E134:V134,"µ")+COUNTIF($E134:V134,1)),
HYPERLINK("#Roadmap!C"&amp; MATCH($E134,Roadmap!$D:$D,0)+COUNTIF($E134:V134,"u")+COUNTIF($E134:V134,"t"),
     INDEX(Roadmap!$D:$K,MATCH($E134,Roadmap!$D:$D,0)+COUNTIF($E134:V134,"u")+COUNTIF($E134:V134,"t")+COUNTIF($E134:V134,"¶")+COUNTIF($E134:V134,"²")+COUNTIF($E134:V134,"µ")+COUNTIF($E134:V134,1),ColTypeEcheance)),
  IF(LEN(V134)=1,
  IF(LEN(INDEX(Roadmap!$D:$K,MATCH($E134,Roadmap!$D:$D,0)-1+COUNTIF($E134:V134,"u")+COUNTIF($E134:V134,"t")+COUNTIF($E134:V134,"¶")+COUNTIF($E134:V134,"²")+COUNTIF($E134:V134,"µ")+COUNTIF($E134:V134,1),ColDescriptionCourte))&gt;1,
HYPERLINK("#Roadmap!C"&amp; MATCH($E134,Roadmap!$D:$D,0)+COUNTIF($E134:V134,"u")+COUNTIF($E134:V134,"t")+COUNTIF($E134:V134,"¶")+COUNTIF($E134:V134,"²")+COUNTIF($E134:V134,"µ")+COUNTIF($E134:V134,1)-1,INDEX(Roadmap!$D:$K,MATCH($E134,Roadmap!$D:$D,0)-1+COUNTIF($E134:V134,"u")+COUNTIF($E134:V134,"t")+COUNTIF($E134:V134,"¶")+COUNTIF($E134:V134,"²")+COUNTIF($E134:V134,"µ")+COUNTIF($E134:V134,1),ColDescriptionCourte)),""),
  "")),"")</f>
        <v/>
      </c>
      <c r="X134" s="40" t="str">
        <f ca="1">IFERROR(IF(AND(
  INDEX(Roadmap!$D:$K,MATCH($E134,Roadmap!$D:$D,0)+COUNTIF($E134:W134,"u")+COUNTIF($E134:W134,"t")+COUNTIF($E134:W134,"¶")+COUNTIF($E134:W134,"²")+COUNTIF($E134:W134,"µ")+COUNTIF($E134:W134,1),ColLivraison)=X$6,
  VLOOKUP($E134,INDIRECT("tri!"&amp; CHAR(64+ C0Col) &amp;":"&amp; CHAR(65+C0Col)),2,FALSE)&gt;COUNTIF($E134:W134,"u")+COUNTIF($E134:W134,"t")+COUNTIF($E134:W134,"¶")+COUNTIF($E134:W134,"²")+COUNTIF($E134:W134,"µ")+COUNTIF($E134:W134,1)),
HYPERLINK("#Roadmap!C"&amp; MATCH($E134,Roadmap!$D:$D,0)+COUNTIF($E134:W134,"u")+COUNTIF($E134:W134,"t"),
     INDEX(Roadmap!$D:$K,MATCH($E134,Roadmap!$D:$D,0)+COUNTIF($E134:W134,"u")+COUNTIF($E134:W134,"t")+COUNTIF($E134:W134,"¶")+COUNTIF($E134:W134,"²")+COUNTIF($E134:W134,"µ")+COUNTIF($E134:W134,1),ColTypeEcheance)),
  IF(LEN(W134)=1,
  IF(LEN(INDEX(Roadmap!$D:$K,MATCH($E134,Roadmap!$D:$D,0)-1+COUNTIF($E134:W134,"u")+COUNTIF($E134:W134,"t")+COUNTIF($E134:W134,"¶")+COUNTIF($E134:W134,"²")+COUNTIF($E134:W134,"µ")+COUNTIF($E134:W134,1),ColDescriptionCourte))&gt;1,
HYPERLINK("#Roadmap!C"&amp; MATCH($E134,Roadmap!$D:$D,0)+COUNTIF($E134:W134,"u")+COUNTIF($E134:W134,"t")+COUNTIF($E134:W134,"¶")+COUNTIF($E134:W134,"²")+COUNTIF($E134:W134,"µ")+COUNTIF($E134:W134,1)-1,INDEX(Roadmap!$D:$K,MATCH($E134,Roadmap!$D:$D,0)-1+COUNTIF($E134:W134,"u")+COUNTIF($E134:W134,"t")+COUNTIF($E134:W134,"¶")+COUNTIF($E134:W134,"²")+COUNTIF($E134:W134,"µ")+COUNTIF($E134:W134,1),ColDescriptionCourte)),""),
  "")),"")</f>
        <v/>
      </c>
      <c r="Y134" s="40" t="str">
        <f ca="1">IFERROR(IF(AND(
  INDEX(Roadmap!$D:$K,MATCH($E134,Roadmap!$D:$D,0)+COUNTIF($E134:X134,"u")+COUNTIF($E134:X134,"t")+COUNTIF($E134:X134,"¶")+COUNTIF($E134:X134,"²")+COUNTIF($E134:X134,"µ")+COUNTIF($E134:X134,1),ColLivraison)=Y$6,
  VLOOKUP($E134,INDIRECT("tri!"&amp; CHAR(64+ C0Col) &amp;":"&amp; CHAR(65+C0Col)),2,FALSE)&gt;COUNTIF($E134:X134,"u")+COUNTIF($E134:X134,"t")+COUNTIF($E134:X134,"¶")+COUNTIF($E134:X134,"²")+COUNTIF($E134:X134,"µ")+COUNTIF($E134:X134,1)),
HYPERLINK("#Roadmap!C"&amp; MATCH($E134,Roadmap!$D:$D,0)+COUNTIF($E134:X134,"u")+COUNTIF($E134:X134,"t"),
     INDEX(Roadmap!$D:$K,MATCH($E134,Roadmap!$D:$D,0)+COUNTIF($E134:X134,"u")+COUNTIF($E134:X134,"t")+COUNTIF($E134:X134,"¶")+COUNTIF($E134:X134,"²")+COUNTIF($E134:X134,"µ")+COUNTIF($E134:X134,1),ColTypeEcheance)),
  IF(LEN(X134)=1,
  IF(LEN(INDEX(Roadmap!$D:$K,MATCH($E134,Roadmap!$D:$D,0)-1+COUNTIF($E134:X134,"u")+COUNTIF($E134:X134,"t")+COUNTIF($E134:X134,"¶")+COUNTIF($E134:X134,"²")+COUNTIF($E134:X134,"µ")+COUNTIF($E134:X134,1),ColDescriptionCourte))&gt;1,
HYPERLINK("#Roadmap!C"&amp; MATCH($E134,Roadmap!$D:$D,0)+COUNTIF($E134:X134,"u")+COUNTIF($E134:X134,"t")+COUNTIF($E134:X134,"¶")+COUNTIF($E134:X134,"²")+COUNTIF($E134:X134,"µ")+COUNTIF($E134:X134,1)-1,INDEX(Roadmap!$D:$K,MATCH($E134,Roadmap!$D:$D,0)-1+COUNTIF($E134:X134,"u")+COUNTIF($E134:X134,"t")+COUNTIF($E134:X134,"¶")+COUNTIF($E134:X134,"²")+COUNTIF($E134:X134,"µ")+COUNTIF($E134:X134,1),ColDescriptionCourte)),""),
  "")),"")</f>
        <v/>
      </c>
      <c r="Z134" s="40" t="str">
        <f ca="1">IFERROR(IF(AND(
  INDEX(Roadmap!$D:$K,MATCH($E134,Roadmap!$D:$D,0)+COUNTIF($E134:Y134,"u")+COUNTIF($E134:Y134,"t")+COUNTIF($E134:Y134,"¶")+COUNTIF($E134:Y134,"²")+COUNTIF($E134:Y134,"µ")+COUNTIF($E134:Y134,1),ColLivraison)=Z$6,
  VLOOKUP($E134,INDIRECT("tri!"&amp; CHAR(64+ C0Col) &amp;":"&amp; CHAR(65+C0Col)),2,FALSE)&gt;COUNTIF($E134:Y134,"u")+COUNTIF($E134:Y134,"t")+COUNTIF($E134:Y134,"¶")+COUNTIF($E134:Y134,"²")+COUNTIF($E134:Y134,"µ")+COUNTIF($E134:Y134,1)),
HYPERLINK("#Roadmap!C"&amp; MATCH($E134,Roadmap!$D:$D,0)+COUNTIF($E134:Y134,"u")+COUNTIF($E134:Y134,"t"),
     INDEX(Roadmap!$D:$K,MATCH($E134,Roadmap!$D:$D,0)+COUNTIF($E134:Y134,"u")+COUNTIF($E134:Y134,"t")+COUNTIF($E134:Y134,"¶")+COUNTIF($E134:Y134,"²")+COUNTIF($E134:Y134,"µ")+COUNTIF($E134:Y134,1),ColTypeEcheance)),
  IF(LEN(Y134)=1,
  IF(LEN(INDEX(Roadmap!$D:$K,MATCH($E134,Roadmap!$D:$D,0)-1+COUNTIF($E134:Y134,"u")+COUNTIF($E134:Y134,"t")+COUNTIF($E134:Y134,"¶")+COUNTIF($E134:Y134,"²")+COUNTIF($E134:Y134,"µ")+COUNTIF($E134:Y134,1),ColDescriptionCourte))&gt;1,
HYPERLINK("#Roadmap!C"&amp; MATCH($E134,Roadmap!$D:$D,0)+COUNTIF($E134:Y134,"u")+COUNTIF($E134:Y134,"t")+COUNTIF($E134:Y134,"¶")+COUNTIF($E134:Y134,"²")+COUNTIF($E134:Y134,"µ")+COUNTIF($E134:Y134,1)-1,INDEX(Roadmap!$D:$K,MATCH($E134,Roadmap!$D:$D,0)-1+COUNTIF($E134:Y134,"u")+COUNTIF($E134:Y134,"t")+COUNTIF($E134:Y134,"¶")+COUNTIF($E134:Y134,"²")+COUNTIF($E134:Y134,"µ")+COUNTIF($E134:Y134,1),ColDescriptionCourte)),""),
  "")),"")</f>
        <v/>
      </c>
      <c r="AA134" s="40" t="str">
        <f ca="1">IFERROR(IF(AND(
  INDEX(Roadmap!$D:$K,MATCH($E134,Roadmap!$D:$D,0)+COUNTIF($E134:Z134,"u")+COUNTIF($E134:Z134,"t")+COUNTIF($E134:Z134,"¶")+COUNTIF($E134:Z134,"²")+COUNTIF($E134:Z134,"µ")+COUNTIF($E134:Z134,1),ColLivraison)=AA$6,
  VLOOKUP($E134,INDIRECT("tri!"&amp; CHAR(64+ C0Col) &amp;":"&amp; CHAR(65+C0Col)),2,FALSE)&gt;COUNTIF($E134:Z134,"u")+COUNTIF($E134:Z134,"t")+COUNTIF($E134:Z134,"¶")+COUNTIF($E134:Z134,"²")+COUNTIF($E134:Z134,"µ")+COUNTIF($E134:Z134,1)),
HYPERLINK("#Roadmap!C"&amp; MATCH($E134,Roadmap!$D:$D,0)+COUNTIF($E134:Z134,"u")+COUNTIF($E134:Z134,"t"),
     INDEX(Roadmap!$D:$K,MATCH($E134,Roadmap!$D:$D,0)+COUNTIF($E134:Z134,"u")+COUNTIF($E134:Z134,"t")+COUNTIF($E134:Z134,"¶")+COUNTIF($E134:Z134,"²")+COUNTIF($E134:Z134,"µ")+COUNTIF($E134:Z134,1),ColTypeEcheance)),
  IF(LEN(Z134)=1,
  IF(LEN(INDEX(Roadmap!$D:$K,MATCH($E134,Roadmap!$D:$D,0)-1+COUNTIF($E134:Z134,"u")+COUNTIF($E134:Z134,"t")+COUNTIF($E134:Z134,"¶")+COUNTIF($E134:Z134,"²")+COUNTIF($E134:Z134,"µ")+COUNTIF($E134:Z134,1),ColDescriptionCourte))&gt;1,
HYPERLINK("#Roadmap!C"&amp; MATCH($E134,Roadmap!$D:$D,0)+COUNTIF($E134:Z134,"u")+COUNTIF($E134:Z134,"t")+COUNTIF($E134:Z134,"¶")+COUNTIF($E134:Z134,"²")+COUNTIF($E134:Z134,"µ")+COUNTIF($E134:Z134,1)-1,INDEX(Roadmap!$D:$K,MATCH($E134,Roadmap!$D:$D,0)-1+COUNTIF($E134:Z134,"u")+COUNTIF($E134:Z134,"t")+COUNTIF($E134:Z134,"¶")+COUNTIF($E134:Z134,"²")+COUNTIF($E134:Z134,"µ")+COUNTIF($E134:Z134,1),ColDescriptionCourte)),""),
  "")),"")</f>
        <v/>
      </c>
      <c r="AB134" s="40" t="str">
        <f ca="1">IFERROR(IF(AND(
  INDEX(Roadmap!$D:$K,MATCH($E134,Roadmap!$D:$D,0)+COUNTIF($E134:AA134,"u")+COUNTIF($E134:AA134,"t")+COUNTIF($E134:AA134,"¶")+COUNTIF($E134:AA134,"²")+COUNTIF($E134:AA134,"µ")+COUNTIF($E134:AA134,1),ColLivraison)=AB$6,
  VLOOKUP($E134,INDIRECT("tri!"&amp; CHAR(64+ C0Col) &amp;":"&amp; CHAR(65+C0Col)),2,FALSE)&gt;COUNTIF($E134:AA134,"u")+COUNTIF($E134:AA134,"t")+COUNTIF($E134:AA134,"¶")+COUNTIF($E134:AA134,"²")+COUNTIF($E134:AA134,"µ")+COUNTIF($E134:AA134,1)),
HYPERLINK("#Roadmap!C"&amp; MATCH($E134,Roadmap!$D:$D,0)+COUNTIF($E134:AA134,"u")+COUNTIF($E134:AA134,"t"),
     INDEX(Roadmap!$D:$K,MATCH($E134,Roadmap!$D:$D,0)+COUNTIF($E134:AA134,"u")+COUNTIF($E134:AA134,"t")+COUNTIF($E134:AA134,"¶")+COUNTIF($E134:AA134,"²")+COUNTIF($E134:AA134,"µ")+COUNTIF($E134:AA134,1),ColTypeEcheance)),
  IF(LEN(AA134)=1,
  IF(LEN(INDEX(Roadmap!$D:$K,MATCH($E134,Roadmap!$D:$D,0)-1+COUNTIF($E134:AA134,"u")+COUNTIF($E134:AA134,"t")+COUNTIF($E134:AA134,"¶")+COUNTIF($E134:AA134,"²")+COUNTIF($E134:AA134,"µ")+COUNTIF($E134:AA134,1),ColDescriptionCourte))&gt;1,
HYPERLINK("#Roadmap!C"&amp; MATCH($E134,Roadmap!$D:$D,0)+COUNTIF($E134:AA134,"u")+COUNTIF($E134:AA134,"t")+COUNTIF($E134:AA134,"¶")+COUNTIF($E134:AA134,"²")+COUNTIF($E134:AA134,"µ")+COUNTIF($E134:AA134,1)-1,INDEX(Roadmap!$D:$K,MATCH($E134,Roadmap!$D:$D,0)-1+COUNTIF($E134:AA134,"u")+COUNTIF($E134:AA134,"t")+COUNTIF($E134:AA134,"¶")+COUNTIF($E134:AA134,"²")+COUNTIF($E134:AA134,"µ")+COUNTIF($E134:AA134,1),ColDescriptionCourte)),""),
  "")),"")</f>
        <v/>
      </c>
      <c r="AC134" s="40" t="str">
        <f ca="1">IFERROR(IF(AND(
  INDEX(Roadmap!$D:$K,MATCH($E134,Roadmap!$D:$D,0)+COUNTIF($E134:AB134,"u")+COUNTIF($E134:AB134,"t")+COUNTIF($E134:AB134,"¶")+COUNTIF($E134:AB134,"²")+COUNTIF($E134:AB134,"µ")+COUNTIF($E134:AB134,1),ColLivraison)=AC$6,
  VLOOKUP($E134,INDIRECT("tri!"&amp; CHAR(64+ C0Col) &amp;":"&amp; CHAR(65+C0Col)),2,FALSE)&gt;COUNTIF($E134:AB134,"u")+COUNTIF($E134:AB134,"t")+COUNTIF($E134:AB134,"¶")+COUNTIF($E134:AB134,"²")+COUNTIF($E134:AB134,"µ")+COUNTIF($E134:AB134,1)),
HYPERLINK("#Roadmap!C"&amp; MATCH($E134,Roadmap!$D:$D,0)+COUNTIF($E134:AB134,"u")+COUNTIF($E134:AB134,"t"),
     INDEX(Roadmap!$D:$K,MATCH($E134,Roadmap!$D:$D,0)+COUNTIF($E134:AB134,"u")+COUNTIF($E134:AB134,"t")+COUNTIF($E134:AB134,"¶")+COUNTIF($E134:AB134,"²")+COUNTIF($E134:AB134,"µ")+COUNTIF($E134:AB134,1),ColTypeEcheance)),
  IF(LEN(AB134)=1,
  IF(LEN(INDEX(Roadmap!$D:$K,MATCH($E134,Roadmap!$D:$D,0)-1+COUNTIF($E134:AB134,"u")+COUNTIF($E134:AB134,"t")+COUNTIF($E134:AB134,"¶")+COUNTIF($E134:AB134,"²")+COUNTIF($E134:AB134,"µ")+COUNTIF($E134:AB134,1),ColDescriptionCourte))&gt;1,
HYPERLINK("#Roadmap!C"&amp; MATCH($E134,Roadmap!$D:$D,0)+COUNTIF($E134:AB134,"u")+COUNTIF($E134:AB134,"t")+COUNTIF($E134:AB134,"¶")+COUNTIF($E134:AB134,"²")+COUNTIF($E134:AB134,"µ")+COUNTIF($E134:AB134,1)-1,INDEX(Roadmap!$D:$K,MATCH($E134,Roadmap!$D:$D,0)-1+COUNTIF($E134:AB134,"u")+COUNTIF($E134:AB134,"t")+COUNTIF($E134:AB134,"¶")+COUNTIF($E134:AB134,"²")+COUNTIF($E134:AB134,"µ")+COUNTIF($E134:AB134,1),ColDescriptionCourte)),""),
  "")),"")</f>
        <v/>
      </c>
      <c r="AD134" s="40" t="str">
        <f ca="1">IFERROR(IF(AND(
  INDEX(Roadmap!$D:$K,MATCH($E134,Roadmap!$D:$D,0)+COUNTIF($E134:AC134,"u")+COUNTIF($E134:AC134,"t")+COUNTIF($E134:AC134,"¶")+COUNTIF($E134:AC134,"²")+COUNTIF($E134:AC134,"µ")+COUNTIF($E134:AC134,1),ColLivraison)=AD$6,
  VLOOKUP($E134,INDIRECT("tri!"&amp; CHAR(64+ C0Col) &amp;":"&amp; CHAR(65+C0Col)),2,FALSE)&gt;COUNTIF($E134:AC134,"u")+COUNTIF($E134:AC134,"t")+COUNTIF($E134:AC134,"¶")+COUNTIF($E134:AC134,"²")+COUNTIF($E134:AC134,"µ")+COUNTIF($E134:AC134,1)),
HYPERLINK("#Roadmap!C"&amp; MATCH($E134,Roadmap!$D:$D,0)+COUNTIF($E134:AC134,"u")+COUNTIF($E134:AC134,"t"),
     INDEX(Roadmap!$D:$K,MATCH($E134,Roadmap!$D:$D,0)+COUNTIF($E134:AC134,"u")+COUNTIF($E134:AC134,"t")+COUNTIF($E134:AC134,"¶")+COUNTIF($E134:AC134,"²")+COUNTIF($E134:AC134,"µ")+COUNTIF($E134:AC134,1),ColTypeEcheance)),
  IF(LEN(AC134)=1,
  IF(LEN(INDEX(Roadmap!$D:$K,MATCH($E134,Roadmap!$D:$D,0)-1+COUNTIF($E134:AC134,"u")+COUNTIF($E134:AC134,"t")+COUNTIF($E134:AC134,"¶")+COUNTIF($E134:AC134,"²")+COUNTIF($E134:AC134,"µ")+COUNTIF($E134:AC134,1),ColDescriptionCourte))&gt;1,
HYPERLINK("#Roadmap!C"&amp; MATCH($E134,Roadmap!$D:$D,0)+COUNTIF($E134:AC134,"u")+COUNTIF($E134:AC134,"t")+COUNTIF($E134:AC134,"¶")+COUNTIF($E134:AC134,"²")+COUNTIF($E134:AC134,"µ")+COUNTIF($E134:AC134,1)-1,INDEX(Roadmap!$D:$K,MATCH($E134,Roadmap!$D:$D,0)-1+COUNTIF($E134:AC134,"u")+COUNTIF($E134:AC134,"t")+COUNTIF($E134:AC134,"¶")+COUNTIF($E134:AC134,"²")+COUNTIF($E134:AC134,"µ")+COUNTIF($E134:AC134,1),ColDescriptionCourte)),""),
  "")),"")</f>
        <v/>
      </c>
      <c r="AE134" s="40" t="str">
        <f ca="1">IFERROR(IF(AND(
  INDEX(Roadmap!$D:$K,MATCH($E134,Roadmap!$D:$D,0)+COUNTIF($E134:AD134,"u")+COUNTIF($E134:AD134,"t")+COUNTIF($E134:AD134,"¶")+COUNTIF($E134:AD134,"²")+COUNTIF($E134:AD134,"µ")+COUNTIF($E134:AD134,1),ColLivraison)=AE$6,
  VLOOKUP($E134,INDIRECT("tri!"&amp; CHAR(64+ C0Col) &amp;":"&amp; CHAR(65+C0Col)),2,FALSE)&gt;COUNTIF($E134:AD134,"u")+COUNTIF($E134:AD134,"t")+COUNTIF($E134:AD134,"¶")+COUNTIF($E134:AD134,"²")+COUNTIF($E134:AD134,"µ")+COUNTIF($E134:AD134,1)),
HYPERLINK("#Roadmap!C"&amp; MATCH($E134,Roadmap!$D:$D,0)+COUNTIF($E134:AD134,"u")+COUNTIF($E134:AD134,"t"),
     INDEX(Roadmap!$D:$K,MATCH($E134,Roadmap!$D:$D,0)+COUNTIF($E134:AD134,"u")+COUNTIF($E134:AD134,"t")+COUNTIF($E134:AD134,"¶")+COUNTIF($E134:AD134,"²")+COUNTIF($E134:AD134,"µ")+COUNTIF($E134:AD134,1),ColTypeEcheance)),
  IF(LEN(AD134)=1,
  IF(LEN(INDEX(Roadmap!$D:$K,MATCH($E134,Roadmap!$D:$D,0)-1+COUNTIF($E134:AD134,"u")+COUNTIF($E134:AD134,"t")+COUNTIF($E134:AD134,"¶")+COUNTIF($E134:AD134,"²")+COUNTIF($E134:AD134,"µ")+COUNTIF($E134:AD134,1),ColDescriptionCourte))&gt;1,
HYPERLINK("#Roadmap!C"&amp; MATCH($E134,Roadmap!$D:$D,0)+COUNTIF($E134:AD134,"u")+COUNTIF($E134:AD134,"t")+COUNTIF($E134:AD134,"¶")+COUNTIF($E134:AD134,"²")+COUNTIF($E134:AD134,"µ")+COUNTIF($E134:AD134,1)-1,INDEX(Roadmap!$D:$K,MATCH($E134,Roadmap!$D:$D,0)-1+COUNTIF($E134:AD134,"u")+COUNTIF($E134:AD134,"t")+COUNTIF($E134:AD134,"¶")+COUNTIF($E134:AD134,"²")+COUNTIF($E134:AD134,"µ")+COUNTIF($E134:AD134,1),ColDescriptionCourte)),""),
  "")),"")</f>
        <v/>
      </c>
      <c r="AF134" s="40" t="str">
        <f ca="1">IFERROR(IF(AND(
  INDEX(Roadmap!$D:$K,MATCH($E134,Roadmap!$D:$D,0)+COUNTIF($E134:AE134,"u")+COUNTIF($E134:AE134,"t")+COUNTIF($E134:AE134,"¶")+COUNTIF($E134:AE134,"²")+COUNTIF($E134:AE134,"µ")+COUNTIF($E134:AE134,1),ColLivraison)=AF$6,
  VLOOKUP($E134,INDIRECT("tri!"&amp; CHAR(64+ C0Col) &amp;":"&amp; CHAR(65+C0Col)),2,FALSE)&gt;COUNTIF($E134:AE134,"u")+COUNTIF($E134:AE134,"t")+COUNTIF($E134:AE134,"¶")+COUNTIF($E134:AE134,"²")+COUNTIF($E134:AE134,"µ")+COUNTIF($E134:AE134,1)),
HYPERLINK("#Roadmap!C"&amp; MATCH($E134,Roadmap!$D:$D,0)+COUNTIF($E134:AE134,"u")+COUNTIF($E134:AE134,"t"),
     INDEX(Roadmap!$D:$K,MATCH($E134,Roadmap!$D:$D,0)+COUNTIF($E134:AE134,"u")+COUNTIF($E134:AE134,"t")+COUNTIF($E134:AE134,"¶")+COUNTIF($E134:AE134,"²")+COUNTIF($E134:AE134,"µ")+COUNTIF($E134:AE134,1),ColTypeEcheance)),
  IF(LEN(AE134)=1,
  IF(LEN(INDEX(Roadmap!$D:$K,MATCH($E134,Roadmap!$D:$D,0)-1+COUNTIF($E134:AE134,"u")+COUNTIF($E134:AE134,"t")+COUNTIF($E134:AE134,"¶")+COUNTIF($E134:AE134,"²")+COUNTIF($E134:AE134,"µ")+COUNTIF($E134:AE134,1),ColDescriptionCourte))&gt;1,
HYPERLINK("#Roadmap!C"&amp; MATCH($E134,Roadmap!$D:$D,0)+COUNTIF($E134:AE134,"u")+COUNTIF($E134:AE134,"t")+COUNTIF($E134:AE134,"¶")+COUNTIF($E134:AE134,"²")+COUNTIF($E134:AE134,"µ")+COUNTIF($E134:AE134,1)-1,INDEX(Roadmap!$D:$K,MATCH($E134,Roadmap!$D:$D,0)-1+COUNTIF($E134:AE134,"u")+COUNTIF($E134:AE134,"t")+COUNTIF($E134:AE134,"¶")+COUNTIF($E134:AE134,"²")+COUNTIF($E134:AE134,"µ")+COUNTIF($E134:AE134,1),ColDescriptionCourte)),""),
  "")),"")</f>
        <v/>
      </c>
      <c r="AG134" s="40" t="str">
        <f ca="1">IFERROR(IF(AND(
  INDEX(Roadmap!$D:$K,MATCH($E134,Roadmap!$D:$D,0)+COUNTIF($E134:AF134,"u")+COUNTIF($E134:AF134,"t")+COUNTIF($E134:AF134,"¶")+COUNTIF($E134:AF134,"²")+COUNTIF($E134:AF134,"µ")+COUNTIF($E134:AF134,1),ColLivraison)=AG$6,
  VLOOKUP($E134,INDIRECT("tri!"&amp; CHAR(64+ C0Col) &amp;":"&amp; CHAR(65+C0Col)),2,FALSE)&gt;COUNTIF($E134:AF134,"u")+COUNTIF($E134:AF134,"t")+COUNTIF($E134:AF134,"¶")+COUNTIF($E134:AF134,"²")+COUNTIF($E134:AF134,"µ")+COUNTIF($E134:AF134,1)),
HYPERLINK("#Roadmap!C"&amp; MATCH($E134,Roadmap!$D:$D,0)+COUNTIF($E134:AF134,"u")+COUNTIF($E134:AF134,"t"),
     INDEX(Roadmap!$D:$K,MATCH($E134,Roadmap!$D:$D,0)+COUNTIF($E134:AF134,"u")+COUNTIF($E134:AF134,"t")+COUNTIF($E134:AF134,"¶")+COUNTIF($E134:AF134,"²")+COUNTIF($E134:AF134,"µ")+COUNTIF($E134:AF134,1),ColTypeEcheance)),
  IF(LEN(AF134)=1,
  IF(LEN(INDEX(Roadmap!$D:$K,MATCH($E134,Roadmap!$D:$D,0)-1+COUNTIF($E134:AF134,"u")+COUNTIF($E134:AF134,"t")+COUNTIF($E134:AF134,"¶")+COUNTIF($E134:AF134,"²")+COUNTIF($E134:AF134,"µ")+COUNTIF($E134:AF134,1),ColDescriptionCourte))&gt;1,
HYPERLINK("#Roadmap!C"&amp; MATCH($E134,Roadmap!$D:$D,0)+COUNTIF($E134:AF134,"u")+COUNTIF($E134:AF134,"t")+COUNTIF($E134:AF134,"¶")+COUNTIF($E134:AF134,"²")+COUNTIF($E134:AF134,"µ")+COUNTIF($E134:AF134,1)-1,INDEX(Roadmap!$D:$K,MATCH($E134,Roadmap!$D:$D,0)-1+COUNTIF($E134:AF134,"u")+COUNTIF($E134:AF134,"t")+COUNTIF($E134:AF134,"¶")+COUNTIF($E134:AF134,"²")+COUNTIF($E134:AF134,"µ")+COUNTIF($E134:AF134,1),ColDescriptionCourte)),""),
  "")),"")</f>
        <v/>
      </c>
    </row>
    <row r="135" spans="3:33" ht="14.25" customHeight="1">
      <c r="C135" s="1" t="str">
        <f t="shared" ref="C135:C166" ca="1" si="52">IFERROR(IF(LEN(INDIRECT(ADDRESS(C0Ligne+ROW()-MaquetteLigne0,C0Col-2,1,1,"Tri")))&lt;2,"",IF(LEFT(INDIRECT(ADDRESS(C0Ligne+ROW()-MaquetteLigne0,C0Col-2,1,1,"Tri")),5)="Total","",INDIRECT(ADDRESS(C0Ligne+ROW()-MaquetteLigne0,C0Col-2,1,1,"Tri")))),"")</f>
        <v/>
      </c>
      <c r="D135" s="1" t="str">
        <f t="shared" ref="D135:D166" ca="1" si="53">IFERROR(IF(LEN(INDIRECT(ADDRESS(C0Ligne+ROW()-MaquetteLigne0,C0Col-1,1,1,"Tri")))&lt;2,"",IF(LEFT(INDIRECT(ADDRESS(C0Ligne+ROW()-MaquetteLigne0,C0Col-1,1,1,"Tri")),5)="Total","",INDIRECT(ADDRESS(C0Ligne+ROW()-MaquetteLigne0,C0Col-1,1,1,"Tri")))),"")</f>
        <v/>
      </c>
      <c r="E135" s="35" t="str">
        <f t="shared" ca="1" si="51"/>
        <v/>
      </c>
      <c r="F135" s="39" t="str">
        <f ca="1">IFERROR(IF(AND(
  INDEX(Roadmap!$D:$K,MATCH($E135,Roadmap!$D:$D,0)+COUNTIF($E135:E135,"u")+COUNTIF($E135:E135,"t")+COUNTIF($E135:E135,"¶")+COUNTIF($E135:E135,"²")+COUNTIF($E135:E135,"µ")+COUNTIF($E135:E135,1),ColLivraison)=F$6,
  VLOOKUP($E135,INDIRECT("tri!"&amp; CHAR(64+ C0Col) &amp;":"&amp; CHAR(65+C0Col)),2,FALSE)&gt;COUNTIF($E135:E135,"u")+COUNTIF($E135:E135,"t")+COUNTIF($E135:E135,"¶")+COUNTIF($E135:E135,"²")+COUNTIF($E135:E135,"µ")+COUNTIF($E135:E135,1)),
HYPERLINK("#Roadmap!C"&amp; MATCH($E135,Roadmap!$D:$D,0)+COUNTIF($E135:E135,"u")+COUNTIF($E135:E135,"t"),
     INDEX(Roadmap!$D:$K,MATCH($E135,Roadmap!$D:$D,0)+COUNTIF($E135:E135,"u")+COUNTIF($E135:E135,"t")+COUNTIF($E135:E135,"¶")+COUNTIF($E135:E135,"²")+COUNTIF($E135:E135,"µ")+COUNTIF($E135:E135,1),ColTypeEcheance)),
  IF(LEN(E135)=1,
  IF(LEN(INDEX(Roadmap!$D:$K,MATCH($E135,Roadmap!$D:$D,0)-1+COUNTIF($E135:E135,"u")+COUNTIF($E135:E135,"t")+COUNTIF($E135:E135,"¶")+COUNTIF($E135:E135,"²")+COUNTIF($E135:E135,"µ")+COUNTIF($E135:E135,1),ColDescriptionCourte))&gt;1,
HYPERLINK("#Roadmap!C"&amp; MATCH($E135,Roadmap!$D:$D,0)+COUNTIF($E135:E135,"u")+COUNTIF($E135:E135,"t")+COUNTIF($E135:E135,"¶")+COUNTIF($E135:E135,"²")+COUNTIF($E135:E135,"µ")+COUNTIF($E135:E135,1)-1,INDEX(Roadmap!$D:$K,MATCH($E135,Roadmap!$D:$D,0)-1+COUNTIF($E135:E135,"u")+COUNTIF($E135:E135,"t")+COUNTIF($E135:E135,"¶")+COUNTIF($E135:E135,"²")+COUNTIF($E135:E135,"µ")+COUNTIF($E135:E135,1),ColDescriptionCourte)),""),
  "")),"")</f>
        <v/>
      </c>
      <c r="G135" s="40" t="str">
        <f ca="1">IFERROR(IF(AND(
  INDEX(Roadmap!$D:$K,MATCH($E135,Roadmap!$D:$D,0)+COUNTIF($E135:F135,"u")+COUNTIF($E135:F135,"t")+COUNTIF($E135:F135,"¶")+COUNTIF($E135:F135,"²")+COUNTIF($E135:F135,"µ")+COUNTIF($E135:F135,1),ColLivraison)=G$6,
  VLOOKUP($E135,INDIRECT("tri!"&amp; CHAR(64+ C0Col) &amp;":"&amp; CHAR(65+C0Col)),2,FALSE)&gt;COUNTIF($E135:F135,"u")+COUNTIF($E135:F135,"t")+COUNTIF($E135:F135,"¶")+COUNTIF($E135:F135,"²")+COUNTIF($E135:F135,"µ")+COUNTIF($E135:F135,1)),
HYPERLINK("#Roadmap!C"&amp; MATCH($E135,Roadmap!$D:$D,0)+COUNTIF($E135:F135,"u")+COUNTIF($E135:F135,"t"),
     INDEX(Roadmap!$D:$K,MATCH($E135,Roadmap!$D:$D,0)+COUNTIF($E135:F135,"u")+COUNTIF($E135:F135,"t")+COUNTIF($E135:F135,"¶")+COUNTIF($E135:F135,"²")+COUNTIF($E135:F135,"µ")+COUNTIF($E135:F135,1),ColTypeEcheance)),
  IF(LEN(F135)=1,
  IF(LEN(INDEX(Roadmap!$D:$K,MATCH($E135,Roadmap!$D:$D,0)-1+COUNTIF($E135:F135,"u")+COUNTIF($E135:F135,"t")+COUNTIF($E135:F135,"¶")+COUNTIF($E135:F135,"²")+COUNTIF($E135:F135,"µ")+COUNTIF($E135:F135,1),ColDescriptionCourte))&gt;1,
HYPERLINK("#Roadmap!C"&amp; MATCH($E135,Roadmap!$D:$D,0)+COUNTIF($E135:F135,"u")+COUNTIF($E135:F135,"t")+COUNTIF($E135:F135,"¶")+COUNTIF($E135:F135,"²")+COUNTIF($E135:F135,"µ")+COUNTIF($E135:F135,1)-1,INDEX(Roadmap!$D:$K,MATCH($E135,Roadmap!$D:$D,0)-1+COUNTIF($E135:F135,"u")+COUNTIF($E135:F135,"t")+COUNTIF($E135:F135,"¶")+COUNTIF($E135:F135,"²")+COUNTIF($E135:F135,"µ")+COUNTIF($E135:F135,1),ColDescriptionCourte)),""),
  "")),"")</f>
        <v/>
      </c>
      <c r="H135" s="40" t="str">
        <f ca="1">IFERROR(IF(AND(
  INDEX(Roadmap!$D:$K,MATCH($E135,Roadmap!$D:$D,0)+COUNTIF($E135:G135,"u")+COUNTIF($E135:G135,"t")+COUNTIF($E135:G135,"¶")+COUNTIF($E135:G135,"²")+COUNTIF($E135:G135,"µ")+COUNTIF($E135:G135,1),ColLivraison)=H$6,
  VLOOKUP($E135,INDIRECT("tri!"&amp; CHAR(64+ C0Col) &amp;":"&amp; CHAR(65+C0Col)),2,FALSE)&gt;COUNTIF($E135:G135,"u")+COUNTIF($E135:G135,"t")+COUNTIF($E135:G135,"¶")+COUNTIF($E135:G135,"²")+COUNTIF($E135:G135,"µ")+COUNTIF($E135:G135,1)),
HYPERLINK("#Roadmap!C"&amp; MATCH($E135,Roadmap!$D:$D,0)+COUNTIF($E135:G135,"u")+COUNTIF($E135:G135,"t"),
     INDEX(Roadmap!$D:$K,MATCH($E135,Roadmap!$D:$D,0)+COUNTIF($E135:G135,"u")+COUNTIF($E135:G135,"t")+COUNTIF($E135:G135,"¶")+COUNTIF($E135:G135,"²")+COUNTIF($E135:G135,"µ")+COUNTIF($E135:G135,1),ColTypeEcheance)),
  IF(LEN(G135)=1,
  IF(LEN(INDEX(Roadmap!$D:$K,MATCH($E135,Roadmap!$D:$D,0)-1+COUNTIF($E135:G135,"u")+COUNTIF($E135:G135,"t")+COUNTIF($E135:G135,"¶")+COUNTIF($E135:G135,"²")+COUNTIF($E135:G135,"µ")+COUNTIF($E135:G135,1),ColDescriptionCourte))&gt;1,
HYPERLINK("#Roadmap!C"&amp; MATCH($E135,Roadmap!$D:$D,0)+COUNTIF($E135:G135,"u")+COUNTIF($E135:G135,"t")+COUNTIF($E135:G135,"¶")+COUNTIF($E135:G135,"²")+COUNTIF($E135:G135,"µ")+COUNTIF($E135:G135,1)-1,INDEX(Roadmap!$D:$K,MATCH($E135,Roadmap!$D:$D,0)-1+COUNTIF($E135:G135,"u")+COUNTIF($E135:G135,"t")+COUNTIF($E135:G135,"¶")+COUNTIF($E135:G135,"²")+COUNTIF($E135:G135,"µ")+COUNTIF($E135:G135,1),ColDescriptionCourte)),""),
  "")),"")</f>
        <v/>
      </c>
      <c r="I135" s="40" t="str">
        <f ca="1">IFERROR(IF(AND(
  INDEX(Roadmap!$D:$K,MATCH($E135,Roadmap!$D:$D,0)+COUNTIF($E135:H135,"u")+COUNTIF($E135:H135,"t")+COUNTIF($E135:H135,"¶")+COUNTIF($E135:H135,"²")+COUNTIF($E135:H135,"µ")+COUNTIF($E135:H135,1),ColLivraison)=I$6,
  VLOOKUP($E135,INDIRECT("tri!"&amp; CHAR(64+ C0Col) &amp;":"&amp; CHAR(65+C0Col)),2,FALSE)&gt;COUNTIF($E135:H135,"u")+COUNTIF($E135:H135,"t")+COUNTIF($E135:H135,"¶")+COUNTIF($E135:H135,"²")+COUNTIF($E135:H135,"µ")+COUNTIF($E135:H135,1)),
HYPERLINK("#Roadmap!C"&amp; MATCH($E135,Roadmap!$D:$D,0)+COUNTIF($E135:H135,"u")+COUNTIF($E135:H135,"t"),
     INDEX(Roadmap!$D:$K,MATCH($E135,Roadmap!$D:$D,0)+COUNTIF($E135:H135,"u")+COUNTIF($E135:H135,"t")+COUNTIF($E135:H135,"¶")+COUNTIF($E135:H135,"²")+COUNTIF($E135:H135,"µ")+COUNTIF($E135:H135,1),ColTypeEcheance)),
  IF(LEN(H135)=1,
  IF(LEN(INDEX(Roadmap!$D:$K,MATCH($E135,Roadmap!$D:$D,0)-1+COUNTIF($E135:H135,"u")+COUNTIF($E135:H135,"t")+COUNTIF($E135:H135,"¶")+COUNTIF($E135:H135,"²")+COUNTIF($E135:H135,"µ")+COUNTIF($E135:H135,1),ColDescriptionCourte))&gt;1,
HYPERLINK("#Roadmap!C"&amp; MATCH($E135,Roadmap!$D:$D,0)+COUNTIF($E135:H135,"u")+COUNTIF($E135:H135,"t")+COUNTIF($E135:H135,"¶")+COUNTIF($E135:H135,"²")+COUNTIF($E135:H135,"µ")+COUNTIF($E135:H135,1)-1,INDEX(Roadmap!$D:$K,MATCH($E135,Roadmap!$D:$D,0)-1+COUNTIF($E135:H135,"u")+COUNTIF($E135:H135,"t")+COUNTIF($E135:H135,"¶")+COUNTIF($E135:H135,"²")+COUNTIF($E135:H135,"µ")+COUNTIF($E135:H135,1),ColDescriptionCourte)),""),
  "")),"")</f>
        <v/>
      </c>
      <c r="J135" s="40" t="str">
        <f ca="1">IFERROR(IF(AND(
  INDEX(Roadmap!$D:$K,MATCH($E135,Roadmap!$D:$D,0)+COUNTIF($E135:I135,"u")+COUNTIF($E135:I135,"t")+COUNTIF($E135:I135,"¶")+COUNTIF($E135:I135,"²")+COUNTIF($E135:I135,"µ")+COUNTIF($E135:I135,1),ColLivraison)=J$6,
  VLOOKUP($E135,INDIRECT("tri!"&amp; CHAR(64+ C0Col) &amp;":"&amp; CHAR(65+C0Col)),2,FALSE)&gt;COUNTIF($E135:I135,"u")+COUNTIF($E135:I135,"t")+COUNTIF($E135:I135,"¶")+COUNTIF($E135:I135,"²")+COUNTIF($E135:I135,"µ")+COUNTIF($E135:I135,1)),
HYPERLINK("#Roadmap!C"&amp; MATCH($E135,Roadmap!$D:$D,0)+COUNTIF($E135:I135,"u")+COUNTIF($E135:I135,"t"),
     INDEX(Roadmap!$D:$K,MATCH($E135,Roadmap!$D:$D,0)+COUNTIF($E135:I135,"u")+COUNTIF($E135:I135,"t")+COUNTIF($E135:I135,"¶")+COUNTIF($E135:I135,"²")+COUNTIF($E135:I135,"µ")+COUNTIF($E135:I135,1),ColTypeEcheance)),
  IF(LEN(I135)=1,
  IF(LEN(INDEX(Roadmap!$D:$K,MATCH($E135,Roadmap!$D:$D,0)-1+COUNTIF($E135:I135,"u")+COUNTIF($E135:I135,"t")+COUNTIF($E135:I135,"¶")+COUNTIF($E135:I135,"²")+COUNTIF($E135:I135,"µ")+COUNTIF($E135:I135,1),ColDescriptionCourte))&gt;1,
HYPERLINK("#Roadmap!C"&amp; MATCH($E135,Roadmap!$D:$D,0)+COUNTIF($E135:I135,"u")+COUNTIF($E135:I135,"t")+COUNTIF($E135:I135,"¶")+COUNTIF($E135:I135,"²")+COUNTIF($E135:I135,"µ")+COUNTIF($E135:I135,1)-1,INDEX(Roadmap!$D:$K,MATCH($E135,Roadmap!$D:$D,0)-1+COUNTIF($E135:I135,"u")+COUNTIF($E135:I135,"t")+COUNTIF($E135:I135,"¶")+COUNTIF($E135:I135,"²")+COUNTIF($E135:I135,"µ")+COUNTIF($E135:I135,1),ColDescriptionCourte)),""),
  "")),"")</f>
        <v/>
      </c>
      <c r="K135" s="40" t="str">
        <f ca="1">IFERROR(IF(AND(
  INDEX(Roadmap!$D:$K,MATCH($E135,Roadmap!$D:$D,0)+COUNTIF($E135:J135,"u")+COUNTIF($E135:J135,"t")+COUNTIF($E135:J135,"¶")+COUNTIF($E135:J135,"²")+COUNTIF($E135:J135,"µ")+COUNTIF($E135:J135,1),ColLivraison)=K$6,
  VLOOKUP($E135,INDIRECT("tri!"&amp; CHAR(64+ C0Col) &amp;":"&amp; CHAR(65+C0Col)),2,FALSE)&gt;COUNTIF($E135:J135,"u")+COUNTIF($E135:J135,"t")+COUNTIF($E135:J135,"¶")+COUNTIF($E135:J135,"²")+COUNTIF($E135:J135,"µ")+COUNTIF($E135:J135,1)),
HYPERLINK("#Roadmap!C"&amp; MATCH($E135,Roadmap!$D:$D,0)+COUNTIF($E135:J135,"u")+COUNTIF($E135:J135,"t"),
     INDEX(Roadmap!$D:$K,MATCH($E135,Roadmap!$D:$D,0)+COUNTIF($E135:J135,"u")+COUNTIF($E135:J135,"t")+COUNTIF($E135:J135,"¶")+COUNTIF($E135:J135,"²")+COUNTIF($E135:J135,"µ")+COUNTIF($E135:J135,1),ColTypeEcheance)),
  IF(LEN(J135)=1,
  IF(LEN(INDEX(Roadmap!$D:$K,MATCH($E135,Roadmap!$D:$D,0)-1+COUNTIF($E135:J135,"u")+COUNTIF($E135:J135,"t")+COUNTIF($E135:J135,"¶")+COUNTIF($E135:J135,"²")+COUNTIF($E135:J135,"µ")+COUNTIF($E135:J135,1),ColDescriptionCourte))&gt;1,
HYPERLINK("#Roadmap!C"&amp; MATCH($E135,Roadmap!$D:$D,0)+COUNTIF($E135:J135,"u")+COUNTIF($E135:J135,"t")+COUNTIF($E135:J135,"¶")+COUNTIF($E135:J135,"²")+COUNTIF($E135:J135,"µ")+COUNTIF($E135:J135,1)-1,INDEX(Roadmap!$D:$K,MATCH($E135,Roadmap!$D:$D,0)-1+COUNTIF($E135:J135,"u")+COUNTIF($E135:J135,"t")+COUNTIF($E135:J135,"¶")+COUNTIF($E135:J135,"²")+COUNTIF($E135:J135,"µ")+COUNTIF($E135:J135,1),ColDescriptionCourte)),""),
  "")),"")</f>
        <v/>
      </c>
      <c r="L135" s="39" t="str">
        <f ca="1">IFERROR(IF(AND(
  INDEX(Roadmap!$D:$K,MATCH($E135,Roadmap!$D:$D,0)+COUNTIF($E135:K135,"u")+COUNTIF($E135:K135,"t")+COUNTIF($E135:K135,"¶")+COUNTIF($E135:K135,"²")+COUNTIF($E135:K135,"µ")+COUNTIF($E135:K135,1),ColLivraison)=L$6,
  VLOOKUP($E135,INDIRECT("tri!"&amp; CHAR(64+ C0Col) &amp;":"&amp; CHAR(65+C0Col)),2,FALSE)&gt;COUNTIF($E135:K135,"u")+COUNTIF($E135:K135,"t")+COUNTIF($E135:K135,"¶")+COUNTIF($E135:K135,"²")+COUNTIF($E135:K135,"µ")+COUNTIF($E135:K135,1)),
HYPERLINK("#Roadmap!C"&amp; MATCH($E135,Roadmap!$D:$D,0)+COUNTIF($E135:K135,"u")+COUNTIF($E135:K135,"t"),
     INDEX(Roadmap!$D:$K,MATCH($E135,Roadmap!$D:$D,0)+COUNTIF($E135:K135,"u")+COUNTIF($E135:K135,"t")+COUNTIF($E135:K135,"¶")+COUNTIF($E135:K135,"²")+COUNTIF($E135:K135,"µ")+COUNTIF($E135:K135,1),ColTypeEcheance)),
  IF(LEN(K135)=1,
  IF(LEN(INDEX(Roadmap!$D:$K,MATCH($E135,Roadmap!$D:$D,0)-1+COUNTIF($E135:K135,"u")+COUNTIF($E135:K135,"t")+COUNTIF($E135:K135,"¶")+COUNTIF($E135:K135,"²")+COUNTIF($E135:K135,"µ")+COUNTIF($E135:K135,1),ColDescriptionCourte))&gt;1,
HYPERLINK("#Roadmap!C"&amp; MATCH($E135,Roadmap!$D:$D,0)+COUNTIF($E135:K135,"u")+COUNTIF($E135:K135,"t")+COUNTIF($E135:K135,"¶")+COUNTIF($E135:K135,"²")+COUNTIF($E135:K135,"µ")+COUNTIF($E135:K135,1)-1,INDEX(Roadmap!$D:$K,MATCH($E135,Roadmap!$D:$D,0)-1+COUNTIF($E135:K135,"u")+COUNTIF($E135:K135,"t")+COUNTIF($E135:K135,"¶")+COUNTIF($E135:K135,"²")+COUNTIF($E135:K135,"µ")+COUNTIF($E135:K135,1),ColDescriptionCourte)),""),
  "")),"")</f>
        <v/>
      </c>
      <c r="M135" s="40" t="str">
        <f ca="1">IFERROR(IF(AND(
  INDEX(Roadmap!$D:$K,MATCH($E135,Roadmap!$D:$D,0)+COUNTIF($E135:L135,"u")+COUNTIF($E135:L135,"t")+COUNTIF($E135:L135,"¶")+COUNTIF($E135:L135,"²")+COUNTIF($E135:L135,"µ")+COUNTIF($E135:L135,1),ColLivraison)=M$6,
  VLOOKUP($E135,INDIRECT("tri!"&amp; CHAR(64+ C0Col) &amp;":"&amp; CHAR(65+C0Col)),2,FALSE)&gt;COUNTIF($E135:L135,"u")+COUNTIF($E135:L135,"t")+COUNTIF($E135:L135,"¶")+COUNTIF($E135:L135,"²")+COUNTIF($E135:L135,"µ")+COUNTIF($E135:L135,1)),
HYPERLINK("#Roadmap!C"&amp; MATCH($E135,Roadmap!$D:$D,0)+COUNTIF($E135:L135,"u")+COUNTIF($E135:L135,"t"),
     INDEX(Roadmap!$D:$K,MATCH($E135,Roadmap!$D:$D,0)+COUNTIF($E135:L135,"u")+COUNTIF($E135:L135,"t")+COUNTIF($E135:L135,"¶")+COUNTIF($E135:L135,"²")+COUNTIF($E135:L135,"µ")+COUNTIF($E135:L135,1),ColTypeEcheance)),
  IF(LEN(L135)=1,
  IF(LEN(INDEX(Roadmap!$D:$K,MATCH($E135,Roadmap!$D:$D,0)-1+COUNTIF($E135:L135,"u")+COUNTIF($E135:L135,"t")+COUNTIF($E135:L135,"¶")+COUNTIF($E135:L135,"²")+COUNTIF($E135:L135,"µ")+COUNTIF($E135:L135,1),ColDescriptionCourte))&gt;1,
HYPERLINK("#Roadmap!C"&amp; MATCH($E135,Roadmap!$D:$D,0)+COUNTIF($E135:L135,"u")+COUNTIF($E135:L135,"t")+COUNTIF($E135:L135,"¶")+COUNTIF($E135:L135,"²")+COUNTIF($E135:L135,"µ")+COUNTIF($E135:L135,1)-1,INDEX(Roadmap!$D:$K,MATCH($E135,Roadmap!$D:$D,0)-1+COUNTIF($E135:L135,"u")+COUNTIF($E135:L135,"t")+COUNTIF($E135:L135,"¶")+COUNTIF($E135:L135,"²")+COUNTIF($E135:L135,"µ")+COUNTIF($E135:L135,1),ColDescriptionCourte)),""),
  "")),"")</f>
        <v/>
      </c>
      <c r="N135" s="40" t="str">
        <f ca="1">IFERROR(IF(AND(
  INDEX(Roadmap!$D:$K,MATCH($E135,Roadmap!$D:$D,0)+COUNTIF($E135:M135,"u")+COUNTIF($E135:M135,"t")+COUNTIF($E135:M135,"¶")+COUNTIF($E135:M135,"²")+COUNTIF($E135:M135,"µ")+COUNTIF($E135:M135,1),ColLivraison)=N$6,
  VLOOKUP($E135,INDIRECT("tri!"&amp; CHAR(64+ C0Col) &amp;":"&amp; CHAR(65+C0Col)),2,FALSE)&gt;COUNTIF($E135:M135,"u")+COUNTIF($E135:M135,"t")+COUNTIF($E135:M135,"¶")+COUNTIF($E135:M135,"²")+COUNTIF($E135:M135,"µ")+COUNTIF($E135:M135,1)),
HYPERLINK("#Roadmap!C"&amp; MATCH($E135,Roadmap!$D:$D,0)+COUNTIF($E135:M135,"u")+COUNTIF($E135:M135,"t"),
     INDEX(Roadmap!$D:$K,MATCH($E135,Roadmap!$D:$D,0)+COUNTIF($E135:M135,"u")+COUNTIF($E135:M135,"t")+COUNTIF($E135:M135,"¶")+COUNTIF($E135:M135,"²")+COUNTIF($E135:M135,"µ")+COUNTIF($E135:M135,1),ColTypeEcheance)),
  IF(LEN(M135)=1,
  IF(LEN(INDEX(Roadmap!$D:$K,MATCH($E135,Roadmap!$D:$D,0)-1+COUNTIF($E135:M135,"u")+COUNTIF($E135:M135,"t")+COUNTIF($E135:M135,"¶")+COUNTIF($E135:M135,"²")+COUNTIF($E135:M135,"µ")+COUNTIF($E135:M135,1),ColDescriptionCourte))&gt;1,
HYPERLINK("#Roadmap!C"&amp; MATCH($E135,Roadmap!$D:$D,0)+COUNTIF($E135:M135,"u")+COUNTIF($E135:M135,"t")+COUNTIF($E135:M135,"¶")+COUNTIF($E135:M135,"²")+COUNTIF($E135:M135,"µ")+COUNTIF($E135:M135,1)-1,INDEX(Roadmap!$D:$K,MATCH($E135,Roadmap!$D:$D,0)-1+COUNTIF($E135:M135,"u")+COUNTIF($E135:M135,"t")+COUNTIF($E135:M135,"¶")+COUNTIF($E135:M135,"²")+COUNTIF($E135:M135,"µ")+COUNTIF($E135:M135,1),ColDescriptionCourte)),""),
  "")),"")</f>
        <v/>
      </c>
      <c r="O135" s="40" t="str">
        <f ca="1">IFERROR(IF(AND(
  INDEX(Roadmap!$D:$K,MATCH($E135,Roadmap!$D:$D,0)+COUNTIF($E135:N135,"u")+COUNTIF($E135:N135,"t")+COUNTIF($E135:N135,"¶")+COUNTIF($E135:N135,"²")+COUNTIF($E135:N135,"µ")+COUNTIF($E135:N135,1),ColLivraison)=O$6,
  VLOOKUP($E135,INDIRECT("tri!"&amp; CHAR(64+ C0Col) &amp;":"&amp; CHAR(65+C0Col)),2,FALSE)&gt;COUNTIF($E135:N135,"u")+COUNTIF($E135:N135,"t")+COUNTIF($E135:N135,"¶")+COUNTIF($E135:N135,"²")+COUNTIF($E135:N135,"µ")+COUNTIF($E135:N135,1)),
HYPERLINK("#Roadmap!C"&amp; MATCH($E135,Roadmap!$D:$D,0)+COUNTIF($E135:N135,"u")+COUNTIF($E135:N135,"t"),
     INDEX(Roadmap!$D:$K,MATCH($E135,Roadmap!$D:$D,0)+COUNTIF($E135:N135,"u")+COUNTIF($E135:N135,"t")+COUNTIF($E135:N135,"¶")+COUNTIF($E135:N135,"²")+COUNTIF($E135:N135,"µ")+COUNTIF($E135:N135,1),ColTypeEcheance)),
  IF(LEN(N135)=1,
  IF(LEN(INDEX(Roadmap!$D:$K,MATCH($E135,Roadmap!$D:$D,0)-1+COUNTIF($E135:N135,"u")+COUNTIF($E135:N135,"t")+COUNTIF($E135:N135,"¶")+COUNTIF($E135:N135,"²")+COUNTIF($E135:N135,"µ")+COUNTIF($E135:N135,1),ColDescriptionCourte))&gt;1,
HYPERLINK("#Roadmap!C"&amp; MATCH($E135,Roadmap!$D:$D,0)+COUNTIF($E135:N135,"u")+COUNTIF($E135:N135,"t")+COUNTIF($E135:N135,"¶")+COUNTIF($E135:N135,"²")+COUNTIF($E135:N135,"µ")+COUNTIF($E135:N135,1)-1,INDEX(Roadmap!$D:$K,MATCH($E135,Roadmap!$D:$D,0)-1+COUNTIF($E135:N135,"u")+COUNTIF($E135:N135,"t")+COUNTIF($E135:N135,"¶")+COUNTIF($E135:N135,"²")+COUNTIF($E135:N135,"µ")+COUNTIF($E135:N135,1),ColDescriptionCourte)),""),
  "")),"")</f>
        <v/>
      </c>
      <c r="P135" s="40" t="str">
        <f ca="1">IFERROR(IF(AND(
  INDEX(Roadmap!$D:$K,MATCH($E135,Roadmap!$D:$D,0)+COUNTIF($E135:O135,"u")+COUNTIF($E135:O135,"t")+COUNTIF($E135:O135,"¶")+COUNTIF($E135:O135,"²")+COUNTIF($E135:O135,"µ")+COUNTIF($E135:O135,1),ColLivraison)=P$6,
  VLOOKUP($E135,INDIRECT("tri!"&amp; CHAR(64+ C0Col) &amp;":"&amp; CHAR(65+C0Col)),2,FALSE)&gt;COUNTIF($E135:O135,"u")+COUNTIF($E135:O135,"t")+COUNTIF($E135:O135,"¶")+COUNTIF($E135:O135,"²")+COUNTIF($E135:O135,"µ")+COUNTIF($E135:O135,1)),
HYPERLINK("#Roadmap!C"&amp; MATCH($E135,Roadmap!$D:$D,0)+COUNTIF($E135:O135,"u")+COUNTIF($E135:O135,"t"),
     INDEX(Roadmap!$D:$K,MATCH($E135,Roadmap!$D:$D,0)+COUNTIF($E135:O135,"u")+COUNTIF($E135:O135,"t")+COUNTIF($E135:O135,"¶")+COUNTIF($E135:O135,"²")+COUNTIF($E135:O135,"µ")+COUNTIF($E135:O135,1),ColTypeEcheance)),
  IF(LEN(O135)=1,
  IF(LEN(INDEX(Roadmap!$D:$K,MATCH($E135,Roadmap!$D:$D,0)-1+COUNTIF($E135:O135,"u")+COUNTIF($E135:O135,"t")+COUNTIF($E135:O135,"¶")+COUNTIF($E135:O135,"²")+COUNTIF($E135:O135,"µ")+COUNTIF($E135:O135,1),ColDescriptionCourte))&gt;1,
HYPERLINK("#Roadmap!C"&amp; MATCH($E135,Roadmap!$D:$D,0)+COUNTIF($E135:O135,"u")+COUNTIF($E135:O135,"t")+COUNTIF($E135:O135,"¶")+COUNTIF($E135:O135,"²")+COUNTIF($E135:O135,"µ")+COUNTIF($E135:O135,1)-1,INDEX(Roadmap!$D:$K,MATCH($E135,Roadmap!$D:$D,0)-1+COUNTIF($E135:O135,"u")+COUNTIF($E135:O135,"t")+COUNTIF($E135:O135,"¶")+COUNTIF($E135:O135,"²")+COUNTIF($E135:O135,"µ")+COUNTIF($E135:O135,1),ColDescriptionCourte)),""),
  "")),"")</f>
        <v/>
      </c>
      <c r="Q135" s="40" t="str">
        <f ca="1">IFERROR(IF(AND(
  INDEX(Roadmap!$D:$K,MATCH($E135,Roadmap!$D:$D,0)+COUNTIF($E135:P135,"u")+COUNTIF($E135:P135,"t")+COUNTIF($E135:P135,"¶")+COUNTIF($E135:P135,"²")+COUNTIF($E135:P135,"µ")+COUNTIF($E135:P135,1),ColLivraison)=Q$6,
  VLOOKUP($E135,INDIRECT("tri!"&amp; CHAR(64+ C0Col) &amp;":"&amp; CHAR(65+C0Col)),2,FALSE)&gt;COUNTIF($E135:P135,"u")+COUNTIF($E135:P135,"t")+COUNTIF($E135:P135,"¶")+COUNTIF($E135:P135,"²")+COUNTIF($E135:P135,"µ")+COUNTIF($E135:P135,1)),
HYPERLINK("#Roadmap!C"&amp; MATCH($E135,Roadmap!$D:$D,0)+COUNTIF($E135:P135,"u")+COUNTIF($E135:P135,"t"),
     INDEX(Roadmap!$D:$K,MATCH($E135,Roadmap!$D:$D,0)+COUNTIF($E135:P135,"u")+COUNTIF($E135:P135,"t")+COUNTIF($E135:P135,"¶")+COUNTIF($E135:P135,"²")+COUNTIF($E135:P135,"µ")+COUNTIF($E135:P135,1),ColTypeEcheance)),
  IF(LEN(P135)=1,
  IF(LEN(INDEX(Roadmap!$D:$K,MATCH($E135,Roadmap!$D:$D,0)-1+COUNTIF($E135:P135,"u")+COUNTIF($E135:P135,"t")+COUNTIF($E135:P135,"¶")+COUNTIF($E135:P135,"²")+COUNTIF($E135:P135,"µ")+COUNTIF($E135:P135,1),ColDescriptionCourte))&gt;1,
HYPERLINK("#Roadmap!C"&amp; MATCH($E135,Roadmap!$D:$D,0)+COUNTIF($E135:P135,"u")+COUNTIF($E135:P135,"t")+COUNTIF($E135:P135,"¶")+COUNTIF($E135:P135,"²")+COUNTIF($E135:P135,"µ")+COUNTIF($E135:P135,1)-1,INDEX(Roadmap!$D:$K,MATCH($E135,Roadmap!$D:$D,0)-1+COUNTIF($E135:P135,"u")+COUNTIF($E135:P135,"t")+COUNTIF($E135:P135,"¶")+COUNTIF($E135:P135,"²")+COUNTIF($E135:P135,"µ")+COUNTIF($E135:P135,1),ColDescriptionCourte)),""),
  "")),"")</f>
        <v/>
      </c>
      <c r="R135" s="40" t="str">
        <f ca="1">IFERROR(IF(AND(
  INDEX(Roadmap!$D:$K,MATCH($E135,Roadmap!$D:$D,0)+COUNTIF($E135:Q135,"u")+COUNTIF($E135:Q135,"t")+COUNTIF($E135:Q135,"¶")+COUNTIF($E135:Q135,"²")+COUNTIF($E135:Q135,"µ")+COUNTIF($E135:Q135,1),ColLivraison)=R$6,
  VLOOKUP($E135,INDIRECT("tri!"&amp; CHAR(64+ C0Col) &amp;":"&amp; CHAR(65+C0Col)),2,FALSE)&gt;COUNTIF($E135:Q135,"u")+COUNTIF($E135:Q135,"t")+COUNTIF($E135:Q135,"¶")+COUNTIF($E135:Q135,"²")+COUNTIF($E135:Q135,"µ")+COUNTIF($E135:Q135,1)),
HYPERLINK("#Roadmap!C"&amp; MATCH($E135,Roadmap!$D:$D,0)+COUNTIF($E135:Q135,"u")+COUNTIF($E135:Q135,"t"),
     INDEX(Roadmap!$D:$K,MATCH($E135,Roadmap!$D:$D,0)+COUNTIF($E135:Q135,"u")+COUNTIF($E135:Q135,"t")+COUNTIF($E135:Q135,"¶")+COUNTIF($E135:Q135,"²")+COUNTIF($E135:Q135,"µ")+COUNTIF($E135:Q135,1),ColTypeEcheance)),
  IF(LEN(Q135)=1,
  IF(LEN(INDEX(Roadmap!$D:$K,MATCH($E135,Roadmap!$D:$D,0)-1+COUNTIF($E135:Q135,"u")+COUNTIF($E135:Q135,"t")+COUNTIF($E135:Q135,"¶")+COUNTIF($E135:Q135,"²")+COUNTIF($E135:Q135,"µ")+COUNTIF($E135:Q135,1),ColDescriptionCourte))&gt;1,
HYPERLINK("#Roadmap!C"&amp; MATCH($E135,Roadmap!$D:$D,0)+COUNTIF($E135:Q135,"u")+COUNTIF($E135:Q135,"t")+COUNTIF($E135:Q135,"¶")+COUNTIF($E135:Q135,"²")+COUNTIF($E135:Q135,"µ")+COUNTIF($E135:Q135,1)-1,INDEX(Roadmap!$D:$K,MATCH($E135,Roadmap!$D:$D,0)-1+COUNTIF($E135:Q135,"u")+COUNTIF($E135:Q135,"t")+COUNTIF($E135:Q135,"¶")+COUNTIF($E135:Q135,"²")+COUNTIF($E135:Q135,"µ")+COUNTIF($E135:Q135,1),ColDescriptionCourte)),""),
  "")),"")</f>
        <v/>
      </c>
      <c r="S135" s="40" t="str">
        <f ca="1">IFERROR(IF(AND(
  INDEX(Roadmap!$D:$K,MATCH($E135,Roadmap!$D:$D,0)+COUNTIF($E135:R135,"u")+COUNTIF($E135:R135,"t")+COUNTIF($E135:R135,"¶")+COUNTIF($E135:R135,"²")+COUNTIF($E135:R135,"µ")+COUNTIF($E135:R135,1),ColLivraison)=S$6,
  VLOOKUP($E135,INDIRECT("tri!"&amp; CHAR(64+ C0Col) &amp;":"&amp; CHAR(65+C0Col)),2,FALSE)&gt;COUNTIF($E135:R135,"u")+COUNTIF($E135:R135,"t")+COUNTIF($E135:R135,"¶")+COUNTIF($E135:R135,"²")+COUNTIF($E135:R135,"µ")+COUNTIF($E135:R135,1)),
HYPERLINK("#Roadmap!C"&amp; MATCH($E135,Roadmap!$D:$D,0)+COUNTIF($E135:R135,"u")+COUNTIF($E135:R135,"t"),
     INDEX(Roadmap!$D:$K,MATCH($E135,Roadmap!$D:$D,0)+COUNTIF($E135:R135,"u")+COUNTIF($E135:R135,"t")+COUNTIF($E135:R135,"¶")+COUNTIF($E135:R135,"²")+COUNTIF($E135:R135,"µ")+COUNTIF($E135:R135,1),ColTypeEcheance)),
  IF(LEN(R135)=1,
  IF(LEN(INDEX(Roadmap!$D:$K,MATCH($E135,Roadmap!$D:$D,0)-1+COUNTIF($E135:R135,"u")+COUNTIF($E135:R135,"t")+COUNTIF($E135:R135,"¶")+COUNTIF($E135:R135,"²")+COUNTIF($E135:R135,"µ")+COUNTIF($E135:R135,1),ColDescriptionCourte))&gt;1,
HYPERLINK("#Roadmap!C"&amp; MATCH($E135,Roadmap!$D:$D,0)+COUNTIF($E135:R135,"u")+COUNTIF($E135:R135,"t")+COUNTIF($E135:R135,"¶")+COUNTIF($E135:R135,"²")+COUNTIF($E135:R135,"µ")+COUNTIF($E135:R135,1)-1,INDEX(Roadmap!$D:$K,MATCH($E135,Roadmap!$D:$D,0)-1+COUNTIF($E135:R135,"u")+COUNTIF($E135:R135,"t")+COUNTIF($E135:R135,"¶")+COUNTIF($E135:R135,"²")+COUNTIF($E135:R135,"µ")+COUNTIF($E135:R135,1),ColDescriptionCourte)),""),
  "")),"")</f>
        <v/>
      </c>
      <c r="T135" s="40" t="str">
        <f ca="1">IFERROR(IF(AND(
  INDEX(Roadmap!$D:$K,MATCH($E135,Roadmap!$D:$D,0)+COUNTIF($E135:S135,"u")+COUNTIF($E135:S135,"t")+COUNTIF($E135:S135,"¶")+COUNTIF($E135:S135,"²")+COUNTIF($E135:S135,"µ")+COUNTIF($E135:S135,1),ColLivraison)=T$6,
  VLOOKUP($E135,INDIRECT("tri!"&amp; CHAR(64+ C0Col) &amp;":"&amp; CHAR(65+C0Col)),2,FALSE)&gt;COUNTIF($E135:S135,"u")+COUNTIF($E135:S135,"t")+COUNTIF($E135:S135,"¶")+COUNTIF($E135:S135,"²")+COUNTIF($E135:S135,"µ")+COUNTIF($E135:S135,1)),
HYPERLINK("#Roadmap!C"&amp; MATCH($E135,Roadmap!$D:$D,0)+COUNTIF($E135:S135,"u")+COUNTIF($E135:S135,"t"),
     INDEX(Roadmap!$D:$K,MATCH($E135,Roadmap!$D:$D,0)+COUNTIF($E135:S135,"u")+COUNTIF($E135:S135,"t")+COUNTIF($E135:S135,"¶")+COUNTIF($E135:S135,"²")+COUNTIF($E135:S135,"µ")+COUNTIF($E135:S135,1),ColTypeEcheance)),
  IF(LEN(S135)=1,
  IF(LEN(INDEX(Roadmap!$D:$K,MATCH($E135,Roadmap!$D:$D,0)-1+COUNTIF($E135:S135,"u")+COUNTIF($E135:S135,"t")+COUNTIF($E135:S135,"¶")+COUNTIF($E135:S135,"²")+COUNTIF($E135:S135,"µ")+COUNTIF($E135:S135,1),ColDescriptionCourte))&gt;1,
HYPERLINK("#Roadmap!C"&amp; MATCH($E135,Roadmap!$D:$D,0)+COUNTIF($E135:S135,"u")+COUNTIF($E135:S135,"t")+COUNTIF($E135:S135,"¶")+COUNTIF($E135:S135,"²")+COUNTIF($E135:S135,"µ")+COUNTIF($E135:S135,1)-1,INDEX(Roadmap!$D:$K,MATCH($E135,Roadmap!$D:$D,0)-1+COUNTIF($E135:S135,"u")+COUNTIF($E135:S135,"t")+COUNTIF($E135:S135,"¶")+COUNTIF($E135:S135,"²")+COUNTIF($E135:S135,"µ")+COUNTIF($E135:S135,1),ColDescriptionCourte)),""),
  "")),"")</f>
        <v/>
      </c>
      <c r="U135" s="40" t="str">
        <f ca="1">IFERROR(IF(AND(
  INDEX(Roadmap!$D:$K,MATCH($E135,Roadmap!$D:$D,0)+COUNTIF($E135:T135,"u")+COUNTIF($E135:T135,"t")+COUNTIF($E135:T135,"¶")+COUNTIF($E135:T135,"²")+COUNTIF($E135:T135,"µ")+COUNTIF($E135:T135,1),ColLivraison)=U$6,
  VLOOKUP($E135,INDIRECT("tri!"&amp; CHAR(64+ C0Col) &amp;":"&amp; CHAR(65+C0Col)),2,FALSE)&gt;COUNTIF($E135:T135,"u")+COUNTIF($E135:T135,"t")+COUNTIF($E135:T135,"¶")+COUNTIF($E135:T135,"²")+COUNTIF($E135:T135,"µ")+COUNTIF($E135:T135,1)),
HYPERLINK("#Roadmap!C"&amp; MATCH($E135,Roadmap!$D:$D,0)+COUNTIF($E135:T135,"u")+COUNTIF($E135:T135,"t"),
     INDEX(Roadmap!$D:$K,MATCH($E135,Roadmap!$D:$D,0)+COUNTIF($E135:T135,"u")+COUNTIF($E135:T135,"t")+COUNTIF($E135:T135,"¶")+COUNTIF($E135:T135,"²")+COUNTIF($E135:T135,"µ")+COUNTIF($E135:T135,1),ColTypeEcheance)),
  IF(LEN(T135)=1,
  IF(LEN(INDEX(Roadmap!$D:$K,MATCH($E135,Roadmap!$D:$D,0)-1+COUNTIF($E135:T135,"u")+COUNTIF($E135:T135,"t")+COUNTIF($E135:T135,"¶")+COUNTIF($E135:T135,"²")+COUNTIF($E135:T135,"µ")+COUNTIF($E135:T135,1),ColDescriptionCourte))&gt;1,
HYPERLINK("#Roadmap!C"&amp; MATCH($E135,Roadmap!$D:$D,0)+COUNTIF($E135:T135,"u")+COUNTIF($E135:T135,"t")+COUNTIF($E135:T135,"¶")+COUNTIF($E135:T135,"²")+COUNTIF($E135:T135,"µ")+COUNTIF($E135:T135,1)-1,INDEX(Roadmap!$D:$K,MATCH($E135,Roadmap!$D:$D,0)-1+COUNTIF($E135:T135,"u")+COUNTIF($E135:T135,"t")+COUNTIF($E135:T135,"¶")+COUNTIF($E135:T135,"²")+COUNTIF($E135:T135,"µ")+COUNTIF($E135:T135,1),ColDescriptionCourte)),""),
  "")),"")</f>
        <v/>
      </c>
      <c r="V135" s="40" t="str">
        <f ca="1">IFERROR(IF(AND(
  INDEX(Roadmap!$D:$K,MATCH($E135,Roadmap!$D:$D,0)+COUNTIF($E135:U135,"u")+COUNTIF($E135:U135,"t")+COUNTIF($E135:U135,"¶")+COUNTIF($E135:U135,"²")+COUNTIF($E135:U135,"µ")+COUNTIF($E135:U135,1),ColLivraison)=V$6,
  VLOOKUP($E135,INDIRECT("tri!"&amp; CHAR(64+ C0Col) &amp;":"&amp; CHAR(65+C0Col)),2,FALSE)&gt;COUNTIF($E135:U135,"u")+COUNTIF($E135:U135,"t")+COUNTIF($E135:U135,"¶")+COUNTIF($E135:U135,"²")+COUNTIF($E135:U135,"µ")+COUNTIF($E135:U135,1)),
HYPERLINK("#Roadmap!C"&amp; MATCH($E135,Roadmap!$D:$D,0)+COUNTIF($E135:U135,"u")+COUNTIF($E135:U135,"t"),
     INDEX(Roadmap!$D:$K,MATCH($E135,Roadmap!$D:$D,0)+COUNTIF($E135:U135,"u")+COUNTIF($E135:U135,"t")+COUNTIF($E135:U135,"¶")+COUNTIF($E135:U135,"²")+COUNTIF($E135:U135,"µ")+COUNTIF($E135:U135,1),ColTypeEcheance)),
  IF(LEN(U135)=1,
  IF(LEN(INDEX(Roadmap!$D:$K,MATCH($E135,Roadmap!$D:$D,0)-1+COUNTIF($E135:U135,"u")+COUNTIF($E135:U135,"t")+COUNTIF($E135:U135,"¶")+COUNTIF($E135:U135,"²")+COUNTIF($E135:U135,"µ")+COUNTIF($E135:U135,1),ColDescriptionCourte))&gt;1,
HYPERLINK("#Roadmap!C"&amp; MATCH($E135,Roadmap!$D:$D,0)+COUNTIF($E135:U135,"u")+COUNTIF($E135:U135,"t")+COUNTIF($E135:U135,"¶")+COUNTIF($E135:U135,"²")+COUNTIF($E135:U135,"µ")+COUNTIF($E135:U135,1)-1,INDEX(Roadmap!$D:$K,MATCH($E135,Roadmap!$D:$D,0)-1+COUNTIF($E135:U135,"u")+COUNTIF($E135:U135,"t")+COUNTIF($E135:U135,"¶")+COUNTIF($E135:U135,"²")+COUNTIF($E135:U135,"µ")+COUNTIF($E135:U135,1),ColDescriptionCourte)),""),
  "")),"")</f>
        <v/>
      </c>
      <c r="W135" s="40" t="str">
        <f ca="1">IFERROR(IF(AND(
  INDEX(Roadmap!$D:$K,MATCH($E135,Roadmap!$D:$D,0)+COUNTIF($E135:V135,"u")+COUNTIF($E135:V135,"t")+COUNTIF($E135:V135,"¶")+COUNTIF($E135:V135,"²")+COUNTIF($E135:V135,"µ")+COUNTIF($E135:V135,1),ColLivraison)=W$6,
  VLOOKUP($E135,INDIRECT("tri!"&amp; CHAR(64+ C0Col) &amp;":"&amp; CHAR(65+C0Col)),2,FALSE)&gt;COUNTIF($E135:V135,"u")+COUNTIF($E135:V135,"t")+COUNTIF($E135:V135,"¶")+COUNTIF($E135:V135,"²")+COUNTIF($E135:V135,"µ")+COUNTIF($E135:V135,1)),
HYPERLINK("#Roadmap!C"&amp; MATCH($E135,Roadmap!$D:$D,0)+COUNTIF($E135:V135,"u")+COUNTIF($E135:V135,"t"),
     INDEX(Roadmap!$D:$K,MATCH($E135,Roadmap!$D:$D,0)+COUNTIF($E135:V135,"u")+COUNTIF($E135:V135,"t")+COUNTIF($E135:V135,"¶")+COUNTIF($E135:V135,"²")+COUNTIF($E135:V135,"µ")+COUNTIF($E135:V135,1),ColTypeEcheance)),
  IF(LEN(V135)=1,
  IF(LEN(INDEX(Roadmap!$D:$K,MATCH($E135,Roadmap!$D:$D,0)-1+COUNTIF($E135:V135,"u")+COUNTIF($E135:V135,"t")+COUNTIF($E135:V135,"¶")+COUNTIF($E135:V135,"²")+COUNTIF($E135:V135,"µ")+COUNTIF($E135:V135,1),ColDescriptionCourte))&gt;1,
HYPERLINK("#Roadmap!C"&amp; MATCH($E135,Roadmap!$D:$D,0)+COUNTIF($E135:V135,"u")+COUNTIF($E135:V135,"t")+COUNTIF($E135:V135,"¶")+COUNTIF($E135:V135,"²")+COUNTIF($E135:V135,"µ")+COUNTIF($E135:V135,1)-1,INDEX(Roadmap!$D:$K,MATCH($E135,Roadmap!$D:$D,0)-1+COUNTIF($E135:V135,"u")+COUNTIF($E135:V135,"t")+COUNTIF($E135:V135,"¶")+COUNTIF($E135:V135,"²")+COUNTIF($E135:V135,"µ")+COUNTIF($E135:V135,1),ColDescriptionCourte)),""),
  "")),"")</f>
        <v/>
      </c>
      <c r="X135" s="40" t="str">
        <f ca="1">IFERROR(IF(AND(
  INDEX(Roadmap!$D:$K,MATCH($E135,Roadmap!$D:$D,0)+COUNTIF($E135:W135,"u")+COUNTIF($E135:W135,"t")+COUNTIF($E135:W135,"¶")+COUNTIF($E135:W135,"²")+COUNTIF($E135:W135,"µ")+COUNTIF($E135:W135,1),ColLivraison)=X$6,
  VLOOKUP($E135,INDIRECT("tri!"&amp; CHAR(64+ C0Col) &amp;":"&amp; CHAR(65+C0Col)),2,FALSE)&gt;COUNTIF($E135:W135,"u")+COUNTIF($E135:W135,"t")+COUNTIF($E135:W135,"¶")+COUNTIF($E135:W135,"²")+COUNTIF($E135:W135,"µ")+COUNTIF($E135:W135,1)),
HYPERLINK("#Roadmap!C"&amp; MATCH($E135,Roadmap!$D:$D,0)+COUNTIF($E135:W135,"u")+COUNTIF($E135:W135,"t"),
     INDEX(Roadmap!$D:$K,MATCH($E135,Roadmap!$D:$D,0)+COUNTIF($E135:W135,"u")+COUNTIF($E135:W135,"t")+COUNTIF($E135:W135,"¶")+COUNTIF($E135:W135,"²")+COUNTIF($E135:W135,"µ")+COUNTIF($E135:W135,1),ColTypeEcheance)),
  IF(LEN(W135)=1,
  IF(LEN(INDEX(Roadmap!$D:$K,MATCH($E135,Roadmap!$D:$D,0)-1+COUNTIF($E135:W135,"u")+COUNTIF($E135:W135,"t")+COUNTIF($E135:W135,"¶")+COUNTIF($E135:W135,"²")+COUNTIF($E135:W135,"µ")+COUNTIF($E135:W135,1),ColDescriptionCourte))&gt;1,
HYPERLINK("#Roadmap!C"&amp; MATCH($E135,Roadmap!$D:$D,0)+COUNTIF($E135:W135,"u")+COUNTIF($E135:W135,"t")+COUNTIF($E135:W135,"¶")+COUNTIF($E135:W135,"²")+COUNTIF($E135:W135,"µ")+COUNTIF($E135:W135,1)-1,INDEX(Roadmap!$D:$K,MATCH($E135,Roadmap!$D:$D,0)-1+COUNTIF($E135:W135,"u")+COUNTIF($E135:W135,"t")+COUNTIF($E135:W135,"¶")+COUNTIF($E135:W135,"²")+COUNTIF($E135:W135,"µ")+COUNTIF($E135:W135,1),ColDescriptionCourte)),""),
  "")),"")</f>
        <v/>
      </c>
      <c r="Y135" s="40" t="str">
        <f ca="1">IFERROR(IF(AND(
  INDEX(Roadmap!$D:$K,MATCH($E135,Roadmap!$D:$D,0)+COUNTIF($E135:X135,"u")+COUNTIF($E135:X135,"t")+COUNTIF($E135:X135,"¶")+COUNTIF($E135:X135,"²")+COUNTIF($E135:X135,"µ")+COUNTIF($E135:X135,1),ColLivraison)=Y$6,
  VLOOKUP($E135,INDIRECT("tri!"&amp; CHAR(64+ C0Col) &amp;":"&amp; CHAR(65+C0Col)),2,FALSE)&gt;COUNTIF($E135:X135,"u")+COUNTIF($E135:X135,"t")+COUNTIF($E135:X135,"¶")+COUNTIF($E135:X135,"²")+COUNTIF($E135:X135,"µ")+COUNTIF($E135:X135,1)),
HYPERLINK("#Roadmap!C"&amp; MATCH($E135,Roadmap!$D:$D,0)+COUNTIF($E135:X135,"u")+COUNTIF($E135:X135,"t"),
     INDEX(Roadmap!$D:$K,MATCH($E135,Roadmap!$D:$D,0)+COUNTIF($E135:X135,"u")+COUNTIF($E135:X135,"t")+COUNTIF($E135:X135,"¶")+COUNTIF($E135:X135,"²")+COUNTIF($E135:X135,"µ")+COUNTIF($E135:X135,1),ColTypeEcheance)),
  IF(LEN(X135)=1,
  IF(LEN(INDEX(Roadmap!$D:$K,MATCH($E135,Roadmap!$D:$D,0)-1+COUNTIF($E135:X135,"u")+COUNTIF($E135:X135,"t")+COUNTIF($E135:X135,"¶")+COUNTIF($E135:X135,"²")+COUNTIF($E135:X135,"µ")+COUNTIF($E135:X135,1),ColDescriptionCourte))&gt;1,
HYPERLINK("#Roadmap!C"&amp; MATCH($E135,Roadmap!$D:$D,0)+COUNTIF($E135:X135,"u")+COUNTIF($E135:X135,"t")+COUNTIF($E135:X135,"¶")+COUNTIF($E135:X135,"²")+COUNTIF($E135:X135,"µ")+COUNTIF($E135:X135,1)-1,INDEX(Roadmap!$D:$K,MATCH($E135,Roadmap!$D:$D,0)-1+COUNTIF($E135:X135,"u")+COUNTIF($E135:X135,"t")+COUNTIF($E135:X135,"¶")+COUNTIF($E135:X135,"²")+COUNTIF($E135:X135,"µ")+COUNTIF($E135:X135,1),ColDescriptionCourte)),""),
  "")),"")</f>
        <v/>
      </c>
      <c r="Z135" s="40" t="str">
        <f ca="1">IFERROR(IF(AND(
  INDEX(Roadmap!$D:$K,MATCH($E135,Roadmap!$D:$D,0)+COUNTIF($E135:Y135,"u")+COUNTIF($E135:Y135,"t")+COUNTIF($E135:Y135,"¶")+COUNTIF($E135:Y135,"²")+COUNTIF($E135:Y135,"µ")+COUNTIF($E135:Y135,1),ColLivraison)=Z$6,
  VLOOKUP($E135,INDIRECT("tri!"&amp; CHAR(64+ C0Col) &amp;":"&amp; CHAR(65+C0Col)),2,FALSE)&gt;COUNTIF($E135:Y135,"u")+COUNTIF($E135:Y135,"t")+COUNTIF($E135:Y135,"¶")+COUNTIF($E135:Y135,"²")+COUNTIF($E135:Y135,"µ")+COUNTIF($E135:Y135,1)),
HYPERLINK("#Roadmap!C"&amp; MATCH($E135,Roadmap!$D:$D,0)+COUNTIF($E135:Y135,"u")+COUNTIF($E135:Y135,"t"),
     INDEX(Roadmap!$D:$K,MATCH($E135,Roadmap!$D:$D,0)+COUNTIF($E135:Y135,"u")+COUNTIF($E135:Y135,"t")+COUNTIF($E135:Y135,"¶")+COUNTIF($E135:Y135,"²")+COUNTIF($E135:Y135,"µ")+COUNTIF($E135:Y135,1),ColTypeEcheance)),
  IF(LEN(Y135)=1,
  IF(LEN(INDEX(Roadmap!$D:$K,MATCH($E135,Roadmap!$D:$D,0)-1+COUNTIF($E135:Y135,"u")+COUNTIF($E135:Y135,"t")+COUNTIF($E135:Y135,"¶")+COUNTIF($E135:Y135,"²")+COUNTIF($E135:Y135,"µ")+COUNTIF($E135:Y135,1),ColDescriptionCourte))&gt;1,
HYPERLINK("#Roadmap!C"&amp; MATCH($E135,Roadmap!$D:$D,0)+COUNTIF($E135:Y135,"u")+COUNTIF($E135:Y135,"t")+COUNTIF($E135:Y135,"¶")+COUNTIF($E135:Y135,"²")+COUNTIF($E135:Y135,"µ")+COUNTIF($E135:Y135,1)-1,INDEX(Roadmap!$D:$K,MATCH($E135,Roadmap!$D:$D,0)-1+COUNTIF($E135:Y135,"u")+COUNTIF($E135:Y135,"t")+COUNTIF($E135:Y135,"¶")+COUNTIF($E135:Y135,"²")+COUNTIF($E135:Y135,"µ")+COUNTIF($E135:Y135,1),ColDescriptionCourte)),""),
  "")),"")</f>
        <v/>
      </c>
      <c r="AA135" s="40" t="str">
        <f ca="1">IFERROR(IF(AND(
  INDEX(Roadmap!$D:$K,MATCH($E135,Roadmap!$D:$D,0)+COUNTIF($E135:Z135,"u")+COUNTIF($E135:Z135,"t")+COUNTIF($E135:Z135,"¶")+COUNTIF($E135:Z135,"²")+COUNTIF($E135:Z135,"µ")+COUNTIF($E135:Z135,1),ColLivraison)=AA$6,
  VLOOKUP($E135,INDIRECT("tri!"&amp; CHAR(64+ C0Col) &amp;":"&amp; CHAR(65+C0Col)),2,FALSE)&gt;COUNTIF($E135:Z135,"u")+COUNTIF($E135:Z135,"t")+COUNTIF($E135:Z135,"¶")+COUNTIF($E135:Z135,"²")+COUNTIF($E135:Z135,"µ")+COUNTIF($E135:Z135,1)),
HYPERLINK("#Roadmap!C"&amp; MATCH($E135,Roadmap!$D:$D,0)+COUNTIF($E135:Z135,"u")+COUNTIF($E135:Z135,"t"),
     INDEX(Roadmap!$D:$K,MATCH($E135,Roadmap!$D:$D,0)+COUNTIF($E135:Z135,"u")+COUNTIF($E135:Z135,"t")+COUNTIF($E135:Z135,"¶")+COUNTIF($E135:Z135,"²")+COUNTIF($E135:Z135,"µ")+COUNTIF($E135:Z135,1),ColTypeEcheance)),
  IF(LEN(Z135)=1,
  IF(LEN(INDEX(Roadmap!$D:$K,MATCH($E135,Roadmap!$D:$D,0)-1+COUNTIF($E135:Z135,"u")+COUNTIF($E135:Z135,"t")+COUNTIF($E135:Z135,"¶")+COUNTIF($E135:Z135,"²")+COUNTIF($E135:Z135,"µ")+COUNTIF($E135:Z135,1),ColDescriptionCourte))&gt;1,
HYPERLINK("#Roadmap!C"&amp; MATCH($E135,Roadmap!$D:$D,0)+COUNTIF($E135:Z135,"u")+COUNTIF($E135:Z135,"t")+COUNTIF($E135:Z135,"¶")+COUNTIF($E135:Z135,"²")+COUNTIF($E135:Z135,"µ")+COUNTIF($E135:Z135,1)-1,INDEX(Roadmap!$D:$K,MATCH($E135,Roadmap!$D:$D,0)-1+COUNTIF($E135:Z135,"u")+COUNTIF($E135:Z135,"t")+COUNTIF($E135:Z135,"¶")+COUNTIF($E135:Z135,"²")+COUNTIF($E135:Z135,"µ")+COUNTIF($E135:Z135,1),ColDescriptionCourte)),""),
  "")),"")</f>
        <v/>
      </c>
      <c r="AB135" s="40" t="str">
        <f ca="1">IFERROR(IF(AND(
  INDEX(Roadmap!$D:$K,MATCH($E135,Roadmap!$D:$D,0)+COUNTIF($E135:AA135,"u")+COUNTIF($E135:AA135,"t")+COUNTIF($E135:AA135,"¶")+COUNTIF($E135:AA135,"²")+COUNTIF($E135:AA135,"µ")+COUNTIF($E135:AA135,1),ColLivraison)=AB$6,
  VLOOKUP($E135,INDIRECT("tri!"&amp; CHAR(64+ C0Col) &amp;":"&amp; CHAR(65+C0Col)),2,FALSE)&gt;COUNTIF($E135:AA135,"u")+COUNTIF($E135:AA135,"t")+COUNTIF($E135:AA135,"¶")+COUNTIF($E135:AA135,"²")+COUNTIF($E135:AA135,"µ")+COUNTIF($E135:AA135,1)),
HYPERLINK("#Roadmap!C"&amp; MATCH($E135,Roadmap!$D:$D,0)+COUNTIF($E135:AA135,"u")+COUNTIF($E135:AA135,"t"),
     INDEX(Roadmap!$D:$K,MATCH($E135,Roadmap!$D:$D,0)+COUNTIF($E135:AA135,"u")+COUNTIF($E135:AA135,"t")+COUNTIF($E135:AA135,"¶")+COUNTIF($E135:AA135,"²")+COUNTIF($E135:AA135,"µ")+COUNTIF($E135:AA135,1),ColTypeEcheance)),
  IF(LEN(AA135)=1,
  IF(LEN(INDEX(Roadmap!$D:$K,MATCH($E135,Roadmap!$D:$D,0)-1+COUNTIF($E135:AA135,"u")+COUNTIF($E135:AA135,"t")+COUNTIF($E135:AA135,"¶")+COUNTIF($E135:AA135,"²")+COUNTIF($E135:AA135,"µ")+COUNTIF($E135:AA135,1),ColDescriptionCourte))&gt;1,
HYPERLINK("#Roadmap!C"&amp; MATCH($E135,Roadmap!$D:$D,0)+COUNTIF($E135:AA135,"u")+COUNTIF($E135:AA135,"t")+COUNTIF($E135:AA135,"¶")+COUNTIF($E135:AA135,"²")+COUNTIF($E135:AA135,"µ")+COUNTIF($E135:AA135,1)-1,INDEX(Roadmap!$D:$K,MATCH($E135,Roadmap!$D:$D,0)-1+COUNTIF($E135:AA135,"u")+COUNTIF($E135:AA135,"t")+COUNTIF($E135:AA135,"¶")+COUNTIF($E135:AA135,"²")+COUNTIF($E135:AA135,"µ")+COUNTIF($E135:AA135,1),ColDescriptionCourte)),""),
  "")),"")</f>
        <v/>
      </c>
      <c r="AC135" s="40" t="str">
        <f ca="1">IFERROR(IF(AND(
  INDEX(Roadmap!$D:$K,MATCH($E135,Roadmap!$D:$D,0)+COUNTIF($E135:AB135,"u")+COUNTIF($E135:AB135,"t")+COUNTIF($E135:AB135,"¶")+COUNTIF($E135:AB135,"²")+COUNTIF($E135:AB135,"µ")+COUNTIF($E135:AB135,1),ColLivraison)=AC$6,
  VLOOKUP($E135,INDIRECT("tri!"&amp; CHAR(64+ C0Col) &amp;":"&amp; CHAR(65+C0Col)),2,FALSE)&gt;COUNTIF($E135:AB135,"u")+COUNTIF($E135:AB135,"t")+COUNTIF($E135:AB135,"¶")+COUNTIF($E135:AB135,"²")+COUNTIF($E135:AB135,"µ")+COUNTIF($E135:AB135,1)),
HYPERLINK("#Roadmap!C"&amp; MATCH($E135,Roadmap!$D:$D,0)+COUNTIF($E135:AB135,"u")+COUNTIF($E135:AB135,"t"),
     INDEX(Roadmap!$D:$K,MATCH($E135,Roadmap!$D:$D,0)+COUNTIF($E135:AB135,"u")+COUNTIF($E135:AB135,"t")+COUNTIF($E135:AB135,"¶")+COUNTIF($E135:AB135,"²")+COUNTIF($E135:AB135,"µ")+COUNTIF($E135:AB135,1),ColTypeEcheance)),
  IF(LEN(AB135)=1,
  IF(LEN(INDEX(Roadmap!$D:$K,MATCH($E135,Roadmap!$D:$D,0)-1+COUNTIF($E135:AB135,"u")+COUNTIF($E135:AB135,"t")+COUNTIF($E135:AB135,"¶")+COUNTIF($E135:AB135,"²")+COUNTIF($E135:AB135,"µ")+COUNTIF($E135:AB135,1),ColDescriptionCourte))&gt;1,
HYPERLINK("#Roadmap!C"&amp; MATCH($E135,Roadmap!$D:$D,0)+COUNTIF($E135:AB135,"u")+COUNTIF($E135:AB135,"t")+COUNTIF($E135:AB135,"¶")+COUNTIF($E135:AB135,"²")+COUNTIF($E135:AB135,"µ")+COUNTIF($E135:AB135,1)-1,INDEX(Roadmap!$D:$K,MATCH($E135,Roadmap!$D:$D,0)-1+COUNTIF($E135:AB135,"u")+COUNTIF($E135:AB135,"t")+COUNTIF($E135:AB135,"¶")+COUNTIF($E135:AB135,"²")+COUNTIF($E135:AB135,"µ")+COUNTIF($E135:AB135,1),ColDescriptionCourte)),""),
  "")),"")</f>
        <v/>
      </c>
      <c r="AD135" s="40" t="str">
        <f ca="1">IFERROR(IF(AND(
  INDEX(Roadmap!$D:$K,MATCH($E135,Roadmap!$D:$D,0)+COUNTIF($E135:AC135,"u")+COUNTIF($E135:AC135,"t")+COUNTIF($E135:AC135,"¶")+COUNTIF($E135:AC135,"²")+COUNTIF($E135:AC135,"µ")+COUNTIF($E135:AC135,1),ColLivraison)=AD$6,
  VLOOKUP($E135,INDIRECT("tri!"&amp; CHAR(64+ C0Col) &amp;":"&amp; CHAR(65+C0Col)),2,FALSE)&gt;COUNTIF($E135:AC135,"u")+COUNTIF($E135:AC135,"t")+COUNTIF($E135:AC135,"¶")+COUNTIF($E135:AC135,"²")+COUNTIF($E135:AC135,"µ")+COUNTIF($E135:AC135,1)),
HYPERLINK("#Roadmap!C"&amp; MATCH($E135,Roadmap!$D:$D,0)+COUNTIF($E135:AC135,"u")+COUNTIF($E135:AC135,"t"),
     INDEX(Roadmap!$D:$K,MATCH($E135,Roadmap!$D:$D,0)+COUNTIF($E135:AC135,"u")+COUNTIF($E135:AC135,"t")+COUNTIF($E135:AC135,"¶")+COUNTIF($E135:AC135,"²")+COUNTIF($E135:AC135,"µ")+COUNTIF($E135:AC135,1),ColTypeEcheance)),
  IF(LEN(AC135)=1,
  IF(LEN(INDEX(Roadmap!$D:$K,MATCH($E135,Roadmap!$D:$D,0)-1+COUNTIF($E135:AC135,"u")+COUNTIF($E135:AC135,"t")+COUNTIF($E135:AC135,"¶")+COUNTIF($E135:AC135,"²")+COUNTIF($E135:AC135,"µ")+COUNTIF($E135:AC135,1),ColDescriptionCourte))&gt;1,
HYPERLINK("#Roadmap!C"&amp; MATCH($E135,Roadmap!$D:$D,0)+COUNTIF($E135:AC135,"u")+COUNTIF($E135:AC135,"t")+COUNTIF($E135:AC135,"¶")+COUNTIF($E135:AC135,"²")+COUNTIF($E135:AC135,"µ")+COUNTIF($E135:AC135,1)-1,INDEX(Roadmap!$D:$K,MATCH($E135,Roadmap!$D:$D,0)-1+COUNTIF($E135:AC135,"u")+COUNTIF($E135:AC135,"t")+COUNTIF($E135:AC135,"¶")+COUNTIF($E135:AC135,"²")+COUNTIF($E135:AC135,"µ")+COUNTIF($E135:AC135,1),ColDescriptionCourte)),""),
  "")),"")</f>
        <v/>
      </c>
      <c r="AE135" s="40" t="str">
        <f ca="1">IFERROR(IF(AND(
  INDEX(Roadmap!$D:$K,MATCH($E135,Roadmap!$D:$D,0)+COUNTIF($E135:AD135,"u")+COUNTIF($E135:AD135,"t")+COUNTIF($E135:AD135,"¶")+COUNTIF($E135:AD135,"²")+COUNTIF($E135:AD135,"µ")+COUNTIF($E135:AD135,1),ColLivraison)=AE$6,
  VLOOKUP($E135,INDIRECT("tri!"&amp; CHAR(64+ C0Col) &amp;":"&amp; CHAR(65+C0Col)),2,FALSE)&gt;COUNTIF($E135:AD135,"u")+COUNTIF($E135:AD135,"t")+COUNTIF($E135:AD135,"¶")+COUNTIF($E135:AD135,"²")+COUNTIF($E135:AD135,"µ")+COUNTIF($E135:AD135,1)),
HYPERLINK("#Roadmap!C"&amp; MATCH($E135,Roadmap!$D:$D,0)+COUNTIF($E135:AD135,"u")+COUNTIF($E135:AD135,"t"),
     INDEX(Roadmap!$D:$K,MATCH($E135,Roadmap!$D:$D,0)+COUNTIF($E135:AD135,"u")+COUNTIF($E135:AD135,"t")+COUNTIF($E135:AD135,"¶")+COUNTIF($E135:AD135,"²")+COUNTIF($E135:AD135,"µ")+COUNTIF($E135:AD135,1),ColTypeEcheance)),
  IF(LEN(AD135)=1,
  IF(LEN(INDEX(Roadmap!$D:$K,MATCH($E135,Roadmap!$D:$D,0)-1+COUNTIF($E135:AD135,"u")+COUNTIF($E135:AD135,"t")+COUNTIF($E135:AD135,"¶")+COUNTIF($E135:AD135,"²")+COUNTIF($E135:AD135,"µ")+COUNTIF($E135:AD135,1),ColDescriptionCourte))&gt;1,
HYPERLINK("#Roadmap!C"&amp; MATCH($E135,Roadmap!$D:$D,0)+COUNTIF($E135:AD135,"u")+COUNTIF($E135:AD135,"t")+COUNTIF($E135:AD135,"¶")+COUNTIF($E135:AD135,"²")+COUNTIF($E135:AD135,"µ")+COUNTIF($E135:AD135,1)-1,INDEX(Roadmap!$D:$K,MATCH($E135,Roadmap!$D:$D,0)-1+COUNTIF($E135:AD135,"u")+COUNTIF($E135:AD135,"t")+COUNTIF($E135:AD135,"¶")+COUNTIF($E135:AD135,"²")+COUNTIF($E135:AD135,"µ")+COUNTIF($E135:AD135,1),ColDescriptionCourte)),""),
  "")),"")</f>
        <v/>
      </c>
      <c r="AF135" s="40" t="str">
        <f ca="1">IFERROR(IF(AND(
  INDEX(Roadmap!$D:$K,MATCH($E135,Roadmap!$D:$D,0)+COUNTIF($E135:AE135,"u")+COUNTIF($E135:AE135,"t")+COUNTIF($E135:AE135,"¶")+COUNTIF($E135:AE135,"²")+COUNTIF($E135:AE135,"µ")+COUNTIF($E135:AE135,1),ColLivraison)=AF$6,
  VLOOKUP($E135,INDIRECT("tri!"&amp; CHAR(64+ C0Col) &amp;":"&amp; CHAR(65+C0Col)),2,FALSE)&gt;COUNTIF($E135:AE135,"u")+COUNTIF($E135:AE135,"t")+COUNTIF($E135:AE135,"¶")+COUNTIF($E135:AE135,"²")+COUNTIF($E135:AE135,"µ")+COUNTIF($E135:AE135,1)),
HYPERLINK("#Roadmap!C"&amp; MATCH($E135,Roadmap!$D:$D,0)+COUNTIF($E135:AE135,"u")+COUNTIF($E135:AE135,"t"),
     INDEX(Roadmap!$D:$K,MATCH($E135,Roadmap!$D:$D,0)+COUNTIF($E135:AE135,"u")+COUNTIF($E135:AE135,"t")+COUNTIF($E135:AE135,"¶")+COUNTIF($E135:AE135,"²")+COUNTIF($E135:AE135,"µ")+COUNTIF($E135:AE135,1),ColTypeEcheance)),
  IF(LEN(AE135)=1,
  IF(LEN(INDEX(Roadmap!$D:$K,MATCH($E135,Roadmap!$D:$D,0)-1+COUNTIF($E135:AE135,"u")+COUNTIF($E135:AE135,"t")+COUNTIF($E135:AE135,"¶")+COUNTIF($E135:AE135,"²")+COUNTIF($E135:AE135,"µ")+COUNTIF($E135:AE135,1),ColDescriptionCourte))&gt;1,
HYPERLINK("#Roadmap!C"&amp; MATCH($E135,Roadmap!$D:$D,0)+COUNTIF($E135:AE135,"u")+COUNTIF($E135:AE135,"t")+COUNTIF($E135:AE135,"¶")+COUNTIF($E135:AE135,"²")+COUNTIF($E135:AE135,"µ")+COUNTIF($E135:AE135,1)-1,INDEX(Roadmap!$D:$K,MATCH($E135,Roadmap!$D:$D,0)-1+COUNTIF($E135:AE135,"u")+COUNTIF($E135:AE135,"t")+COUNTIF($E135:AE135,"¶")+COUNTIF($E135:AE135,"²")+COUNTIF($E135:AE135,"µ")+COUNTIF($E135:AE135,1),ColDescriptionCourte)),""),
  "")),"")</f>
        <v/>
      </c>
      <c r="AG135" s="40" t="str">
        <f ca="1">IFERROR(IF(AND(
  INDEX(Roadmap!$D:$K,MATCH($E135,Roadmap!$D:$D,0)+COUNTIF($E135:AF135,"u")+COUNTIF($E135:AF135,"t")+COUNTIF($E135:AF135,"¶")+COUNTIF($E135:AF135,"²")+COUNTIF($E135:AF135,"µ")+COUNTIF($E135:AF135,1),ColLivraison)=AG$6,
  VLOOKUP($E135,INDIRECT("tri!"&amp; CHAR(64+ C0Col) &amp;":"&amp; CHAR(65+C0Col)),2,FALSE)&gt;COUNTIF($E135:AF135,"u")+COUNTIF($E135:AF135,"t")+COUNTIF($E135:AF135,"¶")+COUNTIF($E135:AF135,"²")+COUNTIF($E135:AF135,"µ")+COUNTIF($E135:AF135,1)),
HYPERLINK("#Roadmap!C"&amp; MATCH($E135,Roadmap!$D:$D,0)+COUNTIF($E135:AF135,"u")+COUNTIF($E135:AF135,"t"),
     INDEX(Roadmap!$D:$K,MATCH($E135,Roadmap!$D:$D,0)+COUNTIF($E135:AF135,"u")+COUNTIF($E135:AF135,"t")+COUNTIF($E135:AF135,"¶")+COUNTIF($E135:AF135,"²")+COUNTIF($E135:AF135,"µ")+COUNTIF($E135:AF135,1),ColTypeEcheance)),
  IF(LEN(AF135)=1,
  IF(LEN(INDEX(Roadmap!$D:$K,MATCH($E135,Roadmap!$D:$D,0)-1+COUNTIF($E135:AF135,"u")+COUNTIF($E135:AF135,"t")+COUNTIF($E135:AF135,"¶")+COUNTIF($E135:AF135,"²")+COUNTIF($E135:AF135,"µ")+COUNTIF($E135:AF135,1),ColDescriptionCourte))&gt;1,
HYPERLINK("#Roadmap!C"&amp; MATCH($E135,Roadmap!$D:$D,0)+COUNTIF($E135:AF135,"u")+COUNTIF($E135:AF135,"t")+COUNTIF($E135:AF135,"¶")+COUNTIF($E135:AF135,"²")+COUNTIF($E135:AF135,"µ")+COUNTIF($E135:AF135,1)-1,INDEX(Roadmap!$D:$K,MATCH($E135,Roadmap!$D:$D,0)-1+COUNTIF($E135:AF135,"u")+COUNTIF($E135:AF135,"t")+COUNTIF($E135:AF135,"¶")+COUNTIF($E135:AF135,"²")+COUNTIF($E135:AF135,"µ")+COUNTIF($E135:AF135,1),ColDescriptionCourte)),""),
  "")),"")</f>
        <v/>
      </c>
    </row>
    <row r="136" spans="3:33" ht="14.25" customHeight="1">
      <c r="C136" s="1" t="str">
        <f t="shared" ca="1" si="52"/>
        <v/>
      </c>
      <c r="D136" s="1" t="str">
        <f t="shared" ca="1" si="53"/>
        <v/>
      </c>
      <c r="E136" s="35" t="str">
        <f t="shared" ca="1" si="51"/>
        <v/>
      </c>
      <c r="F136" s="39" t="str">
        <f ca="1">IFERROR(IF(AND(
  INDEX(Roadmap!$D:$K,MATCH($E136,Roadmap!$D:$D,0)+COUNTIF($E136:E136,"u")+COUNTIF($E136:E136,"t")+COUNTIF($E136:E136,"¶")+COUNTIF($E136:E136,"²")+COUNTIF($E136:E136,"µ")+COUNTIF($E136:E136,1),ColLivraison)=F$6,
  VLOOKUP($E136,INDIRECT("tri!"&amp; CHAR(64+ C0Col) &amp;":"&amp; CHAR(65+C0Col)),2,FALSE)&gt;COUNTIF($E136:E136,"u")+COUNTIF($E136:E136,"t")+COUNTIF($E136:E136,"¶")+COUNTIF($E136:E136,"²")+COUNTIF($E136:E136,"µ")+COUNTIF($E136:E136,1)),
HYPERLINK("#Roadmap!C"&amp; MATCH($E136,Roadmap!$D:$D,0)+COUNTIF($E136:E136,"u")+COUNTIF($E136:E136,"t"),
     INDEX(Roadmap!$D:$K,MATCH($E136,Roadmap!$D:$D,0)+COUNTIF($E136:E136,"u")+COUNTIF($E136:E136,"t")+COUNTIF($E136:E136,"¶")+COUNTIF($E136:E136,"²")+COUNTIF($E136:E136,"µ")+COUNTIF($E136:E136,1),ColTypeEcheance)),
  IF(LEN(E136)=1,
  IF(LEN(INDEX(Roadmap!$D:$K,MATCH($E136,Roadmap!$D:$D,0)-1+COUNTIF($E136:E136,"u")+COUNTIF($E136:E136,"t")+COUNTIF($E136:E136,"¶")+COUNTIF($E136:E136,"²")+COUNTIF($E136:E136,"µ")+COUNTIF($E136:E136,1),ColDescriptionCourte))&gt;1,
HYPERLINK("#Roadmap!C"&amp; MATCH($E136,Roadmap!$D:$D,0)+COUNTIF($E136:E136,"u")+COUNTIF($E136:E136,"t")+COUNTIF($E136:E136,"¶")+COUNTIF($E136:E136,"²")+COUNTIF($E136:E136,"µ")+COUNTIF($E136:E136,1)-1,INDEX(Roadmap!$D:$K,MATCH($E136,Roadmap!$D:$D,0)-1+COUNTIF($E136:E136,"u")+COUNTIF($E136:E136,"t")+COUNTIF($E136:E136,"¶")+COUNTIF($E136:E136,"²")+COUNTIF($E136:E136,"µ")+COUNTIF($E136:E136,1),ColDescriptionCourte)),""),
  "")),"")</f>
        <v/>
      </c>
      <c r="G136" s="40" t="str">
        <f ca="1">IFERROR(IF(AND(
  INDEX(Roadmap!$D:$K,MATCH($E136,Roadmap!$D:$D,0)+COUNTIF($E136:F136,"u")+COUNTIF($E136:F136,"t")+COUNTIF($E136:F136,"¶")+COUNTIF($E136:F136,"²")+COUNTIF($E136:F136,"µ")+COUNTIF($E136:F136,1),ColLivraison)=G$6,
  VLOOKUP($E136,INDIRECT("tri!"&amp; CHAR(64+ C0Col) &amp;":"&amp; CHAR(65+C0Col)),2,FALSE)&gt;COUNTIF($E136:F136,"u")+COUNTIF($E136:F136,"t")+COUNTIF($E136:F136,"¶")+COUNTIF($E136:F136,"²")+COUNTIF($E136:F136,"µ")+COUNTIF($E136:F136,1)),
HYPERLINK("#Roadmap!C"&amp; MATCH($E136,Roadmap!$D:$D,0)+COUNTIF($E136:F136,"u")+COUNTIF($E136:F136,"t"),
     INDEX(Roadmap!$D:$K,MATCH($E136,Roadmap!$D:$D,0)+COUNTIF($E136:F136,"u")+COUNTIF($E136:F136,"t")+COUNTIF($E136:F136,"¶")+COUNTIF($E136:F136,"²")+COUNTIF($E136:F136,"µ")+COUNTIF($E136:F136,1),ColTypeEcheance)),
  IF(LEN(F136)=1,
  IF(LEN(INDEX(Roadmap!$D:$K,MATCH($E136,Roadmap!$D:$D,0)-1+COUNTIF($E136:F136,"u")+COUNTIF($E136:F136,"t")+COUNTIF($E136:F136,"¶")+COUNTIF($E136:F136,"²")+COUNTIF($E136:F136,"µ")+COUNTIF($E136:F136,1),ColDescriptionCourte))&gt;1,
HYPERLINK("#Roadmap!C"&amp; MATCH($E136,Roadmap!$D:$D,0)+COUNTIF($E136:F136,"u")+COUNTIF($E136:F136,"t")+COUNTIF($E136:F136,"¶")+COUNTIF($E136:F136,"²")+COUNTIF($E136:F136,"µ")+COUNTIF($E136:F136,1)-1,INDEX(Roadmap!$D:$K,MATCH($E136,Roadmap!$D:$D,0)-1+COUNTIF($E136:F136,"u")+COUNTIF($E136:F136,"t")+COUNTIF($E136:F136,"¶")+COUNTIF($E136:F136,"²")+COUNTIF($E136:F136,"µ")+COUNTIF($E136:F136,1),ColDescriptionCourte)),""),
  "")),"")</f>
        <v/>
      </c>
      <c r="H136" s="40" t="str">
        <f ca="1">IFERROR(IF(AND(
  INDEX(Roadmap!$D:$K,MATCH($E136,Roadmap!$D:$D,0)+COUNTIF($E136:G136,"u")+COUNTIF($E136:G136,"t")+COUNTIF($E136:G136,"¶")+COUNTIF($E136:G136,"²")+COUNTIF($E136:G136,"µ")+COUNTIF($E136:G136,1),ColLivraison)=H$6,
  VLOOKUP($E136,INDIRECT("tri!"&amp; CHAR(64+ C0Col) &amp;":"&amp; CHAR(65+C0Col)),2,FALSE)&gt;COUNTIF($E136:G136,"u")+COUNTIF($E136:G136,"t")+COUNTIF($E136:G136,"¶")+COUNTIF($E136:G136,"²")+COUNTIF($E136:G136,"µ")+COUNTIF($E136:G136,1)),
HYPERLINK("#Roadmap!C"&amp; MATCH($E136,Roadmap!$D:$D,0)+COUNTIF($E136:G136,"u")+COUNTIF($E136:G136,"t"),
     INDEX(Roadmap!$D:$K,MATCH($E136,Roadmap!$D:$D,0)+COUNTIF($E136:G136,"u")+COUNTIF($E136:G136,"t")+COUNTIF($E136:G136,"¶")+COUNTIF($E136:G136,"²")+COUNTIF($E136:G136,"µ")+COUNTIF($E136:G136,1),ColTypeEcheance)),
  IF(LEN(G136)=1,
  IF(LEN(INDEX(Roadmap!$D:$K,MATCH($E136,Roadmap!$D:$D,0)-1+COUNTIF($E136:G136,"u")+COUNTIF($E136:G136,"t")+COUNTIF($E136:G136,"¶")+COUNTIF($E136:G136,"²")+COUNTIF($E136:G136,"µ")+COUNTIF($E136:G136,1),ColDescriptionCourte))&gt;1,
HYPERLINK("#Roadmap!C"&amp; MATCH($E136,Roadmap!$D:$D,0)+COUNTIF($E136:G136,"u")+COUNTIF($E136:G136,"t")+COUNTIF($E136:G136,"¶")+COUNTIF($E136:G136,"²")+COUNTIF($E136:G136,"µ")+COUNTIF($E136:G136,1)-1,INDEX(Roadmap!$D:$K,MATCH($E136,Roadmap!$D:$D,0)-1+COUNTIF($E136:G136,"u")+COUNTIF($E136:G136,"t")+COUNTIF($E136:G136,"¶")+COUNTIF($E136:G136,"²")+COUNTIF($E136:G136,"µ")+COUNTIF($E136:G136,1),ColDescriptionCourte)),""),
  "")),"")</f>
        <v/>
      </c>
      <c r="I136" s="40" t="str">
        <f ca="1">IFERROR(IF(AND(
  INDEX(Roadmap!$D:$K,MATCH($E136,Roadmap!$D:$D,0)+COUNTIF($E136:H136,"u")+COUNTIF($E136:H136,"t")+COUNTIF($E136:H136,"¶")+COUNTIF($E136:H136,"²")+COUNTIF($E136:H136,"µ")+COUNTIF($E136:H136,1),ColLivraison)=I$6,
  VLOOKUP($E136,INDIRECT("tri!"&amp; CHAR(64+ C0Col) &amp;":"&amp; CHAR(65+C0Col)),2,FALSE)&gt;COUNTIF($E136:H136,"u")+COUNTIF($E136:H136,"t")+COUNTIF($E136:H136,"¶")+COUNTIF($E136:H136,"²")+COUNTIF($E136:H136,"µ")+COUNTIF($E136:H136,1)),
HYPERLINK("#Roadmap!C"&amp; MATCH($E136,Roadmap!$D:$D,0)+COUNTIF($E136:H136,"u")+COUNTIF($E136:H136,"t"),
     INDEX(Roadmap!$D:$K,MATCH($E136,Roadmap!$D:$D,0)+COUNTIF($E136:H136,"u")+COUNTIF($E136:H136,"t")+COUNTIF($E136:H136,"¶")+COUNTIF($E136:H136,"²")+COUNTIF($E136:H136,"µ")+COUNTIF($E136:H136,1),ColTypeEcheance)),
  IF(LEN(H136)=1,
  IF(LEN(INDEX(Roadmap!$D:$K,MATCH($E136,Roadmap!$D:$D,0)-1+COUNTIF($E136:H136,"u")+COUNTIF($E136:H136,"t")+COUNTIF($E136:H136,"¶")+COUNTIF($E136:H136,"²")+COUNTIF($E136:H136,"µ")+COUNTIF($E136:H136,1),ColDescriptionCourte))&gt;1,
HYPERLINK("#Roadmap!C"&amp; MATCH($E136,Roadmap!$D:$D,0)+COUNTIF($E136:H136,"u")+COUNTIF($E136:H136,"t")+COUNTIF($E136:H136,"¶")+COUNTIF($E136:H136,"²")+COUNTIF($E136:H136,"µ")+COUNTIF($E136:H136,1)-1,INDEX(Roadmap!$D:$K,MATCH($E136,Roadmap!$D:$D,0)-1+COUNTIF($E136:H136,"u")+COUNTIF($E136:H136,"t")+COUNTIF($E136:H136,"¶")+COUNTIF($E136:H136,"²")+COUNTIF($E136:H136,"µ")+COUNTIF($E136:H136,1),ColDescriptionCourte)),""),
  "")),"")</f>
        <v/>
      </c>
      <c r="J136" s="40" t="str">
        <f ca="1">IFERROR(IF(AND(
  INDEX(Roadmap!$D:$K,MATCH($E136,Roadmap!$D:$D,0)+COUNTIF($E136:I136,"u")+COUNTIF($E136:I136,"t")+COUNTIF($E136:I136,"¶")+COUNTIF($E136:I136,"²")+COUNTIF($E136:I136,"µ")+COUNTIF($E136:I136,1),ColLivraison)=J$6,
  VLOOKUP($E136,INDIRECT("tri!"&amp; CHAR(64+ C0Col) &amp;":"&amp; CHAR(65+C0Col)),2,FALSE)&gt;COUNTIF($E136:I136,"u")+COUNTIF($E136:I136,"t")+COUNTIF($E136:I136,"¶")+COUNTIF($E136:I136,"²")+COUNTIF($E136:I136,"µ")+COUNTIF($E136:I136,1)),
HYPERLINK("#Roadmap!C"&amp; MATCH($E136,Roadmap!$D:$D,0)+COUNTIF($E136:I136,"u")+COUNTIF($E136:I136,"t"),
     INDEX(Roadmap!$D:$K,MATCH($E136,Roadmap!$D:$D,0)+COUNTIF($E136:I136,"u")+COUNTIF($E136:I136,"t")+COUNTIF($E136:I136,"¶")+COUNTIF($E136:I136,"²")+COUNTIF($E136:I136,"µ")+COUNTIF($E136:I136,1),ColTypeEcheance)),
  IF(LEN(I136)=1,
  IF(LEN(INDEX(Roadmap!$D:$K,MATCH($E136,Roadmap!$D:$D,0)-1+COUNTIF($E136:I136,"u")+COUNTIF($E136:I136,"t")+COUNTIF($E136:I136,"¶")+COUNTIF($E136:I136,"²")+COUNTIF($E136:I136,"µ")+COUNTIF($E136:I136,1),ColDescriptionCourte))&gt;1,
HYPERLINK("#Roadmap!C"&amp; MATCH($E136,Roadmap!$D:$D,0)+COUNTIF($E136:I136,"u")+COUNTIF($E136:I136,"t")+COUNTIF($E136:I136,"¶")+COUNTIF($E136:I136,"²")+COUNTIF($E136:I136,"µ")+COUNTIF($E136:I136,1)-1,INDEX(Roadmap!$D:$K,MATCH($E136,Roadmap!$D:$D,0)-1+COUNTIF($E136:I136,"u")+COUNTIF($E136:I136,"t")+COUNTIF($E136:I136,"¶")+COUNTIF($E136:I136,"²")+COUNTIF($E136:I136,"µ")+COUNTIF($E136:I136,1),ColDescriptionCourte)),""),
  "")),"")</f>
        <v/>
      </c>
      <c r="K136" s="40" t="str">
        <f ca="1">IFERROR(IF(AND(
  INDEX(Roadmap!$D:$K,MATCH($E136,Roadmap!$D:$D,0)+COUNTIF($E136:J136,"u")+COUNTIF($E136:J136,"t")+COUNTIF($E136:J136,"¶")+COUNTIF($E136:J136,"²")+COUNTIF($E136:J136,"µ")+COUNTIF($E136:J136,1),ColLivraison)=K$6,
  VLOOKUP($E136,INDIRECT("tri!"&amp; CHAR(64+ C0Col) &amp;":"&amp; CHAR(65+C0Col)),2,FALSE)&gt;COUNTIF($E136:J136,"u")+COUNTIF($E136:J136,"t")+COUNTIF($E136:J136,"¶")+COUNTIF($E136:J136,"²")+COUNTIF($E136:J136,"µ")+COUNTIF($E136:J136,1)),
HYPERLINK("#Roadmap!C"&amp; MATCH($E136,Roadmap!$D:$D,0)+COUNTIF($E136:J136,"u")+COUNTIF($E136:J136,"t"),
     INDEX(Roadmap!$D:$K,MATCH($E136,Roadmap!$D:$D,0)+COUNTIF($E136:J136,"u")+COUNTIF($E136:J136,"t")+COUNTIF($E136:J136,"¶")+COUNTIF($E136:J136,"²")+COUNTIF($E136:J136,"µ")+COUNTIF($E136:J136,1),ColTypeEcheance)),
  IF(LEN(J136)=1,
  IF(LEN(INDEX(Roadmap!$D:$K,MATCH($E136,Roadmap!$D:$D,0)-1+COUNTIF($E136:J136,"u")+COUNTIF($E136:J136,"t")+COUNTIF($E136:J136,"¶")+COUNTIF($E136:J136,"²")+COUNTIF($E136:J136,"µ")+COUNTIF($E136:J136,1),ColDescriptionCourte))&gt;1,
HYPERLINK("#Roadmap!C"&amp; MATCH($E136,Roadmap!$D:$D,0)+COUNTIF($E136:J136,"u")+COUNTIF($E136:J136,"t")+COUNTIF($E136:J136,"¶")+COUNTIF($E136:J136,"²")+COUNTIF($E136:J136,"µ")+COUNTIF($E136:J136,1)-1,INDEX(Roadmap!$D:$K,MATCH($E136,Roadmap!$D:$D,0)-1+COUNTIF($E136:J136,"u")+COUNTIF($E136:J136,"t")+COUNTIF($E136:J136,"¶")+COUNTIF($E136:J136,"²")+COUNTIF($E136:J136,"µ")+COUNTIF($E136:J136,1),ColDescriptionCourte)),""),
  "")),"")</f>
        <v/>
      </c>
      <c r="L136" s="39" t="str">
        <f ca="1">IFERROR(IF(AND(
  INDEX(Roadmap!$D:$K,MATCH($E136,Roadmap!$D:$D,0)+COUNTIF($E136:K136,"u")+COUNTIF($E136:K136,"t")+COUNTIF($E136:K136,"¶")+COUNTIF($E136:K136,"²")+COUNTIF($E136:K136,"µ")+COUNTIF($E136:K136,1),ColLivraison)=L$6,
  VLOOKUP($E136,INDIRECT("tri!"&amp; CHAR(64+ C0Col) &amp;":"&amp; CHAR(65+C0Col)),2,FALSE)&gt;COUNTIF($E136:K136,"u")+COUNTIF($E136:K136,"t")+COUNTIF($E136:K136,"¶")+COUNTIF($E136:K136,"²")+COUNTIF($E136:K136,"µ")+COUNTIF($E136:K136,1)),
HYPERLINK("#Roadmap!C"&amp; MATCH($E136,Roadmap!$D:$D,0)+COUNTIF($E136:K136,"u")+COUNTIF($E136:K136,"t"),
     INDEX(Roadmap!$D:$K,MATCH($E136,Roadmap!$D:$D,0)+COUNTIF($E136:K136,"u")+COUNTIF($E136:K136,"t")+COUNTIF($E136:K136,"¶")+COUNTIF($E136:K136,"²")+COUNTIF($E136:K136,"µ")+COUNTIF($E136:K136,1),ColTypeEcheance)),
  IF(LEN(K136)=1,
  IF(LEN(INDEX(Roadmap!$D:$K,MATCH($E136,Roadmap!$D:$D,0)-1+COUNTIF($E136:K136,"u")+COUNTIF($E136:K136,"t")+COUNTIF($E136:K136,"¶")+COUNTIF($E136:K136,"²")+COUNTIF($E136:K136,"µ")+COUNTIF($E136:K136,1),ColDescriptionCourte))&gt;1,
HYPERLINK("#Roadmap!C"&amp; MATCH($E136,Roadmap!$D:$D,0)+COUNTIF($E136:K136,"u")+COUNTIF($E136:K136,"t")+COUNTIF($E136:K136,"¶")+COUNTIF($E136:K136,"²")+COUNTIF($E136:K136,"µ")+COUNTIF($E136:K136,1)-1,INDEX(Roadmap!$D:$K,MATCH($E136,Roadmap!$D:$D,0)-1+COUNTIF($E136:K136,"u")+COUNTIF($E136:K136,"t")+COUNTIF($E136:K136,"¶")+COUNTIF($E136:K136,"²")+COUNTIF($E136:K136,"µ")+COUNTIF($E136:K136,1),ColDescriptionCourte)),""),
  "")),"")</f>
        <v/>
      </c>
      <c r="M136" s="40" t="str">
        <f ca="1">IFERROR(IF(AND(
  INDEX(Roadmap!$D:$K,MATCH($E136,Roadmap!$D:$D,0)+COUNTIF($E136:L136,"u")+COUNTIF($E136:L136,"t")+COUNTIF($E136:L136,"¶")+COUNTIF($E136:L136,"²")+COUNTIF($E136:L136,"µ")+COUNTIF($E136:L136,1),ColLivraison)=M$6,
  VLOOKUP($E136,INDIRECT("tri!"&amp; CHAR(64+ C0Col) &amp;":"&amp; CHAR(65+C0Col)),2,FALSE)&gt;COUNTIF($E136:L136,"u")+COUNTIF($E136:L136,"t")+COUNTIF($E136:L136,"¶")+COUNTIF($E136:L136,"²")+COUNTIF($E136:L136,"µ")+COUNTIF($E136:L136,1)),
HYPERLINK("#Roadmap!C"&amp; MATCH($E136,Roadmap!$D:$D,0)+COUNTIF($E136:L136,"u")+COUNTIF($E136:L136,"t"),
     INDEX(Roadmap!$D:$K,MATCH($E136,Roadmap!$D:$D,0)+COUNTIF($E136:L136,"u")+COUNTIF($E136:L136,"t")+COUNTIF($E136:L136,"¶")+COUNTIF($E136:L136,"²")+COUNTIF($E136:L136,"µ")+COUNTIF($E136:L136,1),ColTypeEcheance)),
  IF(LEN(L136)=1,
  IF(LEN(INDEX(Roadmap!$D:$K,MATCH($E136,Roadmap!$D:$D,0)-1+COUNTIF($E136:L136,"u")+COUNTIF($E136:L136,"t")+COUNTIF($E136:L136,"¶")+COUNTIF($E136:L136,"²")+COUNTIF($E136:L136,"µ")+COUNTIF($E136:L136,1),ColDescriptionCourte))&gt;1,
HYPERLINK("#Roadmap!C"&amp; MATCH($E136,Roadmap!$D:$D,0)+COUNTIF($E136:L136,"u")+COUNTIF($E136:L136,"t")+COUNTIF($E136:L136,"¶")+COUNTIF($E136:L136,"²")+COUNTIF($E136:L136,"µ")+COUNTIF($E136:L136,1)-1,INDEX(Roadmap!$D:$K,MATCH($E136,Roadmap!$D:$D,0)-1+COUNTIF($E136:L136,"u")+COUNTIF($E136:L136,"t")+COUNTIF($E136:L136,"¶")+COUNTIF($E136:L136,"²")+COUNTIF($E136:L136,"µ")+COUNTIF($E136:L136,1),ColDescriptionCourte)),""),
  "")),"")</f>
        <v/>
      </c>
      <c r="N136" s="40" t="str">
        <f ca="1">IFERROR(IF(AND(
  INDEX(Roadmap!$D:$K,MATCH($E136,Roadmap!$D:$D,0)+COUNTIF($E136:M136,"u")+COUNTIF($E136:M136,"t")+COUNTIF($E136:M136,"¶")+COUNTIF($E136:M136,"²")+COUNTIF($E136:M136,"µ")+COUNTIF($E136:M136,1),ColLivraison)=N$6,
  VLOOKUP($E136,INDIRECT("tri!"&amp; CHAR(64+ C0Col) &amp;":"&amp; CHAR(65+C0Col)),2,FALSE)&gt;COUNTIF($E136:M136,"u")+COUNTIF($E136:M136,"t")+COUNTIF($E136:M136,"¶")+COUNTIF($E136:M136,"²")+COUNTIF($E136:M136,"µ")+COUNTIF($E136:M136,1)),
HYPERLINK("#Roadmap!C"&amp; MATCH($E136,Roadmap!$D:$D,0)+COUNTIF($E136:M136,"u")+COUNTIF($E136:M136,"t"),
     INDEX(Roadmap!$D:$K,MATCH($E136,Roadmap!$D:$D,0)+COUNTIF($E136:M136,"u")+COUNTIF($E136:M136,"t")+COUNTIF($E136:M136,"¶")+COUNTIF($E136:M136,"²")+COUNTIF($E136:M136,"µ")+COUNTIF($E136:M136,1),ColTypeEcheance)),
  IF(LEN(M136)=1,
  IF(LEN(INDEX(Roadmap!$D:$K,MATCH($E136,Roadmap!$D:$D,0)-1+COUNTIF($E136:M136,"u")+COUNTIF($E136:M136,"t")+COUNTIF($E136:M136,"¶")+COUNTIF($E136:M136,"²")+COUNTIF($E136:M136,"µ")+COUNTIF($E136:M136,1),ColDescriptionCourte))&gt;1,
HYPERLINK("#Roadmap!C"&amp; MATCH($E136,Roadmap!$D:$D,0)+COUNTIF($E136:M136,"u")+COUNTIF($E136:M136,"t")+COUNTIF($E136:M136,"¶")+COUNTIF($E136:M136,"²")+COUNTIF($E136:M136,"µ")+COUNTIF($E136:M136,1)-1,INDEX(Roadmap!$D:$K,MATCH($E136,Roadmap!$D:$D,0)-1+COUNTIF($E136:M136,"u")+COUNTIF($E136:M136,"t")+COUNTIF($E136:M136,"¶")+COUNTIF($E136:M136,"²")+COUNTIF($E136:M136,"µ")+COUNTIF($E136:M136,1),ColDescriptionCourte)),""),
  "")),"")</f>
        <v/>
      </c>
      <c r="O136" s="40" t="str">
        <f ca="1">IFERROR(IF(AND(
  INDEX(Roadmap!$D:$K,MATCH($E136,Roadmap!$D:$D,0)+COUNTIF($E136:N136,"u")+COUNTIF($E136:N136,"t")+COUNTIF($E136:N136,"¶")+COUNTIF($E136:N136,"²")+COUNTIF($E136:N136,"µ")+COUNTIF($E136:N136,1),ColLivraison)=O$6,
  VLOOKUP($E136,INDIRECT("tri!"&amp; CHAR(64+ C0Col) &amp;":"&amp; CHAR(65+C0Col)),2,FALSE)&gt;COUNTIF($E136:N136,"u")+COUNTIF($E136:N136,"t")+COUNTIF($E136:N136,"¶")+COUNTIF($E136:N136,"²")+COUNTIF($E136:N136,"µ")+COUNTIF($E136:N136,1)),
HYPERLINK("#Roadmap!C"&amp; MATCH($E136,Roadmap!$D:$D,0)+COUNTIF($E136:N136,"u")+COUNTIF($E136:N136,"t"),
     INDEX(Roadmap!$D:$K,MATCH($E136,Roadmap!$D:$D,0)+COUNTIF($E136:N136,"u")+COUNTIF($E136:N136,"t")+COUNTIF($E136:N136,"¶")+COUNTIF($E136:N136,"²")+COUNTIF($E136:N136,"µ")+COUNTIF($E136:N136,1),ColTypeEcheance)),
  IF(LEN(N136)=1,
  IF(LEN(INDEX(Roadmap!$D:$K,MATCH($E136,Roadmap!$D:$D,0)-1+COUNTIF($E136:N136,"u")+COUNTIF($E136:N136,"t")+COUNTIF($E136:N136,"¶")+COUNTIF($E136:N136,"²")+COUNTIF($E136:N136,"µ")+COUNTIF($E136:N136,1),ColDescriptionCourte))&gt;1,
HYPERLINK("#Roadmap!C"&amp; MATCH($E136,Roadmap!$D:$D,0)+COUNTIF($E136:N136,"u")+COUNTIF($E136:N136,"t")+COUNTIF($E136:N136,"¶")+COUNTIF($E136:N136,"²")+COUNTIF($E136:N136,"µ")+COUNTIF($E136:N136,1)-1,INDEX(Roadmap!$D:$K,MATCH($E136,Roadmap!$D:$D,0)-1+COUNTIF($E136:N136,"u")+COUNTIF($E136:N136,"t")+COUNTIF($E136:N136,"¶")+COUNTIF($E136:N136,"²")+COUNTIF($E136:N136,"µ")+COUNTIF($E136:N136,1),ColDescriptionCourte)),""),
  "")),"")</f>
        <v/>
      </c>
      <c r="P136" s="40" t="str">
        <f ca="1">IFERROR(IF(AND(
  INDEX(Roadmap!$D:$K,MATCH($E136,Roadmap!$D:$D,0)+COUNTIF($E136:O136,"u")+COUNTIF($E136:O136,"t")+COUNTIF($E136:O136,"¶")+COUNTIF($E136:O136,"²")+COUNTIF($E136:O136,"µ")+COUNTIF($E136:O136,1),ColLivraison)=P$6,
  VLOOKUP($E136,INDIRECT("tri!"&amp; CHAR(64+ C0Col) &amp;":"&amp; CHAR(65+C0Col)),2,FALSE)&gt;COUNTIF($E136:O136,"u")+COUNTIF($E136:O136,"t")+COUNTIF($E136:O136,"¶")+COUNTIF($E136:O136,"²")+COUNTIF($E136:O136,"µ")+COUNTIF($E136:O136,1)),
HYPERLINK("#Roadmap!C"&amp; MATCH($E136,Roadmap!$D:$D,0)+COUNTIF($E136:O136,"u")+COUNTIF($E136:O136,"t"),
     INDEX(Roadmap!$D:$K,MATCH($E136,Roadmap!$D:$D,0)+COUNTIF($E136:O136,"u")+COUNTIF($E136:O136,"t")+COUNTIF($E136:O136,"¶")+COUNTIF($E136:O136,"²")+COUNTIF($E136:O136,"µ")+COUNTIF($E136:O136,1),ColTypeEcheance)),
  IF(LEN(O136)=1,
  IF(LEN(INDEX(Roadmap!$D:$K,MATCH($E136,Roadmap!$D:$D,0)-1+COUNTIF($E136:O136,"u")+COUNTIF($E136:O136,"t")+COUNTIF($E136:O136,"¶")+COUNTIF($E136:O136,"²")+COUNTIF($E136:O136,"µ")+COUNTIF($E136:O136,1),ColDescriptionCourte))&gt;1,
HYPERLINK("#Roadmap!C"&amp; MATCH($E136,Roadmap!$D:$D,0)+COUNTIF($E136:O136,"u")+COUNTIF($E136:O136,"t")+COUNTIF($E136:O136,"¶")+COUNTIF($E136:O136,"²")+COUNTIF($E136:O136,"µ")+COUNTIF($E136:O136,1)-1,INDEX(Roadmap!$D:$K,MATCH($E136,Roadmap!$D:$D,0)-1+COUNTIF($E136:O136,"u")+COUNTIF($E136:O136,"t")+COUNTIF($E136:O136,"¶")+COUNTIF($E136:O136,"²")+COUNTIF($E136:O136,"µ")+COUNTIF($E136:O136,1),ColDescriptionCourte)),""),
  "")),"")</f>
        <v/>
      </c>
      <c r="Q136" s="40" t="str">
        <f ca="1">IFERROR(IF(AND(
  INDEX(Roadmap!$D:$K,MATCH($E136,Roadmap!$D:$D,0)+COUNTIF($E136:P136,"u")+COUNTIF($E136:P136,"t")+COUNTIF($E136:P136,"¶")+COUNTIF($E136:P136,"²")+COUNTIF($E136:P136,"µ")+COUNTIF($E136:P136,1),ColLivraison)=Q$6,
  VLOOKUP($E136,INDIRECT("tri!"&amp; CHAR(64+ C0Col) &amp;":"&amp; CHAR(65+C0Col)),2,FALSE)&gt;COUNTIF($E136:P136,"u")+COUNTIF($E136:P136,"t")+COUNTIF($E136:P136,"¶")+COUNTIF($E136:P136,"²")+COUNTIF($E136:P136,"µ")+COUNTIF($E136:P136,1)),
HYPERLINK("#Roadmap!C"&amp; MATCH($E136,Roadmap!$D:$D,0)+COUNTIF($E136:P136,"u")+COUNTIF($E136:P136,"t"),
     INDEX(Roadmap!$D:$K,MATCH($E136,Roadmap!$D:$D,0)+COUNTIF($E136:P136,"u")+COUNTIF($E136:P136,"t")+COUNTIF($E136:P136,"¶")+COUNTIF($E136:P136,"²")+COUNTIF($E136:P136,"µ")+COUNTIF($E136:P136,1),ColTypeEcheance)),
  IF(LEN(P136)=1,
  IF(LEN(INDEX(Roadmap!$D:$K,MATCH($E136,Roadmap!$D:$D,0)-1+COUNTIF($E136:P136,"u")+COUNTIF($E136:P136,"t")+COUNTIF($E136:P136,"¶")+COUNTIF($E136:P136,"²")+COUNTIF($E136:P136,"µ")+COUNTIF($E136:P136,1),ColDescriptionCourte))&gt;1,
HYPERLINK("#Roadmap!C"&amp; MATCH($E136,Roadmap!$D:$D,0)+COUNTIF($E136:P136,"u")+COUNTIF($E136:P136,"t")+COUNTIF($E136:P136,"¶")+COUNTIF($E136:P136,"²")+COUNTIF($E136:P136,"µ")+COUNTIF($E136:P136,1)-1,INDEX(Roadmap!$D:$K,MATCH($E136,Roadmap!$D:$D,0)-1+COUNTIF($E136:P136,"u")+COUNTIF($E136:P136,"t")+COUNTIF($E136:P136,"¶")+COUNTIF($E136:P136,"²")+COUNTIF($E136:P136,"µ")+COUNTIF($E136:P136,1),ColDescriptionCourte)),""),
  "")),"")</f>
        <v/>
      </c>
      <c r="R136" s="40" t="str">
        <f ca="1">IFERROR(IF(AND(
  INDEX(Roadmap!$D:$K,MATCH($E136,Roadmap!$D:$D,0)+COUNTIF($E136:Q136,"u")+COUNTIF($E136:Q136,"t")+COUNTIF($E136:Q136,"¶")+COUNTIF($E136:Q136,"²")+COUNTIF($E136:Q136,"µ")+COUNTIF($E136:Q136,1),ColLivraison)=R$6,
  VLOOKUP($E136,INDIRECT("tri!"&amp; CHAR(64+ C0Col) &amp;":"&amp; CHAR(65+C0Col)),2,FALSE)&gt;COUNTIF($E136:Q136,"u")+COUNTIF($E136:Q136,"t")+COUNTIF($E136:Q136,"¶")+COUNTIF($E136:Q136,"²")+COUNTIF($E136:Q136,"µ")+COUNTIF($E136:Q136,1)),
HYPERLINK("#Roadmap!C"&amp; MATCH($E136,Roadmap!$D:$D,0)+COUNTIF($E136:Q136,"u")+COUNTIF($E136:Q136,"t"),
     INDEX(Roadmap!$D:$K,MATCH($E136,Roadmap!$D:$D,0)+COUNTIF($E136:Q136,"u")+COUNTIF($E136:Q136,"t")+COUNTIF($E136:Q136,"¶")+COUNTIF($E136:Q136,"²")+COUNTIF($E136:Q136,"µ")+COUNTIF($E136:Q136,1),ColTypeEcheance)),
  IF(LEN(Q136)=1,
  IF(LEN(INDEX(Roadmap!$D:$K,MATCH($E136,Roadmap!$D:$D,0)-1+COUNTIF($E136:Q136,"u")+COUNTIF($E136:Q136,"t")+COUNTIF($E136:Q136,"¶")+COUNTIF($E136:Q136,"²")+COUNTIF($E136:Q136,"µ")+COUNTIF($E136:Q136,1),ColDescriptionCourte))&gt;1,
HYPERLINK("#Roadmap!C"&amp; MATCH($E136,Roadmap!$D:$D,0)+COUNTIF($E136:Q136,"u")+COUNTIF($E136:Q136,"t")+COUNTIF($E136:Q136,"¶")+COUNTIF($E136:Q136,"²")+COUNTIF($E136:Q136,"µ")+COUNTIF($E136:Q136,1)-1,INDEX(Roadmap!$D:$K,MATCH($E136,Roadmap!$D:$D,0)-1+COUNTIF($E136:Q136,"u")+COUNTIF($E136:Q136,"t")+COUNTIF($E136:Q136,"¶")+COUNTIF($E136:Q136,"²")+COUNTIF($E136:Q136,"µ")+COUNTIF($E136:Q136,1),ColDescriptionCourte)),""),
  "")),"")</f>
        <v/>
      </c>
      <c r="S136" s="40" t="str">
        <f ca="1">IFERROR(IF(AND(
  INDEX(Roadmap!$D:$K,MATCH($E136,Roadmap!$D:$D,0)+COUNTIF($E136:R136,"u")+COUNTIF($E136:R136,"t")+COUNTIF($E136:R136,"¶")+COUNTIF($E136:R136,"²")+COUNTIF($E136:R136,"µ")+COUNTIF($E136:R136,1),ColLivraison)=S$6,
  VLOOKUP($E136,INDIRECT("tri!"&amp; CHAR(64+ C0Col) &amp;":"&amp; CHAR(65+C0Col)),2,FALSE)&gt;COUNTIF($E136:R136,"u")+COUNTIF($E136:R136,"t")+COUNTIF($E136:R136,"¶")+COUNTIF($E136:R136,"²")+COUNTIF($E136:R136,"µ")+COUNTIF($E136:R136,1)),
HYPERLINK("#Roadmap!C"&amp; MATCH($E136,Roadmap!$D:$D,0)+COUNTIF($E136:R136,"u")+COUNTIF($E136:R136,"t"),
     INDEX(Roadmap!$D:$K,MATCH($E136,Roadmap!$D:$D,0)+COUNTIF($E136:R136,"u")+COUNTIF($E136:R136,"t")+COUNTIF($E136:R136,"¶")+COUNTIF($E136:R136,"²")+COUNTIF($E136:R136,"µ")+COUNTIF($E136:R136,1),ColTypeEcheance)),
  IF(LEN(R136)=1,
  IF(LEN(INDEX(Roadmap!$D:$K,MATCH($E136,Roadmap!$D:$D,0)-1+COUNTIF($E136:R136,"u")+COUNTIF($E136:R136,"t")+COUNTIF($E136:R136,"¶")+COUNTIF($E136:R136,"²")+COUNTIF($E136:R136,"µ")+COUNTIF($E136:R136,1),ColDescriptionCourte))&gt;1,
HYPERLINK("#Roadmap!C"&amp; MATCH($E136,Roadmap!$D:$D,0)+COUNTIF($E136:R136,"u")+COUNTIF($E136:R136,"t")+COUNTIF($E136:R136,"¶")+COUNTIF($E136:R136,"²")+COUNTIF($E136:R136,"µ")+COUNTIF($E136:R136,1)-1,INDEX(Roadmap!$D:$K,MATCH($E136,Roadmap!$D:$D,0)-1+COUNTIF($E136:R136,"u")+COUNTIF($E136:R136,"t")+COUNTIF($E136:R136,"¶")+COUNTIF($E136:R136,"²")+COUNTIF($E136:R136,"µ")+COUNTIF($E136:R136,1),ColDescriptionCourte)),""),
  "")),"")</f>
        <v/>
      </c>
      <c r="T136" s="40" t="str">
        <f ca="1">IFERROR(IF(AND(
  INDEX(Roadmap!$D:$K,MATCH($E136,Roadmap!$D:$D,0)+COUNTIF($E136:S136,"u")+COUNTIF($E136:S136,"t")+COUNTIF($E136:S136,"¶")+COUNTIF($E136:S136,"²")+COUNTIF($E136:S136,"µ")+COUNTIF($E136:S136,1),ColLivraison)=T$6,
  VLOOKUP($E136,INDIRECT("tri!"&amp; CHAR(64+ C0Col) &amp;":"&amp; CHAR(65+C0Col)),2,FALSE)&gt;COUNTIF($E136:S136,"u")+COUNTIF($E136:S136,"t")+COUNTIF($E136:S136,"¶")+COUNTIF($E136:S136,"²")+COUNTIF($E136:S136,"µ")+COUNTIF($E136:S136,1)),
HYPERLINK("#Roadmap!C"&amp; MATCH($E136,Roadmap!$D:$D,0)+COUNTIF($E136:S136,"u")+COUNTIF($E136:S136,"t"),
     INDEX(Roadmap!$D:$K,MATCH($E136,Roadmap!$D:$D,0)+COUNTIF($E136:S136,"u")+COUNTIF($E136:S136,"t")+COUNTIF($E136:S136,"¶")+COUNTIF($E136:S136,"²")+COUNTIF($E136:S136,"µ")+COUNTIF($E136:S136,1),ColTypeEcheance)),
  IF(LEN(S136)=1,
  IF(LEN(INDEX(Roadmap!$D:$K,MATCH($E136,Roadmap!$D:$D,0)-1+COUNTIF($E136:S136,"u")+COUNTIF($E136:S136,"t")+COUNTIF($E136:S136,"¶")+COUNTIF($E136:S136,"²")+COUNTIF($E136:S136,"µ")+COUNTIF($E136:S136,1),ColDescriptionCourte))&gt;1,
HYPERLINK("#Roadmap!C"&amp; MATCH($E136,Roadmap!$D:$D,0)+COUNTIF($E136:S136,"u")+COUNTIF($E136:S136,"t")+COUNTIF($E136:S136,"¶")+COUNTIF($E136:S136,"²")+COUNTIF($E136:S136,"µ")+COUNTIF($E136:S136,1)-1,INDEX(Roadmap!$D:$K,MATCH($E136,Roadmap!$D:$D,0)-1+COUNTIF($E136:S136,"u")+COUNTIF($E136:S136,"t")+COUNTIF($E136:S136,"¶")+COUNTIF($E136:S136,"²")+COUNTIF($E136:S136,"µ")+COUNTIF($E136:S136,1),ColDescriptionCourte)),""),
  "")),"")</f>
        <v/>
      </c>
      <c r="U136" s="40" t="str">
        <f ca="1">IFERROR(IF(AND(
  INDEX(Roadmap!$D:$K,MATCH($E136,Roadmap!$D:$D,0)+COUNTIF($E136:T136,"u")+COUNTIF($E136:T136,"t")+COUNTIF($E136:T136,"¶")+COUNTIF($E136:T136,"²")+COUNTIF($E136:T136,"µ")+COUNTIF($E136:T136,1),ColLivraison)=U$6,
  VLOOKUP($E136,INDIRECT("tri!"&amp; CHAR(64+ C0Col) &amp;":"&amp; CHAR(65+C0Col)),2,FALSE)&gt;COUNTIF($E136:T136,"u")+COUNTIF($E136:T136,"t")+COUNTIF($E136:T136,"¶")+COUNTIF($E136:T136,"²")+COUNTIF($E136:T136,"µ")+COUNTIF($E136:T136,1)),
HYPERLINK("#Roadmap!C"&amp; MATCH($E136,Roadmap!$D:$D,0)+COUNTIF($E136:T136,"u")+COUNTIF($E136:T136,"t"),
     INDEX(Roadmap!$D:$K,MATCH($E136,Roadmap!$D:$D,0)+COUNTIF($E136:T136,"u")+COUNTIF($E136:T136,"t")+COUNTIF($E136:T136,"¶")+COUNTIF($E136:T136,"²")+COUNTIF($E136:T136,"µ")+COUNTIF($E136:T136,1),ColTypeEcheance)),
  IF(LEN(T136)=1,
  IF(LEN(INDEX(Roadmap!$D:$K,MATCH($E136,Roadmap!$D:$D,0)-1+COUNTIF($E136:T136,"u")+COUNTIF($E136:T136,"t")+COUNTIF($E136:T136,"¶")+COUNTIF($E136:T136,"²")+COUNTIF($E136:T136,"µ")+COUNTIF($E136:T136,1),ColDescriptionCourte))&gt;1,
HYPERLINK("#Roadmap!C"&amp; MATCH($E136,Roadmap!$D:$D,0)+COUNTIF($E136:T136,"u")+COUNTIF($E136:T136,"t")+COUNTIF($E136:T136,"¶")+COUNTIF($E136:T136,"²")+COUNTIF($E136:T136,"µ")+COUNTIF($E136:T136,1)-1,INDEX(Roadmap!$D:$K,MATCH($E136,Roadmap!$D:$D,0)-1+COUNTIF($E136:T136,"u")+COUNTIF($E136:T136,"t")+COUNTIF($E136:T136,"¶")+COUNTIF($E136:T136,"²")+COUNTIF($E136:T136,"µ")+COUNTIF($E136:T136,1),ColDescriptionCourte)),""),
  "")),"")</f>
        <v/>
      </c>
      <c r="V136" s="40" t="str">
        <f ca="1">IFERROR(IF(AND(
  INDEX(Roadmap!$D:$K,MATCH($E136,Roadmap!$D:$D,0)+COUNTIF($E136:U136,"u")+COUNTIF($E136:U136,"t")+COUNTIF($E136:U136,"¶")+COUNTIF($E136:U136,"²")+COUNTIF($E136:U136,"µ")+COUNTIF($E136:U136,1),ColLivraison)=V$6,
  VLOOKUP($E136,INDIRECT("tri!"&amp; CHAR(64+ C0Col) &amp;":"&amp; CHAR(65+C0Col)),2,FALSE)&gt;COUNTIF($E136:U136,"u")+COUNTIF($E136:U136,"t")+COUNTIF($E136:U136,"¶")+COUNTIF($E136:U136,"²")+COUNTIF($E136:U136,"µ")+COUNTIF($E136:U136,1)),
HYPERLINK("#Roadmap!C"&amp; MATCH($E136,Roadmap!$D:$D,0)+COUNTIF($E136:U136,"u")+COUNTIF($E136:U136,"t"),
     INDEX(Roadmap!$D:$K,MATCH($E136,Roadmap!$D:$D,0)+COUNTIF($E136:U136,"u")+COUNTIF($E136:U136,"t")+COUNTIF($E136:U136,"¶")+COUNTIF($E136:U136,"²")+COUNTIF($E136:U136,"µ")+COUNTIF($E136:U136,1),ColTypeEcheance)),
  IF(LEN(U136)=1,
  IF(LEN(INDEX(Roadmap!$D:$K,MATCH($E136,Roadmap!$D:$D,0)-1+COUNTIF($E136:U136,"u")+COUNTIF($E136:U136,"t")+COUNTIF($E136:U136,"¶")+COUNTIF($E136:U136,"²")+COUNTIF($E136:U136,"µ")+COUNTIF($E136:U136,1),ColDescriptionCourte))&gt;1,
HYPERLINK("#Roadmap!C"&amp; MATCH($E136,Roadmap!$D:$D,0)+COUNTIF($E136:U136,"u")+COUNTIF($E136:U136,"t")+COUNTIF($E136:U136,"¶")+COUNTIF($E136:U136,"²")+COUNTIF($E136:U136,"µ")+COUNTIF($E136:U136,1)-1,INDEX(Roadmap!$D:$K,MATCH($E136,Roadmap!$D:$D,0)-1+COUNTIF($E136:U136,"u")+COUNTIF($E136:U136,"t")+COUNTIF($E136:U136,"¶")+COUNTIF($E136:U136,"²")+COUNTIF($E136:U136,"µ")+COUNTIF($E136:U136,1),ColDescriptionCourte)),""),
  "")),"")</f>
        <v/>
      </c>
      <c r="W136" s="40" t="str">
        <f ca="1">IFERROR(IF(AND(
  INDEX(Roadmap!$D:$K,MATCH($E136,Roadmap!$D:$D,0)+COUNTIF($E136:V136,"u")+COUNTIF($E136:V136,"t")+COUNTIF($E136:V136,"¶")+COUNTIF($E136:V136,"²")+COUNTIF($E136:V136,"µ")+COUNTIF($E136:V136,1),ColLivraison)=W$6,
  VLOOKUP($E136,INDIRECT("tri!"&amp; CHAR(64+ C0Col) &amp;":"&amp; CHAR(65+C0Col)),2,FALSE)&gt;COUNTIF($E136:V136,"u")+COUNTIF($E136:V136,"t")+COUNTIF($E136:V136,"¶")+COUNTIF($E136:V136,"²")+COUNTIF($E136:V136,"µ")+COUNTIF($E136:V136,1)),
HYPERLINK("#Roadmap!C"&amp; MATCH($E136,Roadmap!$D:$D,0)+COUNTIF($E136:V136,"u")+COUNTIF($E136:V136,"t"),
     INDEX(Roadmap!$D:$K,MATCH($E136,Roadmap!$D:$D,0)+COUNTIF($E136:V136,"u")+COUNTIF($E136:V136,"t")+COUNTIF($E136:V136,"¶")+COUNTIF($E136:V136,"²")+COUNTIF($E136:V136,"µ")+COUNTIF($E136:V136,1),ColTypeEcheance)),
  IF(LEN(V136)=1,
  IF(LEN(INDEX(Roadmap!$D:$K,MATCH($E136,Roadmap!$D:$D,0)-1+COUNTIF($E136:V136,"u")+COUNTIF($E136:V136,"t")+COUNTIF($E136:V136,"¶")+COUNTIF($E136:V136,"²")+COUNTIF($E136:V136,"µ")+COUNTIF($E136:V136,1),ColDescriptionCourte))&gt;1,
HYPERLINK("#Roadmap!C"&amp; MATCH($E136,Roadmap!$D:$D,0)+COUNTIF($E136:V136,"u")+COUNTIF($E136:V136,"t")+COUNTIF($E136:V136,"¶")+COUNTIF($E136:V136,"²")+COUNTIF($E136:V136,"µ")+COUNTIF($E136:V136,1)-1,INDEX(Roadmap!$D:$K,MATCH($E136,Roadmap!$D:$D,0)-1+COUNTIF($E136:V136,"u")+COUNTIF($E136:V136,"t")+COUNTIF($E136:V136,"¶")+COUNTIF($E136:V136,"²")+COUNTIF($E136:V136,"µ")+COUNTIF($E136:V136,1),ColDescriptionCourte)),""),
  "")),"")</f>
        <v/>
      </c>
      <c r="X136" s="40" t="str">
        <f ca="1">IFERROR(IF(AND(
  INDEX(Roadmap!$D:$K,MATCH($E136,Roadmap!$D:$D,0)+COUNTIF($E136:W136,"u")+COUNTIF($E136:W136,"t")+COUNTIF($E136:W136,"¶")+COUNTIF($E136:W136,"²")+COUNTIF($E136:W136,"µ")+COUNTIF($E136:W136,1),ColLivraison)=X$6,
  VLOOKUP($E136,INDIRECT("tri!"&amp; CHAR(64+ C0Col) &amp;":"&amp; CHAR(65+C0Col)),2,FALSE)&gt;COUNTIF($E136:W136,"u")+COUNTIF($E136:W136,"t")+COUNTIF($E136:W136,"¶")+COUNTIF($E136:W136,"²")+COUNTIF($E136:W136,"µ")+COUNTIF($E136:W136,1)),
HYPERLINK("#Roadmap!C"&amp; MATCH($E136,Roadmap!$D:$D,0)+COUNTIF($E136:W136,"u")+COUNTIF($E136:W136,"t"),
     INDEX(Roadmap!$D:$K,MATCH($E136,Roadmap!$D:$D,0)+COUNTIF($E136:W136,"u")+COUNTIF($E136:W136,"t")+COUNTIF($E136:W136,"¶")+COUNTIF($E136:W136,"²")+COUNTIF($E136:W136,"µ")+COUNTIF($E136:W136,1),ColTypeEcheance)),
  IF(LEN(W136)=1,
  IF(LEN(INDEX(Roadmap!$D:$K,MATCH($E136,Roadmap!$D:$D,0)-1+COUNTIF($E136:W136,"u")+COUNTIF($E136:W136,"t")+COUNTIF($E136:W136,"¶")+COUNTIF($E136:W136,"²")+COUNTIF($E136:W136,"µ")+COUNTIF($E136:W136,1),ColDescriptionCourte))&gt;1,
HYPERLINK("#Roadmap!C"&amp; MATCH($E136,Roadmap!$D:$D,0)+COUNTIF($E136:W136,"u")+COUNTIF($E136:W136,"t")+COUNTIF($E136:W136,"¶")+COUNTIF($E136:W136,"²")+COUNTIF($E136:W136,"µ")+COUNTIF($E136:W136,1)-1,INDEX(Roadmap!$D:$K,MATCH($E136,Roadmap!$D:$D,0)-1+COUNTIF($E136:W136,"u")+COUNTIF($E136:W136,"t")+COUNTIF($E136:W136,"¶")+COUNTIF($E136:W136,"²")+COUNTIF($E136:W136,"µ")+COUNTIF($E136:W136,1),ColDescriptionCourte)),""),
  "")),"")</f>
        <v/>
      </c>
      <c r="Y136" s="40" t="str">
        <f ca="1">IFERROR(IF(AND(
  INDEX(Roadmap!$D:$K,MATCH($E136,Roadmap!$D:$D,0)+COUNTIF($E136:X136,"u")+COUNTIF($E136:X136,"t")+COUNTIF($E136:X136,"¶")+COUNTIF($E136:X136,"²")+COUNTIF($E136:X136,"µ")+COUNTIF($E136:X136,1),ColLivraison)=Y$6,
  VLOOKUP($E136,INDIRECT("tri!"&amp; CHAR(64+ C0Col) &amp;":"&amp; CHAR(65+C0Col)),2,FALSE)&gt;COUNTIF($E136:X136,"u")+COUNTIF($E136:X136,"t")+COUNTIF($E136:X136,"¶")+COUNTIF($E136:X136,"²")+COUNTIF($E136:X136,"µ")+COUNTIF($E136:X136,1)),
HYPERLINK("#Roadmap!C"&amp; MATCH($E136,Roadmap!$D:$D,0)+COUNTIF($E136:X136,"u")+COUNTIF($E136:X136,"t"),
     INDEX(Roadmap!$D:$K,MATCH($E136,Roadmap!$D:$D,0)+COUNTIF($E136:X136,"u")+COUNTIF($E136:X136,"t")+COUNTIF($E136:X136,"¶")+COUNTIF($E136:X136,"²")+COUNTIF($E136:X136,"µ")+COUNTIF($E136:X136,1),ColTypeEcheance)),
  IF(LEN(X136)=1,
  IF(LEN(INDEX(Roadmap!$D:$K,MATCH($E136,Roadmap!$D:$D,0)-1+COUNTIF($E136:X136,"u")+COUNTIF($E136:X136,"t")+COUNTIF($E136:X136,"¶")+COUNTIF($E136:X136,"²")+COUNTIF($E136:X136,"µ")+COUNTIF($E136:X136,1),ColDescriptionCourte))&gt;1,
HYPERLINK("#Roadmap!C"&amp; MATCH($E136,Roadmap!$D:$D,0)+COUNTIF($E136:X136,"u")+COUNTIF($E136:X136,"t")+COUNTIF($E136:X136,"¶")+COUNTIF($E136:X136,"²")+COUNTIF($E136:X136,"µ")+COUNTIF($E136:X136,1)-1,INDEX(Roadmap!$D:$K,MATCH($E136,Roadmap!$D:$D,0)-1+COUNTIF($E136:X136,"u")+COUNTIF($E136:X136,"t")+COUNTIF($E136:X136,"¶")+COUNTIF($E136:X136,"²")+COUNTIF($E136:X136,"µ")+COUNTIF($E136:X136,1),ColDescriptionCourte)),""),
  "")),"")</f>
        <v/>
      </c>
      <c r="Z136" s="40" t="str">
        <f ca="1">IFERROR(IF(AND(
  INDEX(Roadmap!$D:$K,MATCH($E136,Roadmap!$D:$D,0)+COUNTIF($E136:Y136,"u")+COUNTIF($E136:Y136,"t")+COUNTIF($E136:Y136,"¶")+COUNTIF($E136:Y136,"²")+COUNTIF($E136:Y136,"µ")+COUNTIF($E136:Y136,1),ColLivraison)=Z$6,
  VLOOKUP($E136,INDIRECT("tri!"&amp; CHAR(64+ C0Col) &amp;":"&amp; CHAR(65+C0Col)),2,FALSE)&gt;COUNTIF($E136:Y136,"u")+COUNTIF($E136:Y136,"t")+COUNTIF($E136:Y136,"¶")+COUNTIF($E136:Y136,"²")+COUNTIF($E136:Y136,"µ")+COUNTIF($E136:Y136,1)),
HYPERLINK("#Roadmap!C"&amp; MATCH($E136,Roadmap!$D:$D,0)+COUNTIF($E136:Y136,"u")+COUNTIF($E136:Y136,"t"),
     INDEX(Roadmap!$D:$K,MATCH($E136,Roadmap!$D:$D,0)+COUNTIF($E136:Y136,"u")+COUNTIF($E136:Y136,"t")+COUNTIF($E136:Y136,"¶")+COUNTIF($E136:Y136,"²")+COUNTIF($E136:Y136,"µ")+COUNTIF($E136:Y136,1),ColTypeEcheance)),
  IF(LEN(Y136)=1,
  IF(LEN(INDEX(Roadmap!$D:$K,MATCH($E136,Roadmap!$D:$D,0)-1+COUNTIF($E136:Y136,"u")+COUNTIF($E136:Y136,"t")+COUNTIF($E136:Y136,"¶")+COUNTIF($E136:Y136,"²")+COUNTIF($E136:Y136,"µ")+COUNTIF($E136:Y136,1),ColDescriptionCourte))&gt;1,
HYPERLINK("#Roadmap!C"&amp; MATCH($E136,Roadmap!$D:$D,0)+COUNTIF($E136:Y136,"u")+COUNTIF($E136:Y136,"t")+COUNTIF($E136:Y136,"¶")+COUNTIF($E136:Y136,"²")+COUNTIF($E136:Y136,"µ")+COUNTIF($E136:Y136,1)-1,INDEX(Roadmap!$D:$K,MATCH($E136,Roadmap!$D:$D,0)-1+COUNTIF($E136:Y136,"u")+COUNTIF($E136:Y136,"t")+COUNTIF($E136:Y136,"¶")+COUNTIF($E136:Y136,"²")+COUNTIF($E136:Y136,"µ")+COUNTIF($E136:Y136,1),ColDescriptionCourte)),""),
  "")),"")</f>
        <v/>
      </c>
      <c r="AA136" s="40" t="str">
        <f ca="1">IFERROR(IF(AND(
  INDEX(Roadmap!$D:$K,MATCH($E136,Roadmap!$D:$D,0)+COUNTIF($E136:Z136,"u")+COUNTIF($E136:Z136,"t")+COUNTIF($E136:Z136,"¶")+COUNTIF($E136:Z136,"²")+COUNTIF($E136:Z136,"µ")+COUNTIF($E136:Z136,1),ColLivraison)=AA$6,
  VLOOKUP($E136,INDIRECT("tri!"&amp; CHAR(64+ C0Col) &amp;":"&amp; CHAR(65+C0Col)),2,FALSE)&gt;COUNTIF($E136:Z136,"u")+COUNTIF($E136:Z136,"t")+COUNTIF($E136:Z136,"¶")+COUNTIF($E136:Z136,"²")+COUNTIF($E136:Z136,"µ")+COUNTIF($E136:Z136,1)),
HYPERLINK("#Roadmap!C"&amp; MATCH($E136,Roadmap!$D:$D,0)+COUNTIF($E136:Z136,"u")+COUNTIF($E136:Z136,"t"),
     INDEX(Roadmap!$D:$K,MATCH($E136,Roadmap!$D:$D,0)+COUNTIF($E136:Z136,"u")+COUNTIF($E136:Z136,"t")+COUNTIF($E136:Z136,"¶")+COUNTIF($E136:Z136,"²")+COUNTIF($E136:Z136,"µ")+COUNTIF($E136:Z136,1),ColTypeEcheance)),
  IF(LEN(Z136)=1,
  IF(LEN(INDEX(Roadmap!$D:$K,MATCH($E136,Roadmap!$D:$D,0)-1+COUNTIF($E136:Z136,"u")+COUNTIF($E136:Z136,"t")+COUNTIF($E136:Z136,"¶")+COUNTIF($E136:Z136,"²")+COUNTIF($E136:Z136,"µ")+COUNTIF($E136:Z136,1),ColDescriptionCourte))&gt;1,
HYPERLINK("#Roadmap!C"&amp; MATCH($E136,Roadmap!$D:$D,0)+COUNTIF($E136:Z136,"u")+COUNTIF($E136:Z136,"t")+COUNTIF($E136:Z136,"¶")+COUNTIF($E136:Z136,"²")+COUNTIF($E136:Z136,"µ")+COUNTIF($E136:Z136,1)-1,INDEX(Roadmap!$D:$K,MATCH($E136,Roadmap!$D:$D,0)-1+COUNTIF($E136:Z136,"u")+COUNTIF($E136:Z136,"t")+COUNTIF($E136:Z136,"¶")+COUNTIF($E136:Z136,"²")+COUNTIF($E136:Z136,"µ")+COUNTIF($E136:Z136,1),ColDescriptionCourte)),""),
  "")),"")</f>
        <v/>
      </c>
      <c r="AB136" s="40" t="str">
        <f ca="1">IFERROR(IF(AND(
  INDEX(Roadmap!$D:$K,MATCH($E136,Roadmap!$D:$D,0)+COUNTIF($E136:AA136,"u")+COUNTIF($E136:AA136,"t")+COUNTIF($E136:AA136,"¶")+COUNTIF($E136:AA136,"²")+COUNTIF($E136:AA136,"µ")+COUNTIF($E136:AA136,1),ColLivraison)=AB$6,
  VLOOKUP($E136,INDIRECT("tri!"&amp; CHAR(64+ C0Col) &amp;":"&amp; CHAR(65+C0Col)),2,FALSE)&gt;COUNTIF($E136:AA136,"u")+COUNTIF($E136:AA136,"t")+COUNTIF($E136:AA136,"¶")+COUNTIF($E136:AA136,"²")+COUNTIF($E136:AA136,"µ")+COUNTIF($E136:AA136,1)),
HYPERLINK("#Roadmap!C"&amp; MATCH($E136,Roadmap!$D:$D,0)+COUNTIF($E136:AA136,"u")+COUNTIF($E136:AA136,"t"),
     INDEX(Roadmap!$D:$K,MATCH($E136,Roadmap!$D:$D,0)+COUNTIF($E136:AA136,"u")+COUNTIF($E136:AA136,"t")+COUNTIF($E136:AA136,"¶")+COUNTIF($E136:AA136,"²")+COUNTIF($E136:AA136,"µ")+COUNTIF($E136:AA136,1),ColTypeEcheance)),
  IF(LEN(AA136)=1,
  IF(LEN(INDEX(Roadmap!$D:$K,MATCH($E136,Roadmap!$D:$D,0)-1+COUNTIF($E136:AA136,"u")+COUNTIF($E136:AA136,"t")+COUNTIF($E136:AA136,"¶")+COUNTIF($E136:AA136,"²")+COUNTIF($E136:AA136,"µ")+COUNTIF($E136:AA136,1),ColDescriptionCourte))&gt;1,
HYPERLINK("#Roadmap!C"&amp; MATCH($E136,Roadmap!$D:$D,0)+COUNTIF($E136:AA136,"u")+COUNTIF($E136:AA136,"t")+COUNTIF($E136:AA136,"¶")+COUNTIF($E136:AA136,"²")+COUNTIF($E136:AA136,"µ")+COUNTIF($E136:AA136,1)-1,INDEX(Roadmap!$D:$K,MATCH($E136,Roadmap!$D:$D,0)-1+COUNTIF($E136:AA136,"u")+COUNTIF($E136:AA136,"t")+COUNTIF($E136:AA136,"¶")+COUNTIF($E136:AA136,"²")+COUNTIF($E136:AA136,"µ")+COUNTIF($E136:AA136,1),ColDescriptionCourte)),""),
  "")),"")</f>
        <v/>
      </c>
      <c r="AC136" s="40" t="str">
        <f ca="1">IFERROR(IF(AND(
  INDEX(Roadmap!$D:$K,MATCH($E136,Roadmap!$D:$D,0)+COUNTIF($E136:AB136,"u")+COUNTIF($E136:AB136,"t")+COUNTIF($E136:AB136,"¶")+COUNTIF($E136:AB136,"²")+COUNTIF($E136:AB136,"µ")+COUNTIF($E136:AB136,1),ColLivraison)=AC$6,
  VLOOKUP($E136,INDIRECT("tri!"&amp; CHAR(64+ C0Col) &amp;":"&amp; CHAR(65+C0Col)),2,FALSE)&gt;COUNTIF($E136:AB136,"u")+COUNTIF($E136:AB136,"t")+COUNTIF($E136:AB136,"¶")+COUNTIF($E136:AB136,"²")+COUNTIF($E136:AB136,"µ")+COUNTIF($E136:AB136,1)),
HYPERLINK("#Roadmap!C"&amp; MATCH($E136,Roadmap!$D:$D,0)+COUNTIF($E136:AB136,"u")+COUNTIF($E136:AB136,"t"),
     INDEX(Roadmap!$D:$K,MATCH($E136,Roadmap!$D:$D,0)+COUNTIF($E136:AB136,"u")+COUNTIF($E136:AB136,"t")+COUNTIF($E136:AB136,"¶")+COUNTIF($E136:AB136,"²")+COUNTIF($E136:AB136,"µ")+COUNTIF($E136:AB136,1),ColTypeEcheance)),
  IF(LEN(AB136)=1,
  IF(LEN(INDEX(Roadmap!$D:$K,MATCH($E136,Roadmap!$D:$D,0)-1+COUNTIF($E136:AB136,"u")+COUNTIF($E136:AB136,"t")+COUNTIF($E136:AB136,"¶")+COUNTIF($E136:AB136,"²")+COUNTIF($E136:AB136,"µ")+COUNTIF($E136:AB136,1),ColDescriptionCourte))&gt;1,
HYPERLINK("#Roadmap!C"&amp; MATCH($E136,Roadmap!$D:$D,0)+COUNTIF($E136:AB136,"u")+COUNTIF($E136:AB136,"t")+COUNTIF($E136:AB136,"¶")+COUNTIF($E136:AB136,"²")+COUNTIF($E136:AB136,"µ")+COUNTIF($E136:AB136,1)-1,INDEX(Roadmap!$D:$K,MATCH($E136,Roadmap!$D:$D,0)-1+COUNTIF($E136:AB136,"u")+COUNTIF($E136:AB136,"t")+COUNTIF($E136:AB136,"¶")+COUNTIF($E136:AB136,"²")+COUNTIF($E136:AB136,"µ")+COUNTIF($E136:AB136,1),ColDescriptionCourte)),""),
  "")),"")</f>
        <v/>
      </c>
      <c r="AD136" s="40" t="str">
        <f ca="1">IFERROR(IF(AND(
  INDEX(Roadmap!$D:$K,MATCH($E136,Roadmap!$D:$D,0)+COUNTIF($E136:AC136,"u")+COUNTIF($E136:AC136,"t")+COUNTIF($E136:AC136,"¶")+COUNTIF($E136:AC136,"²")+COUNTIF($E136:AC136,"µ")+COUNTIF($E136:AC136,1),ColLivraison)=AD$6,
  VLOOKUP($E136,INDIRECT("tri!"&amp; CHAR(64+ C0Col) &amp;":"&amp; CHAR(65+C0Col)),2,FALSE)&gt;COUNTIF($E136:AC136,"u")+COUNTIF($E136:AC136,"t")+COUNTIF($E136:AC136,"¶")+COUNTIF($E136:AC136,"²")+COUNTIF($E136:AC136,"µ")+COUNTIF($E136:AC136,1)),
HYPERLINK("#Roadmap!C"&amp; MATCH($E136,Roadmap!$D:$D,0)+COUNTIF($E136:AC136,"u")+COUNTIF($E136:AC136,"t"),
     INDEX(Roadmap!$D:$K,MATCH($E136,Roadmap!$D:$D,0)+COUNTIF($E136:AC136,"u")+COUNTIF($E136:AC136,"t")+COUNTIF($E136:AC136,"¶")+COUNTIF($E136:AC136,"²")+COUNTIF($E136:AC136,"µ")+COUNTIF($E136:AC136,1),ColTypeEcheance)),
  IF(LEN(AC136)=1,
  IF(LEN(INDEX(Roadmap!$D:$K,MATCH($E136,Roadmap!$D:$D,0)-1+COUNTIF($E136:AC136,"u")+COUNTIF($E136:AC136,"t")+COUNTIF($E136:AC136,"¶")+COUNTIF($E136:AC136,"²")+COUNTIF($E136:AC136,"µ")+COUNTIF($E136:AC136,1),ColDescriptionCourte))&gt;1,
HYPERLINK("#Roadmap!C"&amp; MATCH($E136,Roadmap!$D:$D,0)+COUNTIF($E136:AC136,"u")+COUNTIF($E136:AC136,"t")+COUNTIF($E136:AC136,"¶")+COUNTIF($E136:AC136,"²")+COUNTIF($E136:AC136,"µ")+COUNTIF($E136:AC136,1)-1,INDEX(Roadmap!$D:$K,MATCH($E136,Roadmap!$D:$D,0)-1+COUNTIF($E136:AC136,"u")+COUNTIF($E136:AC136,"t")+COUNTIF($E136:AC136,"¶")+COUNTIF($E136:AC136,"²")+COUNTIF($E136:AC136,"µ")+COUNTIF($E136:AC136,1),ColDescriptionCourte)),""),
  "")),"")</f>
        <v/>
      </c>
      <c r="AE136" s="40" t="str">
        <f ca="1">IFERROR(IF(AND(
  INDEX(Roadmap!$D:$K,MATCH($E136,Roadmap!$D:$D,0)+COUNTIF($E136:AD136,"u")+COUNTIF($E136:AD136,"t")+COUNTIF($E136:AD136,"¶")+COUNTIF($E136:AD136,"²")+COUNTIF($E136:AD136,"µ")+COUNTIF($E136:AD136,1),ColLivraison)=AE$6,
  VLOOKUP($E136,INDIRECT("tri!"&amp; CHAR(64+ C0Col) &amp;":"&amp; CHAR(65+C0Col)),2,FALSE)&gt;COUNTIF($E136:AD136,"u")+COUNTIF($E136:AD136,"t")+COUNTIF($E136:AD136,"¶")+COUNTIF($E136:AD136,"²")+COUNTIF($E136:AD136,"µ")+COUNTIF($E136:AD136,1)),
HYPERLINK("#Roadmap!C"&amp; MATCH($E136,Roadmap!$D:$D,0)+COUNTIF($E136:AD136,"u")+COUNTIF($E136:AD136,"t"),
     INDEX(Roadmap!$D:$K,MATCH($E136,Roadmap!$D:$D,0)+COUNTIF($E136:AD136,"u")+COUNTIF($E136:AD136,"t")+COUNTIF($E136:AD136,"¶")+COUNTIF($E136:AD136,"²")+COUNTIF($E136:AD136,"µ")+COUNTIF($E136:AD136,1),ColTypeEcheance)),
  IF(LEN(AD136)=1,
  IF(LEN(INDEX(Roadmap!$D:$K,MATCH($E136,Roadmap!$D:$D,0)-1+COUNTIF($E136:AD136,"u")+COUNTIF($E136:AD136,"t")+COUNTIF($E136:AD136,"¶")+COUNTIF($E136:AD136,"²")+COUNTIF($E136:AD136,"µ")+COUNTIF($E136:AD136,1),ColDescriptionCourte))&gt;1,
HYPERLINK("#Roadmap!C"&amp; MATCH($E136,Roadmap!$D:$D,0)+COUNTIF($E136:AD136,"u")+COUNTIF($E136:AD136,"t")+COUNTIF($E136:AD136,"¶")+COUNTIF($E136:AD136,"²")+COUNTIF($E136:AD136,"µ")+COUNTIF($E136:AD136,1)-1,INDEX(Roadmap!$D:$K,MATCH($E136,Roadmap!$D:$D,0)-1+COUNTIF($E136:AD136,"u")+COUNTIF($E136:AD136,"t")+COUNTIF($E136:AD136,"¶")+COUNTIF($E136:AD136,"²")+COUNTIF($E136:AD136,"µ")+COUNTIF($E136:AD136,1),ColDescriptionCourte)),""),
  "")),"")</f>
        <v/>
      </c>
      <c r="AF136" s="40" t="str">
        <f ca="1">IFERROR(IF(AND(
  INDEX(Roadmap!$D:$K,MATCH($E136,Roadmap!$D:$D,0)+COUNTIF($E136:AE136,"u")+COUNTIF($E136:AE136,"t")+COUNTIF($E136:AE136,"¶")+COUNTIF($E136:AE136,"²")+COUNTIF($E136:AE136,"µ")+COUNTIF($E136:AE136,1),ColLivraison)=AF$6,
  VLOOKUP($E136,INDIRECT("tri!"&amp; CHAR(64+ C0Col) &amp;":"&amp; CHAR(65+C0Col)),2,FALSE)&gt;COUNTIF($E136:AE136,"u")+COUNTIF($E136:AE136,"t")+COUNTIF($E136:AE136,"¶")+COUNTIF($E136:AE136,"²")+COUNTIF($E136:AE136,"µ")+COUNTIF($E136:AE136,1)),
HYPERLINK("#Roadmap!C"&amp; MATCH($E136,Roadmap!$D:$D,0)+COUNTIF($E136:AE136,"u")+COUNTIF($E136:AE136,"t"),
     INDEX(Roadmap!$D:$K,MATCH($E136,Roadmap!$D:$D,0)+COUNTIF($E136:AE136,"u")+COUNTIF($E136:AE136,"t")+COUNTIF($E136:AE136,"¶")+COUNTIF($E136:AE136,"²")+COUNTIF($E136:AE136,"µ")+COUNTIF($E136:AE136,1),ColTypeEcheance)),
  IF(LEN(AE136)=1,
  IF(LEN(INDEX(Roadmap!$D:$K,MATCH($E136,Roadmap!$D:$D,0)-1+COUNTIF($E136:AE136,"u")+COUNTIF($E136:AE136,"t")+COUNTIF($E136:AE136,"¶")+COUNTIF($E136:AE136,"²")+COUNTIF($E136:AE136,"µ")+COUNTIF($E136:AE136,1),ColDescriptionCourte))&gt;1,
HYPERLINK("#Roadmap!C"&amp; MATCH($E136,Roadmap!$D:$D,0)+COUNTIF($E136:AE136,"u")+COUNTIF($E136:AE136,"t")+COUNTIF($E136:AE136,"¶")+COUNTIF($E136:AE136,"²")+COUNTIF($E136:AE136,"µ")+COUNTIF($E136:AE136,1)-1,INDEX(Roadmap!$D:$K,MATCH($E136,Roadmap!$D:$D,0)-1+COUNTIF($E136:AE136,"u")+COUNTIF($E136:AE136,"t")+COUNTIF($E136:AE136,"¶")+COUNTIF($E136:AE136,"²")+COUNTIF($E136:AE136,"µ")+COUNTIF($E136:AE136,1),ColDescriptionCourte)),""),
  "")),"")</f>
        <v/>
      </c>
      <c r="AG136" s="40" t="str">
        <f ca="1">IFERROR(IF(AND(
  INDEX(Roadmap!$D:$K,MATCH($E136,Roadmap!$D:$D,0)+COUNTIF($E136:AF136,"u")+COUNTIF($E136:AF136,"t")+COUNTIF($E136:AF136,"¶")+COUNTIF($E136:AF136,"²")+COUNTIF($E136:AF136,"µ")+COUNTIF($E136:AF136,1),ColLivraison)=AG$6,
  VLOOKUP($E136,INDIRECT("tri!"&amp; CHAR(64+ C0Col) &amp;":"&amp; CHAR(65+C0Col)),2,FALSE)&gt;COUNTIF($E136:AF136,"u")+COUNTIF($E136:AF136,"t")+COUNTIF($E136:AF136,"¶")+COUNTIF($E136:AF136,"²")+COUNTIF($E136:AF136,"µ")+COUNTIF($E136:AF136,1)),
HYPERLINK("#Roadmap!C"&amp; MATCH($E136,Roadmap!$D:$D,0)+COUNTIF($E136:AF136,"u")+COUNTIF($E136:AF136,"t"),
     INDEX(Roadmap!$D:$K,MATCH($E136,Roadmap!$D:$D,0)+COUNTIF($E136:AF136,"u")+COUNTIF($E136:AF136,"t")+COUNTIF($E136:AF136,"¶")+COUNTIF($E136:AF136,"²")+COUNTIF($E136:AF136,"µ")+COUNTIF($E136:AF136,1),ColTypeEcheance)),
  IF(LEN(AF136)=1,
  IF(LEN(INDEX(Roadmap!$D:$K,MATCH($E136,Roadmap!$D:$D,0)-1+COUNTIF($E136:AF136,"u")+COUNTIF($E136:AF136,"t")+COUNTIF($E136:AF136,"¶")+COUNTIF($E136:AF136,"²")+COUNTIF($E136:AF136,"µ")+COUNTIF($E136:AF136,1),ColDescriptionCourte))&gt;1,
HYPERLINK("#Roadmap!C"&amp; MATCH($E136,Roadmap!$D:$D,0)+COUNTIF($E136:AF136,"u")+COUNTIF($E136:AF136,"t")+COUNTIF($E136:AF136,"¶")+COUNTIF($E136:AF136,"²")+COUNTIF($E136:AF136,"µ")+COUNTIF($E136:AF136,1)-1,INDEX(Roadmap!$D:$K,MATCH($E136,Roadmap!$D:$D,0)-1+COUNTIF($E136:AF136,"u")+COUNTIF($E136:AF136,"t")+COUNTIF($E136:AF136,"¶")+COUNTIF($E136:AF136,"²")+COUNTIF($E136:AF136,"µ")+COUNTIF($E136:AF136,1),ColDescriptionCourte)),""),
  "")),"")</f>
        <v/>
      </c>
    </row>
    <row r="137" spans="3:33" ht="14.25" customHeight="1">
      <c r="C137" s="1" t="str">
        <f t="shared" ca="1" si="52"/>
        <v/>
      </c>
      <c r="D137" s="1" t="str">
        <f t="shared" ca="1" si="53"/>
        <v/>
      </c>
      <c r="E137" s="35" t="str">
        <f t="shared" ca="1" si="51"/>
        <v/>
      </c>
      <c r="F137" s="39" t="str">
        <f ca="1">IFERROR(IF(AND(
  INDEX(Roadmap!$D:$K,MATCH($E137,Roadmap!$D:$D,0)+COUNTIF($E137:E137,"u")+COUNTIF($E137:E137,"t")+COUNTIF($E137:E137,"¶")+COUNTIF($E137:E137,"²")+COUNTIF($E137:E137,"µ")+COUNTIF($E137:E137,1),ColLivraison)=F$6,
  VLOOKUP($E137,INDIRECT("tri!"&amp; CHAR(64+ C0Col) &amp;":"&amp; CHAR(65+C0Col)),2,FALSE)&gt;COUNTIF($E137:E137,"u")+COUNTIF($E137:E137,"t")+COUNTIF($E137:E137,"¶")+COUNTIF($E137:E137,"²")+COUNTIF($E137:E137,"µ")+COUNTIF($E137:E137,1)),
HYPERLINK("#Roadmap!C"&amp; MATCH($E137,Roadmap!$D:$D,0)+COUNTIF($E137:E137,"u")+COUNTIF($E137:E137,"t"),
     INDEX(Roadmap!$D:$K,MATCH($E137,Roadmap!$D:$D,0)+COUNTIF($E137:E137,"u")+COUNTIF($E137:E137,"t")+COUNTIF($E137:E137,"¶")+COUNTIF($E137:E137,"²")+COUNTIF($E137:E137,"µ")+COUNTIF($E137:E137,1),ColTypeEcheance)),
  IF(LEN(E137)=1,
  IF(LEN(INDEX(Roadmap!$D:$K,MATCH($E137,Roadmap!$D:$D,0)-1+COUNTIF($E137:E137,"u")+COUNTIF($E137:E137,"t")+COUNTIF($E137:E137,"¶")+COUNTIF($E137:E137,"²")+COUNTIF($E137:E137,"µ")+COUNTIF($E137:E137,1),ColDescriptionCourte))&gt;1,
HYPERLINK("#Roadmap!C"&amp; MATCH($E137,Roadmap!$D:$D,0)+COUNTIF($E137:E137,"u")+COUNTIF($E137:E137,"t")+COUNTIF($E137:E137,"¶")+COUNTIF($E137:E137,"²")+COUNTIF($E137:E137,"µ")+COUNTIF($E137:E137,1)-1,INDEX(Roadmap!$D:$K,MATCH($E137,Roadmap!$D:$D,0)-1+COUNTIF($E137:E137,"u")+COUNTIF($E137:E137,"t")+COUNTIF($E137:E137,"¶")+COUNTIF($E137:E137,"²")+COUNTIF($E137:E137,"µ")+COUNTIF($E137:E137,1),ColDescriptionCourte)),""),
  "")),"")</f>
        <v/>
      </c>
      <c r="G137" s="40" t="str">
        <f ca="1">IFERROR(IF(AND(
  INDEX(Roadmap!$D:$K,MATCH($E137,Roadmap!$D:$D,0)+COUNTIF($E137:F137,"u")+COUNTIF($E137:F137,"t")+COUNTIF($E137:F137,"¶")+COUNTIF($E137:F137,"²")+COUNTIF($E137:F137,"µ")+COUNTIF($E137:F137,1),ColLivraison)=G$6,
  VLOOKUP($E137,INDIRECT("tri!"&amp; CHAR(64+ C0Col) &amp;":"&amp; CHAR(65+C0Col)),2,FALSE)&gt;COUNTIF($E137:F137,"u")+COUNTIF($E137:F137,"t")+COUNTIF($E137:F137,"¶")+COUNTIF($E137:F137,"²")+COUNTIF($E137:F137,"µ")+COUNTIF($E137:F137,1)),
HYPERLINK("#Roadmap!C"&amp; MATCH($E137,Roadmap!$D:$D,0)+COUNTIF($E137:F137,"u")+COUNTIF($E137:F137,"t"),
     INDEX(Roadmap!$D:$K,MATCH($E137,Roadmap!$D:$D,0)+COUNTIF($E137:F137,"u")+COUNTIF($E137:F137,"t")+COUNTIF($E137:F137,"¶")+COUNTIF($E137:F137,"²")+COUNTIF($E137:F137,"µ")+COUNTIF($E137:F137,1),ColTypeEcheance)),
  IF(LEN(F137)=1,
  IF(LEN(INDEX(Roadmap!$D:$K,MATCH($E137,Roadmap!$D:$D,0)-1+COUNTIF($E137:F137,"u")+COUNTIF($E137:F137,"t")+COUNTIF($E137:F137,"¶")+COUNTIF($E137:F137,"²")+COUNTIF($E137:F137,"µ")+COUNTIF($E137:F137,1),ColDescriptionCourte))&gt;1,
HYPERLINK("#Roadmap!C"&amp; MATCH($E137,Roadmap!$D:$D,0)+COUNTIF($E137:F137,"u")+COUNTIF($E137:F137,"t")+COUNTIF($E137:F137,"¶")+COUNTIF($E137:F137,"²")+COUNTIF($E137:F137,"µ")+COUNTIF($E137:F137,1)-1,INDEX(Roadmap!$D:$K,MATCH($E137,Roadmap!$D:$D,0)-1+COUNTIF($E137:F137,"u")+COUNTIF($E137:F137,"t")+COUNTIF($E137:F137,"¶")+COUNTIF($E137:F137,"²")+COUNTIF($E137:F137,"µ")+COUNTIF($E137:F137,1),ColDescriptionCourte)),""),
  "")),"")</f>
        <v/>
      </c>
      <c r="H137" s="40" t="str">
        <f ca="1">IFERROR(IF(AND(
  INDEX(Roadmap!$D:$K,MATCH($E137,Roadmap!$D:$D,0)+COUNTIF($E137:G137,"u")+COUNTIF($E137:G137,"t")+COUNTIF($E137:G137,"¶")+COUNTIF($E137:G137,"²")+COUNTIF($E137:G137,"µ")+COUNTIF($E137:G137,1),ColLivraison)=H$6,
  VLOOKUP($E137,INDIRECT("tri!"&amp; CHAR(64+ C0Col) &amp;":"&amp; CHAR(65+C0Col)),2,FALSE)&gt;COUNTIF($E137:G137,"u")+COUNTIF($E137:G137,"t")+COUNTIF($E137:G137,"¶")+COUNTIF($E137:G137,"²")+COUNTIF($E137:G137,"µ")+COUNTIF($E137:G137,1)),
HYPERLINK("#Roadmap!C"&amp; MATCH($E137,Roadmap!$D:$D,0)+COUNTIF($E137:G137,"u")+COUNTIF($E137:G137,"t"),
     INDEX(Roadmap!$D:$K,MATCH($E137,Roadmap!$D:$D,0)+COUNTIF($E137:G137,"u")+COUNTIF($E137:G137,"t")+COUNTIF($E137:G137,"¶")+COUNTIF($E137:G137,"²")+COUNTIF($E137:G137,"µ")+COUNTIF($E137:G137,1),ColTypeEcheance)),
  IF(LEN(G137)=1,
  IF(LEN(INDEX(Roadmap!$D:$K,MATCH($E137,Roadmap!$D:$D,0)-1+COUNTIF($E137:G137,"u")+COUNTIF($E137:G137,"t")+COUNTIF($E137:G137,"¶")+COUNTIF($E137:G137,"²")+COUNTIF($E137:G137,"µ")+COUNTIF($E137:G137,1),ColDescriptionCourte))&gt;1,
HYPERLINK("#Roadmap!C"&amp; MATCH($E137,Roadmap!$D:$D,0)+COUNTIF($E137:G137,"u")+COUNTIF($E137:G137,"t")+COUNTIF($E137:G137,"¶")+COUNTIF($E137:G137,"²")+COUNTIF($E137:G137,"µ")+COUNTIF($E137:G137,1)-1,INDEX(Roadmap!$D:$K,MATCH($E137,Roadmap!$D:$D,0)-1+COUNTIF($E137:G137,"u")+COUNTIF($E137:G137,"t")+COUNTIF($E137:G137,"¶")+COUNTIF($E137:G137,"²")+COUNTIF($E137:G137,"µ")+COUNTIF($E137:G137,1),ColDescriptionCourte)),""),
  "")),"")</f>
        <v/>
      </c>
      <c r="I137" s="40" t="str">
        <f ca="1">IFERROR(IF(AND(
  INDEX(Roadmap!$D:$K,MATCH($E137,Roadmap!$D:$D,0)+COUNTIF($E137:H137,"u")+COUNTIF($E137:H137,"t")+COUNTIF($E137:H137,"¶")+COUNTIF($E137:H137,"²")+COUNTIF($E137:H137,"µ")+COUNTIF($E137:H137,1),ColLivraison)=I$6,
  VLOOKUP($E137,INDIRECT("tri!"&amp; CHAR(64+ C0Col) &amp;":"&amp; CHAR(65+C0Col)),2,FALSE)&gt;COUNTIF($E137:H137,"u")+COUNTIF($E137:H137,"t")+COUNTIF($E137:H137,"¶")+COUNTIF($E137:H137,"²")+COUNTIF($E137:H137,"µ")+COUNTIF($E137:H137,1)),
HYPERLINK("#Roadmap!C"&amp; MATCH($E137,Roadmap!$D:$D,0)+COUNTIF($E137:H137,"u")+COUNTIF($E137:H137,"t"),
     INDEX(Roadmap!$D:$K,MATCH($E137,Roadmap!$D:$D,0)+COUNTIF($E137:H137,"u")+COUNTIF($E137:H137,"t")+COUNTIF($E137:H137,"¶")+COUNTIF($E137:H137,"²")+COUNTIF($E137:H137,"µ")+COUNTIF($E137:H137,1),ColTypeEcheance)),
  IF(LEN(H137)=1,
  IF(LEN(INDEX(Roadmap!$D:$K,MATCH($E137,Roadmap!$D:$D,0)-1+COUNTIF($E137:H137,"u")+COUNTIF($E137:H137,"t")+COUNTIF($E137:H137,"¶")+COUNTIF($E137:H137,"²")+COUNTIF($E137:H137,"µ")+COUNTIF($E137:H137,1),ColDescriptionCourte))&gt;1,
HYPERLINK("#Roadmap!C"&amp; MATCH($E137,Roadmap!$D:$D,0)+COUNTIF($E137:H137,"u")+COUNTIF($E137:H137,"t")+COUNTIF($E137:H137,"¶")+COUNTIF($E137:H137,"²")+COUNTIF($E137:H137,"µ")+COUNTIF($E137:H137,1)-1,INDEX(Roadmap!$D:$K,MATCH($E137,Roadmap!$D:$D,0)-1+COUNTIF($E137:H137,"u")+COUNTIF($E137:H137,"t")+COUNTIF($E137:H137,"¶")+COUNTIF($E137:H137,"²")+COUNTIF($E137:H137,"µ")+COUNTIF($E137:H137,1),ColDescriptionCourte)),""),
  "")),"")</f>
        <v/>
      </c>
      <c r="J137" s="40" t="str">
        <f ca="1">IFERROR(IF(AND(
  INDEX(Roadmap!$D:$K,MATCH($E137,Roadmap!$D:$D,0)+COUNTIF($E137:I137,"u")+COUNTIF($E137:I137,"t")+COUNTIF($E137:I137,"¶")+COUNTIF($E137:I137,"²")+COUNTIF($E137:I137,"µ")+COUNTIF($E137:I137,1),ColLivraison)=J$6,
  VLOOKUP($E137,INDIRECT("tri!"&amp; CHAR(64+ C0Col) &amp;":"&amp; CHAR(65+C0Col)),2,FALSE)&gt;COUNTIF($E137:I137,"u")+COUNTIF($E137:I137,"t")+COUNTIF($E137:I137,"¶")+COUNTIF($E137:I137,"²")+COUNTIF($E137:I137,"µ")+COUNTIF($E137:I137,1)),
HYPERLINK("#Roadmap!C"&amp; MATCH($E137,Roadmap!$D:$D,0)+COUNTIF($E137:I137,"u")+COUNTIF($E137:I137,"t"),
     INDEX(Roadmap!$D:$K,MATCH($E137,Roadmap!$D:$D,0)+COUNTIF($E137:I137,"u")+COUNTIF($E137:I137,"t")+COUNTIF($E137:I137,"¶")+COUNTIF($E137:I137,"²")+COUNTIF($E137:I137,"µ")+COUNTIF($E137:I137,1),ColTypeEcheance)),
  IF(LEN(I137)=1,
  IF(LEN(INDEX(Roadmap!$D:$K,MATCH($E137,Roadmap!$D:$D,0)-1+COUNTIF($E137:I137,"u")+COUNTIF($E137:I137,"t")+COUNTIF($E137:I137,"¶")+COUNTIF($E137:I137,"²")+COUNTIF($E137:I137,"µ")+COUNTIF($E137:I137,1),ColDescriptionCourte))&gt;1,
HYPERLINK("#Roadmap!C"&amp; MATCH($E137,Roadmap!$D:$D,0)+COUNTIF($E137:I137,"u")+COUNTIF($E137:I137,"t")+COUNTIF($E137:I137,"¶")+COUNTIF($E137:I137,"²")+COUNTIF($E137:I137,"µ")+COUNTIF($E137:I137,1)-1,INDEX(Roadmap!$D:$K,MATCH($E137,Roadmap!$D:$D,0)-1+COUNTIF($E137:I137,"u")+COUNTIF($E137:I137,"t")+COUNTIF($E137:I137,"¶")+COUNTIF($E137:I137,"²")+COUNTIF($E137:I137,"µ")+COUNTIF($E137:I137,1),ColDescriptionCourte)),""),
  "")),"")</f>
        <v/>
      </c>
      <c r="K137" s="40" t="str">
        <f ca="1">IFERROR(IF(AND(
  INDEX(Roadmap!$D:$K,MATCH($E137,Roadmap!$D:$D,0)+COUNTIF($E137:J137,"u")+COUNTIF($E137:J137,"t")+COUNTIF($E137:J137,"¶")+COUNTIF($E137:J137,"²")+COUNTIF($E137:J137,"µ")+COUNTIF($E137:J137,1),ColLivraison)=K$6,
  VLOOKUP($E137,INDIRECT("tri!"&amp; CHAR(64+ C0Col) &amp;":"&amp; CHAR(65+C0Col)),2,FALSE)&gt;COUNTIF($E137:J137,"u")+COUNTIF($E137:J137,"t")+COUNTIF($E137:J137,"¶")+COUNTIF($E137:J137,"²")+COUNTIF($E137:J137,"µ")+COUNTIF($E137:J137,1)),
HYPERLINK("#Roadmap!C"&amp; MATCH($E137,Roadmap!$D:$D,0)+COUNTIF($E137:J137,"u")+COUNTIF($E137:J137,"t"),
     INDEX(Roadmap!$D:$K,MATCH($E137,Roadmap!$D:$D,0)+COUNTIF($E137:J137,"u")+COUNTIF($E137:J137,"t")+COUNTIF($E137:J137,"¶")+COUNTIF($E137:J137,"²")+COUNTIF($E137:J137,"µ")+COUNTIF($E137:J137,1),ColTypeEcheance)),
  IF(LEN(J137)=1,
  IF(LEN(INDEX(Roadmap!$D:$K,MATCH($E137,Roadmap!$D:$D,0)-1+COUNTIF($E137:J137,"u")+COUNTIF($E137:J137,"t")+COUNTIF($E137:J137,"¶")+COUNTIF($E137:J137,"²")+COUNTIF($E137:J137,"µ")+COUNTIF($E137:J137,1),ColDescriptionCourte))&gt;1,
HYPERLINK("#Roadmap!C"&amp; MATCH($E137,Roadmap!$D:$D,0)+COUNTIF($E137:J137,"u")+COUNTIF($E137:J137,"t")+COUNTIF($E137:J137,"¶")+COUNTIF($E137:J137,"²")+COUNTIF($E137:J137,"µ")+COUNTIF($E137:J137,1)-1,INDEX(Roadmap!$D:$K,MATCH($E137,Roadmap!$D:$D,0)-1+COUNTIF($E137:J137,"u")+COUNTIF($E137:J137,"t")+COUNTIF($E137:J137,"¶")+COUNTIF($E137:J137,"²")+COUNTIF($E137:J137,"µ")+COUNTIF($E137:J137,1),ColDescriptionCourte)),""),
  "")),"")</f>
        <v/>
      </c>
      <c r="L137" s="39" t="str">
        <f ca="1">IFERROR(IF(AND(
  INDEX(Roadmap!$D:$K,MATCH($E137,Roadmap!$D:$D,0)+COUNTIF($E137:K137,"u")+COUNTIF($E137:K137,"t")+COUNTIF($E137:K137,"¶")+COUNTIF($E137:K137,"²")+COUNTIF($E137:K137,"µ")+COUNTIF($E137:K137,1),ColLivraison)=L$6,
  VLOOKUP($E137,INDIRECT("tri!"&amp; CHAR(64+ C0Col) &amp;":"&amp; CHAR(65+C0Col)),2,FALSE)&gt;COUNTIF($E137:K137,"u")+COUNTIF($E137:K137,"t")+COUNTIF($E137:K137,"¶")+COUNTIF($E137:K137,"²")+COUNTIF($E137:K137,"µ")+COUNTIF($E137:K137,1)),
HYPERLINK("#Roadmap!C"&amp; MATCH($E137,Roadmap!$D:$D,0)+COUNTIF($E137:K137,"u")+COUNTIF($E137:K137,"t"),
     INDEX(Roadmap!$D:$K,MATCH($E137,Roadmap!$D:$D,0)+COUNTIF($E137:K137,"u")+COUNTIF($E137:K137,"t")+COUNTIF($E137:K137,"¶")+COUNTIF($E137:K137,"²")+COUNTIF($E137:K137,"µ")+COUNTIF($E137:K137,1),ColTypeEcheance)),
  IF(LEN(K137)=1,
  IF(LEN(INDEX(Roadmap!$D:$K,MATCH($E137,Roadmap!$D:$D,0)-1+COUNTIF($E137:K137,"u")+COUNTIF($E137:K137,"t")+COUNTIF($E137:K137,"¶")+COUNTIF($E137:K137,"²")+COUNTIF($E137:K137,"µ")+COUNTIF($E137:K137,1),ColDescriptionCourte))&gt;1,
HYPERLINK("#Roadmap!C"&amp; MATCH($E137,Roadmap!$D:$D,0)+COUNTIF($E137:K137,"u")+COUNTIF($E137:K137,"t")+COUNTIF($E137:K137,"¶")+COUNTIF($E137:K137,"²")+COUNTIF($E137:K137,"µ")+COUNTIF($E137:K137,1)-1,INDEX(Roadmap!$D:$K,MATCH($E137,Roadmap!$D:$D,0)-1+COUNTIF($E137:K137,"u")+COUNTIF($E137:K137,"t")+COUNTIF($E137:K137,"¶")+COUNTIF($E137:K137,"²")+COUNTIF($E137:K137,"µ")+COUNTIF($E137:K137,1),ColDescriptionCourte)),""),
  "")),"")</f>
        <v/>
      </c>
      <c r="M137" s="40" t="str">
        <f ca="1">IFERROR(IF(AND(
  INDEX(Roadmap!$D:$K,MATCH($E137,Roadmap!$D:$D,0)+COUNTIF($E137:L137,"u")+COUNTIF($E137:L137,"t")+COUNTIF($E137:L137,"¶")+COUNTIF($E137:L137,"²")+COUNTIF($E137:L137,"µ")+COUNTIF($E137:L137,1),ColLivraison)=M$6,
  VLOOKUP($E137,INDIRECT("tri!"&amp; CHAR(64+ C0Col) &amp;":"&amp; CHAR(65+C0Col)),2,FALSE)&gt;COUNTIF($E137:L137,"u")+COUNTIF($E137:L137,"t")+COUNTIF($E137:L137,"¶")+COUNTIF($E137:L137,"²")+COUNTIF($E137:L137,"µ")+COUNTIF($E137:L137,1)),
HYPERLINK("#Roadmap!C"&amp; MATCH($E137,Roadmap!$D:$D,0)+COUNTIF($E137:L137,"u")+COUNTIF($E137:L137,"t"),
     INDEX(Roadmap!$D:$K,MATCH($E137,Roadmap!$D:$D,0)+COUNTIF($E137:L137,"u")+COUNTIF($E137:L137,"t")+COUNTIF($E137:L137,"¶")+COUNTIF($E137:L137,"²")+COUNTIF($E137:L137,"µ")+COUNTIF($E137:L137,1),ColTypeEcheance)),
  IF(LEN(L137)=1,
  IF(LEN(INDEX(Roadmap!$D:$K,MATCH($E137,Roadmap!$D:$D,0)-1+COUNTIF($E137:L137,"u")+COUNTIF($E137:L137,"t")+COUNTIF($E137:L137,"¶")+COUNTIF($E137:L137,"²")+COUNTIF($E137:L137,"µ")+COUNTIF($E137:L137,1),ColDescriptionCourte))&gt;1,
HYPERLINK("#Roadmap!C"&amp; MATCH($E137,Roadmap!$D:$D,0)+COUNTIF($E137:L137,"u")+COUNTIF($E137:L137,"t")+COUNTIF($E137:L137,"¶")+COUNTIF($E137:L137,"²")+COUNTIF($E137:L137,"µ")+COUNTIF($E137:L137,1)-1,INDEX(Roadmap!$D:$K,MATCH($E137,Roadmap!$D:$D,0)-1+COUNTIF($E137:L137,"u")+COUNTIF($E137:L137,"t")+COUNTIF($E137:L137,"¶")+COUNTIF($E137:L137,"²")+COUNTIF($E137:L137,"µ")+COUNTIF($E137:L137,1),ColDescriptionCourte)),""),
  "")),"")</f>
        <v/>
      </c>
      <c r="N137" s="40" t="str">
        <f ca="1">IFERROR(IF(AND(
  INDEX(Roadmap!$D:$K,MATCH($E137,Roadmap!$D:$D,0)+COUNTIF($E137:M137,"u")+COUNTIF($E137:M137,"t")+COUNTIF($E137:M137,"¶")+COUNTIF($E137:M137,"²")+COUNTIF($E137:M137,"µ")+COUNTIF($E137:M137,1),ColLivraison)=N$6,
  VLOOKUP($E137,INDIRECT("tri!"&amp; CHAR(64+ C0Col) &amp;":"&amp; CHAR(65+C0Col)),2,FALSE)&gt;COUNTIF($E137:M137,"u")+COUNTIF($E137:M137,"t")+COUNTIF($E137:M137,"¶")+COUNTIF($E137:M137,"²")+COUNTIF($E137:M137,"µ")+COUNTIF($E137:M137,1)),
HYPERLINK("#Roadmap!C"&amp; MATCH($E137,Roadmap!$D:$D,0)+COUNTIF($E137:M137,"u")+COUNTIF($E137:M137,"t"),
     INDEX(Roadmap!$D:$K,MATCH($E137,Roadmap!$D:$D,0)+COUNTIF($E137:M137,"u")+COUNTIF($E137:M137,"t")+COUNTIF($E137:M137,"¶")+COUNTIF($E137:M137,"²")+COUNTIF($E137:M137,"µ")+COUNTIF($E137:M137,1),ColTypeEcheance)),
  IF(LEN(M137)=1,
  IF(LEN(INDEX(Roadmap!$D:$K,MATCH($E137,Roadmap!$D:$D,0)-1+COUNTIF($E137:M137,"u")+COUNTIF($E137:M137,"t")+COUNTIF($E137:M137,"¶")+COUNTIF($E137:M137,"²")+COUNTIF($E137:M137,"µ")+COUNTIF($E137:M137,1),ColDescriptionCourte))&gt;1,
HYPERLINK("#Roadmap!C"&amp; MATCH($E137,Roadmap!$D:$D,0)+COUNTIF($E137:M137,"u")+COUNTIF($E137:M137,"t")+COUNTIF($E137:M137,"¶")+COUNTIF($E137:M137,"²")+COUNTIF($E137:M137,"µ")+COUNTIF($E137:M137,1)-1,INDEX(Roadmap!$D:$K,MATCH($E137,Roadmap!$D:$D,0)-1+COUNTIF($E137:M137,"u")+COUNTIF($E137:M137,"t")+COUNTIF($E137:M137,"¶")+COUNTIF($E137:M137,"²")+COUNTIF($E137:M137,"µ")+COUNTIF($E137:M137,1),ColDescriptionCourte)),""),
  "")),"")</f>
        <v/>
      </c>
      <c r="O137" s="40" t="str">
        <f ca="1">IFERROR(IF(AND(
  INDEX(Roadmap!$D:$K,MATCH($E137,Roadmap!$D:$D,0)+COUNTIF($E137:N137,"u")+COUNTIF($E137:N137,"t")+COUNTIF($E137:N137,"¶")+COUNTIF($E137:N137,"²")+COUNTIF($E137:N137,"µ")+COUNTIF($E137:N137,1),ColLivraison)=O$6,
  VLOOKUP($E137,INDIRECT("tri!"&amp; CHAR(64+ C0Col) &amp;":"&amp; CHAR(65+C0Col)),2,FALSE)&gt;COUNTIF($E137:N137,"u")+COUNTIF($E137:N137,"t")+COUNTIF($E137:N137,"¶")+COUNTIF($E137:N137,"²")+COUNTIF($E137:N137,"µ")+COUNTIF($E137:N137,1)),
HYPERLINK("#Roadmap!C"&amp; MATCH($E137,Roadmap!$D:$D,0)+COUNTIF($E137:N137,"u")+COUNTIF($E137:N137,"t"),
     INDEX(Roadmap!$D:$K,MATCH($E137,Roadmap!$D:$D,0)+COUNTIF($E137:N137,"u")+COUNTIF($E137:N137,"t")+COUNTIF($E137:N137,"¶")+COUNTIF($E137:N137,"²")+COUNTIF($E137:N137,"µ")+COUNTIF($E137:N137,1),ColTypeEcheance)),
  IF(LEN(N137)=1,
  IF(LEN(INDEX(Roadmap!$D:$K,MATCH($E137,Roadmap!$D:$D,0)-1+COUNTIF($E137:N137,"u")+COUNTIF($E137:N137,"t")+COUNTIF($E137:N137,"¶")+COUNTIF($E137:N137,"²")+COUNTIF($E137:N137,"µ")+COUNTIF($E137:N137,1),ColDescriptionCourte))&gt;1,
HYPERLINK("#Roadmap!C"&amp; MATCH($E137,Roadmap!$D:$D,0)+COUNTIF($E137:N137,"u")+COUNTIF($E137:N137,"t")+COUNTIF($E137:N137,"¶")+COUNTIF($E137:N137,"²")+COUNTIF($E137:N137,"µ")+COUNTIF($E137:N137,1)-1,INDEX(Roadmap!$D:$K,MATCH($E137,Roadmap!$D:$D,0)-1+COUNTIF($E137:N137,"u")+COUNTIF($E137:N137,"t")+COUNTIF($E137:N137,"¶")+COUNTIF($E137:N137,"²")+COUNTIF($E137:N137,"µ")+COUNTIF($E137:N137,1),ColDescriptionCourte)),""),
  "")),"")</f>
        <v/>
      </c>
      <c r="P137" s="40" t="str">
        <f ca="1">IFERROR(IF(AND(
  INDEX(Roadmap!$D:$K,MATCH($E137,Roadmap!$D:$D,0)+COUNTIF($E137:O137,"u")+COUNTIF($E137:O137,"t")+COUNTIF($E137:O137,"¶")+COUNTIF($E137:O137,"²")+COUNTIF($E137:O137,"µ")+COUNTIF($E137:O137,1),ColLivraison)=P$6,
  VLOOKUP($E137,INDIRECT("tri!"&amp; CHAR(64+ C0Col) &amp;":"&amp; CHAR(65+C0Col)),2,FALSE)&gt;COUNTIF($E137:O137,"u")+COUNTIF($E137:O137,"t")+COUNTIF($E137:O137,"¶")+COUNTIF($E137:O137,"²")+COUNTIF($E137:O137,"µ")+COUNTIF($E137:O137,1)),
HYPERLINK("#Roadmap!C"&amp; MATCH($E137,Roadmap!$D:$D,0)+COUNTIF($E137:O137,"u")+COUNTIF($E137:O137,"t"),
     INDEX(Roadmap!$D:$K,MATCH($E137,Roadmap!$D:$D,0)+COUNTIF($E137:O137,"u")+COUNTIF($E137:O137,"t")+COUNTIF($E137:O137,"¶")+COUNTIF($E137:O137,"²")+COUNTIF($E137:O137,"µ")+COUNTIF($E137:O137,1),ColTypeEcheance)),
  IF(LEN(O137)=1,
  IF(LEN(INDEX(Roadmap!$D:$K,MATCH($E137,Roadmap!$D:$D,0)-1+COUNTIF($E137:O137,"u")+COUNTIF($E137:O137,"t")+COUNTIF($E137:O137,"¶")+COUNTIF($E137:O137,"²")+COUNTIF($E137:O137,"µ")+COUNTIF($E137:O137,1),ColDescriptionCourte))&gt;1,
HYPERLINK("#Roadmap!C"&amp; MATCH($E137,Roadmap!$D:$D,0)+COUNTIF($E137:O137,"u")+COUNTIF($E137:O137,"t")+COUNTIF($E137:O137,"¶")+COUNTIF($E137:O137,"²")+COUNTIF($E137:O137,"µ")+COUNTIF($E137:O137,1)-1,INDEX(Roadmap!$D:$K,MATCH($E137,Roadmap!$D:$D,0)-1+COUNTIF($E137:O137,"u")+COUNTIF($E137:O137,"t")+COUNTIF($E137:O137,"¶")+COUNTIF($E137:O137,"²")+COUNTIF($E137:O137,"µ")+COUNTIF($E137:O137,1),ColDescriptionCourte)),""),
  "")),"")</f>
        <v/>
      </c>
      <c r="Q137" s="40" t="str">
        <f ca="1">IFERROR(IF(AND(
  INDEX(Roadmap!$D:$K,MATCH($E137,Roadmap!$D:$D,0)+COUNTIF($E137:P137,"u")+COUNTIF($E137:P137,"t")+COUNTIF($E137:P137,"¶")+COUNTIF($E137:P137,"²")+COUNTIF($E137:P137,"µ")+COUNTIF($E137:P137,1),ColLivraison)=Q$6,
  VLOOKUP($E137,INDIRECT("tri!"&amp; CHAR(64+ C0Col) &amp;":"&amp; CHAR(65+C0Col)),2,FALSE)&gt;COUNTIF($E137:P137,"u")+COUNTIF($E137:P137,"t")+COUNTIF($E137:P137,"¶")+COUNTIF($E137:P137,"²")+COUNTIF($E137:P137,"µ")+COUNTIF($E137:P137,1)),
HYPERLINK("#Roadmap!C"&amp; MATCH($E137,Roadmap!$D:$D,0)+COUNTIF($E137:P137,"u")+COUNTIF($E137:P137,"t"),
     INDEX(Roadmap!$D:$K,MATCH($E137,Roadmap!$D:$D,0)+COUNTIF($E137:P137,"u")+COUNTIF($E137:P137,"t")+COUNTIF($E137:P137,"¶")+COUNTIF($E137:P137,"²")+COUNTIF($E137:P137,"µ")+COUNTIF($E137:P137,1),ColTypeEcheance)),
  IF(LEN(P137)=1,
  IF(LEN(INDEX(Roadmap!$D:$K,MATCH($E137,Roadmap!$D:$D,0)-1+COUNTIF($E137:P137,"u")+COUNTIF($E137:P137,"t")+COUNTIF($E137:P137,"¶")+COUNTIF($E137:P137,"²")+COUNTIF($E137:P137,"µ")+COUNTIF($E137:P137,1),ColDescriptionCourte))&gt;1,
HYPERLINK("#Roadmap!C"&amp; MATCH($E137,Roadmap!$D:$D,0)+COUNTIF($E137:P137,"u")+COUNTIF($E137:P137,"t")+COUNTIF($E137:P137,"¶")+COUNTIF($E137:P137,"²")+COUNTIF($E137:P137,"µ")+COUNTIF($E137:P137,1)-1,INDEX(Roadmap!$D:$K,MATCH($E137,Roadmap!$D:$D,0)-1+COUNTIF($E137:P137,"u")+COUNTIF($E137:P137,"t")+COUNTIF($E137:P137,"¶")+COUNTIF($E137:P137,"²")+COUNTIF($E137:P137,"µ")+COUNTIF($E137:P137,1),ColDescriptionCourte)),""),
  "")),"")</f>
        <v/>
      </c>
      <c r="R137" s="40" t="str">
        <f ca="1">IFERROR(IF(AND(
  INDEX(Roadmap!$D:$K,MATCH($E137,Roadmap!$D:$D,0)+COUNTIF($E137:Q137,"u")+COUNTIF($E137:Q137,"t")+COUNTIF($E137:Q137,"¶")+COUNTIF($E137:Q137,"²")+COUNTIF($E137:Q137,"µ")+COUNTIF($E137:Q137,1),ColLivraison)=R$6,
  VLOOKUP($E137,INDIRECT("tri!"&amp; CHAR(64+ C0Col) &amp;":"&amp; CHAR(65+C0Col)),2,FALSE)&gt;COUNTIF($E137:Q137,"u")+COUNTIF($E137:Q137,"t")+COUNTIF($E137:Q137,"¶")+COUNTIF($E137:Q137,"²")+COUNTIF($E137:Q137,"µ")+COUNTIF($E137:Q137,1)),
HYPERLINK("#Roadmap!C"&amp; MATCH($E137,Roadmap!$D:$D,0)+COUNTIF($E137:Q137,"u")+COUNTIF($E137:Q137,"t"),
     INDEX(Roadmap!$D:$K,MATCH($E137,Roadmap!$D:$D,0)+COUNTIF($E137:Q137,"u")+COUNTIF($E137:Q137,"t")+COUNTIF($E137:Q137,"¶")+COUNTIF($E137:Q137,"²")+COUNTIF($E137:Q137,"µ")+COUNTIF($E137:Q137,1),ColTypeEcheance)),
  IF(LEN(Q137)=1,
  IF(LEN(INDEX(Roadmap!$D:$K,MATCH($E137,Roadmap!$D:$D,0)-1+COUNTIF($E137:Q137,"u")+COUNTIF($E137:Q137,"t")+COUNTIF($E137:Q137,"¶")+COUNTIF($E137:Q137,"²")+COUNTIF($E137:Q137,"µ")+COUNTIF($E137:Q137,1),ColDescriptionCourte))&gt;1,
HYPERLINK("#Roadmap!C"&amp; MATCH($E137,Roadmap!$D:$D,0)+COUNTIF($E137:Q137,"u")+COUNTIF($E137:Q137,"t")+COUNTIF($E137:Q137,"¶")+COUNTIF($E137:Q137,"²")+COUNTIF($E137:Q137,"µ")+COUNTIF($E137:Q137,1)-1,INDEX(Roadmap!$D:$K,MATCH($E137,Roadmap!$D:$D,0)-1+COUNTIF($E137:Q137,"u")+COUNTIF($E137:Q137,"t")+COUNTIF($E137:Q137,"¶")+COUNTIF($E137:Q137,"²")+COUNTIF($E137:Q137,"µ")+COUNTIF($E137:Q137,1),ColDescriptionCourte)),""),
  "")),"")</f>
        <v/>
      </c>
      <c r="S137" s="40" t="str">
        <f ca="1">IFERROR(IF(AND(
  INDEX(Roadmap!$D:$K,MATCH($E137,Roadmap!$D:$D,0)+COUNTIF($E137:R137,"u")+COUNTIF($E137:R137,"t")+COUNTIF($E137:R137,"¶")+COUNTIF($E137:R137,"²")+COUNTIF($E137:R137,"µ")+COUNTIF($E137:R137,1),ColLivraison)=S$6,
  VLOOKUP($E137,INDIRECT("tri!"&amp; CHAR(64+ C0Col) &amp;":"&amp; CHAR(65+C0Col)),2,FALSE)&gt;COUNTIF($E137:R137,"u")+COUNTIF($E137:R137,"t")+COUNTIF($E137:R137,"¶")+COUNTIF($E137:R137,"²")+COUNTIF($E137:R137,"µ")+COUNTIF($E137:R137,1)),
HYPERLINK("#Roadmap!C"&amp; MATCH($E137,Roadmap!$D:$D,0)+COUNTIF($E137:R137,"u")+COUNTIF($E137:R137,"t"),
     INDEX(Roadmap!$D:$K,MATCH($E137,Roadmap!$D:$D,0)+COUNTIF($E137:R137,"u")+COUNTIF($E137:R137,"t")+COUNTIF($E137:R137,"¶")+COUNTIF($E137:R137,"²")+COUNTIF($E137:R137,"µ")+COUNTIF($E137:R137,1),ColTypeEcheance)),
  IF(LEN(R137)=1,
  IF(LEN(INDEX(Roadmap!$D:$K,MATCH($E137,Roadmap!$D:$D,0)-1+COUNTIF($E137:R137,"u")+COUNTIF($E137:R137,"t")+COUNTIF($E137:R137,"¶")+COUNTIF($E137:R137,"²")+COUNTIF($E137:R137,"µ")+COUNTIF($E137:R137,1),ColDescriptionCourte))&gt;1,
HYPERLINK("#Roadmap!C"&amp; MATCH($E137,Roadmap!$D:$D,0)+COUNTIF($E137:R137,"u")+COUNTIF($E137:R137,"t")+COUNTIF($E137:R137,"¶")+COUNTIF($E137:R137,"²")+COUNTIF($E137:R137,"µ")+COUNTIF($E137:R137,1)-1,INDEX(Roadmap!$D:$K,MATCH($E137,Roadmap!$D:$D,0)-1+COUNTIF($E137:R137,"u")+COUNTIF($E137:R137,"t")+COUNTIF($E137:R137,"¶")+COUNTIF($E137:R137,"²")+COUNTIF($E137:R137,"µ")+COUNTIF($E137:R137,1),ColDescriptionCourte)),""),
  "")),"")</f>
        <v/>
      </c>
      <c r="T137" s="40" t="str">
        <f ca="1">IFERROR(IF(AND(
  INDEX(Roadmap!$D:$K,MATCH($E137,Roadmap!$D:$D,0)+COUNTIF($E137:S137,"u")+COUNTIF($E137:S137,"t")+COUNTIF($E137:S137,"¶")+COUNTIF($E137:S137,"²")+COUNTIF($E137:S137,"µ")+COUNTIF($E137:S137,1),ColLivraison)=T$6,
  VLOOKUP($E137,INDIRECT("tri!"&amp; CHAR(64+ C0Col) &amp;":"&amp; CHAR(65+C0Col)),2,FALSE)&gt;COUNTIF($E137:S137,"u")+COUNTIF($E137:S137,"t")+COUNTIF($E137:S137,"¶")+COUNTIF($E137:S137,"²")+COUNTIF($E137:S137,"µ")+COUNTIF($E137:S137,1)),
HYPERLINK("#Roadmap!C"&amp; MATCH($E137,Roadmap!$D:$D,0)+COUNTIF($E137:S137,"u")+COUNTIF($E137:S137,"t"),
     INDEX(Roadmap!$D:$K,MATCH($E137,Roadmap!$D:$D,0)+COUNTIF($E137:S137,"u")+COUNTIF($E137:S137,"t")+COUNTIF($E137:S137,"¶")+COUNTIF($E137:S137,"²")+COUNTIF($E137:S137,"µ")+COUNTIF($E137:S137,1),ColTypeEcheance)),
  IF(LEN(S137)=1,
  IF(LEN(INDEX(Roadmap!$D:$K,MATCH($E137,Roadmap!$D:$D,0)-1+COUNTIF($E137:S137,"u")+COUNTIF($E137:S137,"t")+COUNTIF($E137:S137,"¶")+COUNTIF($E137:S137,"²")+COUNTIF($E137:S137,"µ")+COUNTIF($E137:S137,1),ColDescriptionCourte))&gt;1,
HYPERLINK("#Roadmap!C"&amp; MATCH($E137,Roadmap!$D:$D,0)+COUNTIF($E137:S137,"u")+COUNTIF($E137:S137,"t")+COUNTIF($E137:S137,"¶")+COUNTIF($E137:S137,"²")+COUNTIF($E137:S137,"µ")+COUNTIF($E137:S137,1)-1,INDEX(Roadmap!$D:$K,MATCH($E137,Roadmap!$D:$D,0)-1+COUNTIF($E137:S137,"u")+COUNTIF($E137:S137,"t")+COUNTIF($E137:S137,"¶")+COUNTIF($E137:S137,"²")+COUNTIF($E137:S137,"µ")+COUNTIF($E137:S137,1),ColDescriptionCourte)),""),
  "")),"")</f>
        <v/>
      </c>
      <c r="U137" s="40" t="str">
        <f ca="1">IFERROR(IF(AND(
  INDEX(Roadmap!$D:$K,MATCH($E137,Roadmap!$D:$D,0)+COUNTIF($E137:T137,"u")+COUNTIF($E137:T137,"t")+COUNTIF($E137:T137,"¶")+COUNTIF($E137:T137,"²")+COUNTIF($E137:T137,"µ")+COUNTIF($E137:T137,1),ColLivraison)=U$6,
  VLOOKUP($E137,INDIRECT("tri!"&amp; CHAR(64+ C0Col) &amp;":"&amp; CHAR(65+C0Col)),2,FALSE)&gt;COUNTIF($E137:T137,"u")+COUNTIF($E137:T137,"t")+COUNTIF($E137:T137,"¶")+COUNTIF($E137:T137,"²")+COUNTIF($E137:T137,"µ")+COUNTIF($E137:T137,1)),
HYPERLINK("#Roadmap!C"&amp; MATCH($E137,Roadmap!$D:$D,0)+COUNTIF($E137:T137,"u")+COUNTIF($E137:T137,"t"),
     INDEX(Roadmap!$D:$K,MATCH($E137,Roadmap!$D:$D,0)+COUNTIF($E137:T137,"u")+COUNTIF($E137:T137,"t")+COUNTIF($E137:T137,"¶")+COUNTIF($E137:T137,"²")+COUNTIF($E137:T137,"µ")+COUNTIF($E137:T137,1),ColTypeEcheance)),
  IF(LEN(T137)=1,
  IF(LEN(INDEX(Roadmap!$D:$K,MATCH($E137,Roadmap!$D:$D,0)-1+COUNTIF($E137:T137,"u")+COUNTIF($E137:T137,"t")+COUNTIF($E137:T137,"¶")+COUNTIF($E137:T137,"²")+COUNTIF($E137:T137,"µ")+COUNTIF($E137:T137,1),ColDescriptionCourte))&gt;1,
HYPERLINK("#Roadmap!C"&amp; MATCH($E137,Roadmap!$D:$D,0)+COUNTIF($E137:T137,"u")+COUNTIF($E137:T137,"t")+COUNTIF($E137:T137,"¶")+COUNTIF($E137:T137,"²")+COUNTIF($E137:T137,"µ")+COUNTIF($E137:T137,1)-1,INDEX(Roadmap!$D:$K,MATCH($E137,Roadmap!$D:$D,0)-1+COUNTIF($E137:T137,"u")+COUNTIF($E137:T137,"t")+COUNTIF($E137:T137,"¶")+COUNTIF($E137:T137,"²")+COUNTIF($E137:T137,"µ")+COUNTIF($E137:T137,1),ColDescriptionCourte)),""),
  "")),"")</f>
        <v/>
      </c>
      <c r="V137" s="40" t="str">
        <f ca="1">IFERROR(IF(AND(
  INDEX(Roadmap!$D:$K,MATCH($E137,Roadmap!$D:$D,0)+COUNTIF($E137:U137,"u")+COUNTIF($E137:U137,"t")+COUNTIF($E137:U137,"¶")+COUNTIF($E137:U137,"²")+COUNTIF($E137:U137,"µ")+COUNTIF($E137:U137,1),ColLivraison)=V$6,
  VLOOKUP($E137,INDIRECT("tri!"&amp; CHAR(64+ C0Col) &amp;":"&amp; CHAR(65+C0Col)),2,FALSE)&gt;COUNTIF($E137:U137,"u")+COUNTIF($E137:U137,"t")+COUNTIF($E137:U137,"¶")+COUNTIF($E137:U137,"²")+COUNTIF($E137:U137,"µ")+COUNTIF($E137:U137,1)),
HYPERLINK("#Roadmap!C"&amp; MATCH($E137,Roadmap!$D:$D,0)+COUNTIF($E137:U137,"u")+COUNTIF($E137:U137,"t"),
     INDEX(Roadmap!$D:$K,MATCH($E137,Roadmap!$D:$D,0)+COUNTIF($E137:U137,"u")+COUNTIF($E137:U137,"t")+COUNTIF($E137:U137,"¶")+COUNTIF($E137:U137,"²")+COUNTIF($E137:U137,"µ")+COUNTIF($E137:U137,1),ColTypeEcheance)),
  IF(LEN(U137)=1,
  IF(LEN(INDEX(Roadmap!$D:$K,MATCH($E137,Roadmap!$D:$D,0)-1+COUNTIF($E137:U137,"u")+COUNTIF($E137:U137,"t")+COUNTIF($E137:U137,"¶")+COUNTIF($E137:U137,"²")+COUNTIF($E137:U137,"µ")+COUNTIF($E137:U137,1),ColDescriptionCourte))&gt;1,
HYPERLINK("#Roadmap!C"&amp; MATCH($E137,Roadmap!$D:$D,0)+COUNTIF($E137:U137,"u")+COUNTIF($E137:U137,"t")+COUNTIF($E137:U137,"¶")+COUNTIF($E137:U137,"²")+COUNTIF($E137:U137,"µ")+COUNTIF($E137:U137,1)-1,INDEX(Roadmap!$D:$K,MATCH($E137,Roadmap!$D:$D,0)-1+COUNTIF($E137:U137,"u")+COUNTIF($E137:U137,"t")+COUNTIF($E137:U137,"¶")+COUNTIF($E137:U137,"²")+COUNTIF($E137:U137,"µ")+COUNTIF($E137:U137,1),ColDescriptionCourte)),""),
  "")),"")</f>
        <v/>
      </c>
      <c r="W137" s="40" t="str">
        <f ca="1">IFERROR(IF(AND(
  INDEX(Roadmap!$D:$K,MATCH($E137,Roadmap!$D:$D,0)+COUNTIF($E137:V137,"u")+COUNTIF($E137:V137,"t")+COUNTIF($E137:V137,"¶")+COUNTIF($E137:V137,"²")+COUNTIF($E137:V137,"µ")+COUNTIF($E137:V137,1),ColLivraison)=W$6,
  VLOOKUP($E137,INDIRECT("tri!"&amp; CHAR(64+ C0Col) &amp;":"&amp; CHAR(65+C0Col)),2,FALSE)&gt;COUNTIF($E137:V137,"u")+COUNTIF($E137:V137,"t")+COUNTIF($E137:V137,"¶")+COUNTIF($E137:V137,"²")+COUNTIF($E137:V137,"µ")+COUNTIF($E137:V137,1)),
HYPERLINK("#Roadmap!C"&amp; MATCH($E137,Roadmap!$D:$D,0)+COUNTIF($E137:V137,"u")+COUNTIF($E137:V137,"t"),
     INDEX(Roadmap!$D:$K,MATCH($E137,Roadmap!$D:$D,0)+COUNTIF($E137:V137,"u")+COUNTIF($E137:V137,"t")+COUNTIF($E137:V137,"¶")+COUNTIF($E137:V137,"²")+COUNTIF($E137:V137,"µ")+COUNTIF($E137:V137,1),ColTypeEcheance)),
  IF(LEN(V137)=1,
  IF(LEN(INDEX(Roadmap!$D:$K,MATCH($E137,Roadmap!$D:$D,0)-1+COUNTIF($E137:V137,"u")+COUNTIF($E137:V137,"t")+COUNTIF($E137:V137,"¶")+COUNTIF($E137:V137,"²")+COUNTIF($E137:V137,"µ")+COUNTIF($E137:V137,1),ColDescriptionCourte))&gt;1,
HYPERLINK("#Roadmap!C"&amp; MATCH($E137,Roadmap!$D:$D,0)+COUNTIF($E137:V137,"u")+COUNTIF($E137:V137,"t")+COUNTIF($E137:V137,"¶")+COUNTIF($E137:V137,"²")+COUNTIF($E137:V137,"µ")+COUNTIF($E137:V137,1)-1,INDEX(Roadmap!$D:$K,MATCH($E137,Roadmap!$D:$D,0)-1+COUNTIF($E137:V137,"u")+COUNTIF($E137:V137,"t")+COUNTIF($E137:V137,"¶")+COUNTIF($E137:V137,"²")+COUNTIF($E137:V137,"µ")+COUNTIF($E137:V137,1),ColDescriptionCourte)),""),
  "")),"")</f>
        <v/>
      </c>
      <c r="X137" s="40" t="str">
        <f ca="1">IFERROR(IF(AND(
  INDEX(Roadmap!$D:$K,MATCH($E137,Roadmap!$D:$D,0)+COUNTIF($E137:W137,"u")+COUNTIF($E137:W137,"t")+COUNTIF($E137:W137,"¶")+COUNTIF($E137:W137,"²")+COUNTIF($E137:W137,"µ")+COUNTIF($E137:W137,1),ColLivraison)=X$6,
  VLOOKUP($E137,INDIRECT("tri!"&amp; CHAR(64+ C0Col) &amp;":"&amp; CHAR(65+C0Col)),2,FALSE)&gt;COUNTIF($E137:W137,"u")+COUNTIF($E137:W137,"t")+COUNTIF($E137:W137,"¶")+COUNTIF($E137:W137,"²")+COUNTIF($E137:W137,"µ")+COUNTIF($E137:W137,1)),
HYPERLINK("#Roadmap!C"&amp; MATCH($E137,Roadmap!$D:$D,0)+COUNTIF($E137:W137,"u")+COUNTIF($E137:W137,"t"),
     INDEX(Roadmap!$D:$K,MATCH($E137,Roadmap!$D:$D,0)+COUNTIF($E137:W137,"u")+COUNTIF($E137:W137,"t")+COUNTIF($E137:W137,"¶")+COUNTIF($E137:W137,"²")+COUNTIF($E137:W137,"µ")+COUNTIF($E137:W137,1),ColTypeEcheance)),
  IF(LEN(W137)=1,
  IF(LEN(INDEX(Roadmap!$D:$K,MATCH($E137,Roadmap!$D:$D,0)-1+COUNTIF($E137:W137,"u")+COUNTIF($E137:W137,"t")+COUNTIF($E137:W137,"¶")+COUNTIF($E137:W137,"²")+COUNTIF($E137:W137,"µ")+COUNTIF($E137:W137,1),ColDescriptionCourte))&gt;1,
HYPERLINK("#Roadmap!C"&amp; MATCH($E137,Roadmap!$D:$D,0)+COUNTIF($E137:W137,"u")+COUNTIF($E137:W137,"t")+COUNTIF($E137:W137,"¶")+COUNTIF($E137:W137,"²")+COUNTIF($E137:W137,"µ")+COUNTIF($E137:W137,1)-1,INDEX(Roadmap!$D:$K,MATCH($E137,Roadmap!$D:$D,0)-1+COUNTIF($E137:W137,"u")+COUNTIF($E137:W137,"t")+COUNTIF($E137:W137,"¶")+COUNTIF($E137:W137,"²")+COUNTIF($E137:W137,"µ")+COUNTIF($E137:W137,1),ColDescriptionCourte)),""),
  "")),"")</f>
        <v/>
      </c>
      <c r="Y137" s="40" t="str">
        <f ca="1">IFERROR(IF(AND(
  INDEX(Roadmap!$D:$K,MATCH($E137,Roadmap!$D:$D,0)+COUNTIF($E137:X137,"u")+COUNTIF($E137:X137,"t")+COUNTIF($E137:X137,"¶")+COUNTIF($E137:X137,"²")+COUNTIF($E137:X137,"µ")+COUNTIF($E137:X137,1),ColLivraison)=Y$6,
  VLOOKUP($E137,INDIRECT("tri!"&amp; CHAR(64+ C0Col) &amp;":"&amp; CHAR(65+C0Col)),2,FALSE)&gt;COUNTIF($E137:X137,"u")+COUNTIF($E137:X137,"t")+COUNTIF($E137:X137,"¶")+COUNTIF($E137:X137,"²")+COUNTIF($E137:X137,"µ")+COUNTIF($E137:X137,1)),
HYPERLINK("#Roadmap!C"&amp; MATCH($E137,Roadmap!$D:$D,0)+COUNTIF($E137:X137,"u")+COUNTIF($E137:X137,"t"),
     INDEX(Roadmap!$D:$K,MATCH($E137,Roadmap!$D:$D,0)+COUNTIF($E137:X137,"u")+COUNTIF($E137:X137,"t")+COUNTIF($E137:X137,"¶")+COUNTIF($E137:X137,"²")+COUNTIF($E137:X137,"µ")+COUNTIF($E137:X137,1),ColTypeEcheance)),
  IF(LEN(X137)=1,
  IF(LEN(INDEX(Roadmap!$D:$K,MATCH($E137,Roadmap!$D:$D,0)-1+COUNTIF($E137:X137,"u")+COUNTIF($E137:X137,"t")+COUNTIF($E137:X137,"¶")+COUNTIF($E137:X137,"²")+COUNTIF($E137:X137,"µ")+COUNTIF($E137:X137,1),ColDescriptionCourte))&gt;1,
HYPERLINK("#Roadmap!C"&amp; MATCH($E137,Roadmap!$D:$D,0)+COUNTIF($E137:X137,"u")+COUNTIF($E137:X137,"t")+COUNTIF($E137:X137,"¶")+COUNTIF($E137:X137,"²")+COUNTIF($E137:X137,"µ")+COUNTIF($E137:X137,1)-1,INDEX(Roadmap!$D:$K,MATCH($E137,Roadmap!$D:$D,0)-1+COUNTIF($E137:X137,"u")+COUNTIF($E137:X137,"t")+COUNTIF($E137:X137,"¶")+COUNTIF($E137:X137,"²")+COUNTIF($E137:X137,"µ")+COUNTIF($E137:X137,1),ColDescriptionCourte)),""),
  "")),"")</f>
        <v/>
      </c>
      <c r="Z137" s="40" t="str">
        <f ca="1">IFERROR(IF(AND(
  INDEX(Roadmap!$D:$K,MATCH($E137,Roadmap!$D:$D,0)+COUNTIF($E137:Y137,"u")+COUNTIF($E137:Y137,"t")+COUNTIF($E137:Y137,"¶")+COUNTIF($E137:Y137,"²")+COUNTIF($E137:Y137,"µ")+COUNTIF($E137:Y137,1),ColLivraison)=Z$6,
  VLOOKUP($E137,INDIRECT("tri!"&amp; CHAR(64+ C0Col) &amp;":"&amp; CHAR(65+C0Col)),2,FALSE)&gt;COUNTIF($E137:Y137,"u")+COUNTIF($E137:Y137,"t")+COUNTIF($E137:Y137,"¶")+COUNTIF($E137:Y137,"²")+COUNTIF($E137:Y137,"µ")+COUNTIF($E137:Y137,1)),
HYPERLINK("#Roadmap!C"&amp; MATCH($E137,Roadmap!$D:$D,0)+COUNTIF($E137:Y137,"u")+COUNTIF($E137:Y137,"t"),
     INDEX(Roadmap!$D:$K,MATCH($E137,Roadmap!$D:$D,0)+COUNTIF($E137:Y137,"u")+COUNTIF($E137:Y137,"t")+COUNTIF($E137:Y137,"¶")+COUNTIF($E137:Y137,"²")+COUNTIF($E137:Y137,"µ")+COUNTIF($E137:Y137,1),ColTypeEcheance)),
  IF(LEN(Y137)=1,
  IF(LEN(INDEX(Roadmap!$D:$K,MATCH($E137,Roadmap!$D:$D,0)-1+COUNTIF($E137:Y137,"u")+COUNTIF($E137:Y137,"t")+COUNTIF($E137:Y137,"¶")+COUNTIF($E137:Y137,"²")+COUNTIF($E137:Y137,"µ")+COUNTIF($E137:Y137,1),ColDescriptionCourte))&gt;1,
HYPERLINK("#Roadmap!C"&amp; MATCH($E137,Roadmap!$D:$D,0)+COUNTIF($E137:Y137,"u")+COUNTIF($E137:Y137,"t")+COUNTIF($E137:Y137,"¶")+COUNTIF($E137:Y137,"²")+COUNTIF($E137:Y137,"µ")+COUNTIF($E137:Y137,1)-1,INDEX(Roadmap!$D:$K,MATCH($E137,Roadmap!$D:$D,0)-1+COUNTIF($E137:Y137,"u")+COUNTIF($E137:Y137,"t")+COUNTIF($E137:Y137,"¶")+COUNTIF($E137:Y137,"²")+COUNTIF($E137:Y137,"µ")+COUNTIF($E137:Y137,1),ColDescriptionCourte)),""),
  "")),"")</f>
        <v/>
      </c>
      <c r="AA137" s="40" t="str">
        <f ca="1">IFERROR(IF(AND(
  INDEX(Roadmap!$D:$K,MATCH($E137,Roadmap!$D:$D,0)+COUNTIF($E137:Z137,"u")+COUNTIF($E137:Z137,"t")+COUNTIF($E137:Z137,"¶")+COUNTIF($E137:Z137,"²")+COUNTIF($E137:Z137,"µ")+COUNTIF($E137:Z137,1),ColLivraison)=AA$6,
  VLOOKUP($E137,INDIRECT("tri!"&amp; CHAR(64+ C0Col) &amp;":"&amp; CHAR(65+C0Col)),2,FALSE)&gt;COUNTIF($E137:Z137,"u")+COUNTIF($E137:Z137,"t")+COUNTIF($E137:Z137,"¶")+COUNTIF($E137:Z137,"²")+COUNTIF($E137:Z137,"µ")+COUNTIF($E137:Z137,1)),
HYPERLINK("#Roadmap!C"&amp; MATCH($E137,Roadmap!$D:$D,0)+COUNTIF($E137:Z137,"u")+COUNTIF($E137:Z137,"t"),
     INDEX(Roadmap!$D:$K,MATCH($E137,Roadmap!$D:$D,0)+COUNTIF($E137:Z137,"u")+COUNTIF($E137:Z137,"t")+COUNTIF($E137:Z137,"¶")+COUNTIF($E137:Z137,"²")+COUNTIF($E137:Z137,"µ")+COUNTIF($E137:Z137,1),ColTypeEcheance)),
  IF(LEN(Z137)=1,
  IF(LEN(INDEX(Roadmap!$D:$K,MATCH($E137,Roadmap!$D:$D,0)-1+COUNTIF($E137:Z137,"u")+COUNTIF($E137:Z137,"t")+COUNTIF($E137:Z137,"¶")+COUNTIF($E137:Z137,"²")+COUNTIF($E137:Z137,"µ")+COUNTIF($E137:Z137,1),ColDescriptionCourte))&gt;1,
HYPERLINK("#Roadmap!C"&amp; MATCH($E137,Roadmap!$D:$D,0)+COUNTIF($E137:Z137,"u")+COUNTIF($E137:Z137,"t")+COUNTIF($E137:Z137,"¶")+COUNTIF($E137:Z137,"²")+COUNTIF($E137:Z137,"µ")+COUNTIF($E137:Z137,1)-1,INDEX(Roadmap!$D:$K,MATCH($E137,Roadmap!$D:$D,0)-1+COUNTIF($E137:Z137,"u")+COUNTIF($E137:Z137,"t")+COUNTIF($E137:Z137,"¶")+COUNTIF($E137:Z137,"²")+COUNTIF($E137:Z137,"µ")+COUNTIF($E137:Z137,1),ColDescriptionCourte)),""),
  "")),"")</f>
        <v/>
      </c>
      <c r="AB137" s="40" t="str">
        <f ca="1">IFERROR(IF(AND(
  INDEX(Roadmap!$D:$K,MATCH($E137,Roadmap!$D:$D,0)+COUNTIF($E137:AA137,"u")+COUNTIF($E137:AA137,"t")+COUNTIF($E137:AA137,"¶")+COUNTIF($E137:AA137,"²")+COUNTIF($E137:AA137,"µ")+COUNTIF($E137:AA137,1),ColLivraison)=AB$6,
  VLOOKUP($E137,INDIRECT("tri!"&amp; CHAR(64+ C0Col) &amp;":"&amp; CHAR(65+C0Col)),2,FALSE)&gt;COUNTIF($E137:AA137,"u")+COUNTIF($E137:AA137,"t")+COUNTIF($E137:AA137,"¶")+COUNTIF($E137:AA137,"²")+COUNTIF($E137:AA137,"µ")+COUNTIF($E137:AA137,1)),
HYPERLINK("#Roadmap!C"&amp; MATCH($E137,Roadmap!$D:$D,0)+COUNTIF($E137:AA137,"u")+COUNTIF($E137:AA137,"t"),
     INDEX(Roadmap!$D:$K,MATCH($E137,Roadmap!$D:$D,0)+COUNTIF($E137:AA137,"u")+COUNTIF($E137:AA137,"t")+COUNTIF($E137:AA137,"¶")+COUNTIF($E137:AA137,"²")+COUNTIF($E137:AA137,"µ")+COUNTIF($E137:AA137,1),ColTypeEcheance)),
  IF(LEN(AA137)=1,
  IF(LEN(INDEX(Roadmap!$D:$K,MATCH($E137,Roadmap!$D:$D,0)-1+COUNTIF($E137:AA137,"u")+COUNTIF($E137:AA137,"t")+COUNTIF($E137:AA137,"¶")+COUNTIF($E137:AA137,"²")+COUNTIF($E137:AA137,"µ")+COUNTIF($E137:AA137,1),ColDescriptionCourte))&gt;1,
HYPERLINK("#Roadmap!C"&amp; MATCH($E137,Roadmap!$D:$D,0)+COUNTIF($E137:AA137,"u")+COUNTIF($E137:AA137,"t")+COUNTIF($E137:AA137,"¶")+COUNTIF($E137:AA137,"²")+COUNTIF($E137:AA137,"µ")+COUNTIF($E137:AA137,1)-1,INDEX(Roadmap!$D:$K,MATCH($E137,Roadmap!$D:$D,0)-1+COUNTIF($E137:AA137,"u")+COUNTIF($E137:AA137,"t")+COUNTIF($E137:AA137,"¶")+COUNTIF($E137:AA137,"²")+COUNTIF($E137:AA137,"µ")+COUNTIF($E137:AA137,1),ColDescriptionCourte)),""),
  "")),"")</f>
        <v/>
      </c>
      <c r="AC137" s="40" t="str">
        <f ca="1">IFERROR(IF(AND(
  INDEX(Roadmap!$D:$K,MATCH($E137,Roadmap!$D:$D,0)+COUNTIF($E137:AB137,"u")+COUNTIF($E137:AB137,"t")+COUNTIF($E137:AB137,"¶")+COUNTIF($E137:AB137,"²")+COUNTIF($E137:AB137,"µ")+COUNTIF($E137:AB137,1),ColLivraison)=AC$6,
  VLOOKUP($E137,INDIRECT("tri!"&amp; CHAR(64+ C0Col) &amp;":"&amp; CHAR(65+C0Col)),2,FALSE)&gt;COUNTIF($E137:AB137,"u")+COUNTIF($E137:AB137,"t")+COUNTIF($E137:AB137,"¶")+COUNTIF($E137:AB137,"²")+COUNTIF($E137:AB137,"µ")+COUNTIF($E137:AB137,1)),
HYPERLINK("#Roadmap!C"&amp; MATCH($E137,Roadmap!$D:$D,0)+COUNTIF($E137:AB137,"u")+COUNTIF($E137:AB137,"t"),
     INDEX(Roadmap!$D:$K,MATCH($E137,Roadmap!$D:$D,0)+COUNTIF($E137:AB137,"u")+COUNTIF($E137:AB137,"t")+COUNTIF($E137:AB137,"¶")+COUNTIF($E137:AB137,"²")+COUNTIF($E137:AB137,"µ")+COUNTIF($E137:AB137,1),ColTypeEcheance)),
  IF(LEN(AB137)=1,
  IF(LEN(INDEX(Roadmap!$D:$K,MATCH($E137,Roadmap!$D:$D,0)-1+COUNTIF($E137:AB137,"u")+COUNTIF($E137:AB137,"t")+COUNTIF($E137:AB137,"¶")+COUNTIF($E137:AB137,"²")+COUNTIF($E137:AB137,"µ")+COUNTIF($E137:AB137,1),ColDescriptionCourte))&gt;1,
HYPERLINK("#Roadmap!C"&amp; MATCH($E137,Roadmap!$D:$D,0)+COUNTIF($E137:AB137,"u")+COUNTIF($E137:AB137,"t")+COUNTIF($E137:AB137,"¶")+COUNTIF($E137:AB137,"²")+COUNTIF($E137:AB137,"µ")+COUNTIF($E137:AB137,1)-1,INDEX(Roadmap!$D:$K,MATCH($E137,Roadmap!$D:$D,0)-1+COUNTIF($E137:AB137,"u")+COUNTIF($E137:AB137,"t")+COUNTIF($E137:AB137,"¶")+COUNTIF($E137:AB137,"²")+COUNTIF($E137:AB137,"µ")+COUNTIF($E137:AB137,1),ColDescriptionCourte)),""),
  "")),"")</f>
        <v/>
      </c>
      <c r="AD137" s="40" t="str">
        <f ca="1">IFERROR(IF(AND(
  INDEX(Roadmap!$D:$K,MATCH($E137,Roadmap!$D:$D,0)+COUNTIF($E137:AC137,"u")+COUNTIF($E137:AC137,"t")+COUNTIF($E137:AC137,"¶")+COUNTIF($E137:AC137,"²")+COUNTIF($E137:AC137,"µ")+COUNTIF($E137:AC137,1),ColLivraison)=AD$6,
  VLOOKUP($E137,INDIRECT("tri!"&amp; CHAR(64+ C0Col) &amp;":"&amp; CHAR(65+C0Col)),2,FALSE)&gt;COUNTIF($E137:AC137,"u")+COUNTIF($E137:AC137,"t")+COUNTIF($E137:AC137,"¶")+COUNTIF($E137:AC137,"²")+COUNTIF($E137:AC137,"µ")+COUNTIF($E137:AC137,1)),
HYPERLINK("#Roadmap!C"&amp; MATCH($E137,Roadmap!$D:$D,0)+COUNTIF($E137:AC137,"u")+COUNTIF($E137:AC137,"t"),
     INDEX(Roadmap!$D:$K,MATCH($E137,Roadmap!$D:$D,0)+COUNTIF($E137:AC137,"u")+COUNTIF($E137:AC137,"t")+COUNTIF($E137:AC137,"¶")+COUNTIF($E137:AC137,"²")+COUNTIF($E137:AC137,"µ")+COUNTIF($E137:AC137,1),ColTypeEcheance)),
  IF(LEN(AC137)=1,
  IF(LEN(INDEX(Roadmap!$D:$K,MATCH($E137,Roadmap!$D:$D,0)-1+COUNTIF($E137:AC137,"u")+COUNTIF($E137:AC137,"t")+COUNTIF($E137:AC137,"¶")+COUNTIF($E137:AC137,"²")+COUNTIF($E137:AC137,"µ")+COUNTIF($E137:AC137,1),ColDescriptionCourte))&gt;1,
HYPERLINK("#Roadmap!C"&amp; MATCH($E137,Roadmap!$D:$D,0)+COUNTIF($E137:AC137,"u")+COUNTIF($E137:AC137,"t")+COUNTIF($E137:AC137,"¶")+COUNTIF($E137:AC137,"²")+COUNTIF($E137:AC137,"µ")+COUNTIF($E137:AC137,1)-1,INDEX(Roadmap!$D:$K,MATCH($E137,Roadmap!$D:$D,0)-1+COUNTIF($E137:AC137,"u")+COUNTIF($E137:AC137,"t")+COUNTIF($E137:AC137,"¶")+COUNTIF($E137:AC137,"²")+COUNTIF($E137:AC137,"µ")+COUNTIF($E137:AC137,1),ColDescriptionCourte)),""),
  "")),"")</f>
        <v/>
      </c>
      <c r="AE137" s="40" t="str">
        <f ca="1">IFERROR(IF(AND(
  INDEX(Roadmap!$D:$K,MATCH($E137,Roadmap!$D:$D,0)+COUNTIF($E137:AD137,"u")+COUNTIF($E137:AD137,"t")+COUNTIF($E137:AD137,"¶")+COUNTIF($E137:AD137,"²")+COUNTIF($E137:AD137,"µ")+COUNTIF($E137:AD137,1),ColLivraison)=AE$6,
  VLOOKUP($E137,INDIRECT("tri!"&amp; CHAR(64+ C0Col) &amp;":"&amp; CHAR(65+C0Col)),2,FALSE)&gt;COUNTIF($E137:AD137,"u")+COUNTIF($E137:AD137,"t")+COUNTIF($E137:AD137,"¶")+COUNTIF($E137:AD137,"²")+COUNTIF($E137:AD137,"µ")+COUNTIF($E137:AD137,1)),
HYPERLINK("#Roadmap!C"&amp; MATCH($E137,Roadmap!$D:$D,0)+COUNTIF($E137:AD137,"u")+COUNTIF($E137:AD137,"t"),
     INDEX(Roadmap!$D:$K,MATCH($E137,Roadmap!$D:$D,0)+COUNTIF($E137:AD137,"u")+COUNTIF($E137:AD137,"t")+COUNTIF($E137:AD137,"¶")+COUNTIF($E137:AD137,"²")+COUNTIF($E137:AD137,"µ")+COUNTIF($E137:AD137,1),ColTypeEcheance)),
  IF(LEN(AD137)=1,
  IF(LEN(INDEX(Roadmap!$D:$K,MATCH($E137,Roadmap!$D:$D,0)-1+COUNTIF($E137:AD137,"u")+COUNTIF($E137:AD137,"t")+COUNTIF($E137:AD137,"¶")+COUNTIF($E137:AD137,"²")+COUNTIF($E137:AD137,"µ")+COUNTIF($E137:AD137,1),ColDescriptionCourte))&gt;1,
HYPERLINK("#Roadmap!C"&amp; MATCH($E137,Roadmap!$D:$D,0)+COUNTIF($E137:AD137,"u")+COUNTIF($E137:AD137,"t")+COUNTIF($E137:AD137,"¶")+COUNTIF($E137:AD137,"²")+COUNTIF($E137:AD137,"µ")+COUNTIF($E137:AD137,1)-1,INDEX(Roadmap!$D:$K,MATCH($E137,Roadmap!$D:$D,0)-1+COUNTIF($E137:AD137,"u")+COUNTIF($E137:AD137,"t")+COUNTIF($E137:AD137,"¶")+COUNTIF($E137:AD137,"²")+COUNTIF($E137:AD137,"µ")+COUNTIF($E137:AD137,1),ColDescriptionCourte)),""),
  "")),"")</f>
        <v/>
      </c>
      <c r="AF137" s="40" t="str">
        <f ca="1">IFERROR(IF(AND(
  INDEX(Roadmap!$D:$K,MATCH($E137,Roadmap!$D:$D,0)+COUNTIF($E137:AE137,"u")+COUNTIF($E137:AE137,"t")+COUNTIF($E137:AE137,"¶")+COUNTIF($E137:AE137,"²")+COUNTIF($E137:AE137,"µ")+COUNTIF($E137:AE137,1),ColLivraison)=AF$6,
  VLOOKUP($E137,INDIRECT("tri!"&amp; CHAR(64+ C0Col) &amp;":"&amp; CHAR(65+C0Col)),2,FALSE)&gt;COUNTIF($E137:AE137,"u")+COUNTIF($E137:AE137,"t")+COUNTIF($E137:AE137,"¶")+COUNTIF($E137:AE137,"²")+COUNTIF($E137:AE137,"µ")+COUNTIF($E137:AE137,1)),
HYPERLINK("#Roadmap!C"&amp; MATCH($E137,Roadmap!$D:$D,0)+COUNTIF($E137:AE137,"u")+COUNTIF($E137:AE137,"t"),
     INDEX(Roadmap!$D:$K,MATCH($E137,Roadmap!$D:$D,0)+COUNTIF($E137:AE137,"u")+COUNTIF($E137:AE137,"t")+COUNTIF($E137:AE137,"¶")+COUNTIF($E137:AE137,"²")+COUNTIF($E137:AE137,"µ")+COUNTIF($E137:AE137,1),ColTypeEcheance)),
  IF(LEN(AE137)=1,
  IF(LEN(INDEX(Roadmap!$D:$K,MATCH($E137,Roadmap!$D:$D,0)-1+COUNTIF($E137:AE137,"u")+COUNTIF($E137:AE137,"t")+COUNTIF($E137:AE137,"¶")+COUNTIF($E137:AE137,"²")+COUNTIF($E137:AE137,"µ")+COUNTIF($E137:AE137,1),ColDescriptionCourte))&gt;1,
HYPERLINK("#Roadmap!C"&amp; MATCH($E137,Roadmap!$D:$D,0)+COUNTIF($E137:AE137,"u")+COUNTIF($E137:AE137,"t")+COUNTIF($E137:AE137,"¶")+COUNTIF($E137:AE137,"²")+COUNTIF($E137:AE137,"µ")+COUNTIF($E137:AE137,1)-1,INDEX(Roadmap!$D:$K,MATCH($E137,Roadmap!$D:$D,0)-1+COUNTIF($E137:AE137,"u")+COUNTIF($E137:AE137,"t")+COUNTIF($E137:AE137,"¶")+COUNTIF($E137:AE137,"²")+COUNTIF($E137:AE137,"µ")+COUNTIF($E137:AE137,1),ColDescriptionCourte)),""),
  "")),"")</f>
        <v/>
      </c>
      <c r="AG137" s="40" t="str">
        <f ca="1">IFERROR(IF(AND(
  INDEX(Roadmap!$D:$K,MATCH($E137,Roadmap!$D:$D,0)+COUNTIF($E137:AF137,"u")+COUNTIF($E137:AF137,"t")+COUNTIF($E137:AF137,"¶")+COUNTIF($E137:AF137,"²")+COUNTIF($E137:AF137,"µ")+COUNTIF($E137:AF137,1),ColLivraison)=AG$6,
  VLOOKUP($E137,INDIRECT("tri!"&amp; CHAR(64+ C0Col) &amp;":"&amp; CHAR(65+C0Col)),2,FALSE)&gt;COUNTIF($E137:AF137,"u")+COUNTIF($E137:AF137,"t")+COUNTIF($E137:AF137,"¶")+COUNTIF($E137:AF137,"²")+COUNTIF($E137:AF137,"µ")+COUNTIF($E137:AF137,1)),
HYPERLINK("#Roadmap!C"&amp; MATCH($E137,Roadmap!$D:$D,0)+COUNTIF($E137:AF137,"u")+COUNTIF($E137:AF137,"t"),
     INDEX(Roadmap!$D:$K,MATCH($E137,Roadmap!$D:$D,0)+COUNTIF($E137:AF137,"u")+COUNTIF($E137:AF137,"t")+COUNTIF($E137:AF137,"¶")+COUNTIF($E137:AF137,"²")+COUNTIF($E137:AF137,"µ")+COUNTIF($E137:AF137,1),ColTypeEcheance)),
  IF(LEN(AF137)=1,
  IF(LEN(INDEX(Roadmap!$D:$K,MATCH($E137,Roadmap!$D:$D,0)-1+COUNTIF($E137:AF137,"u")+COUNTIF($E137:AF137,"t")+COUNTIF($E137:AF137,"¶")+COUNTIF($E137:AF137,"²")+COUNTIF($E137:AF137,"µ")+COUNTIF($E137:AF137,1),ColDescriptionCourte))&gt;1,
HYPERLINK("#Roadmap!C"&amp; MATCH($E137,Roadmap!$D:$D,0)+COUNTIF($E137:AF137,"u")+COUNTIF($E137:AF137,"t")+COUNTIF($E137:AF137,"¶")+COUNTIF($E137:AF137,"²")+COUNTIF($E137:AF137,"µ")+COUNTIF($E137:AF137,1)-1,INDEX(Roadmap!$D:$K,MATCH($E137,Roadmap!$D:$D,0)-1+COUNTIF($E137:AF137,"u")+COUNTIF($E137:AF137,"t")+COUNTIF($E137:AF137,"¶")+COUNTIF($E137:AF137,"²")+COUNTIF($E137:AF137,"µ")+COUNTIF($E137:AF137,1),ColDescriptionCourte)),""),
  "")),"")</f>
        <v/>
      </c>
    </row>
    <row r="138" spans="3:33" ht="14.25" customHeight="1">
      <c r="C138" s="1" t="str">
        <f t="shared" ca="1" si="52"/>
        <v/>
      </c>
      <c r="D138" s="1" t="str">
        <f t="shared" ca="1" si="53"/>
        <v/>
      </c>
      <c r="E138" s="35" t="str">
        <f t="shared" ca="1" si="51"/>
        <v/>
      </c>
      <c r="F138" s="39" t="str">
        <f ca="1">IFERROR(IF(AND(
  INDEX(Roadmap!$D:$K,MATCH($E138,Roadmap!$D:$D,0)+COUNTIF($E138:E138,"u")+COUNTIF($E138:E138,"t")+COUNTIF($E138:E138,"¶")+COUNTIF($E138:E138,"²")+COUNTIF($E138:E138,"µ")+COUNTIF($E138:E138,1),ColLivraison)=F$6,
  VLOOKUP($E138,INDIRECT("tri!"&amp; CHAR(64+ C0Col) &amp;":"&amp; CHAR(65+C0Col)),2,FALSE)&gt;COUNTIF($E138:E138,"u")+COUNTIF($E138:E138,"t")+COUNTIF($E138:E138,"¶")+COUNTIF($E138:E138,"²")+COUNTIF($E138:E138,"µ")+COUNTIF($E138:E138,1)),
HYPERLINK("#Roadmap!C"&amp; MATCH($E138,Roadmap!$D:$D,0)+COUNTIF($E138:E138,"u")+COUNTIF($E138:E138,"t"),
     INDEX(Roadmap!$D:$K,MATCH($E138,Roadmap!$D:$D,0)+COUNTIF($E138:E138,"u")+COUNTIF($E138:E138,"t")+COUNTIF($E138:E138,"¶")+COUNTIF($E138:E138,"²")+COUNTIF($E138:E138,"µ")+COUNTIF($E138:E138,1),ColTypeEcheance)),
  IF(LEN(E138)=1,
  IF(LEN(INDEX(Roadmap!$D:$K,MATCH($E138,Roadmap!$D:$D,0)-1+COUNTIF($E138:E138,"u")+COUNTIF($E138:E138,"t")+COUNTIF($E138:E138,"¶")+COUNTIF($E138:E138,"²")+COUNTIF($E138:E138,"µ")+COUNTIF($E138:E138,1),ColDescriptionCourte))&gt;1,
HYPERLINK("#Roadmap!C"&amp; MATCH($E138,Roadmap!$D:$D,0)+COUNTIF($E138:E138,"u")+COUNTIF($E138:E138,"t")+COUNTIF($E138:E138,"¶")+COUNTIF($E138:E138,"²")+COUNTIF($E138:E138,"µ")+COUNTIF($E138:E138,1)-1,INDEX(Roadmap!$D:$K,MATCH($E138,Roadmap!$D:$D,0)-1+COUNTIF($E138:E138,"u")+COUNTIF($E138:E138,"t")+COUNTIF($E138:E138,"¶")+COUNTIF($E138:E138,"²")+COUNTIF($E138:E138,"µ")+COUNTIF($E138:E138,1),ColDescriptionCourte)),""),
  "")),"")</f>
        <v/>
      </c>
      <c r="G138" s="40" t="str">
        <f ca="1">IFERROR(IF(AND(
  INDEX(Roadmap!$D:$K,MATCH($E138,Roadmap!$D:$D,0)+COUNTIF($E138:F138,"u")+COUNTIF($E138:F138,"t")+COUNTIF($E138:F138,"¶")+COUNTIF($E138:F138,"²")+COUNTIF($E138:F138,"µ")+COUNTIF($E138:F138,1),ColLivraison)=G$6,
  VLOOKUP($E138,INDIRECT("tri!"&amp; CHAR(64+ C0Col) &amp;":"&amp; CHAR(65+C0Col)),2,FALSE)&gt;COUNTIF($E138:F138,"u")+COUNTIF($E138:F138,"t")+COUNTIF($E138:F138,"¶")+COUNTIF($E138:F138,"²")+COUNTIF($E138:F138,"µ")+COUNTIF($E138:F138,1)),
HYPERLINK("#Roadmap!C"&amp; MATCH($E138,Roadmap!$D:$D,0)+COUNTIF($E138:F138,"u")+COUNTIF($E138:F138,"t"),
     INDEX(Roadmap!$D:$K,MATCH($E138,Roadmap!$D:$D,0)+COUNTIF($E138:F138,"u")+COUNTIF($E138:F138,"t")+COUNTIF($E138:F138,"¶")+COUNTIF($E138:F138,"²")+COUNTIF($E138:F138,"µ")+COUNTIF($E138:F138,1),ColTypeEcheance)),
  IF(LEN(F138)=1,
  IF(LEN(INDEX(Roadmap!$D:$K,MATCH($E138,Roadmap!$D:$D,0)-1+COUNTIF($E138:F138,"u")+COUNTIF($E138:F138,"t")+COUNTIF($E138:F138,"¶")+COUNTIF($E138:F138,"²")+COUNTIF($E138:F138,"µ")+COUNTIF($E138:F138,1),ColDescriptionCourte))&gt;1,
HYPERLINK("#Roadmap!C"&amp; MATCH($E138,Roadmap!$D:$D,0)+COUNTIF($E138:F138,"u")+COUNTIF($E138:F138,"t")+COUNTIF($E138:F138,"¶")+COUNTIF($E138:F138,"²")+COUNTIF($E138:F138,"µ")+COUNTIF($E138:F138,1)-1,INDEX(Roadmap!$D:$K,MATCH($E138,Roadmap!$D:$D,0)-1+COUNTIF($E138:F138,"u")+COUNTIF($E138:F138,"t")+COUNTIF($E138:F138,"¶")+COUNTIF($E138:F138,"²")+COUNTIF($E138:F138,"µ")+COUNTIF($E138:F138,1),ColDescriptionCourte)),""),
  "")),"")</f>
        <v/>
      </c>
      <c r="H138" s="40" t="str">
        <f ca="1">IFERROR(IF(AND(
  INDEX(Roadmap!$D:$K,MATCH($E138,Roadmap!$D:$D,0)+COUNTIF($E138:G138,"u")+COUNTIF($E138:G138,"t")+COUNTIF($E138:G138,"¶")+COUNTIF($E138:G138,"²")+COUNTIF($E138:G138,"µ")+COUNTIF($E138:G138,1),ColLivraison)=H$6,
  VLOOKUP($E138,INDIRECT("tri!"&amp; CHAR(64+ C0Col) &amp;":"&amp; CHAR(65+C0Col)),2,FALSE)&gt;COUNTIF($E138:G138,"u")+COUNTIF($E138:G138,"t")+COUNTIF($E138:G138,"¶")+COUNTIF($E138:G138,"²")+COUNTIF($E138:G138,"µ")+COUNTIF($E138:G138,1)),
HYPERLINK("#Roadmap!C"&amp; MATCH($E138,Roadmap!$D:$D,0)+COUNTIF($E138:G138,"u")+COUNTIF($E138:G138,"t"),
     INDEX(Roadmap!$D:$K,MATCH($E138,Roadmap!$D:$D,0)+COUNTIF($E138:G138,"u")+COUNTIF($E138:G138,"t")+COUNTIF($E138:G138,"¶")+COUNTIF($E138:G138,"²")+COUNTIF($E138:G138,"µ")+COUNTIF($E138:G138,1),ColTypeEcheance)),
  IF(LEN(G138)=1,
  IF(LEN(INDEX(Roadmap!$D:$K,MATCH($E138,Roadmap!$D:$D,0)-1+COUNTIF($E138:G138,"u")+COUNTIF($E138:G138,"t")+COUNTIF($E138:G138,"¶")+COUNTIF($E138:G138,"²")+COUNTIF($E138:G138,"µ")+COUNTIF($E138:G138,1),ColDescriptionCourte))&gt;1,
HYPERLINK("#Roadmap!C"&amp; MATCH($E138,Roadmap!$D:$D,0)+COUNTIF($E138:G138,"u")+COUNTIF($E138:G138,"t")+COUNTIF($E138:G138,"¶")+COUNTIF($E138:G138,"²")+COUNTIF($E138:G138,"µ")+COUNTIF($E138:G138,1)-1,INDEX(Roadmap!$D:$K,MATCH($E138,Roadmap!$D:$D,0)-1+COUNTIF($E138:G138,"u")+COUNTIF($E138:G138,"t")+COUNTIF($E138:G138,"¶")+COUNTIF($E138:G138,"²")+COUNTIF($E138:G138,"µ")+COUNTIF($E138:G138,1),ColDescriptionCourte)),""),
  "")),"")</f>
        <v/>
      </c>
      <c r="I138" s="40" t="str">
        <f ca="1">IFERROR(IF(AND(
  INDEX(Roadmap!$D:$K,MATCH($E138,Roadmap!$D:$D,0)+COUNTIF($E138:H138,"u")+COUNTIF($E138:H138,"t")+COUNTIF($E138:H138,"¶")+COUNTIF($E138:H138,"²")+COUNTIF($E138:H138,"µ")+COUNTIF($E138:H138,1),ColLivraison)=I$6,
  VLOOKUP($E138,INDIRECT("tri!"&amp; CHAR(64+ C0Col) &amp;":"&amp; CHAR(65+C0Col)),2,FALSE)&gt;COUNTIF($E138:H138,"u")+COUNTIF($E138:H138,"t")+COUNTIF($E138:H138,"¶")+COUNTIF($E138:H138,"²")+COUNTIF($E138:H138,"µ")+COUNTIF($E138:H138,1)),
HYPERLINK("#Roadmap!C"&amp; MATCH($E138,Roadmap!$D:$D,0)+COUNTIF($E138:H138,"u")+COUNTIF($E138:H138,"t"),
     INDEX(Roadmap!$D:$K,MATCH($E138,Roadmap!$D:$D,0)+COUNTIF($E138:H138,"u")+COUNTIF($E138:H138,"t")+COUNTIF($E138:H138,"¶")+COUNTIF($E138:H138,"²")+COUNTIF($E138:H138,"µ")+COUNTIF($E138:H138,1),ColTypeEcheance)),
  IF(LEN(H138)=1,
  IF(LEN(INDEX(Roadmap!$D:$K,MATCH($E138,Roadmap!$D:$D,0)-1+COUNTIF($E138:H138,"u")+COUNTIF($E138:H138,"t")+COUNTIF($E138:H138,"¶")+COUNTIF($E138:H138,"²")+COUNTIF($E138:H138,"µ")+COUNTIF($E138:H138,1),ColDescriptionCourte))&gt;1,
HYPERLINK("#Roadmap!C"&amp; MATCH($E138,Roadmap!$D:$D,0)+COUNTIF($E138:H138,"u")+COUNTIF($E138:H138,"t")+COUNTIF($E138:H138,"¶")+COUNTIF($E138:H138,"²")+COUNTIF($E138:H138,"µ")+COUNTIF($E138:H138,1)-1,INDEX(Roadmap!$D:$K,MATCH($E138,Roadmap!$D:$D,0)-1+COUNTIF($E138:H138,"u")+COUNTIF($E138:H138,"t")+COUNTIF($E138:H138,"¶")+COUNTIF($E138:H138,"²")+COUNTIF($E138:H138,"µ")+COUNTIF($E138:H138,1),ColDescriptionCourte)),""),
  "")),"")</f>
        <v/>
      </c>
      <c r="J138" s="40" t="str">
        <f ca="1">IFERROR(IF(AND(
  INDEX(Roadmap!$D:$K,MATCH($E138,Roadmap!$D:$D,0)+COUNTIF($E138:I138,"u")+COUNTIF($E138:I138,"t")+COUNTIF($E138:I138,"¶")+COUNTIF($E138:I138,"²")+COUNTIF($E138:I138,"µ")+COUNTIF($E138:I138,1),ColLivraison)=J$6,
  VLOOKUP($E138,INDIRECT("tri!"&amp; CHAR(64+ C0Col) &amp;":"&amp; CHAR(65+C0Col)),2,FALSE)&gt;COUNTIF($E138:I138,"u")+COUNTIF($E138:I138,"t")+COUNTIF($E138:I138,"¶")+COUNTIF($E138:I138,"²")+COUNTIF($E138:I138,"µ")+COUNTIF($E138:I138,1)),
HYPERLINK("#Roadmap!C"&amp; MATCH($E138,Roadmap!$D:$D,0)+COUNTIF($E138:I138,"u")+COUNTIF($E138:I138,"t"),
     INDEX(Roadmap!$D:$K,MATCH($E138,Roadmap!$D:$D,0)+COUNTIF($E138:I138,"u")+COUNTIF($E138:I138,"t")+COUNTIF($E138:I138,"¶")+COUNTIF($E138:I138,"²")+COUNTIF($E138:I138,"µ")+COUNTIF($E138:I138,1),ColTypeEcheance)),
  IF(LEN(I138)=1,
  IF(LEN(INDEX(Roadmap!$D:$K,MATCH($E138,Roadmap!$D:$D,0)-1+COUNTIF($E138:I138,"u")+COUNTIF($E138:I138,"t")+COUNTIF($E138:I138,"¶")+COUNTIF($E138:I138,"²")+COUNTIF($E138:I138,"µ")+COUNTIF($E138:I138,1),ColDescriptionCourte))&gt;1,
HYPERLINK("#Roadmap!C"&amp; MATCH($E138,Roadmap!$D:$D,0)+COUNTIF($E138:I138,"u")+COUNTIF($E138:I138,"t")+COUNTIF($E138:I138,"¶")+COUNTIF($E138:I138,"²")+COUNTIF($E138:I138,"µ")+COUNTIF($E138:I138,1)-1,INDEX(Roadmap!$D:$K,MATCH($E138,Roadmap!$D:$D,0)-1+COUNTIF($E138:I138,"u")+COUNTIF($E138:I138,"t")+COUNTIF($E138:I138,"¶")+COUNTIF($E138:I138,"²")+COUNTIF($E138:I138,"µ")+COUNTIF($E138:I138,1),ColDescriptionCourte)),""),
  "")),"")</f>
        <v/>
      </c>
      <c r="K138" s="40" t="str">
        <f ca="1">IFERROR(IF(AND(
  INDEX(Roadmap!$D:$K,MATCH($E138,Roadmap!$D:$D,0)+COUNTIF($E138:J138,"u")+COUNTIF($E138:J138,"t")+COUNTIF($E138:J138,"¶")+COUNTIF($E138:J138,"²")+COUNTIF($E138:J138,"µ")+COUNTIF($E138:J138,1),ColLivraison)=K$6,
  VLOOKUP($E138,INDIRECT("tri!"&amp; CHAR(64+ C0Col) &amp;":"&amp; CHAR(65+C0Col)),2,FALSE)&gt;COUNTIF($E138:J138,"u")+COUNTIF($E138:J138,"t")+COUNTIF($E138:J138,"¶")+COUNTIF($E138:J138,"²")+COUNTIF($E138:J138,"µ")+COUNTIF($E138:J138,1)),
HYPERLINK("#Roadmap!C"&amp; MATCH($E138,Roadmap!$D:$D,0)+COUNTIF($E138:J138,"u")+COUNTIF($E138:J138,"t"),
     INDEX(Roadmap!$D:$K,MATCH($E138,Roadmap!$D:$D,0)+COUNTIF($E138:J138,"u")+COUNTIF($E138:J138,"t")+COUNTIF($E138:J138,"¶")+COUNTIF($E138:J138,"²")+COUNTIF($E138:J138,"µ")+COUNTIF($E138:J138,1),ColTypeEcheance)),
  IF(LEN(J138)=1,
  IF(LEN(INDEX(Roadmap!$D:$K,MATCH($E138,Roadmap!$D:$D,0)-1+COUNTIF($E138:J138,"u")+COUNTIF($E138:J138,"t")+COUNTIF($E138:J138,"¶")+COUNTIF($E138:J138,"²")+COUNTIF($E138:J138,"µ")+COUNTIF($E138:J138,1),ColDescriptionCourte))&gt;1,
HYPERLINK("#Roadmap!C"&amp; MATCH($E138,Roadmap!$D:$D,0)+COUNTIF($E138:J138,"u")+COUNTIF($E138:J138,"t")+COUNTIF($E138:J138,"¶")+COUNTIF($E138:J138,"²")+COUNTIF($E138:J138,"µ")+COUNTIF($E138:J138,1)-1,INDEX(Roadmap!$D:$K,MATCH($E138,Roadmap!$D:$D,0)-1+COUNTIF($E138:J138,"u")+COUNTIF($E138:J138,"t")+COUNTIF($E138:J138,"¶")+COUNTIF($E138:J138,"²")+COUNTIF($E138:J138,"µ")+COUNTIF($E138:J138,1),ColDescriptionCourte)),""),
  "")),"")</f>
        <v/>
      </c>
      <c r="L138" s="39" t="str">
        <f ca="1">IFERROR(IF(AND(
  INDEX(Roadmap!$D:$K,MATCH($E138,Roadmap!$D:$D,0)+COUNTIF($E138:K138,"u")+COUNTIF($E138:K138,"t")+COUNTIF($E138:K138,"¶")+COUNTIF($E138:K138,"²")+COUNTIF($E138:K138,"µ")+COUNTIF($E138:K138,1),ColLivraison)=L$6,
  VLOOKUP($E138,INDIRECT("tri!"&amp; CHAR(64+ C0Col) &amp;":"&amp; CHAR(65+C0Col)),2,FALSE)&gt;COUNTIF($E138:K138,"u")+COUNTIF($E138:K138,"t")+COUNTIF($E138:K138,"¶")+COUNTIF($E138:K138,"²")+COUNTIF($E138:K138,"µ")+COUNTIF($E138:K138,1)),
HYPERLINK("#Roadmap!C"&amp; MATCH($E138,Roadmap!$D:$D,0)+COUNTIF($E138:K138,"u")+COUNTIF($E138:K138,"t"),
     INDEX(Roadmap!$D:$K,MATCH($E138,Roadmap!$D:$D,0)+COUNTIF($E138:K138,"u")+COUNTIF($E138:K138,"t")+COUNTIF($E138:K138,"¶")+COUNTIF($E138:K138,"²")+COUNTIF($E138:K138,"µ")+COUNTIF($E138:K138,1),ColTypeEcheance)),
  IF(LEN(K138)=1,
  IF(LEN(INDEX(Roadmap!$D:$K,MATCH($E138,Roadmap!$D:$D,0)-1+COUNTIF($E138:K138,"u")+COUNTIF($E138:K138,"t")+COUNTIF($E138:K138,"¶")+COUNTIF($E138:K138,"²")+COUNTIF($E138:K138,"µ")+COUNTIF($E138:K138,1),ColDescriptionCourte))&gt;1,
HYPERLINK("#Roadmap!C"&amp; MATCH($E138,Roadmap!$D:$D,0)+COUNTIF($E138:K138,"u")+COUNTIF($E138:K138,"t")+COUNTIF($E138:K138,"¶")+COUNTIF($E138:K138,"²")+COUNTIF($E138:K138,"µ")+COUNTIF($E138:K138,1)-1,INDEX(Roadmap!$D:$K,MATCH($E138,Roadmap!$D:$D,0)-1+COUNTIF($E138:K138,"u")+COUNTIF($E138:K138,"t")+COUNTIF($E138:K138,"¶")+COUNTIF($E138:K138,"²")+COUNTIF($E138:K138,"µ")+COUNTIF($E138:K138,1),ColDescriptionCourte)),""),
  "")),"")</f>
        <v/>
      </c>
      <c r="M138" s="40" t="str">
        <f ca="1">IFERROR(IF(AND(
  INDEX(Roadmap!$D:$K,MATCH($E138,Roadmap!$D:$D,0)+COUNTIF($E138:L138,"u")+COUNTIF($E138:L138,"t")+COUNTIF($E138:L138,"¶")+COUNTIF($E138:L138,"²")+COUNTIF($E138:L138,"µ")+COUNTIF($E138:L138,1),ColLivraison)=M$6,
  VLOOKUP($E138,INDIRECT("tri!"&amp; CHAR(64+ C0Col) &amp;":"&amp; CHAR(65+C0Col)),2,FALSE)&gt;COUNTIF($E138:L138,"u")+COUNTIF($E138:L138,"t")+COUNTIF($E138:L138,"¶")+COUNTIF($E138:L138,"²")+COUNTIF($E138:L138,"µ")+COUNTIF($E138:L138,1)),
HYPERLINK("#Roadmap!C"&amp; MATCH($E138,Roadmap!$D:$D,0)+COUNTIF($E138:L138,"u")+COUNTIF($E138:L138,"t"),
     INDEX(Roadmap!$D:$K,MATCH($E138,Roadmap!$D:$D,0)+COUNTIF($E138:L138,"u")+COUNTIF($E138:L138,"t")+COUNTIF($E138:L138,"¶")+COUNTIF($E138:L138,"²")+COUNTIF($E138:L138,"µ")+COUNTIF($E138:L138,1),ColTypeEcheance)),
  IF(LEN(L138)=1,
  IF(LEN(INDEX(Roadmap!$D:$K,MATCH($E138,Roadmap!$D:$D,0)-1+COUNTIF($E138:L138,"u")+COUNTIF($E138:L138,"t")+COUNTIF($E138:L138,"¶")+COUNTIF($E138:L138,"²")+COUNTIF($E138:L138,"µ")+COUNTIF($E138:L138,1),ColDescriptionCourte))&gt;1,
HYPERLINK("#Roadmap!C"&amp; MATCH($E138,Roadmap!$D:$D,0)+COUNTIF($E138:L138,"u")+COUNTIF($E138:L138,"t")+COUNTIF($E138:L138,"¶")+COUNTIF($E138:L138,"²")+COUNTIF($E138:L138,"µ")+COUNTIF($E138:L138,1)-1,INDEX(Roadmap!$D:$K,MATCH($E138,Roadmap!$D:$D,0)-1+COUNTIF($E138:L138,"u")+COUNTIF($E138:L138,"t")+COUNTIF($E138:L138,"¶")+COUNTIF($E138:L138,"²")+COUNTIF($E138:L138,"µ")+COUNTIF($E138:L138,1),ColDescriptionCourte)),""),
  "")),"")</f>
        <v/>
      </c>
      <c r="N138" s="40" t="str">
        <f ca="1">IFERROR(IF(AND(
  INDEX(Roadmap!$D:$K,MATCH($E138,Roadmap!$D:$D,0)+COUNTIF($E138:M138,"u")+COUNTIF($E138:M138,"t")+COUNTIF($E138:M138,"¶")+COUNTIF($E138:M138,"²")+COUNTIF($E138:M138,"µ")+COUNTIF($E138:M138,1),ColLivraison)=N$6,
  VLOOKUP($E138,INDIRECT("tri!"&amp; CHAR(64+ C0Col) &amp;":"&amp; CHAR(65+C0Col)),2,FALSE)&gt;COUNTIF($E138:M138,"u")+COUNTIF($E138:M138,"t")+COUNTIF($E138:M138,"¶")+COUNTIF($E138:M138,"²")+COUNTIF($E138:M138,"µ")+COUNTIF($E138:M138,1)),
HYPERLINK("#Roadmap!C"&amp; MATCH($E138,Roadmap!$D:$D,0)+COUNTIF($E138:M138,"u")+COUNTIF($E138:M138,"t"),
     INDEX(Roadmap!$D:$K,MATCH($E138,Roadmap!$D:$D,0)+COUNTIF($E138:M138,"u")+COUNTIF($E138:M138,"t")+COUNTIF($E138:M138,"¶")+COUNTIF($E138:M138,"²")+COUNTIF($E138:M138,"µ")+COUNTIF($E138:M138,1),ColTypeEcheance)),
  IF(LEN(M138)=1,
  IF(LEN(INDEX(Roadmap!$D:$K,MATCH($E138,Roadmap!$D:$D,0)-1+COUNTIF($E138:M138,"u")+COUNTIF($E138:M138,"t")+COUNTIF($E138:M138,"¶")+COUNTIF($E138:M138,"²")+COUNTIF($E138:M138,"µ")+COUNTIF($E138:M138,1),ColDescriptionCourte))&gt;1,
HYPERLINK("#Roadmap!C"&amp; MATCH($E138,Roadmap!$D:$D,0)+COUNTIF($E138:M138,"u")+COUNTIF($E138:M138,"t")+COUNTIF($E138:M138,"¶")+COUNTIF($E138:M138,"²")+COUNTIF($E138:M138,"µ")+COUNTIF($E138:M138,1)-1,INDEX(Roadmap!$D:$K,MATCH($E138,Roadmap!$D:$D,0)-1+COUNTIF($E138:M138,"u")+COUNTIF($E138:M138,"t")+COUNTIF($E138:M138,"¶")+COUNTIF($E138:M138,"²")+COUNTIF($E138:M138,"µ")+COUNTIF($E138:M138,1),ColDescriptionCourte)),""),
  "")),"")</f>
        <v/>
      </c>
      <c r="O138" s="40" t="str">
        <f ca="1">IFERROR(IF(AND(
  INDEX(Roadmap!$D:$K,MATCH($E138,Roadmap!$D:$D,0)+COUNTIF($E138:N138,"u")+COUNTIF($E138:N138,"t")+COUNTIF($E138:N138,"¶")+COUNTIF($E138:N138,"²")+COUNTIF($E138:N138,"µ")+COUNTIF($E138:N138,1),ColLivraison)=O$6,
  VLOOKUP($E138,INDIRECT("tri!"&amp; CHAR(64+ C0Col) &amp;":"&amp; CHAR(65+C0Col)),2,FALSE)&gt;COUNTIF($E138:N138,"u")+COUNTIF($E138:N138,"t")+COUNTIF($E138:N138,"¶")+COUNTIF($E138:N138,"²")+COUNTIF($E138:N138,"µ")+COUNTIF($E138:N138,1)),
HYPERLINK("#Roadmap!C"&amp; MATCH($E138,Roadmap!$D:$D,0)+COUNTIF($E138:N138,"u")+COUNTIF($E138:N138,"t"),
     INDEX(Roadmap!$D:$K,MATCH($E138,Roadmap!$D:$D,0)+COUNTIF($E138:N138,"u")+COUNTIF($E138:N138,"t")+COUNTIF($E138:N138,"¶")+COUNTIF($E138:N138,"²")+COUNTIF($E138:N138,"µ")+COUNTIF($E138:N138,1),ColTypeEcheance)),
  IF(LEN(N138)=1,
  IF(LEN(INDEX(Roadmap!$D:$K,MATCH($E138,Roadmap!$D:$D,0)-1+COUNTIF($E138:N138,"u")+COUNTIF($E138:N138,"t")+COUNTIF($E138:N138,"¶")+COUNTIF($E138:N138,"²")+COUNTIF($E138:N138,"µ")+COUNTIF($E138:N138,1),ColDescriptionCourte))&gt;1,
HYPERLINK("#Roadmap!C"&amp; MATCH($E138,Roadmap!$D:$D,0)+COUNTIF($E138:N138,"u")+COUNTIF($E138:N138,"t")+COUNTIF($E138:N138,"¶")+COUNTIF($E138:N138,"²")+COUNTIF($E138:N138,"µ")+COUNTIF($E138:N138,1)-1,INDEX(Roadmap!$D:$K,MATCH($E138,Roadmap!$D:$D,0)-1+COUNTIF($E138:N138,"u")+COUNTIF($E138:N138,"t")+COUNTIF($E138:N138,"¶")+COUNTIF($E138:N138,"²")+COUNTIF($E138:N138,"µ")+COUNTIF($E138:N138,1),ColDescriptionCourte)),""),
  "")),"")</f>
        <v/>
      </c>
      <c r="P138" s="40" t="str">
        <f ca="1">IFERROR(IF(AND(
  INDEX(Roadmap!$D:$K,MATCH($E138,Roadmap!$D:$D,0)+COUNTIF($E138:O138,"u")+COUNTIF($E138:O138,"t")+COUNTIF($E138:O138,"¶")+COUNTIF($E138:O138,"²")+COUNTIF($E138:O138,"µ")+COUNTIF($E138:O138,1),ColLivraison)=P$6,
  VLOOKUP($E138,INDIRECT("tri!"&amp; CHAR(64+ C0Col) &amp;":"&amp; CHAR(65+C0Col)),2,FALSE)&gt;COUNTIF($E138:O138,"u")+COUNTIF($E138:O138,"t")+COUNTIF($E138:O138,"¶")+COUNTIF($E138:O138,"²")+COUNTIF($E138:O138,"µ")+COUNTIF($E138:O138,1)),
HYPERLINK("#Roadmap!C"&amp; MATCH($E138,Roadmap!$D:$D,0)+COUNTIF($E138:O138,"u")+COUNTIF($E138:O138,"t"),
     INDEX(Roadmap!$D:$K,MATCH($E138,Roadmap!$D:$D,0)+COUNTIF($E138:O138,"u")+COUNTIF($E138:O138,"t")+COUNTIF($E138:O138,"¶")+COUNTIF($E138:O138,"²")+COUNTIF($E138:O138,"µ")+COUNTIF($E138:O138,1),ColTypeEcheance)),
  IF(LEN(O138)=1,
  IF(LEN(INDEX(Roadmap!$D:$K,MATCH($E138,Roadmap!$D:$D,0)-1+COUNTIF($E138:O138,"u")+COUNTIF($E138:O138,"t")+COUNTIF($E138:O138,"¶")+COUNTIF($E138:O138,"²")+COUNTIF($E138:O138,"µ")+COUNTIF($E138:O138,1),ColDescriptionCourte))&gt;1,
HYPERLINK("#Roadmap!C"&amp; MATCH($E138,Roadmap!$D:$D,0)+COUNTIF($E138:O138,"u")+COUNTIF($E138:O138,"t")+COUNTIF($E138:O138,"¶")+COUNTIF($E138:O138,"²")+COUNTIF($E138:O138,"µ")+COUNTIF($E138:O138,1)-1,INDEX(Roadmap!$D:$K,MATCH($E138,Roadmap!$D:$D,0)-1+COUNTIF($E138:O138,"u")+COUNTIF($E138:O138,"t")+COUNTIF($E138:O138,"¶")+COUNTIF($E138:O138,"²")+COUNTIF($E138:O138,"µ")+COUNTIF($E138:O138,1),ColDescriptionCourte)),""),
  "")),"")</f>
        <v/>
      </c>
      <c r="Q138" s="40" t="str">
        <f ca="1">IFERROR(IF(AND(
  INDEX(Roadmap!$D:$K,MATCH($E138,Roadmap!$D:$D,0)+COUNTIF($E138:P138,"u")+COUNTIF($E138:P138,"t")+COUNTIF($E138:P138,"¶")+COUNTIF($E138:P138,"²")+COUNTIF($E138:P138,"µ")+COUNTIF($E138:P138,1),ColLivraison)=Q$6,
  VLOOKUP($E138,INDIRECT("tri!"&amp; CHAR(64+ C0Col) &amp;":"&amp; CHAR(65+C0Col)),2,FALSE)&gt;COUNTIF($E138:P138,"u")+COUNTIF($E138:P138,"t")+COUNTIF($E138:P138,"¶")+COUNTIF($E138:P138,"²")+COUNTIF($E138:P138,"µ")+COUNTIF($E138:P138,1)),
HYPERLINK("#Roadmap!C"&amp; MATCH($E138,Roadmap!$D:$D,0)+COUNTIF($E138:P138,"u")+COUNTIF($E138:P138,"t"),
     INDEX(Roadmap!$D:$K,MATCH($E138,Roadmap!$D:$D,0)+COUNTIF($E138:P138,"u")+COUNTIF($E138:P138,"t")+COUNTIF($E138:P138,"¶")+COUNTIF($E138:P138,"²")+COUNTIF($E138:P138,"µ")+COUNTIF($E138:P138,1),ColTypeEcheance)),
  IF(LEN(P138)=1,
  IF(LEN(INDEX(Roadmap!$D:$K,MATCH($E138,Roadmap!$D:$D,0)-1+COUNTIF($E138:P138,"u")+COUNTIF($E138:P138,"t")+COUNTIF($E138:P138,"¶")+COUNTIF($E138:P138,"²")+COUNTIF($E138:P138,"µ")+COUNTIF($E138:P138,1),ColDescriptionCourte))&gt;1,
HYPERLINK("#Roadmap!C"&amp; MATCH($E138,Roadmap!$D:$D,0)+COUNTIF($E138:P138,"u")+COUNTIF($E138:P138,"t")+COUNTIF($E138:P138,"¶")+COUNTIF($E138:P138,"²")+COUNTIF($E138:P138,"µ")+COUNTIF($E138:P138,1)-1,INDEX(Roadmap!$D:$K,MATCH($E138,Roadmap!$D:$D,0)-1+COUNTIF($E138:P138,"u")+COUNTIF($E138:P138,"t")+COUNTIF($E138:P138,"¶")+COUNTIF($E138:P138,"²")+COUNTIF($E138:P138,"µ")+COUNTIF($E138:P138,1),ColDescriptionCourte)),""),
  "")),"")</f>
        <v/>
      </c>
      <c r="R138" s="40" t="str">
        <f ca="1">IFERROR(IF(AND(
  INDEX(Roadmap!$D:$K,MATCH($E138,Roadmap!$D:$D,0)+COUNTIF($E138:Q138,"u")+COUNTIF($E138:Q138,"t")+COUNTIF($E138:Q138,"¶")+COUNTIF($E138:Q138,"²")+COUNTIF($E138:Q138,"µ")+COUNTIF($E138:Q138,1),ColLivraison)=R$6,
  VLOOKUP($E138,INDIRECT("tri!"&amp; CHAR(64+ C0Col) &amp;":"&amp; CHAR(65+C0Col)),2,FALSE)&gt;COUNTIF($E138:Q138,"u")+COUNTIF($E138:Q138,"t")+COUNTIF($E138:Q138,"¶")+COUNTIF($E138:Q138,"²")+COUNTIF($E138:Q138,"µ")+COUNTIF($E138:Q138,1)),
HYPERLINK("#Roadmap!C"&amp; MATCH($E138,Roadmap!$D:$D,0)+COUNTIF($E138:Q138,"u")+COUNTIF($E138:Q138,"t"),
     INDEX(Roadmap!$D:$K,MATCH($E138,Roadmap!$D:$D,0)+COUNTIF($E138:Q138,"u")+COUNTIF($E138:Q138,"t")+COUNTIF($E138:Q138,"¶")+COUNTIF($E138:Q138,"²")+COUNTIF($E138:Q138,"µ")+COUNTIF($E138:Q138,1),ColTypeEcheance)),
  IF(LEN(Q138)=1,
  IF(LEN(INDEX(Roadmap!$D:$K,MATCH($E138,Roadmap!$D:$D,0)-1+COUNTIF($E138:Q138,"u")+COUNTIF($E138:Q138,"t")+COUNTIF($E138:Q138,"¶")+COUNTIF($E138:Q138,"²")+COUNTIF($E138:Q138,"µ")+COUNTIF($E138:Q138,1),ColDescriptionCourte))&gt;1,
HYPERLINK("#Roadmap!C"&amp; MATCH($E138,Roadmap!$D:$D,0)+COUNTIF($E138:Q138,"u")+COUNTIF($E138:Q138,"t")+COUNTIF($E138:Q138,"¶")+COUNTIF($E138:Q138,"²")+COUNTIF($E138:Q138,"µ")+COUNTIF($E138:Q138,1)-1,INDEX(Roadmap!$D:$K,MATCH($E138,Roadmap!$D:$D,0)-1+COUNTIF($E138:Q138,"u")+COUNTIF($E138:Q138,"t")+COUNTIF($E138:Q138,"¶")+COUNTIF($E138:Q138,"²")+COUNTIF($E138:Q138,"µ")+COUNTIF($E138:Q138,1),ColDescriptionCourte)),""),
  "")),"")</f>
        <v/>
      </c>
      <c r="S138" s="40" t="str">
        <f ca="1">IFERROR(IF(AND(
  INDEX(Roadmap!$D:$K,MATCH($E138,Roadmap!$D:$D,0)+COUNTIF($E138:R138,"u")+COUNTIF($E138:R138,"t")+COUNTIF($E138:R138,"¶")+COUNTIF($E138:R138,"²")+COUNTIF($E138:R138,"µ")+COUNTIF($E138:R138,1),ColLivraison)=S$6,
  VLOOKUP($E138,INDIRECT("tri!"&amp; CHAR(64+ C0Col) &amp;":"&amp; CHAR(65+C0Col)),2,FALSE)&gt;COUNTIF($E138:R138,"u")+COUNTIF($E138:R138,"t")+COUNTIF($E138:R138,"¶")+COUNTIF($E138:R138,"²")+COUNTIF($E138:R138,"µ")+COUNTIF($E138:R138,1)),
HYPERLINK("#Roadmap!C"&amp; MATCH($E138,Roadmap!$D:$D,0)+COUNTIF($E138:R138,"u")+COUNTIF($E138:R138,"t"),
     INDEX(Roadmap!$D:$K,MATCH($E138,Roadmap!$D:$D,0)+COUNTIF($E138:R138,"u")+COUNTIF($E138:R138,"t")+COUNTIF($E138:R138,"¶")+COUNTIF($E138:R138,"²")+COUNTIF($E138:R138,"µ")+COUNTIF($E138:R138,1),ColTypeEcheance)),
  IF(LEN(R138)=1,
  IF(LEN(INDEX(Roadmap!$D:$K,MATCH($E138,Roadmap!$D:$D,0)-1+COUNTIF($E138:R138,"u")+COUNTIF($E138:R138,"t")+COUNTIF($E138:R138,"¶")+COUNTIF($E138:R138,"²")+COUNTIF($E138:R138,"µ")+COUNTIF($E138:R138,1),ColDescriptionCourte))&gt;1,
HYPERLINK("#Roadmap!C"&amp; MATCH($E138,Roadmap!$D:$D,0)+COUNTIF($E138:R138,"u")+COUNTIF($E138:R138,"t")+COUNTIF($E138:R138,"¶")+COUNTIF($E138:R138,"²")+COUNTIF($E138:R138,"µ")+COUNTIF($E138:R138,1)-1,INDEX(Roadmap!$D:$K,MATCH($E138,Roadmap!$D:$D,0)-1+COUNTIF($E138:R138,"u")+COUNTIF($E138:R138,"t")+COUNTIF($E138:R138,"¶")+COUNTIF($E138:R138,"²")+COUNTIF($E138:R138,"µ")+COUNTIF($E138:R138,1),ColDescriptionCourte)),""),
  "")),"")</f>
        <v/>
      </c>
      <c r="T138" s="40" t="str">
        <f ca="1">IFERROR(IF(AND(
  INDEX(Roadmap!$D:$K,MATCH($E138,Roadmap!$D:$D,0)+COUNTIF($E138:S138,"u")+COUNTIF($E138:S138,"t")+COUNTIF($E138:S138,"¶")+COUNTIF($E138:S138,"²")+COUNTIF($E138:S138,"µ")+COUNTIF($E138:S138,1),ColLivraison)=T$6,
  VLOOKUP($E138,INDIRECT("tri!"&amp; CHAR(64+ C0Col) &amp;":"&amp; CHAR(65+C0Col)),2,FALSE)&gt;COUNTIF($E138:S138,"u")+COUNTIF($E138:S138,"t")+COUNTIF($E138:S138,"¶")+COUNTIF($E138:S138,"²")+COUNTIF($E138:S138,"µ")+COUNTIF($E138:S138,1)),
HYPERLINK("#Roadmap!C"&amp; MATCH($E138,Roadmap!$D:$D,0)+COUNTIF($E138:S138,"u")+COUNTIF($E138:S138,"t"),
     INDEX(Roadmap!$D:$K,MATCH($E138,Roadmap!$D:$D,0)+COUNTIF($E138:S138,"u")+COUNTIF($E138:S138,"t")+COUNTIF($E138:S138,"¶")+COUNTIF($E138:S138,"²")+COUNTIF($E138:S138,"µ")+COUNTIF($E138:S138,1),ColTypeEcheance)),
  IF(LEN(S138)=1,
  IF(LEN(INDEX(Roadmap!$D:$K,MATCH($E138,Roadmap!$D:$D,0)-1+COUNTIF($E138:S138,"u")+COUNTIF($E138:S138,"t")+COUNTIF($E138:S138,"¶")+COUNTIF($E138:S138,"²")+COUNTIF($E138:S138,"µ")+COUNTIF($E138:S138,1),ColDescriptionCourte))&gt;1,
HYPERLINK("#Roadmap!C"&amp; MATCH($E138,Roadmap!$D:$D,0)+COUNTIF($E138:S138,"u")+COUNTIF($E138:S138,"t")+COUNTIF($E138:S138,"¶")+COUNTIF($E138:S138,"²")+COUNTIF($E138:S138,"µ")+COUNTIF($E138:S138,1)-1,INDEX(Roadmap!$D:$K,MATCH($E138,Roadmap!$D:$D,0)-1+COUNTIF($E138:S138,"u")+COUNTIF($E138:S138,"t")+COUNTIF($E138:S138,"¶")+COUNTIF($E138:S138,"²")+COUNTIF($E138:S138,"µ")+COUNTIF($E138:S138,1),ColDescriptionCourte)),""),
  "")),"")</f>
        <v/>
      </c>
      <c r="U138" s="40" t="str">
        <f ca="1">IFERROR(IF(AND(
  INDEX(Roadmap!$D:$K,MATCH($E138,Roadmap!$D:$D,0)+COUNTIF($E138:T138,"u")+COUNTIF($E138:T138,"t")+COUNTIF($E138:T138,"¶")+COUNTIF($E138:T138,"²")+COUNTIF($E138:T138,"µ")+COUNTIF($E138:T138,1),ColLivraison)=U$6,
  VLOOKUP($E138,INDIRECT("tri!"&amp; CHAR(64+ C0Col) &amp;":"&amp; CHAR(65+C0Col)),2,FALSE)&gt;COUNTIF($E138:T138,"u")+COUNTIF($E138:T138,"t")+COUNTIF($E138:T138,"¶")+COUNTIF($E138:T138,"²")+COUNTIF($E138:T138,"µ")+COUNTIF($E138:T138,1)),
HYPERLINK("#Roadmap!C"&amp; MATCH($E138,Roadmap!$D:$D,0)+COUNTIF($E138:T138,"u")+COUNTIF($E138:T138,"t"),
     INDEX(Roadmap!$D:$K,MATCH($E138,Roadmap!$D:$D,0)+COUNTIF($E138:T138,"u")+COUNTIF($E138:T138,"t")+COUNTIF($E138:T138,"¶")+COUNTIF($E138:T138,"²")+COUNTIF($E138:T138,"µ")+COUNTIF($E138:T138,1),ColTypeEcheance)),
  IF(LEN(T138)=1,
  IF(LEN(INDEX(Roadmap!$D:$K,MATCH($E138,Roadmap!$D:$D,0)-1+COUNTIF($E138:T138,"u")+COUNTIF($E138:T138,"t")+COUNTIF($E138:T138,"¶")+COUNTIF($E138:T138,"²")+COUNTIF($E138:T138,"µ")+COUNTIF($E138:T138,1),ColDescriptionCourte))&gt;1,
HYPERLINK("#Roadmap!C"&amp; MATCH($E138,Roadmap!$D:$D,0)+COUNTIF($E138:T138,"u")+COUNTIF($E138:T138,"t")+COUNTIF($E138:T138,"¶")+COUNTIF($E138:T138,"²")+COUNTIF($E138:T138,"µ")+COUNTIF($E138:T138,1)-1,INDEX(Roadmap!$D:$K,MATCH($E138,Roadmap!$D:$D,0)-1+COUNTIF($E138:T138,"u")+COUNTIF($E138:T138,"t")+COUNTIF($E138:T138,"¶")+COUNTIF($E138:T138,"²")+COUNTIF($E138:T138,"µ")+COUNTIF($E138:T138,1),ColDescriptionCourte)),""),
  "")),"")</f>
        <v/>
      </c>
      <c r="V138" s="40" t="str">
        <f ca="1">IFERROR(IF(AND(
  INDEX(Roadmap!$D:$K,MATCH($E138,Roadmap!$D:$D,0)+COUNTIF($E138:U138,"u")+COUNTIF($E138:U138,"t")+COUNTIF($E138:U138,"¶")+COUNTIF($E138:U138,"²")+COUNTIF($E138:U138,"µ")+COUNTIF($E138:U138,1),ColLivraison)=V$6,
  VLOOKUP($E138,INDIRECT("tri!"&amp; CHAR(64+ C0Col) &amp;":"&amp; CHAR(65+C0Col)),2,FALSE)&gt;COUNTIF($E138:U138,"u")+COUNTIF($E138:U138,"t")+COUNTIF($E138:U138,"¶")+COUNTIF($E138:U138,"²")+COUNTIF($E138:U138,"µ")+COUNTIF($E138:U138,1)),
HYPERLINK("#Roadmap!C"&amp; MATCH($E138,Roadmap!$D:$D,0)+COUNTIF($E138:U138,"u")+COUNTIF($E138:U138,"t"),
     INDEX(Roadmap!$D:$K,MATCH($E138,Roadmap!$D:$D,0)+COUNTIF($E138:U138,"u")+COUNTIF($E138:U138,"t")+COUNTIF($E138:U138,"¶")+COUNTIF($E138:U138,"²")+COUNTIF($E138:U138,"µ")+COUNTIF($E138:U138,1),ColTypeEcheance)),
  IF(LEN(U138)=1,
  IF(LEN(INDEX(Roadmap!$D:$K,MATCH($E138,Roadmap!$D:$D,0)-1+COUNTIF($E138:U138,"u")+COUNTIF($E138:U138,"t")+COUNTIF($E138:U138,"¶")+COUNTIF($E138:U138,"²")+COUNTIF($E138:U138,"µ")+COUNTIF($E138:U138,1),ColDescriptionCourte))&gt;1,
HYPERLINK("#Roadmap!C"&amp; MATCH($E138,Roadmap!$D:$D,0)+COUNTIF($E138:U138,"u")+COUNTIF($E138:U138,"t")+COUNTIF($E138:U138,"¶")+COUNTIF($E138:U138,"²")+COUNTIF($E138:U138,"µ")+COUNTIF($E138:U138,1)-1,INDEX(Roadmap!$D:$K,MATCH($E138,Roadmap!$D:$D,0)-1+COUNTIF($E138:U138,"u")+COUNTIF($E138:U138,"t")+COUNTIF($E138:U138,"¶")+COUNTIF($E138:U138,"²")+COUNTIF($E138:U138,"µ")+COUNTIF($E138:U138,1),ColDescriptionCourte)),""),
  "")),"")</f>
        <v/>
      </c>
      <c r="W138" s="40" t="str">
        <f ca="1">IFERROR(IF(AND(
  INDEX(Roadmap!$D:$K,MATCH($E138,Roadmap!$D:$D,0)+COUNTIF($E138:V138,"u")+COUNTIF($E138:V138,"t")+COUNTIF($E138:V138,"¶")+COUNTIF($E138:V138,"²")+COUNTIF($E138:V138,"µ")+COUNTIF($E138:V138,1),ColLivraison)=W$6,
  VLOOKUP($E138,INDIRECT("tri!"&amp; CHAR(64+ C0Col) &amp;":"&amp; CHAR(65+C0Col)),2,FALSE)&gt;COUNTIF($E138:V138,"u")+COUNTIF($E138:V138,"t")+COUNTIF($E138:V138,"¶")+COUNTIF($E138:V138,"²")+COUNTIF($E138:V138,"µ")+COUNTIF($E138:V138,1)),
HYPERLINK("#Roadmap!C"&amp; MATCH($E138,Roadmap!$D:$D,0)+COUNTIF($E138:V138,"u")+COUNTIF($E138:V138,"t"),
     INDEX(Roadmap!$D:$K,MATCH($E138,Roadmap!$D:$D,0)+COUNTIF($E138:V138,"u")+COUNTIF($E138:V138,"t")+COUNTIF($E138:V138,"¶")+COUNTIF($E138:V138,"²")+COUNTIF($E138:V138,"µ")+COUNTIF($E138:V138,1),ColTypeEcheance)),
  IF(LEN(V138)=1,
  IF(LEN(INDEX(Roadmap!$D:$K,MATCH($E138,Roadmap!$D:$D,0)-1+COUNTIF($E138:V138,"u")+COUNTIF($E138:V138,"t")+COUNTIF($E138:V138,"¶")+COUNTIF($E138:V138,"²")+COUNTIF($E138:V138,"µ")+COUNTIF($E138:V138,1),ColDescriptionCourte))&gt;1,
HYPERLINK("#Roadmap!C"&amp; MATCH($E138,Roadmap!$D:$D,0)+COUNTIF($E138:V138,"u")+COUNTIF($E138:V138,"t")+COUNTIF($E138:V138,"¶")+COUNTIF($E138:V138,"²")+COUNTIF($E138:V138,"µ")+COUNTIF($E138:V138,1)-1,INDEX(Roadmap!$D:$K,MATCH($E138,Roadmap!$D:$D,0)-1+COUNTIF($E138:V138,"u")+COUNTIF($E138:V138,"t")+COUNTIF($E138:V138,"¶")+COUNTIF($E138:V138,"²")+COUNTIF($E138:V138,"µ")+COUNTIF($E138:V138,1),ColDescriptionCourte)),""),
  "")),"")</f>
        <v/>
      </c>
      <c r="X138" s="40" t="str">
        <f ca="1">IFERROR(IF(AND(
  INDEX(Roadmap!$D:$K,MATCH($E138,Roadmap!$D:$D,0)+COUNTIF($E138:W138,"u")+COUNTIF($E138:W138,"t")+COUNTIF($E138:W138,"¶")+COUNTIF($E138:W138,"²")+COUNTIF($E138:W138,"µ")+COUNTIF($E138:W138,1),ColLivraison)=X$6,
  VLOOKUP($E138,INDIRECT("tri!"&amp; CHAR(64+ C0Col) &amp;":"&amp; CHAR(65+C0Col)),2,FALSE)&gt;COUNTIF($E138:W138,"u")+COUNTIF($E138:W138,"t")+COUNTIF($E138:W138,"¶")+COUNTIF($E138:W138,"²")+COUNTIF($E138:W138,"µ")+COUNTIF($E138:W138,1)),
HYPERLINK("#Roadmap!C"&amp; MATCH($E138,Roadmap!$D:$D,0)+COUNTIF($E138:W138,"u")+COUNTIF($E138:W138,"t"),
     INDEX(Roadmap!$D:$K,MATCH($E138,Roadmap!$D:$D,0)+COUNTIF($E138:W138,"u")+COUNTIF($E138:W138,"t")+COUNTIF($E138:W138,"¶")+COUNTIF($E138:W138,"²")+COUNTIF($E138:W138,"µ")+COUNTIF($E138:W138,1),ColTypeEcheance)),
  IF(LEN(W138)=1,
  IF(LEN(INDEX(Roadmap!$D:$K,MATCH($E138,Roadmap!$D:$D,0)-1+COUNTIF($E138:W138,"u")+COUNTIF($E138:W138,"t")+COUNTIF($E138:W138,"¶")+COUNTIF($E138:W138,"²")+COUNTIF($E138:W138,"µ")+COUNTIF($E138:W138,1),ColDescriptionCourte))&gt;1,
HYPERLINK("#Roadmap!C"&amp; MATCH($E138,Roadmap!$D:$D,0)+COUNTIF($E138:W138,"u")+COUNTIF($E138:W138,"t")+COUNTIF($E138:W138,"¶")+COUNTIF($E138:W138,"²")+COUNTIF($E138:W138,"µ")+COUNTIF($E138:W138,1)-1,INDEX(Roadmap!$D:$K,MATCH($E138,Roadmap!$D:$D,0)-1+COUNTIF($E138:W138,"u")+COUNTIF($E138:W138,"t")+COUNTIF($E138:W138,"¶")+COUNTIF($E138:W138,"²")+COUNTIF($E138:W138,"µ")+COUNTIF($E138:W138,1),ColDescriptionCourte)),""),
  "")),"")</f>
        <v/>
      </c>
      <c r="Y138" s="40" t="str">
        <f ca="1">IFERROR(IF(AND(
  INDEX(Roadmap!$D:$K,MATCH($E138,Roadmap!$D:$D,0)+COUNTIF($E138:X138,"u")+COUNTIF($E138:X138,"t")+COUNTIF($E138:X138,"¶")+COUNTIF($E138:X138,"²")+COUNTIF($E138:X138,"µ")+COUNTIF($E138:X138,1),ColLivraison)=Y$6,
  VLOOKUP($E138,INDIRECT("tri!"&amp; CHAR(64+ C0Col) &amp;":"&amp; CHAR(65+C0Col)),2,FALSE)&gt;COUNTIF($E138:X138,"u")+COUNTIF($E138:X138,"t")+COUNTIF($E138:X138,"¶")+COUNTIF($E138:X138,"²")+COUNTIF($E138:X138,"µ")+COUNTIF($E138:X138,1)),
HYPERLINK("#Roadmap!C"&amp; MATCH($E138,Roadmap!$D:$D,0)+COUNTIF($E138:X138,"u")+COUNTIF($E138:X138,"t"),
     INDEX(Roadmap!$D:$K,MATCH($E138,Roadmap!$D:$D,0)+COUNTIF($E138:X138,"u")+COUNTIF($E138:X138,"t")+COUNTIF($E138:X138,"¶")+COUNTIF($E138:X138,"²")+COUNTIF($E138:X138,"µ")+COUNTIF($E138:X138,1),ColTypeEcheance)),
  IF(LEN(X138)=1,
  IF(LEN(INDEX(Roadmap!$D:$K,MATCH($E138,Roadmap!$D:$D,0)-1+COUNTIF($E138:X138,"u")+COUNTIF($E138:X138,"t")+COUNTIF($E138:X138,"¶")+COUNTIF($E138:X138,"²")+COUNTIF($E138:X138,"µ")+COUNTIF($E138:X138,1),ColDescriptionCourte))&gt;1,
HYPERLINK("#Roadmap!C"&amp; MATCH($E138,Roadmap!$D:$D,0)+COUNTIF($E138:X138,"u")+COUNTIF($E138:X138,"t")+COUNTIF($E138:X138,"¶")+COUNTIF($E138:X138,"²")+COUNTIF($E138:X138,"µ")+COUNTIF($E138:X138,1)-1,INDEX(Roadmap!$D:$K,MATCH($E138,Roadmap!$D:$D,0)-1+COUNTIF($E138:X138,"u")+COUNTIF($E138:X138,"t")+COUNTIF($E138:X138,"¶")+COUNTIF($E138:X138,"²")+COUNTIF($E138:X138,"µ")+COUNTIF($E138:X138,1),ColDescriptionCourte)),""),
  "")),"")</f>
        <v/>
      </c>
      <c r="Z138" s="40" t="str">
        <f ca="1">IFERROR(IF(AND(
  INDEX(Roadmap!$D:$K,MATCH($E138,Roadmap!$D:$D,0)+COUNTIF($E138:Y138,"u")+COUNTIF($E138:Y138,"t")+COUNTIF($E138:Y138,"¶")+COUNTIF($E138:Y138,"²")+COUNTIF($E138:Y138,"µ")+COUNTIF($E138:Y138,1),ColLivraison)=Z$6,
  VLOOKUP($E138,INDIRECT("tri!"&amp; CHAR(64+ C0Col) &amp;":"&amp; CHAR(65+C0Col)),2,FALSE)&gt;COUNTIF($E138:Y138,"u")+COUNTIF($E138:Y138,"t")+COUNTIF($E138:Y138,"¶")+COUNTIF($E138:Y138,"²")+COUNTIF($E138:Y138,"µ")+COUNTIF($E138:Y138,1)),
HYPERLINK("#Roadmap!C"&amp; MATCH($E138,Roadmap!$D:$D,0)+COUNTIF($E138:Y138,"u")+COUNTIF($E138:Y138,"t"),
     INDEX(Roadmap!$D:$K,MATCH($E138,Roadmap!$D:$D,0)+COUNTIF($E138:Y138,"u")+COUNTIF($E138:Y138,"t")+COUNTIF($E138:Y138,"¶")+COUNTIF($E138:Y138,"²")+COUNTIF($E138:Y138,"µ")+COUNTIF($E138:Y138,1),ColTypeEcheance)),
  IF(LEN(Y138)=1,
  IF(LEN(INDEX(Roadmap!$D:$K,MATCH($E138,Roadmap!$D:$D,0)-1+COUNTIF($E138:Y138,"u")+COUNTIF($E138:Y138,"t")+COUNTIF($E138:Y138,"¶")+COUNTIF($E138:Y138,"²")+COUNTIF($E138:Y138,"µ")+COUNTIF($E138:Y138,1),ColDescriptionCourte))&gt;1,
HYPERLINK("#Roadmap!C"&amp; MATCH($E138,Roadmap!$D:$D,0)+COUNTIF($E138:Y138,"u")+COUNTIF($E138:Y138,"t")+COUNTIF($E138:Y138,"¶")+COUNTIF($E138:Y138,"²")+COUNTIF($E138:Y138,"µ")+COUNTIF($E138:Y138,1)-1,INDEX(Roadmap!$D:$K,MATCH($E138,Roadmap!$D:$D,0)-1+COUNTIF($E138:Y138,"u")+COUNTIF($E138:Y138,"t")+COUNTIF($E138:Y138,"¶")+COUNTIF($E138:Y138,"²")+COUNTIF($E138:Y138,"µ")+COUNTIF($E138:Y138,1),ColDescriptionCourte)),""),
  "")),"")</f>
        <v/>
      </c>
      <c r="AA138" s="40" t="str">
        <f ca="1">IFERROR(IF(AND(
  INDEX(Roadmap!$D:$K,MATCH($E138,Roadmap!$D:$D,0)+COUNTIF($E138:Z138,"u")+COUNTIF($E138:Z138,"t")+COUNTIF($E138:Z138,"¶")+COUNTIF($E138:Z138,"²")+COUNTIF($E138:Z138,"µ")+COUNTIF($E138:Z138,1),ColLivraison)=AA$6,
  VLOOKUP($E138,INDIRECT("tri!"&amp; CHAR(64+ C0Col) &amp;":"&amp; CHAR(65+C0Col)),2,FALSE)&gt;COUNTIF($E138:Z138,"u")+COUNTIF($E138:Z138,"t")+COUNTIF($E138:Z138,"¶")+COUNTIF($E138:Z138,"²")+COUNTIF($E138:Z138,"µ")+COUNTIF($E138:Z138,1)),
HYPERLINK("#Roadmap!C"&amp; MATCH($E138,Roadmap!$D:$D,0)+COUNTIF($E138:Z138,"u")+COUNTIF($E138:Z138,"t"),
     INDEX(Roadmap!$D:$K,MATCH($E138,Roadmap!$D:$D,0)+COUNTIF($E138:Z138,"u")+COUNTIF($E138:Z138,"t")+COUNTIF($E138:Z138,"¶")+COUNTIF($E138:Z138,"²")+COUNTIF($E138:Z138,"µ")+COUNTIF($E138:Z138,1),ColTypeEcheance)),
  IF(LEN(Z138)=1,
  IF(LEN(INDEX(Roadmap!$D:$K,MATCH($E138,Roadmap!$D:$D,0)-1+COUNTIF($E138:Z138,"u")+COUNTIF($E138:Z138,"t")+COUNTIF($E138:Z138,"¶")+COUNTIF($E138:Z138,"²")+COUNTIF($E138:Z138,"µ")+COUNTIF($E138:Z138,1),ColDescriptionCourte))&gt;1,
HYPERLINK("#Roadmap!C"&amp; MATCH($E138,Roadmap!$D:$D,0)+COUNTIF($E138:Z138,"u")+COUNTIF($E138:Z138,"t")+COUNTIF($E138:Z138,"¶")+COUNTIF($E138:Z138,"²")+COUNTIF($E138:Z138,"µ")+COUNTIF($E138:Z138,1)-1,INDEX(Roadmap!$D:$K,MATCH($E138,Roadmap!$D:$D,0)-1+COUNTIF($E138:Z138,"u")+COUNTIF($E138:Z138,"t")+COUNTIF($E138:Z138,"¶")+COUNTIF($E138:Z138,"²")+COUNTIF($E138:Z138,"µ")+COUNTIF($E138:Z138,1),ColDescriptionCourte)),""),
  "")),"")</f>
        <v/>
      </c>
      <c r="AB138" s="40" t="str">
        <f ca="1">IFERROR(IF(AND(
  INDEX(Roadmap!$D:$K,MATCH($E138,Roadmap!$D:$D,0)+COUNTIF($E138:AA138,"u")+COUNTIF($E138:AA138,"t")+COUNTIF($E138:AA138,"¶")+COUNTIF($E138:AA138,"²")+COUNTIF($E138:AA138,"µ")+COUNTIF($E138:AA138,1),ColLivraison)=AB$6,
  VLOOKUP($E138,INDIRECT("tri!"&amp; CHAR(64+ C0Col) &amp;":"&amp; CHAR(65+C0Col)),2,FALSE)&gt;COUNTIF($E138:AA138,"u")+COUNTIF($E138:AA138,"t")+COUNTIF($E138:AA138,"¶")+COUNTIF($E138:AA138,"²")+COUNTIF($E138:AA138,"µ")+COUNTIF($E138:AA138,1)),
HYPERLINK("#Roadmap!C"&amp; MATCH($E138,Roadmap!$D:$D,0)+COUNTIF($E138:AA138,"u")+COUNTIF($E138:AA138,"t"),
     INDEX(Roadmap!$D:$K,MATCH($E138,Roadmap!$D:$D,0)+COUNTIF($E138:AA138,"u")+COUNTIF($E138:AA138,"t")+COUNTIF($E138:AA138,"¶")+COUNTIF($E138:AA138,"²")+COUNTIF($E138:AA138,"µ")+COUNTIF($E138:AA138,1),ColTypeEcheance)),
  IF(LEN(AA138)=1,
  IF(LEN(INDEX(Roadmap!$D:$K,MATCH($E138,Roadmap!$D:$D,0)-1+COUNTIF($E138:AA138,"u")+COUNTIF($E138:AA138,"t")+COUNTIF($E138:AA138,"¶")+COUNTIF($E138:AA138,"²")+COUNTIF($E138:AA138,"µ")+COUNTIF($E138:AA138,1),ColDescriptionCourte))&gt;1,
HYPERLINK("#Roadmap!C"&amp; MATCH($E138,Roadmap!$D:$D,0)+COUNTIF($E138:AA138,"u")+COUNTIF($E138:AA138,"t")+COUNTIF($E138:AA138,"¶")+COUNTIF($E138:AA138,"²")+COUNTIF($E138:AA138,"µ")+COUNTIF($E138:AA138,1)-1,INDEX(Roadmap!$D:$K,MATCH($E138,Roadmap!$D:$D,0)-1+COUNTIF($E138:AA138,"u")+COUNTIF($E138:AA138,"t")+COUNTIF($E138:AA138,"¶")+COUNTIF($E138:AA138,"²")+COUNTIF($E138:AA138,"µ")+COUNTIF($E138:AA138,1),ColDescriptionCourte)),""),
  "")),"")</f>
        <v/>
      </c>
      <c r="AC138" s="40" t="str">
        <f ca="1">IFERROR(IF(AND(
  INDEX(Roadmap!$D:$K,MATCH($E138,Roadmap!$D:$D,0)+COUNTIF($E138:AB138,"u")+COUNTIF($E138:AB138,"t")+COUNTIF($E138:AB138,"¶")+COUNTIF($E138:AB138,"²")+COUNTIF($E138:AB138,"µ")+COUNTIF($E138:AB138,1),ColLivraison)=AC$6,
  VLOOKUP($E138,INDIRECT("tri!"&amp; CHAR(64+ C0Col) &amp;":"&amp; CHAR(65+C0Col)),2,FALSE)&gt;COUNTIF($E138:AB138,"u")+COUNTIF($E138:AB138,"t")+COUNTIF($E138:AB138,"¶")+COUNTIF($E138:AB138,"²")+COUNTIF($E138:AB138,"µ")+COUNTIF($E138:AB138,1)),
HYPERLINK("#Roadmap!C"&amp; MATCH($E138,Roadmap!$D:$D,0)+COUNTIF($E138:AB138,"u")+COUNTIF($E138:AB138,"t"),
     INDEX(Roadmap!$D:$K,MATCH($E138,Roadmap!$D:$D,0)+COUNTIF($E138:AB138,"u")+COUNTIF($E138:AB138,"t")+COUNTIF($E138:AB138,"¶")+COUNTIF($E138:AB138,"²")+COUNTIF($E138:AB138,"µ")+COUNTIF($E138:AB138,1),ColTypeEcheance)),
  IF(LEN(AB138)=1,
  IF(LEN(INDEX(Roadmap!$D:$K,MATCH($E138,Roadmap!$D:$D,0)-1+COUNTIF($E138:AB138,"u")+COUNTIF($E138:AB138,"t")+COUNTIF($E138:AB138,"¶")+COUNTIF($E138:AB138,"²")+COUNTIF($E138:AB138,"µ")+COUNTIF($E138:AB138,1),ColDescriptionCourte))&gt;1,
HYPERLINK("#Roadmap!C"&amp; MATCH($E138,Roadmap!$D:$D,0)+COUNTIF($E138:AB138,"u")+COUNTIF($E138:AB138,"t")+COUNTIF($E138:AB138,"¶")+COUNTIF($E138:AB138,"²")+COUNTIF($E138:AB138,"µ")+COUNTIF($E138:AB138,1)-1,INDEX(Roadmap!$D:$K,MATCH($E138,Roadmap!$D:$D,0)-1+COUNTIF($E138:AB138,"u")+COUNTIF($E138:AB138,"t")+COUNTIF($E138:AB138,"¶")+COUNTIF($E138:AB138,"²")+COUNTIF($E138:AB138,"µ")+COUNTIF($E138:AB138,1),ColDescriptionCourte)),""),
  "")),"")</f>
        <v/>
      </c>
      <c r="AD138" s="40" t="str">
        <f ca="1">IFERROR(IF(AND(
  INDEX(Roadmap!$D:$K,MATCH($E138,Roadmap!$D:$D,0)+COUNTIF($E138:AC138,"u")+COUNTIF($E138:AC138,"t")+COUNTIF($E138:AC138,"¶")+COUNTIF($E138:AC138,"²")+COUNTIF($E138:AC138,"µ")+COUNTIF($E138:AC138,1),ColLivraison)=AD$6,
  VLOOKUP($E138,INDIRECT("tri!"&amp; CHAR(64+ C0Col) &amp;":"&amp; CHAR(65+C0Col)),2,FALSE)&gt;COUNTIF($E138:AC138,"u")+COUNTIF($E138:AC138,"t")+COUNTIF($E138:AC138,"¶")+COUNTIF($E138:AC138,"²")+COUNTIF($E138:AC138,"µ")+COUNTIF($E138:AC138,1)),
HYPERLINK("#Roadmap!C"&amp; MATCH($E138,Roadmap!$D:$D,0)+COUNTIF($E138:AC138,"u")+COUNTIF($E138:AC138,"t"),
     INDEX(Roadmap!$D:$K,MATCH($E138,Roadmap!$D:$D,0)+COUNTIF($E138:AC138,"u")+COUNTIF($E138:AC138,"t")+COUNTIF($E138:AC138,"¶")+COUNTIF($E138:AC138,"²")+COUNTIF($E138:AC138,"µ")+COUNTIF($E138:AC138,1),ColTypeEcheance)),
  IF(LEN(AC138)=1,
  IF(LEN(INDEX(Roadmap!$D:$K,MATCH($E138,Roadmap!$D:$D,0)-1+COUNTIF($E138:AC138,"u")+COUNTIF($E138:AC138,"t")+COUNTIF($E138:AC138,"¶")+COUNTIF($E138:AC138,"²")+COUNTIF($E138:AC138,"µ")+COUNTIF($E138:AC138,1),ColDescriptionCourte))&gt;1,
HYPERLINK("#Roadmap!C"&amp; MATCH($E138,Roadmap!$D:$D,0)+COUNTIF($E138:AC138,"u")+COUNTIF($E138:AC138,"t")+COUNTIF($E138:AC138,"¶")+COUNTIF($E138:AC138,"²")+COUNTIF($E138:AC138,"µ")+COUNTIF($E138:AC138,1)-1,INDEX(Roadmap!$D:$K,MATCH($E138,Roadmap!$D:$D,0)-1+COUNTIF($E138:AC138,"u")+COUNTIF($E138:AC138,"t")+COUNTIF($E138:AC138,"¶")+COUNTIF($E138:AC138,"²")+COUNTIF($E138:AC138,"µ")+COUNTIF($E138:AC138,1),ColDescriptionCourte)),""),
  "")),"")</f>
        <v/>
      </c>
      <c r="AE138" s="40" t="str">
        <f ca="1">IFERROR(IF(AND(
  INDEX(Roadmap!$D:$K,MATCH($E138,Roadmap!$D:$D,0)+COUNTIF($E138:AD138,"u")+COUNTIF($E138:AD138,"t")+COUNTIF($E138:AD138,"¶")+COUNTIF($E138:AD138,"²")+COUNTIF($E138:AD138,"µ")+COUNTIF($E138:AD138,1),ColLivraison)=AE$6,
  VLOOKUP($E138,INDIRECT("tri!"&amp; CHAR(64+ C0Col) &amp;":"&amp; CHAR(65+C0Col)),2,FALSE)&gt;COUNTIF($E138:AD138,"u")+COUNTIF($E138:AD138,"t")+COUNTIF($E138:AD138,"¶")+COUNTIF($E138:AD138,"²")+COUNTIF($E138:AD138,"µ")+COUNTIF($E138:AD138,1)),
HYPERLINK("#Roadmap!C"&amp; MATCH($E138,Roadmap!$D:$D,0)+COUNTIF($E138:AD138,"u")+COUNTIF($E138:AD138,"t"),
     INDEX(Roadmap!$D:$K,MATCH($E138,Roadmap!$D:$D,0)+COUNTIF($E138:AD138,"u")+COUNTIF($E138:AD138,"t")+COUNTIF($E138:AD138,"¶")+COUNTIF($E138:AD138,"²")+COUNTIF($E138:AD138,"µ")+COUNTIF($E138:AD138,1),ColTypeEcheance)),
  IF(LEN(AD138)=1,
  IF(LEN(INDEX(Roadmap!$D:$K,MATCH($E138,Roadmap!$D:$D,0)-1+COUNTIF($E138:AD138,"u")+COUNTIF($E138:AD138,"t")+COUNTIF($E138:AD138,"¶")+COUNTIF($E138:AD138,"²")+COUNTIF($E138:AD138,"µ")+COUNTIF($E138:AD138,1),ColDescriptionCourte))&gt;1,
HYPERLINK("#Roadmap!C"&amp; MATCH($E138,Roadmap!$D:$D,0)+COUNTIF($E138:AD138,"u")+COUNTIF($E138:AD138,"t")+COUNTIF($E138:AD138,"¶")+COUNTIF($E138:AD138,"²")+COUNTIF($E138:AD138,"µ")+COUNTIF($E138:AD138,1)-1,INDEX(Roadmap!$D:$K,MATCH($E138,Roadmap!$D:$D,0)-1+COUNTIF($E138:AD138,"u")+COUNTIF($E138:AD138,"t")+COUNTIF($E138:AD138,"¶")+COUNTIF($E138:AD138,"²")+COUNTIF($E138:AD138,"µ")+COUNTIF($E138:AD138,1),ColDescriptionCourte)),""),
  "")),"")</f>
        <v/>
      </c>
      <c r="AF138" s="40" t="str">
        <f ca="1">IFERROR(IF(AND(
  INDEX(Roadmap!$D:$K,MATCH($E138,Roadmap!$D:$D,0)+COUNTIF($E138:AE138,"u")+COUNTIF($E138:AE138,"t")+COUNTIF($E138:AE138,"¶")+COUNTIF($E138:AE138,"²")+COUNTIF($E138:AE138,"µ")+COUNTIF($E138:AE138,1),ColLivraison)=AF$6,
  VLOOKUP($E138,INDIRECT("tri!"&amp; CHAR(64+ C0Col) &amp;":"&amp; CHAR(65+C0Col)),2,FALSE)&gt;COUNTIF($E138:AE138,"u")+COUNTIF($E138:AE138,"t")+COUNTIF($E138:AE138,"¶")+COUNTIF($E138:AE138,"²")+COUNTIF($E138:AE138,"µ")+COUNTIF($E138:AE138,1)),
HYPERLINK("#Roadmap!C"&amp; MATCH($E138,Roadmap!$D:$D,0)+COUNTIF($E138:AE138,"u")+COUNTIF($E138:AE138,"t"),
     INDEX(Roadmap!$D:$K,MATCH($E138,Roadmap!$D:$D,0)+COUNTIF($E138:AE138,"u")+COUNTIF($E138:AE138,"t")+COUNTIF($E138:AE138,"¶")+COUNTIF($E138:AE138,"²")+COUNTIF($E138:AE138,"µ")+COUNTIF($E138:AE138,1),ColTypeEcheance)),
  IF(LEN(AE138)=1,
  IF(LEN(INDEX(Roadmap!$D:$K,MATCH($E138,Roadmap!$D:$D,0)-1+COUNTIF($E138:AE138,"u")+COUNTIF($E138:AE138,"t")+COUNTIF($E138:AE138,"¶")+COUNTIF($E138:AE138,"²")+COUNTIF($E138:AE138,"µ")+COUNTIF($E138:AE138,1),ColDescriptionCourte))&gt;1,
HYPERLINK("#Roadmap!C"&amp; MATCH($E138,Roadmap!$D:$D,0)+COUNTIF($E138:AE138,"u")+COUNTIF($E138:AE138,"t")+COUNTIF($E138:AE138,"¶")+COUNTIF($E138:AE138,"²")+COUNTIF($E138:AE138,"µ")+COUNTIF($E138:AE138,1)-1,INDEX(Roadmap!$D:$K,MATCH($E138,Roadmap!$D:$D,0)-1+COUNTIF($E138:AE138,"u")+COUNTIF($E138:AE138,"t")+COUNTIF($E138:AE138,"¶")+COUNTIF($E138:AE138,"²")+COUNTIF($E138:AE138,"µ")+COUNTIF($E138:AE138,1),ColDescriptionCourte)),""),
  "")),"")</f>
        <v/>
      </c>
      <c r="AG138" s="40" t="str">
        <f ca="1">IFERROR(IF(AND(
  INDEX(Roadmap!$D:$K,MATCH($E138,Roadmap!$D:$D,0)+COUNTIF($E138:AF138,"u")+COUNTIF($E138:AF138,"t")+COUNTIF($E138:AF138,"¶")+COUNTIF($E138:AF138,"²")+COUNTIF($E138:AF138,"µ")+COUNTIF($E138:AF138,1),ColLivraison)=AG$6,
  VLOOKUP($E138,INDIRECT("tri!"&amp; CHAR(64+ C0Col) &amp;":"&amp; CHAR(65+C0Col)),2,FALSE)&gt;COUNTIF($E138:AF138,"u")+COUNTIF($E138:AF138,"t")+COUNTIF($E138:AF138,"¶")+COUNTIF($E138:AF138,"²")+COUNTIF($E138:AF138,"µ")+COUNTIF($E138:AF138,1)),
HYPERLINK("#Roadmap!C"&amp; MATCH($E138,Roadmap!$D:$D,0)+COUNTIF($E138:AF138,"u")+COUNTIF($E138:AF138,"t"),
     INDEX(Roadmap!$D:$K,MATCH($E138,Roadmap!$D:$D,0)+COUNTIF($E138:AF138,"u")+COUNTIF($E138:AF138,"t")+COUNTIF($E138:AF138,"¶")+COUNTIF($E138:AF138,"²")+COUNTIF($E138:AF138,"µ")+COUNTIF($E138:AF138,1),ColTypeEcheance)),
  IF(LEN(AF138)=1,
  IF(LEN(INDEX(Roadmap!$D:$K,MATCH($E138,Roadmap!$D:$D,0)-1+COUNTIF($E138:AF138,"u")+COUNTIF($E138:AF138,"t")+COUNTIF($E138:AF138,"¶")+COUNTIF($E138:AF138,"²")+COUNTIF($E138:AF138,"µ")+COUNTIF($E138:AF138,1),ColDescriptionCourte))&gt;1,
HYPERLINK("#Roadmap!C"&amp; MATCH($E138,Roadmap!$D:$D,0)+COUNTIF($E138:AF138,"u")+COUNTIF($E138:AF138,"t")+COUNTIF($E138:AF138,"¶")+COUNTIF($E138:AF138,"²")+COUNTIF($E138:AF138,"µ")+COUNTIF($E138:AF138,1)-1,INDEX(Roadmap!$D:$K,MATCH($E138,Roadmap!$D:$D,0)-1+COUNTIF($E138:AF138,"u")+COUNTIF($E138:AF138,"t")+COUNTIF($E138:AF138,"¶")+COUNTIF($E138:AF138,"²")+COUNTIF($E138:AF138,"µ")+COUNTIF($E138:AF138,1),ColDescriptionCourte)),""),
  "")),"")</f>
        <v/>
      </c>
    </row>
    <row r="139" spans="3:33" ht="14.25" customHeight="1">
      <c r="C139" s="1" t="str">
        <f t="shared" ca="1" si="52"/>
        <v/>
      </c>
      <c r="D139" s="1" t="str">
        <f t="shared" ca="1" si="53"/>
        <v/>
      </c>
      <c r="E139" s="35" t="str">
        <f t="shared" ca="1" si="51"/>
        <v/>
      </c>
      <c r="F139" s="39" t="str">
        <f ca="1">IFERROR(IF(AND(
  INDEX(Roadmap!$D:$K,MATCH($E139,Roadmap!$D:$D,0)+COUNTIF($E139:E139,"u")+COUNTIF($E139:E139,"t")+COUNTIF($E139:E139,"¶")+COUNTIF($E139:E139,"²")+COUNTIF($E139:E139,"µ")+COUNTIF($E139:E139,1),ColLivraison)=F$6,
  VLOOKUP($E139,INDIRECT("tri!"&amp; CHAR(64+ C0Col) &amp;":"&amp; CHAR(65+C0Col)),2,FALSE)&gt;COUNTIF($E139:E139,"u")+COUNTIF($E139:E139,"t")+COUNTIF($E139:E139,"¶")+COUNTIF($E139:E139,"²")+COUNTIF($E139:E139,"µ")+COUNTIF($E139:E139,1)),
HYPERLINK("#Roadmap!C"&amp; MATCH($E139,Roadmap!$D:$D,0)+COUNTIF($E139:E139,"u")+COUNTIF($E139:E139,"t"),
     INDEX(Roadmap!$D:$K,MATCH($E139,Roadmap!$D:$D,0)+COUNTIF($E139:E139,"u")+COUNTIF($E139:E139,"t")+COUNTIF($E139:E139,"¶")+COUNTIF($E139:E139,"²")+COUNTIF($E139:E139,"µ")+COUNTIF($E139:E139,1),ColTypeEcheance)),
  IF(LEN(E139)=1,
  IF(LEN(INDEX(Roadmap!$D:$K,MATCH($E139,Roadmap!$D:$D,0)-1+COUNTIF($E139:E139,"u")+COUNTIF($E139:E139,"t")+COUNTIF($E139:E139,"¶")+COUNTIF($E139:E139,"²")+COUNTIF($E139:E139,"µ")+COUNTIF($E139:E139,1),ColDescriptionCourte))&gt;1,
HYPERLINK("#Roadmap!C"&amp; MATCH($E139,Roadmap!$D:$D,0)+COUNTIF($E139:E139,"u")+COUNTIF($E139:E139,"t")+COUNTIF($E139:E139,"¶")+COUNTIF($E139:E139,"²")+COUNTIF($E139:E139,"µ")+COUNTIF($E139:E139,1)-1,INDEX(Roadmap!$D:$K,MATCH($E139,Roadmap!$D:$D,0)-1+COUNTIF($E139:E139,"u")+COUNTIF($E139:E139,"t")+COUNTIF($E139:E139,"¶")+COUNTIF($E139:E139,"²")+COUNTIF($E139:E139,"µ")+COUNTIF($E139:E139,1),ColDescriptionCourte)),""),
  "")),"")</f>
        <v/>
      </c>
      <c r="G139" s="40" t="str">
        <f ca="1">IFERROR(IF(AND(
  INDEX(Roadmap!$D:$K,MATCH($E139,Roadmap!$D:$D,0)+COUNTIF($E139:F139,"u")+COUNTIF($E139:F139,"t")+COUNTIF($E139:F139,"¶")+COUNTIF($E139:F139,"²")+COUNTIF($E139:F139,"µ")+COUNTIF($E139:F139,1),ColLivraison)=G$6,
  VLOOKUP($E139,INDIRECT("tri!"&amp; CHAR(64+ C0Col) &amp;":"&amp; CHAR(65+C0Col)),2,FALSE)&gt;COUNTIF($E139:F139,"u")+COUNTIF($E139:F139,"t")+COUNTIF($E139:F139,"¶")+COUNTIF($E139:F139,"²")+COUNTIF($E139:F139,"µ")+COUNTIF($E139:F139,1)),
HYPERLINK("#Roadmap!C"&amp; MATCH($E139,Roadmap!$D:$D,0)+COUNTIF($E139:F139,"u")+COUNTIF($E139:F139,"t"),
     INDEX(Roadmap!$D:$K,MATCH($E139,Roadmap!$D:$D,0)+COUNTIF($E139:F139,"u")+COUNTIF($E139:F139,"t")+COUNTIF($E139:F139,"¶")+COUNTIF($E139:F139,"²")+COUNTIF($E139:F139,"µ")+COUNTIF($E139:F139,1),ColTypeEcheance)),
  IF(LEN(F139)=1,
  IF(LEN(INDEX(Roadmap!$D:$K,MATCH($E139,Roadmap!$D:$D,0)-1+COUNTIF($E139:F139,"u")+COUNTIF($E139:F139,"t")+COUNTIF($E139:F139,"¶")+COUNTIF($E139:F139,"²")+COUNTIF($E139:F139,"µ")+COUNTIF($E139:F139,1),ColDescriptionCourte))&gt;1,
HYPERLINK("#Roadmap!C"&amp; MATCH($E139,Roadmap!$D:$D,0)+COUNTIF($E139:F139,"u")+COUNTIF($E139:F139,"t")+COUNTIF($E139:F139,"¶")+COUNTIF($E139:F139,"²")+COUNTIF($E139:F139,"µ")+COUNTIF($E139:F139,1)-1,INDEX(Roadmap!$D:$K,MATCH($E139,Roadmap!$D:$D,0)-1+COUNTIF($E139:F139,"u")+COUNTIF($E139:F139,"t")+COUNTIF($E139:F139,"¶")+COUNTIF($E139:F139,"²")+COUNTIF($E139:F139,"µ")+COUNTIF($E139:F139,1),ColDescriptionCourte)),""),
  "")),"")</f>
        <v/>
      </c>
      <c r="H139" s="40" t="str">
        <f ca="1">IFERROR(IF(AND(
  INDEX(Roadmap!$D:$K,MATCH($E139,Roadmap!$D:$D,0)+COUNTIF($E139:G139,"u")+COUNTIF($E139:G139,"t")+COUNTIF($E139:G139,"¶")+COUNTIF($E139:G139,"²")+COUNTIF($E139:G139,"µ")+COUNTIF($E139:G139,1),ColLivraison)=H$6,
  VLOOKUP($E139,INDIRECT("tri!"&amp; CHAR(64+ C0Col) &amp;":"&amp; CHAR(65+C0Col)),2,FALSE)&gt;COUNTIF($E139:G139,"u")+COUNTIF($E139:G139,"t")+COUNTIF($E139:G139,"¶")+COUNTIF($E139:G139,"²")+COUNTIF($E139:G139,"µ")+COUNTIF($E139:G139,1)),
HYPERLINK("#Roadmap!C"&amp; MATCH($E139,Roadmap!$D:$D,0)+COUNTIF($E139:G139,"u")+COUNTIF($E139:G139,"t"),
     INDEX(Roadmap!$D:$K,MATCH($E139,Roadmap!$D:$D,0)+COUNTIF($E139:G139,"u")+COUNTIF($E139:G139,"t")+COUNTIF($E139:G139,"¶")+COUNTIF($E139:G139,"²")+COUNTIF($E139:G139,"µ")+COUNTIF($E139:G139,1),ColTypeEcheance)),
  IF(LEN(G139)=1,
  IF(LEN(INDEX(Roadmap!$D:$K,MATCH($E139,Roadmap!$D:$D,0)-1+COUNTIF($E139:G139,"u")+COUNTIF($E139:G139,"t")+COUNTIF($E139:G139,"¶")+COUNTIF($E139:G139,"²")+COUNTIF($E139:G139,"µ")+COUNTIF($E139:G139,1),ColDescriptionCourte))&gt;1,
HYPERLINK("#Roadmap!C"&amp; MATCH($E139,Roadmap!$D:$D,0)+COUNTIF($E139:G139,"u")+COUNTIF($E139:G139,"t")+COUNTIF($E139:G139,"¶")+COUNTIF($E139:G139,"²")+COUNTIF($E139:G139,"µ")+COUNTIF($E139:G139,1)-1,INDEX(Roadmap!$D:$K,MATCH($E139,Roadmap!$D:$D,0)-1+COUNTIF($E139:G139,"u")+COUNTIF($E139:G139,"t")+COUNTIF($E139:G139,"¶")+COUNTIF($E139:G139,"²")+COUNTIF($E139:G139,"µ")+COUNTIF($E139:G139,1),ColDescriptionCourte)),""),
  "")),"")</f>
        <v/>
      </c>
      <c r="I139" s="40" t="str">
        <f ca="1">IFERROR(IF(AND(
  INDEX(Roadmap!$D:$K,MATCH($E139,Roadmap!$D:$D,0)+COUNTIF($E139:H139,"u")+COUNTIF($E139:H139,"t")+COUNTIF($E139:H139,"¶")+COUNTIF($E139:H139,"²")+COUNTIF($E139:H139,"µ")+COUNTIF($E139:H139,1),ColLivraison)=I$6,
  VLOOKUP($E139,INDIRECT("tri!"&amp; CHAR(64+ C0Col) &amp;":"&amp; CHAR(65+C0Col)),2,FALSE)&gt;COUNTIF($E139:H139,"u")+COUNTIF($E139:H139,"t")+COUNTIF($E139:H139,"¶")+COUNTIF($E139:H139,"²")+COUNTIF($E139:H139,"µ")+COUNTIF($E139:H139,1)),
HYPERLINK("#Roadmap!C"&amp; MATCH($E139,Roadmap!$D:$D,0)+COUNTIF($E139:H139,"u")+COUNTIF($E139:H139,"t"),
     INDEX(Roadmap!$D:$K,MATCH($E139,Roadmap!$D:$D,0)+COUNTIF($E139:H139,"u")+COUNTIF($E139:H139,"t")+COUNTIF($E139:H139,"¶")+COUNTIF($E139:H139,"²")+COUNTIF($E139:H139,"µ")+COUNTIF($E139:H139,1),ColTypeEcheance)),
  IF(LEN(H139)=1,
  IF(LEN(INDEX(Roadmap!$D:$K,MATCH($E139,Roadmap!$D:$D,0)-1+COUNTIF($E139:H139,"u")+COUNTIF($E139:H139,"t")+COUNTIF($E139:H139,"¶")+COUNTIF($E139:H139,"²")+COUNTIF($E139:H139,"µ")+COUNTIF($E139:H139,1),ColDescriptionCourte))&gt;1,
HYPERLINK("#Roadmap!C"&amp; MATCH($E139,Roadmap!$D:$D,0)+COUNTIF($E139:H139,"u")+COUNTIF($E139:H139,"t")+COUNTIF($E139:H139,"¶")+COUNTIF($E139:H139,"²")+COUNTIF($E139:H139,"µ")+COUNTIF($E139:H139,1)-1,INDEX(Roadmap!$D:$K,MATCH($E139,Roadmap!$D:$D,0)-1+COUNTIF($E139:H139,"u")+COUNTIF($E139:H139,"t")+COUNTIF($E139:H139,"¶")+COUNTIF($E139:H139,"²")+COUNTIF($E139:H139,"µ")+COUNTIF($E139:H139,1),ColDescriptionCourte)),""),
  "")),"")</f>
        <v/>
      </c>
      <c r="J139" s="40" t="str">
        <f ca="1">IFERROR(IF(AND(
  INDEX(Roadmap!$D:$K,MATCH($E139,Roadmap!$D:$D,0)+COUNTIF($E139:I139,"u")+COUNTIF($E139:I139,"t")+COUNTIF($E139:I139,"¶")+COUNTIF($E139:I139,"²")+COUNTIF($E139:I139,"µ")+COUNTIF($E139:I139,1),ColLivraison)=J$6,
  VLOOKUP($E139,INDIRECT("tri!"&amp; CHAR(64+ C0Col) &amp;":"&amp; CHAR(65+C0Col)),2,FALSE)&gt;COUNTIF($E139:I139,"u")+COUNTIF($E139:I139,"t")+COUNTIF($E139:I139,"¶")+COUNTIF($E139:I139,"²")+COUNTIF($E139:I139,"µ")+COUNTIF($E139:I139,1)),
HYPERLINK("#Roadmap!C"&amp; MATCH($E139,Roadmap!$D:$D,0)+COUNTIF($E139:I139,"u")+COUNTIF($E139:I139,"t"),
     INDEX(Roadmap!$D:$K,MATCH($E139,Roadmap!$D:$D,0)+COUNTIF($E139:I139,"u")+COUNTIF($E139:I139,"t")+COUNTIF($E139:I139,"¶")+COUNTIF($E139:I139,"²")+COUNTIF($E139:I139,"µ")+COUNTIF($E139:I139,1),ColTypeEcheance)),
  IF(LEN(I139)=1,
  IF(LEN(INDEX(Roadmap!$D:$K,MATCH($E139,Roadmap!$D:$D,0)-1+COUNTIF($E139:I139,"u")+COUNTIF($E139:I139,"t")+COUNTIF($E139:I139,"¶")+COUNTIF($E139:I139,"²")+COUNTIF($E139:I139,"µ")+COUNTIF($E139:I139,1),ColDescriptionCourte))&gt;1,
HYPERLINK("#Roadmap!C"&amp; MATCH($E139,Roadmap!$D:$D,0)+COUNTIF($E139:I139,"u")+COUNTIF($E139:I139,"t")+COUNTIF($E139:I139,"¶")+COUNTIF($E139:I139,"²")+COUNTIF($E139:I139,"µ")+COUNTIF($E139:I139,1)-1,INDEX(Roadmap!$D:$K,MATCH($E139,Roadmap!$D:$D,0)-1+COUNTIF($E139:I139,"u")+COUNTIF($E139:I139,"t")+COUNTIF($E139:I139,"¶")+COUNTIF($E139:I139,"²")+COUNTIF($E139:I139,"µ")+COUNTIF($E139:I139,1),ColDescriptionCourte)),""),
  "")),"")</f>
        <v/>
      </c>
      <c r="K139" s="40" t="str">
        <f ca="1">IFERROR(IF(AND(
  INDEX(Roadmap!$D:$K,MATCH($E139,Roadmap!$D:$D,0)+COUNTIF($E139:J139,"u")+COUNTIF($E139:J139,"t")+COUNTIF($E139:J139,"¶")+COUNTIF($E139:J139,"²")+COUNTIF($E139:J139,"µ")+COUNTIF($E139:J139,1),ColLivraison)=K$6,
  VLOOKUP($E139,INDIRECT("tri!"&amp; CHAR(64+ C0Col) &amp;":"&amp; CHAR(65+C0Col)),2,FALSE)&gt;COUNTIF($E139:J139,"u")+COUNTIF($E139:J139,"t")+COUNTIF($E139:J139,"¶")+COUNTIF($E139:J139,"²")+COUNTIF($E139:J139,"µ")+COUNTIF($E139:J139,1)),
HYPERLINK("#Roadmap!C"&amp; MATCH($E139,Roadmap!$D:$D,0)+COUNTIF($E139:J139,"u")+COUNTIF($E139:J139,"t"),
     INDEX(Roadmap!$D:$K,MATCH($E139,Roadmap!$D:$D,0)+COUNTIF($E139:J139,"u")+COUNTIF($E139:J139,"t")+COUNTIF($E139:J139,"¶")+COUNTIF($E139:J139,"²")+COUNTIF($E139:J139,"µ")+COUNTIF($E139:J139,1),ColTypeEcheance)),
  IF(LEN(J139)=1,
  IF(LEN(INDEX(Roadmap!$D:$K,MATCH($E139,Roadmap!$D:$D,0)-1+COUNTIF($E139:J139,"u")+COUNTIF($E139:J139,"t")+COUNTIF($E139:J139,"¶")+COUNTIF($E139:J139,"²")+COUNTIF($E139:J139,"µ")+COUNTIF($E139:J139,1),ColDescriptionCourte))&gt;1,
HYPERLINK("#Roadmap!C"&amp; MATCH($E139,Roadmap!$D:$D,0)+COUNTIF($E139:J139,"u")+COUNTIF($E139:J139,"t")+COUNTIF($E139:J139,"¶")+COUNTIF($E139:J139,"²")+COUNTIF($E139:J139,"µ")+COUNTIF($E139:J139,1)-1,INDEX(Roadmap!$D:$K,MATCH($E139,Roadmap!$D:$D,0)-1+COUNTIF($E139:J139,"u")+COUNTIF($E139:J139,"t")+COUNTIF($E139:J139,"¶")+COUNTIF($E139:J139,"²")+COUNTIF($E139:J139,"µ")+COUNTIF($E139:J139,1),ColDescriptionCourte)),""),
  "")),"")</f>
        <v/>
      </c>
      <c r="L139" s="39" t="str">
        <f ca="1">IFERROR(IF(AND(
  INDEX(Roadmap!$D:$K,MATCH($E139,Roadmap!$D:$D,0)+COUNTIF($E139:K139,"u")+COUNTIF($E139:K139,"t")+COUNTIF($E139:K139,"¶")+COUNTIF($E139:K139,"²")+COUNTIF($E139:K139,"µ")+COUNTIF($E139:K139,1),ColLivraison)=L$6,
  VLOOKUP($E139,INDIRECT("tri!"&amp; CHAR(64+ C0Col) &amp;":"&amp; CHAR(65+C0Col)),2,FALSE)&gt;COUNTIF($E139:K139,"u")+COUNTIF($E139:K139,"t")+COUNTIF($E139:K139,"¶")+COUNTIF($E139:K139,"²")+COUNTIF($E139:K139,"µ")+COUNTIF($E139:K139,1)),
HYPERLINK("#Roadmap!C"&amp; MATCH($E139,Roadmap!$D:$D,0)+COUNTIF($E139:K139,"u")+COUNTIF($E139:K139,"t"),
     INDEX(Roadmap!$D:$K,MATCH($E139,Roadmap!$D:$D,0)+COUNTIF($E139:K139,"u")+COUNTIF($E139:K139,"t")+COUNTIF($E139:K139,"¶")+COUNTIF($E139:K139,"²")+COUNTIF($E139:K139,"µ")+COUNTIF($E139:K139,1),ColTypeEcheance)),
  IF(LEN(K139)=1,
  IF(LEN(INDEX(Roadmap!$D:$K,MATCH($E139,Roadmap!$D:$D,0)-1+COUNTIF($E139:K139,"u")+COUNTIF($E139:K139,"t")+COUNTIF($E139:K139,"¶")+COUNTIF($E139:K139,"²")+COUNTIF($E139:K139,"µ")+COUNTIF($E139:K139,1),ColDescriptionCourte))&gt;1,
HYPERLINK("#Roadmap!C"&amp; MATCH($E139,Roadmap!$D:$D,0)+COUNTIF($E139:K139,"u")+COUNTIF($E139:K139,"t")+COUNTIF($E139:K139,"¶")+COUNTIF($E139:K139,"²")+COUNTIF($E139:K139,"µ")+COUNTIF($E139:K139,1)-1,INDEX(Roadmap!$D:$K,MATCH($E139,Roadmap!$D:$D,0)-1+COUNTIF($E139:K139,"u")+COUNTIF($E139:K139,"t")+COUNTIF($E139:K139,"¶")+COUNTIF($E139:K139,"²")+COUNTIF($E139:K139,"µ")+COUNTIF($E139:K139,1),ColDescriptionCourte)),""),
  "")),"")</f>
        <v/>
      </c>
      <c r="M139" s="40" t="str">
        <f ca="1">IFERROR(IF(AND(
  INDEX(Roadmap!$D:$K,MATCH($E139,Roadmap!$D:$D,0)+COUNTIF($E139:L139,"u")+COUNTIF($E139:L139,"t")+COUNTIF($E139:L139,"¶")+COUNTIF($E139:L139,"²")+COUNTIF($E139:L139,"µ")+COUNTIF($E139:L139,1),ColLivraison)=M$6,
  VLOOKUP($E139,INDIRECT("tri!"&amp; CHAR(64+ C0Col) &amp;":"&amp; CHAR(65+C0Col)),2,FALSE)&gt;COUNTIF($E139:L139,"u")+COUNTIF($E139:L139,"t")+COUNTIF($E139:L139,"¶")+COUNTIF($E139:L139,"²")+COUNTIF($E139:L139,"µ")+COUNTIF($E139:L139,1)),
HYPERLINK("#Roadmap!C"&amp; MATCH($E139,Roadmap!$D:$D,0)+COUNTIF($E139:L139,"u")+COUNTIF($E139:L139,"t"),
     INDEX(Roadmap!$D:$K,MATCH($E139,Roadmap!$D:$D,0)+COUNTIF($E139:L139,"u")+COUNTIF($E139:L139,"t")+COUNTIF($E139:L139,"¶")+COUNTIF($E139:L139,"²")+COUNTIF($E139:L139,"µ")+COUNTIF($E139:L139,1),ColTypeEcheance)),
  IF(LEN(L139)=1,
  IF(LEN(INDEX(Roadmap!$D:$K,MATCH($E139,Roadmap!$D:$D,0)-1+COUNTIF($E139:L139,"u")+COUNTIF($E139:L139,"t")+COUNTIF($E139:L139,"¶")+COUNTIF($E139:L139,"²")+COUNTIF($E139:L139,"µ")+COUNTIF($E139:L139,1),ColDescriptionCourte))&gt;1,
HYPERLINK("#Roadmap!C"&amp; MATCH($E139,Roadmap!$D:$D,0)+COUNTIF($E139:L139,"u")+COUNTIF($E139:L139,"t")+COUNTIF($E139:L139,"¶")+COUNTIF($E139:L139,"²")+COUNTIF($E139:L139,"µ")+COUNTIF($E139:L139,1)-1,INDEX(Roadmap!$D:$K,MATCH($E139,Roadmap!$D:$D,0)-1+COUNTIF($E139:L139,"u")+COUNTIF($E139:L139,"t")+COUNTIF($E139:L139,"¶")+COUNTIF($E139:L139,"²")+COUNTIF($E139:L139,"µ")+COUNTIF($E139:L139,1),ColDescriptionCourte)),""),
  "")),"")</f>
        <v/>
      </c>
      <c r="N139" s="40" t="str">
        <f ca="1">IFERROR(IF(AND(
  INDEX(Roadmap!$D:$K,MATCH($E139,Roadmap!$D:$D,0)+COUNTIF($E139:M139,"u")+COUNTIF($E139:M139,"t")+COUNTIF($E139:M139,"¶")+COUNTIF($E139:M139,"²")+COUNTIF($E139:M139,"µ")+COUNTIF($E139:M139,1),ColLivraison)=N$6,
  VLOOKUP($E139,INDIRECT("tri!"&amp; CHAR(64+ C0Col) &amp;":"&amp; CHAR(65+C0Col)),2,FALSE)&gt;COUNTIF($E139:M139,"u")+COUNTIF($E139:M139,"t")+COUNTIF($E139:M139,"¶")+COUNTIF($E139:M139,"²")+COUNTIF($E139:M139,"µ")+COUNTIF($E139:M139,1)),
HYPERLINK("#Roadmap!C"&amp; MATCH($E139,Roadmap!$D:$D,0)+COUNTIF($E139:M139,"u")+COUNTIF($E139:M139,"t"),
     INDEX(Roadmap!$D:$K,MATCH($E139,Roadmap!$D:$D,0)+COUNTIF($E139:M139,"u")+COUNTIF($E139:M139,"t")+COUNTIF($E139:M139,"¶")+COUNTIF($E139:M139,"²")+COUNTIF($E139:M139,"µ")+COUNTIF($E139:M139,1),ColTypeEcheance)),
  IF(LEN(M139)=1,
  IF(LEN(INDEX(Roadmap!$D:$K,MATCH($E139,Roadmap!$D:$D,0)-1+COUNTIF($E139:M139,"u")+COUNTIF($E139:M139,"t")+COUNTIF($E139:M139,"¶")+COUNTIF($E139:M139,"²")+COUNTIF($E139:M139,"µ")+COUNTIF($E139:M139,1),ColDescriptionCourte))&gt;1,
HYPERLINK("#Roadmap!C"&amp; MATCH($E139,Roadmap!$D:$D,0)+COUNTIF($E139:M139,"u")+COUNTIF($E139:M139,"t")+COUNTIF($E139:M139,"¶")+COUNTIF($E139:M139,"²")+COUNTIF($E139:M139,"µ")+COUNTIF($E139:M139,1)-1,INDEX(Roadmap!$D:$K,MATCH($E139,Roadmap!$D:$D,0)-1+COUNTIF($E139:M139,"u")+COUNTIF($E139:M139,"t")+COUNTIF($E139:M139,"¶")+COUNTIF($E139:M139,"²")+COUNTIF($E139:M139,"µ")+COUNTIF($E139:M139,1),ColDescriptionCourte)),""),
  "")),"")</f>
        <v/>
      </c>
      <c r="O139" s="40" t="str">
        <f ca="1">IFERROR(IF(AND(
  INDEX(Roadmap!$D:$K,MATCH($E139,Roadmap!$D:$D,0)+COUNTIF($E139:N139,"u")+COUNTIF($E139:N139,"t")+COUNTIF($E139:N139,"¶")+COUNTIF($E139:N139,"²")+COUNTIF($E139:N139,"µ")+COUNTIF($E139:N139,1),ColLivraison)=O$6,
  VLOOKUP($E139,INDIRECT("tri!"&amp; CHAR(64+ C0Col) &amp;":"&amp; CHAR(65+C0Col)),2,FALSE)&gt;COUNTIF($E139:N139,"u")+COUNTIF($E139:N139,"t")+COUNTIF($E139:N139,"¶")+COUNTIF($E139:N139,"²")+COUNTIF($E139:N139,"µ")+COUNTIF($E139:N139,1)),
HYPERLINK("#Roadmap!C"&amp; MATCH($E139,Roadmap!$D:$D,0)+COUNTIF($E139:N139,"u")+COUNTIF($E139:N139,"t"),
     INDEX(Roadmap!$D:$K,MATCH($E139,Roadmap!$D:$D,0)+COUNTIF($E139:N139,"u")+COUNTIF($E139:N139,"t")+COUNTIF($E139:N139,"¶")+COUNTIF($E139:N139,"²")+COUNTIF($E139:N139,"µ")+COUNTIF($E139:N139,1),ColTypeEcheance)),
  IF(LEN(N139)=1,
  IF(LEN(INDEX(Roadmap!$D:$K,MATCH($E139,Roadmap!$D:$D,0)-1+COUNTIF($E139:N139,"u")+COUNTIF($E139:N139,"t")+COUNTIF($E139:N139,"¶")+COUNTIF($E139:N139,"²")+COUNTIF($E139:N139,"µ")+COUNTIF($E139:N139,1),ColDescriptionCourte))&gt;1,
HYPERLINK("#Roadmap!C"&amp; MATCH($E139,Roadmap!$D:$D,0)+COUNTIF($E139:N139,"u")+COUNTIF($E139:N139,"t")+COUNTIF($E139:N139,"¶")+COUNTIF($E139:N139,"²")+COUNTIF($E139:N139,"µ")+COUNTIF($E139:N139,1)-1,INDEX(Roadmap!$D:$K,MATCH($E139,Roadmap!$D:$D,0)-1+COUNTIF($E139:N139,"u")+COUNTIF($E139:N139,"t")+COUNTIF($E139:N139,"¶")+COUNTIF($E139:N139,"²")+COUNTIF($E139:N139,"µ")+COUNTIF($E139:N139,1),ColDescriptionCourte)),""),
  "")),"")</f>
        <v/>
      </c>
      <c r="P139" s="40" t="str">
        <f ca="1">IFERROR(IF(AND(
  INDEX(Roadmap!$D:$K,MATCH($E139,Roadmap!$D:$D,0)+COUNTIF($E139:O139,"u")+COUNTIF($E139:O139,"t")+COUNTIF($E139:O139,"¶")+COUNTIF($E139:O139,"²")+COUNTIF($E139:O139,"µ")+COUNTIF($E139:O139,1),ColLivraison)=P$6,
  VLOOKUP($E139,INDIRECT("tri!"&amp; CHAR(64+ C0Col) &amp;":"&amp; CHAR(65+C0Col)),2,FALSE)&gt;COUNTIF($E139:O139,"u")+COUNTIF($E139:O139,"t")+COUNTIF($E139:O139,"¶")+COUNTIF($E139:O139,"²")+COUNTIF($E139:O139,"µ")+COUNTIF($E139:O139,1)),
HYPERLINK("#Roadmap!C"&amp; MATCH($E139,Roadmap!$D:$D,0)+COUNTIF($E139:O139,"u")+COUNTIF($E139:O139,"t"),
     INDEX(Roadmap!$D:$K,MATCH($E139,Roadmap!$D:$D,0)+COUNTIF($E139:O139,"u")+COUNTIF($E139:O139,"t")+COUNTIF($E139:O139,"¶")+COUNTIF($E139:O139,"²")+COUNTIF($E139:O139,"µ")+COUNTIF($E139:O139,1),ColTypeEcheance)),
  IF(LEN(O139)=1,
  IF(LEN(INDEX(Roadmap!$D:$K,MATCH($E139,Roadmap!$D:$D,0)-1+COUNTIF($E139:O139,"u")+COUNTIF($E139:O139,"t")+COUNTIF($E139:O139,"¶")+COUNTIF($E139:O139,"²")+COUNTIF($E139:O139,"µ")+COUNTIF($E139:O139,1),ColDescriptionCourte))&gt;1,
HYPERLINK("#Roadmap!C"&amp; MATCH($E139,Roadmap!$D:$D,0)+COUNTIF($E139:O139,"u")+COUNTIF($E139:O139,"t")+COUNTIF($E139:O139,"¶")+COUNTIF($E139:O139,"²")+COUNTIF($E139:O139,"µ")+COUNTIF($E139:O139,1)-1,INDEX(Roadmap!$D:$K,MATCH($E139,Roadmap!$D:$D,0)-1+COUNTIF($E139:O139,"u")+COUNTIF($E139:O139,"t")+COUNTIF($E139:O139,"¶")+COUNTIF($E139:O139,"²")+COUNTIF($E139:O139,"µ")+COUNTIF($E139:O139,1),ColDescriptionCourte)),""),
  "")),"")</f>
        <v/>
      </c>
      <c r="Q139" s="40" t="str">
        <f ca="1">IFERROR(IF(AND(
  INDEX(Roadmap!$D:$K,MATCH($E139,Roadmap!$D:$D,0)+COUNTIF($E139:P139,"u")+COUNTIF($E139:P139,"t")+COUNTIF($E139:P139,"¶")+COUNTIF($E139:P139,"²")+COUNTIF($E139:P139,"µ")+COUNTIF($E139:P139,1),ColLivraison)=Q$6,
  VLOOKUP($E139,INDIRECT("tri!"&amp; CHAR(64+ C0Col) &amp;":"&amp; CHAR(65+C0Col)),2,FALSE)&gt;COUNTIF($E139:P139,"u")+COUNTIF($E139:P139,"t")+COUNTIF($E139:P139,"¶")+COUNTIF($E139:P139,"²")+COUNTIF($E139:P139,"µ")+COUNTIF($E139:P139,1)),
HYPERLINK("#Roadmap!C"&amp; MATCH($E139,Roadmap!$D:$D,0)+COUNTIF($E139:P139,"u")+COUNTIF($E139:P139,"t"),
     INDEX(Roadmap!$D:$K,MATCH($E139,Roadmap!$D:$D,0)+COUNTIF($E139:P139,"u")+COUNTIF($E139:P139,"t")+COUNTIF($E139:P139,"¶")+COUNTIF($E139:P139,"²")+COUNTIF($E139:P139,"µ")+COUNTIF($E139:P139,1),ColTypeEcheance)),
  IF(LEN(P139)=1,
  IF(LEN(INDEX(Roadmap!$D:$K,MATCH($E139,Roadmap!$D:$D,0)-1+COUNTIF($E139:P139,"u")+COUNTIF($E139:P139,"t")+COUNTIF($E139:P139,"¶")+COUNTIF($E139:P139,"²")+COUNTIF($E139:P139,"µ")+COUNTIF($E139:P139,1),ColDescriptionCourte))&gt;1,
HYPERLINK("#Roadmap!C"&amp; MATCH($E139,Roadmap!$D:$D,0)+COUNTIF($E139:P139,"u")+COUNTIF($E139:P139,"t")+COUNTIF($E139:P139,"¶")+COUNTIF($E139:P139,"²")+COUNTIF($E139:P139,"µ")+COUNTIF($E139:P139,1)-1,INDEX(Roadmap!$D:$K,MATCH($E139,Roadmap!$D:$D,0)-1+COUNTIF($E139:P139,"u")+COUNTIF($E139:P139,"t")+COUNTIF($E139:P139,"¶")+COUNTIF($E139:P139,"²")+COUNTIF($E139:P139,"µ")+COUNTIF($E139:P139,1),ColDescriptionCourte)),""),
  "")),"")</f>
        <v/>
      </c>
      <c r="R139" s="40" t="str">
        <f ca="1">IFERROR(IF(AND(
  INDEX(Roadmap!$D:$K,MATCH($E139,Roadmap!$D:$D,0)+COUNTIF($E139:Q139,"u")+COUNTIF($E139:Q139,"t")+COUNTIF($E139:Q139,"¶")+COUNTIF($E139:Q139,"²")+COUNTIF($E139:Q139,"µ")+COUNTIF($E139:Q139,1),ColLivraison)=R$6,
  VLOOKUP($E139,INDIRECT("tri!"&amp; CHAR(64+ C0Col) &amp;":"&amp; CHAR(65+C0Col)),2,FALSE)&gt;COUNTIF($E139:Q139,"u")+COUNTIF($E139:Q139,"t")+COUNTIF($E139:Q139,"¶")+COUNTIF($E139:Q139,"²")+COUNTIF($E139:Q139,"µ")+COUNTIF($E139:Q139,1)),
HYPERLINK("#Roadmap!C"&amp; MATCH($E139,Roadmap!$D:$D,0)+COUNTIF($E139:Q139,"u")+COUNTIF($E139:Q139,"t"),
     INDEX(Roadmap!$D:$K,MATCH($E139,Roadmap!$D:$D,0)+COUNTIF($E139:Q139,"u")+COUNTIF($E139:Q139,"t")+COUNTIF($E139:Q139,"¶")+COUNTIF($E139:Q139,"²")+COUNTIF($E139:Q139,"µ")+COUNTIF($E139:Q139,1),ColTypeEcheance)),
  IF(LEN(Q139)=1,
  IF(LEN(INDEX(Roadmap!$D:$K,MATCH($E139,Roadmap!$D:$D,0)-1+COUNTIF($E139:Q139,"u")+COUNTIF($E139:Q139,"t")+COUNTIF($E139:Q139,"¶")+COUNTIF($E139:Q139,"²")+COUNTIF($E139:Q139,"µ")+COUNTIF($E139:Q139,1),ColDescriptionCourte))&gt;1,
HYPERLINK("#Roadmap!C"&amp; MATCH($E139,Roadmap!$D:$D,0)+COUNTIF($E139:Q139,"u")+COUNTIF($E139:Q139,"t")+COUNTIF($E139:Q139,"¶")+COUNTIF($E139:Q139,"²")+COUNTIF($E139:Q139,"µ")+COUNTIF($E139:Q139,1)-1,INDEX(Roadmap!$D:$K,MATCH($E139,Roadmap!$D:$D,0)-1+COUNTIF($E139:Q139,"u")+COUNTIF($E139:Q139,"t")+COUNTIF($E139:Q139,"¶")+COUNTIF($E139:Q139,"²")+COUNTIF($E139:Q139,"µ")+COUNTIF($E139:Q139,1),ColDescriptionCourte)),""),
  "")),"")</f>
        <v/>
      </c>
      <c r="S139" s="40" t="str">
        <f ca="1">IFERROR(IF(AND(
  INDEX(Roadmap!$D:$K,MATCH($E139,Roadmap!$D:$D,0)+COUNTIF($E139:R139,"u")+COUNTIF($E139:R139,"t")+COUNTIF($E139:R139,"¶")+COUNTIF($E139:R139,"²")+COUNTIF($E139:R139,"µ")+COUNTIF($E139:R139,1),ColLivraison)=S$6,
  VLOOKUP($E139,INDIRECT("tri!"&amp; CHAR(64+ C0Col) &amp;":"&amp; CHAR(65+C0Col)),2,FALSE)&gt;COUNTIF($E139:R139,"u")+COUNTIF($E139:R139,"t")+COUNTIF($E139:R139,"¶")+COUNTIF($E139:R139,"²")+COUNTIF($E139:R139,"µ")+COUNTIF($E139:R139,1)),
HYPERLINK("#Roadmap!C"&amp; MATCH($E139,Roadmap!$D:$D,0)+COUNTIF($E139:R139,"u")+COUNTIF($E139:R139,"t"),
     INDEX(Roadmap!$D:$K,MATCH($E139,Roadmap!$D:$D,0)+COUNTIF($E139:R139,"u")+COUNTIF($E139:R139,"t")+COUNTIF($E139:R139,"¶")+COUNTIF($E139:R139,"²")+COUNTIF($E139:R139,"µ")+COUNTIF($E139:R139,1),ColTypeEcheance)),
  IF(LEN(R139)=1,
  IF(LEN(INDEX(Roadmap!$D:$K,MATCH($E139,Roadmap!$D:$D,0)-1+COUNTIF($E139:R139,"u")+COUNTIF($E139:R139,"t")+COUNTIF($E139:R139,"¶")+COUNTIF($E139:R139,"²")+COUNTIF($E139:R139,"µ")+COUNTIF($E139:R139,1),ColDescriptionCourte))&gt;1,
HYPERLINK("#Roadmap!C"&amp; MATCH($E139,Roadmap!$D:$D,0)+COUNTIF($E139:R139,"u")+COUNTIF($E139:R139,"t")+COUNTIF($E139:R139,"¶")+COUNTIF($E139:R139,"²")+COUNTIF($E139:R139,"µ")+COUNTIF($E139:R139,1)-1,INDEX(Roadmap!$D:$K,MATCH($E139,Roadmap!$D:$D,0)-1+COUNTIF($E139:R139,"u")+COUNTIF($E139:R139,"t")+COUNTIF($E139:R139,"¶")+COUNTIF($E139:R139,"²")+COUNTIF($E139:R139,"µ")+COUNTIF($E139:R139,1),ColDescriptionCourte)),""),
  "")),"")</f>
        <v/>
      </c>
      <c r="T139" s="40" t="str">
        <f ca="1">IFERROR(IF(AND(
  INDEX(Roadmap!$D:$K,MATCH($E139,Roadmap!$D:$D,0)+COUNTIF($E139:S139,"u")+COUNTIF($E139:S139,"t")+COUNTIF($E139:S139,"¶")+COUNTIF($E139:S139,"²")+COUNTIF($E139:S139,"µ")+COUNTIF($E139:S139,1),ColLivraison)=T$6,
  VLOOKUP($E139,INDIRECT("tri!"&amp; CHAR(64+ C0Col) &amp;":"&amp; CHAR(65+C0Col)),2,FALSE)&gt;COUNTIF($E139:S139,"u")+COUNTIF($E139:S139,"t")+COUNTIF($E139:S139,"¶")+COUNTIF($E139:S139,"²")+COUNTIF($E139:S139,"µ")+COUNTIF($E139:S139,1)),
HYPERLINK("#Roadmap!C"&amp; MATCH($E139,Roadmap!$D:$D,0)+COUNTIF($E139:S139,"u")+COUNTIF($E139:S139,"t"),
     INDEX(Roadmap!$D:$K,MATCH($E139,Roadmap!$D:$D,0)+COUNTIF($E139:S139,"u")+COUNTIF($E139:S139,"t")+COUNTIF($E139:S139,"¶")+COUNTIF($E139:S139,"²")+COUNTIF($E139:S139,"µ")+COUNTIF($E139:S139,1),ColTypeEcheance)),
  IF(LEN(S139)=1,
  IF(LEN(INDEX(Roadmap!$D:$K,MATCH($E139,Roadmap!$D:$D,0)-1+COUNTIF($E139:S139,"u")+COUNTIF($E139:S139,"t")+COUNTIF($E139:S139,"¶")+COUNTIF($E139:S139,"²")+COUNTIF($E139:S139,"µ")+COUNTIF($E139:S139,1),ColDescriptionCourte))&gt;1,
HYPERLINK("#Roadmap!C"&amp; MATCH($E139,Roadmap!$D:$D,0)+COUNTIF($E139:S139,"u")+COUNTIF($E139:S139,"t")+COUNTIF($E139:S139,"¶")+COUNTIF($E139:S139,"²")+COUNTIF($E139:S139,"µ")+COUNTIF($E139:S139,1)-1,INDEX(Roadmap!$D:$K,MATCH($E139,Roadmap!$D:$D,0)-1+COUNTIF($E139:S139,"u")+COUNTIF($E139:S139,"t")+COUNTIF($E139:S139,"¶")+COUNTIF($E139:S139,"²")+COUNTIF($E139:S139,"µ")+COUNTIF($E139:S139,1),ColDescriptionCourte)),""),
  "")),"")</f>
        <v/>
      </c>
      <c r="U139" s="40" t="str">
        <f ca="1">IFERROR(IF(AND(
  INDEX(Roadmap!$D:$K,MATCH($E139,Roadmap!$D:$D,0)+COUNTIF($E139:T139,"u")+COUNTIF($E139:T139,"t")+COUNTIF($E139:T139,"¶")+COUNTIF($E139:T139,"²")+COUNTIF($E139:T139,"µ")+COUNTIF($E139:T139,1),ColLivraison)=U$6,
  VLOOKUP($E139,INDIRECT("tri!"&amp; CHAR(64+ C0Col) &amp;":"&amp; CHAR(65+C0Col)),2,FALSE)&gt;COUNTIF($E139:T139,"u")+COUNTIF($E139:T139,"t")+COUNTIF($E139:T139,"¶")+COUNTIF($E139:T139,"²")+COUNTIF($E139:T139,"µ")+COUNTIF($E139:T139,1)),
HYPERLINK("#Roadmap!C"&amp; MATCH($E139,Roadmap!$D:$D,0)+COUNTIF($E139:T139,"u")+COUNTIF($E139:T139,"t"),
     INDEX(Roadmap!$D:$K,MATCH($E139,Roadmap!$D:$D,0)+COUNTIF($E139:T139,"u")+COUNTIF($E139:T139,"t")+COUNTIF($E139:T139,"¶")+COUNTIF($E139:T139,"²")+COUNTIF($E139:T139,"µ")+COUNTIF($E139:T139,1),ColTypeEcheance)),
  IF(LEN(T139)=1,
  IF(LEN(INDEX(Roadmap!$D:$K,MATCH($E139,Roadmap!$D:$D,0)-1+COUNTIF($E139:T139,"u")+COUNTIF($E139:T139,"t")+COUNTIF($E139:T139,"¶")+COUNTIF($E139:T139,"²")+COUNTIF($E139:T139,"µ")+COUNTIF($E139:T139,1),ColDescriptionCourte))&gt;1,
HYPERLINK("#Roadmap!C"&amp; MATCH($E139,Roadmap!$D:$D,0)+COUNTIF($E139:T139,"u")+COUNTIF($E139:T139,"t")+COUNTIF($E139:T139,"¶")+COUNTIF($E139:T139,"²")+COUNTIF($E139:T139,"µ")+COUNTIF($E139:T139,1)-1,INDEX(Roadmap!$D:$K,MATCH($E139,Roadmap!$D:$D,0)-1+COUNTIF($E139:T139,"u")+COUNTIF($E139:T139,"t")+COUNTIF($E139:T139,"¶")+COUNTIF($E139:T139,"²")+COUNTIF($E139:T139,"µ")+COUNTIF($E139:T139,1),ColDescriptionCourte)),""),
  "")),"")</f>
        <v/>
      </c>
      <c r="V139" s="40" t="str">
        <f ca="1">IFERROR(IF(AND(
  INDEX(Roadmap!$D:$K,MATCH($E139,Roadmap!$D:$D,0)+COUNTIF($E139:U139,"u")+COUNTIF($E139:U139,"t")+COUNTIF($E139:U139,"¶")+COUNTIF($E139:U139,"²")+COUNTIF($E139:U139,"µ")+COUNTIF($E139:U139,1),ColLivraison)=V$6,
  VLOOKUP($E139,INDIRECT("tri!"&amp; CHAR(64+ C0Col) &amp;":"&amp; CHAR(65+C0Col)),2,FALSE)&gt;COUNTIF($E139:U139,"u")+COUNTIF($E139:U139,"t")+COUNTIF($E139:U139,"¶")+COUNTIF($E139:U139,"²")+COUNTIF($E139:U139,"µ")+COUNTIF($E139:U139,1)),
HYPERLINK("#Roadmap!C"&amp; MATCH($E139,Roadmap!$D:$D,0)+COUNTIF($E139:U139,"u")+COUNTIF($E139:U139,"t"),
     INDEX(Roadmap!$D:$K,MATCH($E139,Roadmap!$D:$D,0)+COUNTIF($E139:U139,"u")+COUNTIF($E139:U139,"t")+COUNTIF($E139:U139,"¶")+COUNTIF($E139:U139,"²")+COUNTIF($E139:U139,"µ")+COUNTIF($E139:U139,1),ColTypeEcheance)),
  IF(LEN(U139)=1,
  IF(LEN(INDEX(Roadmap!$D:$K,MATCH($E139,Roadmap!$D:$D,0)-1+COUNTIF($E139:U139,"u")+COUNTIF($E139:U139,"t")+COUNTIF($E139:U139,"¶")+COUNTIF($E139:U139,"²")+COUNTIF($E139:U139,"µ")+COUNTIF($E139:U139,1),ColDescriptionCourte))&gt;1,
HYPERLINK("#Roadmap!C"&amp; MATCH($E139,Roadmap!$D:$D,0)+COUNTIF($E139:U139,"u")+COUNTIF($E139:U139,"t")+COUNTIF($E139:U139,"¶")+COUNTIF($E139:U139,"²")+COUNTIF($E139:U139,"µ")+COUNTIF($E139:U139,1)-1,INDEX(Roadmap!$D:$K,MATCH($E139,Roadmap!$D:$D,0)-1+COUNTIF($E139:U139,"u")+COUNTIF($E139:U139,"t")+COUNTIF($E139:U139,"¶")+COUNTIF($E139:U139,"²")+COUNTIF($E139:U139,"µ")+COUNTIF($E139:U139,1),ColDescriptionCourte)),""),
  "")),"")</f>
        <v/>
      </c>
      <c r="W139" s="40" t="str">
        <f ca="1">IFERROR(IF(AND(
  INDEX(Roadmap!$D:$K,MATCH($E139,Roadmap!$D:$D,0)+COUNTIF($E139:V139,"u")+COUNTIF($E139:V139,"t")+COUNTIF($E139:V139,"¶")+COUNTIF($E139:V139,"²")+COUNTIF($E139:V139,"µ")+COUNTIF($E139:V139,1),ColLivraison)=W$6,
  VLOOKUP($E139,INDIRECT("tri!"&amp; CHAR(64+ C0Col) &amp;":"&amp; CHAR(65+C0Col)),2,FALSE)&gt;COUNTIF($E139:V139,"u")+COUNTIF($E139:V139,"t")+COUNTIF($E139:V139,"¶")+COUNTIF($E139:V139,"²")+COUNTIF($E139:V139,"µ")+COUNTIF($E139:V139,1)),
HYPERLINK("#Roadmap!C"&amp; MATCH($E139,Roadmap!$D:$D,0)+COUNTIF($E139:V139,"u")+COUNTIF($E139:V139,"t"),
     INDEX(Roadmap!$D:$K,MATCH($E139,Roadmap!$D:$D,0)+COUNTIF($E139:V139,"u")+COUNTIF($E139:V139,"t")+COUNTIF($E139:V139,"¶")+COUNTIF($E139:V139,"²")+COUNTIF($E139:V139,"µ")+COUNTIF($E139:V139,1),ColTypeEcheance)),
  IF(LEN(V139)=1,
  IF(LEN(INDEX(Roadmap!$D:$K,MATCH($E139,Roadmap!$D:$D,0)-1+COUNTIF($E139:V139,"u")+COUNTIF($E139:V139,"t")+COUNTIF($E139:V139,"¶")+COUNTIF($E139:V139,"²")+COUNTIF($E139:V139,"µ")+COUNTIF($E139:V139,1),ColDescriptionCourte))&gt;1,
HYPERLINK("#Roadmap!C"&amp; MATCH($E139,Roadmap!$D:$D,0)+COUNTIF($E139:V139,"u")+COUNTIF($E139:V139,"t")+COUNTIF($E139:V139,"¶")+COUNTIF($E139:V139,"²")+COUNTIF($E139:V139,"µ")+COUNTIF($E139:V139,1)-1,INDEX(Roadmap!$D:$K,MATCH($E139,Roadmap!$D:$D,0)-1+COUNTIF($E139:V139,"u")+COUNTIF($E139:V139,"t")+COUNTIF($E139:V139,"¶")+COUNTIF($E139:V139,"²")+COUNTIF($E139:V139,"µ")+COUNTIF($E139:V139,1),ColDescriptionCourte)),""),
  "")),"")</f>
        <v/>
      </c>
      <c r="X139" s="40" t="str">
        <f ca="1">IFERROR(IF(AND(
  INDEX(Roadmap!$D:$K,MATCH($E139,Roadmap!$D:$D,0)+COUNTIF($E139:W139,"u")+COUNTIF($E139:W139,"t")+COUNTIF($E139:W139,"¶")+COUNTIF($E139:W139,"²")+COUNTIF($E139:W139,"µ")+COUNTIF($E139:W139,1),ColLivraison)=X$6,
  VLOOKUP($E139,INDIRECT("tri!"&amp; CHAR(64+ C0Col) &amp;":"&amp; CHAR(65+C0Col)),2,FALSE)&gt;COUNTIF($E139:W139,"u")+COUNTIF($E139:W139,"t")+COUNTIF($E139:W139,"¶")+COUNTIF($E139:W139,"²")+COUNTIF($E139:W139,"µ")+COUNTIF($E139:W139,1)),
HYPERLINK("#Roadmap!C"&amp; MATCH($E139,Roadmap!$D:$D,0)+COUNTIF($E139:W139,"u")+COUNTIF($E139:W139,"t"),
     INDEX(Roadmap!$D:$K,MATCH($E139,Roadmap!$D:$D,0)+COUNTIF($E139:W139,"u")+COUNTIF($E139:W139,"t")+COUNTIF($E139:W139,"¶")+COUNTIF($E139:W139,"²")+COUNTIF($E139:W139,"µ")+COUNTIF($E139:W139,1),ColTypeEcheance)),
  IF(LEN(W139)=1,
  IF(LEN(INDEX(Roadmap!$D:$K,MATCH($E139,Roadmap!$D:$D,0)-1+COUNTIF($E139:W139,"u")+COUNTIF($E139:W139,"t")+COUNTIF($E139:W139,"¶")+COUNTIF($E139:W139,"²")+COUNTIF($E139:W139,"µ")+COUNTIF($E139:W139,1),ColDescriptionCourte))&gt;1,
HYPERLINK("#Roadmap!C"&amp; MATCH($E139,Roadmap!$D:$D,0)+COUNTIF($E139:W139,"u")+COUNTIF($E139:W139,"t")+COUNTIF($E139:W139,"¶")+COUNTIF($E139:W139,"²")+COUNTIF($E139:W139,"µ")+COUNTIF($E139:W139,1)-1,INDEX(Roadmap!$D:$K,MATCH($E139,Roadmap!$D:$D,0)-1+COUNTIF($E139:W139,"u")+COUNTIF($E139:W139,"t")+COUNTIF($E139:W139,"¶")+COUNTIF($E139:W139,"²")+COUNTIF($E139:W139,"µ")+COUNTIF($E139:W139,1),ColDescriptionCourte)),""),
  "")),"")</f>
        <v/>
      </c>
      <c r="Y139" s="40" t="str">
        <f ca="1">IFERROR(IF(AND(
  INDEX(Roadmap!$D:$K,MATCH($E139,Roadmap!$D:$D,0)+COUNTIF($E139:X139,"u")+COUNTIF($E139:X139,"t")+COUNTIF($E139:X139,"¶")+COUNTIF($E139:X139,"²")+COUNTIF($E139:X139,"µ")+COUNTIF($E139:X139,1),ColLivraison)=Y$6,
  VLOOKUP($E139,INDIRECT("tri!"&amp; CHAR(64+ C0Col) &amp;":"&amp; CHAR(65+C0Col)),2,FALSE)&gt;COUNTIF($E139:X139,"u")+COUNTIF($E139:X139,"t")+COUNTIF($E139:X139,"¶")+COUNTIF($E139:X139,"²")+COUNTIF($E139:X139,"µ")+COUNTIF($E139:X139,1)),
HYPERLINK("#Roadmap!C"&amp; MATCH($E139,Roadmap!$D:$D,0)+COUNTIF($E139:X139,"u")+COUNTIF($E139:X139,"t"),
     INDEX(Roadmap!$D:$K,MATCH($E139,Roadmap!$D:$D,0)+COUNTIF($E139:X139,"u")+COUNTIF($E139:X139,"t")+COUNTIF($E139:X139,"¶")+COUNTIF($E139:X139,"²")+COUNTIF($E139:X139,"µ")+COUNTIF($E139:X139,1),ColTypeEcheance)),
  IF(LEN(X139)=1,
  IF(LEN(INDEX(Roadmap!$D:$K,MATCH($E139,Roadmap!$D:$D,0)-1+COUNTIF($E139:X139,"u")+COUNTIF($E139:X139,"t")+COUNTIF($E139:X139,"¶")+COUNTIF($E139:X139,"²")+COUNTIF($E139:X139,"µ")+COUNTIF($E139:X139,1),ColDescriptionCourte))&gt;1,
HYPERLINK("#Roadmap!C"&amp; MATCH($E139,Roadmap!$D:$D,0)+COUNTIF($E139:X139,"u")+COUNTIF($E139:X139,"t")+COUNTIF($E139:X139,"¶")+COUNTIF($E139:X139,"²")+COUNTIF($E139:X139,"µ")+COUNTIF($E139:X139,1)-1,INDEX(Roadmap!$D:$K,MATCH($E139,Roadmap!$D:$D,0)-1+COUNTIF($E139:X139,"u")+COUNTIF($E139:X139,"t")+COUNTIF($E139:X139,"¶")+COUNTIF($E139:X139,"²")+COUNTIF($E139:X139,"µ")+COUNTIF($E139:X139,1),ColDescriptionCourte)),""),
  "")),"")</f>
        <v/>
      </c>
      <c r="Z139" s="40" t="str">
        <f ca="1">IFERROR(IF(AND(
  INDEX(Roadmap!$D:$K,MATCH($E139,Roadmap!$D:$D,0)+COUNTIF($E139:Y139,"u")+COUNTIF($E139:Y139,"t")+COUNTIF($E139:Y139,"¶")+COUNTIF($E139:Y139,"²")+COUNTIF($E139:Y139,"µ")+COUNTIF($E139:Y139,1),ColLivraison)=Z$6,
  VLOOKUP($E139,INDIRECT("tri!"&amp; CHAR(64+ C0Col) &amp;":"&amp; CHAR(65+C0Col)),2,FALSE)&gt;COUNTIF($E139:Y139,"u")+COUNTIF($E139:Y139,"t")+COUNTIF($E139:Y139,"¶")+COUNTIF($E139:Y139,"²")+COUNTIF($E139:Y139,"µ")+COUNTIF($E139:Y139,1)),
HYPERLINK("#Roadmap!C"&amp; MATCH($E139,Roadmap!$D:$D,0)+COUNTIF($E139:Y139,"u")+COUNTIF($E139:Y139,"t"),
     INDEX(Roadmap!$D:$K,MATCH($E139,Roadmap!$D:$D,0)+COUNTIF($E139:Y139,"u")+COUNTIF($E139:Y139,"t")+COUNTIF($E139:Y139,"¶")+COUNTIF($E139:Y139,"²")+COUNTIF($E139:Y139,"µ")+COUNTIF($E139:Y139,1),ColTypeEcheance)),
  IF(LEN(Y139)=1,
  IF(LEN(INDEX(Roadmap!$D:$K,MATCH($E139,Roadmap!$D:$D,0)-1+COUNTIF($E139:Y139,"u")+COUNTIF($E139:Y139,"t")+COUNTIF($E139:Y139,"¶")+COUNTIF($E139:Y139,"²")+COUNTIF($E139:Y139,"µ")+COUNTIF($E139:Y139,1),ColDescriptionCourte))&gt;1,
HYPERLINK("#Roadmap!C"&amp; MATCH($E139,Roadmap!$D:$D,0)+COUNTIF($E139:Y139,"u")+COUNTIF($E139:Y139,"t")+COUNTIF($E139:Y139,"¶")+COUNTIF($E139:Y139,"²")+COUNTIF($E139:Y139,"µ")+COUNTIF($E139:Y139,1)-1,INDEX(Roadmap!$D:$K,MATCH($E139,Roadmap!$D:$D,0)-1+COUNTIF($E139:Y139,"u")+COUNTIF($E139:Y139,"t")+COUNTIF($E139:Y139,"¶")+COUNTIF($E139:Y139,"²")+COUNTIF($E139:Y139,"µ")+COUNTIF($E139:Y139,1),ColDescriptionCourte)),""),
  "")),"")</f>
        <v/>
      </c>
      <c r="AA139" s="40" t="str">
        <f ca="1">IFERROR(IF(AND(
  INDEX(Roadmap!$D:$K,MATCH($E139,Roadmap!$D:$D,0)+COUNTIF($E139:Z139,"u")+COUNTIF($E139:Z139,"t")+COUNTIF($E139:Z139,"¶")+COUNTIF($E139:Z139,"²")+COUNTIF($E139:Z139,"µ")+COUNTIF($E139:Z139,1),ColLivraison)=AA$6,
  VLOOKUP($E139,INDIRECT("tri!"&amp; CHAR(64+ C0Col) &amp;":"&amp; CHAR(65+C0Col)),2,FALSE)&gt;COUNTIF($E139:Z139,"u")+COUNTIF($E139:Z139,"t")+COUNTIF($E139:Z139,"¶")+COUNTIF($E139:Z139,"²")+COUNTIF($E139:Z139,"µ")+COUNTIF($E139:Z139,1)),
HYPERLINK("#Roadmap!C"&amp; MATCH($E139,Roadmap!$D:$D,0)+COUNTIF($E139:Z139,"u")+COUNTIF($E139:Z139,"t"),
     INDEX(Roadmap!$D:$K,MATCH($E139,Roadmap!$D:$D,0)+COUNTIF($E139:Z139,"u")+COUNTIF($E139:Z139,"t")+COUNTIF($E139:Z139,"¶")+COUNTIF($E139:Z139,"²")+COUNTIF($E139:Z139,"µ")+COUNTIF($E139:Z139,1),ColTypeEcheance)),
  IF(LEN(Z139)=1,
  IF(LEN(INDEX(Roadmap!$D:$K,MATCH($E139,Roadmap!$D:$D,0)-1+COUNTIF($E139:Z139,"u")+COUNTIF($E139:Z139,"t")+COUNTIF($E139:Z139,"¶")+COUNTIF($E139:Z139,"²")+COUNTIF($E139:Z139,"µ")+COUNTIF($E139:Z139,1),ColDescriptionCourte))&gt;1,
HYPERLINK("#Roadmap!C"&amp; MATCH($E139,Roadmap!$D:$D,0)+COUNTIF($E139:Z139,"u")+COUNTIF($E139:Z139,"t")+COUNTIF($E139:Z139,"¶")+COUNTIF($E139:Z139,"²")+COUNTIF($E139:Z139,"µ")+COUNTIF($E139:Z139,1)-1,INDEX(Roadmap!$D:$K,MATCH($E139,Roadmap!$D:$D,0)-1+COUNTIF($E139:Z139,"u")+COUNTIF($E139:Z139,"t")+COUNTIF($E139:Z139,"¶")+COUNTIF($E139:Z139,"²")+COUNTIF($E139:Z139,"µ")+COUNTIF($E139:Z139,1),ColDescriptionCourte)),""),
  "")),"")</f>
        <v/>
      </c>
      <c r="AB139" s="40" t="str">
        <f ca="1">IFERROR(IF(AND(
  INDEX(Roadmap!$D:$K,MATCH($E139,Roadmap!$D:$D,0)+COUNTIF($E139:AA139,"u")+COUNTIF($E139:AA139,"t")+COUNTIF($E139:AA139,"¶")+COUNTIF($E139:AA139,"²")+COUNTIF($E139:AA139,"µ")+COUNTIF($E139:AA139,1),ColLivraison)=AB$6,
  VLOOKUP($E139,INDIRECT("tri!"&amp; CHAR(64+ C0Col) &amp;":"&amp; CHAR(65+C0Col)),2,FALSE)&gt;COUNTIF($E139:AA139,"u")+COUNTIF($E139:AA139,"t")+COUNTIF($E139:AA139,"¶")+COUNTIF($E139:AA139,"²")+COUNTIF($E139:AA139,"µ")+COUNTIF($E139:AA139,1)),
HYPERLINK("#Roadmap!C"&amp; MATCH($E139,Roadmap!$D:$D,0)+COUNTIF($E139:AA139,"u")+COUNTIF($E139:AA139,"t"),
     INDEX(Roadmap!$D:$K,MATCH($E139,Roadmap!$D:$D,0)+COUNTIF($E139:AA139,"u")+COUNTIF($E139:AA139,"t")+COUNTIF($E139:AA139,"¶")+COUNTIF($E139:AA139,"²")+COUNTIF($E139:AA139,"µ")+COUNTIF($E139:AA139,1),ColTypeEcheance)),
  IF(LEN(AA139)=1,
  IF(LEN(INDEX(Roadmap!$D:$K,MATCH($E139,Roadmap!$D:$D,0)-1+COUNTIF($E139:AA139,"u")+COUNTIF($E139:AA139,"t")+COUNTIF($E139:AA139,"¶")+COUNTIF($E139:AA139,"²")+COUNTIF($E139:AA139,"µ")+COUNTIF($E139:AA139,1),ColDescriptionCourte))&gt;1,
HYPERLINK("#Roadmap!C"&amp; MATCH($E139,Roadmap!$D:$D,0)+COUNTIF($E139:AA139,"u")+COUNTIF($E139:AA139,"t")+COUNTIF($E139:AA139,"¶")+COUNTIF($E139:AA139,"²")+COUNTIF($E139:AA139,"µ")+COUNTIF($E139:AA139,1)-1,INDEX(Roadmap!$D:$K,MATCH($E139,Roadmap!$D:$D,0)-1+COUNTIF($E139:AA139,"u")+COUNTIF($E139:AA139,"t")+COUNTIF($E139:AA139,"¶")+COUNTIF($E139:AA139,"²")+COUNTIF($E139:AA139,"µ")+COUNTIF($E139:AA139,1),ColDescriptionCourte)),""),
  "")),"")</f>
        <v/>
      </c>
      <c r="AC139" s="40" t="str">
        <f ca="1">IFERROR(IF(AND(
  INDEX(Roadmap!$D:$K,MATCH($E139,Roadmap!$D:$D,0)+COUNTIF($E139:AB139,"u")+COUNTIF($E139:AB139,"t")+COUNTIF($E139:AB139,"¶")+COUNTIF($E139:AB139,"²")+COUNTIF($E139:AB139,"µ")+COUNTIF($E139:AB139,1),ColLivraison)=AC$6,
  VLOOKUP($E139,INDIRECT("tri!"&amp; CHAR(64+ C0Col) &amp;":"&amp; CHAR(65+C0Col)),2,FALSE)&gt;COUNTIF($E139:AB139,"u")+COUNTIF($E139:AB139,"t")+COUNTIF($E139:AB139,"¶")+COUNTIF($E139:AB139,"²")+COUNTIF($E139:AB139,"µ")+COUNTIF($E139:AB139,1)),
HYPERLINK("#Roadmap!C"&amp; MATCH($E139,Roadmap!$D:$D,0)+COUNTIF($E139:AB139,"u")+COUNTIF($E139:AB139,"t"),
     INDEX(Roadmap!$D:$K,MATCH($E139,Roadmap!$D:$D,0)+COUNTIF($E139:AB139,"u")+COUNTIF($E139:AB139,"t")+COUNTIF($E139:AB139,"¶")+COUNTIF($E139:AB139,"²")+COUNTIF($E139:AB139,"µ")+COUNTIF($E139:AB139,1),ColTypeEcheance)),
  IF(LEN(AB139)=1,
  IF(LEN(INDEX(Roadmap!$D:$K,MATCH($E139,Roadmap!$D:$D,0)-1+COUNTIF($E139:AB139,"u")+COUNTIF($E139:AB139,"t")+COUNTIF($E139:AB139,"¶")+COUNTIF($E139:AB139,"²")+COUNTIF($E139:AB139,"µ")+COUNTIF($E139:AB139,1),ColDescriptionCourte))&gt;1,
HYPERLINK("#Roadmap!C"&amp; MATCH($E139,Roadmap!$D:$D,0)+COUNTIF($E139:AB139,"u")+COUNTIF($E139:AB139,"t")+COUNTIF($E139:AB139,"¶")+COUNTIF($E139:AB139,"²")+COUNTIF($E139:AB139,"µ")+COUNTIF($E139:AB139,1)-1,INDEX(Roadmap!$D:$K,MATCH($E139,Roadmap!$D:$D,0)-1+COUNTIF($E139:AB139,"u")+COUNTIF($E139:AB139,"t")+COUNTIF($E139:AB139,"¶")+COUNTIF($E139:AB139,"²")+COUNTIF($E139:AB139,"µ")+COUNTIF($E139:AB139,1),ColDescriptionCourte)),""),
  "")),"")</f>
        <v/>
      </c>
      <c r="AD139" s="40" t="str">
        <f ca="1">IFERROR(IF(AND(
  INDEX(Roadmap!$D:$K,MATCH($E139,Roadmap!$D:$D,0)+COUNTIF($E139:AC139,"u")+COUNTIF($E139:AC139,"t")+COUNTIF($E139:AC139,"¶")+COUNTIF($E139:AC139,"²")+COUNTIF($E139:AC139,"µ")+COUNTIF($E139:AC139,1),ColLivraison)=AD$6,
  VLOOKUP($E139,INDIRECT("tri!"&amp; CHAR(64+ C0Col) &amp;":"&amp; CHAR(65+C0Col)),2,FALSE)&gt;COUNTIF($E139:AC139,"u")+COUNTIF($E139:AC139,"t")+COUNTIF($E139:AC139,"¶")+COUNTIF($E139:AC139,"²")+COUNTIF($E139:AC139,"µ")+COUNTIF($E139:AC139,1)),
HYPERLINK("#Roadmap!C"&amp; MATCH($E139,Roadmap!$D:$D,0)+COUNTIF($E139:AC139,"u")+COUNTIF($E139:AC139,"t"),
     INDEX(Roadmap!$D:$K,MATCH($E139,Roadmap!$D:$D,0)+COUNTIF($E139:AC139,"u")+COUNTIF($E139:AC139,"t")+COUNTIF($E139:AC139,"¶")+COUNTIF($E139:AC139,"²")+COUNTIF($E139:AC139,"µ")+COUNTIF($E139:AC139,1),ColTypeEcheance)),
  IF(LEN(AC139)=1,
  IF(LEN(INDEX(Roadmap!$D:$K,MATCH($E139,Roadmap!$D:$D,0)-1+COUNTIF($E139:AC139,"u")+COUNTIF($E139:AC139,"t")+COUNTIF($E139:AC139,"¶")+COUNTIF($E139:AC139,"²")+COUNTIF($E139:AC139,"µ")+COUNTIF($E139:AC139,1),ColDescriptionCourte))&gt;1,
HYPERLINK("#Roadmap!C"&amp; MATCH($E139,Roadmap!$D:$D,0)+COUNTIF($E139:AC139,"u")+COUNTIF($E139:AC139,"t")+COUNTIF($E139:AC139,"¶")+COUNTIF($E139:AC139,"²")+COUNTIF($E139:AC139,"µ")+COUNTIF($E139:AC139,1)-1,INDEX(Roadmap!$D:$K,MATCH($E139,Roadmap!$D:$D,0)-1+COUNTIF($E139:AC139,"u")+COUNTIF($E139:AC139,"t")+COUNTIF($E139:AC139,"¶")+COUNTIF($E139:AC139,"²")+COUNTIF($E139:AC139,"µ")+COUNTIF($E139:AC139,1),ColDescriptionCourte)),""),
  "")),"")</f>
        <v/>
      </c>
      <c r="AE139" s="40" t="str">
        <f ca="1">IFERROR(IF(AND(
  INDEX(Roadmap!$D:$K,MATCH($E139,Roadmap!$D:$D,0)+COUNTIF($E139:AD139,"u")+COUNTIF($E139:AD139,"t")+COUNTIF($E139:AD139,"¶")+COUNTIF($E139:AD139,"²")+COUNTIF($E139:AD139,"µ")+COUNTIF($E139:AD139,1),ColLivraison)=AE$6,
  VLOOKUP($E139,INDIRECT("tri!"&amp; CHAR(64+ C0Col) &amp;":"&amp; CHAR(65+C0Col)),2,FALSE)&gt;COUNTIF($E139:AD139,"u")+COUNTIF($E139:AD139,"t")+COUNTIF($E139:AD139,"¶")+COUNTIF($E139:AD139,"²")+COUNTIF($E139:AD139,"µ")+COUNTIF($E139:AD139,1)),
HYPERLINK("#Roadmap!C"&amp; MATCH($E139,Roadmap!$D:$D,0)+COUNTIF($E139:AD139,"u")+COUNTIF($E139:AD139,"t"),
     INDEX(Roadmap!$D:$K,MATCH($E139,Roadmap!$D:$D,0)+COUNTIF($E139:AD139,"u")+COUNTIF($E139:AD139,"t")+COUNTIF($E139:AD139,"¶")+COUNTIF($E139:AD139,"²")+COUNTIF($E139:AD139,"µ")+COUNTIF($E139:AD139,1),ColTypeEcheance)),
  IF(LEN(AD139)=1,
  IF(LEN(INDEX(Roadmap!$D:$K,MATCH($E139,Roadmap!$D:$D,0)-1+COUNTIF($E139:AD139,"u")+COUNTIF($E139:AD139,"t")+COUNTIF($E139:AD139,"¶")+COUNTIF($E139:AD139,"²")+COUNTIF($E139:AD139,"µ")+COUNTIF($E139:AD139,1),ColDescriptionCourte))&gt;1,
HYPERLINK("#Roadmap!C"&amp; MATCH($E139,Roadmap!$D:$D,0)+COUNTIF($E139:AD139,"u")+COUNTIF($E139:AD139,"t")+COUNTIF($E139:AD139,"¶")+COUNTIF($E139:AD139,"²")+COUNTIF($E139:AD139,"µ")+COUNTIF($E139:AD139,1)-1,INDEX(Roadmap!$D:$K,MATCH($E139,Roadmap!$D:$D,0)-1+COUNTIF($E139:AD139,"u")+COUNTIF($E139:AD139,"t")+COUNTIF($E139:AD139,"¶")+COUNTIF($E139:AD139,"²")+COUNTIF($E139:AD139,"µ")+COUNTIF($E139:AD139,1),ColDescriptionCourte)),""),
  "")),"")</f>
        <v/>
      </c>
      <c r="AF139" s="40" t="str">
        <f ca="1">IFERROR(IF(AND(
  INDEX(Roadmap!$D:$K,MATCH($E139,Roadmap!$D:$D,0)+COUNTIF($E139:AE139,"u")+COUNTIF($E139:AE139,"t")+COUNTIF($E139:AE139,"¶")+COUNTIF($E139:AE139,"²")+COUNTIF($E139:AE139,"µ")+COUNTIF($E139:AE139,1),ColLivraison)=AF$6,
  VLOOKUP($E139,INDIRECT("tri!"&amp; CHAR(64+ C0Col) &amp;":"&amp; CHAR(65+C0Col)),2,FALSE)&gt;COUNTIF($E139:AE139,"u")+COUNTIF($E139:AE139,"t")+COUNTIF($E139:AE139,"¶")+COUNTIF($E139:AE139,"²")+COUNTIF($E139:AE139,"µ")+COUNTIF($E139:AE139,1)),
HYPERLINK("#Roadmap!C"&amp; MATCH($E139,Roadmap!$D:$D,0)+COUNTIF($E139:AE139,"u")+COUNTIF($E139:AE139,"t"),
     INDEX(Roadmap!$D:$K,MATCH($E139,Roadmap!$D:$D,0)+COUNTIF($E139:AE139,"u")+COUNTIF($E139:AE139,"t")+COUNTIF($E139:AE139,"¶")+COUNTIF($E139:AE139,"²")+COUNTIF($E139:AE139,"µ")+COUNTIF($E139:AE139,1),ColTypeEcheance)),
  IF(LEN(AE139)=1,
  IF(LEN(INDEX(Roadmap!$D:$K,MATCH($E139,Roadmap!$D:$D,0)-1+COUNTIF($E139:AE139,"u")+COUNTIF($E139:AE139,"t")+COUNTIF($E139:AE139,"¶")+COUNTIF($E139:AE139,"²")+COUNTIF($E139:AE139,"µ")+COUNTIF($E139:AE139,1),ColDescriptionCourte))&gt;1,
HYPERLINK("#Roadmap!C"&amp; MATCH($E139,Roadmap!$D:$D,0)+COUNTIF($E139:AE139,"u")+COUNTIF($E139:AE139,"t")+COUNTIF($E139:AE139,"¶")+COUNTIF($E139:AE139,"²")+COUNTIF($E139:AE139,"µ")+COUNTIF($E139:AE139,1)-1,INDEX(Roadmap!$D:$K,MATCH($E139,Roadmap!$D:$D,0)-1+COUNTIF($E139:AE139,"u")+COUNTIF($E139:AE139,"t")+COUNTIF($E139:AE139,"¶")+COUNTIF($E139:AE139,"²")+COUNTIF($E139:AE139,"µ")+COUNTIF($E139:AE139,1),ColDescriptionCourte)),""),
  "")),"")</f>
        <v/>
      </c>
      <c r="AG139" s="40" t="str">
        <f ca="1">IFERROR(IF(AND(
  INDEX(Roadmap!$D:$K,MATCH($E139,Roadmap!$D:$D,0)+COUNTIF($E139:AF139,"u")+COUNTIF($E139:AF139,"t")+COUNTIF($E139:AF139,"¶")+COUNTIF($E139:AF139,"²")+COUNTIF($E139:AF139,"µ")+COUNTIF($E139:AF139,1),ColLivraison)=AG$6,
  VLOOKUP($E139,INDIRECT("tri!"&amp; CHAR(64+ C0Col) &amp;":"&amp; CHAR(65+C0Col)),2,FALSE)&gt;COUNTIF($E139:AF139,"u")+COUNTIF($E139:AF139,"t")+COUNTIF($E139:AF139,"¶")+COUNTIF($E139:AF139,"²")+COUNTIF($E139:AF139,"µ")+COUNTIF($E139:AF139,1)),
HYPERLINK("#Roadmap!C"&amp; MATCH($E139,Roadmap!$D:$D,0)+COUNTIF($E139:AF139,"u")+COUNTIF($E139:AF139,"t"),
     INDEX(Roadmap!$D:$K,MATCH($E139,Roadmap!$D:$D,0)+COUNTIF($E139:AF139,"u")+COUNTIF($E139:AF139,"t")+COUNTIF($E139:AF139,"¶")+COUNTIF($E139:AF139,"²")+COUNTIF($E139:AF139,"µ")+COUNTIF($E139:AF139,1),ColTypeEcheance)),
  IF(LEN(AF139)=1,
  IF(LEN(INDEX(Roadmap!$D:$K,MATCH($E139,Roadmap!$D:$D,0)-1+COUNTIF($E139:AF139,"u")+COUNTIF($E139:AF139,"t")+COUNTIF($E139:AF139,"¶")+COUNTIF($E139:AF139,"²")+COUNTIF($E139:AF139,"µ")+COUNTIF($E139:AF139,1),ColDescriptionCourte))&gt;1,
HYPERLINK("#Roadmap!C"&amp; MATCH($E139,Roadmap!$D:$D,0)+COUNTIF($E139:AF139,"u")+COUNTIF($E139:AF139,"t")+COUNTIF($E139:AF139,"¶")+COUNTIF($E139:AF139,"²")+COUNTIF($E139:AF139,"µ")+COUNTIF($E139:AF139,1)-1,INDEX(Roadmap!$D:$K,MATCH($E139,Roadmap!$D:$D,0)-1+COUNTIF($E139:AF139,"u")+COUNTIF($E139:AF139,"t")+COUNTIF($E139:AF139,"¶")+COUNTIF($E139:AF139,"²")+COUNTIF($E139:AF139,"µ")+COUNTIF($E139:AF139,1),ColDescriptionCourte)),""),
  "")),"")</f>
        <v/>
      </c>
    </row>
    <row r="140" spans="3:33" ht="14.25" customHeight="1">
      <c r="C140" s="1" t="str">
        <f t="shared" ca="1" si="52"/>
        <v/>
      </c>
      <c r="D140" s="1" t="str">
        <f t="shared" ca="1" si="53"/>
        <v/>
      </c>
      <c r="E140" s="35" t="str">
        <f t="shared" ca="1" si="51"/>
        <v/>
      </c>
      <c r="F140" s="39" t="str">
        <f ca="1">IFERROR(IF(AND(
  INDEX(Roadmap!$D:$K,MATCH($E140,Roadmap!$D:$D,0)+COUNTIF($E140:E140,"u")+COUNTIF($E140:E140,"t")+COUNTIF($E140:E140,"¶")+COUNTIF($E140:E140,"²")+COUNTIF($E140:E140,"µ")+COUNTIF($E140:E140,1),ColLivraison)=F$6,
  VLOOKUP($E140,INDIRECT("tri!"&amp; CHAR(64+ C0Col) &amp;":"&amp; CHAR(65+C0Col)),2,FALSE)&gt;COUNTIF($E140:E140,"u")+COUNTIF($E140:E140,"t")+COUNTIF($E140:E140,"¶")+COUNTIF($E140:E140,"²")+COUNTIF($E140:E140,"µ")+COUNTIF($E140:E140,1)),
HYPERLINK("#Roadmap!C"&amp; MATCH($E140,Roadmap!$D:$D,0)+COUNTIF($E140:E140,"u")+COUNTIF($E140:E140,"t"),
     INDEX(Roadmap!$D:$K,MATCH($E140,Roadmap!$D:$D,0)+COUNTIF($E140:E140,"u")+COUNTIF($E140:E140,"t")+COUNTIF($E140:E140,"¶")+COUNTIF($E140:E140,"²")+COUNTIF($E140:E140,"µ")+COUNTIF($E140:E140,1),ColTypeEcheance)),
  IF(LEN(E140)=1,
  IF(LEN(INDEX(Roadmap!$D:$K,MATCH($E140,Roadmap!$D:$D,0)-1+COUNTIF($E140:E140,"u")+COUNTIF($E140:E140,"t")+COUNTIF($E140:E140,"¶")+COUNTIF($E140:E140,"²")+COUNTIF($E140:E140,"µ")+COUNTIF($E140:E140,1),ColDescriptionCourte))&gt;1,
HYPERLINK("#Roadmap!C"&amp; MATCH($E140,Roadmap!$D:$D,0)+COUNTIF($E140:E140,"u")+COUNTIF($E140:E140,"t")+COUNTIF($E140:E140,"¶")+COUNTIF($E140:E140,"²")+COUNTIF($E140:E140,"µ")+COUNTIF($E140:E140,1)-1,INDEX(Roadmap!$D:$K,MATCH($E140,Roadmap!$D:$D,0)-1+COUNTIF($E140:E140,"u")+COUNTIF($E140:E140,"t")+COUNTIF($E140:E140,"¶")+COUNTIF($E140:E140,"²")+COUNTIF($E140:E140,"µ")+COUNTIF($E140:E140,1),ColDescriptionCourte)),""),
  "")),"")</f>
        <v/>
      </c>
      <c r="G140" s="40" t="str">
        <f ca="1">IFERROR(IF(AND(
  INDEX(Roadmap!$D:$K,MATCH($E140,Roadmap!$D:$D,0)+COUNTIF($E140:F140,"u")+COUNTIF($E140:F140,"t")+COUNTIF($E140:F140,"¶")+COUNTIF($E140:F140,"²")+COUNTIF($E140:F140,"µ")+COUNTIF($E140:F140,1),ColLivraison)=G$6,
  VLOOKUP($E140,INDIRECT("tri!"&amp; CHAR(64+ C0Col) &amp;":"&amp; CHAR(65+C0Col)),2,FALSE)&gt;COUNTIF($E140:F140,"u")+COUNTIF($E140:F140,"t")+COUNTIF($E140:F140,"¶")+COUNTIF($E140:F140,"²")+COUNTIF($E140:F140,"µ")+COUNTIF($E140:F140,1)),
HYPERLINK("#Roadmap!C"&amp; MATCH($E140,Roadmap!$D:$D,0)+COUNTIF($E140:F140,"u")+COUNTIF($E140:F140,"t"),
     INDEX(Roadmap!$D:$K,MATCH($E140,Roadmap!$D:$D,0)+COUNTIF($E140:F140,"u")+COUNTIF($E140:F140,"t")+COUNTIF($E140:F140,"¶")+COUNTIF($E140:F140,"²")+COUNTIF($E140:F140,"µ")+COUNTIF($E140:F140,1),ColTypeEcheance)),
  IF(LEN(F140)=1,
  IF(LEN(INDEX(Roadmap!$D:$K,MATCH($E140,Roadmap!$D:$D,0)-1+COUNTIF($E140:F140,"u")+COUNTIF($E140:F140,"t")+COUNTIF($E140:F140,"¶")+COUNTIF($E140:F140,"²")+COUNTIF($E140:F140,"µ")+COUNTIF($E140:F140,1),ColDescriptionCourte))&gt;1,
HYPERLINK("#Roadmap!C"&amp; MATCH($E140,Roadmap!$D:$D,0)+COUNTIF($E140:F140,"u")+COUNTIF($E140:F140,"t")+COUNTIF($E140:F140,"¶")+COUNTIF($E140:F140,"²")+COUNTIF($E140:F140,"µ")+COUNTIF($E140:F140,1)-1,INDEX(Roadmap!$D:$K,MATCH($E140,Roadmap!$D:$D,0)-1+COUNTIF($E140:F140,"u")+COUNTIF($E140:F140,"t")+COUNTIF($E140:F140,"¶")+COUNTIF($E140:F140,"²")+COUNTIF($E140:F140,"µ")+COUNTIF($E140:F140,1),ColDescriptionCourte)),""),
  "")),"")</f>
        <v/>
      </c>
      <c r="H140" s="40" t="str">
        <f ca="1">IFERROR(IF(AND(
  INDEX(Roadmap!$D:$K,MATCH($E140,Roadmap!$D:$D,0)+COUNTIF($E140:G140,"u")+COUNTIF($E140:G140,"t")+COUNTIF($E140:G140,"¶")+COUNTIF($E140:G140,"²")+COUNTIF($E140:G140,"µ")+COUNTIF($E140:G140,1),ColLivraison)=H$6,
  VLOOKUP($E140,INDIRECT("tri!"&amp; CHAR(64+ C0Col) &amp;":"&amp; CHAR(65+C0Col)),2,FALSE)&gt;COUNTIF($E140:G140,"u")+COUNTIF($E140:G140,"t")+COUNTIF($E140:G140,"¶")+COUNTIF($E140:G140,"²")+COUNTIF($E140:G140,"µ")+COUNTIF($E140:G140,1)),
HYPERLINK("#Roadmap!C"&amp; MATCH($E140,Roadmap!$D:$D,0)+COUNTIF($E140:G140,"u")+COUNTIF($E140:G140,"t"),
     INDEX(Roadmap!$D:$K,MATCH($E140,Roadmap!$D:$D,0)+COUNTIF($E140:G140,"u")+COUNTIF($E140:G140,"t")+COUNTIF($E140:G140,"¶")+COUNTIF($E140:G140,"²")+COUNTIF($E140:G140,"µ")+COUNTIF($E140:G140,1),ColTypeEcheance)),
  IF(LEN(G140)=1,
  IF(LEN(INDEX(Roadmap!$D:$K,MATCH($E140,Roadmap!$D:$D,0)-1+COUNTIF($E140:G140,"u")+COUNTIF($E140:G140,"t")+COUNTIF($E140:G140,"¶")+COUNTIF($E140:G140,"²")+COUNTIF($E140:G140,"µ")+COUNTIF($E140:G140,1),ColDescriptionCourte))&gt;1,
HYPERLINK("#Roadmap!C"&amp; MATCH($E140,Roadmap!$D:$D,0)+COUNTIF($E140:G140,"u")+COUNTIF($E140:G140,"t")+COUNTIF($E140:G140,"¶")+COUNTIF($E140:G140,"²")+COUNTIF($E140:G140,"µ")+COUNTIF($E140:G140,1)-1,INDEX(Roadmap!$D:$K,MATCH($E140,Roadmap!$D:$D,0)-1+COUNTIF($E140:G140,"u")+COUNTIF($E140:G140,"t")+COUNTIF($E140:G140,"¶")+COUNTIF($E140:G140,"²")+COUNTIF($E140:G140,"µ")+COUNTIF($E140:G140,1),ColDescriptionCourte)),""),
  "")),"")</f>
        <v/>
      </c>
      <c r="I140" s="40" t="str">
        <f ca="1">IFERROR(IF(AND(
  INDEX(Roadmap!$D:$K,MATCH($E140,Roadmap!$D:$D,0)+COUNTIF($E140:H140,"u")+COUNTIF($E140:H140,"t")+COUNTIF($E140:H140,"¶")+COUNTIF($E140:H140,"²")+COUNTIF($E140:H140,"µ")+COUNTIF($E140:H140,1),ColLivraison)=I$6,
  VLOOKUP($E140,INDIRECT("tri!"&amp; CHAR(64+ C0Col) &amp;":"&amp; CHAR(65+C0Col)),2,FALSE)&gt;COUNTIF($E140:H140,"u")+COUNTIF($E140:H140,"t")+COUNTIF($E140:H140,"¶")+COUNTIF($E140:H140,"²")+COUNTIF($E140:H140,"µ")+COUNTIF($E140:H140,1)),
HYPERLINK("#Roadmap!C"&amp; MATCH($E140,Roadmap!$D:$D,0)+COUNTIF($E140:H140,"u")+COUNTIF($E140:H140,"t"),
     INDEX(Roadmap!$D:$K,MATCH($E140,Roadmap!$D:$D,0)+COUNTIF($E140:H140,"u")+COUNTIF($E140:H140,"t")+COUNTIF($E140:H140,"¶")+COUNTIF($E140:H140,"²")+COUNTIF($E140:H140,"µ")+COUNTIF($E140:H140,1),ColTypeEcheance)),
  IF(LEN(H140)=1,
  IF(LEN(INDEX(Roadmap!$D:$K,MATCH($E140,Roadmap!$D:$D,0)-1+COUNTIF($E140:H140,"u")+COUNTIF($E140:H140,"t")+COUNTIF($E140:H140,"¶")+COUNTIF($E140:H140,"²")+COUNTIF($E140:H140,"µ")+COUNTIF($E140:H140,1),ColDescriptionCourte))&gt;1,
HYPERLINK("#Roadmap!C"&amp; MATCH($E140,Roadmap!$D:$D,0)+COUNTIF($E140:H140,"u")+COUNTIF($E140:H140,"t")+COUNTIF($E140:H140,"¶")+COUNTIF($E140:H140,"²")+COUNTIF($E140:H140,"µ")+COUNTIF($E140:H140,1)-1,INDEX(Roadmap!$D:$K,MATCH($E140,Roadmap!$D:$D,0)-1+COUNTIF($E140:H140,"u")+COUNTIF($E140:H140,"t")+COUNTIF($E140:H140,"¶")+COUNTIF($E140:H140,"²")+COUNTIF($E140:H140,"µ")+COUNTIF($E140:H140,1),ColDescriptionCourte)),""),
  "")),"")</f>
        <v/>
      </c>
      <c r="J140" s="40" t="str">
        <f ca="1">IFERROR(IF(AND(
  INDEX(Roadmap!$D:$K,MATCH($E140,Roadmap!$D:$D,0)+COUNTIF($E140:I140,"u")+COUNTIF($E140:I140,"t")+COUNTIF($E140:I140,"¶")+COUNTIF($E140:I140,"²")+COUNTIF($E140:I140,"µ")+COUNTIF($E140:I140,1),ColLivraison)=J$6,
  VLOOKUP($E140,INDIRECT("tri!"&amp; CHAR(64+ C0Col) &amp;":"&amp; CHAR(65+C0Col)),2,FALSE)&gt;COUNTIF($E140:I140,"u")+COUNTIF($E140:I140,"t")+COUNTIF($E140:I140,"¶")+COUNTIF($E140:I140,"²")+COUNTIF($E140:I140,"µ")+COUNTIF($E140:I140,1)),
HYPERLINK("#Roadmap!C"&amp; MATCH($E140,Roadmap!$D:$D,0)+COUNTIF($E140:I140,"u")+COUNTIF($E140:I140,"t"),
     INDEX(Roadmap!$D:$K,MATCH($E140,Roadmap!$D:$D,0)+COUNTIF($E140:I140,"u")+COUNTIF($E140:I140,"t")+COUNTIF($E140:I140,"¶")+COUNTIF($E140:I140,"²")+COUNTIF($E140:I140,"µ")+COUNTIF($E140:I140,1),ColTypeEcheance)),
  IF(LEN(I140)=1,
  IF(LEN(INDEX(Roadmap!$D:$K,MATCH($E140,Roadmap!$D:$D,0)-1+COUNTIF($E140:I140,"u")+COUNTIF($E140:I140,"t")+COUNTIF($E140:I140,"¶")+COUNTIF($E140:I140,"²")+COUNTIF($E140:I140,"µ")+COUNTIF($E140:I140,1),ColDescriptionCourte))&gt;1,
HYPERLINK("#Roadmap!C"&amp; MATCH($E140,Roadmap!$D:$D,0)+COUNTIF($E140:I140,"u")+COUNTIF($E140:I140,"t")+COUNTIF($E140:I140,"¶")+COUNTIF($E140:I140,"²")+COUNTIF($E140:I140,"µ")+COUNTIF($E140:I140,1)-1,INDEX(Roadmap!$D:$K,MATCH($E140,Roadmap!$D:$D,0)-1+COUNTIF($E140:I140,"u")+COUNTIF($E140:I140,"t")+COUNTIF($E140:I140,"¶")+COUNTIF($E140:I140,"²")+COUNTIF($E140:I140,"µ")+COUNTIF($E140:I140,1),ColDescriptionCourte)),""),
  "")),"")</f>
        <v/>
      </c>
      <c r="K140" s="40" t="str">
        <f ca="1">IFERROR(IF(AND(
  INDEX(Roadmap!$D:$K,MATCH($E140,Roadmap!$D:$D,0)+COUNTIF($E140:J140,"u")+COUNTIF($E140:J140,"t")+COUNTIF($E140:J140,"¶")+COUNTIF($E140:J140,"²")+COUNTIF($E140:J140,"µ")+COUNTIF($E140:J140,1),ColLivraison)=K$6,
  VLOOKUP($E140,INDIRECT("tri!"&amp; CHAR(64+ C0Col) &amp;":"&amp; CHAR(65+C0Col)),2,FALSE)&gt;COUNTIF($E140:J140,"u")+COUNTIF($E140:J140,"t")+COUNTIF($E140:J140,"¶")+COUNTIF($E140:J140,"²")+COUNTIF($E140:J140,"µ")+COUNTIF($E140:J140,1)),
HYPERLINK("#Roadmap!C"&amp; MATCH($E140,Roadmap!$D:$D,0)+COUNTIF($E140:J140,"u")+COUNTIF($E140:J140,"t"),
     INDEX(Roadmap!$D:$K,MATCH($E140,Roadmap!$D:$D,0)+COUNTIF($E140:J140,"u")+COUNTIF($E140:J140,"t")+COUNTIF($E140:J140,"¶")+COUNTIF($E140:J140,"²")+COUNTIF($E140:J140,"µ")+COUNTIF($E140:J140,1),ColTypeEcheance)),
  IF(LEN(J140)=1,
  IF(LEN(INDEX(Roadmap!$D:$K,MATCH($E140,Roadmap!$D:$D,0)-1+COUNTIF($E140:J140,"u")+COUNTIF($E140:J140,"t")+COUNTIF($E140:J140,"¶")+COUNTIF($E140:J140,"²")+COUNTIF($E140:J140,"µ")+COUNTIF($E140:J140,1),ColDescriptionCourte))&gt;1,
HYPERLINK("#Roadmap!C"&amp; MATCH($E140,Roadmap!$D:$D,0)+COUNTIF($E140:J140,"u")+COUNTIF($E140:J140,"t")+COUNTIF($E140:J140,"¶")+COUNTIF($E140:J140,"²")+COUNTIF($E140:J140,"µ")+COUNTIF($E140:J140,1)-1,INDEX(Roadmap!$D:$K,MATCH($E140,Roadmap!$D:$D,0)-1+COUNTIF($E140:J140,"u")+COUNTIF($E140:J140,"t")+COUNTIF($E140:J140,"¶")+COUNTIF($E140:J140,"²")+COUNTIF($E140:J140,"µ")+COUNTIF($E140:J140,1),ColDescriptionCourte)),""),
  "")),"")</f>
        <v/>
      </c>
      <c r="L140" s="39" t="str">
        <f ca="1">IFERROR(IF(AND(
  INDEX(Roadmap!$D:$K,MATCH($E140,Roadmap!$D:$D,0)+COUNTIF($E140:K140,"u")+COUNTIF($E140:K140,"t")+COUNTIF($E140:K140,"¶")+COUNTIF($E140:K140,"²")+COUNTIF($E140:K140,"µ")+COUNTIF($E140:K140,1),ColLivraison)=L$6,
  VLOOKUP($E140,INDIRECT("tri!"&amp; CHAR(64+ C0Col) &amp;":"&amp; CHAR(65+C0Col)),2,FALSE)&gt;COUNTIF($E140:K140,"u")+COUNTIF($E140:K140,"t")+COUNTIF($E140:K140,"¶")+COUNTIF($E140:K140,"²")+COUNTIF($E140:K140,"µ")+COUNTIF($E140:K140,1)),
HYPERLINK("#Roadmap!C"&amp; MATCH($E140,Roadmap!$D:$D,0)+COUNTIF($E140:K140,"u")+COUNTIF($E140:K140,"t"),
     INDEX(Roadmap!$D:$K,MATCH($E140,Roadmap!$D:$D,0)+COUNTIF($E140:K140,"u")+COUNTIF($E140:K140,"t")+COUNTIF($E140:K140,"¶")+COUNTIF($E140:K140,"²")+COUNTIF($E140:K140,"µ")+COUNTIF($E140:K140,1),ColTypeEcheance)),
  IF(LEN(K140)=1,
  IF(LEN(INDEX(Roadmap!$D:$K,MATCH($E140,Roadmap!$D:$D,0)-1+COUNTIF($E140:K140,"u")+COUNTIF($E140:K140,"t")+COUNTIF($E140:K140,"¶")+COUNTIF($E140:K140,"²")+COUNTIF($E140:K140,"µ")+COUNTIF($E140:K140,1),ColDescriptionCourte))&gt;1,
HYPERLINK("#Roadmap!C"&amp; MATCH($E140,Roadmap!$D:$D,0)+COUNTIF($E140:K140,"u")+COUNTIF($E140:K140,"t")+COUNTIF($E140:K140,"¶")+COUNTIF($E140:K140,"²")+COUNTIF($E140:K140,"µ")+COUNTIF($E140:K140,1)-1,INDEX(Roadmap!$D:$K,MATCH($E140,Roadmap!$D:$D,0)-1+COUNTIF($E140:K140,"u")+COUNTIF($E140:K140,"t")+COUNTIF($E140:K140,"¶")+COUNTIF($E140:K140,"²")+COUNTIF($E140:K140,"µ")+COUNTIF($E140:K140,1),ColDescriptionCourte)),""),
  "")),"")</f>
        <v/>
      </c>
      <c r="M140" s="40" t="str">
        <f ca="1">IFERROR(IF(AND(
  INDEX(Roadmap!$D:$K,MATCH($E140,Roadmap!$D:$D,0)+COUNTIF($E140:L140,"u")+COUNTIF($E140:L140,"t")+COUNTIF($E140:L140,"¶")+COUNTIF($E140:L140,"²")+COUNTIF($E140:L140,"µ")+COUNTIF($E140:L140,1),ColLivraison)=M$6,
  VLOOKUP($E140,INDIRECT("tri!"&amp; CHAR(64+ C0Col) &amp;":"&amp; CHAR(65+C0Col)),2,FALSE)&gt;COUNTIF($E140:L140,"u")+COUNTIF($E140:L140,"t")+COUNTIF($E140:L140,"¶")+COUNTIF($E140:L140,"²")+COUNTIF($E140:L140,"µ")+COUNTIF($E140:L140,1)),
HYPERLINK("#Roadmap!C"&amp; MATCH($E140,Roadmap!$D:$D,0)+COUNTIF($E140:L140,"u")+COUNTIF($E140:L140,"t"),
     INDEX(Roadmap!$D:$K,MATCH($E140,Roadmap!$D:$D,0)+COUNTIF($E140:L140,"u")+COUNTIF($E140:L140,"t")+COUNTIF($E140:L140,"¶")+COUNTIF($E140:L140,"²")+COUNTIF($E140:L140,"µ")+COUNTIF($E140:L140,1),ColTypeEcheance)),
  IF(LEN(L140)=1,
  IF(LEN(INDEX(Roadmap!$D:$K,MATCH($E140,Roadmap!$D:$D,0)-1+COUNTIF($E140:L140,"u")+COUNTIF($E140:L140,"t")+COUNTIF($E140:L140,"¶")+COUNTIF($E140:L140,"²")+COUNTIF($E140:L140,"µ")+COUNTIF($E140:L140,1),ColDescriptionCourte))&gt;1,
HYPERLINK("#Roadmap!C"&amp; MATCH($E140,Roadmap!$D:$D,0)+COUNTIF($E140:L140,"u")+COUNTIF($E140:L140,"t")+COUNTIF($E140:L140,"¶")+COUNTIF($E140:L140,"²")+COUNTIF($E140:L140,"µ")+COUNTIF($E140:L140,1)-1,INDEX(Roadmap!$D:$K,MATCH($E140,Roadmap!$D:$D,0)-1+COUNTIF($E140:L140,"u")+COUNTIF($E140:L140,"t")+COUNTIF($E140:L140,"¶")+COUNTIF($E140:L140,"²")+COUNTIF($E140:L140,"µ")+COUNTIF($E140:L140,1),ColDescriptionCourte)),""),
  "")),"")</f>
        <v/>
      </c>
      <c r="N140" s="40" t="str">
        <f ca="1">IFERROR(IF(AND(
  INDEX(Roadmap!$D:$K,MATCH($E140,Roadmap!$D:$D,0)+COUNTIF($E140:M140,"u")+COUNTIF($E140:M140,"t")+COUNTIF($E140:M140,"¶")+COUNTIF($E140:M140,"²")+COUNTIF($E140:M140,"µ")+COUNTIF($E140:M140,1),ColLivraison)=N$6,
  VLOOKUP($E140,INDIRECT("tri!"&amp; CHAR(64+ C0Col) &amp;":"&amp; CHAR(65+C0Col)),2,FALSE)&gt;COUNTIF($E140:M140,"u")+COUNTIF($E140:M140,"t")+COUNTIF($E140:M140,"¶")+COUNTIF($E140:M140,"²")+COUNTIF($E140:M140,"µ")+COUNTIF($E140:M140,1)),
HYPERLINK("#Roadmap!C"&amp; MATCH($E140,Roadmap!$D:$D,0)+COUNTIF($E140:M140,"u")+COUNTIF($E140:M140,"t"),
     INDEX(Roadmap!$D:$K,MATCH($E140,Roadmap!$D:$D,0)+COUNTIF($E140:M140,"u")+COUNTIF($E140:M140,"t")+COUNTIF($E140:M140,"¶")+COUNTIF($E140:M140,"²")+COUNTIF($E140:M140,"µ")+COUNTIF($E140:M140,1),ColTypeEcheance)),
  IF(LEN(M140)=1,
  IF(LEN(INDEX(Roadmap!$D:$K,MATCH($E140,Roadmap!$D:$D,0)-1+COUNTIF($E140:M140,"u")+COUNTIF($E140:M140,"t")+COUNTIF($E140:M140,"¶")+COUNTIF($E140:M140,"²")+COUNTIF($E140:M140,"µ")+COUNTIF($E140:M140,1),ColDescriptionCourte))&gt;1,
HYPERLINK("#Roadmap!C"&amp; MATCH($E140,Roadmap!$D:$D,0)+COUNTIF($E140:M140,"u")+COUNTIF($E140:M140,"t")+COUNTIF($E140:M140,"¶")+COUNTIF($E140:M140,"²")+COUNTIF($E140:M140,"µ")+COUNTIF($E140:M140,1)-1,INDEX(Roadmap!$D:$K,MATCH($E140,Roadmap!$D:$D,0)-1+COUNTIF($E140:M140,"u")+COUNTIF($E140:M140,"t")+COUNTIF($E140:M140,"¶")+COUNTIF($E140:M140,"²")+COUNTIF($E140:M140,"µ")+COUNTIF($E140:M140,1),ColDescriptionCourte)),""),
  "")),"")</f>
        <v/>
      </c>
      <c r="O140" s="40" t="str">
        <f ca="1">IFERROR(IF(AND(
  INDEX(Roadmap!$D:$K,MATCH($E140,Roadmap!$D:$D,0)+COUNTIF($E140:N140,"u")+COUNTIF($E140:N140,"t")+COUNTIF($E140:N140,"¶")+COUNTIF($E140:N140,"²")+COUNTIF($E140:N140,"µ")+COUNTIF($E140:N140,1),ColLivraison)=O$6,
  VLOOKUP($E140,INDIRECT("tri!"&amp; CHAR(64+ C0Col) &amp;":"&amp; CHAR(65+C0Col)),2,FALSE)&gt;COUNTIF($E140:N140,"u")+COUNTIF($E140:N140,"t")+COUNTIF($E140:N140,"¶")+COUNTIF($E140:N140,"²")+COUNTIF($E140:N140,"µ")+COUNTIF($E140:N140,1)),
HYPERLINK("#Roadmap!C"&amp; MATCH($E140,Roadmap!$D:$D,0)+COUNTIF($E140:N140,"u")+COUNTIF($E140:N140,"t"),
     INDEX(Roadmap!$D:$K,MATCH($E140,Roadmap!$D:$D,0)+COUNTIF($E140:N140,"u")+COUNTIF($E140:N140,"t")+COUNTIF($E140:N140,"¶")+COUNTIF($E140:N140,"²")+COUNTIF($E140:N140,"µ")+COUNTIF($E140:N140,1),ColTypeEcheance)),
  IF(LEN(N140)=1,
  IF(LEN(INDEX(Roadmap!$D:$K,MATCH($E140,Roadmap!$D:$D,0)-1+COUNTIF($E140:N140,"u")+COUNTIF($E140:N140,"t")+COUNTIF($E140:N140,"¶")+COUNTIF($E140:N140,"²")+COUNTIF($E140:N140,"µ")+COUNTIF($E140:N140,1),ColDescriptionCourte))&gt;1,
HYPERLINK("#Roadmap!C"&amp; MATCH($E140,Roadmap!$D:$D,0)+COUNTIF($E140:N140,"u")+COUNTIF($E140:N140,"t")+COUNTIF($E140:N140,"¶")+COUNTIF($E140:N140,"²")+COUNTIF($E140:N140,"µ")+COUNTIF($E140:N140,1)-1,INDEX(Roadmap!$D:$K,MATCH($E140,Roadmap!$D:$D,0)-1+COUNTIF($E140:N140,"u")+COUNTIF($E140:N140,"t")+COUNTIF($E140:N140,"¶")+COUNTIF($E140:N140,"²")+COUNTIF($E140:N140,"µ")+COUNTIF($E140:N140,1),ColDescriptionCourte)),""),
  "")),"")</f>
        <v/>
      </c>
      <c r="P140" s="40" t="str">
        <f ca="1">IFERROR(IF(AND(
  INDEX(Roadmap!$D:$K,MATCH($E140,Roadmap!$D:$D,0)+COUNTIF($E140:O140,"u")+COUNTIF($E140:O140,"t")+COUNTIF($E140:O140,"¶")+COUNTIF($E140:O140,"²")+COUNTIF($E140:O140,"µ")+COUNTIF($E140:O140,1),ColLivraison)=P$6,
  VLOOKUP($E140,INDIRECT("tri!"&amp; CHAR(64+ C0Col) &amp;":"&amp; CHAR(65+C0Col)),2,FALSE)&gt;COUNTIF($E140:O140,"u")+COUNTIF($E140:O140,"t")+COUNTIF($E140:O140,"¶")+COUNTIF($E140:O140,"²")+COUNTIF($E140:O140,"µ")+COUNTIF($E140:O140,1)),
HYPERLINK("#Roadmap!C"&amp; MATCH($E140,Roadmap!$D:$D,0)+COUNTIF($E140:O140,"u")+COUNTIF($E140:O140,"t"),
     INDEX(Roadmap!$D:$K,MATCH($E140,Roadmap!$D:$D,0)+COUNTIF($E140:O140,"u")+COUNTIF($E140:O140,"t")+COUNTIF($E140:O140,"¶")+COUNTIF($E140:O140,"²")+COUNTIF($E140:O140,"µ")+COUNTIF($E140:O140,1),ColTypeEcheance)),
  IF(LEN(O140)=1,
  IF(LEN(INDEX(Roadmap!$D:$K,MATCH($E140,Roadmap!$D:$D,0)-1+COUNTIF($E140:O140,"u")+COUNTIF($E140:O140,"t")+COUNTIF($E140:O140,"¶")+COUNTIF($E140:O140,"²")+COUNTIF($E140:O140,"µ")+COUNTIF($E140:O140,1),ColDescriptionCourte))&gt;1,
HYPERLINK("#Roadmap!C"&amp; MATCH($E140,Roadmap!$D:$D,0)+COUNTIF($E140:O140,"u")+COUNTIF($E140:O140,"t")+COUNTIF($E140:O140,"¶")+COUNTIF($E140:O140,"²")+COUNTIF($E140:O140,"µ")+COUNTIF($E140:O140,1)-1,INDEX(Roadmap!$D:$K,MATCH($E140,Roadmap!$D:$D,0)-1+COUNTIF($E140:O140,"u")+COUNTIF($E140:O140,"t")+COUNTIF($E140:O140,"¶")+COUNTIF($E140:O140,"²")+COUNTIF($E140:O140,"µ")+COUNTIF($E140:O140,1),ColDescriptionCourte)),""),
  "")),"")</f>
        <v/>
      </c>
      <c r="Q140" s="40" t="str">
        <f ca="1">IFERROR(IF(AND(
  INDEX(Roadmap!$D:$K,MATCH($E140,Roadmap!$D:$D,0)+COUNTIF($E140:P140,"u")+COUNTIF($E140:P140,"t")+COUNTIF($E140:P140,"¶")+COUNTIF($E140:P140,"²")+COUNTIF($E140:P140,"µ")+COUNTIF($E140:P140,1),ColLivraison)=Q$6,
  VLOOKUP($E140,INDIRECT("tri!"&amp; CHAR(64+ C0Col) &amp;":"&amp; CHAR(65+C0Col)),2,FALSE)&gt;COUNTIF($E140:P140,"u")+COUNTIF($E140:P140,"t")+COUNTIF($E140:P140,"¶")+COUNTIF($E140:P140,"²")+COUNTIF($E140:P140,"µ")+COUNTIF($E140:P140,1)),
HYPERLINK("#Roadmap!C"&amp; MATCH($E140,Roadmap!$D:$D,0)+COUNTIF($E140:P140,"u")+COUNTIF($E140:P140,"t"),
     INDEX(Roadmap!$D:$K,MATCH($E140,Roadmap!$D:$D,0)+COUNTIF($E140:P140,"u")+COUNTIF($E140:P140,"t")+COUNTIF($E140:P140,"¶")+COUNTIF($E140:P140,"²")+COUNTIF($E140:P140,"µ")+COUNTIF($E140:P140,1),ColTypeEcheance)),
  IF(LEN(P140)=1,
  IF(LEN(INDEX(Roadmap!$D:$K,MATCH($E140,Roadmap!$D:$D,0)-1+COUNTIF($E140:P140,"u")+COUNTIF($E140:P140,"t")+COUNTIF($E140:P140,"¶")+COUNTIF($E140:P140,"²")+COUNTIF($E140:P140,"µ")+COUNTIF($E140:P140,1),ColDescriptionCourte))&gt;1,
HYPERLINK("#Roadmap!C"&amp; MATCH($E140,Roadmap!$D:$D,0)+COUNTIF($E140:P140,"u")+COUNTIF($E140:P140,"t")+COUNTIF($E140:P140,"¶")+COUNTIF($E140:P140,"²")+COUNTIF($E140:P140,"µ")+COUNTIF($E140:P140,1)-1,INDEX(Roadmap!$D:$K,MATCH($E140,Roadmap!$D:$D,0)-1+COUNTIF($E140:P140,"u")+COUNTIF($E140:P140,"t")+COUNTIF($E140:P140,"¶")+COUNTIF($E140:P140,"²")+COUNTIF($E140:P140,"µ")+COUNTIF($E140:P140,1),ColDescriptionCourte)),""),
  "")),"")</f>
        <v/>
      </c>
      <c r="R140" s="40" t="str">
        <f ca="1">IFERROR(IF(AND(
  INDEX(Roadmap!$D:$K,MATCH($E140,Roadmap!$D:$D,0)+COUNTIF($E140:Q140,"u")+COUNTIF($E140:Q140,"t")+COUNTIF($E140:Q140,"¶")+COUNTIF($E140:Q140,"²")+COUNTIF($E140:Q140,"µ")+COUNTIF($E140:Q140,1),ColLivraison)=R$6,
  VLOOKUP($E140,INDIRECT("tri!"&amp; CHAR(64+ C0Col) &amp;":"&amp; CHAR(65+C0Col)),2,FALSE)&gt;COUNTIF($E140:Q140,"u")+COUNTIF($E140:Q140,"t")+COUNTIF($E140:Q140,"¶")+COUNTIF($E140:Q140,"²")+COUNTIF($E140:Q140,"µ")+COUNTIF($E140:Q140,1)),
HYPERLINK("#Roadmap!C"&amp; MATCH($E140,Roadmap!$D:$D,0)+COUNTIF($E140:Q140,"u")+COUNTIF($E140:Q140,"t"),
     INDEX(Roadmap!$D:$K,MATCH($E140,Roadmap!$D:$D,0)+COUNTIF($E140:Q140,"u")+COUNTIF($E140:Q140,"t")+COUNTIF($E140:Q140,"¶")+COUNTIF($E140:Q140,"²")+COUNTIF($E140:Q140,"µ")+COUNTIF($E140:Q140,1),ColTypeEcheance)),
  IF(LEN(Q140)=1,
  IF(LEN(INDEX(Roadmap!$D:$K,MATCH($E140,Roadmap!$D:$D,0)-1+COUNTIF($E140:Q140,"u")+COUNTIF($E140:Q140,"t")+COUNTIF($E140:Q140,"¶")+COUNTIF($E140:Q140,"²")+COUNTIF($E140:Q140,"µ")+COUNTIF($E140:Q140,1),ColDescriptionCourte))&gt;1,
HYPERLINK("#Roadmap!C"&amp; MATCH($E140,Roadmap!$D:$D,0)+COUNTIF($E140:Q140,"u")+COUNTIF($E140:Q140,"t")+COUNTIF($E140:Q140,"¶")+COUNTIF($E140:Q140,"²")+COUNTIF($E140:Q140,"µ")+COUNTIF($E140:Q140,1)-1,INDEX(Roadmap!$D:$K,MATCH($E140,Roadmap!$D:$D,0)-1+COUNTIF($E140:Q140,"u")+COUNTIF($E140:Q140,"t")+COUNTIF($E140:Q140,"¶")+COUNTIF($E140:Q140,"²")+COUNTIF($E140:Q140,"µ")+COUNTIF($E140:Q140,1),ColDescriptionCourte)),""),
  "")),"")</f>
        <v/>
      </c>
      <c r="S140" s="40" t="str">
        <f ca="1">IFERROR(IF(AND(
  INDEX(Roadmap!$D:$K,MATCH($E140,Roadmap!$D:$D,0)+COUNTIF($E140:R140,"u")+COUNTIF($E140:R140,"t")+COUNTIF($E140:R140,"¶")+COUNTIF($E140:R140,"²")+COUNTIF($E140:R140,"µ")+COUNTIF($E140:R140,1),ColLivraison)=S$6,
  VLOOKUP($E140,INDIRECT("tri!"&amp; CHAR(64+ C0Col) &amp;":"&amp; CHAR(65+C0Col)),2,FALSE)&gt;COUNTIF($E140:R140,"u")+COUNTIF($E140:R140,"t")+COUNTIF($E140:R140,"¶")+COUNTIF($E140:R140,"²")+COUNTIF($E140:R140,"µ")+COUNTIF($E140:R140,1)),
HYPERLINK("#Roadmap!C"&amp; MATCH($E140,Roadmap!$D:$D,0)+COUNTIF($E140:R140,"u")+COUNTIF($E140:R140,"t"),
     INDEX(Roadmap!$D:$K,MATCH($E140,Roadmap!$D:$D,0)+COUNTIF($E140:R140,"u")+COUNTIF($E140:R140,"t")+COUNTIF($E140:R140,"¶")+COUNTIF($E140:R140,"²")+COUNTIF($E140:R140,"µ")+COUNTIF($E140:R140,1),ColTypeEcheance)),
  IF(LEN(R140)=1,
  IF(LEN(INDEX(Roadmap!$D:$K,MATCH($E140,Roadmap!$D:$D,0)-1+COUNTIF($E140:R140,"u")+COUNTIF($E140:R140,"t")+COUNTIF($E140:R140,"¶")+COUNTIF($E140:R140,"²")+COUNTIF($E140:R140,"µ")+COUNTIF($E140:R140,1),ColDescriptionCourte))&gt;1,
HYPERLINK("#Roadmap!C"&amp; MATCH($E140,Roadmap!$D:$D,0)+COUNTIF($E140:R140,"u")+COUNTIF($E140:R140,"t")+COUNTIF($E140:R140,"¶")+COUNTIF($E140:R140,"²")+COUNTIF($E140:R140,"µ")+COUNTIF($E140:R140,1)-1,INDEX(Roadmap!$D:$K,MATCH($E140,Roadmap!$D:$D,0)-1+COUNTIF($E140:R140,"u")+COUNTIF($E140:R140,"t")+COUNTIF($E140:R140,"¶")+COUNTIF($E140:R140,"²")+COUNTIF($E140:R140,"µ")+COUNTIF($E140:R140,1),ColDescriptionCourte)),""),
  "")),"")</f>
        <v/>
      </c>
      <c r="T140" s="40" t="str">
        <f ca="1">IFERROR(IF(AND(
  INDEX(Roadmap!$D:$K,MATCH($E140,Roadmap!$D:$D,0)+COUNTIF($E140:S140,"u")+COUNTIF($E140:S140,"t")+COUNTIF($E140:S140,"¶")+COUNTIF($E140:S140,"²")+COUNTIF($E140:S140,"µ")+COUNTIF($E140:S140,1),ColLivraison)=T$6,
  VLOOKUP($E140,INDIRECT("tri!"&amp; CHAR(64+ C0Col) &amp;":"&amp; CHAR(65+C0Col)),2,FALSE)&gt;COUNTIF($E140:S140,"u")+COUNTIF($E140:S140,"t")+COUNTIF($E140:S140,"¶")+COUNTIF($E140:S140,"²")+COUNTIF($E140:S140,"µ")+COUNTIF($E140:S140,1)),
HYPERLINK("#Roadmap!C"&amp; MATCH($E140,Roadmap!$D:$D,0)+COUNTIF($E140:S140,"u")+COUNTIF($E140:S140,"t"),
     INDEX(Roadmap!$D:$K,MATCH($E140,Roadmap!$D:$D,0)+COUNTIF($E140:S140,"u")+COUNTIF($E140:S140,"t")+COUNTIF($E140:S140,"¶")+COUNTIF($E140:S140,"²")+COUNTIF($E140:S140,"µ")+COUNTIF($E140:S140,1),ColTypeEcheance)),
  IF(LEN(S140)=1,
  IF(LEN(INDEX(Roadmap!$D:$K,MATCH($E140,Roadmap!$D:$D,0)-1+COUNTIF($E140:S140,"u")+COUNTIF($E140:S140,"t")+COUNTIF($E140:S140,"¶")+COUNTIF($E140:S140,"²")+COUNTIF($E140:S140,"µ")+COUNTIF($E140:S140,1),ColDescriptionCourte))&gt;1,
HYPERLINK("#Roadmap!C"&amp; MATCH($E140,Roadmap!$D:$D,0)+COUNTIF($E140:S140,"u")+COUNTIF($E140:S140,"t")+COUNTIF($E140:S140,"¶")+COUNTIF($E140:S140,"²")+COUNTIF($E140:S140,"µ")+COUNTIF($E140:S140,1)-1,INDEX(Roadmap!$D:$K,MATCH($E140,Roadmap!$D:$D,0)-1+COUNTIF($E140:S140,"u")+COUNTIF($E140:S140,"t")+COUNTIF($E140:S140,"¶")+COUNTIF($E140:S140,"²")+COUNTIF($E140:S140,"µ")+COUNTIF($E140:S140,1),ColDescriptionCourte)),""),
  "")),"")</f>
        <v/>
      </c>
      <c r="U140" s="40" t="str">
        <f ca="1">IFERROR(IF(AND(
  INDEX(Roadmap!$D:$K,MATCH($E140,Roadmap!$D:$D,0)+COUNTIF($E140:T140,"u")+COUNTIF($E140:T140,"t")+COUNTIF($E140:T140,"¶")+COUNTIF($E140:T140,"²")+COUNTIF($E140:T140,"µ")+COUNTIF($E140:T140,1),ColLivraison)=U$6,
  VLOOKUP($E140,INDIRECT("tri!"&amp; CHAR(64+ C0Col) &amp;":"&amp; CHAR(65+C0Col)),2,FALSE)&gt;COUNTIF($E140:T140,"u")+COUNTIF($E140:T140,"t")+COUNTIF($E140:T140,"¶")+COUNTIF($E140:T140,"²")+COUNTIF($E140:T140,"µ")+COUNTIF($E140:T140,1)),
HYPERLINK("#Roadmap!C"&amp; MATCH($E140,Roadmap!$D:$D,0)+COUNTIF($E140:T140,"u")+COUNTIF($E140:T140,"t"),
     INDEX(Roadmap!$D:$K,MATCH($E140,Roadmap!$D:$D,0)+COUNTIF($E140:T140,"u")+COUNTIF($E140:T140,"t")+COUNTIF($E140:T140,"¶")+COUNTIF($E140:T140,"²")+COUNTIF($E140:T140,"µ")+COUNTIF($E140:T140,1),ColTypeEcheance)),
  IF(LEN(T140)=1,
  IF(LEN(INDEX(Roadmap!$D:$K,MATCH($E140,Roadmap!$D:$D,0)-1+COUNTIF($E140:T140,"u")+COUNTIF($E140:T140,"t")+COUNTIF($E140:T140,"¶")+COUNTIF($E140:T140,"²")+COUNTIF($E140:T140,"µ")+COUNTIF($E140:T140,1),ColDescriptionCourte))&gt;1,
HYPERLINK("#Roadmap!C"&amp; MATCH($E140,Roadmap!$D:$D,0)+COUNTIF($E140:T140,"u")+COUNTIF($E140:T140,"t")+COUNTIF($E140:T140,"¶")+COUNTIF($E140:T140,"²")+COUNTIF($E140:T140,"µ")+COUNTIF($E140:T140,1)-1,INDEX(Roadmap!$D:$K,MATCH($E140,Roadmap!$D:$D,0)-1+COUNTIF($E140:T140,"u")+COUNTIF($E140:T140,"t")+COUNTIF($E140:T140,"¶")+COUNTIF($E140:T140,"²")+COUNTIF($E140:T140,"µ")+COUNTIF($E140:T140,1),ColDescriptionCourte)),""),
  "")),"")</f>
        <v/>
      </c>
      <c r="V140" s="40" t="str">
        <f ca="1">IFERROR(IF(AND(
  INDEX(Roadmap!$D:$K,MATCH($E140,Roadmap!$D:$D,0)+COUNTIF($E140:U140,"u")+COUNTIF($E140:U140,"t")+COUNTIF($E140:U140,"¶")+COUNTIF($E140:U140,"²")+COUNTIF($E140:U140,"µ")+COUNTIF($E140:U140,1),ColLivraison)=V$6,
  VLOOKUP($E140,INDIRECT("tri!"&amp; CHAR(64+ C0Col) &amp;":"&amp; CHAR(65+C0Col)),2,FALSE)&gt;COUNTIF($E140:U140,"u")+COUNTIF($E140:U140,"t")+COUNTIF($E140:U140,"¶")+COUNTIF($E140:U140,"²")+COUNTIF($E140:U140,"µ")+COUNTIF($E140:U140,1)),
HYPERLINK("#Roadmap!C"&amp; MATCH($E140,Roadmap!$D:$D,0)+COUNTIF($E140:U140,"u")+COUNTIF($E140:U140,"t"),
     INDEX(Roadmap!$D:$K,MATCH($E140,Roadmap!$D:$D,0)+COUNTIF($E140:U140,"u")+COUNTIF($E140:U140,"t")+COUNTIF($E140:U140,"¶")+COUNTIF($E140:U140,"²")+COUNTIF($E140:U140,"µ")+COUNTIF($E140:U140,1),ColTypeEcheance)),
  IF(LEN(U140)=1,
  IF(LEN(INDEX(Roadmap!$D:$K,MATCH($E140,Roadmap!$D:$D,0)-1+COUNTIF($E140:U140,"u")+COUNTIF($E140:U140,"t")+COUNTIF($E140:U140,"¶")+COUNTIF($E140:U140,"²")+COUNTIF($E140:U140,"µ")+COUNTIF($E140:U140,1),ColDescriptionCourte))&gt;1,
HYPERLINK("#Roadmap!C"&amp; MATCH($E140,Roadmap!$D:$D,0)+COUNTIF($E140:U140,"u")+COUNTIF($E140:U140,"t")+COUNTIF($E140:U140,"¶")+COUNTIF($E140:U140,"²")+COUNTIF($E140:U140,"µ")+COUNTIF($E140:U140,1)-1,INDEX(Roadmap!$D:$K,MATCH($E140,Roadmap!$D:$D,0)-1+COUNTIF($E140:U140,"u")+COUNTIF($E140:U140,"t")+COUNTIF($E140:U140,"¶")+COUNTIF($E140:U140,"²")+COUNTIF($E140:U140,"µ")+COUNTIF($E140:U140,1),ColDescriptionCourte)),""),
  "")),"")</f>
        <v/>
      </c>
      <c r="W140" s="40" t="str">
        <f ca="1">IFERROR(IF(AND(
  INDEX(Roadmap!$D:$K,MATCH($E140,Roadmap!$D:$D,0)+COUNTIF($E140:V140,"u")+COUNTIF($E140:V140,"t")+COUNTIF($E140:V140,"¶")+COUNTIF($E140:V140,"²")+COUNTIF($E140:V140,"µ")+COUNTIF($E140:V140,1),ColLivraison)=W$6,
  VLOOKUP($E140,INDIRECT("tri!"&amp; CHAR(64+ C0Col) &amp;":"&amp; CHAR(65+C0Col)),2,FALSE)&gt;COUNTIF($E140:V140,"u")+COUNTIF($E140:V140,"t")+COUNTIF($E140:V140,"¶")+COUNTIF($E140:V140,"²")+COUNTIF($E140:V140,"µ")+COUNTIF($E140:V140,1)),
HYPERLINK("#Roadmap!C"&amp; MATCH($E140,Roadmap!$D:$D,0)+COUNTIF($E140:V140,"u")+COUNTIF($E140:V140,"t"),
     INDEX(Roadmap!$D:$K,MATCH($E140,Roadmap!$D:$D,0)+COUNTIF($E140:V140,"u")+COUNTIF($E140:V140,"t")+COUNTIF($E140:V140,"¶")+COUNTIF($E140:V140,"²")+COUNTIF($E140:V140,"µ")+COUNTIF($E140:V140,1),ColTypeEcheance)),
  IF(LEN(V140)=1,
  IF(LEN(INDEX(Roadmap!$D:$K,MATCH($E140,Roadmap!$D:$D,0)-1+COUNTIF($E140:V140,"u")+COUNTIF($E140:V140,"t")+COUNTIF($E140:V140,"¶")+COUNTIF($E140:V140,"²")+COUNTIF($E140:V140,"µ")+COUNTIF($E140:V140,1),ColDescriptionCourte))&gt;1,
HYPERLINK("#Roadmap!C"&amp; MATCH($E140,Roadmap!$D:$D,0)+COUNTIF($E140:V140,"u")+COUNTIF($E140:V140,"t")+COUNTIF($E140:V140,"¶")+COUNTIF($E140:V140,"²")+COUNTIF($E140:V140,"µ")+COUNTIF($E140:V140,1)-1,INDEX(Roadmap!$D:$K,MATCH($E140,Roadmap!$D:$D,0)-1+COUNTIF($E140:V140,"u")+COUNTIF($E140:V140,"t")+COUNTIF($E140:V140,"¶")+COUNTIF($E140:V140,"²")+COUNTIF($E140:V140,"µ")+COUNTIF($E140:V140,1),ColDescriptionCourte)),""),
  "")),"")</f>
        <v/>
      </c>
      <c r="X140" s="40" t="str">
        <f ca="1">IFERROR(IF(AND(
  INDEX(Roadmap!$D:$K,MATCH($E140,Roadmap!$D:$D,0)+COUNTIF($E140:W140,"u")+COUNTIF($E140:W140,"t")+COUNTIF($E140:W140,"¶")+COUNTIF($E140:W140,"²")+COUNTIF($E140:W140,"µ")+COUNTIF($E140:W140,1),ColLivraison)=X$6,
  VLOOKUP($E140,INDIRECT("tri!"&amp; CHAR(64+ C0Col) &amp;":"&amp; CHAR(65+C0Col)),2,FALSE)&gt;COUNTIF($E140:W140,"u")+COUNTIF($E140:W140,"t")+COUNTIF($E140:W140,"¶")+COUNTIF($E140:W140,"²")+COUNTIF($E140:W140,"µ")+COUNTIF($E140:W140,1)),
HYPERLINK("#Roadmap!C"&amp; MATCH($E140,Roadmap!$D:$D,0)+COUNTIF($E140:W140,"u")+COUNTIF($E140:W140,"t"),
     INDEX(Roadmap!$D:$K,MATCH($E140,Roadmap!$D:$D,0)+COUNTIF($E140:W140,"u")+COUNTIF($E140:W140,"t")+COUNTIF($E140:W140,"¶")+COUNTIF($E140:W140,"²")+COUNTIF($E140:W140,"µ")+COUNTIF($E140:W140,1),ColTypeEcheance)),
  IF(LEN(W140)=1,
  IF(LEN(INDEX(Roadmap!$D:$K,MATCH($E140,Roadmap!$D:$D,0)-1+COUNTIF($E140:W140,"u")+COUNTIF($E140:W140,"t")+COUNTIF($E140:W140,"¶")+COUNTIF($E140:W140,"²")+COUNTIF($E140:W140,"µ")+COUNTIF($E140:W140,1),ColDescriptionCourte))&gt;1,
HYPERLINK("#Roadmap!C"&amp; MATCH($E140,Roadmap!$D:$D,0)+COUNTIF($E140:W140,"u")+COUNTIF($E140:W140,"t")+COUNTIF($E140:W140,"¶")+COUNTIF($E140:W140,"²")+COUNTIF($E140:W140,"µ")+COUNTIF($E140:W140,1)-1,INDEX(Roadmap!$D:$K,MATCH($E140,Roadmap!$D:$D,0)-1+COUNTIF($E140:W140,"u")+COUNTIF($E140:W140,"t")+COUNTIF($E140:W140,"¶")+COUNTIF($E140:W140,"²")+COUNTIF($E140:W140,"µ")+COUNTIF($E140:W140,1),ColDescriptionCourte)),""),
  "")),"")</f>
        <v/>
      </c>
      <c r="Y140" s="40" t="str">
        <f ca="1">IFERROR(IF(AND(
  INDEX(Roadmap!$D:$K,MATCH($E140,Roadmap!$D:$D,0)+COUNTIF($E140:X140,"u")+COUNTIF($E140:X140,"t")+COUNTIF($E140:X140,"¶")+COUNTIF($E140:X140,"²")+COUNTIF($E140:X140,"µ")+COUNTIF($E140:X140,1),ColLivraison)=Y$6,
  VLOOKUP($E140,INDIRECT("tri!"&amp; CHAR(64+ C0Col) &amp;":"&amp; CHAR(65+C0Col)),2,FALSE)&gt;COUNTIF($E140:X140,"u")+COUNTIF($E140:X140,"t")+COUNTIF($E140:X140,"¶")+COUNTIF($E140:X140,"²")+COUNTIF($E140:X140,"µ")+COUNTIF($E140:X140,1)),
HYPERLINK("#Roadmap!C"&amp; MATCH($E140,Roadmap!$D:$D,0)+COUNTIF($E140:X140,"u")+COUNTIF($E140:X140,"t"),
     INDEX(Roadmap!$D:$K,MATCH($E140,Roadmap!$D:$D,0)+COUNTIF($E140:X140,"u")+COUNTIF($E140:X140,"t")+COUNTIF($E140:X140,"¶")+COUNTIF($E140:X140,"²")+COUNTIF($E140:X140,"µ")+COUNTIF($E140:X140,1),ColTypeEcheance)),
  IF(LEN(X140)=1,
  IF(LEN(INDEX(Roadmap!$D:$K,MATCH($E140,Roadmap!$D:$D,0)-1+COUNTIF($E140:X140,"u")+COUNTIF($E140:X140,"t")+COUNTIF($E140:X140,"¶")+COUNTIF($E140:X140,"²")+COUNTIF($E140:X140,"µ")+COUNTIF($E140:X140,1),ColDescriptionCourte))&gt;1,
HYPERLINK("#Roadmap!C"&amp; MATCH($E140,Roadmap!$D:$D,0)+COUNTIF($E140:X140,"u")+COUNTIF($E140:X140,"t")+COUNTIF($E140:X140,"¶")+COUNTIF($E140:X140,"²")+COUNTIF($E140:X140,"µ")+COUNTIF($E140:X140,1)-1,INDEX(Roadmap!$D:$K,MATCH($E140,Roadmap!$D:$D,0)-1+COUNTIF($E140:X140,"u")+COUNTIF($E140:X140,"t")+COUNTIF($E140:X140,"¶")+COUNTIF($E140:X140,"²")+COUNTIF($E140:X140,"µ")+COUNTIF($E140:X140,1),ColDescriptionCourte)),""),
  "")),"")</f>
        <v/>
      </c>
      <c r="Z140" s="40" t="str">
        <f ca="1">IFERROR(IF(AND(
  INDEX(Roadmap!$D:$K,MATCH($E140,Roadmap!$D:$D,0)+COUNTIF($E140:Y140,"u")+COUNTIF($E140:Y140,"t")+COUNTIF($E140:Y140,"¶")+COUNTIF($E140:Y140,"²")+COUNTIF($E140:Y140,"µ")+COUNTIF($E140:Y140,1),ColLivraison)=Z$6,
  VLOOKUP($E140,INDIRECT("tri!"&amp; CHAR(64+ C0Col) &amp;":"&amp; CHAR(65+C0Col)),2,FALSE)&gt;COUNTIF($E140:Y140,"u")+COUNTIF($E140:Y140,"t")+COUNTIF($E140:Y140,"¶")+COUNTIF($E140:Y140,"²")+COUNTIF($E140:Y140,"µ")+COUNTIF($E140:Y140,1)),
HYPERLINK("#Roadmap!C"&amp; MATCH($E140,Roadmap!$D:$D,0)+COUNTIF($E140:Y140,"u")+COUNTIF($E140:Y140,"t"),
     INDEX(Roadmap!$D:$K,MATCH($E140,Roadmap!$D:$D,0)+COUNTIF($E140:Y140,"u")+COUNTIF($E140:Y140,"t")+COUNTIF($E140:Y140,"¶")+COUNTIF($E140:Y140,"²")+COUNTIF($E140:Y140,"µ")+COUNTIF($E140:Y140,1),ColTypeEcheance)),
  IF(LEN(Y140)=1,
  IF(LEN(INDEX(Roadmap!$D:$K,MATCH($E140,Roadmap!$D:$D,0)-1+COUNTIF($E140:Y140,"u")+COUNTIF($E140:Y140,"t")+COUNTIF($E140:Y140,"¶")+COUNTIF($E140:Y140,"²")+COUNTIF($E140:Y140,"µ")+COUNTIF($E140:Y140,1),ColDescriptionCourte))&gt;1,
HYPERLINK("#Roadmap!C"&amp; MATCH($E140,Roadmap!$D:$D,0)+COUNTIF($E140:Y140,"u")+COUNTIF($E140:Y140,"t")+COUNTIF($E140:Y140,"¶")+COUNTIF($E140:Y140,"²")+COUNTIF($E140:Y140,"µ")+COUNTIF($E140:Y140,1)-1,INDEX(Roadmap!$D:$K,MATCH($E140,Roadmap!$D:$D,0)-1+COUNTIF($E140:Y140,"u")+COUNTIF($E140:Y140,"t")+COUNTIF($E140:Y140,"¶")+COUNTIF($E140:Y140,"²")+COUNTIF($E140:Y140,"µ")+COUNTIF($E140:Y140,1),ColDescriptionCourte)),""),
  "")),"")</f>
        <v/>
      </c>
      <c r="AA140" s="40" t="str">
        <f ca="1">IFERROR(IF(AND(
  INDEX(Roadmap!$D:$K,MATCH($E140,Roadmap!$D:$D,0)+COUNTIF($E140:Z140,"u")+COUNTIF($E140:Z140,"t")+COUNTIF($E140:Z140,"¶")+COUNTIF($E140:Z140,"²")+COUNTIF($E140:Z140,"µ")+COUNTIF($E140:Z140,1),ColLivraison)=AA$6,
  VLOOKUP($E140,INDIRECT("tri!"&amp; CHAR(64+ C0Col) &amp;":"&amp; CHAR(65+C0Col)),2,FALSE)&gt;COUNTIF($E140:Z140,"u")+COUNTIF($E140:Z140,"t")+COUNTIF($E140:Z140,"¶")+COUNTIF($E140:Z140,"²")+COUNTIF($E140:Z140,"µ")+COUNTIF($E140:Z140,1)),
HYPERLINK("#Roadmap!C"&amp; MATCH($E140,Roadmap!$D:$D,0)+COUNTIF($E140:Z140,"u")+COUNTIF($E140:Z140,"t"),
     INDEX(Roadmap!$D:$K,MATCH($E140,Roadmap!$D:$D,0)+COUNTIF($E140:Z140,"u")+COUNTIF($E140:Z140,"t")+COUNTIF($E140:Z140,"¶")+COUNTIF($E140:Z140,"²")+COUNTIF($E140:Z140,"µ")+COUNTIF($E140:Z140,1),ColTypeEcheance)),
  IF(LEN(Z140)=1,
  IF(LEN(INDEX(Roadmap!$D:$K,MATCH($E140,Roadmap!$D:$D,0)-1+COUNTIF($E140:Z140,"u")+COUNTIF($E140:Z140,"t")+COUNTIF($E140:Z140,"¶")+COUNTIF($E140:Z140,"²")+COUNTIF($E140:Z140,"µ")+COUNTIF($E140:Z140,1),ColDescriptionCourte))&gt;1,
HYPERLINK("#Roadmap!C"&amp; MATCH($E140,Roadmap!$D:$D,0)+COUNTIF($E140:Z140,"u")+COUNTIF($E140:Z140,"t")+COUNTIF($E140:Z140,"¶")+COUNTIF($E140:Z140,"²")+COUNTIF($E140:Z140,"µ")+COUNTIF($E140:Z140,1)-1,INDEX(Roadmap!$D:$K,MATCH($E140,Roadmap!$D:$D,0)-1+COUNTIF($E140:Z140,"u")+COUNTIF($E140:Z140,"t")+COUNTIF($E140:Z140,"¶")+COUNTIF($E140:Z140,"²")+COUNTIF($E140:Z140,"µ")+COUNTIF($E140:Z140,1),ColDescriptionCourte)),""),
  "")),"")</f>
        <v/>
      </c>
      <c r="AB140" s="40" t="str">
        <f ca="1">IFERROR(IF(AND(
  INDEX(Roadmap!$D:$K,MATCH($E140,Roadmap!$D:$D,0)+COUNTIF($E140:AA140,"u")+COUNTIF($E140:AA140,"t")+COUNTIF($E140:AA140,"¶")+COUNTIF($E140:AA140,"²")+COUNTIF($E140:AA140,"µ")+COUNTIF($E140:AA140,1),ColLivraison)=AB$6,
  VLOOKUP($E140,INDIRECT("tri!"&amp; CHAR(64+ C0Col) &amp;":"&amp; CHAR(65+C0Col)),2,FALSE)&gt;COUNTIF($E140:AA140,"u")+COUNTIF($E140:AA140,"t")+COUNTIF($E140:AA140,"¶")+COUNTIF($E140:AA140,"²")+COUNTIF($E140:AA140,"µ")+COUNTIF($E140:AA140,1)),
HYPERLINK("#Roadmap!C"&amp; MATCH($E140,Roadmap!$D:$D,0)+COUNTIF($E140:AA140,"u")+COUNTIF($E140:AA140,"t"),
     INDEX(Roadmap!$D:$K,MATCH($E140,Roadmap!$D:$D,0)+COUNTIF($E140:AA140,"u")+COUNTIF($E140:AA140,"t")+COUNTIF($E140:AA140,"¶")+COUNTIF($E140:AA140,"²")+COUNTIF($E140:AA140,"µ")+COUNTIF($E140:AA140,1),ColTypeEcheance)),
  IF(LEN(AA140)=1,
  IF(LEN(INDEX(Roadmap!$D:$K,MATCH($E140,Roadmap!$D:$D,0)-1+COUNTIF($E140:AA140,"u")+COUNTIF($E140:AA140,"t")+COUNTIF($E140:AA140,"¶")+COUNTIF($E140:AA140,"²")+COUNTIF($E140:AA140,"µ")+COUNTIF($E140:AA140,1),ColDescriptionCourte))&gt;1,
HYPERLINK("#Roadmap!C"&amp; MATCH($E140,Roadmap!$D:$D,0)+COUNTIF($E140:AA140,"u")+COUNTIF($E140:AA140,"t")+COUNTIF($E140:AA140,"¶")+COUNTIF($E140:AA140,"²")+COUNTIF($E140:AA140,"µ")+COUNTIF($E140:AA140,1)-1,INDEX(Roadmap!$D:$K,MATCH($E140,Roadmap!$D:$D,0)-1+COUNTIF($E140:AA140,"u")+COUNTIF($E140:AA140,"t")+COUNTIF($E140:AA140,"¶")+COUNTIF($E140:AA140,"²")+COUNTIF($E140:AA140,"µ")+COUNTIF($E140:AA140,1),ColDescriptionCourte)),""),
  "")),"")</f>
        <v/>
      </c>
      <c r="AC140" s="40" t="str">
        <f ca="1">IFERROR(IF(AND(
  INDEX(Roadmap!$D:$K,MATCH($E140,Roadmap!$D:$D,0)+COUNTIF($E140:AB140,"u")+COUNTIF($E140:AB140,"t")+COUNTIF($E140:AB140,"¶")+COUNTIF($E140:AB140,"²")+COUNTIF($E140:AB140,"µ")+COUNTIF($E140:AB140,1),ColLivraison)=AC$6,
  VLOOKUP($E140,INDIRECT("tri!"&amp; CHAR(64+ C0Col) &amp;":"&amp; CHAR(65+C0Col)),2,FALSE)&gt;COUNTIF($E140:AB140,"u")+COUNTIF($E140:AB140,"t")+COUNTIF($E140:AB140,"¶")+COUNTIF($E140:AB140,"²")+COUNTIF($E140:AB140,"µ")+COUNTIF($E140:AB140,1)),
HYPERLINK("#Roadmap!C"&amp; MATCH($E140,Roadmap!$D:$D,0)+COUNTIF($E140:AB140,"u")+COUNTIF($E140:AB140,"t"),
     INDEX(Roadmap!$D:$K,MATCH($E140,Roadmap!$D:$D,0)+COUNTIF($E140:AB140,"u")+COUNTIF($E140:AB140,"t")+COUNTIF($E140:AB140,"¶")+COUNTIF($E140:AB140,"²")+COUNTIF($E140:AB140,"µ")+COUNTIF($E140:AB140,1),ColTypeEcheance)),
  IF(LEN(AB140)=1,
  IF(LEN(INDEX(Roadmap!$D:$K,MATCH($E140,Roadmap!$D:$D,0)-1+COUNTIF($E140:AB140,"u")+COUNTIF($E140:AB140,"t")+COUNTIF($E140:AB140,"¶")+COUNTIF($E140:AB140,"²")+COUNTIF($E140:AB140,"µ")+COUNTIF($E140:AB140,1),ColDescriptionCourte))&gt;1,
HYPERLINK("#Roadmap!C"&amp; MATCH($E140,Roadmap!$D:$D,0)+COUNTIF($E140:AB140,"u")+COUNTIF($E140:AB140,"t")+COUNTIF($E140:AB140,"¶")+COUNTIF($E140:AB140,"²")+COUNTIF($E140:AB140,"µ")+COUNTIF($E140:AB140,1)-1,INDEX(Roadmap!$D:$K,MATCH($E140,Roadmap!$D:$D,0)-1+COUNTIF($E140:AB140,"u")+COUNTIF($E140:AB140,"t")+COUNTIF($E140:AB140,"¶")+COUNTIF($E140:AB140,"²")+COUNTIF($E140:AB140,"µ")+COUNTIF($E140:AB140,1),ColDescriptionCourte)),""),
  "")),"")</f>
        <v/>
      </c>
      <c r="AD140" s="40" t="str">
        <f ca="1">IFERROR(IF(AND(
  INDEX(Roadmap!$D:$K,MATCH($E140,Roadmap!$D:$D,0)+COUNTIF($E140:AC140,"u")+COUNTIF($E140:AC140,"t")+COUNTIF($E140:AC140,"¶")+COUNTIF($E140:AC140,"²")+COUNTIF($E140:AC140,"µ")+COUNTIF($E140:AC140,1),ColLivraison)=AD$6,
  VLOOKUP($E140,INDIRECT("tri!"&amp; CHAR(64+ C0Col) &amp;":"&amp; CHAR(65+C0Col)),2,FALSE)&gt;COUNTIF($E140:AC140,"u")+COUNTIF($E140:AC140,"t")+COUNTIF($E140:AC140,"¶")+COUNTIF($E140:AC140,"²")+COUNTIF($E140:AC140,"µ")+COUNTIF($E140:AC140,1)),
HYPERLINK("#Roadmap!C"&amp; MATCH($E140,Roadmap!$D:$D,0)+COUNTIF($E140:AC140,"u")+COUNTIF($E140:AC140,"t"),
     INDEX(Roadmap!$D:$K,MATCH($E140,Roadmap!$D:$D,0)+COUNTIF($E140:AC140,"u")+COUNTIF($E140:AC140,"t")+COUNTIF($E140:AC140,"¶")+COUNTIF($E140:AC140,"²")+COUNTIF($E140:AC140,"µ")+COUNTIF($E140:AC140,1),ColTypeEcheance)),
  IF(LEN(AC140)=1,
  IF(LEN(INDEX(Roadmap!$D:$K,MATCH($E140,Roadmap!$D:$D,0)-1+COUNTIF($E140:AC140,"u")+COUNTIF($E140:AC140,"t")+COUNTIF($E140:AC140,"¶")+COUNTIF($E140:AC140,"²")+COUNTIF($E140:AC140,"µ")+COUNTIF($E140:AC140,1),ColDescriptionCourte))&gt;1,
HYPERLINK("#Roadmap!C"&amp; MATCH($E140,Roadmap!$D:$D,0)+COUNTIF($E140:AC140,"u")+COUNTIF($E140:AC140,"t")+COUNTIF($E140:AC140,"¶")+COUNTIF($E140:AC140,"²")+COUNTIF($E140:AC140,"µ")+COUNTIF($E140:AC140,1)-1,INDEX(Roadmap!$D:$K,MATCH($E140,Roadmap!$D:$D,0)-1+COUNTIF($E140:AC140,"u")+COUNTIF($E140:AC140,"t")+COUNTIF($E140:AC140,"¶")+COUNTIF($E140:AC140,"²")+COUNTIF($E140:AC140,"µ")+COUNTIF($E140:AC140,1),ColDescriptionCourte)),""),
  "")),"")</f>
        <v/>
      </c>
      <c r="AE140" s="40" t="str">
        <f ca="1">IFERROR(IF(AND(
  INDEX(Roadmap!$D:$K,MATCH($E140,Roadmap!$D:$D,0)+COUNTIF($E140:AD140,"u")+COUNTIF($E140:AD140,"t")+COUNTIF($E140:AD140,"¶")+COUNTIF($E140:AD140,"²")+COUNTIF($E140:AD140,"µ")+COUNTIF($E140:AD140,1),ColLivraison)=AE$6,
  VLOOKUP($E140,INDIRECT("tri!"&amp; CHAR(64+ C0Col) &amp;":"&amp; CHAR(65+C0Col)),2,FALSE)&gt;COUNTIF($E140:AD140,"u")+COUNTIF($E140:AD140,"t")+COUNTIF($E140:AD140,"¶")+COUNTIF($E140:AD140,"²")+COUNTIF($E140:AD140,"µ")+COUNTIF($E140:AD140,1)),
HYPERLINK("#Roadmap!C"&amp; MATCH($E140,Roadmap!$D:$D,0)+COUNTIF($E140:AD140,"u")+COUNTIF($E140:AD140,"t"),
     INDEX(Roadmap!$D:$K,MATCH($E140,Roadmap!$D:$D,0)+COUNTIF($E140:AD140,"u")+COUNTIF($E140:AD140,"t")+COUNTIF($E140:AD140,"¶")+COUNTIF($E140:AD140,"²")+COUNTIF($E140:AD140,"µ")+COUNTIF($E140:AD140,1),ColTypeEcheance)),
  IF(LEN(AD140)=1,
  IF(LEN(INDEX(Roadmap!$D:$K,MATCH($E140,Roadmap!$D:$D,0)-1+COUNTIF($E140:AD140,"u")+COUNTIF($E140:AD140,"t")+COUNTIF($E140:AD140,"¶")+COUNTIF($E140:AD140,"²")+COUNTIF($E140:AD140,"µ")+COUNTIF($E140:AD140,1),ColDescriptionCourte))&gt;1,
HYPERLINK("#Roadmap!C"&amp; MATCH($E140,Roadmap!$D:$D,0)+COUNTIF($E140:AD140,"u")+COUNTIF($E140:AD140,"t")+COUNTIF($E140:AD140,"¶")+COUNTIF($E140:AD140,"²")+COUNTIF($E140:AD140,"µ")+COUNTIF($E140:AD140,1)-1,INDEX(Roadmap!$D:$K,MATCH($E140,Roadmap!$D:$D,0)-1+COUNTIF($E140:AD140,"u")+COUNTIF($E140:AD140,"t")+COUNTIF($E140:AD140,"¶")+COUNTIF($E140:AD140,"²")+COUNTIF($E140:AD140,"µ")+COUNTIF($E140:AD140,1),ColDescriptionCourte)),""),
  "")),"")</f>
        <v/>
      </c>
      <c r="AF140" s="40" t="str">
        <f ca="1">IFERROR(IF(AND(
  INDEX(Roadmap!$D:$K,MATCH($E140,Roadmap!$D:$D,0)+COUNTIF($E140:AE140,"u")+COUNTIF($E140:AE140,"t")+COUNTIF($E140:AE140,"¶")+COUNTIF($E140:AE140,"²")+COUNTIF($E140:AE140,"µ")+COUNTIF($E140:AE140,1),ColLivraison)=AF$6,
  VLOOKUP($E140,INDIRECT("tri!"&amp; CHAR(64+ C0Col) &amp;":"&amp; CHAR(65+C0Col)),2,FALSE)&gt;COUNTIF($E140:AE140,"u")+COUNTIF($E140:AE140,"t")+COUNTIF($E140:AE140,"¶")+COUNTIF($E140:AE140,"²")+COUNTIF($E140:AE140,"µ")+COUNTIF($E140:AE140,1)),
HYPERLINK("#Roadmap!C"&amp; MATCH($E140,Roadmap!$D:$D,0)+COUNTIF($E140:AE140,"u")+COUNTIF($E140:AE140,"t"),
     INDEX(Roadmap!$D:$K,MATCH($E140,Roadmap!$D:$D,0)+COUNTIF($E140:AE140,"u")+COUNTIF($E140:AE140,"t")+COUNTIF($E140:AE140,"¶")+COUNTIF($E140:AE140,"²")+COUNTIF($E140:AE140,"µ")+COUNTIF($E140:AE140,1),ColTypeEcheance)),
  IF(LEN(AE140)=1,
  IF(LEN(INDEX(Roadmap!$D:$K,MATCH($E140,Roadmap!$D:$D,0)-1+COUNTIF($E140:AE140,"u")+COUNTIF($E140:AE140,"t")+COUNTIF($E140:AE140,"¶")+COUNTIF($E140:AE140,"²")+COUNTIF($E140:AE140,"µ")+COUNTIF($E140:AE140,1),ColDescriptionCourte))&gt;1,
HYPERLINK("#Roadmap!C"&amp; MATCH($E140,Roadmap!$D:$D,0)+COUNTIF($E140:AE140,"u")+COUNTIF($E140:AE140,"t")+COUNTIF($E140:AE140,"¶")+COUNTIF($E140:AE140,"²")+COUNTIF($E140:AE140,"µ")+COUNTIF($E140:AE140,1)-1,INDEX(Roadmap!$D:$K,MATCH($E140,Roadmap!$D:$D,0)-1+COUNTIF($E140:AE140,"u")+COUNTIF($E140:AE140,"t")+COUNTIF($E140:AE140,"¶")+COUNTIF($E140:AE140,"²")+COUNTIF($E140:AE140,"µ")+COUNTIF($E140:AE140,1),ColDescriptionCourte)),""),
  "")),"")</f>
        <v/>
      </c>
      <c r="AG140" s="40" t="str">
        <f ca="1">IFERROR(IF(AND(
  INDEX(Roadmap!$D:$K,MATCH($E140,Roadmap!$D:$D,0)+COUNTIF($E140:AF140,"u")+COUNTIF($E140:AF140,"t")+COUNTIF($E140:AF140,"¶")+COUNTIF($E140:AF140,"²")+COUNTIF($E140:AF140,"µ")+COUNTIF($E140:AF140,1),ColLivraison)=AG$6,
  VLOOKUP($E140,INDIRECT("tri!"&amp; CHAR(64+ C0Col) &amp;":"&amp; CHAR(65+C0Col)),2,FALSE)&gt;COUNTIF($E140:AF140,"u")+COUNTIF($E140:AF140,"t")+COUNTIF($E140:AF140,"¶")+COUNTIF($E140:AF140,"²")+COUNTIF($E140:AF140,"µ")+COUNTIF($E140:AF140,1)),
HYPERLINK("#Roadmap!C"&amp; MATCH($E140,Roadmap!$D:$D,0)+COUNTIF($E140:AF140,"u")+COUNTIF($E140:AF140,"t"),
     INDEX(Roadmap!$D:$K,MATCH($E140,Roadmap!$D:$D,0)+COUNTIF($E140:AF140,"u")+COUNTIF($E140:AF140,"t")+COUNTIF($E140:AF140,"¶")+COUNTIF($E140:AF140,"²")+COUNTIF($E140:AF140,"µ")+COUNTIF($E140:AF140,1),ColTypeEcheance)),
  IF(LEN(AF140)=1,
  IF(LEN(INDEX(Roadmap!$D:$K,MATCH($E140,Roadmap!$D:$D,0)-1+COUNTIF($E140:AF140,"u")+COUNTIF($E140:AF140,"t")+COUNTIF($E140:AF140,"¶")+COUNTIF($E140:AF140,"²")+COUNTIF($E140:AF140,"µ")+COUNTIF($E140:AF140,1),ColDescriptionCourte))&gt;1,
HYPERLINK("#Roadmap!C"&amp; MATCH($E140,Roadmap!$D:$D,0)+COUNTIF($E140:AF140,"u")+COUNTIF($E140:AF140,"t")+COUNTIF($E140:AF140,"¶")+COUNTIF($E140:AF140,"²")+COUNTIF($E140:AF140,"µ")+COUNTIF($E140:AF140,1)-1,INDEX(Roadmap!$D:$K,MATCH($E140,Roadmap!$D:$D,0)-1+COUNTIF($E140:AF140,"u")+COUNTIF($E140:AF140,"t")+COUNTIF($E140:AF140,"¶")+COUNTIF($E140:AF140,"²")+COUNTIF($E140:AF140,"µ")+COUNTIF($E140:AF140,1),ColDescriptionCourte)),""),
  "")),"")</f>
        <v/>
      </c>
    </row>
    <row r="141" spans="3:33" ht="14.25" customHeight="1">
      <c r="C141" s="1" t="str">
        <f t="shared" ca="1" si="52"/>
        <v/>
      </c>
      <c r="D141" s="1" t="str">
        <f t="shared" ca="1" si="53"/>
        <v/>
      </c>
      <c r="E141" s="35" t="str">
        <f t="shared" ca="1" si="51"/>
        <v/>
      </c>
      <c r="F141" s="39" t="str">
        <f ca="1">IFERROR(IF(AND(
  INDEX(Roadmap!$D:$K,MATCH($E141,Roadmap!$D:$D,0)+COUNTIF($E141:E141,"u")+COUNTIF($E141:E141,"t")+COUNTIF($E141:E141,"¶")+COUNTIF($E141:E141,"²")+COUNTIF($E141:E141,"µ")+COUNTIF($E141:E141,1),ColLivraison)=F$6,
  VLOOKUP($E141,INDIRECT("tri!"&amp; CHAR(64+ C0Col) &amp;":"&amp; CHAR(65+C0Col)),2,FALSE)&gt;COUNTIF($E141:E141,"u")+COUNTIF($E141:E141,"t")+COUNTIF($E141:E141,"¶")+COUNTIF($E141:E141,"²")+COUNTIF($E141:E141,"µ")+COUNTIF($E141:E141,1)),
HYPERLINK("#Roadmap!C"&amp; MATCH($E141,Roadmap!$D:$D,0)+COUNTIF($E141:E141,"u")+COUNTIF($E141:E141,"t"),
     INDEX(Roadmap!$D:$K,MATCH($E141,Roadmap!$D:$D,0)+COUNTIF($E141:E141,"u")+COUNTIF($E141:E141,"t")+COUNTIF($E141:E141,"¶")+COUNTIF($E141:E141,"²")+COUNTIF($E141:E141,"µ")+COUNTIF($E141:E141,1),ColTypeEcheance)),
  IF(LEN(E141)=1,
  IF(LEN(INDEX(Roadmap!$D:$K,MATCH($E141,Roadmap!$D:$D,0)-1+COUNTIF($E141:E141,"u")+COUNTIF($E141:E141,"t")+COUNTIF($E141:E141,"¶")+COUNTIF($E141:E141,"²")+COUNTIF($E141:E141,"µ")+COUNTIF($E141:E141,1),ColDescriptionCourte))&gt;1,
HYPERLINK("#Roadmap!C"&amp; MATCH($E141,Roadmap!$D:$D,0)+COUNTIF($E141:E141,"u")+COUNTIF($E141:E141,"t")+COUNTIF($E141:E141,"¶")+COUNTIF($E141:E141,"²")+COUNTIF($E141:E141,"µ")+COUNTIF($E141:E141,1)-1,INDEX(Roadmap!$D:$K,MATCH($E141,Roadmap!$D:$D,0)-1+COUNTIF($E141:E141,"u")+COUNTIF($E141:E141,"t")+COUNTIF($E141:E141,"¶")+COUNTIF($E141:E141,"²")+COUNTIF($E141:E141,"µ")+COUNTIF($E141:E141,1),ColDescriptionCourte)),""),
  "")),"")</f>
        <v/>
      </c>
      <c r="G141" s="40" t="str">
        <f ca="1">IFERROR(IF(AND(
  INDEX(Roadmap!$D:$K,MATCH($E141,Roadmap!$D:$D,0)+COUNTIF($E141:F141,"u")+COUNTIF($E141:F141,"t")+COUNTIF($E141:F141,"¶")+COUNTIF($E141:F141,"²")+COUNTIF($E141:F141,"µ")+COUNTIF($E141:F141,1),ColLivraison)=G$6,
  VLOOKUP($E141,INDIRECT("tri!"&amp; CHAR(64+ C0Col) &amp;":"&amp; CHAR(65+C0Col)),2,FALSE)&gt;COUNTIF($E141:F141,"u")+COUNTIF($E141:F141,"t")+COUNTIF($E141:F141,"¶")+COUNTIF($E141:F141,"²")+COUNTIF($E141:F141,"µ")+COUNTIF($E141:F141,1)),
HYPERLINK("#Roadmap!C"&amp; MATCH($E141,Roadmap!$D:$D,0)+COUNTIF($E141:F141,"u")+COUNTIF($E141:F141,"t"),
     INDEX(Roadmap!$D:$K,MATCH($E141,Roadmap!$D:$D,0)+COUNTIF($E141:F141,"u")+COUNTIF($E141:F141,"t")+COUNTIF($E141:F141,"¶")+COUNTIF($E141:F141,"²")+COUNTIF($E141:F141,"µ")+COUNTIF($E141:F141,1),ColTypeEcheance)),
  IF(LEN(F141)=1,
  IF(LEN(INDEX(Roadmap!$D:$K,MATCH($E141,Roadmap!$D:$D,0)-1+COUNTIF($E141:F141,"u")+COUNTIF($E141:F141,"t")+COUNTIF($E141:F141,"¶")+COUNTIF($E141:F141,"²")+COUNTIF($E141:F141,"µ")+COUNTIF($E141:F141,1),ColDescriptionCourte))&gt;1,
HYPERLINK("#Roadmap!C"&amp; MATCH($E141,Roadmap!$D:$D,0)+COUNTIF($E141:F141,"u")+COUNTIF($E141:F141,"t")+COUNTIF($E141:F141,"¶")+COUNTIF($E141:F141,"²")+COUNTIF($E141:F141,"µ")+COUNTIF($E141:F141,1)-1,INDEX(Roadmap!$D:$K,MATCH($E141,Roadmap!$D:$D,0)-1+COUNTIF($E141:F141,"u")+COUNTIF($E141:F141,"t")+COUNTIF($E141:F141,"¶")+COUNTIF($E141:F141,"²")+COUNTIF($E141:F141,"µ")+COUNTIF($E141:F141,1),ColDescriptionCourte)),""),
  "")),"")</f>
        <v/>
      </c>
      <c r="H141" s="40" t="str">
        <f ca="1">IFERROR(IF(AND(
  INDEX(Roadmap!$D:$K,MATCH($E141,Roadmap!$D:$D,0)+COUNTIF($E141:G141,"u")+COUNTIF($E141:G141,"t")+COUNTIF($E141:G141,"¶")+COUNTIF($E141:G141,"²")+COUNTIF($E141:G141,"µ")+COUNTIF($E141:G141,1),ColLivraison)=H$6,
  VLOOKUP($E141,INDIRECT("tri!"&amp; CHAR(64+ C0Col) &amp;":"&amp; CHAR(65+C0Col)),2,FALSE)&gt;COUNTIF($E141:G141,"u")+COUNTIF($E141:G141,"t")+COUNTIF($E141:G141,"¶")+COUNTIF($E141:G141,"²")+COUNTIF($E141:G141,"µ")+COUNTIF($E141:G141,1)),
HYPERLINK("#Roadmap!C"&amp; MATCH($E141,Roadmap!$D:$D,0)+COUNTIF($E141:G141,"u")+COUNTIF($E141:G141,"t"),
     INDEX(Roadmap!$D:$K,MATCH($E141,Roadmap!$D:$D,0)+COUNTIF($E141:G141,"u")+COUNTIF($E141:G141,"t")+COUNTIF($E141:G141,"¶")+COUNTIF($E141:G141,"²")+COUNTIF($E141:G141,"µ")+COUNTIF($E141:G141,1),ColTypeEcheance)),
  IF(LEN(G141)=1,
  IF(LEN(INDEX(Roadmap!$D:$K,MATCH($E141,Roadmap!$D:$D,0)-1+COUNTIF($E141:G141,"u")+COUNTIF($E141:G141,"t")+COUNTIF($E141:G141,"¶")+COUNTIF($E141:G141,"²")+COUNTIF($E141:G141,"µ")+COUNTIF($E141:G141,1),ColDescriptionCourte))&gt;1,
HYPERLINK("#Roadmap!C"&amp; MATCH($E141,Roadmap!$D:$D,0)+COUNTIF($E141:G141,"u")+COUNTIF($E141:G141,"t")+COUNTIF($E141:G141,"¶")+COUNTIF($E141:G141,"²")+COUNTIF($E141:G141,"µ")+COUNTIF($E141:G141,1)-1,INDEX(Roadmap!$D:$K,MATCH($E141,Roadmap!$D:$D,0)-1+COUNTIF($E141:G141,"u")+COUNTIF($E141:G141,"t")+COUNTIF($E141:G141,"¶")+COUNTIF($E141:G141,"²")+COUNTIF($E141:G141,"µ")+COUNTIF($E141:G141,1),ColDescriptionCourte)),""),
  "")),"")</f>
        <v/>
      </c>
      <c r="I141" s="40" t="str">
        <f ca="1">IFERROR(IF(AND(
  INDEX(Roadmap!$D:$K,MATCH($E141,Roadmap!$D:$D,0)+COUNTIF($E141:H141,"u")+COUNTIF($E141:H141,"t")+COUNTIF($E141:H141,"¶")+COUNTIF($E141:H141,"²")+COUNTIF($E141:H141,"µ")+COUNTIF($E141:H141,1),ColLivraison)=I$6,
  VLOOKUP($E141,INDIRECT("tri!"&amp; CHAR(64+ C0Col) &amp;":"&amp; CHAR(65+C0Col)),2,FALSE)&gt;COUNTIF($E141:H141,"u")+COUNTIF($E141:H141,"t")+COUNTIF($E141:H141,"¶")+COUNTIF($E141:H141,"²")+COUNTIF($E141:H141,"µ")+COUNTIF($E141:H141,1)),
HYPERLINK("#Roadmap!C"&amp; MATCH($E141,Roadmap!$D:$D,0)+COUNTIF($E141:H141,"u")+COUNTIF($E141:H141,"t"),
     INDEX(Roadmap!$D:$K,MATCH($E141,Roadmap!$D:$D,0)+COUNTIF($E141:H141,"u")+COUNTIF($E141:H141,"t")+COUNTIF($E141:H141,"¶")+COUNTIF($E141:H141,"²")+COUNTIF($E141:H141,"µ")+COUNTIF($E141:H141,1),ColTypeEcheance)),
  IF(LEN(H141)=1,
  IF(LEN(INDEX(Roadmap!$D:$K,MATCH($E141,Roadmap!$D:$D,0)-1+COUNTIF($E141:H141,"u")+COUNTIF($E141:H141,"t")+COUNTIF($E141:H141,"¶")+COUNTIF($E141:H141,"²")+COUNTIF($E141:H141,"µ")+COUNTIF($E141:H141,1),ColDescriptionCourte))&gt;1,
HYPERLINK("#Roadmap!C"&amp; MATCH($E141,Roadmap!$D:$D,0)+COUNTIF($E141:H141,"u")+COUNTIF($E141:H141,"t")+COUNTIF($E141:H141,"¶")+COUNTIF($E141:H141,"²")+COUNTIF($E141:H141,"µ")+COUNTIF($E141:H141,1)-1,INDEX(Roadmap!$D:$K,MATCH($E141,Roadmap!$D:$D,0)-1+COUNTIF($E141:H141,"u")+COUNTIF($E141:H141,"t")+COUNTIF($E141:H141,"¶")+COUNTIF($E141:H141,"²")+COUNTIF($E141:H141,"µ")+COUNTIF($E141:H141,1),ColDescriptionCourte)),""),
  "")),"")</f>
        <v/>
      </c>
      <c r="J141" s="40" t="str">
        <f ca="1">IFERROR(IF(AND(
  INDEX(Roadmap!$D:$K,MATCH($E141,Roadmap!$D:$D,0)+COUNTIF($E141:I141,"u")+COUNTIF($E141:I141,"t")+COUNTIF($E141:I141,"¶")+COUNTIF($E141:I141,"²")+COUNTIF($E141:I141,"µ")+COUNTIF($E141:I141,1),ColLivraison)=J$6,
  VLOOKUP($E141,INDIRECT("tri!"&amp; CHAR(64+ C0Col) &amp;":"&amp; CHAR(65+C0Col)),2,FALSE)&gt;COUNTIF($E141:I141,"u")+COUNTIF($E141:I141,"t")+COUNTIF($E141:I141,"¶")+COUNTIF($E141:I141,"²")+COUNTIF($E141:I141,"µ")+COUNTIF($E141:I141,1)),
HYPERLINK("#Roadmap!C"&amp; MATCH($E141,Roadmap!$D:$D,0)+COUNTIF($E141:I141,"u")+COUNTIF($E141:I141,"t"),
     INDEX(Roadmap!$D:$K,MATCH($E141,Roadmap!$D:$D,0)+COUNTIF($E141:I141,"u")+COUNTIF($E141:I141,"t")+COUNTIF($E141:I141,"¶")+COUNTIF($E141:I141,"²")+COUNTIF($E141:I141,"µ")+COUNTIF($E141:I141,1),ColTypeEcheance)),
  IF(LEN(I141)=1,
  IF(LEN(INDEX(Roadmap!$D:$K,MATCH($E141,Roadmap!$D:$D,0)-1+COUNTIF($E141:I141,"u")+COUNTIF($E141:I141,"t")+COUNTIF($E141:I141,"¶")+COUNTIF($E141:I141,"²")+COUNTIF($E141:I141,"µ")+COUNTIF($E141:I141,1),ColDescriptionCourte))&gt;1,
HYPERLINK("#Roadmap!C"&amp; MATCH($E141,Roadmap!$D:$D,0)+COUNTIF($E141:I141,"u")+COUNTIF($E141:I141,"t")+COUNTIF($E141:I141,"¶")+COUNTIF($E141:I141,"²")+COUNTIF($E141:I141,"µ")+COUNTIF($E141:I141,1)-1,INDEX(Roadmap!$D:$K,MATCH($E141,Roadmap!$D:$D,0)-1+COUNTIF($E141:I141,"u")+COUNTIF($E141:I141,"t")+COUNTIF($E141:I141,"¶")+COUNTIF($E141:I141,"²")+COUNTIF($E141:I141,"µ")+COUNTIF($E141:I141,1),ColDescriptionCourte)),""),
  "")),"")</f>
        <v/>
      </c>
      <c r="K141" s="40" t="str">
        <f ca="1">IFERROR(IF(AND(
  INDEX(Roadmap!$D:$K,MATCH($E141,Roadmap!$D:$D,0)+COUNTIF($E141:J141,"u")+COUNTIF($E141:J141,"t")+COUNTIF($E141:J141,"¶")+COUNTIF($E141:J141,"²")+COUNTIF($E141:J141,"µ")+COUNTIF($E141:J141,1),ColLivraison)=K$6,
  VLOOKUP($E141,INDIRECT("tri!"&amp; CHAR(64+ C0Col) &amp;":"&amp; CHAR(65+C0Col)),2,FALSE)&gt;COUNTIF($E141:J141,"u")+COUNTIF($E141:J141,"t")+COUNTIF($E141:J141,"¶")+COUNTIF($E141:J141,"²")+COUNTIF($E141:J141,"µ")+COUNTIF($E141:J141,1)),
HYPERLINK("#Roadmap!C"&amp; MATCH($E141,Roadmap!$D:$D,0)+COUNTIF($E141:J141,"u")+COUNTIF($E141:J141,"t"),
     INDEX(Roadmap!$D:$K,MATCH($E141,Roadmap!$D:$D,0)+COUNTIF($E141:J141,"u")+COUNTIF($E141:J141,"t")+COUNTIF($E141:J141,"¶")+COUNTIF($E141:J141,"²")+COUNTIF($E141:J141,"µ")+COUNTIF($E141:J141,1),ColTypeEcheance)),
  IF(LEN(J141)=1,
  IF(LEN(INDEX(Roadmap!$D:$K,MATCH($E141,Roadmap!$D:$D,0)-1+COUNTIF($E141:J141,"u")+COUNTIF($E141:J141,"t")+COUNTIF($E141:J141,"¶")+COUNTIF($E141:J141,"²")+COUNTIF($E141:J141,"µ")+COUNTIF($E141:J141,1),ColDescriptionCourte))&gt;1,
HYPERLINK("#Roadmap!C"&amp; MATCH($E141,Roadmap!$D:$D,0)+COUNTIF($E141:J141,"u")+COUNTIF($E141:J141,"t")+COUNTIF($E141:J141,"¶")+COUNTIF($E141:J141,"²")+COUNTIF($E141:J141,"µ")+COUNTIF($E141:J141,1)-1,INDEX(Roadmap!$D:$K,MATCH($E141,Roadmap!$D:$D,0)-1+COUNTIF($E141:J141,"u")+COUNTIF($E141:J141,"t")+COUNTIF($E141:J141,"¶")+COUNTIF($E141:J141,"²")+COUNTIF($E141:J141,"µ")+COUNTIF($E141:J141,1),ColDescriptionCourte)),""),
  "")),"")</f>
        <v/>
      </c>
      <c r="L141" s="39" t="str">
        <f ca="1">IFERROR(IF(AND(
  INDEX(Roadmap!$D:$K,MATCH($E141,Roadmap!$D:$D,0)+COUNTIF($E141:K141,"u")+COUNTIF($E141:K141,"t")+COUNTIF($E141:K141,"¶")+COUNTIF($E141:K141,"²")+COUNTIF($E141:K141,"µ")+COUNTIF($E141:K141,1),ColLivraison)=L$6,
  VLOOKUP($E141,INDIRECT("tri!"&amp; CHAR(64+ C0Col) &amp;":"&amp; CHAR(65+C0Col)),2,FALSE)&gt;COUNTIF($E141:K141,"u")+COUNTIF($E141:K141,"t")+COUNTIF($E141:K141,"¶")+COUNTIF($E141:K141,"²")+COUNTIF($E141:K141,"µ")+COUNTIF($E141:K141,1)),
HYPERLINK("#Roadmap!C"&amp; MATCH($E141,Roadmap!$D:$D,0)+COUNTIF($E141:K141,"u")+COUNTIF($E141:K141,"t"),
     INDEX(Roadmap!$D:$K,MATCH($E141,Roadmap!$D:$D,0)+COUNTIF($E141:K141,"u")+COUNTIF($E141:K141,"t")+COUNTIF($E141:K141,"¶")+COUNTIF($E141:K141,"²")+COUNTIF($E141:K141,"µ")+COUNTIF($E141:K141,1),ColTypeEcheance)),
  IF(LEN(K141)=1,
  IF(LEN(INDEX(Roadmap!$D:$K,MATCH($E141,Roadmap!$D:$D,0)-1+COUNTIF($E141:K141,"u")+COUNTIF($E141:K141,"t")+COUNTIF($E141:K141,"¶")+COUNTIF($E141:K141,"²")+COUNTIF($E141:K141,"µ")+COUNTIF($E141:K141,1),ColDescriptionCourte))&gt;1,
HYPERLINK("#Roadmap!C"&amp; MATCH($E141,Roadmap!$D:$D,0)+COUNTIF($E141:K141,"u")+COUNTIF($E141:K141,"t")+COUNTIF($E141:K141,"¶")+COUNTIF($E141:K141,"²")+COUNTIF($E141:K141,"µ")+COUNTIF($E141:K141,1)-1,INDEX(Roadmap!$D:$K,MATCH($E141,Roadmap!$D:$D,0)-1+COUNTIF($E141:K141,"u")+COUNTIF($E141:K141,"t")+COUNTIF($E141:K141,"¶")+COUNTIF($E141:K141,"²")+COUNTIF($E141:K141,"µ")+COUNTIF($E141:K141,1),ColDescriptionCourte)),""),
  "")),"")</f>
        <v/>
      </c>
      <c r="M141" s="40" t="str">
        <f ca="1">IFERROR(IF(AND(
  INDEX(Roadmap!$D:$K,MATCH($E141,Roadmap!$D:$D,0)+COUNTIF($E141:L141,"u")+COUNTIF($E141:L141,"t")+COUNTIF($E141:L141,"¶")+COUNTIF($E141:L141,"²")+COUNTIF($E141:L141,"µ")+COUNTIF($E141:L141,1),ColLivraison)=M$6,
  VLOOKUP($E141,INDIRECT("tri!"&amp; CHAR(64+ C0Col) &amp;":"&amp; CHAR(65+C0Col)),2,FALSE)&gt;COUNTIF($E141:L141,"u")+COUNTIF($E141:L141,"t")+COUNTIF($E141:L141,"¶")+COUNTIF($E141:L141,"²")+COUNTIF($E141:L141,"µ")+COUNTIF($E141:L141,1)),
HYPERLINK("#Roadmap!C"&amp; MATCH($E141,Roadmap!$D:$D,0)+COUNTIF($E141:L141,"u")+COUNTIF($E141:L141,"t"),
     INDEX(Roadmap!$D:$K,MATCH($E141,Roadmap!$D:$D,0)+COUNTIF($E141:L141,"u")+COUNTIF($E141:L141,"t")+COUNTIF($E141:L141,"¶")+COUNTIF($E141:L141,"²")+COUNTIF($E141:L141,"µ")+COUNTIF($E141:L141,1),ColTypeEcheance)),
  IF(LEN(L141)=1,
  IF(LEN(INDEX(Roadmap!$D:$K,MATCH($E141,Roadmap!$D:$D,0)-1+COUNTIF($E141:L141,"u")+COUNTIF($E141:L141,"t")+COUNTIF($E141:L141,"¶")+COUNTIF($E141:L141,"²")+COUNTIF($E141:L141,"µ")+COUNTIF($E141:L141,1),ColDescriptionCourte))&gt;1,
HYPERLINK("#Roadmap!C"&amp; MATCH($E141,Roadmap!$D:$D,0)+COUNTIF($E141:L141,"u")+COUNTIF($E141:L141,"t")+COUNTIF($E141:L141,"¶")+COUNTIF($E141:L141,"²")+COUNTIF($E141:L141,"µ")+COUNTIF($E141:L141,1)-1,INDEX(Roadmap!$D:$K,MATCH($E141,Roadmap!$D:$D,0)-1+COUNTIF($E141:L141,"u")+COUNTIF($E141:L141,"t")+COUNTIF($E141:L141,"¶")+COUNTIF($E141:L141,"²")+COUNTIF($E141:L141,"µ")+COUNTIF($E141:L141,1),ColDescriptionCourte)),""),
  "")),"")</f>
        <v/>
      </c>
      <c r="N141" s="40" t="str">
        <f ca="1">IFERROR(IF(AND(
  INDEX(Roadmap!$D:$K,MATCH($E141,Roadmap!$D:$D,0)+COUNTIF($E141:M141,"u")+COUNTIF($E141:M141,"t")+COUNTIF($E141:M141,"¶")+COUNTIF($E141:M141,"²")+COUNTIF($E141:M141,"µ")+COUNTIF($E141:M141,1),ColLivraison)=N$6,
  VLOOKUP($E141,INDIRECT("tri!"&amp; CHAR(64+ C0Col) &amp;":"&amp; CHAR(65+C0Col)),2,FALSE)&gt;COUNTIF($E141:M141,"u")+COUNTIF($E141:M141,"t")+COUNTIF($E141:M141,"¶")+COUNTIF($E141:M141,"²")+COUNTIF($E141:M141,"µ")+COUNTIF($E141:M141,1)),
HYPERLINK("#Roadmap!C"&amp; MATCH($E141,Roadmap!$D:$D,0)+COUNTIF($E141:M141,"u")+COUNTIF($E141:M141,"t"),
     INDEX(Roadmap!$D:$K,MATCH($E141,Roadmap!$D:$D,0)+COUNTIF($E141:M141,"u")+COUNTIF($E141:M141,"t")+COUNTIF($E141:M141,"¶")+COUNTIF($E141:M141,"²")+COUNTIF($E141:M141,"µ")+COUNTIF($E141:M141,1),ColTypeEcheance)),
  IF(LEN(M141)=1,
  IF(LEN(INDEX(Roadmap!$D:$K,MATCH($E141,Roadmap!$D:$D,0)-1+COUNTIF($E141:M141,"u")+COUNTIF($E141:M141,"t")+COUNTIF($E141:M141,"¶")+COUNTIF($E141:M141,"²")+COUNTIF($E141:M141,"µ")+COUNTIF($E141:M141,1),ColDescriptionCourte))&gt;1,
HYPERLINK("#Roadmap!C"&amp; MATCH($E141,Roadmap!$D:$D,0)+COUNTIF($E141:M141,"u")+COUNTIF($E141:M141,"t")+COUNTIF($E141:M141,"¶")+COUNTIF($E141:M141,"²")+COUNTIF($E141:M141,"µ")+COUNTIF($E141:M141,1)-1,INDEX(Roadmap!$D:$K,MATCH($E141,Roadmap!$D:$D,0)-1+COUNTIF($E141:M141,"u")+COUNTIF($E141:M141,"t")+COUNTIF($E141:M141,"¶")+COUNTIF($E141:M141,"²")+COUNTIF($E141:M141,"µ")+COUNTIF($E141:M141,1),ColDescriptionCourte)),""),
  "")),"")</f>
        <v/>
      </c>
      <c r="O141" s="40" t="str">
        <f ca="1">IFERROR(IF(AND(
  INDEX(Roadmap!$D:$K,MATCH($E141,Roadmap!$D:$D,0)+COUNTIF($E141:N141,"u")+COUNTIF($E141:N141,"t")+COUNTIF($E141:N141,"¶")+COUNTIF($E141:N141,"²")+COUNTIF($E141:N141,"µ")+COUNTIF($E141:N141,1),ColLivraison)=O$6,
  VLOOKUP($E141,INDIRECT("tri!"&amp; CHAR(64+ C0Col) &amp;":"&amp; CHAR(65+C0Col)),2,FALSE)&gt;COUNTIF($E141:N141,"u")+COUNTIF($E141:N141,"t")+COUNTIF($E141:N141,"¶")+COUNTIF($E141:N141,"²")+COUNTIF($E141:N141,"µ")+COUNTIF($E141:N141,1)),
HYPERLINK("#Roadmap!C"&amp; MATCH($E141,Roadmap!$D:$D,0)+COUNTIF($E141:N141,"u")+COUNTIF($E141:N141,"t"),
     INDEX(Roadmap!$D:$K,MATCH($E141,Roadmap!$D:$D,0)+COUNTIF($E141:N141,"u")+COUNTIF($E141:N141,"t")+COUNTIF($E141:N141,"¶")+COUNTIF($E141:N141,"²")+COUNTIF($E141:N141,"µ")+COUNTIF($E141:N141,1),ColTypeEcheance)),
  IF(LEN(N141)=1,
  IF(LEN(INDEX(Roadmap!$D:$K,MATCH($E141,Roadmap!$D:$D,0)-1+COUNTIF($E141:N141,"u")+COUNTIF($E141:N141,"t")+COUNTIF($E141:N141,"¶")+COUNTIF($E141:N141,"²")+COUNTIF($E141:N141,"µ")+COUNTIF($E141:N141,1),ColDescriptionCourte))&gt;1,
HYPERLINK("#Roadmap!C"&amp; MATCH($E141,Roadmap!$D:$D,0)+COUNTIF($E141:N141,"u")+COUNTIF($E141:N141,"t")+COUNTIF($E141:N141,"¶")+COUNTIF($E141:N141,"²")+COUNTIF($E141:N141,"µ")+COUNTIF($E141:N141,1)-1,INDEX(Roadmap!$D:$K,MATCH($E141,Roadmap!$D:$D,0)-1+COUNTIF($E141:N141,"u")+COUNTIF($E141:N141,"t")+COUNTIF($E141:N141,"¶")+COUNTIF($E141:N141,"²")+COUNTIF($E141:N141,"µ")+COUNTIF($E141:N141,1),ColDescriptionCourte)),""),
  "")),"")</f>
        <v/>
      </c>
      <c r="P141" s="40" t="str">
        <f ca="1">IFERROR(IF(AND(
  INDEX(Roadmap!$D:$K,MATCH($E141,Roadmap!$D:$D,0)+COUNTIF($E141:O141,"u")+COUNTIF($E141:O141,"t")+COUNTIF($E141:O141,"¶")+COUNTIF($E141:O141,"²")+COUNTIF($E141:O141,"µ")+COUNTIF($E141:O141,1),ColLivraison)=P$6,
  VLOOKUP($E141,INDIRECT("tri!"&amp; CHAR(64+ C0Col) &amp;":"&amp; CHAR(65+C0Col)),2,FALSE)&gt;COUNTIF($E141:O141,"u")+COUNTIF($E141:O141,"t")+COUNTIF($E141:O141,"¶")+COUNTIF($E141:O141,"²")+COUNTIF($E141:O141,"µ")+COUNTIF($E141:O141,1)),
HYPERLINK("#Roadmap!C"&amp; MATCH($E141,Roadmap!$D:$D,0)+COUNTIF($E141:O141,"u")+COUNTIF($E141:O141,"t"),
     INDEX(Roadmap!$D:$K,MATCH($E141,Roadmap!$D:$D,0)+COUNTIF($E141:O141,"u")+COUNTIF($E141:O141,"t")+COUNTIF($E141:O141,"¶")+COUNTIF($E141:O141,"²")+COUNTIF($E141:O141,"µ")+COUNTIF($E141:O141,1),ColTypeEcheance)),
  IF(LEN(O141)=1,
  IF(LEN(INDEX(Roadmap!$D:$K,MATCH($E141,Roadmap!$D:$D,0)-1+COUNTIF($E141:O141,"u")+COUNTIF($E141:O141,"t")+COUNTIF($E141:O141,"¶")+COUNTIF($E141:O141,"²")+COUNTIF($E141:O141,"µ")+COUNTIF($E141:O141,1),ColDescriptionCourte))&gt;1,
HYPERLINK("#Roadmap!C"&amp; MATCH($E141,Roadmap!$D:$D,0)+COUNTIF($E141:O141,"u")+COUNTIF($E141:O141,"t")+COUNTIF($E141:O141,"¶")+COUNTIF($E141:O141,"²")+COUNTIF($E141:O141,"µ")+COUNTIF($E141:O141,1)-1,INDEX(Roadmap!$D:$K,MATCH($E141,Roadmap!$D:$D,0)-1+COUNTIF($E141:O141,"u")+COUNTIF($E141:O141,"t")+COUNTIF($E141:O141,"¶")+COUNTIF($E141:O141,"²")+COUNTIF($E141:O141,"µ")+COUNTIF($E141:O141,1),ColDescriptionCourte)),""),
  "")),"")</f>
        <v/>
      </c>
      <c r="Q141" s="40" t="str">
        <f ca="1">IFERROR(IF(AND(
  INDEX(Roadmap!$D:$K,MATCH($E141,Roadmap!$D:$D,0)+COUNTIF($E141:P141,"u")+COUNTIF($E141:P141,"t")+COUNTIF($E141:P141,"¶")+COUNTIF($E141:P141,"²")+COUNTIF($E141:P141,"µ")+COUNTIF($E141:P141,1),ColLivraison)=Q$6,
  VLOOKUP($E141,INDIRECT("tri!"&amp; CHAR(64+ C0Col) &amp;":"&amp; CHAR(65+C0Col)),2,FALSE)&gt;COUNTIF($E141:P141,"u")+COUNTIF($E141:P141,"t")+COUNTIF($E141:P141,"¶")+COUNTIF($E141:P141,"²")+COUNTIF($E141:P141,"µ")+COUNTIF($E141:P141,1)),
HYPERLINK("#Roadmap!C"&amp; MATCH($E141,Roadmap!$D:$D,0)+COUNTIF($E141:P141,"u")+COUNTIF($E141:P141,"t"),
     INDEX(Roadmap!$D:$K,MATCH($E141,Roadmap!$D:$D,0)+COUNTIF($E141:P141,"u")+COUNTIF($E141:P141,"t")+COUNTIF($E141:P141,"¶")+COUNTIF($E141:P141,"²")+COUNTIF($E141:P141,"µ")+COUNTIF($E141:P141,1),ColTypeEcheance)),
  IF(LEN(P141)=1,
  IF(LEN(INDEX(Roadmap!$D:$K,MATCH($E141,Roadmap!$D:$D,0)-1+COUNTIF($E141:P141,"u")+COUNTIF($E141:P141,"t")+COUNTIF($E141:P141,"¶")+COUNTIF($E141:P141,"²")+COUNTIF($E141:P141,"µ")+COUNTIF($E141:P141,1),ColDescriptionCourte))&gt;1,
HYPERLINK("#Roadmap!C"&amp; MATCH($E141,Roadmap!$D:$D,0)+COUNTIF($E141:P141,"u")+COUNTIF($E141:P141,"t")+COUNTIF($E141:P141,"¶")+COUNTIF($E141:P141,"²")+COUNTIF($E141:P141,"µ")+COUNTIF($E141:P141,1)-1,INDEX(Roadmap!$D:$K,MATCH($E141,Roadmap!$D:$D,0)-1+COUNTIF($E141:P141,"u")+COUNTIF($E141:P141,"t")+COUNTIF($E141:P141,"¶")+COUNTIF($E141:P141,"²")+COUNTIF($E141:P141,"µ")+COUNTIF($E141:P141,1),ColDescriptionCourte)),""),
  "")),"")</f>
        <v/>
      </c>
      <c r="R141" s="40" t="str">
        <f ca="1">IFERROR(IF(AND(
  INDEX(Roadmap!$D:$K,MATCH($E141,Roadmap!$D:$D,0)+COUNTIF($E141:Q141,"u")+COUNTIF($E141:Q141,"t")+COUNTIF($E141:Q141,"¶")+COUNTIF($E141:Q141,"²")+COUNTIF($E141:Q141,"µ")+COUNTIF($E141:Q141,1),ColLivraison)=R$6,
  VLOOKUP($E141,INDIRECT("tri!"&amp; CHAR(64+ C0Col) &amp;":"&amp; CHAR(65+C0Col)),2,FALSE)&gt;COUNTIF($E141:Q141,"u")+COUNTIF($E141:Q141,"t")+COUNTIF($E141:Q141,"¶")+COUNTIF($E141:Q141,"²")+COUNTIF($E141:Q141,"µ")+COUNTIF($E141:Q141,1)),
HYPERLINK("#Roadmap!C"&amp; MATCH($E141,Roadmap!$D:$D,0)+COUNTIF($E141:Q141,"u")+COUNTIF($E141:Q141,"t"),
     INDEX(Roadmap!$D:$K,MATCH($E141,Roadmap!$D:$D,0)+COUNTIF($E141:Q141,"u")+COUNTIF($E141:Q141,"t")+COUNTIF($E141:Q141,"¶")+COUNTIF($E141:Q141,"²")+COUNTIF($E141:Q141,"µ")+COUNTIF($E141:Q141,1),ColTypeEcheance)),
  IF(LEN(Q141)=1,
  IF(LEN(INDEX(Roadmap!$D:$K,MATCH($E141,Roadmap!$D:$D,0)-1+COUNTIF($E141:Q141,"u")+COUNTIF($E141:Q141,"t")+COUNTIF($E141:Q141,"¶")+COUNTIF($E141:Q141,"²")+COUNTIF($E141:Q141,"µ")+COUNTIF($E141:Q141,1),ColDescriptionCourte))&gt;1,
HYPERLINK("#Roadmap!C"&amp; MATCH($E141,Roadmap!$D:$D,0)+COUNTIF($E141:Q141,"u")+COUNTIF($E141:Q141,"t")+COUNTIF($E141:Q141,"¶")+COUNTIF($E141:Q141,"²")+COUNTIF($E141:Q141,"µ")+COUNTIF($E141:Q141,1)-1,INDEX(Roadmap!$D:$K,MATCH($E141,Roadmap!$D:$D,0)-1+COUNTIF($E141:Q141,"u")+COUNTIF($E141:Q141,"t")+COUNTIF($E141:Q141,"¶")+COUNTIF($E141:Q141,"²")+COUNTIF($E141:Q141,"µ")+COUNTIF($E141:Q141,1),ColDescriptionCourte)),""),
  "")),"")</f>
        <v/>
      </c>
      <c r="S141" s="40" t="str">
        <f ca="1">IFERROR(IF(AND(
  INDEX(Roadmap!$D:$K,MATCH($E141,Roadmap!$D:$D,0)+COUNTIF($E141:R141,"u")+COUNTIF($E141:R141,"t")+COUNTIF($E141:R141,"¶")+COUNTIF($E141:R141,"²")+COUNTIF($E141:R141,"µ")+COUNTIF($E141:R141,1),ColLivraison)=S$6,
  VLOOKUP($E141,INDIRECT("tri!"&amp; CHAR(64+ C0Col) &amp;":"&amp; CHAR(65+C0Col)),2,FALSE)&gt;COUNTIF($E141:R141,"u")+COUNTIF($E141:R141,"t")+COUNTIF($E141:R141,"¶")+COUNTIF($E141:R141,"²")+COUNTIF($E141:R141,"µ")+COUNTIF($E141:R141,1)),
HYPERLINK("#Roadmap!C"&amp; MATCH($E141,Roadmap!$D:$D,0)+COUNTIF($E141:R141,"u")+COUNTIF($E141:R141,"t"),
     INDEX(Roadmap!$D:$K,MATCH($E141,Roadmap!$D:$D,0)+COUNTIF($E141:R141,"u")+COUNTIF($E141:R141,"t")+COUNTIF($E141:R141,"¶")+COUNTIF($E141:R141,"²")+COUNTIF($E141:R141,"µ")+COUNTIF($E141:R141,1),ColTypeEcheance)),
  IF(LEN(R141)=1,
  IF(LEN(INDEX(Roadmap!$D:$K,MATCH($E141,Roadmap!$D:$D,0)-1+COUNTIF($E141:R141,"u")+COUNTIF($E141:R141,"t")+COUNTIF($E141:R141,"¶")+COUNTIF($E141:R141,"²")+COUNTIF($E141:R141,"µ")+COUNTIF($E141:R141,1),ColDescriptionCourte))&gt;1,
HYPERLINK("#Roadmap!C"&amp; MATCH($E141,Roadmap!$D:$D,0)+COUNTIF($E141:R141,"u")+COUNTIF($E141:R141,"t")+COUNTIF($E141:R141,"¶")+COUNTIF($E141:R141,"²")+COUNTIF($E141:R141,"µ")+COUNTIF($E141:R141,1)-1,INDEX(Roadmap!$D:$K,MATCH($E141,Roadmap!$D:$D,0)-1+COUNTIF($E141:R141,"u")+COUNTIF($E141:R141,"t")+COUNTIF($E141:R141,"¶")+COUNTIF($E141:R141,"²")+COUNTIF($E141:R141,"µ")+COUNTIF($E141:R141,1),ColDescriptionCourte)),""),
  "")),"")</f>
        <v/>
      </c>
      <c r="T141" s="40" t="str">
        <f ca="1">IFERROR(IF(AND(
  INDEX(Roadmap!$D:$K,MATCH($E141,Roadmap!$D:$D,0)+COUNTIF($E141:S141,"u")+COUNTIF($E141:S141,"t")+COUNTIF($E141:S141,"¶")+COUNTIF($E141:S141,"²")+COUNTIF($E141:S141,"µ")+COUNTIF($E141:S141,1),ColLivraison)=T$6,
  VLOOKUP($E141,INDIRECT("tri!"&amp; CHAR(64+ C0Col) &amp;":"&amp; CHAR(65+C0Col)),2,FALSE)&gt;COUNTIF($E141:S141,"u")+COUNTIF($E141:S141,"t")+COUNTIF($E141:S141,"¶")+COUNTIF($E141:S141,"²")+COUNTIF($E141:S141,"µ")+COUNTIF($E141:S141,1)),
HYPERLINK("#Roadmap!C"&amp; MATCH($E141,Roadmap!$D:$D,0)+COUNTIF($E141:S141,"u")+COUNTIF($E141:S141,"t"),
     INDEX(Roadmap!$D:$K,MATCH($E141,Roadmap!$D:$D,0)+COUNTIF($E141:S141,"u")+COUNTIF($E141:S141,"t")+COUNTIF($E141:S141,"¶")+COUNTIF($E141:S141,"²")+COUNTIF($E141:S141,"µ")+COUNTIF($E141:S141,1),ColTypeEcheance)),
  IF(LEN(S141)=1,
  IF(LEN(INDEX(Roadmap!$D:$K,MATCH($E141,Roadmap!$D:$D,0)-1+COUNTIF($E141:S141,"u")+COUNTIF($E141:S141,"t")+COUNTIF($E141:S141,"¶")+COUNTIF($E141:S141,"²")+COUNTIF($E141:S141,"µ")+COUNTIF($E141:S141,1),ColDescriptionCourte))&gt;1,
HYPERLINK("#Roadmap!C"&amp; MATCH($E141,Roadmap!$D:$D,0)+COUNTIF($E141:S141,"u")+COUNTIF($E141:S141,"t")+COUNTIF($E141:S141,"¶")+COUNTIF($E141:S141,"²")+COUNTIF($E141:S141,"µ")+COUNTIF($E141:S141,1)-1,INDEX(Roadmap!$D:$K,MATCH($E141,Roadmap!$D:$D,0)-1+COUNTIF($E141:S141,"u")+COUNTIF($E141:S141,"t")+COUNTIF($E141:S141,"¶")+COUNTIF($E141:S141,"²")+COUNTIF($E141:S141,"µ")+COUNTIF($E141:S141,1),ColDescriptionCourte)),""),
  "")),"")</f>
        <v/>
      </c>
      <c r="U141" s="40" t="str">
        <f ca="1">IFERROR(IF(AND(
  INDEX(Roadmap!$D:$K,MATCH($E141,Roadmap!$D:$D,0)+COUNTIF($E141:T141,"u")+COUNTIF($E141:T141,"t")+COUNTIF($E141:T141,"¶")+COUNTIF($E141:T141,"²")+COUNTIF($E141:T141,"µ")+COUNTIF($E141:T141,1),ColLivraison)=U$6,
  VLOOKUP($E141,INDIRECT("tri!"&amp; CHAR(64+ C0Col) &amp;":"&amp; CHAR(65+C0Col)),2,FALSE)&gt;COUNTIF($E141:T141,"u")+COUNTIF($E141:T141,"t")+COUNTIF($E141:T141,"¶")+COUNTIF($E141:T141,"²")+COUNTIF($E141:T141,"µ")+COUNTIF($E141:T141,1)),
HYPERLINK("#Roadmap!C"&amp; MATCH($E141,Roadmap!$D:$D,0)+COUNTIF($E141:T141,"u")+COUNTIF($E141:T141,"t"),
     INDEX(Roadmap!$D:$K,MATCH($E141,Roadmap!$D:$D,0)+COUNTIF($E141:T141,"u")+COUNTIF($E141:T141,"t")+COUNTIF($E141:T141,"¶")+COUNTIF($E141:T141,"²")+COUNTIF($E141:T141,"µ")+COUNTIF($E141:T141,1),ColTypeEcheance)),
  IF(LEN(T141)=1,
  IF(LEN(INDEX(Roadmap!$D:$K,MATCH($E141,Roadmap!$D:$D,0)-1+COUNTIF($E141:T141,"u")+COUNTIF($E141:T141,"t")+COUNTIF($E141:T141,"¶")+COUNTIF($E141:T141,"²")+COUNTIF($E141:T141,"µ")+COUNTIF($E141:T141,1),ColDescriptionCourte))&gt;1,
HYPERLINK("#Roadmap!C"&amp; MATCH($E141,Roadmap!$D:$D,0)+COUNTIF($E141:T141,"u")+COUNTIF($E141:T141,"t")+COUNTIF($E141:T141,"¶")+COUNTIF($E141:T141,"²")+COUNTIF($E141:T141,"µ")+COUNTIF($E141:T141,1)-1,INDEX(Roadmap!$D:$K,MATCH($E141,Roadmap!$D:$D,0)-1+COUNTIF($E141:T141,"u")+COUNTIF($E141:T141,"t")+COUNTIF($E141:T141,"¶")+COUNTIF($E141:T141,"²")+COUNTIF($E141:T141,"µ")+COUNTIF($E141:T141,1),ColDescriptionCourte)),""),
  "")),"")</f>
        <v/>
      </c>
      <c r="V141" s="40" t="str">
        <f ca="1">IFERROR(IF(AND(
  INDEX(Roadmap!$D:$K,MATCH($E141,Roadmap!$D:$D,0)+COUNTIF($E141:U141,"u")+COUNTIF($E141:U141,"t")+COUNTIF($E141:U141,"¶")+COUNTIF($E141:U141,"²")+COUNTIF($E141:U141,"µ")+COUNTIF($E141:U141,1),ColLivraison)=V$6,
  VLOOKUP($E141,INDIRECT("tri!"&amp; CHAR(64+ C0Col) &amp;":"&amp; CHAR(65+C0Col)),2,FALSE)&gt;COUNTIF($E141:U141,"u")+COUNTIF($E141:U141,"t")+COUNTIF($E141:U141,"¶")+COUNTIF($E141:U141,"²")+COUNTIF($E141:U141,"µ")+COUNTIF($E141:U141,1)),
HYPERLINK("#Roadmap!C"&amp; MATCH($E141,Roadmap!$D:$D,0)+COUNTIF($E141:U141,"u")+COUNTIF($E141:U141,"t"),
     INDEX(Roadmap!$D:$K,MATCH($E141,Roadmap!$D:$D,0)+COUNTIF($E141:U141,"u")+COUNTIF($E141:U141,"t")+COUNTIF($E141:U141,"¶")+COUNTIF($E141:U141,"²")+COUNTIF($E141:U141,"µ")+COUNTIF($E141:U141,1),ColTypeEcheance)),
  IF(LEN(U141)=1,
  IF(LEN(INDEX(Roadmap!$D:$K,MATCH($E141,Roadmap!$D:$D,0)-1+COUNTIF($E141:U141,"u")+COUNTIF($E141:U141,"t")+COUNTIF($E141:U141,"¶")+COUNTIF($E141:U141,"²")+COUNTIF($E141:U141,"µ")+COUNTIF($E141:U141,1),ColDescriptionCourte))&gt;1,
HYPERLINK("#Roadmap!C"&amp; MATCH($E141,Roadmap!$D:$D,0)+COUNTIF($E141:U141,"u")+COUNTIF($E141:U141,"t")+COUNTIF($E141:U141,"¶")+COUNTIF($E141:U141,"²")+COUNTIF($E141:U141,"µ")+COUNTIF($E141:U141,1)-1,INDEX(Roadmap!$D:$K,MATCH($E141,Roadmap!$D:$D,0)-1+COUNTIF($E141:U141,"u")+COUNTIF($E141:U141,"t")+COUNTIF($E141:U141,"¶")+COUNTIF($E141:U141,"²")+COUNTIF($E141:U141,"µ")+COUNTIF($E141:U141,1),ColDescriptionCourte)),""),
  "")),"")</f>
        <v/>
      </c>
      <c r="W141" s="40" t="str">
        <f ca="1">IFERROR(IF(AND(
  INDEX(Roadmap!$D:$K,MATCH($E141,Roadmap!$D:$D,0)+COUNTIF($E141:V141,"u")+COUNTIF($E141:V141,"t")+COUNTIF($E141:V141,"¶")+COUNTIF($E141:V141,"²")+COUNTIF($E141:V141,"µ")+COUNTIF($E141:V141,1),ColLivraison)=W$6,
  VLOOKUP($E141,INDIRECT("tri!"&amp; CHAR(64+ C0Col) &amp;":"&amp; CHAR(65+C0Col)),2,FALSE)&gt;COUNTIF($E141:V141,"u")+COUNTIF($E141:V141,"t")+COUNTIF($E141:V141,"¶")+COUNTIF($E141:V141,"²")+COUNTIF($E141:V141,"µ")+COUNTIF($E141:V141,1)),
HYPERLINK("#Roadmap!C"&amp; MATCH($E141,Roadmap!$D:$D,0)+COUNTIF($E141:V141,"u")+COUNTIF($E141:V141,"t"),
     INDEX(Roadmap!$D:$K,MATCH($E141,Roadmap!$D:$D,0)+COUNTIF($E141:V141,"u")+COUNTIF($E141:V141,"t")+COUNTIF($E141:V141,"¶")+COUNTIF($E141:V141,"²")+COUNTIF($E141:V141,"µ")+COUNTIF($E141:V141,1),ColTypeEcheance)),
  IF(LEN(V141)=1,
  IF(LEN(INDEX(Roadmap!$D:$K,MATCH($E141,Roadmap!$D:$D,0)-1+COUNTIF($E141:V141,"u")+COUNTIF($E141:V141,"t")+COUNTIF($E141:V141,"¶")+COUNTIF($E141:V141,"²")+COUNTIF($E141:V141,"µ")+COUNTIF($E141:V141,1),ColDescriptionCourte))&gt;1,
HYPERLINK("#Roadmap!C"&amp; MATCH($E141,Roadmap!$D:$D,0)+COUNTIF($E141:V141,"u")+COUNTIF($E141:V141,"t")+COUNTIF($E141:V141,"¶")+COUNTIF($E141:V141,"²")+COUNTIF($E141:V141,"µ")+COUNTIF($E141:V141,1)-1,INDEX(Roadmap!$D:$K,MATCH($E141,Roadmap!$D:$D,0)-1+COUNTIF($E141:V141,"u")+COUNTIF($E141:V141,"t")+COUNTIF($E141:V141,"¶")+COUNTIF($E141:V141,"²")+COUNTIF($E141:V141,"µ")+COUNTIF($E141:V141,1),ColDescriptionCourte)),""),
  "")),"")</f>
        <v/>
      </c>
      <c r="X141" s="40" t="str">
        <f ca="1">IFERROR(IF(AND(
  INDEX(Roadmap!$D:$K,MATCH($E141,Roadmap!$D:$D,0)+COUNTIF($E141:W141,"u")+COUNTIF($E141:W141,"t")+COUNTIF($E141:W141,"¶")+COUNTIF($E141:W141,"²")+COUNTIF($E141:W141,"µ")+COUNTIF($E141:W141,1),ColLivraison)=X$6,
  VLOOKUP($E141,INDIRECT("tri!"&amp; CHAR(64+ C0Col) &amp;":"&amp; CHAR(65+C0Col)),2,FALSE)&gt;COUNTIF($E141:W141,"u")+COUNTIF($E141:W141,"t")+COUNTIF($E141:W141,"¶")+COUNTIF($E141:W141,"²")+COUNTIF($E141:W141,"µ")+COUNTIF($E141:W141,1)),
HYPERLINK("#Roadmap!C"&amp; MATCH($E141,Roadmap!$D:$D,0)+COUNTIF($E141:W141,"u")+COUNTIF($E141:W141,"t"),
     INDEX(Roadmap!$D:$K,MATCH($E141,Roadmap!$D:$D,0)+COUNTIF($E141:W141,"u")+COUNTIF($E141:W141,"t")+COUNTIF($E141:W141,"¶")+COUNTIF($E141:W141,"²")+COUNTIF($E141:W141,"µ")+COUNTIF($E141:W141,1),ColTypeEcheance)),
  IF(LEN(W141)=1,
  IF(LEN(INDEX(Roadmap!$D:$K,MATCH($E141,Roadmap!$D:$D,0)-1+COUNTIF($E141:W141,"u")+COUNTIF($E141:W141,"t")+COUNTIF($E141:W141,"¶")+COUNTIF($E141:W141,"²")+COUNTIF($E141:W141,"µ")+COUNTIF($E141:W141,1),ColDescriptionCourte))&gt;1,
HYPERLINK("#Roadmap!C"&amp; MATCH($E141,Roadmap!$D:$D,0)+COUNTIF($E141:W141,"u")+COUNTIF($E141:W141,"t")+COUNTIF($E141:W141,"¶")+COUNTIF($E141:W141,"²")+COUNTIF($E141:W141,"µ")+COUNTIF($E141:W141,1)-1,INDEX(Roadmap!$D:$K,MATCH($E141,Roadmap!$D:$D,0)-1+COUNTIF($E141:W141,"u")+COUNTIF($E141:W141,"t")+COUNTIF($E141:W141,"¶")+COUNTIF($E141:W141,"²")+COUNTIF($E141:W141,"µ")+COUNTIF($E141:W141,1),ColDescriptionCourte)),""),
  "")),"")</f>
        <v/>
      </c>
      <c r="Y141" s="40" t="str">
        <f ca="1">IFERROR(IF(AND(
  INDEX(Roadmap!$D:$K,MATCH($E141,Roadmap!$D:$D,0)+COUNTIF($E141:X141,"u")+COUNTIF($E141:X141,"t")+COUNTIF($E141:X141,"¶")+COUNTIF($E141:X141,"²")+COUNTIF($E141:X141,"µ")+COUNTIF($E141:X141,1),ColLivraison)=Y$6,
  VLOOKUP($E141,INDIRECT("tri!"&amp; CHAR(64+ C0Col) &amp;":"&amp; CHAR(65+C0Col)),2,FALSE)&gt;COUNTIF($E141:X141,"u")+COUNTIF($E141:X141,"t")+COUNTIF($E141:X141,"¶")+COUNTIF($E141:X141,"²")+COUNTIF($E141:X141,"µ")+COUNTIF($E141:X141,1)),
HYPERLINK("#Roadmap!C"&amp; MATCH($E141,Roadmap!$D:$D,0)+COUNTIF($E141:X141,"u")+COUNTIF($E141:X141,"t"),
     INDEX(Roadmap!$D:$K,MATCH($E141,Roadmap!$D:$D,0)+COUNTIF($E141:X141,"u")+COUNTIF($E141:X141,"t")+COUNTIF($E141:X141,"¶")+COUNTIF($E141:X141,"²")+COUNTIF($E141:X141,"µ")+COUNTIF($E141:X141,1),ColTypeEcheance)),
  IF(LEN(X141)=1,
  IF(LEN(INDEX(Roadmap!$D:$K,MATCH($E141,Roadmap!$D:$D,0)-1+COUNTIF($E141:X141,"u")+COUNTIF($E141:X141,"t")+COUNTIF($E141:X141,"¶")+COUNTIF($E141:X141,"²")+COUNTIF($E141:X141,"µ")+COUNTIF($E141:X141,1),ColDescriptionCourte))&gt;1,
HYPERLINK("#Roadmap!C"&amp; MATCH($E141,Roadmap!$D:$D,0)+COUNTIF($E141:X141,"u")+COUNTIF($E141:X141,"t")+COUNTIF($E141:X141,"¶")+COUNTIF($E141:X141,"²")+COUNTIF($E141:X141,"µ")+COUNTIF($E141:X141,1)-1,INDEX(Roadmap!$D:$K,MATCH($E141,Roadmap!$D:$D,0)-1+COUNTIF($E141:X141,"u")+COUNTIF($E141:X141,"t")+COUNTIF($E141:X141,"¶")+COUNTIF($E141:X141,"²")+COUNTIF($E141:X141,"µ")+COUNTIF($E141:X141,1),ColDescriptionCourte)),""),
  "")),"")</f>
        <v/>
      </c>
      <c r="Z141" s="40" t="str">
        <f ca="1">IFERROR(IF(AND(
  INDEX(Roadmap!$D:$K,MATCH($E141,Roadmap!$D:$D,0)+COUNTIF($E141:Y141,"u")+COUNTIF($E141:Y141,"t")+COUNTIF($E141:Y141,"¶")+COUNTIF($E141:Y141,"²")+COUNTIF($E141:Y141,"µ")+COUNTIF($E141:Y141,1),ColLivraison)=Z$6,
  VLOOKUP($E141,INDIRECT("tri!"&amp; CHAR(64+ C0Col) &amp;":"&amp; CHAR(65+C0Col)),2,FALSE)&gt;COUNTIF($E141:Y141,"u")+COUNTIF($E141:Y141,"t")+COUNTIF($E141:Y141,"¶")+COUNTIF($E141:Y141,"²")+COUNTIF($E141:Y141,"µ")+COUNTIF($E141:Y141,1)),
HYPERLINK("#Roadmap!C"&amp; MATCH($E141,Roadmap!$D:$D,0)+COUNTIF($E141:Y141,"u")+COUNTIF($E141:Y141,"t"),
     INDEX(Roadmap!$D:$K,MATCH($E141,Roadmap!$D:$D,0)+COUNTIF($E141:Y141,"u")+COUNTIF($E141:Y141,"t")+COUNTIF($E141:Y141,"¶")+COUNTIF($E141:Y141,"²")+COUNTIF($E141:Y141,"µ")+COUNTIF($E141:Y141,1),ColTypeEcheance)),
  IF(LEN(Y141)=1,
  IF(LEN(INDEX(Roadmap!$D:$K,MATCH($E141,Roadmap!$D:$D,0)-1+COUNTIF($E141:Y141,"u")+COUNTIF($E141:Y141,"t")+COUNTIF($E141:Y141,"¶")+COUNTIF($E141:Y141,"²")+COUNTIF($E141:Y141,"µ")+COUNTIF($E141:Y141,1),ColDescriptionCourte))&gt;1,
HYPERLINK("#Roadmap!C"&amp; MATCH($E141,Roadmap!$D:$D,0)+COUNTIF($E141:Y141,"u")+COUNTIF($E141:Y141,"t")+COUNTIF($E141:Y141,"¶")+COUNTIF($E141:Y141,"²")+COUNTIF($E141:Y141,"µ")+COUNTIF($E141:Y141,1)-1,INDEX(Roadmap!$D:$K,MATCH($E141,Roadmap!$D:$D,0)-1+COUNTIF($E141:Y141,"u")+COUNTIF($E141:Y141,"t")+COUNTIF($E141:Y141,"¶")+COUNTIF($E141:Y141,"²")+COUNTIF($E141:Y141,"µ")+COUNTIF($E141:Y141,1),ColDescriptionCourte)),""),
  "")),"")</f>
        <v/>
      </c>
      <c r="AA141" s="40" t="str">
        <f ca="1">IFERROR(IF(AND(
  INDEX(Roadmap!$D:$K,MATCH($E141,Roadmap!$D:$D,0)+COUNTIF($E141:Z141,"u")+COUNTIF($E141:Z141,"t")+COUNTIF($E141:Z141,"¶")+COUNTIF($E141:Z141,"²")+COUNTIF($E141:Z141,"µ")+COUNTIF($E141:Z141,1),ColLivraison)=AA$6,
  VLOOKUP($E141,INDIRECT("tri!"&amp; CHAR(64+ C0Col) &amp;":"&amp; CHAR(65+C0Col)),2,FALSE)&gt;COUNTIF($E141:Z141,"u")+COUNTIF($E141:Z141,"t")+COUNTIF($E141:Z141,"¶")+COUNTIF($E141:Z141,"²")+COUNTIF($E141:Z141,"µ")+COUNTIF($E141:Z141,1)),
HYPERLINK("#Roadmap!C"&amp; MATCH($E141,Roadmap!$D:$D,0)+COUNTIF($E141:Z141,"u")+COUNTIF($E141:Z141,"t"),
     INDEX(Roadmap!$D:$K,MATCH($E141,Roadmap!$D:$D,0)+COUNTIF($E141:Z141,"u")+COUNTIF($E141:Z141,"t")+COUNTIF($E141:Z141,"¶")+COUNTIF($E141:Z141,"²")+COUNTIF($E141:Z141,"µ")+COUNTIF($E141:Z141,1),ColTypeEcheance)),
  IF(LEN(Z141)=1,
  IF(LEN(INDEX(Roadmap!$D:$K,MATCH($E141,Roadmap!$D:$D,0)-1+COUNTIF($E141:Z141,"u")+COUNTIF($E141:Z141,"t")+COUNTIF($E141:Z141,"¶")+COUNTIF($E141:Z141,"²")+COUNTIF($E141:Z141,"µ")+COUNTIF($E141:Z141,1),ColDescriptionCourte))&gt;1,
HYPERLINK("#Roadmap!C"&amp; MATCH($E141,Roadmap!$D:$D,0)+COUNTIF($E141:Z141,"u")+COUNTIF($E141:Z141,"t")+COUNTIF($E141:Z141,"¶")+COUNTIF($E141:Z141,"²")+COUNTIF($E141:Z141,"µ")+COUNTIF($E141:Z141,1)-1,INDEX(Roadmap!$D:$K,MATCH($E141,Roadmap!$D:$D,0)-1+COUNTIF($E141:Z141,"u")+COUNTIF($E141:Z141,"t")+COUNTIF($E141:Z141,"¶")+COUNTIF($E141:Z141,"²")+COUNTIF($E141:Z141,"µ")+COUNTIF($E141:Z141,1),ColDescriptionCourte)),""),
  "")),"")</f>
        <v/>
      </c>
      <c r="AB141" s="40" t="str">
        <f ca="1">IFERROR(IF(AND(
  INDEX(Roadmap!$D:$K,MATCH($E141,Roadmap!$D:$D,0)+COUNTIF($E141:AA141,"u")+COUNTIF($E141:AA141,"t")+COUNTIF($E141:AA141,"¶")+COUNTIF($E141:AA141,"²")+COUNTIF($E141:AA141,"µ")+COUNTIF($E141:AA141,1),ColLivraison)=AB$6,
  VLOOKUP($E141,INDIRECT("tri!"&amp; CHAR(64+ C0Col) &amp;":"&amp; CHAR(65+C0Col)),2,FALSE)&gt;COUNTIF($E141:AA141,"u")+COUNTIF($E141:AA141,"t")+COUNTIF($E141:AA141,"¶")+COUNTIF($E141:AA141,"²")+COUNTIF($E141:AA141,"µ")+COUNTIF($E141:AA141,1)),
HYPERLINK("#Roadmap!C"&amp; MATCH($E141,Roadmap!$D:$D,0)+COUNTIF($E141:AA141,"u")+COUNTIF($E141:AA141,"t"),
     INDEX(Roadmap!$D:$K,MATCH($E141,Roadmap!$D:$D,0)+COUNTIF($E141:AA141,"u")+COUNTIF($E141:AA141,"t")+COUNTIF($E141:AA141,"¶")+COUNTIF($E141:AA141,"²")+COUNTIF($E141:AA141,"µ")+COUNTIF($E141:AA141,1),ColTypeEcheance)),
  IF(LEN(AA141)=1,
  IF(LEN(INDEX(Roadmap!$D:$K,MATCH($E141,Roadmap!$D:$D,0)-1+COUNTIF($E141:AA141,"u")+COUNTIF($E141:AA141,"t")+COUNTIF($E141:AA141,"¶")+COUNTIF($E141:AA141,"²")+COUNTIF($E141:AA141,"µ")+COUNTIF($E141:AA141,1),ColDescriptionCourte))&gt;1,
HYPERLINK("#Roadmap!C"&amp; MATCH($E141,Roadmap!$D:$D,0)+COUNTIF($E141:AA141,"u")+COUNTIF($E141:AA141,"t")+COUNTIF($E141:AA141,"¶")+COUNTIF($E141:AA141,"²")+COUNTIF($E141:AA141,"µ")+COUNTIF($E141:AA141,1)-1,INDEX(Roadmap!$D:$K,MATCH($E141,Roadmap!$D:$D,0)-1+COUNTIF($E141:AA141,"u")+COUNTIF($E141:AA141,"t")+COUNTIF($E141:AA141,"¶")+COUNTIF($E141:AA141,"²")+COUNTIF($E141:AA141,"µ")+COUNTIF($E141:AA141,1),ColDescriptionCourte)),""),
  "")),"")</f>
        <v/>
      </c>
      <c r="AC141" s="40" t="str">
        <f ca="1">IFERROR(IF(AND(
  INDEX(Roadmap!$D:$K,MATCH($E141,Roadmap!$D:$D,0)+COUNTIF($E141:AB141,"u")+COUNTIF($E141:AB141,"t")+COUNTIF($E141:AB141,"¶")+COUNTIF($E141:AB141,"²")+COUNTIF($E141:AB141,"µ")+COUNTIF($E141:AB141,1),ColLivraison)=AC$6,
  VLOOKUP($E141,INDIRECT("tri!"&amp; CHAR(64+ C0Col) &amp;":"&amp; CHAR(65+C0Col)),2,FALSE)&gt;COUNTIF($E141:AB141,"u")+COUNTIF($E141:AB141,"t")+COUNTIF($E141:AB141,"¶")+COUNTIF($E141:AB141,"²")+COUNTIF($E141:AB141,"µ")+COUNTIF($E141:AB141,1)),
HYPERLINK("#Roadmap!C"&amp; MATCH($E141,Roadmap!$D:$D,0)+COUNTIF($E141:AB141,"u")+COUNTIF($E141:AB141,"t"),
     INDEX(Roadmap!$D:$K,MATCH($E141,Roadmap!$D:$D,0)+COUNTIF($E141:AB141,"u")+COUNTIF($E141:AB141,"t")+COUNTIF($E141:AB141,"¶")+COUNTIF($E141:AB141,"²")+COUNTIF($E141:AB141,"µ")+COUNTIF($E141:AB141,1),ColTypeEcheance)),
  IF(LEN(AB141)=1,
  IF(LEN(INDEX(Roadmap!$D:$K,MATCH($E141,Roadmap!$D:$D,0)-1+COUNTIF($E141:AB141,"u")+COUNTIF($E141:AB141,"t")+COUNTIF($E141:AB141,"¶")+COUNTIF($E141:AB141,"²")+COUNTIF($E141:AB141,"µ")+COUNTIF($E141:AB141,1),ColDescriptionCourte))&gt;1,
HYPERLINK("#Roadmap!C"&amp; MATCH($E141,Roadmap!$D:$D,0)+COUNTIF($E141:AB141,"u")+COUNTIF($E141:AB141,"t")+COUNTIF($E141:AB141,"¶")+COUNTIF($E141:AB141,"²")+COUNTIF($E141:AB141,"µ")+COUNTIF($E141:AB141,1)-1,INDEX(Roadmap!$D:$K,MATCH($E141,Roadmap!$D:$D,0)-1+COUNTIF($E141:AB141,"u")+COUNTIF($E141:AB141,"t")+COUNTIF($E141:AB141,"¶")+COUNTIF($E141:AB141,"²")+COUNTIF($E141:AB141,"µ")+COUNTIF($E141:AB141,1),ColDescriptionCourte)),""),
  "")),"")</f>
        <v/>
      </c>
      <c r="AD141" s="40" t="str">
        <f ca="1">IFERROR(IF(AND(
  INDEX(Roadmap!$D:$K,MATCH($E141,Roadmap!$D:$D,0)+COUNTIF($E141:AC141,"u")+COUNTIF($E141:AC141,"t")+COUNTIF($E141:AC141,"¶")+COUNTIF($E141:AC141,"²")+COUNTIF($E141:AC141,"µ")+COUNTIF($E141:AC141,1),ColLivraison)=AD$6,
  VLOOKUP($E141,INDIRECT("tri!"&amp; CHAR(64+ C0Col) &amp;":"&amp; CHAR(65+C0Col)),2,FALSE)&gt;COUNTIF($E141:AC141,"u")+COUNTIF($E141:AC141,"t")+COUNTIF($E141:AC141,"¶")+COUNTIF($E141:AC141,"²")+COUNTIF($E141:AC141,"µ")+COUNTIF($E141:AC141,1)),
HYPERLINK("#Roadmap!C"&amp; MATCH($E141,Roadmap!$D:$D,0)+COUNTIF($E141:AC141,"u")+COUNTIF($E141:AC141,"t"),
     INDEX(Roadmap!$D:$K,MATCH($E141,Roadmap!$D:$D,0)+COUNTIF($E141:AC141,"u")+COUNTIF($E141:AC141,"t")+COUNTIF($E141:AC141,"¶")+COUNTIF($E141:AC141,"²")+COUNTIF($E141:AC141,"µ")+COUNTIF($E141:AC141,1),ColTypeEcheance)),
  IF(LEN(AC141)=1,
  IF(LEN(INDEX(Roadmap!$D:$K,MATCH($E141,Roadmap!$D:$D,0)-1+COUNTIF($E141:AC141,"u")+COUNTIF($E141:AC141,"t")+COUNTIF($E141:AC141,"¶")+COUNTIF($E141:AC141,"²")+COUNTIF($E141:AC141,"µ")+COUNTIF($E141:AC141,1),ColDescriptionCourte))&gt;1,
HYPERLINK("#Roadmap!C"&amp; MATCH($E141,Roadmap!$D:$D,0)+COUNTIF($E141:AC141,"u")+COUNTIF($E141:AC141,"t")+COUNTIF($E141:AC141,"¶")+COUNTIF($E141:AC141,"²")+COUNTIF($E141:AC141,"µ")+COUNTIF($E141:AC141,1)-1,INDEX(Roadmap!$D:$K,MATCH($E141,Roadmap!$D:$D,0)-1+COUNTIF($E141:AC141,"u")+COUNTIF($E141:AC141,"t")+COUNTIF($E141:AC141,"¶")+COUNTIF($E141:AC141,"²")+COUNTIF($E141:AC141,"µ")+COUNTIF($E141:AC141,1),ColDescriptionCourte)),""),
  "")),"")</f>
        <v/>
      </c>
      <c r="AE141" s="40" t="str">
        <f ca="1">IFERROR(IF(AND(
  INDEX(Roadmap!$D:$K,MATCH($E141,Roadmap!$D:$D,0)+COUNTIF($E141:AD141,"u")+COUNTIF($E141:AD141,"t")+COUNTIF($E141:AD141,"¶")+COUNTIF($E141:AD141,"²")+COUNTIF($E141:AD141,"µ")+COUNTIF($E141:AD141,1),ColLivraison)=AE$6,
  VLOOKUP($E141,INDIRECT("tri!"&amp; CHAR(64+ C0Col) &amp;":"&amp; CHAR(65+C0Col)),2,FALSE)&gt;COUNTIF($E141:AD141,"u")+COUNTIF($E141:AD141,"t")+COUNTIF($E141:AD141,"¶")+COUNTIF($E141:AD141,"²")+COUNTIF($E141:AD141,"µ")+COUNTIF($E141:AD141,1)),
HYPERLINK("#Roadmap!C"&amp; MATCH($E141,Roadmap!$D:$D,0)+COUNTIF($E141:AD141,"u")+COUNTIF($E141:AD141,"t"),
     INDEX(Roadmap!$D:$K,MATCH($E141,Roadmap!$D:$D,0)+COUNTIF($E141:AD141,"u")+COUNTIF($E141:AD141,"t")+COUNTIF($E141:AD141,"¶")+COUNTIF($E141:AD141,"²")+COUNTIF($E141:AD141,"µ")+COUNTIF($E141:AD141,1),ColTypeEcheance)),
  IF(LEN(AD141)=1,
  IF(LEN(INDEX(Roadmap!$D:$K,MATCH($E141,Roadmap!$D:$D,0)-1+COUNTIF($E141:AD141,"u")+COUNTIF($E141:AD141,"t")+COUNTIF($E141:AD141,"¶")+COUNTIF($E141:AD141,"²")+COUNTIF($E141:AD141,"µ")+COUNTIF($E141:AD141,1),ColDescriptionCourte))&gt;1,
HYPERLINK("#Roadmap!C"&amp; MATCH($E141,Roadmap!$D:$D,0)+COUNTIF($E141:AD141,"u")+COUNTIF($E141:AD141,"t")+COUNTIF($E141:AD141,"¶")+COUNTIF($E141:AD141,"²")+COUNTIF($E141:AD141,"µ")+COUNTIF($E141:AD141,1)-1,INDEX(Roadmap!$D:$K,MATCH($E141,Roadmap!$D:$D,0)-1+COUNTIF($E141:AD141,"u")+COUNTIF($E141:AD141,"t")+COUNTIF($E141:AD141,"¶")+COUNTIF($E141:AD141,"²")+COUNTIF($E141:AD141,"µ")+COUNTIF($E141:AD141,1),ColDescriptionCourte)),""),
  "")),"")</f>
        <v/>
      </c>
      <c r="AF141" s="40" t="str">
        <f ca="1">IFERROR(IF(AND(
  INDEX(Roadmap!$D:$K,MATCH($E141,Roadmap!$D:$D,0)+COUNTIF($E141:AE141,"u")+COUNTIF($E141:AE141,"t")+COUNTIF($E141:AE141,"¶")+COUNTIF($E141:AE141,"²")+COUNTIF($E141:AE141,"µ")+COUNTIF($E141:AE141,1),ColLivraison)=AF$6,
  VLOOKUP($E141,INDIRECT("tri!"&amp; CHAR(64+ C0Col) &amp;":"&amp; CHAR(65+C0Col)),2,FALSE)&gt;COUNTIF($E141:AE141,"u")+COUNTIF($E141:AE141,"t")+COUNTIF($E141:AE141,"¶")+COUNTIF($E141:AE141,"²")+COUNTIF($E141:AE141,"µ")+COUNTIF($E141:AE141,1)),
HYPERLINK("#Roadmap!C"&amp; MATCH($E141,Roadmap!$D:$D,0)+COUNTIF($E141:AE141,"u")+COUNTIF($E141:AE141,"t"),
     INDEX(Roadmap!$D:$K,MATCH($E141,Roadmap!$D:$D,0)+COUNTIF($E141:AE141,"u")+COUNTIF($E141:AE141,"t")+COUNTIF($E141:AE141,"¶")+COUNTIF($E141:AE141,"²")+COUNTIF($E141:AE141,"µ")+COUNTIF($E141:AE141,1),ColTypeEcheance)),
  IF(LEN(AE141)=1,
  IF(LEN(INDEX(Roadmap!$D:$K,MATCH($E141,Roadmap!$D:$D,0)-1+COUNTIF($E141:AE141,"u")+COUNTIF($E141:AE141,"t")+COUNTIF($E141:AE141,"¶")+COUNTIF($E141:AE141,"²")+COUNTIF($E141:AE141,"µ")+COUNTIF($E141:AE141,1),ColDescriptionCourte))&gt;1,
HYPERLINK("#Roadmap!C"&amp; MATCH($E141,Roadmap!$D:$D,0)+COUNTIF($E141:AE141,"u")+COUNTIF($E141:AE141,"t")+COUNTIF($E141:AE141,"¶")+COUNTIF($E141:AE141,"²")+COUNTIF($E141:AE141,"µ")+COUNTIF($E141:AE141,1)-1,INDEX(Roadmap!$D:$K,MATCH($E141,Roadmap!$D:$D,0)-1+COUNTIF($E141:AE141,"u")+COUNTIF($E141:AE141,"t")+COUNTIF($E141:AE141,"¶")+COUNTIF($E141:AE141,"²")+COUNTIF($E141:AE141,"µ")+COUNTIF($E141:AE141,1),ColDescriptionCourte)),""),
  "")),"")</f>
        <v/>
      </c>
      <c r="AG141" s="40" t="str">
        <f ca="1">IFERROR(IF(AND(
  INDEX(Roadmap!$D:$K,MATCH($E141,Roadmap!$D:$D,0)+COUNTIF($E141:AF141,"u")+COUNTIF($E141:AF141,"t")+COUNTIF($E141:AF141,"¶")+COUNTIF($E141:AF141,"²")+COUNTIF($E141:AF141,"µ")+COUNTIF($E141:AF141,1),ColLivraison)=AG$6,
  VLOOKUP($E141,INDIRECT("tri!"&amp; CHAR(64+ C0Col) &amp;":"&amp; CHAR(65+C0Col)),2,FALSE)&gt;COUNTIF($E141:AF141,"u")+COUNTIF($E141:AF141,"t")+COUNTIF($E141:AF141,"¶")+COUNTIF($E141:AF141,"²")+COUNTIF($E141:AF141,"µ")+COUNTIF($E141:AF141,1)),
HYPERLINK("#Roadmap!C"&amp; MATCH($E141,Roadmap!$D:$D,0)+COUNTIF($E141:AF141,"u")+COUNTIF($E141:AF141,"t"),
     INDEX(Roadmap!$D:$K,MATCH($E141,Roadmap!$D:$D,0)+COUNTIF($E141:AF141,"u")+COUNTIF($E141:AF141,"t")+COUNTIF($E141:AF141,"¶")+COUNTIF($E141:AF141,"²")+COUNTIF($E141:AF141,"µ")+COUNTIF($E141:AF141,1),ColTypeEcheance)),
  IF(LEN(AF141)=1,
  IF(LEN(INDEX(Roadmap!$D:$K,MATCH($E141,Roadmap!$D:$D,0)-1+COUNTIF($E141:AF141,"u")+COUNTIF($E141:AF141,"t")+COUNTIF($E141:AF141,"¶")+COUNTIF($E141:AF141,"²")+COUNTIF($E141:AF141,"µ")+COUNTIF($E141:AF141,1),ColDescriptionCourte))&gt;1,
HYPERLINK("#Roadmap!C"&amp; MATCH($E141,Roadmap!$D:$D,0)+COUNTIF($E141:AF141,"u")+COUNTIF($E141:AF141,"t")+COUNTIF($E141:AF141,"¶")+COUNTIF($E141:AF141,"²")+COUNTIF($E141:AF141,"µ")+COUNTIF($E141:AF141,1)-1,INDEX(Roadmap!$D:$K,MATCH($E141,Roadmap!$D:$D,0)-1+COUNTIF($E141:AF141,"u")+COUNTIF($E141:AF141,"t")+COUNTIF($E141:AF141,"¶")+COUNTIF($E141:AF141,"²")+COUNTIF($E141:AF141,"µ")+COUNTIF($E141:AF141,1),ColDescriptionCourte)),""),
  "")),"")</f>
        <v/>
      </c>
    </row>
    <row r="142" spans="3:33" ht="14.25" customHeight="1">
      <c r="C142" s="1" t="str">
        <f t="shared" ca="1" si="52"/>
        <v/>
      </c>
      <c r="D142" s="1" t="str">
        <f t="shared" ca="1" si="53"/>
        <v/>
      </c>
      <c r="E142" s="35" t="str">
        <f t="shared" ca="1" si="51"/>
        <v/>
      </c>
      <c r="F142" s="39" t="str">
        <f ca="1">IFERROR(IF(AND(
  INDEX(Roadmap!$D:$K,MATCH($E142,Roadmap!$D:$D,0)+COUNTIF($E142:E142,"u")+COUNTIF($E142:E142,"t")+COUNTIF($E142:E142,"¶")+COUNTIF($E142:E142,"²")+COUNTIF($E142:E142,"µ")+COUNTIF($E142:E142,1),ColLivraison)=F$6,
  VLOOKUP($E142,INDIRECT("tri!"&amp; CHAR(64+ C0Col) &amp;":"&amp; CHAR(65+C0Col)),2,FALSE)&gt;COUNTIF($E142:E142,"u")+COUNTIF($E142:E142,"t")+COUNTIF($E142:E142,"¶")+COUNTIF($E142:E142,"²")+COUNTIF($E142:E142,"µ")+COUNTIF($E142:E142,1)),
HYPERLINK("#Roadmap!C"&amp; MATCH($E142,Roadmap!$D:$D,0)+COUNTIF($E142:E142,"u")+COUNTIF($E142:E142,"t"),
     INDEX(Roadmap!$D:$K,MATCH($E142,Roadmap!$D:$D,0)+COUNTIF($E142:E142,"u")+COUNTIF($E142:E142,"t")+COUNTIF($E142:E142,"¶")+COUNTIF($E142:E142,"²")+COUNTIF($E142:E142,"µ")+COUNTIF($E142:E142,1),ColTypeEcheance)),
  IF(LEN(E142)=1,
  IF(LEN(INDEX(Roadmap!$D:$K,MATCH($E142,Roadmap!$D:$D,0)-1+COUNTIF($E142:E142,"u")+COUNTIF($E142:E142,"t")+COUNTIF($E142:E142,"¶")+COUNTIF($E142:E142,"²")+COUNTIF($E142:E142,"µ")+COUNTIF($E142:E142,1),ColDescriptionCourte))&gt;1,
HYPERLINK("#Roadmap!C"&amp; MATCH($E142,Roadmap!$D:$D,0)+COUNTIF($E142:E142,"u")+COUNTIF($E142:E142,"t")+COUNTIF($E142:E142,"¶")+COUNTIF($E142:E142,"²")+COUNTIF($E142:E142,"µ")+COUNTIF($E142:E142,1)-1,INDEX(Roadmap!$D:$K,MATCH($E142,Roadmap!$D:$D,0)-1+COUNTIF($E142:E142,"u")+COUNTIF($E142:E142,"t")+COUNTIF($E142:E142,"¶")+COUNTIF($E142:E142,"²")+COUNTIF($E142:E142,"µ")+COUNTIF($E142:E142,1),ColDescriptionCourte)),""),
  "")),"")</f>
        <v/>
      </c>
      <c r="G142" s="40" t="str">
        <f ca="1">IFERROR(IF(AND(
  INDEX(Roadmap!$D:$K,MATCH($E142,Roadmap!$D:$D,0)+COUNTIF($E142:F142,"u")+COUNTIF($E142:F142,"t")+COUNTIF($E142:F142,"¶")+COUNTIF($E142:F142,"²")+COUNTIF($E142:F142,"µ")+COUNTIF($E142:F142,1),ColLivraison)=G$6,
  VLOOKUP($E142,INDIRECT("tri!"&amp; CHAR(64+ C0Col) &amp;":"&amp; CHAR(65+C0Col)),2,FALSE)&gt;COUNTIF($E142:F142,"u")+COUNTIF($E142:F142,"t")+COUNTIF($E142:F142,"¶")+COUNTIF($E142:F142,"²")+COUNTIF($E142:F142,"µ")+COUNTIF($E142:F142,1)),
HYPERLINK("#Roadmap!C"&amp; MATCH($E142,Roadmap!$D:$D,0)+COUNTIF($E142:F142,"u")+COUNTIF($E142:F142,"t"),
     INDEX(Roadmap!$D:$K,MATCH($E142,Roadmap!$D:$D,0)+COUNTIF($E142:F142,"u")+COUNTIF($E142:F142,"t")+COUNTIF($E142:F142,"¶")+COUNTIF($E142:F142,"²")+COUNTIF($E142:F142,"µ")+COUNTIF($E142:F142,1),ColTypeEcheance)),
  IF(LEN(F142)=1,
  IF(LEN(INDEX(Roadmap!$D:$K,MATCH($E142,Roadmap!$D:$D,0)-1+COUNTIF($E142:F142,"u")+COUNTIF($E142:F142,"t")+COUNTIF($E142:F142,"¶")+COUNTIF($E142:F142,"²")+COUNTIF($E142:F142,"µ")+COUNTIF($E142:F142,1),ColDescriptionCourte))&gt;1,
HYPERLINK("#Roadmap!C"&amp; MATCH($E142,Roadmap!$D:$D,0)+COUNTIF($E142:F142,"u")+COUNTIF($E142:F142,"t")+COUNTIF($E142:F142,"¶")+COUNTIF($E142:F142,"²")+COUNTIF($E142:F142,"µ")+COUNTIF($E142:F142,1)-1,INDEX(Roadmap!$D:$K,MATCH($E142,Roadmap!$D:$D,0)-1+COUNTIF($E142:F142,"u")+COUNTIF($E142:F142,"t")+COUNTIF($E142:F142,"¶")+COUNTIF($E142:F142,"²")+COUNTIF($E142:F142,"µ")+COUNTIF($E142:F142,1),ColDescriptionCourte)),""),
  "")),"")</f>
        <v/>
      </c>
      <c r="H142" s="40" t="str">
        <f ca="1">IFERROR(IF(AND(
  INDEX(Roadmap!$D:$K,MATCH($E142,Roadmap!$D:$D,0)+COUNTIF($E142:G142,"u")+COUNTIF($E142:G142,"t")+COUNTIF($E142:G142,"¶")+COUNTIF($E142:G142,"²")+COUNTIF($E142:G142,"µ")+COUNTIF($E142:G142,1),ColLivraison)=H$6,
  VLOOKUP($E142,INDIRECT("tri!"&amp; CHAR(64+ C0Col) &amp;":"&amp; CHAR(65+C0Col)),2,FALSE)&gt;COUNTIF($E142:G142,"u")+COUNTIF($E142:G142,"t")+COUNTIF($E142:G142,"¶")+COUNTIF($E142:G142,"²")+COUNTIF($E142:G142,"µ")+COUNTIF($E142:G142,1)),
HYPERLINK("#Roadmap!C"&amp; MATCH($E142,Roadmap!$D:$D,0)+COUNTIF($E142:G142,"u")+COUNTIF($E142:G142,"t"),
     INDEX(Roadmap!$D:$K,MATCH($E142,Roadmap!$D:$D,0)+COUNTIF($E142:G142,"u")+COUNTIF($E142:G142,"t")+COUNTIF($E142:G142,"¶")+COUNTIF($E142:G142,"²")+COUNTIF($E142:G142,"µ")+COUNTIF($E142:G142,1),ColTypeEcheance)),
  IF(LEN(G142)=1,
  IF(LEN(INDEX(Roadmap!$D:$K,MATCH($E142,Roadmap!$D:$D,0)-1+COUNTIF($E142:G142,"u")+COUNTIF($E142:G142,"t")+COUNTIF($E142:G142,"¶")+COUNTIF($E142:G142,"²")+COUNTIF($E142:G142,"µ")+COUNTIF($E142:G142,1),ColDescriptionCourte))&gt;1,
HYPERLINK("#Roadmap!C"&amp; MATCH($E142,Roadmap!$D:$D,0)+COUNTIF($E142:G142,"u")+COUNTIF($E142:G142,"t")+COUNTIF($E142:G142,"¶")+COUNTIF($E142:G142,"²")+COUNTIF($E142:G142,"µ")+COUNTIF($E142:G142,1)-1,INDEX(Roadmap!$D:$K,MATCH($E142,Roadmap!$D:$D,0)-1+COUNTIF($E142:G142,"u")+COUNTIF($E142:G142,"t")+COUNTIF($E142:G142,"¶")+COUNTIF($E142:G142,"²")+COUNTIF($E142:G142,"µ")+COUNTIF($E142:G142,1),ColDescriptionCourte)),""),
  "")),"")</f>
        <v/>
      </c>
      <c r="I142" s="40" t="str">
        <f ca="1">IFERROR(IF(AND(
  INDEX(Roadmap!$D:$K,MATCH($E142,Roadmap!$D:$D,0)+COUNTIF($E142:H142,"u")+COUNTIF($E142:H142,"t")+COUNTIF($E142:H142,"¶")+COUNTIF($E142:H142,"²")+COUNTIF($E142:H142,"µ")+COUNTIF($E142:H142,1),ColLivraison)=I$6,
  VLOOKUP($E142,INDIRECT("tri!"&amp; CHAR(64+ C0Col) &amp;":"&amp; CHAR(65+C0Col)),2,FALSE)&gt;COUNTIF($E142:H142,"u")+COUNTIF($E142:H142,"t")+COUNTIF($E142:H142,"¶")+COUNTIF($E142:H142,"²")+COUNTIF($E142:H142,"µ")+COUNTIF($E142:H142,1)),
HYPERLINK("#Roadmap!C"&amp; MATCH($E142,Roadmap!$D:$D,0)+COUNTIF($E142:H142,"u")+COUNTIF($E142:H142,"t"),
     INDEX(Roadmap!$D:$K,MATCH($E142,Roadmap!$D:$D,0)+COUNTIF($E142:H142,"u")+COUNTIF($E142:H142,"t")+COUNTIF($E142:H142,"¶")+COUNTIF($E142:H142,"²")+COUNTIF($E142:H142,"µ")+COUNTIF($E142:H142,1),ColTypeEcheance)),
  IF(LEN(H142)=1,
  IF(LEN(INDEX(Roadmap!$D:$K,MATCH($E142,Roadmap!$D:$D,0)-1+COUNTIF($E142:H142,"u")+COUNTIF($E142:H142,"t")+COUNTIF($E142:H142,"¶")+COUNTIF($E142:H142,"²")+COUNTIF($E142:H142,"µ")+COUNTIF($E142:H142,1),ColDescriptionCourte))&gt;1,
HYPERLINK("#Roadmap!C"&amp; MATCH($E142,Roadmap!$D:$D,0)+COUNTIF($E142:H142,"u")+COUNTIF($E142:H142,"t")+COUNTIF($E142:H142,"¶")+COUNTIF($E142:H142,"²")+COUNTIF($E142:H142,"µ")+COUNTIF($E142:H142,1)-1,INDEX(Roadmap!$D:$K,MATCH($E142,Roadmap!$D:$D,0)-1+COUNTIF($E142:H142,"u")+COUNTIF($E142:H142,"t")+COUNTIF($E142:H142,"¶")+COUNTIF($E142:H142,"²")+COUNTIF($E142:H142,"µ")+COUNTIF($E142:H142,1),ColDescriptionCourte)),""),
  "")),"")</f>
        <v/>
      </c>
      <c r="J142" s="40" t="str">
        <f ca="1">IFERROR(IF(AND(
  INDEX(Roadmap!$D:$K,MATCH($E142,Roadmap!$D:$D,0)+COUNTIF($E142:I142,"u")+COUNTIF($E142:I142,"t")+COUNTIF($E142:I142,"¶")+COUNTIF($E142:I142,"²")+COUNTIF($E142:I142,"µ")+COUNTIF($E142:I142,1),ColLivraison)=J$6,
  VLOOKUP($E142,INDIRECT("tri!"&amp; CHAR(64+ C0Col) &amp;":"&amp; CHAR(65+C0Col)),2,FALSE)&gt;COUNTIF($E142:I142,"u")+COUNTIF($E142:I142,"t")+COUNTIF($E142:I142,"¶")+COUNTIF($E142:I142,"²")+COUNTIF($E142:I142,"µ")+COUNTIF($E142:I142,1)),
HYPERLINK("#Roadmap!C"&amp; MATCH($E142,Roadmap!$D:$D,0)+COUNTIF($E142:I142,"u")+COUNTIF($E142:I142,"t"),
     INDEX(Roadmap!$D:$K,MATCH($E142,Roadmap!$D:$D,0)+COUNTIF($E142:I142,"u")+COUNTIF($E142:I142,"t")+COUNTIF($E142:I142,"¶")+COUNTIF($E142:I142,"²")+COUNTIF($E142:I142,"µ")+COUNTIF($E142:I142,1),ColTypeEcheance)),
  IF(LEN(I142)=1,
  IF(LEN(INDEX(Roadmap!$D:$K,MATCH($E142,Roadmap!$D:$D,0)-1+COUNTIF($E142:I142,"u")+COUNTIF($E142:I142,"t")+COUNTIF($E142:I142,"¶")+COUNTIF($E142:I142,"²")+COUNTIF($E142:I142,"µ")+COUNTIF($E142:I142,1),ColDescriptionCourte))&gt;1,
HYPERLINK("#Roadmap!C"&amp; MATCH($E142,Roadmap!$D:$D,0)+COUNTIF($E142:I142,"u")+COUNTIF($E142:I142,"t")+COUNTIF($E142:I142,"¶")+COUNTIF($E142:I142,"²")+COUNTIF($E142:I142,"µ")+COUNTIF($E142:I142,1)-1,INDEX(Roadmap!$D:$K,MATCH($E142,Roadmap!$D:$D,0)-1+COUNTIF($E142:I142,"u")+COUNTIF($E142:I142,"t")+COUNTIF($E142:I142,"¶")+COUNTIF($E142:I142,"²")+COUNTIF($E142:I142,"µ")+COUNTIF($E142:I142,1),ColDescriptionCourte)),""),
  "")),"")</f>
        <v/>
      </c>
      <c r="K142" s="40" t="str">
        <f ca="1">IFERROR(IF(AND(
  INDEX(Roadmap!$D:$K,MATCH($E142,Roadmap!$D:$D,0)+COUNTIF($E142:J142,"u")+COUNTIF($E142:J142,"t")+COUNTIF($E142:J142,"¶")+COUNTIF($E142:J142,"²")+COUNTIF($E142:J142,"µ")+COUNTIF($E142:J142,1),ColLivraison)=K$6,
  VLOOKUP($E142,INDIRECT("tri!"&amp; CHAR(64+ C0Col) &amp;":"&amp; CHAR(65+C0Col)),2,FALSE)&gt;COUNTIF($E142:J142,"u")+COUNTIF($E142:J142,"t")+COUNTIF($E142:J142,"¶")+COUNTIF($E142:J142,"²")+COUNTIF($E142:J142,"µ")+COUNTIF($E142:J142,1)),
HYPERLINK("#Roadmap!C"&amp; MATCH($E142,Roadmap!$D:$D,0)+COUNTIF($E142:J142,"u")+COUNTIF($E142:J142,"t"),
     INDEX(Roadmap!$D:$K,MATCH($E142,Roadmap!$D:$D,0)+COUNTIF($E142:J142,"u")+COUNTIF($E142:J142,"t")+COUNTIF($E142:J142,"¶")+COUNTIF($E142:J142,"²")+COUNTIF($E142:J142,"µ")+COUNTIF($E142:J142,1),ColTypeEcheance)),
  IF(LEN(J142)=1,
  IF(LEN(INDEX(Roadmap!$D:$K,MATCH($E142,Roadmap!$D:$D,0)-1+COUNTIF($E142:J142,"u")+COUNTIF($E142:J142,"t")+COUNTIF($E142:J142,"¶")+COUNTIF($E142:J142,"²")+COUNTIF($E142:J142,"µ")+COUNTIF($E142:J142,1),ColDescriptionCourte))&gt;1,
HYPERLINK("#Roadmap!C"&amp; MATCH($E142,Roadmap!$D:$D,0)+COUNTIF($E142:J142,"u")+COUNTIF($E142:J142,"t")+COUNTIF($E142:J142,"¶")+COUNTIF($E142:J142,"²")+COUNTIF($E142:J142,"µ")+COUNTIF($E142:J142,1)-1,INDEX(Roadmap!$D:$K,MATCH($E142,Roadmap!$D:$D,0)-1+COUNTIF($E142:J142,"u")+COUNTIF($E142:J142,"t")+COUNTIF($E142:J142,"¶")+COUNTIF($E142:J142,"²")+COUNTIF($E142:J142,"µ")+COUNTIF($E142:J142,1),ColDescriptionCourte)),""),
  "")),"")</f>
        <v/>
      </c>
      <c r="L142" s="39" t="str">
        <f ca="1">IFERROR(IF(AND(
  INDEX(Roadmap!$D:$K,MATCH($E142,Roadmap!$D:$D,0)+COUNTIF($E142:K142,"u")+COUNTIF($E142:K142,"t")+COUNTIF($E142:K142,"¶")+COUNTIF($E142:K142,"²")+COUNTIF($E142:K142,"µ")+COUNTIF($E142:K142,1),ColLivraison)=L$6,
  VLOOKUP($E142,INDIRECT("tri!"&amp; CHAR(64+ C0Col) &amp;":"&amp; CHAR(65+C0Col)),2,FALSE)&gt;COUNTIF($E142:K142,"u")+COUNTIF($E142:K142,"t")+COUNTIF($E142:K142,"¶")+COUNTIF($E142:K142,"²")+COUNTIF($E142:K142,"µ")+COUNTIF($E142:K142,1)),
HYPERLINK("#Roadmap!C"&amp; MATCH($E142,Roadmap!$D:$D,0)+COUNTIF($E142:K142,"u")+COUNTIF($E142:K142,"t"),
     INDEX(Roadmap!$D:$K,MATCH($E142,Roadmap!$D:$D,0)+COUNTIF($E142:K142,"u")+COUNTIF($E142:K142,"t")+COUNTIF($E142:K142,"¶")+COUNTIF($E142:K142,"²")+COUNTIF($E142:K142,"µ")+COUNTIF($E142:K142,1),ColTypeEcheance)),
  IF(LEN(K142)=1,
  IF(LEN(INDEX(Roadmap!$D:$K,MATCH($E142,Roadmap!$D:$D,0)-1+COUNTIF($E142:K142,"u")+COUNTIF($E142:K142,"t")+COUNTIF($E142:K142,"¶")+COUNTIF($E142:K142,"²")+COUNTIF($E142:K142,"µ")+COUNTIF($E142:K142,1),ColDescriptionCourte))&gt;1,
HYPERLINK("#Roadmap!C"&amp; MATCH($E142,Roadmap!$D:$D,0)+COUNTIF($E142:K142,"u")+COUNTIF($E142:K142,"t")+COUNTIF($E142:K142,"¶")+COUNTIF($E142:K142,"²")+COUNTIF($E142:K142,"µ")+COUNTIF($E142:K142,1)-1,INDEX(Roadmap!$D:$K,MATCH($E142,Roadmap!$D:$D,0)-1+COUNTIF($E142:K142,"u")+COUNTIF($E142:K142,"t")+COUNTIF($E142:K142,"¶")+COUNTIF($E142:K142,"²")+COUNTIF($E142:K142,"µ")+COUNTIF($E142:K142,1),ColDescriptionCourte)),""),
  "")),"")</f>
        <v/>
      </c>
      <c r="M142" s="40" t="str">
        <f ca="1">IFERROR(IF(AND(
  INDEX(Roadmap!$D:$K,MATCH($E142,Roadmap!$D:$D,0)+COUNTIF($E142:L142,"u")+COUNTIF($E142:L142,"t")+COUNTIF($E142:L142,"¶")+COUNTIF($E142:L142,"²")+COUNTIF($E142:L142,"µ")+COUNTIF($E142:L142,1),ColLivraison)=M$6,
  VLOOKUP($E142,INDIRECT("tri!"&amp; CHAR(64+ C0Col) &amp;":"&amp; CHAR(65+C0Col)),2,FALSE)&gt;COUNTIF($E142:L142,"u")+COUNTIF($E142:L142,"t")+COUNTIF($E142:L142,"¶")+COUNTIF($E142:L142,"²")+COUNTIF($E142:L142,"µ")+COUNTIF($E142:L142,1)),
HYPERLINK("#Roadmap!C"&amp; MATCH($E142,Roadmap!$D:$D,0)+COUNTIF($E142:L142,"u")+COUNTIF($E142:L142,"t"),
     INDEX(Roadmap!$D:$K,MATCH($E142,Roadmap!$D:$D,0)+COUNTIF($E142:L142,"u")+COUNTIF($E142:L142,"t")+COUNTIF($E142:L142,"¶")+COUNTIF($E142:L142,"²")+COUNTIF($E142:L142,"µ")+COUNTIF($E142:L142,1),ColTypeEcheance)),
  IF(LEN(L142)=1,
  IF(LEN(INDEX(Roadmap!$D:$K,MATCH($E142,Roadmap!$D:$D,0)-1+COUNTIF($E142:L142,"u")+COUNTIF($E142:L142,"t")+COUNTIF($E142:L142,"¶")+COUNTIF($E142:L142,"²")+COUNTIF($E142:L142,"µ")+COUNTIF($E142:L142,1),ColDescriptionCourte))&gt;1,
HYPERLINK("#Roadmap!C"&amp; MATCH($E142,Roadmap!$D:$D,0)+COUNTIF($E142:L142,"u")+COUNTIF($E142:L142,"t")+COUNTIF($E142:L142,"¶")+COUNTIF($E142:L142,"²")+COUNTIF($E142:L142,"µ")+COUNTIF($E142:L142,1)-1,INDEX(Roadmap!$D:$K,MATCH($E142,Roadmap!$D:$D,0)-1+COUNTIF($E142:L142,"u")+COUNTIF($E142:L142,"t")+COUNTIF($E142:L142,"¶")+COUNTIF($E142:L142,"²")+COUNTIF($E142:L142,"µ")+COUNTIF($E142:L142,1),ColDescriptionCourte)),""),
  "")),"")</f>
        <v/>
      </c>
      <c r="N142" s="40" t="str">
        <f ca="1">IFERROR(IF(AND(
  INDEX(Roadmap!$D:$K,MATCH($E142,Roadmap!$D:$D,0)+COUNTIF($E142:M142,"u")+COUNTIF($E142:M142,"t")+COUNTIF($E142:M142,"¶")+COUNTIF($E142:M142,"²")+COUNTIF($E142:M142,"µ")+COUNTIF($E142:M142,1),ColLivraison)=N$6,
  VLOOKUP($E142,INDIRECT("tri!"&amp; CHAR(64+ C0Col) &amp;":"&amp; CHAR(65+C0Col)),2,FALSE)&gt;COUNTIF($E142:M142,"u")+COUNTIF($E142:M142,"t")+COUNTIF($E142:M142,"¶")+COUNTIF($E142:M142,"²")+COUNTIF($E142:M142,"µ")+COUNTIF($E142:M142,1)),
HYPERLINK("#Roadmap!C"&amp; MATCH($E142,Roadmap!$D:$D,0)+COUNTIF($E142:M142,"u")+COUNTIF($E142:M142,"t"),
     INDEX(Roadmap!$D:$K,MATCH($E142,Roadmap!$D:$D,0)+COUNTIF($E142:M142,"u")+COUNTIF($E142:M142,"t")+COUNTIF($E142:M142,"¶")+COUNTIF($E142:M142,"²")+COUNTIF($E142:M142,"µ")+COUNTIF($E142:M142,1),ColTypeEcheance)),
  IF(LEN(M142)=1,
  IF(LEN(INDEX(Roadmap!$D:$K,MATCH($E142,Roadmap!$D:$D,0)-1+COUNTIF($E142:M142,"u")+COUNTIF($E142:M142,"t")+COUNTIF($E142:M142,"¶")+COUNTIF($E142:M142,"²")+COUNTIF($E142:M142,"µ")+COUNTIF($E142:M142,1),ColDescriptionCourte))&gt;1,
HYPERLINK("#Roadmap!C"&amp; MATCH($E142,Roadmap!$D:$D,0)+COUNTIF($E142:M142,"u")+COUNTIF($E142:M142,"t")+COUNTIF($E142:M142,"¶")+COUNTIF($E142:M142,"²")+COUNTIF($E142:M142,"µ")+COUNTIF($E142:M142,1)-1,INDEX(Roadmap!$D:$K,MATCH($E142,Roadmap!$D:$D,0)-1+COUNTIF($E142:M142,"u")+COUNTIF($E142:M142,"t")+COUNTIF($E142:M142,"¶")+COUNTIF($E142:M142,"²")+COUNTIF($E142:M142,"µ")+COUNTIF($E142:M142,1),ColDescriptionCourte)),""),
  "")),"")</f>
        <v/>
      </c>
      <c r="O142" s="40" t="str">
        <f ca="1">IFERROR(IF(AND(
  INDEX(Roadmap!$D:$K,MATCH($E142,Roadmap!$D:$D,0)+COUNTIF($E142:N142,"u")+COUNTIF($E142:N142,"t")+COUNTIF($E142:N142,"¶")+COUNTIF($E142:N142,"²")+COUNTIF($E142:N142,"µ")+COUNTIF($E142:N142,1),ColLivraison)=O$6,
  VLOOKUP($E142,INDIRECT("tri!"&amp; CHAR(64+ C0Col) &amp;":"&amp; CHAR(65+C0Col)),2,FALSE)&gt;COUNTIF($E142:N142,"u")+COUNTIF($E142:N142,"t")+COUNTIF($E142:N142,"¶")+COUNTIF($E142:N142,"²")+COUNTIF($E142:N142,"µ")+COUNTIF($E142:N142,1)),
HYPERLINK("#Roadmap!C"&amp; MATCH($E142,Roadmap!$D:$D,0)+COUNTIF($E142:N142,"u")+COUNTIF($E142:N142,"t"),
     INDEX(Roadmap!$D:$K,MATCH($E142,Roadmap!$D:$D,0)+COUNTIF($E142:N142,"u")+COUNTIF($E142:N142,"t")+COUNTIF($E142:N142,"¶")+COUNTIF($E142:N142,"²")+COUNTIF($E142:N142,"µ")+COUNTIF($E142:N142,1),ColTypeEcheance)),
  IF(LEN(N142)=1,
  IF(LEN(INDEX(Roadmap!$D:$K,MATCH($E142,Roadmap!$D:$D,0)-1+COUNTIF($E142:N142,"u")+COUNTIF($E142:N142,"t")+COUNTIF($E142:N142,"¶")+COUNTIF($E142:N142,"²")+COUNTIF($E142:N142,"µ")+COUNTIF($E142:N142,1),ColDescriptionCourte))&gt;1,
HYPERLINK("#Roadmap!C"&amp; MATCH($E142,Roadmap!$D:$D,0)+COUNTIF($E142:N142,"u")+COUNTIF($E142:N142,"t")+COUNTIF($E142:N142,"¶")+COUNTIF($E142:N142,"²")+COUNTIF($E142:N142,"µ")+COUNTIF($E142:N142,1)-1,INDEX(Roadmap!$D:$K,MATCH($E142,Roadmap!$D:$D,0)-1+COUNTIF($E142:N142,"u")+COUNTIF($E142:N142,"t")+COUNTIF($E142:N142,"¶")+COUNTIF($E142:N142,"²")+COUNTIF($E142:N142,"µ")+COUNTIF($E142:N142,1),ColDescriptionCourte)),""),
  "")),"")</f>
        <v/>
      </c>
      <c r="P142" s="40" t="str">
        <f ca="1">IFERROR(IF(AND(
  INDEX(Roadmap!$D:$K,MATCH($E142,Roadmap!$D:$D,0)+COUNTIF($E142:O142,"u")+COUNTIF($E142:O142,"t")+COUNTIF($E142:O142,"¶")+COUNTIF($E142:O142,"²")+COUNTIF($E142:O142,"µ")+COUNTIF($E142:O142,1),ColLivraison)=P$6,
  VLOOKUP($E142,INDIRECT("tri!"&amp; CHAR(64+ C0Col) &amp;":"&amp; CHAR(65+C0Col)),2,FALSE)&gt;COUNTIF($E142:O142,"u")+COUNTIF($E142:O142,"t")+COUNTIF($E142:O142,"¶")+COUNTIF($E142:O142,"²")+COUNTIF($E142:O142,"µ")+COUNTIF($E142:O142,1)),
HYPERLINK("#Roadmap!C"&amp; MATCH($E142,Roadmap!$D:$D,0)+COUNTIF($E142:O142,"u")+COUNTIF($E142:O142,"t"),
     INDEX(Roadmap!$D:$K,MATCH($E142,Roadmap!$D:$D,0)+COUNTIF($E142:O142,"u")+COUNTIF($E142:O142,"t")+COUNTIF($E142:O142,"¶")+COUNTIF($E142:O142,"²")+COUNTIF($E142:O142,"µ")+COUNTIF($E142:O142,1),ColTypeEcheance)),
  IF(LEN(O142)=1,
  IF(LEN(INDEX(Roadmap!$D:$K,MATCH($E142,Roadmap!$D:$D,0)-1+COUNTIF($E142:O142,"u")+COUNTIF($E142:O142,"t")+COUNTIF($E142:O142,"¶")+COUNTIF($E142:O142,"²")+COUNTIF($E142:O142,"µ")+COUNTIF($E142:O142,1),ColDescriptionCourte))&gt;1,
HYPERLINK("#Roadmap!C"&amp; MATCH($E142,Roadmap!$D:$D,0)+COUNTIF($E142:O142,"u")+COUNTIF($E142:O142,"t")+COUNTIF($E142:O142,"¶")+COUNTIF($E142:O142,"²")+COUNTIF($E142:O142,"µ")+COUNTIF($E142:O142,1)-1,INDEX(Roadmap!$D:$K,MATCH($E142,Roadmap!$D:$D,0)-1+COUNTIF($E142:O142,"u")+COUNTIF($E142:O142,"t")+COUNTIF($E142:O142,"¶")+COUNTIF($E142:O142,"²")+COUNTIF($E142:O142,"µ")+COUNTIF($E142:O142,1),ColDescriptionCourte)),""),
  "")),"")</f>
        <v/>
      </c>
      <c r="Q142" s="40" t="str">
        <f ca="1">IFERROR(IF(AND(
  INDEX(Roadmap!$D:$K,MATCH($E142,Roadmap!$D:$D,0)+COUNTIF($E142:P142,"u")+COUNTIF($E142:P142,"t")+COUNTIF($E142:P142,"¶")+COUNTIF($E142:P142,"²")+COUNTIF($E142:P142,"µ")+COUNTIF($E142:P142,1),ColLivraison)=Q$6,
  VLOOKUP($E142,INDIRECT("tri!"&amp; CHAR(64+ C0Col) &amp;":"&amp; CHAR(65+C0Col)),2,FALSE)&gt;COUNTIF($E142:P142,"u")+COUNTIF($E142:P142,"t")+COUNTIF($E142:P142,"¶")+COUNTIF($E142:P142,"²")+COUNTIF($E142:P142,"µ")+COUNTIF($E142:P142,1)),
HYPERLINK("#Roadmap!C"&amp; MATCH($E142,Roadmap!$D:$D,0)+COUNTIF($E142:P142,"u")+COUNTIF($E142:P142,"t"),
     INDEX(Roadmap!$D:$K,MATCH($E142,Roadmap!$D:$D,0)+COUNTIF($E142:P142,"u")+COUNTIF($E142:P142,"t")+COUNTIF($E142:P142,"¶")+COUNTIF($E142:P142,"²")+COUNTIF($E142:P142,"µ")+COUNTIF($E142:P142,1),ColTypeEcheance)),
  IF(LEN(P142)=1,
  IF(LEN(INDEX(Roadmap!$D:$K,MATCH($E142,Roadmap!$D:$D,0)-1+COUNTIF($E142:P142,"u")+COUNTIF($E142:P142,"t")+COUNTIF($E142:P142,"¶")+COUNTIF($E142:P142,"²")+COUNTIF($E142:P142,"µ")+COUNTIF($E142:P142,1),ColDescriptionCourte))&gt;1,
HYPERLINK("#Roadmap!C"&amp; MATCH($E142,Roadmap!$D:$D,0)+COUNTIF($E142:P142,"u")+COUNTIF($E142:P142,"t")+COUNTIF($E142:P142,"¶")+COUNTIF($E142:P142,"²")+COUNTIF($E142:P142,"µ")+COUNTIF($E142:P142,1)-1,INDEX(Roadmap!$D:$K,MATCH($E142,Roadmap!$D:$D,0)-1+COUNTIF($E142:P142,"u")+COUNTIF($E142:P142,"t")+COUNTIF($E142:P142,"¶")+COUNTIF($E142:P142,"²")+COUNTIF($E142:P142,"µ")+COUNTIF($E142:P142,1),ColDescriptionCourte)),""),
  "")),"")</f>
        <v/>
      </c>
      <c r="R142" s="40" t="str">
        <f ca="1">IFERROR(IF(AND(
  INDEX(Roadmap!$D:$K,MATCH($E142,Roadmap!$D:$D,0)+COUNTIF($E142:Q142,"u")+COUNTIF($E142:Q142,"t")+COUNTIF($E142:Q142,"¶")+COUNTIF($E142:Q142,"²")+COUNTIF($E142:Q142,"µ")+COUNTIF($E142:Q142,1),ColLivraison)=R$6,
  VLOOKUP($E142,INDIRECT("tri!"&amp; CHAR(64+ C0Col) &amp;":"&amp; CHAR(65+C0Col)),2,FALSE)&gt;COUNTIF($E142:Q142,"u")+COUNTIF($E142:Q142,"t")+COUNTIF($E142:Q142,"¶")+COUNTIF($E142:Q142,"²")+COUNTIF($E142:Q142,"µ")+COUNTIF($E142:Q142,1)),
HYPERLINK("#Roadmap!C"&amp; MATCH($E142,Roadmap!$D:$D,0)+COUNTIF($E142:Q142,"u")+COUNTIF($E142:Q142,"t"),
     INDEX(Roadmap!$D:$K,MATCH($E142,Roadmap!$D:$D,0)+COUNTIF($E142:Q142,"u")+COUNTIF($E142:Q142,"t")+COUNTIF($E142:Q142,"¶")+COUNTIF($E142:Q142,"²")+COUNTIF($E142:Q142,"µ")+COUNTIF($E142:Q142,1),ColTypeEcheance)),
  IF(LEN(Q142)=1,
  IF(LEN(INDEX(Roadmap!$D:$K,MATCH($E142,Roadmap!$D:$D,0)-1+COUNTIF($E142:Q142,"u")+COUNTIF($E142:Q142,"t")+COUNTIF($E142:Q142,"¶")+COUNTIF($E142:Q142,"²")+COUNTIF($E142:Q142,"µ")+COUNTIF($E142:Q142,1),ColDescriptionCourte))&gt;1,
HYPERLINK("#Roadmap!C"&amp; MATCH($E142,Roadmap!$D:$D,0)+COUNTIF($E142:Q142,"u")+COUNTIF($E142:Q142,"t")+COUNTIF($E142:Q142,"¶")+COUNTIF($E142:Q142,"²")+COUNTIF($E142:Q142,"µ")+COUNTIF($E142:Q142,1)-1,INDEX(Roadmap!$D:$K,MATCH($E142,Roadmap!$D:$D,0)-1+COUNTIF($E142:Q142,"u")+COUNTIF($E142:Q142,"t")+COUNTIF($E142:Q142,"¶")+COUNTIF($E142:Q142,"²")+COUNTIF($E142:Q142,"µ")+COUNTIF($E142:Q142,1),ColDescriptionCourte)),""),
  "")),"")</f>
        <v/>
      </c>
      <c r="S142" s="40" t="str">
        <f ca="1">IFERROR(IF(AND(
  INDEX(Roadmap!$D:$K,MATCH($E142,Roadmap!$D:$D,0)+COUNTIF($E142:R142,"u")+COUNTIF($E142:R142,"t")+COUNTIF($E142:R142,"¶")+COUNTIF($E142:R142,"²")+COUNTIF($E142:R142,"µ")+COUNTIF($E142:R142,1),ColLivraison)=S$6,
  VLOOKUP($E142,INDIRECT("tri!"&amp; CHAR(64+ C0Col) &amp;":"&amp; CHAR(65+C0Col)),2,FALSE)&gt;COUNTIF($E142:R142,"u")+COUNTIF($E142:R142,"t")+COUNTIF($E142:R142,"¶")+COUNTIF($E142:R142,"²")+COUNTIF($E142:R142,"µ")+COUNTIF($E142:R142,1)),
HYPERLINK("#Roadmap!C"&amp; MATCH($E142,Roadmap!$D:$D,0)+COUNTIF($E142:R142,"u")+COUNTIF($E142:R142,"t"),
     INDEX(Roadmap!$D:$K,MATCH($E142,Roadmap!$D:$D,0)+COUNTIF($E142:R142,"u")+COUNTIF($E142:R142,"t")+COUNTIF($E142:R142,"¶")+COUNTIF($E142:R142,"²")+COUNTIF($E142:R142,"µ")+COUNTIF($E142:R142,1),ColTypeEcheance)),
  IF(LEN(R142)=1,
  IF(LEN(INDEX(Roadmap!$D:$K,MATCH($E142,Roadmap!$D:$D,0)-1+COUNTIF($E142:R142,"u")+COUNTIF($E142:R142,"t")+COUNTIF($E142:R142,"¶")+COUNTIF($E142:R142,"²")+COUNTIF($E142:R142,"µ")+COUNTIF($E142:R142,1),ColDescriptionCourte))&gt;1,
HYPERLINK("#Roadmap!C"&amp; MATCH($E142,Roadmap!$D:$D,0)+COUNTIF($E142:R142,"u")+COUNTIF($E142:R142,"t")+COUNTIF($E142:R142,"¶")+COUNTIF($E142:R142,"²")+COUNTIF($E142:R142,"µ")+COUNTIF($E142:R142,1)-1,INDEX(Roadmap!$D:$K,MATCH($E142,Roadmap!$D:$D,0)-1+COUNTIF($E142:R142,"u")+COUNTIF($E142:R142,"t")+COUNTIF($E142:R142,"¶")+COUNTIF($E142:R142,"²")+COUNTIF($E142:R142,"µ")+COUNTIF($E142:R142,1),ColDescriptionCourte)),""),
  "")),"")</f>
        <v/>
      </c>
      <c r="T142" s="40" t="str">
        <f ca="1">IFERROR(IF(AND(
  INDEX(Roadmap!$D:$K,MATCH($E142,Roadmap!$D:$D,0)+COUNTIF($E142:S142,"u")+COUNTIF($E142:S142,"t")+COUNTIF($E142:S142,"¶")+COUNTIF($E142:S142,"²")+COUNTIF($E142:S142,"µ")+COUNTIF($E142:S142,1),ColLivraison)=T$6,
  VLOOKUP($E142,INDIRECT("tri!"&amp; CHAR(64+ C0Col) &amp;":"&amp; CHAR(65+C0Col)),2,FALSE)&gt;COUNTIF($E142:S142,"u")+COUNTIF($E142:S142,"t")+COUNTIF($E142:S142,"¶")+COUNTIF($E142:S142,"²")+COUNTIF($E142:S142,"µ")+COUNTIF($E142:S142,1)),
HYPERLINK("#Roadmap!C"&amp; MATCH($E142,Roadmap!$D:$D,0)+COUNTIF($E142:S142,"u")+COUNTIF($E142:S142,"t"),
     INDEX(Roadmap!$D:$K,MATCH($E142,Roadmap!$D:$D,0)+COUNTIF($E142:S142,"u")+COUNTIF($E142:S142,"t")+COUNTIF($E142:S142,"¶")+COUNTIF($E142:S142,"²")+COUNTIF($E142:S142,"µ")+COUNTIF($E142:S142,1),ColTypeEcheance)),
  IF(LEN(S142)=1,
  IF(LEN(INDEX(Roadmap!$D:$K,MATCH($E142,Roadmap!$D:$D,0)-1+COUNTIF($E142:S142,"u")+COUNTIF($E142:S142,"t")+COUNTIF($E142:S142,"¶")+COUNTIF($E142:S142,"²")+COUNTIF($E142:S142,"µ")+COUNTIF($E142:S142,1),ColDescriptionCourte))&gt;1,
HYPERLINK("#Roadmap!C"&amp; MATCH($E142,Roadmap!$D:$D,0)+COUNTIF($E142:S142,"u")+COUNTIF($E142:S142,"t")+COUNTIF($E142:S142,"¶")+COUNTIF($E142:S142,"²")+COUNTIF($E142:S142,"µ")+COUNTIF($E142:S142,1)-1,INDEX(Roadmap!$D:$K,MATCH($E142,Roadmap!$D:$D,0)-1+COUNTIF($E142:S142,"u")+COUNTIF($E142:S142,"t")+COUNTIF($E142:S142,"¶")+COUNTIF($E142:S142,"²")+COUNTIF($E142:S142,"µ")+COUNTIF($E142:S142,1),ColDescriptionCourte)),""),
  "")),"")</f>
        <v/>
      </c>
      <c r="U142" s="40" t="str">
        <f ca="1">IFERROR(IF(AND(
  INDEX(Roadmap!$D:$K,MATCH($E142,Roadmap!$D:$D,0)+COUNTIF($E142:T142,"u")+COUNTIF($E142:T142,"t")+COUNTIF($E142:T142,"¶")+COUNTIF($E142:T142,"²")+COUNTIF($E142:T142,"µ")+COUNTIF($E142:T142,1),ColLivraison)=U$6,
  VLOOKUP($E142,INDIRECT("tri!"&amp; CHAR(64+ C0Col) &amp;":"&amp; CHAR(65+C0Col)),2,FALSE)&gt;COUNTIF($E142:T142,"u")+COUNTIF($E142:T142,"t")+COUNTIF($E142:T142,"¶")+COUNTIF($E142:T142,"²")+COUNTIF($E142:T142,"µ")+COUNTIF($E142:T142,1)),
HYPERLINK("#Roadmap!C"&amp; MATCH($E142,Roadmap!$D:$D,0)+COUNTIF($E142:T142,"u")+COUNTIF($E142:T142,"t"),
     INDEX(Roadmap!$D:$K,MATCH($E142,Roadmap!$D:$D,0)+COUNTIF($E142:T142,"u")+COUNTIF($E142:T142,"t")+COUNTIF($E142:T142,"¶")+COUNTIF($E142:T142,"²")+COUNTIF($E142:T142,"µ")+COUNTIF($E142:T142,1),ColTypeEcheance)),
  IF(LEN(T142)=1,
  IF(LEN(INDEX(Roadmap!$D:$K,MATCH($E142,Roadmap!$D:$D,0)-1+COUNTIF($E142:T142,"u")+COUNTIF($E142:T142,"t")+COUNTIF($E142:T142,"¶")+COUNTIF($E142:T142,"²")+COUNTIF($E142:T142,"µ")+COUNTIF($E142:T142,1),ColDescriptionCourte))&gt;1,
HYPERLINK("#Roadmap!C"&amp; MATCH($E142,Roadmap!$D:$D,0)+COUNTIF($E142:T142,"u")+COUNTIF($E142:T142,"t")+COUNTIF($E142:T142,"¶")+COUNTIF($E142:T142,"²")+COUNTIF($E142:T142,"µ")+COUNTIF($E142:T142,1)-1,INDEX(Roadmap!$D:$K,MATCH($E142,Roadmap!$D:$D,0)-1+COUNTIF($E142:T142,"u")+COUNTIF($E142:T142,"t")+COUNTIF($E142:T142,"¶")+COUNTIF($E142:T142,"²")+COUNTIF($E142:T142,"µ")+COUNTIF($E142:T142,1),ColDescriptionCourte)),""),
  "")),"")</f>
        <v/>
      </c>
      <c r="V142" s="40" t="str">
        <f ca="1">IFERROR(IF(AND(
  INDEX(Roadmap!$D:$K,MATCH($E142,Roadmap!$D:$D,0)+COUNTIF($E142:U142,"u")+COUNTIF($E142:U142,"t")+COUNTIF($E142:U142,"¶")+COUNTIF($E142:U142,"²")+COUNTIF($E142:U142,"µ")+COUNTIF($E142:U142,1),ColLivraison)=V$6,
  VLOOKUP($E142,INDIRECT("tri!"&amp; CHAR(64+ C0Col) &amp;":"&amp; CHAR(65+C0Col)),2,FALSE)&gt;COUNTIF($E142:U142,"u")+COUNTIF($E142:U142,"t")+COUNTIF($E142:U142,"¶")+COUNTIF($E142:U142,"²")+COUNTIF($E142:U142,"µ")+COUNTIF($E142:U142,1)),
HYPERLINK("#Roadmap!C"&amp; MATCH($E142,Roadmap!$D:$D,0)+COUNTIF($E142:U142,"u")+COUNTIF($E142:U142,"t"),
     INDEX(Roadmap!$D:$K,MATCH($E142,Roadmap!$D:$D,0)+COUNTIF($E142:U142,"u")+COUNTIF($E142:U142,"t")+COUNTIF($E142:U142,"¶")+COUNTIF($E142:U142,"²")+COUNTIF($E142:U142,"µ")+COUNTIF($E142:U142,1),ColTypeEcheance)),
  IF(LEN(U142)=1,
  IF(LEN(INDEX(Roadmap!$D:$K,MATCH($E142,Roadmap!$D:$D,0)-1+COUNTIF($E142:U142,"u")+COUNTIF($E142:U142,"t")+COUNTIF($E142:U142,"¶")+COUNTIF($E142:U142,"²")+COUNTIF($E142:U142,"µ")+COUNTIF($E142:U142,1),ColDescriptionCourte))&gt;1,
HYPERLINK("#Roadmap!C"&amp; MATCH($E142,Roadmap!$D:$D,0)+COUNTIF($E142:U142,"u")+COUNTIF($E142:U142,"t")+COUNTIF($E142:U142,"¶")+COUNTIF($E142:U142,"²")+COUNTIF($E142:U142,"µ")+COUNTIF($E142:U142,1)-1,INDEX(Roadmap!$D:$K,MATCH($E142,Roadmap!$D:$D,0)-1+COUNTIF($E142:U142,"u")+COUNTIF($E142:U142,"t")+COUNTIF($E142:U142,"¶")+COUNTIF($E142:U142,"²")+COUNTIF($E142:U142,"µ")+COUNTIF($E142:U142,1),ColDescriptionCourte)),""),
  "")),"")</f>
        <v/>
      </c>
      <c r="W142" s="40" t="str">
        <f ca="1">IFERROR(IF(AND(
  INDEX(Roadmap!$D:$K,MATCH($E142,Roadmap!$D:$D,0)+COUNTIF($E142:V142,"u")+COUNTIF($E142:V142,"t")+COUNTIF($E142:V142,"¶")+COUNTIF($E142:V142,"²")+COUNTIF($E142:V142,"µ")+COUNTIF($E142:V142,1),ColLivraison)=W$6,
  VLOOKUP($E142,INDIRECT("tri!"&amp; CHAR(64+ C0Col) &amp;":"&amp; CHAR(65+C0Col)),2,FALSE)&gt;COUNTIF($E142:V142,"u")+COUNTIF($E142:V142,"t")+COUNTIF($E142:V142,"¶")+COUNTIF($E142:V142,"²")+COUNTIF($E142:V142,"µ")+COUNTIF($E142:V142,1)),
HYPERLINK("#Roadmap!C"&amp; MATCH($E142,Roadmap!$D:$D,0)+COUNTIF($E142:V142,"u")+COUNTIF($E142:V142,"t"),
     INDEX(Roadmap!$D:$K,MATCH($E142,Roadmap!$D:$D,0)+COUNTIF($E142:V142,"u")+COUNTIF($E142:V142,"t")+COUNTIF($E142:V142,"¶")+COUNTIF($E142:V142,"²")+COUNTIF($E142:V142,"µ")+COUNTIF($E142:V142,1),ColTypeEcheance)),
  IF(LEN(V142)=1,
  IF(LEN(INDEX(Roadmap!$D:$K,MATCH($E142,Roadmap!$D:$D,0)-1+COUNTIF($E142:V142,"u")+COUNTIF($E142:V142,"t")+COUNTIF($E142:V142,"¶")+COUNTIF($E142:V142,"²")+COUNTIF($E142:V142,"µ")+COUNTIF($E142:V142,1),ColDescriptionCourte))&gt;1,
HYPERLINK("#Roadmap!C"&amp; MATCH($E142,Roadmap!$D:$D,0)+COUNTIF($E142:V142,"u")+COUNTIF($E142:V142,"t")+COUNTIF($E142:V142,"¶")+COUNTIF($E142:V142,"²")+COUNTIF($E142:V142,"µ")+COUNTIF($E142:V142,1)-1,INDEX(Roadmap!$D:$K,MATCH($E142,Roadmap!$D:$D,0)-1+COUNTIF($E142:V142,"u")+COUNTIF($E142:V142,"t")+COUNTIF($E142:V142,"¶")+COUNTIF($E142:V142,"²")+COUNTIF($E142:V142,"µ")+COUNTIF($E142:V142,1),ColDescriptionCourte)),""),
  "")),"")</f>
        <v/>
      </c>
      <c r="X142" s="40" t="str">
        <f ca="1">IFERROR(IF(AND(
  INDEX(Roadmap!$D:$K,MATCH($E142,Roadmap!$D:$D,0)+COUNTIF($E142:W142,"u")+COUNTIF($E142:W142,"t")+COUNTIF($E142:W142,"¶")+COUNTIF($E142:W142,"²")+COUNTIF($E142:W142,"µ")+COUNTIF($E142:W142,1),ColLivraison)=X$6,
  VLOOKUP($E142,INDIRECT("tri!"&amp; CHAR(64+ C0Col) &amp;":"&amp; CHAR(65+C0Col)),2,FALSE)&gt;COUNTIF($E142:W142,"u")+COUNTIF($E142:W142,"t")+COUNTIF($E142:W142,"¶")+COUNTIF($E142:W142,"²")+COUNTIF($E142:W142,"µ")+COUNTIF($E142:W142,1)),
HYPERLINK("#Roadmap!C"&amp; MATCH($E142,Roadmap!$D:$D,0)+COUNTIF($E142:W142,"u")+COUNTIF($E142:W142,"t"),
     INDEX(Roadmap!$D:$K,MATCH($E142,Roadmap!$D:$D,0)+COUNTIF($E142:W142,"u")+COUNTIF($E142:W142,"t")+COUNTIF($E142:W142,"¶")+COUNTIF($E142:W142,"²")+COUNTIF($E142:W142,"µ")+COUNTIF($E142:W142,1),ColTypeEcheance)),
  IF(LEN(W142)=1,
  IF(LEN(INDEX(Roadmap!$D:$K,MATCH($E142,Roadmap!$D:$D,0)-1+COUNTIF($E142:W142,"u")+COUNTIF($E142:W142,"t")+COUNTIF($E142:W142,"¶")+COUNTIF($E142:W142,"²")+COUNTIF($E142:W142,"µ")+COUNTIF($E142:W142,1),ColDescriptionCourte))&gt;1,
HYPERLINK("#Roadmap!C"&amp; MATCH($E142,Roadmap!$D:$D,0)+COUNTIF($E142:W142,"u")+COUNTIF($E142:W142,"t")+COUNTIF($E142:W142,"¶")+COUNTIF($E142:W142,"²")+COUNTIF($E142:W142,"µ")+COUNTIF($E142:W142,1)-1,INDEX(Roadmap!$D:$K,MATCH($E142,Roadmap!$D:$D,0)-1+COUNTIF($E142:W142,"u")+COUNTIF($E142:W142,"t")+COUNTIF($E142:W142,"¶")+COUNTIF($E142:W142,"²")+COUNTIF($E142:W142,"µ")+COUNTIF($E142:W142,1),ColDescriptionCourte)),""),
  "")),"")</f>
        <v/>
      </c>
      <c r="Y142" s="40" t="str">
        <f ca="1">IFERROR(IF(AND(
  INDEX(Roadmap!$D:$K,MATCH($E142,Roadmap!$D:$D,0)+COUNTIF($E142:X142,"u")+COUNTIF($E142:X142,"t")+COUNTIF($E142:X142,"¶")+COUNTIF($E142:X142,"²")+COUNTIF($E142:X142,"µ")+COUNTIF($E142:X142,1),ColLivraison)=Y$6,
  VLOOKUP($E142,INDIRECT("tri!"&amp; CHAR(64+ C0Col) &amp;":"&amp; CHAR(65+C0Col)),2,FALSE)&gt;COUNTIF($E142:X142,"u")+COUNTIF($E142:X142,"t")+COUNTIF($E142:X142,"¶")+COUNTIF($E142:X142,"²")+COUNTIF($E142:X142,"µ")+COUNTIF($E142:X142,1)),
HYPERLINK("#Roadmap!C"&amp; MATCH($E142,Roadmap!$D:$D,0)+COUNTIF($E142:X142,"u")+COUNTIF($E142:X142,"t"),
     INDEX(Roadmap!$D:$K,MATCH($E142,Roadmap!$D:$D,0)+COUNTIF($E142:X142,"u")+COUNTIF($E142:X142,"t")+COUNTIF($E142:X142,"¶")+COUNTIF($E142:X142,"²")+COUNTIF($E142:X142,"µ")+COUNTIF($E142:X142,1),ColTypeEcheance)),
  IF(LEN(X142)=1,
  IF(LEN(INDEX(Roadmap!$D:$K,MATCH($E142,Roadmap!$D:$D,0)-1+COUNTIF($E142:X142,"u")+COUNTIF($E142:X142,"t")+COUNTIF($E142:X142,"¶")+COUNTIF($E142:X142,"²")+COUNTIF($E142:X142,"µ")+COUNTIF($E142:X142,1),ColDescriptionCourte))&gt;1,
HYPERLINK("#Roadmap!C"&amp; MATCH($E142,Roadmap!$D:$D,0)+COUNTIF($E142:X142,"u")+COUNTIF($E142:X142,"t")+COUNTIF($E142:X142,"¶")+COUNTIF($E142:X142,"²")+COUNTIF($E142:X142,"µ")+COUNTIF($E142:X142,1)-1,INDEX(Roadmap!$D:$K,MATCH($E142,Roadmap!$D:$D,0)-1+COUNTIF($E142:X142,"u")+COUNTIF($E142:X142,"t")+COUNTIF($E142:X142,"¶")+COUNTIF($E142:X142,"²")+COUNTIF($E142:X142,"µ")+COUNTIF($E142:X142,1),ColDescriptionCourte)),""),
  "")),"")</f>
        <v/>
      </c>
      <c r="Z142" s="40" t="str">
        <f ca="1">IFERROR(IF(AND(
  INDEX(Roadmap!$D:$K,MATCH($E142,Roadmap!$D:$D,0)+COUNTIF($E142:Y142,"u")+COUNTIF($E142:Y142,"t")+COUNTIF($E142:Y142,"¶")+COUNTIF($E142:Y142,"²")+COUNTIF($E142:Y142,"µ")+COUNTIF($E142:Y142,1),ColLivraison)=Z$6,
  VLOOKUP($E142,INDIRECT("tri!"&amp; CHAR(64+ C0Col) &amp;":"&amp; CHAR(65+C0Col)),2,FALSE)&gt;COUNTIF($E142:Y142,"u")+COUNTIF($E142:Y142,"t")+COUNTIF($E142:Y142,"¶")+COUNTIF($E142:Y142,"²")+COUNTIF($E142:Y142,"µ")+COUNTIF($E142:Y142,1)),
HYPERLINK("#Roadmap!C"&amp; MATCH($E142,Roadmap!$D:$D,0)+COUNTIF($E142:Y142,"u")+COUNTIF($E142:Y142,"t"),
     INDEX(Roadmap!$D:$K,MATCH($E142,Roadmap!$D:$D,0)+COUNTIF($E142:Y142,"u")+COUNTIF($E142:Y142,"t")+COUNTIF($E142:Y142,"¶")+COUNTIF($E142:Y142,"²")+COUNTIF($E142:Y142,"µ")+COUNTIF($E142:Y142,1),ColTypeEcheance)),
  IF(LEN(Y142)=1,
  IF(LEN(INDEX(Roadmap!$D:$K,MATCH($E142,Roadmap!$D:$D,0)-1+COUNTIF($E142:Y142,"u")+COUNTIF($E142:Y142,"t")+COUNTIF($E142:Y142,"¶")+COUNTIF($E142:Y142,"²")+COUNTIF($E142:Y142,"µ")+COUNTIF($E142:Y142,1),ColDescriptionCourte))&gt;1,
HYPERLINK("#Roadmap!C"&amp; MATCH($E142,Roadmap!$D:$D,0)+COUNTIF($E142:Y142,"u")+COUNTIF($E142:Y142,"t")+COUNTIF($E142:Y142,"¶")+COUNTIF($E142:Y142,"²")+COUNTIF($E142:Y142,"µ")+COUNTIF($E142:Y142,1)-1,INDEX(Roadmap!$D:$K,MATCH($E142,Roadmap!$D:$D,0)-1+COUNTIF($E142:Y142,"u")+COUNTIF($E142:Y142,"t")+COUNTIF($E142:Y142,"¶")+COUNTIF($E142:Y142,"²")+COUNTIF($E142:Y142,"µ")+COUNTIF($E142:Y142,1),ColDescriptionCourte)),""),
  "")),"")</f>
        <v/>
      </c>
      <c r="AA142" s="40" t="str">
        <f ca="1">IFERROR(IF(AND(
  INDEX(Roadmap!$D:$K,MATCH($E142,Roadmap!$D:$D,0)+COUNTIF($E142:Z142,"u")+COUNTIF($E142:Z142,"t")+COUNTIF($E142:Z142,"¶")+COUNTIF($E142:Z142,"²")+COUNTIF($E142:Z142,"µ")+COUNTIF($E142:Z142,1),ColLivraison)=AA$6,
  VLOOKUP($E142,INDIRECT("tri!"&amp; CHAR(64+ C0Col) &amp;":"&amp; CHAR(65+C0Col)),2,FALSE)&gt;COUNTIF($E142:Z142,"u")+COUNTIF($E142:Z142,"t")+COUNTIF($E142:Z142,"¶")+COUNTIF($E142:Z142,"²")+COUNTIF($E142:Z142,"µ")+COUNTIF($E142:Z142,1)),
HYPERLINK("#Roadmap!C"&amp; MATCH($E142,Roadmap!$D:$D,0)+COUNTIF($E142:Z142,"u")+COUNTIF($E142:Z142,"t"),
     INDEX(Roadmap!$D:$K,MATCH($E142,Roadmap!$D:$D,0)+COUNTIF($E142:Z142,"u")+COUNTIF($E142:Z142,"t")+COUNTIF($E142:Z142,"¶")+COUNTIF($E142:Z142,"²")+COUNTIF($E142:Z142,"µ")+COUNTIF($E142:Z142,1),ColTypeEcheance)),
  IF(LEN(Z142)=1,
  IF(LEN(INDEX(Roadmap!$D:$K,MATCH($E142,Roadmap!$D:$D,0)-1+COUNTIF($E142:Z142,"u")+COUNTIF($E142:Z142,"t")+COUNTIF($E142:Z142,"¶")+COUNTIF($E142:Z142,"²")+COUNTIF($E142:Z142,"µ")+COUNTIF($E142:Z142,1),ColDescriptionCourte))&gt;1,
HYPERLINK("#Roadmap!C"&amp; MATCH($E142,Roadmap!$D:$D,0)+COUNTIF($E142:Z142,"u")+COUNTIF($E142:Z142,"t")+COUNTIF($E142:Z142,"¶")+COUNTIF($E142:Z142,"²")+COUNTIF($E142:Z142,"µ")+COUNTIF($E142:Z142,1)-1,INDEX(Roadmap!$D:$K,MATCH($E142,Roadmap!$D:$D,0)-1+COUNTIF($E142:Z142,"u")+COUNTIF($E142:Z142,"t")+COUNTIF($E142:Z142,"¶")+COUNTIF($E142:Z142,"²")+COUNTIF($E142:Z142,"µ")+COUNTIF($E142:Z142,1),ColDescriptionCourte)),""),
  "")),"")</f>
        <v/>
      </c>
      <c r="AB142" s="40" t="str">
        <f ca="1">IFERROR(IF(AND(
  INDEX(Roadmap!$D:$K,MATCH($E142,Roadmap!$D:$D,0)+COUNTIF($E142:AA142,"u")+COUNTIF($E142:AA142,"t")+COUNTIF($E142:AA142,"¶")+COUNTIF($E142:AA142,"²")+COUNTIF($E142:AA142,"µ")+COUNTIF($E142:AA142,1),ColLivraison)=AB$6,
  VLOOKUP($E142,INDIRECT("tri!"&amp; CHAR(64+ C0Col) &amp;":"&amp; CHAR(65+C0Col)),2,FALSE)&gt;COUNTIF($E142:AA142,"u")+COUNTIF($E142:AA142,"t")+COUNTIF($E142:AA142,"¶")+COUNTIF($E142:AA142,"²")+COUNTIF($E142:AA142,"µ")+COUNTIF($E142:AA142,1)),
HYPERLINK("#Roadmap!C"&amp; MATCH($E142,Roadmap!$D:$D,0)+COUNTIF($E142:AA142,"u")+COUNTIF($E142:AA142,"t"),
     INDEX(Roadmap!$D:$K,MATCH($E142,Roadmap!$D:$D,0)+COUNTIF($E142:AA142,"u")+COUNTIF($E142:AA142,"t")+COUNTIF($E142:AA142,"¶")+COUNTIF($E142:AA142,"²")+COUNTIF($E142:AA142,"µ")+COUNTIF($E142:AA142,1),ColTypeEcheance)),
  IF(LEN(AA142)=1,
  IF(LEN(INDEX(Roadmap!$D:$K,MATCH($E142,Roadmap!$D:$D,0)-1+COUNTIF($E142:AA142,"u")+COUNTIF($E142:AA142,"t")+COUNTIF($E142:AA142,"¶")+COUNTIF($E142:AA142,"²")+COUNTIF($E142:AA142,"µ")+COUNTIF($E142:AA142,1),ColDescriptionCourte))&gt;1,
HYPERLINK("#Roadmap!C"&amp; MATCH($E142,Roadmap!$D:$D,0)+COUNTIF($E142:AA142,"u")+COUNTIF($E142:AA142,"t")+COUNTIF($E142:AA142,"¶")+COUNTIF($E142:AA142,"²")+COUNTIF($E142:AA142,"µ")+COUNTIF($E142:AA142,1)-1,INDEX(Roadmap!$D:$K,MATCH($E142,Roadmap!$D:$D,0)-1+COUNTIF($E142:AA142,"u")+COUNTIF($E142:AA142,"t")+COUNTIF($E142:AA142,"¶")+COUNTIF($E142:AA142,"²")+COUNTIF($E142:AA142,"µ")+COUNTIF($E142:AA142,1),ColDescriptionCourte)),""),
  "")),"")</f>
        <v/>
      </c>
      <c r="AC142" s="40" t="str">
        <f ca="1">IFERROR(IF(AND(
  INDEX(Roadmap!$D:$K,MATCH($E142,Roadmap!$D:$D,0)+COUNTIF($E142:AB142,"u")+COUNTIF($E142:AB142,"t")+COUNTIF($E142:AB142,"¶")+COUNTIF($E142:AB142,"²")+COUNTIF($E142:AB142,"µ")+COUNTIF($E142:AB142,1),ColLivraison)=AC$6,
  VLOOKUP($E142,INDIRECT("tri!"&amp; CHAR(64+ C0Col) &amp;":"&amp; CHAR(65+C0Col)),2,FALSE)&gt;COUNTIF($E142:AB142,"u")+COUNTIF($E142:AB142,"t")+COUNTIF($E142:AB142,"¶")+COUNTIF($E142:AB142,"²")+COUNTIF($E142:AB142,"µ")+COUNTIF($E142:AB142,1)),
HYPERLINK("#Roadmap!C"&amp; MATCH($E142,Roadmap!$D:$D,0)+COUNTIF($E142:AB142,"u")+COUNTIF($E142:AB142,"t"),
     INDEX(Roadmap!$D:$K,MATCH($E142,Roadmap!$D:$D,0)+COUNTIF($E142:AB142,"u")+COUNTIF($E142:AB142,"t")+COUNTIF($E142:AB142,"¶")+COUNTIF($E142:AB142,"²")+COUNTIF($E142:AB142,"µ")+COUNTIF($E142:AB142,1),ColTypeEcheance)),
  IF(LEN(AB142)=1,
  IF(LEN(INDEX(Roadmap!$D:$K,MATCH($E142,Roadmap!$D:$D,0)-1+COUNTIF($E142:AB142,"u")+COUNTIF($E142:AB142,"t")+COUNTIF($E142:AB142,"¶")+COUNTIF($E142:AB142,"²")+COUNTIF($E142:AB142,"µ")+COUNTIF($E142:AB142,1),ColDescriptionCourte))&gt;1,
HYPERLINK("#Roadmap!C"&amp; MATCH($E142,Roadmap!$D:$D,0)+COUNTIF($E142:AB142,"u")+COUNTIF($E142:AB142,"t")+COUNTIF($E142:AB142,"¶")+COUNTIF($E142:AB142,"²")+COUNTIF($E142:AB142,"µ")+COUNTIF($E142:AB142,1)-1,INDEX(Roadmap!$D:$K,MATCH($E142,Roadmap!$D:$D,0)-1+COUNTIF($E142:AB142,"u")+COUNTIF($E142:AB142,"t")+COUNTIF($E142:AB142,"¶")+COUNTIF($E142:AB142,"²")+COUNTIF($E142:AB142,"µ")+COUNTIF($E142:AB142,1),ColDescriptionCourte)),""),
  "")),"")</f>
        <v/>
      </c>
      <c r="AD142" s="40" t="str">
        <f ca="1">IFERROR(IF(AND(
  INDEX(Roadmap!$D:$K,MATCH($E142,Roadmap!$D:$D,0)+COUNTIF($E142:AC142,"u")+COUNTIF($E142:AC142,"t")+COUNTIF($E142:AC142,"¶")+COUNTIF($E142:AC142,"²")+COUNTIF($E142:AC142,"µ")+COUNTIF($E142:AC142,1),ColLivraison)=AD$6,
  VLOOKUP($E142,INDIRECT("tri!"&amp; CHAR(64+ C0Col) &amp;":"&amp; CHAR(65+C0Col)),2,FALSE)&gt;COUNTIF($E142:AC142,"u")+COUNTIF($E142:AC142,"t")+COUNTIF($E142:AC142,"¶")+COUNTIF($E142:AC142,"²")+COUNTIF($E142:AC142,"µ")+COUNTIF($E142:AC142,1)),
HYPERLINK("#Roadmap!C"&amp; MATCH($E142,Roadmap!$D:$D,0)+COUNTIF($E142:AC142,"u")+COUNTIF($E142:AC142,"t"),
     INDEX(Roadmap!$D:$K,MATCH($E142,Roadmap!$D:$D,0)+COUNTIF($E142:AC142,"u")+COUNTIF($E142:AC142,"t")+COUNTIF($E142:AC142,"¶")+COUNTIF($E142:AC142,"²")+COUNTIF($E142:AC142,"µ")+COUNTIF($E142:AC142,1),ColTypeEcheance)),
  IF(LEN(AC142)=1,
  IF(LEN(INDEX(Roadmap!$D:$K,MATCH($E142,Roadmap!$D:$D,0)-1+COUNTIF($E142:AC142,"u")+COUNTIF($E142:AC142,"t")+COUNTIF($E142:AC142,"¶")+COUNTIF($E142:AC142,"²")+COUNTIF($E142:AC142,"µ")+COUNTIF($E142:AC142,1),ColDescriptionCourte))&gt;1,
HYPERLINK("#Roadmap!C"&amp; MATCH($E142,Roadmap!$D:$D,0)+COUNTIF($E142:AC142,"u")+COUNTIF($E142:AC142,"t")+COUNTIF($E142:AC142,"¶")+COUNTIF($E142:AC142,"²")+COUNTIF($E142:AC142,"µ")+COUNTIF($E142:AC142,1)-1,INDEX(Roadmap!$D:$K,MATCH($E142,Roadmap!$D:$D,0)-1+COUNTIF($E142:AC142,"u")+COUNTIF($E142:AC142,"t")+COUNTIF($E142:AC142,"¶")+COUNTIF($E142:AC142,"²")+COUNTIF($E142:AC142,"µ")+COUNTIF($E142:AC142,1),ColDescriptionCourte)),""),
  "")),"")</f>
        <v/>
      </c>
      <c r="AE142" s="40" t="str">
        <f ca="1">IFERROR(IF(AND(
  INDEX(Roadmap!$D:$K,MATCH($E142,Roadmap!$D:$D,0)+COUNTIF($E142:AD142,"u")+COUNTIF($E142:AD142,"t")+COUNTIF($E142:AD142,"¶")+COUNTIF($E142:AD142,"²")+COUNTIF($E142:AD142,"µ")+COUNTIF($E142:AD142,1),ColLivraison)=AE$6,
  VLOOKUP($E142,INDIRECT("tri!"&amp; CHAR(64+ C0Col) &amp;":"&amp; CHAR(65+C0Col)),2,FALSE)&gt;COUNTIF($E142:AD142,"u")+COUNTIF($E142:AD142,"t")+COUNTIF($E142:AD142,"¶")+COUNTIF($E142:AD142,"²")+COUNTIF($E142:AD142,"µ")+COUNTIF($E142:AD142,1)),
HYPERLINK("#Roadmap!C"&amp; MATCH($E142,Roadmap!$D:$D,0)+COUNTIF($E142:AD142,"u")+COUNTIF($E142:AD142,"t"),
     INDEX(Roadmap!$D:$K,MATCH($E142,Roadmap!$D:$D,0)+COUNTIF($E142:AD142,"u")+COUNTIF($E142:AD142,"t")+COUNTIF($E142:AD142,"¶")+COUNTIF($E142:AD142,"²")+COUNTIF($E142:AD142,"µ")+COUNTIF($E142:AD142,1),ColTypeEcheance)),
  IF(LEN(AD142)=1,
  IF(LEN(INDEX(Roadmap!$D:$K,MATCH($E142,Roadmap!$D:$D,0)-1+COUNTIF($E142:AD142,"u")+COUNTIF($E142:AD142,"t")+COUNTIF($E142:AD142,"¶")+COUNTIF($E142:AD142,"²")+COUNTIF($E142:AD142,"µ")+COUNTIF($E142:AD142,1),ColDescriptionCourte))&gt;1,
HYPERLINK("#Roadmap!C"&amp; MATCH($E142,Roadmap!$D:$D,0)+COUNTIF($E142:AD142,"u")+COUNTIF($E142:AD142,"t")+COUNTIF($E142:AD142,"¶")+COUNTIF($E142:AD142,"²")+COUNTIF($E142:AD142,"µ")+COUNTIF($E142:AD142,1)-1,INDEX(Roadmap!$D:$K,MATCH($E142,Roadmap!$D:$D,0)-1+COUNTIF($E142:AD142,"u")+COUNTIF($E142:AD142,"t")+COUNTIF($E142:AD142,"¶")+COUNTIF($E142:AD142,"²")+COUNTIF($E142:AD142,"µ")+COUNTIF($E142:AD142,1),ColDescriptionCourte)),""),
  "")),"")</f>
        <v/>
      </c>
      <c r="AF142" s="40" t="str">
        <f ca="1">IFERROR(IF(AND(
  INDEX(Roadmap!$D:$K,MATCH($E142,Roadmap!$D:$D,0)+COUNTIF($E142:AE142,"u")+COUNTIF($E142:AE142,"t")+COUNTIF($E142:AE142,"¶")+COUNTIF($E142:AE142,"²")+COUNTIF($E142:AE142,"µ")+COUNTIF($E142:AE142,1),ColLivraison)=AF$6,
  VLOOKUP($E142,INDIRECT("tri!"&amp; CHAR(64+ C0Col) &amp;":"&amp; CHAR(65+C0Col)),2,FALSE)&gt;COUNTIF($E142:AE142,"u")+COUNTIF($E142:AE142,"t")+COUNTIF($E142:AE142,"¶")+COUNTIF($E142:AE142,"²")+COUNTIF($E142:AE142,"µ")+COUNTIF($E142:AE142,1)),
HYPERLINK("#Roadmap!C"&amp; MATCH($E142,Roadmap!$D:$D,0)+COUNTIF($E142:AE142,"u")+COUNTIF($E142:AE142,"t"),
     INDEX(Roadmap!$D:$K,MATCH($E142,Roadmap!$D:$D,0)+COUNTIF($E142:AE142,"u")+COUNTIF($E142:AE142,"t")+COUNTIF($E142:AE142,"¶")+COUNTIF($E142:AE142,"²")+COUNTIF($E142:AE142,"µ")+COUNTIF($E142:AE142,1),ColTypeEcheance)),
  IF(LEN(AE142)=1,
  IF(LEN(INDEX(Roadmap!$D:$K,MATCH($E142,Roadmap!$D:$D,0)-1+COUNTIF($E142:AE142,"u")+COUNTIF($E142:AE142,"t")+COUNTIF($E142:AE142,"¶")+COUNTIF($E142:AE142,"²")+COUNTIF($E142:AE142,"µ")+COUNTIF($E142:AE142,1),ColDescriptionCourte))&gt;1,
HYPERLINK("#Roadmap!C"&amp; MATCH($E142,Roadmap!$D:$D,0)+COUNTIF($E142:AE142,"u")+COUNTIF($E142:AE142,"t")+COUNTIF($E142:AE142,"¶")+COUNTIF($E142:AE142,"²")+COUNTIF($E142:AE142,"µ")+COUNTIF($E142:AE142,1)-1,INDEX(Roadmap!$D:$K,MATCH($E142,Roadmap!$D:$D,0)-1+COUNTIF($E142:AE142,"u")+COUNTIF($E142:AE142,"t")+COUNTIF($E142:AE142,"¶")+COUNTIF($E142:AE142,"²")+COUNTIF($E142:AE142,"µ")+COUNTIF($E142:AE142,1),ColDescriptionCourte)),""),
  "")),"")</f>
        <v/>
      </c>
      <c r="AG142" s="40" t="str">
        <f ca="1">IFERROR(IF(AND(
  INDEX(Roadmap!$D:$K,MATCH($E142,Roadmap!$D:$D,0)+COUNTIF($E142:AF142,"u")+COUNTIF($E142:AF142,"t")+COUNTIF($E142:AF142,"¶")+COUNTIF($E142:AF142,"²")+COUNTIF($E142:AF142,"µ")+COUNTIF($E142:AF142,1),ColLivraison)=AG$6,
  VLOOKUP($E142,INDIRECT("tri!"&amp; CHAR(64+ C0Col) &amp;":"&amp; CHAR(65+C0Col)),2,FALSE)&gt;COUNTIF($E142:AF142,"u")+COUNTIF($E142:AF142,"t")+COUNTIF($E142:AF142,"¶")+COUNTIF($E142:AF142,"²")+COUNTIF($E142:AF142,"µ")+COUNTIF($E142:AF142,1)),
HYPERLINK("#Roadmap!C"&amp; MATCH($E142,Roadmap!$D:$D,0)+COUNTIF($E142:AF142,"u")+COUNTIF($E142:AF142,"t"),
     INDEX(Roadmap!$D:$K,MATCH($E142,Roadmap!$D:$D,0)+COUNTIF($E142:AF142,"u")+COUNTIF($E142:AF142,"t")+COUNTIF($E142:AF142,"¶")+COUNTIF($E142:AF142,"²")+COUNTIF($E142:AF142,"µ")+COUNTIF($E142:AF142,1),ColTypeEcheance)),
  IF(LEN(AF142)=1,
  IF(LEN(INDEX(Roadmap!$D:$K,MATCH($E142,Roadmap!$D:$D,0)-1+COUNTIF($E142:AF142,"u")+COUNTIF($E142:AF142,"t")+COUNTIF($E142:AF142,"¶")+COUNTIF($E142:AF142,"²")+COUNTIF($E142:AF142,"µ")+COUNTIF($E142:AF142,1),ColDescriptionCourte))&gt;1,
HYPERLINK("#Roadmap!C"&amp; MATCH($E142,Roadmap!$D:$D,0)+COUNTIF($E142:AF142,"u")+COUNTIF($E142:AF142,"t")+COUNTIF($E142:AF142,"¶")+COUNTIF($E142:AF142,"²")+COUNTIF($E142:AF142,"µ")+COUNTIF($E142:AF142,1)-1,INDEX(Roadmap!$D:$K,MATCH($E142,Roadmap!$D:$D,0)-1+COUNTIF($E142:AF142,"u")+COUNTIF($E142:AF142,"t")+COUNTIF($E142:AF142,"¶")+COUNTIF($E142:AF142,"²")+COUNTIF($E142:AF142,"µ")+COUNTIF($E142:AF142,1),ColDescriptionCourte)),""),
  "")),"")</f>
        <v/>
      </c>
    </row>
    <row r="143" spans="3:33" ht="14.25" customHeight="1">
      <c r="C143" s="1" t="str">
        <f t="shared" ca="1" si="52"/>
        <v/>
      </c>
      <c r="D143" s="1" t="str">
        <f t="shared" ca="1" si="53"/>
        <v/>
      </c>
      <c r="E143" s="35" t="str">
        <f t="shared" ca="1" si="51"/>
        <v/>
      </c>
      <c r="F143" s="39" t="str">
        <f ca="1">IFERROR(IF(AND(
  INDEX(Roadmap!$D:$K,MATCH($E143,Roadmap!$D:$D,0)+COUNTIF($E143:E143,"u")+COUNTIF($E143:E143,"t")+COUNTIF($E143:E143,"¶")+COUNTIF($E143:E143,"²")+COUNTIF($E143:E143,"µ")+COUNTIF($E143:E143,1),ColLivraison)=F$6,
  VLOOKUP($E143,INDIRECT("tri!"&amp; CHAR(64+ C0Col) &amp;":"&amp; CHAR(65+C0Col)),2,FALSE)&gt;COUNTIF($E143:E143,"u")+COUNTIF($E143:E143,"t")+COUNTIF($E143:E143,"¶")+COUNTIF($E143:E143,"²")+COUNTIF($E143:E143,"µ")+COUNTIF($E143:E143,1)),
HYPERLINK("#Roadmap!C"&amp; MATCH($E143,Roadmap!$D:$D,0)+COUNTIF($E143:E143,"u")+COUNTIF($E143:E143,"t"),
     INDEX(Roadmap!$D:$K,MATCH($E143,Roadmap!$D:$D,0)+COUNTIF($E143:E143,"u")+COUNTIF($E143:E143,"t")+COUNTIF($E143:E143,"¶")+COUNTIF($E143:E143,"²")+COUNTIF($E143:E143,"µ")+COUNTIF($E143:E143,1),ColTypeEcheance)),
  IF(LEN(E143)=1,
  IF(LEN(INDEX(Roadmap!$D:$K,MATCH($E143,Roadmap!$D:$D,0)-1+COUNTIF($E143:E143,"u")+COUNTIF($E143:E143,"t")+COUNTIF($E143:E143,"¶")+COUNTIF($E143:E143,"²")+COUNTIF($E143:E143,"µ")+COUNTIF($E143:E143,1),ColDescriptionCourte))&gt;1,
HYPERLINK("#Roadmap!C"&amp; MATCH($E143,Roadmap!$D:$D,0)+COUNTIF($E143:E143,"u")+COUNTIF($E143:E143,"t")+COUNTIF($E143:E143,"¶")+COUNTIF($E143:E143,"²")+COUNTIF($E143:E143,"µ")+COUNTIF($E143:E143,1)-1,INDEX(Roadmap!$D:$K,MATCH($E143,Roadmap!$D:$D,0)-1+COUNTIF($E143:E143,"u")+COUNTIF($E143:E143,"t")+COUNTIF($E143:E143,"¶")+COUNTIF($E143:E143,"²")+COUNTIF($E143:E143,"µ")+COUNTIF($E143:E143,1),ColDescriptionCourte)),""),
  "")),"")</f>
        <v/>
      </c>
      <c r="G143" s="40" t="str">
        <f ca="1">IFERROR(IF(AND(
  INDEX(Roadmap!$D:$K,MATCH($E143,Roadmap!$D:$D,0)+COUNTIF($E143:F143,"u")+COUNTIF($E143:F143,"t")+COUNTIF($E143:F143,"¶")+COUNTIF($E143:F143,"²")+COUNTIF($E143:F143,"µ")+COUNTIF($E143:F143,1),ColLivraison)=G$6,
  VLOOKUP($E143,INDIRECT("tri!"&amp; CHAR(64+ C0Col) &amp;":"&amp; CHAR(65+C0Col)),2,FALSE)&gt;COUNTIF($E143:F143,"u")+COUNTIF($E143:F143,"t")+COUNTIF($E143:F143,"¶")+COUNTIF($E143:F143,"²")+COUNTIF($E143:F143,"µ")+COUNTIF($E143:F143,1)),
HYPERLINK("#Roadmap!C"&amp; MATCH($E143,Roadmap!$D:$D,0)+COUNTIF($E143:F143,"u")+COUNTIF($E143:F143,"t"),
     INDEX(Roadmap!$D:$K,MATCH($E143,Roadmap!$D:$D,0)+COUNTIF($E143:F143,"u")+COUNTIF($E143:F143,"t")+COUNTIF($E143:F143,"¶")+COUNTIF($E143:F143,"²")+COUNTIF($E143:F143,"µ")+COUNTIF($E143:F143,1),ColTypeEcheance)),
  IF(LEN(F143)=1,
  IF(LEN(INDEX(Roadmap!$D:$K,MATCH($E143,Roadmap!$D:$D,0)-1+COUNTIF($E143:F143,"u")+COUNTIF($E143:F143,"t")+COUNTIF($E143:F143,"¶")+COUNTIF($E143:F143,"²")+COUNTIF($E143:F143,"µ")+COUNTIF($E143:F143,1),ColDescriptionCourte))&gt;1,
HYPERLINK("#Roadmap!C"&amp; MATCH($E143,Roadmap!$D:$D,0)+COUNTIF($E143:F143,"u")+COUNTIF($E143:F143,"t")+COUNTIF($E143:F143,"¶")+COUNTIF($E143:F143,"²")+COUNTIF($E143:F143,"µ")+COUNTIF($E143:F143,1)-1,INDEX(Roadmap!$D:$K,MATCH($E143,Roadmap!$D:$D,0)-1+COUNTIF($E143:F143,"u")+COUNTIF($E143:F143,"t")+COUNTIF($E143:F143,"¶")+COUNTIF($E143:F143,"²")+COUNTIF($E143:F143,"µ")+COUNTIF($E143:F143,1),ColDescriptionCourte)),""),
  "")),"")</f>
        <v/>
      </c>
      <c r="H143" s="40" t="str">
        <f ca="1">IFERROR(IF(AND(
  INDEX(Roadmap!$D:$K,MATCH($E143,Roadmap!$D:$D,0)+COUNTIF($E143:G143,"u")+COUNTIF($E143:G143,"t")+COUNTIF($E143:G143,"¶")+COUNTIF($E143:G143,"²")+COUNTIF($E143:G143,"µ")+COUNTIF($E143:G143,1),ColLivraison)=H$6,
  VLOOKUP($E143,INDIRECT("tri!"&amp; CHAR(64+ C0Col) &amp;":"&amp; CHAR(65+C0Col)),2,FALSE)&gt;COUNTIF($E143:G143,"u")+COUNTIF($E143:G143,"t")+COUNTIF($E143:G143,"¶")+COUNTIF($E143:G143,"²")+COUNTIF($E143:G143,"µ")+COUNTIF($E143:G143,1)),
HYPERLINK("#Roadmap!C"&amp; MATCH($E143,Roadmap!$D:$D,0)+COUNTIF($E143:G143,"u")+COUNTIF($E143:G143,"t"),
     INDEX(Roadmap!$D:$K,MATCH($E143,Roadmap!$D:$D,0)+COUNTIF($E143:G143,"u")+COUNTIF($E143:G143,"t")+COUNTIF($E143:G143,"¶")+COUNTIF($E143:G143,"²")+COUNTIF($E143:G143,"µ")+COUNTIF($E143:G143,1),ColTypeEcheance)),
  IF(LEN(G143)=1,
  IF(LEN(INDEX(Roadmap!$D:$K,MATCH($E143,Roadmap!$D:$D,0)-1+COUNTIF($E143:G143,"u")+COUNTIF($E143:G143,"t")+COUNTIF($E143:G143,"¶")+COUNTIF($E143:G143,"²")+COUNTIF($E143:G143,"µ")+COUNTIF($E143:G143,1),ColDescriptionCourte))&gt;1,
HYPERLINK("#Roadmap!C"&amp; MATCH($E143,Roadmap!$D:$D,0)+COUNTIF($E143:G143,"u")+COUNTIF($E143:G143,"t")+COUNTIF($E143:G143,"¶")+COUNTIF($E143:G143,"²")+COUNTIF($E143:G143,"µ")+COUNTIF($E143:G143,1)-1,INDEX(Roadmap!$D:$K,MATCH($E143,Roadmap!$D:$D,0)-1+COUNTIF($E143:G143,"u")+COUNTIF($E143:G143,"t")+COUNTIF($E143:G143,"¶")+COUNTIF($E143:G143,"²")+COUNTIF($E143:G143,"µ")+COUNTIF($E143:G143,1),ColDescriptionCourte)),""),
  "")),"")</f>
        <v/>
      </c>
      <c r="I143" s="40" t="str">
        <f ca="1">IFERROR(IF(AND(
  INDEX(Roadmap!$D:$K,MATCH($E143,Roadmap!$D:$D,0)+COUNTIF($E143:H143,"u")+COUNTIF($E143:H143,"t")+COUNTIF($E143:H143,"¶")+COUNTIF($E143:H143,"²")+COUNTIF($E143:H143,"µ")+COUNTIF($E143:H143,1),ColLivraison)=I$6,
  VLOOKUP($E143,INDIRECT("tri!"&amp; CHAR(64+ C0Col) &amp;":"&amp; CHAR(65+C0Col)),2,FALSE)&gt;COUNTIF($E143:H143,"u")+COUNTIF($E143:H143,"t")+COUNTIF($E143:H143,"¶")+COUNTIF($E143:H143,"²")+COUNTIF($E143:H143,"µ")+COUNTIF($E143:H143,1)),
HYPERLINK("#Roadmap!C"&amp; MATCH($E143,Roadmap!$D:$D,0)+COUNTIF($E143:H143,"u")+COUNTIF($E143:H143,"t"),
     INDEX(Roadmap!$D:$K,MATCH($E143,Roadmap!$D:$D,0)+COUNTIF($E143:H143,"u")+COUNTIF($E143:H143,"t")+COUNTIF($E143:H143,"¶")+COUNTIF($E143:H143,"²")+COUNTIF($E143:H143,"µ")+COUNTIF($E143:H143,1),ColTypeEcheance)),
  IF(LEN(H143)=1,
  IF(LEN(INDEX(Roadmap!$D:$K,MATCH($E143,Roadmap!$D:$D,0)-1+COUNTIF($E143:H143,"u")+COUNTIF($E143:H143,"t")+COUNTIF($E143:H143,"¶")+COUNTIF($E143:H143,"²")+COUNTIF($E143:H143,"µ")+COUNTIF($E143:H143,1),ColDescriptionCourte))&gt;1,
HYPERLINK("#Roadmap!C"&amp; MATCH($E143,Roadmap!$D:$D,0)+COUNTIF($E143:H143,"u")+COUNTIF($E143:H143,"t")+COUNTIF($E143:H143,"¶")+COUNTIF($E143:H143,"²")+COUNTIF($E143:H143,"µ")+COUNTIF($E143:H143,1)-1,INDEX(Roadmap!$D:$K,MATCH($E143,Roadmap!$D:$D,0)-1+COUNTIF($E143:H143,"u")+COUNTIF($E143:H143,"t")+COUNTIF($E143:H143,"¶")+COUNTIF($E143:H143,"²")+COUNTIF($E143:H143,"µ")+COUNTIF($E143:H143,1),ColDescriptionCourte)),""),
  "")),"")</f>
        <v/>
      </c>
      <c r="J143" s="40" t="str">
        <f ca="1">IFERROR(IF(AND(
  INDEX(Roadmap!$D:$K,MATCH($E143,Roadmap!$D:$D,0)+COUNTIF($E143:I143,"u")+COUNTIF($E143:I143,"t")+COUNTIF($E143:I143,"¶")+COUNTIF($E143:I143,"²")+COUNTIF($E143:I143,"µ")+COUNTIF($E143:I143,1),ColLivraison)=J$6,
  VLOOKUP($E143,INDIRECT("tri!"&amp; CHAR(64+ C0Col) &amp;":"&amp; CHAR(65+C0Col)),2,FALSE)&gt;COUNTIF($E143:I143,"u")+COUNTIF($E143:I143,"t")+COUNTIF($E143:I143,"¶")+COUNTIF($E143:I143,"²")+COUNTIF($E143:I143,"µ")+COUNTIF($E143:I143,1)),
HYPERLINK("#Roadmap!C"&amp; MATCH($E143,Roadmap!$D:$D,0)+COUNTIF($E143:I143,"u")+COUNTIF($E143:I143,"t"),
     INDEX(Roadmap!$D:$K,MATCH($E143,Roadmap!$D:$D,0)+COUNTIF($E143:I143,"u")+COUNTIF($E143:I143,"t")+COUNTIF($E143:I143,"¶")+COUNTIF($E143:I143,"²")+COUNTIF($E143:I143,"µ")+COUNTIF($E143:I143,1),ColTypeEcheance)),
  IF(LEN(I143)=1,
  IF(LEN(INDEX(Roadmap!$D:$K,MATCH($E143,Roadmap!$D:$D,0)-1+COUNTIF($E143:I143,"u")+COUNTIF($E143:I143,"t")+COUNTIF($E143:I143,"¶")+COUNTIF($E143:I143,"²")+COUNTIF($E143:I143,"µ")+COUNTIF($E143:I143,1),ColDescriptionCourte))&gt;1,
HYPERLINK("#Roadmap!C"&amp; MATCH($E143,Roadmap!$D:$D,0)+COUNTIF($E143:I143,"u")+COUNTIF($E143:I143,"t")+COUNTIF($E143:I143,"¶")+COUNTIF($E143:I143,"²")+COUNTIF($E143:I143,"µ")+COUNTIF($E143:I143,1)-1,INDEX(Roadmap!$D:$K,MATCH($E143,Roadmap!$D:$D,0)-1+COUNTIF($E143:I143,"u")+COUNTIF($E143:I143,"t")+COUNTIF($E143:I143,"¶")+COUNTIF($E143:I143,"²")+COUNTIF($E143:I143,"µ")+COUNTIF($E143:I143,1),ColDescriptionCourte)),""),
  "")),"")</f>
        <v/>
      </c>
      <c r="K143" s="40" t="str">
        <f ca="1">IFERROR(IF(AND(
  INDEX(Roadmap!$D:$K,MATCH($E143,Roadmap!$D:$D,0)+COUNTIF($E143:J143,"u")+COUNTIF($E143:J143,"t")+COUNTIF($E143:J143,"¶")+COUNTIF($E143:J143,"²")+COUNTIF($E143:J143,"µ")+COUNTIF($E143:J143,1),ColLivraison)=K$6,
  VLOOKUP($E143,INDIRECT("tri!"&amp; CHAR(64+ C0Col) &amp;":"&amp; CHAR(65+C0Col)),2,FALSE)&gt;COUNTIF($E143:J143,"u")+COUNTIF($E143:J143,"t")+COUNTIF($E143:J143,"¶")+COUNTIF($E143:J143,"²")+COUNTIF($E143:J143,"µ")+COUNTIF($E143:J143,1)),
HYPERLINK("#Roadmap!C"&amp; MATCH($E143,Roadmap!$D:$D,0)+COUNTIF($E143:J143,"u")+COUNTIF($E143:J143,"t"),
     INDEX(Roadmap!$D:$K,MATCH($E143,Roadmap!$D:$D,0)+COUNTIF($E143:J143,"u")+COUNTIF($E143:J143,"t")+COUNTIF($E143:J143,"¶")+COUNTIF($E143:J143,"²")+COUNTIF($E143:J143,"µ")+COUNTIF($E143:J143,1),ColTypeEcheance)),
  IF(LEN(J143)=1,
  IF(LEN(INDEX(Roadmap!$D:$K,MATCH($E143,Roadmap!$D:$D,0)-1+COUNTIF($E143:J143,"u")+COUNTIF($E143:J143,"t")+COUNTIF($E143:J143,"¶")+COUNTIF($E143:J143,"²")+COUNTIF($E143:J143,"µ")+COUNTIF($E143:J143,1),ColDescriptionCourte))&gt;1,
HYPERLINK("#Roadmap!C"&amp; MATCH($E143,Roadmap!$D:$D,0)+COUNTIF($E143:J143,"u")+COUNTIF($E143:J143,"t")+COUNTIF($E143:J143,"¶")+COUNTIF($E143:J143,"²")+COUNTIF($E143:J143,"µ")+COUNTIF($E143:J143,1)-1,INDEX(Roadmap!$D:$K,MATCH($E143,Roadmap!$D:$D,0)-1+COUNTIF($E143:J143,"u")+COUNTIF($E143:J143,"t")+COUNTIF($E143:J143,"¶")+COUNTIF($E143:J143,"²")+COUNTIF($E143:J143,"µ")+COUNTIF($E143:J143,1),ColDescriptionCourte)),""),
  "")),"")</f>
        <v/>
      </c>
      <c r="L143" s="39" t="str">
        <f ca="1">IFERROR(IF(AND(
  INDEX(Roadmap!$D:$K,MATCH($E143,Roadmap!$D:$D,0)+COUNTIF($E143:K143,"u")+COUNTIF($E143:K143,"t")+COUNTIF($E143:K143,"¶")+COUNTIF($E143:K143,"²")+COUNTIF($E143:K143,"µ")+COUNTIF($E143:K143,1),ColLivraison)=L$6,
  VLOOKUP($E143,INDIRECT("tri!"&amp; CHAR(64+ C0Col) &amp;":"&amp; CHAR(65+C0Col)),2,FALSE)&gt;COUNTIF($E143:K143,"u")+COUNTIF($E143:K143,"t")+COUNTIF($E143:K143,"¶")+COUNTIF($E143:K143,"²")+COUNTIF($E143:K143,"µ")+COUNTIF($E143:K143,1)),
HYPERLINK("#Roadmap!C"&amp; MATCH($E143,Roadmap!$D:$D,0)+COUNTIF($E143:K143,"u")+COUNTIF($E143:K143,"t"),
     INDEX(Roadmap!$D:$K,MATCH($E143,Roadmap!$D:$D,0)+COUNTIF($E143:K143,"u")+COUNTIF($E143:K143,"t")+COUNTIF($E143:K143,"¶")+COUNTIF($E143:K143,"²")+COUNTIF($E143:K143,"µ")+COUNTIF($E143:K143,1),ColTypeEcheance)),
  IF(LEN(K143)=1,
  IF(LEN(INDEX(Roadmap!$D:$K,MATCH($E143,Roadmap!$D:$D,0)-1+COUNTIF($E143:K143,"u")+COUNTIF($E143:K143,"t")+COUNTIF($E143:K143,"¶")+COUNTIF($E143:K143,"²")+COUNTIF($E143:K143,"µ")+COUNTIF($E143:K143,1),ColDescriptionCourte))&gt;1,
HYPERLINK("#Roadmap!C"&amp; MATCH($E143,Roadmap!$D:$D,0)+COUNTIF($E143:K143,"u")+COUNTIF($E143:K143,"t")+COUNTIF($E143:K143,"¶")+COUNTIF($E143:K143,"²")+COUNTIF($E143:K143,"µ")+COUNTIF($E143:K143,1)-1,INDEX(Roadmap!$D:$K,MATCH($E143,Roadmap!$D:$D,0)-1+COUNTIF($E143:K143,"u")+COUNTIF($E143:K143,"t")+COUNTIF($E143:K143,"¶")+COUNTIF($E143:K143,"²")+COUNTIF($E143:K143,"µ")+COUNTIF($E143:K143,1),ColDescriptionCourte)),""),
  "")),"")</f>
        <v/>
      </c>
      <c r="M143" s="40" t="str">
        <f ca="1">IFERROR(IF(AND(
  INDEX(Roadmap!$D:$K,MATCH($E143,Roadmap!$D:$D,0)+COUNTIF($E143:L143,"u")+COUNTIF($E143:L143,"t")+COUNTIF($E143:L143,"¶")+COUNTIF($E143:L143,"²")+COUNTIF($E143:L143,"µ")+COUNTIF($E143:L143,1),ColLivraison)=M$6,
  VLOOKUP($E143,INDIRECT("tri!"&amp; CHAR(64+ C0Col) &amp;":"&amp; CHAR(65+C0Col)),2,FALSE)&gt;COUNTIF($E143:L143,"u")+COUNTIF($E143:L143,"t")+COUNTIF($E143:L143,"¶")+COUNTIF($E143:L143,"²")+COUNTIF($E143:L143,"µ")+COUNTIF($E143:L143,1)),
HYPERLINK("#Roadmap!C"&amp; MATCH($E143,Roadmap!$D:$D,0)+COUNTIF($E143:L143,"u")+COUNTIF($E143:L143,"t"),
     INDEX(Roadmap!$D:$K,MATCH($E143,Roadmap!$D:$D,0)+COUNTIF($E143:L143,"u")+COUNTIF($E143:L143,"t")+COUNTIF($E143:L143,"¶")+COUNTIF($E143:L143,"²")+COUNTIF($E143:L143,"µ")+COUNTIF($E143:L143,1),ColTypeEcheance)),
  IF(LEN(L143)=1,
  IF(LEN(INDEX(Roadmap!$D:$K,MATCH($E143,Roadmap!$D:$D,0)-1+COUNTIF($E143:L143,"u")+COUNTIF($E143:L143,"t")+COUNTIF($E143:L143,"¶")+COUNTIF($E143:L143,"²")+COUNTIF($E143:L143,"µ")+COUNTIF($E143:L143,1),ColDescriptionCourte))&gt;1,
HYPERLINK("#Roadmap!C"&amp; MATCH($E143,Roadmap!$D:$D,0)+COUNTIF($E143:L143,"u")+COUNTIF($E143:L143,"t")+COUNTIF($E143:L143,"¶")+COUNTIF($E143:L143,"²")+COUNTIF($E143:L143,"µ")+COUNTIF($E143:L143,1)-1,INDEX(Roadmap!$D:$K,MATCH($E143,Roadmap!$D:$D,0)-1+COUNTIF($E143:L143,"u")+COUNTIF($E143:L143,"t")+COUNTIF($E143:L143,"¶")+COUNTIF($E143:L143,"²")+COUNTIF($E143:L143,"µ")+COUNTIF($E143:L143,1),ColDescriptionCourte)),""),
  "")),"")</f>
        <v/>
      </c>
      <c r="N143" s="40" t="str">
        <f ca="1">IFERROR(IF(AND(
  INDEX(Roadmap!$D:$K,MATCH($E143,Roadmap!$D:$D,0)+COUNTIF($E143:M143,"u")+COUNTIF($E143:M143,"t")+COUNTIF($E143:M143,"¶")+COUNTIF($E143:M143,"²")+COUNTIF($E143:M143,"µ")+COUNTIF($E143:M143,1),ColLivraison)=N$6,
  VLOOKUP($E143,INDIRECT("tri!"&amp; CHAR(64+ C0Col) &amp;":"&amp; CHAR(65+C0Col)),2,FALSE)&gt;COUNTIF($E143:M143,"u")+COUNTIF($E143:M143,"t")+COUNTIF($E143:M143,"¶")+COUNTIF($E143:M143,"²")+COUNTIF($E143:M143,"µ")+COUNTIF($E143:M143,1)),
HYPERLINK("#Roadmap!C"&amp; MATCH($E143,Roadmap!$D:$D,0)+COUNTIF($E143:M143,"u")+COUNTIF($E143:M143,"t"),
     INDEX(Roadmap!$D:$K,MATCH($E143,Roadmap!$D:$D,0)+COUNTIF($E143:M143,"u")+COUNTIF($E143:M143,"t")+COUNTIF($E143:M143,"¶")+COUNTIF($E143:M143,"²")+COUNTIF($E143:M143,"µ")+COUNTIF($E143:M143,1),ColTypeEcheance)),
  IF(LEN(M143)=1,
  IF(LEN(INDEX(Roadmap!$D:$K,MATCH($E143,Roadmap!$D:$D,0)-1+COUNTIF($E143:M143,"u")+COUNTIF($E143:M143,"t")+COUNTIF($E143:M143,"¶")+COUNTIF($E143:M143,"²")+COUNTIF($E143:M143,"µ")+COUNTIF($E143:M143,1),ColDescriptionCourte))&gt;1,
HYPERLINK("#Roadmap!C"&amp; MATCH($E143,Roadmap!$D:$D,0)+COUNTIF($E143:M143,"u")+COUNTIF($E143:M143,"t")+COUNTIF($E143:M143,"¶")+COUNTIF($E143:M143,"²")+COUNTIF($E143:M143,"µ")+COUNTIF($E143:M143,1)-1,INDEX(Roadmap!$D:$K,MATCH($E143,Roadmap!$D:$D,0)-1+COUNTIF($E143:M143,"u")+COUNTIF($E143:M143,"t")+COUNTIF($E143:M143,"¶")+COUNTIF($E143:M143,"²")+COUNTIF($E143:M143,"µ")+COUNTIF($E143:M143,1),ColDescriptionCourte)),""),
  "")),"")</f>
        <v/>
      </c>
      <c r="O143" s="40" t="str">
        <f ca="1">IFERROR(IF(AND(
  INDEX(Roadmap!$D:$K,MATCH($E143,Roadmap!$D:$D,0)+COUNTIF($E143:N143,"u")+COUNTIF($E143:N143,"t")+COUNTIF($E143:N143,"¶")+COUNTIF($E143:N143,"²")+COUNTIF($E143:N143,"µ")+COUNTIF($E143:N143,1),ColLivraison)=O$6,
  VLOOKUP($E143,INDIRECT("tri!"&amp; CHAR(64+ C0Col) &amp;":"&amp; CHAR(65+C0Col)),2,FALSE)&gt;COUNTIF($E143:N143,"u")+COUNTIF($E143:N143,"t")+COUNTIF($E143:N143,"¶")+COUNTIF($E143:N143,"²")+COUNTIF($E143:N143,"µ")+COUNTIF($E143:N143,1)),
HYPERLINK("#Roadmap!C"&amp; MATCH($E143,Roadmap!$D:$D,0)+COUNTIF($E143:N143,"u")+COUNTIF($E143:N143,"t"),
     INDEX(Roadmap!$D:$K,MATCH($E143,Roadmap!$D:$D,0)+COUNTIF($E143:N143,"u")+COUNTIF($E143:N143,"t")+COUNTIF($E143:N143,"¶")+COUNTIF($E143:N143,"²")+COUNTIF($E143:N143,"µ")+COUNTIF($E143:N143,1),ColTypeEcheance)),
  IF(LEN(N143)=1,
  IF(LEN(INDEX(Roadmap!$D:$K,MATCH($E143,Roadmap!$D:$D,0)-1+COUNTIF($E143:N143,"u")+COUNTIF($E143:N143,"t")+COUNTIF($E143:N143,"¶")+COUNTIF($E143:N143,"²")+COUNTIF($E143:N143,"µ")+COUNTIF($E143:N143,1),ColDescriptionCourte))&gt;1,
HYPERLINK("#Roadmap!C"&amp; MATCH($E143,Roadmap!$D:$D,0)+COUNTIF($E143:N143,"u")+COUNTIF($E143:N143,"t")+COUNTIF($E143:N143,"¶")+COUNTIF($E143:N143,"²")+COUNTIF($E143:N143,"µ")+COUNTIF($E143:N143,1)-1,INDEX(Roadmap!$D:$K,MATCH($E143,Roadmap!$D:$D,0)-1+COUNTIF($E143:N143,"u")+COUNTIF($E143:N143,"t")+COUNTIF($E143:N143,"¶")+COUNTIF($E143:N143,"²")+COUNTIF($E143:N143,"µ")+COUNTIF($E143:N143,1),ColDescriptionCourte)),""),
  "")),"")</f>
        <v/>
      </c>
      <c r="P143" s="40" t="str">
        <f ca="1">IFERROR(IF(AND(
  INDEX(Roadmap!$D:$K,MATCH($E143,Roadmap!$D:$D,0)+COUNTIF($E143:O143,"u")+COUNTIF($E143:O143,"t")+COUNTIF($E143:O143,"¶")+COUNTIF($E143:O143,"²")+COUNTIF($E143:O143,"µ")+COUNTIF($E143:O143,1),ColLivraison)=P$6,
  VLOOKUP($E143,INDIRECT("tri!"&amp; CHAR(64+ C0Col) &amp;":"&amp; CHAR(65+C0Col)),2,FALSE)&gt;COUNTIF($E143:O143,"u")+COUNTIF($E143:O143,"t")+COUNTIF($E143:O143,"¶")+COUNTIF($E143:O143,"²")+COUNTIF($E143:O143,"µ")+COUNTIF($E143:O143,1)),
HYPERLINK("#Roadmap!C"&amp; MATCH($E143,Roadmap!$D:$D,0)+COUNTIF($E143:O143,"u")+COUNTIF($E143:O143,"t"),
     INDEX(Roadmap!$D:$K,MATCH($E143,Roadmap!$D:$D,0)+COUNTIF($E143:O143,"u")+COUNTIF($E143:O143,"t")+COUNTIF($E143:O143,"¶")+COUNTIF($E143:O143,"²")+COUNTIF($E143:O143,"µ")+COUNTIF($E143:O143,1),ColTypeEcheance)),
  IF(LEN(O143)=1,
  IF(LEN(INDEX(Roadmap!$D:$K,MATCH($E143,Roadmap!$D:$D,0)-1+COUNTIF($E143:O143,"u")+COUNTIF($E143:O143,"t")+COUNTIF($E143:O143,"¶")+COUNTIF($E143:O143,"²")+COUNTIF($E143:O143,"µ")+COUNTIF($E143:O143,1),ColDescriptionCourte))&gt;1,
HYPERLINK("#Roadmap!C"&amp; MATCH($E143,Roadmap!$D:$D,0)+COUNTIF($E143:O143,"u")+COUNTIF($E143:O143,"t")+COUNTIF($E143:O143,"¶")+COUNTIF($E143:O143,"²")+COUNTIF($E143:O143,"µ")+COUNTIF($E143:O143,1)-1,INDEX(Roadmap!$D:$K,MATCH($E143,Roadmap!$D:$D,0)-1+COUNTIF($E143:O143,"u")+COUNTIF($E143:O143,"t")+COUNTIF($E143:O143,"¶")+COUNTIF($E143:O143,"²")+COUNTIF($E143:O143,"µ")+COUNTIF($E143:O143,1),ColDescriptionCourte)),""),
  "")),"")</f>
        <v/>
      </c>
      <c r="Q143" s="40" t="str">
        <f ca="1">IFERROR(IF(AND(
  INDEX(Roadmap!$D:$K,MATCH($E143,Roadmap!$D:$D,0)+COUNTIF($E143:P143,"u")+COUNTIF($E143:P143,"t")+COUNTIF($E143:P143,"¶")+COUNTIF($E143:P143,"²")+COUNTIF($E143:P143,"µ")+COUNTIF($E143:P143,1),ColLivraison)=Q$6,
  VLOOKUP($E143,INDIRECT("tri!"&amp; CHAR(64+ C0Col) &amp;":"&amp; CHAR(65+C0Col)),2,FALSE)&gt;COUNTIF($E143:P143,"u")+COUNTIF($E143:P143,"t")+COUNTIF($E143:P143,"¶")+COUNTIF($E143:P143,"²")+COUNTIF($E143:P143,"µ")+COUNTIF($E143:P143,1)),
HYPERLINK("#Roadmap!C"&amp; MATCH($E143,Roadmap!$D:$D,0)+COUNTIF($E143:P143,"u")+COUNTIF($E143:P143,"t"),
     INDEX(Roadmap!$D:$K,MATCH($E143,Roadmap!$D:$D,0)+COUNTIF($E143:P143,"u")+COUNTIF($E143:P143,"t")+COUNTIF($E143:P143,"¶")+COUNTIF($E143:P143,"²")+COUNTIF($E143:P143,"µ")+COUNTIF($E143:P143,1),ColTypeEcheance)),
  IF(LEN(P143)=1,
  IF(LEN(INDEX(Roadmap!$D:$K,MATCH($E143,Roadmap!$D:$D,0)-1+COUNTIF($E143:P143,"u")+COUNTIF($E143:P143,"t")+COUNTIF($E143:P143,"¶")+COUNTIF($E143:P143,"²")+COUNTIF($E143:P143,"µ")+COUNTIF($E143:P143,1),ColDescriptionCourte))&gt;1,
HYPERLINK("#Roadmap!C"&amp; MATCH($E143,Roadmap!$D:$D,0)+COUNTIF($E143:P143,"u")+COUNTIF($E143:P143,"t")+COUNTIF($E143:P143,"¶")+COUNTIF($E143:P143,"²")+COUNTIF($E143:P143,"µ")+COUNTIF($E143:P143,1)-1,INDEX(Roadmap!$D:$K,MATCH($E143,Roadmap!$D:$D,0)-1+COUNTIF($E143:P143,"u")+COUNTIF($E143:P143,"t")+COUNTIF($E143:P143,"¶")+COUNTIF($E143:P143,"²")+COUNTIF($E143:P143,"µ")+COUNTIF($E143:P143,1),ColDescriptionCourte)),""),
  "")),"")</f>
        <v/>
      </c>
      <c r="R143" s="40" t="str">
        <f ca="1">IFERROR(IF(AND(
  INDEX(Roadmap!$D:$K,MATCH($E143,Roadmap!$D:$D,0)+COUNTIF($E143:Q143,"u")+COUNTIF($E143:Q143,"t")+COUNTIF($E143:Q143,"¶")+COUNTIF($E143:Q143,"²")+COUNTIF($E143:Q143,"µ")+COUNTIF($E143:Q143,1),ColLivraison)=R$6,
  VLOOKUP($E143,INDIRECT("tri!"&amp; CHAR(64+ C0Col) &amp;":"&amp; CHAR(65+C0Col)),2,FALSE)&gt;COUNTIF($E143:Q143,"u")+COUNTIF($E143:Q143,"t")+COUNTIF($E143:Q143,"¶")+COUNTIF($E143:Q143,"²")+COUNTIF($E143:Q143,"µ")+COUNTIF($E143:Q143,1)),
HYPERLINK("#Roadmap!C"&amp; MATCH($E143,Roadmap!$D:$D,0)+COUNTIF($E143:Q143,"u")+COUNTIF($E143:Q143,"t"),
     INDEX(Roadmap!$D:$K,MATCH($E143,Roadmap!$D:$D,0)+COUNTIF($E143:Q143,"u")+COUNTIF($E143:Q143,"t")+COUNTIF($E143:Q143,"¶")+COUNTIF($E143:Q143,"²")+COUNTIF($E143:Q143,"µ")+COUNTIF($E143:Q143,1),ColTypeEcheance)),
  IF(LEN(Q143)=1,
  IF(LEN(INDEX(Roadmap!$D:$K,MATCH($E143,Roadmap!$D:$D,0)-1+COUNTIF($E143:Q143,"u")+COUNTIF($E143:Q143,"t")+COUNTIF($E143:Q143,"¶")+COUNTIF($E143:Q143,"²")+COUNTIF($E143:Q143,"µ")+COUNTIF($E143:Q143,1),ColDescriptionCourte))&gt;1,
HYPERLINK("#Roadmap!C"&amp; MATCH($E143,Roadmap!$D:$D,0)+COUNTIF($E143:Q143,"u")+COUNTIF($E143:Q143,"t")+COUNTIF($E143:Q143,"¶")+COUNTIF($E143:Q143,"²")+COUNTIF($E143:Q143,"µ")+COUNTIF($E143:Q143,1)-1,INDEX(Roadmap!$D:$K,MATCH($E143,Roadmap!$D:$D,0)-1+COUNTIF($E143:Q143,"u")+COUNTIF($E143:Q143,"t")+COUNTIF($E143:Q143,"¶")+COUNTIF($E143:Q143,"²")+COUNTIF($E143:Q143,"µ")+COUNTIF($E143:Q143,1),ColDescriptionCourte)),""),
  "")),"")</f>
        <v/>
      </c>
      <c r="S143" s="40" t="str">
        <f ca="1">IFERROR(IF(AND(
  INDEX(Roadmap!$D:$K,MATCH($E143,Roadmap!$D:$D,0)+COUNTIF($E143:R143,"u")+COUNTIF($E143:R143,"t")+COUNTIF($E143:R143,"¶")+COUNTIF($E143:R143,"²")+COUNTIF($E143:R143,"µ")+COUNTIF($E143:R143,1),ColLivraison)=S$6,
  VLOOKUP($E143,INDIRECT("tri!"&amp; CHAR(64+ C0Col) &amp;":"&amp; CHAR(65+C0Col)),2,FALSE)&gt;COUNTIF($E143:R143,"u")+COUNTIF($E143:R143,"t")+COUNTIF($E143:R143,"¶")+COUNTIF($E143:R143,"²")+COUNTIF($E143:R143,"µ")+COUNTIF($E143:R143,1)),
HYPERLINK("#Roadmap!C"&amp; MATCH($E143,Roadmap!$D:$D,0)+COUNTIF($E143:R143,"u")+COUNTIF($E143:R143,"t"),
     INDEX(Roadmap!$D:$K,MATCH($E143,Roadmap!$D:$D,0)+COUNTIF($E143:R143,"u")+COUNTIF($E143:R143,"t")+COUNTIF($E143:R143,"¶")+COUNTIF($E143:R143,"²")+COUNTIF($E143:R143,"µ")+COUNTIF($E143:R143,1),ColTypeEcheance)),
  IF(LEN(R143)=1,
  IF(LEN(INDEX(Roadmap!$D:$K,MATCH($E143,Roadmap!$D:$D,0)-1+COUNTIF($E143:R143,"u")+COUNTIF($E143:R143,"t")+COUNTIF($E143:R143,"¶")+COUNTIF($E143:R143,"²")+COUNTIF($E143:R143,"µ")+COUNTIF($E143:R143,1),ColDescriptionCourte))&gt;1,
HYPERLINK("#Roadmap!C"&amp; MATCH($E143,Roadmap!$D:$D,0)+COUNTIF($E143:R143,"u")+COUNTIF($E143:R143,"t")+COUNTIF($E143:R143,"¶")+COUNTIF($E143:R143,"²")+COUNTIF($E143:R143,"µ")+COUNTIF($E143:R143,1)-1,INDEX(Roadmap!$D:$K,MATCH($E143,Roadmap!$D:$D,0)-1+COUNTIF($E143:R143,"u")+COUNTIF($E143:R143,"t")+COUNTIF($E143:R143,"¶")+COUNTIF($E143:R143,"²")+COUNTIF($E143:R143,"µ")+COUNTIF($E143:R143,1),ColDescriptionCourte)),""),
  "")),"")</f>
        <v/>
      </c>
      <c r="T143" s="40" t="str">
        <f ca="1">IFERROR(IF(AND(
  INDEX(Roadmap!$D:$K,MATCH($E143,Roadmap!$D:$D,0)+COUNTIF($E143:S143,"u")+COUNTIF($E143:S143,"t")+COUNTIF($E143:S143,"¶")+COUNTIF($E143:S143,"²")+COUNTIF($E143:S143,"µ")+COUNTIF($E143:S143,1),ColLivraison)=T$6,
  VLOOKUP($E143,INDIRECT("tri!"&amp; CHAR(64+ C0Col) &amp;":"&amp; CHAR(65+C0Col)),2,FALSE)&gt;COUNTIF($E143:S143,"u")+COUNTIF($E143:S143,"t")+COUNTIF($E143:S143,"¶")+COUNTIF($E143:S143,"²")+COUNTIF($E143:S143,"µ")+COUNTIF($E143:S143,1)),
HYPERLINK("#Roadmap!C"&amp; MATCH($E143,Roadmap!$D:$D,0)+COUNTIF($E143:S143,"u")+COUNTIF($E143:S143,"t"),
     INDEX(Roadmap!$D:$K,MATCH($E143,Roadmap!$D:$D,0)+COUNTIF($E143:S143,"u")+COUNTIF($E143:S143,"t")+COUNTIF($E143:S143,"¶")+COUNTIF($E143:S143,"²")+COUNTIF($E143:S143,"µ")+COUNTIF($E143:S143,1),ColTypeEcheance)),
  IF(LEN(S143)=1,
  IF(LEN(INDEX(Roadmap!$D:$K,MATCH($E143,Roadmap!$D:$D,0)-1+COUNTIF($E143:S143,"u")+COUNTIF($E143:S143,"t")+COUNTIF($E143:S143,"¶")+COUNTIF($E143:S143,"²")+COUNTIF($E143:S143,"µ")+COUNTIF($E143:S143,1),ColDescriptionCourte))&gt;1,
HYPERLINK("#Roadmap!C"&amp; MATCH($E143,Roadmap!$D:$D,0)+COUNTIF($E143:S143,"u")+COUNTIF($E143:S143,"t")+COUNTIF($E143:S143,"¶")+COUNTIF($E143:S143,"²")+COUNTIF($E143:S143,"µ")+COUNTIF($E143:S143,1)-1,INDEX(Roadmap!$D:$K,MATCH($E143,Roadmap!$D:$D,0)-1+COUNTIF($E143:S143,"u")+COUNTIF($E143:S143,"t")+COUNTIF($E143:S143,"¶")+COUNTIF($E143:S143,"²")+COUNTIF($E143:S143,"µ")+COUNTIF($E143:S143,1),ColDescriptionCourte)),""),
  "")),"")</f>
        <v/>
      </c>
      <c r="U143" s="40" t="str">
        <f ca="1">IFERROR(IF(AND(
  INDEX(Roadmap!$D:$K,MATCH($E143,Roadmap!$D:$D,0)+COUNTIF($E143:T143,"u")+COUNTIF($E143:T143,"t")+COUNTIF($E143:T143,"¶")+COUNTIF($E143:T143,"²")+COUNTIF($E143:T143,"µ")+COUNTIF($E143:T143,1),ColLivraison)=U$6,
  VLOOKUP($E143,INDIRECT("tri!"&amp; CHAR(64+ C0Col) &amp;":"&amp; CHAR(65+C0Col)),2,FALSE)&gt;COUNTIF($E143:T143,"u")+COUNTIF($E143:T143,"t")+COUNTIF($E143:T143,"¶")+COUNTIF($E143:T143,"²")+COUNTIF($E143:T143,"µ")+COUNTIF($E143:T143,1)),
HYPERLINK("#Roadmap!C"&amp; MATCH($E143,Roadmap!$D:$D,0)+COUNTIF($E143:T143,"u")+COUNTIF($E143:T143,"t"),
     INDEX(Roadmap!$D:$K,MATCH($E143,Roadmap!$D:$D,0)+COUNTIF($E143:T143,"u")+COUNTIF($E143:T143,"t")+COUNTIF($E143:T143,"¶")+COUNTIF($E143:T143,"²")+COUNTIF($E143:T143,"µ")+COUNTIF($E143:T143,1),ColTypeEcheance)),
  IF(LEN(T143)=1,
  IF(LEN(INDEX(Roadmap!$D:$K,MATCH($E143,Roadmap!$D:$D,0)-1+COUNTIF($E143:T143,"u")+COUNTIF($E143:T143,"t")+COUNTIF($E143:T143,"¶")+COUNTIF($E143:T143,"²")+COUNTIF($E143:T143,"µ")+COUNTIF($E143:T143,1),ColDescriptionCourte))&gt;1,
HYPERLINK("#Roadmap!C"&amp; MATCH($E143,Roadmap!$D:$D,0)+COUNTIF($E143:T143,"u")+COUNTIF($E143:T143,"t")+COUNTIF($E143:T143,"¶")+COUNTIF($E143:T143,"²")+COUNTIF($E143:T143,"µ")+COUNTIF($E143:T143,1)-1,INDEX(Roadmap!$D:$K,MATCH($E143,Roadmap!$D:$D,0)-1+COUNTIF($E143:T143,"u")+COUNTIF($E143:T143,"t")+COUNTIF($E143:T143,"¶")+COUNTIF($E143:T143,"²")+COUNTIF($E143:T143,"µ")+COUNTIF($E143:T143,1),ColDescriptionCourte)),""),
  "")),"")</f>
        <v/>
      </c>
      <c r="V143" s="40" t="str">
        <f ca="1">IFERROR(IF(AND(
  INDEX(Roadmap!$D:$K,MATCH($E143,Roadmap!$D:$D,0)+COUNTIF($E143:U143,"u")+COUNTIF($E143:U143,"t")+COUNTIF($E143:U143,"¶")+COUNTIF($E143:U143,"²")+COUNTIF($E143:U143,"µ")+COUNTIF($E143:U143,1),ColLivraison)=V$6,
  VLOOKUP($E143,INDIRECT("tri!"&amp; CHAR(64+ C0Col) &amp;":"&amp; CHAR(65+C0Col)),2,FALSE)&gt;COUNTIF($E143:U143,"u")+COUNTIF($E143:U143,"t")+COUNTIF($E143:U143,"¶")+COUNTIF($E143:U143,"²")+COUNTIF($E143:U143,"µ")+COUNTIF($E143:U143,1)),
HYPERLINK("#Roadmap!C"&amp; MATCH($E143,Roadmap!$D:$D,0)+COUNTIF($E143:U143,"u")+COUNTIF($E143:U143,"t"),
     INDEX(Roadmap!$D:$K,MATCH($E143,Roadmap!$D:$D,0)+COUNTIF($E143:U143,"u")+COUNTIF($E143:U143,"t")+COUNTIF($E143:U143,"¶")+COUNTIF($E143:U143,"²")+COUNTIF($E143:U143,"µ")+COUNTIF($E143:U143,1),ColTypeEcheance)),
  IF(LEN(U143)=1,
  IF(LEN(INDEX(Roadmap!$D:$K,MATCH($E143,Roadmap!$D:$D,0)-1+COUNTIF($E143:U143,"u")+COUNTIF($E143:U143,"t")+COUNTIF($E143:U143,"¶")+COUNTIF($E143:U143,"²")+COUNTIF($E143:U143,"µ")+COUNTIF($E143:U143,1),ColDescriptionCourte))&gt;1,
HYPERLINK("#Roadmap!C"&amp; MATCH($E143,Roadmap!$D:$D,0)+COUNTIF($E143:U143,"u")+COUNTIF($E143:U143,"t")+COUNTIF($E143:U143,"¶")+COUNTIF($E143:U143,"²")+COUNTIF($E143:U143,"µ")+COUNTIF($E143:U143,1)-1,INDEX(Roadmap!$D:$K,MATCH($E143,Roadmap!$D:$D,0)-1+COUNTIF($E143:U143,"u")+COUNTIF($E143:U143,"t")+COUNTIF($E143:U143,"¶")+COUNTIF($E143:U143,"²")+COUNTIF($E143:U143,"µ")+COUNTIF($E143:U143,1),ColDescriptionCourte)),""),
  "")),"")</f>
        <v/>
      </c>
      <c r="W143" s="40" t="str">
        <f ca="1">IFERROR(IF(AND(
  INDEX(Roadmap!$D:$K,MATCH($E143,Roadmap!$D:$D,0)+COUNTIF($E143:V143,"u")+COUNTIF($E143:V143,"t")+COUNTIF($E143:V143,"¶")+COUNTIF($E143:V143,"²")+COUNTIF($E143:V143,"µ")+COUNTIF($E143:V143,1),ColLivraison)=W$6,
  VLOOKUP($E143,INDIRECT("tri!"&amp; CHAR(64+ C0Col) &amp;":"&amp; CHAR(65+C0Col)),2,FALSE)&gt;COUNTIF($E143:V143,"u")+COUNTIF($E143:V143,"t")+COUNTIF($E143:V143,"¶")+COUNTIF($E143:V143,"²")+COUNTIF($E143:V143,"µ")+COUNTIF($E143:V143,1)),
HYPERLINK("#Roadmap!C"&amp; MATCH($E143,Roadmap!$D:$D,0)+COUNTIF($E143:V143,"u")+COUNTIF($E143:V143,"t"),
     INDEX(Roadmap!$D:$K,MATCH($E143,Roadmap!$D:$D,0)+COUNTIF($E143:V143,"u")+COUNTIF($E143:V143,"t")+COUNTIF($E143:V143,"¶")+COUNTIF($E143:V143,"²")+COUNTIF($E143:V143,"µ")+COUNTIF($E143:V143,1),ColTypeEcheance)),
  IF(LEN(V143)=1,
  IF(LEN(INDEX(Roadmap!$D:$K,MATCH($E143,Roadmap!$D:$D,0)-1+COUNTIF($E143:V143,"u")+COUNTIF($E143:V143,"t")+COUNTIF($E143:V143,"¶")+COUNTIF($E143:V143,"²")+COUNTIF($E143:V143,"µ")+COUNTIF($E143:V143,1),ColDescriptionCourte))&gt;1,
HYPERLINK("#Roadmap!C"&amp; MATCH($E143,Roadmap!$D:$D,0)+COUNTIF($E143:V143,"u")+COUNTIF($E143:V143,"t")+COUNTIF($E143:V143,"¶")+COUNTIF($E143:V143,"²")+COUNTIF($E143:V143,"µ")+COUNTIF($E143:V143,1)-1,INDEX(Roadmap!$D:$K,MATCH($E143,Roadmap!$D:$D,0)-1+COUNTIF($E143:V143,"u")+COUNTIF($E143:V143,"t")+COUNTIF($E143:V143,"¶")+COUNTIF($E143:V143,"²")+COUNTIF($E143:V143,"µ")+COUNTIF($E143:V143,1),ColDescriptionCourte)),""),
  "")),"")</f>
        <v/>
      </c>
      <c r="X143" s="40" t="str">
        <f ca="1">IFERROR(IF(AND(
  INDEX(Roadmap!$D:$K,MATCH($E143,Roadmap!$D:$D,0)+COUNTIF($E143:W143,"u")+COUNTIF($E143:W143,"t")+COUNTIF($E143:W143,"¶")+COUNTIF($E143:W143,"²")+COUNTIF($E143:W143,"µ")+COUNTIF($E143:W143,1),ColLivraison)=X$6,
  VLOOKUP($E143,INDIRECT("tri!"&amp; CHAR(64+ C0Col) &amp;":"&amp; CHAR(65+C0Col)),2,FALSE)&gt;COUNTIF($E143:W143,"u")+COUNTIF($E143:W143,"t")+COUNTIF($E143:W143,"¶")+COUNTIF($E143:W143,"²")+COUNTIF($E143:W143,"µ")+COUNTIF($E143:W143,1)),
HYPERLINK("#Roadmap!C"&amp; MATCH($E143,Roadmap!$D:$D,0)+COUNTIF($E143:W143,"u")+COUNTIF($E143:W143,"t"),
     INDEX(Roadmap!$D:$K,MATCH($E143,Roadmap!$D:$D,0)+COUNTIF($E143:W143,"u")+COUNTIF($E143:W143,"t")+COUNTIF($E143:W143,"¶")+COUNTIF($E143:W143,"²")+COUNTIF($E143:W143,"µ")+COUNTIF($E143:W143,1),ColTypeEcheance)),
  IF(LEN(W143)=1,
  IF(LEN(INDEX(Roadmap!$D:$K,MATCH($E143,Roadmap!$D:$D,0)-1+COUNTIF($E143:W143,"u")+COUNTIF($E143:W143,"t")+COUNTIF($E143:W143,"¶")+COUNTIF($E143:W143,"²")+COUNTIF($E143:W143,"µ")+COUNTIF($E143:W143,1),ColDescriptionCourte))&gt;1,
HYPERLINK("#Roadmap!C"&amp; MATCH($E143,Roadmap!$D:$D,0)+COUNTIF($E143:W143,"u")+COUNTIF($E143:W143,"t")+COUNTIF($E143:W143,"¶")+COUNTIF($E143:W143,"²")+COUNTIF($E143:W143,"µ")+COUNTIF($E143:W143,1)-1,INDEX(Roadmap!$D:$K,MATCH($E143,Roadmap!$D:$D,0)-1+COUNTIF($E143:W143,"u")+COUNTIF($E143:W143,"t")+COUNTIF($E143:W143,"¶")+COUNTIF($E143:W143,"²")+COUNTIF($E143:W143,"µ")+COUNTIF($E143:W143,1),ColDescriptionCourte)),""),
  "")),"")</f>
        <v/>
      </c>
      <c r="Y143" s="40" t="str">
        <f ca="1">IFERROR(IF(AND(
  INDEX(Roadmap!$D:$K,MATCH($E143,Roadmap!$D:$D,0)+COUNTIF($E143:X143,"u")+COUNTIF($E143:X143,"t")+COUNTIF($E143:X143,"¶")+COUNTIF($E143:X143,"²")+COUNTIF($E143:X143,"µ")+COUNTIF($E143:X143,1),ColLivraison)=Y$6,
  VLOOKUP($E143,INDIRECT("tri!"&amp; CHAR(64+ C0Col) &amp;":"&amp; CHAR(65+C0Col)),2,FALSE)&gt;COUNTIF($E143:X143,"u")+COUNTIF($E143:X143,"t")+COUNTIF($E143:X143,"¶")+COUNTIF($E143:X143,"²")+COUNTIF($E143:X143,"µ")+COUNTIF($E143:X143,1)),
HYPERLINK("#Roadmap!C"&amp; MATCH($E143,Roadmap!$D:$D,0)+COUNTIF($E143:X143,"u")+COUNTIF($E143:X143,"t"),
     INDEX(Roadmap!$D:$K,MATCH($E143,Roadmap!$D:$D,0)+COUNTIF($E143:X143,"u")+COUNTIF($E143:X143,"t")+COUNTIF($E143:X143,"¶")+COUNTIF($E143:X143,"²")+COUNTIF($E143:X143,"µ")+COUNTIF($E143:X143,1),ColTypeEcheance)),
  IF(LEN(X143)=1,
  IF(LEN(INDEX(Roadmap!$D:$K,MATCH($E143,Roadmap!$D:$D,0)-1+COUNTIF($E143:X143,"u")+COUNTIF($E143:X143,"t")+COUNTIF($E143:X143,"¶")+COUNTIF($E143:X143,"²")+COUNTIF($E143:X143,"µ")+COUNTIF($E143:X143,1),ColDescriptionCourte))&gt;1,
HYPERLINK("#Roadmap!C"&amp; MATCH($E143,Roadmap!$D:$D,0)+COUNTIF($E143:X143,"u")+COUNTIF($E143:X143,"t")+COUNTIF($E143:X143,"¶")+COUNTIF($E143:X143,"²")+COUNTIF($E143:X143,"µ")+COUNTIF($E143:X143,1)-1,INDEX(Roadmap!$D:$K,MATCH($E143,Roadmap!$D:$D,0)-1+COUNTIF($E143:X143,"u")+COUNTIF($E143:X143,"t")+COUNTIF($E143:X143,"¶")+COUNTIF($E143:X143,"²")+COUNTIF($E143:X143,"µ")+COUNTIF($E143:X143,1),ColDescriptionCourte)),""),
  "")),"")</f>
        <v/>
      </c>
      <c r="Z143" s="40" t="str">
        <f ca="1">IFERROR(IF(AND(
  INDEX(Roadmap!$D:$K,MATCH($E143,Roadmap!$D:$D,0)+COUNTIF($E143:Y143,"u")+COUNTIF($E143:Y143,"t")+COUNTIF($E143:Y143,"¶")+COUNTIF($E143:Y143,"²")+COUNTIF($E143:Y143,"µ")+COUNTIF($E143:Y143,1),ColLivraison)=Z$6,
  VLOOKUP($E143,INDIRECT("tri!"&amp; CHAR(64+ C0Col) &amp;":"&amp; CHAR(65+C0Col)),2,FALSE)&gt;COUNTIF($E143:Y143,"u")+COUNTIF($E143:Y143,"t")+COUNTIF($E143:Y143,"¶")+COUNTIF($E143:Y143,"²")+COUNTIF($E143:Y143,"µ")+COUNTIF($E143:Y143,1)),
HYPERLINK("#Roadmap!C"&amp; MATCH($E143,Roadmap!$D:$D,0)+COUNTIF($E143:Y143,"u")+COUNTIF($E143:Y143,"t"),
     INDEX(Roadmap!$D:$K,MATCH($E143,Roadmap!$D:$D,0)+COUNTIF($E143:Y143,"u")+COUNTIF($E143:Y143,"t")+COUNTIF($E143:Y143,"¶")+COUNTIF($E143:Y143,"²")+COUNTIF($E143:Y143,"µ")+COUNTIF($E143:Y143,1),ColTypeEcheance)),
  IF(LEN(Y143)=1,
  IF(LEN(INDEX(Roadmap!$D:$K,MATCH($E143,Roadmap!$D:$D,0)-1+COUNTIF($E143:Y143,"u")+COUNTIF($E143:Y143,"t")+COUNTIF($E143:Y143,"¶")+COUNTIF($E143:Y143,"²")+COUNTIF($E143:Y143,"µ")+COUNTIF($E143:Y143,1),ColDescriptionCourte))&gt;1,
HYPERLINK("#Roadmap!C"&amp; MATCH($E143,Roadmap!$D:$D,0)+COUNTIF($E143:Y143,"u")+COUNTIF($E143:Y143,"t")+COUNTIF($E143:Y143,"¶")+COUNTIF($E143:Y143,"²")+COUNTIF($E143:Y143,"µ")+COUNTIF($E143:Y143,1)-1,INDEX(Roadmap!$D:$K,MATCH($E143,Roadmap!$D:$D,0)-1+COUNTIF($E143:Y143,"u")+COUNTIF($E143:Y143,"t")+COUNTIF($E143:Y143,"¶")+COUNTIF($E143:Y143,"²")+COUNTIF($E143:Y143,"µ")+COUNTIF($E143:Y143,1),ColDescriptionCourte)),""),
  "")),"")</f>
        <v/>
      </c>
      <c r="AA143" s="40" t="str">
        <f ca="1">IFERROR(IF(AND(
  INDEX(Roadmap!$D:$K,MATCH($E143,Roadmap!$D:$D,0)+COUNTIF($E143:Z143,"u")+COUNTIF($E143:Z143,"t")+COUNTIF($E143:Z143,"¶")+COUNTIF($E143:Z143,"²")+COUNTIF($E143:Z143,"µ")+COUNTIF($E143:Z143,1),ColLivraison)=AA$6,
  VLOOKUP($E143,INDIRECT("tri!"&amp; CHAR(64+ C0Col) &amp;":"&amp; CHAR(65+C0Col)),2,FALSE)&gt;COUNTIF($E143:Z143,"u")+COUNTIF($E143:Z143,"t")+COUNTIF($E143:Z143,"¶")+COUNTIF($E143:Z143,"²")+COUNTIF($E143:Z143,"µ")+COUNTIF($E143:Z143,1)),
HYPERLINK("#Roadmap!C"&amp; MATCH($E143,Roadmap!$D:$D,0)+COUNTIF($E143:Z143,"u")+COUNTIF($E143:Z143,"t"),
     INDEX(Roadmap!$D:$K,MATCH($E143,Roadmap!$D:$D,0)+COUNTIF($E143:Z143,"u")+COUNTIF($E143:Z143,"t")+COUNTIF($E143:Z143,"¶")+COUNTIF($E143:Z143,"²")+COUNTIF($E143:Z143,"µ")+COUNTIF($E143:Z143,1),ColTypeEcheance)),
  IF(LEN(Z143)=1,
  IF(LEN(INDEX(Roadmap!$D:$K,MATCH($E143,Roadmap!$D:$D,0)-1+COUNTIF($E143:Z143,"u")+COUNTIF($E143:Z143,"t")+COUNTIF($E143:Z143,"¶")+COUNTIF($E143:Z143,"²")+COUNTIF($E143:Z143,"µ")+COUNTIF($E143:Z143,1),ColDescriptionCourte))&gt;1,
HYPERLINK("#Roadmap!C"&amp; MATCH($E143,Roadmap!$D:$D,0)+COUNTIF($E143:Z143,"u")+COUNTIF($E143:Z143,"t")+COUNTIF($E143:Z143,"¶")+COUNTIF($E143:Z143,"²")+COUNTIF($E143:Z143,"µ")+COUNTIF($E143:Z143,1)-1,INDEX(Roadmap!$D:$K,MATCH($E143,Roadmap!$D:$D,0)-1+COUNTIF($E143:Z143,"u")+COUNTIF($E143:Z143,"t")+COUNTIF($E143:Z143,"¶")+COUNTIF($E143:Z143,"²")+COUNTIF($E143:Z143,"µ")+COUNTIF($E143:Z143,1),ColDescriptionCourte)),""),
  "")),"")</f>
        <v/>
      </c>
      <c r="AB143" s="40" t="str">
        <f ca="1">IFERROR(IF(AND(
  INDEX(Roadmap!$D:$K,MATCH($E143,Roadmap!$D:$D,0)+COUNTIF($E143:AA143,"u")+COUNTIF($E143:AA143,"t")+COUNTIF($E143:AA143,"¶")+COUNTIF($E143:AA143,"²")+COUNTIF($E143:AA143,"µ")+COUNTIF($E143:AA143,1),ColLivraison)=AB$6,
  VLOOKUP($E143,INDIRECT("tri!"&amp; CHAR(64+ C0Col) &amp;":"&amp; CHAR(65+C0Col)),2,FALSE)&gt;COUNTIF($E143:AA143,"u")+COUNTIF($E143:AA143,"t")+COUNTIF($E143:AA143,"¶")+COUNTIF($E143:AA143,"²")+COUNTIF($E143:AA143,"µ")+COUNTIF($E143:AA143,1)),
HYPERLINK("#Roadmap!C"&amp; MATCH($E143,Roadmap!$D:$D,0)+COUNTIF($E143:AA143,"u")+COUNTIF($E143:AA143,"t"),
     INDEX(Roadmap!$D:$K,MATCH($E143,Roadmap!$D:$D,0)+COUNTIF($E143:AA143,"u")+COUNTIF($E143:AA143,"t")+COUNTIF($E143:AA143,"¶")+COUNTIF($E143:AA143,"²")+COUNTIF($E143:AA143,"µ")+COUNTIF($E143:AA143,1),ColTypeEcheance)),
  IF(LEN(AA143)=1,
  IF(LEN(INDEX(Roadmap!$D:$K,MATCH($E143,Roadmap!$D:$D,0)-1+COUNTIF($E143:AA143,"u")+COUNTIF($E143:AA143,"t")+COUNTIF($E143:AA143,"¶")+COUNTIF($E143:AA143,"²")+COUNTIF($E143:AA143,"µ")+COUNTIF($E143:AA143,1),ColDescriptionCourte))&gt;1,
HYPERLINK("#Roadmap!C"&amp; MATCH($E143,Roadmap!$D:$D,0)+COUNTIF($E143:AA143,"u")+COUNTIF($E143:AA143,"t")+COUNTIF($E143:AA143,"¶")+COUNTIF($E143:AA143,"²")+COUNTIF($E143:AA143,"µ")+COUNTIF($E143:AA143,1)-1,INDEX(Roadmap!$D:$K,MATCH($E143,Roadmap!$D:$D,0)-1+COUNTIF($E143:AA143,"u")+COUNTIF($E143:AA143,"t")+COUNTIF($E143:AA143,"¶")+COUNTIF($E143:AA143,"²")+COUNTIF($E143:AA143,"µ")+COUNTIF($E143:AA143,1),ColDescriptionCourte)),""),
  "")),"")</f>
        <v/>
      </c>
      <c r="AC143" s="40" t="str">
        <f ca="1">IFERROR(IF(AND(
  INDEX(Roadmap!$D:$K,MATCH($E143,Roadmap!$D:$D,0)+COUNTIF($E143:AB143,"u")+COUNTIF($E143:AB143,"t")+COUNTIF($E143:AB143,"¶")+COUNTIF($E143:AB143,"²")+COUNTIF($E143:AB143,"µ")+COUNTIF($E143:AB143,1),ColLivraison)=AC$6,
  VLOOKUP($E143,INDIRECT("tri!"&amp; CHAR(64+ C0Col) &amp;":"&amp; CHAR(65+C0Col)),2,FALSE)&gt;COUNTIF($E143:AB143,"u")+COUNTIF($E143:AB143,"t")+COUNTIF($E143:AB143,"¶")+COUNTIF($E143:AB143,"²")+COUNTIF($E143:AB143,"µ")+COUNTIF($E143:AB143,1)),
HYPERLINK("#Roadmap!C"&amp; MATCH($E143,Roadmap!$D:$D,0)+COUNTIF($E143:AB143,"u")+COUNTIF($E143:AB143,"t"),
     INDEX(Roadmap!$D:$K,MATCH($E143,Roadmap!$D:$D,0)+COUNTIF($E143:AB143,"u")+COUNTIF($E143:AB143,"t")+COUNTIF($E143:AB143,"¶")+COUNTIF($E143:AB143,"²")+COUNTIF($E143:AB143,"µ")+COUNTIF($E143:AB143,1),ColTypeEcheance)),
  IF(LEN(AB143)=1,
  IF(LEN(INDEX(Roadmap!$D:$K,MATCH($E143,Roadmap!$D:$D,0)-1+COUNTIF($E143:AB143,"u")+COUNTIF($E143:AB143,"t")+COUNTIF($E143:AB143,"¶")+COUNTIF($E143:AB143,"²")+COUNTIF($E143:AB143,"µ")+COUNTIF($E143:AB143,1),ColDescriptionCourte))&gt;1,
HYPERLINK("#Roadmap!C"&amp; MATCH($E143,Roadmap!$D:$D,0)+COUNTIF($E143:AB143,"u")+COUNTIF($E143:AB143,"t")+COUNTIF($E143:AB143,"¶")+COUNTIF($E143:AB143,"²")+COUNTIF($E143:AB143,"µ")+COUNTIF($E143:AB143,1)-1,INDEX(Roadmap!$D:$K,MATCH($E143,Roadmap!$D:$D,0)-1+COUNTIF($E143:AB143,"u")+COUNTIF($E143:AB143,"t")+COUNTIF($E143:AB143,"¶")+COUNTIF($E143:AB143,"²")+COUNTIF($E143:AB143,"µ")+COUNTIF($E143:AB143,1),ColDescriptionCourte)),""),
  "")),"")</f>
        <v/>
      </c>
      <c r="AD143" s="40" t="str">
        <f ca="1">IFERROR(IF(AND(
  INDEX(Roadmap!$D:$K,MATCH($E143,Roadmap!$D:$D,0)+COUNTIF($E143:AC143,"u")+COUNTIF($E143:AC143,"t")+COUNTIF($E143:AC143,"¶")+COUNTIF($E143:AC143,"²")+COUNTIF($E143:AC143,"µ")+COUNTIF($E143:AC143,1),ColLivraison)=AD$6,
  VLOOKUP($E143,INDIRECT("tri!"&amp; CHAR(64+ C0Col) &amp;":"&amp; CHAR(65+C0Col)),2,FALSE)&gt;COUNTIF($E143:AC143,"u")+COUNTIF($E143:AC143,"t")+COUNTIF($E143:AC143,"¶")+COUNTIF($E143:AC143,"²")+COUNTIF($E143:AC143,"µ")+COUNTIF($E143:AC143,1)),
HYPERLINK("#Roadmap!C"&amp; MATCH($E143,Roadmap!$D:$D,0)+COUNTIF($E143:AC143,"u")+COUNTIF($E143:AC143,"t"),
     INDEX(Roadmap!$D:$K,MATCH($E143,Roadmap!$D:$D,0)+COUNTIF($E143:AC143,"u")+COUNTIF($E143:AC143,"t")+COUNTIF($E143:AC143,"¶")+COUNTIF($E143:AC143,"²")+COUNTIF($E143:AC143,"µ")+COUNTIF($E143:AC143,1),ColTypeEcheance)),
  IF(LEN(AC143)=1,
  IF(LEN(INDEX(Roadmap!$D:$K,MATCH($E143,Roadmap!$D:$D,0)-1+COUNTIF($E143:AC143,"u")+COUNTIF($E143:AC143,"t")+COUNTIF($E143:AC143,"¶")+COUNTIF($E143:AC143,"²")+COUNTIF($E143:AC143,"µ")+COUNTIF($E143:AC143,1),ColDescriptionCourte))&gt;1,
HYPERLINK("#Roadmap!C"&amp; MATCH($E143,Roadmap!$D:$D,0)+COUNTIF($E143:AC143,"u")+COUNTIF($E143:AC143,"t")+COUNTIF($E143:AC143,"¶")+COUNTIF($E143:AC143,"²")+COUNTIF($E143:AC143,"µ")+COUNTIF($E143:AC143,1)-1,INDEX(Roadmap!$D:$K,MATCH($E143,Roadmap!$D:$D,0)-1+COUNTIF($E143:AC143,"u")+COUNTIF($E143:AC143,"t")+COUNTIF($E143:AC143,"¶")+COUNTIF($E143:AC143,"²")+COUNTIF($E143:AC143,"µ")+COUNTIF($E143:AC143,1),ColDescriptionCourte)),""),
  "")),"")</f>
        <v/>
      </c>
      <c r="AE143" s="40" t="str">
        <f ca="1">IFERROR(IF(AND(
  INDEX(Roadmap!$D:$K,MATCH($E143,Roadmap!$D:$D,0)+COUNTIF($E143:AD143,"u")+COUNTIF($E143:AD143,"t")+COUNTIF($E143:AD143,"¶")+COUNTIF($E143:AD143,"²")+COUNTIF($E143:AD143,"µ")+COUNTIF($E143:AD143,1),ColLivraison)=AE$6,
  VLOOKUP($E143,INDIRECT("tri!"&amp; CHAR(64+ C0Col) &amp;":"&amp; CHAR(65+C0Col)),2,FALSE)&gt;COUNTIF($E143:AD143,"u")+COUNTIF($E143:AD143,"t")+COUNTIF($E143:AD143,"¶")+COUNTIF($E143:AD143,"²")+COUNTIF($E143:AD143,"µ")+COUNTIF($E143:AD143,1)),
HYPERLINK("#Roadmap!C"&amp; MATCH($E143,Roadmap!$D:$D,0)+COUNTIF($E143:AD143,"u")+COUNTIF($E143:AD143,"t"),
     INDEX(Roadmap!$D:$K,MATCH($E143,Roadmap!$D:$D,0)+COUNTIF($E143:AD143,"u")+COUNTIF($E143:AD143,"t")+COUNTIF($E143:AD143,"¶")+COUNTIF($E143:AD143,"²")+COUNTIF($E143:AD143,"µ")+COUNTIF($E143:AD143,1),ColTypeEcheance)),
  IF(LEN(AD143)=1,
  IF(LEN(INDEX(Roadmap!$D:$K,MATCH($E143,Roadmap!$D:$D,0)-1+COUNTIF($E143:AD143,"u")+COUNTIF($E143:AD143,"t")+COUNTIF($E143:AD143,"¶")+COUNTIF($E143:AD143,"²")+COUNTIF($E143:AD143,"µ")+COUNTIF($E143:AD143,1),ColDescriptionCourte))&gt;1,
HYPERLINK("#Roadmap!C"&amp; MATCH($E143,Roadmap!$D:$D,0)+COUNTIF($E143:AD143,"u")+COUNTIF($E143:AD143,"t")+COUNTIF($E143:AD143,"¶")+COUNTIF($E143:AD143,"²")+COUNTIF($E143:AD143,"µ")+COUNTIF($E143:AD143,1)-1,INDEX(Roadmap!$D:$K,MATCH($E143,Roadmap!$D:$D,0)-1+COUNTIF($E143:AD143,"u")+COUNTIF($E143:AD143,"t")+COUNTIF($E143:AD143,"¶")+COUNTIF($E143:AD143,"²")+COUNTIF($E143:AD143,"µ")+COUNTIF($E143:AD143,1),ColDescriptionCourte)),""),
  "")),"")</f>
        <v/>
      </c>
      <c r="AF143" s="40" t="str">
        <f ca="1">IFERROR(IF(AND(
  INDEX(Roadmap!$D:$K,MATCH($E143,Roadmap!$D:$D,0)+COUNTIF($E143:AE143,"u")+COUNTIF($E143:AE143,"t")+COUNTIF($E143:AE143,"¶")+COUNTIF($E143:AE143,"²")+COUNTIF($E143:AE143,"µ")+COUNTIF($E143:AE143,1),ColLivraison)=AF$6,
  VLOOKUP($E143,INDIRECT("tri!"&amp; CHAR(64+ C0Col) &amp;":"&amp; CHAR(65+C0Col)),2,FALSE)&gt;COUNTIF($E143:AE143,"u")+COUNTIF($E143:AE143,"t")+COUNTIF($E143:AE143,"¶")+COUNTIF($E143:AE143,"²")+COUNTIF($E143:AE143,"µ")+COUNTIF($E143:AE143,1)),
HYPERLINK("#Roadmap!C"&amp; MATCH($E143,Roadmap!$D:$D,0)+COUNTIF($E143:AE143,"u")+COUNTIF($E143:AE143,"t"),
     INDEX(Roadmap!$D:$K,MATCH($E143,Roadmap!$D:$D,0)+COUNTIF($E143:AE143,"u")+COUNTIF($E143:AE143,"t")+COUNTIF($E143:AE143,"¶")+COUNTIF($E143:AE143,"²")+COUNTIF($E143:AE143,"µ")+COUNTIF($E143:AE143,1),ColTypeEcheance)),
  IF(LEN(AE143)=1,
  IF(LEN(INDEX(Roadmap!$D:$K,MATCH($E143,Roadmap!$D:$D,0)-1+COUNTIF($E143:AE143,"u")+COUNTIF($E143:AE143,"t")+COUNTIF($E143:AE143,"¶")+COUNTIF($E143:AE143,"²")+COUNTIF($E143:AE143,"µ")+COUNTIF($E143:AE143,1),ColDescriptionCourte))&gt;1,
HYPERLINK("#Roadmap!C"&amp; MATCH($E143,Roadmap!$D:$D,0)+COUNTIF($E143:AE143,"u")+COUNTIF($E143:AE143,"t")+COUNTIF($E143:AE143,"¶")+COUNTIF($E143:AE143,"²")+COUNTIF($E143:AE143,"µ")+COUNTIF($E143:AE143,1)-1,INDEX(Roadmap!$D:$K,MATCH($E143,Roadmap!$D:$D,0)-1+COUNTIF($E143:AE143,"u")+COUNTIF($E143:AE143,"t")+COUNTIF($E143:AE143,"¶")+COUNTIF($E143:AE143,"²")+COUNTIF($E143:AE143,"µ")+COUNTIF($E143:AE143,1),ColDescriptionCourte)),""),
  "")),"")</f>
        <v/>
      </c>
      <c r="AG143" s="40" t="str">
        <f ca="1">IFERROR(IF(AND(
  INDEX(Roadmap!$D:$K,MATCH($E143,Roadmap!$D:$D,0)+COUNTIF($E143:AF143,"u")+COUNTIF($E143:AF143,"t")+COUNTIF($E143:AF143,"¶")+COUNTIF($E143:AF143,"²")+COUNTIF($E143:AF143,"µ")+COUNTIF($E143:AF143,1),ColLivraison)=AG$6,
  VLOOKUP($E143,INDIRECT("tri!"&amp; CHAR(64+ C0Col) &amp;":"&amp; CHAR(65+C0Col)),2,FALSE)&gt;COUNTIF($E143:AF143,"u")+COUNTIF($E143:AF143,"t")+COUNTIF($E143:AF143,"¶")+COUNTIF($E143:AF143,"²")+COUNTIF($E143:AF143,"µ")+COUNTIF($E143:AF143,1)),
HYPERLINK("#Roadmap!C"&amp; MATCH($E143,Roadmap!$D:$D,0)+COUNTIF($E143:AF143,"u")+COUNTIF($E143:AF143,"t"),
     INDEX(Roadmap!$D:$K,MATCH($E143,Roadmap!$D:$D,0)+COUNTIF($E143:AF143,"u")+COUNTIF($E143:AF143,"t")+COUNTIF($E143:AF143,"¶")+COUNTIF($E143:AF143,"²")+COUNTIF($E143:AF143,"µ")+COUNTIF($E143:AF143,1),ColTypeEcheance)),
  IF(LEN(AF143)=1,
  IF(LEN(INDEX(Roadmap!$D:$K,MATCH($E143,Roadmap!$D:$D,0)-1+COUNTIF($E143:AF143,"u")+COUNTIF($E143:AF143,"t")+COUNTIF($E143:AF143,"¶")+COUNTIF($E143:AF143,"²")+COUNTIF($E143:AF143,"µ")+COUNTIF($E143:AF143,1),ColDescriptionCourte))&gt;1,
HYPERLINK("#Roadmap!C"&amp; MATCH($E143,Roadmap!$D:$D,0)+COUNTIF($E143:AF143,"u")+COUNTIF($E143:AF143,"t")+COUNTIF($E143:AF143,"¶")+COUNTIF($E143:AF143,"²")+COUNTIF($E143:AF143,"µ")+COUNTIF($E143:AF143,1)-1,INDEX(Roadmap!$D:$K,MATCH($E143,Roadmap!$D:$D,0)-1+COUNTIF($E143:AF143,"u")+COUNTIF($E143:AF143,"t")+COUNTIF($E143:AF143,"¶")+COUNTIF($E143:AF143,"²")+COUNTIF($E143:AF143,"µ")+COUNTIF($E143:AF143,1),ColDescriptionCourte)),""),
  "")),"")</f>
        <v/>
      </c>
    </row>
    <row r="144" spans="3:33" ht="14.25" customHeight="1">
      <c r="C144" s="1" t="str">
        <f t="shared" ca="1" si="52"/>
        <v/>
      </c>
      <c r="D144" s="1" t="str">
        <f t="shared" ca="1" si="53"/>
        <v/>
      </c>
      <c r="E144" s="35" t="str">
        <f t="shared" ca="1" si="51"/>
        <v/>
      </c>
      <c r="F144" s="39" t="str">
        <f ca="1">IFERROR(IF(AND(
  INDEX(Roadmap!$D:$K,MATCH($E144,Roadmap!$D:$D,0)+COUNTIF($E144:E144,"u")+COUNTIF($E144:E144,"t")+COUNTIF($E144:E144,"¶")+COUNTIF($E144:E144,"²")+COUNTIF($E144:E144,"µ")+COUNTIF($E144:E144,1),ColLivraison)=F$6,
  VLOOKUP($E144,INDIRECT("tri!"&amp; CHAR(64+ C0Col) &amp;":"&amp; CHAR(65+C0Col)),2,FALSE)&gt;COUNTIF($E144:E144,"u")+COUNTIF($E144:E144,"t")+COUNTIF($E144:E144,"¶")+COUNTIF($E144:E144,"²")+COUNTIF($E144:E144,"µ")+COUNTIF($E144:E144,1)),
HYPERLINK("#Roadmap!C"&amp; MATCH($E144,Roadmap!$D:$D,0)+COUNTIF($E144:E144,"u")+COUNTIF($E144:E144,"t"),
     INDEX(Roadmap!$D:$K,MATCH($E144,Roadmap!$D:$D,0)+COUNTIF($E144:E144,"u")+COUNTIF($E144:E144,"t")+COUNTIF($E144:E144,"¶")+COUNTIF($E144:E144,"²")+COUNTIF($E144:E144,"µ")+COUNTIF($E144:E144,1),ColTypeEcheance)),
  IF(LEN(E144)=1,
  IF(LEN(INDEX(Roadmap!$D:$K,MATCH($E144,Roadmap!$D:$D,0)-1+COUNTIF($E144:E144,"u")+COUNTIF($E144:E144,"t")+COUNTIF($E144:E144,"¶")+COUNTIF($E144:E144,"²")+COUNTIF($E144:E144,"µ")+COUNTIF($E144:E144,1),ColDescriptionCourte))&gt;1,
HYPERLINK("#Roadmap!C"&amp; MATCH($E144,Roadmap!$D:$D,0)+COUNTIF($E144:E144,"u")+COUNTIF($E144:E144,"t")+COUNTIF($E144:E144,"¶")+COUNTIF($E144:E144,"²")+COUNTIF($E144:E144,"µ")+COUNTIF($E144:E144,1)-1,INDEX(Roadmap!$D:$K,MATCH($E144,Roadmap!$D:$D,0)-1+COUNTIF($E144:E144,"u")+COUNTIF($E144:E144,"t")+COUNTIF($E144:E144,"¶")+COUNTIF($E144:E144,"²")+COUNTIF($E144:E144,"µ")+COUNTIF($E144:E144,1),ColDescriptionCourte)),""),
  "")),"")</f>
        <v/>
      </c>
      <c r="G144" s="40" t="str">
        <f ca="1">IFERROR(IF(AND(
  INDEX(Roadmap!$D:$K,MATCH($E144,Roadmap!$D:$D,0)+COUNTIF($E144:F144,"u")+COUNTIF($E144:F144,"t")+COUNTIF($E144:F144,"¶")+COUNTIF($E144:F144,"²")+COUNTIF($E144:F144,"µ")+COUNTIF($E144:F144,1),ColLivraison)=G$6,
  VLOOKUP($E144,INDIRECT("tri!"&amp; CHAR(64+ C0Col) &amp;":"&amp; CHAR(65+C0Col)),2,FALSE)&gt;COUNTIF($E144:F144,"u")+COUNTIF($E144:F144,"t")+COUNTIF($E144:F144,"¶")+COUNTIF($E144:F144,"²")+COUNTIF($E144:F144,"µ")+COUNTIF($E144:F144,1)),
HYPERLINK("#Roadmap!C"&amp; MATCH($E144,Roadmap!$D:$D,0)+COUNTIF($E144:F144,"u")+COUNTIF($E144:F144,"t"),
     INDEX(Roadmap!$D:$K,MATCH($E144,Roadmap!$D:$D,0)+COUNTIF($E144:F144,"u")+COUNTIF($E144:F144,"t")+COUNTIF($E144:F144,"¶")+COUNTIF($E144:F144,"²")+COUNTIF($E144:F144,"µ")+COUNTIF($E144:F144,1),ColTypeEcheance)),
  IF(LEN(F144)=1,
  IF(LEN(INDEX(Roadmap!$D:$K,MATCH($E144,Roadmap!$D:$D,0)-1+COUNTIF($E144:F144,"u")+COUNTIF($E144:F144,"t")+COUNTIF($E144:F144,"¶")+COUNTIF($E144:F144,"²")+COUNTIF($E144:F144,"µ")+COUNTIF($E144:F144,1),ColDescriptionCourte))&gt;1,
HYPERLINK("#Roadmap!C"&amp; MATCH($E144,Roadmap!$D:$D,0)+COUNTIF($E144:F144,"u")+COUNTIF($E144:F144,"t")+COUNTIF($E144:F144,"¶")+COUNTIF($E144:F144,"²")+COUNTIF($E144:F144,"µ")+COUNTIF($E144:F144,1)-1,INDEX(Roadmap!$D:$K,MATCH($E144,Roadmap!$D:$D,0)-1+COUNTIF($E144:F144,"u")+COUNTIF($E144:F144,"t")+COUNTIF($E144:F144,"¶")+COUNTIF($E144:F144,"²")+COUNTIF($E144:F144,"µ")+COUNTIF($E144:F144,1),ColDescriptionCourte)),""),
  "")),"")</f>
        <v/>
      </c>
      <c r="H144" s="40" t="str">
        <f ca="1">IFERROR(IF(AND(
  INDEX(Roadmap!$D:$K,MATCH($E144,Roadmap!$D:$D,0)+COUNTIF($E144:G144,"u")+COUNTIF($E144:G144,"t")+COUNTIF($E144:G144,"¶")+COUNTIF($E144:G144,"²")+COUNTIF($E144:G144,"µ")+COUNTIF($E144:G144,1),ColLivraison)=H$6,
  VLOOKUP($E144,INDIRECT("tri!"&amp; CHAR(64+ C0Col) &amp;":"&amp; CHAR(65+C0Col)),2,FALSE)&gt;COUNTIF($E144:G144,"u")+COUNTIF($E144:G144,"t")+COUNTIF($E144:G144,"¶")+COUNTIF($E144:G144,"²")+COUNTIF($E144:G144,"µ")+COUNTIF($E144:G144,1)),
HYPERLINK("#Roadmap!C"&amp; MATCH($E144,Roadmap!$D:$D,0)+COUNTIF($E144:G144,"u")+COUNTIF($E144:G144,"t"),
     INDEX(Roadmap!$D:$K,MATCH($E144,Roadmap!$D:$D,0)+COUNTIF($E144:G144,"u")+COUNTIF($E144:G144,"t")+COUNTIF($E144:G144,"¶")+COUNTIF($E144:G144,"²")+COUNTIF($E144:G144,"µ")+COUNTIF($E144:G144,1),ColTypeEcheance)),
  IF(LEN(G144)=1,
  IF(LEN(INDEX(Roadmap!$D:$K,MATCH($E144,Roadmap!$D:$D,0)-1+COUNTIF($E144:G144,"u")+COUNTIF($E144:G144,"t")+COUNTIF($E144:G144,"¶")+COUNTIF($E144:G144,"²")+COUNTIF($E144:G144,"µ")+COUNTIF($E144:G144,1),ColDescriptionCourte))&gt;1,
HYPERLINK("#Roadmap!C"&amp; MATCH($E144,Roadmap!$D:$D,0)+COUNTIF($E144:G144,"u")+COUNTIF($E144:G144,"t")+COUNTIF($E144:G144,"¶")+COUNTIF($E144:G144,"²")+COUNTIF($E144:G144,"µ")+COUNTIF($E144:G144,1)-1,INDEX(Roadmap!$D:$K,MATCH($E144,Roadmap!$D:$D,0)-1+COUNTIF($E144:G144,"u")+COUNTIF($E144:G144,"t")+COUNTIF($E144:G144,"¶")+COUNTIF($E144:G144,"²")+COUNTIF($E144:G144,"µ")+COUNTIF($E144:G144,1),ColDescriptionCourte)),""),
  "")),"")</f>
        <v/>
      </c>
      <c r="I144" s="40" t="str">
        <f ca="1">IFERROR(IF(AND(
  INDEX(Roadmap!$D:$K,MATCH($E144,Roadmap!$D:$D,0)+COUNTIF($E144:H144,"u")+COUNTIF($E144:H144,"t")+COUNTIF($E144:H144,"¶")+COUNTIF($E144:H144,"²")+COUNTIF($E144:H144,"µ")+COUNTIF($E144:H144,1),ColLivraison)=I$6,
  VLOOKUP($E144,INDIRECT("tri!"&amp; CHAR(64+ C0Col) &amp;":"&amp; CHAR(65+C0Col)),2,FALSE)&gt;COUNTIF($E144:H144,"u")+COUNTIF($E144:H144,"t")+COUNTIF($E144:H144,"¶")+COUNTIF($E144:H144,"²")+COUNTIF($E144:H144,"µ")+COUNTIF($E144:H144,1)),
HYPERLINK("#Roadmap!C"&amp; MATCH($E144,Roadmap!$D:$D,0)+COUNTIF($E144:H144,"u")+COUNTIF($E144:H144,"t"),
     INDEX(Roadmap!$D:$K,MATCH($E144,Roadmap!$D:$D,0)+COUNTIF($E144:H144,"u")+COUNTIF($E144:H144,"t")+COUNTIF($E144:H144,"¶")+COUNTIF($E144:H144,"²")+COUNTIF($E144:H144,"µ")+COUNTIF($E144:H144,1),ColTypeEcheance)),
  IF(LEN(H144)=1,
  IF(LEN(INDEX(Roadmap!$D:$K,MATCH($E144,Roadmap!$D:$D,0)-1+COUNTIF($E144:H144,"u")+COUNTIF($E144:H144,"t")+COUNTIF($E144:H144,"¶")+COUNTIF($E144:H144,"²")+COUNTIF($E144:H144,"µ")+COUNTIF($E144:H144,1),ColDescriptionCourte))&gt;1,
HYPERLINK("#Roadmap!C"&amp; MATCH($E144,Roadmap!$D:$D,0)+COUNTIF($E144:H144,"u")+COUNTIF($E144:H144,"t")+COUNTIF($E144:H144,"¶")+COUNTIF($E144:H144,"²")+COUNTIF($E144:H144,"µ")+COUNTIF($E144:H144,1)-1,INDEX(Roadmap!$D:$K,MATCH($E144,Roadmap!$D:$D,0)-1+COUNTIF($E144:H144,"u")+COUNTIF($E144:H144,"t")+COUNTIF($E144:H144,"¶")+COUNTIF($E144:H144,"²")+COUNTIF($E144:H144,"µ")+COUNTIF($E144:H144,1),ColDescriptionCourte)),""),
  "")),"")</f>
        <v/>
      </c>
      <c r="J144" s="40" t="str">
        <f ca="1">IFERROR(IF(AND(
  INDEX(Roadmap!$D:$K,MATCH($E144,Roadmap!$D:$D,0)+COUNTIF($E144:I144,"u")+COUNTIF($E144:I144,"t")+COUNTIF($E144:I144,"¶")+COUNTIF($E144:I144,"²")+COUNTIF($E144:I144,"µ")+COUNTIF($E144:I144,1),ColLivraison)=J$6,
  VLOOKUP($E144,INDIRECT("tri!"&amp; CHAR(64+ C0Col) &amp;":"&amp; CHAR(65+C0Col)),2,FALSE)&gt;COUNTIF($E144:I144,"u")+COUNTIF($E144:I144,"t")+COUNTIF($E144:I144,"¶")+COUNTIF($E144:I144,"²")+COUNTIF($E144:I144,"µ")+COUNTIF($E144:I144,1)),
HYPERLINK("#Roadmap!C"&amp; MATCH($E144,Roadmap!$D:$D,0)+COUNTIF($E144:I144,"u")+COUNTIF($E144:I144,"t"),
     INDEX(Roadmap!$D:$K,MATCH($E144,Roadmap!$D:$D,0)+COUNTIF($E144:I144,"u")+COUNTIF($E144:I144,"t")+COUNTIF($E144:I144,"¶")+COUNTIF($E144:I144,"²")+COUNTIF($E144:I144,"µ")+COUNTIF($E144:I144,1),ColTypeEcheance)),
  IF(LEN(I144)=1,
  IF(LEN(INDEX(Roadmap!$D:$K,MATCH($E144,Roadmap!$D:$D,0)-1+COUNTIF($E144:I144,"u")+COUNTIF($E144:I144,"t")+COUNTIF($E144:I144,"¶")+COUNTIF($E144:I144,"²")+COUNTIF($E144:I144,"µ")+COUNTIF($E144:I144,1),ColDescriptionCourte))&gt;1,
HYPERLINK("#Roadmap!C"&amp; MATCH($E144,Roadmap!$D:$D,0)+COUNTIF($E144:I144,"u")+COUNTIF($E144:I144,"t")+COUNTIF($E144:I144,"¶")+COUNTIF($E144:I144,"²")+COUNTIF($E144:I144,"µ")+COUNTIF($E144:I144,1)-1,INDEX(Roadmap!$D:$K,MATCH($E144,Roadmap!$D:$D,0)-1+COUNTIF($E144:I144,"u")+COUNTIF($E144:I144,"t")+COUNTIF($E144:I144,"¶")+COUNTIF($E144:I144,"²")+COUNTIF($E144:I144,"µ")+COUNTIF($E144:I144,1),ColDescriptionCourte)),""),
  "")),"")</f>
        <v/>
      </c>
      <c r="K144" s="40" t="str">
        <f ca="1">IFERROR(IF(AND(
  INDEX(Roadmap!$D:$K,MATCH($E144,Roadmap!$D:$D,0)+COUNTIF($E144:J144,"u")+COUNTIF($E144:J144,"t")+COUNTIF($E144:J144,"¶")+COUNTIF($E144:J144,"²")+COUNTIF($E144:J144,"µ")+COUNTIF($E144:J144,1),ColLivraison)=K$6,
  VLOOKUP($E144,INDIRECT("tri!"&amp; CHAR(64+ C0Col) &amp;":"&amp; CHAR(65+C0Col)),2,FALSE)&gt;COUNTIF($E144:J144,"u")+COUNTIF($E144:J144,"t")+COUNTIF($E144:J144,"¶")+COUNTIF($E144:J144,"²")+COUNTIF($E144:J144,"µ")+COUNTIF($E144:J144,1)),
HYPERLINK("#Roadmap!C"&amp; MATCH($E144,Roadmap!$D:$D,0)+COUNTIF($E144:J144,"u")+COUNTIF($E144:J144,"t"),
     INDEX(Roadmap!$D:$K,MATCH($E144,Roadmap!$D:$D,0)+COUNTIF($E144:J144,"u")+COUNTIF($E144:J144,"t")+COUNTIF($E144:J144,"¶")+COUNTIF($E144:J144,"²")+COUNTIF($E144:J144,"µ")+COUNTIF($E144:J144,1),ColTypeEcheance)),
  IF(LEN(J144)=1,
  IF(LEN(INDEX(Roadmap!$D:$K,MATCH($E144,Roadmap!$D:$D,0)-1+COUNTIF($E144:J144,"u")+COUNTIF($E144:J144,"t")+COUNTIF($E144:J144,"¶")+COUNTIF($E144:J144,"²")+COUNTIF($E144:J144,"µ")+COUNTIF($E144:J144,1),ColDescriptionCourte))&gt;1,
HYPERLINK("#Roadmap!C"&amp; MATCH($E144,Roadmap!$D:$D,0)+COUNTIF($E144:J144,"u")+COUNTIF($E144:J144,"t")+COUNTIF($E144:J144,"¶")+COUNTIF($E144:J144,"²")+COUNTIF($E144:J144,"µ")+COUNTIF($E144:J144,1)-1,INDEX(Roadmap!$D:$K,MATCH($E144,Roadmap!$D:$D,0)-1+COUNTIF($E144:J144,"u")+COUNTIF($E144:J144,"t")+COUNTIF($E144:J144,"¶")+COUNTIF($E144:J144,"²")+COUNTIF($E144:J144,"µ")+COUNTIF($E144:J144,1),ColDescriptionCourte)),""),
  "")),"")</f>
        <v/>
      </c>
      <c r="L144" s="39" t="str">
        <f ca="1">IFERROR(IF(AND(
  INDEX(Roadmap!$D:$K,MATCH($E144,Roadmap!$D:$D,0)+COUNTIF($E144:K144,"u")+COUNTIF($E144:K144,"t")+COUNTIF($E144:K144,"¶")+COUNTIF($E144:K144,"²")+COUNTIF($E144:K144,"µ")+COUNTIF($E144:K144,1),ColLivraison)=L$6,
  VLOOKUP($E144,INDIRECT("tri!"&amp; CHAR(64+ C0Col) &amp;":"&amp; CHAR(65+C0Col)),2,FALSE)&gt;COUNTIF($E144:K144,"u")+COUNTIF($E144:K144,"t")+COUNTIF($E144:K144,"¶")+COUNTIF($E144:K144,"²")+COUNTIF($E144:K144,"µ")+COUNTIF($E144:K144,1)),
HYPERLINK("#Roadmap!C"&amp; MATCH($E144,Roadmap!$D:$D,0)+COUNTIF($E144:K144,"u")+COUNTIF($E144:K144,"t"),
     INDEX(Roadmap!$D:$K,MATCH($E144,Roadmap!$D:$D,0)+COUNTIF($E144:K144,"u")+COUNTIF($E144:K144,"t")+COUNTIF($E144:K144,"¶")+COUNTIF($E144:K144,"²")+COUNTIF($E144:K144,"µ")+COUNTIF($E144:K144,1),ColTypeEcheance)),
  IF(LEN(K144)=1,
  IF(LEN(INDEX(Roadmap!$D:$K,MATCH($E144,Roadmap!$D:$D,0)-1+COUNTIF($E144:K144,"u")+COUNTIF($E144:K144,"t")+COUNTIF($E144:K144,"¶")+COUNTIF($E144:K144,"²")+COUNTIF($E144:K144,"µ")+COUNTIF($E144:K144,1),ColDescriptionCourte))&gt;1,
HYPERLINK("#Roadmap!C"&amp; MATCH($E144,Roadmap!$D:$D,0)+COUNTIF($E144:K144,"u")+COUNTIF($E144:K144,"t")+COUNTIF($E144:K144,"¶")+COUNTIF($E144:K144,"²")+COUNTIF($E144:K144,"µ")+COUNTIF($E144:K144,1)-1,INDEX(Roadmap!$D:$K,MATCH($E144,Roadmap!$D:$D,0)-1+COUNTIF($E144:K144,"u")+COUNTIF($E144:K144,"t")+COUNTIF($E144:K144,"¶")+COUNTIF($E144:K144,"²")+COUNTIF($E144:K144,"µ")+COUNTIF($E144:K144,1),ColDescriptionCourte)),""),
  "")),"")</f>
        <v/>
      </c>
      <c r="M144" s="40" t="str">
        <f ca="1">IFERROR(IF(AND(
  INDEX(Roadmap!$D:$K,MATCH($E144,Roadmap!$D:$D,0)+COUNTIF($E144:L144,"u")+COUNTIF($E144:L144,"t")+COUNTIF($E144:L144,"¶")+COUNTIF($E144:L144,"²")+COUNTIF($E144:L144,"µ")+COUNTIF($E144:L144,1),ColLivraison)=M$6,
  VLOOKUP($E144,INDIRECT("tri!"&amp; CHAR(64+ C0Col) &amp;":"&amp; CHAR(65+C0Col)),2,FALSE)&gt;COUNTIF($E144:L144,"u")+COUNTIF($E144:L144,"t")+COUNTIF($E144:L144,"¶")+COUNTIF($E144:L144,"²")+COUNTIF($E144:L144,"µ")+COUNTIF($E144:L144,1)),
HYPERLINK("#Roadmap!C"&amp; MATCH($E144,Roadmap!$D:$D,0)+COUNTIF($E144:L144,"u")+COUNTIF($E144:L144,"t"),
     INDEX(Roadmap!$D:$K,MATCH($E144,Roadmap!$D:$D,0)+COUNTIF($E144:L144,"u")+COUNTIF($E144:L144,"t")+COUNTIF($E144:L144,"¶")+COUNTIF($E144:L144,"²")+COUNTIF($E144:L144,"µ")+COUNTIF($E144:L144,1),ColTypeEcheance)),
  IF(LEN(L144)=1,
  IF(LEN(INDEX(Roadmap!$D:$K,MATCH($E144,Roadmap!$D:$D,0)-1+COUNTIF($E144:L144,"u")+COUNTIF($E144:L144,"t")+COUNTIF($E144:L144,"¶")+COUNTIF($E144:L144,"²")+COUNTIF($E144:L144,"µ")+COUNTIF($E144:L144,1),ColDescriptionCourte))&gt;1,
HYPERLINK("#Roadmap!C"&amp; MATCH($E144,Roadmap!$D:$D,0)+COUNTIF($E144:L144,"u")+COUNTIF($E144:L144,"t")+COUNTIF($E144:L144,"¶")+COUNTIF($E144:L144,"²")+COUNTIF($E144:L144,"µ")+COUNTIF($E144:L144,1)-1,INDEX(Roadmap!$D:$K,MATCH($E144,Roadmap!$D:$D,0)-1+COUNTIF($E144:L144,"u")+COUNTIF($E144:L144,"t")+COUNTIF($E144:L144,"¶")+COUNTIF($E144:L144,"²")+COUNTIF($E144:L144,"µ")+COUNTIF($E144:L144,1),ColDescriptionCourte)),""),
  "")),"")</f>
        <v/>
      </c>
      <c r="N144" s="40" t="str">
        <f ca="1">IFERROR(IF(AND(
  INDEX(Roadmap!$D:$K,MATCH($E144,Roadmap!$D:$D,0)+COUNTIF($E144:M144,"u")+COUNTIF($E144:M144,"t")+COUNTIF($E144:M144,"¶")+COUNTIF($E144:M144,"²")+COUNTIF($E144:M144,"µ")+COUNTIF($E144:M144,1),ColLivraison)=N$6,
  VLOOKUP($E144,INDIRECT("tri!"&amp; CHAR(64+ C0Col) &amp;":"&amp; CHAR(65+C0Col)),2,FALSE)&gt;COUNTIF($E144:M144,"u")+COUNTIF($E144:M144,"t")+COUNTIF($E144:M144,"¶")+COUNTIF($E144:M144,"²")+COUNTIF($E144:M144,"µ")+COUNTIF($E144:M144,1)),
HYPERLINK("#Roadmap!C"&amp; MATCH($E144,Roadmap!$D:$D,0)+COUNTIF($E144:M144,"u")+COUNTIF($E144:M144,"t"),
     INDEX(Roadmap!$D:$K,MATCH($E144,Roadmap!$D:$D,0)+COUNTIF($E144:M144,"u")+COUNTIF($E144:M144,"t")+COUNTIF($E144:M144,"¶")+COUNTIF($E144:M144,"²")+COUNTIF($E144:M144,"µ")+COUNTIF($E144:M144,1),ColTypeEcheance)),
  IF(LEN(M144)=1,
  IF(LEN(INDEX(Roadmap!$D:$K,MATCH($E144,Roadmap!$D:$D,0)-1+COUNTIF($E144:M144,"u")+COUNTIF($E144:M144,"t")+COUNTIF($E144:M144,"¶")+COUNTIF($E144:M144,"²")+COUNTIF($E144:M144,"µ")+COUNTIF($E144:M144,1),ColDescriptionCourte))&gt;1,
HYPERLINK("#Roadmap!C"&amp; MATCH($E144,Roadmap!$D:$D,0)+COUNTIF($E144:M144,"u")+COUNTIF($E144:M144,"t")+COUNTIF($E144:M144,"¶")+COUNTIF($E144:M144,"²")+COUNTIF($E144:M144,"µ")+COUNTIF($E144:M144,1)-1,INDEX(Roadmap!$D:$K,MATCH($E144,Roadmap!$D:$D,0)-1+COUNTIF($E144:M144,"u")+COUNTIF($E144:M144,"t")+COUNTIF($E144:M144,"¶")+COUNTIF($E144:M144,"²")+COUNTIF($E144:M144,"µ")+COUNTIF($E144:M144,1),ColDescriptionCourte)),""),
  "")),"")</f>
        <v/>
      </c>
      <c r="O144" s="40" t="str">
        <f ca="1">IFERROR(IF(AND(
  INDEX(Roadmap!$D:$K,MATCH($E144,Roadmap!$D:$D,0)+COUNTIF($E144:N144,"u")+COUNTIF($E144:N144,"t")+COUNTIF($E144:N144,"¶")+COUNTIF($E144:N144,"²")+COUNTIF($E144:N144,"µ")+COUNTIF($E144:N144,1),ColLivraison)=O$6,
  VLOOKUP($E144,INDIRECT("tri!"&amp; CHAR(64+ C0Col) &amp;":"&amp; CHAR(65+C0Col)),2,FALSE)&gt;COUNTIF($E144:N144,"u")+COUNTIF($E144:N144,"t")+COUNTIF($E144:N144,"¶")+COUNTIF($E144:N144,"²")+COUNTIF($E144:N144,"µ")+COUNTIF($E144:N144,1)),
HYPERLINK("#Roadmap!C"&amp; MATCH($E144,Roadmap!$D:$D,0)+COUNTIF($E144:N144,"u")+COUNTIF($E144:N144,"t"),
     INDEX(Roadmap!$D:$K,MATCH($E144,Roadmap!$D:$D,0)+COUNTIF($E144:N144,"u")+COUNTIF($E144:N144,"t")+COUNTIF($E144:N144,"¶")+COUNTIF($E144:N144,"²")+COUNTIF($E144:N144,"µ")+COUNTIF($E144:N144,1),ColTypeEcheance)),
  IF(LEN(N144)=1,
  IF(LEN(INDEX(Roadmap!$D:$K,MATCH($E144,Roadmap!$D:$D,0)-1+COUNTIF($E144:N144,"u")+COUNTIF($E144:N144,"t")+COUNTIF($E144:N144,"¶")+COUNTIF($E144:N144,"²")+COUNTIF($E144:N144,"µ")+COUNTIF($E144:N144,1),ColDescriptionCourte))&gt;1,
HYPERLINK("#Roadmap!C"&amp; MATCH($E144,Roadmap!$D:$D,0)+COUNTIF($E144:N144,"u")+COUNTIF($E144:N144,"t")+COUNTIF($E144:N144,"¶")+COUNTIF($E144:N144,"²")+COUNTIF($E144:N144,"µ")+COUNTIF($E144:N144,1)-1,INDEX(Roadmap!$D:$K,MATCH($E144,Roadmap!$D:$D,0)-1+COUNTIF($E144:N144,"u")+COUNTIF($E144:N144,"t")+COUNTIF($E144:N144,"¶")+COUNTIF($E144:N144,"²")+COUNTIF($E144:N144,"µ")+COUNTIF($E144:N144,1),ColDescriptionCourte)),""),
  "")),"")</f>
        <v/>
      </c>
      <c r="P144" s="40" t="str">
        <f ca="1">IFERROR(IF(AND(
  INDEX(Roadmap!$D:$K,MATCH($E144,Roadmap!$D:$D,0)+COUNTIF($E144:O144,"u")+COUNTIF($E144:O144,"t")+COUNTIF($E144:O144,"¶")+COUNTIF($E144:O144,"²")+COUNTIF($E144:O144,"µ")+COUNTIF($E144:O144,1),ColLivraison)=P$6,
  VLOOKUP($E144,INDIRECT("tri!"&amp; CHAR(64+ C0Col) &amp;":"&amp; CHAR(65+C0Col)),2,FALSE)&gt;COUNTIF($E144:O144,"u")+COUNTIF($E144:O144,"t")+COUNTIF($E144:O144,"¶")+COUNTIF($E144:O144,"²")+COUNTIF($E144:O144,"µ")+COUNTIF($E144:O144,1)),
HYPERLINK("#Roadmap!C"&amp; MATCH($E144,Roadmap!$D:$D,0)+COUNTIF($E144:O144,"u")+COUNTIF($E144:O144,"t"),
     INDEX(Roadmap!$D:$K,MATCH($E144,Roadmap!$D:$D,0)+COUNTIF($E144:O144,"u")+COUNTIF($E144:O144,"t")+COUNTIF($E144:O144,"¶")+COUNTIF($E144:O144,"²")+COUNTIF($E144:O144,"µ")+COUNTIF($E144:O144,1),ColTypeEcheance)),
  IF(LEN(O144)=1,
  IF(LEN(INDEX(Roadmap!$D:$K,MATCH($E144,Roadmap!$D:$D,0)-1+COUNTIF($E144:O144,"u")+COUNTIF($E144:O144,"t")+COUNTIF($E144:O144,"¶")+COUNTIF($E144:O144,"²")+COUNTIF($E144:O144,"µ")+COUNTIF($E144:O144,1),ColDescriptionCourte))&gt;1,
HYPERLINK("#Roadmap!C"&amp; MATCH($E144,Roadmap!$D:$D,0)+COUNTIF($E144:O144,"u")+COUNTIF($E144:O144,"t")+COUNTIF($E144:O144,"¶")+COUNTIF($E144:O144,"²")+COUNTIF($E144:O144,"µ")+COUNTIF($E144:O144,1)-1,INDEX(Roadmap!$D:$K,MATCH($E144,Roadmap!$D:$D,0)-1+COUNTIF($E144:O144,"u")+COUNTIF($E144:O144,"t")+COUNTIF($E144:O144,"¶")+COUNTIF($E144:O144,"²")+COUNTIF($E144:O144,"µ")+COUNTIF($E144:O144,1),ColDescriptionCourte)),""),
  "")),"")</f>
        <v/>
      </c>
      <c r="Q144" s="40" t="str">
        <f ca="1">IFERROR(IF(AND(
  INDEX(Roadmap!$D:$K,MATCH($E144,Roadmap!$D:$D,0)+COUNTIF($E144:P144,"u")+COUNTIF($E144:P144,"t")+COUNTIF($E144:P144,"¶")+COUNTIF($E144:P144,"²")+COUNTIF($E144:P144,"µ")+COUNTIF($E144:P144,1),ColLivraison)=Q$6,
  VLOOKUP($E144,INDIRECT("tri!"&amp; CHAR(64+ C0Col) &amp;":"&amp; CHAR(65+C0Col)),2,FALSE)&gt;COUNTIF($E144:P144,"u")+COUNTIF($E144:P144,"t")+COUNTIF($E144:P144,"¶")+COUNTIF($E144:P144,"²")+COUNTIF($E144:P144,"µ")+COUNTIF($E144:P144,1)),
HYPERLINK("#Roadmap!C"&amp; MATCH($E144,Roadmap!$D:$D,0)+COUNTIF($E144:P144,"u")+COUNTIF($E144:P144,"t"),
     INDEX(Roadmap!$D:$K,MATCH($E144,Roadmap!$D:$D,0)+COUNTIF($E144:P144,"u")+COUNTIF($E144:P144,"t")+COUNTIF($E144:P144,"¶")+COUNTIF($E144:P144,"²")+COUNTIF($E144:P144,"µ")+COUNTIF($E144:P144,1),ColTypeEcheance)),
  IF(LEN(P144)=1,
  IF(LEN(INDEX(Roadmap!$D:$K,MATCH($E144,Roadmap!$D:$D,0)-1+COUNTIF($E144:P144,"u")+COUNTIF($E144:P144,"t")+COUNTIF($E144:P144,"¶")+COUNTIF($E144:P144,"²")+COUNTIF($E144:P144,"µ")+COUNTIF($E144:P144,1),ColDescriptionCourte))&gt;1,
HYPERLINK("#Roadmap!C"&amp; MATCH($E144,Roadmap!$D:$D,0)+COUNTIF($E144:P144,"u")+COUNTIF($E144:P144,"t")+COUNTIF($E144:P144,"¶")+COUNTIF($E144:P144,"²")+COUNTIF($E144:P144,"µ")+COUNTIF($E144:P144,1)-1,INDEX(Roadmap!$D:$K,MATCH($E144,Roadmap!$D:$D,0)-1+COUNTIF($E144:P144,"u")+COUNTIF($E144:P144,"t")+COUNTIF($E144:P144,"¶")+COUNTIF($E144:P144,"²")+COUNTIF($E144:P144,"µ")+COUNTIF($E144:P144,1),ColDescriptionCourte)),""),
  "")),"")</f>
        <v/>
      </c>
      <c r="R144" s="40" t="str">
        <f ca="1">IFERROR(IF(AND(
  INDEX(Roadmap!$D:$K,MATCH($E144,Roadmap!$D:$D,0)+COUNTIF($E144:Q144,"u")+COUNTIF($E144:Q144,"t")+COUNTIF($E144:Q144,"¶")+COUNTIF($E144:Q144,"²")+COUNTIF($E144:Q144,"µ")+COUNTIF($E144:Q144,1),ColLivraison)=R$6,
  VLOOKUP($E144,INDIRECT("tri!"&amp; CHAR(64+ C0Col) &amp;":"&amp; CHAR(65+C0Col)),2,FALSE)&gt;COUNTIF($E144:Q144,"u")+COUNTIF($E144:Q144,"t")+COUNTIF($E144:Q144,"¶")+COUNTIF($E144:Q144,"²")+COUNTIF($E144:Q144,"µ")+COUNTIF($E144:Q144,1)),
HYPERLINK("#Roadmap!C"&amp; MATCH($E144,Roadmap!$D:$D,0)+COUNTIF($E144:Q144,"u")+COUNTIF($E144:Q144,"t"),
     INDEX(Roadmap!$D:$K,MATCH($E144,Roadmap!$D:$D,0)+COUNTIF($E144:Q144,"u")+COUNTIF($E144:Q144,"t")+COUNTIF($E144:Q144,"¶")+COUNTIF($E144:Q144,"²")+COUNTIF($E144:Q144,"µ")+COUNTIF($E144:Q144,1),ColTypeEcheance)),
  IF(LEN(Q144)=1,
  IF(LEN(INDEX(Roadmap!$D:$K,MATCH($E144,Roadmap!$D:$D,0)-1+COUNTIF($E144:Q144,"u")+COUNTIF($E144:Q144,"t")+COUNTIF($E144:Q144,"¶")+COUNTIF($E144:Q144,"²")+COUNTIF($E144:Q144,"µ")+COUNTIF($E144:Q144,1),ColDescriptionCourte))&gt;1,
HYPERLINK("#Roadmap!C"&amp; MATCH($E144,Roadmap!$D:$D,0)+COUNTIF($E144:Q144,"u")+COUNTIF($E144:Q144,"t")+COUNTIF($E144:Q144,"¶")+COUNTIF($E144:Q144,"²")+COUNTIF($E144:Q144,"µ")+COUNTIF($E144:Q144,1)-1,INDEX(Roadmap!$D:$K,MATCH($E144,Roadmap!$D:$D,0)-1+COUNTIF($E144:Q144,"u")+COUNTIF($E144:Q144,"t")+COUNTIF($E144:Q144,"¶")+COUNTIF($E144:Q144,"²")+COUNTIF($E144:Q144,"µ")+COUNTIF($E144:Q144,1),ColDescriptionCourte)),""),
  "")),"")</f>
        <v/>
      </c>
      <c r="S144" s="40" t="str">
        <f ca="1">IFERROR(IF(AND(
  INDEX(Roadmap!$D:$K,MATCH($E144,Roadmap!$D:$D,0)+COUNTIF($E144:R144,"u")+COUNTIF($E144:R144,"t")+COUNTIF($E144:R144,"¶")+COUNTIF($E144:R144,"²")+COUNTIF($E144:R144,"µ")+COUNTIF($E144:R144,1),ColLivraison)=S$6,
  VLOOKUP($E144,INDIRECT("tri!"&amp; CHAR(64+ C0Col) &amp;":"&amp; CHAR(65+C0Col)),2,FALSE)&gt;COUNTIF($E144:R144,"u")+COUNTIF($E144:R144,"t")+COUNTIF($E144:R144,"¶")+COUNTIF($E144:R144,"²")+COUNTIF($E144:R144,"µ")+COUNTIF($E144:R144,1)),
HYPERLINK("#Roadmap!C"&amp; MATCH($E144,Roadmap!$D:$D,0)+COUNTIF($E144:R144,"u")+COUNTIF($E144:R144,"t"),
     INDEX(Roadmap!$D:$K,MATCH($E144,Roadmap!$D:$D,0)+COUNTIF($E144:R144,"u")+COUNTIF($E144:R144,"t")+COUNTIF($E144:R144,"¶")+COUNTIF($E144:R144,"²")+COUNTIF($E144:R144,"µ")+COUNTIF($E144:R144,1),ColTypeEcheance)),
  IF(LEN(R144)=1,
  IF(LEN(INDEX(Roadmap!$D:$K,MATCH($E144,Roadmap!$D:$D,0)-1+COUNTIF($E144:R144,"u")+COUNTIF($E144:R144,"t")+COUNTIF($E144:R144,"¶")+COUNTIF($E144:R144,"²")+COUNTIF($E144:R144,"µ")+COUNTIF($E144:R144,1),ColDescriptionCourte))&gt;1,
HYPERLINK("#Roadmap!C"&amp; MATCH($E144,Roadmap!$D:$D,0)+COUNTIF($E144:R144,"u")+COUNTIF($E144:R144,"t")+COUNTIF($E144:R144,"¶")+COUNTIF($E144:R144,"²")+COUNTIF($E144:R144,"µ")+COUNTIF($E144:R144,1)-1,INDEX(Roadmap!$D:$K,MATCH($E144,Roadmap!$D:$D,0)-1+COUNTIF($E144:R144,"u")+COUNTIF($E144:R144,"t")+COUNTIF($E144:R144,"¶")+COUNTIF($E144:R144,"²")+COUNTIF($E144:R144,"µ")+COUNTIF($E144:R144,1),ColDescriptionCourte)),""),
  "")),"")</f>
        <v/>
      </c>
      <c r="T144" s="40" t="str">
        <f ca="1">IFERROR(IF(AND(
  INDEX(Roadmap!$D:$K,MATCH($E144,Roadmap!$D:$D,0)+COUNTIF($E144:S144,"u")+COUNTIF($E144:S144,"t")+COUNTIF($E144:S144,"¶")+COUNTIF($E144:S144,"²")+COUNTIF($E144:S144,"µ")+COUNTIF($E144:S144,1),ColLivraison)=T$6,
  VLOOKUP($E144,INDIRECT("tri!"&amp; CHAR(64+ C0Col) &amp;":"&amp; CHAR(65+C0Col)),2,FALSE)&gt;COUNTIF($E144:S144,"u")+COUNTIF($E144:S144,"t")+COUNTIF($E144:S144,"¶")+COUNTIF($E144:S144,"²")+COUNTIF($E144:S144,"µ")+COUNTIF($E144:S144,1)),
HYPERLINK("#Roadmap!C"&amp; MATCH($E144,Roadmap!$D:$D,0)+COUNTIF($E144:S144,"u")+COUNTIF($E144:S144,"t"),
     INDEX(Roadmap!$D:$K,MATCH($E144,Roadmap!$D:$D,0)+COUNTIF($E144:S144,"u")+COUNTIF($E144:S144,"t")+COUNTIF($E144:S144,"¶")+COUNTIF($E144:S144,"²")+COUNTIF($E144:S144,"µ")+COUNTIF($E144:S144,1),ColTypeEcheance)),
  IF(LEN(S144)=1,
  IF(LEN(INDEX(Roadmap!$D:$K,MATCH($E144,Roadmap!$D:$D,0)-1+COUNTIF($E144:S144,"u")+COUNTIF($E144:S144,"t")+COUNTIF($E144:S144,"¶")+COUNTIF($E144:S144,"²")+COUNTIF($E144:S144,"µ")+COUNTIF($E144:S144,1),ColDescriptionCourte))&gt;1,
HYPERLINK("#Roadmap!C"&amp; MATCH($E144,Roadmap!$D:$D,0)+COUNTIF($E144:S144,"u")+COUNTIF($E144:S144,"t")+COUNTIF($E144:S144,"¶")+COUNTIF($E144:S144,"²")+COUNTIF($E144:S144,"µ")+COUNTIF($E144:S144,1)-1,INDEX(Roadmap!$D:$K,MATCH($E144,Roadmap!$D:$D,0)-1+COUNTIF($E144:S144,"u")+COUNTIF($E144:S144,"t")+COUNTIF($E144:S144,"¶")+COUNTIF($E144:S144,"²")+COUNTIF($E144:S144,"µ")+COUNTIF($E144:S144,1),ColDescriptionCourte)),""),
  "")),"")</f>
        <v/>
      </c>
      <c r="U144" s="40" t="str">
        <f ca="1">IFERROR(IF(AND(
  INDEX(Roadmap!$D:$K,MATCH($E144,Roadmap!$D:$D,0)+COUNTIF($E144:T144,"u")+COUNTIF($E144:T144,"t")+COUNTIF($E144:T144,"¶")+COUNTIF($E144:T144,"²")+COUNTIF($E144:T144,"µ")+COUNTIF($E144:T144,1),ColLivraison)=U$6,
  VLOOKUP($E144,INDIRECT("tri!"&amp; CHAR(64+ C0Col) &amp;":"&amp; CHAR(65+C0Col)),2,FALSE)&gt;COUNTIF($E144:T144,"u")+COUNTIF($E144:T144,"t")+COUNTIF($E144:T144,"¶")+COUNTIF($E144:T144,"²")+COUNTIF($E144:T144,"µ")+COUNTIF($E144:T144,1)),
HYPERLINK("#Roadmap!C"&amp; MATCH($E144,Roadmap!$D:$D,0)+COUNTIF($E144:T144,"u")+COUNTIF($E144:T144,"t"),
     INDEX(Roadmap!$D:$K,MATCH($E144,Roadmap!$D:$D,0)+COUNTIF($E144:T144,"u")+COUNTIF($E144:T144,"t")+COUNTIF($E144:T144,"¶")+COUNTIF($E144:T144,"²")+COUNTIF($E144:T144,"µ")+COUNTIF($E144:T144,1),ColTypeEcheance)),
  IF(LEN(T144)=1,
  IF(LEN(INDEX(Roadmap!$D:$K,MATCH($E144,Roadmap!$D:$D,0)-1+COUNTIF($E144:T144,"u")+COUNTIF($E144:T144,"t")+COUNTIF($E144:T144,"¶")+COUNTIF($E144:T144,"²")+COUNTIF($E144:T144,"µ")+COUNTIF($E144:T144,1),ColDescriptionCourte))&gt;1,
HYPERLINK("#Roadmap!C"&amp; MATCH($E144,Roadmap!$D:$D,0)+COUNTIF($E144:T144,"u")+COUNTIF($E144:T144,"t")+COUNTIF($E144:T144,"¶")+COUNTIF($E144:T144,"²")+COUNTIF($E144:T144,"µ")+COUNTIF($E144:T144,1)-1,INDEX(Roadmap!$D:$K,MATCH($E144,Roadmap!$D:$D,0)-1+COUNTIF($E144:T144,"u")+COUNTIF($E144:T144,"t")+COUNTIF($E144:T144,"¶")+COUNTIF($E144:T144,"²")+COUNTIF($E144:T144,"µ")+COUNTIF($E144:T144,1),ColDescriptionCourte)),""),
  "")),"")</f>
        <v/>
      </c>
      <c r="V144" s="40" t="str">
        <f ca="1">IFERROR(IF(AND(
  INDEX(Roadmap!$D:$K,MATCH($E144,Roadmap!$D:$D,0)+COUNTIF($E144:U144,"u")+COUNTIF($E144:U144,"t")+COUNTIF($E144:U144,"¶")+COUNTIF($E144:U144,"²")+COUNTIF($E144:U144,"µ")+COUNTIF($E144:U144,1),ColLivraison)=V$6,
  VLOOKUP($E144,INDIRECT("tri!"&amp; CHAR(64+ C0Col) &amp;":"&amp; CHAR(65+C0Col)),2,FALSE)&gt;COUNTIF($E144:U144,"u")+COUNTIF($E144:U144,"t")+COUNTIF($E144:U144,"¶")+COUNTIF($E144:U144,"²")+COUNTIF($E144:U144,"µ")+COUNTIF($E144:U144,1)),
HYPERLINK("#Roadmap!C"&amp; MATCH($E144,Roadmap!$D:$D,0)+COUNTIF($E144:U144,"u")+COUNTIF($E144:U144,"t"),
     INDEX(Roadmap!$D:$K,MATCH($E144,Roadmap!$D:$D,0)+COUNTIF($E144:U144,"u")+COUNTIF($E144:U144,"t")+COUNTIF($E144:U144,"¶")+COUNTIF($E144:U144,"²")+COUNTIF($E144:U144,"µ")+COUNTIF($E144:U144,1),ColTypeEcheance)),
  IF(LEN(U144)=1,
  IF(LEN(INDEX(Roadmap!$D:$K,MATCH($E144,Roadmap!$D:$D,0)-1+COUNTIF($E144:U144,"u")+COUNTIF($E144:U144,"t")+COUNTIF($E144:U144,"¶")+COUNTIF($E144:U144,"²")+COUNTIF($E144:U144,"µ")+COUNTIF($E144:U144,1),ColDescriptionCourte))&gt;1,
HYPERLINK("#Roadmap!C"&amp; MATCH($E144,Roadmap!$D:$D,0)+COUNTIF($E144:U144,"u")+COUNTIF($E144:U144,"t")+COUNTIF($E144:U144,"¶")+COUNTIF($E144:U144,"²")+COUNTIF($E144:U144,"µ")+COUNTIF($E144:U144,1)-1,INDEX(Roadmap!$D:$K,MATCH($E144,Roadmap!$D:$D,0)-1+COUNTIF($E144:U144,"u")+COUNTIF($E144:U144,"t")+COUNTIF($E144:U144,"¶")+COUNTIF($E144:U144,"²")+COUNTIF($E144:U144,"µ")+COUNTIF($E144:U144,1),ColDescriptionCourte)),""),
  "")),"")</f>
        <v/>
      </c>
      <c r="W144" s="40" t="str">
        <f ca="1">IFERROR(IF(AND(
  INDEX(Roadmap!$D:$K,MATCH($E144,Roadmap!$D:$D,0)+COUNTIF($E144:V144,"u")+COUNTIF($E144:V144,"t")+COUNTIF($E144:V144,"¶")+COUNTIF($E144:V144,"²")+COUNTIF($E144:V144,"µ")+COUNTIF($E144:V144,1),ColLivraison)=W$6,
  VLOOKUP($E144,INDIRECT("tri!"&amp; CHAR(64+ C0Col) &amp;":"&amp; CHAR(65+C0Col)),2,FALSE)&gt;COUNTIF($E144:V144,"u")+COUNTIF($E144:V144,"t")+COUNTIF($E144:V144,"¶")+COUNTIF($E144:V144,"²")+COUNTIF($E144:V144,"µ")+COUNTIF($E144:V144,1)),
HYPERLINK("#Roadmap!C"&amp; MATCH($E144,Roadmap!$D:$D,0)+COUNTIF($E144:V144,"u")+COUNTIF($E144:V144,"t"),
     INDEX(Roadmap!$D:$K,MATCH($E144,Roadmap!$D:$D,0)+COUNTIF($E144:V144,"u")+COUNTIF($E144:V144,"t")+COUNTIF($E144:V144,"¶")+COUNTIF($E144:V144,"²")+COUNTIF($E144:V144,"µ")+COUNTIF($E144:V144,1),ColTypeEcheance)),
  IF(LEN(V144)=1,
  IF(LEN(INDEX(Roadmap!$D:$K,MATCH($E144,Roadmap!$D:$D,0)-1+COUNTIF($E144:V144,"u")+COUNTIF($E144:V144,"t")+COUNTIF($E144:V144,"¶")+COUNTIF($E144:V144,"²")+COUNTIF($E144:V144,"µ")+COUNTIF($E144:V144,1),ColDescriptionCourte))&gt;1,
HYPERLINK("#Roadmap!C"&amp; MATCH($E144,Roadmap!$D:$D,0)+COUNTIF($E144:V144,"u")+COUNTIF($E144:V144,"t")+COUNTIF($E144:V144,"¶")+COUNTIF($E144:V144,"²")+COUNTIF($E144:V144,"µ")+COUNTIF($E144:V144,1)-1,INDEX(Roadmap!$D:$K,MATCH($E144,Roadmap!$D:$D,0)-1+COUNTIF($E144:V144,"u")+COUNTIF($E144:V144,"t")+COUNTIF($E144:V144,"¶")+COUNTIF($E144:V144,"²")+COUNTIF($E144:V144,"µ")+COUNTIF($E144:V144,1),ColDescriptionCourte)),""),
  "")),"")</f>
        <v/>
      </c>
      <c r="X144" s="40" t="str">
        <f ca="1">IFERROR(IF(AND(
  INDEX(Roadmap!$D:$K,MATCH($E144,Roadmap!$D:$D,0)+COUNTIF($E144:W144,"u")+COUNTIF($E144:W144,"t")+COUNTIF($E144:W144,"¶")+COUNTIF($E144:W144,"²")+COUNTIF($E144:W144,"µ")+COUNTIF($E144:W144,1),ColLivraison)=X$6,
  VLOOKUP($E144,INDIRECT("tri!"&amp; CHAR(64+ C0Col) &amp;":"&amp; CHAR(65+C0Col)),2,FALSE)&gt;COUNTIF($E144:W144,"u")+COUNTIF($E144:W144,"t")+COUNTIF($E144:W144,"¶")+COUNTIF($E144:W144,"²")+COUNTIF($E144:W144,"µ")+COUNTIF($E144:W144,1)),
HYPERLINK("#Roadmap!C"&amp; MATCH($E144,Roadmap!$D:$D,0)+COUNTIF($E144:W144,"u")+COUNTIF($E144:W144,"t"),
     INDEX(Roadmap!$D:$K,MATCH($E144,Roadmap!$D:$D,0)+COUNTIF($E144:W144,"u")+COUNTIF($E144:W144,"t")+COUNTIF($E144:W144,"¶")+COUNTIF($E144:W144,"²")+COUNTIF($E144:W144,"µ")+COUNTIF($E144:W144,1),ColTypeEcheance)),
  IF(LEN(W144)=1,
  IF(LEN(INDEX(Roadmap!$D:$K,MATCH($E144,Roadmap!$D:$D,0)-1+COUNTIF($E144:W144,"u")+COUNTIF($E144:W144,"t")+COUNTIF($E144:W144,"¶")+COUNTIF($E144:W144,"²")+COUNTIF($E144:W144,"µ")+COUNTIF($E144:W144,1),ColDescriptionCourte))&gt;1,
HYPERLINK("#Roadmap!C"&amp; MATCH($E144,Roadmap!$D:$D,0)+COUNTIF($E144:W144,"u")+COUNTIF($E144:W144,"t")+COUNTIF($E144:W144,"¶")+COUNTIF($E144:W144,"²")+COUNTIF($E144:W144,"µ")+COUNTIF($E144:W144,1)-1,INDEX(Roadmap!$D:$K,MATCH($E144,Roadmap!$D:$D,0)-1+COUNTIF($E144:W144,"u")+COUNTIF($E144:W144,"t")+COUNTIF($E144:W144,"¶")+COUNTIF($E144:W144,"²")+COUNTIF($E144:W144,"µ")+COUNTIF($E144:W144,1),ColDescriptionCourte)),""),
  "")),"")</f>
        <v/>
      </c>
      <c r="Y144" s="40" t="str">
        <f ca="1">IFERROR(IF(AND(
  INDEX(Roadmap!$D:$K,MATCH($E144,Roadmap!$D:$D,0)+COUNTIF($E144:X144,"u")+COUNTIF($E144:X144,"t")+COUNTIF($E144:X144,"¶")+COUNTIF($E144:X144,"²")+COUNTIF($E144:X144,"µ")+COUNTIF($E144:X144,1),ColLivraison)=Y$6,
  VLOOKUP($E144,INDIRECT("tri!"&amp; CHAR(64+ C0Col) &amp;":"&amp; CHAR(65+C0Col)),2,FALSE)&gt;COUNTIF($E144:X144,"u")+COUNTIF($E144:X144,"t")+COUNTIF($E144:X144,"¶")+COUNTIF($E144:X144,"²")+COUNTIF($E144:X144,"µ")+COUNTIF($E144:X144,1)),
HYPERLINK("#Roadmap!C"&amp; MATCH($E144,Roadmap!$D:$D,0)+COUNTIF($E144:X144,"u")+COUNTIF($E144:X144,"t"),
     INDEX(Roadmap!$D:$K,MATCH($E144,Roadmap!$D:$D,0)+COUNTIF($E144:X144,"u")+COUNTIF($E144:X144,"t")+COUNTIF($E144:X144,"¶")+COUNTIF($E144:X144,"²")+COUNTIF($E144:X144,"µ")+COUNTIF($E144:X144,1),ColTypeEcheance)),
  IF(LEN(X144)=1,
  IF(LEN(INDEX(Roadmap!$D:$K,MATCH($E144,Roadmap!$D:$D,0)-1+COUNTIF($E144:X144,"u")+COUNTIF($E144:X144,"t")+COUNTIF($E144:X144,"¶")+COUNTIF($E144:X144,"²")+COUNTIF($E144:X144,"µ")+COUNTIF($E144:X144,1),ColDescriptionCourte))&gt;1,
HYPERLINK("#Roadmap!C"&amp; MATCH($E144,Roadmap!$D:$D,0)+COUNTIF($E144:X144,"u")+COUNTIF($E144:X144,"t")+COUNTIF($E144:X144,"¶")+COUNTIF($E144:X144,"²")+COUNTIF($E144:X144,"µ")+COUNTIF($E144:X144,1)-1,INDEX(Roadmap!$D:$K,MATCH($E144,Roadmap!$D:$D,0)-1+COUNTIF($E144:X144,"u")+COUNTIF($E144:X144,"t")+COUNTIF($E144:X144,"¶")+COUNTIF($E144:X144,"²")+COUNTIF($E144:X144,"µ")+COUNTIF($E144:X144,1),ColDescriptionCourte)),""),
  "")),"")</f>
        <v/>
      </c>
      <c r="Z144" s="40" t="str">
        <f ca="1">IFERROR(IF(AND(
  INDEX(Roadmap!$D:$K,MATCH($E144,Roadmap!$D:$D,0)+COUNTIF($E144:Y144,"u")+COUNTIF($E144:Y144,"t")+COUNTIF($E144:Y144,"¶")+COUNTIF($E144:Y144,"²")+COUNTIF($E144:Y144,"µ")+COUNTIF($E144:Y144,1),ColLivraison)=Z$6,
  VLOOKUP($E144,INDIRECT("tri!"&amp; CHAR(64+ C0Col) &amp;":"&amp; CHAR(65+C0Col)),2,FALSE)&gt;COUNTIF($E144:Y144,"u")+COUNTIF($E144:Y144,"t")+COUNTIF($E144:Y144,"¶")+COUNTIF($E144:Y144,"²")+COUNTIF($E144:Y144,"µ")+COUNTIF($E144:Y144,1)),
HYPERLINK("#Roadmap!C"&amp; MATCH($E144,Roadmap!$D:$D,0)+COUNTIF($E144:Y144,"u")+COUNTIF($E144:Y144,"t"),
     INDEX(Roadmap!$D:$K,MATCH($E144,Roadmap!$D:$D,0)+COUNTIF($E144:Y144,"u")+COUNTIF($E144:Y144,"t")+COUNTIF($E144:Y144,"¶")+COUNTIF($E144:Y144,"²")+COUNTIF($E144:Y144,"µ")+COUNTIF($E144:Y144,1),ColTypeEcheance)),
  IF(LEN(Y144)=1,
  IF(LEN(INDEX(Roadmap!$D:$K,MATCH($E144,Roadmap!$D:$D,0)-1+COUNTIF($E144:Y144,"u")+COUNTIF($E144:Y144,"t")+COUNTIF($E144:Y144,"¶")+COUNTIF($E144:Y144,"²")+COUNTIF($E144:Y144,"µ")+COUNTIF($E144:Y144,1),ColDescriptionCourte))&gt;1,
HYPERLINK("#Roadmap!C"&amp; MATCH($E144,Roadmap!$D:$D,0)+COUNTIF($E144:Y144,"u")+COUNTIF($E144:Y144,"t")+COUNTIF($E144:Y144,"¶")+COUNTIF($E144:Y144,"²")+COUNTIF($E144:Y144,"µ")+COUNTIF($E144:Y144,1)-1,INDEX(Roadmap!$D:$K,MATCH($E144,Roadmap!$D:$D,0)-1+COUNTIF($E144:Y144,"u")+COUNTIF($E144:Y144,"t")+COUNTIF($E144:Y144,"¶")+COUNTIF($E144:Y144,"²")+COUNTIF($E144:Y144,"µ")+COUNTIF($E144:Y144,1),ColDescriptionCourte)),""),
  "")),"")</f>
        <v/>
      </c>
      <c r="AA144" s="40" t="str">
        <f ca="1">IFERROR(IF(AND(
  INDEX(Roadmap!$D:$K,MATCH($E144,Roadmap!$D:$D,0)+COUNTIF($E144:Z144,"u")+COUNTIF($E144:Z144,"t")+COUNTIF($E144:Z144,"¶")+COUNTIF($E144:Z144,"²")+COUNTIF($E144:Z144,"µ")+COUNTIF($E144:Z144,1),ColLivraison)=AA$6,
  VLOOKUP($E144,INDIRECT("tri!"&amp; CHAR(64+ C0Col) &amp;":"&amp; CHAR(65+C0Col)),2,FALSE)&gt;COUNTIF($E144:Z144,"u")+COUNTIF($E144:Z144,"t")+COUNTIF($E144:Z144,"¶")+COUNTIF($E144:Z144,"²")+COUNTIF($E144:Z144,"µ")+COUNTIF($E144:Z144,1)),
HYPERLINK("#Roadmap!C"&amp; MATCH($E144,Roadmap!$D:$D,0)+COUNTIF($E144:Z144,"u")+COUNTIF($E144:Z144,"t"),
     INDEX(Roadmap!$D:$K,MATCH($E144,Roadmap!$D:$D,0)+COUNTIF($E144:Z144,"u")+COUNTIF($E144:Z144,"t")+COUNTIF($E144:Z144,"¶")+COUNTIF($E144:Z144,"²")+COUNTIF($E144:Z144,"µ")+COUNTIF($E144:Z144,1),ColTypeEcheance)),
  IF(LEN(Z144)=1,
  IF(LEN(INDEX(Roadmap!$D:$K,MATCH($E144,Roadmap!$D:$D,0)-1+COUNTIF($E144:Z144,"u")+COUNTIF($E144:Z144,"t")+COUNTIF($E144:Z144,"¶")+COUNTIF($E144:Z144,"²")+COUNTIF($E144:Z144,"µ")+COUNTIF($E144:Z144,1),ColDescriptionCourte))&gt;1,
HYPERLINK("#Roadmap!C"&amp; MATCH($E144,Roadmap!$D:$D,0)+COUNTIF($E144:Z144,"u")+COUNTIF($E144:Z144,"t")+COUNTIF($E144:Z144,"¶")+COUNTIF($E144:Z144,"²")+COUNTIF($E144:Z144,"µ")+COUNTIF($E144:Z144,1)-1,INDEX(Roadmap!$D:$K,MATCH($E144,Roadmap!$D:$D,0)-1+COUNTIF($E144:Z144,"u")+COUNTIF($E144:Z144,"t")+COUNTIF($E144:Z144,"¶")+COUNTIF($E144:Z144,"²")+COUNTIF($E144:Z144,"µ")+COUNTIF($E144:Z144,1),ColDescriptionCourte)),""),
  "")),"")</f>
        <v/>
      </c>
      <c r="AB144" s="40" t="str">
        <f ca="1">IFERROR(IF(AND(
  INDEX(Roadmap!$D:$K,MATCH($E144,Roadmap!$D:$D,0)+COUNTIF($E144:AA144,"u")+COUNTIF($E144:AA144,"t")+COUNTIF($E144:AA144,"¶")+COUNTIF($E144:AA144,"²")+COUNTIF($E144:AA144,"µ")+COUNTIF($E144:AA144,1),ColLivraison)=AB$6,
  VLOOKUP($E144,INDIRECT("tri!"&amp; CHAR(64+ C0Col) &amp;":"&amp; CHAR(65+C0Col)),2,FALSE)&gt;COUNTIF($E144:AA144,"u")+COUNTIF($E144:AA144,"t")+COUNTIF($E144:AA144,"¶")+COUNTIF($E144:AA144,"²")+COUNTIF($E144:AA144,"µ")+COUNTIF($E144:AA144,1)),
HYPERLINK("#Roadmap!C"&amp; MATCH($E144,Roadmap!$D:$D,0)+COUNTIF($E144:AA144,"u")+COUNTIF($E144:AA144,"t"),
     INDEX(Roadmap!$D:$K,MATCH($E144,Roadmap!$D:$D,0)+COUNTIF($E144:AA144,"u")+COUNTIF($E144:AA144,"t")+COUNTIF($E144:AA144,"¶")+COUNTIF($E144:AA144,"²")+COUNTIF($E144:AA144,"µ")+COUNTIF($E144:AA144,1),ColTypeEcheance)),
  IF(LEN(AA144)=1,
  IF(LEN(INDEX(Roadmap!$D:$K,MATCH($E144,Roadmap!$D:$D,0)-1+COUNTIF($E144:AA144,"u")+COUNTIF($E144:AA144,"t")+COUNTIF($E144:AA144,"¶")+COUNTIF($E144:AA144,"²")+COUNTIF($E144:AA144,"µ")+COUNTIF($E144:AA144,1),ColDescriptionCourte))&gt;1,
HYPERLINK("#Roadmap!C"&amp; MATCH($E144,Roadmap!$D:$D,0)+COUNTIF($E144:AA144,"u")+COUNTIF($E144:AA144,"t")+COUNTIF($E144:AA144,"¶")+COUNTIF($E144:AA144,"²")+COUNTIF($E144:AA144,"µ")+COUNTIF($E144:AA144,1)-1,INDEX(Roadmap!$D:$K,MATCH($E144,Roadmap!$D:$D,0)-1+COUNTIF($E144:AA144,"u")+COUNTIF($E144:AA144,"t")+COUNTIF($E144:AA144,"¶")+COUNTIF($E144:AA144,"²")+COUNTIF($E144:AA144,"µ")+COUNTIF($E144:AA144,1),ColDescriptionCourte)),""),
  "")),"")</f>
        <v/>
      </c>
      <c r="AC144" s="40" t="str">
        <f ca="1">IFERROR(IF(AND(
  INDEX(Roadmap!$D:$K,MATCH($E144,Roadmap!$D:$D,0)+COUNTIF($E144:AB144,"u")+COUNTIF($E144:AB144,"t")+COUNTIF($E144:AB144,"¶")+COUNTIF($E144:AB144,"²")+COUNTIF($E144:AB144,"µ")+COUNTIF($E144:AB144,1),ColLivraison)=AC$6,
  VLOOKUP($E144,INDIRECT("tri!"&amp; CHAR(64+ C0Col) &amp;":"&amp; CHAR(65+C0Col)),2,FALSE)&gt;COUNTIF($E144:AB144,"u")+COUNTIF($E144:AB144,"t")+COUNTIF($E144:AB144,"¶")+COUNTIF($E144:AB144,"²")+COUNTIF($E144:AB144,"µ")+COUNTIF($E144:AB144,1)),
HYPERLINK("#Roadmap!C"&amp; MATCH($E144,Roadmap!$D:$D,0)+COUNTIF($E144:AB144,"u")+COUNTIF($E144:AB144,"t"),
     INDEX(Roadmap!$D:$K,MATCH($E144,Roadmap!$D:$D,0)+COUNTIF($E144:AB144,"u")+COUNTIF($E144:AB144,"t")+COUNTIF($E144:AB144,"¶")+COUNTIF($E144:AB144,"²")+COUNTIF($E144:AB144,"µ")+COUNTIF($E144:AB144,1),ColTypeEcheance)),
  IF(LEN(AB144)=1,
  IF(LEN(INDEX(Roadmap!$D:$K,MATCH($E144,Roadmap!$D:$D,0)-1+COUNTIF($E144:AB144,"u")+COUNTIF($E144:AB144,"t")+COUNTIF($E144:AB144,"¶")+COUNTIF($E144:AB144,"²")+COUNTIF($E144:AB144,"µ")+COUNTIF($E144:AB144,1),ColDescriptionCourte))&gt;1,
HYPERLINK("#Roadmap!C"&amp; MATCH($E144,Roadmap!$D:$D,0)+COUNTIF($E144:AB144,"u")+COUNTIF($E144:AB144,"t")+COUNTIF($E144:AB144,"¶")+COUNTIF($E144:AB144,"²")+COUNTIF($E144:AB144,"µ")+COUNTIF($E144:AB144,1)-1,INDEX(Roadmap!$D:$K,MATCH($E144,Roadmap!$D:$D,0)-1+COUNTIF($E144:AB144,"u")+COUNTIF($E144:AB144,"t")+COUNTIF($E144:AB144,"¶")+COUNTIF($E144:AB144,"²")+COUNTIF($E144:AB144,"µ")+COUNTIF($E144:AB144,1),ColDescriptionCourte)),""),
  "")),"")</f>
        <v/>
      </c>
      <c r="AD144" s="40" t="str">
        <f ca="1">IFERROR(IF(AND(
  INDEX(Roadmap!$D:$K,MATCH($E144,Roadmap!$D:$D,0)+COUNTIF($E144:AC144,"u")+COUNTIF($E144:AC144,"t")+COUNTIF($E144:AC144,"¶")+COUNTIF($E144:AC144,"²")+COUNTIF($E144:AC144,"µ")+COUNTIF($E144:AC144,1),ColLivraison)=AD$6,
  VLOOKUP($E144,INDIRECT("tri!"&amp; CHAR(64+ C0Col) &amp;":"&amp; CHAR(65+C0Col)),2,FALSE)&gt;COUNTIF($E144:AC144,"u")+COUNTIF($E144:AC144,"t")+COUNTIF($E144:AC144,"¶")+COUNTIF($E144:AC144,"²")+COUNTIF($E144:AC144,"µ")+COUNTIF($E144:AC144,1)),
HYPERLINK("#Roadmap!C"&amp; MATCH($E144,Roadmap!$D:$D,0)+COUNTIF($E144:AC144,"u")+COUNTIF($E144:AC144,"t"),
     INDEX(Roadmap!$D:$K,MATCH($E144,Roadmap!$D:$D,0)+COUNTIF($E144:AC144,"u")+COUNTIF($E144:AC144,"t")+COUNTIF($E144:AC144,"¶")+COUNTIF($E144:AC144,"²")+COUNTIF($E144:AC144,"µ")+COUNTIF($E144:AC144,1),ColTypeEcheance)),
  IF(LEN(AC144)=1,
  IF(LEN(INDEX(Roadmap!$D:$K,MATCH($E144,Roadmap!$D:$D,0)-1+COUNTIF($E144:AC144,"u")+COUNTIF($E144:AC144,"t")+COUNTIF($E144:AC144,"¶")+COUNTIF($E144:AC144,"²")+COUNTIF($E144:AC144,"µ")+COUNTIF($E144:AC144,1),ColDescriptionCourte))&gt;1,
HYPERLINK("#Roadmap!C"&amp; MATCH($E144,Roadmap!$D:$D,0)+COUNTIF($E144:AC144,"u")+COUNTIF($E144:AC144,"t")+COUNTIF($E144:AC144,"¶")+COUNTIF($E144:AC144,"²")+COUNTIF($E144:AC144,"µ")+COUNTIF($E144:AC144,1)-1,INDEX(Roadmap!$D:$K,MATCH($E144,Roadmap!$D:$D,0)-1+COUNTIF($E144:AC144,"u")+COUNTIF($E144:AC144,"t")+COUNTIF($E144:AC144,"¶")+COUNTIF($E144:AC144,"²")+COUNTIF($E144:AC144,"µ")+COUNTIF($E144:AC144,1),ColDescriptionCourte)),""),
  "")),"")</f>
        <v/>
      </c>
      <c r="AE144" s="40" t="str">
        <f ca="1">IFERROR(IF(AND(
  INDEX(Roadmap!$D:$K,MATCH($E144,Roadmap!$D:$D,0)+COUNTIF($E144:AD144,"u")+COUNTIF($E144:AD144,"t")+COUNTIF($E144:AD144,"¶")+COUNTIF($E144:AD144,"²")+COUNTIF($E144:AD144,"µ")+COUNTIF($E144:AD144,1),ColLivraison)=AE$6,
  VLOOKUP($E144,INDIRECT("tri!"&amp; CHAR(64+ C0Col) &amp;":"&amp; CHAR(65+C0Col)),2,FALSE)&gt;COUNTIF($E144:AD144,"u")+COUNTIF($E144:AD144,"t")+COUNTIF($E144:AD144,"¶")+COUNTIF($E144:AD144,"²")+COUNTIF($E144:AD144,"µ")+COUNTIF($E144:AD144,1)),
HYPERLINK("#Roadmap!C"&amp; MATCH($E144,Roadmap!$D:$D,0)+COUNTIF($E144:AD144,"u")+COUNTIF($E144:AD144,"t"),
     INDEX(Roadmap!$D:$K,MATCH($E144,Roadmap!$D:$D,0)+COUNTIF($E144:AD144,"u")+COUNTIF($E144:AD144,"t")+COUNTIF($E144:AD144,"¶")+COUNTIF($E144:AD144,"²")+COUNTIF($E144:AD144,"µ")+COUNTIF($E144:AD144,1),ColTypeEcheance)),
  IF(LEN(AD144)=1,
  IF(LEN(INDEX(Roadmap!$D:$K,MATCH($E144,Roadmap!$D:$D,0)-1+COUNTIF($E144:AD144,"u")+COUNTIF($E144:AD144,"t")+COUNTIF($E144:AD144,"¶")+COUNTIF($E144:AD144,"²")+COUNTIF($E144:AD144,"µ")+COUNTIF($E144:AD144,1),ColDescriptionCourte))&gt;1,
HYPERLINK("#Roadmap!C"&amp; MATCH($E144,Roadmap!$D:$D,0)+COUNTIF($E144:AD144,"u")+COUNTIF($E144:AD144,"t")+COUNTIF($E144:AD144,"¶")+COUNTIF($E144:AD144,"²")+COUNTIF($E144:AD144,"µ")+COUNTIF($E144:AD144,1)-1,INDEX(Roadmap!$D:$K,MATCH($E144,Roadmap!$D:$D,0)-1+COUNTIF($E144:AD144,"u")+COUNTIF($E144:AD144,"t")+COUNTIF($E144:AD144,"¶")+COUNTIF($E144:AD144,"²")+COUNTIF($E144:AD144,"µ")+COUNTIF($E144:AD144,1),ColDescriptionCourte)),""),
  "")),"")</f>
        <v/>
      </c>
      <c r="AF144" s="40" t="str">
        <f ca="1">IFERROR(IF(AND(
  INDEX(Roadmap!$D:$K,MATCH($E144,Roadmap!$D:$D,0)+COUNTIF($E144:AE144,"u")+COUNTIF($E144:AE144,"t")+COUNTIF($E144:AE144,"¶")+COUNTIF($E144:AE144,"²")+COUNTIF($E144:AE144,"µ")+COUNTIF($E144:AE144,1),ColLivraison)=AF$6,
  VLOOKUP($E144,INDIRECT("tri!"&amp; CHAR(64+ C0Col) &amp;":"&amp; CHAR(65+C0Col)),2,FALSE)&gt;COUNTIF($E144:AE144,"u")+COUNTIF($E144:AE144,"t")+COUNTIF($E144:AE144,"¶")+COUNTIF($E144:AE144,"²")+COUNTIF($E144:AE144,"µ")+COUNTIF($E144:AE144,1)),
HYPERLINK("#Roadmap!C"&amp; MATCH($E144,Roadmap!$D:$D,0)+COUNTIF($E144:AE144,"u")+COUNTIF($E144:AE144,"t"),
     INDEX(Roadmap!$D:$K,MATCH($E144,Roadmap!$D:$D,0)+COUNTIF($E144:AE144,"u")+COUNTIF($E144:AE144,"t")+COUNTIF($E144:AE144,"¶")+COUNTIF($E144:AE144,"²")+COUNTIF($E144:AE144,"µ")+COUNTIF($E144:AE144,1),ColTypeEcheance)),
  IF(LEN(AE144)=1,
  IF(LEN(INDEX(Roadmap!$D:$K,MATCH($E144,Roadmap!$D:$D,0)-1+COUNTIF($E144:AE144,"u")+COUNTIF($E144:AE144,"t")+COUNTIF($E144:AE144,"¶")+COUNTIF($E144:AE144,"²")+COUNTIF($E144:AE144,"µ")+COUNTIF($E144:AE144,1),ColDescriptionCourte))&gt;1,
HYPERLINK("#Roadmap!C"&amp; MATCH($E144,Roadmap!$D:$D,0)+COUNTIF($E144:AE144,"u")+COUNTIF($E144:AE144,"t")+COUNTIF($E144:AE144,"¶")+COUNTIF($E144:AE144,"²")+COUNTIF($E144:AE144,"µ")+COUNTIF($E144:AE144,1)-1,INDEX(Roadmap!$D:$K,MATCH($E144,Roadmap!$D:$D,0)-1+COUNTIF($E144:AE144,"u")+COUNTIF($E144:AE144,"t")+COUNTIF($E144:AE144,"¶")+COUNTIF($E144:AE144,"²")+COUNTIF($E144:AE144,"µ")+COUNTIF($E144:AE144,1),ColDescriptionCourte)),""),
  "")),"")</f>
        <v/>
      </c>
      <c r="AG144" s="40" t="str">
        <f ca="1">IFERROR(IF(AND(
  INDEX(Roadmap!$D:$K,MATCH($E144,Roadmap!$D:$D,0)+COUNTIF($E144:AF144,"u")+COUNTIF($E144:AF144,"t")+COUNTIF($E144:AF144,"¶")+COUNTIF($E144:AF144,"²")+COUNTIF($E144:AF144,"µ")+COUNTIF($E144:AF144,1),ColLivraison)=AG$6,
  VLOOKUP($E144,INDIRECT("tri!"&amp; CHAR(64+ C0Col) &amp;":"&amp; CHAR(65+C0Col)),2,FALSE)&gt;COUNTIF($E144:AF144,"u")+COUNTIF($E144:AF144,"t")+COUNTIF($E144:AF144,"¶")+COUNTIF($E144:AF144,"²")+COUNTIF($E144:AF144,"µ")+COUNTIF($E144:AF144,1)),
HYPERLINK("#Roadmap!C"&amp; MATCH($E144,Roadmap!$D:$D,0)+COUNTIF($E144:AF144,"u")+COUNTIF($E144:AF144,"t"),
     INDEX(Roadmap!$D:$K,MATCH($E144,Roadmap!$D:$D,0)+COUNTIF($E144:AF144,"u")+COUNTIF($E144:AF144,"t")+COUNTIF($E144:AF144,"¶")+COUNTIF($E144:AF144,"²")+COUNTIF($E144:AF144,"µ")+COUNTIF($E144:AF144,1),ColTypeEcheance)),
  IF(LEN(AF144)=1,
  IF(LEN(INDEX(Roadmap!$D:$K,MATCH($E144,Roadmap!$D:$D,0)-1+COUNTIF($E144:AF144,"u")+COUNTIF($E144:AF144,"t")+COUNTIF($E144:AF144,"¶")+COUNTIF($E144:AF144,"²")+COUNTIF($E144:AF144,"µ")+COUNTIF($E144:AF144,1),ColDescriptionCourte))&gt;1,
HYPERLINK("#Roadmap!C"&amp; MATCH($E144,Roadmap!$D:$D,0)+COUNTIF($E144:AF144,"u")+COUNTIF($E144:AF144,"t")+COUNTIF($E144:AF144,"¶")+COUNTIF($E144:AF144,"²")+COUNTIF($E144:AF144,"µ")+COUNTIF($E144:AF144,1)-1,INDEX(Roadmap!$D:$K,MATCH($E144,Roadmap!$D:$D,0)-1+COUNTIF($E144:AF144,"u")+COUNTIF($E144:AF144,"t")+COUNTIF($E144:AF144,"¶")+COUNTIF($E144:AF144,"²")+COUNTIF($E144:AF144,"µ")+COUNTIF($E144:AF144,1),ColDescriptionCourte)),""),
  "")),"")</f>
        <v/>
      </c>
    </row>
    <row r="145" spans="3:33" ht="14.25" customHeight="1">
      <c r="C145" s="1" t="str">
        <f t="shared" ca="1" si="52"/>
        <v/>
      </c>
      <c r="D145" s="1" t="str">
        <f t="shared" ca="1" si="53"/>
        <v/>
      </c>
      <c r="E145" s="35" t="str">
        <f t="shared" ca="1" si="51"/>
        <v/>
      </c>
      <c r="F145" s="39" t="str">
        <f ca="1">IFERROR(IF(AND(
  INDEX(Roadmap!$D:$K,MATCH($E145,Roadmap!$D:$D,0)+COUNTIF($E145:E145,"u")+COUNTIF($E145:E145,"t")+COUNTIF($E145:E145,"¶")+COUNTIF($E145:E145,"²")+COUNTIF($E145:E145,"µ")+COUNTIF($E145:E145,1),ColLivraison)=F$6,
  VLOOKUP($E145,INDIRECT("tri!"&amp; CHAR(64+ C0Col) &amp;":"&amp; CHAR(65+C0Col)),2,FALSE)&gt;COUNTIF($E145:E145,"u")+COUNTIF($E145:E145,"t")+COUNTIF($E145:E145,"¶")+COUNTIF($E145:E145,"²")+COUNTIF($E145:E145,"µ")+COUNTIF($E145:E145,1)),
HYPERLINK("#Roadmap!C"&amp; MATCH($E145,Roadmap!$D:$D,0)+COUNTIF($E145:E145,"u")+COUNTIF($E145:E145,"t"),
     INDEX(Roadmap!$D:$K,MATCH($E145,Roadmap!$D:$D,0)+COUNTIF($E145:E145,"u")+COUNTIF($E145:E145,"t")+COUNTIF($E145:E145,"¶")+COUNTIF($E145:E145,"²")+COUNTIF($E145:E145,"µ")+COUNTIF($E145:E145,1),ColTypeEcheance)),
  IF(LEN(E145)=1,
  IF(LEN(INDEX(Roadmap!$D:$K,MATCH($E145,Roadmap!$D:$D,0)-1+COUNTIF($E145:E145,"u")+COUNTIF($E145:E145,"t")+COUNTIF($E145:E145,"¶")+COUNTIF($E145:E145,"²")+COUNTIF($E145:E145,"µ")+COUNTIF($E145:E145,1),ColDescriptionCourte))&gt;1,
HYPERLINK("#Roadmap!C"&amp; MATCH($E145,Roadmap!$D:$D,0)+COUNTIF($E145:E145,"u")+COUNTIF($E145:E145,"t")+COUNTIF($E145:E145,"¶")+COUNTIF($E145:E145,"²")+COUNTIF($E145:E145,"µ")+COUNTIF($E145:E145,1)-1,INDEX(Roadmap!$D:$K,MATCH($E145,Roadmap!$D:$D,0)-1+COUNTIF($E145:E145,"u")+COUNTIF($E145:E145,"t")+COUNTIF($E145:E145,"¶")+COUNTIF($E145:E145,"²")+COUNTIF($E145:E145,"µ")+COUNTIF($E145:E145,1),ColDescriptionCourte)),""),
  "")),"")</f>
        <v/>
      </c>
      <c r="G145" s="40" t="str">
        <f ca="1">IFERROR(IF(AND(
  INDEX(Roadmap!$D:$K,MATCH($E145,Roadmap!$D:$D,0)+COUNTIF($E145:F145,"u")+COUNTIF($E145:F145,"t")+COUNTIF($E145:F145,"¶")+COUNTIF($E145:F145,"²")+COUNTIF($E145:F145,"µ")+COUNTIF($E145:F145,1),ColLivraison)=G$6,
  VLOOKUP($E145,INDIRECT("tri!"&amp; CHAR(64+ C0Col) &amp;":"&amp; CHAR(65+C0Col)),2,FALSE)&gt;COUNTIF($E145:F145,"u")+COUNTIF($E145:F145,"t")+COUNTIF($E145:F145,"¶")+COUNTIF($E145:F145,"²")+COUNTIF($E145:F145,"µ")+COUNTIF($E145:F145,1)),
HYPERLINK("#Roadmap!C"&amp; MATCH($E145,Roadmap!$D:$D,0)+COUNTIF($E145:F145,"u")+COUNTIF($E145:F145,"t"),
     INDEX(Roadmap!$D:$K,MATCH($E145,Roadmap!$D:$D,0)+COUNTIF($E145:F145,"u")+COUNTIF($E145:F145,"t")+COUNTIF($E145:F145,"¶")+COUNTIF($E145:F145,"²")+COUNTIF($E145:F145,"µ")+COUNTIF($E145:F145,1),ColTypeEcheance)),
  IF(LEN(F145)=1,
  IF(LEN(INDEX(Roadmap!$D:$K,MATCH($E145,Roadmap!$D:$D,0)-1+COUNTIF($E145:F145,"u")+COUNTIF($E145:F145,"t")+COUNTIF($E145:F145,"¶")+COUNTIF($E145:F145,"²")+COUNTIF($E145:F145,"µ")+COUNTIF($E145:F145,1),ColDescriptionCourte))&gt;1,
HYPERLINK("#Roadmap!C"&amp; MATCH($E145,Roadmap!$D:$D,0)+COUNTIF($E145:F145,"u")+COUNTIF($E145:F145,"t")+COUNTIF($E145:F145,"¶")+COUNTIF($E145:F145,"²")+COUNTIF($E145:F145,"µ")+COUNTIF($E145:F145,1)-1,INDEX(Roadmap!$D:$K,MATCH($E145,Roadmap!$D:$D,0)-1+COUNTIF($E145:F145,"u")+COUNTIF($E145:F145,"t")+COUNTIF($E145:F145,"¶")+COUNTIF($E145:F145,"²")+COUNTIF($E145:F145,"µ")+COUNTIF($E145:F145,1),ColDescriptionCourte)),""),
  "")),"")</f>
        <v/>
      </c>
      <c r="H145" s="40" t="str">
        <f ca="1">IFERROR(IF(AND(
  INDEX(Roadmap!$D:$K,MATCH($E145,Roadmap!$D:$D,0)+COUNTIF($E145:G145,"u")+COUNTIF($E145:G145,"t")+COUNTIF($E145:G145,"¶")+COUNTIF($E145:G145,"²")+COUNTIF($E145:G145,"µ")+COUNTIF($E145:G145,1),ColLivraison)=H$6,
  VLOOKUP($E145,INDIRECT("tri!"&amp; CHAR(64+ C0Col) &amp;":"&amp; CHAR(65+C0Col)),2,FALSE)&gt;COUNTIF($E145:G145,"u")+COUNTIF($E145:G145,"t")+COUNTIF($E145:G145,"¶")+COUNTIF($E145:G145,"²")+COUNTIF($E145:G145,"µ")+COUNTIF($E145:G145,1)),
HYPERLINK("#Roadmap!C"&amp; MATCH($E145,Roadmap!$D:$D,0)+COUNTIF($E145:G145,"u")+COUNTIF($E145:G145,"t"),
     INDEX(Roadmap!$D:$K,MATCH($E145,Roadmap!$D:$D,0)+COUNTIF($E145:G145,"u")+COUNTIF($E145:G145,"t")+COUNTIF($E145:G145,"¶")+COUNTIF($E145:G145,"²")+COUNTIF($E145:G145,"µ")+COUNTIF($E145:G145,1),ColTypeEcheance)),
  IF(LEN(G145)=1,
  IF(LEN(INDEX(Roadmap!$D:$K,MATCH($E145,Roadmap!$D:$D,0)-1+COUNTIF($E145:G145,"u")+COUNTIF($E145:G145,"t")+COUNTIF($E145:G145,"¶")+COUNTIF($E145:G145,"²")+COUNTIF($E145:G145,"µ")+COUNTIF($E145:G145,1),ColDescriptionCourte))&gt;1,
HYPERLINK("#Roadmap!C"&amp; MATCH($E145,Roadmap!$D:$D,0)+COUNTIF($E145:G145,"u")+COUNTIF($E145:G145,"t")+COUNTIF($E145:G145,"¶")+COUNTIF($E145:G145,"²")+COUNTIF($E145:G145,"µ")+COUNTIF($E145:G145,1)-1,INDEX(Roadmap!$D:$K,MATCH($E145,Roadmap!$D:$D,0)-1+COUNTIF($E145:G145,"u")+COUNTIF($E145:G145,"t")+COUNTIF($E145:G145,"¶")+COUNTIF($E145:G145,"²")+COUNTIF($E145:G145,"µ")+COUNTIF($E145:G145,1),ColDescriptionCourte)),""),
  "")),"")</f>
        <v/>
      </c>
      <c r="I145" s="40" t="str">
        <f ca="1">IFERROR(IF(AND(
  INDEX(Roadmap!$D:$K,MATCH($E145,Roadmap!$D:$D,0)+COUNTIF($E145:H145,"u")+COUNTIF($E145:H145,"t")+COUNTIF($E145:H145,"¶")+COUNTIF($E145:H145,"²")+COUNTIF($E145:H145,"µ")+COUNTIF($E145:H145,1),ColLivraison)=I$6,
  VLOOKUP($E145,INDIRECT("tri!"&amp; CHAR(64+ C0Col) &amp;":"&amp; CHAR(65+C0Col)),2,FALSE)&gt;COUNTIF($E145:H145,"u")+COUNTIF($E145:H145,"t")+COUNTIF($E145:H145,"¶")+COUNTIF($E145:H145,"²")+COUNTIF($E145:H145,"µ")+COUNTIF($E145:H145,1)),
HYPERLINK("#Roadmap!C"&amp; MATCH($E145,Roadmap!$D:$D,0)+COUNTIF($E145:H145,"u")+COUNTIF($E145:H145,"t"),
     INDEX(Roadmap!$D:$K,MATCH($E145,Roadmap!$D:$D,0)+COUNTIF($E145:H145,"u")+COUNTIF($E145:H145,"t")+COUNTIF($E145:H145,"¶")+COUNTIF($E145:H145,"²")+COUNTIF($E145:H145,"µ")+COUNTIF($E145:H145,1),ColTypeEcheance)),
  IF(LEN(H145)=1,
  IF(LEN(INDEX(Roadmap!$D:$K,MATCH($E145,Roadmap!$D:$D,0)-1+COUNTIF($E145:H145,"u")+COUNTIF($E145:H145,"t")+COUNTIF($E145:H145,"¶")+COUNTIF($E145:H145,"²")+COUNTIF($E145:H145,"µ")+COUNTIF($E145:H145,1),ColDescriptionCourte))&gt;1,
HYPERLINK("#Roadmap!C"&amp; MATCH($E145,Roadmap!$D:$D,0)+COUNTIF($E145:H145,"u")+COUNTIF($E145:H145,"t")+COUNTIF($E145:H145,"¶")+COUNTIF($E145:H145,"²")+COUNTIF($E145:H145,"µ")+COUNTIF($E145:H145,1)-1,INDEX(Roadmap!$D:$K,MATCH($E145,Roadmap!$D:$D,0)-1+COUNTIF($E145:H145,"u")+COUNTIF($E145:H145,"t")+COUNTIF($E145:H145,"¶")+COUNTIF($E145:H145,"²")+COUNTIF($E145:H145,"µ")+COUNTIF($E145:H145,1),ColDescriptionCourte)),""),
  "")),"")</f>
        <v/>
      </c>
      <c r="J145" s="40" t="str">
        <f ca="1">IFERROR(IF(AND(
  INDEX(Roadmap!$D:$K,MATCH($E145,Roadmap!$D:$D,0)+COUNTIF($E145:I145,"u")+COUNTIF($E145:I145,"t")+COUNTIF($E145:I145,"¶")+COUNTIF($E145:I145,"²")+COUNTIF($E145:I145,"µ")+COUNTIF($E145:I145,1),ColLivraison)=J$6,
  VLOOKUP($E145,INDIRECT("tri!"&amp; CHAR(64+ C0Col) &amp;":"&amp; CHAR(65+C0Col)),2,FALSE)&gt;COUNTIF($E145:I145,"u")+COUNTIF($E145:I145,"t")+COUNTIF($E145:I145,"¶")+COUNTIF($E145:I145,"²")+COUNTIF($E145:I145,"µ")+COUNTIF($E145:I145,1)),
HYPERLINK("#Roadmap!C"&amp; MATCH($E145,Roadmap!$D:$D,0)+COUNTIF($E145:I145,"u")+COUNTIF($E145:I145,"t"),
     INDEX(Roadmap!$D:$K,MATCH($E145,Roadmap!$D:$D,0)+COUNTIF($E145:I145,"u")+COUNTIF($E145:I145,"t")+COUNTIF($E145:I145,"¶")+COUNTIF($E145:I145,"²")+COUNTIF($E145:I145,"µ")+COUNTIF($E145:I145,1),ColTypeEcheance)),
  IF(LEN(I145)=1,
  IF(LEN(INDEX(Roadmap!$D:$K,MATCH($E145,Roadmap!$D:$D,0)-1+COUNTIF($E145:I145,"u")+COUNTIF($E145:I145,"t")+COUNTIF($E145:I145,"¶")+COUNTIF($E145:I145,"²")+COUNTIF($E145:I145,"µ")+COUNTIF($E145:I145,1),ColDescriptionCourte))&gt;1,
HYPERLINK("#Roadmap!C"&amp; MATCH($E145,Roadmap!$D:$D,0)+COUNTIF($E145:I145,"u")+COUNTIF($E145:I145,"t")+COUNTIF($E145:I145,"¶")+COUNTIF($E145:I145,"²")+COUNTIF($E145:I145,"µ")+COUNTIF($E145:I145,1)-1,INDEX(Roadmap!$D:$K,MATCH($E145,Roadmap!$D:$D,0)-1+COUNTIF($E145:I145,"u")+COUNTIF($E145:I145,"t")+COUNTIF($E145:I145,"¶")+COUNTIF($E145:I145,"²")+COUNTIF($E145:I145,"µ")+COUNTIF($E145:I145,1),ColDescriptionCourte)),""),
  "")),"")</f>
        <v/>
      </c>
      <c r="K145" s="40" t="str">
        <f ca="1">IFERROR(IF(AND(
  INDEX(Roadmap!$D:$K,MATCH($E145,Roadmap!$D:$D,0)+COUNTIF($E145:J145,"u")+COUNTIF($E145:J145,"t")+COUNTIF($E145:J145,"¶")+COUNTIF($E145:J145,"²")+COUNTIF($E145:J145,"µ")+COUNTIF($E145:J145,1),ColLivraison)=K$6,
  VLOOKUP($E145,INDIRECT("tri!"&amp; CHAR(64+ C0Col) &amp;":"&amp; CHAR(65+C0Col)),2,FALSE)&gt;COUNTIF($E145:J145,"u")+COUNTIF($E145:J145,"t")+COUNTIF($E145:J145,"¶")+COUNTIF($E145:J145,"²")+COUNTIF($E145:J145,"µ")+COUNTIF($E145:J145,1)),
HYPERLINK("#Roadmap!C"&amp; MATCH($E145,Roadmap!$D:$D,0)+COUNTIF($E145:J145,"u")+COUNTIF($E145:J145,"t"),
     INDEX(Roadmap!$D:$K,MATCH($E145,Roadmap!$D:$D,0)+COUNTIF($E145:J145,"u")+COUNTIF($E145:J145,"t")+COUNTIF($E145:J145,"¶")+COUNTIF($E145:J145,"²")+COUNTIF($E145:J145,"µ")+COUNTIF($E145:J145,1),ColTypeEcheance)),
  IF(LEN(J145)=1,
  IF(LEN(INDEX(Roadmap!$D:$K,MATCH($E145,Roadmap!$D:$D,0)-1+COUNTIF($E145:J145,"u")+COUNTIF($E145:J145,"t")+COUNTIF($E145:J145,"¶")+COUNTIF($E145:J145,"²")+COUNTIF($E145:J145,"µ")+COUNTIF($E145:J145,1),ColDescriptionCourte))&gt;1,
HYPERLINK("#Roadmap!C"&amp; MATCH($E145,Roadmap!$D:$D,0)+COUNTIF($E145:J145,"u")+COUNTIF($E145:J145,"t")+COUNTIF($E145:J145,"¶")+COUNTIF($E145:J145,"²")+COUNTIF($E145:J145,"µ")+COUNTIF($E145:J145,1)-1,INDEX(Roadmap!$D:$K,MATCH($E145,Roadmap!$D:$D,0)-1+COUNTIF($E145:J145,"u")+COUNTIF($E145:J145,"t")+COUNTIF($E145:J145,"¶")+COUNTIF($E145:J145,"²")+COUNTIF($E145:J145,"µ")+COUNTIF($E145:J145,1),ColDescriptionCourte)),""),
  "")),"")</f>
        <v/>
      </c>
      <c r="L145" s="39" t="str">
        <f ca="1">IFERROR(IF(AND(
  INDEX(Roadmap!$D:$K,MATCH($E145,Roadmap!$D:$D,0)+COUNTIF($E145:K145,"u")+COUNTIF($E145:K145,"t")+COUNTIF($E145:K145,"¶")+COUNTIF($E145:K145,"²")+COUNTIF($E145:K145,"µ")+COUNTIF($E145:K145,1),ColLivraison)=L$6,
  VLOOKUP($E145,INDIRECT("tri!"&amp; CHAR(64+ C0Col) &amp;":"&amp; CHAR(65+C0Col)),2,FALSE)&gt;COUNTIF($E145:K145,"u")+COUNTIF($E145:K145,"t")+COUNTIF($E145:K145,"¶")+COUNTIF($E145:K145,"²")+COUNTIF($E145:K145,"µ")+COUNTIF($E145:K145,1)),
HYPERLINK("#Roadmap!C"&amp; MATCH($E145,Roadmap!$D:$D,0)+COUNTIF($E145:K145,"u")+COUNTIF($E145:K145,"t"),
     INDEX(Roadmap!$D:$K,MATCH($E145,Roadmap!$D:$D,0)+COUNTIF($E145:K145,"u")+COUNTIF($E145:K145,"t")+COUNTIF($E145:K145,"¶")+COUNTIF($E145:K145,"²")+COUNTIF($E145:K145,"µ")+COUNTIF($E145:K145,1),ColTypeEcheance)),
  IF(LEN(K145)=1,
  IF(LEN(INDEX(Roadmap!$D:$K,MATCH($E145,Roadmap!$D:$D,0)-1+COUNTIF($E145:K145,"u")+COUNTIF($E145:K145,"t")+COUNTIF($E145:K145,"¶")+COUNTIF($E145:K145,"²")+COUNTIF($E145:K145,"µ")+COUNTIF($E145:K145,1),ColDescriptionCourte))&gt;1,
HYPERLINK("#Roadmap!C"&amp; MATCH($E145,Roadmap!$D:$D,0)+COUNTIF($E145:K145,"u")+COUNTIF($E145:K145,"t")+COUNTIF($E145:K145,"¶")+COUNTIF($E145:K145,"²")+COUNTIF($E145:K145,"µ")+COUNTIF($E145:K145,1)-1,INDEX(Roadmap!$D:$K,MATCH($E145,Roadmap!$D:$D,0)-1+COUNTIF($E145:K145,"u")+COUNTIF($E145:K145,"t")+COUNTIF($E145:K145,"¶")+COUNTIF($E145:K145,"²")+COUNTIF($E145:K145,"µ")+COUNTIF($E145:K145,1),ColDescriptionCourte)),""),
  "")),"")</f>
        <v/>
      </c>
      <c r="M145" s="40" t="str">
        <f ca="1">IFERROR(IF(AND(
  INDEX(Roadmap!$D:$K,MATCH($E145,Roadmap!$D:$D,0)+COUNTIF($E145:L145,"u")+COUNTIF($E145:L145,"t")+COUNTIF($E145:L145,"¶")+COUNTIF($E145:L145,"²")+COUNTIF($E145:L145,"µ")+COUNTIF($E145:L145,1),ColLivraison)=M$6,
  VLOOKUP($E145,INDIRECT("tri!"&amp; CHAR(64+ C0Col) &amp;":"&amp; CHAR(65+C0Col)),2,FALSE)&gt;COUNTIF($E145:L145,"u")+COUNTIF($E145:L145,"t")+COUNTIF($E145:L145,"¶")+COUNTIF($E145:L145,"²")+COUNTIF($E145:L145,"µ")+COUNTIF($E145:L145,1)),
HYPERLINK("#Roadmap!C"&amp; MATCH($E145,Roadmap!$D:$D,0)+COUNTIF($E145:L145,"u")+COUNTIF($E145:L145,"t"),
     INDEX(Roadmap!$D:$K,MATCH($E145,Roadmap!$D:$D,0)+COUNTIF($E145:L145,"u")+COUNTIF($E145:L145,"t")+COUNTIF($E145:L145,"¶")+COUNTIF($E145:L145,"²")+COUNTIF($E145:L145,"µ")+COUNTIF($E145:L145,1),ColTypeEcheance)),
  IF(LEN(L145)=1,
  IF(LEN(INDEX(Roadmap!$D:$K,MATCH($E145,Roadmap!$D:$D,0)-1+COUNTIF($E145:L145,"u")+COUNTIF($E145:L145,"t")+COUNTIF($E145:L145,"¶")+COUNTIF($E145:L145,"²")+COUNTIF($E145:L145,"µ")+COUNTIF($E145:L145,1),ColDescriptionCourte))&gt;1,
HYPERLINK("#Roadmap!C"&amp; MATCH($E145,Roadmap!$D:$D,0)+COUNTIF($E145:L145,"u")+COUNTIF($E145:L145,"t")+COUNTIF($E145:L145,"¶")+COUNTIF($E145:L145,"²")+COUNTIF($E145:L145,"µ")+COUNTIF($E145:L145,1)-1,INDEX(Roadmap!$D:$K,MATCH($E145,Roadmap!$D:$D,0)-1+COUNTIF($E145:L145,"u")+COUNTIF($E145:L145,"t")+COUNTIF($E145:L145,"¶")+COUNTIF($E145:L145,"²")+COUNTIF($E145:L145,"µ")+COUNTIF($E145:L145,1),ColDescriptionCourte)),""),
  "")),"")</f>
        <v/>
      </c>
      <c r="N145" s="40" t="str">
        <f ca="1">IFERROR(IF(AND(
  INDEX(Roadmap!$D:$K,MATCH($E145,Roadmap!$D:$D,0)+COUNTIF($E145:M145,"u")+COUNTIF($E145:M145,"t")+COUNTIF($E145:M145,"¶")+COUNTIF($E145:M145,"²")+COUNTIF($E145:M145,"µ")+COUNTIF($E145:M145,1),ColLivraison)=N$6,
  VLOOKUP($E145,INDIRECT("tri!"&amp; CHAR(64+ C0Col) &amp;":"&amp; CHAR(65+C0Col)),2,FALSE)&gt;COUNTIF($E145:M145,"u")+COUNTIF($E145:M145,"t")+COUNTIF($E145:M145,"¶")+COUNTIF($E145:M145,"²")+COUNTIF($E145:M145,"µ")+COUNTIF($E145:M145,1)),
HYPERLINK("#Roadmap!C"&amp; MATCH($E145,Roadmap!$D:$D,0)+COUNTIF($E145:M145,"u")+COUNTIF($E145:M145,"t"),
     INDEX(Roadmap!$D:$K,MATCH($E145,Roadmap!$D:$D,0)+COUNTIF($E145:M145,"u")+COUNTIF($E145:M145,"t")+COUNTIF($E145:M145,"¶")+COUNTIF($E145:M145,"²")+COUNTIF($E145:M145,"µ")+COUNTIF($E145:M145,1),ColTypeEcheance)),
  IF(LEN(M145)=1,
  IF(LEN(INDEX(Roadmap!$D:$K,MATCH($E145,Roadmap!$D:$D,0)-1+COUNTIF($E145:M145,"u")+COUNTIF($E145:M145,"t")+COUNTIF($E145:M145,"¶")+COUNTIF($E145:M145,"²")+COUNTIF($E145:M145,"µ")+COUNTIF($E145:M145,1),ColDescriptionCourte))&gt;1,
HYPERLINK("#Roadmap!C"&amp; MATCH($E145,Roadmap!$D:$D,0)+COUNTIF($E145:M145,"u")+COUNTIF($E145:M145,"t")+COUNTIF($E145:M145,"¶")+COUNTIF($E145:M145,"²")+COUNTIF($E145:M145,"µ")+COUNTIF($E145:M145,1)-1,INDEX(Roadmap!$D:$K,MATCH($E145,Roadmap!$D:$D,0)-1+COUNTIF($E145:M145,"u")+COUNTIF($E145:M145,"t")+COUNTIF($E145:M145,"¶")+COUNTIF($E145:M145,"²")+COUNTIF($E145:M145,"µ")+COUNTIF($E145:M145,1),ColDescriptionCourte)),""),
  "")),"")</f>
        <v/>
      </c>
      <c r="O145" s="40" t="str">
        <f ca="1">IFERROR(IF(AND(
  INDEX(Roadmap!$D:$K,MATCH($E145,Roadmap!$D:$D,0)+COUNTIF($E145:N145,"u")+COUNTIF($E145:N145,"t")+COUNTIF($E145:N145,"¶")+COUNTIF($E145:N145,"²")+COUNTIF($E145:N145,"µ")+COUNTIF($E145:N145,1),ColLivraison)=O$6,
  VLOOKUP($E145,INDIRECT("tri!"&amp; CHAR(64+ C0Col) &amp;":"&amp; CHAR(65+C0Col)),2,FALSE)&gt;COUNTIF($E145:N145,"u")+COUNTIF($E145:N145,"t")+COUNTIF($E145:N145,"¶")+COUNTIF($E145:N145,"²")+COUNTIF($E145:N145,"µ")+COUNTIF($E145:N145,1)),
HYPERLINK("#Roadmap!C"&amp; MATCH($E145,Roadmap!$D:$D,0)+COUNTIF($E145:N145,"u")+COUNTIF($E145:N145,"t"),
     INDEX(Roadmap!$D:$K,MATCH($E145,Roadmap!$D:$D,0)+COUNTIF($E145:N145,"u")+COUNTIF($E145:N145,"t")+COUNTIF($E145:N145,"¶")+COUNTIF($E145:N145,"²")+COUNTIF($E145:N145,"µ")+COUNTIF($E145:N145,1),ColTypeEcheance)),
  IF(LEN(N145)=1,
  IF(LEN(INDEX(Roadmap!$D:$K,MATCH($E145,Roadmap!$D:$D,0)-1+COUNTIF($E145:N145,"u")+COUNTIF($E145:N145,"t")+COUNTIF($E145:N145,"¶")+COUNTIF($E145:N145,"²")+COUNTIF($E145:N145,"µ")+COUNTIF($E145:N145,1),ColDescriptionCourte))&gt;1,
HYPERLINK("#Roadmap!C"&amp; MATCH($E145,Roadmap!$D:$D,0)+COUNTIF($E145:N145,"u")+COUNTIF($E145:N145,"t")+COUNTIF($E145:N145,"¶")+COUNTIF($E145:N145,"²")+COUNTIF($E145:N145,"µ")+COUNTIF($E145:N145,1)-1,INDEX(Roadmap!$D:$K,MATCH($E145,Roadmap!$D:$D,0)-1+COUNTIF($E145:N145,"u")+COUNTIF($E145:N145,"t")+COUNTIF($E145:N145,"¶")+COUNTIF($E145:N145,"²")+COUNTIF($E145:N145,"µ")+COUNTIF($E145:N145,1),ColDescriptionCourte)),""),
  "")),"")</f>
        <v/>
      </c>
      <c r="P145" s="40" t="str">
        <f ca="1">IFERROR(IF(AND(
  INDEX(Roadmap!$D:$K,MATCH($E145,Roadmap!$D:$D,0)+COUNTIF($E145:O145,"u")+COUNTIF($E145:O145,"t")+COUNTIF($E145:O145,"¶")+COUNTIF($E145:O145,"²")+COUNTIF($E145:O145,"µ")+COUNTIF($E145:O145,1),ColLivraison)=P$6,
  VLOOKUP($E145,INDIRECT("tri!"&amp; CHAR(64+ C0Col) &amp;":"&amp; CHAR(65+C0Col)),2,FALSE)&gt;COUNTIF($E145:O145,"u")+COUNTIF($E145:O145,"t")+COUNTIF($E145:O145,"¶")+COUNTIF($E145:O145,"²")+COUNTIF($E145:O145,"µ")+COUNTIF($E145:O145,1)),
HYPERLINK("#Roadmap!C"&amp; MATCH($E145,Roadmap!$D:$D,0)+COUNTIF($E145:O145,"u")+COUNTIF($E145:O145,"t"),
     INDEX(Roadmap!$D:$K,MATCH($E145,Roadmap!$D:$D,0)+COUNTIF($E145:O145,"u")+COUNTIF($E145:O145,"t")+COUNTIF($E145:O145,"¶")+COUNTIF($E145:O145,"²")+COUNTIF($E145:O145,"µ")+COUNTIF($E145:O145,1),ColTypeEcheance)),
  IF(LEN(O145)=1,
  IF(LEN(INDEX(Roadmap!$D:$K,MATCH($E145,Roadmap!$D:$D,0)-1+COUNTIF($E145:O145,"u")+COUNTIF($E145:O145,"t")+COUNTIF($E145:O145,"¶")+COUNTIF($E145:O145,"²")+COUNTIF($E145:O145,"µ")+COUNTIF($E145:O145,1),ColDescriptionCourte))&gt;1,
HYPERLINK("#Roadmap!C"&amp; MATCH($E145,Roadmap!$D:$D,0)+COUNTIF($E145:O145,"u")+COUNTIF($E145:O145,"t")+COUNTIF($E145:O145,"¶")+COUNTIF($E145:O145,"²")+COUNTIF($E145:O145,"µ")+COUNTIF($E145:O145,1)-1,INDEX(Roadmap!$D:$K,MATCH($E145,Roadmap!$D:$D,0)-1+COUNTIF($E145:O145,"u")+COUNTIF($E145:O145,"t")+COUNTIF($E145:O145,"¶")+COUNTIF($E145:O145,"²")+COUNTIF($E145:O145,"µ")+COUNTIF($E145:O145,1),ColDescriptionCourte)),""),
  "")),"")</f>
        <v/>
      </c>
      <c r="Q145" s="40" t="str">
        <f ca="1">IFERROR(IF(AND(
  INDEX(Roadmap!$D:$K,MATCH($E145,Roadmap!$D:$D,0)+COUNTIF($E145:P145,"u")+COUNTIF($E145:P145,"t")+COUNTIF($E145:P145,"¶")+COUNTIF($E145:P145,"²")+COUNTIF($E145:P145,"µ")+COUNTIF($E145:P145,1),ColLivraison)=Q$6,
  VLOOKUP($E145,INDIRECT("tri!"&amp; CHAR(64+ C0Col) &amp;":"&amp; CHAR(65+C0Col)),2,FALSE)&gt;COUNTIF($E145:P145,"u")+COUNTIF($E145:P145,"t")+COUNTIF($E145:P145,"¶")+COUNTIF($E145:P145,"²")+COUNTIF($E145:P145,"µ")+COUNTIF($E145:P145,1)),
HYPERLINK("#Roadmap!C"&amp; MATCH($E145,Roadmap!$D:$D,0)+COUNTIF($E145:P145,"u")+COUNTIF($E145:P145,"t"),
     INDEX(Roadmap!$D:$K,MATCH($E145,Roadmap!$D:$D,0)+COUNTIF($E145:P145,"u")+COUNTIF($E145:P145,"t")+COUNTIF($E145:P145,"¶")+COUNTIF($E145:P145,"²")+COUNTIF($E145:P145,"µ")+COUNTIF($E145:P145,1),ColTypeEcheance)),
  IF(LEN(P145)=1,
  IF(LEN(INDEX(Roadmap!$D:$K,MATCH($E145,Roadmap!$D:$D,0)-1+COUNTIF($E145:P145,"u")+COUNTIF($E145:P145,"t")+COUNTIF($E145:P145,"¶")+COUNTIF($E145:P145,"²")+COUNTIF($E145:P145,"µ")+COUNTIF($E145:P145,1),ColDescriptionCourte))&gt;1,
HYPERLINK("#Roadmap!C"&amp; MATCH($E145,Roadmap!$D:$D,0)+COUNTIF($E145:P145,"u")+COUNTIF($E145:P145,"t")+COUNTIF($E145:P145,"¶")+COUNTIF($E145:P145,"²")+COUNTIF($E145:P145,"µ")+COUNTIF($E145:P145,1)-1,INDEX(Roadmap!$D:$K,MATCH($E145,Roadmap!$D:$D,0)-1+COUNTIF($E145:P145,"u")+COUNTIF($E145:P145,"t")+COUNTIF($E145:P145,"¶")+COUNTIF($E145:P145,"²")+COUNTIF($E145:P145,"µ")+COUNTIF($E145:P145,1),ColDescriptionCourte)),""),
  "")),"")</f>
        <v/>
      </c>
      <c r="R145" s="40" t="str">
        <f ca="1">IFERROR(IF(AND(
  INDEX(Roadmap!$D:$K,MATCH($E145,Roadmap!$D:$D,0)+COUNTIF($E145:Q145,"u")+COUNTIF($E145:Q145,"t")+COUNTIF($E145:Q145,"¶")+COUNTIF($E145:Q145,"²")+COUNTIF($E145:Q145,"µ")+COUNTIF($E145:Q145,1),ColLivraison)=R$6,
  VLOOKUP($E145,INDIRECT("tri!"&amp; CHAR(64+ C0Col) &amp;":"&amp; CHAR(65+C0Col)),2,FALSE)&gt;COUNTIF($E145:Q145,"u")+COUNTIF($E145:Q145,"t")+COUNTIF($E145:Q145,"¶")+COUNTIF($E145:Q145,"²")+COUNTIF($E145:Q145,"µ")+COUNTIF($E145:Q145,1)),
HYPERLINK("#Roadmap!C"&amp; MATCH($E145,Roadmap!$D:$D,0)+COUNTIF($E145:Q145,"u")+COUNTIF($E145:Q145,"t"),
     INDEX(Roadmap!$D:$K,MATCH($E145,Roadmap!$D:$D,0)+COUNTIF($E145:Q145,"u")+COUNTIF($E145:Q145,"t")+COUNTIF($E145:Q145,"¶")+COUNTIF($E145:Q145,"²")+COUNTIF($E145:Q145,"µ")+COUNTIF($E145:Q145,1),ColTypeEcheance)),
  IF(LEN(Q145)=1,
  IF(LEN(INDEX(Roadmap!$D:$K,MATCH($E145,Roadmap!$D:$D,0)-1+COUNTIF($E145:Q145,"u")+COUNTIF($E145:Q145,"t")+COUNTIF($E145:Q145,"¶")+COUNTIF($E145:Q145,"²")+COUNTIF($E145:Q145,"µ")+COUNTIF($E145:Q145,1),ColDescriptionCourte))&gt;1,
HYPERLINK("#Roadmap!C"&amp; MATCH($E145,Roadmap!$D:$D,0)+COUNTIF($E145:Q145,"u")+COUNTIF($E145:Q145,"t")+COUNTIF($E145:Q145,"¶")+COUNTIF($E145:Q145,"²")+COUNTIF($E145:Q145,"µ")+COUNTIF($E145:Q145,1)-1,INDEX(Roadmap!$D:$K,MATCH($E145,Roadmap!$D:$D,0)-1+COUNTIF($E145:Q145,"u")+COUNTIF($E145:Q145,"t")+COUNTIF($E145:Q145,"¶")+COUNTIF($E145:Q145,"²")+COUNTIF($E145:Q145,"µ")+COUNTIF($E145:Q145,1),ColDescriptionCourte)),""),
  "")),"")</f>
        <v/>
      </c>
      <c r="S145" s="40" t="str">
        <f ca="1">IFERROR(IF(AND(
  INDEX(Roadmap!$D:$K,MATCH($E145,Roadmap!$D:$D,0)+COUNTIF($E145:R145,"u")+COUNTIF($E145:R145,"t")+COUNTIF($E145:R145,"¶")+COUNTIF($E145:R145,"²")+COUNTIF($E145:R145,"µ")+COUNTIF($E145:R145,1),ColLivraison)=S$6,
  VLOOKUP($E145,INDIRECT("tri!"&amp; CHAR(64+ C0Col) &amp;":"&amp; CHAR(65+C0Col)),2,FALSE)&gt;COUNTIF($E145:R145,"u")+COUNTIF($E145:R145,"t")+COUNTIF($E145:R145,"¶")+COUNTIF($E145:R145,"²")+COUNTIF($E145:R145,"µ")+COUNTIF($E145:R145,1)),
HYPERLINK("#Roadmap!C"&amp; MATCH($E145,Roadmap!$D:$D,0)+COUNTIF($E145:R145,"u")+COUNTIF($E145:R145,"t"),
     INDEX(Roadmap!$D:$K,MATCH($E145,Roadmap!$D:$D,0)+COUNTIF($E145:R145,"u")+COUNTIF($E145:R145,"t")+COUNTIF($E145:R145,"¶")+COUNTIF($E145:R145,"²")+COUNTIF($E145:R145,"µ")+COUNTIF($E145:R145,1),ColTypeEcheance)),
  IF(LEN(R145)=1,
  IF(LEN(INDEX(Roadmap!$D:$K,MATCH($E145,Roadmap!$D:$D,0)-1+COUNTIF($E145:R145,"u")+COUNTIF($E145:R145,"t")+COUNTIF($E145:R145,"¶")+COUNTIF($E145:R145,"²")+COUNTIF($E145:R145,"µ")+COUNTIF($E145:R145,1),ColDescriptionCourte))&gt;1,
HYPERLINK("#Roadmap!C"&amp; MATCH($E145,Roadmap!$D:$D,0)+COUNTIF($E145:R145,"u")+COUNTIF($E145:R145,"t")+COUNTIF($E145:R145,"¶")+COUNTIF($E145:R145,"²")+COUNTIF($E145:R145,"µ")+COUNTIF($E145:R145,1)-1,INDEX(Roadmap!$D:$K,MATCH($E145,Roadmap!$D:$D,0)-1+COUNTIF($E145:R145,"u")+COUNTIF($E145:R145,"t")+COUNTIF($E145:R145,"¶")+COUNTIF($E145:R145,"²")+COUNTIF($E145:R145,"µ")+COUNTIF($E145:R145,1),ColDescriptionCourte)),""),
  "")),"")</f>
        <v/>
      </c>
      <c r="T145" s="40" t="str">
        <f ca="1">IFERROR(IF(AND(
  INDEX(Roadmap!$D:$K,MATCH($E145,Roadmap!$D:$D,0)+COUNTIF($E145:S145,"u")+COUNTIF($E145:S145,"t")+COUNTIF($E145:S145,"¶")+COUNTIF($E145:S145,"²")+COUNTIF($E145:S145,"µ")+COUNTIF($E145:S145,1),ColLivraison)=T$6,
  VLOOKUP($E145,INDIRECT("tri!"&amp; CHAR(64+ C0Col) &amp;":"&amp; CHAR(65+C0Col)),2,FALSE)&gt;COUNTIF($E145:S145,"u")+COUNTIF($E145:S145,"t")+COUNTIF($E145:S145,"¶")+COUNTIF($E145:S145,"²")+COUNTIF($E145:S145,"µ")+COUNTIF($E145:S145,1)),
HYPERLINK("#Roadmap!C"&amp; MATCH($E145,Roadmap!$D:$D,0)+COUNTIF($E145:S145,"u")+COUNTIF($E145:S145,"t"),
     INDEX(Roadmap!$D:$K,MATCH($E145,Roadmap!$D:$D,0)+COUNTIF($E145:S145,"u")+COUNTIF($E145:S145,"t")+COUNTIF($E145:S145,"¶")+COUNTIF($E145:S145,"²")+COUNTIF($E145:S145,"µ")+COUNTIF($E145:S145,1),ColTypeEcheance)),
  IF(LEN(S145)=1,
  IF(LEN(INDEX(Roadmap!$D:$K,MATCH($E145,Roadmap!$D:$D,0)-1+COUNTIF($E145:S145,"u")+COUNTIF($E145:S145,"t")+COUNTIF($E145:S145,"¶")+COUNTIF($E145:S145,"²")+COUNTIF($E145:S145,"µ")+COUNTIF($E145:S145,1),ColDescriptionCourte))&gt;1,
HYPERLINK("#Roadmap!C"&amp; MATCH($E145,Roadmap!$D:$D,0)+COUNTIF($E145:S145,"u")+COUNTIF($E145:S145,"t")+COUNTIF($E145:S145,"¶")+COUNTIF($E145:S145,"²")+COUNTIF($E145:S145,"µ")+COUNTIF($E145:S145,1)-1,INDEX(Roadmap!$D:$K,MATCH($E145,Roadmap!$D:$D,0)-1+COUNTIF($E145:S145,"u")+COUNTIF($E145:S145,"t")+COUNTIF($E145:S145,"¶")+COUNTIF($E145:S145,"²")+COUNTIF($E145:S145,"µ")+COUNTIF($E145:S145,1),ColDescriptionCourte)),""),
  "")),"")</f>
        <v/>
      </c>
      <c r="U145" s="40" t="str">
        <f ca="1">IFERROR(IF(AND(
  INDEX(Roadmap!$D:$K,MATCH($E145,Roadmap!$D:$D,0)+COUNTIF($E145:T145,"u")+COUNTIF($E145:T145,"t")+COUNTIF($E145:T145,"¶")+COUNTIF($E145:T145,"²")+COUNTIF($E145:T145,"µ")+COUNTIF($E145:T145,1),ColLivraison)=U$6,
  VLOOKUP($E145,INDIRECT("tri!"&amp; CHAR(64+ C0Col) &amp;":"&amp; CHAR(65+C0Col)),2,FALSE)&gt;COUNTIF($E145:T145,"u")+COUNTIF($E145:T145,"t")+COUNTIF($E145:T145,"¶")+COUNTIF($E145:T145,"²")+COUNTIF($E145:T145,"µ")+COUNTIF($E145:T145,1)),
HYPERLINK("#Roadmap!C"&amp; MATCH($E145,Roadmap!$D:$D,0)+COUNTIF($E145:T145,"u")+COUNTIF($E145:T145,"t"),
     INDEX(Roadmap!$D:$K,MATCH($E145,Roadmap!$D:$D,0)+COUNTIF($E145:T145,"u")+COUNTIF($E145:T145,"t")+COUNTIF($E145:T145,"¶")+COUNTIF($E145:T145,"²")+COUNTIF($E145:T145,"µ")+COUNTIF($E145:T145,1),ColTypeEcheance)),
  IF(LEN(T145)=1,
  IF(LEN(INDEX(Roadmap!$D:$K,MATCH($E145,Roadmap!$D:$D,0)-1+COUNTIF($E145:T145,"u")+COUNTIF($E145:T145,"t")+COUNTIF($E145:T145,"¶")+COUNTIF($E145:T145,"²")+COUNTIF($E145:T145,"µ")+COUNTIF($E145:T145,1),ColDescriptionCourte))&gt;1,
HYPERLINK("#Roadmap!C"&amp; MATCH($E145,Roadmap!$D:$D,0)+COUNTIF($E145:T145,"u")+COUNTIF($E145:T145,"t")+COUNTIF($E145:T145,"¶")+COUNTIF($E145:T145,"²")+COUNTIF($E145:T145,"µ")+COUNTIF($E145:T145,1)-1,INDEX(Roadmap!$D:$K,MATCH($E145,Roadmap!$D:$D,0)-1+COUNTIF($E145:T145,"u")+COUNTIF($E145:T145,"t")+COUNTIF($E145:T145,"¶")+COUNTIF($E145:T145,"²")+COUNTIF($E145:T145,"µ")+COUNTIF($E145:T145,1),ColDescriptionCourte)),""),
  "")),"")</f>
        <v/>
      </c>
      <c r="V145" s="40" t="str">
        <f ca="1">IFERROR(IF(AND(
  INDEX(Roadmap!$D:$K,MATCH($E145,Roadmap!$D:$D,0)+COUNTIF($E145:U145,"u")+COUNTIF($E145:U145,"t")+COUNTIF($E145:U145,"¶")+COUNTIF($E145:U145,"²")+COUNTIF($E145:U145,"µ")+COUNTIF($E145:U145,1),ColLivraison)=V$6,
  VLOOKUP($E145,INDIRECT("tri!"&amp; CHAR(64+ C0Col) &amp;":"&amp; CHAR(65+C0Col)),2,FALSE)&gt;COUNTIF($E145:U145,"u")+COUNTIF($E145:U145,"t")+COUNTIF($E145:U145,"¶")+COUNTIF($E145:U145,"²")+COUNTIF($E145:U145,"µ")+COUNTIF($E145:U145,1)),
HYPERLINK("#Roadmap!C"&amp; MATCH($E145,Roadmap!$D:$D,0)+COUNTIF($E145:U145,"u")+COUNTIF($E145:U145,"t"),
     INDEX(Roadmap!$D:$K,MATCH($E145,Roadmap!$D:$D,0)+COUNTIF($E145:U145,"u")+COUNTIF($E145:U145,"t")+COUNTIF($E145:U145,"¶")+COUNTIF($E145:U145,"²")+COUNTIF($E145:U145,"µ")+COUNTIF($E145:U145,1),ColTypeEcheance)),
  IF(LEN(U145)=1,
  IF(LEN(INDEX(Roadmap!$D:$K,MATCH($E145,Roadmap!$D:$D,0)-1+COUNTIF($E145:U145,"u")+COUNTIF($E145:U145,"t")+COUNTIF($E145:U145,"¶")+COUNTIF($E145:U145,"²")+COUNTIF($E145:U145,"µ")+COUNTIF($E145:U145,1),ColDescriptionCourte))&gt;1,
HYPERLINK("#Roadmap!C"&amp; MATCH($E145,Roadmap!$D:$D,0)+COUNTIF($E145:U145,"u")+COUNTIF($E145:U145,"t")+COUNTIF($E145:U145,"¶")+COUNTIF($E145:U145,"²")+COUNTIF($E145:U145,"µ")+COUNTIF($E145:U145,1)-1,INDEX(Roadmap!$D:$K,MATCH($E145,Roadmap!$D:$D,0)-1+COUNTIF($E145:U145,"u")+COUNTIF($E145:U145,"t")+COUNTIF($E145:U145,"¶")+COUNTIF($E145:U145,"²")+COUNTIF($E145:U145,"µ")+COUNTIF($E145:U145,1),ColDescriptionCourte)),""),
  "")),"")</f>
        <v/>
      </c>
      <c r="W145" s="40" t="str">
        <f ca="1">IFERROR(IF(AND(
  INDEX(Roadmap!$D:$K,MATCH($E145,Roadmap!$D:$D,0)+COUNTIF($E145:V145,"u")+COUNTIF($E145:V145,"t")+COUNTIF($E145:V145,"¶")+COUNTIF($E145:V145,"²")+COUNTIF($E145:V145,"µ")+COUNTIF($E145:V145,1),ColLivraison)=W$6,
  VLOOKUP($E145,INDIRECT("tri!"&amp; CHAR(64+ C0Col) &amp;":"&amp; CHAR(65+C0Col)),2,FALSE)&gt;COUNTIF($E145:V145,"u")+COUNTIF($E145:V145,"t")+COUNTIF($E145:V145,"¶")+COUNTIF($E145:V145,"²")+COUNTIF($E145:V145,"µ")+COUNTIF($E145:V145,1)),
HYPERLINK("#Roadmap!C"&amp; MATCH($E145,Roadmap!$D:$D,0)+COUNTIF($E145:V145,"u")+COUNTIF($E145:V145,"t"),
     INDEX(Roadmap!$D:$K,MATCH($E145,Roadmap!$D:$D,0)+COUNTIF($E145:V145,"u")+COUNTIF($E145:V145,"t")+COUNTIF($E145:V145,"¶")+COUNTIF($E145:V145,"²")+COUNTIF($E145:V145,"µ")+COUNTIF($E145:V145,1),ColTypeEcheance)),
  IF(LEN(V145)=1,
  IF(LEN(INDEX(Roadmap!$D:$K,MATCH($E145,Roadmap!$D:$D,0)-1+COUNTIF($E145:V145,"u")+COUNTIF($E145:V145,"t")+COUNTIF($E145:V145,"¶")+COUNTIF($E145:V145,"²")+COUNTIF($E145:V145,"µ")+COUNTIF($E145:V145,1),ColDescriptionCourte))&gt;1,
HYPERLINK("#Roadmap!C"&amp; MATCH($E145,Roadmap!$D:$D,0)+COUNTIF($E145:V145,"u")+COUNTIF($E145:V145,"t")+COUNTIF($E145:V145,"¶")+COUNTIF($E145:V145,"²")+COUNTIF($E145:V145,"µ")+COUNTIF($E145:V145,1)-1,INDEX(Roadmap!$D:$K,MATCH($E145,Roadmap!$D:$D,0)-1+COUNTIF($E145:V145,"u")+COUNTIF($E145:V145,"t")+COUNTIF($E145:V145,"¶")+COUNTIF($E145:V145,"²")+COUNTIF($E145:V145,"µ")+COUNTIF($E145:V145,1),ColDescriptionCourte)),""),
  "")),"")</f>
        <v/>
      </c>
      <c r="X145" s="40" t="str">
        <f ca="1">IFERROR(IF(AND(
  INDEX(Roadmap!$D:$K,MATCH($E145,Roadmap!$D:$D,0)+COUNTIF($E145:W145,"u")+COUNTIF($E145:W145,"t")+COUNTIF($E145:W145,"¶")+COUNTIF($E145:W145,"²")+COUNTIF($E145:W145,"µ")+COUNTIF($E145:W145,1),ColLivraison)=X$6,
  VLOOKUP($E145,INDIRECT("tri!"&amp; CHAR(64+ C0Col) &amp;":"&amp; CHAR(65+C0Col)),2,FALSE)&gt;COUNTIF($E145:W145,"u")+COUNTIF($E145:W145,"t")+COUNTIF($E145:W145,"¶")+COUNTIF($E145:W145,"²")+COUNTIF($E145:W145,"µ")+COUNTIF($E145:W145,1)),
HYPERLINK("#Roadmap!C"&amp; MATCH($E145,Roadmap!$D:$D,0)+COUNTIF($E145:W145,"u")+COUNTIF($E145:W145,"t"),
     INDEX(Roadmap!$D:$K,MATCH($E145,Roadmap!$D:$D,0)+COUNTIF($E145:W145,"u")+COUNTIF($E145:W145,"t")+COUNTIF($E145:W145,"¶")+COUNTIF($E145:W145,"²")+COUNTIF($E145:W145,"µ")+COUNTIF($E145:W145,1),ColTypeEcheance)),
  IF(LEN(W145)=1,
  IF(LEN(INDEX(Roadmap!$D:$K,MATCH($E145,Roadmap!$D:$D,0)-1+COUNTIF($E145:W145,"u")+COUNTIF($E145:W145,"t")+COUNTIF($E145:W145,"¶")+COUNTIF($E145:W145,"²")+COUNTIF($E145:W145,"µ")+COUNTIF($E145:W145,1),ColDescriptionCourte))&gt;1,
HYPERLINK("#Roadmap!C"&amp; MATCH($E145,Roadmap!$D:$D,0)+COUNTIF($E145:W145,"u")+COUNTIF($E145:W145,"t")+COUNTIF($E145:W145,"¶")+COUNTIF($E145:W145,"²")+COUNTIF($E145:W145,"µ")+COUNTIF($E145:W145,1)-1,INDEX(Roadmap!$D:$K,MATCH($E145,Roadmap!$D:$D,0)-1+COUNTIF($E145:W145,"u")+COUNTIF($E145:W145,"t")+COUNTIF($E145:W145,"¶")+COUNTIF($E145:W145,"²")+COUNTIF($E145:W145,"µ")+COUNTIF($E145:W145,1),ColDescriptionCourte)),""),
  "")),"")</f>
        <v/>
      </c>
      <c r="Y145" s="40" t="str">
        <f ca="1">IFERROR(IF(AND(
  INDEX(Roadmap!$D:$K,MATCH($E145,Roadmap!$D:$D,0)+COUNTIF($E145:X145,"u")+COUNTIF($E145:X145,"t")+COUNTIF($E145:X145,"¶")+COUNTIF($E145:X145,"²")+COUNTIF($E145:X145,"µ")+COUNTIF($E145:X145,1),ColLivraison)=Y$6,
  VLOOKUP($E145,INDIRECT("tri!"&amp; CHAR(64+ C0Col) &amp;":"&amp; CHAR(65+C0Col)),2,FALSE)&gt;COUNTIF($E145:X145,"u")+COUNTIF($E145:X145,"t")+COUNTIF($E145:X145,"¶")+COUNTIF($E145:X145,"²")+COUNTIF($E145:X145,"µ")+COUNTIF($E145:X145,1)),
HYPERLINK("#Roadmap!C"&amp; MATCH($E145,Roadmap!$D:$D,0)+COUNTIF($E145:X145,"u")+COUNTIF($E145:X145,"t"),
     INDEX(Roadmap!$D:$K,MATCH($E145,Roadmap!$D:$D,0)+COUNTIF($E145:X145,"u")+COUNTIF($E145:X145,"t")+COUNTIF($E145:X145,"¶")+COUNTIF($E145:X145,"²")+COUNTIF($E145:X145,"µ")+COUNTIF($E145:X145,1),ColTypeEcheance)),
  IF(LEN(X145)=1,
  IF(LEN(INDEX(Roadmap!$D:$K,MATCH($E145,Roadmap!$D:$D,0)-1+COUNTIF($E145:X145,"u")+COUNTIF($E145:X145,"t")+COUNTIF($E145:X145,"¶")+COUNTIF($E145:X145,"²")+COUNTIF($E145:X145,"µ")+COUNTIF($E145:X145,1),ColDescriptionCourte))&gt;1,
HYPERLINK("#Roadmap!C"&amp; MATCH($E145,Roadmap!$D:$D,0)+COUNTIF($E145:X145,"u")+COUNTIF($E145:X145,"t")+COUNTIF($E145:X145,"¶")+COUNTIF($E145:X145,"²")+COUNTIF($E145:X145,"µ")+COUNTIF($E145:X145,1)-1,INDEX(Roadmap!$D:$K,MATCH($E145,Roadmap!$D:$D,0)-1+COUNTIF($E145:X145,"u")+COUNTIF($E145:X145,"t")+COUNTIF($E145:X145,"¶")+COUNTIF($E145:X145,"²")+COUNTIF($E145:X145,"µ")+COUNTIF($E145:X145,1),ColDescriptionCourte)),""),
  "")),"")</f>
        <v/>
      </c>
      <c r="Z145" s="40" t="str">
        <f ca="1">IFERROR(IF(AND(
  INDEX(Roadmap!$D:$K,MATCH($E145,Roadmap!$D:$D,0)+COUNTIF($E145:Y145,"u")+COUNTIF($E145:Y145,"t")+COUNTIF($E145:Y145,"¶")+COUNTIF($E145:Y145,"²")+COUNTIF($E145:Y145,"µ")+COUNTIF($E145:Y145,1),ColLivraison)=Z$6,
  VLOOKUP($E145,INDIRECT("tri!"&amp; CHAR(64+ C0Col) &amp;":"&amp; CHAR(65+C0Col)),2,FALSE)&gt;COUNTIF($E145:Y145,"u")+COUNTIF($E145:Y145,"t")+COUNTIF($E145:Y145,"¶")+COUNTIF($E145:Y145,"²")+COUNTIF($E145:Y145,"µ")+COUNTIF($E145:Y145,1)),
HYPERLINK("#Roadmap!C"&amp; MATCH($E145,Roadmap!$D:$D,0)+COUNTIF($E145:Y145,"u")+COUNTIF($E145:Y145,"t"),
     INDEX(Roadmap!$D:$K,MATCH($E145,Roadmap!$D:$D,0)+COUNTIF($E145:Y145,"u")+COUNTIF($E145:Y145,"t")+COUNTIF($E145:Y145,"¶")+COUNTIF($E145:Y145,"²")+COUNTIF($E145:Y145,"µ")+COUNTIF($E145:Y145,1),ColTypeEcheance)),
  IF(LEN(Y145)=1,
  IF(LEN(INDEX(Roadmap!$D:$K,MATCH($E145,Roadmap!$D:$D,0)-1+COUNTIF($E145:Y145,"u")+COUNTIF($E145:Y145,"t")+COUNTIF($E145:Y145,"¶")+COUNTIF($E145:Y145,"²")+COUNTIF($E145:Y145,"µ")+COUNTIF($E145:Y145,1),ColDescriptionCourte))&gt;1,
HYPERLINK("#Roadmap!C"&amp; MATCH($E145,Roadmap!$D:$D,0)+COUNTIF($E145:Y145,"u")+COUNTIF($E145:Y145,"t")+COUNTIF($E145:Y145,"¶")+COUNTIF($E145:Y145,"²")+COUNTIF($E145:Y145,"µ")+COUNTIF($E145:Y145,1)-1,INDEX(Roadmap!$D:$K,MATCH($E145,Roadmap!$D:$D,0)-1+COUNTIF($E145:Y145,"u")+COUNTIF($E145:Y145,"t")+COUNTIF($E145:Y145,"¶")+COUNTIF($E145:Y145,"²")+COUNTIF($E145:Y145,"µ")+COUNTIF($E145:Y145,1),ColDescriptionCourte)),""),
  "")),"")</f>
        <v/>
      </c>
      <c r="AA145" s="40" t="str">
        <f ca="1">IFERROR(IF(AND(
  INDEX(Roadmap!$D:$K,MATCH($E145,Roadmap!$D:$D,0)+COUNTIF($E145:Z145,"u")+COUNTIF($E145:Z145,"t")+COUNTIF($E145:Z145,"¶")+COUNTIF($E145:Z145,"²")+COUNTIF($E145:Z145,"µ")+COUNTIF($E145:Z145,1),ColLivraison)=AA$6,
  VLOOKUP($E145,INDIRECT("tri!"&amp; CHAR(64+ C0Col) &amp;":"&amp; CHAR(65+C0Col)),2,FALSE)&gt;COUNTIF($E145:Z145,"u")+COUNTIF($E145:Z145,"t")+COUNTIF($E145:Z145,"¶")+COUNTIF($E145:Z145,"²")+COUNTIF($E145:Z145,"µ")+COUNTIF($E145:Z145,1)),
HYPERLINK("#Roadmap!C"&amp; MATCH($E145,Roadmap!$D:$D,0)+COUNTIF($E145:Z145,"u")+COUNTIF($E145:Z145,"t"),
     INDEX(Roadmap!$D:$K,MATCH($E145,Roadmap!$D:$D,0)+COUNTIF($E145:Z145,"u")+COUNTIF($E145:Z145,"t")+COUNTIF($E145:Z145,"¶")+COUNTIF($E145:Z145,"²")+COUNTIF($E145:Z145,"µ")+COUNTIF($E145:Z145,1),ColTypeEcheance)),
  IF(LEN(Z145)=1,
  IF(LEN(INDEX(Roadmap!$D:$K,MATCH($E145,Roadmap!$D:$D,0)-1+COUNTIF($E145:Z145,"u")+COUNTIF($E145:Z145,"t")+COUNTIF($E145:Z145,"¶")+COUNTIF($E145:Z145,"²")+COUNTIF($E145:Z145,"µ")+COUNTIF($E145:Z145,1),ColDescriptionCourte))&gt;1,
HYPERLINK("#Roadmap!C"&amp; MATCH($E145,Roadmap!$D:$D,0)+COUNTIF($E145:Z145,"u")+COUNTIF($E145:Z145,"t")+COUNTIF($E145:Z145,"¶")+COUNTIF($E145:Z145,"²")+COUNTIF($E145:Z145,"µ")+COUNTIF($E145:Z145,1)-1,INDEX(Roadmap!$D:$K,MATCH($E145,Roadmap!$D:$D,0)-1+COUNTIF($E145:Z145,"u")+COUNTIF($E145:Z145,"t")+COUNTIF($E145:Z145,"¶")+COUNTIF($E145:Z145,"²")+COUNTIF($E145:Z145,"µ")+COUNTIF($E145:Z145,1),ColDescriptionCourte)),""),
  "")),"")</f>
        <v/>
      </c>
      <c r="AB145" s="40" t="str">
        <f ca="1">IFERROR(IF(AND(
  INDEX(Roadmap!$D:$K,MATCH($E145,Roadmap!$D:$D,0)+COUNTIF($E145:AA145,"u")+COUNTIF($E145:AA145,"t")+COUNTIF($E145:AA145,"¶")+COUNTIF($E145:AA145,"²")+COUNTIF($E145:AA145,"µ")+COUNTIF($E145:AA145,1),ColLivraison)=AB$6,
  VLOOKUP($E145,INDIRECT("tri!"&amp; CHAR(64+ C0Col) &amp;":"&amp; CHAR(65+C0Col)),2,FALSE)&gt;COUNTIF($E145:AA145,"u")+COUNTIF($E145:AA145,"t")+COUNTIF($E145:AA145,"¶")+COUNTIF($E145:AA145,"²")+COUNTIF($E145:AA145,"µ")+COUNTIF($E145:AA145,1)),
HYPERLINK("#Roadmap!C"&amp; MATCH($E145,Roadmap!$D:$D,0)+COUNTIF($E145:AA145,"u")+COUNTIF($E145:AA145,"t"),
     INDEX(Roadmap!$D:$K,MATCH($E145,Roadmap!$D:$D,0)+COUNTIF($E145:AA145,"u")+COUNTIF($E145:AA145,"t")+COUNTIF($E145:AA145,"¶")+COUNTIF($E145:AA145,"²")+COUNTIF($E145:AA145,"µ")+COUNTIF($E145:AA145,1),ColTypeEcheance)),
  IF(LEN(AA145)=1,
  IF(LEN(INDEX(Roadmap!$D:$K,MATCH($E145,Roadmap!$D:$D,0)-1+COUNTIF($E145:AA145,"u")+COUNTIF($E145:AA145,"t")+COUNTIF($E145:AA145,"¶")+COUNTIF($E145:AA145,"²")+COUNTIF($E145:AA145,"µ")+COUNTIF($E145:AA145,1),ColDescriptionCourte))&gt;1,
HYPERLINK("#Roadmap!C"&amp; MATCH($E145,Roadmap!$D:$D,0)+COUNTIF($E145:AA145,"u")+COUNTIF($E145:AA145,"t")+COUNTIF($E145:AA145,"¶")+COUNTIF($E145:AA145,"²")+COUNTIF($E145:AA145,"µ")+COUNTIF($E145:AA145,1)-1,INDEX(Roadmap!$D:$K,MATCH($E145,Roadmap!$D:$D,0)-1+COUNTIF($E145:AA145,"u")+COUNTIF($E145:AA145,"t")+COUNTIF($E145:AA145,"¶")+COUNTIF($E145:AA145,"²")+COUNTIF($E145:AA145,"µ")+COUNTIF($E145:AA145,1),ColDescriptionCourte)),""),
  "")),"")</f>
        <v/>
      </c>
      <c r="AC145" s="40" t="str">
        <f ca="1">IFERROR(IF(AND(
  INDEX(Roadmap!$D:$K,MATCH($E145,Roadmap!$D:$D,0)+COUNTIF($E145:AB145,"u")+COUNTIF($E145:AB145,"t")+COUNTIF($E145:AB145,"¶")+COUNTIF($E145:AB145,"²")+COUNTIF($E145:AB145,"µ")+COUNTIF($E145:AB145,1),ColLivraison)=AC$6,
  VLOOKUP($E145,INDIRECT("tri!"&amp; CHAR(64+ C0Col) &amp;":"&amp; CHAR(65+C0Col)),2,FALSE)&gt;COUNTIF($E145:AB145,"u")+COUNTIF($E145:AB145,"t")+COUNTIF($E145:AB145,"¶")+COUNTIF($E145:AB145,"²")+COUNTIF($E145:AB145,"µ")+COUNTIF($E145:AB145,1)),
HYPERLINK("#Roadmap!C"&amp; MATCH($E145,Roadmap!$D:$D,0)+COUNTIF($E145:AB145,"u")+COUNTIF($E145:AB145,"t"),
     INDEX(Roadmap!$D:$K,MATCH($E145,Roadmap!$D:$D,0)+COUNTIF($E145:AB145,"u")+COUNTIF($E145:AB145,"t")+COUNTIF($E145:AB145,"¶")+COUNTIF($E145:AB145,"²")+COUNTIF($E145:AB145,"µ")+COUNTIF($E145:AB145,1),ColTypeEcheance)),
  IF(LEN(AB145)=1,
  IF(LEN(INDEX(Roadmap!$D:$K,MATCH($E145,Roadmap!$D:$D,0)-1+COUNTIF($E145:AB145,"u")+COUNTIF($E145:AB145,"t")+COUNTIF($E145:AB145,"¶")+COUNTIF($E145:AB145,"²")+COUNTIF($E145:AB145,"µ")+COUNTIF($E145:AB145,1),ColDescriptionCourte))&gt;1,
HYPERLINK("#Roadmap!C"&amp; MATCH($E145,Roadmap!$D:$D,0)+COUNTIF($E145:AB145,"u")+COUNTIF($E145:AB145,"t")+COUNTIF($E145:AB145,"¶")+COUNTIF($E145:AB145,"²")+COUNTIF($E145:AB145,"µ")+COUNTIF($E145:AB145,1)-1,INDEX(Roadmap!$D:$K,MATCH($E145,Roadmap!$D:$D,0)-1+COUNTIF($E145:AB145,"u")+COUNTIF($E145:AB145,"t")+COUNTIF($E145:AB145,"¶")+COUNTIF($E145:AB145,"²")+COUNTIF($E145:AB145,"µ")+COUNTIF($E145:AB145,1),ColDescriptionCourte)),""),
  "")),"")</f>
        <v/>
      </c>
      <c r="AD145" s="40" t="str">
        <f ca="1">IFERROR(IF(AND(
  INDEX(Roadmap!$D:$K,MATCH($E145,Roadmap!$D:$D,0)+COUNTIF($E145:AC145,"u")+COUNTIF($E145:AC145,"t")+COUNTIF($E145:AC145,"¶")+COUNTIF($E145:AC145,"²")+COUNTIF($E145:AC145,"µ")+COUNTIF($E145:AC145,1),ColLivraison)=AD$6,
  VLOOKUP($E145,INDIRECT("tri!"&amp; CHAR(64+ C0Col) &amp;":"&amp; CHAR(65+C0Col)),2,FALSE)&gt;COUNTIF($E145:AC145,"u")+COUNTIF($E145:AC145,"t")+COUNTIF($E145:AC145,"¶")+COUNTIF($E145:AC145,"²")+COUNTIF($E145:AC145,"µ")+COUNTIF($E145:AC145,1)),
HYPERLINK("#Roadmap!C"&amp; MATCH($E145,Roadmap!$D:$D,0)+COUNTIF($E145:AC145,"u")+COUNTIF($E145:AC145,"t"),
     INDEX(Roadmap!$D:$K,MATCH($E145,Roadmap!$D:$D,0)+COUNTIF($E145:AC145,"u")+COUNTIF($E145:AC145,"t")+COUNTIF($E145:AC145,"¶")+COUNTIF($E145:AC145,"²")+COUNTIF($E145:AC145,"µ")+COUNTIF($E145:AC145,1),ColTypeEcheance)),
  IF(LEN(AC145)=1,
  IF(LEN(INDEX(Roadmap!$D:$K,MATCH($E145,Roadmap!$D:$D,0)-1+COUNTIF($E145:AC145,"u")+COUNTIF($E145:AC145,"t")+COUNTIF($E145:AC145,"¶")+COUNTIF($E145:AC145,"²")+COUNTIF($E145:AC145,"µ")+COUNTIF($E145:AC145,1),ColDescriptionCourte))&gt;1,
HYPERLINK("#Roadmap!C"&amp; MATCH($E145,Roadmap!$D:$D,0)+COUNTIF($E145:AC145,"u")+COUNTIF($E145:AC145,"t")+COUNTIF($E145:AC145,"¶")+COUNTIF($E145:AC145,"²")+COUNTIF($E145:AC145,"µ")+COUNTIF($E145:AC145,1)-1,INDEX(Roadmap!$D:$K,MATCH($E145,Roadmap!$D:$D,0)-1+COUNTIF($E145:AC145,"u")+COUNTIF($E145:AC145,"t")+COUNTIF($E145:AC145,"¶")+COUNTIF($E145:AC145,"²")+COUNTIF($E145:AC145,"µ")+COUNTIF($E145:AC145,1),ColDescriptionCourte)),""),
  "")),"")</f>
        <v/>
      </c>
      <c r="AE145" s="40" t="str">
        <f ca="1">IFERROR(IF(AND(
  INDEX(Roadmap!$D:$K,MATCH($E145,Roadmap!$D:$D,0)+COUNTIF($E145:AD145,"u")+COUNTIF($E145:AD145,"t")+COUNTIF($E145:AD145,"¶")+COUNTIF($E145:AD145,"²")+COUNTIF($E145:AD145,"µ")+COUNTIF($E145:AD145,1),ColLivraison)=AE$6,
  VLOOKUP($E145,INDIRECT("tri!"&amp; CHAR(64+ C0Col) &amp;":"&amp; CHAR(65+C0Col)),2,FALSE)&gt;COUNTIF($E145:AD145,"u")+COUNTIF($E145:AD145,"t")+COUNTIF($E145:AD145,"¶")+COUNTIF($E145:AD145,"²")+COUNTIF($E145:AD145,"µ")+COUNTIF($E145:AD145,1)),
HYPERLINK("#Roadmap!C"&amp; MATCH($E145,Roadmap!$D:$D,0)+COUNTIF($E145:AD145,"u")+COUNTIF($E145:AD145,"t"),
     INDEX(Roadmap!$D:$K,MATCH($E145,Roadmap!$D:$D,0)+COUNTIF($E145:AD145,"u")+COUNTIF($E145:AD145,"t")+COUNTIF($E145:AD145,"¶")+COUNTIF($E145:AD145,"²")+COUNTIF($E145:AD145,"µ")+COUNTIF($E145:AD145,1),ColTypeEcheance)),
  IF(LEN(AD145)=1,
  IF(LEN(INDEX(Roadmap!$D:$K,MATCH($E145,Roadmap!$D:$D,0)-1+COUNTIF($E145:AD145,"u")+COUNTIF($E145:AD145,"t")+COUNTIF($E145:AD145,"¶")+COUNTIF($E145:AD145,"²")+COUNTIF($E145:AD145,"µ")+COUNTIF($E145:AD145,1),ColDescriptionCourte))&gt;1,
HYPERLINK("#Roadmap!C"&amp; MATCH($E145,Roadmap!$D:$D,0)+COUNTIF($E145:AD145,"u")+COUNTIF($E145:AD145,"t")+COUNTIF($E145:AD145,"¶")+COUNTIF($E145:AD145,"²")+COUNTIF($E145:AD145,"µ")+COUNTIF($E145:AD145,1)-1,INDEX(Roadmap!$D:$K,MATCH($E145,Roadmap!$D:$D,0)-1+COUNTIF($E145:AD145,"u")+COUNTIF($E145:AD145,"t")+COUNTIF($E145:AD145,"¶")+COUNTIF($E145:AD145,"²")+COUNTIF($E145:AD145,"µ")+COUNTIF($E145:AD145,1),ColDescriptionCourte)),""),
  "")),"")</f>
        <v/>
      </c>
      <c r="AF145" s="40" t="str">
        <f ca="1">IFERROR(IF(AND(
  INDEX(Roadmap!$D:$K,MATCH($E145,Roadmap!$D:$D,0)+COUNTIF($E145:AE145,"u")+COUNTIF($E145:AE145,"t")+COUNTIF($E145:AE145,"¶")+COUNTIF($E145:AE145,"²")+COUNTIF($E145:AE145,"µ")+COUNTIF($E145:AE145,1),ColLivraison)=AF$6,
  VLOOKUP($E145,INDIRECT("tri!"&amp; CHAR(64+ C0Col) &amp;":"&amp; CHAR(65+C0Col)),2,FALSE)&gt;COUNTIF($E145:AE145,"u")+COUNTIF($E145:AE145,"t")+COUNTIF($E145:AE145,"¶")+COUNTIF($E145:AE145,"²")+COUNTIF($E145:AE145,"µ")+COUNTIF($E145:AE145,1)),
HYPERLINK("#Roadmap!C"&amp; MATCH($E145,Roadmap!$D:$D,0)+COUNTIF($E145:AE145,"u")+COUNTIF($E145:AE145,"t"),
     INDEX(Roadmap!$D:$K,MATCH($E145,Roadmap!$D:$D,0)+COUNTIF($E145:AE145,"u")+COUNTIF($E145:AE145,"t")+COUNTIF($E145:AE145,"¶")+COUNTIF($E145:AE145,"²")+COUNTIF($E145:AE145,"µ")+COUNTIF($E145:AE145,1),ColTypeEcheance)),
  IF(LEN(AE145)=1,
  IF(LEN(INDEX(Roadmap!$D:$K,MATCH($E145,Roadmap!$D:$D,0)-1+COUNTIF($E145:AE145,"u")+COUNTIF($E145:AE145,"t")+COUNTIF($E145:AE145,"¶")+COUNTIF($E145:AE145,"²")+COUNTIF($E145:AE145,"µ")+COUNTIF($E145:AE145,1),ColDescriptionCourte))&gt;1,
HYPERLINK("#Roadmap!C"&amp; MATCH($E145,Roadmap!$D:$D,0)+COUNTIF($E145:AE145,"u")+COUNTIF($E145:AE145,"t")+COUNTIF($E145:AE145,"¶")+COUNTIF($E145:AE145,"²")+COUNTIF($E145:AE145,"µ")+COUNTIF($E145:AE145,1)-1,INDEX(Roadmap!$D:$K,MATCH($E145,Roadmap!$D:$D,0)-1+COUNTIF($E145:AE145,"u")+COUNTIF($E145:AE145,"t")+COUNTIF($E145:AE145,"¶")+COUNTIF($E145:AE145,"²")+COUNTIF($E145:AE145,"µ")+COUNTIF($E145:AE145,1),ColDescriptionCourte)),""),
  "")),"")</f>
        <v/>
      </c>
      <c r="AG145" s="40" t="str">
        <f ca="1">IFERROR(IF(AND(
  INDEX(Roadmap!$D:$K,MATCH($E145,Roadmap!$D:$D,0)+COUNTIF($E145:AF145,"u")+COUNTIF($E145:AF145,"t")+COUNTIF($E145:AF145,"¶")+COUNTIF($E145:AF145,"²")+COUNTIF($E145:AF145,"µ")+COUNTIF($E145:AF145,1),ColLivraison)=AG$6,
  VLOOKUP($E145,INDIRECT("tri!"&amp; CHAR(64+ C0Col) &amp;":"&amp; CHAR(65+C0Col)),2,FALSE)&gt;COUNTIF($E145:AF145,"u")+COUNTIF($E145:AF145,"t")+COUNTIF($E145:AF145,"¶")+COUNTIF($E145:AF145,"²")+COUNTIF($E145:AF145,"µ")+COUNTIF($E145:AF145,1)),
HYPERLINK("#Roadmap!C"&amp; MATCH($E145,Roadmap!$D:$D,0)+COUNTIF($E145:AF145,"u")+COUNTIF($E145:AF145,"t"),
     INDEX(Roadmap!$D:$K,MATCH($E145,Roadmap!$D:$D,0)+COUNTIF($E145:AF145,"u")+COUNTIF($E145:AF145,"t")+COUNTIF($E145:AF145,"¶")+COUNTIF($E145:AF145,"²")+COUNTIF($E145:AF145,"µ")+COUNTIF($E145:AF145,1),ColTypeEcheance)),
  IF(LEN(AF145)=1,
  IF(LEN(INDEX(Roadmap!$D:$K,MATCH($E145,Roadmap!$D:$D,0)-1+COUNTIF($E145:AF145,"u")+COUNTIF($E145:AF145,"t")+COUNTIF($E145:AF145,"¶")+COUNTIF($E145:AF145,"²")+COUNTIF($E145:AF145,"µ")+COUNTIF($E145:AF145,1),ColDescriptionCourte))&gt;1,
HYPERLINK("#Roadmap!C"&amp; MATCH($E145,Roadmap!$D:$D,0)+COUNTIF($E145:AF145,"u")+COUNTIF($E145:AF145,"t")+COUNTIF($E145:AF145,"¶")+COUNTIF($E145:AF145,"²")+COUNTIF($E145:AF145,"µ")+COUNTIF($E145:AF145,1)-1,INDEX(Roadmap!$D:$K,MATCH($E145,Roadmap!$D:$D,0)-1+COUNTIF($E145:AF145,"u")+COUNTIF($E145:AF145,"t")+COUNTIF($E145:AF145,"¶")+COUNTIF($E145:AF145,"²")+COUNTIF($E145:AF145,"µ")+COUNTIF($E145:AF145,1),ColDescriptionCourte)),""),
  "")),"")</f>
        <v/>
      </c>
    </row>
    <row r="146" spans="3:33" ht="14.25" customHeight="1">
      <c r="C146" s="1" t="str">
        <f t="shared" ca="1" si="52"/>
        <v/>
      </c>
      <c r="D146" s="1" t="str">
        <f t="shared" ca="1" si="53"/>
        <v/>
      </c>
      <c r="E146" s="35" t="str">
        <f t="shared" ca="1" si="51"/>
        <v/>
      </c>
      <c r="F146" s="39" t="str">
        <f ca="1">IFERROR(IF(AND(
  INDEX(Roadmap!$D:$K,MATCH($E146,Roadmap!$D:$D,0)+COUNTIF($E146:E146,"u")+COUNTIF($E146:E146,"t")+COUNTIF($E146:E146,"¶")+COUNTIF($E146:E146,"²")+COUNTIF($E146:E146,"µ")+COUNTIF($E146:E146,1),ColLivraison)=F$6,
  VLOOKUP($E146,INDIRECT("tri!"&amp; CHAR(64+ C0Col) &amp;":"&amp; CHAR(65+C0Col)),2,FALSE)&gt;COUNTIF($E146:E146,"u")+COUNTIF($E146:E146,"t")+COUNTIF($E146:E146,"¶")+COUNTIF($E146:E146,"²")+COUNTIF($E146:E146,"µ")+COUNTIF($E146:E146,1)),
HYPERLINK("#Roadmap!C"&amp; MATCH($E146,Roadmap!$D:$D,0)+COUNTIF($E146:E146,"u")+COUNTIF($E146:E146,"t"),
     INDEX(Roadmap!$D:$K,MATCH($E146,Roadmap!$D:$D,0)+COUNTIF($E146:E146,"u")+COUNTIF($E146:E146,"t")+COUNTIF($E146:E146,"¶")+COUNTIF($E146:E146,"²")+COUNTIF($E146:E146,"µ")+COUNTIF($E146:E146,1),ColTypeEcheance)),
  IF(LEN(E146)=1,
  IF(LEN(INDEX(Roadmap!$D:$K,MATCH($E146,Roadmap!$D:$D,0)-1+COUNTIF($E146:E146,"u")+COUNTIF($E146:E146,"t")+COUNTIF($E146:E146,"¶")+COUNTIF($E146:E146,"²")+COUNTIF($E146:E146,"µ")+COUNTIF($E146:E146,1),ColDescriptionCourte))&gt;1,
HYPERLINK("#Roadmap!C"&amp; MATCH($E146,Roadmap!$D:$D,0)+COUNTIF($E146:E146,"u")+COUNTIF($E146:E146,"t")+COUNTIF($E146:E146,"¶")+COUNTIF($E146:E146,"²")+COUNTIF($E146:E146,"µ")+COUNTIF($E146:E146,1)-1,INDEX(Roadmap!$D:$K,MATCH($E146,Roadmap!$D:$D,0)-1+COUNTIF($E146:E146,"u")+COUNTIF($E146:E146,"t")+COUNTIF($E146:E146,"¶")+COUNTIF($E146:E146,"²")+COUNTIF($E146:E146,"µ")+COUNTIF($E146:E146,1),ColDescriptionCourte)),""),
  "")),"")</f>
        <v/>
      </c>
      <c r="G146" s="40" t="str">
        <f ca="1">IFERROR(IF(AND(
  INDEX(Roadmap!$D:$K,MATCH($E146,Roadmap!$D:$D,0)+COUNTIF($E146:F146,"u")+COUNTIF($E146:F146,"t")+COUNTIF($E146:F146,"¶")+COUNTIF($E146:F146,"²")+COUNTIF($E146:F146,"µ")+COUNTIF($E146:F146,1),ColLivraison)=G$6,
  VLOOKUP($E146,INDIRECT("tri!"&amp; CHAR(64+ C0Col) &amp;":"&amp; CHAR(65+C0Col)),2,FALSE)&gt;COUNTIF($E146:F146,"u")+COUNTIF($E146:F146,"t")+COUNTIF($E146:F146,"¶")+COUNTIF($E146:F146,"²")+COUNTIF($E146:F146,"µ")+COUNTIF($E146:F146,1)),
HYPERLINK("#Roadmap!C"&amp; MATCH($E146,Roadmap!$D:$D,0)+COUNTIF($E146:F146,"u")+COUNTIF($E146:F146,"t"),
     INDEX(Roadmap!$D:$K,MATCH($E146,Roadmap!$D:$D,0)+COUNTIF($E146:F146,"u")+COUNTIF($E146:F146,"t")+COUNTIF($E146:F146,"¶")+COUNTIF($E146:F146,"²")+COUNTIF($E146:F146,"µ")+COUNTIF($E146:F146,1),ColTypeEcheance)),
  IF(LEN(F146)=1,
  IF(LEN(INDEX(Roadmap!$D:$K,MATCH($E146,Roadmap!$D:$D,0)-1+COUNTIF($E146:F146,"u")+COUNTIF($E146:F146,"t")+COUNTIF($E146:F146,"¶")+COUNTIF($E146:F146,"²")+COUNTIF($E146:F146,"µ")+COUNTIF($E146:F146,1),ColDescriptionCourte))&gt;1,
HYPERLINK("#Roadmap!C"&amp; MATCH($E146,Roadmap!$D:$D,0)+COUNTIF($E146:F146,"u")+COUNTIF($E146:F146,"t")+COUNTIF($E146:F146,"¶")+COUNTIF($E146:F146,"²")+COUNTIF($E146:F146,"µ")+COUNTIF($E146:F146,1)-1,INDEX(Roadmap!$D:$K,MATCH($E146,Roadmap!$D:$D,0)-1+COUNTIF($E146:F146,"u")+COUNTIF($E146:F146,"t")+COUNTIF($E146:F146,"¶")+COUNTIF($E146:F146,"²")+COUNTIF($E146:F146,"µ")+COUNTIF($E146:F146,1),ColDescriptionCourte)),""),
  "")),"")</f>
        <v/>
      </c>
      <c r="H146" s="40" t="str">
        <f ca="1">IFERROR(IF(AND(
  INDEX(Roadmap!$D:$K,MATCH($E146,Roadmap!$D:$D,0)+COUNTIF($E146:G146,"u")+COUNTIF($E146:G146,"t")+COUNTIF($E146:G146,"¶")+COUNTIF($E146:G146,"²")+COUNTIF($E146:G146,"µ")+COUNTIF($E146:G146,1),ColLivraison)=H$6,
  VLOOKUP($E146,INDIRECT("tri!"&amp; CHAR(64+ C0Col) &amp;":"&amp; CHAR(65+C0Col)),2,FALSE)&gt;COUNTIF($E146:G146,"u")+COUNTIF($E146:G146,"t")+COUNTIF($E146:G146,"¶")+COUNTIF($E146:G146,"²")+COUNTIF($E146:G146,"µ")+COUNTIF($E146:G146,1)),
HYPERLINK("#Roadmap!C"&amp; MATCH($E146,Roadmap!$D:$D,0)+COUNTIF($E146:G146,"u")+COUNTIF($E146:G146,"t"),
     INDEX(Roadmap!$D:$K,MATCH($E146,Roadmap!$D:$D,0)+COUNTIF($E146:G146,"u")+COUNTIF($E146:G146,"t")+COUNTIF($E146:G146,"¶")+COUNTIF($E146:G146,"²")+COUNTIF($E146:G146,"µ")+COUNTIF($E146:G146,1),ColTypeEcheance)),
  IF(LEN(G146)=1,
  IF(LEN(INDEX(Roadmap!$D:$K,MATCH($E146,Roadmap!$D:$D,0)-1+COUNTIF($E146:G146,"u")+COUNTIF($E146:G146,"t")+COUNTIF($E146:G146,"¶")+COUNTIF($E146:G146,"²")+COUNTIF($E146:G146,"µ")+COUNTIF($E146:G146,1),ColDescriptionCourte))&gt;1,
HYPERLINK("#Roadmap!C"&amp; MATCH($E146,Roadmap!$D:$D,0)+COUNTIF($E146:G146,"u")+COUNTIF($E146:G146,"t")+COUNTIF($E146:G146,"¶")+COUNTIF($E146:G146,"²")+COUNTIF($E146:G146,"µ")+COUNTIF($E146:G146,1)-1,INDEX(Roadmap!$D:$K,MATCH($E146,Roadmap!$D:$D,0)-1+COUNTIF($E146:G146,"u")+COUNTIF($E146:G146,"t")+COUNTIF($E146:G146,"¶")+COUNTIF($E146:G146,"²")+COUNTIF($E146:G146,"µ")+COUNTIF($E146:G146,1),ColDescriptionCourte)),""),
  "")),"")</f>
        <v/>
      </c>
      <c r="I146" s="40" t="str">
        <f ca="1">IFERROR(IF(AND(
  INDEX(Roadmap!$D:$K,MATCH($E146,Roadmap!$D:$D,0)+COUNTIF($E146:H146,"u")+COUNTIF($E146:H146,"t")+COUNTIF($E146:H146,"¶")+COUNTIF($E146:H146,"²")+COUNTIF($E146:H146,"µ")+COUNTIF($E146:H146,1),ColLivraison)=I$6,
  VLOOKUP($E146,INDIRECT("tri!"&amp; CHAR(64+ C0Col) &amp;":"&amp; CHAR(65+C0Col)),2,FALSE)&gt;COUNTIF($E146:H146,"u")+COUNTIF($E146:H146,"t")+COUNTIF($E146:H146,"¶")+COUNTIF($E146:H146,"²")+COUNTIF($E146:H146,"µ")+COUNTIF($E146:H146,1)),
HYPERLINK("#Roadmap!C"&amp; MATCH($E146,Roadmap!$D:$D,0)+COUNTIF($E146:H146,"u")+COUNTIF($E146:H146,"t"),
     INDEX(Roadmap!$D:$K,MATCH($E146,Roadmap!$D:$D,0)+COUNTIF($E146:H146,"u")+COUNTIF($E146:H146,"t")+COUNTIF($E146:H146,"¶")+COUNTIF($E146:H146,"²")+COUNTIF($E146:H146,"µ")+COUNTIF($E146:H146,1),ColTypeEcheance)),
  IF(LEN(H146)=1,
  IF(LEN(INDEX(Roadmap!$D:$K,MATCH($E146,Roadmap!$D:$D,0)-1+COUNTIF($E146:H146,"u")+COUNTIF($E146:H146,"t")+COUNTIF($E146:H146,"¶")+COUNTIF($E146:H146,"²")+COUNTIF($E146:H146,"µ")+COUNTIF($E146:H146,1),ColDescriptionCourte))&gt;1,
HYPERLINK("#Roadmap!C"&amp; MATCH($E146,Roadmap!$D:$D,0)+COUNTIF($E146:H146,"u")+COUNTIF($E146:H146,"t")+COUNTIF($E146:H146,"¶")+COUNTIF($E146:H146,"²")+COUNTIF($E146:H146,"µ")+COUNTIF($E146:H146,1)-1,INDEX(Roadmap!$D:$K,MATCH($E146,Roadmap!$D:$D,0)-1+COUNTIF($E146:H146,"u")+COUNTIF($E146:H146,"t")+COUNTIF($E146:H146,"¶")+COUNTIF($E146:H146,"²")+COUNTIF($E146:H146,"µ")+COUNTIF($E146:H146,1),ColDescriptionCourte)),""),
  "")),"")</f>
        <v/>
      </c>
      <c r="J146" s="40" t="str">
        <f ca="1">IFERROR(IF(AND(
  INDEX(Roadmap!$D:$K,MATCH($E146,Roadmap!$D:$D,0)+COUNTIF($E146:I146,"u")+COUNTIF($E146:I146,"t")+COUNTIF($E146:I146,"¶")+COUNTIF($E146:I146,"²")+COUNTIF($E146:I146,"µ")+COUNTIF($E146:I146,1),ColLivraison)=J$6,
  VLOOKUP($E146,INDIRECT("tri!"&amp; CHAR(64+ C0Col) &amp;":"&amp; CHAR(65+C0Col)),2,FALSE)&gt;COUNTIF($E146:I146,"u")+COUNTIF($E146:I146,"t")+COUNTIF($E146:I146,"¶")+COUNTIF($E146:I146,"²")+COUNTIF($E146:I146,"µ")+COUNTIF($E146:I146,1)),
HYPERLINK("#Roadmap!C"&amp; MATCH($E146,Roadmap!$D:$D,0)+COUNTIF($E146:I146,"u")+COUNTIF($E146:I146,"t"),
     INDEX(Roadmap!$D:$K,MATCH($E146,Roadmap!$D:$D,0)+COUNTIF($E146:I146,"u")+COUNTIF($E146:I146,"t")+COUNTIF($E146:I146,"¶")+COUNTIF($E146:I146,"²")+COUNTIF($E146:I146,"µ")+COUNTIF($E146:I146,1),ColTypeEcheance)),
  IF(LEN(I146)=1,
  IF(LEN(INDEX(Roadmap!$D:$K,MATCH($E146,Roadmap!$D:$D,0)-1+COUNTIF($E146:I146,"u")+COUNTIF($E146:I146,"t")+COUNTIF($E146:I146,"¶")+COUNTIF($E146:I146,"²")+COUNTIF($E146:I146,"µ")+COUNTIF($E146:I146,1),ColDescriptionCourte))&gt;1,
HYPERLINK("#Roadmap!C"&amp; MATCH($E146,Roadmap!$D:$D,0)+COUNTIF($E146:I146,"u")+COUNTIF($E146:I146,"t")+COUNTIF($E146:I146,"¶")+COUNTIF($E146:I146,"²")+COUNTIF($E146:I146,"µ")+COUNTIF($E146:I146,1)-1,INDEX(Roadmap!$D:$K,MATCH($E146,Roadmap!$D:$D,0)-1+COUNTIF($E146:I146,"u")+COUNTIF($E146:I146,"t")+COUNTIF($E146:I146,"¶")+COUNTIF($E146:I146,"²")+COUNTIF($E146:I146,"µ")+COUNTIF($E146:I146,1),ColDescriptionCourte)),""),
  "")),"")</f>
        <v/>
      </c>
      <c r="K146" s="40" t="str">
        <f ca="1">IFERROR(IF(AND(
  INDEX(Roadmap!$D:$K,MATCH($E146,Roadmap!$D:$D,0)+COUNTIF($E146:J146,"u")+COUNTIF($E146:J146,"t")+COUNTIF($E146:J146,"¶")+COUNTIF($E146:J146,"²")+COUNTIF($E146:J146,"µ")+COUNTIF($E146:J146,1),ColLivraison)=K$6,
  VLOOKUP($E146,INDIRECT("tri!"&amp; CHAR(64+ C0Col) &amp;":"&amp; CHAR(65+C0Col)),2,FALSE)&gt;COUNTIF($E146:J146,"u")+COUNTIF($E146:J146,"t")+COUNTIF($E146:J146,"¶")+COUNTIF($E146:J146,"²")+COUNTIF($E146:J146,"µ")+COUNTIF($E146:J146,1)),
HYPERLINK("#Roadmap!C"&amp; MATCH($E146,Roadmap!$D:$D,0)+COUNTIF($E146:J146,"u")+COUNTIF($E146:J146,"t"),
     INDEX(Roadmap!$D:$K,MATCH($E146,Roadmap!$D:$D,0)+COUNTIF($E146:J146,"u")+COUNTIF($E146:J146,"t")+COUNTIF($E146:J146,"¶")+COUNTIF($E146:J146,"²")+COUNTIF($E146:J146,"µ")+COUNTIF($E146:J146,1),ColTypeEcheance)),
  IF(LEN(J146)=1,
  IF(LEN(INDEX(Roadmap!$D:$K,MATCH($E146,Roadmap!$D:$D,0)-1+COUNTIF($E146:J146,"u")+COUNTIF($E146:J146,"t")+COUNTIF($E146:J146,"¶")+COUNTIF($E146:J146,"²")+COUNTIF($E146:J146,"µ")+COUNTIF($E146:J146,1),ColDescriptionCourte))&gt;1,
HYPERLINK("#Roadmap!C"&amp; MATCH($E146,Roadmap!$D:$D,0)+COUNTIF($E146:J146,"u")+COUNTIF($E146:J146,"t")+COUNTIF($E146:J146,"¶")+COUNTIF($E146:J146,"²")+COUNTIF($E146:J146,"µ")+COUNTIF($E146:J146,1)-1,INDEX(Roadmap!$D:$K,MATCH($E146,Roadmap!$D:$D,0)-1+COUNTIF($E146:J146,"u")+COUNTIF($E146:J146,"t")+COUNTIF($E146:J146,"¶")+COUNTIF($E146:J146,"²")+COUNTIF($E146:J146,"µ")+COUNTIF($E146:J146,1),ColDescriptionCourte)),""),
  "")),"")</f>
        <v/>
      </c>
      <c r="L146" s="39" t="str">
        <f ca="1">IFERROR(IF(AND(
  INDEX(Roadmap!$D:$K,MATCH($E146,Roadmap!$D:$D,0)+COUNTIF($E146:K146,"u")+COUNTIF($E146:K146,"t")+COUNTIF($E146:K146,"¶")+COUNTIF($E146:K146,"²")+COUNTIF($E146:K146,"µ")+COUNTIF($E146:K146,1),ColLivraison)=L$6,
  VLOOKUP($E146,INDIRECT("tri!"&amp; CHAR(64+ C0Col) &amp;":"&amp; CHAR(65+C0Col)),2,FALSE)&gt;COUNTIF($E146:K146,"u")+COUNTIF($E146:K146,"t")+COUNTIF($E146:K146,"¶")+COUNTIF($E146:K146,"²")+COUNTIF($E146:K146,"µ")+COUNTIF($E146:K146,1)),
HYPERLINK("#Roadmap!C"&amp; MATCH($E146,Roadmap!$D:$D,0)+COUNTIF($E146:K146,"u")+COUNTIF($E146:K146,"t"),
     INDEX(Roadmap!$D:$K,MATCH($E146,Roadmap!$D:$D,0)+COUNTIF($E146:K146,"u")+COUNTIF($E146:K146,"t")+COUNTIF($E146:K146,"¶")+COUNTIF($E146:K146,"²")+COUNTIF($E146:K146,"µ")+COUNTIF($E146:K146,1),ColTypeEcheance)),
  IF(LEN(K146)=1,
  IF(LEN(INDEX(Roadmap!$D:$K,MATCH($E146,Roadmap!$D:$D,0)-1+COUNTIF($E146:K146,"u")+COUNTIF($E146:K146,"t")+COUNTIF($E146:K146,"¶")+COUNTIF($E146:K146,"²")+COUNTIF($E146:K146,"µ")+COUNTIF($E146:K146,1),ColDescriptionCourte))&gt;1,
HYPERLINK("#Roadmap!C"&amp; MATCH($E146,Roadmap!$D:$D,0)+COUNTIF($E146:K146,"u")+COUNTIF($E146:K146,"t")+COUNTIF($E146:K146,"¶")+COUNTIF($E146:K146,"²")+COUNTIF($E146:K146,"µ")+COUNTIF($E146:K146,1)-1,INDEX(Roadmap!$D:$K,MATCH($E146,Roadmap!$D:$D,0)-1+COUNTIF($E146:K146,"u")+COUNTIF($E146:K146,"t")+COUNTIF($E146:K146,"¶")+COUNTIF($E146:K146,"²")+COUNTIF($E146:K146,"µ")+COUNTIF($E146:K146,1),ColDescriptionCourte)),""),
  "")),"")</f>
        <v/>
      </c>
      <c r="M146" s="40" t="str">
        <f ca="1">IFERROR(IF(AND(
  INDEX(Roadmap!$D:$K,MATCH($E146,Roadmap!$D:$D,0)+COUNTIF($E146:L146,"u")+COUNTIF($E146:L146,"t")+COUNTIF($E146:L146,"¶")+COUNTIF($E146:L146,"²")+COUNTIF($E146:L146,"µ")+COUNTIF($E146:L146,1),ColLivraison)=M$6,
  VLOOKUP($E146,INDIRECT("tri!"&amp; CHAR(64+ C0Col) &amp;":"&amp; CHAR(65+C0Col)),2,FALSE)&gt;COUNTIF($E146:L146,"u")+COUNTIF($E146:L146,"t")+COUNTIF($E146:L146,"¶")+COUNTIF($E146:L146,"²")+COUNTIF($E146:L146,"µ")+COUNTIF($E146:L146,1)),
HYPERLINK("#Roadmap!C"&amp; MATCH($E146,Roadmap!$D:$D,0)+COUNTIF($E146:L146,"u")+COUNTIF($E146:L146,"t"),
     INDEX(Roadmap!$D:$K,MATCH($E146,Roadmap!$D:$D,0)+COUNTIF($E146:L146,"u")+COUNTIF($E146:L146,"t")+COUNTIF($E146:L146,"¶")+COUNTIF($E146:L146,"²")+COUNTIF($E146:L146,"µ")+COUNTIF($E146:L146,1),ColTypeEcheance)),
  IF(LEN(L146)=1,
  IF(LEN(INDEX(Roadmap!$D:$K,MATCH($E146,Roadmap!$D:$D,0)-1+COUNTIF($E146:L146,"u")+COUNTIF($E146:L146,"t")+COUNTIF($E146:L146,"¶")+COUNTIF($E146:L146,"²")+COUNTIF($E146:L146,"µ")+COUNTIF($E146:L146,1),ColDescriptionCourte))&gt;1,
HYPERLINK("#Roadmap!C"&amp; MATCH($E146,Roadmap!$D:$D,0)+COUNTIF($E146:L146,"u")+COUNTIF($E146:L146,"t")+COUNTIF($E146:L146,"¶")+COUNTIF($E146:L146,"²")+COUNTIF($E146:L146,"µ")+COUNTIF($E146:L146,1)-1,INDEX(Roadmap!$D:$K,MATCH($E146,Roadmap!$D:$D,0)-1+COUNTIF($E146:L146,"u")+COUNTIF($E146:L146,"t")+COUNTIF($E146:L146,"¶")+COUNTIF($E146:L146,"²")+COUNTIF($E146:L146,"µ")+COUNTIF($E146:L146,1),ColDescriptionCourte)),""),
  "")),"")</f>
        <v/>
      </c>
      <c r="N146" s="40" t="str">
        <f ca="1">IFERROR(IF(AND(
  INDEX(Roadmap!$D:$K,MATCH($E146,Roadmap!$D:$D,0)+COUNTIF($E146:M146,"u")+COUNTIF($E146:M146,"t")+COUNTIF($E146:M146,"¶")+COUNTIF($E146:M146,"²")+COUNTIF($E146:M146,"µ")+COUNTIF($E146:M146,1),ColLivraison)=N$6,
  VLOOKUP($E146,INDIRECT("tri!"&amp; CHAR(64+ C0Col) &amp;":"&amp; CHAR(65+C0Col)),2,FALSE)&gt;COUNTIF($E146:M146,"u")+COUNTIF($E146:M146,"t")+COUNTIF($E146:M146,"¶")+COUNTIF($E146:M146,"²")+COUNTIF($E146:M146,"µ")+COUNTIF($E146:M146,1)),
HYPERLINK("#Roadmap!C"&amp; MATCH($E146,Roadmap!$D:$D,0)+COUNTIF($E146:M146,"u")+COUNTIF($E146:M146,"t"),
     INDEX(Roadmap!$D:$K,MATCH($E146,Roadmap!$D:$D,0)+COUNTIF($E146:M146,"u")+COUNTIF($E146:M146,"t")+COUNTIF($E146:M146,"¶")+COUNTIF($E146:M146,"²")+COUNTIF($E146:M146,"µ")+COUNTIF($E146:M146,1),ColTypeEcheance)),
  IF(LEN(M146)=1,
  IF(LEN(INDEX(Roadmap!$D:$K,MATCH($E146,Roadmap!$D:$D,0)-1+COUNTIF($E146:M146,"u")+COUNTIF($E146:M146,"t")+COUNTIF($E146:M146,"¶")+COUNTIF($E146:M146,"²")+COUNTIF($E146:M146,"µ")+COUNTIF($E146:M146,1),ColDescriptionCourte))&gt;1,
HYPERLINK("#Roadmap!C"&amp; MATCH($E146,Roadmap!$D:$D,0)+COUNTIF($E146:M146,"u")+COUNTIF($E146:M146,"t")+COUNTIF($E146:M146,"¶")+COUNTIF($E146:M146,"²")+COUNTIF($E146:M146,"µ")+COUNTIF($E146:M146,1)-1,INDEX(Roadmap!$D:$K,MATCH($E146,Roadmap!$D:$D,0)-1+COUNTIF($E146:M146,"u")+COUNTIF($E146:M146,"t")+COUNTIF($E146:M146,"¶")+COUNTIF($E146:M146,"²")+COUNTIF($E146:M146,"µ")+COUNTIF($E146:M146,1),ColDescriptionCourte)),""),
  "")),"")</f>
        <v/>
      </c>
      <c r="O146" s="40" t="str">
        <f ca="1">IFERROR(IF(AND(
  INDEX(Roadmap!$D:$K,MATCH($E146,Roadmap!$D:$D,0)+COUNTIF($E146:N146,"u")+COUNTIF($E146:N146,"t")+COUNTIF($E146:N146,"¶")+COUNTIF($E146:N146,"²")+COUNTIF($E146:N146,"µ")+COUNTIF($E146:N146,1),ColLivraison)=O$6,
  VLOOKUP($E146,INDIRECT("tri!"&amp; CHAR(64+ C0Col) &amp;":"&amp; CHAR(65+C0Col)),2,FALSE)&gt;COUNTIF($E146:N146,"u")+COUNTIF($E146:N146,"t")+COUNTIF($E146:N146,"¶")+COUNTIF($E146:N146,"²")+COUNTIF($E146:N146,"µ")+COUNTIF($E146:N146,1)),
HYPERLINK("#Roadmap!C"&amp; MATCH($E146,Roadmap!$D:$D,0)+COUNTIF($E146:N146,"u")+COUNTIF($E146:N146,"t"),
     INDEX(Roadmap!$D:$K,MATCH($E146,Roadmap!$D:$D,0)+COUNTIF($E146:N146,"u")+COUNTIF($E146:N146,"t")+COUNTIF($E146:N146,"¶")+COUNTIF($E146:N146,"²")+COUNTIF($E146:N146,"µ")+COUNTIF($E146:N146,1),ColTypeEcheance)),
  IF(LEN(N146)=1,
  IF(LEN(INDEX(Roadmap!$D:$K,MATCH($E146,Roadmap!$D:$D,0)-1+COUNTIF($E146:N146,"u")+COUNTIF($E146:N146,"t")+COUNTIF($E146:N146,"¶")+COUNTIF($E146:N146,"²")+COUNTIF($E146:N146,"µ")+COUNTIF($E146:N146,1),ColDescriptionCourte))&gt;1,
HYPERLINK("#Roadmap!C"&amp; MATCH($E146,Roadmap!$D:$D,0)+COUNTIF($E146:N146,"u")+COUNTIF($E146:N146,"t")+COUNTIF($E146:N146,"¶")+COUNTIF($E146:N146,"²")+COUNTIF($E146:N146,"µ")+COUNTIF($E146:N146,1)-1,INDEX(Roadmap!$D:$K,MATCH($E146,Roadmap!$D:$D,0)-1+COUNTIF($E146:N146,"u")+COUNTIF($E146:N146,"t")+COUNTIF($E146:N146,"¶")+COUNTIF($E146:N146,"²")+COUNTIF($E146:N146,"µ")+COUNTIF($E146:N146,1),ColDescriptionCourte)),""),
  "")),"")</f>
        <v/>
      </c>
      <c r="P146" s="40" t="str">
        <f ca="1">IFERROR(IF(AND(
  INDEX(Roadmap!$D:$K,MATCH($E146,Roadmap!$D:$D,0)+COUNTIF($E146:O146,"u")+COUNTIF($E146:O146,"t")+COUNTIF($E146:O146,"¶")+COUNTIF($E146:O146,"²")+COUNTIF($E146:O146,"µ")+COUNTIF($E146:O146,1),ColLivraison)=P$6,
  VLOOKUP($E146,INDIRECT("tri!"&amp; CHAR(64+ C0Col) &amp;":"&amp; CHAR(65+C0Col)),2,FALSE)&gt;COUNTIF($E146:O146,"u")+COUNTIF($E146:O146,"t")+COUNTIF($E146:O146,"¶")+COUNTIF($E146:O146,"²")+COUNTIF($E146:O146,"µ")+COUNTIF($E146:O146,1)),
HYPERLINK("#Roadmap!C"&amp; MATCH($E146,Roadmap!$D:$D,0)+COUNTIF($E146:O146,"u")+COUNTIF($E146:O146,"t"),
     INDEX(Roadmap!$D:$K,MATCH($E146,Roadmap!$D:$D,0)+COUNTIF($E146:O146,"u")+COUNTIF($E146:O146,"t")+COUNTIF($E146:O146,"¶")+COUNTIF($E146:O146,"²")+COUNTIF($E146:O146,"µ")+COUNTIF($E146:O146,1),ColTypeEcheance)),
  IF(LEN(O146)=1,
  IF(LEN(INDEX(Roadmap!$D:$K,MATCH($E146,Roadmap!$D:$D,0)-1+COUNTIF($E146:O146,"u")+COUNTIF($E146:O146,"t")+COUNTIF($E146:O146,"¶")+COUNTIF($E146:O146,"²")+COUNTIF($E146:O146,"µ")+COUNTIF($E146:O146,1),ColDescriptionCourte))&gt;1,
HYPERLINK("#Roadmap!C"&amp; MATCH($E146,Roadmap!$D:$D,0)+COUNTIF($E146:O146,"u")+COUNTIF($E146:O146,"t")+COUNTIF($E146:O146,"¶")+COUNTIF($E146:O146,"²")+COUNTIF($E146:O146,"µ")+COUNTIF($E146:O146,1)-1,INDEX(Roadmap!$D:$K,MATCH($E146,Roadmap!$D:$D,0)-1+COUNTIF($E146:O146,"u")+COUNTIF($E146:O146,"t")+COUNTIF($E146:O146,"¶")+COUNTIF($E146:O146,"²")+COUNTIF($E146:O146,"µ")+COUNTIF($E146:O146,1),ColDescriptionCourte)),""),
  "")),"")</f>
        <v/>
      </c>
      <c r="Q146" s="40" t="str">
        <f ca="1">IFERROR(IF(AND(
  INDEX(Roadmap!$D:$K,MATCH($E146,Roadmap!$D:$D,0)+COUNTIF($E146:P146,"u")+COUNTIF($E146:P146,"t")+COUNTIF($E146:P146,"¶")+COUNTIF($E146:P146,"²")+COUNTIF($E146:P146,"µ")+COUNTIF($E146:P146,1),ColLivraison)=Q$6,
  VLOOKUP($E146,INDIRECT("tri!"&amp; CHAR(64+ C0Col) &amp;":"&amp; CHAR(65+C0Col)),2,FALSE)&gt;COUNTIF($E146:P146,"u")+COUNTIF($E146:P146,"t")+COUNTIF($E146:P146,"¶")+COUNTIF($E146:P146,"²")+COUNTIF($E146:P146,"µ")+COUNTIF($E146:P146,1)),
HYPERLINK("#Roadmap!C"&amp; MATCH($E146,Roadmap!$D:$D,0)+COUNTIF($E146:P146,"u")+COUNTIF($E146:P146,"t"),
     INDEX(Roadmap!$D:$K,MATCH($E146,Roadmap!$D:$D,0)+COUNTIF($E146:P146,"u")+COUNTIF($E146:P146,"t")+COUNTIF($E146:P146,"¶")+COUNTIF($E146:P146,"²")+COUNTIF($E146:P146,"µ")+COUNTIF($E146:P146,1),ColTypeEcheance)),
  IF(LEN(P146)=1,
  IF(LEN(INDEX(Roadmap!$D:$K,MATCH($E146,Roadmap!$D:$D,0)-1+COUNTIF($E146:P146,"u")+COUNTIF($E146:P146,"t")+COUNTIF($E146:P146,"¶")+COUNTIF($E146:P146,"²")+COUNTIF($E146:P146,"µ")+COUNTIF($E146:P146,1),ColDescriptionCourte))&gt;1,
HYPERLINK("#Roadmap!C"&amp; MATCH($E146,Roadmap!$D:$D,0)+COUNTIF($E146:P146,"u")+COUNTIF($E146:P146,"t")+COUNTIF($E146:P146,"¶")+COUNTIF($E146:P146,"²")+COUNTIF($E146:P146,"µ")+COUNTIF($E146:P146,1)-1,INDEX(Roadmap!$D:$K,MATCH($E146,Roadmap!$D:$D,0)-1+COUNTIF($E146:P146,"u")+COUNTIF($E146:P146,"t")+COUNTIF($E146:P146,"¶")+COUNTIF($E146:P146,"²")+COUNTIF($E146:P146,"µ")+COUNTIF($E146:P146,1),ColDescriptionCourte)),""),
  "")),"")</f>
        <v/>
      </c>
      <c r="R146" s="40" t="str">
        <f ca="1">IFERROR(IF(AND(
  INDEX(Roadmap!$D:$K,MATCH($E146,Roadmap!$D:$D,0)+COUNTIF($E146:Q146,"u")+COUNTIF($E146:Q146,"t")+COUNTIF($E146:Q146,"¶")+COUNTIF($E146:Q146,"²")+COUNTIF($E146:Q146,"µ")+COUNTIF($E146:Q146,1),ColLivraison)=R$6,
  VLOOKUP($E146,INDIRECT("tri!"&amp; CHAR(64+ C0Col) &amp;":"&amp; CHAR(65+C0Col)),2,FALSE)&gt;COUNTIF($E146:Q146,"u")+COUNTIF($E146:Q146,"t")+COUNTIF($E146:Q146,"¶")+COUNTIF($E146:Q146,"²")+COUNTIF($E146:Q146,"µ")+COUNTIF($E146:Q146,1)),
HYPERLINK("#Roadmap!C"&amp; MATCH($E146,Roadmap!$D:$D,0)+COUNTIF($E146:Q146,"u")+COUNTIF($E146:Q146,"t"),
     INDEX(Roadmap!$D:$K,MATCH($E146,Roadmap!$D:$D,0)+COUNTIF($E146:Q146,"u")+COUNTIF($E146:Q146,"t")+COUNTIF($E146:Q146,"¶")+COUNTIF($E146:Q146,"²")+COUNTIF($E146:Q146,"µ")+COUNTIF($E146:Q146,1),ColTypeEcheance)),
  IF(LEN(Q146)=1,
  IF(LEN(INDEX(Roadmap!$D:$K,MATCH($E146,Roadmap!$D:$D,0)-1+COUNTIF($E146:Q146,"u")+COUNTIF($E146:Q146,"t")+COUNTIF($E146:Q146,"¶")+COUNTIF($E146:Q146,"²")+COUNTIF($E146:Q146,"µ")+COUNTIF($E146:Q146,1),ColDescriptionCourte))&gt;1,
HYPERLINK("#Roadmap!C"&amp; MATCH($E146,Roadmap!$D:$D,0)+COUNTIF($E146:Q146,"u")+COUNTIF($E146:Q146,"t")+COUNTIF($E146:Q146,"¶")+COUNTIF($E146:Q146,"²")+COUNTIF($E146:Q146,"µ")+COUNTIF($E146:Q146,1)-1,INDEX(Roadmap!$D:$K,MATCH($E146,Roadmap!$D:$D,0)-1+COUNTIF($E146:Q146,"u")+COUNTIF($E146:Q146,"t")+COUNTIF($E146:Q146,"¶")+COUNTIF($E146:Q146,"²")+COUNTIF($E146:Q146,"µ")+COUNTIF($E146:Q146,1),ColDescriptionCourte)),""),
  "")),"")</f>
        <v/>
      </c>
      <c r="S146" s="40" t="str">
        <f ca="1">IFERROR(IF(AND(
  INDEX(Roadmap!$D:$K,MATCH($E146,Roadmap!$D:$D,0)+COUNTIF($E146:R146,"u")+COUNTIF($E146:R146,"t")+COUNTIF($E146:R146,"¶")+COUNTIF($E146:R146,"²")+COUNTIF($E146:R146,"µ")+COUNTIF($E146:R146,1),ColLivraison)=S$6,
  VLOOKUP($E146,INDIRECT("tri!"&amp; CHAR(64+ C0Col) &amp;":"&amp; CHAR(65+C0Col)),2,FALSE)&gt;COUNTIF($E146:R146,"u")+COUNTIF($E146:R146,"t")+COUNTIF($E146:R146,"¶")+COUNTIF($E146:R146,"²")+COUNTIF($E146:R146,"µ")+COUNTIF($E146:R146,1)),
HYPERLINK("#Roadmap!C"&amp; MATCH($E146,Roadmap!$D:$D,0)+COUNTIF($E146:R146,"u")+COUNTIF($E146:R146,"t"),
     INDEX(Roadmap!$D:$K,MATCH($E146,Roadmap!$D:$D,0)+COUNTIF($E146:R146,"u")+COUNTIF($E146:R146,"t")+COUNTIF($E146:R146,"¶")+COUNTIF($E146:R146,"²")+COUNTIF($E146:R146,"µ")+COUNTIF($E146:R146,1),ColTypeEcheance)),
  IF(LEN(R146)=1,
  IF(LEN(INDEX(Roadmap!$D:$K,MATCH($E146,Roadmap!$D:$D,0)-1+COUNTIF($E146:R146,"u")+COUNTIF($E146:R146,"t")+COUNTIF($E146:R146,"¶")+COUNTIF($E146:R146,"²")+COUNTIF($E146:R146,"µ")+COUNTIF($E146:R146,1),ColDescriptionCourte))&gt;1,
HYPERLINK("#Roadmap!C"&amp; MATCH($E146,Roadmap!$D:$D,0)+COUNTIF($E146:R146,"u")+COUNTIF($E146:R146,"t")+COUNTIF($E146:R146,"¶")+COUNTIF($E146:R146,"²")+COUNTIF($E146:R146,"µ")+COUNTIF($E146:R146,1)-1,INDEX(Roadmap!$D:$K,MATCH($E146,Roadmap!$D:$D,0)-1+COUNTIF($E146:R146,"u")+COUNTIF($E146:R146,"t")+COUNTIF($E146:R146,"¶")+COUNTIF($E146:R146,"²")+COUNTIF($E146:R146,"µ")+COUNTIF($E146:R146,1),ColDescriptionCourte)),""),
  "")),"")</f>
        <v/>
      </c>
      <c r="T146" s="40" t="str">
        <f ca="1">IFERROR(IF(AND(
  INDEX(Roadmap!$D:$K,MATCH($E146,Roadmap!$D:$D,0)+COUNTIF($E146:S146,"u")+COUNTIF($E146:S146,"t")+COUNTIF($E146:S146,"¶")+COUNTIF($E146:S146,"²")+COUNTIF($E146:S146,"µ")+COUNTIF($E146:S146,1),ColLivraison)=T$6,
  VLOOKUP($E146,INDIRECT("tri!"&amp; CHAR(64+ C0Col) &amp;":"&amp; CHAR(65+C0Col)),2,FALSE)&gt;COUNTIF($E146:S146,"u")+COUNTIF($E146:S146,"t")+COUNTIF($E146:S146,"¶")+COUNTIF($E146:S146,"²")+COUNTIF($E146:S146,"µ")+COUNTIF($E146:S146,1)),
HYPERLINK("#Roadmap!C"&amp; MATCH($E146,Roadmap!$D:$D,0)+COUNTIF($E146:S146,"u")+COUNTIF($E146:S146,"t"),
     INDEX(Roadmap!$D:$K,MATCH($E146,Roadmap!$D:$D,0)+COUNTIF($E146:S146,"u")+COUNTIF($E146:S146,"t")+COUNTIF($E146:S146,"¶")+COUNTIF($E146:S146,"²")+COUNTIF($E146:S146,"µ")+COUNTIF($E146:S146,1),ColTypeEcheance)),
  IF(LEN(S146)=1,
  IF(LEN(INDEX(Roadmap!$D:$K,MATCH($E146,Roadmap!$D:$D,0)-1+COUNTIF($E146:S146,"u")+COUNTIF($E146:S146,"t")+COUNTIF($E146:S146,"¶")+COUNTIF($E146:S146,"²")+COUNTIF($E146:S146,"µ")+COUNTIF($E146:S146,1),ColDescriptionCourte))&gt;1,
HYPERLINK("#Roadmap!C"&amp; MATCH($E146,Roadmap!$D:$D,0)+COUNTIF($E146:S146,"u")+COUNTIF($E146:S146,"t")+COUNTIF($E146:S146,"¶")+COUNTIF($E146:S146,"²")+COUNTIF($E146:S146,"µ")+COUNTIF($E146:S146,1)-1,INDEX(Roadmap!$D:$K,MATCH($E146,Roadmap!$D:$D,0)-1+COUNTIF($E146:S146,"u")+COUNTIF($E146:S146,"t")+COUNTIF($E146:S146,"¶")+COUNTIF($E146:S146,"²")+COUNTIF($E146:S146,"µ")+COUNTIF($E146:S146,1),ColDescriptionCourte)),""),
  "")),"")</f>
        <v/>
      </c>
      <c r="U146" s="40" t="str">
        <f ca="1">IFERROR(IF(AND(
  INDEX(Roadmap!$D:$K,MATCH($E146,Roadmap!$D:$D,0)+COUNTIF($E146:T146,"u")+COUNTIF($E146:T146,"t")+COUNTIF($E146:T146,"¶")+COUNTIF($E146:T146,"²")+COUNTIF($E146:T146,"µ")+COUNTIF($E146:T146,1),ColLivraison)=U$6,
  VLOOKUP($E146,INDIRECT("tri!"&amp; CHAR(64+ C0Col) &amp;":"&amp; CHAR(65+C0Col)),2,FALSE)&gt;COUNTIF($E146:T146,"u")+COUNTIF($E146:T146,"t")+COUNTIF($E146:T146,"¶")+COUNTIF($E146:T146,"²")+COUNTIF($E146:T146,"µ")+COUNTIF($E146:T146,1)),
HYPERLINK("#Roadmap!C"&amp; MATCH($E146,Roadmap!$D:$D,0)+COUNTIF($E146:T146,"u")+COUNTIF($E146:T146,"t"),
     INDEX(Roadmap!$D:$K,MATCH($E146,Roadmap!$D:$D,0)+COUNTIF($E146:T146,"u")+COUNTIF($E146:T146,"t")+COUNTIF($E146:T146,"¶")+COUNTIF($E146:T146,"²")+COUNTIF($E146:T146,"µ")+COUNTIF($E146:T146,1),ColTypeEcheance)),
  IF(LEN(T146)=1,
  IF(LEN(INDEX(Roadmap!$D:$K,MATCH($E146,Roadmap!$D:$D,0)-1+COUNTIF($E146:T146,"u")+COUNTIF($E146:T146,"t")+COUNTIF($E146:T146,"¶")+COUNTIF($E146:T146,"²")+COUNTIF($E146:T146,"µ")+COUNTIF($E146:T146,1),ColDescriptionCourte))&gt;1,
HYPERLINK("#Roadmap!C"&amp; MATCH($E146,Roadmap!$D:$D,0)+COUNTIF($E146:T146,"u")+COUNTIF($E146:T146,"t")+COUNTIF($E146:T146,"¶")+COUNTIF($E146:T146,"²")+COUNTIF($E146:T146,"µ")+COUNTIF($E146:T146,1)-1,INDEX(Roadmap!$D:$K,MATCH($E146,Roadmap!$D:$D,0)-1+COUNTIF($E146:T146,"u")+COUNTIF($E146:T146,"t")+COUNTIF($E146:T146,"¶")+COUNTIF($E146:T146,"²")+COUNTIF($E146:T146,"µ")+COUNTIF($E146:T146,1),ColDescriptionCourte)),""),
  "")),"")</f>
        <v/>
      </c>
      <c r="V146" s="40" t="str">
        <f ca="1">IFERROR(IF(AND(
  INDEX(Roadmap!$D:$K,MATCH($E146,Roadmap!$D:$D,0)+COUNTIF($E146:U146,"u")+COUNTIF($E146:U146,"t")+COUNTIF($E146:U146,"¶")+COUNTIF($E146:U146,"²")+COUNTIF($E146:U146,"µ")+COUNTIF($E146:U146,1),ColLivraison)=V$6,
  VLOOKUP($E146,INDIRECT("tri!"&amp; CHAR(64+ C0Col) &amp;":"&amp; CHAR(65+C0Col)),2,FALSE)&gt;COUNTIF($E146:U146,"u")+COUNTIF($E146:U146,"t")+COUNTIF($E146:U146,"¶")+COUNTIF($E146:U146,"²")+COUNTIF($E146:U146,"µ")+COUNTIF($E146:U146,1)),
HYPERLINK("#Roadmap!C"&amp; MATCH($E146,Roadmap!$D:$D,0)+COUNTIF($E146:U146,"u")+COUNTIF($E146:U146,"t"),
     INDEX(Roadmap!$D:$K,MATCH($E146,Roadmap!$D:$D,0)+COUNTIF($E146:U146,"u")+COUNTIF($E146:U146,"t")+COUNTIF($E146:U146,"¶")+COUNTIF($E146:U146,"²")+COUNTIF($E146:U146,"µ")+COUNTIF($E146:U146,1),ColTypeEcheance)),
  IF(LEN(U146)=1,
  IF(LEN(INDEX(Roadmap!$D:$K,MATCH($E146,Roadmap!$D:$D,0)-1+COUNTIF($E146:U146,"u")+COUNTIF($E146:U146,"t")+COUNTIF($E146:U146,"¶")+COUNTIF($E146:U146,"²")+COUNTIF($E146:U146,"µ")+COUNTIF($E146:U146,1),ColDescriptionCourte))&gt;1,
HYPERLINK("#Roadmap!C"&amp; MATCH($E146,Roadmap!$D:$D,0)+COUNTIF($E146:U146,"u")+COUNTIF($E146:U146,"t")+COUNTIF($E146:U146,"¶")+COUNTIF($E146:U146,"²")+COUNTIF($E146:U146,"µ")+COUNTIF($E146:U146,1)-1,INDEX(Roadmap!$D:$K,MATCH($E146,Roadmap!$D:$D,0)-1+COUNTIF($E146:U146,"u")+COUNTIF($E146:U146,"t")+COUNTIF($E146:U146,"¶")+COUNTIF($E146:U146,"²")+COUNTIF($E146:U146,"µ")+COUNTIF($E146:U146,1),ColDescriptionCourte)),""),
  "")),"")</f>
        <v/>
      </c>
      <c r="W146" s="40" t="str">
        <f ca="1">IFERROR(IF(AND(
  INDEX(Roadmap!$D:$K,MATCH($E146,Roadmap!$D:$D,0)+COUNTIF($E146:V146,"u")+COUNTIF($E146:V146,"t")+COUNTIF($E146:V146,"¶")+COUNTIF($E146:V146,"²")+COUNTIF($E146:V146,"µ")+COUNTIF($E146:V146,1),ColLivraison)=W$6,
  VLOOKUP($E146,INDIRECT("tri!"&amp; CHAR(64+ C0Col) &amp;":"&amp; CHAR(65+C0Col)),2,FALSE)&gt;COUNTIF($E146:V146,"u")+COUNTIF($E146:V146,"t")+COUNTIF($E146:V146,"¶")+COUNTIF($E146:V146,"²")+COUNTIF($E146:V146,"µ")+COUNTIF($E146:V146,1)),
HYPERLINK("#Roadmap!C"&amp; MATCH($E146,Roadmap!$D:$D,0)+COUNTIF($E146:V146,"u")+COUNTIF($E146:V146,"t"),
     INDEX(Roadmap!$D:$K,MATCH($E146,Roadmap!$D:$D,0)+COUNTIF($E146:V146,"u")+COUNTIF($E146:V146,"t")+COUNTIF($E146:V146,"¶")+COUNTIF($E146:V146,"²")+COUNTIF($E146:V146,"µ")+COUNTIF($E146:V146,1),ColTypeEcheance)),
  IF(LEN(V146)=1,
  IF(LEN(INDEX(Roadmap!$D:$K,MATCH($E146,Roadmap!$D:$D,0)-1+COUNTIF($E146:V146,"u")+COUNTIF($E146:V146,"t")+COUNTIF($E146:V146,"¶")+COUNTIF($E146:V146,"²")+COUNTIF($E146:V146,"µ")+COUNTIF($E146:V146,1),ColDescriptionCourte))&gt;1,
HYPERLINK("#Roadmap!C"&amp; MATCH($E146,Roadmap!$D:$D,0)+COUNTIF($E146:V146,"u")+COUNTIF($E146:V146,"t")+COUNTIF($E146:V146,"¶")+COUNTIF($E146:V146,"²")+COUNTIF($E146:V146,"µ")+COUNTIF($E146:V146,1)-1,INDEX(Roadmap!$D:$K,MATCH($E146,Roadmap!$D:$D,0)-1+COUNTIF($E146:V146,"u")+COUNTIF($E146:V146,"t")+COUNTIF($E146:V146,"¶")+COUNTIF($E146:V146,"²")+COUNTIF($E146:V146,"µ")+COUNTIF($E146:V146,1),ColDescriptionCourte)),""),
  "")),"")</f>
        <v/>
      </c>
      <c r="X146" s="40" t="str">
        <f ca="1">IFERROR(IF(AND(
  INDEX(Roadmap!$D:$K,MATCH($E146,Roadmap!$D:$D,0)+COUNTIF($E146:W146,"u")+COUNTIF($E146:W146,"t")+COUNTIF($E146:W146,"¶")+COUNTIF($E146:W146,"²")+COUNTIF($E146:W146,"µ")+COUNTIF($E146:W146,1),ColLivraison)=X$6,
  VLOOKUP($E146,INDIRECT("tri!"&amp; CHAR(64+ C0Col) &amp;":"&amp; CHAR(65+C0Col)),2,FALSE)&gt;COUNTIF($E146:W146,"u")+COUNTIF($E146:W146,"t")+COUNTIF($E146:W146,"¶")+COUNTIF($E146:W146,"²")+COUNTIF($E146:W146,"µ")+COUNTIF($E146:W146,1)),
HYPERLINK("#Roadmap!C"&amp; MATCH($E146,Roadmap!$D:$D,0)+COUNTIF($E146:W146,"u")+COUNTIF($E146:W146,"t"),
     INDEX(Roadmap!$D:$K,MATCH($E146,Roadmap!$D:$D,0)+COUNTIF($E146:W146,"u")+COUNTIF($E146:W146,"t")+COUNTIF($E146:W146,"¶")+COUNTIF($E146:W146,"²")+COUNTIF($E146:W146,"µ")+COUNTIF($E146:W146,1),ColTypeEcheance)),
  IF(LEN(W146)=1,
  IF(LEN(INDEX(Roadmap!$D:$K,MATCH($E146,Roadmap!$D:$D,0)-1+COUNTIF($E146:W146,"u")+COUNTIF($E146:W146,"t")+COUNTIF($E146:W146,"¶")+COUNTIF($E146:W146,"²")+COUNTIF($E146:W146,"µ")+COUNTIF($E146:W146,1),ColDescriptionCourte))&gt;1,
HYPERLINK("#Roadmap!C"&amp; MATCH($E146,Roadmap!$D:$D,0)+COUNTIF($E146:W146,"u")+COUNTIF($E146:W146,"t")+COUNTIF($E146:W146,"¶")+COUNTIF($E146:W146,"²")+COUNTIF($E146:W146,"µ")+COUNTIF($E146:W146,1)-1,INDEX(Roadmap!$D:$K,MATCH($E146,Roadmap!$D:$D,0)-1+COUNTIF($E146:W146,"u")+COUNTIF($E146:W146,"t")+COUNTIF($E146:W146,"¶")+COUNTIF($E146:W146,"²")+COUNTIF($E146:W146,"µ")+COUNTIF($E146:W146,1),ColDescriptionCourte)),""),
  "")),"")</f>
        <v/>
      </c>
      <c r="Y146" s="40" t="str">
        <f ca="1">IFERROR(IF(AND(
  INDEX(Roadmap!$D:$K,MATCH($E146,Roadmap!$D:$D,0)+COUNTIF($E146:X146,"u")+COUNTIF($E146:X146,"t")+COUNTIF($E146:X146,"¶")+COUNTIF($E146:X146,"²")+COUNTIF($E146:X146,"µ")+COUNTIF($E146:X146,1),ColLivraison)=Y$6,
  VLOOKUP($E146,INDIRECT("tri!"&amp; CHAR(64+ C0Col) &amp;":"&amp; CHAR(65+C0Col)),2,FALSE)&gt;COUNTIF($E146:X146,"u")+COUNTIF($E146:X146,"t")+COUNTIF($E146:X146,"¶")+COUNTIF($E146:X146,"²")+COUNTIF($E146:X146,"µ")+COUNTIF($E146:X146,1)),
HYPERLINK("#Roadmap!C"&amp; MATCH($E146,Roadmap!$D:$D,0)+COUNTIF($E146:X146,"u")+COUNTIF($E146:X146,"t"),
     INDEX(Roadmap!$D:$K,MATCH($E146,Roadmap!$D:$D,0)+COUNTIF($E146:X146,"u")+COUNTIF($E146:X146,"t")+COUNTIF($E146:X146,"¶")+COUNTIF($E146:X146,"²")+COUNTIF($E146:X146,"µ")+COUNTIF($E146:X146,1),ColTypeEcheance)),
  IF(LEN(X146)=1,
  IF(LEN(INDEX(Roadmap!$D:$K,MATCH($E146,Roadmap!$D:$D,0)-1+COUNTIF($E146:X146,"u")+COUNTIF($E146:X146,"t")+COUNTIF($E146:X146,"¶")+COUNTIF($E146:X146,"²")+COUNTIF($E146:X146,"µ")+COUNTIF($E146:X146,1),ColDescriptionCourte))&gt;1,
HYPERLINK("#Roadmap!C"&amp; MATCH($E146,Roadmap!$D:$D,0)+COUNTIF($E146:X146,"u")+COUNTIF($E146:X146,"t")+COUNTIF($E146:X146,"¶")+COUNTIF($E146:X146,"²")+COUNTIF($E146:X146,"µ")+COUNTIF($E146:X146,1)-1,INDEX(Roadmap!$D:$K,MATCH($E146,Roadmap!$D:$D,0)-1+COUNTIF($E146:X146,"u")+COUNTIF($E146:X146,"t")+COUNTIF($E146:X146,"¶")+COUNTIF($E146:X146,"²")+COUNTIF($E146:X146,"µ")+COUNTIF($E146:X146,1),ColDescriptionCourte)),""),
  "")),"")</f>
        <v/>
      </c>
      <c r="Z146" s="40" t="str">
        <f ca="1">IFERROR(IF(AND(
  INDEX(Roadmap!$D:$K,MATCH($E146,Roadmap!$D:$D,0)+COUNTIF($E146:Y146,"u")+COUNTIF($E146:Y146,"t")+COUNTIF($E146:Y146,"¶")+COUNTIF($E146:Y146,"²")+COUNTIF($E146:Y146,"µ")+COUNTIF($E146:Y146,1),ColLivraison)=Z$6,
  VLOOKUP($E146,INDIRECT("tri!"&amp; CHAR(64+ C0Col) &amp;":"&amp; CHAR(65+C0Col)),2,FALSE)&gt;COUNTIF($E146:Y146,"u")+COUNTIF($E146:Y146,"t")+COUNTIF($E146:Y146,"¶")+COUNTIF($E146:Y146,"²")+COUNTIF($E146:Y146,"µ")+COUNTIF($E146:Y146,1)),
HYPERLINK("#Roadmap!C"&amp; MATCH($E146,Roadmap!$D:$D,0)+COUNTIF($E146:Y146,"u")+COUNTIF($E146:Y146,"t"),
     INDEX(Roadmap!$D:$K,MATCH($E146,Roadmap!$D:$D,0)+COUNTIF($E146:Y146,"u")+COUNTIF($E146:Y146,"t")+COUNTIF($E146:Y146,"¶")+COUNTIF($E146:Y146,"²")+COUNTIF($E146:Y146,"µ")+COUNTIF($E146:Y146,1),ColTypeEcheance)),
  IF(LEN(Y146)=1,
  IF(LEN(INDEX(Roadmap!$D:$K,MATCH($E146,Roadmap!$D:$D,0)-1+COUNTIF($E146:Y146,"u")+COUNTIF($E146:Y146,"t")+COUNTIF($E146:Y146,"¶")+COUNTIF($E146:Y146,"²")+COUNTIF($E146:Y146,"µ")+COUNTIF($E146:Y146,1),ColDescriptionCourte))&gt;1,
HYPERLINK("#Roadmap!C"&amp; MATCH($E146,Roadmap!$D:$D,0)+COUNTIF($E146:Y146,"u")+COUNTIF($E146:Y146,"t")+COUNTIF($E146:Y146,"¶")+COUNTIF($E146:Y146,"²")+COUNTIF($E146:Y146,"µ")+COUNTIF($E146:Y146,1)-1,INDEX(Roadmap!$D:$K,MATCH($E146,Roadmap!$D:$D,0)-1+COUNTIF($E146:Y146,"u")+COUNTIF($E146:Y146,"t")+COUNTIF($E146:Y146,"¶")+COUNTIF($E146:Y146,"²")+COUNTIF($E146:Y146,"µ")+COUNTIF($E146:Y146,1),ColDescriptionCourte)),""),
  "")),"")</f>
        <v/>
      </c>
      <c r="AA146" s="40" t="str">
        <f ca="1">IFERROR(IF(AND(
  INDEX(Roadmap!$D:$K,MATCH($E146,Roadmap!$D:$D,0)+COUNTIF($E146:Z146,"u")+COUNTIF($E146:Z146,"t")+COUNTIF($E146:Z146,"¶")+COUNTIF($E146:Z146,"²")+COUNTIF($E146:Z146,"µ")+COUNTIF($E146:Z146,1),ColLivraison)=AA$6,
  VLOOKUP($E146,INDIRECT("tri!"&amp; CHAR(64+ C0Col) &amp;":"&amp; CHAR(65+C0Col)),2,FALSE)&gt;COUNTIF($E146:Z146,"u")+COUNTIF($E146:Z146,"t")+COUNTIF($E146:Z146,"¶")+COUNTIF($E146:Z146,"²")+COUNTIF($E146:Z146,"µ")+COUNTIF($E146:Z146,1)),
HYPERLINK("#Roadmap!C"&amp; MATCH($E146,Roadmap!$D:$D,0)+COUNTIF($E146:Z146,"u")+COUNTIF($E146:Z146,"t"),
     INDEX(Roadmap!$D:$K,MATCH($E146,Roadmap!$D:$D,0)+COUNTIF($E146:Z146,"u")+COUNTIF($E146:Z146,"t")+COUNTIF($E146:Z146,"¶")+COUNTIF($E146:Z146,"²")+COUNTIF($E146:Z146,"µ")+COUNTIF($E146:Z146,1),ColTypeEcheance)),
  IF(LEN(Z146)=1,
  IF(LEN(INDEX(Roadmap!$D:$K,MATCH($E146,Roadmap!$D:$D,0)-1+COUNTIF($E146:Z146,"u")+COUNTIF($E146:Z146,"t")+COUNTIF($E146:Z146,"¶")+COUNTIF($E146:Z146,"²")+COUNTIF($E146:Z146,"µ")+COUNTIF($E146:Z146,1),ColDescriptionCourte))&gt;1,
HYPERLINK("#Roadmap!C"&amp; MATCH($E146,Roadmap!$D:$D,0)+COUNTIF($E146:Z146,"u")+COUNTIF($E146:Z146,"t")+COUNTIF($E146:Z146,"¶")+COUNTIF($E146:Z146,"²")+COUNTIF($E146:Z146,"µ")+COUNTIF($E146:Z146,1)-1,INDEX(Roadmap!$D:$K,MATCH($E146,Roadmap!$D:$D,0)-1+COUNTIF($E146:Z146,"u")+COUNTIF($E146:Z146,"t")+COUNTIF($E146:Z146,"¶")+COUNTIF($E146:Z146,"²")+COUNTIF($E146:Z146,"µ")+COUNTIF($E146:Z146,1),ColDescriptionCourte)),""),
  "")),"")</f>
        <v/>
      </c>
      <c r="AB146" s="40" t="str">
        <f ca="1">IFERROR(IF(AND(
  INDEX(Roadmap!$D:$K,MATCH($E146,Roadmap!$D:$D,0)+COUNTIF($E146:AA146,"u")+COUNTIF($E146:AA146,"t")+COUNTIF($E146:AA146,"¶")+COUNTIF($E146:AA146,"²")+COUNTIF($E146:AA146,"µ")+COUNTIF($E146:AA146,1),ColLivraison)=AB$6,
  VLOOKUP($E146,INDIRECT("tri!"&amp; CHAR(64+ C0Col) &amp;":"&amp; CHAR(65+C0Col)),2,FALSE)&gt;COUNTIF($E146:AA146,"u")+COUNTIF($E146:AA146,"t")+COUNTIF($E146:AA146,"¶")+COUNTIF($E146:AA146,"²")+COUNTIF($E146:AA146,"µ")+COUNTIF($E146:AA146,1)),
HYPERLINK("#Roadmap!C"&amp; MATCH($E146,Roadmap!$D:$D,0)+COUNTIF($E146:AA146,"u")+COUNTIF($E146:AA146,"t"),
     INDEX(Roadmap!$D:$K,MATCH($E146,Roadmap!$D:$D,0)+COUNTIF($E146:AA146,"u")+COUNTIF($E146:AA146,"t")+COUNTIF($E146:AA146,"¶")+COUNTIF($E146:AA146,"²")+COUNTIF($E146:AA146,"µ")+COUNTIF($E146:AA146,1),ColTypeEcheance)),
  IF(LEN(AA146)=1,
  IF(LEN(INDEX(Roadmap!$D:$K,MATCH($E146,Roadmap!$D:$D,0)-1+COUNTIF($E146:AA146,"u")+COUNTIF($E146:AA146,"t")+COUNTIF($E146:AA146,"¶")+COUNTIF($E146:AA146,"²")+COUNTIF($E146:AA146,"µ")+COUNTIF($E146:AA146,1),ColDescriptionCourte))&gt;1,
HYPERLINK("#Roadmap!C"&amp; MATCH($E146,Roadmap!$D:$D,0)+COUNTIF($E146:AA146,"u")+COUNTIF($E146:AA146,"t")+COUNTIF($E146:AA146,"¶")+COUNTIF($E146:AA146,"²")+COUNTIF($E146:AA146,"µ")+COUNTIF($E146:AA146,1)-1,INDEX(Roadmap!$D:$K,MATCH($E146,Roadmap!$D:$D,0)-1+COUNTIF($E146:AA146,"u")+COUNTIF($E146:AA146,"t")+COUNTIF($E146:AA146,"¶")+COUNTIF($E146:AA146,"²")+COUNTIF($E146:AA146,"µ")+COUNTIF($E146:AA146,1),ColDescriptionCourte)),""),
  "")),"")</f>
        <v/>
      </c>
      <c r="AC146" s="40" t="str">
        <f ca="1">IFERROR(IF(AND(
  INDEX(Roadmap!$D:$K,MATCH($E146,Roadmap!$D:$D,0)+COUNTIF($E146:AB146,"u")+COUNTIF($E146:AB146,"t")+COUNTIF($E146:AB146,"¶")+COUNTIF($E146:AB146,"²")+COUNTIF($E146:AB146,"µ")+COUNTIF($E146:AB146,1),ColLivraison)=AC$6,
  VLOOKUP($E146,INDIRECT("tri!"&amp; CHAR(64+ C0Col) &amp;":"&amp; CHAR(65+C0Col)),2,FALSE)&gt;COUNTIF($E146:AB146,"u")+COUNTIF($E146:AB146,"t")+COUNTIF($E146:AB146,"¶")+COUNTIF($E146:AB146,"²")+COUNTIF($E146:AB146,"µ")+COUNTIF($E146:AB146,1)),
HYPERLINK("#Roadmap!C"&amp; MATCH($E146,Roadmap!$D:$D,0)+COUNTIF($E146:AB146,"u")+COUNTIF($E146:AB146,"t"),
     INDEX(Roadmap!$D:$K,MATCH($E146,Roadmap!$D:$D,0)+COUNTIF($E146:AB146,"u")+COUNTIF($E146:AB146,"t")+COUNTIF($E146:AB146,"¶")+COUNTIF($E146:AB146,"²")+COUNTIF($E146:AB146,"µ")+COUNTIF($E146:AB146,1),ColTypeEcheance)),
  IF(LEN(AB146)=1,
  IF(LEN(INDEX(Roadmap!$D:$K,MATCH($E146,Roadmap!$D:$D,0)-1+COUNTIF($E146:AB146,"u")+COUNTIF($E146:AB146,"t")+COUNTIF($E146:AB146,"¶")+COUNTIF($E146:AB146,"²")+COUNTIF($E146:AB146,"µ")+COUNTIF($E146:AB146,1),ColDescriptionCourte))&gt;1,
HYPERLINK("#Roadmap!C"&amp; MATCH($E146,Roadmap!$D:$D,0)+COUNTIF($E146:AB146,"u")+COUNTIF($E146:AB146,"t")+COUNTIF($E146:AB146,"¶")+COUNTIF($E146:AB146,"²")+COUNTIF($E146:AB146,"µ")+COUNTIF($E146:AB146,1)-1,INDEX(Roadmap!$D:$K,MATCH($E146,Roadmap!$D:$D,0)-1+COUNTIF($E146:AB146,"u")+COUNTIF($E146:AB146,"t")+COUNTIF($E146:AB146,"¶")+COUNTIF($E146:AB146,"²")+COUNTIF($E146:AB146,"µ")+COUNTIF($E146:AB146,1),ColDescriptionCourte)),""),
  "")),"")</f>
        <v/>
      </c>
      <c r="AD146" s="40" t="str">
        <f ca="1">IFERROR(IF(AND(
  INDEX(Roadmap!$D:$K,MATCH($E146,Roadmap!$D:$D,0)+COUNTIF($E146:AC146,"u")+COUNTIF($E146:AC146,"t")+COUNTIF($E146:AC146,"¶")+COUNTIF($E146:AC146,"²")+COUNTIF($E146:AC146,"µ")+COUNTIF($E146:AC146,1),ColLivraison)=AD$6,
  VLOOKUP($E146,INDIRECT("tri!"&amp; CHAR(64+ C0Col) &amp;":"&amp; CHAR(65+C0Col)),2,FALSE)&gt;COUNTIF($E146:AC146,"u")+COUNTIF($E146:AC146,"t")+COUNTIF($E146:AC146,"¶")+COUNTIF($E146:AC146,"²")+COUNTIF($E146:AC146,"µ")+COUNTIF($E146:AC146,1)),
HYPERLINK("#Roadmap!C"&amp; MATCH($E146,Roadmap!$D:$D,0)+COUNTIF($E146:AC146,"u")+COUNTIF($E146:AC146,"t"),
     INDEX(Roadmap!$D:$K,MATCH($E146,Roadmap!$D:$D,0)+COUNTIF($E146:AC146,"u")+COUNTIF($E146:AC146,"t")+COUNTIF($E146:AC146,"¶")+COUNTIF($E146:AC146,"²")+COUNTIF($E146:AC146,"µ")+COUNTIF($E146:AC146,1),ColTypeEcheance)),
  IF(LEN(AC146)=1,
  IF(LEN(INDEX(Roadmap!$D:$K,MATCH($E146,Roadmap!$D:$D,0)-1+COUNTIF($E146:AC146,"u")+COUNTIF($E146:AC146,"t")+COUNTIF($E146:AC146,"¶")+COUNTIF($E146:AC146,"²")+COUNTIF($E146:AC146,"µ")+COUNTIF($E146:AC146,1),ColDescriptionCourte))&gt;1,
HYPERLINK("#Roadmap!C"&amp; MATCH($E146,Roadmap!$D:$D,0)+COUNTIF($E146:AC146,"u")+COUNTIF($E146:AC146,"t")+COUNTIF($E146:AC146,"¶")+COUNTIF($E146:AC146,"²")+COUNTIF($E146:AC146,"µ")+COUNTIF($E146:AC146,1)-1,INDEX(Roadmap!$D:$K,MATCH($E146,Roadmap!$D:$D,0)-1+COUNTIF($E146:AC146,"u")+COUNTIF($E146:AC146,"t")+COUNTIF($E146:AC146,"¶")+COUNTIF($E146:AC146,"²")+COUNTIF($E146:AC146,"µ")+COUNTIF($E146:AC146,1),ColDescriptionCourte)),""),
  "")),"")</f>
        <v/>
      </c>
      <c r="AE146" s="40" t="str">
        <f ca="1">IFERROR(IF(AND(
  INDEX(Roadmap!$D:$K,MATCH($E146,Roadmap!$D:$D,0)+COUNTIF($E146:AD146,"u")+COUNTIF($E146:AD146,"t")+COUNTIF($E146:AD146,"¶")+COUNTIF($E146:AD146,"²")+COUNTIF($E146:AD146,"µ")+COUNTIF($E146:AD146,1),ColLivraison)=AE$6,
  VLOOKUP($E146,INDIRECT("tri!"&amp; CHAR(64+ C0Col) &amp;":"&amp; CHAR(65+C0Col)),2,FALSE)&gt;COUNTIF($E146:AD146,"u")+COUNTIF($E146:AD146,"t")+COUNTIF($E146:AD146,"¶")+COUNTIF($E146:AD146,"²")+COUNTIF($E146:AD146,"µ")+COUNTIF($E146:AD146,1)),
HYPERLINK("#Roadmap!C"&amp; MATCH($E146,Roadmap!$D:$D,0)+COUNTIF($E146:AD146,"u")+COUNTIF($E146:AD146,"t"),
     INDEX(Roadmap!$D:$K,MATCH($E146,Roadmap!$D:$D,0)+COUNTIF($E146:AD146,"u")+COUNTIF($E146:AD146,"t")+COUNTIF($E146:AD146,"¶")+COUNTIF($E146:AD146,"²")+COUNTIF($E146:AD146,"µ")+COUNTIF($E146:AD146,1),ColTypeEcheance)),
  IF(LEN(AD146)=1,
  IF(LEN(INDEX(Roadmap!$D:$K,MATCH($E146,Roadmap!$D:$D,0)-1+COUNTIF($E146:AD146,"u")+COUNTIF($E146:AD146,"t")+COUNTIF($E146:AD146,"¶")+COUNTIF($E146:AD146,"²")+COUNTIF($E146:AD146,"µ")+COUNTIF($E146:AD146,1),ColDescriptionCourte))&gt;1,
HYPERLINK("#Roadmap!C"&amp; MATCH($E146,Roadmap!$D:$D,0)+COUNTIF($E146:AD146,"u")+COUNTIF($E146:AD146,"t")+COUNTIF($E146:AD146,"¶")+COUNTIF($E146:AD146,"²")+COUNTIF($E146:AD146,"µ")+COUNTIF($E146:AD146,1)-1,INDEX(Roadmap!$D:$K,MATCH($E146,Roadmap!$D:$D,0)-1+COUNTIF($E146:AD146,"u")+COUNTIF($E146:AD146,"t")+COUNTIF($E146:AD146,"¶")+COUNTIF($E146:AD146,"²")+COUNTIF($E146:AD146,"µ")+COUNTIF($E146:AD146,1),ColDescriptionCourte)),""),
  "")),"")</f>
        <v/>
      </c>
      <c r="AF146" s="40" t="str">
        <f ca="1">IFERROR(IF(AND(
  INDEX(Roadmap!$D:$K,MATCH($E146,Roadmap!$D:$D,0)+COUNTIF($E146:AE146,"u")+COUNTIF($E146:AE146,"t")+COUNTIF($E146:AE146,"¶")+COUNTIF($E146:AE146,"²")+COUNTIF($E146:AE146,"µ")+COUNTIF($E146:AE146,1),ColLivraison)=AF$6,
  VLOOKUP($E146,INDIRECT("tri!"&amp; CHAR(64+ C0Col) &amp;":"&amp; CHAR(65+C0Col)),2,FALSE)&gt;COUNTIF($E146:AE146,"u")+COUNTIF($E146:AE146,"t")+COUNTIF($E146:AE146,"¶")+COUNTIF($E146:AE146,"²")+COUNTIF($E146:AE146,"µ")+COUNTIF($E146:AE146,1)),
HYPERLINK("#Roadmap!C"&amp; MATCH($E146,Roadmap!$D:$D,0)+COUNTIF($E146:AE146,"u")+COUNTIF($E146:AE146,"t"),
     INDEX(Roadmap!$D:$K,MATCH($E146,Roadmap!$D:$D,0)+COUNTIF($E146:AE146,"u")+COUNTIF($E146:AE146,"t")+COUNTIF($E146:AE146,"¶")+COUNTIF($E146:AE146,"²")+COUNTIF($E146:AE146,"µ")+COUNTIF($E146:AE146,1),ColTypeEcheance)),
  IF(LEN(AE146)=1,
  IF(LEN(INDEX(Roadmap!$D:$K,MATCH($E146,Roadmap!$D:$D,0)-1+COUNTIF($E146:AE146,"u")+COUNTIF($E146:AE146,"t")+COUNTIF($E146:AE146,"¶")+COUNTIF($E146:AE146,"²")+COUNTIF($E146:AE146,"µ")+COUNTIF($E146:AE146,1),ColDescriptionCourte))&gt;1,
HYPERLINK("#Roadmap!C"&amp; MATCH($E146,Roadmap!$D:$D,0)+COUNTIF($E146:AE146,"u")+COUNTIF($E146:AE146,"t")+COUNTIF($E146:AE146,"¶")+COUNTIF($E146:AE146,"²")+COUNTIF($E146:AE146,"µ")+COUNTIF($E146:AE146,1)-1,INDEX(Roadmap!$D:$K,MATCH($E146,Roadmap!$D:$D,0)-1+COUNTIF($E146:AE146,"u")+COUNTIF($E146:AE146,"t")+COUNTIF($E146:AE146,"¶")+COUNTIF($E146:AE146,"²")+COUNTIF($E146:AE146,"µ")+COUNTIF($E146:AE146,1),ColDescriptionCourte)),""),
  "")),"")</f>
        <v/>
      </c>
      <c r="AG146" s="40" t="str">
        <f ca="1">IFERROR(IF(AND(
  INDEX(Roadmap!$D:$K,MATCH($E146,Roadmap!$D:$D,0)+COUNTIF($E146:AF146,"u")+COUNTIF($E146:AF146,"t")+COUNTIF($E146:AF146,"¶")+COUNTIF($E146:AF146,"²")+COUNTIF($E146:AF146,"µ")+COUNTIF($E146:AF146,1),ColLivraison)=AG$6,
  VLOOKUP($E146,INDIRECT("tri!"&amp; CHAR(64+ C0Col) &amp;":"&amp; CHAR(65+C0Col)),2,FALSE)&gt;COUNTIF($E146:AF146,"u")+COUNTIF($E146:AF146,"t")+COUNTIF($E146:AF146,"¶")+COUNTIF($E146:AF146,"²")+COUNTIF($E146:AF146,"µ")+COUNTIF($E146:AF146,1)),
HYPERLINK("#Roadmap!C"&amp; MATCH($E146,Roadmap!$D:$D,0)+COUNTIF($E146:AF146,"u")+COUNTIF($E146:AF146,"t"),
     INDEX(Roadmap!$D:$K,MATCH($E146,Roadmap!$D:$D,0)+COUNTIF($E146:AF146,"u")+COUNTIF($E146:AF146,"t")+COUNTIF($E146:AF146,"¶")+COUNTIF($E146:AF146,"²")+COUNTIF($E146:AF146,"µ")+COUNTIF($E146:AF146,1),ColTypeEcheance)),
  IF(LEN(AF146)=1,
  IF(LEN(INDEX(Roadmap!$D:$K,MATCH($E146,Roadmap!$D:$D,0)-1+COUNTIF($E146:AF146,"u")+COUNTIF($E146:AF146,"t")+COUNTIF($E146:AF146,"¶")+COUNTIF($E146:AF146,"²")+COUNTIF($E146:AF146,"µ")+COUNTIF($E146:AF146,1),ColDescriptionCourte))&gt;1,
HYPERLINK("#Roadmap!C"&amp; MATCH($E146,Roadmap!$D:$D,0)+COUNTIF($E146:AF146,"u")+COUNTIF($E146:AF146,"t")+COUNTIF($E146:AF146,"¶")+COUNTIF($E146:AF146,"²")+COUNTIF($E146:AF146,"µ")+COUNTIF($E146:AF146,1)-1,INDEX(Roadmap!$D:$K,MATCH($E146,Roadmap!$D:$D,0)-1+COUNTIF($E146:AF146,"u")+COUNTIF($E146:AF146,"t")+COUNTIF($E146:AF146,"¶")+COUNTIF($E146:AF146,"²")+COUNTIF($E146:AF146,"µ")+COUNTIF($E146:AF146,1),ColDescriptionCourte)),""),
  "")),"")</f>
        <v/>
      </c>
    </row>
    <row r="147" spans="3:33" ht="14.25" customHeight="1">
      <c r="C147" s="1" t="str">
        <f t="shared" ca="1" si="52"/>
        <v/>
      </c>
      <c r="D147" s="1" t="str">
        <f t="shared" ca="1" si="53"/>
        <v/>
      </c>
      <c r="E147" s="35" t="str">
        <f t="shared" ca="1" si="51"/>
        <v/>
      </c>
      <c r="F147" s="39" t="str">
        <f ca="1">IFERROR(IF(AND(
  INDEX(Roadmap!$D:$K,MATCH($E147,Roadmap!$D:$D,0)+COUNTIF($E147:E147,"u")+COUNTIF($E147:E147,"t")+COUNTIF($E147:E147,"¶")+COUNTIF($E147:E147,"²")+COUNTIF($E147:E147,"µ")+COUNTIF($E147:E147,1),ColLivraison)=F$6,
  VLOOKUP($E147,INDIRECT("tri!"&amp; CHAR(64+ C0Col) &amp;":"&amp; CHAR(65+C0Col)),2,FALSE)&gt;COUNTIF($E147:E147,"u")+COUNTIF($E147:E147,"t")+COUNTIF($E147:E147,"¶")+COUNTIF($E147:E147,"²")+COUNTIF($E147:E147,"µ")+COUNTIF($E147:E147,1)),
HYPERLINK("#Roadmap!C"&amp; MATCH($E147,Roadmap!$D:$D,0)+COUNTIF($E147:E147,"u")+COUNTIF($E147:E147,"t"),
     INDEX(Roadmap!$D:$K,MATCH($E147,Roadmap!$D:$D,0)+COUNTIF($E147:E147,"u")+COUNTIF($E147:E147,"t")+COUNTIF($E147:E147,"¶")+COUNTIF($E147:E147,"²")+COUNTIF($E147:E147,"µ")+COUNTIF($E147:E147,1),ColTypeEcheance)),
  IF(LEN(E147)=1,
  IF(LEN(INDEX(Roadmap!$D:$K,MATCH($E147,Roadmap!$D:$D,0)-1+COUNTIF($E147:E147,"u")+COUNTIF($E147:E147,"t")+COUNTIF($E147:E147,"¶")+COUNTIF($E147:E147,"²")+COUNTIF($E147:E147,"µ")+COUNTIF($E147:E147,1),ColDescriptionCourte))&gt;1,
HYPERLINK("#Roadmap!C"&amp; MATCH($E147,Roadmap!$D:$D,0)+COUNTIF($E147:E147,"u")+COUNTIF($E147:E147,"t")+COUNTIF($E147:E147,"¶")+COUNTIF($E147:E147,"²")+COUNTIF($E147:E147,"µ")+COUNTIF($E147:E147,1)-1,INDEX(Roadmap!$D:$K,MATCH($E147,Roadmap!$D:$D,0)-1+COUNTIF($E147:E147,"u")+COUNTIF($E147:E147,"t")+COUNTIF($E147:E147,"¶")+COUNTIF($E147:E147,"²")+COUNTIF($E147:E147,"µ")+COUNTIF($E147:E147,1),ColDescriptionCourte)),""),
  "")),"")</f>
        <v/>
      </c>
      <c r="G147" s="40" t="str">
        <f ca="1">IFERROR(IF(AND(
  INDEX(Roadmap!$D:$K,MATCH($E147,Roadmap!$D:$D,0)+COUNTIF($E147:F147,"u")+COUNTIF($E147:F147,"t")+COUNTIF($E147:F147,"¶")+COUNTIF($E147:F147,"²")+COUNTIF($E147:F147,"µ")+COUNTIF($E147:F147,1),ColLivraison)=G$6,
  VLOOKUP($E147,INDIRECT("tri!"&amp; CHAR(64+ C0Col) &amp;":"&amp; CHAR(65+C0Col)),2,FALSE)&gt;COUNTIF($E147:F147,"u")+COUNTIF($E147:F147,"t")+COUNTIF($E147:F147,"¶")+COUNTIF($E147:F147,"²")+COUNTIF($E147:F147,"µ")+COUNTIF($E147:F147,1)),
HYPERLINK("#Roadmap!C"&amp; MATCH($E147,Roadmap!$D:$D,0)+COUNTIF($E147:F147,"u")+COUNTIF($E147:F147,"t"),
     INDEX(Roadmap!$D:$K,MATCH($E147,Roadmap!$D:$D,0)+COUNTIF($E147:F147,"u")+COUNTIF($E147:F147,"t")+COUNTIF($E147:F147,"¶")+COUNTIF($E147:F147,"²")+COUNTIF($E147:F147,"µ")+COUNTIF($E147:F147,1),ColTypeEcheance)),
  IF(LEN(F147)=1,
  IF(LEN(INDEX(Roadmap!$D:$K,MATCH($E147,Roadmap!$D:$D,0)-1+COUNTIF($E147:F147,"u")+COUNTIF($E147:F147,"t")+COUNTIF($E147:F147,"¶")+COUNTIF($E147:F147,"²")+COUNTIF($E147:F147,"µ")+COUNTIF($E147:F147,1),ColDescriptionCourte))&gt;1,
HYPERLINK("#Roadmap!C"&amp; MATCH($E147,Roadmap!$D:$D,0)+COUNTIF($E147:F147,"u")+COUNTIF($E147:F147,"t")+COUNTIF($E147:F147,"¶")+COUNTIF($E147:F147,"²")+COUNTIF($E147:F147,"µ")+COUNTIF($E147:F147,1)-1,INDEX(Roadmap!$D:$K,MATCH($E147,Roadmap!$D:$D,0)-1+COUNTIF($E147:F147,"u")+COUNTIF($E147:F147,"t")+COUNTIF($E147:F147,"¶")+COUNTIF($E147:F147,"²")+COUNTIF($E147:F147,"µ")+COUNTIF($E147:F147,1),ColDescriptionCourte)),""),
  "")),"")</f>
        <v/>
      </c>
      <c r="H147" s="40" t="str">
        <f ca="1">IFERROR(IF(AND(
  INDEX(Roadmap!$D:$K,MATCH($E147,Roadmap!$D:$D,0)+COUNTIF($E147:G147,"u")+COUNTIF($E147:G147,"t")+COUNTIF($E147:G147,"¶")+COUNTIF($E147:G147,"²")+COUNTIF($E147:G147,"µ")+COUNTIF($E147:G147,1),ColLivraison)=H$6,
  VLOOKUP($E147,INDIRECT("tri!"&amp; CHAR(64+ C0Col) &amp;":"&amp; CHAR(65+C0Col)),2,FALSE)&gt;COUNTIF($E147:G147,"u")+COUNTIF($E147:G147,"t")+COUNTIF($E147:G147,"¶")+COUNTIF($E147:G147,"²")+COUNTIF($E147:G147,"µ")+COUNTIF($E147:G147,1)),
HYPERLINK("#Roadmap!C"&amp; MATCH($E147,Roadmap!$D:$D,0)+COUNTIF($E147:G147,"u")+COUNTIF($E147:G147,"t"),
     INDEX(Roadmap!$D:$K,MATCH($E147,Roadmap!$D:$D,0)+COUNTIF($E147:G147,"u")+COUNTIF($E147:G147,"t")+COUNTIF($E147:G147,"¶")+COUNTIF($E147:G147,"²")+COUNTIF($E147:G147,"µ")+COUNTIF($E147:G147,1),ColTypeEcheance)),
  IF(LEN(G147)=1,
  IF(LEN(INDEX(Roadmap!$D:$K,MATCH($E147,Roadmap!$D:$D,0)-1+COUNTIF($E147:G147,"u")+COUNTIF($E147:G147,"t")+COUNTIF($E147:G147,"¶")+COUNTIF($E147:G147,"²")+COUNTIF($E147:G147,"µ")+COUNTIF($E147:G147,1),ColDescriptionCourte))&gt;1,
HYPERLINK("#Roadmap!C"&amp; MATCH($E147,Roadmap!$D:$D,0)+COUNTIF($E147:G147,"u")+COUNTIF($E147:G147,"t")+COUNTIF($E147:G147,"¶")+COUNTIF($E147:G147,"²")+COUNTIF($E147:G147,"µ")+COUNTIF($E147:G147,1)-1,INDEX(Roadmap!$D:$K,MATCH($E147,Roadmap!$D:$D,0)-1+COUNTIF($E147:G147,"u")+COUNTIF($E147:G147,"t")+COUNTIF($E147:G147,"¶")+COUNTIF($E147:G147,"²")+COUNTIF($E147:G147,"µ")+COUNTIF($E147:G147,1),ColDescriptionCourte)),""),
  "")),"")</f>
        <v/>
      </c>
      <c r="I147" s="40" t="str">
        <f ca="1">IFERROR(IF(AND(
  INDEX(Roadmap!$D:$K,MATCH($E147,Roadmap!$D:$D,0)+COUNTIF($E147:H147,"u")+COUNTIF($E147:H147,"t")+COUNTIF($E147:H147,"¶")+COUNTIF($E147:H147,"²")+COUNTIF($E147:H147,"µ")+COUNTIF($E147:H147,1),ColLivraison)=I$6,
  VLOOKUP($E147,INDIRECT("tri!"&amp; CHAR(64+ C0Col) &amp;":"&amp; CHAR(65+C0Col)),2,FALSE)&gt;COUNTIF($E147:H147,"u")+COUNTIF($E147:H147,"t")+COUNTIF($E147:H147,"¶")+COUNTIF($E147:H147,"²")+COUNTIF($E147:H147,"µ")+COUNTIF($E147:H147,1)),
HYPERLINK("#Roadmap!C"&amp; MATCH($E147,Roadmap!$D:$D,0)+COUNTIF($E147:H147,"u")+COUNTIF($E147:H147,"t"),
     INDEX(Roadmap!$D:$K,MATCH($E147,Roadmap!$D:$D,0)+COUNTIF($E147:H147,"u")+COUNTIF($E147:H147,"t")+COUNTIF($E147:H147,"¶")+COUNTIF($E147:H147,"²")+COUNTIF($E147:H147,"µ")+COUNTIF($E147:H147,1),ColTypeEcheance)),
  IF(LEN(H147)=1,
  IF(LEN(INDEX(Roadmap!$D:$K,MATCH($E147,Roadmap!$D:$D,0)-1+COUNTIF($E147:H147,"u")+COUNTIF($E147:H147,"t")+COUNTIF($E147:H147,"¶")+COUNTIF($E147:H147,"²")+COUNTIF($E147:H147,"µ")+COUNTIF($E147:H147,1),ColDescriptionCourte))&gt;1,
HYPERLINK("#Roadmap!C"&amp; MATCH($E147,Roadmap!$D:$D,0)+COUNTIF($E147:H147,"u")+COUNTIF($E147:H147,"t")+COUNTIF($E147:H147,"¶")+COUNTIF($E147:H147,"²")+COUNTIF($E147:H147,"µ")+COUNTIF($E147:H147,1)-1,INDEX(Roadmap!$D:$K,MATCH($E147,Roadmap!$D:$D,0)-1+COUNTIF($E147:H147,"u")+COUNTIF($E147:H147,"t")+COUNTIF($E147:H147,"¶")+COUNTIF($E147:H147,"²")+COUNTIF($E147:H147,"µ")+COUNTIF($E147:H147,1),ColDescriptionCourte)),""),
  "")),"")</f>
        <v/>
      </c>
      <c r="J147" s="40" t="str">
        <f ca="1">IFERROR(IF(AND(
  INDEX(Roadmap!$D:$K,MATCH($E147,Roadmap!$D:$D,0)+COUNTIF($E147:I147,"u")+COUNTIF($E147:I147,"t")+COUNTIF($E147:I147,"¶")+COUNTIF($E147:I147,"²")+COUNTIF($E147:I147,"µ")+COUNTIF($E147:I147,1),ColLivraison)=J$6,
  VLOOKUP($E147,INDIRECT("tri!"&amp; CHAR(64+ C0Col) &amp;":"&amp; CHAR(65+C0Col)),2,FALSE)&gt;COUNTIF($E147:I147,"u")+COUNTIF($E147:I147,"t")+COUNTIF($E147:I147,"¶")+COUNTIF($E147:I147,"²")+COUNTIF($E147:I147,"µ")+COUNTIF($E147:I147,1)),
HYPERLINK("#Roadmap!C"&amp; MATCH($E147,Roadmap!$D:$D,0)+COUNTIF($E147:I147,"u")+COUNTIF($E147:I147,"t"),
     INDEX(Roadmap!$D:$K,MATCH($E147,Roadmap!$D:$D,0)+COUNTIF($E147:I147,"u")+COUNTIF($E147:I147,"t")+COUNTIF($E147:I147,"¶")+COUNTIF($E147:I147,"²")+COUNTIF($E147:I147,"µ")+COUNTIF($E147:I147,1),ColTypeEcheance)),
  IF(LEN(I147)=1,
  IF(LEN(INDEX(Roadmap!$D:$K,MATCH($E147,Roadmap!$D:$D,0)-1+COUNTIF($E147:I147,"u")+COUNTIF($E147:I147,"t")+COUNTIF($E147:I147,"¶")+COUNTIF($E147:I147,"²")+COUNTIF($E147:I147,"µ")+COUNTIF($E147:I147,1),ColDescriptionCourte))&gt;1,
HYPERLINK("#Roadmap!C"&amp; MATCH($E147,Roadmap!$D:$D,0)+COUNTIF($E147:I147,"u")+COUNTIF($E147:I147,"t")+COUNTIF($E147:I147,"¶")+COUNTIF($E147:I147,"²")+COUNTIF($E147:I147,"µ")+COUNTIF($E147:I147,1)-1,INDEX(Roadmap!$D:$K,MATCH($E147,Roadmap!$D:$D,0)-1+COUNTIF($E147:I147,"u")+COUNTIF($E147:I147,"t")+COUNTIF($E147:I147,"¶")+COUNTIF($E147:I147,"²")+COUNTIF($E147:I147,"µ")+COUNTIF($E147:I147,1),ColDescriptionCourte)),""),
  "")),"")</f>
        <v/>
      </c>
      <c r="K147" s="40" t="str">
        <f ca="1">IFERROR(IF(AND(
  INDEX(Roadmap!$D:$K,MATCH($E147,Roadmap!$D:$D,0)+COUNTIF($E147:J147,"u")+COUNTIF($E147:J147,"t")+COUNTIF($E147:J147,"¶")+COUNTIF($E147:J147,"²")+COUNTIF($E147:J147,"µ")+COUNTIF($E147:J147,1),ColLivraison)=K$6,
  VLOOKUP($E147,INDIRECT("tri!"&amp; CHAR(64+ C0Col) &amp;":"&amp; CHAR(65+C0Col)),2,FALSE)&gt;COUNTIF($E147:J147,"u")+COUNTIF($E147:J147,"t")+COUNTIF($E147:J147,"¶")+COUNTIF($E147:J147,"²")+COUNTIF($E147:J147,"µ")+COUNTIF($E147:J147,1)),
HYPERLINK("#Roadmap!C"&amp; MATCH($E147,Roadmap!$D:$D,0)+COUNTIF($E147:J147,"u")+COUNTIF($E147:J147,"t"),
     INDEX(Roadmap!$D:$K,MATCH($E147,Roadmap!$D:$D,0)+COUNTIF($E147:J147,"u")+COUNTIF($E147:J147,"t")+COUNTIF($E147:J147,"¶")+COUNTIF($E147:J147,"²")+COUNTIF($E147:J147,"µ")+COUNTIF($E147:J147,1),ColTypeEcheance)),
  IF(LEN(J147)=1,
  IF(LEN(INDEX(Roadmap!$D:$K,MATCH($E147,Roadmap!$D:$D,0)-1+COUNTIF($E147:J147,"u")+COUNTIF($E147:J147,"t")+COUNTIF($E147:J147,"¶")+COUNTIF($E147:J147,"²")+COUNTIF($E147:J147,"µ")+COUNTIF($E147:J147,1),ColDescriptionCourte))&gt;1,
HYPERLINK("#Roadmap!C"&amp; MATCH($E147,Roadmap!$D:$D,0)+COUNTIF($E147:J147,"u")+COUNTIF($E147:J147,"t")+COUNTIF($E147:J147,"¶")+COUNTIF($E147:J147,"²")+COUNTIF($E147:J147,"µ")+COUNTIF($E147:J147,1)-1,INDEX(Roadmap!$D:$K,MATCH($E147,Roadmap!$D:$D,0)-1+COUNTIF($E147:J147,"u")+COUNTIF($E147:J147,"t")+COUNTIF($E147:J147,"¶")+COUNTIF($E147:J147,"²")+COUNTIF($E147:J147,"µ")+COUNTIF($E147:J147,1),ColDescriptionCourte)),""),
  "")),"")</f>
        <v/>
      </c>
      <c r="L147" s="39" t="str">
        <f ca="1">IFERROR(IF(AND(
  INDEX(Roadmap!$D:$K,MATCH($E147,Roadmap!$D:$D,0)+COUNTIF($E147:K147,"u")+COUNTIF($E147:K147,"t")+COUNTIF($E147:K147,"¶")+COUNTIF($E147:K147,"²")+COUNTIF($E147:K147,"µ")+COUNTIF($E147:K147,1),ColLivraison)=L$6,
  VLOOKUP($E147,INDIRECT("tri!"&amp; CHAR(64+ C0Col) &amp;":"&amp; CHAR(65+C0Col)),2,FALSE)&gt;COUNTIF($E147:K147,"u")+COUNTIF($E147:K147,"t")+COUNTIF($E147:K147,"¶")+COUNTIF($E147:K147,"²")+COUNTIF($E147:K147,"µ")+COUNTIF($E147:K147,1)),
HYPERLINK("#Roadmap!C"&amp; MATCH($E147,Roadmap!$D:$D,0)+COUNTIF($E147:K147,"u")+COUNTIF($E147:K147,"t"),
     INDEX(Roadmap!$D:$K,MATCH($E147,Roadmap!$D:$D,0)+COUNTIF($E147:K147,"u")+COUNTIF($E147:K147,"t")+COUNTIF($E147:K147,"¶")+COUNTIF($E147:K147,"²")+COUNTIF($E147:K147,"µ")+COUNTIF($E147:K147,1),ColTypeEcheance)),
  IF(LEN(K147)=1,
  IF(LEN(INDEX(Roadmap!$D:$K,MATCH($E147,Roadmap!$D:$D,0)-1+COUNTIF($E147:K147,"u")+COUNTIF($E147:K147,"t")+COUNTIF($E147:K147,"¶")+COUNTIF($E147:K147,"²")+COUNTIF($E147:K147,"µ")+COUNTIF($E147:K147,1),ColDescriptionCourte))&gt;1,
HYPERLINK("#Roadmap!C"&amp; MATCH($E147,Roadmap!$D:$D,0)+COUNTIF($E147:K147,"u")+COUNTIF($E147:K147,"t")+COUNTIF($E147:K147,"¶")+COUNTIF($E147:K147,"²")+COUNTIF($E147:K147,"µ")+COUNTIF($E147:K147,1)-1,INDEX(Roadmap!$D:$K,MATCH($E147,Roadmap!$D:$D,0)-1+COUNTIF($E147:K147,"u")+COUNTIF($E147:K147,"t")+COUNTIF($E147:K147,"¶")+COUNTIF($E147:K147,"²")+COUNTIF($E147:K147,"µ")+COUNTIF($E147:K147,1),ColDescriptionCourte)),""),
  "")),"")</f>
        <v/>
      </c>
      <c r="M147" s="40" t="str">
        <f ca="1">IFERROR(IF(AND(
  INDEX(Roadmap!$D:$K,MATCH($E147,Roadmap!$D:$D,0)+COUNTIF($E147:L147,"u")+COUNTIF($E147:L147,"t")+COUNTIF($E147:L147,"¶")+COUNTIF($E147:L147,"²")+COUNTIF($E147:L147,"µ")+COUNTIF($E147:L147,1),ColLivraison)=M$6,
  VLOOKUP($E147,INDIRECT("tri!"&amp; CHAR(64+ C0Col) &amp;":"&amp; CHAR(65+C0Col)),2,FALSE)&gt;COUNTIF($E147:L147,"u")+COUNTIF($E147:L147,"t")+COUNTIF($E147:L147,"¶")+COUNTIF($E147:L147,"²")+COUNTIF($E147:L147,"µ")+COUNTIF($E147:L147,1)),
HYPERLINK("#Roadmap!C"&amp; MATCH($E147,Roadmap!$D:$D,0)+COUNTIF($E147:L147,"u")+COUNTIF($E147:L147,"t"),
     INDEX(Roadmap!$D:$K,MATCH($E147,Roadmap!$D:$D,0)+COUNTIF($E147:L147,"u")+COUNTIF($E147:L147,"t")+COUNTIF($E147:L147,"¶")+COUNTIF($E147:L147,"²")+COUNTIF($E147:L147,"µ")+COUNTIF($E147:L147,1),ColTypeEcheance)),
  IF(LEN(L147)=1,
  IF(LEN(INDEX(Roadmap!$D:$K,MATCH($E147,Roadmap!$D:$D,0)-1+COUNTIF($E147:L147,"u")+COUNTIF($E147:L147,"t")+COUNTIF($E147:L147,"¶")+COUNTIF($E147:L147,"²")+COUNTIF($E147:L147,"µ")+COUNTIF($E147:L147,1),ColDescriptionCourte))&gt;1,
HYPERLINK("#Roadmap!C"&amp; MATCH($E147,Roadmap!$D:$D,0)+COUNTIF($E147:L147,"u")+COUNTIF($E147:L147,"t")+COUNTIF($E147:L147,"¶")+COUNTIF($E147:L147,"²")+COUNTIF($E147:L147,"µ")+COUNTIF($E147:L147,1)-1,INDEX(Roadmap!$D:$K,MATCH($E147,Roadmap!$D:$D,0)-1+COUNTIF($E147:L147,"u")+COUNTIF($E147:L147,"t")+COUNTIF($E147:L147,"¶")+COUNTIF($E147:L147,"²")+COUNTIF($E147:L147,"µ")+COUNTIF($E147:L147,1),ColDescriptionCourte)),""),
  "")),"")</f>
        <v/>
      </c>
      <c r="N147" s="40" t="str">
        <f ca="1">IFERROR(IF(AND(
  INDEX(Roadmap!$D:$K,MATCH($E147,Roadmap!$D:$D,0)+COUNTIF($E147:M147,"u")+COUNTIF($E147:M147,"t")+COUNTIF($E147:M147,"¶")+COUNTIF($E147:M147,"²")+COUNTIF($E147:M147,"µ")+COUNTIF($E147:M147,1),ColLivraison)=N$6,
  VLOOKUP($E147,INDIRECT("tri!"&amp; CHAR(64+ C0Col) &amp;":"&amp; CHAR(65+C0Col)),2,FALSE)&gt;COUNTIF($E147:M147,"u")+COUNTIF($E147:M147,"t")+COUNTIF($E147:M147,"¶")+COUNTIF($E147:M147,"²")+COUNTIF($E147:M147,"µ")+COUNTIF($E147:M147,1)),
HYPERLINK("#Roadmap!C"&amp; MATCH($E147,Roadmap!$D:$D,0)+COUNTIF($E147:M147,"u")+COUNTIF($E147:M147,"t"),
     INDEX(Roadmap!$D:$K,MATCH($E147,Roadmap!$D:$D,0)+COUNTIF($E147:M147,"u")+COUNTIF($E147:M147,"t")+COUNTIF($E147:M147,"¶")+COUNTIF($E147:M147,"²")+COUNTIF($E147:M147,"µ")+COUNTIF($E147:M147,1),ColTypeEcheance)),
  IF(LEN(M147)=1,
  IF(LEN(INDEX(Roadmap!$D:$K,MATCH($E147,Roadmap!$D:$D,0)-1+COUNTIF($E147:M147,"u")+COUNTIF($E147:M147,"t")+COUNTIF($E147:M147,"¶")+COUNTIF($E147:M147,"²")+COUNTIF($E147:M147,"µ")+COUNTIF($E147:M147,1),ColDescriptionCourte))&gt;1,
HYPERLINK("#Roadmap!C"&amp; MATCH($E147,Roadmap!$D:$D,0)+COUNTIF($E147:M147,"u")+COUNTIF($E147:M147,"t")+COUNTIF($E147:M147,"¶")+COUNTIF($E147:M147,"²")+COUNTIF($E147:M147,"µ")+COUNTIF($E147:M147,1)-1,INDEX(Roadmap!$D:$K,MATCH($E147,Roadmap!$D:$D,0)-1+COUNTIF($E147:M147,"u")+COUNTIF($E147:M147,"t")+COUNTIF($E147:M147,"¶")+COUNTIF($E147:M147,"²")+COUNTIF($E147:M147,"µ")+COUNTIF($E147:M147,1),ColDescriptionCourte)),""),
  "")),"")</f>
        <v/>
      </c>
      <c r="O147" s="40" t="str">
        <f ca="1">IFERROR(IF(AND(
  INDEX(Roadmap!$D:$K,MATCH($E147,Roadmap!$D:$D,0)+COUNTIF($E147:N147,"u")+COUNTIF($E147:N147,"t")+COUNTIF($E147:N147,"¶")+COUNTIF($E147:N147,"²")+COUNTIF($E147:N147,"µ")+COUNTIF($E147:N147,1),ColLivraison)=O$6,
  VLOOKUP($E147,INDIRECT("tri!"&amp; CHAR(64+ C0Col) &amp;":"&amp; CHAR(65+C0Col)),2,FALSE)&gt;COUNTIF($E147:N147,"u")+COUNTIF($E147:N147,"t")+COUNTIF($E147:N147,"¶")+COUNTIF($E147:N147,"²")+COUNTIF($E147:N147,"µ")+COUNTIF($E147:N147,1)),
HYPERLINK("#Roadmap!C"&amp; MATCH($E147,Roadmap!$D:$D,0)+COUNTIF($E147:N147,"u")+COUNTIF($E147:N147,"t"),
     INDEX(Roadmap!$D:$K,MATCH($E147,Roadmap!$D:$D,0)+COUNTIF($E147:N147,"u")+COUNTIF($E147:N147,"t")+COUNTIF($E147:N147,"¶")+COUNTIF($E147:N147,"²")+COUNTIF($E147:N147,"µ")+COUNTIF($E147:N147,1),ColTypeEcheance)),
  IF(LEN(N147)=1,
  IF(LEN(INDEX(Roadmap!$D:$K,MATCH($E147,Roadmap!$D:$D,0)-1+COUNTIF($E147:N147,"u")+COUNTIF($E147:N147,"t")+COUNTIF($E147:N147,"¶")+COUNTIF($E147:N147,"²")+COUNTIF($E147:N147,"µ")+COUNTIF($E147:N147,1),ColDescriptionCourte))&gt;1,
HYPERLINK("#Roadmap!C"&amp; MATCH($E147,Roadmap!$D:$D,0)+COUNTIF($E147:N147,"u")+COUNTIF($E147:N147,"t")+COUNTIF($E147:N147,"¶")+COUNTIF($E147:N147,"²")+COUNTIF($E147:N147,"µ")+COUNTIF($E147:N147,1)-1,INDEX(Roadmap!$D:$K,MATCH($E147,Roadmap!$D:$D,0)-1+COUNTIF($E147:N147,"u")+COUNTIF($E147:N147,"t")+COUNTIF($E147:N147,"¶")+COUNTIF($E147:N147,"²")+COUNTIF($E147:N147,"µ")+COUNTIF($E147:N147,1),ColDescriptionCourte)),""),
  "")),"")</f>
        <v/>
      </c>
      <c r="P147" s="40" t="str">
        <f ca="1">IFERROR(IF(AND(
  INDEX(Roadmap!$D:$K,MATCH($E147,Roadmap!$D:$D,0)+COUNTIF($E147:O147,"u")+COUNTIF($E147:O147,"t")+COUNTIF($E147:O147,"¶")+COUNTIF($E147:O147,"²")+COUNTIF($E147:O147,"µ")+COUNTIF($E147:O147,1),ColLivraison)=P$6,
  VLOOKUP($E147,INDIRECT("tri!"&amp; CHAR(64+ C0Col) &amp;":"&amp; CHAR(65+C0Col)),2,FALSE)&gt;COUNTIF($E147:O147,"u")+COUNTIF($E147:O147,"t")+COUNTIF($E147:O147,"¶")+COUNTIF($E147:O147,"²")+COUNTIF($E147:O147,"µ")+COUNTIF($E147:O147,1)),
HYPERLINK("#Roadmap!C"&amp; MATCH($E147,Roadmap!$D:$D,0)+COUNTIF($E147:O147,"u")+COUNTIF($E147:O147,"t"),
     INDEX(Roadmap!$D:$K,MATCH($E147,Roadmap!$D:$D,0)+COUNTIF($E147:O147,"u")+COUNTIF($E147:O147,"t")+COUNTIF($E147:O147,"¶")+COUNTIF($E147:O147,"²")+COUNTIF($E147:O147,"µ")+COUNTIF($E147:O147,1),ColTypeEcheance)),
  IF(LEN(O147)=1,
  IF(LEN(INDEX(Roadmap!$D:$K,MATCH($E147,Roadmap!$D:$D,0)-1+COUNTIF($E147:O147,"u")+COUNTIF($E147:O147,"t")+COUNTIF($E147:O147,"¶")+COUNTIF($E147:O147,"²")+COUNTIF($E147:O147,"µ")+COUNTIF($E147:O147,1),ColDescriptionCourte))&gt;1,
HYPERLINK("#Roadmap!C"&amp; MATCH($E147,Roadmap!$D:$D,0)+COUNTIF($E147:O147,"u")+COUNTIF($E147:O147,"t")+COUNTIF($E147:O147,"¶")+COUNTIF($E147:O147,"²")+COUNTIF($E147:O147,"µ")+COUNTIF($E147:O147,1)-1,INDEX(Roadmap!$D:$K,MATCH($E147,Roadmap!$D:$D,0)-1+COUNTIF($E147:O147,"u")+COUNTIF($E147:O147,"t")+COUNTIF($E147:O147,"¶")+COUNTIF($E147:O147,"²")+COUNTIF($E147:O147,"µ")+COUNTIF($E147:O147,1),ColDescriptionCourte)),""),
  "")),"")</f>
        <v/>
      </c>
      <c r="Q147" s="40" t="str">
        <f ca="1">IFERROR(IF(AND(
  INDEX(Roadmap!$D:$K,MATCH($E147,Roadmap!$D:$D,0)+COUNTIF($E147:P147,"u")+COUNTIF($E147:P147,"t")+COUNTIF($E147:P147,"¶")+COUNTIF($E147:P147,"²")+COUNTIF($E147:P147,"µ")+COUNTIF($E147:P147,1),ColLivraison)=Q$6,
  VLOOKUP($E147,INDIRECT("tri!"&amp; CHAR(64+ C0Col) &amp;":"&amp; CHAR(65+C0Col)),2,FALSE)&gt;COUNTIF($E147:P147,"u")+COUNTIF($E147:P147,"t")+COUNTIF($E147:P147,"¶")+COUNTIF($E147:P147,"²")+COUNTIF($E147:P147,"µ")+COUNTIF($E147:P147,1)),
HYPERLINK("#Roadmap!C"&amp; MATCH($E147,Roadmap!$D:$D,0)+COUNTIF($E147:P147,"u")+COUNTIF($E147:P147,"t"),
     INDEX(Roadmap!$D:$K,MATCH($E147,Roadmap!$D:$D,0)+COUNTIF($E147:P147,"u")+COUNTIF($E147:P147,"t")+COUNTIF($E147:P147,"¶")+COUNTIF($E147:P147,"²")+COUNTIF($E147:P147,"µ")+COUNTIF($E147:P147,1),ColTypeEcheance)),
  IF(LEN(P147)=1,
  IF(LEN(INDEX(Roadmap!$D:$K,MATCH($E147,Roadmap!$D:$D,0)-1+COUNTIF($E147:P147,"u")+COUNTIF($E147:P147,"t")+COUNTIF($E147:P147,"¶")+COUNTIF($E147:P147,"²")+COUNTIF($E147:P147,"µ")+COUNTIF($E147:P147,1),ColDescriptionCourte))&gt;1,
HYPERLINK("#Roadmap!C"&amp; MATCH($E147,Roadmap!$D:$D,0)+COUNTIF($E147:P147,"u")+COUNTIF($E147:P147,"t")+COUNTIF($E147:P147,"¶")+COUNTIF($E147:P147,"²")+COUNTIF($E147:P147,"µ")+COUNTIF($E147:P147,1)-1,INDEX(Roadmap!$D:$K,MATCH($E147,Roadmap!$D:$D,0)-1+COUNTIF($E147:P147,"u")+COUNTIF($E147:P147,"t")+COUNTIF($E147:P147,"¶")+COUNTIF($E147:P147,"²")+COUNTIF($E147:P147,"µ")+COUNTIF($E147:P147,1),ColDescriptionCourte)),""),
  "")),"")</f>
        <v/>
      </c>
      <c r="R147" s="40" t="str">
        <f ca="1">IFERROR(IF(AND(
  INDEX(Roadmap!$D:$K,MATCH($E147,Roadmap!$D:$D,0)+COUNTIF($E147:Q147,"u")+COUNTIF($E147:Q147,"t")+COUNTIF($E147:Q147,"¶")+COUNTIF($E147:Q147,"²")+COUNTIF($E147:Q147,"µ")+COUNTIF($E147:Q147,1),ColLivraison)=R$6,
  VLOOKUP($E147,INDIRECT("tri!"&amp; CHAR(64+ C0Col) &amp;":"&amp; CHAR(65+C0Col)),2,FALSE)&gt;COUNTIF($E147:Q147,"u")+COUNTIF($E147:Q147,"t")+COUNTIF($E147:Q147,"¶")+COUNTIF($E147:Q147,"²")+COUNTIF($E147:Q147,"µ")+COUNTIF($E147:Q147,1)),
HYPERLINK("#Roadmap!C"&amp; MATCH($E147,Roadmap!$D:$D,0)+COUNTIF($E147:Q147,"u")+COUNTIF($E147:Q147,"t"),
     INDEX(Roadmap!$D:$K,MATCH($E147,Roadmap!$D:$D,0)+COUNTIF($E147:Q147,"u")+COUNTIF($E147:Q147,"t")+COUNTIF($E147:Q147,"¶")+COUNTIF($E147:Q147,"²")+COUNTIF($E147:Q147,"µ")+COUNTIF($E147:Q147,1),ColTypeEcheance)),
  IF(LEN(Q147)=1,
  IF(LEN(INDEX(Roadmap!$D:$K,MATCH($E147,Roadmap!$D:$D,0)-1+COUNTIF($E147:Q147,"u")+COUNTIF($E147:Q147,"t")+COUNTIF($E147:Q147,"¶")+COUNTIF($E147:Q147,"²")+COUNTIF($E147:Q147,"µ")+COUNTIF($E147:Q147,1),ColDescriptionCourte))&gt;1,
HYPERLINK("#Roadmap!C"&amp; MATCH($E147,Roadmap!$D:$D,0)+COUNTIF($E147:Q147,"u")+COUNTIF($E147:Q147,"t")+COUNTIF($E147:Q147,"¶")+COUNTIF($E147:Q147,"²")+COUNTIF($E147:Q147,"µ")+COUNTIF($E147:Q147,1)-1,INDEX(Roadmap!$D:$K,MATCH($E147,Roadmap!$D:$D,0)-1+COUNTIF($E147:Q147,"u")+COUNTIF($E147:Q147,"t")+COUNTIF($E147:Q147,"¶")+COUNTIF($E147:Q147,"²")+COUNTIF($E147:Q147,"µ")+COUNTIF($E147:Q147,1),ColDescriptionCourte)),""),
  "")),"")</f>
        <v/>
      </c>
      <c r="S147" s="40" t="str">
        <f ca="1">IFERROR(IF(AND(
  INDEX(Roadmap!$D:$K,MATCH($E147,Roadmap!$D:$D,0)+COUNTIF($E147:R147,"u")+COUNTIF($E147:R147,"t")+COUNTIF($E147:R147,"¶")+COUNTIF($E147:R147,"²")+COUNTIF($E147:R147,"µ")+COUNTIF($E147:R147,1),ColLivraison)=S$6,
  VLOOKUP($E147,INDIRECT("tri!"&amp; CHAR(64+ C0Col) &amp;":"&amp; CHAR(65+C0Col)),2,FALSE)&gt;COUNTIF($E147:R147,"u")+COUNTIF($E147:R147,"t")+COUNTIF($E147:R147,"¶")+COUNTIF($E147:R147,"²")+COUNTIF($E147:R147,"µ")+COUNTIF($E147:R147,1)),
HYPERLINK("#Roadmap!C"&amp; MATCH($E147,Roadmap!$D:$D,0)+COUNTIF($E147:R147,"u")+COUNTIF($E147:R147,"t"),
     INDEX(Roadmap!$D:$K,MATCH($E147,Roadmap!$D:$D,0)+COUNTIF($E147:R147,"u")+COUNTIF($E147:R147,"t")+COUNTIF($E147:R147,"¶")+COUNTIF($E147:R147,"²")+COUNTIF($E147:R147,"µ")+COUNTIF($E147:R147,1),ColTypeEcheance)),
  IF(LEN(R147)=1,
  IF(LEN(INDEX(Roadmap!$D:$K,MATCH($E147,Roadmap!$D:$D,0)-1+COUNTIF($E147:R147,"u")+COUNTIF($E147:R147,"t")+COUNTIF($E147:R147,"¶")+COUNTIF($E147:R147,"²")+COUNTIF($E147:R147,"µ")+COUNTIF($E147:R147,1),ColDescriptionCourte))&gt;1,
HYPERLINK("#Roadmap!C"&amp; MATCH($E147,Roadmap!$D:$D,0)+COUNTIF($E147:R147,"u")+COUNTIF($E147:R147,"t")+COUNTIF($E147:R147,"¶")+COUNTIF($E147:R147,"²")+COUNTIF($E147:R147,"µ")+COUNTIF($E147:R147,1)-1,INDEX(Roadmap!$D:$K,MATCH($E147,Roadmap!$D:$D,0)-1+COUNTIF($E147:R147,"u")+COUNTIF($E147:R147,"t")+COUNTIF($E147:R147,"¶")+COUNTIF($E147:R147,"²")+COUNTIF($E147:R147,"µ")+COUNTIF($E147:R147,1),ColDescriptionCourte)),""),
  "")),"")</f>
        <v/>
      </c>
      <c r="T147" s="40" t="str">
        <f ca="1">IFERROR(IF(AND(
  INDEX(Roadmap!$D:$K,MATCH($E147,Roadmap!$D:$D,0)+COUNTIF($E147:S147,"u")+COUNTIF($E147:S147,"t")+COUNTIF($E147:S147,"¶")+COUNTIF($E147:S147,"²")+COUNTIF($E147:S147,"µ")+COUNTIF($E147:S147,1),ColLivraison)=T$6,
  VLOOKUP($E147,INDIRECT("tri!"&amp; CHAR(64+ C0Col) &amp;":"&amp; CHAR(65+C0Col)),2,FALSE)&gt;COUNTIF($E147:S147,"u")+COUNTIF($E147:S147,"t")+COUNTIF($E147:S147,"¶")+COUNTIF($E147:S147,"²")+COUNTIF($E147:S147,"µ")+COUNTIF($E147:S147,1)),
HYPERLINK("#Roadmap!C"&amp; MATCH($E147,Roadmap!$D:$D,0)+COUNTIF($E147:S147,"u")+COUNTIF($E147:S147,"t"),
     INDEX(Roadmap!$D:$K,MATCH($E147,Roadmap!$D:$D,0)+COUNTIF($E147:S147,"u")+COUNTIF($E147:S147,"t")+COUNTIF($E147:S147,"¶")+COUNTIF($E147:S147,"²")+COUNTIF($E147:S147,"µ")+COUNTIF($E147:S147,1),ColTypeEcheance)),
  IF(LEN(S147)=1,
  IF(LEN(INDEX(Roadmap!$D:$K,MATCH($E147,Roadmap!$D:$D,0)-1+COUNTIF($E147:S147,"u")+COUNTIF($E147:S147,"t")+COUNTIF($E147:S147,"¶")+COUNTIF($E147:S147,"²")+COUNTIF($E147:S147,"µ")+COUNTIF($E147:S147,1),ColDescriptionCourte))&gt;1,
HYPERLINK("#Roadmap!C"&amp; MATCH($E147,Roadmap!$D:$D,0)+COUNTIF($E147:S147,"u")+COUNTIF($E147:S147,"t")+COUNTIF($E147:S147,"¶")+COUNTIF($E147:S147,"²")+COUNTIF($E147:S147,"µ")+COUNTIF($E147:S147,1)-1,INDEX(Roadmap!$D:$K,MATCH($E147,Roadmap!$D:$D,0)-1+COUNTIF($E147:S147,"u")+COUNTIF($E147:S147,"t")+COUNTIF($E147:S147,"¶")+COUNTIF($E147:S147,"²")+COUNTIF($E147:S147,"µ")+COUNTIF($E147:S147,1),ColDescriptionCourte)),""),
  "")),"")</f>
        <v/>
      </c>
      <c r="U147" s="40" t="str">
        <f ca="1">IFERROR(IF(AND(
  INDEX(Roadmap!$D:$K,MATCH($E147,Roadmap!$D:$D,0)+COUNTIF($E147:T147,"u")+COUNTIF($E147:T147,"t")+COUNTIF($E147:T147,"¶")+COUNTIF($E147:T147,"²")+COUNTIF($E147:T147,"µ")+COUNTIF($E147:T147,1),ColLivraison)=U$6,
  VLOOKUP($E147,INDIRECT("tri!"&amp; CHAR(64+ C0Col) &amp;":"&amp; CHAR(65+C0Col)),2,FALSE)&gt;COUNTIF($E147:T147,"u")+COUNTIF($E147:T147,"t")+COUNTIF($E147:T147,"¶")+COUNTIF($E147:T147,"²")+COUNTIF($E147:T147,"µ")+COUNTIF($E147:T147,1)),
HYPERLINK("#Roadmap!C"&amp; MATCH($E147,Roadmap!$D:$D,0)+COUNTIF($E147:T147,"u")+COUNTIF($E147:T147,"t"),
     INDEX(Roadmap!$D:$K,MATCH($E147,Roadmap!$D:$D,0)+COUNTIF($E147:T147,"u")+COUNTIF($E147:T147,"t")+COUNTIF($E147:T147,"¶")+COUNTIF($E147:T147,"²")+COUNTIF($E147:T147,"µ")+COUNTIF($E147:T147,1),ColTypeEcheance)),
  IF(LEN(T147)=1,
  IF(LEN(INDEX(Roadmap!$D:$K,MATCH($E147,Roadmap!$D:$D,0)-1+COUNTIF($E147:T147,"u")+COUNTIF($E147:T147,"t")+COUNTIF($E147:T147,"¶")+COUNTIF($E147:T147,"²")+COUNTIF($E147:T147,"µ")+COUNTIF($E147:T147,1),ColDescriptionCourte))&gt;1,
HYPERLINK("#Roadmap!C"&amp; MATCH($E147,Roadmap!$D:$D,0)+COUNTIF($E147:T147,"u")+COUNTIF($E147:T147,"t")+COUNTIF($E147:T147,"¶")+COUNTIF($E147:T147,"²")+COUNTIF($E147:T147,"µ")+COUNTIF($E147:T147,1)-1,INDEX(Roadmap!$D:$K,MATCH($E147,Roadmap!$D:$D,0)-1+COUNTIF($E147:T147,"u")+COUNTIF($E147:T147,"t")+COUNTIF($E147:T147,"¶")+COUNTIF($E147:T147,"²")+COUNTIF($E147:T147,"µ")+COUNTIF($E147:T147,1),ColDescriptionCourte)),""),
  "")),"")</f>
        <v/>
      </c>
      <c r="V147" s="40" t="str">
        <f ca="1">IFERROR(IF(AND(
  INDEX(Roadmap!$D:$K,MATCH($E147,Roadmap!$D:$D,0)+COUNTIF($E147:U147,"u")+COUNTIF($E147:U147,"t")+COUNTIF($E147:U147,"¶")+COUNTIF($E147:U147,"²")+COUNTIF($E147:U147,"µ")+COUNTIF($E147:U147,1),ColLivraison)=V$6,
  VLOOKUP($E147,INDIRECT("tri!"&amp; CHAR(64+ C0Col) &amp;":"&amp; CHAR(65+C0Col)),2,FALSE)&gt;COUNTIF($E147:U147,"u")+COUNTIF($E147:U147,"t")+COUNTIF($E147:U147,"¶")+COUNTIF($E147:U147,"²")+COUNTIF($E147:U147,"µ")+COUNTIF($E147:U147,1)),
HYPERLINK("#Roadmap!C"&amp; MATCH($E147,Roadmap!$D:$D,0)+COUNTIF($E147:U147,"u")+COUNTIF($E147:U147,"t"),
     INDEX(Roadmap!$D:$K,MATCH($E147,Roadmap!$D:$D,0)+COUNTIF($E147:U147,"u")+COUNTIF($E147:U147,"t")+COUNTIF($E147:U147,"¶")+COUNTIF($E147:U147,"²")+COUNTIF($E147:U147,"µ")+COUNTIF($E147:U147,1),ColTypeEcheance)),
  IF(LEN(U147)=1,
  IF(LEN(INDEX(Roadmap!$D:$K,MATCH($E147,Roadmap!$D:$D,0)-1+COUNTIF($E147:U147,"u")+COUNTIF($E147:U147,"t")+COUNTIF($E147:U147,"¶")+COUNTIF($E147:U147,"²")+COUNTIF($E147:U147,"µ")+COUNTIF($E147:U147,1),ColDescriptionCourte))&gt;1,
HYPERLINK("#Roadmap!C"&amp; MATCH($E147,Roadmap!$D:$D,0)+COUNTIF($E147:U147,"u")+COUNTIF($E147:U147,"t")+COUNTIF($E147:U147,"¶")+COUNTIF($E147:U147,"²")+COUNTIF($E147:U147,"µ")+COUNTIF($E147:U147,1)-1,INDEX(Roadmap!$D:$K,MATCH($E147,Roadmap!$D:$D,0)-1+COUNTIF($E147:U147,"u")+COUNTIF($E147:U147,"t")+COUNTIF($E147:U147,"¶")+COUNTIF($E147:U147,"²")+COUNTIF($E147:U147,"µ")+COUNTIF($E147:U147,1),ColDescriptionCourte)),""),
  "")),"")</f>
        <v/>
      </c>
      <c r="W147" s="40" t="str">
        <f ca="1">IFERROR(IF(AND(
  INDEX(Roadmap!$D:$K,MATCH($E147,Roadmap!$D:$D,0)+COUNTIF($E147:V147,"u")+COUNTIF($E147:V147,"t")+COUNTIF($E147:V147,"¶")+COUNTIF($E147:V147,"²")+COUNTIF($E147:V147,"µ")+COUNTIF($E147:V147,1),ColLivraison)=W$6,
  VLOOKUP($E147,INDIRECT("tri!"&amp; CHAR(64+ C0Col) &amp;":"&amp; CHAR(65+C0Col)),2,FALSE)&gt;COUNTIF($E147:V147,"u")+COUNTIF($E147:V147,"t")+COUNTIF($E147:V147,"¶")+COUNTIF($E147:V147,"²")+COUNTIF($E147:V147,"µ")+COUNTIF($E147:V147,1)),
HYPERLINK("#Roadmap!C"&amp; MATCH($E147,Roadmap!$D:$D,0)+COUNTIF($E147:V147,"u")+COUNTIF($E147:V147,"t"),
     INDEX(Roadmap!$D:$K,MATCH($E147,Roadmap!$D:$D,0)+COUNTIF($E147:V147,"u")+COUNTIF($E147:V147,"t")+COUNTIF($E147:V147,"¶")+COUNTIF($E147:V147,"²")+COUNTIF($E147:V147,"µ")+COUNTIF($E147:V147,1),ColTypeEcheance)),
  IF(LEN(V147)=1,
  IF(LEN(INDEX(Roadmap!$D:$K,MATCH($E147,Roadmap!$D:$D,0)-1+COUNTIF($E147:V147,"u")+COUNTIF($E147:V147,"t")+COUNTIF($E147:V147,"¶")+COUNTIF($E147:V147,"²")+COUNTIF($E147:V147,"µ")+COUNTIF($E147:V147,1),ColDescriptionCourte))&gt;1,
HYPERLINK("#Roadmap!C"&amp; MATCH($E147,Roadmap!$D:$D,0)+COUNTIF($E147:V147,"u")+COUNTIF($E147:V147,"t")+COUNTIF($E147:V147,"¶")+COUNTIF($E147:V147,"²")+COUNTIF($E147:V147,"µ")+COUNTIF($E147:V147,1)-1,INDEX(Roadmap!$D:$K,MATCH($E147,Roadmap!$D:$D,0)-1+COUNTIF($E147:V147,"u")+COUNTIF($E147:V147,"t")+COUNTIF($E147:V147,"¶")+COUNTIF($E147:V147,"²")+COUNTIF($E147:V147,"µ")+COUNTIF($E147:V147,1),ColDescriptionCourte)),""),
  "")),"")</f>
        <v/>
      </c>
      <c r="X147" s="40" t="str">
        <f ca="1">IFERROR(IF(AND(
  INDEX(Roadmap!$D:$K,MATCH($E147,Roadmap!$D:$D,0)+COUNTIF($E147:W147,"u")+COUNTIF($E147:W147,"t")+COUNTIF($E147:W147,"¶")+COUNTIF($E147:W147,"²")+COUNTIF($E147:W147,"µ")+COUNTIF($E147:W147,1),ColLivraison)=X$6,
  VLOOKUP($E147,INDIRECT("tri!"&amp; CHAR(64+ C0Col) &amp;":"&amp; CHAR(65+C0Col)),2,FALSE)&gt;COUNTIF($E147:W147,"u")+COUNTIF($E147:W147,"t")+COUNTIF($E147:W147,"¶")+COUNTIF($E147:W147,"²")+COUNTIF($E147:W147,"µ")+COUNTIF($E147:W147,1)),
HYPERLINK("#Roadmap!C"&amp; MATCH($E147,Roadmap!$D:$D,0)+COUNTIF($E147:W147,"u")+COUNTIF($E147:W147,"t"),
     INDEX(Roadmap!$D:$K,MATCH($E147,Roadmap!$D:$D,0)+COUNTIF($E147:W147,"u")+COUNTIF($E147:W147,"t")+COUNTIF($E147:W147,"¶")+COUNTIF($E147:W147,"²")+COUNTIF($E147:W147,"µ")+COUNTIF($E147:W147,1),ColTypeEcheance)),
  IF(LEN(W147)=1,
  IF(LEN(INDEX(Roadmap!$D:$K,MATCH($E147,Roadmap!$D:$D,0)-1+COUNTIF($E147:W147,"u")+COUNTIF($E147:W147,"t")+COUNTIF($E147:W147,"¶")+COUNTIF($E147:W147,"²")+COUNTIF($E147:W147,"µ")+COUNTIF($E147:W147,1),ColDescriptionCourte))&gt;1,
HYPERLINK("#Roadmap!C"&amp; MATCH($E147,Roadmap!$D:$D,0)+COUNTIF($E147:W147,"u")+COUNTIF($E147:W147,"t")+COUNTIF($E147:W147,"¶")+COUNTIF($E147:W147,"²")+COUNTIF($E147:W147,"µ")+COUNTIF($E147:W147,1)-1,INDEX(Roadmap!$D:$K,MATCH($E147,Roadmap!$D:$D,0)-1+COUNTIF($E147:W147,"u")+COUNTIF($E147:W147,"t")+COUNTIF($E147:W147,"¶")+COUNTIF($E147:W147,"²")+COUNTIF($E147:W147,"µ")+COUNTIF($E147:W147,1),ColDescriptionCourte)),""),
  "")),"")</f>
        <v/>
      </c>
      <c r="Y147" s="40" t="str">
        <f ca="1">IFERROR(IF(AND(
  INDEX(Roadmap!$D:$K,MATCH($E147,Roadmap!$D:$D,0)+COUNTIF($E147:X147,"u")+COUNTIF($E147:X147,"t")+COUNTIF($E147:X147,"¶")+COUNTIF($E147:X147,"²")+COUNTIF($E147:X147,"µ")+COUNTIF($E147:X147,1),ColLivraison)=Y$6,
  VLOOKUP($E147,INDIRECT("tri!"&amp; CHAR(64+ C0Col) &amp;":"&amp; CHAR(65+C0Col)),2,FALSE)&gt;COUNTIF($E147:X147,"u")+COUNTIF($E147:X147,"t")+COUNTIF($E147:X147,"¶")+COUNTIF($E147:X147,"²")+COUNTIF($E147:X147,"µ")+COUNTIF($E147:X147,1)),
HYPERLINK("#Roadmap!C"&amp; MATCH($E147,Roadmap!$D:$D,0)+COUNTIF($E147:X147,"u")+COUNTIF($E147:X147,"t"),
     INDEX(Roadmap!$D:$K,MATCH($E147,Roadmap!$D:$D,0)+COUNTIF($E147:X147,"u")+COUNTIF($E147:X147,"t")+COUNTIF($E147:X147,"¶")+COUNTIF($E147:X147,"²")+COUNTIF($E147:X147,"µ")+COUNTIF($E147:X147,1),ColTypeEcheance)),
  IF(LEN(X147)=1,
  IF(LEN(INDEX(Roadmap!$D:$K,MATCH($E147,Roadmap!$D:$D,0)-1+COUNTIF($E147:X147,"u")+COUNTIF($E147:X147,"t")+COUNTIF($E147:X147,"¶")+COUNTIF($E147:X147,"²")+COUNTIF($E147:X147,"µ")+COUNTIF($E147:X147,1),ColDescriptionCourte))&gt;1,
HYPERLINK("#Roadmap!C"&amp; MATCH($E147,Roadmap!$D:$D,0)+COUNTIF($E147:X147,"u")+COUNTIF($E147:X147,"t")+COUNTIF($E147:X147,"¶")+COUNTIF($E147:X147,"²")+COUNTIF($E147:X147,"µ")+COUNTIF($E147:X147,1)-1,INDEX(Roadmap!$D:$K,MATCH($E147,Roadmap!$D:$D,0)-1+COUNTIF($E147:X147,"u")+COUNTIF($E147:X147,"t")+COUNTIF($E147:X147,"¶")+COUNTIF($E147:X147,"²")+COUNTIF($E147:X147,"µ")+COUNTIF($E147:X147,1),ColDescriptionCourte)),""),
  "")),"")</f>
        <v/>
      </c>
      <c r="Z147" s="40" t="str">
        <f ca="1">IFERROR(IF(AND(
  INDEX(Roadmap!$D:$K,MATCH($E147,Roadmap!$D:$D,0)+COUNTIF($E147:Y147,"u")+COUNTIF($E147:Y147,"t")+COUNTIF($E147:Y147,"¶")+COUNTIF($E147:Y147,"²")+COUNTIF($E147:Y147,"µ")+COUNTIF($E147:Y147,1),ColLivraison)=Z$6,
  VLOOKUP($E147,INDIRECT("tri!"&amp; CHAR(64+ C0Col) &amp;":"&amp; CHAR(65+C0Col)),2,FALSE)&gt;COUNTIF($E147:Y147,"u")+COUNTIF($E147:Y147,"t")+COUNTIF($E147:Y147,"¶")+COUNTIF($E147:Y147,"²")+COUNTIF($E147:Y147,"µ")+COUNTIF($E147:Y147,1)),
HYPERLINK("#Roadmap!C"&amp; MATCH($E147,Roadmap!$D:$D,0)+COUNTIF($E147:Y147,"u")+COUNTIF($E147:Y147,"t"),
     INDEX(Roadmap!$D:$K,MATCH($E147,Roadmap!$D:$D,0)+COUNTIF($E147:Y147,"u")+COUNTIF($E147:Y147,"t")+COUNTIF($E147:Y147,"¶")+COUNTIF($E147:Y147,"²")+COUNTIF($E147:Y147,"µ")+COUNTIF($E147:Y147,1),ColTypeEcheance)),
  IF(LEN(Y147)=1,
  IF(LEN(INDEX(Roadmap!$D:$K,MATCH($E147,Roadmap!$D:$D,0)-1+COUNTIF($E147:Y147,"u")+COUNTIF($E147:Y147,"t")+COUNTIF($E147:Y147,"¶")+COUNTIF($E147:Y147,"²")+COUNTIF($E147:Y147,"µ")+COUNTIF($E147:Y147,1),ColDescriptionCourte))&gt;1,
HYPERLINK("#Roadmap!C"&amp; MATCH($E147,Roadmap!$D:$D,0)+COUNTIF($E147:Y147,"u")+COUNTIF($E147:Y147,"t")+COUNTIF($E147:Y147,"¶")+COUNTIF($E147:Y147,"²")+COUNTIF($E147:Y147,"µ")+COUNTIF($E147:Y147,1)-1,INDEX(Roadmap!$D:$K,MATCH($E147,Roadmap!$D:$D,0)-1+COUNTIF($E147:Y147,"u")+COUNTIF($E147:Y147,"t")+COUNTIF($E147:Y147,"¶")+COUNTIF($E147:Y147,"²")+COUNTIF($E147:Y147,"µ")+COUNTIF($E147:Y147,1),ColDescriptionCourte)),""),
  "")),"")</f>
        <v/>
      </c>
      <c r="AA147" s="40" t="str">
        <f ca="1">IFERROR(IF(AND(
  INDEX(Roadmap!$D:$K,MATCH($E147,Roadmap!$D:$D,0)+COUNTIF($E147:Z147,"u")+COUNTIF($E147:Z147,"t")+COUNTIF($E147:Z147,"¶")+COUNTIF($E147:Z147,"²")+COUNTIF($E147:Z147,"µ")+COUNTIF($E147:Z147,1),ColLivraison)=AA$6,
  VLOOKUP($E147,INDIRECT("tri!"&amp; CHAR(64+ C0Col) &amp;":"&amp; CHAR(65+C0Col)),2,FALSE)&gt;COUNTIF($E147:Z147,"u")+COUNTIF($E147:Z147,"t")+COUNTIF($E147:Z147,"¶")+COUNTIF($E147:Z147,"²")+COUNTIF($E147:Z147,"µ")+COUNTIF($E147:Z147,1)),
HYPERLINK("#Roadmap!C"&amp; MATCH($E147,Roadmap!$D:$D,0)+COUNTIF($E147:Z147,"u")+COUNTIF($E147:Z147,"t"),
     INDEX(Roadmap!$D:$K,MATCH($E147,Roadmap!$D:$D,0)+COUNTIF($E147:Z147,"u")+COUNTIF($E147:Z147,"t")+COUNTIF($E147:Z147,"¶")+COUNTIF($E147:Z147,"²")+COUNTIF($E147:Z147,"µ")+COUNTIF($E147:Z147,1),ColTypeEcheance)),
  IF(LEN(Z147)=1,
  IF(LEN(INDEX(Roadmap!$D:$K,MATCH($E147,Roadmap!$D:$D,0)-1+COUNTIF($E147:Z147,"u")+COUNTIF($E147:Z147,"t")+COUNTIF($E147:Z147,"¶")+COUNTIF($E147:Z147,"²")+COUNTIF($E147:Z147,"µ")+COUNTIF($E147:Z147,1),ColDescriptionCourte))&gt;1,
HYPERLINK("#Roadmap!C"&amp; MATCH($E147,Roadmap!$D:$D,0)+COUNTIF($E147:Z147,"u")+COUNTIF($E147:Z147,"t")+COUNTIF($E147:Z147,"¶")+COUNTIF($E147:Z147,"²")+COUNTIF($E147:Z147,"µ")+COUNTIF($E147:Z147,1)-1,INDEX(Roadmap!$D:$K,MATCH($E147,Roadmap!$D:$D,0)-1+COUNTIF($E147:Z147,"u")+COUNTIF($E147:Z147,"t")+COUNTIF($E147:Z147,"¶")+COUNTIF($E147:Z147,"²")+COUNTIF($E147:Z147,"µ")+COUNTIF($E147:Z147,1),ColDescriptionCourte)),""),
  "")),"")</f>
        <v/>
      </c>
      <c r="AB147" s="40" t="str">
        <f ca="1">IFERROR(IF(AND(
  INDEX(Roadmap!$D:$K,MATCH($E147,Roadmap!$D:$D,0)+COUNTIF($E147:AA147,"u")+COUNTIF($E147:AA147,"t")+COUNTIF($E147:AA147,"¶")+COUNTIF($E147:AA147,"²")+COUNTIF($E147:AA147,"µ")+COUNTIF($E147:AA147,1),ColLivraison)=AB$6,
  VLOOKUP($E147,INDIRECT("tri!"&amp; CHAR(64+ C0Col) &amp;":"&amp; CHAR(65+C0Col)),2,FALSE)&gt;COUNTIF($E147:AA147,"u")+COUNTIF($E147:AA147,"t")+COUNTIF($E147:AA147,"¶")+COUNTIF($E147:AA147,"²")+COUNTIF($E147:AA147,"µ")+COUNTIF($E147:AA147,1)),
HYPERLINK("#Roadmap!C"&amp; MATCH($E147,Roadmap!$D:$D,0)+COUNTIF($E147:AA147,"u")+COUNTIF($E147:AA147,"t"),
     INDEX(Roadmap!$D:$K,MATCH($E147,Roadmap!$D:$D,0)+COUNTIF($E147:AA147,"u")+COUNTIF($E147:AA147,"t")+COUNTIF($E147:AA147,"¶")+COUNTIF($E147:AA147,"²")+COUNTIF($E147:AA147,"µ")+COUNTIF($E147:AA147,1),ColTypeEcheance)),
  IF(LEN(AA147)=1,
  IF(LEN(INDEX(Roadmap!$D:$K,MATCH($E147,Roadmap!$D:$D,0)-1+COUNTIF($E147:AA147,"u")+COUNTIF($E147:AA147,"t")+COUNTIF($E147:AA147,"¶")+COUNTIF($E147:AA147,"²")+COUNTIF($E147:AA147,"µ")+COUNTIF($E147:AA147,1),ColDescriptionCourte))&gt;1,
HYPERLINK("#Roadmap!C"&amp; MATCH($E147,Roadmap!$D:$D,0)+COUNTIF($E147:AA147,"u")+COUNTIF($E147:AA147,"t")+COUNTIF($E147:AA147,"¶")+COUNTIF($E147:AA147,"²")+COUNTIF($E147:AA147,"µ")+COUNTIF($E147:AA147,1)-1,INDEX(Roadmap!$D:$K,MATCH($E147,Roadmap!$D:$D,0)-1+COUNTIF($E147:AA147,"u")+COUNTIF($E147:AA147,"t")+COUNTIF($E147:AA147,"¶")+COUNTIF($E147:AA147,"²")+COUNTIF($E147:AA147,"µ")+COUNTIF($E147:AA147,1),ColDescriptionCourte)),""),
  "")),"")</f>
        <v/>
      </c>
      <c r="AC147" s="40" t="str">
        <f ca="1">IFERROR(IF(AND(
  INDEX(Roadmap!$D:$K,MATCH($E147,Roadmap!$D:$D,0)+COUNTIF($E147:AB147,"u")+COUNTIF($E147:AB147,"t")+COUNTIF($E147:AB147,"¶")+COUNTIF($E147:AB147,"²")+COUNTIF($E147:AB147,"µ")+COUNTIF($E147:AB147,1),ColLivraison)=AC$6,
  VLOOKUP($E147,INDIRECT("tri!"&amp; CHAR(64+ C0Col) &amp;":"&amp; CHAR(65+C0Col)),2,FALSE)&gt;COUNTIF($E147:AB147,"u")+COUNTIF($E147:AB147,"t")+COUNTIF($E147:AB147,"¶")+COUNTIF($E147:AB147,"²")+COUNTIF($E147:AB147,"µ")+COUNTIF($E147:AB147,1)),
HYPERLINK("#Roadmap!C"&amp; MATCH($E147,Roadmap!$D:$D,0)+COUNTIF($E147:AB147,"u")+COUNTIF($E147:AB147,"t"),
     INDEX(Roadmap!$D:$K,MATCH($E147,Roadmap!$D:$D,0)+COUNTIF($E147:AB147,"u")+COUNTIF($E147:AB147,"t")+COUNTIF($E147:AB147,"¶")+COUNTIF($E147:AB147,"²")+COUNTIF($E147:AB147,"µ")+COUNTIF($E147:AB147,1),ColTypeEcheance)),
  IF(LEN(AB147)=1,
  IF(LEN(INDEX(Roadmap!$D:$K,MATCH($E147,Roadmap!$D:$D,0)-1+COUNTIF($E147:AB147,"u")+COUNTIF($E147:AB147,"t")+COUNTIF($E147:AB147,"¶")+COUNTIF($E147:AB147,"²")+COUNTIF($E147:AB147,"µ")+COUNTIF($E147:AB147,1),ColDescriptionCourte))&gt;1,
HYPERLINK("#Roadmap!C"&amp; MATCH($E147,Roadmap!$D:$D,0)+COUNTIF($E147:AB147,"u")+COUNTIF($E147:AB147,"t")+COUNTIF($E147:AB147,"¶")+COUNTIF($E147:AB147,"²")+COUNTIF($E147:AB147,"µ")+COUNTIF($E147:AB147,1)-1,INDEX(Roadmap!$D:$K,MATCH($E147,Roadmap!$D:$D,0)-1+COUNTIF($E147:AB147,"u")+COUNTIF($E147:AB147,"t")+COUNTIF($E147:AB147,"¶")+COUNTIF($E147:AB147,"²")+COUNTIF($E147:AB147,"µ")+COUNTIF($E147:AB147,1),ColDescriptionCourte)),""),
  "")),"")</f>
        <v/>
      </c>
      <c r="AD147" s="40" t="str">
        <f ca="1">IFERROR(IF(AND(
  INDEX(Roadmap!$D:$K,MATCH($E147,Roadmap!$D:$D,0)+COUNTIF($E147:AC147,"u")+COUNTIF($E147:AC147,"t")+COUNTIF($E147:AC147,"¶")+COUNTIF($E147:AC147,"²")+COUNTIF($E147:AC147,"µ")+COUNTIF($E147:AC147,1),ColLivraison)=AD$6,
  VLOOKUP($E147,INDIRECT("tri!"&amp; CHAR(64+ C0Col) &amp;":"&amp; CHAR(65+C0Col)),2,FALSE)&gt;COUNTIF($E147:AC147,"u")+COUNTIF($E147:AC147,"t")+COUNTIF($E147:AC147,"¶")+COUNTIF($E147:AC147,"²")+COUNTIF($E147:AC147,"µ")+COUNTIF($E147:AC147,1)),
HYPERLINK("#Roadmap!C"&amp; MATCH($E147,Roadmap!$D:$D,0)+COUNTIF($E147:AC147,"u")+COUNTIF($E147:AC147,"t"),
     INDEX(Roadmap!$D:$K,MATCH($E147,Roadmap!$D:$D,0)+COUNTIF($E147:AC147,"u")+COUNTIF($E147:AC147,"t")+COUNTIF($E147:AC147,"¶")+COUNTIF($E147:AC147,"²")+COUNTIF($E147:AC147,"µ")+COUNTIF($E147:AC147,1),ColTypeEcheance)),
  IF(LEN(AC147)=1,
  IF(LEN(INDEX(Roadmap!$D:$K,MATCH($E147,Roadmap!$D:$D,0)-1+COUNTIF($E147:AC147,"u")+COUNTIF($E147:AC147,"t")+COUNTIF($E147:AC147,"¶")+COUNTIF($E147:AC147,"²")+COUNTIF($E147:AC147,"µ")+COUNTIF($E147:AC147,1),ColDescriptionCourte))&gt;1,
HYPERLINK("#Roadmap!C"&amp; MATCH($E147,Roadmap!$D:$D,0)+COUNTIF($E147:AC147,"u")+COUNTIF($E147:AC147,"t")+COUNTIF($E147:AC147,"¶")+COUNTIF($E147:AC147,"²")+COUNTIF($E147:AC147,"µ")+COUNTIF($E147:AC147,1)-1,INDEX(Roadmap!$D:$K,MATCH($E147,Roadmap!$D:$D,0)-1+COUNTIF($E147:AC147,"u")+COUNTIF($E147:AC147,"t")+COUNTIF($E147:AC147,"¶")+COUNTIF($E147:AC147,"²")+COUNTIF($E147:AC147,"µ")+COUNTIF($E147:AC147,1),ColDescriptionCourte)),""),
  "")),"")</f>
        <v/>
      </c>
      <c r="AE147" s="40" t="str">
        <f ca="1">IFERROR(IF(AND(
  INDEX(Roadmap!$D:$K,MATCH($E147,Roadmap!$D:$D,0)+COUNTIF($E147:AD147,"u")+COUNTIF($E147:AD147,"t")+COUNTIF($E147:AD147,"¶")+COUNTIF($E147:AD147,"²")+COUNTIF($E147:AD147,"µ")+COUNTIF($E147:AD147,1),ColLivraison)=AE$6,
  VLOOKUP($E147,INDIRECT("tri!"&amp; CHAR(64+ C0Col) &amp;":"&amp; CHAR(65+C0Col)),2,FALSE)&gt;COUNTIF($E147:AD147,"u")+COUNTIF($E147:AD147,"t")+COUNTIF($E147:AD147,"¶")+COUNTIF($E147:AD147,"²")+COUNTIF($E147:AD147,"µ")+COUNTIF($E147:AD147,1)),
HYPERLINK("#Roadmap!C"&amp; MATCH($E147,Roadmap!$D:$D,0)+COUNTIF($E147:AD147,"u")+COUNTIF($E147:AD147,"t"),
     INDEX(Roadmap!$D:$K,MATCH($E147,Roadmap!$D:$D,0)+COUNTIF($E147:AD147,"u")+COUNTIF($E147:AD147,"t")+COUNTIF($E147:AD147,"¶")+COUNTIF($E147:AD147,"²")+COUNTIF($E147:AD147,"µ")+COUNTIF($E147:AD147,1),ColTypeEcheance)),
  IF(LEN(AD147)=1,
  IF(LEN(INDEX(Roadmap!$D:$K,MATCH($E147,Roadmap!$D:$D,0)-1+COUNTIF($E147:AD147,"u")+COUNTIF($E147:AD147,"t")+COUNTIF($E147:AD147,"¶")+COUNTIF($E147:AD147,"²")+COUNTIF($E147:AD147,"µ")+COUNTIF($E147:AD147,1),ColDescriptionCourte))&gt;1,
HYPERLINK("#Roadmap!C"&amp; MATCH($E147,Roadmap!$D:$D,0)+COUNTIF($E147:AD147,"u")+COUNTIF($E147:AD147,"t")+COUNTIF($E147:AD147,"¶")+COUNTIF($E147:AD147,"²")+COUNTIF($E147:AD147,"µ")+COUNTIF($E147:AD147,1)-1,INDEX(Roadmap!$D:$K,MATCH($E147,Roadmap!$D:$D,0)-1+COUNTIF($E147:AD147,"u")+COUNTIF($E147:AD147,"t")+COUNTIF($E147:AD147,"¶")+COUNTIF($E147:AD147,"²")+COUNTIF($E147:AD147,"µ")+COUNTIF($E147:AD147,1),ColDescriptionCourte)),""),
  "")),"")</f>
        <v/>
      </c>
      <c r="AF147" s="40" t="str">
        <f ca="1">IFERROR(IF(AND(
  INDEX(Roadmap!$D:$K,MATCH($E147,Roadmap!$D:$D,0)+COUNTIF($E147:AE147,"u")+COUNTIF($E147:AE147,"t")+COUNTIF($E147:AE147,"¶")+COUNTIF($E147:AE147,"²")+COUNTIF($E147:AE147,"µ")+COUNTIF($E147:AE147,1),ColLivraison)=AF$6,
  VLOOKUP($E147,INDIRECT("tri!"&amp; CHAR(64+ C0Col) &amp;":"&amp; CHAR(65+C0Col)),2,FALSE)&gt;COUNTIF($E147:AE147,"u")+COUNTIF($E147:AE147,"t")+COUNTIF($E147:AE147,"¶")+COUNTIF($E147:AE147,"²")+COUNTIF($E147:AE147,"µ")+COUNTIF($E147:AE147,1)),
HYPERLINK("#Roadmap!C"&amp; MATCH($E147,Roadmap!$D:$D,0)+COUNTIF($E147:AE147,"u")+COUNTIF($E147:AE147,"t"),
     INDEX(Roadmap!$D:$K,MATCH($E147,Roadmap!$D:$D,0)+COUNTIF($E147:AE147,"u")+COUNTIF($E147:AE147,"t")+COUNTIF($E147:AE147,"¶")+COUNTIF($E147:AE147,"²")+COUNTIF($E147:AE147,"µ")+COUNTIF($E147:AE147,1),ColTypeEcheance)),
  IF(LEN(AE147)=1,
  IF(LEN(INDEX(Roadmap!$D:$K,MATCH($E147,Roadmap!$D:$D,0)-1+COUNTIF($E147:AE147,"u")+COUNTIF($E147:AE147,"t")+COUNTIF($E147:AE147,"¶")+COUNTIF($E147:AE147,"²")+COUNTIF($E147:AE147,"µ")+COUNTIF($E147:AE147,1),ColDescriptionCourte))&gt;1,
HYPERLINK("#Roadmap!C"&amp; MATCH($E147,Roadmap!$D:$D,0)+COUNTIF($E147:AE147,"u")+COUNTIF($E147:AE147,"t")+COUNTIF($E147:AE147,"¶")+COUNTIF($E147:AE147,"²")+COUNTIF($E147:AE147,"µ")+COUNTIF($E147:AE147,1)-1,INDEX(Roadmap!$D:$K,MATCH($E147,Roadmap!$D:$D,0)-1+COUNTIF($E147:AE147,"u")+COUNTIF($E147:AE147,"t")+COUNTIF($E147:AE147,"¶")+COUNTIF($E147:AE147,"²")+COUNTIF($E147:AE147,"µ")+COUNTIF($E147:AE147,1),ColDescriptionCourte)),""),
  "")),"")</f>
        <v/>
      </c>
      <c r="AG147" s="40" t="str">
        <f ca="1">IFERROR(IF(AND(
  INDEX(Roadmap!$D:$K,MATCH($E147,Roadmap!$D:$D,0)+COUNTIF($E147:AF147,"u")+COUNTIF($E147:AF147,"t")+COUNTIF($E147:AF147,"¶")+COUNTIF($E147:AF147,"²")+COUNTIF($E147:AF147,"µ")+COUNTIF($E147:AF147,1),ColLivraison)=AG$6,
  VLOOKUP($E147,INDIRECT("tri!"&amp; CHAR(64+ C0Col) &amp;":"&amp; CHAR(65+C0Col)),2,FALSE)&gt;COUNTIF($E147:AF147,"u")+COUNTIF($E147:AF147,"t")+COUNTIF($E147:AF147,"¶")+COUNTIF($E147:AF147,"²")+COUNTIF($E147:AF147,"µ")+COUNTIF($E147:AF147,1)),
HYPERLINK("#Roadmap!C"&amp; MATCH($E147,Roadmap!$D:$D,0)+COUNTIF($E147:AF147,"u")+COUNTIF($E147:AF147,"t"),
     INDEX(Roadmap!$D:$K,MATCH($E147,Roadmap!$D:$D,0)+COUNTIF($E147:AF147,"u")+COUNTIF($E147:AF147,"t")+COUNTIF($E147:AF147,"¶")+COUNTIF($E147:AF147,"²")+COUNTIF($E147:AF147,"µ")+COUNTIF($E147:AF147,1),ColTypeEcheance)),
  IF(LEN(AF147)=1,
  IF(LEN(INDEX(Roadmap!$D:$K,MATCH($E147,Roadmap!$D:$D,0)-1+COUNTIF($E147:AF147,"u")+COUNTIF($E147:AF147,"t")+COUNTIF($E147:AF147,"¶")+COUNTIF($E147:AF147,"²")+COUNTIF($E147:AF147,"µ")+COUNTIF($E147:AF147,1),ColDescriptionCourte))&gt;1,
HYPERLINK("#Roadmap!C"&amp; MATCH($E147,Roadmap!$D:$D,0)+COUNTIF($E147:AF147,"u")+COUNTIF($E147:AF147,"t")+COUNTIF($E147:AF147,"¶")+COUNTIF($E147:AF147,"²")+COUNTIF($E147:AF147,"µ")+COUNTIF($E147:AF147,1)-1,INDEX(Roadmap!$D:$K,MATCH($E147,Roadmap!$D:$D,0)-1+COUNTIF($E147:AF147,"u")+COUNTIF($E147:AF147,"t")+COUNTIF($E147:AF147,"¶")+COUNTIF($E147:AF147,"²")+COUNTIF($E147:AF147,"µ")+COUNTIF($E147:AF147,1),ColDescriptionCourte)),""),
  "")),"")</f>
        <v/>
      </c>
    </row>
    <row r="148" spans="3:33" ht="14.25" customHeight="1">
      <c r="C148" s="1" t="str">
        <f t="shared" ca="1" si="52"/>
        <v/>
      </c>
      <c r="D148" s="1" t="str">
        <f t="shared" ca="1" si="53"/>
        <v/>
      </c>
      <c r="E148" s="35" t="str">
        <f t="shared" ca="1" si="51"/>
        <v/>
      </c>
      <c r="F148" s="39" t="str">
        <f ca="1">IFERROR(IF(AND(
  INDEX(Roadmap!$D:$K,MATCH($E148,Roadmap!$D:$D,0)+COUNTIF($E148:E148,"u")+COUNTIF($E148:E148,"t")+COUNTIF($E148:E148,"¶")+COUNTIF($E148:E148,"²")+COUNTIF($E148:E148,"µ")+COUNTIF($E148:E148,1),ColLivraison)=F$6,
  VLOOKUP($E148,INDIRECT("tri!"&amp; CHAR(64+ C0Col) &amp;":"&amp; CHAR(65+C0Col)),2,FALSE)&gt;COUNTIF($E148:E148,"u")+COUNTIF($E148:E148,"t")+COUNTIF($E148:E148,"¶")+COUNTIF($E148:E148,"²")+COUNTIF($E148:E148,"µ")+COUNTIF($E148:E148,1)),
HYPERLINK("#Roadmap!C"&amp; MATCH($E148,Roadmap!$D:$D,0)+COUNTIF($E148:E148,"u")+COUNTIF($E148:E148,"t"),
     INDEX(Roadmap!$D:$K,MATCH($E148,Roadmap!$D:$D,0)+COUNTIF($E148:E148,"u")+COUNTIF($E148:E148,"t")+COUNTIF($E148:E148,"¶")+COUNTIF($E148:E148,"²")+COUNTIF($E148:E148,"µ")+COUNTIF($E148:E148,1),ColTypeEcheance)),
  IF(LEN(E148)=1,
  IF(LEN(INDEX(Roadmap!$D:$K,MATCH($E148,Roadmap!$D:$D,0)-1+COUNTIF($E148:E148,"u")+COUNTIF($E148:E148,"t")+COUNTIF($E148:E148,"¶")+COUNTIF($E148:E148,"²")+COUNTIF($E148:E148,"µ")+COUNTIF($E148:E148,1),ColDescriptionCourte))&gt;1,
HYPERLINK("#Roadmap!C"&amp; MATCH($E148,Roadmap!$D:$D,0)+COUNTIF($E148:E148,"u")+COUNTIF($E148:E148,"t")+COUNTIF($E148:E148,"¶")+COUNTIF($E148:E148,"²")+COUNTIF($E148:E148,"µ")+COUNTIF($E148:E148,1)-1,INDEX(Roadmap!$D:$K,MATCH($E148,Roadmap!$D:$D,0)-1+COUNTIF($E148:E148,"u")+COUNTIF($E148:E148,"t")+COUNTIF($E148:E148,"¶")+COUNTIF($E148:E148,"²")+COUNTIF($E148:E148,"µ")+COUNTIF($E148:E148,1),ColDescriptionCourte)),""),
  "")),"")</f>
        <v/>
      </c>
      <c r="G148" s="40" t="str">
        <f ca="1">IFERROR(IF(AND(
  INDEX(Roadmap!$D:$K,MATCH($E148,Roadmap!$D:$D,0)+COUNTIF($E148:F148,"u")+COUNTIF($E148:F148,"t")+COUNTIF($E148:F148,"¶")+COUNTIF($E148:F148,"²")+COUNTIF($E148:F148,"µ")+COUNTIF($E148:F148,1),ColLivraison)=G$6,
  VLOOKUP($E148,INDIRECT("tri!"&amp; CHAR(64+ C0Col) &amp;":"&amp; CHAR(65+C0Col)),2,FALSE)&gt;COUNTIF($E148:F148,"u")+COUNTIF($E148:F148,"t")+COUNTIF($E148:F148,"¶")+COUNTIF($E148:F148,"²")+COUNTIF($E148:F148,"µ")+COUNTIF($E148:F148,1)),
HYPERLINK("#Roadmap!C"&amp; MATCH($E148,Roadmap!$D:$D,0)+COUNTIF($E148:F148,"u")+COUNTIF($E148:F148,"t"),
     INDEX(Roadmap!$D:$K,MATCH($E148,Roadmap!$D:$D,0)+COUNTIF($E148:F148,"u")+COUNTIF($E148:F148,"t")+COUNTIF($E148:F148,"¶")+COUNTIF($E148:F148,"²")+COUNTIF($E148:F148,"µ")+COUNTIF($E148:F148,1),ColTypeEcheance)),
  IF(LEN(F148)=1,
  IF(LEN(INDEX(Roadmap!$D:$K,MATCH($E148,Roadmap!$D:$D,0)-1+COUNTIF($E148:F148,"u")+COUNTIF($E148:F148,"t")+COUNTIF($E148:F148,"¶")+COUNTIF($E148:F148,"²")+COUNTIF($E148:F148,"µ")+COUNTIF($E148:F148,1),ColDescriptionCourte))&gt;1,
HYPERLINK("#Roadmap!C"&amp; MATCH($E148,Roadmap!$D:$D,0)+COUNTIF($E148:F148,"u")+COUNTIF($E148:F148,"t")+COUNTIF($E148:F148,"¶")+COUNTIF($E148:F148,"²")+COUNTIF($E148:F148,"µ")+COUNTIF($E148:F148,1)-1,INDEX(Roadmap!$D:$K,MATCH($E148,Roadmap!$D:$D,0)-1+COUNTIF($E148:F148,"u")+COUNTIF($E148:F148,"t")+COUNTIF($E148:F148,"¶")+COUNTIF($E148:F148,"²")+COUNTIF($E148:F148,"µ")+COUNTIF($E148:F148,1),ColDescriptionCourte)),""),
  "")),"")</f>
        <v/>
      </c>
      <c r="H148" s="40" t="str">
        <f ca="1">IFERROR(IF(AND(
  INDEX(Roadmap!$D:$K,MATCH($E148,Roadmap!$D:$D,0)+COUNTIF($E148:G148,"u")+COUNTIF($E148:G148,"t")+COUNTIF($E148:G148,"¶")+COUNTIF($E148:G148,"²")+COUNTIF($E148:G148,"µ")+COUNTIF($E148:G148,1),ColLivraison)=H$6,
  VLOOKUP($E148,INDIRECT("tri!"&amp; CHAR(64+ C0Col) &amp;":"&amp; CHAR(65+C0Col)),2,FALSE)&gt;COUNTIF($E148:G148,"u")+COUNTIF($E148:G148,"t")+COUNTIF($E148:G148,"¶")+COUNTIF($E148:G148,"²")+COUNTIF($E148:G148,"µ")+COUNTIF($E148:G148,1)),
HYPERLINK("#Roadmap!C"&amp; MATCH($E148,Roadmap!$D:$D,0)+COUNTIF($E148:G148,"u")+COUNTIF($E148:G148,"t"),
     INDEX(Roadmap!$D:$K,MATCH($E148,Roadmap!$D:$D,0)+COUNTIF($E148:G148,"u")+COUNTIF($E148:G148,"t")+COUNTIF($E148:G148,"¶")+COUNTIF($E148:G148,"²")+COUNTIF($E148:G148,"µ")+COUNTIF($E148:G148,1),ColTypeEcheance)),
  IF(LEN(G148)=1,
  IF(LEN(INDEX(Roadmap!$D:$K,MATCH($E148,Roadmap!$D:$D,0)-1+COUNTIF($E148:G148,"u")+COUNTIF($E148:G148,"t")+COUNTIF($E148:G148,"¶")+COUNTIF($E148:G148,"²")+COUNTIF($E148:G148,"µ")+COUNTIF($E148:G148,1),ColDescriptionCourte))&gt;1,
HYPERLINK("#Roadmap!C"&amp; MATCH($E148,Roadmap!$D:$D,0)+COUNTIF($E148:G148,"u")+COUNTIF($E148:G148,"t")+COUNTIF($E148:G148,"¶")+COUNTIF($E148:G148,"²")+COUNTIF($E148:G148,"µ")+COUNTIF($E148:G148,1)-1,INDEX(Roadmap!$D:$K,MATCH($E148,Roadmap!$D:$D,0)-1+COUNTIF($E148:G148,"u")+COUNTIF($E148:G148,"t")+COUNTIF($E148:G148,"¶")+COUNTIF($E148:G148,"²")+COUNTIF($E148:G148,"µ")+COUNTIF($E148:G148,1),ColDescriptionCourte)),""),
  "")),"")</f>
        <v/>
      </c>
      <c r="I148" s="40" t="str">
        <f ca="1">IFERROR(IF(AND(
  INDEX(Roadmap!$D:$K,MATCH($E148,Roadmap!$D:$D,0)+COUNTIF($E148:H148,"u")+COUNTIF($E148:H148,"t")+COUNTIF($E148:H148,"¶")+COUNTIF($E148:H148,"²")+COUNTIF($E148:H148,"µ")+COUNTIF($E148:H148,1),ColLivraison)=I$6,
  VLOOKUP($E148,INDIRECT("tri!"&amp; CHAR(64+ C0Col) &amp;":"&amp; CHAR(65+C0Col)),2,FALSE)&gt;COUNTIF($E148:H148,"u")+COUNTIF($E148:H148,"t")+COUNTIF($E148:H148,"¶")+COUNTIF($E148:H148,"²")+COUNTIF($E148:H148,"µ")+COUNTIF($E148:H148,1)),
HYPERLINK("#Roadmap!C"&amp; MATCH($E148,Roadmap!$D:$D,0)+COUNTIF($E148:H148,"u")+COUNTIF($E148:H148,"t"),
     INDEX(Roadmap!$D:$K,MATCH($E148,Roadmap!$D:$D,0)+COUNTIF($E148:H148,"u")+COUNTIF($E148:H148,"t")+COUNTIF($E148:H148,"¶")+COUNTIF($E148:H148,"²")+COUNTIF($E148:H148,"µ")+COUNTIF($E148:H148,1),ColTypeEcheance)),
  IF(LEN(H148)=1,
  IF(LEN(INDEX(Roadmap!$D:$K,MATCH($E148,Roadmap!$D:$D,0)-1+COUNTIF($E148:H148,"u")+COUNTIF($E148:H148,"t")+COUNTIF($E148:H148,"¶")+COUNTIF($E148:H148,"²")+COUNTIF($E148:H148,"µ")+COUNTIF($E148:H148,1),ColDescriptionCourte))&gt;1,
HYPERLINK("#Roadmap!C"&amp; MATCH($E148,Roadmap!$D:$D,0)+COUNTIF($E148:H148,"u")+COUNTIF($E148:H148,"t")+COUNTIF($E148:H148,"¶")+COUNTIF($E148:H148,"²")+COUNTIF($E148:H148,"µ")+COUNTIF($E148:H148,1)-1,INDEX(Roadmap!$D:$K,MATCH($E148,Roadmap!$D:$D,0)-1+COUNTIF($E148:H148,"u")+COUNTIF($E148:H148,"t")+COUNTIF($E148:H148,"¶")+COUNTIF($E148:H148,"²")+COUNTIF($E148:H148,"µ")+COUNTIF($E148:H148,1),ColDescriptionCourte)),""),
  "")),"")</f>
        <v/>
      </c>
      <c r="J148" s="40" t="str">
        <f ca="1">IFERROR(IF(AND(
  INDEX(Roadmap!$D:$K,MATCH($E148,Roadmap!$D:$D,0)+COUNTIF($E148:I148,"u")+COUNTIF($E148:I148,"t")+COUNTIF($E148:I148,"¶")+COUNTIF($E148:I148,"²")+COUNTIF($E148:I148,"µ")+COUNTIF($E148:I148,1),ColLivraison)=J$6,
  VLOOKUP($E148,INDIRECT("tri!"&amp; CHAR(64+ C0Col) &amp;":"&amp; CHAR(65+C0Col)),2,FALSE)&gt;COUNTIF($E148:I148,"u")+COUNTIF($E148:I148,"t")+COUNTIF($E148:I148,"¶")+COUNTIF($E148:I148,"²")+COUNTIF($E148:I148,"µ")+COUNTIF($E148:I148,1)),
HYPERLINK("#Roadmap!C"&amp; MATCH($E148,Roadmap!$D:$D,0)+COUNTIF($E148:I148,"u")+COUNTIF($E148:I148,"t"),
     INDEX(Roadmap!$D:$K,MATCH($E148,Roadmap!$D:$D,0)+COUNTIF($E148:I148,"u")+COUNTIF($E148:I148,"t")+COUNTIF($E148:I148,"¶")+COUNTIF($E148:I148,"²")+COUNTIF($E148:I148,"µ")+COUNTIF($E148:I148,1),ColTypeEcheance)),
  IF(LEN(I148)=1,
  IF(LEN(INDEX(Roadmap!$D:$K,MATCH($E148,Roadmap!$D:$D,0)-1+COUNTIF($E148:I148,"u")+COUNTIF($E148:I148,"t")+COUNTIF($E148:I148,"¶")+COUNTIF($E148:I148,"²")+COUNTIF($E148:I148,"µ")+COUNTIF($E148:I148,1),ColDescriptionCourte))&gt;1,
HYPERLINK("#Roadmap!C"&amp; MATCH($E148,Roadmap!$D:$D,0)+COUNTIF($E148:I148,"u")+COUNTIF($E148:I148,"t")+COUNTIF($E148:I148,"¶")+COUNTIF($E148:I148,"²")+COUNTIF($E148:I148,"µ")+COUNTIF($E148:I148,1)-1,INDEX(Roadmap!$D:$K,MATCH($E148,Roadmap!$D:$D,0)-1+COUNTIF($E148:I148,"u")+COUNTIF($E148:I148,"t")+COUNTIF($E148:I148,"¶")+COUNTIF($E148:I148,"²")+COUNTIF($E148:I148,"µ")+COUNTIF($E148:I148,1),ColDescriptionCourte)),""),
  "")),"")</f>
        <v/>
      </c>
      <c r="K148" s="40" t="str">
        <f ca="1">IFERROR(IF(AND(
  INDEX(Roadmap!$D:$K,MATCH($E148,Roadmap!$D:$D,0)+COUNTIF($E148:J148,"u")+COUNTIF($E148:J148,"t")+COUNTIF($E148:J148,"¶")+COUNTIF($E148:J148,"²")+COUNTIF($E148:J148,"µ")+COUNTIF($E148:J148,1),ColLivraison)=K$6,
  VLOOKUP($E148,INDIRECT("tri!"&amp; CHAR(64+ C0Col) &amp;":"&amp; CHAR(65+C0Col)),2,FALSE)&gt;COUNTIF($E148:J148,"u")+COUNTIF($E148:J148,"t")+COUNTIF($E148:J148,"¶")+COUNTIF($E148:J148,"²")+COUNTIF($E148:J148,"µ")+COUNTIF($E148:J148,1)),
HYPERLINK("#Roadmap!C"&amp; MATCH($E148,Roadmap!$D:$D,0)+COUNTIF($E148:J148,"u")+COUNTIF($E148:J148,"t"),
     INDEX(Roadmap!$D:$K,MATCH($E148,Roadmap!$D:$D,0)+COUNTIF($E148:J148,"u")+COUNTIF($E148:J148,"t")+COUNTIF($E148:J148,"¶")+COUNTIF($E148:J148,"²")+COUNTIF($E148:J148,"µ")+COUNTIF($E148:J148,1),ColTypeEcheance)),
  IF(LEN(J148)=1,
  IF(LEN(INDEX(Roadmap!$D:$K,MATCH($E148,Roadmap!$D:$D,0)-1+COUNTIF($E148:J148,"u")+COUNTIF($E148:J148,"t")+COUNTIF($E148:J148,"¶")+COUNTIF($E148:J148,"²")+COUNTIF($E148:J148,"µ")+COUNTIF($E148:J148,1),ColDescriptionCourte))&gt;1,
HYPERLINK("#Roadmap!C"&amp; MATCH($E148,Roadmap!$D:$D,0)+COUNTIF($E148:J148,"u")+COUNTIF($E148:J148,"t")+COUNTIF($E148:J148,"¶")+COUNTIF($E148:J148,"²")+COUNTIF($E148:J148,"µ")+COUNTIF($E148:J148,1)-1,INDEX(Roadmap!$D:$K,MATCH($E148,Roadmap!$D:$D,0)-1+COUNTIF($E148:J148,"u")+COUNTIF($E148:J148,"t")+COUNTIF($E148:J148,"¶")+COUNTIF($E148:J148,"²")+COUNTIF($E148:J148,"µ")+COUNTIF($E148:J148,1),ColDescriptionCourte)),""),
  "")),"")</f>
        <v/>
      </c>
      <c r="L148" s="39" t="str">
        <f ca="1">IFERROR(IF(AND(
  INDEX(Roadmap!$D:$K,MATCH($E148,Roadmap!$D:$D,0)+COUNTIF($E148:K148,"u")+COUNTIF($E148:K148,"t")+COUNTIF($E148:K148,"¶")+COUNTIF($E148:K148,"²")+COUNTIF($E148:K148,"µ")+COUNTIF($E148:K148,1),ColLivraison)=L$6,
  VLOOKUP($E148,INDIRECT("tri!"&amp; CHAR(64+ C0Col) &amp;":"&amp; CHAR(65+C0Col)),2,FALSE)&gt;COUNTIF($E148:K148,"u")+COUNTIF($E148:K148,"t")+COUNTIF($E148:K148,"¶")+COUNTIF($E148:K148,"²")+COUNTIF($E148:K148,"µ")+COUNTIF($E148:K148,1)),
HYPERLINK("#Roadmap!C"&amp; MATCH($E148,Roadmap!$D:$D,0)+COUNTIF($E148:K148,"u")+COUNTIF($E148:K148,"t"),
     INDEX(Roadmap!$D:$K,MATCH($E148,Roadmap!$D:$D,0)+COUNTIF($E148:K148,"u")+COUNTIF($E148:K148,"t")+COUNTIF($E148:K148,"¶")+COUNTIF($E148:K148,"²")+COUNTIF($E148:K148,"µ")+COUNTIF($E148:K148,1),ColTypeEcheance)),
  IF(LEN(K148)=1,
  IF(LEN(INDEX(Roadmap!$D:$K,MATCH($E148,Roadmap!$D:$D,0)-1+COUNTIF($E148:K148,"u")+COUNTIF($E148:K148,"t")+COUNTIF($E148:K148,"¶")+COUNTIF($E148:K148,"²")+COUNTIF($E148:K148,"µ")+COUNTIF($E148:K148,1),ColDescriptionCourte))&gt;1,
HYPERLINK("#Roadmap!C"&amp; MATCH($E148,Roadmap!$D:$D,0)+COUNTIF($E148:K148,"u")+COUNTIF($E148:K148,"t")+COUNTIF($E148:K148,"¶")+COUNTIF($E148:K148,"²")+COUNTIF($E148:K148,"µ")+COUNTIF($E148:K148,1)-1,INDEX(Roadmap!$D:$K,MATCH($E148,Roadmap!$D:$D,0)-1+COUNTIF($E148:K148,"u")+COUNTIF($E148:K148,"t")+COUNTIF($E148:K148,"¶")+COUNTIF($E148:K148,"²")+COUNTIF($E148:K148,"µ")+COUNTIF($E148:K148,1),ColDescriptionCourte)),""),
  "")),"")</f>
        <v/>
      </c>
      <c r="M148" s="40" t="str">
        <f ca="1">IFERROR(IF(AND(
  INDEX(Roadmap!$D:$K,MATCH($E148,Roadmap!$D:$D,0)+COUNTIF($E148:L148,"u")+COUNTIF($E148:L148,"t")+COUNTIF($E148:L148,"¶")+COUNTIF($E148:L148,"²")+COUNTIF($E148:L148,"µ")+COUNTIF($E148:L148,1),ColLivraison)=M$6,
  VLOOKUP($E148,INDIRECT("tri!"&amp; CHAR(64+ C0Col) &amp;":"&amp; CHAR(65+C0Col)),2,FALSE)&gt;COUNTIF($E148:L148,"u")+COUNTIF($E148:L148,"t")+COUNTIF($E148:L148,"¶")+COUNTIF($E148:L148,"²")+COUNTIF($E148:L148,"µ")+COUNTIF($E148:L148,1)),
HYPERLINK("#Roadmap!C"&amp; MATCH($E148,Roadmap!$D:$D,0)+COUNTIF($E148:L148,"u")+COUNTIF($E148:L148,"t"),
     INDEX(Roadmap!$D:$K,MATCH($E148,Roadmap!$D:$D,0)+COUNTIF($E148:L148,"u")+COUNTIF($E148:L148,"t")+COUNTIF($E148:L148,"¶")+COUNTIF($E148:L148,"²")+COUNTIF($E148:L148,"µ")+COUNTIF($E148:L148,1),ColTypeEcheance)),
  IF(LEN(L148)=1,
  IF(LEN(INDEX(Roadmap!$D:$K,MATCH($E148,Roadmap!$D:$D,0)-1+COUNTIF($E148:L148,"u")+COUNTIF($E148:L148,"t")+COUNTIF($E148:L148,"¶")+COUNTIF($E148:L148,"²")+COUNTIF($E148:L148,"µ")+COUNTIF($E148:L148,1),ColDescriptionCourte))&gt;1,
HYPERLINK("#Roadmap!C"&amp; MATCH($E148,Roadmap!$D:$D,0)+COUNTIF($E148:L148,"u")+COUNTIF($E148:L148,"t")+COUNTIF($E148:L148,"¶")+COUNTIF($E148:L148,"²")+COUNTIF($E148:L148,"µ")+COUNTIF($E148:L148,1)-1,INDEX(Roadmap!$D:$K,MATCH($E148,Roadmap!$D:$D,0)-1+COUNTIF($E148:L148,"u")+COUNTIF($E148:L148,"t")+COUNTIF($E148:L148,"¶")+COUNTIF($E148:L148,"²")+COUNTIF($E148:L148,"µ")+COUNTIF($E148:L148,1),ColDescriptionCourte)),""),
  "")),"")</f>
        <v/>
      </c>
      <c r="N148" s="40" t="str">
        <f ca="1">IFERROR(IF(AND(
  INDEX(Roadmap!$D:$K,MATCH($E148,Roadmap!$D:$D,0)+COUNTIF($E148:M148,"u")+COUNTIF($E148:M148,"t")+COUNTIF($E148:M148,"¶")+COUNTIF($E148:M148,"²")+COUNTIF($E148:M148,"µ")+COUNTIF($E148:M148,1),ColLivraison)=N$6,
  VLOOKUP($E148,INDIRECT("tri!"&amp; CHAR(64+ C0Col) &amp;":"&amp; CHAR(65+C0Col)),2,FALSE)&gt;COUNTIF($E148:M148,"u")+COUNTIF($E148:M148,"t")+COUNTIF($E148:M148,"¶")+COUNTIF($E148:M148,"²")+COUNTIF($E148:M148,"µ")+COUNTIF($E148:M148,1)),
HYPERLINK("#Roadmap!C"&amp; MATCH($E148,Roadmap!$D:$D,0)+COUNTIF($E148:M148,"u")+COUNTIF($E148:M148,"t"),
     INDEX(Roadmap!$D:$K,MATCH($E148,Roadmap!$D:$D,0)+COUNTIF($E148:M148,"u")+COUNTIF($E148:M148,"t")+COUNTIF($E148:M148,"¶")+COUNTIF($E148:M148,"²")+COUNTIF($E148:M148,"µ")+COUNTIF($E148:M148,1),ColTypeEcheance)),
  IF(LEN(M148)=1,
  IF(LEN(INDEX(Roadmap!$D:$K,MATCH($E148,Roadmap!$D:$D,0)-1+COUNTIF($E148:M148,"u")+COUNTIF($E148:M148,"t")+COUNTIF($E148:M148,"¶")+COUNTIF($E148:M148,"²")+COUNTIF($E148:M148,"µ")+COUNTIF($E148:M148,1),ColDescriptionCourte))&gt;1,
HYPERLINK("#Roadmap!C"&amp; MATCH($E148,Roadmap!$D:$D,0)+COUNTIF($E148:M148,"u")+COUNTIF($E148:M148,"t")+COUNTIF($E148:M148,"¶")+COUNTIF($E148:M148,"²")+COUNTIF($E148:M148,"µ")+COUNTIF($E148:M148,1)-1,INDEX(Roadmap!$D:$K,MATCH($E148,Roadmap!$D:$D,0)-1+COUNTIF($E148:M148,"u")+COUNTIF($E148:M148,"t")+COUNTIF($E148:M148,"¶")+COUNTIF($E148:M148,"²")+COUNTIF($E148:M148,"µ")+COUNTIF($E148:M148,1),ColDescriptionCourte)),""),
  "")),"")</f>
        <v/>
      </c>
      <c r="O148" s="40" t="str">
        <f ca="1">IFERROR(IF(AND(
  INDEX(Roadmap!$D:$K,MATCH($E148,Roadmap!$D:$D,0)+COUNTIF($E148:N148,"u")+COUNTIF($E148:N148,"t")+COUNTIF($E148:N148,"¶")+COUNTIF($E148:N148,"²")+COUNTIF($E148:N148,"µ")+COUNTIF($E148:N148,1),ColLivraison)=O$6,
  VLOOKUP($E148,INDIRECT("tri!"&amp; CHAR(64+ C0Col) &amp;":"&amp; CHAR(65+C0Col)),2,FALSE)&gt;COUNTIF($E148:N148,"u")+COUNTIF($E148:N148,"t")+COUNTIF($E148:N148,"¶")+COUNTIF($E148:N148,"²")+COUNTIF($E148:N148,"µ")+COUNTIF($E148:N148,1)),
HYPERLINK("#Roadmap!C"&amp; MATCH($E148,Roadmap!$D:$D,0)+COUNTIF($E148:N148,"u")+COUNTIF($E148:N148,"t"),
     INDEX(Roadmap!$D:$K,MATCH($E148,Roadmap!$D:$D,0)+COUNTIF($E148:N148,"u")+COUNTIF($E148:N148,"t")+COUNTIF($E148:N148,"¶")+COUNTIF($E148:N148,"²")+COUNTIF($E148:N148,"µ")+COUNTIF($E148:N148,1),ColTypeEcheance)),
  IF(LEN(N148)=1,
  IF(LEN(INDEX(Roadmap!$D:$K,MATCH($E148,Roadmap!$D:$D,0)-1+COUNTIF($E148:N148,"u")+COUNTIF($E148:N148,"t")+COUNTIF($E148:N148,"¶")+COUNTIF($E148:N148,"²")+COUNTIF($E148:N148,"µ")+COUNTIF($E148:N148,1),ColDescriptionCourte))&gt;1,
HYPERLINK("#Roadmap!C"&amp; MATCH($E148,Roadmap!$D:$D,0)+COUNTIF($E148:N148,"u")+COUNTIF($E148:N148,"t")+COUNTIF($E148:N148,"¶")+COUNTIF($E148:N148,"²")+COUNTIF($E148:N148,"µ")+COUNTIF($E148:N148,1)-1,INDEX(Roadmap!$D:$K,MATCH($E148,Roadmap!$D:$D,0)-1+COUNTIF($E148:N148,"u")+COUNTIF($E148:N148,"t")+COUNTIF($E148:N148,"¶")+COUNTIF($E148:N148,"²")+COUNTIF($E148:N148,"µ")+COUNTIF($E148:N148,1),ColDescriptionCourte)),""),
  "")),"")</f>
        <v/>
      </c>
      <c r="P148" s="40" t="str">
        <f ca="1">IFERROR(IF(AND(
  INDEX(Roadmap!$D:$K,MATCH($E148,Roadmap!$D:$D,0)+COUNTIF($E148:O148,"u")+COUNTIF($E148:O148,"t")+COUNTIF($E148:O148,"¶")+COUNTIF($E148:O148,"²")+COUNTIF($E148:O148,"µ")+COUNTIF($E148:O148,1),ColLivraison)=P$6,
  VLOOKUP($E148,INDIRECT("tri!"&amp; CHAR(64+ C0Col) &amp;":"&amp; CHAR(65+C0Col)),2,FALSE)&gt;COUNTIF($E148:O148,"u")+COUNTIF($E148:O148,"t")+COUNTIF($E148:O148,"¶")+COUNTIF($E148:O148,"²")+COUNTIF($E148:O148,"µ")+COUNTIF($E148:O148,1)),
HYPERLINK("#Roadmap!C"&amp; MATCH($E148,Roadmap!$D:$D,0)+COUNTIF($E148:O148,"u")+COUNTIF($E148:O148,"t"),
     INDEX(Roadmap!$D:$K,MATCH($E148,Roadmap!$D:$D,0)+COUNTIF($E148:O148,"u")+COUNTIF($E148:O148,"t")+COUNTIF($E148:O148,"¶")+COUNTIF($E148:O148,"²")+COUNTIF($E148:O148,"µ")+COUNTIF($E148:O148,1),ColTypeEcheance)),
  IF(LEN(O148)=1,
  IF(LEN(INDEX(Roadmap!$D:$K,MATCH($E148,Roadmap!$D:$D,0)-1+COUNTIF($E148:O148,"u")+COUNTIF($E148:O148,"t")+COUNTIF($E148:O148,"¶")+COUNTIF($E148:O148,"²")+COUNTIF($E148:O148,"µ")+COUNTIF($E148:O148,1),ColDescriptionCourte))&gt;1,
HYPERLINK("#Roadmap!C"&amp; MATCH($E148,Roadmap!$D:$D,0)+COUNTIF($E148:O148,"u")+COUNTIF($E148:O148,"t")+COUNTIF($E148:O148,"¶")+COUNTIF($E148:O148,"²")+COUNTIF($E148:O148,"µ")+COUNTIF($E148:O148,1)-1,INDEX(Roadmap!$D:$K,MATCH($E148,Roadmap!$D:$D,0)-1+COUNTIF($E148:O148,"u")+COUNTIF($E148:O148,"t")+COUNTIF($E148:O148,"¶")+COUNTIF($E148:O148,"²")+COUNTIF($E148:O148,"µ")+COUNTIF($E148:O148,1),ColDescriptionCourte)),""),
  "")),"")</f>
        <v/>
      </c>
      <c r="Q148" s="40" t="str">
        <f ca="1">IFERROR(IF(AND(
  INDEX(Roadmap!$D:$K,MATCH($E148,Roadmap!$D:$D,0)+COUNTIF($E148:P148,"u")+COUNTIF($E148:P148,"t")+COUNTIF($E148:P148,"¶")+COUNTIF($E148:P148,"²")+COUNTIF($E148:P148,"µ")+COUNTIF($E148:P148,1),ColLivraison)=Q$6,
  VLOOKUP($E148,INDIRECT("tri!"&amp; CHAR(64+ C0Col) &amp;":"&amp; CHAR(65+C0Col)),2,FALSE)&gt;COUNTIF($E148:P148,"u")+COUNTIF($E148:P148,"t")+COUNTIF($E148:P148,"¶")+COUNTIF($E148:P148,"²")+COUNTIF($E148:P148,"µ")+COUNTIF($E148:P148,1)),
HYPERLINK("#Roadmap!C"&amp; MATCH($E148,Roadmap!$D:$D,0)+COUNTIF($E148:P148,"u")+COUNTIF($E148:P148,"t"),
     INDEX(Roadmap!$D:$K,MATCH($E148,Roadmap!$D:$D,0)+COUNTIF($E148:P148,"u")+COUNTIF($E148:P148,"t")+COUNTIF($E148:P148,"¶")+COUNTIF($E148:P148,"²")+COUNTIF($E148:P148,"µ")+COUNTIF($E148:P148,1),ColTypeEcheance)),
  IF(LEN(P148)=1,
  IF(LEN(INDEX(Roadmap!$D:$K,MATCH($E148,Roadmap!$D:$D,0)-1+COUNTIF($E148:P148,"u")+COUNTIF($E148:P148,"t")+COUNTIF($E148:P148,"¶")+COUNTIF($E148:P148,"²")+COUNTIF($E148:P148,"µ")+COUNTIF($E148:P148,1),ColDescriptionCourte))&gt;1,
HYPERLINK("#Roadmap!C"&amp; MATCH($E148,Roadmap!$D:$D,0)+COUNTIF($E148:P148,"u")+COUNTIF($E148:P148,"t")+COUNTIF($E148:P148,"¶")+COUNTIF($E148:P148,"²")+COUNTIF($E148:P148,"µ")+COUNTIF($E148:P148,1)-1,INDEX(Roadmap!$D:$K,MATCH($E148,Roadmap!$D:$D,0)-1+COUNTIF($E148:P148,"u")+COUNTIF($E148:P148,"t")+COUNTIF($E148:P148,"¶")+COUNTIF($E148:P148,"²")+COUNTIF($E148:P148,"µ")+COUNTIF($E148:P148,1),ColDescriptionCourte)),""),
  "")),"")</f>
        <v/>
      </c>
      <c r="R148" s="40" t="str">
        <f ca="1">IFERROR(IF(AND(
  INDEX(Roadmap!$D:$K,MATCH($E148,Roadmap!$D:$D,0)+COUNTIF($E148:Q148,"u")+COUNTIF($E148:Q148,"t")+COUNTIF($E148:Q148,"¶")+COUNTIF($E148:Q148,"²")+COUNTIF($E148:Q148,"µ")+COUNTIF($E148:Q148,1),ColLivraison)=R$6,
  VLOOKUP($E148,INDIRECT("tri!"&amp; CHAR(64+ C0Col) &amp;":"&amp; CHAR(65+C0Col)),2,FALSE)&gt;COUNTIF($E148:Q148,"u")+COUNTIF($E148:Q148,"t")+COUNTIF($E148:Q148,"¶")+COUNTIF($E148:Q148,"²")+COUNTIF($E148:Q148,"µ")+COUNTIF($E148:Q148,1)),
HYPERLINK("#Roadmap!C"&amp; MATCH($E148,Roadmap!$D:$D,0)+COUNTIF($E148:Q148,"u")+COUNTIF($E148:Q148,"t"),
     INDEX(Roadmap!$D:$K,MATCH($E148,Roadmap!$D:$D,0)+COUNTIF($E148:Q148,"u")+COUNTIF($E148:Q148,"t")+COUNTIF($E148:Q148,"¶")+COUNTIF($E148:Q148,"²")+COUNTIF($E148:Q148,"µ")+COUNTIF($E148:Q148,1),ColTypeEcheance)),
  IF(LEN(Q148)=1,
  IF(LEN(INDEX(Roadmap!$D:$K,MATCH($E148,Roadmap!$D:$D,0)-1+COUNTIF($E148:Q148,"u")+COUNTIF($E148:Q148,"t")+COUNTIF($E148:Q148,"¶")+COUNTIF($E148:Q148,"²")+COUNTIF($E148:Q148,"µ")+COUNTIF($E148:Q148,1),ColDescriptionCourte))&gt;1,
HYPERLINK("#Roadmap!C"&amp; MATCH($E148,Roadmap!$D:$D,0)+COUNTIF($E148:Q148,"u")+COUNTIF($E148:Q148,"t")+COUNTIF($E148:Q148,"¶")+COUNTIF($E148:Q148,"²")+COUNTIF($E148:Q148,"µ")+COUNTIF($E148:Q148,1)-1,INDEX(Roadmap!$D:$K,MATCH($E148,Roadmap!$D:$D,0)-1+COUNTIF($E148:Q148,"u")+COUNTIF($E148:Q148,"t")+COUNTIF($E148:Q148,"¶")+COUNTIF($E148:Q148,"²")+COUNTIF($E148:Q148,"µ")+COUNTIF($E148:Q148,1),ColDescriptionCourte)),""),
  "")),"")</f>
        <v/>
      </c>
      <c r="S148" s="40" t="str">
        <f ca="1">IFERROR(IF(AND(
  INDEX(Roadmap!$D:$K,MATCH($E148,Roadmap!$D:$D,0)+COUNTIF($E148:R148,"u")+COUNTIF($E148:R148,"t")+COUNTIF($E148:R148,"¶")+COUNTIF($E148:R148,"²")+COUNTIF($E148:R148,"µ")+COUNTIF($E148:R148,1),ColLivraison)=S$6,
  VLOOKUP($E148,INDIRECT("tri!"&amp; CHAR(64+ C0Col) &amp;":"&amp; CHAR(65+C0Col)),2,FALSE)&gt;COUNTIF($E148:R148,"u")+COUNTIF($E148:R148,"t")+COUNTIF($E148:R148,"¶")+COUNTIF($E148:R148,"²")+COUNTIF($E148:R148,"µ")+COUNTIF($E148:R148,1)),
HYPERLINK("#Roadmap!C"&amp; MATCH($E148,Roadmap!$D:$D,0)+COUNTIF($E148:R148,"u")+COUNTIF($E148:R148,"t"),
     INDEX(Roadmap!$D:$K,MATCH($E148,Roadmap!$D:$D,0)+COUNTIF($E148:R148,"u")+COUNTIF($E148:R148,"t")+COUNTIF($E148:R148,"¶")+COUNTIF($E148:R148,"²")+COUNTIF($E148:R148,"µ")+COUNTIF($E148:R148,1),ColTypeEcheance)),
  IF(LEN(R148)=1,
  IF(LEN(INDEX(Roadmap!$D:$K,MATCH($E148,Roadmap!$D:$D,0)-1+COUNTIF($E148:R148,"u")+COUNTIF($E148:R148,"t")+COUNTIF($E148:R148,"¶")+COUNTIF($E148:R148,"²")+COUNTIF($E148:R148,"µ")+COUNTIF($E148:R148,1),ColDescriptionCourte))&gt;1,
HYPERLINK("#Roadmap!C"&amp; MATCH($E148,Roadmap!$D:$D,0)+COUNTIF($E148:R148,"u")+COUNTIF($E148:R148,"t")+COUNTIF($E148:R148,"¶")+COUNTIF($E148:R148,"²")+COUNTIF($E148:R148,"µ")+COUNTIF($E148:R148,1)-1,INDEX(Roadmap!$D:$K,MATCH($E148,Roadmap!$D:$D,0)-1+COUNTIF($E148:R148,"u")+COUNTIF($E148:R148,"t")+COUNTIF($E148:R148,"¶")+COUNTIF($E148:R148,"²")+COUNTIF($E148:R148,"µ")+COUNTIF($E148:R148,1),ColDescriptionCourte)),""),
  "")),"")</f>
        <v/>
      </c>
      <c r="T148" s="40" t="str">
        <f ca="1">IFERROR(IF(AND(
  INDEX(Roadmap!$D:$K,MATCH($E148,Roadmap!$D:$D,0)+COUNTIF($E148:S148,"u")+COUNTIF($E148:S148,"t")+COUNTIF($E148:S148,"¶")+COUNTIF($E148:S148,"²")+COUNTIF($E148:S148,"µ")+COUNTIF($E148:S148,1),ColLivraison)=T$6,
  VLOOKUP($E148,INDIRECT("tri!"&amp; CHAR(64+ C0Col) &amp;":"&amp; CHAR(65+C0Col)),2,FALSE)&gt;COUNTIF($E148:S148,"u")+COUNTIF($E148:S148,"t")+COUNTIF($E148:S148,"¶")+COUNTIF($E148:S148,"²")+COUNTIF($E148:S148,"µ")+COUNTIF($E148:S148,1)),
HYPERLINK("#Roadmap!C"&amp; MATCH($E148,Roadmap!$D:$D,0)+COUNTIF($E148:S148,"u")+COUNTIF($E148:S148,"t"),
     INDEX(Roadmap!$D:$K,MATCH($E148,Roadmap!$D:$D,0)+COUNTIF($E148:S148,"u")+COUNTIF($E148:S148,"t")+COUNTIF($E148:S148,"¶")+COUNTIF($E148:S148,"²")+COUNTIF($E148:S148,"µ")+COUNTIF($E148:S148,1),ColTypeEcheance)),
  IF(LEN(S148)=1,
  IF(LEN(INDEX(Roadmap!$D:$K,MATCH($E148,Roadmap!$D:$D,0)-1+COUNTIF($E148:S148,"u")+COUNTIF($E148:S148,"t")+COUNTIF($E148:S148,"¶")+COUNTIF($E148:S148,"²")+COUNTIF($E148:S148,"µ")+COUNTIF($E148:S148,1),ColDescriptionCourte))&gt;1,
HYPERLINK("#Roadmap!C"&amp; MATCH($E148,Roadmap!$D:$D,0)+COUNTIF($E148:S148,"u")+COUNTIF($E148:S148,"t")+COUNTIF($E148:S148,"¶")+COUNTIF($E148:S148,"²")+COUNTIF($E148:S148,"µ")+COUNTIF($E148:S148,1)-1,INDEX(Roadmap!$D:$K,MATCH($E148,Roadmap!$D:$D,0)-1+COUNTIF($E148:S148,"u")+COUNTIF($E148:S148,"t")+COUNTIF($E148:S148,"¶")+COUNTIF($E148:S148,"²")+COUNTIF($E148:S148,"µ")+COUNTIF($E148:S148,1),ColDescriptionCourte)),""),
  "")),"")</f>
        <v/>
      </c>
      <c r="U148" s="40" t="str">
        <f ca="1">IFERROR(IF(AND(
  INDEX(Roadmap!$D:$K,MATCH($E148,Roadmap!$D:$D,0)+COUNTIF($E148:T148,"u")+COUNTIF($E148:T148,"t")+COUNTIF($E148:T148,"¶")+COUNTIF($E148:T148,"²")+COUNTIF($E148:T148,"µ")+COUNTIF($E148:T148,1),ColLivraison)=U$6,
  VLOOKUP($E148,INDIRECT("tri!"&amp; CHAR(64+ C0Col) &amp;":"&amp; CHAR(65+C0Col)),2,FALSE)&gt;COUNTIF($E148:T148,"u")+COUNTIF($E148:T148,"t")+COUNTIF($E148:T148,"¶")+COUNTIF($E148:T148,"²")+COUNTIF($E148:T148,"µ")+COUNTIF($E148:T148,1)),
HYPERLINK("#Roadmap!C"&amp; MATCH($E148,Roadmap!$D:$D,0)+COUNTIF($E148:T148,"u")+COUNTIF($E148:T148,"t"),
     INDEX(Roadmap!$D:$K,MATCH($E148,Roadmap!$D:$D,0)+COUNTIF($E148:T148,"u")+COUNTIF($E148:T148,"t")+COUNTIF($E148:T148,"¶")+COUNTIF($E148:T148,"²")+COUNTIF($E148:T148,"µ")+COUNTIF($E148:T148,1),ColTypeEcheance)),
  IF(LEN(T148)=1,
  IF(LEN(INDEX(Roadmap!$D:$K,MATCH($E148,Roadmap!$D:$D,0)-1+COUNTIF($E148:T148,"u")+COUNTIF($E148:T148,"t")+COUNTIF($E148:T148,"¶")+COUNTIF($E148:T148,"²")+COUNTIF($E148:T148,"µ")+COUNTIF($E148:T148,1),ColDescriptionCourte))&gt;1,
HYPERLINK("#Roadmap!C"&amp; MATCH($E148,Roadmap!$D:$D,0)+COUNTIF($E148:T148,"u")+COUNTIF($E148:T148,"t")+COUNTIF($E148:T148,"¶")+COUNTIF($E148:T148,"²")+COUNTIF($E148:T148,"µ")+COUNTIF($E148:T148,1)-1,INDEX(Roadmap!$D:$K,MATCH($E148,Roadmap!$D:$D,0)-1+COUNTIF($E148:T148,"u")+COUNTIF($E148:T148,"t")+COUNTIF($E148:T148,"¶")+COUNTIF($E148:T148,"²")+COUNTIF($E148:T148,"µ")+COUNTIF($E148:T148,1),ColDescriptionCourte)),""),
  "")),"")</f>
        <v/>
      </c>
      <c r="V148" s="40" t="str">
        <f ca="1">IFERROR(IF(AND(
  INDEX(Roadmap!$D:$K,MATCH($E148,Roadmap!$D:$D,0)+COUNTIF($E148:U148,"u")+COUNTIF($E148:U148,"t")+COUNTIF($E148:U148,"¶")+COUNTIF($E148:U148,"²")+COUNTIF($E148:U148,"µ")+COUNTIF($E148:U148,1),ColLivraison)=V$6,
  VLOOKUP($E148,INDIRECT("tri!"&amp; CHAR(64+ C0Col) &amp;":"&amp; CHAR(65+C0Col)),2,FALSE)&gt;COUNTIF($E148:U148,"u")+COUNTIF($E148:U148,"t")+COUNTIF($E148:U148,"¶")+COUNTIF($E148:U148,"²")+COUNTIF($E148:U148,"µ")+COUNTIF($E148:U148,1)),
HYPERLINK("#Roadmap!C"&amp; MATCH($E148,Roadmap!$D:$D,0)+COUNTIF($E148:U148,"u")+COUNTIF($E148:U148,"t"),
     INDEX(Roadmap!$D:$K,MATCH($E148,Roadmap!$D:$D,0)+COUNTIF($E148:U148,"u")+COUNTIF($E148:U148,"t")+COUNTIF($E148:U148,"¶")+COUNTIF($E148:U148,"²")+COUNTIF($E148:U148,"µ")+COUNTIF($E148:U148,1),ColTypeEcheance)),
  IF(LEN(U148)=1,
  IF(LEN(INDEX(Roadmap!$D:$K,MATCH($E148,Roadmap!$D:$D,0)-1+COUNTIF($E148:U148,"u")+COUNTIF($E148:U148,"t")+COUNTIF($E148:U148,"¶")+COUNTIF($E148:U148,"²")+COUNTIF($E148:U148,"µ")+COUNTIF($E148:U148,1),ColDescriptionCourte))&gt;1,
HYPERLINK("#Roadmap!C"&amp; MATCH($E148,Roadmap!$D:$D,0)+COUNTIF($E148:U148,"u")+COUNTIF($E148:U148,"t")+COUNTIF($E148:U148,"¶")+COUNTIF($E148:U148,"²")+COUNTIF($E148:U148,"µ")+COUNTIF($E148:U148,1)-1,INDEX(Roadmap!$D:$K,MATCH($E148,Roadmap!$D:$D,0)-1+COUNTIF($E148:U148,"u")+COUNTIF($E148:U148,"t")+COUNTIF($E148:U148,"¶")+COUNTIF($E148:U148,"²")+COUNTIF($E148:U148,"µ")+COUNTIF($E148:U148,1),ColDescriptionCourte)),""),
  "")),"")</f>
        <v/>
      </c>
      <c r="W148" s="40" t="str">
        <f ca="1">IFERROR(IF(AND(
  INDEX(Roadmap!$D:$K,MATCH($E148,Roadmap!$D:$D,0)+COUNTIF($E148:V148,"u")+COUNTIF($E148:V148,"t")+COUNTIF($E148:V148,"¶")+COUNTIF($E148:V148,"²")+COUNTIF($E148:V148,"µ")+COUNTIF($E148:V148,1),ColLivraison)=W$6,
  VLOOKUP($E148,INDIRECT("tri!"&amp; CHAR(64+ C0Col) &amp;":"&amp; CHAR(65+C0Col)),2,FALSE)&gt;COUNTIF($E148:V148,"u")+COUNTIF($E148:V148,"t")+COUNTIF($E148:V148,"¶")+COUNTIF($E148:V148,"²")+COUNTIF($E148:V148,"µ")+COUNTIF($E148:V148,1)),
HYPERLINK("#Roadmap!C"&amp; MATCH($E148,Roadmap!$D:$D,0)+COUNTIF($E148:V148,"u")+COUNTIF($E148:V148,"t"),
     INDEX(Roadmap!$D:$K,MATCH($E148,Roadmap!$D:$D,0)+COUNTIF($E148:V148,"u")+COUNTIF($E148:V148,"t")+COUNTIF($E148:V148,"¶")+COUNTIF($E148:V148,"²")+COUNTIF($E148:V148,"µ")+COUNTIF($E148:V148,1),ColTypeEcheance)),
  IF(LEN(V148)=1,
  IF(LEN(INDEX(Roadmap!$D:$K,MATCH($E148,Roadmap!$D:$D,0)-1+COUNTIF($E148:V148,"u")+COUNTIF($E148:V148,"t")+COUNTIF($E148:V148,"¶")+COUNTIF($E148:V148,"²")+COUNTIF($E148:V148,"µ")+COUNTIF($E148:V148,1),ColDescriptionCourte))&gt;1,
HYPERLINK("#Roadmap!C"&amp; MATCH($E148,Roadmap!$D:$D,0)+COUNTIF($E148:V148,"u")+COUNTIF($E148:V148,"t")+COUNTIF($E148:V148,"¶")+COUNTIF($E148:V148,"²")+COUNTIF($E148:V148,"µ")+COUNTIF($E148:V148,1)-1,INDEX(Roadmap!$D:$K,MATCH($E148,Roadmap!$D:$D,0)-1+COUNTIF($E148:V148,"u")+COUNTIF($E148:V148,"t")+COUNTIF($E148:V148,"¶")+COUNTIF($E148:V148,"²")+COUNTIF($E148:V148,"µ")+COUNTIF($E148:V148,1),ColDescriptionCourte)),""),
  "")),"")</f>
        <v/>
      </c>
      <c r="X148" s="40" t="str">
        <f ca="1">IFERROR(IF(AND(
  INDEX(Roadmap!$D:$K,MATCH($E148,Roadmap!$D:$D,0)+COUNTIF($E148:W148,"u")+COUNTIF($E148:W148,"t")+COUNTIF($E148:W148,"¶")+COUNTIF($E148:W148,"²")+COUNTIF($E148:W148,"µ")+COUNTIF($E148:W148,1),ColLivraison)=X$6,
  VLOOKUP($E148,INDIRECT("tri!"&amp; CHAR(64+ C0Col) &amp;":"&amp; CHAR(65+C0Col)),2,FALSE)&gt;COUNTIF($E148:W148,"u")+COUNTIF($E148:W148,"t")+COUNTIF($E148:W148,"¶")+COUNTIF($E148:W148,"²")+COUNTIF($E148:W148,"µ")+COUNTIF($E148:W148,1)),
HYPERLINK("#Roadmap!C"&amp; MATCH($E148,Roadmap!$D:$D,0)+COUNTIF($E148:W148,"u")+COUNTIF($E148:W148,"t"),
     INDEX(Roadmap!$D:$K,MATCH($E148,Roadmap!$D:$D,0)+COUNTIF($E148:W148,"u")+COUNTIF($E148:W148,"t")+COUNTIF($E148:W148,"¶")+COUNTIF($E148:W148,"²")+COUNTIF($E148:W148,"µ")+COUNTIF($E148:W148,1),ColTypeEcheance)),
  IF(LEN(W148)=1,
  IF(LEN(INDEX(Roadmap!$D:$K,MATCH($E148,Roadmap!$D:$D,0)-1+COUNTIF($E148:W148,"u")+COUNTIF($E148:W148,"t")+COUNTIF($E148:W148,"¶")+COUNTIF($E148:W148,"²")+COUNTIF($E148:W148,"µ")+COUNTIF($E148:W148,1),ColDescriptionCourte))&gt;1,
HYPERLINK("#Roadmap!C"&amp; MATCH($E148,Roadmap!$D:$D,0)+COUNTIF($E148:W148,"u")+COUNTIF($E148:W148,"t")+COUNTIF($E148:W148,"¶")+COUNTIF($E148:W148,"²")+COUNTIF($E148:W148,"µ")+COUNTIF($E148:W148,1)-1,INDEX(Roadmap!$D:$K,MATCH($E148,Roadmap!$D:$D,0)-1+COUNTIF($E148:W148,"u")+COUNTIF($E148:W148,"t")+COUNTIF($E148:W148,"¶")+COUNTIF($E148:W148,"²")+COUNTIF($E148:W148,"µ")+COUNTIF($E148:W148,1),ColDescriptionCourte)),""),
  "")),"")</f>
        <v/>
      </c>
      <c r="Y148" s="40" t="str">
        <f ca="1">IFERROR(IF(AND(
  INDEX(Roadmap!$D:$K,MATCH($E148,Roadmap!$D:$D,0)+COUNTIF($E148:X148,"u")+COUNTIF($E148:X148,"t")+COUNTIF($E148:X148,"¶")+COUNTIF($E148:X148,"²")+COUNTIF($E148:X148,"µ")+COUNTIF($E148:X148,1),ColLivraison)=Y$6,
  VLOOKUP($E148,INDIRECT("tri!"&amp; CHAR(64+ C0Col) &amp;":"&amp; CHAR(65+C0Col)),2,FALSE)&gt;COUNTIF($E148:X148,"u")+COUNTIF($E148:X148,"t")+COUNTIF($E148:X148,"¶")+COUNTIF($E148:X148,"²")+COUNTIF($E148:X148,"µ")+COUNTIF($E148:X148,1)),
HYPERLINK("#Roadmap!C"&amp; MATCH($E148,Roadmap!$D:$D,0)+COUNTIF($E148:X148,"u")+COUNTIF($E148:X148,"t"),
     INDEX(Roadmap!$D:$K,MATCH($E148,Roadmap!$D:$D,0)+COUNTIF($E148:X148,"u")+COUNTIF($E148:X148,"t")+COUNTIF($E148:X148,"¶")+COUNTIF($E148:X148,"²")+COUNTIF($E148:X148,"µ")+COUNTIF($E148:X148,1),ColTypeEcheance)),
  IF(LEN(X148)=1,
  IF(LEN(INDEX(Roadmap!$D:$K,MATCH($E148,Roadmap!$D:$D,0)-1+COUNTIF($E148:X148,"u")+COUNTIF($E148:X148,"t")+COUNTIF($E148:X148,"¶")+COUNTIF($E148:X148,"²")+COUNTIF($E148:X148,"µ")+COUNTIF($E148:X148,1),ColDescriptionCourte))&gt;1,
HYPERLINK("#Roadmap!C"&amp; MATCH($E148,Roadmap!$D:$D,0)+COUNTIF($E148:X148,"u")+COUNTIF($E148:X148,"t")+COUNTIF($E148:X148,"¶")+COUNTIF($E148:X148,"²")+COUNTIF($E148:X148,"µ")+COUNTIF($E148:X148,1)-1,INDEX(Roadmap!$D:$K,MATCH($E148,Roadmap!$D:$D,0)-1+COUNTIF($E148:X148,"u")+COUNTIF($E148:X148,"t")+COUNTIF($E148:X148,"¶")+COUNTIF($E148:X148,"²")+COUNTIF($E148:X148,"µ")+COUNTIF($E148:X148,1),ColDescriptionCourte)),""),
  "")),"")</f>
        <v/>
      </c>
      <c r="Z148" s="40" t="str">
        <f ca="1">IFERROR(IF(AND(
  INDEX(Roadmap!$D:$K,MATCH($E148,Roadmap!$D:$D,0)+COUNTIF($E148:Y148,"u")+COUNTIF($E148:Y148,"t")+COUNTIF($E148:Y148,"¶")+COUNTIF($E148:Y148,"²")+COUNTIF($E148:Y148,"µ")+COUNTIF($E148:Y148,1),ColLivraison)=Z$6,
  VLOOKUP($E148,INDIRECT("tri!"&amp; CHAR(64+ C0Col) &amp;":"&amp; CHAR(65+C0Col)),2,FALSE)&gt;COUNTIF($E148:Y148,"u")+COUNTIF($E148:Y148,"t")+COUNTIF($E148:Y148,"¶")+COUNTIF($E148:Y148,"²")+COUNTIF($E148:Y148,"µ")+COUNTIF($E148:Y148,1)),
HYPERLINK("#Roadmap!C"&amp; MATCH($E148,Roadmap!$D:$D,0)+COUNTIF($E148:Y148,"u")+COUNTIF($E148:Y148,"t"),
     INDEX(Roadmap!$D:$K,MATCH($E148,Roadmap!$D:$D,0)+COUNTIF($E148:Y148,"u")+COUNTIF($E148:Y148,"t")+COUNTIF($E148:Y148,"¶")+COUNTIF($E148:Y148,"²")+COUNTIF($E148:Y148,"µ")+COUNTIF($E148:Y148,1),ColTypeEcheance)),
  IF(LEN(Y148)=1,
  IF(LEN(INDEX(Roadmap!$D:$K,MATCH($E148,Roadmap!$D:$D,0)-1+COUNTIF($E148:Y148,"u")+COUNTIF($E148:Y148,"t")+COUNTIF($E148:Y148,"¶")+COUNTIF($E148:Y148,"²")+COUNTIF($E148:Y148,"µ")+COUNTIF($E148:Y148,1),ColDescriptionCourte))&gt;1,
HYPERLINK("#Roadmap!C"&amp; MATCH($E148,Roadmap!$D:$D,0)+COUNTIF($E148:Y148,"u")+COUNTIF($E148:Y148,"t")+COUNTIF($E148:Y148,"¶")+COUNTIF($E148:Y148,"²")+COUNTIF($E148:Y148,"µ")+COUNTIF($E148:Y148,1)-1,INDEX(Roadmap!$D:$K,MATCH($E148,Roadmap!$D:$D,0)-1+COUNTIF($E148:Y148,"u")+COUNTIF($E148:Y148,"t")+COUNTIF($E148:Y148,"¶")+COUNTIF($E148:Y148,"²")+COUNTIF($E148:Y148,"µ")+COUNTIF($E148:Y148,1),ColDescriptionCourte)),""),
  "")),"")</f>
        <v/>
      </c>
      <c r="AA148" s="40" t="str">
        <f ca="1">IFERROR(IF(AND(
  INDEX(Roadmap!$D:$K,MATCH($E148,Roadmap!$D:$D,0)+COUNTIF($E148:Z148,"u")+COUNTIF($E148:Z148,"t")+COUNTIF($E148:Z148,"¶")+COUNTIF($E148:Z148,"²")+COUNTIF($E148:Z148,"µ")+COUNTIF($E148:Z148,1),ColLivraison)=AA$6,
  VLOOKUP($E148,INDIRECT("tri!"&amp; CHAR(64+ C0Col) &amp;":"&amp; CHAR(65+C0Col)),2,FALSE)&gt;COUNTIF($E148:Z148,"u")+COUNTIF($E148:Z148,"t")+COUNTIF($E148:Z148,"¶")+COUNTIF($E148:Z148,"²")+COUNTIF($E148:Z148,"µ")+COUNTIF($E148:Z148,1)),
HYPERLINK("#Roadmap!C"&amp; MATCH($E148,Roadmap!$D:$D,0)+COUNTIF($E148:Z148,"u")+COUNTIF($E148:Z148,"t"),
     INDEX(Roadmap!$D:$K,MATCH($E148,Roadmap!$D:$D,0)+COUNTIF($E148:Z148,"u")+COUNTIF($E148:Z148,"t")+COUNTIF($E148:Z148,"¶")+COUNTIF($E148:Z148,"²")+COUNTIF($E148:Z148,"µ")+COUNTIF($E148:Z148,1),ColTypeEcheance)),
  IF(LEN(Z148)=1,
  IF(LEN(INDEX(Roadmap!$D:$K,MATCH($E148,Roadmap!$D:$D,0)-1+COUNTIF($E148:Z148,"u")+COUNTIF($E148:Z148,"t")+COUNTIF($E148:Z148,"¶")+COUNTIF($E148:Z148,"²")+COUNTIF($E148:Z148,"µ")+COUNTIF($E148:Z148,1),ColDescriptionCourte))&gt;1,
HYPERLINK("#Roadmap!C"&amp; MATCH($E148,Roadmap!$D:$D,0)+COUNTIF($E148:Z148,"u")+COUNTIF($E148:Z148,"t")+COUNTIF($E148:Z148,"¶")+COUNTIF($E148:Z148,"²")+COUNTIF($E148:Z148,"µ")+COUNTIF($E148:Z148,1)-1,INDEX(Roadmap!$D:$K,MATCH($E148,Roadmap!$D:$D,0)-1+COUNTIF($E148:Z148,"u")+COUNTIF($E148:Z148,"t")+COUNTIF($E148:Z148,"¶")+COUNTIF($E148:Z148,"²")+COUNTIF($E148:Z148,"µ")+COUNTIF($E148:Z148,1),ColDescriptionCourte)),""),
  "")),"")</f>
        <v/>
      </c>
      <c r="AB148" s="40" t="str">
        <f ca="1">IFERROR(IF(AND(
  INDEX(Roadmap!$D:$K,MATCH($E148,Roadmap!$D:$D,0)+COUNTIF($E148:AA148,"u")+COUNTIF($E148:AA148,"t")+COUNTIF($E148:AA148,"¶")+COUNTIF($E148:AA148,"²")+COUNTIF($E148:AA148,"µ")+COUNTIF($E148:AA148,1),ColLivraison)=AB$6,
  VLOOKUP($E148,INDIRECT("tri!"&amp; CHAR(64+ C0Col) &amp;":"&amp; CHAR(65+C0Col)),2,FALSE)&gt;COUNTIF($E148:AA148,"u")+COUNTIF($E148:AA148,"t")+COUNTIF($E148:AA148,"¶")+COUNTIF($E148:AA148,"²")+COUNTIF($E148:AA148,"µ")+COUNTIF($E148:AA148,1)),
HYPERLINK("#Roadmap!C"&amp; MATCH($E148,Roadmap!$D:$D,0)+COUNTIF($E148:AA148,"u")+COUNTIF($E148:AA148,"t"),
     INDEX(Roadmap!$D:$K,MATCH($E148,Roadmap!$D:$D,0)+COUNTIF($E148:AA148,"u")+COUNTIF($E148:AA148,"t")+COUNTIF($E148:AA148,"¶")+COUNTIF($E148:AA148,"²")+COUNTIF($E148:AA148,"µ")+COUNTIF($E148:AA148,1),ColTypeEcheance)),
  IF(LEN(AA148)=1,
  IF(LEN(INDEX(Roadmap!$D:$K,MATCH($E148,Roadmap!$D:$D,0)-1+COUNTIF($E148:AA148,"u")+COUNTIF($E148:AA148,"t")+COUNTIF($E148:AA148,"¶")+COUNTIF($E148:AA148,"²")+COUNTIF($E148:AA148,"µ")+COUNTIF($E148:AA148,1),ColDescriptionCourte))&gt;1,
HYPERLINK("#Roadmap!C"&amp; MATCH($E148,Roadmap!$D:$D,0)+COUNTIF($E148:AA148,"u")+COUNTIF($E148:AA148,"t")+COUNTIF($E148:AA148,"¶")+COUNTIF($E148:AA148,"²")+COUNTIF($E148:AA148,"µ")+COUNTIF($E148:AA148,1)-1,INDEX(Roadmap!$D:$K,MATCH($E148,Roadmap!$D:$D,0)-1+COUNTIF($E148:AA148,"u")+COUNTIF($E148:AA148,"t")+COUNTIF($E148:AA148,"¶")+COUNTIF($E148:AA148,"²")+COUNTIF($E148:AA148,"µ")+COUNTIF($E148:AA148,1),ColDescriptionCourte)),""),
  "")),"")</f>
        <v/>
      </c>
      <c r="AC148" s="40" t="str">
        <f ca="1">IFERROR(IF(AND(
  INDEX(Roadmap!$D:$K,MATCH($E148,Roadmap!$D:$D,0)+COUNTIF($E148:AB148,"u")+COUNTIF($E148:AB148,"t")+COUNTIF($E148:AB148,"¶")+COUNTIF($E148:AB148,"²")+COUNTIF($E148:AB148,"µ")+COUNTIF($E148:AB148,1),ColLivraison)=AC$6,
  VLOOKUP($E148,INDIRECT("tri!"&amp; CHAR(64+ C0Col) &amp;":"&amp; CHAR(65+C0Col)),2,FALSE)&gt;COUNTIF($E148:AB148,"u")+COUNTIF($E148:AB148,"t")+COUNTIF($E148:AB148,"¶")+COUNTIF($E148:AB148,"²")+COUNTIF($E148:AB148,"µ")+COUNTIF($E148:AB148,1)),
HYPERLINK("#Roadmap!C"&amp; MATCH($E148,Roadmap!$D:$D,0)+COUNTIF($E148:AB148,"u")+COUNTIF($E148:AB148,"t"),
     INDEX(Roadmap!$D:$K,MATCH($E148,Roadmap!$D:$D,0)+COUNTIF($E148:AB148,"u")+COUNTIF($E148:AB148,"t")+COUNTIF($E148:AB148,"¶")+COUNTIF($E148:AB148,"²")+COUNTIF($E148:AB148,"µ")+COUNTIF($E148:AB148,1),ColTypeEcheance)),
  IF(LEN(AB148)=1,
  IF(LEN(INDEX(Roadmap!$D:$K,MATCH($E148,Roadmap!$D:$D,0)-1+COUNTIF($E148:AB148,"u")+COUNTIF($E148:AB148,"t")+COUNTIF($E148:AB148,"¶")+COUNTIF($E148:AB148,"²")+COUNTIF($E148:AB148,"µ")+COUNTIF($E148:AB148,1),ColDescriptionCourte))&gt;1,
HYPERLINK("#Roadmap!C"&amp; MATCH($E148,Roadmap!$D:$D,0)+COUNTIF($E148:AB148,"u")+COUNTIF($E148:AB148,"t")+COUNTIF($E148:AB148,"¶")+COUNTIF($E148:AB148,"²")+COUNTIF($E148:AB148,"µ")+COUNTIF($E148:AB148,1)-1,INDEX(Roadmap!$D:$K,MATCH($E148,Roadmap!$D:$D,0)-1+COUNTIF($E148:AB148,"u")+COUNTIF($E148:AB148,"t")+COUNTIF($E148:AB148,"¶")+COUNTIF($E148:AB148,"²")+COUNTIF($E148:AB148,"µ")+COUNTIF($E148:AB148,1),ColDescriptionCourte)),""),
  "")),"")</f>
        <v/>
      </c>
      <c r="AD148" s="40" t="str">
        <f ca="1">IFERROR(IF(AND(
  INDEX(Roadmap!$D:$K,MATCH($E148,Roadmap!$D:$D,0)+COUNTIF($E148:AC148,"u")+COUNTIF($E148:AC148,"t")+COUNTIF($E148:AC148,"¶")+COUNTIF($E148:AC148,"²")+COUNTIF($E148:AC148,"µ")+COUNTIF($E148:AC148,1),ColLivraison)=AD$6,
  VLOOKUP($E148,INDIRECT("tri!"&amp; CHAR(64+ C0Col) &amp;":"&amp; CHAR(65+C0Col)),2,FALSE)&gt;COUNTIF($E148:AC148,"u")+COUNTIF($E148:AC148,"t")+COUNTIF($E148:AC148,"¶")+COUNTIF($E148:AC148,"²")+COUNTIF($E148:AC148,"µ")+COUNTIF($E148:AC148,1)),
HYPERLINK("#Roadmap!C"&amp; MATCH($E148,Roadmap!$D:$D,0)+COUNTIF($E148:AC148,"u")+COUNTIF($E148:AC148,"t"),
     INDEX(Roadmap!$D:$K,MATCH($E148,Roadmap!$D:$D,0)+COUNTIF($E148:AC148,"u")+COUNTIF($E148:AC148,"t")+COUNTIF($E148:AC148,"¶")+COUNTIF($E148:AC148,"²")+COUNTIF($E148:AC148,"µ")+COUNTIF($E148:AC148,1),ColTypeEcheance)),
  IF(LEN(AC148)=1,
  IF(LEN(INDEX(Roadmap!$D:$K,MATCH($E148,Roadmap!$D:$D,0)-1+COUNTIF($E148:AC148,"u")+COUNTIF($E148:AC148,"t")+COUNTIF($E148:AC148,"¶")+COUNTIF($E148:AC148,"²")+COUNTIF($E148:AC148,"µ")+COUNTIF($E148:AC148,1),ColDescriptionCourte))&gt;1,
HYPERLINK("#Roadmap!C"&amp; MATCH($E148,Roadmap!$D:$D,0)+COUNTIF($E148:AC148,"u")+COUNTIF($E148:AC148,"t")+COUNTIF($E148:AC148,"¶")+COUNTIF($E148:AC148,"²")+COUNTIF($E148:AC148,"µ")+COUNTIF($E148:AC148,1)-1,INDEX(Roadmap!$D:$K,MATCH($E148,Roadmap!$D:$D,0)-1+COUNTIF($E148:AC148,"u")+COUNTIF($E148:AC148,"t")+COUNTIF($E148:AC148,"¶")+COUNTIF($E148:AC148,"²")+COUNTIF($E148:AC148,"µ")+COUNTIF($E148:AC148,1),ColDescriptionCourte)),""),
  "")),"")</f>
        <v/>
      </c>
      <c r="AE148" s="40" t="str">
        <f ca="1">IFERROR(IF(AND(
  INDEX(Roadmap!$D:$K,MATCH($E148,Roadmap!$D:$D,0)+COUNTIF($E148:AD148,"u")+COUNTIF($E148:AD148,"t")+COUNTIF($E148:AD148,"¶")+COUNTIF($E148:AD148,"²")+COUNTIF($E148:AD148,"µ")+COUNTIF($E148:AD148,1),ColLivraison)=AE$6,
  VLOOKUP($E148,INDIRECT("tri!"&amp; CHAR(64+ C0Col) &amp;":"&amp; CHAR(65+C0Col)),2,FALSE)&gt;COUNTIF($E148:AD148,"u")+COUNTIF($E148:AD148,"t")+COUNTIF($E148:AD148,"¶")+COUNTIF($E148:AD148,"²")+COUNTIF($E148:AD148,"µ")+COUNTIF($E148:AD148,1)),
HYPERLINK("#Roadmap!C"&amp; MATCH($E148,Roadmap!$D:$D,0)+COUNTIF($E148:AD148,"u")+COUNTIF($E148:AD148,"t"),
     INDEX(Roadmap!$D:$K,MATCH($E148,Roadmap!$D:$D,0)+COUNTIF($E148:AD148,"u")+COUNTIF($E148:AD148,"t")+COUNTIF($E148:AD148,"¶")+COUNTIF($E148:AD148,"²")+COUNTIF($E148:AD148,"µ")+COUNTIF($E148:AD148,1),ColTypeEcheance)),
  IF(LEN(AD148)=1,
  IF(LEN(INDEX(Roadmap!$D:$K,MATCH($E148,Roadmap!$D:$D,0)-1+COUNTIF($E148:AD148,"u")+COUNTIF($E148:AD148,"t")+COUNTIF($E148:AD148,"¶")+COUNTIF($E148:AD148,"²")+COUNTIF($E148:AD148,"µ")+COUNTIF($E148:AD148,1),ColDescriptionCourte))&gt;1,
HYPERLINK("#Roadmap!C"&amp; MATCH($E148,Roadmap!$D:$D,0)+COUNTIF($E148:AD148,"u")+COUNTIF($E148:AD148,"t")+COUNTIF($E148:AD148,"¶")+COUNTIF($E148:AD148,"²")+COUNTIF($E148:AD148,"µ")+COUNTIF($E148:AD148,1)-1,INDEX(Roadmap!$D:$K,MATCH($E148,Roadmap!$D:$D,0)-1+COUNTIF($E148:AD148,"u")+COUNTIF($E148:AD148,"t")+COUNTIF($E148:AD148,"¶")+COUNTIF($E148:AD148,"²")+COUNTIF($E148:AD148,"µ")+COUNTIF($E148:AD148,1),ColDescriptionCourte)),""),
  "")),"")</f>
        <v/>
      </c>
      <c r="AF148" s="40" t="str">
        <f ca="1">IFERROR(IF(AND(
  INDEX(Roadmap!$D:$K,MATCH($E148,Roadmap!$D:$D,0)+COUNTIF($E148:AE148,"u")+COUNTIF($E148:AE148,"t")+COUNTIF($E148:AE148,"¶")+COUNTIF($E148:AE148,"²")+COUNTIF($E148:AE148,"µ")+COUNTIF($E148:AE148,1),ColLivraison)=AF$6,
  VLOOKUP($E148,INDIRECT("tri!"&amp; CHAR(64+ C0Col) &amp;":"&amp; CHAR(65+C0Col)),2,FALSE)&gt;COUNTIF($E148:AE148,"u")+COUNTIF($E148:AE148,"t")+COUNTIF($E148:AE148,"¶")+COUNTIF($E148:AE148,"²")+COUNTIF($E148:AE148,"µ")+COUNTIF($E148:AE148,1)),
HYPERLINK("#Roadmap!C"&amp; MATCH($E148,Roadmap!$D:$D,0)+COUNTIF($E148:AE148,"u")+COUNTIF($E148:AE148,"t"),
     INDEX(Roadmap!$D:$K,MATCH($E148,Roadmap!$D:$D,0)+COUNTIF($E148:AE148,"u")+COUNTIF($E148:AE148,"t")+COUNTIF($E148:AE148,"¶")+COUNTIF($E148:AE148,"²")+COUNTIF($E148:AE148,"µ")+COUNTIF($E148:AE148,1),ColTypeEcheance)),
  IF(LEN(AE148)=1,
  IF(LEN(INDEX(Roadmap!$D:$K,MATCH($E148,Roadmap!$D:$D,0)-1+COUNTIF($E148:AE148,"u")+COUNTIF($E148:AE148,"t")+COUNTIF($E148:AE148,"¶")+COUNTIF($E148:AE148,"²")+COUNTIF($E148:AE148,"µ")+COUNTIF($E148:AE148,1),ColDescriptionCourte))&gt;1,
HYPERLINK("#Roadmap!C"&amp; MATCH($E148,Roadmap!$D:$D,0)+COUNTIF($E148:AE148,"u")+COUNTIF($E148:AE148,"t")+COUNTIF($E148:AE148,"¶")+COUNTIF($E148:AE148,"²")+COUNTIF($E148:AE148,"µ")+COUNTIF($E148:AE148,1)-1,INDEX(Roadmap!$D:$K,MATCH($E148,Roadmap!$D:$D,0)-1+COUNTIF($E148:AE148,"u")+COUNTIF($E148:AE148,"t")+COUNTIF($E148:AE148,"¶")+COUNTIF($E148:AE148,"²")+COUNTIF($E148:AE148,"µ")+COUNTIF($E148:AE148,1),ColDescriptionCourte)),""),
  "")),"")</f>
        <v/>
      </c>
      <c r="AG148" s="40" t="str">
        <f ca="1">IFERROR(IF(AND(
  INDEX(Roadmap!$D:$K,MATCH($E148,Roadmap!$D:$D,0)+COUNTIF($E148:AF148,"u")+COUNTIF($E148:AF148,"t")+COUNTIF($E148:AF148,"¶")+COUNTIF($E148:AF148,"²")+COUNTIF($E148:AF148,"µ")+COUNTIF($E148:AF148,1),ColLivraison)=AG$6,
  VLOOKUP($E148,INDIRECT("tri!"&amp; CHAR(64+ C0Col) &amp;":"&amp; CHAR(65+C0Col)),2,FALSE)&gt;COUNTIF($E148:AF148,"u")+COUNTIF($E148:AF148,"t")+COUNTIF($E148:AF148,"¶")+COUNTIF($E148:AF148,"²")+COUNTIF($E148:AF148,"µ")+COUNTIF($E148:AF148,1)),
HYPERLINK("#Roadmap!C"&amp; MATCH($E148,Roadmap!$D:$D,0)+COUNTIF($E148:AF148,"u")+COUNTIF($E148:AF148,"t"),
     INDEX(Roadmap!$D:$K,MATCH($E148,Roadmap!$D:$D,0)+COUNTIF($E148:AF148,"u")+COUNTIF($E148:AF148,"t")+COUNTIF($E148:AF148,"¶")+COUNTIF($E148:AF148,"²")+COUNTIF($E148:AF148,"µ")+COUNTIF($E148:AF148,1),ColTypeEcheance)),
  IF(LEN(AF148)=1,
  IF(LEN(INDEX(Roadmap!$D:$K,MATCH($E148,Roadmap!$D:$D,0)-1+COUNTIF($E148:AF148,"u")+COUNTIF($E148:AF148,"t")+COUNTIF($E148:AF148,"¶")+COUNTIF($E148:AF148,"²")+COUNTIF($E148:AF148,"µ")+COUNTIF($E148:AF148,1),ColDescriptionCourte))&gt;1,
HYPERLINK("#Roadmap!C"&amp; MATCH($E148,Roadmap!$D:$D,0)+COUNTIF($E148:AF148,"u")+COUNTIF($E148:AF148,"t")+COUNTIF($E148:AF148,"¶")+COUNTIF($E148:AF148,"²")+COUNTIF($E148:AF148,"µ")+COUNTIF($E148:AF148,1)-1,INDEX(Roadmap!$D:$K,MATCH($E148,Roadmap!$D:$D,0)-1+COUNTIF($E148:AF148,"u")+COUNTIF($E148:AF148,"t")+COUNTIF($E148:AF148,"¶")+COUNTIF($E148:AF148,"²")+COUNTIF($E148:AF148,"µ")+COUNTIF($E148:AF148,1),ColDescriptionCourte)),""),
  "")),"")</f>
        <v/>
      </c>
    </row>
    <row r="149" spans="3:33" ht="14.25" customHeight="1">
      <c r="C149" s="1" t="str">
        <f t="shared" ca="1" si="52"/>
        <v/>
      </c>
      <c r="D149" s="1" t="str">
        <f t="shared" ca="1" si="53"/>
        <v/>
      </c>
      <c r="E149" s="35" t="str">
        <f t="shared" ca="1" si="51"/>
        <v/>
      </c>
      <c r="F149" s="39" t="str">
        <f ca="1">IFERROR(IF(AND(
  INDEX(Roadmap!$D:$K,MATCH($E149,Roadmap!$D:$D,0)+COUNTIF($E149:E149,"u")+COUNTIF($E149:E149,"t")+COUNTIF($E149:E149,"¶")+COUNTIF($E149:E149,"²")+COUNTIF($E149:E149,"µ")+COUNTIF($E149:E149,1),ColLivraison)=F$6,
  VLOOKUP($E149,INDIRECT("tri!"&amp; CHAR(64+ C0Col) &amp;":"&amp; CHAR(65+C0Col)),2,FALSE)&gt;COUNTIF($E149:E149,"u")+COUNTIF($E149:E149,"t")+COUNTIF($E149:E149,"¶")+COUNTIF($E149:E149,"²")+COUNTIF($E149:E149,"µ")+COUNTIF($E149:E149,1)),
HYPERLINK("#Roadmap!C"&amp; MATCH($E149,Roadmap!$D:$D,0)+COUNTIF($E149:E149,"u")+COUNTIF($E149:E149,"t"),
     INDEX(Roadmap!$D:$K,MATCH($E149,Roadmap!$D:$D,0)+COUNTIF($E149:E149,"u")+COUNTIF($E149:E149,"t")+COUNTIF($E149:E149,"¶")+COUNTIF($E149:E149,"²")+COUNTIF($E149:E149,"µ")+COUNTIF($E149:E149,1),ColTypeEcheance)),
  IF(LEN(E149)=1,
  IF(LEN(INDEX(Roadmap!$D:$K,MATCH($E149,Roadmap!$D:$D,0)-1+COUNTIF($E149:E149,"u")+COUNTIF($E149:E149,"t")+COUNTIF($E149:E149,"¶")+COUNTIF($E149:E149,"²")+COUNTIF($E149:E149,"µ")+COUNTIF($E149:E149,1),ColDescriptionCourte))&gt;1,
HYPERLINK("#Roadmap!C"&amp; MATCH($E149,Roadmap!$D:$D,0)+COUNTIF($E149:E149,"u")+COUNTIF($E149:E149,"t")+COUNTIF($E149:E149,"¶")+COUNTIF($E149:E149,"²")+COUNTIF($E149:E149,"µ")+COUNTIF($E149:E149,1)-1,INDEX(Roadmap!$D:$K,MATCH($E149,Roadmap!$D:$D,0)-1+COUNTIF($E149:E149,"u")+COUNTIF($E149:E149,"t")+COUNTIF($E149:E149,"¶")+COUNTIF($E149:E149,"²")+COUNTIF($E149:E149,"µ")+COUNTIF($E149:E149,1),ColDescriptionCourte)),""),
  "")),"")</f>
        <v/>
      </c>
      <c r="G149" s="40" t="str">
        <f ca="1">IFERROR(IF(AND(
  INDEX(Roadmap!$D:$K,MATCH($E149,Roadmap!$D:$D,0)+COUNTIF($E149:F149,"u")+COUNTIF($E149:F149,"t")+COUNTIF($E149:F149,"¶")+COUNTIF($E149:F149,"²")+COUNTIF($E149:F149,"µ")+COUNTIF($E149:F149,1),ColLivraison)=G$6,
  VLOOKUP($E149,INDIRECT("tri!"&amp; CHAR(64+ C0Col) &amp;":"&amp; CHAR(65+C0Col)),2,FALSE)&gt;COUNTIF($E149:F149,"u")+COUNTIF($E149:F149,"t")+COUNTIF($E149:F149,"¶")+COUNTIF($E149:F149,"²")+COUNTIF($E149:F149,"µ")+COUNTIF($E149:F149,1)),
HYPERLINK("#Roadmap!C"&amp; MATCH($E149,Roadmap!$D:$D,0)+COUNTIF($E149:F149,"u")+COUNTIF($E149:F149,"t"),
     INDEX(Roadmap!$D:$K,MATCH($E149,Roadmap!$D:$D,0)+COUNTIF($E149:F149,"u")+COUNTIF($E149:F149,"t")+COUNTIF($E149:F149,"¶")+COUNTIF($E149:F149,"²")+COUNTIF($E149:F149,"µ")+COUNTIF($E149:F149,1),ColTypeEcheance)),
  IF(LEN(F149)=1,
  IF(LEN(INDEX(Roadmap!$D:$K,MATCH($E149,Roadmap!$D:$D,0)-1+COUNTIF($E149:F149,"u")+COUNTIF($E149:F149,"t")+COUNTIF($E149:F149,"¶")+COUNTIF($E149:F149,"²")+COUNTIF($E149:F149,"µ")+COUNTIF($E149:F149,1),ColDescriptionCourte))&gt;1,
HYPERLINK("#Roadmap!C"&amp; MATCH($E149,Roadmap!$D:$D,0)+COUNTIF($E149:F149,"u")+COUNTIF($E149:F149,"t")+COUNTIF($E149:F149,"¶")+COUNTIF($E149:F149,"²")+COUNTIF($E149:F149,"µ")+COUNTIF($E149:F149,1)-1,INDEX(Roadmap!$D:$K,MATCH($E149,Roadmap!$D:$D,0)-1+COUNTIF($E149:F149,"u")+COUNTIF($E149:F149,"t")+COUNTIF($E149:F149,"¶")+COUNTIF($E149:F149,"²")+COUNTIF($E149:F149,"µ")+COUNTIF($E149:F149,1),ColDescriptionCourte)),""),
  "")),"")</f>
        <v/>
      </c>
      <c r="H149" s="40" t="str">
        <f ca="1">IFERROR(IF(AND(
  INDEX(Roadmap!$D:$K,MATCH($E149,Roadmap!$D:$D,0)+COUNTIF($E149:G149,"u")+COUNTIF($E149:G149,"t")+COUNTIF($E149:G149,"¶")+COUNTIF($E149:G149,"²")+COUNTIF($E149:G149,"µ")+COUNTIF($E149:G149,1),ColLivraison)=H$6,
  VLOOKUP($E149,INDIRECT("tri!"&amp; CHAR(64+ C0Col) &amp;":"&amp; CHAR(65+C0Col)),2,FALSE)&gt;COUNTIF($E149:G149,"u")+COUNTIF($E149:G149,"t")+COUNTIF($E149:G149,"¶")+COUNTIF($E149:G149,"²")+COUNTIF($E149:G149,"µ")+COUNTIF($E149:G149,1)),
HYPERLINK("#Roadmap!C"&amp; MATCH($E149,Roadmap!$D:$D,0)+COUNTIF($E149:G149,"u")+COUNTIF($E149:G149,"t"),
     INDEX(Roadmap!$D:$K,MATCH($E149,Roadmap!$D:$D,0)+COUNTIF($E149:G149,"u")+COUNTIF($E149:G149,"t")+COUNTIF($E149:G149,"¶")+COUNTIF($E149:G149,"²")+COUNTIF($E149:G149,"µ")+COUNTIF($E149:G149,1),ColTypeEcheance)),
  IF(LEN(G149)=1,
  IF(LEN(INDEX(Roadmap!$D:$K,MATCH($E149,Roadmap!$D:$D,0)-1+COUNTIF($E149:G149,"u")+COUNTIF($E149:G149,"t")+COUNTIF($E149:G149,"¶")+COUNTIF($E149:G149,"²")+COUNTIF($E149:G149,"µ")+COUNTIF($E149:G149,1),ColDescriptionCourte))&gt;1,
HYPERLINK("#Roadmap!C"&amp; MATCH($E149,Roadmap!$D:$D,0)+COUNTIF($E149:G149,"u")+COUNTIF($E149:G149,"t")+COUNTIF($E149:G149,"¶")+COUNTIF($E149:G149,"²")+COUNTIF($E149:G149,"µ")+COUNTIF($E149:G149,1)-1,INDEX(Roadmap!$D:$K,MATCH($E149,Roadmap!$D:$D,0)-1+COUNTIF($E149:G149,"u")+COUNTIF($E149:G149,"t")+COUNTIF($E149:G149,"¶")+COUNTIF($E149:G149,"²")+COUNTIF($E149:G149,"µ")+COUNTIF($E149:G149,1),ColDescriptionCourte)),""),
  "")),"")</f>
        <v/>
      </c>
      <c r="I149" s="40" t="str">
        <f ca="1">IFERROR(IF(AND(
  INDEX(Roadmap!$D:$K,MATCH($E149,Roadmap!$D:$D,0)+COUNTIF($E149:H149,"u")+COUNTIF($E149:H149,"t")+COUNTIF($E149:H149,"¶")+COUNTIF($E149:H149,"²")+COUNTIF($E149:H149,"µ")+COUNTIF($E149:H149,1),ColLivraison)=I$6,
  VLOOKUP($E149,INDIRECT("tri!"&amp; CHAR(64+ C0Col) &amp;":"&amp; CHAR(65+C0Col)),2,FALSE)&gt;COUNTIF($E149:H149,"u")+COUNTIF($E149:H149,"t")+COUNTIF($E149:H149,"¶")+COUNTIF($E149:H149,"²")+COUNTIF($E149:H149,"µ")+COUNTIF($E149:H149,1)),
HYPERLINK("#Roadmap!C"&amp; MATCH($E149,Roadmap!$D:$D,0)+COUNTIF($E149:H149,"u")+COUNTIF($E149:H149,"t"),
     INDEX(Roadmap!$D:$K,MATCH($E149,Roadmap!$D:$D,0)+COUNTIF($E149:H149,"u")+COUNTIF($E149:H149,"t")+COUNTIF($E149:H149,"¶")+COUNTIF($E149:H149,"²")+COUNTIF($E149:H149,"µ")+COUNTIF($E149:H149,1),ColTypeEcheance)),
  IF(LEN(H149)=1,
  IF(LEN(INDEX(Roadmap!$D:$K,MATCH($E149,Roadmap!$D:$D,0)-1+COUNTIF($E149:H149,"u")+COUNTIF($E149:H149,"t")+COUNTIF($E149:H149,"¶")+COUNTIF($E149:H149,"²")+COUNTIF($E149:H149,"µ")+COUNTIF($E149:H149,1),ColDescriptionCourte))&gt;1,
HYPERLINK("#Roadmap!C"&amp; MATCH($E149,Roadmap!$D:$D,0)+COUNTIF($E149:H149,"u")+COUNTIF($E149:H149,"t")+COUNTIF($E149:H149,"¶")+COUNTIF($E149:H149,"²")+COUNTIF($E149:H149,"µ")+COUNTIF($E149:H149,1)-1,INDEX(Roadmap!$D:$K,MATCH($E149,Roadmap!$D:$D,0)-1+COUNTIF($E149:H149,"u")+COUNTIF($E149:H149,"t")+COUNTIF($E149:H149,"¶")+COUNTIF($E149:H149,"²")+COUNTIF($E149:H149,"µ")+COUNTIF($E149:H149,1),ColDescriptionCourte)),""),
  "")),"")</f>
        <v/>
      </c>
      <c r="J149" s="40" t="str">
        <f ca="1">IFERROR(IF(AND(
  INDEX(Roadmap!$D:$K,MATCH($E149,Roadmap!$D:$D,0)+COUNTIF($E149:I149,"u")+COUNTIF($E149:I149,"t")+COUNTIF($E149:I149,"¶")+COUNTIF($E149:I149,"²")+COUNTIF($E149:I149,"µ")+COUNTIF($E149:I149,1),ColLivraison)=J$6,
  VLOOKUP($E149,INDIRECT("tri!"&amp; CHAR(64+ C0Col) &amp;":"&amp; CHAR(65+C0Col)),2,FALSE)&gt;COUNTIF($E149:I149,"u")+COUNTIF($E149:I149,"t")+COUNTIF($E149:I149,"¶")+COUNTIF($E149:I149,"²")+COUNTIF($E149:I149,"µ")+COUNTIF($E149:I149,1)),
HYPERLINK("#Roadmap!C"&amp; MATCH($E149,Roadmap!$D:$D,0)+COUNTIF($E149:I149,"u")+COUNTIF($E149:I149,"t"),
     INDEX(Roadmap!$D:$K,MATCH($E149,Roadmap!$D:$D,0)+COUNTIF($E149:I149,"u")+COUNTIF($E149:I149,"t")+COUNTIF($E149:I149,"¶")+COUNTIF($E149:I149,"²")+COUNTIF($E149:I149,"µ")+COUNTIF($E149:I149,1),ColTypeEcheance)),
  IF(LEN(I149)=1,
  IF(LEN(INDEX(Roadmap!$D:$K,MATCH($E149,Roadmap!$D:$D,0)-1+COUNTIF($E149:I149,"u")+COUNTIF($E149:I149,"t")+COUNTIF($E149:I149,"¶")+COUNTIF($E149:I149,"²")+COUNTIF($E149:I149,"µ")+COUNTIF($E149:I149,1),ColDescriptionCourte))&gt;1,
HYPERLINK("#Roadmap!C"&amp; MATCH($E149,Roadmap!$D:$D,0)+COUNTIF($E149:I149,"u")+COUNTIF($E149:I149,"t")+COUNTIF($E149:I149,"¶")+COUNTIF($E149:I149,"²")+COUNTIF($E149:I149,"µ")+COUNTIF($E149:I149,1)-1,INDEX(Roadmap!$D:$K,MATCH($E149,Roadmap!$D:$D,0)-1+COUNTIF($E149:I149,"u")+COUNTIF($E149:I149,"t")+COUNTIF($E149:I149,"¶")+COUNTIF($E149:I149,"²")+COUNTIF($E149:I149,"µ")+COUNTIF($E149:I149,1),ColDescriptionCourte)),""),
  "")),"")</f>
        <v/>
      </c>
      <c r="K149" s="40" t="str">
        <f ca="1">IFERROR(IF(AND(
  INDEX(Roadmap!$D:$K,MATCH($E149,Roadmap!$D:$D,0)+COUNTIF($E149:J149,"u")+COUNTIF($E149:J149,"t")+COUNTIF($E149:J149,"¶")+COUNTIF($E149:J149,"²")+COUNTIF($E149:J149,"µ")+COUNTIF($E149:J149,1),ColLivraison)=K$6,
  VLOOKUP($E149,INDIRECT("tri!"&amp; CHAR(64+ C0Col) &amp;":"&amp; CHAR(65+C0Col)),2,FALSE)&gt;COUNTIF($E149:J149,"u")+COUNTIF($E149:J149,"t")+COUNTIF($E149:J149,"¶")+COUNTIF($E149:J149,"²")+COUNTIF($E149:J149,"µ")+COUNTIF($E149:J149,1)),
HYPERLINK("#Roadmap!C"&amp; MATCH($E149,Roadmap!$D:$D,0)+COUNTIF($E149:J149,"u")+COUNTIF($E149:J149,"t"),
     INDEX(Roadmap!$D:$K,MATCH($E149,Roadmap!$D:$D,0)+COUNTIF($E149:J149,"u")+COUNTIF($E149:J149,"t")+COUNTIF($E149:J149,"¶")+COUNTIF($E149:J149,"²")+COUNTIF($E149:J149,"µ")+COUNTIF($E149:J149,1),ColTypeEcheance)),
  IF(LEN(J149)=1,
  IF(LEN(INDEX(Roadmap!$D:$K,MATCH($E149,Roadmap!$D:$D,0)-1+COUNTIF($E149:J149,"u")+COUNTIF($E149:J149,"t")+COUNTIF($E149:J149,"¶")+COUNTIF($E149:J149,"²")+COUNTIF($E149:J149,"µ")+COUNTIF($E149:J149,1),ColDescriptionCourte))&gt;1,
HYPERLINK("#Roadmap!C"&amp; MATCH($E149,Roadmap!$D:$D,0)+COUNTIF($E149:J149,"u")+COUNTIF($E149:J149,"t")+COUNTIF($E149:J149,"¶")+COUNTIF($E149:J149,"²")+COUNTIF($E149:J149,"µ")+COUNTIF($E149:J149,1)-1,INDEX(Roadmap!$D:$K,MATCH($E149,Roadmap!$D:$D,0)-1+COUNTIF($E149:J149,"u")+COUNTIF($E149:J149,"t")+COUNTIF($E149:J149,"¶")+COUNTIF($E149:J149,"²")+COUNTIF($E149:J149,"µ")+COUNTIF($E149:J149,1),ColDescriptionCourte)),""),
  "")),"")</f>
        <v/>
      </c>
      <c r="L149" s="39" t="str">
        <f ca="1">IFERROR(IF(AND(
  INDEX(Roadmap!$D:$K,MATCH($E149,Roadmap!$D:$D,0)+COUNTIF($E149:K149,"u")+COUNTIF($E149:K149,"t")+COUNTIF($E149:K149,"¶")+COUNTIF($E149:K149,"²")+COUNTIF($E149:K149,"µ")+COUNTIF($E149:K149,1),ColLivraison)=L$6,
  VLOOKUP($E149,INDIRECT("tri!"&amp; CHAR(64+ C0Col) &amp;":"&amp; CHAR(65+C0Col)),2,FALSE)&gt;COUNTIF($E149:K149,"u")+COUNTIF($E149:K149,"t")+COUNTIF($E149:K149,"¶")+COUNTIF($E149:K149,"²")+COUNTIF($E149:K149,"µ")+COUNTIF($E149:K149,1)),
HYPERLINK("#Roadmap!C"&amp; MATCH($E149,Roadmap!$D:$D,0)+COUNTIF($E149:K149,"u")+COUNTIF($E149:K149,"t"),
     INDEX(Roadmap!$D:$K,MATCH($E149,Roadmap!$D:$D,0)+COUNTIF($E149:K149,"u")+COUNTIF($E149:K149,"t")+COUNTIF($E149:K149,"¶")+COUNTIF($E149:K149,"²")+COUNTIF($E149:K149,"µ")+COUNTIF($E149:K149,1),ColTypeEcheance)),
  IF(LEN(K149)=1,
  IF(LEN(INDEX(Roadmap!$D:$K,MATCH($E149,Roadmap!$D:$D,0)-1+COUNTIF($E149:K149,"u")+COUNTIF($E149:K149,"t")+COUNTIF($E149:K149,"¶")+COUNTIF($E149:K149,"²")+COUNTIF($E149:K149,"µ")+COUNTIF($E149:K149,1),ColDescriptionCourte))&gt;1,
HYPERLINK("#Roadmap!C"&amp; MATCH($E149,Roadmap!$D:$D,0)+COUNTIF($E149:K149,"u")+COUNTIF($E149:K149,"t")+COUNTIF($E149:K149,"¶")+COUNTIF($E149:K149,"²")+COUNTIF($E149:K149,"µ")+COUNTIF($E149:K149,1)-1,INDEX(Roadmap!$D:$K,MATCH($E149,Roadmap!$D:$D,0)-1+COUNTIF($E149:K149,"u")+COUNTIF($E149:K149,"t")+COUNTIF($E149:K149,"¶")+COUNTIF($E149:K149,"²")+COUNTIF($E149:K149,"µ")+COUNTIF($E149:K149,1),ColDescriptionCourte)),""),
  "")),"")</f>
        <v/>
      </c>
      <c r="M149" s="40" t="str">
        <f ca="1">IFERROR(IF(AND(
  INDEX(Roadmap!$D:$K,MATCH($E149,Roadmap!$D:$D,0)+COUNTIF($E149:L149,"u")+COUNTIF($E149:L149,"t")+COUNTIF($E149:L149,"¶")+COUNTIF($E149:L149,"²")+COUNTIF($E149:L149,"µ")+COUNTIF($E149:L149,1),ColLivraison)=M$6,
  VLOOKUP($E149,INDIRECT("tri!"&amp; CHAR(64+ C0Col) &amp;":"&amp; CHAR(65+C0Col)),2,FALSE)&gt;COUNTIF($E149:L149,"u")+COUNTIF($E149:L149,"t")+COUNTIF($E149:L149,"¶")+COUNTIF($E149:L149,"²")+COUNTIF($E149:L149,"µ")+COUNTIF($E149:L149,1)),
HYPERLINK("#Roadmap!C"&amp; MATCH($E149,Roadmap!$D:$D,0)+COUNTIF($E149:L149,"u")+COUNTIF($E149:L149,"t"),
     INDEX(Roadmap!$D:$K,MATCH($E149,Roadmap!$D:$D,0)+COUNTIF($E149:L149,"u")+COUNTIF($E149:L149,"t")+COUNTIF($E149:L149,"¶")+COUNTIF($E149:L149,"²")+COUNTIF($E149:L149,"µ")+COUNTIF($E149:L149,1),ColTypeEcheance)),
  IF(LEN(L149)=1,
  IF(LEN(INDEX(Roadmap!$D:$K,MATCH($E149,Roadmap!$D:$D,0)-1+COUNTIF($E149:L149,"u")+COUNTIF($E149:L149,"t")+COUNTIF($E149:L149,"¶")+COUNTIF($E149:L149,"²")+COUNTIF($E149:L149,"µ")+COUNTIF($E149:L149,1),ColDescriptionCourte))&gt;1,
HYPERLINK("#Roadmap!C"&amp; MATCH($E149,Roadmap!$D:$D,0)+COUNTIF($E149:L149,"u")+COUNTIF($E149:L149,"t")+COUNTIF($E149:L149,"¶")+COUNTIF($E149:L149,"²")+COUNTIF($E149:L149,"µ")+COUNTIF($E149:L149,1)-1,INDEX(Roadmap!$D:$K,MATCH($E149,Roadmap!$D:$D,0)-1+COUNTIF($E149:L149,"u")+COUNTIF($E149:L149,"t")+COUNTIF($E149:L149,"¶")+COUNTIF($E149:L149,"²")+COUNTIF($E149:L149,"µ")+COUNTIF($E149:L149,1),ColDescriptionCourte)),""),
  "")),"")</f>
        <v/>
      </c>
      <c r="N149" s="40" t="str">
        <f ca="1">IFERROR(IF(AND(
  INDEX(Roadmap!$D:$K,MATCH($E149,Roadmap!$D:$D,0)+COUNTIF($E149:M149,"u")+COUNTIF($E149:M149,"t")+COUNTIF($E149:M149,"¶")+COUNTIF($E149:M149,"²")+COUNTIF($E149:M149,"µ")+COUNTIF($E149:M149,1),ColLivraison)=N$6,
  VLOOKUP($E149,INDIRECT("tri!"&amp; CHAR(64+ C0Col) &amp;":"&amp; CHAR(65+C0Col)),2,FALSE)&gt;COUNTIF($E149:M149,"u")+COUNTIF($E149:M149,"t")+COUNTIF($E149:M149,"¶")+COUNTIF($E149:M149,"²")+COUNTIF($E149:M149,"µ")+COUNTIF($E149:M149,1)),
HYPERLINK("#Roadmap!C"&amp; MATCH($E149,Roadmap!$D:$D,0)+COUNTIF($E149:M149,"u")+COUNTIF($E149:M149,"t"),
     INDEX(Roadmap!$D:$K,MATCH($E149,Roadmap!$D:$D,0)+COUNTIF($E149:M149,"u")+COUNTIF($E149:M149,"t")+COUNTIF($E149:M149,"¶")+COUNTIF($E149:M149,"²")+COUNTIF($E149:M149,"µ")+COUNTIF($E149:M149,1),ColTypeEcheance)),
  IF(LEN(M149)=1,
  IF(LEN(INDEX(Roadmap!$D:$K,MATCH($E149,Roadmap!$D:$D,0)-1+COUNTIF($E149:M149,"u")+COUNTIF($E149:M149,"t")+COUNTIF($E149:M149,"¶")+COUNTIF($E149:M149,"²")+COUNTIF($E149:M149,"µ")+COUNTIF($E149:M149,1),ColDescriptionCourte))&gt;1,
HYPERLINK("#Roadmap!C"&amp; MATCH($E149,Roadmap!$D:$D,0)+COUNTIF($E149:M149,"u")+COUNTIF($E149:M149,"t")+COUNTIF($E149:M149,"¶")+COUNTIF($E149:M149,"²")+COUNTIF($E149:M149,"µ")+COUNTIF($E149:M149,1)-1,INDEX(Roadmap!$D:$K,MATCH($E149,Roadmap!$D:$D,0)-1+COUNTIF($E149:M149,"u")+COUNTIF($E149:M149,"t")+COUNTIF($E149:M149,"¶")+COUNTIF($E149:M149,"²")+COUNTIF($E149:M149,"µ")+COUNTIF($E149:M149,1),ColDescriptionCourte)),""),
  "")),"")</f>
        <v/>
      </c>
      <c r="O149" s="40" t="str">
        <f ca="1">IFERROR(IF(AND(
  INDEX(Roadmap!$D:$K,MATCH($E149,Roadmap!$D:$D,0)+COUNTIF($E149:N149,"u")+COUNTIF($E149:N149,"t")+COUNTIF($E149:N149,"¶")+COUNTIF($E149:N149,"²")+COUNTIF($E149:N149,"µ")+COUNTIF($E149:N149,1),ColLivraison)=O$6,
  VLOOKUP($E149,INDIRECT("tri!"&amp; CHAR(64+ C0Col) &amp;":"&amp; CHAR(65+C0Col)),2,FALSE)&gt;COUNTIF($E149:N149,"u")+COUNTIF($E149:N149,"t")+COUNTIF($E149:N149,"¶")+COUNTIF($E149:N149,"²")+COUNTIF($E149:N149,"µ")+COUNTIF($E149:N149,1)),
HYPERLINK("#Roadmap!C"&amp; MATCH($E149,Roadmap!$D:$D,0)+COUNTIF($E149:N149,"u")+COUNTIF($E149:N149,"t"),
     INDEX(Roadmap!$D:$K,MATCH($E149,Roadmap!$D:$D,0)+COUNTIF($E149:N149,"u")+COUNTIF($E149:N149,"t")+COUNTIF($E149:N149,"¶")+COUNTIF($E149:N149,"²")+COUNTIF($E149:N149,"µ")+COUNTIF($E149:N149,1),ColTypeEcheance)),
  IF(LEN(N149)=1,
  IF(LEN(INDEX(Roadmap!$D:$K,MATCH($E149,Roadmap!$D:$D,0)-1+COUNTIF($E149:N149,"u")+COUNTIF($E149:N149,"t")+COUNTIF($E149:N149,"¶")+COUNTIF($E149:N149,"²")+COUNTIF($E149:N149,"µ")+COUNTIF($E149:N149,1),ColDescriptionCourte))&gt;1,
HYPERLINK("#Roadmap!C"&amp; MATCH($E149,Roadmap!$D:$D,0)+COUNTIF($E149:N149,"u")+COUNTIF($E149:N149,"t")+COUNTIF($E149:N149,"¶")+COUNTIF($E149:N149,"²")+COUNTIF($E149:N149,"µ")+COUNTIF($E149:N149,1)-1,INDEX(Roadmap!$D:$K,MATCH($E149,Roadmap!$D:$D,0)-1+COUNTIF($E149:N149,"u")+COUNTIF($E149:N149,"t")+COUNTIF($E149:N149,"¶")+COUNTIF($E149:N149,"²")+COUNTIF($E149:N149,"µ")+COUNTIF($E149:N149,1),ColDescriptionCourte)),""),
  "")),"")</f>
        <v/>
      </c>
      <c r="P149" s="40" t="str">
        <f ca="1">IFERROR(IF(AND(
  INDEX(Roadmap!$D:$K,MATCH($E149,Roadmap!$D:$D,0)+COUNTIF($E149:O149,"u")+COUNTIF($E149:O149,"t")+COUNTIF($E149:O149,"¶")+COUNTIF($E149:O149,"²")+COUNTIF($E149:O149,"µ")+COUNTIF($E149:O149,1),ColLivraison)=P$6,
  VLOOKUP($E149,INDIRECT("tri!"&amp; CHAR(64+ C0Col) &amp;":"&amp; CHAR(65+C0Col)),2,FALSE)&gt;COUNTIF($E149:O149,"u")+COUNTIF($E149:O149,"t")+COUNTIF($E149:O149,"¶")+COUNTIF($E149:O149,"²")+COUNTIF($E149:O149,"µ")+COUNTIF($E149:O149,1)),
HYPERLINK("#Roadmap!C"&amp; MATCH($E149,Roadmap!$D:$D,0)+COUNTIF($E149:O149,"u")+COUNTIF($E149:O149,"t"),
     INDEX(Roadmap!$D:$K,MATCH($E149,Roadmap!$D:$D,0)+COUNTIF($E149:O149,"u")+COUNTIF($E149:O149,"t")+COUNTIF($E149:O149,"¶")+COUNTIF($E149:O149,"²")+COUNTIF($E149:O149,"µ")+COUNTIF($E149:O149,1),ColTypeEcheance)),
  IF(LEN(O149)=1,
  IF(LEN(INDEX(Roadmap!$D:$K,MATCH($E149,Roadmap!$D:$D,0)-1+COUNTIF($E149:O149,"u")+COUNTIF($E149:O149,"t")+COUNTIF($E149:O149,"¶")+COUNTIF($E149:O149,"²")+COUNTIF($E149:O149,"µ")+COUNTIF($E149:O149,1),ColDescriptionCourte))&gt;1,
HYPERLINK("#Roadmap!C"&amp; MATCH($E149,Roadmap!$D:$D,0)+COUNTIF($E149:O149,"u")+COUNTIF($E149:O149,"t")+COUNTIF($E149:O149,"¶")+COUNTIF($E149:O149,"²")+COUNTIF($E149:O149,"µ")+COUNTIF($E149:O149,1)-1,INDEX(Roadmap!$D:$K,MATCH($E149,Roadmap!$D:$D,0)-1+COUNTIF($E149:O149,"u")+COUNTIF($E149:O149,"t")+COUNTIF($E149:O149,"¶")+COUNTIF($E149:O149,"²")+COUNTIF($E149:O149,"µ")+COUNTIF($E149:O149,1),ColDescriptionCourte)),""),
  "")),"")</f>
        <v/>
      </c>
      <c r="Q149" s="40" t="str">
        <f ca="1">IFERROR(IF(AND(
  INDEX(Roadmap!$D:$K,MATCH($E149,Roadmap!$D:$D,0)+COUNTIF($E149:P149,"u")+COUNTIF($E149:P149,"t")+COUNTIF($E149:P149,"¶")+COUNTIF($E149:P149,"²")+COUNTIF($E149:P149,"µ")+COUNTIF($E149:P149,1),ColLivraison)=Q$6,
  VLOOKUP($E149,INDIRECT("tri!"&amp; CHAR(64+ C0Col) &amp;":"&amp; CHAR(65+C0Col)),2,FALSE)&gt;COUNTIF($E149:P149,"u")+COUNTIF($E149:P149,"t")+COUNTIF($E149:P149,"¶")+COUNTIF($E149:P149,"²")+COUNTIF($E149:P149,"µ")+COUNTIF($E149:P149,1)),
HYPERLINK("#Roadmap!C"&amp; MATCH($E149,Roadmap!$D:$D,0)+COUNTIF($E149:P149,"u")+COUNTIF($E149:P149,"t"),
     INDEX(Roadmap!$D:$K,MATCH($E149,Roadmap!$D:$D,0)+COUNTIF($E149:P149,"u")+COUNTIF($E149:P149,"t")+COUNTIF($E149:P149,"¶")+COUNTIF($E149:P149,"²")+COUNTIF($E149:P149,"µ")+COUNTIF($E149:P149,1),ColTypeEcheance)),
  IF(LEN(P149)=1,
  IF(LEN(INDEX(Roadmap!$D:$K,MATCH($E149,Roadmap!$D:$D,0)-1+COUNTIF($E149:P149,"u")+COUNTIF($E149:P149,"t")+COUNTIF($E149:P149,"¶")+COUNTIF($E149:P149,"²")+COUNTIF($E149:P149,"µ")+COUNTIF($E149:P149,1),ColDescriptionCourte))&gt;1,
HYPERLINK("#Roadmap!C"&amp; MATCH($E149,Roadmap!$D:$D,0)+COUNTIF($E149:P149,"u")+COUNTIF($E149:P149,"t")+COUNTIF($E149:P149,"¶")+COUNTIF($E149:P149,"²")+COUNTIF($E149:P149,"µ")+COUNTIF($E149:P149,1)-1,INDEX(Roadmap!$D:$K,MATCH($E149,Roadmap!$D:$D,0)-1+COUNTIF($E149:P149,"u")+COUNTIF($E149:P149,"t")+COUNTIF($E149:P149,"¶")+COUNTIF($E149:P149,"²")+COUNTIF($E149:P149,"µ")+COUNTIF($E149:P149,1),ColDescriptionCourte)),""),
  "")),"")</f>
        <v/>
      </c>
      <c r="R149" s="40" t="str">
        <f ca="1">IFERROR(IF(AND(
  INDEX(Roadmap!$D:$K,MATCH($E149,Roadmap!$D:$D,0)+COUNTIF($E149:Q149,"u")+COUNTIF($E149:Q149,"t")+COUNTIF($E149:Q149,"¶")+COUNTIF($E149:Q149,"²")+COUNTIF($E149:Q149,"µ")+COUNTIF($E149:Q149,1),ColLivraison)=R$6,
  VLOOKUP($E149,INDIRECT("tri!"&amp; CHAR(64+ C0Col) &amp;":"&amp; CHAR(65+C0Col)),2,FALSE)&gt;COUNTIF($E149:Q149,"u")+COUNTIF($E149:Q149,"t")+COUNTIF($E149:Q149,"¶")+COUNTIF($E149:Q149,"²")+COUNTIF($E149:Q149,"µ")+COUNTIF($E149:Q149,1)),
HYPERLINK("#Roadmap!C"&amp; MATCH($E149,Roadmap!$D:$D,0)+COUNTIF($E149:Q149,"u")+COUNTIF($E149:Q149,"t"),
     INDEX(Roadmap!$D:$K,MATCH($E149,Roadmap!$D:$D,0)+COUNTIF($E149:Q149,"u")+COUNTIF($E149:Q149,"t")+COUNTIF($E149:Q149,"¶")+COUNTIF($E149:Q149,"²")+COUNTIF($E149:Q149,"µ")+COUNTIF($E149:Q149,1),ColTypeEcheance)),
  IF(LEN(Q149)=1,
  IF(LEN(INDEX(Roadmap!$D:$K,MATCH($E149,Roadmap!$D:$D,0)-1+COUNTIF($E149:Q149,"u")+COUNTIF($E149:Q149,"t")+COUNTIF($E149:Q149,"¶")+COUNTIF($E149:Q149,"²")+COUNTIF($E149:Q149,"µ")+COUNTIF($E149:Q149,1),ColDescriptionCourte))&gt;1,
HYPERLINK("#Roadmap!C"&amp; MATCH($E149,Roadmap!$D:$D,0)+COUNTIF($E149:Q149,"u")+COUNTIF($E149:Q149,"t")+COUNTIF($E149:Q149,"¶")+COUNTIF($E149:Q149,"²")+COUNTIF($E149:Q149,"µ")+COUNTIF($E149:Q149,1)-1,INDEX(Roadmap!$D:$K,MATCH($E149,Roadmap!$D:$D,0)-1+COUNTIF($E149:Q149,"u")+COUNTIF($E149:Q149,"t")+COUNTIF($E149:Q149,"¶")+COUNTIF($E149:Q149,"²")+COUNTIF($E149:Q149,"µ")+COUNTIF($E149:Q149,1),ColDescriptionCourte)),""),
  "")),"")</f>
        <v/>
      </c>
      <c r="S149" s="40" t="str">
        <f ca="1">IFERROR(IF(AND(
  INDEX(Roadmap!$D:$K,MATCH($E149,Roadmap!$D:$D,0)+COUNTIF($E149:R149,"u")+COUNTIF($E149:R149,"t")+COUNTIF($E149:R149,"¶")+COUNTIF($E149:R149,"²")+COUNTIF($E149:R149,"µ")+COUNTIF($E149:R149,1),ColLivraison)=S$6,
  VLOOKUP($E149,INDIRECT("tri!"&amp; CHAR(64+ C0Col) &amp;":"&amp; CHAR(65+C0Col)),2,FALSE)&gt;COUNTIF($E149:R149,"u")+COUNTIF($E149:R149,"t")+COUNTIF($E149:R149,"¶")+COUNTIF($E149:R149,"²")+COUNTIF($E149:R149,"µ")+COUNTIF($E149:R149,1)),
HYPERLINK("#Roadmap!C"&amp; MATCH($E149,Roadmap!$D:$D,0)+COUNTIF($E149:R149,"u")+COUNTIF($E149:R149,"t"),
     INDEX(Roadmap!$D:$K,MATCH($E149,Roadmap!$D:$D,0)+COUNTIF($E149:R149,"u")+COUNTIF($E149:R149,"t")+COUNTIF($E149:R149,"¶")+COUNTIF($E149:R149,"²")+COUNTIF($E149:R149,"µ")+COUNTIF($E149:R149,1),ColTypeEcheance)),
  IF(LEN(R149)=1,
  IF(LEN(INDEX(Roadmap!$D:$K,MATCH($E149,Roadmap!$D:$D,0)-1+COUNTIF($E149:R149,"u")+COUNTIF($E149:R149,"t")+COUNTIF($E149:R149,"¶")+COUNTIF($E149:R149,"²")+COUNTIF($E149:R149,"µ")+COUNTIF($E149:R149,1),ColDescriptionCourte))&gt;1,
HYPERLINK("#Roadmap!C"&amp; MATCH($E149,Roadmap!$D:$D,0)+COUNTIF($E149:R149,"u")+COUNTIF($E149:R149,"t")+COUNTIF($E149:R149,"¶")+COUNTIF($E149:R149,"²")+COUNTIF($E149:R149,"µ")+COUNTIF($E149:R149,1)-1,INDEX(Roadmap!$D:$K,MATCH($E149,Roadmap!$D:$D,0)-1+COUNTIF($E149:R149,"u")+COUNTIF($E149:R149,"t")+COUNTIF($E149:R149,"¶")+COUNTIF($E149:R149,"²")+COUNTIF($E149:R149,"µ")+COUNTIF($E149:R149,1),ColDescriptionCourte)),""),
  "")),"")</f>
        <v/>
      </c>
      <c r="T149" s="40" t="str">
        <f ca="1">IFERROR(IF(AND(
  INDEX(Roadmap!$D:$K,MATCH($E149,Roadmap!$D:$D,0)+COUNTIF($E149:S149,"u")+COUNTIF($E149:S149,"t")+COUNTIF($E149:S149,"¶")+COUNTIF($E149:S149,"²")+COUNTIF($E149:S149,"µ")+COUNTIF($E149:S149,1),ColLivraison)=T$6,
  VLOOKUP($E149,INDIRECT("tri!"&amp; CHAR(64+ C0Col) &amp;":"&amp; CHAR(65+C0Col)),2,FALSE)&gt;COUNTIF($E149:S149,"u")+COUNTIF($E149:S149,"t")+COUNTIF($E149:S149,"¶")+COUNTIF($E149:S149,"²")+COUNTIF($E149:S149,"µ")+COUNTIF($E149:S149,1)),
HYPERLINK("#Roadmap!C"&amp; MATCH($E149,Roadmap!$D:$D,0)+COUNTIF($E149:S149,"u")+COUNTIF($E149:S149,"t"),
     INDEX(Roadmap!$D:$K,MATCH($E149,Roadmap!$D:$D,0)+COUNTIF($E149:S149,"u")+COUNTIF($E149:S149,"t")+COUNTIF($E149:S149,"¶")+COUNTIF($E149:S149,"²")+COUNTIF($E149:S149,"µ")+COUNTIF($E149:S149,1),ColTypeEcheance)),
  IF(LEN(S149)=1,
  IF(LEN(INDEX(Roadmap!$D:$K,MATCH($E149,Roadmap!$D:$D,0)-1+COUNTIF($E149:S149,"u")+COUNTIF($E149:S149,"t")+COUNTIF($E149:S149,"¶")+COUNTIF($E149:S149,"²")+COUNTIF($E149:S149,"µ")+COUNTIF($E149:S149,1),ColDescriptionCourte))&gt;1,
HYPERLINK("#Roadmap!C"&amp; MATCH($E149,Roadmap!$D:$D,0)+COUNTIF($E149:S149,"u")+COUNTIF($E149:S149,"t")+COUNTIF($E149:S149,"¶")+COUNTIF($E149:S149,"²")+COUNTIF($E149:S149,"µ")+COUNTIF($E149:S149,1)-1,INDEX(Roadmap!$D:$K,MATCH($E149,Roadmap!$D:$D,0)-1+COUNTIF($E149:S149,"u")+COUNTIF($E149:S149,"t")+COUNTIF($E149:S149,"¶")+COUNTIF($E149:S149,"²")+COUNTIF($E149:S149,"µ")+COUNTIF($E149:S149,1),ColDescriptionCourte)),""),
  "")),"")</f>
        <v/>
      </c>
      <c r="U149" s="40" t="str">
        <f ca="1">IFERROR(IF(AND(
  INDEX(Roadmap!$D:$K,MATCH($E149,Roadmap!$D:$D,0)+COUNTIF($E149:T149,"u")+COUNTIF($E149:T149,"t")+COUNTIF($E149:T149,"¶")+COUNTIF($E149:T149,"²")+COUNTIF($E149:T149,"µ")+COUNTIF($E149:T149,1),ColLivraison)=U$6,
  VLOOKUP($E149,INDIRECT("tri!"&amp; CHAR(64+ C0Col) &amp;":"&amp; CHAR(65+C0Col)),2,FALSE)&gt;COUNTIF($E149:T149,"u")+COUNTIF($E149:T149,"t")+COUNTIF($E149:T149,"¶")+COUNTIF($E149:T149,"²")+COUNTIF($E149:T149,"µ")+COUNTIF($E149:T149,1)),
HYPERLINK("#Roadmap!C"&amp; MATCH($E149,Roadmap!$D:$D,0)+COUNTIF($E149:T149,"u")+COUNTIF($E149:T149,"t"),
     INDEX(Roadmap!$D:$K,MATCH($E149,Roadmap!$D:$D,0)+COUNTIF($E149:T149,"u")+COUNTIF($E149:T149,"t")+COUNTIF($E149:T149,"¶")+COUNTIF($E149:T149,"²")+COUNTIF($E149:T149,"µ")+COUNTIF($E149:T149,1),ColTypeEcheance)),
  IF(LEN(T149)=1,
  IF(LEN(INDEX(Roadmap!$D:$K,MATCH($E149,Roadmap!$D:$D,0)-1+COUNTIF($E149:T149,"u")+COUNTIF($E149:T149,"t")+COUNTIF($E149:T149,"¶")+COUNTIF($E149:T149,"²")+COUNTIF($E149:T149,"µ")+COUNTIF($E149:T149,1),ColDescriptionCourte))&gt;1,
HYPERLINK("#Roadmap!C"&amp; MATCH($E149,Roadmap!$D:$D,0)+COUNTIF($E149:T149,"u")+COUNTIF($E149:T149,"t")+COUNTIF($E149:T149,"¶")+COUNTIF($E149:T149,"²")+COUNTIF($E149:T149,"µ")+COUNTIF($E149:T149,1)-1,INDEX(Roadmap!$D:$K,MATCH($E149,Roadmap!$D:$D,0)-1+COUNTIF($E149:T149,"u")+COUNTIF($E149:T149,"t")+COUNTIF($E149:T149,"¶")+COUNTIF($E149:T149,"²")+COUNTIF($E149:T149,"µ")+COUNTIF($E149:T149,1),ColDescriptionCourte)),""),
  "")),"")</f>
        <v/>
      </c>
      <c r="V149" s="40" t="str">
        <f ca="1">IFERROR(IF(AND(
  INDEX(Roadmap!$D:$K,MATCH($E149,Roadmap!$D:$D,0)+COUNTIF($E149:U149,"u")+COUNTIF($E149:U149,"t")+COUNTIF($E149:U149,"¶")+COUNTIF($E149:U149,"²")+COUNTIF($E149:U149,"µ")+COUNTIF($E149:U149,1),ColLivraison)=V$6,
  VLOOKUP($E149,INDIRECT("tri!"&amp; CHAR(64+ C0Col) &amp;":"&amp; CHAR(65+C0Col)),2,FALSE)&gt;COUNTIF($E149:U149,"u")+COUNTIF($E149:U149,"t")+COUNTIF($E149:U149,"¶")+COUNTIF($E149:U149,"²")+COUNTIF($E149:U149,"µ")+COUNTIF($E149:U149,1)),
HYPERLINK("#Roadmap!C"&amp; MATCH($E149,Roadmap!$D:$D,0)+COUNTIF($E149:U149,"u")+COUNTIF($E149:U149,"t"),
     INDEX(Roadmap!$D:$K,MATCH($E149,Roadmap!$D:$D,0)+COUNTIF($E149:U149,"u")+COUNTIF($E149:U149,"t")+COUNTIF($E149:U149,"¶")+COUNTIF($E149:U149,"²")+COUNTIF($E149:U149,"µ")+COUNTIF($E149:U149,1),ColTypeEcheance)),
  IF(LEN(U149)=1,
  IF(LEN(INDEX(Roadmap!$D:$K,MATCH($E149,Roadmap!$D:$D,0)-1+COUNTIF($E149:U149,"u")+COUNTIF($E149:U149,"t")+COUNTIF($E149:U149,"¶")+COUNTIF($E149:U149,"²")+COUNTIF($E149:U149,"µ")+COUNTIF($E149:U149,1),ColDescriptionCourte))&gt;1,
HYPERLINK("#Roadmap!C"&amp; MATCH($E149,Roadmap!$D:$D,0)+COUNTIF($E149:U149,"u")+COUNTIF($E149:U149,"t")+COUNTIF($E149:U149,"¶")+COUNTIF($E149:U149,"²")+COUNTIF($E149:U149,"µ")+COUNTIF($E149:U149,1)-1,INDEX(Roadmap!$D:$K,MATCH($E149,Roadmap!$D:$D,0)-1+COUNTIF($E149:U149,"u")+COUNTIF($E149:U149,"t")+COUNTIF($E149:U149,"¶")+COUNTIF($E149:U149,"²")+COUNTIF($E149:U149,"µ")+COUNTIF($E149:U149,1),ColDescriptionCourte)),""),
  "")),"")</f>
        <v/>
      </c>
      <c r="W149" s="40" t="str">
        <f ca="1">IFERROR(IF(AND(
  INDEX(Roadmap!$D:$K,MATCH($E149,Roadmap!$D:$D,0)+COUNTIF($E149:V149,"u")+COUNTIF($E149:V149,"t")+COUNTIF($E149:V149,"¶")+COUNTIF($E149:V149,"²")+COUNTIF($E149:V149,"µ")+COUNTIF($E149:V149,1),ColLivraison)=W$6,
  VLOOKUP($E149,INDIRECT("tri!"&amp; CHAR(64+ C0Col) &amp;":"&amp; CHAR(65+C0Col)),2,FALSE)&gt;COUNTIF($E149:V149,"u")+COUNTIF($E149:V149,"t")+COUNTIF($E149:V149,"¶")+COUNTIF($E149:V149,"²")+COUNTIF($E149:V149,"µ")+COUNTIF($E149:V149,1)),
HYPERLINK("#Roadmap!C"&amp; MATCH($E149,Roadmap!$D:$D,0)+COUNTIF($E149:V149,"u")+COUNTIF($E149:V149,"t"),
     INDEX(Roadmap!$D:$K,MATCH($E149,Roadmap!$D:$D,0)+COUNTIF($E149:V149,"u")+COUNTIF($E149:V149,"t")+COUNTIF($E149:V149,"¶")+COUNTIF($E149:V149,"²")+COUNTIF($E149:V149,"µ")+COUNTIF($E149:V149,1),ColTypeEcheance)),
  IF(LEN(V149)=1,
  IF(LEN(INDEX(Roadmap!$D:$K,MATCH($E149,Roadmap!$D:$D,0)-1+COUNTIF($E149:V149,"u")+COUNTIF($E149:V149,"t")+COUNTIF($E149:V149,"¶")+COUNTIF($E149:V149,"²")+COUNTIF($E149:V149,"µ")+COUNTIF($E149:V149,1),ColDescriptionCourte))&gt;1,
HYPERLINK("#Roadmap!C"&amp; MATCH($E149,Roadmap!$D:$D,0)+COUNTIF($E149:V149,"u")+COUNTIF($E149:V149,"t")+COUNTIF($E149:V149,"¶")+COUNTIF($E149:V149,"²")+COUNTIF($E149:V149,"µ")+COUNTIF($E149:V149,1)-1,INDEX(Roadmap!$D:$K,MATCH($E149,Roadmap!$D:$D,0)-1+COUNTIF($E149:V149,"u")+COUNTIF($E149:V149,"t")+COUNTIF($E149:V149,"¶")+COUNTIF($E149:V149,"²")+COUNTIF($E149:V149,"µ")+COUNTIF($E149:V149,1),ColDescriptionCourte)),""),
  "")),"")</f>
        <v/>
      </c>
      <c r="X149" s="40" t="str">
        <f ca="1">IFERROR(IF(AND(
  INDEX(Roadmap!$D:$K,MATCH($E149,Roadmap!$D:$D,0)+COUNTIF($E149:W149,"u")+COUNTIF($E149:W149,"t")+COUNTIF($E149:W149,"¶")+COUNTIF($E149:W149,"²")+COUNTIF($E149:W149,"µ")+COUNTIF($E149:W149,1),ColLivraison)=X$6,
  VLOOKUP($E149,INDIRECT("tri!"&amp; CHAR(64+ C0Col) &amp;":"&amp; CHAR(65+C0Col)),2,FALSE)&gt;COUNTIF($E149:W149,"u")+COUNTIF($E149:W149,"t")+COUNTIF($E149:W149,"¶")+COUNTIF($E149:W149,"²")+COUNTIF($E149:W149,"µ")+COUNTIF($E149:W149,1)),
HYPERLINK("#Roadmap!C"&amp; MATCH($E149,Roadmap!$D:$D,0)+COUNTIF($E149:W149,"u")+COUNTIF($E149:W149,"t"),
     INDEX(Roadmap!$D:$K,MATCH($E149,Roadmap!$D:$D,0)+COUNTIF($E149:W149,"u")+COUNTIF($E149:W149,"t")+COUNTIF($E149:W149,"¶")+COUNTIF($E149:W149,"²")+COUNTIF($E149:W149,"µ")+COUNTIF($E149:W149,1),ColTypeEcheance)),
  IF(LEN(W149)=1,
  IF(LEN(INDEX(Roadmap!$D:$K,MATCH($E149,Roadmap!$D:$D,0)-1+COUNTIF($E149:W149,"u")+COUNTIF($E149:W149,"t")+COUNTIF($E149:W149,"¶")+COUNTIF($E149:W149,"²")+COUNTIF($E149:W149,"µ")+COUNTIF($E149:W149,1),ColDescriptionCourte))&gt;1,
HYPERLINK("#Roadmap!C"&amp; MATCH($E149,Roadmap!$D:$D,0)+COUNTIF($E149:W149,"u")+COUNTIF($E149:W149,"t")+COUNTIF($E149:W149,"¶")+COUNTIF($E149:W149,"²")+COUNTIF($E149:W149,"µ")+COUNTIF($E149:W149,1)-1,INDEX(Roadmap!$D:$K,MATCH($E149,Roadmap!$D:$D,0)-1+COUNTIF($E149:W149,"u")+COUNTIF($E149:W149,"t")+COUNTIF($E149:W149,"¶")+COUNTIF($E149:W149,"²")+COUNTIF($E149:W149,"µ")+COUNTIF($E149:W149,1),ColDescriptionCourte)),""),
  "")),"")</f>
        <v/>
      </c>
      <c r="Y149" s="40" t="str">
        <f ca="1">IFERROR(IF(AND(
  INDEX(Roadmap!$D:$K,MATCH($E149,Roadmap!$D:$D,0)+COUNTIF($E149:X149,"u")+COUNTIF($E149:X149,"t")+COUNTIF($E149:X149,"¶")+COUNTIF($E149:X149,"²")+COUNTIF($E149:X149,"µ")+COUNTIF($E149:X149,1),ColLivraison)=Y$6,
  VLOOKUP($E149,INDIRECT("tri!"&amp; CHAR(64+ C0Col) &amp;":"&amp; CHAR(65+C0Col)),2,FALSE)&gt;COUNTIF($E149:X149,"u")+COUNTIF($E149:X149,"t")+COUNTIF($E149:X149,"¶")+COUNTIF($E149:X149,"²")+COUNTIF($E149:X149,"µ")+COUNTIF($E149:X149,1)),
HYPERLINK("#Roadmap!C"&amp; MATCH($E149,Roadmap!$D:$D,0)+COUNTIF($E149:X149,"u")+COUNTIF($E149:X149,"t"),
     INDEX(Roadmap!$D:$K,MATCH($E149,Roadmap!$D:$D,0)+COUNTIF($E149:X149,"u")+COUNTIF($E149:X149,"t")+COUNTIF($E149:X149,"¶")+COUNTIF($E149:X149,"²")+COUNTIF($E149:X149,"µ")+COUNTIF($E149:X149,1),ColTypeEcheance)),
  IF(LEN(X149)=1,
  IF(LEN(INDEX(Roadmap!$D:$K,MATCH($E149,Roadmap!$D:$D,0)-1+COUNTIF($E149:X149,"u")+COUNTIF($E149:X149,"t")+COUNTIF($E149:X149,"¶")+COUNTIF($E149:X149,"²")+COUNTIF($E149:X149,"µ")+COUNTIF($E149:X149,1),ColDescriptionCourte))&gt;1,
HYPERLINK("#Roadmap!C"&amp; MATCH($E149,Roadmap!$D:$D,0)+COUNTIF($E149:X149,"u")+COUNTIF($E149:X149,"t")+COUNTIF($E149:X149,"¶")+COUNTIF($E149:X149,"²")+COUNTIF($E149:X149,"µ")+COUNTIF($E149:X149,1)-1,INDEX(Roadmap!$D:$K,MATCH($E149,Roadmap!$D:$D,0)-1+COUNTIF($E149:X149,"u")+COUNTIF($E149:X149,"t")+COUNTIF($E149:X149,"¶")+COUNTIF($E149:X149,"²")+COUNTIF($E149:X149,"µ")+COUNTIF($E149:X149,1),ColDescriptionCourte)),""),
  "")),"")</f>
        <v/>
      </c>
      <c r="Z149" s="40" t="str">
        <f ca="1">IFERROR(IF(AND(
  INDEX(Roadmap!$D:$K,MATCH($E149,Roadmap!$D:$D,0)+COUNTIF($E149:Y149,"u")+COUNTIF($E149:Y149,"t")+COUNTIF($E149:Y149,"¶")+COUNTIF($E149:Y149,"²")+COUNTIF($E149:Y149,"µ")+COUNTIF($E149:Y149,1),ColLivraison)=Z$6,
  VLOOKUP($E149,INDIRECT("tri!"&amp; CHAR(64+ C0Col) &amp;":"&amp; CHAR(65+C0Col)),2,FALSE)&gt;COUNTIF($E149:Y149,"u")+COUNTIF($E149:Y149,"t")+COUNTIF($E149:Y149,"¶")+COUNTIF($E149:Y149,"²")+COUNTIF($E149:Y149,"µ")+COUNTIF($E149:Y149,1)),
HYPERLINK("#Roadmap!C"&amp; MATCH($E149,Roadmap!$D:$D,0)+COUNTIF($E149:Y149,"u")+COUNTIF($E149:Y149,"t"),
     INDEX(Roadmap!$D:$K,MATCH($E149,Roadmap!$D:$D,0)+COUNTIF($E149:Y149,"u")+COUNTIF($E149:Y149,"t")+COUNTIF($E149:Y149,"¶")+COUNTIF($E149:Y149,"²")+COUNTIF($E149:Y149,"µ")+COUNTIF($E149:Y149,1),ColTypeEcheance)),
  IF(LEN(Y149)=1,
  IF(LEN(INDEX(Roadmap!$D:$K,MATCH($E149,Roadmap!$D:$D,0)-1+COUNTIF($E149:Y149,"u")+COUNTIF($E149:Y149,"t")+COUNTIF($E149:Y149,"¶")+COUNTIF($E149:Y149,"²")+COUNTIF($E149:Y149,"µ")+COUNTIF($E149:Y149,1),ColDescriptionCourte))&gt;1,
HYPERLINK("#Roadmap!C"&amp; MATCH($E149,Roadmap!$D:$D,0)+COUNTIF($E149:Y149,"u")+COUNTIF($E149:Y149,"t")+COUNTIF($E149:Y149,"¶")+COUNTIF($E149:Y149,"²")+COUNTIF($E149:Y149,"µ")+COUNTIF($E149:Y149,1)-1,INDEX(Roadmap!$D:$K,MATCH($E149,Roadmap!$D:$D,0)-1+COUNTIF($E149:Y149,"u")+COUNTIF($E149:Y149,"t")+COUNTIF($E149:Y149,"¶")+COUNTIF($E149:Y149,"²")+COUNTIF($E149:Y149,"µ")+COUNTIF($E149:Y149,1),ColDescriptionCourte)),""),
  "")),"")</f>
        <v/>
      </c>
      <c r="AA149" s="40" t="str">
        <f ca="1">IFERROR(IF(AND(
  INDEX(Roadmap!$D:$K,MATCH($E149,Roadmap!$D:$D,0)+COUNTIF($E149:Z149,"u")+COUNTIF($E149:Z149,"t")+COUNTIF($E149:Z149,"¶")+COUNTIF($E149:Z149,"²")+COUNTIF($E149:Z149,"µ")+COUNTIF($E149:Z149,1),ColLivraison)=AA$6,
  VLOOKUP($E149,INDIRECT("tri!"&amp; CHAR(64+ C0Col) &amp;":"&amp; CHAR(65+C0Col)),2,FALSE)&gt;COUNTIF($E149:Z149,"u")+COUNTIF($E149:Z149,"t")+COUNTIF($E149:Z149,"¶")+COUNTIF($E149:Z149,"²")+COUNTIF($E149:Z149,"µ")+COUNTIF($E149:Z149,1)),
HYPERLINK("#Roadmap!C"&amp; MATCH($E149,Roadmap!$D:$D,0)+COUNTIF($E149:Z149,"u")+COUNTIF($E149:Z149,"t"),
     INDEX(Roadmap!$D:$K,MATCH($E149,Roadmap!$D:$D,0)+COUNTIF($E149:Z149,"u")+COUNTIF($E149:Z149,"t")+COUNTIF($E149:Z149,"¶")+COUNTIF($E149:Z149,"²")+COUNTIF($E149:Z149,"µ")+COUNTIF($E149:Z149,1),ColTypeEcheance)),
  IF(LEN(Z149)=1,
  IF(LEN(INDEX(Roadmap!$D:$K,MATCH($E149,Roadmap!$D:$D,0)-1+COUNTIF($E149:Z149,"u")+COUNTIF($E149:Z149,"t")+COUNTIF($E149:Z149,"¶")+COUNTIF($E149:Z149,"²")+COUNTIF($E149:Z149,"µ")+COUNTIF($E149:Z149,1),ColDescriptionCourte))&gt;1,
HYPERLINK("#Roadmap!C"&amp; MATCH($E149,Roadmap!$D:$D,0)+COUNTIF($E149:Z149,"u")+COUNTIF($E149:Z149,"t")+COUNTIF($E149:Z149,"¶")+COUNTIF($E149:Z149,"²")+COUNTIF($E149:Z149,"µ")+COUNTIF($E149:Z149,1)-1,INDEX(Roadmap!$D:$K,MATCH($E149,Roadmap!$D:$D,0)-1+COUNTIF($E149:Z149,"u")+COUNTIF($E149:Z149,"t")+COUNTIF($E149:Z149,"¶")+COUNTIF($E149:Z149,"²")+COUNTIF($E149:Z149,"µ")+COUNTIF($E149:Z149,1),ColDescriptionCourte)),""),
  "")),"")</f>
        <v/>
      </c>
      <c r="AB149" s="40" t="str">
        <f ca="1">IFERROR(IF(AND(
  INDEX(Roadmap!$D:$K,MATCH($E149,Roadmap!$D:$D,0)+COUNTIF($E149:AA149,"u")+COUNTIF($E149:AA149,"t")+COUNTIF($E149:AA149,"¶")+COUNTIF($E149:AA149,"²")+COUNTIF($E149:AA149,"µ")+COUNTIF($E149:AA149,1),ColLivraison)=AB$6,
  VLOOKUP($E149,INDIRECT("tri!"&amp; CHAR(64+ C0Col) &amp;":"&amp; CHAR(65+C0Col)),2,FALSE)&gt;COUNTIF($E149:AA149,"u")+COUNTIF($E149:AA149,"t")+COUNTIF($E149:AA149,"¶")+COUNTIF($E149:AA149,"²")+COUNTIF($E149:AA149,"µ")+COUNTIF($E149:AA149,1)),
HYPERLINK("#Roadmap!C"&amp; MATCH($E149,Roadmap!$D:$D,0)+COUNTIF($E149:AA149,"u")+COUNTIF($E149:AA149,"t"),
     INDEX(Roadmap!$D:$K,MATCH($E149,Roadmap!$D:$D,0)+COUNTIF($E149:AA149,"u")+COUNTIF($E149:AA149,"t")+COUNTIF($E149:AA149,"¶")+COUNTIF($E149:AA149,"²")+COUNTIF($E149:AA149,"µ")+COUNTIF($E149:AA149,1),ColTypeEcheance)),
  IF(LEN(AA149)=1,
  IF(LEN(INDEX(Roadmap!$D:$K,MATCH($E149,Roadmap!$D:$D,0)-1+COUNTIF($E149:AA149,"u")+COUNTIF($E149:AA149,"t")+COUNTIF($E149:AA149,"¶")+COUNTIF($E149:AA149,"²")+COUNTIF($E149:AA149,"µ")+COUNTIF($E149:AA149,1),ColDescriptionCourte))&gt;1,
HYPERLINK("#Roadmap!C"&amp; MATCH($E149,Roadmap!$D:$D,0)+COUNTIF($E149:AA149,"u")+COUNTIF($E149:AA149,"t")+COUNTIF($E149:AA149,"¶")+COUNTIF($E149:AA149,"²")+COUNTIF($E149:AA149,"µ")+COUNTIF($E149:AA149,1)-1,INDEX(Roadmap!$D:$K,MATCH($E149,Roadmap!$D:$D,0)-1+COUNTIF($E149:AA149,"u")+COUNTIF($E149:AA149,"t")+COUNTIF($E149:AA149,"¶")+COUNTIF($E149:AA149,"²")+COUNTIF($E149:AA149,"µ")+COUNTIF($E149:AA149,1),ColDescriptionCourte)),""),
  "")),"")</f>
        <v/>
      </c>
      <c r="AC149" s="40" t="str">
        <f ca="1">IFERROR(IF(AND(
  INDEX(Roadmap!$D:$K,MATCH($E149,Roadmap!$D:$D,0)+COUNTIF($E149:AB149,"u")+COUNTIF($E149:AB149,"t")+COUNTIF($E149:AB149,"¶")+COUNTIF($E149:AB149,"²")+COUNTIF($E149:AB149,"µ")+COUNTIF($E149:AB149,1),ColLivraison)=AC$6,
  VLOOKUP($E149,INDIRECT("tri!"&amp; CHAR(64+ C0Col) &amp;":"&amp; CHAR(65+C0Col)),2,FALSE)&gt;COUNTIF($E149:AB149,"u")+COUNTIF($E149:AB149,"t")+COUNTIF($E149:AB149,"¶")+COUNTIF($E149:AB149,"²")+COUNTIF($E149:AB149,"µ")+COUNTIF($E149:AB149,1)),
HYPERLINK("#Roadmap!C"&amp; MATCH($E149,Roadmap!$D:$D,0)+COUNTIF($E149:AB149,"u")+COUNTIF($E149:AB149,"t"),
     INDEX(Roadmap!$D:$K,MATCH($E149,Roadmap!$D:$D,0)+COUNTIF($E149:AB149,"u")+COUNTIF($E149:AB149,"t")+COUNTIF($E149:AB149,"¶")+COUNTIF($E149:AB149,"²")+COUNTIF($E149:AB149,"µ")+COUNTIF($E149:AB149,1),ColTypeEcheance)),
  IF(LEN(AB149)=1,
  IF(LEN(INDEX(Roadmap!$D:$K,MATCH($E149,Roadmap!$D:$D,0)-1+COUNTIF($E149:AB149,"u")+COUNTIF($E149:AB149,"t")+COUNTIF($E149:AB149,"¶")+COUNTIF($E149:AB149,"²")+COUNTIF($E149:AB149,"µ")+COUNTIF($E149:AB149,1),ColDescriptionCourte))&gt;1,
HYPERLINK("#Roadmap!C"&amp; MATCH($E149,Roadmap!$D:$D,0)+COUNTIF($E149:AB149,"u")+COUNTIF($E149:AB149,"t")+COUNTIF($E149:AB149,"¶")+COUNTIF($E149:AB149,"²")+COUNTIF($E149:AB149,"µ")+COUNTIF($E149:AB149,1)-1,INDEX(Roadmap!$D:$K,MATCH($E149,Roadmap!$D:$D,0)-1+COUNTIF($E149:AB149,"u")+COUNTIF($E149:AB149,"t")+COUNTIF($E149:AB149,"¶")+COUNTIF($E149:AB149,"²")+COUNTIF($E149:AB149,"µ")+COUNTIF($E149:AB149,1),ColDescriptionCourte)),""),
  "")),"")</f>
        <v/>
      </c>
      <c r="AD149" s="40" t="str">
        <f ca="1">IFERROR(IF(AND(
  INDEX(Roadmap!$D:$K,MATCH($E149,Roadmap!$D:$D,0)+COUNTIF($E149:AC149,"u")+COUNTIF($E149:AC149,"t")+COUNTIF($E149:AC149,"¶")+COUNTIF($E149:AC149,"²")+COUNTIF($E149:AC149,"µ")+COUNTIF($E149:AC149,1),ColLivraison)=AD$6,
  VLOOKUP($E149,INDIRECT("tri!"&amp; CHAR(64+ C0Col) &amp;":"&amp; CHAR(65+C0Col)),2,FALSE)&gt;COUNTIF($E149:AC149,"u")+COUNTIF($E149:AC149,"t")+COUNTIF($E149:AC149,"¶")+COUNTIF($E149:AC149,"²")+COUNTIF($E149:AC149,"µ")+COUNTIF($E149:AC149,1)),
HYPERLINK("#Roadmap!C"&amp; MATCH($E149,Roadmap!$D:$D,0)+COUNTIF($E149:AC149,"u")+COUNTIF($E149:AC149,"t"),
     INDEX(Roadmap!$D:$K,MATCH($E149,Roadmap!$D:$D,0)+COUNTIF($E149:AC149,"u")+COUNTIF($E149:AC149,"t")+COUNTIF($E149:AC149,"¶")+COUNTIF($E149:AC149,"²")+COUNTIF($E149:AC149,"µ")+COUNTIF($E149:AC149,1),ColTypeEcheance)),
  IF(LEN(AC149)=1,
  IF(LEN(INDEX(Roadmap!$D:$K,MATCH($E149,Roadmap!$D:$D,0)-1+COUNTIF($E149:AC149,"u")+COUNTIF($E149:AC149,"t")+COUNTIF($E149:AC149,"¶")+COUNTIF($E149:AC149,"²")+COUNTIF($E149:AC149,"µ")+COUNTIF($E149:AC149,1),ColDescriptionCourte))&gt;1,
HYPERLINK("#Roadmap!C"&amp; MATCH($E149,Roadmap!$D:$D,0)+COUNTIF($E149:AC149,"u")+COUNTIF($E149:AC149,"t")+COUNTIF($E149:AC149,"¶")+COUNTIF($E149:AC149,"²")+COUNTIF($E149:AC149,"µ")+COUNTIF($E149:AC149,1)-1,INDEX(Roadmap!$D:$K,MATCH($E149,Roadmap!$D:$D,0)-1+COUNTIF($E149:AC149,"u")+COUNTIF($E149:AC149,"t")+COUNTIF($E149:AC149,"¶")+COUNTIF($E149:AC149,"²")+COUNTIF($E149:AC149,"µ")+COUNTIF($E149:AC149,1),ColDescriptionCourte)),""),
  "")),"")</f>
        <v/>
      </c>
      <c r="AE149" s="40" t="str">
        <f ca="1">IFERROR(IF(AND(
  INDEX(Roadmap!$D:$K,MATCH($E149,Roadmap!$D:$D,0)+COUNTIF($E149:AD149,"u")+COUNTIF($E149:AD149,"t")+COUNTIF($E149:AD149,"¶")+COUNTIF($E149:AD149,"²")+COUNTIF($E149:AD149,"µ")+COUNTIF($E149:AD149,1),ColLivraison)=AE$6,
  VLOOKUP($E149,INDIRECT("tri!"&amp; CHAR(64+ C0Col) &amp;":"&amp; CHAR(65+C0Col)),2,FALSE)&gt;COUNTIF($E149:AD149,"u")+COUNTIF($E149:AD149,"t")+COUNTIF($E149:AD149,"¶")+COUNTIF($E149:AD149,"²")+COUNTIF($E149:AD149,"µ")+COUNTIF($E149:AD149,1)),
HYPERLINK("#Roadmap!C"&amp; MATCH($E149,Roadmap!$D:$D,0)+COUNTIF($E149:AD149,"u")+COUNTIF($E149:AD149,"t"),
     INDEX(Roadmap!$D:$K,MATCH($E149,Roadmap!$D:$D,0)+COUNTIF($E149:AD149,"u")+COUNTIF($E149:AD149,"t")+COUNTIF($E149:AD149,"¶")+COUNTIF($E149:AD149,"²")+COUNTIF($E149:AD149,"µ")+COUNTIF($E149:AD149,1),ColTypeEcheance)),
  IF(LEN(AD149)=1,
  IF(LEN(INDEX(Roadmap!$D:$K,MATCH($E149,Roadmap!$D:$D,0)-1+COUNTIF($E149:AD149,"u")+COUNTIF($E149:AD149,"t")+COUNTIF($E149:AD149,"¶")+COUNTIF($E149:AD149,"²")+COUNTIF($E149:AD149,"µ")+COUNTIF($E149:AD149,1),ColDescriptionCourte))&gt;1,
HYPERLINK("#Roadmap!C"&amp; MATCH($E149,Roadmap!$D:$D,0)+COUNTIF($E149:AD149,"u")+COUNTIF($E149:AD149,"t")+COUNTIF($E149:AD149,"¶")+COUNTIF($E149:AD149,"²")+COUNTIF($E149:AD149,"µ")+COUNTIF($E149:AD149,1)-1,INDEX(Roadmap!$D:$K,MATCH($E149,Roadmap!$D:$D,0)-1+COUNTIF($E149:AD149,"u")+COUNTIF($E149:AD149,"t")+COUNTIF($E149:AD149,"¶")+COUNTIF($E149:AD149,"²")+COUNTIF($E149:AD149,"µ")+COUNTIF($E149:AD149,1),ColDescriptionCourte)),""),
  "")),"")</f>
        <v/>
      </c>
      <c r="AF149" s="40" t="str">
        <f ca="1">IFERROR(IF(AND(
  INDEX(Roadmap!$D:$K,MATCH($E149,Roadmap!$D:$D,0)+COUNTIF($E149:AE149,"u")+COUNTIF($E149:AE149,"t")+COUNTIF($E149:AE149,"¶")+COUNTIF($E149:AE149,"²")+COUNTIF($E149:AE149,"µ")+COUNTIF($E149:AE149,1),ColLivraison)=AF$6,
  VLOOKUP($E149,INDIRECT("tri!"&amp; CHAR(64+ C0Col) &amp;":"&amp; CHAR(65+C0Col)),2,FALSE)&gt;COUNTIF($E149:AE149,"u")+COUNTIF($E149:AE149,"t")+COUNTIF($E149:AE149,"¶")+COUNTIF($E149:AE149,"²")+COUNTIF($E149:AE149,"µ")+COUNTIF($E149:AE149,1)),
HYPERLINK("#Roadmap!C"&amp; MATCH($E149,Roadmap!$D:$D,0)+COUNTIF($E149:AE149,"u")+COUNTIF($E149:AE149,"t"),
     INDEX(Roadmap!$D:$K,MATCH($E149,Roadmap!$D:$D,0)+COUNTIF($E149:AE149,"u")+COUNTIF($E149:AE149,"t")+COUNTIF($E149:AE149,"¶")+COUNTIF($E149:AE149,"²")+COUNTIF($E149:AE149,"µ")+COUNTIF($E149:AE149,1),ColTypeEcheance)),
  IF(LEN(AE149)=1,
  IF(LEN(INDEX(Roadmap!$D:$K,MATCH($E149,Roadmap!$D:$D,0)-1+COUNTIF($E149:AE149,"u")+COUNTIF($E149:AE149,"t")+COUNTIF($E149:AE149,"¶")+COUNTIF($E149:AE149,"²")+COUNTIF($E149:AE149,"µ")+COUNTIF($E149:AE149,1),ColDescriptionCourte))&gt;1,
HYPERLINK("#Roadmap!C"&amp; MATCH($E149,Roadmap!$D:$D,0)+COUNTIF($E149:AE149,"u")+COUNTIF($E149:AE149,"t")+COUNTIF($E149:AE149,"¶")+COUNTIF($E149:AE149,"²")+COUNTIF($E149:AE149,"µ")+COUNTIF($E149:AE149,1)-1,INDEX(Roadmap!$D:$K,MATCH($E149,Roadmap!$D:$D,0)-1+COUNTIF($E149:AE149,"u")+COUNTIF($E149:AE149,"t")+COUNTIF($E149:AE149,"¶")+COUNTIF($E149:AE149,"²")+COUNTIF($E149:AE149,"µ")+COUNTIF($E149:AE149,1),ColDescriptionCourte)),""),
  "")),"")</f>
        <v/>
      </c>
      <c r="AG149" s="40" t="str">
        <f ca="1">IFERROR(IF(AND(
  INDEX(Roadmap!$D:$K,MATCH($E149,Roadmap!$D:$D,0)+COUNTIF($E149:AF149,"u")+COUNTIF($E149:AF149,"t")+COUNTIF($E149:AF149,"¶")+COUNTIF($E149:AF149,"²")+COUNTIF($E149:AF149,"µ")+COUNTIF($E149:AF149,1),ColLivraison)=AG$6,
  VLOOKUP($E149,INDIRECT("tri!"&amp; CHAR(64+ C0Col) &amp;":"&amp; CHAR(65+C0Col)),2,FALSE)&gt;COUNTIF($E149:AF149,"u")+COUNTIF($E149:AF149,"t")+COUNTIF($E149:AF149,"¶")+COUNTIF($E149:AF149,"²")+COUNTIF($E149:AF149,"µ")+COUNTIF($E149:AF149,1)),
HYPERLINK("#Roadmap!C"&amp; MATCH($E149,Roadmap!$D:$D,0)+COUNTIF($E149:AF149,"u")+COUNTIF($E149:AF149,"t"),
     INDEX(Roadmap!$D:$K,MATCH($E149,Roadmap!$D:$D,0)+COUNTIF($E149:AF149,"u")+COUNTIF($E149:AF149,"t")+COUNTIF($E149:AF149,"¶")+COUNTIF($E149:AF149,"²")+COUNTIF($E149:AF149,"µ")+COUNTIF($E149:AF149,1),ColTypeEcheance)),
  IF(LEN(AF149)=1,
  IF(LEN(INDEX(Roadmap!$D:$K,MATCH($E149,Roadmap!$D:$D,0)-1+COUNTIF($E149:AF149,"u")+COUNTIF($E149:AF149,"t")+COUNTIF($E149:AF149,"¶")+COUNTIF($E149:AF149,"²")+COUNTIF($E149:AF149,"µ")+COUNTIF($E149:AF149,1),ColDescriptionCourte))&gt;1,
HYPERLINK("#Roadmap!C"&amp; MATCH($E149,Roadmap!$D:$D,0)+COUNTIF($E149:AF149,"u")+COUNTIF($E149:AF149,"t")+COUNTIF($E149:AF149,"¶")+COUNTIF($E149:AF149,"²")+COUNTIF($E149:AF149,"µ")+COUNTIF($E149:AF149,1)-1,INDEX(Roadmap!$D:$K,MATCH($E149,Roadmap!$D:$D,0)-1+COUNTIF($E149:AF149,"u")+COUNTIF($E149:AF149,"t")+COUNTIF($E149:AF149,"¶")+COUNTIF($E149:AF149,"²")+COUNTIF($E149:AF149,"µ")+COUNTIF($E149:AF149,1),ColDescriptionCourte)),""),
  "")),"")</f>
        <v/>
      </c>
    </row>
    <row r="150" spans="3:33" ht="14.25" customHeight="1">
      <c r="C150" s="1" t="str">
        <f t="shared" ca="1" si="52"/>
        <v/>
      </c>
      <c r="D150" s="1" t="str">
        <f t="shared" ca="1" si="53"/>
        <v/>
      </c>
      <c r="E150" s="35" t="str">
        <f t="shared" ca="1" si="51"/>
        <v/>
      </c>
      <c r="F150" s="39" t="str">
        <f ca="1">IFERROR(IF(AND(
  INDEX(Roadmap!$D:$K,MATCH($E150,Roadmap!$D:$D,0)+COUNTIF($E150:E150,"u")+COUNTIF($E150:E150,"t")+COUNTIF($E150:E150,"¶")+COUNTIF($E150:E150,"²")+COUNTIF($E150:E150,"µ")+COUNTIF($E150:E150,1),ColLivraison)=F$6,
  VLOOKUP($E150,INDIRECT("tri!"&amp; CHAR(64+ C0Col) &amp;":"&amp; CHAR(65+C0Col)),2,FALSE)&gt;COUNTIF($E150:E150,"u")+COUNTIF($E150:E150,"t")+COUNTIF($E150:E150,"¶")+COUNTIF($E150:E150,"²")+COUNTIF($E150:E150,"µ")+COUNTIF($E150:E150,1)),
HYPERLINK("#Roadmap!C"&amp; MATCH($E150,Roadmap!$D:$D,0)+COUNTIF($E150:E150,"u")+COUNTIF($E150:E150,"t"),
     INDEX(Roadmap!$D:$K,MATCH($E150,Roadmap!$D:$D,0)+COUNTIF($E150:E150,"u")+COUNTIF($E150:E150,"t")+COUNTIF($E150:E150,"¶")+COUNTIF($E150:E150,"²")+COUNTIF($E150:E150,"µ")+COUNTIF($E150:E150,1),ColTypeEcheance)),
  IF(LEN(E150)=1,
  IF(LEN(INDEX(Roadmap!$D:$K,MATCH($E150,Roadmap!$D:$D,0)-1+COUNTIF($E150:E150,"u")+COUNTIF($E150:E150,"t")+COUNTIF($E150:E150,"¶")+COUNTIF($E150:E150,"²")+COUNTIF($E150:E150,"µ")+COUNTIF($E150:E150,1),ColDescriptionCourte))&gt;1,
HYPERLINK("#Roadmap!C"&amp; MATCH($E150,Roadmap!$D:$D,0)+COUNTIF($E150:E150,"u")+COUNTIF($E150:E150,"t")+COUNTIF($E150:E150,"¶")+COUNTIF($E150:E150,"²")+COUNTIF($E150:E150,"µ")+COUNTIF($E150:E150,1)-1,INDEX(Roadmap!$D:$K,MATCH($E150,Roadmap!$D:$D,0)-1+COUNTIF($E150:E150,"u")+COUNTIF($E150:E150,"t")+COUNTIF($E150:E150,"¶")+COUNTIF($E150:E150,"²")+COUNTIF($E150:E150,"µ")+COUNTIF($E150:E150,1),ColDescriptionCourte)),""),
  "")),"")</f>
        <v/>
      </c>
      <c r="G150" s="40" t="str">
        <f ca="1">IFERROR(IF(AND(
  INDEX(Roadmap!$D:$K,MATCH($E150,Roadmap!$D:$D,0)+COUNTIF($E150:F150,"u")+COUNTIF($E150:F150,"t")+COUNTIF($E150:F150,"¶")+COUNTIF($E150:F150,"²")+COUNTIF($E150:F150,"µ")+COUNTIF($E150:F150,1),ColLivraison)=G$6,
  VLOOKUP($E150,INDIRECT("tri!"&amp; CHAR(64+ C0Col) &amp;":"&amp; CHAR(65+C0Col)),2,FALSE)&gt;COUNTIF($E150:F150,"u")+COUNTIF($E150:F150,"t")+COUNTIF($E150:F150,"¶")+COUNTIF($E150:F150,"²")+COUNTIF($E150:F150,"µ")+COUNTIF($E150:F150,1)),
HYPERLINK("#Roadmap!C"&amp; MATCH($E150,Roadmap!$D:$D,0)+COUNTIF($E150:F150,"u")+COUNTIF($E150:F150,"t"),
     INDEX(Roadmap!$D:$K,MATCH($E150,Roadmap!$D:$D,0)+COUNTIF($E150:F150,"u")+COUNTIF($E150:F150,"t")+COUNTIF($E150:F150,"¶")+COUNTIF($E150:F150,"²")+COUNTIF($E150:F150,"µ")+COUNTIF($E150:F150,1),ColTypeEcheance)),
  IF(LEN(F150)=1,
  IF(LEN(INDEX(Roadmap!$D:$K,MATCH($E150,Roadmap!$D:$D,0)-1+COUNTIF($E150:F150,"u")+COUNTIF($E150:F150,"t")+COUNTIF($E150:F150,"¶")+COUNTIF($E150:F150,"²")+COUNTIF($E150:F150,"µ")+COUNTIF($E150:F150,1),ColDescriptionCourte))&gt;1,
HYPERLINK("#Roadmap!C"&amp; MATCH($E150,Roadmap!$D:$D,0)+COUNTIF($E150:F150,"u")+COUNTIF($E150:F150,"t")+COUNTIF($E150:F150,"¶")+COUNTIF($E150:F150,"²")+COUNTIF($E150:F150,"µ")+COUNTIF($E150:F150,1)-1,INDEX(Roadmap!$D:$K,MATCH($E150,Roadmap!$D:$D,0)-1+COUNTIF($E150:F150,"u")+COUNTIF($E150:F150,"t")+COUNTIF($E150:F150,"¶")+COUNTIF($E150:F150,"²")+COUNTIF($E150:F150,"µ")+COUNTIF($E150:F150,1),ColDescriptionCourte)),""),
  "")),"")</f>
        <v/>
      </c>
      <c r="H150" s="40" t="str">
        <f ca="1">IFERROR(IF(AND(
  INDEX(Roadmap!$D:$K,MATCH($E150,Roadmap!$D:$D,0)+COUNTIF($E150:G150,"u")+COUNTIF($E150:G150,"t")+COUNTIF($E150:G150,"¶")+COUNTIF($E150:G150,"²")+COUNTIF($E150:G150,"µ")+COUNTIF($E150:G150,1),ColLivraison)=H$6,
  VLOOKUP($E150,INDIRECT("tri!"&amp; CHAR(64+ C0Col) &amp;":"&amp; CHAR(65+C0Col)),2,FALSE)&gt;COUNTIF($E150:G150,"u")+COUNTIF($E150:G150,"t")+COUNTIF($E150:G150,"¶")+COUNTIF($E150:G150,"²")+COUNTIF($E150:G150,"µ")+COUNTIF($E150:G150,1)),
HYPERLINK("#Roadmap!C"&amp; MATCH($E150,Roadmap!$D:$D,0)+COUNTIF($E150:G150,"u")+COUNTIF($E150:G150,"t"),
     INDEX(Roadmap!$D:$K,MATCH($E150,Roadmap!$D:$D,0)+COUNTIF($E150:G150,"u")+COUNTIF($E150:G150,"t")+COUNTIF($E150:G150,"¶")+COUNTIF($E150:G150,"²")+COUNTIF($E150:G150,"µ")+COUNTIF($E150:G150,1),ColTypeEcheance)),
  IF(LEN(G150)=1,
  IF(LEN(INDEX(Roadmap!$D:$K,MATCH($E150,Roadmap!$D:$D,0)-1+COUNTIF($E150:G150,"u")+COUNTIF($E150:G150,"t")+COUNTIF($E150:G150,"¶")+COUNTIF($E150:G150,"²")+COUNTIF($E150:G150,"µ")+COUNTIF($E150:G150,1),ColDescriptionCourte))&gt;1,
HYPERLINK("#Roadmap!C"&amp; MATCH($E150,Roadmap!$D:$D,0)+COUNTIF($E150:G150,"u")+COUNTIF($E150:G150,"t")+COUNTIF($E150:G150,"¶")+COUNTIF($E150:G150,"²")+COUNTIF($E150:G150,"µ")+COUNTIF($E150:G150,1)-1,INDEX(Roadmap!$D:$K,MATCH($E150,Roadmap!$D:$D,0)-1+COUNTIF($E150:G150,"u")+COUNTIF($E150:G150,"t")+COUNTIF($E150:G150,"¶")+COUNTIF($E150:G150,"²")+COUNTIF($E150:G150,"µ")+COUNTIF($E150:G150,1),ColDescriptionCourte)),""),
  "")),"")</f>
        <v/>
      </c>
      <c r="I150" s="40" t="str">
        <f ca="1">IFERROR(IF(AND(
  INDEX(Roadmap!$D:$K,MATCH($E150,Roadmap!$D:$D,0)+COUNTIF($E150:H150,"u")+COUNTIF($E150:H150,"t")+COUNTIF($E150:H150,"¶")+COUNTIF($E150:H150,"²")+COUNTIF($E150:H150,"µ")+COUNTIF($E150:H150,1),ColLivraison)=I$6,
  VLOOKUP($E150,INDIRECT("tri!"&amp; CHAR(64+ C0Col) &amp;":"&amp; CHAR(65+C0Col)),2,FALSE)&gt;COUNTIF($E150:H150,"u")+COUNTIF($E150:H150,"t")+COUNTIF($E150:H150,"¶")+COUNTIF($E150:H150,"²")+COUNTIF($E150:H150,"µ")+COUNTIF($E150:H150,1)),
HYPERLINK("#Roadmap!C"&amp; MATCH($E150,Roadmap!$D:$D,0)+COUNTIF($E150:H150,"u")+COUNTIF($E150:H150,"t"),
     INDEX(Roadmap!$D:$K,MATCH($E150,Roadmap!$D:$D,0)+COUNTIF($E150:H150,"u")+COUNTIF($E150:H150,"t")+COUNTIF($E150:H150,"¶")+COUNTIF($E150:H150,"²")+COUNTIF($E150:H150,"µ")+COUNTIF($E150:H150,1),ColTypeEcheance)),
  IF(LEN(H150)=1,
  IF(LEN(INDEX(Roadmap!$D:$K,MATCH($E150,Roadmap!$D:$D,0)-1+COUNTIF($E150:H150,"u")+COUNTIF($E150:H150,"t")+COUNTIF($E150:H150,"¶")+COUNTIF($E150:H150,"²")+COUNTIF($E150:H150,"µ")+COUNTIF($E150:H150,1),ColDescriptionCourte))&gt;1,
HYPERLINK("#Roadmap!C"&amp; MATCH($E150,Roadmap!$D:$D,0)+COUNTIF($E150:H150,"u")+COUNTIF($E150:H150,"t")+COUNTIF($E150:H150,"¶")+COUNTIF($E150:H150,"²")+COUNTIF($E150:H150,"µ")+COUNTIF($E150:H150,1)-1,INDEX(Roadmap!$D:$K,MATCH($E150,Roadmap!$D:$D,0)-1+COUNTIF($E150:H150,"u")+COUNTIF($E150:H150,"t")+COUNTIF($E150:H150,"¶")+COUNTIF($E150:H150,"²")+COUNTIF($E150:H150,"µ")+COUNTIF($E150:H150,1),ColDescriptionCourte)),""),
  "")),"")</f>
        <v/>
      </c>
      <c r="J150" s="40" t="str">
        <f ca="1">IFERROR(IF(AND(
  INDEX(Roadmap!$D:$K,MATCH($E150,Roadmap!$D:$D,0)+COUNTIF($E150:I150,"u")+COUNTIF($E150:I150,"t")+COUNTIF($E150:I150,"¶")+COUNTIF($E150:I150,"²")+COUNTIF($E150:I150,"µ")+COUNTIF($E150:I150,1),ColLivraison)=J$6,
  VLOOKUP($E150,INDIRECT("tri!"&amp; CHAR(64+ C0Col) &amp;":"&amp; CHAR(65+C0Col)),2,FALSE)&gt;COUNTIF($E150:I150,"u")+COUNTIF($E150:I150,"t")+COUNTIF($E150:I150,"¶")+COUNTIF($E150:I150,"²")+COUNTIF($E150:I150,"µ")+COUNTIF($E150:I150,1)),
HYPERLINK("#Roadmap!C"&amp; MATCH($E150,Roadmap!$D:$D,0)+COUNTIF($E150:I150,"u")+COUNTIF($E150:I150,"t"),
     INDEX(Roadmap!$D:$K,MATCH($E150,Roadmap!$D:$D,0)+COUNTIF($E150:I150,"u")+COUNTIF($E150:I150,"t")+COUNTIF($E150:I150,"¶")+COUNTIF($E150:I150,"²")+COUNTIF($E150:I150,"µ")+COUNTIF($E150:I150,1),ColTypeEcheance)),
  IF(LEN(I150)=1,
  IF(LEN(INDEX(Roadmap!$D:$K,MATCH($E150,Roadmap!$D:$D,0)-1+COUNTIF($E150:I150,"u")+COUNTIF($E150:I150,"t")+COUNTIF($E150:I150,"¶")+COUNTIF($E150:I150,"²")+COUNTIF($E150:I150,"µ")+COUNTIF($E150:I150,1),ColDescriptionCourte))&gt;1,
HYPERLINK("#Roadmap!C"&amp; MATCH($E150,Roadmap!$D:$D,0)+COUNTIF($E150:I150,"u")+COUNTIF($E150:I150,"t")+COUNTIF($E150:I150,"¶")+COUNTIF($E150:I150,"²")+COUNTIF($E150:I150,"µ")+COUNTIF($E150:I150,1)-1,INDEX(Roadmap!$D:$K,MATCH($E150,Roadmap!$D:$D,0)-1+COUNTIF($E150:I150,"u")+COUNTIF($E150:I150,"t")+COUNTIF($E150:I150,"¶")+COUNTIF($E150:I150,"²")+COUNTIF($E150:I150,"µ")+COUNTIF($E150:I150,1),ColDescriptionCourte)),""),
  "")),"")</f>
        <v/>
      </c>
      <c r="K150" s="40" t="str">
        <f ca="1">IFERROR(IF(AND(
  INDEX(Roadmap!$D:$K,MATCH($E150,Roadmap!$D:$D,0)+COUNTIF($E150:J150,"u")+COUNTIF($E150:J150,"t")+COUNTIF($E150:J150,"¶")+COUNTIF($E150:J150,"²")+COUNTIF($E150:J150,"µ")+COUNTIF($E150:J150,1),ColLivraison)=K$6,
  VLOOKUP($E150,INDIRECT("tri!"&amp; CHAR(64+ C0Col) &amp;":"&amp; CHAR(65+C0Col)),2,FALSE)&gt;COUNTIF($E150:J150,"u")+COUNTIF($E150:J150,"t")+COUNTIF($E150:J150,"¶")+COUNTIF($E150:J150,"²")+COUNTIF($E150:J150,"µ")+COUNTIF($E150:J150,1)),
HYPERLINK("#Roadmap!C"&amp; MATCH($E150,Roadmap!$D:$D,0)+COUNTIF($E150:J150,"u")+COUNTIF($E150:J150,"t"),
     INDEX(Roadmap!$D:$K,MATCH($E150,Roadmap!$D:$D,0)+COUNTIF($E150:J150,"u")+COUNTIF($E150:J150,"t")+COUNTIF($E150:J150,"¶")+COUNTIF($E150:J150,"²")+COUNTIF($E150:J150,"µ")+COUNTIF($E150:J150,1),ColTypeEcheance)),
  IF(LEN(J150)=1,
  IF(LEN(INDEX(Roadmap!$D:$K,MATCH($E150,Roadmap!$D:$D,0)-1+COUNTIF($E150:J150,"u")+COUNTIF($E150:J150,"t")+COUNTIF($E150:J150,"¶")+COUNTIF($E150:J150,"²")+COUNTIF($E150:J150,"µ")+COUNTIF($E150:J150,1),ColDescriptionCourte))&gt;1,
HYPERLINK("#Roadmap!C"&amp; MATCH($E150,Roadmap!$D:$D,0)+COUNTIF($E150:J150,"u")+COUNTIF($E150:J150,"t")+COUNTIF($E150:J150,"¶")+COUNTIF($E150:J150,"²")+COUNTIF($E150:J150,"µ")+COUNTIF($E150:J150,1)-1,INDEX(Roadmap!$D:$K,MATCH($E150,Roadmap!$D:$D,0)-1+COUNTIF($E150:J150,"u")+COUNTIF($E150:J150,"t")+COUNTIF($E150:J150,"¶")+COUNTIF($E150:J150,"²")+COUNTIF($E150:J150,"µ")+COUNTIF($E150:J150,1),ColDescriptionCourte)),""),
  "")),"")</f>
        <v/>
      </c>
      <c r="L150" s="39" t="str">
        <f ca="1">IFERROR(IF(AND(
  INDEX(Roadmap!$D:$K,MATCH($E150,Roadmap!$D:$D,0)+COUNTIF($E150:K150,"u")+COUNTIF($E150:K150,"t")+COUNTIF($E150:K150,"¶")+COUNTIF($E150:K150,"²")+COUNTIF($E150:K150,"µ")+COUNTIF($E150:K150,1),ColLivraison)=L$6,
  VLOOKUP($E150,INDIRECT("tri!"&amp; CHAR(64+ C0Col) &amp;":"&amp; CHAR(65+C0Col)),2,FALSE)&gt;COUNTIF($E150:K150,"u")+COUNTIF($E150:K150,"t")+COUNTIF($E150:K150,"¶")+COUNTIF($E150:K150,"²")+COUNTIF($E150:K150,"µ")+COUNTIF($E150:K150,1)),
HYPERLINK("#Roadmap!C"&amp; MATCH($E150,Roadmap!$D:$D,0)+COUNTIF($E150:K150,"u")+COUNTIF($E150:K150,"t"),
     INDEX(Roadmap!$D:$K,MATCH($E150,Roadmap!$D:$D,0)+COUNTIF($E150:K150,"u")+COUNTIF($E150:K150,"t")+COUNTIF($E150:K150,"¶")+COUNTIF($E150:K150,"²")+COUNTIF($E150:K150,"µ")+COUNTIF($E150:K150,1),ColTypeEcheance)),
  IF(LEN(K150)=1,
  IF(LEN(INDEX(Roadmap!$D:$K,MATCH($E150,Roadmap!$D:$D,0)-1+COUNTIF($E150:K150,"u")+COUNTIF($E150:K150,"t")+COUNTIF($E150:K150,"¶")+COUNTIF($E150:K150,"²")+COUNTIF($E150:K150,"µ")+COUNTIF($E150:K150,1),ColDescriptionCourte))&gt;1,
HYPERLINK("#Roadmap!C"&amp; MATCH($E150,Roadmap!$D:$D,0)+COUNTIF($E150:K150,"u")+COUNTIF($E150:K150,"t")+COUNTIF($E150:K150,"¶")+COUNTIF($E150:K150,"²")+COUNTIF($E150:K150,"µ")+COUNTIF($E150:K150,1)-1,INDEX(Roadmap!$D:$K,MATCH($E150,Roadmap!$D:$D,0)-1+COUNTIF($E150:K150,"u")+COUNTIF($E150:K150,"t")+COUNTIF($E150:K150,"¶")+COUNTIF($E150:K150,"²")+COUNTIF($E150:K150,"µ")+COUNTIF($E150:K150,1),ColDescriptionCourte)),""),
  "")),"")</f>
        <v/>
      </c>
      <c r="M150" s="40" t="str">
        <f ca="1">IFERROR(IF(AND(
  INDEX(Roadmap!$D:$K,MATCH($E150,Roadmap!$D:$D,0)+COUNTIF($E150:L150,"u")+COUNTIF($E150:L150,"t")+COUNTIF($E150:L150,"¶")+COUNTIF($E150:L150,"²")+COUNTIF($E150:L150,"µ")+COUNTIF($E150:L150,1),ColLivraison)=M$6,
  VLOOKUP($E150,INDIRECT("tri!"&amp; CHAR(64+ C0Col) &amp;":"&amp; CHAR(65+C0Col)),2,FALSE)&gt;COUNTIF($E150:L150,"u")+COUNTIF($E150:L150,"t")+COUNTIF($E150:L150,"¶")+COUNTIF($E150:L150,"²")+COUNTIF($E150:L150,"µ")+COUNTIF($E150:L150,1)),
HYPERLINK("#Roadmap!C"&amp; MATCH($E150,Roadmap!$D:$D,0)+COUNTIF($E150:L150,"u")+COUNTIF($E150:L150,"t"),
     INDEX(Roadmap!$D:$K,MATCH($E150,Roadmap!$D:$D,0)+COUNTIF($E150:L150,"u")+COUNTIF($E150:L150,"t")+COUNTIF($E150:L150,"¶")+COUNTIF($E150:L150,"²")+COUNTIF($E150:L150,"µ")+COUNTIF($E150:L150,1),ColTypeEcheance)),
  IF(LEN(L150)=1,
  IF(LEN(INDEX(Roadmap!$D:$K,MATCH($E150,Roadmap!$D:$D,0)-1+COUNTIF($E150:L150,"u")+COUNTIF($E150:L150,"t")+COUNTIF($E150:L150,"¶")+COUNTIF($E150:L150,"²")+COUNTIF($E150:L150,"µ")+COUNTIF($E150:L150,1),ColDescriptionCourte))&gt;1,
HYPERLINK("#Roadmap!C"&amp; MATCH($E150,Roadmap!$D:$D,0)+COUNTIF($E150:L150,"u")+COUNTIF($E150:L150,"t")+COUNTIF($E150:L150,"¶")+COUNTIF($E150:L150,"²")+COUNTIF($E150:L150,"µ")+COUNTIF($E150:L150,1)-1,INDEX(Roadmap!$D:$K,MATCH($E150,Roadmap!$D:$D,0)-1+COUNTIF($E150:L150,"u")+COUNTIF($E150:L150,"t")+COUNTIF($E150:L150,"¶")+COUNTIF($E150:L150,"²")+COUNTIF($E150:L150,"µ")+COUNTIF($E150:L150,1),ColDescriptionCourte)),""),
  "")),"")</f>
        <v/>
      </c>
      <c r="N150" s="40" t="str">
        <f ca="1">IFERROR(IF(AND(
  INDEX(Roadmap!$D:$K,MATCH($E150,Roadmap!$D:$D,0)+COUNTIF($E150:M150,"u")+COUNTIF($E150:M150,"t")+COUNTIF($E150:M150,"¶")+COUNTIF($E150:M150,"²")+COUNTIF($E150:M150,"µ")+COUNTIF($E150:M150,1),ColLivraison)=N$6,
  VLOOKUP($E150,INDIRECT("tri!"&amp; CHAR(64+ C0Col) &amp;":"&amp; CHAR(65+C0Col)),2,FALSE)&gt;COUNTIF($E150:M150,"u")+COUNTIF($E150:M150,"t")+COUNTIF($E150:M150,"¶")+COUNTIF($E150:M150,"²")+COUNTIF($E150:M150,"µ")+COUNTIF($E150:M150,1)),
HYPERLINK("#Roadmap!C"&amp; MATCH($E150,Roadmap!$D:$D,0)+COUNTIF($E150:M150,"u")+COUNTIF($E150:M150,"t"),
     INDEX(Roadmap!$D:$K,MATCH($E150,Roadmap!$D:$D,0)+COUNTIF($E150:M150,"u")+COUNTIF($E150:M150,"t")+COUNTIF($E150:M150,"¶")+COUNTIF($E150:M150,"²")+COUNTIF($E150:M150,"µ")+COUNTIF($E150:M150,1),ColTypeEcheance)),
  IF(LEN(M150)=1,
  IF(LEN(INDEX(Roadmap!$D:$K,MATCH($E150,Roadmap!$D:$D,0)-1+COUNTIF($E150:M150,"u")+COUNTIF($E150:M150,"t")+COUNTIF($E150:M150,"¶")+COUNTIF($E150:M150,"²")+COUNTIF($E150:M150,"µ")+COUNTIF($E150:M150,1),ColDescriptionCourte))&gt;1,
HYPERLINK("#Roadmap!C"&amp; MATCH($E150,Roadmap!$D:$D,0)+COUNTIF($E150:M150,"u")+COUNTIF($E150:M150,"t")+COUNTIF($E150:M150,"¶")+COUNTIF($E150:M150,"²")+COUNTIF($E150:M150,"µ")+COUNTIF($E150:M150,1)-1,INDEX(Roadmap!$D:$K,MATCH($E150,Roadmap!$D:$D,0)-1+COUNTIF($E150:M150,"u")+COUNTIF($E150:M150,"t")+COUNTIF($E150:M150,"¶")+COUNTIF($E150:M150,"²")+COUNTIF($E150:M150,"µ")+COUNTIF($E150:M150,1),ColDescriptionCourte)),""),
  "")),"")</f>
        <v/>
      </c>
      <c r="O150" s="40" t="str">
        <f ca="1">IFERROR(IF(AND(
  INDEX(Roadmap!$D:$K,MATCH($E150,Roadmap!$D:$D,0)+COUNTIF($E150:N150,"u")+COUNTIF($E150:N150,"t")+COUNTIF($E150:N150,"¶")+COUNTIF($E150:N150,"²")+COUNTIF($E150:N150,"µ")+COUNTIF($E150:N150,1),ColLivraison)=O$6,
  VLOOKUP($E150,INDIRECT("tri!"&amp; CHAR(64+ C0Col) &amp;":"&amp; CHAR(65+C0Col)),2,FALSE)&gt;COUNTIF($E150:N150,"u")+COUNTIF($E150:N150,"t")+COUNTIF($E150:N150,"¶")+COUNTIF($E150:N150,"²")+COUNTIF($E150:N150,"µ")+COUNTIF($E150:N150,1)),
HYPERLINK("#Roadmap!C"&amp; MATCH($E150,Roadmap!$D:$D,0)+COUNTIF($E150:N150,"u")+COUNTIF($E150:N150,"t"),
     INDEX(Roadmap!$D:$K,MATCH($E150,Roadmap!$D:$D,0)+COUNTIF($E150:N150,"u")+COUNTIF($E150:N150,"t")+COUNTIF($E150:N150,"¶")+COUNTIF($E150:N150,"²")+COUNTIF($E150:N150,"µ")+COUNTIF($E150:N150,1),ColTypeEcheance)),
  IF(LEN(N150)=1,
  IF(LEN(INDEX(Roadmap!$D:$K,MATCH($E150,Roadmap!$D:$D,0)-1+COUNTIF($E150:N150,"u")+COUNTIF($E150:N150,"t")+COUNTIF($E150:N150,"¶")+COUNTIF($E150:N150,"²")+COUNTIF($E150:N150,"µ")+COUNTIF($E150:N150,1),ColDescriptionCourte))&gt;1,
HYPERLINK("#Roadmap!C"&amp; MATCH($E150,Roadmap!$D:$D,0)+COUNTIF($E150:N150,"u")+COUNTIF($E150:N150,"t")+COUNTIF($E150:N150,"¶")+COUNTIF($E150:N150,"²")+COUNTIF($E150:N150,"µ")+COUNTIF($E150:N150,1)-1,INDEX(Roadmap!$D:$K,MATCH($E150,Roadmap!$D:$D,0)-1+COUNTIF($E150:N150,"u")+COUNTIF($E150:N150,"t")+COUNTIF($E150:N150,"¶")+COUNTIF($E150:N150,"²")+COUNTIF($E150:N150,"µ")+COUNTIF($E150:N150,1),ColDescriptionCourte)),""),
  "")),"")</f>
        <v/>
      </c>
      <c r="P150" s="40" t="str">
        <f ca="1">IFERROR(IF(AND(
  INDEX(Roadmap!$D:$K,MATCH($E150,Roadmap!$D:$D,0)+COUNTIF($E150:O150,"u")+COUNTIF($E150:O150,"t")+COUNTIF($E150:O150,"¶")+COUNTIF($E150:O150,"²")+COUNTIF($E150:O150,"µ")+COUNTIF($E150:O150,1),ColLivraison)=P$6,
  VLOOKUP($E150,INDIRECT("tri!"&amp; CHAR(64+ C0Col) &amp;":"&amp; CHAR(65+C0Col)),2,FALSE)&gt;COUNTIF($E150:O150,"u")+COUNTIF($E150:O150,"t")+COUNTIF($E150:O150,"¶")+COUNTIF($E150:O150,"²")+COUNTIF($E150:O150,"µ")+COUNTIF($E150:O150,1)),
HYPERLINK("#Roadmap!C"&amp; MATCH($E150,Roadmap!$D:$D,0)+COUNTIF($E150:O150,"u")+COUNTIF($E150:O150,"t"),
     INDEX(Roadmap!$D:$K,MATCH($E150,Roadmap!$D:$D,0)+COUNTIF($E150:O150,"u")+COUNTIF($E150:O150,"t")+COUNTIF($E150:O150,"¶")+COUNTIF($E150:O150,"²")+COUNTIF($E150:O150,"µ")+COUNTIF($E150:O150,1),ColTypeEcheance)),
  IF(LEN(O150)=1,
  IF(LEN(INDEX(Roadmap!$D:$K,MATCH($E150,Roadmap!$D:$D,0)-1+COUNTIF($E150:O150,"u")+COUNTIF($E150:O150,"t")+COUNTIF($E150:O150,"¶")+COUNTIF($E150:O150,"²")+COUNTIF($E150:O150,"µ")+COUNTIF($E150:O150,1),ColDescriptionCourte))&gt;1,
HYPERLINK("#Roadmap!C"&amp; MATCH($E150,Roadmap!$D:$D,0)+COUNTIF($E150:O150,"u")+COUNTIF($E150:O150,"t")+COUNTIF($E150:O150,"¶")+COUNTIF($E150:O150,"²")+COUNTIF($E150:O150,"µ")+COUNTIF($E150:O150,1)-1,INDEX(Roadmap!$D:$K,MATCH($E150,Roadmap!$D:$D,0)-1+COUNTIF($E150:O150,"u")+COUNTIF($E150:O150,"t")+COUNTIF($E150:O150,"¶")+COUNTIF($E150:O150,"²")+COUNTIF($E150:O150,"µ")+COUNTIF($E150:O150,1),ColDescriptionCourte)),""),
  "")),"")</f>
        <v/>
      </c>
      <c r="Q150" s="40" t="str">
        <f ca="1">IFERROR(IF(AND(
  INDEX(Roadmap!$D:$K,MATCH($E150,Roadmap!$D:$D,0)+COUNTIF($E150:P150,"u")+COUNTIF($E150:P150,"t")+COUNTIF($E150:P150,"¶")+COUNTIF($E150:P150,"²")+COUNTIF($E150:P150,"µ")+COUNTIF($E150:P150,1),ColLivraison)=Q$6,
  VLOOKUP($E150,INDIRECT("tri!"&amp; CHAR(64+ C0Col) &amp;":"&amp; CHAR(65+C0Col)),2,FALSE)&gt;COUNTIF($E150:P150,"u")+COUNTIF($E150:P150,"t")+COUNTIF($E150:P150,"¶")+COUNTIF($E150:P150,"²")+COUNTIF($E150:P150,"µ")+COUNTIF($E150:P150,1)),
HYPERLINK("#Roadmap!C"&amp; MATCH($E150,Roadmap!$D:$D,0)+COUNTIF($E150:P150,"u")+COUNTIF($E150:P150,"t"),
     INDEX(Roadmap!$D:$K,MATCH($E150,Roadmap!$D:$D,0)+COUNTIF($E150:P150,"u")+COUNTIF($E150:P150,"t")+COUNTIF($E150:P150,"¶")+COUNTIF($E150:P150,"²")+COUNTIF($E150:P150,"µ")+COUNTIF($E150:P150,1),ColTypeEcheance)),
  IF(LEN(P150)=1,
  IF(LEN(INDEX(Roadmap!$D:$K,MATCH($E150,Roadmap!$D:$D,0)-1+COUNTIF($E150:P150,"u")+COUNTIF($E150:P150,"t")+COUNTIF($E150:P150,"¶")+COUNTIF($E150:P150,"²")+COUNTIF($E150:P150,"µ")+COUNTIF($E150:P150,1),ColDescriptionCourte))&gt;1,
HYPERLINK("#Roadmap!C"&amp; MATCH($E150,Roadmap!$D:$D,0)+COUNTIF($E150:P150,"u")+COUNTIF($E150:P150,"t")+COUNTIF($E150:P150,"¶")+COUNTIF($E150:P150,"²")+COUNTIF($E150:P150,"µ")+COUNTIF($E150:P150,1)-1,INDEX(Roadmap!$D:$K,MATCH($E150,Roadmap!$D:$D,0)-1+COUNTIF($E150:P150,"u")+COUNTIF($E150:P150,"t")+COUNTIF($E150:P150,"¶")+COUNTIF($E150:P150,"²")+COUNTIF($E150:P150,"µ")+COUNTIF($E150:P150,1),ColDescriptionCourte)),""),
  "")),"")</f>
        <v/>
      </c>
      <c r="R150" s="40" t="str">
        <f ca="1">IFERROR(IF(AND(
  INDEX(Roadmap!$D:$K,MATCH($E150,Roadmap!$D:$D,0)+COUNTIF($E150:Q150,"u")+COUNTIF($E150:Q150,"t")+COUNTIF($E150:Q150,"¶")+COUNTIF($E150:Q150,"²")+COUNTIF($E150:Q150,"µ")+COUNTIF($E150:Q150,1),ColLivraison)=R$6,
  VLOOKUP($E150,INDIRECT("tri!"&amp; CHAR(64+ C0Col) &amp;":"&amp; CHAR(65+C0Col)),2,FALSE)&gt;COUNTIF($E150:Q150,"u")+COUNTIF($E150:Q150,"t")+COUNTIF($E150:Q150,"¶")+COUNTIF($E150:Q150,"²")+COUNTIF($E150:Q150,"µ")+COUNTIF($E150:Q150,1)),
HYPERLINK("#Roadmap!C"&amp; MATCH($E150,Roadmap!$D:$D,0)+COUNTIF($E150:Q150,"u")+COUNTIF($E150:Q150,"t"),
     INDEX(Roadmap!$D:$K,MATCH($E150,Roadmap!$D:$D,0)+COUNTIF($E150:Q150,"u")+COUNTIF($E150:Q150,"t")+COUNTIF($E150:Q150,"¶")+COUNTIF($E150:Q150,"²")+COUNTIF($E150:Q150,"µ")+COUNTIF($E150:Q150,1),ColTypeEcheance)),
  IF(LEN(Q150)=1,
  IF(LEN(INDEX(Roadmap!$D:$K,MATCH($E150,Roadmap!$D:$D,0)-1+COUNTIF($E150:Q150,"u")+COUNTIF($E150:Q150,"t")+COUNTIF($E150:Q150,"¶")+COUNTIF($E150:Q150,"²")+COUNTIF($E150:Q150,"µ")+COUNTIF($E150:Q150,1),ColDescriptionCourte))&gt;1,
HYPERLINK("#Roadmap!C"&amp; MATCH($E150,Roadmap!$D:$D,0)+COUNTIF($E150:Q150,"u")+COUNTIF($E150:Q150,"t")+COUNTIF($E150:Q150,"¶")+COUNTIF($E150:Q150,"²")+COUNTIF($E150:Q150,"µ")+COUNTIF($E150:Q150,1)-1,INDEX(Roadmap!$D:$K,MATCH($E150,Roadmap!$D:$D,0)-1+COUNTIF($E150:Q150,"u")+COUNTIF($E150:Q150,"t")+COUNTIF($E150:Q150,"¶")+COUNTIF($E150:Q150,"²")+COUNTIF($E150:Q150,"µ")+COUNTIF($E150:Q150,1),ColDescriptionCourte)),""),
  "")),"")</f>
        <v/>
      </c>
      <c r="S150" s="40" t="str">
        <f ca="1">IFERROR(IF(AND(
  INDEX(Roadmap!$D:$K,MATCH($E150,Roadmap!$D:$D,0)+COUNTIF($E150:R150,"u")+COUNTIF($E150:R150,"t")+COUNTIF($E150:R150,"¶")+COUNTIF($E150:R150,"²")+COUNTIF($E150:R150,"µ")+COUNTIF($E150:R150,1),ColLivraison)=S$6,
  VLOOKUP($E150,INDIRECT("tri!"&amp; CHAR(64+ C0Col) &amp;":"&amp; CHAR(65+C0Col)),2,FALSE)&gt;COUNTIF($E150:R150,"u")+COUNTIF($E150:R150,"t")+COUNTIF($E150:R150,"¶")+COUNTIF($E150:R150,"²")+COUNTIF($E150:R150,"µ")+COUNTIF($E150:R150,1)),
HYPERLINK("#Roadmap!C"&amp; MATCH($E150,Roadmap!$D:$D,0)+COUNTIF($E150:R150,"u")+COUNTIF($E150:R150,"t"),
     INDEX(Roadmap!$D:$K,MATCH($E150,Roadmap!$D:$D,0)+COUNTIF($E150:R150,"u")+COUNTIF($E150:R150,"t")+COUNTIF($E150:R150,"¶")+COUNTIF($E150:R150,"²")+COUNTIF($E150:R150,"µ")+COUNTIF($E150:R150,1),ColTypeEcheance)),
  IF(LEN(R150)=1,
  IF(LEN(INDEX(Roadmap!$D:$K,MATCH($E150,Roadmap!$D:$D,0)-1+COUNTIF($E150:R150,"u")+COUNTIF($E150:R150,"t")+COUNTIF($E150:R150,"¶")+COUNTIF($E150:R150,"²")+COUNTIF($E150:R150,"µ")+COUNTIF($E150:R150,1),ColDescriptionCourte))&gt;1,
HYPERLINK("#Roadmap!C"&amp; MATCH($E150,Roadmap!$D:$D,0)+COUNTIF($E150:R150,"u")+COUNTIF($E150:R150,"t")+COUNTIF($E150:R150,"¶")+COUNTIF($E150:R150,"²")+COUNTIF($E150:R150,"µ")+COUNTIF($E150:R150,1)-1,INDEX(Roadmap!$D:$K,MATCH($E150,Roadmap!$D:$D,0)-1+COUNTIF($E150:R150,"u")+COUNTIF($E150:R150,"t")+COUNTIF($E150:R150,"¶")+COUNTIF($E150:R150,"²")+COUNTIF($E150:R150,"µ")+COUNTIF($E150:R150,1),ColDescriptionCourte)),""),
  "")),"")</f>
        <v/>
      </c>
      <c r="T150" s="40" t="str">
        <f ca="1">IFERROR(IF(AND(
  INDEX(Roadmap!$D:$K,MATCH($E150,Roadmap!$D:$D,0)+COUNTIF($E150:S150,"u")+COUNTIF($E150:S150,"t")+COUNTIF($E150:S150,"¶")+COUNTIF($E150:S150,"²")+COUNTIF($E150:S150,"µ")+COUNTIF($E150:S150,1),ColLivraison)=T$6,
  VLOOKUP($E150,INDIRECT("tri!"&amp; CHAR(64+ C0Col) &amp;":"&amp; CHAR(65+C0Col)),2,FALSE)&gt;COUNTIF($E150:S150,"u")+COUNTIF($E150:S150,"t")+COUNTIF($E150:S150,"¶")+COUNTIF($E150:S150,"²")+COUNTIF($E150:S150,"µ")+COUNTIF($E150:S150,1)),
HYPERLINK("#Roadmap!C"&amp; MATCH($E150,Roadmap!$D:$D,0)+COUNTIF($E150:S150,"u")+COUNTIF($E150:S150,"t"),
     INDEX(Roadmap!$D:$K,MATCH($E150,Roadmap!$D:$D,0)+COUNTIF($E150:S150,"u")+COUNTIF($E150:S150,"t")+COUNTIF($E150:S150,"¶")+COUNTIF($E150:S150,"²")+COUNTIF($E150:S150,"µ")+COUNTIF($E150:S150,1),ColTypeEcheance)),
  IF(LEN(S150)=1,
  IF(LEN(INDEX(Roadmap!$D:$K,MATCH($E150,Roadmap!$D:$D,0)-1+COUNTIF($E150:S150,"u")+COUNTIF($E150:S150,"t")+COUNTIF($E150:S150,"¶")+COUNTIF($E150:S150,"²")+COUNTIF($E150:S150,"µ")+COUNTIF($E150:S150,1),ColDescriptionCourte))&gt;1,
HYPERLINK("#Roadmap!C"&amp; MATCH($E150,Roadmap!$D:$D,0)+COUNTIF($E150:S150,"u")+COUNTIF($E150:S150,"t")+COUNTIF($E150:S150,"¶")+COUNTIF($E150:S150,"²")+COUNTIF($E150:S150,"µ")+COUNTIF($E150:S150,1)-1,INDEX(Roadmap!$D:$K,MATCH($E150,Roadmap!$D:$D,0)-1+COUNTIF($E150:S150,"u")+COUNTIF($E150:S150,"t")+COUNTIF($E150:S150,"¶")+COUNTIF($E150:S150,"²")+COUNTIF($E150:S150,"µ")+COUNTIF($E150:S150,1),ColDescriptionCourte)),""),
  "")),"")</f>
        <v/>
      </c>
      <c r="U150" s="40" t="str">
        <f ca="1">IFERROR(IF(AND(
  INDEX(Roadmap!$D:$K,MATCH($E150,Roadmap!$D:$D,0)+COUNTIF($E150:T150,"u")+COUNTIF($E150:T150,"t")+COUNTIF($E150:T150,"¶")+COUNTIF($E150:T150,"²")+COUNTIF($E150:T150,"µ")+COUNTIF($E150:T150,1),ColLivraison)=U$6,
  VLOOKUP($E150,INDIRECT("tri!"&amp; CHAR(64+ C0Col) &amp;":"&amp; CHAR(65+C0Col)),2,FALSE)&gt;COUNTIF($E150:T150,"u")+COUNTIF($E150:T150,"t")+COUNTIF($E150:T150,"¶")+COUNTIF($E150:T150,"²")+COUNTIF($E150:T150,"µ")+COUNTIF($E150:T150,1)),
HYPERLINK("#Roadmap!C"&amp; MATCH($E150,Roadmap!$D:$D,0)+COUNTIF($E150:T150,"u")+COUNTIF($E150:T150,"t"),
     INDEX(Roadmap!$D:$K,MATCH($E150,Roadmap!$D:$D,0)+COUNTIF($E150:T150,"u")+COUNTIF($E150:T150,"t")+COUNTIF($E150:T150,"¶")+COUNTIF($E150:T150,"²")+COUNTIF($E150:T150,"µ")+COUNTIF($E150:T150,1),ColTypeEcheance)),
  IF(LEN(T150)=1,
  IF(LEN(INDEX(Roadmap!$D:$K,MATCH($E150,Roadmap!$D:$D,0)-1+COUNTIF($E150:T150,"u")+COUNTIF($E150:T150,"t")+COUNTIF($E150:T150,"¶")+COUNTIF($E150:T150,"²")+COUNTIF($E150:T150,"µ")+COUNTIF($E150:T150,1),ColDescriptionCourte))&gt;1,
HYPERLINK("#Roadmap!C"&amp; MATCH($E150,Roadmap!$D:$D,0)+COUNTIF($E150:T150,"u")+COUNTIF($E150:T150,"t")+COUNTIF($E150:T150,"¶")+COUNTIF($E150:T150,"²")+COUNTIF($E150:T150,"µ")+COUNTIF($E150:T150,1)-1,INDEX(Roadmap!$D:$K,MATCH($E150,Roadmap!$D:$D,0)-1+COUNTIF($E150:T150,"u")+COUNTIF($E150:T150,"t")+COUNTIF($E150:T150,"¶")+COUNTIF($E150:T150,"²")+COUNTIF($E150:T150,"µ")+COUNTIF($E150:T150,1),ColDescriptionCourte)),""),
  "")),"")</f>
        <v/>
      </c>
      <c r="V150" s="40" t="str">
        <f ca="1">IFERROR(IF(AND(
  INDEX(Roadmap!$D:$K,MATCH($E150,Roadmap!$D:$D,0)+COUNTIF($E150:U150,"u")+COUNTIF($E150:U150,"t")+COUNTIF($E150:U150,"¶")+COUNTIF($E150:U150,"²")+COUNTIF($E150:U150,"µ")+COUNTIF($E150:U150,1),ColLivraison)=V$6,
  VLOOKUP($E150,INDIRECT("tri!"&amp; CHAR(64+ C0Col) &amp;":"&amp; CHAR(65+C0Col)),2,FALSE)&gt;COUNTIF($E150:U150,"u")+COUNTIF($E150:U150,"t")+COUNTIF($E150:U150,"¶")+COUNTIF($E150:U150,"²")+COUNTIF($E150:U150,"µ")+COUNTIF($E150:U150,1)),
HYPERLINK("#Roadmap!C"&amp; MATCH($E150,Roadmap!$D:$D,0)+COUNTIF($E150:U150,"u")+COUNTIF($E150:U150,"t"),
     INDEX(Roadmap!$D:$K,MATCH($E150,Roadmap!$D:$D,0)+COUNTIF($E150:U150,"u")+COUNTIF($E150:U150,"t")+COUNTIF($E150:U150,"¶")+COUNTIF($E150:U150,"²")+COUNTIF($E150:U150,"µ")+COUNTIF($E150:U150,1),ColTypeEcheance)),
  IF(LEN(U150)=1,
  IF(LEN(INDEX(Roadmap!$D:$K,MATCH($E150,Roadmap!$D:$D,0)-1+COUNTIF($E150:U150,"u")+COUNTIF($E150:U150,"t")+COUNTIF($E150:U150,"¶")+COUNTIF($E150:U150,"²")+COUNTIF($E150:U150,"µ")+COUNTIF($E150:U150,1),ColDescriptionCourte))&gt;1,
HYPERLINK("#Roadmap!C"&amp; MATCH($E150,Roadmap!$D:$D,0)+COUNTIF($E150:U150,"u")+COUNTIF($E150:U150,"t")+COUNTIF($E150:U150,"¶")+COUNTIF($E150:U150,"²")+COUNTIF($E150:U150,"µ")+COUNTIF($E150:U150,1)-1,INDEX(Roadmap!$D:$K,MATCH($E150,Roadmap!$D:$D,0)-1+COUNTIF($E150:U150,"u")+COUNTIF($E150:U150,"t")+COUNTIF($E150:U150,"¶")+COUNTIF($E150:U150,"²")+COUNTIF($E150:U150,"µ")+COUNTIF($E150:U150,1),ColDescriptionCourte)),""),
  "")),"")</f>
        <v/>
      </c>
      <c r="W150" s="40" t="str">
        <f ca="1">IFERROR(IF(AND(
  INDEX(Roadmap!$D:$K,MATCH($E150,Roadmap!$D:$D,0)+COUNTIF($E150:V150,"u")+COUNTIF($E150:V150,"t")+COUNTIF($E150:V150,"¶")+COUNTIF($E150:V150,"²")+COUNTIF($E150:V150,"µ")+COUNTIF($E150:V150,1),ColLivraison)=W$6,
  VLOOKUP($E150,INDIRECT("tri!"&amp; CHAR(64+ C0Col) &amp;":"&amp; CHAR(65+C0Col)),2,FALSE)&gt;COUNTIF($E150:V150,"u")+COUNTIF($E150:V150,"t")+COUNTIF($E150:V150,"¶")+COUNTIF($E150:V150,"²")+COUNTIF($E150:V150,"µ")+COUNTIF($E150:V150,1)),
HYPERLINK("#Roadmap!C"&amp; MATCH($E150,Roadmap!$D:$D,0)+COUNTIF($E150:V150,"u")+COUNTIF($E150:V150,"t"),
     INDEX(Roadmap!$D:$K,MATCH($E150,Roadmap!$D:$D,0)+COUNTIF($E150:V150,"u")+COUNTIF($E150:V150,"t")+COUNTIF($E150:V150,"¶")+COUNTIF($E150:V150,"²")+COUNTIF($E150:V150,"µ")+COUNTIF($E150:V150,1),ColTypeEcheance)),
  IF(LEN(V150)=1,
  IF(LEN(INDEX(Roadmap!$D:$K,MATCH($E150,Roadmap!$D:$D,0)-1+COUNTIF($E150:V150,"u")+COUNTIF($E150:V150,"t")+COUNTIF($E150:V150,"¶")+COUNTIF($E150:V150,"²")+COUNTIF($E150:V150,"µ")+COUNTIF($E150:V150,1),ColDescriptionCourte))&gt;1,
HYPERLINK("#Roadmap!C"&amp; MATCH($E150,Roadmap!$D:$D,0)+COUNTIF($E150:V150,"u")+COUNTIF($E150:V150,"t")+COUNTIF($E150:V150,"¶")+COUNTIF($E150:V150,"²")+COUNTIF($E150:V150,"µ")+COUNTIF($E150:V150,1)-1,INDEX(Roadmap!$D:$K,MATCH($E150,Roadmap!$D:$D,0)-1+COUNTIF($E150:V150,"u")+COUNTIF($E150:V150,"t")+COUNTIF($E150:V150,"¶")+COUNTIF($E150:V150,"²")+COUNTIF($E150:V150,"µ")+COUNTIF($E150:V150,1),ColDescriptionCourte)),""),
  "")),"")</f>
        <v/>
      </c>
      <c r="X150" s="40" t="str">
        <f ca="1">IFERROR(IF(AND(
  INDEX(Roadmap!$D:$K,MATCH($E150,Roadmap!$D:$D,0)+COUNTIF($E150:W150,"u")+COUNTIF($E150:W150,"t")+COUNTIF($E150:W150,"¶")+COUNTIF($E150:W150,"²")+COUNTIF($E150:W150,"µ")+COUNTIF($E150:W150,1),ColLivraison)=X$6,
  VLOOKUP($E150,INDIRECT("tri!"&amp; CHAR(64+ C0Col) &amp;":"&amp; CHAR(65+C0Col)),2,FALSE)&gt;COUNTIF($E150:W150,"u")+COUNTIF($E150:W150,"t")+COUNTIF($E150:W150,"¶")+COUNTIF($E150:W150,"²")+COUNTIF($E150:W150,"µ")+COUNTIF($E150:W150,1)),
HYPERLINK("#Roadmap!C"&amp; MATCH($E150,Roadmap!$D:$D,0)+COUNTIF($E150:W150,"u")+COUNTIF($E150:W150,"t"),
     INDEX(Roadmap!$D:$K,MATCH($E150,Roadmap!$D:$D,0)+COUNTIF($E150:W150,"u")+COUNTIF($E150:W150,"t")+COUNTIF($E150:W150,"¶")+COUNTIF($E150:W150,"²")+COUNTIF($E150:W150,"µ")+COUNTIF($E150:W150,1),ColTypeEcheance)),
  IF(LEN(W150)=1,
  IF(LEN(INDEX(Roadmap!$D:$K,MATCH($E150,Roadmap!$D:$D,0)-1+COUNTIF($E150:W150,"u")+COUNTIF($E150:W150,"t")+COUNTIF($E150:W150,"¶")+COUNTIF($E150:W150,"²")+COUNTIF($E150:W150,"µ")+COUNTIF($E150:W150,1),ColDescriptionCourte))&gt;1,
HYPERLINK("#Roadmap!C"&amp; MATCH($E150,Roadmap!$D:$D,0)+COUNTIF($E150:W150,"u")+COUNTIF($E150:W150,"t")+COUNTIF($E150:W150,"¶")+COUNTIF($E150:W150,"²")+COUNTIF($E150:W150,"µ")+COUNTIF($E150:W150,1)-1,INDEX(Roadmap!$D:$K,MATCH($E150,Roadmap!$D:$D,0)-1+COUNTIF($E150:W150,"u")+COUNTIF($E150:W150,"t")+COUNTIF($E150:W150,"¶")+COUNTIF($E150:W150,"²")+COUNTIF($E150:W150,"µ")+COUNTIF($E150:W150,1),ColDescriptionCourte)),""),
  "")),"")</f>
        <v/>
      </c>
      <c r="Y150" s="40" t="str">
        <f ca="1">IFERROR(IF(AND(
  INDEX(Roadmap!$D:$K,MATCH($E150,Roadmap!$D:$D,0)+COUNTIF($E150:X150,"u")+COUNTIF($E150:X150,"t")+COUNTIF($E150:X150,"¶")+COUNTIF($E150:X150,"²")+COUNTIF($E150:X150,"µ")+COUNTIF($E150:X150,1),ColLivraison)=Y$6,
  VLOOKUP($E150,INDIRECT("tri!"&amp; CHAR(64+ C0Col) &amp;":"&amp; CHAR(65+C0Col)),2,FALSE)&gt;COUNTIF($E150:X150,"u")+COUNTIF($E150:X150,"t")+COUNTIF($E150:X150,"¶")+COUNTIF($E150:X150,"²")+COUNTIF($E150:X150,"µ")+COUNTIF($E150:X150,1)),
HYPERLINK("#Roadmap!C"&amp; MATCH($E150,Roadmap!$D:$D,0)+COUNTIF($E150:X150,"u")+COUNTIF($E150:X150,"t"),
     INDEX(Roadmap!$D:$K,MATCH($E150,Roadmap!$D:$D,0)+COUNTIF($E150:X150,"u")+COUNTIF($E150:X150,"t")+COUNTIF($E150:X150,"¶")+COUNTIF($E150:X150,"²")+COUNTIF($E150:X150,"µ")+COUNTIF($E150:X150,1),ColTypeEcheance)),
  IF(LEN(X150)=1,
  IF(LEN(INDEX(Roadmap!$D:$K,MATCH($E150,Roadmap!$D:$D,0)-1+COUNTIF($E150:X150,"u")+COUNTIF($E150:X150,"t")+COUNTIF($E150:X150,"¶")+COUNTIF($E150:X150,"²")+COUNTIF($E150:X150,"µ")+COUNTIF($E150:X150,1),ColDescriptionCourte))&gt;1,
HYPERLINK("#Roadmap!C"&amp; MATCH($E150,Roadmap!$D:$D,0)+COUNTIF($E150:X150,"u")+COUNTIF($E150:X150,"t")+COUNTIF($E150:X150,"¶")+COUNTIF($E150:X150,"²")+COUNTIF($E150:X150,"µ")+COUNTIF($E150:X150,1)-1,INDEX(Roadmap!$D:$K,MATCH($E150,Roadmap!$D:$D,0)-1+COUNTIF($E150:X150,"u")+COUNTIF($E150:X150,"t")+COUNTIF($E150:X150,"¶")+COUNTIF($E150:X150,"²")+COUNTIF($E150:X150,"µ")+COUNTIF($E150:X150,1),ColDescriptionCourte)),""),
  "")),"")</f>
        <v/>
      </c>
      <c r="Z150" s="40" t="str">
        <f ca="1">IFERROR(IF(AND(
  INDEX(Roadmap!$D:$K,MATCH($E150,Roadmap!$D:$D,0)+COUNTIF($E150:Y150,"u")+COUNTIF($E150:Y150,"t")+COUNTIF($E150:Y150,"¶")+COUNTIF($E150:Y150,"²")+COUNTIF($E150:Y150,"µ")+COUNTIF($E150:Y150,1),ColLivraison)=Z$6,
  VLOOKUP($E150,INDIRECT("tri!"&amp; CHAR(64+ C0Col) &amp;":"&amp; CHAR(65+C0Col)),2,FALSE)&gt;COUNTIF($E150:Y150,"u")+COUNTIF($E150:Y150,"t")+COUNTIF($E150:Y150,"¶")+COUNTIF($E150:Y150,"²")+COUNTIF($E150:Y150,"µ")+COUNTIF($E150:Y150,1)),
HYPERLINK("#Roadmap!C"&amp; MATCH($E150,Roadmap!$D:$D,0)+COUNTIF($E150:Y150,"u")+COUNTIF($E150:Y150,"t"),
     INDEX(Roadmap!$D:$K,MATCH($E150,Roadmap!$D:$D,0)+COUNTIF($E150:Y150,"u")+COUNTIF($E150:Y150,"t")+COUNTIF($E150:Y150,"¶")+COUNTIF($E150:Y150,"²")+COUNTIF($E150:Y150,"µ")+COUNTIF($E150:Y150,1),ColTypeEcheance)),
  IF(LEN(Y150)=1,
  IF(LEN(INDEX(Roadmap!$D:$K,MATCH($E150,Roadmap!$D:$D,0)-1+COUNTIF($E150:Y150,"u")+COUNTIF($E150:Y150,"t")+COUNTIF($E150:Y150,"¶")+COUNTIF($E150:Y150,"²")+COUNTIF($E150:Y150,"µ")+COUNTIF($E150:Y150,1),ColDescriptionCourte))&gt;1,
HYPERLINK("#Roadmap!C"&amp; MATCH($E150,Roadmap!$D:$D,0)+COUNTIF($E150:Y150,"u")+COUNTIF($E150:Y150,"t")+COUNTIF($E150:Y150,"¶")+COUNTIF($E150:Y150,"²")+COUNTIF($E150:Y150,"µ")+COUNTIF($E150:Y150,1)-1,INDEX(Roadmap!$D:$K,MATCH($E150,Roadmap!$D:$D,0)-1+COUNTIF($E150:Y150,"u")+COUNTIF($E150:Y150,"t")+COUNTIF($E150:Y150,"¶")+COUNTIF($E150:Y150,"²")+COUNTIF($E150:Y150,"µ")+COUNTIF($E150:Y150,1),ColDescriptionCourte)),""),
  "")),"")</f>
        <v/>
      </c>
      <c r="AA150" s="40" t="str">
        <f ca="1">IFERROR(IF(AND(
  INDEX(Roadmap!$D:$K,MATCH($E150,Roadmap!$D:$D,0)+COUNTIF($E150:Z150,"u")+COUNTIF($E150:Z150,"t")+COUNTIF($E150:Z150,"¶")+COUNTIF($E150:Z150,"²")+COUNTIF($E150:Z150,"µ")+COUNTIF($E150:Z150,1),ColLivraison)=AA$6,
  VLOOKUP($E150,INDIRECT("tri!"&amp; CHAR(64+ C0Col) &amp;":"&amp; CHAR(65+C0Col)),2,FALSE)&gt;COUNTIF($E150:Z150,"u")+COUNTIF($E150:Z150,"t")+COUNTIF($E150:Z150,"¶")+COUNTIF($E150:Z150,"²")+COUNTIF($E150:Z150,"µ")+COUNTIF($E150:Z150,1)),
HYPERLINK("#Roadmap!C"&amp; MATCH($E150,Roadmap!$D:$D,0)+COUNTIF($E150:Z150,"u")+COUNTIF($E150:Z150,"t"),
     INDEX(Roadmap!$D:$K,MATCH($E150,Roadmap!$D:$D,0)+COUNTIF($E150:Z150,"u")+COUNTIF($E150:Z150,"t")+COUNTIF($E150:Z150,"¶")+COUNTIF($E150:Z150,"²")+COUNTIF($E150:Z150,"µ")+COUNTIF($E150:Z150,1),ColTypeEcheance)),
  IF(LEN(Z150)=1,
  IF(LEN(INDEX(Roadmap!$D:$K,MATCH($E150,Roadmap!$D:$D,0)-1+COUNTIF($E150:Z150,"u")+COUNTIF($E150:Z150,"t")+COUNTIF($E150:Z150,"¶")+COUNTIF($E150:Z150,"²")+COUNTIF($E150:Z150,"µ")+COUNTIF($E150:Z150,1),ColDescriptionCourte))&gt;1,
HYPERLINK("#Roadmap!C"&amp; MATCH($E150,Roadmap!$D:$D,0)+COUNTIF($E150:Z150,"u")+COUNTIF($E150:Z150,"t")+COUNTIF($E150:Z150,"¶")+COUNTIF($E150:Z150,"²")+COUNTIF($E150:Z150,"µ")+COUNTIF($E150:Z150,1)-1,INDEX(Roadmap!$D:$K,MATCH($E150,Roadmap!$D:$D,0)-1+COUNTIF($E150:Z150,"u")+COUNTIF($E150:Z150,"t")+COUNTIF($E150:Z150,"¶")+COUNTIF($E150:Z150,"²")+COUNTIF($E150:Z150,"µ")+COUNTIF($E150:Z150,1),ColDescriptionCourte)),""),
  "")),"")</f>
        <v/>
      </c>
      <c r="AB150" s="40" t="str">
        <f ca="1">IFERROR(IF(AND(
  INDEX(Roadmap!$D:$K,MATCH($E150,Roadmap!$D:$D,0)+COUNTIF($E150:AA150,"u")+COUNTIF($E150:AA150,"t")+COUNTIF($E150:AA150,"¶")+COUNTIF($E150:AA150,"²")+COUNTIF($E150:AA150,"µ")+COUNTIF($E150:AA150,1),ColLivraison)=AB$6,
  VLOOKUP($E150,INDIRECT("tri!"&amp; CHAR(64+ C0Col) &amp;":"&amp; CHAR(65+C0Col)),2,FALSE)&gt;COUNTIF($E150:AA150,"u")+COUNTIF($E150:AA150,"t")+COUNTIF($E150:AA150,"¶")+COUNTIF($E150:AA150,"²")+COUNTIF($E150:AA150,"µ")+COUNTIF($E150:AA150,1)),
HYPERLINK("#Roadmap!C"&amp; MATCH($E150,Roadmap!$D:$D,0)+COUNTIF($E150:AA150,"u")+COUNTIF($E150:AA150,"t"),
     INDEX(Roadmap!$D:$K,MATCH($E150,Roadmap!$D:$D,0)+COUNTIF($E150:AA150,"u")+COUNTIF($E150:AA150,"t")+COUNTIF($E150:AA150,"¶")+COUNTIF($E150:AA150,"²")+COUNTIF($E150:AA150,"µ")+COUNTIF($E150:AA150,1),ColTypeEcheance)),
  IF(LEN(AA150)=1,
  IF(LEN(INDEX(Roadmap!$D:$K,MATCH($E150,Roadmap!$D:$D,0)-1+COUNTIF($E150:AA150,"u")+COUNTIF($E150:AA150,"t")+COUNTIF($E150:AA150,"¶")+COUNTIF($E150:AA150,"²")+COUNTIF($E150:AA150,"µ")+COUNTIF($E150:AA150,1),ColDescriptionCourte))&gt;1,
HYPERLINK("#Roadmap!C"&amp; MATCH($E150,Roadmap!$D:$D,0)+COUNTIF($E150:AA150,"u")+COUNTIF($E150:AA150,"t")+COUNTIF($E150:AA150,"¶")+COUNTIF($E150:AA150,"²")+COUNTIF($E150:AA150,"µ")+COUNTIF($E150:AA150,1)-1,INDEX(Roadmap!$D:$K,MATCH($E150,Roadmap!$D:$D,0)-1+COUNTIF($E150:AA150,"u")+COUNTIF($E150:AA150,"t")+COUNTIF($E150:AA150,"¶")+COUNTIF($E150:AA150,"²")+COUNTIF($E150:AA150,"µ")+COUNTIF($E150:AA150,1),ColDescriptionCourte)),""),
  "")),"")</f>
        <v/>
      </c>
      <c r="AC150" s="40" t="str">
        <f ca="1">IFERROR(IF(AND(
  INDEX(Roadmap!$D:$K,MATCH($E150,Roadmap!$D:$D,0)+COUNTIF($E150:AB150,"u")+COUNTIF($E150:AB150,"t")+COUNTIF($E150:AB150,"¶")+COUNTIF($E150:AB150,"²")+COUNTIF($E150:AB150,"µ")+COUNTIF($E150:AB150,1),ColLivraison)=AC$6,
  VLOOKUP($E150,INDIRECT("tri!"&amp; CHAR(64+ C0Col) &amp;":"&amp; CHAR(65+C0Col)),2,FALSE)&gt;COUNTIF($E150:AB150,"u")+COUNTIF($E150:AB150,"t")+COUNTIF($E150:AB150,"¶")+COUNTIF($E150:AB150,"²")+COUNTIF($E150:AB150,"µ")+COUNTIF($E150:AB150,1)),
HYPERLINK("#Roadmap!C"&amp; MATCH($E150,Roadmap!$D:$D,0)+COUNTIF($E150:AB150,"u")+COUNTIF($E150:AB150,"t"),
     INDEX(Roadmap!$D:$K,MATCH($E150,Roadmap!$D:$D,0)+COUNTIF($E150:AB150,"u")+COUNTIF($E150:AB150,"t")+COUNTIF($E150:AB150,"¶")+COUNTIF($E150:AB150,"²")+COUNTIF($E150:AB150,"µ")+COUNTIF($E150:AB150,1),ColTypeEcheance)),
  IF(LEN(AB150)=1,
  IF(LEN(INDEX(Roadmap!$D:$K,MATCH($E150,Roadmap!$D:$D,0)-1+COUNTIF($E150:AB150,"u")+COUNTIF($E150:AB150,"t")+COUNTIF($E150:AB150,"¶")+COUNTIF($E150:AB150,"²")+COUNTIF($E150:AB150,"µ")+COUNTIF($E150:AB150,1),ColDescriptionCourte))&gt;1,
HYPERLINK("#Roadmap!C"&amp; MATCH($E150,Roadmap!$D:$D,0)+COUNTIF($E150:AB150,"u")+COUNTIF($E150:AB150,"t")+COUNTIF($E150:AB150,"¶")+COUNTIF($E150:AB150,"²")+COUNTIF($E150:AB150,"µ")+COUNTIF($E150:AB150,1)-1,INDEX(Roadmap!$D:$K,MATCH($E150,Roadmap!$D:$D,0)-1+COUNTIF($E150:AB150,"u")+COUNTIF($E150:AB150,"t")+COUNTIF($E150:AB150,"¶")+COUNTIF($E150:AB150,"²")+COUNTIF($E150:AB150,"µ")+COUNTIF($E150:AB150,1),ColDescriptionCourte)),""),
  "")),"")</f>
        <v/>
      </c>
      <c r="AD150" s="40" t="str">
        <f ca="1">IFERROR(IF(AND(
  INDEX(Roadmap!$D:$K,MATCH($E150,Roadmap!$D:$D,0)+COUNTIF($E150:AC150,"u")+COUNTIF($E150:AC150,"t")+COUNTIF($E150:AC150,"¶")+COUNTIF($E150:AC150,"²")+COUNTIF($E150:AC150,"µ")+COUNTIF($E150:AC150,1),ColLivraison)=AD$6,
  VLOOKUP($E150,INDIRECT("tri!"&amp; CHAR(64+ C0Col) &amp;":"&amp; CHAR(65+C0Col)),2,FALSE)&gt;COUNTIF($E150:AC150,"u")+COUNTIF($E150:AC150,"t")+COUNTIF($E150:AC150,"¶")+COUNTIF($E150:AC150,"²")+COUNTIF($E150:AC150,"µ")+COUNTIF($E150:AC150,1)),
HYPERLINK("#Roadmap!C"&amp; MATCH($E150,Roadmap!$D:$D,0)+COUNTIF($E150:AC150,"u")+COUNTIF($E150:AC150,"t"),
     INDEX(Roadmap!$D:$K,MATCH($E150,Roadmap!$D:$D,0)+COUNTIF($E150:AC150,"u")+COUNTIF($E150:AC150,"t")+COUNTIF($E150:AC150,"¶")+COUNTIF($E150:AC150,"²")+COUNTIF($E150:AC150,"µ")+COUNTIF($E150:AC150,1),ColTypeEcheance)),
  IF(LEN(AC150)=1,
  IF(LEN(INDEX(Roadmap!$D:$K,MATCH($E150,Roadmap!$D:$D,0)-1+COUNTIF($E150:AC150,"u")+COUNTIF($E150:AC150,"t")+COUNTIF($E150:AC150,"¶")+COUNTIF($E150:AC150,"²")+COUNTIF($E150:AC150,"µ")+COUNTIF($E150:AC150,1),ColDescriptionCourte))&gt;1,
HYPERLINK("#Roadmap!C"&amp; MATCH($E150,Roadmap!$D:$D,0)+COUNTIF($E150:AC150,"u")+COUNTIF($E150:AC150,"t")+COUNTIF($E150:AC150,"¶")+COUNTIF($E150:AC150,"²")+COUNTIF($E150:AC150,"µ")+COUNTIF($E150:AC150,1)-1,INDEX(Roadmap!$D:$K,MATCH($E150,Roadmap!$D:$D,0)-1+COUNTIF($E150:AC150,"u")+COUNTIF($E150:AC150,"t")+COUNTIF($E150:AC150,"¶")+COUNTIF($E150:AC150,"²")+COUNTIF($E150:AC150,"µ")+COUNTIF($E150:AC150,1),ColDescriptionCourte)),""),
  "")),"")</f>
        <v/>
      </c>
      <c r="AE150" s="40" t="str">
        <f ca="1">IFERROR(IF(AND(
  INDEX(Roadmap!$D:$K,MATCH($E150,Roadmap!$D:$D,0)+COUNTIF($E150:AD150,"u")+COUNTIF($E150:AD150,"t")+COUNTIF($E150:AD150,"¶")+COUNTIF($E150:AD150,"²")+COUNTIF($E150:AD150,"µ")+COUNTIF($E150:AD150,1),ColLivraison)=AE$6,
  VLOOKUP($E150,INDIRECT("tri!"&amp; CHAR(64+ C0Col) &amp;":"&amp; CHAR(65+C0Col)),2,FALSE)&gt;COUNTIF($E150:AD150,"u")+COUNTIF($E150:AD150,"t")+COUNTIF($E150:AD150,"¶")+COUNTIF($E150:AD150,"²")+COUNTIF($E150:AD150,"µ")+COUNTIF($E150:AD150,1)),
HYPERLINK("#Roadmap!C"&amp; MATCH($E150,Roadmap!$D:$D,0)+COUNTIF($E150:AD150,"u")+COUNTIF($E150:AD150,"t"),
     INDEX(Roadmap!$D:$K,MATCH($E150,Roadmap!$D:$D,0)+COUNTIF($E150:AD150,"u")+COUNTIF($E150:AD150,"t")+COUNTIF($E150:AD150,"¶")+COUNTIF($E150:AD150,"²")+COUNTIF($E150:AD150,"µ")+COUNTIF($E150:AD150,1),ColTypeEcheance)),
  IF(LEN(AD150)=1,
  IF(LEN(INDEX(Roadmap!$D:$K,MATCH($E150,Roadmap!$D:$D,0)-1+COUNTIF($E150:AD150,"u")+COUNTIF($E150:AD150,"t")+COUNTIF($E150:AD150,"¶")+COUNTIF($E150:AD150,"²")+COUNTIF($E150:AD150,"µ")+COUNTIF($E150:AD150,1),ColDescriptionCourte))&gt;1,
HYPERLINK("#Roadmap!C"&amp; MATCH($E150,Roadmap!$D:$D,0)+COUNTIF($E150:AD150,"u")+COUNTIF($E150:AD150,"t")+COUNTIF($E150:AD150,"¶")+COUNTIF($E150:AD150,"²")+COUNTIF($E150:AD150,"µ")+COUNTIF($E150:AD150,1)-1,INDEX(Roadmap!$D:$K,MATCH($E150,Roadmap!$D:$D,0)-1+COUNTIF($E150:AD150,"u")+COUNTIF($E150:AD150,"t")+COUNTIF($E150:AD150,"¶")+COUNTIF($E150:AD150,"²")+COUNTIF($E150:AD150,"µ")+COUNTIF($E150:AD150,1),ColDescriptionCourte)),""),
  "")),"")</f>
        <v/>
      </c>
      <c r="AF150" s="40" t="str">
        <f ca="1">IFERROR(IF(AND(
  INDEX(Roadmap!$D:$K,MATCH($E150,Roadmap!$D:$D,0)+COUNTIF($E150:AE150,"u")+COUNTIF($E150:AE150,"t")+COUNTIF($E150:AE150,"¶")+COUNTIF($E150:AE150,"²")+COUNTIF($E150:AE150,"µ")+COUNTIF($E150:AE150,1),ColLivraison)=AF$6,
  VLOOKUP($E150,INDIRECT("tri!"&amp; CHAR(64+ C0Col) &amp;":"&amp; CHAR(65+C0Col)),2,FALSE)&gt;COUNTIF($E150:AE150,"u")+COUNTIF($E150:AE150,"t")+COUNTIF($E150:AE150,"¶")+COUNTIF($E150:AE150,"²")+COUNTIF($E150:AE150,"µ")+COUNTIF($E150:AE150,1)),
HYPERLINK("#Roadmap!C"&amp; MATCH($E150,Roadmap!$D:$D,0)+COUNTIF($E150:AE150,"u")+COUNTIF($E150:AE150,"t"),
     INDEX(Roadmap!$D:$K,MATCH($E150,Roadmap!$D:$D,0)+COUNTIF($E150:AE150,"u")+COUNTIF($E150:AE150,"t")+COUNTIF($E150:AE150,"¶")+COUNTIF($E150:AE150,"²")+COUNTIF($E150:AE150,"µ")+COUNTIF($E150:AE150,1),ColTypeEcheance)),
  IF(LEN(AE150)=1,
  IF(LEN(INDEX(Roadmap!$D:$K,MATCH($E150,Roadmap!$D:$D,0)-1+COUNTIF($E150:AE150,"u")+COUNTIF($E150:AE150,"t")+COUNTIF($E150:AE150,"¶")+COUNTIF($E150:AE150,"²")+COUNTIF($E150:AE150,"µ")+COUNTIF($E150:AE150,1),ColDescriptionCourte))&gt;1,
HYPERLINK("#Roadmap!C"&amp; MATCH($E150,Roadmap!$D:$D,0)+COUNTIF($E150:AE150,"u")+COUNTIF($E150:AE150,"t")+COUNTIF($E150:AE150,"¶")+COUNTIF($E150:AE150,"²")+COUNTIF($E150:AE150,"µ")+COUNTIF($E150:AE150,1)-1,INDEX(Roadmap!$D:$K,MATCH($E150,Roadmap!$D:$D,0)-1+COUNTIF($E150:AE150,"u")+COUNTIF($E150:AE150,"t")+COUNTIF($E150:AE150,"¶")+COUNTIF($E150:AE150,"²")+COUNTIF($E150:AE150,"µ")+COUNTIF($E150:AE150,1),ColDescriptionCourte)),""),
  "")),"")</f>
        <v/>
      </c>
      <c r="AG150" s="40" t="str">
        <f ca="1">IFERROR(IF(AND(
  INDEX(Roadmap!$D:$K,MATCH($E150,Roadmap!$D:$D,0)+COUNTIF($E150:AF150,"u")+COUNTIF($E150:AF150,"t")+COUNTIF($E150:AF150,"¶")+COUNTIF($E150:AF150,"²")+COUNTIF($E150:AF150,"µ")+COUNTIF($E150:AF150,1),ColLivraison)=AG$6,
  VLOOKUP($E150,INDIRECT("tri!"&amp; CHAR(64+ C0Col) &amp;":"&amp; CHAR(65+C0Col)),2,FALSE)&gt;COUNTIF($E150:AF150,"u")+COUNTIF($E150:AF150,"t")+COUNTIF($E150:AF150,"¶")+COUNTIF($E150:AF150,"²")+COUNTIF($E150:AF150,"µ")+COUNTIF($E150:AF150,1)),
HYPERLINK("#Roadmap!C"&amp; MATCH($E150,Roadmap!$D:$D,0)+COUNTIF($E150:AF150,"u")+COUNTIF($E150:AF150,"t"),
     INDEX(Roadmap!$D:$K,MATCH($E150,Roadmap!$D:$D,0)+COUNTIF($E150:AF150,"u")+COUNTIF($E150:AF150,"t")+COUNTIF($E150:AF150,"¶")+COUNTIF($E150:AF150,"²")+COUNTIF($E150:AF150,"µ")+COUNTIF($E150:AF150,1),ColTypeEcheance)),
  IF(LEN(AF150)=1,
  IF(LEN(INDEX(Roadmap!$D:$K,MATCH($E150,Roadmap!$D:$D,0)-1+COUNTIF($E150:AF150,"u")+COUNTIF($E150:AF150,"t")+COUNTIF($E150:AF150,"¶")+COUNTIF($E150:AF150,"²")+COUNTIF($E150:AF150,"µ")+COUNTIF($E150:AF150,1),ColDescriptionCourte))&gt;1,
HYPERLINK("#Roadmap!C"&amp; MATCH($E150,Roadmap!$D:$D,0)+COUNTIF($E150:AF150,"u")+COUNTIF($E150:AF150,"t")+COUNTIF($E150:AF150,"¶")+COUNTIF($E150:AF150,"²")+COUNTIF($E150:AF150,"µ")+COUNTIF($E150:AF150,1)-1,INDEX(Roadmap!$D:$K,MATCH($E150,Roadmap!$D:$D,0)-1+COUNTIF($E150:AF150,"u")+COUNTIF($E150:AF150,"t")+COUNTIF($E150:AF150,"¶")+COUNTIF($E150:AF150,"²")+COUNTIF($E150:AF150,"µ")+COUNTIF($E150:AF150,1),ColDescriptionCourte)),""),
  "")),"")</f>
        <v/>
      </c>
    </row>
    <row r="151" spans="3:33" ht="14.25" customHeight="1">
      <c r="C151" s="1" t="str">
        <f t="shared" ca="1" si="52"/>
        <v/>
      </c>
      <c r="D151" s="1" t="str">
        <f t="shared" ca="1" si="53"/>
        <v/>
      </c>
      <c r="E151" s="35" t="str">
        <f t="shared" ca="1" si="51"/>
        <v/>
      </c>
      <c r="F151" s="39" t="str">
        <f ca="1">IFERROR(IF(AND(
  INDEX(Roadmap!$D:$K,MATCH($E151,Roadmap!$D:$D,0)+COUNTIF($E151:E151,"u")+COUNTIF($E151:E151,"t")+COUNTIF($E151:E151,"¶")+COUNTIF($E151:E151,"²")+COUNTIF($E151:E151,"µ")+COUNTIF($E151:E151,1),ColLivraison)=F$6,
  VLOOKUP($E151,INDIRECT("tri!"&amp; CHAR(64+ C0Col) &amp;":"&amp; CHAR(65+C0Col)),2,FALSE)&gt;COUNTIF($E151:E151,"u")+COUNTIF($E151:E151,"t")+COUNTIF($E151:E151,"¶")+COUNTIF($E151:E151,"²")+COUNTIF($E151:E151,"µ")+COUNTIF($E151:E151,1)),
HYPERLINK("#Roadmap!C"&amp; MATCH($E151,Roadmap!$D:$D,0)+COUNTIF($E151:E151,"u")+COUNTIF($E151:E151,"t"),
     INDEX(Roadmap!$D:$K,MATCH($E151,Roadmap!$D:$D,0)+COUNTIF($E151:E151,"u")+COUNTIF($E151:E151,"t")+COUNTIF($E151:E151,"¶")+COUNTIF($E151:E151,"²")+COUNTIF($E151:E151,"µ")+COUNTIF($E151:E151,1),ColTypeEcheance)),
  IF(LEN(E151)=1,
  IF(LEN(INDEX(Roadmap!$D:$K,MATCH($E151,Roadmap!$D:$D,0)-1+COUNTIF($E151:E151,"u")+COUNTIF($E151:E151,"t")+COUNTIF($E151:E151,"¶")+COUNTIF($E151:E151,"²")+COUNTIF($E151:E151,"µ")+COUNTIF($E151:E151,1),ColDescriptionCourte))&gt;1,
HYPERLINK("#Roadmap!C"&amp; MATCH($E151,Roadmap!$D:$D,0)+COUNTIF($E151:E151,"u")+COUNTIF($E151:E151,"t")+COUNTIF($E151:E151,"¶")+COUNTIF($E151:E151,"²")+COUNTIF($E151:E151,"µ")+COUNTIF($E151:E151,1)-1,INDEX(Roadmap!$D:$K,MATCH($E151,Roadmap!$D:$D,0)-1+COUNTIF($E151:E151,"u")+COUNTIF($E151:E151,"t")+COUNTIF($E151:E151,"¶")+COUNTIF($E151:E151,"²")+COUNTIF($E151:E151,"µ")+COUNTIF($E151:E151,1),ColDescriptionCourte)),""),
  "")),"")</f>
        <v/>
      </c>
      <c r="G151" s="40" t="str">
        <f ca="1">IFERROR(IF(AND(
  INDEX(Roadmap!$D:$K,MATCH($E151,Roadmap!$D:$D,0)+COUNTIF($E151:F151,"u")+COUNTIF($E151:F151,"t")+COUNTIF($E151:F151,"¶")+COUNTIF($E151:F151,"²")+COUNTIF($E151:F151,"µ")+COUNTIF($E151:F151,1),ColLivraison)=G$6,
  VLOOKUP($E151,INDIRECT("tri!"&amp; CHAR(64+ C0Col) &amp;":"&amp; CHAR(65+C0Col)),2,FALSE)&gt;COUNTIF($E151:F151,"u")+COUNTIF($E151:F151,"t")+COUNTIF($E151:F151,"¶")+COUNTIF($E151:F151,"²")+COUNTIF($E151:F151,"µ")+COUNTIF($E151:F151,1)),
HYPERLINK("#Roadmap!C"&amp; MATCH($E151,Roadmap!$D:$D,0)+COUNTIF($E151:F151,"u")+COUNTIF($E151:F151,"t"),
     INDEX(Roadmap!$D:$K,MATCH($E151,Roadmap!$D:$D,0)+COUNTIF($E151:F151,"u")+COUNTIF($E151:F151,"t")+COUNTIF($E151:F151,"¶")+COUNTIF($E151:F151,"²")+COUNTIF($E151:F151,"µ")+COUNTIF($E151:F151,1),ColTypeEcheance)),
  IF(LEN(F151)=1,
  IF(LEN(INDEX(Roadmap!$D:$K,MATCH($E151,Roadmap!$D:$D,0)-1+COUNTIF($E151:F151,"u")+COUNTIF($E151:F151,"t")+COUNTIF($E151:F151,"¶")+COUNTIF($E151:F151,"²")+COUNTIF($E151:F151,"µ")+COUNTIF($E151:F151,1),ColDescriptionCourte))&gt;1,
HYPERLINK("#Roadmap!C"&amp; MATCH($E151,Roadmap!$D:$D,0)+COUNTIF($E151:F151,"u")+COUNTIF($E151:F151,"t")+COUNTIF($E151:F151,"¶")+COUNTIF($E151:F151,"²")+COUNTIF($E151:F151,"µ")+COUNTIF($E151:F151,1)-1,INDEX(Roadmap!$D:$K,MATCH($E151,Roadmap!$D:$D,0)-1+COUNTIF($E151:F151,"u")+COUNTIF($E151:F151,"t")+COUNTIF($E151:F151,"¶")+COUNTIF($E151:F151,"²")+COUNTIF($E151:F151,"µ")+COUNTIF($E151:F151,1),ColDescriptionCourte)),""),
  "")),"")</f>
        <v/>
      </c>
      <c r="H151" s="40" t="str">
        <f ca="1">IFERROR(IF(AND(
  INDEX(Roadmap!$D:$K,MATCH($E151,Roadmap!$D:$D,0)+COUNTIF($E151:G151,"u")+COUNTIF($E151:G151,"t")+COUNTIF($E151:G151,"¶")+COUNTIF($E151:G151,"²")+COUNTIF($E151:G151,"µ")+COUNTIF($E151:G151,1),ColLivraison)=H$6,
  VLOOKUP($E151,INDIRECT("tri!"&amp; CHAR(64+ C0Col) &amp;":"&amp; CHAR(65+C0Col)),2,FALSE)&gt;COUNTIF($E151:G151,"u")+COUNTIF($E151:G151,"t")+COUNTIF($E151:G151,"¶")+COUNTIF($E151:G151,"²")+COUNTIF($E151:G151,"µ")+COUNTIF($E151:G151,1)),
HYPERLINK("#Roadmap!C"&amp; MATCH($E151,Roadmap!$D:$D,0)+COUNTIF($E151:G151,"u")+COUNTIF($E151:G151,"t"),
     INDEX(Roadmap!$D:$K,MATCH($E151,Roadmap!$D:$D,0)+COUNTIF($E151:G151,"u")+COUNTIF($E151:G151,"t")+COUNTIF($E151:G151,"¶")+COUNTIF($E151:G151,"²")+COUNTIF($E151:G151,"µ")+COUNTIF($E151:G151,1),ColTypeEcheance)),
  IF(LEN(G151)=1,
  IF(LEN(INDEX(Roadmap!$D:$K,MATCH($E151,Roadmap!$D:$D,0)-1+COUNTIF($E151:G151,"u")+COUNTIF($E151:G151,"t")+COUNTIF($E151:G151,"¶")+COUNTIF($E151:G151,"²")+COUNTIF($E151:G151,"µ")+COUNTIF($E151:G151,1),ColDescriptionCourte))&gt;1,
HYPERLINK("#Roadmap!C"&amp; MATCH($E151,Roadmap!$D:$D,0)+COUNTIF($E151:G151,"u")+COUNTIF($E151:G151,"t")+COUNTIF($E151:G151,"¶")+COUNTIF($E151:G151,"²")+COUNTIF($E151:G151,"µ")+COUNTIF($E151:G151,1)-1,INDEX(Roadmap!$D:$K,MATCH($E151,Roadmap!$D:$D,0)-1+COUNTIF($E151:G151,"u")+COUNTIF($E151:G151,"t")+COUNTIF($E151:G151,"¶")+COUNTIF($E151:G151,"²")+COUNTIF($E151:G151,"µ")+COUNTIF($E151:G151,1),ColDescriptionCourte)),""),
  "")),"")</f>
        <v/>
      </c>
      <c r="I151" s="40" t="str">
        <f ca="1">IFERROR(IF(AND(
  INDEX(Roadmap!$D:$K,MATCH($E151,Roadmap!$D:$D,0)+COUNTIF($E151:H151,"u")+COUNTIF($E151:H151,"t")+COUNTIF($E151:H151,"¶")+COUNTIF($E151:H151,"²")+COUNTIF($E151:H151,"µ")+COUNTIF($E151:H151,1),ColLivraison)=I$6,
  VLOOKUP($E151,INDIRECT("tri!"&amp; CHAR(64+ C0Col) &amp;":"&amp; CHAR(65+C0Col)),2,FALSE)&gt;COUNTIF($E151:H151,"u")+COUNTIF($E151:H151,"t")+COUNTIF($E151:H151,"¶")+COUNTIF($E151:H151,"²")+COUNTIF($E151:H151,"µ")+COUNTIF($E151:H151,1)),
HYPERLINK("#Roadmap!C"&amp; MATCH($E151,Roadmap!$D:$D,0)+COUNTIF($E151:H151,"u")+COUNTIF($E151:H151,"t"),
     INDEX(Roadmap!$D:$K,MATCH($E151,Roadmap!$D:$D,0)+COUNTIF($E151:H151,"u")+COUNTIF($E151:H151,"t")+COUNTIF($E151:H151,"¶")+COUNTIF($E151:H151,"²")+COUNTIF($E151:H151,"µ")+COUNTIF($E151:H151,1),ColTypeEcheance)),
  IF(LEN(H151)=1,
  IF(LEN(INDEX(Roadmap!$D:$K,MATCH($E151,Roadmap!$D:$D,0)-1+COUNTIF($E151:H151,"u")+COUNTIF($E151:H151,"t")+COUNTIF($E151:H151,"¶")+COUNTIF($E151:H151,"²")+COUNTIF($E151:H151,"µ")+COUNTIF($E151:H151,1),ColDescriptionCourte))&gt;1,
HYPERLINK("#Roadmap!C"&amp; MATCH($E151,Roadmap!$D:$D,0)+COUNTIF($E151:H151,"u")+COUNTIF($E151:H151,"t")+COUNTIF($E151:H151,"¶")+COUNTIF($E151:H151,"²")+COUNTIF($E151:H151,"µ")+COUNTIF($E151:H151,1)-1,INDEX(Roadmap!$D:$K,MATCH($E151,Roadmap!$D:$D,0)-1+COUNTIF($E151:H151,"u")+COUNTIF($E151:H151,"t")+COUNTIF($E151:H151,"¶")+COUNTIF($E151:H151,"²")+COUNTIF($E151:H151,"µ")+COUNTIF($E151:H151,1),ColDescriptionCourte)),""),
  "")),"")</f>
        <v/>
      </c>
      <c r="J151" s="40" t="str">
        <f ca="1">IFERROR(IF(AND(
  INDEX(Roadmap!$D:$K,MATCH($E151,Roadmap!$D:$D,0)+COUNTIF($E151:I151,"u")+COUNTIF($E151:I151,"t")+COUNTIF($E151:I151,"¶")+COUNTIF($E151:I151,"²")+COUNTIF($E151:I151,"µ")+COUNTIF($E151:I151,1),ColLivraison)=J$6,
  VLOOKUP($E151,INDIRECT("tri!"&amp; CHAR(64+ C0Col) &amp;":"&amp; CHAR(65+C0Col)),2,FALSE)&gt;COUNTIF($E151:I151,"u")+COUNTIF($E151:I151,"t")+COUNTIF($E151:I151,"¶")+COUNTIF($E151:I151,"²")+COUNTIF($E151:I151,"µ")+COUNTIF($E151:I151,1)),
HYPERLINK("#Roadmap!C"&amp; MATCH($E151,Roadmap!$D:$D,0)+COUNTIF($E151:I151,"u")+COUNTIF($E151:I151,"t"),
     INDEX(Roadmap!$D:$K,MATCH($E151,Roadmap!$D:$D,0)+COUNTIF($E151:I151,"u")+COUNTIF($E151:I151,"t")+COUNTIF($E151:I151,"¶")+COUNTIF($E151:I151,"²")+COUNTIF($E151:I151,"µ")+COUNTIF($E151:I151,1),ColTypeEcheance)),
  IF(LEN(I151)=1,
  IF(LEN(INDEX(Roadmap!$D:$K,MATCH($E151,Roadmap!$D:$D,0)-1+COUNTIF($E151:I151,"u")+COUNTIF($E151:I151,"t")+COUNTIF($E151:I151,"¶")+COUNTIF($E151:I151,"²")+COUNTIF($E151:I151,"µ")+COUNTIF($E151:I151,1),ColDescriptionCourte))&gt;1,
HYPERLINK("#Roadmap!C"&amp; MATCH($E151,Roadmap!$D:$D,0)+COUNTIF($E151:I151,"u")+COUNTIF($E151:I151,"t")+COUNTIF($E151:I151,"¶")+COUNTIF($E151:I151,"²")+COUNTIF($E151:I151,"µ")+COUNTIF($E151:I151,1)-1,INDEX(Roadmap!$D:$K,MATCH($E151,Roadmap!$D:$D,0)-1+COUNTIF($E151:I151,"u")+COUNTIF($E151:I151,"t")+COUNTIF($E151:I151,"¶")+COUNTIF($E151:I151,"²")+COUNTIF($E151:I151,"µ")+COUNTIF($E151:I151,1),ColDescriptionCourte)),""),
  "")),"")</f>
        <v/>
      </c>
      <c r="K151" s="40" t="str">
        <f ca="1">IFERROR(IF(AND(
  INDEX(Roadmap!$D:$K,MATCH($E151,Roadmap!$D:$D,0)+COUNTIF($E151:J151,"u")+COUNTIF($E151:J151,"t")+COUNTIF($E151:J151,"¶")+COUNTIF($E151:J151,"²")+COUNTIF($E151:J151,"µ")+COUNTIF($E151:J151,1),ColLivraison)=K$6,
  VLOOKUP($E151,INDIRECT("tri!"&amp; CHAR(64+ C0Col) &amp;":"&amp; CHAR(65+C0Col)),2,FALSE)&gt;COUNTIF($E151:J151,"u")+COUNTIF($E151:J151,"t")+COUNTIF($E151:J151,"¶")+COUNTIF($E151:J151,"²")+COUNTIF($E151:J151,"µ")+COUNTIF($E151:J151,1)),
HYPERLINK("#Roadmap!C"&amp; MATCH($E151,Roadmap!$D:$D,0)+COUNTIF($E151:J151,"u")+COUNTIF($E151:J151,"t"),
     INDEX(Roadmap!$D:$K,MATCH($E151,Roadmap!$D:$D,0)+COUNTIF($E151:J151,"u")+COUNTIF($E151:J151,"t")+COUNTIF($E151:J151,"¶")+COUNTIF($E151:J151,"²")+COUNTIF($E151:J151,"µ")+COUNTIF($E151:J151,1),ColTypeEcheance)),
  IF(LEN(J151)=1,
  IF(LEN(INDEX(Roadmap!$D:$K,MATCH($E151,Roadmap!$D:$D,0)-1+COUNTIF($E151:J151,"u")+COUNTIF($E151:J151,"t")+COUNTIF($E151:J151,"¶")+COUNTIF($E151:J151,"²")+COUNTIF($E151:J151,"µ")+COUNTIF($E151:J151,1),ColDescriptionCourte))&gt;1,
HYPERLINK("#Roadmap!C"&amp; MATCH($E151,Roadmap!$D:$D,0)+COUNTIF($E151:J151,"u")+COUNTIF($E151:J151,"t")+COUNTIF($E151:J151,"¶")+COUNTIF($E151:J151,"²")+COUNTIF($E151:J151,"µ")+COUNTIF($E151:J151,1)-1,INDEX(Roadmap!$D:$K,MATCH($E151,Roadmap!$D:$D,0)-1+COUNTIF($E151:J151,"u")+COUNTIF($E151:J151,"t")+COUNTIF($E151:J151,"¶")+COUNTIF($E151:J151,"²")+COUNTIF($E151:J151,"µ")+COUNTIF($E151:J151,1),ColDescriptionCourte)),""),
  "")),"")</f>
        <v/>
      </c>
      <c r="L151" s="39" t="str">
        <f ca="1">IFERROR(IF(AND(
  INDEX(Roadmap!$D:$K,MATCH($E151,Roadmap!$D:$D,0)+COUNTIF($E151:K151,"u")+COUNTIF($E151:K151,"t")+COUNTIF($E151:K151,"¶")+COUNTIF($E151:K151,"²")+COUNTIF($E151:K151,"µ")+COUNTIF($E151:K151,1),ColLivraison)=L$6,
  VLOOKUP($E151,INDIRECT("tri!"&amp; CHAR(64+ C0Col) &amp;":"&amp; CHAR(65+C0Col)),2,FALSE)&gt;COUNTIF($E151:K151,"u")+COUNTIF($E151:K151,"t")+COUNTIF($E151:K151,"¶")+COUNTIF($E151:K151,"²")+COUNTIF($E151:K151,"µ")+COUNTIF($E151:K151,1)),
HYPERLINK("#Roadmap!C"&amp; MATCH($E151,Roadmap!$D:$D,0)+COUNTIF($E151:K151,"u")+COUNTIF($E151:K151,"t"),
     INDEX(Roadmap!$D:$K,MATCH($E151,Roadmap!$D:$D,0)+COUNTIF($E151:K151,"u")+COUNTIF($E151:K151,"t")+COUNTIF($E151:K151,"¶")+COUNTIF($E151:K151,"²")+COUNTIF($E151:K151,"µ")+COUNTIF($E151:K151,1),ColTypeEcheance)),
  IF(LEN(K151)=1,
  IF(LEN(INDEX(Roadmap!$D:$K,MATCH($E151,Roadmap!$D:$D,0)-1+COUNTIF($E151:K151,"u")+COUNTIF($E151:K151,"t")+COUNTIF($E151:K151,"¶")+COUNTIF($E151:K151,"²")+COUNTIF($E151:K151,"µ")+COUNTIF($E151:K151,1),ColDescriptionCourte))&gt;1,
HYPERLINK("#Roadmap!C"&amp; MATCH($E151,Roadmap!$D:$D,0)+COUNTIF($E151:K151,"u")+COUNTIF($E151:K151,"t")+COUNTIF($E151:K151,"¶")+COUNTIF($E151:K151,"²")+COUNTIF($E151:K151,"µ")+COUNTIF($E151:K151,1)-1,INDEX(Roadmap!$D:$K,MATCH($E151,Roadmap!$D:$D,0)-1+COUNTIF($E151:K151,"u")+COUNTIF($E151:K151,"t")+COUNTIF($E151:K151,"¶")+COUNTIF($E151:K151,"²")+COUNTIF($E151:K151,"µ")+COUNTIF($E151:K151,1),ColDescriptionCourte)),""),
  "")),"")</f>
        <v/>
      </c>
      <c r="M151" s="40" t="str">
        <f ca="1">IFERROR(IF(AND(
  INDEX(Roadmap!$D:$K,MATCH($E151,Roadmap!$D:$D,0)+COUNTIF($E151:L151,"u")+COUNTIF($E151:L151,"t")+COUNTIF($E151:L151,"¶")+COUNTIF($E151:L151,"²")+COUNTIF($E151:L151,"µ")+COUNTIF($E151:L151,1),ColLivraison)=M$6,
  VLOOKUP($E151,INDIRECT("tri!"&amp; CHAR(64+ C0Col) &amp;":"&amp; CHAR(65+C0Col)),2,FALSE)&gt;COUNTIF($E151:L151,"u")+COUNTIF($E151:L151,"t")+COUNTIF($E151:L151,"¶")+COUNTIF($E151:L151,"²")+COUNTIF($E151:L151,"µ")+COUNTIF($E151:L151,1)),
HYPERLINK("#Roadmap!C"&amp; MATCH($E151,Roadmap!$D:$D,0)+COUNTIF($E151:L151,"u")+COUNTIF($E151:L151,"t"),
     INDEX(Roadmap!$D:$K,MATCH($E151,Roadmap!$D:$D,0)+COUNTIF($E151:L151,"u")+COUNTIF($E151:L151,"t")+COUNTIF($E151:L151,"¶")+COUNTIF($E151:L151,"²")+COUNTIF($E151:L151,"µ")+COUNTIF($E151:L151,1),ColTypeEcheance)),
  IF(LEN(L151)=1,
  IF(LEN(INDEX(Roadmap!$D:$K,MATCH($E151,Roadmap!$D:$D,0)-1+COUNTIF($E151:L151,"u")+COUNTIF($E151:L151,"t")+COUNTIF($E151:L151,"¶")+COUNTIF($E151:L151,"²")+COUNTIF($E151:L151,"µ")+COUNTIF($E151:L151,1),ColDescriptionCourte))&gt;1,
HYPERLINK("#Roadmap!C"&amp; MATCH($E151,Roadmap!$D:$D,0)+COUNTIF($E151:L151,"u")+COUNTIF($E151:L151,"t")+COUNTIF($E151:L151,"¶")+COUNTIF($E151:L151,"²")+COUNTIF($E151:L151,"µ")+COUNTIF($E151:L151,1)-1,INDEX(Roadmap!$D:$K,MATCH($E151,Roadmap!$D:$D,0)-1+COUNTIF($E151:L151,"u")+COUNTIF($E151:L151,"t")+COUNTIF($E151:L151,"¶")+COUNTIF($E151:L151,"²")+COUNTIF($E151:L151,"µ")+COUNTIF($E151:L151,1),ColDescriptionCourte)),""),
  "")),"")</f>
        <v/>
      </c>
      <c r="N151" s="40" t="str">
        <f ca="1">IFERROR(IF(AND(
  INDEX(Roadmap!$D:$K,MATCH($E151,Roadmap!$D:$D,0)+COUNTIF($E151:M151,"u")+COUNTIF($E151:M151,"t")+COUNTIF($E151:M151,"¶")+COUNTIF($E151:M151,"²")+COUNTIF($E151:M151,"µ")+COUNTIF($E151:M151,1),ColLivraison)=N$6,
  VLOOKUP($E151,INDIRECT("tri!"&amp; CHAR(64+ C0Col) &amp;":"&amp; CHAR(65+C0Col)),2,FALSE)&gt;COUNTIF($E151:M151,"u")+COUNTIF($E151:M151,"t")+COUNTIF($E151:M151,"¶")+COUNTIF($E151:M151,"²")+COUNTIF($E151:M151,"µ")+COUNTIF($E151:M151,1)),
HYPERLINK("#Roadmap!C"&amp; MATCH($E151,Roadmap!$D:$D,0)+COUNTIF($E151:M151,"u")+COUNTIF($E151:M151,"t"),
     INDEX(Roadmap!$D:$K,MATCH($E151,Roadmap!$D:$D,0)+COUNTIF($E151:M151,"u")+COUNTIF($E151:M151,"t")+COUNTIF($E151:M151,"¶")+COUNTIF($E151:M151,"²")+COUNTIF($E151:M151,"µ")+COUNTIF($E151:M151,1),ColTypeEcheance)),
  IF(LEN(M151)=1,
  IF(LEN(INDEX(Roadmap!$D:$K,MATCH($E151,Roadmap!$D:$D,0)-1+COUNTIF($E151:M151,"u")+COUNTIF($E151:M151,"t")+COUNTIF($E151:M151,"¶")+COUNTIF($E151:M151,"²")+COUNTIF($E151:M151,"µ")+COUNTIF($E151:M151,1),ColDescriptionCourte))&gt;1,
HYPERLINK("#Roadmap!C"&amp; MATCH($E151,Roadmap!$D:$D,0)+COUNTIF($E151:M151,"u")+COUNTIF($E151:M151,"t")+COUNTIF($E151:M151,"¶")+COUNTIF($E151:M151,"²")+COUNTIF($E151:M151,"µ")+COUNTIF($E151:M151,1)-1,INDEX(Roadmap!$D:$K,MATCH($E151,Roadmap!$D:$D,0)-1+COUNTIF($E151:M151,"u")+COUNTIF($E151:M151,"t")+COUNTIF($E151:M151,"¶")+COUNTIF($E151:M151,"²")+COUNTIF($E151:M151,"µ")+COUNTIF($E151:M151,1),ColDescriptionCourte)),""),
  "")),"")</f>
        <v/>
      </c>
      <c r="O151" s="40" t="str">
        <f ca="1">IFERROR(IF(AND(
  INDEX(Roadmap!$D:$K,MATCH($E151,Roadmap!$D:$D,0)+COUNTIF($E151:N151,"u")+COUNTIF($E151:N151,"t")+COUNTIF($E151:N151,"¶")+COUNTIF($E151:N151,"²")+COUNTIF($E151:N151,"µ")+COUNTIF($E151:N151,1),ColLivraison)=O$6,
  VLOOKUP($E151,INDIRECT("tri!"&amp; CHAR(64+ C0Col) &amp;":"&amp; CHAR(65+C0Col)),2,FALSE)&gt;COUNTIF($E151:N151,"u")+COUNTIF($E151:N151,"t")+COUNTIF($E151:N151,"¶")+COUNTIF($E151:N151,"²")+COUNTIF($E151:N151,"µ")+COUNTIF($E151:N151,1)),
HYPERLINK("#Roadmap!C"&amp; MATCH($E151,Roadmap!$D:$D,0)+COUNTIF($E151:N151,"u")+COUNTIF($E151:N151,"t"),
     INDEX(Roadmap!$D:$K,MATCH($E151,Roadmap!$D:$D,0)+COUNTIF($E151:N151,"u")+COUNTIF($E151:N151,"t")+COUNTIF($E151:N151,"¶")+COUNTIF($E151:N151,"²")+COUNTIF($E151:N151,"µ")+COUNTIF($E151:N151,1),ColTypeEcheance)),
  IF(LEN(N151)=1,
  IF(LEN(INDEX(Roadmap!$D:$K,MATCH($E151,Roadmap!$D:$D,0)-1+COUNTIF($E151:N151,"u")+COUNTIF($E151:N151,"t")+COUNTIF($E151:N151,"¶")+COUNTIF($E151:N151,"²")+COUNTIF($E151:N151,"µ")+COUNTIF($E151:N151,1),ColDescriptionCourte))&gt;1,
HYPERLINK("#Roadmap!C"&amp; MATCH($E151,Roadmap!$D:$D,0)+COUNTIF($E151:N151,"u")+COUNTIF($E151:N151,"t")+COUNTIF($E151:N151,"¶")+COUNTIF($E151:N151,"²")+COUNTIF($E151:N151,"µ")+COUNTIF($E151:N151,1)-1,INDEX(Roadmap!$D:$K,MATCH($E151,Roadmap!$D:$D,0)-1+COUNTIF($E151:N151,"u")+COUNTIF($E151:N151,"t")+COUNTIF($E151:N151,"¶")+COUNTIF($E151:N151,"²")+COUNTIF($E151:N151,"µ")+COUNTIF($E151:N151,1),ColDescriptionCourte)),""),
  "")),"")</f>
        <v/>
      </c>
      <c r="P151" s="40" t="str">
        <f ca="1">IFERROR(IF(AND(
  INDEX(Roadmap!$D:$K,MATCH($E151,Roadmap!$D:$D,0)+COUNTIF($E151:O151,"u")+COUNTIF($E151:O151,"t")+COUNTIF($E151:O151,"¶")+COUNTIF($E151:O151,"²")+COUNTIF($E151:O151,"µ")+COUNTIF($E151:O151,1),ColLivraison)=P$6,
  VLOOKUP($E151,INDIRECT("tri!"&amp; CHAR(64+ C0Col) &amp;":"&amp; CHAR(65+C0Col)),2,FALSE)&gt;COUNTIF($E151:O151,"u")+COUNTIF($E151:O151,"t")+COUNTIF($E151:O151,"¶")+COUNTIF($E151:O151,"²")+COUNTIF($E151:O151,"µ")+COUNTIF($E151:O151,1)),
HYPERLINK("#Roadmap!C"&amp; MATCH($E151,Roadmap!$D:$D,0)+COUNTIF($E151:O151,"u")+COUNTIF($E151:O151,"t"),
     INDEX(Roadmap!$D:$K,MATCH($E151,Roadmap!$D:$D,0)+COUNTIF($E151:O151,"u")+COUNTIF($E151:O151,"t")+COUNTIF($E151:O151,"¶")+COUNTIF($E151:O151,"²")+COUNTIF($E151:O151,"µ")+COUNTIF($E151:O151,1),ColTypeEcheance)),
  IF(LEN(O151)=1,
  IF(LEN(INDEX(Roadmap!$D:$K,MATCH($E151,Roadmap!$D:$D,0)-1+COUNTIF($E151:O151,"u")+COUNTIF($E151:O151,"t")+COUNTIF($E151:O151,"¶")+COUNTIF($E151:O151,"²")+COUNTIF($E151:O151,"µ")+COUNTIF($E151:O151,1),ColDescriptionCourte))&gt;1,
HYPERLINK("#Roadmap!C"&amp; MATCH($E151,Roadmap!$D:$D,0)+COUNTIF($E151:O151,"u")+COUNTIF($E151:O151,"t")+COUNTIF($E151:O151,"¶")+COUNTIF($E151:O151,"²")+COUNTIF($E151:O151,"µ")+COUNTIF($E151:O151,1)-1,INDEX(Roadmap!$D:$K,MATCH($E151,Roadmap!$D:$D,0)-1+COUNTIF($E151:O151,"u")+COUNTIF($E151:O151,"t")+COUNTIF($E151:O151,"¶")+COUNTIF($E151:O151,"²")+COUNTIF($E151:O151,"µ")+COUNTIF($E151:O151,1),ColDescriptionCourte)),""),
  "")),"")</f>
        <v/>
      </c>
      <c r="Q151" s="40" t="str">
        <f ca="1">IFERROR(IF(AND(
  INDEX(Roadmap!$D:$K,MATCH($E151,Roadmap!$D:$D,0)+COUNTIF($E151:P151,"u")+COUNTIF($E151:P151,"t")+COUNTIF($E151:P151,"¶")+COUNTIF($E151:P151,"²")+COUNTIF($E151:P151,"µ")+COUNTIF($E151:P151,1),ColLivraison)=Q$6,
  VLOOKUP($E151,INDIRECT("tri!"&amp; CHAR(64+ C0Col) &amp;":"&amp; CHAR(65+C0Col)),2,FALSE)&gt;COUNTIF($E151:P151,"u")+COUNTIF($E151:P151,"t")+COUNTIF($E151:P151,"¶")+COUNTIF($E151:P151,"²")+COUNTIF($E151:P151,"µ")+COUNTIF($E151:P151,1)),
HYPERLINK("#Roadmap!C"&amp; MATCH($E151,Roadmap!$D:$D,0)+COUNTIF($E151:P151,"u")+COUNTIF($E151:P151,"t"),
     INDEX(Roadmap!$D:$K,MATCH($E151,Roadmap!$D:$D,0)+COUNTIF($E151:P151,"u")+COUNTIF($E151:P151,"t")+COUNTIF($E151:P151,"¶")+COUNTIF($E151:P151,"²")+COUNTIF($E151:P151,"µ")+COUNTIF($E151:P151,1),ColTypeEcheance)),
  IF(LEN(P151)=1,
  IF(LEN(INDEX(Roadmap!$D:$K,MATCH($E151,Roadmap!$D:$D,0)-1+COUNTIF($E151:P151,"u")+COUNTIF($E151:P151,"t")+COUNTIF($E151:P151,"¶")+COUNTIF($E151:P151,"²")+COUNTIF($E151:P151,"µ")+COUNTIF($E151:P151,1),ColDescriptionCourte))&gt;1,
HYPERLINK("#Roadmap!C"&amp; MATCH($E151,Roadmap!$D:$D,0)+COUNTIF($E151:P151,"u")+COUNTIF($E151:P151,"t")+COUNTIF($E151:P151,"¶")+COUNTIF($E151:P151,"²")+COUNTIF($E151:P151,"µ")+COUNTIF($E151:P151,1)-1,INDEX(Roadmap!$D:$K,MATCH($E151,Roadmap!$D:$D,0)-1+COUNTIF($E151:P151,"u")+COUNTIF($E151:P151,"t")+COUNTIF($E151:P151,"¶")+COUNTIF($E151:P151,"²")+COUNTIF($E151:P151,"µ")+COUNTIF($E151:P151,1),ColDescriptionCourte)),""),
  "")),"")</f>
        <v/>
      </c>
      <c r="R151" s="40" t="str">
        <f ca="1">IFERROR(IF(AND(
  INDEX(Roadmap!$D:$K,MATCH($E151,Roadmap!$D:$D,0)+COUNTIF($E151:Q151,"u")+COUNTIF($E151:Q151,"t")+COUNTIF($E151:Q151,"¶")+COUNTIF($E151:Q151,"²")+COUNTIF($E151:Q151,"µ")+COUNTIF($E151:Q151,1),ColLivraison)=R$6,
  VLOOKUP($E151,INDIRECT("tri!"&amp; CHAR(64+ C0Col) &amp;":"&amp; CHAR(65+C0Col)),2,FALSE)&gt;COUNTIF($E151:Q151,"u")+COUNTIF($E151:Q151,"t")+COUNTIF($E151:Q151,"¶")+COUNTIF($E151:Q151,"²")+COUNTIF($E151:Q151,"µ")+COUNTIF($E151:Q151,1)),
HYPERLINK("#Roadmap!C"&amp; MATCH($E151,Roadmap!$D:$D,0)+COUNTIF($E151:Q151,"u")+COUNTIF($E151:Q151,"t"),
     INDEX(Roadmap!$D:$K,MATCH($E151,Roadmap!$D:$D,0)+COUNTIF($E151:Q151,"u")+COUNTIF($E151:Q151,"t")+COUNTIF($E151:Q151,"¶")+COUNTIF($E151:Q151,"²")+COUNTIF($E151:Q151,"µ")+COUNTIF($E151:Q151,1),ColTypeEcheance)),
  IF(LEN(Q151)=1,
  IF(LEN(INDEX(Roadmap!$D:$K,MATCH($E151,Roadmap!$D:$D,0)-1+COUNTIF($E151:Q151,"u")+COUNTIF($E151:Q151,"t")+COUNTIF($E151:Q151,"¶")+COUNTIF($E151:Q151,"²")+COUNTIF($E151:Q151,"µ")+COUNTIF($E151:Q151,1),ColDescriptionCourte))&gt;1,
HYPERLINK("#Roadmap!C"&amp; MATCH($E151,Roadmap!$D:$D,0)+COUNTIF($E151:Q151,"u")+COUNTIF($E151:Q151,"t")+COUNTIF($E151:Q151,"¶")+COUNTIF($E151:Q151,"²")+COUNTIF($E151:Q151,"µ")+COUNTIF($E151:Q151,1)-1,INDEX(Roadmap!$D:$K,MATCH($E151,Roadmap!$D:$D,0)-1+COUNTIF($E151:Q151,"u")+COUNTIF($E151:Q151,"t")+COUNTIF($E151:Q151,"¶")+COUNTIF($E151:Q151,"²")+COUNTIF($E151:Q151,"µ")+COUNTIF($E151:Q151,1),ColDescriptionCourte)),""),
  "")),"")</f>
        <v/>
      </c>
      <c r="S151" s="40" t="str">
        <f ca="1">IFERROR(IF(AND(
  INDEX(Roadmap!$D:$K,MATCH($E151,Roadmap!$D:$D,0)+COUNTIF($E151:R151,"u")+COUNTIF($E151:R151,"t")+COUNTIF($E151:R151,"¶")+COUNTIF($E151:R151,"²")+COUNTIF($E151:R151,"µ")+COUNTIF($E151:R151,1),ColLivraison)=S$6,
  VLOOKUP($E151,INDIRECT("tri!"&amp; CHAR(64+ C0Col) &amp;":"&amp; CHAR(65+C0Col)),2,FALSE)&gt;COUNTIF($E151:R151,"u")+COUNTIF($E151:R151,"t")+COUNTIF($E151:R151,"¶")+COUNTIF($E151:R151,"²")+COUNTIF($E151:R151,"µ")+COUNTIF($E151:R151,1)),
HYPERLINK("#Roadmap!C"&amp; MATCH($E151,Roadmap!$D:$D,0)+COUNTIF($E151:R151,"u")+COUNTIF($E151:R151,"t"),
     INDEX(Roadmap!$D:$K,MATCH($E151,Roadmap!$D:$D,0)+COUNTIF($E151:R151,"u")+COUNTIF($E151:R151,"t")+COUNTIF($E151:R151,"¶")+COUNTIF($E151:R151,"²")+COUNTIF($E151:R151,"µ")+COUNTIF($E151:R151,1),ColTypeEcheance)),
  IF(LEN(R151)=1,
  IF(LEN(INDEX(Roadmap!$D:$K,MATCH($E151,Roadmap!$D:$D,0)-1+COUNTIF($E151:R151,"u")+COUNTIF($E151:R151,"t")+COUNTIF($E151:R151,"¶")+COUNTIF($E151:R151,"²")+COUNTIF($E151:R151,"µ")+COUNTIF($E151:R151,1),ColDescriptionCourte))&gt;1,
HYPERLINK("#Roadmap!C"&amp; MATCH($E151,Roadmap!$D:$D,0)+COUNTIF($E151:R151,"u")+COUNTIF($E151:R151,"t")+COUNTIF($E151:R151,"¶")+COUNTIF($E151:R151,"²")+COUNTIF($E151:R151,"µ")+COUNTIF($E151:R151,1)-1,INDEX(Roadmap!$D:$K,MATCH($E151,Roadmap!$D:$D,0)-1+COUNTIF($E151:R151,"u")+COUNTIF($E151:R151,"t")+COUNTIF($E151:R151,"¶")+COUNTIF($E151:R151,"²")+COUNTIF($E151:R151,"µ")+COUNTIF($E151:R151,1),ColDescriptionCourte)),""),
  "")),"")</f>
        <v/>
      </c>
      <c r="T151" s="40" t="str">
        <f ca="1">IFERROR(IF(AND(
  INDEX(Roadmap!$D:$K,MATCH($E151,Roadmap!$D:$D,0)+COUNTIF($E151:S151,"u")+COUNTIF($E151:S151,"t")+COUNTIF($E151:S151,"¶")+COUNTIF($E151:S151,"²")+COUNTIF($E151:S151,"µ")+COUNTIF($E151:S151,1),ColLivraison)=T$6,
  VLOOKUP($E151,INDIRECT("tri!"&amp; CHAR(64+ C0Col) &amp;":"&amp; CHAR(65+C0Col)),2,FALSE)&gt;COUNTIF($E151:S151,"u")+COUNTIF($E151:S151,"t")+COUNTIF($E151:S151,"¶")+COUNTIF($E151:S151,"²")+COUNTIF($E151:S151,"µ")+COUNTIF($E151:S151,1)),
HYPERLINK("#Roadmap!C"&amp; MATCH($E151,Roadmap!$D:$D,0)+COUNTIF($E151:S151,"u")+COUNTIF($E151:S151,"t"),
     INDEX(Roadmap!$D:$K,MATCH($E151,Roadmap!$D:$D,0)+COUNTIF($E151:S151,"u")+COUNTIF($E151:S151,"t")+COUNTIF($E151:S151,"¶")+COUNTIF($E151:S151,"²")+COUNTIF($E151:S151,"µ")+COUNTIF($E151:S151,1),ColTypeEcheance)),
  IF(LEN(S151)=1,
  IF(LEN(INDEX(Roadmap!$D:$K,MATCH($E151,Roadmap!$D:$D,0)-1+COUNTIF($E151:S151,"u")+COUNTIF($E151:S151,"t")+COUNTIF($E151:S151,"¶")+COUNTIF($E151:S151,"²")+COUNTIF($E151:S151,"µ")+COUNTIF($E151:S151,1),ColDescriptionCourte))&gt;1,
HYPERLINK("#Roadmap!C"&amp; MATCH($E151,Roadmap!$D:$D,0)+COUNTIF($E151:S151,"u")+COUNTIF($E151:S151,"t")+COUNTIF($E151:S151,"¶")+COUNTIF($E151:S151,"²")+COUNTIF($E151:S151,"µ")+COUNTIF($E151:S151,1)-1,INDEX(Roadmap!$D:$K,MATCH($E151,Roadmap!$D:$D,0)-1+COUNTIF($E151:S151,"u")+COUNTIF($E151:S151,"t")+COUNTIF($E151:S151,"¶")+COUNTIF($E151:S151,"²")+COUNTIF($E151:S151,"µ")+COUNTIF($E151:S151,1),ColDescriptionCourte)),""),
  "")),"")</f>
        <v/>
      </c>
      <c r="U151" s="40" t="str">
        <f ca="1">IFERROR(IF(AND(
  INDEX(Roadmap!$D:$K,MATCH($E151,Roadmap!$D:$D,0)+COUNTIF($E151:T151,"u")+COUNTIF($E151:T151,"t")+COUNTIF($E151:T151,"¶")+COUNTIF($E151:T151,"²")+COUNTIF($E151:T151,"µ")+COUNTIF($E151:T151,1),ColLivraison)=U$6,
  VLOOKUP($E151,INDIRECT("tri!"&amp; CHAR(64+ C0Col) &amp;":"&amp; CHAR(65+C0Col)),2,FALSE)&gt;COUNTIF($E151:T151,"u")+COUNTIF($E151:T151,"t")+COUNTIF($E151:T151,"¶")+COUNTIF($E151:T151,"²")+COUNTIF($E151:T151,"µ")+COUNTIF($E151:T151,1)),
HYPERLINK("#Roadmap!C"&amp; MATCH($E151,Roadmap!$D:$D,0)+COUNTIF($E151:T151,"u")+COUNTIF($E151:T151,"t"),
     INDEX(Roadmap!$D:$K,MATCH($E151,Roadmap!$D:$D,0)+COUNTIF($E151:T151,"u")+COUNTIF($E151:T151,"t")+COUNTIF($E151:T151,"¶")+COUNTIF($E151:T151,"²")+COUNTIF($E151:T151,"µ")+COUNTIF($E151:T151,1),ColTypeEcheance)),
  IF(LEN(T151)=1,
  IF(LEN(INDEX(Roadmap!$D:$K,MATCH($E151,Roadmap!$D:$D,0)-1+COUNTIF($E151:T151,"u")+COUNTIF($E151:T151,"t")+COUNTIF($E151:T151,"¶")+COUNTIF($E151:T151,"²")+COUNTIF($E151:T151,"µ")+COUNTIF($E151:T151,1),ColDescriptionCourte))&gt;1,
HYPERLINK("#Roadmap!C"&amp; MATCH($E151,Roadmap!$D:$D,0)+COUNTIF($E151:T151,"u")+COUNTIF($E151:T151,"t")+COUNTIF($E151:T151,"¶")+COUNTIF($E151:T151,"²")+COUNTIF($E151:T151,"µ")+COUNTIF($E151:T151,1)-1,INDEX(Roadmap!$D:$K,MATCH($E151,Roadmap!$D:$D,0)-1+COUNTIF($E151:T151,"u")+COUNTIF($E151:T151,"t")+COUNTIF($E151:T151,"¶")+COUNTIF($E151:T151,"²")+COUNTIF($E151:T151,"µ")+COUNTIF($E151:T151,1),ColDescriptionCourte)),""),
  "")),"")</f>
        <v/>
      </c>
      <c r="V151" s="40" t="str">
        <f ca="1">IFERROR(IF(AND(
  INDEX(Roadmap!$D:$K,MATCH($E151,Roadmap!$D:$D,0)+COUNTIF($E151:U151,"u")+COUNTIF($E151:U151,"t")+COUNTIF($E151:U151,"¶")+COUNTIF($E151:U151,"²")+COUNTIF($E151:U151,"µ")+COUNTIF($E151:U151,1),ColLivraison)=V$6,
  VLOOKUP($E151,INDIRECT("tri!"&amp; CHAR(64+ C0Col) &amp;":"&amp; CHAR(65+C0Col)),2,FALSE)&gt;COUNTIF($E151:U151,"u")+COUNTIF($E151:U151,"t")+COUNTIF($E151:U151,"¶")+COUNTIF($E151:U151,"²")+COUNTIF($E151:U151,"µ")+COUNTIF($E151:U151,1)),
HYPERLINK("#Roadmap!C"&amp; MATCH($E151,Roadmap!$D:$D,0)+COUNTIF($E151:U151,"u")+COUNTIF($E151:U151,"t"),
     INDEX(Roadmap!$D:$K,MATCH($E151,Roadmap!$D:$D,0)+COUNTIF($E151:U151,"u")+COUNTIF($E151:U151,"t")+COUNTIF($E151:U151,"¶")+COUNTIF($E151:U151,"²")+COUNTIF($E151:U151,"µ")+COUNTIF($E151:U151,1),ColTypeEcheance)),
  IF(LEN(U151)=1,
  IF(LEN(INDEX(Roadmap!$D:$K,MATCH($E151,Roadmap!$D:$D,0)-1+COUNTIF($E151:U151,"u")+COUNTIF($E151:U151,"t")+COUNTIF($E151:U151,"¶")+COUNTIF($E151:U151,"²")+COUNTIF($E151:U151,"µ")+COUNTIF($E151:U151,1),ColDescriptionCourte))&gt;1,
HYPERLINK("#Roadmap!C"&amp; MATCH($E151,Roadmap!$D:$D,0)+COUNTIF($E151:U151,"u")+COUNTIF($E151:U151,"t")+COUNTIF($E151:U151,"¶")+COUNTIF($E151:U151,"²")+COUNTIF($E151:U151,"µ")+COUNTIF($E151:U151,1)-1,INDEX(Roadmap!$D:$K,MATCH($E151,Roadmap!$D:$D,0)-1+COUNTIF($E151:U151,"u")+COUNTIF($E151:U151,"t")+COUNTIF($E151:U151,"¶")+COUNTIF($E151:U151,"²")+COUNTIF($E151:U151,"µ")+COUNTIF($E151:U151,1),ColDescriptionCourte)),""),
  "")),"")</f>
        <v/>
      </c>
      <c r="W151" s="40" t="str">
        <f ca="1">IFERROR(IF(AND(
  INDEX(Roadmap!$D:$K,MATCH($E151,Roadmap!$D:$D,0)+COUNTIF($E151:V151,"u")+COUNTIF($E151:V151,"t")+COUNTIF($E151:V151,"¶")+COUNTIF($E151:V151,"²")+COUNTIF($E151:V151,"µ")+COUNTIF($E151:V151,1),ColLivraison)=W$6,
  VLOOKUP($E151,INDIRECT("tri!"&amp; CHAR(64+ C0Col) &amp;":"&amp; CHAR(65+C0Col)),2,FALSE)&gt;COUNTIF($E151:V151,"u")+COUNTIF($E151:V151,"t")+COUNTIF($E151:V151,"¶")+COUNTIF($E151:V151,"²")+COUNTIF($E151:V151,"µ")+COUNTIF($E151:V151,1)),
HYPERLINK("#Roadmap!C"&amp; MATCH($E151,Roadmap!$D:$D,0)+COUNTIF($E151:V151,"u")+COUNTIF($E151:V151,"t"),
     INDEX(Roadmap!$D:$K,MATCH($E151,Roadmap!$D:$D,0)+COUNTIF($E151:V151,"u")+COUNTIF($E151:V151,"t")+COUNTIF($E151:V151,"¶")+COUNTIF($E151:V151,"²")+COUNTIF($E151:V151,"µ")+COUNTIF($E151:V151,1),ColTypeEcheance)),
  IF(LEN(V151)=1,
  IF(LEN(INDEX(Roadmap!$D:$K,MATCH($E151,Roadmap!$D:$D,0)-1+COUNTIF($E151:V151,"u")+COUNTIF($E151:V151,"t")+COUNTIF($E151:V151,"¶")+COUNTIF($E151:V151,"²")+COUNTIF($E151:V151,"µ")+COUNTIF($E151:V151,1),ColDescriptionCourte))&gt;1,
HYPERLINK("#Roadmap!C"&amp; MATCH($E151,Roadmap!$D:$D,0)+COUNTIF($E151:V151,"u")+COUNTIF($E151:V151,"t")+COUNTIF($E151:V151,"¶")+COUNTIF($E151:V151,"²")+COUNTIF($E151:V151,"µ")+COUNTIF($E151:V151,1)-1,INDEX(Roadmap!$D:$K,MATCH($E151,Roadmap!$D:$D,0)-1+COUNTIF($E151:V151,"u")+COUNTIF($E151:V151,"t")+COUNTIF($E151:V151,"¶")+COUNTIF($E151:V151,"²")+COUNTIF($E151:V151,"µ")+COUNTIF($E151:V151,1),ColDescriptionCourte)),""),
  "")),"")</f>
        <v/>
      </c>
      <c r="X151" s="40" t="str">
        <f ca="1">IFERROR(IF(AND(
  INDEX(Roadmap!$D:$K,MATCH($E151,Roadmap!$D:$D,0)+COUNTIF($E151:W151,"u")+COUNTIF($E151:W151,"t")+COUNTIF($E151:W151,"¶")+COUNTIF($E151:W151,"²")+COUNTIF($E151:W151,"µ")+COUNTIF($E151:W151,1),ColLivraison)=X$6,
  VLOOKUP($E151,INDIRECT("tri!"&amp; CHAR(64+ C0Col) &amp;":"&amp; CHAR(65+C0Col)),2,FALSE)&gt;COUNTIF($E151:W151,"u")+COUNTIF($E151:W151,"t")+COUNTIF($E151:W151,"¶")+COUNTIF($E151:W151,"²")+COUNTIF($E151:W151,"µ")+COUNTIF($E151:W151,1)),
HYPERLINK("#Roadmap!C"&amp; MATCH($E151,Roadmap!$D:$D,0)+COUNTIF($E151:W151,"u")+COUNTIF($E151:W151,"t"),
     INDEX(Roadmap!$D:$K,MATCH($E151,Roadmap!$D:$D,0)+COUNTIF($E151:W151,"u")+COUNTIF($E151:W151,"t")+COUNTIF($E151:W151,"¶")+COUNTIF($E151:W151,"²")+COUNTIF($E151:W151,"µ")+COUNTIF($E151:W151,1),ColTypeEcheance)),
  IF(LEN(W151)=1,
  IF(LEN(INDEX(Roadmap!$D:$K,MATCH($E151,Roadmap!$D:$D,0)-1+COUNTIF($E151:W151,"u")+COUNTIF($E151:W151,"t")+COUNTIF($E151:W151,"¶")+COUNTIF($E151:W151,"²")+COUNTIF($E151:W151,"µ")+COUNTIF($E151:W151,1),ColDescriptionCourte))&gt;1,
HYPERLINK("#Roadmap!C"&amp; MATCH($E151,Roadmap!$D:$D,0)+COUNTIF($E151:W151,"u")+COUNTIF($E151:W151,"t")+COUNTIF($E151:W151,"¶")+COUNTIF($E151:W151,"²")+COUNTIF($E151:W151,"µ")+COUNTIF($E151:W151,1)-1,INDEX(Roadmap!$D:$K,MATCH($E151,Roadmap!$D:$D,0)-1+COUNTIF($E151:W151,"u")+COUNTIF($E151:W151,"t")+COUNTIF($E151:W151,"¶")+COUNTIF($E151:W151,"²")+COUNTIF($E151:W151,"µ")+COUNTIF($E151:W151,1),ColDescriptionCourte)),""),
  "")),"")</f>
        <v/>
      </c>
      <c r="Y151" s="40" t="str">
        <f ca="1">IFERROR(IF(AND(
  INDEX(Roadmap!$D:$K,MATCH($E151,Roadmap!$D:$D,0)+COUNTIF($E151:X151,"u")+COUNTIF($E151:X151,"t")+COUNTIF($E151:X151,"¶")+COUNTIF($E151:X151,"²")+COUNTIF($E151:X151,"µ")+COUNTIF($E151:X151,1),ColLivraison)=Y$6,
  VLOOKUP($E151,INDIRECT("tri!"&amp; CHAR(64+ C0Col) &amp;":"&amp; CHAR(65+C0Col)),2,FALSE)&gt;COUNTIF($E151:X151,"u")+COUNTIF($E151:X151,"t")+COUNTIF($E151:X151,"¶")+COUNTIF($E151:X151,"²")+COUNTIF($E151:X151,"µ")+COUNTIF($E151:X151,1)),
HYPERLINK("#Roadmap!C"&amp; MATCH($E151,Roadmap!$D:$D,0)+COUNTIF($E151:X151,"u")+COUNTIF($E151:X151,"t"),
     INDEX(Roadmap!$D:$K,MATCH($E151,Roadmap!$D:$D,0)+COUNTIF($E151:X151,"u")+COUNTIF($E151:X151,"t")+COUNTIF($E151:X151,"¶")+COUNTIF($E151:X151,"²")+COUNTIF($E151:X151,"µ")+COUNTIF($E151:X151,1),ColTypeEcheance)),
  IF(LEN(X151)=1,
  IF(LEN(INDEX(Roadmap!$D:$K,MATCH($E151,Roadmap!$D:$D,0)-1+COUNTIF($E151:X151,"u")+COUNTIF($E151:X151,"t")+COUNTIF($E151:X151,"¶")+COUNTIF($E151:X151,"²")+COUNTIF($E151:X151,"µ")+COUNTIF($E151:X151,1),ColDescriptionCourte))&gt;1,
HYPERLINK("#Roadmap!C"&amp; MATCH($E151,Roadmap!$D:$D,0)+COUNTIF($E151:X151,"u")+COUNTIF($E151:X151,"t")+COUNTIF($E151:X151,"¶")+COUNTIF($E151:X151,"²")+COUNTIF($E151:X151,"µ")+COUNTIF($E151:X151,1)-1,INDEX(Roadmap!$D:$K,MATCH($E151,Roadmap!$D:$D,0)-1+COUNTIF($E151:X151,"u")+COUNTIF($E151:X151,"t")+COUNTIF($E151:X151,"¶")+COUNTIF($E151:X151,"²")+COUNTIF($E151:X151,"µ")+COUNTIF($E151:X151,1),ColDescriptionCourte)),""),
  "")),"")</f>
        <v/>
      </c>
      <c r="Z151" s="40" t="str">
        <f ca="1">IFERROR(IF(AND(
  INDEX(Roadmap!$D:$K,MATCH($E151,Roadmap!$D:$D,0)+COUNTIF($E151:Y151,"u")+COUNTIF($E151:Y151,"t")+COUNTIF($E151:Y151,"¶")+COUNTIF($E151:Y151,"²")+COUNTIF($E151:Y151,"µ")+COUNTIF($E151:Y151,1),ColLivraison)=Z$6,
  VLOOKUP($E151,INDIRECT("tri!"&amp; CHAR(64+ C0Col) &amp;":"&amp; CHAR(65+C0Col)),2,FALSE)&gt;COUNTIF($E151:Y151,"u")+COUNTIF($E151:Y151,"t")+COUNTIF($E151:Y151,"¶")+COUNTIF($E151:Y151,"²")+COUNTIF($E151:Y151,"µ")+COUNTIF($E151:Y151,1)),
HYPERLINK("#Roadmap!C"&amp; MATCH($E151,Roadmap!$D:$D,0)+COUNTIF($E151:Y151,"u")+COUNTIF($E151:Y151,"t"),
     INDEX(Roadmap!$D:$K,MATCH($E151,Roadmap!$D:$D,0)+COUNTIF($E151:Y151,"u")+COUNTIF($E151:Y151,"t")+COUNTIF($E151:Y151,"¶")+COUNTIF($E151:Y151,"²")+COUNTIF($E151:Y151,"µ")+COUNTIF($E151:Y151,1),ColTypeEcheance)),
  IF(LEN(Y151)=1,
  IF(LEN(INDEX(Roadmap!$D:$K,MATCH($E151,Roadmap!$D:$D,0)-1+COUNTIF($E151:Y151,"u")+COUNTIF($E151:Y151,"t")+COUNTIF($E151:Y151,"¶")+COUNTIF($E151:Y151,"²")+COUNTIF($E151:Y151,"µ")+COUNTIF($E151:Y151,1),ColDescriptionCourte))&gt;1,
HYPERLINK("#Roadmap!C"&amp; MATCH($E151,Roadmap!$D:$D,0)+COUNTIF($E151:Y151,"u")+COUNTIF($E151:Y151,"t")+COUNTIF($E151:Y151,"¶")+COUNTIF($E151:Y151,"²")+COUNTIF($E151:Y151,"µ")+COUNTIF($E151:Y151,1)-1,INDEX(Roadmap!$D:$K,MATCH($E151,Roadmap!$D:$D,0)-1+COUNTIF($E151:Y151,"u")+COUNTIF($E151:Y151,"t")+COUNTIF($E151:Y151,"¶")+COUNTIF($E151:Y151,"²")+COUNTIF($E151:Y151,"µ")+COUNTIF($E151:Y151,1),ColDescriptionCourte)),""),
  "")),"")</f>
        <v/>
      </c>
      <c r="AA151" s="40" t="str">
        <f ca="1">IFERROR(IF(AND(
  INDEX(Roadmap!$D:$K,MATCH($E151,Roadmap!$D:$D,0)+COUNTIF($E151:Z151,"u")+COUNTIF($E151:Z151,"t")+COUNTIF($E151:Z151,"¶")+COUNTIF($E151:Z151,"²")+COUNTIF($E151:Z151,"µ")+COUNTIF($E151:Z151,1),ColLivraison)=AA$6,
  VLOOKUP($E151,INDIRECT("tri!"&amp; CHAR(64+ C0Col) &amp;":"&amp; CHAR(65+C0Col)),2,FALSE)&gt;COUNTIF($E151:Z151,"u")+COUNTIF($E151:Z151,"t")+COUNTIF($E151:Z151,"¶")+COUNTIF($E151:Z151,"²")+COUNTIF($E151:Z151,"µ")+COUNTIF($E151:Z151,1)),
HYPERLINK("#Roadmap!C"&amp; MATCH($E151,Roadmap!$D:$D,0)+COUNTIF($E151:Z151,"u")+COUNTIF($E151:Z151,"t"),
     INDEX(Roadmap!$D:$K,MATCH($E151,Roadmap!$D:$D,0)+COUNTIF($E151:Z151,"u")+COUNTIF($E151:Z151,"t")+COUNTIF($E151:Z151,"¶")+COUNTIF($E151:Z151,"²")+COUNTIF($E151:Z151,"µ")+COUNTIF($E151:Z151,1),ColTypeEcheance)),
  IF(LEN(Z151)=1,
  IF(LEN(INDEX(Roadmap!$D:$K,MATCH($E151,Roadmap!$D:$D,0)-1+COUNTIF($E151:Z151,"u")+COUNTIF($E151:Z151,"t")+COUNTIF($E151:Z151,"¶")+COUNTIF($E151:Z151,"²")+COUNTIF($E151:Z151,"µ")+COUNTIF($E151:Z151,1),ColDescriptionCourte))&gt;1,
HYPERLINK("#Roadmap!C"&amp; MATCH($E151,Roadmap!$D:$D,0)+COUNTIF($E151:Z151,"u")+COUNTIF($E151:Z151,"t")+COUNTIF($E151:Z151,"¶")+COUNTIF($E151:Z151,"²")+COUNTIF($E151:Z151,"µ")+COUNTIF($E151:Z151,1)-1,INDEX(Roadmap!$D:$K,MATCH($E151,Roadmap!$D:$D,0)-1+COUNTIF($E151:Z151,"u")+COUNTIF($E151:Z151,"t")+COUNTIF($E151:Z151,"¶")+COUNTIF($E151:Z151,"²")+COUNTIF($E151:Z151,"µ")+COUNTIF($E151:Z151,1),ColDescriptionCourte)),""),
  "")),"")</f>
        <v/>
      </c>
      <c r="AB151" s="40" t="str">
        <f ca="1">IFERROR(IF(AND(
  INDEX(Roadmap!$D:$K,MATCH($E151,Roadmap!$D:$D,0)+COUNTIF($E151:AA151,"u")+COUNTIF($E151:AA151,"t")+COUNTIF($E151:AA151,"¶")+COUNTIF($E151:AA151,"²")+COUNTIF($E151:AA151,"µ")+COUNTIF($E151:AA151,1),ColLivraison)=AB$6,
  VLOOKUP($E151,INDIRECT("tri!"&amp; CHAR(64+ C0Col) &amp;":"&amp; CHAR(65+C0Col)),2,FALSE)&gt;COUNTIF($E151:AA151,"u")+COUNTIF($E151:AA151,"t")+COUNTIF($E151:AA151,"¶")+COUNTIF($E151:AA151,"²")+COUNTIF($E151:AA151,"µ")+COUNTIF($E151:AA151,1)),
HYPERLINK("#Roadmap!C"&amp; MATCH($E151,Roadmap!$D:$D,0)+COUNTIF($E151:AA151,"u")+COUNTIF($E151:AA151,"t"),
     INDEX(Roadmap!$D:$K,MATCH($E151,Roadmap!$D:$D,0)+COUNTIF($E151:AA151,"u")+COUNTIF($E151:AA151,"t")+COUNTIF($E151:AA151,"¶")+COUNTIF($E151:AA151,"²")+COUNTIF($E151:AA151,"µ")+COUNTIF($E151:AA151,1),ColTypeEcheance)),
  IF(LEN(AA151)=1,
  IF(LEN(INDEX(Roadmap!$D:$K,MATCH($E151,Roadmap!$D:$D,0)-1+COUNTIF($E151:AA151,"u")+COUNTIF($E151:AA151,"t")+COUNTIF($E151:AA151,"¶")+COUNTIF($E151:AA151,"²")+COUNTIF($E151:AA151,"µ")+COUNTIF($E151:AA151,1),ColDescriptionCourte))&gt;1,
HYPERLINK("#Roadmap!C"&amp; MATCH($E151,Roadmap!$D:$D,0)+COUNTIF($E151:AA151,"u")+COUNTIF($E151:AA151,"t")+COUNTIF($E151:AA151,"¶")+COUNTIF($E151:AA151,"²")+COUNTIF($E151:AA151,"µ")+COUNTIF($E151:AA151,1)-1,INDEX(Roadmap!$D:$K,MATCH($E151,Roadmap!$D:$D,0)-1+COUNTIF($E151:AA151,"u")+COUNTIF($E151:AA151,"t")+COUNTIF($E151:AA151,"¶")+COUNTIF($E151:AA151,"²")+COUNTIF($E151:AA151,"µ")+COUNTIF($E151:AA151,1),ColDescriptionCourte)),""),
  "")),"")</f>
        <v/>
      </c>
      <c r="AC151" s="40" t="str">
        <f ca="1">IFERROR(IF(AND(
  INDEX(Roadmap!$D:$K,MATCH($E151,Roadmap!$D:$D,0)+COUNTIF($E151:AB151,"u")+COUNTIF($E151:AB151,"t")+COUNTIF($E151:AB151,"¶")+COUNTIF($E151:AB151,"²")+COUNTIF($E151:AB151,"µ")+COUNTIF($E151:AB151,1),ColLivraison)=AC$6,
  VLOOKUP($E151,INDIRECT("tri!"&amp; CHAR(64+ C0Col) &amp;":"&amp; CHAR(65+C0Col)),2,FALSE)&gt;COUNTIF($E151:AB151,"u")+COUNTIF($E151:AB151,"t")+COUNTIF($E151:AB151,"¶")+COUNTIF($E151:AB151,"²")+COUNTIF($E151:AB151,"µ")+COUNTIF($E151:AB151,1)),
HYPERLINK("#Roadmap!C"&amp; MATCH($E151,Roadmap!$D:$D,0)+COUNTIF($E151:AB151,"u")+COUNTIF($E151:AB151,"t"),
     INDEX(Roadmap!$D:$K,MATCH($E151,Roadmap!$D:$D,0)+COUNTIF($E151:AB151,"u")+COUNTIF($E151:AB151,"t")+COUNTIF($E151:AB151,"¶")+COUNTIF($E151:AB151,"²")+COUNTIF($E151:AB151,"µ")+COUNTIF($E151:AB151,1),ColTypeEcheance)),
  IF(LEN(AB151)=1,
  IF(LEN(INDEX(Roadmap!$D:$K,MATCH($E151,Roadmap!$D:$D,0)-1+COUNTIF($E151:AB151,"u")+COUNTIF($E151:AB151,"t")+COUNTIF($E151:AB151,"¶")+COUNTIF($E151:AB151,"²")+COUNTIF($E151:AB151,"µ")+COUNTIF($E151:AB151,1),ColDescriptionCourte))&gt;1,
HYPERLINK("#Roadmap!C"&amp; MATCH($E151,Roadmap!$D:$D,0)+COUNTIF($E151:AB151,"u")+COUNTIF($E151:AB151,"t")+COUNTIF($E151:AB151,"¶")+COUNTIF($E151:AB151,"²")+COUNTIF($E151:AB151,"µ")+COUNTIF($E151:AB151,1)-1,INDEX(Roadmap!$D:$K,MATCH($E151,Roadmap!$D:$D,0)-1+COUNTIF($E151:AB151,"u")+COUNTIF($E151:AB151,"t")+COUNTIF($E151:AB151,"¶")+COUNTIF($E151:AB151,"²")+COUNTIF($E151:AB151,"µ")+COUNTIF($E151:AB151,1),ColDescriptionCourte)),""),
  "")),"")</f>
        <v/>
      </c>
      <c r="AD151" s="40" t="str">
        <f ca="1">IFERROR(IF(AND(
  INDEX(Roadmap!$D:$K,MATCH($E151,Roadmap!$D:$D,0)+COUNTIF($E151:AC151,"u")+COUNTIF($E151:AC151,"t")+COUNTIF($E151:AC151,"¶")+COUNTIF($E151:AC151,"²")+COUNTIF($E151:AC151,"µ")+COUNTIF($E151:AC151,1),ColLivraison)=AD$6,
  VLOOKUP($E151,INDIRECT("tri!"&amp; CHAR(64+ C0Col) &amp;":"&amp; CHAR(65+C0Col)),2,FALSE)&gt;COUNTIF($E151:AC151,"u")+COUNTIF($E151:AC151,"t")+COUNTIF($E151:AC151,"¶")+COUNTIF($E151:AC151,"²")+COUNTIF($E151:AC151,"µ")+COUNTIF($E151:AC151,1)),
HYPERLINK("#Roadmap!C"&amp; MATCH($E151,Roadmap!$D:$D,0)+COUNTIF($E151:AC151,"u")+COUNTIF($E151:AC151,"t"),
     INDEX(Roadmap!$D:$K,MATCH($E151,Roadmap!$D:$D,0)+COUNTIF($E151:AC151,"u")+COUNTIF($E151:AC151,"t")+COUNTIF($E151:AC151,"¶")+COUNTIF($E151:AC151,"²")+COUNTIF($E151:AC151,"µ")+COUNTIF($E151:AC151,1),ColTypeEcheance)),
  IF(LEN(AC151)=1,
  IF(LEN(INDEX(Roadmap!$D:$K,MATCH($E151,Roadmap!$D:$D,0)-1+COUNTIF($E151:AC151,"u")+COUNTIF($E151:AC151,"t")+COUNTIF($E151:AC151,"¶")+COUNTIF($E151:AC151,"²")+COUNTIF($E151:AC151,"µ")+COUNTIF($E151:AC151,1),ColDescriptionCourte))&gt;1,
HYPERLINK("#Roadmap!C"&amp; MATCH($E151,Roadmap!$D:$D,0)+COUNTIF($E151:AC151,"u")+COUNTIF($E151:AC151,"t")+COUNTIF($E151:AC151,"¶")+COUNTIF($E151:AC151,"²")+COUNTIF($E151:AC151,"µ")+COUNTIF($E151:AC151,1)-1,INDEX(Roadmap!$D:$K,MATCH($E151,Roadmap!$D:$D,0)-1+COUNTIF($E151:AC151,"u")+COUNTIF($E151:AC151,"t")+COUNTIF($E151:AC151,"¶")+COUNTIF($E151:AC151,"²")+COUNTIF($E151:AC151,"µ")+COUNTIF($E151:AC151,1),ColDescriptionCourte)),""),
  "")),"")</f>
        <v/>
      </c>
      <c r="AE151" s="40" t="str">
        <f ca="1">IFERROR(IF(AND(
  INDEX(Roadmap!$D:$K,MATCH($E151,Roadmap!$D:$D,0)+COUNTIF($E151:AD151,"u")+COUNTIF($E151:AD151,"t")+COUNTIF($E151:AD151,"¶")+COUNTIF($E151:AD151,"²")+COUNTIF($E151:AD151,"µ")+COUNTIF($E151:AD151,1),ColLivraison)=AE$6,
  VLOOKUP($E151,INDIRECT("tri!"&amp; CHAR(64+ C0Col) &amp;":"&amp; CHAR(65+C0Col)),2,FALSE)&gt;COUNTIF($E151:AD151,"u")+COUNTIF($E151:AD151,"t")+COUNTIF($E151:AD151,"¶")+COUNTIF($E151:AD151,"²")+COUNTIF($E151:AD151,"µ")+COUNTIF($E151:AD151,1)),
HYPERLINK("#Roadmap!C"&amp; MATCH($E151,Roadmap!$D:$D,0)+COUNTIF($E151:AD151,"u")+COUNTIF($E151:AD151,"t"),
     INDEX(Roadmap!$D:$K,MATCH($E151,Roadmap!$D:$D,0)+COUNTIF($E151:AD151,"u")+COUNTIF($E151:AD151,"t")+COUNTIF($E151:AD151,"¶")+COUNTIF($E151:AD151,"²")+COUNTIF($E151:AD151,"µ")+COUNTIF($E151:AD151,1),ColTypeEcheance)),
  IF(LEN(AD151)=1,
  IF(LEN(INDEX(Roadmap!$D:$K,MATCH($E151,Roadmap!$D:$D,0)-1+COUNTIF($E151:AD151,"u")+COUNTIF($E151:AD151,"t")+COUNTIF($E151:AD151,"¶")+COUNTIF($E151:AD151,"²")+COUNTIF($E151:AD151,"µ")+COUNTIF($E151:AD151,1),ColDescriptionCourte))&gt;1,
HYPERLINK("#Roadmap!C"&amp; MATCH($E151,Roadmap!$D:$D,0)+COUNTIF($E151:AD151,"u")+COUNTIF($E151:AD151,"t")+COUNTIF($E151:AD151,"¶")+COUNTIF($E151:AD151,"²")+COUNTIF($E151:AD151,"µ")+COUNTIF($E151:AD151,1)-1,INDEX(Roadmap!$D:$K,MATCH($E151,Roadmap!$D:$D,0)-1+COUNTIF($E151:AD151,"u")+COUNTIF($E151:AD151,"t")+COUNTIF($E151:AD151,"¶")+COUNTIF($E151:AD151,"²")+COUNTIF($E151:AD151,"µ")+COUNTIF($E151:AD151,1),ColDescriptionCourte)),""),
  "")),"")</f>
        <v/>
      </c>
      <c r="AF151" s="40" t="str">
        <f ca="1">IFERROR(IF(AND(
  INDEX(Roadmap!$D:$K,MATCH($E151,Roadmap!$D:$D,0)+COUNTIF($E151:AE151,"u")+COUNTIF($E151:AE151,"t")+COUNTIF($E151:AE151,"¶")+COUNTIF($E151:AE151,"²")+COUNTIF($E151:AE151,"µ")+COUNTIF($E151:AE151,1),ColLivraison)=AF$6,
  VLOOKUP($E151,INDIRECT("tri!"&amp; CHAR(64+ C0Col) &amp;":"&amp; CHAR(65+C0Col)),2,FALSE)&gt;COUNTIF($E151:AE151,"u")+COUNTIF($E151:AE151,"t")+COUNTIF($E151:AE151,"¶")+COUNTIF($E151:AE151,"²")+COUNTIF($E151:AE151,"µ")+COUNTIF($E151:AE151,1)),
HYPERLINK("#Roadmap!C"&amp; MATCH($E151,Roadmap!$D:$D,0)+COUNTIF($E151:AE151,"u")+COUNTIF($E151:AE151,"t"),
     INDEX(Roadmap!$D:$K,MATCH($E151,Roadmap!$D:$D,0)+COUNTIF($E151:AE151,"u")+COUNTIF($E151:AE151,"t")+COUNTIF($E151:AE151,"¶")+COUNTIF($E151:AE151,"²")+COUNTIF($E151:AE151,"µ")+COUNTIF($E151:AE151,1),ColTypeEcheance)),
  IF(LEN(AE151)=1,
  IF(LEN(INDEX(Roadmap!$D:$K,MATCH($E151,Roadmap!$D:$D,0)-1+COUNTIF($E151:AE151,"u")+COUNTIF($E151:AE151,"t")+COUNTIF($E151:AE151,"¶")+COUNTIF($E151:AE151,"²")+COUNTIF($E151:AE151,"µ")+COUNTIF($E151:AE151,1),ColDescriptionCourte))&gt;1,
HYPERLINK("#Roadmap!C"&amp; MATCH($E151,Roadmap!$D:$D,0)+COUNTIF($E151:AE151,"u")+COUNTIF($E151:AE151,"t")+COUNTIF($E151:AE151,"¶")+COUNTIF($E151:AE151,"²")+COUNTIF($E151:AE151,"µ")+COUNTIF($E151:AE151,1)-1,INDEX(Roadmap!$D:$K,MATCH($E151,Roadmap!$D:$D,0)-1+COUNTIF($E151:AE151,"u")+COUNTIF($E151:AE151,"t")+COUNTIF($E151:AE151,"¶")+COUNTIF($E151:AE151,"²")+COUNTIF($E151:AE151,"µ")+COUNTIF($E151:AE151,1),ColDescriptionCourte)),""),
  "")),"")</f>
        <v/>
      </c>
      <c r="AG151" s="40" t="str">
        <f ca="1">IFERROR(IF(AND(
  INDEX(Roadmap!$D:$K,MATCH($E151,Roadmap!$D:$D,0)+COUNTIF($E151:AF151,"u")+COUNTIF($E151:AF151,"t")+COUNTIF($E151:AF151,"¶")+COUNTIF($E151:AF151,"²")+COUNTIF($E151:AF151,"µ")+COUNTIF($E151:AF151,1),ColLivraison)=AG$6,
  VLOOKUP($E151,INDIRECT("tri!"&amp; CHAR(64+ C0Col) &amp;":"&amp; CHAR(65+C0Col)),2,FALSE)&gt;COUNTIF($E151:AF151,"u")+COUNTIF($E151:AF151,"t")+COUNTIF($E151:AF151,"¶")+COUNTIF($E151:AF151,"²")+COUNTIF($E151:AF151,"µ")+COUNTIF($E151:AF151,1)),
HYPERLINK("#Roadmap!C"&amp; MATCH($E151,Roadmap!$D:$D,0)+COUNTIF($E151:AF151,"u")+COUNTIF($E151:AF151,"t"),
     INDEX(Roadmap!$D:$K,MATCH($E151,Roadmap!$D:$D,0)+COUNTIF($E151:AF151,"u")+COUNTIF($E151:AF151,"t")+COUNTIF($E151:AF151,"¶")+COUNTIF($E151:AF151,"²")+COUNTIF($E151:AF151,"µ")+COUNTIF($E151:AF151,1),ColTypeEcheance)),
  IF(LEN(AF151)=1,
  IF(LEN(INDEX(Roadmap!$D:$K,MATCH($E151,Roadmap!$D:$D,0)-1+COUNTIF($E151:AF151,"u")+COUNTIF($E151:AF151,"t")+COUNTIF($E151:AF151,"¶")+COUNTIF($E151:AF151,"²")+COUNTIF($E151:AF151,"µ")+COUNTIF($E151:AF151,1),ColDescriptionCourte))&gt;1,
HYPERLINK("#Roadmap!C"&amp; MATCH($E151,Roadmap!$D:$D,0)+COUNTIF($E151:AF151,"u")+COUNTIF($E151:AF151,"t")+COUNTIF($E151:AF151,"¶")+COUNTIF($E151:AF151,"²")+COUNTIF($E151:AF151,"µ")+COUNTIF($E151:AF151,1)-1,INDEX(Roadmap!$D:$K,MATCH($E151,Roadmap!$D:$D,0)-1+COUNTIF($E151:AF151,"u")+COUNTIF($E151:AF151,"t")+COUNTIF($E151:AF151,"¶")+COUNTIF($E151:AF151,"²")+COUNTIF($E151:AF151,"µ")+COUNTIF($E151:AF151,1),ColDescriptionCourte)),""),
  "")),"")</f>
        <v/>
      </c>
    </row>
    <row r="152" spans="3:33" ht="14.25" customHeight="1">
      <c r="C152" s="1" t="str">
        <f t="shared" ca="1" si="52"/>
        <v/>
      </c>
      <c r="D152" s="1" t="str">
        <f t="shared" ca="1" si="53"/>
        <v/>
      </c>
      <c r="E152" s="35" t="str">
        <f t="shared" ca="1" si="51"/>
        <v/>
      </c>
      <c r="F152" s="39" t="str">
        <f ca="1">IFERROR(IF(AND(
  INDEX(Roadmap!$D:$K,MATCH($E152,Roadmap!$D:$D,0)+COUNTIF($E152:E152,"u")+COUNTIF($E152:E152,"t")+COUNTIF($E152:E152,"¶")+COUNTIF($E152:E152,"²")+COUNTIF($E152:E152,"µ")+COUNTIF($E152:E152,1),ColLivraison)=F$6,
  VLOOKUP($E152,INDIRECT("tri!"&amp; CHAR(64+ C0Col) &amp;":"&amp; CHAR(65+C0Col)),2,FALSE)&gt;COUNTIF($E152:E152,"u")+COUNTIF($E152:E152,"t")+COUNTIF($E152:E152,"¶")+COUNTIF($E152:E152,"²")+COUNTIF($E152:E152,"µ")+COUNTIF($E152:E152,1)),
HYPERLINK("#Roadmap!C"&amp; MATCH($E152,Roadmap!$D:$D,0)+COUNTIF($E152:E152,"u")+COUNTIF($E152:E152,"t"),
     INDEX(Roadmap!$D:$K,MATCH($E152,Roadmap!$D:$D,0)+COUNTIF($E152:E152,"u")+COUNTIF($E152:E152,"t")+COUNTIF($E152:E152,"¶")+COUNTIF($E152:E152,"²")+COUNTIF($E152:E152,"µ")+COUNTIF($E152:E152,1),ColTypeEcheance)),
  IF(LEN(E152)=1,
  IF(LEN(INDEX(Roadmap!$D:$K,MATCH($E152,Roadmap!$D:$D,0)-1+COUNTIF($E152:E152,"u")+COUNTIF($E152:E152,"t")+COUNTIF($E152:E152,"¶")+COUNTIF($E152:E152,"²")+COUNTIF($E152:E152,"µ")+COUNTIF($E152:E152,1),ColDescriptionCourte))&gt;1,
HYPERLINK("#Roadmap!C"&amp; MATCH($E152,Roadmap!$D:$D,0)+COUNTIF($E152:E152,"u")+COUNTIF($E152:E152,"t")+COUNTIF($E152:E152,"¶")+COUNTIF($E152:E152,"²")+COUNTIF($E152:E152,"µ")+COUNTIF($E152:E152,1)-1,INDEX(Roadmap!$D:$K,MATCH($E152,Roadmap!$D:$D,0)-1+COUNTIF($E152:E152,"u")+COUNTIF($E152:E152,"t")+COUNTIF($E152:E152,"¶")+COUNTIF($E152:E152,"²")+COUNTIF($E152:E152,"µ")+COUNTIF($E152:E152,1),ColDescriptionCourte)),""),
  "")),"")</f>
        <v/>
      </c>
      <c r="G152" s="40" t="str">
        <f ca="1">IFERROR(IF(AND(
  INDEX(Roadmap!$D:$K,MATCH($E152,Roadmap!$D:$D,0)+COUNTIF($E152:F152,"u")+COUNTIF($E152:F152,"t")+COUNTIF($E152:F152,"¶")+COUNTIF($E152:F152,"²")+COUNTIF($E152:F152,"µ")+COUNTIF($E152:F152,1),ColLivraison)=G$6,
  VLOOKUP($E152,INDIRECT("tri!"&amp; CHAR(64+ C0Col) &amp;":"&amp; CHAR(65+C0Col)),2,FALSE)&gt;COUNTIF($E152:F152,"u")+COUNTIF($E152:F152,"t")+COUNTIF($E152:F152,"¶")+COUNTIF($E152:F152,"²")+COUNTIF($E152:F152,"µ")+COUNTIF($E152:F152,1)),
HYPERLINK("#Roadmap!C"&amp; MATCH($E152,Roadmap!$D:$D,0)+COUNTIF($E152:F152,"u")+COUNTIF($E152:F152,"t"),
     INDEX(Roadmap!$D:$K,MATCH($E152,Roadmap!$D:$D,0)+COUNTIF($E152:F152,"u")+COUNTIF($E152:F152,"t")+COUNTIF($E152:F152,"¶")+COUNTIF($E152:F152,"²")+COUNTIF($E152:F152,"µ")+COUNTIF($E152:F152,1),ColTypeEcheance)),
  IF(LEN(F152)=1,
  IF(LEN(INDEX(Roadmap!$D:$K,MATCH($E152,Roadmap!$D:$D,0)-1+COUNTIF($E152:F152,"u")+COUNTIF($E152:F152,"t")+COUNTIF($E152:F152,"¶")+COUNTIF($E152:F152,"²")+COUNTIF($E152:F152,"µ")+COUNTIF($E152:F152,1),ColDescriptionCourte))&gt;1,
HYPERLINK("#Roadmap!C"&amp; MATCH($E152,Roadmap!$D:$D,0)+COUNTIF($E152:F152,"u")+COUNTIF($E152:F152,"t")+COUNTIF($E152:F152,"¶")+COUNTIF($E152:F152,"²")+COUNTIF($E152:F152,"µ")+COUNTIF($E152:F152,1)-1,INDEX(Roadmap!$D:$K,MATCH($E152,Roadmap!$D:$D,0)-1+COUNTIF($E152:F152,"u")+COUNTIF($E152:F152,"t")+COUNTIF($E152:F152,"¶")+COUNTIF($E152:F152,"²")+COUNTIF($E152:F152,"µ")+COUNTIF($E152:F152,1),ColDescriptionCourte)),""),
  "")),"")</f>
        <v/>
      </c>
      <c r="H152" s="40" t="str">
        <f ca="1">IFERROR(IF(AND(
  INDEX(Roadmap!$D:$K,MATCH($E152,Roadmap!$D:$D,0)+COUNTIF($E152:G152,"u")+COUNTIF($E152:G152,"t")+COUNTIF($E152:G152,"¶")+COUNTIF($E152:G152,"²")+COUNTIF($E152:G152,"µ")+COUNTIF($E152:G152,1),ColLivraison)=H$6,
  VLOOKUP($E152,INDIRECT("tri!"&amp; CHAR(64+ C0Col) &amp;":"&amp; CHAR(65+C0Col)),2,FALSE)&gt;COUNTIF($E152:G152,"u")+COUNTIF($E152:G152,"t")+COUNTIF($E152:G152,"¶")+COUNTIF($E152:G152,"²")+COUNTIF($E152:G152,"µ")+COUNTIF($E152:G152,1)),
HYPERLINK("#Roadmap!C"&amp; MATCH($E152,Roadmap!$D:$D,0)+COUNTIF($E152:G152,"u")+COUNTIF($E152:G152,"t"),
     INDEX(Roadmap!$D:$K,MATCH($E152,Roadmap!$D:$D,0)+COUNTIF($E152:G152,"u")+COUNTIF($E152:G152,"t")+COUNTIF($E152:G152,"¶")+COUNTIF($E152:G152,"²")+COUNTIF($E152:G152,"µ")+COUNTIF($E152:G152,1),ColTypeEcheance)),
  IF(LEN(G152)=1,
  IF(LEN(INDEX(Roadmap!$D:$K,MATCH($E152,Roadmap!$D:$D,0)-1+COUNTIF($E152:G152,"u")+COUNTIF($E152:G152,"t")+COUNTIF($E152:G152,"¶")+COUNTIF($E152:G152,"²")+COUNTIF($E152:G152,"µ")+COUNTIF($E152:G152,1),ColDescriptionCourte))&gt;1,
HYPERLINK("#Roadmap!C"&amp; MATCH($E152,Roadmap!$D:$D,0)+COUNTIF($E152:G152,"u")+COUNTIF($E152:G152,"t")+COUNTIF($E152:G152,"¶")+COUNTIF($E152:G152,"²")+COUNTIF($E152:G152,"µ")+COUNTIF($E152:G152,1)-1,INDEX(Roadmap!$D:$K,MATCH($E152,Roadmap!$D:$D,0)-1+COUNTIF($E152:G152,"u")+COUNTIF($E152:G152,"t")+COUNTIF($E152:G152,"¶")+COUNTIF($E152:G152,"²")+COUNTIF($E152:G152,"µ")+COUNTIF($E152:G152,1),ColDescriptionCourte)),""),
  "")),"")</f>
        <v/>
      </c>
      <c r="I152" s="40" t="str">
        <f ca="1">IFERROR(IF(AND(
  INDEX(Roadmap!$D:$K,MATCH($E152,Roadmap!$D:$D,0)+COUNTIF($E152:H152,"u")+COUNTIF($E152:H152,"t")+COUNTIF($E152:H152,"¶")+COUNTIF($E152:H152,"²")+COUNTIF($E152:H152,"µ")+COUNTIF($E152:H152,1),ColLivraison)=I$6,
  VLOOKUP($E152,INDIRECT("tri!"&amp; CHAR(64+ C0Col) &amp;":"&amp; CHAR(65+C0Col)),2,FALSE)&gt;COUNTIF($E152:H152,"u")+COUNTIF($E152:H152,"t")+COUNTIF($E152:H152,"¶")+COUNTIF($E152:H152,"²")+COUNTIF($E152:H152,"µ")+COUNTIF($E152:H152,1)),
HYPERLINK("#Roadmap!C"&amp; MATCH($E152,Roadmap!$D:$D,0)+COUNTIF($E152:H152,"u")+COUNTIF($E152:H152,"t"),
     INDEX(Roadmap!$D:$K,MATCH($E152,Roadmap!$D:$D,0)+COUNTIF($E152:H152,"u")+COUNTIF($E152:H152,"t")+COUNTIF($E152:H152,"¶")+COUNTIF($E152:H152,"²")+COUNTIF($E152:H152,"µ")+COUNTIF($E152:H152,1),ColTypeEcheance)),
  IF(LEN(H152)=1,
  IF(LEN(INDEX(Roadmap!$D:$K,MATCH($E152,Roadmap!$D:$D,0)-1+COUNTIF($E152:H152,"u")+COUNTIF($E152:H152,"t")+COUNTIF($E152:H152,"¶")+COUNTIF($E152:H152,"²")+COUNTIF($E152:H152,"µ")+COUNTIF($E152:H152,1),ColDescriptionCourte))&gt;1,
HYPERLINK("#Roadmap!C"&amp; MATCH($E152,Roadmap!$D:$D,0)+COUNTIF($E152:H152,"u")+COUNTIF($E152:H152,"t")+COUNTIF($E152:H152,"¶")+COUNTIF($E152:H152,"²")+COUNTIF($E152:H152,"µ")+COUNTIF($E152:H152,1)-1,INDEX(Roadmap!$D:$K,MATCH($E152,Roadmap!$D:$D,0)-1+COUNTIF($E152:H152,"u")+COUNTIF($E152:H152,"t")+COUNTIF($E152:H152,"¶")+COUNTIF($E152:H152,"²")+COUNTIF($E152:H152,"µ")+COUNTIF($E152:H152,1),ColDescriptionCourte)),""),
  "")),"")</f>
        <v/>
      </c>
      <c r="J152" s="40" t="str">
        <f ca="1">IFERROR(IF(AND(
  INDEX(Roadmap!$D:$K,MATCH($E152,Roadmap!$D:$D,0)+COUNTIF($E152:I152,"u")+COUNTIF($E152:I152,"t")+COUNTIF($E152:I152,"¶")+COUNTIF($E152:I152,"²")+COUNTIF($E152:I152,"µ")+COUNTIF($E152:I152,1),ColLivraison)=J$6,
  VLOOKUP($E152,INDIRECT("tri!"&amp; CHAR(64+ C0Col) &amp;":"&amp; CHAR(65+C0Col)),2,FALSE)&gt;COUNTIF($E152:I152,"u")+COUNTIF($E152:I152,"t")+COUNTIF($E152:I152,"¶")+COUNTIF($E152:I152,"²")+COUNTIF($E152:I152,"µ")+COUNTIF($E152:I152,1)),
HYPERLINK("#Roadmap!C"&amp; MATCH($E152,Roadmap!$D:$D,0)+COUNTIF($E152:I152,"u")+COUNTIF($E152:I152,"t"),
     INDEX(Roadmap!$D:$K,MATCH($E152,Roadmap!$D:$D,0)+COUNTIF($E152:I152,"u")+COUNTIF($E152:I152,"t")+COUNTIF($E152:I152,"¶")+COUNTIF($E152:I152,"²")+COUNTIF($E152:I152,"µ")+COUNTIF($E152:I152,1),ColTypeEcheance)),
  IF(LEN(I152)=1,
  IF(LEN(INDEX(Roadmap!$D:$K,MATCH($E152,Roadmap!$D:$D,0)-1+COUNTIF($E152:I152,"u")+COUNTIF($E152:I152,"t")+COUNTIF($E152:I152,"¶")+COUNTIF($E152:I152,"²")+COUNTIF($E152:I152,"µ")+COUNTIF($E152:I152,1),ColDescriptionCourte))&gt;1,
HYPERLINK("#Roadmap!C"&amp; MATCH($E152,Roadmap!$D:$D,0)+COUNTIF($E152:I152,"u")+COUNTIF($E152:I152,"t")+COUNTIF($E152:I152,"¶")+COUNTIF($E152:I152,"²")+COUNTIF($E152:I152,"µ")+COUNTIF($E152:I152,1)-1,INDEX(Roadmap!$D:$K,MATCH($E152,Roadmap!$D:$D,0)-1+COUNTIF($E152:I152,"u")+COUNTIF($E152:I152,"t")+COUNTIF($E152:I152,"¶")+COUNTIF($E152:I152,"²")+COUNTIF($E152:I152,"µ")+COUNTIF($E152:I152,1),ColDescriptionCourte)),""),
  "")),"")</f>
        <v/>
      </c>
      <c r="K152" s="40" t="str">
        <f ca="1">IFERROR(IF(AND(
  INDEX(Roadmap!$D:$K,MATCH($E152,Roadmap!$D:$D,0)+COUNTIF($E152:J152,"u")+COUNTIF($E152:J152,"t")+COUNTIF($E152:J152,"¶")+COUNTIF($E152:J152,"²")+COUNTIF($E152:J152,"µ")+COUNTIF($E152:J152,1),ColLivraison)=K$6,
  VLOOKUP($E152,INDIRECT("tri!"&amp; CHAR(64+ C0Col) &amp;":"&amp; CHAR(65+C0Col)),2,FALSE)&gt;COUNTIF($E152:J152,"u")+COUNTIF($E152:J152,"t")+COUNTIF($E152:J152,"¶")+COUNTIF($E152:J152,"²")+COUNTIF($E152:J152,"µ")+COUNTIF($E152:J152,1)),
HYPERLINK("#Roadmap!C"&amp; MATCH($E152,Roadmap!$D:$D,0)+COUNTIF($E152:J152,"u")+COUNTIF($E152:J152,"t"),
     INDEX(Roadmap!$D:$K,MATCH($E152,Roadmap!$D:$D,0)+COUNTIF($E152:J152,"u")+COUNTIF($E152:J152,"t")+COUNTIF($E152:J152,"¶")+COUNTIF($E152:J152,"²")+COUNTIF($E152:J152,"µ")+COUNTIF($E152:J152,1),ColTypeEcheance)),
  IF(LEN(J152)=1,
  IF(LEN(INDEX(Roadmap!$D:$K,MATCH($E152,Roadmap!$D:$D,0)-1+COUNTIF($E152:J152,"u")+COUNTIF($E152:J152,"t")+COUNTIF($E152:J152,"¶")+COUNTIF($E152:J152,"²")+COUNTIF($E152:J152,"µ")+COUNTIF($E152:J152,1),ColDescriptionCourte))&gt;1,
HYPERLINK("#Roadmap!C"&amp; MATCH($E152,Roadmap!$D:$D,0)+COUNTIF($E152:J152,"u")+COUNTIF($E152:J152,"t")+COUNTIF($E152:J152,"¶")+COUNTIF($E152:J152,"²")+COUNTIF($E152:J152,"µ")+COUNTIF($E152:J152,1)-1,INDEX(Roadmap!$D:$K,MATCH($E152,Roadmap!$D:$D,0)-1+COUNTIF($E152:J152,"u")+COUNTIF($E152:J152,"t")+COUNTIF($E152:J152,"¶")+COUNTIF($E152:J152,"²")+COUNTIF($E152:J152,"µ")+COUNTIF($E152:J152,1),ColDescriptionCourte)),""),
  "")),"")</f>
        <v/>
      </c>
      <c r="L152" s="39" t="str">
        <f ca="1">IFERROR(IF(AND(
  INDEX(Roadmap!$D:$K,MATCH($E152,Roadmap!$D:$D,0)+COUNTIF($E152:K152,"u")+COUNTIF($E152:K152,"t")+COUNTIF($E152:K152,"¶")+COUNTIF($E152:K152,"²")+COUNTIF($E152:K152,"µ")+COUNTIF($E152:K152,1),ColLivraison)=L$6,
  VLOOKUP($E152,INDIRECT("tri!"&amp; CHAR(64+ C0Col) &amp;":"&amp; CHAR(65+C0Col)),2,FALSE)&gt;COUNTIF($E152:K152,"u")+COUNTIF($E152:K152,"t")+COUNTIF($E152:K152,"¶")+COUNTIF($E152:K152,"²")+COUNTIF($E152:K152,"µ")+COUNTIF($E152:K152,1)),
HYPERLINK("#Roadmap!C"&amp; MATCH($E152,Roadmap!$D:$D,0)+COUNTIF($E152:K152,"u")+COUNTIF($E152:K152,"t"),
     INDEX(Roadmap!$D:$K,MATCH($E152,Roadmap!$D:$D,0)+COUNTIF($E152:K152,"u")+COUNTIF($E152:K152,"t")+COUNTIF($E152:K152,"¶")+COUNTIF($E152:K152,"²")+COUNTIF($E152:K152,"µ")+COUNTIF($E152:K152,1),ColTypeEcheance)),
  IF(LEN(K152)=1,
  IF(LEN(INDEX(Roadmap!$D:$K,MATCH($E152,Roadmap!$D:$D,0)-1+COUNTIF($E152:K152,"u")+COUNTIF($E152:K152,"t")+COUNTIF($E152:K152,"¶")+COUNTIF($E152:K152,"²")+COUNTIF($E152:K152,"µ")+COUNTIF($E152:K152,1),ColDescriptionCourte))&gt;1,
HYPERLINK("#Roadmap!C"&amp; MATCH($E152,Roadmap!$D:$D,0)+COUNTIF($E152:K152,"u")+COUNTIF($E152:K152,"t")+COUNTIF($E152:K152,"¶")+COUNTIF($E152:K152,"²")+COUNTIF($E152:K152,"µ")+COUNTIF($E152:K152,1)-1,INDEX(Roadmap!$D:$K,MATCH($E152,Roadmap!$D:$D,0)-1+COUNTIF($E152:K152,"u")+COUNTIF($E152:K152,"t")+COUNTIF($E152:K152,"¶")+COUNTIF($E152:K152,"²")+COUNTIF($E152:K152,"µ")+COUNTIF($E152:K152,1),ColDescriptionCourte)),""),
  "")),"")</f>
        <v/>
      </c>
      <c r="M152" s="40" t="str">
        <f ca="1">IFERROR(IF(AND(
  INDEX(Roadmap!$D:$K,MATCH($E152,Roadmap!$D:$D,0)+COUNTIF($E152:L152,"u")+COUNTIF($E152:L152,"t")+COUNTIF($E152:L152,"¶")+COUNTIF($E152:L152,"²")+COUNTIF($E152:L152,"µ")+COUNTIF($E152:L152,1),ColLivraison)=M$6,
  VLOOKUP($E152,INDIRECT("tri!"&amp; CHAR(64+ C0Col) &amp;":"&amp; CHAR(65+C0Col)),2,FALSE)&gt;COUNTIF($E152:L152,"u")+COUNTIF($E152:L152,"t")+COUNTIF($E152:L152,"¶")+COUNTIF($E152:L152,"²")+COUNTIF($E152:L152,"µ")+COUNTIF($E152:L152,1)),
HYPERLINK("#Roadmap!C"&amp; MATCH($E152,Roadmap!$D:$D,0)+COUNTIF($E152:L152,"u")+COUNTIF($E152:L152,"t"),
     INDEX(Roadmap!$D:$K,MATCH($E152,Roadmap!$D:$D,0)+COUNTIF($E152:L152,"u")+COUNTIF($E152:L152,"t")+COUNTIF($E152:L152,"¶")+COUNTIF($E152:L152,"²")+COUNTIF($E152:L152,"µ")+COUNTIF($E152:L152,1),ColTypeEcheance)),
  IF(LEN(L152)=1,
  IF(LEN(INDEX(Roadmap!$D:$K,MATCH($E152,Roadmap!$D:$D,0)-1+COUNTIF($E152:L152,"u")+COUNTIF($E152:L152,"t")+COUNTIF($E152:L152,"¶")+COUNTIF($E152:L152,"²")+COUNTIF($E152:L152,"µ")+COUNTIF($E152:L152,1),ColDescriptionCourte))&gt;1,
HYPERLINK("#Roadmap!C"&amp; MATCH($E152,Roadmap!$D:$D,0)+COUNTIF($E152:L152,"u")+COUNTIF($E152:L152,"t")+COUNTIF($E152:L152,"¶")+COUNTIF($E152:L152,"²")+COUNTIF($E152:L152,"µ")+COUNTIF($E152:L152,1)-1,INDEX(Roadmap!$D:$K,MATCH($E152,Roadmap!$D:$D,0)-1+COUNTIF($E152:L152,"u")+COUNTIF($E152:L152,"t")+COUNTIF($E152:L152,"¶")+COUNTIF($E152:L152,"²")+COUNTIF($E152:L152,"µ")+COUNTIF($E152:L152,1),ColDescriptionCourte)),""),
  "")),"")</f>
        <v/>
      </c>
      <c r="N152" s="40" t="str">
        <f ca="1">IFERROR(IF(AND(
  INDEX(Roadmap!$D:$K,MATCH($E152,Roadmap!$D:$D,0)+COUNTIF($E152:M152,"u")+COUNTIF($E152:M152,"t")+COUNTIF($E152:M152,"¶")+COUNTIF($E152:M152,"²")+COUNTIF($E152:M152,"µ")+COUNTIF($E152:M152,1),ColLivraison)=N$6,
  VLOOKUP($E152,INDIRECT("tri!"&amp; CHAR(64+ C0Col) &amp;":"&amp; CHAR(65+C0Col)),2,FALSE)&gt;COUNTIF($E152:M152,"u")+COUNTIF($E152:M152,"t")+COUNTIF($E152:M152,"¶")+COUNTIF($E152:M152,"²")+COUNTIF($E152:M152,"µ")+COUNTIF($E152:M152,1)),
HYPERLINK("#Roadmap!C"&amp; MATCH($E152,Roadmap!$D:$D,0)+COUNTIF($E152:M152,"u")+COUNTIF($E152:M152,"t"),
     INDEX(Roadmap!$D:$K,MATCH($E152,Roadmap!$D:$D,0)+COUNTIF($E152:M152,"u")+COUNTIF($E152:M152,"t")+COUNTIF($E152:M152,"¶")+COUNTIF($E152:M152,"²")+COUNTIF($E152:M152,"µ")+COUNTIF($E152:M152,1),ColTypeEcheance)),
  IF(LEN(M152)=1,
  IF(LEN(INDEX(Roadmap!$D:$K,MATCH($E152,Roadmap!$D:$D,0)-1+COUNTIF($E152:M152,"u")+COUNTIF($E152:M152,"t")+COUNTIF($E152:M152,"¶")+COUNTIF($E152:M152,"²")+COUNTIF($E152:M152,"µ")+COUNTIF($E152:M152,1),ColDescriptionCourte))&gt;1,
HYPERLINK("#Roadmap!C"&amp; MATCH($E152,Roadmap!$D:$D,0)+COUNTIF($E152:M152,"u")+COUNTIF($E152:M152,"t")+COUNTIF($E152:M152,"¶")+COUNTIF($E152:M152,"²")+COUNTIF($E152:M152,"µ")+COUNTIF($E152:M152,1)-1,INDEX(Roadmap!$D:$K,MATCH($E152,Roadmap!$D:$D,0)-1+COUNTIF($E152:M152,"u")+COUNTIF($E152:M152,"t")+COUNTIF($E152:M152,"¶")+COUNTIF($E152:M152,"²")+COUNTIF($E152:M152,"µ")+COUNTIF($E152:M152,1),ColDescriptionCourte)),""),
  "")),"")</f>
        <v/>
      </c>
      <c r="O152" s="40" t="str">
        <f ca="1">IFERROR(IF(AND(
  INDEX(Roadmap!$D:$K,MATCH($E152,Roadmap!$D:$D,0)+COUNTIF($E152:N152,"u")+COUNTIF($E152:N152,"t")+COUNTIF($E152:N152,"¶")+COUNTIF($E152:N152,"²")+COUNTIF($E152:N152,"µ")+COUNTIF($E152:N152,1),ColLivraison)=O$6,
  VLOOKUP($E152,INDIRECT("tri!"&amp; CHAR(64+ C0Col) &amp;":"&amp; CHAR(65+C0Col)),2,FALSE)&gt;COUNTIF($E152:N152,"u")+COUNTIF($E152:N152,"t")+COUNTIF($E152:N152,"¶")+COUNTIF($E152:N152,"²")+COUNTIF($E152:N152,"µ")+COUNTIF($E152:N152,1)),
HYPERLINK("#Roadmap!C"&amp; MATCH($E152,Roadmap!$D:$D,0)+COUNTIF($E152:N152,"u")+COUNTIF($E152:N152,"t"),
     INDEX(Roadmap!$D:$K,MATCH($E152,Roadmap!$D:$D,0)+COUNTIF($E152:N152,"u")+COUNTIF($E152:N152,"t")+COUNTIF($E152:N152,"¶")+COUNTIF($E152:N152,"²")+COUNTIF($E152:N152,"µ")+COUNTIF($E152:N152,1),ColTypeEcheance)),
  IF(LEN(N152)=1,
  IF(LEN(INDEX(Roadmap!$D:$K,MATCH($E152,Roadmap!$D:$D,0)-1+COUNTIF($E152:N152,"u")+COUNTIF($E152:N152,"t")+COUNTIF($E152:N152,"¶")+COUNTIF($E152:N152,"²")+COUNTIF($E152:N152,"µ")+COUNTIF($E152:N152,1),ColDescriptionCourte))&gt;1,
HYPERLINK("#Roadmap!C"&amp; MATCH($E152,Roadmap!$D:$D,0)+COUNTIF($E152:N152,"u")+COUNTIF($E152:N152,"t")+COUNTIF($E152:N152,"¶")+COUNTIF($E152:N152,"²")+COUNTIF($E152:N152,"µ")+COUNTIF($E152:N152,1)-1,INDEX(Roadmap!$D:$K,MATCH($E152,Roadmap!$D:$D,0)-1+COUNTIF($E152:N152,"u")+COUNTIF($E152:N152,"t")+COUNTIF($E152:N152,"¶")+COUNTIF($E152:N152,"²")+COUNTIF($E152:N152,"µ")+COUNTIF($E152:N152,1),ColDescriptionCourte)),""),
  "")),"")</f>
        <v/>
      </c>
      <c r="P152" s="40" t="str">
        <f ca="1">IFERROR(IF(AND(
  INDEX(Roadmap!$D:$K,MATCH($E152,Roadmap!$D:$D,0)+COUNTIF($E152:O152,"u")+COUNTIF($E152:O152,"t")+COUNTIF($E152:O152,"¶")+COUNTIF($E152:O152,"²")+COUNTIF($E152:O152,"µ")+COUNTIF($E152:O152,1),ColLivraison)=P$6,
  VLOOKUP($E152,INDIRECT("tri!"&amp; CHAR(64+ C0Col) &amp;":"&amp; CHAR(65+C0Col)),2,FALSE)&gt;COUNTIF($E152:O152,"u")+COUNTIF($E152:O152,"t")+COUNTIF($E152:O152,"¶")+COUNTIF($E152:O152,"²")+COUNTIF($E152:O152,"µ")+COUNTIF($E152:O152,1)),
HYPERLINK("#Roadmap!C"&amp; MATCH($E152,Roadmap!$D:$D,0)+COUNTIF($E152:O152,"u")+COUNTIF($E152:O152,"t"),
     INDEX(Roadmap!$D:$K,MATCH($E152,Roadmap!$D:$D,0)+COUNTIF($E152:O152,"u")+COUNTIF($E152:O152,"t")+COUNTIF($E152:O152,"¶")+COUNTIF($E152:O152,"²")+COUNTIF($E152:O152,"µ")+COUNTIF($E152:O152,1),ColTypeEcheance)),
  IF(LEN(O152)=1,
  IF(LEN(INDEX(Roadmap!$D:$K,MATCH($E152,Roadmap!$D:$D,0)-1+COUNTIF($E152:O152,"u")+COUNTIF($E152:O152,"t")+COUNTIF($E152:O152,"¶")+COUNTIF($E152:O152,"²")+COUNTIF($E152:O152,"µ")+COUNTIF($E152:O152,1),ColDescriptionCourte))&gt;1,
HYPERLINK("#Roadmap!C"&amp; MATCH($E152,Roadmap!$D:$D,0)+COUNTIF($E152:O152,"u")+COUNTIF($E152:O152,"t")+COUNTIF($E152:O152,"¶")+COUNTIF($E152:O152,"²")+COUNTIF($E152:O152,"µ")+COUNTIF($E152:O152,1)-1,INDEX(Roadmap!$D:$K,MATCH($E152,Roadmap!$D:$D,0)-1+COUNTIF($E152:O152,"u")+COUNTIF($E152:O152,"t")+COUNTIF($E152:O152,"¶")+COUNTIF($E152:O152,"²")+COUNTIF($E152:O152,"µ")+COUNTIF($E152:O152,1),ColDescriptionCourte)),""),
  "")),"")</f>
        <v/>
      </c>
      <c r="Q152" s="40" t="str">
        <f ca="1">IFERROR(IF(AND(
  INDEX(Roadmap!$D:$K,MATCH($E152,Roadmap!$D:$D,0)+COUNTIF($E152:P152,"u")+COUNTIF($E152:P152,"t")+COUNTIF($E152:P152,"¶")+COUNTIF($E152:P152,"²")+COUNTIF($E152:P152,"µ")+COUNTIF($E152:P152,1),ColLivraison)=Q$6,
  VLOOKUP($E152,INDIRECT("tri!"&amp; CHAR(64+ C0Col) &amp;":"&amp; CHAR(65+C0Col)),2,FALSE)&gt;COUNTIF($E152:P152,"u")+COUNTIF($E152:P152,"t")+COUNTIF($E152:P152,"¶")+COUNTIF($E152:P152,"²")+COUNTIF($E152:P152,"µ")+COUNTIF($E152:P152,1)),
HYPERLINK("#Roadmap!C"&amp; MATCH($E152,Roadmap!$D:$D,0)+COUNTIF($E152:P152,"u")+COUNTIF($E152:P152,"t"),
     INDEX(Roadmap!$D:$K,MATCH($E152,Roadmap!$D:$D,0)+COUNTIF($E152:P152,"u")+COUNTIF($E152:P152,"t")+COUNTIF($E152:P152,"¶")+COUNTIF($E152:P152,"²")+COUNTIF($E152:P152,"µ")+COUNTIF($E152:P152,1),ColTypeEcheance)),
  IF(LEN(P152)=1,
  IF(LEN(INDEX(Roadmap!$D:$K,MATCH($E152,Roadmap!$D:$D,0)-1+COUNTIF($E152:P152,"u")+COUNTIF($E152:P152,"t")+COUNTIF($E152:P152,"¶")+COUNTIF($E152:P152,"²")+COUNTIF($E152:P152,"µ")+COUNTIF($E152:P152,1),ColDescriptionCourte))&gt;1,
HYPERLINK("#Roadmap!C"&amp; MATCH($E152,Roadmap!$D:$D,0)+COUNTIF($E152:P152,"u")+COUNTIF($E152:P152,"t")+COUNTIF($E152:P152,"¶")+COUNTIF($E152:P152,"²")+COUNTIF($E152:P152,"µ")+COUNTIF($E152:P152,1)-1,INDEX(Roadmap!$D:$K,MATCH($E152,Roadmap!$D:$D,0)-1+COUNTIF($E152:P152,"u")+COUNTIF($E152:P152,"t")+COUNTIF($E152:P152,"¶")+COUNTIF($E152:P152,"²")+COUNTIF($E152:P152,"µ")+COUNTIF($E152:P152,1),ColDescriptionCourte)),""),
  "")),"")</f>
        <v/>
      </c>
      <c r="R152" s="40" t="str">
        <f ca="1">IFERROR(IF(AND(
  INDEX(Roadmap!$D:$K,MATCH($E152,Roadmap!$D:$D,0)+COUNTIF($E152:Q152,"u")+COUNTIF($E152:Q152,"t")+COUNTIF($E152:Q152,"¶")+COUNTIF($E152:Q152,"²")+COUNTIF($E152:Q152,"µ")+COUNTIF($E152:Q152,1),ColLivraison)=R$6,
  VLOOKUP($E152,INDIRECT("tri!"&amp; CHAR(64+ C0Col) &amp;":"&amp; CHAR(65+C0Col)),2,FALSE)&gt;COUNTIF($E152:Q152,"u")+COUNTIF($E152:Q152,"t")+COUNTIF($E152:Q152,"¶")+COUNTIF($E152:Q152,"²")+COUNTIF($E152:Q152,"µ")+COUNTIF($E152:Q152,1)),
HYPERLINK("#Roadmap!C"&amp; MATCH($E152,Roadmap!$D:$D,0)+COUNTIF($E152:Q152,"u")+COUNTIF($E152:Q152,"t"),
     INDEX(Roadmap!$D:$K,MATCH($E152,Roadmap!$D:$D,0)+COUNTIF($E152:Q152,"u")+COUNTIF($E152:Q152,"t")+COUNTIF($E152:Q152,"¶")+COUNTIF($E152:Q152,"²")+COUNTIF($E152:Q152,"µ")+COUNTIF($E152:Q152,1),ColTypeEcheance)),
  IF(LEN(Q152)=1,
  IF(LEN(INDEX(Roadmap!$D:$K,MATCH($E152,Roadmap!$D:$D,0)-1+COUNTIF($E152:Q152,"u")+COUNTIF($E152:Q152,"t")+COUNTIF($E152:Q152,"¶")+COUNTIF($E152:Q152,"²")+COUNTIF($E152:Q152,"µ")+COUNTIF($E152:Q152,1),ColDescriptionCourte))&gt;1,
HYPERLINK("#Roadmap!C"&amp; MATCH($E152,Roadmap!$D:$D,0)+COUNTIF($E152:Q152,"u")+COUNTIF($E152:Q152,"t")+COUNTIF($E152:Q152,"¶")+COUNTIF($E152:Q152,"²")+COUNTIF($E152:Q152,"µ")+COUNTIF($E152:Q152,1)-1,INDEX(Roadmap!$D:$K,MATCH($E152,Roadmap!$D:$D,0)-1+COUNTIF($E152:Q152,"u")+COUNTIF($E152:Q152,"t")+COUNTIF($E152:Q152,"¶")+COUNTIF($E152:Q152,"²")+COUNTIF($E152:Q152,"µ")+COUNTIF($E152:Q152,1),ColDescriptionCourte)),""),
  "")),"")</f>
        <v/>
      </c>
      <c r="S152" s="40" t="str">
        <f ca="1">IFERROR(IF(AND(
  INDEX(Roadmap!$D:$K,MATCH($E152,Roadmap!$D:$D,0)+COUNTIF($E152:R152,"u")+COUNTIF($E152:R152,"t")+COUNTIF($E152:R152,"¶")+COUNTIF($E152:R152,"²")+COUNTIF($E152:R152,"µ")+COUNTIF($E152:R152,1),ColLivraison)=S$6,
  VLOOKUP($E152,INDIRECT("tri!"&amp; CHAR(64+ C0Col) &amp;":"&amp; CHAR(65+C0Col)),2,FALSE)&gt;COUNTIF($E152:R152,"u")+COUNTIF($E152:R152,"t")+COUNTIF($E152:R152,"¶")+COUNTIF($E152:R152,"²")+COUNTIF($E152:R152,"µ")+COUNTIF($E152:R152,1)),
HYPERLINK("#Roadmap!C"&amp; MATCH($E152,Roadmap!$D:$D,0)+COUNTIF($E152:R152,"u")+COUNTIF($E152:R152,"t"),
     INDEX(Roadmap!$D:$K,MATCH($E152,Roadmap!$D:$D,0)+COUNTIF($E152:R152,"u")+COUNTIF($E152:R152,"t")+COUNTIF($E152:R152,"¶")+COUNTIF($E152:R152,"²")+COUNTIF($E152:R152,"µ")+COUNTIF($E152:R152,1),ColTypeEcheance)),
  IF(LEN(R152)=1,
  IF(LEN(INDEX(Roadmap!$D:$K,MATCH($E152,Roadmap!$D:$D,0)-1+COUNTIF($E152:R152,"u")+COUNTIF($E152:R152,"t")+COUNTIF($E152:R152,"¶")+COUNTIF($E152:R152,"²")+COUNTIF($E152:R152,"µ")+COUNTIF($E152:R152,1),ColDescriptionCourte))&gt;1,
HYPERLINK("#Roadmap!C"&amp; MATCH($E152,Roadmap!$D:$D,0)+COUNTIF($E152:R152,"u")+COUNTIF($E152:R152,"t")+COUNTIF($E152:R152,"¶")+COUNTIF($E152:R152,"²")+COUNTIF($E152:R152,"µ")+COUNTIF($E152:R152,1)-1,INDEX(Roadmap!$D:$K,MATCH($E152,Roadmap!$D:$D,0)-1+COUNTIF($E152:R152,"u")+COUNTIF($E152:R152,"t")+COUNTIF($E152:R152,"¶")+COUNTIF($E152:R152,"²")+COUNTIF($E152:R152,"µ")+COUNTIF($E152:R152,1),ColDescriptionCourte)),""),
  "")),"")</f>
        <v/>
      </c>
      <c r="T152" s="40" t="str">
        <f ca="1">IFERROR(IF(AND(
  INDEX(Roadmap!$D:$K,MATCH($E152,Roadmap!$D:$D,0)+COUNTIF($E152:S152,"u")+COUNTIF($E152:S152,"t")+COUNTIF($E152:S152,"¶")+COUNTIF($E152:S152,"²")+COUNTIF($E152:S152,"µ")+COUNTIF($E152:S152,1),ColLivraison)=T$6,
  VLOOKUP($E152,INDIRECT("tri!"&amp; CHAR(64+ C0Col) &amp;":"&amp; CHAR(65+C0Col)),2,FALSE)&gt;COUNTIF($E152:S152,"u")+COUNTIF($E152:S152,"t")+COUNTIF($E152:S152,"¶")+COUNTIF($E152:S152,"²")+COUNTIF($E152:S152,"µ")+COUNTIF($E152:S152,1)),
HYPERLINK("#Roadmap!C"&amp; MATCH($E152,Roadmap!$D:$D,0)+COUNTIF($E152:S152,"u")+COUNTIF($E152:S152,"t"),
     INDEX(Roadmap!$D:$K,MATCH($E152,Roadmap!$D:$D,0)+COUNTIF($E152:S152,"u")+COUNTIF($E152:S152,"t")+COUNTIF($E152:S152,"¶")+COUNTIF($E152:S152,"²")+COUNTIF($E152:S152,"µ")+COUNTIF($E152:S152,1),ColTypeEcheance)),
  IF(LEN(S152)=1,
  IF(LEN(INDEX(Roadmap!$D:$K,MATCH($E152,Roadmap!$D:$D,0)-1+COUNTIF($E152:S152,"u")+COUNTIF($E152:S152,"t")+COUNTIF($E152:S152,"¶")+COUNTIF($E152:S152,"²")+COUNTIF($E152:S152,"µ")+COUNTIF($E152:S152,1),ColDescriptionCourte))&gt;1,
HYPERLINK("#Roadmap!C"&amp; MATCH($E152,Roadmap!$D:$D,0)+COUNTIF($E152:S152,"u")+COUNTIF($E152:S152,"t")+COUNTIF($E152:S152,"¶")+COUNTIF($E152:S152,"²")+COUNTIF($E152:S152,"µ")+COUNTIF($E152:S152,1)-1,INDEX(Roadmap!$D:$K,MATCH($E152,Roadmap!$D:$D,0)-1+COUNTIF($E152:S152,"u")+COUNTIF($E152:S152,"t")+COUNTIF($E152:S152,"¶")+COUNTIF($E152:S152,"²")+COUNTIF($E152:S152,"µ")+COUNTIF($E152:S152,1),ColDescriptionCourte)),""),
  "")),"")</f>
        <v/>
      </c>
      <c r="U152" s="40" t="str">
        <f ca="1">IFERROR(IF(AND(
  INDEX(Roadmap!$D:$K,MATCH($E152,Roadmap!$D:$D,0)+COUNTIF($E152:T152,"u")+COUNTIF($E152:T152,"t")+COUNTIF($E152:T152,"¶")+COUNTIF($E152:T152,"²")+COUNTIF($E152:T152,"µ")+COUNTIF($E152:T152,1),ColLivraison)=U$6,
  VLOOKUP($E152,INDIRECT("tri!"&amp; CHAR(64+ C0Col) &amp;":"&amp; CHAR(65+C0Col)),2,FALSE)&gt;COUNTIF($E152:T152,"u")+COUNTIF($E152:T152,"t")+COUNTIF($E152:T152,"¶")+COUNTIF($E152:T152,"²")+COUNTIF($E152:T152,"µ")+COUNTIF($E152:T152,1)),
HYPERLINK("#Roadmap!C"&amp; MATCH($E152,Roadmap!$D:$D,0)+COUNTIF($E152:T152,"u")+COUNTIF($E152:T152,"t"),
     INDEX(Roadmap!$D:$K,MATCH($E152,Roadmap!$D:$D,0)+COUNTIF($E152:T152,"u")+COUNTIF($E152:T152,"t")+COUNTIF($E152:T152,"¶")+COUNTIF($E152:T152,"²")+COUNTIF($E152:T152,"µ")+COUNTIF($E152:T152,1),ColTypeEcheance)),
  IF(LEN(T152)=1,
  IF(LEN(INDEX(Roadmap!$D:$K,MATCH($E152,Roadmap!$D:$D,0)-1+COUNTIF($E152:T152,"u")+COUNTIF($E152:T152,"t")+COUNTIF($E152:T152,"¶")+COUNTIF($E152:T152,"²")+COUNTIF($E152:T152,"µ")+COUNTIF($E152:T152,1),ColDescriptionCourte))&gt;1,
HYPERLINK("#Roadmap!C"&amp; MATCH($E152,Roadmap!$D:$D,0)+COUNTIF($E152:T152,"u")+COUNTIF($E152:T152,"t")+COUNTIF($E152:T152,"¶")+COUNTIF($E152:T152,"²")+COUNTIF($E152:T152,"µ")+COUNTIF($E152:T152,1)-1,INDEX(Roadmap!$D:$K,MATCH($E152,Roadmap!$D:$D,0)-1+COUNTIF($E152:T152,"u")+COUNTIF($E152:T152,"t")+COUNTIF($E152:T152,"¶")+COUNTIF($E152:T152,"²")+COUNTIF($E152:T152,"µ")+COUNTIF($E152:T152,1),ColDescriptionCourte)),""),
  "")),"")</f>
        <v/>
      </c>
      <c r="V152" s="40" t="str">
        <f ca="1">IFERROR(IF(AND(
  INDEX(Roadmap!$D:$K,MATCH($E152,Roadmap!$D:$D,0)+COUNTIF($E152:U152,"u")+COUNTIF($E152:U152,"t")+COUNTIF($E152:U152,"¶")+COUNTIF($E152:U152,"²")+COUNTIF($E152:U152,"µ")+COUNTIF($E152:U152,1),ColLivraison)=V$6,
  VLOOKUP($E152,INDIRECT("tri!"&amp; CHAR(64+ C0Col) &amp;":"&amp; CHAR(65+C0Col)),2,FALSE)&gt;COUNTIF($E152:U152,"u")+COUNTIF($E152:U152,"t")+COUNTIF($E152:U152,"¶")+COUNTIF($E152:U152,"²")+COUNTIF($E152:U152,"µ")+COUNTIF($E152:U152,1)),
HYPERLINK("#Roadmap!C"&amp; MATCH($E152,Roadmap!$D:$D,0)+COUNTIF($E152:U152,"u")+COUNTIF($E152:U152,"t"),
     INDEX(Roadmap!$D:$K,MATCH($E152,Roadmap!$D:$D,0)+COUNTIF($E152:U152,"u")+COUNTIF($E152:U152,"t")+COUNTIF($E152:U152,"¶")+COUNTIF($E152:U152,"²")+COUNTIF($E152:U152,"µ")+COUNTIF($E152:U152,1),ColTypeEcheance)),
  IF(LEN(U152)=1,
  IF(LEN(INDEX(Roadmap!$D:$K,MATCH($E152,Roadmap!$D:$D,0)-1+COUNTIF($E152:U152,"u")+COUNTIF($E152:U152,"t")+COUNTIF($E152:U152,"¶")+COUNTIF($E152:U152,"²")+COUNTIF($E152:U152,"µ")+COUNTIF($E152:U152,1),ColDescriptionCourte))&gt;1,
HYPERLINK("#Roadmap!C"&amp; MATCH($E152,Roadmap!$D:$D,0)+COUNTIF($E152:U152,"u")+COUNTIF($E152:U152,"t")+COUNTIF($E152:U152,"¶")+COUNTIF($E152:U152,"²")+COUNTIF($E152:U152,"µ")+COUNTIF($E152:U152,1)-1,INDEX(Roadmap!$D:$K,MATCH($E152,Roadmap!$D:$D,0)-1+COUNTIF($E152:U152,"u")+COUNTIF($E152:U152,"t")+COUNTIF($E152:U152,"¶")+COUNTIF($E152:U152,"²")+COUNTIF($E152:U152,"µ")+COUNTIF($E152:U152,1),ColDescriptionCourte)),""),
  "")),"")</f>
        <v/>
      </c>
      <c r="W152" s="40" t="str">
        <f ca="1">IFERROR(IF(AND(
  INDEX(Roadmap!$D:$K,MATCH($E152,Roadmap!$D:$D,0)+COUNTIF($E152:V152,"u")+COUNTIF($E152:V152,"t")+COUNTIF($E152:V152,"¶")+COUNTIF($E152:V152,"²")+COUNTIF($E152:V152,"µ")+COUNTIF($E152:V152,1),ColLivraison)=W$6,
  VLOOKUP($E152,INDIRECT("tri!"&amp; CHAR(64+ C0Col) &amp;":"&amp; CHAR(65+C0Col)),2,FALSE)&gt;COUNTIF($E152:V152,"u")+COUNTIF($E152:V152,"t")+COUNTIF($E152:V152,"¶")+COUNTIF($E152:V152,"²")+COUNTIF($E152:V152,"µ")+COUNTIF($E152:V152,1)),
HYPERLINK("#Roadmap!C"&amp; MATCH($E152,Roadmap!$D:$D,0)+COUNTIF($E152:V152,"u")+COUNTIF($E152:V152,"t"),
     INDEX(Roadmap!$D:$K,MATCH($E152,Roadmap!$D:$D,0)+COUNTIF($E152:V152,"u")+COUNTIF($E152:V152,"t")+COUNTIF($E152:V152,"¶")+COUNTIF($E152:V152,"²")+COUNTIF($E152:V152,"µ")+COUNTIF($E152:V152,1),ColTypeEcheance)),
  IF(LEN(V152)=1,
  IF(LEN(INDEX(Roadmap!$D:$K,MATCH($E152,Roadmap!$D:$D,0)-1+COUNTIF($E152:V152,"u")+COUNTIF($E152:V152,"t")+COUNTIF($E152:V152,"¶")+COUNTIF($E152:V152,"²")+COUNTIF($E152:V152,"µ")+COUNTIF($E152:V152,1),ColDescriptionCourte))&gt;1,
HYPERLINK("#Roadmap!C"&amp; MATCH($E152,Roadmap!$D:$D,0)+COUNTIF($E152:V152,"u")+COUNTIF($E152:V152,"t")+COUNTIF($E152:V152,"¶")+COUNTIF($E152:V152,"²")+COUNTIF($E152:V152,"µ")+COUNTIF($E152:V152,1)-1,INDEX(Roadmap!$D:$K,MATCH($E152,Roadmap!$D:$D,0)-1+COUNTIF($E152:V152,"u")+COUNTIF($E152:V152,"t")+COUNTIF($E152:V152,"¶")+COUNTIF($E152:V152,"²")+COUNTIF($E152:V152,"µ")+COUNTIF($E152:V152,1),ColDescriptionCourte)),""),
  "")),"")</f>
        <v/>
      </c>
      <c r="X152" s="40" t="str">
        <f ca="1">IFERROR(IF(AND(
  INDEX(Roadmap!$D:$K,MATCH($E152,Roadmap!$D:$D,0)+COUNTIF($E152:W152,"u")+COUNTIF($E152:W152,"t")+COUNTIF($E152:W152,"¶")+COUNTIF($E152:W152,"²")+COUNTIF($E152:W152,"µ")+COUNTIF($E152:W152,1),ColLivraison)=X$6,
  VLOOKUP($E152,INDIRECT("tri!"&amp; CHAR(64+ C0Col) &amp;":"&amp; CHAR(65+C0Col)),2,FALSE)&gt;COUNTIF($E152:W152,"u")+COUNTIF($E152:W152,"t")+COUNTIF($E152:W152,"¶")+COUNTIF($E152:W152,"²")+COUNTIF($E152:W152,"µ")+COUNTIF($E152:W152,1)),
HYPERLINK("#Roadmap!C"&amp; MATCH($E152,Roadmap!$D:$D,0)+COUNTIF($E152:W152,"u")+COUNTIF($E152:W152,"t"),
     INDEX(Roadmap!$D:$K,MATCH($E152,Roadmap!$D:$D,0)+COUNTIF($E152:W152,"u")+COUNTIF($E152:W152,"t")+COUNTIF($E152:W152,"¶")+COUNTIF($E152:W152,"²")+COUNTIF($E152:W152,"µ")+COUNTIF($E152:W152,1),ColTypeEcheance)),
  IF(LEN(W152)=1,
  IF(LEN(INDEX(Roadmap!$D:$K,MATCH($E152,Roadmap!$D:$D,0)-1+COUNTIF($E152:W152,"u")+COUNTIF($E152:W152,"t")+COUNTIF($E152:W152,"¶")+COUNTIF($E152:W152,"²")+COUNTIF($E152:W152,"µ")+COUNTIF($E152:W152,1),ColDescriptionCourte))&gt;1,
HYPERLINK("#Roadmap!C"&amp; MATCH($E152,Roadmap!$D:$D,0)+COUNTIF($E152:W152,"u")+COUNTIF($E152:W152,"t")+COUNTIF($E152:W152,"¶")+COUNTIF($E152:W152,"²")+COUNTIF($E152:W152,"µ")+COUNTIF($E152:W152,1)-1,INDEX(Roadmap!$D:$K,MATCH($E152,Roadmap!$D:$D,0)-1+COUNTIF($E152:W152,"u")+COUNTIF($E152:W152,"t")+COUNTIF($E152:W152,"¶")+COUNTIF($E152:W152,"²")+COUNTIF($E152:W152,"µ")+COUNTIF($E152:W152,1),ColDescriptionCourte)),""),
  "")),"")</f>
        <v/>
      </c>
      <c r="Y152" s="40" t="str">
        <f ca="1">IFERROR(IF(AND(
  INDEX(Roadmap!$D:$K,MATCH($E152,Roadmap!$D:$D,0)+COUNTIF($E152:X152,"u")+COUNTIF($E152:X152,"t")+COUNTIF($E152:X152,"¶")+COUNTIF($E152:X152,"²")+COUNTIF($E152:X152,"µ")+COUNTIF($E152:X152,1),ColLivraison)=Y$6,
  VLOOKUP($E152,INDIRECT("tri!"&amp; CHAR(64+ C0Col) &amp;":"&amp; CHAR(65+C0Col)),2,FALSE)&gt;COUNTIF($E152:X152,"u")+COUNTIF($E152:X152,"t")+COUNTIF($E152:X152,"¶")+COUNTIF($E152:X152,"²")+COUNTIF($E152:X152,"µ")+COUNTIF($E152:X152,1)),
HYPERLINK("#Roadmap!C"&amp; MATCH($E152,Roadmap!$D:$D,0)+COUNTIF($E152:X152,"u")+COUNTIF($E152:X152,"t"),
     INDEX(Roadmap!$D:$K,MATCH($E152,Roadmap!$D:$D,0)+COUNTIF($E152:X152,"u")+COUNTIF($E152:X152,"t")+COUNTIF($E152:X152,"¶")+COUNTIF($E152:X152,"²")+COUNTIF($E152:X152,"µ")+COUNTIF($E152:X152,1),ColTypeEcheance)),
  IF(LEN(X152)=1,
  IF(LEN(INDEX(Roadmap!$D:$K,MATCH($E152,Roadmap!$D:$D,0)-1+COUNTIF($E152:X152,"u")+COUNTIF($E152:X152,"t")+COUNTIF($E152:X152,"¶")+COUNTIF($E152:X152,"²")+COUNTIF($E152:X152,"µ")+COUNTIF($E152:X152,1),ColDescriptionCourte))&gt;1,
HYPERLINK("#Roadmap!C"&amp; MATCH($E152,Roadmap!$D:$D,0)+COUNTIF($E152:X152,"u")+COUNTIF($E152:X152,"t")+COUNTIF($E152:X152,"¶")+COUNTIF($E152:X152,"²")+COUNTIF($E152:X152,"µ")+COUNTIF($E152:X152,1)-1,INDEX(Roadmap!$D:$K,MATCH($E152,Roadmap!$D:$D,0)-1+COUNTIF($E152:X152,"u")+COUNTIF($E152:X152,"t")+COUNTIF($E152:X152,"¶")+COUNTIF($E152:X152,"²")+COUNTIF($E152:X152,"µ")+COUNTIF($E152:X152,1),ColDescriptionCourte)),""),
  "")),"")</f>
        <v/>
      </c>
      <c r="Z152" s="40" t="str">
        <f ca="1">IFERROR(IF(AND(
  INDEX(Roadmap!$D:$K,MATCH($E152,Roadmap!$D:$D,0)+COUNTIF($E152:Y152,"u")+COUNTIF($E152:Y152,"t")+COUNTIF($E152:Y152,"¶")+COUNTIF($E152:Y152,"²")+COUNTIF($E152:Y152,"µ")+COUNTIF($E152:Y152,1),ColLivraison)=Z$6,
  VLOOKUP($E152,INDIRECT("tri!"&amp; CHAR(64+ C0Col) &amp;":"&amp; CHAR(65+C0Col)),2,FALSE)&gt;COUNTIF($E152:Y152,"u")+COUNTIF($E152:Y152,"t")+COUNTIF($E152:Y152,"¶")+COUNTIF($E152:Y152,"²")+COUNTIF($E152:Y152,"µ")+COUNTIF($E152:Y152,1)),
HYPERLINK("#Roadmap!C"&amp; MATCH($E152,Roadmap!$D:$D,0)+COUNTIF($E152:Y152,"u")+COUNTIF($E152:Y152,"t"),
     INDEX(Roadmap!$D:$K,MATCH($E152,Roadmap!$D:$D,0)+COUNTIF($E152:Y152,"u")+COUNTIF($E152:Y152,"t")+COUNTIF($E152:Y152,"¶")+COUNTIF($E152:Y152,"²")+COUNTIF($E152:Y152,"µ")+COUNTIF($E152:Y152,1),ColTypeEcheance)),
  IF(LEN(Y152)=1,
  IF(LEN(INDEX(Roadmap!$D:$K,MATCH($E152,Roadmap!$D:$D,0)-1+COUNTIF($E152:Y152,"u")+COUNTIF($E152:Y152,"t")+COUNTIF($E152:Y152,"¶")+COUNTIF($E152:Y152,"²")+COUNTIF($E152:Y152,"µ")+COUNTIF($E152:Y152,1),ColDescriptionCourte))&gt;1,
HYPERLINK("#Roadmap!C"&amp; MATCH($E152,Roadmap!$D:$D,0)+COUNTIF($E152:Y152,"u")+COUNTIF($E152:Y152,"t")+COUNTIF($E152:Y152,"¶")+COUNTIF($E152:Y152,"²")+COUNTIF($E152:Y152,"µ")+COUNTIF($E152:Y152,1)-1,INDEX(Roadmap!$D:$K,MATCH($E152,Roadmap!$D:$D,0)-1+COUNTIF($E152:Y152,"u")+COUNTIF($E152:Y152,"t")+COUNTIF($E152:Y152,"¶")+COUNTIF($E152:Y152,"²")+COUNTIF($E152:Y152,"µ")+COUNTIF($E152:Y152,1),ColDescriptionCourte)),""),
  "")),"")</f>
        <v/>
      </c>
      <c r="AA152" s="40" t="str">
        <f ca="1">IFERROR(IF(AND(
  INDEX(Roadmap!$D:$K,MATCH($E152,Roadmap!$D:$D,0)+COUNTIF($E152:Z152,"u")+COUNTIF($E152:Z152,"t")+COUNTIF($E152:Z152,"¶")+COUNTIF($E152:Z152,"²")+COUNTIF($E152:Z152,"µ")+COUNTIF($E152:Z152,1),ColLivraison)=AA$6,
  VLOOKUP($E152,INDIRECT("tri!"&amp; CHAR(64+ C0Col) &amp;":"&amp; CHAR(65+C0Col)),2,FALSE)&gt;COUNTIF($E152:Z152,"u")+COUNTIF($E152:Z152,"t")+COUNTIF($E152:Z152,"¶")+COUNTIF($E152:Z152,"²")+COUNTIF($E152:Z152,"µ")+COUNTIF($E152:Z152,1)),
HYPERLINK("#Roadmap!C"&amp; MATCH($E152,Roadmap!$D:$D,0)+COUNTIF($E152:Z152,"u")+COUNTIF($E152:Z152,"t"),
     INDEX(Roadmap!$D:$K,MATCH($E152,Roadmap!$D:$D,0)+COUNTIF($E152:Z152,"u")+COUNTIF($E152:Z152,"t")+COUNTIF($E152:Z152,"¶")+COUNTIF($E152:Z152,"²")+COUNTIF($E152:Z152,"µ")+COUNTIF($E152:Z152,1),ColTypeEcheance)),
  IF(LEN(Z152)=1,
  IF(LEN(INDEX(Roadmap!$D:$K,MATCH($E152,Roadmap!$D:$D,0)-1+COUNTIF($E152:Z152,"u")+COUNTIF($E152:Z152,"t")+COUNTIF($E152:Z152,"¶")+COUNTIF($E152:Z152,"²")+COUNTIF($E152:Z152,"µ")+COUNTIF($E152:Z152,1),ColDescriptionCourte))&gt;1,
HYPERLINK("#Roadmap!C"&amp; MATCH($E152,Roadmap!$D:$D,0)+COUNTIF($E152:Z152,"u")+COUNTIF($E152:Z152,"t")+COUNTIF($E152:Z152,"¶")+COUNTIF($E152:Z152,"²")+COUNTIF($E152:Z152,"µ")+COUNTIF($E152:Z152,1)-1,INDEX(Roadmap!$D:$K,MATCH($E152,Roadmap!$D:$D,0)-1+COUNTIF($E152:Z152,"u")+COUNTIF($E152:Z152,"t")+COUNTIF($E152:Z152,"¶")+COUNTIF($E152:Z152,"²")+COUNTIF($E152:Z152,"µ")+COUNTIF($E152:Z152,1),ColDescriptionCourte)),""),
  "")),"")</f>
        <v/>
      </c>
      <c r="AB152" s="40" t="str">
        <f ca="1">IFERROR(IF(AND(
  INDEX(Roadmap!$D:$K,MATCH($E152,Roadmap!$D:$D,0)+COUNTIF($E152:AA152,"u")+COUNTIF($E152:AA152,"t")+COUNTIF($E152:AA152,"¶")+COUNTIF($E152:AA152,"²")+COUNTIF($E152:AA152,"µ")+COUNTIF($E152:AA152,1),ColLivraison)=AB$6,
  VLOOKUP($E152,INDIRECT("tri!"&amp; CHAR(64+ C0Col) &amp;":"&amp; CHAR(65+C0Col)),2,FALSE)&gt;COUNTIF($E152:AA152,"u")+COUNTIF($E152:AA152,"t")+COUNTIF($E152:AA152,"¶")+COUNTIF($E152:AA152,"²")+COUNTIF($E152:AA152,"µ")+COUNTIF($E152:AA152,1)),
HYPERLINK("#Roadmap!C"&amp; MATCH($E152,Roadmap!$D:$D,0)+COUNTIF($E152:AA152,"u")+COUNTIF($E152:AA152,"t"),
     INDEX(Roadmap!$D:$K,MATCH($E152,Roadmap!$D:$D,0)+COUNTIF($E152:AA152,"u")+COUNTIF($E152:AA152,"t")+COUNTIF($E152:AA152,"¶")+COUNTIF($E152:AA152,"²")+COUNTIF($E152:AA152,"µ")+COUNTIF($E152:AA152,1),ColTypeEcheance)),
  IF(LEN(AA152)=1,
  IF(LEN(INDEX(Roadmap!$D:$K,MATCH($E152,Roadmap!$D:$D,0)-1+COUNTIF($E152:AA152,"u")+COUNTIF($E152:AA152,"t")+COUNTIF($E152:AA152,"¶")+COUNTIF($E152:AA152,"²")+COUNTIF($E152:AA152,"µ")+COUNTIF($E152:AA152,1),ColDescriptionCourte))&gt;1,
HYPERLINK("#Roadmap!C"&amp; MATCH($E152,Roadmap!$D:$D,0)+COUNTIF($E152:AA152,"u")+COUNTIF($E152:AA152,"t")+COUNTIF($E152:AA152,"¶")+COUNTIF($E152:AA152,"²")+COUNTIF($E152:AA152,"µ")+COUNTIF($E152:AA152,1)-1,INDEX(Roadmap!$D:$K,MATCH($E152,Roadmap!$D:$D,0)-1+COUNTIF($E152:AA152,"u")+COUNTIF($E152:AA152,"t")+COUNTIF($E152:AA152,"¶")+COUNTIF($E152:AA152,"²")+COUNTIF($E152:AA152,"µ")+COUNTIF($E152:AA152,1),ColDescriptionCourte)),""),
  "")),"")</f>
        <v/>
      </c>
      <c r="AC152" s="40" t="str">
        <f ca="1">IFERROR(IF(AND(
  INDEX(Roadmap!$D:$K,MATCH($E152,Roadmap!$D:$D,0)+COUNTIF($E152:AB152,"u")+COUNTIF($E152:AB152,"t")+COUNTIF($E152:AB152,"¶")+COUNTIF($E152:AB152,"²")+COUNTIF($E152:AB152,"µ")+COUNTIF($E152:AB152,1),ColLivraison)=AC$6,
  VLOOKUP($E152,INDIRECT("tri!"&amp; CHAR(64+ C0Col) &amp;":"&amp; CHAR(65+C0Col)),2,FALSE)&gt;COUNTIF($E152:AB152,"u")+COUNTIF($E152:AB152,"t")+COUNTIF($E152:AB152,"¶")+COUNTIF($E152:AB152,"²")+COUNTIF($E152:AB152,"µ")+COUNTIF($E152:AB152,1)),
HYPERLINK("#Roadmap!C"&amp; MATCH($E152,Roadmap!$D:$D,0)+COUNTIF($E152:AB152,"u")+COUNTIF($E152:AB152,"t"),
     INDEX(Roadmap!$D:$K,MATCH($E152,Roadmap!$D:$D,0)+COUNTIF($E152:AB152,"u")+COUNTIF($E152:AB152,"t")+COUNTIF($E152:AB152,"¶")+COUNTIF($E152:AB152,"²")+COUNTIF($E152:AB152,"µ")+COUNTIF($E152:AB152,1),ColTypeEcheance)),
  IF(LEN(AB152)=1,
  IF(LEN(INDEX(Roadmap!$D:$K,MATCH($E152,Roadmap!$D:$D,0)-1+COUNTIF($E152:AB152,"u")+COUNTIF($E152:AB152,"t")+COUNTIF($E152:AB152,"¶")+COUNTIF($E152:AB152,"²")+COUNTIF($E152:AB152,"µ")+COUNTIF($E152:AB152,1),ColDescriptionCourte))&gt;1,
HYPERLINK("#Roadmap!C"&amp; MATCH($E152,Roadmap!$D:$D,0)+COUNTIF($E152:AB152,"u")+COUNTIF($E152:AB152,"t")+COUNTIF($E152:AB152,"¶")+COUNTIF($E152:AB152,"²")+COUNTIF($E152:AB152,"µ")+COUNTIF($E152:AB152,1)-1,INDEX(Roadmap!$D:$K,MATCH($E152,Roadmap!$D:$D,0)-1+COUNTIF($E152:AB152,"u")+COUNTIF($E152:AB152,"t")+COUNTIF($E152:AB152,"¶")+COUNTIF($E152:AB152,"²")+COUNTIF($E152:AB152,"µ")+COUNTIF($E152:AB152,1),ColDescriptionCourte)),""),
  "")),"")</f>
        <v/>
      </c>
      <c r="AD152" s="40" t="str">
        <f ca="1">IFERROR(IF(AND(
  INDEX(Roadmap!$D:$K,MATCH($E152,Roadmap!$D:$D,0)+COUNTIF($E152:AC152,"u")+COUNTIF($E152:AC152,"t")+COUNTIF($E152:AC152,"¶")+COUNTIF($E152:AC152,"²")+COUNTIF($E152:AC152,"µ")+COUNTIF($E152:AC152,1),ColLivraison)=AD$6,
  VLOOKUP($E152,INDIRECT("tri!"&amp; CHAR(64+ C0Col) &amp;":"&amp; CHAR(65+C0Col)),2,FALSE)&gt;COUNTIF($E152:AC152,"u")+COUNTIF($E152:AC152,"t")+COUNTIF($E152:AC152,"¶")+COUNTIF($E152:AC152,"²")+COUNTIF($E152:AC152,"µ")+COUNTIF($E152:AC152,1)),
HYPERLINK("#Roadmap!C"&amp; MATCH($E152,Roadmap!$D:$D,0)+COUNTIF($E152:AC152,"u")+COUNTIF($E152:AC152,"t"),
     INDEX(Roadmap!$D:$K,MATCH($E152,Roadmap!$D:$D,0)+COUNTIF($E152:AC152,"u")+COUNTIF($E152:AC152,"t")+COUNTIF($E152:AC152,"¶")+COUNTIF($E152:AC152,"²")+COUNTIF($E152:AC152,"µ")+COUNTIF($E152:AC152,1),ColTypeEcheance)),
  IF(LEN(AC152)=1,
  IF(LEN(INDEX(Roadmap!$D:$K,MATCH($E152,Roadmap!$D:$D,0)-1+COUNTIF($E152:AC152,"u")+COUNTIF($E152:AC152,"t")+COUNTIF($E152:AC152,"¶")+COUNTIF($E152:AC152,"²")+COUNTIF($E152:AC152,"µ")+COUNTIF($E152:AC152,1),ColDescriptionCourte))&gt;1,
HYPERLINK("#Roadmap!C"&amp; MATCH($E152,Roadmap!$D:$D,0)+COUNTIF($E152:AC152,"u")+COUNTIF($E152:AC152,"t")+COUNTIF($E152:AC152,"¶")+COUNTIF($E152:AC152,"²")+COUNTIF($E152:AC152,"µ")+COUNTIF($E152:AC152,1)-1,INDEX(Roadmap!$D:$K,MATCH($E152,Roadmap!$D:$D,0)-1+COUNTIF($E152:AC152,"u")+COUNTIF($E152:AC152,"t")+COUNTIF($E152:AC152,"¶")+COUNTIF($E152:AC152,"²")+COUNTIF($E152:AC152,"µ")+COUNTIF($E152:AC152,1),ColDescriptionCourte)),""),
  "")),"")</f>
        <v/>
      </c>
      <c r="AE152" s="40" t="str">
        <f ca="1">IFERROR(IF(AND(
  INDEX(Roadmap!$D:$K,MATCH($E152,Roadmap!$D:$D,0)+COUNTIF($E152:AD152,"u")+COUNTIF($E152:AD152,"t")+COUNTIF($E152:AD152,"¶")+COUNTIF($E152:AD152,"²")+COUNTIF($E152:AD152,"µ")+COUNTIF($E152:AD152,1),ColLivraison)=AE$6,
  VLOOKUP($E152,INDIRECT("tri!"&amp; CHAR(64+ C0Col) &amp;":"&amp; CHAR(65+C0Col)),2,FALSE)&gt;COUNTIF($E152:AD152,"u")+COUNTIF($E152:AD152,"t")+COUNTIF($E152:AD152,"¶")+COUNTIF($E152:AD152,"²")+COUNTIF($E152:AD152,"µ")+COUNTIF($E152:AD152,1)),
HYPERLINK("#Roadmap!C"&amp; MATCH($E152,Roadmap!$D:$D,0)+COUNTIF($E152:AD152,"u")+COUNTIF($E152:AD152,"t"),
     INDEX(Roadmap!$D:$K,MATCH($E152,Roadmap!$D:$D,0)+COUNTIF($E152:AD152,"u")+COUNTIF($E152:AD152,"t")+COUNTIF($E152:AD152,"¶")+COUNTIF($E152:AD152,"²")+COUNTIF($E152:AD152,"µ")+COUNTIF($E152:AD152,1),ColTypeEcheance)),
  IF(LEN(AD152)=1,
  IF(LEN(INDEX(Roadmap!$D:$K,MATCH($E152,Roadmap!$D:$D,0)-1+COUNTIF($E152:AD152,"u")+COUNTIF($E152:AD152,"t")+COUNTIF($E152:AD152,"¶")+COUNTIF($E152:AD152,"²")+COUNTIF($E152:AD152,"µ")+COUNTIF($E152:AD152,1),ColDescriptionCourte))&gt;1,
HYPERLINK("#Roadmap!C"&amp; MATCH($E152,Roadmap!$D:$D,0)+COUNTIF($E152:AD152,"u")+COUNTIF($E152:AD152,"t")+COUNTIF($E152:AD152,"¶")+COUNTIF($E152:AD152,"²")+COUNTIF($E152:AD152,"µ")+COUNTIF($E152:AD152,1)-1,INDEX(Roadmap!$D:$K,MATCH($E152,Roadmap!$D:$D,0)-1+COUNTIF($E152:AD152,"u")+COUNTIF($E152:AD152,"t")+COUNTIF($E152:AD152,"¶")+COUNTIF($E152:AD152,"²")+COUNTIF($E152:AD152,"µ")+COUNTIF($E152:AD152,1),ColDescriptionCourte)),""),
  "")),"")</f>
        <v/>
      </c>
      <c r="AF152" s="40" t="str">
        <f ca="1">IFERROR(IF(AND(
  INDEX(Roadmap!$D:$K,MATCH($E152,Roadmap!$D:$D,0)+COUNTIF($E152:AE152,"u")+COUNTIF($E152:AE152,"t")+COUNTIF($E152:AE152,"¶")+COUNTIF($E152:AE152,"²")+COUNTIF($E152:AE152,"µ")+COUNTIF($E152:AE152,1),ColLivraison)=AF$6,
  VLOOKUP($E152,INDIRECT("tri!"&amp; CHAR(64+ C0Col) &amp;":"&amp; CHAR(65+C0Col)),2,FALSE)&gt;COUNTIF($E152:AE152,"u")+COUNTIF($E152:AE152,"t")+COUNTIF($E152:AE152,"¶")+COUNTIF($E152:AE152,"²")+COUNTIF($E152:AE152,"µ")+COUNTIF($E152:AE152,1)),
HYPERLINK("#Roadmap!C"&amp; MATCH($E152,Roadmap!$D:$D,0)+COUNTIF($E152:AE152,"u")+COUNTIF($E152:AE152,"t"),
     INDEX(Roadmap!$D:$K,MATCH($E152,Roadmap!$D:$D,0)+COUNTIF($E152:AE152,"u")+COUNTIF($E152:AE152,"t")+COUNTIF($E152:AE152,"¶")+COUNTIF($E152:AE152,"²")+COUNTIF($E152:AE152,"µ")+COUNTIF($E152:AE152,1),ColTypeEcheance)),
  IF(LEN(AE152)=1,
  IF(LEN(INDEX(Roadmap!$D:$K,MATCH($E152,Roadmap!$D:$D,0)-1+COUNTIF($E152:AE152,"u")+COUNTIF($E152:AE152,"t")+COUNTIF($E152:AE152,"¶")+COUNTIF($E152:AE152,"²")+COUNTIF($E152:AE152,"µ")+COUNTIF($E152:AE152,1),ColDescriptionCourte))&gt;1,
HYPERLINK("#Roadmap!C"&amp; MATCH($E152,Roadmap!$D:$D,0)+COUNTIF($E152:AE152,"u")+COUNTIF($E152:AE152,"t")+COUNTIF($E152:AE152,"¶")+COUNTIF($E152:AE152,"²")+COUNTIF($E152:AE152,"µ")+COUNTIF($E152:AE152,1)-1,INDEX(Roadmap!$D:$K,MATCH($E152,Roadmap!$D:$D,0)-1+COUNTIF($E152:AE152,"u")+COUNTIF($E152:AE152,"t")+COUNTIF($E152:AE152,"¶")+COUNTIF($E152:AE152,"²")+COUNTIF($E152:AE152,"µ")+COUNTIF($E152:AE152,1),ColDescriptionCourte)),""),
  "")),"")</f>
        <v/>
      </c>
      <c r="AG152" s="40" t="str">
        <f ca="1">IFERROR(IF(AND(
  INDEX(Roadmap!$D:$K,MATCH($E152,Roadmap!$D:$D,0)+COUNTIF($E152:AF152,"u")+COUNTIF($E152:AF152,"t")+COUNTIF($E152:AF152,"¶")+COUNTIF($E152:AF152,"²")+COUNTIF($E152:AF152,"µ")+COUNTIF($E152:AF152,1),ColLivraison)=AG$6,
  VLOOKUP($E152,INDIRECT("tri!"&amp; CHAR(64+ C0Col) &amp;":"&amp; CHAR(65+C0Col)),2,FALSE)&gt;COUNTIF($E152:AF152,"u")+COUNTIF($E152:AF152,"t")+COUNTIF($E152:AF152,"¶")+COUNTIF($E152:AF152,"²")+COUNTIF($E152:AF152,"µ")+COUNTIF($E152:AF152,1)),
HYPERLINK("#Roadmap!C"&amp; MATCH($E152,Roadmap!$D:$D,0)+COUNTIF($E152:AF152,"u")+COUNTIF($E152:AF152,"t"),
     INDEX(Roadmap!$D:$K,MATCH($E152,Roadmap!$D:$D,0)+COUNTIF($E152:AF152,"u")+COUNTIF($E152:AF152,"t")+COUNTIF($E152:AF152,"¶")+COUNTIF($E152:AF152,"²")+COUNTIF($E152:AF152,"µ")+COUNTIF($E152:AF152,1),ColTypeEcheance)),
  IF(LEN(AF152)=1,
  IF(LEN(INDEX(Roadmap!$D:$K,MATCH($E152,Roadmap!$D:$D,0)-1+COUNTIF($E152:AF152,"u")+COUNTIF($E152:AF152,"t")+COUNTIF($E152:AF152,"¶")+COUNTIF($E152:AF152,"²")+COUNTIF($E152:AF152,"µ")+COUNTIF($E152:AF152,1),ColDescriptionCourte))&gt;1,
HYPERLINK("#Roadmap!C"&amp; MATCH($E152,Roadmap!$D:$D,0)+COUNTIF($E152:AF152,"u")+COUNTIF($E152:AF152,"t")+COUNTIF($E152:AF152,"¶")+COUNTIF($E152:AF152,"²")+COUNTIF($E152:AF152,"µ")+COUNTIF($E152:AF152,1)-1,INDEX(Roadmap!$D:$K,MATCH($E152,Roadmap!$D:$D,0)-1+COUNTIF($E152:AF152,"u")+COUNTIF($E152:AF152,"t")+COUNTIF($E152:AF152,"¶")+COUNTIF($E152:AF152,"²")+COUNTIF($E152:AF152,"µ")+COUNTIF($E152:AF152,1),ColDescriptionCourte)),""),
  "")),"")</f>
        <v/>
      </c>
    </row>
    <row r="153" spans="3:33" ht="14.25" customHeight="1">
      <c r="C153" s="1" t="str">
        <f t="shared" ca="1" si="52"/>
        <v/>
      </c>
      <c r="D153" s="1" t="str">
        <f t="shared" ca="1" si="53"/>
        <v/>
      </c>
      <c r="E153" s="35" t="str">
        <f t="shared" ca="1" si="51"/>
        <v/>
      </c>
      <c r="F153" s="39" t="str">
        <f ca="1">IFERROR(IF(AND(
  INDEX(Roadmap!$D:$K,MATCH($E153,Roadmap!$D:$D,0)+COUNTIF($E153:E153,"u")+COUNTIF($E153:E153,"t")+COUNTIF($E153:E153,"¶")+COUNTIF($E153:E153,"²")+COUNTIF($E153:E153,"µ")+COUNTIF($E153:E153,1),ColLivraison)=F$6,
  VLOOKUP($E153,INDIRECT("tri!"&amp; CHAR(64+ C0Col) &amp;":"&amp; CHAR(65+C0Col)),2,FALSE)&gt;COUNTIF($E153:E153,"u")+COUNTIF($E153:E153,"t")+COUNTIF($E153:E153,"¶")+COUNTIF($E153:E153,"²")+COUNTIF($E153:E153,"µ")+COUNTIF($E153:E153,1)),
HYPERLINK("#Roadmap!C"&amp; MATCH($E153,Roadmap!$D:$D,0)+COUNTIF($E153:E153,"u")+COUNTIF($E153:E153,"t"),
     INDEX(Roadmap!$D:$K,MATCH($E153,Roadmap!$D:$D,0)+COUNTIF($E153:E153,"u")+COUNTIF($E153:E153,"t")+COUNTIF($E153:E153,"¶")+COUNTIF($E153:E153,"²")+COUNTIF($E153:E153,"µ")+COUNTIF($E153:E153,1),ColTypeEcheance)),
  IF(LEN(E153)=1,
  IF(LEN(INDEX(Roadmap!$D:$K,MATCH($E153,Roadmap!$D:$D,0)-1+COUNTIF($E153:E153,"u")+COUNTIF($E153:E153,"t")+COUNTIF($E153:E153,"¶")+COUNTIF($E153:E153,"²")+COUNTIF($E153:E153,"µ")+COUNTIF($E153:E153,1),ColDescriptionCourte))&gt;1,
HYPERLINK("#Roadmap!C"&amp; MATCH($E153,Roadmap!$D:$D,0)+COUNTIF($E153:E153,"u")+COUNTIF($E153:E153,"t")+COUNTIF($E153:E153,"¶")+COUNTIF($E153:E153,"²")+COUNTIF($E153:E153,"µ")+COUNTIF($E153:E153,1)-1,INDEX(Roadmap!$D:$K,MATCH($E153,Roadmap!$D:$D,0)-1+COUNTIF($E153:E153,"u")+COUNTIF($E153:E153,"t")+COUNTIF($E153:E153,"¶")+COUNTIF($E153:E153,"²")+COUNTIF($E153:E153,"µ")+COUNTIF($E153:E153,1),ColDescriptionCourte)),""),
  "")),"")</f>
        <v/>
      </c>
      <c r="G153" s="40" t="str">
        <f ca="1">IFERROR(IF(AND(
  INDEX(Roadmap!$D:$K,MATCH($E153,Roadmap!$D:$D,0)+COUNTIF($E153:F153,"u")+COUNTIF($E153:F153,"t")+COUNTIF($E153:F153,"¶")+COUNTIF($E153:F153,"²")+COUNTIF($E153:F153,"µ")+COUNTIF($E153:F153,1),ColLivraison)=G$6,
  VLOOKUP($E153,INDIRECT("tri!"&amp; CHAR(64+ C0Col) &amp;":"&amp; CHAR(65+C0Col)),2,FALSE)&gt;COUNTIF($E153:F153,"u")+COUNTIF($E153:F153,"t")+COUNTIF($E153:F153,"¶")+COUNTIF($E153:F153,"²")+COUNTIF($E153:F153,"µ")+COUNTIF($E153:F153,1)),
HYPERLINK("#Roadmap!C"&amp; MATCH($E153,Roadmap!$D:$D,0)+COUNTIF($E153:F153,"u")+COUNTIF($E153:F153,"t"),
     INDEX(Roadmap!$D:$K,MATCH($E153,Roadmap!$D:$D,0)+COUNTIF($E153:F153,"u")+COUNTIF($E153:F153,"t")+COUNTIF($E153:F153,"¶")+COUNTIF($E153:F153,"²")+COUNTIF($E153:F153,"µ")+COUNTIF($E153:F153,1),ColTypeEcheance)),
  IF(LEN(F153)=1,
  IF(LEN(INDEX(Roadmap!$D:$K,MATCH($E153,Roadmap!$D:$D,0)-1+COUNTIF($E153:F153,"u")+COUNTIF($E153:F153,"t")+COUNTIF($E153:F153,"¶")+COUNTIF($E153:F153,"²")+COUNTIF($E153:F153,"µ")+COUNTIF($E153:F153,1),ColDescriptionCourte))&gt;1,
HYPERLINK("#Roadmap!C"&amp; MATCH($E153,Roadmap!$D:$D,0)+COUNTIF($E153:F153,"u")+COUNTIF($E153:F153,"t")+COUNTIF($E153:F153,"¶")+COUNTIF($E153:F153,"²")+COUNTIF($E153:F153,"µ")+COUNTIF($E153:F153,1)-1,INDEX(Roadmap!$D:$K,MATCH($E153,Roadmap!$D:$D,0)-1+COUNTIF($E153:F153,"u")+COUNTIF($E153:F153,"t")+COUNTIF($E153:F153,"¶")+COUNTIF($E153:F153,"²")+COUNTIF($E153:F153,"µ")+COUNTIF($E153:F153,1),ColDescriptionCourte)),""),
  "")),"")</f>
        <v/>
      </c>
      <c r="H153" s="40" t="str">
        <f ca="1">IFERROR(IF(AND(
  INDEX(Roadmap!$D:$K,MATCH($E153,Roadmap!$D:$D,0)+COUNTIF($E153:G153,"u")+COUNTIF($E153:G153,"t")+COUNTIF($E153:G153,"¶")+COUNTIF($E153:G153,"²")+COUNTIF($E153:G153,"µ")+COUNTIF($E153:G153,1),ColLivraison)=H$6,
  VLOOKUP($E153,INDIRECT("tri!"&amp; CHAR(64+ C0Col) &amp;":"&amp; CHAR(65+C0Col)),2,FALSE)&gt;COUNTIF($E153:G153,"u")+COUNTIF($E153:G153,"t")+COUNTIF($E153:G153,"¶")+COUNTIF($E153:G153,"²")+COUNTIF($E153:G153,"µ")+COUNTIF($E153:G153,1)),
HYPERLINK("#Roadmap!C"&amp; MATCH($E153,Roadmap!$D:$D,0)+COUNTIF($E153:G153,"u")+COUNTIF($E153:G153,"t"),
     INDEX(Roadmap!$D:$K,MATCH($E153,Roadmap!$D:$D,0)+COUNTIF($E153:G153,"u")+COUNTIF($E153:G153,"t")+COUNTIF($E153:G153,"¶")+COUNTIF($E153:G153,"²")+COUNTIF($E153:G153,"µ")+COUNTIF($E153:G153,1),ColTypeEcheance)),
  IF(LEN(G153)=1,
  IF(LEN(INDEX(Roadmap!$D:$K,MATCH($E153,Roadmap!$D:$D,0)-1+COUNTIF($E153:G153,"u")+COUNTIF($E153:G153,"t")+COUNTIF($E153:G153,"¶")+COUNTIF($E153:G153,"²")+COUNTIF($E153:G153,"µ")+COUNTIF($E153:G153,1),ColDescriptionCourte))&gt;1,
HYPERLINK("#Roadmap!C"&amp; MATCH($E153,Roadmap!$D:$D,0)+COUNTIF($E153:G153,"u")+COUNTIF($E153:G153,"t")+COUNTIF($E153:G153,"¶")+COUNTIF($E153:G153,"²")+COUNTIF($E153:G153,"µ")+COUNTIF($E153:G153,1)-1,INDEX(Roadmap!$D:$K,MATCH($E153,Roadmap!$D:$D,0)-1+COUNTIF($E153:G153,"u")+COUNTIF($E153:G153,"t")+COUNTIF($E153:G153,"¶")+COUNTIF($E153:G153,"²")+COUNTIF($E153:G153,"µ")+COUNTIF($E153:G153,1),ColDescriptionCourte)),""),
  "")),"")</f>
        <v/>
      </c>
      <c r="I153" s="40" t="str">
        <f ca="1">IFERROR(IF(AND(
  INDEX(Roadmap!$D:$K,MATCH($E153,Roadmap!$D:$D,0)+COUNTIF($E153:H153,"u")+COUNTIF($E153:H153,"t")+COUNTIF($E153:H153,"¶")+COUNTIF($E153:H153,"²")+COUNTIF($E153:H153,"µ")+COUNTIF($E153:H153,1),ColLivraison)=I$6,
  VLOOKUP($E153,INDIRECT("tri!"&amp; CHAR(64+ C0Col) &amp;":"&amp; CHAR(65+C0Col)),2,FALSE)&gt;COUNTIF($E153:H153,"u")+COUNTIF($E153:H153,"t")+COUNTIF($E153:H153,"¶")+COUNTIF($E153:H153,"²")+COUNTIF($E153:H153,"µ")+COUNTIF($E153:H153,1)),
HYPERLINK("#Roadmap!C"&amp; MATCH($E153,Roadmap!$D:$D,0)+COUNTIF($E153:H153,"u")+COUNTIF($E153:H153,"t"),
     INDEX(Roadmap!$D:$K,MATCH($E153,Roadmap!$D:$D,0)+COUNTIF($E153:H153,"u")+COUNTIF($E153:H153,"t")+COUNTIF($E153:H153,"¶")+COUNTIF($E153:H153,"²")+COUNTIF($E153:H153,"µ")+COUNTIF($E153:H153,1),ColTypeEcheance)),
  IF(LEN(H153)=1,
  IF(LEN(INDEX(Roadmap!$D:$K,MATCH($E153,Roadmap!$D:$D,0)-1+COUNTIF($E153:H153,"u")+COUNTIF($E153:H153,"t")+COUNTIF($E153:H153,"¶")+COUNTIF($E153:H153,"²")+COUNTIF($E153:H153,"µ")+COUNTIF($E153:H153,1),ColDescriptionCourte))&gt;1,
HYPERLINK("#Roadmap!C"&amp; MATCH($E153,Roadmap!$D:$D,0)+COUNTIF($E153:H153,"u")+COUNTIF($E153:H153,"t")+COUNTIF($E153:H153,"¶")+COUNTIF($E153:H153,"²")+COUNTIF($E153:H153,"µ")+COUNTIF($E153:H153,1)-1,INDEX(Roadmap!$D:$K,MATCH($E153,Roadmap!$D:$D,0)-1+COUNTIF($E153:H153,"u")+COUNTIF($E153:H153,"t")+COUNTIF($E153:H153,"¶")+COUNTIF($E153:H153,"²")+COUNTIF($E153:H153,"µ")+COUNTIF($E153:H153,1),ColDescriptionCourte)),""),
  "")),"")</f>
        <v/>
      </c>
      <c r="J153" s="40" t="str">
        <f ca="1">IFERROR(IF(AND(
  INDEX(Roadmap!$D:$K,MATCH($E153,Roadmap!$D:$D,0)+COUNTIF($E153:I153,"u")+COUNTIF($E153:I153,"t")+COUNTIF($E153:I153,"¶")+COUNTIF($E153:I153,"²")+COUNTIF($E153:I153,"µ")+COUNTIF($E153:I153,1),ColLivraison)=J$6,
  VLOOKUP($E153,INDIRECT("tri!"&amp; CHAR(64+ C0Col) &amp;":"&amp; CHAR(65+C0Col)),2,FALSE)&gt;COUNTIF($E153:I153,"u")+COUNTIF($E153:I153,"t")+COUNTIF($E153:I153,"¶")+COUNTIF($E153:I153,"²")+COUNTIF($E153:I153,"µ")+COUNTIF($E153:I153,1)),
HYPERLINK("#Roadmap!C"&amp; MATCH($E153,Roadmap!$D:$D,0)+COUNTIF($E153:I153,"u")+COUNTIF($E153:I153,"t"),
     INDEX(Roadmap!$D:$K,MATCH($E153,Roadmap!$D:$D,0)+COUNTIF($E153:I153,"u")+COUNTIF($E153:I153,"t")+COUNTIF($E153:I153,"¶")+COUNTIF($E153:I153,"²")+COUNTIF($E153:I153,"µ")+COUNTIF($E153:I153,1),ColTypeEcheance)),
  IF(LEN(I153)=1,
  IF(LEN(INDEX(Roadmap!$D:$K,MATCH($E153,Roadmap!$D:$D,0)-1+COUNTIF($E153:I153,"u")+COUNTIF($E153:I153,"t")+COUNTIF($E153:I153,"¶")+COUNTIF($E153:I153,"²")+COUNTIF($E153:I153,"µ")+COUNTIF($E153:I153,1),ColDescriptionCourte))&gt;1,
HYPERLINK("#Roadmap!C"&amp; MATCH($E153,Roadmap!$D:$D,0)+COUNTIF($E153:I153,"u")+COUNTIF($E153:I153,"t")+COUNTIF($E153:I153,"¶")+COUNTIF($E153:I153,"²")+COUNTIF($E153:I153,"µ")+COUNTIF($E153:I153,1)-1,INDEX(Roadmap!$D:$K,MATCH($E153,Roadmap!$D:$D,0)-1+COUNTIF($E153:I153,"u")+COUNTIF($E153:I153,"t")+COUNTIF($E153:I153,"¶")+COUNTIF($E153:I153,"²")+COUNTIF($E153:I153,"µ")+COUNTIF($E153:I153,1),ColDescriptionCourte)),""),
  "")),"")</f>
        <v/>
      </c>
      <c r="K153" s="40" t="str">
        <f ca="1">IFERROR(IF(AND(
  INDEX(Roadmap!$D:$K,MATCH($E153,Roadmap!$D:$D,0)+COUNTIF($E153:J153,"u")+COUNTIF($E153:J153,"t")+COUNTIF($E153:J153,"¶")+COUNTIF($E153:J153,"²")+COUNTIF($E153:J153,"µ")+COUNTIF($E153:J153,1),ColLivraison)=K$6,
  VLOOKUP($E153,INDIRECT("tri!"&amp; CHAR(64+ C0Col) &amp;":"&amp; CHAR(65+C0Col)),2,FALSE)&gt;COUNTIF($E153:J153,"u")+COUNTIF($E153:J153,"t")+COUNTIF($E153:J153,"¶")+COUNTIF($E153:J153,"²")+COUNTIF($E153:J153,"µ")+COUNTIF($E153:J153,1)),
HYPERLINK("#Roadmap!C"&amp; MATCH($E153,Roadmap!$D:$D,0)+COUNTIF($E153:J153,"u")+COUNTIF($E153:J153,"t"),
     INDEX(Roadmap!$D:$K,MATCH($E153,Roadmap!$D:$D,0)+COUNTIF($E153:J153,"u")+COUNTIF($E153:J153,"t")+COUNTIF($E153:J153,"¶")+COUNTIF($E153:J153,"²")+COUNTIF($E153:J153,"µ")+COUNTIF($E153:J153,1),ColTypeEcheance)),
  IF(LEN(J153)=1,
  IF(LEN(INDEX(Roadmap!$D:$K,MATCH($E153,Roadmap!$D:$D,0)-1+COUNTIF($E153:J153,"u")+COUNTIF($E153:J153,"t")+COUNTIF($E153:J153,"¶")+COUNTIF($E153:J153,"²")+COUNTIF($E153:J153,"µ")+COUNTIF($E153:J153,1),ColDescriptionCourte))&gt;1,
HYPERLINK("#Roadmap!C"&amp; MATCH($E153,Roadmap!$D:$D,0)+COUNTIF($E153:J153,"u")+COUNTIF($E153:J153,"t")+COUNTIF($E153:J153,"¶")+COUNTIF($E153:J153,"²")+COUNTIF($E153:J153,"µ")+COUNTIF($E153:J153,1)-1,INDEX(Roadmap!$D:$K,MATCH($E153,Roadmap!$D:$D,0)-1+COUNTIF($E153:J153,"u")+COUNTIF($E153:J153,"t")+COUNTIF($E153:J153,"¶")+COUNTIF($E153:J153,"²")+COUNTIF($E153:J153,"µ")+COUNTIF($E153:J153,1),ColDescriptionCourte)),""),
  "")),"")</f>
        <v/>
      </c>
      <c r="L153" s="39" t="str">
        <f ca="1">IFERROR(IF(AND(
  INDEX(Roadmap!$D:$K,MATCH($E153,Roadmap!$D:$D,0)+COUNTIF($E153:K153,"u")+COUNTIF($E153:K153,"t")+COUNTIF($E153:K153,"¶")+COUNTIF($E153:K153,"²")+COUNTIF($E153:K153,"µ")+COUNTIF($E153:K153,1),ColLivraison)=L$6,
  VLOOKUP($E153,INDIRECT("tri!"&amp; CHAR(64+ C0Col) &amp;":"&amp; CHAR(65+C0Col)),2,FALSE)&gt;COUNTIF($E153:K153,"u")+COUNTIF($E153:K153,"t")+COUNTIF($E153:K153,"¶")+COUNTIF($E153:K153,"²")+COUNTIF($E153:K153,"µ")+COUNTIF($E153:K153,1)),
HYPERLINK("#Roadmap!C"&amp; MATCH($E153,Roadmap!$D:$D,0)+COUNTIF($E153:K153,"u")+COUNTIF($E153:K153,"t"),
     INDEX(Roadmap!$D:$K,MATCH($E153,Roadmap!$D:$D,0)+COUNTIF($E153:K153,"u")+COUNTIF($E153:K153,"t")+COUNTIF($E153:K153,"¶")+COUNTIF($E153:K153,"²")+COUNTIF($E153:K153,"µ")+COUNTIF($E153:K153,1),ColTypeEcheance)),
  IF(LEN(K153)=1,
  IF(LEN(INDEX(Roadmap!$D:$K,MATCH($E153,Roadmap!$D:$D,0)-1+COUNTIF($E153:K153,"u")+COUNTIF($E153:K153,"t")+COUNTIF($E153:K153,"¶")+COUNTIF($E153:K153,"²")+COUNTIF($E153:K153,"µ")+COUNTIF($E153:K153,1),ColDescriptionCourte))&gt;1,
HYPERLINK("#Roadmap!C"&amp; MATCH($E153,Roadmap!$D:$D,0)+COUNTIF($E153:K153,"u")+COUNTIF($E153:K153,"t")+COUNTIF($E153:K153,"¶")+COUNTIF($E153:K153,"²")+COUNTIF($E153:K153,"µ")+COUNTIF($E153:K153,1)-1,INDEX(Roadmap!$D:$K,MATCH($E153,Roadmap!$D:$D,0)-1+COUNTIF($E153:K153,"u")+COUNTIF($E153:K153,"t")+COUNTIF($E153:K153,"¶")+COUNTIF($E153:K153,"²")+COUNTIF($E153:K153,"µ")+COUNTIF($E153:K153,1),ColDescriptionCourte)),""),
  "")),"")</f>
        <v/>
      </c>
      <c r="M153" s="40" t="str">
        <f ca="1">IFERROR(IF(AND(
  INDEX(Roadmap!$D:$K,MATCH($E153,Roadmap!$D:$D,0)+COUNTIF($E153:L153,"u")+COUNTIF($E153:L153,"t")+COUNTIF($E153:L153,"¶")+COUNTIF($E153:L153,"²")+COUNTIF($E153:L153,"µ")+COUNTIF($E153:L153,1),ColLivraison)=M$6,
  VLOOKUP($E153,INDIRECT("tri!"&amp; CHAR(64+ C0Col) &amp;":"&amp; CHAR(65+C0Col)),2,FALSE)&gt;COUNTIF($E153:L153,"u")+COUNTIF($E153:L153,"t")+COUNTIF($E153:L153,"¶")+COUNTIF($E153:L153,"²")+COUNTIF($E153:L153,"µ")+COUNTIF($E153:L153,1)),
HYPERLINK("#Roadmap!C"&amp; MATCH($E153,Roadmap!$D:$D,0)+COUNTIF($E153:L153,"u")+COUNTIF($E153:L153,"t"),
     INDEX(Roadmap!$D:$K,MATCH($E153,Roadmap!$D:$D,0)+COUNTIF($E153:L153,"u")+COUNTIF($E153:L153,"t")+COUNTIF($E153:L153,"¶")+COUNTIF($E153:L153,"²")+COUNTIF($E153:L153,"µ")+COUNTIF($E153:L153,1),ColTypeEcheance)),
  IF(LEN(L153)=1,
  IF(LEN(INDEX(Roadmap!$D:$K,MATCH($E153,Roadmap!$D:$D,0)-1+COUNTIF($E153:L153,"u")+COUNTIF($E153:L153,"t")+COUNTIF($E153:L153,"¶")+COUNTIF($E153:L153,"²")+COUNTIF($E153:L153,"µ")+COUNTIF($E153:L153,1),ColDescriptionCourte))&gt;1,
HYPERLINK("#Roadmap!C"&amp; MATCH($E153,Roadmap!$D:$D,0)+COUNTIF($E153:L153,"u")+COUNTIF($E153:L153,"t")+COUNTIF($E153:L153,"¶")+COUNTIF($E153:L153,"²")+COUNTIF($E153:L153,"µ")+COUNTIF($E153:L153,1)-1,INDEX(Roadmap!$D:$K,MATCH($E153,Roadmap!$D:$D,0)-1+COUNTIF($E153:L153,"u")+COUNTIF($E153:L153,"t")+COUNTIF($E153:L153,"¶")+COUNTIF($E153:L153,"²")+COUNTIF($E153:L153,"µ")+COUNTIF($E153:L153,1),ColDescriptionCourte)),""),
  "")),"")</f>
        <v/>
      </c>
      <c r="N153" s="40" t="str">
        <f ca="1">IFERROR(IF(AND(
  INDEX(Roadmap!$D:$K,MATCH($E153,Roadmap!$D:$D,0)+COUNTIF($E153:M153,"u")+COUNTIF($E153:M153,"t")+COUNTIF($E153:M153,"¶")+COUNTIF($E153:M153,"²")+COUNTIF($E153:M153,"µ")+COUNTIF($E153:M153,1),ColLivraison)=N$6,
  VLOOKUP($E153,INDIRECT("tri!"&amp; CHAR(64+ C0Col) &amp;":"&amp; CHAR(65+C0Col)),2,FALSE)&gt;COUNTIF($E153:M153,"u")+COUNTIF($E153:M153,"t")+COUNTIF($E153:M153,"¶")+COUNTIF($E153:M153,"²")+COUNTIF($E153:M153,"µ")+COUNTIF($E153:M153,1)),
HYPERLINK("#Roadmap!C"&amp; MATCH($E153,Roadmap!$D:$D,0)+COUNTIF($E153:M153,"u")+COUNTIF($E153:M153,"t"),
     INDEX(Roadmap!$D:$K,MATCH($E153,Roadmap!$D:$D,0)+COUNTIF($E153:M153,"u")+COUNTIF($E153:M153,"t")+COUNTIF($E153:M153,"¶")+COUNTIF($E153:M153,"²")+COUNTIF($E153:M153,"µ")+COUNTIF($E153:M153,1),ColTypeEcheance)),
  IF(LEN(M153)=1,
  IF(LEN(INDEX(Roadmap!$D:$K,MATCH($E153,Roadmap!$D:$D,0)-1+COUNTIF($E153:M153,"u")+COUNTIF($E153:M153,"t")+COUNTIF($E153:M153,"¶")+COUNTIF($E153:M153,"²")+COUNTIF($E153:M153,"µ")+COUNTIF($E153:M153,1),ColDescriptionCourte))&gt;1,
HYPERLINK("#Roadmap!C"&amp; MATCH($E153,Roadmap!$D:$D,0)+COUNTIF($E153:M153,"u")+COUNTIF($E153:M153,"t")+COUNTIF($E153:M153,"¶")+COUNTIF($E153:M153,"²")+COUNTIF($E153:M153,"µ")+COUNTIF($E153:M153,1)-1,INDEX(Roadmap!$D:$K,MATCH($E153,Roadmap!$D:$D,0)-1+COUNTIF($E153:M153,"u")+COUNTIF($E153:M153,"t")+COUNTIF($E153:M153,"¶")+COUNTIF($E153:M153,"²")+COUNTIF($E153:M153,"µ")+COUNTIF($E153:M153,1),ColDescriptionCourte)),""),
  "")),"")</f>
        <v/>
      </c>
      <c r="O153" s="40" t="str">
        <f ca="1">IFERROR(IF(AND(
  INDEX(Roadmap!$D:$K,MATCH($E153,Roadmap!$D:$D,0)+COUNTIF($E153:N153,"u")+COUNTIF($E153:N153,"t")+COUNTIF($E153:N153,"¶")+COUNTIF($E153:N153,"²")+COUNTIF($E153:N153,"µ")+COUNTIF($E153:N153,1),ColLivraison)=O$6,
  VLOOKUP($E153,INDIRECT("tri!"&amp; CHAR(64+ C0Col) &amp;":"&amp; CHAR(65+C0Col)),2,FALSE)&gt;COUNTIF($E153:N153,"u")+COUNTIF($E153:N153,"t")+COUNTIF($E153:N153,"¶")+COUNTIF($E153:N153,"²")+COUNTIF($E153:N153,"µ")+COUNTIF($E153:N153,1)),
HYPERLINK("#Roadmap!C"&amp; MATCH($E153,Roadmap!$D:$D,0)+COUNTIF($E153:N153,"u")+COUNTIF($E153:N153,"t"),
     INDEX(Roadmap!$D:$K,MATCH($E153,Roadmap!$D:$D,0)+COUNTIF($E153:N153,"u")+COUNTIF($E153:N153,"t")+COUNTIF($E153:N153,"¶")+COUNTIF($E153:N153,"²")+COUNTIF($E153:N153,"µ")+COUNTIF($E153:N153,1),ColTypeEcheance)),
  IF(LEN(N153)=1,
  IF(LEN(INDEX(Roadmap!$D:$K,MATCH($E153,Roadmap!$D:$D,0)-1+COUNTIF($E153:N153,"u")+COUNTIF($E153:N153,"t")+COUNTIF($E153:N153,"¶")+COUNTIF($E153:N153,"²")+COUNTIF($E153:N153,"µ")+COUNTIF($E153:N153,1),ColDescriptionCourte))&gt;1,
HYPERLINK("#Roadmap!C"&amp; MATCH($E153,Roadmap!$D:$D,0)+COUNTIF($E153:N153,"u")+COUNTIF($E153:N153,"t")+COUNTIF($E153:N153,"¶")+COUNTIF($E153:N153,"²")+COUNTIF($E153:N153,"µ")+COUNTIF($E153:N153,1)-1,INDEX(Roadmap!$D:$K,MATCH($E153,Roadmap!$D:$D,0)-1+COUNTIF($E153:N153,"u")+COUNTIF($E153:N153,"t")+COUNTIF($E153:N153,"¶")+COUNTIF($E153:N153,"²")+COUNTIF($E153:N153,"µ")+COUNTIF($E153:N153,1),ColDescriptionCourte)),""),
  "")),"")</f>
        <v/>
      </c>
      <c r="P153" s="40" t="str">
        <f ca="1">IFERROR(IF(AND(
  INDEX(Roadmap!$D:$K,MATCH($E153,Roadmap!$D:$D,0)+COUNTIF($E153:O153,"u")+COUNTIF($E153:O153,"t")+COUNTIF($E153:O153,"¶")+COUNTIF($E153:O153,"²")+COUNTIF($E153:O153,"µ")+COUNTIF($E153:O153,1),ColLivraison)=P$6,
  VLOOKUP($E153,INDIRECT("tri!"&amp; CHAR(64+ C0Col) &amp;":"&amp; CHAR(65+C0Col)),2,FALSE)&gt;COUNTIF($E153:O153,"u")+COUNTIF($E153:O153,"t")+COUNTIF($E153:O153,"¶")+COUNTIF($E153:O153,"²")+COUNTIF($E153:O153,"µ")+COUNTIF($E153:O153,1)),
HYPERLINK("#Roadmap!C"&amp; MATCH($E153,Roadmap!$D:$D,0)+COUNTIF($E153:O153,"u")+COUNTIF($E153:O153,"t"),
     INDEX(Roadmap!$D:$K,MATCH($E153,Roadmap!$D:$D,0)+COUNTIF($E153:O153,"u")+COUNTIF($E153:O153,"t")+COUNTIF($E153:O153,"¶")+COUNTIF($E153:O153,"²")+COUNTIF($E153:O153,"µ")+COUNTIF($E153:O153,1),ColTypeEcheance)),
  IF(LEN(O153)=1,
  IF(LEN(INDEX(Roadmap!$D:$K,MATCH($E153,Roadmap!$D:$D,0)-1+COUNTIF($E153:O153,"u")+COUNTIF($E153:O153,"t")+COUNTIF($E153:O153,"¶")+COUNTIF($E153:O153,"²")+COUNTIF($E153:O153,"µ")+COUNTIF($E153:O153,1),ColDescriptionCourte))&gt;1,
HYPERLINK("#Roadmap!C"&amp; MATCH($E153,Roadmap!$D:$D,0)+COUNTIF($E153:O153,"u")+COUNTIF($E153:O153,"t")+COUNTIF($E153:O153,"¶")+COUNTIF($E153:O153,"²")+COUNTIF($E153:O153,"µ")+COUNTIF($E153:O153,1)-1,INDEX(Roadmap!$D:$K,MATCH($E153,Roadmap!$D:$D,0)-1+COUNTIF($E153:O153,"u")+COUNTIF($E153:O153,"t")+COUNTIF($E153:O153,"¶")+COUNTIF($E153:O153,"²")+COUNTIF($E153:O153,"µ")+COUNTIF($E153:O153,1),ColDescriptionCourte)),""),
  "")),"")</f>
        <v/>
      </c>
      <c r="Q153" s="40" t="str">
        <f ca="1">IFERROR(IF(AND(
  INDEX(Roadmap!$D:$K,MATCH($E153,Roadmap!$D:$D,0)+COUNTIF($E153:P153,"u")+COUNTIF($E153:P153,"t")+COUNTIF($E153:P153,"¶")+COUNTIF($E153:P153,"²")+COUNTIF($E153:P153,"µ")+COUNTIF($E153:P153,1),ColLivraison)=Q$6,
  VLOOKUP($E153,INDIRECT("tri!"&amp; CHAR(64+ C0Col) &amp;":"&amp; CHAR(65+C0Col)),2,FALSE)&gt;COUNTIF($E153:P153,"u")+COUNTIF($E153:P153,"t")+COUNTIF($E153:P153,"¶")+COUNTIF($E153:P153,"²")+COUNTIF($E153:P153,"µ")+COUNTIF($E153:P153,1)),
HYPERLINK("#Roadmap!C"&amp; MATCH($E153,Roadmap!$D:$D,0)+COUNTIF($E153:P153,"u")+COUNTIF($E153:P153,"t"),
     INDEX(Roadmap!$D:$K,MATCH($E153,Roadmap!$D:$D,0)+COUNTIF($E153:P153,"u")+COUNTIF($E153:P153,"t")+COUNTIF($E153:P153,"¶")+COUNTIF($E153:P153,"²")+COUNTIF($E153:P153,"µ")+COUNTIF($E153:P153,1),ColTypeEcheance)),
  IF(LEN(P153)=1,
  IF(LEN(INDEX(Roadmap!$D:$K,MATCH($E153,Roadmap!$D:$D,0)-1+COUNTIF($E153:P153,"u")+COUNTIF($E153:P153,"t")+COUNTIF($E153:P153,"¶")+COUNTIF($E153:P153,"²")+COUNTIF($E153:P153,"µ")+COUNTIF($E153:P153,1),ColDescriptionCourte))&gt;1,
HYPERLINK("#Roadmap!C"&amp; MATCH($E153,Roadmap!$D:$D,0)+COUNTIF($E153:P153,"u")+COUNTIF($E153:P153,"t")+COUNTIF($E153:P153,"¶")+COUNTIF($E153:P153,"²")+COUNTIF($E153:P153,"µ")+COUNTIF($E153:P153,1)-1,INDEX(Roadmap!$D:$K,MATCH($E153,Roadmap!$D:$D,0)-1+COUNTIF($E153:P153,"u")+COUNTIF($E153:P153,"t")+COUNTIF($E153:P153,"¶")+COUNTIF($E153:P153,"²")+COUNTIF($E153:P153,"µ")+COUNTIF($E153:P153,1),ColDescriptionCourte)),""),
  "")),"")</f>
        <v/>
      </c>
      <c r="R153" s="40" t="str">
        <f ca="1">IFERROR(IF(AND(
  INDEX(Roadmap!$D:$K,MATCH($E153,Roadmap!$D:$D,0)+COUNTIF($E153:Q153,"u")+COUNTIF($E153:Q153,"t")+COUNTIF($E153:Q153,"¶")+COUNTIF($E153:Q153,"²")+COUNTIF($E153:Q153,"µ")+COUNTIF($E153:Q153,1),ColLivraison)=R$6,
  VLOOKUP($E153,INDIRECT("tri!"&amp; CHAR(64+ C0Col) &amp;":"&amp; CHAR(65+C0Col)),2,FALSE)&gt;COUNTIF($E153:Q153,"u")+COUNTIF($E153:Q153,"t")+COUNTIF($E153:Q153,"¶")+COUNTIF($E153:Q153,"²")+COUNTIF($E153:Q153,"µ")+COUNTIF($E153:Q153,1)),
HYPERLINK("#Roadmap!C"&amp; MATCH($E153,Roadmap!$D:$D,0)+COUNTIF($E153:Q153,"u")+COUNTIF($E153:Q153,"t"),
     INDEX(Roadmap!$D:$K,MATCH($E153,Roadmap!$D:$D,0)+COUNTIF($E153:Q153,"u")+COUNTIF($E153:Q153,"t")+COUNTIF($E153:Q153,"¶")+COUNTIF($E153:Q153,"²")+COUNTIF($E153:Q153,"µ")+COUNTIF($E153:Q153,1),ColTypeEcheance)),
  IF(LEN(Q153)=1,
  IF(LEN(INDEX(Roadmap!$D:$K,MATCH($E153,Roadmap!$D:$D,0)-1+COUNTIF($E153:Q153,"u")+COUNTIF($E153:Q153,"t")+COUNTIF($E153:Q153,"¶")+COUNTIF($E153:Q153,"²")+COUNTIF($E153:Q153,"µ")+COUNTIF($E153:Q153,1),ColDescriptionCourte))&gt;1,
HYPERLINK("#Roadmap!C"&amp; MATCH($E153,Roadmap!$D:$D,0)+COUNTIF($E153:Q153,"u")+COUNTIF($E153:Q153,"t")+COUNTIF($E153:Q153,"¶")+COUNTIF($E153:Q153,"²")+COUNTIF($E153:Q153,"µ")+COUNTIF($E153:Q153,1)-1,INDEX(Roadmap!$D:$K,MATCH($E153,Roadmap!$D:$D,0)-1+COUNTIF($E153:Q153,"u")+COUNTIF($E153:Q153,"t")+COUNTIF($E153:Q153,"¶")+COUNTIF($E153:Q153,"²")+COUNTIF($E153:Q153,"µ")+COUNTIF($E153:Q153,1),ColDescriptionCourte)),""),
  "")),"")</f>
        <v/>
      </c>
      <c r="S153" s="40" t="str">
        <f ca="1">IFERROR(IF(AND(
  INDEX(Roadmap!$D:$K,MATCH($E153,Roadmap!$D:$D,0)+COUNTIF($E153:R153,"u")+COUNTIF($E153:R153,"t")+COUNTIF($E153:R153,"¶")+COUNTIF($E153:R153,"²")+COUNTIF($E153:R153,"µ")+COUNTIF($E153:R153,1),ColLivraison)=S$6,
  VLOOKUP($E153,INDIRECT("tri!"&amp; CHAR(64+ C0Col) &amp;":"&amp; CHAR(65+C0Col)),2,FALSE)&gt;COUNTIF($E153:R153,"u")+COUNTIF($E153:R153,"t")+COUNTIF($E153:R153,"¶")+COUNTIF($E153:R153,"²")+COUNTIF($E153:R153,"µ")+COUNTIF($E153:R153,1)),
HYPERLINK("#Roadmap!C"&amp; MATCH($E153,Roadmap!$D:$D,0)+COUNTIF($E153:R153,"u")+COUNTIF($E153:R153,"t"),
     INDEX(Roadmap!$D:$K,MATCH($E153,Roadmap!$D:$D,0)+COUNTIF($E153:R153,"u")+COUNTIF($E153:R153,"t")+COUNTIF($E153:R153,"¶")+COUNTIF($E153:R153,"²")+COUNTIF($E153:R153,"µ")+COUNTIF($E153:R153,1),ColTypeEcheance)),
  IF(LEN(R153)=1,
  IF(LEN(INDEX(Roadmap!$D:$K,MATCH($E153,Roadmap!$D:$D,0)-1+COUNTIF($E153:R153,"u")+COUNTIF($E153:R153,"t")+COUNTIF($E153:R153,"¶")+COUNTIF($E153:R153,"²")+COUNTIF($E153:R153,"µ")+COUNTIF($E153:R153,1),ColDescriptionCourte))&gt;1,
HYPERLINK("#Roadmap!C"&amp; MATCH($E153,Roadmap!$D:$D,0)+COUNTIF($E153:R153,"u")+COUNTIF($E153:R153,"t")+COUNTIF($E153:R153,"¶")+COUNTIF($E153:R153,"²")+COUNTIF($E153:R153,"µ")+COUNTIF($E153:R153,1)-1,INDEX(Roadmap!$D:$K,MATCH($E153,Roadmap!$D:$D,0)-1+COUNTIF($E153:R153,"u")+COUNTIF($E153:R153,"t")+COUNTIF($E153:R153,"¶")+COUNTIF($E153:R153,"²")+COUNTIF($E153:R153,"µ")+COUNTIF($E153:R153,1),ColDescriptionCourte)),""),
  "")),"")</f>
        <v/>
      </c>
      <c r="T153" s="40" t="str">
        <f ca="1">IFERROR(IF(AND(
  INDEX(Roadmap!$D:$K,MATCH($E153,Roadmap!$D:$D,0)+COUNTIF($E153:S153,"u")+COUNTIF($E153:S153,"t")+COUNTIF($E153:S153,"¶")+COUNTIF($E153:S153,"²")+COUNTIF($E153:S153,"µ")+COUNTIF($E153:S153,1),ColLivraison)=T$6,
  VLOOKUP($E153,INDIRECT("tri!"&amp; CHAR(64+ C0Col) &amp;":"&amp; CHAR(65+C0Col)),2,FALSE)&gt;COUNTIF($E153:S153,"u")+COUNTIF($E153:S153,"t")+COUNTIF($E153:S153,"¶")+COUNTIF($E153:S153,"²")+COUNTIF($E153:S153,"µ")+COUNTIF($E153:S153,1)),
HYPERLINK("#Roadmap!C"&amp; MATCH($E153,Roadmap!$D:$D,0)+COUNTIF($E153:S153,"u")+COUNTIF($E153:S153,"t"),
     INDEX(Roadmap!$D:$K,MATCH($E153,Roadmap!$D:$D,0)+COUNTIF($E153:S153,"u")+COUNTIF($E153:S153,"t")+COUNTIF($E153:S153,"¶")+COUNTIF($E153:S153,"²")+COUNTIF($E153:S153,"µ")+COUNTIF($E153:S153,1),ColTypeEcheance)),
  IF(LEN(S153)=1,
  IF(LEN(INDEX(Roadmap!$D:$K,MATCH($E153,Roadmap!$D:$D,0)-1+COUNTIF($E153:S153,"u")+COUNTIF($E153:S153,"t")+COUNTIF($E153:S153,"¶")+COUNTIF($E153:S153,"²")+COUNTIF($E153:S153,"µ")+COUNTIF($E153:S153,1),ColDescriptionCourte))&gt;1,
HYPERLINK("#Roadmap!C"&amp; MATCH($E153,Roadmap!$D:$D,0)+COUNTIF($E153:S153,"u")+COUNTIF($E153:S153,"t")+COUNTIF($E153:S153,"¶")+COUNTIF($E153:S153,"²")+COUNTIF($E153:S153,"µ")+COUNTIF($E153:S153,1)-1,INDEX(Roadmap!$D:$K,MATCH($E153,Roadmap!$D:$D,0)-1+COUNTIF($E153:S153,"u")+COUNTIF($E153:S153,"t")+COUNTIF($E153:S153,"¶")+COUNTIF($E153:S153,"²")+COUNTIF($E153:S153,"µ")+COUNTIF($E153:S153,1),ColDescriptionCourte)),""),
  "")),"")</f>
        <v/>
      </c>
      <c r="U153" s="40" t="str">
        <f ca="1">IFERROR(IF(AND(
  INDEX(Roadmap!$D:$K,MATCH($E153,Roadmap!$D:$D,0)+COUNTIF($E153:T153,"u")+COUNTIF($E153:T153,"t")+COUNTIF($E153:T153,"¶")+COUNTIF($E153:T153,"²")+COUNTIF($E153:T153,"µ")+COUNTIF($E153:T153,1),ColLivraison)=U$6,
  VLOOKUP($E153,INDIRECT("tri!"&amp; CHAR(64+ C0Col) &amp;":"&amp; CHAR(65+C0Col)),2,FALSE)&gt;COUNTIF($E153:T153,"u")+COUNTIF($E153:T153,"t")+COUNTIF($E153:T153,"¶")+COUNTIF($E153:T153,"²")+COUNTIF($E153:T153,"µ")+COUNTIF($E153:T153,1)),
HYPERLINK("#Roadmap!C"&amp; MATCH($E153,Roadmap!$D:$D,0)+COUNTIF($E153:T153,"u")+COUNTIF($E153:T153,"t"),
     INDEX(Roadmap!$D:$K,MATCH($E153,Roadmap!$D:$D,0)+COUNTIF($E153:T153,"u")+COUNTIF($E153:T153,"t")+COUNTIF($E153:T153,"¶")+COUNTIF($E153:T153,"²")+COUNTIF($E153:T153,"µ")+COUNTIF($E153:T153,1),ColTypeEcheance)),
  IF(LEN(T153)=1,
  IF(LEN(INDEX(Roadmap!$D:$K,MATCH($E153,Roadmap!$D:$D,0)-1+COUNTIF($E153:T153,"u")+COUNTIF($E153:T153,"t")+COUNTIF($E153:T153,"¶")+COUNTIF($E153:T153,"²")+COUNTIF($E153:T153,"µ")+COUNTIF($E153:T153,1),ColDescriptionCourte))&gt;1,
HYPERLINK("#Roadmap!C"&amp; MATCH($E153,Roadmap!$D:$D,0)+COUNTIF($E153:T153,"u")+COUNTIF($E153:T153,"t")+COUNTIF($E153:T153,"¶")+COUNTIF($E153:T153,"²")+COUNTIF($E153:T153,"µ")+COUNTIF($E153:T153,1)-1,INDEX(Roadmap!$D:$K,MATCH($E153,Roadmap!$D:$D,0)-1+COUNTIF($E153:T153,"u")+COUNTIF($E153:T153,"t")+COUNTIF($E153:T153,"¶")+COUNTIF($E153:T153,"²")+COUNTIF($E153:T153,"µ")+COUNTIF($E153:T153,1),ColDescriptionCourte)),""),
  "")),"")</f>
        <v/>
      </c>
      <c r="V153" s="40" t="str">
        <f ca="1">IFERROR(IF(AND(
  INDEX(Roadmap!$D:$K,MATCH($E153,Roadmap!$D:$D,0)+COUNTIF($E153:U153,"u")+COUNTIF($E153:U153,"t")+COUNTIF($E153:U153,"¶")+COUNTIF($E153:U153,"²")+COUNTIF($E153:U153,"µ")+COUNTIF($E153:U153,1),ColLivraison)=V$6,
  VLOOKUP($E153,INDIRECT("tri!"&amp; CHAR(64+ C0Col) &amp;":"&amp; CHAR(65+C0Col)),2,FALSE)&gt;COUNTIF($E153:U153,"u")+COUNTIF($E153:U153,"t")+COUNTIF($E153:U153,"¶")+COUNTIF($E153:U153,"²")+COUNTIF($E153:U153,"µ")+COUNTIF($E153:U153,1)),
HYPERLINK("#Roadmap!C"&amp; MATCH($E153,Roadmap!$D:$D,0)+COUNTIF($E153:U153,"u")+COUNTIF($E153:U153,"t"),
     INDEX(Roadmap!$D:$K,MATCH($E153,Roadmap!$D:$D,0)+COUNTIF($E153:U153,"u")+COUNTIF($E153:U153,"t")+COUNTIF($E153:U153,"¶")+COUNTIF($E153:U153,"²")+COUNTIF($E153:U153,"µ")+COUNTIF($E153:U153,1),ColTypeEcheance)),
  IF(LEN(U153)=1,
  IF(LEN(INDEX(Roadmap!$D:$K,MATCH($E153,Roadmap!$D:$D,0)-1+COUNTIF($E153:U153,"u")+COUNTIF($E153:U153,"t")+COUNTIF($E153:U153,"¶")+COUNTIF($E153:U153,"²")+COUNTIF($E153:U153,"µ")+COUNTIF($E153:U153,1),ColDescriptionCourte))&gt;1,
HYPERLINK("#Roadmap!C"&amp; MATCH($E153,Roadmap!$D:$D,0)+COUNTIF($E153:U153,"u")+COUNTIF($E153:U153,"t")+COUNTIF($E153:U153,"¶")+COUNTIF($E153:U153,"²")+COUNTIF($E153:U153,"µ")+COUNTIF($E153:U153,1)-1,INDEX(Roadmap!$D:$K,MATCH($E153,Roadmap!$D:$D,0)-1+COUNTIF($E153:U153,"u")+COUNTIF($E153:U153,"t")+COUNTIF($E153:U153,"¶")+COUNTIF($E153:U153,"²")+COUNTIF($E153:U153,"µ")+COUNTIF($E153:U153,1),ColDescriptionCourte)),""),
  "")),"")</f>
        <v/>
      </c>
      <c r="W153" s="40" t="str">
        <f ca="1">IFERROR(IF(AND(
  INDEX(Roadmap!$D:$K,MATCH($E153,Roadmap!$D:$D,0)+COUNTIF($E153:V153,"u")+COUNTIF($E153:V153,"t")+COUNTIF($E153:V153,"¶")+COUNTIF($E153:V153,"²")+COUNTIF($E153:V153,"µ")+COUNTIF($E153:V153,1),ColLivraison)=W$6,
  VLOOKUP($E153,INDIRECT("tri!"&amp; CHAR(64+ C0Col) &amp;":"&amp; CHAR(65+C0Col)),2,FALSE)&gt;COUNTIF($E153:V153,"u")+COUNTIF($E153:V153,"t")+COUNTIF($E153:V153,"¶")+COUNTIF($E153:V153,"²")+COUNTIF($E153:V153,"µ")+COUNTIF($E153:V153,1)),
HYPERLINK("#Roadmap!C"&amp; MATCH($E153,Roadmap!$D:$D,0)+COUNTIF($E153:V153,"u")+COUNTIF($E153:V153,"t"),
     INDEX(Roadmap!$D:$K,MATCH($E153,Roadmap!$D:$D,0)+COUNTIF($E153:V153,"u")+COUNTIF($E153:V153,"t")+COUNTIF($E153:V153,"¶")+COUNTIF($E153:V153,"²")+COUNTIF($E153:V153,"µ")+COUNTIF($E153:V153,1),ColTypeEcheance)),
  IF(LEN(V153)=1,
  IF(LEN(INDEX(Roadmap!$D:$K,MATCH($E153,Roadmap!$D:$D,0)-1+COUNTIF($E153:V153,"u")+COUNTIF($E153:V153,"t")+COUNTIF($E153:V153,"¶")+COUNTIF($E153:V153,"²")+COUNTIF($E153:V153,"µ")+COUNTIF($E153:V153,1),ColDescriptionCourte))&gt;1,
HYPERLINK("#Roadmap!C"&amp; MATCH($E153,Roadmap!$D:$D,0)+COUNTIF($E153:V153,"u")+COUNTIF($E153:V153,"t")+COUNTIF($E153:V153,"¶")+COUNTIF($E153:V153,"²")+COUNTIF($E153:V153,"µ")+COUNTIF($E153:V153,1)-1,INDEX(Roadmap!$D:$K,MATCH($E153,Roadmap!$D:$D,0)-1+COUNTIF($E153:V153,"u")+COUNTIF($E153:V153,"t")+COUNTIF($E153:V153,"¶")+COUNTIF($E153:V153,"²")+COUNTIF($E153:V153,"µ")+COUNTIF($E153:V153,1),ColDescriptionCourte)),""),
  "")),"")</f>
        <v/>
      </c>
      <c r="X153" s="40" t="str">
        <f ca="1">IFERROR(IF(AND(
  INDEX(Roadmap!$D:$K,MATCH($E153,Roadmap!$D:$D,0)+COUNTIF($E153:W153,"u")+COUNTIF($E153:W153,"t")+COUNTIF($E153:W153,"¶")+COUNTIF($E153:W153,"²")+COUNTIF($E153:W153,"µ")+COUNTIF($E153:W153,1),ColLivraison)=X$6,
  VLOOKUP($E153,INDIRECT("tri!"&amp; CHAR(64+ C0Col) &amp;":"&amp; CHAR(65+C0Col)),2,FALSE)&gt;COUNTIF($E153:W153,"u")+COUNTIF($E153:W153,"t")+COUNTIF($E153:W153,"¶")+COUNTIF($E153:W153,"²")+COUNTIF($E153:W153,"µ")+COUNTIF($E153:W153,1)),
HYPERLINK("#Roadmap!C"&amp; MATCH($E153,Roadmap!$D:$D,0)+COUNTIF($E153:W153,"u")+COUNTIF($E153:W153,"t"),
     INDEX(Roadmap!$D:$K,MATCH($E153,Roadmap!$D:$D,0)+COUNTIF($E153:W153,"u")+COUNTIF($E153:W153,"t")+COUNTIF($E153:W153,"¶")+COUNTIF($E153:W153,"²")+COUNTIF($E153:W153,"µ")+COUNTIF($E153:W153,1),ColTypeEcheance)),
  IF(LEN(W153)=1,
  IF(LEN(INDEX(Roadmap!$D:$K,MATCH($E153,Roadmap!$D:$D,0)-1+COUNTIF($E153:W153,"u")+COUNTIF($E153:W153,"t")+COUNTIF($E153:W153,"¶")+COUNTIF($E153:W153,"²")+COUNTIF($E153:W153,"µ")+COUNTIF($E153:W153,1),ColDescriptionCourte))&gt;1,
HYPERLINK("#Roadmap!C"&amp; MATCH($E153,Roadmap!$D:$D,0)+COUNTIF($E153:W153,"u")+COUNTIF($E153:W153,"t")+COUNTIF($E153:W153,"¶")+COUNTIF($E153:W153,"²")+COUNTIF($E153:W153,"µ")+COUNTIF($E153:W153,1)-1,INDEX(Roadmap!$D:$K,MATCH($E153,Roadmap!$D:$D,0)-1+COUNTIF($E153:W153,"u")+COUNTIF($E153:W153,"t")+COUNTIF($E153:W153,"¶")+COUNTIF($E153:W153,"²")+COUNTIF($E153:W153,"µ")+COUNTIF($E153:W153,1),ColDescriptionCourte)),""),
  "")),"")</f>
        <v/>
      </c>
      <c r="Y153" s="40" t="str">
        <f ca="1">IFERROR(IF(AND(
  INDEX(Roadmap!$D:$K,MATCH($E153,Roadmap!$D:$D,0)+COUNTIF($E153:X153,"u")+COUNTIF($E153:X153,"t")+COUNTIF($E153:X153,"¶")+COUNTIF($E153:X153,"²")+COUNTIF($E153:X153,"µ")+COUNTIF($E153:X153,1),ColLivraison)=Y$6,
  VLOOKUP($E153,INDIRECT("tri!"&amp; CHAR(64+ C0Col) &amp;":"&amp; CHAR(65+C0Col)),2,FALSE)&gt;COUNTIF($E153:X153,"u")+COUNTIF($E153:X153,"t")+COUNTIF($E153:X153,"¶")+COUNTIF($E153:X153,"²")+COUNTIF($E153:X153,"µ")+COUNTIF($E153:X153,1)),
HYPERLINK("#Roadmap!C"&amp; MATCH($E153,Roadmap!$D:$D,0)+COUNTIF($E153:X153,"u")+COUNTIF($E153:X153,"t"),
     INDEX(Roadmap!$D:$K,MATCH($E153,Roadmap!$D:$D,0)+COUNTIF($E153:X153,"u")+COUNTIF($E153:X153,"t")+COUNTIF($E153:X153,"¶")+COUNTIF($E153:X153,"²")+COUNTIF($E153:X153,"µ")+COUNTIF($E153:X153,1),ColTypeEcheance)),
  IF(LEN(X153)=1,
  IF(LEN(INDEX(Roadmap!$D:$K,MATCH($E153,Roadmap!$D:$D,0)-1+COUNTIF($E153:X153,"u")+COUNTIF($E153:X153,"t")+COUNTIF($E153:X153,"¶")+COUNTIF($E153:X153,"²")+COUNTIF($E153:X153,"µ")+COUNTIF($E153:X153,1),ColDescriptionCourte))&gt;1,
HYPERLINK("#Roadmap!C"&amp; MATCH($E153,Roadmap!$D:$D,0)+COUNTIF($E153:X153,"u")+COUNTIF($E153:X153,"t")+COUNTIF($E153:X153,"¶")+COUNTIF($E153:X153,"²")+COUNTIF($E153:X153,"µ")+COUNTIF($E153:X153,1)-1,INDEX(Roadmap!$D:$K,MATCH($E153,Roadmap!$D:$D,0)-1+COUNTIF($E153:X153,"u")+COUNTIF($E153:X153,"t")+COUNTIF($E153:X153,"¶")+COUNTIF($E153:X153,"²")+COUNTIF($E153:X153,"µ")+COUNTIF($E153:X153,1),ColDescriptionCourte)),""),
  "")),"")</f>
        <v/>
      </c>
      <c r="Z153" s="40" t="str">
        <f ca="1">IFERROR(IF(AND(
  INDEX(Roadmap!$D:$K,MATCH($E153,Roadmap!$D:$D,0)+COUNTIF($E153:Y153,"u")+COUNTIF($E153:Y153,"t")+COUNTIF($E153:Y153,"¶")+COUNTIF($E153:Y153,"²")+COUNTIF($E153:Y153,"µ")+COUNTIF($E153:Y153,1),ColLivraison)=Z$6,
  VLOOKUP($E153,INDIRECT("tri!"&amp; CHAR(64+ C0Col) &amp;":"&amp; CHAR(65+C0Col)),2,FALSE)&gt;COUNTIF($E153:Y153,"u")+COUNTIF($E153:Y153,"t")+COUNTIF($E153:Y153,"¶")+COUNTIF($E153:Y153,"²")+COUNTIF($E153:Y153,"µ")+COUNTIF($E153:Y153,1)),
HYPERLINK("#Roadmap!C"&amp; MATCH($E153,Roadmap!$D:$D,0)+COUNTIF($E153:Y153,"u")+COUNTIF($E153:Y153,"t"),
     INDEX(Roadmap!$D:$K,MATCH($E153,Roadmap!$D:$D,0)+COUNTIF($E153:Y153,"u")+COUNTIF($E153:Y153,"t")+COUNTIF($E153:Y153,"¶")+COUNTIF($E153:Y153,"²")+COUNTIF($E153:Y153,"µ")+COUNTIF($E153:Y153,1),ColTypeEcheance)),
  IF(LEN(Y153)=1,
  IF(LEN(INDEX(Roadmap!$D:$K,MATCH($E153,Roadmap!$D:$D,0)-1+COUNTIF($E153:Y153,"u")+COUNTIF($E153:Y153,"t")+COUNTIF($E153:Y153,"¶")+COUNTIF($E153:Y153,"²")+COUNTIF($E153:Y153,"µ")+COUNTIF($E153:Y153,1),ColDescriptionCourte))&gt;1,
HYPERLINK("#Roadmap!C"&amp; MATCH($E153,Roadmap!$D:$D,0)+COUNTIF($E153:Y153,"u")+COUNTIF($E153:Y153,"t")+COUNTIF($E153:Y153,"¶")+COUNTIF($E153:Y153,"²")+COUNTIF($E153:Y153,"µ")+COUNTIF($E153:Y153,1)-1,INDEX(Roadmap!$D:$K,MATCH($E153,Roadmap!$D:$D,0)-1+COUNTIF($E153:Y153,"u")+COUNTIF($E153:Y153,"t")+COUNTIF($E153:Y153,"¶")+COUNTIF($E153:Y153,"²")+COUNTIF($E153:Y153,"µ")+COUNTIF($E153:Y153,1),ColDescriptionCourte)),""),
  "")),"")</f>
        <v/>
      </c>
      <c r="AA153" s="40" t="str">
        <f ca="1">IFERROR(IF(AND(
  INDEX(Roadmap!$D:$K,MATCH($E153,Roadmap!$D:$D,0)+COUNTIF($E153:Z153,"u")+COUNTIF($E153:Z153,"t")+COUNTIF($E153:Z153,"¶")+COUNTIF($E153:Z153,"²")+COUNTIF($E153:Z153,"µ")+COUNTIF($E153:Z153,1),ColLivraison)=AA$6,
  VLOOKUP($E153,INDIRECT("tri!"&amp; CHAR(64+ C0Col) &amp;":"&amp; CHAR(65+C0Col)),2,FALSE)&gt;COUNTIF($E153:Z153,"u")+COUNTIF($E153:Z153,"t")+COUNTIF($E153:Z153,"¶")+COUNTIF($E153:Z153,"²")+COUNTIF($E153:Z153,"µ")+COUNTIF($E153:Z153,1)),
HYPERLINK("#Roadmap!C"&amp; MATCH($E153,Roadmap!$D:$D,0)+COUNTIF($E153:Z153,"u")+COUNTIF($E153:Z153,"t"),
     INDEX(Roadmap!$D:$K,MATCH($E153,Roadmap!$D:$D,0)+COUNTIF($E153:Z153,"u")+COUNTIF($E153:Z153,"t")+COUNTIF($E153:Z153,"¶")+COUNTIF($E153:Z153,"²")+COUNTIF($E153:Z153,"µ")+COUNTIF($E153:Z153,1),ColTypeEcheance)),
  IF(LEN(Z153)=1,
  IF(LEN(INDEX(Roadmap!$D:$K,MATCH($E153,Roadmap!$D:$D,0)-1+COUNTIF($E153:Z153,"u")+COUNTIF($E153:Z153,"t")+COUNTIF($E153:Z153,"¶")+COUNTIF($E153:Z153,"²")+COUNTIF($E153:Z153,"µ")+COUNTIF($E153:Z153,1),ColDescriptionCourte))&gt;1,
HYPERLINK("#Roadmap!C"&amp; MATCH($E153,Roadmap!$D:$D,0)+COUNTIF($E153:Z153,"u")+COUNTIF($E153:Z153,"t")+COUNTIF($E153:Z153,"¶")+COUNTIF($E153:Z153,"²")+COUNTIF($E153:Z153,"µ")+COUNTIF($E153:Z153,1)-1,INDEX(Roadmap!$D:$K,MATCH($E153,Roadmap!$D:$D,0)-1+COUNTIF($E153:Z153,"u")+COUNTIF($E153:Z153,"t")+COUNTIF($E153:Z153,"¶")+COUNTIF($E153:Z153,"²")+COUNTIF($E153:Z153,"µ")+COUNTIF($E153:Z153,1),ColDescriptionCourte)),""),
  "")),"")</f>
        <v/>
      </c>
      <c r="AB153" s="40" t="str">
        <f ca="1">IFERROR(IF(AND(
  INDEX(Roadmap!$D:$K,MATCH($E153,Roadmap!$D:$D,0)+COUNTIF($E153:AA153,"u")+COUNTIF($E153:AA153,"t")+COUNTIF($E153:AA153,"¶")+COUNTIF($E153:AA153,"²")+COUNTIF($E153:AA153,"µ")+COUNTIF($E153:AA153,1),ColLivraison)=AB$6,
  VLOOKUP($E153,INDIRECT("tri!"&amp; CHAR(64+ C0Col) &amp;":"&amp; CHAR(65+C0Col)),2,FALSE)&gt;COUNTIF($E153:AA153,"u")+COUNTIF($E153:AA153,"t")+COUNTIF($E153:AA153,"¶")+COUNTIF($E153:AA153,"²")+COUNTIF($E153:AA153,"µ")+COUNTIF($E153:AA153,1)),
HYPERLINK("#Roadmap!C"&amp; MATCH($E153,Roadmap!$D:$D,0)+COUNTIF($E153:AA153,"u")+COUNTIF($E153:AA153,"t"),
     INDEX(Roadmap!$D:$K,MATCH($E153,Roadmap!$D:$D,0)+COUNTIF($E153:AA153,"u")+COUNTIF($E153:AA153,"t")+COUNTIF($E153:AA153,"¶")+COUNTIF($E153:AA153,"²")+COUNTIF($E153:AA153,"µ")+COUNTIF($E153:AA153,1),ColTypeEcheance)),
  IF(LEN(AA153)=1,
  IF(LEN(INDEX(Roadmap!$D:$K,MATCH($E153,Roadmap!$D:$D,0)-1+COUNTIF($E153:AA153,"u")+COUNTIF($E153:AA153,"t")+COUNTIF($E153:AA153,"¶")+COUNTIF($E153:AA153,"²")+COUNTIF($E153:AA153,"µ")+COUNTIF($E153:AA153,1),ColDescriptionCourte))&gt;1,
HYPERLINK("#Roadmap!C"&amp; MATCH($E153,Roadmap!$D:$D,0)+COUNTIF($E153:AA153,"u")+COUNTIF($E153:AA153,"t")+COUNTIF($E153:AA153,"¶")+COUNTIF($E153:AA153,"²")+COUNTIF($E153:AA153,"µ")+COUNTIF($E153:AA153,1)-1,INDEX(Roadmap!$D:$K,MATCH($E153,Roadmap!$D:$D,0)-1+COUNTIF($E153:AA153,"u")+COUNTIF($E153:AA153,"t")+COUNTIF($E153:AA153,"¶")+COUNTIF($E153:AA153,"²")+COUNTIF($E153:AA153,"µ")+COUNTIF($E153:AA153,1),ColDescriptionCourte)),""),
  "")),"")</f>
        <v/>
      </c>
      <c r="AC153" s="40" t="str">
        <f ca="1">IFERROR(IF(AND(
  INDEX(Roadmap!$D:$K,MATCH($E153,Roadmap!$D:$D,0)+COUNTIF($E153:AB153,"u")+COUNTIF($E153:AB153,"t")+COUNTIF($E153:AB153,"¶")+COUNTIF($E153:AB153,"²")+COUNTIF($E153:AB153,"µ")+COUNTIF($E153:AB153,1),ColLivraison)=AC$6,
  VLOOKUP($E153,INDIRECT("tri!"&amp; CHAR(64+ C0Col) &amp;":"&amp; CHAR(65+C0Col)),2,FALSE)&gt;COUNTIF($E153:AB153,"u")+COUNTIF($E153:AB153,"t")+COUNTIF($E153:AB153,"¶")+COUNTIF($E153:AB153,"²")+COUNTIF($E153:AB153,"µ")+COUNTIF($E153:AB153,1)),
HYPERLINK("#Roadmap!C"&amp; MATCH($E153,Roadmap!$D:$D,0)+COUNTIF($E153:AB153,"u")+COUNTIF($E153:AB153,"t"),
     INDEX(Roadmap!$D:$K,MATCH($E153,Roadmap!$D:$D,0)+COUNTIF($E153:AB153,"u")+COUNTIF($E153:AB153,"t")+COUNTIF($E153:AB153,"¶")+COUNTIF($E153:AB153,"²")+COUNTIF($E153:AB153,"µ")+COUNTIF($E153:AB153,1),ColTypeEcheance)),
  IF(LEN(AB153)=1,
  IF(LEN(INDEX(Roadmap!$D:$K,MATCH($E153,Roadmap!$D:$D,0)-1+COUNTIF($E153:AB153,"u")+COUNTIF($E153:AB153,"t")+COUNTIF($E153:AB153,"¶")+COUNTIF($E153:AB153,"²")+COUNTIF($E153:AB153,"µ")+COUNTIF($E153:AB153,1),ColDescriptionCourte))&gt;1,
HYPERLINK("#Roadmap!C"&amp; MATCH($E153,Roadmap!$D:$D,0)+COUNTIF($E153:AB153,"u")+COUNTIF($E153:AB153,"t")+COUNTIF($E153:AB153,"¶")+COUNTIF($E153:AB153,"²")+COUNTIF($E153:AB153,"µ")+COUNTIF($E153:AB153,1)-1,INDEX(Roadmap!$D:$K,MATCH($E153,Roadmap!$D:$D,0)-1+COUNTIF($E153:AB153,"u")+COUNTIF($E153:AB153,"t")+COUNTIF($E153:AB153,"¶")+COUNTIF($E153:AB153,"²")+COUNTIF($E153:AB153,"µ")+COUNTIF($E153:AB153,1),ColDescriptionCourte)),""),
  "")),"")</f>
        <v/>
      </c>
      <c r="AD153" s="40" t="str">
        <f ca="1">IFERROR(IF(AND(
  INDEX(Roadmap!$D:$K,MATCH($E153,Roadmap!$D:$D,0)+COUNTIF($E153:AC153,"u")+COUNTIF($E153:AC153,"t")+COUNTIF($E153:AC153,"¶")+COUNTIF($E153:AC153,"²")+COUNTIF($E153:AC153,"µ")+COUNTIF($E153:AC153,1),ColLivraison)=AD$6,
  VLOOKUP($E153,INDIRECT("tri!"&amp; CHAR(64+ C0Col) &amp;":"&amp; CHAR(65+C0Col)),2,FALSE)&gt;COUNTIF($E153:AC153,"u")+COUNTIF($E153:AC153,"t")+COUNTIF($E153:AC153,"¶")+COUNTIF($E153:AC153,"²")+COUNTIF($E153:AC153,"µ")+COUNTIF($E153:AC153,1)),
HYPERLINK("#Roadmap!C"&amp; MATCH($E153,Roadmap!$D:$D,0)+COUNTIF($E153:AC153,"u")+COUNTIF($E153:AC153,"t"),
     INDEX(Roadmap!$D:$K,MATCH($E153,Roadmap!$D:$D,0)+COUNTIF($E153:AC153,"u")+COUNTIF($E153:AC153,"t")+COUNTIF($E153:AC153,"¶")+COUNTIF($E153:AC153,"²")+COUNTIF($E153:AC153,"µ")+COUNTIF($E153:AC153,1),ColTypeEcheance)),
  IF(LEN(AC153)=1,
  IF(LEN(INDEX(Roadmap!$D:$K,MATCH($E153,Roadmap!$D:$D,0)-1+COUNTIF($E153:AC153,"u")+COUNTIF($E153:AC153,"t")+COUNTIF($E153:AC153,"¶")+COUNTIF($E153:AC153,"²")+COUNTIF($E153:AC153,"µ")+COUNTIF($E153:AC153,1),ColDescriptionCourte))&gt;1,
HYPERLINK("#Roadmap!C"&amp; MATCH($E153,Roadmap!$D:$D,0)+COUNTIF($E153:AC153,"u")+COUNTIF($E153:AC153,"t")+COUNTIF($E153:AC153,"¶")+COUNTIF($E153:AC153,"²")+COUNTIF($E153:AC153,"µ")+COUNTIF($E153:AC153,1)-1,INDEX(Roadmap!$D:$K,MATCH($E153,Roadmap!$D:$D,0)-1+COUNTIF($E153:AC153,"u")+COUNTIF($E153:AC153,"t")+COUNTIF($E153:AC153,"¶")+COUNTIF($E153:AC153,"²")+COUNTIF($E153:AC153,"µ")+COUNTIF($E153:AC153,1),ColDescriptionCourte)),""),
  "")),"")</f>
        <v/>
      </c>
      <c r="AE153" s="40" t="str">
        <f ca="1">IFERROR(IF(AND(
  INDEX(Roadmap!$D:$K,MATCH($E153,Roadmap!$D:$D,0)+COUNTIF($E153:AD153,"u")+COUNTIF($E153:AD153,"t")+COUNTIF($E153:AD153,"¶")+COUNTIF($E153:AD153,"²")+COUNTIF($E153:AD153,"µ")+COUNTIF($E153:AD153,1),ColLivraison)=AE$6,
  VLOOKUP($E153,INDIRECT("tri!"&amp; CHAR(64+ C0Col) &amp;":"&amp; CHAR(65+C0Col)),2,FALSE)&gt;COUNTIF($E153:AD153,"u")+COUNTIF($E153:AD153,"t")+COUNTIF($E153:AD153,"¶")+COUNTIF($E153:AD153,"²")+COUNTIF($E153:AD153,"µ")+COUNTIF($E153:AD153,1)),
HYPERLINK("#Roadmap!C"&amp; MATCH($E153,Roadmap!$D:$D,0)+COUNTIF($E153:AD153,"u")+COUNTIF($E153:AD153,"t"),
     INDEX(Roadmap!$D:$K,MATCH($E153,Roadmap!$D:$D,0)+COUNTIF($E153:AD153,"u")+COUNTIF($E153:AD153,"t")+COUNTIF($E153:AD153,"¶")+COUNTIF($E153:AD153,"²")+COUNTIF($E153:AD153,"µ")+COUNTIF($E153:AD153,1),ColTypeEcheance)),
  IF(LEN(AD153)=1,
  IF(LEN(INDEX(Roadmap!$D:$K,MATCH($E153,Roadmap!$D:$D,0)-1+COUNTIF($E153:AD153,"u")+COUNTIF($E153:AD153,"t")+COUNTIF($E153:AD153,"¶")+COUNTIF($E153:AD153,"²")+COUNTIF($E153:AD153,"µ")+COUNTIF($E153:AD153,1),ColDescriptionCourte))&gt;1,
HYPERLINK("#Roadmap!C"&amp; MATCH($E153,Roadmap!$D:$D,0)+COUNTIF($E153:AD153,"u")+COUNTIF($E153:AD153,"t")+COUNTIF($E153:AD153,"¶")+COUNTIF($E153:AD153,"²")+COUNTIF($E153:AD153,"µ")+COUNTIF($E153:AD153,1)-1,INDEX(Roadmap!$D:$K,MATCH($E153,Roadmap!$D:$D,0)-1+COUNTIF($E153:AD153,"u")+COUNTIF($E153:AD153,"t")+COUNTIF($E153:AD153,"¶")+COUNTIF($E153:AD153,"²")+COUNTIF($E153:AD153,"µ")+COUNTIF($E153:AD153,1),ColDescriptionCourte)),""),
  "")),"")</f>
        <v/>
      </c>
      <c r="AF153" s="40" t="str">
        <f ca="1">IFERROR(IF(AND(
  INDEX(Roadmap!$D:$K,MATCH($E153,Roadmap!$D:$D,0)+COUNTIF($E153:AE153,"u")+COUNTIF($E153:AE153,"t")+COUNTIF($E153:AE153,"¶")+COUNTIF($E153:AE153,"²")+COUNTIF($E153:AE153,"µ")+COUNTIF($E153:AE153,1),ColLivraison)=AF$6,
  VLOOKUP($E153,INDIRECT("tri!"&amp; CHAR(64+ C0Col) &amp;":"&amp; CHAR(65+C0Col)),2,FALSE)&gt;COUNTIF($E153:AE153,"u")+COUNTIF($E153:AE153,"t")+COUNTIF($E153:AE153,"¶")+COUNTIF($E153:AE153,"²")+COUNTIF($E153:AE153,"µ")+COUNTIF($E153:AE153,1)),
HYPERLINK("#Roadmap!C"&amp; MATCH($E153,Roadmap!$D:$D,0)+COUNTIF($E153:AE153,"u")+COUNTIF($E153:AE153,"t"),
     INDEX(Roadmap!$D:$K,MATCH($E153,Roadmap!$D:$D,0)+COUNTIF($E153:AE153,"u")+COUNTIF($E153:AE153,"t")+COUNTIF($E153:AE153,"¶")+COUNTIF($E153:AE153,"²")+COUNTIF($E153:AE153,"µ")+COUNTIF($E153:AE153,1),ColTypeEcheance)),
  IF(LEN(AE153)=1,
  IF(LEN(INDEX(Roadmap!$D:$K,MATCH($E153,Roadmap!$D:$D,0)-1+COUNTIF($E153:AE153,"u")+COUNTIF($E153:AE153,"t")+COUNTIF($E153:AE153,"¶")+COUNTIF($E153:AE153,"²")+COUNTIF($E153:AE153,"µ")+COUNTIF($E153:AE153,1),ColDescriptionCourte))&gt;1,
HYPERLINK("#Roadmap!C"&amp; MATCH($E153,Roadmap!$D:$D,0)+COUNTIF($E153:AE153,"u")+COUNTIF($E153:AE153,"t")+COUNTIF($E153:AE153,"¶")+COUNTIF($E153:AE153,"²")+COUNTIF($E153:AE153,"µ")+COUNTIF($E153:AE153,1)-1,INDEX(Roadmap!$D:$K,MATCH($E153,Roadmap!$D:$D,0)-1+COUNTIF($E153:AE153,"u")+COUNTIF($E153:AE153,"t")+COUNTIF($E153:AE153,"¶")+COUNTIF($E153:AE153,"²")+COUNTIF($E153:AE153,"µ")+COUNTIF($E153:AE153,1),ColDescriptionCourte)),""),
  "")),"")</f>
        <v/>
      </c>
      <c r="AG153" s="40" t="str">
        <f ca="1">IFERROR(IF(AND(
  INDEX(Roadmap!$D:$K,MATCH($E153,Roadmap!$D:$D,0)+COUNTIF($E153:AF153,"u")+COUNTIF($E153:AF153,"t")+COUNTIF($E153:AF153,"¶")+COUNTIF($E153:AF153,"²")+COUNTIF($E153:AF153,"µ")+COUNTIF($E153:AF153,1),ColLivraison)=AG$6,
  VLOOKUP($E153,INDIRECT("tri!"&amp; CHAR(64+ C0Col) &amp;":"&amp; CHAR(65+C0Col)),2,FALSE)&gt;COUNTIF($E153:AF153,"u")+COUNTIF($E153:AF153,"t")+COUNTIF($E153:AF153,"¶")+COUNTIF($E153:AF153,"²")+COUNTIF($E153:AF153,"µ")+COUNTIF($E153:AF153,1)),
HYPERLINK("#Roadmap!C"&amp; MATCH($E153,Roadmap!$D:$D,0)+COUNTIF($E153:AF153,"u")+COUNTIF($E153:AF153,"t"),
     INDEX(Roadmap!$D:$K,MATCH($E153,Roadmap!$D:$D,0)+COUNTIF($E153:AF153,"u")+COUNTIF($E153:AF153,"t")+COUNTIF($E153:AF153,"¶")+COUNTIF($E153:AF153,"²")+COUNTIF($E153:AF153,"µ")+COUNTIF($E153:AF153,1),ColTypeEcheance)),
  IF(LEN(AF153)=1,
  IF(LEN(INDEX(Roadmap!$D:$K,MATCH($E153,Roadmap!$D:$D,0)-1+COUNTIF($E153:AF153,"u")+COUNTIF($E153:AF153,"t")+COUNTIF($E153:AF153,"¶")+COUNTIF($E153:AF153,"²")+COUNTIF($E153:AF153,"µ")+COUNTIF($E153:AF153,1),ColDescriptionCourte))&gt;1,
HYPERLINK("#Roadmap!C"&amp; MATCH($E153,Roadmap!$D:$D,0)+COUNTIF($E153:AF153,"u")+COUNTIF($E153:AF153,"t")+COUNTIF($E153:AF153,"¶")+COUNTIF($E153:AF153,"²")+COUNTIF($E153:AF153,"µ")+COUNTIF($E153:AF153,1)-1,INDEX(Roadmap!$D:$K,MATCH($E153,Roadmap!$D:$D,0)-1+COUNTIF($E153:AF153,"u")+COUNTIF($E153:AF153,"t")+COUNTIF($E153:AF153,"¶")+COUNTIF($E153:AF153,"²")+COUNTIF($E153:AF153,"µ")+COUNTIF($E153:AF153,1),ColDescriptionCourte)),""),
  "")),"")</f>
        <v/>
      </c>
    </row>
    <row r="154" spans="3:33" ht="14.25" customHeight="1">
      <c r="C154" s="1" t="str">
        <f t="shared" ca="1" si="52"/>
        <v/>
      </c>
      <c r="D154" s="1" t="str">
        <f t="shared" ca="1" si="53"/>
        <v/>
      </c>
      <c r="E154" s="35" t="str">
        <f t="shared" ca="1" si="51"/>
        <v/>
      </c>
      <c r="F154" s="39" t="str">
        <f ca="1">IFERROR(IF(AND(
  INDEX(Roadmap!$D:$K,MATCH($E154,Roadmap!$D:$D,0)+COUNTIF($E154:E154,"u")+COUNTIF($E154:E154,"t")+COUNTIF($E154:E154,"¶")+COUNTIF($E154:E154,"²")+COUNTIF($E154:E154,"µ")+COUNTIF($E154:E154,1),ColLivraison)=F$6,
  VLOOKUP($E154,INDIRECT("tri!"&amp; CHAR(64+ C0Col) &amp;":"&amp; CHAR(65+C0Col)),2,FALSE)&gt;COUNTIF($E154:E154,"u")+COUNTIF($E154:E154,"t")+COUNTIF($E154:E154,"¶")+COUNTIF($E154:E154,"²")+COUNTIF($E154:E154,"µ")+COUNTIF($E154:E154,1)),
HYPERLINK("#Roadmap!C"&amp; MATCH($E154,Roadmap!$D:$D,0)+COUNTIF($E154:E154,"u")+COUNTIF($E154:E154,"t"),
     INDEX(Roadmap!$D:$K,MATCH($E154,Roadmap!$D:$D,0)+COUNTIF($E154:E154,"u")+COUNTIF($E154:E154,"t")+COUNTIF($E154:E154,"¶")+COUNTIF($E154:E154,"²")+COUNTIF($E154:E154,"µ")+COUNTIF($E154:E154,1),ColTypeEcheance)),
  IF(LEN(E154)=1,
  IF(LEN(INDEX(Roadmap!$D:$K,MATCH($E154,Roadmap!$D:$D,0)-1+COUNTIF($E154:E154,"u")+COUNTIF($E154:E154,"t")+COUNTIF($E154:E154,"¶")+COUNTIF($E154:E154,"²")+COUNTIF($E154:E154,"µ")+COUNTIF($E154:E154,1),ColDescriptionCourte))&gt;1,
HYPERLINK("#Roadmap!C"&amp; MATCH($E154,Roadmap!$D:$D,0)+COUNTIF($E154:E154,"u")+COUNTIF($E154:E154,"t")+COUNTIF($E154:E154,"¶")+COUNTIF($E154:E154,"²")+COUNTIF($E154:E154,"µ")+COUNTIF($E154:E154,1)-1,INDEX(Roadmap!$D:$K,MATCH($E154,Roadmap!$D:$D,0)-1+COUNTIF($E154:E154,"u")+COUNTIF($E154:E154,"t")+COUNTIF($E154:E154,"¶")+COUNTIF($E154:E154,"²")+COUNTIF($E154:E154,"µ")+COUNTIF($E154:E154,1),ColDescriptionCourte)),""),
  "")),"")</f>
        <v/>
      </c>
      <c r="G154" s="40" t="str">
        <f ca="1">IFERROR(IF(AND(
  INDEX(Roadmap!$D:$K,MATCH($E154,Roadmap!$D:$D,0)+COUNTIF($E154:F154,"u")+COUNTIF($E154:F154,"t")+COUNTIF($E154:F154,"¶")+COUNTIF($E154:F154,"²")+COUNTIF($E154:F154,"µ")+COUNTIF($E154:F154,1),ColLivraison)=G$6,
  VLOOKUP($E154,INDIRECT("tri!"&amp; CHAR(64+ C0Col) &amp;":"&amp; CHAR(65+C0Col)),2,FALSE)&gt;COUNTIF($E154:F154,"u")+COUNTIF($E154:F154,"t")+COUNTIF($E154:F154,"¶")+COUNTIF($E154:F154,"²")+COUNTIF($E154:F154,"µ")+COUNTIF($E154:F154,1)),
HYPERLINK("#Roadmap!C"&amp; MATCH($E154,Roadmap!$D:$D,0)+COUNTIF($E154:F154,"u")+COUNTIF($E154:F154,"t"),
     INDEX(Roadmap!$D:$K,MATCH($E154,Roadmap!$D:$D,0)+COUNTIF($E154:F154,"u")+COUNTIF($E154:F154,"t")+COUNTIF($E154:F154,"¶")+COUNTIF($E154:F154,"²")+COUNTIF($E154:F154,"µ")+COUNTIF($E154:F154,1),ColTypeEcheance)),
  IF(LEN(F154)=1,
  IF(LEN(INDEX(Roadmap!$D:$K,MATCH($E154,Roadmap!$D:$D,0)-1+COUNTIF($E154:F154,"u")+COUNTIF($E154:F154,"t")+COUNTIF($E154:F154,"¶")+COUNTIF($E154:F154,"²")+COUNTIF($E154:F154,"µ")+COUNTIF($E154:F154,1),ColDescriptionCourte))&gt;1,
HYPERLINK("#Roadmap!C"&amp; MATCH($E154,Roadmap!$D:$D,0)+COUNTIF($E154:F154,"u")+COUNTIF($E154:F154,"t")+COUNTIF($E154:F154,"¶")+COUNTIF($E154:F154,"²")+COUNTIF($E154:F154,"µ")+COUNTIF($E154:F154,1)-1,INDEX(Roadmap!$D:$K,MATCH($E154,Roadmap!$D:$D,0)-1+COUNTIF($E154:F154,"u")+COUNTIF($E154:F154,"t")+COUNTIF($E154:F154,"¶")+COUNTIF($E154:F154,"²")+COUNTIF($E154:F154,"µ")+COUNTIF($E154:F154,1),ColDescriptionCourte)),""),
  "")),"")</f>
        <v/>
      </c>
      <c r="H154" s="40" t="str">
        <f ca="1">IFERROR(IF(AND(
  INDEX(Roadmap!$D:$K,MATCH($E154,Roadmap!$D:$D,0)+COUNTIF($E154:G154,"u")+COUNTIF($E154:G154,"t")+COUNTIF($E154:G154,"¶")+COUNTIF($E154:G154,"²")+COUNTIF($E154:G154,"µ")+COUNTIF($E154:G154,1),ColLivraison)=H$6,
  VLOOKUP($E154,INDIRECT("tri!"&amp; CHAR(64+ C0Col) &amp;":"&amp; CHAR(65+C0Col)),2,FALSE)&gt;COUNTIF($E154:G154,"u")+COUNTIF($E154:G154,"t")+COUNTIF($E154:G154,"¶")+COUNTIF($E154:G154,"²")+COUNTIF($E154:G154,"µ")+COUNTIF($E154:G154,1)),
HYPERLINK("#Roadmap!C"&amp; MATCH($E154,Roadmap!$D:$D,0)+COUNTIF($E154:G154,"u")+COUNTIF($E154:G154,"t"),
     INDEX(Roadmap!$D:$K,MATCH($E154,Roadmap!$D:$D,0)+COUNTIF($E154:G154,"u")+COUNTIF($E154:G154,"t")+COUNTIF($E154:G154,"¶")+COUNTIF($E154:G154,"²")+COUNTIF($E154:G154,"µ")+COUNTIF($E154:G154,1),ColTypeEcheance)),
  IF(LEN(G154)=1,
  IF(LEN(INDEX(Roadmap!$D:$K,MATCH($E154,Roadmap!$D:$D,0)-1+COUNTIF($E154:G154,"u")+COUNTIF($E154:G154,"t")+COUNTIF($E154:G154,"¶")+COUNTIF($E154:G154,"²")+COUNTIF($E154:G154,"µ")+COUNTIF($E154:G154,1),ColDescriptionCourte))&gt;1,
HYPERLINK("#Roadmap!C"&amp; MATCH($E154,Roadmap!$D:$D,0)+COUNTIF($E154:G154,"u")+COUNTIF($E154:G154,"t")+COUNTIF($E154:G154,"¶")+COUNTIF($E154:G154,"²")+COUNTIF($E154:G154,"µ")+COUNTIF($E154:G154,1)-1,INDEX(Roadmap!$D:$K,MATCH($E154,Roadmap!$D:$D,0)-1+COUNTIF($E154:G154,"u")+COUNTIF($E154:G154,"t")+COUNTIF($E154:G154,"¶")+COUNTIF($E154:G154,"²")+COUNTIF($E154:G154,"µ")+COUNTIF($E154:G154,1),ColDescriptionCourte)),""),
  "")),"")</f>
        <v/>
      </c>
      <c r="I154" s="40" t="str">
        <f ca="1">IFERROR(IF(AND(
  INDEX(Roadmap!$D:$K,MATCH($E154,Roadmap!$D:$D,0)+COUNTIF($E154:H154,"u")+COUNTIF($E154:H154,"t")+COUNTIF($E154:H154,"¶")+COUNTIF($E154:H154,"²")+COUNTIF($E154:H154,"µ")+COUNTIF($E154:H154,1),ColLivraison)=I$6,
  VLOOKUP($E154,INDIRECT("tri!"&amp; CHAR(64+ C0Col) &amp;":"&amp; CHAR(65+C0Col)),2,FALSE)&gt;COUNTIF($E154:H154,"u")+COUNTIF($E154:H154,"t")+COUNTIF($E154:H154,"¶")+COUNTIF($E154:H154,"²")+COUNTIF($E154:H154,"µ")+COUNTIF($E154:H154,1)),
HYPERLINK("#Roadmap!C"&amp; MATCH($E154,Roadmap!$D:$D,0)+COUNTIF($E154:H154,"u")+COUNTIF($E154:H154,"t"),
     INDEX(Roadmap!$D:$K,MATCH($E154,Roadmap!$D:$D,0)+COUNTIF($E154:H154,"u")+COUNTIF($E154:H154,"t")+COUNTIF($E154:H154,"¶")+COUNTIF($E154:H154,"²")+COUNTIF($E154:H154,"µ")+COUNTIF($E154:H154,1),ColTypeEcheance)),
  IF(LEN(H154)=1,
  IF(LEN(INDEX(Roadmap!$D:$K,MATCH($E154,Roadmap!$D:$D,0)-1+COUNTIF($E154:H154,"u")+COUNTIF($E154:H154,"t")+COUNTIF($E154:H154,"¶")+COUNTIF($E154:H154,"²")+COUNTIF($E154:H154,"µ")+COUNTIF($E154:H154,1),ColDescriptionCourte))&gt;1,
HYPERLINK("#Roadmap!C"&amp; MATCH($E154,Roadmap!$D:$D,0)+COUNTIF($E154:H154,"u")+COUNTIF($E154:H154,"t")+COUNTIF($E154:H154,"¶")+COUNTIF($E154:H154,"²")+COUNTIF($E154:H154,"µ")+COUNTIF($E154:H154,1)-1,INDEX(Roadmap!$D:$K,MATCH($E154,Roadmap!$D:$D,0)-1+COUNTIF($E154:H154,"u")+COUNTIF($E154:H154,"t")+COUNTIF($E154:H154,"¶")+COUNTIF($E154:H154,"²")+COUNTIF($E154:H154,"µ")+COUNTIF($E154:H154,1),ColDescriptionCourte)),""),
  "")),"")</f>
        <v/>
      </c>
      <c r="J154" s="40" t="str">
        <f ca="1">IFERROR(IF(AND(
  INDEX(Roadmap!$D:$K,MATCH($E154,Roadmap!$D:$D,0)+COUNTIF($E154:I154,"u")+COUNTIF($E154:I154,"t")+COUNTIF($E154:I154,"¶")+COUNTIF($E154:I154,"²")+COUNTIF($E154:I154,"µ")+COUNTIF($E154:I154,1),ColLivraison)=J$6,
  VLOOKUP($E154,INDIRECT("tri!"&amp; CHAR(64+ C0Col) &amp;":"&amp; CHAR(65+C0Col)),2,FALSE)&gt;COUNTIF($E154:I154,"u")+COUNTIF($E154:I154,"t")+COUNTIF($E154:I154,"¶")+COUNTIF($E154:I154,"²")+COUNTIF($E154:I154,"µ")+COUNTIF($E154:I154,1)),
HYPERLINK("#Roadmap!C"&amp; MATCH($E154,Roadmap!$D:$D,0)+COUNTIF($E154:I154,"u")+COUNTIF($E154:I154,"t"),
     INDEX(Roadmap!$D:$K,MATCH($E154,Roadmap!$D:$D,0)+COUNTIF($E154:I154,"u")+COUNTIF($E154:I154,"t")+COUNTIF($E154:I154,"¶")+COUNTIF($E154:I154,"²")+COUNTIF($E154:I154,"µ")+COUNTIF($E154:I154,1),ColTypeEcheance)),
  IF(LEN(I154)=1,
  IF(LEN(INDEX(Roadmap!$D:$K,MATCH($E154,Roadmap!$D:$D,0)-1+COUNTIF($E154:I154,"u")+COUNTIF($E154:I154,"t")+COUNTIF($E154:I154,"¶")+COUNTIF($E154:I154,"²")+COUNTIF($E154:I154,"µ")+COUNTIF($E154:I154,1),ColDescriptionCourte))&gt;1,
HYPERLINK("#Roadmap!C"&amp; MATCH($E154,Roadmap!$D:$D,0)+COUNTIF($E154:I154,"u")+COUNTIF($E154:I154,"t")+COUNTIF($E154:I154,"¶")+COUNTIF($E154:I154,"²")+COUNTIF($E154:I154,"µ")+COUNTIF($E154:I154,1)-1,INDEX(Roadmap!$D:$K,MATCH($E154,Roadmap!$D:$D,0)-1+COUNTIF($E154:I154,"u")+COUNTIF($E154:I154,"t")+COUNTIF($E154:I154,"¶")+COUNTIF($E154:I154,"²")+COUNTIF($E154:I154,"µ")+COUNTIF($E154:I154,1),ColDescriptionCourte)),""),
  "")),"")</f>
        <v/>
      </c>
      <c r="K154" s="40" t="str">
        <f ca="1">IFERROR(IF(AND(
  INDEX(Roadmap!$D:$K,MATCH($E154,Roadmap!$D:$D,0)+COUNTIF($E154:J154,"u")+COUNTIF($E154:J154,"t")+COUNTIF($E154:J154,"¶")+COUNTIF($E154:J154,"²")+COUNTIF($E154:J154,"µ")+COUNTIF($E154:J154,1),ColLivraison)=K$6,
  VLOOKUP($E154,INDIRECT("tri!"&amp; CHAR(64+ C0Col) &amp;":"&amp; CHAR(65+C0Col)),2,FALSE)&gt;COUNTIF($E154:J154,"u")+COUNTIF($E154:J154,"t")+COUNTIF($E154:J154,"¶")+COUNTIF($E154:J154,"²")+COUNTIF($E154:J154,"µ")+COUNTIF($E154:J154,1)),
HYPERLINK("#Roadmap!C"&amp; MATCH($E154,Roadmap!$D:$D,0)+COUNTIF($E154:J154,"u")+COUNTIF($E154:J154,"t"),
     INDEX(Roadmap!$D:$K,MATCH($E154,Roadmap!$D:$D,0)+COUNTIF($E154:J154,"u")+COUNTIF($E154:J154,"t")+COUNTIF($E154:J154,"¶")+COUNTIF($E154:J154,"²")+COUNTIF($E154:J154,"µ")+COUNTIF($E154:J154,1),ColTypeEcheance)),
  IF(LEN(J154)=1,
  IF(LEN(INDEX(Roadmap!$D:$K,MATCH($E154,Roadmap!$D:$D,0)-1+COUNTIF($E154:J154,"u")+COUNTIF($E154:J154,"t")+COUNTIF($E154:J154,"¶")+COUNTIF($E154:J154,"²")+COUNTIF($E154:J154,"µ")+COUNTIF($E154:J154,1),ColDescriptionCourte))&gt;1,
HYPERLINK("#Roadmap!C"&amp; MATCH($E154,Roadmap!$D:$D,0)+COUNTIF($E154:J154,"u")+COUNTIF($E154:J154,"t")+COUNTIF($E154:J154,"¶")+COUNTIF($E154:J154,"²")+COUNTIF($E154:J154,"µ")+COUNTIF($E154:J154,1)-1,INDEX(Roadmap!$D:$K,MATCH($E154,Roadmap!$D:$D,0)-1+COUNTIF($E154:J154,"u")+COUNTIF($E154:J154,"t")+COUNTIF($E154:J154,"¶")+COUNTIF($E154:J154,"²")+COUNTIF($E154:J154,"µ")+COUNTIF($E154:J154,1),ColDescriptionCourte)),""),
  "")),"")</f>
        <v/>
      </c>
      <c r="L154" s="39" t="str">
        <f ca="1">IFERROR(IF(AND(
  INDEX(Roadmap!$D:$K,MATCH($E154,Roadmap!$D:$D,0)+COUNTIF($E154:K154,"u")+COUNTIF($E154:K154,"t")+COUNTIF($E154:K154,"¶")+COUNTIF($E154:K154,"²")+COUNTIF($E154:K154,"µ")+COUNTIF($E154:K154,1),ColLivraison)=L$6,
  VLOOKUP($E154,INDIRECT("tri!"&amp; CHAR(64+ C0Col) &amp;":"&amp; CHAR(65+C0Col)),2,FALSE)&gt;COUNTIF($E154:K154,"u")+COUNTIF($E154:K154,"t")+COUNTIF($E154:K154,"¶")+COUNTIF($E154:K154,"²")+COUNTIF($E154:K154,"µ")+COUNTIF($E154:K154,1)),
HYPERLINK("#Roadmap!C"&amp; MATCH($E154,Roadmap!$D:$D,0)+COUNTIF($E154:K154,"u")+COUNTIF($E154:K154,"t"),
     INDEX(Roadmap!$D:$K,MATCH($E154,Roadmap!$D:$D,0)+COUNTIF($E154:K154,"u")+COUNTIF($E154:K154,"t")+COUNTIF($E154:K154,"¶")+COUNTIF($E154:K154,"²")+COUNTIF($E154:K154,"µ")+COUNTIF($E154:K154,1),ColTypeEcheance)),
  IF(LEN(K154)=1,
  IF(LEN(INDEX(Roadmap!$D:$K,MATCH($E154,Roadmap!$D:$D,0)-1+COUNTIF($E154:K154,"u")+COUNTIF($E154:K154,"t")+COUNTIF($E154:K154,"¶")+COUNTIF($E154:K154,"²")+COUNTIF($E154:K154,"µ")+COUNTIF($E154:K154,1),ColDescriptionCourte))&gt;1,
HYPERLINK("#Roadmap!C"&amp; MATCH($E154,Roadmap!$D:$D,0)+COUNTIF($E154:K154,"u")+COUNTIF($E154:K154,"t")+COUNTIF($E154:K154,"¶")+COUNTIF($E154:K154,"²")+COUNTIF($E154:K154,"µ")+COUNTIF($E154:K154,1)-1,INDEX(Roadmap!$D:$K,MATCH($E154,Roadmap!$D:$D,0)-1+COUNTIF($E154:K154,"u")+COUNTIF($E154:K154,"t")+COUNTIF($E154:K154,"¶")+COUNTIF($E154:K154,"²")+COUNTIF($E154:K154,"µ")+COUNTIF($E154:K154,1),ColDescriptionCourte)),""),
  "")),"")</f>
        <v/>
      </c>
      <c r="M154" s="40" t="str">
        <f ca="1">IFERROR(IF(AND(
  INDEX(Roadmap!$D:$K,MATCH($E154,Roadmap!$D:$D,0)+COUNTIF($E154:L154,"u")+COUNTIF($E154:L154,"t")+COUNTIF($E154:L154,"¶")+COUNTIF($E154:L154,"²")+COUNTIF($E154:L154,"µ")+COUNTIF($E154:L154,1),ColLivraison)=M$6,
  VLOOKUP($E154,INDIRECT("tri!"&amp; CHAR(64+ C0Col) &amp;":"&amp; CHAR(65+C0Col)),2,FALSE)&gt;COUNTIF($E154:L154,"u")+COUNTIF($E154:L154,"t")+COUNTIF($E154:L154,"¶")+COUNTIF($E154:L154,"²")+COUNTIF($E154:L154,"µ")+COUNTIF($E154:L154,1)),
HYPERLINK("#Roadmap!C"&amp; MATCH($E154,Roadmap!$D:$D,0)+COUNTIF($E154:L154,"u")+COUNTIF($E154:L154,"t"),
     INDEX(Roadmap!$D:$K,MATCH($E154,Roadmap!$D:$D,0)+COUNTIF($E154:L154,"u")+COUNTIF($E154:L154,"t")+COUNTIF($E154:L154,"¶")+COUNTIF($E154:L154,"²")+COUNTIF($E154:L154,"µ")+COUNTIF($E154:L154,1),ColTypeEcheance)),
  IF(LEN(L154)=1,
  IF(LEN(INDEX(Roadmap!$D:$K,MATCH($E154,Roadmap!$D:$D,0)-1+COUNTIF($E154:L154,"u")+COUNTIF($E154:L154,"t")+COUNTIF($E154:L154,"¶")+COUNTIF($E154:L154,"²")+COUNTIF($E154:L154,"µ")+COUNTIF($E154:L154,1),ColDescriptionCourte))&gt;1,
HYPERLINK("#Roadmap!C"&amp; MATCH($E154,Roadmap!$D:$D,0)+COUNTIF($E154:L154,"u")+COUNTIF($E154:L154,"t")+COUNTIF($E154:L154,"¶")+COUNTIF($E154:L154,"²")+COUNTIF($E154:L154,"µ")+COUNTIF($E154:L154,1)-1,INDEX(Roadmap!$D:$K,MATCH($E154,Roadmap!$D:$D,0)-1+COUNTIF($E154:L154,"u")+COUNTIF($E154:L154,"t")+COUNTIF($E154:L154,"¶")+COUNTIF($E154:L154,"²")+COUNTIF($E154:L154,"µ")+COUNTIF($E154:L154,1),ColDescriptionCourte)),""),
  "")),"")</f>
        <v/>
      </c>
      <c r="N154" s="40" t="str">
        <f ca="1">IFERROR(IF(AND(
  INDEX(Roadmap!$D:$K,MATCH($E154,Roadmap!$D:$D,0)+COUNTIF($E154:M154,"u")+COUNTIF($E154:M154,"t")+COUNTIF($E154:M154,"¶")+COUNTIF($E154:M154,"²")+COUNTIF($E154:M154,"µ")+COUNTIF($E154:M154,1),ColLivraison)=N$6,
  VLOOKUP($E154,INDIRECT("tri!"&amp; CHAR(64+ C0Col) &amp;":"&amp; CHAR(65+C0Col)),2,FALSE)&gt;COUNTIF($E154:M154,"u")+COUNTIF($E154:M154,"t")+COUNTIF($E154:M154,"¶")+COUNTIF($E154:M154,"²")+COUNTIF($E154:M154,"µ")+COUNTIF($E154:M154,1)),
HYPERLINK("#Roadmap!C"&amp; MATCH($E154,Roadmap!$D:$D,0)+COUNTIF($E154:M154,"u")+COUNTIF($E154:M154,"t"),
     INDEX(Roadmap!$D:$K,MATCH($E154,Roadmap!$D:$D,0)+COUNTIF($E154:M154,"u")+COUNTIF($E154:M154,"t")+COUNTIF($E154:M154,"¶")+COUNTIF($E154:M154,"²")+COUNTIF($E154:M154,"µ")+COUNTIF($E154:M154,1),ColTypeEcheance)),
  IF(LEN(M154)=1,
  IF(LEN(INDEX(Roadmap!$D:$K,MATCH($E154,Roadmap!$D:$D,0)-1+COUNTIF($E154:M154,"u")+COUNTIF($E154:M154,"t")+COUNTIF($E154:M154,"¶")+COUNTIF($E154:M154,"²")+COUNTIF($E154:M154,"µ")+COUNTIF($E154:M154,1),ColDescriptionCourte))&gt;1,
HYPERLINK("#Roadmap!C"&amp; MATCH($E154,Roadmap!$D:$D,0)+COUNTIF($E154:M154,"u")+COUNTIF($E154:M154,"t")+COUNTIF($E154:M154,"¶")+COUNTIF($E154:M154,"²")+COUNTIF($E154:M154,"µ")+COUNTIF($E154:M154,1)-1,INDEX(Roadmap!$D:$K,MATCH($E154,Roadmap!$D:$D,0)-1+COUNTIF($E154:M154,"u")+COUNTIF($E154:M154,"t")+COUNTIF($E154:M154,"¶")+COUNTIF($E154:M154,"²")+COUNTIF($E154:M154,"µ")+COUNTIF($E154:M154,1),ColDescriptionCourte)),""),
  "")),"")</f>
        <v/>
      </c>
      <c r="O154" s="40" t="str">
        <f ca="1">IFERROR(IF(AND(
  INDEX(Roadmap!$D:$K,MATCH($E154,Roadmap!$D:$D,0)+COUNTIF($E154:N154,"u")+COUNTIF($E154:N154,"t")+COUNTIF($E154:N154,"¶")+COUNTIF($E154:N154,"²")+COUNTIF($E154:N154,"µ")+COUNTIF($E154:N154,1),ColLivraison)=O$6,
  VLOOKUP($E154,INDIRECT("tri!"&amp; CHAR(64+ C0Col) &amp;":"&amp; CHAR(65+C0Col)),2,FALSE)&gt;COUNTIF($E154:N154,"u")+COUNTIF($E154:N154,"t")+COUNTIF($E154:N154,"¶")+COUNTIF($E154:N154,"²")+COUNTIF($E154:N154,"µ")+COUNTIF($E154:N154,1)),
HYPERLINK("#Roadmap!C"&amp; MATCH($E154,Roadmap!$D:$D,0)+COUNTIF($E154:N154,"u")+COUNTIF($E154:N154,"t"),
     INDEX(Roadmap!$D:$K,MATCH($E154,Roadmap!$D:$D,0)+COUNTIF($E154:N154,"u")+COUNTIF($E154:N154,"t")+COUNTIF($E154:N154,"¶")+COUNTIF($E154:N154,"²")+COUNTIF($E154:N154,"µ")+COUNTIF($E154:N154,1),ColTypeEcheance)),
  IF(LEN(N154)=1,
  IF(LEN(INDEX(Roadmap!$D:$K,MATCH($E154,Roadmap!$D:$D,0)-1+COUNTIF($E154:N154,"u")+COUNTIF($E154:N154,"t")+COUNTIF($E154:N154,"¶")+COUNTIF($E154:N154,"²")+COUNTIF($E154:N154,"µ")+COUNTIF($E154:N154,1),ColDescriptionCourte))&gt;1,
HYPERLINK("#Roadmap!C"&amp; MATCH($E154,Roadmap!$D:$D,0)+COUNTIF($E154:N154,"u")+COUNTIF($E154:N154,"t")+COUNTIF($E154:N154,"¶")+COUNTIF($E154:N154,"²")+COUNTIF($E154:N154,"µ")+COUNTIF($E154:N154,1)-1,INDEX(Roadmap!$D:$K,MATCH($E154,Roadmap!$D:$D,0)-1+COUNTIF($E154:N154,"u")+COUNTIF($E154:N154,"t")+COUNTIF($E154:N154,"¶")+COUNTIF($E154:N154,"²")+COUNTIF($E154:N154,"µ")+COUNTIF($E154:N154,1),ColDescriptionCourte)),""),
  "")),"")</f>
        <v/>
      </c>
      <c r="P154" s="40" t="str">
        <f ca="1">IFERROR(IF(AND(
  INDEX(Roadmap!$D:$K,MATCH($E154,Roadmap!$D:$D,0)+COUNTIF($E154:O154,"u")+COUNTIF($E154:O154,"t")+COUNTIF($E154:O154,"¶")+COUNTIF($E154:O154,"²")+COUNTIF($E154:O154,"µ")+COUNTIF($E154:O154,1),ColLivraison)=P$6,
  VLOOKUP($E154,INDIRECT("tri!"&amp; CHAR(64+ C0Col) &amp;":"&amp; CHAR(65+C0Col)),2,FALSE)&gt;COUNTIF($E154:O154,"u")+COUNTIF($E154:O154,"t")+COUNTIF($E154:O154,"¶")+COUNTIF($E154:O154,"²")+COUNTIF($E154:O154,"µ")+COUNTIF($E154:O154,1)),
HYPERLINK("#Roadmap!C"&amp; MATCH($E154,Roadmap!$D:$D,0)+COUNTIF($E154:O154,"u")+COUNTIF($E154:O154,"t"),
     INDEX(Roadmap!$D:$K,MATCH($E154,Roadmap!$D:$D,0)+COUNTIF($E154:O154,"u")+COUNTIF($E154:O154,"t")+COUNTIF($E154:O154,"¶")+COUNTIF($E154:O154,"²")+COUNTIF($E154:O154,"µ")+COUNTIF($E154:O154,1),ColTypeEcheance)),
  IF(LEN(O154)=1,
  IF(LEN(INDEX(Roadmap!$D:$K,MATCH($E154,Roadmap!$D:$D,0)-1+COUNTIF($E154:O154,"u")+COUNTIF($E154:O154,"t")+COUNTIF($E154:O154,"¶")+COUNTIF($E154:O154,"²")+COUNTIF($E154:O154,"µ")+COUNTIF($E154:O154,1),ColDescriptionCourte))&gt;1,
HYPERLINK("#Roadmap!C"&amp; MATCH($E154,Roadmap!$D:$D,0)+COUNTIF($E154:O154,"u")+COUNTIF($E154:O154,"t")+COUNTIF($E154:O154,"¶")+COUNTIF($E154:O154,"²")+COUNTIF($E154:O154,"µ")+COUNTIF($E154:O154,1)-1,INDEX(Roadmap!$D:$K,MATCH($E154,Roadmap!$D:$D,0)-1+COUNTIF($E154:O154,"u")+COUNTIF($E154:O154,"t")+COUNTIF($E154:O154,"¶")+COUNTIF($E154:O154,"²")+COUNTIF($E154:O154,"µ")+COUNTIF($E154:O154,1),ColDescriptionCourte)),""),
  "")),"")</f>
        <v/>
      </c>
      <c r="Q154" s="40" t="str">
        <f ca="1">IFERROR(IF(AND(
  INDEX(Roadmap!$D:$K,MATCH($E154,Roadmap!$D:$D,0)+COUNTIF($E154:P154,"u")+COUNTIF($E154:P154,"t")+COUNTIF($E154:P154,"¶")+COUNTIF($E154:P154,"²")+COUNTIF($E154:P154,"µ")+COUNTIF($E154:P154,1),ColLivraison)=Q$6,
  VLOOKUP($E154,INDIRECT("tri!"&amp; CHAR(64+ C0Col) &amp;":"&amp; CHAR(65+C0Col)),2,FALSE)&gt;COUNTIF($E154:P154,"u")+COUNTIF($E154:P154,"t")+COUNTIF($E154:P154,"¶")+COUNTIF($E154:P154,"²")+COUNTIF($E154:P154,"µ")+COUNTIF($E154:P154,1)),
HYPERLINK("#Roadmap!C"&amp; MATCH($E154,Roadmap!$D:$D,0)+COUNTIF($E154:P154,"u")+COUNTIF($E154:P154,"t"),
     INDEX(Roadmap!$D:$K,MATCH($E154,Roadmap!$D:$D,0)+COUNTIF($E154:P154,"u")+COUNTIF($E154:P154,"t")+COUNTIF($E154:P154,"¶")+COUNTIF($E154:P154,"²")+COUNTIF($E154:P154,"µ")+COUNTIF($E154:P154,1),ColTypeEcheance)),
  IF(LEN(P154)=1,
  IF(LEN(INDEX(Roadmap!$D:$K,MATCH($E154,Roadmap!$D:$D,0)-1+COUNTIF($E154:P154,"u")+COUNTIF($E154:P154,"t")+COUNTIF($E154:P154,"¶")+COUNTIF($E154:P154,"²")+COUNTIF($E154:P154,"µ")+COUNTIF($E154:P154,1),ColDescriptionCourte))&gt;1,
HYPERLINK("#Roadmap!C"&amp; MATCH($E154,Roadmap!$D:$D,0)+COUNTIF($E154:P154,"u")+COUNTIF($E154:P154,"t")+COUNTIF($E154:P154,"¶")+COUNTIF($E154:P154,"²")+COUNTIF($E154:P154,"µ")+COUNTIF($E154:P154,1)-1,INDEX(Roadmap!$D:$K,MATCH($E154,Roadmap!$D:$D,0)-1+COUNTIF($E154:P154,"u")+COUNTIF($E154:P154,"t")+COUNTIF($E154:P154,"¶")+COUNTIF($E154:P154,"²")+COUNTIF($E154:P154,"µ")+COUNTIF($E154:P154,1),ColDescriptionCourte)),""),
  "")),"")</f>
        <v/>
      </c>
      <c r="R154" s="40" t="str">
        <f ca="1">IFERROR(IF(AND(
  INDEX(Roadmap!$D:$K,MATCH($E154,Roadmap!$D:$D,0)+COUNTIF($E154:Q154,"u")+COUNTIF($E154:Q154,"t")+COUNTIF($E154:Q154,"¶")+COUNTIF($E154:Q154,"²")+COUNTIF($E154:Q154,"µ")+COUNTIF($E154:Q154,1),ColLivraison)=R$6,
  VLOOKUP($E154,INDIRECT("tri!"&amp; CHAR(64+ C0Col) &amp;":"&amp; CHAR(65+C0Col)),2,FALSE)&gt;COUNTIF($E154:Q154,"u")+COUNTIF($E154:Q154,"t")+COUNTIF($E154:Q154,"¶")+COUNTIF($E154:Q154,"²")+COUNTIF($E154:Q154,"µ")+COUNTIF($E154:Q154,1)),
HYPERLINK("#Roadmap!C"&amp; MATCH($E154,Roadmap!$D:$D,0)+COUNTIF($E154:Q154,"u")+COUNTIF($E154:Q154,"t"),
     INDEX(Roadmap!$D:$K,MATCH($E154,Roadmap!$D:$D,0)+COUNTIF($E154:Q154,"u")+COUNTIF($E154:Q154,"t")+COUNTIF($E154:Q154,"¶")+COUNTIF($E154:Q154,"²")+COUNTIF($E154:Q154,"µ")+COUNTIF($E154:Q154,1),ColTypeEcheance)),
  IF(LEN(Q154)=1,
  IF(LEN(INDEX(Roadmap!$D:$K,MATCH($E154,Roadmap!$D:$D,0)-1+COUNTIF($E154:Q154,"u")+COUNTIF($E154:Q154,"t")+COUNTIF($E154:Q154,"¶")+COUNTIF($E154:Q154,"²")+COUNTIF($E154:Q154,"µ")+COUNTIF($E154:Q154,1),ColDescriptionCourte))&gt;1,
HYPERLINK("#Roadmap!C"&amp; MATCH($E154,Roadmap!$D:$D,0)+COUNTIF($E154:Q154,"u")+COUNTIF($E154:Q154,"t")+COUNTIF($E154:Q154,"¶")+COUNTIF($E154:Q154,"²")+COUNTIF($E154:Q154,"µ")+COUNTIF($E154:Q154,1)-1,INDEX(Roadmap!$D:$K,MATCH($E154,Roadmap!$D:$D,0)-1+COUNTIF($E154:Q154,"u")+COUNTIF($E154:Q154,"t")+COUNTIF($E154:Q154,"¶")+COUNTIF($E154:Q154,"²")+COUNTIF($E154:Q154,"µ")+COUNTIF($E154:Q154,1),ColDescriptionCourte)),""),
  "")),"")</f>
        <v/>
      </c>
      <c r="S154" s="40" t="str">
        <f ca="1">IFERROR(IF(AND(
  INDEX(Roadmap!$D:$K,MATCH($E154,Roadmap!$D:$D,0)+COUNTIF($E154:R154,"u")+COUNTIF($E154:R154,"t")+COUNTIF($E154:R154,"¶")+COUNTIF($E154:R154,"²")+COUNTIF($E154:R154,"µ")+COUNTIF($E154:R154,1),ColLivraison)=S$6,
  VLOOKUP($E154,INDIRECT("tri!"&amp; CHAR(64+ C0Col) &amp;":"&amp; CHAR(65+C0Col)),2,FALSE)&gt;COUNTIF($E154:R154,"u")+COUNTIF($E154:R154,"t")+COUNTIF($E154:R154,"¶")+COUNTIF($E154:R154,"²")+COUNTIF($E154:R154,"µ")+COUNTIF($E154:R154,1)),
HYPERLINK("#Roadmap!C"&amp; MATCH($E154,Roadmap!$D:$D,0)+COUNTIF($E154:R154,"u")+COUNTIF($E154:R154,"t"),
     INDEX(Roadmap!$D:$K,MATCH($E154,Roadmap!$D:$D,0)+COUNTIF($E154:R154,"u")+COUNTIF($E154:R154,"t")+COUNTIF($E154:R154,"¶")+COUNTIF($E154:R154,"²")+COUNTIF($E154:R154,"µ")+COUNTIF($E154:R154,1),ColTypeEcheance)),
  IF(LEN(R154)=1,
  IF(LEN(INDEX(Roadmap!$D:$K,MATCH($E154,Roadmap!$D:$D,0)-1+COUNTIF($E154:R154,"u")+COUNTIF($E154:R154,"t")+COUNTIF($E154:R154,"¶")+COUNTIF($E154:R154,"²")+COUNTIF($E154:R154,"µ")+COUNTIF($E154:R154,1),ColDescriptionCourte))&gt;1,
HYPERLINK("#Roadmap!C"&amp; MATCH($E154,Roadmap!$D:$D,0)+COUNTIF($E154:R154,"u")+COUNTIF($E154:R154,"t")+COUNTIF($E154:R154,"¶")+COUNTIF($E154:R154,"²")+COUNTIF($E154:R154,"µ")+COUNTIF($E154:R154,1)-1,INDEX(Roadmap!$D:$K,MATCH($E154,Roadmap!$D:$D,0)-1+COUNTIF($E154:R154,"u")+COUNTIF($E154:R154,"t")+COUNTIF($E154:R154,"¶")+COUNTIF($E154:R154,"²")+COUNTIF($E154:R154,"µ")+COUNTIF($E154:R154,1),ColDescriptionCourte)),""),
  "")),"")</f>
        <v/>
      </c>
      <c r="T154" s="40" t="str">
        <f ca="1">IFERROR(IF(AND(
  INDEX(Roadmap!$D:$K,MATCH($E154,Roadmap!$D:$D,0)+COUNTIF($E154:S154,"u")+COUNTIF($E154:S154,"t")+COUNTIF($E154:S154,"¶")+COUNTIF($E154:S154,"²")+COUNTIF($E154:S154,"µ")+COUNTIF($E154:S154,1),ColLivraison)=T$6,
  VLOOKUP($E154,INDIRECT("tri!"&amp; CHAR(64+ C0Col) &amp;":"&amp; CHAR(65+C0Col)),2,FALSE)&gt;COUNTIF($E154:S154,"u")+COUNTIF($E154:S154,"t")+COUNTIF($E154:S154,"¶")+COUNTIF($E154:S154,"²")+COUNTIF($E154:S154,"µ")+COUNTIF($E154:S154,1)),
HYPERLINK("#Roadmap!C"&amp; MATCH($E154,Roadmap!$D:$D,0)+COUNTIF($E154:S154,"u")+COUNTIF($E154:S154,"t"),
     INDEX(Roadmap!$D:$K,MATCH($E154,Roadmap!$D:$D,0)+COUNTIF($E154:S154,"u")+COUNTIF($E154:S154,"t")+COUNTIF($E154:S154,"¶")+COUNTIF($E154:S154,"²")+COUNTIF($E154:S154,"µ")+COUNTIF($E154:S154,1),ColTypeEcheance)),
  IF(LEN(S154)=1,
  IF(LEN(INDEX(Roadmap!$D:$K,MATCH($E154,Roadmap!$D:$D,0)-1+COUNTIF($E154:S154,"u")+COUNTIF($E154:S154,"t")+COUNTIF($E154:S154,"¶")+COUNTIF($E154:S154,"²")+COUNTIF($E154:S154,"µ")+COUNTIF($E154:S154,1),ColDescriptionCourte))&gt;1,
HYPERLINK("#Roadmap!C"&amp; MATCH($E154,Roadmap!$D:$D,0)+COUNTIF($E154:S154,"u")+COUNTIF($E154:S154,"t")+COUNTIF($E154:S154,"¶")+COUNTIF($E154:S154,"²")+COUNTIF($E154:S154,"µ")+COUNTIF($E154:S154,1)-1,INDEX(Roadmap!$D:$K,MATCH($E154,Roadmap!$D:$D,0)-1+COUNTIF($E154:S154,"u")+COUNTIF($E154:S154,"t")+COUNTIF($E154:S154,"¶")+COUNTIF($E154:S154,"²")+COUNTIF($E154:S154,"µ")+COUNTIF($E154:S154,1),ColDescriptionCourte)),""),
  "")),"")</f>
        <v/>
      </c>
      <c r="U154" s="40" t="str">
        <f ca="1">IFERROR(IF(AND(
  INDEX(Roadmap!$D:$K,MATCH($E154,Roadmap!$D:$D,0)+COUNTIF($E154:T154,"u")+COUNTIF($E154:T154,"t")+COUNTIF($E154:T154,"¶")+COUNTIF($E154:T154,"²")+COUNTIF($E154:T154,"µ")+COUNTIF($E154:T154,1),ColLivraison)=U$6,
  VLOOKUP($E154,INDIRECT("tri!"&amp; CHAR(64+ C0Col) &amp;":"&amp; CHAR(65+C0Col)),2,FALSE)&gt;COUNTIF($E154:T154,"u")+COUNTIF($E154:T154,"t")+COUNTIF($E154:T154,"¶")+COUNTIF($E154:T154,"²")+COUNTIF($E154:T154,"µ")+COUNTIF($E154:T154,1)),
HYPERLINK("#Roadmap!C"&amp; MATCH($E154,Roadmap!$D:$D,0)+COUNTIF($E154:T154,"u")+COUNTIF($E154:T154,"t"),
     INDEX(Roadmap!$D:$K,MATCH($E154,Roadmap!$D:$D,0)+COUNTIF($E154:T154,"u")+COUNTIF($E154:T154,"t")+COUNTIF($E154:T154,"¶")+COUNTIF($E154:T154,"²")+COUNTIF($E154:T154,"µ")+COUNTIF($E154:T154,1),ColTypeEcheance)),
  IF(LEN(T154)=1,
  IF(LEN(INDEX(Roadmap!$D:$K,MATCH($E154,Roadmap!$D:$D,0)-1+COUNTIF($E154:T154,"u")+COUNTIF($E154:T154,"t")+COUNTIF($E154:T154,"¶")+COUNTIF($E154:T154,"²")+COUNTIF($E154:T154,"µ")+COUNTIF($E154:T154,1),ColDescriptionCourte))&gt;1,
HYPERLINK("#Roadmap!C"&amp; MATCH($E154,Roadmap!$D:$D,0)+COUNTIF($E154:T154,"u")+COUNTIF($E154:T154,"t")+COUNTIF($E154:T154,"¶")+COUNTIF($E154:T154,"²")+COUNTIF($E154:T154,"µ")+COUNTIF($E154:T154,1)-1,INDEX(Roadmap!$D:$K,MATCH($E154,Roadmap!$D:$D,0)-1+COUNTIF($E154:T154,"u")+COUNTIF($E154:T154,"t")+COUNTIF($E154:T154,"¶")+COUNTIF($E154:T154,"²")+COUNTIF($E154:T154,"µ")+COUNTIF($E154:T154,1),ColDescriptionCourte)),""),
  "")),"")</f>
        <v/>
      </c>
      <c r="V154" s="40" t="str">
        <f ca="1">IFERROR(IF(AND(
  INDEX(Roadmap!$D:$K,MATCH($E154,Roadmap!$D:$D,0)+COUNTIF($E154:U154,"u")+COUNTIF($E154:U154,"t")+COUNTIF($E154:U154,"¶")+COUNTIF($E154:U154,"²")+COUNTIF($E154:U154,"µ")+COUNTIF($E154:U154,1),ColLivraison)=V$6,
  VLOOKUP($E154,INDIRECT("tri!"&amp; CHAR(64+ C0Col) &amp;":"&amp; CHAR(65+C0Col)),2,FALSE)&gt;COUNTIF($E154:U154,"u")+COUNTIF($E154:U154,"t")+COUNTIF($E154:U154,"¶")+COUNTIF($E154:U154,"²")+COUNTIF($E154:U154,"µ")+COUNTIF($E154:U154,1)),
HYPERLINK("#Roadmap!C"&amp; MATCH($E154,Roadmap!$D:$D,0)+COUNTIF($E154:U154,"u")+COUNTIF($E154:U154,"t"),
     INDEX(Roadmap!$D:$K,MATCH($E154,Roadmap!$D:$D,0)+COUNTIF($E154:U154,"u")+COUNTIF($E154:U154,"t")+COUNTIF($E154:U154,"¶")+COUNTIF($E154:U154,"²")+COUNTIF($E154:U154,"µ")+COUNTIF($E154:U154,1),ColTypeEcheance)),
  IF(LEN(U154)=1,
  IF(LEN(INDEX(Roadmap!$D:$K,MATCH($E154,Roadmap!$D:$D,0)-1+COUNTIF($E154:U154,"u")+COUNTIF($E154:U154,"t")+COUNTIF($E154:U154,"¶")+COUNTIF($E154:U154,"²")+COUNTIF($E154:U154,"µ")+COUNTIF($E154:U154,1),ColDescriptionCourte))&gt;1,
HYPERLINK("#Roadmap!C"&amp; MATCH($E154,Roadmap!$D:$D,0)+COUNTIF($E154:U154,"u")+COUNTIF($E154:U154,"t")+COUNTIF($E154:U154,"¶")+COUNTIF($E154:U154,"²")+COUNTIF($E154:U154,"µ")+COUNTIF($E154:U154,1)-1,INDEX(Roadmap!$D:$K,MATCH($E154,Roadmap!$D:$D,0)-1+COUNTIF($E154:U154,"u")+COUNTIF($E154:U154,"t")+COUNTIF($E154:U154,"¶")+COUNTIF($E154:U154,"²")+COUNTIF($E154:U154,"µ")+COUNTIF($E154:U154,1),ColDescriptionCourte)),""),
  "")),"")</f>
        <v/>
      </c>
      <c r="W154" s="40" t="str">
        <f ca="1">IFERROR(IF(AND(
  INDEX(Roadmap!$D:$K,MATCH($E154,Roadmap!$D:$D,0)+COUNTIF($E154:V154,"u")+COUNTIF($E154:V154,"t")+COUNTIF($E154:V154,"¶")+COUNTIF($E154:V154,"²")+COUNTIF($E154:V154,"µ")+COUNTIF($E154:V154,1),ColLivraison)=W$6,
  VLOOKUP($E154,INDIRECT("tri!"&amp; CHAR(64+ C0Col) &amp;":"&amp; CHAR(65+C0Col)),2,FALSE)&gt;COUNTIF($E154:V154,"u")+COUNTIF($E154:V154,"t")+COUNTIF($E154:V154,"¶")+COUNTIF($E154:V154,"²")+COUNTIF($E154:V154,"µ")+COUNTIF($E154:V154,1)),
HYPERLINK("#Roadmap!C"&amp; MATCH($E154,Roadmap!$D:$D,0)+COUNTIF($E154:V154,"u")+COUNTIF($E154:V154,"t"),
     INDEX(Roadmap!$D:$K,MATCH($E154,Roadmap!$D:$D,0)+COUNTIF($E154:V154,"u")+COUNTIF($E154:V154,"t")+COUNTIF($E154:V154,"¶")+COUNTIF($E154:V154,"²")+COUNTIF($E154:V154,"µ")+COUNTIF($E154:V154,1),ColTypeEcheance)),
  IF(LEN(V154)=1,
  IF(LEN(INDEX(Roadmap!$D:$K,MATCH($E154,Roadmap!$D:$D,0)-1+COUNTIF($E154:V154,"u")+COUNTIF($E154:V154,"t")+COUNTIF($E154:V154,"¶")+COUNTIF($E154:V154,"²")+COUNTIF($E154:V154,"µ")+COUNTIF($E154:V154,1),ColDescriptionCourte))&gt;1,
HYPERLINK("#Roadmap!C"&amp; MATCH($E154,Roadmap!$D:$D,0)+COUNTIF($E154:V154,"u")+COUNTIF($E154:V154,"t")+COUNTIF($E154:V154,"¶")+COUNTIF($E154:V154,"²")+COUNTIF($E154:V154,"µ")+COUNTIF($E154:V154,1)-1,INDEX(Roadmap!$D:$K,MATCH($E154,Roadmap!$D:$D,0)-1+COUNTIF($E154:V154,"u")+COUNTIF($E154:V154,"t")+COUNTIF($E154:V154,"¶")+COUNTIF($E154:V154,"²")+COUNTIF($E154:V154,"µ")+COUNTIF($E154:V154,1),ColDescriptionCourte)),""),
  "")),"")</f>
        <v/>
      </c>
      <c r="X154" s="40" t="str">
        <f ca="1">IFERROR(IF(AND(
  INDEX(Roadmap!$D:$K,MATCH($E154,Roadmap!$D:$D,0)+COUNTIF($E154:W154,"u")+COUNTIF($E154:W154,"t")+COUNTIF($E154:W154,"¶")+COUNTIF($E154:W154,"²")+COUNTIF($E154:W154,"µ")+COUNTIF($E154:W154,1),ColLivraison)=X$6,
  VLOOKUP($E154,INDIRECT("tri!"&amp; CHAR(64+ C0Col) &amp;":"&amp; CHAR(65+C0Col)),2,FALSE)&gt;COUNTIF($E154:W154,"u")+COUNTIF($E154:W154,"t")+COUNTIF($E154:W154,"¶")+COUNTIF($E154:W154,"²")+COUNTIF($E154:W154,"µ")+COUNTIF($E154:W154,1)),
HYPERLINK("#Roadmap!C"&amp; MATCH($E154,Roadmap!$D:$D,0)+COUNTIF($E154:W154,"u")+COUNTIF($E154:W154,"t"),
     INDEX(Roadmap!$D:$K,MATCH($E154,Roadmap!$D:$D,0)+COUNTIF($E154:W154,"u")+COUNTIF($E154:W154,"t")+COUNTIF($E154:W154,"¶")+COUNTIF($E154:W154,"²")+COUNTIF($E154:W154,"µ")+COUNTIF($E154:W154,1),ColTypeEcheance)),
  IF(LEN(W154)=1,
  IF(LEN(INDEX(Roadmap!$D:$K,MATCH($E154,Roadmap!$D:$D,0)-1+COUNTIF($E154:W154,"u")+COUNTIF($E154:W154,"t")+COUNTIF($E154:W154,"¶")+COUNTIF($E154:W154,"²")+COUNTIF($E154:W154,"µ")+COUNTIF($E154:W154,1),ColDescriptionCourte))&gt;1,
HYPERLINK("#Roadmap!C"&amp; MATCH($E154,Roadmap!$D:$D,0)+COUNTIF($E154:W154,"u")+COUNTIF($E154:W154,"t")+COUNTIF($E154:W154,"¶")+COUNTIF($E154:W154,"²")+COUNTIF($E154:W154,"µ")+COUNTIF($E154:W154,1)-1,INDEX(Roadmap!$D:$K,MATCH($E154,Roadmap!$D:$D,0)-1+COUNTIF($E154:W154,"u")+COUNTIF($E154:W154,"t")+COUNTIF($E154:W154,"¶")+COUNTIF($E154:W154,"²")+COUNTIF($E154:W154,"µ")+COUNTIF($E154:W154,1),ColDescriptionCourte)),""),
  "")),"")</f>
        <v/>
      </c>
      <c r="Y154" s="40" t="str">
        <f ca="1">IFERROR(IF(AND(
  INDEX(Roadmap!$D:$K,MATCH($E154,Roadmap!$D:$D,0)+COUNTIF($E154:X154,"u")+COUNTIF($E154:X154,"t")+COUNTIF($E154:X154,"¶")+COUNTIF($E154:X154,"²")+COUNTIF($E154:X154,"µ")+COUNTIF($E154:X154,1),ColLivraison)=Y$6,
  VLOOKUP($E154,INDIRECT("tri!"&amp; CHAR(64+ C0Col) &amp;":"&amp; CHAR(65+C0Col)),2,FALSE)&gt;COUNTIF($E154:X154,"u")+COUNTIF($E154:X154,"t")+COUNTIF($E154:X154,"¶")+COUNTIF($E154:X154,"²")+COUNTIF($E154:X154,"µ")+COUNTIF($E154:X154,1)),
HYPERLINK("#Roadmap!C"&amp; MATCH($E154,Roadmap!$D:$D,0)+COUNTIF($E154:X154,"u")+COUNTIF($E154:X154,"t"),
     INDEX(Roadmap!$D:$K,MATCH($E154,Roadmap!$D:$D,0)+COUNTIF($E154:X154,"u")+COUNTIF($E154:X154,"t")+COUNTIF($E154:X154,"¶")+COUNTIF($E154:X154,"²")+COUNTIF($E154:X154,"µ")+COUNTIF($E154:X154,1),ColTypeEcheance)),
  IF(LEN(X154)=1,
  IF(LEN(INDEX(Roadmap!$D:$K,MATCH($E154,Roadmap!$D:$D,0)-1+COUNTIF($E154:X154,"u")+COUNTIF($E154:X154,"t")+COUNTIF($E154:X154,"¶")+COUNTIF($E154:X154,"²")+COUNTIF($E154:X154,"µ")+COUNTIF($E154:X154,1),ColDescriptionCourte))&gt;1,
HYPERLINK("#Roadmap!C"&amp; MATCH($E154,Roadmap!$D:$D,0)+COUNTIF($E154:X154,"u")+COUNTIF($E154:X154,"t")+COUNTIF($E154:X154,"¶")+COUNTIF($E154:X154,"²")+COUNTIF($E154:X154,"µ")+COUNTIF($E154:X154,1)-1,INDEX(Roadmap!$D:$K,MATCH($E154,Roadmap!$D:$D,0)-1+COUNTIF($E154:X154,"u")+COUNTIF($E154:X154,"t")+COUNTIF($E154:X154,"¶")+COUNTIF($E154:X154,"²")+COUNTIF($E154:X154,"µ")+COUNTIF($E154:X154,1),ColDescriptionCourte)),""),
  "")),"")</f>
        <v/>
      </c>
      <c r="Z154" s="40" t="str">
        <f ca="1">IFERROR(IF(AND(
  INDEX(Roadmap!$D:$K,MATCH($E154,Roadmap!$D:$D,0)+COUNTIF($E154:Y154,"u")+COUNTIF($E154:Y154,"t")+COUNTIF($E154:Y154,"¶")+COUNTIF($E154:Y154,"²")+COUNTIF($E154:Y154,"µ")+COUNTIF($E154:Y154,1),ColLivraison)=Z$6,
  VLOOKUP($E154,INDIRECT("tri!"&amp; CHAR(64+ C0Col) &amp;":"&amp; CHAR(65+C0Col)),2,FALSE)&gt;COUNTIF($E154:Y154,"u")+COUNTIF($E154:Y154,"t")+COUNTIF($E154:Y154,"¶")+COUNTIF($E154:Y154,"²")+COUNTIF($E154:Y154,"µ")+COUNTIF($E154:Y154,1)),
HYPERLINK("#Roadmap!C"&amp; MATCH($E154,Roadmap!$D:$D,0)+COUNTIF($E154:Y154,"u")+COUNTIF($E154:Y154,"t"),
     INDEX(Roadmap!$D:$K,MATCH($E154,Roadmap!$D:$D,0)+COUNTIF($E154:Y154,"u")+COUNTIF($E154:Y154,"t")+COUNTIF($E154:Y154,"¶")+COUNTIF($E154:Y154,"²")+COUNTIF($E154:Y154,"µ")+COUNTIF($E154:Y154,1),ColTypeEcheance)),
  IF(LEN(Y154)=1,
  IF(LEN(INDEX(Roadmap!$D:$K,MATCH($E154,Roadmap!$D:$D,0)-1+COUNTIF($E154:Y154,"u")+COUNTIF($E154:Y154,"t")+COUNTIF($E154:Y154,"¶")+COUNTIF($E154:Y154,"²")+COUNTIF($E154:Y154,"µ")+COUNTIF($E154:Y154,1),ColDescriptionCourte))&gt;1,
HYPERLINK("#Roadmap!C"&amp; MATCH($E154,Roadmap!$D:$D,0)+COUNTIF($E154:Y154,"u")+COUNTIF($E154:Y154,"t")+COUNTIF($E154:Y154,"¶")+COUNTIF($E154:Y154,"²")+COUNTIF($E154:Y154,"µ")+COUNTIF($E154:Y154,1)-1,INDEX(Roadmap!$D:$K,MATCH($E154,Roadmap!$D:$D,0)-1+COUNTIF($E154:Y154,"u")+COUNTIF($E154:Y154,"t")+COUNTIF($E154:Y154,"¶")+COUNTIF($E154:Y154,"²")+COUNTIF($E154:Y154,"µ")+COUNTIF($E154:Y154,1),ColDescriptionCourte)),""),
  "")),"")</f>
        <v/>
      </c>
      <c r="AA154" s="40" t="str">
        <f ca="1">IFERROR(IF(AND(
  INDEX(Roadmap!$D:$K,MATCH($E154,Roadmap!$D:$D,0)+COUNTIF($E154:Z154,"u")+COUNTIF($E154:Z154,"t")+COUNTIF($E154:Z154,"¶")+COUNTIF($E154:Z154,"²")+COUNTIF($E154:Z154,"µ")+COUNTIF($E154:Z154,1),ColLivraison)=AA$6,
  VLOOKUP($E154,INDIRECT("tri!"&amp; CHAR(64+ C0Col) &amp;":"&amp; CHAR(65+C0Col)),2,FALSE)&gt;COUNTIF($E154:Z154,"u")+COUNTIF($E154:Z154,"t")+COUNTIF($E154:Z154,"¶")+COUNTIF($E154:Z154,"²")+COUNTIF($E154:Z154,"µ")+COUNTIF($E154:Z154,1)),
HYPERLINK("#Roadmap!C"&amp; MATCH($E154,Roadmap!$D:$D,0)+COUNTIF($E154:Z154,"u")+COUNTIF($E154:Z154,"t"),
     INDEX(Roadmap!$D:$K,MATCH($E154,Roadmap!$D:$D,0)+COUNTIF($E154:Z154,"u")+COUNTIF($E154:Z154,"t")+COUNTIF($E154:Z154,"¶")+COUNTIF($E154:Z154,"²")+COUNTIF($E154:Z154,"µ")+COUNTIF($E154:Z154,1),ColTypeEcheance)),
  IF(LEN(Z154)=1,
  IF(LEN(INDEX(Roadmap!$D:$K,MATCH($E154,Roadmap!$D:$D,0)-1+COUNTIF($E154:Z154,"u")+COUNTIF($E154:Z154,"t")+COUNTIF($E154:Z154,"¶")+COUNTIF($E154:Z154,"²")+COUNTIF($E154:Z154,"µ")+COUNTIF($E154:Z154,1),ColDescriptionCourte))&gt;1,
HYPERLINK("#Roadmap!C"&amp; MATCH($E154,Roadmap!$D:$D,0)+COUNTIF($E154:Z154,"u")+COUNTIF($E154:Z154,"t")+COUNTIF($E154:Z154,"¶")+COUNTIF($E154:Z154,"²")+COUNTIF($E154:Z154,"µ")+COUNTIF($E154:Z154,1)-1,INDEX(Roadmap!$D:$K,MATCH($E154,Roadmap!$D:$D,0)-1+COUNTIF($E154:Z154,"u")+COUNTIF($E154:Z154,"t")+COUNTIF($E154:Z154,"¶")+COUNTIF($E154:Z154,"²")+COUNTIF($E154:Z154,"µ")+COUNTIF($E154:Z154,1),ColDescriptionCourte)),""),
  "")),"")</f>
        <v/>
      </c>
      <c r="AB154" s="40" t="str">
        <f ca="1">IFERROR(IF(AND(
  INDEX(Roadmap!$D:$K,MATCH($E154,Roadmap!$D:$D,0)+COUNTIF($E154:AA154,"u")+COUNTIF($E154:AA154,"t")+COUNTIF($E154:AA154,"¶")+COUNTIF($E154:AA154,"²")+COUNTIF($E154:AA154,"µ")+COUNTIF($E154:AA154,1),ColLivraison)=AB$6,
  VLOOKUP($E154,INDIRECT("tri!"&amp; CHAR(64+ C0Col) &amp;":"&amp; CHAR(65+C0Col)),2,FALSE)&gt;COUNTIF($E154:AA154,"u")+COUNTIF($E154:AA154,"t")+COUNTIF($E154:AA154,"¶")+COUNTIF($E154:AA154,"²")+COUNTIF($E154:AA154,"µ")+COUNTIF($E154:AA154,1)),
HYPERLINK("#Roadmap!C"&amp; MATCH($E154,Roadmap!$D:$D,0)+COUNTIF($E154:AA154,"u")+COUNTIF($E154:AA154,"t"),
     INDEX(Roadmap!$D:$K,MATCH($E154,Roadmap!$D:$D,0)+COUNTIF($E154:AA154,"u")+COUNTIF($E154:AA154,"t")+COUNTIF($E154:AA154,"¶")+COUNTIF($E154:AA154,"²")+COUNTIF($E154:AA154,"µ")+COUNTIF($E154:AA154,1),ColTypeEcheance)),
  IF(LEN(AA154)=1,
  IF(LEN(INDEX(Roadmap!$D:$K,MATCH($E154,Roadmap!$D:$D,0)-1+COUNTIF($E154:AA154,"u")+COUNTIF($E154:AA154,"t")+COUNTIF($E154:AA154,"¶")+COUNTIF($E154:AA154,"²")+COUNTIF($E154:AA154,"µ")+COUNTIF($E154:AA154,1),ColDescriptionCourte))&gt;1,
HYPERLINK("#Roadmap!C"&amp; MATCH($E154,Roadmap!$D:$D,0)+COUNTIF($E154:AA154,"u")+COUNTIF($E154:AA154,"t")+COUNTIF($E154:AA154,"¶")+COUNTIF($E154:AA154,"²")+COUNTIF($E154:AA154,"µ")+COUNTIF($E154:AA154,1)-1,INDEX(Roadmap!$D:$K,MATCH($E154,Roadmap!$D:$D,0)-1+COUNTIF($E154:AA154,"u")+COUNTIF($E154:AA154,"t")+COUNTIF($E154:AA154,"¶")+COUNTIF($E154:AA154,"²")+COUNTIF($E154:AA154,"µ")+COUNTIF($E154:AA154,1),ColDescriptionCourte)),""),
  "")),"")</f>
        <v/>
      </c>
      <c r="AC154" s="40" t="str">
        <f ca="1">IFERROR(IF(AND(
  INDEX(Roadmap!$D:$K,MATCH($E154,Roadmap!$D:$D,0)+COUNTIF($E154:AB154,"u")+COUNTIF($E154:AB154,"t")+COUNTIF($E154:AB154,"¶")+COUNTIF($E154:AB154,"²")+COUNTIF($E154:AB154,"µ")+COUNTIF($E154:AB154,1),ColLivraison)=AC$6,
  VLOOKUP($E154,INDIRECT("tri!"&amp; CHAR(64+ C0Col) &amp;":"&amp; CHAR(65+C0Col)),2,FALSE)&gt;COUNTIF($E154:AB154,"u")+COUNTIF($E154:AB154,"t")+COUNTIF($E154:AB154,"¶")+COUNTIF($E154:AB154,"²")+COUNTIF($E154:AB154,"µ")+COUNTIF($E154:AB154,1)),
HYPERLINK("#Roadmap!C"&amp; MATCH($E154,Roadmap!$D:$D,0)+COUNTIF($E154:AB154,"u")+COUNTIF($E154:AB154,"t"),
     INDEX(Roadmap!$D:$K,MATCH($E154,Roadmap!$D:$D,0)+COUNTIF($E154:AB154,"u")+COUNTIF($E154:AB154,"t")+COUNTIF($E154:AB154,"¶")+COUNTIF($E154:AB154,"²")+COUNTIF($E154:AB154,"µ")+COUNTIF($E154:AB154,1),ColTypeEcheance)),
  IF(LEN(AB154)=1,
  IF(LEN(INDEX(Roadmap!$D:$K,MATCH($E154,Roadmap!$D:$D,0)-1+COUNTIF($E154:AB154,"u")+COUNTIF($E154:AB154,"t")+COUNTIF($E154:AB154,"¶")+COUNTIF($E154:AB154,"²")+COUNTIF($E154:AB154,"µ")+COUNTIF($E154:AB154,1),ColDescriptionCourte))&gt;1,
HYPERLINK("#Roadmap!C"&amp; MATCH($E154,Roadmap!$D:$D,0)+COUNTIF($E154:AB154,"u")+COUNTIF($E154:AB154,"t")+COUNTIF($E154:AB154,"¶")+COUNTIF($E154:AB154,"²")+COUNTIF($E154:AB154,"µ")+COUNTIF($E154:AB154,1)-1,INDEX(Roadmap!$D:$K,MATCH($E154,Roadmap!$D:$D,0)-1+COUNTIF($E154:AB154,"u")+COUNTIF($E154:AB154,"t")+COUNTIF($E154:AB154,"¶")+COUNTIF($E154:AB154,"²")+COUNTIF($E154:AB154,"µ")+COUNTIF($E154:AB154,1),ColDescriptionCourte)),""),
  "")),"")</f>
        <v/>
      </c>
      <c r="AD154" s="40" t="str">
        <f ca="1">IFERROR(IF(AND(
  INDEX(Roadmap!$D:$K,MATCH($E154,Roadmap!$D:$D,0)+COUNTIF($E154:AC154,"u")+COUNTIF($E154:AC154,"t")+COUNTIF($E154:AC154,"¶")+COUNTIF($E154:AC154,"²")+COUNTIF($E154:AC154,"µ")+COUNTIF($E154:AC154,1),ColLivraison)=AD$6,
  VLOOKUP($E154,INDIRECT("tri!"&amp; CHAR(64+ C0Col) &amp;":"&amp; CHAR(65+C0Col)),2,FALSE)&gt;COUNTIF($E154:AC154,"u")+COUNTIF($E154:AC154,"t")+COUNTIF($E154:AC154,"¶")+COUNTIF($E154:AC154,"²")+COUNTIF($E154:AC154,"µ")+COUNTIF($E154:AC154,1)),
HYPERLINK("#Roadmap!C"&amp; MATCH($E154,Roadmap!$D:$D,0)+COUNTIF($E154:AC154,"u")+COUNTIF($E154:AC154,"t"),
     INDEX(Roadmap!$D:$K,MATCH($E154,Roadmap!$D:$D,0)+COUNTIF($E154:AC154,"u")+COUNTIF($E154:AC154,"t")+COUNTIF($E154:AC154,"¶")+COUNTIF($E154:AC154,"²")+COUNTIF($E154:AC154,"µ")+COUNTIF($E154:AC154,1),ColTypeEcheance)),
  IF(LEN(AC154)=1,
  IF(LEN(INDEX(Roadmap!$D:$K,MATCH($E154,Roadmap!$D:$D,0)-1+COUNTIF($E154:AC154,"u")+COUNTIF($E154:AC154,"t")+COUNTIF($E154:AC154,"¶")+COUNTIF($E154:AC154,"²")+COUNTIF($E154:AC154,"µ")+COUNTIF($E154:AC154,1),ColDescriptionCourte))&gt;1,
HYPERLINK("#Roadmap!C"&amp; MATCH($E154,Roadmap!$D:$D,0)+COUNTIF($E154:AC154,"u")+COUNTIF($E154:AC154,"t")+COUNTIF($E154:AC154,"¶")+COUNTIF($E154:AC154,"²")+COUNTIF($E154:AC154,"µ")+COUNTIF($E154:AC154,1)-1,INDEX(Roadmap!$D:$K,MATCH($E154,Roadmap!$D:$D,0)-1+COUNTIF($E154:AC154,"u")+COUNTIF($E154:AC154,"t")+COUNTIF($E154:AC154,"¶")+COUNTIF($E154:AC154,"²")+COUNTIF($E154:AC154,"µ")+COUNTIF($E154:AC154,1),ColDescriptionCourte)),""),
  "")),"")</f>
        <v/>
      </c>
      <c r="AE154" s="40" t="str">
        <f ca="1">IFERROR(IF(AND(
  INDEX(Roadmap!$D:$K,MATCH($E154,Roadmap!$D:$D,0)+COUNTIF($E154:AD154,"u")+COUNTIF($E154:AD154,"t")+COUNTIF($E154:AD154,"¶")+COUNTIF($E154:AD154,"²")+COUNTIF($E154:AD154,"µ")+COUNTIF($E154:AD154,1),ColLivraison)=AE$6,
  VLOOKUP($E154,INDIRECT("tri!"&amp; CHAR(64+ C0Col) &amp;":"&amp; CHAR(65+C0Col)),2,FALSE)&gt;COUNTIF($E154:AD154,"u")+COUNTIF($E154:AD154,"t")+COUNTIF($E154:AD154,"¶")+COUNTIF($E154:AD154,"²")+COUNTIF($E154:AD154,"µ")+COUNTIF($E154:AD154,1)),
HYPERLINK("#Roadmap!C"&amp; MATCH($E154,Roadmap!$D:$D,0)+COUNTIF($E154:AD154,"u")+COUNTIF($E154:AD154,"t"),
     INDEX(Roadmap!$D:$K,MATCH($E154,Roadmap!$D:$D,0)+COUNTIF($E154:AD154,"u")+COUNTIF($E154:AD154,"t")+COUNTIF($E154:AD154,"¶")+COUNTIF($E154:AD154,"²")+COUNTIF($E154:AD154,"µ")+COUNTIF($E154:AD154,1),ColTypeEcheance)),
  IF(LEN(AD154)=1,
  IF(LEN(INDEX(Roadmap!$D:$K,MATCH($E154,Roadmap!$D:$D,0)-1+COUNTIF($E154:AD154,"u")+COUNTIF($E154:AD154,"t")+COUNTIF($E154:AD154,"¶")+COUNTIF($E154:AD154,"²")+COUNTIF($E154:AD154,"µ")+COUNTIF($E154:AD154,1),ColDescriptionCourte))&gt;1,
HYPERLINK("#Roadmap!C"&amp; MATCH($E154,Roadmap!$D:$D,0)+COUNTIF($E154:AD154,"u")+COUNTIF($E154:AD154,"t")+COUNTIF($E154:AD154,"¶")+COUNTIF($E154:AD154,"²")+COUNTIF($E154:AD154,"µ")+COUNTIF($E154:AD154,1)-1,INDEX(Roadmap!$D:$K,MATCH($E154,Roadmap!$D:$D,0)-1+COUNTIF($E154:AD154,"u")+COUNTIF($E154:AD154,"t")+COUNTIF($E154:AD154,"¶")+COUNTIF($E154:AD154,"²")+COUNTIF($E154:AD154,"µ")+COUNTIF($E154:AD154,1),ColDescriptionCourte)),""),
  "")),"")</f>
        <v/>
      </c>
      <c r="AF154" s="40" t="str">
        <f ca="1">IFERROR(IF(AND(
  INDEX(Roadmap!$D:$K,MATCH($E154,Roadmap!$D:$D,0)+COUNTIF($E154:AE154,"u")+COUNTIF($E154:AE154,"t")+COUNTIF($E154:AE154,"¶")+COUNTIF($E154:AE154,"²")+COUNTIF($E154:AE154,"µ")+COUNTIF($E154:AE154,1),ColLivraison)=AF$6,
  VLOOKUP($E154,INDIRECT("tri!"&amp; CHAR(64+ C0Col) &amp;":"&amp; CHAR(65+C0Col)),2,FALSE)&gt;COUNTIF($E154:AE154,"u")+COUNTIF($E154:AE154,"t")+COUNTIF($E154:AE154,"¶")+COUNTIF($E154:AE154,"²")+COUNTIF($E154:AE154,"µ")+COUNTIF($E154:AE154,1)),
HYPERLINK("#Roadmap!C"&amp; MATCH($E154,Roadmap!$D:$D,0)+COUNTIF($E154:AE154,"u")+COUNTIF($E154:AE154,"t"),
     INDEX(Roadmap!$D:$K,MATCH($E154,Roadmap!$D:$D,0)+COUNTIF($E154:AE154,"u")+COUNTIF($E154:AE154,"t")+COUNTIF($E154:AE154,"¶")+COUNTIF($E154:AE154,"²")+COUNTIF($E154:AE154,"µ")+COUNTIF($E154:AE154,1),ColTypeEcheance)),
  IF(LEN(AE154)=1,
  IF(LEN(INDEX(Roadmap!$D:$K,MATCH($E154,Roadmap!$D:$D,0)-1+COUNTIF($E154:AE154,"u")+COUNTIF($E154:AE154,"t")+COUNTIF($E154:AE154,"¶")+COUNTIF($E154:AE154,"²")+COUNTIF($E154:AE154,"µ")+COUNTIF($E154:AE154,1),ColDescriptionCourte))&gt;1,
HYPERLINK("#Roadmap!C"&amp; MATCH($E154,Roadmap!$D:$D,0)+COUNTIF($E154:AE154,"u")+COUNTIF($E154:AE154,"t")+COUNTIF($E154:AE154,"¶")+COUNTIF($E154:AE154,"²")+COUNTIF($E154:AE154,"µ")+COUNTIF($E154:AE154,1)-1,INDEX(Roadmap!$D:$K,MATCH($E154,Roadmap!$D:$D,0)-1+COUNTIF($E154:AE154,"u")+COUNTIF($E154:AE154,"t")+COUNTIF($E154:AE154,"¶")+COUNTIF($E154:AE154,"²")+COUNTIF($E154:AE154,"µ")+COUNTIF($E154:AE154,1),ColDescriptionCourte)),""),
  "")),"")</f>
        <v/>
      </c>
      <c r="AG154" s="40" t="str">
        <f ca="1">IFERROR(IF(AND(
  INDEX(Roadmap!$D:$K,MATCH($E154,Roadmap!$D:$D,0)+COUNTIF($E154:AF154,"u")+COUNTIF($E154:AF154,"t")+COUNTIF($E154:AF154,"¶")+COUNTIF($E154:AF154,"²")+COUNTIF($E154:AF154,"µ")+COUNTIF($E154:AF154,1),ColLivraison)=AG$6,
  VLOOKUP($E154,INDIRECT("tri!"&amp; CHAR(64+ C0Col) &amp;":"&amp; CHAR(65+C0Col)),2,FALSE)&gt;COUNTIF($E154:AF154,"u")+COUNTIF($E154:AF154,"t")+COUNTIF($E154:AF154,"¶")+COUNTIF($E154:AF154,"²")+COUNTIF($E154:AF154,"µ")+COUNTIF($E154:AF154,1)),
HYPERLINK("#Roadmap!C"&amp; MATCH($E154,Roadmap!$D:$D,0)+COUNTIF($E154:AF154,"u")+COUNTIF($E154:AF154,"t"),
     INDEX(Roadmap!$D:$K,MATCH($E154,Roadmap!$D:$D,0)+COUNTIF($E154:AF154,"u")+COUNTIF($E154:AF154,"t")+COUNTIF($E154:AF154,"¶")+COUNTIF($E154:AF154,"²")+COUNTIF($E154:AF154,"µ")+COUNTIF($E154:AF154,1),ColTypeEcheance)),
  IF(LEN(AF154)=1,
  IF(LEN(INDEX(Roadmap!$D:$K,MATCH($E154,Roadmap!$D:$D,0)-1+COUNTIF($E154:AF154,"u")+COUNTIF($E154:AF154,"t")+COUNTIF($E154:AF154,"¶")+COUNTIF($E154:AF154,"²")+COUNTIF($E154:AF154,"µ")+COUNTIF($E154:AF154,1),ColDescriptionCourte))&gt;1,
HYPERLINK("#Roadmap!C"&amp; MATCH($E154,Roadmap!$D:$D,0)+COUNTIF($E154:AF154,"u")+COUNTIF($E154:AF154,"t")+COUNTIF($E154:AF154,"¶")+COUNTIF($E154:AF154,"²")+COUNTIF($E154:AF154,"µ")+COUNTIF($E154:AF154,1)-1,INDEX(Roadmap!$D:$K,MATCH($E154,Roadmap!$D:$D,0)-1+COUNTIF($E154:AF154,"u")+COUNTIF($E154:AF154,"t")+COUNTIF($E154:AF154,"¶")+COUNTIF($E154:AF154,"²")+COUNTIF($E154:AF154,"µ")+COUNTIF($E154:AF154,1),ColDescriptionCourte)),""),
  "")),"")</f>
        <v/>
      </c>
    </row>
    <row r="155" spans="3:33" ht="14.25" customHeight="1">
      <c r="C155" s="1" t="str">
        <f t="shared" ca="1" si="52"/>
        <v/>
      </c>
      <c r="D155" s="1" t="str">
        <f t="shared" ca="1" si="53"/>
        <v/>
      </c>
      <c r="E155" s="35" t="str">
        <f t="shared" ca="1" si="51"/>
        <v/>
      </c>
      <c r="F155" s="39" t="str">
        <f ca="1">IFERROR(IF(AND(
  INDEX(Roadmap!$D:$K,MATCH($E155,Roadmap!$D:$D,0)+COUNTIF($E155:E155,"u")+COUNTIF($E155:E155,"t")+COUNTIF($E155:E155,"¶")+COUNTIF($E155:E155,"²")+COUNTIF($E155:E155,"µ")+COUNTIF($E155:E155,1),ColLivraison)=F$6,
  VLOOKUP($E155,INDIRECT("tri!"&amp; CHAR(64+ C0Col) &amp;":"&amp; CHAR(65+C0Col)),2,FALSE)&gt;COUNTIF($E155:E155,"u")+COUNTIF($E155:E155,"t")+COUNTIF($E155:E155,"¶")+COUNTIF($E155:E155,"²")+COUNTIF($E155:E155,"µ")+COUNTIF($E155:E155,1)),
HYPERLINK("#Roadmap!C"&amp; MATCH($E155,Roadmap!$D:$D,0)+COUNTIF($E155:E155,"u")+COUNTIF($E155:E155,"t"),
     INDEX(Roadmap!$D:$K,MATCH($E155,Roadmap!$D:$D,0)+COUNTIF($E155:E155,"u")+COUNTIF($E155:E155,"t")+COUNTIF($E155:E155,"¶")+COUNTIF($E155:E155,"²")+COUNTIF($E155:E155,"µ")+COUNTIF($E155:E155,1),ColTypeEcheance)),
  IF(LEN(E155)=1,
  IF(LEN(INDEX(Roadmap!$D:$K,MATCH($E155,Roadmap!$D:$D,0)-1+COUNTIF($E155:E155,"u")+COUNTIF($E155:E155,"t")+COUNTIF($E155:E155,"¶")+COUNTIF($E155:E155,"²")+COUNTIF($E155:E155,"µ")+COUNTIF($E155:E155,1),ColDescriptionCourte))&gt;1,
HYPERLINK("#Roadmap!C"&amp; MATCH($E155,Roadmap!$D:$D,0)+COUNTIF($E155:E155,"u")+COUNTIF($E155:E155,"t")+COUNTIF($E155:E155,"¶")+COUNTIF($E155:E155,"²")+COUNTIF($E155:E155,"µ")+COUNTIF($E155:E155,1)-1,INDEX(Roadmap!$D:$K,MATCH($E155,Roadmap!$D:$D,0)-1+COUNTIF($E155:E155,"u")+COUNTIF($E155:E155,"t")+COUNTIF($E155:E155,"¶")+COUNTIF($E155:E155,"²")+COUNTIF($E155:E155,"µ")+COUNTIF($E155:E155,1),ColDescriptionCourte)),""),
  "")),"")</f>
        <v/>
      </c>
      <c r="G155" s="40" t="str">
        <f ca="1">IFERROR(IF(AND(
  INDEX(Roadmap!$D:$K,MATCH($E155,Roadmap!$D:$D,0)+COUNTIF($E155:F155,"u")+COUNTIF($E155:F155,"t")+COUNTIF($E155:F155,"¶")+COUNTIF($E155:F155,"²")+COUNTIF($E155:F155,"µ")+COUNTIF($E155:F155,1),ColLivraison)=G$6,
  VLOOKUP($E155,INDIRECT("tri!"&amp; CHAR(64+ C0Col) &amp;":"&amp; CHAR(65+C0Col)),2,FALSE)&gt;COUNTIF($E155:F155,"u")+COUNTIF($E155:F155,"t")+COUNTIF($E155:F155,"¶")+COUNTIF($E155:F155,"²")+COUNTIF($E155:F155,"µ")+COUNTIF($E155:F155,1)),
HYPERLINK("#Roadmap!C"&amp; MATCH($E155,Roadmap!$D:$D,0)+COUNTIF($E155:F155,"u")+COUNTIF($E155:F155,"t"),
     INDEX(Roadmap!$D:$K,MATCH($E155,Roadmap!$D:$D,0)+COUNTIF($E155:F155,"u")+COUNTIF($E155:F155,"t")+COUNTIF($E155:F155,"¶")+COUNTIF($E155:F155,"²")+COUNTIF($E155:F155,"µ")+COUNTIF($E155:F155,1),ColTypeEcheance)),
  IF(LEN(F155)=1,
  IF(LEN(INDEX(Roadmap!$D:$K,MATCH($E155,Roadmap!$D:$D,0)-1+COUNTIF($E155:F155,"u")+COUNTIF($E155:F155,"t")+COUNTIF($E155:F155,"¶")+COUNTIF($E155:F155,"²")+COUNTIF($E155:F155,"µ")+COUNTIF($E155:F155,1),ColDescriptionCourte))&gt;1,
HYPERLINK("#Roadmap!C"&amp; MATCH($E155,Roadmap!$D:$D,0)+COUNTIF($E155:F155,"u")+COUNTIF($E155:F155,"t")+COUNTIF($E155:F155,"¶")+COUNTIF($E155:F155,"²")+COUNTIF($E155:F155,"µ")+COUNTIF($E155:F155,1)-1,INDEX(Roadmap!$D:$K,MATCH($E155,Roadmap!$D:$D,0)-1+COUNTIF($E155:F155,"u")+COUNTIF($E155:F155,"t")+COUNTIF($E155:F155,"¶")+COUNTIF($E155:F155,"²")+COUNTIF($E155:F155,"µ")+COUNTIF($E155:F155,1),ColDescriptionCourte)),""),
  "")),"")</f>
        <v/>
      </c>
      <c r="H155" s="40" t="str">
        <f ca="1">IFERROR(IF(AND(
  INDEX(Roadmap!$D:$K,MATCH($E155,Roadmap!$D:$D,0)+COUNTIF($E155:G155,"u")+COUNTIF($E155:G155,"t")+COUNTIF($E155:G155,"¶")+COUNTIF($E155:G155,"²")+COUNTIF($E155:G155,"µ")+COUNTIF($E155:G155,1),ColLivraison)=H$6,
  VLOOKUP($E155,INDIRECT("tri!"&amp; CHAR(64+ C0Col) &amp;":"&amp; CHAR(65+C0Col)),2,FALSE)&gt;COUNTIF($E155:G155,"u")+COUNTIF($E155:G155,"t")+COUNTIF($E155:G155,"¶")+COUNTIF($E155:G155,"²")+COUNTIF($E155:G155,"µ")+COUNTIF($E155:G155,1)),
HYPERLINK("#Roadmap!C"&amp; MATCH($E155,Roadmap!$D:$D,0)+COUNTIF($E155:G155,"u")+COUNTIF($E155:G155,"t"),
     INDEX(Roadmap!$D:$K,MATCH($E155,Roadmap!$D:$D,0)+COUNTIF($E155:G155,"u")+COUNTIF($E155:G155,"t")+COUNTIF($E155:G155,"¶")+COUNTIF($E155:G155,"²")+COUNTIF($E155:G155,"µ")+COUNTIF($E155:G155,1),ColTypeEcheance)),
  IF(LEN(G155)=1,
  IF(LEN(INDEX(Roadmap!$D:$K,MATCH($E155,Roadmap!$D:$D,0)-1+COUNTIF($E155:G155,"u")+COUNTIF($E155:G155,"t")+COUNTIF($E155:G155,"¶")+COUNTIF($E155:G155,"²")+COUNTIF($E155:G155,"µ")+COUNTIF($E155:G155,1),ColDescriptionCourte))&gt;1,
HYPERLINK("#Roadmap!C"&amp; MATCH($E155,Roadmap!$D:$D,0)+COUNTIF($E155:G155,"u")+COUNTIF($E155:G155,"t")+COUNTIF($E155:G155,"¶")+COUNTIF($E155:G155,"²")+COUNTIF($E155:G155,"µ")+COUNTIF($E155:G155,1)-1,INDEX(Roadmap!$D:$K,MATCH($E155,Roadmap!$D:$D,0)-1+COUNTIF($E155:G155,"u")+COUNTIF($E155:G155,"t")+COUNTIF($E155:G155,"¶")+COUNTIF($E155:G155,"²")+COUNTIF($E155:G155,"µ")+COUNTIF($E155:G155,1),ColDescriptionCourte)),""),
  "")),"")</f>
        <v/>
      </c>
      <c r="I155" s="40" t="str">
        <f ca="1">IFERROR(IF(AND(
  INDEX(Roadmap!$D:$K,MATCH($E155,Roadmap!$D:$D,0)+COUNTIF($E155:H155,"u")+COUNTIF($E155:H155,"t")+COUNTIF($E155:H155,"¶")+COUNTIF($E155:H155,"²")+COUNTIF($E155:H155,"µ")+COUNTIF($E155:H155,1),ColLivraison)=I$6,
  VLOOKUP($E155,INDIRECT("tri!"&amp; CHAR(64+ C0Col) &amp;":"&amp; CHAR(65+C0Col)),2,FALSE)&gt;COUNTIF($E155:H155,"u")+COUNTIF($E155:H155,"t")+COUNTIF($E155:H155,"¶")+COUNTIF($E155:H155,"²")+COUNTIF($E155:H155,"µ")+COUNTIF($E155:H155,1)),
HYPERLINK("#Roadmap!C"&amp; MATCH($E155,Roadmap!$D:$D,0)+COUNTIF($E155:H155,"u")+COUNTIF($E155:H155,"t"),
     INDEX(Roadmap!$D:$K,MATCH($E155,Roadmap!$D:$D,0)+COUNTIF($E155:H155,"u")+COUNTIF($E155:H155,"t")+COUNTIF($E155:H155,"¶")+COUNTIF($E155:H155,"²")+COUNTIF($E155:H155,"µ")+COUNTIF($E155:H155,1),ColTypeEcheance)),
  IF(LEN(H155)=1,
  IF(LEN(INDEX(Roadmap!$D:$K,MATCH($E155,Roadmap!$D:$D,0)-1+COUNTIF($E155:H155,"u")+COUNTIF($E155:H155,"t")+COUNTIF($E155:H155,"¶")+COUNTIF($E155:H155,"²")+COUNTIF($E155:H155,"µ")+COUNTIF($E155:H155,1),ColDescriptionCourte))&gt;1,
HYPERLINK("#Roadmap!C"&amp; MATCH($E155,Roadmap!$D:$D,0)+COUNTIF($E155:H155,"u")+COUNTIF($E155:H155,"t")+COUNTIF($E155:H155,"¶")+COUNTIF($E155:H155,"²")+COUNTIF($E155:H155,"µ")+COUNTIF($E155:H155,1)-1,INDEX(Roadmap!$D:$K,MATCH($E155,Roadmap!$D:$D,0)-1+COUNTIF($E155:H155,"u")+COUNTIF($E155:H155,"t")+COUNTIF($E155:H155,"¶")+COUNTIF($E155:H155,"²")+COUNTIF($E155:H155,"µ")+COUNTIF($E155:H155,1),ColDescriptionCourte)),""),
  "")),"")</f>
        <v/>
      </c>
      <c r="J155" s="40" t="str">
        <f ca="1">IFERROR(IF(AND(
  INDEX(Roadmap!$D:$K,MATCH($E155,Roadmap!$D:$D,0)+COUNTIF($E155:I155,"u")+COUNTIF($E155:I155,"t")+COUNTIF($E155:I155,"¶")+COUNTIF($E155:I155,"²")+COUNTIF($E155:I155,"µ")+COUNTIF($E155:I155,1),ColLivraison)=J$6,
  VLOOKUP($E155,INDIRECT("tri!"&amp; CHAR(64+ C0Col) &amp;":"&amp; CHAR(65+C0Col)),2,FALSE)&gt;COUNTIF($E155:I155,"u")+COUNTIF($E155:I155,"t")+COUNTIF($E155:I155,"¶")+COUNTIF($E155:I155,"²")+COUNTIF($E155:I155,"µ")+COUNTIF($E155:I155,1)),
HYPERLINK("#Roadmap!C"&amp; MATCH($E155,Roadmap!$D:$D,0)+COUNTIF($E155:I155,"u")+COUNTIF($E155:I155,"t"),
     INDEX(Roadmap!$D:$K,MATCH($E155,Roadmap!$D:$D,0)+COUNTIF($E155:I155,"u")+COUNTIF($E155:I155,"t")+COUNTIF($E155:I155,"¶")+COUNTIF($E155:I155,"²")+COUNTIF($E155:I155,"µ")+COUNTIF($E155:I155,1),ColTypeEcheance)),
  IF(LEN(I155)=1,
  IF(LEN(INDEX(Roadmap!$D:$K,MATCH($E155,Roadmap!$D:$D,0)-1+COUNTIF($E155:I155,"u")+COUNTIF($E155:I155,"t")+COUNTIF($E155:I155,"¶")+COUNTIF($E155:I155,"²")+COUNTIF($E155:I155,"µ")+COUNTIF($E155:I155,1),ColDescriptionCourte))&gt;1,
HYPERLINK("#Roadmap!C"&amp; MATCH($E155,Roadmap!$D:$D,0)+COUNTIF($E155:I155,"u")+COUNTIF($E155:I155,"t")+COUNTIF($E155:I155,"¶")+COUNTIF($E155:I155,"²")+COUNTIF($E155:I155,"µ")+COUNTIF($E155:I155,1)-1,INDEX(Roadmap!$D:$K,MATCH($E155,Roadmap!$D:$D,0)-1+COUNTIF($E155:I155,"u")+COUNTIF($E155:I155,"t")+COUNTIF($E155:I155,"¶")+COUNTIF($E155:I155,"²")+COUNTIF($E155:I155,"µ")+COUNTIF($E155:I155,1),ColDescriptionCourte)),""),
  "")),"")</f>
        <v/>
      </c>
      <c r="K155" s="40" t="str">
        <f ca="1">IFERROR(IF(AND(
  INDEX(Roadmap!$D:$K,MATCH($E155,Roadmap!$D:$D,0)+COUNTIF($E155:J155,"u")+COUNTIF($E155:J155,"t")+COUNTIF($E155:J155,"¶")+COUNTIF($E155:J155,"²")+COUNTIF($E155:J155,"µ")+COUNTIF($E155:J155,1),ColLivraison)=K$6,
  VLOOKUP($E155,INDIRECT("tri!"&amp; CHAR(64+ C0Col) &amp;":"&amp; CHAR(65+C0Col)),2,FALSE)&gt;COUNTIF($E155:J155,"u")+COUNTIF($E155:J155,"t")+COUNTIF($E155:J155,"¶")+COUNTIF($E155:J155,"²")+COUNTIF($E155:J155,"µ")+COUNTIF($E155:J155,1)),
HYPERLINK("#Roadmap!C"&amp; MATCH($E155,Roadmap!$D:$D,0)+COUNTIF($E155:J155,"u")+COUNTIF($E155:J155,"t"),
     INDEX(Roadmap!$D:$K,MATCH($E155,Roadmap!$D:$D,0)+COUNTIF($E155:J155,"u")+COUNTIF($E155:J155,"t")+COUNTIF($E155:J155,"¶")+COUNTIF($E155:J155,"²")+COUNTIF($E155:J155,"µ")+COUNTIF($E155:J155,1),ColTypeEcheance)),
  IF(LEN(J155)=1,
  IF(LEN(INDEX(Roadmap!$D:$K,MATCH($E155,Roadmap!$D:$D,0)-1+COUNTIF($E155:J155,"u")+COUNTIF($E155:J155,"t")+COUNTIF($E155:J155,"¶")+COUNTIF($E155:J155,"²")+COUNTIF($E155:J155,"µ")+COUNTIF($E155:J155,1),ColDescriptionCourte))&gt;1,
HYPERLINK("#Roadmap!C"&amp; MATCH($E155,Roadmap!$D:$D,0)+COUNTIF($E155:J155,"u")+COUNTIF($E155:J155,"t")+COUNTIF($E155:J155,"¶")+COUNTIF($E155:J155,"²")+COUNTIF($E155:J155,"µ")+COUNTIF($E155:J155,1)-1,INDEX(Roadmap!$D:$K,MATCH($E155,Roadmap!$D:$D,0)-1+COUNTIF($E155:J155,"u")+COUNTIF($E155:J155,"t")+COUNTIF($E155:J155,"¶")+COUNTIF($E155:J155,"²")+COUNTIF($E155:J155,"µ")+COUNTIF($E155:J155,1),ColDescriptionCourte)),""),
  "")),"")</f>
        <v/>
      </c>
      <c r="L155" s="39" t="str">
        <f ca="1">IFERROR(IF(AND(
  INDEX(Roadmap!$D:$K,MATCH($E155,Roadmap!$D:$D,0)+COUNTIF($E155:K155,"u")+COUNTIF($E155:K155,"t")+COUNTIF($E155:K155,"¶")+COUNTIF($E155:K155,"²")+COUNTIF($E155:K155,"µ")+COUNTIF($E155:K155,1),ColLivraison)=L$6,
  VLOOKUP($E155,INDIRECT("tri!"&amp; CHAR(64+ C0Col) &amp;":"&amp; CHAR(65+C0Col)),2,FALSE)&gt;COUNTIF($E155:K155,"u")+COUNTIF($E155:K155,"t")+COUNTIF($E155:K155,"¶")+COUNTIF($E155:K155,"²")+COUNTIF($E155:K155,"µ")+COUNTIF($E155:K155,1)),
HYPERLINK("#Roadmap!C"&amp; MATCH($E155,Roadmap!$D:$D,0)+COUNTIF($E155:K155,"u")+COUNTIF($E155:K155,"t"),
     INDEX(Roadmap!$D:$K,MATCH($E155,Roadmap!$D:$D,0)+COUNTIF($E155:K155,"u")+COUNTIF($E155:K155,"t")+COUNTIF($E155:K155,"¶")+COUNTIF($E155:K155,"²")+COUNTIF($E155:K155,"µ")+COUNTIF($E155:K155,1),ColTypeEcheance)),
  IF(LEN(K155)=1,
  IF(LEN(INDEX(Roadmap!$D:$K,MATCH($E155,Roadmap!$D:$D,0)-1+COUNTIF($E155:K155,"u")+COUNTIF($E155:K155,"t")+COUNTIF($E155:K155,"¶")+COUNTIF($E155:K155,"²")+COUNTIF($E155:K155,"µ")+COUNTIF($E155:K155,1),ColDescriptionCourte))&gt;1,
HYPERLINK("#Roadmap!C"&amp; MATCH($E155,Roadmap!$D:$D,0)+COUNTIF($E155:K155,"u")+COUNTIF($E155:K155,"t")+COUNTIF($E155:K155,"¶")+COUNTIF($E155:K155,"²")+COUNTIF($E155:K155,"µ")+COUNTIF($E155:K155,1)-1,INDEX(Roadmap!$D:$K,MATCH($E155,Roadmap!$D:$D,0)-1+COUNTIF($E155:K155,"u")+COUNTIF($E155:K155,"t")+COUNTIF($E155:K155,"¶")+COUNTIF($E155:K155,"²")+COUNTIF($E155:K155,"µ")+COUNTIF($E155:K155,1),ColDescriptionCourte)),""),
  "")),"")</f>
        <v/>
      </c>
      <c r="M155" s="40" t="str">
        <f ca="1">IFERROR(IF(AND(
  INDEX(Roadmap!$D:$K,MATCH($E155,Roadmap!$D:$D,0)+COUNTIF($E155:L155,"u")+COUNTIF($E155:L155,"t")+COUNTIF($E155:L155,"¶")+COUNTIF($E155:L155,"²")+COUNTIF($E155:L155,"µ")+COUNTIF($E155:L155,1),ColLivraison)=M$6,
  VLOOKUP($E155,INDIRECT("tri!"&amp; CHAR(64+ C0Col) &amp;":"&amp; CHAR(65+C0Col)),2,FALSE)&gt;COUNTIF($E155:L155,"u")+COUNTIF($E155:L155,"t")+COUNTIF($E155:L155,"¶")+COUNTIF($E155:L155,"²")+COUNTIF($E155:L155,"µ")+COUNTIF($E155:L155,1)),
HYPERLINK("#Roadmap!C"&amp; MATCH($E155,Roadmap!$D:$D,0)+COUNTIF($E155:L155,"u")+COUNTIF($E155:L155,"t"),
     INDEX(Roadmap!$D:$K,MATCH($E155,Roadmap!$D:$D,0)+COUNTIF($E155:L155,"u")+COUNTIF($E155:L155,"t")+COUNTIF($E155:L155,"¶")+COUNTIF($E155:L155,"²")+COUNTIF($E155:L155,"µ")+COUNTIF($E155:L155,1),ColTypeEcheance)),
  IF(LEN(L155)=1,
  IF(LEN(INDEX(Roadmap!$D:$K,MATCH($E155,Roadmap!$D:$D,0)-1+COUNTIF($E155:L155,"u")+COUNTIF($E155:L155,"t")+COUNTIF($E155:L155,"¶")+COUNTIF($E155:L155,"²")+COUNTIF($E155:L155,"µ")+COUNTIF($E155:L155,1),ColDescriptionCourte))&gt;1,
HYPERLINK("#Roadmap!C"&amp; MATCH($E155,Roadmap!$D:$D,0)+COUNTIF($E155:L155,"u")+COUNTIF($E155:L155,"t")+COUNTIF($E155:L155,"¶")+COUNTIF($E155:L155,"²")+COUNTIF($E155:L155,"µ")+COUNTIF($E155:L155,1)-1,INDEX(Roadmap!$D:$K,MATCH($E155,Roadmap!$D:$D,0)-1+COUNTIF($E155:L155,"u")+COUNTIF($E155:L155,"t")+COUNTIF($E155:L155,"¶")+COUNTIF($E155:L155,"²")+COUNTIF($E155:L155,"µ")+COUNTIF($E155:L155,1),ColDescriptionCourte)),""),
  "")),"")</f>
        <v/>
      </c>
      <c r="N155" s="40" t="str">
        <f ca="1">IFERROR(IF(AND(
  INDEX(Roadmap!$D:$K,MATCH($E155,Roadmap!$D:$D,0)+COUNTIF($E155:M155,"u")+COUNTIF($E155:M155,"t")+COUNTIF($E155:M155,"¶")+COUNTIF($E155:M155,"²")+COUNTIF($E155:M155,"µ")+COUNTIF($E155:M155,1),ColLivraison)=N$6,
  VLOOKUP($E155,INDIRECT("tri!"&amp; CHAR(64+ C0Col) &amp;":"&amp; CHAR(65+C0Col)),2,FALSE)&gt;COUNTIF($E155:M155,"u")+COUNTIF($E155:M155,"t")+COUNTIF($E155:M155,"¶")+COUNTIF($E155:M155,"²")+COUNTIF($E155:M155,"µ")+COUNTIF($E155:M155,1)),
HYPERLINK("#Roadmap!C"&amp; MATCH($E155,Roadmap!$D:$D,0)+COUNTIF($E155:M155,"u")+COUNTIF($E155:M155,"t"),
     INDEX(Roadmap!$D:$K,MATCH($E155,Roadmap!$D:$D,0)+COUNTIF($E155:M155,"u")+COUNTIF($E155:M155,"t")+COUNTIF($E155:M155,"¶")+COUNTIF($E155:M155,"²")+COUNTIF($E155:M155,"µ")+COUNTIF($E155:M155,1),ColTypeEcheance)),
  IF(LEN(M155)=1,
  IF(LEN(INDEX(Roadmap!$D:$K,MATCH($E155,Roadmap!$D:$D,0)-1+COUNTIF($E155:M155,"u")+COUNTIF($E155:M155,"t")+COUNTIF($E155:M155,"¶")+COUNTIF($E155:M155,"²")+COUNTIF($E155:M155,"µ")+COUNTIF($E155:M155,1),ColDescriptionCourte))&gt;1,
HYPERLINK("#Roadmap!C"&amp; MATCH($E155,Roadmap!$D:$D,0)+COUNTIF($E155:M155,"u")+COUNTIF($E155:M155,"t")+COUNTIF($E155:M155,"¶")+COUNTIF($E155:M155,"²")+COUNTIF($E155:M155,"µ")+COUNTIF($E155:M155,1)-1,INDEX(Roadmap!$D:$K,MATCH($E155,Roadmap!$D:$D,0)-1+COUNTIF($E155:M155,"u")+COUNTIF($E155:M155,"t")+COUNTIF($E155:M155,"¶")+COUNTIF($E155:M155,"²")+COUNTIF($E155:M155,"µ")+COUNTIF($E155:M155,1),ColDescriptionCourte)),""),
  "")),"")</f>
        <v/>
      </c>
      <c r="O155" s="40" t="str">
        <f ca="1">IFERROR(IF(AND(
  INDEX(Roadmap!$D:$K,MATCH($E155,Roadmap!$D:$D,0)+COUNTIF($E155:N155,"u")+COUNTIF($E155:N155,"t")+COUNTIF($E155:N155,"¶")+COUNTIF($E155:N155,"²")+COUNTIF($E155:N155,"µ")+COUNTIF($E155:N155,1),ColLivraison)=O$6,
  VLOOKUP($E155,INDIRECT("tri!"&amp; CHAR(64+ C0Col) &amp;":"&amp; CHAR(65+C0Col)),2,FALSE)&gt;COUNTIF($E155:N155,"u")+COUNTIF($E155:N155,"t")+COUNTIF($E155:N155,"¶")+COUNTIF($E155:N155,"²")+COUNTIF($E155:N155,"µ")+COUNTIF($E155:N155,1)),
HYPERLINK("#Roadmap!C"&amp; MATCH($E155,Roadmap!$D:$D,0)+COUNTIF($E155:N155,"u")+COUNTIF($E155:N155,"t"),
     INDEX(Roadmap!$D:$K,MATCH($E155,Roadmap!$D:$D,0)+COUNTIF($E155:N155,"u")+COUNTIF($E155:N155,"t")+COUNTIF($E155:N155,"¶")+COUNTIF($E155:N155,"²")+COUNTIF($E155:N155,"µ")+COUNTIF($E155:N155,1),ColTypeEcheance)),
  IF(LEN(N155)=1,
  IF(LEN(INDEX(Roadmap!$D:$K,MATCH($E155,Roadmap!$D:$D,0)-1+COUNTIF($E155:N155,"u")+COUNTIF($E155:N155,"t")+COUNTIF($E155:N155,"¶")+COUNTIF($E155:N155,"²")+COUNTIF($E155:N155,"µ")+COUNTIF($E155:N155,1),ColDescriptionCourte))&gt;1,
HYPERLINK("#Roadmap!C"&amp; MATCH($E155,Roadmap!$D:$D,0)+COUNTIF($E155:N155,"u")+COUNTIF($E155:N155,"t")+COUNTIF($E155:N155,"¶")+COUNTIF($E155:N155,"²")+COUNTIF($E155:N155,"µ")+COUNTIF($E155:N155,1)-1,INDEX(Roadmap!$D:$K,MATCH($E155,Roadmap!$D:$D,0)-1+COUNTIF($E155:N155,"u")+COUNTIF($E155:N155,"t")+COUNTIF($E155:N155,"¶")+COUNTIF($E155:N155,"²")+COUNTIF($E155:N155,"µ")+COUNTIF($E155:N155,1),ColDescriptionCourte)),""),
  "")),"")</f>
        <v/>
      </c>
      <c r="P155" s="40" t="str">
        <f ca="1">IFERROR(IF(AND(
  INDEX(Roadmap!$D:$K,MATCH($E155,Roadmap!$D:$D,0)+COUNTIF($E155:O155,"u")+COUNTIF($E155:O155,"t")+COUNTIF($E155:O155,"¶")+COUNTIF($E155:O155,"²")+COUNTIF($E155:O155,"µ")+COUNTIF($E155:O155,1),ColLivraison)=P$6,
  VLOOKUP($E155,INDIRECT("tri!"&amp; CHAR(64+ C0Col) &amp;":"&amp; CHAR(65+C0Col)),2,FALSE)&gt;COUNTIF($E155:O155,"u")+COUNTIF($E155:O155,"t")+COUNTIF($E155:O155,"¶")+COUNTIF($E155:O155,"²")+COUNTIF($E155:O155,"µ")+COUNTIF($E155:O155,1)),
HYPERLINK("#Roadmap!C"&amp; MATCH($E155,Roadmap!$D:$D,0)+COUNTIF($E155:O155,"u")+COUNTIF($E155:O155,"t"),
     INDEX(Roadmap!$D:$K,MATCH($E155,Roadmap!$D:$D,0)+COUNTIF($E155:O155,"u")+COUNTIF($E155:O155,"t")+COUNTIF($E155:O155,"¶")+COUNTIF($E155:O155,"²")+COUNTIF($E155:O155,"µ")+COUNTIF($E155:O155,1),ColTypeEcheance)),
  IF(LEN(O155)=1,
  IF(LEN(INDEX(Roadmap!$D:$K,MATCH($E155,Roadmap!$D:$D,0)-1+COUNTIF($E155:O155,"u")+COUNTIF($E155:O155,"t")+COUNTIF($E155:O155,"¶")+COUNTIF($E155:O155,"²")+COUNTIF($E155:O155,"µ")+COUNTIF($E155:O155,1),ColDescriptionCourte))&gt;1,
HYPERLINK("#Roadmap!C"&amp; MATCH($E155,Roadmap!$D:$D,0)+COUNTIF($E155:O155,"u")+COUNTIF($E155:O155,"t")+COUNTIF($E155:O155,"¶")+COUNTIF($E155:O155,"²")+COUNTIF($E155:O155,"µ")+COUNTIF($E155:O155,1)-1,INDEX(Roadmap!$D:$K,MATCH($E155,Roadmap!$D:$D,0)-1+COUNTIF($E155:O155,"u")+COUNTIF($E155:O155,"t")+COUNTIF($E155:O155,"¶")+COUNTIF($E155:O155,"²")+COUNTIF($E155:O155,"µ")+COUNTIF($E155:O155,1),ColDescriptionCourte)),""),
  "")),"")</f>
        <v/>
      </c>
      <c r="Q155" s="40" t="str">
        <f ca="1">IFERROR(IF(AND(
  INDEX(Roadmap!$D:$K,MATCH($E155,Roadmap!$D:$D,0)+COUNTIF($E155:P155,"u")+COUNTIF($E155:P155,"t")+COUNTIF($E155:P155,"¶")+COUNTIF($E155:P155,"²")+COUNTIF($E155:P155,"µ")+COUNTIF($E155:P155,1),ColLivraison)=Q$6,
  VLOOKUP($E155,INDIRECT("tri!"&amp; CHAR(64+ C0Col) &amp;":"&amp; CHAR(65+C0Col)),2,FALSE)&gt;COUNTIF($E155:P155,"u")+COUNTIF($E155:P155,"t")+COUNTIF($E155:P155,"¶")+COUNTIF($E155:P155,"²")+COUNTIF($E155:P155,"µ")+COUNTIF($E155:P155,1)),
HYPERLINK("#Roadmap!C"&amp; MATCH($E155,Roadmap!$D:$D,0)+COUNTIF($E155:P155,"u")+COUNTIF($E155:P155,"t"),
     INDEX(Roadmap!$D:$K,MATCH($E155,Roadmap!$D:$D,0)+COUNTIF($E155:P155,"u")+COUNTIF($E155:P155,"t")+COUNTIF($E155:P155,"¶")+COUNTIF($E155:P155,"²")+COUNTIF($E155:P155,"µ")+COUNTIF($E155:P155,1),ColTypeEcheance)),
  IF(LEN(P155)=1,
  IF(LEN(INDEX(Roadmap!$D:$K,MATCH($E155,Roadmap!$D:$D,0)-1+COUNTIF($E155:P155,"u")+COUNTIF($E155:P155,"t")+COUNTIF($E155:P155,"¶")+COUNTIF($E155:P155,"²")+COUNTIF($E155:P155,"µ")+COUNTIF($E155:P155,1),ColDescriptionCourte))&gt;1,
HYPERLINK("#Roadmap!C"&amp; MATCH($E155,Roadmap!$D:$D,0)+COUNTIF($E155:P155,"u")+COUNTIF($E155:P155,"t")+COUNTIF($E155:P155,"¶")+COUNTIF($E155:P155,"²")+COUNTIF($E155:P155,"µ")+COUNTIF($E155:P155,1)-1,INDEX(Roadmap!$D:$K,MATCH($E155,Roadmap!$D:$D,0)-1+COUNTIF($E155:P155,"u")+COUNTIF($E155:P155,"t")+COUNTIF($E155:P155,"¶")+COUNTIF($E155:P155,"²")+COUNTIF($E155:P155,"µ")+COUNTIF($E155:P155,1),ColDescriptionCourte)),""),
  "")),"")</f>
        <v/>
      </c>
      <c r="R155" s="40" t="str">
        <f ca="1">IFERROR(IF(AND(
  INDEX(Roadmap!$D:$K,MATCH($E155,Roadmap!$D:$D,0)+COUNTIF($E155:Q155,"u")+COUNTIF($E155:Q155,"t")+COUNTIF($E155:Q155,"¶")+COUNTIF($E155:Q155,"²")+COUNTIF($E155:Q155,"µ")+COUNTIF($E155:Q155,1),ColLivraison)=R$6,
  VLOOKUP($E155,INDIRECT("tri!"&amp; CHAR(64+ C0Col) &amp;":"&amp; CHAR(65+C0Col)),2,FALSE)&gt;COUNTIF($E155:Q155,"u")+COUNTIF($E155:Q155,"t")+COUNTIF($E155:Q155,"¶")+COUNTIF($E155:Q155,"²")+COUNTIF($E155:Q155,"µ")+COUNTIF($E155:Q155,1)),
HYPERLINK("#Roadmap!C"&amp; MATCH($E155,Roadmap!$D:$D,0)+COUNTIF($E155:Q155,"u")+COUNTIF($E155:Q155,"t"),
     INDEX(Roadmap!$D:$K,MATCH($E155,Roadmap!$D:$D,0)+COUNTIF($E155:Q155,"u")+COUNTIF($E155:Q155,"t")+COUNTIF($E155:Q155,"¶")+COUNTIF($E155:Q155,"²")+COUNTIF($E155:Q155,"µ")+COUNTIF($E155:Q155,1),ColTypeEcheance)),
  IF(LEN(Q155)=1,
  IF(LEN(INDEX(Roadmap!$D:$K,MATCH($E155,Roadmap!$D:$D,0)-1+COUNTIF($E155:Q155,"u")+COUNTIF($E155:Q155,"t")+COUNTIF($E155:Q155,"¶")+COUNTIF($E155:Q155,"²")+COUNTIF($E155:Q155,"µ")+COUNTIF($E155:Q155,1),ColDescriptionCourte))&gt;1,
HYPERLINK("#Roadmap!C"&amp; MATCH($E155,Roadmap!$D:$D,0)+COUNTIF($E155:Q155,"u")+COUNTIF($E155:Q155,"t")+COUNTIF($E155:Q155,"¶")+COUNTIF($E155:Q155,"²")+COUNTIF($E155:Q155,"µ")+COUNTIF($E155:Q155,1)-1,INDEX(Roadmap!$D:$K,MATCH($E155,Roadmap!$D:$D,0)-1+COUNTIF($E155:Q155,"u")+COUNTIF($E155:Q155,"t")+COUNTIF($E155:Q155,"¶")+COUNTIF($E155:Q155,"²")+COUNTIF($E155:Q155,"µ")+COUNTIF($E155:Q155,1),ColDescriptionCourte)),""),
  "")),"")</f>
        <v/>
      </c>
      <c r="S155" s="40" t="str">
        <f ca="1">IFERROR(IF(AND(
  INDEX(Roadmap!$D:$K,MATCH($E155,Roadmap!$D:$D,0)+COUNTIF($E155:R155,"u")+COUNTIF($E155:R155,"t")+COUNTIF($E155:R155,"¶")+COUNTIF($E155:R155,"²")+COUNTIF($E155:R155,"µ")+COUNTIF($E155:R155,1),ColLivraison)=S$6,
  VLOOKUP($E155,INDIRECT("tri!"&amp; CHAR(64+ C0Col) &amp;":"&amp; CHAR(65+C0Col)),2,FALSE)&gt;COUNTIF($E155:R155,"u")+COUNTIF($E155:R155,"t")+COUNTIF($E155:R155,"¶")+COUNTIF($E155:R155,"²")+COUNTIF($E155:R155,"µ")+COUNTIF($E155:R155,1)),
HYPERLINK("#Roadmap!C"&amp; MATCH($E155,Roadmap!$D:$D,0)+COUNTIF($E155:R155,"u")+COUNTIF($E155:R155,"t"),
     INDEX(Roadmap!$D:$K,MATCH($E155,Roadmap!$D:$D,0)+COUNTIF($E155:R155,"u")+COUNTIF($E155:R155,"t")+COUNTIF($E155:R155,"¶")+COUNTIF($E155:R155,"²")+COUNTIF($E155:R155,"µ")+COUNTIF($E155:R155,1),ColTypeEcheance)),
  IF(LEN(R155)=1,
  IF(LEN(INDEX(Roadmap!$D:$K,MATCH($E155,Roadmap!$D:$D,0)-1+COUNTIF($E155:R155,"u")+COUNTIF($E155:R155,"t")+COUNTIF($E155:R155,"¶")+COUNTIF($E155:R155,"²")+COUNTIF($E155:R155,"µ")+COUNTIF($E155:R155,1),ColDescriptionCourte))&gt;1,
HYPERLINK("#Roadmap!C"&amp; MATCH($E155,Roadmap!$D:$D,0)+COUNTIF($E155:R155,"u")+COUNTIF($E155:R155,"t")+COUNTIF($E155:R155,"¶")+COUNTIF($E155:R155,"²")+COUNTIF($E155:R155,"µ")+COUNTIF($E155:R155,1)-1,INDEX(Roadmap!$D:$K,MATCH($E155,Roadmap!$D:$D,0)-1+COUNTIF($E155:R155,"u")+COUNTIF($E155:R155,"t")+COUNTIF($E155:R155,"¶")+COUNTIF($E155:R155,"²")+COUNTIF($E155:R155,"µ")+COUNTIF($E155:R155,1),ColDescriptionCourte)),""),
  "")),"")</f>
        <v/>
      </c>
      <c r="T155" s="40" t="str">
        <f ca="1">IFERROR(IF(AND(
  INDEX(Roadmap!$D:$K,MATCH($E155,Roadmap!$D:$D,0)+COUNTIF($E155:S155,"u")+COUNTIF($E155:S155,"t")+COUNTIF($E155:S155,"¶")+COUNTIF($E155:S155,"²")+COUNTIF($E155:S155,"µ")+COUNTIF($E155:S155,1),ColLivraison)=T$6,
  VLOOKUP($E155,INDIRECT("tri!"&amp; CHAR(64+ C0Col) &amp;":"&amp; CHAR(65+C0Col)),2,FALSE)&gt;COUNTIF($E155:S155,"u")+COUNTIF($E155:S155,"t")+COUNTIF($E155:S155,"¶")+COUNTIF($E155:S155,"²")+COUNTIF($E155:S155,"µ")+COUNTIF($E155:S155,1)),
HYPERLINK("#Roadmap!C"&amp; MATCH($E155,Roadmap!$D:$D,0)+COUNTIF($E155:S155,"u")+COUNTIF($E155:S155,"t"),
     INDEX(Roadmap!$D:$K,MATCH($E155,Roadmap!$D:$D,0)+COUNTIF($E155:S155,"u")+COUNTIF($E155:S155,"t")+COUNTIF($E155:S155,"¶")+COUNTIF($E155:S155,"²")+COUNTIF($E155:S155,"µ")+COUNTIF($E155:S155,1),ColTypeEcheance)),
  IF(LEN(S155)=1,
  IF(LEN(INDEX(Roadmap!$D:$K,MATCH($E155,Roadmap!$D:$D,0)-1+COUNTIF($E155:S155,"u")+COUNTIF($E155:S155,"t")+COUNTIF($E155:S155,"¶")+COUNTIF($E155:S155,"²")+COUNTIF($E155:S155,"µ")+COUNTIF($E155:S155,1),ColDescriptionCourte))&gt;1,
HYPERLINK("#Roadmap!C"&amp; MATCH($E155,Roadmap!$D:$D,0)+COUNTIF($E155:S155,"u")+COUNTIF($E155:S155,"t")+COUNTIF($E155:S155,"¶")+COUNTIF($E155:S155,"²")+COUNTIF($E155:S155,"µ")+COUNTIF($E155:S155,1)-1,INDEX(Roadmap!$D:$K,MATCH($E155,Roadmap!$D:$D,0)-1+COUNTIF($E155:S155,"u")+COUNTIF($E155:S155,"t")+COUNTIF($E155:S155,"¶")+COUNTIF($E155:S155,"²")+COUNTIF($E155:S155,"µ")+COUNTIF($E155:S155,1),ColDescriptionCourte)),""),
  "")),"")</f>
        <v/>
      </c>
      <c r="U155" s="40" t="str">
        <f ca="1">IFERROR(IF(AND(
  INDEX(Roadmap!$D:$K,MATCH($E155,Roadmap!$D:$D,0)+COUNTIF($E155:T155,"u")+COUNTIF($E155:T155,"t")+COUNTIF($E155:T155,"¶")+COUNTIF($E155:T155,"²")+COUNTIF($E155:T155,"µ")+COUNTIF($E155:T155,1),ColLivraison)=U$6,
  VLOOKUP($E155,INDIRECT("tri!"&amp; CHAR(64+ C0Col) &amp;":"&amp; CHAR(65+C0Col)),2,FALSE)&gt;COUNTIF($E155:T155,"u")+COUNTIF($E155:T155,"t")+COUNTIF($E155:T155,"¶")+COUNTIF($E155:T155,"²")+COUNTIF($E155:T155,"µ")+COUNTIF($E155:T155,1)),
HYPERLINK("#Roadmap!C"&amp; MATCH($E155,Roadmap!$D:$D,0)+COUNTIF($E155:T155,"u")+COUNTIF($E155:T155,"t"),
     INDEX(Roadmap!$D:$K,MATCH($E155,Roadmap!$D:$D,0)+COUNTIF($E155:T155,"u")+COUNTIF($E155:T155,"t")+COUNTIF($E155:T155,"¶")+COUNTIF($E155:T155,"²")+COUNTIF($E155:T155,"µ")+COUNTIF($E155:T155,1),ColTypeEcheance)),
  IF(LEN(T155)=1,
  IF(LEN(INDEX(Roadmap!$D:$K,MATCH($E155,Roadmap!$D:$D,0)-1+COUNTIF($E155:T155,"u")+COUNTIF($E155:T155,"t")+COUNTIF($E155:T155,"¶")+COUNTIF($E155:T155,"²")+COUNTIF($E155:T155,"µ")+COUNTIF($E155:T155,1),ColDescriptionCourte))&gt;1,
HYPERLINK("#Roadmap!C"&amp; MATCH($E155,Roadmap!$D:$D,0)+COUNTIF($E155:T155,"u")+COUNTIF($E155:T155,"t")+COUNTIF($E155:T155,"¶")+COUNTIF($E155:T155,"²")+COUNTIF($E155:T155,"µ")+COUNTIF($E155:T155,1)-1,INDEX(Roadmap!$D:$K,MATCH($E155,Roadmap!$D:$D,0)-1+COUNTIF($E155:T155,"u")+COUNTIF($E155:T155,"t")+COUNTIF($E155:T155,"¶")+COUNTIF($E155:T155,"²")+COUNTIF($E155:T155,"µ")+COUNTIF($E155:T155,1),ColDescriptionCourte)),""),
  "")),"")</f>
        <v/>
      </c>
      <c r="V155" s="40" t="str">
        <f ca="1">IFERROR(IF(AND(
  INDEX(Roadmap!$D:$K,MATCH($E155,Roadmap!$D:$D,0)+COUNTIF($E155:U155,"u")+COUNTIF($E155:U155,"t")+COUNTIF($E155:U155,"¶")+COUNTIF($E155:U155,"²")+COUNTIF($E155:U155,"µ")+COUNTIF($E155:U155,1),ColLivraison)=V$6,
  VLOOKUP($E155,INDIRECT("tri!"&amp; CHAR(64+ C0Col) &amp;":"&amp; CHAR(65+C0Col)),2,FALSE)&gt;COUNTIF($E155:U155,"u")+COUNTIF($E155:U155,"t")+COUNTIF($E155:U155,"¶")+COUNTIF($E155:U155,"²")+COUNTIF($E155:U155,"µ")+COUNTIF($E155:U155,1)),
HYPERLINK("#Roadmap!C"&amp; MATCH($E155,Roadmap!$D:$D,0)+COUNTIF($E155:U155,"u")+COUNTIF($E155:U155,"t"),
     INDEX(Roadmap!$D:$K,MATCH($E155,Roadmap!$D:$D,0)+COUNTIF($E155:U155,"u")+COUNTIF($E155:U155,"t")+COUNTIF($E155:U155,"¶")+COUNTIF($E155:U155,"²")+COUNTIF($E155:U155,"µ")+COUNTIF($E155:U155,1),ColTypeEcheance)),
  IF(LEN(U155)=1,
  IF(LEN(INDEX(Roadmap!$D:$K,MATCH($E155,Roadmap!$D:$D,0)-1+COUNTIF($E155:U155,"u")+COUNTIF($E155:U155,"t")+COUNTIF($E155:U155,"¶")+COUNTIF($E155:U155,"²")+COUNTIF($E155:U155,"µ")+COUNTIF($E155:U155,1),ColDescriptionCourte))&gt;1,
HYPERLINK("#Roadmap!C"&amp; MATCH($E155,Roadmap!$D:$D,0)+COUNTIF($E155:U155,"u")+COUNTIF($E155:U155,"t")+COUNTIF($E155:U155,"¶")+COUNTIF($E155:U155,"²")+COUNTIF($E155:U155,"µ")+COUNTIF($E155:U155,1)-1,INDEX(Roadmap!$D:$K,MATCH($E155,Roadmap!$D:$D,0)-1+COUNTIF($E155:U155,"u")+COUNTIF($E155:U155,"t")+COUNTIF($E155:U155,"¶")+COUNTIF($E155:U155,"²")+COUNTIF($E155:U155,"µ")+COUNTIF($E155:U155,1),ColDescriptionCourte)),""),
  "")),"")</f>
        <v/>
      </c>
      <c r="W155" s="40" t="str">
        <f ca="1">IFERROR(IF(AND(
  INDEX(Roadmap!$D:$K,MATCH($E155,Roadmap!$D:$D,0)+COUNTIF($E155:V155,"u")+COUNTIF($E155:V155,"t")+COUNTIF($E155:V155,"¶")+COUNTIF($E155:V155,"²")+COUNTIF($E155:V155,"µ")+COUNTIF($E155:V155,1),ColLivraison)=W$6,
  VLOOKUP($E155,INDIRECT("tri!"&amp; CHAR(64+ C0Col) &amp;":"&amp; CHAR(65+C0Col)),2,FALSE)&gt;COUNTIF($E155:V155,"u")+COUNTIF($E155:V155,"t")+COUNTIF($E155:V155,"¶")+COUNTIF($E155:V155,"²")+COUNTIF($E155:V155,"µ")+COUNTIF($E155:V155,1)),
HYPERLINK("#Roadmap!C"&amp; MATCH($E155,Roadmap!$D:$D,0)+COUNTIF($E155:V155,"u")+COUNTIF($E155:V155,"t"),
     INDEX(Roadmap!$D:$K,MATCH($E155,Roadmap!$D:$D,0)+COUNTIF($E155:V155,"u")+COUNTIF($E155:V155,"t")+COUNTIF($E155:V155,"¶")+COUNTIF($E155:V155,"²")+COUNTIF($E155:V155,"µ")+COUNTIF($E155:V155,1),ColTypeEcheance)),
  IF(LEN(V155)=1,
  IF(LEN(INDEX(Roadmap!$D:$K,MATCH($E155,Roadmap!$D:$D,0)-1+COUNTIF($E155:V155,"u")+COUNTIF($E155:V155,"t")+COUNTIF($E155:V155,"¶")+COUNTIF($E155:V155,"²")+COUNTIF($E155:V155,"µ")+COUNTIF($E155:V155,1),ColDescriptionCourte))&gt;1,
HYPERLINK("#Roadmap!C"&amp; MATCH($E155,Roadmap!$D:$D,0)+COUNTIF($E155:V155,"u")+COUNTIF($E155:V155,"t")+COUNTIF($E155:V155,"¶")+COUNTIF($E155:V155,"²")+COUNTIF($E155:V155,"µ")+COUNTIF($E155:V155,1)-1,INDEX(Roadmap!$D:$K,MATCH($E155,Roadmap!$D:$D,0)-1+COUNTIF($E155:V155,"u")+COUNTIF($E155:V155,"t")+COUNTIF($E155:V155,"¶")+COUNTIF($E155:V155,"²")+COUNTIF($E155:V155,"µ")+COUNTIF($E155:V155,1),ColDescriptionCourte)),""),
  "")),"")</f>
        <v/>
      </c>
      <c r="X155" s="40" t="str">
        <f ca="1">IFERROR(IF(AND(
  INDEX(Roadmap!$D:$K,MATCH($E155,Roadmap!$D:$D,0)+COUNTIF($E155:W155,"u")+COUNTIF($E155:W155,"t")+COUNTIF($E155:W155,"¶")+COUNTIF($E155:W155,"²")+COUNTIF($E155:W155,"µ")+COUNTIF($E155:W155,1),ColLivraison)=X$6,
  VLOOKUP($E155,INDIRECT("tri!"&amp; CHAR(64+ C0Col) &amp;":"&amp; CHAR(65+C0Col)),2,FALSE)&gt;COUNTIF($E155:W155,"u")+COUNTIF($E155:W155,"t")+COUNTIF($E155:W155,"¶")+COUNTIF($E155:W155,"²")+COUNTIF($E155:W155,"µ")+COUNTIF($E155:W155,1)),
HYPERLINK("#Roadmap!C"&amp; MATCH($E155,Roadmap!$D:$D,0)+COUNTIF($E155:W155,"u")+COUNTIF($E155:W155,"t"),
     INDEX(Roadmap!$D:$K,MATCH($E155,Roadmap!$D:$D,0)+COUNTIF($E155:W155,"u")+COUNTIF($E155:W155,"t")+COUNTIF($E155:W155,"¶")+COUNTIF($E155:W155,"²")+COUNTIF($E155:W155,"µ")+COUNTIF($E155:W155,1),ColTypeEcheance)),
  IF(LEN(W155)=1,
  IF(LEN(INDEX(Roadmap!$D:$K,MATCH($E155,Roadmap!$D:$D,0)-1+COUNTIF($E155:W155,"u")+COUNTIF($E155:W155,"t")+COUNTIF($E155:W155,"¶")+COUNTIF($E155:W155,"²")+COUNTIF($E155:W155,"µ")+COUNTIF($E155:W155,1),ColDescriptionCourte))&gt;1,
HYPERLINK("#Roadmap!C"&amp; MATCH($E155,Roadmap!$D:$D,0)+COUNTIF($E155:W155,"u")+COUNTIF($E155:W155,"t")+COUNTIF($E155:W155,"¶")+COUNTIF($E155:W155,"²")+COUNTIF($E155:W155,"µ")+COUNTIF($E155:W155,1)-1,INDEX(Roadmap!$D:$K,MATCH($E155,Roadmap!$D:$D,0)-1+COUNTIF($E155:W155,"u")+COUNTIF($E155:W155,"t")+COUNTIF($E155:W155,"¶")+COUNTIF($E155:W155,"²")+COUNTIF($E155:W155,"µ")+COUNTIF($E155:W155,1),ColDescriptionCourte)),""),
  "")),"")</f>
        <v/>
      </c>
      <c r="Y155" s="40" t="str">
        <f ca="1">IFERROR(IF(AND(
  INDEX(Roadmap!$D:$K,MATCH($E155,Roadmap!$D:$D,0)+COUNTIF($E155:X155,"u")+COUNTIF($E155:X155,"t")+COUNTIF($E155:X155,"¶")+COUNTIF($E155:X155,"²")+COUNTIF($E155:X155,"µ")+COUNTIF($E155:X155,1),ColLivraison)=Y$6,
  VLOOKUP($E155,INDIRECT("tri!"&amp; CHAR(64+ C0Col) &amp;":"&amp; CHAR(65+C0Col)),2,FALSE)&gt;COUNTIF($E155:X155,"u")+COUNTIF($E155:X155,"t")+COUNTIF($E155:X155,"¶")+COUNTIF($E155:X155,"²")+COUNTIF($E155:X155,"µ")+COUNTIF($E155:X155,1)),
HYPERLINK("#Roadmap!C"&amp; MATCH($E155,Roadmap!$D:$D,0)+COUNTIF($E155:X155,"u")+COUNTIF($E155:X155,"t"),
     INDEX(Roadmap!$D:$K,MATCH($E155,Roadmap!$D:$D,0)+COUNTIF($E155:X155,"u")+COUNTIF($E155:X155,"t")+COUNTIF($E155:X155,"¶")+COUNTIF($E155:X155,"²")+COUNTIF($E155:X155,"µ")+COUNTIF($E155:X155,1),ColTypeEcheance)),
  IF(LEN(X155)=1,
  IF(LEN(INDEX(Roadmap!$D:$K,MATCH($E155,Roadmap!$D:$D,0)-1+COUNTIF($E155:X155,"u")+COUNTIF($E155:X155,"t")+COUNTIF($E155:X155,"¶")+COUNTIF($E155:X155,"²")+COUNTIF($E155:X155,"µ")+COUNTIF($E155:X155,1),ColDescriptionCourte))&gt;1,
HYPERLINK("#Roadmap!C"&amp; MATCH($E155,Roadmap!$D:$D,0)+COUNTIF($E155:X155,"u")+COUNTIF($E155:X155,"t")+COUNTIF($E155:X155,"¶")+COUNTIF($E155:X155,"²")+COUNTIF($E155:X155,"µ")+COUNTIF($E155:X155,1)-1,INDEX(Roadmap!$D:$K,MATCH($E155,Roadmap!$D:$D,0)-1+COUNTIF($E155:X155,"u")+COUNTIF($E155:X155,"t")+COUNTIF($E155:X155,"¶")+COUNTIF($E155:X155,"²")+COUNTIF($E155:X155,"µ")+COUNTIF($E155:X155,1),ColDescriptionCourte)),""),
  "")),"")</f>
        <v/>
      </c>
      <c r="Z155" s="40" t="str">
        <f ca="1">IFERROR(IF(AND(
  INDEX(Roadmap!$D:$K,MATCH($E155,Roadmap!$D:$D,0)+COUNTIF($E155:Y155,"u")+COUNTIF($E155:Y155,"t")+COUNTIF($E155:Y155,"¶")+COUNTIF($E155:Y155,"²")+COUNTIF($E155:Y155,"µ")+COUNTIF($E155:Y155,1),ColLivraison)=Z$6,
  VLOOKUP($E155,INDIRECT("tri!"&amp; CHAR(64+ C0Col) &amp;":"&amp; CHAR(65+C0Col)),2,FALSE)&gt;COUNTIF($E155:Y155,"u")+COUNTIF($E155:Y155,"t")+COUNTIF($E155:Y155,"¶")+COUNTIF($E155:Y155,"²")+COUNTIF($E155:Y155,"µ")+COUNTIF($E155:Y155,1)),
HYPERLINK("#Roadmap!C"&amp; MATCH($E155,Roadmap!$D:$D,0)+COUNTIF($E155:Y155,"u")+COUNTIF($E155:Y155,"t"),
     INDEX(Roadmap!$D:$K,MATCH($E155,Roadmap!$D:$D,0)+COUNTIF($E155:Y155,"u")+COUNTIF($E155:Y155,"t")+COUNTIF($E155:Y155,"¶")+COUNTIF($E155:Y155,"²")+COUNTIF($E155:Y155,"µ")+COUNTIF($E155:Y155,1),ColTypeEcheance)),
  IF(LEN(Y155)=1,
  IF(LEN(INDEX(Roadmap!$D:$K,MATCH($E155,Roadmap!$D:$D,0)-1+COUNTIF($E155:Y155,"u")+COUNTIF($E155:Y155,"t")+COUNTIF($E155:Y155,"¶")+COUNTIF($E155:Y155,"²")+COUNTIF($E155:Y155,"µ")+COUNTIF($E155:Y155,1),ColDescriptionCourte))&gt;1,
HYPERLINK("#Roadmap!C"&amp; MATCH($E155,Roadmap!$D:$D,0)+COUNTIF($E155:Y155,"u")+COUNTIF($E155:Y155,"t")+COUNTIF($E155:Y155,"¶")+COUNTIF($E155:Y155,"²")+COUNTIF($E155:Y155,"µ")+COUNTIF($E155:Y155,1)-1,INDEX(Roadmap!$D:$K,MATCH($E155,Roadmap!$D:$D,0)-1+COUNTIF($E155:Y155,"u")+COUNTIF($E155:Y155,"t")+COUNTIF($E155:Y155,"¶")+COUNTIF($E155:Y155,"²")+COUNTIF($E155:Y155,"µ")+COUNTIF($E155:Y155,1),ColDescriptionCourte)),""),
  "")),"")</f>
        <v/>
      </c>
      <c r="AA155" s="40" t="str">
        <f ca="1">IFERROR(IF(AND(
  INDEX(Roadmap!$D:$K,MATCH($E155,Roadmap!$D:$D,0)+COUNTIF($E155:Z155,"u")+COUNTIF($E155:Z155,"t")+COUNTIF($E155:Z155,"¶")+COUNTIF($E155:Z155,"²")+COUNTIF($E155:Z155,"µ")+COUNTIF($E155:Z155,1),ColLivraison)=AA$6,
  VLOOKUP($E155,INDIRECT("tri!"&amp; CHAR(64+ C0Col) &amp;":"&amp; CHAR(65+C0Col)),2,FALSE)&gt;COUNTIF($E155:Z155,"u")+COUNTIF($E155:Z155,"t")+COUNTIF($E155:Z155,"¶")+COUNTIF($E155:Z155,"²")+COUNTIF($E155:Z155,"µ")+COUNTIF($E155:Z155,1)),
HYPERLINK("#Roadmap!C"&amp; MATCH($E155,Roadmap!$D:$D,0)+COUNTIF($E155:Z155,"u")+COUNTIF($E155:Z155,"t"),
     INDEX(Roadmap!$D:$K,MATCH($E155,Roadmap!$D:$D,0)+COUNTIF($E155:Z155,"u")+COUNTIF($E155:Z155,"t")+COUNTIF($E155:Z155,"¶")+COUNTIF($E155:Z155,"²")+COUNTIF($E155:Z155,"µ")+COUNTIF($E155:Z155,1),ColTypeEcheance)),
  IF(LEN(Z155)=1,
  IF(LEN(INDEX(Roadmap!$D:$K,MATCH($E155,Roadmap!$D:$D,0)-1+COUNTIF($E155:Z155,"u")+COUNTIF($E155:Z155,"t")+COUNTIF($E155:Z155,"¶")+COUNTIF($E155:Z155,"²")+COUNTIF($E155:Z155,"µ")+COUNTIF($E155:Z155,1),ColDescriptionCourte))&gt;1,
HYPERLINK("#Roadmap!C"&amp; MATCH($E155,Roadmap!$D:$D,0)+COUNTIF($E155:Z155,"u")+COUNTIF($E155:Z155,"t")+COUNTIF($E155:Z155,"¶")+COUNTIF($E155:Z155,"²")+COUNTIF($E155:Z155,"µ")+COUNTIF($E155:Z155,1)-1,INDEX(Roadmap!$D:$K,MATCH($E155,Roadmap!$D:$D,0)-1+COUNTIF($E155:Z155,"u")+COUNTIF($E155:Z155,"t")+COUNTIF($E155:Z155,"¶")+COUNTIF($E155:Z155,"²")+COUNTIF($E155:Z155,"µ")+COUNTIF($E155:Z155,1),ColDescriptionCourte)),""),
  "")),"")</f>
        <v/>
      </c>
      <c r="AB155" s="40" t="str">
        <f ca="1">IFERROR(IF(AND(
  INDEX(Roadmap!$D:$K,MATCH($E155,Roadmap!$D:$D,0)+COUNTIF($E155:AA155,"u")+COUNTIF($E155:AA155,"t")+COUNTIF($E155:AA155,"¶")+COUNTIF($E155:AA155,"²")+COUNTIF($E155:AA155,"µ")+COUNTIF($E155:AA155,1),ColLivraison)=AB$6,
  VLOOKUP($E155,INDIRECT("tri!"&amp; CHAR(64+ C0Col) &amp;":"&amp; CHAR(65+C0Col)),2,FALSE)&gt;COUNTIF($E155:AA155,"u")+COUNTIF($E155:AA155,"t")+COUNTIF($E155:AA155,"¶")+COUNTIF($E155:AA155,"²")+COUNTIF($E155:AA155,"µ")+COUNTIF($E155:AA155,1)),
HYPERLINK("#Roadmap!C"&amp; MATCH($E155,Roadmap!$D:$D,0)+COUNTIF($E155:AA155,"u")+COUNTIF($E155:AA155,"t"),
     INDEX(Roadmap!$D:$K,MATCH($E155,Roadmap!$D:$D,0)+COUNTIF($E155:AA155,"u")+COUNTIF($E155:AA155,"t")+COUNTIF($E155:AA155,"¶")+COUNTIF($E155:AA155,"²")+COUNTIF($E155:AA155,"µ")+COUNTIF($E155:AA155,1),ColTypeEcheance)),
  IF(LEN(AA155)=1,
  IF(LEN(INDEX(Roadmap!$D:$K,MATCH($E155,Roadmap!$D:$D,0)-1+COUNTIF($E155:AA155,"u")+COUNTIF($E155:AA155,"t")+COUNTIF($E155:AA155,"¶")+COUNTIF($E155:AA155,"²")+COUNTIF($E155:AA155,"µ")+COUNTIF($E155:AA155,1),ColDescriptionCourte))&gt;1,
HYPERLINK("#Roadmap!C"&amp; MATCH($E155,Roadmap!$D:$D,0)+COUNTIF($E155:AA155,"u")+COUNTIF($E155:AA155,"t")+COUNTIF($E155:AA155,"¶")+COUNTIF($E155:AA155,"²")+COUNTIF($E155:AA155,"µ")+COUNTIF($E155:AA155,1)-1,INDEX(Roadmap!$D:$K,MATCH($E155,Roadmap!$D:$D,0)-1+COUNTIF($E155:AA155,"u")+COUNTIF($E155:AA155,"t")+COUNTIF($E155:AA155,"¶")+COUNTIF($E155:AA155,"²")+COUNTIF($E155:AA155,"µ")+COUNTIF($E155:AA155,1),ColDescriptionCourte)),""),
  "")),"")</f>
        <v/>
      </c>
      <c r="AC155" s="40" t="str">
        <f ca="1">IFERROR(IF(AND(
  INDEX(Roadmap!$D:$K,MATCH($E155,Roadmap!$D:$D,0)+COUNTIF($E155:AB155,"u")+COUNTIF($E155:AB155,"t")+COUNTIF($E155:AB155,"¶")+COUNTIF($E155:AB155,"²")+COUNTIF($E155:AB155,"µ")+COUNTIF($E155:AB155,1),ColLivraison)=AC$6,
  VLOOKUP($E155,INDIRECT("tri!"&amp; CHAR(64+ C0Col) &amp;":"&amp; CHAR(65+C0Col)),2,FALSE)&gt;COUNTIF($E155:AB155,"u")+COUNTIF($E155:AB155,"t")+COUNTIF($E155:AB155,"¶")+COUNTIF($E155:AB155,"²")+COUNTIF($E155:AB155,"µ")+COUNTIF($E155:AB155,1)),
HYPERLINK("#Roadmap!C"&amp; MATCH($E155,Roadmap!$D:$D,0)+COUNTIF($E155:AB155,"u")+COUNTIF($E155:AB155,"t"),
     INDEX(Roadmap!$D:$K,MATCH($E155,Roadmap!$D:$D,0)+COUNTIF($E155:AB155,"u")+COUNTIF($E155:AB155,"t")+COUNTIF($E155:AB155,"¶")+COUNTIF($E155:AB155,"²")+COUNTIF($E155:AB155,"µ")+COUNTIF($E155:AB155,1),ColTypeEcheance)),
  IF(LEN(AB155)=1,
  IF(LEN(INDEX(Roadmap!$D:$K,MATCH($E155,Roadmap!$D:$D,0)-1+COUNTIF($E155:AB155,"u")+COUNTIF($E155:AB155,"t")+COUNTIF($E155:AB155,"¶")+COUNTIF($E155:AB155,"²")+COUNTIF($E155:AB155,"µ")+COUNTIF($E155:AB155,1),ColDescriptionCourte))&gt;1,
HYPERLINK("#Roadmap!C"&amp; MATCH($E155,Roadmap!$D:$D,0)+COUNTIF($E155:AB155,"u")+COUNTIF($E155:AB155,"t")+COUNTIF($E155:AB155,"¶")+COUNTIF($E155:AB155,"²")+COUNTIF($E155:AB155,"µ")+COUNTIF($E155:AB155,1)-1,INDEX(Roadmap!$D:$K,MATCH($E155,Roadmap!$D:$D,0)-1+COUNTIF($E155:AB155,"u")+COUNTIF($E155:AB155,"t")+COUNTIF($E155:AB155,"¶")+COUNTIF($E155:AB155,"²")+COUNTIF($E155:AB155,"µ")+COUNTIF($E155:AB155,1),ColDescriptionCourte)),""),
  "")),"")</f>
        <v/>
      </c>
      <c r="AD155" s="40" t="str">
        <f ca="1">IFERROR(IF(AND(
  INDEX(Roadmap!$D:$K,MATCH($E155,Roadmap!$D:$D,0)+COUNTIF($E155:AC155,"u")+COUNTIF($E155:AC155,"t")+COUNTIF($E155:AC155,"¶")+COUNTIF($E155:AC155,"²")+COUNTIF($E155:AC155,"µ")+COUNTIF($E155:AC155,1),ColLivraison)=AD$6,
  VLOOKUP($E155,INDIRECT("tri!"&amp; CHAR(64+ C0Col) &amp;":"&amp; CHAR(65+C0Col)),2,FALSE)&gt;COUNTIF($E155:AC155,"u")+COUNTIF($E155:AC155,"t")+COUNTIF($E155:AC155,"¶")+COUNTIF($E155:AC155,"²")+COUNTIF($E155:AC155,"µ")+COUNTIF($E155:AC155,1)),
HYPERLINK("#Roadmap!C"&amp; MATCH($E155,Roadmap!$D:$D,0)+COUNTIF($E155:AC155,"u")+COUNTIF($E155:AC155,"t"),
     INDEX(Roadmap!$D:$K,MATCH($E155,Roadmap!$D:$D,0)+COUNTIF($E155:AC155,"u")+COUNTIF($E155:AC155,"t")+COUNTIF($E155:AC155,"¶")+COUNTIF($E155:AC155,"²")+COUNTIF($E155:AC155,"µ")+COUNTIF($E155:AC155,1),ColTypeEcheance)),
  IF(LEN(AC155)=1,
  IF(LEN(INDEX(Roadmap!$D:$K,MATCH($E155,Roadmap!$D:$D,0)-1+COUNTIF($E155:AC155,"u")+COUNTIF($E155:AC155,"t")+COUNTIF($E155:AC155,"¶")+COUNTIF($E155:AC155,"²")+COUNTIF($E155:AC155,"µ")+COUNTIF($E155:AC155,1),ColDescriptionCourte))&gt;1,
HYPERLINK("#Roadmap!C"&amp; MATCH($E155,Roadmap!$D:$D,0)+COUNTIF($E155:AC155,"u")+COUNTIF($E155:AC155,"t")+COUNTIF($E155:AC155,"¶")+COUNTIF($E155:AC155,"²")+COUNTIF($E155:AC155,"µ")+COUNTIF($E155:AC155,1)-1,INDEX(Roadmap!$D:$K,MATCH($E155,Roadmap!$D:$D,0)-1+COUNTIF($E155:AC155,"u")+COUNTIF($E155:AC155,"t")+COUNTIF($E155:AC155,"¶")+COUNTIF($E155:AC155,"²")+COUNTIF($E155:AC155,"µ")+COUNTIF($E155:AC155,1),ColDescriptionCourte)),""),
  "")),"")</f>
        <v/>
      </c>
      <c r="AE155" s="40" t="str">
        <f ca="1">IFERROR(IF(AND(
  INDEX(Roadmap!$D:$K,MATCH($E155,Roadmap!$D:$D,0)+COUNTIF($E155:AD155,"u")+COUNTIF($E155:AD155,"t")+COUNTIF($E155:AD155,"¶")+COUNTIF($E155:AD155,"²")+COUNTIF($E155:AD155,"µ")+COUNTIF($E155:AD155,1),ColLivraison)=AE$6,
  VLOOKUP($E155,INDIRECT("tri!"&amp; CHAR(64+ C0Col) &amp;":"&amp; CHAR(65+C0Col)),2,FALSE)&gt;COUNTIF($E155:AD155,"u")+COUNTIF($E155:AD155,"t")+COUNTIF($E155:AD155,"¶")+COUNTIF($E155:AD155,"²")+COUNTIF($E155:AD155,"µ")+COUNTIF($E155:AD155,1)),
HYPERLINK("#Roadmap!C"&amp; MATCH($E155,Roadmap!$D:$D,0)+COUNTIF($E155:AD155,"u")+COUNTIF($E155:AD155,"t"),
     INDEX(Roadmap!$D:$K,MATCH($E155,Roadmap!$D:$D,0)+COUNTIF($E155:AD155,"u")+COUNTIF($E155:AD155,"t")+COUNTIF($E155:AD155,"¶")+COUNTIF($E155:AD155,"²")+COUNTIF($E155:AD155,"µ")+COUNTIF($E155:AD155,1),ColTypeEcheance)),
  IF(LEN(AD155)=1,
  IF(LEN(INDEX(Roadmap!$D:$K,MATCH($E155,Roadmap!$D:$D,0)-1+COUNTIF($E155:AD155,"u")+COUNTIF($E155:AD155,"t")+COUNTIF($E155:AD155,"¶")+COUNTIF($E155:AD155,"²")+COUNTIF($E155:AD155,"µ")+COUNTIF($E155:AD155,1),ColDescriptionCourte))&gt;1,
HYPERLINK("#Roadmap!C"&amp; MATCH($E155,Roadmap!$D:$D,0)+COUNTIF($E155:AD155,"u")+COUNTIF($E155:AD155,"t")+COUNTIF($E155:AD155,"¶")+COUNTIF($E155:AD155,"²")+COUNTIF($E155:AD155,"µ")+COUNTIF($E155:AD155,1)-1,INDEX(Roadmap!$D:$K,MATCH($E155,Roadmap!$D:$D,0)-1+COUNTIF($E155:AD155,"u")+COUNTIF($E155:AD155,"t")+COUNTIF($E155:AD155,"¶")+COUNTIF($E155:AD155,"²")+COUNTIF($E155:AD155,"µ")+COUNTIF($E155:AD155,1),ColDescriptionCourte)),""),
  "")),"")</f>
        <v/>
      </c>
      <c r="AF155" s="40" t="str">
        <f ca="1">IFERROR(IF(AND(
  INDEX(Roadmap!$D:$K,MATCH($E155,Roadmap!$D:$D,0)+COUNTIF($E155:AE155,"u")+COUNTIF($E155:AE155,"t")+COUNTIF($E155:AE155,"¶")+COUNTIF($E155:AE155,"²")+COUNTIF($E155:AE155,"µ")+COUNTIF($E155:AE155,1),ColLivraison)=AF$6,
  VLOOKUP($E155,INDIRECT("tri!"&amp; CHAR(64+ C0Col) &amp;":"&amp; CHAR(65+C0Col)),2,FALSE)&gt;COUNTIF($E155:AE155,"u")+COUNTIF($E155:AE155,"t")+COUNTIF($E155:AE155,"¶")+COUNTIF($E155:AE155,"²")+COUNTIF($E155:AE155,"µ")+COUNTIF($E155:AE155,1)),
HYPERLINK("#Roadmap!C"&amp; MATCH($E155,Roadmap!$D:$D,0)+COUNTIF($E155:AE155,"u")+COUNTIF($E155:AE155,"t"),
     INDEX(Roadmap!$D:$K,MATCH($E155,Roadmap!$D:$D,0)+COUNTIF($E155:AE155,"u")+COUNTIF($E155:AE155,"t")+COUNTIF($E155:AE155,"¶")+COUNTIF($E155:AE155,"²")+COUNTIF($E155:AE155,"µ")+COUNTIF($E155:AE155,1),ColTypeEcheance)),
  IF(LEN(AE155)=1,
  IF(LEN(INDEX(Roadmap!$D:$K,MATCH($E155,Roadmap!$D:$D,0)-1+COUNTIF($E155:AE155,"u")+COUNTIF($E155:AE155,"t")+COUNTIF($E155:AE155,"¶")+COUNTIF($E155:AE155,"²")+COUNTIF($E155:AE155,"µ")+COUNTIF($E155:AE155,1),ColDescriptionCourte))&gt;1,
HYPERLINK("#Roadmap!C"&amp; MATCH($E155,Roadmap!$D:$D,0)+COUNTIF($E155:AE155,"u")+COUNTIF($E155:AE155,"t")+COUNTIF($E155:AE155,"¶")+COUNTIF($E155:AE155,"²")+COUNTIF($E155:AE155,"µ")+COUNTIF($E155:AE155,1)-1,INDEX(Roadmap!$D:$K,MATCH($E155,Roadmap!$D:$D,0)-1+COUNTIF($E155:AE155,"u")+COUNTIF($E155:AE155,"t")+COUNTIF($E155:AE155,"¶")+COUNTIF($E155:AE155,"²")+COUNTIF($E155:AE155,"µ")+COUNTIF($E155:AE155,1),ColDescriptionCourte)),""),
  "")),"")</f>
        <v/>
      </c>
      <c r="AG155" s="40" t="str">
        <f ca="1">IFERROR(IF(AND(
  INDEX(Roadmap!$D:$K,MATCH($E155,Roadmap!$D:$D,0)+COUNTIF($E155:AF155,"u")+COUNTIF($E155:AF155,"t")+COUNTIF($E155:AF155,"¶")+COUNTIF($E155:AF155,"²")+COUNTIF($E155:AF155,"µ")+COUNTIF($E155:AF155,1),ColLivraison)=AG$6,
  VLOOKUP($E155,INDIRECT("tri!"&amp; CHAR(64+ C0Col) &amp;":"&amp; CHAR(65+C0Col)),2,FALSE)&gt;COUNTIF($E155:AF155,"u")+COUNTIF($E155:AF155,"t")+COUNTIF($E155:AF155,"¶")+COUNTIF($E155:AF155,"²")+COUNTIF($E155:AF155,"µ")+COUNTIF($E155:AF155,1)),
HYPERLINK("#Roadmap!C"&amp; MATCH($E155,Roadmap!$D:$D,0)+COUNTIF($E155:AF155,"u")+COUNTIF($E155:AF155,"t"),
     INDEX(Roadmap!$D:$K,MATCH($E155,Roadmap!$D:$D,0)+COUNTIF($E155:AF155,"u")+COUNTIF($E155:AF155,"t")+COUNTIF($E155:AF155,"¶")+COUNTIF($E155:AF155,"²")+COUNTIF($E155:AF155,"µ")+COUNTIF($E155:AF155,1),ColTypeEcheance)),
  IF(LEN(AF155)=1,
  IF(LEN(INDEX(Roadmap!$D:$K,MATCH($E155,Roadmap!$D:$D,0)-1+COUNTIF($E155:AF155,"u")+COUNTIF($E155:AF155,"t")+COUNTIF($E155:AF155,"¶")+COUNTIF($E155:AF155,"²")+COUNTIF($E155:AF155,"µ")+COUNTIF($E155:AF155,1),ColDescriptionCourte))&gt;1,
HYPERLINK("#Roadmap!C"&amp; MATCH($E155,Roadmap!$D:$D,0)+COUNTIF($E155:AF155,"u")+COUNTIF($E155:AF155,"t")+COUNTIF($E155:AF155,"¶")+COUNTIF($E155:AF155,"²")+COUNTIF($E155:AF155,"µ")+COUNTIF($E155:AF155,1)-1,INDEX(Roadmap!$D:$K,MATCH($E155,Roadmap!$D:$D,0)-1+COUNTIF($E155:AF155,"u")+COUNTIF($E155:AF155,"t")+COUNTIF($E155:AF155,"¶")+COUNTIF($E155:AF155,"²")+COUNTIF($E155:AF155,"µ")+COUNTIF($E155:AF155,1),ColDescriptionCourte)),""),
  "")),"")</f>
        <v/>
      </c>
    </row>
    <row r="156" spans="3:33" ht="14.25" customHeight="1">
      <c r="C156" s="1" t="str">
        <f t="shared" ca="1" si="52"/>
        <v/>
      </c>
      <c r="D156" s="1" t="str">
        <f t="shared" ca="1" si="53"/>
        <v/>
      </c>
      <c r="E156" s="35" t="str">
        <f t="shared" ca="1" si="51"/>
        <v/>
      </c>
      <c r="F156" s="39" t="str">
        <f ca="1">IFERROR(IF(AND(
  INDEX(Roadmap!$D:$K,MATCH($E156,Roadmap!$D:$D,0)+COUNTIF($E156:E156,"u")+COUNTIF($E156:E156,"t")+COUNTIF($E156:E156,"¶")+COUNTIF($E156:E156,"²")+COUNTIF($E156:E156,"µ")+COUNTIF($E156:E156,1),ColLivraison)=F$6,
  VLOOKUP($E156,INDIRECT("tri!"&amp; CHAR(64+ C0Col) &amp;":"&amp; CHAR(65+C0Col)),2,FALSE)&gt;COUNTIF($E156:E156,"u")+COUNTIF($E156:E156,"t")+COUNTIF($E156:E156,"¶")+COUNTIF($E156:E156,"²")+COUNTIF($E156:E156,"µ")+COUNTIF($E156:E156,1)),
HYPERLINK("#Roadmap!C"&amp; MATCH($E156,Roadmap!$D:$D,0)+COUNTIF($E156:E156,"u")+COUNTIF($E156:E156,"t"),
     INDEX(Roadmap!$D:$K,MATCH($E156,Roadmap!$D:$D,0)+COUNTIF($E156:E156,"u")+COUNTIF($E156:E156,"t")+COUNTIF($E156:E156,"¶")+COUNTIF($E156:E156,"²")+COUNTIF($E156:E156,"µ")+COUNTIF($E156:E156,1),ColTypeEcheance)),
  IF(LEN(E156)=1,
  IF(LEN(INDEX(Roadmap!$D:$K,MATCH($E156,Roadmap!$D:$D,0)-1+COUNTIF($E156:E156,"u")+COUNTIF($E156:E156,"t")+COUNTIF($E156:E156,"¶")+COUNTIF($E156:E156,"²")+COUNTIF($E156:E156,"µ")+COUNTIF($E156:E156,1),ColDescriptionCourte))&gt;1,
HYPERLINK("#Roadmap!C"&amp; MATCH($E156,Roadmap!$D:$D,0)+COUNTIF($E156:E156,"u")+COUNTIF($E156:E156,"t")+COUNTIF($E156:E156,"¶")+COUNTIF($E156:E156,"²")+COUNTIF($E156:E156,"µ")+COUNTIF($E156:E156,1)-1,INDEX(Roadmap!$D:$K,MATCH($E156,Roadmap!$D:$D,0)-1+COUNTIF($E156:E156,"u")+COUNTIF($E156:E156,"t")+COUNTIF($E156:E156,"¶")+COUNTIF($E156:E156,"²")+COUNTIF($E156:E156,"µ")+COUNTIF($E156:E156,1),ColDescriptionCourte)),""),
  "")),"")</f>
        <v/>
      </c>
      <c r="G156" s="40" t="str">
        <f ca="1">IFERROR(IF(AND(
  INDEX(Roadmap!$D:$K,MATCH($E156,Roadmap!$D:$D,0)+COUNTIF($E156:F156,"u")+COUNTIF($E156:F156,"t")+COUNTIF($E156:F156,"¶")+COUNTIF($E156:F156,"²")+COUNTIF($E156:F156,"µ")+COUNTIF($E156:F156,1),ColLivraison)=G$6,
  VLOOKUP($E156,INDIRECT("tri!"&amp; CHAR(64+ C0Col) &amp;":"&amp; CHAR(65+C0Col)),2,FALSE)&gt;COUNTIF($E156:F156,"u")+COUNTIF($E156:F156,"t")+COUNTIF($E156:F156,"¶")+COUNTIF($E156:F156,"²")+COUNTIF($E156:F156,"µ")+COUNTIF($E156:F156,1)),
HYPERLINK("#Roadmap!C"&amp; MATCH($E156,Roadmap!$D:$D,0)+COUNTIF($E156:F156,"u")+COUNTIF($E156:F156,"t"),
     INDEX(Roadmap!$D:$K,MATCH($E156,Roadmap!$D:$D,0)+COUNTIF($E156:F156,"u")+COUNTIF($E156:F156,"t")+COUNTIF($E156:F156,"¶")+COUNTIF($E156:F156,"²")+COUNTIF($E156:F156,"µ")+COUNTIF($E156:F156,1),ColTypeEcheance)),
  IF(LEN(F156)=1,
  IF(LEN(INDEX(Roadmap!$D:$K,MATCH($E156,Roadmap!$D:$D,0)-1+COUNTIF($E156:F156,"u")+COUNTIF($E156:F156,"t")+COUNTIF($E156:F156,"¶")+COUNTIF($E156:F156,"²")+COUNTIF($E156:F156,"µ")+COUNTIF($E156:F156,1),ColDescriptionCourte))&gt;1,
HYPERLINK("#Roadmap!C"&amp; MATCH($E156,Roadmap!$D:$D,0)+COUNTIF($E156:F156,"u")+COUNTIF($E156:F156,"t")+COUNTIF($E156:F156,"¶")+COUNTIF($E156:F156,"²")+COUNTIF($E156:F156,"µ")+COUNTIF($E156:F156,1)-1,INDEX(Roadmap!$D:$K,MATCH($E156,Roadmap!$D:$D,0)-1+COUNTIF($E156:F156,"u")+COUNTIF($E156:F156,"t")+COUNTIF($E156:F156,"¶")+COUNTIF($E156:F156,"²")+COUNTIF($E156:F156,"µ")+COUNTIF($E156:F156,1),ColDescriptionCourte)),""),
  "")),"")</f>
        <v/>
      </c>
      <c r="H156" s="40" t="str">
        <f ca="1">IFERROR(IF(AND(
  INDEX(Roadmap!$D:$K,MATCH($E156,Roadmap!$D:$D,0)+COUNTIF($E156:G156,"u")+COUNTIF($E156:G156,"t")+COUNTIF($E156:G156,"¶")+COUNTIF($E156:G156,"²")+COUNTIF($E156:G156,"µ")+COUNTIF($E156:G156,1),ColLivraison)=H$6,
  VLOOKUP($E156,INDIRECT("tri!"&amp; CHAR(64+ C0Col) &amp;":"&amp; CHAR(65+C0Col)),2,FALSE)&gt;COUNTIF($E156:G156,"u")+COUNTIF($E156:G156,"t")+COUNTIF($E156:G156,"¶")+COUNTIF($E156:G156,"²")+COUNTIF($E156:G156,"µ")+COUNTIF($E156:G156,1)),
HYPERLINK("#Roadmap!C"&amp; MATCH($E156,Roadmap!$D:$D,0)+COUNTIF($E156:G156,"u")+COUNTIF($E156:G156,"t"),
     INDEX(Roadmap!$D:$K,MATCH($E156,Roadmap!$D:$D,0)+COUNTIF($E156:G156,"u")+COUNTIF($E156:G156,"t")+COUNTIF($E156:G156,"¶")+COUNTIF($E156:G156,"²")+COUNTIF($E156:G156,"µ")+COUNTIF($E156:G156,1),ColTypeEcheance)),
  IF(LEN(G156)=1,
  IF(LEN(INDEX(Roadmap!$D:$K,MATCH($E156,Roadmap!$D:$D,0)-1+COUNTIF($E156:G156,"u")+COUNTIF($E156:G156,"t")+COUNTIF($E156:G156,"¶")+COUNTIF($E156:G156,"²")+COUNTIF($E156:G156,"µ")+COUNTIF($E156:G156,1),ColDescriptionCourte))&gt;1,
HYPERLINK("#Roadmap!C"&amp; MATCH($E156,Roadmap!$D:$D,0)+COUNTIF($E156:G156,"u")+COUNTIF($E156:G156,"t")+COUNTIF($E156:G156,"¶")+COUNTIF($E156:G156,"²")+COUNTIF($E156:G156,"µ")+COUNTIF($E156:G156,1)-1,INDEX(Roadmap!$D:$K,MATCH($E156,Roadmap!$D:$D,0)-1+COUNTIF($E156:G156,"u")+COUNTIF($E156:G156,"t")+COUNTIF($E156:G156,"¶")+COUNTIF($E156:G156,"²")+COUNTIF($E156:G156,"µ")+COUNTIF($E156:G156,1),ColDescriptionCourte)),""),
  "")),"")</f>
        <v/>
      </c>
      <c r="I156" s="40" t="str">
        <f ca="1">IFERROR(IF(AND(
  INDEX(Roadmap!$D:$K,MATCH($E156,Roadmap!$D:$D,0)+COUNTIF($E156:H156,"u")+COUNTIF($E156:H156,"t")+COUNTIF($E156:H156,"¶")+COUNTIF($E156:H156,"²")+COUNTIF($E156:H156,"µ")+COUNTIF($E156:H156,1),ColLivraison)=I$6,
  VLOOKUP($E156,INDIRECT("tri!"&amp; CHAR(64+ C0Col) &amp;":"&amp; CHAR(65+C0Col)),2,FALSE)&gt;COUNTIF($E156:H156,"u")+COUNTIF($E156:H156,"t")+COUNTIF($E156:H156,"¶")+COUNTIF($E156:H156,"²")+COUNTIF($E156:H156,"µ")+COUNTIF($E156:H156,1)),
HYPERLINK("#Roadmap!C"&amp; MATCH($E156,Roadmap!$D:$D,0)+COUNTIF($E156:H156,"u")+COUNTIF($E156:H156,"t"),
     INDEX(Roadmap!$D:$K,MATCH($E156,Roadmap!$D:$D,0)+COUNTIF($E156:H156,"u")+COUNTIF($E156:H156,"t")+COUNTIF($E156:H156,"¶")+COUNTIF($E156:H156,"²")+COUNTIF($E156:H156,"µ")+COUNTIF($E156:H156,1),ColTypeEcheance)),
  IF(LEN(H156)=1,
  IF(LEN(INDEX(Roadmap!$D:$K,MATCH($E156,Roadmap!$D:$D,0)-1+COUNTIF($E156:H156,"u")+COUNTIF($E156:H156,"t")+COUNTIF($E156:H156,"¶")+COUNTIF($E156:H156,"²")+COUNTIF($E156:H156,"µ")+COUNTIF($E156:H156,1),ColDescriptionCourte))&gt;1,
HYPERLINK("#Roadmap!C"&amp; MATCH($E156,Roadmap!$D:$D,0)+COUNTIF($E156:H156,"u")+COUNTIF($E156:H156,"t")+COUNTIF($E156:H156,"¶")+COUNTIF($E156:H156,"²")+COUNTIF($E156:H156,"µ")+COUNTIF($E156:H156,1)-1,INDEX(Roadmap!$D:$K,MATCH($E156,Roadmap!$D:$D,0)-1+COUNTIF($E156:H156,"u")+COUNTIF($E156:H156,"t")+COUNTIF($E156:H156,"¶")+COUNTIF($E156:H156,"²")+COUNTIF($E156:H156,"µ")+COUNTIF($E156:H156,1),ColDescriptionCourte)),""),
  "")),"")</f>
        <v/>
      </c>
      <c r="J156" s="40" t="str">
        <f ca="1">IFERROR(IF(AND(
  INDEX(Roadmap!$D:$K,MATCH($E156,Roadmap!$D:$D,0)+COUNTIF($E156:I156,"u")+COUNTIF($E156:I156,"t")+COUNTIF($E156:I156,"¶")+COUNTIF($E156:I156,"²")+COUNTIF($E156:I156,"µ")+COUNTIF($E156:I156,1),ColLivraison)=J$6,
  VLOOKUP($E156,INDIRECT("tri!"&amp; CHAR(64+ C0Col) &amp;":"&amp; CHAR(65+C0Col)),2,FALSE)&gt;COUNTIF($E156:I156,"u")+COUNTIF($E156:I156,"t")+COUNTIF($E156:I156,"¶")+COUNTIF($E156:I156,"²")+COUNTIF($E156:I156,"µ")+COUNTIF($E156:I156,1)),
HYPERLINK("#Roadmap!C"&amp; MATCH($E156,Roadmap!$D:$D,0)+COUNTIF($E156:I156,"u")+COUNTIF($E156:I156,"t"),
     INDEX(Roadmap!$D:$K,MATCH($E156,Roadmap!$D:$D,0)+COUNTIF($E156:I156,"u")+COUNTIF($E156:I156,"t")+COUNTIF($E156:I156,"¶")+COUNTIF($E156:I156,"²")+COUNTIF($E156:I156,"µ")+COUNTIF($E156:I156,1),ColTypeEcheance)),
  IF(LEN(I156)=1,
  IF(LEN(INDEX(Roadmap!$D:$K,MATCH($E156,Roadmap!$D:$D,0)-1+COUNTIF($E156:I156,"u")+COUNTIF($E156:I156,"t")+COUNTIF($E156:I156,"¶")+COUNTIF($E156:I156,"²")+COUNTIF($E156:I156,"µ")+COUNTIF($E156:I156,1),ColDescriptionCourte))&gt;1,
HYPERLINK("#Roadmap!C"&amp; MATCH($E156,Roadmap!$D:$D,0)+COUNTIF($E156:I156,"u")+COUNTIF($E156:I156,"t")+COUNTIF($E156:I156,"¶")+COUNTIF($E156:I156,"²")+COUNTIF($E156:I156,"µ")+COUNTIF($E156:I156,1)-1,INDEX(Roadmap!$D:$K,MATCH($E156,Roadmap!$D:$D,0)-1+COUNTIF($E156:I156,"u")+COUNTIF($E156:I156,"t")+COUNTIF($E156:I156,"¶")+COUNTIF($E156:I156,"²")+COUNTIF($E156:I156,"µ")+COUNTIF($E156:I156,1),ColDescriptionCourte)),""),
  "")),"")</f>
        <v/>
      </c>
      <c r="K156" s="40" t="str">
        <f ca="1">IFERROR(IF(AND(
  INDEX(Roadmap!$D:$K,MATCH($E156,Roadmap!$D:$D,0)+COUNTIF($E156:J156,"u")+COUNTIF($E156:J156,"t")+COUNTIF($E156:J156,"¶")+COUNTIF($E156:J156,"²")+COUNTIF($E156:J156,"µ")+COUNTIF($E156:J156,1),ColLivraison)=K$6,
  VLOOKUP($E156,INDIRECT("tri!"&amp; CHAR(64+ C0Col) &amp;":"&amp; CHAR(65+C0Col)),2,FALSE)&gt;COUNTIF($E156:J156,"u")+COUNTIF($E156:J156,"t")+COUNTIF($E156:J156,"¶")+COUNTIF($E156:J156,"²")+COUNTIF($E156:J156,"µ")+COUNTIF($E156:J156,1)),
HYPERLINK("#Roadmap!C"&amp; MATCH($E156,Roadmap!$D:$D,0)+COUNTIF($E156:J156,"u")+COUNTIF($E156:J156,"t"),
     INDEX(Roadmap!$D:$K,MATCH($E156,Roadmap!$D:$D,0)+COUNTIF($E156:J156,"u")+COUNTIF($E156:J156,"t")+COUNTIF($E156:J156,"¶")+COUNTIF($E156:J156,"²")+COUNTIF($E156:J156,"µ")+COUNTIF($E156:J156,1),ColTypeEcheance)),
  IF(LEN(J156)=1,
  IF(LEN(INDEX(Roadmap!$D:$K,MATCH($E156,Roadmap!$D:$D,0)-1+COUNTIF($E156:J156,"u")+COUNTIF($E156:J156,"t")+COUNTIF($E156:J156,"¶")+COUNTIF($E156:J156,"²")+COUNTIF($E156:J156,"µ")+COUNTIF($E156:J156,1),ColDescriptionCourte))&gt;1,
HYPERLINK("#Roadmap!C"&amp; MATCH($E156,Roadmap!$D:$D,0)+COUNTIF($E156:J156,"u")+COUNTIF($E156:J156,"t")+COUNTIF($E156:J156,"¶")+COUNTIF($E156:J156,"²")+COUNTIF($E156:J156,"µ")+COUNTIF($E156:J156,1)-1,INDEX(Roadmap!$D:$K,MATCH($E156,Roadmap!$D:$D,0)-1+COUNTIF($E156:J156,"u")+COUNTIF($E156:J156,"t")+COUNTIF($E156:J156,"¶")+COUNTIF($E156:J156,"²")+COUNTIF($E156:J156,"µ")+COUNTIF($E156:J156,1),ColDescriptionCourte)),""),
  "")),"")</f>
        <v/>
      </c>
      <c r="L156" s="39" t="str">
        <f ca="1">IFERROR(IF(AND(
  INDEX(Roadmap!$D:$K,MATCH($E156,Roadmap!$D:$D,0)+COUNTIF($E156:K156,"u")+COUNTIF($E156:K156,"t")+COUNTIF($E156:K156,"¶")+COUNTIF($E156:K156,"²")+COUNTIF($E156:K156,"µ")+COUNTIF($E156:K156,1),ColLivraison)=L$6,
  VLOOKUP($E156,INDIRECT("tri!"&amp; CHAR(64+ C0Col) &amp;":"&amp; CHAR(65+C0Col)),2,FALSE)&gt;COUNTIF($E156:K156,"u")+COUNTIF($E156:K156,"t")+COUNTIF($E156:K156,"¶")+COUNTIF($E156:K156,"²")+COUNTIF($E156:K156,"µ")+COUNTIF($E156:K156,1)),
HYPERLINK("#Roadmap!C"&amp; MATCH($E156,Roadmap!$D:$D,0)+COUNTIF($E156:K156,"u")+COUNTIF($E156:K156,"t"),
     INDEX(Roadmap!$D:$K,MATCH($E156,Roadmap!$D:$D,0)+COUNTIF($E156:K156,"u")+COUNTIF($E156:K156,"t")+COUNTIF($E156:K156,"¶")+COUNTIF($E156:K156,"²")+COUNTIF($E156:K156,"µ")+COUNTIF($E156:K156,1),ColTypeEcheance)),
  IF(LEN(K156)=1,
  IF(LEN(INDEX(Roadmap!$D:$K,MATCH($E156,Roadmap!$D:$D,0)-1+COUNTIF($E156:K156,"u")+COUNTIF($E156:K156,"t")+COUNTIF($E156:K156,"¶")+COUNTIF($E156:K156,"²")+COUNTIF($E156:K156,"µ")+COUNTIF($E156:K156,1),ColDescriptionCourte))&gt;1,
HYPERLINK("#Roadmap!C"&amp; MATCH($E156,Roadmap!$D:$D,0)+COUNTIF($E156:K156,"u")+COUNTIF($E156:K156,"t")+COUNTIF($E156:K156,"¶")+COUNTIF($E156:K156,"²")+COUNTIF($E156:K156,"µ")+COUNTIF($E156:K156,1)-1,INDEX(Roadmap!$D:$K,MATCH($E156,Roadmap!$D:$D,0)-1+COUNTIF($E156:K156,"u")+COUNTIF($E156:K156,"t")+COUNTIF($E156:K156,"¶")+COUNTIF($E156:K156,"²")+COUNTIF($E156:K156,"µ")+COUNTIF($E156:K156,1),ColDescriptionCourte)),""),
  "")),"")</f>
        <v/>
      </c>
      <c r="M156" s="40" t="str">
        <f ca="1">IFERROR(IF(AND(
  INDEX(Roadmap!$D:$K,MATCH($E156,Roadmap!$D:$D,0)+COUNTIF($E156:L156,"u")+COUNTIF($E156:L156,"t")+COUNTIF($E156:L156,"¶")+COUNTIF($E156:L156,"²")+COUNTIF($E156:L156,"µ")+COUNTIF($E156:L156,1),ColLivraison)=M$6,
  VLOOKUP($E156,INDIRECT("tri!"&amp; CHAR(64+ C0Col) &amp;":"&amp; CHAR(65+C0Col)),2,FALSE)&gt;COUNTIF($E156:L156,"u")+COUNTIF($E156:L156,"t")+COUNTIF($E156:L156,"¶")+COUNTIF($E156:L156,"²")+COUNTIF($E156:L156,"µ")+COUNTIF($E156:L156,1)),
HYPERLINK("#Roadmap!C"&amp; MATCH($E156,Roadmap!$D:$D,0)+COUNTIF($E156:L156,"u")+COUNTIF($E156:L156,"t"),
     INDEX(Roadmap!$D:$K,MATCH($E156,Roadmap!$D:$D,0)+COUNTIF($E156:L156,"u")+COUNTIF($E156:L156,"t")+COUNTIF($E156:L156,"¶")+COUNTIF($E156:L156,"²")+COUNTIF($E156:L156,"µ")+COUNTIF($E156:L156,1),ColTypeEcheance)),
  IF(LEN(L156)=1,
  IF(LEN(INDEX(Roadmap!$D:$K,MATCH($E156,Roadmap!$D:$D,0)-1+COUNTIF($E156:L156,"u")+COUNTIF($E156:L156,"t")+COUNTIF($E156:L156,"¶")+COUNTIF($E156:L156,"²")+COUNTIF($E156:L156,"µ")+COUNTIF($E156:L156,1),ColDescriptionCourte))&gt;1,
HYPERLINK("#Roadmap!C"&amp; MATCH($E156,Roadmap!$D:$D,0)+COUNTIF($E156:L156,"u")+COUNTIF($E156:L156,"t")+COUNTIF($E156:L156,"¶")+COUNTIF($E156:L156,"²")+COUNTIF($E156:L156,"µ")+COUNTIF($E156:L156,1)-1,INDEX(Roadmap!$D:$K,MATCH($E156,Roadmap!$D:$D,0)-1+COUNTIF($E156:L156,"u")+COUNTIF($E156:L156,"t")+COUNTIF($E156:L156,"¶")+COUNTIF($E156:L156,"²")+COUNTIF($E156:L156,"µ")+COUNTIF($E156:L156,1),ColDescriptionCourte)),""),
  "")),"")</f>
        <v/>
      </c>
      <c r="N156" s="40" t="str">
        <f ca="1">IFERROR(IF(AND(
  INDEX(Roadmap!$D:$K,MATCH($E156,Roadmap!$D:$D,0)+COUNTIF($E156:M156,"u")+COUNTIF($E156:M156,"t")+COUNTIF($E156:M156,"¶")+COUNTIF($E156:M156,"²")+COUNTIF($E156:M156,"µ")+COUNTIF($E156:M156,1),ColLivraison)=N$6,
  VLOOKUP($E156,INDIRECT("tri!"&amp; CHAR(64+ C0Col) &amp;":"&amp; CHAR(65+C0Col)),2,FALSE)&gt;COUNTIF($E156:M156,"u")+COUNTIF($E156:M156,"t")+COUNTIF($E156:M156,"¶")+COUNTIF($E156:M156,"²")+COUNTIF($E156:M156,"µ")+COUNTIF($E156:M156,1)),
HYPERLINK("#Roadmap!C"&amp; MATCH($E156,Roadmap!$D:$D,0)+COUNTIF($E156:M156,"u")+COUNTIF($E156:M156,"t"),
     INDEX(Roadmap!$D:$K,MATCH($E156,Roadmap!$D:$D,0)+COUNTIF($E156:M156,"u")+COUNTIF($E156:M156,"t")+COUNTIF($E156:M156,"¶")+COUNTIF($E156:M156,"²")+COUNTIF($E156:M156,"µ")+COUNTIF($E156:M156,1),ColTypeEcheance)),
  IF(LEN(M156)=1,
  IF(LEN(INDEX(Roadmap!$D:$K,MATCH($E156,Roadmap!$D:$D,0)-1+COUNTIF($E156:M156,"u")+COUNTIF($E156:M156,"t")+COUNTIF($E156:M156,"¶")+COUNTIF($E156:M156,"²")+COUNTIF($E156:M156,"µ")+COUNTIF($E156:M156,1),ColDescriptionCourte))&gt;1,
HYPERLINK("#Roadmap!C"&amp; MATCH($E156,Roadmap!$D:$D,0)+COUNTIF($E156:M156,"u")+COUNTIF($E156:M156,"t")+COUNTIF($E156:M156,"¶")+COUNTIF($E156:M156,"²")+COUNTIF($E156:M156,"µ")+COUNTIF($E156:M156,1)-1,INDEX(Roadmap!$D:$K,MATCH($E156,Roadmap!$D:$D,0)-1+COUNTIF($E156:M156,"u")+COUNTIF($E156:M156,"t")+COUNTIF($E156:M156,"¶")+COUNTIF($E156:M156,"²")+COUNTIF($E156:M156,"µ")+COUNTIF($E156:M156,1),ColDescriptionCourte)),""),
  "")),"")</f>
        <v/>
      </c>
      <c r="O156" s="40" t="str">
        <f ca="1">IFERROR(IF(AND(
  INDEX(Roadmap!$D:$K,MATCH($E156,Roadmap!$D:$D,0)+COUNTIF($E156:N156,"u")+COUNTIF($E156:N156,"t")+COUNTIF($E156:N156,"¶")+COUNTIF($E156:N156,"²")+COUNTIF($E156:N156,"µ")+COUNTIF($E156:N156,1),ColLivraison)=O$6,
  VLOOKUP($E156,INDIRECT("tri!"&amp; CHAR(64+ C0Col) &amp;":"&amp; CHAR(65+C0Col)),2,FALSE)&gt;COUNTIF($E156:N156,"u")+COUNTIF($E156:N156,"t")+COUNTIF($E156:N156,"¶")+COUNTIF($E156:N156,"²")+COUNTIF($E156:N156,"µ")+COUNTIF($E156:N156,1)),
HYPERLINK("#Roadmap!C"&amp; MATCH($E156,Roadmap!$D:$D,0)+COUNTIF($E156:N156,"u")+COUNTIF($E156:N156,"t"),
     INDEX(Roadmap!$D:$K,MATCH($E156,Roadmap!$D:$D,0)+COUNTIF($E156:N156,"u")+COUNTIF($E156:N156,"t")+COUNTIF($E156:N156,"¶")+COUNTIF($E156:N156,"²")+COUNTIF($E156:N156,"µ")+COUNTIF($E156:N156,1),ColTypeEcheance)),
  IF(LEN(N156)=1,
  IF(LEN(INDEX(Roadmap!$D:$K,MATCH($E156,Roadmap!$D:$D,0)-1+COUNTIF($E156:N156,"u")+COUNTIF($E156:N156,"t")+COUNTIF($E156:N156,"¶")+COUNTIF($E156:N156,"²")+COUNTIF($E156:N156,"µ")+COUNTIF($E156:N156,1),ColDescriptionCourte))&gt;1,
HYPERLINK("#Roadmap!C"&amp; MATCH($E156,Roadmap!$D:$D,0)+COUNTIF($E156:N156,"u")+COUNTIF($E156:N156,"t")+COUNTIF($E156:N156,"¶")+COUNTIF($E156:N156,"²")+COUNTIF($E156:N156,"µ")+COUNTIF($E156:N156,1)-1,INDEX(Roadmap!$D:$K,MATCH($E156,Roadmap!$D:$D,0)-1+COUNTIF($E156:N156,"u")+COUNTIF($E156:N156,"t")+COUNTIF($E156:N156,"¶")+COUNTIF($E156:N156,"²")+COUNTIF($E156:N156,"µ")+COUNTIF($E156:N156,1),ColDescriptionCourte)),""),
  "")),"")</f>
        <v/>
      </c>
      <c r="P156" s="40" t="str">
        <f ca="1">IFERROR(IF(AND(
  INDEX(Roadmap!$D:$K,MATCH($E156,Roadmap!$D:$D,0)+COUNTIF($E156:O156,"u")+COUNTIF($E156:O156,"t")+COUNTIF($E156:O156,"¶")+COUNTIF($E156:O156,"²")+COUNTIF($E156:O156,"µ")+COUNTIF($E156:O156,1),ColLivraison)=P$6,
  VLOOKUP($E156,INDIRECT("tri!"&amp; CHAR(64+ C0Col) &amp;":"&amp; CHAR(65+C0Col)),2,FALSE)&gt;COUNTIF($E156:O156,"u")+COUNTIF($E156:O156,"t")+COUNTIF($E156:O156,"¶")+COUNTIF($E156:O156,"²")+COUNTIF($E156:O156,"µ")+COUNTIF($E156:O156,1)),
HYPERLINK("#Roadmap!C"&amp; MATCH($E156,Roadmap!$D:$D,0)+COUNTIF($E156:O156,"u")+COUNTIF($E156:O156,"t"),
     INDEX(Roadmap!$D:$K,MATCH($E156,Roadmap!$D:$D,0)+COUNTIF($E156:O156,"u")+COUNTIF($E156:O156,"t")+COUNTIF($E156:O156,"¶")+COUNTIF($E156:O156,"²")+COUNTIF($E156:O156,"µ")+COUNTIF($E156:O156,1),ColTypeEcheance)),
  IF(LEN(O156)=1,
  IF(LEN(INDEX(Roadmap!$D:$K,MATCH($E156,Roadmap!$D:$D,0)-1+COUNTIF($E156:O156,"u")+COUNTIF($E156:O156,"t")+COUNTIF($E156:O156,"¶")+COUNTIF($E156:O156,"²")+COUNTIF($E156:O156,"µ")+COUNTIF($E156:O156,1),ColDescriptionCourte))&gt;1,
HYPERLINK("#Roadmap!C"&amp; MATCH($E156,Roadmap!$D:$D,0)+COUNTIF($E156:O156,"u")+COUNTIF($E156:O156,"t")+COUNTIF($E156:O156,"¶")+COUNTIF($E156:O156,"²")+COUNTIF($E156:O156,"µ")+COUNTIF($E156:O156,1)-1,INDEX(Roadmap!$D:$K,MATCH($E156,Roadmap!$D:$D,0)-1+COUNTIF($E156:O156,"u")+COUNTIF($E156:O156,"t")+COUNTIF($E156:O156,"¶")+COUNTIF($E156:O156,"²")+COUNTIF($E156:O156,"µ")+COUNTIF($E156:O156,1),ColDescriptionCourte)),""),
  "")),"")</f>
        <v/>
      </c>
      <c r="Q156" s="40" t="str">
        <f ca="1">IFERROR(IF(AND(
  INDEX(Roadmap!$D:$K,MATCH($E156,Roadmap!$D:$D,0)+COUNTIF($E156:P156,"u")+COUNTIF($E156:P156,"t")+COUNTIF($E156:P156,"¶")+COUNTIF($E156:P156,"²")+COUNTIF($E156:P156,"µ")+COUNTIF($E156:P156,1),ColLivraison)=Q$6,
  VLOOKUP($E156,INDIRECT("tri!"&amp; CHAR(64+ C0Col) &amp;":"&amp; CHAR(65+C0Col)),2,FALSE)&gt;COUNTIF($E156:P156,"u")+COUNTIF($E156:P156,"t")+COUNTIF($E156:P156,"¶")+COUNTIF($E156:P156,"²")+COUNTIF($E156:P156,"µ")+COUNTIF($E156:P156,1)),
HYPERLINK("#Roadmap!C"&amp; MATCH($E156,Roadmap!$D:$D,0)+COUNTIF($E156:P156,"u")+COUNTIF($E156:P156,"t"),
     INDEX(Roadmap!$D:$K,MATCH($E156,Roadmap!$D:$D,0)+COUNTIF($E156:P156,"u")+COUNTIF($E156:P156,"t")+COUNTIF($E156:P156,"¶")+COUNTIF($E156:P156,"²")+COUNTIF($E156:P156,"µ")+COUNTIF($E156:P156,1),ColTypeEcheance)),
  IF(LEN(P156)=1,
  IF(LEN(INDEX(Roadmap!$D:$K,MATCH($E156,Roadmap!$D:$D,0)-1+COUNTIF($E156:P156,"u")+COUNTIF($E156:P156,"t")+COUNTIF($E156:P156,"¶")+COUNTIF($E156:P156,"²")+COUNTIF($E156:P156,"µ")+COUNTIF($E156:P156,1),ColDescriptionCourte))&gt;1,
HYPERLINK("#Roadmap!C"&amp; MATCH($E156,Roadmap!$D:$D,0)+COUNTIF($E156:P156,"u")+COUNTIF($E156:P156,"t")+COUNTIF($E156:P156,"¶")+COUNTIF($E156:P156,"²")+COUNTIF($E156:P156,"µ")+COUNTIF($E156:P156,1)-1,INDEX(Roadmap!$D:$K,MATCH($E156,Roadmap!$D:$D,0)-1+COUNTIF($E156:P156,"u")+COUNTIF($E156:P156,"t")+COUNTIF($E156:P156,"¶")+COUNTIF($E156:P156,"²")+COUNTIF($E156:P156,"µ")+COUNTIF($E156:P156,1),ColDescriptionCourte)),""),
  "")),"")</f>
        <v/>
      </c>
      <c r="R156" s="40" t="str">
        <f ca="1">IFERROR(IF(AND(
  INDEX(Roadmap!$D:$K,MATCH($E156,Roadmap!$D:$D,0)+COUNTIF($E156:Q156,"u")+COUNTIF($E156:Q156,"t")+COUNTIF($E156:Q156,"¶")+COUNTIF($E156:Q156,"²")+COUNTIF($E156:Q156,"µ")+COUNTIF($E156:Q156,1),ColLivraison)=R$6,
  VLOOKUP($E156,INDIRECT("tri!"&amp; CHAR(64+ C0Col) &amp;":"&amp; CHAR(65+C0Col)),2,FALSE)&gt;COUNTIF($E156:Q156,"u")+COUNTIF($E156:Q156,"t")+COUNTIF($E156:Q156,"¶")+COUNTIF($E156:Q156,"²")+COUNTIF($E156:Q156,"µ")+COUNTIF($E156:Q156,1)),
HYPERLINK("#Roadmap!C"&amp; MATCH($E156,Roadmap!$D:$D,0)+COUNTIF($E156:Q156,"u")+COUNTIF($E156:Q156,"t"),
     INDEX(Roadmap!$D:$K,MATCH($E156,Roadmap!$D:$D,0)+COUNTIF($E156:Q156,"u")+COUNTIF($E156:Q156,"t")+COUNTIF($E156:Q156,"¶")+COUNTIF($E156:Q156,"²")+COUNTIF($E156:Q156,"µ")+COUNTIF($E156:Q156,1),ColTypeEcheance)),
  IF(LEN(Q156)=1,
  IF(LEN(INDEX(Roadmap!$D:$K,MATCH($E156,Roadmap!$D:$D,0)-1+COUNTIF($E156:Q156,"u")+COUNTIF($E156:Q156,"t")+COUNTIF($E156:Q156,"¶")+COUNTIF($E156:Q156,"²")+COUNTIF($E156:Q156,"µ")+COUNTIF($E156:Q156,1),ColDescriptionCourte))&gt;1,
HYPERLINK("#Roadmap!C"&amp; MATCH($E156,Roadmap!$D:$D,0)+COUNTIF($E156:Q156,"u")+COUNTIF($E156:Q156,"t")+COUNTIF($E156:Q156,"¶")+COUNTIF($E156:Q156,"²")+COUNTIF($E156:Q156,"µ")+COUNTIF($E156:Q156,1)-1,INDEX(Roadmap!$D:$K,MATCH($E156,Roadmap!$D:$D,0)-1+COUNTIF($E156:Q156,"u")+COUNTIF($E156:Q156,"t")+COUNTIF($E156:Q156,"¶")+COUNTIF($E156:Q156,"²")+COUNTIF($E156:Q156,"µ")+COUNTIF($E156:Q156,1),ColDescriptionCourte)),""),
  "")),"")</f>
        <v/>
      </c>
      <c r="S156" s="40" t="str">
        <f ca="1">IFERROR(IF(AND(
  INDEX(Roadmap!$D:$K,MATCH($E156,Roadmap!$D:$D,0)+COUNTIF($E156:R156,"u")+COUNTIF($E156:R156,"t")+COUNTIF($E156:R156,"¶")+COUNTIF($E156:R156,"²")+COUNTIF($E156:R156,"µ")+COUNTIF($E156:R156,1),ColLivraison)=S$6,
  VLOOKUP($E156,INDIRECT("tri!"&amp; CHAR(64+ C0Col) &amp;":"&amp; CHAR(65+C0Col)),2,FALSE)&gt;COUNTIF($E156:R156,"u")+COUNTIF($E156:R156,"t")+COUNTIF($E156:R156,"¶")+COUNTIF($E156:R156,"²")+COUNTIF($E156:R156,"µ")+COUNTIF($E156:R156,1)),
HYPERLINK("#Roadmap!C"&amp; MATCH($E156,Roadmap!$D:$D,0)+COUNTIF($E156:R156,"u")+COUNTIF($E156:R156,"t"),
     INDEX(Roadmap!$D:$K,MATCH($E156,Roadmap!$D:$D,0)+COUNTIF($E156:R156,"u")+COUNTIF($E156:R156,"t")+COUNTIF($E156:R156,"¶")+COUNTIF($E156:R156,"²")+COUNTIF($E156:R156,"µ")+COUNTIF($E156:R156,1),ColTypeEcheance)),
  IF(LEN(R156)=1,
  IF(LEN(INDEX(Roadmap!$D:$K,MATCH($E156,Roadmap!$D:$D,0)-1+COUNTIF($E156:R156,"u")+COUNTIF($E156:R156,"t")+COUNTIF($E156:R156,"¶")+COUNTIF($E156:R156,"²")+COUNTIF($E156:R156,"µ")+COUNTIF($E156:R156,1),ColDescriptionCourte))&gt;1,
HYPERLINK("#Roadmap!C"&amp; MATCH($E156,Roadmap!$D:$D,0)+COUNTIF($E156:R156,"u")+COUNTIF($E156:R156,"t")+COUNTIF($E156:R156,"¶")+COUNTIF($E156:R156,"²")+COUNTIF($E156:R156,"µ")+COUNTIF($E156:R156,1)-1,INDEX(Roadmap!$D:$K,MATCH($E156,Roadmap!$D:$D,0)-1+COUNTIF($E156:R156,"u")+COUNTIF($E156:R156,"t")+COUNTIF($E156:R156,"¶")+COUNTIF($E156:R156,"²")+COUNTIF($E156:R156,"µ")+COUNTIF($E156:R156,1),ColDescriptionCourte)),""),
  "")),"")</f>
        <v/>
      </c>
      <c r="T156" s="40" t="str">
        <f ca="1">IFERROR(IF(AND(
  INDEX(Roadmap!$D:$K,MATCH($E156,Roadmap!$D:$D,0)+COUNTIF($E156:S156,"u")+COUNTIF($E156:S156,"t")+COUNTIF($E156:S156,"¶")+COUNTIF($E156:S156,"²")+COUNTIF($E156:S156,"µ")+COUNTIF($E156:S156,1),ColLivraison)=T$6,
  VLOOKUP($E156,INDIRECT("tri!"&amp; CHAR(64+ C0Col) &amp;":"&amp; CHAR(65+C0Col)),2,FALSE)&gt;COUNTIF($E156:S156,"u")+COUNTIF($E156:S156,"t")+COUNTIF($E156:S156,"¶")+COUNTIF($E156:S156,"²")+COUNTIF($E156:S156,"µ")+COUNTIF($E156:S156,1)),
HYPERLINK("#Roadmap!C"&amp; MATCH($E156,Roadmap!$D:$D,0)+COUNTIF($E156:S156,"u")+COUNTIF($E156:S156,"t"),
     INDEX(Roadmap!$D:$K,MATCH($E156,Roadmap!$D:$D,0)+COUNTIF($E156:S156,"u")+COUNTIF($E156:S156,"t")+COUNTIF($E156:S156,"¶")+COUNTIF($E156:S156,"²")+COUNTIF($E156:S156,"µ")+COUNTIF($E156:S156,1),ColTypeEcheance)),
  IF(LEN(S156)=1,
  IF(LEN(INDEX(Roadmap!$D:$K,MATCH($E156,Roadmap!$D:$D,0)-1+COUNTIF($E156:S156,"u")+COUNTIF($E156:S156,"t")+COUNTIF($E156:S156,"¶")+COUNTIF($E156:S156,"²")+COUNTIF($E156:S156,"µ")+COUNTIF($E156:S156,1),ColDescriptionCourte))&gt;1,
HYPERLINK("#Roadmap!C"&amp; MATCH($E156,Roadmap!$D:$D,0)+COUNTIF($E156:S156,"u")+COUNTIF($E156:S156,"t")+COUNTIF($E156:S156,"¶")+COUNTIF($E156:S156,"²")+COUNTIF($E156:S156,"µ")+COUNTIF($E156:S156,1)-1,INDEX(Roadmap!$D:$K,MATCH($E156,Roadmap!$D:$D,0)-1+COUNTIF($E156:S156,"u")+COUNTIF($E156:S156,"t")+COUNTIF($E156:S156,"¶")+COUNTIF($E156:S156,"²")+COUNTIF($E156:S156,"µ")+COUNTIF($E156:S156,1),ColDescriptionCourte)),""),
  "")),"")</f>
        <v/>
      </c>
      <c r="U156" s="40" t="str">
        <f ca="1">IFERROR(IF(AND(
  INDEX(Roadmap!$D:$K,MATCH($E156,Roadmap!$D:$D,0)+COUNTIF($E156:T156,"u")+COUNTIF($E156:T156,"t")+COUNTIF($E156:T156,"¶")+COUNTIF($E156:T156,"²")+COUNTIF($E156:T156,"µ")+COUNTIF($E156:T156,1),ColLivraison)=U$6,
  VLOOKUP($E156,INDIRECT("tri!"&amp; CHAR(64+ C0Col) &amp;":"&amp; CHAR(65+C0Col)),2,FALSE)&gt;COUNTIF($E156:T156,"u")+COUNTIF($E156:T156,"t")+COUNTIF($E156:T156,"¶")+COUNTIF($E156:T156,"²")+COUNTIF($E156:T156,"µ")+COUNTIF($E156:T156,1)),
HYPERLINK("#Roadmap!C"&amp; MATCH($E156,Roadmap!$D:$D,0)+COUNTIF($E156:T156,"u")+COUNTIF($E156:T156,"t"),
     INDEX(Roadmap!$D:$K,MATCH($E156,Roadmap!$D:$D,0)+COUNTIF($E156:T156,"u")+COUNTIF($E156:T156,"t")+COUNTIF($E156:T156,"¶")+COUNTIF($E156:T156,"²")+COUNTIF($E156:T156,"µ")+COUNTIF($E156:T156,1),ColTypeEcheance)),
  IF(LEN(T156)=1,
  IF(LEN(INDEX(Roadmap!$D:$K,MATCH($E156,Roadmap!$D:$D,0)-1+COUNTIF($E156:T156,"u")+COUNTIF($E156:T156,"t")+COUNTIF($E156:T156,"¶")+COUNTIF($E156:T156,"²")+COUNTIF($E156:T156,"µ")+COUNTIF($E156:T156,1),ColDescriptionCourte))&gt;1,
HYPERLINK("#Roadmap!C"&amp; MATCH($E156,Roadmap!$D:$D,0)+COUNTIF($E156:T156,"u")+COUNTIF($E156:T156,"t")+COUNTIF($E156:T156,"¶")+COUNTIF($E156:T156,"²")+COUNTIF($E156:T156,"µ")+COUNTIF($E156:T156,1)-1,INDEX(Roadmap!$D:$K,MATCH($E156,Roadmap!$D:$D,0)-1+COUNTIF($E156:T156,"u")+COUNTIF($E156:T156,"t")+COUNTIF($E156:T156,"¶")+COUNTIF($E156:T156,"²")+COUNTIF($E156:T156,"µ")+COUNTIF($E156:T156,1),ColDescriptionCourte)),""),
  "")),"")</f>
        <v/>
      </c>
      <c r="V156" s="40" t="str">
        <f ca="1">IFERROR(IF(AND(
  INDEX(Roadmap!$D:$K,MATCH($E156,Roadmap!$D:$D,0)+COUNTIF($E156:U156,"u")+COUNTIF($E156:U156,"t")+COUNTIF($E156:U156,"¶")+COUNTIF($E156:U156,"²")+COUNTIF($E156:U156,"µ")+COUNTIF($E156:U156,1),ColLivraison)=V$6,
  VLOOKUP($E156,INDIRECT("tri!"&amp; CHAR(64+ C0Col) &amp;":"&amp; CHAR(65+C0Col)),2,FALSE)&gt;COUNTIF($E156:U156,"u")+COUNTIF($E156:U156,"t")+COUNTIF($E156:U156,"¶")+COUNTIF($E156:U156,"²")+COUNTIF($E156:U156,"µ")+COUNTIF($E156:U156,1)),
HYPERLINK("#Roadmap!C"&amp; MATCH($E156,Roadmap!$D:$D,0)+COUNTIF($E156:U156,"u")+COUNTIF($E156:U156,"t"),
     INDEX(Roadmap!$D:$K,MATCH($E156,Roadmap!$D:$D,0)+COUNTIF($E156:U156,"u")+COUNTIF($E156:U156,"t")+COUNTIF($E156:U156,"¶")+COUNTIF($E156:U156,"²")+COUNTIF($E156:U156,"µ")+COUNTIF($E156:U156,1),ColTypeEcheance)),
  IF(LEN(U156)=1,
  IF(LEN(INDEX(Roadmap!$D:$K,MATCH($E156,Roadmap!$D:$D,0)-1+COUNTIF($E156:U156,"u")+COUNTIF($E156:U156,"t")+COUNTIF($E156:U156,"¶")+COUNTIF($E156:U156,"²")+COUNTIF($E156:U156,"µ")+COUNTIF($E156:U156,1),ColDescriptionCourte))&gt;1,
HYPERLINK("#Roadmap!C"&amp; MATCH($E156,Roadmap!$D:$D,0)+COUNTIF($E156:U156,"u")+COUNTIF($E156:U156,"t")+COUNTIF($E156:U156,"¶")+COUNTIF($E156:U156,"²")+COUNTIF($E156:U156,"µ")+COUNTIF($E156:U156,1)-1,INDEX(Roadmap!$D:$K,MATCH($E156,Roadmap!$D:$D,0)-1+COUNTIF($E156:U156,"u")+COUNTIF($E156:U156,"t")+COUNTIF($E156:U156,"¶")+COUNTIF($E156:U156,"²")+COUNTIF($E156:U156,"µ")+COUNTIF($E156:U156,1),ColDescriptionCourte)),""),
  "")),"")</f>
        <v/>
      </c>
      <c r="W156" s="40" t="str">
        <f ca="1">IFERROR(IF(AND(
  INDEX(Roadmap!$D:$K,MATCH($E156,Roadmap!$D:$D,0)+COUNTIF($E156:V156,"u")+COUNTIF($E156:V156,"t")+COUNTIF($E156:V156,"¶")+COUNTIF($E156:V156,"²")+COUNTIF($E156:V156,"µ")+COUNTIF($E156:V156,1),ColLivraison)=W$6,
  VLOOKUP($E156,INDIRECT("tri!"&amp; CHAR(64+ C0Col) &amp;":"&amp; CHAR(65+C0Col)),2,FALSE)&gt;COUNTIF($E156:V156,"u")+COUNTIF($E156:V156,"t")+COUNTIF($E156:V156,"¶")+COUNTIF($E156:V156,"²")+COUNTIF($E156:V156,"µ")+COUNTIF($E156:V156,1)),
HYPERLINK("#Roadmap!C"&amp; MATCH($E156,Roadmap!$D:$D,0)+COUNTIF($E156:V156,"u")+COUNTIF($E156:V156,"t"),
     INDEX(Roadmap!$D:$K,MATCH($E156,Roadmap!$D:$D,0)+COUNTIF($E156:V156,"u")+COUNTIF($E156:V156,"t")+COUNTIF($E156:V156,"¶")+COUNTIF($E156:V156,"²")+COUNTIF($E156:V156,"µ")+COUNTIF($E156:V156,1),ColTypeEcheance)),
  IF(LEN(V156)=1,
  IF(LEN(INDEX(Roadmap!$D:$K,MATCH($E156,Roadmap!$D:$D,0)-1+COUNTIF($E156:V156,"u")+COUNTIF($E156:V156,"t")+COUNTIF($E156:V156,"¶")+COUNTIF($E156:V156,"²")+COUNTIF($E156:V156,"µ")+COUNTIF($E156:V156,1),ColDescriptionCourte))&gt;1,
HYPERLINK("#Roadmap!C"&amp; MATCH($E156,Roadmap!$D:$D,0)+COUNTIF($E156:V156,"u")+COUNTIF($E156:V156,"t")+COUNTIF($E156:V156,"¶")+COUNTIF($E156:V156,"²")+COUNTIF($E156:V156,"µ")+COUNTIF($E156:V156,1)-1,INDEX(Roadmap!$D:$K,MATCH($E156,Roadmap!$D:$D,0)-1+COUNTIF($E156:V156,"u")+COUNTIF($E156:V156,"t")+COUNTIF($E156:V156,"¶")+COUNTIF($E156:V156,"²")+COUNTIF($E156:V156,"µ")+COUNTIF($E156:V156,1),ColDescriptionCourte)),""),
  "")),"")</f>
        <v/>
      </c>
      <c r="X156" s="40" t="str">
        <f ca="1">IFERROR(IF(AND(
  INDEX(Roadmap!$D:$K,MATCH($E156,Roadmap!$D:$D,0)+COUNTIF($E156:W156,"u")+COUNTIF($E156:W156,"t")+COUNTIF($E156:W156,"¶")+COUNTIF($E156:W156,"²")+COUNTIF($E156:W156,"µ")+COUNTIF($E156:W156,1),ColLivraison)=X$6,
  VLOOKUP($E156,INDIRECT("tri!"&amp; CHAR(64+ C0Col) &amp;":"&amp; CHAR(65+C0Col)),2,FALSE)&gt;COUNTIF($E156:W156,"u")+COUNTIF($E156:W156,"t")+COUNTIF($E156:W156,"¶")+COUNTIF($E156:W156,"²")+COUNTIF($E156:W156,"µ")+COUNTIF($E156:W156,1)),
HYPERLINK("#Roadmap!C"&amp; MATCH($E156,Roadmap!$D:$D,0)+COUNTIF($E156:W156,"u")+COUNTIF($E156:W156,"t"),
     INDEX(Roadmap!$D:$K,MATCH($E156,Roadmap!$D:$D,0)+COUNTIF($E156:W156,"u")+COUNTIF($E156:W156,"t")+COUNTIF($E156:W156,"¶")+COUNTIF($E156:W156,"²")+COUNTIF($E156:W156,"µ")+COUNTIF($E156:W156,1),ColTypeEcheance)),
  IF(LEN(W156)=1,
  IF(LEN(INDEX(Roadmap!$D:$K,MATCH($E156,Roadmap!$D:$D,0)-1+COUNTIF($E156:W156,"u")+COUNTIF($E156:W156,"t")+COUNTIF($E156:W156,"¶")+COUNTIF($E156:W156,"²")+COUNTIF($E156:W156,"µ")+COUNTIF($E156:W156,1),ColDescriptionCourte))&gt;1,
HYPERLINK("#Roadmap!C"&amp; MATCH($E156,Roadmap!$D:$D,0)+COUNTIF($E156:W156,"u")+COUNTIF($E156:W156,"t")+COUNTIF($E156:W156,"¶")+COUNTIF($E156:W156,"²")+COUNTIF($E156:W156,"µ")+COUNTIF($E156:W156,1)-1,INDEX(Roadmap!$D:$K,MATCH($E156,Roadmap!$D:$D,0)-1+COUNTIF($E156:W156,"u")+COUNTIF($E156:W156,"t")+COUNTIF($E156:W156,"¶")+COUNTIF($E156:W156,"²")+COUNTIF($E156:W156,"µ")+COUNTIF($E156:W156,1),ColDescriptionCourte)),""),
  "")),"")</f>
        <v/>
      </c>
      <c r="Y156" s="40" t="str">
        <f ca="1">IFERROR(IF(AND(
  INDEX(Roadmap!$D:$K,MATCH($E156,Roadmap!$D:$D,0)+COUNTIF($E156:X156,"u")+COUNTIF($E156:X156,"t")+COUNTIF($E156:X156,"¶")+COUNTIF($E156:X156,"²")+COUNTIF($E156:X156,"µ")+COUNTIF($E156:X156,1),ColLivraison)=Y$6,
  VLOOKUP($E156,INDIRECT("tri!"&amp; CHAR(64+ C0Col) &amp;":"&amp; CHAR(65+C0Col)),2,FALSE)&gt;COUNTIF($E156:X156,"u")+COUNTIF($E156:X156,"t")+COUNTIF($E156:X156,"¶")+COUNTIF($E156:X156,"²")+COUNTIF($E156:X156,"µ")+COUNTIF($E156:X156,1)),
HYPERLINK("#Roadmap!C"&amp; MATCH($E156,Roadmap!$D:$D,0)+COUNTIF($E156:X156,"u")+COUNTIF($E156:X156,"t"),
     INDEX(Roadmap!$D:$K,MATCH($E156,Roadmap!$D:$D,0)+COUNTIF($E156:X156,"u")+COUNTIF($E156:X156,"t")+COUNTIF($E156:X156,"¶")+COUNTIF($E156:X156,"²")+COUNTIF($E156:X156,"µ")+COUNTIF($E156:X156,1),ColTypeEcheance)),
  IF(LEN(X156)=1,
  IF(LEN(INDEX(Roadmap!$D:$K,MATCH($E156,Roadmap!$D:$D,0)-1+COUNTIF($E156:X156,"u")+COUNTIF($E156:X156,"t")+COUNTIF($E156:X156,"¶")+COUNTIF($E156:X156,"²")+COUNTIF($E156:X156,"µ")+COUNTIF($E156:X156,1),ColDescriptionCourte))&gt;1,
HYPERLINK("#Roadmap!C"&amp; MATCH($E156,Roadmap!$D:$D,0)+COUNTIF($E156:X156,"u")+COUNTIF($E156:X156,"t")+COUNTIF($E156:X156,"¶")+COUNTIF($E156:X156,"²")+COUNTIF($E156:X156,"µ")+COUNTIF($E156:X156,1)-1,INDEX(Roadmap!$D:$K,MATCH($E156,Roadmap!$D:$D,0)-1+COUNTIF($E156:X156,"u")+COUNTIF($E156:X156,"t")+COUNTIF($E156:X156,"¶")+COUNTIF($E156:X156,"²")+COUNTIF($E156:X156,"µ")+COUNTIF($E156:X156,1),ColDescriptionCourte)),""),
  "")),"")</f>
        <v/>
      </c>
      <c r="Z156" s="40" t="str">
        <f ca="1">IFERROR(IF(AND(
  INDEX(Roadmap!$D:$K,MATCH($E156,Roadmap!$D:$D,0)+COUNTIF($E156:Y156,"u")+COUNTIF($E156:Y156,"t")+COUNTIF($E156:Y156,"¶")+COUNTIF($E156:Y156,"²")+COUNTIF($E156:Y156,"µ")+COUNTIF($E156:Y156,1),ColLivraison)=Z$6,
  VLOOKUP($E156,INDIRECT("tri!"&amp; CHAR(64+ C0Col) &amp;":"&amp; CHAR(65+C0Col)),2,FALSE)&gt;COUNTIF($E156:Y156,"u")+COUNTIF($E156:Y156,"t")+COUNTIF($E156:Y156,"¶")+COUNTIF($E156:Y156,"²")+COUNTIF($E156:Y156,"µ")+COUNTIF($E156:Y156,1)),
HYPERLINK("#Roadmap!C"&amp; MATCH($E156,Roadmap!$D:$D,0)+COUNTIF($E156:Y156,"u")+COUNTIF($E156:Y156,"t"),
     INDEX(Roadmap!$D:$K,MATCH($E156,Roadmap!$D:$D,0)+COUNTIF($E156:Y156,"u")+COUNTIF($E156:Y156,"t")+COUNTIF($E156:Y156,"¶")+COUNTIF($E156:Y156,"²")+COUNTIF($E156:Y156,"µ")+COUNTIF($E156:Y156,1),ColTypeEcheance)),
  IF(LEN(Y156)=1,
  IF(LEN(INDEX(Roadmap!$D:$K,MATCH($E156,Roadmap!$D:$D,0)-1+COUNTIF($E156:Y156,"u")+COUNTIF($E156:Y156,"t")+COUNTIF($E156:Y156,"¶")+COUNTIF($E156:Y156,"²")+COUNTIF($E156:Y156,"µ")+COUNTIF($E156:Y156,1),ColDescriptionCourte))&gt;1,
HYPERLINK("#Roadmap!C"&amp; MATCH($E156,Roadmap!$D:$D,0)+COUNTIF($E156:Y156,"u")+COUNTIF($E156:Y156,"t")+COUNTIF($E156:Y156,"¶")+COUNTIF($E156:Y156,"²")+COUNTIF($E156:Y156,"µ")+COUNTIF($E156:Y156,1)-1,INDEX(Roadmap!$D:$K,MATCH($E156,Roadmap!$D:$D,0)-1+COUNTIF($E156:Y156,"u")+COUNTIF($E156:Y156,"t")+COUNTIF($E156:Y156,"¶")+COUNTIF($E156:Y156,"²")+COUNTIF($E156:Y156,"µ")+COUNTIF($E156:Y156,1),ColDescriptionCourte)),""),
  "")),"")</f>
        <v/>
      </c>
      <c r="AA156" s="40" t="str">
        <f ca="1">IFERROR(IF(AND(
  INDEX(Roadmap!$D:$K,MATCH($E156,Roadmap!$D:$D,0)+COUNTIF($E156:Z156,"u")+COUNTIF($E156:Z156,"t")+COUNTIF($E156:Z156,"¶")+COUNTIF($E156:Z156,"²")+COUNTIF($E156:Z156,"µ")+COUNTIF($E156:Z156,1),ColLivraison)=AA$6,
  VLOOKUP($E156,INDIRECT("tri!"&amp; CHAR(64+ C0Col) &amp;":"&amp; CHAR(65+C0Col)),2,FALSE)&gt;COUNTIF($E156:Z156,"u")+COUNTIF($E156:Z156,"t")+COUNTIF($E156:Z156,"¶")+COUNTIF($E156:Z156,"²")+COUNTIF($E156:Z156,"µ")+COUNTIF($E156:Z156,1)),
HYPERLINK("#Roadmap!C"&amp; MATCH($E156,Roadmap!$D:$D,0)+COUNTIF($E156:Z156,"u")+COUNTIF($E156:Z156,"t"),
     INDEX(Roadmap!$D:$K,MATCH($E156,Roadmap!$D:$D,0)+COUNTIF($E156:Z156,"u")+COUNTIF($E156:Z156,"t")+COUNTIF($E156:Z156,"¶")+COUNTIF($E156:Z156,"²")+COUNTIF($E156:Z156,"µ")+COUNTIF($E156:Z156,1),ColTypeEcheance)),
  IF(LEN(Z156)=1,
  IF(LEN(INDEX(Roadmap!$D:$K,MATCH($E156,Roadmap!$D:$D,0)-1+COUNTIF($E156:Z156,"u")+COUNTIF($E156:Z156,"t")+COUNTIF($E156:Z156,"¶")+COUNTIF($E156:Z156,"²")+COUNTIF($E156:Z156,"µ")+COUNTIF($E156:Z156,1),ColDescriptionCourte))&gt;1,
HYPERLINK("#Roadmap!C"&amp; MATCH($E156,Roadmap!$D:$D,0)+COUNTIF($E156:Z156,"u")+COUNTIF($E156:Z156,"t")+COUNTIF($E156:Z156,"¶")+COUNTIF($E156:Z156,"²")+COUNTIF($E156:Z156,"µ")+COUNTIF($E156:Z156,1)-1,INDEX(Roadmap!$D:$K,MATCH($E156,Roadmap!$D:$D,0)-1+COUNTIF($E156:Z156,"u")+COUNTIF($E156:Z156,"t")+COUNTIF($E156:Z156,"¶")+COUNTIF($E156:Z156,"²")+COUNTIF($E156:Z156,"µ")+COUNTIF($E156:Z156,1),ColDescriptionCourte)),""),
  "")),"")</f>
        <v/>
      </c>
      <c r="AB156" s="40" t="str">
        <f ca="1">IFERROR(IF(AND(
  INDEX(Roadmap!$D:$K,MATCH($E156,Roadmap!$D:$D,0)+COUNTIF($E156:AA156,"u")+COUNTIF($E156:AA156,"t")+COUNTIF($E156:AA156,"¶")+COUNTIF($E156:AA156,"²")+COUNTIF($E156:AA156,"µ")+COUNTIF($E156:AA156,1),ColLivraison)=AB$6,
  VLOOKUP($E156,INDIRECT("tri!"&amp; CHAR(64+ C0Col) &amp;":"&amp; CHAR(65+C0Col)),2,FALSE)&gt;COUNTIF($E156:AA156,"u")+COUNTIF($E156:AA156,"t")+COUNTIF($E156:AA156,"¶")+COUNTIF($E156:AA156,"²")+COUNTIF($E156:AA156,"µ")+COUNTIF($E156:AA156,1)),
HYPERLINK("#Roadmap!C"&amp; MATCH($E156,Roadmap!$D:$D,0)+COUNTIF($E156:AA156,"u")+COUNTIF($E156:AA156,"t"),
     INDEX(Roadmap!$D:$K,MATCH($E156,Roadmap!$D:$D,0)+COUNTIF($E156:AA156,"u")+COUNTIF($E156:AA156,"t")+COUNTIF($E156:AA156,"¶")+COUNTIF($E156:AA156,"²")+COUNTIF($E156:AA156,"µ")+COUNTIF($E156:AA156,1),ColTypeEcheance)),
  IF(LEN(AA156)=1,
  IF(LEN(INDEX(Roadmap!$D:$K,MATCH($E156,Roadmap!$D:$D,0)-1+COUNTIF($E156:AA156,"u")+COUNTIF($E156:AA156,"t")+COUNTIF($E156:AA156,"¶")+COUNTIF($E156:AA156,"²")+COUNTIF($E156:AA156,"µ")+COUNTIF($E156:AA156,1),ColDescriptionCourte))&gt;1,
HYPERLINK("#Roadmap!C"&amp; MATCH($E156,Roadmap!$D:$D,0)+COUNTIF($E156:AA156,"u")+COUNTIF($E156:AA156,"t")+COUNTIF($E156:AA156,"¶")+COUNTIF($E156:AA156,"²")+COUNTIF($E156:AA156,"µ")+COUNTIF($E156:AA156,1)-1,INDEX(Roadmap!$D:$K,MATCH($E156,Roadmap!$D:$D,0)-1+COUNTIF($E156:AA156,"u")+COUNTIF($E156:AA156,"t")+COUNTIF($E156:AA156,"¶")+COUNTIF($E156:AA156,"²")+COUNTIF($E156:AA156,"µ")+COUNTIF($E156:AA156,1),ColDescriptionCourte)),""),
  "")),"")</f>
        <v/>
      </c>
      <c r="AC156" s="40" t="str">
        <f ca="1">IFERROR(IF(AND(
  INDEX(Roadmap!$D:$K,MATCH($E156,Roadmap!$D:$D,0)+COUNTIF($E156:AB156,"u")+COUNTIF($E156:AB156,"t")+COUNTIF($E156:AB156,"¶")+COUNTIF($E156:AB156,"²")+COUNTIF($E156:AB156,"µ")+COUNTIF($E156:AB156,1),ColLivraison)=AC$6,
  VLOOKUP($E156,INDIRECT("tri!"&amp; CHAR(64+ C0Col) &amp;":"&amp; CHAR(65+C0Col)),2,FALSE)&gt;COUNTIF($E156:AB156,"u")+COUNTIF($E156:AB156,"t")+COUNTIF($E156:AB156,"¶")+COUNTIF($E156:AB156,"²")+COUNTIF($E156:AB156,"µ")+COUNTIF($E156:AB156,1)),
HYPERLINK("#Roadmap!C"&amp; MATCH($E156,Roadmap!$D:$D,0)+COUNTIF($E156:AB156,"u")+COUNTIF($E156:AB156,"t"),
     INDEX(Roadmap!$D:$K,MATCH($E156,Roadmap!$D:$D,0)+COUNTIF($E156:AB156,"u")+COUNTIF($E156:AB156,"t")+COUNTIF($E156:AB156,"¶")+COUNTIF($E156:AB156,"²")+COUNTIF($E156:AB156,"µ")+COUNTIF($E156:AB156,1),ColTypeEcheance)),
  IF(LEN(AB156)=1,
  IF(LEN(INDEX(Roadmap!$D:$K,MATCH($E156,Roadmap!$D:$D,0)-1+COUNTIF($E156:AB156,"u")+COUNTIF($E156:AB156,"t")+COUNTIF($E156:AB156,"¶")+COUNTIF($E156:AB156,"²")+COUNTIF($E156:AB156,"µ")+COUNTIF($E156:AB156,1),ColDescriptionCourte))&gt;1,
HYPERLINK("#Roadmap!C"&amp; MATCH($E156,Roadmap!$D:$D,0)+COUNTIF($E156:AB156,"u")+COUNTIF($E156:AB156,"t")+COUNTIF($E156:AB156,"¶")+COUNTIF($E156:AB156,"²")+COUNTIF($E156:AB156,"µ")+COUNTIF($E156:AB156,1)-1,INDEX(Roadmap!$D:$K,MATCH($E156,Roadmap!$D:$D,0)-1+COUNTIF($E156:AB156,"u")+COUNTIF($E156:AB156,"t")+COUNTIF($E156:AB156,"¶")+COUNTIF($E156:AB156,"²")+COUNTIF($E156:AB156,"µ")+COUNTIF($E156:AB156,1),ColDescriptionCourte)),""),
  "")),"")</f>
        <v/>
      </c>
      <c r="AD156" s="40" t="str">
        <f ca="1">IFERROR(IF(AND(
  INDEX(Roadmap!$D:$K,MATCH($E156,Roadmap!$D:$D,0)+COUNTIF($E156:AC156,"u")+COUNTIF($E156:AC156,"t")+COUNTIF($E156:AC156,"¶")+COUNTIF($E156:AC156,"²")+COUNTIF($E156:AC156,"µ")+COUNTIF($E156:AC156,1),ColLivraison)=AD$6,
  VLOOKUP($E156,INDIRECT("tri!"&amp; CHAR(64+ C0Col) &amp;":"&amp; CHAR(65+C0Col)),2,FALSE)&gt;COUNTIF($E156:AC156,"u")+COUNTIF($E156:AC156,"t")+COUNTIF($E156:AC156,"¶")+COUNTIF($E156:AC156,"²")+COUNTIF($E156:AC156,"µ")+COUNTIF($E156:AC156,1)),
HYPERLINK("#Roadmap!C"&amp; MATCH($E156,Roadmap!$D:$D,0)+COUNTIF($E156:AC156,"u")+COUNTIF($E156:AC156,"t"),
     INDEX(Roadmap!$D:$K,MATCH($E156,Roadmap!$D:$D,0)+COUNTIF($E156:AC156,"u")+COUNTIF($E156:AC156,"t")+COUNTIF($E156:AC156,"¶")+COUNTIF($E156:AC156,"²")+COUNTIF($E156:AC156,"µ")+COUNTIF($E156:AC156,1),ColTypeEcheance)),
  IF(LEN(AC156)=1,
  IF(LEN(INDEX(Roadmap!$D:$K,MATCH($E156,Roadmap!$D:$D,0)-1+COUNTIF($E156:AC156,"u")+COUNTIF($E156:AC156,"t")+COUNTIF($E156:AC156,"¶")+COUNTIF($E156:AC156,"²")+COUNTIF($E156:AC156,"µ")+COUNTIF($E156:AC156,1),ColDescriptionCourte))&gt;1,
HYPERLINK("#Roadmap!C"&amp; MATCH($E156,Roadmap!$D:$D,0)+COUNTIF($E156:AC156,"u")+COUNTIF($E156:AC156,"t")+COUNTIF($E156:AC156,"¶")+COUNTIF($E156:AC156,"²")+COUNTIF($E156:AC156,"µ")+COUNTIF($E156:AC156,1)-1,INDEX(Roadmap!$D:$K,MATCH($E156,Roadmap!$D:$D,0)-1+COUNTIF($E156:AC156,"u")+COUNTIF($E156:AC156,"t")+COUNTIF($E156:AC156,"¶")+COUNTIF($E156:AC156,"²")+COUNTIF($E156:AC156,"µ")+COUNTIF($E156:AC156,1),ColDescriptionCourte)),""),
  "")),"")</f>
        <v/>
      </c>
      <c r="AE156" s="40" t="str">
        <f ca="1">IFERROR(IF(AND(
  INDEX(Roadmap!$D:$K,MATCH($E156,Roadmap!$D:$D,0)+COUNTIF($E156:AD156,"u")+COUNTIF($E156:AD156,"t")+COUNTIF($E156:AD156,"¶")+COUNTIF($E156:AD156,"²")+COUNTIF($E156:AD156,"µ")+COUNTIF($E156:AD156,1),ColLivraison)=AE$6,
  VLOOKUP($E156,INDIRECT("tri!"&amp; CHAR(64+ C0Col) &amp;":"&amp; CHAR(65+C0Col)),2,FALSE)&gt;COUNTIF($E156:AD156,"u")+COUNTIF($E156:AD156,"t")+COUNTIF($E156:AD156,"¶")+COUNTIF($E156:AD156,"²")+COUNTIF($E156:AD156,"µ")+COUNTIF($E156:AD156,1)),
HYPERLINK("#Roadmap!C"&amp; MATCH($E156,Roadmap!$D:$D,0)+COUNTIF($E156:AD156,"u")+COUNTIF($E156:AD156,"t"),
     INDEX(Roadmap!$D:$K,MATCH($E156,Roadmap!$D:$D,0)+COUNTIF($E156:AD156,"u")+COUNTIF($E156:AD156,"t")+COUNTIF($E156:AD156,"¶")+COUNTIF($E156:AD156,"²")+COUNTIF($E156:AD156,"µ")+COUNTIF($E156:AD156,1),ColTypeEcheance)),
  IF(LEN(AD156)=1,
  IF(LEN(INDEX(Roadmap!$D:$K,MATCH($E156,Roadmap!$D:$D,0)-1+COUNTIF($E156:AD156,"u")+COUNTIF($E156:AD156,"t")+COUNTIF($E156:AD156,"¶")+COUNTIF($E156:AD156,"²")+COUNTIF($E156:AD156,"µ")+COUNTIF($E156:AD156,1),ColDescriptionCourte))&gt;1,
HYPERLINK("#Roadmap!C"&amp; MATCH($E156,Roadmap!$D:$D,0)+COUNTIF($E156:AD156,"u")+COUNTIF($E156:AD156,"t")+COUNTIF($E156:AD156,"¶")+COUNTIF($E156:AD156,"²")+COUNTIF($E156:AD156,"µ")+COUNTIF($E156:AD156,1)-1,INDEX(Roadmap!$D:$K,MATCH($E156,Roadmap!$D:$D,0)-1+COUNTIF($E156:AD156,"u")+COUNTIF($E156:AD156,"t")+COUNTIF($E156:AD156,"¶")+COUNTIF($E156:AD156,"²")+COUNTIF($E156:AD156,"µ")+COUNTIF($E156:AD156,1),ColDescriptionCourte)),""),
  "")),"")</f>
        <v/>
      </c>
      <c r="AF156" s="40" t="str">
        <f ca="1">IFERROR(IF(AND(
  INDEX(Roadmap!$D:$K,MATCH($E156,Roadmap!$D:$D,0)+COUNTIF($E156:AE156,"u")+COUNTIF($E156:AE156,"t")+COUNTIF($E156:AE156,"¶")+COUNTIF($E156:AE156,"²")+COUNTIF($E156:AE156,"µ")+COUNTIF($E156:AE156,1),ColLivraison)=AF$6,
  VLOOKUP($E156,INDIRECT("tri!"&amp; CHAR(64+ C0Col) &amp;":"&amp; CHAR(65+C0Col)),2,FALSE)&gt;COUNTIF($E156:AE156,"u")+COUNTIF($E156:AE156,"t")+COUNTIF($E156:AE156,"¶")+COUNTIF($E156:AE156,"²")+COUNTIF($E156:AE156,"µ")+COUNTIF($E156:AE156,1)),
HYPERLINK("#Roadmap!C"&amp; MATCH($E156,Roadmap!$D:$D,0)+COUNTIF($E156:AE156,"u")+COUNTIF($E156:AE156,"t"),
     INDEX(Roadmap!$D:$K,MATCH($E156,Roadmap!$D:$D,0)+COUNTIF($E156:AE156,"u")+COUNTIF($E156:AE156,"t")+COUNTIF($E156:AE156,"¶")+COUNTIF($E156:AE156,"²")+COUNTIF($E156:AE156,"µ")+COUNTIF($E156:AE156,1),ColTypeEcheance)),
  IF(LEN(AE156)=1,
  IF(LEN(INDEX(Roadmap!$D:$K,MATCH($E156,Roadmap!$D:$D,0)-1+COUNTIF($E156:AE156,"u")+COUNTIF($E156:AE156,"t")+COUNTIF($E156:AE156,"¶")+COUNTIF($E156:AE156,"²")+COUNTIF($E156:AE156,"µ")+COUNTIF($E156:AE156,1),ColDescriptionCourte))&gt;1,
HYPERLINK("#Roadmap!C"&amp; MATCH($E156,Roadmap!$D:$D,0)+COUNTIF($E156:AE156,"u")+COUNTIF($E156:AE156,"t")+COUNTIF($E156:AE156,"¶")+COUNTIF($E156:AE156,"²")+COUNTIF($E156:AE156,"µ")+COUNTIF($E156:AE156,1)-1,INDEX(Roadmap!$D:$K,MATCH($E156,Roadmap!$D:$D,0)-1+COUNTIF($E156:AE156,"u")+COUNTIF($E156:AE156,"t")+COUNTIF($E156:AE156,"¶")+COUNTIF($E156:AE156,"²")+COUNTIF($E156:AE156,"µ")+COUNTIF($E156:AE156,1),ColDescriptionCourte)),""),
  "")),"")</f>
        <v/>
      </c>
      <c r="AG156" s="40" t="str">
        <f ca="1">IFERROR(IF(AND(
  INDEX(Roadmap!$D:$K,MATCH($E156,Roadmap!$D:$D,0)+COUNTIF($E156:AF156,"u")+COUNTIF($E156:AF156,"t")+COUNTIF($E156:AF156,"¶")+COUNTIF($E156:AF156,"²")+COUNTIF($E156:AF156,"µ")+COUNTIF($E156:AF156,1),ColLivraison)=AG$6,
  VLOOKUP($E156,INDIRECT("tri!"&amp; CHAR(64+ C0Col) &amp;":"&amp; CHAR(65+C0Col)),2,FALSE)&gt;COUNTIF($E156:AF156,"u")+COUNTIF($E156:AF156,"t")+COUNTIF($E156:AF156,"¶")+COUNTIF($E156:AF156,"²")+COUNTIF($E156:AF156,"µ")+COUNTIF($E156:AF156,1)),
HYPERLINK("#Roadmap!C"&amp; MATCH($E156,Roadmap!$D:$D,0)+COUNTIF($E156:AF156,"u")+COUNTIF($E156:AF156,"t"),
     INDEX(Roadmap!$D:$K,MATCH($E156,Roadmap!$D:$D,0)+COUNTIF($E156:AF156,"u")+COUNTIF($E156:AF156,"t")+COUNTIF($E156:AF156,"¶")+COUNTIF($E156:AF156,"²")+COUNTIF($E156:AF156,"µ")+COUNTIF($E156:AF156,1),ColTypeEcheance)),
  IF(LEN(AF156)=1,
  IF(LEN(INDEX(Roadmap!$D:$K,MATCH($E156,Roadmap!$D:$D,0)-1+COUNTIF($E156:AF156,"u")+COUNTIF($E156:AF156,"t")+COUNTIF($E156:AF156,"¶")+COUNTIF($E156:AF156,"²")+COUNTIF($E156:AF156,"µ")+COUNTIF($E156:AF156,1),ColDescriptionCourte))&gt;1,
HYPERLINK("#Roadmap!C"&amp; MATCH($E156,Roadmap!$D:$D,0)+COUNTIF($E156:AF156,"u")+COUNTIF($E156:AF156,"t")+COUNTIF($E156:AF156,"¶")+COUNTIF($E156:AF156,"²")+COUNTIF($E156:AF156,"µ")+COUNTIF($E156:AF156,1)-1,INDEX(Roadmap!$D:$K,MATCH($E156,Roadmap!$D:$D,0)-1+COUNTIF($E156:AF156,"u")+COUNTIF($E156:AF156,"t")+COUNTIF($E156:AF156,"¶")+COUNTIF($E156:AF156,"²")+COUNTIF($E156:AF156,"µ")+COUNTIF($E156:AF156,1),ColDescriptionCourte)),""),
  "")),"")</f>
        <v/>
      </c>
    </row>
    <row r="157" spans="3:33" ht="14.25" customHeight="1">
      <c r="C157" s="1" t="str">
        <f t="shared" ca="1" si="52"/>
        <v/>
      </c>
      <c r="D157" s="1" t="str">
        <f t="shared" ca="1" si="53"/>
        <v/>
      </c>
      <c r="E157" s="35" t="str">
        <f t="shared" ca="1" si="51"/>
        <v/>
      </c>
      <c r="F157" s="39" t="str">
        <f ca="1">IFERROR(IF(AND(
  INDEX(Roadmap!$D:$K,MATCH($E157,Roadmap!$D:$D,0)+COUNTIF($E157:E157,"u")+COUNTIF($E157:E157,"t")+COUNTIF($E157:E157,"¶")+COUNTIF($E157:E157,"²")+COUNTIF($E157:E157,"µ")+COUNTIF($E157:E157,1),ColLivraison)=F$6,
  VLOOKUP($E157,INDIRECT("tri!"&amp; CHAR(64+ C0Col) &amp;":"&amp; CHAR(65+C0Col)),2,FALSE)&gt;COUNTIF($E157:E157,"u")+COUNTIF($E157:E157,"t")+COUNTIF($E157:E157,"¶")+COUNTIF($E157:E157,"²")+COUNTIF($E157:E157,"µ")+COUNTIF($E157:E157,1)),
HYPERLINK("#Roadmap!C"&amp; MATCH($E157,Roadmap!$D:$D,0)+COUNTIF($E157:E157,"u")+COUNTIF($E157:E157,"t"),
     INDEX(Roadmap!$D:$K,MATCH($E157,Roadmap!$D:$D,0)+COUNTIF($E157:E157,"u")+COUNTIF($E157:E157,"t")+COUNTIF($E157:E157,"¶")+COUNTIF($E157:E157,"²")+COUNTIF($E157:E157,"µ")+COUNTIF($E157:E157,1),ColTypeEcheance)),
  IF(LEN(E157)=1,
  IF(LEN(INDEX(Roadmap!$D:$K,MATCH($E157,Roadmap!$D:$D,0)-1+COUNTIF($E157:E157,"u")+COUNTIF($E157:E157,"t")+COUNTIF($E157:E157,"¶")+COUNTIF($E157:E157,"²")+COUNTIF($E157:E157,"µ")+COUNTIF($E157:E157,1),ColDescriptionCourte))&gt;1,
HYPERLINK("#Roadmap!C"&amp; MATCH($E157,Roadmap!$D:$D,0)+COUNTIF($E157:E157,"u")+COUNTIF($E157:E157,"t")+COUNTIF($E157:E157,"¶")+COUNTIF($E157:E157,"²")+COUNTIF($E157:E157,"µ")+COUNTIF($E157:E157,1)-1,INDEX(Roadmap!$D:$K,MATCH($E157,Roadmap!$D:$D,0)-1+COUNTIF($E157:E157,"u")+COUNTIF($E157:E157,"t")+COUNTIF($E157:E157,"¶")+COUNTIF($E157:E157,"²")+COUNTIF($E157:E157,"µ")+COUNTIF($E157:E157,1),ColDescriptionCourte)),""),
  "")),"")</f>
        <v/>
      </c>
      <c r="G157" s="40" t="str">
        <f ca="1">IFERROR(IF(AND(
  INDEX(Roadmap!$D:$K,MATCH($E157,Roadmap!$D:$D,0)+COUNTIF($E157:F157,"u")+COUNTIF($E157:F157,"t")+COUNTIF($E157:F157,"¶")+COUNTIF($E157:F157,"²")+COUNTIF($E157:F157,"µ")+COUNTIF($E157:F157,1),ColLivraison)=G$6,
  VLOOKUP($E157,INDIRECT("tri!"&amp; CHAR(64+ C0Col) &amp;":"&amp; CHAR(65+C0Col)),2,FALSE)&gt;COUNTIF($E157:F157,"u")+COUNTIF($E157:F157,"t")+COUNTIF($E157:F157,"¶")+COUNTIF($E157:F157,"²")+COUNTIF($E157:F157,"µ")+COUNTIF($E157:F157,1)),
HYPERLINK("#Roadmap!C"&amp; MATCH($E157,Roadmap!$D:$D,0)+COUNTIF($E157:F157,"u")+COUNTIF($E157:F157,"t"),
     INDEX(Roadmap!$D:$K,MATCH($E157,Roadmap!$D:$D,0)+COUNTIF($E157:F157,"u")+COUNTIF($E157:F157,"t")+COUNTIF($E157:F157,"¶")+COUNTIF($E157:F157,"²")+COUNTIF($E157:F157,"µ")+COUNTIF($E157:F157,1),ColTypeEcheance)),
  IF(LEN(F157)=1,
  IF(LEN(INDEX(Roadmap!$D:$K,MATCH($E157,Roadmap!$D:$D,0)-1+COUNTIF($E157:F157,"u")+COUNTIF($E157:F157,"t")+COUNTIF($E157:F157,"¶")+COUNTIF($E157:F157,"²")+COUNTIF($E157:F157,"µ")+COUNTIF($E157:F157,1),ColDescriptionCourte))&gt;1,
HYPERLINK("#Roadmap!C"&amp; MATCH($E157,Roadmap!$D:$D,0)+COUNTIF($E157:F157,"u")+COUNTIF($E157:F157,"t")+COUNTIF($E157:F157,"¶")+COUNTIF($E157:F157,"²")+COUNTIF($E157:F157,"µ")+COUNTIF($E157:F157,1)-1,INDEX(Roadmap!$D:$K,MATCH($E157,Roadmap!$D:$D,0)-1+COUNTIF($E157:F157,"u")+COUNTIF($E157:F157,"t")+COUNTIF($E157:F157,"¶")+COUNTIF($E157:F157,"²")+COUNTIF($E157:F157,"µ")+COUNTIF($E157:F157,1),ColDescriptionCourte)),""),
  "")),"")</f>
        <v/>
      </c>
      <c r="H157" s="40" t="str">
        <f ca="1">IFERROR(IF(AND(
  INDEX(Roadmap!$D:$K,MATCH($E157,Roadmap!$D:$D,0)+COUNTIF($E157:G157,"u")+COUNTIF($E157:G157,"t")+COUNTIF($E157:G157,"¶")+COUNTIF($E157:G157,"²")+COUNTIF($E157:G157,"µ")+COUNTIF($E157:G157,1),ColLivraison)=H$6,
  VLOOKUP($E157,INDIRECT("tri!"&amp; CHAR(64+ C0Col) &amp;":"&amp; CHAR(65+C0Col)),2,FALSE)&gt;COUNTIF($E157:G157,"u")+COUNTIF($E157:G157,"t")+COUNTIF($E157:G157,"¶")+COUNTIF($E157:G157,"²")+COUNTIF($E157:G157,"µ")+COUNTIF($E157:G157,1)),
HYPERLINK("#Roadmap!C"&amp; MATCH($E157,Roadmap!$D:$D,0)+COUNTIF($E157:G157,"u")+COUNTIF($E157:G157,"t"),
     INDEX(Roadmap!$D:$K,MATCH($E157,Roadmap!$D:$D,0)+COUNTIF($E157:G157,"u")+COUNTIF($E157:G157,"t")+COUNTIF($E157:G157,"¶")+COUNTIF($E157:G157,"²")+COUNTIF($E157:G157,"µ")+COUNTIF($E157:G157,1),ColTypeEcheance)),
  IF(LEN(G157)=1,
  IF(LEN(INDEX(Roadmap!$D:$K,MATCH($E157,Roadmap!$D:$D,0)-1+COUNTIF($E157:G157,"u")+COUNTIF($E157:G157,"t")+COUNTIF($E157:G157,"¶")+COUNTIF($E157:G157,"²")+COUNTIF($E157:G157,"µ")+COUNTIF($E157:G157,1),ColDescriptionCourte))&gt;1,
HYPERLINK("#Roadmap!C"&amp; MATCH($E157,Roadmap!$D:$D,0)+COUNTIF($E157:G157,"u")+COUNTIF($E157:G157,"t")+COUNTIF($E157:G157,"¶")+COUNTIF($E157:G157,"²")+COUNTIF($E157:G157,"µ")+COUNTIF($E157:G157,1)-1,INDEX(Roadmap!$D:$K,MATCH($E157,Roadmap!$D:$D,0)-1+COUNTIF($E157:G157,"u")+COUNTIF($E157:G157,"t")+COUNTIF($E157:G157,"¶")+COUNTIF($E157:G157,"²")+COUNTIF($E157:G157,"µ")+COUNTIF($E157:G157,1),ColDescriptionCourte)),""),
  "")),"")</f>
        <v/>
      </c>
      <c r="I157" s="40" t="str">
        <f ca="1">IFERROR(IF(AND(
  INDEX(Roadmap!$D:$K,MATCH($E157,Roadmap!$D:$D,0)+COUNTIF($E157:H157,"u")+COUNTIF($E157:H157,"t")+COUNTIF($E157:H157,"¶")+COUNTIF($E157:H157,"²")+COUNTIF($E157:H157,"µ")+COUNTIF($E157:H157,1),ColLivraison)=I$6,
  VLOOKUP($E157,INDIRECT("tri!"&amp; CHAR(64+ C0Col) &amp;":"&amp; CHAR(65+C0Col)),2,FALSE)&gt;COUNTIF($E157:H157,"u")+COUNTIF($E157:H157,"t")+COUNTIF($E157:H157,"¶")+COUNTIF($E157:H157,"²")+COUNTIF($E157:H157,"µ")+COUNTIF($E157:H157,1)),
HYPERLINK("#Roadmap!C"&amp; MATCH($E157,Roadmap!$D:$D,0)+COUNTIF($E157:H157,"u")+COUNTIF($E157:H157,"t"),
     INDEX(Roadmap!$D:$K,MATCH($E157,Roadmap!$D:$D,0)+COUNTIF($E157:H157,"u")+COUNTIF($E157:H157,"t")+COUNTIF($E157:H157,"¶")+COUNTIF($E157:H157,"²")+COUNTIF($E157:H157,"µ")+COUNTIF($E157:H157,1),ColTypeEcheance)),
  IF(LEN(H157)=1,
  IF(LEN(INDEX(Roadmap!$D:$K,MATCH($E157,Roadmap!$D:$D,0)-1+COUNTIF($E157:H157,"u")+COUNTIF($E157:H157,"t")+COUNTIF($E157:H157,"¶")+COUNTIF($E157:H157,"²")+COUNTIF($E157:H157,"µ")+COUNTIF($E157:H157,1),ColDescriptionCourte))&gt;1,
HYPERLINK("#Roadmap!C"&amp; MATCH($E157,Roadmap!$D:$D,0)+COUNTIF($E157:H157,"u")+COUNTIF($E157:H157,"t")+COUNTIF($E157:H157,"¶")+COUNTIF($E157:H157,"²")+COUNTIF($E157:H157,"µ")+COUNTIF($E157:H157,1)-1,INDEX(Roadmap!$D:$K,MATCH($E157,Roadmap!$D:$D,0)-1+COUNTIF($E157:H157,"u")+COUNTIF($E157:H157,"t")+COUNTIF($E157:H157,"¶")+COUNTIF($E157:H157,"²")+COUNTIF($E157:H157,"µ")+COUNTIF($E157:H157,1),ColDescriptionCourte)),""),
  "")),"")</f>
        <v/>
      </c>
      <c r="J157" s="40" t="str">
        <f ca="1">IFERROR(IF(AND(
  INDEX(Roadmap!$D:$K,MATCH($E157,Roadmap!$D:$D,0)+COUNTIF($E157:I157,"u")+COUNTIF($E157:I157,"t")+COUNTIF($E157:I157,"¶")+COUNTIF($E157:I157,"²")+COUNTIF($E157:I157,"µ")+COUNTIF($E157:I157,1),ColLivraison)=J$6,
  VLOOKUP($E157,INDIRECT("tri!"&amp; CHAR(64+ C0Col) &amp;":"&amp; CHAR(65+C0Col)),2,FALSE)&gt;COUNTIF($E157:I157,"u")+COUNTIF($E157:I157,"t")+COUNTIF($E157:I157,"¶")+COUNTIF($E157:I157,"²")+COUNTIF($E157:I157,"µ")+COUNTIF($E157:I157,1)),
HYPERLINK("#Roadmap!C"&amp; MATCH($E157,Roadmap!$D:$D,0)+COUNTIF($E157:I157,"u")+COUNTIF($E157:I157,"t"),
     INDEX(Roadmap!$D:$K,MATCH($E157,Roadmap!$D:$D,0)+COUNTIF($E157:I157,"u")+COUNTIF($E157:I157,"t")+COUNTIF($E157:I157,"¶")+COUNTIF($E157:I157,"²")+COUNTIF($E157:I157,"µ")+COUNTIF($E157:I157,1),ColTypeEcheance)),
  IF(LEN(I157)=1,
  IF(LEN(INDEX(Roadmap!$D:$K,MATCH($E157,Roadmap!$D:$D,0)-1+COUNTIF($E157:I157,"u")+COUNTIF($E157:I157,"t")+COUNTIF($E157:I157,"¶")+COUNTIF($E157:I157,"²")+COUNTIF($E157:I157,"µ")+COUNTIF($E157:I157,1),ColDescriptionCourte))&gt;1,
HYPERLINK("#Roadmap!C"&amp; MATCH($E157,Roadmap!$D:$D,0)+COUNTIF($E157:I157,"u")+COUNTIF($E157:I157,"t")+COUNTIF($E157:I157,"¶")+COUNTIF($E157:I157,"²")+COUNTIF($E157:I157,"µ")+COUNTIF($E157:I157,1)-1,INDEX(Roadmap!$D:$K,MATCH($E157,Roadmap!$D:$D,0)-1+COUNTIF($E157:I157,"u")+COUNTIF($E157:I157,"t")+COUNTIF($E157:I157,"¶")+COUNTIF($E157:I157,"²")+COUNTIF($E157:I157,"µ")+COUNTIF($E157:I157,1),ColDescriptionCourte)),""),
  "")),"")</f>
        <v/>
      </c>
      <c r="K157" s="40" t="str">
        <f ca="1">IFERROR(IF(AND(
  INDEX(Roadmap!$D:$K,MATCH($E157,Roadmap!$D:$D,0)+COUNTIF($E157:J157,"u")+COUNTIF($E157:J157,"t")+COUNTIF($E157:J157,"¶")+COUNTIF($E157:J157,"²")+COUNTIF($E157:J157,"µ")+COUNTIF($E157:J157,1),ColLivraison)=K$6,
  VLOOKUP($E157,INDIRECT("tri!"&amp; CHAR(64+ C0Col) &amp;":"&amp; CHAR(65+C0Col)),2,FALSE)&gt;COUNTIF($E157:J157,"u")+COUNTIF($E157:J157,"t")+COUNTIF($E157:J157,"¶")+COUNTIF($E157:J157,"²")+COUNTIF($E157:J157,"µ")+COUNTIF($E157:J157,1)),
HYPERLINK("#Roadmap!C"&amp; MATCH($E157,Roadmap!$D:$D,0)+COUNTIF($E157:J157,"u")+COUNTIF($E157:J157,"t"),
     INDEX(Roadmap!$D:$K,MATCH($E157,Roadmap!$D:$D,0)+COUNTIF($E157:J157,"u")+COUNTIF($E157:J157,"t")+COUNTIF($E157:J157,"¶")+COUNTIF($E157:J157,"²")+COUNTIF($E157:J157,"µ")+COUNTIF($E157:J157,1),ColTypeEcheance)),
  IF(LEN(J157)=1,
  IF(LEN(INDEX(Roadmap!$D:$K,MATCH($E157,Roadmap!$D:$D,0)-1+COUNTIF($E157:J157,"u")+COUNTIF($E157:J157,"t")+COUNTIF($E157:J157,"¶")+COUNTIF($E157:J157,"²")+COUNTIF($E157:J157,"µ")+COUNTIF($E157:J157,1),ColDescriptionCourte))&gt;1,
HYPERLINK("#Roadmap!C"&amp; MATCH($E157,Roadmap!$D:$D,0)+COUNTIF($E157:J157,"u")+COUNTIF($E157:J157,"t")+COUNTIF($E157:J157,"¶")+COUNTIF($E157:J157,"²")+COUNTIF($E157:J157,"µ")+COUNTIF($E157:J157,1)-1,INDEX(Roadmap!$D:$K,MATCH($E157,Roadmap!$D:$D,0)-1+COUNTIF($E157:J157,"u")+COUNTIF($E157:J157,"t")+COUNTIF($E157:J157,"¶")+COUNTIF($E157:J157,"²")+COUNTIF($E157:J157,"µ")+COUNTIF($E157:J157,1),ColDescriptionCourte)),""),
  "")),"")</f>
        <v/>
      </c>
      <c r="L157" s="39" t="str">
        <f ca="1">IFERROR(IF(AND(
  INDEX(Roadmap!$D:$K,MATCH($E157,Roadmap!$D:$D,0)+COUNTIF($E157:K157,"u")+COUNTIF($E157:K157,"t")+COUNTIF($E157:K157,"¶")+COUNTIF($E157:K157,"²")+COUNTIF($E157:K157,"µ")+COUNTIF($E157:K157,1),ColLivraison)=L$6,
  VLOOKUP($E157,INDIRECT("tri!"&amp; CHAR(64+ C0Col) &amp;":"&amp; CHAR(65+C0Col)),2,FALSE)&gt;COUNTIF($E157:K157,"u")+COUNTIF($E157:K157,"t")+COUNTIF($E157:K157,"¶")+COUNTIF($E157:K157,"²")+COUNTIF($E157:K157,"µ")+COUNTIF($E157:K157,1)),
HYPERLINK("#Roadmap!C"&amp; MATCH($E157,Roadmap!$D:$D,0)+COUNTIF($E157:K157,"u")+COUNTIF($E157:K157,"t"),
     INDEX(Roadmap!$D:$K,MATCH($E157,Roadmap!$D:$D,0)+COUNTIF($E157:K157,"u")+COUNTIF($E157:K157,"t")+COUNTIF($E157:K157,"¶")+COUNTIF($E157:K157,"²")+COUNTIF($E157:K157,"µ")+COUNTIF($E157:K157,1),ColTypeEcheance)),
  IF(LEN(K157)=1,
  IF(LEN(INDEX(Roadmap!$D:$K,MATCH($E157,Roadmap!$D:$D,0)-1+COUNTIF($E157:K157,"u")+COUNTIF($E157:K157,"t")+COUNTIF($E157:K157,"¶")+COUNTIF($E157:K157,"²")+COUNTIF($E157:K157,"µ")+COUNTIF($E157:K157,1),ColDescriptionCourte))&gt;1,
HYPERLINK("#Roadmap!C"&amp; MATCH($E157,Roadmap!$D:$D,0)+COUNTIF($E157:K157,"u")+COUNTIF($E157:K157,"t")+COUNTIF($E157:K157,"¶")+COUNTIF($E157:K157,"²")+COUNTIF($E157:K157,"µ")+COUNTIF($E157:K157,1)-1,INDEX(Roadmap!$D:$K,MATCH($E157,Roadmap!$D:$D,0)-1+COUNTIF($E157:K157,"u")+COUNTIF($E157:K157,"t")+COUNTIF($E157:K157,"¶")+COUNTIF($E157:K157,"²")+COUNTIF($E157:K157,"µ")+COUNTIF($E157:K157,1),ColDescriptionCourte)),""),
  "")),"")</f>
        <v/>
      </c>
      <c r="M157" s="40" t="str">
        <f ca="1">IFERROR(IF(AND(
  INDEX(Roadmap!$D:$K,MATCH($E157,Roadmap!$D:$D,0)+COUNTIF($E157:L157,"u")+COUNTIF($E157:L157,"t")+COUNTIF($E157:L157,"¶")+COUNTIF($E157:L157,"²")+COUNTIF($E157:L157,"µ")+COUNTIF($E157:L157,1),ColLivraison)=M$6,
  VLOOKUP($E157,INDIRECT("tri!"&amp; CHAR(64+ C0Col) &amp;":"&amp; CHAR(65+C0Col)),2,FALSE)&gt;COUNTIF($E157:L157,"u")+COUNTIF($E157:L157,"t")+COUNTIF($E157:L157,"¶")+COUNTIF($E157:L157,"²")+COUNTIF($E157:L157,"µ")+COUNTIF($E157:L157,1)),
HYPERLINK("#Roadmap!C"&amp; MATCH($E157,Roadmap!$D:$D,0)+COUNTIF($E157:L157,"u")+COUNTIF($E157:L157,"t"),
     INDEX(Roadmap!$D:$K,MATCH($E157,Roadmap!$D:$D,0)+COUNTIF($E157:L157,"u")+COUNTIF($E157:L157,"t")+COUNTIF($E157:L157,"¶")+COUNTIF($E157:L157,"²")+COUNTIF($E157:L157,"µ")+COUNTIF($E157:L157,1),ColTypeEcheance)),
  IF(LEN(L157)=1,
  IF(LEN(INDEX(Roadmap!$D:$K,MATCH($E157,Roadmap!$D:$D,0)-1+COUNTIF($E157:L157,"u")+COUNTIF($E157:L157,"t")+COUNTIF($E157:L157,"¶")+COUNTIF($E157:L157,"²")+COUNTIF($E157:L157,"µ")+COUNTIF($E157:L157,1),ColDescriptionCourte))&gt;1,
HYPERLINK("#Roadmap!C"&amp; MATCH($E157,Roadmap!$D:$D,0)+COUNTIF($E157:L157,"u")+COUNTIF($E157:L157,"t")+COUNTIF($E157:L157,"¶")+COUNTIF($E157:L157,"²")+COUNTIF($E157:L157,"µ")+COUNTIF($E157:L157,1)-1,INDEX(Roadmap!$D:$K,MATCH($E157,Roadmap!$D:$D,0)-1+COUNTIF($E157:L157,"u")+COUNTIF($E157:L157,"t")+COUNTIF($E157:L157,"¶")+COUNTIF($E157:L157,"²")+COUNTIF($E157:L157,"µ")+COUNTIF($E157:L157,1),ColDescriptionCourte)),""),
  "")),"")</f>
        <v/>
      </c>
      <c r="N157" s="40" t="str">
        <f ca="1">IFERROR(IF(AND(
  INDEX(Roadmap!$D:$K,MATCH($E157,Roadmap!$D:$D,0)+COUNTIF($E157:M157,"u")+COUNTIF($E157:M157,"t")+COUNTIF($E157:M157,"¶")+COUNTIF($E157:M157,"²")+COUNTIF($E157:M157,"µ")+COUNTIF($E157:M157,1),ColLivraison)=N$6,
  VLOOKUP($E157,INDIRECT("tri!"&amp; CHAR(64+ C0Col) &amp;":"&amp; CHAR(65+C0Col)),2,FALSE)&gt;COUNTIF($E157:M157,"u")+COUNTIF($E157:M157,"t")+COUNTIF($E157:M157,"¶")+COUNTIF($E157:M157,"²")+COUNTIF($E157:M157,"µ")+COUNTIF($E157:M157,1)),
HYPERLINK("#Roadmap!C"&amp; MATCH($E157,Roadmap!$D:$D,0)+COUNTIF($E157:M157,"u")+COUNTIF($E157:M157,"t"),
     INDEX(Roadmap!$D:$K,MATCH($E157,Roadmap!$D:$D,0)+COUNTIF($E157:M157,"u")+COUNTIF($E157:M157,"t")+COUNTIF($E157:M157,"¶")+COUNTIF($E157:M157,"²")+COUNTIF($E157:M157,"µ")+COUNTIF($E157:M157,1),ColTypeEcheance)),
  IF(LEN(M157)=1,
  IF(LEN(INDEX(Roadmap!$D:$K,MATCH($E157,Roadmap!$D:$D,0)-1+COUNTIF($E157:M157,"u")+COUNTIF($E157:M157,"t")+COUNTIF($E157:M157,"¶")+COUNTIF($E157:M157,"²")+COUNTIF($E157:M157,"µ")+COUNTIF($E157:M157,1),ColDescriptionCourte))&gt;1,
HYPERLINK("#Roadmap!C"&amp; MATCH($E157,Roadmap!$D:$D,0)+COUNTIF($E157:M157,"u")+COUNTIF($E157:M157,"t")+COUNTIF($E157:M157,"¶")+COUNTIF($E157:M157,"²")+COUNTIF($E157:M157,"µ")+COUNTIF($E157:M157,1)-1,INDEX(Roadmap!$D:$K,MATCH($E157,Roadmap!$D:$D,0)-1+COUNTIF($E157:M157,"u")+COUNTIF($E157:M157,"t")+COUNTIF($E157:M157,"¶")+COUNTIF($E157:M157,"²")+COUNTIF($E157:M157,"µ")+COUNTIF($E157:M157,1),ColDescriptionCourte)),""),
  "")),"")</f>
        <v/>
      </c>
      <c r="O157" s="40" t="str">
        <f ca="1">IFERROR(IF(AND(
  INDEX(Roadmap!$D:$K,MATCH($E157,Roadmap!$D:$D,0)+COUNTIF($E157:N157,"u")+COUNTIF($E157:N157,"t")+COUNTIF($E157:N157,"¶")+COUNTIF($E157:N157,"²")+COUNTIF($E157:N157,"µ")+COUNTIF($E157:N157,1),ColLivraison)=O$6,
  VLOOKUP($E157,INDIRECT("tri!"&amp; CHAR(64+ C0Col) &amp;":"&amp; CHAR(65+C0Col)),2,FALSE)&gt;COUNTIF($E157:N157,"u")+COUNTIF($E157:N157,"t")+COUNTIF($E157:N157,"¶")+COUNTIF($E157:N157,"²")+COUNTIF($E157:N157,"µ")+COUNTIF($E157:N157,1)),
HYPERLINK("#Roadmap!C"&amp; MATCH($E157,Roadmap!$D:$D,0)+COUNTIF($E157:N157,"u")+COUNTIF($E157:N157,"t"),
     INDEX(Roadmap!$D:$K,MATCH($E157,Roadmap!$D:$D,0)+COUNTIF($E157:N157,"u")+COUNTIF($E157:N157,"t")+COUNTIF($E157:N157,"¶")+COUNTIF($E157:N157,"²")+COUNTIF($E157:N157,"µ")+COUNTIF($E157:N157,1),ColTypeEcheance)),
  IF(LEN(N157)=1,
  IF(LEN(INDEX(Roadmap!$D:$K,MATCH($E157,Roadmap!$D:$D,0)-1+COUNTIF($E157:N157,"u")+COUNTIF($E157:N157,"t")+COUNTIF($E157:N157,"¶")+COUNTIF($E157:N157,"²")+COUNTIF($E157:N157,"µ")+COUNTIF($E157:N157,1),ColDescriptionCourte))&gt;1,
HYPERLINK("#Roadmap!C"&amp; MATCH($E157,Roadmap!$D:$D,0)+COUNTIF($E157:N157,"u")+COUNTIF($E157:N157,"t")+COUNTIF($E157:N157,"¶")+COUNTIF($E157:N157,"²")+COUNTIF($E157:N157,"µ")+COUNTIF($E157:N157,1)-1,INDEX(Roadmap!$D:$K,MATCH($E157,Roadmap!$D:$D,0)-1+COUNTIF($E157:N157,"u")+COUNTIF($E157:N157,"t")+COUNTIF($E157:N157,"¶")+COUNTIF($E157:N157,"²")+COUNTIF($E157:N157,"µ")+COUNTIF($E157:N157,1),ColDescriptionCourte)),""),
  "")),"")</f>
        <v/>
      </c>
      <c r="P157" s="40" t="str">
        <f ca="1">IFERROR(IF(AND(
  INDEX(Roadmap!$D:$K,MATCH($E157,Roadmap!$D:$D,0)+COUNTIF($E157:O157,"u")+COUNTIF($E157:O157,"t")+COUNTIF($E157:O157,"¶")+COUNTIF($E157:O157,"²")+COUNTIF($E157:O157,"µ")+COUNTIF($E157:O157,1),ColLivraison)=P$6,
  VLOOKUP($E157,INDIRECT("tri!"&amp; CHAR(64+ C0Col) &amp;":"&amp; CHAR(65+C0Col)),2,FALSE)&gt;COUNTIF($E157:O157,"u")+COUNTIF($E157:O157,"t")+COUNTIF($E157:O157,"¶")+COUNTIF($E157:O157,"²")+COUNTIF($E157:O157,"µ")+COUNTIF($E157:O157,1)),
HYPERLINK("#Roadmap!C"&amp; MATCH($E157,Roadmap!$D:$D,0)+COUNTIF($E157:O157,"u")+COUNTIF($E157:O157,"t"),
     INDEX(Roadmap!$D:$K,MATCH($E157,Roadmap!$D:$D,0)+COUNTIF($E157:O157,"u")+COUNTIF($E157:O157,"t")+COUNTIF($E157:O157,"¶")+COUNTIF($E157:O157,"²")+COUNTIF($E157:O157,"µ")+COUNTIF($E157:O157,1),ColTypeEcheance)),
  IF(LEN(O157)=1,
  IF(LEN(INDEX(Roadmap!$D:$K,MATCH($E157,Roadmap!$D:$D,0)-1+COUNTIF($E157:O157,"u")+COUNTIF($E157:O157,"t")+COUNTIF($E157:O157,"¶")+COUNTIF($E157:O157,"²")+COUNTIF($E157:O157,"µ")+COUNTIF($E157:O157,1),ColDescriptionCourte))&gt;1,
HYPERLINK("#Roadmap!C"&amp; MATCH($E157,Roadmap!$D:$D,0)+COUNTIF($E157:O157,"u")+COUNTIF($E157:O157,"t")+COUNTIF($E157:O157,"¶")+COUNTIF($E157:O157,"²")+COUNTIF($E157:O157,"µ")+COUNTIF($E157:O157,1)-1,INDEX(Roadmap!$D:$K,MATCH($E157,Roadmap!$D:$D,0)-1+COUNTIF($E157:O157,"u")+COUNTIF($E157:O157,"t")+COUNTIF($E157:O157,"¶")+COUNTIF($E157:O157,"²")+COUNTIF($E157:O157,"µ")+COUNTIF($E157:O157,1),ColDescriptionCourte)),""),
  "")),"")</f>
        <v/>
      </c>
      <c r="Q157" s="40" t="str">
        <f ca="1">IFERROR(IF(AND(
  INDEX(Roadmap!$D:$K,MATCH($E157,Roadmap!$D:$D,0)+COUNTIF($E157:P157,"u")+COUNTIF($E157:P157,"t")+COUNTIF($E157:P157,"¶")+COUNTIF($E157:P157,"²")+COUNTIF($E157:P157,"µ")+COUNTIF($E157:P157,1),ColLivraison)=Q$6,
  VLOOKUP($E157,INDIRECT("tri!"&amp; CHAR(64+ C0Col) &amp;":"&amp; CHAR(65+C0Col)),2,FALSE)&gt;COUNTIF($E157:P157,"u")+COUNTIF($E157:P157,"t")+COUNTIF($E157:P157,"¶")+COUNTIF($E157:P157,"²")+COUNTIF($E157:P157,"µ")+COUNTIF($E157:P157,1)),
HYPERLINK("#Roadmap!C"&amp; MATCH($E157,Roadmap!$D:$D,0)+COUNTIF($E157:P157,"u")+COUNTIF($E157:P157,"t"),
     INDEX(Roadmap!$D:$K,MATCH($E157,Roadmap!$D:$D,0)+COUNTIF($E157:P157,"u")+COUNTIF($E157:P157,"t")+COUNTIF($E157:P157,"¶")+COUNTIF($E157:P157,"²")+COUNTIF($E157:P157,"µ")+COUNTIF($E157:P157,1),ColTypeEcheance)),
  IF(LEN(P157)=1,
  IF(LEN(INDEX(Roadmap!$D:$K,MATCH($E157,Roadmap!$D:$D,0)-1+COUNTIF($E157:P157,"u")+COUNTIF($E157:P157,"t")+COUNTIF($E157:P157,"¶")+COUNTIF($E157:P157,"²")+COUNTIF($E157:P157,"µ")+COUNTIF($E157:P157,1),ColDescriptionCourte))&gt;1,
HYPERLINK("#Roadmap!C"&amp; MATCH($E157,Roadmap!$D:$D,0)+COUNTIF($E157:P157,"u")+COUNTIF($E157:P157,"t")+COUNTIF($E157:P157,"¶")+COUNTIF($E157:P157,"²")+COUNTIF($E157:P157,"µ")+COUNTIF($E157:P157,1)-1,INDEX(Roadmap!$D:$K,MATCH($E157,Roadmap!$D:$D,0)-1+COUNTIF($E157:P157,"u")+COUNTIF($E157:P157,"t")+COUNTIF($E157:P157,"¶")+COUNTIF($E157:P157,"²")+COUNTIF($E157:P157,"µ")+COUNTIF($E157:P157,1),ColDescriptionCourte)),""),
  "")),"")</f>
        <v/>
      </c>
      <c r="R157" s="40" t="str">
        <f ca="1">IFERROR(IF(AND(
  INDEX(Roadmap!$D:$K,MATCH($E157,Roadmap!$D:$D,0)+COUNTIF($E157:Q157,"u")+COUNTIF($E157:Q157,"t")+COUNTIF($E157:Q157,"¶")+COUNTIF($E157:Q157,"²")+COUNTIF($E157:Q157,"µ")+COUNTIF($E157:Q157,1),ColLivraison)=R$6,
  VLOOKUP($E157,INDIRECT("tri!"&amp; CHAR(64+ C0Col) &amp;":"&amp; CHAR(65+C0Col)),2,FALSE)&gt;COUNTIF($E157:Q157,"u")+COUNTIF($E157:Q157,"t")+COUNTIF($E157:Q157,"¶")+COUNTIF($E157:Q157,"²")+COUNTIF($E157:Q157,"µ")+COUNTIF($E157:Q157,1)),
HYPERLINK("#Roadmap!C"&amp; MATCH($E157,Roadmap!$D:$D,0)+COUNTIF($E157:Q157,"u")+COUNTIF($E157:Q157,"t"),
     INDEX(Roadmap!$D:$K,MATCH($E157,Roadmap!$D:$D,0)+COUNTIF($E157:Q157,"u")+COUNTIF($E157:Q157,"t")+COUNTIF($E157:Q157,"¶")+COUNTIF($E157:Q157,"²")+COUNTIF($E157:Q157,"µ")+COUNTIF($E157:Q157,1),ColTypeEcheance)),
  IF(LEN(Q157)=1,
  IF(LEN(INDEX(Roadmap!$D:$K,MATCH($E157,Roadmap!$D:$D,0)-1+COUNTIF($E157:Q157,"u")+COUNTIF($E157:Q157,"t")+COUNTIF($E157:Q157,"¶")+COUNTIF($E157:Q157,"²")+COUNTIF($E157:Q157,"µ")+COUNTIF($E157:Q157,1),ColDescriptionCourte))&gt;1,
HYPERLINK("#Roadmap!C"&amp; MATCH($E157,Roadmap!$D:$D,0)+COUNTIF($E157:Q157,"u")+COUNTIF($E157:Q157,"t")+COUNTIF($E157:Q157,"¶")+COUNTIF($E157:Q157,"²")+COUNTIF($E157:Q157,"µ")+COUNTIF($E157:Q157,1)-1,INDEX(Roadmap!$D:$K,MATCH($E157,Roadmap!$D:$D,0)-1+COUNTIF($E157:Q157,"u")+COUNTIF($E157:Q157,"t")+COUNTIF($E157:Q157,"¶")+COUNTIF($E157:Q157,"²")+COUNTIF($E157:Q157,"µ")+COUNTIF($E157:Q157,1),ColDescriptionCourte)),""),
  "")),"")</f>
        <v/>
      </c>
      <c r="S157" s="40" t="str">
        <f ca="1">IFERROR(IF(AND(
  INDEX(Roadmap!$D:$K,MATCH($E157,Roadmap!$D:$D,0)+COUNTIF($E157:R157,"u")+COUNTIF($E157:R157,"t")+COUNTIF($E157:R157,"¶")+COUNTIF($E157:R157,"²")+COUNTIF($E157:R157,"µ")+COUNTIF($E157:R157,1),ColLivraison)=S$6,
  VLOOKUP($E157,INDIRECT("tri!"&amp; CHAR(64+ C0Col) &amp;":"&amp; CHAR(65+C0Col)),2,FALSE)&gt;COUNTIF($E157:R157,"u")+COUNTIF($E157:R157,"t")+COUNTIF($E157:R157,"¶")+COUNTIF($E157:R157,"²")+COUNTIF($E157:R157,"µ")+COUNTIF($E157:R157,1)),
HYPERLINK("#Roadmap!C"&amp; MATCH($E157,Roadmap!$D:$D,0)+COUNTIF($E157:R157,"u")+COUNTIF($E157:R157,"t"),
     INDEX(Roadmap!$D:$K,MATCH($E157,Roadmap!$D:$D,0)+COUNTIF($E157:R157,"u")+COUNTIF($E157:R157,"t")+COUNTIF($E157:R157,"¶")+COUNTIF($E157:R157,"²")+COUNTIF($E157:R157,"µ")+COUNTIF($E157:R157,1),ColTypeEcheance)),
  IF(LEN(R157)=1,
  IF(LEN(INDEX(Roadmap!$D:$K,MATCH($E157,Roadmap!$D:$D,0)-1+COUNTIF($E157:R157,"u")+COUNTIF($E157:R157,"t")+COUNTIF($E157:R157,"¶")+COUNTIF($E157:R157,"²")+COUNTIF($E157:R157,"µ")+COUNTIF($E157:R157,1),ColDescriptionCourte))&gt;1,
HYPERLINK("#Roadmap!C"&amp; MATCH($E157,Roadmap!$D:$D,0)+COUNTIF($E157:R157,"u")+COUNTIF($E157:R157,"t")+COUNTIF($E157:R157,"¶")+COUNTIF($E157:R157,"²")+COUNTIF($E157:R157,"µ")+COUNTIF($E157:R157,1)-1,INDEX(Roadmap!$D:$K,MATCH($E157,Roadmap!$D:$D,0)-1+COUNTIF($E157:R157,"u")+COUNTIF($E157:R157,"t")+COUNTIF($E157:R157,"¶")+COUNTIF($E157:R157,"²")+COUNTIF($E157:R157,"µ")+COUNTIF($E157:R157,1),ColDescriptionCourte)),""),
  "")),"")</f>
        <v/>
      </c>
      <c r="T157" s="40" t="str">
        <f ca="1">IFERROR(IF(AND(
  INDEX(Roadmap!$D:$K,MATCH($E157,Roadmap!$D:$D,0)+COUNTIF($E157:S157,"u")+COUNTIF($E157:S157,"t")+COUNTIF($E157:S157,"¶")+COUNTIF($E157:S157,"²")+COUNTIF($E157:S157,"µ")+COUNTIF($E157:S157,1),ColLivraison)=T$6,
  VLOOKUP($E157,INDIRECT("tri!"&amp; CHAR(64+ C0Col) &amp;":"&amp; CHAR(65+C0Col)),2,FALSE)&gt;COUNTIF($E157:S157,"u")+COUNTIF($E157:S157,"t")+COUNTIF($E157:S157,"¶")+COUNTIF($E157:S157,"²")+COUNTIF($E157:S157,"µ")+COUNTIF($E157:S157,1)),
HYPERLINK("#Roadmap!C"&amp; MATCH($E157,Roadmap!$D:$D,0)+COUNTIF($E157:S157,"u")+COUNTIF($E157:S157,"t"),
     INDEX(Roadmap!$D:$K,MATCH($E157,Roadmap!$D:$D,0)+COUNTIF($E157:S157,"u")+COUNTIF($E157:S157,"t")+COUNTIF($E157:S157,"¶")+COUNTIF($E157:S157,"²")+COUNTIF($E157:S157,"µ")+COUNTIF($E157:S157,1),ColTypeEcheance)),
  IF(LEN(S157)=1,
  IF(LEN(INDEX(Roadmap!$D:$K,MATCH($E157,Roadmap!$D:$D,0)-1+COUNTIF($E157:S157,"u")+COUNTIF($E157:S157,"t")+COUNTIF($E157:S157,"¶")+COUNTIF($E157:S157,"²")+COUNTIF($E157:S157,"µ")+COUNTIF($E157:S157,1),ColDescriptionCourte))&gt;1,
HYPERLINK("#Roadmap!C"&amp; MATCH($E157,Roadmap!$D:$D,0)+COUNTIF($E157:S157,"u")+COUNTIF($E157:S157,"t")+COUNTIF($E157:S157,"¶")+COUNTIF($E157:S157,"²")+COUNTIF($E157:S157,"µ")+COUNTIF($E157:S157,1)-1,INDEX(Roadmap!$D:$K,MATCH($E157,Roadmap!$D:$D,0)-1+COUNTIF($E157:S157,"u")+COUNTIF($E157:S157,"t")+COUNTIF($E157:S157,"¶")+COUNTIF($E157:S157,"²")+COUNTIF($E157:S157,"µ")+COUNTIF($E157:S157,1),ColDescriptionCourte)),""),
  "")),"")</f>
        <v/>
      </c>
      <c r="U157" s="40" t="str">
        <f ca="1">IFERROR(IF(AND(
  INDEX(Roadmap!$D:$K,MATCH($E157,Roadmap!$D:$D,0)+COUNTIF($E157:T157,"u")+COUNTIF($E157:T157,"t")+COUNTIF($E157:T157,"¶")+COUNTIF($E157:T157,"²")+COUNTIF($E157:T157,"µ")+COUNTIF($E157:T157,1),ColLivraison)=U$6,
  VLOOKUP($E157,INDIRECT("tri!"&amp; CHAR(64+ C0Col) &amp;":"&amp; CHAR(65+C0Col)),2,FALSE)&gt;COUNTIF($E157:T157,"u")+COUNTIF($E157:T157,"t")+COUNTIF($E157:T157,"¶")+COUNTIF($E157:T157,"²")+COUNTIF($E157:T157,"µ")+COUNTIF($E157:T157,1)),
HYPERLINK("#Roadmap!C"&amp; MATCH($E157,Roadmap!$D:$D,0)+COUNTIF($E157:T157,"u")+COUNTIF($E157:T157,"t"),
     INDEX(Roadmap!$D:$K,MATCH($E157,Roadmap!$D:$D,0)+COUNTIF($E157:T157,"u")+COUNTIF($E157:T157,"t")+COUNTIF($E157:T157,"¶")+COUNTIF($E157:T157,"²")+COUNTIF($E157:T157,"µ")+COUNTIF($E157:T157,1),ColTypeEcheance)),
  IF(LEN(T157)=1,
  IF(LEN(INDEX(Roadmap!$D:$K,MATCH($E157,Roadmap!$D:$D,0)-1+COUNTIF($E157:T157,"u")+COUNTIF($E157:T157,"t")+COUNTIF($E157:T157,"¶")+COUNTIF($E157:T157,"²")+COUNTIF($E157:T157,"µ")+COUNTIF($E157:T157,1),ColDescriptionCourte))&gt;1,
HYPERLINK("#Roadmap!C"&amp; MATCH($E157,Roadmap!$D:$D,0)+COUNTIF($E157:T157,"u")+COUNTIF($E157:T157,"t")+COUNTIF($E157:T157,"¶")+COUNTIF($E157:T157,"²")+COUNTIF($E157:T157,"µ")+COUNTIF($E157:T157,1)-1,INDEX(Roadmap!$D:$K,MATCH($E157,Roadmap!$D:$D,0)-1+COUNTIF($E157:T157,"u")+COUNTIF($E157:T157,"t")+COUNTIF($E157:T157,"¶")+COUNTIF($E157:T157,"²")+COUNTIF($E157:T157,"µ")+COUNTIF($E157:T157,1),ColDescriptionCourte)),""),
  "")),"")</f>
        <v/>
      </c>
      <c r="V157" s="40" t="str">
        <f ca="1">IFERROR(IF(AND(
  INDEX(Roadmap!$D:$K,MATCH($E157,Roadmap!$D:$D,0)+COUNTIF($E157:U157,"u")+COUNTIF($E157:U157,"t")+COUNTIF($E157:U157,"¶")+COUNTIF($E157:U157,"²")+COUNTIF($E157:U157,"µ")+COUNTIF($E157:U157,1),ColLivraison)=V$6,
  VLOOKUP($E157,INDIRECT("tri!"&amp; CHAR(64+ C0Col) &amp;":"&amp; CHAR(65+C0Col)),2,FALSE)&gt;COUNTIF($E157:U157,"u")+COUNTIF($E157:U157,"t")+COUNTIF($E157:U157,"¶")+COUNTIF($E157:U157,"²")+COUNTIF($E157:U157,"µ")+COUNTIF($E157:U157,1)),
HYPERLINK("#Roadmap!C"&amp; MATCH($E157,Roadmap!$D:$D,0)+COUNTIF($E157:U157,"u")+COUNTIF($E157:U157,"t"),
     INDEX(Roadmap!$D:$K,MATCH($E157,Roadmap!$D:$D,0)+COUNTIF($E157:U157,"u")+COUNTIF($E157:U157,"t")+COUNTIF($E157:U157,"¶")+COUNTIF($E157:U157,"²")+COUNTIF($E157:U157,"µ")+COUNTIF($E157:U157,1),ColTypeEcheance)),
  IF(LEN(U157)=1,
  IF(LEN(INDEX(Roadmap!$D:$K,MATCH($E157,Roadmap!$D:$D,0)-1+COUNTIF($E157:U157,"u")+COUNTIF($E157:U157,"t")+COUNTIF($E157:U157,"¶")+COUNTIF($E157:U157,"²")+COUNTIF($E157:U157,"µ")+COUNTIF($E157:U157,1),ColDescriptionCourte))&gt;1,
HYPERLINK("#Roadmap!C"&amp; MATCH($E157,Roadmap!$D:$D,0)+COUNTIF($E157:U157,"u")+COUNTIF($E157:U157,"t")+COUNTIF($E157:U157,"¶")+COUNTIF($E157:U157,"²")+COUNTIF($E157:U157,"µ")+COUNTIF($E157:U157,1)-1,INDEX(Roadmap!$D:$K,MATCH($E157,Roadmap!$D:$D,0)-1+COUNTIF($E157:U157,"u")+COUNTIF($E157:U157,"t")+COUNTIF($E157:U157,"¶")+COUNTIF($E157:U157,"²")+COUNTIF($E157:U157,"µ")+COUNTIF($E157:U157,1),ColDescriptionCourte)),""),
  "")),"")</f>
        <v/>
      </c>
      <c r="W157" s="40" t="str">
        <f ca="1">IFERROR(IF(AND(
  INDEX(Roadmap!$D:$K,MATCH($E157,Roadmap!$D:$D,0)+COUNTIF($E157:V157,"u")+COUNTIF($E157:V157,"t")+COUNTIF($E157:V157,"¶")+COUNTIF($E157:V157,"²")+COUNTIF($E157:V157,"µ")+COUNTIF($E157:V157,1),ColLivraison)=W$6,
  VLOOKUP($E157,INDIRECT("tri!"&amp; CHAR(64+ C0Col) &amp;":"&amp; CHAR(65+C0Col)),2,FALSE)&gt;COUNTIF($E157:V157,"u")+COUNTIF($E157:V157,"t")+COUNTIF($E157:V157,"¶")+COUNTIF($E157:V157,"²")+COUNTIF($E157:V157,"µ")+COUNTIF($E157:V157,1)),
HYPERLINK("#Roadmap!C"&amp; MATCH($E157,Roadmap!$D:$D,0)+COUNTIF($E157:V157,"u")+COUNTIF($E157:V157,"t"),
     INDEX(Roadmap!$D:$K,MATCH($E157,Roadmap!$D:$D,0)+COUNTIF($E157:V157,"u")+COUNTIF($E157:V157,"t")+COUNTIF($E157:V157,"¶")+COUNTIF($E157:V157,"²")+COUNTIF($E157:V157,"µ")+COUNTIF($E157:V157,1),ColTypeEcheance)),
  IF(LEN(V157)=1,
  IF(LEN(INDEX(Roadmap!$D:$K,MATCH($E157,Roadmap!$D:$D,0)-1+COUNTIF($E157:V157,"u")+COUNTIF($E157:V157,"t")+COUNTIF($E157:V157,"¶")+COUNTIF($E157:V157,"²")+COUNTIF($E157:V157,"µ")+COUNTIF($E157:V157,1),ColDescriptionCourte))&gt;1,
HYPERLINK("#Roadmap!C"&amp; MATCH($E157,Roadmap!$D:$D,0)+COUNTIF($E157:V157,"u")+COUNTIF($E157:V157,"t")+COUNTIF($E157:V157,"¶")+COUNTIF($E157:V157,"²")+COUNTIF($E157:V157,"µ")+COUNTIF($E157:V157,1)-1,INDEX(Roadmap!$D:$K,MATCH($E157,Roadmap!$D:$D,0)-1+COUNTIF($E157:V157,"u")+COUNTIF($E157:V157,"t")+COUNTIF($E157:V157,"¶")+COUNTIF($E157:V157,"²")+COUNTIF($E157:V157,"µ")+COUNTIF($E157:V157,1),ColDescriptionCourte)),""),
  "")),"")</f>
        <v/>
      </c>
      <c r="X157" s="40" t="str">
        <f ca="1">IFERROR(IF(AND(
  INDEX(Roadmap!$D:$K,MATCH($E157,Roadmap!$D:$D,0)+COUNTIF($E157:W157,"u")+COUNTIF($E157:W157,"t")+COUNTIF($E157:W157,"¶")+COUNTIF($E157:W157,"²")+COUNTIF($E157:W157,"µ")+COUNTIF($E157:W157,1),ColLivraison)=X$6,
  VLOOKUP($E157,INDIRECT("tri!"&amp; CHAR(64+ C0Col) &amp;":"&amp; CHAR(65+C0Col)),2,FALSE)&gt;COUNTIF($E157:W157,"u")+COUNTIF($E157:W157,"t")+COUNTIF($E157:W157,"¶")+COUNTIF($E157:W157,"²")+COUNTIF($E157:W157,"µ")+COUNTIF($E157:W157,1)),
HYPERLINK("#Roadmap!C"&amp; MATCH($E157,Roadmap!$D:$D,0)+COUNTIF($E157:W157,"u")+COUNTIF($E157:W157,"t"),
     INDEX(Roadmap!$D:$K,MATCH($E157,Roadmap!$D:$D,0)+COUNTIF($E157:W157,"u")+COUNTIF($E157:W157,"t")+COUNTIF($E157:W157,"¶")+COUNTIF($E157:W157,"²")+COUNTIF($E157:W157,"µ")+COUNTIF($E157:W157,1),ColTypeEcheance)),
  IF(LEN(W157)=1,
  IF(LEN(INDEX(Roadmap!$D:$K,MATCH($E157,Roadmap!$D:$D,0)-1+COUNTIF($E157:W157,"u")+COUNTIF($E157:W157,"t")+COUNTIF($E157:W157,"¶")+COUNTIF($E157:W157,"²")+COUNTIF($E157:W157,"µ")+COUNTIF($E157:W157,1),ColDescriptionCourte))&gt;1,
HYPERLINK("#Roadmap!C"&amp; MATCH($E157,Roadmap!$D:$D,0)+COUNTIF($E157:W157,"u")+COUNTIF($E157:W157,"t")+COUNTIF($E157:W157,"¶")+COUNTIF($E157:W157,"²")+COUNTIF($E157:W157,"µ")+COUNTIF($E157:W157,1)-1,INDEX(Roadmap!$D:$K,MATCH($E157,Roadmap!$D:$D,0)-1+COUNTIF($E157:W157,"u")+COUNTIF($E157:W157,"t")+COUNTIF($E157:W157,"¶")+COUNTIF($E157:W157,"²")+COUNTIF($E157:W157,"µ")+COUNTIF($E157:W157,1),ColDescriptionCourte)),""),
  "")),"")</f>
        <v/>
      </c>
      <c r="Y157" s="40" t="str">
        <f ca="1">IFERROR(IF(AND(
  INDEX(Roadmap!$D:$K,MATCH($E157,Roadmap!$D:$D,0)+COUNTIF($E157:X157,"u")+COUNTIF($E157:X157,"t")+COUNTIF($E157:X157,"¶")+COUNTIF($E157:X157,"²")+COUNTIF($E157:X157,"µ")+COUNTIF($E157:X157,1),ColLivraison)=Y$6,
  VLOOKUP($E157,INDIRECT("tri!"&amp; CHAR(64+ C0Col) &amp;":"&amp; CHAR(65+C0Col)),2,FALSE)&gt;COUNTIF($E157:X157,"u")+COUNTIF($E157:X157,"t")+COUNTIF($E157:X157,"¶")+COUNTIF($E157:X157,"²")+COUNTIF($E157:X157,"µ")+COUNTIF($E157:X157,1)),
HYPERLINK("#Roadmap!C"&amp; MATCH($E157,Roadmap!$D:$D,0)+COUNTIF($E157:X157,"u")+COUNTIF($E157:X157,"t"),
     INDEX(Roadmap!$D:$K,MATCH($E157,Roadmap!$D:$D,0)+COUNTIF($E157:X157,"u")+COUNTIF($E157:X157,"t")+COUNTIF($E157:X157,"¶")+COUNTIF($E157:X157,"²")+COUNTIF($E157:X157,"µ")+COUNTIF($E157:X157,1),ColTypeEcheance)),
  IF(LEN(X157)=1,
  IF(LEN(INDEX(Roadmap!$D:$K,MATCH($E157,Roadmap!$D:$D,0)-1+COUNTIF($E157:X157,"u")+COUNTIF($E157:X157,"t")+COUNTIF($E157:X157,"¶")+COUNTIF($E157:X157,"²")+COUNTIF($E157:X157,"µ")+COUNTIF($E157:X157,1),ColDescriptionCourte))&gt;1,
HYPERLINK("#Roadmap!C"&amp; MATCH($E157,Roadmap!$D:$D,0)+COUNTIF($E157:X157,"u")+COUNTIF($E157:X157,"t")+COUNTIF($E157:X157,"¶")+COUNTIF($E157:X157,"²")+COUNTIF($E157:X157,"µ")+COUNTIF($E157:X157,1)-1,INDEX(Roadmap!$D:$K,MATCH($E157,Roadmap!$D:$D,0)-1+COUNTIF($E157:X157,"u")+COUNTIF($E157:X157,"t")+COUNTIF($E157:X157,"¶")+COUNTIF($E157:X157,"²")+COUNTIF($E157:X157,"µ")+COUNTIF($E157:X157,1),ColDescriptionCourte)),""),
  "")),"")</f>
        <v/>
      </c>
      <c r="Z157" s="40" t="str">
        <f ca="1">IFERROR(IF(AND(
  INDEX(Roadmap!$D:$K,MATCH($E157,Roadmap!$D:$D,0)+COUNTIF($E157:Y157,"u")+COUNTIF($E157:Y157,"t")+COUNTIF($E157:Y157,"¶")+COUNTIF($E157:Y157,"²")+COUNTIF($E157:Y157,"µ")+COUNTIF($E157:Y157,1),ColLivraison)=Z$6,
  VLOOKUP($E157,INDIRECT("tri!"&amp; CHAR(64+ C0Col) &amp;":"&amp; CHAR(65+C0Col)),2,FALSE)&gt;COUNTIF($E157:Y157,"u")+COUNTIF($E157:Y157,"t")+COUNTIF($E157:Y157,"¶")+COUNTIF($E157:Y157,"²")+COUNTIF($E157:Y157,"µ")+COUNTIF($E157:Y157,1)),
HYPERLINK("#Roadmap!C"&amp; MATCH($E157,Roadmap!$D:$D,0)+COUNTIF($E157:Y157,"u")+COUNTIF($E157:Y157,"t"),
     INDEX(Roadmap!$D:$K,MATCH($E157,Roadmap!$D:$D,0)+COUNTIF($E157:Y157,"u")+COUNTIF($E157:Y157,"t")+COUNTIF($E157:Y157,"¶")+COUNTIF($E157:Y157,"²")+COUNTIF($E157:Y157,"µ")+COUNTIF($E157:Y157,1),ColTypeEcheance)),
  IF(LEN(Y157)=1,
  IF(LEN(INDEX(Roadmap!$D:$K,MATCH($E157,Roadmap!$D:$D,0)-1+COUNTIF($E157:Y157,"u")+COUNTIF($E157:Y157,"t")+COUNTIF($E157:Y157,"¶")+COUNTIF($E157:Y157,"²")+COUNTIF($E157:Y157,"µ")+COUNTIF($E157:Y157,1),ColDescriptionCourte))&gt;1,
HYPERLINK("#Roadmap!C"&amp; MATCH($E157,Roadmap!$D:$D,0)+COUNTIF($E157:Y157,"u")+COUNTIF($E157:Y157,"t")+COUNTIF($E157:Y157,"¶")+COUNTIF($E157:Y157,"²")+COUNTIF($E157:Y157,"µ")+COUNTIF($E157:Y157,1)-1,INDEX(Roadmap!$D:$K,MATCH($E157,Roadmap!$D:$D,0)-1+COUNTIF($E157:Y157,"u")+COUNTIF($E157:Y157,"t")+COUNTIF($E157:Y157,"¶")+COUNTIF($E157:Y157,"²")+COUNTIF($E157:Y157,"µ")+COUNTIF($E157:Y157,1),ColDescriptionCourte)),""),
  "")),"")</f>
        <v/>
      </c>
      <c r="AA157" s="40" t="str">
        <f ca="1">IFERROR(IF(AND(
  INDEX(Roadmap!$D:$K,MATCH($E157,Roadmap!$D:$D,0)+COUNTIF($E157:Z157,"u")+COUNTIF($E157:Z157,"t")+COUNTIF($E157:Z157,"¶")+COUNTIF($E157:Z157,"²")+COUNTIF($E157:Z157,"µ")+COUNTIF($E157:Z157,1),ColLivraison)=AA$6,
  VLOOKUP($E157,INDIRECT("tri!"&amp; CHAR(64+ C0Col) &amp;":"&amp; CHAR(65+C0Col)),2,FALSE)&gt;COUNTIF($E157:Z157,"u")+COUNTIF($E157:Z157,"t")+COUNTIF($E157:Z157,"¶")+COUNTIF($E157:Z157,"²")+COUNTIF($E157:Z157,"µ")+COUNTIF($E157:Z157,1)),
HYPERLINK("#Roadmap!C"&amp; MATCH($E157,Roadmap!$D:$D,0)+COUNTIF($E157:Z157,"u")+COUNTIF($E157:Z157,"t"),
     INDEX(Roadmap!$D:$K,MATCH($E157,Roadmap!$D:$D,0)+COUNTIF($E157:Z157,"u")+COUNTIF($E157:Z157,"t")+COUNTIF($E157:Z157,"¶")+COUNTIF($E157:Z157,"²")+COUNTIF($E157:Z157,"µ")+COUNTIF($E157:Z157,1),ColTypeEcheance)),
  IF(LEN(Z157)=1,
  IF(LEN(INDEX(Roadmap!$D:$K,MATCH($E157,Roadmap!$D:$D,0)-1+COUNTIF($E157:Z157,"u")+COUNTIF($E157:Z157,"t")+COUNTIF($E157:Z157,"¶")+COUNTIF($E157:Z157,"²")+COUNTIF($E157:Z157,"µ")+COUNTIF($E157:Z157,1),ColDescriptionCourte))&gt;1,
HYPERLINK("#Roadmap!C"&amp; MATCH($E157,Roadmap!$D:$D,0)+COUNTIF($E157:Z157,"u")+COUNTIF($E157:Z157,"t")+COUNTIF($E157:Z157,"¶")+COUNTIF($E157:Z157,"²")+COUNTIF($E157:Z157,"µ")+COUNTIF($E157:Z157,1)-1,INDEX(Roadmap!$D:$K,MATCH($E157,Roadmap!$D:$D,0)-1+COUNTIF($E157:Z157,"u")+COUNTIF($E157:Z157,"t")+COUNTIF($E157:Z157,"¶")+COUNTIF($E157:Z157,"²")+COUNTIF($E157:Z157,"µ")+COUNTIF($E157:Z157,1),ColDescriptionCourte)),""),
  "")),"")</f>
        <v/>
      </c>
      <c r="AB157" s="40" t="str">
        <f ca="1">IFERROR(IF(AND(
  INDEX(Roadmap!$D:$K,MATCH($E157,Roadmap!$D:$D,0)+COUNTIF($E157:AA157,"u")+COUNTIF($E157:AA157,"t")+COUNTIF($E157:AA157,"¶")+COUNTIF($E157:AA157,"²")+COUNTIF($E157:AA157,"µ")+COUNTIF($E157:AA157,1),ColLivraison)=AB$6,
  VLOOKUP($E157,INDIRECT("tri!"&amp; CHAR(64+ C0Col) &amp;":"&amp; CHAR(65+C0Col)),2,FALSE)&gt;COUNTIF($E157:AA157,"u")+COUNTIF($E157:AA157,"t")+COUNTIF($E157:AA157,"¶")+COUNTIF($E157:AA157,"²")+COUNTIF($E157:AA157,"µ")+COUNTIF($E157:AA157,1)),
HYPERLINK("#Roadmap!C"&amp; MATCH($E157,Roadmap!$D:$D,0)+COUNTIF($E157:AA157,"u")+COUNTIF($E157:AA157,"t"),
     INDEX(Roadmap!$D:$K,MATCH($E157,Roadmap!$D:$D,0)+COUNTIF($E157:AA157,"u")+COUNTIF($E157:AA157,"t")+COUNTIF($E157:AA157,"¶")+COUNTIF($E157:AA157,"²")+COUNTIF($E157:AA157,"µ")+COUNTIF($E157:AA157,1),ColTypeEcheance)),
  IF(LEN(AA157)=1,
  IF(LEN(INDEX(Roadmap!$D:$K,MATCH($E157,Roadmap!$D:$D,0)-1+COUNTIF($E157:AA157,"u")+COUNTIF($E157:AA157,"t")+COUNTIF($E157:AA157,"¶")+COUNTIF($E157:AA157,"²")+COUNTIF($E157:AA157,"µ")+COUNTIF($E157:AA157,1),ColDescriptionCourte))&gt;1,
HYPERLINK("#Roadmap!C"&amp; MATCH($E157,Roadmap!$D:$D,0)+COUNTIF($E157:AA157,"u")+COUNTIF($E157:AA157,"t")+COUNTIF($E157:AA157,"¶")+COUNTIF($E157:AA157,"²")+COUNTIF($E157:AA157,"µ")+COUNTIF($E157:AA157,1)-1,INDEX(Roadmap!$D:$K,MATCH($E157,Roadmap!$D:$D,0)-1+COUNTIF($E157:AA157,"u")+COUNTIF($E157:AA157,"t")+COUNTIF($E157:AA157,"¶")+COUNTIF($E157:AA157,"²")+COUNTIF($E157:AA157,"µ")+COUNTIF($E157:AA157,1),ColDescriptionCourte)),""),
  "")),"")</f>
        <v/>
      </c>
      <c r="AC157" s="40" t="str">
        <f ca="1">IFERROR(IF(AND(
  INDEX(Roadmap!$D:$K,MATCH($E157,Roadmap!$D:$D,0)+COUNTIF($E157:AB157,"u")+COUNTIF($E157:AB157,"t")+COUNTIF($E157:AB157,"¶")+COUNTIF($E157:AB157,"²")+COUNTIF($E157:AB157,"µ")+COUNTIF($E157:AB157,1),ColLivraison)=AC$6,
  VLOOKUP($E157,INDIRECT("tri!"&amp; CHAR(64+ C0Col) &amp;":"&amp; CHAR(65+C0Col)),2,FALSE)&gt;COUNTIF($E157:AB157,"u")+COUNTIF($E157:AB157,"t")+COUNTIF($E157:AB157,"¶")+COUNTIF($E157:AB157,"²")+COUNTIF($E157:AB157,"µ")+COUNTIF($E157:AB157,1)),
HYPERLINK("#Roadmap!C"&amp; MATCH($E157,Roadmap!$D:$D,0)+COUNTIF($E157:AB157,"u")+COUNTIF($E157:AB157,"t"),
     INDEX(Roadmap!$D:$K,MATCH($E157,Roadmap!$D:$D,0)+COUNTIF($E157:AB157,"u")+COUNTIF($E157:AB157,"t")+COUNTIF($E157:AB157,"¶")+COUNTIF($E157:AB157,"²")+COUNTIF($E157:AB157,"µ")+COUNTIF($E157:AB157,1),ColTypeEcheance)),
  IF(LEN(AB157)=1,
  IF(LEN(INDEX(Roadmap!$D:$K,MATCH($E157,Roadmap!$D:$D,0)-1+COUNTIF($E157:AB157,"u")+COUNTIF($E157:AB157,"t")+COUNTIF($E157:AB157,"¶")+COUNTIF($E157:AB157,"²")+COUNTIF($E157:AB157,"µ")+COUNTIF($E157:AB157,1),ColDescriptionCourte))&gt;1,
HYPERLINK("#Roadmap!C"&amp; MATCH($E157,Roadmap!$D:$D,0)+COUNTIF($E157:AB157,"u")+COUNTIF($E157:AB157,"t")+COUNTIF($E157:AB157,"¶")+COUNTIF($E157:AB157,"²")+COUNTIF($E157:AB157,"µ")+COUNTIF($E157:AB157,1)-1,INDEX(Roadmap!$D:$K,MATCH($E157,Roadmap!$D:$D,0)-1+COUNTIF($E157:AB157,"u")+COUNTIF($E157:AB157,"t")+COUNTIF($E157:AB157,"¶")+COUNTIF($E157:AB157,"²")+COUNTIF($E157:AB157,"µ")+COUNTIF($E157:AB157,1),ColDescriptionCourte)),""),
  "")),"")</f>
        <v/>
      </c>
      <c r="AD157" s="40" t="str">
        <f ca="1">IFERROR(IF(AND(
  INDEX(Roadmap!$D:$K,MATCH($E157,Roadmap!$D:$D,0)+COUNTIF($E157:AC157,"u")+COUNTIF($E157:AC157,"t")+COUNTIF($E157:AC157,"¶")+COUNTIF($E157:AC157,"²")+COUNTIF($E157:AC157,"µ")+COUNTIF($E157:AC157,1),ColLivraison)=AD$6,
  VLOOKUP($E157,INDIRECT("tri!"&amp; CHAR(64+ C0Col) &amp;":"&amp; CHAR(65+C0Col)),2,FALSE)&gt;COUNTIF($E157:AC157,"u")+COUNTIF($E157:AC157,"t")+COUNTIF($E157:AC157,"¶")+COUNTIF($E157:AC157,"²")+COUNTIF($E157:AC157,"µ")+COUNTIF($E157:AC157,1)),
HYPERLINK("#Roadmap!C"&amp; MATCH($E157,Roadmap!$D:$D,0)+COUNTIF($E157:AC157,"u")+COUNTIF($E157:AC157,"t"),
     INDEX(Roadmap!$D:$K,MATCH($E157,Roadmap!$D:$D,0)+COUNTIF($E157:AC157,"u")+COUNTIF($E157:AC157,"t")+COUNTIF($E157:AC157,"¶")+COUNTIF($E157:AC157,"²")+COUNTIF($E157:AC157,"µ")+COUNTIF($E157:AC157,1),ColTypeEcheance)),
  IF(LEN(AC157)=1,
  IF(LEN(INDEX(Roadmap!$D:$K,MATCH($E157,Roadmap!$D:$D,0)-1+COUNTIF($E157:AC157,"u")+COUNTIF($E157:AC157,"t")+COUNTIF($E157:AC157,"¶")+COUNTIF($E157:AC157,"²")+COUNTIF($E157:AC157,"µ")+COUNTIF($E157:AC157,1),ColDescriptionCourte))&gt;1,
HYPERLINK("#Roadmap!C"&amp; MATCH($E157,Roadmap!$D:$D,0)+COUNTIF($E157:AC157,"u")+COUNTIF($E157:AC157,"t")+COUNTIF($E157:AC157,"¶")+COUNTIF($E157:AC157,"²")+COUNTIF($E157:AC157,"µ")+COUNTIF($E157:AC157,1)-1,INDEX(Roadmap!$D:$K,MATCH($E157,Roadmap!$D:$D,0)-1+COUNTIF($E157:AC157,"u")+COUNTIF($E157:AC157,"t")+COUNTIF($E157:AC157,"¶")+COUNTIF($E157:AC157,"²")+COUNTIF($E157:AC157,"µ")+COUNTIF($E157:AC157,1),ColDescriptionCourte)),""),
  "")),"")</f>
        <v/>
      </c>
      <c r="AE157" s="40" t="str">
        <f ca="1">IFERROR(IF(AND(
  INDEX(Roadmap!$D:$K,MATCH($E157,Roadmap!$D:$D,0)+COUNTIF($E157:AD157,"u")+COUNTIF($E157:AD157,"t")+COUNTIF($E157:AD157,"¶")+COUNTIF($E157:AD157,"²")+COUNTIF($E157:AD157,"µ")+COUNTIF($E157:AD157,1),ColLivraison)=AE$6,
  VLOOKUP($E157,INDIRECT("tri!"&amp; CHAR(64+ C0Col) &amp;":"&amp; CHAR(65+C0Col)),2,FALSE)&gt;COUNTIF($E157:AD157,"u")+COUNTIF($E157:AD157,"t")+COUNTIF($E157:AD157,"¶")+COUNTIF($E157:AD157,"²")+COUNTIF($E157:AD157,"µ")+COUNTIF($E157:AD157,1)),
HYPERLINK("#Roadmap!C"&amp; MATCH($E157,Roadmap!$D:$D,0)+COUNTIF($E157:AD157,"u")+COUNTIF($E157:AD157,"t"),
     INDEX(Roadmap!$D:$K,MATCH($E157,Roadmap!$D:$D,0)+COUNTIF($E157:AD157,"u")+COUNTIF($E157:AD157,"t")+COUNTIF($E157:AD157,"¶")+COUNTIF($E157:AD157,"²")+COUNTIF($E157:AD157,"µ")+COUNTIF($E157:AD157,1),ColTypeEcheance)),
  IF(LEN(AD157)=1,
  IF(LEN(INDEX(Roadmap!$D:$K,MATCH($E157,Roadmap!$D:$D,0)-1+COUNTIF($E157:AD157,"u")+COUNTIF($E157:AD157,"t")+COUNTIF($E157:AD157,"¶")+COUNTIF($E157:AD157,"²")+COUNTIF($E157:AD157,"µ")+COUNTIF($E157:AD157,1),ColDescriptionCourte))&gt;1,
HYPERLINK("#Roadmap!C"&amp; MATCH($E157,Roadmap!$D:$D,0)+COUNTIF($E157:AD157,"u")+COUNTIF($E157:AD157,"t")+COUNTIF($E157:AD157,"¶")+COUNTIF($E157:AD157,"²")+COUNTIF($E157:AD157,"µ")+COUNTIF($E157:AD157,1)-1,INDEX(Roadmap!$D:$K,MATCH($E157,Roadmap!$D:$D,0)-1+COUNTIF($E157:AD157,"u")+COUNTIF($E157:AD157,"t")+COUNTIF($E157:AD157,"¶")+COUNTIF($E157:AD157,"²")+COUNTIF($E157:AD157,"µ")+COUNTIF($E157:AD157,1),ColDescriptionCourte)),""),
  "")),"")</f>
        <v/>
      </c>
      <c r="AF157" s="40" t="str">
        <f ca="1">IFERROR(IF(AND(
  INDEX(Roadmap!$D:$K,MATCH($E157,Roadmap!$D:$D,0)+COUNTIF($E157:AE157,"u")+COUNTIF($E157:AE157,"t")+COUNTIF($E157:AE157,"¶")+COUNTIF($E157:AE157,"²")+COUNTIF($E157:AE157,"µ")+COUNTIF($E157:AE157,1),ColLivraison)=AF$6,
  VLOOKUP($E157,INDIRECT("tri!"&amp; CHAR(64+ C0Col) &amp;":"&amp; CHAR(65+C0Col)),2,FALSE)&gt;COUNTIF($E157:AE157,"u")+COUNTIF($E157:AE157,"t")+COUNTIF($E157:AE157,"¶")+COUNTIF($E157:AE157,"²")+COUNTIF($E157:AE157,"µ")+COUNTIF($E157:AE157,1)),
HYPERLINK("#Roadmap!C"&amp; MATCH($E157,Roadmap!$D:$D,0)+COUNTIF($E157:AE157,"u")+COUNTIF($E157:AE157,"t"),
     INDEX(Roadmap!$D:$K,MATCH($E157,Roadmap!$D:$D,0)+COUNTIF($E157:AE157,"u")+COUNTIF($E157:AE157,"t")+COUNTIF($E157:AE157,"¶")+COUNTIF($E157:AE157,"²")+COUNTIF($E157:AE157,"µ")+COUNTIF($E157:AE157,1),ColTypeEcheance)),
  IF(LEN(AE157)=1,
  IF(LEN(INDEX(Roadmap!$D:$K,MATCH($E157,Roadmap!$D:$D,0)-1+COUNTIF($E157:AE157,"u")+COUNTIF($E157:AE157,"t")+COUNTIF($E157:AE157,"¶")+COUNTIF($E157:AE157,"²")+COUNTIF($E157:AE157,"µ")+COUNTIF($E157:AE157,1),ColDescriptionCourte))&gt;1,
HYPERLINK("#Roadmap!C"&amp; MATCH($E157,Roadmap!$D:$D,0)+COUNTIF($E157:AE157,"u")+COUNTIF($E157:AE157,"t")+COUNTIF($E157:AE157,"¶")+COUNTIF($E157:AE157,"²")+COUNTIF($E157:AE157,"µ")+COUNTIF($E157:AE157,1)-1,INDEX(Roadmap!$D:$K,MATCH($E157,Roadmap!$D:$D,0)-1+COUNTIF($E157:AE157,"u")+COUNTIF($E157:AE157,"t")+COUNTIF($E157:AE157,"¶")+COUNTIF($E157:AE157,"²")+COUNTIF($E157:AE157,"µ")+COUNTIF($E157:AE157,1),ColDescriptionCourte)),""),
  "")),"")</f>
        <v/>
      </c>
      <c r="AG157" s="40" t="str">
        <f ca="1">IFERROR(IF(AND(
  INDEX(Roadmap!$D:$K,MATCH($E157,Roadmap!$D:$D,0)+COUNTIF($E157:AF157,"u")+COUNTIF($E157:AF157,"t")+COUNTIF($E157:AF157,"¶")+COUNTIF($E157:AF157,"²")+COUNTIF($E157:AF157,"µ")+COUNTIF($E157:AF157,1),ColLivraison)=AG$6,
  VLOOKUP($E157,INDIRECT("tri!"&amp; CHAR(64+ C0Col) &amp;":"&amp; CHAR(65+C0Col)),2,FALSE)&gt;COUNTIF($E157:AF157,"u")+COUNTIF($E157:AF157,"t")+COUNTIF($E157:AF157,"¶")+COUNTIF($E157:AF157,"²")+COUNTIF($E157:AF157,"µ")+COUNTIF($E157:AF157,1)),
HYPERLINK("#Roadmap!C"&amp; MATCH($E157,Roadmap!$D:$D,0)+COUNTIF($E157:AF157,"u")+COUNTIF($E157:AF157,"t"),
     INDEX(Roadmap!$D:$K,MATCH($E157,Roadmap!$D:$D,0)+COUNTIF($E157:AF157,"u")+COUNTIF($E157:AF157,"t")+COUNTIF($E157:AF157,"¶")+COUNTIF($E157:AF157,"²")+COUNTIF($E157:AF157,"µ")+COUNTIF($E157:AF157,1),ColTypeEcheance)),
  IF(LEN(AF157)=1,
  IF(LEN(INDEX(Roadmap!$D:$K,MATCH($E157,Roadmap!$D:$D,0)-1+COUNTIF($E157:AF157,"u")+COUNTIF($E157:AF157,"t")+COUNTIF($E157:AF157,"¶")+COUNTIF($E157:AF157,"²")+COUNTIF($E157:AF157,"µ")+COUNTIF($E157:AF157,1),ColDescriptionCourte))&gt;1,
HYPERLINK("#Roadmap!C"&amp; MATCH($E157,Roadmap!$D:$D,0)+COUNTIF($E157:AF157,"u")+COUNTIF($E157:AF157,"t")+COUNTIF($E157:AF157,"¶")+COUNTIF($E157:AF157,"²")+COUNTIF($E157:AF157,"µ")+COUNTIF($E157:AF157,1)-1,INDEX(Roadmap!$D:$K,MATCH($E157,Roadmap!$D:$D,0)-1+COUNTIF($E157:AF157,"u")+COUNTIF($E157:AF157,"t")+COUNTIF($E157:AF157,"¶")+COUNTIF($E157:AF157,"²")+COUNTIF($E157:AF157,"µ")+COUNTIF($E157:AF157,1),ColDescriptionCourte)),""),
  "")),"")</f>
        <v/>
      </c>
    </row>
    <row r="158" spans="3:33" ht="14.25" customHeight="1">
      <c r="C158" s="1" t="str">
        <f t="shared" ca="1" si="52"/>
        <v/>
      </c>
      <c r="D158" s="1" t="str">
        <f t="shared" ca="1" si="53"/>
        <v/>
      </c>
      <c r="E158" s="35" t="str">
        <f t="shared" ca="1" si="51"/>
        <v/>
      </c>
      <c r="F158" s="39" t="str">
        <f ca="1">IFERROR(IF(AND(
  INDEX(Roadmap!$D:$K,MATCH($E158,Roadmap!$D:$D,0)+COUNTIF($E158:E158,"u")+COUNTIF($E158:E158,"t")+COUNTIF($E158:E158,"¶")+COUNTIF($E158:E158,"²")+COUNTIF($E158:E158,"µ")+COUNTIF($E158:E158,1),ColLivraison)=F$6,
  VLOOKUP($E158,INDIRECT("tri!"&amp; CHAR(64+ C0Col) &amp;":"&amp; CHAR(65+C0Col)),2,FALSE)&gt;COUNTIF($E158:E158,"u")+COUNTIF($E158:E158,"t")+COUNTIF($E158:E158,"¶")+COUNTIF($E158:E158,"²")+COUNTIF($E158:E158,"µ")+COUNTIF($E158:E158,1)),
HYPERLINK("#Roadmap!C"&amp; MATCH($E158,Roadmap!$D:$D,0)+COUNTIF($E158:E158,"u")+COUNTIF($E158:E158,"t"),
     INDEX(Roadmap!$D:$K,MATCH($E158,Roadmap!$D:$D,0)+COUNTIF($E158:E158,"u")+COUNTIF($E158:E158,"t")+COUNTIF($E158:E158,"¶")+COUNTIF($E158:E158,"²")+COUNTIF($E158:E158,"µ")+COUNTIF($E158:E158,1),ColTypeEcheance)),
  IF(LEN(E158)=1,
  IF(LEN(INDEX(Roadmap!$D:$K,MATCH($E158,Roadmap!$D:$D,0)-1+COUNTIF($E158:E158,"u")+COUNTIF($E158:E158,"t")+COUNTIF($E158:E158,"¶")+COUNTIF($E158:E158,"²")+COUNTIF($E158:E158,"µ")+COUNTIF($E158:E158,1),ColDescriptionCourte))&gt;1,
HYPERLINK("#Roadmap!C"&amp; MATCH($E158,Roadmap!$D:$D,0)+COUNTIF($E158:E158,"u")+COUNTIF($E158:E158,"t")+COUNTIF($E158:E158,"¶")+COUNTIF($E158:E158,"²")+COUNTIF($E158:E158,"µ")+COUNTIF($E158:E158,1)-1,INDEX(Roadmap!$D:$K,MATCH($E158,Roadmap!$D:$D,0)-1+COUNTIF($E158:E158,"u")+COUNTIF($E158:E158,"t")+COUNTIF($E158:E158,"¶")+COUNTIF($E158:E158,"²")+COUNTIF($E158:E158,"µ")+COUNTIF($E158:E158,1),ColDescriptionCourte)),""),
  "")),"")</f>
        <v/>
      </c>
      <c r="G158" s="40" t="str">
        <f ca="1">IFERROR(IF(AND(
  INDEX(Roadmap!$D:$K,MATCH($E158,Roadmap!$D:$D,0)+COUNTIF($E158:F158,"u")+COUNTIF($E158:F158,"t")+COUNTIF($E158:F158,"¶")+COUNTIF($E158:F158,"²")+COUNTIF($E158:F158,"µ")+COUNTIF($E158:F158,1),ColLivraison)=G$6,
  VLOOKUP($E158,INDIRECT("tri!"&amp; CHAR(64+ C0Col) &amp;":"&amp; CHAR(65+C0Col)),2,FALSE)&gt;COUNTIF($E158:F158,"u")+COUNTIF($E158:F158,"t")+COUNTIF($E158:F158,"¶")+COUNTIF($E158:F158,"²")+COUNTIF($E158:F158,"µ")+COUNTIF($E158:F158,1)),
HYPERLINK("#Roadmap!C"&amp; MATCH($E158,Roadmap!$D:$D,0)+COUNTIF($E158:F158,"u")+COUNTIF($E158:F158,"t"),
     INDEX(Roadmap!$D:$K,MATCH($E158,Roadmap!$D:$D,0)+COUNTIF($E158:F158,"u")+COUNTIF($E158:F158,"t")+COUNTIF($E158:F158,"¶")+COUNTIF($E158:F158,"²")+COUNTIF($E158:F158,"µ")+COUNTIF($E158:F158,1),ColTypeEcheance)),
  IF(LEN(F158)=1,
  IF(LEN(INDEX(Roadmap!$D:$K,MATCH($E158,Roadmap!$D:$D,0)-1+COUNTIF($E158:F158,"u")+COUNTIF($E158:F158,"t")+COUNTIF($E158:F158,"¶")+COUNTIF($E158:F158,"²")+COUNTIF($E158:F158,"µ")+COUNTIF($E158:F158,1),ColDescriptionCourte))&gt;1,
HYPERLINK("#Roadmap!C"&amp; MATCH($E158,Roadmap!$D:$D,0)+COUNTIF($E158:F158,"u")+COUNTIF($E158:F158,"t")+COUNTIF($E158:F158,"¶")+COUNTIF($E158:F158,"²")+COUNTIF($E158:F158,"µ")+COUNTIF($E158:F158,1)-1,INDEX(Roadmap!$D:$K,MATCH($E158,Roadmap!$D:$D,0)-1+COUNTIF($E158:F158,"u")+COUNTIF($E158:F158,"t")+COUNTIF($E158:F158,"¶")+COUNTIF($E158:F158,"²")+COUNTIF($E158:F158,"µ")+COUNTIF($E158:F158,1),ColDescriptionCourte)),""),
  "")),"")</f>
        <v/>
      </c>
      <c r="H158" s="40" t="str">
        <f ca="1">IFERROR(IF(AND(
  INDEX(Roadmap!$D:$K,MATCH($E158,Roadmap!$D:$D,0)+COUNTIF($E158:G158,"u")+COUNTIF($E158:G158,"t")+COUNTIF($E158:G158,"¶")+COUNTIF($E158:G158,"²")+COUNTIF($E158:G158,"µ")+COUNTIF($E158:G158,1),ColLivraison)=H$6,
  VLOOKUP($E158,INDIRECT("tri!"&amp; CHAR(64+ C0Col) &amp;":"&amp; CHAR(65+C0Col)),2,FALSE)&gt;COUNTIF($E158:G158,"u")+COUNTIF($E158:G158,"t")+COUNTIF($E158:G158,"¶")+COUNTIF($E158:G158,"²")+COUNTIF($E158:G158,"µ")+COUNTIF($E158:G158,1)),
HYPERLINK("#Roadmap!C"&amp; MATCH($E158,Roadmap!$D:$D,0)+COUNTIF($E158:G158,"u")+COUNTIF($E158:G158,"t"),
     INDEX(Roadmap!$D:$K,MATCH($E158,Roadmap!$D:$D,0)+COUNTIF($E158:G158,"u")+COUNTIF($E158:G158,"t")+COUNTIF($E158:G158,"¶")+COUNTIF($E158:G158,"²")+COUNTIF($E158:G158,"µ")+COUNTIF($E158:G158,1),ColTypeEcheance)),
  IF(LEN(G158)=1,
  IF(LEN(INDEX(Roadmap!$D:$K,MATCH($E158,Roadmap!$D:$D,0)-1+COUNTIF($E158:G158,"u")+COUNTIF($E158:G158,"t")+COUNTIF($E158:G158,"¶")+COUNTIF($E158:G158,"²")+COUNTIF($E158:G158,"µ")+COUNTIF($E158:G158,1),ColDescriptionCourte))&gt;1,
HYPERLINK("#Roadmap!C"&amp; MATCH($E158,Roadmap!$D:$D,0)+COUNTIF($E158:G158,"u")+COUNTIF($E158:G158,"t")+COUNTIF($E158:G158,"¶")+COUNTIF($E158:G158,"²")+COUNTIF($E158:G158,"µ")+COUNTIF($E158:G158,1)-1,INDEX(Roadmap!$D:$K,MATCH($E158,Roadmap!$D:$D,0)-1+COUNTIF($E158:G158,"u")+COUNTIF($E158:G158,"t")+COUNTIF($E158:G158,"¶")+COUNTIF($E158:G158,"²")+COUNTIF($E158:G158,"µ")+COUNTIF($E158:G158,1),ColDescriptionCourte)),""),
  "")),"")</f>
        <v/>
      </c>
      <c r="I158" s="40" t="str">
        <f ca="1">IFERROR(IF(AND(
  INDEX(Roadmap!$D:$K,MATCH($E158,Roadmap!$D:$D,0)+COUNTIF($E158:H158,"u")+COUNTIF($E158:H158,"t")+COUNTIF($E158:H158,"¶")+COUNTIF($E158:H158,"²")+COUNTIF($E158:H158,"µ")+COUNTIF($E158:H158,1),ColLivraison)=I$6,
  VLOOKUP($E158,INDIRECT("tri!"&amp; CHAR(64+ C0Col) &amp;":"&amp; CHAR(65+C0Col)),2,FALSE)&gt;COUNTIF($E158:H158,"u")+COUNTIF($E158:H158,"t")+COUNTIF($E158:H158,"¶")+COUNTIF($E158:H158,"²")+COUNTIF($E158:H158,"µ")+COUNTIF($E158:H158,1)),
HYPERLINK("#Roadmap!C"&amp; MATCH($E158,Roadmap!$D:$D,0)+COUNTIF($E158:H158,"u")+COUNTIF($E158:H158,"t"),
     INDEX(Roadmap!$D:$K,MATCH($E158,Roadmap!$D:$D,0)+COUNTIF($E158:H158,"u")+COUNTIF($E158:H158,"t")+COUNTIF($E158:H158,"¶")+COUNTIF($E158:H158,"²")+COUNTIF($E158:H158,"µ")+COUNTIF($E158:H158,1),ColTypeEcheance)),
  IF(LEN(H158)=1,
  IF(LEN(INDEX(Roadmap!$D:$K,MATCH($E158,Roadmap!$D:$D,0)-1+COUNTIF($E158:H158,"u")+COUNTIF($E158:H158,"t")+COUNTIF($E158:H158,"¶")+COUNTIF($E158:H158,"²")+COUNTIF($E158:H158,"µ")+COUNTIF($E158:H158,1),ColDescriptionCourte))&gt;1,
HYPERLINK("#Roadmap!C"&amp; MATCH($E158,Roadmap!$D:$D,0)+COUNTIF($E158:H158,"u")+COUNTIF($E158:H158,"t")+COUNTIF($E158:H158,"¶")+COUNTIF($E158:H158,"²")+COUNTIF($E158:H158,"µ")+COUNTIF($E158:H158,1)-1,INDEX(Roadmap!$D:$K,MATCH($E158,Roadmap!$D:$D,0)-1+COUNTIF($E158:H158,"u")+COUNTIF($E158:H158,"t")+COUNTIF($E158:H158,"¶")+COUNTIF($E158:H158,"²")+COUNTIF($E158:H158,"µ")+COUNTIF($E158:H158,1),ColDescriptionCourte)),""),
  "")),"")</f>
        <v/>
      </c>
      <c r="J158" s="40" t="str">
        <f ca="1">IFERROR(IF(AND(
  INDEX(Roadmap!$D:$K,MATCH($E158,Roadmap!$D:$D,0)+COUNTIF($E158:I158,"u")+COUNTIF($E158:I158,"t")+COUNTIF($E158:I158,"¶")+COUNTIF($E158:I158,"²")+COUNTIF($E158:I158,"µ")+COUNTIF($E158:I158,1),ColLivraison)=J$6,
  VLOOKUP($E158,INDIRECT("tri!"&amp; CHAR(64+ C0Col) &amp;":"&amp; CHAR(65+C0Col)),2,FALSE)&gt;COUNTIF($E158:I158,"u")+COUNTIF($E158:I158,"t")+COUNTIF($E158:I158,"¶")+COUNTIF($E158:I158,"²")+COUNTIF($E158:I158,"µ")+COUNTIF($E158:I158,1)),
HYPERLINK("#Roadmap!C"&amp; MATCH($E158,Roadmap!$D:$D,0)+COUNTIF($E158:I158,"u")+COUNTIF($E158:I158,"t"),
     INDEX(Roadmap!$D:$K,MATCH($E158,Roadmap!$D:$D,0)+COUNTIF($E158:I158,"u")+COUNTIF($E158:I158,"t")+COUNTIF($E158:I158,"¶")+COUNTIF($E158:I158,"²")+COUNTIF($E158:I158,"µ")+COUNTIF($E158:I158,1),ColTypeEcheance)),
  IF(LEN(I158)=1,
  IF(LEN(INDEX(Roadmap!$D:$K,MATCH($E158,Roadmap!$D:$D,0)-1+COUNTIF($E158:I158,"u")+COUNTIF($E158:I158,"t")+COUNTIF($E158:I158,"¶")+COUNTIF($E158:I158,"²")+COUNTIF($E158:I158,"µ")+COUNTIF($E158:I158,1),ColDescriptionCourte))&gt;1,
HYPERLINK("#Roadmap!C"&amp; MATCH($E158,Roadmap!$D:$D,0)+COUNTIF($E158:I158,"u")+COUNTIF($E158:I158,"t")+COUNTIF($E158:I158,"¶")+COUNTIF($E158:I158,"²")+COUNTIF($E158:I158,"µ")+COUNTIF($E158:I158,1)-1,INDEX(Roadmap!$D:$K,MATCH($E158,Roadmap!$D:$D,0)-1+COUNTIF($E158:I158,"u")+COUNTIF($E158:I158,"t")+COUNTIF($E158:I158,"¶")+COUNTIF($E158:I158,"²")+COUNTIF($E158:I158,"µ")+COUNTIF($E158:I158,1),ColDescriptionCourte)),""),
  "")),"")</f>
        <v/>
      </c>
      <c r="K158" s="40" t="str">
        <f ca="1">IFERROR(IF(AND(
  INDEX(Roadmap!$D:$K,MATCH($E158,Roadmap!$D:$D,0)+COUNTIF($E158:J158,"u")+COUNTIF($E158:J158,"t")+COUNTIF($E158:J158,"¶")+COUNTIF($E158:J158,"²")+COUNTIF($E158:J158,"µ")+COUNTIF($E158:J158,1),ColLivraison)=K$6,
  VLOOKUP($E158,INDIRECT("tri!"&amp; CHAR(64+ C0Col) &amp;":"&amp; CHAR(65+C0Col)),2,FALSE)&gt;COUNTIF($E158:J158,"u")+COUNTIF($E158:J158,"t")+COUNTIF($E158:J158,"¶")+COUNTIF($E158:J158,"²")+COUNTIF($E158:J158,"µ")+COUNTIF($E158:J158,1)),
HYPERLINK("#Roadmap!C"&amp; MATCH($E158,Roadmap!$D:$D,0)+COUNTIF($E158:J158,"u")+COUNTIF($E158:J158,"t"),
     INDEX(Roadmap!$D:$K,MATCH($E158,Roadmap!$D:$D,0)+COUNTIF($E158:J158,"u")+COUNTIF($E158:J158,"t")+COUNTIF($E158:J158,"¶")+COUNTIF($E158:J158,"²")+COUNTIF($E158:J158,"µ")+COUNTIF($E158:J158,1),ColTypeEcheance)),
  IF(LEN(J158)=1,
  IF(LEN(INDEX(Roadmap!$D:$K,MATCH($E158,Roadmap!$D:$D,0)-1+COUNTIF($E158:J158,"u")+COUNTIF($E158:J158,"t")+COUNTIF($E158:J158,"¶")+COUNTIF($E158:J158,"²")+COUNTIF($E158:J158,"µ")+COUNTIF($E158:J158,1),ColDescriptionCourte))&gt;1,
HYPERLINK("#Roadmap!C"&amp; MATCH($E158,Roadmap!$D:$D,0)+COUNTIF($E158:J158,"u")+COUNTIF($E158:J158,"t")+COUNTIF($E158:J158,"¶")+COUNTIF($E158:J158,"²")+COUNTIF($E158:J158,"µ")+COUNTIF($E158:J158,1)-1,INDEX(Roadmap!$D:$K,MATCH($E158,Roadmap!$D:$D,0)-1+COUNTIF($E158:J158,"u")+COUNTIF($E158:J158,"t")+COUNTIF($E158:J158,"¶")+COUNTIF($E158:J158,"²")+COUNTIF($E158:J158,"µ")+COUNTIF($E158:J158,1),ColDescriptionCourte)),""),
  "")),"")</f>
        <v/>
      </c>
      <c r="L158" s="39" t="str">
        <f ca="1">IFERROR(IF(AND(
  INDEX(Roadmap!$D:$K,MATCH($E158,Roadmap!$D:$D,0)+COUNTIF($E158:K158,"u")+COUNTIF($E158:K158,"t")+COUNTIF($E158:K158,"¶")+COUNTIF($E158:K158,"²")+COUNTIF($E158:K158,"µ")+COUNTIF($E158:K158,1),ColLivraison)=L$6,
  VLOOKUP($E158,INDIRECT("tri!"&amp; CHAR(64+ C0Col) &amp;":"&amp; CHAR(65+C0Col)),2,FALSE)&gt;COUNTIF($E158:K158,"u")+COUNTIF($E158:K158,"t")+COUNTIF($E158:K158,"¶")+COUNTIF($E158:K158,"²")+COUNTIF($E158:K158,"µ")+COUNTIF($E158:K158,1)),
HYPERLINK("#Roadmap!C"&amp; MATCH($E158,Roadmap!$D:$D,0)+COUNTIF($E158:K158,"u")+COUNTIF($E158:K158,"t"),
     INDEX(Roadmap!$D:$K,MATCH($E158,Roadmap!$D:$D,0)+COUNTIF($E158:K158,"u")+COUNTIF($E158:K158,"t")+COUNTIF($E158:K158,"¶")+COUNTIF($E158:K158,"²")+COUNTIF($E158:K158,"µ")+COUNTIF($E158:K158,1),ColTypeEcheance)),
  IF(LEN(K158)=1,
  IF(LEN(INDEX(Roadmap!$D:$K,MATCH($E158,Roadmap!$D:$D,0)-1+COUNTIF($E158:K158,"u")+COUNTIF($E158:K158,"t")+COUNTIF($E158:K158,"¶")+COUNTIF($E158:K158,"²")+COUNTIF($E158:K158,"µ")+COUNTIF($E158:K158,1),ColDescriptionCourte))&gt;1,
HYPERLINK("#Roadmap!C"&amp; MATCH($E158,Roadmap!$D:$D,0)+COUNTIF($E158:K158,"u")+COUNTIF($E158:K158,"t")+COUNTIF($E158:K158,"¶")+COUNTIF($E158:K158,"²")+COUNTIF($E158:K158,"µ")+COUNTIF($E158:K158,1)-1,INDEX(Roadmap!$D:$K,MATCH($E158,Roadmap!$D:$D,0)-1+COUNTIF($E158:K158,"u")+COUNTIF($E158:K158,"t")+COUNTIF($E158:K158,"¶")+COUNTIF($E158:K158,"²")+COUNTIF($E158:K158,"µ")+COUNTIF($E158:K158,1),ColDescriptionCourte)),""),
  "")),"")</f>
        <v/>
      </c>
      <c r="M158" s="40" t="str">
        <f ca="1">IFERROR(IF(AND(
  INDEX(Roadmap!$D:$K,MATCH($E158,Roadmap!$D:$D,0)+COUNTIF($E158:L158,"u")+COUNTIF($E158:L158,"t")+COUNTIF($E158:L158,"¶")+COUNTIF($E158:L158,"²")+COUNTIF($E158:L158,"µ")+COUNTIF($E158:L158,1),ColLivraison)=M$6,
  VLOOKUP($E158,INDIRECT("tri!"&amp; CHAR(64+ C0Col) &amp;":"&amp; CHAR(65+C0Col)),2,FALSE)&gt;COUNTIF($E158:L158,"u")+COUNTIF($E158:L158,"t")+COUNTIF($E158:L158,"¶")+COUNTIF($E158:L158,"²")+COUNTIF($E158:L158,"µ")+COUNTIF($E158:L158,1)),
HYPERLINK("#Roadmap!C"&amp; MATCH($E158,Roadmap!$D:$D,0)+COUNTIF($E158:L158,"u")+COUNTIF($E158:L158,"t"),
     INDEX(Roadmap!$D:$K,MATCH($E158,Roadmap!$D:$D,0)+COUNTIF($E158:L158,"u")+COUNTIF($E158:L158,"t")+COUNTIF($E158:L158,"¶")+COUNTIF($E158:L158,"²")+COUNTIF($E158:L158,"µ")+COUNTIF($E158:L158,1),ColTypeEcheance)),
  IF(LEN(L158)=1,
  IF(LEN(INDEX(Roadmap!$D:$K,MATCH($E158,Roadmap!$D:$D,0)-1+COUNTIF($E158:L158,"u")+COUNTIF($E158:L158,"t")+COUNTIF($E158:L158,"¶")+COUNTIF($E158:L158,"²")+COUNTIF($E158:L158,"µ")+COUNTIF($E158:L158,1),ColDescriptionCourte))&gt;1,
HYPERLINK("#Roadmap!C"&amp; MATCH($E158,Roadmap!$D:$D,0)+COUNTIF($E158:L158,"u")+COUNTIF($E158:L158,"t")+COUNTIF($E158:L158,"¶")+COUNTIF($E158:L158,"²")+COUNTIF($E158:L158,"µ")+COUNTIF($E158:L158,1)-1,INDEX(Roadmap!$D:$K,MATCH($E158,Roadmap!$D:$D,0)-1+COUNTIF($E158:L158,"u")+COUNTIF($E158:L158,"t")+COUNTIF($E158:L158,"¶")+COUNTIF($E158:L158,"²")+COUNTIF($E158:L158,"µ")+COUNTIF($E158:L158,1),ColDescriptionCourte)),""),
  "")),"")</f>
        <v/>
      </c>
      <c r="N158" s="40" t="str">
        <f ca="1">IFERROR(IF(AND(
  INDEX(Roadmap!$D:$K,MATCH($E158,Roadmap!$D:$D,0)+COUNTIF($E158:M158,"u")+COUNTIF($E158:M158,"t")+COUNTIF($E158:M158,"¶")+COUNTIF($E158:M158,"²")+COUNTIF($E158:M158,"µ")+COUNTIF($E158:M158,1),ColLivraison)=N$6,
  VLOOKUP($E158,INDIRECT("tri!"&amp; CHAR(64+ C0Col) &amp;":"&amp; CHAR(65+C0Col)),2,FALSE)&gt;COUNTIF($E158:M158,"u")+COUNTIF($E158:M158,"t")+COUNTIF($E158:M158,"¶")+COUNTIF($E158:M158,"²")+COUNTIF($E158:M158,"µ")+COUNTIF($E158:M158,1)),
HYPERLINK("#Roadmap!C"&amp; MATCH($E158,Roadmap!$D:$D,0)+COUNTIF($E158:M158,"u")+COUNTIF($E158:M158,"t"),
     INDEX(Roadmap!$D:$K,MATCH($E158,Roadmap!$D:$D,0)+COUNTIF($E158:M158,"u")+COUNTIF($E158:M158,"t")+COUNTIF($E158:M158,"¶")+COUNTIF($E158:M158,"²")+COUNTIF($E158:M158,"µ")+COUNTIF($E158:M158,1),ColTypeEcheance)),
  IF(LEN(M158)=1,
  IF(LEN(INDEX(Roadmap!$D:$K,MATCH($E158,Roadmap!$D:$D,0)-1+COUNTIF($E158:M158,"u")+COUNTIF($E158:M158,"t")+COUNTIF($E158:M158,"¶")+COUNTIF($E158:M158,"²")+COUNTIF($E158:M158,"µ")+COUNTIF($E158:M158,1),ColDescriptionCourte))&gt;1,
HYPERLINK("#Roadmap!C"&amp; MATCH($E158,Roadmap!$D:$D,0)+COUNTIF($E158:M158,"u")+COUNTIF($E158:M158,"t")+COUNTIF($E158:M158,"¶")+COUNTIF($E158:M158,"²")+COUNTIF($E158:M158,"µ")+COUNTIF($E158:M158,1)-1,INDEX(Roadmap!$D:$K,MATCH($E158,Roadmap!$D:$D,0)-1+COUNTIF($E158:M158,"u")+COUNTIF($E158:M158,"t")+COUNTIF($E158:M158,"¶")+COUNTIF($E158:M158,"²")+COUNTIF($E158:M158,"µ")+COUNTIF($E158:M158,1),ColDescriptionCourte)),""),
  "")),"")</f>
        <v/>
      </c>
      <c r="O158" s="40" t="str">
        <f ca="1">IFERROR(IF(AND(
  INDEX(Roadmap!$D:$K,MATCH($E158,Roadmap!$D:$D,0)+COUNTIF($E158:N158,"u")+COUNTIF($E158:N158,"t")+COUNTIF($E158:N158,"¶")+COUNTIF($E158:N158,"²")+COUNTIF($E158:N158,"µ")+COUNTIF($E158:N158,1),ColLivraison)=O$6,
  VLOOKUP($E158,INDIRECT("tri!"&amp; CHAR(64+ C0Col) &amp;":"&amp; CHAR(65+C0Col)),2,FALSE)&gt;COUNTIF($E158:N158,"u")+COUNTIF($E158:N158,"t")+COUNTIF($E158:N158,"¶")+COUNTIF($E158:N158,"²")+COUNTIF($E158:N158,"µ")+COUNTIF($E158:N158,1)),
HYPERLINK("#Roadmap!C"&amp; MATCH($E158,Roadmap!$D:$D,0)+COUNTIF($E158:N158,"u")+COUNTIF($E158:N158,"t"),
     INDEX(Roadmap!$D:$K,MATCH($E158,Roadmap!$D:$D,0)+COUNTIF($E158:N158,"u")+COUNTIF($E158:N158,"t")+COUNTIF($E158:N158,"¶")+COUNTIF($E158:N158,"²")+COUNTIF($E158:N158,"µ")+COUNTIF($E158:N158,1),ColTypeEcheance)),
  IF(LEN(N158)=1,
  IF(LEN(INDEX(Roadmap!$D:$K,MATCH($E158,Roadmap!$D:$D,0)-1+COUNTIF($E158:N158,"u")+COUNTIF($E158:N158,"t")+COUNTIF($E158:N158,"¶")+COUNTIF($E158:N158,"²")+COUNTIF($E158:N158,"µ")+COUNTIF($E158:N158,1),ColDescriptionCourte))&gt;1,
HYPERLINK("#Roadmap!C"&amp; MATCH($E158,Roadmap!$D:$D,0)+COUNTIF($E158:N158,"u")+COUNTIF($E158:N158,"t")+COUNTIF($E158:N158,"¶")+COUNTIF($E158:N158,"²")+COUNTIF($E158:N158,"µ")+COUNTIF($E158:N158,1)-1,INDEX(Roadmap!$D:$K,MATCH($E158,Roadmap!$D:$D,0)-1+COUNTIF($E158:N158,"u")+COUNTIF($E158:N158,"t")+COUNTIF($E158:N158,"¶")+COUNTIF($E158:N158,"²")+COUNTIF($E158:N158,"µ")+COUNTIF($E158:N158,1),ColDescriptionCourte)),""),
  "")),"")</f>
        <v/>
      </c>
      <c r="P158" s="40" t="str">
        <f ca="1">IFERROR(IF(AND(
  INDEX(Roadmap!$D:$K,MATCH($E158,Roadmap!$D:$D,0)+COUNTIF($E158:O158,"u")+COUNTIF($E158:O158,"t")+COUNTIF($E158:O158,"¶")+COUNTIF($E158:O158,"²")+COUNTIF($E158:O158,"µ")+COUNTIF($E158:O158,1),ColLivraison)=P$6,
  VLOOKUP($E158,INDIRECT("tri!"&amp; CHAR(64+ C0Col) &amp;":"&amp; CHAR(65+C0Col)),2,FALSE)&gt;COUNTIF($E158:O158,"u")+COUNTIF($E158:O158,"t")+COUNTIF($E158:O158,"¶")+COUNTIF($E158:O158,"²")+COUNTIF($E158:O158,"µ")+COUNTIF($E158:O158,1)),
HYPERLINK("#Roadmap!C"&amp; MATCH($E158,Roadmap!$D:$D,0)+COUNTIF($E158:O158,"u")+COUNTIF($E158:O158,"t"),
     INDEX(Roadmap!$D:$K,MATCH($E158,Roadmap!$D:$D,0)+COUNTIF($E158:O158,"u")+COUNTIF($E158:O158,"t")+COUNTIF($E158:O158,"¶")+COUNTIF($E158:O158,"²")+COUNTIF($E158:O158,"µ")+COUNTIF($E158:O158,1),ColTypeEcheance)),
  IF(LEN(O158)=1,
  IF(LEN(INDEX(Roadmap!$D:$K,MATCH($E158,Roadmap!$D:$D,0)-1+COUNTIF($E158:O158,"u")+COUNTIF($E158:O158,"t")+COUNTIF($E158:O158,"¶")+COUNTIF($E158:O158,"²")+COUNTIF($E158:O158,"µ")+COUNTIF($E158:O158,1),ColDescriptionCourte))&gt;1,
HYPERLINK("#Roadmap!C"&amp; MATCH($E158,Roadmap!$D:$D,0)+COUNTIF($E158:O158,"u")+COUNTIF($E158:O158,"t")+COUNTIF($E158:O158,"¶")+COUNTIF($E158:O158,"²")+COUNTIF($E158:O158,"µ")+COUNTIF($E158:O158,1)-1,INDEX(Roadmap!$D:$K,MATCH($E158,Roadmap!$D:$D,0)-1+COUNTIF($E158:O158,"u")+COUNTIF($E158:O158,"t")+COUNTIF($E158:O158,"¶")+COUNTIF($E158:O158,"²")+COUNTIF($E158:O158,"µ")+COUNTIF($E158:O158,1),ColDescriptionCourte)),""),
  "")),"")</f>
        <v/>
      </c>
      <c r="Q158" s="40" t="str">
        <f ca="1">IFERROR(IF(AND(
  INDEX(Roadmap!$D:$K,MATCH($E158,Roadmap!$D:$D,0)+COUNTIF($E158:P158,"u")+COUNTIF($E158:P158,"t")+COUNTIF($E158:P158,"¶")+COUNTIF($E158:P158,"²")+COUNTIF($E158:P158,"µ")+COUNTIF($E158:P158,1),ColLivraison)=Q$6,
  VLOOKUP($E158,INDIRECT("tri!"&amp; CHAR(64+ C0Col) &amp;":"&amp; CHAR(65+C0Col)),2,FALSE)&gt;COUNTIF($E158:P158,"u")+COUNTIF($E158:P158,"t")+COUNTIF($E158:P158,"¶")+COUNTIF($E158:P158,"²")+COUNTIF($E158:P158,"µ")+COUNTIF($E158:P158,1)),
HYPERLINK("#Roadmap!C"&amp; MATCH($E158,Roadmap!$D:$D,0)+COUNTIF($E158:P158,"u")+COUNTIF($E158:P158,"t"),
     INDEX(Roadmap!$D:$K,MATCH($E158,Roadmap!$D:$D,0)+COUNTIF($E158:P158,"u")+COUNTIF($E158:P158,"t")+COUNTIF($E158:P158,"¶")+COUNTIF($E158:P158,"²")+COUNTIF($E158:P158,"µ")+COUNTIF($E158:P158,1),ColTypeEcheance)),
  IF(LEN(P158)=1,
  IF(LEN(INDEX(Roadmap!$D:$K,MATCH($E158,Roadmap!$D:$D,0)-1+COUNTIF($E158:P158,"u")+COUNTIF($E158:P158,"t")+COUNTIF($E158:P158,"¶")+COUNTIF($E158:P158,"²")+COUNTIF($E158:P158,"µ")+COUNTIF($E158:P158,1),ColDescriptionCourte))&gt;1,
HYPERLINK("#Roadmap!C"&amp; MATCH($E158,Roadmap!$D:$D,0)+COUNTIF($E158:P158,"u")+COUNTIF($E158:P158,"t")+COUNTIF($E158:P158,"¶")+COUNTIF($E158:P158,"²")+COUNTIF($E158:P158,"µ")+COUNTIF($E158:P158,1)-1,INDEX(Roadmap!$D:$K,MATCH($E158,Roadmap!$D:$D,0)-1+COUNTIF($E158:P158,"u")+COUNTIF($E158:P158,"t")+COUNTIF($E158:P158,"¶")+COUNTIF($E158:P158,"²")+COUNTIF($E158:P158,"µ")+COUNTIF($E158:P158,1),ColDescriptionCourte)),""),
  "")),"")</f>
        <v/>
      </c>
      <c r="R158" s="40" t="str">
        <f ca="1">IFERROR(IF(AND(
  INDEX(Roadmap!$D:$K,MATCH($E158,Roadmap!$D:$D,0)+COUNTIF($E158:Q158,"u")+COUNTIF($E158:Q158,"t")+COUNTIF($E158:Q158,"¶")+COUNTIF($E158:Q158,"²")+COUNTIF($E158:Q158,"µ")+COUNTIF($E158:Q158,1),ColLivraison)=R$6,
  VLOOKUP($E158,INDIRECT("tri!"&amp; CHAR(64+ C0Col) &amp;":"&amp; CHAR(65+C0Col)),2,FALSE)&gt;COUNTIF($E158:Q158,"u")+COUNTIF($E158:Q158,"t")+COUNTIF($E158:Q158,"¶")+COUNTIF($E158:Q158,"²")+COUNTIF($E158:Q158,"µ")+COUNTIF($E158:Q158,1)),
HYPERLINK("#Roadmap!C"&amp; MATCH($E158,Roadmap!$D:$D,0)+COUNTIF($E158:Q158,"u")+COUNTIF($E158:Q158,"t"),
     INDEX(Roadmap!$D:$K,MATCH($E158,Roadmap!$D:$D,0)+COUNTIF($E158:Q158,"u")+COUNTIF($E158:Q158,"t")+COUNTIF($E158:Q158,"¶")+COUNTIF($E158:Q158,"²")+COUNTIF($E158:Q158,"µ")+COUNTIF($E158:Q158,1),ColTypeEcheance)),
  IF(LEN(Q158)=1,
  IF(LEN(INDEX(Roadmap!$D:$K,MATCH($E158,Roadmap!$D:$D,0)-1+COUNTIF($E158:Q158,"u")+COUNTIF($E158:Q158,"t")+COUNTIF($E158:Q158,"¶")+COUNTIF($E158:Q158,"²")+COUNTIF($E158:Q158,"µ")+COUNTIF($E158:Q158,1),ColDescriptionCourte))&gt;1,
HYPERLINK("#Roadmap!C"&amp; MATCH($E158,Roadmap!$D:$D,0)+COUNTIF($E158:Q158,"u")+COUNTIF($E158:Q158,"t")+COUNTIF($E158:Q158,"¶")+COUNTIF($E158:Q158,"²")+COUNTIF($E158:Q158,"µ")+COUNTIF($E158:Q158,1)-1,INDEX(Roadmap!$D:$K,MATCH($E158,Roadmap!$D:$D,0)-1+COUNTIF($E158:Q158,"u")+COUNTIF($E158:Q158,"t")+COUNTIF($E158:Q158,"¶")+COUNTIF($E158:Q158,"²")+COUNTIF($E158:Q158,"µ")+COUNTIF($E158:Q158,1),ColDescriptionCourte)),""),
  "")),"")</f>
        <v/>
      </c>
      <c r="S158" s="40" t="str">
        <f ca="1">IFERROR(IF(AND(
  INDEX(Roadmap!$D:$K,MATCH($E158,Roadmap!$D:$D,0)+COUNTIF($E158:R158,"u")+COUNTIF($E158:R158,"t")+COUNTIF($E158:R158,"¶")+COUNTIF($E158:R158,"²")+COUNTIF($E158:R158,"µ")+COUNTIF($E158:R158,1),ColLivraison)=S$6,
  VLOOKUP($E158,INDIRECT("tri!"&amp; CHAR(64+ C0Col) &amp;":"&amp; CHAR(65+C0Col)),2,FALSE)&gt;COUNTIF($E158:R158,"u")+COUNTIF($E158:R158,"t")+COUNTIF($E158:R158,"¶")+COUNTIF($E158:R158,"²")+COUNTIF($E158:R158,"µ")+COUNTIF($E158:R158,1)),
HYPERLINK("#Roadmap!C"&amp; MATCH($E158,Roadmap!$D:$D,0)+COUNTIF($E158:R158,"u")+COUNTIF($E158:R158,"t"),
     INDEX(Roadmap!$D:$K,MATCH($E158,Roadmap!$D:$D,0)+COUNTIF($E158:R158,"u")+COUNTIF($E158:R158,"t")+COUNTIF($E158:R158,"¶")+COUNTIF($E158:R158,"²")+COUNTIF($E158:R158,"µ")+COUNTIF($E158:R158,1),ColTypeEcheance)),
  IF(LEN(R158)=1,
  IF(LEN(INDEX(Roadmap!$D:$K,MATCH($E158,Roadmap!$D:$D,0)-1+COUNTIF($E158:R158,"u")+COUNTIF($E158:R158,"t")+COUNTIF($E158:R158,"¶")+COUNTIF($E158:R158,"²")+COUNTIF($E158:R158,"µ")+COUNTIF($E158:R158,1),ColDescriptionCourte))&gt;1,
HYPERLINK("#Roadmap!C"&amp; MATCH($E158,Roadmap!$D:$D,0)+COUNTIF($E158:R158,"u")+COUNTIF($E158:R158,"t")+COUNTIF($E158:R158,"¶")+COUNTIF($E158:R158,"²")+COUNTIF($E158:R158,"µ")+COUNTIF($E158:R158,1)-1,INDEX(Roadmap!$D:$K,MATCH($E158,Roadmap!$D:$D,0)-1+COUNTIF($E158:R158,"u")+COUNTIF($E158:R158,"t")+COUNTIF($E158:R158,"¶")+COUNTIF($E158:R158,"²")+COUNTIF($E158:R158,"µ")+COUNTIF($E158:R158,1),ColDescriptionCourte)),""),
  "")),"")</f>
        <v/>
      </c>
      <c r="T158" s="40" t="str">
        <f ca="1">IFERROR(IF(AND(
  INDEX(Roadmap!$D:$K,MATCH($E158,Roadmap!$D:$D,0)+COUNTIF($E158:S158,"u")+COUNTIF($E158:S158,"t")+COUNTIF($E158:S158,"¶")+COUNTIF($E158:S158,"²")+COUNTIF($E158:S158,"µ")+COUNTIF($E158:S158,1),ColLivraison)=T$6,
  VLOOKUP($E158,INDIRECT("tri!"&amp; CHAR(64+ C0Col) &amp;":"&amp; CHAR(65+C0Col)),2,FALSE)&gt;COUNTIF($E158:S158,"u")+COUNTIF($E158:S158,"t")+COUNTIF($E158:S158,"¶")+COUNTIF($E158:S158,"²")+COUNTIF($E158:S158,"µ")+COUNTIF($E158:S158,1)),
HYPERLINK("#Roadmap!C"&amp; MATCH($E158,Roadmap!$D:$D,0)+COUNTIF($E158:S158,"u")+COUNTIF($E158:S158,"t"),
     INDEX(Roadmap!$D:$K,MATCH($E158,Roadmap!$D:$D,0)+COUNTIF($E158:S158,"u")+COUNTIF($E158:S158,"t")+COUNTIF($E158:S158,"¶")+COUNTIF($E158:S158,"²")+COUNTIF($E158:S158,"µ")+COUNTIF($E158:S158,1),ColTypeEcheance)),
  IF(LEN(S158)=1,
  IF(LEN(INDEX(Roadmap!$D:$K,MATCH($E158,Roadmap!$D:$D,0)-1+COUNTIF($E158:S158,"u")+COUNTIF($E158:S158,"t")+COUNTIF($E158:S158,"¶")+COUNTIF($E158:S158,"²")+COUNTIF($E158:S158,"µ")+COUNTIF($E158:S158,1),ColDescriptionCourte))&gt;1,
HYPERLINK("#Roadmap!C"&amp; MATCH($E158,Roadmap!$D:$D,0)+COUNTIF($E158:S158,"u")+COUNTIF($E158:S158,"t")+COUNTIF($E158:S158,"¶")+COUNTIF($E158:S158,"²")+COUNTIF($E158:S158,"µ")+COUNTIF($E158:S158,1)-1,INDEX(Roadmap!$D:$K,MATCH($E158,Roadmap!$D:$D,0)-1+COUNTIF($E158:S158,"u")+COUNTIF($E158:S158,"t")+COUNTIF($E158:S158,"¶")+COUNTIF($E158:S158,"²")+COUNTIF($E158:S158,"µ")+COUNTIF($E158:S158,1),ColDescriptionCourte)),""),
  "")),"")</f>
        <v/>
      </c>
      <c r="U158" s="40" t="str">
        <f ca="1">IFERROR(IF(AND(
  INDEX(Roadmap!$D:$K,MATCH($E158,Roadmap!$D:$D,0)+COUNTIF($E158:T158,"u")+COUNTIF($E158:T158,"t")+COUNTIF($E158:T158,"¶")+COUNTIF($E158:T158,"²")+COUNTIF($E158:T158,"µ")+COUNTIF($E158:T158,1),ColLivraison)=U$6,
  VLOOKUP($E158,INDIRECT("tri!"&amp; CHAR(64+ C0Col) &amp;":"&amp; CHAR(65+C0Col)),2,FALSE)&gt;COUNTIF($E158:T158,"u")+COUNTIF($E158:T158,"t")+COUNTIF($E158:T158,"¶")+COUNTIF($E158:T158,"²")+COUNTIF($E158:T158,"µ")+COUNTIF($E158:T158,1)),
HYPERLINK("#Roadmap!C"&amp; MATCH($E158,Roadmap!$D:$D,0)+COUNTIF($E158:T158,"u")+COUNTIF($E158:T158,"t"),
     INDEX(Roadmap!$D:$K,MATCH($E158,Roadmap!$D:$D,0)+COUNTIF($E158:T158,"u")+COUNTIF($E158:T158,"t")+COUNTIF($E158:T158,"¶")+COUNTIF($E158:T158,"²")+COUNTIF($E158:T158,"µ")+COUNTIF($E158:T158,1),ColTypeEcheance)),
  IF(LEN(T158)=1,
  IF(LEN(INDEX(Roadmap!$D:$K,MATCH($E158,Roadmap!$D:$D,0)-1+COUNTIF($E158:T158,"u")+COUNTIF($E158:T158,"t")+COUNTIF($E158:T158,"¶")+COUNTIF($E158:T158,"²")+COUNTIF($E158:T158,"µ")+COUNTIF($E158:T158,1),ColDescriptionCourte))&gt;1,
HYPERLINK("#Roadmap!C"&amp; MATCH($E158,Roadmap!$D:$D,0)+COUNTIF($E158:T158,"u")+COUNTIF($E158:T158,"t")+COUNTIF($E158:T158,"¶")+COUNTIF($E158:T158,"²")+COUNTIF($E158:T158,"µ")+COUNTIF($E158:T158,1)-1,INDEX(Roadmap!$D:$K,MATCH($E158,Roadmap!$D:$D,0)-1+COUNTIF($E158:T158,"u")+COUNTIF($E158:T158,"t")+COUNTIF($E158:T158,"¶")+COUNTIF($E158:T158,"²")+COUNTIF($E158:T158,"µ")+COUNTIF($E158:T158,1),ColDescriptionCourte)),""),
  "")),"")</f>
        <v/>
      </c>
      <c r="V158" s="40" t="str">
        <f ca="1">IFERROR(IF(AND(
  INDEX(Roadmap!$D:$K,MATCH($E158,Roadmap!$D:$D,0)+COUNTIF($E158:U158,"u")+COUNTIF($E158:U158,"t")+COUNTIF($E158:U158,"¶")+COUNTIF($E158:U158,"²")+COUNTIF($E158:U158,"µ")+COUNTIF($E158:U158,1),ColLivraison)=V$6,
  VLOOKUP($E158,INDIRECT("tri!"&amp; CHAR(64+ C0Col) &amp;":"&amp; CHAR(65+C0Col)),2,FALSE)&gt;COUNTIF($E158:U158,"u")+COUNTIF($E158:U158,"t")+COUNTIF($E158:U158,"¶")+COUNTIF($E158:U158,"²")+COUNTIF($E158:U158,"µ")+COUNTIF($E158:U158,1)),
HYPERLINK("#Roadmap!C"&amp; MATCH($E158,Roadmap!$D:$D,0)+COUNTIF($E158:U158,"u")+COUNTIF($E158:U158,"t"),
     INDEX(Roadmap!$D:$K,MATCH($E158,Roadmap!$D:$D,0)+COUNTIF($E158:U158,"u")+COUNTIF($E158:U158,"t")+COUNTIF($E158:U158,"¶")+COUNTIF($E158:U158,"²")+COUNTIF($E158:U158,"µ")+COUNTIF($E158:U158,1),ColTypeEcheance)),
  IF(LEN(U158)=1,
  IF(LEN(INDEX(Roadmap!$D:$K,MATCH($E158,Roadmap!$D:$D,0)-1+COUNTIF($E158:U158,"u")+COUNTIF($E158:U158,"t")+COUNTIF($E158:U158,"¶")+COUNTIF($E158:U158,"²")+COUNTIF($E158:U158,"µ")+COUNTIF($E158:U158,1),ColDescriptionCourte))&gt;1,
HYPERLINK("#Roadmap!C"&amp; MATCH($E158,Roadmap!$D:$D,0)+COUNTIF($E158:U158,"u")+COUNTIF($E158:U158,"t")+COUNTIF($E158:U158,"¶")+COUNTIF($E158:U158,"²")+COUNTIF($E158:U158,"µ")+COUNTIF($E158:U158,1)-1,INDEX(Roadmap!$D:$K,MATCH($E158,Roadmap!$D:$D,0)-1+COUNTIF($E158:U158,"u")+COUNTIF($E158:U158,"t")+COUNTIF($E158:U158,"¶")+COUNTIF($E158:U158,"²")+COUNTIF($E158:U158,"µ")+COUNTIF($E158:U158,1),ColDescriptionCourte)),""),
  "")),"")</f>
        <v/>
      </c>
      <c r="W158" s="40" t="str">
        <f ca="1">IFERROR(IF(AND(
  INDEX(Roadmap!$D:$K,MATCH($E158,Roadmap!$D:$D,0)+COUNTIF($E158:V158,"u")+COUNTIF($E158:V158,"t")+COUNTIF($E158:V158,"¶")+COUNTIF($E158:V158,"²")+COUNTIF($E158:V158,"µ")+COUNTIF($E158:V158,1),ColLivraison)=W$6,
  VLOOKUP($E158,INDIRECT("tri!"&amp; CHAR(64+ C0Col) &amp;":"&amp; CHAR(65+C0Col)),2,FALSE)&gt;COUNTIF($E158:V158,"u")+COUNTIF($E158:V158,"t")+COUNTIF($E158:V158,"¶")+COUNTIF($E158:V158,"²")+COUNTIF($E158:V158,"µ")+COUNTIF($E158:V158,1)),
HYPERLINK("#Roadmap!C"&amp; MATCH($E158,Roadmap!$D:$D,0)+COUNTIF($E158:V158,"u")+COUNTIF($E158:V158,"t"),
     INDEX(Roadmap!$D:$K,MATCH($E158,Roadmap!$D:$D,0)+COUNTIF($E158:V158,"u")+COUNTIF($E158:V158,"t")+COUNTIF($E158:V158,"¶")+COUNTIF($E158:V158,"²")+COUNTIF($E158:V158,"µ")+COUNTIF($E158:V158,1),ColTypeEcheance)),
  IF(LEN(V158)=1,
  IF(LEN(INDEX(Roadmap!$D:$K,MATCH($E158,Roadmap!$D:$D,0)-1+COUNTIF($E158:V158,"u")+COUNTIF($E158:V158,"t")+COUNTIF($E158:V158,"¶")+COUNTIF($E158:V158,"²")+COUNTIF($E158:V158,"µ")+COUNTIF($E158:V158,1),ColDescriptionCourte))&gt;1,
HYPERLINK("#Roadmap!C"&amp; MATCH($E158,Roadmap!$D:$D,0)+COUNTIF($E158:V158,"u")+COUNTIF($E158:V158,"t")+COUNTIF($E158:V158,"¶")+COUNTIF($E158:V158,"²")+COUNTIF($E158:V158,"µ")+COUNTIF($E158:V158,1)-1,INDEX(Roadmap!$D:$K,MATCH($E158,Roadmap!$D:$D,0)-1+COUNTIF($E158:V158,"u")+COUNTIF($E158:V158,"t")+COUNTIF($E158:V158,"¶")+COUNTIF($E158:V158,"²")+COUNTIF($E158:V158,"µ")+COUNTIF($E158:V158,1),ColDescriptionCourte)),""),
  "")),"")</f>
        <v/>
      </c>
      <c r="X158" s="40" t="str">
        <f ca="1">IFERROR(IF(AND(
  INDEX(Roadmap!$D:$K,MATCH($E158,Roadmap!$D:$D,0)+COUNTIF($E158:W158,"u")+COUNTIF($E158:W158,"t")+COUNTIF($E158:W158,"¶")+COUNTIF($E158:W158,"²")+COUNTIF($E158:W158,"µ")+COUNTIF($E158:W158,1),ColLivraison)=X$6,
  VLOOKUP($E158,INDIRECT("tri!"&amp; CHAR(64+ C0Col) &amp;":"&amp; CHAR(65+C0Col)),2,FALSE)&gt;COUNTIF($E158:W158,"u")+COUNTIF($E158:W158,"t")+COUNTIF($E158:W158,"¶")+COUNTIF($E158:W158,"²")+COUNTIF($E158:W158,"µ")+COUNTIF($E158:W158,1)),
HYPERLINK("#Roadmap!C"&amp; MATCH($E158,Roadmap!$D:$D,0)+COUNTIF($E158:W158,"u")+COUNTIF($E158:W158,"t"),
     INDEX(Roadmap!$D:$K,MATCH($E158,Roadmap!$D:$D,0)+COUNTIF($E158:W158,"u")+COUNTIF($E158:W158,"t")+COUNTIF($E158:W158,"¶")+COUNTIF($E158:W158,"²")+COUNTIF($E158:W158,"µ")+COUNTIF($E158:W158,1),ColTypeEcheance)),
  IF(LEN(W158)=1,
  IF(LEN(INDEX(Roadmap!$D:$K,MATCH($E158,Roadmap!$D:$D,0)-1+COUNTIF($E158:W158,"u")+COUNTIF($E158:W158,"t")+COUNTIF($E158:W158,"¶")+COUNTIF($E158:W158,"²")+COUNTIF($E158:W158,"µ")+COUNTIF($E158:W158,1),ColDescriptionCourte))&gt;1,
HYPERLINK("#Roadmap!C"&amp; MATCH($E158,Roadmap!$D:$D,0)+COUNTIF($E158:W158,"u")+COUNTIF($E158:W158,"t")+COUNTIF($E158:W158,"¶")+COUNTIF($E158:W158,"²")+COUNTIF($E158:W158,"µ")+COUNTIF($E158:W158,1)-1,INDEX(Roadmap!$D:$K,MATCH($E158,Roadmap!$D:$D,0)-1+COUNTIF($E158:W158,"u")+COUNTIF($E158:W158,"t")+COUNTIF($E158:W158,"¶")+COUNTIF($E158:W158,"²")+COUNTIF($E158:W158,"µ")+COUNTIF($E158:W158,1),ColDescriptionCourte)),""),
  "")),"")</f>
        <v/>
      </c>
      <c r="Y158" s="40" t="str">
        <f ca="1">IFERROR(IF(AND(
  INDEX(Roadmap!$D:$K,MATCH($E158,Roadmap!$D:$D,0)+COUNTIF($E158:X158,"u")+COUNTIF($E158:X158,"t")+COUNTIF($E158:X158,"¶")+COUNTIF($E158:X158,"²")+COUNTIF($E158:X158,"µ")+COUNTIF($E158:X158,1),ColLivraison)=Y$6,
  VLOOKUP($E158,INDIRECT("tri!"&amp; CHAR(64+ C0Col) &amp;":"&amp; CHAR(65+C0Col)),2,FALSE)&gt;COUNTIF($E158:X158,"u")+COUNTIF($E158:X158,"t")+COUNTIF($E158:X158,"¶")+COUNTIF($E158:X158,"²")+COUNTIF($E158:X158,"µ")+COUNTIF($E158:X158,1)),
HYPERLINK("#Roadmap!C"&amp; MATCH($E158,Roadmap!$D:$D,0)+COUNTIF($E158:X158,"u")+COUNTIF($E158:X158,"t"),
     INDEX(Roadmap!$D:$K,MATCH($E158,Roadmap!$D:$D,0)+COUNTIF($E158:X158,"u")+COUNTIF($E158:X158,"t")+COUNTIF($E158:X158,"¶")+COUNTIF($E158:X158,"²")+COUNTIF($E158:X158,"µ")+COUNTIF($E158:X158,1),ColTypeEcheance)),
  IF(LEN(X158)=1,
  IF(LEN(INDEX(Roadmap!$D:$K,MATCH($E158,Roadmap!$D:$D,0)-1+COUNTIF($E158:X158,"u")+COUNTIF($E158:X158,"t")+COUNTIF($E158:X158,"¶")+COUNTIF($E158:X158,"²")+COUNTIF($E158:X158,"µ")+COUNTIF($E158:X158,1),ColDescriptionCourte))&gt;1,
HYPERLINK("#Roadmap!C"&amp; MATCH($E158,Roadmap!$D:$D,0)+COUNTIF($E158:X158,"u")+COUNTIF($E158:X158,"t")+COUNTIF($E158:X158,"¶")+COUNTIF($E158:X158,"²")+COUNTIF($E158:X158,"µ")+COUNTIF($E158:X158,1)-1,INDEX(Roadmap!$D:$K,MATCH($E158,Roadmap!$D:$D,0)-1+COUNTIF($E158:X158,"u")+COUNTIF($E158:X158,"t")+COUNTIF($E158:X158,"¶")+COUNTIF($E158:X158,"²")+COUNTIF($E158:X158,"µ")+COUNTIF($E158:X158,1),ColDescriptionCourte)),""),
  "")),"")</f>
        <v/>
      </c>
      <c r="Z158" s="40" t="str">
        <f ca="1">IFERROR(IF(AND(
  INDEX(Roadmap!$D:$K,MATCH($E158,Roadmap!$D:$D,0)+COUNTIF($E158:Y158,"u")+COUNTIF($E158:Y158,"t")+COUNTIF($E158:Y158,"¶")+COUNTIF($E158:Y158,"²")+COUNTIF($E158:Y158,"µ")+COUNTIF($E158:Y158,1),ColLivraison)=Z$6,
  VLOOKUP($E158,INDIRECT("tri!"&amp; CHAR(64+ C0Col) &amp;":"&amp; CHAR(65+C0Col)),2,FALSE)&gt;COUNTIF($E158:Y158,"u")+COUNTIF($E158:Y158,"t")+COUNTIF($E158:Y158,"¶")+COUNTIF($E158:Y158,"²")+COUNTIF($E158:Y158,"µ")+COUNTIF($E158:Y158,1)),
HYPERLINK("#Roadmap!C"&amp; MATCH($E158,Roadmap!$D:$D,0)+COUNTIF($E158:Y158,"u")+COUNTIF($E158:Y158,"t"),
     INDEX(Roadmap!$D:$K,MATCH($E158,Roadmap!$D:$D,0)+COUNTIF($E158:Y158,"u")+COUNTIF($E158:Y158,"t")+COUNTIF($E158:Y158,"¶")+COUNTIF($E158:Y158,"²")+COUNTIF($E158:Y158,"µ")+COUNTIF($E158:Y158,1),ColTypeEcheance)),
  IF(LEN(Y158)=1,
  IF(LEN(INDEX(Roadmap!$D:$K,MATCH($E158,Roadmap!$D:$D,0)-1+COUNTIF($E158:Y158,"u")+COUNTIF($E158:Y158,"t")+COUNTIF($E158:Y158,"¶")+COUNTIF($E158:Y158,"²")+COUNTIF($E158:Y158,"µ")+COUNTIF($E158:Y158,1),ColDescriptionCourte))&gt;1,
HYPERLINK("#Roadmap!C"&amp; MATCH($E158,Roadmap!$D:$D,0)+COUNTIF($E158:Y158,"u")+COUNTIF($E158:Y158,"t")+COUNTIF($E158:Y158,"¶")+COUNTIF($E158:Y158,"²")+COUNTIF($E158:Y158,"µ")+COUNTIF($E158:Y158,1)-1,INDEX(Roadmap!$D:$K,MATCH($E158,Roadmap!$D:$D,0)-1+COUNTIF($E158:Y158,"u")+COUNTIF($E158:Y158,"t")+COUNTIF($E158:Y158,"¶")+COUNTIF($E158:Y158,"²")+COUNTIF($E158:Y158,"µ")+COUNTIF($E158:Y158,1),ColDescriptionCourte)),""),
  "")),"")</f>
        <v/>
      </c>
      <c r="AA158" s="40" t="str">
        <f ca="1">IFERROR(IF(AND(
  INDEX(Roadmap!$D:$K,MATCH($E158,Roadmap!$D:$D,0)+COUNTIF($E158:Z158,"u")+COUNTIF($E158:Z158,"t")+COUNTIF($E158:Z158,"¶")+COUNTIF($E158:Z158,"²")+COUNTIF($E158:Z158,"µ")+COUNTIF($E158:Z158,1),ColLivraison)=AA$6,
  VLOOKUP($E158,INDIRECT("tri!"&amp; CHAR(64+ C0Col) &amp;":"&amp; CHAR(65+C0Col)),2,FALSE)&gt;COUNTIF($E158:Z158,"u")+COUNTIF($E158:Z158,"t")+COUNTIF($E158:Z158,"¶")+COUNTIF($E158:Z158,"²")+COUNTIF($E158:Z158,"µ")+COUNTIF($E158:Z158,1)),
HYPERLINK("#Roadmap!C"&amp; MATCH($E158,Roadmap!$D:$D,0)+COUNTIF($E158:Z158,"u")+COUNTIF($E158:Z158,"t"),
     INDEX(Roadmap!$D:$K,MATCH($E158,Roadmap!$D:$D,0)+COUNTIF($E158:Z158,"u")+COUNTIF($E158:Z158,"t")+COUNTIF($E158:Z158,"¶")+COUNTIF($E158:Z158,"²")+COUNTIF($E158:Z158,"µ")+COUNTIF($E158:Z158,1),ColTypeEcheance)),
  IF(LEN(Z158)=1,
  IF(LEN(INDEX(Roadmap!$D:$K,MATCH($E158,Roadmap!$D:$D,0)-1+COUNTIF($E158:Z158,"u")+COUNTIF($E158:Z158,"t")+COUNTIF($E158:Z158,"¶")+COUNTIF($E158:Z158,"²")+COUNTIF($E158:Z158,"µ")+COUNTIF($E158:Z158,1),ColDescriptionCourte))&gt;1,
HYPERLINK("#Roadmap!C"&amp; MATCH($E158,Roadmap!$D:$D,0)+COUNTIF($E158:Z158,"u")+COUNTIF($E158:Z158,"t")+COUNTIF($E158:Z158,"¶")+COUNTIF($E158:Z158,"²")+COUNTIF($E158:Z158,"µ")+COUNTIF($E158:Z158,1)-1,INDEX(Roadmap!$D:$K,MATCH($E158,Roadmap!$D:$D,0)-1+COUNTIF($E158:Z158,"u")+COUNTIF($E158:Z158,"t")+COUNTIF($E158:Z158,"¶")+COUNTIF($E158:Z158,"²")+COUNTIF($E158:Z158,"µ")+COUNTIF($E158:Z158,1),ColDescriptionCourte)),""),
  "")),"")</f>
        <v/>
      </c>
      <c r="AB158" s="40" t="str">
        <f ca="1">IFERROR(IF(AND(
  INDEX(Roadmap!$D:$K,MATCH($E158,Roadmap!$D:$D,0)+COUNTIF($E158:AA158,"u")+COUNTIF($E158:AA158,"t")+COUNTIF($E158:AA158,"¶")+COUNTIF($E158:AA158,"²")+COUNTIF($E158:AA158,"µ")+COUNTIF($E158:AA158,1),ColLivraison)=AB$6,
  VLOOKUP($E158,INDIRECT("tri!"&amp; CHAR(64+ C0Col) &amp;":"&amp; CHAR(65+C0Col)),2,FALSE)&gt;COUNTIF($E158:AA158,"u")+COUNTIF($E158:AA158,"t")+COUNTIF($E158:AA158,"¶")+COUNTIF($E158:AA158,"²")+COUNTIF($E158:AA158,"µ")+COUNTIF($E158:AA158,1)),
HYPERLINK("#Roadmap!C"&amp; MATCH($E158,Roadmap!$D:$D,0)+COUNTIF($E158:AA158,"u")+COUNTIF($E158:AA158,"t"),
     INDEX(Roadmap!$D:$K,MATCH($E158,Roadmap!$D:$D,0)+COUNTIF($E158:AA158,"u")+COUNTIF($E158:AA158,"t")+COUNTIF($E158:AA158,"¶")+COUNTIF($E158:AA158,"²")+COUNTIF($E158:AA158,"µ")+COUNTIF($E158:AA158,1),ColTypeEcheance)),
  IF(LEN(AA158)=1,
  IF(LEN(INDEX(Roadmap!$D:$K,MATCH($E158,Roadmap!$D:$D,0)-1+COUNTIF($E158:AA158,"u")+COUNTIF($E158:AA158,"t")+COUNTIF($E158:AA158,"¶")+COUNTIF($E158:AA158,"²")+COUNTIF($E158:AA158,"µ")+COUNTIF($E158:AA158,1),ColDescriptionCourte))&gt;1,
HYPERLINK("#Roadmap!C"&amp; MATCH($E158,Roadmap!$D:$D,0)+COUNTIF($E158:AA158,"u")+COUNTIF($E158:AA158,"t")+COUNTIF($E158:AA158,"¶")+COUNTIF($E158:AA158,"²")+COUNTIF($E158:AA158,"µ")+COUNTIF($E158:AA158,1)-1,INDEX(Roadmap!$D:$K,MATCH($E158,Roadmap!$D:$D,0)-1+COUNTIF($E158:AA158,"u")+COUNTIF($E158:AA158,"t")+COUNTIF($E158:AA158,"¶")+COUNTIF($E158:AA158,"²")+COUNTIF($E158:AA158,"µ")+COUNTIF($E158:AA158,1),ColDescriptionCourte)),""),
  "")),"")</f>
        <v/>
      </c>
      <c r="AC158" s="40" t="str">
        <f ca="1">IFERROR(IF(AND(
  INDEX(Roadmap!$D:$K,MATCH($E158,Roadmap!$D:$D,0)+COUNTIF($E158:AB158,"u")+COUNTIF($E158:AB158,"t")+COUNTIF($E158:AB158,"¶")+COUNTIF($E158:AB158,"²")+COUNTIF($E158:AB158,"µ")+COUNTIF($E158:AB158,1),ColLivraison)=AC$6,
  VLOOKUP($E158,INDIRECT("tri!"&amp; CHAR(64+ C0Col) &amp;":"&amp; CHAR(65+C0Col)),2,FALSE)&gt;COUNTIF($E158:AB158,"u")+COUNTIF($E158:AB158,"t")+COUNTIF($E158:AB158,"¶")+COUNTIF($E158:AB158,"²")+COUNTIF($E158:AB158,"µ")+COUNTIF($E158:AB158,1)),
HYPERLINK("#Roadmap!C"&amp; MATCH($E158,Roadmap!$D:$D,0)+COUNTIF($E158:AB158,"u")+COUNTIF($E158:AB158,"t"),
     INDEX(Roadmap!$D:$K,MATCH($E158,Roadmap!$D:$D,0)+COUNTIF($E158:AB158,"u")+COUNTIF($E158:AB158,"t")+COUNTIF($E158:AB158,"¶")+COUNTIF($E158:AB158,"²")+COUNTIF($E158:AB158,"µ")+COUNTIF($E158:AB158,1),ColTypeEcheance)),
  IF(LEN(AB158)=1,
  IF(LEN(INDEX(Roadmap!$D:$K,MATCH($E158,Roadmap!$D:$D,0)-1+COUNTIF($E158:AB158,"u")+COUNTIF($E158:AB158,"t")+COUNTIF($E158:AB158,"¶")+COUNTIF($E158:AB158,"²")+COUNTIF($E158:AB158,"µ")+COUNTIF($E158:AB158,1),ColDescriptionCourte))&gt;1,
HYPERLINK("#Roadmap!C"&amp; MATCH($E158,Roadmap!$D:$D,0)+COUNTIF($E158:AB158,"u")+COUNTIF($E158:AB158,"t")+COUNTIF($E158:AB158,"¶")+COUNTIF($E158:AB158,"²")+COUNTIF($E158:AB158,"µ")+COUNTIF($E158:AB158,1)-1,INDEX(Roadmap!$D:$K,MATCH($E158,Roadmap!$D:$D,0)-1+COUNTIF($E158:AB158,"u")+COUNTIF($E158:AB158,"t")+COUNTIF($E158:AB158,"¶")+COUNTIF($E158:AB158,"²")+COUNTIF($E158:AB158,"µ")+COUNTIF($E158:AB158,1),ColDescriptionCourte)),""),
  "")),"")</f>
        <v/>
      </c>
      <c r="AD158" s="40" t="str">
        <f ca="1">IFERROR(IF(AND(
  INDEX(Roadmap!$D:$K,MATCH($E158,Roadmap!$D:$D,0)+COUNTIF($E158:AC158,"u")+COUNTIF($E158:AC158,"t")+COUNTIF($E158:AC158,"¶")+COUNTIF($E158:AC158,"²")+COUNTIF($E158:AC158,"µ")+COUNTIF($E158:AC158,1),ColLivraison)=AD$6,
  VLOOKUP($E158,INDIRECT("tri!"&amp; CHAR(64+ C0Col) &amp;":"&amp; CHAR(65+C0Col)),2,FALSE)&gt;COUNTIF($E158:AC158,"u")+COUNTIF($E158:AC158,"t")+COUNTIF($E158:AC158,"¶")+COUNTIF($E158:AC158,"²")+COUNTIF($E158:AC158,"µ")+COUNTIF($E158:AC158,1)),
HYPERLINK("#Roadmap!C"&amp; MATCH($E158,Roadmap!$D:$D,0)+COUNTIF($E158:AC158,"u")+COUNTIF($E158:AC158,"t"),
     INDEX(Roadmap!$D:$K,MATCH($E158,Roadmap!$D:$D,0)+COUNTIF($E158:AC158,"u")+COUNTIF($E158:AC158,"t")+COUNTIF($E158:AC158,"¶")+COUNTIF($E158:AC158,"²")+COUNTIF($E158:AC158,"µ")+COUNTIF($E158:AC158,1),ColTypeEcheance)),
  IF(LEN(AC158)=1,
  IF(LEN(INDEX(Roadmap!$D:$K,MATCH($E158,Roadmap!$D:$D,0)-1+COUNTIF($E158:AC158,"u")+COUNTIF($E158:AC158,"t")+COUNTIF($E158:AC158,"¶")+COUNTIF($E158:AC158,"²")+COUNTIF($E158:AC158,"µ")+COUNTIF($E158:AC158,1),ColDescriptionCourte))&gt;1,
HYPERLINK("#Roadmap!C"&amp; MATCH($E158,Roadmap!$D:$D,0)+COUNTIF($E158:AC158,"u")+COUNTIF($E158:AC158,"t")+COUNTIF($E158:AC158,"¶")+COUNTIF($E158:AC158,"²")+COUNTIF($E158:AC158,"µ")+COUNTIF($E158:AC158,1)-1,INDEX(Roadmap!$D:$K,MATCH($E158,Roadmap!$D:$D,0)-1+COUNTIF($E158:AC158,"u")+COUNTIF($E158:AC158,"t")+COUNTIF($E158:AC158,"¶")+COUNTIF($E158:AC158,"²")+COUNTIF($E158:AC158,"µ")+COUNTIF($E158:AC158,1),ColDescriptionCourte)),""),
  "")),"")</f>
        <v/>
      </c>
      <c r="AE158" s="40" t="str">
        <f ca="1">IFERROR(IF(AND(
  INDEX(Roadmap!$D:$K,MATCH($E158,Roadmap!$D:$D,0)+COUNTIF($E158:AD158,"u")+COUNTIF($E158:AD158,"t")+COUNTIF($E158:AD158,"¶")+COUNTIF($E158:AD158,"²")+COUNTIF($E158:AD158,"µ")+COUNTIF($E158:AD158,1),ColLivraison)=AE$6,
  VLOOKUP($E158,INDIRECT("tri!"&amp; CHAR(64+ C0Col) &amp;":"&amp; CHAR(65+C0Col)),2,FALSE)&gt;COUNTIF($E158:AD158,"u")+COUNTIF($E158:AD158,"t")+COUNTIF($E158:AD158,"¶")+COUNTIF($E158:AD158,"²")+COUNTIF($E158:AD158,"µ")+COUNTIF($E158:AD158,1)),
HYPERLINK("#Roadmap!C"&amp; MATCH($E158,Roadmap!$D:$D,0)+COUNTIF($E158:AD158,"u")+COUNTIF($E158:AD158,"t"),
     INDEX(Roadmap!$D:$K,MATCH($E158,Roadmap!$D:$D,0)+COUNTIF($E158:AD158,"u")+COUNTIF($E158:AD158,"t")+COUNTIF($E158:AD158,"¶")+COUNTIF($E158:AD158,"²")+COUNTIF($E158:AD158,"µ")+COUNTIF($E158:AD158,1),ColTypeEcheance)),
  IF(LEN(AD158)=1,
  IF(LEN(INDEX(Roadmap!$D:$K,MATCH($E158,Roadmap!$D:$D,0)-1+COUNTIF($E158:AD158,"u")+COUNTIF($E158:AD158,"t")+COUNTIF($E158:AD158,"¶")+COUNTIF($E158:AD158,"²")+COUNTIF($E158:AD158,"µ")+COUNTIF($E158:AD158,1),ColDescriptionCourte))&gt;1,
HYPERLINK("#Roadmap!C"&amp; MATCH($E158,Roadmap!$D:$D,0)+COUNTIF($E158:AD158,"u")+COUNTIF($E158:AD158,"t")+COUNTIF($E158:AD158,"¶")+COUNTIF($E158:AD158,"²")+COUNTIF($E158:AD158,"µ")+COUNTIF($E158:AD158,1)-1,INDEX(Roadmap!$D:$K,MATCH($E158,Roadmap!$D:$D,0)-1+COUNTIF($E158:AD158,"u")+COUNTIF($E158:AD158,"t")+COUNTIF($E158:AD158,"¶")+COUNTIF($E158:AD158,"²")+COUNTIF($E158:AD158,"µ")+COUNTIF($E158:AD158,1),ColDescriptionCourte)),""),
  "")),"")</f>
        <v/>
      </c>
      <c r="AF158" s="40" t="str">
        <f ca="1">IFERROR(IF(AND(
  INDEX(Roadmap!$D:$K,MATCH($E158,Roadmap!$D:$D,0)+COUNTIF($E158:AE158,"u")+COUNTIF($E158:AE158,"t")+COUNTIF($E158:AE158,"¶")+COUNTIF($E158:AE158,"²")+COUNTIF($E158:AE158,"µ")+COUNTIF($E158:AE158,1),ColLivraison)=AF$6,
  VLOOKUP($E158,INDIRECT("tri!"&amp; CHAR(64+ C0Col) &amp;":"&amp; CHAR(65+C0Col)),2,FALSE)&gt;COUNTIF($E158:AE158,"u")+COUNTIF($E158:AE158,"t")+COUNTIF($E158:AE158,"¶")+COUNTIF($E158:AE158,"²")+COUNTIF($E158:AE158,"µ")+COUNTIF($E158:AE158,1)),
HYPERLINK("#Roadmap!C"&amp; MATCH($E158,Roadmap!$D:$D,0)+COUNTIF($E158:AE158,"u")+COUNTIF($E158:AE158,"t"),
     INDEX(Roadmap!$D:$K,MATCH($E158,Roadmap!$D:$D,0)+COUNTIF($E158:AE158,"u")+COUNTIF($E158:AE158,"t")+COUNTIF($E158:AE158,"¶")+COUNTIF($E158:AE158,"²")+COUNTIF($E158:AE158,"µ")+COUNTIF($E158:AE158,1),ColTypeEcheance)),
  IF(LEN(AE158)=1,
  IF(LEN(INDEX(Roadmap!$D:$K,MATCH($E158,Roadmap!$D:$D,0)-1+COUNTIF($E158:AE158,"u")+COUNTIF($E158:AE158,"t")+COUNTIF($E158:AE158,"¶")+COUNTIF($E158:AE158,"²")+COUNTIF($E158:AE158,"µ")+COUNTIF($E158:AE158,1),ColDescriptionCourte))&gt;1,
HYPERLINK("#Roadmap!C"&amp; MATCH($E158,Roadmap!$D:$D,0)+COUNTIF($E158:AE158,"u")+COUNTIF($E158:AE158,"t")+COUNTIF($E158:AE158,"¶")+COUNTIF($E158:AE158,"²")+COUNTIF($E158:AE158,"µ")+COUNTIF($E158:AE158,1)-1,INDEX(Roadmap!$D:$K,MATCH($E158,Roadmap!$D:$D,0)-1+COUNTIF($E158:AE158,"u")+COUNTIF($E158:AE158,"t")+COUNTIF($E158:AE158,"¶")+COUNTIF($E158:AE158,"²")+COUNTIF($E158:AE158,"µ")+COUNTIF($E158:AE158,1),ColDescriptionCourte)),""),
  "")),"")</f>
        <v/>
      </c>
      <c r="AG158" s="40" t="str">
        <f ca="1">IFERROR(IF(AND(
  INDEX(Roadmap!$D:$K,MATCH($E158,Roadmap!$D:$D,0)+COUNTIF($E158:AF158,"u")+COUNTIF($E158:AF158,"t")+COUNTIF($E158:AF158,"¶")+COUNTIF($E158:AF158,"²")+COUNTIF($E158:AF158,"µ")+COUNTIF($E158:AF158,1),ColLivraison)=AG$6,
  VLOOKUP($E158,INDIRECT("tri!"&amp; CHAR(64+ C0Col) &amp;":"&amp; CHAR(65+C0Col)),2,FALSE)&gt;COUNTIF($E158:AF158,"u")+COUNTIF($E158:AF158,"t")+COUNTIF($E158:AF158,"¶")+COUNTIF($E158:AF158,"²")+COUNTIF($E158:AF158,"µ")+COUNTIF($E158:AF158,1)),
HYPERLINK("#Roadmap!C"&amp; MATCH($E158,Roadmap!$D:$D,0)+COUNTIF($E158:AF158,"u")+COUNTIF($E158:AF158,"t"),
     INDEX(Roadmap!$D:$K,MATCH($E158,Roadmap!$D:$D,0)+COUNTIF($E158:AF158,"u")+COUNTIF($E158:AF158,"t")+COUNTIF($E158:AF158,"¶")+COUNTIF($E158:AF158,"²")+COUNTIF($E158:AF158,"µ")+COUNTIF($E158:AF158,1),ColTypeEcheance)),
  IF(LEN(AF158)=1,
  IF(LEN(INDEX(Roadmap!$D:$K,MATCH($E158,Roadmap!$D:$D,0)-1+COUNTIF($E158:AF158,"u")+COUNTIF($E158:AF158,"t")+COUNTIF($E158:AF158,"¶")+COUNTIF($E158:AF158,"²")+COUNTIF($E158:AF158,"µ")+COUNTIF($E158:AF158,1),ColDescriptionCourte))&gt;1,
HYPERLINK("#Roadmap!C"&amp; MATCH($E158,Roadmap!$D:$D,0)+COUNTIF($E158:AF158,"u")+COUNTIF($E158:AF158,"t")+COUNTIF($E158:AF158,"¶")+COUNTIF($E158:AF158,"²")+COUNTIF($E158:AF158,"µ")+COUNTIF($E158:AF158,1)-1,INDEX(Roadmap!$D:$K,MATCH($E158,Roadmap!$D:$D,0)-1+COUNTIF($E158:AF158,"u")+COUNTIF($E158:AF158,"t")+COUNTIF($E158:AF158,"¶")+COUNTIF($E158:AF158,"²")+COUNTIF($E158:AF158,"µ")+COUNTIF($E158:AF158,1),ColDescriptionCourte)),""),
  "")),"")</f>
        <v/>
      </c>
    </row>
    <row r="159" spans="3:33" ht="14.25" customHeight="1">
      <c r="C159" s="1" t="str">
        <f t="shared" ca="1" si="52"/>
        <v/>
      </c>
      <c r="D159" s="1" t="str">
        <f t="shared" ca="1" si="53"/>
        <v/>
      </c>
      <c r="E159" s="35" t="str">
        <f t="shared" ca="1" si="51"/>
        <v/>
      </c>
      <c r="F159" s="39" t="str">
        <f ca="1">IFERROR(IF(AND(
  INDEX(Roadmap!$D:$K,MATCH($E159,Roadmap!$D:$D,0)+COUNTIF($E159:E159,"u")+COUNTIF($E159:E159,"t")+COUNTIF($E159:E159,"¶")+COUNTIF($E159:E159,"²")+COUNTIF($E159:E159,"µ")+COUNTIF($E159:E159,1),ColLivraison)=F$6,
  VLOOKUP($E159,INDIRECT("tri!"&amp; CHAR(64+ C0Col) &amp;":"&amp; CHAR(65+C0Col)),2,FALSE)&gt;COUNTIF($E159:E159,"u")+COUNTIF($E159:E159,"t")+COUNTIF($E159:E159,"¶")+COUNTIF($E159:E159,"²")+COUNTIF($E159:E159,"µ")+COUNTIF($E159:E159,1)),
HYPERLINK("#Roadmap!C"&amp; MATCH($E159,Roadmap!$D:$D,0)+COUNTIF($E159:E159,"u")+COUNTIF($E159:E159,"t"),
     INDEX(Roadmap!$D:$K,MATCH($E159,Roadmap!$D:$D,0)+COUNTIF($E159:E159,"u")+COUNTIF($E159:E159,"t")+COUNTIF($E159:E159,"¶")+COUNTIF($E159:E159,"²")+COUNTIF($E159:E159,"µ")+COUNTIF($E159:E159,1),ColTypeEcheance)),
  IF(LEN(E159)=1,
  IF(LEN(INDEX(Roadmap!$D:$K,MATCH($E159,Roadmap!$D:$D,0)-1+COUNTIF($E159:E159,"u")+COUNTIF($E159:E159,"t")+COUNTIF($E159:E159,"¶")+COUNTIF($E159:E159,"²")+COUNTIF($E159:E159,"µ")+COUNTIF($E159:E159,1),ColDescriptionCourte))&gt;1,
HYPERLINK("#Roadmap!C"&amp; MATCH($E159,Roadmap!$D:$D,0)+COUNTIF($E159:E159,"u")+COUNTIF($E159:E159,"t")+COUNTIF($E159:E159,"¶")+COUNTIF($E159:E159,"²")+COUNTIF($E159:E159,"µ")+COUNTIF($E159:E159,1)-1,INDEX(Roadmap!$D:$K,MATCH($E159,Roadmap!$D:$D,0)-1+COUNTIF($E159:E159,"u")+COUNTIF($E159:E159,"t")+COUNTIF($E159:E159,"¶")+COUNTIF($E159:E159,"²")+COUNTIF($E159:E159,"µ")+COUNTIF($E159:E159,1),ColDescriptionCourte)),""),
  "")),"")</f>
        <v/>
      </c>
      <c r="G159" s="40" t="str">
        <f ca="1">IFERROR(IF(AND(
  INDEX(Roadmap!$D:$K,MATCH($E159,Roadmap!$D:$D,0)+COUNTIF($E159:F159,"u")+COUNTIF($E159:F159,"t")+COUNTIF($E159:F159,"¶")+COUNTIF($E159:F159,"²")+COUNTIF($E159:F159,"µ")+COUNTIF($E159:F159,1),ColLivraison)=G$6,
  VLOOKUP($E159,INDIRECT("tri!"&amp; CHAR(64+ C0Col) &amp;":"&amp; CHAR(65+C0Col)),2,FALSE)&gt;COUNTIF($E159:F159,"u")+COUNTIF($E159:F159,"t")+COUNTIF($E159:F159,"¶")+COUNTIF($E159:F159,"²")+COUNTIF($E159:F159,"µ")+COUNTIF($E159:F159,1)),
HYPERLINK("#Roadmap!C"&amp; MATCH($E159,Roadmap!$D:$D,0)+COUNTIF($E159:F159,"u")+COUNTIF($E159:F159,"t"),
     INDEX(Roadmap!$D:$K,MATCH($E159,Roadmap!$D:$D,0)+COUNTIF($E159:F159,"u")+COUNTIF($E159:F159,"t")+COUNTIF($E159:F159,"¶")+COUNTIF($E159:F159,"²")+COUNTIF($E159:F159,"µ")+COUNTIF($E159:F159,1),ColTypeEcheance)),
  IF(LEN(F159)=1,
  IF(LEN(INDEX(Roadmap!$D:$K,MATCH($E159,Roadmap!$D:$D,0)-1+COUNTIF($E159:F159,"u")+COUNTIF($E159:F159,"t")+COUNTIF($E159:F159,"¶")+COUNTIF($E159:F159,"²")+COUNTIF($E159:F159,"µ")+COUNTIF($E159:F159,1),ColDescriptionCourte))&gt;1,
HYPERLINK("#Roadmap!C"&amp; MATCH($E159,Roadmap!$D:$D,0)+COUNTIF($E159:F159,"u")+COUNTIF($E159:F159,"t")+COUNTIF($E159:F159,"¶")+COUNTIF($E159:F159,"²")+COUNTIF($E159:F159,"µ")+COUNTIF($E159:F159,1)-1,INDEX(Roadmap!$D:$K,MATCH($E159,Roadmap!$D:$D,0)-1+COUNTIF($E159:F159,"u")+COUNTIF($E159:F159,"t")+COUNTIF($E159:F159,"¶")+COUNTIF($E159:F159,"²")+COUNTIF($E159:F159,"µ")+COUNTIF($E159:F159,1),ColDescriptionCourte)),""),
  "")),"")</f>
        <v/>
      </c>
      <c r="H159" s="40" t="str">
        <f ca="1">IFERROR(IF(AND(
  INDEX(Roadmap!$D:$K,MATCH($E159,Roadmap!$D:$D,0)+COUNTIF($E159:G159,"u")+COUNTIF($E159:G159,"t")+COUNTIF($E159:G159,"¶")+COUNTIF($E159:G159,"²")+COUNTIF($E159:G159,"µ")+COUNTIF($E159:G159,1),ColLivraison)=H$6,
  VLOOKUP($E159,INDIRECT("tri!"&amp; CHAR(64+ C0Col) &amp;":"&amp; CHAR(65+C0Col)),2,FALSE)&gt;COUNTIF($E159:G159,"u")+COUNTIF($E159:G159,"t")+COUNTIF($E159:G159,"¶")+COUNTIF($E159:G159,"²")+COUNTIF($E159:G159,"µ")+COUNTIF($E159:G159,1)),
HYPERLINK("#Roadmap!C"&amp; MATCH($E159,Roadmap!$D:$D,0)+COUNTIF($E159:G159,"u")+COUNTIF($E159:G159,"t"),
     INDEX(Roadmap!$D:$K,MATCH($E159,Roadmap!$D:$D,0)+COUNTIF($E159:G159,"u")+COUNTIF($E159:G159,"t")+COUNTIF($E159:G159,"¶")+COUNTIF($E159:G159,"²")+COUNTIF($E159:G159,"µ")+COUNTIF($E159:G159,1),ColTypeEcheance)),
  IF(LEN(G159)=1,
  IF(LEN(INDEX(Roadmap!$D:$K,MATCH($E159,Roadmap!$D:$D,0)-1+COUNTIF($E159:G159,"u")+COUNTIF($E159:G159,"t")+COUNTIF($E159:G159,"¶")+COUNTIF($E159:G159,"²")+COUNTIF($E159:G159,"µ")+COUNTIF($E159:G159,1),ColDescriptionCourte))&gt;1,
HYPERLINK("#Roadmap!C"&amp; MATCH($E159,Roadmap!$D:$D,0)+COUNTIF($E159:G159,"u")+COUNTIF($E159:G159,"t")+COUNTIF($E159:G159,"¶")+COUNTIF($E159:G159,"²")+COUNTIF($E159:G159,"µ")+COUNTIF($E159:G159,1)-1,INDEX(Roadmap!$D:$K,MATCH($E159,Roadmap!$D:$D,0)-1+COUNTIF($E159:G159,"u")+COUNTIF($E159:G159,"t")+COUNTIF($E159:G159,"¶")+COUNTIF($E159:G159,"²")+COUNTIF($E159:G159,"µ")+COUNTIF($E159:G159,1),ColDescriptionCourte)),""),
  "")),"")</f>
        <v/>
      </c>
      <c r="I159" s="40" t="str">
        <f ca="1">IFERROR(IF(AND(
  INDEX(Roadmap!$D:$K,MATCH($E159,Roadmap!$D:$D,0)+COUNTIF($E159:H159,"u")+COUNTIF($E159:H159,"t")+COUNTIF($E159:H159,"¶")+COUNTIF($E159:H159,"²")+COUNTIF($E159:H159,"µ")+COUNTIF($E159:H159,1),ColLivraison)=I$6,
  VLOOKUP($E159,INDIRECT("tri!"&amp; CHAR(64+ C0Col) &amp;":"&amp; CHAR(65+C0Col)),2,FALSE)&gt;COUNTIF($E159:H159,"u")+COUNTIF($E159:H159,"t")+COUNTIF($E159:H159,"¶")+COUNTIF($E159:H159,"²")+COUNTIF($E159:H159,"µ")+COUNTIF($E159:H159,1)),
HYPERLINK("#Roadmap!C"&amp; MATCH($E159,Roadmap!$D:$D,0)+COUNTIF($E159:H159,"u")+COUNTIF($E159:H159,"t"),
     INDEX(Roadmap!$D:$K,MATCH($E159,Roadmap!$D:$D,0)+COUNTIF($E159:H159,"u")+COUNTIF($E159:H159,"t")+COUNTIF($E159:H159,"¶")+COUNTIF($E159:H159,"²")+COUNTIF($E159:H159,"µ")+COUNTIF($E159:H159,1),ColTypeEcheance)),
  IF(LEN(H159)=1,
  IF(LEN(INDEX(Roadmap!$D:$K,MATCH($E159,Roadmap!$D:$D,0)-1+COUNTIF($E159:H159,"u")+COUNTIF($E159:H159,"t")+COUNTIF($E159:H159,"¶")+COUNTIF($E159:H159,"²")+COUNTIF($E159:H159,"µ")+COUNTIF($E159:H159,1),ColDescriptionCourte))&gt;1,
HYPERLINK("#Roadmap!C"&amp; MATCH($E159,Roadmap!$D:$D,0)+COUNTIF($E159:H159,"u")+COUNTIF($E159:H159,"t")+COUNTIF($E159:H159,"¶")+COUNTIF($E159:H159,"²")+COUNTIF($E159:H159,"µ")+COUNTIF($E159:H159,1)-1,INDEX(Roadmap!$D:$K,MATCH($E159,Roadmap!$D:$D,0)-1+COUNTIF($E159:H159,"u")+COUNTIF($E159:H159,"t")+COUNTIF($E159:H159,"¶")+COUNTIF($E159:H159,"²")+COUNTIF($E159:H159,"µ")+COUNTIF($E159:H159,1),ColDescriptionCourte)),""),
  "")),"")</f>
        <v/>
      </c>
      <c r="J159" s="40" t="str">
        <f ca="1">IFERROR(IF(AND(
  INDEX(Roadmap!$D:$K,MATCH($E159,Roadmap!$D:$D,0)+COUNTIF($E159:I159,"u")+COUNTIF($E159:I159,"t")+COUNTIF($E159:I159,"¶")+COUNTIF($E159:I159,"²")+COUNTIF($E159:I159,"µ")+COUNTIF($E159:I159,1),ColLivraison)=J$6,
  VLOOKUP($E159,INDIRECT("tri!"&amp; CHAR(64+ C0Col) &amp;":"&amp; CHAR(65+C0Col)),2,FALSE)&gt;COUNTIF($E159:I159,"u")+COUNTIF($E159:I159,"t")+COUNTIF($E159:I159,"¶")+COUNTIF($E159:I159,"²")+COUNTIF($E159:I159,"µ")+COUNTIF($E159:I159,1)),
HYPERLINK("#Roadmap!C"&amp; MATCH($E159,Roadmap!$D:$D,0)+COUNTIF($E159:I159,"u")+COUNTIF($E159:I159,"t"),
     INDEX(Roadmap!$D:$K,MATCH($E159,Roadmap!$D:$D,0)+COUNTIF($E159:I159,"u")+COUNTIF($E159:I159,"t")+COUNTIF($E159:I159,"¶")+COUNTIF($E159:I159,"²")+COUNTIF($E159:I159,"µ")+COUNTIF($E159:I159,1),ColTypeEcheance)),
  IF(LEN(I159)=1,
  IF(LEN(INDEX(Roadmap!$D:$K,MATCH($E159,Roadmap!$D:$D,0)-1+COUNTIF($E159:I159,"u")+COUNTIF($E159:I159,"t")+COUNTIF($E159:I159,"¶")+COUNTIF($E159:I159,"²")+COUNTIF($E159:I159,"µ")+COUNTIF($E159:I159,1),ColDescriptionCourte))&gt;1,
HYPERLINK("#Roadmap!C"&amp; MATCH($E159,Roadmap!$D:$D,0)+COUNTIF($E159:I159,"u")+COUNTIF($E159:I159,"t")+COUNTIF($E159:I159,"¶")+COUNTIF($E159:I159,"²")+COUNTIF($E159:I159,"µ")+COUNTIF($E159:I159,1)-1,INDEX(Roadmap!$D:$K,MATCH($E159,Roadmap!$D:$D,0)-1+COUNTIF($E159:I159,"u")+COUNTIF($E159:I159,"t")+COUNTIF($E159:I159,"¶")+COUNTIF($E159:I159,"²")+COUNTIF($E159:I159,"µ")+COUNTIF($E159:I159,1),ColDescriptionCourte)),""),
  "")),"")</f>
        <v/>
      </c>
      <c r="K159" s="40" t="str">
        <f ca="1">IFERROR(IF(AND(
  INDEX(Roadmap!$D:$K,MATCH($E159,Roadmap!$D:$D,0)+COUNTIF($E159:J159,"u")+COUNTIF($E159:J159,"t")+COUNTIF($E159:J159,"¶")+COUNTIF($E159:J159,"²")+COUNTIF($E159:J159,"µ")+COUNTIF($E159:J159,1),ColLivraison)=K$6,
  VLOOKUP($E159,INDIRECT("tri!"&amp; CHAR(64+ C0Col) &amp;":"&amp; CHAR(65+C0Col)),2,FALSE)&gt;COUNTIF($E159:J159,"u")+COUNTIF($E159:J159,"t")+COUNTIF($E159:J159,"¶")+COUNTIF($E159:J159,"²")+COUNTIF($E159:J159,"µ")+COUNTIF($E159:J159,1)),
HYPERLINK("#Roadmap!C"&amp; MATCH($E159,Roadmap!$D:$D,0)+COUNTIF($E159:J159,"u")+COUNTIF($E159:J159,"t"),
     INDEX(Roadmap!$D:$K,MATCH($E159,Roadmap!$D:$D,0)+COUNTIF($E159:J159,"u")+COUNTIF($E159:J159,"t")+COUNTIF($E159:J159,"¶")+COUNTIF($E159:J159,"²")+COUNTIF($E159:J159,"µ")+COUNTIF($E159:J159,1),ColTypeEcheance)),
  IF(LEN(J159)=1,
  IF(LEN(INDEX(Roadmap!$D:$K,MATCH($E159,Roadmap!$D:$D,0)-1+COUNTIF($E159:J159,"u")+COUNTIF($E159:J159,"t")+COUNTIF($E159:J159,"¶")+COUNTIF($E159:J159,"²")+COUNTIF($E159:J159,"µ")+COUNTIF($E159:J159,1),ColDescriptionCourte))&gt;1,
HYPERLINK("#Roadmap!C"&amp; MATCH($E159,Roadmap!$D:$D,0)+COUNTIF($E159:J159,"u")+COUNTIF($E159:J159,"t")+COUNTIF($E159:J159,"¶")+COUNTIF($E159:J159,"²")+COUNTIF($E159:J159,"µ")+COUNTIF($E159:J159,1)-1,INDEX(Roadmap!$D:$K,MATCH($E159,Roadmap!$D:$D,0)-1+COUNTIF($E159:J159,"u")+COUNTIF($E159:J159,"t")+COUNTIF($E159:J159,"¶")+COUNTIF($E159:J159,"²")+COUNTIF($E159:J159,"µ")+COUNTIF($E159:J159,1),ColDescriptionCourte)),""),
  "")),"")</f>
        <v/>
      </c>
      <c r="L159" s="39" t="str">
        <f ca="1">IFERROR(IF(AND(
  INDEX(Roadmap!$D:$K,MATCH($E159,Roadmap!$D:$D,0)+COUNTIF($E159:K159,"u")+COUNTIF($E159:K159,"t")+COUNTIF($E159:K159,"¶")+COUNTIF($E159:K159,"²")+COUNTIF($E159:K159,"µ")+COUNTIF($E159:K159,1),ColLivraison)=L$6,
  VLOOKUP($E159,INDIRECT("tri!"&amp; CHAR(64+ C0Col) &amp;":"&amp; CHAR(65+C0Col)),2,FALSE)&gt;COUNTIF($E159:K159,"u")+COUNTIF($E159:K159,"t")+COUNTIF($E159:K159,"¶")+COUNTIF($E159:K159,"²")+COUNTIF($E159:K159,"µ")+COUNTIF($E159:K159,1)),
HYPERLINK("#Roadmap!C"&amp; MATCH($E159,Roadmap!$D:$D,0)+COUNTIF($E159:K159,"u")+COUNTIF($E159:K159,"t"),
     INDEX(Roadmap!$D:$K,MATCH($E159,Roadmap!$D:$D,0)+COUNTIF($E159:K159,"u")+COUNTIF($E159:K159,"t")+COUNTIF($E159:K159,"¶")+COUNTIF($E159:K159,"²")+COUNTIF($E159:K159,"µ")+COUNTIF($E159:K159,1),ColTypeEcheance)),
  IF(LEN(K159)=1,
  IF(LEN(INDEX(Roadmap!$D:$K,MATCH($E159,Roadmap!$D:$D,0)-1+COUNTIF($E159:K159,"u")+COUNTIF($E159:K159,"t")+COUNTIF($E159:K159,"¶")+COUNTIF($E159:K159,"²")+COUNTIF($E159:K159,"µ")+COUNTIF($E159:K159,1),ColDescriptionCourte))&gt;1,
HYPERLINK("#Roadmap!C"&amp; MATCH($E159,Roadmap!$D:$D,0)+COUNTIF($E159:K159,"u")+COUNTIF($E159:K159,"t")+COUNTIF($E159:K159,"¶")+COUNTIF($E159:K159,"²")+COUNTIF($E159:K159,"µ")+COUNTIF($E159:K159,1)-1,INDEX(Roadmap!$D:$K,MATCH($E159,Roadmap!$D:$D,0)-1+COUNTIF($E159:K159,"u")+COUNTIF($E159:K159,"t")+COUNTIF($E159:K159,"¶")+COUNTIF($E159:K159,"²")+COUNTIF($E159:K159,"µ")+COUNTIF($E159:K159,1),ColDescriptionCourte)),""),
  "")),"")</f>
        <v/>
      </c>
      <c r="M159" s="40" t="str">
        <f ca="1">IFERROR(IF(AND(
  INDEX(Roadmap!$D:$K,MATCH($E159,Roadmap!$D:$D,0)+COUNTIF($E159:L159,"u")+COUNTIF($E159:L159,"t")+COUNTIF($E159:L159,"¶")+COUNTIF($E159:L159,"²")+COUNTIF($E159:L159,"µ")+COUNTIF($E159:L159,1),ColLivraison)=M$6,
  VLOOKUP($E159,INDIRECT("tri!"&amp; CHAR(64+ C0Col) &amp;":"&amp; CHAR(65+C0Col)),2,FALSE)&gt;COUNTIF($E159:L159,"u")+COUNTIF($E159:L159,"t")+COUNTIF($E159:L159,"¶")+COUNTIF($E159:L159,"²")+COUNTIF($E159:L159,"µ")+COUNTIF($E159:L159,1)),
HYPERLINK("#Roadmap!C"&amp; MATCH($E159,Roadmap!$D:$D,0)+COUNTIF($E159:L159,"u")+COUNTIF($E159:L159,"t"),
     INDEX(Roadmap!$D:$K,MATCH($E159,Roadmap!$D:$D,0)+COUNTIF($E159:L159,"u")+COUNTIF($E159:L159,"t")+COUNTIF($E159:L159,"¶")+COUNTIF($E159:L159,"²")+COUNTIF($E159:L159,"µ")+COUNTIF($E159:L159,1),ColTypeEcheance)),
  IF(LEN(L159)=1,
  IF(LEN(INDEX(Roadmap!$D:$K,MATCH($E159,Roadmap!$D:$D,0)-1+COUNTIF($E159:L159,"u")+COUNTIF($E159:L159,"t")+COUNTIF($E159:L159,"¶")+COUNTIF($E159:L159,"²")+COUNTIF($E159:L159,"µ")+COUNTIF($E159:L159,1),ColDescriptionCourte))&gt;1,
HYPERLINK("#Roadmap!C"&amp; MATCH($E159,Roadmap!$D:$D,0)+COUNTIF($E159:L159,"u")+COUNTIF($E159:L159,"t")+COUNTIF($E159:L159,"¶")+COUNTIF($E159:L159,"²")+COUNTIF($E159:L159,"µ")+COUNTIF($E159:L159,1)-1,INDEX(Roadmap!$D:$K,MATCH($E159,Roadmap!$D:$D,0)-1+COUNTIF($E159:L159,"u")+COUNTIF($E159:L159,"t")+COUNTIF($E159:L159,"¶")+COUNTIF($E159:L159,"²")+COUNTIF($E159:L159,"µ")+COUNTIF($E159:L159,1),ColDescriptionCourte)),""),
  "")),"")</f>
        <v/>
      </c>
      <c r="N159" s="40" t="str">
        <f ca="1">IFERROR(IF(AND(
  INDEX(Roadmap!$D:$K,MATCH($E159,Roadmap!$D:$D,0)+COUNTIF($E159:M159,"u")+COUNTIF($E159:M159,"t")+COUNTIF($E159:M159,"¶")+COUNTIF($E159:M159,"²")+COUNTIF($E159:M159,"µ")+COUNTIF($E159:M159,1),ColLivraison)=N$6,
  VLOOKUP($E159,INDIRECT("tri!"&amp; CHAR(64+ C0Col) &amp;":"&amp; CHAR(65+C0Col)),2,FALSE)&gt;COUNTIF($E159:M159,"u")+COUNTIF($E159:M159,"t")+COUNTIF($E159:M159,"¶")+COUNTIF($E159:M159,"²")+COUNTIF($E159:M159,"µ")+COUNTIF($E159:M159,1)),
HYPERLINK("#Roadmap!C"&amp; MATCH($E159,Roadmap!$D:$D,0)+COUNTIF($E159:M159,"u")+COUNTIF($E159:M159,"t"),
     INDEX(Roadmap!$D:$K,MATCH($E159,Roadmap!$D:$D,0)+COUNTIF($E159:M159,"u")+COUNTIF($E159:M159,"t")+COUNTIF($E159:M159,"¶")+COUNTIF($E159:M159,"²")+COUNTIF($E159:M159,"µ")+COUNTIF($E159:M159,1),ColTypeEcheance)),
  IF(LEN(M159)=1,
  IF(LEN(INDEX(Roadmap!$D:$K,MATCH($E159,Roadmap!$D:$D,0)-1+COUNTIF($E159:M159,"u")+COUNTIF($E159:M159,"t")+COUNTIF($E159:M159,"¶")+COUNTIF($E159:M159,"²")+COUNTIF($E159:M159,"µ")+COUNTIF($E159:M159,1),ColDescriptionCourte))&gt;1,
HYPERLINK("#Roadmap!C"&amp; MATCH($E159,Roadmap!$D:$D,0)+COUNTIF($E159:M159,"u")+COUNTIF($E159:M159,"t")+COUNTIF($E159:M159,"¶")+COUNTIF($E159:M159,"²")+COUNTIF($E159:M159,"µ")+COUNTIF($E159:M159,1)-1,INDEX(Roadmap!$D:$K,MATCH($E159,Roadmap!$D:$D,0)-1+COUNTIF($E159:M159,"u")+COUNTIF($E159:M159,"t")+COUNTIF($E159:M159,"¶")+COUNTIF($E159:M159,"²")+COUNTIF($E159:M159,"µ")+COUNTIF($E159:M159,1),ColDescriptionCourte)),""),
  "")),"")</f>
        <v/>
      </c>
      <c r="O159" s="40" t="str">
        <f ca="1">IFERROR(IF(AND(
  INDEX(Roadmap!$D:$K,MATCH($E159,Roadmap!$D:$D,0)+COUNTIF($E159:N159,"u")+COUNTIF($E159:N159,"t")+COUNTIF($E159:N159,"¶")+COUNTIF($E159:N159,"²")+COUNTIF($E159:N159,"µ")+COUNTIF($E159:N159,1),ColLivraison)=O$6,
  VLOOKUP($E159,INDIRECT("tri!"&amp; CHAR(64+ C0Col) &amp;":"&amp; CHAR(65+C0Col)),2,FALSE)&gt;COUNTIF($E159:N159,"u")+COUNTIF($E159:N159,"t")+COUNTIF($E159:N159,"¶")+COUNTIF($E159:N159,"²")+COUNTIF($E159:N159,"µ")+COUNTIF($E159:N159,1)),
HYPERLINK("#Roadmap!C"&amp; MATCH($E159,Roadmap!$D:$D,0)+COUNTIF($E159:N159,"u")+COUNTIF($E159:N159,"t"),
     INDEX(Roadmap!$D:$K,MATCH($E159,Roadmap!$D:$D,0)+COUNTIF($E159:N159,"u")+COUNTIF($E159:N159,"t")+COUNTIF($E159:N159,"¶")+COUNTIF($E159:N159,"²")+COUNTIF($E159:N159,"µ")+COUNTIF($E159:N159,1),ColTypeEcheance)),
  IF(LEN(N159)=1,
  IF(LEN(INDEX(Roadmap!$D:$K,MATCH($E159,Roadmap!$D:$D,0)-1+COUNTIF($E159:N159,"u")+COUNTIF($E159:N159,"t")+COUNTIF($E159:N159,"¶")+COUNTIF($E159:N159,"²")+COUNTIF($E159:N159,"µ")+COUNTIF($E159:N159,1),ColDescriptionCourte))&gt;1,
HYPERLINK("#Roadmap!C"&amp; MATCH($E159,Roadmap!$D:$D,0)+COUNTIF($E159:N159,"u")+COUNTIF($E159:N159,"t")+COUNTIF($E159:N159,"¶")+COUNTIF($E159:N159,"²")+COUNTIF($E159:N159,"µ")+COUNTIF($E159:N159,1)-1,INDEX(Roadmap!$D:$K,MATCH($E159,Roadmap!$D:$D,0)-1+COUNTIF($E159:N159,"u")+COUNTIF($E159:N159,"t")+COUNTIF($E159:N159,"¶")+COUNTIF($E159:N159,"²")+COUNTIF($E159:N159,"µ")+COUNTIF($E159:N159,1),ColDescriptionCourte)),""),
  "")),"")</f>
        <v/>
      </c>
      <c r="P159" s="40" t="str">
        <f ca="1">IFERROR(IF(AND(
  INDEX(Roadmap!$D:$K,MATCH($E159,Roadmap!$D:$D,0)+COUNTIF($E159:O159,"u")+COUNTIF($E159:O159,"t")+COUNTIF($E159:O159,"¶")+COUNTIF($E159:O159,"²")+COUNTIF($E159:O159,"µ")+COUNTIF($E159:O159,1),ColLivraison)=P$6,
  VLOOKUP($E159,INDIRECT("tri!"&amp; CHAR(64+ C0Col) &amp;":"&amp; CHAR(65+C0Col)),2,FALSE)&gt;COUNTIF($E159:O159,"u")+COUNTIF($E159:O159,"t")+COUNTIF($E159:O159,"¶")+COUNTIF($E159:O159,"²")+COUNTIF($E159:O159,"µ")+COUNTIF($E159:O159,1)),
HYPERLINK("#Roadmap!C"&amp; MATCH($E159,Roadmap!$D:$D,0)+COUNTIF($E159:O159,"u")+COUNTIF($E159:O159,"t"),
     INDEX(Roadmap!$D:$K,MATCH($E159,Roadmap!$D:$D,0)+COUNTIF($E159:O159,"u")+COUNTIF($E159:O159,"t")+COUNTIF($E159:O159,"¶")+COUNTIF($E159:O159,"²")+COUNTIF($E159:O159,"µ")+COUNTIF($E159:O159,1),ColTypeEcheance)),
  IF(LEN(O159)=1,
  IF(LEN(INDEX(Roadmap!$D:$K,MATCH($E159,Roadmap!$D:$D,0)-1+COUNTIF($E159:O159,"u")+COUNTIF($E159:O159,"t")+COUNTIF($E159:O159,"¶")+COUNTIF($E159:O159,"²")+COUNTIF($E159:O159,"µ")+COUNTIF($E159:O159,1),ColDescriptionCourte))&gt;1,
HYPERLINK("#Roadmap!C"&amp; MATCH($E159,Roadmap!$D:$D,0)+COUNTIF($E159:O159,"u")+COUNTIF($E159:O159,"t")+COUNTIF($E159:O159,"¶")+COUNTIF($E159:O159,"²")+COUNTIF($E159:O159,"µ")+COUNTIF($E159:O159,1)-1,INDEX(Roadmap!$D:$K,MATCH($E159,Roadmap!$D:$D,0)-1+COUNTIF($E159:O159,"u")+COUNTIF($E159:O159,"t")+COUNTIF($E159:O159,"¶")+COUNTIF($E159:O159,"²")+COUNTIF($E159:O159,"µ")+COUNTIF($E159:O159,1),ColDescriptionCourte)),""),
  "")),"")</f>
        <v/>
      </c>
      <c r="Q159" s="40" t="str">
        <f ca="1">IFERROR(IF(AND(
  INDEX(Roadmap!$D:$K,MATCH($E159,Roadmap!$D:$D,0)+COUNTIF($E159:P159,"u")+COUNTIF($E159:P159,"t")+COUNTIF($E159:P159,"¶")+COUNTIF($E159:P159,"²")+COUNTIF($E159:P159,"µ")+COUNTIF($E159:P159,1),ColLivraison)=Q$6,
  VLOOKUP($E159,INDIRECT("tri!"&amp; CHAR(64+ C0Col) &amp;":"&amp; CHAR(65+C0Col)),2,FALSE)&gt;COUNTIF($E159:P159,"u")+COUNTIF($E159:P159,"t")+COUNTIF($E159:P159,"¶")+COUNTIF($E159:P159,"²")+COUNTIF($E159:P159,"µ")+COUNTIF($E159:P159,1)),
HYPERLINK("#Roadmap!C"&amp; MATCH($E159,Roadmap!$D:$D,0)+COUNTIF($E159:P159,"u")+COUNTIF($E159:P159,"t"),
     INDEX(Roadmap!$D:$K,MATCH($E159,Roadmap!$D:$D,0)+COUNTIF($E159:P159,"u")+COUNTIF($E159:P159,"t")+COUNTIF($E159:P159,"¶")+COUNTIF($E159:P159,"²")+COUNTIF($E159:P159,"µ")+COUNTIF($E159:P159,1),ColTypeEcheance)),
  IF(LEN(P159)=1,
  IF(LEN(INDEX(Roadmap!$D:$K,MATCH($E159,Roadmap!$D:$D,0)-1+COUNTIF($E159:P159,"u")+COUNTIF($E159:P159,"t")+COUNTIF($E159:P159,"¶")+COUNTIF($E159:P159,"²")+COUNTIF($E159:P159,"µ")+COUNTIF($E159:P159,1),ColDescriptionCourte))&gt;1,
HYPERLINK("#Roadmap!C"&amp; MATCH($E159,Roadmap!$D:$D,0)+COUNTIF($E159:P159,"u")+COUNTIF($E159:P159,"t")+COUNTIF($E159:P159,"¶")+COUNTIF($E159:P159,"²")+COUNTIF($E159:P159,"µ")+COUNTIF($E159:P159,1)-1,INDEX(Roadmap!$D:$K,MATCH($E159,Roadmap!$D:$D,0)-1+COUNTIF($E159:P159,"u")+COUNTIF($E159:P159,"t")+COUNTIF($E159:P159,"¶")+COUNTIF($E159:P159,"²")+COUNTIF($E159:P159,"µ")+COUNTIF($E159:P159,1),ColDescriptionCourte)),""),
  "")),"")</f>
        <v/>
      </c>
      <c r="R159" s="40" t="str">
        <f ca="1">IFERROR(IF(AND(
  INDEX(Roadmap!$D:$K,MATCH($E159,Roadmap!$D:$D,0)+COUNTIF($E159:Q159,"u")+COUNTIF($E159:Q159,"t")+COUNTIF($E159:Q159,"¶")+COUNTIF($E159:Q159,"²")+COUNTIF($E159:Q159,"µ")+COUNTIF($E159:Q159,1),ColLivraison)=R$6,
  VLOOKUP($E159,INDIRECT("tri!"&amp; CHAR(64+ C0Col) &amp;":"&amp; CHAR(65+C0Col)),2,FALSE)&gt;COUNTIF($E159:Q159,"u")+COUNTIF($E159:Q159,"t")+COUNTIF($E159:Q159,"¶")+COUNTIF($E159:Q159,"²")+COUNTIF($E159:Q159,"µ")+COUNTIF($E159:Q159,1)),
HYPERLINK("#Roadmap!C"&amp; MATCH($E159,Roadmap!$D:$D,0)+COUNTIF($E159:Q159,"u")+COUNTIF($E159:Q159,"t"),
     INDEX(Roadmap!$D:$K,MATCH($E159,Roadmap!$D:$D,0)+COUNTIF($E159:Q159,"u")+COUNTIF($E159:Q159,"t")+COUNTIF($E159:Q159,"¶")+COUNTIF($E159:Q159,"²")+COUNTIF($E159:Q159,"µ")+COUNTIF($E159:Q159,1),ColTypeEcheance)),
  IF(LEN(Q159)=1,
  IF(LEN(INDEX(Roadmap!$D:$K,MATCH($E159,Roadmap!$D:$D,0)-1+COUNTIF($E159:Q159,"u")+COUNTIF($E159:Q159,"t")+COUNTIF($E159:Q159,"¶")+COUNTIF($E159:Q159,"²")+COUNTIF($E159:Q159,"µ")+COUNTIF($E159:Q159,1),ColDescriptionCourte))&gt;1,
HYPERLINK("#Roadmap!C"&amp; MATCH($E159,Roadmap!$D:$D,0)+COUNTIF($E159:Q159,"u")+COUNTIF($E159:Q159,"t")+COUNTIF($E159:Q159,"¶")+COUNTIF($E159:Q159,"²")+COUNTIF($E159:Q159,"µ")+COUNTIF($E159:Q159,1)-1,INDEX(Roadmap!$D:$K,MATCH($E159,Roadmap!$D:$D,0)-1+COUNTIF($E159:Q159,"u")+COUNTIF($E159:Q159,"t")+COUNTIF($E159:Q159,"¶")+COUNTIF($E159:Q159,"²")+COUNTIF($E159:Q159,"µ")+COUNTIF($E159:Q159,1),ColDescriptionCourte)),""),
  "")),"")</f>
        <v/>
      </c>
      <c r="S159" s="40" t="str">
        <f ca="1">IFERROR(IF(AND(
  INDEX(Roadmap!$D:$K,MATCH($E159,Roadmap!$D:$D,0)+COUNTIF($E159:R159,"u")+COUNTIF($E159:R159,"t")+COUNTIF($E159:R159,"¶")+COUNTIF($E159:R159,"²")+COUNTIF($E159:R159,"µ")+COUNTIF($E159:R159,1),ColLivraison)=S$6,
  VLOOKUP($E159,INDIRECT("tri!"&amp; CHAR(64+ C0Col) &amp;":"&amp; CHAR(65+C0Col)),2,FALSE)&gt;COUNTIF($E159:R159,"u")+COUNTIF($E159:R159,"t")+COUNTIF($E159:R159,"¶")+COUNTIF($E159:R159,"²")+COUNTIF($E159:R159,"µ")+COUNTIF($E159:R159,1)),
HYPERLINK("#Roadmap!C"&amp; MATCH($E159,Roadmap!$D:$D,0)+COUNTIF($E159:R159,"u")+COUNTIF($E159:R159,"t"),
     INDEX(Roadmap!$D:$K,MATCH($E159,Roadmap!$D:$D,0)+COUNTIF($E159:R159,"u")+COUNTIF($E159:R159,"t")+COUNTIF($E159:R159,"¶")+COUNTIF($E159:R159,"²")+COUNTIF($E159:R159,"µ")+COUNTIF($E159:R159,1),ColTypeEcheance)),
  IF(LEN(R159)=1,
  IF(LEN(INDEX(Roadmap!$D:$K,MATCH($E159,Roadmap!$D:$D,0)-1+COUNTIF($E159:R159,"u")+COUNTIF($E159:R159,"t")+COUNTIF($E159:R159,"¶")+COUNTIF($E159:R159,"²")+COUNTIF($E159:R159,"µ")+COUNTIF($E159:R159,1),ColDescriptionCourte))&gt;1,
HYPERLINK("#Roadmap!C"&amp; MATCH($E159,Roadmap!$D:$D,0)+COUNTIF($E159:R159,"u")+COUNTIF($E159:R159,"t")+COUNTIF($E159:R159,"¶")+COUNTIF($E159:R159,"²")+COUNTIF($E159:R159,"µ")+COUNTIF($E159:R159,1)-1,INDEX(Roadmap!$D:$K,MATCH($E159,Roadmap!$D:$D,0)-1+COUNTIF($E159:R159,"u")+COUNTIF($E159:R159,"t")+COUNTIF($E159:R159,"¶")+COUNTIF($E159:R159,"²")+COUNTIF($E159:R159,"µ")+COUNTIF($E159:R159,1),ColDescriptionCourte)),""),
  "")),"")</f>
        <v/>
      </c>
      <c r="T159" s="40" t="str">
        <f ca="1">IFERROR(IF(AND(
  INDEX(Roadmap!$D:$K,MATCH($E159,Roadmap!$D:$D,0)+COUNTIF($E159:S159,"u")+COUNTIF($E159:S159,"t")+COUNTIF($E159:S159,"¶")+COUNTIF($E159:S159,"²")+COUNTIF($E159:S159,"µ")+COUNTIF($E159:S159,1),ColLivraison)=T$6,
  VLOOKUP($E159,INDIRECT("tri!"&amp; CHAR(64+ C0Col) &amp;":"&amp; CHAR(65+C0Col)),2,FALSE)&gt;COUNTIF($E159:S159,"u")+COUNTIF($E159:S159,"t")+COUNTIF($E159:S159,"¶")+COUNTIF($E159:S159,"²")+COUNTIF($E159:S159,"µ")+COUNTIF($E159:S159,1)),
HYPERLINK("#Roadmap!C"&amp; MATCH($E159,Roadmap!$D:$D,0)+COUNTIF($E159:S159,"u")+COUNTIF($E159:S159,"t"),
     INDEX(Roadmap!$D:$K,MATCH($E159,Roadmap!$D:$D,0)+COUNTIF($E159:S159,"u")+COUNTIF($E159:S159,"t")+COUNTIF($E159:S159,"¶")+COUNTIF($E159:S159,"²")+COUNTIF($E159:S159,"µ")+COUNTIF($E159:S159,1),ColTypeEcheance)),
  IF(LEN(S159)=1,
  IF(LEN(INDEX(Roadmap!$D:$K,MATCH($E159,Roadmap!$D:$D,0)-1+COUNTIF($E159:S159,"u")+COUNTIF($E159:S159,"t")+COUNTIF($E159:S159,"¶")+COUNTIF($E159:S159,"²")+COUNTIF($E159:S159,"µ")+COUNTIF($E159:S159,1),ColDescriptionCourte))&gt;1,
HYPERLINK("#Roadmap!C"&amp; MATCH($E159,Roadmap!$D:$D,0)+COUNTIF($E159:S159,"u")+COUNTIF($E159:S159,"t")+COUNTIF($E159:S159,"¶")+COUNTIF($E159:S159,"²")+COUNTIF($E159:S159,"µ")+COUNTIF($E159:S159,1)-1,INDEX(Roadmap!$D:$K,MATCH($E159,Roadmap!$D:$D,0)-1+COUNTIF($E159:S159,"u")+COUNTIF($E159:S159,"t")+COUNTIF($E159:S159,"¶")+COUNTIF($E159:S159,"²")+COUNTIF($E159:S159,"µ")+COUNTIF($E159:S159,1),ColDescriptionCourte)),""),
  "")),"")</f>
        <v/>
      </c>
      <c r="U159" s="40" t="str">
        <f ca="1">IFERROR(IF(AND(
  INDEX(Roadmap!$D:$K,MATCH($E159,Roadmap!$D:$D,0)+COUNTIF($E159:T159,"u")+COUNTIF($E159:T159,"t")+COUNTIF($E159:T159,"¶")+COUNTIF($E159:T159,"²")+COUNTIF($E159:T159,"µ")+COUNTIF($E159:T159,1),ColLivraison)=U$6,
  VLOOKUP($E159,INDIRECT("tri!"&amp; CHAR(64+ C0Col) &amp;":"&amp; CHAR(65+C0Col)),2,FALSE)&gt;COUNTIF($E159:T159,"u")+COUNTIF($E159:T159,"t")+COUNTIF($E159:T159,"¶")+COUNTIF($E159:T159,"²")+COUNTIF($E159:T159,"µ")+COUNTIF($E159:T159,1)),
HYPERLINK("#Roadmap!C"&amp; MATCH($E159,Roadmap!$D:$D,0)+COUNTIF($E159:T159,"u")+COUNTIF($E159:T159,"t"),
     INDEX(Roadmap!$D:$K,MATCH($E159,Roadmap!$D:$D,0)+COUNTIF($E159:T159,"u")+COUNTIF($E159:T159,"t")+COUNTIF($E159:T159,"¶")+COUNTIF($E159:T159,"²")+COUNTIF($E159:T159,"µ")+COUNTIF($E159:T159,1),ColTypeEcheance)),
  IF(LEN(T159)=1,
  IF(LEN(INDEX(Roadmap!$D:$K,MATCH($E159,Roadmap!$D:$D,0)-1+COUNTIF($E159:T159,"u")+COUNTIF($E159:T159,"t")+COUNTIF($E159:T159,"¶")+COUNTIF($E159:T159,"²")+COUNTIF($E159:T159,"µ")+COUNTIF($E159:T159,1),ColDescriptionCourte))&gt;1,
HYPERLINK("#Roadmap!C"&amp; MATCH($E159,Roadmap!$D:$D,0)+COUNTIF($E159:T159,"u")+COUNTIF($E159:T159,"t")+COUNTIF($E159:T159,"¶")+COUNTIF($E159:T159,"²")+COUNTIF($E159:T159,"µ")+COUNTIF($E159:T159,1)-1,INDEX(Roadmap!$D:$K,MATCH($E159,Roadmap!$D:$D,0)-1+COUNTIF($E159:T159,"u")+COUNTIF($E159:T159,"t")+COUNTIF($E159:T159,"¶")+COUNTIF($E159:T159,"²")+COUNTIF($E159:T159,"µ")+COUNTIF($E159:T159,1),ColDescriptionCourte)),""),
  "")),"")</f>
        <v/>
      </c>
      <c r="V159" s="40" t="str">
        <f ca="1">IFERROR(IF(AND(
  INDEX(Roadmap!$D:$K,MATCH($E159,Roadmap!$D:$D,0)+COUNTIF($E159:U159,"u")+COUNTIF($E159:U159,"t")+COUNTIF($E159:U159,"¶")+COUNTIF($E159:U159,"²")+COUNTIF($E159:U159,"µ")+COUNTIF($E159:U159,1),ColLivraison)=V$6,
  VLOOKUP($E159,INDIRECT("tri!"&amp; CHAR(64+ C0Col) &amp;":"&amp; CHAR(65+C0Col)),2,FALSE)&gt;COUNTIF($E159:U159,"u")+COUNTIF($E159:U159,"t")+COUNTIF($E159:U159,"¶")+COUNTIF($E159:U159,"²")+COUNTIF($E159:U159,"µ")+COUNTIF($E159:U159,1)),
HYPERLINK("#Roadmap!C"&amp; MATCH($E159,Roadmap!$D:$D,0)+COUNTIF($E159:U159,"u")+COUNTIF($E159:U159,"t"),
     INDEX(Roadmap!$D:$K,MATCH($E159,Roadmap!$D:$D,0)+COUNTIF($E159:U159,"u")+COUNTIF($E159:U159,"t")+COUNTIF($E159:U159,"¶")+COUNTIF($E159:U159,"²")+COUNTIF($E159:U159,"µ")+COUNTIF($E159:U159,1),ColTypeEcheance)),
  IF(LEN(U159)=1,
  IF(LEN(INDEX(Roadmap!$D:$K,MATCH($E159,Roadmap!$D:$D,0)-1+COUNTIF($E159:U159,"u")+COUNTIF($E159:U159,"t")+COUNTIF($E159:U159,"¶")+COUNTIF($E159:U159,"²")+COUNTIF($E159:U159,"µ")+COUNTIF($E159:U159,1),ColDescriptionCourte))&gt;1,
HYPERLINK("#Roadmap!C"&amp; MATCH($E159,Roadmap!$D:$D,0)+COUNTIF($E159:U159,"u")+COUNTIF($E159:U159,"t")+COUNTIF($E159:U159,"¶")+COUNTIF($E159:U159,"²")+COUNTIF($E159:U159,"µ")+COUNTIF($E159:U159,1)-1,INDEX(Roadmap!$D:$K,MATCH($E159,Roadmap!$D:$D,0)-1+COUNTIF($E159:U159,"u")+COUNTIF($E159:U159,"t")+COUNTIF($E159:U159,"¶")+COUNTIF($E159:U159,"²")+COUNTIF($E159:U159,"µ")+COUNTIF($E159:U159,1),ColDescriptionCourte)),""),
  "")),"")</f>
        <v/>
      </c>
      <c r="W159" s="40" t="str">
        <f ca="1">IFERROR(IF(AND(
  INDEX(Roadmap!$D:$K,MATCH($E159,Roadmap!$D:$D,0)+COUNTIF($E159:V159,"u")+COUNTIF($E159:V159,"t")+COUNTIF($E159:V159,"¶")+COUNTIF($E159:V159,"²")+COUNTIF($E159:V159,"µ")+COUNTIF($E159:V159,1),ColLivraison)=W$6,
  VLOOKUP($E159,INDIRECT("tri!"&amp; CHAR(64+ C0Col) &amp;":"&amp; CHAR(65+C0Col)),2,FALSE)&gt;COUNTIF($E159:V159,"u")+COUNTIF($E159:V159,"t")+COUNTIF($E159:V159,"¶")+COUNTIF($E159:V159,"²")+COUNTIF($E159:V159,"µ")+COUNTIF($E159:V159,1)),
HYPERLINK("#Roadmap!C"&amp; MATCH($E159,Roadmap!$D:$D,0)+COUNTIF($E159:V159,"u")+COUNTIF($E159:V159,"t"),
     INDEX(Roadmap!$D:$K,MATCH($E159,Roadmap!$D:$D,0)+COUNTIF($E159:V159,"u")+COUNTIF($E159:V159,"t")+COUNTIF($E159:V159,"¶")+COUNTIF($E159:V159,"²")+COUNTIF($E159:V159,"µ")+COUNTIF($E159:V159,1),ColTypeEcheance)),
  IF(LEN(V159)=1,
  IF(LEN(INDEX(Roadmap!$D:$K,MATCH($E159,Roadmap!$D:$D,0)-1+COUNTIF($E159:V159,"u")+COUNTIF($E159:V159,"t")+COUNTIF($E159:V159,"¶")+COUNTIF($E159:V159,"²")+COUNTIF($E159:V159,"µ")+COUNTIF($E159:V159,1),ColDescriptionCourte))&gt;1,
HYPERLINK("#Roadmap!C"&amp; MATCH($E159,Roadmap!$D:$D,0)+COUNTIF($E159:V159,"u")+COUNTIF($E159:V159,"t")+COUNTIF($E159:V159,"¶")+COUNTIF($E159:V159,"²")+COUNTIF($E159:V159,"µ")+COUNTIF($E159:V159,1)-1,INDEX(Roadmap!$D:$K,MATCH($E159,Roadmap!$D:$D,0)-1+COUNTIF($E159:V159,"u")+COUNTIF($E159:V159,"t")+COUNTIF($E159:V159,"¶")+COUNTIF($E159:V159,"²")+COUNTIF($E159:V159,"µ")+COUNTIF($E159:V159,1),ColDescriptionCourte)),""),
  "")),"")</f>
        <v/>
      </c>
      <c r="X159" s="40" t="str">
        <f ca="1">IFERROR(IF(AND(
  INDEX(Roadmap!$D:$K,MATCH($E159,Roadmap!$D:$D,0)+COUNTIF($E159:W159,"u")+COUNTIF($E159:W159,"t")+COUNTIF($E159:W159,"¶")+COUNTIF($E159:W159,"²")+COUNTIF($E159:W159,"µ")+COUNTIF($E159:W159,1),ColLivraison)=X$6,
  VLOOKUP($E159,INDIRECT("tri!"&amp; CHAR(64+ C0Col) &amp;":"&amp; CHAR(65+C0Col)),2,FALSE)&gt;COUNTIF($E159:W159,"u")+COUNTIF($E159:W159,"t")+COUNTIF($E159:W159,"¶")+COUNTIF($E159:W159,"²")+COUNTIF($E159:W159,"µ")+COUNTIF($E159:W159,1)),
HYPERLINK("#Roadmap!C"&amp; MATCH($E159,Roadmap!$D:$D,0)+COUNTIF($E159:W159,"u")+COUNTIF($E159:W159,"t"),
     INDEX(Roadmap!$D:$K,MATCH($E159,Roadmap!$D:$D,0)+COUNTIF($E159:W159,"u")+COUNTIF($E159:W159,"t")+COUNTIF($E159:W159,"¶")+COUNTIF($E159:W159,"²")+COUNTIF($E159:W159,"µ")+COUNTIF($E159:W159,1),ColTypeEcheance)),
  IF(LEN(W159)=1,
  IF(LEN(INDEX(Roadmap!$D:$K,MATCH($E159,Roadmap!$D:$D,0)-1+COUNTIF($E159:W159,"u")+COUNTIF($E159:W159,"t")+COUNTIF($E159:W159,"¶")+COUNTIF($E159:W159,"²")+COUNTIF($E159:W159,"µ")+COUNTIF($E159:W159,1),ColDescriptionCourte))&gt;1,
HYPERLINK("#Roadmap!C"&amp; MATCH($E159,Roadmap!$D:$D,0)+COUNTIF($E159:W159,"u")+COUNTIF($E159:W159,"t")+COUNTIF($E159:W159,"¶")+COUNTIF($E159:W159,"²")+COUNTIF($E159:W159,"µ")+COUNTIF($E159:W159,1)-1,INDEX(Roadmap!$D:$K,MATCH($E159,Roadmap!$D:$D,0)-1+COUNTIF($E159:W159,"u")+COUNTIF($E159:W159,"t")+COUNTIF($E159:W159,"¶")+COUNTIF($E159:W159,"²")+COUNTIF($E159:W159,"µ")+COUNTIF($E159:W159,1),ColDescriptionCourte)),""),
  "")),"")</f>
        <v/>
      </c>
      <c r="Y159" s="40" t="str">
        <f ca="1">IFERROR(IF(AND(
  INDEX(Roadmap!$D:$K,MATCH($E159,Roadmap!$D:$D,0)+COUNTIF($E159:X159,"u")+COUNTIF($E159:X159,"t")+COUNTIF($E159:X159,"¶")+COUNTIF($E159:X159,"²")+COUNTIF($E159:X159,"µ")+COUNTIF($E159:X159,1),ColLivraison)=Y$6,
  VLOOKUP($E159,INDIRECT("tri!"&amp; CHAR(64+ C0Col) &amp;":"&amp; CHAR(65+C0Col)),2,FALSE)&gt;COUNTIF($E159:X159,"u")+COUNTIF($E159:X159,"t")+COUNTIF($E159:X159,"¶")+COUNTIF($E159:X159,"²")+COUNTIF($E159:X159,"µ")+COUNTIF($E159:X159,1)),
HYPERLINK("#Roadmap!C"&amp; MATCH($E159,Roadmap!$D:$D,0)+COUNTIF($E159:X159,"u")+COUNTIF($E159:X159,"t"),
     INDEX(Roadmap!$D:$K,MATCH($E159,Roadmap!$D:$D,0)+COUNTIF($E159:X159,"u")+COUNTIF($E159:X159,"t")+COUNTIF($E159:X159,"¶")+COUNTIF($E159:X159,"²")+COUNTIF($E159:X159,"µ")+COUNTIF($E159:X159,1),ColTypeEcheance)),
  IF(LEN(X159)=1,
  IF(LEN(INDEX(Roadmap!$D:$K,MATCH($E159,Roadmap!$D:$D,0)-1+COUNTIF($E159:X159,"u")+COUNTIF($E159:X159,"t")+COUNTIF($E159:X159,"¶")+COUNTIF($E159:X159,"²")+COUNTIF($E159:X159,"µ")+COUNTIF($E159:X159,1),ColDescriptionCourte))&gt;1,
HYPERLINK("#Roadmap!C"&amp; MATCH($E159,Roadmap!$D:$D,0)+COUNTIF($E159:X159,"u")+COUNTIF($E159:X159,"t")+COUNTIF($E159:X159,"¶")+COUNTIF($E159:X159,"²")+COUNTIF($E159:X159,"µ")+COUNTIF($E159:X159,1)-1,INDEX(Roadmap!$D:$K,MATCH($E159,Roadmap!$D:$D,0)-1+COUNTIF($E159:X159,"u")+COUNTIF($E159:X159,"t")+COUNTIF($E159:X159,"¶")+COUNTIF($E159:X159,"²")+COUNTIF($E159:X159,"µ")+COUNTIF($E159:X159,1),ColDescriptionCourte)),""),
  "")),"")</f>
        <v/>
      </c>
      <c r="Z159" s="40" t="str">
        <f ca="1">IFERROR(IF(AND(
  INDEX(Roadmap!$D:$K,MATCH($E159,Roadmap!$D:$D,0)+COUNTIF($E159:Y159,"u")+COUNTIF($E159:Y159,"t")+COUNTIF($E159:Y159,"¶")+COUNTIF($E159:Y159,"²")+COUNTIF($E159:Y159,"µ")+COUNTIF($E159:Y159,1),ColLivraison)=Z$6,
  VLOOKUP($E159,INDIRECT("tri!"&amp; CHAR(64+ C0Col) &amp;":"&amp; CHAR(65+C0Col)),2,FALSE)&gt;COUNTIF($E159:Y159,"u")+COUNTIF($E159:Y159,"t")+COUNTIF($E159:Y159,"¶")+COUNTIF($E159:Y159,"²")+COUNTIF($E159:Y159,"µ")+COUNTIF($E159:Y159,1)),
HYPERLINK("#Roadmap!C"&amp; MATCH($E159,Roadmap!$D:$D,0)+COUNTIF($E159:Y159,"u")+COUNTIF($E159:Y159,"t"),
     INDEX(Roadmap!$D:$K,MATCH($E159,Roadmap!$D:$D,0)+COUNTIF($E159:Y159,"u")+COUNTIF($E159:Y159,"t")+COUNTIF($E159:Y159,"¶")+COUNTIF($E159:Y159,"²")+COUNTIF($E159:Y159,"µ")+COUNTIF($E159:Y159,1),ColTypeEcheance)),
  IF(LEN(Y159)=1,
  IF(LEN(INDEX(Roadmap!$D:$K,MATCH($E159,Roadmap!$D:$D,0)-1+COUNTIF($E159:Y159,"u")+COUNTIF($E159:Y159,"t")+COUNTIF($E159:Y159,"¶")+COUNTIF($E159:Y159,"²")+COUNTIF($E159:Y159,"µ")+COUNTIF($E159:Y159,1),ColDescriptionCourte))&gt;1,
HYPERLINK("#Roadmap!C"&amp; MATCH($E159,Roadmap!$D:$D,0)+COUNTIF($E159:Y159,"u")+COUNTIF($E159:Y159,"t")+COUNTIF($E159:Y159,"¶")+COUNTIF($E159:Y159,"²")+COUNTIF($E159:Y159,"µ")+COUNTIF($E159:Y159,1)-1,INDEX(Roadmap!$D:$K,MATCH($E159,Roadmap!$D:$D,0)-1+COUNTIF($E159:Y159,"u")+COUNTIF($E159:Y159,"t")+COUNTIF($E159:Y159,"¶")+COUNTIF($E159:Y159,"²")+COUNTIF($E159:Y159,"µ")+COUNTIF($E159:Y159,1),ColDescriptionCourte)),""),
  "")),"")</f>
        <v/>
      </c>
      <c r="AA159" s="40" t="str">
        <f ca="1">IFERROR(IF(AND(
  INDEX(Roadmap!$D:$K,MATCH($E159,Roadmap!$D:$D,0)+COUNTIF($E159:Z159,"u")+COUNTIF($E159:Z159,"t")+COUNTIF($E159:Z159,"¶")+COUNTIF($E159:Z159,"²")+COUNTIF($E159:Z159,"µ")+COUNTIF($E159:Z159,1),ColLivraison)=AA$6,
  VLOOKUP($E159,INDIRECT("tri!"&amp; CHAR(64+ C0Col) &amp;":"&amp; CHAR(65+C0Col)),2,FALSE)&gt;COUNTIF($E159:Z159,"u")+COUNTIF($E159:Z159,"t")+COUNTIF($E159:Z159,"¶")+COUNTIF($E159:Z159,"²")+COUNTIF($E159:Z159,"µ")+COUNTIF($E159:Z159,1)),
HYPERLINK("#Roadmap!C"&amp; MATCH($E159,Roadmap!$D:$D,0)+COUNTIF($E159:Z159,"u")+COUNTIF($E159:Z159,"t"),
     INDEX(Roadmap!$D:$K,MATCH($E159,Roadmap!$D:$D,0)+COUNTIF($E159:Z159,"u")+COUNTIF($E159:Z159,"t")+COUNTIF($E159:Z159,"¶")+COUNTIF($E159:Z159,"²")+COUNTIF($E159:Z159,"µ")+COUNTIF($E159:Z159,1),ColTypeEcheance)),
  IF(LEN(Z159)=1,
  IF(LEN(INDEX(Roadmap!$D:$K,MATCH($E159,Roadmap!$D:$D,0)-1+COUNTIF($E159:Z159,"u")+COUNTIF($E159:Z159,"t")+COUNTIF($E159:Z159,"¶")+COUNTIF($E159:Z159,"²")+COUNTIF($E159:Z159,"µ")+COUNTIF($E159:Z159,1),ColDescriptionCourte))&gt;1,
HYPERLINK("#Roadmap!C"&amp; MATCH($E159,Roadmap!$D:$D,0)+COUNTIF($E159:Z159,"u")+COUNTIF($E159:Z159,"t")+COUNTIF($E159:Z159,"¶")+COUNTIF($E159:Z159,"²")+COUNTIF($E159:Z159,"µ")+COUNTIF($E159:Z159,1)-1,INDEX(Roadmap!$D:$K,MATCH($E159,Roadmap!$D:$D,0)-1+COUNTIF($E159:Z159,"u")+COUNTIF($E159:Z159,"t")+COUNTIF($E159:Z159,"¶")+COUNTIF($E159:Z159,"²")+COUNTIF($E159:Z159,"µ")+COUNTIF($E159:Z159,1),ColDescriptionCourte)),""),
  "")),"")</f>
        <v/>
      </c>
      <c r="AB159" s="40" t="str">
        <f ca="1">IFERROR(IF(AND(
  INDEX(Roadmap!$D:$K,MATCH($E159,Roadmap!$D:$D,0)+COUNTIF($E159:AA159,"u")+COUNTIF($E159:AA159,"t")+COUNTIF($E159:AA159,"¶")+COUNTIF($E159:AA159,"²")+COUNTIF($E159:AA159,"µ")+COUNTIF($E159:AA159,1),ColLivraison)=AB$6,
  VLOOKUP($E159,INDIRECT("tri!"&amp; CHAR(64+ C0Col) &amp;":"&amp; CHAR(65+C0Col)),2,FALSE)&gt;COUNTIF($E159:AA159,"u")+COUNTIF($E159:AA159,"t")+COUNTIF($E159:AA159,"¶")+COUNTIF($E159:AA159,"²")+COUNTIF($E159:AA159,"µ")+COUNTIF($E159:AA159,1)),
HYPERLINK("#Roadmap!C"&amp; MATCH($E159,Roadmap!$D:$D,0)+COUNTIF($E159:AA159,"u")+COUNTIF($E159:AA159,"t"),
     INDEX(Roadmap!$D:$K,MATCH($E159,Roadmap!$D:$D,0)+COUNTIF($E159:AA159,"u")+COUNTIF($E159:AA159,"t")+COUNTIF($E159:AA159,"¶")+COUNTIF($E159:AA159,"²")+COUNTIF($E159:AA159,"µ")+COUNTIF($E159:AA159,1),ColTypeEcheance)),
  IF(LEN(AA159)=1,
  IF(LEN(INDEX(Roadmap!$D:$K,MATCH($E159,Roadmap!$D:$D,0)-1+COUNTIF($E159:AA159,"u")+COUNTIF($E159:AA159,"t")+COUNTIF($E159:AA159,"¶")+COUNTIF($E159:AA159,"²")+COUNTIF($E159:AA159,"µ")+COUNTIF($E159:AA159,1),ColDescriptionCourte))&gt;1,
HYPERLINK("#Roadmap!C"&amp; MATCH($E159,Roadmap!$D:$D,0)+COUNTIF($E159:AA159,"u")+COUNTIF($E159:AA159,"t")+COUNTIF($E159:AA159,"¶")+COUNTIF($E159:AA159,"²")+COUNTIF($E159:AA159,"µ")+COUNTIF($E159:AA159,1)-1,INDEX(Roadmap!$D:$K,MATCH($E159,Roadmap!$D:$D,0)-1+COUNTIF($E159:AA159,"u")+COUNTIF($E159:AA159,"t")+COUNTIF($E159:AA159,"¶")+COUNTIF($E159:AA159,"²")+COUNTIF($E159:AA159,"µ")+COUNTIF($E159:AA159,1),ColDescriptionCourte)),""),
  "")),"")</f>
        <v/>
      </c>
      <c r="AC159" s="40" t="str">
        <f ca="1">IFERROR(IF(AND(
  INDEX(Roadmap!$D:$K,MATCH($E159,Roadmap!$D:$D,0)+COUNTIF($E159:AB159,"u")+COUNTIF($E159:AB159,"t")+COUNTIF($E159:AB159,"¶")+COUNTIF($E159:AB159,"²")+COUNTIF($E159:AB159,"µ")+COUNTIF($E159:AB159,1),ColLivraison)=AC$6,
  VLOOKUP($E159,INDIRECT("tri!"&amp; CHAR(64+ C0Col) &amp;":"&amp; CHAR(65+C0Col)),2,FALSE)&gt;COUNTIF($E159:AB159,"u")+COUNTIF($E159:AB159,"t")+COUNTIF($E159:AB159,"¶")+COUNTIF($E159:AB159,"²")+COUNTIF($E159:AB159,"µ")+COUNTIF($E159:AB159,1)),
HYPERLINK("#Roadmap!C"&amp; MATCH($E159,Roadmap!$D:$D,0)+COUNTIF($E159:AB159,"u")+COUNTIF($E159:AB159,"t"),
     INDEX(Roadmap!$D:$K,MATCH($E159,Roadmap!$D:$D,0)+COUNTIF($E159:AB159,"u")+COUNTIF($E159:AB159,"t")+COUNTIF($E159:AB159,"¶")+COUNTIF($E159:AB159,"²")+COUNTIF($E159:AB159,"µ")+COUNTIF($E159:AB159,1),ColTypeEcheance)),
  IF(LEN(AB159)=1,
  IF(LEN(INDEX(Roadmap!$D:$K,MATCH($E159,Roadmap!$D:$D,0)-1+COUNTIF($E159:AB159,"u")+COUNTIF($E159:AB159,"t")+COUNTIF($E159:AB159,"¶")+COUNTIF($E159:AB159,"²")+COUNTIF($E159:AB159,"µ")+COUNTIF($E159:AB159,1),ColDescriptionCourte))&gt;1,
HYPERLINK("#Roadmap!C"&amp; MATCH($E159,Roadmap!$D:$D,0)+COUNTIF($E159:AB159,"u")+COUNTIF($E159:AB159,"t")+COUNTIF($E159:AB159,"¶")+COUNTIF($E159:AB159,"²")+COUNTIF($E159:AB159,"µ")+COUNTIF($E159:AB159,1)-1,INDEX(Roadmap!$D:$K,MATCH($E159,Roadmap!$D:$D,0)-1+COUNTIF($E159:AB159,"u")+COUNTIF($E159:AB159,"t")+COUNTIF($E159:AB159,"¶")+COUNTIF($E159:AB159,"²")+COUNTIF($E159:AB159,"µ")+COUNTIF($E159:AB159,1),ColDescriptionCourte)),""),
  "")),"")</f>
        <v/>
      </c>
      <c r="AD159" s="40" t="str">
        <f ca="1">IFERROR(IF(AND(
  INDEX(Roadmap!$D:$K,MATCH($E159,Roadmap!$D:$D,0)+COUNTIF($E159:AC159,"u")+COUNTIF($E159:AC159,"t")+COUNTIF($E159:AC159,"¶")+COUNTIF($E159:AC159,"²")+COUNTIF($E159:AC159,"µ")+COUNTIF($E159:AC159,1),ColLivraison)=AD$6,
  VLOOKUP($E159,INDIRECT("tri!"&amp; CHAR(64+ C0Col) &amp;":"&amp; CHAR(65+C0Col)),2,FALSE)&gt;COUNTIF($E159:AC159,"u")+COUNTIF($E159:AC159,"t")+COUNTIF($E159:AC159,"¶")+COUNTIF($E159:AC159,"²")+COUNTIF($E159:AC159,"µ")+COUNTIF($E159:AC159,1)),
HYPERLINK("#Roadmap!C"&amp; MATCH($E159,Roadmap!$D:$D,0)+COUNTIF($E159:AC159,"u")+COUNTIF($E159:AC159,"t"),
     INDEX(Roadmap!$D:$K,MATCH($E159,Roadmap!$D:$D,0)+COUNTIF($E159:AC159,"u")+COUNTIF($E159:AC159,"t")+COUNTIF($E159:AC159,"¶")+COUNTIF($E159:AC159,"²")+COUNTIF($E159:AC159,"µ")+COUNTIF($E159:AC159,1),ColTypeEcheance)),
  IF(LEN(AC159)=1,
  IF(LEN(INDEX(Roadmap!$D:$K,MATCH($E159,Roadmap!$D:$D,0)-1+COUNTIF($E159:AC159,"u")+COUNTIF($E159:AC159,"t")+COUNTIF($E159:AC159,"¶")+COUNTIF($E159:AC159,"²")+COUNTIF($E159:AC159,"µ")+COUNTIF($E159:AC159,1),ColDescriptionCourte))&gt;1,
HYPERLINK("#Roadmap!C"&amp; MATCH($E159,Roadmap!$D:$D,0)+COUNTIF($E159:AC159,"u")+COUNTIF($E159:AC159,"t")+COUNTIF($E159:AC159,"¶")+COUNTIF($E159:AC159,"²")+COUNTIF($E159:AC159,"µ")+COUNTIF($E159:AC159,1)-1,INDEX(Roadmap!$D:$K,MATCH($E159,Roadmap!$D:$D,0)-1+COUNTIF($E159:AC159,"u")+COUNTIF($E159:AC159,"t")+COUNTIF($E159:AC159,"¶")+COUNTIF($E159:AC159,"²")+COUNTIF($E159:AC159,"µ")+COUNTIF($E159:AC159,1),ColDescriptionCourte)),""),
  "")),"")</f>
        <v/>
      </c>
      <c r="AE159" s="40" t="str">
        <f ca="1">IFERROR(IF(AND(
  INDEX(Roadmap!$D:$K,MATCH($E159,Roadmap!$D:$D,0)+COUNTIF($E159:AD159,"u")+COUNTIF($E159:AD159,"t")+COUNTIF($E159:AD159,"¶")+COUNTIF($E159:AD159,"²")+COUNTIF($E159:AD159,"µ")+COUNTIF($E159:AD159,1),ColLivraison)=AE$6,
  VLOOKUP($E159,INDIRECT("tri!"&amp; CHAR(64+ C0Col) &amp;":"&amp; CHAR(65+C0Col)),2,FALSE)&gt;COUNTIF($E159:AD159,"u")+COUNTIF($E159:AD159,"t")+COUNTIF($E159:AD159,"¶")+COUNTIF($E159:AD159,"²")+COUNTIF($E159:AD159,"µ")+COUNTIF($E159:AD159,1)),
HYPERLINK("#Roadmap!C"&amp; MATCH($E159,Roadmap!$D:$D,0)+COUNTIF($E159:AD159,"u")+COUNTIF($E159:AD159,"t"),
     INDEX(Roadmap!$D:$K,MATCH($E159,Roadmap!$D:$D,0)+COUNTIF($E159:AD159,"u")+COUNTIF($E159:AD159,"t")+COUNTIF($E159:AD159,"¶")+COUNTIF($E159:AD159,"²")+COUNTIF($E159:AD159,"µ")+COUNTIF($E159:AD159,1),ColTypeEcheance)),
  IF(LEN(AD159)=1,
  IF(LEN(INDEX(Roadmap!$D:$K,MATCH($E159,Roadmap!$D:$D,0)-1+COUNTIF($E159:AD159,"u")+COUNTIF($E159:AD159,"t")+COUNTIF($E159:AD159,"¶")+COUNTIF($E159:AD159,"²")+COUNTIF($E159:AD159,"µ")+COUNTIF($E159:AD159,1),ColDescriptionCourte))&gt;1,
HYPERLINK("#Roadmap!C"&amp; MATCH($E159,Roadmap!$D:$D,0)+COUNTIF($E159:AD159,"u")+COUNTIF($E159:AD159,"t")+COUNTIF($E159:AD159,"¶")+COUNTIF($E159:AD159,"²")+COUNTIF($E159:AD159,"µ")+COUNTIF($E159:AD159,1)-1,INDEX(Roadmap!$D:$K,MATCH($E159,Roadmap!$D:$D,0)-1+COUNTIF($E159:AD159,"u")+COUNTIF($E159:AD159,"t")+COUNTIF($E159:AD159,"¶")+COUNTIF($E159:AD159,"²")+COUNTIF($E159:AD159,"µ")+COUNTIF($E159:AD159,1),ColDescriptionCourte)),""),
  "")),"")</f>
        <v/>
      </c>
      <c r="AF159" s="40" t="str">
        <f ca="1">IFERROR(IF(AND(
  INDEX(Roadmap!$D:$K,MATCH($E159,Roadmap!$D:$D,0)+COUNTIF($E159:AE159,"u")+COUNTIF($E159:AE159,"t")+COUNTIF($E159:AE159,"¶")+COUNTIF($E159:AE159,"²")+COUNTIF($E159:AE159,"µ")+COUNTIF($E159:AE159,1),ColLivraison)=AF$6,
  VLOOKUP($E159,INDIRECT("tri!"&amp; CHAR(64+ C0Col) &amp;":"&amp; CHAR(65+C0Col)),2,FALSE)&gt;COUNTIF($E159:AE159,"u")+COUNTIF($E159:AE159,"t")+COUNTIF($E159:AE159,"¶")+COUNTIF($E159:AE159,"²")+COUNTIF($E159:AE159,"µ")+COUNTIF($E159:AE159,1)),
HYPERLINK("#Roadmap!C"&amp; MATCH($E159,Roadmap!$D:$D,0)+COUNTIF($E159:AE159,"u")+COUNTIF($E159:AE159,"t"),
     INDEX(Roadmap!$D:$K,MATCH($E159,Roadmap!$D:$D,0)+COUNTIF($E159:AE159,"u")+COUNTIF($E159:AE159,"t")+COUNTIF($E159:AE159,"¶")+COUNTIF($E159:AE159,"²")+COUNTIF($E159:AE159,"µ")+COUNTIF($E159:AE159,1),ColTypeEcheance)),
  IF(LEN(AE159)=1,
  IF(LEN(INDEX(Roadmap!$D:$K,MATCH($E159,Roadmap!$D:$D,0)-1+COUNTIF($E159:AE159,"u")+COUNTIF($E159:AE159,"t")+COUNTIF($E159:AE159,"¶")+COUNTIF($E159:AE159,"²")+COUNTIF($E159:AE159,"µ")+COUNTIF($E159:AE159,1),ColDescriptionCourte))&gt;1,
HYPERLINK("#Roadmap!C"&amp; MATCH($E159,Roadmap!$D:$D,0)+COUNTIF($E159:AE159,"u")+COUNTIF($E159:AE159,"t")+COUNTIF($E159:AE159,"¶")+COUNTIF($E159:AE159,"²")+COUNTIF($E159:AE159,"µ")+COUNTIF($E159:AE159,1)-1,INDEX(Roadmap!$D:$K,MATCH($E159,Roadmap!$D:$D,0)-1+COUNTIF($E159:AE159,"u")+COUNTIF($E159:AE159,"t")+COUNTIF($E159:AE159,"¶")+COUNTIF($E159:AE159,"²")+COUNTIF($E159:AE159,"µ")+COUNTIF($E159:AE159,1),ColDescriptionCourte)),""),
  "")),"")</f>
        <v/>
      </c>
      <c r="AG159" s="40" t="str">
        <f ca="1">IFERROR(IF(AND(
  INDEX(Roadmap!$D:$K,MATCH($E159,Roadmap!$D:$D,0)+COUNTIF($E159:AF159,"u")+COUNTIF($E159:AF159,"t")+COUNTIF($E159:AF159,"¶")+COUNTIF($E159:AF159,"²")+COUNTIF($E159:AF159,"µ")+COUNTIF($E159:AF159,1),ColLivraison)=AG$6,
  VLOOKUP($E159,INDIRECT("tri!"&amp; CHAR(64+ C0Col) &amp;":"&amp; CHAR(65+C0Col)),2,FALSE)&gt;COUNTIF($E159:AF159,"u")+COUNTIF($E159:AF159,"t")+COUNTIF($E159:AF159,"¶")+COUNTIF($E159:AF159,"²")+COUNTIF($E159:AF159,"µ")+COUNTIF($E159:AF159,1)),
HYPERLINK("#Roadmap!C"&amp; MATCH($E159,Roadmap!$D:$D,0)+COUNTIF($E159:AF159,"u")+COUNTIF($E159:AF159,"t"),
     INDEX(Roadmap!$D:$K,MATCH($E159,Roadmap!$D:$D,0)+COUNTIF($E159:AF159,"u")+COUNTIF($E159:AF159,"t")+COUNTIF($E159:AF159,"¶")+COUNTIF($E159:AF159,"²")+COUNTIF($E159:AF159,"µ")+COUNTIF($E159:AF159,1),ColTypeEcheance)),
  IF(LEN(AF159)=1,
  IF(LEN(INDEX(Roadmap!$D:$K,MATCH($E159,Roadmap!$D:$D,0)-1+COUNTIF($E159:AF159,"u")+COUNTIF($E159:AF159,"t")+COUNTIF($E159:AF159,"¶")+COUNTIF($E159:AF159,"²")+COUNTIF($E159:AF159,"µ")+COUNTIF($E159:AF159,1),ColDescriptionCourte))&gt;1,
HYPERLINK("#Roadmap!C"&amp; MATCH($E159,Roadmap!$D:$D,0)+COUNTIF($E159:AF159,"u")+COUNTIF($E159:AF159,"t")+COUNTIF($E159:AF159,"¶")+COUNTIF($E159:AF159,"²")+COUNTIF($E159:AF159,"µ")+COUNTIF($E159:AF159,1)-1,INDEX(Roadmap!$D:$K,MATCH($E159,Roadmap!$D:$D,0)-1+COUNTIF($E159:AF159,"u")+COUNTIF($E159:AF159,"t")+COUNTIF($E159:AF159,"¶")+COUNTIF($E159:AF159,"²")+COUNTIF($E159:AF159,"µ")+COUNTIF($E159:AF159,1),ColDescriptionCourte)),""),
  "")),"")</f>
        <v/>
      </c>
    </row>
    <row r="160" spans="3:33" ht="14.25" customHeight="1">
      <c r="C160" s="1" t="str">
        <f t="shared" ca="1" si="52"/>
        <v/>
      </c>
      <c r="D160" s="1" t="str">
        <f t="shared" ca="1" si="53"/>
        <v/>
      </c>
      <c r="E160" s="35" t="str">
        <f t="shared" ca="1" si="51"/>
        <v/>
      </c>
      <c r="F160" s="39" t="str">
        <f ca="1">IFERROR(IF(AND(
  INDEX(Roadmap!$D:$K,MATCH($E160,Roadmap!$D:$D,0)+COUNTIF($E160:E160,"u")+COUNTIF($E160:E160,"t")+COUNTIF($E160:E160,"¶")+COUNTIF($E160:E160,"²")+COUNTIF($E160:E160,"µ")+COUNTIF($E160:E160,1),ColLivraison)=F$6,
  VLOOKUP($E160,INDIRECT("tri!"&amp; CHAR(64+ C0Col) &amp;":"&amp; CHAR(65+C0Col)),2,FALSE)&gt;COUNTIF($E160:E160,"u")+COUNTIF($E160:E160,"t")+COUNTIF($E160:E160,"¶")+COUNTIF($E160:E160,"²")+COUNTIF($E160:E160,"µ")+COUNTIF($E160:E160,1)),
HYPERLINK("#Roadmap!C"&amp; MATCH($E160,Roadmap!$D:$D,0)+COUNTIF($E160:E160,"u")+COUNTIF($E160:E160,"t"),
     INDEX(Roadmap!$D:$K,MATCH($E160,Roadmap!$D:$D,0)+COUNTIF($E160:E160,"u")+COUNTIF($E160:E160,"t")+COUNTIF($E160:E160,"¶")+COUNTIF($E160:E160,"²")+COUNTIF($E160:E160,"µ")+COUNTIF($E160:E160,1),ColTypeEcheance)),
  IF(LEN(E160)=1,
  IF(LEN(INDEX(Roadmap!$D:$K,MATCH($E160,Roadmap!$D:$D,0)-1+COUNTIF($E160:E160,"u")+COUNTIF($E160:E160,"t")+COUNTIF($E160:E160,"¶")+COUNTIF($E160:E160,"²")+COUNTIF($E160:E160,"µ")+COUNTIF($E160:E160,1),ColDescriptionCourte))&gt;1,
HYPERLINK("#Roadmap!C"&amp; MATCH($E160,Roadmap!$D:$D,0)+COUNTIF($E160:E160,"u")+COUNTIF($E160:E160,"t")+COUNTIF($E160:E160,"¶")+COUNTIF($E160:E160,"²")+COUNTIF($E160:E160,"µ")+COUNTIF($E160:E160,1)-1,INDEX(Roadmap!$D:$K,MATCH($E160,Roadmap!$D:$D,0)-1+COUNTIF($E160:E160,"u")+COUNTIF($E160:E160,"t")+COUNTIF($E160:E160,"¶")+COUNTIF($E160:E160,"²")+COUNTIF($E160:E160,"µ")+COUNTIF($E160:E160,1),ColDescriptionCourte)),""),
  "")),"")</f>
        <v/>
      </c>
      <c r="G160" s="40" t="str">
        <f ca="1">IFERROR(IF(AND(
  INDEX(Roadmap!$D:$K,MATCH($E160,Roadmap!$D:$D,0)+COUNTIF($E160:F160,"u")+COUNTIF($E160:F160,"t")+COUNTIF($E160:F160,"¶")+COUNTIF($E160:F160,"²")+COUNTIF($E160:F160,"µ")+COUNTIF($E160:F160,1),ColLivraison)=G$6,
  VLOOKUP($E160,INDIRECT("tri!"&amp; CHAR(64+ C0Col) &amp;":"&amp; CHAR(65+C0Col)),2,FALSE)&gt;COUNTIF($E160:F160,"u")+COUNTIF($E160:F160,"t")+COUNTIF($E160:F160,"¶")+COUNTIF($E160:F160,"²")+COUNTIF($E160:F160,"µ")+COUNTIF($E160:F160,1)),
HYPERLINK("#Roadmap!C"&amp; MATCH($E160,Roadmap!$D:$D,0)+COUNTIF($E160:F160,"u")+COUNTIF($E160:F160,"t"),
     INDEX(Roadmap!$D:$K,MATCH($E160,Roadmap!$D:$D,0)+COUNTIF($E160:F160,"u")+COUNTIF($E160:F160,"t")+COUNTIF($E160:F160,"¶")+COUNTIF($E160:F160,"²")+COUNTIF($E160:F160,"µ")+COUNTIF($E160:F160,1),ColTypeEcheance)),
  IF(LEN(F160)=1,
  IF(LEN(INDEX(Roadmap!$D:$K,MATCH($E160,Roadmap!$D:$D,0)-1+COUNTIF($E160:F160,"u")+COUNTIF($E160:F160,"t")+COUNTIF($E160:F160,"¶")+COUNTIF($E160:F160,"²")+COUNTIF($E160:F160,"µ")+COUNTIF($E160:F160,1),ColDescriptionCourte))&gt;1,
HYPERLINK("#Roadmap!C"&amp; MATCH($E160,Roadmap!$D:$D,0)+COUNTIF($E160:F160,"u")+COUNTIF($E160:F160,"t")+COUNTIF($E160:F160,"¶")+COUNTIF($E160:F160,"²")+COUNTIF($E160:F160,"µ")+COUNTIF($E160:F160,1)-1,INDEX(Roadmap!$D:$K,MATCH($E160,Roadmap!$D:$D,0)-1+COUNTIF($E160:F160,"u")+COUNTIF($E160:F160,"t")+COUNTIF($E160:F160,"¶")+COUNTIF($E160:F160,"²")+COUNTIF($E160:F160,"µ")+COUNTIF($E160:F160,1),ColDescriptionCourte)),""),
  "")),"")</f>
        <v/>
      </c>
      <c r="H160" s="40" t="str">
        <f ca="1">IFERROR(IF(AND(
  INDEX(Roadmap!$D:$K,MATCH($E160,Roadmap!$D:$D,0)+COUNTIF($E160:G160,"u")+COUNTIF($E160:G160,"t")+COUNTIF($E160:G160,"¶")+COUNTIF($E160:G160,"²")+COUNTIF($E160:G160,"µ")+COUNTIF($E160:G160,1),ColLivraison)=H$6,
  VLOOKUP($E160,INDIRECT("tri!"&amp; CHAR(64+ C0Col) &amp;":"&amp; CHAR(65+C0Col)),2,FALSE)&gt;COUNTIF($E160:G160,"u")+COUNTIF($E160:G160,"t")+COUNTIF($E160:G160,"¶")+COUNTIF($E160:G160,"²")+COUNTIF($E160:G160,"µ")+COUNTIF($E160:G160,1)),
HYPERLINK("#Roadmap!C"&amp; MATCH($E160,Roadmap!$D:$D,0)+COUNTIF($E160:G160,"u")+COUNTIF($E160:G160,"t"),
     INDEX(Roadmap!$D:$K,MATCH($E160,Roadmap!$D:$D,0)+COUNTIF($E160:G160,"u")+COUNTIF($E160:G160,"t")+COUNTIF($E160:G160,"¶")+COUNTIF($E160:G160,"²")+COUNTIF($E160:G160,"µ")+COUNTIF($E160:G160,1),ColTypeEcheance)),
  IF(LEN(G160)=1,
  IF(LEN(INDEX(Roadmap!$D:$K,MATCH($E160,Roadmap!$D:$D,0)-1+COUNTIF($E160:G160,"u")+COUNTIF($E160:G160,"t")+COUNTIF($E160:G160,"¶")+COUNTIF($E160:G160,"²")+COUNTIF($E160:G160,"µ")+COUNTIF($E160:G160,1),ColDescriptionCourte))&gt;1,
HYPERLINK("#Roadmap!C"&amp; MATCH($E160,Roadmap!$D:$D,0)+COUNTIF($E160:G160,"u")+COUNTIF($E160:G160,"t")+COUNTIF($E160:G160,"¶")+COUNTIF($E160:G160,"²")+COUNTIF($E160:G160,"µ")+COUNTIF($E160:G160,1)-1,INDEX(Roadmap!$D:$K,MATCH($E160,Roadmap!$D:$D,0)-1+COUNTIF($E160:G160,"u")+COUNTIF($E160:G160,"t")+COUNTIF($E160:G160,"¶")+COUNTIF($E160:G160,"²")+COUNTIF($E160:G160,"µ")+COUNTIF($E160:G160,1),ColDescriptionCourte)),""),
  "")),"")</f>
        <v/>
      </c>
      <c r="I160" s="40" t="str">
        <f ca="1">IFERROR(IF(AND(
  INDEX(Roadmap!$D:$K,MATCH($E160,Roadmap!$D:$D,0)+COUNTIF($E160:H160,"u")+COUNTIF($E160:H160,"t")+COUNTIF($E160:H160,"¶")+COUNTIF($E160:H160,"²")+COUNTIF($E160:H160,"µ")+COUNTIF($E160:H160,1),ColLivraison)=I$6,
  VLOOKUP($E160,INDIRECT("tri!"&amp; CHAR(64+ C0Col) &amp;":"&amp; CHAR(65+C0Col)),2,FALSE)&gt;COUNTIF($E160:H160,"u")+COUNTIF($E160:H160,"t")+COUNTIF($E160:H160,"¶")+COUNTIF($E160:H160,"²")+COUNTIF($E160:H160,"µ")+COUNTIF($E160:H160,1)),
HYPERLINK("#Roadmap!C"&amp; MATCH($E160,Roadmap!$D:$D,0)+COUNTIF($E160:H160,"u")+COUNTIF($E160:H160,"t"),
     INDEX(Roadmap!$D:$K,MATCH($E160,Roadmap!$D:$D,0)+COUNTIF($E160:H160,"u")+COUNTIF($E160:H160,"t")+COUNTIF($E160:H160,"¶")+COUNTIF($E160:H160,"²")+COUNTIF($E160:H160,"µ")+COUNTIF($E160:H160,1),ColTypeEcheance)),
  IF(LEN(H160)=1,
  IF(LEN(INDEX(Roadmap!$D:$K,MATCH($E160,Roadmap!$D:$D,0)-1+COUNTIF($E160:H160,"u")+COUNTIF($E160:H160,"t")+COUNTIF($E160:H160,"¶")+COUNTIF($E160:H160,"²")+COUNTIF($E160:H160,"µ")+COUNTIF($E160:H160,1),ColDescriptionCourte))&gt;1,
HYPERLINK("#Roadmap!C"&amp; MATCH($E160,Roadmap!$D:$D,0)+COUNTIF($E160:H160,"u")+COUNTIF($E160:H160,"t")+COUNTIF($E160:H160,"¶")+COUNTIF($E160:H160,"²")+COUNTIF($E160:H160,"µ")+COUNTIF($E160:H160,1)-1,INDEX(Roadmap!$D:$K,MATCH($E160,Roadmap!$D:$D,0)-1+COUNTIF($E160:H160,"u")+COUNTIF($E160:H160,"t")+COUNTIF($E160:H160,"¶")+COUNTIF($E160:H160,"²")+COUNTIF($E160:H160,"µ")+COUNTIF($E160:H160,1),ColDescriptionCourte)),""),
  "")),"")</f>
        <v/>
      </c>
      <c r="J160" s="40" t="str">
        <f ca="1">IFERROR(IF(AND(
  INDEX(Roadmap!$D:$K,MATCH($E160,Roadmap!$D:$D,0)+COUNTIF($E160:I160,"u")+COUNTIF($E160:I160,"t")+COUNTIF($E160:I160,"¶")+COUNTIF($E160:I160,"²")+COUNTIF($E160:I160,"µ")+COUNTIF($E160:I160,1),ColLivraison)=J$6,
  VLOOKUP($E160,INDIRECT("tri!"&amp; CHAR(64+ C0Col) &amp;":"&amp; CHAR(65+C0Col)),2,FALSE)&gt;COUNTIF($E160:I160,"u")+COUNTIF($E160:I160,"t")+COUNTIF($E160:I160,"¶")+COUNTIF($E160:I160,"²")+COUNTIF($E160:I160,"µ")+COUNTIF($E160:I160,1)),
HYPERLINK("#Roadmap!C"&amp; MATCH($E160,Roadmap!$D:$D,0)+COUNTIF($E160:I160,"u")+COUNTIF($E160:I160,"t"),
     INDEX(Roadmap!$D:$K,MATCH($E160,Roadmap!$D:$D,0)+COUNTIF($E160:I160,"u")+COUNTIF($E160:I160,"t")+COUNTIF($E160:I160,"¶")+COUNTIF($E160:I160,"²")+COUNTIF($E160:I160,"µ")+COUNTIF($E160:I160,1),ColTypeEcheance)),
  IF(LEN(I160)=1,
  IF(LEN(INDEX(Roadmap!$D:$K,MATCH($E160,Roadmap!$D:$D,0)-1+COUNTIF($E160:I160,"u")+COUNTIF($E160:I160,"t")+COUNTIF($E160:I160,"¶")+COUNTIF($E160:I160,"²")+COUNTIF($E160:I160,"µ")+COUNTIF($E160:I160,1),ColDescriptionCourte))&gt;1,
HYPERLINK("#Roadmap!C"&amp; MATCH($E160,Roadmap!$D:$D,0)+COUNTIF($E160:I160,"u")+COUNTIF($E160:I160,"t")+COUNTIF($E160:I160,"¶")+COUNTIF($E160:I160,"²")+COUNTIF($E160:I160,"µ")+COUNTIF($E160:I160,1)-1,INDEX(Roadmap!$D:$K,MATCH($E160,Roadmap!$D:$D,0)-1+COUNTIF($E160:I160,"u")+COUNTIF($E160:I160,"t")+COUNTIF($E160:I160,"¶")+COUNTIF($E160:I160,"²")+COUNTIF($E160:I160,"µ")+COUNTIF($E160:I160,1),ColDescriptionCourte)),""),
  "")),"")</f>
        <v/>
      </c>
      <c r="K160" s="40" t="str">
        <f ca="1">IFERROR(IF(AND(
  INDEX(Roadmap!$D:$K,MATCH($E160,Roadmap!$D:$D,0)+COUNTIF($E160:J160,"u")+COUNTIF($E160:J160,"t")+COUNTIF($E160:J160,"¶")+COUNTIF($E160:J160,"²")+COUNTIF($E160:J160,"µ")+COUNTIF($E160:J160,1),ColLivraison)=K$6,
  VLOOKUP($E160,INDIRECT("tri!"&amp; CHAR(64+ C0Col) &amp;":"&amp; CHAR(65+C0Col)),2,FALSE)&gt;COUNTIF($E160:J160,"u")+COUNTIF($E160:J160,"t")+COUNTIF($E160:J160,"¶")+COUNTIF($E160:J160,"²")+COUNTIF($E160:J160,"µ")+COUNTIF($E160:J160,1)),
HYPERLINK("#Roadmap!C"&amp; MATCH($E160,Roadmap!$D:$D,0)+COUNTIF($E160:J160,"u")+COUNTIF($E160:J160,"t"),
     INDEX(Roadmap!$D:$K,MATCH($E160,Roadmap!$D:$D,0)+COUNTIF($E160:J160,"u")+COUNTIF($E160:J160,"t")+COUNTIF($E160:J160,"¶")+COUNTIF($E160:J160,"²")+COUNTIF($E160:J160,"µ")+COUNTIF($E160:J160,1),ColTypeEcheance)),
  IF(LEN(J160)=1,
  IF(LEN(INDEX(Roadmap!$D:$K,MATCH($E160,Roadmap!$D:$D,0)-1+COUNTIF($E160:J160,"u")+COUNTIF($E160:J160,"t")+COUNTIF($E160:J160,"¶")+COUNTIF($E160:J160,"²")+COUNTIF($E160:J160,"µ")+COUNTIF($E160:J160,1),ColDescriptionCourte))&gt;1,
HYPERLINK("#Roadmap!C"&amp; MATCH($E160,Roadmap!$D:$D,0)+COUNTIF($E160:J160,"u")+COUNTIF($E160:J160,"t")+COUNTIF($E160:J160,"¶")+COUNTIF($E160:J160,"²")+COUNTIF($E160:J160,"µ")+COUNTIF($E160:J160,1)-1,INDEX(Roadmap!$D:$K,MATCH($E160,Roadmap!$D:$D,0)-1+COUNTIF($E160:J160,"u")+COUNTIF($E160:J160,"t")+COUNTIF($E160:J160,"¶")+COUNTIF($E160:J160,"²")+COUNTIF($E160:J160,"µ")+COUNTIF($E160:J160,1),ColDescriptionCourte)),""),
  "")),"")</f>
        <v/>
      </c>
      <c r="L160" s="39" t="str">
        <f ca="1">IFERROR(IF(AND(
  INDEX(Roadmap!$D:$K,MATCH($E160,Roadmap!$D:$D,0)+COUNTIF($E160:K160,"u")+COUNTIF($E160:K160,"t")+COUNTIF($E160:K160,"¶")+COUNTIF($E160:K160,"²")+COUNTIF($E160:K160,"µ")+COUNTIF($E160:K160,1),ColLivraison)=L$6,
  VLOOKUP($E160,INDIRECT("tri!"&amp; CHAR(64+ C0Col) &amp;":"&amp; CHAR(65+C0Col)),2,FALSE)&gt;COUNTIF($E160:K160,"u")+COUNTIF($E160:K160,"t")+COUNTIF($E160:K160,"¶")+COUNTIF($E160:K160,"²")+COUNTIF($E160:K160,"µ")+COUNTIF($E160:K160,1)),
HYPERLINK("#Roadmap!C"&amp; MATCH($E160,Roadmap!$D:$D,0)+COUNTIF($E160:K160,"u")+COUNTIF($E160:K160,"t"),
     INDEX(Roadmap!$D:$K,MATCH($E160,Roadmap!$D:$D,0)+COUNTIF($E160:K160,"u")+COUNTIF($E160:K160,"t")+COUNTIF($E160:K160,"¶")+COUNTIF($E160:K160,"²")+COUNTIF($E160:K160,"µ")+COUNTIF($E160:K160,1),ColTypeEcheance)),
  IF(LEN(K160)=1,
  IF(LEN(INDEX(Roadmap!$D:$K,MATCH($E160,Roadmap!$D:$D,0)-1+COUNTIF($E160:K160,"u")+COUNTIF($E160:K160,"t")+COUNTIF($E160:K160,"¶")+COUNTIF($E160:K160,"²")+COUNTIF($E160:K160,"µ")+COUNTIF($E160:K160,1),ColDescriptionCourte))&gt;1,
HYPERLINK("#Roadmap!C"&amp; MATCH($E160,Roadmap!$D:$D,0)+COUNTIF($E160:K160,"u")+COUNTIF($E160:K160,"t")+COUNTIF($E160:K160,"¶")+COUNTIF($E160:K160,"²")+COUNTIF($E160:K160,"µ")+COUNTIF($E160:K160,1)-1,INDEX(Roadmap!$D:$K,MATCH($E160,Roadmap!$D:$D,0)-1+COUNTIF($E160:K160,"u")+COUNTIF($E160:K160,"t")+COUNTIF($E160:K160,"¶")+COUNTIF($E160:K160,"²")+COUNTIF($E160:K160,"µ")+COUNTIF($E160:K160,1),ColDescriptionCourte)),""),
  "")),"")</f>
        <v/>
      </c>
      <c r="M160" s="40" t="str">
        <f ca="1">IFERROR(IF(AND(
  INDEX(Roadmap!$D:$K,MATCH($E160,Roadmap!$D:$D,0)+COUNTIF($E160:L160,"u")+COUNTIF($E160:L160,"t")+COUNTIF($E160:L160,"¶")+COUNTIF($E160:L160,"²")+COUNTIF($E160:L160,"µ")+COUNTIF($E160:L160,1),ColLivraison)=M$6,
  VLOOKUP($E160,INDIRECT("tri!"&amp; CHAR(64+ C0Col) &amp;":"&amp; CHAR(65+C0Col)),2,FALSE)&gt;COUNTIF($E160:L160,"u")+COUNTIF($E160:L160,"t")+COUNTIF($E160:L160,"¶")+COUNTIF($E160:L160,"²")+COUNTIF($E160:L160,"µ")+COUNTIF($E160:L160,1)),
HYPERLINK("#Roadmap!C"&amp; MATCH($E160,Roadmap!$D:$D,0)+COUNTIF($E160:L160,"u")+COUNTIF($E160:L160,"t"),
     INDEX(Roadmap!$D:$K,MATCH($E160,Roadmap!$D:$D,0)+COUNTIF($E160:L160,"u")+COUNTIF($E160:L160,"t")+COUNTIF($E160:L160,"¶")+COUNTIF($E160:L160,"²")+COUNTIF($E160:L160,"µ")+COUNTIF($E160:L160,1),ColTypeEcheance)),
  IF(LEN(L160)=1,
  IF(LEN(INDEX(Roadmap!$D:$K,MATCH($E160,Roadmap!$D:$D,0)-1+COUNTIF($E160:L160,"u")+COUNTIF($E160:L160,"t")+COUNTIF($E160:L160,"¶")+COUNTIF($E160:L160,"²")+COUNTIF($E160:L160,"µ")+COUNTIF($E160:L160,1),ColDescriptionCourte))&gt;1,
HYPERLINK("#Roadmap!C"&amp; MATCH($E160,Roadmap!$D:$D,0)+COUNTIF($E160:L160,"u")+COUNTIF($E160:L160,"t")+COUNTIF($E160:L160,"¶")+COUNTIF($E160:L160,"²")+COUNTIF($E160:L160,"µ")+COUNTIF($E160:L160,1)-1,INDEX(Roadmap!$D:$K,MATCH($E160,Roadmap!$D:$D,0)-1+COUNTIF($E160:L160,"u")+COUNTIF($E160:L160,"t")+COUNTIF($E160:L160,"¶")+COUNTIF($E160:L160,"²")+COUNTIF($E160:L160,"µ")+COUNTIF($E160:L160,1),ColDescriptionCourte)),""),
  "")),"")</f>
        <v/>
      </c>
      <c r="N160" s="40" t="str">
        <f ca="1">IFERROR(IF(AND(
  INDEX(Roadmap!$D:$K,MATCH($E160,Roadmap!$D:$D,0)+COUNTIF($E160:M160,"u")+COUNTIF($E160:M160,"t")+COUNTIF($E160:M160,"¶")+COUNTIF($E160:M160,"²")+COUNTIF($E160:M160,"µ")+COUNTIF($E160:M160,1),ColLivraison)=N$6,
  VLOOKUP($E160,INDIRECT("tri!"&amp; CHAR(64+ C0Col) &amp;":"&amp; CHAR(65+C0Col)),2,FALSE)&gt;COUNTIF($E160:M160,"u")+COUNTIF($E160:M160,"t")+COUNTIF($E160:M160,"¶")+COUNTIF($E160:M160,"²")+COUNTIF($E160:M160,"µ")+COUNTIF($E160:M160,1)),
HYPERLINK("#Roadmap!C"&amp; MATCH($E160,Roadmap!$D:$D,0)+COUNTIF($E160:M160,"u")+COUNTIF($E160:M160,"t"),
     INDEX(Roadmap!$D:$K,MATCH($E160,Roadmap!$D:$D,0)+COUNTIF($E160:M160,"u")+COUNTIF($E160:M160,"t")+COUNTIF($E160:M160,"¶")+COUNTIF($E160:M160,"²")+COUNTIF($E160:M160,"µ")+COUNTIF($E160:M160,1),ColTypeEcheance)),
  IF(LEN(M160)=1,
  IF(LEN(INDEX(Roadmap!$D:$K,MATCH($E160,Roadmap!$D:$D,0)-1+COUNTIF($E160:M160,"u")+COUNTIF($E160:M160,"t")+COUNTIF($E160:M160,"¶")+COUNTIF($E160:M160,"²")+COUNTIF($E160:M160,"µ")+COUNTIF($E160:M160,1),ColDescriptionCourte))&gt;1,
HYPERLINK("#Roadmap!C"&amp; MATCH($E160,Roadmap!$D:$D,0)+COUNTIF($E160:M160,"u")+COUNTIF($E160:M160,"t")+COUNTIF($E160:M160,"¶")+COUNTIF($E160:M160,"²")+COUNTIF($E160:M160,"µ")+COUNTIF($E160:M160,1)-1,INDEX(Roadmap!$D:$K,MATCH($E160,Roadmap!$D:$D,0)-1+COUNTIF($E160:M160,"u")+COUNTIF($E160:M160,"t")+COUNTIF($E160:M160,"¶")+COUNTIF($E160:M160,"²")+COUNTIF($E160:M160,"µ")+COUNTIF($E160:M160,1),ColDescriptionCourte)),""),
  "")),"")</f>
        <v/>
      </c>
      <c r="O160" s="40" t="str">
        <f ca="1">IFERROR(IF(AND(
  INDEX(Roadmap!$D:$K,MATCH($E160,Roadmap!$D:$D,0)+COUNTIF($E160:N160,"u")+COUNTIF($E160:N160,"t")+COUNTIF($E160:N160,"¶")+COUNTIF($E160:N160,"²")+COUNTIF($E160:N160,"µ")+COUNTIF($E160:N160,1),ColLivraison)=O$6,
  VLOOKUP($E160,INDIRECT("tri!"&amp; CHAR(64+ C0Col) &amp;":"&amp; CHAR(65+C0Col)),2,FALSE)&gt;COUNTIF($E160:N160,"u")+COUNTIF($E160:N160,"t")+COUNTIF($E160:N160,"¶")+COUNTIF($E160:N160,"²")+COUNTIF($E160:N160,"µ")+COUNTIF($E160:N160,1)),
HYPERLINK("#Roadmap!C"&amp; MATCH($E160,Roadmap!$D:$D,0)+COUNTIF($E160:N160,"u")+COUNTIF($E160:N160,"t"),
     INDEX(Roadmap!$D:$K,MATCH($E160,Roadmap!$D:$D,0)+COUNTIF($E160:N160,"u")+COUNTIF($E160:N160,"t")+COUNTIF($E160:N160,"¶")+COUNTIF($E160:N160,"²")+COUNTIF($E160:N160,"µ")+COUNTIF($E160:N160,1),ColTypeEcheance)),
  IF(LEN(N160)=1,
  IF(LEN(INDEX(Roadmap!$D:$K,MATCH($E160,Roadmap!$D:$D,0)-1+COUNTIF($E160:N160,"u")+COUNTIF($E160:N160,"t")+COUNTIF($E160:N160,"¶")+COUNTIF($E160:N160,"²")+COUNTIF($E160:N160,"µ")+COUNTIF($E160:N160,1),ColDescriptionCourte))&gt;1,
HYPERLINK("#Roadmap!C"&amp; MATCH($E160,Roadmap!$D:$D,0)+COUNTIF($E160:N160,"u")+COUNTIF($E160:N160,"t")+COUNTIF($E160:N160,"¶")+COUNTIF($E160:N160,"²")+COUNTIF($E160:N160,"µ")+COUNTIF($E160:N160,1)-1,INDEX(Roadmap!$D:$K,MATCH($E160,Roadmap!$D:$D,0)-1+COUNTIF($E160:N160,"u")+COUNTIF($E160:N160,"t")+COUNTIF($E160:N160,"¶")+COUNTIF($E160:N160,"²")+COUNTIF($E160:N160,"µ")+COUNTIF($E160:N160,1),ColDescriptionCourte)),""),
  "")),"")</f>
        <v/>
      </c>
      <c r="P160" s="40" t="str">
        <f ca="1">IFERROR(IF(AND(
  INDEX(Roadmap!$D:$K,MATCH($E160,Roadmap!$D:$D,0)+COUNTIF($E160:O160,"u")+COUNTIF($E160:O160,"t")+COUNTIF($E160:O160,"¶")+COUNTIF($E160:O160,"²")+COUNTIF($E160:O160,"µ")+COUNTIF($E160:O160,1),ColLivraison)=P$6,
  VLOOKUP($E160,INDIRECT("tri!"&amp; CHAR(64+ C0Col) &amp;":"&amp; CHAR(65+C0Col)),2,FALSE)&gt;COUNTIF($E160:O160,"u")+COUNTIF($E160:O160,"t")+COUNTIF($E160:O160,"¶")+COUNTIF($E160:O160,"²")+COUNTIF($E160:O160,"µ")+COUNTIF($E160:O160,1)),
HYPERLINK("#Roadmap!C"&amp; MATCH($E160,Roadmap!$D:$D,0)+COUNTIF($E160:O160,"u")+COUNTIF($E160:O160,"t"),
     INDEX(Roadmap!$D:$K,MATCH($E160,Roadmap!$D:$D,0)+COUNTIF($E160:O160,"u")+COUNTIF($E160:O160,"t")+COUNTIF($E160:O160,"¶")+COUNTIF($E160:O160,"²")+COUNTIF($E160:O160,"µ")+COUNTIF($E160:O160,1),ColTypeEcheance)),
  IF(LEN(O160)=1,
  IF(LEN(INDEX(Roadmap!$D:$K,MATCH($E160,Roadmap!$D:$D,0)-1+COUNTIF($E160:O160,"u")+COUNTIF($E160:O160,"t")+COUNTIF($E160:O160,"¶")+COUNTIF($E160:O160,"²")+COUNTIF($E160:O160,"µ")+COUNTIF($E160:O160,1),ColDescriptionCourte))&gt;1,
HYPERLINK("#Roadmap!C"&amp; MATCH($E160,Roadmap!$D:$D,0)+COUNTIF($E160:O160,"u")+COUNTIF($E160:O160,"t")+COUNTIF($E160:O160,"¶")+COUNTIF($E160:O160,"²")+COUNTIF($E160:O160,"µ")+COUNTIF($E160:O160,1)-1,INDEX(Roadmap!$D:$K,MATCH($E160,Roadmap!$D:$D,0)-1+COUNTIF($E160:O160,"u")+COUNTIF($E160:O160,"t")+COUNTIF($E160:O160,"¶")+COUNTIF($E160:O160,"²")+COUNTIF($E160:O160,"µ")+COUNTIF($E160:O160,1),ColDescriptionCourte)),""),
  "")),"")</f>
        <v/>
      </c>
      <c r="Q160" s="40" t="str">
        <f ca="1">IFERROR(IF(AND(
  INDEX(Roadmap!$D:$K,MATCH($E160,Roadmap!$D:$D,0)+COUNTIF($E160:P160,"u")+COUNTIF($E160:P160,"t")+COUNTIF($E160:P160,"¶")+COUNTIF($E160:P160,"²")+COUNTIF($E160:P160,"µ")+COUNTIF($E160:P160,1),ColLivraison)=Q$6,
  VLOOKUP($E160,INDIRECT("tri!"&amp; CHAR(64+ C0Col) &amp;":"&amp; CHAR(65+C0Col)),2,FALSE)&gt;COUNTIF($E160:P160,"u")+COUNTIF($E160:P160,"t")+COUNTIF($E160:P160,"¶")+COUNTIF($E160:P160,"²")+COUNTIF($E160:P160,"µ")+COUNTIF($E160:P160,1)),
HYPERLINK("#Roadmap!C"&amp; MATCH($E160,Roadmap!$D:$D,0)+COUNTIF($E160:P160,"u")+COUNTIF($E160:P160,"t"),
     INDEX(Roadmap!$D:$K,MATCH($E160,Roadmap!$D:$D,0)+COUNTIF($E160:P160,"u")+COUNTIF($E160:P160,"t")+COUNTIF($E160:P160,"¶")+COUNTIF($E160:P160,"²")+COUNTIF($E160:P160,"µ")+COUNTIF($E160:P160,1),ColTypeEcheance)),
  IF(LEN(P160)=1,
  IF(LEN(INDEX(Roadmap!$D:$K,MATCH($E160,Roadmap!$D:$D,0)-1+COUNTIF($E160:P160,"u")+COUNTIF($E160:P160,"t")+COUNTIF($E160:P160,"¶")+COUNTIF($E160:P160,"²")+COUNTIF($E160:P160,"µ")+COUNTIF($E160:P160,1),ColDescriptionCourte))&gt;1,
HYPERLINK("#Roadmap!C"&amp; MATCH($E160,Roadmap!$D:$D,0)+COUNTIF($E160:P160,"u")+COUNTIF($E160:P160,"t")+COUNTIF($E160:P160,"¶")+COUNTIF($E160:P160,"²")+COUNTIF($E160:P160,"µ")+COUNTIF($E160:P160,1)-1,INDEX(Roadmap!$D:$K,MATCH($E160,Roadmap!$D:$D,0)-1+COUNTIF($E160:P160,"u")+COUNTIF($E160:P160,"t")+COUNTIF($E160:P160,"¶")+COUNTIF($E160:P160,"²")+COUNTIF($E160:P160,"µ")+COUNTIF($E160:P160,1),ColDescriptionCourte)),""),
  "")),"")</f>
        <v/>
      </c>
      <c r="R160" s="40" t="str">
        <f ca="1">IFERROR(IF(AND(
  INDEX(Roadmap!$D:$K,MATCH($E160,Roadmap!$D:$D,0)+COUNTIF($E160:Q160,"u")+COUNTIF($E160:Q160,"t")+COUNTIF($E160:Q160,"¶")+COUNTIF($E160:Q160,"²")+COUNTIF($E160:Q160,"µ")+COUNTIF($E160:Q160,1),ColLivraison)=R$6,
  VLOOKUP($E160,INDIRECT("tri!"&amp; CHAR(64+ C0Col) &amp;":"&amp; CHAR(65+C0Col)),2,FALSE)&gt;COUNTIF($E160:Q160,"u")+COUNTIF($E160:Q160,"t")+COUNTIF($E160:Q160,"¶")+COUNTIF($E160:Q160,"²")+COUNTIF($E160:Q160,"µ")+COUNTIF($E160:Q160,1)),
HYPERLINK("#Roadmap!C"&amp; MATCH($E160,Roadmap!$D:$D,0)+COUNTIF($E160:Q160,"u")+COUNTIF($E160:Q160,"t"),
     INDEX(Roadmap!$D:$K,MATCH($E160,Roadmap!$D:$D,0)+COUNTIF($E160:Q160,"u")+COUNTIF($E160:Q160,"t")+COUNTIF($E160:Q160,"¶")+COUNTIF($E160:Q160,"²")+COUNTIF($E160:Q160,"µ")+COUNTIF($E160:Q160,1),ColTypeEcheance)),
  IF(LEN(Q160)=1,
  IF(LEN(INDEX(Roadmap!$D:$K,MATCH($E160,Roadmap!$D:$D,0)-1+COUNTIF($E160:Q160,"u")+COUNTIF($E160:Q160,"t")+COUNTIF($E160:Q160,"¶")+COUNTIF($E160:Q160,"²")+COUNTIF($E160:Q160,"µ")+COUNTIF($E160:Q160,1),ColDescriptionCourte))&gt;1,
HYPERLINK("#Roadmap!C"&amp; MATCH($E160,Roadmap!$D:$D,0)+COUNTIF($E160:Q160,"u")+COUNTIF($E160:Q160,"t")+COUNTIF($E160:Q160,"¶")+COUNTIF($E160:Q160,"²")+COUNTIF($E160:Q160,"µ")+COUNTIF($E160:Q160,1)-1,INDEX(Roadmap!$D:$K,MATCH($E160,Roadmap!$D:$D,0)-1+COUNTIF($E160:Q160,"u")+COUNTIF($E160:Q160,"t")+COUNTIF($E160:Q160,"¶")+COUNTIF($E160:Q160,"²")+COUNTIF($E160:Q160,"µ")+COUNTIF($E160:Q160,1),ColDescriptionCourte)),""),
  "")),"")</f>
        <v/>
      </c>
      <c r="S160" s="40" t="str">
        <f ca="1">IFERROR(IF(AND(
  INDEX(Roadmap!$D:$K,MATCH($E160,Roadmap!$D:$D,0)+COUNTIF($E160:R160,"u")+COUNTIF($E160:R160,"t")+COUNTIF($E160:R160,"¶")+COUNTIF($E160:R160,"²")+COUNTIF($E160:R160,"µ")+COUNTIF($E160:R160,1),ColLivraison)=S$6,
  VLOOKUP($E160,INDIRECT("tri!"&amp; CHAR(64+ C0Col) &amp;":"&amp; CHAR(65+C0Col)),2,FALSE)&gt;COUNTIF($E160:R160,"u")+COUNTIF($E160:R160,"t")+COUNTIF($E160:R160,"¶")+COUNTIF($E160:R160,"²")+COUNTIF($E160:R160,"µ")+COUNTIF($E160:R160,1)),
HYPERLINK("#Roadmap!C"&amp; MATCH($E160,Roadmap!$D:$D,0)+COUNTIF($E160:R160,"u")+COUNTIF($E160:R160,"t"),
     INDEX(Roadmap!$D:$K,MATCH($E160,Roadmap!$D:$D,0)+COUNTIF($E160:R160,"u")+COUNTIF($E160:R160,"t")+COUNTIF($E160:R160,"¶")+COUNTIF($E160:R160,"²")+COUNTIF($E160:R160,"µ")+COUNTIF($E160:R160,1),ColTypeEcheance)),
  IF(LEN(R160)=1,
  IF(LEN(INDEX(Roadmap!$D:$K,MATCH($E160,Roadmap!$D:$D,0)-1+COUNTIF($E160:R160,"u")+COUNTIF($E160:R160,"t")+COUNTIF($E160:R160,"¶")+COUNTIF($E160:R160,"²")+COUNTIF($E160:R160,"µ")+COUNTIF($E160:R160,1),ColDescriptionCourte))&gt;1,
HYPERLINK("#Roadmap!C"&amp; MATCH($E160,Roadmap!$D:$D,0)+COUNTIF($E160:R160,"u")+COUNTIF($E160:R160,"t")+COUNTIF($E160:R160,"¶")+COUNTIF($E160:R160,"²")+COUNTIF($E160:R160,"µ")+COUNTIF($E160:R160,1)-1,INDEX(Roadmap!$D:$K,MATCH($E160,Roadmap!$D:$D,0)-1+COUNTIF($E160:R160,"u")+COUNTIF($E160:R160,"t")+COUNTIF($E160:R160,"¶")+COUNTIF($E160:R160,"²")+COUNTIF($E160:R160,"µ")+COUNTIF($E160:R160,1),ColDescriptionCourte)),""),
  "")),"")</f>
        <v/>
      </c>
      <c r="T160" s="40" t="str">
        <f ca="1">IFERROR(IF(AND(
  INDEX(Roadmap!$D:$K,MATCH($E160,Roadmap!$D:$D,0)+COUNTIF($E160:S160,"u")+COUNTIF($E160:S160,"t")+COUNTIF($E160:S160,"¶")+COUNTIF($E160:S160,"²")+COUNTIF($E160:S160,"µ")+COUNTIF($E160:S160,1),ColLivraison)=T$6,
  VLOOKUP($E160,INDIRECT("tri!"&amp; CHAR(64+ C0Col) &amp;":"&amp; CHAR(65+C0Col)),2,FALSE)&gt;COUNTIF($E160:S160,"u")+COUNTIF($E160:S160,"t")+COUNTIF($E160:S160,"¶")+COUNTIF($E160:S160,"²")+COUNTIF($E160:S160,"µ")+COUNTIF($E160:S160,1)),
HYPERLINK("#Roadmap!C"&amp; MATCH($E160,Roadmap!$D:$D,0)+COUNTIF($E160:S160,"u")+COUNTIF($E160:S160,"t"),
     INDEX(Roadmap!$D:$K,MATCH($E160,Roadmap!$D:$D,0)+COUNTIF($E160:S160,"u")+COUNTIF($E160:S160,"t")+COUNTIF($E160:S160,"¶")+COUNTIF($E160:S160,"²")+COUNTIF($E160:S160,"µ")+COUNTIF($E160:S160,1),ColTypeEcheance)),
  IF(LEN(S160)=1,
  IF(LEN(INDEX(Roadmap!$D:$K,MATCH($E160,Roadmap!$D:$D,0)-1+COUNTIF($E160:S160,"u")+COUNTIF($E160:S160,"t")+COUNTIF($E160:S160,"¶")+COUNTIF($E160:S160,"²")+COUNTIF($E160:S160,"µ")+COUNTIF($E160:S160,1),ColDescriptionCourte))&gt;1,
HYPERLINK("#Roadmap!C"&amp; MATCH($E160,Roadmap!$D:$D,0)+COUNTIF($E160:S160,"u")+COUNTIF($E160:S160,"t")+COUNTIF($E160:S160,"¶")+COUNTIF($E160:S160,"²")+COUNTIF($E160:S160,"µ")+COUNTIF($E160:S160,1)-1,INDEX(Roadmap!$D:$K,MATCH($E160,Roadmap!$D:$D,0)-1+COUNTIF($E160:S160,"u")+COUNTIF($E160:S160,"t")+COUNTIF($E160:S160,"¶")+COUNTIF($E160:S160,"²")+COUNTIF($E160:S160,"µ")+COUNTIF($E160:S160,1),ColDescriptionCourte)),""),
  "")),"")</f>
        <v/>
      </c>
      <c r="U160" s="40" t="str">
        <f ca="1">IFERROR(IF(AND(
  INDEX(Roadmap!$D:$K,MATCH($E160,Roadmap!$D:$D,0)+COUNTIF($E160:T160,"u")+COUNTIF($E160:T160,"t")+COUNTIF($E160:T160,"¶")+COUNTIF($E160:T160,"²")+COUNTIF($E160:T160,"µ")+COUNTIF($E160:T160,1),ColLivraison)=U$6,
  VLOOKUP($E160,INDIRECT("tri!"&amp; CHAR(64+ C0Col) &amp;":"&amp; CHAR(65+C0Col)),2,FALSE)&gt;COUNTIF($E160:T160,"u")+COUNTIF($E160:T160,"t")+COUNTIF($E160:T160,"¶")+COUNTIF($E160:T160,"²")+COUNTIF($E160:T160,"µ")+COUNTIF($E160:T160,1)),
HYPERLINK("#Roadmap!C"&amp; MATCH($E160,Roadmap!$D:$D,0)+COUNTIF($E160:T160,"u")+COUNTIF($E160:T160,"t"),
     INDEX(Roadmap!$D:$K,MATCH($E160,Roadmap!$D:$D,0)+COUNTIF($E160:T160,"u")+COUNTIF($E160:T160,"t")+COUNTIF($E160:T160,"¶")+COUNTIF($E160:T160,"²")+COUNTIF($E160:T160,"µ")+COUNTIF($E160:T160,1),ColTypeEcheance)),
  IF(LEN(T160)=1,
  IF(LEN(INDEX(Roadmap!$D:$K,MATCH($E160,Roadmap!$D:$D,0)-1+COUNTIF($E160:T160,"u")+COUNTIF($E160:T160,"t")+COUNTIF($E160:T160,"¶")+COUNTIF($E160:T160,"²")+COUNTIF($E160:T160,"µ")+COUNTIF($E160:T160,1),ColDescriptionCourte))&gt;1,
HYPERLINK("#Roadmap!C"&amp; MATCH($E160,Roadmap!$D:$D,0)+COUNTIF($E160:T160,"u")+COUNTIF($E160:T160,"t")+COUNTIF($E160:T160,"¶")+COUNTIF($E160:T160,"²")+COUNTIF($E160:T160,"µ")+COUNTIF($E160:T160,1)-1,INDEX(Roadmap!$D:$K,MATCH($E160,Roadmap!$D:$D,0)-1+COUNTIF($E160:T160,"u")+COUNTIF($E160:T160,"t")+COUNTIF($E160:T160,"¶")+COUNTIF($E160:T160,"²")+COUNTIF($E160:T160,"µ")+COUNTIF($E160:T160,1),ColDescriptionCourte)),""),
  "")),"")</f>
        <v/>
      </c>
      <c r="V160" s="40" t="str">
        <f ca="1">IFERROR(IF(AND(
  INDEX(Roadmap!$D:$K,MATCH($E160,Roadmap!$D:$D,0)+COUNTIF($E160:U160,"u")+COUNTIF($E160:U160,"t")+COUNTIF($E160:U160,"¶")+COUNTIF($E160:U160,"²")+COUNTIF($E160:U160,"µ")+COUNTIF($E160:U160,1),ColLivraison)=V$6,
  VLOOKUP($E160,INDIRECT("tri!"&amp; CHAR(64+ C0Col) &amp;":"&amp; CHAR(65+C0Col)),2,FALSE)&gt;COUNTIF($E160:U160,"u")+COUNTIF($E160:U160,"t")+COUNTIF($E160:U160,"¶")+COUNTIF($E160:U160,"²")+COUNTIF($E160:U160,"µ")+COUNTIF($E160:U160,1)),
HYPERLINK("#Roadmap!C"&amp; MATCH($E160,Roadmap!$D:$D,0)+COUNTIF($E160:U160,"u")+COUNTIF($E160:U160,"t"),
     INDEX(Roadmap!$D:$K,MATCH($E160,Roadmap!$D:$D,0)+COUNTIF($E160:U160,"u")+COUNTIF($E160:U160,"t")+COUNTIF($E160:U160,"¶")+COUNTIF($E160:U160,"²")+COUNTIF($E160:U160,"µ")+COUNTIF($E160:U160,1),ColTypeEcheance)),
  IF(LEN(U160)=1,
  IF(LEN(INDEX(Roadmap!$D:$K,MATCH($E160,Roadmap!$D:$D,0)-1+COUNTIF($E160:U160,"u")+COUNTIF($E160:U160,"t")+COUNTIF($E160:U160,"¶")+COUNTIF($E160:U160,"²")+COUNTIF($E160:U160,"µ")+COUNTIF($E160:U160,1),ColDescriptionCourte))&gt;1,
HYPERLINK("#Roadmap!C"&amp; MATCH($E160,Roadmap!$D:$D,0)+COUNTIF($E160:U160,"u")+COUNTIF($E160:U160,"t")+COUNTIF($E160:U160,"¶")+COUNTIF($E160:U160,"²")+COUNTIF($E160:U160,"µ")+COUNTIF($E160:U160,1)-1,INDEX(Roadmap!$D:$K,MATCH($E160,Roadmap!$D:$D,0)-1+COUNTIF($E160:U160,"u")+COUNTIF($E160:U160,"t")+COUNTIF($E160:U160,"¶")+COUNTIF($E160:U160,"²")+COUNTIF($E160:U160,"µ")+COUNTIF($E160:U160,1),ColDescriptionCourte)),""),
  "")),"")</f>
        <v/>
      </c>
      <c r="W160" s="40" t="str">
        <f ca="1">IFERROR(IF(AND(
  INDEX(Roadmap!$D:$K,MATCH($E160,Roadmap!$D:$D,0)+COUNTIF($E160:V160,"u")+COUNTIF($E160:V160,"t")+COUNTIF($E160:V160,"¶")+COUNTIF($E160:V160,"²")+COUNTIF($E160:V160,"µ")+COUNTIF($E160:V160,1),ColLivraison)=W$6,
  VLOOKUP($E160,INDIRECT("tri!"&amp; CHAR(64+ C0Col) &amp;":"&amp; CHAR(65+C0Col)),2,FALSE)&gt;COUNTIF($E160:V160,"u")+COUNTIF($E160:V160,"t")+COUNTIF($E160:V160,"¶")+COUNTIF($E160:V160,"²")+COUNTIF($E160:V160,"µ")+COUNTIF($E160:V160,1)),
HYPERLINK("#Roadmap!C"&amp; MATCH($E160,Roadmap!$D:$D,0)+COUNTIF($E160:V160,"u")+COUNTIF($E160:V160,"t"),
     INDEX(Roadmap!$D:$K,MATCH($E160,Roadmap!$D:$D,0)+COUNTIF($E160:V160,"u")+COUNTIF($E160:V160,"t")+COUNTIF($E160:V160,"¶")+COUNTIF($E160:V160,"²")+COUNTIF($E160:V160,"µ")+COUNTIF($E160:V160,1),ColTypeEcheance)),
  IF(LEN(V160)=1,
  IF(LEN(INDEX(Roadmap!$D:$K,MATCH($E160,Roadmap!$D:$D,0)-1+COUNTIF($E160:V160,"u")+COUNTIF($E160:V160,"t")+COUNTIF($E160:V160,"¶")+COUNTIF($E160:V160,"²")+COUNTIF($E160:V160,"µ")+COUNTIF($E160:V160,1),ColDescriptionCourte))&gt;1,
HYPERLINK("#Roadmap!C"&amp; MATCH($E160,Roadmap!$D:$D,0)+COUNTIF($E160:V160,"u")+COUNTIF($E160:V160,"t")+COUNTIF($E160:V160,"¶")+COUNTIF($E160:V160,"²")+COUNTIF($E160:V160,"µ")+COUNTIF($E160:V160,1)-1,INDEX(Roadmap!$D:$K,MATCH($E160,Roadmap!$D:$D,0)-1+COUNTIF($E160:V160,"u")+COUNTIF($E160:V160,"t")+COUNTIF($E160:V160,"¶")+COUNTIF($E160:V160,"²")+COUNTIF($E160:V160,"µ")+COUNTIF($E160:V160,1),ColDescriptionCourte)),""),
  "")),"")</f>
        <v/>
      </c>
      <c r="X160" s="40" t="str">
        <f ca="1">IFERROR(IF(AND(
  INDEX(Roadmap!$D:$K,MATCH($E160,Roadmap!$D:$D,0)+COUNTIF($E160:W160,"u")+COUNTIF($E160:W160,"t")+COUNTIF($E160:W160,"¶")+COUNTIF($E160:W160,"²")+COUNTIF($E160:W160,"µ")+COUNTIF($E160:W160,1),ColLivraison)=X$6,
  VLOOKUP($E160,INDIRECT("tri!"&amp; CHAR(64+ C0Col) &amp;":"&amp; CHAR(65+C0Col)),2,FALSE)&gt;COUNTIF($E160:W160,"u")+COUNTIF($E160:W160,"t")+COUNTIF($E160:W160,"¶")+COUNTIF($E160:W160,"²")+COUNTIF($E160:W160,"µ")+COUNTIF($E160:W160,1)),
HYPERLINK("#Roadmap!C"&amp; MATCH($E160,Roadmap!$D:$D,0)+COUNTIF($E160:W160,"u")+COUNTIF($E160:W160,"t"),
     INDEX(Roadmap!$D:$K,MATCH($E160,Roadmap!$D:$D,0)+COUNTIF($E160:W160,"u")+COUNTIF($E160:W160,"t")+COUNTIF($E160:W160,"¶")+COUNTIF($E160:W160,"²")+COUNTIF($E160:W160,"µ")+COUNTIF($E160:W160,1),ColTypeEcheance)),
  IF(LEN(W160)=1,
  IF(LEN(INDEX(Roadmap!$D:$K,MATCH($E160,Roadmap!$D:$D,0)-1+COUNTIF($E160:W160,"u")+COUNTIF($E160:W160,"t")+COUNTIF($E160:W160,"¶")+COUNTIF($E160:W160,"²")+COUNTIF($E160:W160,"µ")+COUNTIF($E160:W160,1),ColDescriptionCourte))&gt;1,
HYPERLINK("#Roadmap!C"&amp; MATCH($E160,Roadmap!$D:$D,0)+COUNTIF($E160:W160,"u")+COUNTIF($E160:W160,"t")+COUNTIF($E160:W160,"¶")+COUNTIF($E160:W160,"²")+COUNTIF($E160:W160,"µ")+COUNTIF($E160:W160,1)-1,INDEX(Roadmap!$D:$K,MATCH($E160,Roadmap!$D:$D,0)-1+COUNTIF($E160:W160,"u")+COUNTIF($E160:W160,"t")+COUNTIF($E160:W160,"¶")+COUNTIF($E160:W160,"²")+COUNTIF($E160:W160,"µ")+COUNTIF($E160:W160,1),ColDescriptionCourte)),""),
  "")),"")</f>
        <v/>
      </c>
      <c r="Y160" s="40" t="str">
        <f ca="1">IFERROR(IF(AND(
  INDEX(Roadmap!$D:$K,MATCH($E160,Roadmap!$D:$D,0)+COUNTIF($E160:X160,"u")+COUNTIF($E160:X160,"t")+COUNTIF($E160:X160,"¶")+COUNTIF($E160:X160,"²")+COUNTIF($E160:X160,"µ")+COUNTIF($E160:X160,1),ColLivraison)=Y$6,
  VLOOKUP($E160,INDIRECT("tri!"&amp; CHAR(64+ C0Col) &amp;":"&amp; CHAR(65+C0Col)),2,FALSE)&gt;COUNTIF($E160:X160,"u")+COUNTIF($E160:X160,"t")+COUNTIF($E160:X160,"¶")+COUNTIF($E160:X160,"²")+COUNTIF($E160:X160,"µ")+COUNTIF($E160:X160,1)),
HYPERLINK("#Roadmap!C"&amp; MATCH($E160,Roadmap!$D:$D,0)+COUNTIF($E160:X160,"u")+COUNTIF($E160:X160,"t"),
     INDEX(Roadmap!$D:$K,MATCH($E160,Roadmap!$D:$D,0)+COUNTIF($E160:X160,"u")+COUNTIF($E160:X160,"t")+COUNTIF($E160:X160,"¶")+COUNTIF($E160:X160,"²")+COUNTIF($E160:X160,"µ")+COUNTIF($E160:X160,1),ColTypeEcheance)),
  IF(LEN(X160)=1,
  IF(LEN(INDEX(Roadmap!$D:$K,MATCH($E160,Roadmap!$D:$D,0)-1+COUNTIF($E160:X160,"u")+COUNTIF($E160:X160,"t")+COUNTIF($E160:X160,"¶")+COUNTIF($E160:X160,"²")+COUNTIF($E160:X160,"µ")+COUNTIF($E160:X160,1),ColDescriptionCourte))&gt;1,
HYPERLINK("#Roadmap!C"&amp; MATCH($E160,Roadmap!$D:$D,0)+COUNTIF($E160:X160,"u")+COUNTIF($E160:X160,"t")+COUNTIF($E160:X160,"¶")+COUNTIF($E160:X160,"²")+COUNTIF($E160:X160,"µ")+COUNTIF($E160:X160,1)-1,INDEX(Roadmap!$D:$K,MATCH($E160,Roadmap!$D:$D,0)-1+COUNTIF($E160:X160,"u")+COUNTIF($E160:X160,"t")+COUNTIF($E160:X160,"¶")+COUNTIF($E160:X160,"²")+COUNTIF($E160:X160,"µ")+COUNTIF($E160:X160,1),ColDescriptionCourte)),""),
  "")),"")</f>
        <v/>
      </c>
      <c r="Z160" s="40" t="str">
        <f ca="1">IFERROR(IF(AND(
  INDEX(Roadmap!$D:$K,MATCH($E160,Roadmap!$D:$D,0)+COUNTIF($E160:Y160,"u")+COUNTIF($E160:Y160,"t")+COUNTIF($E160:Y160,"¶")+COUNTIF($E160:Y160,"²")+COUNTIF($E160:Y160,"µ")+COUNTIF($E160:Y160,1),ColLivraison)=Z$6,
  VLOOKUP($E160,INDIRECT("tri!"&amp; CHAR(64+ C0Col) &amp;":"&amp; CHAR(65+C0Col)),2,FALSE)&gt;COUNTIF($E160:Y160,"u")+COUNTIF($E160:Y160,"t")+COUNTIF($E160:Y160,"¶")+COUNTIF($E160:Y160,"²")+COUNTIF($E160:Y160,"µ")+COUNTIF($E160:Y160,1)),
HYPERLINK("#Roadmap!C"&amp; MATCH($E160,Roadmap!$D:$D,0)+COUNTIF($E160:Y160,"u")+COUNTIF($E160:Y160,"t"),
     INDEX(Roadmap!$D:$K,MATCH($E160,Roadmap!$D:$D,0)+COUNTIF($E160:Y160,"u")+COUNTIF($E160:Y160,"t")+COUNTIF($E160:Y160,"¶")+COUNTIF($E160:Y160,"²")+COUNTIF($E160:Y160,"µ")+COUNTIF($E160:Y160,1),ColTypeEcheance)),
  IF(LEN(Y160)=1,
  IF(LEN(INDEX(Roadmap!$D:$K,MATCH($E160,Roadmap!$D:$D,0)-1+COUNTIF($E160:Y160,"u")+COUNTIF($E160:Y160,"t")+COUNTIF($E160:Y160,"¶")+COUNTIF($E160:Y160,"²")+COUNTIF($E160:Y160,"µ")+COUNTIF($E160:Y160,1),ColDescriptionCourte))&gt;1,
HYPERLINK("#Roadmap!C"&amp; MATCH($E160,Roadmap!$D:$D,0)+COUNTIF($E160:Y160,"u")+COUNTIF($E160:Y160,"t")+COUNTIF($E160:Y160,"¶")+COUNTIF($E160:Y160,"²")+COUNTIF($E160:Y160,"µ")+COUNTIF($E160:Y160,1)-1,INDEX(Roadmap!$D:$K,MATCH($E160,Roadmap!$D:$D,0)-1+COUNTIF($E160:Y160,"u")+COUNTIF($E160:Y160,"t")+COUNTIF($E160:Y160,"¶")+COUNTIF($E160:Y160,"²")+COUNTIF($E160:Y160,"µ")+COUNTIF($E160:Y160,1),ColDescriptionCourte)),""),
  "")),"")</f>
        <v/>
      </c>
      <c r="AA160" s="40" t="str">
        <f ca="1">IFERROR(IF(AND(
  INDEX(Roadmap!$D:$K,MATCH($E160,Roadmap!$D:$D,0)+COUNTIF($E160:Z160,"u")+COUNTIF($E160:Z160,"t")+COUNTIF($E160:Z160,"¶")+COUNTIF($E160:Z160,"²")+COUNTIF($E160:Z160,"µ")+COUNTIF($E160:Z160,1),ColLivraison)=AA$6,
  VLOOKUP($E160,INDIRECT("tri!"&amp; CHAR(64+ C0Col) &amp;":"&amp; CHAR(65+C0Col)),2,FALSE)&gt;COUNTIF($E160:Z160,"u")+COUNTIF($E160:Z160,"t")+COUNTIF($E160:Z160,"¶")+COUNTIF($E160:Z160,"²")+COUNTIF($E160:Z160,"µ")+COUNTIF($E160:Z160,1)),
HYPERLINK("#Roadmap!C"&amp; MATCH($E160,Roadmap!$D:$D,0)+COUNTIF($E160:Z160,"u")+COUNTIF($E160:Z160,"t"),
     INDEX(Roadmap!$D:$K,MATCH($E160,Roadmap!$D:$D,0)+COUNTIF($E160:Z160,"u")+COUNTIF($E160:Z160,"t")+COUNTIF($E160:Z160,"¶")+COUNTIF($E160:Z160,"²")+COUNTIF($E160:Z160,"µ")+COUNTIF($E160:Z160,1),ColTypeEcheance)),
  IF(LEN(Z160)=1,
  IF(LEN(INDEX(Roadmap!$D:$K,MATCH($E160,Roadmap!$D:$D,0)-1+COUNTIF($E160:Z160,"u")+COUNTIF($E160:Z160,"t")+COUNTIF($E160:Z160,"¶")+COUNTIF($E160:Z160,"²")+COUNTIF($E160:Z160,"µ")+COUNTIF($E160:Z160,1),ColDescriptionCourte))&gt;1,
HYPERLINK("#Roadmap!C"&amp; MATCH($E160,Roadmap!$D:$D,0)+COUNTIF($E160:Z160,"u")+COUNTIF($E160:Z160,"t")+COUNTIF($E160:Z160,"¶")+COUNTIF($E160:Z160,"²")+COUNTIF($E160:Z160,"µ")+COUNTIF($E160:Z160,1)-1,INDEX(Roadmap!$D:$K,MATCH($E160,Roadmap!$D:$D,0)-1+COUNTIF($E160:Z160,"u")+COUNTIF($E160:Z160,"t")+COUNTIF($E160:Z160,"¶")+COUNTIF($E160:Z160,"²")+COUNTIF($E160:Z160,"µ")+COUNTIF($E160:Z160,1),ColDescriptionCourte)),""),
  "")),"")</f>
        <v/>
      </c>
      <c r="AB160" s="40" t="str">
        <f ca="1">IFERROR(IF(AND(
  INDEX(Roadmap!$D:$K,MATCH($E160,Roadmap!$D:$D,0)+COUNTIF($E160:AA160,"u")+COUNTIF($E160:AA160,"t")+COUNTIF($E160:AA160,"¶")+COUNTIF($E160:AA160,"²")+COUNTIF($E160:AA160,"µ")+COUNTIF($E160:AA160,1),ColLivraison)=AB$6,
  VLOOKUP($E160,INDIRECT("tri!"&amp; CHAR(64+ C0Col) &amp;":"&amp; CHAR(65+C0Col)),2,FALSE)&gt;COUNTIF($E160:AA160,"u")+COUNTIF($E160:AA160,"t")+COUNTIF($E160:AA160,"¶")+COUNTIF($E160:AA160,"²")+COUNTIF($E160:AA160,"µ")+COUNTIF($E160:AA160,1)),
HYPERLINK("#Roadmap!C"&amp; MATCH($E160,Roadmap!$D:$D,0)+COUNTIF($E160:AA160,"u")+COUNTIF($E160:AA160,"t"),
     INDEX(Roadmap!$D:$K,MATCH($E160,Roadmap!$D:$D,0)+COUNTIF($E160:AA160,"u")+COUNTIF($E160:AA160,"t")+COUNTIF($E160:AA160,"¶")+COUNTIF($E160:AA160,"²")+COUNTIF($E160:AA160,"µ")+COUNTIF($E160:AA160,1),ColTypeEcheance)),
  IF(LEN(AA160)=1,
  IF(LEN(INDEX(Roadmap!$D:$K,MATCH($E160,Roadmap!$D:$D,0)-1+COUNTIF($E160:AA160,"u")+COUNTIF($E160:AA160,"t")+COUNTIF($E160:AA160,"¶")+COUNTIF($E160:AA160,"²")+COUNTIF($E160:AA160,"µ")+COUNTIF($E160:AA160,1),ColDescriptionCourte))&gt;1,
HYPERLINK("#Roadmap!C"&amp; MATCH($E160,Roadmap!$D:$D,0)+COUNTIF($E160:AA160,"u")+COUNTIF($E160:AA160,"t")+COUNTIF($E160:AA160,"¶")+COUNTIF($E160:AA160,"²")+COUNTIF($E160:AA160,"µ")+COUNTIF($E160:AA160,1)-1,INDEX(Roadmap!$D:$K,MATCH($E160,Roadmap!$D:$D,0)-1+COUNTIF($E160:AA160,"u")+COUNTIF($E160:AA160,"t")+COUNTIF($E160:AA160,"¶")+COUNTIF($E160:AA160,"²")+COUNTIF($E160:AA160,"µ")+COUNTIF($E160:AA160,1),ColDescriptionCourte)),""),
  "")),"")</f>
        <v/>
      </c>
      <c r="AC160" s="40" t="str">
        <f ca="1">IFERROR(IF(AND(
  INDEX(Roadmap!$D:$K,MATCH($E160,Roadmap!$D:$D,0)+COUNTIF($E160:AB160,"u")+COUNTIF($E160:AB160,"t")+COUNTIF($E160:AB160,"¶")+COUNTIF($E160:AB160,"²")+COUNTIF($E160:AB160,"µ")+COUNTIF($E160:AB160,1),ColLivraison)=AC$6,
  VLOOKUP($E160,INDIRECT("tri!"&amp; CHAR(64+ C0Col) &amp;":"&amp; CHAR(65+C0Col)),2,FALSE)&gt;COUNTIF($E160:AB160,"u")+COUNTIF($E160:AB160,"t")+COUNTIF($E160:AB160,"¶")+COUNTIF($E160:AB160,"²")+COUNTIF($E160:AB160,"µ")+COUNTIF($E160:AB160,1)),
HYPERLINK("#Roadmap!C"&amp; MATCH($E160,Roadmap!$D:$D,0)+COUNTIF($E160:AB160,"u")+COUNTIF($E160:AB160,"t"),
     INDEX(Roadmap!$D:$K,MATCH($E160,Roadmap!$D:$D,0)+COUNTIF($E160:AB160,"u")+COUNTIF($E160:AB160,"t")+COUNTIF($E160:AB160,"¶")+COUNTIF($E160:AB160,"²")+COUNTIF($E160:AB160,"µ")+COUNTIF($E160:AB160,1),ColTypeEcheance)),
  IF(LEN(AB160)=1,
  IF(LEN(INDEX(Roadmap!$D:$K,MATCH($E160,Roadmap!$D:$D,0)-1+COUNTIF($E160:AB160,"u")+COUNTIF($E160:AB160,"t")+COUNTIF($E160:AB160,"¶")+COUNTIF($E160:AB160,"²")+COUNTIF($E160:AB160,"µ")+COUNTIF($E160:AB160,1),ColDescriptionCourte))&gt;1,
HYPERLINK("#Roadmap!C"&amp; MATCH($E160,Roadmap!$D:$D,0)+COUNTIF($E160:AB160,"u")+COUNTIF($E160:AB160,"t")+COUNTIF($E160:AB160,"¶")+COUNTIF($E160:AB160,"²")+COUNTIF($E160:AB160,"µ")+COUNTIF($E160:AB160,1)-1,INDEX(Roadmap!$D:$K,MATCH($E160,Roadmap!$D:$D,0)-1+COUNTIF($E160:AB160,"u")+COUNTIF($E160:AB160,"t")+COUNTIF($E160:AB160,"¶")+COUNTIF($E160:AB160,"²")+COUNTIF($E160:AB160,"µ")+COUNTIF($E160:AB160,1),ColDescriptionCourte)),""),
  "")),"")</f>
        <v/>
      </c>
      <c r="AD160" s="40" t="str">
        <f ca="1">IFERROR(IF(AND(
  INDEX(Roadmap!$D:$K,MATCH($E160,Roadmap!$D:$D,0)+COUNTIF($E160:AC160,"u")+COUNTIF($E160:AC160,"t")+COUNTIF($E160:AC160,"¶")+COUNTIF($E160:AC160,"²")+COUNTIF($E160:AC160,"µ")+COUNTIF($E160:AC160,1),ColLivraison)=AD$6,
  VLOOKUP($E160,INDIRECT("tri!"&amp; CHAR(64+ C0Col) &amp;":"&amp; CHAR(65+C0Col)),2,FALSE)&gt;COUNTIF($E160:AC160,"u")+COUNTIF($E160:AC160,"t")+COUNTIF($E160:AC160,"¶")+COUNTIF($E160:AC160,"²")+COUNTIF($E160:AC160,"µ")+COUNTIF($E160:AC160,1)),
HYPERLINK("#Roadmap!C"&amp; MATCH($E160,Roadmap!$D:$D,0)+COUNTIF($E160:AC160,"u")+COUNTIF($E160:AC160,"t"),
     INDEX(Roadmap!$D:$K,MATCH($E160,Roadmap!$D:$D,0)+COUNTIF($E160:AC160,"u")+COUNTIF($E160:AC160,"t")+COUNTIF($E160:AC160,"¶")+COUNTIF($E160:AC160,"²")+COUNTIF($E160:AC160,"µ")+COUNTIF($E160:AC160,1),ColTypeEcheance)),
  IF(LEN(AC160)=1,
  IF(LEN(INDEX(Roadmap!$D:$K,MATCH($E160,Roadmap!$D:$D,0)-1+COUNTIF($E160:AC160,"u")+COUNTIF($E160:AC160,"t")+COUNTIF($E160:AC160,"¶")+COUNTIF($E160:AC160,"²")+COUNTIF($E160:AC160,"µ")+COUNTIF($E160:AC160,1),ColDescriptionCourte))&gt;1,
HYPERLINK("#Roadmap!C"&amp; MATCH($E160,Roadmap!$D:$D,0)+COUNTIF($E160:AC160,"u")+COUNTIF($E160:AC160,"t")+COUNTIF($E160:AC160,"¶")+COUNTIF($E160:AC160,"²")+COUNTIF($E160:AC160,"µ")+COUNTIF($E160:AC160,1)-1,INDEX(Roadmap!$D:$K,MATCH($E160,Roadmap!$D:$D,0)-1+COUNTIF($E160:AC160,"u")+COUNTIF($E160:AC160,"t")+COUNTIF($E160:AC160,"¶")+COUNTIF($E160:AC160,"²")+COUNTIF($E160:AC160,"µ")+COUNTIF($E160:AC160,1),ColDescriptionCourte)),""),
  "")),"")</f>
        <v/>
      </c>
      <c r="AE160" s="40" t="str">
        <f ca="1">IFERROR(IF(AND(
  INDEX(Roadmap!$D:$K,MATCH($E160,Roadmap!$D:$D,0)+COUNTIF($E160:AD160,"u")+COUNTIF($E160:AD160,"t")+COUNTIF($E160:AD160,"¶")+COUNTIF($E160:AD160,"²")+COUNTIF($E160:AD160,"µ")+COUNTIF($E160:AD160,1),ColLivraison)=AE$6,
  VLOOKUP($E160,INDIRECT("tri!"&amp; CHAR(64+ C0Col) &amp;":"&amp; CHAR(65+C0Col)),2,FALSE)&gt;COUNTIF($E160:AD160,"u")+COUNTIF($E160:AD160,"t")+COUNTIF($E160:AD160,"¶")+COUNTIF($E160:AD160,"²")+COUNTIF($E160:AD160,"µ")+COUNTIF($E160:AD160,1)),
HYPERLINK("#Roadmap!C"&amp; MATCH($E160,Roadmap!$D:$D,0)+COUNTIF($E160:AD160,"u")+COUNTIF($E160:AD160,"t"),
     INDEX(Roadmap!$D:$K,MATCH($E160,Roadmap!$D:$D,0)+COUNTIF($E160:AD160,"u")+COUNTIF($E160:AD160,"t")+COUNTIF($E160:AD160,"¶")+COUNTIF($E160:AD160,"²")+COUNTIF($E160:AD160,"µ")+COUNTIF($E160:AD160,1),ColTypeEcheance)),
  IF(LEN(AD160)=1,
  IF(LEN(INDEX(Roadmap!$D:$K,MATCH($E160,Roadmap!$D:$D,0)-1+COUNTIF($E160:AD160,"u")+COUNTIF($E160:AD160,"t")+COUNTIF($E160:AD160,"¶")+COUNTIF($E160:AD160,"²")+COUNTIF($E160:AD160,"µ")+COUNTIF($E160:AD160,1),ColDescriptionCourte))&gt;1,
HYPERLINK("#Roadmap!C"&amp; MATCH($E160,Roadmap!$D:$D,0)+COUNTIF($E160:AD160,"u")+COUNTIF($E160:AD160,"t")+COUNTIF($E160:AD160,"¶")+COUNTIF($E160:AD160,"²")+COUNTIF($E160:AD160,"µ")+COUNTIF($E160:AD160,1)-1,INDEX(Roadmap!$D:$K,MATCH($E160,Roadmap!$D:$D,0)-1+COUNTIF($E160:AD160,"u")+COUNTIF($E160:AD160,"t")+COUNTIF($E160:AD160,"¶")+COUNTIF($E160:AD160,"²")+COUNTIF($E160:AD160,"µ")+COUNTIF($E160:AD160,1),ColDescriptionCourte)),""),
  "")),"")</f>
        <v/>
      </c>
      <c r="AF160" s="40" t="str">
        <f ca="1">IFERROR(IF(AND(
  INDEX(Roadmap!$D:$K,MATCH($E160,Roadmap!$D:$D,0)+COUNTIF($E160:AE160,"u")+COUNTIF($E160:AE160,"t")+COUNTIF($E160:AE160,"¶")+COUNTIF($E160:AE160,"²")+COUNTIF($E160:AE160,"µ")+COUNTIF($E160:AE160,1),ColLivraison)=AF$6,
  VLOOKUP($E160,INDIRECT("tri!"&amp; CHAR(64+ C0Col) &amp;":"&amp; CHAR(65+C0Col)),2,FALSE)&gt;COUNTIF($E160:AE160,"u")+COUNTIF($E160:AE160,"t")+COUNTIF($E160:AE160,"¶")+COUNTIF($E160:AE160,"²")+COUNTIF($E160:AE160,"µ")+COUNTIF($E160:AE160,1)),
HYPERLINK("#Roadmap!C"&amp; MATCH($E160,Roadmap!$D:$D,0)+COUNTIF($E160:AE160,"u")+COUNTIF($E160:AE160,"t"),
     INDEX(Roadmap!$D:$K,MATCH($E160,Roadmap!$D:$D,0)+COUNTIF($E160:AE160,"u")+COUNTIF($E160:AE160,"t")+COUNTIF($E160:AE160,"¶")+COUNTIF($E160:AE160,"²")+COUNTIF($E160:AE160,"µ")+COUNTIF($E160:AE160,1),ColTypeEcheance)),
  IF(LEN(AE160)=1,
  IF(LEN(INDEX(Roadmap!$D:$K,MATCH($E160,Roadmap!$D:$D,0)-1+COUNTIF($E160:AE160,"u")+COUNTIF($E160:AE160,"t")+COUNTIF($E160:AE160,"¶")+COUNTIF($E160:AE160,"²")+COUNTIF($E160:AE160,"µ")+COUNTIF($E160:AE160,1),ColDescriptionCourte))&gt;1,
HYPERLINK("#Roadmap!C"&amp; MATCH($E160,Roadmap!$D:$D,0)+COUNTIF($E160:AE160,"u")+COUNTIF($E160:AE160,"t")+COUNTIF($E160:AE160,"¶")+COUNTIF($E160:AE160,"²")+COUNTIF($E160:AE160,"µ")+COUNTIF($E160:AE160,1)-1,INDEX(Roadmap!$D:$K,MATCH($E160,Roadmap!$D:$D,0)-1+COUNTIF($E160:AE160,"u")+COUNTIF($E160:AE160,"t")+COUNTIF($E160:AE160,"¶")+COUNTIF($E160:AE160,"²")+COUNTIF($E160:AE160,"µ")+COUNTIF($E160:AE160,1),ColDescriptionCourte)),""),
  "")),"")</f>
        <v/>
      </c>
      <c r="AG160" s="40" t="str">
        <f ca="1">IFERROR(IF(AND(
  INDEX(Roadmap!$D:$K,MATCH($E160,Roadmap!$D:$D,0)+COUNTIF($E160:AF160,"u")+COUNTIF($E160:AF160,"t")+COUNTIF($E160:AF160,"¶")+COUNTIF($E160:AF160,"²")+COUNTIF($E160:AF160,"µ")+COUNTIF($E160:AF160,1),ColLivraison)=AG$6,
  VLOOKUP($E160,INDIRECT("tri!"&amp; CHAR(64+ C0Col) &amp;":"&amp; CHAR(65+C0Col)),2,FALSE)&gt;COUNTIF($E160:AF160,"u")+COUNTIF($E160:AF160,"t")+COUNTIF($E160:AF160,"¶")+COUNTIF($E160:AF160,"²")+COUNTIF($E160:AF160,"µ")+COUNTIF($E160:AF160,1)),
HYPERLINK("#Roadmap!C"&amp; MATCH($E160,Roadmap!$D:$D,0)+COUNTIF($E160:AF160,"u")+COUNTIF($E160:AF160,"t"),
     INDEX(Roadmap!$D:$K,MATCH($E160,Roadmap!$D:$D,0)+COUNTIF($E160:AF160,"u")+COUNTIF($E160:AF160,"t")+COUNTIF($E160:AF160,"¶")+COUNTIF($E160:AF160,"²")+COUNTIF($E160:AF160,"µ")+COUNTIF($E160:AF160,1),ColTypeEcheance)),
  IF(LEN(AF160)=1,
  IF(LEN(INDEX(Roadmap!$D:$K,MATCH($E160,Roadmap!$D:$D,0)-1+COUNTIF($E160:AF160,"u")+COUNTIF($E160:AF160,"t")+COUNTIF($E160:AF160,"¶")+COUNTIF($E160:AF160,"²")+COUNTIF($E160:AF160,"µ")+COUNTIF($E160:AF160,1),ColDescriptionCourte))&gt;1,
HYPERLINK("#Roadmap!C"&amp; MATCH($E160,Roadmap!$D:$D,0)+COUNTIF($E160:AF160,"u")+COUNTIF($E160:AF160,"t")+COUNTIF($E160:AF160,"¶")+COUNTIF($E160:AF160,"²")+COUNTIF($E160:AF160,"µ")+COUNTIF($E160:AF160,1)-1,INDEX(Roadmap!$D:$K,MATCH($E160,Roadmap!$D:$D,0)-1+COUNTIF($E160:AF160,"u")+COUNTIF($E160:AF160,"t")+COUNTIF($E160:AF160,"¶")+COUNTIF($E160:AF160,"²")+COUNTIF($E160:AF160,"µ")+COUNTIF($E160:AF160,1),ColDescriptionCourte)),""),
  "")),"")</f>
        <v/>
      </c>
    </row>
    <row r="161" spans="3:33" ht="14.25" customHeight="1">
      <c r="C161" s="1" t="str">
        <f t="shared" ca="1" si="52"/>
        <v/>
      </c>
      <c r="D161" s="1" t="str">
        <f t="shared" ca="1" si="53"/>
        <v/>
      </c>
      <c r="E161" s="35" t="str">
        <f t="shared" ca="1" si="51"/>
        <v/>
      </c>
      <c r="F161" s="39" t="str">
        <f ca="1">IFERROR(IF(AND(
  INDEX(Roadmap!$D:$K,MATCH($E161,Roadmap!$D:$D,0)+COUNTIF($E161:E161,"u")+COUNTIF($E161:E161,"t")+COUNTIF($E161:E161,"¶")+COUNTIF($E161:E161,"²")+COUNTIF($E161:E161,"µ")+COUNTIF($E161:E161,1),ColLivraison)=F$6,
  VLOOKUP($E161,INDIRECT("tri!"&amp; CHAR(64+ C0Col) &amp;":"&amp; CHAR(65+C0Col)),2,FALSE)&gt;COUNTIF($E161:E161,"u")+COUNTIF($E161:E161,"t")+COUNTIF($E161:E161,"¶")+COUNTIF($E161:E161,"²")+COUNTIF($E161:E161,"µ")+COUNTIF($E161:E161,1)),
HYPERLINK("#Roadmap!C"&amp; MATCH($E161,Roadmap!$D:$D,0)+COUNTIF($E161:E161,"u")+COUNTIF($E161:E161,"t"),
     INDEX(Roadmap!$D:$K,MATCH($E161,Roadmap!$D:$D,0)+COUNTIF($E161:E161,"u")+COUNTIF($E161:E161,"t")+COUNTIF($E161:E161,"¶")+COUNTIF($E161:E161,"²")+COUNTIF($E161:E161,"µ")+COUNTIF($E161:E161,1),ColTypeEcheance)),
  IF(LEN(E161)=1,
  IF(LEN(INDEX(Roadmap!$D:$K,MATCH($E161,Roadmap!$D:$D,0)-1+COUNTIF($E161:E161,"u")+COUNTIF($E161:E161,"t")+COUNTIF($E161:E161,"¶")+COUNTIF($E161:E161,"²")+COUNTIF($E161:E161,"µ")+COUNTIF($E161:E161,1),ColDescriptionCourte))&gt;1,
HYPERLINK("#Roadmap!C"&amp; MATCH($E161,Roadmap!$D:$D,0)+COUNTIF($E161:E161,"u")+COUNTIF($E161:E161,"t")+COUNTIF($E161:E161,"¶")+COUNTIF($E161:E161,"²")+COUNTIF($E161:E161,"µ")+COUNTIF($E161:E161,1)-1,INDEX(Roadmap!$D:$K,MATCH($E161,Roadmap!$D:$D,0)-1+COUNTIF($E161:E161,"u")+COUNTIF($E161:E161,"t")+COUNTIF($E161:E161,"¶")+COUNTIF($E161:E161,"²")+COUNTIF($E161:E161,"µ")+COUNTIF($E161:E161,1),ColDescriptionCourte)),""),
  "")),"")</f>
        <v/>
      </c>
      <c r="G161" s="40" t="str">
        <f ca="1">IFERROR(IF(AND(
  INDEX(Roadmap!$D:$K,MATCH($E161,Roadmap!$D:$D,0)+COUNTIF($E161:F161,"u")+COUNTIF($E161:F161,"t")+COUNTIF($E161:F161,"¶")+COUNTIF($E161:F161,"²")+COUNTIF($E161:F161,"µ")+COUNTIF($E161:F161,1),ColLivraison)=G$6,
  VLOOKUP($E161,INDIRECT("tri!"&amp; CHAR(64+ C0Col) &amp;":"&amp; CHAR(65+C0Col)),2,FALSE)&gt;COUNTIF($E161:F161,"u")+COUNTIF($E161:F161,"t")+COUNTIF($E161:F161,"¶")+COUNTIF($E161:F161,"²")+COUNTIF($E161:F161,"µ")+COUNTIF($E161:F161,1)),
HYPERLINK("#Roadmap!C"&amp; MATCH($E161,Roadmap!$D:$D,0)+COUNTIF($E161:F161,"u")+COUNTIF($E161:F161,"t"),
     INDEX(Roadmap!$D:$K,MATCH($E161,Roadmap!$D:$D,0)+COUNTIF($E161:F161,"u")+COUNTIF($E161:F161,"t")+COUNTIF($E161:F161,"¶")+COUNTIF($E161:F161,"²")+COUNTIF($E161:F161,"µ")+COUNTIF($E161:F161,1),ColTypeEcheance)),
  IF(LEN(F161)=1,
  IF(LEN(INDEX(Roadmap!$D:$K,MATCH($E161,Roadmap!$D:$D,0)-1+COUNTIF($E161:F161,"u")+COUNTIF($E161:F161,"t")+COUNTIF($E161:F161,"¶")+COUNTIF($E161:F161,"²")+COUNTIF($E161:F161,"µ")+COUNTIF($E161:F161,1),ColDescriptionCourte))&gt;1,
HYPERLINK("#Roadmap!C"&amp; MATCH($E161,Roadmap!$D:$D,0)+COUNTIF($E161:F161,"u")+COUNTIF($E161:F161,"t")+COUNTIF($E161:F161,"¶")+COUNTIF($E161:F161,"²")+COUNTIF($E161:F161,"µ")+COUNTIF($E161:F161,1)-1,INDEX(Roadmap!$D:$K,MATCH($E161,Roadmap!$D:$D,0)-1+COUNTIF($E161:F161,"u")+COUNTIF($E161:F161,"t")+COUNTIF($E161:F161,"¶")+COUNTIF($E161:F161,"²")+COUNTIF($E161:F161,"µ")+COUNTIF($E161:F161,1),ColDescriptionCourte)),""),
  "")),"")</f>
        <v/>
      </c>
      <c r="H161" s="40" t="str">
        <f ca="1">IFERROR(IF(AND(
  INDEX(Roadmap!$D:$K,MATCH($E161,Roadmap!$D:$D,0)+COUNTIF($E161:G161,"u")+COUNTIF($E161:G161,"t")+COUNTIF($E161:G161,"¶")+COUNTIF($E161:G161,"²")+COUNTIF($E161:G161,"µ")+COUNTIF($E161:G161,1),ColLivraison)=H$6,
  VLOOKUP($E161,INDIRECT("tri!"&amp; CHAR(64+ C0Col) &amp;":"&amp; CHAR(65+C0Col)),2,FALSE)&gt;COUNTIF($E161:G161,"u")+COUNTIF($E161:G161,"t")+COUNTIF($E161:G161,"¶")+COUNTIF($E161:G161,"²")+COUNTIF($E161:G161,"µ")+COUNTIF($E161:G161,1)),
HYPERLINK("#Roadmap!C"&amp; MATCH($E161,Roadmap!$D:$D,0)+COUNTIF($E161:G161,"u")+COUNTIF($E161:G161,"t"),
     INDEX(Roadmap!$D:$K,MATCH($E161,Roadmap!$D:$D,0)+COUNTIF($E161:G161,"u")+COUNTIF($E161:G161,"t")+COUNTIF($E161:G161,"¶")+COUNTIF($E161:G161,"²")+COUNTIF($E161:G161,"µ")+COUNTIF($E161:G161,1),ColTypeEcheance)),
  IF(LEN(G161)=1,
  IF(LEN(INDEX(Roadmap!$D:$K,MATCH($E161,Roadmap!$D:$D,0)-1+COUNTIF($E161:G161,"u")+COUNTIF($E161:G161,"t")+COUNTIF($E161:G161,"¶")+COUNTIF($E161:G161,"²")+COUNTIF($E161:G161,"µ")+COUNTIF($E161:G161,1),ColDescriptionCourte))&gt;1,
HYPERLINK("#Roadmap!C"&amp; MATCH($E161,Roadmap!$D:$D,0)+COUNTIF($E161:G161,"u")+COUNTIF($E161:G161,"t")+COUNTIF($E161:G161,"¶")+COUNTIF($E161:G161,"²")+COUNTIF($E161:G161,"µ")+COUNTIF($E161:G161,1)-1,INDEX(Roadmap!$D:$K,MATCH($E161,Roadmap!$D:$D,0)-1+COUNTIF($E161:G161,"u")+COUNTIF($E161:G161,"t")+COUNTIF($E161:G161,"¶")+COUNTIF($E161:G161,"²")+COUNTIF($E161:G161,"µ")+COUNTIF($E161:G161,1),ColDescriptionCourte)),""),
  "")),"")</f>
        <v/>
      </c>
      <c r="I161" s="40" t="str">
        <f ca="1">IFERROR(IF(AND(
  INDEX(Roadmap!$D:$K,MATCH($E161,Roadmap!$D:$D,0)+COUNTIF($E161:H161,"u")+COUNTIF($E161:H161,"t")+COUNTIF($E161:H161,"¶")+COUNTIF($E161:H161,"²")+COUNTIF($E161:H161,"µ")+COUNTIF($E161:H161,1),ColLivraison)=I$6,
  VLOOKUP($E161,INDIRECT("tri!"&amp; CHAR(64+ C0Col) &amp;":"&amp; CHAR(65+C0Col)),2,FALSE)&gt;COUNTIF($E161:H161,"u")+COUNTIF($E161:H161,"t")+COUNTIF($E161:H161,"¶")+COUNTIF($E161:H161,"²")+COUNTIF($E161:H161,"µ")+COUNTIF($E161:H161,1)),
HYPERLINK("#Roadmap!C"&amp; MATCH($E161,Roadmap!$D:$D,0)+COUNTIF($E161:H161,"u")+COUNTIF($E161:H161,"t"),
     INDEX(Roadmap!$D:$K,MATCH($E161,Roadmap!$D:$D,0)+COUNTIF($E161:H161,"u")+COUNTIF($E161:H161,"t")+COUNTIF($E161:H161,"¶")+COUNTIF($E161:H161,"²")+COUNTIF($E161:H161,"µ")+COUNTIF($E161:H161,1),ColTypeEcheance)),
  IF(LEN(H161)=1,
  IF(LEN(INDEX(Roadmap!$D:$K,MATCH($E161,Roadmap!$D:$D,0)-1+COUNTIF($E161:H161,"u")+COUNTIF($E161:H161,"t")+COUNTIF($E161:H161,"¶")+COUNTIF($E161:H161,"²")+COUNTIF($E161:H161,"µ")+COUNTIF($E161:H161,1),ColDescriptionCourte))&gt;1,
HYPERLINK("#Roadmap!C"&amp; MATCH($E161,Roadmap!$D:$D,0)+COUNTIF($E161:H161,"u")+COUNTIF($E161:H161,"t")+COUNTIF($E161:H161,"¶")+COUNTIF($E161:H161,"²")+COUNTIF($E161:H161,"µ")+COUNTIF($E161:H161,1)-1,INDEX(Roadmap!$D:$K,MATCH($E161,Roadmap!$D:$D,0)-1+COUNTIF($E161:H161,"u")+COUNTIF($E161:H161,"t")+COUNTIF($E161:H161,"¶")+COUNTIF($E161:H161,"²")+COUNTIF($E161:H161,"µ")+COUNTIF($E161:H161,1),ColDescriptionCourte)),""),
  "")),"")</f>
        <v/>
      </c>
      <c r="J161" s="40" t="str">
        <f ca="1">IFERROR(IF(AND(
  INDEX(Roadmap!$D:$K,MATCH($E161,Roadmap!$D:$D,0)+COUNTIF($E161:I161,"u")+COUNTIF($E161:I161,"t")+COUNTIF($E161:I161,"¶")+COUNTIF($E161:I161,"²")+COUNTIF($E161:I161,"µ")+COUNTIF($E161:I161,1),ColLivraison)=J$6,
  VLOOKUP($E161,INDIRECT("tri!"&amp; CHAR(64+ C0Col) &amp;":"&amp; CHAR(65+C0Col)),2,FALSE)&gt;COUNTIF($E161:I161,"u")+COUNTIF($E161:I161,"t")+COUNTIF($E161:I161,"¶")+COUNTIF($E161:I161,"²")+COUNTIF($E161:I161,"µ")+COUNTIF($E161:I161,1)),
HYPERLINK("#Roadmap!C"&amp; MATCH($E161,Roadmap!$D:$D,0)+COUNTIF($E161:I161,"u")+COUNTIF($E161:I161,"t"),
     INDEX(Roadmap!$D:$K,MATCH($E161,Roadmap!$D:$D,0)+COUNTIF($E161:I161,"u")+COUNTIF($E161:I161,"t")+COUNTIF($E161:I161,"¶")+COUNTIF($E161:I161,"²")+COUNTIF($E161:I161,"µ")+COUNTIF($E161:I161,1),ColTypeEcheance)),
  IF(LEN(I161)=1,
  IF(LEN(INDEX(Roadmap!$D:$K,MATCH($E161,Roadmap!$D:$D,0)-1+COUNTIF($E161:I161,"u")+COUNTIF($E161:I161,"t")+COUNTIF($E161:I161,"¶")+COUNTIF($E161:I161,"²")+COUNTIF($E161:I161,"µ")+COUNTIF($E161:I161,1),ColDescriptionCourte))&gt;1,
HYPERLINK("#Roadmap!C"&amp; MATCH($E161,Roadmap!$D:$D,0)+COUNTIF($E161:I161,"u")+COUNTIF($E161:I161,"t")+COUNTIF($E161:I161,"¶")+COUNTIF($E161:I161,"²")+COUNTIF($E161:I161,"µ")+COUNTIF($E161:I161,1)-1,INDEX(Roadmap!$D:$K,MATCH($E161,Roadmap!$D:$D,0)-1+COUNTIF($E161:I161,"u")+COUNTIF($E161:I161,"t")+COUNTIF($E161:I161,"¶")+COUNTIF($E161:I161,"²")+COUNTIF($E161:I161,"µ")+COUNTIF($E161:I161,1),ColDescriptionCourte)),""),
  "")),"")</f>
        <v/>
      </c>
      <c r="K161" s="40" t="str">
        <f ca="1">IFERROR(IF(AND(
  INDEX(Roadmap!$D:$K,MATCH($E161,Roadmap!$D:$D,0)+COUNTIF($E161:J161,"u")+COUNTIF($E161:J161,"t")+COUNTIF($E161:J161,"¶")+COUNTIF($E161:J161,"²")+COUNTIF($E161:J161,"µ")+COUNTIF($E161:J161,1),ColLivraison)=K$6,
  VLOOKUP($E161,INDIRECT("tri!"&amp; CHAR(64+ C0Col) &amp;":"&amp; CHAR(65+C0Col)),2,FALSE)&gt;COUNTIF($E161:J161,"u")+COUNTIF($E161:J161,"t")+COUNTIF($E161:J161,"¶")+COUNTIF($E161:J161,"²")+COUNTIF($E161:J161,"µ")+COUNTIF($E161:J161,1)),
HYPERLINK("#Roadmap!C"&amp; MATCH($E161,Roadmap!$D:$D,0)+COUNTIF($E161:J161,"u")+COUNTIF($E161:J161,"t"),
     INDEX(Roadmap!$D:$K,MATCH($E161,Roadmap!$D:$D,0)+COUNTIF($E161:J161,"u")+COUNTIF($E161:J161,"t")+COUNTIF($E161:J161,"¶")+COUNTIF($E161:J161,"²")+COUNTIF($E161:J161,"µ")+COUNTIF($E161:J161,1),ColTypeEcheance)),
  IF(LEN(J161)=1,
  IF(LEN(INDEX(Roadmap!$D:$K,MATCH($E161,Roadmap!$D:$D,0)-1+COUNTIF($E161:J161,"u")+COUNTIF($E161:J161,"t")+COUNTIF($E161:J161,"¶")+COUNTIF($E161:J161,"²")+COUNTIF($E161:J161,"µ")+COUNTIF($E161:J161,1),ColDescriptionCourte))&gt;1,
HYPERLINK("#Roadmap!C"&amp; MATCH($E161,Roadmap!$D:$D,0)+COUNTIF($E161:J161,"u")+COUNTIF($E161:J161,"t")+COUNTIF($E161:J161,"¶")+COUNTIF($E161:J161,"²")+COUNTIF($E161:J161,"µ")+COUNTIF($E161:J161,1)-1,INDEX(Roadmap!$D:$K,MATCH($E161,Roadmap!$D:$D,0)-1+COUNTIF($E161:J161,"u")+COUNTIF($E161:J161,"t")+COUNTIF($E161:J161,"¶")+COUNTIF($E161:J161,"²")+COUNTIF($E161:J161,"µ")+COUNTIF($E161:J161,1),ColDescriptionCourte)),""),
  "")),"")</f>
        <v/>
      </c>
      <c r="L161" s="39" t="str">
        <f ca="1">IFERROR(IF(AND(
  INDEX(Roadmap!$D:$K,MATCH($E161,Roadmap!$D:$D,0)+COUNTIF($E161:K161,"u")+COUNTIF($E161:K161,"t")+COUNTIF($E161:K161,"¶")+COUNTIF($E161:K161,"²")+COUNTIF($E161:K161,"µ")+COUNTIF($E161:K161,1),ColLivraison)=L$6,
  VLOOKUP($E161,INDIRECT("tri!"&amp; CHAR(64+ C0Col) &amp;":"&amp; CHAR(65+C0Col)),2,FALSE)&gt;COUNTIF($E161:K161,"u")+COUNTIF($E161:K161,"t")+COUNTIF($E161:K161,"¶")+COUNTIF($E161:K161,"²")+COUNTIF($E161:K161,"µ")+COUNTIF($E161:K161,1)),
HYPERLINK("#Roadmap!C"&amp; MATCH($E161,Roadmap!$D:$D,0)+COUNTIF($E161:K161,"u")+COUNTIF($E161:K161,"t"),
     INDEX(Roadmap!$D:$K,MATCH($E161,Roadmap!$D:$D,0)+COUNTIF($E161:K161,"u")+COUNTIF($E161:K161,"t")+COUNTIF($E161:K161,"¶")+COUNTIF($E161:K161,"²")+COUNTIF($E161:K161,"µ")+COUNTIF($E161:K161,1),ColTypeEcheance)),
  IF(LEN(K161)=1,
  IF(LEN(INDEX(Roadmap!$D:$K,MATCH($E161,Roadmap!$D:$D,0)-1+COUNTIF($E161:K161,"u")+COUNTIF($E161:K161,"t")+COUNTIF($E161:K161,"¶")+COUNTIF($E161:K161,"²")+COUNTIF($E161:K161,"µ")+COUNTIF($E161:K161,1),ColDescriptionCourte))&gt;1,
HYPERLINK("#Roadmap!C"&amp; MATCH($E161,Roadmap!$D:$D,0)+COUNTIF($E161:K161,"u")+COUNTIF($E161:K161,"t")+COUNTIF($E161:K161,"¶")+COUNTIF($E161:K161,"²")+COUNTIF($E161:K161,"µ")+COUNTIF($E161:K161,1)-1,INDEX(Roadmap!$D:$K,MATCH($E161,Roadmap!$D:$D,0)-1+COUNTIF($E161:K161,"u")+COUNTIF($E161:K161,"t")+COUNTIF($E161:K161,"¶")+COUNTIF($E161:K161,"²")+COUNTIF($E161:K161,"µ")+COUNTIF($E161:K161,1),ColDescriptionCourte)),""),
  "")),"")</f>
        <v/>
      </c>
      <c r="M161" s="40" t="str">
        <f ca="1">IFERROR(IF(AND(
  INDEX(Roadmap!$D:$K,MATCH($E161,Roadmap!$D:$D,0)+COUNTIF($E161:L161,"u")+COUNTIF($E161:L161,"t")+COUNTIF($E161:L161,"¶")+COUNTIF($E161:L161,"²")+COUNTIF($E161:L161,"µ")+COUNTIF($E161:L161,1),ColLivraison)=M$6,
  VLOOKUP($E161,INDIRECT("tri!"&amp; CHAR(64+ C0Col) &amp;":"&amp; CHAR(65+C0Col)),2,FALSE)&gt;COUNTIF($E161:L161,"u")+COUNTIF($E161:L161,"t")+COUNTIF($E161:L161,"¶")+COUNTIF($E161:L161,"²")+COUNTIF($E161:L161,"µ")+COUNTIF($E161:L161,1)),
HYPERLINK("#Roadmap!C"&amp; MATCH($E161,Roadmap!$D:$D,0)+COUNTIF($E161:L161,"u")+COUNTIF($E161:L161,"t"),
     INDEX(Roadmap!$D:$K,MATCH($E161,Roadmap!$D:$D,0)+COUNTIF($E161:L161,"u")+COUNTIF($E161:L161,"t")+COUNTIF($E161:L161,"¶")+COUNTIF($E161:L161,"²")+COUNTIF($E161:L161,"µ")+COUNTIF($E161:L161,1),ColTypeEcheance)),
  IF(LEN(L161)=1,
  IF(LEN(INDEX(Roadmap!$D:$K,MATCH($E161,Roadmap!$D:$D,0)-1+COUNTIF($E161:L161,"u")+COUNTIF($E161:L161,"t")+COUNTIF($E161:L161,"¶")+COUNTIF($E161:L161,"²")+COUNTIF($E161:L161,"µ")+COUNTIF($E161:L161,1),ColDescriptionCourte))&gt;1,
HYPERLINK("#Roadmap!C"&amp; MATCH($E161,Roadmap!$D:$D,0)+COUNTIF($E161:L161,"u")+COUNTIF($E161:L161,"t")+COUNTIF($E161:L161,"¶")+COUNTIF($E161:L161,"²")+COUNTIF($E161:L161,"µ")+COUNTIF($E161:L161,1)-1,INDEX(Roadmap!$D:$K,MATCH($E161,Roadmap!$D:$D,0)-1+COUNTIF($E161:L161,"u")+COUNTIF($E161:L161,"t")+COUNTIF($E161:L161,"¶")+COUNTIF($E161:L161,"²")+COUNTIF($E161:L161,"µ")+COUNTIF($E161:L161,1),ColDescriptionCourte)),""),
  "")),"")</f>
        <v/>
      </c>
      <c r="N161" s="40" t="str">
        <f ca="1">IFERROR(IF(AND(
  INDEX(Roadmap!$D:$K,MATCH($E161,Roadmap!$D:$D,0)+COUNTIF($E161:M161,"u")+COUNTIF($E161:M161,"t")+COUNTIF($E161:M161,"¶")+COUNTIF($E161:M161,"²")+COUNTIF($E161:M161,"µ")+COUNTIF($E161:M161,1),ColLivraison)=N$6,
  VLOOKUP($E161,INDIRECT("tri!"&amp; CHAR(64+ C0Col) &amp;":"&amp; CHAR(65+C0Col)),2,FALSE)&gt;COUNTIF($E161:M161,"u")+COUNTIF($E161:M161,"t")+COUNTIF($E161:M161,"¶")+COUNTIF($E161:M161,"²")+COUNTIF($E161:M161,"µ")+COUNTIF($E161:M161,1)),
HYPERLINK("#Roadmap!C"&amp; MATCH($E161,Roadmap!$D:$D,0)+COUNTIF($E161:M161,"u")+COUNTIF($E161:M161,"t"),
     INDEX(Roadmap!$D:$K,MATCH($E161,Roadmap!$D:$D,0)+COUNTIF($E161:M161,"u")+COUNTIF($E161:M161,"t")+COUNTIF($E161:M161,"¶")+COUNTIF($E161:M161,"²")+COUNTIF($E161:M161,"µ")+COUNTIF($E161:M161,1),ColTypeEcheance)),
  IF(LEN(M161)=1,
  IF(LEN(INDEX(Roadmap!$D:$K,MATCH($E161,Roadmap!$D:$D,0)-1+COUNTIF($E161:M161,"u")+COUNTIF($E161:M161,"t")+COUNTIF($E161:M161,"¶")+COUNTIF($E161:M161,"²")+COUNTIF($E161:M161,"µ")+COUNTIF($E161:M161,1),ColDescriptionCourte))&gt;1,
HYPERLINK("#Roadmap!C"&amp; MATCH($E161,Roadmap!$D:$D,0)+COUNTIF($E161:M161,"u")+COUNTIF($E161:M161,"t")+COUNTIF($E161:M161,"¶")+COUNTIF($E161:M161,"²")+COUNTIF($E161:M161,"µ")+COUNTIF($E161:M161,1)-1,INDEX(Roadmap!$D:$K,MATCH($E161,Roadmap!$D:$D,0)-1+COUNTIF($E161:M161,"u")+COUNTIF($E161:M161,"t")+COUNTIF($E161:M161,"¶")+COUNTIF($E161:M161,"²")+COUNTIF($E161:M161,"µ")+COUNTIF($E161:M161,1),ColDescriptionCourte)),""),
  "")),"")</f>
        <v/>
      </c>
      <c r="O161" s="40" t="str">
        <f ca="1">IFERROR(IF(AND(
  INDEX(Roadmap!$D:$K,MATCH($E161,Roadmap!$D:$D,0)+COUNTIF($E161:N161,"u")+COUNTIF($E161:N161,"t")+COUNTIF($E161:N161,"¶")+COUNTIF($E161:N161,"²")+COUNTIF($E161:N161,"µ")+COUNTIF($E161:N161,1),ColLivraison)=O$6,
  VLOOKUP($E161,INDIRECT("tri!"&amp; CHAR(64+ C0Col) &amp;":"&amp; CHAR(65+C0Col)),2,FALSE)&gt;COUNTIF($E161:N161,"u")+COUNTIF($E161:N161,"t")+COUNTIF($E161:N161,"¶")+COUNTIF($E161:N161,"²")+COUNTIF($E161:N161,"µ")+COUNTIF($E161:N161,1)),
HYPERLINK("#Roadmap!C"&amp; MATCH($E161,Roadmap!$D:$D,0)+COUNTIF($E161:N161,"u")+COUNTIF($E161:N161,"t"),
     INDEX(Roadmap!$D:$K,MATCH($E161,Roadmap!$D:$D,0)+COUNTIF($E161:N161,"u")+COUNTIF($E161:N161,"t")+COUNTIF($E161:N161,"¶")+COUNTIF($E161:N161,"²")+COUNTIF($E161:N161,"µ")+COUNTIF($E161:N161,1),ColTypeEcheance)),
  IF(LEN(N161)=1,
  IF(LEN(INDEX(Roadmap!$D:$K,MATCH($E161,Roadmap!$D:$D,0)-1+COUNTIF($E161:N161,"u")+COUNTIF($E161:N161,"t")+COUNTIF($E161:N161,"¶")+COUNTIF($E161:N161,"²")+COUNTIF($E161:N161,"µ")+COUNTIF($E161:N161,1),ColDescriptionCourte))&gt;1,
HYPERLINK("#Roadmap!C"&amp; MATCH($E161,Roadmap!$D:$D,0)+COUNTIF($E161:N161,"u")+COUNTIF($E161:N161,"t")+COUNTIF($E161:N161,"¶")+COUNTIF($E161:N161,"²")+COUNTIF($E161:N161,"µ")+COUNTIF($E161:N161,1)-1,INDEX(Roadmap!$D:$K,MATCH($E161,Roadmap!$D:$D,0)-1+COUNTIF($E161:N161,"u")+COUNTIF($E161:N161,"t")+COUNTIF($E161:N161,"¶")+COUNTIF($E161:N161,"²")+COUNTIF($E161:N161,"µ")+COUNTIF($E161:N161,1),ColDescriptionCourte)),""),
  "")),"")</f>
        <v/>
      </c>
      <c r="P161" s="40" t="str">
        <f ca="1">IFERROR(IF(AND(
  INDEX(Roadmap!$D:$K,MATCH($E161,Roadmap!$D:$D,0)+COUNTIF($E161:O161,"u")+COUNTIF($E161:O161,"t")+COUNTIF($E161:O161,"¶")+COUNTIF($E161:O161,"²")+COUNTIF($E161:O161,"µ")+COUNTIF($E161:O161,1),ColLivraison)=P$6,
  VLOOKUP($E161,INDIRECT("tri!"&amp; CHAR(64+ C0Col) &amp;":"&amp; CHAR(65+C0Col)),2,FALSE)&gt;COUNTIF($E161:O161,"u")+COUNTIF($E161:O161,"t")+COUNTIF($E161:O161,"¶")+COUNTIF($E161:O161,"²")+COUNTIF($E161:O161,"µ")+COUNTIF($E161:O161,1)),
HYPERLINK("#Roadmap!C"&amp; MATCH($E161,Roadmap!$D:$D,0)+COUNTIF($E161:O161,"u")+COUNTIF($E161:O161,"t"),
     INDEX(Roadmap!$D:$K,MATCH($E161,Roadmap!$D:$D,0)+COUNTIF($E161:O161,"u")+COUNTIF($E161:O161,"t")+COUNTIF($E161:O161,"¶")+COUNTIF($E161:O161,"²")+COUNTIF($E161:O161,"µ")+COUNTIF($E161:O161,1),ColTypeEcheance)),
  IF(LEN(O161)=1,
  IF(LEN(INDEX(Roadmap!$D:$K,MATCH($E161,Roadmap!$D:$D,0)-1+COUNTIF($E161:O161,"u")+COUNTIF($E161:O161,"t")+COUNTIF($E161:O161,"¶")+COUNTIF($E161:O161,"²")+COUNTIF($E161:O161,"µ")+COUNTIF($E161:O161,1),ColDescriptionCourte))&gt;1,
HYPERLINK("#Roadmap!C"&amp; MATCH($E161,Roadmap!$D:$D,0)+COUNTIF($E161:O161,"u")+COUNTIF($E161:O161,"t")+COUNTIF($E161:O161,"¶")+COUNTIF($E161:O161,"²")+COUNTIF($E161:O161,"µ")+COUNTIF($E161:O161,1)-1,INDEX(Roadmap!$D:$K,MATCH($E161,Roadmap!$D:$D,0)-1+COUNTIF($E161:O161,"u")+COUNTIF($E161:O161,"t")+COUNTIF($E161:O161,"¶")+COUNTIF($E161:O161,"²")+COUNTIF($E161:O161,"µ")+COUNTIF($E161:O161,1),ColDescriptionCourte)),""),
  "")),"")</f>
        <v/>
      </c>
      <c r="Q161" s="40" t="str">
        <f ca="1">IFERROR(IF(AND(
  INDEX(Roadmap!$D:$K,MATCH($E161,Roadmap!$D:$D,0)+COUNTIF($E161:P161,"u")+COUNTIF($E161:P161,"t")+COUNTIF($E161:P161,"¶")+COUNTIF($E161:P161,"²")+COUNTIF($E161:P161,"µ")+COUNTIF($E161:P161,1),ColLivraison)=Q$6,
  VLOOKUP($E161,INDIRECT("tri!"&amp; CHAR(64+ C0Col) &amp;":"&amp; CHAR(65+C0Col)),2,FALSE)&gt;COUNTIF($E161:P161,"u")+COUNTIF($E161:P161,"t")+COUNTIF($E161:P161,"¶")+COUNTIF($E161:P161,"²")+COUNTIF($E161:P161,"µ")+COUNTIF($E161:P161,1)),
HYPERLINK("#Roadmap!C"&amp; MATCH($E161,Roadmap!$D:$D,0)+COUNTIF($E161:P161,"u")+COUNTIF($E161:P161,"t"),
     INDEX(Roadmap!$D:$K,MATCH($E161,Roadmap!$D:$D,0)+COUNTIF($E161:P161,"u")+COUNTIF($E161:P161,"t")+COUNTIF($E161:P161,"¶")+COUNTIF($E161:P161,"²")+COUNTIF($E161:P161,"µ")+COUNTIF($E161:P161,1),ColTypeEcheance)),
  IF(LEN(P161)=1,
  IF(LEN(INDEX(Roadmap!$D:$K,MATCH($E161,Roadmap!$D:$D,0)-1+COUNTIF($E161:P161,"u")+COUNTIF($E161:P161,"t")+COUNTIF($E161:P161,"¶")+COUNTIF($E161:P161,"²")+COUNTIF($E161:P161,"µ")+COUNTIF($E161:P161,1),ColDescriptionCourte))&gt;1,
HYPERLINK("#Roadmap!C"&amp; MATCH($E161,Roadmap!$D:$D,0)+COUNTIF($E161:P161,"u")+COUNTIF($E161:P161,"t")+COUNTIF($E161:P161,"¶")+COUNTIF($E161:P161,"²")+COUNTIF($E161:P161,"µ")+COUNTIF($E161:P161,1)-1,INDEX(Roadmap!$D:$K,MATCH($E161,Roadmap!$D:$D,0)-1+COUNTIF($E161:P161,"u")+COUNTIF($E161:P161,"t")+COUNTIF($E161:P161,"¶")+COUNTIF($E161:P161,"²")+COUNTIF($E161:P161,"µ")+COUNTIF($E161:P161,1),ColDescriptionCourte)),""),
  "")),"")</f>
        <v/>
      </c>
      <c r="R161" s="40" t="str">
        <f ca="1">IFERROR(IF(AND(
  INDEX(Roadmap!$D:$K,MATCH($E161,Roadmap!$D:$D,0)+COUNTIF($E161:Q161,"u")+COUNTIF($E161:Q161,"t")+COUNTIF($E161:Q161,"¶")+COUNTIF($E161:Q161,"²")+COUNTIF($E161:Q161,"µ")+COUNTIF($E161:Q161,1),ColLivraison)=R$6,
  VLOOKUP($E161,INDIRECT("tri!"&amp; CHAR(64+ C0Col) &amp;":"&amp; CHAR(65+C0Col)),2,FALSE)&gt;COUNTIF($E161:Q161,"u")+COUNTIF($E161:Q161,"t")+COUNTIF($E161:Q161,"¶")+COUNTIF($E161:Q161,"²")+COUNTIF($E161:Q161,"µ")+COUNTIF($E161:Q161,1)),
HYPERLINK("#Roadmap!C"&amp; MATCH($E161,Roadmap!$D:$D,0)+COUNTIF($E161:Q161,"u")+COUNTIF($E161:Q161,"t"),
     INDEX(Roadmap!$D:$K,MATCH($E161,Roadmap!$D:$D,0)+COUNTIF($E161:Q161,"u")+COUNTIF($E161:Q161,"t")+COUNTIF($E161:Q161,"¶")+COUNTIF($E161:Q161,"²")+COUNTIF($E161:Q161,"µ")+COUNTIF($E161:Q161,1),ColTypeEcheance)),
  IF(LEN(Q161)=1,
  IF(LEN(INDEX(Roadmap!$D:$K,MATCH($E161,Roadmap!$D:$D,0)-1+COUNTIF($E161:Q161,"u")+COUNTIF($E161:Q161,"t")+COUNTIF($E161:Q161,"¶")+COUNTIF($E161:Q161,"²")+COUNTIF($E161:Q161,"µ")+COUNTIF($E161:Q161,1),ColDescriptionCourte))&gt;1,
HYPERLINK("#Roadmap!C"&amp; MATCH($E161,Roadmap!$D:$D,0)+COUNTIF($E161:Q161,"u")+COUNTIF($E161:Q161,"t")+COUNTIF($E161:Q161,"¶")+COUNTIF($E161:Q161,"²")+COUNTIF($E161:Q161,"µ")+COUNTIF($E161:Q161,1)-1,INDEX(Roadmap!$D:$K,MATCH($E161,Roadmap!$D:$D,0)-1+COUNTIF($E161:Q161,"u")+COUNTIF($E161:Q161,"t")+COUNTIF($E161:Q161,"¶")+COUNTIF($E161:Q161,"²")+COUNTIF($E161:Q161,"µ")+COUNTIF($E161:Q161,1),ColDescriptionCourte)),""),
  "")),"")</f>
        <v/>
      </c>
      <c r="S161" s="40" t="str">
        <f ca="1">IFERROR(IF(AND(
  INDEX(Roadmap!$D:$K,MATCH($E161,Roadmap!$D:$D,0)+COUNTIF($E161:R161,"u")+COUNTIF($E161:R161,"t")+COUNTIF($E161:R161,"¶")+COUNTIF($E161:R161,"²")+COUNTIF($E161:R161,"µ")+COUNTIF($E161:R161,1),ColLivraison)=S$6,
  VLOOKUP($E161,INDIRECT("tri!"&amp; CHAR(64+ C0Col) &amp;":"&amp; CHAR(65+C0Col)),2,FALSE)&gt;COUNTIF($E161:R161,"u")+COUNTIF($E161:R161,"t")+COUNTIF($E161:R161,"¶")+COUNTIF($E161:R161,"²")+COUNTIF($E161:R161,"µ")+COUNTIF($E161:R161,1)),
HYPERLINK("#Roadmap!C"&amp; MATCH($E161,Roadmap!$D:$D,0)+COUNTIF($E161:R161,"u")+COUNTIF($E161:R161,"t"),
     INDEX(Roadmap!$D:$K,MATCH($E161,Roadmap!$D:$D,0)+COUNTIF($E161:R161,"u")+COUNTIF($E161:R161,"t")+COUNTIF($E161:R161,"¶")+COUNTIF($E161:R161,"²")+COUNTIF($E161:R161,"µ")+COUNTIF($E161:R161,1),ColTypeEcheance)),
  IF(LEN(R161)=1,
  IF(LEN(INDEX(Roadmap!$D:$K,MATCH($E161,Roadmap!$D:$D,0)-1+COUNTIF($E161:R161,"u")+COUNTIF($E161:R161,"t")+COUNTIF($E161:R161,"¶")+COUNTIF($E161:R161,"²")+COUNTIF($E161:R161,"µ")+COUNTIF($E161:R161,1),ColDescriptionCourte))&gt;1,
HYPERLINK("#Roadmap!C"&amp; MATCH($E161,Roadmap!$D:$D,0)+COUNTIF($E161:R161,"u")+COUNTIF($E161:R161,"t")+COUNTIF($E161:R161,"¶")+COUNTIF($E161:R161,"²")+COUNTIF($E161:R161,"µ")+COUNTIF($E161:R161,1)-1,INDEX(Roadmap!$D:$K,MATCH($E161,Roadmap!$D:$D,0)-1+COUNTIF($E161:R161,"u")+COUNTIF($E161:R161,"t")+COUNTIF($E161:R161,"¶")+COUNTIF($E161:R161,"²")+COUNTIF($E161:R161,"µ")+COUNTIF($E161:R161,1),ColDescriptionCourte)),""),
  "")),"")</f>
        <v/>
      </c>
      <c r="T161" s="40" t="str">
        <f ca="1">IFERROR(IF(AND(
  INDEX(Roadmap!$D:$K,MATCH($E161,Roadmap!$D:$D,0)+COUNTIF($E161:S161,"u")+COUNTIF($E161:S161,"t")+COUNTIF($E161:S161,"¶")+COUNTIF($E161:S161,"²")+COUNTIF($E161:S161,"µ")+COUNTIF($E161:S161,1),ColLivraison)=T$6,
  VLOOKUP($E161,INDIRECT("tri!"&amp; CHAR(64+ C0Col) &amp;":"&amp; CHAR(65+C0Col)),2,FALSE)&gt;COUNTIF($E161:S161,"u")+COUNTIF($E161:S161,"t")+COUNTIF($E161:S161,"¶")+COUNTIF($E161:S161,"²")+COUNTIF($E161:S161,"µ")+COUNTIF($E161:S161,1)),
HYPERLINK("#Roadmap!C"&amp; MATCH($E161,Roadmap!$D:$D,0)+COUNTIF($E161:S161,"u")+COUNTIF($E161:S161,"t"),
     INDEX(Roadmap!$D:$K,MATCH($E161,Roadmap!$D:$D,0)+COUNTIF($E161:S161,"u")+COUNTIF($E161:S161,"t")+COUNTIF($E161:S161,"¶")+COUNTIF($E161:S161,"²")+COUNTIF($E161:S161,"µ")+COUNTIF($E161:S161,1),ColTypeEcheance)),
  IF(LEN(S161)=1,
  IF(LEN(INDEX(Roadmap!$D:$K,MATCH($E161,Roadmap!$D:$D,0)-1+COUNTIF($E161:S161,"u")+COUNTIF($E161:S161,"t")+COUNTIF($E161:S161,"¶")+COUNTIF($E161:S161,"²")+COUNTIF($E161:S161,"µ")+COUNTIF($E161:S161,1),ColDescriptionCourte))&gt;1,
HYPERLINK("#Roadmap!C"&amp; MATCH($E161,Roadmap!$D:$D,0)+COUNTIF($E161:S161,"u")+COUNTIF($E161:S161,"t")+COUNTIF($E161:S161,"¶")+COUNTIF($E161:S161,"²")+COUNTIF($E161:S161,"µ")+COUNTIF($E161:S161,1)-1,INDEX(Roadmap!$D:$K,MATCH($E161,Roadmap!$D:$D,0)-1+COUNTIF($E161:S161,"u")+COUNTIF($E161:S161,"t")+COUNTIF($E161:S161,"¶")+COUNTIF($E161:S161,"²")+COUNTIF($E161:S161,"µ")+COUNTIF($E161:S161,1),ColDescriptionCourte)),""),
  "")),"")</f>
        <v/>
      </c>
      <c r="U161" s="40" t="str">
        <f ca="1">IFERROR(IF(AND(
  INDEX(Roadmap!$D:$K,MATCH($E161,Roadmap!$D:$D,0)+COUNTIF($E161:T161,"u")+COUNTIF($E161:T161,"t")+COUNTIF($E161:T161,"¶")+COUNTIF($E161:T161,"²")+COUNTIF($E161:T161,"µ")+COUNTIF($E161:T161,1),ColLivraison)=U$6,
  VLOOKUP($E161,INDIRECT("tri!"&amp; CHAR(64+ C0Col) &amp;":"&amp; CHAR(65+C0Col)),2,FALSE)&gt;COUNTIF($E161:T161,"u")+COUNTIF($E161:T161,"t")+COUNTIF($E161:T161,"¶")+COUNTIF($E161:T161,"²")+COUNTIF($E161:T161,"µ")+COUNTIF($E161:T161,1)),
HYPERLINK("#Roadmap!C"&amp; MATCH($E161,Roadmap!$D:$D,0)+COUNTIF($E161:T161,"u")+COUNTIF($E161:T161,"t"),
     INDEX(Roadmap!$D:$K,MATCH($E161,Roadmap!$D:$D,0)+COUNTIF($E161:T161,"u")+COUNTIF($E161:T161,"t")+COUNTIF($E161:T161,"¶")+COUNTIF($E161:T161,"²")+COUNTIF($E161:T161,"µ")+COUNTIF($E161:T161,1),ColTypeEcheance)),
  IF(LEN(T161)=1,
  IF(LEN(INDEX(Roadmap!$D:$K,MATCH($E161,Roadmap!$D:$D,0)-1+COUNTIF($E161:T161,"u")+COUNTIF($E161:T161,"t")+COUNTIF($E161:T161,"¶")+COUNTIF($E161:T161,"²")+COUNTIF($E161:T161,"µ")+COUNTIF($E161:T161,1),ColDescriptionCourte))&gt;1,
HYPERLINK("#Roadmap!C"&amp; MATCH($E161,Roadmap!$D:$D,0)+COUNTIF($E161:T161,"u")+COUNTIF($E161:T161,"t")+COUNTIF($E161:T161,"¶")+COUNTIF($E161:T161,"²")+COUNTIF($E161:T161,"µ")+COUNTIF($E161:T161,1)-1,INDEX(Roadmap!$D:$K,MATCH($E161,Roadmap!$D:$D,0)-1+COUNTIF($E161:T161,"u")+COUNTIF($E161:T161,"t")+COUNTIF($E161:T161,"¶")+COUNTIF($E161:T161,"²")+COUNTIF($E161:T161,"µ")+COUNTIF($E161:T161,1),ColDescriptionCourte)),""),
  "")),"")</f>
        <v/>
      </c>
      <c r="V161" s="40" t="str">
        <f ca="1">IFERROR(IF(AND(
  INDEX(Roadmap!$D:$K,MATCH($E161,Roadmap!$D:$D,0)+COUNTIF($E161:U161,"u")+COUNTIF($E161:U161,"t")+COUNTIF($E161:U161,"¶")+COUNTIF($E161:U161,"²")+COUNTIF($E161:U161,"µ")+COUNTIF($E161:U161,1),ColLivraison)=V$6,
  VLOOKUP($E161,INDIRECT("tri!"&amp; CHAR(64+ C0Col) &amp;":"&amp; CHAR(65+C0Col)),2,FALSE)&gt;COUNTIF($E161:U161,"u")+COUNTIF($E161:U161,"t")+COUNTIF($E161:U161,"¶")+COUNTIF($E161:U161,"²")+COUNTIF($E161:U161,"µ")+COUNTIF($E161:U161,1)),
HYPERLINK("#Roadmap!C"&amp; MATCH($E161,Roadmap!$D:$D,0)+COUNTIF($E161:U161,"u")+COUNTIF($E161:U161,"t"),
     INDEX(Roadmap!$D:$K,MATCH($E161,Roadmap!$D:$D,0)+COUNTIF($E161:U161,"u")+COUNTIF($E161:U161,"t")+COUNTIF($E161:U161,"¶")+COUNTIF($E161:U161,"²")+COUNTIF($E161:U161,"µ")+COUNTIF($E161:U161,1),ColTypeEcheance)),
  IF(LEN(U161)=1,
  IF(LEN(INDEX(Roadmap!$D:$K,MATCH($E161,Roadmap!$D:$D,0)-1+COUNTIF($E161:U161,"u")+COUNTIF($E161:U161,"t")+COUNTIF($E161:U161,"¶")+COUNTIF($E161:U161,"²")+COUNTIF($E161:U161,"µ")+COUNTIF($E161:U161,1),ColDescriptionCourte))&gt;1,
HYPERLINK("#Roadmap!C"&amp; MATCH($E161,Roadmap!$D:$D,0)+COUNTIF($E161:U161,"u")+COUNTIF($E161:U161,"t")+COUNTIF($E161:U161,"¶")+COUNTIF($E161:U161,"²")+COUNTIF($E161:U161,"µ")+COUNTIF($E161:U161,1)-1,INDEX(Roadmap!$D:$K,MATCH($E161,Roadmap!$D:$D,0)-1+COUNTIF($E161:U161,"u")+COUNTIF($E161:U161,"t")+COUNTIF($E161:U161,"¶")+COUNTIF($E161:U161,"²")+COUNTIF($E161:U161,"µ")+COUNTIF($E161:U161,1),ColDescriptionCourte)),""),
  "")),"")</f>
        <v/>
      </c>
      <c r="W161" s="40" t="str">
        <f ca="1">IFERROR(IF(AND(
  INDEX(Roadmap!$D:$K,MATCH($E161,Roadmap!$D:$D,0)+COUNTIF($E161:V161,"u")+COUNTIF($E161:V161,"t")+COUNTIF($E161:V161,"¶")+COUNTIF($E161:V161,"²")+COUNTIF($E161:V161,"µ")+COUNTIF($E161:V161,1),ColLivraison)=W$6,
  VLOOKUP($E161,INDIRECT("tri!"&amp; CHAR(64+ C0Col) &amp;":"&amp; CHAR(65+C0Col)),2,FALSE)&gt;COUNTIF($E161:V161,"u")+COUNTIF($E161:V161,"t")+COUNTIF($E161:V161,"¶")+COUNTIF($E161:V161,"²")+COUNTIF($E161:V161,"µ")+COUNTIF($E161:V161,1)),
HYPERLINK("#Roadmap!C"&amp; MATCH($E161,Roadmap!$D:$D,0)+COUNTIF($E161:V161,"u")+COUNTIF($E161:V161,"t"),
     INDEX(Roadmap!$D:$K,MATCH($E161,Roadmap!$D:$D,0)+COUNTIF($E161:V161,"u")+COUNTIF($E161:V161,"t")+COUNTIF($E161:V161,"¶")+COUNTIF($E161:V161,"²")+COUNTIF($E161:V161,"µ")+COUNTIF($E161:V161,1),ColTypeEcheance)),
  IF(LEN(V161)=1,
  IF(LEN(INDEX(Roadmap!$D:$K,MATCH($E161,Roadmap!$D:$D,0)-1+COUNTIF($E161:V161,"u")+COUNTIF($E161:V161,"t")+COUNTIF($E161:V161,"¶")+COUNTIF($E161:V161,"²")+COUNTIF($E161:V161,"µ")+COUNTIF($E161:V161,1),ColDescriptionCourte))&gt;1,
HYPERLINK("#Roadmap!C"&amp; MATCH($E161,Roadmap!$D:$D,0)+COUNTIF($E161:V161,"u")+COUNTIF($E161:V161,"t")+COUNTIF($E161:V161,"¶")+COUNTIF($E161:V161,"²")+COUNTIF($E161:V161,"µ")+COUNTIF($E161:V161,1)-1,INDEX(Roadmap!$D:$K,MATCH($E161,Roadmap!$D:$D,0)-1+COUNTIF($E161:V161,"u")+COUNTIF($E161:V161,"t")+COUNTIF($E161:V161,"¶")+COUNTIF($E161:V161,"²")+COUNTIF($E161:V161,"µ")+COUNTIF($E161:V161,1),ColDescriptionCourte)),""),
  "")),"")</f>
        <v/>
      </c>
      <c r="X161" s="40" t="str">
        <f ca="1">IFERROR(IF(AND(
  INDEX(Roadmap!$D:$K,MATCH($E161,Roadmap!$D:$D,0)+COUNTIF($E161:W161,"u")+COUNTIF($E161:W161,"t")+COUNTIF($E161:W161,"¶")+COUNTIF($E161:W161,"²")+COUNTIF($E161:W161,"µ")+COUNTIF($E161:W161,1),ColLivraison)=X$6,
  VLOOKUP($E161,INDIRECT("tri!"&amp; CHAR(64+ C0Col) &amp;":"&amp; CHAR(65+C0Col)),2,FALSE)&gt;COUNTIF($E161:W161,"u")+COUNTIF($E161:W161,"t")+COUNTIF($E161:W161,"¶")+COUNTIF($E161:W161,"²")+COUNTIF($E161:W161,"µ")+COUNTIF($E161:W161,1)),
HYPERLINK("#Roadmap!C"&amp; MATCH($E161,Roadmap!$D:$D,0)+COUNTIF($E161:W161,"u")+COUNTIF($E161:W161,"t"),
     INDEX(Roadmap!$D:$K,MATCH($E161,Roadmap!$D:$D,0)+COUNTIF($E161:W161,"u")+COUNTIF($E161:W161,"t")+COUNTIF($E161:W161,"¶")+COUNTIF($E161:W161,"²")+COUNTIF($E161:W161,"µ")+COUNTIF($E161:W161,1),ColTypeEcheance)),
  IF(LEN(W161)=1,
  IF(LEN(INDEX(Roadmap!$D:$K,MATCH($E161,Roadmap!$D:$D,0)-1+COUNTIF($E161:W161,"u")+COUNTIF($E161:W161,"t")+COUNTIF($E161:W161,"¶")+COUNTIF($E161:W161,"²")+COUNTIF($E161:W161,"µ")+COUNTIF($E161:W161,1),ColDescriptionCourte))&gt;1,
HYPERLINK("#Roadmap!C"&amp; MATCH($E161,Roadmap!$D:$D,0)+COUNTIF($E161:W161,"u")+COUNTIF($E161:W161,"t")+COUNTIF($E161:W161,"¶")+COUNTIF($E161:W161,"²")+COUNTIF($E161:W161,"µ")+COUNTIF($E161:W161,1)-1,INDEX(Roadmap!$D:$K,MATCH($E161,Roadmap!$D:$D,0)-1+COUNTIF($E161:W161,"u")+COUNTIF($E161:W161,"t")+COUNTIF($E161:W161,"¶")+COUNTIF($E161:W161,"²")+COUNTIF($E161:W161,"µ")+COUNTIF($E161:W161,1),ColDescriptionCourte)),""),
  "")),"")</f>
        <v/>
      </c>
      <c r="Y161" s="40" t="str">
        <f ca="1">IFERROR(IF(AND(
  INDEX(Roadmap!$D:$K,MATCH($E161,Roadmap!$D:$D,0)+COUNTIF($E161:X161,"u")+COUNTIF($E161:X161,"t")+COUNTIF($E161:X161,"¶")+COUNTIF($E161:X161,"²")+COUNTIF($E161:X161,"µ")+COUNTIF($E161:X161,1),ColLivraison)=Y$6,
  VLOOKUP($E161,INDIRECT("tri!"&amp; CHAR(64+ C0Col) &amp;":"&amp; CHAR(65+C0Col)),2,FALSE)&gt;COUNTIF($E161:X161,"u")+COUNTIF($E161:X161,"t")+COUNTIF($E161:X161,"¶")+COUNTIF($E161:X161,"²")+COUNTIF($E161:X161,"µ")+COUNTIF($E161:X161,1)),
HYPERLINK("#Roadmap!C"&amp; MATCH($E161,Roadmap!$D:$D,0)+COUNTIF($E161:X161,"u")+COUNTIF($E161:X161,"t"),
     INDEX(Roadmap!$D:$K,MATCH($E161,Roadmap!$D:$D,0)+COUNTIF($E161:X161,"u")+COUNTIF($E161:X161,"t")+COUNTIF($E161:X161,"¶")+COUNTIF($E161:X161,"²")+COUNTIF($E161:X161,"µ")+COUNTIF($E161:X161,1),ColTypeEcheance)),
  IF(LEN(X161)=1,
  IF(LEN(INDEX(Roadmap!$D:$K,MATCH($E161,Roadmap!$D:$D,0)-1+COUNTIF($E161:X161,"u")+COUNTIF($E161:X161,"t")+COUNTIF($E161:X161,"¶")+COUNTIF($E161:X161,"²")+COUNTIF($E161:X161,"µ")+COUNTIF($E161:X161,1),ColDescriptionCourte))&gt;1,
HYPERLINK("#Roadmap!C"&amp; MATCH($E161,Roadmap!$D:$D,0)+COUNTIF($E161:X161,"u")+COUNTIF($E161:X161,"t")+COUNTIF($E161:X161,"¶")+COUNTIF($E161:X161,"²")+COUNTIF($E161:X161,"µ")+COUNTIF($E161:X161,1)-1,INDEX(Roadmap!$D:$K,MATCH($E161,Roadmap!$D:$D,0)-1+COUNTIF($E161:X161,"u")+COUNTIF($E161:X161,"t")+COUNTIF($E161:X161,"¶")+COUNTIF($E161:X161,"²")+COUNTIF($E161:X161,"µ")+COUNTIF($E161:X161,1),ColDescriptionCourte)),""),
  "")),"")</f>
        <v/>
      </c>
      <c r="Z161" s="40" t="str">
        <f ca="1">IFERROR(IF(AND(
  INDEX(Roadmap!$D:$K,MATCH($E161,Roadmap!$D:$D,0)+COUNTIF($E161:Y161,"u")+COUNTIF($E161:Y161,"t")+COUNTIF($E161:Y161,"¶")+COUNTIF($E161:Y161,"²")+COUNTIF($E161:Y161,"µ")+COUNTIF($E161:Y161,1),ColLivraison)=Z$6,
  VLOOKUP($E161,INDIRECT("tri!"&amp; CHAR(64+ C0Col) &amp;":"&amp; CHAR(65+C0Col)),2,FALSE)&gt;COUNTIF($E161:Y161,"u")+COUNTIF($E161:Y161,"t")+COUNTIF($E161:Y161,"¶")+COUNTIF($E161:Y161,"²")+COUNTIF($E161:Y161,"µ")+COUNTIF($E161:Y161,1)),
HYPERLINK("#Roadmap!C"&amp; MATCH($E161,Roadmap!$D:$D,0)+COUNTIF($E161:Y161,"u")+COUNTIF($E161:Y161,"t"),
     INDEX(Roadmap!$D:$K,MATCH($E161,Roadmap!$D:$D,0)+COUNTIF($E161:Y161,"u")+COUNTIF($E161:Y161,"t")+COUNTIF($E161:Y161,"¶")+COUNTIF($E161:Y161,"²")+COUNTIF($E161:Y161,"µ")+COUNTIF($E161:Y161,1),ColTypeEcheance)),
  IF(LEN(Y161)=1,
  IF(LEN(INDEX(Roadmap!$D:$K,MATCH($E161,Roadmap!$D:$D,0)-1+COUNTIF($E161:Y161,"u")+COUNTIF($E161:Y161,"t")+COUNTIF($E161:Y161,"¶")+COUNTIF($E161:Y161,"²")+COUNTIF($E161:Y161,"µ")+COUNTIF($E161:Y161,1),ColDescriptionCourte))&gt;1,
HYPERLINK("#Roadmap!C"&amp; MATCH($E161,Roadmap!$D:$D,0)+COUNTIF($E161:Y161,"u")+COUNTIF($E161:Y161,"t")+COUNTIF($E161:Y161,"¶")+COUNTIF($E161:Y161,"²")+COUNTIF($E161:Y161,"µ")+COUNTIF($E161:Y161,1)-1,INDEX(Roadmap!$D:$K,MATCH($E161,Roadmap!$D:$D,0)-1+COUNTIF($E161:Y161,"u")+COUNTIF($E161:Y161,"t")+COUNTIF($E161:Y161,"¶")+COUNTIF($E161:Y161,"²")+COUNTIF($E161:Y161,"µ")+COUNTIF($E161:Y161,1),ColDescriptionCourte)),""),
  "")),"")</f>
        <v/>
      </c>
      <c r="AA161" s="40" t="str">
        <f ca="1">IFERROR(IF(AND(
  INDEX(Roadmap!$D:$K,MATCH($E161,Roadmap!$D:$D,0)+COUNTIF($E161:Z161,"u")+COUNTIF($E161:Z161,"t")+COUNTIF($E161:Z161,"¶")+COUNTIF($E161:Z161,"²")+COUNTIF($E161:Z161,"µ")+COUNTIF($E161:Z161,1),ColLivraison)=AA$6,
  VLOOKUP($E161,INDIRECT("tri!"&amp; CHAR(64+ C0Col) &amp;":"&amp; CHAR(65+C0Col)),2,FALSE)&gt;COUNTIF($E161:Z161,"u")+COUNTIF($E161:Z161,"t")+COUNTIF($E161:Z161,"¶")+COUNTIF($E161:Z161,"²")+COUNTIF($E161:Z161,"µ")+COUNTIF($E161:Z161,1)),
HYPERLINK("#Roadmap!C"&amp; MATCH($E161,Roadmap!$D:$D,0)+COUNTIF($E161:Z161,"u")+COUNTIF($E161:Z161,"t"),
     INDEX(Roadmap!$D:$K,MATCH($E161,Roadmap!$D:$D,0)+COUNTIF($E161:Z161,"u")+COUNTIF($E161:Z161,"t")+COUNTIF($E161:Z161,"¶")+COUNTIF($E161:Z161,"²")+COUNTIF($E161:Z161,"µ")+COUNTIF($E161:Z161,1),ColTypeEcheance)),
  IF(LEN(Z161)=1,
  IF(LEN(INDEX(Roadmap!$D:$K,MATCH($E161,Roadmap!$D:$D,0)-1+COUNTIF($E161:Z161,"u")+COUNTIF($E161:Z161,"t")+COUNTIF($E161:Z161,"¶")+COUNTIF($E161:Z161,"²")+COUNTIF($E161:Z161,"µ")+COUNTIF($E161:Z161,1),ColDescriptionCourte))&gt;1,
HYPERLINK("#Roadmap!C"&amp; MATCH($E161,Roadmap!$D:$D,0)+COUNTIF($E161:Z161,"u")+COUNTIF($E161:Z161,"t")+COUNTIF($E161:Z161,"¶")+COUNTIF($E161:Z161,"²")+COUNTIF($E161:Z161,"µ")+COUNTIF($E161:Z161,1)-1,INDEX(Roadmap!$D:$K,MATCH($E161,Roadmap!$D:$D,0)-1+COUNTIF($E161:Z161,"u")+COUNTIF($E161:Z161,"t")+COUNTIF($E161:Z161,"¶")+COUNTIF($E161:Z161,"²")+COUNTIF($E161:Z161,"µ")+COUNTIF($E161:Z161,1),ColDescriptionCourte)),""),
  "")),"")</f>
        <v/>
      </c>
      <c r="AB161" s="40" t="str">
        <f ca="1">IFERROR(IF(AND(
  INDEX(Roadmap!$D:$K,MATCH($E161,Roadmap!$D:$D,0)+COUNTIF($E161:AA161,"u")+COUNTIF($E161:AA161,"t")+COUNTIF($E161:AA161,"¶")+COUNTIF($E161:AA161,"²")+COUNTIF($E161:AA161,"µ")+COUNTIF($E161:AA161,1),ColLivraison)=AB$6,
  VLOOKUP($E161,INDIRECT("tri!"&amp; CHAR(64+ C0Col) &amp;":"&amp; CHAR(65+C0Col)),2,FALSE)&gt;COUNTIF($E161:AA161,"u")+COUNTIF($E161:AA161,"t")+COUNTIF($E161:AA161,"¶")+COUNTIF($E161:AA161,"²")+COUNTIF($E161:AA161,"µ")+COUNTIF($E161:AA161,1)),
HYPERLINK("#Roadmap!C"&amp; MATCH($E161,Roadmap!$D:$D,0)+COUNTIF($E161:AA161,"u")+COUNTIF($E161:AA161,"t"),
     INDEX(Roadmap!$D:$K,MATCH($E161,Roadmap!$D:$D,0)+COUNTIF($E161:AA161,"u")+COUNTIF($E161:AA161,"t")+COUNTIF($E161:AA161,"¶")+COUNTIF($E161:AA161,"²")+COUNTIF($E161:AA161,"µ")+COUNTIF($E161:AA161,1),ColTypeEcheance)),
  IF(LEN(AA161)=1,
  IF(LEN(INDEX(Roadmap!$D:$K,MATCH($E161,Roadmap!$D:$D,0)-1+COUNTIF($E161:AA161,"u")+COUNTIF($E161:AA161,"t")+COUNTIF($E161:AA161,"¶")+COUNTIF($E161:AA161,"²")+COUNTIF($E161:AA161,"µ")+COUNTIF($E161:AA161,1),ColDescriptionCourte))&gt;1,
HYPERLINK("#Roadmap!C"&amp; MATCH($E161,Roadmap!$D:$D,0)+COUNTIF($E161:AA161,"u")+COUNTIF($E161:AA161,"t")+COUNTIF($E161:AA161,"¶")+COUNTIF($E161:AA161,"²")+COUNTIF($E161:AA161,"µ")+COUNTIF($E161:AA161,1)-1,INDEX(Roadmap!$D:$K,MATCH($E161,Roadmap!$D:$D,0)-1+COUNTIF($E161:AA161,"u")+COUNTIF($E161:AA161,"t")+COUNTIF($E161:AA161,"¶")+COUNTIF($E161:AA161,"²")+COUNTIF($E161:AA161,"µ")+COUNTIF($E161:AA161,1),ColDescriptionCourte)),""),
  "")),"")</f>
        <v/>
      </c>
      <c r="AC161" s="40" t="str">
        <f ca="1">IFERROR(IF(AND(
  INDEX(Roadmap!$D:$K,MATCH($E161,Roadmap!$D:$D,0)+COUNTIF($E161:AB161,"u")+COUNTIF($E161:AB161,"t")+COUNTIF($E161:AB161,"¶")+COUNTIF($E161:AB161,"²")+COUNTIF($E161:AB161,"µ")+COUNTIF($E161:AB161,1),ColLivraison)=AC$6,
  VLOOKUP($E161,INDIRECT("tri!"&amp; CHAR(64+ C0Col) &amp;":"&amp; CHAR(65+C0Col)),2,FALSE)&gt;COUNTIF($E161:AB161,"u")+COUNTIF($E161:AB161,"t")+COUNTIF($E161:AB161,"¶")+COUNTIF($E161:AB161,"²")+COUNTIF($E161:AB161,"µ")+COUNTIF($E161:AB161,1)),
HYPERLINK("#Roadmap!C"&amp; MATCH($E161,Roadmap!$D:$D,0)+COUNTIF($E161:AB161,"u")+COUNTIF($E161:AB161,"t"),
     INDEX(Roadmap!$D:$K,MATCH($E161,Roadmap!$D:$D,0)+COUNTIF($E161:AB161,"u")+COUNTIF($E161:AB161,"t")+COUNTIF($E161:AB161,"¶")+COUNTIF($E161:AB161,"²")+COUNTIF($E161:AB161,"µ")+COUNTIF($E161:AB161,1),ColTypeEcheance)),
  IF(LEN(AB161)=1,
  IF(LEN(INDEX(Roadmap!$D:$K,MATCH($E161,Roadmap!$D:$D,0)-1+COUNTIF($E161:AB161,"u")+COUNTIF($E161:AB161,"t")+COUNTIF($E161:AB161,"¶")+COUNTIF($E161:AB161,"²")+COUNTIF($E161:AB161,"µ")+COUNTIF($E161:AB161,1),ColDescriptionCourte))&gt;1,
HYPERLINK("#Roadmap!C"&amp; MATCH($E161,Roadmap!$D:$D,0)+COUNTIF($E161:AB161,"u")+COUNTIF($E161:AB161,"t")+COUNTIF($E161:AB161,"¶")+COUNTIF($E161:AB161,"²")+COUNTIF($E161:AB161,"µ")+COUNTIF($E161:AB161,1)-1,INDEX(Roadmap!$D:$K,MATCH($E161,Roadmap!$D:$D,0)-1+COUNTIF($E161:AB161,"u")+COUNTIF($E161:AB161,"t")+COUNTIF($E161:AB161,"¶")+COUNTIF($E161:AB161,"²")+COUNTIF($E161:AB161,"µ")+COUNTIF($E161:AB161,1),ColDescriptionCourte)),""),
  "")),"")</f>
        <v/>
      </c>
      <c r="AD161" s="40" t="str">
        <f ca="1">IFERROR(IF(AND(
  INDEX(Roadmap!$D:$K,MATCH($E161,Roadmap!$D:$D,0)+COUNTIF($E161:AC161,"u")+COUNTIF($E161:AC161,"t")+COUNTIF($E161:AC161,"¶")+COUNTIF($E161:AC161,"²")+COUNTIF($E161:AC161,"µ")+COUNTIF($E161:AC161,1),ColLivraison)=AD$6,
  VLOOKUP($E161,INDIRECT("tri!"&amp; CHAR(64+ C0Col) &amp;":"&amp; CHAR(65+C0Col)),2,FALSE)&gt;COUNTIF($E161:AC161,"u")+COUNTIF($E161:AC161,"t")+COUNTIF($E161:AC161,"¶")+COUNTIF($E161:AC161,"²")+COUNTIF($E161:AC161,"µ")+COUNTIF($E161:AC161,1)),
HYPERLINK("#Roadmap!C"&amp; MATCH($E161,Roadmap!$D:$D,0)+COUNTIF($E161:AC161,"u")+COUNTIF($E161:AC161,"t"),
     INDEX(Roadmap!$D:$K,MATCH($E161,Roadmap!$D:$D,0)+COUNTIF($E161:AC161,"u")+COUNTIF($E161:AC161,"t")+COUNTIF($E161:AC161,"¶")+COUNTIF($E161:AC161,"²")+COUNTIF($E161:AC161,"µ")+COUNTIF($E161:AC161,1),ColTypeEcheance)),
  IF(LEN(AC161)=1,
  IF(LEN(INDEX(Roadmap!$D:$K,MATCH($E161,Roadmap!$D:$D,0)-1+COUNTIF($E161:AC161,"u")+COUNTIF($E161:AC161,"t")+COUNTIF($E161:AC161,"¶")+COUNTIF($E161:AC161,"²")+COUNTIF($E161:AC161,"µ")+COUNTIF($E161:AC161,1),ColDescriptionCourte))&gt;1,
HYPERLINK("#Roadmap!C"&amp; MATCH($E161,Roadmap!$D:$D,0)+COUNTIF($E161:AC161,"u")+COUNTIF($E161:AC161,"t")+COUNTIF($E161:AC161,"¶")+COUNTIF($E161:AC161,"²")+COUNTIF($E161:AC161,"µ")+COUNTIF($E161:AC161,1)-1,INDEX(Roadmap!$D:$K,MATCH($E161,Roadmap!$D:$D,0)-1+COUNTIF($E161:AC161,"u")+COUNTIF($E161:AC161,"t")+COUNTIF($E161:AC161,"¶")+COUNTIF($E161:AC161,"²")+COUNTIF($E161:AC161,"µ")+COUNTIF($E161:AC161,1),ColDescriptionCourte)),""),
  "")),"")</f>
        <v/>
      </c>
      <c r="AE161" s="40" t="str">
        <f ca="1">IFERROR(IF(AND(
  INDEX(Roadmap!$D:$K,MATCH($E161,Roadmap!$D:$D,0)+COUNTIF($E161:AD161,"u")+COUNTIF($E161:AD161,"t")+COUNTIF($E161:AD161,"¶")+COUNTIF($E161:AD161,"²")+COUNTIF($E161:AD161,"µ")+COUNTIF($E161:AD161,1),ColLivraison)=AE$6,
  VLOOKUP($E161,INDIRECT("tri!"&amp; CHAR(64+ C0Col) &amp;":"&amp; CHAR(65+C0Col)),2,FALSE)&gt;COUNTIF($E161:AD161,"u")+COUNTIF($E161:AD161,"t")+COUNTIF($E161:AD161,"¶")+COUNTIF($E161:AD161,"²")+COUNTIF($E161:AD161,"µ")+COUNTIF($E161:AD161,1)),
HYPERLINK("#Roadmap!C"&amp; MATCH($E161,Roadmap!$D:$D,0)+COUNTIF($E161:AD161,"u")+COUNTIF($E161:AD161,"t"),
     INDEX(Roadmap!$D:$K,MATCH($E161,Roadmap!$D:$D,0)+COUNTIF($E161:AD161,"u")+COUNTIF($E161:AD161,"t")+COUNTIF($E161:AD161,"¶")+COUNTIF($E161:AD161,"²")+COUNTIF($E161:AD161,"µ")+COUNTIF($E161:AD161,1),ColTypeEcheance)),
  IF(LEN(AD161)=1,
  IF(LEN(INDEX(Roadmap!$D:$K,MATCH($E161,Roadmap!$D:$D,0)-1+COUNTIF($E161:AD161,"u")+COUNTIF($E161:AD161,"t")+COUNTIF($E161:AD161,"¶")+COUNTIF($E161:AD161,"²")+COUNTIF($E161:AD161,"µ")+COUNTIF($E161:AD161,1),ColDescriptionCourte))&gt;1,
HYPERLINK("#Roadmap!C"&amp; MATCH($E161,Roadmap!$D:$D,0)+COUNTIF($E161:AD161,"u")+COUNTIF($E161:AD161,"t")+COUNTIF($E161:AD161,"¶")+COUNTIF($E161:AD161,"²")+COUNTIF($E161:AD161,"µ")+COUNTIF($E161:AD161,1)-1,INDEX(Roadmap!$D:$K,MATCH($E161,Roadmap!$D:$D,0)-1+COUNTIF($E161:AD161,"u")+COUNTIF($E161:AD161,"t")+COUNTIF($E161:AD161,"¶")+COUNTIF($E161:AD161,"²")+COUNTIF($E161:AD161,"µ")+COUNTIF($E161:AD161,1),ColDescriptionCourte)),""),
  "")),"")</f>
        <v/>
      </c>
      <c r="AF161" s="40" t="str">
        <f ca="1">IFERROR(IF(AND(
  INDEX(Roadmap!$D:$K,MATCH($E161,Roadmap!$D:$D,0)+COUNTIF($E161:AE161,"u")+COUNTIF($E161:AE161,"t")+COUNTIF($E161:AE161,"¶")+COUNTIF($E161:AE161,"²")+COUNTIF($E161:AE161,"µ")+COUNTIF($E161:AE161,1),ColLivraison)=AF$6,
  VLOOKUP($E161,INDIRECT("tri!"&amp; CHAR(64+ C0Col) &amp;":"&amp; CHAR(65+C0Col)),2,FALSE)&gt;COUNTIF($E161:AE161,"u")+COUNTIF($E161:AE161,"t")+COUNTIF($E161:AE161,"¶")+COUNTIF($E161:AE161,"²")+COUNTIF($E161:AE161,"µ")+COUNTIF($E161:AE161,1)),
HYPERLINK("#Roadmap!C"&amp; MATCH($E161,Roadmap!$D:$D,0)+COUNTIF($E161:AE161,"u")+COUNTIF($E161:AE161,"t"),
     INDEX(Roadmap!$D:$K,MATCH($E161,Roadmap!$D:$D,0)+COUNTIF($E161:AE161,"u")+COUNTIF($E161:AE161,"t")+COUNTIF($E161:AE161,"¶")+COUNTIF($E161:AE161,"²")+COUNTIF($E161:AE161,"µ")+COUNTIF($E161:AE161,1),ColTypeEcheance)),
  IF(LEN(AE161)=1,
  IF(LEN(INDEX(Roadmap!$D:$K,MATCH($E161,Roadmap!$D:$D,0)-1+COUNTIF($E161:AE161,"u")+COUNTIF($E161:AE161,"t")+COUNTIF($E161:AE161,"¶")+COUNTIF($E161:AE161,"²")+COUNTIF($E161:AE161,"µ")+COUNTIF($E161:AE161,1),ColDescriptionCourte))&gt;1,
HYPERLINK("#Roadmap!C"&amp; MATCH($E161,Roadmap!$D:$D,0)+COUNTIF($E161:AE161,"u")+COUNTIF($E161:AE161,"t")+COUNTIF($E161:AE161,"¶")+COUNTIF($E161:AE161,"²")+COUNTIF($E161:AE161,"µ")+COUNTIF($E161:AE161,1)-1,INDEX(Roadmap!$D:$K,MATCH($E161,Roadmap!$D:$D,0)-1+COUNTIF($E161:AE161,"u")+COUNTIF($E161:AE161,"t")+COUNTIF($E161:AE161,"¶")+COUNTIF($E161:AE161,"²")+COUNTIF($E161:AE161,"µ")+COUNTIF($E161:AE161,1),ColDescriptionCourte)),""),
  "")),"")</f>
        <v/>
      </c>
      <c r="AG161" s="40" t="str">
        <f ca="1">IFERROR(IF(AND(
  INDEX(Roadmap!$D:$K,MATCH($E161,Roadmap!$D:$D,0)+COUNTIF($E161:AF161,"u")+COUNTIF($E161:AF161,"t")+COUNTIF($E161:AF161,"¶")+COUNTIF($E161:AF161,"²")+COUNTIF($E161:AF161,"µ")+COUNTIF($E161:AF161,1),ColLivraison)=AG$6,
  VLOOKUP($E161,INDIRECT("tri!"&amp; CHAR(64+ C0Col) &amp;":"&amp; CHAR(65+C0Col)),2,FALSE)&gt;COUNTIF($E161:AF161,"u")+COUNTIF($E161:AF161,"t")+COUNTIF($E161:AF161,"¶")+COUNTIF($E161:AF161,"²")+COUNTIF($E161:AF161,"µ")+COUNTIF($E161:AF161,1)),
HYPERLINK("#Roadmap!C"&amp; MATCH($E161,Roadmap!$D:$D,0)+COUNTIF($E161:AF161,"u")+COUNTIF($E161:AF161,"t"),
     INDEX(Roadmap!$D:$K,MATCH($E161,Roadmap!$D:$D,0)+COUNTIF($E161:AF161,"u")+COUNTIF($E161:AF161,"t")+COUNTIF($E161:AF161,"¶")+COUNTIF($E161:AF161,"²")+COUNTIF($E161:AF161,"µ")+COUNTIF($E161:AF161,1),ColTypeEcheance)),
  IF(LEN(AF161)=1,
  IF(LEN(INDEX(Roadmap!$D:$K,MATCH($E161,Roadmap!$D:$D,0)-1+COUNTIF($E161:AF161,"u")+COUNTIF($E161:AF161,"t")+COUNTIF($E161:AF161,"¶")+COUNTIF($E161:AF161,"²")+COUNTIF($E161:AF161,"µ")+COUNTIF($E161:AF161,1),ColDescriptionCourte))&gt;1,
HYPERLINK("#Roadmap!C"&amp; MATCH($E161,Roadmap!$D:$D,0)+COUNTIF($E161:AF161,"u")+COUNTIF($E161:AF161,"t")+COUNTIF($E161:AF161,"¶")+COUNTIF($E161:AF161,"²")+COUNTIF($E161:AF161,"µ")+COUNTIF($E161:AF161,1)-1,INDEX(Roadmap!$D:$K,MATCH($E161,Roadmap!$D:$D,0)-1+COUNTIF($E161:AF161,"u")+COUNTIF($E161:AF161,"t")+COUNTIF($E161:AF161,"¶")+COUNTIF($E161:AF161,"²")+COUNTIF($E161:AF161,"µ")+COUNTIF($E161:AF161,1),ColDescriptionCourte)),""),
  "")),"")</f>
        <v/>
      </c>
    </row>
    <row r="162" spans="3:33" ht="14.25" customHeight="1">
      <c r="C162" s="1" t="str">
        <f t="shared" ca="1" si="52"/>
        <v/>
      </c>
      <c r="D162" s="1" t="str">
        <f t="shared" ca="1" si="53"/>
        <v/>
      </c>
      <c r="E162" s="35" t="str">
        <f t="shared" ca="1" si="51"/>
        <v/>
      </c>
      <c r="F162" s="39" t="str">
        <f ca="1">IFERROR(IF(AND(
  INDEX(Roadmap!$D:$K,MATCH($E162,Roadmap!$D:$D,0)+COUNTIF($E162:E162,"u")+COUNTIF($E162:E162,"t")+COUNTIF($E162:E162,"¶")+COUNTIF($E162:E162,"²")+COUNTIF($E162:E162,"µ")+COUNTIF($E162:E162,1),ColLivraison)=F$6,
  VLOOKUP($E162,INDIRECT("tri!"&amp; CHAR(64+ C0Col) &amp;":"&amp; CHAR(65+C0Col)),2,FALSE)&gt;COUNTIF($E162:E162,"u")+COUNTIF($E162:E162,"t")+COUNTIF($E162:E162,"¶")+COUNTIF($E162:E162,"²")+COUNTIF($E162:E162,"µ")+COUNTIF($E162:E162,1)),
HYPERLINK("#Roadmap!C"&amp; MATCH($E162,Roadmap!$D:$D,0)+COUNTIF($E162:E162,"u")+COUNTIF($E162:E162,"t"),
     INDEX(Roadmap!$D:$K,MATCH($E162,Roadmap!$D:$D,0)+COUNTIF($E162:E162,"u")+COUNTIF($E162:E162,"t")+COUNTIF($E162:E162,"¶")+COUNTIF($E162:E162,"²")+COUNTIF($E162:E162,"µ")+COUNTIF($E162:E162,1),ColTypeEcheance)),
  IF(LEN(E162)=1,
  IF(LEN(INDEX(Roadmap!$D:$K,MATCH($E162,Roadmap!$D:$D,0)-1+COUNTIF($E162:E162,"u")+COUNTIF($E162:E162,"t")+COUNTIF($E162:E162,"¶")+COUNTIF($E162:E162,"²")+COUNTIF($E162:E162,"µ")+COUNTIF($E162:E162,1),ColDescriptionCourte))&gt;1,
HYPERLINK("#Roadmap!C"&amp; MATCH($E162,Roadmap!$D:$D,0)+COUNTIF($E162:E162,"u")+COUNTIF($E162:E162,"t")+COUNTIF($E162:E162,"¶")+COUNTIF($E162:E162,"²")+COUNTIF($E162:E162,"µ")+COUNTIF($E162:E162,1)-1,INDEX(Roadmap!$D:$K,MATCH($E162,Roadmap!$D:$D,0)-1+COUNTIF($E162:E162,"u")+COUNTIF($E162:E162,"t")+COUNTIF($E162:E162,"¶")+COUNTIF($E162:E162,"²")+COUNTIF($E162:E162,"µ")+COUNTIF($E162:E162,1),ColDescriptionCourte)),""),
  "")),"")</f>
        <v/>
      </c>
      <c r="G162" s="40" t="str">
        <f ca="1">IFERROR(IF(AND(
  INDEX(Roadmap!$D:$K,MATCH($E162,Roadmap!$D:$D,0)+COUNTIF($E162:F162,"u")+COUNTIF($E162:F162,"t")+COUNTIF($E162:F162,"¶")+COUNTIF($E162:F162,"²")+COUNTIF($E162:F162,"µ")+COUNTIF($E162:F162,1),ColLivraison)=G$6,
  VLOOKUP($E162,INDIRECT("tri!"&amp; CHAR(64+ C0Col) &amp;":"&amp; CHAR(65+C0Col)),2,FALSE)&gt;COUNTIF($E162:F162,"u")+COUNTIF($E162:F162,"t")+COUNTIF($E162:F162,"¶")+COUNTIF($E162:F162,"²")+COUNTIF($E162:F162,"µ")+COUNTIF($E162:F162,1)),
HYPERLINK("#Roadmap!C"&amp; MATCH($E162,Roadmap!$D:$D,0)+COUNTIF($E162:F162,"u")+COUNTIF($E162:F162,"t"),
     INDEX(Roadmap!$D:$K,MATCH($E162,Roadmap!$D:$D,0)+COUNTIF($E162:F162,"u")+COUNTIF($E162:F162,"t")+COUNTIF($E162:F162,"¶")+COUNTIF($E162:F162,"²")+COUNTIF($E162:F162,"µ")+COUNTIF($E162:F162,1),ColTypeEcheance)),
  IF(LEN(F162)=1,
  IF(LEN(INDEX(Roadmap!$D:$K,MATCH($E162,Roadmap!$D:$D,0)-1+COUNTIF($E162:F162,"u")+COUNTIF($E162:F162,"t")+COUNTIF($E162:F162,"¶")+COUNTIF($E162:F162,"²")+COUNTIF($E162:F162,"µ")+COUNTIF($E162:F162,1),ColDescriptionCourte))&gt;1,
HYPERLINK("#Roadmap!C"&amp; MATCH($E162,Roadmap!$D:$D,0)+COUNTIF($E162:F162,"u")+COUNTIF($E162:F162,"t")+COUNTIF($E162:F162,"¶")+COUNTIF($E162:F162,"²")+COUNTIF($E162:F162,"µ")+COUNTIF($E162:F162,1)-1,INDEX(Roadmap!$D:$K,MATCH($E162,Roadmap!$D:$D,0)-1+COUNTIF($E162:F162,"u")+COUNTIF($E162:F162,"t")+COUNTIF($E162:F162,"¶")+COUNTIF($E162:F162,"²")+COUNTIF($E162:F162,"µ")+COUNTIF($E162:F162,1),ColDescriptionCourte)),""),
  "")),"")</f>
        <v/>
      </c>
      <c r="H162" s="40" t="str">
        <f ca="1">IFERROR(IF(AND(
  INDEX(Roadmap!$D:$K,MATCH($E162,Roadmap!$D:$D,0)+COUNTIF($E162:G162,"u")+COUNTIF($E162:G162,"t")+COUNTIF($E162:G162,"¶")+COUNTIF($E162:G162,"²")+COUNTIF($E162:G162,"µ")+COUNTIF($E162:G162,1),ColLivraison)=H$6,
  VLOOKUP($E162,INDIRECT("tri!"&amp; CHAR(64+ C0Col) &amp;":"&amp; CHAR(65+C0Col)),2,FALSE)&gt;COUNTIF($E162:G162,"u")+COUNTIF($E162:G162,"t")+COUNTIF($E162:G162,"¶")+COUNTIF($E162:G162,"²")+COUNTIF($E162:G162,"µ")+COUNTIF($E162:G162,1)),
HYPERLINK("#Roadmap!C"&amp; MATCH($E162,Roadmap!$D:$D,0)+COUNTIF($E162:G162,"u")+COUNTIF($E162:G162,"t"),
     INDEX(Roadmap!$D:$K,MATCH($E162,Roadmap!$D:$D,0)+COUNTIF($E162:G162,"u")+COUNTIF($E162:G162,"t")+COUNTIF($E162:G162,"¶")+COUNTIF($E162:G162,"²")+COUNTIF($E162:G162,"µ")+COUNTIF($E162:G162,1),ColTypeEcheance)),
  IF(LEN(G162)=1,
  IF(LEN(INDEX(Roadmap!$D:$K,MATCH($E162,Roadmap!$D:$D,0)-1+COUNTIF($E162:G162,"u")+COUNTIF($E162:G162,"t")+COUNTIF($E162:G162,"¶")+COUNTIF($E162:G162,"²")+COUNTIF($E162:G162,"µ")+COUNTIF($E162:G162,1),ColDescriptionCourte))&gt;1,
HYPERLINK("#Roadmap!C"&amp; MATCH($E162,Roadmap!$D:$D,0)+COUNTIF($E162:G162,"u")+COUNTIF($E162:G162,"t")+COUNTIF($E162:G162,"¶")+COUNTIF($E162:G162,"²")+COUNTIF($E162:G162,"µ")+COUNTIF($E162:G162,1)-1,INDEX(Roadmap!$D:$K,MATCH($E162,Roadmap!$D:$D,0)-1+COUNTIF($E162:G162,"u")+COUNTIF($E162:G162,"t")+COUNTIF($E162:G162,"¶")+COUNTIF($E162:G162,"²")+COUNTIF($E162:G162,"µ")+COUNTIF($E162:G162,1),ColDescriptionCourte)),""),
  "")),"")</f>
        <v/>
      </c>
      <c r="I162" s="40" t="str">
        <f ca="1">IFERROR(IF(AND(
  INDEX(Roadmap!$D:$K,MATCH($E162,Roadmap!$D:$D,0)+COUNTIF($E162:H162,"u")+COUNTIF($E162:H162,"t")+COUNTIF($E162:H162,"¶")+COUNTIF($E162:H162,"²")+COUNTIF($E162:H162,"µ")+COUNTIF($E162:H162,1),ColLivraison)=I$6,
  VLOOKUP($E162,INDIRECT("tri!"&amp; CHAR(64+ C0Col) &amp;":"&amp; CHAR(65+C0Col)),2,FALSE)&gt;COUNTIF($E162:H162,"u")+COUNTIF($E162:H162,"t")+COUNTIF($E162:H162,"¶")+COUNTIF($E162:H162,"²")+COUNTIF($E162:H162,"µ")+COUNTIF($E162:H162,1)),
HYPERLINK("#Roadmap!C"&amp; MATCH($E162,Roadmap!$D:$D,0)+COUNTIF($E162:H162,"u")+COUNTIF($E162:H162,"t"),
     INDEX(Roadmap!$D:$K,MATCH($E162,Roadmap!$D:$D,0)+COUNTIF($E162:H162,"u")+COUNTIF($E162:H162,"t")+COUNTIF($E162:H162,"¶")+COUNTIF($E162:H162,"²")+COUNTIF($E162:H162,"µ")+COUNTIF($E162:H162,1),ColTypeEcheance)),
  IF(LEN(H162)=1,
  IF(LEN(INDEX(Roadmap!$D:$K,MATCH($E162,Roadmap!$D:$D,0)-1+COUNTIF($E162:H162,"u")+COUNTIF($E162:H162,"t")+COUNTIF($E162:H162,"¶")+COUNTIF($E162:H162,"²")+COUNTIF($E162:H162,"µ")+COUNTIF($E162:H162,1),ColDescriptionCourte))&gt;1,
HYPERLINK("#Roadmap!C"&amp; MATCH($E162,Roadmap!$D:$D,0)+COUNTIF($E162:H162,"u")+COUNTIF($E162:H162,"t")+COUNTIF($E162:H162,"¶")+COUNTIF($E162:H162,"²")+COUNTIF($E162:H162,"µ")+COUNTIF($E162:H162,1)-1,INDEX(Roadmap!$D:$K,MATCH($E162,Roadmap!$D:$D,0)-1+COUNTIF($E162:H162,"u")+COUNTIF($E162:H162,"t")+COUNTIF($E162:H162,"¶")+COUNTIF($E162:H162,"²")+COUNTIF($E162:H162,"µ")+COUNTIF($E162:H162,1),ColDescriptionCourte)),""),
  "")),"")</f>
        <v/>
      </c>
      <c r="J162" s="40" t="str">
        <f ca="1">IFERROR(IF(AND(
  INDEX(Roadmap!$D:$K,MATCH($E162,Roadmap!$D:$D,0)+COUNTIF($E162:I162,"u")+COUNTIF($E162:I162,"t")+COUNTIF($E162:I162,"¶")+COUNTIF($E162:I162,"²")+COUNTIF($E162:I162,"µ")+COUNTIF($E162:I162,1),ColLivraison)=J$6,
  VLOOKUP($E162,INDIRECT("tri!"&amp; CHAR(64+ C0Col) &amp;":"&amp; CHAR(65+C0Col)),2,FALSE)&gt;COUNTIF($E162:I162,"u")+COUNTIF($E162:I162,"t")+COUNTIF($E162:I162,"¶")+COUNTIF($E162:I162,"²")+COUNTIF($E162:I162,"µ")+COUNTIF($E162:I162,1)),
HYPERLINK("#Roadmap!C"&amp; MATCH($E162,Roadmap!$D:$D,0)+COUNTIF($E162:I162,"u")+COUNTIF($E162:I162,"t"),
     INDEX(Roadmap!$D:$K,MATCH($E162,Roadmap!$D:$D,0)+COUNTIF($E162:I162,"u")+COUNTIF($E162:I162,"t")+COUNTIF($E162:I162,"¶")+COUNTIF($E162:I162,"²")+COUNTIF($E162:I162,"µ")+COUNTIF($E162:I162,1),ColTypeEcheance)),
  IF(LEN(I162)=1,
  IF(LEN(INDEX(Roadmap!$D:$K,MATCH($E162,Roadmap!$D:$D,0)-1+COUNTIF($E162:I162,"u")+COUNTIF($E162:I162,"t")+COUNTIF($E162:I162,"¶")+COUNTIF($E162:I162,"²")+COUNTIF($E162:I162,"µ")+COUNTIF($E162:I162,1),ColDescriptionCourte))&gt;1,
HYPERLINK("#Roadmap!C"&amp; MATCH($E162,Roadmap!$D:$D,0)+COUNTIF($E162:I162,"u")+COUNTIF($E162:I162,"t")+COUNTIF($E162:I162,"¶")+COUNTIF($E162:I162,"²")+COUNTIF($E162:I162,"µ")+COUNTIF($E162:I162,1)-1,INDEX(Roadmap!$D:$K,MATCH($E162,Roadmap!$D:$D,0)-1+COUNTIF($E162:I162,"u")+COUNTIF($E162:I162,"t")+COUNTIF($E162:I162,"¶")+COUNTIF($E162:I162,"²")+COUNTIF($E162:I162,"µ")+COUNTIF($E162:I162,1),ColDescriptionCourte)),""),
  "")),"")</f>
        <v/>
      </c>
      <c r="K162" s="40" t="str">
        <f ca="1">IFERROR(IF(AND(
  INDEX(Roadmap!$D:$K,MATCH($E162,Roadmap!$D:$D,0)+COUNTIF($E162:J162,"u")+COUNTIF($E162:J162,"t")+COUNTIF($E162:J162,"¶")+COUNTIF($E162:J162,"²")+COUNTIF($E162:J162,"µ")+COUNTIF($E162:J162,1),ColLivraison)=K$6,
  VLOOKUP($E162,INDIRECT("tri!"&amp; CHAR(64+ C0Col) &amp;":"&amp; CHAR(65+C0Col)),2,FALSE)&gt;COUNTIF($E162:J162,"u")+COUNTIF($E162:J162,"t")+COUNTIF($E162:J162,"¶")+COUNTIF($E162:J162,"²")+COUNTIF($E162:J162,"µ")+COUNTIF($E162:J162,1)),
HYPERLINK("#Roadmap!C"&amp; MATCH($E162,Roadmap!$D:$D,0)+COUNTIF($E162:J162,"u")+COUNTIF($E162:J162,"t"),
     INDEX(Roadmap!$D:$K,MATCH($E162,Roadmap!$D:$D,0)+COUNTIF($E162:J162,"u")+COUNTIF($E162:J162,"t")+COUNTIF($E162:J162,"¶")+COUNTIF($E162:J162,"²")+COUNTIF($E162:J162,"µ")+COUNTIF($E162:J162,1),ColTypeEcheance)),
  IF(LEN(J162)=1,
  IF(LEN(INDEX(Roadmap!$D:$K,MATCH($E162,Roadmap!$D:$D,0)-1+COUNTIF($E162:J162,"u")+COUNTIF($E162:J162,"t")+COUNTIF($E162:J162,"¶")+COUNTIF($E162:J162,"²")+COUNTIF($E162:J162,"µ")+COUNTIF($E162:J162,1),ColDescriptionCourte))&gt;1,
HYPERLINK("#Roadmap!C"&amp; MATCH($E162,Roadmap!$D:$D,0)+COUNTIF($E162:J162,"u")+COUNTIF($E162:J162,"t")+COUNTIF($E162:J162,"¶")+COUNTIF($E162:J162,"²")+COUNTIF($E162:J162,"µ")+COUNTIF($E162:J162,1)-1,INDEX(Roadmap!$D:$K,MATCH($E162,Roadmap!$D:$D,0)-1+COUNTIF($E162:J162,"u")+COUNTIF($E162:J162,"t")+COUNTIF($E162:J162,"¶")+COUNTIF($E162:J162,"²")+COUNTIF($E162:J162,"µ")+COUNTIF($E162:J162,1),ColDescriptionCourte)),""),
  "")),"")</f>
        <v/>
      </c>
      <c r="L162" s="39" t="str">
        <f ca="1">IFERROR(IF(AND(
  INDEX(Roadmap!$D:$K,MATCH($E162,Roadmap!$D:$D,0)+COUNTIF($E162:K162,"u")+COUNTIF($E162:K162,"t")+COUNTIF($E162:K162,"¶")+COUNTIF($E162:K162,"²")+COUNTIF($E162:K162,"µ")+COUNTIF($E162:K162,1),ColLivraison)=L$6,
  VLOOKUP($E162,INDIRECT("tri!"&amp; CHAR(64+ C0Col) &amp;":"&amp; CHAR(65+C0Col)),2,FALSE)&gt;COUNTIF($E162:K162,"u")+COUNTIF($E162:K162,"t")+COUNTIF($E162:K162,"¶")+COUNTIF($E162:K162,"²")+COUNTIF($E162:K162,"µ")+COUNTIF($E162:K162,1)),
HYPERLINK("#Roadmap!C"&amp; MATCH($E162,Roadmap!$D:$D,0)+COUNTIF($E162:K162,"u")+COUNTIF($E162:K162,"t"),
     INDEX(Roadmap!$D:$K,MATCH($E162,Roadmap!$D:$D,0)+COUNTIF($E162:K162,"u")+COUNTIF($E162:K162,"t")+COUNTIF($E162:K162,"¶")+COUNTIF($E162:K162,"²")+COUNTIF($E162:K162,"µ")+COUNTIF($E162:K162,1),ColTypeEcheance)),
  IF(LEN(K162)=1,
  IF(LEN(INDEX(Roadmap!$D:$K,MATCH($E162,Roadmap!$D:$D,0)-1+COUNTIF($E162:K162,"u")+COUNTIF($E162:K162,"t")+COUNTIF($E162:K162,"¶")+COUNTIF($E162:K162,"²")+COUNTIF($E162:K162,"µ")+COUNTIF($E162:K162,1),ColDescriptionCourte))&gt;1,
HYPERLINK("#Roadmap!C"&amp; MATCH($E162,Roadmap!$D:$D,0)+COUNTIF($E162:K162,"u")+COUNTIF($E162:K162,"t")+COUNTIF($E162:K162,"¶")+COUNTIF($E162:K162,"²")+COUNTIF($E162:K162,"µ")+COUNTIF($E162:K162,1)-1,INDEX(Roadmap!$D:$K,MATCH($E162,Roadmap!$D:$D,0)-1+COUNTIF($E162:K162,"u")+COUNTIF($E162:K162,"t")+COUNTIF($E162:K162,"¶")+COUNTIF($E162:K162,"²")+COUNTIF($E162:K162,"µ")+COUNTIF($E162:K162,1),ColDescriptionCourte)),""),
  "")),"")</f>
        <v/>
      </c>
      <c r="M162" s="40" t="str">
        <f ca="1">IFERROR(IF(AND(
  INDEX(Roadmap!$D:$K,MATCH($E162,Roadmap!$D:$D,0)+COUNTIF($E162:L162,"u")+COUNTIF($E162:L162,"t")+COUNTIF($E162:L162,"¶")+COUNTIF($E162:L162,"²")+COUNTIF($E162:L162,"µ")+COUNTIF($E162:L162,1),ColLivraison)=M$6,
  VLOOKUP($E162,INDIRECT("tri!"&amp; CHAR(64+ C0Col) &amp;":"&amp; CHAR(65+C0Col)),2,FALSE)&gt;COUNTIF($E162:L162,"u")+COUNTIF($E162:L162,"t")+COUNTIF($E162:L162,"¶")+COUNTIF($E162:L162,"²")+COUNTIF($E162:L162,"µ")+COUNTIF($E162:L162,1)),
HYPERLINK("#Roadmap!C"&amp; MATCH($E162,Roadmap!$D:$D,0)+COUNTIF($E162:L162,"u")+COUNTIF($E162:L162,"t"),
     INDEX(Roadmap!$D:$K,MATCH($E162,Roadmap!$D:$D,0)+COUNTIF($E162:L162,"u")+COUNTIF($E162:L162,"t")+COUNTIF($E162:L162,"¶")+COUNTIF($E162:L162,"²")+COUNTIF($E162:L162,"µ")+COUNTIF($E162:L162,1),ColTypeEcheance)),
  IF(LEN(L162)=1,
  IF(LEN(INDEX(Roadmap!$D:$K,MATCH($E162,Roadmap!$D:$D,0)-1+COUNTIF($E162:L162,"u")+COUNTIF($E162:L162,"t")+COUNTIF($E162:L162,"¶")+COUNTIF($E162:L162,"²")+COUNTIF($E162:L162,"µ")+COUNTIF($E162:L162,1),ColDescriptionCourte))&gt;1,
HYPERLINK("#Roadmap!C"&amp; MATCH($E162,Roadmap!$D:$D,0)+COUNTIF($E162:L162,"u")+COUNTIF($E162:L162,"t")+COUNTIF($E162:L162,"¶")+COUNTIF($E162:L162,"²")+COUNTIF($E162:L162,"µ")+COUNTIF($E162:L162,1)-1,INDEX(Roadmap!$D:$K,MATCH($E162,Roadmap!$D:$D,0)-1+COUNTIF($E162:L162,"u")+COUNTIF($E162:L162,"t")+COUNTIF($E162:L162,"¶")+COUNTIF($E162:L162,"²")+COUNTIF($E162:L162,"µ")+COUNTIF($E162:L162,1),ColDescriptionCourte)),""),
  "")),"")</f>
        <v/>
      </c>
      <c r="N162" s="40" t="str">
        <f ca="1">IFERROR(IF(AND(
  INDEX(Roadmap!$D:$K,MATCH($E162,Roadmap!$D:$D,0)+COUNTIF($E162:M162,"u")+COUNTIF($E162:M162,"t")+COUNTIF($E162:M162,"¶")+COUNTIF($E162:M162,"²")+COUNTIF($E162:M162,"µ")+COUNTIF($E162:M162,1),ColLivraison)=N$6,
  VLOOKUP($E162,INDIRECT("tri!"&amp; CHAR(64+ C0Col) &amp;":"&amp; CHAR(65+C0Col)),2,FALSE)&gt;COUNTIF($E162:M162,"u")+COUNTIF($E162:M162,"t")+COUNTIF($E162:M162,"¶")+COUNTIF($E162:M162,"²")+COUNTIF($E162:M162,"µ")+COUNTIF($E162:M162,1)),
HYPERLINK("#Roadmap!C"&amp; MATCH($E162,Roadmap!$D:$D,0)+COUNTIF($E162:M162,"u")+COUNTIF($E162:M162,"t"),
     INDEX(Roadmap!$D:$K,MATCH($E162,Roadmap!$D:$D,0)+COUNTIF($E162:M162,"u")+COUNTIF($E162:M162,"t")+COUNTIF($E162:M162,"¶")+COUNTIF($E162:M162,"²")+COUNTIF($E162:M162,"µ")+COUNTIF($E162:M162,1),ColTypeEcheance)),
  IF(LEN(M162)=1,
  IF(LEN(INDEX(Roadmap!$D:$K,MATCH($E162,Roadmap!$D:$D,0)-1+COUNTIF($E162:M162,"u")+COUNTIF($E162:M162,"t")+COUNTIF($E162:M162,"¶")+COUNTIF($E162:M162,"²")+COUNTIF($E162:M162,"µ")+COUNTIF($E162:M162,1),ColDescriptionCourte))&gt;1,
HYPERLINK("#Roadmap!C"&amp; MATCH($E162,Roadmap!$D:$D,0)+COUNTIF($E162:M162,"u")+COUNTIF($E162:M162,"t")+COUNTIF($E162:M162,"¶")+COUNTIF($E162:M162,"²")+COUNTIF($E162:M162,"µ")+COUNTIF($E162:M162,1)-1,INDEX(Roadmap!$D:$K,MATCH($E162,Roadmap!$D:$D,0)-1+COUNTIF($E162:M162,"u")+COUNTIF($E162:M162,"t")+COUNTIF($E162:M162,"¶")+COUNTIF($E162:M162,"²")+COUNTIF($E162:M162,"µ")+COUNTIF($E162:M162,1),ColDescriptionCourte)),""),
  "")),"")</f>
        <v/>
      </c>
      <c r="O162" s="40" t="str">
        <f ca="1">IFERROR(IF(AND(
  INDEX(Roadmap!$D:$K,MATCH($E162,Roadmap!$D:$D,0)+COUNTIF($E162:N162,"u")+COUNTIF($E162:N162,"t")+COUNTIF($E162:N162,"¶")+COUNTIF($E162:N162,"²")+COUNTIF($E162:N162,"µ")+COUNTIF($E162:N162,1),ColLivraison)=O$6,
  VLOOKUP($E162,INDIRECT("tri!"&amp; CHAR(64+ C0Col) &amp;":"&amp; CHAR(65+C0Col)),2,FALSE)&gt;COUNTIF($E162:N162,"u")+COUNTIF($E162:N162,"t")+COUNTIF($E162:N162,"¶")+COUNTIF($E162:N162,"²")+COUNTIF($E162:N162,"µ")+COUNTIF($E162:N162,1)),
HYPERLINK("#Roadmap!C"&amp; MATCH($E162,Roadmap!$D:$D,0)+COUNTIF($E162:N162,"u")+COUNTIF($E162:N162,"t"),
     INDEX(Roadmap!$D:$K,MATCH($E162,Roadmap!$D:$D,0)+COUNTIF($E162:N162,"u")+COUNTIF($E162:N162,"t")+COUNTIF($E162:N162,"¶")+COUNTIF($E162:N162,"²")+COUNTIF($E162:N162,"µ")+COUNTIF($E162:N162,1),ColTypeEcheance)),
  IF(LEN(N162)=1,
  IF(LEN(INDEX(Roadmap!$D:$K,MATCH($E162,Roadmap!$D:$D,0)-1+COUNTIF($E162:N162,"u")+COUNTIF($E162:N162,"t")+COUNTIF($E162:N162,"¶")+COUNTIF($E162:N162,"²")+COUNTIF($E162:N162,"µ")+COUNTIF($E162:N162,1),ColDescriptionCourte))&gt;1,
HYPERLINK("#Roadmap!C"&amp; MATCH($E162,Roadmap!$D:$D,0)+COUNTIF($E162:N162,"u")+COUNTIF($E162:N162,"t")+COUNTIF($E162:N162,"¶")+COUNTIF($E162:N162,"²")+COUNTIF($E162:N162,"µ")+COUNTIF($E162:N162,1)-1,INDEX(Roadmap!$D:$K,MATCH($E162,Roadmap!$D:$D,0)-1+COUNTIF($E162:N162,"u")+COUNTIF($E162:N162,"t")+COUNTIF($E162:N162,"¶")+COUNTIF($E162:N162,"²")+COUNTIF($E162:N162,"µ")+COUNTIF($E162:N162,1),ColDescriptionCourte)),""),
  "")),"")</f>
        <v/>
      </c>
      <c r="P162" s="40" t="str">
        <f ca="1">IFERROR(IF(AND(
  INDEX(Roadmap!$D:$K,MATCH($E162,Roadmap!$D:$D,0)+COUNTIF($E162:O162,"u")+COUNTIF($E162:O162,"t")+COUNTIF($E162:O162,"¶")+COUNTIF($E162:O162,"²")+COUNTIF($E162:O162,"µ")+COUNTIF($E162:O162,1),ColLivraison)=P$6,
  VLOOKUP($E162,INDIRECT("tri!"&amp; CHAR(64+ C0Col) &amp;":"&amp; CHAR(65+C0Col)),2,FALSE)&gt;COUNTIF($E162:O162,"u")+COUNTIF($E162:O162,"t")+COUNTIF($E162:O162,"¶")+COUNTIF($E162:O162,"²")+COUNTIF($E162:O162,"µ")+COUNTIF($E162:O162,1)),
HYPERLINK("#Roadmap!C"&amp; MATCH($E162,Roadmap!$D:$D,0)+COUNTIF($E162:O162,"u")+COUNTIF($E162:O162,"t"),
     INDEX(Roadmap!$D:$K,MATCH($E162,Roadmap!$D:$D,0)+COUNTIF($E162:O162,"u")+COUNTIF($E162:O162,"t")+COUNTIF($E162:O162,"¶")+COUNTIF($E162:O162,"²")+COUNTIF($E162:O162,"µ")+COUNTIF($E162:O162,1),ColTypeEcheance)),
  IF(LEN(O162)=1,
  IF(LEN(INDEX(Roadmap!$D:$K,MATCH($E162,Roadmap!$D:$D,0)-1+COUNTIF($E162:O162,"u")+COUNTIF($E162:O162,"t")+COUNTIF($E162:O162,"¶")+COUNTIF($E162:O162,"²")+COUNTIF($E162:O162,"µ")+COUNTIF($E162:O162,1),ColDescriptionCourte))&gt;1,
HYPERLINK("#Roadmap!C"&amp; MATCH($E162,Roadmap!$D:$D,0)+COUNTIF($E162:O162,"u")+COUNTIF($E162:O162,"t")+COUNTIF($E162:O162,"¶")+COUNTIF($E162:O162,"²")+COUNTIF($E162:O162,"µ")+COUNTIF($E162:O162,1)-1,INDEX(Roadmap!$D:$K,MATCH($E162,Roadmap!$D:$D,0)-1+COUNTIF($E162:O162,"u")+COUNTIF($E162:O162,"t")+COUNTIF($E162:O162,"¶")+COUNTIF($E162:O162,"²")+COUNTIF($E162:O162,"µ")+COUNTIF($E162:O162,1),ColDescriptionCourte)),""),
  "")),"")</f>
        <v/>
      </c>
      <c r="Q162" s="40" t="str">
        <f ca="1">IFERROR(IF(AND(
  INDEX(Roadmap!$D:$K,MATCH($E162,Roadmap!$D:$D,0)+COUNTIF($E162:P162,"u")+COUNTIF($E162:P162,"t")+COUNTIF($E162:P162,"¶")+COUNTIF($E162:P162,"²")+COUNTIF($E162:P162,"µ")+COUNTIF($E162:P162,1),ColLivraison)=Q$6,
  VLOOKUP($E162,INDIRECT("tri!"&amp; CHAR(64+ C0Col) &amp;":"&amp; CHAR(65+C0Col)),2,FALSE)&gt;COUNTIF($E162:P162,"u")+COUNTIF($E162:P162,"t")+COUNTIF($E162:P162,"¶")+COUNTIF($E162:P162,"²")+COUNTIF($E162:P162,"µ")+COUNTIF($E162:P162,1)),
HYPERLINK("#Roadmap!C"&amp; MATCH($E162,Roadmap!$D:$D,0)+COUNTIF($E162:P162,"u")+COUNTIF($E162:P162,"t"),
     INDEX(Roadmap!$D:$K,MATCH($E162,Roadmap!$D:$D,0)+COUNTIF($E162:P162,"u")+COUNTIF($E162:P162,"t")+COUNTIF($E162:P162,"¶")+COUNTIF($E162:P162,"²")+COUNTIF($E162:P162,"µ")+COUNTIF($E162:P162,1),ColTypeEcheance)),
  IF(LEN(P162)=1,
  IF(LEN(INDEX(Roadmap!$D:$K,MATCH($E162,Roadmap!$D:$D,0)-1+COUNTIF($E162:P162,"u")+COUNTIF($E162:P162,"t")+COUNTIF($E162:P162,"¶")+COUNTIF($E162:P162,"²")+COUNTIF($E162:P162,"µ")+COUNTIF($E162:P162,1),ColDescriptionCourte))&gt;1,
HYPERLINK("#Roadmap!C"&amp; MATCH($E162,Roadmap!$D:$D,0)+COUNTIF($E162:P162,"u")+COUNTIF($E162:P162,"t")+COUNTIF($E162:P162,"¶")+COUNTIF($E162:P162,"²")+COUNTIF($E162:P162,"µ")+COUNTIF($E162:P162,1)-1,INDEX(Roadmap!$D:$K,MATCH($E162,Roadmap!$D:$D,0)-1+COUNTIF($E162:P162,"u")+COUNTIF($E162:P162,"t")+COUNTIF($E162:P162,"¶")+COUNTIF($E162:P162,"²")+COUNTIF($E162:P162,"µ")+COUNTIF($E162:P162,1),ColDescriptionCourte)),""),
  "")),"")</f>
        <v/>
      </c>
      <c r="R162" s="40" t="str">
        <f ca="1">IFERROR(IF(AND(
  INDEX(Roadmap!$D:$K,MATCH($E162,Roadmap!$D:$D,0)+COUNTIF($E162:Q162,"u")+COUNTIF($E162:Q162,"t")+COUNTIF($E162:Q162,"¶")+COUNTIF($E162:Q162,"²")+COUNTIF($E162:Q162,"µ")+COUNTIF($E162:Q162,1),ColLivraison)=R$6,
  VLOOKUP($E162,INDIRECT("tri!"&amp; CHAR(64+ C0Col) &amp;":"&amp; CHAR(65+C0Col)),2,FALSE)&gt;COUNTIF($E162:Q162,"u")+COUNTIF($E162:Q162,"t")+COUNTIF($E162:Q162,"¶")+COUNTIF($E162:Q162,"²")+COUNTIF($E162:Q162,"µ")+COUNTIF($E162:Q162,1)),
HYPERLINK("#Roadmap!C"&amp; MATCH($E162,Roadmap!$D:$D,0)+COUNTIF($E162:Q162,"u")+COUNTIF($E162:Q162,"t"),
     INDEX(Roadmap!$D:$K,MATCH($E162,Roadmap!$D:$D,0)+COUNTIF($E162:Q162,"u")+COUNTIF($E162:Q162,"t")+COUNTIF($E162:Q162,"¶")+COUNTIF($E162:Q162,"²")+COUNTIF($E162:Q162,"µ")+COUNTIF($E162:Q162,1),ColTypeEcheance)),
  IF(LEN(Q162)=1,
  IF(LEN(INDEX(Roadmap!$D:$K,MATCH($E162,Roadmap!$D:$D,0)-1+COUNTIF($E162:Q162,"u")+COUNTIF($E162:Q162,"t")+COUNTIF($E162:Q162,"¶")+COUNTIF($E162:Q162,"²")+COUNTIF($E162:Q162,"µ")+COUNTIF($E162:Q162,1),ColDescriptionCourte))&gt;1,
HYPERLINK("#Roadmap!C"&amp; MATCH($E162,Roadmap!$D:$D,0)+COUNTIF($E162:Q162,"u")+COUNTIF($E162:Q162,"t")+COUNTIF($E162:Q162,"¶")+COUNTIF($E162:Q162,"²")+COUNTIF($E162:Q162,"µ")+COUNTIF($E162:Q162,1)-1,INDEX(Roadmap!$D:$K,MATCH($E162,Roadmap!$D:$D,0)-1+COUNTIF($E162:Q162,"u")+COUNTIF($E162:Q162,"t")+COUNTIF($E162:Q162,"¶")+COUNTIF($E162:Q162,"²")+COUNTIF($E162:Q162,"µ")+COUNTIF($E162:Q162,1),ColDescriptionCourte)),""),
  "")),"")</f>
        <v/>
      </c>
      <c r="S162" s="40" t="str">
        <f ca="1">IFERROR(IF(AND(
  INDEX(Roadmap!$D:$K,MATCH($E162,Roadmap!$D:$D,0)+COUNTIF($E162:R162,"u")+COUNTIF($E162:R162,"t")+COUNTIF($E162:R162,"¶")+COUNTIF($E162:R162,"²")+COUNTIF($E162:R162,"µ")+COUNTIF($E162:R162,1),ColLivraison)=S$6,
  VLOOKUP($E162,INDIRECT("tri!"&amp; CHAR(64+ C0Col) &amp;":"&amp; CHAR(65+C0Col)),2,FALSE)&gt;COUNTIF($E162:R162,"u")+COUNTIF($E162:R162,"t")+COUNTIF($E162:R162,"¶")+COUNTIF($E162:R162,"²")+COUNTIF($E162:R162,"µ")+COUNTIF($E162:R162,1)),
HYPERLINK("#Roadmap!C"&amp; MATCH($E162,Roadmap!$D:$D,0)+COUNTIF($E162:R162,"u")+COUNTIF($E162:R162,"t"),
     INDEX(Roadmap!$D:$K,MATCH($E162,Roadmap!$D:$D,0)+COUNTIF($E162:R162,"u")+COUNTIF($E162:R162,"t")+COUNTIF($E162:R162,"¶")+COUNTIF($E162:R162,"²")+COUNTIF($E162:R162,"µ")+COUNTIF($E162:R162,1),ColTypeEcheance)),
  IF(LEN(R162)=1,
  IF(LEN(INDEX(Roadmap!$D:$K,MATCH($E162,Roadmap!$D:$D,0)-1+COUNTIF($E162:R162,"u")+COUNTIF($E162:R162,"t")+COUNTIF($E162:R162,"¶")+COUNTIF($E162:R162,"²")+COUNTIF($E162:R162,"µ")+COUNTIF($E162:R162,1),ColDescriptionCourte))&gt;1,
HYPERLINK("#Roadmap!C"&amp; MATCH($E162,Roadmap!$D:$D,0)+COUNTIF($E162:R162,"u")+COUNTIF($E162:R162,"t")+COUNTIF($E162:R162,"¶")+COUNTIF($E162:R162,"²")+COUNTIF($E162:R162,"µ")+COUNTIF($E162:R162,1)-1,INDEX(Roadmap!$D:$K,MATCH($E162,Roadmap!$D:$D,0)-1+COUNTIF($E162:R162,"u")+COUNTIF($E162:R162,"t")+COUNTIF($E162:R162,"¶")+COUNTIF($E162:R162,"²")+COUNTIF($E162:R162,"µ")+COUNTIF($E162:R162,1),ColDescriptionCourte)),""),
  "")),"")</f>
        <v/>
      </c>
      <c r="T162" s="40" t="str">
        <f ca="1">IFERROR(IF(AND(
  INDEX(Roadmap!$D:$K,MATCH($E162,Roadmap!$D:$D,0)+COUNTIF($E162:S162,"u")+COUNTIF($E162:S162,"t")+COUNTIF($E162:S162,"¶")+COUNTIF($E162:S162,"²")+COUNTIF($E162:S162,"µ")+COUNTIF($E162:S162,1),ColLivraison)=T$6,
  VLOOKUP($E162,INDIRECT("tri!"&amp; CHAR(64+ C0Col) &amp;":"&amp; CHAR(65+C0Col)),2,FALSE)&gt;COUNTIF($E162:S162,"u")+COUNTIF($E162:S162,"t")+COUNTIF($E162:S162,"¶")+COUNTIF($E162:S162,"²")+COUNTIF($E162:S162,"µ")+COUNTIF($E162:S162,1)),
HYPERLINK("#Roadmap!C"&amp; MATCH($E162,Roadmap!$D:$D,0)+COUNTIF($E162:S162,"u")+COUNTIF($E162:S162,"t"),
     INDEX(Roadmap!$D:$K,MATCH($E162,Roadmap!$D:$D,0)+COUNTIF($E162:S162,"u")+COUNTIF($E162:S162,"t")+COUNTIF($E162:S162,"¶")+COUNTIF($E162:S162,"²")+COUNTIF($E162:S162,"µ")+COUNTIF($E162:S162,1),ColTypeEcheance)),
  IF(LEN(S162)=1,
  IF(LEN(INDEX(Roadmap!$D:$K,MATCH($E162,Roadmap!$D:$D,0)-1+COUNTIF($E162:S162,"u")+COUNTIF($E162:S162,"t")+COUNTIF($E162:S162,"¶")+COUNTIF($E162:S162,"²")+COUNTIF($E162:S162,"µ")+COUNTIF($E162:S162,1),ColDescriptionCourte))&gt;1,
HYPERLINK("#Roadmap!C"&amp; MATCH($E162,Roadmap!$D:$D,0)+COUNTIF($E162:S162,"u")+COUNTIF($E162:S162,"t")+COUNTIF($E162:S162,"¶")+COUNTIF($E162:S162,"²")+COUNTIF($E162:S162,"µ")+COUNTIF($E162:S162,1)-1,INDEX(Roadmap!$D:$K,MATCH($E162,Roadmap!$D:$D,0)-1+COUNTIF($E162:S162,"u")+COUNTIF($E162:S162,"t")+COUNTIF($E162:S162,"¶")+COUNTIF($E162:S162,"²")+COUNTIF($E162:S162,"µ")+COUNTIF($E162:S162,1),ColDescriptionCourte)),""),
  "")),"")</f>
        <v/>
      </c>
      <c r="U162" s="40" t="str">
        <f ca="1">IFERROR(IF(AND(
  INDEX(Roadmap!$D:$K,MATCH($E162,Roadmap!$D:$D,0)+COUNTIF($E162:T162,"u")+COUNTIF($E162:T162,"t")+COUNTIF($E162:T162,"¶")+COUNTIF($E162:T162,"²")+COUNTIF($E162:T162,"µ")+COUNTIF($E162:T162,1),ColLivraison)=U$6,
  VLOOKUP($E162,INDIRECT("tri!"&amp; CHAR(64+ C0Col) &amp;":"&amp; CHAR(65+C0Col)),2,FALSE)&gt;COUNTIF($E162:T162,"u")+COUNTIF($E162:T162,"t")+COUNTIF($E162:T162,"¶")+COUNTIF($E162:T162,"²")+COUNTIF($E162:T162,"µ")+COUNTIF($E162:T162,1)),
HYPERLINK("#Roadmap!C"&amp; MATCH($E162,Roadmap!$D:$D,0)+COUNTIF($E162:T162,"u")+COUNTIF($E162:T162,"t"),
     INDEX(Roadmap!$D:$K,MATCH($E162,Roadmap!$D:$D,0)+COUNTIF($E162:T162,"u")+COUNTIF($E162:T162,"t")+COUNTIF($E162:T162,"¶")+COUNTIF($E162:T162,"²")+COUNTIF($E162:T162,"µ")+COUNTIF($E162:T162,1),ColTypeEcheance)),
  IF(LEN(T162)=1,
  IF(LEN(INDEX(Roadmap!$D:$K,MATCH($E162,Roadmap!$D:$D,0)-1+COUNTIF($E162:T162,"u")+COUNTIF($E162:T162,"t")+COUNTIF($E162:T162,"¶")+COUNTIF($E162:T162,"²")+COUNTIF($E162:T162,"µ")+COUNTIF($E162:T162,1),ColDescriptionCourte))&gt;1,
HYPERLINK("#Roadmap!C"&amp; MATCH($E162,Roadmap!$D:$D,0)+COUNTIF($E162:T162,"u")+COUNTIF($E162:T162,"t")+COUNTIF($E162:T162,"¶")+COUNTIF($E162:T162,"²")+COUNTIF($E162:T162,"µ")+COUNTIF($E162:T162,1)-1,INDEX(Roadmap!$D:$K,MATCH($E162,Roadmap!$D:$D,0)-1+COUNTIF($E162:T162,"u")+COUNTIF($E162:T162,"t")+COUNTIF($E162:T162,"¶")+COUNTIF($E162:T162,"²")+COUNTIF($E162:T162,"µ")+COUNTIF($E162:T162,1),ColDescriptionCourte)),""),
  "")),"")</f>
        <v/>
      </c>
      <c r="V162" s="40" t="str">
        <f ca="1">IFERROR(IF(AND(
  INDEX(Roadmap!$D:$K,MATCH($E162,Roadmap!$D:$D,0)+COUNTIF($E162:U162,"u")+COUNTIF($E162:U162,"t")+COUNTIF($E162:U162,"¶")+COUNTIF($E162:U162,"²")+COUNTIF($E162:U162,"µ")+COUNTIF($E162:U162,1),ColLivraison)=V$6,
  VLOOKUP($E162,INDIRECT("tri!"&amp; CHAR(64+ C0Col) &amp;":"&amp; CHAR(65+C0Col)),2,FALSE)&gt;COUNTIF($E162:U162,"u")+COUNTIF($E162:U162,"t")+COUNTIF($E162:U162,"¶")+COUNTIF($E162:U162,"²")+COUNTIF($E162:U162,"µ")+COUNTIF($E162:U162,1)),
HYPERLINK("#Roadmap!C"&amp; MATCH($E162,Roadmap!$D:$D,0)+COUNTIF($E162:U162,"u")+COUNTIF($E162:U162,"t"),
     INDEX(Roadmap!$D:$K,MATCH($E162,Roadmap!$D:$D,0)+COUNTIF($E162:U162,"u")+COUNTIF($E162:U162,"t")+COUNTIF($E162:U162,"¶")+COUNTIF($E162:U162,"²")+COUNTIF($E162:U162,"µ")+COUNTIF($E162:U162,1),ColTypeEcheance)),
  IF(LEN(U162)=1,
  IF(LEN(INDEX(Roadmap!$D:$K,MATCH($E162,Roadmap!$D:$D,0)-1+COUNTIF($E162:U162,"u")+COUNTIF($E162:U162,"t")+COUNTIF($E162:U162,"¶")+COUNTIF($E162:U162,"²")+COUNTIF($E162:U162,"µ")+COUNTIF($E162:U162,1),ColDescriptionCourte))&gt;1,
HYPERLINK("#Roadmap!C"&amp; MATCH($E162,Roadmap!$D:$D,0)+COUNTIF($E162:U162,"u")+COUNTIF($E162:U162,"t")+COUNTIF($E162:U162,"¶")+COUNTIF($E162:U162,"²")+COUNTIF($E162:U162,"µ")+COUNTIF($E162:U162,1)-1,INDEX(Roadmap!$D:$K,MATCH($E162,Roadmap!$D:$D,0)-1+COUNTIF($E162:U162,"u")+COUNTIF($E162:U162,"t")+COUNTIF($E162:U162,"¶")+COUNTIF($E162:U162,"²")+COUNTIF($E162:U162,"µ")+COUNTIF($E162:U162,1),ColDescriptionCourte)),""),
  "")),"")</f>
        <v/>
      </c>
      <c r="W162" s="40" t="str">
        <f ca="1">IFERROR(IF(AND(
  INDEX(Roadmap!$D:$K,MATCH($E162,Roadmap!$D:$D,0)+COUNTIF($E162:V162,"u")+COUNTIF($E162:V162,"t")+COUNTIF($E162:V162,"¶")+COUNTIF($E162:V162,"²")+COUNTIF($E162:V162,"µ")+COUNTIF($E162:V162,1),ColLivraison)=W$6,
  VLOOKUP($E162,INDIRECT("tri!"&amp; CHAR(64+ C0Col) &amp;":"&amp; CHAR(65+C0Col)),2,FALSE)&gt;COUNTIF($E162:V162,"u")+COUNTIF($E162:V162,"t")+COUNTIF($E162:V162,"¶")+COUNTIF($E162:V162,"²")+COUNTIF($E162:V162,"µ")+COUNTIF($E162:V162,1)),
HYPERLINK("#Roadmap!C"&amp; MATCH($E162,Roadmap!$D:$D,0)+COUNTIF($E162:V162,"u")+COUNTIF($E162:V162,"t"),
     INDEX(Roadmap!$D:$K,MATCH($E162,Roadmap!$D:$D,0)+COUNTIF($E162:V162,"u")+COUNTIF($E162:V162,"t")+COUNTIF($E162:V162,"¶")+COUNTIF($E162:V162,"²")+COUNTIF($E162:V162,"µ")+COUNTIF($E162:V162,1),ColTypeEcheance)),
  IF(LEN(V162)=1,
  IF(LEN(INDEX(Roadmap!$D:$K,MATCH($E162,Roadmap!$D:$D,0)-1+COUNTIF($E162:V162,"u")+COUNTIF($E162:V162,"t")+COUNTIF($E162:V162,"¶")+COUNTIF($E162:V162,"²")+COUNTIF($E162:V162,"µ")+COUNTIF($E162:V162,1),ColDescriptionCourte))&gt;1,
HYPERLINK("#Roadmap!C"&amp; MATCH($E162,Roadmap!$D:$D,0)+COUNTIF($E162:V162,"u")+COUNTIF($E162:V162,"t")+COUNTIF($E162:V162,"¶")+COUNTIF($E162:V162,"²")+COUNTIF($E162:V162,"µ")+COUNTIF($E162:V162,1)-1,INDEX(Roadmap!$D:$K,MATCH($E162,Roadmap!$D:$D,0)-1+COUNTIF($E162:V162,"u")+COUNTIF($E162:V162,"t")+COUNTIF($E162:V162,"¶")+COUNTIF($E162:V162,"²")+COUNTIF($E162:V162,"µ")+COUNTIF($E162:V162,1),ColDescriptionCourte)),""),
  "")),"")</f>
        <v/>
      </c>
      <c r="X162" s="40" t="str">
        <f ca="1">IFERROR(IF(AND(
  INDEX(Roadmap!$D:$K,MATCH($E162,Roadmap!$D:$D,0)+COUNTIF($E162:W162,"u")+COUNTIF($E162:W162,"t")+COUNTIF($E162:W162,"¶")+COUNTIF($E162:W162,"²")+COUNTIF($E162:W162,"µ")+COUNTIF($E162:W162,1),ColLivraison)=X$6,
  VLOOKUP($E162,INDIRECT("tri!"&amp; CHAR(64+ C0Col) &amp;":"&amp; CHAR(65+C0Col)),2,FALSE)&gt;COUNTIF($E162:W162,"u")+COUNTIF($E162:W162,"t")+COUNTIF($E162:W162,"¶")+COUNTIF($E162:W162,"²")+COUNTIF($E162:W162,"µ")+COUNTIF($E162:W162,1)),
HYPERLINK("#Roadmap!C"&amp; MATCH($E162,Roadmap!$D:$D,0)+COUNTIF($E162:W162,"u")+COUNTIF($E162:W162,"t"),
     INDEX(Roadmap!$D:$K,MATCH($E162,Roadmap!$D:$D,0)+COUNTIF($E162:W162,"u")+COUNTIF($E162:W162,"t")+COUNTIF($E162:W162,"¶")+COUNTIF($E162:W162,"²")+COUNTIF($E162:W162,"µ")+COUNTIF($E162:W162,1),ColTypeEcheance)),
  IF(LEN(W162)=1,
  IF(LEN(INDEX(Roadmap!$D:$K,MATCH($E162,Roadmap!$D:$D,0)-1+COUNTIF($E162:W162,"u")+COUNTIF($E162:W162,"t")+COUNTIF($E162:W162,"¶")+COUNTIF($E162:W162,"²")+COUNTIF($E162:W162,"µ")+COUNTIF($E162:W162,1),ColDescriptionCourte))&gt;1,
HYPERLINK("#Roadmap!C"&amp; MATCH($E162,Roadmap!$D:$D,0)+COUNTIF($E162:W162,"u")+COUNTIF($E162:W162,"t")+COUNTIF($E162:W162,"¶")+COUNTIF($E162:W162,"²")+COUNTIF($E162:W162,"µ")+COUNTIF($E162:W162,1)-1,INDEX(Roadmap!$D:$K,MATCH($E162,Roadmap!$D:$D,0)-1+COUNTIF($E162:W162,"u")+COUNTIF($E162:W162,"t")+COUNTIF($E162:W162,"¶")+COUNTIF($E162:W162,"²")+COUNTIF($E162:W162,"µ")+COUNTIF($E162:W162,1),ColDescriptionCourte)),""),
  "")),"")</f>
        <v/>
      </c>
      <c r="Y162" s="40" t="str">
        <f ca="1">IFERROR(IF(AND(
  INDEX(Roadmap!$D:$K,MATCH($E162,Roadmap!$D:$D,0)+COUNTIF($E162:X162,"u")+COUNTIF($E162:X162,"t")+COUNTIF($E162:X162,"¶")+COUNTIF($E162:X162,"²")+COUNTIF($E162:X162,"µ")+COUNTIF($E162:X162,1),ColLivraison)=Y$6,
  VLOOKUP($E162,INDIRECT("tri!"&amp; CHAR(64+ C0Col) &amp;":"&amp; CHAR(65+C0Col)),2,FALSE)&gt;COUNTIF($E162:X162,"u")+COUNTIF($E162:X162,"t")+COUNTIF($E162:X162,"¶")+COUNTIF($E162:X162,"²")+COUNTIF($E162:X162,"µ")+COUNTIF($E162:X162,1)),
HYPERLINK("#Roadmap!C"&amp; MATCH($E162,Roadmap!$D:$D,0)+COUNTIF($E162:X162,"u")+COUNTIF($E162:X162,"t"),
     INDEX(Roadmap!$D:$K,MATCH($E162,Roadmap!$D:$D,0)+COUNTIF($E162:X162,"u")+COUNTIF($E162:X162,"t")+COUNTIF($E162:X162,"¶")+COUNTIF($E162:X162,"²")+COUNTIF($E162:X162,"µ")+COUNTIF($E162:X162,1),ColTypeEcheance)),
  IF(LEN(X162)=1,
  IF(LEN(INDEX(Roadmap!$D:$K,MATCH($E162,Roadmap!$D:$D,0)-1+COUNTIF($E162:X162,"u")+COUNTIF($E162:X162,"t")+COUNTIF($E162:X162,"¶")+COUNTIF($E162:X162,"²")+COUNTIF($E162:X162,"µ")+COUNTIF($E162:X162,1),ColDescriptionCourte))&gt;1,
HYPERLINK("#Roadmap!C"&amp; MATCH($E162,Roadmap!$D:$D,0)+COUNTIF($E162:X162,"u")+COUNTIF($E162:X162,"t")+COUNTIF($E162:X162,"¶")+COUNTIF($E162:X162,"²")+COUNTIF($E162:X162,"µ")+COUNTIF($E162:X162,1)-1,INDEX(Roadmap!$D:$K,MATCH($E162,Roadmap!$D:$D,0)-1+COUNTIF($E162:X162,"u")+COUNTIF($E162:X162,"t")+COUNTIF($E162:X162,"¶")+COUNTIF($E162:X162,"²")+COUNTIF($E162:X162,"µ")+COUNTIF($E162:X162,1),ColDescriptionCourte)),""),
  "")),"")</f>
        <v/>
      </c>
      <c r="Z162" s="40" t="str">
        <f ca="1">IFERROR(IF(AND(
  INDEX(Roadmap!$D:$K,MATCH($E162,Roadmap!$D:$D,0)+COUNTIF($E162:Y162,"u")+COUNTIF($E162:Y162,"t")+COUNTIF($E162:Y162,"¶")+COUNTIF($E162:Y162,"²")+COUNTIF($E162:Y162,"µ")+COUNTIF($E162:Y162,1),ColLivraison)=Z$6,
  VLOOKUP($E162,INDIRECT("tri!"&amp; CHAR(64+ C0Col) &amp;":"&amp; CHAR(65+C0Col)),2,FALSE)&gt;COUNTIF($E162:Y162,"u")+COUNTIF($E162:Y162,"t")+COUNTIF($E162:Y162,"¶")+COUNTIF($E162:Y162,"²")+COUNTIF($E162:Y162,"µ")+COUNTIF($E162:Y162,1)),
HYPERLINK("#Roadmap!C"&amp; MATCH($E162,Roadmap!$D:$D,0)+COUNTIF($E162:Y162,"u")+COUNTIF($E162:Y162,"t"),
     INDEX(Roadmap!$D:$K,MATCH($E162,Roadmap!$D:$D,0)+COUNTIF($E162:Y162,"u")+COUNTIF($E162:Y162,"t")+COUNTIF($E162:Y162,"¶")+COUNTIF($E162:Y162,"²")+COUNTIF($E162:Y162,"µ")+COUNTIF($E162:Y162,1),ColTypeEcheance)),
  IF(LEN(Y162)=1,
  IF(LEN(INDEX(Roadmap!$D:$K,MATCH($E162,Roadmap!$D:$D,0)-1+COUNTIF($E162:Y162,"u")+COUNTIF($E162:Y162,"t")+COUNTIF($E162:Y162,"¶")+COUNTIF($E162:Y162,"²")+COUNTIF($E162:Y162,"µ")+COUNTIF($E162:Y162,1),ColDescriptionCourte))&gt;1,
HYPERLINK("#Roadmap!C"&amp; MATCH($E162,Roadmap!$D:$D,0)+COUNTIF($E162:Y162,"u")+COUNTIF($E162:Y162,"t")+COUNTIF($E162:Y162,"¶")+COUNTIF($E162:Y162,"²")+COUNTIF($E162:Y162,"µ")+COUNTIF($E162:Y162,1)-1,INDEX(Roadmap!$D:$K,MATCH($E162,Roadmap!$D:$D,0)-1+COUNTIF($E162:Y162,"u")+COUNTIF($E162:Y162,"t")+COUNTIF($E162:Y162,"¶")+COUNTIF($E162:Y162,"²")+COUNTIF($E162:Y162,"µ")+COUNTIF($E162:Y162,1),ColDescriptionCourte)),""),
  "")),"")</f>
        <v/>
      </c>
      <c r="AA162" s="40" t="str">
        <f ca="1">IFERROR(IF(AND(
  INDEX(Roadmap!$D:$K,MATCH($E162,Roadmap!$D:$D,0)+COUNTIF($E162:Z162,"u")+COUNTIF($E162:Z162,"t")+COUNTIF($E162:Z162,"¶")+COUNTIF($E162:Z162,"²")+COUNTIF($E162:Z162,"µ")+COUNTIF($E162:Z162,1),ColLivraison)=AA$6,
  VLOOKUP($E162,INDIRECT("tri!"&amp; CHAR(64+ C0Col) &amp;":"&amp; CHAR(65+C0Col)),2,FALSE)&gt;COUNTIF($E162:Z162,"u")+COUNTIF($E162:Z162,"t")+COUNTIF($E162:Z162,"¶")+COUNTIF($E162:Z162,"²")+COUNTIF($E162:Z162,"µ")+COUNTIF($E162:Z162,1)),
HYPERLINK("#Roadmap!C"&amp; MATCH($E162,Roadmap!$D:$D,0)+COUNTIF($E162:Z162,"u")+COUNTIF($E162:Z162,"t"),
     INDEX(Roadmap!$D:$K,MATCH($E162,Roadmap!$D:$D,0)+COUNTIF($E162:Z162,"u")+COUNTIF($E162:Z162,"t")+COUNTIF($E162:Z162,"¶")+COUNTIF($E162:Z162,"²")+COUNTIF($E162:Z162,"µ")+COUNTIF($E162:Z162,1),ColTypeEcheance)),
  IF(LEN(Z162)=1,
  IF(LEN(INDEX(Roadmap!$D:$K,MATCH($E162,Roadmap!$D:$D,0)-1+COUNTIF($E162:Z162,"u")+COUNTIF($E162:Z162,"t")+COUNTIF($E162:Z162,"¶")+COUNTIF($E162:Z162,"²")+COUNTIF($E162:Z162,"µ")+COUNTIF($E162:Z162,1),ColDescriptionCourte))&gt;1,
HYPERLINK("#Roadmap!C"&amp; MATCH($E162,Roadmap!$D:$D,0)+COUNTIF($E162:Z162,"u")+COUNTIF($E162:Z162,"t")+COUNTIF($E162:Z162,"¶")+COUNTIF($E162:Z162,"²")+COUNTIF($E162:Z162,"µ")+COUNTIF($E162:Z162,1)-1,INDEX(Roadmap!$D:$K,MATCH($E162,Roadmap!$D:$D,0)-1+COUNTIF($E162:Z162,"u")+COUNTIF($E162:Z162,"t")+COUNTIF($E162:Z162,"¶")+COUNTIF($E162:Z162,"²")+COUNTIF($E162:Z162,"µ")+COUNTIF($E162:Z162,1),ColDescriptionCourte)),""),
  "")),"")</f>
        <v/>
      </c>
      <c r="AB162" s="40" t="str">
        <f ca="1">IFERROR(IF(AND(
  INDEX(Roadmap!$D:$K,MATCH($E162,Roadmap!$D:$D,0)+COUNTIF($E162:AA162,"u")+COUNTIF($E162:AA162,"t")+COUNTIF($E162:AA162,"¶")+COUNTIF($E162:AA162,"²")+COUNTIF($E162:AA162,"µ")+COUNTIF($E162:AA162,1),ColLivraison)=AB$6,
  VLOOKUP($E162,INDIRECT("tri!"&amp; CHAR(64+ C0Col) &amp;":"&amp; CHAR(65+C0Col)),2,FALSE)&gt;COUNTIF($E162:AA162,"u")+COUNTIF($E162:AA162,"t")+COUNTIF($E162:AA162,"¶")+COUNTIF($E162:AA162,"²")+COUNTIF($E162:AA162,"µ")+COUNTIF($E162:AA162,1)),
HYPERLINK("#Roadmap!C"&amp; MATCH($E162,Roadmap!$D:$D,0)+COUNTIF($E162:AA162,"u")+COUNTIF($E162:AA162,"t"),
     INDEX(Roadmap!$D:$K,MATCH($E162,Roadmap!$D:$D,0)+COUNTIF($E162:AA162,"u")+COUNTIF($E162:AA162,"t")+COUNTIF($E162:AA162,"¶")+COUNTIF($E162:AA162,"²")+COUNTIF($E162:AA162,"µ")+COUNTIF($E162:AA162,1),ColTypeEcheance)),
  IF(LEN(AA162)=1,
  IF(LEN(INDEX(Roadmap!$D:$K,MATCH($E162,Roadmap!$D:$D,0)-1+COUNTIF($E162:AA162,"u")+COUNTIF($E162:AA162,"t")+COUNTIF($E162:AA162,"¶")+COUNTIF($E162:AA162,"²")+COUNTIF($E162:AA162,"µ")+COUNTIF($E162:AA162,1),ColDescriptionCourte))&gt;1,
HYPERLINK("#Roadmap!C"&amp; MATCH($E162,Roadmap!$D:$D,0)+COUNTIF($E162:AA162,"u")+COUNTIF($E162:AA162,"t")+COUNTIF($E162:AA162,"¶")+COUNTIF($E162:AA162,"²")+COUNTIF($E162:AA162,"µ")+COUNTIF($E162:AA162,1)-1,INDEX(Roadmap!$D:$K,MATCH($E162,Roadmap!$D:$D,0)-1+COUNTIF($E162:AA162,"u")+COUNTIF($E162:AA162,"t")+COUNTIF($E162:AA162,"¶")+COUNTIF($E162:AA162,"²")+COUNTIF($E162:AA162,"µ")+COUNTIF($E162:AA162,1),ColDescriptionCourte)),""),
  "")),"")</f>
        <v/>
      </c>
      <c r="AC162" s="40" t="str">
        <f ca="1">IFERROR(IF(AND(
  INDEX(Roadmap!$D:$K,MATCH($E162,Roadmap!$D:$D,0)+COUNTIF($E162:AB162,"u")+COUNTIF($E162:AB162,"t")+COUNTIF($E162:AB162,"¶")+COUNTIF($E162:AB162,"²")+COUNTIF($E162:AB162,"µ")+COUNTIF($E162:AB162,1),ColLivraison)=AC$6,
  VLOOKUP($E162,INDIRECT("tri!"&amp; CHAR(64+ C0Col) &amp;":"&amp; CHAR(65+C0Col)),2,FALSE)&gt;COUNTIF($E162:AB162,"u")+COUNTIF($E162:AB162,"t")+COUNTIF($E162:AB162,"¶")+COUNTIF($E162:AB162,"²")+COUNTIF($E162:AB162,"µ")+COUNTIF($E162:AB162,1)),
HYPERLINK("#Roadmap!C"&amp; MATCH($E162,Roadmap!$D:$D,0)+COUNTIF($E162:AB162,"u")+COUNTIF($E162:AB162,"t"),
     INDEX(Roadmap!$D:$K,MATCH($E162,Roadmap!$D:$D,0)+COUNTIF($E162:AB162,"u")+COUNTIF($E162:AB162,"t")+COUNTIF($E162:AB162,"¶")+COUNTIF($E162:AB162,"²")+COUNTIF($E162:AB162,"µ")+COUNTIF($E162:AB162,1),ColTypeEcheance)),
  IF(LEN(AB162)=1,
  IF(LEN(INDEX(Roadmap!$D:$K,MATCH($E162,Roadmap!$D:$D,0)-1+COUNTIF($E162:AB162,"u")+COUNTIF($E162:AB162,"t")+COUNTIF($E162:AB162,"¶")+COUNTIF($E162:AB162,"²")+COUNTIF($E162:AB162,"µ")+COUNTIF($E162:AB162,1),ColDescriptionCourte))&gt;1,
HYPERLINK("#Roadmap!C"&amp; MATCH($E162,Roadmap!$D:$D,0)+COUNTIF($E162:AB162,"u")+COUNTIF($E162:AB162,"t")+COUNTIF($E162:AB162,"¶")+COUNTIF($E162:AB162,"²")+COUNTIF($E162:AB162,"µ")+COUNTIF($E162:AB162,1)-1,INDEX(Roadmap!$D:$K,MATCH($E162,Roadmap!$D:$D,0)-1+COUNTIF($E162:AB162,"u")+COUNTIF($E162:AB162,"t")+COUNTIF($E162:AB162,"¶")+COUNTIF($E162:AB162,"²")+COUNTIF($E162:AB162,"µ")+COUNTIF($E162:AB162,1),ColDescriptionCourte)),""),
  "")),"")</f>
        <v/>
      </c>
      <c r="AD162" s="40" t="str">
        <f ca="1">IFERROR(IF(AND(
  INDEX(Roadmap!$D:$K,MATCH($E162,Roadmap!$D:$D,0)+COUNTIF($E162:AC162,"u")+COUNTIF($E162:AC162,"t")+COUNTIF($E162:AC162,"¶")+COUNTIF($E162:AC162,"²")+COUNTIF($E162:AC162,"µ")+COUNTIF($E162:AC162,1),ColLivraison)=AD$6,
  VLOOKUP($E162,INDIRECT("tri!"&amp; CHAR(64+ C0Col) &amp;":"&amp; CHAR(65+C0Col)),2,FALSE)&gt;COUNTIF($E162:AC162,"u")+COUNTIF($E162:AC162,"t")+COUNTIF($E162:AC162,"¶")+COUNTIF($E162:AC162,"²")+COUNTIF($E162:AC162,"µ")+COUNTIF($E162:AC162,1)),
HYPERLINK("#Roadmap!C"&amp; MATCH($E162,Roadmap!$D:$D,0)+COUNTIF($E162:AC162,"u")+COUNTIF($E162:AC162,"t"),
     INDEX(Roadmap!$D:$K,MATCH($E162,Roadmap!$D:$D,0)+COUNTIF($E162:AC162,"u")+COUNTIF($E162:AC162,"t")+COUNTIF($E162:AC162,"¶")+COUNTIF($E162:AC162,"²")+COUNTIF($E162:AC162,"µ")+COUNTIF($E162:AC162,1),ColTypeEcheance)),
  IF(LEN(AC162)=1,
  IF(LEN(INDEX(Roadmap!$D:$K,MATCH($E162,Roadmap!$D:$D,0)-1+COUNTIF($E162:AC162,"u")+COUNTIF($E162:AC162,"t")+COUNTIF($E162:AC162,"¶")+COUNTIF($E162:AC162,"²")+COUNTIF($E162:AC162,"µ")+COUNTIF($E162:AC162,1),ColDescriptionCourte))&gt;1,
HYPERLINK("#Roadmap!C"&amp; MATCH($E162,Roadmap!$D:$D,0)+COUNTIF($E162:AC162,"u")+COUNTIF($E162:AC162,"t")+COUNTIF($E162:AC162,"¶")+COUNTIF($E162:AC162,"²")+COUNTIF($E162:AC162,"µ")+COUNTIF($E162:AC162,1)-1,INDEX(Roadmap!$D:$K,MATCH($E162,Roadmap!$D:$D,0)-1+COUNTIF($E162:AC162,"u")+COUNTIF($E162:AC162,"t")+COUNTIF($E162:AC162,"¶")+COUNTIF($E162:AC162,"²")+COUNTIF($E162:AC162,"µ")+COUNTIF($E162:AC162,1),ColDescriptionCourte)),""),
  "")),"")</f>
        <v/>
      </c>
      <c r="AE162" s="40" t="str">
        <f ca="1">IFERROR(IF(AND(
  INDEX(Roadmap!$D:$K,MATCH($E162,Roadmap!$D:$D,0)+COUNTIF($E162:AD162,"u")+COUNTIF($E162:AD162,"t")+COUNTIF($E162:AD162,"¶")+COUNTIF($E162:AD162,"²")+COUNTIF($E162:AD162,"µ")+COUNTIF($E162:AD162,1),ColLivraison)=AE$6,
  VLOOKUP($E162,INDIRECT("tri!"&amp; CHAR(64+ C0Col) &amp;":"&amp; CHAR(65+C0Col)),2,FALSE)&gt;COUNTIF($E162:AD162,"u")+COUNTIF($E162:AD162,"t")+COUNTIF($E162:AD162,"¶")+COUNTIF($E162:AD162,"²")+COUNTIF($E162:AD162,"µ")+COUNTIF($E162:AD162,1)),
HYPERLINK("#Roadmap!C"&amp; MATCH($E162,Roadmap!$D:$D,0)+COUNTIF($E162:AD162,"u")+COUNTIF($E162:AD162,"t"),
     INDEX(Roadmap!$D:$K,MATCH($E162,Roadmap!$D:$D,0)+COUNTIF($E162:AD162,"u")+COUNTIF($E162:AD162,"t")+COUNTIF($E162:AD162,"¶")+COUNTIF($E162:AD162,"²")+COUNTIF($E162:AD162,"µ")+COUNTIF($E162:AD162,1),ColTypeEcheance)),
  IF(LEN(AD162)=1,
  IF(LEN(INDEX(Roadmap!$D:$K,MATCH($E162,Roadmap!$D:$D,0)-1+COUNTIF($E162:AD162,"u")+COUNTIF($E162:AD162,"t")+COUNTIF($E162:AD162,"¶")+COUNTIF($E162:AD162,"²")+COUNTIF($E162:AD162,"µ")+COUNTIF($E162:AD162,1),ColDescriptionCourte))&gt;1,
HYPERLINK("#Roadmap!C"&amp; MATCH($E162,Roadmap!$D:$D,0)+COUNTIF($E162:AD162,"u")+COUNTIF($E162:AD162,"t")+COUNTIF($E162:AD162,"¶")+COUNTIF($E162:AD162,"²")+COUNTIF($E162:AD162,"µ")+COUNTIF($E162:AD162,1)-1,INDEX(Roadmap!$D:$K,MATCH($E162,Roadmap!$D:$D,0)-1+COUNTIF($E162:AD162,"u")+COUNTIF($E162:AD162,"t")+COUNTIF($E162:AD162,"¶")+COUNTIF($E162:AD162,"²")+COUNTIF($E162:AD162,"µ")+COUNTIF($E162:AD162,1),ColDescriptionCourte)),""),
  "")),"")</f>
        <v/>
      </c>
      <c r="AF162" s="40" t="str">
        <f ca="1">IFERROR(IF(AND(
  INDEX(Roadmap!$D:$K,MATCH($E162,Roadmap!$D:$D,0)+COUNTIF($E162:AE162,"u")+COUNTIF($E162:AE162,"t")+COUNTIF($E162:AE162,"¶")+COUNTIF($E162:AE162,"²")+COUNTIF($E162:AE162,"µ")+COUNTIF($E162:AE162,1),ColLivraison)=AF$6,
  VLOOKUP($E162,INDIRECT("tri!"&amp; CHAR(64+ C0Col) &amp;":"&amp; CHAR(65+C0Col)),2,FALSE)&gt;COUNTIF($E162:AE162,"u")+COUNTIF($E162:AE162,"t")+COUNTIF($E162:AE162,"¶")+COUNTIF($E162:AE162,"²")+COUNTIF($E162:AE162,"µ")+COUNTIF($E162:AE162,1)),
HYPERLINK("#Roadmap!C"&amp; MATCH($E162,Roadmap!$D:$D,0)+COUNTIF($E162:AE162,"u")+COUNTIF($E162:AE162,"t"),
     INDEX(Roadmap!$D:$K,MATCH($E162,Roadmap!$D:$D,0)+COUNTIF($E162:AE162,"u")+COUNTIF($E162:AE162,"t")+COUNTIF($E162:AE162,"¶")+COUNTIF($E162:AE162,"²")+COUNTIF($E162:AE162,"µ")+COUNTIF($E162:AE162,1),ColTypeEcheance)),
  IF(LEN(AE162)=1,
  IF(LEN(INDEX(Roadmap!$D:$K,MATCH($E162,Roadmap!$D:$D,0)-1+COUNTIF($E162:AE162,"u")+COUNTIF($E162:AE162,"t")+COUNTIF($E162:AE162,"¶")+COUNTIF($E162:AE162,"²")+COUNTIF($E162:AE162,"µ")+COUNTIF($E162:AE162,1),ColDescriptionCourte))&gt;1,
HYPERLINK("#Roadmap!C"&amp; MATCH($E162,Roadmap!$D:$D,0)+COUNTIF($E162:AE162,"u")+COUNTIF($E162:AE162,"t")+COUNTIF($E162:AE162,"¶")+COUNTIF($E162:AE162,"²")+COUNTIF($E162:AE162,"µ")+COUNTIF($E162:AE162,1)-1,INDEX(Roadmap!$D:$K,MATCH($E162,Roadmap!$D:$D,0)-1+COUNTIF($E162:AE162,"u")+COUNTIF($E162:AE162,"t")+COUNTIF($E162:AE162,"¶")+COUNTIF($E162:AE162,"²")+COUNTIF($E162:AE162,"µ")+COUNTIF($E162:AE162,1),ColDescriptionCourte)),""),
  "")),"")</f>
        <v/>
      </c>
      <c r="AG162" s="40" t="str">
        <f ca="1">IFERROR(IF(AND(
  INDEX(Roadmap!$D:$K,MATCH($E162,Roadmap!$D:$D,0)+COUNTIF($E162:AF162,"u")+COUNTIF($E162:AF162,"t")+COUNTIF($E162:AF162,"¶")+COUNTIF($E162:AF162,"²")+COUNTIF($E162:AF162,"µ")+COUNTIF($E162:AF162,1),ColLivraison)=AG$6,
  VLOOKUP($E162,INDIRECT("tri!"&amp; CHAR(64+ C0Col) &amp;":"&amp; CHAR(65+C0Col)),2,FALSE)&gt;COUNTIF($E162:AF162,"u")+COUNTIF($E162:AF162,"t")+COUNTIF($E162:AF162,"¶")+COUNTIF($E162:AF162,"²")+COUNTIF($E162:AF162,"µ")+COUNTIF($E162:AF162,1)),
HYPERLINK("#Roadmap!C"&amp; MATCH($E162,Roadmap!$D:$D,0)+COUNTIF($E162:AF162,"u")+COUNTIF($E162:AF162,"t"),
     INDEX(Roadmap!$D:$K,MATCH($E162,Roadmap!$D:$D,0)+COUNTIF($E162:AF162,"u")+COUNTIF($E162:AF162,"t")+COUNTIF($E162:AF162,"¶")+COUNTIF($E162:AF162,"²")+COUNTIF($E162:AF162,"µ")+COUNTIF($E162:AF162,1),ColTypeEcheance)),
  IF(LEN(AF162)=1,
  IF(LEN(INDEX(Roadmap!$D:$K,MATCH($E162,Roadmap!$D:$D,0)-1+COUNTIF($E162:AF162,"u")+COUNTIF($E162:AF162,"t")+COUNTIF($E162:AF162,"¶")+COUNTIF($E162:AF162,"²")+COUNTIF($E162:AF162,"µ")+COUNTIF($E162:AF162,1),ColDescriptionCourte))&gt;1,
HYPERLINK("#Roadmap!C"&amp; MATCH($E162,Roadmap!$D:$D,0)+COUNTIF($E162:AF162,"u")+COUNTIF($E162:AF162,"t")+COUNTIF($E162:AF162,"¶")+COUNTIF($E162:AF162,"²")+COUNTIF($E162:AF162,"µ")+COUNTIF($E162:AF162,1)-1,INDEX(Roadmap!$D:$K,MATCH($E162,Roadmap!$D:$D,0)-1+COUNTIF($E162:AF162,"u")+COUNTIF($E162:AF162,"t")+COUNTIF($E162:AF162,"¶")+COUNTIF($E162:AF162,"²")+COUNTIF($E162:AF162,"µ")+COUNTIF($E162:AF162,1),ColDescriptionCourte)),""),
  "")),"")</f>
        <v/>
      </c>
    </row>
    <row r="163" spans="3:33" ht="14.25" customHeight="1">
      <c r="C163" s="1" t="str">
        <f t="shared" ca="1" si="52"/>
        <v/>
      </c>
      <c r="D163" s="1" t="str">
        <f t="shared" ca="1" si="53"/>
        <v/>
      </c>
      <c r="E163" s="35" t="str">
        <f t="shared" ca="1" si="51"/>
        <v/>
      </c>
      <c r="F163" s="39" t="str">
        <f ca="1">IFERROR(IF(AND(
  INDEX(Roadmap!$D:$K,MATCH($E163,Roadmap!$D:$D,0)+COUNTIF($E163:E163,"u")+COUNTIF($E163:E163,"t")+COUNTIF($E163:E163,"¶")+COUNTIF($E163:E163,"²")+COUNTIF($E163:E163,"µ")+COUNTIF($E163:E163,1),ColLivraison)=F$6,
  VLOOKUP($E163,INDIRECT("tri!"&amp; CHAR(64+ C0Col) &amp;":"&amp; CHAR(65+C0Col)),2,FALSE)&gt;COUNTIF($E163:E163,"u")+COUNTIF($E163:E163,"t")+COUNTIF($E163:E163,"¶")+COUNTIF($E163:E163,"²")+COUNTIF($E163:E163,"µ")+COUNTIF($E163:E163,1)),
HYPERLINK("#Roadmap!C"&amp; MATCH($E163,Roadmap!$D:$D,0)+COUNTIF($E163:E163,"u")+COUNTIF($E163:E163,"t"),
     INDEX(Roadmap!$D:$K,MATCH($E163,Roadmap!$D:$D,0)+COUNTIF($E163:E163,"u")+COUNTIF($E163:E163,"t")+COUNTIF($E163:E163,"¶")+COUNTIF($E163:E163,"²")+COUNTIF($E163:E163,"µ")+COUNTIF($E163:E163,1),ColTypeEcheance)),
  IF(LEN(E163)=1,
  IF(LEN(INDEX(Roadmap!$D:$K,MATCH($E163,Roadmap!$D:$D,0)-1+COUNTIF($E163:E163,"u")+COUNTIF($E163:E163,"t")+COUNTIF($E163:E163,"¶")+COUNTIF($E163:E163,"²")+COUNTIF($E163:E163,"µ")+COUNTIF($E163:E163,1),ColDescriptionCourte))&gt;1,
HYPERLINK("#Roadmap!C"&amp; MATCH($E163,Roadmap!$D:$D,0)+COUNTIF($E163:E163,"u")+COUNTIF($E163:E163,"t")+COUNTIF($E163:E163,"¶")+COUNTIF($E163:E163,"²")+COUNTIF($E163:E163,"µ")+COUNTIF($E163:E163,1)-1,INDEX(Roadmap!$D:$K,MATCH($E163,Roadmap!$D:$D,0)-1+COUNTIF($E163:E163,"u")+COUNTIF($E163:E163,"t")+COUNTIF($E163:E163,"¶")+COUNTIF($E163:E163,"²")+COUNTIF($E163:E163,"µ")+COUNTIF($E163:E163,1),ColDescriptionCourte)),""),
  "")),"")</f>
        <v/>
      </c>
      <c r="G163" s="40" t="str">
        <f ca="1">IFERROR(IF(AND(
  INDEX(Roadmap!$D:$K,MATCH($E163,Roadmap!$D:$D,0)+COUNTIF($E163:F163,"u")+COUNTIF($E163:F163,"t")+COUNTIF($E163:F163,"¶")+COUNTIF($E163:F163,"²")+COUNTIF($E163:F163,"µ")+COUNTIF($E163:F163,1),ColLivraison)=G$6,
  VLOOKUP($E163,INDIRECT("tri!"&amp; CHAR(64+ C0Col) &amp;":"&amp; CHAR(65+C0Col)),2,FALSE)&gt;COUNTIF($E163:F163,"u")+COUNTIF($E163:F163,"t")+COUNTIF($E163:F163,"¶")+COUNTIF($E163:F163,"²")+COUNTIF($E163:F163,"µ")+COUNTIF($E163:F163,1)),
HYPERLINK("#Roadmap!C"&amp; MATCH($E163,Roadmap!$D:$D,0)+COUNTIF($E163:F163,"u")+COUNTIF($E163:F163,"t"),
     INDEX(Roadmap!$D:$K,MATCH($E163,Roadmap!$D:$D,0)+COUNTIF($E163:F163,"u")+COUNTIF($E163:F163,"t")+COUNTIF($E163:F163,"¶")+COUNTIF($E163:F163,"²")+COUNTIF($E163:F163,"µ")+COUNTIF($E163:F163,1),ColTypeEcheance)),
  IF(LEN(F163)=1,
  IF(LEN(INDEX(Roadmap!$D:$K,MATCH($E163,Roadmap!$D:$D,0)-1+COUNTIF($E163:F163,"u")+COUNTIF($E163:F163,"t")+COUNTIF($E163:F163,"¶")+COUNTIF($E163:F163,"²")+COUNTIF($E163:F163,"µ")+COUNTIF($E163:F163,1),ColDescriptionCourte))&gt;1,
HYPERLINK("#Roadmap!C"&amp; MATCH($E163,Roadmap!$D:$D,0)+COUNTIF($E163:F163,"u")+COUNTIF($E163:F163,"t")+COUNTIF($E163:F163,"¶")+COUNTIF($E163:F163,"²")+COUNTIF($E163:F163,"µ")+COUNTIF($E163:F163,1)-1,INDEX(Roadmap!$D:$K,MATCH($E163,Roadmap!$D:$D,0)-1+COUNTIF($E163:F163,"u")+COUNTIF($E163:F163,"t")+COUNTIF($E163:F163,"¶")+COUNTIF($E163:F163,"²")+COUNTIF($E163:F163,"µ")+COUNTIF($E163:F163,1),ColDescriptionCourte)),""),
  "")),"")</f>
        <v/>
      </c>
      <c r="H163" s="40" t="str">
        <f ca="1">IFERROR(IF(AND(
  INDEX(Roadmap!$D:$K,MATCH($E163,Roadmap!$D:$D,0)+COUNTIF($E163:G163,"u")+COUNTIF($E163:G163,"t")+COUNTIF($E163:G163,"¶")+COUNTIF($E163:G163,"²")+COUNTIF($E163:G163,"µ")+COUNTIF($E163:G163,1),ColLivraison)=H$6,
  VLOOKUP($E163,INDIRECT("tri!"&amp; CHAR(64+ C0Col) &amp;":"&amp; CHAR(65+C0Col)),2,FALSE)&gt;COUNTIF($E163:G163,"u")+COUNTIF($E163:G163,"t")+COUNTIF($E163:G163,"¶")+COUNTIF($E163:G163,"²")+COUNTIF($E163:G163,"µ")+COUNTIF($E163:G163,1)),
HYPERLINK("#Roadmap!C"&amp; MATCH($E163,Roadmap!$D:$D,0)+COUNTIF($E163:G163,"u")+COUNTIF($E163:G163,"t"),
     INDEX(Roadmap!$D:$K,MATCH($E163,Roadmap!$D:$D,0)+COUNTIF($E163:G163,"u")+COUNTIF($E163:G163,"t")+COUNTIF($E163:G163,"¶")+COUNTIF($E163:G163,"²")+COUNTIF($E163:G163,"µ")+COUNTIF($E163:G163,1),ColTypeEcheance)),
  IF(LEN(G163)=1,
  IF(LEN(INDEX(Roadmap!$D:$K,MATCH($E163,Roadmap!$D:$D,0)-1+COUNTIF($E163:G163,"u")+COUNTIF($E163:G163,"t")+COUNTIF($E163:G163,"¶")+COUNTIF($E163:G163,"²")+COUNTIF($E163:G163,"µ")+COUNTIF($E163:G163,1),ColDescriptionCourte))&gt;1,
HYPERLINK("#Roadmap!C"&amp; MATCH($E163,Roadmap!$D:$D,0)+COUNTIF($E163:G163,"u")+COUNTIF($E163:G163,"t")+COUNTIF($E163:G163,"¶")+COUNTIF($E163:G163,"²")+COUNTIF($E163:G163,"µ")+COUNTIF($E163:G163,1)-1,INDEX(Roadmap!$D:$K,MATCH($E163,Roadmap!$D:$D,0)-1+COUNTIF($E163:G163,"u")+COUNTIF($E163:G163,"t")+COUNTIF($E163:G163,"¶")+COUNTIF($E163:G163,"²")+COUNTIF($E163:G163,"µ")+COUNTIF($E163:G163,1),ColDescriptionCourte)),""),
  "")),"")</f>
        <v/>
      </c>
      <c r="I163" s="40" t="str">
        <f ca="1">IFERROR(IF(AND(
  INDEX(Roadmap!$D:$K,MATCH($E163,Roadmap!$D:$D,0)+COUNTIF($E163:H163,"u")+COUNTIF($E163:H163,"t")+COUNTIF($E163:H163,"¶")+COUNTIF($E163:H163,"²")+COUNTIF($E163:H163,"µ")+COUNTIF($E163:H163,1),ColLivraison)=I$6,
  VLOOKUP($E163,INDIRECT("tri!"&amp; CHAR(64+ C0Col) &amp;":"&amp; CHAR(65+C0Col)),2,FALSE)&gt;COUNTIF($E163:H163,"u")+COUNTIF($E163:H163,"t")+COUNTIF($E163:H163,"¶")+COUNTIF($E163:H163,"²")+COUNTIF($E163:H163,"µ")+COUNTIF($E163:H163,1)),
HYPERLINK("#Roadmap!C"&amp; MATCH($E163,Roadmap!$D:$D,0)+COUNTIF($E163:H163,"u")+COUNTIF($E163:H163,"t"),
     INDEX(Roadmap!$D:$K,MATCH($E163,Roadmap!$D:$D,0)+COUNTIF($E163:H163,"u")+COUNTIF($E163:H163,"t")+COUNTIF($E163:H163,"¶")+COUNTIF($E163:H163,"²")+COUNTIF($E163:H163,"µ")+COUNTIF($E163:H163,1),ColTypeEcheance)),
  IF(LEN(H163)=1,
  IF(LEN(INDEX(Roadmap!$D:$K,MATCH($E163,Roadmap!$D:$D,0)-1+COUNTIF($E163:H163,"u")+COUNTIF($E163:H163,"t")+COUNTIF($E163:H163,"¶")+COUNTIF($E163:H163,"²")+COUNTIF($E163:H163,"µ")+COUNTIF($E163:H163,1),ColDescriptionCourte))&gt;1,
HYPERLINK("#Roadmap!C"&amp; MATCH($E163,Roadmap!$D:$D,0)+COUNTIF($E163:H163,"u")+COUNTIF($E163:H163,"t")+COUNTIF($E163:H163,"¶")+COUNTIF($E163:H163,"²")+COUNTIF($E163:H163,"µ")+COUNTIF($E163:H163,1)-1,INDEX(Roadmap!$D:$K,MATCH($E163,Roadmap!$D:$D,0)-1+COUNTIF($E163:H163,"u")+COUNTIF($E163:H163,"t")+COUNTIF($E163:H163,"¶")+COUNTIF($E163:H163,"²")+COUNTIF($E163:H163,"µ")+COUNTIF($E163:H163,1),ColDescriptionCourte)),""),
  "")),"")</f>
        <v/>
      </c>
      <c r="J163" s="40" t="str">
        <f ca="1">IFERROR(IF(AND(
  INDEX(Roadmap!$D:$K,MATCH($E163,Roadmap!$D:$D,0)+COUNTIF($E163:I163,"u")+COUNTIF($E163:I163,"t")+COUNTIF($E163:I163,"¶")+COUNTIF($E163:I163,"²")+COUNTIF($E163:I163,"µ")+COUNTIF($E163:I163,1),ColLivraison)=J$6,
  VLOOKUP($E163,INDIRECT("tri!"&amp; CHAR(64+ C0Col) &amp;":"&amp; CHAR(65+C0Col)),2,FALSE)&gt;COUNTIF($E163:I163,"u")+COUNTIF($E163:I163,"t")+COUNTIF($E163:I163,"¶")+COUNTIF($E163:I163,"²")+COUNTIF($E163:I163,"µ")+COUNTIF($E163:I163,1)),
HYPERLINK("#Roadmap!C"&amp; MATCH($E163,Roadmap!$D:$D,0)+COUNTIF($E163:I163,"u")+COUNTIF($E163:I163,"t"),
     INDEX(Roadmap!$D:$K,MATCH($E163,Roadmap!$D:$D,0)+COUNTIF($E163:I163,"u")+COUNTIF($E163:I163,"t")+COUNTIF($E163:I163,"¶")+COUNTIF($E163:I163,"²")+COUNTIF($E163:I163,"µ")+COUNTIF($E163:I163,1),ColTypeEcheance)),
  IF(LEN(I163)=1,
  IF(LEN(INDEX(Roadmap!$D:$K,MATCH($E163,Roadmap!$D:$D,0)-1+COUNTIF($E163:I163,"u")+COUNTIF($E163:I163,"t")+COUNTIF($E163:I163,"¶")+COUNTIF($E163:I163,"²")+COUNTIF($E163:I163,"µ")+COUNTIF($E163:I163,1),ColDescriptionCourte))&gt;1,
HYPERLINK("#Roadmap!C"&amp; MATCH($E163,Roadmap!$D:$D,0)+COUNTIF($E163:I163,"u")+COUNTIF($E163:I163,"t")+COUNTIF($E163:I163,"¶")+COUNTIF($E163:I163,"²")+COUNTIF($E163:I163,"µ")+COUNTIF($E163:I163,1)-1,INDEX(Roadmap!$D:$K,MATCH($E163,Roadmap!$D:$D,0)-1+COUNTIF($E163:I163,"u")+COUNTIF($E163:I163,"t")+COUNTIF($E163:I163,"¶")+COUNTIF($E163:I163,"²")+COUNTIF($E163:I163,"µ")+COUNTIF($E163:I163,1),ColDescriptionCourte)),""),
  "")),"")</f>
        <v/>
      </c>
      <c r="K163" s="40" t="str">
        <f ca="1">IFERROR(IF(AND(
  INDEX(Roadmap!$D:$K,MATCH($E163,Roadmap!$D:$D,0)+COUNTIF($E163:J163,"u")+COUNTIF($E163:J163,"t")+COUNTIF($E163:J163,"¶")+COUNTIF($E163:J163,"²")+COUNTIF($E163:J163,"µ")+COUNTIF($E163:J163,1),ColLivraison)=K$6,
  VLOOKUP($E163,INDIRECT("tri!"&amp; CHAR(64+ C0Col) &amp;":"&amp; CHAR(65+C0Col)),2,FALSE)&gt;COUNTIF($E163:J163,"u")+COUNTIF($E163:J163,"t")+COUNTIF($E163:J163,"¶")+COUNTIF($E163:J163,"²")+COUNTIF($E163:J163,"µ")+COUNTIF($E163:J163,1)),
HYPERLINK("#Roadmap!C"&amp; MATCH($E163,Roadmap!$D:$D,0)+COUNTIF($E163:J163,"u")+COUNTIF($E163:J163,"t"),
     INDEX(Roadmap!$D:$K,MATCH($E163,Roadmap!$D:$D,0)+COUNTIF($E163:J163,"u")+COUNTIF($E163:J163,"t")+COUNTIF($E163:J163,"¶")+COUNTIF($E163:J163,"²")+COUNTIF($E163:J163,"µ")+COUNTIF($E163:J163,1),ColTypeEcheance)),
  IF(LEN(J163)=1,
  IF(LEN(INDEX(Roadmap!$D:$K,MATCH($E163,Roadmap!$D:$D,0)-1+COUNTIF($E163:J163,"u")+COUNTIF($E163:J163,"t")+COUNTIF($E163:J163,"¶")+COUNTIF($E163:J163,"²")+COUNTIF($E163:J163,"µ")+COUNTIF($E163:J163,1),ColDescriptionCourte))&gt;1,
HYPERLINK("#Roadmap!C"&amp; MATCH($E163,Roadmap!$D:$D,0)+COUNTIF($E163:J163,"u")+COUNTIF($E163:J163,"t")+COUNTIF($E163:J163,"¶")+COUNTIF($E163:J163,"²")+COUNTIF($E163:J163,"µ")+COUNTIF($E163:J163,1)-1,INDEX(Roadmap!$D:$K,MATCH($E163,Roadmap!$D:$D,0)-1+COUNTIF($E163:J163,"u")+COUNTIF($E163:J163,"t")+COUNTIF($E163:J163,"¶")+COUNTIF($E163:J163,"²")+COUNTIF($E163:J163,"µ")+COUNTIF($E163:J163,1),ColDescriptionCourte)),""),
  "")),"")</f>
        <v/>
      </c>
      <c r="L163" s="39" t="str">
        <f ca="1">IFERROR(IF(AND(
  INDEX(Roadmap!$D:$K,MATCH($E163,Roadmap!$D:$D,0)+COUNTIF($E163:K163,"u")+COUNTIF($E163:K163,"t")+COUNTIF($E163:K163,"¶")+COUNTIF($E163:K163,"²")+COUNTIF($E163:K163,"µ")+COUNTIF($E163:K163,1),ColLivraison)=L$6,
  VLOOKUP($E163,INDIRECT("tri!"&amp; CHAR(64+ C0Col) &amp;":"&amp; CHAR(65+C0Col)),2,FALSE)&gt;COUNTIF($E163:K163,"u")+COUNTIF($E163:K163,"t")+COUNTIF($E163:K163,"¶")+COUNTIF($E163:K163,"²")+COUNTIF($E163:K163,"µ")+COUNTIF($E163:K163,1)),
HYPERLINK("#Roadmap!C"&amp; MATCH($E163,Roadmap!$D:$D,0)+COUNTIF($E163:K163,"u")+COUNTIF($E163:K163,"t"),
     INDEX(Roadmap!$D:$K,MATCH($E163,Roadmap!$D:$D,0)+COUNTIF($E163:K163,"u")+COUNTIF($E163:K163,"t")+COUNTIF($E163:K163,"¶")+COUNTIF($E163:K163,"²")+COUNTIF($E163:K163,"µ")+COUNTIF($E163:K163,1),ColTypeEcheance)),
  IF(LEN(K163)=1,
  IF(LEN(INDEX(Roadmap!$D:$K,MATCH($E163,Roadmap!$D:$D,0)-1+COUNTIF($E163:K163,"u")+COUNTIF($E163:K163,"t")+COUNTIF($E163:K163,"¶")+COUNTIF($E163:K163,"²")+COUNTIF($E163:K163,"µ")+COUNTIF($E163:K163,1),ColDescriptionCourte))&gt;1,
HYPERLINK("#Roadmap!C"&amp; MATCH($E163,Roadmap!$D:$D,0)+COUNTIF($E163:K163,"u")+COUNTIF($E163:K163,"t")+COUNTIF($E163:K163,"¶")+COUNTIF($E163:K163,"²")+COUNTIF($E163:K163,"µ")+COUNTIF($E163:K163,1)-1,INDEX(Roadmap!$D:$K,MATCH($E163,Roadmap!$D:$D,0)-1+COUNTIF($E163:K163,"u")+COUNTIF($E163:K163,"t")+COUNTIF($E163:K163,"¶")+COUNTIF($E163:K163,"²")+COUNTIF($E163:K163,"µ")+COUNTIF($E163:K163,1),ColDescriptionCourte)),""),
  "")),"")</f>
        <v/>
      </c>
      <c r="M163" s="40" t="str">
        <f ca="1">IFERROR(IF(AND(
  INDEX(Roadmap!$D:$K,MATCH($E163,Roadmap!$D:$D,0)+COUNTIF($E163:L163,"u")+COUNTIF($E163:L163,"t")+COUNTIF($E163:L163,"¶")+COUNTIF($E163:L163,"²")+COUNTIF($E163:L163,"µ")+COUNTIF($E163:L163,1),ColLivraison)=M$6,
  VLOOKUP($E163,INDIRECT("tri!"&amp; CHAR(64+ C0Col) &amp;":"&amp; CHAR(65+C0Col)),2,FALSE)&gt;COUNTIF($E163:L163,"u")+COUNTIF($E163:L163,"t")+COUNTIF($E163:L163,"¶")+COUNTIF($E163:L163,"²")+COUNTIF($E163:L163,"µ")+COUNTIF($E163:L163,1)),
HYPERLINK("#Roadmap!C"&amp; MATCH($E163,Roadmap!$D:$D,0)+COUNTIF($E163:L163,"u")+COUNTIF($E163:L163,"t"),
     INDEX(Roadmap!$D:$K,MATCH($E163,Roadmap!$D:$D,0)+COUNTIF($E163:L163,"u")+COUNTIF($E163:L163,"t")+COUNTIF($E163:L163,"¶")+COUNTIF($E163:L163,"²")+COUNTIF($E163:L163,"µ")+COUNTIF($E163:L163,1),ColTypeEcheance)),
  IF(LEN(L163)=1,
  IF(LEN(INDEX(Roadmap!$D:$K,MATCH($E163,Roadmap!$D:$D,0)-1+COUNTIF($E163:L163,"u")+COUNTIF($E163:L163,"t")+COUNTIF($E163:L163,"¶")+COUNTIF($E163:L163,"²")+COUNTIF($E163:L163,"µ")+COUNTIF($E163:L163,1),ColDescriptionCourte))&gt;1,
HYPERLINK("#Roadmap!C"&amp; MATCH($E163,Roadmap!$D:$D,0)+COUNTIF($E163:L163,"u")+COUNTIF($E163:L163,"t")+COUNTIF($E163:L163,"¶")+COUNTIF($E163:L163,"²")+COUNTIF($E163:L163,"µ")+COUNTIF($E163:L163,1)-1,INDEX(Roadmap!$D:$K,MATCH($E163,Roadmap!$D:$D,0)-1+COUNTIF($E163:L163,"u")+COUNTIF($E163:L163,"t")+COUNTIF($E163:L163,"¶")+COUNTIF($E163:L163,"²")+COUNTIF($E163:L163,"µ")+COUNTIF($E163:L163,1),ColDescriptionCourte)),""),
  "")),"")</f>
        <v/>
      </c>
      <c r="N163" s="40" t="str">
        <f ca="1">IFERROR(IF(AND(
  INDEX(Roadmap!$D:$K,MATCH($E163,Roadmap!$D:$D,0)+COUNTIF($E163:M163,"u")+COUNTIF($E163:M163,"t")+COUNTIF($E163:M163,"¶")+COUNTIF($E163:M163,"²")+COUNTIF($E163:M163,"µ")+COUNTIF($E163:M163,1),ColLivraison)=N$6,
  VLOOKUP($E163,INDIRECT("tri!"&amp; CHAR(64+ C0Col) &amp;":"&amp; CHAR(65+C0Col)),2,FALSE)&gt;COUNTIF($E163:M163,"u")+COUNTIF($E163:M163,"t")+COUNTIF($E163:M163,"¶")+COUNTIF($E163:M163,"²")+COUNTIF($E163:M163,"µ")+COUNTIF($E163:M163,1)),
HYPERLINK("#Roadmap!C"&amp; MATCH($E163,Roadmap!$D:$D,0)+COUNTIF($E163:M163,"u")+COUNTIF($E163:M163,"t"),
     INDEX(Roadmap!$D:$K,MATCH($E163,Roadmap!$D:$D,0)+COUNTIF($E163:M163,"u")+COUNTIF($E163:M163,"t")+COUNTIF($E163:M163,"¶")+COUNTIF($E163:M163,"²")+COUNTIF($E163:M163,"µ")+COUNTIF($E163:M163,1),ColTypeEcheance)),
  IF(LEN(M163)=1,
  IF(LEN(INDEX(Roadmap!$D:$K,MATCH($E163,Roadmap!$D:$D,0)-1+COUNTIF($E163:M163,"u")+COUNTIF($E163:M163,"t")+COUNTIF($E163:M163,"¶")+COUNTIF($E163:M163,"²")+COUNTIF($E163:M163,"µ")+COUNTIF($E163:M163,1),ColDescriptionCourte))&gt;1,
HYPERLINK("#Roadmap!C"&amp; MATCH($E163,Roadmap!$D:$D,0)+COUNTIF($E163:M163,"u")+COUNTIF($E163:M163,"t")+COUNTIF($E163:M163,"¶")+COUNTIF($E163:M163,"²")+COUNTIF($E163:M163,"µ")+COUNTIF($E163:M163,1)-1,INDEX(Roadmap!$D:$K,MATCH($E163,Roadmap!$D:$D,0)-1+COUNTIF($E163:M163,"u")+COUNTIF($E163:M163,"t")+COUNTIF($E163:M163,"¶")+COUNTIF($E163:M163,"²")+COUNTIF($E163:M163,"µ")+COUNTIF($E163:M163,1),ColDescriptionCourte)),""),
  "")),"")</f>
        <v/>
      </c>
      <c r="O163" s="40" t="str">
        <f ca="1">IFERROR(IF(AND(
  INDEX(Roadmap!$D:$K,MATCH($E163,Roadmap!$D:$D,0)+COUNTIF($E163:N163,"u")+COUNTIF($E163:N163,"t")+COUNTIF($E163:N163,"¶")+COUNTIF($E163:N163,"²")+COUNTIF($E163:N163,"µ")+COUNTIF($E163:N163,1),ColLivraison)=O$6,
  VLOOKUP($E163,INDIRECT("tri!"&amp; CHAR(64+ C0Col) &amp;":"&amp; CHAR(65+C0Col)),2,FALSE)&gt;COUNTIF($E163:N163,"u")+COUNTIF($E163:N163,"t")+COUNTIF($E163:N163,"¶")+COUNTIF($E163:N163,"²")+COUNTIF($E163:N163,"µ")+COUNTIF($E163:N163,1)),
HYPERLINK("#Roadmap!C"&amp; MATCH($E163,Roadmap!$D:$D,0)+COUNTIF($E163:N163,"u")+COUNTIF($E163:N163,"t"),
     INDEX(Roadmap!$D:$K,MATCH($E163,Roadmap!$D:$D,0)+COUNTIF($E163:N163,"u")+COUNTIF($E163:N163,"t")+COUNTIF($E163:N163,"¶")+COUNTIF($E163:N163,"²")+COUNTIF($E163:N163,"µ")+COUNTIF($E163:N163,1),ColTypeEcheance)),
  IF(LEN(N163)=1,
  IF(LEN(INDEX(Roadmap!$D:$K,MATCH($E163,Roadmap!$D:$D,0)-1+COUNTIF($E163:N163,"u")+COUNTIF($E163:N163,"t")+COUNTIF($E163:N163,"¶")+COUNTIF($E163:N163,"²")+COUNTIF($E163:N163,"µ")+COUNTIF($E163:N163,1),ColDescriptionCourte))&gt;1,
HYPERLINK("#Roadmap!C"&amp; MATCH($E163,Roadmap!$D:$D,0)+COUNTIF($E163:N163,"u")+COUNTIF($E163:N163,"t")+COUNTIF($E163:N163,"¶")+COUNTIF($E163:N163,"²")+COUNTIF($E163:N163,"µ")+COUNTIF($E163:N163,1)-1,INDEX(Roadmap!$D:$K,MATCH($E163,Roadmap!$D:$D,0)-1+COUNTIF($E163:N163,"u")+COUNTIF($E163:N163,"t")+COUNTIF($E163:N163,"¶")+COUNTIF($E163:N163,"²")+COUNTIF($E163:N163,"µ")+COUNTIF($E163:N163,1),ColDescriptionCourte)),""),
  "")),"")</f>
        <v/>
      </c>
      <c r="P163" s="40" t="str">
        <f ca="1">IFERROR(IF(AND(
  INDEX(Roadmap!$D:$K,MATCH($E163,Roadmap!$D:$D,0)+COUNTIF($E163:O163,"u")+COUNTIF($E163:O163,"t")+COUNTIF($E163:O163,"¶")+COUNTIF($E163:O163,"²")+COUNTIF($E163:O163,"µ")+COUNTIF($E163:O163,1),ColLivraison)=P$6,
  VLOOKUP($E163,INDIRECT("tri!"&amp; CHAR(64+ C0Col) &amp;":"&amp; CHAR(65+C0Col)),2,FALSE)&gt;COUNTIF($E163:O163,"u")+COUNTIF($E163:O163,"t")+COUNTIF($E163:O163,"¶")+COUNTIF($E163:O163,"²")+COUNTIF($E163:O163,"µ")+COUNTIF($E163:O163,1)),
HYPERLINK("#Roadmap!C"&amp; MATCH($E163,Roadmap!$D:$D,0)+COUNTIF($E163:O163,"u")+COUNTIF($E163:O163,"t"),
     INDEX(Roadmap!$D:$K,MATCH($E163,Roadmap!$D:$D,0)+COUNTIF($E163:O163,"u")+COUNTIF($E163:O163,"t")+COUNTIF($E163:O163,"¶")+COUNTIF($E163:O163,"²")+COUNTIF($E163:O163,"µ")+COUNTIF($E163:O163,1),ColTypeEcheance)),
  IF(LEN(O163)=1,
  IF(LEN(INDEX(Roadmap!$D:$K,MATCH($E163,Roadmap!$D:$D,0)-1+COUNTIF($E163:O163,"u")+COUNTIF($E163:O163,"t")+COUNTIF($E163:O163,"¶")+COUNTIF($E163:O163,"²")+COUNTIF($E163:O163,"µ")+COUNTIF($E163:O163,1),ColDescriptionCourte))&gt;1,
HYPERLINK("#Roadmap!C"&amp; MATCH($E163,Roadmap!$D:$D,0)+COUNTIF($E163:O163,"u")+COUNTIF($E163:O163,"t")+COUNTIF($E163:O163,"¶")+COUNTIF($E163:O163,"²")+COUNTIF($E163:O163,"µ")+COUNTIF($E163:O163,1)-1,INDEX(Roadmap!$D:$K,MATCH($E163,Roadmap!$D:$D,0)-1+COUNTIF($E163:O163,"u")+COUNTIF($E163:O163,"t")+COUNTIF($E163:O163,"¶")+COUNTIF($E163:O163,"²")+COUNTIF($E163:O163,"µ")+COUNTIF($E163:O163,1),ColDescriptionCourte)),""),
  "")),"")</f>
        <v/>
      </c>
      <c r="Q163" s="40" t="str">
        <f ca="1">IFERROR(IF(AND(
  INDEX(Roadmap!$D:$K,MATCH($E163,Roadmap!$D:$D,0)+COUNTIF($E163:P163,"u")+COUNTIF($E163:P163,"t")+COUNTIF($E163:P163,"¶")+COUNTIF($E163:P163,"²")+COUNTIF($E163:P163,"µ")+COUNTIF($E163:P163,1),ColLivraison)=Q$6,
  VLOOKUP($E163,INDIRECT("tri!"&amp; CHAR(64+ C0Col) &amp;":"&amp; CHAR(65+C0Col)),2,FALSE)&gt;COUNTIF($E163:P163,"u")+COUNTIF($E163:P163,"t")+COUNTIF($E163:P163,"¶")+COUNTIF($E163:P163,"²")+COUNTIF($E163:P163,"µ")+COUNTIF($E163:P163,1)),
HYPERLINK("#Roadmap!C"&amp; MATCH($E163,Roadmap!$D:$D,0)+COUNTIF($E163:P163,"u")+COUNTIF($E163:P163,"t"),
     INDEX(Roadmap!$D:$K,MATCH($E163,Roadmap!$D:$D,0)+COUNTIF($E163:P163,"u")+COUNTIF($E163:P163,"t")+COUNTIF($E163:P163,"¶")+COUNTIF($E163:P163,"²")+COUNTIF($E163:P163,"µ")+COUNTIF($E163:P163,1),ColTypeEcheance)),
  IF(LEN(P163)=1,
  IF(LEN(INDEX(Roadmap!$D:$K,MATCH($E163,Roadmap!$D:$D,0)-1+COUNTIF($E163:P163,"u")+COUNTIF($E163:P163,"t")+COUNTIF($E163:P163,"¶")+COUNTIF($E163:P163,"²")+COUNTIF($E163:P163,"µ")+COUNTIF($E163:P163,1),ColDescriptionCourte))&gt;1,
HYPERLINK("#Roadmap!C"&amp; MATCH($E163,Roadmap!$D:$D,0)+COUNTIF($E163:P163,"u")+COUNTIF($E163:P163,"t")+COUNTIF($E163:P163,"¶")+COUNTIF($E163:P163,"²")+COUNTIF($E163:P163,"µ")+COUNTIF($E163:P163,1)-1,INDEX(Roadmap!$D:$K,MATCH($E163,Roadmap!$D:$D,0)-1+COUNTIF($E163:P163,"u")+COUNTIF($E163:P163,"t")+COUNTIF($E163:P163,"¶")+COUNTIF($E163:P163,"²")+COUNTIF($E163:P163,"µ")+COUNTIF($E163:P163,1),ColDescriptionCourte)),""),
  "")),"")</f>
        <v/>
      </c>
      <c r="R163" s="40" t="str">
        <f ca="1">IFERROR(IF(AND(
  INDEX(Roadmap!$D:$K,MATCH($E163,Roadmap!$D:$D,0)+COUNTIF($E163:Q163,"u")+COUNTIF($E163:Q163,"t")+COUNTIF($E163:Q163,"¶")+COUNTIF($E163:Q163,"²")+COUNTIF($E163:Q163,"µ")+COUNTIF($E163:Q163,1),ColLivraison)=R$6,
  VLOOKUP($E163,INDIRECT("tri!"&amp; CHAR(64+ C0Col) &amp;":"&amp; CHAR(65+C0Col)),2,FALSE)&gt;COUNTIF($E163:Q163,"u")+COUNTIF($E163:Q163,"t")+COUNTIF($E163:Q163,"¶")+COUNTIF($E163:Q163,"²")+COUNTIF($E163:Q163,"µ")+COUNTIF($E163:Q163,1)),
HYPERLINK("#Roadmap!C"&amp; MATCH($E163,Roadmap!$D:$D,0)+COUNTIF($E163:Q163,"u")+COUNTIF($E163:Q163,"t"),
     INDEX(Roadmap!$D:$K,MATCH($E163,Roadmap!$D:$D,0)+COUNTIF($E163:Q163,"u")+COUNTIF($E163:Q163,"t")+COUNTIF($E163:Q163,"¶")+COUNTIF($E163:Q163,"²")+COUNTIF($E163:Q163,"µ")+COUNTIF($E163:Q163,1),ColTypeEcheance)),
  IF(LEN(Q163)=1,
  IF(LEN(INDEX(Roadmap!$D:$K,MATCH($E163,Roadmap!$D:$D,0)-1+COUNTIF($E163:Q163,"u")+COUNTIF($E163:Q163,"t")+COUNTIF($E163:Q163,"¶")+COUNTIF($E163:Q163,"²")+COUNTIF($E163:Q163,"µ")+COUNTIF($E163:Q163,1),ColDescriptionCourte))&gt;1,
HYPERLINK("#Roadmap!C"&amp; MATCH($E163,Roadmap!$D:$D,0)+COUNTIF($E163:Q163,"u")+COUNTIF($E163:Q163,"t")+COUNTIF($E163:Q163,"¶")+COUNTIF($E163:Q163,"²")+COUNTIF($E163:Q163,"µ")+COUNTIF($E163:Q163,1)-1,INDEX(Roadmap!$D:$K,MATCH($E163,Roadmap!$D:$D,0)-1+COUNTIF($E163:Q163,"u")+COUNTIF($E163:Q163,"t")+COUNTIF($E163:Q163,"¶")+COUNTIF($E163:Q163,"²")+COUNTIF($E163:Q163,"µ")+COUNTIF($E163:Q163,1),ColDescriptionCourte)),""),
  "")),"")</f>
        <v/>
      </c>
      <c r="S163" s="40" t="str">
        <f ca="1">IFERROR(IF(AND(
  INDEX(Roadmap!$D:$K,MATCH($E163,Roadmap!$D:$D,0)+COUNTIF($E163:R163,"u")+COUNTIF($E163:R163,"t")+COUNTIF($E163:R163,"¶")+COUNTIF($E163:R163,"²")+COUNTIF($E163:R163,"µ")+COUNTIF($E163:R163,1),ColLivraison)=S$6,
  VLOOKUP($E163,INDIRECT("tri!"&amp; CHAR(64+ C0Col) &amp;":"&amp; CHAR(65+C0Col)),2,FALSE)&gt;COUNTIF($E163:R163,"u")+COUNTIF($E163:R163,"t")+COUNTIF($E163:R163,"¶")+COUNTIF($E163:R163,"²")+COUNTIF($E163:R163,"µ")+COUNTIF($E163:R163,1)),
HYPERLINK("#Roadmap!C"&amp; MATCH($E163,Roadmap!$D:$D,0)+COUNTIF($E163:R163,"u")+COUNTIF($E163:R163,"t"),
     INDEX(Roadmap!$D:$K,MATCH($E163,Roadmap!$D:$D,0)+COUNTIF($E163:R163,"u")+COUNTIF($E163:R163,"t")+COUNTIF($E163:R163,"¶")+COUNTIF($E163:R163,"²")+COUNTIF($E163:R163,"µ")+COUNTIF($E163:R163,1),ColTypeEcheance)),
  IF(LEN(R163)=1,
  IF(LEN(INDEX(Roadmap!$D:$K,MATCH($E163,Roadmap!$D:$D,0)-1+COUNTIF($E163:R163,"u")+COUNTIF($E163:R163,"t")+COUNTIF($E163:R163,"¶")+COUNTIF($E163:R163,"²")+COUNTIF($E163:R163,"µ")+COUNTIF($E163:R163,1),ColDescriptionCourte))&gt;1,
HYPERLINK("#Roadmap!C"&amp; MATCH($E163,Roadmap!$D:$D,0)+COUNTIF($E163:R163,"u")+COUNTIF($E163:R163,"t")+COUNTIF($E163:R163,"¶")+COUNTIF($E163:R163,"²")+COUNTIF($E163:R163,"µ")+COUNTIF($E163:R163,1)-1,INDEX(Roadmap!$D:$K,MATCH($E163,Roadmap!$D:$D,0)-1+COUNTIF($E163:R163,"u")+COUNTIF($E163:R163,"t")+COUNTIF($E163:R163,"¶")+COUNTIF($E163:R163,"²")+COUNTIF($E163:R163,"µ")+COUNTIF($E163:R163,1),ColDescriptionCourte)),""),
  "")),"")</f>
        <v/>
      </c>
      <c r="T163" s="40" t="str">
        <f ca="1">IFERROR(IF(AND(
  INDEX(Roadmap!$D:$K,MATCH($E163,Roadmap!$D:$D,0)+COUNTIF($E163:S163,"u")+COUNTIF($E163:S163,"t")+COUNTIF($E163:S163,"¶")+COUNTIF($E163:S163,"²")+COUNTIF($E163:S163,"µ")+COUNTIF($E163:S163,1),ColLivraison)=T$6,
  VLOOKUP($E163,INDIRECT("tri!"&amp; CHAR(64+ C0Col) &amp;":"&amp; CHAR(65+C0Col)),2,FALSE)&gt;COUNTIF($E163:S163,"u")+COUNTIF($E163:S163,"t")+COUNTIF($E163:S163,"¶")+COUNTIF($E163:S163,"²")+COUNTIF($E163:S163,"µ")+COUNTIF($E163:S163,1)),
HYPERLINK("#Roadmap!C"&amp; MATCH($E163,Roadmap!$D:$D,0)+COUNTIF($E163:S163,"u")+COUNTIF($E163:S163,"t"),
     INDEX(Roadmap!$D:$K,MATCH($E163,Roadmap!$D:$D,0)+COUNTIF($E163:S163,"u")+COUNTIF($E163:S163,"t")+COUNTIF($E163:S163,"¶")+COUNTIF($E163:S163,"²")+COUNTIF($E163:S163,"µ")+COUNTIF($E163:S163,1),ColTypeEcheance)),
  IF(LEN(S163)=1,
  IF(LEN(INDEX(Roadmap!$D:$K,MATCH($E163,Roadmap!$D:$D,0)-1+COUNTIF($E163:S163,"u")+COUNTIF($E163:S163,"t")+COUNTIF($E163:S163,"¶")+COUNTIF($E163:S163,"²")+COUNTIF($E163:S163,"µ")+COUNTIF($E163:S163,1),ColDescriptionCourte))&gt;1,
HYPERLINK("#Roadmap!C"&amp; MATCH($E163,Roadmap!$D:$D,0)+COUNTIF($E163:S163,"u")+COUNTIF($E163:S163,"t")+COUNTIF($E163:S163,"¶")+COUNTIF($E163:S163,"²")+COUNTIF($E163:S163,"µ")+COUNTIF($E163:S163,1)-1,INDEX(Roadmap!$D:$K,MATCH($E163,Roadmap!$D:$D,0)-1+COUNTIF($E163:S163,"u")+COUNTIF($E163:S163,"t")+COUNTIF($E163:S163,"¶")+COUNTIF($E163:S163,"²")+COUNTIF($E163:S163,"µ")+COUNTIF($E163:S163,1),ColDescriptionCourte)),""),
  "")),"")</f>
        <v/>
      </c>
      <c r="U163" s="40" t="str">
        <f ca="1">IFERROR(IF(AND(
  INDEX(Roadmap!$D:$K,MATCH($E163,Roadmap!$D:$D,0)+COUNTIF($E163:T163,"u")+COUNTIF($E163:T163,"t")+COUNTIF($E163:T163,"¶")+COUNTIF($E163:T163,"²")+COUNTIF($E163:T163,"µ")+COUNTIF($E163:T163,1),ColLivraison)=U$6,
  VLOOKUP($E163,INDIRECT("tri!"&amp; CHAR(64+ C0Col) &amp;":"&amp; CHAR(65+C0Col)),2,FALSE)&gt;COUNTIF($E163:T163,"u")+COUNTIF($E163:T163,"t")+COUNTIF($E163:T163,"¶")+COUNTIF($E163:T163,"²")+COUNTIF($E163:T163,"µ")+COUNTIF($E163:T163,1)),
HYPERLINK("#Roadmap!C"&amp; MATCH($E163,Roadmap!$D:$D,0)+COUNTIF($E163:T163,"u")+COUNTIF($E163:T163,"t"),
     INDEX(Roadmap!$D:$K,MATCH($E163,Roadmap!$D:$D,0)+COUNTIF($E163:T163,"u")+COUNTIF($E163:T163,"t")+COUNTIF($E163:T163,"¶")+COUNTIF($E163:T163,"²")+COUNTIF($E163:T163,"µ")+COUNTIF($E163:T163,1),ColTypeEcheance)),
  IF(LEN(T163)=1,
  IF(LEN(INDEX(Roadmap!$D:$K,MATCH($E163,Roadmap!$D:$D,0)-1+COUNTIF($E163:T163,"u")+COUNTIF($E163:T163,"t")+COUNTIF($E163:T163,"¶")+COUNTIF($E163:T163,"²")+COUNTIF($E163:T163,"µ")+COUNTIF($E163:T163,1),ColDescriptionCourte))&gt;1,
HYPERLINK("#Roadmap!C"&amp; MATCH($E163,Roadmap!$D:$D,0)+COUNTIF($E163:T163,"u")+COUNTIF($E163:T163,"t")+COUNTIF($E163:T163,"¶")+COUNTIF($E163:T163,"²")+COUNTIF($E163:T163,"µ")+COUNTIF($E163:T163,1)-1,INDEX(Roadmap!$D:$K,MATCH($E163,Roadmap!$D:$D,0)-1+COUNTIF($E163:T163,"u")+COUNTIF($E163:T163,"t")+COUNTIF($E163:T163,"¶")+COUNTIF($E163:T163,"²")+COUNTIF($E163:T163,"µ")+COUNTIF($E163:T163,1),ColDescriptionCourte)),""),
  "")),"")</f>
        <v/>
      </c>
      <c r="V163" s="40" t="str">
        <f ca="1">IFERROR(IF(AND(
  INDEX(Roadmap!$D:$K,MATCH($E163,Roadmap!$D:$D,0)+COUNTIF($E163:U163,"u")+COUNTIF($E163:U163,"t")+COUNTIF($E163:U163,"¶")+COUNTIF($E163:U163,"²")+COUNTIF($E163:U163,"µ")+COUNTIF($E163:U163,1),ColLivraison)=V$6,
  VLOOKUP($E163,INDIRECT("tri!"&amp; CHAR(64+ C0Col) &amp;":"&amp; CHAR(65+C0Col)),2,FALSE)&gt;COUNTIF($E163:U163,"u")+COUNTIF($E163:U163,"t")+COUNTIF($E163:U163,"¶")+COUNTIF($E163:U163,"²")+COUNTIF($E163:U163,"µ")+COUNTIF($E163:U163,1)),
HYPERLINK("#Roadmap!C"&amp; MATCH($E163,Roadmap!$D:$D,0)+COUNTIF($E163:U163,"u")+COUNTIF($E163:U163,"t"),
     INDEX(Roadmap!$D:$K,MATCH($E163,Roadmap!$D:$D,0)+COUNTIF($E163:U163,"u")+COUNTIF($E163:U163,"t")+COUNTIF($E163:U163,"¶")+COUNTIF($E163:U163,"²")+COUNTIF($E163:U163,"µ")+COUNTIF($E163:U163,1),ColTypeEcheance)),
  IF(LEN(U163)=1,
  IF(LEN(INDEX(Roadmap!$D:$K,MATCH($E163,Roadmap!$D:$D,0)-1+COUNTIF($E163:U163,"u")+COUNTIF($E163:U163,"t")+COUNTIF($E163:U163,"¶")+COUNTIF($E163:U163,"²")+COUNTIF($E163:U163,"µ")+COUNTIF($E163:U163,1),ColDescriptionCourte))&gt;1,
HYPERLINK("#Roadmap!C"&amp; MATCH($E163,Roadmap!$D:$D,0)+COUNTIF($E163:U163,"u")+COUNTIF($E163:U163,"t")+COUNTIF($E163:U163,"¶")+COUNTIF($E163:U163,"²")+COUNTIF($E163:U163,"µ")+COUNTIF($E163:U163,1)-1,INDEX(Roadmap!$D:$K,MATCH($E163,Roadmap!$D:$D,0)-1+COUNTIF($E163:U163,"u")+COUNTIF($E163:U163,"t")+COUNTIF($E163:U163,"¶")+COUNTIF($E163:U163,"²")+COUNTIF($E163:U163,"µ")+COUNTIF($E163:U163,1),ColDescriptionCourte)),""),
  "")),"")</f>
        <v/>
      </c>
      <c r="W163" s="40" t="str">
        <f ca="1">IFERROR(IF(AND(
  INDEX(Roadmap!$D:$K,MATCH($E163,Roadmap!$D:$D,0)+COUNTIF($E163:V163,"u")+COUNTIF($E163:V163,"t")+COUNTIF($E163:V163,"¶")+COUNTIF($E163:V163,"²")+COUNTIF($E163:V163,"µ")+COUNTIF($E163:V163,1),ColLivraison)=W$6,
  VLOOKUP($E163,INDIRECT("tri!"&amp; CHAR(64+ C0Col) &amp;":"&amp; CHAR(65+C0Col)),2,FALSE)&gt;COUNTIF($E163:V163,"u")+COUNTIF($E163:V163,"t")+COUNTIF($E163:V163,"¶")+COUNTIF($E163:V163,"²")+COUNTIF($E163:V163,"µ")+COUNTIF($E163:V163,1)),
HYPERLINK("#Roadmap!C"&amp; MATCH($E163,Roadmap!$D:$D,0)+COUNTIF($E163:V163,"u")+COUNTIF($E163:V163,"t"),
     INDEX(Roadmap!$D:$K,MATCH($E163,Roadmap!$D:$D,0)+COUNTIF($E163:V163,"u")+COUNTIF($E163:V163,"t")+COUNTIF($E163:V163,"¶")+COUNTIF($E163:V163,"²")+COUNTIF($E163:V163,"µ")+COUNTIF($E163:V163,1),ColTypeEcheance)),
  IF(LEN(V163)=1,
  IF(LEN(INDEX(Roadmap!$D:$K,MATCH($E163,Roadmap!$D:$D,0)-1+COUNTIF($E163:V163,"u")+COUNTIF($E163:V163,"t")+COUNTIF($E163:V163,"¶")+COUNTIF($E163:V163,"²")+COUNTIF($E163:V163,"µ")+COUNTIF($E163:V163,1),ColDescriptionCourte))&gt;1,
HYPERLINK("#Roadmap!C"&amp; MATCH($E163,Roadmap!$D:$D,0)+COUNTIF($E163:V163,"u")+COUNTIF($E163:V163,"t")+COUNTIF($E163:V163,"¶")+COUNTIF($E163:V163,"²")+COUNTIF($E163:V163,"µ")+COUNTIF($E163:V163,1)-1,INDEX(Roadmap!$D:$K,MATCH($E163,Roadmap!$D:$D,0)-1+COUNTIF($E163:V163,"u")+COUNTIF($E163:V163,"t")+COUNTIF($E163:V163,"¶")+COUNTIF($E163:V163,"²")+COUNTIF($E163:V163,"µ")+COUNTIF($E163:V163,1),ColDescriptionCourte)),""),
  "")),"")</f>
        <v/>
      </c>
      <c r="X163" s="40" t="str">
        <f ca="1">IFERROR(IF(AND(
  INDEX(Roadmap!$D:$K,MATCH($E163,Roadmap!$D:$D,0)+COUNTIF($E163:W163,"u")+COUNTIF($E163:W163,"t")+COUNTIF($E163:W163,"¶")+COUNTIF($E163:W163,"²")+COUNTIF($E163:W163,"µ")+COUNTIF($E163:W163,1),ColLivraison)=X$6,
  VLOOKUP($E163,INDIRECT("tri!"&amp; CHAR(64+ C0Col) &amp;":"&amp; CHAR(65+C0Col)),2,FALSE)&gt;COUNTIF($E163:W163,"u")+COUNTIF($E163:W163,"t")+COUNTIF($E163:W163,"¶")+COUNTIF($E163:W163,"²")+COUNTIF($E163:W163,"µ")+COUNTIF($E163:W163,1)),
HYPERLINK("#Roadmap!C"&amp; MATCH($E163,Roadmap!$D:$D,0)+COUNTIF($E163:W163,"u")+COUNTIF($E163:W163,"t"),
     INDEX(Roadmap!$D:$K,MATCH($E163,Roadmap!$D:$D,0)+COUNTIF($E163:W163,"u")+COUNTIF($E163:W163,"t")+COUNTIF($E163:W163,"¶")+COUNTIF($E163:W163,"²")+COUNTIF($E163:W163,"µ")+COUNTIF($E163:W163,1),ColTypeEcheance)),
  IF(LEN(W163)=1,
  IF(LEN(INDEX(Roadmap!$D:$K,MATCH($E163,Roadmap!$D:$D,0)-1+COUNTIF($E163:W163,"u")+COUNTIF($E163:W163,"t")+COUNTIF($E163:W163,"¶")+COUNTIF($E163:W163,"²")+COUNTIF($E163:W163,"µ")+COUNTIF($E163:W163,1),ColDescriptionCourte))&gt;1,
HYPERLINK("#Roadmap!C"&amp; MATCH($E163,Roadmap!$D:$D,0)+COUNTIF($E163:W163,"u")+COUNTIF($E163:W163,"t")+COUNTIF($E163:W163,"¶")+COUNTIF($E163:W163,"²")+COUNTIF($E163:W163,"µ")+COUNTIF($E163:W163,1)-1,INDEX(Roadmap!$D:$K,MATCH($E163,Roadmap!$D:$D,0)-1+COUNTIF($E163:W163,"u")+COUNTIF($E163:W163,"t")+COUNTIF($E163:W163,"¶")+COUNTIF($E163:W163,"²")+COUNTIF($E163:W163,"µ")+COUNTIF($E163:W163,1),ColDescriptionCourte)),""),
  "")),"")</f>
        <v/>
      </c>
      <c r="Y163" s="40" t="str">
        <f ca="1">IFERROR(IF(AND(
  INDEX(Roadmap!$D:$K,MATCH($E163,Roadmap!$D:$D,0)+COUNTIF($E163:X163,"u")+COUNTIF($E163:X163,"t")+COUNTIF($E163:X163,"¶")+COUNTIF($E163:X163,"²")+COUNTIF($E163:X163,"µ")+COUNTIF($E163:X163,1),ColLivraison)=Y$6,
  VLOOKUP($E163,INDIRECT("tri!"&amp; CHAR(64+ C0Col) &amp;":"&amp; CHAR(65+C0Col)),2,FALSE)&gt;COUNTIF($E163:X163,"u")+COUNTIF($E163:X163,"t")+COUNTIF($E163:X163,"¶")+COUNTIF($E163:X163,"²")+COUNTIF($E163:X163,"µ")+COUNTIF($E163:X163,1)),
HYPERLINK("#Roadmap!C"&amp; MATCH($E163,Roadmap!$D:$D,0)+COUNTIF($E163:X163,"u")+COUNTIF($E163:X163,"t"),
     INDEX(Roadmap!$D:$K,MATCH($E163,Roadmap!$D:$D,0)+COUNTIF($E163:X163,"u")+COUNTIF($E163:X163,"t")+COUNTIF($E163:X163,"¶")+COUNTIF($E163:X163,"²")+COUNTIF($E163:X163,"µ")+COUNTIF($E163:X163,1),ColTypeEcheance)),
  IF(LEN(X163)=1,
  IF(LEN(INDEX(Roadmap!$D:$K,MATCH($E163,Roadmap!$D:$D,0)-1+COUNTIF($E163:X163,"u")+COUNTIF($E163:X163,"t")+COUNTIF($E163:X163,"¶")+COUNTIF($E163:X163,"²")+COUNTIF($E163:X163,"µ")+COUNTIF($E163:X163,1),ColDescriptionCourte))&gt;1,
HYPERLINK("#Roadmap!C"&amp; MATCH($E163,Roadmap!$D:$D,0)+COUNTIF($E163:X163,"u")+COUNTIF($E163:X163,"t")+COUNTIF($E163:X163,"¶")+COUNTIF($E163:X163,"²")+COUNTIF($E163:X163,"µ")+COUNTIF($E163:X163,1)-1,INDEX(Roadmap!$D:$K,MATCH($E163,Roadmap!$D:$D,0)-1+COUNTIF($E163:X163,"u")+COUNTIF($E163:X163,"t")+COUNTIF($E163:X163,"¶")+COUNTIF($E163:X163,"²")+COUNTIF($E163:X163,"µ")+COUNTIF($E163:X163,1),ColDescriptionCourte)),""),
  "")),"")</f>
        <v/>
      </c>
      <c r="Z163" s="40" t="str">
        <f ca="1">IFERROR(IF(AND(
  INDEX(Roadmap!$D:$K,MATCH($E163,Roadmap!$D:$D,0)+COUNTIF($E163:Y163,"u")+COUNTIF($E163:Y163,"t")+COUNTIF($E163:Y163,"¶")+COUNTIF($E163:Y163,"²")+COUNTIF($E163:Y163,"µ")+COUNTIF($E163:Y163,1),ColLivraison)=Z$6,
  VLOOKUP($E163,INDIRECT("tri!"&amp; CHAR(64+ C0Col) &amp;":"&amp; CHAR(65+C0Col)),2,FALSE)&gt;COUNTIF($E163:Y163,"u")+COUNTIF($E163:Y163,"t")+COUNTIF($E163:Y163,"¶")+COUNTIF($E163:Y163,"²")+COUNTIF($E163:Y163,"µ")+COUNTIF($E163:Y163,1)),
HYPERLINK("#Roadmap!C"&amp; MATCH($E163,Roadmap!$D:$D,0)+COUNTIF($E163:Y163,"u")+COUNTIF($E163:Y163,"t"),
     INDEX(Roadmap!$D:$K,MATCH($E163,Roadmap!$D:$D,0)+COUNTIF($E163:Y163,"u")+COUNTIF($E163:Y163,"t")+COUNTIF($E163:Y163,"¶")+COUNTIF($E163:Y163,"²")+COUNTIF($E163:Y163,"µ")+COUNTIF($E163:Y163,1),ColTypeEcheance)),
  IF(LEN(Y163)=1,
  IF(LEN(INDEX(Roadmap!$D:$K,MATCH($E163,Roadmap!$D:$D,0)-1+COUNTIF($E163:Y163,"u")+COUNTIF($E163:Y163,"t")+COUNTIF($E163:Y163,"¶")+COUNTIF($E163:Y163,"²")+COUNTIF($E163:Y163,"µ")+COUNTIF($E163:Y163,1),ColDescriptionCourte))&gt;1,
HYPERLINK("#Roadmap!C"&amp; MATCH($E163,Roadmap!$D:$D,0)+COUNTIF($E163:Y163,"u")+COUNTIF($E163:Y163,"t")+COUNTIF($E163:Y163,"¶")+COUNTIF($E163:Y163,"²")+COUNTIF($E163:Y163,"µ")+COUNTIF($E163:Y163,1)-1,INDEX(Roadmap!$D:$K,MATCH($E163,Roadmap!$D:$D,0)-1+COUNTIF($E163:Y163,"u")+COUNTIF($E163:Y163,"t")+COUNTIF($E163:Y163,"¶")+COUNTIF($E163:Y163,"²")+COUNTIF($E163:Y163,"µ")+COUNTIF($E163:Y163,1),ColDescriptionCourte)),""),
  "")),"")</f>
        <v/>
      </c>
      <c r="AA163" s="40" t="str">
        <f ca="1">IFERROR(IF(AND(
  INDEX(Roadmap!$D:$K,MATCH($E163,Roadmap!$D:$D,0)+COUNTIF($E163:Z163,"u")+COUNTIF($E163:Z163,"t")+COUNTIF($E163:Z163,"¶")+COUNTIF($E163:Z163,"²")+COUNTIF($E163:Z163,"µ")+COUNTIF($E163:Z163,1),ColLivraison)=AA$6,
  VLOOKUP($E163,INDIRECT("tri!"&amp; CHAR(64+ C0Col) &amp;":"&amp; CHAR(65+C0Col)),2,FALSE)&gt;COUNTIF($E163:Z163,"u")+COUNTIF($E163:Z163,"t")+COUNTIF($E163:Z163,"¶")+COUNTIF($E163:Z163,"²")+COUNTIF($E163:Z163,"µ")+COUNTIF($E163:Z163,1)),
HYPERLINK("#Roadmap!C"&amp; MATCH($E163,Roadmap!$D:$D,0)+COUNTIF($E163:Z163,"u")+COUNTIF($E163:Z163,"t"),
     INDEX(Roadmap!$D:$K,MATCH($E163,Roadmap!$D:$D,0)+COUNTIF($E163:Z163,"u")+COUNTIF($E163:Z163,"t")+COUNTIF($E163:Z163,"¶")+COUNTIF($E163:Z163,"²")+COUNTIF($E163:Z163,"µ")+COUNTIF($E163:Z163,1),ColTypeEcheance)),
  IF(LEN(Z163)=1,
  IF(LEN(INDEX(Roadmap!$D:$K,MATCH($E163,Roadmap!$D:$D,0)-1+COUNTIF($E163:Z163,"u")+COUNTIF($E163:Z163,"t")+COUNTIF($E163:Z163,"¶")+COUNTIF($E163:Z163,"²")+COUNTIF($E163:Z163,"µ")+COUNTIF($E163:Z163,1),ColDescriptionCourte))&gt;1,
HYPERLINK("#Roadmap!C"&amp; MATCH($E163,Roadmap!$D:$D,0)+COUNTIF($E163:Z163,"u")+COUNTIF($E163:Z163,"t")+COUNTIF($E163:Z163,"¶")+COUNTIF($E163:Z163,"²")+COUNTIF($E163:Z163,"µ")+COUNTIF($E163:Z163,1)-1,INDEX(Roadmap!$D:$K,MATCH($E163,Roadmap!$D:$D,0)-1+COUNTIF($E163:Z163,"u")+COUNTIF($E163:Z163,"t")+COUNTIF($E163:Z163,"¶")+COUNTIF($E163:Z163,"²")+COUNTIF($E163:Z163,"µ")+COUNTIF($E163:Z163,1),ColDescriptionCourte)),""),
  "")),"")</f>
        <v/>
      </c>
      <c r="AB163" s="40" t="str">
        <f ca="1">IFERROR(IF(AND(
  INDEX(Roadmap!$D:$K,MATCH($E163,Roadmap!$D:$D,0)+COUNTIF($E163:AA163,"u")+COUNTIF($E163:AA163,"t")+COUNTIF($E163:AA163,"¶")+COUNTIF($E163:AA163,"²")+COUNTIF($E163:AA163,"µ")+COUNTIF($E163:AA163,1),ColLivraison)=AB$6,
  VLOOKUP($E163,INDIRECT("tri!"&amp; CHAR(64+ C0Col) &amp;":"&amp; CHAR(65+C0Col)),2,FALSE)&gt;COUNTIF($E163:AA163,"u")+COUNTIF($E163:AA163,"t")+COUNTIF($E163:AA163,"¶")+COUNTIF($E163:AA163,"²")+COUNTIF($E163:AA163,"µ")+COUNTIF($E163:AA163,1)),
HYPERLINK("#Roadmap!C"&amp; MATCH($E163,Roadmap!$D:$D,0)+COUNTIF($E163:AA163,"u")+COUNTIF($E163:AA163,"t"),
     INDEX(Roadmap!$D:$K,MATCH($E163,Roadmap!$D:$D,0)+COUNTIF($E163:AA163,"u")+COUNTIF($E163:AA163,"t")+COUNTIF($E163:AA163,"¶")+COUNTIF($E163:AA163,"²")+COUNTIF($E163:AA163,"µ")+COUNTIF($E163:AA163,1),ColTypeEcheance)),
  IF(LEN(AA163)=1,
  IF(LEN(INDEX(Roadmap!$D:$K,MATCH($E163,Roadmap!$D:$D,0)-1+COUNTIF($E163:AA163,"u")+COUNTIF($E163:AA163,"t")+COUNTIF($E163:AA163,"¶")+COUNTIF($E163:AA163,"²")+COUNTIF($E163:AA163,"µ")+COUNTIF($E163:AA163,1),ColDescriptionCourte))&gt;1,
HYPERLINK("#Roadmap!C"&amp; MATCH($E163,Roadmap!$D:$D,0)+COUNTIF($E163:AA163,"u")+COUNTIF($E163:AA163,"t")+COUNTIF($E163:AA163,"¶")+COUNTIF($E163:AA163,"²")+COUNTIF($E163:AA163,"µ")+COUNTIF($E163:AA163,1)-1,INDEX(Roadmap!$D:$K,MATCH($E163,Roadmap!$D:$D,0)-1+COUNTIF($E163:AA163,"u")+COUNTIF($E163:AA163,"t")+COUNTIF($E163:AA163,"¶")+COUNTIF($E163:AA163,"²")+COUNTIF($E163:AA163,"µ")+COUNTIF($E163:AA163,1),ColDescriptionCourte)),""),
  "")),"")</f>
        <v/>
      </c>
      <c r="AC163" s="40" t="str">
        <f ca="1">IFERROR(IF(AND(
  INDEX(Roadmap!$D:$K,MATCH($E163,Roadmap!$D:$D,0)+COUNTIF($E163:AB163,"u")+COUNTIF($E163:AB163,"t")+COUNTIF($E163:AB163,"¶")+COUNTIF($E163:AB163,"²")+COUNTIF($E163:AB163,"µ")+COUNTIF($E163:AB163,1),ColLivraison)=AC$6,
  VLOOKUP($E163,INDIRECT("tri!"&amp; CHAR(64+ C0Col) &amp;":"&amp; CHAR(65+C0Col)),2,FALSE)&gt;COUNTIF($E163:AB163,"u")+COUNTIF($E163:AB163,"t")+COUNTIF($E163:AB163,"¶")+COUNTIF($E163:AB163,"²")+COUNTIF($E163:AB163,"µ")+COUNTIF($E163:AB163,1)),
HYPERLINK("#Roadmap!C"&amp; MATCH($E163,Roadmap!$D:$D,0)+COUNTIF($E163:AB163,"u")+COUNTIF($E163:AB163,"t"),
     INDEX(Roadmap!$D:$K,MATCH($E163,Roadmap!$D:$D,0)+COUNTIF($E163:AB163,"u")+COUNTIF($E163:AB163,"t")+COUNTIF($E163:AB163,"¶")+COUNTIF($E163:AB163,"²")+COUNTIF($E163:AB163,"µ")+COUNTIF($E163:AB163,1),ColTypeEcheance)),
  IF(LEN(AB163)=1,
  IF(LEN(INDEX(Roadmap!$D:$K,MATCH($E163,Roadmap!$D:$D,0)-1+COUNTIF($E163:AB163,"u")+COUNTIF($E163:AB163,"t")+COUNTIF($E163:AB163,"¶")+COUNTIF($E163:AB163,"²")+COUNTIF($E163:AB163,"µ")+COUNTIF($E163:AB163,1),ColDescriptionCourte))&gt;1,
HYPERLINK("#Roadmap!C"&amp; MATCH($E163,Roadmap!$D:$D,0)+COUNTIF($E163:AB163,"u")+COUNTIF($E163:AB163,"t")+COUNTIF($E163:AB163,"¶")+COUNTIF($E163:AB163,"²")+COUNTIF($E163:AB163,"µ")+COUNTIF($E163:AB163,1)-1,INDEX(Roadmap!$D:$K,MATCH($E163,Roadmap!$D:$D,0)-1+COUNTIF($E163:AB163,"u")+COUNTIF($E163:AB163,"t")+COUNTIF($E163:AB163,"¶")+COUNTIF($E163:AB163,"²")+COUNTIF($E163:AB163,"µ")+COUNTIF($E163:AB163,1),ColDescriptionCourte)),""),
  "")),"")</f>
        <v/>
      </c>
      <c r="AD163" s="40" t="str">
        <f ca="1">IFERROR(IF(AND(
  INDEX(Roadmap!$D:$K,MATCH($E163,Roadmap!$D:$D,0)+COUNTIF($E163:AC163,"u")+COUNTIF($E163:AC163,"t")+COUNTIF($E163:AC163,"¶")+COUNTIF($E163:AC163,"²")+COUNTIF($E163:AC163,"µ")+COUNTIF($E163:AC163,1),ColLivraison)=AD$6,
  VLOOKUP($E163,INDIRECT("tri!"&amp; CHAR(64+ C0Col) &amp;":"&amp; CHAR(65+C0Col)),2,FALSE)&gt;COUNTIF($E163:AC163,"u")+COUNTIF($E163:AC163,"t")+COUNTIF($E163:AC163,"¶")+COUNTIF($E163:AC163,"²")+COUNTIF($E163:AC163,"µ")+COUNTIF($E163:AC163,1)),
HYPERLINK("#Roadmap!C"&amp; MATCH($E163,Roadmap!$D:$D,0)+COUNTIF($E163:AC163,"u")+COUNTIF($E163:AC163,"t"),
     INDEX(Roadmap!$D:$K,MATCH($E163,Roadmap!$D:$D,0)+COUNTIF($E163:AC163,"u")+COUNTIF($E163:AC163,"t")+COUNTIF($E163:AC163,"¶")+COUNTIF($E163:AC163,"²")+COUNTIF($E163:AC163,"µ")+COUNTIF($E163:AC163,1),ColTypeEcheance)),
  IF(LEN(AC163)=1,
  IF(LEN(INDEX(Roadmap!$D:$K,MATCH($E163,Roadmap!$D:$D,0)-1+COUNTIF($E163:AC163,"u")+COUNTIF($E163:AC163,"t")+COUNTIF($E163:AC163,"¶")+COUNTIF($E163:AC163,"²")+COUNTIF($E163:AC163,"µ")+COUNTIF($E163:AC163,1),ColDescriptionCourte))&gt;1,
HYPERLINK("#Roadmap!C"&amp; MATCH($E163,Roadmap!$D:$D,0)+COUNTIF($E163:AC163,"u")+COUNTIF($E163:AC163,"t")+COUNTIF($E163:AC163,"¶")+COUNTIF($E163:AC163,"²")+COUNTIF($E163:AC163,"µ")+COUNTIF($E163:AC163,1)-1,INDEX(Roadmap!$D:$K,MATCH($E163,Roadmap!$D:$D,0)-1+COUNTIF($E163:AC163,"u")+COUNTIF($E163:AC163,"t")+COUNTIF($E163:AC163,"¶")+COUNTIF($E163:AC163,"²")+COUNTIF($E163:AC163,"µ")+COUNTIF($E163:AC163,1),ColDescriptionCourte)),""),
  "")),"")</f>
        <v/>
      </c>
      <c r="AE163" s="40" t="str">
        <f ca="1">IFERROR(IF(AND(
  INDEX(Roadmap!$D:$K,MATCH($E163,Roadmap!$D:$D,0)+COUNTIF($E163:AD163,"u")+COUNTIF($E163:AD163,"t")+COUNTIF($E163:AD163,"¶")+COUNTIF($E163:AD163,"²")+COUNTIF($E163:AD163,"µ")+COUNTIF($E163:AD163,1),ColLivraison)=AE$6,
  VLOOKUP($E163,INDIRECT("tri!"&amp; CHAR(64+ C0Col) &amp;":"&amp; CHAR(65+C0Col)),2,FALSE)&gt;COUNTIF($E163:AD163,"u")+COUNTIF($E163:AD163,"t")+COUNTIF($E163:AD163,"¶")+COUNTIF($E163:AD163,"²")+COUNTIF($E163:AD163,"µ")+COUNTIF($E163:AD163,1)),
HYPERLINK("#Roadmap!C"&amp; MATCH($E163,Roadmap!$D:$D,0)+COUNTIF($E163:AD163,"u")+COUNTIF($E163:AD163,"t"),
     INDEX(Roadmap!$D:$K,MATCH($E163,Roadmap!$D:$D,0)+COUNTIF($E163:AD163,"u")+COUNTIF($E163:AD163,"t")+COUNTIF($E163:AD163,"¶")+COUNTIF($E163:AD163,"²")+COUNTIF($E163:AD163,"µ")+COUNTIF($E163:AD163,1),ColTypeEcheance)),
  IF(LEN(AD163)=1,
  IF(LEN(INDEX(Roadmap!$D:$K,MATCH($E163,Roadmap!$D:$D,0)-1+COUNTIF($E163:AD163,"u")+COUNTIF($E163:AD163,"t")+COUNTIF($E163:AD163,"¶")+COUNTIF($E163:AD163,"²")+COUNTIF($E163:AD163,"µ")+COUNTIF($E163:AD163,1),ColDescriptionCourte))&gt;1,
HYPERLINK("#Roadmap!C"&amp; MATCH($E163,Roadmap!$D:$D,0)+COUNTIF($E163:AD163,"u")+COUNTIF($E163:AD163,"t")+COUNTIF($E163:AD163,"¶")+COUNTIF($E163:AD163,"²")+COUNTIF($E163:AD163,"µ")+COUNTIF($E163:AD163,1)-1,INDEX(Roadmap!$D:$K,MATCH($E163,Roadmap!$D:$D,0)-1+COUNTIF($E163:AD163,"u")+COUNTIF($E163:AD163,"t")+COUNTIF($E163:AD163,"¶")+COUNTIF($E163:AD163,"²")+COUNTIF($E163:AD163,"µ")+COUNTIF($E163:AD163,1),ColDescriptionCourte)),""),
  "")),"")</f>
        <v/>
      </c>
      <c r="AF163" s="40" t="str">
        <f ca="1">IFERROR(IF(AND(
  INDEX(Roadmap!$D:$K,MATCH($E163,Roadmap!$D:$D,0)+COUNTIF($E163:AE163,"u")+COUNTIF($E163:AE163,"t")+COUNTIF($E163:AE163,"¶")+COUNTIF($E163:AE163,"²")+COUNTIF($E163:AE163,"µ")+COUNTIF($E163:AE163,1),ColLivraison)=AF$6,
  VLOOKUP($E163,INDIRECT("tri!"&amp; CHAR(64+ C0Col) &amp;":"&amp; CHAR(65+C0Col)),2,FALSE)&gt;COUNTIF($E163:AE163,"u")+COUNTIF($E163:AE163,"t")+COUNTIF($E163:AE163,"¶")+COUNTIF($E163:AE163,"²")+COUNTIF($E163:AE163,"µ")+COUNTIF($E163:AE163,1)),
HYPERLINK("#Roadmap!C"&amp; MATCH($E163,Roadmap!$D:$D,0)+COUNTIF($E163:AE163,"u")+COUNTIF($E163:AE163,"t"),
     INDEX(Roadmap!$D:$K,MATCH($E163,Roadmap!$D:$D,0)+COUNTIF($E163:AE163,"u")+COUNTIF($E163:AE163,"t")+COUNTIF($E163:AE163,"¶")+COUNTIF($E163:AE163,"²")+COUNTIF($E163:AE163,"µ")+COUNTIF($E163:AE163,1),ColTypeEcheance)),
  IF(LEN(AE163)=1,
  IF(LEN(INDEX(Roadmap!$D:$K,MATCH($E163,Roadmap!$D:$D,0)-1+COUNTIF($E163:AE163,"u")+COUNTIF($E163:AE163,"t")+COUNTIF($E163:AE163,"¶")+COUNTIF($E163:AE163,"²")+COUNTIF($E163:AE163,"µ")+COUNTIF($E163:AE163,1),ColDescriptionCourte))&gt;1,
HYPERLINK("#Roadmap!C"&amp; MATCH($E163,Roadmap!$D:$D,0)+COUNTIF($E163:AE163,"u")+COUNTIF($E163:AE163,"t")+COUNTIF($E163:AE163,"¶")+COUNTIF($E163:AE163,"²")+COUNTIF($E163:AE163,"µ")+COUNTIF($E163:AE163,1)-1,INDEX(Roadmap!$D:$K,MATCH($E163,Roadmap!$D:$D,0)-1+COUNTIF($E163:AE163,"u")+COUNTIF($E163:AE163,"t")+COUNTIF($E163:AE163,"¶")+COUNTIF($E163:AE163,"²")+COUNTIF($E163:AE163,"µ")+COUNTIF($E163:AE163,1),ColDescriptionCourte)),""),
  "")),"")</f>
        <v/>
      </c>
      <c r="AG163" s="40" t="str">
        <f ca="1">IFERROR(IF(AND(
  INDEX(Roadmap!$D:$K,MATCH($E163,Roadmap!$D:$D,0)+COUNTIF($E163:AF163,"u")+COUNTIF($E163:AF163,"t")+COUNTIF($E163:AF163,"¶")+COUNTIF($E163:AF163,"²")+COUNTIF($E163:AF163,"µ")+COUNTIF($E163:AF163,1),ColLivraison)=AG$6,
  VLOOKUP($E163,INDIRECT("tri!"&amp; CHAR(64+ C0Col) &amp;":"&amp; CHAR(65+C0Col)),2,FALSE)&gt;COUNTIF($E163:AF163,"u")+COUNTIF($E163:AF163,"t")+COUNTIF($E163:AF163,"¶")+COUNTIF($E163:AF163,"²")+COUNTIF($E163:AF163,"µ")+COUNTIF($E163:AF163,1)),
HYPERLINK("#Roadmap!C"&amp; MATCH($E163,Roadmap!$D:$D,0)+COUNTIF($E163:AF163,"u")+COUNTIF($E163:AF163,"t"),
     INDEX(Roadmap!$D:$K,MATCH($E163,Roadmap!$D:$D,0)+COUNTIF($E163:AF163,"u")+COUNTIF($E163:AF163,"t")+COUNTIF($E163:AF163,"¶")+COUNTIF($E163:AF163,"²")+COUNTIF($E163:AF163,"µ")+COUNTIF($E163:AF163,1),ColTypeEcheance)),
  IF(LEN(AF163)=1,
  IF(LEN(INDEX(Roadmap!$D:$K,MATCH($E163,Roadmap!$D:$D,0)-1+COUNTIF($E163:AF163,"u")+COUNTIF($E163:AF163,"t")+COUNTIF($E163:AF163,"¶")+COUNTIF($E163:AF163,"²")+COUNTIF($E163:AF163,"µ")+COUNTIF($E163:AF163,1),ColDescriptionCourte))&gt;1,
HYPERLINK("#Roadmap!C"&amp; MATCH($E163,Roadmap!$D:$D,0)+COUNTIF($E163:AF163,"u")+COUNTIF($E163:AF163,"t")+COUNTIF($E163:AF163,"¶")+COUNTIF($E163:AF163,"²")+COUNTIF($E163:AF163,"µ")+COUNTIF($E163:AF163,1)-1,INDEX(Roadmap!$D:$K,MATCH($E163,Roadmap!$D:$D,0)-1+COUNTIF($E163:AF163,"u")+COUNTIF($E163:AF163,"t")+COUNTIF($E163:AF163,"¶")+COUNTIF($E163:AF163,"²")+COUNTIF($E163:AF163,"µ")+COUNTIF($E163:AF163,1),ColDescriptionCourte)),""),
  "")),"")</f>
        <v/>
      </c>
    </row>
    <row r="164" spans="3:33" ht="14.25" customHeight="1">
      <c r="C164" s="1" t="str">
        <f t="shared" ca="1" si="52"/>
        <v/>
      </c>
      <c r="D164" s="1" t="str">
        <f t="shared" ca="1" si="53"/>
        <v/>
      </c>
      <c r="E164" s="35" t="str">
        <f t="shared" ca="1" si="51"/>
        <v/>
      </c>
      <c r="F164" s="39" t="str">
        <f ca="1">IFERROR(IF(AND(
  INDEX(Roadmap!$D:$K,MATCH($E164,Roadmap!$D:$D,0)+COUNTIF($E164:E164,"u")+COUNTIF($E164:E164,"t")+COUNTIF($E164:E164,"¶")+COUNTIF($E164:E164,"²")+COUNTIF($E164:E164,"µ")+COUNTIF($E164:E164,1),ColLivraison)=F$6,
  VLOOKUP($E164,INDIRECT("tri!"&amp; CHAR(64+ C0Col) &amp;":"&amp; CHAR(65+C0Col)),2,FALSE)&gt;COUNTIF($E164:E164,"u")+COUNTIF($E164:E164,"t")+COUNTIF($E164:E164,"¶")+COUNTIF($E164:E164,"²")+COUNTIF($E164:E164,"µ")+COUNTIF($E164:E164,1)),
HYPERLINK("#Roadmap!C"&amp; MATCH($E164,Roadmap!$D:$D,0)+COUNTIF($E164:E164,"u")+COUNTIF($E164:E164,"t"),
     INDEX(Roadmap!$D:$K,MATCH($E164,Roadmap!$D:$D,0)+COUNTIF($E164:E164,"u")+COUNTIF($E164:E164,"t")+COUNTIF($E164:E164,"¶")+COUNTIF($E164:E164,"²")+COUNTIF($E164:E164,"µ")+COUNTIF($E164:E164,1),ColTypeEcheance)),
  IF(LEN(E164)=1,
  IF(LEN(INDEX(Roadmap!$D:$K,MATCH($E164,Roadmap!$D:$D,0)-1+COUNTIF($E164:E164,"u")+COUNTIF($E164:E164,"t")+COUNTIF($E164:E164,"¶")+COUNTIF($E164:E164,"²")+COUNTIF($E164:E164,"µ")+COUNTIF($E164:E164,1),ColDescriptionCourte))&gt;1,
HYPERLINK("#Roadmap!C"&amp; MATCH($E164,Roadmap!$D:$D,0)+COUNTIF($E164:E164,"u")+COUNTIF($E164:E164,"t")+COUNTIF($E164:E164,"¶")+COUNTIF($E164:E164,"²")+COUNTIF($E164:E164,"µ")+COUNTIF($E164:E164,1)-1,INDEX(Roadmap!$D:$K,MATCH($E164,Roadmap!$D:$D,0)-1+COUNTIF($E164:E164,"u")+COUNTIF($E164:E164,"t")+COUNTIF($E164:E164,"¶")+COUNTIF($E164:E164,"²")+COUNTIF($E164:E164,"µ")+COUNTIF($E164:E164,1),ColDescriptionCourte)),""),
  "")),"")</f>
        <v/>
      </c>
      <c r="G164" s="40" t="str">
        <f ca="1">IFERROR(IF(AND(
  INDEX(Roadmap!$D:$K,MATCH($E164,Roadmap!$D:$D,0)+COUNTIF($E164:F164,"u")+COUNTIF($E164:F164,"t")+COUNTIF($E164:F164,"¶")+COUNTIF($E164:F164,"²")+COUNTIF($E164:F164,"µ")+COUNTIF($E164:F164,1),ColLivraison)=G$6,
  VLOOKUP($E164,INDIRECT("tri!"&amp; CHAR(64+ C0Col) &amp;":"&amp; CHAR(65+C0Col)),2,FALSE)&gt;COUNTIF($E164:F164,"u")+COUNTIF($E164:F164,"t")+COUNTIF($E164:F164,"¶")+COUNTIF($E164:F164,"²")+COUNTIF($E164:F164,"µ")+COUNTIF($E164:F164,1)),
HYPERLINK("#Roadmap!C"&amp; MATCH($E164,Roadmap!$D:$D,0)+COUNTIF($E164:F164,"u")+COUNTIF($E164:F164,"t"),
     INDEX(Roadmap!$D:$K,MATCH($E164,Roadmap!$D:$D,0)+COUNTIF($E164:F164,"u")+COUNTIF($E164:F164,"t")+COUNTIF($E164:F164,"¶")+COUNTIF($E164:F164,"²")+COUNTIF($E164:F164,"µ")+COUNTIF($E164:F164,1),ColTypeEcheance)),
  IF(LEN(F164)=1,
  IF(LEN(INDEX(Roadmap!$D:$K,MATCH($E164,Roadmap!$D:$D,0)-1+COUNTIF($E164:F164,"u")+COUNTIF($E164:F164,"t")+COUNTIF($E164:F164,"¶")+COUNTIF($E164:F164,"²")+COUNTIF($E164:F164,"µ")+COUNTIF($E164:F164,1),ColDescriptionCourte))&gt;1,
HYPERLINK("#Roadmap!C"&amp; MATCH($E164,Roadmap!$D:$D,0)+COUNTIF($E164:F164,"u")+COUNTIF($E164:F164,"t")+COUNTIF($E164:F164,"¶")+COUNTIF($E164:F164,"²")+COUNTIF($E164:F164,"µ")+COUNTIF($E164:F164,1)-1,INDEX(Roadmap!$D:$K,MATCH($E164,Roadmap!$D:$D,0)-1+COUNTIF($E164:F164,"u")+COUNTIF($E164:F164,"t")+COUNTIF($E164:F164,"¶")+COUNTIF($E164:F164,"²")+COUNTIF($E164:F164,"µ")+COUNTIF($E164:F164,1),ColDescriptionCourte)),""),
  "")),"")</f>
        <v/>
      </c>
      <c r="H164" s="40" t="str">
        <f ca="1">IFERROR(IF(AND(
  INDEX(Roadmap!$D:$K,MATCH($E164,Roadmap!$D:$D,0)+COUNTIF($E164:G164,"u")+COUNTIF($E164:G164,"t")+COUNTIF($E164:G164,"¶")+COUNTIF($E164:G164,"²")+COUNTIF($E164:G164,"µ")+COUNTIF($E164:G164,1),ColLivraison)=H$6,
  VLOOKUP($E164,INDIRECT("tri!"&amp; CHAR(64+ C0Col) &amp;":"&amp; CHAR(65+C0Col)),2,FALSE)&gt;COUNTIF($E164:G164,"u")+COUNTIF($E164:G164,"t")+COUNTIF($E164:G164,"¶")+COUNTIF($E164:G164,"²")+COUNTIF($E164:G164,"µ")+COUNTIF($E164:G164,1)),
HYPERLINK("#Roadmap!C"&amp; MATCH($E164,Roadmap!$D:$D,0)+COUNTIF($E164:G164,"u")+COUNTIF($E164:G164,"t"),
     INDEX(Roadmap!$D:$K,MATCH($E164,Roadmap!$D:$D,0)+COUNTIF($E164:G164,"u")+COUNTIF($E164:G164,"t")+COUNTIF($E164:G164,"¶")+COUNTIF($E164:G164,"²")+COUNTIF($E164:G164,"µ")+COUNTIF($E164:G164,1),ColTypeEcheance)),
  IF(LEN(G164)=1,
  IF(LEN(INDEX(Roadmap!$D:$K,MATCH($E164,Roadmap!$D:$D,0)-1+COUNTIF($E164:G164,"u")+COUNTIF($E164:G164,"t")+COUNTIF($E164:G164,"¶")+COUNTIF($E164:G164,"²")+COUNTIF($E164:G164,"µ")+COUNTIF($E164:G164,1),ColDescriptionCourte))&gt;1,
HYPERLINK("#Roadmap!C"&amp; MATCH($E164,Roadmap!$D:$D,0)+COUNTIF($E164:G164,"u")+COUNTIF($E164:G164,"t")+COUNTIF($E164:G164,"¶")+COUNTIF($E164:G164,"²")+COUNTIF($E164:G164,"µ")+COUNTIF($E164:G164,1)-1,INDEX(Roadmap!$D:$K,MATCH($E164,Roadmap!$D:$D,0)-1+COUNTIF($E164:G164,"u")+COUNTIF($E164:G164,"t")+COUNTIF($E164:G164,"¶")+COUNTIF($E164:G164,"²")+COUNTIF($E164:G164,"µ")+COUNTIF($E164:G164,1),ColDescriptionCourte)),""),
  "")),"")</f>
        <v/>
      </c>
      <c r="I164" s="40" t="str">
        <f ca="1">IFERROR(IF(AND(
  INDEX(Roadmap!$D:$K,MATCH($E164,Roadmap!$D:$D,0)+COUNTIF($E164:H164,"u")+COUNTIF($E164:H164,"t")+COUNTIF($E164:H164,"¶")+COUNTIF($E164:H164,"²")+COUNTIF($E164:H164,"µ")+COUNTIF($E164:H164,1),ColLivraison)=I$6,
  VLOOKUP($E164,INDIRECT("tri!"&amp; CHAR(64+ C0Col) &amp;":"&amp; CHAR(65+C0Col)),2,FALSE)&gt;COUNTIF($E164:H164,"u")+COUNTIF($E164:H164,"t")+COUNTIF($E164:H164,"¶")+COUNTIF($E164:H164,"²")+COUNTIF($E164:H164,"µ")+COUNTIF($E164:H164,1)),
HYPERLINK("#Roadmap!C"&amp; MATCH($E164,Roadmap!$D:$D,0)+COUNTIF($E164:H164,"u")+COUNTIF($E164:H164,"t"),
     INDEX(Roadmap!$D:$K,MATCH($E164,Roadmap!$D:$D,0)+COUNTIF($E164:H164,"u")+COUNTIF($E164:H164,"t")+COUNTIF($E164:H164,"¶")+COUNTIF($E164:H164,"²")+COUNTIF($E164:H164,"µ")+COUNTIF($E164:H164,1),ColTypeEcheance)),
  IF(LEN(H164)=1,
  IF(LEN(INDEX(Roadmap!$D:$K,MATCH($E164,Roadmap!$D:$D,0)-1+COUNTIF($E164:H164,"u")+COUNTIF($E164:H164,"t")+COUNTIF($E164:H164,"¶")+COUNTIF($E164:H164,"²")+COUNTIF($E164:H164,"µ")+COUNTIF($E164:H164,1),ColDescriptionCourte))&gt;1,
HYPERLINK("#Roadmap!C"&amp; MATCH($E164,Roadmap!$D:$D,0)+COUNTIF($E164:H164,"u")+COUNTIF($E164:H164,"t")+COUNTIF($E164:H164,"¶")+COUNTIF($E164:H164,"²")+COUNTIF($E164:H164,"µ")+COUNTIF($E164:H164,1)-1,INDEX(Roadmap!$D:$K,MATCH($E164,Roadmap!$D:$D,0)-1+COUNTIF($E164:H164,"u")+COUNTIF($E164:H164,"t")+COUNTIF($E164:H164,"¶")+COUNTIF($E164:H164,"²")+COUNTIF($E164:H164,"µ")+COUNTIF($E164:H164,1),ColDescriptionCourte)),""),
  "")),"")</f>
        <v/>
      </c>
      <c r="J164" s="40" t="str">
        <f ca="1">IFERROR(IF(AND(
  INDEX(Roadmap!$D:$K,MATCH($E164,Roadmap!$D:$D,0)+COUNTIF($E164:I164,"u")+COUNTIF($E164:I164,"t")+COUNTIF($E164:I164,"¶")+COUNTIF($E164:I164,"²")+COUNTIF($E164:I164,"µ")+COUNTIF($E164:I164,1),ColLivraison)=J$6,
  VLOOKUP($E164,INDIRECT("tri!"&amp; CHAR(64+ C0Col) &amp;":"&amp; CHAR(65+C0Col)),2,FALSE)&gt;COUNTIF($E164:I164,"u")+COUNTIF($E164:I164,"t")+COUNTIF($E164:I164,"¶")+COUNTIF($E164:I164,"²")+COUNTIF($E164:I164,"µ")+COUNTIF($E164:I164,1)),
HYPERLINK("#Roadmap!C"&amp; MATCH($E164,Roadmap!$D:$D,0)+COUNTIF($E164:I164,"u")+COUNTIF($E164:I164,"t"),
     INDEX(Roadmap!$D:$K,MATCH($E164,Roadmap!$D:$D,0)+COUNTIF($E164:I164,"u")+COUNTIF($E164:I164,"t")+COUNTIF($E164:I164,"¶")+COUNTIF($E164:I164,"²")+COUNTIF($E164:I164,"µ")+COUNTIF($E164:I164,1),ColTypeEcheance)),
  IF(LEN(I164)=1,
  IF(LEN(INDEX(Roadmap!$D:$K,MATCH($E164,Roadmap!$D:$D,0)-1+COUNTIF($E164:I164,"u")+COUNTIF($E164:I164,"t")+COUNTIF($E164:I164,"¶")+COUNTIF($E164:I164,"²")+COUNTIF($E164:I164,"µ")+COUNTIF($E164:I164,1),ColDescriptionCourte))&gt;1,
HYPERLINK("#Roadmap!C"&amp; MATCH($E164,Roadmap!$D:$D,0)+COUNTIF($E164:I164,"u")+COUNTIF($E164:I164,"t")+COUNTIF($E164:I164,"¶")+COUNTIF($E164:I164,"²")+COUNTIF($E164:I164,"µ")+COUNTIF($E164:I164,1)-1,INDEX(Roadmap!$D:$K,MATCH($E164,Roadmap!$D:$D,0)-1+COUNTIF($E164:I164,"u")+COUNTIF($E164:I164,"t")+COUNTIF($E164:I164,"¶")+COUNTIF($E164:I164,"²")+COUNTIF($E164:I164,"µ")+COUNTIF($E164:I164,1),ColDescriptionCourte)),""),
  "")),"")</f>
        <v/>
      </c>
      <c r="K164" s="40" t="str">
        <f ca="1">IFERROR(IF(AND(
  INDEX(Roadmap!$D:$K,MATCH($E164,Roadmap!$D:$D,0)+COUNTIF($E164:J164,"u")+COUNTIF($E164:J164,"t")+COUNTIF($E164:J164,"¶")+COUNTIF($E164:J164,"²")+COUNTIF($E164:J164,"µ")+COUNTIF($E164:J164,1),ColLivraison)=K$6,
  VLOOKUP($E164,INDIRECT("tri!"&amp; CHAR(64+ C0Col) &amp;":"&amp; CHAR(65+C0Col)),2,FALSE)&gt;COUNTIF($E164:J164,"u")+COUNTIF($E164:J164,"t")+COUNTIF($E164:J164,"¶")+COUNTIF($E164:J164,"²")+COUNTIF($E164:J164,"µ")+COUNTIF($E164:J164,1)),
HYPERLINK("#Roadmap!C"&amp; MATCH($E164,Roadmap!$D:$D,0)+COUNTIF($E164:J164,"u")+COUNTIF($E164:J164,"t"),
     INDEX(Roadmap!$D:$K,MATCH($E164,Roadmap!$D:$D,0)+COUNTIF($E164:J164,"u")+COUNTIF($E164:J164,"t")+COUNTIF($E164:J164,"¶")+COUNTIF($E164:J164,"²")+COUNTIF($E164:J164,"µ")+COUNTIF($E164:J164,1),ColTypeEcheance)),
  IF(LEN(J164)=1,
  IF(LEN(INDEX(Roadmap!$D:$K,MATCH($E164,Roadmap!$D:$D,0)-1+COUNTIF($E164:J164,"u")+COUNTIF($E164:J164,"t")+COUNTIF($E164:J164,"¶")+COUNTIF($E164:J164,"²")+COUNTIF($E164:J164,"µ")+COUNTIF($E164:J164,1),ColDescriptionCourte))&gt;1,
HYPERLINK("#Roadmap!C"&amp; MATCH($E164,Roadmap!$D:$D,0)+COUNTIF($E164:J164,"u")+COUNTIF($E164:J164,"t")+COUNTIF($E164:J164,"¶")+COUNTIF($E164:J164,"²")+COUNTIF($E164:J164,"µ")+COUNTIF($E164:J164,1)-1,INDEX(Roadmap!$D:$K,MATCH($E164,Roadmap!$D:$D,0)-1+COUNTIF($E164:J164,"u")+COUNTIF($E164:J164,"t")+COUNTIF($E164:J164,"¶")+COUNTIF($E164:J164,"²")+COUNTIF($E164:J164,"µ")+COUNTIF($E164:J164,1),ColDescriptionCourte)),""),
  "")),"")</f>
        <v/>
      </c>
      <c r="L164" s="39" t="str">
        <f ca="1">IFERROR(IF(AND(
  INDEX(Roadmap!$D:$K,MATCH($E164,Roadmap!$D:$D,0)+COUNTIF($E164:K164,"u")+COUNTIF($E164:K164,"t")+COUNTIF($E164:K164,"¶")+COUNTIF($E164:K164,"²")+COUNTIF($E164:K164,"µ")+COUNTIF($E164:K164,1),ColLivraison)=L$6,
  VLOOKUP($E164,INDIRECT("tri!"&amp; CHAR(64+ C0Col) &amp;":"&amp; CHAR(65+C0Col)),2,FALSE)&gt;COUNTIF($E164:K164,"u")+COUNTIF($E164:K164,"t")+COUNTIF($E164:K164,"¶")+COUNTIF($E164:K164,"²")+COUNTIF($E164:K164,"µ")+COUNTIF($E164:K164,1)),
HYPERLINK("#Roadmap!C"&amp; MATCH($E164,Roadmap!$D:$D,0)+COUNTIF($E164:K164,"u")+COUNTIF($E164:K164,"t"),
     INDEX(Roadmap!$D:$K,MATCH($E164,Roadmap!$D:$D,0)+COUNTIF($E164:K164,"u")+COUNTIF($E164:K164,"t")+COUNTIF($E164:K164,"¶")+COUNTIF($E164:K164,"²")+COUNTIF($E164:K164,"µ")+COUNTIF($E164:K164,1),ColTypeEcheance)),
  IF(LEN(K164)=1,
  IF(LEN(INDEX(Roadmap!$D:$K,MATCH($E164,Roadmap!$D:$D,0)-1+COUNTIF($E164:K164,"u")+COUNTIF($E164:K164,"t")+COUNTIF($E164:K164,"¶")+COUNTIF($E164:K164,"²")+COUNTIF($E164:K164,"µ")+COUNTIF($E164:K164,1),ColDescriptionCourte))&gt;1,
HYPERLINK("#Roadmap!C"&amp; MATCH($E164,Roadmap!$D:$D,0)+COUNTIF($E164:K164,"u")+COUNTIF($E164:K164,"t")+COUNTIF($E164:K164,"¶")+COUNTIF($E164:K164,"²")+COUNTIF($E164:K164,"µ")+COUNTIF($E164:K164,1)-1,INDEX(Roadmap!$D:$K,MATCH($E164,Roadmap!$D:$D,0)-1+COUNTIF($E164:K164,"u")+COUNTIF($E164:K164,"t")+COUNTIF($E164:K164,"¶")+COUNTIF($E164:K164,"²")+COUNTIF($E164:K164,"µ")+COUNTIF($E164:K164,1),ColDescriptionCourte)),""),
  "")),"")</f>
        <v/>
      </c>
      <c r="M164" s="40" t="str">
        <f ca="1">IFERROR(IF(AND(
  INDEX(Roadmap!$D:$K,MATCH($E164,Roadmap!$D:$D,0)+COUNTIF($E164:L164,"u")+COUNTIF($E164:L164,"t")+COUNTIF($E164:L164,"¶")+COUNTIF($E164:L164,"²")+COUNTIF($E164:L164,"µ")+COUNTIF($E164:L164,1),ColLivraison)=M$6,
  VLOOKUP($E164,INDIRECT("tri!"&amp; CHAR(64+ C0Col) &amp;":"&amp; CHAR(65+C0Col)),2,FALSE)&gt;COUNTIF($E164:L164,"u")+COUNTIF($E164:L164,"t")+COUNTIF($E164:L164,"¶")+COUNTIF($E164:L164,"²")+COUNTIF($E164:L164,"µ")+COUNTIF($E164:L164,1)),
HYPERLINK("#Roadmap!C"&amp; MATCH($E164,Roadmap!$D:$D,0)+COUNTIF($E164:L164,"u")+COUNTIF($E164:L164,"t"),
     INDEX(Roadmap!$D:$K,MATCH($E164,Roadmap!$D:$D,0)+COUNTIF($E164:L164,"u")+COUNTIF($E164:L164,"t")+COUNTIF($E164:L164,"¶")+COUNTIF($E164:L164,"²")+COUNTIF($E164:L164,"µ")+COUNTIF($E164:L164,1),ColTypeEcheance)),
  IF(LEN(L164)=1,
  IF(LEN(INDEX(Roadmap!$D:$K,MATCH($E164,Roadmap!$D:$D,0)-1+COUNTIF($E164:L164,"u")+COUNTIF($E164:L164,"t")+COUNTIF($E164:L164,"¶")+COUNTIF($E164:L164,"²")+COUNTIF($E164:L164,"µ")+COUNTIF($E164:L164,1),ColDescriptionCourte))&gt;1,
HYPERLINK("#Roadmap!C"&amp; MATCH($E164,Roadmap!$D:$D,0)+COUNTIF($E164:L164,"u")+COUNTIF($E164:L164,"t")+COUNTIF($E164:L164,"¶")+COUNTIF($E164:L164,"²")+COUNTIF($E164:L164,"µ")+COUNTIF($E164:L164,1)-1,INDEX(Roadmap!$D:$K,MATCH($E164,Roadmap!$D:$D,0)-1+COUNTIF($E164:L164,"u")+COUNTIF($E164:L164,"t")+COUNTIF($E164:L164,"¶")+COUNTIF($E164:L164,"²")+COUNTIF($E164:L164,"µ")+COUNTIF($E164:L164,1),ColDescriptionCourte)),""),
  "")),"")</f>
        <v/>
      </c>
      <c r="N164" s="40" t="str">
        <f ca="1">IFERROR(IF(AND(
  INDEX(Roadmap!$D:$K,MATCH($E164,Roadmap!$D:$D,0)+COUNTIF($E164:M164,"u")+COUNTIF($E164:M164,"t")+COUNTIF($E164:M164,"¶")+COUNTIF($E164:M164,"²")+COUNTIF($E164:M164,"µ")+COUNTIF($E164:M164,1),ColLivraison)=N$6,
  VLOOKUP($E164,INDIRECT("tri!"&amp; CHAR(64+ C0Col) &amp;":"&amp; CHAR(65+C0Col)),2,FALSE)&gt;COUNTIF($E164:M164,"u")+COUNTIF($E164:M164,"t")+COUNTIF($E164:M164,"¶")+COUNTIF($E164:M164,"²")+COUNTIF($E164:M164,"µ")+COUNTIF($E164:M164,1)),
HYPERLINK("#Roadmap!C"&amp; MATCH($E164,Roadmap!$D:$D,0)+COUNTIF($E164:M164,"u")+COUNTIF($E164:M164,"t"),
     INDEX(Roadmap!$D:$K,MATCH($E164,Roadmap!$D:$D,0)+COUNTIF($E164:M164,"u")+COUNTIF($E164:M164,"t")+COUNTIF($E164:M164,"¶")+COUNTIF($E164:M164,"²")+COUNTIF($E164:M164,"µ")+COUNTIF($E164:M164,1),ColTypeEcheance)),
  IF(LEN(M164)=1,
  IF(LEN(INDEX(Roadmap!$D:$K,MATCH($E164,Roadmap!$D:$D,0)-1+COUNTIF($E164:M164,"u")+COUNTIF($E164:M164,"t")+COUNTIF($E164:M164,"¶")+COUNTIF($E164:M164,"²")+COUNTIF($E164:M164,"µ")+COUNTIF($E164:M164,1),ColDescriptionCourte))&gt;1,
HYPERLINK("#Roadmap!C"&amp; MATCH($E164,Roadmap!$D:$D,0)+COUNTIF($E164:M164,"u")+COUNTIF($E164:M164,"t")+COUNTIF($E164:M164,"¶")+COUNTIF($E164:M164,"²")+COUNTIF($E164:M164,"µ")+COUNTIF($E164:M164,1)-1,INDEX(Roadmap!$D:$K,MATCH($E164,Roadmap!$D:$D,0)-1+COUNTIF($E164:M164,"u")+COUNTIF($E164:M164,"t")+COUNTIF($E164:M164,"¶")+COUNTIF($E164:M164,"²")+COUNTIF($E164:M164,"µ")+COUNTIF($E164:M164,1),ColDescriptionCourte)),""),
  "")),"")</f>
        <v/>
      </c>
      <c r="O164" s="40" t="str">
        <f ca="1">IFERROR(IF(AND(
  INDEX(Roadmap!$D:$K,MATCH($E164,Roadmap!$D:$D,0)+COUNTIF($E164:N164,"u")+COUNTIF($E164:N164,"t")+COUNTIF($E164:N164,"¶")+COUNTIF($E164:N164,"²")+COUNTIF($E164:N164,"µ")+COUNTIF($E164:N164,1),ColLivraison)=O$6,
  VLOOKUP($E164,INDIRECT("tri!"&amp; CHAR(64+ C0Col) &amp;":"&amp; CHAR(65+C0Col)),2,FALSE)&gt;COUNTIF($E164:N164,"u")+COUNTIF($E164:N164,"t")+COUNTIF($E164:N164,"¶")+COUNTIF($E164:N164,"²")+COUNTIF($E164:N164,"µ")+COUNTIF($E164:N164,1)),
HYPERLINK("#Roadmap!C"&amp; MATCH($E164,Roadmap!$D:$D,0)+COUNTIF($E164:N164,"u")+COUNTIF($E164:N164,"t"),
     INDEX(Roadmap!$D:$K,MATCH($E164,Roadmap!$D:$D,0)+COUNTIF($E164:N164,"u")+COUNTIF($E164:N164,"t")+COUNTIF($E164:N164,"¶")+COUNTIF($E164:N164,"²")+COUNTIF($E164:N164,"µ")+COUNTIF($E164:N164,1),ColTypeEcheance)),
  IF(LEN(N164)=1,
  IF(LEN(INDEX(Roadmap!$D:$K,MATCH($E164,Roadmap!$D:$D,0)-1+COUNTIF($E164:N164,"u")+COUNTIF($E164:N164,"t")+COUNTIF($E164:N164,"¶")+COUNTIF($E164:N164,"²")+COUNTIF($E164:N164,"µ")+COUNTIF($E164:N164,1),ColDescriptionCourte))&gt;1,
HYPERLINK("#Roadmap!C"&amp; MATCH($E164,Roadmap!$D:$D,0)+COUNTIF($E164:N164,"u")+COUNTIF($E164:N164,"t")+COUNTIF($E164:N164,"¶")+COUNTIF($E164:N164,"²")+COUNTIF($E164:N164,"µ")+COUNTIF($E164:N164,1)-1,INDEX(Roadmap!$D:$K,MATCH($E164,Roadmap!$D:$D,0)-1+COUNTIF($E164:N164,"u")+COUNTIF($E164:N164,"t")+COUNTIF($E164:N164,"¶")+COUNTIF($E164:N164,"²")+COUNTIF($E164:N164,"µ")+COUNTIF($E164:N164,1),ColDescriptionCourte)),""),
  "")),"")</f>
        <v/>
      </c>
      <c r="P164" s="40" t="str">
        <f ca="1">IFERROR(IF(AND(
  INDEX(Roadmap!$D:$K,MATCH($E164,Roadmap!$D:$D,0)+COUNTIF($E164:O164,"u")+COUNTIF($E164:O164,"t")+COUNTIF($E164:O164,"¶")+COUNTIF($E164:O164,"²")+COUNTIF($E164:O164,"µ")+COUNTIF($E164:O164,1),ColLivraison)=P$6,
  VLOOKUP($E164,INDIRECT("tri!"&amp; CHAR(64+ C0Col) &amp;":"&amp; CHAR(65+C0Col)),2,FALSE)&gt;COUNTIF($E164:O164,"u")+COUNTIF($E164:O164,"t")+COUNTIF($E164:O164,"¶")+COUNTIF($E164:O164,"²")+COUNTIF($E164:O164,"µ")+COUNTIF($E164:O164,1)),
HYPERLINK("#Roadmap!C"&amp; MATCH($E164,Roadmap!$D:$D,0)+COUNTIF($E164:O164,"u")+COUNTIF($E164:O164,"t"),
     INDEX(Roadmap!$D:$K,MATCH($E164,Roadmap!$D:$D,0)+COUNTIF($E164:O164,"u")+COUNTIF($E164:O164,"t")+COUNTIF($E164:O164,"¶")+COUNTIF($E164:O164,"²")+COUNTIF($E164:O164,"µ")+COUNTIF($E164:O164,1),ColTypeEcheance)),
  IF(LEN(O164)=1,
  IF(LEN(INDEX(Roadmap!$D:$K,MATCH($E164,Roadmap!$D:$D,0)-1+COUNTIF($E164:O164,"u")+COUNTIF($E164:O164,"t")+COUNTIF($E164:O164,"¶")+COUNTIF($E164:O164,"²")+COUNTIF($E164:O164,"µ")+COUNTIF($E164:O164,1),ColDescriptionCourte))&gt;1,
HYPERLINK("#Roadmap!C"&amp; MATCH($E164,Roadmap!$D:$D,0)+COUNTIF($E164:O164,"u")+COUNTIF($E164:O164,"t")+COUNTIF($E164:O164,"¶")+COUNTIF($E164:O164,"²")+COUNTIF($E164:O164,"µ")+COUNTIF($E164:O164,1)-1,INDEX(Roadmap!$D:$K,MATCH($E164,Roadmap!$D:$D,0)-1+COUNTIF($E164:O164,"u")+COUNTIF($E164:O164,"t")+COUNTIF($E164:O164,"¶")+COUNTIF($E164:O164,"²")+COUNTIF($E164:O164,"µ")+COUNTIF($E164:O164,1),ColDescriptionCourte)),""),
  "")),"")</f>
        <v/>
      </c>
      <c r="Q164" s="40" t="str">
        <f ca="1">IFERROR(IF(AND(
  INDEX(Roadmap!$D:$K,MATCH($E164,Roadmap!$D:$D,0)+COUNTIF($E164:P164,"u")+COUNTIF($E164:P164,"t")+COUNTIF($E164:P164,"¶")+COUNTIF($E164:P164,"²")+COUNTIF($E164:P164,"µ")+COUNTIF($E164:P164,1),ColLivraison)=Q$6,
  VLOOKUP($E164,INDIRECT("tri!"&amp; CHAR(64+ C0Col) &amp;":"&amp; CHAR(65+C0Col)),2,FALSE)&gt;COUNTIF($E164:P164,"u")+COUNTIF($E164:P164,"t")+COUNTIF($E164:P164,"¶")+COUNTIF($E164:P164,"²")+COUNTIF($E164:P164,"µ")+COUNTIF($E164:P164,1)),
HYPERLINK("#Roadmap!C"&amp; MATCH($E164,Roadmap!$D:$D,0)+COUNTIF($E164:P164,"u")+COUNTIF($E164:P164,"t"),
     INDEX(Roadmap!$D:$K,MATCH($E164,Roadmap!$D:$D,0)+COUNTIF($E164:P164,"u")+COUNTIF($E164:P164,"t")+COUNTIF($E164:P164,"¶")+COUNTIF($E164:P164,"²")+COUNTIF($E164:P164,"µ")+COUNTIF($E164:P164,1),ColTypeEcheance)),
  IF(LEN(P164)=1,
  IF(LEN(INDEX(Roadmap!$D:$K,MATCH($E164,Roadmap!$D:$D,0)-1+COUNTIF($E164:P164,"u")+COUNTIF($E164:P164,"t")+COUNTIF($E164:P164,"¶")+COUNTIF($E164:P164,"²")+COUNTIF($E164:P164,"µ")+COUNTIF($E164:P164,1),ColDescriptionCourte))&gt;1,
HYPERLINK("#Roadmap!C"&amp; MATCH($E164,Roadmap!$D:$D,0)+COUNTIF($E164:P164,"u")+COUNTIF($E164:P164,"t")+COUNTIF($E164:P164,"¶")+COUNTIF($E164:P164,"²")+COUNTIF($E164:P164,"µ")+COUNTIF($E164:P164,1)-1,INDEX(Roadmap!$D:$K,MATCH($E164,Roadmap!$D:$D,0)-1+COUNTIF($E164:P164,"u")+COUNTIF($E164:P164,"t")+COUNTIF($E164:P164,"¶")+COUNTIF($E164:P164,"²")+COUNTIF($E164:P164,"µ")+COUNTIF($E164:P164,1),ColDescriptionCourte)),""),
  "")),"")</f>
        <v/>
      </c>
      <c r="R164" s="40" t="str">
        <f ca="1">IFERROR(IF(AND(
  INDEX(Roadmap!$D:$K,MATCH($E164,Roadmap!$D:$D,0)+COUNTIF($E164:Q164,"u")+COUNTIF($E164:Q164,"t")+COUNTIF($E164:Q164,"¶")+COUNTIF($E164:Q164,"²")+COUNTIF($E164:Q164,"µ")+COUNTIF($E164:Q164,1),ColLivraison)=R$6,
  VLOOKUP($E164,INDIRECT("tri!"&amp; CHAR(64+ C0Col) &amp;":"&amp; CHAR(65+C0Col)),2,FALSE)&gt;COUNTIF($E164:Q164,"u")+COUNTIF($E164:Q164,"t")+COUNTIF($E164:Q164,"¶")+COUNTIF($E164:Q164,"²")+COUNTIF($E164:Q164,"µ")+COUNTIF($E164:Q164,1)),
HYPERLINK("#Roadmap!C"&amp; MATCH($E164,Roadmap!$D:$D,0)+COUNTIF($E164:Q164,"u")+COUNTIF($E164:Q164,"t"),
     INDEX(Roadmap!$D:$K,MATCH($E164,Roadmap!$D:$D,0)+COUNTIF($E164:Q164,"u")+COUNTIF($E164:Q164,"t")+COUNTIF($E164:Q164,"¶")+COUNTIF($E164:Q164,"²")+COUNTIF($E164:Q164,"µ")+COUNTIF($E164:Q164,1),ColTypeEcheance)),
  IF(LEN(Q164)=1,
  IF(LEN(INDEX(Roadmap!$D:$K,MATCH($E164,Roadmap!$D:$D,0)-1+COUNTIF($E164:Q164,"u")+COUNTIF($E164:Q164,"t")+COUNTIF($E164:Q164,"¶")+COUNTIF($E164:Q164,"²")+COUNTIF($E164:Q164,"µ")+COUNTIF($E164:Q164,1),ColDescriptionCourte))&gt;1,
HYPERLINK("#Roadmap!C"&amp; MATCH($E164,Roadmap!$D:$D,0)+COUNTIF($E164:Q164,"u")+COUNTIF($E164:Q164,"t")+COUNTIF($E164:Q164,"¶")+COUNTIF($E164:Q164,"²")+COUNTIF($E164:Q164,"µ")+COUNTIF($E164:Q164,1)-1,INDEX(Roadmap!$D:$K,MATCH($E164,Roadmap!$D:$D,0)-1+COUNTIF($E164:Q164,"u")+COUNTIF($E164:Q164,"t")+COUNTIF($E164:Q164,"¶")+COUNTIF($E164:Q164,"²")+COUNTIF($E164:Q164,"µ")+COUNTIF($E164:Q164,1),ColDescriptionCourte)),""),
  "")),"")</f>
        <v/>
      </c>
      <c r="S164" s="40" t="str">
        <f ca="1">IFERROR(IF(AND(
  INDEX(Roadmap!$D:$K,MATCH($E164,Roadmap!$D:$D,0)+COUNTIF($E164:R164,"u")+COUNTIF($E164:R164,"t")+COUNTIF($E164:R164,"¶")+COUNTIF($E164:R164,"²")+COUNTIF($E164:R164,"µ")+COUNTIF($E164:R164,1),ColLivraison)=S$6,
  VLOOKUP($E164,INDIRECT("tri!"&amp; CHAR(64+ C0Col) &amp;":"&amp; CHAR(65+C0Col)),2,FALSE)&gt;COUNTIF($E164:R164,"u")+COUNTIF($E164:R164,"t")+COUNTIF($E164:R164,"¶")+COUNTIF($E164:R164,"²")+COUNTIF($E164:R164,"µ")+COUNTIF($E164:R164,1)),
HYPERLINK("#Roadmap!C"&amp; MATCH($E164,Roadmap!$D:$D,0)+COUNTIF($E164:R164,"u")+COUNTIF($E164:R164,"t"),
     INDEX(Roadmap!$D:$K,MATCH($E164,Roadmap!$D:$D,0)+COUNTIF($E164:R164,"u")+COUNTIF($E164:R164,"t")+COUNTIF($E164:R164,"¶")+COUNTIF($E164:R164,"²")+COUNTIF($E164:R164,"µ")+COUNTIF($E164:R164,1),ColTypeEcheance)),
  IF(LEN(R164)=1,
  IF(LEN(INDEX(Roadmap!$D:$K,MATCH($E164,Roadmap!$D:$D,0)-1+COUNTIF($E164:R164,"u")+COUNTIF($E164:R164,"t")+COUNTIF($E164:R164,"¶")+COUNTIF($E164:R164,"²")+COUNTIF($E164:R164,"µ")+COUNTIF($E164:R164,1),ColDescriptionCourte))&gt;1,
HYPERLINK("#Roadmap!C"&amp; MATCH($E164,Roadmap!$D:$D,0)+COUNTIF($E164:R164,"u")+COUNTIF($E164:R164,"t")+COUNTIF($E164:R164,"¶")+COUNTIF($E164:R164,"²")+COUNTIF($E164:R164,"µ")+COUNTIF($E164:R164,1)-1,INDEX(Roadmap!$D:$K,MATCH($E164,Roadmap!$D:$D,0)-1+COUNTIF($E164:R164,"u")+COUNTIF($E164:R164,"t")+COUNTIF($E164:R164,"¶")+COUNTIF($E164:R164,"²")+COUNTIF($E164:R164,"µ")+COUNTIF($E164:R164,1),ColDescriptionCourte)),""),
  "")),"")</f>
        <v/>
      </c>
      <c r="T164" s="40" t="str">
        <f ca="1">IFERROR(IF(AND(
  INDEX(Roadmap!$D:$K,MATCH($E164,Roadmap!$D:$D,0)+COUNTIF($E164:S164,"u")+COUNTIF($E164:S164,"t")+COUNTIF($E164:S164,"¶")+COUNTIF($E164:S164,"²")+COUNTIF($E164:S164,"µ")+COUNTIF($E164:S164,1),ColLivraison)=T$6,
  VLOOKUP($E164,INDIRECT("tri!"&amp; CHAR(64+ C0Col) &amp;":"&amp; CHAR(65+C0Col)),2,FALSE)&gt;COUNTIF($E164:S164,"u")+COUNTIF($E164:S164,"t")+COUNTIF($E164:S164,"¶")+COUNTIF($E164:S164,"²")+COUNTIF($E164:S164,"µ")+COUNTIF($E164:S164,1)),
HYPERLINK("#Roadmap!C"&amp; MATCH($E164,Roadmap!$D:$D,0)+COUNTIF($E164:S164,"u")+COUNTIF($E164:S164,"t"),
     INDEX(Roadmap!$D:$K,MATCH($E164,Roadmap!$D:$D,0)+COUNTIF($E164:S164,"u")+COUNTIF($E164:S164,"t")+COUNTIF($E164:S164,"¶")+COUNTIF($E164:S164,"²")+COUNTIF($E164:S164,"µ")+COUNTIF($E164:S164,1),ColTypeEcheance)),
  IF(LEN(S164)=1,
  IF(LEN(INDEX(Roadmap!$D:$K,MATCH($E164,Roadmap!$D:$D,0)-1+COUNTIF($E164:S164,"u")+COUNTIF($E164:S164,"t")+COUNTIF($E164:S164,"¶")+COUNTIF($E164:S164,"²")+COUNTIF($E164:S164,"µ")+COUNTIF($E164:S164,1),ColDescriptionCourte))&gt;1,
HYPERLINK("#Roadmap!C"&amp; MATCH($E164,Roadmap!$D:$D,0)+COUNTIF($E164:S164,"u")+COUNTIF($E164:S164,"t")+COUNTIF($E164:S164,"¶")+COUNTIF($E164:S164,"²")+COUNTIF($E164:S164,"µ")+COUNTIF($E164:S164,1)-1,INDEX(Roadmap!$D:$K,MATCH($E164,Roadmap!$D:$D,0)-1+COUNTIF($E164:S164,"u")+COUNTIF($E164:S164,"t")+COUNTIF($E164:S164,"¶")+COUNTIF($E164:S164,"²")+COUNTIF($E164:S164,"µ")+COUNTIF($E164:S164,1),ColDescriptionCourte)),""),
  "")),"")</f>
        <v/>
      </c>
      <c r="U164" s="40" t="str">
        <f ca="1">IFERROR(IF(AND(
  INDEX(Roadmap!$D:$K,MATCH($E164,Roadmap!$D:$D,0)+COUNTIF($E164:T164,"u")+COUNTIF($E164:T164,"t")+COUNTIF($E164:T164,"¶")+COUNTIF($E164:T164,"²")+COUNTIF($E164:T164,"µ")+COUNTIF($E164:T164,1),ColLivraison)=U$6,
  VLOOKUP($E164,INDIRECT("tri!"&amp; CHAR(64+ C0Col) &amp;":"&amp; CHAR(65+C0Col)),2,FALSE)&gt;COUNTIF($E164:T164,"u")+COUNTIF($E164:T164,"t")+COUNTIF($E164:T164,"¶")+COUNTIF($E164:T164,"²")+COUNTIF($E164:T164,"µ")+COUNTIF($E164:T164,1)),
HYPERLINK("#Roadmap!C"&amp; MATCH($E164,Roadmap!$D:$D,0)+COUNTIF($E164:T164,"u")+COUNTIF($E164:T164,"t"),
     INDEX(Roadmap!$D:$K,MATCH($E164,Roadmap!$D:$D,0)+COUNTIF($E164:T164,"u")+COUNTIF($E164:T164,"t")+COUNTIF($E164:T164,"¶")+COUNTIF($E164:T164,"²")+COUNTIF($E164:T164,"µ")+COUNTIF($E164:T164,1),ColTypeEcheance)),
  IF(LEN(T164)=1,
  IF(LEN(INDEX(Roadmap!$D:$K,MATCH($E164,Roadmap!$D:$D,0)-1+COUNTIF($E164:T164,"u")+COUNTIF($E164:T164,"t")+COUNTIF($E164:T164,"¶")+COUNTIF($E164:T164,"²")+COUNTIF($E164:T164,"µ")+COUNTIF($E164:T164,1),ColDescriptionCourte))&gt;1,
HYPERLINK("#Roadmap!C"&amp; MATCH($E164,Roadmap!$D:$D,0)+COUNTIF($E164:T164,"u")+COUNTIF($E164:T164,"t")+COUNTIF($E164:T164,"¶")+COUNTIF($E164:T164,"²")+COUNTIF($E164:T164,"µ")+COUNTIF($E164:T164,1)-1,INDEX(Roadmap!$D:$K,MATCH($E164,Roadmap!$D:$D,0)-1+COUNTIF($E164:T164,"u")+COUNTIF($E164:T164,"t")+COUNTIF($E164:T164,"¶")+COUNTIF($E164:T164,"²")+COUNTIF($E164:T164,"µ")+COUNTIF($E164:T164,1),ColDescriptionCourte)),""),
  "")),"")</f>
        <v/>
      </c>
      <c r="V164" s="40" t="str">
        <f ca="1">IFERROR(IF(AND(
  INDEX(Roadmap!$D:$K,MATCH($E164,Roadmap!$D:$D,0)+COUNTIF($E164:U164,"u")+COUNTIF($E164:U164,"t")+COUNTIF($E164:U164,"¶")+COUNTIF($E164:U164,"²")+COUNTIF($E164:U164,"µ")+COUNTIF($E164:U164,1),ColLivraison)=V$6,
  VLOOKUP($E164,INDIRECT("tri!"&amp; CHAR(64+ C0Col) &amp;":"&amp; CHAR(65+C0Col)),2,FALSE)&gt;COUNTIF($E164:U164,"u")+COUNTIF($E164:U164,"t")+COUNTIF($E164:U164,"¶")+COUNTIF($E164:U164,"²")+COUNTIF($E164:U164,"µ")+COUNTIF($E164:U164,1)),
HYPERLINK("#Roadmap!C"&amp; MATCH($E164,Roadmap!$D:$D,0)+COUNTIF($E164:U164,"u")+COUNTIF($E164:U164,"t"),
     INDEX(Roadmap!$D:$K,MATCH($E164,Roadmap!$D:$D,0)+COUNTIF($E164:U164,"u")+COUNTIF($E164:U164,"t")+COUNTIF($E164:U164,"¶")+COUNTIF($E164:U164,"²")+COUNTIF($E164:U164,"µ")+COUNTIF($E164:U164,1),ColTypeEcheance)),
  IF(LEN(U164)=1,
  IF(LEN(INDEX(Roadmap!$D:$K,MATCH($E164,Roadmap!$D:$D,0)-1+COUNTIF($E164:U164,"u")+COUNTIF($E164:U164,"t")+COUNTIF($E164:U164,"¶")+COUNTIF($E164:U164,"²")+COUNTIF($E164:U164,"µ")+COUNTIF($E164:U164,1),ColDescriptionCourte))&gt;1,
HYPERLINK("#Roadmap!C"&amp; MATCH($E164,Roadmap!$D:$D,0)+COUNTIF($E164:U164,"u")+COUNTIF($E164:U164,"t")+COUNTIF($E164:U164,"¶")+COUNTIF($E164:U164,"²")+COUNTIF($E164:U164,"µ")+COUNTIF($E164:U164,1)-1,INDEX(Roadmap!$D:$K,MATCH($E164,Roadmap!$D:$D,0)-1+COUNTIF($E164:U164,"u")+COUNTIF($E164:U164,"t")+COUNTIF($E164:U164,"¶")+COUNTIF($E164:U164,"²")+COUNTIF($E164:U164,"µ")+COUNTIF($E164:U164,1),ColDescriptionCourte)),""),
  "")),"")</f>
        <v/>
      </c>
      <c r="W164" s="40" t="str">
        <f ca="1">IFERROR(IF(AND(
  INDEX(Roadmap!$D:$K,MATCH($E164,Roadmap!$D:$D,0)+COUNTIF($E164:V164,"u")+COUNTIF($E164:V164,"t")+COUNTIF($E164:V164,"¶")+COUNTIF($E164:V164,"²")+COUNTIF($E164:V164,"µ")+COUNTIF($E164:V164,1),ColLivraison)=W$6,
  VLOOKUP($E164,INDIRECT("tri!"&amp; CHAR(64+ C0Col) &amp;":"&amp; CHAR(65+C0Col)),2,FALSE)&gt;COUNTIF($E164:V164,"u")+COUNTIF($E164:V164,"t")+COUNTIF($E164:V164,"¶")+COUNTIF($E164:V164,"²")+COUNTIF($E164:V164,"µ")+COUNTIF($E164:V164,1)),
HYPERLINK("#Roadmap!C"&amp; MATCH($E164,Roadmap!$D:$D,0)+COUNTIF($E164:V164,"u")+COUNTIF($E164:V164,"t"),
     INDEX(Roadmap!$D:$K,MATCH($E164,Roadmap!$D:$D,0)+COUNTIF($E164:V164,"u")+COUNTIF($E164:V164,"t")+COUNTIF($E164:V164,"¶")+COUNTIF($E164:V164,"²")+COUNTIF($E164:V164,"µ")+COUNTIF($E164:V164,1),ColTypeEcheance)),
  IF(LEN(V164)=1,
  IF(LEN(INDEX(Roadmap!$D:$K,MATCH($E164,Roadmap!$D:$D,0)-1+COUNTIF($E164:V164,"u")+COUNTIF($E164:V164,"t")+COUNTIF($E164:V164,"¶")+COUNTIF($E164:V164,"²")+COUNTIF($E164:V164,"µ")+COUNTIF($E164:V164,1),ColDescriptionCourte))&gt;1,
HYPERLINK("#Roadmap!C"&amp; MATCH($E164,Roadmap!$D:$D,0)+COUNTIF($E164:V164,"u")+COUNTIF($E164:V164,"t")+COUNTIF($E164:V164,"¶")+COUNTIF($E164:V164,"²")+COUNTIF($E164:V164,"µ")+COUNTIF($E164:V164,1)-1,INDEX(Roadmap!$D:$K,MATCH($E164,Roadmap!$D:$D,0)-1+COUNTIF($E164:V164,"u")+COUNTIF($E164:V164,"t")+COUNTIF($E164:V164,"¶")+COUNTIF($E164:V164,"²")+COUNTIF($E164:V164,"µ")+COUNTIF($E164:V164,1),ColDescriptionCourte)),""),
  "")),"")</f>
        <v/>
      </c>
      <c r="X164" s="40" t="str">
        <f ca="1">IFERROR(IF(AND(
  INDEX(Roadmap!$D:$K,MATCH($E164,Roadmap!$D:$D,0)+COUNTIF($E164:W164,"u")+COUNTIF($E164:W164,"t")+COUNTIF($E164:W164,"¶")+COUNTIF($E164:W164,"²")+COUNTIF($E164:W164,"µ")+COUNTIF($E164:W164,1),ColLivraison)=X$6,
  VLOOKUP($E164,INDIRECT("tri!"&amp; CHAR(64+ C0Col) &amp;":"&amp; CHAR(65+C0Col)),2,FALSE)&gt;COUNTIF($E164:W164,"u")+COUNTIF($E164:W164,"t")+COUNTIF($E164:W164,"¶")+COUNTIF($E164:W164,"²")+COUNTIF($E164:W164,"µ")+COUNTIF($E164:W164,1)),
HYPERLINK("#Roadmap!C"&amp; MATCH($E164,Roadmap!$D:$D,0)+COUNTIF($E164:W164,"u")+COUNTIF($E164:W164,"t"),
     INDEX(Roadmap!$D:$K,MATCH($E164,Roadmap!$D:$D,0)+COUNTIF($E164:W164,"u")+COUNTIF($E164:W164,"t")+COUNTIF($E164:W164,"¶")+COUNTIF($E164:W164,"²")+COUNTIF($E164:W164,"µ")+COUNTIF($E164:W164,1),ColTypeEcheance)),
  IF(LEN(W164)=1,
  IF(LEN(INDEX(Roadmap!$D:$K,MATCH($E164,Roadmap!$D:$D,0)-1+COUNTIF($E164:W164,"u")+COUNTIF($E164:W164,"t")+COUNTIF($E164:W164,"¶")+COUNTIF($E164:W164,"²")+COUNTIF($E164:W164,"µ")+COUNTIF($E164:W164,1),ColDescriptionCourte))&gt;1,
HYPERLINK("#Roadmap!C"&amp; MATCH($E164,Roadmap!$D:$D,0)+COUNTIF($E164:W164,"u")+COUNTIF($E164:W164,"t")+COUNTIF($E164:W164,"¶")+COUNTIF($E164:W164,"²")+COUNTIF($E164:W164,"µ")+COUNTIF($E164:W164,1)-1,INDEX(Roadmap!$D:$K,MATCH($E164,Roadmap!$D:$D,0)-1+COUNTIF($E164:W164,"u")+COUNTIF($E164:W164,"t")+COUNTIF($E164:W164,"¶")+COUNTIF($E164:W164,"²")+COUNTIF($E164:W164,"µ")+COUNTIF($E164:W164,1),ColDescriptionCourte)),""),
  "")),"")</f>
        <v/>
      </c>
      <c r="Y164" s="40" t="str">
        <f ca="1">IFERROR(IF(AND(
  INDEX(Roadmap!$D:$K,MATCH($E164,Roadmap!$D:$D,0)+COUNTIF($E164:X164,"u")+COUNTIF($E164:X164,"t")+COUNTIF($E164:X164,"¶")+COUNTIF($E164:X164,"²")+COUNTIF($E164:X164,"µ")+COUNTIF($E164:X164,1),ColLivraison)=Y$6,
  VLOOKUP($E164,INDIRECT("tri!"&amp; CHAR(64+ C0Col) &amp;":"&amp; CHAR(65+C0Col)),2,FALSE)&gt;COUNTIF($E164:X164,"u")+COUNTIF($E164:X164,"t")+COUNTIF($E164:X164,"¶")+COUNTIF($E164:X164,"²")+COUNTIF($E164:X164,"µ")+COUNTIF($E164:X164,1)),
HYPERLINK("#Roadmap!C"&amp; MATCH($E164,Roadmap!$D:$D,0)+COUNTIF($E164:X164,"u")+COUNTIF($E164:X164,"t"),
     INDEX(Roadmap!$D:$K,MATCH($E164,Roadmap!$D:$D,0)+COUNTIF($E164:X164,"u")+COUNTIF($E164:X164,"t")+COUNTIF($E164:X164,"¶")+COUNTIF($E164:X164,"²")+COUNTIF($E164:X164,"µ")+COUNTIF($E164:X164,1),ColTypeEcheance)),
  IF(LEN(X164)=1,
  IF(LEN(INDEX(Roadmap!$D:$K,MATCH($E164,Roadmap!$D:$D,0)-1+COUNTIF($E164:X164,"u")+COUNTIF($E164:X164,"t")+COUNTIF($E164:X164,"¶")+COUNTIF($E164:X164,"²")+COUNTIF($E164:X164,"µ")+COUNTIF($E164:X164,1),ColDescriptionCourte))&gt;1,
HYPERLINK("#Roadmap!C"&amp; MATCH($E164,Roadmap!$D:$D,0)+COUNTIF($E164:X164,"u")+COUNTIF($E164:X164,"t")+COUNTIF($E164:X164,"¶")+COUNTIF($E164:X164,"²")+COUNTIF($E164:X164,"µ")+COUNTIF($E164:X164,1)-1,INDEX(Roadmap!$D:$K,MATCH($E164,Roadmap!$D:$D,0)-1+COUNTIF($E164:X164,"u")+COUNTIF($E164:X164,"t")+COUNTIF($E164:X164,"¶")+COUNTIF($E164:X164,"²")+COUNTIF($E164:X164,"µ")+COUNTIF($E164:X164,1),ColDescriptionCourte)),""),
  "")),"")</f>
        <v/>
      </c>
      <c r="Z164" s="40" t="str">
        <f ca="1">IFERROR(IF(AND(
  INDEX(Roadmap!$D:$K,MATCH($E164,Roadmap!$D:$D,0)+COUNTIF($E164:Y164,"u")+COUNTIF($E164:Y164,"t")+COUNTIF($E164:Y164,"¶")+COUNTIF($E164:Y164,"²")+COUNTIF($E164:Y164,"µ")+COUNTIF($E164:Y164,1),ColLivraison)=Z$6,
  VLOOKUP($E164,INDIRECT("tri!"&amp; CHAR(64+ C0Col) &amp;":"&amp; CHAR(65+C0Col)),2,FALSE)&gt;COUNTIF($E164:Y164,"u")+COUNTIF($E164:Y164,"t")+COUNTIF($E164:Y164,"¶")+COUNTIF($E164:Y164,"²")+COUNTIF($E164:Y164,"µ")+COUNTIF($E164:Y164,1)),
HYPERLINK("#Roadmap!C"&amp; MATCH($E164,Roadmap!$D:$D,0)+COUNTIF($E164:Y164,"u")+COUNTIF($E164:Y164,"t"),
     INDEX(Roadmap!$D:$K,MATCH($E164,Roadmap!$D:$D,0)+COUNTIF($E164:Y164,"u")+COUNTIF($E164:Y164,"t")+COUNTIF($E164:Y164,"¶")+COUNTIF($E164:Y164,"²")+COUNTIF($E164:Y164,"µ")+COUNTIF($E164:Y164,1),ColTypeEcheance)),
  IF(LEN(Y164)=1,
  IF(LEN(INDEX(Roadmap!$D:$K,MATCH($E164,Roadmap!$D:$D,0)-1+COUNTIF($E164:Y164,"u")+COUNTIF($E164:Y164,"t")+COUNTIF($E164:Y164,"¶")+COUNTIF($E164:Y164,"²")+COUNTIF($E164:Y164,"µ")+COUNTIF($E164:Y164,1),ColDescriptionCourte))&gt;1,
HYPERLINK("#Roadmap!C"&amp; MATCH($E164,Roadmap!$D:$D,0)+COUNTIF($E164:Y164,"u")+COUNTIF($E164:Y164,"t")+COUNTIF($E164:Y164,"¶")+COUNTIF($E164:Y164,"²")+COUNTIF($E164:Y164,"µ")+COUNTIF($E164:Y164,1)-1,INDEX(Roadmap!$D:$K,MATCH($E164,Roadmap!$D:$D,0)-1+COUNTIF($E164:Y164,"u")+COUNTIF($E164:Y164,"t")+COUNTIF($E164:Y164,"¶")+COUNTIF($E164:Y164,"²")+COUNTIF($E164:Y164,"µ")+COUNTIF($E164:Y164,1),ColDescriptionCourte)),""),
  "")),"")</f>
        <v/>
      </c>
      <c r="AA164" s="40" t="str">
        <f ca="1">IFERROR(IF(AND(
  INDEX(Roadmap!$D:$K,MATCH($E164,Roadmap!$D:$D,0)+COUNTIF($E164:Z164,"u")+COUNTIF($E164:Z164,"t")+COUNTIF($E164:Z164,"¶")+COUNTIF($E164:Z164,"²")+COUNTIF($E164:Z164,"µ")+COUNTIF($E164:Z164,1),ColLivraison)=AA$6,
  VLOOKUP($E164,INDIRECT("tri!"&amp; CHAR(64+ C0Col) &amp;":"&amp; CHAR(65+C0Col)),2,FALSE)&gt;COUNTIF($E164:Z164,"u")+COUNTIF($E164:Z164,"t")+COUNTIF($E164:Z164,"¶")+COUNTIF($E164:Z164,"²")+COUNTIF($E164:Z164,"µ")+COUNTIF($E164:Z164,1)),
HYPERLINK("#Roadmap!C"&amp; MATCH($E164,Roadmap!$D:$D,0)+COUNTIF($E164:Z164,"u")+COUNTIF($E164:Z164,"t"),
     INDEX(Roadmap!$D:$K,MATCH($E164,Roadmap!$D:$D,0)+COUNTIF($E164:Z164,"u")+COUNTIF($E164:Z164,"t")+COUNTIF($E164:Z164,"¶")+COUNTIF($E164:Z164,"²")+COUNTIF($E164:Z164,"µ")+COUNTIF($E164:Z164,1),ColTypeEcheance)),
  IF(LEN(Z164)=1,
  IF(LEN(INDEX(Roadmap!$D:$K,MATCH($E164,Roadmap!$D:$D,0)-1+COUNTIF($E164:Z164,"u")+COUNTIF($E164:Z164,"t")+COUNTIF($E164:Z164,"¶")+COUNTIF($E164:Z164,"²")+COUNTIF($E164:Z164,"µ")+COUNTIF($E164:Z164,1),ColDescriptionCourte))&gt;1,
HYPERLINK("#Roadmap!C"&amp; MATCH($E164,Roadmap!$D:$D,0)+COUNTIF($E164:Z164,"u")+COUNTIF($E164:Z164,"t")+COUNTIF($E164:Z164,"¶")+COUNTIF($E164:Z164,"²")+COUNTIF($E164:Z164,"µ")+COUNTIF($E164:Z164,1)-1,INDEX(Roadmap!$D:$K,MATCH($E164,Roadmap!$D:$D,0)-1+COUNTIF($E164:Z164,"u")+COUNTIF($E164:Z164,"t")+COUNTIF($E164:Z164,"¶")+COUNTIF($E164:Z164,"²")+COUNTIF($E164:Z164,"µ")+COUNTIF($E164:Z164,1),ColDescriptionCourte)),""),
  "")),"")</f>
        <v/>
      </c>
      <c r="AB164" s="40" t="str">
        <f ca="1">IFERROR(IF(AND(
  INDEX(Roadmap!$D:$K,MATCH($E164,Roadmap!$D:$D,0)+COUNTIF($E164:AA164,"u")+COUNTIF($E164:AA164,"t")+COUNTIF($E164:AA164,"¶")+COUNTIF($E164:AA164,"²")+COUNTIF($E164:AA164,"µ")+COUNTIF($E164:AA164,1),ColLivraison)=AB$6,
  VLOOKUP($E164,INDIRECT("tri!"&amp; CHAR(64+ C0Col) &amp;":"&amp; CHAR(65+C0Col)),2,FALSE)&gt;COUNTIF($E164:AA164,"u")+COUNTIF($E164:AA164,"t")+COUNTIF($E164:AA164,"¶")+COUNTIF($E164:AA164,"²")+COUNTIF($E164:AA164,"µ")+COUNTIF($E164:AA164,1)),
HYPERLINK("#Roadmap!C"&amp; MATCH($E164,Roadmap!$D:$D,0)+COUNTIF($E164:AA164,"u")+COUNTIF($E164:AA164,"t"),
     INDEX(Roadmap!$D:$K,MATCH($E164,Roadmap!$D:$D,0)+COUNTIF($E164:AA164,"u")+COUNTIF($E164:AA164,"t")+COUNTIF($E164:AA164,"¶")+COUNTIF($E164:AA164,"²")+COUNTIF($E164:AA164,"µ")+COUNTIF($E164:AA164,1),ColTypeEcheance)),
  IF(LEN(AA164)=1,
  IF(LEN(INDEX(Roadmap!$D:$K,MATCH($E164,Roadmap!$D:$D,0)-1+COUNTIF($E164:AA164,"u")+COUNTIF($E164:AA164,"t")+COUNTIF($E164:AA164,"¶")+COUNTIF($E164:AA164,"²")+COUNTIF($E164:AA164,"µ")+COUNTIF($E164:AA164,1),ColDescriptionCourte))&gt;1,
HYPERLINK("#Roadmap!C"&amp; MATCH($E164,Roadmap!$D:$D,0)+COUNTIF($E164:AA164,"u")+COUNTIF($E164:AA164,"t")+COUNTIF($E164:AA164,"¶")+COUNTIF($E164:AA164,"²")+COUNTIF($E164:AA164,"µ")+COUNTIF($E164:AA164,1)-1,INDEX(Roadmap!$D:$K,MATCH($E164,Roadmap!$D:$D,0)-1+COUNTIF($E164:AA164,"u")+COUNTIF($E164:AA164,"t")+COUNTIF($E164:AA164,"¶")+COUNTIF($E164:AA164,"²")+COUNTIF($E164:AA164,"µ")+COUNTIF($E164:AA164,1),ColDescriptionCourte)),""),
  "")),"")</f>
        <v/>
      </c>
      <c r="AC164" s="40" t="str">
        <f ca="1">IFERROR(IF(AND(
  INDEX(Roadmap!$D:$K,MATCH($E164,Roadmap!$D:$D,0)+COUNTIF($E164:AB164,"u")+COUNTIF($E164:AB164,"t")+COUNTIF($E164:AB164,"¶")+COUNTIF($E164:AB164,"²")+COUNTIF($E164:AB164,"µ")+COUNTIF($E164:AB164,1),ColLivraison)=AC$6,
  VLOOKUP($E164,INDIRECT("tri!"&amp; CHAR(64+ C0Col) &amp;":"&amp; CHAR(65+C0Col)),2,FALSE)&gt;COUNTIF($E164:AB164,"u")+COUNTIF($E164:AB164,"t")+COUNTIF($E164:AB164,"¶")+COUNTIF($E164:AB164,"²")+COUNTIF($E164:AB164,"µ")+COUNTIF($E164:AB164,1)),
HYPERLINK("#Roadmap!C"&amp; MATCH($E164,Roadmap!$D:$D,0)+COUNTIF($E164:AB164,"u")+COUNTIF($E164:AB164,"t"),
     INDEX(Roadmap!$D:$K,MATCH($E164,Roadmap!$D:$D,0)+COUNTIF($E164:AB164,"u")+COUNTIF($E164:AB164,"t")+COUNTIF($E164:AB164,"¶")+COUNTIF($E164:AB164,"²")+COUNTIF($E164:AB164,"µ")+COUNTIF($E164:AB164,1),ColTypeEcheance)),
  IF(LEN(AB164)=1,
  IF(LEN(INDEX(Roadmap!$D:$K,MATCH($E164,Roadmap!$D:$D,0)-1+COUNTIF($E164:AB164,"u")+COUNTIF($E164:AB164,"t")+COUNTIF($E164:AB164,"¶")+COUNTIF($E164:AB164,"²")+COUNTIF($E164:AB164,"µ")+COUNTIF($E164:AB164,1),ColDescriptionCourte))&gt;1,
HYPERLINK("#Roadmap!C"&amp; MATCH($E164,Roadmap!$D:$D,0)+COUNTIF($E164:AB164,"u")+COUNTIF($E164:AB164,"t")+COUNTIF($E164:AB164,"¶")+COUNTIF($E164:AB164,"²")+COUNTIF($E164:AB164,"µ")+COUNTIF($E164:AB164,1)-1,INDEX(Roadmap!$D:$K,MATCH($E164,Roadmap!$D:$D,0)-1+COUNTIF($E164:AB164,"u")+COUNTIF($E164:AB164,"t")+COUNTIF($E164:AB164,"¶")+COUNTIF($E164:AB164,"²")+COUNTIF($E164:AB164,"µ")+COUNTIF($E164:AB164,1),ColDescriptionCourte)),""),
  "")),"")</f>
        <v/>
      </c>
      <c r="AD164" s="40" t="str">
        <f ca="1">IFERROR(IF(AND(
  INDEX(Roadmap!$D:$K,MATCH($E164,Roadmap!$D:$D,0)+COUNTIF($E164:AC164,"u")+COUNTIF($E164:AC164,"t")+COUNTIF($E164:AC164,"¶")+COUNTIF($E164:AC164,"²")+COUNTIF($E164:AC164,"µ")+COUNTIF($E164:AC164,1),ColLivraison)=AD$6,
  VLOOKUP($E164,INDIRECT("tri!"&amp; CHAR(64+ C0Col) &amp;":"&amp; CHAR(65+C0Col)),2,FALSE)&gt;COUNTIF($E164:AC164,"u")+COUNTIF($E164:AC164,"t")+COUNTIF($E164:AC164,"¶")+COUNTIF($E164:AC164,"²")+COUNTIF($E164:AC164,"µ")+COUNTIF($E164:AC164,1)),
HYPERLINK("#Roadmap!C"&amp; MATCH($E164,Roadmap!$D:$D,0)+COUNTIF($E164:AC164,"u")+COUNTIF($E164:AC164,"t"),
     INDEX(Roadmap!$D:$K,MATCH($E164,Roadmap!$D:$D,0)+COUNTIF($E164:AC164,"u")+COUNTIF($E164:AC164,"t")+COUNTIF($E164:AC164,"¶")+COUNTIF($E164:AC164,"²")+COUNTIF($E164:AC164,"µ")+COUNTIF($E164:AC164,1),ColTypeEcheance)),
  IF(LEN(AC164)=1,
  IF(LEN(INDEX(Roadmap!$D:$K,MATCH($E164,Roadmap!$D:$D,0)-1+COUNTIF($E164:AC164,"u")+COUNTIF($E164:AC164,"t")+COUNTIF($E164:AC164,"¶")+COUNTIF($E164:AC164,"²")+COUNTIF($E164:AC164,"µ")+COUNTIF($E164:AC164,1),ColDescriptionCourte))&gt;1,
HYPERLINK("#Roadmap!C"&amp; MATCH($E164,Roadmap!$D:$D,0)+COUNTIF($E164:AC164,"u")+COUNTIF($E164:AC164,"t")+COUNTIF($E164:AC164,"¶")+COUNTIF($E164:AC164,"²")+COUNTIF($E164:AC164,"µ")+COUNTIF($E164:AC164,1)-1,INDEX(Roadmap!$D:$K,MATCH($E164,Roadmap!$D:$D,0)-1+COUNTIF($E164:AC164,"u")+COUNTIF($E164:AC164,"t")+COUNTIF($E164:AC164,"¶")+COUNTIF($E164:AC164,"²")+COUNTIF($E164:AC164,"µ")+COUNTIF($E164:AC164,1),ColDescriptionCourte)),""),
  "")),"")</f>
        <v/>
      </c>
      <c r="AE164" s="40" t="str">
        <f ca="1">IFERROR(IF(AND(
  INDEX(Roadmap!$D:$K,MATCH($E164,Roadmap!$D:$D,0)+COUNTIF($E164:AD164,"u")+COUNTIF($E164:AD164,"t")+COUNTIF($E164:AD164,"¶")+COUNTIF($E164:AD164,"²")+COUNTIF($E164:AD164,"µ")+COUNTIF($E164:AD164,1),ColLivraison)=AE$6,
  VLOOKUP($E164,INDIRECT("tri!"&amp; CHAR(64+ C0Col) &amp;":"&amp; CHAR(65+C0Col)),2,FALSE)&gt;COUNTIF($E164:AD164,"u")+COUNTIF($E164:AD164,"t")+COUNTIF($E164:AD164,"¶")+COUNTIF($E164:AD164,"²")+COUNTIF($E164:AD164,"µ")+COUNTIF($E164:AD164,1)),
HYPERLINK("#Roadmap!C"&amp; MATCH($E164,Roadmap!$D:$D,0)+COUNTIF($E164:AD164,"u")+COUNTIF($E164:AD164,"t"),
     INDEX(Roadmap!$D:$K,MATCH($E164,Roadmap!$D:$D,0)+COUNTIF($E164:AD164,"u")+COUNTIF($E164:AD164,"t")+COUNTIF($E164:AD164,"¶")+COUNTIF($E164:AD164,"²")+COUNTIF($E164:AD164,"µ")+COUNTIF($E164:AD164,1),ColTypeEcheance)),
  IF(LEN(AD164)=1,
  IF(LEN(INDEX(Roadmap!$D:$K,MATCH($E164,Roadmap!$D:$D,0)-1+COUNTIF($E164:AD164,"u")+COUNTIF($E164:AD164,"t")+COUNTIF($E164:AD164,"¶")+COUNTIF($E164:AD164,"²")+COUNTIF($E164:AD164,"µ")+COUNTIF($E164:AD164,1),ColDescriptionCourte))&gt;1,
HYPERLINK("#Roadmap!C"&amp; MATCH($E164,Roadmap!$D:$D,0)+COUNTIF($E164:AD164,"u")+COUNTIF($E164:AD164,"t")+COUNTIF($E164:AD164,"¶")+COUNTIF($E164:AD164,"²")+COUNTIF($E164:AD164,"µ")+COUNTIF($E164:AD164,1)-1,INDEX(Roadmap!$D:$K,MATCH($E164,Roadmap!$D:$D,0)-1+COUNTIF($E164:AD164,"u")+COUNTIF($E164:AD164,"t")+COUNTIF($E164:AD164,"¶")+COUNTIF($E164:AD164,"²")+COUNTIF($E164:AD164,"µ")+COUNTIF($E164:AD164,1),ColDescriptionCourte)),""),
  "")),"")</f>
        <v/>
      </c>
      <c r="AF164" s="40" t="str">
        <f ca="1">IFERROR(IF(AND(
  INDEX(Roadmap!$D:$K,MATCH($E164,Roadmap!$D:$D,0)+COUNTIF($E164:AE164,"u")+COUNTIF($E164:AE164,"t")+COUNTIF($E164:AE164,"¶")+COUNTIF($E164:AE164,"²")+COUNTIF($E164:AE164,"µ")+COUNTIF($E164:AE164,1),ColLivraison)=AF$6,
  VLOOKUP($E164,INDIRECT("tri!"&amp; CHAR(64+ C0Col) &amp;":"&amp; CHAR(65+C0Col)),2,FALSE)&gt;COUNTIF($E164:AE164,"u")+COUNTIF($E164:AE164,"t")+COUNTIF($E164:AE164,"¶")+COUNTIF($E164:AE164,"²")+COUNTIF($E164:AE164,"µ")+COUNTIF($E164:AE164,1)),
HYPERLINK("#Roadmap!C"&amp; MATCH($E164,Roadmap!$D:$D,0)+COUNTIF($E164:AE164,"u")+COUNTIF($E164:AE164,"t"),
     INDEX(Roadmap!$D:$K,MATCH($E164,Roadmap!$D:$D,0)+COUNTIF($E164:AE164,"u")+COUNTIF($E164:AE164,"t")+COUNTIF($E164:AE164,"¶")+COUNTIF($E164:AE164,"²")+COUNTIF($E164:AE164,"µ")+COUNTIF($E164:AE164,1),ColTypeEcheance)),
  IF(LEN(AE164)=1,
  IF(LEN(INDEX(Roadmap!$D:$K,MATCH($E164,Roadmap!$D:$D,0)-1+COUNTIF($E164:AE164,"u")+COUNTIF($E164:AE164,"t")+COUNTIF($E164:AE164,"¶")+COUNTIF($E164:AE164,"²")+COUNTIF($E164:AE164,"µ")+COUNTIF($E164:AE164,1),ColDescriptionCourte))&gt;1,
HYPERLINK("#Roadmap!C"&amp; MATCH($E164,Roadmap!$D:$D,0)+COUNTIF($E164:AE164,"u")+COUNTIF($E164:AE164,"t")+COUNTIF($E164:AE164,"¶")+COUNTIF($E164:AE164,"²")+COUNTIF($E164:AE164,"µ")+COUNTIF($E164:AE164,1)-1,INDEX(Roadmap!$D:$K,MATCH($E164,Roadmap!$D:$D,0)-1+COUNTIF($E164:AE164,"u")+COUNTIF($E164:AE164,"t")+COUNTIF($E164:AE164,"¶")+COUNTIF($E164:AE164,"²")+COUNTIF($E164:AE164,"µ")+COUNTIF($E164:AE164,1),ColDescriptionCourte)),""),
  "")),"")</f>
        <v/>
      </c>
      <c r="AG164" s="40" t="str">
        <f ca="1">IFERROR(IF(AND(
  INDEX(Roadmap!$D:$K,MATCH($E164,Roadmap!$D:$D,0)+COUNTIF($E164:AF164,"u")+COUNTIF($E164:AF164,"t")+COUNTIF($E164:AF164,"¶")+COUNTIF($E164:AF164,"²")+COUNTIF($E164:AF164,"µ")+COUNTIF($E164:AF164,1),ColLivraison)=AG$6,
  VLOOKUP($E164,INDIRECT("tri!"&amp; CHAR(64+ C0Col) &amp;":"&amp; CHAR(65+C0Col)),2,FALSE)&gt;COUNTIF($E164:AF164,"u")+COUNTIF($E164:AF164,"t")+COUNTIF($E164:AF164,"¶")+COUNTIF($E164:AF164,"²")+COUNTIF($E164:AF164,"µ")+COUNTIF($E164:AF164,1)),
HYPERLINK("#Roadmap!C"&amp; MATCH($E164,Roadmap!$D:$D,0)+COUNTIF($E164:AF164,"u")+COUNTIF($E164:AF164,"t"),
     INDEX(Roadmap!$D:$K,MATCH($E164,Roadmap!$D:$D,0)+COUNTIF($E164:AF164,"u")+COUNTIF($E164:AF164,"t")+COUNTIF($E164:AF164,"¶")+COUNTIF($E164:AF164,"²")+COUNTIF($E164:AF164,"µ")+COUNTIF($E164:AF164,1),ColTypeEcheance)),
  IF(LEN(AF164)=1,
  IF(LEN(INDEX(Roadmap!$D:$K,MATCH($E164,Roadmap!$D:$D,0)-1+COUNTIF($E164:AF164,"u")+COUNTIF($E164:AF164,"t")+COUNTIF($E164:AF164,"¶")+COUNTIF($E164:AF164,"²")+COUNTIF($E164:AF164,"µ")+COUNTIF($E164:AF164,1),ColDescriptionCourte))&gt;1,
HYPERLINK("#Roadmap!C"&amp; MATCH($E164,Roadmap!$D:$D,0)+COUNTIF($E164:AF164,"u")+COUNTIF($E164:AF164,"t")+COUNTIF($E164:AF164,"¶")+COUNTIF($E164:AF164,"²")+COUNTIF($E164:AF164,"µ")+COUNTIF($E164:AF164,1)-1,INDEX(Roadmap!$D:$K,MATCH($E164,Roadmap!$D:$D,0)-1+COUNTIF($E164:AF164,"u")+COUNTIF($E164:AF164,"t")+COUNTIF($E164:AF164,"¶")+COUNTIF($E164:AF164,"²")+COUNTIF($E164:AF164,"µ")+COUNTIF($E164:AF164,1),ColDescriptionCourte)),""),
  "")),"")</f>
        <v/>
      </c>
    </row>
    <row r="165" spans="3:33" ht="14.25" customHeight="1">
      <c r="C165" s="1" t="str">
        <f t="shared" ca="1" si="52"/>
        <v/>
      </c>
      <c r="D165" s="1" t="str">
        <f t="shared" ca="1" si="53"/>
        <v/>
      </c>
      <c r="E165" s="35" t="str">
        <f t="shared" ca="1" si="51"/>
        <v/>
      </c>
      <c r="F165" s="39" t="str">
        <f ca="1">IFERROR(IF(AND(
  INDEX(Roadmap!$D:$K,MATCH($E165,Roadmap!$D:$D,0)+COUNTIF($E165:E165,"u")+COUNTIF($E165:E165,"t")+COUNTIF($E165:E165,"¶")+COUNTIF($E165:E165,"²")+COUNTIF($E165:E165,"µ")+COUNTIF($E165:E165,1),ColLivraison)=F$6,
  VLOOKUP($E165,INDIRECT("tri!"&amp; CHAR(64+ C0Col) &amp;":"&amp; CHAR(65+C0Col)),2,FALSE)&gt;COUNTIF($E165:E165,"u")+COUNTIF($E165:E165,"t")+COUNTIF($E165:E165,"¶")+COUNTIF($E165:E165,"²")+COUNTIF($E165:E165,"µ")+COUNTIF($E165:E165,1)),
HYPERLINK("#Roadmap!C"&amp; MATCH($E165,Roadmap!$D:$D,0)+COUNTIF($E165:E165,"u")+COUNTIF($E165:E165,"t"),
     INDEX(Roadmap!$D:$K,MATCH($E165,Roadmap!$D:$D,0)+COUNTIF($E165:E165,"u")+COUNTIF($E165:E165,"t")+COUNTIF($E165:E165,"¶")+COUNTIF($E165:E165,"²")+COUNTIF($E165:E165,"µ")+COUNTIF($E165:E165,1),ColTypeEcheance)),
  IF(LEN(E165)=1,
  IF(LEN(INDEX(Roadmap!$D:$K,MATCH($E165,Roadmap!$D:$D,0)-1+COUNTIF($E165:E165,"u")+COUNTIF($E165:E165,"t")+COUNTIF($E165:E165,"¶")+COUNTIF($E165:E165,"²")+COUNTIF($E165:E165,"µ")+COUNTIF($E165:E165,1),ColDescriptionCourte))&gt;1,
HYPERLINK("#Roadmap!C"&amp; MATCH($E165,Roadmap!$D:$D,0)+COUNTIF($E165:E165,"u")+COUNTIF($E165:E165,"t")+COUNTIF($E165:E165,"¶")+COUNTIF($E165:E165,"²")+COUNTIF($E165:E165,"µ")+COUNTIF($E165:E165,1)-1,INDEX(Roadmap!$D:$K,MATCH($E165,Roadmap!$D:$D,0)-1+COUNTIF($E165:E165,"u")+COUNTIF($E165:E165,"t")+COUNTIF($E165:E165,"¶")+COUNTIF($E165:E165,"²")+COUNTIF($E165:E165,"µ")+COUNTIF($E165:E165,1),ColDescriptionCourte)),""),
  "")),"")</f>
        <v/>
      </c>
      <c r="G165" s="40" t="str">
        <f ca="1">IFERROR(IF(AND(
  INDEX(Roadmap!$D:$K,MATCH($E165,Roadmap!$D:$D,0)+COUNTIF($E165:F165,"u")+COUNTIF($E165:F165,"t")+COUNTIF($E165:F165,"¶")+COUNTIF($E165:F165,"²")+COUNTIF($E165:F165,"µ")+COUNTIF($E165:F165,1),ColLivraison)=G$6,
  VLOOKUP($E165,INDIRECT("tri!"&amp; CHAR(64+ C0Col) &amp;":"&amp; CHAR(65+C0Col)),2,FALSE)&gt;COUNTIF($E165:F165,"u")+COUNTIF($E165:F165,"t")+COUNTIF($E165:F165,"¶")+COUNTIF($E165:F165,"²")+COUNTIF($E165:F165,"µ")+COUNTIF($E165:F165,1)),
HYPERLINK("#Roadmap!C"&amp; MATCH($E165,Roadmap!$D:$D,0)+COUNTIF($E165:F165,"u")+COUNTIF($E165:F165,"t"),
     INDEX(Roadmap!$D:$K,MATCH($E165,Roadmap!$D:$D,0)+COUNTIF($E165:F165,"u")+COUNTIF($E165:F165,"t")+COUNTIF($E165:F165,"¶")+COUNTIF($E165:F165,"²")+COUNTIF($E165:F165,"µ")+COUNTIF($E165:F165,1),ColTypeEcheance)),
  IF(LEN(F165)=1,
  IF(LEN(INDEX(Roadmap!$D:$K,MATCH($E165,Roadmap!$D:$D,0)-1+COUNTIF($E165:F165,"u")+COUNTIF($E165:F165,"t")+COUNTIF($E165:F165,"¶")+COUNTIF($E165:F165,"²")+COUNTIF($E165:F165,"µ")+COUNTIF($E165:F165,1),ColDescriptionCourte))&gt;1,
HYPERLINK("#Roadmap!C"&amp; MATCH($E165,Roadmap!$D:$D,0)+COUNTIF($E165:F165,"u")+COUNTIF($E165:F165,"t")+COUNTIF($E165:F165,"¶")+COUNTIF($E165:F165,"²")+COUNTIF($E165:F165,"µ")+COUNTIF($E165:F165,1)-1,INDEX(Roadmap!$D:$K,MATCH($E165,Roadmap!$D:$D,0)-1+COUNTIF($E165:F165,"u")+COUNTIF($E165:F165,"t")+COUNTIF($E165:F165,"¶")+COUNTIF($E165:F165,"²")+COUNTIF($E165:F165,"µ")+COUNTIF($E165:F165,1),ColDescriptionCourte)),""),
  "")),"")</f>
        <v/>
      </c>
      <c r="H165" s="40" t="str">
        <f ca="1">IFERROR(IF(AND(
  INDEX(Roadmap!$D:$K,MATCH($E165,Roadmap!$D:$D,0)+COUNTIF($E165:G165,"u")+COUNTIF($E165:G165,"t")+COUNTIF($E165:G165,"¶")+COUNTIF($E165:G165,"²")+COUNTIF($E165:G165,"µ")+COUNTIF($E165:G165,1),ColLivraison)=H$6,
  VLOOKUP($E165,INDIRECT("tri!"&amp; CHAR(64+ C0Col) &amp;":"&amp; CHAR(65+C0Col)),2,FALSE)&gt;COUNTIF($E165:G165,"u")+COUNTIF($E165:G165,"t")+COUNTIF($E165:G165,"¶")+COUNTIF($E165:G165,"²")+COUNTIF($E165:G165,"µ")+COUNTIF($E165:G165,1)),
HYPERLINK("#Roadmap!C"&amp; MATCH($E165,Roadmap!$D:$D,0)+COUNTIF($E165:G165,"u")+COUNTIF($E165:G165,"t"),
     INDEX(Roadmap!$D:$K,MATCH($E165,Roadmap!$D:$D,0)+COUNTIF($E165:G165,"u")+COUNTIF($E165:G165,"t")+COUNTIF($E165:G165,"¶")+COUNTIF($E165:G165,"²")+COUNTIF($E165:G165,"µ")+COUNTIF($E165:G165,1),ColTypeEcheance)),
  IF(LEN(G165)=1,
  IF(LEN(INDEX(Roadmap!$D:$K,MATCH($E165,Roadmap!$D:$D,0)-1+COUNTIF($E165:G165,"u")+COUNTIF($E165:G165,"t")+COUNTIF($E165:G165,"¶")+COUNTIF($E165:G165,"²")+COUNTIF($E165:G165,"µ")+COUNTIF($E165:G165,1),ColDescriptionCourte))&gt;1,
HYPERLINK("#Roadmap!C"&amp; MATCH($E165,Roadmap!$D:$D,0)+COUNTIF($E165:G165,"u")+COUNTIF($E165:G165,"t")+COUNTIF($E165:G165,"¶")+COUNTIF($E165:G165,"²")+COUNTIF($E165:G165,"µ")+COUNTIF($E165:G165,1)-1,INDEX(Roadmap!$D:$K,MATCH($E165,Roadmap!$D:$D,0)-1+COUNTIF($E165:G165,"u")+COUNTIF($E165:G165,"t")+COUNTIF($E165:G165,"¶")+COUNTIF($E165:G165,"²")+COUNTIF($E165:G165,"µ")+COUNTIF($E165:G165,1),ColDescriptionCourte)),""),
  "")),"")</f>
        <v/>
      </c>
      <c r="I165" s="40" t="str">
        <f ca="1">IFERROR(IF(AND(
  INDEX(Roadmap!$D:$K,MATCH($E165,Roadmap!$D:$D,0)+COUNTIF($E165:H165,"u")+COUNTIF($E165:H165,"t")+COUNTIF($E165:H165,"¶")+COUNTIF($E165:H165,"²")+COUNTIF($E165:H165,"µ")+COUNTIF($E165:H165,1),ColLivraison)=I$6,
  VLOOKUP($E165,INDIRECT("tri!"&amp; CHAR(64+ C0Col) &amp;":"&amp; CHAR(65+C0Col)),2,FALSE)&gt;COUNTIF($E165:H165,"u")+COUNTIF($E165:H165,"t")+COUNTIF($E165:H165,"¶")+COUNTIF($E165:H165,"²")+COUNTIF($E165:H165,"µ")+COUNTIF($E165:H165,1)),
HYPERLINK("#Roadmap!C"&amp; MATCH($E165,Roadmap!$D:$D,0)+COUNTIF($E165:H165,"u")+COUNTIF($E165:H165,"t"),
     INDEX(Roadmap!$D:$K,MATCH($E165,Roadmap!$D:$D,0)+COUNTIF($E165:H165,"u")+COUNTIF($E165:H165,"t")+COUNTIF($E165:H165,"¶")+COUNTIF($E165:H165,"²")+COUNTIF($E165:H165,"µ")+COUNTIF($E165:H165,1),ColTypeEcheance)),
  IF(LEN(H165)=1,
  IF(LEN(INDEX(Roadmap!$D:$K,MATCH($E165,Roadmap!$D:$D,0)-1+COUNTIF($E165:H165,"u")+COUNTIF($E165:H165,"t")+COUNTIF($E165:H165,"¶")+COUNTIF($E165:H165,"²")+COUNTIF($E165:H165,"µ")+COUNTIF($E165:H165,1),ColDescriptionCourte))&gt;1,
HYPERLINK("#Roadmap!C"&amp; MATCH($E165,Roadmap!$D:$D,0)+COUNTIF($E165:H165,"u")+COUNTIF($E165:H165,"t")+COUNTIF($E165:H165,"¶")+COUNTIF($E165:H165,"²")+COUNTIF($E165:H165,"µ")+COUNTIF($E165:H165,1)-1,INDEX(Roadmap!$D:$K,MATCH($E165,Roadmap!$D:$D,0)-1+COUNTIF($E165:H165,"u")+COUNTIF($E165:H165,"t")+COUNTIF($E165:H165,"¶")+COUNTIF($E165:H165,"²")+COUNTIF($E165:H165,"µ")+COUNTIF($E165:H165,1),ColDescriptionCourte)),""),
  "")),"")</f>
        <v/>
      </c>
      <c r="J165" s="40" t="str">
        <f ca="1">IFERROR(IF(AND(
  INDEX(Roadmap!$D:$K,MATCH($E165,Roadmap!$D:$D,0)+COUNTIF($E165:I165,"u")+COUNTIF($E165:I165,"t")+COUNTIF($E165:I165,"¶")+COUNTIF($E165:I165,"²")+COUNTIF($E165:I165,"µ")+COUNTIF($E165:I165,1),ColLivraison)=J$6,
  VLOOKUP($E165,INDIRECT("tri!"&amp; CHAR(64+ C0Col) &amp;":"&amp; CHAR(65+C0Col)),2,FALSE)&gt;COUNTIF($E165:I165,"u")+COUNTIF($E165:I165,"t")+COUNTIF($E165:I165,"¶")+COUNTIF($E165:I165,"²")+COUNTIF($E165:I165,"µ")+COUNTIF($E165:I165,1)),
HYPERLINK("#Roadmap!C"&amp; MATCH($E165,Roadmap!$D:$D,0)+COUNTIF($E165:I165,"u")+COUNTIF($E165:I165,"t"),
     INDEX(Roadmap!$D:$K,MATCH($E165,Roadmap!$D:$D,0)+COUNTIF($E165:I165,"u")+COUNTIF($E165:I165,"t")+COUNTIF($E165:I165,"¶")+COUNTIF($E165:I165,"²")+COUNTIF($E165:I165,"µ")+COUNTIF($E165:I165,1),ColTypeEcheance)),
  IF(LEN(I165)=1,
  IF(LEN(INDEX(Roadmap!$D:$K,MATCH($E165,Roadmap!$D:$D,0)-1+COUNTIF($E165:I165,"u")+COUNTIF($E165:I165,"t")+COUNTIF($E165:I165,"¶")+COUNTIF($E165:I165,"²")+COUNTIF($E165:I165,"µ")+COUNTIF($E165:I165,1),ColDescriptionCourte))&gt;1,
HYPERLINK("#Roadmap!C"&amp; MATCH($E165,Roadmap!$D:$D,0)+COUNTIF($E165:I165,"u")+COUNTIF($E165:I165,"t")+COUNTIF($E165:I165,"¶")+COUNTIF($E165:I165,"²")+COUNTIF($E165:I165,"µ")+COUNTIF($E165:I165,1)-1,INDEX(Roadmap!$D:$K,MATCH($E165,Roadmap!$D:$D,0)-1+COUNTIF($E165:I165,"u")+COUNTIF($E165:I165,"t")+COUNTIF($E165:I165,"¶")+COUNTIF($E165:I165,"²")+COUNTIF($E165:I165,"µ")+COUNTIF($E165:I165,1),ColDescriptionCourte)),""),
  "")),"")</f>
        <v/>
      </c>
      <c r="K165" s="40" t="str">
        <f ca="1">IFERROR(IF(AND(
  INDEX(Roadmap!$D:$K,MATCH($E165,Roadmap!$D:$D,0)+COUNTIF($E165:J165,"u")+COUNTIF($E165:J165,"t")+COUNTIF($E165:J165,"¶")+COUNTIF($E165:J165,"²")+COUNTIF($E165:J165,"µ")+COUNTIF($E165:J165,1),ColLivraison)=K$6,
  VLOOKUP($E165,INDIRECT("tri!"&amp; CHAR(64+ C0Col) &amp;":"&amp; CHAR(65+C0Col)),2,FALSE)&gt;COUNTIF($E165:J165,"u")+COUNTIF($E165:J165,"t")+COUNTIF($E165:J165,"¶")+COUNTIF($E165:J165,"²")+COUNTIF($E165:J165,"µ")+COUNTIF($E165:J165,1)),
HYPERLINK("#Roadmap!C"&amp; MATCH($E165,Roadmap!$D:$D,0)+COUNTIF($E165:J165,"u")+COUNTIF($E165:J165,"t"),
     INDEX(Roadmap!$D:$K,MATCH($E165,Roadmap!$D:$D,0)+COUNTIF($E165:J165,"u")+COUNTIF($E165:J165,"t")+COUNTIF($E165:J165,"¶")+COUNTIF($E165:J165,"²")+COUNTIF($E165:J165,"µ")+COUNTIF($E165:J165,1),ColTypeEcheance)),
  IF(LEN(J165)=1,
  IF(LEN(INDEX(Roadmap!$D:$K,MATCH($E165,Roadmap!$D:$D,0)-1+COUNTIF($E165:J165,"u")+COUNTIF($E165:J165,"t")+COUNTIF($E165:J165,"¶")+COUNTIF($E165:J165,"²")+COUNTIF($E165:J165,"µ")+COUNTIF($E165:J165,1),ColDescriptionCourte))&gt;1,
HYPERLINK("#Roadmap!C"&amp; MATCH($E165,Roadmap!$D:$D,0)+COUNTIF($E165:J165,"u")+COUNTIF($E165:J165,"t")+COUNTIF($E165:J165,"¶")+COUNTIF($E165:J165,"²")+COUNTIF($E165:J165,"µ")+COUNTIF($E165:J165,1)-1,INDEX(Roadmap!$D:$K,MATCH($E165,Roadmap!$D:$D,0)-1+COUNTIF($E165:J165,"u")+COUNTIF($E165:J165,"t")+COUNTIF($E165:J165,"¶")+COUNTIF($E165:J165,"²")+COUNTIF($E165:J165,"µ")+COUNTIF($E165:J165,1),ColDescriptionCourte)),""),
  "")),"")</f>
        <v/>
      </c>
      <c r="L165" s="39" t="str">
        <f ca="1">IFERROR(IF(AND(
  INDEX(Roadmap!$D:$K,MATCH($E165,Roadmap!$D:$D,0)+COUNTIF($E165:K165,"u")+COUNTIF($E165:K165,"t")+COUNTIF($E165:K165,"¶")+COUNTIF($E165:K165,"²")+COUNTIF($E165:K165,"µ")+COUNTIF($E165:K165,1),ColLivraison)=L$6,
  VLOOKUP($E165,INDIRECT("tri!"&amp; CHAR(64+ C0Col) &amp;":"&amp; CHAR(65+C0Col)),2,FALSE)&gt;COUNTIF($E165:K165,"u")+COUNTIF($E165:K165,"t")+COUNTIF($E165:K165,"¶")+COUNTIF($E165:K165,"²")+COUNTIF($E165:K165,"µ")+COUNTIF($E165:K165,1)),
HYPERLINK("#Roadmap!C"&amp; MATCH($E165,Roadmap!$D:$D,0)+COUNTIF($E165:K165,"u")+COUNTIF($E165:K165,"t"),
     INDEX(Roadmap!$D:$K,MATCH($E165,Roadmap!$D:$D,0)+COUNTIF($E165:K165,"u")+COUNTIF($E165:K165,"t")+COUNTIF($E165:K165,"¶")+COUNTIF($E165:K165,"²")+COUNTIF($E165:K165,"µ")+COUNTIF($E165:K165,1),ColTypeEcheance)),
  IF(LEN(K165)=1,
  IF(LEN(INDEX(Roadmap!$D:$K,MATCH($E165,Roadmap!$D:$D,0)-1+COUNTIF($E165:K165,"u")+COUNTIF($E165:K165,"t")+COUNTIF($E165:K165,"¶")+COUNTIF($E165:K165,"²")+COUNTIF($E165:K165,"µ")+COUNTIF($E165:K165,1),ColDescriptionCourte))&gt;1,
HYPERLINK("#Roadmap!C"&amp; MATCH($E165,Roadmap!$D:$D,0)+COUNTIF($E165:K165,"u")+COUNTIF($E165:K165,"t")+COUNTIF($E165:K165,"¶")+COUNTIF($E165:K165,"²")+COUNTIF($E165:K165,"µ")+COUNTIF($E165:K165,1)-1,INDEX(Roadmap!$D:$K,MATCH($E165,Roadmap!$D:$D,0)-1+COUNTIF($E165:K165,"u")+COUNTIF($E165:K165,"t")+COUNTIF($E165:K165,"¶")+COUNTIF($E165:K165,"²")+COUNTIF($E165:K165,"µ")+COUNTIF($E165:K165,1),ColDescriptionCourte)),""),
  "")),"")</f>
        <v/>
      </c>
      <c r="M165" s="40" t="str">
        <f ca="1">IFERROR(IF(AND(
  INDEX(Roadmap!$D:$K,MATCH($E165,Roadmap!$D:$D,0)+COUNTIF($E165:L165,"u")+COUNTIF($E165:L165,"t")+COUNTIF($E165:L165,"¶")+COUNTIF($E165:L165,"²")+COUNTIF($E165:L165,"µ")+COUNTIF($E165:L165,1),ColLivraison)=M$6,
  VLOOKUP($E165,INDIRECT("tri!"&amp; CHAR(64+ C0Col) &amp;":"&amp; CHAR(65+C0Col)),2,FALSE)&gt;COUNTIF($E165:L165,"u")+COUNTIF($E165:L165,"t")+COUNTIF($E165:L165,"¶")+COUNTIF($E165:L165,"²")+COUNTIF($E165:L165,"µ")+COUNTIF($E165:L165,1)),
HYPERLINK("#Roadmap!C"&amp; MATCH($E165,Roadmap!$D:$D,0)+COUNTIF($E165:L165,"u")+COUNTIF($E165:L165,"t"),
     INDEX(Roadmap!$D:$K,MATCH($E165,Roadmap!$D:$D,0)+COUNTIF($E165:L165,"u")+COUNTIF($E165:L165,"t")+COUNTIF($E165:L165,"¶")+COUNTIF($E165:L165,"²")+COUNTIF($E165:L165,"µ")+COUNTIF($E165:L165,1),ColTypeEcheance)),
  IF(LEN(L165)=1,
  IF(LEN(INDEX(Roadmap!$D:$K,MATCH($E165,Roadmap!$D:$D,0)-1+COUNTIF($E165:L165,"u")+COUNTIF($E165:L165,"t")+COUNTIF($E165:L165,"¶")+COUNTIF($E165:L165,"²")+COUNTIF($E165:L165,"µ")+COUNTIF($E165:L165,1),ColDescriptionCourte))&gt;1,
HYPERLINK("#Roadmap!C"&amp; MATCH($E165,Roadmap!$D:$D,0)+COUNTIF($E165:L165,"u")+COUNTIF($E165:L165,"t")+COUNTIF($E165:L165,"¶")+COUNTIF($E165:L165,"²")+COUNTIF($E165:L165,"µ")+COUNTIF($E165:L165,1)-1,INDEX(Roadmap!$D:$K,MATCH($E165,Roadmap!$D:$D,0)-1+COUNTIF($E165:L165,"u")+COUNTIF($E165:L165,"t")+COUNTIF($E165:L165,"¶")+COUNTIF($E165:L165,"²")+COUNTIF($E165:L165,"µ")+COUNTIF($E165:L165,1),ColDescriptionCourte)),""),
  "")),"")</f>
        <v/>
      </c>
      <c r="N165" s="40" t="str">
        <f ca="1">IFERROR(IF(AND(
  INDEX(Roadmap!$D:$K,MATCH($E165,Roadmap!$D:$D,0)+COUNTIF($E165:M165,"u")+COUNTIF($E165:M165,"t")+COUNTIF($E165:M165,"¶")+COUNTIF($E165:M165,"²")+COUNTIF($E165:M165,"µ")+COUNTIF($E165:M165,1),ColLivraison)=N$6,
  VLOOKUP($E165,INDIRECT("tri!"&amp; CHAR(64+ C0Col) &amp;":"&amp; CHAR(65+C0Col)),2,FALSE)&gt;COUNTIF($E165:M165,"u")+COUNTIF($E165:M165,"t")+COUNTIF($E165:M165,"¶")+COUNTIF($E165:M165,"²")+COUNTIF($E165:M165,"µ")+COUNTIF($E165:M165,1)),
HYPERLINK("#Roadmap!C"&amp; MATCH($E165,Roadmap!$D:$D,0)+COUNTIF($E165:M165,"u")+COUNTIF($E165:M165,"t"),
     INDEX(Roadmap!$D:$K,MATCH($E165,Roadmap!$D:$D,0)+COUNTIF($E165:M165,"u")+COUNTIF($E165:M165,"t")+COUNTIF($E165:M165,"¶")+COUNTIF($E165:M165,"²")+COUNTIF($E165:M165,"µ")+COUNTIF($E165:M165,1),ColTypeEcheance)),
  IF(LEN(M165)=1,
  IF(LEN(INDEX(Roadmap!$D:$K,MATCH($E165,Roadmap!$D:$D,0)-1+COUNTIF($E165:M165,"u")+COUNTIF($E165:M165,"t")+COUNTIF($E165:M165,"¶")+COUNTIF($E165:M165,"²")+COUNTIF($E165:M165,"µ")+COUNTIF($E165:M165,1),ColDescriptionCourte))&gt;1,
HYPERLINK("#Roadmap!C"&amp; MATCH($E165,Roadmap!$D:$D,0)+COUNTIF($E165:M165,"u")+COUNTIF($E165:M165,"t")+COUNTIF($E165:M165,"¶")+COUNTIF($E165:M165,"²")+COUNTIF($E165:M165,"µ")+COUNTIF($E165:M165,1)-1,INDEX(Roadmap!$D:$K,MATCH($E165,Roadmap!$D:$D,0)-1+COUNTIF($E165:M165,"u")+COUNTIF($E165:M165,"t")+COUNTIF($E165:M165,"¶")+COUNTIF($E165:M165,"²")+COUNTIF($E165:M165,"µ")+COUNTIF($E165:M165,1),ColDescriptionCourte)),""),
  "")),"")</f>
        <v/>
      </c>
      <c r="O165" s="40" t="str">
        <f ca="1">IFERROR(IF(AND(
  INDEX(Roadmap!$D:$K,MATCH($E165,Roadmap!$D:$D,0)+COUNTIF($E165:N165,"u")+COUNTIF($E165:N165,"t")+COUNTIF($E165:N165,"¶")+COUNTIF($E165:N165,"²")+COUNTIF($E165:N165,"µ")+COUNTIF($E165:N165,1),ColLivraison)=O$6,
  VLOOKUP($E165,INDIRECT("tri!"&amp; CHAR(64+ C0Col) &amp;":"&amp; CHAR(65+C0Col)),2,FALSE)&gt;COUNTIF($E165:N165,"u")+COUNTIF($E165:N165,"t")+COUNTIF($E165:N165,"¶")+COUNTIF($E165:N165,"²")+COUNTIF($E165:N165,"µ")+COUNTIF($E165:N165,1)),
HYPERLINK("#Roadmap!C"&amp; MATCH($E165,Roadmap!$D:$D,0)+COUNTIF($E165:N165,"u")+COUNTIF($E165:N165,"t"),
     INDEX(Roadmap!$D:$K,MATCH($E165,Roadmap!$D:$D,0)+COUNTIF($E165:N165,"u")+COUNTIF($E165:N165,"t")+COUNTIF($E165:N165,"¶")+COUNTIF($E165:N165,"²")+COUNTIF($E165:N165,"µ")+COUNTIF($E165:N165,1),ColTypeEcheance)),
  IF(LEN(N165)=1,
  IF(LEN(INDEX(Roadmap!$D:$K,MATCH($E165,Roadmap!$D:$D,0)-1+COUNTIF($E165:N165,"u")+COUNTIF($E165:N165,"t")+COUNTIF($E165:N165,"¶")+COUNTIF($E165:N165,"²")+COUNTIF($E165:N165,"µ")+COUNTIF($E165:N165,1),ColDescriptionCourte))&gt;1,
HYPERLINK("#Roadmap!C"&amp; MATCH($E165,Roadmap!$D:$D,0)+COUNTIF($E165:N165,"u")+COUNTIF($E165:N165,"t")+COUNTIF($E165:N165,"¶")+COUNTIF($E165:N165,"²")+COUNTIF($E165:N165,"µ")+COUNTIF($E165:N165,1)-1,INDEX(Roadmap!$D:$K,MATCH($E165,Roadmap!$D:$D,0)-1+COUNTIF($E165:N165,"u")+COUNTIF($E165:N165,"t")+COUNTIF($E165:N165,"¶")+COUNTIF($E165:N165,"²")+COUNTIF($E165:N165,"µ")+COUNTIF($E165:N165,1),ColDescriptionCourte)),""),
  "")),"")</f>
        <v/>
      </c>
      <c r="P165" s="40" t="str">
        <f ca="1">IFERROR(IF(AND(
  INDEX(Roadmap!$D:$K,MATCH($E165,Roadmap!$D:$D,0)+COUNTIF($E165:O165,"u")+COUNTIF($E165:O165,"t")+COUNTIF($E165:O165,"¶")+COUNTIF($E165:O165,"²")+COUNTIF($E165:O165,"µ")+COUNTIF($E165:O165,1),ColLivraison)=P$6,
  VLOOKUP($E165,INDIRECT("tri!"&amp; CHAR(64+ C0Col) &amp;":"&amp; CHAR(65+C0Col)),2,FALSE)&gt;COUNTIF($E165:O165,"u")+COUNTIF($E165:O165,"t")+COUNTIF($E165:O165,"¶")+COUNTIF($E165:O165,"²")+COUNTIF($E165:O165,"µ")+COUNTIF($E165:O165,1)),
HYPERLINK("#Roadmap!C"&amp; MATCH($E165,Roadmap!$D:$D,0)+COUNTIF($E165:O165,"u")+COUNTIF($E165:O165,"t"),
     INDEX(Roadmap!$D:$K,MATCH($E165,Roadmap!$D:$D,0)+COUNTIF($E165:O165,"u")+COUNTIF($E165:O165,"t")+COUNTIF($E165:O165,"¶")+COUNTIF($E165:O165,"²")+COUNTIF($E165:O165,"µ")+COUNTIF($E165:O165,1),ColTypeEcheance)),
  IF(LEN(O165)=1,
  IF(LEN(INDEX(Roadmap!$D:$K,MATCH($E165,Roadmap!$D:$D,0)-1+COUNTIF($E165:O165,"u")+COUNTIF($E165:O165,"t")+COUNTIF($E165:O165,"¶")+COUNTIF($E165:O165,"²")+COUNTIF($E165:O165,"µ")+COUNTIF($E165:O165,1),ColDescriptionCourte))&gt;1,
HYPERLINK("#Roadmap!C"&amp; MATCH($E165,Roadmap!$D:$D,0)+COUNTIF($E165:O165,"u")+COUNTIF($E165:O165,"t")+COUNTIF($E165:O165,"¶")+COUNTIF($E165:O165,"²")+COUNTIF($E165:O165,"µ")+COUNTIF($E165:O165,1)-1,INDEX(Roadmap!$D:$K,MATCH($E165,Roadmap!$D:$D,0)-1+COUNTIF($E165:O165,"u")+COUNTIF($E165:O165,"t")+COUNTIF($E165:O165,"¶")+COUNTIF($E165:O165,"²")+COUNTIF($E165:O165,"µ")+COUNTIF($E165:O165,1),ColDescriptionCourte)),""),
  "")),"")</f>
        <v/>
      </c>
      <c r="Q165" s="40" t="str">
        <f ca="1">IFERROR(IF(AND(
  INDEX(Roadmap!$D:$K,MATCH($E165,Roadmap!$D:$D,0)+COUNTIF($E165:P165,"u")+COUNTIF($E165:P165,"t")+COUNTIF($E165:P165,"¶")+COUNTIF($E165:P165,"²")+COUNTIF($E165:P165,"µ")+COUNTIF($E165:P165,1),ColLivraison)=Q$6,
  VLOOKUP($E165,INDIRECT("tri!"&amp; CHAR(64+ C0Col) &amp;":"&amp; CHAR(65+C0Col)),2,FALSE)&gt;COUNTIF($E165:P165,"u")+COUNTIF($E165:P165,"t")+COUNTIF($E165:P165,"¶")+COUNTIF($E165:P165,"²")+COUNTIF($E165:P165,"µ")+COUNTIF($E165:P165,1)),
HYPERLINK("#Roadmap!C"&amp; MATCH($E165,Roadmap!$D:$D,0)+COUNTIF($E165:P165,"u")+COUNTIF($E165:P165,"t"),
     INDEX(Roadmap!$D:$K,MATCH($E165,Roadmap!$D:$D,0)+COUNTIF($E165:P165,"u")+COUNTIF($E165:P165,"t")+COUNTIF($E165:P165,"¶")+COUNTIF($E165:P165,"²")+COUNTIF($E165:P165,"µ")+COUNTIF($E165:P165,1),ColTypeEcheance)),
  IF(LEN(P165)=1,
  IF(LEN(INDEX(Roadmap!$D:$K,MATCH($E165,Roadmap!$D:$D,0)-1+COUNTIF($E165:P165,"u")+COUNTIF($E165:P165,"t")+COUNTIF($E165:P165,"¶")+COUNTIF($E165:P165,"²")+COUNTIF($E165:P165,"µ")+COUNTIF($E165:P165,1),ColDescriptionCourte))&gt;1,
HYPERLINK("#Roadmap!C"&amp; MATCH($E165,Roadmap!$D:$D,0)+COUNTIF($E165:P165,"u")+COUNTIF($E165:P165,"t")+COUNTIF($E165:P165,"¶")+COUNTIF($E165:P165,"²")+COUNTIF($E165:P165,"µ")+COUNTIF($E165:P165,1)-1,INDEX(Roadmap!$D:$K,MATCH($E165,Roadmap!$D:$D,0)-1+COUNTIF($E165:P165,"u")+COUNTIF($E165:P165,"t")+COUNTIF($E165:P165,"¶")+COUNTIF($E165:P165,"²")+COUNTIF($E165:P165,"µ")+COUNTIF($E165:P165,1),ColDescriptionCourte)),""),
  "")),"")</f>
        <v/>
      </c>
      <c r="R165" s="40" t="str">
        <f ca="1">IFERROR(IF(AND(
  INDEX(Roadmap!$D:$K,MATCH($E165,Roadmap!$D:$D,0)+COUNTIF($E165:Q165,"u")+COUNTIF($E165:Q165,"t")+COUNTIF($E165:Q165,"¶")+COUNTIF($E165:Q165,"²")+COUNTIF($E165:Q165,"µ")+COUNTIF($E165:Q165,1),ColLivraison)=R$6,
  VLOOKUP($E165,INDIRECT("tri!"&amp; CHAR(64+ C0Col) &amp;":"&amp; CHAR(65+C0Col)),2,FALSE)&gt;COUNTIF($E165:Q165,"u")+COUNTIF($E165:Q165,"t")+COUNTIF($E165:Q165,"¶")+COUNTIF($E165:Q165,"²")+COUNTIF($E165:Q165,"µ")+COUNTIF($E165:Q165,1)),
HYPERLINK("#Roadmap!C"&amp; MATCH($E165,Roadmap!$D:$D,0)+COUNTIF($E165:Q165,"u")+COUNTIF($E165:Q165,"t"),
     INDEX(Roadmap!$D:$K,MATCH($E165,Roadmap!$D:$D,0)+COUNTIF($E165:Q165,"u")+COUNTIF($E165:Q165,"t")+COUNTIF($E165:Q165,"¶")+COUNTIF($E165:Q165,"²")+COUNTIF($E165:Q165,"µ")+COUNTIF($E165:Q165,1),ColTypeEcheance)),
  IF(LEN(Q165)=1,
  IF(LEN(INDEX(Roadmap!$D:$K,MATCH($E165,Roadmap!$D:$D,0)-1+COUNTIF($E165:Q165,"u")+COUNTIF($E165:Q165,"t")+COUNTIF($E165:Q165,"¶")+COUNTIF($E165:Q165,"²")+COUNTIF($E165:Q165,"µ")+COUNTIF($E165:Q165,1),ColDescriptionCourte))&gt;1,
HYPERLINK("#Roadmap!C"&amp; MATCH($E165,Roadmap!$D:$D,0)+COUNTIF($E165:Q165,"u")+COUNTIF($E165:Q165,"t")+COUNTIF($E165:Q165,"¶")+COUNTIF($E165:Q165,"²")+COUNTIF($E165:Q165,"µ")+COUNTIF($E165:Q165,1)-1,INDEX(Roadmap!$D:$K,MATCH($E165,Roadmap!$D:$D,0)-1+COUNTIF($E165:Q165,"u")+COUNTIF($E165:Q165,"t")+COUNTIF($E165:Q165,"¶")+COUNTIF($E165:Q165,"²")+COUNTIF($E165:Q165,"µ")+COUNTIF($E165:Q165,1),ColDescriptionCourte)),""),
  "")),"")</f>
        <v/>
      </c>
      <c r="S165" s="40" t="str">
        <f ca="1">IFERROR(IF(AND(
  INDEX(Roadmap!$D:$K,MATCH($E165,Roadmap!$D:$D,0)+COUNTIF($E165:R165,"u")+COUNTIF($E165:R165,"t")+COUNTIF($E165:R165,"¶")+COUNTIF($E165:R165,"²")+COUNTIF($E165:R165,"µ")+COUNTIF($E165:R165,1),ColLivraison)=S$6,
  VLOOKUP($E165,INDIRECT("tri!"&amp; CHAR(64+ C0Col) &amp;":"&amp; CHAR(65+C0Col)),2,FALSE)&gt;COUNTIF($E165:R165,"u")+COUNTIF($E165:R165,"t")+COUNTIF($E165:R165,"¶")+COUNTIF($E165:R165,"²")+COUNTIF($E165:R165,"µ")+COUNTIF($E165:R165,1)),
HYPERLINK("#Roadmap!C"&amp; MATCH($E165,Roadmap!$D:$D,0)+COUNTIF($E165:R165,"u")+COUNTIF($E165:R165,"t"),
     INDEX(Roadmap!$D:$K,MATCH($E165,Roadmap!$D:$D,0)+COUNTIF($E165:R165,"u")+COUNTIF($E165:R165,"t")+COUNTIF($E165:R165,"¶")+COUNTIF($E165:R165,"²")+COUNTIF($E165:R165,"µ")+COUNTIF($E165:R165,1),ColTypeEcheance)),
  IF(LEN(R165)=1,
  IF(LEN(INDEX(Roadmap!$D:$K,MATCH($E165,Roadmap!$D:$D,0)-1+COUNTIF($E165:R165,"u")+COUNTIF($E165:R165,"t")+COUNTIF($E165:R165,"¶")+COUNTIF($E165:R165,"²")+COUNTIF($E165:R165,"µ")+COUNTIF($E165:R165,1),ColDescriptionCourte))&gt;1,
HYPERLINK("#Roadmap!C"&amp; MATCH($E165,Roadmap!$D:$D,0)+COUNTIF($E165:R165,"u")+COUNTIF($E165:R165,"t")+COUNTIF($E165:R165,"¶")+COUNTIF($E165:R165,"²")+COUNTIF($E165:R165,"µ")+COUNTIF($E165:R165,1)-1,INDEX(Roadmap!$D:$K,MATCH($E165,Roadmap!$D:$D,0)-1+COUNTIF($E165:R165,"u")+COUNTIF($E165:R165,"t")+COUNTIF($E165:R165,"¶")+COUNTIF($E165:R165,"²")+COUNTIF($E165:R165,"µ")+COUNTIF($E165:R165,1),ColDescriptionCourte)),""),
  "")),"")</f>
        <v/>
      </c>
      <c r="T165" s="40" t="str">
        <f ca="1">IFERROR(IF(AND(
  INDEX(Roadmap!$D:$K,MATCH($E165,Roadmap!$D:$D,0)+COUNTIF($E165:S165,"u")+COUNTIF($E165:S165,"t")+COUNTIF($E165:S165,"¶")+COUNTIF($E165:S165,"²")+COUNTIF($E165:S165,"µ")+COUNTIF($E165:S165,1),ColLivraison)=T$6,
  VLOOKUP($E165,INDIRECT("tri!"&amp; CHAR(64+ C0Col) &amp;":"&amp; CHAR(65+C0Col)),2,FALSE)&gt;COUNTIF($E165:S165,"u")+COUNTIF($E165:S165,"t")+COUNTIF($E165:S165,"¶")+COUNTIF($E165:S165,"²")+COUNTIF($E165:S165,"µ")+COUNTIF($E165:S165,1)),
HYPERLINK("#Roadmap!C"&amp; MATCH($E165,Roadmap!$D:$D,0)+COUNTIF($E165:S165,"u")+COUNTIF($E165:S165,"t"),
     INDEX(Roadmap!$D:$K,MATCH($E165,Roadmap!$D:$D,0)+COUNTIF($E165:S165,"u")+COUNTIF($E165:S165,"t")+COUNTIF($E165:S165,"¶")+COUNTIF($E165:S165,"²")+COUNTIF($E165:S165,"µ")+COUNTIF($E165:S165,1),ColTypeEcheance)),
  IF(LEN(S165)=1,
  IF(LEN(INDEX(Roadmap!$D:$K,MATCH($E165,Roadmap!$D:$D,0)-1+COUNTIF($E165:S165,"u")+COUNTIF($E165:S165,"t")+COUNTIF($E165:S165,"¶")+COUNTIF($E165:S165,"²")+COUNTIF($E165:S165,"µ")+COUNTIF($E165:S165,1),ColDescriptionCourte))&gt;1,
HYPERLINK("#Roadmap!C"&amp; MATCH($E165,Roadmap!$D:$D,0)+COUNTIF($E165:S165,"u")+COUNTIF($E165:S165,"t")+COUNTIF($E165:S165,"¶")+COUNTIF($E165:S165,"²")+COUNTIF($E165:S165,"µ")+COUNTIF($E165:S165,1)-1,INDEX(Roadmap!$D:$K,MATCH($E165,Roadmap!$D:$D,0)-1+COUNTIF($E165:S165,"u")+COUNTIF($E165:S165,"t")+COUNTIF($E165:S165,"¶")+COUNTIF($E165:S165,"²")+COUNTIF($E165:S165,"µ")+COUNTIF($E165:S165,1),ColDescriptionCourte)),""),
  "")),"")</f>
        <v/>
      </c>
      <c r="U165" s="40" t="str">
        <f ca="1">IFERROR(IF(AND(
  INDEX(Roadmap!$D:$K,MATCH($E165,Roadmap!$D:$D,0)+COUNTIF($E165:T165,"u")+COUNTIF($E165:T165,"t")+COUNTIF($E165:T165,"¶")+COUNTIF($E165:T165,"²")+COUNTIF($E165:T165,"µ")+COUNTIF($E165:T165,1),ColLivraison)=U$6,
  VLOOKUP($E165,INDIRECT("tri!"&amp; CHAR(64+ C0Col) &amp;":"&amp; CHAR(65+C0Col)),2,FALSE)&gt;COUNTIF($E165:T165,"u")+COUNTIF($E165:T165,"t")+COUNTIF($E165:T165,"¶")+COUNTIF($E165:T165,"²")+COUNTIF($E165:T165,"µ")+COUNTIF($E165:T165,1)),
HYPERLINK("#Roadmap!C"&amp; MATCH($E165,Roadmap!$D:$D,0)+COUNTIF($E165:T165,"u")+COUNTIF($E165:T165,"t"),
     INDEX(Roadmap!$D:$K,MATCH($E165,Roadmap!$D:$D,0)+COUNTIF($E165:T165,"u")+COUNTIF($E165:T165,"t")+COUNTIF($E165:T165,"¶")+COUNTIF($E165:T165,"²")+COUNTIF($E165:T165,"µ")+COUNTIF($E165:T165,1),ColTypeEcheance)),
  IF(LEN(T165)=1,
  IF(LEN(INDEX(Roadmap!$D:$K,MATCH($E165,Roadmap!$D:$D,0)-1+COUNTIF($E165:T165,"u")+COUNTIF($E165:T165,"t")+COUNTIF($E165:T165,"¶")+COUNTIF($E165:T165,"²")+COUNTIF($E165:T165,"µ")+COUNTIF($E165:T165,1),ColDescriptionCourte))&gt;1,
HYPERLINK("#Roadmap!C"&amp; MATCH($E165,Roadmap!$D:$D,0)+COUNTIF($E165:T165,"u")+COUNTIF($E165:T165,"t")+COUNTIF($E165:T165,"¶")+COUNTIF($E165:T165,"²")+COUNTIF($E165:T165,"µ")+COUNTIF($E165:T165,1)-1,INDEX(Roadmap!$D:$K,MATCH($E165,Roadmap!$D:$D,0)-1+COUNTIF($E165:T165,"u")+COUNTIF($E165:T165,"t")+COUNTIF($E165:T165,"¶")+COUNTIF($E165:T165,"²")+COUNTIF($E165:T165,"µ")+COUNTIF($E165:T165,1),ColDescriptionCourte)),""),
  "")),"")</f>
        <v/>
      </c>
      <c r="V165" s="40" t="str">
        <f ca="1">IFERROR(IF(AND(
  INDEX(Roadmap!$D:$K,MATCH($E165,Roadmap!$D:$D,0)+COUNTIF($E165:U165,"u")+COUNTIF($E165:U165,"t")+COUNTIF($E165:U165,"¶")+COUNTIF($E165:U165,"²")+COUNTIF($E165:U165,"µ")+COUNTIF($E165:U165,1),ColLivraison)=V$6,
  VLOOKUP($E165,INDIRECT("tri!"&amp; CHAR(64+ C0Col) &amp;":"&amp; CHAR(65+C0Col)),2,FALSE)&gt;COUNTIF($E165:U165,"u")+COUNTIF($E165:U165,"t")+COUNTIF($E165:U165,"¶")+COUNTIF($E165:U165,"²")+COUNTIF($E165:U165,"µ")+COUNTIF($E165:U165,1)),
HYPERLINK("#Roadmap!C"&amp; MATCH($E165,Roadmap!$D:$D,0)+COUNTIF($E165:U165,"u")+COUNTIF($E165:U165,"t"),
     INDEX(Roadmap!$D:$K,MATCH($E165,Roadmap!$D:$D,0)+COUNTIF($E165:U165,"u")+COUNTIF($E165:U165,"t")+COUNTIF($E165:U165,"¶")+COUNTIF($E165:U165,"²")+COUNTIF($E165:U165,"µ")+COUNTIF($E165:U165,1),ColTypeEcheance)),
  IF(LEN(U165)=1,
  IF(LEN(INDEX(Roadmap!$D:$K,MATCH($E165,Roadmap!$D:$D,0)-1+COUNTIF($E165:U165,"u")+COUNTIF($E165:U165,"t")+COUNTIF($E165:U165,"¶")+COUNTIF($E165:U165,"²")+COUNTIF($E165:U165,"µ")+COUNTIF($E165:U165,1),ColDescriptionCourte))&gt;1,
HYPERLINK("#Roadmap!C"&amp; MATCH($E165,Roadmap!$D:$D,0)+COUNTIF($E165:U165,"u")+COUNTIF($E165:U165,"t")+COUNTIF($E165:U165,"¶")+COUNTIF($E165:U165,"²")+COUNTIF($E165:U165,"µ")+COUNTIF($E165:U165,1)-1,INDEX(Roadmap!$D:$K,MATCH($E165,Roadmap!$D:$D,0)-1+COUNTIF($E165:U165,"u")+COUNTIF($E165:U165,"t")+COUNTIF($E165:U165,"¶")+COUNTIF($E165:U165,"²")+COUNTIF($E165:U165,"µ")+COUNTIF($E165:U165,1),ColDescriptionCourte)),""),
  "")),"")</f>
        <v/>
      </c>
      <c r="W165" s="40" t="str">
        <f ca="1">IFERROR(IF(AND(
  INDEX(Roadmap!$D:$K,MATCH($E165,Roadmap!$D:$D,0)+COUNTIF($E165:V165,"u")+COUNTIF($E165:V165,"t")+COUNTIF($E165:V165,"¶")+COUNTIF($E165:V165,"²")+COUNTIF($E165:V165,"µ")+COUNTIF($E165:V165,1),ColLivraison)=W$6,
  VLOOKUP($E165,INDIRECT("tri!"&amp; CHAR(64+ C0Col) &amp;":"&amp; CHAR(65+C0Col)),2,FALSE)&gt;COUNTIF($E165:V165,"u")+COUNTIF($E165:V165,"t")+COUNTIF($E165:V165,"¶")+COUNTIF($E165:V165,"²")+COUNTIF($E165:V165,"µ")+COUNTIF($E165:V165,1)),
HYPERLINK("#Roadmap!C"&amp; MATCH($E165,Roadmap!$D:$D,0)+COUNTIF($E165:V165,"u")+COUNTIF($E165:V165,"t"),
     INDEX(Roadmap!$D:$K,MATCH($E165,Roadmap!$D:$D,0)+COUNTIF($E165:V165,"u")+COUNTIF($E165:V165,"t")+COUNTIF($E165:V165,"¶")+COUNTIF($E165:V165,"²")+COUNTIF($E165:V165,"µ")+COUNTIF($E165:V165,1),ColTypeEcheance)),
  IF(LEN(V165)=1,
  IF(LEN(INDEX(Roadmap!$D:$K,MATCH($E165,Roadmap!$D:$D,0)-1+COUNTIF($E165:V165,"u")+COUNTIF($E165:V165,"t")+COUNTIF($E165:V165,"¶")+COUNTIF($E165:V165,"²")+COUNTIF($E165:V165,"µ")+COUNTIF($E165:V165,1),ColDescriptionCourte))&gt;1,
HYPERLINK("#Roadmap!C"&amp; MATCH($E165,Roadmap!$D:$D,0)+COUNTIF($E165:V165,"u")+COUNTIF($E165:V165,"t")+COUNTIF($E165:V165,"¶")+COUNTIF($E165:V165,"²")+COUNTIF($E165:V165,"µ")+COUNTIF($E165:V165,1)-1,INDEX(Roadmap!$D:$K,MATCH($E165,Roadmap!$D:$D,0)-1+COUNTIF($E165:V165,"u")+COUNTIF($E165:V165,"t")+COUNTIF($E165:V165,"¶")+COUNTIF($E165:V165,"²")+COUNTIF($E165:V165,"µ")+COUNTIF($E165:V165,1),ColDescriptionCourte)),""),
  "")),"")</f>
        <v/>
      </c>
      <c r="X165" s="40" t="str">
        <f ca="1">IFERROR(IF(AND(
  INDEX(Roadmap!$D:$K,MATCH($E165,Roadmap!$D:$D,0)+COUNTIF($E165:W165,"u")+COUNTIF($E165:W165,"t")+COUNTIF($E165:W165,"¶")+COUNTIF($E165:W165,"²")+COUNTIF($E165:W165,"µ")+COUNTIF($E165:W165,1),ColLivraison)=X$6,
  VLOOKUP($E165,INDIRECT("tri!"&amp; CHAR(64+ C0Col) &amp;":"&amp; CHAR(65+C0Col)),2,FALSE)&gt;COUNTIF($E165:W165,"u")+COUNTIF($E165:W165,"t")+COUNTIF($E165:W165,"¶")+COUNTIF($E165:W165,"²")+COUNTIF($E165:W165,"µ")+COUNTIF($E165:W165,1)),
HYPERLINK("#Roadmap!C"&amp; MATCH($E165,Roadmap!$D:$D,0)+COUNTIF($E165:W165,"u")+COUNTIF($E165:W165,"t"),
     INDEX(Roadmap!$D:$K,MATCH($E165,Roadmap!$D:$D,0)+COUNTIF($E165:W165,"u")+COUNTIF($E165:W165,"t")+COUNTIF($E165:W165,"¶")+COUNTIF($E165:W165,"²")+COUNTIF($E165:W165,"µ")+COUNTIF($E165:W165,1),ColTypeEcheance)),
  IF(LEN(W165)=1,
  IF(LEN(INDEX(Roadmap!$D:$K,MATCH($E165,Roadmap!$D:$D,0)-1+COUNTIF($E165:W165,"u")+COUNTIF($E165:W165,"t")+COUNTIF($E165:W165,"¶")+COUNTIF($E165:W165,"²")+COUNTIF($E165:W165,"µ")+COUNTIF($E165:W165,1),ColDescriptionCourte))&gt;1,
HYPERLINK("#Roadmap!C"&amp; MATCH($E165,Roadmap!$D:$D,0)+COUNTIF($E165:W165,"u")+COUNTIF($E165:W165,"t")+COUNTIF($E165:W165,"¶")+COUNTIF($E165:W165,"²")+COUNTIF($E165:W165,"µ")+COUNTIF($E165:W165,1)-1,INDEX(Roadmap!$D:$K,MATCH($E165,Roadmap!$D:$D,0)-1+COUNTIF($E165:W165,"u")+COUNTIF($E165:W165,"t")+COUNTIF($E165:W165,"¶")+COUNTIF($E165:W165,"²")+COUNTIF($E165:W165,"µ")+COUNTIF($E165:W165,1),ColDescriptionCourte)),""),
  "")),"")</f>
        <v/>
      </c>
      <c r="Y165" s="40" t="str">
        <f ca="1">IFERROR(IF(AND(
  INDEX(Roadmap!$D:$K,MATCH($E165,Roadmap!$D:$D,0)+COUNTIF($E165:X165,"u")+COUNTIF($E165:X165,"t")+COUNTIF($E165:X165,"¶")+COUNTIF($E165:X165,"²")+COUNTIF($E165:X165,"µ")+COUNTIF($E165:X165,1),ColLivraison)=Y$6,
  VLOOKUP($E165,INDIRECT("tri!"&amp; CHAR(64+ C0Col) &amp;":"&amp; CHAR(65+C0Col)),2,FALSE)&gt;COUNTIF($E165:X165,"u")+COUNTIF($E165:X165,"t")+COUNTIF($E165:X165,"¶")+COUNTIF($E165:X165,"²")+COUNTIF($E165:X165,"µ")+COUNTIF($E165:X165,1)),
HYPERLINK("#Roadmap!C"&amp; MATCH($E165,Roadmap!$D:$D,0)+COUNTIF($E165:X165,"u")+COUNTIF($E165:X165,"t"),
     INDEX(Roadmap!$D:$K,MATCH($E165,Roadmap!$D:$D,0)+COUNTIF($E165:X165,"u")+COUNTIF($E165:X165,"t")+COUNTIF($E165:X165,"¶")+COUNTIF($E165:X165,"²")+COUNTIF($E165:X165,"µ")+COUNTIF($E165:X165,1),ColTypeEcheance)),
  IF(LEN(X165)=1,
  IF(LEN(INDEX(Roadmap!$D:$K,MATCH($E165,Roadmap!$D:$D,0)-1+COUNTIF($E165:X165,"u")+COUNTIF($E165:X165,"t")+COUNTIF($E165:X165,"¶")+COUNTIF($E165:X165,"²")+COUNTIF($E165:X165,"µ")+COUNTIF($E165:X165,1),ColDescriptionCourte))&gt;1,
HYPERLINK("#Roadmap!C"&amp; MATCH($E165,Roadmap!$D:$D,0)+COUNTIF($E165:X165,"u")+COUNTIF($E165:X165,"t")+COUNTIF($E165:X165,"¶")+COUNTIF($E165:X165,"²")+COUNTIF($E165:X165,"µ")+COUNTIF($E165:X165,1)-1,INDEX(Roadmap!$D:$K,MATCH($E165,Roadmap!$D:$D,0)-1+COUNTIF($E165:X165,"u")+COUNTIF($E165:X165,"t")+COUNTIF($E165:X165,"¶")+COUNTIF($E165:X165,"²")+COUNTIF($E165:X165,"µ")+COUNTIF($E165:X165,1),ColDescriptionCourte)),""),
  "")),"")</f>
        <v/>
      </c>
      <c r="Z165" s="40" t="str">
        <f ca="1">IFERROR(IF(AND(
  INDEX(Roadmap!$D:$K,MATCH($E165,Roadmap!$D:$D,0)+COUNTIF($E165:Y165,"u")+COUNTIF($E165:Y165,"t")+COUNTIF($E165:Y165,"¶")+COUNTIF($E165:Y165,"²")+COUNTIF($E165:Y165,"µ")+COUNTIF($E165:Y165,1),ColLivraison)=Z$6,
  VLOOKUP($E165,INDIRECT("tri!"&amp; CHAR(64+ C0Col) &amp;":"&amp; CHAR(65+C0Col)),2,FALSE)&gt;COUNTIF($E165:Y165,"u")+COUNTIF($E165:Y165,"t")+COUNTIF($E165:Y165,"¶")+COUNTIF($E165:Y165,"²")+COUNTIF($E165:Y165,"µ")+COUNTIF($E165:Y165,1)),
HYPERLINK("#Roadmap!C"&amp; MATCH($E165,Roadmap!$D:$D,0)+COUNTIF($E165:Y165,"u")+COUNTIF($E165:Y165,"t"),
     INDEX(Roadmap!$D:$K,MATCH($E165,Roadmap!$D:$D,0)+COUNTIF($E165:Y165,"u")+COUNTIF($E165:Y165,"t")+COUNTIF($E165:Y165,"¶")+COUNTIF($E165:Y165,"²")+COUNTIF($E165:Y165,"µ")+COUNTIF($E165:Y165,1),ColTypeEcheance)),
  IF(LEN(Y165)=1,
  IF(LEN(INDEX(Roadmap!$D:$K,MATCH($E165,Roadmap!$D:$D,0)-1+COUNTIF($E165:Y165,"u")+COUNTIF($E165:Y165,"t")+COUNTIF($E165:Y165,"¶")+COUNTIF($E165:Y165,"²")+COUNTIF($E165:Y165,"µ")+COUNTIF($E165:Y165,1),ColDescriptionCourte))&gt;1,
HYPERLINK("#Roadmap!C"&amp; MATCH($E165,Roadmap!$D:$D,0)+COUNTIF($E165:Y165,"u")+COUNTIF($E165:Y165,"t")+COUNTIF($E165:Y165,"¶")+COUNTIF($E165:Y165,"²")+COUNTIF($E165:Y165,"µ")+COUNTIF($E165:Y165,1)-1,INDEX(Roadmap!$D:$K,MATCH($E165,Roadmap!$D:$D,0)-1+COUNTIF($E165:Y165,"u")+COUNTIF($E165:Y165,"t")+COUNTIF($E165:Y165,"¶")+COUNTIF($E165:Y165,"²")+COUNTIF($E165:Y165,"µ")+COUNTIF($E165:Y165,1),ColDescriptionCourte)),""),
  "")),"")</f>
        <v/>
      </c>
      <c r="AA165" s="40" t="str">
        <f ca="1">IFERROR(IF(AND(
  INDEX(Roadmap!$D:$K,MATCH($E165,Roadmap!$D:$D,0)+COUNTIF($E165:Z165,"u")+COUNTIF($E165:Z165,"t")+COUNTIF($E165:Z165,"¶")+COUNTIF($E165:Z165,"²")+COUNTIF($E165:Z165,"µ")+COUNTIF($E165:Z165,1),ColLivraison)=AA$6,
  VLOOKUP($E165,INDIRECT("tri!"&amp; CHAR(64+ C0Col) &amp;":"&amp; CHAR(65+C0Col)),2,FALSE)&gt;COUNTIF($E165:Z165,"u")+COUNTIF($E165:Z165,"t")+COUNTIF($E165:Z165,"¶")+COUNTIF($E165:Z165,"²")+COUNTIF($E165:Z165,"µ")+COUNTIF($E165:Z165,1)),
HYPERLINK("#Roadmap!C"&amp; MATCH($E165,Roadmap!$D:$D,0)+COUNTIF($E165:Z165,"u")+COUNTIF($E165:Z165,"t"),
     INDEX(Roadmap!$D:$K,MATCH($E165,Roadmap!$D:$D,0)+COUNTIF($E165:Z165,"u")+COUNTIF($E165:Z165,"t")+COUNTIF($E165:Z165,"¶")+COUNTIF($E165:Z165,"²")+COUNTIF($E165:Z165,"µ")+COUNTIF($E165:Z165,1),ColTypeEcheance)),
  IF(LEN(Z165)=1,
  IF(LEN(INDEX(Roadmap!$D:$K,MATCH($E165,Roadmap!$D:$D,0)-1+COUNTIF($E165:Z165,"u")+COUNTIF($E165:Z165,"t")+COUNTIF($E165:Z165,"¶")+COUNTIF($E165:Z165,"²")+COUNTIF($E165:Z165,"µ")+COUNTIF($E165:Z165,1),ColDescriptionCourte))&gt;1,
HYPERLINK("#Roadmap!C"&amp; MATCH($E165,Roadmap!$D:$D,0)+COUNTIF($E165:Z165,"u")+COUNTIF($E165:Z165,"t")+COUNTIF($E165:Z165,"¶")+COUNTIF($E165:Z165,"²")+COUNTIF($E165:Z165,"µ")+COUNTIF($E165:Z165,1)-1,INDEX(Roadmap!$D:$K,MATCH($E165,Roadmap!$D:$D,0)-1+COUNTIF($E165:Z165,"u")+COUNTIF($E165:Z165,"t")+COUNTIF($E165:Z165,"¶")+COUNTIF($E165:Z165,"²")+COUNTIF($E165:Z165,"µ")+COUNTIF($E165:Z165,1),ColDescriptionCourte)),""),
  "")),"")</f>
        <v/>
      </c>
      <c r="AB165" s="40" t="str">
        <f ca="1">IFERROR(IF(AND(
  INDEX(Roadmap!$D:$K,MATCH($E165,Roadmap!$D:$D,0)+COUNTIF($E165:AA165,"u")+COUNTIF($E165:AA165,"t")+COUNTIF($E165:AA165,"¶")+COUNTIF($E165:AA165,"²")+COUNTIF($E165:AA165,"µ")+COUNTIF($E165:AA165,1),ColLivraison)=AB$6,
  VLOOKUP($E165,INDIRECT("tri!"&amp; CHAR(64+ C0Col) &amp;":"&amp; CHAR(65+C0Col)),2,FALSE)&gt;COUNTIF($E165:AA165,"u")+COUNTIF($E165:AA165,"t")+COUNTIF($E165:AA165,"¶")+COUNTIF($E165:AA165,"²")+COUNTIF($E165:AA165,"µ")+COUNTIF($E165:AA165,1)),
HYPERLINK("#Roadmap!C"&amp; MATCH($E165,Roadmap!$D:$D,0)+COUNTIF($E165:AA165,"u")+COUNTIF($E165:AA165,"t"),
     INDEX(Roadmap!$D:$K,MATCH($E165,Roadmap!$D:$D,0)+COUNTIF($E165:AA165,"u")+COUNTIF($E165:AA165,"t")+COUNTIF($E165:AA165,"¶")+COUNTIF($E165:AA165,"²")+COUNTIF($E165:AA165,"µ")+COUNTIF($E165:AA165,1),ColTypeEcheance)),
  IF(LEN(AA165)=1,
  IF(LEN(INDEX(Roadmap!$D:$K,MATCH($E165,Roadmap!$D:$D,0)-1+COUNTIF($E165:AA165,"u")+COUNTIF($E165:AA165,"t")+COUNTIF($E165:AA165,"¶")+COUNTIF($E165:AA165,"²")+COUNTIF($E165:AA165,"µ")+COUNTIF($E165:AA165,1),ColDescriptionCourte))&gt;1,
HYPERLINK("#Roadmap!C"&amp; MATCH($E165,Roadmap!$D:$D,0)+COUNTIF($E165:AA165,"u")+COUNTIF($E165:AA165,"t")+COUNTIF($E165:AA165,"¶")+COUNTIF($E165:AA165,"²")+COUNTIF($E165:AA165,"µ")+COUNTIF($E165:AA165,1)-1,INDEX(Roadmap!$D:$K,MATCH($E165,Roadmap!$D:$D,0)-1+COUNTIF($E165:AA165,"u")+COUNTIF($E165:AA165,"t")+COUNTIF($E165:AA165,"¶")+COUNTIF($E165:AA165,"²")+COUNTIF($E165:AA165,"µ")+COUNTIF($E165:AA165,1),ColDescriptionCourte)),""),
  "")),"")</f>
        <v/>
      </c>
      <c r="AC165" s="40" t="str">
        <f ca="1">IFERROR(IF(AND(
  INDEX(Roadmap!$D:$K,MATCH($E165,Roadmap!$D:$D,0)+COUNTIF($E165:AB165,"u")+COUNTIF($E165:AB165,"t")+COUNTIF($E165:AB165,"¶")+COUNTIF($E165:AB165,"²")+COUNTIF($E165:AB165,"µ")+COUNTIF($E165:AB165,1),ColLivraison)=AC$6,
  VLOOKUP($E165,INDIRECT("tri!"&amp; CHAR(64+ C0Col) &amp;":"&amp; CHAR(65+C0Col)),2,FALSE)&gt;COUNTIF($E165:AB165,"u")+COUNTIF($E165:AB165,"t")+COUNTIF($E165:AB165,"¶")+COUNTIF($E165:AB165,"²")+COUNTIF($E165:AB165,"µ")+COUNTIF($E165:AB165,1)),
HYPERLINK("#Roadmap!C"&amp; MATCH($E165,Roadmap!$D:$D,0)+COUNTIF($E165:AB165,"u")+COUNTIF($E165:AB165,"t"),
     INDEX(Roadmap!$D:$K,MATCH($E165,Roadmap!$D:$D,0)+COUNTIF($E165:AB165,"u")+COUNTIF($E165:AB165,"t")+COUNTIF($E165:AB165,"¶")+COUNTIF($E165:AB165,"²")+COUNTIF($E165:AB165,"µ")+COUNTIF($E165:AB165,1),ColTypeEcheance)),
  IF(LEN(AB165)=1,
  IF(LEN(INDEX(Roadmap!$D:$K,MATCH($E165,Roadmap!$D:$D,0)-1+COUNTIF($E165:AB165,"u")+COUNTIF($E165:AB165,"t")+COUNTIF($E165:AB165,"¶")+COUNTIF($E165:AB165,"²")+COUNTIF($E165:AB165,"µ")+COUNTIF($E165:AB165,1),ColDescriptionCourte))&gt;1,
HYPERLINK("#Roadmap!C"&amp; MATCH($E165,Roadmap!$D:$D,0)+COUNTIF($E165:AB165,"u")+COUNTIF($E165:AB165,"t")+COUNTIF($E165:AB165,"¶")+COUNTIF($E165:AB165,"²")+COUNTIF($E165:AB165,"µ")+COUNTIF($E165:AB165,1)-1,INDEX(Roadmap!$D:$K,MATCH($E165,Roadmap!$D:$D,0)-1+COUNTIF($E165:AB165,"u")+COUNTIF($E165:AB165,"t")+COUNTIF($E165:AB165,"¶")+COUNTIF($E165:AB165,"²")+COUNTIF($E165:AB165,"µ")+COUNTIF($E165:AB165,1),ColDescriptionCourte)),""),
  "")),"")</f>
        <v/>
      </c>
      <c r="AD165" s="40" t="str">
        <f ca="1">IFERROR(IF(AND(
  INDEX(Roadmap!$D:$K,MATCH($E165,Roadmap!$D:$D,0)+COUNTIF($E165:AC165,"u")+COUNTIF($E165:AC165,"t")+COUNTIF($E165:AC165,"¶")+COUNTIF($E165:AC165,"²")+COUNTIF($E165:AC165,"µ")+COUNTIF($E165:AC165,1),ColLivraison)=AD$6,
  VLOOKUP($E165,INDIRECT("tri!"&amp; CHAR(64+ C0Col) &amp;":"&amp; CHAR(65+C0Col)),2,FALSE)&gt;COUNTIF($E165:AC165,"u")+COUNTIF($E165:AC165,"t")+COUNTIF($E165:AC165,"¶")+COUNTIF($E165:AC165,"²")+COUNTIF($E165:AC165,"µ")+COUNTIF($E165:AC165,1)),
HYPERLINK("#Roadmap!C"&amp; MATCH($E165,Roadmap!$D:$D,0)+COUNTIF($E165:AC165,"u")+COUNTIF($E165:AC165,"t"),
     INDEX(Roadmap!$D:$K,MATCH($E165,Roadmap!$D:$D,0)+COUNTIF($E165:AC165,"u")+COUNTIF($E165:AC165,"t")+COUNTIF($E165:AC165,"¶")+COUNTIF($E165:AC165,"²")+COUNTIF($E165:AC165,"µ")+COUNTIF($E165:AC165,1),ColTypeEcheance)),
  IF(LEN(AC165)=1,
  IF(LEN(INDEX(Roadmap!$D:$K,MATCH($E165,Roadmap!$D:$D,0)-1+COUNTIF($E165:AC165,"u")+COUNTIF($E165:AC165,"t")+COUNTIF($E165:AC165,"¶")+COUNTIF($E165:AC165,"²")+COUNTIF($E165:AC165,"µ")+COUNTIF($E165:AC165,1),ColDescriptionCourte))&gt;1,
HYPERLINK("#Roadmap!C"&amp; MATCH($E165,Roadmap!$D:$D,0)+COUNTIF($E165:AC165,"u")+COUNTIF($E165:AC165,"t")+COUNTIF($E165:AC165,"¶")+COUNTIF($E165:AC165,"²")+COUNTIF($E165:AC165,"µ")+COUNTIF($E165:AC165,1)-1,INDEX(Roadmap!$D:$K,MATCH($E165,Roadmap!$D:$D,0)-1+COUNTIF($E165:AC165,"u")+COUNTIF($E165:AC165,"t")+COUNTIF($E165:AC165,"¶")+COUNTIF($E165:AC165,"²")+COUNTIF($E165:AC165,"µ")+COUNTIF($E165:AC165,1),ColDescriptionCourte)),""),
  "")),"")</f>
        <v/>
      </c>
      <c r="AE165" s="40" t="str">
        <f ca="1">IFERROR(IF(AND(
  INDEX(Roadmap!$D:$K,MATCH($E165,Roadmap!$D:$D,0)+COUNTIF($E165:AD165,"u")+COUNTIF($E165:AD165,"t")+COUNTIF($E165:AD165,"¶")+COUNTIF($E165:AD165,"²")+COUNTIF($E165:AD165,"µ")+COUNTIF($E165:AD165,1),ColLivraison)=AE$6,
  VLOOKUP($E165,INDIRECT("tri!"&amp; CHAR(64+ C0Col) &amp;":"&amp; CHAR(65+C0Col)),2,FALSE)&gt;COUNTIF($E165:AD165,"u")+COUNTIF($E165:AD165,"t")+COUNTIF($E165:AD165,"¶")+COUNTIF($E165:AD165,"²")+COUNTIF($E165:AD165,"µ")+COUNTIF($E165:AD165,1)),
HYPERLINK("#Roadmap!C"&amp; MATCH($E165,Roadmap!$D:$D,0)+COUNTIF($E165:AD165,"u")+COUNTIF($E165:AD165,"t"),
     INDEX(Roadmap!$D:$K,MATCH($E165,Roadmap!$D:$D,0)+COUNTIF($E165:AD165,"u")+COUNTIF($E165:AD165,"t")+COUNTIF($E165:AD165,"¶")+COUNTIF($E165:AD165,"²")+COUNTIF($E165:AD165,"µ")+COUNTIF($E165:AD165,1),ColTypeEcheance)),
  IF(LEN(AD165)=1,
  IF(LEN(INDEX(Roadmap!$D:$K,MATCH($E165,Roadmap!$D:$D,0)-1+COUNTIF($E165:AD165,"u")+COUNTIF($E165:AD165,"t")+COUNTIF($E165:AD165,"¶")+COUNTIF($E165:AD165,"²")+COUNTIF($E165:AD165,"µ")+COUNTIF($E165:AD165,1),ColDescriptionCourte))&gt;1,
HYPERLINK("#Roadmap!C"&amp; MATCH($E165,Roadmap!$D:$D,0)+COUNTIF($E165:AD165,"u")+COUNTIF($E165:AD165,"t")+COUNTIF($E165:AD165,"¶")+COUNTIF($E165:AD165,"²")+COUNTIF($E165:AD165,"µ")+COUNTIF($E165:AD165,1)-1,INDEX(Roadmap!$D:$K,MATCH($E165,Roadmap!$D:$D,0)-1+COUNTIF($E165:AD165,"u")+COUNTIF($E165:AD165,"t")+COUNTIF($E165:AD165,"¶")+COUNTIF($E165:AD165,"²")+COUNTIF($E165:AD165,"µ")+COUNTIF($E165:AD165,1),ColDescriptionCourte)),""),
  "")),"")</f>
        <v/>
      </c>
      <c r="AF165" s="40" t="str">
        <f ca="1">IFERROR(IF(AND(
  INDEX(Roadmap!$D:$K,MATCH($E165,Roadmap!$D:$D,0)+COUNTIF($E165:AE165,"u")+COUNTIF($E165:AE165,"t")+COUNTIF($E165:AE165,"¶")+COUNTIF($E165:AE165,"²")+COUNTIF($E165:AE165,"µ")+COUNTIF($E165:AE165,1),ColLivraison)=AF$6,
  VLOOKUP($E165,INDIRECT("tri!"&amp; CHAR(64+ C0Col) &amp;":"&amp; CHAR(65+C0Col)),2,FALSE)&gt;COUNTIF($E165:AE165,"u")+COUNTIF($E165:AE165,"t")+COUNTIF($E165:AE165,"¶")+COUNTIF($E165:AE165,"²")+COUNTIF($E165:AE165,"µ")+COUNTIF($E165:AE165,1)),
HYPERLINK("#Roadmap!C"&amp; MATCH($E165,Roadmap!$D:$D,0)+COUNTIF($E165:AE165,"u")+COUNTIF($E165:AE165,"t"),
     INDEX(Roadmap!$D:$K,MATCH($E165,Roadmap!$D:$D,0)+COUNTIF($E165:AE165,"u")+COUNTIF($E165:AE165,"t")+COUNTIF($E165:AE165,"¶")+COUNTIF($E165:AE165,"²")+COUNTIF($E165:AE165,"µ")+COUNTIF($E165:AE165,1),ColTypeEcheance)),
  IF(LEN(AE165)=1,
  IF(LEN(INDEX(Roadmap!$D:$K,MATCH($E165,Roadmap!$D:$D,0)-1+COUNTIF($E165:AE165,"u")+COUNTIF($E165:AE165,"t")+COUNTIF($E165:AE165,"¶")+COUNTIF($E165:AE165,"²")+COUNTIF($E165:AE165,"µ")+COUNTIF($E165:AE165,1),ColDescriptionCourte))&gt;1,
HYPERLINK("#Roadmap!C"&amp; MATCH($E165,Roadmap!$D:$D,0)+COUNTIF($E165:AE165,"u")+COUNTIF($E165:AE165,"t")+COUNTIF($E165:AE165,"¶")+COUNTIF($E165:AE165,"²")+COUNTIF($E165:AE165,"µ")+COUNTIF($E165:AE165,1)-1,INDEX(Roadmap!$D:$K,MATCH($E165,Roadmap!$D:$D,0)-1+COUNTIF($E165:AE165,"u")+COUNTIF($E165:AE165,"t")+COUNTIF($E165:AE165,"¶")+COUNTIF($E165:AE165,"²")+COUNTIF($E165:AE165,"µ")+COUNTIF($E165:AE165,1),ColDescriptionCourte)),""),
  "")),"")</f>
        <v/>
      </c>
      <c r="AG165" s="40" t="str">
        <f ca="1">IFERROR(IF(AND(
  INDEX(Roadmap!$D:$K,MATCH($E165,Roadmap!$D:$D,0)+COUNTIF($E165:AF165,"u")+COUNTIF($E165:AF165,"t")+COUNTIF($E165:AF165,"¶")+COUNTIF($E165:AF165,"²")+COUNTIF($E165:AF165,"µ")+COUNTIF($E165:AF165,1),ColLivraison)=AG$6,
  VLOOKUP($E165,INDIRECT("tri!"&amp; CHAR(64+ C0Col) &amp;":"&amp; CHAR(65+C0Col)),2,FALSE)&gt;COUNTIF($E165:AF165,"u")+COUNTIF($E165:AF165,"t")+COUNTIF($E165:AF165,"¶")+COUNTIF($E165:AF165,"²")+COUNTIF($E165:AF165,"µ")+COUNTIF($E165:AF165,1)),
HYPERLINK("#Roadmap!C"&amp; MATCH($E165,Roadmap!$D:$D,0)+COUNTIF($E165:AF165,"u")+COUNTIF($E165:AF165,"t"),
     INDEX(Roadmap!$D:$K,MATCH($E165,Roadmap!$D:$D,0)+COUNTIF($E165:AF165,"u")+COUNTIF($E165:AF165,"t")+COUNTIF($E165:AF165,"¶")+COUNTIF($E165:AF165,"²")+COUNTIF($E165:AF165,"µ")+COUNTIF($E165:AF165,1),ColTypeEcheance)),
  IF(LEN(AF165)=1,
  IF(LEN(INDEX(Roadmap!$D:$K,MATCH($E165,Roadmap!$D:$D,0)-1+COUNTIF($E165:AF165,"u")+COUNTIF($E165:AF165,"t")+COUNTIF($E165:AF165,"¶")+COUNTIF($E165:AF165,"²")+COUNTIF($E165:AF165,"µ")+COUNTIF($E165:AF165,1),ColDescriptionCourte))&gt;1,
HYPERLINK("#Roadmap!C"&amp; MATCH($E165,Roadmap!$D:$D,0)+COUNTIF($E165:AF165,"u")+COUNTIF($E165:AF165,"t")+COUNTIF($E165:AF165,"¶")+COUNTIF($E165:AF165,"²")+COUNTIF($E165:AF165,"µ")+COUNTIF($E165:AF165,1)-1,INDEX(Roadmap!$D:$K,MATCH($E165,Roadmap!$D:$D,0)-1+COUNTIF($E165:AF165,"u")+COUNTIF($E165:AF165,"t")+COUNTIF($E165:AF165,"¶")+COUNTIF($E165:AF165,"²")+COUNTIF($E165:AF165,"µ")+COUNTIF($E165:AF165,1),ColDescriptionCourte)),""),
  "")),"")</f>
        <v/>
      </c>
    </row>
    <row r="166" spans="3:33" ht="14.25" customHeight="1">
      <c r="C166" s="1" t="str">
        <f t="shared" ca="1" si="52"/>
        <v/>
      </c>
      <c r="D166" s="1" t="str">
        <f t="shared" ca="1" si="53"/>
        <v/>
      </c>
      <c r="E166" s="35" t="str">
        <f t="shared" ca="1" si="51"/>
        <v/>
      </c>
      <c r="F166" s="39" t="str">
        <f ca="1">IFERROR(IF(AND(
  INDEX(Roadmap!$D:$K,MATCH($E166,Roadmap!$D:$D,0)+COUNTIF($E166:E166,"u")+COUNTIF($E166:E166,"t")+COUNTIF($E166:E166,"¶")+COUNTIF($E166:E166,"²")+COUNTIF($E166:E166,"µ")+COUNTIF($E166:E166,1),ColLivraison)=F$6,
  VLOOKUP($E166,INDIRECT("tri!"&amp; CHAR(64+ C0Col) &amp;":"&amp; CHAR(65+C0Col)),2,FALSE)&gt;COUNTIF($E166:E166,"u")+COUNTIF($E166:E166,"t")+COUNTIF($E166:E166,"¶")+COUNTIF($E166:E166,"²")+COUNTIF($E166:E166,"µ")+COUNTIF($E166:E166,1)),
HYPERLINK("#Roadmap!C"&amp; MATCH($E166,Roadmap!$D:$D,0)+COUNTIF($E166:E166,"u")+COUNTIF($E166:E166,"t"),
     INDEX(Roadmap!$D:$K,MATCH($E166,Roadmap!$D:$D,0)+COUNTIF($E166:E166,"u")+COUNTIF($E166:E166,"t")+COUNTIF($E166:E166,"¶")+COUNTIF($E166:E166,"²")+COUNTIF($E166:E166,"µ")+COUNTIF($E166:E166,1),ColTypeEcheance)),
  IF(LEN(E166)=1,
  IF(LEN(INDEX(Roadmap!$D:$K,MATCH($E166,Roadmap!$D:$D,0)-1+COUNTIF($E166:E166,"u")+COUNTIF($E166:E166,"t")+COUNTIF($E166:E166,"¶")+COUNTIF($E166:E166,"²")+COUNTIF($E166:E166,"µ")+COUNTIF($E166:E166,1),ColDescriptionCourte))&gt;1,
HYPERLINK("#Roadmap!C"&amp; MATCH($E166,Roadmap!$D:$D,0)+COUNTIF($E166:E166,"u")+COUNTIF($E166:E166,"t")+COUNTIF($E166:E166,"¶")+COUNTIF($E166:E166,"²")+COUNTIF($E166:E166,"µ")+COUNTIF($E166:E166,1)-1,INDEX(Roadmap!$D:$K,MATCH($E166,Roadmap!$D:$D,0)-1+COUNTIF($E166:E166,"u")+COUNTIF($E166:E166,"t")+COUNTIF($E166:E166,"¶")+COUNTIF($E166:E166,"²")+COUNTIF($E166:E166,"µ")+COUNTIF($E166:E166,1),ColDescriptionCourte)),""),
  "")),"")</f>
        <v/>
      </c>
      <c r="G166" s="40" t="str">
        <f ca="1">IFERROR(IF(AND(
  INDEX(Roadmap!$D:$K,MATCH($E166,Roadmap!$D:$D,0)+COUNTIF($E166:F166,"u")+COUNTIF($E166:F166,"t")+COUNTIF($E166:F166,"¶")+COUNTIF($E166:F166,"²")+COUNTIF($E166:F166,"µ")+COUNTIF($E166:F166,1),ColLivraison)=G$6,
  VLOOKUP($E166,INDIRECT("tri!"&amp; CHAR(64+ C0Col) &amp;":"&amp; CHAR(65+C0Col)),2,FALSE)&gt;COUNTIF($E166:F166,"u")+COUNTIF($E166:F166,"t")+COUNTIF($E166:F166,"¶")+COUNTIF($E166:F166,"²")+COUNTIF($E166:F166,"µ")+COUNTIF($E166:F166,1)),
HYPERLINK("#Roadmap!C"&amp; MATCH($E166,Roadmap!$D:$D,0)+COUNTIF($E166:F166,"u")+COUNTIF($E166:F166,"t"),
     INDEX(Roadmap!$D:$K,MATCH($E166,Roadmap!$D:$D,0)+COUNTIF($E166:F166,"u")+COUNTIF($E166:F166,"t")+COUNTIF($E166:F166,"¶")+COUNTIF($E166:F166,"²")+COUNTIF($E166:F166,"µ")+COUNTIF($E166:F166,1),ColTypeEcheance)),
  IF(LEN(F166)=1,
  IF(LEN(INDEX(Roadmap!$D:$K,MATCH($E166,Roadmap!$D:$D,0)-1+COUNTIF($E166:F166,"u")+COUNTIF($E166:F166,"t")+COUNTIF($E166:F166,"¶")+COUNTIF($E166:F166,"²")+COUNTIF($E166:F166,"µ")+COUNTIF($E166:F166,1),ColDescriptionCourte))&gt;1,
HYPERLINK("#Roadmap!C"&amp; MATCH($E166,Roadmap!$D:$D,0)+COUNTIF($E166:F166,"u")+COUNTIF($E166:F166,"t")+COUNTIF($E166:F166,"¶")+COUNTIF($E166:F166,"²")+COUNTIF($E166:F166,"µ")+COUNTIF($E166:F166,1)-1,INDEX(Roadmap!$D:$K,MATCH($E166,Roadmap!$D:$D,0)-1+COUNTIF($E166:F166,"u")+COUNTIF($E166:F166,"t")+COUNTIF($E166:F166,"¶")+COUNTIF($E166:F166,"²")+COUNTIF($E166:F166,"µ")+COUNTIF($E166:F166,1),ColDescriptionCourte)),""),
  "")),"")</f>
        <v/>
      </c>
      <c r="H166" s="40" t="str">
        <f ca="1">IFERROR(IF(AND(
  INDEX(Roadmap!$D:$K,MATCH($E166,Roadmap!$D:$D,0)+COUNTIF($E166:G166,"u")+COUNTIF($E166:G166,"t")+COUNTIF($E166:G166,"¶")+COUNTIF($E166:G166,"²")+COUNTIF($E166:G166,"µ")+COUNTIF($E166:G166,1),ColLivraison)=H$6,
  VLOOKUP($E166,INDIRECT("tri!"&amp; CHAR(64+ C0Col) &amp;":"&amp; CHAR(65+C0Col)),2,FALSE)&gt;COUNTIF($E166:G166,"u")+COUNTIF($E166:G166,"t")+COUNTIF($E166:G166,"¶")+COUNTIF($E166:G166,"²")+COUNTIF($E166:G166,"µ")+COUNTIF($E166:G166,1)),
HYPERLINK("#Roadmap!C"&amp; MATCH($E166,Roadmap!$D:$D,0)+COUNTIF($E166:G166,"u")+COUNTIF($E166:G166,"t"),
     INDEX(Roadmap!$D:$K,MATCH($E166,Roadmap!$D:$D,0)+COUNTIF($E166:G166,"u")+COUNTIF($E166:G166,"t")+COUNTIF($E166:G166,"¶")+COUNTIF($E166:G166,"²")+COUNTIF($E166:G166,"µ")+COUNTIF($E166:G166,1),ColTypeEcheance)),
  IF(LEN(G166)=1,
  IF(LEN(INDEX(Roadmap!$D:$K,MATCH($E166,Roadmap!$D:$D,0)-1+COUNTIF($E166:G166,"u")+COUNTIF($E166:G166,"t")+COUNTIF($E166:G166,"¶")+COUNTIF($E166:G166,"²")+COUNTIF($E166:G166,"µ")+COUNTIF($E166:G166,1),ColDescriptionCourte))&gt;1,
HYPERLINK("#Roadmap!C"&amp; MATCH($E166,Roadmap!$D:$D,0)+COUNTIF($E166:G166,"u")+COUNTIF($E166:G166,"t")+COUNTIF($E166:G166,"¶")+COUNTIF($E166:G166,"²")+COUNTIF($E166:G166,"µ")+COUNTIF($E166:G166,1)-1,INDEX(Roadmap!$D:$K,MATCH($E166,Roadmap!$D:$D,0)-1+COUNTIF($E166:G166,"u")+COUNTIF($E166:G166,"t")+COUNTIF($E166:G166,"¶")+COUNTIF($E166:G166,"²")+COUNTIF($E166:G166,"µ")+COUNTIF($E166:G166,1),ColDescriptionCourte)),""),
  "")),"")</f>
        <v/>
      </c>
      <c r="I166" s="40" t="str">
        <f ca="1">IFERROR(IF(AND(
  INDEX(Roadmap!$D:$K,MATCH($E166,Roadmap!$D:$D,0)+COUNTIF($E166:H166,"u")+COUNTIF($E166:H166,"t")+COUNTIF($E166:H166,"¶")+COUNTIF($E166:H166,"²")+COUNTIF($E166:H166,"µ")+COUNTIF($E166:H166,1),ColLivraison)=I$6,
  VLOOKUP($E166,INDIRECT("tri!"&amp; CHAR(64+ C0Col) &amp;":"&amp; CHAR(65+C0Col)),2,FALSE)&gt;COUNTIF($E166:H166,"u")+COUNTIF($E166:H166,"t")+COUNTIF($E166:H166,"¶")+COUNTIF($E166:H166,"²")+COUNTIF($E166:H166,"µ")+COUNTIF($E166:H166,1)),
HYPERLINK("#Roadmap!C"&amp; MATCH($E166,Roadmap!$D:$D,0)+COUNTIF($E166:H166,"u")+COUNTIF($E166:H166,"t"),
     INDEX(Roadmap!$D:$K,MATCH($E166,Roadmap!$D:$D,0)+COUNTIF($E166:H166,"u")+COUNTIF($E166:H166,"t")+COUNTIF($E166:H166,"¶")+COUNTIF($E166:H166,"²")+COUNTIF($E166:H166,"µ")+COUNTIF($E166:H166,1),ColTypeEcheance)),
  IF(LEN(H166)=1,
  IF(LEN(INDEX(Roadmap!$D:$K,MATCH($E166,Roadmap!$D:$D,0)-1+COUNTIF($E166:H166,"u")+COUNTIF($E166:H166,"t")+COUNTIF($E166:H166,"¶")+COUNTIF($E166:H166,"²")+COUNTIF($E166:H166,"µ")+COUNTIF($E166:H166,1),ColDescriptionCourte))&gt;1,
HYPERLINK("#Roadmap!C"&amp; MATCH($E166,Roadmap!$D:$D,0)+COUNTIF($E166:H166,"u")+COUNTIF($E166:H166,"t")+COUNTIF($E166:H166,"¶")+COUNTIF($E166:H166,"²")+COUNTIF($E166:H166,"µ")+COUNTIF($E166:H166,1)-1,INDEX(Roadmap!$D:$K,MATCH($E166,Roadmap!$D:$D,0)-1+COUNTIF($E166:H166,"u")+COUNTIF($E166:H166,"t")+COUNTIF($E166:H166,"¶")+COUNTIF($E166:H166,"²")+COUNTIF($E166:H166,"µ")+COUNTIF($E166:H166,1),ColDescriptionCourte)),""),
  "")),"")</f>
        <v/>
      </c>
      <c r="J166" s="40" t="str">
        <f ca="1">IFERROR(IF(AND(
  INDEX(Roadmap!$D:$K,MATCH($E166,Roadmap!$D:$D,0)+COUNTIF($E166:I166,"u")+COUNTIF($E166:I166,"t")+COUNTIF($E166:I166,"¶")+COUNTIF($E166:I166,"²")+COUNTIF($E166:I166,"µ")+COUNTIF($E166:I166,1),ColLivraison)=J$6,
  VLOOKUP($E166,INDIRECT("tri!"&amp; CHAR(64+ C0Col) &amp;":"&amp; CHAR(65+C0Col)),2,FALSE)&gt;COUNTIF($E166:I166,"u")+COUNTIF($E166:I166,"t")+COUNTIF($E166:I166,"¶")+COUNTIF($E166:I166,"²")+COUNTIF($E166:I166,"µ")+COUNTIF($E166:I166,1)),
HYPERLINK("#Roadmap!C"&amp; MATCH($E166,Roadmap!$D:$D,0)+COUNTIF($E166:I166,"u")+COUNTIF($E166:I166,"t"),
     INDEX(Roadmap!$D:$K,MATCH($E166,Roadmap!$D:$D,0)+COUNTIF($E166:I166,"u")+COUNTIF($E166:I166,"t")+COUNTIF($E166:I166,"¶")+COUNTIF($E166:I166,"²")+COUNTIF($E166:I166,"µ")+COUNTIF($E166:I166,1),ColTypeEcheance)),
  IF(LEN(I166)=1,
  IF(LEN(INDEX(Roadmap!$D:$K,MATCH($E166,Roadmap!$D:$D,0)-1+COUNTIF($E166:I166,"u")+COUNTIF($E166:I166,"t")+COUNTIF($E166:I166,"¶")+COUNTIF($E166:I166,"²")+COUNTIF($E166:I166,"µ")+COUNTIF($E166:I166,1),ColDescriptionCourte))&gt;1,
HYPERLINK("#Roadmap!C"&amp; MATCH($E166,Roadmap!$D:$D,0)+COUNTIF($E166:I166,"u")+COUNTIF($E166:I166,"t")+COUNTIF($E166:I166,"¶")+COUNTIF($E166:I166,"²")+COUNTIF($E166:I166,"µ")+COUNTIF($E166:I166,1)-1,INDEX(Roadmap!$D:$K,MATCH($E166,Roadmap!$D:$D,0)-1+COUNTIF($E166:I166,"u")+COUNTIF($E166:I166,"t")+COUNTIF($E166:I166,"¶")+COUNTIF($E166:I166,"²")+COUNTIF($E166:I166,"µ")+COUNTIF($E166:I166,1),ColDescriptionCourte)),""),
  "")),"")</f>
        <v/>
      </c>
      <c r="K166" s="40" t="str">
        <f ca="1">IFERROR(IF(AND(
  INDEX(Roadmap!$D:$K,MATCH($E166,Roadmap!$D:$D,0)+COUNTIF($E166:J166,"u")+COUNTIF($E166:J166,"t")+COUNTIF($E166:J166,"¶")+COUNTIF($E166:J166,"²")+COUNTIF($E166:J166,"µ")+COUNTIF($E166:J166,1),ColLivraison)=K$6,
  VLOOKUP($E166,INDIRECT("tri!"&amp; CHAR(64+ C0Col) &amp;":"&amp; CHAR(65+C0Col)),2,FALSE)&gt;COUNTIF($E166:J166,"u")+COUNTIF($E166:J166,"t")+COUNTIF($E166:J166,"¶")+COUNTIF($E166:J166,"²")+COUNTIF($E166:J166,"µ")+COUNTIF($E166:J166,1)),
HYPERLINK("#Roadmap!C"&amp; MATCH($E166,Roadmap!$D:$D,0)+COUNTIF($E166:J166,"u")+COUNTIF($E166:J166,"t"),
     INDEX(Roadmap!$D:$K,MATCH($E166,Roadmap!$D:$D,0)+COUNTIF($E166:J166,"u")+COUNTIF($E166:J166,"t")+COUNTIF($E166:J166,"¶")+COUNTIF($E166:J166,"²")+COUNTIF($E166:J166,"µ")+COUNTIF($E166:J166,1),ColTypeEcheance)),
  IF(LEN(J166)=1,
  IF(LEN(INDEX(Roadmap!$D:$K,MATCH($E166,Roadmap!$D:$D,0)-1+COUNTIF($E166:J166,"u")+COUNTIF($E166:J166,"t")+COUNTIF($E166:J166,"¶")+COUNTIF($E166:J166,"²")+COUNTIF($E166:J166,"µ")+COUNTIF($E166:J166,1),ColDescriptionCourte))&gt;1,
HYPERLINK("#Roadmap!C"&amp; MATCH($E166,Roadmap!$D:$D,0)+COUNTIF($E166:J166,"u")+COUNTIF($E166:J166,"t")+COUNTIF($E166:J166,"¶")+COUNTIF($E166:J166,"²")+COUNTIF($E166:J166,"µ")+COUNTIF($E166:J166,1)-1,INDEX(Roadmap!$D:$K,MATCH($E166,Roadmap!$D:$D,0)-1+COUNTIF($E166:J166,"u")+COUNTIF($E166:J166,"t")+COUNTIF($E166:J166,"¶")+COUNTIF($E166:J166,"²")+COUNTIF($E166:J166,"µ")+COUNTIF($E166:J166,1),ColDescriptionCourte)),""),
  "")),"")</f>
        <v/>
      </c>
      <c r="L166" s="39" t="str">
        <f ca="1">IFERROR(IF(AND(
  INDEX(Roadmap!$D:$K,MATCH($E166,Roadmap!$D:$D,0)+COUNTIF($E166:K166,"u")+COUNTIF($E166:K166,"t")+COUNTIF($E166:K166,"¶")+COUNTIF($E166:K166,"²")+COUNTIF($E166:K166,"µ")+COUNTIF($E166:K166,1),ColLivraison)=L$6,
  VLOOKUP($E166,INDIRECT("tri!"&amp; CHAR(64+ C0Col) &amp;":"&amp; CHAR(65+C0Col)),2,FALSE)&gt;COUNTIF($E166:K166,"u")+COUNTIF($E166:K166,"t")+COUNTIF($E166:K166,"¶")+COUNTIF($E166:K166,"²")+COUNTIF($E166:K166,"µ")+COUNTIF($E166:K166,1)),
HYPERLINK("#Roadmap!C"&amp; MATCH($E166,Roadmap!$D:$D,0)+COUNTIF($E166:K166,"u")+COUNTIF($E166:K166,"t"),
     INDEX(Roadmap!$D:$K,MATCH($E166,Roadmap!$D:$D,0)+COUNTIF($E166:K166,"u")+COUNTIF($E166:K166,"t")+COUNTIF($E166:K166,"¶")+COUNTIF($E166:K166,"²")+COUNTIF($E166:K166,"µ")+COUNTIF($E166:K166,1),ColTypeEcheance)),
  IF(LEN(K166)=1,
  IF(LEN(INDEX(Roadmap!$D:$K,MATCH($E166,Roadmap!$D:$D,0)-1+COUNTIF($E166:K166,"u")+COUNTIF($E166:K166,"t")+COUNTIF($E166:K166,"¶")+COUNTIF($E166:K166,"²")+COUNTIF($E166:K166,"µ")+COUNTIF($E166:K166,1),ColDescriptionCourte))&gt;1,
HYPERLINK("#Roadmap!C"&amp; MATCH($E166,Roadmap!$D:$D,0)+COUNTIF($E166:K166,"u")+COUNTIF($E166:K166,"t")+COUNTIF($E166:K166,"¶")+COUNTIF($E166:K166,"²")+COUNTIF($E166:K166,"µ")+COUNTIF($E166:K166,1)-1,INDEX(Roadmap!$D:$K,MATCH($E166,Roadmap!$D:$D,0)-1+COUNTIF($E166:K166,"u")+COUNTIF($E166:K166,"t")+COUNTIF($E166:K166,"¶")+COUNTIF($E166:K166,"²")+COUNTIF($E166:K166,"µ")+COUNTIF($E166:K166,1),ColDescriptionCourte)),""),
  "")),"")</f>
        <v/>
      </c>
      <c r="M166" s="40" t="str">
        <f ca="1">IFERROR(IF(AND(
  INDEX(Roadmap!$D:$K,MATCH($E166,Roadmap!$D:$D,0)+COUNTIF($E166:L166,"u")+COUNTIF($E166:L166,"t")+COUNTIF($E166:L166,"¶")+COUNTIF($E166:L166,"²")+COUNTIF($E166:L166,"µ")+COUNTIF($E166:L166,1),ColLivraison)=M$6,
  VLOOKUP($E166,INDIRECT("tri!"&amp; CHAR(64+ C0Col) &amp;":"&amp; CHAR(65+C0Col)),2,FALSE)&gt;COUNTIF($E166:L166,"u")+COUNTIF($E166:L166,"t")+COUNTIF($E166:L166,"¶")+COUNTIF($E166:L166,"²")+COUNTIF($E166:L166,"µ")+COUNTIF($E166:L166,1)),
HYPERLINK("#Roadmap!C"&amp; MATCH($E166,Roadmap!$D:$D,0)+COUNTIF($E166:L166,"u")+COUNTIF($E166:L166,"t"),
     INDEX(Roadmap!$D:$K,MATCH($E166,Roadmap!$D:$D,0)+COUNTIF($E166:L166,"u")+COUNTIF($E166:L166,"t")+COUNTIF($E166:L166,"¶")+COUNTIF($E166:L166,"²")+COUNTIF($E166:L166,"µ")+COUNTIF($E166:L166,1),ColTypeEcheance)),
  IF(LEN(L166)=1,
  IF(LEN(INDEX(Roadmap!$D:$K,MATCH($E166,Roadmap!$D:$D,0)-1+COUNTIF($E166:L166,"u")+COUNTIF($E166:L166,"t")+COUNTIF($E166:L166,"¶")+COUNTIF($E166:L166,"²")+COUNTIF($E166:L166,"µ")+COUNTIF($E166:L166,1),ColDescriptionCourte))&gt;1,
HYPERLINK("#Roadmap!C"&amp; MATCH($E166,Roadmap!$D:$D,0)+COUNTIF($E166:L166,"u")+COUNTIF($E166:L166,"t")+COUNTIF($E166:L166,"¶")+COUNTIF($E166:L166,"²")+COUNTIF($E166:L166,"µ")+COUNTIF($E166:L166,1)-1,INDEX(Roadmap!$D:$K,MATCH($E166,Roadmap!$D:$D,0)-1+COUNTIF($E166:L166,"u")+COUNTIF($E166:L166,"t")+COUNTIF($E166:L166,"¶")+COUNTIF($E166:L166,"²")+COUNTIF($E166:L166,"µ")+COUNTIF($E166:L166,1),ColDescriptionCourte)),""),
  "")),"")</f>
        <v/>
      </c>
      <c r="N166" s="40" t="str">
        <f ca="1">IFERROR(IF(AND(
  INDEX(Roadmap!$D:$K,MATCH($E166,Roadmap!$D:$D,0)+COUNTIF($E166:M166,"u")+COUNTIF($E166:M166,"t")+COUNTIF($E166:M166,"¶")+COUNTIF($E166:M166,"²")+COUNTIF($E166:M166,"µ")+COUNTIF($E166:M166,1),ColLivraison)=N$6,
  VLOOKUP($E166,INDIRECT("tri!"&amp; CHAR(64+ C0Col) &amp;":"&amp; CHAR(65+C0Col)),2,FALSE)&gt;COUNTIF($E166:M166,"u")+COUNTIF($E166:M166,"t")+COUNTIF($E166:M166,"¶")+COUNTIF($E166:M166,"²")+COUNTIF($E166:M166,"µ")+COUNTIF($E166:M166,1)),
HYPERLINK("#Roadmap!C"&amp; MATCH($E166,Roadmap!$D:$D,0)+COUNTIF($E166:M166,"u")+COUNTIF($E166:M166,"t"),
     INDEX(Roadmap!$D:$K,MATCH($E166,Roadmap!$D:$D,0)+COUNTIF($E166:M166,"u")+COUNTIF($E166:M166,"t")+COUNTIF($E166:M166,"¶")+COUNTIF($E166:M166,"²")+COUNTIF($E166:M166,"µ")+COUNTIF($E166:M166,1),ColTypeEcheance)),
  IF(LEN(M166)=1,
  IF(LEN(INDEX(Roadmap!$D:$K,MATCH($E166,Roadmap!$D:$D,0)-1+COUNTIF($E166:M166,"u")+COUNTIF($E166:M166,"t")+COUNTIF($E166:M166,"¶")+COUNTIF($E166:M166,"²")+COUNTIF($E166:M166,"µ")+COUNTIF($E166:M166,1),ColDescriptionCourte))&gt;1,
HYPERLINK("#Roadmap!C"&amp; MATCH($E166,Roadmap!$D:$D,0)+COUNTIF($E166:M166,"u")+COUNTIF($E166:M166,"t")+COUNTIF($E166:M166,"¶")+COUNTIF($E166:M166,"²")+COUNTIF($E166:M166,"µ")+COUNTIF($E166:M166,1)-1,INDEX(Roadmap!$D:$K,MATCH($E166,Roadmap!$D:$D,0)-1+COUNTIF($E166:M166,"u")+COUNTIF($E166:M166,"t")+COUNTIF($E166:M166,"¶")+COUNTIF($E166:M166,"²")+COUNTIF($E166:M166,"µ")+COUNTIF($E166:M166,1),ColDescriptionCourte)),""),
  "")),"")</f>
        <v/>
      </c>
      <c r="O166" s="40" t="str">
        <f ca="1">IFERROR(IF(AND(
  INDEX(Roadmap!$D:$K,MATCH($E166,Roadmap!$D:$D,0)+COUNTIF($E166:N166,"u")+COUNTIF($E166:N166,"t")+COUNTIF($E166:N166,"¶")+COUNTIF($E166:N166,"²")+COUNTIF($E166:N166,"µ")+COUNTIF($E166:N166,1),ColLivraison)=O$6,
  VLOOKUP($E166,INDIRECT("tri!"&amp; CHAR(64+ C0Col) &amp;":"&amp; CHAR(65+C0Col)),2,FALSE)&gt;COUNTIF($E166:N166,"u")+COUNTIF($E166:N166,"t")+COUNTIF($E166:N166,"¶")+COUNTIF($E166:N166,"²")+COUNTIF($E166:N166,"µ")+COUNTIF($E166:N166,1)),
HYPERLINK("#Roadmap!C"&amp; MATCH($E166,Roadmap!$D:$D,0)+COUNTIF($E166:N166,"u")+COUNTIF($E166:N166,"t"),
     INDEX(Roadmap!$D:$K,MATCH($E166,Roadmap!$D:$D,0)+COUNTIF($E166:N166,"u")+COUNTIF($E166:N166,"t")+COUNTIF($E166:N166,"¶")+COUNTIF($E166:N166,"²")+COUNTIF($E166:N166,"µ")+COUNTIF($E166:N166,1),ColTypeEcheance)),
  IF(LEN(N166)=1,
  IF(LEN(INDEX(Roadmap!$D:$K,MATCH($E166,Roadmap!$D:$D,0)-1+COUNTIF($E166:N166,"u")+COUNTIF($E166:N166,"t")+COUNTIF($E166:N166,"¶")+COUNTIF($E166:N166,"²")+COUNTIF($E166:N166,"µ")+COUNTIF($E166:N166,1),ColDescriptionCourte))&gt;1,
HYPERLINK("#Roadmap!C"&amp; MATCH($E166,Roadmap!$D:$D,0)+COUNTIF($E166:N166,"u")+COUNTIF($E166:N166,"t")+COUNTIF($E166:N166,"¶")+COUNTIF($E166:N166,"²")+COUNTIF($E166:N166,"µ")+COUNTIF($E166:N166,1)-1,INDEX(Roadmap!$D:$K,MATCH($E166,Roadmap!$D:$D,0)-1+COUNTIF($E166:N166,"u")+COUNTIF($E166:N166,"t")+COUNTIF($E166:N166,"¶")+COUNTIF($E166:N166,"²")+COUNTIF($E166:N166,"µ")+COUNTIF($E166:N166,1),ColDescriptionCourte)),""),
  "")),"")</f>
        <v/>
      </c>
      <c r="P166" s="40" t="str">
        <f ca="1">IFERROR(IF(AND(
  INDEX(Roadmap!$D:$K,MATCH($E166,Roadmap!$D:$D,0)+COUNTIF($E166:O166,"u")+COUNTIF($E166:O166,"t")+COUNTIF($E166:O166,"¶")+COUNTIF($E166:O166,"²")+COUNTIF($E166:O166,"µ")+COUNTIF($E166:O166,1),ColLivraison)=P$6,
  VLOOKUP($E166,INDIRECT("tri!"&amp; CHAR(64+ C0Col) &amp;":"&amp; CHAR(65+C0Col)),2,FALSE)&gt;COUNTIF($E166:O166,"u")+COUNTIF($E166:O166,"t")+COUNTIF($E166:O166,"¶")+COUNTIF($E166:O166,"²")+COUNTIF($E166:O166,"µ")+COUNTIF($E166:O166,1)),
HYPERLINK("#Roadmap!C"&amp; MATCH($E166,Roadmap!$D:$D,0)+COUNTIF($E166:O166,"u")+COUNTIF($E166:O166,"t"),
     INDEX(Roadmap!$D:$K,MATCH($E166,Roadmap!$D:$D,0)+COUNTIF($E166:O166,"u")+COUNTIF($E166:O166,"t")+COUNTIF($E166:O166,"¶")+COUNTIF($E166:O166,"²")+COUNTIF($E166:O166,"µ")+COUNTIF($E166:O166,1),ColTypeEcheance)),
  IF(LEN(O166)=1,
  IF(LEN(INDEX(Roadmap!$D:$K,MATCH($E166,Roadmap!$D:$D,0)-1+COUNTIF($E166:O166,"u")+COUNTIF($E166:O166,"t")+COUNTIF($E166:O166,"¶")+COUNTIF($E166:O166,"²")+COUNTIF($E166:O166,"µ")+COUNTIF($E166:O166,1),ColDescriptionCourte))&gt;1,
HYPERLINK("#Roadmap!C"&amp; MATCH($E166,Roadmap!$D:$D,0)+COUNTIF($E166:O166,"u")+COUNTIF($E166:O166,"t")+COUNTIF($E166:O166,"¶")+COUNTIF($E166:O166,"²")+COUNTIF($E166:O166,"µ")+COUNTIF($E166:O166,1)-1,INDEX(Roadmap!$D:$K,MATCH($E166,Roadmap!$D:$D,0)-1+COUNTIF($E166:O166,"u")+COUNTIF($E166:O166,"t")+COUNTIF($E166:O166,"¶")+COUNTIF($E166:O166,"²")+COUNTIF($E166:O166,"µ")+COUNTIF($E166:O166,1),ColDescriptionCourte)),""),
  "")),"")</f>
        <v/>
      </c>
      <c r="Q166" s="40" t="str">
        <f ca="1">IFERROR(IF(AND(
  INDEX(Roadmap!$D:$K,MATCH($E166,Roadmap!$D:$D,0)+COUNTIF($E166:P166,"u")+COUNTIF($E166:P166,"t")+COUNTIF($E166:P166,"¶")+COUNTIF($E166:P166,"²")+COUNTIF($E166:P166,"µ")+COUNTIF($E166:P166,1),ColLivraison)=Q$6,
  VLOOKUP($E166,INDIRECT("tri!"&amp; CHAR(64+ C0Col) &amp;":"&amp; CHAR(65+C0Col)),2,FALSE)&gt;COUNTIF($E166:P166,"u")+COUNTIF($E166:P166,"t")+COUNTIF($E166:P166,"¶")+COUNTIF($E166:P166,"²")+COUNTIF($E166:P166,"µ")+COUNTIF($E166:P166,1)),
HYPERLINK("#Roadmap!C"&amp; MATCH($E166,Roadmap!$D:$D,0)+COUNTIF($E166:P166,"u")+COUNTIF($E166:P166,"t"),
     INDEX(Roadmap!$D:$K,MATCH($E166,Roadmap!$D:$D,0)+COUNTIF($E166:P166,"u")+COUNTIF($E166:P166,"t")+COUNTIF($E166:P166,"¶")+COUNTIF($E166:P166,"²")+COUNTIF($E166:P166,"µ")+COUNTIF($E166:P166,1),ColTypeEcheance)),
  IF(LEN(P166)=1,
  IF(LEN(INDEX(Roadmap!$D:$K,MATCH($E166,Roadmap!$D:$D,0)-1+COUNTIF($E166:P166,"u")+COUNTIF($E166:P166,"t")+COUNTIF($E166:P166,"¶")+COUNTIF($E166:P166,"²")+COUNTIF($E166:P166,"µ")+COUNTIF($E166:P166,1),ColDescriptionCourte))&gt;1,
HYPERLINK("#Roadmap!C"&amp; MATCH($E166,Roadmap!$D:$D,0)+COUNTIF($E166:P166,"u")+COUNTIF($E166:P166,"t")+COUNTIF($E166:P166,"¶")+COUNTIF($E166:P166,"²")+COUNTIF($E166:P166,"µ")+COUNTIF($E166:P166,1)-1,INDEX(Roadmap!$D:$K,MATCH($E166,Roadmap!$D:$D,0)-1+COUNTIF($E166:P166,"u")+COUNTIF($E166:P166,"t")+COUNTIF($E166:P166,"¶")+COUNTIF($E166:P166,"²")+COUNTIF($E166:P166,"µ")+COUNTIF($E166:P166,1),ColDescriptionCourte)),""),
  "")),"")</f>
        <v/>
      </c>
      <c r="R166" s="40" t="str">
        <f ca="1">IFERROR(IF(AND(
  INDEX(Roadmap!$D:$K,MATCH($E166,Roadmap!$D:$D,0)+COUNTIF($E166:Q166,"u")+COUNTIF($E166:Q166,"t")+COUNTIF($E166:Q166,"¶")+COUNTIF($E166:Q166,"²")+COUNTIF($E166:Q166,"µ")+COUNTIF($E166:Q166,1),ColLivraison)=R$6,
  VLOOKUP($E166,INDIRECT("tri!"&amp; CHAR(64+ C0Col) &amp;":"&amp; CHAR(65+C0Col)),2,FALSE)&gt;COUNTIF($E166:Q166,"u")+COUNTIF($E166:Q166,"t")+COUNTIF($E166:Q166,"¶")+COUNTIF($E166:Q166,"²")+COUNTIF($E166:Q166,"µ")+COUNTIF($E166:Q166,1)),
HYPERLINK("#Roadmap!C"&amp; MATCH($E166,Roadmap!$D:$D,0)+COUNTIF($E166:Q166,"u")+COUNTIF($E166:Q166,"t"),
     INDEX(Roadmap!$D:$K,MATCH($E166,Roadmap!$D:$D,0)+COUNTIF($E166:Q166,"u")+COUNTIF($E166:Q166,"t")+COUNTIF($E166:Q166,"¶")+COUNTIF($E166:Q166,"²")+COUNTIF($E166:Q166,"µ")+COUNTIF($E166:Q166,1),ColTypeEcheance)),
  IF(LEN(Q166)=1,
  IF(LEN(INDEX(Roadmap!$D:$K,MATCH($E166,Roadmap!$D:$D,0)-1+COUNTIF($E166:Q166,"u")+COUNTIF($E166:Q166,"t")+COUNTIF($E166:Q166,"¶")+COUNTIF($E166:Q166,"²")+COUNTIF($E166:Q166,"µ")+COUNTIF($E166:Q166,1),ColDescriptionCourte))&gt;1,
HYPERLINK("#Roadmap!C"&amp; MATCH($E166,Roadmap!$D:$D,0)+COUNTIF($E166:Q166,"u")+COUNTIF($E166:Q166,"t")+COUNTIF($E166:Q166,"¶")+COUNTIF($E166:Q166,"²")+COUNTIF($E166:Q166,"µ")+COUNTIF($E166:Q166,1)-1,INDEX(Roadmap!$D:$K,MATCH($E166,Roadmap!$D:$D,0)-1+COUNTIF($E166:Q166,"u")+COUNTIF($E166:Q166,"t")+COUNTIF($E166:Q166,"¶")+COUNTIF($E166:Q166,"²")+COUNTIF($E166:Q166,"µ")+COUNTIF($E166:Q166,1),ColDescriptionCourte)),""),
  "")),"")</f>
        <v/>
      </c>
      <c r="S166" s="40" t="str">
        <f ca="1">IFERROR(IF(AND(
  INDEX(Roadmap!$D:$K,MATCH($E166,Roadmap!$D:$D,0)+COUNTIF($E166:R166,"u")+COUNTIF($E166:R166,"t")+COUNTIF($E166:R166,"¶")+COUNTIF($E166:R166,"²")+COUNTIF($E166:R166,"µ")+COUNTIF($E166:R166,1),ColLivraison)=S$6,
  VLOOKUP($E166,INDIRECT("tri!"&amp; CHAR(64+ C0Col) &amp;":"&amp; CHAR(65+C0Col)),2,FALSE)&gt;COUNTIF($E166:R166,"u")+COUNTIF($E166:R166,"t")+COUNTIF($E166:R166,"¶")+COUNTIF($E166:R166,"²")+COUNTIF($E166:R166,"µ")+COUNTIF($E166:R166,1)),
HYPERLINK("#Roadmap!C"&amp; MATCH($E166,Roadmap!$D:$D,0)+COUNTIF($E166:R166,"u")+COUNTIF($E166:R166,"t"),
     INDEX(Roadmap!$D:$K,MATCH($E166,Roadmap!$D:$D,0)+COUNTIF($E166:R166,"u")+COUNTIF($E166:R166,"t")+COUNTIF($E166:R166,"¶")+COUNTIF($E166:R166,"²")+COUNTIF($E166:R166,"µ")+COUNTIF($E166:R166,1),ColTypeEcheance)),
  IF(LEN(R166)=1,
  IF(LEN(INDEX(Roadmap!$D:$K,MATCH($E166,Roadmap!$D:$D,0)-1+COUNTIF($E166:R166,"u")+COUNTIF($E166:R166,"t")+COUNTIF($E166:R166,"¶")+COUNTIF($E166:R166,"²")+COUNTIF($E166:R166,"µ")+COUNTIF($E166:R166,1),ColDescriptionCourte))&gt;1,
HYPERLINK("#Roadmap!C"&amp; MATCH($E166,Roadmap!$D:$D,0)+COUNTIF($E166:R166,"u")+COUNTIF($E166:R166,"t")+COUNTIF($E166:R166,"¶")+COUNTIF($E166:R166,"²")+COUNTIF($E166:R166,"µ")+COUNTIF($E166:R166,1)-1,INDEX(Roadmap!$D:$K,MATCH($E166,Roadmap!$D:$D,0)-1+COUNTIF($E166:R166,"u")+COUNTIF($E166:R166,"t")+COUNTIF($E166:R166,"¶")+COUNTIF($E166:R166,"²")+COUNTIF($E166:R166,"µ")+COUNTIF($E166:R166,1),ColDescriptionCourte)),""),
  "")),"")</f>
        <v/>
      </c>
      <c r="T166" s="40" t="str">
        <f ca="1">IFERROR(IF(AND(
  INDEX(Roadmap!$D:$K,MATCH($E166,Roadmap!$D:$D,0)+COUNTIF($E166:S166,"u")+COUNTIF($E166:S166,"t")+COUNTIF($E166:S166,"¶")+COUNTIF($E166:S166,"²")+COUNTIF($E166:S166,"µ")+COUNTIF($E166:S166,1),ColLivraison)=T$6,
  VLOOKUP($E166,INDIRECT("tri!"&amp; CHAR(64+ C0Col) &amp;":"&amp; CHAR(65+C0Col)),2,FALSE)&gt;COUNTIF($E166:S166,"u")+COUNTIF($E166:S166,"t")+COUNTIF($E166:S166,"¶")+COUNTIF($E166:S166,"²")+COUNTIF($E166:S166,"µ")+COUNTIF($E166:S166,1)),
HYPERLINK("#Roadmap!C"&amp; MATCH($E166,Roadmap!$D:$D,0)+COUNTIF($E166:S166,"u")+COUNTIF($E166:S166,"t"),
     INDEX(Roadmap!$D:$K,MATCH($E166,Roadmap!$D:$D,0)+COUNTIF($E166:S166,"u")+COUNTIF($E166:S166,"t")+COUNTIF($E166:S166,"¶")+COUNTIF($E166:S166,"²")+COUNTIF($E166:S166,"µ")+COUNTIF($E166:S166,1),ColTypeEcheance)),
  IF(LEN(S166)=1,
  IF(LEN(INDEX(Roadmap!$D:$K,MATCH($E166,Roadmap!$D:$D,0)-1+COUNTIF($E166:S166,"u")+COUNTIF($E166:S166,"t")+COUNTIF($E166:S166,"¶")+COUNTIF($E166:S166,"²")+COUNTIF($E166:S166,"µ")+COUNTIF($E166:S166,1),ColDescriptionCourte))&gt;1,
HYPERLINK("#Roadmap!C"&amp; MATCH($E166,Roadmap!$D:$D,0)+COUNTIF($E166:S166,"u")+COUNTIF($E166:S166,"t")+COUNTIF($E166:S166,"¶")+COUNTIF($E166:S166,"²")+COUNTIF($E166:S166,"µ")+COUNTIF($E166:S166,1)-1,INDEX(Roadmap!$D:$K,MATCH($E166,Roadmap!$D:$D,0)-1+COUNTIF($E166:S166,"u")+COUNTIF($E166:S166,"t")+COUNTIF($E166:S166,"¶")+COUNTIF($E166:S166,"²")+COUNTIF($E166:S166,"µ")+COUNTIF($E166:S166,1),ColDescriptionCourte)),""),
  "")),"")</f>
        <v/>
      </c>
      <c r="U166" s="40" t="str">
        <f ca="1">IFERROR(IF(AND(
  INDEX(Roadmap!$D:$K,MATCH($E166,Roadmap!$D:$D,0)+COUNTIF($E166:T166,"u")+COUNTIF($E166:T166,"t")+COUNTIF($E166:T166,"¶")+COUNTIF($E166:T166,"²")+COUNTIF($E166:T166,"µ")+COUNTIF($E166:T166,1),ColLivraison)=U$6,
  VLOOKUP($E166,INDIRECT("tri!"&amp; CHAR(64+ C0Col) &amp;":"&amp; CHAR(65+C0Col)),2,FALSE)&gt;COUNTIF($E166:T166,"u")+COUNTIF($E166:T166,"t")+COUNTIF($E166:T166,"¶")+COUNTIF($E166:T166,"²")+COUNTIF($E166:T166,"µ")+COUNTIF($E166:T166,1)),
HYPERLINK("#Roadmap!C"&amp; MATCH($E166,Roadmap!$D:$D,0)+COUNTIF($E166:T166,"u")+COUNTIF($E166:T166,"t"),
     INDEX(Roadmap!$D:$K,MATCH($E166,Roadmap!$D:$D,0)+COUNTIF($E166:T166,"u")+COUNTIF($E166:T166,"t")+COUNTIF($E166:T166,"¶")+COUNTIF($E166:T166,"²")+COUNTIF($E166:T166,"µ")+COUNTIF($E166:T166,1),ColTypeEcheance)),
  IF(LEN(T166)=1,
  IF(LEN(INDEX(Roadmap!$D:$K,MATCH($E166,Roadmap!$D:$D,0)-1+COUNTIF($E166:T166,"u")+COUNTIF($E166:T166,"t")+COUNTIF($E166:T166,"¶")+COUNTIF($E166:T166,"²")+COUNTIF($E166:T166,"µ")+COUNTIF($E166:T166,1),ColDescriptionCourte))&gt;1,
HYPERLINK("#Roadmap!C"&amp; MATCH($E166,Roadmap!$D:$D,0)+COUNTIF($E166:T166,"u")+COUNTIF($E166:T166,"t")+COUNTIF($E166:T166,"¶")+COUNTIF($E166:T166,"²")+COUNTIF($E166:T166,"µ")+COUNTIF($E166:T166,1)-1,INDEX(Roadmap!$D:$K,MATCH($E166,Roadmap!$D:$D,0)-1+COUNTIF($E166:T166,"u")+COUNTIF($E166:T166,"t")+COUNTIF($E166:T166,"¶")+COUNTIF($E166:T166,"²")+COUNTIF($E166:T166,"µ")+COUNTIF($E166:T166,1),ColDescriptionCourte)),""),
  "")),"")</f>
        <v/>
      </c>
      <c r="V166" s="40" t="str">
        <f ca="1">IFERROR(IF(AND(
  INDEX(Roadmap!$D:$K,MATCH($E166,Roadmap!$D:$D,0)+COUNTIF($E166:U166,"u")+COUNTIF($E166:U166,"t")+COUNTIF($E166:U166,"¶")+COUNTIF($E166:U166,"²")+COUNTIF($E166:U166,"µ")+COUNTIF($E166:U166,1),ColLivraison)=V$6,
  VLOOKUP($E166,INDIRECT("tri!"&amp; CHAR(64+ C0Col) &amp;":"&amp; CHAR(65+C0Col)),2,FALSE)&gt;COUNTIF($E166:U166,"u")+COUNTIF($E166:U166,"t")+COUNTIF($E166:U166,"¶")+COUNTIF($E166:U166,"²")+COUNTIF($E166:U166,"µ")+COUNTIF($E166:U166,1)),
HYPERLINK("#Roadmap!C"&amp; MATCH($E166,Roadmap!$D:$D,0)+COUNTIF($E166:U166,"u")+COUNTIF($E166:U166,"t"),
     INDEX(Roadmap!$D:$K,MATCH($E166,Roadmap!$D:$D,0)+COUNTIF($E166:U166,"u")+COUNTIF($E166:U166,"t")+COUNTIF($E166:U166,"¶")+COUNTIF($E166:U166,"²")+COUNTIF($E166:U166,"µ")+COUNTIF($E166:U166,1),ColTypeEcheance)),
  IF(LEN(U166)=1,
  IF(LEN(INDEX(Roadmap!$D:$K,MATCH($E166,Roadmap!$D:$D,0)-1+COUNTIF($E166:U166,"u")+COUNTIF($E166:U166,"t")+COUNTIF($E166:U166,"¶")+COUNTIF($E166:U166,"²")+COUNTIF($E166:U166,"µ")+COUNTIF($E166:U166,1),ColDescriptionCourte))&gt;1,
HYPERLINK("#Roadmap!C"&amp; MATCH($E166,Roadmap!$D:$D,0)+COUNTIF($E166:U166,"u")+COUNTIF($E166:U166,"t")+COUNTIF($E166:U166,"¶")+COUNTIF($E166:U166,"²")+COUNTIF($E166:U166,"µ")+COUNTIF($E166:U166,1)-1,INDEX(Roadmap!$D:$K,MATCH($E166,Roadmap!$D:$D,0)-1+COUNTIF($E166:U166,"u")+COUNTIF($E166:U166,"t")+COUNTIF($E166:U166,"¶")+COUNTIF($E166:U166,"²")+COUNTIF($E166:U166,"µ")+COUNTIF($E166:U166,1),ColDescriptionCourte)),""),
  "")),"")</f>
        <v/>
      </c>
      <c r="W166" s="40" t="str">
        <f ca="1">IFERROR(IF(AND(
  INDEX(Roadmap!$D:$K,MATCH($E166,Roadmap!$D:$D,0)+COUNTIF($E166:V166,"u")+COUNTIF($E166:V166,"t")+COUNTIF($E166:V166,"¶")+COUNTIF($E166:V166,"²")+COUNTIF($E166:V166,"µ")+COUNTIF($E166:V166,1),ColLivraison)=W$6,
  VLOOKUP($E166,INDIRECT("tri!"&amp; CHAR(64+ C0Col) &amp;":"&amp; CHAR(65+C0Col)),2,FALSE)&gt;COUNTIF($E166:V166,"u")+COUNTIF($E166:V166,"t")+COUNTIF($E166:V166,"¶")+COUNTIF($E166:V166,"²")+COUNTIF($E166:V166,"µ")+COUNTIF($E166:V166,1)),
HYPERLINK("#Roadmap!C"&amp; MATCH($E166,Roadmap!$D:$D,0)+COUNTIF($E166:V166,"u")+COUNTIF($E166:V166,"t"),
     INDEX(Roadmap!$D:$K,MATCH($E166,Roadmap!$D:$D,0)+COUNTIF($E166:V166,"u")+COUNTIF($E166:V166,"t")+COUNTIF($E166:V166,"¶")+COUNTIF($E166:V166,"²")+COUNTIF($E166:V166,"µ")+COUNTIF($E166:V166,1),ColTypeEcheance)),
  IF(LEN(V166)=1,
  IF(LEN(INDEX(Roadmap!$D:$K,MATCH($E166,Roadmap!$D:$D,0)-1+COUNTIF($E166:V166,"u")+COUNTIF($E166:V166,"t")+COUNTIF($E166:V166,"¶")+COUNTIF($E166:V166,"²")+COUNTIF($E166:V166,"µ")+COUNTIF($E166:V166,1),ColDescriptionCourte))&gt;1,
HYPERLINK("#Roadmap!C"&amp; MATCH($E166,Roadmap!$D:$D,0)+COUNTIF($E166:V166,"u")+COUNTIF($E166:V166,"t")+COUNTIF($E166:V166,"¶")+COUNTIF($E166:V166,"²")+COUNTIF($E166:V166,"µ")+COUNTIF($E166:V166,1)-1,INDEX(Roadmap!$D:$K,MATCH($E166,Roadmap!$D:$D,0)-1+COUNTIF($E166:V166,"u")+COUNTIF($E166:V166,"t")+COUNTIF($E166:V166,"¶")+COUNTIF($E166:V166,"²")+COUNTIF($E166:V166,"µ")+COUNTIF($E166:V166,1),ColDescriptionCourte)),""),
  "")),"")</f>
        <v/>
      </c>
      <c r="X166" s="40" t="str">
        <f ca="1">IFERROR(IF(AND(
  INDEX(Roadmap!$D:$K,MATCH($E166,Roadmap!$D:$D,0)+COUNTIF($E166:W166,"u")+COUNTIF($E166:W166,"t")+COUNTIF($E166:W166,"¶")+COUNTIF($E166:W166,"²")+COUNTIF($E166:W166,"µ")+COUNTIF($E166:W166,1),ColLivraison)=X$6,
  VLOOKUP($E166,INDIRECT("tri!"&amp; CHAR(64+ C0Col) &amp;":"&amp; CHAR(65+C0Col)),2,FALSE)&gt;COUNTIF($E166:W166,"u")+COUNTIF($E166:W166,"t")+COUNTIF($E166:W166,"¶")+COUNTIF($E166:W166,"²")+COUNTIF($E166:W166,"µ")+COUNTIF($E166:W166,1)),
HYPERLINK("#Roadmap!C"&amp; MATCH($E166,Roadmap!$D:$D,0)+COUNTIF($E166:W166,"u")+COUNTIF($E166:W166,"t"),
     INDEX(Roadmap!$D:$K,MATCH($E166,Roadmap!$D:$D,0)+COUNTIF($E166:W166,"u")+COUNTIF($E166:W166,"t")+COUNTIF($E166:W166,"¶")+COUNTIF($E166:W166,"²")+COUNTIF($E166:W166,"µ")+COUNTIF($E166:W166,1),ColTypeEcheance)),
  IF(LEN(W166)=1,
  IF(LEN(INDEX(Roadmap!$D:$K,MATCH($E166,Roadmap!$D:$D,0)-1+COUNTIF($E166:W166,"u")+COUNTIF($E166:W166,"t")+COUNTIF($E166:W166,"¶")+COUNTIF($E166:W166,"²")+COUNTIF($E166:W166,"µ")+COUNTIF($E166:W166,1),ColDescriptionCourte))&gt;1,
HYPERLINK("#Roadmap!C"&amp; MATCH($E166,Roadmap!$D:$D,0)+COUNTIF($E166:W166,"u")+COUNTIF($E166:W166,"t")+COUNTIF($E166:W166,"¶")+COUNTIF($E166:W166,"²")+COUNTIF($E166:W166,"µ")+COUNTIF($E166:W166,1)-1,INDEX(Roadmap!$D:$K,MATCH($E166,Roadmap!$D:$D,0)-1+COUNTIF($E166:W166,"u")+COUNTIF($E166:W166,"t")+COUNTIF($E166:W166,"¶")+COUNTIF($E166:W166,"²")+COUNTIF($E166:W166,"µ")+COUNTIF($E166:W166,1),ColDescriptionCourte)),""),
  "")),"")</f>
        <v/>
      </c>
      <c r="Y166" s="40" t="str">
        <f ca="1">IFERROR(IF(AND(
  INDEX(Roadmap!$D:$K,MATCH($E166,Roadmap!$D:$D,0)+COUNTIF($E166:X166,"u")+COUNTIF($E166:X166,"t")+COUNTIF($E166:X166,"¶")+COUNTIF($E166:X166,"²")+COUNTIF($E166:X166,"µ")+COUNTIF($E166:X166,1),ColLivraison)=Y$6,
  VLOOKUP($E166,INDIRECT("tri!"&amp; CHAR(64+ C0Col) &amp;":"&amp; CHAR(65+C0Col)),2,FALSE)&gt;COUNTIF($E166:X166,"u")+COUNTIF($E166:X166,"t")+COUNTIF($E166:X166,"¶")+COUNTIF($E166:X166,"²")+COUNTIF($E166:X166,"µ")+COUNTIF($E166:X166,1)),
HYPERLINK("#Roadmap!C"&amp; MATCH($E166,Roadmap!$D:$D,0)+COUNTIF($E166:X166,"u")+COUNTIF($E166:X166,"t"),
     INDEX(Roadmap!$D:$K,MATCH($E166,Roadmap!$D:$D,0)+COUNTIF($E166:X166,"u")+COUNTIF($E166:X166,"t")+COUNTIF($E166:X166,"¶")+COUNTIF($E166:X166,"²")+COUNTIF($E166:X166,"µ")+COUNTIF($E166:X166,1),ColTypeEcheance)),
  IF(LEN(X166)=1,
  IF(LEN(INDEX(Roadmap!$D:$K,MATCH($E166,Roadmap!$D:$D,0)-1+COUNTIF($E166:X166,"u")+COUNTIF($E166:X166,"t")+COUNTIF($E166:X166,"¶")+COUNTIF($E166:X166,"²")+COUNTIF($E166:X166,"µ")+COUNTIF($E166:X166,1),ColDescriptionCourte))&gt;1,
HYPERLINK("#Roadmap!C"&amp; MATCH($E166,Roadmap!$D:$D,0)+COUNTIF($E166:X166,"u")+COUNTIF($E166:X166,"t")+COUNTIF($E166:X166,"¶")+COUNTIF($E166:X166,"²")+COUNTIF($E166:X166,"µ")+COUNTIF($E166:X166,1)-1,INDEX(Roadmap!$D:$K,MATCH($E166,Roadmap!$D:$D,0)-1+COUNTIF($E166:X166,"u")+COUNTIF($E166:X166,"t")+COUNTIF($E166:X166,"¶")+COUNTIF($E166:X166,"²")+COUNTIF($E166:X166,"µ")+COUNTIF($E166:X166,1),ColDescriptionCourte)),""),
  "")),"")</f>
        <v/>
      </c>
      <c r="Z166" s="40" t="str">
        <f ca="1">IFERROR(IF(AND(
  INDEX(Roadmap!$D:$K,MATCH($E166,Roadmap!$D:$D,0)+COUNTIF($E166:Y166,"u")+COUNTIF($E166:Y166,"t")+COUNTIF($E166:Y166,"¶")+COUNTIF($E166:Y166,"²")+COUNTIF($E166:Y166,"µ")+COUNTIF($E166:Y166,1),ColLivraison)=Z$6,
  VLOOKUP($E166,INDIRECT("tri!"&amp; CHAR(64+ C0Col) &amp;":"&amp; CHAR(65+C0Col)),2,FALSE)&gt;COUNTIF($E166:Y166,"u")+COUNTIF($E166:Y166,"t")+COUNTIF($E166:Y166,"¶")+COUNTIF($E166:Y166,"²")+COUNTIF($E166:Y166,"µ")+COUNTIF($E166:Y166,1)),
HYPERLINK("#Roadmap!C"&amp; MATCH($E166,Roadmap!$D:$D,0)+COUNTIF($E166:Y166,"u")+COUNTIF($E166:Y166,"t"),
     INDEX(Roadmap!$D:$K,MATCH($E166,Roadmap!$D:$D,0)+COUNTIF($E166:Y166,"u")+COUNTIF($E166:Y166,"t")+COUNTIF($E166:Y166,"¶")+COUNTIF($E166:Y166,"²")+COUNTIF($E166:Y166,"µ")+COUNTIF($E166:Y166,1),ColTypeEcheance)),
  IF(LEN(Y166)=1,
  IF(LEN(INDEX(Roadmap!$D:$K,MATCH($E166,Roadmap!$D:$D,0)-1+COUNTIF($E166:Y166,"u")+COUNTIF($E166:Y166,"t")+COUNTIF($E166:Y166,"¶")+COUNTIF($E166:Y166,"²")+COUNTIF($E166:Y166,"µ")+COUNTIF($E166:Y166,1),ColDescriptionCourte))&gt;1,
HYPERLINK("#Roadmap!C"&amp; MATCH($E166,Roadmap!$D:$D,0)+COUNTIF($E166:Y166,"u")+COUNTIF($E166:Y166,"t")+COUNTIF($E166:Y166,"¶")+COUNTIF($E166:Y166,"²")+COUNTIF($E166:Y166,"µ")+COUNTIF($E166:Y166,1)-1,INDEX(Roadmap!$D:$K,MATCH($E166,Roadmap!$D:$D,0)-1+COUNTIF($E166:Y166,"u")+COUNTIF($E166:Y166,"t")+COUNTIF($E166:Y166,"¶")+COUNTIF($E166:Y166,"²")+COUNTIF($E166:Y166,"µ")+COUNTIF($E166:Y166,1),ColDescriptionCourte)),""),
  "")),"")</f>
        <v/>
      </c>
      <c r="AA166" s="40" t="str">
        <f ca="1">IFERROR(IF(AND(
  INDEX(Roadmap!$D:$K,MATCH($E166,Roadmap!$D:$D,0)+COUNTIF($E166:Z166,"u")+COUNTIF($E166:Z166,"t")+COUNTIF($E166:Z166,"¶")+COUNTIF($E166:Z166,"²")+COUNTIF($E166:Z166,"µ")+COUNTIF($E166:Z166,1),ColLivraison)=AA$6,
  VLOOKUP($E166,INDIRECT("tri!"&amp; CHAR(64+ C0Col) &amp;":"&amp; CHAR(65+C0Col)),2,FALSE)&gt;COUNTIF($E166:Z166,"u")+COUNTIF($E166:Z166,"t")+COUNTIF($E166:Z166,"¶")+COUNTIF($E166:Z166,"²")+COUNTIF($E166:Z166,"µ")+COUNTIF($E166:Z166,1)),
HYPERLINK("#Roadmap!C"&amp; MATCH($E166,Roadmap!$D:$D,0)+COUNTIF($E166:Z166,"u")+COUNTIF($E166:Z166,"t"),
     INDEX(Roadmap!$D:$K,MATCH($E166,Roadmap!$D:$D,0)+COUNTIF($E166:Z166,"u")+COUNTIF($E166:Z166,"t")+COUNTIF($E166:Z166,"¶")+COUNTIF($E166:Z166,"²")+COUNTIF($E166:Z166,"µ")+COUNTIF($E166:Z166,1),ColTypeEcheance)),
  IF(LEN(Z166)=1,
  IF(LEN(INDEX(Roadmap!$D:$K,MATCH($E166,Roadmap!$D:$D,0)-1+COUNTIF($E166:Z166,"u")+COUNTIF($E166:Z166,"t")+COUNTIF($E166:Z166,"¶")+COUNTIF($E166:Z166,"²")+COUNTIF($E166:Z166,"µ")+COUNTIF($E166:Z166,1),ColDescriptionCourte))&gt;1,
HYPERLINK("#Roadmap!C"&amp; MATCH($E166,Roadmap!$D:$D,0)+COUNTIF($E166:Z166,"u")+COUNTIF($E166:Z166,"t")+COUNTIF($E166:Z166,"¶")+COUNTIF($E166:Z166,"²")+COUNTIF($E166:Z166,"µ")+COUNTIF($E166:Z166,1)-1,INDEX(Roadmap!$D:$K,MATCH($E166,Roadmap!$D:$D,0)-1+COUNTIF($E166:Z166,"u")+COUNTIF($E166:Z166,"t")+COUNTIF($E166:Z166,"¶")+COUNTIF($E166:Z166,"²")+COUNTIF($E166:Z166,"µ")+COUNTIF($E166:Z166,1),ColDescriptionCourte)),""),
  "")),"")</f>
        <v/>
      </c>
      <c r="AB166" s="40" t="str">
        <f ca="1">IFERROR(IF(AND(
  INDEX(Roadmap!$D:$K,MATCH($E166,Roadmap!$D:$D,0)+COUNTIF($E166:AA166,"u")+COUNTIF($E166:AA166,"t")+COUNTIF($E166:AA166,"¶")+COUNTIF($E166:AA166,"²")+COUNTIF($E166:AA166,"µ")+COUNTIF($E166:AA166,1),ColLivraison)=AB$6,
  VLOOKUP($E166,INDIRECT("tri!"&amp; CHAR(64+ C0Col) &amp;":"&amp; CHAR(65+C0Col)),2,FALSE)&gt;COUNTIF($E166:AA166,"u")+COUNTIF($E166:AA166,"t")+COUNTIF($E166:AA166,"¶")+COUNTIF($E166:AA166,"²")+COUNTIF($E166:AA166,"µ")+COUNTIF($E166:AA166,1)),
HYPERLINK("#Roadmap!C"&amp; MATCH($E166,Roadmap!$D:$D,0)+COUNTIF($E166:AA166,"u")+COUNTIF($E166:AA166,"t"),
     INDEX(Roadmap!$D:$K,MATCH($E166,Roadmap!$D:$D,0)+COUNTIF($E166:AA166,"u")+COUNTIF($E166:AA166,"t")+COUNTIF($E166:AA166,"¶")+COUNTIF($E166:AA166,"²")+COUNTIF($E166:AA166,"µ")+COUNTIF($E166:AA166,1),ColTypeEcheance)),
  IF(LEN(AA166)=1,
  IF(LEN(INDEX(Roadmap!$D:$K,MATCH($E166,Roadmap!$D:$D,0)-1+COUNTIF($E166:AA166,"u")+COUNTIF($E166:AA166,"t")+COUNTIF($E166:AA166,"¶")+COUNTIF($E166:AA166,"²")+COUNTIF($E166:AA166,"µ")+COUNTIF($E166:AA166,1),ColDescriptionCourte))&gt;1,
HYPERLINK("#Roadmap!C"&amp; MATCH($E166,Roadmap!$D:$D,0)+COUNTIF($E166:AA166,"u")+COUNTIF($E166:AA166,"t")+COUNTIF($E166:AA166,"¶")+COUNTIF($E166:AA166,"²")+COUNTIF($E166:AA166,"µ")+COUNTIF($E166:AA166,1)-1,INDEX(Roadmap!$D:$K,MATCH($E166,Roadmap!$D:$D,0)-1+COUNTIF($E166:AA166,"u")+COUNTIF($E166:AA166,"t")+COUNTIF($E166:AA166,"¶")+COUNTIF($E166:AA166,"²")+COUNTIF($E166:AA166,"µ")+COUNTIF($E166:AA166,1),ColDescriptionCourte)),""),
  "")),"")</f>
        <v/>
      </c>
      <c r="AC166" s="40" t="str">
        <f ca="1">IFERROR(IF(AND(
  INDEX(Roadmap!$D:$K,MATCH($E166,Roadmap!$D:$D,0)+COUNTIF($E166:AB166,"u")+COUNTIF($E166:AB166,"t")+COUNTIF($E166:AB166,"¶")+COUNTIF($E166:AB166,"²")+COUNTIF($E166:AB166,"µ")+COUNTIF($E166:AB166,1),ColLivraison)=AC$6,
  VLOOKUP($E166,INDIRECT("tri!"&amp; CHAR(64+ C0Col) &amp;":"&amp; CHAR(65+C0Col)),2,FALSE)&gt;COUNTIF($E166:AB166,"u")+COUNTIF($E166:AB166,"t")+COUNTIF($E166:AB166,"¶")+COUNTIF($E166:AB166,"²")+COUNTIF($E166:AB166,"µ")+COUNTIF($E166:AB166,1)),
HYPERLINK("#Roadmap!C"&amp; MATCH($E166,Roadmap!$D:$D,0)+COUNTIF($E166:AB166,"u")+COUNTIF($E166:AB166,"t"),
     INDEX(Roadmap!$D:$K,MATCH($E166,Roadmap!$D:$D,0)+COUNTIF($E166:AB166,"u")+COUNTIF($E166:AB166,"t")+COUNTIF($E166:AB166,"¶")+COUNTIF($E166:AB166,"²")+COUNTIF($E166:AB166,"µ")+COUNTIF($E166:AB166,1),ColTypeEcheance)),
  IF(LEN(AB166)=1,
  IF(LEN(INDEX(Roadmap!$D:$K,MATCH($E166,Roadmap!$D:$D,0)-1+COUNTIF($E166:AB166,"u")+COUNTIF($E166:AB166,"t")+COUNTIF($E166:AB166,"¶")+COUNTIF($E166:AB166,"²")+COUNTIF($E166:AB166,"µ")+COUNTIF($E166:AB166,1),ColDescriptionCourte))&gt;1,
HYPERLINK("#Roadmap!C"&amp; MATCH($E166,Roadmap!$D:$D,0)+COUNTIF($E166:AB166,"u")+COUNTIF($E166:AB166,"t")+COUNTIF($E166:AB166,"¶")+COUNTIF($E166:AB166,"²")+COUNTIF($E166:AB166,"µ")+COUNTIF($E166:AB166,1)-1,INDEX(Roadmap!$D:$K,MATCH($E166,Roadmap!$D:$D,0)-1+COUNTIF($E166:AB166,"u")+COUNTIF($E166:AB166,"t")+COUNTIF($E166:AB166,"¶")+COUNTIF($E166:AB166,"²")+COUNTIF($E166:AB166,"µ")+COUNTIF($E166:AB166,1),ColDescriptionCourte)),""),
  "")),"")</f>
        <v/>
      </c>
      <c r="AD166" s="40" t="str">
        <f ca="1">IFERROR(IF(AND(
  INDEX(Roadmap!$D:$K,MATCH($E166,Roadmap!$D:$D,0)+COUNTIF($E166:AC166,"u")+COUNTIF($E166:AC166,"t")+COUNTIF($E166:AC166,"¶")+COUNTIF($E166:AC166,"²")+COUNTIF($E166:AC166,"µ")+COUNTIF($E166:AC166,1),ColLivraison)=AD$6,
  VLOOKUP($E166,INDIRECT("tri!"&amp; CHAR(64+ C0Col) &amp;":"&amp; CHAR(65+C0Col)),2,FALSE)&gt;COUNTIF($E166:AC166,"u")+COUNTIF($E166:AC166,"t")+COUNTIF($E166:AC166,"¶")+COUNTIF($E166:AC166,"²")+COUNTIF($E166:AC166,"µ")+COUNTIF($E166:AC166,1)),
HYPERLINK("#Roadmap!C"&amp; MATCH($E166,Roadmap!$D:$D,0)+COUNTIF($E166:AC166,"u")+COUNTIF($E166:AC166,"t"),
     INDEX(Roadmap!$D:$K,MATCH($E166,Roadmap!$D:$D,0)+COUNTIF($E166:AC166,"u")+COUNTIF($E166:AC166,"t")+COUNTIF($E166:AC166,"¶")+COUNTIF($E166:AC166,"²")+COUNTIF($E166:AC166,"µ")+COUNTIF($E166:AC166,1),ColTypeEcheance)),
  IF(LEN(AC166)=1,
  IF(LEN(INDEX(Roadmap!$D:$K,MATCH($E166,Roadmap!$D:$D,0)-1+COUNTIF($E166:AC166,"u")+COUNTIF($E166:AC166,"t")+COUNTIF($E166:AC166,"¶")+COUNTIF($E166:AC166,"²")+COUNTIF($E166:AC166,"µ")+COUNTIF($E166:AC166,1),ColDescriptionCourte))&gt;1,
HYPERLINK("#Roadmap!C"&amp; MATCH($E166,Roadmap!$D:$D,0)+COUNTIF($E166:AC166,"u")+COUNTIF($E166:AC166,"t")+COUNTIF($E166:AC166,"¶")+COUNTIF($E166:AC166,"²")+COUNTIF($E166:AC166,"µ")+COUNTIF($E166:AC166,1)-1,INDEX(Roadmap!$D:$K,MATCH($E166,Roadmap!$D:$D,0)-1+COUNTIF($E166:AC166,"u")+COUNTIF($E166:AC166,"t")+COUNTIF($E166:AC166,"¶")+COUNTIF($E166:AC166,"²")+COUNTIF($E166:AC166,"µ")+COUNTIF($E166:AC166,1),ColDescriptionCourte)),""),
  "")),"")</f>
        <v/>
      </c>
      <c r="AE166" s="40" t="str">
        <f ca="1">IFERROR(IF(AND(
  INDEX(Roadmap!$D:$K,MATCH($E166,Roadmap!$D:$D,0)+COUNTIF($E166:AD166,"u")+COUNTIF($E166:AD166,"t")+COUNTIF($E166:AD166,"¶")+COUNTIF($E166:AD166,"²")+COUNTIF($E166:AD166,"µ")+COUNTIF($E166:AD166,1),ColLivraison)=AE$6,
  VLOOKUP($E166,INDIRECT("tri!"&amp; CHAR(64+ C0Col) &amp;":"&amp; CHAR(65+C0Col)),2,FALSE)&gt;COUNTIF($E166:AD166,"u")+COUNTIF($E166:AD166,"t")+COUNTIF($E166:AD166,"¶")+COUNTIF($E166:AD166,"²")+COUNTIF($E166:AD166,"µ")+COUNTIF($E166:AD166,1)),
HYPERLINK("#Roadmap!C"&amp; MATCH($E166,Roadmap!$D:$D,0)+COUNTIF($E166:AD166,"u")+COUNTIF($E166:AD166,"t"),
     INDEX(Roadmap!$D:$K,MATCH($E166,Roadmap!$D:$D,0)+COUNTIF($E166:AD166,"u")+COUNTIF($E166:AD166,"t")+COUNTIF($E166:AD166,"¶")+COUNTIF($E166:AD166,"²")+COUNTIF($E166:AD166,"µ")+COUNTIF($E166:AD166,1),ColTypeEcheance)),
  IF(LEN(AD166)=1,
  IF(LEN(INDEX(Roadmap!$D:$K,MATCH($E166,Roadmap!$D:$D,0)-1+COUNTIF($E166:AD166,"u")+COUNTIF($E166:AD166,"t")+COUNTIF($E166:AD166,"¶")+COUNTIF($E166:AD166,"²")+COUNTIF($E166:AD166,"µ")+COUNTIF($E166:AD166,1),ColDescriptionCourte))&gt;1,
HYPERLINK("#Roadmap!C"&amp; MATCH($E166,Roadmap!$D:$D,0)+COUNTIF($E166:AD166,"u")+COUNTIF($E166:AD166,"t")+COUNTIF($E166:AD166,"¶")+COUNTIF($E166:AD166,"²")+COUNTIF($E166:AD166,"µ")+COUNTIF($E166:AD166,1)-1,INDEX(Roadmap!$D:$K,MATCH($E166,Roadmap!$D:$D,0)-1+COUNTIF($E166:AD166,"u")+COUNTIF($E166:AD166,"t")+COUNTIF($E166:AD166,"¶")+COUNTIF($E166:AD166,"²")+COUNTIF($E166:AD166,"µ")+COUNTIF($E166:AD166,1),ColDescriptionCourte)),""),
  "")),"")</f>
        <v/>
      </c>
      <c r="AF166" s="40" t="str">
        <f ca="1">IFERROR(IF(AND(
  INDEX(Roadmap!$D:$K,MATCH($E166,Roadmap!$D:$D,0)+COUNTIF($E166:AE166,"u")+COUNTIF($E166:AE166,"t")+COUNTIF($E166:AE166,"¶")+COUNTIF($E166:AE166,"²")+COUNTIF($E166:AE166,"µ")+COUNTIF($E166:AE166,1),ColLivraison)=AF$6,
  VLOOKUP($E166,INDIRECT("tri!"&amp; CHAR(64+ C0Col) &amp;":"&amp; CHAR(65+C0Col)),2,FALSE)&gt;COUNTIF($E166:AE166,"u")+COUNTIF($E166:AE166,"t")+COUNTIF($E166:AE166,"¶")+COUNTIF($E166:AE166,"²")+COUNTIF($E166:AE166,"µ")+COUNTIF($E166:AE166,1)),
HYPERLINK("#Roadmap!C"&amp; MATCH($E166,Roadmap!$D:$D,0)+COUNTIF($E166:AE166,"u")+COUNTIF($E166:AE166,"t"),
     INDEX(Roadmap!$D:$K,MATCH($E166,Roadmap!$D:$D,0)+COUNTIF($E166:AE166,"u")+COUNTIF($E166:AE166,"t")+COUNTIF($E166:AE166,"¶")+COUNTIF($E166:AE166,"²")+COUNTIF($E166:AE166,"µ")+COUNTIF($E166:AE166,1),ColTypeEcheance)),
  IF(LEN(AE166)=1,
  IF(LEN(INDEX(Roadmap!$D:$K,MATCH($E166,Roadmap!$D:$D,0)-1+COUNTIF($E166:AE166,"u")+COUNTIF($E166:AE166,"t")+COUNTIF($E166:AE166,"¶")+COUNTIF($E166:AE166,"²")+COUNTIF($E166:AE166,"µ")+COUNTIF($E166:AE166,1),ColDescriptionCourte))&gt;1,
HYPERLINK("#Roadmap!C"&amp; MATCH($E166,Roadmap!$D:$D,0)+COUNTIF($E166:AE166,"u")+COUNTIF($E166:AE166,"t")+COUNTIF($E166:AE166,"¶")+COUNTIF($E166:AE166,"²")+COUNTIF($E166:AE166,"µ")+COUNTIF($E166:AE166,1)-1,INDEX(Roadmap!$D:$K,MATCH($E166,Roadmap!$D:$D,0)-1+COUNTIF($E166:AE166,"u")+COUNTIF($E166:AE166,"t")+COUNTIF($E166:AE166,"¶")+COUNTIF($E166:AE166,"²")+COUNTIF($E166:AE166,"µ")+COUNTIF($E166:AE166,1),ColDescriptionCourte)),""),
  "")),"")</f>
        <v/>
      </c>
      <c r="AG166" s="40" t="str">
        <f ca="1">IFERROR(IF(AND(
  INDEX(Roadmap!$D:$K,MATCH($E166,Roadmap!$D:$D,0)+COUNTIF($E166:AF166,"u")+COUNTIF($E166:AF166,"t")+COUNTIF($E166:AF166,"¶")+COUNTIF($E166:AF166,"²")+COUNTIF($E166:AF166,"µ")+COUNTIF($E166:AF166,1),ColLivraison)=AG$6,
  VLOOKUP($E166,INDIRECT("tri!"&amp; CHAR(64+ C0Col) &amp;":"&amp; CHAR(65+C0Col)),2,FALSE)&gt;COUNTIF($E166:AF166,"u")+COUNTIF($E166:AF166,"t")+COUNTIF($E166:AF166,"¶")+COUNTIF($E166:AF166,"²")+COUNTIF($E166:AF166,"µ")+COUNTIF($E166:AF166,1)),
HYPERLINK("#Roadmap!C"&amp; MATCH($E166,Roadmap!$D:$D,0)+COUNTIF($E166:AF166,"u")+COUNTIF($E166:AF166,"t"),
     INDEX(Roadmap!$D:$K,MATCH($E166,Roadmap!$D:$D,0)+COUNTIF($E166:AF166,"u")+COUNTIF($E166:AF166,"t")+COUNTIF($E166:AF166,"¶")+COUNTIF($E166:AF166,"²")+COUNTIF($E166:AF166,"µ")+COUNTIF($E166:AF166,1),ColTypeEcheance)),
  IF(LEN(AF166)=1,
  IF(LEN(INDEX(Roadmap!$D:$K,MATCH($E166,Roadmap!$D:$D,0)-1+COUNTIF($E166:AF166,"u")+COUNTIF($E166:AF166,"t")+COUNTIF($E166:AF166,"¶")+COUNTIF($E166:AF166,"²")+COUNTIF($E166:AF166,"µ")+COUNTIF($E166:AF166,1),ColDescriptionCourte))&gt;1,
HYPERLINK("#Roadmap!C"&amp; MATCH($E166,Roadmap!$D:$D,0)+COUNTIF($E166:AF166,"u")+COUNTIF($E166:AF166,"t")+COUNTIF($E166:AF166,"¶")+COUNTIF($E166:AF166,"²")+COUNTIF($E166:AF166,"µ")+COUNTIF($E166:AF166,1)-1,INDEX(Roadmap!$D:$K,MATCH($E166,Roadmap!$D:$D,0)-1+COUNTIF($E166:AF166,"u")+COUNTIF($E166:AF166,"t")+COUNTIF($E166:AF166,"¶")+COUNTIF($E166:AF166,"²")+COUNTIF($E166:AF166,"µ")+COUNTIF($E166:AF166,1),ColDescriptionCourte)),""),
  "")),"")</f>
        <v/>
      </c>
    </row>
    <row r="167" spans="3:33" ht="14.25" customHeight="1">
      <c r="C167" s="1" t="str">
        <f t="shared" ref="C167:C200" ca="1" si="54">IFERROR(IF(LEN(INDIRECT(ADDRESS(C0Ligne+ROW()-MaquetteLigne0,C0Col-2,1,1,"Tri")))&lt;2,"",IF(LEFT(INDIRECT(ADDRESS(C0Ligne+ROW()-MaquetteLigne0,C0Col-2,1,1,"Tri")),5)="Total","",INDIRECT(ADDRESS(C0Ligne+ROW()-MaquetteLigne0,C0Col-2,1,1,"Tri")))),"")</f>
        <v/>
      </c>
      <c r="D167" s="1" t="str">
        <f t="shared" ref="D167:D200" ca="1" si="55">IFERROR(IF(LEN(INDIRECT(ADDRESS(C0Ligne+ROW()-MaquetteLigne0,C0Col-1,1,1,"Tri")))&lt;2,"",IF(LEFT(INDIRECT(ADDRESS(C0Ligne+ROW()-MaquetteLigne0,C0Col-1,1,1,"Tri")),5)="Total","",INDIRECT(ADDRESS(C0Ligne+ROW()-MaquetteLigne0,C0Col-1,1,1,"Tri")))),"")</f>
        <v/>
      </c>
      <c r="E167" s="35" t="str">
        <f t="shared" ca="1" si="51"/>
        <v/>
      </c>
      <c r="F167" s="39" t="str">
        <f ca="1">IFERROR(IF(AND(
  INDEX(Roadmap!$D:$K,MATCH($E167,Roadmap!$D:$D,0)+COUNTIF($E167:E167,"u")+COUNTIF($E167:E167,"t")+COUNTIF($E167:E167,"¶")+COUNTIF($E167:E167,"²")+COUNTIF($E167:E167,"µ")+COUNTIF($E167:E167,1),ColLivraison)=F$6,
  VLOOKUP($E167,INDIRECT("tri!"&amp; CHAR(64+ C0Col) &amp;":"&amp; CHAR(65+C0Col)),2,FALSE)&gt;COUNTIF($E167:E167,"u")+COUNTIF($E167:E167,"t")+COUNTIF($E167:E167,"¶")+COUNTIF($E167:E167,"²")+COUNTIF($E167:E167,"µ")+COUNTIF($E167:E167,1)),
HYPERLINK("#Roadmap!C"&amp; MATCH($E167,Roadmap!$D:$D,0)+COUNTIF($E167:E167,"u")+COUNTIF($E167:E167,"t"),
     INDEX(Roadmap!$D:$K,MATCH($E167,Roadmap!$D:$D,0)+COUNTIF($E167:E167,"u")+COUNTIF($E167:E167,"t")+COUNTIF($E167:E167,"¶")+COUNTIF($E167:E167,"²")+COUNTIF($E167:E167,"µ")+COUNTIF($E167:E167,1),ColTypeEcheance)),
  IF(LEN(E167)=1,
  IF(LEN(INDEX(Roadmap!$D:$K,MATCH($E167,Roadmap!$D:$D,0)-1+COUNTIF($E167:E167,"u")+COUNTIF($E167:E167,"t")+COUNTIF($E167:E167,"¶")+COUNTIF($E167:E167,"²")+COUNTIF($E167:E167,"µ")+COUNTIF($E167:E167,1),ColDescriptionCourte))&gt;1,
HYPERLINK("#Roadmap!C"&amp; MATCH($E167,Roadmap!$D:$D,0)+COUNTIF($E167:E167,"u")+COUNTIF($E167:E167,"t")+COUNTIF($E167:E167,"¶")+COUNTIF($E167:E167,"²")+COUNTIF($E167:E167,"µ")+COUNTIF($E167:E167,1)-1,INDEX(Roadmap!$D:$K,MATCH($E167,Roadmap!$D:$D,0)-1+COUNTIF($E167:E167,"u")+COUNTIF($E167:E167,"t")+COUNTIF($E167:E167,"¶")+COUNTIF($E167:E167,"²")+COUNTIF($E167:E167,"µ")+COUNTIF($E167:E167,1),ColDescriptionCourte)),""),
  "")),"")</f>
        <v/>
      </c>
      <c r="G167" s="40" t="str">
        <f ca="1">IFERROR(IF(AND(
  INDEX(Roadmap!$D:$K,MATCH($E167,Roadmap!$D:$D,0)+COUNTIF($E167:F167,"u")+COUNTIF($E167:F167,"t")+COUNTIF($E167:F167,"¶")+COUNTIF($E167:F167,"²")+COUNTIF($E167:F167,"µ")+COUNTIF($E167:F167,1),ColLivraison)=G$6,
  VLOOKUP($E167,INDIRECT("tri!"&amp; CHAR(64+ C0Col) &amp;":"&amp; CHAR(65+C0Col)),2,FALSE)&gt;COUNTIF($E167:F167,"u")+COUNTIF($E167:F167,"t")+COUNTIF($E167:F167,"¶")+COUNTIF($E167:F167,"²")+COUNTIF($E167:F167,"µ")+COUNTIF($E167:F167,1)),
HYPERLINK("#Roadmap!C"&amp; MATCH($E167,Roadmap!$D:$D,0)+COUNTIF($E167:F167,"u")+COUNTIF($E167:F167,"t"),
     INDEX(Roadmap!$D:$K,MATCH($E167,Roadmap!$D:$D,0)+COUNTIF($E167:F167,"u")+COUNTIF($E167:F167,"t")+COUNTIF($E167:F167,"¶")+COUNTIF($E167:F167,"²")+COUNTIF($E167:F167,"µ")+COUNTIF($E167:F167,1),ColTypeEcheance)),
  IF(LEN(F167)=1,
  IF(LEN(INDEX(Roadmap!$D:$K,MATCH($E167,Roadmap!$D:$D,0)-1+COUNTIF($E167:F167,"u")+COUNTIF($E167:F167,"t")+COUNTIF($E167:F167,"¶")+COUNTIF($E167:F167,"²")+COUNTIF($E167:F167,"µ")+COUNTIF($E167:F167,1),ColDescriptionCourte))&gt;1,
HYPERLINK("#Roadmap!C"&amp; MATCH($E167,Roadmap!$D:$D,0)+COUNTIF($E167:F167,"u")+COUNTIF($E167:F167,"t")+COUNTIF($E167:F167,"¶")+COUNTIF($E167:F167,"²")+COUNTIF($E167:F167,"µ")+COUNTIF($E167:F167,1)-1,INDEX(Roadmap!$D:$K,MATCH($E167,Roadmap!$D:$D,0)-1+COUNTIF($E167:F167,"u")+COUNTIF($E167:F167,"t")+COUNTIF($E167:F167,"¶")+COUNTIF($E167:F167,"²")+COUNTIF($E167:F167,"µ")+COUNTIF($E167:F167,1),ColDescriptionCourte)),""),
  "")),"")</f>
        <v/>
      </c>
      <c r="H167" s="40" t="str">
        <f ca="1">IFERROR(IF(AND(
  INDEX(Roadmap!$D:$K,MATCH($E167,Roadmap!$D:$D,0)+COUNTIF($E167:G167,"u")+COUNTIF($E167:G167,"t")+COUNTIF($E167:G167,"¶")+COUNTIF($E167:G167,"²")+COUNTIF($E167:G167,"µ")+COUNTIF($E167:G167,1),ColLivraison)=H$6,
  VLOOKUP($E167,INDIRECT("tri!"&amp; CHAR(64+ C0Col) &amp;":"&amp; CHAR(65+C0Col)),2,FALSE)&gt;COUNTIF($E167:G167,"u")+COUNTIF($E167:G167,"t")+COUNTIF($E167:G167,"¶")+COUNTIF($E167:G167,"²")+COUNTIF($E167:G167,"µ")+COUNTIF($E167:G167,1)),
HYPERLINK("#Roadmap!C"&amp; MATCH($E167,Roadmap!$D:$D,0)+COUNTIF($E167:G167,"u")+COUNTIF($E167:G167,"t"),
     INDEX(Roadmap!$D:$K,MATCH($E167,Roadmap!$D:$D,0)+COUNTIF($E167:G167,"u")+COUNTIF($E167:G167,"t")+COUNTIF($E167:G167,"¶")+COUNTIF($E167:G167,"²")+COUNTIF($E167:G167,"µ")+COUNTIF($E167:G167,1),ColTypeEcheance)),
  IF(LEN(G167)=1,
  IF(LEN(INDEX(Roadmap!$D:$K,MATCH($E167,Roadmap!$D:$D,0)-1+COUNTIF($E167:G167,"u")+COUNTIF($E167:G167,"t")+COUNTIF($E167:G167,"¶")+COUNTIF($E167:G167,"²")+COUNTIF($E167:G167,"µ")+COUNTIF($E167:G167,1),ColDescriptionCourte))&gt;1,
HYPERLINK("#Roadmap!C"&amp; MATCH($E167,Roadmap!$D:$D,0)+COUNTIF($E167:G167,"u")+COUNTIF($E167:G167,"t")+COUNTIF($E167:G167,"¶")+COUNTIF($E167:G167,"²")+COUNTIF($E167:G167,"µ")+COUNTIF($E167:G167,1)-1,INDEX(Roadmap!$D:$K,MATCH($E167,Roadmap!$D:$D,0)-1+COUNTIF($E167:G167,"u")+COUNTIF($E167:G167,"t")+COUNTIF($E167:G167,"¶")+COUNTIF($E167:G167,"²")+COUNTIF($E167:G167,"µ")+COUNTIF($E167:G167,1),ColDescriptionCourte)),""),
  "")),"")</f>
        <v/>
      </c>
      <c r="I167" s="40" t="str">
        <f ca="1">IFERROR(IF(AND(
  INDEX(Roadmap!$D:$K,MATCH($E167,Roadmap!$D:$D,0)+COUNTIF($E167:H167,"u")+COUNTIF($E167:H167,"t")+COUNTIF($E167:H167,"¶")+COUNTIF($E167:H167,"²")+COUNTIF($E167:H167,"µ")+COUNTIF($E167:H167,1),ColLivraison)=I$6,
  VLOOKUP($E167,INDIRECT("tri!"&amp; CHAR(64+ C0Col) &amp;":"&amp; CHAR(65+C0Col)),2,FALSE)&gt;COUNTIF($E167:H167,"u")+COUNTIF($E167:H167,"t")+COUNTIF($E167:H167,"¶")+COUNTIF($E167:H167,"²")+COUNTIF($E167:H167,"µ")+COUNTIF($E167:H167,1)),
HYPERLINK("#Roadmap!C"&amp; MATCH($E167,Roadmap!$D:$D,0)+COUNTIF($E167:H167,"u")+COUNTIF($E167:H167,"t"),
     INDEX(Roadmap!$D:$K,MATCH($E167,Roadmap!$D:$D,0)+COUNTIF($E167:H167,"u")+COUNTIF($E167:H167,"t")+COUNTIF($E167:H167,"¶")+COUNTIF($E167:H167,"²")+COUNTIF($E167:H167,"µ")+COUNTIF($E167:H167,1),ColTypeEcheance)),
  IF(LEN(H167)=1,
  IF(LEN(INDEX(Roadmap!$D:$K,MATCH($E167,Roadmap!$D:$D,0)-1+COUNTIF($E167:H167,"u")+COUNTIF($E167:H167,"t")+COUNTIF($E167:H167,"¶")+COUNTIF($E167:H167,"²")+COUNTIF($E167:H167,"µ")+COUNTIF($E167:H167,1),ColDescriptionCourte))&gt;1,
HYPERLINK("#Roadmap!C"&amp; MATCH($E167,Roadmap!$D:$D,0)+COUNTIF($E167:H167,"u")+COUNTIF($E167:H167,"t")+COUNTIF($E167:H167,"¶")+COUNTIF($E167:H167,"²")+COUNTIF($E167:H167,"µ")+COUNTIF($E167:H167,1)-1,INDEX(Roadmap!$D:$K,MATCH($E167,Roadmap!$D:$D,0)-1+COUNTIF($E167:H167,"u")+COUNTIF($E167:H167,"t")+COUNTIF($E167:H167,"¶")+COUNTIF($E167:H167,"²")+COUNTIF($E167:H167,"µ")+COUNTIF($E167:H167,1),ColDescriptionCourte)),""),
  "")),"")</f>
        <v/>
      </c>
      <c r="J167" s="40" t="str">
        <f ca="1">IFERROR(IF(AND(
  INDEX(Roadmap!$D:$K,MATCH($E167,Roadmap!$D:$D,0)+COUNTIF($E167:I167,"u")+COUNTIF($E167:I167,"t")+COUNTIF($E167:I167,"¶")+COUNTIF($E167:I167,"²")+COUNTIF($E167:I167,"µ")+COUNTIF($E167:I167,1),ColLivraison)=J$6,
  VLOOKUP($E167,INDIRECT("tri!"&amp; CHAR(64+ C0Col) &amp;":"&amp; CHAR(65+C0Col)),2,FALSE)&gt;COUNTIF($E167:I167,"u")+COUNTIF($E167:I167,"t")+COUNTIF($E167:I167,"¶")+COUNTIF($E167:I167,"²")+COUNTIF($E167:I167,"µ")+COUNTIF($E167:I167,1)),
HYPERLINK("#Roadmap!C"&amp; MATCH($E167,Roadmap!$D:$D,0)+COUNTIF($E167:I167,"u")+COUNTIF($E167:I167,"t"),
     INDEX(Roadmap!$D:$K,MATCH($E167,Roadmap!$D:$D,0)+COUNTIF($E167:I167,"u")+COUNTIF($E167:I167,"t")+COUNTIF($E167:I167,"¶")+COUNTIF($E167:I167,"²")+COUNTIF($E167:I167,"µ")+COUNTIF($E167:I167,1),ColTypeEcheance)),
  IF(LEN(I167)=1,
  IF(LEN(INDEX(Roadmap!$D:$K,MATCH($E167,Roadmap!$D:$D,0)-1+COUNTIF($E167:I167,"u")+COUNTIF($E167:I167,"t")+COUNTIF($E167:I167,"¶")+COUNTIF($E167:I167,"²")+COUNTIF($E167:I167,"µ")+COUNTIF($E167:I167,1),ColDescriptionCourte))&gt;1,
HYPERLINK("#Roadmap!C"&amp; MATCH($E167,Roadmap!$D:$D,0)+COUNTIF($E167:I167,"u")+COUNTIF($E167:I167,"t")+COUNTIF($E167:I167,"¶")+COUNTIF($E167:I167,"²")+COUNTIF($E167:I167,"µ")+COUNTIF($E167:I167,1)-1,INDEX(Roadmap!$D:$K,MATCH($E167,Roadmap!$D:$D,0)-1+COUNTIF($E167:I167,"u")+COUNTIF($E167:I167,"t")+COUNTIF($E167:I167,"¶")+COUNTIF($E167:I167,"²")+COUNTIF($E167:I167,"µ")+COUNTIF($E167:I167,1),ColDescriptionCourte)),""),
  "")),"")</f>
        <v/>
      </c>
      <c r="K167" s="40" t="str">
        <f ca="1">IFERROR(IF(AND(
  INDEX(Roadmap!$D:$K,MATCH($E167,Roadmap!$D:$D,0)+COUNTIF($E167:J167,"u")+COUNTIF($E167:J167,"t")+COUNTIF($E167:J167,"¶")+COUNTIF($E167:J167,"²")+COUNTIF($E167:J167,"µ")+COUNTIF($E167:J167,1),ColLivraison)=K$6,
  VLOOKUP($E167,INDIRECT("tri!"&amp; CHAR(64+ C0Col) &amp;":"&amp; CHAR(65+C0Col)),2,FALSE)&gt;COUNTIF($E167:J167,"u")+COUNTIF($E167:J167,"t")+COUNTIF($E167:J167,"¶")+COUNTIF($E167:J167,"²")+COUNTIF($E167:J167,"µ")+COUNTIF($E167:J167,1)),
HYPERLINK("#Roadmap!C"&amp; MATCH($E167,Roadmap!$D:$D,0)+COUNTIF($E167:J167,"u")+COUNTIF($E167:J167,"t"),
     INDEX(Roadmap!$D:$K,MATCH($E167,Roadmap!$D:$D,0)+COUNTIF($E167:J167,"u")+COUNTIF($E167:J167,"t")+COUNTIF($E167:J167,"¶")+COUNTIF($E167:J167,"²")+COUNTIF($E167:J167,"µ")+COUNTIF($E167:J167,1),ColTypeEcheance)),
  IF(LEN(J167)=1,
  IF(LEN(INDEX(Roadmap!$D:$K,MATCH($E167,Roadmap!$D:$D,0)-1+COUNTIF($E167:J167,"u")+COUNTIF($E167:J167,"t")+COUNTIF($E167:J167,"¶")+COUNTIF($E167:J167,"²")+COUNTIF($E167:J167,"µ")+COUNTIF($E167:J167,1),ColDescriptionCourte))&gt;1,
HYPERLINK("#Roadmap!C"&amp; MATCH($E167,Roadmap!$D:$D,0)+COUNTIF($E167:J167,"u")+COUNTIF($E167:J167,"t")+COUNTIF($E167:J167,"¶")+COUNTIF($E167:J167,"²")+COUNTIF($E167:J167,"µ")+COUNTIF($E167:J167,1)-1,INDEX(Roadmap!$D:$K,MATCH($E167,Roadmap!$D:$D,0)-1+COUNTIF($E167:J167,"u")+COUNTIF($E167:J167,"t")+COUNTIF($E167:J167,"¶")+COUNTIF($E167:J167,"²")+COUNTIF($E167:J167,"µ")+COUNTIF($E167:J167,1),ColDescriptionCourte)),""),
  "")),"")</f>
        <v/>
      </c>
      <c r="L167" s="39" t="str">
        <f ca="1">IFERROR(IF(AND(
  INDEX(Roadmap!$D:$K,MATCH($E167,Roadmap!$D:$D,0)+COUNTIF($E167:K167,"u")+COUNTIF($E167:K167,"t")+COUNTIF($E167:K167,"¶")+COUNTIF($E167:K167,"²")+COUNTIF($E167:K167,"µ")+COUNTIF($E167:K167,1),ColLivraison)=L$6,
  VLOOKUP($E167,INDIRECT("tri!"&amp; CHAR(64+ C0Col) &amp;":"&amp; CHAR(65+C0Col)),2,FALSE)&gt;COUNTIF($E167:K167,"u")+COUNTIF($E167:K167,"t")+COUNTIF($E167:K167,"¶")+COUNTIF($E167:K167,"²")+COUNTIF($E167:K167,"µ")+COUNTIF($E167:K167,1)),
HYPERLINK("#Roadmap!C"&amp; MATCH($E167,Roadmap!$D:$D,0)+COUNTIF($E167:K167,"u")+COUNTIF($E167:K167,"t"),
     INDEX(Roadmap!$D:$K,MATCH($E167,Roadmap!$D:$D,0)+COUNTIF($E167:K167,"u")+COUNTIF($E167:K167,"t")+COUNTIF($E167:K167,"¶")+COUNTIF($E167:K167,"²")+COUNTIF($E167:K167,"µ")+COUNTIF($E167:K167,1),ColTypeEcheance)),
  IF(LEN(K167)=1,
  IF(LEN(INDEX(Roadmap!$D:$K,MATCH($E167,Roadmap!$D:$D,0)-1+COUNTIF($E167:K167,"u")+COUNTIF($E167:K167,"t")+COUNTIF($E167:K167,"¶")+COUNTIF($E167:K167,"²")+COUNTIF($E167:K167,"µ")+COUNTIF($E167:K167,1),ColDescriptionCourte))&gt;1,
HYPERLINK("#Roadmap!C"&amp; MATCH($E167,Roadmap!$D:$D,0)+COUNTIF($E167:K167,"u")+COUNTIF($E167:K167,"t")+COUNTIF($E167:K167,"¶")+COUNTIF($E167:K167,"²")+COUNTIF($E167:K167,"µ")+COUNTIF($E167:K167,1)-1,INDEX(Roadmap!$D:$K,MATCH($E167,Roadmap!$D:$D,0)-1+COUNTIF($E167:K167,"u")+COUNTIF($E167:K167,"t")+COUNTIF($E167:K167,"¶")+COUNTIF($E167:K167,"²")+COUNTIF($E167:K167,"µ")+COUNTIF($E167:K167,1),ColDescriptionCourte)),""),
  "")),"")</f>
        <v/>
      </c>
      <c r="M167" s="40" t="str">
        <f ca="1">IFERROR(IF(AND(
  INDEX(Roadmap!$D:$K,MATCH($E167,Roadmap!$D:$D,0)+COUNTIF($E167:L167,"u")+COUNTIF($E167:L167,"t")+COUNTIF($E167:L167,"¶")+COUNTIF($E167:L167,"²")+COUNTIF($E167:L167,"µ")+COUNTIF($E167:L167,1),ColLivraison)=M$6,
  VLOOKUP($E167,INDIRECT("tri!"&amp; CHAR(64+ C0Col) &amp;":"&amp; CHAR(65+C0Col)),2,FALSE)&gt;COUNTIF($E167:L167,"u")+COUNTIF($E167:L167,"t")+COUNTIF($E167:L167,"¶")+COUNTIF($E167:L167,"²")+COUNTIF($E167:L167,"µ")+COUNTIF($E167:L167,1)),
HYPERLINK("#Roadmap!C"&amp; MATCH($E167,Roadmap!$D:$D,0)+COUNTIF($E167:L167,"u")+COUNTIF($E167:L167,"t"),
     INDEX(Roadmap!$D:$K,MATCH($E167,Roadmap!$D:$D,0)+COUNTIF($E167:L167,"u")+COUNTIF($E167:L167,"t")+COUNTIF($E167:L167,"¶")+COUNTIF($E167:L167,"²")+COUNTIF($E167:L167,"µ")+COUNTIF($E167:L167,1),ColTypeEcheance)),
  IF(LEN(L167)=1,
  IF(LEN(INDEX(Roadmap!$D:$K,MATCH($E167,Roadmap!$D:$D,0)-1+COUNTIF($E167:L167,"u")+COUNTIF($E167:L167,"t")+COUNTIF($E167:L167,"¶")+COUNTIF($E167:L167,"²")+COUNTIF($E167:L167,"µ")+COUNTIF($E167:L167,1),ColDescriptionCourte))&gt;1,
HYPERLINK("#Roadmap!C"&amp; MATCH($E167,Roadmap!$D:$D,0)+COUNTIF($E167:L167,"u")+COUNTIF($E167:L167,"t")+COUNTIF($E167:L167,"¶")+COUNTIF($E167:L167,"²")+COUNTIF($E167:L167,"µ")+COUNTIF($E167:L167,1)-1,INDEX(Roadmap!$D:$K,MATCH($E167,Roadmap!$D:$D,0)-1+COUNTIF($E167:L167,"u")+COUNTIF($E167:L167,"t")+COUNTIF($E167:L167,"¶")+COUNTIF($E167:L167,"²")+COUNTIF($E167:L167,"µ")+COUNTIF($E167:L167,1),ColDescriptionCourte)),""),
  "")),"")</f>
        <v/>
      </c>
      <c r="N167" s="40" t="str">
        <f ca="1">IFERROR(IF(AND(
  INDEX(Roadmap!$D:$K,MATCH($E167,Roadmap!$D:$D,0)+COUNTIF($E167:M167,"u")+COUNTIF($E167:M167,"t")+COUNTIF($E167:M167,"¶")+COUNTIF($E167:M167,"²")+COUNTIF($E167:M167,"µ")+COUNTIF($E167:M167,1),ColLivraison)=N$6,
  VLOOKUP($E167,INDIRECT("tri!"&amp; CHAR(64+ C0Col) &amp;":"&amp; CHAR(65+C0Col)),2,FALSE)&gt;COUNTIF($E167:M167,"u")+COUNTIF($E167:M167,"t")+COUNTIF($E167:M167,"¶")+COUNTIF($E167:M167,"²")+COUNTIF($E167:M167,"µ")+COUNTIF($E167:M167,1)),
HYPERLINK("#Roadmap!C"&amp; MATCH($E167,Roadmap!$D:$D,0)+COUNTIF($E167:M167,"u")+COUNTIF($E167:M167,"t"),
     INDEX(Roadmap!$D:$K,MATCH($E167,Roadmap!$D:$D,0)+COUNTIF($E167:M167,"u")+COUNTIF($E167:M167,"t")+COUNTIF($E167:M167,"¶")+COUNTIF($E167:M167,"²")+COUNTIF($E167:M167,"µ")+COUNTIF($E167:M167,1),ColTypeEcheance)),
  IF(LEN(M167)=1,
  IF(LEN(INDEX(Roadmap!$D:$K,MATCH($E167,Roadmap!$D:$D,0)-1+COUNTIF($E167:M167,"u")+COUNTIF($E167:M167,"t")+COUNTIF($E167:M167,"¶")+COUNTIF($E167:M167,"²")+COUNTIF($E167:M167,"µ")+COUNTIF($E167:M167,1),ColDescriptionCourte))&gt;1,
HYPERLINK("#Roadmap!C"&amp; MATCH($E167,Roadmap!$D:$D,0)+COUNTIF($E167:M167,"u")+COUNTIF($E167:M167,"t")+COUNTIF($E167:M167,"¶")+COUNTIF($E167:M167,"²")+COUNTIF($E167:M167,"µ")+COUNTIF($E167:M167,1)-1,INDEX(Roadmap!$D:$K,MATCH($E167,Roadmap!$D:$D,0)-1+COUNTIF($E167:M167,"u")+COUNTIF($E167:M167,"t")+COUNTIF($E167:M167,"¶")+COUNTIF($E167:M167,"²")+COUNTIF($E167:M167,"µ")+COUNTIF($E167:M167,1),ColDescriptionCourte)),""),
  "")),"")</f>
        <v/>
      </c>
      <c r="O167" s="40" t="str">
        <f ca="1">IFERROR(IF(AND(
  INDEX(Roadmap!$D:$K,MATCH($E167,Roadmap!$D:$D,0)+COUNTIF($E167:N167,"u")+COUNTIF($E167:N167,"t")+COUNTIF($E167:N167,"¶")+COUNTIF($E167:N167,"²")+COUNTIF($E167:N167,"µ")+COUNTIF($E167:N167,1),ColLivraison)=O$6,
  VLOOKUP($E167,INDIRECT("tri!"&amp; CHAR(64+ C0Col) &amp;":"&amp; CHAR(65+C0Col)),2,FALSE)&gt;COUNTIF($E167:N167,"u")+COUNTIF($E167:N167,"t")+COUNTIF($E167:N167,"¶")+COUNTIF($E167:N167,"²")+COUNTIF($E167:N167,"µ")+COUNTIF($E167:N167,1)),
HYPERLINK("#Roadmap!C"&amp; MATCH($E167,Roadmap!$D:$D,0)+COUNTIF($E167:N167,"u")+COUNTIF($E167:N167,"t"),
     INDEX(Roadmap!$D:$K,MATCH($E167,Roadmap!$D:$D,0)+COUNTIF($E167:N167,"u")+COUNTIF($E167:N167,"t")+COUNTIF($E167:N167,"¶")+COUNTIF($E167:N167,"²")+COUNTIF($E167:N167,"µ")+COUNTIF($E167:N167,1),ColTypeEcheance)),
  IF(LEN(N167)=1,
  IF(LEN(INDEX(Roadmap!$D:$K,MATCH($E167,Roadmap!$D:$D,0)-1+COUNTIF($E167:N167,"u")+COUNTIF($E167:N167,"t")+COUNTIF($E167:N167,"¶")+COUNTIF($E167:N167,"²")+COUNTIF($E167:N167,"µ")+COUNTIF($E167:N167,1),ColDescriptionCourte))&gt;1,
HYPERLINK("#Roadmap!C"&amp; MATCH($E167,Roadmap!$D:$D,0)+COUNTIF($E167:N167,"u")+COUNTIF($E167:N167,"t")+COUNTIF($E167:N167,"¶")+COUNTIF($E167:N167,"²")+COUNTIF($E167:N167,"µ")+COUNTIF($E167:N167,1)-1,INDEX(Roadmap!$D:$K,MATCH($E167,Roadmap!$D:$D,0)-1+COUNTIF($E167:N167,"u")+COUNTIF($E167:N167,"t")+COUNTIF($E167:N167,"¶")+COUNTIF($E167:N167,"²")+COUNTIF($E167:N167,"µ")+COUNTIF($E167:N167,1),ColDescriptionCourte)),""),
  "")),"")</f>
        <v/>
      </c>
      <c r="P167" s="40" t="str">
        <f ca="1">IFERROR(IF(AND(
  INDEX(Roadmap!$D:$K,MATCH($E167,Roadmap!$D:$D,0)+COUNTIF($E167:O167,"u")+COUNTIF($E167:O167,"t")+COUNTIF($E167:O167,"¶")+COUNTIF($E167:O167,"²")+COUNTIF($E167:O167,"µ")+COUNTIF($E167:O167,1),ColLivraison)=P$6,
  VLOOKUP($E167,INDIRECT("tri!"&amp; CHAR(64+ C0Col) &amp;":"&amp; CHAR(65+C0Col)),2,FALSE)&gt;COUNTIF($E167:O167,"u")+COUNTIF($E167:O167,"t")+COUNTIF($E167:O167,"¶")+COUNTIF($E167:O167,"²")+COUNTIF($E167:O167,"µ")+COUNTIF($E167:O167,1)),
HYPERLINK("#Roadmap!C"&amp; MATCH($E167,Roadmap!$D:$D,0)+COUNTIF($E167:O167,"u")+COUNTIF($E167:O167,"t"),
     INDEX(Roadmap!$D:$K,MATCH($E167,Roadmap!$D:$D,0)+COUNTIF($E167:O167,"u")+COUNTIF($E167:O167,"t")+COUNTIF($E167:O167,"¶")+COUNTIF($E167:O167,"²")+COUNTIF($E167:O167,"µ")+COUNTIF($E167:O167,1),ColTypeEcheance)),
  IF(LEN(O167)=1,
  IF(LEN(INDEX(Roadmap!$D:$K,MATCH($E167,Roadmap!$D:$D,0)-1+COUNTIF($E167:O167,"u")+COUNTIF($E167:O167,"t")+COUNTIF($E167:O167,"¶")+COUNTIF($E167:O167,"²")+COUNTIF($E167:O167,"µ")+COUNTIF($E167:O167,1),ColDescriptionCourte))&gt;1,
HYPERLINK("#Roadmap!C"&amp; MATCH($E167,Roadmap!$D:$D,0)+COUNTIF($E167:O167,"u")+COUNTIF($E167:O167,"t")+COUNTIF($E167:O167,"¶")+COUNTIF($E167:O167,"²")+COUNTIF($E167:O167,"µ")+COUNTIF($E167:O167,1)-1,INDEX(Roadmap!$D:$K,MATCH($E167,Roadmap!$D:$D,0)-1+COUNTIF($E167:O167,"u")+COUNTIF($E167:O167,"t")+COUNTIF($E167:O167,"¶")+COUNTIF($E167:O167,"²")+COUNTIF($E167:O167,"µ")+COUNTIF($E167:O167,1),ColDescriptionCourte)),""),
  "")),"")</f>
        <v/>
      </c>
      <c r="Q167" s="40" t="str">
        <f ca="1">IFERROR(IF(AND(
  INDEX(Roadmap!$D:$K,MATCH($E167,Roadmap!$D:$D,0)+COUNTIF($E167:P167,"u")+COUNTIF($E167:P167,"t")+COUNTIF($E167:P167,"¶")+COUNTIF($E167:P167,"²")+COUNTIF($E167:P167,"µ")+COUNTIF($E167:P167,1),ColLivraison)=Q$6,
  VLOOKUP($E167,INDIRECT("tri!"&amp; CHAR(64+ C0Col) &amp;":"&amp; CHAR(65+C0Col)),2,FALSE)&gt;COUNTIF($E167:P167,"u")+COUNTIF($E167:P167,"t")+COUNTIF($E167:P167,"¶")+COUNTIF($E167:P167,"²")+COUNTIF($E167:P167,"µ")+COUNTIF($E167:P167,1)),
HYPERLINK("#Roadmap!C"&amp; MATCH($E167,Roadmap!$D:$D,0)+COUNTIF($E167:P167,"u")+COUNTIF($E167:P167,"t"),
     INDEX(Roadmap!$D:$K,MATCH($E167,Roadmap!$D:$D,0)+COUNTIF($E167:P167,"u")+COUNTIF($E167:P167,"t")+COUNTIF($E167:P167,"¶")+COUNTIF($E167:P167,"²")+COUNTIF($E167:P167,"µ")+COUNTIF($E167:P167,1),ColTypeEcheance)),
  IF(LEN(P167)=1,
  IF(LEN(INDEX(Roadmap!$D:$K,MATCH($E167,Roadmap!$D:$D,0)-1+COUNTIF($E167:P167,"u")+COUNTIF($E167:P167,"t")+COUNTIF($E167:P167,"¶")+COUNTIF($E167:P167,"²")+COUNTIF($E167:P167,"µ")+COUNTIF($E167:P167,1),ColDescriptionCourte))&gt;1,
HYPERLINK("#Roadmap!C"&amp; MATCH($E167,Roadmap!$D:$D,0)+COUNTIF($E167:P167,"u")+COUNTIF($E167:P167,"t")+COUNTIF($E167:P167,"¶")+COUNTIF($E167:P167,"²")+COUNTIF($E167:P167,"µ")+COUNTIF($E167:P167,1)-1,INDEX(Roadmap!$D:$K,MATCH($E167,Roadmap!$D:$D,0)-1+COUNTIF($E167:P167,"u")+COUNTIF($E167:P167,"t")+COUNTIF($E167:P167,"¶")+COUNTIF($E167:P167,"²")+COUNTIF($E167:P167,"µ")+COUNTIF($E167:P167,1),ColDescriptionCourte)),""),
  "")),"")</f>
        <v/>
      </c>
      <c r="R167" s="40" t="str">
        <f ca="1">IFERROR(IF(AND(
  INDEX(Roadmap!$D:$K,MATCH($E167,Roadmap!$D:$D,0)+COUNTIF($E167:Q167,"u")+COUNTIF($E167:Q167,"t")+COUNTIF($E167:Q167,"¶")+COUNTIF($E167:Q167,"²")+COUNTIF($E167:Q167,"µ")+COUNTIF($E167:Q167,1),ColLivraison)=R$6,
  VLOOKUP($E167,INDIRECT("tri!"&amp; CHAR(64+ C0Col) &amp;":"&amp; CHAR(65+C0Col)),2,FALSE)&gt;COUNTIF($E167:Q167,"u")+COUNTIF($E167:Q167,"t")+COUNTIF($E167:Q167,"¶")+COUNTIF($E167:Q167,"²")+COUNTIF($E167:Q167,"µ")+COUNTIF($E167:Q167,1)),
HYPERLINK("#Roadmap!C"&amp; MATCH($E167,Roadmap!$D:$D,0)+COUNTIF($E167:Q167,"u")+COUNTIF($E167:Q167,"t"),
     INDEX(Roadmap!$D:$K,MATCH($E167,Roadmap!$D:$D,0)+COUNTIF($E167:Q167,"u")+COUNTIF($E167:Q167,"t")+COUNTIF($E167:Q167,"¶")+COUNTIF($E167:Q167,"²")+COUNTIF($E167:Q167,"µ")+COUNTIF($E167:Q167,1),ColTypeEcheance)),
  IF(LEN(Q167)=1,
  IF(LEN(INDEX(Roadmap!$D:$K,MATCH($E167,Roadmap!$D:$D,0)-1+COUNTIF($E167:Q167,"u")+COUNTIF($E167:Q167,"t")+COUNTIF($E167:Q167,"¶")+COUNTIF($E167:Q167,"²")+COUNTIF($E167:Q167,"µ")+COUNTIF($E167:Q167,1),ColDescriptionCourte))&gt;1,
HYPERLINK("#Roadmap!C"&amp; MATCH($E167,Roadmap!$D:$D,0)+COUNTIF($E167:Q167,"u")+COUNTIF($E167:Q167,"t")+COUNTIF($E167:Q167,"¶")+COUNTIF($E167:Q167,"²")+COUNTIF($E167:Q167,"µ")+COUNTIF($E167:Q167,1)-1,INDEX(Roadmap!$D:$K,MATCH($E167,Roadmap!$D:$D,0)-1+COUNTIF($E167:Q167,"u")+COUNTIF($E167:Q167,"t")+COUNTIF($E167:Q167,"¶")+COUNTIF($E167:Q167,"²")+COUNTIF($E167:Q167,"µ")+COUNTIF($E167:Q167,1),ColDescriptionCourte)),""),
  "")),"")</f>
        <v/>
      </c>
      <c r="S167" s="40" t="str">
        <f ca="1">IFERROR(IF(AND(
  INDEX(Roadmap!$D:$K,MATCH($E167,Roadmap!$D:$D,0)+COUNTIF($E167:R167,"u")+COUNTIF($E167:R167,"t")+COUNTIF($E167:R167,"¶")+COUNTIF($E167:R167,"²")+COUNTIF($E167:R167,"µ")+COUNTIF($E167:R167,1),ColLivraison)=S$6,
  VLOOKUP($E167,INDIRECT("tri!"&amp; CHAR(64+ C0Col) &amp;":"&amp; CHAR(65+C0Col)),2,FALSE)&gt;COUNTIF($E167:R167,"u")+COUNTIF($E167:R167,"t")+COUNTIF($E167:R167,"¶")+COUNTIF($E167:R167,"²")+COUNTIF($E167:R167,"µ")+COUNTIF($E167:R167,1)),
HYPERLINK("#Roadmap!C"&amp; MATCH($E167,Roadmap!$D:$D,0)+COUNTIF($E167:R167,"u")+COUNTIF($E167:R167,"t"),
     INDEX(Roadmap!$D:$K,MATCH($E167,Roadmap!$D:$D,0)+COUNTIF($E167:R167,"u")+COUNTIF($E167:R167,"t")+COUNTIF($E167:R167,"¶")+COUNTIF($E167:R167,"²")+COUNTIF($E167:R167,"µ")+COUNTIF($E167:R167,1),ColTypeEcheance)),
  IF(LEN(R167)=1,
  IF(LEN(INDEX(Roadmap!$D:$K,MATCH($E167,Roadmap!$D:$D,0)-1+COUNTIF($E167:R167,"u")+COUNTIF($E167:R167,"t")+COUNTIF($E167:R167,"¶")+COUNTIF($E167:R167,"²")+COUNTIF($E167:R167,"µ")+COUNTIF($E167:R167,1),ColDescriptionCourte))&gt;1,
HYPERLINK("#Roadmap!C"&amp; MATCH($E167,Roadmap!$D:$D,0)+COUNTIF($E167:R167,"u")+COUNTIF($E167:R167,"t")+COUNTIF($E167:R167,"¶")+COUNTIF($E167:R167,"²")+COUNTIF($E167:R167,"µ")+COUNTIF($E167:R167,1)-1,INDEX(Roadmap!$D:$K,MATCH($E167,Roadmap!$D:$D,0)-1+COUNTIF($E167:R167,"u")+COUNTIF($E167:R167,"t")+COUNTIF($E167:R167,"¶")+COUNTIF($E167:R167,"²")+COUNTIF($E167:R167,"µ")+COUNTIF($E167:R167,1),ColDescriptionCourte)),""),
  "")),"")</f>
        <v/>
      </c>
      <c r="T167" s="40" t="str">
        <f ca="1">IFERROR(IF(AND(
  INDEX(Roadmap!$D:$K,MATCH($E167,Roadmap!$D:$D,0)+COUNTIF($E167:S167,"u")+COUNTIF($E167:S167,"t")+COUNTIF($E167:S167,"¶")+COUNTIF($E167:S167,"²")+COUNTIF($E167:S167,"µ")+COUNTIF($E167:S167,1),ColLivraison)=T$6,
  VLOOKUP($E167,INDIRECT("tri!"&amp; CHAR(64+ C0Col) &amp;":"&amp; CHAR(65+C0Col)),2,FALSE)&gt;COUNTIF($E167:S167,"u")+COUNTIF($E167:S167,"t")+COUNTIF($E167:S167,"¶")+COUNTIF($E167:S167,"²")+COUNTIF($E167:S167,"µ")+COUNTIF($E167:S167,1)),
HYPERLINK("#Roadmap!C"&amp; MATCH($E167,Roadmap!$D:$D,0)+COUNTIF($E167:S167,"u")+COUNTIF($E167:S167,"t"),
     INDEX(Roadmap!$D:$K,MATCH($E167,Roadmap!$D:$D,0)+COUNTIF($E167:S167,"u")+COUNTIF($E167:S167,"t")+COUNTIF($E167:S167,"¶")+COUNTIF($E167:S167,"²")+COUNTIF($E167:S167,"µ")+COUNTIF($E167:S167,1),ColTypeEcheance)),
  IF(LEN(S167)=1,
  IF(LEN(INDEX(Roadmap!$D:$K,MATCH($E167,Roadmap!$D:$D,0)-1+COUNTIF($E167:S167,"u")+COUNTIF($E167:S167,"t")+COUNTIF($E167:S167,"¶")+COUNTIF($E167:S167,"²")+COUNTIF($E167:S167,"µ")+COUNTIF($E167:S167,1),ColDescriptionCourte))&gt;1,
HYPERLINK("#Roadmap!C"&amp; MATCH($E167,Roadmap!$D:$D,0)+COUNTIF($E167:S167,"u")+COUNTIF($E167:S167,"t")+COUNTIF($E167:S167,"¶")+COUNTIF($E167:S167,"²")+COUNTIF($E167:S167,"µ")+COUNTIF($E167:S167,1)-1,INDEX(Roadmap!$D:$K,MATCH($E167,Roadmap!$D:$D,0)-1+COUNTIF($E167:S167,"u")+COUNTIF($E167:S167,"t")+COUNTIF($E167:S167,"¶")+COUNTIF($E167:S167,"²")+COUNTIF($E167:S167,"µ")+COUNTIF($E167:S167,1),ColDescriptionCourte)),""),
  "")),"")</f>
        <v/>
      </c>
      <c r="U167" s="40" t="str">
        <f ca="1">IFERROR(IF(AND(
  INDEX(Roadmap!$D:$K,MATCH($E167,Roadmap!$D:$D,0)+COUNTIF($E167:T167,"u")+COUNTIF($E167:T167,"t")+COUNTIF($E167:T167,"¶")+COUNTIF($E167:T167,"²")+COUNTIF($E167:T167,"µ")+COUNTIF($E167:T167,1),ColLivraison)=U$6,
  VLOOKUP($E167,INDIRECT("tri!"&amp; CHAR(64+ C0Col) &amp;":"&amp; CHAR(65+C0Col)),2,FALSE)&gt;COUNTIF($E167:T167,"u")+COUNTIF($E167:T167,"t")+COUNTIF($E167:T167,"¶")+COUNTIF($E167:T167,"²")+COUNTIF($E167:T167,"µ")+COUNTIF($E167:T167,1)),
HYPERLINK("#Roadmap!C"&amp; MATCH($E167,Roadmap!$D:$D,0)+COUNTIF($E167:T167,"u")+COUNTIF($E167:T167,"t"),
     INDEX(Roadmap!$D:$K,MATCH($E167,Roadmap!$D:$D,0)+COUNTIF($E167:T167,"u")+COUNTIF($E167:T167,"t")+COUNTIF($E167:T167,"¶")+COUNTIF($E167:T167,"²")+COUNTIF($E167:T167,"µ")+COUNTIF($E167:T167,1),ColTypeEcheance)),
  IF(LEN(T167)=1,
  IF(LEN(INDEX(Roadmap!$D:$K,MATCH($E167,Roadmap!$D:$D,0)-1+COUNTIF($E167:T167,"u")+COUNTIF($E167:T167,"t")+COUNTIF($E167:T167,"¶")+COUNTIF($E167:T167,"²")+COUNTIF($E167:T167,"µ")+COUNTIF($E167:T167,1),ColDescriptionCourte))&gt;1,
HYPERLINK("#Roadmap!C"&amp; MATCH($E167,Roadmap!$D:$D,0)+COUNTIF($E167:T167,"u")+COUNTIF($E167:T167,"t")+COUNTIF($E167:T167,"¶")+COUNTIF($E167:T167,"²")+COUNTIF($E167:T167,"µ")+COUNTIF($E167:T167,1)-1,INDEX(Roadmap!$D:$K,MATCH($E167,Roadmap!$D:$D,0)-1+COUNTIF($E167:T167,"u")+COUNTIF($E167:T167,"t")+COUNTIF($E167:T167,"¶")+COUNTIF($E167:T167,"²")+COUNTIF($E167:T167,"µ")+COUNTIF($E167:T167,1),ColDescriptionCourte)),""),
  "")),"")</f>
        <v/>
      </c>
      <c r="V167" s="40" t="str">
        <f ca="1">IFERROR(IF(AND(
  INDEX(Roadmap!$D:$K,MATCH($E167,Roadmap!$D:$D,0)+COUNTIF($E167:U167,"u")+COUNTIF($E167:U167,"t")+COUNTIF($E167:U167,"¶")+COUNTIF($E167:U167,"²")+COUNTIF($E167:U167,"µ")+COUNTIF($E167:U167,1),ColLivraison)=V$6,
  VLOOKUP($E167,INDIRECT("tri!"&amp; CHAR(64+ C0Col) &amp;":"&amp; CHAR(65+C0Col)),2,FALSE)&gt;COUNTIF($E167:U167,"u")+COUNTIF($E167:U167,"t")+COUNTIF($E167:U167,"¶")+COUNTIF($E167:U167,"²")+COUNTIF($E167:U167,"µ")+COUNTIF($E167:U167,1)),
HYPERLINK("#Roadmap!C"&amp; MATCH($E167,Roadmap!$D:$D,0)+COUNTIF($E167:U167,"u")+COUNTIF($E167:U167,"t"),
     INDEX(Roadmap!$D:$K,MATCH($E167,Roadmap!$D:$D,0)+COUNTIF($E167:U167,"u")+COUNTIF($E167:U167,"t")+COUNTIF($E167:U167,"¶")+COUNTIF($E167:U167,"²")+COUNTIF($E167:U167,"µ")+COUNTIF($E167:U167,1),ColTypeEcheance)),
  IF(LEN(U167)=1,
  IF(LEN(INDEX(Roadmap!$D:$K,MATCH($E167,Roadmap!$D:$D,0)-1+COUNTIF($E167:U167,"u")+COUNTIF($E167:U167,"t")+COUNTIF($E167:U167,"¶")+COUNTIF($E167:U167,"²")+COUNTIF($E167:U167,"µ")+COUNTIF($E167:U167,1),ColDescriptionCourte))&gt;1,
HYPERLINK("#Roadmap!C"&amp; MATCH($E167,Roadmap!$D:$D,0)+COUNTIF($E167:U167,"u")+COUNTIF($E167:U167,"t")+COUNTIF($E167:U167,"¶")+COUNTIF($E167:U167,"²")+COUNTIF($E167:U167,"µ")+COUNTIF($E167:U167,1)-1,INDEX(Roadmap!$D:$K,MATCH($E167,Roadmap!$D:$D,0)-1+COUNTIF($E167:U167,"u")+COUNTIF($E167:U167,"t")+COUNTIF($E167:U167,"¶")+COUNTIF($E167:U167,"²")+COUNTIF($E167:U167,"µ")+COUNTIF($E167:U167,1),ColDescriptionCourte)),""),
  "")),"")</f>
        <v/>
      </c>
      <c r="W167" s="40" t="str">
        <f ca="1">IFERROR(IF(AND(
  INDEX(Roadmap!$D:$K,MATCH($E167,Roadmap!$D:$D,0)+COUNTIF($E167:V167,"u")+COUNTIF($E167:V167,"t")+COUNTIF($E167:V167,"¶")+COUNTIF($E167:V167,"²")+COUNTIF($E167:V167,"µ")+COUNTIF($E167:V167,1),ColLivraison)=W$6,
  VLOOKUP($E167,INDIRECT("tri!"&amp; CHAR(64+ C0Col) &amp;":"&amp; CHAR(65+C0Col)),2,FALSE)&gt;COUNTIF($E167:V167,"u")+COUNTIF($E167:V167,"t")+COUNTIF($E167:V167,"¶")+COUNTIF($E167:V167,"²")+COUNTIF($E167:V167,"µ")+COUNTIF($E167:V167,1)),
HYPERLINK("#Roadmap!C"&amp; MATCH($E167,Roadmap!$D:$D,0)+COUNTIF($E167:V167,"u")+COUNTIF($E167:V167,"t"),
     INDEX(Roadmap!$D:$K,MATCH($E167,Roadmap!$D:$D,0)+COUNTIF($E167:V167,"u")+COUNTIF($E167:V167,"t")+COUNTIF($E167:V167,"¶")+COUNTIF($E167:V167,"²")+COUNTIF($E167:V167,"µ")+COUNTIF($E167:V167,1),ColTypeEcheance)),
  IF(LEN(V167)=1,
  IF(LEN(INDEX(Roadmap!$D:$K,MATCH($E167,Roadmap!$D:$D,0)-1+COUNTIF($E167:V167,"u")+COUNTIF($E167:V167,"t")+COUNTIF($E167:V167,"¶")+COUNTIF($E167:V167,"²")+COUNTIF($E167:V167,"µ")+COUNTIF($E167:V167,1),ColDescriptionCourte))&gt;1,
HYPERLINK("#Roadmap!C"&amp; MATCH($E167,Roadmap!$D:$D,0)+COUNTIF($E167:V167,"u")+COUNTIF($E167:V167,"t")+COUNTIF($E167:V167,"¶")+COUNTIF($E167:V167,"²")+COUNTIF($E167:V167,"µ")+COUNTIF($E167:V167,1)-1,INDEX(Roadmap!$D:$K,MATCH($E167,Roadmap!$D:$D,0)-1+COUNTIF($E167:V167,"u")+COUNTIF($E167:V167,"t")+COUNTIF($E167:V167,"¶")+COUNTIF($E167:V167,"²")+COUNTIF($E167:V167,"µ")+COUNTIF($E167:V167,1),ColDescriptionCourte)),""),
  "")),"")</f>
        <v/>
      </c>
      <c r="X167" s="40" t="str">
        <f ca="1">IFERROR(IF(AND(
  INDEX(Roadmap!$D:$K,MATCH($E167,Roadmap!$D:$D,0)+COUNTIF($E167:W167,"u")+COUNTIF($E167:W167,"t")+COUNTIF($E167:W167,"¶")+COUNTIF($E167:W167,"²")+COUNTIF($E167:W167,"µ")+COUNTIF($E167:W167,1),ColLivraison)=X$6,
  VLOOKUP($E167,INDIRECT("tri!"&amp; CHAR(64+ C0Col) &amp;":"&amp; CHAR(65+C0Col)),2,FALSE)&gt;COUNTIF($E167:W167,"u")+COUNTIF($E167:W167,"t")+COUNTIF($E167:W167,"¶")+COUNTIF($E167:W167,"²")+COUNTIF($E167:W167,"µ")+COUNTIF($E167:W167,1)),
HYPERLINK("#Roadmap!C"&amp; MATCH($E167,Roadmap!$D:$D,0)+COUNTIF($E167:W167,"u")+COUNTIF($E167:W167,"t"),
     INDEX(Roadmap!$D:$K,MATCH($E167,Roadmap!$D:$D,0)+COUNTIF($E167:W167,"u")+COUNTIF($E167:W167,"t")+COUNTIF($E167:W167,"¶")+COUNTIF($E167:W167,"²")+COUNTIF($E167:W167,"µ")+COUNTIF($E167:W167,1),ColTypeEcheance)),
  IF(LEN(W167)=1,
  IF(LEN(INDEX(Roadmap!$D:$K,MATCH($E167,Roadmap!$D:$D,0)-1+COUNTIF($E167:W167,"u")+COUNTIF($E167:W167,"t")+COUNTIF($E167:W167,"¶")+COUNTIF($E167:W167,"²")+COUNTIF($E167:W167,"µ")+COUNTIF($E167:W167,1),ColDescriptionCourte))&gt;1,
HYPERLINK("#Roadmap!C"&amp; MATCH($E167,Roadmap!$D:$D,0)+COUNTIF($E167:W167,"u")+COUNTIF($E167:W167,"t")+COUNTIF($E167:W167,"¶")+COUNTIF($E167:W167,"²")+COUNTIF($E167:W167,"µ")+COUNTIF($E167:W167,1)-1,INDEX(Roadmap!$D:$K,MATCH($E167,Roadmap!$D:$D,0)-1+COUNTIF($E167:W167,"u")+COUNTIF($E167:W167,"t")+COUNTIF($E167:W167,"¶")+COUNTIF($E167:W167,"²")+COUNTIF($E167:W167,"µ")+COUNTIF($E167:W167,1),ColDescriptionCourte)),""),
  "")),"")</f>
        <v/>
      </c>
      <c r="Y167" s="40" t="str">
        <f ca="1">IFERROR(IF(AND(
  INDEX(Roadmap!$D:$K,MATCH($E167,Roadmap!$D:$D,0)+COUNTIF($E167:X167,"u")+COUNTIF($E167:X167,"t")+COUNTIF($E167:X167,"¶")+COUNTIF($E167:X167,"²")+COUNTIF($E167:X167,"µ")+COUNTIF($E167:X167,1),ColLivraison)=Y$6,
  VLOOKUP($E167,INDIRECT("tri!"&amp; CHAR(64+ C0Col) &amp;":"&amp; CHAR(65+C0Col)),2,FALSE)&gt;COUNTIF($E167:X167,"u")+COUNTIF($E167:X167,"t")+COUNTIF($E167:X167,"¶")+COUNTIF($E167:X167,"²")+COUNTIF($E167:X167,"µ")+COUNTIF($E167:X167,1)),
HYPERLINK("#Roadmap!C"&amp; MATCH($E167,Roadmap!$D:$D,0)+COUNTIF($E167:X167,"u")+COUNTIF($E167:X167,"t"),
     INDEX(Roadmap!$D:$K,MATCH($E167,Roadmap!$D:$D,0)+COUNTIF($E167:X167,"u")+COUNTIF($E167:X167,"t")+COUNTIF($E167:X167,"¶")+COUNTIF($E167:X167,"²")+COUNTIF($E167:X167,"µ")+COUNTIF($E167:X167,1),ColTypeEcheance)),
  IF(LEN(X167)=1,
  IF(LEN(INDEX(Roadmap!$D:$K,MATCH($E167,Roadmap!$D:$D,0)-1+COUNTIF($E167:X167,"u")+COUNTIF($E167:X167,"t")+COUNTIF($E167:X167,"¶")+COUNTIF($E167:X167,"²")+COUNTIF($E167:X167,"µ")+COUNTIF($E167:X167,1),ColDescriptionCourte))&gt;1,
HYPERLINK("#Roadmap!C"&amp; MATCH($E167,Roadmap!$D:$D,0)+COUNTIF($E167:X167,"u")+COUNTIF($E167:X167,"t")+COUNTIF($E167:X167,"¶")+COUNTIF($E167:X167,"²")+COUNTIF($E167:X167,"µ")+COUNTIF($E167:X167,1)-1,INDEX(Roadmap!$D:$K,MATCH($E167,Roadmap!$D:$D,0)-1+COUNTIF($E167:X167,"u")+COUNTIF($E167:X167,"t")+COUNTIF($E167:X167,"¶")+COUNTIF($E167:X167,"²")+COUNTIF($E167:X167,"µ")+COUNTIF($E167:X167,1),ColDescriptionCourte)),""),
  "")),"")</f>
        <v/>
      </c>
      <c r="Z167" s="40" t="str">
        <f ca="1">IFERROR(IF(AND(
  INDEX(Roadmap!$D:$K,MATCH($E167,Roadmap!$D:$D,0)+COUNTIF($E167:Y167,"u")+COUNTIF($E167:Y167,"t")+COUNTIF($E167:Y167,"¶")+COUNTIF($E167:Y167,"²")+COUNTIF($E167:Y167,"µ")+COUNTIF($E167:Y167,1),ColLivraison)=Z$6,
  VLOOKUP($E167,INDIRECT("tri!"&amp; CHAR(64+ C0Col) &amp;":"&amp; CHAR(65+C0Col)),2,FALSE)&gt;COUNTIF($E167:Y167,"u")+COUNTIF($E167:Y167,"t")+COUNTIF($E167:Y167,"¶")+COUNTIF($E167:Y167,"²")+COUNTIF($E167:Y167,"µ")+COUNTIF($E167:Y167,1)),
HYPERLINK("#Roadmap!C"&amp; MATCH($E167,Roadmap!$D:$D,0)+COUNTIF($E167:Y167,"u")+COUNTIF($E167:Y167,"t"),
     INDEX(Roadmap!$D:$K,MATCH($E167,Roadmap!$D:$D,0)+COUNTIF($E167:Y167,"u")+COUNTIF($E167:Y167,"t")+COUNTIF($E167:Y167,"¶")+COUNTIF($E167:Y167,"²")+COUNTIF($E167:Y167,"µ")+COUNTIF($E167:Y167,1),ColTypeEcheance)),
  IF(LEN(Y167)=1,
  IF(LEN(INDEX(Roadmap!$D:$K,MATCH($E167,Roadmap!$D:$D,0)-1+COUNTIF($E167:Y167,"u")+COUNTIF($E167:Y167,"t")+COUNTIF($E167:Y167,"¶")+COUNTIF($E167:Y167,"²")+COUNTIF($E167:Y167,"µ")+COUNTIF($E167:Y167,1),ColDescriptionCourte))&gt;1,
HYPERLINK("#Roadmap!C"&amp; MATCH($E167,Roadmap!$D:$D,0)+COUNTIF($E167:Y167,"u")+COUNTIF($E167:Y167,"t")+COUNTIF($E167:Y167,"¶")+COUNTIF($E167:Y167,"²")+COUNTIF($E167:Y167,"µ")+COUNTIF($E167:Y167,1)-1,INDEX(Roadmap!$D:$K,MATCH($E167,Roadmap!$D:$D,0)-1+COUNTIF($E167:Y167,"u")+COUNTIF($E167:Y167,"t")+COUNTIF($E167:Y167,"¶")+COUNTIF($E167:Y167,"²")+COUNTIF($E167:Y167,"µ")+COUNTIF($E167:Y167,1),ColDescriptionCourte)),""),
  "")),"")</f>
        <v/>
      </c>
      <c r="AA167" s="40" t="str">
        <f ca="1">IFERROR(IF(AND(
  INDEX(Roadmap!$D:$K,MATCH($E167,Roadmap!$D:$D,0)+COUNTIF($E167:Z167,"u")+COUNTIF($E167:Z167,"t")+COUNTIF($E167:Z167,"¶")+COUNTIF($E167:Z167,"²")+COUNTIF($E167:Z167,"µ")+COUNTIF($E167:Z167,1),ColLivraison)=AA$6,
  VLOOKUP($E167,INDIRECT("tri!"&amp; CHAR(64+ C0Col) &amp;":"&amp; CHAR(65+C0Col)),2,FALSE)&gt;COUNTIF($E167:Z167,"u")+COUNTIF($E167:Z167,"t")+COUNTIF($E167:Z167,"¶")+COUNTIF($E167:Z167,"²")+COUNTIF($E167:Z167,"µ")+COUNTIF($E167:Z167,1)),
HYPERLINK("#Roadmap!C"&amp; MATCH($E167,Roadmap!$D:$D,0)+COUNTIF($E167:Z167,"u")+COUNTIF($E167:Z167,"t"),
     INDEX(Roadmap!$D:$K,MATCH($E167,Roadmap!$D:$D,0)+COUNTIF($E167:Z167,"u")+COUNTIF($E167:Z167,"t")+COUNTIF($E167:Z167,"¶")+COUNTIF($E167:Z167,"²")+COUNTIF($E167:Z167,"µ")+COUNTIF($E167:Z167,1),ColTypeEcheance)),
  IF(LEN(Z167)=1,
  IF(LEN(INDEX(Roadmap!$D:$K,MATCH($E167,Roadmap!$D:$D,0)-1+COUNTIF($E167:Z167,"u")+COUNTIF($E167:Z167,"t")+COUNTIF($E167:Z167,"¶")+COUNTIF($E167:Z167,"²")+COUNTIF($E167:Z167,"µ")+COUNTIF($E167:Z167,1),ColDescriptionCourte))&gt;1,
HYPERLINK("#Roadmap!C"&amp; MATCH($E167,Roadmap!$D:$D,0)+COUNTIF($E167:Z167,"u")+COUNTIF($E167:Z167,"t")+COUNTIF($E167:Z167,"¶")+COUNTIF($E167:Z167,"²")+COUNTIF($E167:Z167,"µ")+COUNTIF($E167:Z167,1)-1,INDEX(Roadmap!$D:$K,MATCH($E167,Roadmap!$D:$D,0)-1+COUNTIF($E167:Z167,"u")+COUNTIF($E167:Z167,"t")+COUNTIF($E167:Z167,"¶")+COUNTIF($E167:Z167,"²")+COUNTIF($E167:Z167,"µ")+COUNTIF($E167:Z167,1),ColDescriptionCourte)),""),
  "")),"")</f>
        <v/>
      </c>
      <c r="AB167" s="40" t="str">
        <f ca="1">IFERROR(IF(AND(
  INDEX(Roadmap!$D:$K,MATCH($E167,Roadmap!$D:$D,0)+COUNTIF($E167:AA167,"u")+COUNTIF($E167:AA167,"t")+COUNTIF($E167:AA167,"¶")+COUNTIF($E167:AA167,"²")+COUNTIF($E167:AA167,"µ")+COUNTIF($E167:AA167,1),ColLivraison)=AB$6,
  VLOOKUP($E167,INDIRECT("tri!"&amp; CHAR(64+ C0Col) &amp;":"&amp; CHAR(65+C0Col)),2,FALSE)&gt;COUNTIF($E167:AA167,"u")+COUNTIF($E167:AA167,"t")+COUNTIF($E167:AA167,"¶")+COUNTIF($E167:AA167,"²")+COUNTIF($E167:AA167,"µ")+COUNTIF($E167:AA167,1)),
HYPERLINK("#Roadmap!C"&amp; MATCH($E167,Roadmap!$D:$D,0)+COUNTIF($E167:AA167,"u")+COUNTIF($E167:AA167,"t"),
     INDEX(Roadmap!$D:$K,MATCH($E167,Roadmap!$D:$D,0)+COUNTIF($E167:AA167,"u")+COUNTIF($E167:AA167,"t")+COUNTIF($E167:AA167,"¶")+COUNTIF($E167:AA167,"²")+COUNTIF($E167:AA167,"µ")+COUNTIF($E167:AA167,1),ColTypeEcheance)),
  IF(LEN(AA167)=1,
  IF(LEN(INDEX(Roadmap!$D:$K,MATCH($E167,Roadmap!$D:$D,0)-1+COUNTIF($E167:AA167,"u")+COUNTIF($E167:AA167,"t")+COUNTIF($E167:AA167,"¶")+COUNTIF($E167:AA167,"²")+COUNTIF($E167:AA167,"µ")+COUNTIF($E167:AA167,1),ColDescriptionCourte))&gt;1,
HYPERLINK("#Roadmap!C"&amp; MATCH($E167,Roadmap!$D:$D,0)+COUNTIF($E167:AA167,"u")+COUNTIF($E167:AA167,"t")+COUNTIF($E167:AA167,"¶")+COUNTIF($E167:AA167,"²")+COUNTIF($E167:AA167,"µ")+COUNTIF($E167:AA167,1)-1,INDEX(Roadmap!$D:$K,MATCH($E167,Roadmap!$D:$D,0)-1+COUNTIF($E167:AA167,"u")+COUNTIF($E167:AA167,"t")+COUNTIF($E167:AA167,"¶")+COUNTIF($E167:AA167,"²")+COUNTIF($E167:AA167,"µ")+COUNTIF($E167:AA167,1),ColDescriptionCourte)),""),
  "")),"")</f>
        <v/>
      </c>
      <c r="AC167" s="40" t="str">
        <f ca="1">IFERROR(IF(AND(
  INDEX(Roadmap!$D:$K,MATCH($E167,Roadmap!$D:$D,0)+COUNTIF($E167:AB167,"u")+COUNTIF($E167:AB167,"t")+COUNTIF($E167:AB167,"¶")+COUNTIF($E167:AB167,"²")+COUNTIF($E167:AB167,"µ")+COUNTIF($E167:AB167,1),ColLivraison)=AC$6,
  VLOOKUP($E167,INDIRECT("tri!"&amp; CHAR(64+ C0Col) &amp;":"&amp; CHAR(65+C0Col)),2,FALSE)&gt;COUNTIF($E167:AB167,"u")+COUNTIF($E167:AB167,"t")+COUNTIF($E167:AB167,"¶")+COUNTIF($E167:AB167,"²")+COUNTIF($E167:AB167,"µ")+COUNTIF($E167:AB167,1)),
HYPERLINK("#Roadmap!C"&amp; MATCH($E167,Roadmap!$D:$D,0)+COUNTIF($E167:AB167,"u")+COUNTIF($E167:AB167,"t"),
     INDEX(Roadmap!$D:$K,MATCH($E167,Roadmap!$D:$D,0)+COUNTIF($E167:AB167,"u")+COUNTIF($E167:AB167,"t")+COUNTIF($E167:AB167,"¶")+COUNTIF($E167:AB167,"²")+COUNTIF($E167:AB167,"µ")+COUNTIF($E167:AB167,1),ColTypeEcheance)),
  IF(LEN(AB167)=1,
  IF(LEN(INDEX(Roadmap!$D:$K,MATCH($E167,Roadmap!$D:$D,0)-1+COUNTIF($E167:AB167,"u")+COUNTIF($E167:AB167,"t")+COUNTIF($E167:AB167,"¶")+COUNTIF($E167:AB167,"²")+COUNTIF($E167:AB167,"µ")+COUNTIF($E167:AB167,1),ColDescriptionCourte))&gt;1,
HYPERLINK("#Roadmap!C"&amp; MATCH($E167,Roadmap!$D:$D,0)+COUNTIF($E167:AB167,"u")+COUNTIF($E167:AB167,"t")+COUNTIF($E167:AB167,"¶")+COUNTIF($E167:AB167,"²")+COUNTIF($E167:AB167,"µ")+COUNTIF($E167:AB167,1)-1,INDEX(Roadmap!$D:$K,MATCH($E167,Roadmap!$D:$D,0)-1+COUNTIF($E167:AB167,"u")+COUNTIF($E167:AB167,"t")+COUNTIF($E167:AB167,"¶")+COUNTIF($E167:AB167,"²")+COUNTIF($E167:AB167,"µ")+COUNTIF($E167:AB167,1),ColDescriptionCourte)),""),
  "")),"")</f>
        <v/>
      </c>
      <c r="AD167" s="40" t="str">
        <f ca="1">IFERROR(IF(AND(
  INDEX(Roadmap!$D:$K,MATCH($E167,Roadmap!$D:$D,0)+COUNTIF($E167:AC167,"u")+COUNTIF($E167:AC167,"t")+COUNTIF($E167:AC167,"¶")+COUNTIF($E167:AC167,"²")+COUNTIF($E167:AC167,"µ")+COUNTIF($E167:AC167,1),ColLivraison)=AD$6,
  VLOOKUP($E167,INDIRECT("tri!"&amp; CHAR(64+ C0Col) &amp;":"&amp; CHAR(65+C0Col)),2,FALSE)&gt;COUNTIF($E167:AC167,"u")+COUNTIF($E167:AC167,"t")+COUNTIF($E167:AC167,"¶")+COUNTIF($E167:AC167,"²")+COUNTIF($E167:AC167,"µ")+COUNTIF($E167:AC167,1)),
HYPERLINK("#Roadmap!C"&amp; MATCH($E167,Roadmap!$D:$D,0)+COUNTIF($E167:AC167,"u")+COUNTIF($E167:AC167,"t"),
     INDEX(Roadmap!$D:$K,MATCH($E167,Roadmap!$D:$D,0)+COUNTIF($E167:AC167,"u")+COUNTIF($E167:AC167,"t")+COUNTIF($E167:AC167,"¶")+COUNTIF($E167:AC167,"²")+COUNTIF($E167:AC167,"µ")+COUNTIF($E167:AC167,1),ColTypeEcheance)),
  IF(LEN(AC167)=1,
  IF(LEN(INDEX(Roadmap!$D:$K,MATCH($E167,Roadmap!$D:$D,0)-1+COUNTIF($E167:AC167,"u")+COUNTIF($E167:AC167,"t")+COUNTIF($E167:AC167,"¶")+COUNTIF($E167:AC167,"²")+COUNTIF($E167:AC167,"µ")+COUNTIF($E167:AC167,1),ColDescriptionCourte))&gt;1,
HYPERLINK("#Roadmap!C"&amp; MATCH($E167,Roadmap!$D:$D,0)+COUNTIF($E167:AC167,"u")+COUNTIF($E167:AC167,"t")+COUNTIF($E167:AC167,"¶")+COUNTIF($E167:AC167,"²")+COUNTIF($E167:AC167,"µ")+COUNTIF($E167:AC167,1)-1,INDEX(Roadmap!$D:$K,MATCH($E167,Roadmap!$D:$D,0)-1+COUNTIF($E167:AC167,"u")+COUNTIF($E167:AC167,"t")+COUNTIF($E167:AC167,"¶")+COUNTIF($E167:AC167,"²")+COUNTIF($E167:AC167,"µ")+COUNTIF($E167:AC167,1),ColDescriptionCourte)),""),
  "")),"")</f>
        <v/>
      </c>
      <c r="AE167" s="40" t="str">
        <f ca="1">IFERROR(IF(AND(
  INDEX(Roadmap!$D:$K,MATCH($E167,Roadmap!$D:$D,0)+COUNTIF($E167:AD167,"u")+COUNTIF($E167:AD167,"t")+COUNTIF($E167:AD167,"¶")+COUNTIF($E167:AD167,"²")+COUNTIF($E167:AD167,"µ")+COUNTIF($E167:AD167,1),ColLivraison)=AE$6,
  VLOOKUP($E167,INDIRECT("tri!"&amp; CHAR(64+ C0Col) &amp;":"&amp; CHAR(65+C0Col)),2,FALSE)&gt;COUNTIF($E167:AD167,"u")+COUNTIF($E167:AD167,"t")+COUNTIF($E167:AD167,"¶")+COUNTIF($E167:AD167,"²")+COUNTIF($E167:AD167,"µ")+COUNTIF($E167:AD167,1)),
HYPERLINK("#Roadmap!C"&amp; MATCH($E167,Roadmap!$D:$D,0)+COUNTIF($E167:AD167,"u")+COUNTIF($E167:AD167,"t"),
     INDEX(Roadmap!$D:$K,MATCH($E167,Roadmap!$D:$D,0)+COUNTIF($E167:AD167,"u")+COUNTIF($E167:AD167,"t")+COUNTIF($E167:AD167,"¶")+COUNTIF($E167:AD167,"²")+COUNTIF($E167:AD167,"µ")+COUNTIF($E167:AD167,1),ColTypeEcheance)),
  IF(LEN(AD167)=1,
  IF(LEN(INDEX(Roadmap!$D:$K,MATCH($E167,Roadmap!$D:$D,0)-1+COUNTIF($E167:AD167,"u")+COUNTIF($E167:AD167,"t")+COUNTIF($E167:AD167,"¶")+COUNTIF($E167:AD167,"²")+COUNTIF($E167:AD167,"µ")+COUNTIF($E167:AD167,1),ColDescriptionCourte))&gt;1,
HYPERLINK("#Roadmap!C"&amp; MATCH($E167,Roadmap!$D:$D,0)+COUNTIF($E167:AD167,"u")+COUNTIF($E167:AD167,"t")+COUNTIF($E167:AD167,"¶")+COUNTIF($E167:AD167,"²")+COUNTIF($E167:AD167,"µ")+COUNTIF($E167:AD167,1)-1,INDEX(Roadmap!$D:$K,MATCH($E167,Roadmap!$D:$D,0)-1+COUNTIF($E167:AD167,"u")+COUNTIF($E167:AD167,"t")+COUNTIF($E167:AD167,"¶")+COUNTIF($E167:AD167,"²")+COUNTIF($E167:AD167,"µ")+COUNTIF($E167:AD167,1),ColDescriptionCourte)),""),
  "")),"")</f>
        <v/>
      </c>
      <c r="AF167" s="40" t="str">
        <f ca="1">IFERROR(IF(AND(
  INDEX(Roadmap!$D:$K,MATCH($E167,Roadmap!$D:$D,0)+COUNTIF($E167:AE167,"u")+COUNTIF($E167:AE167,"t")+COUNTIF($E167:AE167,"¶")+COUNTIF($E167:AE167,"²")+COUNTIF($E167:AE167,"µ")+COUNTIF($E167:AE167,1),ColLivraison)=AF$6,
  VLOOKUP($E167,INDIRECT("tri!"&amp; CHAR(64+ C0Col) &amp;":"&amp; CHAR(65+C0Col)),2,FALSE)&gt;COUNTIF($E167:AE167,"u")+COUNTIF($E167:AE167,"t")+COUNTIF($E167:AE167,"¶")+COUNTIF($E167:AE167,"²")+COUNTIF($E167:AE167,"µ")+COUNTIF($E167:AE167,1)),
HYPERLINK("#Roadmap!C"&amp; MATCH($E167,Roadmap!$D:$D,0)+COUNTIF($E167:AE167,"u")+COUNTIF($E167:AE167,"t"),
     INDEX(Roadmap!$D:$K,MATCH($E167,Roadmap!$D:$D,0)+COUNTIF($E167:AE167,"u")+COUNTIF($E167:AE167,"t")+COUNTIF($E167:AE167,"¶")+COUNTIF($E167:AE167,"²")+COUNTIF($E167:AE167,"µ")+COUNTIF($E167:AE167,1),ColTypeEcheance)),
  IF(LEN(AE167)=1,
  IF(LEN(INDEX(Roadmap!$D:$K,MATCH($E167,Roadmap!$D:$D,0)-1+COUNTIF($E167:AE167,"u")+COUNTIF($E167:AE167,"t")+COUNTIF($E167:AE167,"¶")+COUNTIF($E167:AE167,"²")+COUNTIF($E167:AE167,"µ")+COUNTIF($E167:AE167,1),ColDescriptionCourte))&gt;1,
HYPERLINK("#Roadmap!C"&amp; MATCH($E167,Roadmap!$D:$D,0)+COUNTIF($E167:AE167,"u")+COUNTIF($E167:AE167,"t")+COUNTIF($E167:AE167,"¶")+COUNTIF($E167:AE167,"²")+COUNTIF($E167:AE167,"µ")+COUNTIF($E167:AE167,1)-1,INDEX(Roadmap!$D:$K,MATCH($E167,Roadmap!$D:$D,0)-1+COUNTIF($E167:AE167,"u")+COUNTIF($E167:AE167,"t")+COUNTIF($E167:AE167,"¶")+COUNTIF($E167:AE167,"²")+COUNTIF($E167:AE167,"µ")+COUNTIF($E167:AE167,1),ColDescriptionCourte)),""),
  "")),"")</f>
        <v/>
      </c>
      <c r="AG167" s="40" t="str">
        <f ca="1">IFERROR(IF(AND(
  INDEX(Roadmap!$D:$K,MATCH($E167,Roadmap!$D:$D,0)+COUNTIF($E167:AF167,"u")+COUNTIF($E167:AF167,"t")+COUNTIF($E167:AF167,"¶")+COUNTIF($E167:AF167,"²")+COUNTIF($E167:AF167,"µ")+COUNTIF($E167:AF167,1),ColLivraison)=AG$6,
  VLOOKUP($E167,INDIRECT("tri!"&amp; CHAR(64+ C0Col) &amp;":"&amp; CHAR(65+C0Col)),2,FALSE)&gt;COUNTIF($E167:AF167,"u")+COUNTIF($E167:AF167,"t")+COUNTIF($E167:AF167,"¶")+COUNTIF($E167:AF167,"²")+COUNTIF($E167:AF167,"µ")+COUNTIF($E167:AF167,1)),
HYPERLINK("#Roadmap!C"&amp; MATCH($E167,Roadmap!$D:$D,0)+COUNTIF($E167:AF167,"u")+COUNTIF($E167:AF167,"t"),
     INDEX(Roadmap!$D:$K,MATCH($E167,Roadmap!$D:$D,0)+COUNTIF($E167:AF167,"u")+COUNTIF($E167:AF167,"t")+COUNTIF($E167:AF167,"¶")+COUNTIF($E167:AF167,"²")+COUNTIF($E167:AF167,"µ")+COUNTIF($E167:AF167,1),ColTypeEcheance)),
  IF(LEN(AF167)=1,
  IF(LEN(INDEX(Roadmap!$D:$K,MATCH($E167,Roadmap!$D:$D,0)-1+COUNTIF($E167:AF167,"u")+COUNTIF($E167:AF167,"t")+COUNTIF($E167:AF167,"¶")+COUNTIF($E167:AF167,"²")+COUNTIF($E167:AF167,"µ")+COUNTIF($E167:AF167,1),ColDescriptionCourte))&gt;1,
HYPERLINK("#Roadmap!C"&amp; MATCH($E167,Roadmap!$D:$D,0)+COUNTIF($E167:AF167,"u")+COUNTIF($E167:AF167,"t")+COUNTIF($E167:AF167,"¶")+COUNTIF($E167:AF167,"²")+COUNTIF($E167:AF167,"µ")+COUNTIF($E167:AF167,1)-1,INDEX(Roadmap!$D:$K,MATCH($E167,Roadmap!$D:$D,0)-1+COUNTIF($E167:AF167,"u")+COUNTIF($E167:AF167,"t")+COUNTIF($E167:AF167,"¶")+COUNTIF($E167:AF167,"²")+COUNTIF($E167:AF167,"µ")+COUNTIF($E167:AF167,1),ColDescriptionCourte)),""),
  "")),"")</f>
        <v/>
      </c>
    </row>
    <row r="168" spans="3:33" ht="14.25" customHeight="1">
      <c r="C168" s="1" t="str">
        <f t="shared" ca="1" si="54"/>
        <v/>
      </c>
      <c r="D168" s="1" t="str">
        <f t="shared" ca="1" si="55"/>
        <v/>
      </c>
      <c r="E168" s="35" t="str">
        <f t="shared" ca="1" si="51"/>
        <v/>
      </c>
      <c r="F168" s="39" t="str">
        <f ca="1">IFERROR(IF(AND(
  INDEX(Roadmap!$D:$K,MATCH($E168,Roadmap!$D:$D,0)+COUNTIF($E168:E168,"u")+COUNTIF($E168:E168,"t")+COUNTIF($E168:E168,"¶")+COUNTIF($E168:E168,"²")+COUNTIF($E168:E168,"µ")+COUNTIF($E168:E168,1),ColLivraison)=F$6,
  VLOOKUP($E168,INDIRECT("tri!"&amp; CHAR(64+ C0Col) &amp;":"&amp; CHAR(65+C0Col)),2,FALSE)&gt;COUNTIF($E168:E168,"u")+COUNTIF($E168:E168,"t")+COUNTIF($E168:E168,"¶")+COUNTIF($E168:E168,"²")+COUNTIF($E168:E168,"µ")+COUNTIF($E168:E168,1)),
HYPERLINK("#Roadmap!C"&amp; MATCH($E168,Roadmap!$D:$D,0)+COUNTIF($E168:E168,"u")+COUNTIF($E168:E168,"t"),
     INDEX(Roadmap!$D:$K,MATCH($E168,Roadmap!$D:$D,0)+COUNTIF($E168:E168,"u")+COUNTIF($E168:E168,"t")+COUNTIF($E168:E168,"¶")+COUNTIF($E168:E168,"²")+COUNTIF($E168:E168,"µ")+COUNTIF($E168:E168,1),ColTypeEcheance)),
  IF(LEN(E168)=1,
  IF(LEN(INDEX(Roadmap!$D:$K,MATCH($E168,Roadmap!$D:$D,0)-1+COUNTIF($E168:E168,"u")+COUNTIF($E168:E168,"t")+COUNTIF($E168:E168,"¶")+COUNTIF($E168:E168,"²")+COUNTIF($E168:E168,"µ")+COUNTIF($E168:E168,1),ColDescriptionCourte))&gt;1,
HYPERLINK("#Roadmap!C"&amp; MATCH($E168,Roadmap!$D:$D,0)+COUNTIF($E168:E168,"u")+COUNTIF($E168:E168,"t")+COUNTIF($E168:E168,"¶")+COUNTIF($E168:E168,"²")+COUNTIF($E168:E168,"µ")+COUNTIF($E168:E168,1)-1,INDEX(Roadmap!$D:$K,MATCH($E168,Roadmap!$D:$D,0)-1+COUNTIF($E168:E168,"u")+COUNTIF($E168:E168,"t")+COUNTIF($E168:E168,"¶")+COUNTIF($E168:E168,"²")+COUNTIF($E168:E168,"µ")+COUNTIF($E168:E168,1),ColDescriptionCourte)),""),
  "")),"")</f>
        <v/>
      </c>
      <c r="G168" s="40" t="str">
        <f ca="1">IFERROR(IF(AND(
  INDEX(Roadmap!$D:$K,MATCH($E168,Roadmap!$D:$D,0)+COUNTIF($E168:F168,"u")+COUNTIF($E168:F168,"t")+COUNTIF($E168:F168,"¶")+COUNTIF($E168:F168,"²")+COUNTIF($E168:F168,"µ")+COUNTIF($E168:F168,1),ColLivraison)=G$6,
  VLOOKUP($E168,INDIRECT("tri!"&amp; CHAR(64+ C0Col) &amp;":"&amp; CHAR(65+C0Col)),2,FALSE)&gt;COUNTIF($E168:F168,"u")+COUNTIF($E168:F168,"t")+COUNTIF($E168:F168,"¶")+COUNTIF($E168:F168,"²")+COUNTIF($E168:F168,"µ")+COUNTIF($E168:F168,1)),
HYPERLINK("#Roadmap!C"&amp; MATCH($E168,Roadmap!$D:$D,0)+COUNTIF($E168:F168,"u")+COUNTIF($E168:F168,"t"),
     INDEX(Roadmap!$D:$K,MATCH($E168,Roadmap!$D:$D,0)+COUNTIF($E168:F168,"u")+COUNTIF($E168:F168,"t")+COUNTIF($E168:F168,"¶")+COUNTIF($E168:F168,"²")+COUNTIF($E168:F168,"µ")+COUNTIF($E168:F168,1),ColTypeEcheance)),
  IF(LEN(F168)=1,
  IF(LEN(INDEX(Roadmap!$D:$K,MATCH($E168,Roadmap!$D:$D,0)-1+COUNTIF($E168:F168,"u")+COUNTIF($E168:F168,"t")+COUNTIF($E168:F168,"¶")+COUNTIF($E168:F168,"²")+COUNTIF($E168:F168,"µ")+COUNTIF($E168:F168,1),ColDescriptionCourte))&gt;1,
HYPERLINK("#Roadmap!C"&amp; MATCH($E168,Roadmap!$D:$D,0)+COUNTIF($E168:F168,"u")+COUNTIF($E168:F168,"t")+COUNTIF($E168:F168,"¶")+COUNTIF($E168:F168,"²")+COUNTIF($E168:F168,"µ")+COUNTIF($E168:F168,1)-1,INDEX(Roadmap!$D:$K,MATCH($E168,Roadmap!$D:$D,0)-1+COUNTIF($E168:F168,"u")+COUNTIF($E168:F168,"t")+COUNTIF($E168:F168,"¶")+COUNTIF($E168:F168,"²")+COUNTIF($E168:F168,"µ")+COUNTIF($E168:F168,1),ColDescriptionCourte)),""),
  "")),"")</f>
        <v/>
      </c>
      <c r="H168" s="40" t="str">
        <f ca="1">IFERROR(IF(AND(
  INDEX(Roadmap!$D:$K,MATCH($E168,Roadmap!$D:$D,0)+COUNTIF($E168:G168,"u")+COUNTIF($E168:G168,"t")+COUNTIF($E168:G168,"¶")+COUNTIF($E168:G168,"²")+COUNTIF($E168:G168,"µ")+COUNTIF($E168:G168,1),ColLivraison)=H$6,
  VLOOKUP($E168,INDIRECT("tri!"&amp; CHAR(64+ C0Col) &amp;":"&amp; CHAR(65+C0Col)),2,FALSE)&gt;COUNTIF($E168:G168,"u")+COUNTIF($E168:G168,"t")+COUNTIF($E168:G168,"¶")+COUNTIF($E168:G168,"²")+COUNTIF($E168:G168,"µ")+COUNTIF($E168:G168,1)),
HYPERLINK("#Roadmap!C"&amp; MATCH($E168,Roadmap!$D:$D,0)+COUNTIF($E168:G168,"u")+COUNTIF($E168:G168,"t"),
     INDEX(Roadmap!$D:$K,MATCH($E168,Roadmap!$D:$D,0)+COUNTIF($E168:G168,"u")+COUNTIF($E168:G168,"t")+COUNTIF($E168:G168,"¶")+COUNTIF($E168:G168,"²")+COUNTIF($E168:G168,"µ")+COUNTIF($E168:G168,1),ColTypeEcheance)),
  IF(LEN(G168)=1,
  IF(LEN(INDEX(Roadmap!$D:$K,MATCH($E168,Roadmap!$D:$D,0)-1+COUNTIF($E168:G168,"u")+COUNTIF($E168:G168,"t")+COUNTIF($E168:G168,"¶")+COUNTIF($E168:G168,"²")+COUNTIF($E168:G168,"µ")+COUNTIF($E168:G168,1),ColDescriptionCourte))&gt;1,
HYPERLINK("#Roadmap!C"&amp; MATCH($E168,Roadmap!$D:$D,0)+COUNTIF($E168:G168,"u")+COUNTIF($E168:G168,"t")+COUNTIF($E168:G168,"¶")+COUNTIF($E168:G168,"²")+COUNTIF($E168:G168,"µ")+COUNTIF($E168:G168,1)-1,INDEX(Roadmap!$D:$K,MATCH($E168,Roadmap!$D:$D,0)-1+COUNTIF($E168:G168,"u")+COUNTIF($E168:G168,"t")+COUNTIF($E168:G168,"¶")+COUNTIF($E168:G168,"²")+COUNTIF($E168:G168,"µ")+COUNTIF($E168:G168,1),ColDescriptionCourte)),""),
  "")),"")</f>
        <v/>
      </c>
      <c r="I168" s="40" t="str">
        <f ca="1">IFERROR(IF(AND(
  INDEX(Roadmap!$D:$K,MATCH($E168,Roadmap!$D:$D,0)+COUNTIF($E168:H168,"u")+COUNTIF($E168:H168,"t")+COUNTIF($E168:H168,"¶")+COUNTIF($E168:H168,"²")+COUNTIF($E168:H168,"µ")+COUNTIF($E168:H168,1),ColLivraison)=I$6,
  VLOOKUP($E168,INDIRECT("tri!"&amp; CHAR(64+ C0Col) &amp;":"&amp; CHAR(65+C0Col)),2,FALSE)&gt;COUNTIF($E168:H168,"u")+COUNTIF($E168:H168,"t")+COUNTIF($E168:H168,"¶")+COUNTIF($E168:H168,"²")+COUNTIF($E168:H168,"µ")+COUNTIF($E168:H168,1)),
HYPERLINK("#Roadmap!C"&amp; MATCH($E168,Roadmap!$D:$D,0)+COUNTIF($E168:H168,"u")+COUNTIF($E168:H168,"t"),
     INDEX(Roadmap!$D:$K,MATCH($E168,Roadmap!$D:$D,0)+COUNTIF($E168:H168,"u")+COUNTIF($E168:H168,"t")+COUNTIF($E168:H168,"¶")+COUNTIF($E168:H168,"²")+COUNTIF($E168:H168,"µ")+COUNTIF($E168:H168,1),ColTypeEcheance)),
  IF(LEN(H168)=1,
  IF(LEN(INDEX(Roadmap!$D:$K,MATCH($E168,Roadmap!$D:$D,0)-1+COUNTIF($E168:H168,"u")+COUNTIF($E168:H168,"t")+COUNTIF($E168:H168,"¶")+COUNTIF($E168:H168,"²")+COUNTIF($E168:H168,"µ")+COUNTIF($E168:H168,1),ColDescriptionCourte))&gt;1,
HYPERLINK("#Roadmap!C"&amp; MATCH($E168,Roadmap!$D:$D,0)+COUNTIF($E168:H168,"u")+COUNTIF($E168:H168,"t")+COUNTIF($E168:H168,"¶")+COUNTIF($E168:H168,"²")+COUNTIF($E168:H168,"µ")+COUNTIF($E168:H168,1)-1,INDEX(Roadmap!$D:$K,MATCH($E168,Roadmap!$D:$D,0)-1+COUNTIF($E168:H168,"u")+COUNTIF($E168:H168,"t")+COUNTIF($E168:H168,"¶")+COUNTIF($E168:H168,"²")+COUNTIF($E168:H168,"µ")+COUNTIF($E168:H168,1),ColDescriptionCourte)),""),
  "")),"")</f>
        <v/>
      </c>
      <c r="J168" s="40" t="str">
        <f ca="1">IFERROR(IF(AND(
  INDEX(Roadmap!$D:$K,MATCH($E168,Roadmap!$D:$D,0)+COUNTIF($E168:I168,"u")+COUNTIF($E168:I168,"t")+COUNTIF($E168:I168,"¶")+COUNTIF($E168:I168,"²")+COUNTIF($E168:I168,"µ")+COUNTIF($E168:I168,1),ColLivraison)=J$6,
  VLOOKUP($E168,INDIRECT("tri!"&amp; CHAR(64+ C0Col) &amp;":"&amp; CHAR(65+C0Col)),2,FALSE)&gt;COUNTIF($E168:I168,"u")+COUNTIF($E168:I168,"t")+COUNTIF($E168:I168,"¶")+COUNTIF($E168:I168,"²")+COUNTIF($E168:I168,"µ")+COUNTIF($E168:I168,1)),
HYPERLINK("#Roadmap!C"&amp; MATCH($E168,Roadmap!$D:$D,0)+COUNTIF($E168:I168,"u")+COUNTIF($E168:I168,"t"),
     INDEX(Roadmap!$D:$K,MATCH($E168,Roadmap!$D:$D,0)+COUNTIF($E168:I168,"u")+COUNTIF($E168:I168,"t")+COUNTIF($E168:I168,"¶")+COUNTIF($E168:I168,"²")+COUNTIF($E168:I168,"µ")+COUNTIF($E168:I168,1),ColTypeEcheance)),
  IF(LEN(I168)=1,
  IF(LEN(INDEX(Roadmap!$D:$K,MATCH($E168,Roadmap!$D:$D,0)-1+COUNTIF($E168:I168,"u")+COUNTIF($E168:I168,"t")+COUNTIF($E168:I168,"¶")+COUNTIF($E168:I168,"²")+COUNTIF($E168:I168,"µ")+COUNTIF($E168:I168,1),ColDescriptionCourte))&gt;1,
HYPERLINK("#Roadmap!C"&amp; MATCH($E168,Roadmap!$D:$D,0)+COUNTIF($E168:I168,"u")+COUNTIF($E168:I168,"t")+COUNTIF($E168:I168,"¶")+COUNTIF($E168:I168,"²")+COUNTIF($E168:I168,"µ")+COUNTIF($E168:I168,1)-1,INDEX(Roadmap!$D:$K,MATCH($E168,Roadmap!$D:$D,0)-1+COUNTIF($E168:I168,"u")+COUNTIF($E168:I168,"t")+COUNTIF($E168:I168,"¶")+COUNTIF($E168:I168,"²")+COUNTIF($E168:I168,"µ")+COUNTIF($E168:I168,1),ColDescriptionCourte)),""),
  "")),"")</f>
        <v/>
      </c>
      <c r="K168" s="40" t="str">
        <f ca="1">IFERROR(IF(AND(
  INDEX(Roadmap!$D:$K,MATCH($E168,Roadmap!$D:$D,0)+COUNTIF($E168:J168,"u")+COUNTIF($E168:J168,"t")+COUNTIF($E168:J168,"¶")+COUNTIF($E168:J168,"²")+COUNTIF($E168:J168,"µ")+COUNTIF($E168:J168,1),ColLivraison)=K$6,
  VLOOKUP($E168,INDIRECT("tri!"&amp; CHAR(64+ C0Col) &amp;":"&amp; CHAR(65+C0Col)),2,FALSE)&gt;COUNTIF($E168:J168,"u")+COUNTIF($E168:J168,"t")+COUNTIF($E168:J168,"¶")+COUNTIF($E168:J168,"²")+COUNTIF($E168:J168,"µ")+COUNTIF($E168:J168,1)),
HYPERLINK("#Roadmap!C"&amp; MATCH($E168,Roadmap!$D:$D,0)+COUNTIF($E168:J168,"u")+COUNTIF($E168:J168,"t"),
     INDEX(Roadmap!$D:$K,MATCH($E168,Roadmap!$D:$D,0)+COUNTIF($E168:J168,"u")+COUNTIF($E168:J168,"t")+COUNTIF($E168:J168,"¶")+COUNTIF($E168:J168,"²")+COUNTIF($E168:J168,"µ")+COUNTIF($E168:J168,1),ColTypeEcheance)),
  IF(LEN(J168)=1,
  IF(LEN(INDEX(Roadmap!$D:$K,MATCH($E168,Roadmap!$D:$D,0)-1+COUNTIF($E168:J168,"u")+COUNTIF($E168:J168,"t")+COUNTIF($E168:J168,"¶")+COUNTIF($E168:J168,"²")+COUNTIF($E168:J168,"µ")+COUNTIF($E168:J168,1),ColDescriptionCourte))&gt;1,
HYPERLINK("#Roadmap!C"&amp; MATCH($E168,Roadmap!$D:$D,0)+COUNTIF($E168:J168,"u")+COUNTIF($E168:J168,"t")+COUNTIF($E168:J168,"¶")+COUNTIF($E168:J168,"²")+COUNTIF($E168:J168,"µ")+COUNTIF($E168:J168,1)-1,INDEX(Roadmap!$D:$K,MATCH($E168,Roadmap!$D:$D,0)-1+COUNTIF($E168:J168,"u")+COUNTIF($E168:J168,"t")+COUNTIF($E168:J168,"¶")+COUNTIF($E168:J168,"²")+COUNTIF($E168:J168,"µ")+COUNTIF($E168:J168,1),ColDescriptionCourte)),""),
  "")),"")</f>
        <v/>
      </c>
      <c r="L168" s="39" t="str">
        <f ca="1">IFERROR(IF(AND(
  INDEX(Roadmap!$D:$K,MATCH($E168,Roadmap!$D:$D,0)+COUNTIF($E168:K168,"u")+COUNTIF($E168:K168,"t")+COUNTIF($E168:K168,"¶")+COUNTIF($E168:K168,"²")+COUNTIF($E168:K168,"µ")+COUNTIF($E168:K168,1),ColLivraison)=L$6,
  VLOOKUP($E168,INDIRECT("tri!"&amp; CHAR(64+ C0Col) &amp;":"&amp; CHAR(65+C0Col)),2,FALSE)&gt;COUNTIF($E168:K168,"u")+COUNTIF($E168:K168,"t")+COUNTIF($E168:K168,"¶")+COUNTIF($E168:K168,"²")+COUNTIF($E168:K168,"µ")+COUNTIF($E168:K168,1)),
HYPERLINK("#Roadmap!C"&amp; MATCH($E168,Roadmap!$D:$D,0)+COUNTIF($E168:K168,"u")+COUNTIF($E168:K168,"t"),
     INDEX(Roadmap!$D:$K,MATCH($E168,Roadmap!$D:$D,0)+COUNTIF($E168:K168,"u")+COUNTIF($E168:K168,"t")+COUNTIF($E168:K168,"¶")+COUNTIF($E168:K168,"²")+COUNTIF($E168:K168,"µ")+COUNTIF($E168:K168,1),ColTypeEcheance)),
  IF(LEN(K168)=1,
  IF(LEN(INDEX(Roadmap!$D:$K,MATCH($E168,Roadmap!$D:$D,0)-1+COUNTIF($E168:K168,"u")+COUNTIF($E168:K168,"t")+COUNTIF($E168:K168,"¶")+COUNTIF($E168:K168,"²")+COUNTIF($E168:K168,"µ")+COUNTIF($E168:K168,1),ColDescriptionCourte))&gt;1,
HYPERLINK("#Roadmap!C"&amp; MATCH($E168,Roadmap!$D:$D,0)+COUNTIF($E168:K168,"u")+COUNTIF($E168:K168,"t")+COUNTIF($E168:K168,"¶")+COUNTIF($E168:K168,"²")+COUNTIF($E168:K168,"µ")+COUNTIF($E168:K168,1)-1,INDEX(Roadmap!$D:$K,MATCH($E168,Roadmap!$D:$D,0)-1+COUNTIF($E168:K168,"u")+COUNTIF($E168:K168,"t")+COUNTIF($E168:K168,"¶")+COUNTIF($E168:K168,"²")+COUNTIF($E168:K168,"µ")+COUNTIF($E168:K168,1),ColDescriptionCourte)),""),
  "")),"")</f>
        <v/>
      </c>
      <c r="M168" s="40" t="str">
        <f ca="1">IFERROR(IF(AND(
  INDEX(Roadmap!$D:$K,MATCH($E168,Roadmap!$D:$D,0)+COUNTIF($E168:L168,"u")+COUNTIF($E168:L168,"t")+COUNTIF($E168:L168,"¶")+COUNTIF($E168:L168,"²")+COUNTIF($E168:L168,"µ")+COUNTIF($E168:L168,1),ColLivraison)=M$6,
  VLOOKUP($E168,INDIRECT("tri!"&amp; CHAR(64+ C0Col) &amp;":"&amp; CHAR(65+C0Col)),2,FALSE)&gt;COUNTIF($E168:L168,"u")+COUNTIF($E168:L168,"t")+COUNTIF($E168:L168,"¶")+COUNTIF($E168:L168,"²")+COUNTIF($E168:L168,"µ")+COUNTIF($E168:L168,1)),
HYPERLINK("#Roadmap!C"&amp; MATCH($E168,Roadmap!$D:$D,0)+COUNTIF($E168:L168,"u")+COUNTIF($E168:L168,"t"),
     INDEX(Roadmap!$D:$K,MATCH($E168,Roadmap!$D:$D,0)+COUNTIF($E168:L168,"u")+COUNTIF($E168:L168,"t")+COUNTIF($E168:L168,"¶")+COUNTIF($E168:L168,"²")+COUNTIF($E168:L168,"µ")+COUNTIF($E168:L168,1),ColTypeEcheance)),
  IF(LEN(L168)=1,
  IF(LEN(INDEX(Roadmap!$D:$K,MATCH($E168,Roadmap!$D:$D,0)-1+COUNTIF($E168:L168,"u")+COUNTIF($E168:L168,"t")+COUNTIF($E168:L168,"¶")+COUNTIF($E168:L168,"²")+COUNTIF($E168:L168,"µ")+COUNTIF($E168:L168,1),ColDescriptionCourte))&gt;1,
HYPERLINK("#Roadmap!C"&amp; MATCH($E168,Roadmap!$D:$D,0)+COUNTIF($E168:L168,"u")+COUNTIF($E168:L168,"t")+COUNTIF($E168:L168,"¶")+COUNTIF($E168:L168,"²")+COUNTIF($E168:L168,"µ")+COUNTIF($E168:L168,1)-1,INDEX(Roadmap!$D:$K,MATCH($E168,Roadmap!$D:$D,0)-1+COUNTIF($E168:L168,"u")+COUNTIF($E168:L168,"t")+COUNTIF($E168:L168,"¶")+COUNTIF($E168:L168,"²")+COUNTIF($E168:L168,"µ")+COUNTIF($E168:L168,1),ColDescriptionCourte)),""),
  "")),"")</f>
        <v/>
      </c>
      <c r="N168" s="40" t="str">
        <f ca="1">IFERROR(IF(AND(
  INDEX(Roadmap!$D:$K,MATCH($E168,Roadmap!$D:$D,0)+COUNTIF($E168:M168,"u")+COUNTIF($E168:M168,"t")+COUNTIF($E168:M168,"¶")+COUNTIF($E168:M168,"²")+COUNTIF($E168:M168,"µ")+COUNTIF($E168:M168,1),ColLivraison)=N$6,
  VLOOKUP($E168,INDIRECT("tri!"&amp; CHAR(64+ C0Col) &amp;":"&amp; CHAR(65+C0Col)),2,FALSE)&gt;COUNTIF($E168:M168,"u")+COUNTIF($E168:M168,"t")+COUNTIF($E168:M168,"¶")+COUNTIF($E168:M168,"²")+COUNTIF($E168:M168,"µ")+COUNTIF($E168:M168,1)),
HYPERLINK("#Roadmap!C"&amp; MATCH($E168,Roadmap!$D:$D,0)+COUNTIF($E168:M168,"u")+COUNTIF($E168:M168,"t"),
     INDEX(Roadmap!$D:$K,MATCH($E168,Roadmap!$D:$D,0)+COUNTIF($E168:M168,"u")+COUNTIF($E168:M168,"t")+COUNTIF($E168:M168,"¶")+COUNTIF($E168:M168,"²")+COUNTIF($E168:M168,"µ")+COUNTIF($E168:M168,1),ColTypeEcheance)),
  IF(LEN(M168)=1,
  IF(LEN(INDEX(Roadmap!$D:$K,MATCH($E168,Roadmap!$D:$D,0)-1+COUNTIF($E168:M168,"u")+COUNTIF($E168:M168,"t")+COUNTIF($E168:M168,"¶")+COUNTIF($E168:M168,"²")+COUNTIF($E168:M168,"µ")+COUNTIF($E168:M168,1),ColDescriptionCourte))&gt;1,
HYPERLINK("#Roadmap!C"&amp; MATCH($E168,Roadmap!$D:$D,0)+COUNTIF($E168:M168,"u")+COUNTIF($E168:M168,"t")+COUNTIF($E168:M168,"¶")+COUNTIF($E168:M168,"²")+COUNTIF($E168:M168,"µ")+COUNTIF($E168:M168,1)-1,INDEX(Roadmap!$D:$K,MATCH($E168,Roadmap!$D:$D,0)-1+COUNTIF($E168:M168,"u")+COUNTIF($E168:M168,"t")+COUNTIF($E168:M168,"¶")+COUNTIF($E168:M168,"²")+COUNTIF($E168:M168,"µ")+COUNTIF($E168:M168,1),ColDescriptionCourte)),""),
  "")),"")</f>
        <v/>
      </c>
      <c r="O168" s="40" t="str">
        <f ca="1">IFERROR(IF(AND(
  INDEX(Roadmap!$D:$K,MATCH($E168,Roadmap!$D:$D,0)+COUNTIF($E168:N168,"u")+COUNTIF($E168:N168,"t")+COUNTIF($E168:N168,"¶")+COUNTIF($E168:N168,"²")+COUNTIF($E168:N168,"µ")+COUNTIF($E168:N168,1),ColLivraison)=O$6,
  VLOOKUP($E168,INDIRECT("tri!"&amp; CHAR(64+ C0Col) &amp;":"&amp; CHAR(65+C0Col)),2,FALSE)&gt;COUNTIF($E168:N168,"u")+COUNTIF($E168:N168,"t")+COUNTIF($E168:N168,"¶")+COUNTIF($E168:N168,"²")+COUNTIF($E168:N168,"µ")+COUNTIF($E168:N168,1)),
HYPERLINK("#Roadmap!C"&amp; MATCH($E168,Roadmap!$D:$D,0)+COUNTIF($E168:N168,"u")+COUNTIF($E168:N168,"t"),
     INDEX(Roadmap!$D:$K,MATCH($E168,Roadmap!$D:$D,0)+COUNTIF($E168:N168,"u")+COUNTIF($E168:N168,"t")+COUNTIF($E168:N168,"¶")+COUNTIF($E168:N168,"²")+COUNTIF($E168:N168,"µ")+COUNTIF($E168:N168,1),ColTypeEcheance)),
  IF(LEN(N168)=1,
  IF(LEN(INDEX(Roadmap!$D:$K,MATCH($E168,Roadmap!$D:$D,0)-1+COUNTIF($E168:N168,"u")+COUNTIF($E168:N168,"t")+COUNTIF($E168:N168,"¶")+COUNTIF($E168:N168,"²")+COUNTIF($E168:N168,"µ")+COUNTIF($E168:N168,1),ColDescriptionCourte))&gt;1,
HYPERLINK("#Roadmap!C"&amp; MATCH($E168,Roadmap!$D:$D,0)+COUNTIF($E168:N168,"u")+COUNTIF($E168:N168,"t")+COUNTIF($E168:N168,"¶")+COUNTIF($E168:N168,"²")+COUNTIF($E168:N168,"µ")+COUNTIF($E168:N168,1)-1,INDEX(Roadmap!$D:$K,MATCH($E168,Roadmap!$D:$D,0)-1+COUNTIF($E168:N168,"u")+COUNTIF($E168:N168,"t")+COUNTIF($E168:N168,"¶")+COUNTIF($E168:N168,"²")+COUNTIF($E168:N168,"µ")+COUNTIF($E168:N168,1),ColDescriptionCourte)),""),
  "")),"")</f>
        <v/>
      </c>
      <c r="P168" s="40" t="str">
        <f ca="1">IFERROR(IF(AND(
  INDEX(Roadmap!$D:$K,MATCH($E168,Roadmap!$D:$D,0)+COUNTIF($E168:O168,"u")+COUNTIF($E168:O168,"t")+COUNTIF($E168:O168,"¶")+COUNTIF($E168:O168,"²")+COUNTIF($E168:O168,"µ")+COUNTIF($E168:O168,1),ColLivraison)=P$6,
  VLOOKUP($E168,INDIRECT("tri!"&amp; CHAR(64+ C0Col) &amp;":"&amp; CHAR(65+C0Col)),2,FALSE)&gt;COUNTIF($E168:O168,"u")+COUNTIF($E168:O168,"t")+COUNTIF($E168:O168,"¶")+COUNTIF($E168:O168,"²")+COUNTIF($E168:O168,"µ")+COUNTIF($E168:O168,1)),
HYPERLINK("#Roadmap!C"&amp; MATCH($E168,Roadmap!$D:$D,0)+COUNTIF($E168:O168,"u")+COUNTIF($E168:O168,"t"),
     INDEX(Roadmap!$D:$K,MATCH($E168,Roadmap!$D:$D,0)+COUNTIF($E168:O168,"u")+COUNTIF($E168:O168,"t")+COUNTIF($E168:O168,"¶")+COUNTIF($E168:O168,"²")+COUNTIF($E168:O168,"µ")+COUNTIF($E168:O168,1),ColTypeEcheance)),
  IF(LEN(O168)=1,
  IF(LEN(INDEX(Roadmap!$D:$K,MATCH($E168,Roadmap!$D:$D,0)-1+COUNTIF($E168:O168,"u")+COUNTIF($E168:O168,"t")+COUNTIF($E168:O168,"¶")+COUNTIF($E168:O168,"²")+COUNTIF($E168:O168,"µ")+COUNTIF($E168:O168,1),ColDescriptionCourte))&gt;1,
HYPERLINK("#Roadmap!C"&amp; MATCH($E168,Roadmap!$D:$D,0)+COUNTIF($E168:O168,"u")+COUNTIF($E168:O168,"t")+COUNTIF($E168:O168,"¶")+COUNTIF($E168:O168,"²")+COUNTIF($E168:O168,"µ")+COUNTIF($E168:O168,1)-1,INDEX(Roadmap!$D:$K,MATCH($E168,Roadmap!$D:$D,0)-1+COUNTIF($E168:O168,"u")+COUNTIF($E168:O168,"t")+COUNTIF($E168:O168,"¶")+COUNTIF($E168:O168,"²")+COUNTIF($E168:O168,"µ")+COUNTIF($E168:O168,1),ColDescriptionCourte)),""),
  "")),"")</f>
        <v/>
      </c>
      <c r="Q168" s="40" t="str">
        <f ca="1">IFERROR(IF(AND(
  INDEX(Roadmap!$D:$K,MATCH($E168,Roadmap!$D:$D,0)+COUNTIF($E168:P168,"u")+COUNTIF($E168:P168,"t")+COUNTIF($E168:P168,"¶")+COUNTIF($E168:P168,"²")+COUNTIF($E168:P168,"µ")+COUNTIF($E168:P168,1),ColLivraison)=Q$6,
  VLOOKUP($E168,INDIRECT("tri!"&amp; CHAR(64+ C0Col) &amp;":"&amp; CHAR(65+C0Col)),2,FALSE)&gt;COUNTIF($E168:P168,"u")+COUNTIF($E168:P168,"t")+COUNTIF($E168:P168,"¶")+COUNTIF($E168:P168,"²")+COUNTIF($E168:P168,"µ")+COUNTIF($E168:P168,1)),
HYPERLINK("#Roadmap!C"&amp; MATCH($E168,Roadmap!$D:$D,0)+COUNTIF($E168:P168,"u")+COUNTIF($E168:P168,"t"),
     INDEX(Roadmap!$D:$K,MATCH($E168,Roadmap!$D:$D,0)+COUNTIF($E168:P168,"u")+COUNTIF($E168:P168,"t")+COUNTIF($E168:P168,"¶")+COUNTIF($E168:P168,"²")+COUNTIF($E168:P168,"µ")+COUNTIF($E168:P168,1),ColTypeEcheance)),
  IF(LEN(P168)=1,
  IF(LEN(INDEX(Roadmap!$D:$K,MATCH($E168,Roadmap!$D:$D,0)-1+COUNTIF($E168:P168,"u")+COUNTIF($E168:P168,"t")+COUNTIF($E168:P168,"¶")+COUNTIF($E168:P168,"²")+COUNTIF($E168:P168,"µ")+COUNTIF($E168:P168,1),ColDescriptionCourte))&gt;1,
HYPERLINK("#Roadmap!C"&amp; MATCH($E168,Roadmap!$D:$D,0)+COUNTIF($E168:P168,"u")+COUNTIF($E168:P168,"t")+COUNTIF($E168:P168,"¶")+COUNTIF($E168:P168,"²")+COUNTIF($E168:P168,"µ")+COUNTIF($E168:P168,1)-1,INDEX(Roadmap!$D:$K,MATCH($E168,Roadmap!$D:$D,0)-1+COUNTIF($E168:P168,"u")+COUNTIF($E168:P168,"t")+COUNTIF($E168:P168,"¶")+COUNTIF($E168:P168,"²")+COUNTIF($E168:P168,"µ")+COUNTIF($E168:P168,1),ColDescriptionCourte)),""),
  "")),"")</f>
        <v/>
      </c>
      <c r="R168" s="40" t="str">
        <f ca="1">IFERROR(IF(AND(
  INDEX(Roadmap!$D:$K,MATCH($E168,Roadmap!$D:$D,0)+COUNTIF($E168:Q168,"u")+COUNTIF($E168:Q168,"t")+COUNTIF($E168:Q168,"¶")+COUNTIF($E168:Q168,"²")+COUNTIF($E168:Q168,"µ")+COUNTIF($E168:Q168,1),ColLivraison)=R$6,
  VLOOKUP($E168,INDIRECT("tri!"&amp; CHAR(64+ C0Col) &amp;":"&amp; CHAR(65+C0Col)),2,FALSE)&gt;COUNTIF($E168:Q168,"u")+COUNTIF($E168:Q168,"t")+COUNTIF($E168:Q168,"¶")+COUNTIF($E168:Q168,"²")+COUNTIF($E168:Q168,"µ")+COUNTIF($E168:Q168,1)),
HYPERLINK("#Roadmap!C"&amp; MATCH($E168,Roadmap!$D:$D,0)+COUNTIF($E168:Q168,"u")+COUNTIF($E168:Q168,"t"),
     INDEX(Roadmap!$D:$K,MATCH($E168,Roadmap!$D:$D,0)+COUNTIF($E168:Q168,"u")+COUNTIF($E168:Q168,"t")+COUNTIF($E168:Q168,"¶")+COUNTIF($E168:Q168,"²")+COUNTIF($E168:Q168,"µ")+COUNTIF($E168:Q168,1),ColTypeEcheance)),
  IF(LEN(Q168)=1,
  IF(LEN(INDEX(Roadmap!$D:$K,MATCH($E168,Roadmap!$D:$D,0)-1+COUNTIF($E168:Q168,"u")+COUNTIF($E168:Q168,"t")+COUNTIF($E168:Q168,"¶")+COUNTIF($E168:Q168,"²")+COUNTIF($E168:Q168,"µ")+COUNTIF($E168:Q168,1),ColDescriptionCourte))&gt;1,
HYPERLINK("#Roadmap!C"&amp; MATCH($E168,Roadmap!$D:$D,0)+COUNTIF($E168:Q168,"u")+COUNTIF($E168:Q168,"t")+COUNTIF($E168:Q168,"¶")+COUNTIF($E168:Q168,"²")+COUNTIF($E168:Q168,"µ")+COUNTIF($E168:Q168,1)-1,INDEX(Roadmap!$D:$K,MATCH($E168,Roadmap!$D:$D,0)-1+COUNTIF($E168:Q168,"u")+COUNTIF($E168:Q168,"t")+COUNTIF($E168:Q168,"¶")+COUNTIF($E168:Q168,"²")+COUNTIF($E168:Q168,"µ")+COUNTIF($E168:Q168,1),ColDescriptionCourte)),""),
  "")),"")</f>
        <v/>
      </c>
      <c r="S168" s="40" t="str">
        <f ca="1">IFERROR(IF(AND(
  INDEX(Roadmap!$D:$K,MATCH($E168,Roadmap!$D:$D,0)+COUNTIF($E168:R168,"u")+COUNTIF($E168:R168,"t")+COUNTIF($E168:R168,"¶")+COUNTIF($E168:R168,"²")+COUNTIF($E168:R168,"µ")+COUNTIF($E168:R168,1),ColLivraison)=S$6,
  VLOOKUP($E168,INDIRECT("tri!"&amp; CHAR(64+ C0Col) &amp;":"&amp; CHAR(65+C0Col)),2,FALSE)&gt;COUNTIF($E168:R168,"u")+COUNTIF($E168:R168,"t")+COUNTIF($E168:R168,"¶")+COUNTIF($E168:R168,"²")+COUNTIF($E168:R168,"µ")+COUNTIF($E168:R168,1)),
HYPERLINK("#Roadmap!C"&amp; MATCH($E168,Roadmap!$D:$D,0)+COUNTIF($E168:R168,"u")+COUNTIF($E168:R168,"t"),
     INDEX(Roadmap!$D:$K,MATCH($E168,Roadmap!$D:$D,0)+COUNTIF($E168:R168,"u")+COUNTIF($E168:R168,"t")+COUNTIF($E168:R168,"¶")+COUNTIF($E168:R168,"²")+COUNTIF($E168:R168,"µ")+COUNTIF($E168:R168,1),ColTypeEcheance)),
  IF(LEN(R168)=1,
  IF(LEN(INDEX(Roadmap!$D:$K,MATCH($E168,Roadmap!$D:$D,0)-1+COUNTIF($E168:R168,"u")+COUNTIF($E168:R168,"t")+COUNTIF($E168:R168,"¶")+COUNTIF($E168:R168,"²")+COUNTIF($E168:R168,"µ")+COUNTIF($E168:R168,1),ColDescriptionCourte))&gt;1,
HYPERLINK("#Roadmap!C"&amp; MATCH($E168,Roadmap!$D:$D,0)+COUNTIF($E168:R168,"u")+COUNTIF($E168:R168,"t")+COUNTIF($E168:R168,"¶")+COUNTIF($E168:R168,"²")+COUNTIF($E168:R168,"µ")+COUNTIF($E168:R168,1)-1,INDEX(Roadmap!$D:$K,MATCH($E168,Roadmap!$D:$D,0)-1+COUNTIF($E168:R168,"u")+COUNTIF($E168:R168,"t")+COUNTIF($E168:R168,"¶")+COUNTIF($E168:R168,"²")+COUNTIF($E168:R168,"µ")+COUNTIF($E168:R168,1),ColDescriptionCourte)),""),
  "")),"")</f>
        <v/>
      </c>
      <c r="T168" s="40" t="str">
        <f ca="1">IFERROR(IF(AND(
  INDEX(Roadmap!$D:$K,MATCH($E168,Roadmap!$D:$D,0)+COUNTIF($E168:S168,"u")+COUNTIF($E168:S168,"t")+COUNTIF($E168:S168,"¶")+COUNTIF($E168:S168,"²")+COUNTIF($E168:S168,"µ")+COUNTIF($E168:S168,1),ColLivraison)=T$6,
  VLOOKUP($E168,INDIRECT("tri!"&amp; CHAR(64+ C0Col) &amp;":"&amp; CHAR(65+C0Col)),2,FALSE)&gt;COUNTIF($E168:S168,"u")+COUNTIF($E168:S168,"t")+COUNTIF($E168:S168,"¶")+COUNTIF($E168:S168,"²")+COUNTIF($E168:S168,"µ")+COUNTIF($E168:S168,1)),
HYPERLINK("#Roadmap!C"&amp; MATCH($E168,Roadmap!$D:$D,0)+COUNTIF($E168:S168,"u")+COUNTIF($E168:S168,"t"),
     INDEX(Roadmap!$D:$K,MATCH($E168,Roadmap!$D:$D,0)+COUNTIF($E168:S168,"u")+COUNTIF($E168:S168,"t")+COUNTIF($E168:S168,"¶")+COUNTIF($E168:S168,"²")+COUNTIF($E168:S168,"µ")+COUNTIF($E168:S168,1),ColTypeEcheance)),
  IF(LEN(S168)=1,
  IF(LEN(INDEX(Roadmap!$D:$K,MATCH($E168,Roadmap!$D:$D,0)-1+COUNTIF($E168:S168,"u")+COUNTIF($E168:S168,"t")+COUNTIF($E168:S168,"¶")+COUNTIF($E168:S168,"²")+COUNTIF($E168:S168,"µ")+COUNTIF($E168:S168,1),ColDescriptionCourte))&gt;1,
HYPERLINK("#Roadmap!C"&amp; MATCH($E168,Roadmap!$D:$D,0)+COUNTIF($E168:S168,"u")+COUNTIF($E168:S168,"t")+COUNTIF($E168:S168,"¶")+COUNTIF($E168:S168,"²")+COUNTIF($E168:S168,"µ")+COUNTIF($E168:S168,1)-1,INDEX(Roadmap!$D:$K,MATCH($E168,Roadmap!$D:$D,0)-1+COUNTIF($E168:S168,"u")+COUNTIF($E168:S168,"t")+COUNTIF($E168:S168,"¶")+COUNTIF($E168:S168,"²")+COUNTIF($E168:S168,"µ")+COUNTIF($E168:S168,1),ColDescriptionCourte)),""),
  "")),"")</f>
        <v/>
      </c>
      <c r="U168" s="40" t="str">
        <f ca="1">IFERROR(IF(AND(
  INDEX(Roadmap!$D:$K,MATCH($E168,Roadmap!$D:$D,0)+COUNTIF($E168:T168,"u")+COUNTIF($E168:T168,"t")+COUNTIF($E168:T168,"¶")+COUNTIF($E168:T168,"²")+COUNTIF($E168:T168,"µ")+COUNTIF($E168:T168,1),ColLivraison)=U$6,
  VLOOKUP($E168,INDIRECT("tri!"&amp; CHAR(64+ C0Col) &amp;":"&amp; CHAR(65+C0Col)),2,FALSE)&gt;COUNTIF($E168:T168,"u")+COUNTIF($E168:T168,"t")+COUNTIF($E168:T168,"¶")+COUNTIF($E168:T168,"²")+COUNTIF($E168:T168,"µ")+COUNTIF($E168:T168,1)),
HYPERLINK("#Roadmap!C"&amp; MATCH($E168,Roadmap!$D:$D,0)+COUNTIF($E168:T168,"u")+COUNTIF($E168:T168,"t"),
     INDEX(Roadmap!$D:$K,MATCH($E168,Roadmap!$D:$D,0)+COUNTIF($E168:T168,"u")+COUNTIF($E168:T168,"t")+COUNTIF($E168:T168,"¶")+COUNTIF($E168:T168,"²")+COUNTIF($E168:T168,"µ")+COUNTIF($E168:T168,1),ColTypeEcheance)),
  IF(LEN(T168)=1,
  IF(LEN(INDEX(Roadmap!$D:$K,MATCH($E168,Roadmap!$D:$D,0)-1+COUNTIF($E168:T168,"u")+COUNTIF($E168:T168,"t")+COUNTIF($E168:T168,"¶")+COUNTIF($E168:T168,"²")+COUNTIF($E168:T168,"µ")+COUNTIF($E168:T168,1),ColDescriptionCourte))&gt;1,
HYPERLINK("#Roadmap!C"&amp; MATCH($E168,Roadmap!$D:$D,0)+COUNTIF($E168:T168,"u")+COUNTIF($E168:T168,"t")+COUNTIF($E168:T168,"¶")+COUNTIF($E168:T168,"²")+COUNTIF($E168:T168,"µ")+COUNTIF($E168:T168,1)-1,INDEX(Roadmap!$D:$K,MATCH($E168,Roadmap!$D:$D,0)-1+COUNTIF($E168:T168,"u")+COUNTIF($E168:T168,"t")+COUNTIF($E168:T168,"¶")+COUNTIF($E168:T168,"²")+COUNTIF($E168:T168,"µ")+COUNTIF($E168:T168,1),ColDescriptionCourte)),""),
  "")),"")</f>
        <v/>
      </c>
      <c r="V168" s="40" t="str">
        <f ca="1">IFERROR(IF(AND(
  INDEX(Roadmap!$D:$K,MATCH($E168,Roadmap!$D:$D,0)+COUNTIF($E168:U168,"u")+COUNTIF($E168:U168,"t")+COUNTIF($E168:U168,"¶")+COUNTIF($E168:U168,"²")+COUNTIF($E168:U168,"µ")+COUNTIF($E168:U168,1),ColLivraison)=V$6,
  VLOOKUP($E168,INDIRECT("tri!"&amp; CHAR(64+ C0Col) &amp;":"&amp; CHAR(65+C0Col)),2,FALSE)&gt;COUNTIF($E168:U168,"u")+COUNTIF($E168:U168,"t")+COUNTIF($E168:U168,"¶")+COUNTIF($E168:U168,"²")+COUNTIF($E168:U168,"µ")+COUNTIF($E168:U168,1)),
HYPERLINK("#Roadmap!C"&amp; MATCH($E168,Roadmap!$D:$D,0)+COUNTIF($E168:U168,"u")+COUNTIF($E168:U168,"t"),
     INDEX(Roadmap!$D:$K,MATCH($E168,Roadmap!$D:$D,0)+COUNTIF($E168:U168,"u")+COUNTIF($E168:U168,"t")+COUNTIF($E168:U168,"¶")+COUNTIF($E168:U168,"²")+COUNTIF($E168:U168,"µ")+COUNTIF($E168:U168,1),ColTypeEcheance)),
  IF(LEN(U168)=1,
  IF(LEN(INDEX(Roadmap!$D:$K,MATCH($E168,Roadmap!$D:$D,0)-1+COUNTIF($E168:U168,"u")+COUNTIF($E168:U168,"t")+COUNTIF($E168:U168,"¶")+COUNTIF($E168:U168,"²")+COUNTIF($E168:U168,"µ")+COUNTIF($E168:U168,1),ColDescriptionCourte))&gt;1,
HYPERLINK("#Roadmap!C"&amp; MATCH($E168,Roadmap!$D:$D,0)+COUNTIF($E168:U168,"u")+COUNTIF($E168:U168,"t")+COUNTIF($E168:U168,"¶")+COUNTIF($E168:U168,"²")+COUNTIF($E168:U168,"µ")+COUNTIF($E168:U168,1)-1,INDEX(Roadmap!$D:$K,MATCH($E168,Roadmap!$D:$D,0)-1+COUNTIF($E168:U168,"u")+COUNTIF($E168:U168,"t")+COUNTIF($E168:U168,"¶")+COUNTIF($E168:U168,"²")+COUNTIF($E168:U168,"µ")+COUNTIF($E168:U168,1),ColDescriptionCourte)),""),
  "")),"")</f>
        <v/>
      </c>
      <c r="W168" s="40" t="str">
        <f ca="1">IFERROR(IF(AND(
  INDEX(Roadmap!$D:$K,MATCH($E168,Roadmap!$D:$D,0)+COUNTIF($E168:V168,"u")+COUNTIF($E168:V168,"t")+COUNTIF($E168:V168,"¶")+COUNTIF($E168:V168,"²")+COUNTIF($E168:V168,"µ")+COUNTIF($E168:V168,1),ColLivraison)=W$6,
  VLOOKUP($E168,INDIRECT("tri!"&amp; CHAR(64+ C0Col) &amp;":"&amp; CHAR(65+C0Col)),2,FALSE)&gt;COUNTIF($E168:V168,"u")+COUNTIF($E168:V168,"t")+COUNTIF($E168:V168,"¶")+COUNTIF($E168:V168,"²")+COUNTIF($E168:V168,"µ")+COUNTIF($E168:V168,1)),
HYPERLINK("#Roadmap!C"&amp; MATCH($E168,Roadmap!$D:$D,0)+COUNTIF($E168:V168,"u")+COUNTIF($E168:V168,"t"),
     INDEX(Roadmap!$D:$K,MATCH($E168,Roadmap!$D:$D,0)+COUNTIF($E168:V168,"u")+COUNTIF($E168:V168,"t")+COUNTIF($E168:V168,"¶")+COUNTIF($E168:V168,"²")+COUNTIF($E168:V168,"µ")+COUNTIF($E168:V168,1),ColTypeEcheance)),
  IF(LEN(V168)=1,
  IF(LEN(INDEX(Roadmap!$D:$K,MATCH($E168,Roadmap!$D:$D,0)-1+COUNTIF($E168:V168,"u")+COUNTIF($E168:V168,"t")+COUNTIF($E168:V168,"¶")+COUNTIF($E168:V168,"²")+COUNTIF($E168:V168,"µ")+COUNTIF($E168:V168,1),ColDescriptionCourte))&gt;1,
HYPERLINK("#Roadmap!C"&amp; MATCH($E168,Roadmap!$D:$D,0)+COUNTIF($E168:V168,"u")+COUNTIF($E168:V168,"t")+COUNTIF($E168:V168,"¶")+COUNTIF($E168:V168,"²")+COUNTIF($E168:V168,"µ")+COUNTIF($E168:V168,1)-1,INDEX(Roadmap!$D:$K,MATCH($E168,Roadmap!$D:$D,0)-1+COUNTIF($E168:V168,"u")+COUNTIF($E168:V168,"t")+COUNTIF($E168:V168,"¶")+COUNTIF($E168:V168,"²")+COUNTIF($E168:V168,"µ")+COUNTIF($E168:V168,1),ColDescriptionCourte)),""),
  "")),"")</f>
        <v/>
      </c>
      <c r="X168" s="40" t="str">
        <f ca="1">IFERROR(IF(AND(
  INDEX(Roadmap!$D:$K,MATCH($E168,Roadmap!$D:$D,0)+COUNTIF($E168:W168,"u")+COUNTIF($E168:W168,"t")+COUNTIF($E168:W168,"¶")+COUNTIF($E168:W168,"²")+COUNTIF($E168:W168,"µ")+COUNTIF($E168:W168,1),ColLivraison)=X$6,
  VLOOKUP($E168,INDIRECT("tri!"&amp; CHAR(64+ C0Col) &amp;":"&amp; CHAR(65+C0Col)),2,FALSE)&gt;COUNTIF($E168:W168,"u")+COUNTIF($E168:W168,"t")+COUNTIF($E168:W168,"¶")+COUNTIF($E168:W168,"²")+COUNTIF($E168:W168,"µ")+COUNTIF($E168:W168,1)),
HYPERLINK("#Roadmap!C"&amp; MATCH($E168,Roadmap!$D:$D,0)+COUNTIF($E168:W168,"u")+COUNTIF($E168:W168,"t"),
     INDEX(Roadmap!$D:$K,MATCH($E168,Roadmap!$D:$D,0)+COUNTIF($E168:W168,"u")+COUNTIF($E168:W168,"t")+COUNTIF($E168:W168,"¶")+COUNTIF($E168:W168,"²")+COUNTIF($E168:W168,"µ")+COUNTIF($E168:W168,1),ColTypeEcheance)),
  IF(LEN(W168)=1,
  IF(LEN(INDEX(Roadmap!$D:$K,MATCH($E168,Roadmap!$D:$D,0)-1+COUNTIF($E168:W168,"u")+COUNTIF($E168:W168,"t")+COUNTIF($E168:W168,"¶")+COUNTIF($E168:W168,"²")+COUNTIF($E168:W168,"µ")+COUNTIF($E168:W168,1),ColDescriptionCourte))&gt;1,
HYPERLINK("#Roadmap!C"&amp; MATCH($E168,Roadmap!$D:$D,0)+COUNTIF($E168:W168,"u")+COUNTIF($E168:W168,"t")+COUNTIF($E168:W168,"¶")+COUNTIF($E168:W168,"²")+COUNTIF($E168:W168,"µ")+COUNTIF($E168:W168,1)-1,INDEX(Roadmap!$D:$K,MATCH($E168,Roadmap!$D:$D,0)-1+COUNTIF($E168:W168,"u")+COUNTIF($E168:W168,"t")+COUNTIF($E168:W168,"¶")+COUNTIF($E168:W168,"²")+COUNTIF($E168:W168,"µ")+COUNTIF($E168:W168,1),ColDescriptionCourte)),""),
  "")),"")</f>
        <v/>
      </c>
      <c r="Y168" s="40" t="str">
        <f ca="1">IFERROR(IF(AND(
  INDEX(Roadmap!$D:$K,MATCH($E168,Roadmap!$D:$D,0)+COUNTIF($E168:X168,"u")+COUNTIF($E168:X168,"t")+COUNTIF($E168:X168,"¶")+COUNTIF($E168:X168,"²")+COUNTIF($E168:X168,"µ")+COUNTIF($E168:X168,1),ColLivraison)=Y$6,
  VLOOKUP($E168,INDIRECT("tri!"&amp; CHAR(64+ C0Col) &amp;":"&amp; CHAR(65+C0Col)),2,FALSE)&gt;COUNTIF($E168:X168,"u")+COUNTIF($E168:X168,"t")+COUNTIF($E168:X168,"¶")+COUNTIF($E168:X168,"²")+COUNTIF($E168:X168,"µ")+COUNTIF($E168:X168,1)),
HYPERLINK("#Roadmap!C"&amp; MATCH($E168,Roadmap!$D:$D,0)+COUNTIF($E168:X168,"u")+COUNTIF($E168:X168,"t"),
     INDEX(Roadmap!$D:$K,MATCH($E168,Roadmap!$D:$D,0)+COUNTIF($E168:X168,"u")+COUNTIF($E168:X168,"t")+COUNTIF($E168:X168,"¶")+COUNTIF($E168:X168,"²")+COUNTIF($E168:X168,"µ")+COUNTIF($E168:X168,1),ColTypeEcheance)),
  IF(LEN(X168)=1,
  IF(LEN(INDEX(Roadmap!$D:$K,MATCH($E168,Roadmap!$D:$D,0)-1+COUNTIF($E168:X168,"u")+COUNTIF($E168:X168,"t")+COUNTIF($E168:X168,"¶")+COUNTIF($E168:X168,"²")+COUNTIF($E168:X168,"µ")+COUNTIF($E168:X168,1),ColDescriptionCourte))&gt;1,
HYPERLINK("#Roadmap!C"&amp; MATCH($E168,Roadmap!$D:$D,0)+COUNTIF($E168:X168,"u")+COUNTIF($E168:X168,"t")+COUNTIF($E168:X168,"¶")+COUNTIF($E168:X168,"²")+COUNTIF($E168:X168,"µ")+COUNTIF($E168:X168,1)-1,INDEX(Roadmap!$D:$K,MATCH($E168,Roadmap!$D:$D,0)-1+COUNTIF($E168:X168,"u")+COUNTIF($E168:X168,"t")+COUNTIF($E168:X168,"¶")+COUNTIF($E168:X168,"²")+COUNTIF($E168:X168,"µ")+COUNTIF($E168:X168,1),ColDescriptionCourte)),""),
  "")),"")</f>
        <v/>
      </c>
      <c r="Z168" s="40" t="str">
        <f ca="1">IFERROR(IF(AND(
  INDEX(Roadmap!$D:$K,MATCH($E168,Roadmap!$D:$D,0)+COUNTIF($E168:Y168,"u")+COUNTIF($E168:Y168,"t")+COUNTIF($E168:Y168,"¶")+COUNTIF($E168:Y168,"²")+COUNTIF($E168:Y168,"µ")+COUNTIF($E168:Y168,1),ColLivraison)=Z$6,
  VLOOKUP($E168,INDIRECT("tri!"&amp; CHAR(64+ C0Col) &amp;":"&amp; CHAR(65+C0Col)),2,FALSE)&gt;COUNTIF($E168:Y168,"u")+COUNTIF($E168:Y168,"t")+COUNTIF($E168:Y168,"¶")+COUNTIF($E168:Y168,"²")+COUNTIF($E168:Y168,"µ")+COUNTIF($E168:Y168,1)),
HYPERLINK("#Roadmap!C"&amp; MATCH($E168,Roadmap!$D:$D,0)+COUNTIF($E168:Y168,"u")+COUNTIF($E168:Y168,"t"),
     INDEX(Roadmap!$D:$K,MATCH($E168,Roadmap!$D:$D,0)+COUNTIF($E168:Y168,"u")+COUNTIF($E168:Y168,"t")+COUNTIF($E168:Y168,"¶")+COUNTIF($E168:Y168,"²")+COUNTIF($E168:Y168,"µ")+COUNTIF($E168:Y168,1),ColTypeEcheance)),
  IF(LEN(Y168)=1,
  IF(LEN(INDEX(Roadmap!$D:$K,MATCH($E168,Roadmap!$D:$D,0)-1+COUNTIF($E168:Y168,"u")+COUNTIF($E168:Y168,"t")+COUNTIF($E168:Y168,"¶")+COUNTIF($E168:Y168,"²")+COUNTIF($E168:Y168,"µ")+COUNTIF($E168:Y168,1),ColDescriptionCourte))&gt;1,
HYPERLINK("#Roadmap!C"&amp; MATCH($E168,Roadmap!$D:$D,0)+COUNTIF($E168:Y168,"u")+COUNTIF($E168:Y168,"t")+COUNTIF($E168:Y168,"¶")+COUNTIF($E168:Y168,"²")+COUNTIF($E168:Y168,"µ")+COUNTIF($E168:Y168,1)-1,INDEX(Roadmap!$D:$K,MATCH($E168,Roadmap!$D:$D,0)-1+COUNTIF($E168:Y168,"u")+COUNTIF($E168:Y168,"t")+COUNTIF($E168:Y168,"¶")+COUNTIF($E168:Y168,"²")+COUNTIF($E168:Y168,"µ")+COUNTIF($E168:Y168,1),ColDescriptionCourte)),""),
  "")),"")</f>
        <v/>
      </c>
      <c r="AA168" s="40" t="str">
        <f ca="1">IFERROR(IF(AND(
  INDEX(Roadmap!$D:$K,MATCH($E168,Roadmap!$D:$D,0)+COUNTIF($E168:Z168,"u")+COUNTIF($E168:Z168,"t")+COUNTIF($E168:Z168,"¶")+COUNTIF($E168:Z168,"²")+COUNTIF($E168:Z168,"µ")+COUNTIF($E168:Z168,1),ColLivraison)=AA$6,
  VLOOKUP($E168,INDIRECT("tri!"&amp; CHAR(64+ C0Col) &amp;":"&amp; CHAR(65+C0Col)),2,FALSE)&gt;COUNTIF($E168:Z168,"u")+COUNTIF($E168:Z168,"t")+COUNTIF($E168:Z168,"¶")+COUNTIF($E168:Z168,"²")+COUNTIF($E168:Z168,"µ")+COUNTIF($E168:Z168,1)),
HYPERLINK("#Roadmap!C"&amp; MATCH($E168,Roadmap!$D:$D,0)+COUNTIF($E168:Z168,"u")+COUNTIF($E168:Z168,"t"),
     INDEX(Roadmap!$D:$K,MATCH($E168,Roadmap!$D:$D,0)+COUNTIF($E168:Z168,"u")+COUNTIF($E168:Z168,"t")+COUNTIF($E168:Z168,"¶")+COUNTIF($E168:Z168,"²")+COUNTIF($E168:Z168,"µ")+COUNTIF($E168:Z168,1),ColTypeEcheance)),
  IF(LEN(Z168)=1,
  IF(LEN(INDEX(Roadmap!$D:$K,MATCH($E168,Roadmap!$D:$D,0)-1+COUNTIF($E168:Z168,"u")+COUNTIF($E168:Z168,"t")+COUNTIF($E168:Z168,"¶")+COUNTIF($E168:Z168,"²")+COUNTIF($E168:Z168,"µ")+COUNTIF($E168:Z168,1),ColDescriptionCourte))&gt;1,
HYPERLINK("#Roadmap!C"&amp; MATCH($E168,Roadmap!$D:$D,0)+COUNTIF($E168:Z168,"u")+COUNTIF($E168:Z168,"t")+COUNTIF($E168:Z168,"¶")+COUNTIF($E168:Z168,"²")+COUNTIF($E168:Z168,"µ")+COUNTIF($E168:Z168,1)-1,INDEX(Roadmap!$D:$K,MATCH($E168,Roadmap!$D:$D,0)-1+COUNTIF($E168:Z168,"u")+COUNTIF($E168:Z168,"t")+COUNTIF($E168:Z168,"¶")+COUNTIF($E168:Z168,"²")+COUNTIF($E168:Z168,"µ")+COUNTIF($E168:Z168,1),ColDescriptionCourte)),""),
  "")),"")</f>
        <v/>
      </c>
      <c r="AB168" s="40" t="str">
        <f ca="1">IFERROR(IF(AND(
  INDEX(Roadmap!$D:$K,MATCH($E168,Roadmap!$D:$D,0)+COUNTIF($E168:AA168,"u")+COUNTIF($E168:AA168,"t")+COUNTIF($E168:AA168,"¶")+COUNTIF($E168:AA168,"²")+COUNTIF($E168:AA168,"µ")+COUNTIF($E168:AA168,1),ColLivraison)=AB$6,
  VLOOKUP($E168,INDIRECT("tri!"&amp; CHAR(64+ C0Col) &amp;":"&amp; CHAR(65+C0Col)),2,FALSE)&gt;COUNTIF($E168:AA168,"u")+COUNTIF($E168:AA168,"t")+COUNTIF($E168:AA168,"¶")+COUNTIF($E168:AA168,"²")+COUNTIF($E168:AA168,"µ")+COUNTIF($E168:AA168,1)),
HYPERLINK("#Roadmap!C"&amp; MATCH($E168,Roadmap!$D:$D,0)+COUNTIF($E168:AA168,"u")+COUNTIF($E168:AA168,"t"),
     INDEX(Roadmap!$D:$K,MATCH($E168,Roadmap!$D:$D,0)+COUNTIF($E168:AA168,"u")+COUNTIF($E168:AA168,"t")+COUNTIF($E168:AA168,"¶")+COUNTIF($E168:AA168,"²")+COUNTIF($E168:AA168,"µ")+COUNTIF($E168:AA168,1),ColTypeEcheance)),
  IF(LEN(AA168)=1,
  IF(LEN(INDEX(Roadmap!$D:$K,MATCH($E168,Roadmap!$D:$D,0)-1+COUNTIF($E168:AA168,"u")+COUNTIF($E168:AA168,"t")+COUNTIF($E168:AA168,"¶")+COUNTIF($E168:AA168,"²")+COUNTIF($E168:AA168,"µ")+COUNTIF($E168:AA168,1),ColDescriptionCourte))&gt;1,
HYPERLINK("#Roadmap!C"&amp; MATCH($E168,Roadmap!$D:$D,0)+COUNTIF($E168:AA168,"u")+COUNTIF($E168:AA168,"t")+COUNTIF($E168:AA168,"¶")+COUNTIF($E168:AA168,"²")+COUNTIF($E168:AA168,"µ")+COUNTIF($E168:AA168,1)-1,INDEX(Roadmap!$D:$K,MATCH($E168,Roadmap!$D:$D,0)-1+COUNTIF($E168:AA168,"u")+COUNTIF($E168:AA168,"t")+COUNTIF($E168:AA168,"¶")+COUNTIF($E168:AA168,"²")+COUNTIF($E168:AA168,"µ")+COUNTIF($E168:AA168,1),ColDescriptionCourte)),""),
  "")),"")</f>
        <v/>
      </c>
      <c r="AC168" s="40" t="str">
        <f ca="1">IFERROR(IF(AND(
  INDEX(Roadmap!$D:$K,MATCH($E168,Roadmap!$D:$D,0)+COUNTIF($E168:AB168,"u")+COUNTIF($E168:AB168,"t")+COUNTIF($E168:AB168,"¶")+COUNTIF($E168:AB168,"²")+COUNTIF($E168:AB168,"µ")+COUNTIF($E168:AB168,1),ColLivraison)=AC$6,
  VLOOKUP($E168,INDIRECT("tri!"&amp; CHAR(64+ C0Col) &amp;":"&amp; CHAR(65+C0Col)),2,FALSE)&gt;COUNTIF($E168:AB168,"u")+COUNTIF($E168:AB168,"t")+COUNTIF($E168:AB168,"¶")+COUNTIF($E168:AB168,"²")+COUNTIF($E168:AB168,"µ")+COUNTIF($E168:AB168,1)),
HYPERLINK("#Roadmap!C"&amp; MATCH($E168,Roadmap!$D:$D,0)+COUNTIF($E168:AB168,"u")+COUNTIF($E168:AB168,"t"),
     INDEX(Roadmap!$D:$K,MATCH($E168,Roadmap!$D:$D,0)+COUNTIF($E168:AB168,"u")+COUNTIF($E168:AB168,"t")+COUNTIF($E168:AB168,"¶")+COUNTIF($E168:AB168,"²")+COUNTIF($E168:AB168,"µ")+COUNTIF($E168:AB168,1),ColTypeEcheance)),
  IF(LEN(AB168)=1,
  IF(LEN(INDEX(Roadmap!$D:$K,MATCH($E168,Roadmap!$D:$D,0)-1+COUNTIF($E168:AB168,"u")+COUNTIF($E168:AB168,"t")+COUNTIF($E168:AB168,"¶")+COUNTIF($E168:AB168,"²")+COUNTIF($E168:AB168,"µ")+COUNTIF($E168:AB168,1),ColDescriptionCourte))&gt;1,
HYPERLINK("#Roadmap!C"&amp; MATCH($E168,Roadmap!$D:$D,0)+COUNTIF($E168:AB168,"u")+COUNTIF($E168:AB168,"t")+COUNTIF($E168:AB168,"¶")+COUNTIF($E168:AB168,"²")+COUNTIF($E168:AB168,"µ")+COUNTIF($E168:AB168,1)-1,INDEX(Roadmap!$D:$K,MATCH($E168,Roadmap!$D:$D,0)-1+COUNTIF($E168:AB168,"u")+COUNTIF($E168:AB168,"t")+COUNTIF($E168:AB168,"¶")+COUNTIF($E168:AB168,"²")+COUNTIF($E168:AB168,"µ")+COUNTIF($E168:AB168,1),ColDescriptionCourte)),""),
  "")),"")</f>
        <v/>
      </c>
      <c r="AD168" s="40" t="str">
        <f ca="1">IFERROR(IF(AND(
  INDEX(Roadmap!$D:$K,MATCH($E168,Roadmap!$D:$D,0)+COUNTIF($E168:AC168,"u")+COUNTIF($E168:AC168,"t")+COUNTIF($E168:AC168,"¶")+COUNTIF($E168:AC168,"²")+COUNTIF($E168:AC168,"µ")+COUNTIF($E168:AC168,1),ColLivraison)=AD$6,
  VLOOKUP($E168,INDIRECT("tri!"&amp; CHAR(64+ C0Col) &amp;":"&amp; CHAR(65+C0Col)),2,FALSE)&gt;COUNTIF($E168:AC168,"u")+COUNTIF($E168:AC168,"t")+COUNTIF($E168:AC168,"¶")+COUNTIF($E168:AC168,"²")+COUNTIF($E168:AC168,"µ")+COUNTIF($E168:AC168,1)),
HYPERLINK("#Roadmap!C"&amp; MATCH($E168,Roadmap!$D:$D,0)+COUNTIF($E168:AC168,"u")+COUNTIF($E168:AC168,"t"),
     INDEX(Roadmap!$D:$K,MATCH($E168,Roadmap!$D:$D,0)+COUNTIF($E168:AC168,"u")+COUNTIF($E168:AC168,"t")+COUNTIF($E168:AC168,"¶")+COUNTIF($E168:AC168,"²")+COUNTIF($E168:AC168,"µ")+COUNTIF($E168:AC168,1),ColTypeEcheance)),
  IF(LEN(AC168)=1,
  IF(LEN(INDEX(Roadmap!$D:$K,MATCH($E168,Roadmap!$D:$D,0)-1+COUNTIF($E168:AC168,"u")+COUNTIF($E168:AC168,"t")+COUNTIF($E168:AC168,"¶")+COUNTIF($E168:AC168,"²")+COUNTIF($E168:AC168,"µ")+COUNTIF($E168:AC168,1),ColDescriptionCourte))&gt;1,
HYPERLINK("#Roadmap!C"&amp; MATCH($E168,Roadmap!$D:$D,0)+COUNTIF($E168:AC168,"u")+COUNTIF($E168:AC168,"t")+COUNTIF($E168:AC168,"¶")+COUNTIF($E168:AC168,"²")+COUNTIF($E168:AC168,"µ")+COUNTIF($E168:AC168,1)-1,INDEX(Roadmap!$D:$K,MATCH($E168,Roadmap!$D:$D,0)-1+COUNTIF($E168:AC168,"u")+COUNTIF($E168:AC168,"t")+COUNTIF($E168:AC168,"¶")+COUNTIF($E168:AC168,"²")+COUNTIF($E168:AC168,"µ")+COUNTIF($E168:AC168,1),ColDescriptionCourte)),""),
  "")),"")</f>
        <v/>
      </c>
      <c r="AE168" s="40" t="str">
        <f ca="1">IFERROR(IF(AND(
  INDEX(Roadmap!$D:$K,MATCH($E168,Roadmap!$D:$D,0)+COUNTIF($E168:AD168,"u")+COUNTIF($E168:AD168,"t")+COUNTIF($E168:AD168,"¶")+COUNTIF($E168:AD168,"²")+COUNTIF($E168:AD168,"µ")+COUNTIF($E168:AD168,1),ColLivraison)=AE$6,
  VLOOKUP($E168,INDIRECT("tri!"&amp; CHAR(64+ C0Col) &amp;":"&amp; CHAR(65+C0Col)),2,FALSE)&gt;COUNTIF($E168:AD168,"u")+COUNTIF($E168:AD168,"t")+COUNTIF($E168:AD168,"¶")+COUNTIF($E168:AD168,"²")+COUNTIF($E168:AD168,"µ")+COUNTIF($E168:AD168,1)),
HYPERLINK("#Roadmap!C"&amp; MATCH($E168,Roadmap!$D:$D,0)+COUNTIF($E168:AD168,"u")+COUNTIF($E168:AD168,"t"),
     INDEX(Roadmap!$D:$K,MATCH($E168,Roadmap!$D:$D,0)+COUNTIF($E168:AD168,"u")+COUNTIF($E168:AD168,"t")+COUNTIF($E168:AD168,"¶")+COUNTIF($E168:AD168,"²")+COUNTIF($E168:AD168,"µ")+COUNTIF($E168:AD168,1),ColTypeEcheance)),
  IF(LEN(AD168)=1,
  IF(LEN(INDEX(Roadmap!$D:$K,MATCH($E168,Roadmap!$D:$D,0)-1+COUNTIF($E168:AD168,"u")+COUNTIF($E168:AD168,"t")+COUNTIF($E168:AD168,"¶")+COUNTIF($E168:AD168,"²")+COUNTIF($E168:AD168,"µ")+COUNTIF($E168:AD168,1),ColDescriptionCourte))&gt;1,
HYPERLINK("#Roadmap!C"&amp; MATCH($E168,Roadmap!$D:$D,0)+COUNTIF($E168:AD168,"u")+COUNTIF($E168:AD168,"t")+COUNTIF($E168:AD168,"¶")+COUNTIF($E168:AD168,"²")+COUNTIF($E168:AD168,"µ")+COUNTIF($E168:AD168,1)-1,INDEX(Roadmap!$D:$K,MATCH($E168,Roadmap!$D:$D,0)-1+COUNTIF($E168:AD168,"u")+COUNTIF($E168:AD168,"t")+COUNTIF($E168:AD168,"¶")+COUNTIF($E168:AD168,"²")+COUNTIF($E168:AD168,"µ")+COUNTIF($E168:AD168,1),ColDescriptionCourte)),""),
  "")),"")</f>
        <v/>
      </c>
      <c r="AF168" s="40" t="str">
        <f ca="1">IFERROR(IF(AND(
  INDEX(Roadmap!$D:$K,MATCH($E168,Roadmap!$D:$D,0)+COUNTIF($E168:AE168,"u")+COUNTIF($E168:AE168,"t")+COUNTIF($E168:AE168,"¶")+COUNTIF($E168:AE168,"²")+COUNTIF($E168:AE168,"µ")+COUNTIF($E168:AE168,1),ColLivraison)=AF$6,
  VLOOKUP($E168,INDIRECT("tri!"&amp; CHAR(64+ C0Col) &amp;":"&amp; CHAR(65+C0Col)),2,FALSE)&gt;COUNTIF($E168:AE168,"u")+COUNTIF($E168:AE168,"t")+COUNTIF($E168:AE168,"¶")+COUNTIF($E168:AE168,"²")+COUNTIF($E168:AE168,"µ")+COUNTIF($E168:AE168,1)),
HYPERLINK("#Roadmap!C"&amp; MATCH($E168,Roadmap!$D:$D,0)+COUNTIF($E168:AE168,"u")+COUNTIF($E168:AE168,"t"),
     INDEX(Roadmap!$D:$K,MATCH($E168,Roadmap!$D:$D,0)+COUNTIF($E168:AE168,"u")+COUNTIF($E168:AE168,"t")+COUNTIF($E168:AE168,"¶")+COUNTIF($E168:AE168,"²")+COUNTIF($E168:AE168,"µ")+COUNTIF($E168:AE168,1),ColTypeEcheance)),
  IF(LEN(AE168)=1,
  IF(LEN(INDEX(Roadmap!$D:$K,MATCH($E168,Roadmap!$D:$D,0)-1+COUNTIF($E168:AE168,"u")+COUNTIF($E168:AE168,"t")+COUNTIF($E168:AE168,"¶")+COUNTIF($E168:AE168,"²")+COUNTIF($E168:AE168,"µ")+COUNTIF($E168:AE168,1),ColDescriptionCourte))&gt;1,
HYPERLINK("#Roadmap!C"&amp; MATCH($E168,Roadmap!$D:$D,0)+COUNTIF($E168:AE168,"u")+COUNTIF($E168:AE168,"t")+COUNTIF($E168:AE168,"¶")+COUNTIF($E168:AE168,"²")+COUNTIF($E168:AE168,"µ")+COUNTIF($E168:AE168,1)-1,INDEX(Roadmap!$D:$K,MATCH($E168,Roadmap!$D:$D,0)-1+COUNTIF($E168:AE168,"u")+COUNTIF($E168:AE168,"t")+COUNTIF($E168:AE168,"¶")+COUNTIF($E168:AE168,"²")+COUNTIF($E168:AE168,"µ")+COUNTIF($E168:AE168,1),ColDescriptionCourte)),""),
  "")),"")</f>
        <v/>
      </c>
      <c r="AG168" s="40" t="str">
        <f ca="1">IFERROR(IF(AND(
  INDEX(Roadmap!$D:$K,MATCH($E168,Roadmap!$D:$D,0)+COUNTIF($E168:AF168,"u")+COUNTIF($E168:AF168,"t")+COUNTIF($E168:AF168,"¶")+COUNTIF($E168:AF168,"²")+COUNTIF($E168:AF168,"µ")+COUNTIF($E168:AF168,1),ColLivraison)=AG$6,
  VLOOKUP($E168,INDIRECT("tri!"&amp; CHAR(64+ C0Col) &amp;":"&amp; CHAR(65+C0Col)),2,FALSE)&gt;COUNTIF($E168:AF168,"u")+COUNTIF($E168:AF168,"t")+COUNTIF($E168:AF168,"¶")+COUNTIF($E168:AF168,"²")+COUNTIF($E168:AF168,"µ")+COUNTIF($E168:AF168,1)),
HYPERLINK("#Roadmap!C"&amp; MATCH($E168,Roadmap!$D:$D,0)+COUNTIF($E168:AF168,"u")+COUNTIF($E168:AF168,"t"),
     INDEX(Roadmap!$D:$K,MATCH($E168,Roadmap!$D:$D,0)+COUNTIF($E168:AF168,"u")+COUNTIF($E168:AF168,"t")+COUNTIF($E168:AF168,"¶")+COUNTIF($E168:AF168,"²")+COUNTIF($E168:AF168,"µ")+COUNTIF($E168:AF168,1),ColTypeEcheance)),
  IF(LEN(AF168)=1,
  IF(LEN(INDEX(Roadmap!$D:$K,MATCH($E168,Roadmap!$D:$D,0)-1+COUNTIF($E168:AF168,"u")+COUNTIF($E168:AF168,"t")+COUNTIF($E168:AF168,"¶")+COUNTIF($E168:AF168,"²")+COUNTIF($E168:AF168,"µ")+COUNTIF($E168:AF168,1),ColDescriptionCourte))&gt;1,
HYPERLINK("#Roadmap!C"&amp; MATCH($E168,Roadmap!$D:$D,0)+COUNTIF($E168:AF168,"u")+COUNTIF($E168:AF168,"t")+COUNTIF($E168:AF168,"¶")+COUNTIF($E168:AF168,"²")+COUNTIF($E168:AF168,"µ")+COUNTIF($E168:AF168,1)-1,INDEX(Roadmap!$D:$K,MATCH($E168,Roadmap!$D:$D,0)-1+COUNTIF($E168:AF168,"u")+COUNTIF($E168:AF168,"t")+COUNTIF($E168:AF168,"¶")+COUNTIF($E168:AF168,"²")+COUNTIF($E168:AF168,"µ")+COUNTIF($E168:AF168,1),ColDescriptionCourte)),""),
  "")),"")</f>
        <v/>
      </c>
    </row>
    <row r="169" spans="3:33" ht="14.25" customHeight="1">
      <c r="C169" s="1" t="str">
        <f t="shared" ca="1" si="54"/>
        <v/>
      </c>
      <c r="D169" s="1" t="str">
        <f t="shared" ca="1" si="55"/>
        <v/>
      </c>
      <c r="E169" s="35" t="str">
        <f t="shared" ca="1" si="51"/>
        <v/>
      </c>
      <c r="F169" s="39" t="str">
        <f ca="1">IFERROR(IF(AND(
  INDEX(Roadmap!$D:$K,MATCH($E169,Roadmap!$D:$D,0)+COUNTIF($E169:E169,"u")+COUNTIF($E169:E169,"t")+COUNTIF($E169:E169,"¶")+COUNTIF($E169:E169,"²")+COUNTIF($E169:E169,"µ")+COUNTIF($E169:E169,1),ColLivraison)=F$6,
  VLOOKUP($E169,INDIRECT("tri!"&amp; CHAR(64+ C0Col) &amp;":"&amp; CHAR(65+C0Col)),2,FALSE)&gt;COUNTIF($E169:E169,"u")+COUNTIF($E169:E169,"t")+COUNTIF($E169:E169,"¶")+COUNTIF($E169:E169,"²")+COUNTIF($E169:E169,"µ")+COUNTIF($E169:E169,1)),
HYPERLINK("#Roadmap!C"&amp; MATCH($E169,Roadmap!$D:$D,0)+COUNTIF($E169:E169,"u")+COUNTIF($E169:E169,"t"),
     INDEX(Roadmap!$D:$K,MATCH($E169,Roadmap!$D:$D,0)+COUNTIF($E169:E169,"u")+COUNTIF($E169:E169,"t")+COUNTIF($E169:E169,"¶")+COUNTIF($E169:E169,"²")+COUNTIF($E169:E169,"µ")+COUNTIF($E169:E169,1),ColTypeEcheance)),
  IF(LEN(E169)=1,
  IF(LEN(INDEX(Roadmap!$D:$K,MATCH($E169,Roadmap!$D:$D,0)-1+COUNTIF($E169:E169,"u")+COUNTIF($E169:E169,"t")+COUNTIF($E169:E169,"¶")+COUNTIF($E169:E169,"²")+COUNTIF($E169:E169,"µ")+COUNTIF($E169:E169,1),ColDescriptionCourte))&gt;1,
HYPERLINK("#Roadmap!C"&amp; MATCH($E169,Roadmap!$D:$D,0)+COUNTIF($E169:E169,"u")+COUNTIF($E169:E169,"t")+COUNTIF($E169:E169,"¶")+COUNTIF($E169:E169,"²")+COUNTIF($E169:E169,"µ")+COUNTIF($E169:E169,1)-1,INDEX(Roadmap!$D:$K,MATCH($E169,Roadmap!$D:$D,0)-1+COUNTIF($E169:E169,"u")+COUNTIF($E169:E169,"t")+COUNTIF($E169:E169,"¶")+COUNTIF($E169:E169,"²")+COUNTIF($E169:E169,"µ")+COUNTIF($E169:E169,1),ColDescriptionCourte)),""),
  "")),"")</f>
        <v/>
      </c>
      <c r="G169" s="40" t="str">
        <f ca="1">IFERROR(IF(AND(
  INDEX(Roadmap!$D:$K,MATCH($E169,Roadmap!$D:$D,0)+COUNTIF($E169:F169,"u")+COUNTIF($E169:F169,"t")+COUNTIF($E169:F169,"¶")+COUNTIF($E169:F169,"²")+COUNTIF($E169:F169,"µ")+COUNTIF($E169:F169,1),ColLivraison)=G$6,
  VLOOKUP($E169,INDIRECT("tri!"&amp; CHAR(64+ C0Col) &amp;":"&amp; CHAR(65+C0Col)),2,FALSE)&gt;COUNTIF($E169:F169,"u")+COUNTIF($E169:F169,"t")+COUNTIF($E169:F169,"¶")+COUNTIF($E169:F169,"²")+COUNTIF($E169:F169,"µ")+COUNTIF($E169:F169,1)),
HYPERLINK("#Roadmap!C"&amp; MATCH($E169,Roadmap!$D:$D,0)+COUNTIF($E169:F169,"u")+COUNTIF($E169:F169,"t"),
     INDEX(Roadmap!$D:$K,MATCH($E169,Roadmap!$D:$D,0)+COUNTIF($E169:F169,"u")+COUNTIF($E169:F169,"t")+COUNTIF($E169:F169,"¶")+COUNTIF($E169:F169,"²")+COUNTIF($E169:F169,"µ")+COUNTIF($E169:F169,1),ColTypeEcheance)),
  IF(LEN(F169)=1,
  IF(LEN(INDEX(Roadmap!$D:$K,MATCH($E169,Roadmap!$D:$D,0)-1+COUNTIF($E169:F169,"u")+COUNTIF($E169:F169,"t")+COUNTIF($E169:F169,"¶")+COUNTIF($E169:F169,"²")+COUNTIF($E169:F169,"µ")+COUNTIF($E169:F169,1),ColDescriptionCourte))&gt;1,
HYPERLINK("#Roadmap!C"&amp; MATCH($E169,Roadmap!$D:$D,0)+COUNTIF($E169:F169,"u")+COUNTIF($E169:F169,"t")+COUNTIF($E169:F169,"¶")+COUNTIF($E169:F169,"²")+COUNTIF($E169:F169,"µ")+COUNTIF($E169:F169,1)-1,INDEX(Roadmap!$D:$K,MATCH($E169,Roadmap!$D:$D,0)-1+COUNTIF($E169:F169,"u")+COUNTIF($E169:F169,"t")+COUNTIF($E169:F169,"¶")+COUNTIF($E169:F169,"²")+COUNTIF($E169:F169,"µ")+COUNTIF($E169:F169,1),ColDescriptionCourte)),""),
  "")),"")</f>
        <v/>
      </c>
      <c r="H169" s="40" t="str">
        <f ca="1">IFERROR(IF(AND(
  INDEX(Roadmap!$D:$K,MATCH($E169,Roadmap!$D:$D,0)+COUNTIF($E169:G169,"u")+COUNTIF($E169:G169,"t")+COUNTIF($E169:G169,"¶")+COUNTIF($E169:G169,"²")+COUNTIF($E169:G169,"µ")+COUNTIF($E169:G169,1),ColLivraison)=H$6,
  VLOOKUP($E169,INDIRECT("tri!"&amp; CHAR(64+ C0Col) &amp;":"&amp; CHAR(65+C0Col)),2,FALSE)&gt;COUNTIF($E169:G169,"u")+COUNTIF($E169:G169,"t")+COUNTIF($E169:G169,"¶")+COUNTIF($E169:G169,"²")+COUNTIF($E169:G169,"µ")+COUNTIF($E169:G169,1)),
HYPERLINK("#Roadmap!C"&amp; MATCH($E169,Roadmap!$D:$D,0)+COUNTIF($E169:G169,"u")+COUNTIF($E169:G169,"t"),
     INDEX(Roadmap!$D:$K,MATCH($E169,Roadmap!$D:$D,0)+COUNTIF($E169:G169,"u")+COUNTIF($E169:G169,"t")+COUNTIF($E169:G169,"¶")+COUNTIF($E169:G169,"²")+COUNTIF($E169:G169,"µ")+COUNTIF($E169:G169,1),ColTypeEcheance)),
  IF(LEN(G169)=1,
  IF(LEN(INDEX(Roadmap!$D:$K,MATCH($E169,Roadmap!$D:$D,0)-1+COUNTIF($E169:G169,"u")+COUNTIF($E169:G169,"t")+COUNTIF($E169:G169,"¶")+COUNTIF($E169:G169,"²")+COUNTIF($E169:G169,"µ")+COUNTIF($E169:G169,1),ColDescriptionCourte))&gt;1,
HYPERLINK("#Roadmap!C"&amp; MATCH($E169,Roadmap!$D:$D,0)+COUNTIF($E169:G169,"u")+COUNTIF($E169:G169,"t")+COUNTIF($E169:G169,"¶")+COUNTIF($E169:G169,"²")+COUNTIF($E169:G169,"µ")+COUNTIF($E169:G169,1)-1,INDEX(Roadmap!$D:$K,MATCH($E169,Roadmap!$D:$D,0)-1+COUNTIF($E169:G169,"u")+COUNTIF($E169:G169,"t")+COUNTIF($E169:G169,"¶")+COUNTIF($E169:G169,"²")+COUNTIF($E169:G169,"µ")+COUNTIF($E169:G169,1),ColDescriptionCourte)),""),
  "")),"")</f>
        <v/>
      </c>
      <c r="I169" s="40" t="str">
        <f ca="1">IFERROR(IF(AND(
  INDEX(Roadmap!$D:$K,MATCH($E169,Roadmap!$D:$D,0)+COUNTIF($E169:H169,"u")+COUNTIF($E169:H169,"t")+COUNTIF($E169:H169,"¶")+COUNTIF($E169:H169,"²")+COUNTIF($E169:H169,"µ")+COUNTIF($E169:H169,1),ColLivraison)=I$6,
  VLOOKUP($E169,INDIRECT("tri!"&amp; CHAR(64+ C0Col) &amp;":"&amp; CHAR(65+C0Col)),2,FALSE)&gt;COUNTIF($E169:H169,"u")+COUNTIF($E169:H169,"t")+COUNTIF($E169:H169,"¶")+COUNTIF($E169:H169,"²")+COUNTIF($E169:H169,"µ")+COUNTIF($E169:H169,1)),
HYPERLINK("#Roadmap!C"&amp; MATCH($E169,Roadmap!$D:$D,0)+COUNTIF($E169:H169,"u")+COUNTIF($E169:H169,"t"),
     INDEX(Roadmap!$D:$K,MATCH($E169,Roadmap!$D:$D,0)+COUNTIF($E169:H169,"u")+COUNTIF($E169:H169,"t")+COUNTIF($E169:H169,"¶")+COUNTIF($E169:H169,"²")+COUNTIF($E169:H169,"µ")+COUNTIF($E169:H169,1),ColTypeEcheance)),
  IF(LEN(H169)=1,
  IF(LEN(INDEX(Roadmap!$D:$K,MATCH($E169,Roadmap!$D:$D,0)-1+COUNTIF($E169:H169,"u")+COUNTIF($E169:H169,"t")+COUNTIF($E169:H169,"¶")+COUNTIF($E169:H169,"²")+COUNTIF($E169:H169,"µ")+COUNTIF($E169:H169,1),ColDescriptionCourte))&gt;1,
HYPERLINK("#Roadmap!C"&amp; MATCH($E169,Roadmap!$D:$D,0)+COUNTIF($E169:H169,"u")+COUNTIF($E169:H169,"t")+COUNTIF($E169:H169,"¶")+COUNTIF($E169:H169,"²")+COUNTIF($E169:H169,"µ")+COUNTIF($E169:H169,1)-1,INDEX(Roadmap!$D:$K,MATCH($E169,Roadmap!$D:$D,0)-1+COUNTIF($E169:H169,"u")+COUNTIF($E169:H169,"t")+COUNTIF($E169:H169,"¶")+COUNTIF($E169:H169,"²")+COUNTIF($E169:H169,"µ")+COUNTIF($E169:H169,1),ColDescriptionCourte)),""),
  "")),"")</f>
        <v/>
      </c>
      <c r="J169" s="40" t="str">
        <f ca="1">IFERROR(IF(AND(
  INDEX(Roadmap!$D:$K,MATCH($E169,Roadmap!$D:$D,0)+COUNTIF($E169:I169,"u")+COUNTIF($E169:I169,"t")+COUNTIF($E169:I169,"¶")+COUNTIF($E169:I169,"²")+COUNTIF($E169:I169,"µ")+COUNTIF($E169:I169,1),ColLivraison)=J$6,
  VLOOKUP($E169,INDIRECT("tri!"&amp; CHAR(64+ C0Col) &amp;":"&amp; CHAR(65+C0Col)),2,FALSE)&gt;COUNTIF($E169:I169,"u")+COUNTIF($E169:I169,"t")+COUNTIF($E169:I169,"¶")+COUNTIF($E169:I169,"²")+COUNTIF($E169:I169,"µ")+COUNTIF($E169:I169,1)),
HYPERLINK("#Roadmap!C"&amp; MATCH($E169,Roadmap!$D:$D,0)+COUNTIF($E169:I169,"u")+COUNTIF($E169:I169,"t"),
     INDEX(Roadmap!$D:$K,MATCH($E169,Roadmap!$D:$D,0)+COUNTIF($E169:I169,"u")+COUNTIF($E169:I169,"t")+COUNTIF($E169:I169,"¶")+COUNTIF($E169:I169,"²")+COUNTIF($E169:I169,"µ")+COUNTIF($E169:I169,1),ColTypeEcheance)),
  IF(LEN(I169)=1,
  IF(LEN(INDEX(Roadmap!$D:$K,MATCH($E169,Roadmap!$D:$D,0)-1+COUNTIF($E169:I169,"u")+COUNTIF($E169:I169,"t")+COUNTIF($E169:I169,"¶")+COUNTIF($E169:I169,"²")+COUNTIF($E169:I169,"µ")+COUNTIF($E169:I169,1),ColDescriptionCourte))&gt;1,
HYPERLINK("#Roadmap!C"&amp; MATCH($E169,Roadmap!$D:$D,0)+COUNTIF($E169:I169,"u")+COUNTIF($E169:I169,"t")+COUNTIF($E169:I169,"¶")+COUNTIF($E169:I169,"²")+COUNTIF($E169:I169,"µ")+COUNTIF($E169:I169,1)-1,INDEX(Roadmap!$D:$K,MATCH($E169,Roadmap!$D:$D,0)-1+COUNTIF($E169:I169,"u")+COUNTIF($E169:I169,"t")+COUNTIF($E169:I169,"¶")+COUNTIF($E169:I169,"²")+COUNTIF($E169:I169,"µ")+COUNTIF($E169:I169,1),ColDescriptionCourte)),""),
  "")),"")</f>
        <v/>
      </c>
      <c r="K169" s="40" t="str">
        <f ca="1">IFERROR(IF(AND(
  INDEX(Roadmap!$D:$K,MATCH($E169,Roadmap!$D:$D,0)+COUNTIF($E169:J169,"u")+COUNTIF($E169:J169,"t")+COUNTIF($E169:J169,"¶")+COUNTIF($E169:J169,"²")+COUNTIF($E169:J169,"µ")+COUNTIF($E169:J169,1),ColLivraison)=K$6,
  VLOOKUP($E169,INDIRECT("tri!"&amp; CHAR(64+ C0Col) &amp;":"&amp; CHAR(65+C0Col)),2,FALSE)&gt;COUNTIF($E169:J169,"u")+COUNTIF($E169:J169,"t")+COUNTIF($E169:J169,"¶")+COUNTIF($E169:J169,"²")+COUNTIF($E169:J169,"µ")+COUNTIF($E169:J169,1)),
HYPERLINK("#Roadmap!C"&amp; MATCH($E169,Roadmap!$D:$D,0)+COUNTIF($E169:J169,"u")+COUNTIF($E169:J169,"t"),
     INDEX(Roadmap!$D:$K,MATCH($E169,Roadmap!$D:$D,0)+COUNTIF($E169:J169,"u")+COUNTIF($E169:J169,"t")+COUNTIF($E169:J169,"¶")+COUNTIF($E169:J169,"²")+COUNTIF($E169:J169,"µ")+COUNTIF($E169:J169,1),ColTypeEcheance)),
  IF(LEN(J169)=1,
  IF(LEN(INDEX(Roadmap!$D:$K,MATCH($E169,Roadmap!$D:$D,0)-1+COUNTIF($E169:J169,"u")+COUNTIF($E169:J169,"t")+COUNTIF($E169:J169,"¶")+COUNTIF($E169:J169,"²")+COUNTIF($E169:J169,"µ")+COUNTIF($E169:J169,1),ColDescriptionCourte))&gt;1,
HYPERLINK("#Roadmap!C"&amp; MATCH($E169,Roadmap!$D:$D,0)+COUNTIF($E169:J169,"u")+COUNTIF($E169:J169,"t")+COUNTIF($E169:J169,"¶")+COUNTIF($E169:J169,"²")+COUNTIF($E169:J169,"µ")+COUNTIF($E169:J169,1)-1,INDEX(Roadmap!$D:$K,MATCH($E169,Roadmap!$D:$D,0)-1+COUNTIF($E169:J169,"u")+COUNTIF($E169:J169,"t")+COUNTIF($E169:J169,"¶")+COUNTIF($E169:J169,"²")+COUNTIF($E169:J169,"µ")+COUNTIF($E169:J169,1),ColDescriptionCourte)),""),
  "")),"")</f>
        <v/>
      </c>
      <c r="L169" s="39" t="str">
        <f ca="1">IFERROR(IF(AND(
  INDEX(Roadmap!$D:$K,MATCH($E169,Roadmap!$D:$D,0)+COUNTIF($E169:K169,"u")+COUNTIF($E169:K169,"t")+COUNTIF($E169:K169,"¶")+COUNTIF($E169:K169,"²")+COUNTIF($E169:K169,"µ")+COUNTIF($E169:K169,1),ColLivraison)=L$6,
  VLOOKUP($E169,INDIRECT("tri!"&amp; CHAR(64+ C0Col) &amp;":"&amp; CHAR(65+C0Col)),2,FALSE)&gt;COUNTIF($E169:K169,"u")+COUNTIF($E169:K169,"t")+COUNTIF($E169:K169,"¶")+COUNTIF($E169:K169,"²")+COUNTIF($E169:K169,"µ")+COUNTIF($E169:K169,1)),
HYPERLINK("#Roadmap!C"&amp; MATCH($E169,Roadmap!$D:$D,0)+COUNTIF($E169:K169,"u")+COUNTIF($E169:K169,"t"),
     INDEX(Roadmap!$D:$K,MATCH($E169,Roadmap!$D:$D,0)+COUNTIF($E169:K169,"u")+COUNTIF($E169:K169,"t")+COUNTIF($E169:K169,"¶")+COUNTIF($E169:K169,"²")+COUNTIF($E169:K169,"µ")+COUNTIF($E169:K169,1),ColTypeEcheance)),
  IF(LEN(K169)=1,
  IF(LEN(INDEX(Roadmap!$D:$K,MATCH($E169,Roadmap!$D:$D,0)-1+COUNTIF($E169:K169,"u")+COUNTIF($E169:K169,"t")+COUNTIF($E169:K169,"¶")+COUNTIF($E169:K169,"²")+COUNTIF($E169:K169,"µ")+COUNTIF($E169:K169,1),ColDescriptionCourte))&gt;1,
HYPERLINK("#Roadmap!C"&amp; MATCH($E169,Roadmap!$D:$D,0)+COUNTIF($E169:K169,"u")+COUNTIF($E169:K169,"t")+COUNTIF($E169:K169,"¶")+COUNTIF($E169:K169,"²")+COUNTIF($E169:K169,"µ")+COUNTIF($E169:K169,1)-1,INDEX(Roadmap!$D:$K,MATCH($E169,Roadmap!$D:$D,0)-1+COUNTIF($E169:K169,"u")+COUNTIF($E169:K169,"t")+COUNTIF($E169:K169,"¶")+COUNTIF($E169:K169,"²")+COUNTIF($E169:K169,"µ")+COUNTIF($E169:K169,1),ColDescriptionCourte)),""),
  "")),"")</f>
        <v/>
      </c>
      <c r="M169" s="40" t="str">
        <f ca="1">IFERROR(IF(AND(
  INDEX(Roadmap!$D:$K,MATCH($E169,Roadmap!$D:$D,0)+COUNTIF($E169:L169,"u")+COUNTIF($E169:L169,"t")+COUNTIF($E169:L169,"¶")+COUNTIF($E169:L169,"²")+COUNTIF($E169:L169,"µ")+COUNTIF($E169:L169,1),ColLivraison)=M$6,
  VLOOKUP($E169,INDIRECT("tri!"&amp; CHAR(64+ C0Col) &amp;":"&amp; CHAR(65+C0Col)),2,FALSE)&gt;COUNTIF($E169:L169,"u")+COUNTIF($E169:L169,"t")+COUNTIF($E169:L169,"¶")+COUNTIF($E169:L169,"²")+COUNTIF($E169:L169,"µ")+COUNTIF($E169:L169,1)),
HYPERLINK("#Roadmap!C"&amp; MATCH($E169,Roadmap!$D:$D,0)+COUNTIF($E169:L169,"u")+COUNTIF($E169:L169,"t"),
     INDEX(Roadmap!$D:$K,MATCH($E169,Roadmap!$D:$D,0)+COUNTIF($E169:L169,"u")+COUNTIF($E169:L169,"t")+COUNTIF($E169:L169,"¶")+COUNTIF($E169:L169,"²")+COUNTIF($E169:L169,"µ")+COUNTIF($E169:L169,1),ColTypeEcheance)),
  IF(LEN(L169)=1,
  IF(LEN(INDEX(Roadmap!$D:$K,MATCH($E169,Roadmap!$D:$D,0)-1+COUNTIF($E169:L169,"u")+COUNTIF($E169:L169,"t")+COUNTIF($E169:L169,"¶")+COUNTIF($E169:L169,"²")+COUNTIF($E169:L169,"µ")+COUNTIF($E169:L169,1),ColDescriptionCourte))&gt;1,
HYPERLINK("#Roadmap!C"&amp; MATCH($E169,Roadmap!$D:$D,0)+COUNTIF($E169:L169,"u")+COUNTIF($E169:L169,"t")+COUNTIF($E169:L169,"¶")+COUNTIF($E169:L169,"²")+COUNTIF($E169:L169,"µ")+COUNTIF($E169:L169,1)-1,INDEX(Roadmap!$D:$K,MATCH($E169,Roadmap!$D:$D,0)-1+COUNTIF($E169:L169,"u")+COUNTIF($E169:L169,"t")+COUNTIF($E169:L169,"¶")+COUNTIF($E169:L169,"²")+COUNTIF($E169:L169,"µ")+COUNTIF($E169:L169,1),ColDescriptionCourte)),""),
  "")),"")</f>
        <v/>
      </c>
      <c r="N169" s="40" t="str">
        <f ca="1">IFERROR(IF(AND(
  INDEX(Roadmap!$D:$K,MATCH($E169,Roadmap!$D:$D,0)+COUNTIF($E169:M169,"u")+COUNTIF($E169:M169,"t")+COUNTIF($E169:M169,"¶")+COUNTIF($E169:M169,"²")+COUNTIF($E169:M169,"µ")+COUNTIF($E169:M169,1),ColLivraison)=N$6,
  VLOOKUP($E169,INDIRECT("tri!"&amp; CHAR(64+ C0Col) &amp;":"&amp; CHAR(65+C0Col)),2,FALSE)&gt;COUNTIF($E169:M169,"u")+COUNTIF($E169:M169,"t")+COUNTIF($E169:M169,"¶")+COUNTIF($E169:M169,"²")+COUNTIF($E169:M169,"µ")+COUNTIF($E169:M169,1)),
HYPERLINK("#Roadmap!C"&amp; MATCH($E169,Roadmap!$D:$D,0)+COUNTIF($E169:M169,"u")+COUNTIF($E169:M169,"t"),
     INDEX(Roadmap!$D:$K,MATCH($E169,Roadmap!$D:$D,0)+COUNTIF($E169:M169,"u")+COUNTIF($E169:M169,"t")+COUNTIF($E169:M169,"¶")+COUNTIF($E169:M169,"²")+COUNTIF($E169:M169,"µ")+COUNTIF($E169:M169,1),ColTypeEcheance)),
  IF(LEN(M169)=1,
  IF(LEN(INDEX(Roadmap!$D:$K,MATCH($E169,Roadmap!$D:$D,0)-1+COUNTIF($E169:M169,"u")+COUNTIF($E169:M169,"t")+COUNTIF($E169:M169,"¶")+COUNTIF($E169:M169,"²")+COUNTIF($E169:M169,"µ")+COUNTIF($E169:M169,1),ColDescriptionCourte))&gt;1,
HYPERLINK("#Roadmap!C"&amp; MATCH($E169,Roadmap!$D:$D,0)+COUNTIF($E169:M169,"u")+COUNTIF($E169:M169,"t")+COUNTIF($E169:M169,"¶")+COUNTIF($E169:M169,"²")+COUNTIF($E169:M169,"µ")+COUNTIF($E169:M169,1)-1,INDEX(Roadmap!$D:$K,MATCH($E169,Roadmap!$D:$D,0)-1+COUNTIF($E169:M169,"u")+COUNTIF($E169:M169,"t")+COUNTIF($E169:M169,"¶")+COUNTIF($E169:M169,"²")+COUNTIF($E169:M169,"µ")+COUNTIF($E169:M169,1),ColDescriptionCourte)),""),
  "")),"")</f>
        <v/>
      </c>
      <c r="O169" s="40" t="str">
        <f ca="1">IFERROR(IF(AND(
  INDEX(Roadmap!$D:$K,MATCH($E169,Roadmap!$D:$D,0)+COUNTIF($E169:N169,"u")+COUNTIF($E169:N169,"t")+COUNTIF($E169:N169,"¶")+COUNTIF($E169:N169,"²")+COUNTIF($E169:N169,"µ")+COUNTIF($E169:N169,1),ColLivraison)=O$6,
  VLOOKUP($E169,INDIRECT("tri!"&amp; CHAR(64+ C0Col) &amp;":"&amp; CHAR(65+C0Col)),2,FALSE)&gt;COUNTIF($E169:N169,"u")+COUNTIF($E169:N169,"t")+COUNTIF($E169:N169,"¶")+COUNTIF($E169:N169,"²")+COUNTIF($E169:N169,"µ")+COUNTIF($E169:N169,1)),
HYPERLINK("#Roadmap!C"&amp; MATCH($E169,Roadmap!$D:$D,0)+COUNTIF($E169:N169,"u")+COUNTIF($E169:N169,"t"),
     INDEX(Roadmap!$D:$K,MATCH($E169,Roadmap!$D:$D,0)+COUNTIF($E169:N169,"u")+COUNTIF($E169:N169,"t")+COUNTIF($E169:N169,"¶")+COUNTIF($E169:N169,"²")+COUNTIF($E169:N169,"µ")+COUNTIF($E169:N169,1),ColTypeEcheance)),
  IF(LEN(N169)=1,
  IF(LEN(INDEX(Roadmap!$D:$K,MATCH($E169,Roadmap!$D:$D,0)-1+COUNTIF($E169:N169,"u")+COUNTIF($E169:N169,"t")+COUNTIF($E169:N169,"¶")+COUNTIF($E169:N169,"²")+COUNTIF($E169:N169,"µ")+COUNTIF($E169:N169,1),ColDescriptionCourte))&gt;1,
HYPERLINK("#Roadmap!C"&amp; MATCH($E169,Roadmap!$D:$D,0)+COUNTIF($E169:N169,"u")+COUNTIF($E169:N169,"t")+COUNTIF($E169:N169,"¶")+COUNTIF($E169:N169,"²")+COUNTIF($E169:N169,"µ")+COUNTIF($E169:N169,1)-1,INDEX(Roadmap!$D:$K,MATCH($E169,Roadmap!$D:$D,0)-1+COUNTIF($E169:N169,"u")+COUNTIF($E169:N169,"t")+COUNTIF($E169:N169,"¶")+COUNTIF($E169:N169,"²")+COUNTIF($E169:N169,"µ")+COUNTIF($E169:N169,1),ColDescriptionCourte)),""),
  "")),"")</f>
        <v/>
      </c>
      <c r="P169" s="40" t="str">
        <f ca="1">IFERROR(IF(AND(
  INDEX(Roadmap!$D:$K,MATCH($E169,Roadmap!$D:$D,0)+COUNTIF($E169:O169,"u")+COUNTIF($E169:O169,"t")+COUNTIF($E169:O169,"¶")+COUNTIF($E169:O169,"²")+COUNTIF($E169:O169,"µ")+COUNTIF($E169:O169,1),ColLivraison)=P$6,
  VLOOKUP($E169,INDIRECT("tri!"&amp; CHAR(64+ C0Col) &amp;":"&amp; CHAR(65+C0Col)),2,FALSE)&gt;COUNTIF($E169:O169,"u")+COUNTIF($E169:O169,"t")+COUNTIF($E169:O169,"¶")+COUNTIF($E169:O169,"²")+COUNTIF($E169:O169,"µ")+COUNTIF($E169:O169,1)),
HYPERLINK("#Roadmap!C"&amp; MATCH($E169,Roadmap!$D:$D,0)+COUNTIF($E169:O169,"u")+COUNTIF($E169:O169,"t"),
     INDEX(Roadmap!$D:$K,MATCH($E169,Roadmap!$D:$D,0)+COUNTIF($E169:O169,"u")+COUNTIF($E169:O169,"t")+COUNTIF($E169:O169,"¶")+COUNTIF($E169:O169,"²")+COUNTIF($E169:O169,"µ")+COUNTIF($E169:O169,1),ColTypeEcheance)),
  IF(LEN(O169)=1,
  IF(LEN(INDEX(Roadmap!$D:$K,MATCH($E169,Roadmap!$D:$D,0)-1+COUNTIF($E169:O169,"u")+COUNTIF($E169:O169,"t")+COUNTIF($E169:O169,"¶")+COUNTIF($E169:O169,"²")+COUNTIF($E169:O169,"µ")+COUNTIF($E169:O169,1),ColDescriptionCourte))&gt;1,
HYPERLINK("#Roadmap!C"&amp; MATCH($E169,Roadmap!$D:$D,0)+COUNTIF($E169:O169,"u")+COUNTIF($E169:O169,"t")+COUNTIF($E169:O169,"¶")+COUNTIF($E169:O169,"²")+COUNTIF($E169:O169,"µ")+COUNTIF($E169:O169,1)-1,INDEX(Roadmap!$D:$K,MATCH($E169,Roadmap!$D:$D,0)-1+COUNTIF($E169:O169,"u")+COUNTIF($E169:O169,"t")+COUNTIF($E169:O169,"¶")+COUNTIF($E169:O169,"²")+COUNTIF($E169:O169,"µ")+COUNTIF($E169:O169,1),ColDescriptionCourte)),""),
  "")),"")</f>
        <v/>
      </c>
      <c r="Q169" s="40" t="str">
        <f ca="1">IFERROR(IF(AND(
  INDEX(Roadmap!$D:$K,MATCH($E169,Roadmap!$D:$D,0)+COUNTIF($E169:P169,"u")+COUNTIF($E169:P169,"t")+COUNTIF($E169:P169,"¶")+COUNTIF($E169:P169,"²")+COUNTIF($E169:P169,"µ")+COUNTIF($E169:P169,1),ColLivraison)=Q$6,
  VLOOKUP($E169,INDIRECT("tri!"&amp; CHAR(64+ C0Col) &amp;":"&amp; CHAR(65+C0Col)),2,FALSE)&gt;COUNTIF($E169:P169,"u")+COUNTIF($E169:P169,"t")+COUNTIF($E169:P169,"¶")+COUNTIF($E169:P169,"²")+COUNTIF($E169:P169,"µ")+COUNTIF($E169:P169,1)),
HYPERLINK("#Roadmap!C"&amp; MATCH($E169,Roadmap!$D:$D,0)+COUNTIF($E169:P169,"u")+COUNTIF($E169:P169,"t"),
     INDEX(Roadmap!$D:$K,MATCH($E169,Roadmap!$D:$D,0)+COUNTIF($E169:P169,"u")+COUNTIF($E169:P169,"t")+COUNTIF($E169:P169,"¶")+COUNTIF($E169:P169,"²")+COUNTIF($E169:P169,"µ")+COUNTIF($E169:P169,1),ColTypeEcheance)),
  IF(LEN(P169)=1,
  IF(LEN(INDEX(Roadmap!$D:$K,MATCH($E169,Roadmap!$D:$D,0)-1+COUNTIF($E169:P169,"u")+COUNTIF($E169:P169,"t")+COUNTIF($E169:P169,"¶")+COUNTIF($E169:P169,"²")+COUNTIF($E169:P169,"µ")+COUNTIF($E169:P169,1),ColDescriptionCourte))&gt;1,
HYPERLINK("#Roadmap!C"&amp; MATCH($E169,Roadmap!$D:$D,0)+COUNTIF($E169:P169,"u")+COUNTIF($E169:P169,"t")+COUNTIF($E169:P169,"¶")+COUNTIF($E169:P169,"²")+COUNTIF($E169:P169,"µ")+COUNTIF($E169:P169,1)-1,INDEX(Roadmap!$D:$K,MATCH($E169,Roadmap!$D:$D,0)-1+COUNTIF($E169:P169,"u")+COUNTIF($E169:P169,"t")+COUNTIF($E169:P169,"¶")+COUNTIF($E169:P169,"²")+COUNTIF($E169:P169,"µ")+COUNTIF($E169:P169,1),ColDescriptionCourte)),""),
  "")),"")</f>
        <v/>
      </c>
      <c r="R169" s="40" t="str">
        <f ca="1">IFERROR(IF(AND(
  INDEX(Roadmap!$D:$K,MATCH($E169,Roadmap!$D:$D,0)+COUNTIF($E169:Q169,"u")+COUNTIF($E169:Q169,"t")+COUNTIF($E169:Q169,"¶")+COUNTIF($E169:Q169,"²")+COUNTIF($E169:Q169,"µ")+COUNTIF($E169:Q169,1),ColLivraison)=R$6,
  VLOOKUP($E169,INDIRECT("tri!"&amp; CHAR(64+ C0Col) &amp;":"&amp; CHAR(65+C0Col)),2,FALSE)&gt;COUNTIF($E169:Q169,"u")+COUNTIF($E169:Q169,"t")+COUNTIF($E169:Q169,"¶")+COUNTIF($E169:Q169,"²")+COUNTIF($E169:Q169,"µ")+COUNTIF($E169:Q169,1)),
HYPERLINK("#Roadmap!C"&amp; MATCH($E169,Roadmap!$D:$D,0)+COUNTIF($E169:Q169,"u")+COUNTIF($E169:Q169,"t"),
     INDEX(Roadmap!$D:$K,MATCH($E169,Roadmap!$D:$D,0)+COUNTIF($E169:Q169,"u")+COUNTIF($E169:Q169,"t")+COUNTIF($E169:Q169,"¶")+COUNTIF($E169:Q169,"²")+COUNTIF($E169:Q169,"µ")+COUNTIF($E169:Q169,1),ColTypeEcheance)),
  IF(LEN(Q169)=1,
  IF(LEN(INDEX(Roadmap!$D:$K,MATCH($E169,Roadmap!$D:$D,0)-1+COUNTIF($E169:Q169,"u")+COUNTIF($E169:Q169,"t")+COUNTIF($E169:Q169,"¶")+COUNTIF($E169:Q169,"²")+COUNTIF($E169:Q169,"µ")+COUNTIF($E169:Q169,1),ColDescriptionCourte))&gt;1,
HYPERLINK("#Roadmap!C"&amp; MATCH($E169,Roadmap!$D:$D,0)+COUNTIF($E169:Q169,"u")+COUNTIF($E169:Q169,"t")+COUNTIF($E169:Q169,"¶")+COUNTIF($E169:Q169,"²")+COUNTIF($E169:Q169,"µ")+COUNTIF($E169:Q169,1)-1,INDEX(Roadmap!$D:$K,MATCH($E169,Roadmap!$D:$D,0)-1+COUNTIF($E169:Q169,"u")+COUNTIF($E169:Q169,"t")+COUNTIF($E169:Q169,"¶")+COUNTIF($E169:Q169,"²")+COUNTIF($E169:Q169,"µ")+COUNTIF($E169:Q169,1),ColDescriptionCourte)),""),
  "")),"")</f>
        <v/>
      </c>
      <c r="S169" s="40" t="str">
        <f ca="1">IFERROR(IF(AND(
  INDEX(Roadmap!$D:$K,MATCH($E169,Roadmap!$D:$D,0)+COUNTIF($E169:R169,"u")+COUNTIF($E169:R169,"t")+COUNTIF($E169:R169,"¶")+COUNTIF($E169:R169,"²")+COUNTIF($E169:R169,"µ")+COUNTIF($E169:R169,1),ColLivraison)=S$6,
  VLOOKUP($E169,INDIRECT("tri!"&amp; CHAR(64+ C0Col) &amp;":"&amp; CHAR(65+C0Col)),2,FALSE)&gt;COUNTIF($E169:R169,"u")+COUNTIF($E169:R169,"t")+COUNTIF($E169:R169,"¶")+COUNTIF($E169:R169,"²")+COUNTIF($E169:R169,"µ")+COUNTIF($E169:R169,1)),
HYPERLINK("#Roadmap!C"&amp; MATCH($E169,Roadmap!$D:$D,0)+COUNTIF($E169:R169,"u")+COUNTIF($E169:R169,"t"),
     INDEX(Roadmap!$D:$K,MATCH($E169,Roadmap!$D:$D,0)+COUNTIF($E169:R169,"u")+COUNTIF($E169:R169,"t")+COUNTIF($E169:R169,"¶")+COUNTIF($E169:R169,"²")+COUNTIF($E169:R169,"µ")+COUNTIF($E169:R169,1),ColTypeEcheance)),
  IF(LEN(R169)=1,
  IF(LEN(INDEX(Roadmap!$D:$K,MATCH($E169,Roadmap!$D:$D,0)-1+COUNTIF($E169:R169,"u")+COUNTIF($E169:R169,"t")+COUNTIF($E169:R169,"¶")+COUNTIF($E169:R169,"²")+COUNTIF($E169:R169,"µ")+COUNTIF($E169:R169,1),ColDescriptionCourte))&gt;1,
HYPERLINK("#Roadmap!C"&amp; MATCH($E169,Roadmap!$D:$D,0)+COUNTIF($E169:R169,"u")+COUNTIF($E169:R169,"t")+COUNTIF($E169:R169,"¶")+COUNTIF($E169:R169,"²")+COUNTIF($E169:R169,"µ")+COUNTIF($E169:R169,1)-1,INDEX(Roadmap!$D:$K,MATCH($E169,Roadmap!$D:$D,0)-1+COUNTIF($E169:R169,"u")+COUNTIF($E169:R169,"t")+COUNTIF($E169:R169,"¶")+COUNTIF($E169:R169,"²")+COUNTIF($E169:R169,"µ")+COUNTIF($E169:R169,1),ColDescriptionCourte)),""),
  "")),"")</f>
        <v/>
      </c>
      <c r="T169" s="40" t="str">
        <f ca="1">IFERROR(IF(AND(
  INDEX(Roadmap!$D:$K,MATCH($E169,Roadmap!$D:$D,0)+COUNTIF($E169:S169,"u")+COUNTIF($E169:S169,"t")+COUNTIF($E169:S169,"¶")+COUNTIF($E169:S169,"²")+COUNTIF($E169:S169,"µ")+COUNTIF($E169:S169,1),ColLivraison)=T$6,
  VLOOKUP($E169,INDIRECT("tri!"&amp; CHAR(64+ C0Col) &amp;":"&amp; CHAR(65+C0Col)),2,FALSE)&gt;COUNTIF($E169:S169,"u")+COUNTIF($E169:S169,"t")+COUNTIF($E169:S169,"¶")+COUNTIF($E169:S169,"²")+COUNTIF($E169:S169,"µ")+COUNTIF($E169:S169,1)),
HYPERLINK("#Roadmap!C"&amp; MATCH($E169,Roadmap!$D:$D,0)+COUNTIF($E169:S169,"u")+COUNTIF($E169:S169,"t"),
     INDEX(Roadmap!$D:$K,MATCH($E169,Roadmap!$D:$D,0)+COUNTIF($E169:S169,"u")+COUNTIF($E169:S169,"t")+COUNTIF($E169:S169,"¶")+COUNTIF($E169:S169,"²")+COUNTIF($E169:S169,"µ")+COUNTIF($E169:S169,1),ColTypeEcheance)),
  IF(LEN(S169)=1,
  IF(LEN(INDEX(Roadmap!$D:$K,MATCH($E169,Roadmap!$D:$D,0)-1+COUNTIF($E169:S169,"u")+COUNTIF($E169:S169,"t")+COUNTIF($E169:S169,"¶")+COUNTIF($E169:S169,"²")+COUNTIF($E169:S169,"µ")+COUNTIF($E169:S169,1),ColDescriptionCourte))&gt;1,
HYPERLINK("#Roadmap!C"&amp; MATCH($E169,Roadmap!$D:$D,0)+COUNTIF($E169:S169,"u")+COUNTIF($E169:S169,"t")+COUNTIF($E169:S169,"¶")+COUNTIF($E169:S169,"²")+COUNTIF($E169:S169,"µ")+COUNTIF($E169:S169,1)-1,INDEX(Roadmap!$D:$K,MATCH($E169,Roadmap!$D:$D,0)-1+COUNTIF($E169:S169,"u")+COUNTIF($E169:S169,"t")+COUNTIF($E169:S169,"¶")+COUNTIF($E169:S169,"²")+COUNTIF($E169:S169,"µ")+COUNTIF($E169:S169,1),ColDescriptionCourte)),""),
  "")),"")</f>
        <v/>
      </c>
      <c r="U169" s="40" t="str">
        <f ca="1">IFERROR(IF(AND(
  INDEX(Roadmap!$D:$K,MATCH($E169,Roadmap!$D:$D,0)+COUNTIF($E169:T169,"u")+COUNTIF($E169:T169,"t")+COUNTIF($E169:T169,"¶")+COUNTIF($E169:T169,"²")+COUNTIF($E169:T169,"µ")+COUNTIF($E169:T169,1),ColLivraison)=U$6,
  VLOOKUP($E169,INDIRECT("tri!"&amp; CHAR(64+ C0Col) &amp;":"&amp; CHAR(65+C0Col)),2,FALSE)&gt;COUNTIF($E169:T169,"u")+COUNTIF($E169:T169,"t")+COUNTIF($E169:T169,"¶")+COUNTIF($E169:T169,"²")+COUNTIF($E169:T169,"µ")+COUNTIF($E169:T169,1)),
HYPERLINK("#Roadmap!C"&amp; MATCH($E169,Roadmap!$D:$D,0)+COUNTIF($E169:T169,"u")+COUNTIF($E169:T169,"t"),
     INDEX(Roadmap!$D:$K,MATCH($E169,Roadmap!$D:$D,0)+COUNTIF($E169:T169,"u")+COUNTIF($E169:T169,"t")+COUNTIF($E169:T169,"¶")+COUNTIF($E169:T169,"²")+COUNTIF($E169:T169,"µ")+COUNTIF($E169:T169,1),ColTypeEcheance)),
  IF(LEN(T169)=1,
  IF(LEN(INDEX(Roadmap!$D:$K,MATCH($E169,Roadmap!$D:$D,0)-1+COUNTIF($E169:T169,"u")+COUNTIF($E169:T169,"t")+COUNTIF($E169:T169,"¶")+COUNTIF($E169:T169,"²")+COUNTIF($E169:T169,"µ")+COUNTIF($E169:T169,1),ColDescriptionCourte))&gt;1,
HYPERLINK("#Roadmap!C"&amp; MATCH($E169,Roadmap!$D:$D,0)+COUNTIF($E169:T169,"u")+COUNTIF($E169:T169,"t")+COUNTIF($E169:T169,"¶")+COUNTIF($E169:T169,"²")+COUNTIF($E169:T169,"µ")+COUNTIF($E169:T169,1)-1,INDEX(Roadmap!$D:$K,MATCH($E169,Roadmap!$D:$D,0)-1+COUNTIF($E169:T169,"u")+COUNTIF($E169:T169,"t")+COUNTIF($E169:T169,"¶")+COUNTIF($E169:T169,"²")+COUNTIF($E169:T169,"µ")+COUNTIF($E169:T169,1),ColDescriptionCourte)),""),
  "")),"")</f>
        <v/>
      </c>
      <c r="V169" s="40" t="str">
        <f ca="1">IFERROR(IF(AND(
  INDEX(Roadmap!$D:$K,MATCH($E169,Roadmap!$D:$D,0)+COUNTIF($E169:U169,"u")+COUNTIF($E169:U169,"t")+COUNTIF($E169:U169,"¶")+COUNTIF($E169:U169,"²")+COUNTIF($E169:U169,"µ")+COUNTIF($E169:U169,1),ColLivraison)=V$6,
  VLOOKUP($E169,INDIRECT("tri!"&amp; CHAR(64+ C0Col) &amp;":"&amp; CHAR(65+C0Col)),2,FALSE)&gt;COUNTIF($E169:U169,"u")+COUNTIF($E169:U169,"t")+COUNTIF($E169:U169,"¶")+COUNTIF($E169:U169,"²")+COUNTIF($E169:U169,"µ")+COUNTIF($E169:U169,1)),
HYPERLINK("#Roadmap!C"&amp; MATCH($E169,Roadmap!$D:$D,0)+COUNTIF($E169:U169,"u")+COUNTIF($E169:U169,"t"),
     INDEX(Roadmap!$D:$K,MATCH($E169,Roadmap!$D:$D,0)+COUNTIF($E169:U169,"u")+COUNTIF($E169:U169,"t")+COUNTIF($E169:U169,"¶")+COUNTIF($E169:U169,"²")+COUNTIF($E169:U169,"µ")+COUNTIF($E169:U169,1),ColTypeEcheance)),
  IF(LEN(U169)=1,
  IF(LEN(INDEX(Roadmap!$D:$K,MATCH($E169,Roadmap!$D:$D,0)-1+COUNTIF($E169:U169,"u")+COUNTIF($E169:U169,"t")+COUNTIF($E169:U169,"¶")+COUNTIF($E169:U169,"²")+COUNTIF($E169:U169,"µ")+COUNTIF($E169:U169,1),ColDescriptionCourte))&gt;1,
HYPERLINK("#Roadmap!C"&amp; MATCH($E169,Roadmap!$D:$D,0)+COUNTIF($E169:U169,"u")+COUNTIF($E169:U169,"t")+COUNTIF($E169:U169,"¶")+COUNTIF($E169:U169,"²")+COUNTIF($E169:U169,"µ")+COUNTIF($E169:U169,1)-1,INDEX(Roadmap!$D:$K,MATCH($E169,Roadmap!$D:$D,0)-1+COUNTIF($E169:U169,"u")+COUNTIF($E169:U169,"t")+COUNTIF($E169:U169,"¶")+COUNTIF($E169:U169,"²")+COUNTIF($E169:U169,"µ")+COUNTIF($E169:U169,1),ColDescriptionCourte)),""),
  "")),"")</f>
        <v/>
      </c>
      <c r="W169" s="40" t="str">
        <f ca="1">IFERROR(IF(AND(
  INDEX(Roadmap!$D:$K,MATCH($E169,Roadmap!$D:$D,0)+COUNTIF($E169:V169,"u")+COUNTIF($E169:V169,"t")+COUNTIF($E169:V169,"¶")+COUNTIF($E169:V169,"²")+COUNTIF($E169:V169,"µ")+COUNTIF($E169:V169,1),ColLivraison)=W$6,
  VLOOKUP($E169,INDIRECT("tri!"&amp; CHAR(64+ C0Col) &amp;":"&amp; CHAR(65+C0Col)),2,FALSE)&gt;COUNTIF($E169:V169,"u")+COUNTIF($E169:V169,"t")+COUNTIF($E169:V169,"¶")+COUNTIF($E169:V169,"²")+COUNTIF($E169:V169,"µ")+COUNTIF($E169:V169,1)),
HYPERLINK("#Roadmap!C"&amp; MATCH($E169,Roadmap!$D:$D,0)+COUNTIF($E169:V169,"u")+COUNTIF($E169:V169,"t"),
     INDEX(Roadmap!$D:$K,MATCH($E169,Roadmap!$D:$D,0)+COUNTIF($E169:V169,"u")+COUNTIF($E169:V169,"t")+COUNTIF($E169:V169,"¶")+COUNTIF($E169:V169,"²")+COUNTIF($E169:V169,"µ")+COUNTIF($E169:V169,1),ColTypeEcheance)),
  IF(LEN(V169)=1,
  IF(LEN(INDEX(Roadmap!$D:$K,MATCH($E169,Roadmap!$D:$D,0)-1+COUNTIF($E169:V169,"u")+COUNTIF($E169:V169,"t")+COUNTIF($E169:V169,"¶")+COUNTIF($E169:V169,"²")+COUNTIF($E169:V169,"µ")+COUNTIF($E169:V169,1),ColDescriptionCourte))&gt;1,
HYPERLINK("#Roadmap!C"&amp; MATCH($E169,Roadmap!$D:$D,0)+COUNTIF($E169:V169,"u")+COUNTIF($E169:V169,"t")+COUNTIF($E169:V169,"¶")+COUNTIF($E169:V169,"²")+COUNTIF($E169:V169,"µ")+COUNTIF($E169:V169,1)-1,INDEX(Roadmap!$D:$K,MATCH($E169,Roadmap!$D:$D,0)-1+COUNTIF($E169:V169,"u")+COUNTIF($E169:V169,"t")+COUNTIF($E169:V169,"¶")+COUNTIF($E169:V169,"²")+COUNTIF($E169:V169,"µ")+COUNTIF($E169:V169,1),ColDescriptionCourte)),""),
  "")),"")</f>
        <v/>
      </c>
      <c r="X169" s="40" t="str">
        <f ca="1">IFERROR(IF(AND(
  INDEX(Roadmap!$D:$K,MATCH($E169,Roadmap!$D:$D,0)+COUNTIF($E169:W169,"u")+COUNTIF($E169:W169,"t")+COUNTIF($E169:W169,"¶")+COUNTIF($E169:W169,"²")+COUNTIF($E169:W169,"µ")+COUNTIF($E169:W169,1),ColLivraison)=X$6,
  VLOOKUP($E169,INDIRECT("tri!"&amp; CHAR(64+ C0Col) &amp;":"&amp; CHAR(65+C0Col)),2,FALSE)&gt;COUNTIF($E169:W169,"u")+COUNTIF($E169:W169,"t")+COUNTIF($E169:W169,"¶")+COUNTIF($E169:W169,"²")+COUNTIF($E169:W169,"µ")+COUNTIF($E169:W169,1)),
HYPERLINK("#Roadmap!C"&amp; MATCH($E169,Roadmap!$D:$D,0)+COUNTIF($E169:W169,"u")+COUNTIF($E169:W169,"t"),
     INDEX(Roadmap!$D:$K,MATCH($E169,Roadmap!$D:$D,0)+COUNTIF($E169:W169,"u")+COUNTIF($E169:W169,"t")+COUNTIF($E169:W169,"¶")+COUNTIF($E169:W169,"²")+COUNTIF($E169:W169,"µ")+COUNTIF($E169:W169,1),ColTypeEcheance)),
  IF(LEN(W169)=1,
  IF(LEN(INDEX(Roadmap!$D:$K,MATCH($E169,Roadmap!$D:$D,0)-1+COUNTIF($E169:W169,"u")+COUNTIF($E169:W169,"t")+COUNTIF($E169:W169,"¶")+COUNTIF($E169:W169,"²")+COUNTIF($E169:W169,"µ")+COUNTIF($E169:W169,1),ColDescriptionCourte))&gt;1,
HYPERLINK("#Roadmap!C"&amp; MATCH($E169,Roadmap!$D:$D,0)+COUNTIF($E169:W169,"u")+COUNTIF($E169:W169,"t")+COUNTIF($E169:W169,"¶")+COUNTIF($E169:W169,"²")+COUNTIF($E169:W169,"µ")+COUNTIF($E169:W169,1)-1,INDEX(Roadmap!$D:$K,MATCH($E169,Roadmap!$D:$D,0)-1+COUNTIF($E169:W169,"u")+COUNTIF($E169:W169,"t")+COUNTIF($E169:W169,"¶")+COUNTIF($E169:W169,"²")+COUNTIF($E169:W169,"µ")+COUNTIF($E169:W169,1),ColDescriptionCourte)),""),
  "")),"")</f>
        <v/>
      </c>
      <c r="Y169" s="40" t="str">
        <f ca="1">IFERROR(IF(AND(
  INDEX(Roadmap!$D:$K,MATCH($E169,Roadmap!$D:$D,0)+COUNTIF($E169:X169,"u")+COUNTIF($E169:X169,"t")+COUNTIF($E169:X169,"¶")+COUNTIF($E169:X169,"²")+COUNTIF($E169:X169,"µ")+COUNTIF($E169:X169,1),ColLivraison)=Y$6,
  VLOOKUP($E169,INDIRECT("tri!"&amp; CHAR(64+ C0Col) &amp;":"&amp; CHAR(65+C0Col)),2,FALSE)&gt;COUNTIF($E169:X169,"u")+COUNTIF($E169:X169,"t")+COUNTIF($E169:X169,"¶")+COUNTIF($E169:X169,"²")+COUNTIF($E169:X169,"µ")+COUNTIF($E169:X169,1)),
HYPERLINK("#Roadmap!C"&amp; MATCH($E169,Roadmap!$D:$D,0)+COUNTIF($E169:X169,"u")+COUNTIF($E169:X169,"t"),
     INDEX(Roadmap!$D:$K,MATCH($E169,Roadmap!$D:$D,0)+COUNTIF($E169:X169,"u")+COUNTIF($E169:X169,"t")+COUNTIF($E169:X169,"¶")+COUNTIF($E169:X169,"²")+COUNTIF($E169:X169,"µ")+COUNTIF($E169:X169,1),ColTypeEcheance)),
  IF(LEN(X169)=1,
  IF(LEN(INDEX(Roadmap!$D:$K,MATCH($E169,Roadmap!$D:$D,0)-1+COUNTIF($E169:X169,"u")+COUNTIF($E169:X169,"t")+COUNTIF($E169:X169,"¶")+COUNTIF($E169:X169,"²")+COUNTIF($E169:X169,"µ")+COUNTIF($E169:X169,1),ColDescriptionCourte))&gt;1,
HYPERLINK("#Roadmap!C"&amp; MATCH($E169,Roadmap!$D:$D,0)+COUNTIF($E169:X169,"u")+COUNTIF($E169:X169,"t")+COUNTIF($E169:X169,"¶")+COUNTIF($E169:X169,"²")+COUNTIF($E169:X169,"µ")+COUNTIF($E169:X169,1)-1,INDEX(Roadmap!$D:$K,MATCH($E169,Roadmap!$D:$D,0)-1+COUNTIF($E169:X169,"u")+COUNTIF($E169:X169,"t")+COUNTIF($E169:X169,"¶")+COUNTIF($E169:X169,"²")+COUNTIF($E169:X169,"µ")+COUNTIF($E169:X169,1),ColDescriptionCourte)),""),
  "")),"")</f>
        <v/>
      </c>
      <c r="Z169" s="40" t="str">
        <f ca="1">IFERROR(IF(AND(
  INDEX(Roadmap!$D:$K,MATCH($E169,Roadmap!$D:$D,0)+COUNTIF($E169:Y169,"u")+COUNTIF($E169:Y169,"t")+COUNTIF($E169:Y169,"¶")+COUNTIF($E169:Y169,"²")+COUNTIF($E169:Y169,"µ")+COUNTIF($E169:Y169,1),ColLivraison)=Z$6,
  VLOOKUP($E169,INDIRECT("tri!"&amp; CHAR(64+ C0Col) &amp;":"&amp; CHAR(65+C0Col)),2,FALSE)&gt;COUNTIF($E169:Y169,"u")+COUNTIF($E169:Y169,"t")+COUNTIF($E169:Y169,"¶")+COUNTIF($E169:Y169,"²")+COUNTIF($E169:Y169,"µ")+COUNTIF($E169:Y169,1)),
HYPERLINK("#Roadmap!C"&amp; MATCH($E169,Roadmap!$D:$D,0)+COUNTIF($E169:Y169,"u")+COUNTIF($E169:Y169,"t"),
     INDEX(Roadmap!$D:$K,MATCH($E169,Roadmap!$D:$D,0)+COUNTIF($E169:Y169,"u")+COUNTIF($E169:Y169,"t")+COUNTIF($E169:Y169,"¶")+COUNTIF($E169:Y169,"²")+COUNTIF($E169:Y169,"µ")+COUNTIF($E169:Y169,1),ColTypeEcheance)),
  IF(LEN(Y169)=1,
  IF(LEN(INDEX(Roadmap!$D:$K,MATCH($E169,Roadmap!$D:$D,0)-1+COUNTIF($E169:Y169,"u")+COUNTIF($E169:Y169,"t")+COUNTIF($E169:Y169,"¶")+COUNTIF($E169:Y169,"²")+COUNTIF($E169:Y169,"µ")+COUNTIF($E169:Y169,1),ColDescriptionCourte))&gt;1,
HYPERLINK("#Roadmap!C"&amp; MATCH($E169,Roadmap!$D:$D,0)+COUNTIF($E169:Y169,"u")+COUNTIF($E169:Y169,"t")+COUNTIF($E169:Y169,"¶")+COUNTIF($E169:Y169,"²")+COUNTIF($E169:Y169,"µ")+COUNTIF($E169:Y169,1)-1,INDEX(Roadmap!$D:$K,MATCH($E169,Roadmap!$D:$D,0)-1+COUNTIF($E169:Y169,"u")+COUNTIF($E169:Y169,"t")+COUNTIF($E169:Y169,"¶")+COUNTIF($E169:Y169,"²")+COUNTIF($E169:Y169,"µ")+COUNTIF($E169:Y169,1),ColDescriptionCourte)),""),
  "")),"")</f>
        <v/>
      </c>
      <c r="AA169" s="40" t="str">
        <f ca="1">IFERROR(IF(AND(
  INDEX(Roadmap!$D:$K,MATCH($E169,Roadmap!$D:$D,0)+COUNTIF($E169:Z169,"u")+COUNTIF($E169:Z169,"t")+COUNTIF($E169:Z169,"¶")+COUNTIF($E169:Z169,"²")+COUNTIF($E169:Z169,"µ")+COUNTIF($E169:Z169,1),ColLivraison)=AA$6,
  VLOOKUP($E169,INDIRECT("tri!"&amp; CHAR(64+ C0Col) &amp;":"&amp; CHAR(65+C0Col)),2,FALSE)&gt;COUNTIF($E169:Z169,"u")+COUNTIF($E169:Z169,"t")+COUNTIF($E169:Z169,"¶")+COUNTIF($E169:Z169,"²")+COUNTIF($E169:Z169,"µ")+COUNTIF($E169:Z169,1)),
HYPERLINK("#Roadmap!C"&amp; MATCH($E169,Roadmap!$D:$D,0)+COUNTIF($E169:Z169,"u")+COUNTIF($E169:Z169,"t"),
     INDEX(Roadmap!$D:$K,MATCH($E169,Roadmap!$D:$D,0)+COUNTIF($E169:Z169,"u")+COUNTIF($E169:Z169,"t")+COUNTIF($E169:Z169,"¶")+COUNTIF($E169:Z169,"²")+COUNTIF($E169:Z169,"µ")+COUNTIF($E169:Z169,1),ColTypeEcheance)),
  IF(LEN(Z169)=1,
  IF(LEN(INDEX(Roadmap!$D:$K,MATCH($E169,Roadmap!$D:$D,0)-1+COUNTIF($E169:Z169,"u")+COUNTIF($E169:Z169,"t")+COUNTIF($E169:Z169,"¶")+COUNTIF($E169:Z169,"²")+COUNTIF($E169:Z169,"µ")+COUNTIF($E169:Z169,1),ColDescriptionCourte))&gt;1,
HYPERLINK("#Roadmap!C"&amp; MATCH($E169,Roadmap!$D:$D,0)+COUNTIF($E169:Z169,"u")+COUNTIF($E169:Z169,"t")+COUNTIF($E169:Z169,"¶")+COUNTIF($E169:Z169,"²")+COUNTIF($E169:Z169,"µ")+COUNTIF($E169:Z169,1)-1,INDEX(Roadmap!$D:$K,MATCH($E169,Roadmap!$D:$D,0)-1+COUNTIF($E169:Z169,"u")+COUNTIF($E169:Z169,"t")+COUNTIF($E169:Z169,"¶")+COUNTIF($E169:Z169,"²")+COUNTIF($E169:Z169,"µ")+COUNTIF($E169:Z169,1),ColDescriptionCourte)),""),
  "")),"")</f>
        <v/>
      </c>
      <c r="AB169" s="40" t="str">
        <f ca="1">IFERROR(IF(AND(
  INDEX(Roadmap!$D:$K,MATCH($E169,Roadmap!$D:$D,0)+COUNTIF($E169:AA169,"u")+COUNTIF($E169:AA169,"t")+COUNTIF($E169:AA169,"¶")+COUNTIF($E169:AA169,"²")+COUNTIF($E169:AA169,"µ")+COUNTIF($E169:AA169,1),ColLivraison)=AB$6,
  VLOOKUP($E169,INDIRECT("tri!"&amp; CHAR(64+ C0Col) &amp;":"&amp; CHAR(65+C0Col)),2,FALSE)&gt;COUNTIF($E169:AA169,"u")+COUNTIF($E169:AA169,"t")+COUNTIF($E169:AA169,"¶")+COUNTIF($E169:AA169,"²")+COUNTIF($E169:AA169,"µ")+COUNTIF($E169:AA169,1)),
HYPERLINK("#Roadmap!C"&amp; MATCH($E169,Roadmap!$D:$D,0)+COUNTIF($E169:AA169,"u")+COUNTIF($E169:AA169,"t"),
     INDEX(Roadmap!$D:$K,MATCH($E169,Roadmap!$D:$D,0)+COUNTIF($E169:AA169,"u")+COUNTIF($E169:AA169,"t")+COUNTIF($E169:AA169,"¶")+COUNTIF($E169:AA169,"²")+COUNTIF($E169:AA169,"µ")+COUNTIF($E169:AA169,1),ColTypeEcheance)),
  IF(LEN(AA169)=1,
  IF(LEN(INDEX(Roadmap!$D:$K,MATCH($E169,Roadmap!$D:$D,0)-1+COUNTIF($E169:AA169,"u")+COUNTIF($E169:AA169,"t")+COUNTIF($E169:AA169,"¶")+COUNTIF($E169:AA169,"²")+COUNTIF($E169:AA169,"µ")+COUNTIF($E169:AA169,1),ColDescriptionCourte))&gt;1,
HYPERLINK("#Roadmap!C"&amp; MATCH($E169,Roadmap!$D:$D,0)+COUNTIF($E169:AA169,"u")+COUNTIF($E169:AA169,"t")+COUNTIF($E169:AA169,"¶")+COUNTIF($E169:AA169,"²")+COUNTIF($E169:AA169,"µ")+COUNTIF($E169:AA169,1)-1,INDEX(Roadmap!$D:$K,MATCH($E169,Roadmap!$D:$D,0)-1+COUNTIF($E169:AA169,"u")+COUNTIF($E169:AA169,"t")+COUNTIF($E169:AA169,"¶")+COUNTIF($E169:AA169,"²")+COUNTIF($E169:AA169,"µ")+COUNTIF($E169:AA169,1),ColDescriptionCourte)),""),
  "")),"")</f>
        <v/>
      </c>
      <c r="AC169" s="40" t="str">
        <f ca="1">IFERROR(IF(AND(
  INDEX(Roadmap!$D:$K,MATCH($E169,Roadmap!$D:$D,0)+COUNTIF($E169:AB169,"u")+COUNTIF($E169:AB169,"t")+COUNTIF($E169:AB169,"¶")+COUNTIF($E169:AB169,"²")+COUNTIF($E169:AB169,"µ")+COUNTIF($E169:AB169,1),ColLivraison)=AC$6,
  VLOOKUP($E169,INDIRECT("tri!"&amp; CHAR(64+ C0Col) &amp;":"&amp; CHAR(65+C0Col)),2,FALSE)&gt;COUNTIF($E169:AB169,"u")+COUNTIF($E169:AB169,"t")+COUNTIF($E169:AB169,"¶")+COUNTIF($E169:AB169,"²")+COUNTIF($E169:AB169,"µ")+COUNTIF($E169:AB169,1)),
HYPERLINK("#Roadmap!C"&amp; MATCH($E169,Roadmap!$D:$D,0)+COUNTIF($E169:AB169,"u")+COUNTIF($E169:AB169,"t"),
     INDEX(Roadmap!$D:$K,MATCH($E169,Roadmap!$D:$D,0)+COUNTIF($E169:AB169,"u")+COUNTIF($E169:AB169,"t")+COUNTIF($E169:AB169,"¶")+COUNTIF($E169:AB169,"²")+COUNTIF($E169:AB169,"µ")+COUNTIF($E169:AB169,1),ColTypeEcheance)),
  IF(LEN(AB169)=1,
  IF(LEN(INDEX(Roadmap!$D:$K,MATCH($E169,Roadmap!$D:$D,0)-1+COUNTIF($E169:AB169,"u")+COUNTIF($E169:AB169,"t")+COUNTIF($E169:AB169,"¶")+COUNTIF($E169:AB169,"²")+COUNTIF($E169:AB169,"µ")+COUNTIF($E169:AB169,1),ColDescriptionCourte))&gt;1,
HYPERLINK("#Roadmap!C"&amp; MATCH($E169,Roadmap!$D:$D,0)+COUNTIF($E169:AB169,"u")+COUNTIF($E169:AB169,"t")+COUNTIF($E169:AB169,"¶")+COUNTIF($E169:AB169,"²")+COUNTIF($E169:AB169,"µ")+COUNTIF($E169:AB169,1)-1,INDEX(Roadmap!$D:$K,MATCH($E169,Roadmap!$D:$D,0)-1+COUNTIF($E169:AB169,"u")+COUNTIF($E169:AB169,"t")+COUNTIF($E169:AB169,"¶")+COUNTIF($E169:AB169,"²")+COUNTIF($E169:AB169,"µ")+COUNTIF($E169:AB169,1),ColDescriptionCourte)),""),
  "")),"")</f>
        <v/>
      </c>
      <c r="AD169" s="40" t="str">
        <f ca="1">IFERROR(IF(AND(
  INDEX(Roadmap!$D:$K,MATCH($E169,Roadmap!$D:$D,0)+COUNTIF($E169:AC169,"u")+COUNTIF($E169:AC169,"t")+COUNTIF($E169:AC169,"¶")+COUNTIF($E169:AC169,"²")+COUNTIF($E169:AC169,"µ")+COUNTIF($E169:AC169,1),ColLivraison)=AD$6,
  VLOOKUP($E169,INDIRECT("tri!"&amp; CHAR(64+ C0Col) &amp;":"&amp; CHAR(65+C0Col)),2,FALSE)&gt;COUNTIF($E169:AC169,"u")+COUNTIF($E169:AC169,"t")+COUNTIF($E169:AC169,"¶")+COUNTIF($E169:AC169,"²")+COUNTIF($E169:AC169,"µ")+COUNTIF($E169:AC169,1)),
HYPERLINK("#Roadmap!C"&amp; MATCH($E169,Roadmap!$D:$D,0)+COUNTIF($E169:AC169,"u")+COUNTIF($E169:AC169,"t"),
     INDEX(Roadmap!$D:$K,MATCH($E169,Roadmap!$D:$D,0)+COUNTIF($E169:AC169,"u")+COUNTIF($E169:AC169,"t")+COUNTIF($E169:AC169,"¶")+COUNTIF($E169:AC169,"²")+COUNTIF($E169:AC169,"µ")+COUNTIF($E169:AC169,1),ColTypeEcheance)),
  IF(LEN(AC169)=1,
  IF(LEN(INDEX(Roadmap!$D:$K,MATCH($E169,Roadmap!$D:$D,0)-1+COUNTIF($E169:AC169,"u")+COUNTIF($E169:AC169,"t")+COUNTIF($E169:AC169,"¶")+COUNTIF($E169:AC169,"²")+COUNTIF($E169:AC169,"µ")+COUNTIF($E169:AC169,1),ColDescriptionCourte))&gt;1,
HYPERLINK("#Roadmap!C"&amp; MATCH($E169,Roadmap!$D:$D,0)+COUNTIF($E169:AC169,"u")+COUNTIF($E169:AC169,"t")+COUNTIF($E169:AC169,"¶")+COUNTIF($E169:AC169,"²")+COUNTIF($E169:AC169,"µ")+COUNTIF($E169:AC169,1)-1,INDEX(Roadmap!$D:$K,MATCH($E169,Roadmap!$D:$D,0)-1+COUNTIF($E169:AC169,"u")+COUNTIF($E169:AC169,"t")+COUNTIF($E169:AC169,"¶")+COUNTIF($E169:AC169,"²")+COUNTIF($E169:AC169,"µ")+COUNTIF($E169:AC169,1),ColDescriptionCourte)),""),
  "")),"")</f>
        <v/>
      </c>
      <c r="AE169" s="40" t="str">
        <f ca="1">IFERROR(IF(AND(
  INDEX(Roadmap!$D:$K,MATCH($E169,Roadmap!$D:$D,0)+COUNTIF($E169:AD169,"u")+COUNTIF($E169:AD169,"t")+COUNTIF($E169:AD169,"¶")+COUNTIF($E169:AD169,"²")+COUNTIF($E169:AD169,"µ")+COUNTIF($E169:AD169,1),ColLivraison)=AE$6,
  VLOOKUP($E169,INDIRECT("tri!"&amp; CHAR(64+ C0Col) &amp;":"&amp; CHAR(65+C0Col)),2,FALSE)&gt;COUNTIF($E169:AD169,"u")+COUNTIF($E169:AD169,"t")+COUNTIF($E169:AD169,"¶")+COUNTIF($E169:AD169,"²")+COUNTIF($E169:AD169,"µ")+COUNTIF($E169:AD169,1)),
HYPERLINK("#Roadmap!C"&amp; MATCH($E169,Roadmap!$D:$D,0)+COUNTIF($E169:AD169,"u")+COUNTIF($E169:AD169,"t"),
     INDEX(Roadmap!$D:$K,MATCH($E169,Roadmap!$D:$D,0)+COUNTIF($E169:AD169,"u")+COUNTIF($E169:AD169,"t")+COUNTIF($E169:AD169,"¶")+COUNTIF($E169:AD169,"²")+COUNTIF($E169:AD169,"µ")+COUNTIF($E169:AD169,1),ColTypeEcheance)),
  IF(LEN(AD169)=1,
  IF(LEN(INDEX(Roadmap!$D:$K,MATCH($E169,Roadmap!$D:$D,0)-1+COUNTIF($E169:AD169,"u")+COUNTIF($E169:AD169,"t")+COUNTIF($E169:AD169,"¶")+COUNTIF($E169:AD169,"²")+COUNTIF($E169:AD169,"µ")+COUNTIF($E169:AD169,1),ColDescriptionCourte))&gt;1,
HYPERLINK("#Roadmap!C"&amp; MATCH($E169,Roadmap!$D:$D,0)+COUNTIF($E169:AD169,"u")+COUNTIF($E169:AD169,"t")+COUNTIF($E169:AD169,"¶")+COUNTIF($E169:AD169,"²")+COUNTIF($E169:AD169,"µ")+COUNTIF($E169:AD169,1)-1,INDEX(Roadmap!$D:$K,MATCH($E169,Roadmap!$D:$D,0)-1+COUNTIF($E169:AD169,"u")+COUNTIF($E169:AD169,"t")+COUNTIF($E169:AD169,"¶")+COUNTIF($E169:AD169,"²")+COUNTIF($E169:AD169,"µ")+COUNTIF($E169:AD169,1),ColDescriptionCourte)),""),
  "")),"")</f>
        <v/>
      </c>
      <c r="AF169" s="40" t="str">
        <f ca="1">IFERROR(IF(AND(
  INDEX(Roadmap!$D:$K,MATCH($E169,Roadmap!$D:$D,0)+COUNTIF($E169:AE169,"u")+COUNTIF($E169:AE169,"t")+COUNTIF($E169:AE169,"¶")+COUNTIF($E169:AE169,"²")+COUNTIF($E169:AE169,"µ")+COUNTIF($E169:AE169,1),ColLivraison)=AF$6,
  VLOOKUP($E169,INDIRECT("tri!"&amp; CHAR(64+ C0Col) &amp;":"&amp; CHAR(65+C0Col)),2,FALSE)&gt;COUNTIF($E169:AE169,"u")+COUNTIF($E169:AE169,"t")+COUNTIF($E169:AE169,"¶")+COUNTIF($E169:AE169,"²")+COUNTIF($E169:AE169,"µ")+COUNTIF($E169:AE169,1)),
HYPERLINK("#Roadmap!C"&amp; MATCH($E169,Roadmap!$D:$D,0)+COUNTIF($E169:AE169,"u")+COUNTIF($E169:AE169,"t"),
     INDEX(Roadmap!$D:$K,MATCH($E169,Roadmap!$D:$D,0)+COUNTIF($E169:AE169,"u")+COUNTIF($E169:AE169,"t")+COUNTIF($E169:AE169,"¶")+COUNTIF($E169:AE169,"²")+COUNTIF($E169:AE169,"µ")+COUNTIF($E169:AE169,1),ColTypeEcheance)),
  IF(LEN(AE169)=1,
  IF(LEN(INDEX(Roadmap!$D:$K,MATCH($E169,Roadmap!$D:$D,0)-1+COUNTIF($E169:AE169,"u")+COUNTIF($E169:AE169,"t")+COUNTIF($E169:AE169,"¶")+COUNTIF($E169:AE169,"²")+COUNTIF($E169:AE169,"µ")+COUNTIF($E169:AE169,1),ColDescriptionCourte))&gt;1,
HYPERLINK("#Roadmap!C"&amp; MATCH($E169,Roadmap!$D:$D,0)+COUNTIF($E169:AE169,"u")+COUNTIF($E169:AE169,"t")+COUNTIF($E169:AE169,"¶")+COUNTIF($E169:AE169,"²")+COUNTIF($E169:AE169,"µ")+COUNTIF($E169:AE169,1)-1,INDEX(Roadmap!$D:$K,MATCH($E169,Roadmap!$D:$D,0)-1+COUNTIF($E169:AE169,"u")+COUNTIF($E169:AE169,"t")+COUNTIF($E169:AE169,"¶")+COUNTIF($E169:AE169,"²")+COUNTIF($E169:AE169,"µ")+COUNTIF($E169:AE169,1),ColDescriptionCourte)),""),
  "")),"")</f>
        <v/>
      </c>
      <c r="AG169" s="40" t="str">
        <f ca="1">IFERROR(IF(AND(
  INDEX(Roadmap!$D:$K,MATCH($E169,Roadmap!$D:$D,0)+COUNTIF($E169:AF169,"u")+COUNTIF($E169:AF169,"t")+COUNTIF($E169:AF169,"¶")+COUNTIF($E169:AF169,"²")+COUNTIF($E169:AF169,"µ")+COUNTIF($E169:AF169,1),ColLivraison)=AG$6,
  VLOOKUP($E169,INDIRECT("tri!"&amp; CHAR(64+ C0Col) &amp;":"&amp; CHAR(65+C0Col)),2,FALSE)&gt;COUNTIF($E169:AF169,"u")+COUNTIF($E169:AF169,"t")+COUNTIF($E169:AF169,"¶")+COUNTIF($E169:AF169,"²")+COUNTIF($E169:AF169,"µ")+COUNTIF($E169:AF169,1)),
HYPERLINK("#Roadmap!C"&amp; MATCH($E169,Roadmap!$D:$D,0)+COUNTIF($E169:AF169,"u")+COUNTIF($E169:AF169,"t"),
     INDEX(Roadmap!$D:$K,MATCH($E169,Roadmap!$D:$D,0)+COUNTIF($E169:AF169,"u")+COUNTIF($E169:AF169,"t")+COUNTIF($E169:AF169,"¶")+COUNTIF($E169:AF169,"²")+COUNTIF($E169:AF169,"µ")+COUNTIF($E169:AF169,1),ColTypeEcheance)),
  IF(LEN(AF169)=1,
  IF(LEN(INDEX(Roadmap!$D:$K,MATCH($E169,Roadmap!$D:$D,0)-1+COUNTIF($E169:AF169,"u")+COUNTIF($E169:AF169,"t")+COUNTIF($E169:AF169,"¶")+COUNTIF($E169:AF169,"²")+COUNTIF($E169:AF169,"µ")+COUNTIF($E169:AF169,1),ColDescriptionCourte))&gt;1,
HYPERLINK("#Roadmap!C"&amp; MATCH($E169,Roadmap!$D:$D,0)+COUNTIF($E169:AF169,"u")+COUNTIF($E169:AF169,"t")+COUNTIF($E169:AF169,"¶")+COUNTIF($E169:AF169,"²")+COUNTIF($E169:AF169,"µ")+COUNTIF($E169:AF169,1)-1,INDEX(Roadmap!$D:$K,MATCH($E169,Roadmap!$D:$D,0)-1+COUNTIF($E169:AF169,"u")+COUNTIF($E169:AF169,"t")+COUNTIF($E169:AF169,"¶")+COUNTIF($E169:AF169,"²")+COUNTIF($E169:AF169,"µ")+COUNTIF($E169:AF169,1),ColDescriptionCourte)),""),
  "")),"")</f>
        <v/>
      </c>
    </row>
    <row r="170" spans="3:33" ht="14.25" customHeight="1">
      <c r="C170" s="1" t="str">
        <f t="shared" ca="1" si="54"/>
        <v/>
      </c>
      <c r="D170" s="1" t="str">
        <f t="shared" ca="1" si="55"/>
        <v/>
      </c>
      <c r="E170" s="35" t="str">
        <f t="shared" ca="1" si="51"/>
        <v/>
      </c>
      <c r="F170" s="39" t="str">
        <f ca="1">IFERROR(IF(AND(
  INDEX(Roadmap!$D:$K,MATCH($E170,Roadmap!$D:$D,0)+COUNTIF($E170:E170,"u")+COUNTIF($E170:E170,"t")+COUNTIF($E170:E170,"¶")+COUNTIF($E170:E170,"²")+COUNTIF($E170:E170,"µ")+COUNTIF($E170:E170,1),ColLivraison)=F$6,
  VLOOKUP($E170,INDIRECT("tri!"&amp; CHAR(64+ C0Col) &amp;":"&amp; CHAR(65+C0Col)),2,FALSE)&gt;COUNTIF($E170:E170,"u")+COUNTIF($E170:E170,"t")+COUNTIF($E170:E170,"¶")+COUNTIF($E170:E170,"²")+COUNTIF($E170:E170,"µ")+COUNTIF($E170:E170,1)),
HYPERLINK("#Roadmap!C"&amp; MATCH($E170,Roadmap!$D:$D,0)+COUNTIF($E170:E170,"u")+COUNTIF($E170:E170,"t"),
     INDEX(Roadmap!$D:$K,MATCH($E170,Roadmap!$D:$D,0)+COUNTIF($E170:E170,"u")+COUNTIF($E170:E170,"t")+COUNTIF($E170:E170,"¶")+COUNTIF($E170:E170,"²")+COUNTIF($E170:E170,"µ")+COUNTIF($E170:E170,1),ColTypeEcheance)),
  IF(LEN(E170)=1,
  IF(LEN(INDEX(Roadmap!$D:$K,MATCH($E170,Roadmap!$D:$D,0)-1+COUNTIF($E170:E170,"u")+COUNTIF($E170:E170,"t")+COUNTIF($E170:E170,"¶")+COUNTIF($E170:E170,"²")+COUNTIF($E170:E170,"µ")+COUNTIF($E170:E170,1),ColDescriptionCourte))&gt;1,
HYPERLINK("#Roadmap!C"&amp; MATCH($E170,Roadmap!$D:$D,0)+COUNTIF($E170:E170,"u")+COUNTIF($E170:E170,"t")+COUNTIF($E170:E170,"¶")+COUNTIF($E170:E170,"²")+COUNTIF($E170:E170,"µ")+COUNTIF($E170:E170,1)-1,INDEX(Roadmap!$D:$K,MATCH($E170,Roadmap!$D:$D,0)-1+COUNTIF($E170:E170,"u")+COUNTIF($E170:E170,"t")+COUNTIF($E170:E170,"¶")+COUNTIF($E170:E170,"²")+COUNTIF($E170:E170,"µ")+COUNTIF($E170:E170,1),ColDescriptionCourte)),""),
  "")),"")</f>
        <v/>
      </c>
      <c r="G170" s="40" t="str">
        <f ca="1">IFERROR(IF(AND(
  INDEX(Roadmap!$D:$K,MATCH($E170,Roadmap!$D:$D,0)+COUNTIF($E170:F170,"u")+COUNTIF($E170:F170,"t")+COUNTIF($E170:F170,"¶")+COUNTIF($E170:F170,"²")+COUNTIF($E170:F170,"µ")+COUNTIF($E170:F170,1),ColLivraison)=G$6,
  VLOOKUP($E170,INDIRECT("tri!"&amp; CHAR(64+ C0Col) &amp;":"&amp; CHAR(65+C0Col)),2,FALSE)&gt;COUNTIF($E170:F170,"u")+COUNTIF($E170:F170,"t")+COUNTIF($E170:F170,"¶")+COUNTIF($E170:F170,"²")+COUNTIF($E170:F170,"µ")+COUNTIF($E170:F170,1)),
HYPERLINK("#Roadmap!C"&amp; MATCH($E170,Roadmap!$D:$D,0)+COUNTIF($E170:F170,"u")+COUNTIF($E170:F170,"t"),
     INDEX(Roadmap!$D:$K,MATCH($E170,Roadmap!$D:$D,0)+COUNTIF($E170:F170,"u")+COUNTIF($E170:F170,"t")+COUNTIF($E170:F170,"¶")+COUNTIF($E170:F170,"²")+COUNTIF($E170:F170,"µ")+COUNTIF($E170:F170,1),ColTypeEcheance)),
  IF(LEN(F170)=1,
  IF(LEN(INDEX(Roadmap!$D:$K,MATCH($E170,Roadmap!$D:$D,0)-1+COUNTIF($E170:F170,"u")+COUNTIF($E170:F170,"t")+COUNTIF($E170:F170,"¶")+COUNTIF($E170:F170,"²")+COUNTIF($E170:F170,"µ")+COUNTIF($E170:F170,1),ColDescriptionCourte))&gt;1,
HYPERLINK("#Roadmap!C"&amp; MATCH($E170,Roadmap!$D:$D,0)+COUNTIF($E170:F170,"u")+COUNTIF($E170:F170,"t")+COUNTIF($E170:F170,"¶")+COUNTIF($E170:F170,"²")+COUNTIF($E170:F170,"µ")+COUNTIF($E170:F170,1)-1,INDEX(Roadmap!$D:$K,MATCH($E170,Roadmap!$D:$D,0)-1+COUNTIF($E170:F170,"u")+COUNTIF($E170:F170,"t")+COUNTIF($E170:F170,"¶")+COUNTIF($E170:F170,"²")+COUNTIF($E170:F170,"µ")+COUNTIF($E170:F170,1),ColDescriptionCourte)),""),
  "")),"")</f>
        <v/>
      </c>
      <c r="H170" s="40" t="str">
        <f ca="1">IFERROR(IF(AND(
  INDEX(Roadmap!$D:$K,MATCH($E170,Roadmap!$D:$D,0)+COUNTIF($E170:G170,"u")+COUNTIF($E170:G170,"t")+COUNTIF($E170:G170,"¶")+COUNTIF($E170:G170,"²")+COUNTIF($E170:G170,"µ")+COUNTIF($E170:G170,1),ColLivraison)=H$6,
  VLOOKUP($E170,INDIRECT("tri!"&amp; CHAR(64+ C0Col) &amp;":"&amp; CHAR(65+C0Col)),2,FALSE)&gt;COUNTIF($E170:G170,"u")+COUNTIF($E170:G170,"t")+COUNTIF($E170:G170,"¶")+COUNTIF($E170:G170,"²")+COUNTIF($E170:G170,"µ")+COUNTIF($E170:G170,1)),
HYPERLINK("#Roadmap!C"&amp; MATCH($E170,Roadmap!$D:$D,0)+COUNTIF($E170:G170,"u")+COUNTIF($E170:G170,"t"),
     INDEX(Roadmap!$D:$K,MATCH($E170,Roadmap!$D:$D,0)+COUNTIF($E170:G170,"u")+COUNTIF($E170:G170,"t")+COUNTIF($E170:G170,"¶")+COUNTIF($E170:G170,"²")+COUNTIF($E170:G170,"µ")+COUNTIF($E170:G170,1),ColTypeEcheance)),
  IF(LEN(G170)=1,
  IF(LEN(INDEX(Roadmap!$D:$K,MATCH($E170,Roadmap!$D:$D,0)-1+COUNTIF($E170:G170,"u")+COUNTIF($E170:G170,"t")+COUNTIF($E170:G170,"¶")+COUNTIF($E170:G170,"²")+COUNTIF($E170:G170,"µ")+COUNTIF($E170:G170,1),ColDescriptionCourte))&gt;1,
HYPERLINK("#Roadmap!C"&amp; MATCH($E170,Roadmap!$D:$D,0)+COUNTIF($E170:G170,"u")+COUNTIF($E170:G170,"t")+COUNTIF($E170:G170,"¶")+COUNTIF($E170:G170,"²")+COUNTIF($E170:G170,"µ")+COUNTIF($E170:G170,1)-1,INDEX(Roadmap!$D:$K,MATCH($E170,Roadmap!$D:$D,0)-1+COUNTIF($E170:G170,"u")+COUNTIF($E170:G170,"t")+COUNTIF($E170:G170,"¶")+COUNTIF($E170:G170,"²")+COUNTIF($E170:G170,"µ")+COUNTIF($E170:G170,1),ColDescriptionCourte)),""),
  "")),"")</f>
        <v/>
      </c>
      <c r="I170" s="40" t="str">
        <f ca="1">IFERROR(IF(AND(
  INDEX(Roadmap!$D:$K,MATCH($E170,Roadmap!$D:$D,0)+COUNTIF($E170:H170,"u")+COUNTIF($E170:H170,"t")+COUNTIF($E170:H170,"¶")+COUNTIF($E170:H170,"²")+COUNTIF($E170:H170,"µ")+COUNTIF($E170:H170,1),ColLivraison)=I$6,
  VLOOKUP($E170,INDIRECT("tri!"&amp; CHAR(64+ C0Col) &amp;":"&amp; CHAR(65+C0Col)),2,FALSE)&gt;COUNTIF($E170:H170,"u")+COUNTIF($E170:H170,"t")+COUNTIF($E170:H170,"¶")+COUNTIF($E170:H170,"²")+COUNTIF($E170:H170,"µ")+COUNTIF($E170:H170,1)),
HYPERLINK("#Roadmap!C"&amp; MATCH($E170,Roadmap!$D:$D,0)+COUNTIF($E170:H170,"u")+COUNTIF($E170:H170,"t"),
     INDEX(Roadmap!$D:$K,MATCH($E170,Roadmap!$D:$D,0)+COUNTIF($E170:H170,"u")+COUNTIF($E170:H170,"t")+COUNTIF($E170:H170,"¶")+COUNTIF($E170:H170,"²")+COUNTIF($E170:H170,"µ")+COUNTIF($E170:H170,1),ColTypeEcheance)),
  IF(LEN(H170)=1,
  IF(LEN(INDEX(Roadmap!$D:$K,MATCH($E170,Roadmap!$D:$D,0)-1+COUNTIF($E170:H170,"u")+COUNTIF($E170:H170,"t")+COUNTIF($E170:H170,"¶")+COUNTIF($E170:H170,"²")+COUNTIF($E170:H170,"µ")+COUNTIF($E170:H170,1),ColDescriptionCourte))&gt;1,
HYPERLINK("#Roadmap!C"&amp; MATCH($E170,Roadmap!$D:$D,0)+COUNTIF($E170:H170,"u")+COUNTIF($E170:H170,"t")+COUNTIF($E170:H170,"¶")+COUNTIF($E170:H170,"²")+COUNTIF($E170:H170,"µ")+COUNTIF($E170:H170,1)-1,INDEX(Roadmap!$D:$K,MATCH($E170,Roadmap!$D:$D,0)-1+COUNTIF($E170:H170,"u")+COUNTIF($E170:H170,"t")+COUNTIF($E170:H170,"¶")+COUNTIF($E170:H170,"²")+COUNTIF($E170:H170,"µ")+COUNTIF($E170:H170,1),ColDescriptionCourte)),""),
  "")),"")</f>
        <v/>
      </c>
      <c r="J170" s="40" t="str">
        <f ca="1">IFERROR(IF(AND(
  INDEX(Roadmap!$D:$K,MATCH($E170,Roadmap!$D:$D,0)+COUNTIF($E170:I170,"u")+COUNTIF($E170:I170,"t")+COUNTIF($E170:I170,"¶")+COUNTIF($E170:I170,"²")+COUNTIF($E170:I170,"µ")+COUNTIF($E170:I170,1),ColLivraison)=J$6,
  VLOOKUP($E170,INDIRECT("tri!"&amp; CHAR(64+ C0Col) &amp;":"&amp; CHAR(65+C0Col)),2,FALSE)&gt;COUNTIF($E170:I170,"u")+COUNTIF($E170:I170,"t")+COUNTIF($E170:I170,"¶")+COUNTIF($E170:I170,"²")+COUNTIF($E170:I170,"µ")+COUNTIF($E170:I170,1)),
HYPERLINK("#Roadmap!C"&amp; MATCH($E170,Roadmap!$D:$D,0)+COUNTIF($E170:I170,"u")+COUNTIF($E170:I170,"t"),
     INDEX(Roadmap!$D:$K,MATCH($E170,Roadmap!$D:$D,0)+COUNTIF($E170:I170,"u")+COUNTIF($E170:I170,"t")+COUNTIF($E170:I170,"¶")+COUNTIF($E170:I170,"²")+COUNTIF($E170:I170,"µ")+COUNTIF($E170:I170,1),ColTypeEcheance)),
  IF(LEN(I170)=1,
  IF(LEN(INDEX(Roadmap!$D:$K,MATCH($E170,Roadmap!$D:$D,0)-1+COUNTIF($E170:I170,"u")+COUNTIF($E170:I170,"t")+COUNTIF($E170:I170,"¶")+COUNTIF($E170:I170,"²")+COUNTIF($E170:I170,"µ")+COUNTIF($E170:I170,1),ColDescriptionCourte))&gt;1,
HYPERLINK("#Roadmap!C"&amp; MATCH($E170,Roadmap!$D:$D,0)+COUNTIF($E170:I170,"u")+COUNTIF($E170:I170,"t")+COUNTIF($E170:I170,"¶")+COUNTIF($E170:I170,"²")+COUNTIF($E170:I170,"µ")+COUNTIF($E170:I170,1)-1,INDEX(Roadmap!$D:$K,MATCH($E170,Roadmap!$D:$D,0)-1+COUNTIF($E170:I170,"u")+COUNTIF($E170:I170,"t")+COUNTIF($E170:I170,"¶")+COUNTIF($E170:I170,"²")+COUNTIF($E170:I170,"µ")+COUNTIF($E170:I170,1),ColDescriptionCourte)),""),
  "")),"")</f>
        <v/>
      </c>
      <c r="K170" s="40" t="str">
        <f ca="1">IFERROR(IF(AND(
  INDEX(Roadmap!$D:$K,MATCH($E170,Roadmap!$D:$D,0)+COUNTIF($E170:J170,"u")+COUNTIF($E170:J170,"t")+COUNTIF($E170:J170,"¶")+COUNTIF($E170:J170,"²")+COUNTIF($E170:J170,"µ")+COUNTIF($E170:J170,1),ColLivraison)=K$6,
  VLOOKUP($E170,INDIRECT("tri!"&amp; CHAR(64+ C0Col) &amp;":"&amp; CHAR(65+C0Col)),2,FALSE)&gt;COUNTIF($E170:J170,"u")+COUNTIF($E170:J170,"t")+COUNTIF($E170:J170,"¶")+COUNTIF($E170:J170,"²")+COUNTIF($E170:J170,"µ")+COUNTIF($E170:J170,1)),
HYPERLINK("#Roadmap!C"&amp; MATCH($E170,Roadmap!$D:$D,0)+COUNTIF($E170:J170,"u")+COUNTIF($E170:J170,"t"),
     INDEX(Roadmap!$D:$K,MATCH($E170,Roadmap!$D:$D,0)+COUNTIF($E170:J170,"u")+COUNTIF($E170:J170,"t")+COUNTIF($E170:J170,"¶")+COUNTIF($E170:J170,"²")+COUNTIF($E170:J170,"µ")+COUNTIF($E170:J170,1),ColTypeEcheance)),
  IF(LEN(J170)=1,
  IF(LEN(INDEX(Roadmap!$D:$K,MATCH($E170,Roadmap!$D:$D,0)-1+COUNTIF($E170:J170,"u")+COUNTIF($E170:J170,"t")+COUNTIF($E170:J170,"¶")+COUNTIF($E170:J170,"²")+COUNTIF($E170:J170,"µ")+COUNTIF($E170:J170,1),ColDescriptionCourte))&gt;1,
HYPERLINK("#Roadmap!C"&amp; MATCH($E170,Roadmap!$D:$D,0)+COUNTIF($E170:J170,"u")+COUNTIF($E170:J170,"t")+COUNTIF($E170:J170,"¶")+COUNTIF($E170:J170,"²")+COUNTIF($E170:J170,"µ")+COUNTIF($E170:J170,1)-1,INDEX(Roadmap!$D:$K,MATCH($E170,Roadmap!$D:$D,0)-1+COUNTIF($E170:J170,"u")+COUNTIF($E170:J170,"t")+COUNTIF($E170:J170,"¶")+COUNTIF($E170:J170,"²")+COUNTIF($E170:J170,"µ")+COUNTIF($E170:J170,1),ColDescriptionCourte)),""),
  "")),"")</f>
        <v/>
      </c>
      <c r="L170" s="39" t="str">
        <f ca="1">IFERROR(IF(AND(
  INDEX(Roadmap!$D:$K,MATCH($E170,Roadmap!$D:$D,0)+COUNTIF($E170:K170,"u")+COUNTIF($E170:K170,"t")+COUNTIF($E170:K170,"¶")+COUNTIF($E170:K170,"²")+COUNTIF($E170:K170,"µ")+COUNTIF($E170:K170,1),ColLivraison)=L$6,
  VLOOKUP($E170,INDIRECT("tri!"&amp; CHAR(64+ C0Col) &amp;":"&amp; CHAR(65+C0Col)),2,FALSE)&gt;COUNTIF($E170:K170,"u")+COUNTIF($E170:K170,"t")+COUNTIF($E170:K170,"¶")+COUNTIF($E170:K170,"²")+COUNTIF($E170:K170,"µ")+COUNTIF($E170:K170,1)),
HYPERLINK("#Roadmap!C"&amp; MATCH($E170,Roadmap!$D:$D,0)+COUNTIF($E170:K170,"u")+COUNTIF($E170:K170,"t"),
     INDEX(Roadmap!$D:$K,MATCH($E170,Roadmap!$D:$D,0)+COUNTIF($E170:K170,"u")+COUNTIF($E170:K170,"t")+COUNTIF($E170:K170,"¶")+COUNTIF($E170:K170,"²")+COUNTIF($E170:K170,"µ")+COUNTIF($E170:K170,1),ColTypeEcheance)),
  IF(LEN(K170)=1,
  IF(LEN(INDEX(Roadmap!$D:$K,MATCH($E170,Roadmap!$D:$D,0)-1+COUNTIF($E170:K170,"u")+COUNTIF($E170:K170,"t")+COUNTIF($E170:K170,"¶")+COUNTIF($E170:K170,"²")+COUNTIF($E170:K170,"µ")+COUNTIF($E170:K170,1),ColDescriptionCourte))&gt;1,
HYPERLINK("#Roadmap!C"&amp; MATCH($E170,Roadmap!$D:$D,0)+COUNTIF($E170:K170,"u")+COUNTIF($E170:K170,"t")+COUNTIF($E170:K170,"¶")+COUNTIF($E170:K170,"²")+COUNTIF($E170:K170,"µ")+COUNTIF($E170:K170,1)-1,INDEX(Roadmap!$D:$K,MATCH($E170,Roadmap!$D:$D,0)-1+COUNTIF($E170:K170,"u")+COUNTIF($E170:K170,"t")+COUNTIF($E170:K170,"¶")+COUNTIF($E170:K170,"²")+COUNTIF($E170:K170,"µ")+COUNTIF($E170:K170,1),ColDescriptionCourte)),""),
  "")),"")</f>
        <v/>
      </c>
      <c r="M170" s="40" t="str">
        <f ca="1">IFERROR(IF(AND(
  INDEX(Roadmap!$D:$K,MATCH($E170,Roadmap!$D:$D,0)+COUNTIF($E170:L170,"u")+COUNTIF($E170:L170,"t")+COUNTIF($E170:L170,"¶")+COUNTIF($E170:L170,"²")+COUNTIF($E170:L170,"µ")+COUNTIF($E170:L170,1),ColLivraison)=M$6,
  VLOOKUP($E170,INDIRECT("tri!"&amp; CHAR(64+ C0Col) &amp;":"&amp; CHAR(65+C0Col)),2,FALSE)&gt;COUNTIF($E170:L170,"u")+COUNTIF($E170:L170,"t")+COUNTIF($E170:L170,"¶")+COUNTIF($E170:L170,"²")+COUNTIF($E170:L170,"µ")+COUNTIF($E170:L170,1)),
HYPERLINK("#Roadmap!C"&amp; MATCH($E170,Roadmap!$D:$D,0)+COUNTIF($E170:L170,"u")+COUNTIF($E170:L170,"t"),
     INDEX(Roadmap!$D:$K,MATCH($E170,Roadmap!$D:$D,0)+COUNTIF($E170:L170,"u")+COUNTIF($E170:L170,"t")+COUNTIF($E170:L170,"¶")+COUNTIF($E170:L170,"²")+COUNTIF($E170:L170,"µ")+COUNTIF($E170:L170,1),ColTypeEcheance)),
  IF(LEN(L170)=1,
  IF(LEN(INDEX(Roadmap!$D:$K,MATCH($E170,Roadmap!$D:$D,0)-1+COUNTIF($E170:L170,"u")+COUNTIF($E170:L170,"t")+COUNTIF($E170:L170,"¶")+COUNTIF($E170:L170,"²")+COUNTIF($E170:L170,"µ")+COUNTIF($E170:L170,1),ColDescriptionCourte))&gt;1,
HYPERLINK("#Roadmap!C"&amp; MATCH($E170,Roadmap!$D:$D,0)+COUNTIF($E170:L170,"u")+COUNTIF($E170:L170,"t")+COUNTIF($E170:L170,"¶")+COUNTIF($E170:L170,"²")+COUNTIF($E170:L170,"µ")+COUNTIF($E170:L170,1)-1,INDEX(Roadmap!$D:$K,MATCH($E170,Roadmap!$D:$D,0)-1+COUNTIF($E170:L170,"u")+COUNTIF($E170:L170,"t")+COUNTIF($E170:L170,"¶")+COUNTIF($E170:L170,"²")+COUNTIF($E170:L170,"µ")+COUNTIF($E170:L170,1),ColDescriptionCourte)),""),
  "")),"")</f>
        <v/>
      </c>
      <c r="N170" s="40" t="str">
        <f ca="1">IFERROR(IF(AND(
  INDEX(Roadmap!$D:$K,MATCH($E170,Roadmap!$D:$D,0)+COUNTIF($E170:M170,"u")+COUNTIF($E170:M170,"t")+COUNTIF($E170:M170,"¶")+COUNTIF($E170:M170,"²")+COUNTIF($E170:M170,"µ")+COUNTIF($E170:M170,1),ColLivraison)=N$6,
  VLOOKUP($E170,INDIRECT("tri!"&amp; CHAR(64+ C0Col) &amp;":"&amp; CHAR(65+C0Col)),2,FALSE)&gt;COUNTIF($E170:M170,"u")+COUNTIF($E170:M170,"t")+COUNTIF($E170:M170,"¶")+COUNTIF($E170:M170,"²")+COUNTIF($E170:M170,"µ")+COUNTIF($E170:M170,1)),
HYPERLINK("#Roadmap!C"&amp; MATCH($E170,Roadmap!$D:$D,0)+COUNTIF($E170:M170,"u")+COUNTIF($E170:M170,"t"),
     INDEX(Roadmap!$D:$K,MATCH($E170,Roadmap!$D:$D,0)+COUNTIF($E170:M170,"u")+COUNTIF($E170:M170,"t")+COUNTIF($E170:M170,"¶")+COUNTIF($E170:M170,"²")+COUNTIF($E170:M170,"µ")+COUNTIF($E170:M170,1),ColTypeEcheance)),
  IF(LEN(M170)=1,
  IF(LEN(INDEX(Roadmap!$D:$K,MATCH($E170,Roadmap!$D:$D,0)-1+COUNTIF($E170:M170,"u")+COUNTIF($E170:M170,"t")+COUNTIF($E170:M170,"¶")+COUNTIF($E170:M170,"²")+COUNTIF($E170:M170,"µ")+COUNTIF($E170:M170,1),ColDescriptionCourte))&gt;1,
HYPERLINK("#Roadmap!C"&amp; MATCH($E170,Roadmap!$D:$D,0)+COUNTIF($E170:M170,"u")+COUNTIF($E170:M170,"t")+COUNTIF($E170:M170,"¶")+COUNTIF($E170:M170,"²")+COUNTIF($E170:M170,"µ")+COUNTIF($E170:M170,1)-1,INDEX(Roadmap!$D:$K,MATCH($E170,Roadmap!$D:$D,0)-1+COUNTIF($E170:M170,"u")+COUNTIF($E170:M170,"t")+COUNTIF($E170:M170,"¶")+COUNTIF($E170:M170,"²")+COUNTIF($E170:M170,"µ")+COUNTIF($E170:M170,1),ColDescriptionCourte)),""),
  "")),"")</f>
        <v/>
      </c>
      <c r="O170" s="40" t="str">
        <f ca="1">IFERROR(IF(AND(
  INDEX(Roadmap!$D:$K,MATCH($E170,Roadmap!$D:$D,0)+COUNTIF($E170:N170,"u")+COUNTIF($E170:N170,"t")+COUNTIF($E170:N170,"¶")+COUNTIF($E170:N170,"²")+COUNTIF($E170:N170,"µ")+COUNTIF($E170:N170,1),ColLivraison)=O$6,
  VLOOKUP($E170,INDIRECT("tri!"&amp; CHAR(64+ C0Col) &amp;":"&amp; CHAR(65+C0Col)),2,FALSE)&gt;COUNTIF($E170:N170,"u")+COUNTIF($E170:N170,"t")+COUNTIF($E170:N170,"¶")+COUNTIF($E170:N170,"²")+COUNTIF($E170:N170,"µ")+COUNTIF($E170:N170,1)),
HYPERLINK("#Roadmap!C"&amp; MATCH($E170,Roadmap!$D:$D,0)+COUNTIF($E170:N170,"u")+COUNTIF($E170:N170,"t"),
     INDEX(Roadmap!$D:$K,MATCH($E170,Roadmap!$D:$D,0)+COUNTIF($E170:N170,"u")+COUNTIF($E170:N170,"t")+COUNTIF($E170:N170,"¶")+COUNTIF($E170:N170,"²")+COUNTIF($E170:N170,"µ")+COUNTIF($E170:N170,1),ColTypeEcheance)),
  IF(LEN(N170)=1,
  IF(LEN(INDEX(Roadmap!$D:$K,MATCH($E170,Roadmap!$D:$D,0)-1+COUNTIF($E170:N170,"u")+COUNTIF($E170:N170,"t")+COUNTIF($E170:N170,"¶")+COUNTIF($E170:N170,"²")+COUNTIF($E170:N170,"µ")+COUNTIF($E170:N170,1),ColDescriptionCourte))&gt;1,
HYPERLINK("#Roadmap!C"&amp; MATCH($E170,Roadmap!$D:$D,0)+COUNTIF($E170:N170,"u")+COUNTIF($E170:N170,"t")+COUNTIF($E170:N170,"¶")+COUNTIF($E170:N170,"²")+COUNTIF($E170:N170,"µ")+COUNTIF($E170:N170,1)-1,INDEX(Roadmap!$D:$K,MATCH($E170,Roadmap!$D:$D,0)-1+COUNTIF($E170:N170,"u")+COUNTIF($E170:N170,"t")+COUNTIF($E170:N170,"¶")+COUNTIF($E170:N170,"²")+COUNTIF($E170:N170,"µ")+COUNTIF($E170:N170,1),ColDescriptionCourte)),""),
  "")),"")</f>
        <v/>
      </c>
      <c r="P170" s="40" t="str">
        <f ca="1">IFERROR(IF(AND(
  INDEX(Roadmap!$D:$K,MATCH($E170,Roadmap!$D:$D,0)+COUNTIF($E170:O170,"u")+COUNTIF($E170:O170,"t")+COUNTIF($E170:O170,"¶")+COUNTIF($E170:O170,"²")+COUNTIF($E170:O170,"µ")+COUNTIF($E170:O170,1),ColLivraison)=P$6,
  VLOOKUP($E170,INDIRECT("tri!"&amp; CHAR(64+ C0Col) &amp;":"&amp; CHAR(65+C0Col)),2,FALSE)&gt;COUNTIF($E170:O170,"u")+COUNTIF($E170:O170,"t")+COUNTIF($E170:O170,"¶")+COUNTIF($E170:O170,"²")+COUNTIF($E170:O170,"µ")+COUNTIF($E170:O170,1)),
HYPERLINK("#Roadmap!C"&amp; MATCH($E170,Roadmap!$D:$D,0)+COUNTIF($E170:O170,"u")+COUNTIF($E170:O170,"t"),
     INDEX(Roadmap!$D:$K,MATCH($E170,Roadmap!$D:$D,0)+COUNTIF($E170:O170,"u")+COUNTIF($E170:O170,"t")+COUNTIF($E170:O170,"¶")+COUNTIF($E170:O170,"²")+COUNTIF($E170:O170,"µ")+COUNTIF($E170:O170,1),ColTypeEcheance)),
  IF(LEN(O170)=1,
  IF(LEN(INDEX(Roadmap!$D:$K,MATCH($E170,Roadmap!$D:$D,0)-1+COUNTIF($E170:O170,"u")+COUNTIF($E170:O170,"t")+COUNTIF($E170:O170,"¶")+COUNTIF($E170:O170,"²")+COUNTIF($E170:O170,"µ")+COUNTIF($E170:O170,1),ColDescriptionCourte))&gt;1,
HYPERLINK("#Roadmap!C"&amp; MATCH($E170,Roadmap!$D:$D,0)+COUNTIF($E170:O170,"u")+COUNTIF($E170:O170,"t")+COUNTIF($E170:O170,"¶")+COUNTIF($E170:O170,"²")+COUNTIF($E170:O170,"µ")+COUNTIF($E170:O170,1)-1,INDEX(Roadmap!$D:$K,MATCH($E170,Roadmap!$D:$D,0)-1+COUNTIF($E170:O170,"u")+COUNTIF($E170:O170,"t")+COUNTIF($E170:O170,"¶")+COUNTIF($E170:O170,"²")+COUNTIF($E170:O170,"µ")+COUNTIF($E170:O170,1),ColDescriptionCourte)),""),
  "")),"")</f>
        <v/>
      </c>
      <c r="Q170" s="40" t="str">
        <f ca="1">IFERROR(IF(AND(
  INDEX(Roadmap!$D:$K,MATCH($E170,Roadmap!$D:$D,0)+COUNTIF($E170:P170,"u")+COUNTIF($E170:P170,"t")+COUNTIF($E170:P170,"¶")+COUNTIF($E170:P170,"²")+COUNTIF($E170:P170,"µ")+COUNTIF($E170:P170,1),ColLivraison)=Q$6,
  VLOOKUP($E170,INDIRECT("tri!"&amp; CHAR(64+ C0Col) &amp;":"&amp; CHAR(65+C0Col)),2,FALSE)&gt;COUNTIF($E170:P170,"u")+COUNTIF($E170:P170,"t")+COUNTIF($E170:P170,"¶")+COUNTIF($E170:P170,"²")+COUNTIF($E170:P170,"µ")+COUNTIF($E170:P170,1)),
HYPERLINK("#Roadmap!C"&amp; MATCH($E170,Roadmap!$D:$D,0)+COUNTIF($E170:P170,"u")+COUNTIF($E170:P170,"t"),
     INDEX(Roadmap!$D:$K,MATCH($E170,Roadmap!$D:$D,0)+COUNTIF($E170:P170,"u")+COUNTIF($E170:P170,"t")+COUNTIF($E170:P170,"¶")+COUNTIF($E170:P170,"²")+COUNTIF($E170:P170,"µ")+COUNTIF($E170:P170,1),ColTypeEcheance)),
  IF(LEN(P170)=1,
  IF(LEN(INDEX(Roadmap!$D:$K,MATCH($E170,Roadmap!$D:$D,0)-1+COUNTIF($E170:P170,"u")+COUNTIF($E170:P170,"t")+COUNTIF($E170:P170,"¶")+COUNTIF($E170:P170,"²")+COUNTIF($E170:P170,"µ")+COUNTIF($E170:P170,1),ColDescriptionCourte))&gt;1,
HYPERLINK("#Roadmap!C"&amp; MATCH($E170,Roadmap!$D:$D,0)+COUNTIF($E170:P170,"u")+COUNTIF($E170:P170,"t")+COUNTIF($E170:P170,"¶")+COUNTIF($E170:P170,"²")+COUNTIF($E170:P170,"µ")+COUNTIF($E170:P170,1)-1,INDEX(Roadmap!$D:$K,MATCH($E170,Roadmap!$D:$D,0)-1+COUNTIF($E170:P170,"u")+COUNTIF($E170:P170,"t")+COUNTIF($E170:P170,"¶")+COUNTIF($E170:P170,"²")+COUNTIF($E170:P170,"µ")+COUNTIF($E170:P170,1),ColDescriptionCourte)),""),
  "")),"")</f>
        <v/>
      </c>
      <c r="R170" s="40" t="str">
        <f ca="1">IFERROR(IF(AND(
  INDEX(Roadmap!$D:$K,MATCH($E170,Roadmap!$D:$D,0)+COUNTIF($E170:Q170,"u")+COUNTIF($E170:Q170,"t")+COUNTIF($E170:Q170,"¶")+COUNTIF($E170:Q170,"²")+COUNTIF($E170:Q170,"µ")+COUNTIF($E170:Q170,1),ColLivraison)=R$6,
  VLOOKUP($E170,INDIRECT("tri!"&amp; CHAR(64+ C0Col) &amp;":"&amp; CHAR(65+C0Col)),2,FALSE)&gt;COUNTIF($E170:Q170,"u")+COUNTIF($E170:Q170,"t")+COUNTIF($E170:Q170,"¶")+COUNTIF($E170:Q170,"²")+COUNTIF($E170:Q170,"µ")+COUNTIF($E170:Q170,1)),
HYPERLINK("#Roadmap!C"&amp; MATCH($E170,Roadmap!$D:$D,0)+COUNTIF($E170:Q170,"u")+COUNTIF($E170:Q170,"t"),
     INDEX(Roadmap!$D:$K,MATCH($E170,Roadmap!$D:$D,0)+COUNTIF($E170:Q170,"u")+COUNTIF($E170:Q170,"t")+COUNTIF($E170:Q170,"¶")+COUNTIF($E170:Q170,"²")+COUNTIF($E170:Q170,"µ")+COUNTIF($E170:Q170,1),ColTypeEcheance)),
  IF(LEN(Q170)=1,
  IF(LEN(INDEX(Roadmap!$D:$K,MATCH($E170,Roadmap!$D:$D,0)-1+COUNTIF($E170:Q170,"u")+COUNTIF($E170:Q170,"t")+COUNTIF($E170:Q170,"¶")+COUNTIF($E170:Q170,"²")+COUNTIF($E170:Q170,"µ")+COUNTIF($E170:Q170,1),ColDescriptionCourte))&gt;1,
HYPERLINK("#Roadmap!C"&amp; MATCH($E170,Roadmap!$D:$D,0)+COUNTIF($E170:Q170,"u")+COUNTIF($E170:Q170,"t")+COUNTIF($E170:Q170,"¶")+COUNTIF($E170:Q170,"²")+COUNTIF($E170:Q170,"µ")+COUNTIF($E170:Q170,1)-1,INDEX(Roadmap!$D:$K,MATCH($E170,Roadmap!$D:$D,0)-1+COUNTIF($E170:Q170,"u")+COUNTIF($E170:Q170,"t")+COUNTIF($E170:Q170,"¶")+COUNTIF($E170:Q170,"²")+COUNTIF($E170:Q170,"µ")+COUNTIF($E170:Q170,1),ColDescriptionCourte)),""),
  "")),"")</f>
        <v/>
      </c>
      <c r="S170" s="40" t="str">
        <f ca="1">IFERROR(IF(AND(
  INDEX(Roadmap!$D:$K,MATCH($E170,Roadmap!$D:$D,0)+COUNTIF($E170:R170,"u")+COUNTIF($E170:R170,"t")+COUNTIF($E170:R170,"¶")+COUNTIF($E170:R170,"²")+COUNTIF($E170:R170,"µ")+COUNTIF($E170:R170,1),ColLivraison)=S$6,
  VLOOKUP($E170,INDIRECT("tri!"&amp; CHAR(64+ C0Col) &amp;":"&amp; CHAR(65+C0Col)),2,FALSE)&gt;COUNTIF($E170:R170,"u")+COUNTIF($E170:R170,"t")+COUNTIF($E170:R170,"¶")+COUNTIF($E170:R170,"²")+COUNTIF($E170:R170,"µ")+COUNTIF($E170:R170,1)),
HYPERLINK("#Roadmap!C"&amp; MATCH($E170,Roadmap!$D:$D,0)+COUNTIF($E170:R170,"u")+COUNTIF($E170:R170,"t"),
     INDEX(Roadmap!$D:$K,MATCH($E170,Roadmap!$D:$D,0)+COUNTIF($E170:R170,"u")+COUNTIF($E170:R170,"t")+COUNTIF($E170:R170,"¶")+COUNTIF($E170:R170,"²")+COUNTIF($E170:R170,"µ")+COUNTIF($E170:R170,1),ColTypeEcheance)),
  IF(LEN(R170)=1,
  IF(LEN(INDEX(Roadmap!$D:$K,MATCH($E170,Roadmap!$D:$D,0)-1+COUNTIF($E170:R170,"u")+COUNTIF($E170:R170,"t")+COUNTIF($E170:R170,"¶")+COUNTIF($E170:R170,"²")+COUNTIF($E170:R170,"µ")+COUNTIF($E170:R170,1),ColDescriptionCourte))&gt;1,
HYPERLINK("#Roadmap!C"&amp; MATCH($E170,Roadmap!$D:$D,0)+COUNTIF($E170:R170,"u")+COUNTIF($E170:R170,"t")+COUNTIF($E170:R170,"¶")+COUNTIF($E170:R170,"²")+COUNTIF($E170:R170,"µ")+COUNTIF($E170:R170,1)-1,INDEX(Roadmap!$D:$K,MATCH($E170,Roadmap!$D:$D,0)-1+COUNTIF($E170:R170,"u")+COUNTIF($E170:R170,"t")+COUNTIF($E170:R170,"¶")+COUNTIF($E170:R170,"²")+COUNTIF($E170:R170,"µ")+COUNTIF($E170:R170,1),ColDescriptionCourte)),""),
  "")),"")</f>
        <v/>
      </c>
      <c r="T170" s="40" t="str">
        <f ca="1">IFERROR(IF(AND(
  INDEX(Roadmap!$D:$K,MATCH($E170,Roadmap!$D:$D,0)+COUNTIF($E170:S170,"u")+COUNTIF($E170:S170,"t")+COUNTIF($E170:S170,"¶")+COUNTIF($E170:S170,"²")+COUNTIF($E170:S170,"µ")+COUNTIF($E170:S170,1),ColLivraison)=T$6,
  VLOOKUP($E170,INDIRECT("tri!"&amp; CHAR(64+ C0Col) &amp;":"&amp; CHAR(65+C0Col)),2,FALSE)&gt;COUNTIF($E170:S170,"u")+COUNTIF($E170:S170,"t")+COUNTIF($E170:S170,"¶")+COUNTIF($E170:S170,"²")+COUNTIF($E170:S170,"µ")+COUNTIF($E170:S170,1)),
HYPERLINK("#Roadmap!C"&amp; MATCH($E170,Roadmap!$D:$D,0)+COUNTIF($E170:S170,"u")+COUNTIF($E170:S170,"t"),
     INDEX(Roadmap!$D:$K,MATCH($E170,Roadmap!$D:$D,0)+COUNTIF($E170:S170,"u")+COUNTIF($E170:S170,"t")+COUNTIF($E170:S170,"¶")+COUNTIF($E170:S170,"²")+COUNTIF($E170:S170,"µ")+COUNTIF($E170:S170,1),ColTypeEcheance)),
  IF(LEN(S170)=1,
  IF(LEN(INDEX(Roadmap!$D:$K,MATCH($E170,Roadmap!$D:$D,0)-1+COUNTIF($E170:S170,"u")+COUNTIF($E170:S170,"t")+COUNTIF($E170:S170,"¶")+COUNTIF($E170:S170,"²")+COUNTIF($E170:S170,"µ")+COUNTIF($E170:S170,1),ColDescriptionCourte))&gt;1,
HYPERLINK("#Roadmap!C"&amp; MATCH($E170,Roadmap!$D:$D,0)+COUNTIF($E170:S170,"u")+COUNTIF($E170:S170,"t")+COUNTIF($E170:S170,"¶")+COUNTIF($E170:S170,"²")+COUNTIF($E170:S170,"µ")+COUNTIF($E170:S170,1)-1,INDEX(Roadmap!$D:$K,MATCH($E170,Roadmap!$D:$D,0)-1+COUNTIF($E170:S170,"u")+COUNTIF($E170:S170,"t")+COUNTIF($E170:S170,"¶")+COUNTIF($E170:S170,"²")+COUNTIF($E170:S170,"µ")+COUNTIF($E170:S170,1),ColDescriptionCourte)),""),
  "")),"")</f>
        <v/>
      </c>
      <c r="U170" s="40" t="str">
        <f ca="1">IFERROR(IF(AND(
  INDEX(Roadmap!$D:$K,MATCH($E170,Roadmap!$D:$D,0)+COUNTIF($E170:T170,"u")+COUNTIF($E170:T170,"t")+COUNTIF($E170:T170,"¶")+COUNTIF($E170:T170,"²")+COUNTIF($E170:T170,"µ")+COUNTIF($E170:T170,1),ColLivraison)=U$6,
  VLOOKUP($E170,INDIRECT("tri!"&amp; CHAR(64+ C0Col) &amp;":"&amp; CHAR(65+C0Col)),2,FALSE)&gt;COUNTIF($E170:T170,"u")+COUNTIF($E170:T170,"t")+COUNTIF($E170:T170,"¶")+COUNTIF($E170:T170,"²")+COUNTIF($E170:T170,"µ")+COUNTIF($E170:T170,1)),
HYPERLINK("#Roadmap!C"&amp; MATCH($E170,Roadmap!$D:$D,0)+COUNTIF($E170:T170,"u")+COUNTIF($E170:T170,"t"),
     INDEX(Roadmap!$D:$K,MATCH($E170,Roadmap!$D:$D,0)+COUNTIF($E170:T170,"u")+COUNTIF($E170:T170,"t")+COUNTIF($E170:T170,"¶")+COUNTIF($E170:T170,"²")+COUNTIF($E170:T170,"µ")+COUNTIF($E170:T170,1),ColTypeEcheance)),
  IF(LEN(T170)=1,
  IF(LEN(INDEX(Roadmap!$D:$K,MATCH($E170,Roadmap!$D:$D,0)-1+COUNTIF($E170:T170,"u")+COUNTIF($E170:T170,"t")+COUNTIF($E170:T170,"¶")+COUNTIF($E170:T170,"²")+COUNTIF($E170:T170,"µ")+COUNTIF($E170:T170,1),ColDescriptionCourte))&gt;1,
HYPERLINK("#Roadmap!C"&amp; MATCH($E170,Roadmap!$D:$D,0)+COUNTIF($E170:T170,"u")+COUNTIF($E170:T170,"t")+COUNTIF($E170:T170,"¶")+COUNTIF($E170:T170,"²")+COUNTIF($E170:T170,"µ")+COUNTIF($E170:T170,1)-1,INDEX(Roadmap!$D:$K,MATCH($E170,Roadmap!$D:$D,0)-1+COUNTIF($E170:T170,"u")+COUNTIF($E170:T170,"t")+COUNTIF($E170:T170,"¶")+COUNTIF($E170:T170,"²")+COUNTIF($E170:T170,"µ")+COUNTIF($E170:T170,1),ColDescriptionCourte)),""),
  "")),"")</f>
        <v/>
      </c>
      <c r="V170" s="40" t="str">
        <f ca="1">IFERROR(IF(AND(
  INDEX(Roadmap!$D:$K,MATCH($E170,Roadmap!$D:$D,0)+COUNTIF($E170:U170,"u")+COUNTIF($E170:U170,"t")+COUNTIF($E170:U170,"¶")+COUNTIF($E170:U170,"²")+COUNTIF($E170:U170,"µ")+COUNTIF($E170:U170,1),ColLivraison)=V$6,
  VLOOKUP($E170,INDIRECT("tri!"&amp; CHAR(64+ C0Col) &amp;":"&amp; CHAR(65+C0Col)),2,FALSE)&gt;COUNTIF($E170:U170,"u")+COUNTIF($E170:U170,"t")+COUNTIF($E170:U170,"¶")+COUNTIF($E170:U170,"²")+COUNTIF($E170:U170,"µ")+COUNTIF($E170:U170,1)),
HYPERLINK("#Roadmap!C"&amp; MATCH($E170,Roadmap!$D:$D,0)+COUNTIF($E170:U170,"u")+COUNTIF($E170:U170,"t"),
     INDEX(Roadmap!$D:$K,MATCH($E170,Roadmap!$D:$D,0)+COUNTIF($E170:U170,"u")+COUNTIF($E170:U170,"t")+COUNTIF($E170:U170,"¶")+COUNTIF($E170:U170,"²")+COUNTIF($E170:U170,"µ")+COUNTIF($E170:U170,1),ColTypeEcheance)),
  IF(LEN(U170)=1,
  IF(LEN(INDEX(Roadmap!$D:$K,MATCH($E170,Roadmap!$D:$D,0)-1+COUNTIF($E170:U170,"u")+COUNTIF($E170:U170,"t")+COUNTIF($E170:U170,"¶")+COUNTIF($E170:U170,"²")+COUNTIF($E170:U170,"µ")+COUNTIF($E170:U170,1),ColDescriptionCourte))&gt;1,
HYPERLINK("#Roadmap!C"&amp; MATCH($E170,Roadmap!$D:$D,0)+COUNTIF($E170:U170,"u")+COUNTIF($E170:U170,"t")+COUNTIF($E170:U170,"¶")+COUNTIF($E170:U170,"²")+COUNTIF($E170:U170,"µ")+COUNTIF($E170:U170,1)-1,INDEX(Roadmap!$D:$K,MATCH($E170,Roadmap!$D:$D,0)-1+COUNTIF($E170:U170,"u")+COUNTIF($E170:U170,"t")+COUNTIF($E170:U170,"¶")+COUNTIF($E170:U170,"²")+COUNTIF($E170:U170,"µ")+COUNTIF($E170:U170,1),ColDescriptionCourte)),""),
  "")),"")</f>
        <v/>
      </c>
      <c r="W170" s="40" t="str">
        <f ca="1">IFERROR(IF(AND(
  INDEX(Roadmap!$D:$K,MATCH($E170,Roadmap!$D:$D,0)+COUNTIF($E170:V170,"u")+COUNTIF($E170:V170,"t")+COUNTIF($E170:V170,"¶")+COUNTIF($E170:V170,"²")+COUNTIF($E170:V170,"µ")+COUNTIF($E170:V170,1),ColLivraison)=W$6,
  VLOOKUP($E170,INDIRECT("tri!"&amp; CHAR(64+ C0Col) &amp;":"&amp; CHAR(65+C0Col)),2,FALSE)&gt;COUNTIF($E170:V170,"u")+COUNTIF($E170:V170,"t")+COUNTIF($E170:V170,"¶")+COUNTIF($E170:V170,"²")+COUNTIF($E170:V170,"µ")+COUNTIF($E170:V170,1)),
HYPERLINK("#Roadmap!C"&amp; MATCH($E170,Roadmap!$D:$D,0)+COUNTIF($E170:V170,"u")+COUNTIF($E170:V170,"t"),
     INDEX(Roadmap!$D:$K,MATCH($E170,Roadmap!$D:$D,0)+COUNTIF($E170:V170,"u")+COUNTIF($E170:V170,"t")+COUNTIF($E170:V170,"¶")+COUNTIF($E170:V170,"²")+COUNTIF($E170:V170,"µ")+COUNTIF($E170:V170,1),ColTypeEcheance)),
  IF(LEN(V170)=1,
  IF(LEN(INDEX(Roadmap!$D:$K,MATCH($E170,Roadmap!$D:$D,0)-1+COUNTIF($E170:V170,"u")+COUNTIF($E170:V170,"t")+COUNTIF($E170:V170,"¶")+COUNTIF($E170:V170,"²")+COUNTIF($E170:V170,"µ")+COUNTIF($E170:V170,1),ColDescriptionCourte))&gt;1,
HYPERLINK("#Roadmap!C"&amp; MATCH($E170,Roadmap!$D:$D,0)+COUNTIF($E170:V170,"u")+COUNTIF($E170:V170,"t")+COUNTIF($E170:V170,"¶")+COUNTIF($E170:V170,"²")+COUNTIF($E170:V170,"µ")+COUNTIF($E170:V170,1)-1,INDEX(Roadmap!$D:$K,MATCH($E170,Roadmap!$D:$D,0)-1+COUNTIF($E170:V170,"u")+COUNTIF($E170:V170,"t")+COUNTIF($E170:V170,"¶")+COUNTIF($E170:V170,"²")+COUNTIF($E170:V170,"µ")+COUNTIF($E170:V170,1),ColDescriptionCourte)),""),
  "")),"")</f>
        <v/>
      </c>
      <c r="X170" s="40" t="str">
        <f ca="1">IFERROR(IF(AND(
  INDEX(Roadmap!$D:$K,MATCH($E170,Roadmap!$D:$D,0)+COUNTIF($E170:W170,"u")+COUNTIF($E170:W170,"t")+COUNTIF($E170:W170,"¶")+COUNTIF($E170:W170,"²")+COUNTIF($E170:W170,"µ")+COUNTIF($E170:W170,1),ColLivraison)=X$6,
  VLOOKUP($E170,INDIRECT("tri!"&amp; CHAR(64+ C0Col) &amp;":"&amp; CHAR(65+C0Col)),2,FALSE)&gt;COUNTIF($E170:W170,"u")+COUNTIF($E170:W170,"t")+COUNTIF($E170:W170,"¶")+COUNTIF($E170:W170,"²")+COUNTIF($E170:W170,"µ")+COUNTIF($E170:W170,1)),
HYPERLINK("#Roadmap!C"&amp; MATCH($E170,Roadmap!$D:$D,0)+COUNTIF($E170:W170,"u")+COUNTIF($E170:W170,"t"),
     INDEX(Roadmap!$D:$K,MATCH($E170,Roadmap!$D:$D,0)+COUNTIF($E170:W170,"u")+COUNTIF($E170:W170,"t")+COUNTIF($E170:W170,"¶")+COUNTIF($E170:W170,"²")+COUNTIF($E170:W170,"µ")+COUNTIF($E170:W170,1),ColTypeEcheance)),
  IF(LEN(W170)=1,
  IF(LEN(INDEX(Roadmap!$D:$K,MATCH($E170,Roadmap!$D:$D,0)-1+COUNTIF($E170:W170,"u")+COUNTIF($E170:W170,"t")+COUNTIF($E170:W170,"¶")+COUNTIF($E170:W170,"²")+COUNTIF($E170:W170,"µ")+COUNTIF($E170:W170,1),ColDescriptionCourte))&gt;1,
HYPERLINK("#Roadmap!C"&amp; MATCH($E170,Roadmap!$D:$D,0)+COUNTIF($E170:W170,"u")+COUNTIF($E170:W170,"t")+COUNTIF($E170:W170,"¶")+COUNTIF($E170:W170,"²")+COUNTIF($E170:W170,"µ")+COUNTIF($E170:W170,1)-1,INDEX(Roadmap!$D:$K,MATCH($E170,Roadmap!$D:$D,0)-1+COUNTIF($E170:W170,"u")+COUNTIF($E170:W170,"t")+COUNTIF($E170:W170,"¶")+COUNTIF($E170:W170,"²")+COUNTIF($E170:W170,"µ")+COUNTIF($E170:W170,1),ColDescriptionCourte)),""),
  "")),"")</f>
        <v/>
      </c>
      <c r="Y170" s="40" t="str">
        <f ca="1">IFERROR(IF(AND(
  INDEX(Roadmap!$D:$K,MATCH($E170,Roadmap!$D:$D,0)+COUNTIF($E170:X170,"u")+COUNTIF($E170:X170,"t")+COUNTIF($E170:X170,"¶")+COUNTIF($E170:X170,"²")+COUNTIF($E170:X170,"µ")+COUNTIF($E170:X170,1),ColLivraison)=Y$6,
  VLOOKUP($E170,INDIRECT("tri!"&amp; CHAR(64+ C0Col) &amp;":"&amp; CHAR(65+C0Col)),2,FALSE)&gt;COUNTIF($E170:X170,"u")+COUNTIF($E170:X170,"t")+COUNTIF($E170:X170,"¶")+COUNTIF($E170:X170,"²")+COUNTIF($E170:X170,"µ")+COUNTIF($E170:X170,1)),
HYPERLINK("#Roadmap!C"&amp; MATCH($E170,Roadmap!$D:$D,0)+COUNTIF($E170:X170,"u")+COUNTIF($E170:X170,"t"),
     INDEX(Roadmap!$D:$K,MATCH($E170,Roadmap!$D:$D,0)+COUNTIF($E170:X170,"u")+COUNTIF($E170:X170,"t")+COUNTIF($E170:X170,"¶")+COUNTIF($E170:X170,"²")+COUNTIF($E170:X170,"µ")+COUNTIF($E170:X170,1),ColTypeEcheance)),
  IF(LEN(X170)=1,
  IF(LEN(INDEX(Roadmap!$D:$K,MATCH($E170,Roadmap!$D:$D,0)-1+COUNTIF($E170:X170,"u")+COUNTIF($E170:X170,"t")+COUNTIF($E170:X170,"¶")+COUNTIF($E170:X170,"²")+COUNTIF($E170:X170,"µ")+COUNTIF($E170:X170,1),ColDescriptionCourte))&gt;1,
HYPERLINK("#Roadmap!C"&amp; MATCH($E170,Roadmap!$D:$D,0)+COUNTIF($E170:X170,"u")+COUNTIF($E170:X170,"t")+COUNTIF($E170:X170,"¶")+COUNTIF($E170:X170,"²")+COUNTIF($E170:X170,"µ")+COUNTIF($E170:X170,1)-1,INDEX(Roadmap!$D:$K,MATCH($E170,Roadmap!$D:$D,0)-1+COUNTIF($E170:X170,"u")+COUNTIF($E170:X170,"t")+COUNTIF($E170:X170,"¶")+COUNTIF($E170:X170,"²")+COUNTIF($E170:X170,"µ")+COUNTIF($E170:X170,1),ColDescriptionCourte)),""),
  "")),"")</f>
        <v/>
      </c>
      <c r="Z170" s="40" t="str">
        <f ca="1">IFERROR(IF(AND(
  INDEX(Roadmap!$D:$K,MATCH($E170,Roadmap!$D:$D,0)+COUNTIF($E170:Y170,"u")+COUNTIF($E170:Y170,"t")+COUNTIF($E170:Y170,"¶")+COUNTIF($E170:Y170,"²")+COUNTIF($E170:Y170,"µ")+COUNTIF($E170:Y170,1),ColLivraison)=Z$6,
  VLOOKUP($E170,INDIRECT("tri!"&amp; CHAR(64+ C0Col) &amp;":"&amp; CHAR(65+C0Col)),2,FALSE)&gt;COUNTIF($E170:Y170,"u")+COUNTIF($E170:Y170,"t")+COUNTIF($E170:Y170,"¶")+COUNTIF($E170:Y170,"²")+COUNTIF($E170:Y170,"µ")+COUNTIF($E170:Y170,1)),
HYPERLINK("#Roadmap!C"&amp; MATCH($E170,Roadmap!$D:$D,0)+COUNTIF($E170:Y170,"u")+COUNTIF($E170:Y170,"t"),
     INDEX(Roadmap!$D:$K,MATCH($E170,Roadmap!$D:$D,0)+COUNTIF($E170:Y170,"u")+COUNTIF($E170:Y170,"t")+COUNTIF($E170:Y170,"¶")+COUNTIF($E170:Y170,"²")+COUNTIF($E170:Y170,"µ")+COUNTIF($E170:Y170,1),ColTypeEcheance)),
  IF(LEN(Y170)=1,
  IF(LEN(INDEX(Roadmap!$D:$K,MATCH($E170,Roadmap!$D:$D,0)-1+COUNTIF($E170:Y170,"u")+COUNTIF($E170:Y170,"t")+COUNTIF($E170:Y170,"¶")+COUNTIF($E170:Y170,"²")+COUNTIF($E170:Y170,"µ")+COUNTIF($E170:Y170,1),ColDescriptionCourte))&gt;1,
HYPERLINK("#Roadmap!C"&amp; MATCH($E170,Roadmap!$D:$D,0)+COUNTIF($E170:Y170,"u")+COUNTIF($E170:Y170,"t")+COUNTIF($E170:Y170,"¶")+COUNTIF($E170:Y170,"²")+COUNTIF($E170:Y170,"µ")+COUNTIF($E170:Y170,1)-1,INDEX(Roadmap!$D:$K,MATCH($E170,Roadmap!$D:$D,0)-1+COUNTIF($E170:Y170,"u")+COUNTIF($E170:Y170,"t")+COUNTIF($E170:Y170,"¶")+COUNTIF($E170:Y170,"²")+COUNTIF($E170:Y170,"µ")+COUNTIF($E170:Y170,1),ColDescriptionCourte)),""),
  "")),"")</f>
        <v/>
      </c>
      <c r="AA170" s="40" t="str">
        <f ca="1">IFERROR(IF(AND(
  INDEX(Roadmap!$D:$K,MATCH($E170,Roadmap!$D:$D,0)+COUNTIF($E170:Z170,"u")+COUNTIF($E170:Z170,"t")+COUNTIF($E170:Z170,"¶")+COUNTIF($E170:Z170,"²")+COUNTIF($E170:Z170,"µ")+COUNTIF($E170:Z170,1),ColLivraison)=AA$6,
  VLOOKUP($E170,INDIRECT("tri!"&amp; CHAR(64+ C0Col) &amp;":"&amp; CHAR(65+C0Col)),2,FALSE)&gt;COUNTIF($E170:Z170,"u")+COUNTIF($E170:Z170,"t")+COUNTIF($E170:Z170,"¶")+COUNTIF($E170:Z170,"²")+COUNTIF($E170:Z170,"µ")+COUNTIF($E170:Z170,1)),
HYPERLINK("#Roadmap!C"&amp; MATCH($E170,Roadmap!$D:$D,0)+COUNTIF($E170:Z170,"u")+COUNTIF($E170:Z170,"t"),
     INDEX(Roadmap!$D:$K,MATCH($E170,Roadmap!$D:$D,0)+COUNTIF($E170:Z170,"u")+COUNTIF($E170:Z170,"t")+COUNTIF($E170:Z170,"¶")+COUNTIF($E170:Z170,"²")+COUNTIF($E170:Z170,"µ")+COUNTIF($E170:Z170,1),ColTypeEcheance)),
  IF(LEN(Z170)=1,
  IF(LEN(INDEX(Roadmap!$D:$K,MATCH($E170,Roadmap!$D:$D,0)-1+COUNTIF($E170:Z170,"u")+COUNTIF($E170:Z170,"t")+COUNTIF($E170:Z170,"¶")+COUNTIF($E170:Z170,"²")+COUNTIF($E170:Z170,"µ")+COUNTIF($E170:Z170,1),ColDescriptionCourte))&gt;1,
HYPERLINK("#Roadmap!C"&amp; MATCH($E170,Roadmap!$D:$D,0)+COUNTIF($E170:Z170,"u")+COUNTIF($E170:Z170,"t")+COUNTIF($E170:Z170,"¶")+COUNTIF($E170:Z170,"²")+COUNTIF($E170:Z170,"µ")+COUNTIF($E170:Z170,1)-1,INDEX(Roadmap!$D:$K,MATCH($E170,Roadmap!$D:$D,0)-1+COUNTIF($E170:Z170,"u")+COUNTIF($E170:Z170,"t")+COUNTIF($E170:Z170,"¶")+COUNTIF($E170:Z170,"²")+COUNTIF($E170:Z170,"µ")+COUNTIF($E170:Z170,1),ColDescriptionCourte)),""),
  "")),"")</f>
        <v/>
      </c>
      <c r="AB170" s="40" t="str">
        <f ca="1">IFERROR(IF(AND(
  INDEX(Roadmap!$D:$K,MATCH($E170,Roadmap!$D:$D,0)+COUNTIF($E170:AA170,"u")+COUNTIF($E170:AA170,"t")+COUNTIF($E170:AA170,"¶")+COUNTIF($E170:AA170,"²")+COUNTIF($E170:AA170,"µ")+COUNTIF($E170:AA170,1),ColLivraison)=AB$6,
  VLOOKUP($E170,INDIRECT("tri!"&amp; CHAR(64+ C0Col) &amp;":"&amp; CHAR(65+C0Col)),2,FALSE)&gt;COUNTIF($E170:AA170,"u")+COUNTIF($E170:AA170,"t")+COUNTIF($E170:AA170,"¶")+COUNTIF($E170:AA170,"²")+COUNTIF($E170:AA170,"µ")+COUNTIF($E170:AA170,1)),
HYPERLINK("#Roadmap!C"&amp; MATCH($E170,Roadmap!$D:$D,0)+COUNTIF($E170:AA170,"u")+COUNTIF($E170:AA170,"t"),
     INDEX(Roadmap!$D:$K,MATCH($E170,Roadmap!$D:$D,0)+COUNTIF($E170:AA170,"u")+COUNTIF($E170:AA170,"t")+COUNTIF($E170:AA170,"¶")+COUNTIF($E170:AA170,"²")+COUNTIF($E170:AA170,"µ")+COUNTIF($E170:AA170,1),ColTypeEcheance)),
  IF(LEN(AA170)=1,
  IF(LEN(INDEX(Roadmap!$D:$K,MATCH($E170,Roadmap!$D:$D,0)-1+COUNTIF($E170:AA170,"u")+COUNTIF($E170:AA170,"t")+COUNTIF($E170:AA170,"¶")+COUNTIF($E170:AA170,"²")+COUNTIF($E170:AA170,"µ")+COUNTIF($E170:AA170,1),ColDescriptionCourte))&gt;1,
HYPERLINK("#Roadmap!C"&amp; MATCH($E170,Roadmap!$D:$D,0)+COUNTIF($E170:AA170,"u")+COUNTIF($E170:AA170,"t")+COUNTIF($E170:AA170,"¶")+COUNTIF($E170:AA170,"²")+COUNTIF($E170:AA170,"µ")+COUNTIF($E170:AA170,1)-1,INDEX(Roadmap!$D:$K,MATCH($E170,Roadmap!$D:$D,0)-1+COUNTIF($E170:AA170,"u")+COUNTIF($E170:AA170,"t")+COUNTIF($E170:AA170,"¶")+COUNTIF($E170:AA170,"²")+COUNTIF($E170:AA170,"µ")+COUNTIF($E170:AA170,1),ColDescriptionCourte)),""),
  "")),"")</f>
        <v/>
      </c>
      <c r="AC170" s="40" t="str">
        <f ca="1">IFERROR(IF(AND(
  INDEX(Roadmap!$D:$K,MATCH($E170,Roadmap!$D:$D,0)+COUNTIF($E170:AB170,"u")+COUNTIF($E170:AB170,"t")+COUNTIF($E170:AB170,"¶")+COUNTIF($E170:AB170,"²")+COUNTIF($E170:AB170,"µ")+COUNTIF($E170:AB170,1),ColLivraison)=AC$6,
  VLOOKUP($E170,INDIRECT("tri!"&amp; CHAR(64+ C0Col) &amp;":"&amp; CHAR(65+C0Col)),2,FALSE)&gt;COUNTIF($E170:AB170,"u")+COUNTIF($E170:AB170,"t")+COUNTIF($E170:AB170,"¶")+COUNTIF($E170:AB170,"²")+COUNTIF($E170:AB170,"µ")+COUNTIF($E170:AB170,1)),
HYPERLINK("#Roadmap!C"&amp; MATCH($E170,Roadmap!$D:$D,0)+COUNTIF($E170:AB170,"u")+COUNTIF($E170:AB170,"t"),
     INDEX(Roadmap!$D:$K,MATCH($E170,Roadmap!$D:$D,0)+COUNTIF($E170:AB170,"u")+COUNTIF($E170:AB170,"t")+COUNTIF($E170:AB170,"¶")+COUNTIF($E170:AB170,"²")+COUNTIF($E170:AB170,"µ")+COUNTIF($E170:AB170,1),ColTypeEcheance)),
  IF(LEN(AB170)=1,
  IF(LEN(INDEX(Roadmap!$D:$K,MATCH($E170,Roadmap!$D:$D,0)-1+COUNTIF($E170:AB170,"u")+COUNTIF($E170:AB170,"t")+COUNTIF($E170:AB170,"¶")+COUNTIF($E170:AB170,"²")+COUNTIF($E170:AB170,"µ")+COUNTIF($E170:AB170,1),ColDescriptionCourte))&gt;1,
HYPERLINK("#Roadmap!C"&amp; MATCH($E170,Roadmap!$D:$D,0)+COUNTIF($E170:AB170,"u")+COUNTIF($E170:AB170,"t")+COUNTIF($E170:AB170,"¶")+COUNTIF($E170:AB170,"²")+COUNTIF($E170:AB170,"µ")+COUNTIF($E170:AB170,1)-1,INDEX(Roadmap!$D:$K,MATCH($E170,Roadmap!$D:$D,0)-1+COUNTIF($E170:AB170,"u")+COUNTIF($E170:AB170,"t")+COUNTIF($E170:AB170,"¶")+COUNTIF($E170:AB170,"²")+COUNTIF($E170:AB170,"µ")+COUNTIF($E170:AB170,1),ColDescriptionCourte)),""),
  "")),"")</f>
        <v/>
      </c>
      <c r="AD170" s="40" t="str">
        <f ca="1">IFERROR(IF(AND(
  INDEX(Roadmap!$D:$K,MATCH($E170,Roadmap!$D:$D,0)+COUNTIF($E170:AC170,"u")+COUNTIF($E170:AC170,"t")+COUNTIF($E170:AC170,"¶")+COUNTIF($E170:AC170,"²")+COUNTIF($E170:AC170,"µ")+COUNTIF($E170:AC170,1),ColLivraison)=AD$6,
  VLOOKUP($E170,INDIRECT("tri!"&amp; CHAR(64+ C0Col) &amp;":"&amp; CHAR(65+C0Col)),2,FALSE)&gt;COUNTIF($E170:AC170,"u")+COUNTIF($E170:AC170,"t")+COUNTIF($E170:AC170,"¶")+COUNTIF($E170:AC170,"²")+COUNTIF($E170:AC170,"µ")+COUNTIF($E170:AC170,1)),
HYPERLINK("#Roadmap!C"&amp; MATCH($E170,Roadmap!$D:$D,0)+COUNTIF($E170:AC170,"u")+COUNTIF($E170:AC170,"t"),
     INDEX(Roadmap!$D:$K,MATCH($E170,Roadmap!$D:$D,0)+COUNTIF($E170:AC170,"u")+COUNTIF($E170:AC170,"t")+COUNTIF($E170:AC170,"¶")+COUNTIF($E170:AC170,"²")+COUNTIF($E170:AC170,"µ")+COUNTIF($E170:AC170,1),ColTypeEcheance)),
  IF(LEN(AC170)=1,
  IF(LEN(INDEX(Roadmap!$D:$K,MATCH($E170,Roadmap!$D:$D,0)-1+COUNTIF($E170:AC170,"u")+COUNTIF($E170:AC170,"t")+COUNTIF($E170:AC170,"¶")+COUNTIF($E170:AC170,"²")+COUNTIF($E170:AC170,"µ")+COUNTIF($E170:AC170,1),ColDescriptionCourte))&gt;1,
HYPERLINK("#Roadmap!C"&amp; MATCH($E170,Roadmap!$D:$D,0)+COUNTIF($E170:AC170,"u")+COUNTIF($E170:AC170,"t")+COUNTIF($E170:AC170,"¶")+COUNTIF($E170:AC170,"²")+COUNTIF($E170:AC170,"µ")+COUNTIF($E170:AC170,1)-1,INDEX(Roadmap!$D:$K,MATCH($E170,Roadmap!$D:$D,0)-1+COUNTIF($E170:AC170,"u")+COUNTIF($E170:AC170,"t")+COUNTIF($E170:AC170,"¶")+COUNTIF($E170:AC170,"²")+COUNTIF($E170:AC170,"µ")+COUNTIF($E170:AC170,1),ColDescriptionCourte)),""),
  "")),"")</f>
        <v/>
      </c>
      <c r="AE170" s="40" t="str">
        <f ca="1">IFERROR(IF(AND(
  INDEX(Roadmap!$D:$K,MATCH($E170,Roadmap!$D:$D,0)+COUNTIF($E170:AD170,"u")+COUNTIF($E170:AD170,"t")+COUNTIF($E170:AD170,"¶")+COUNTIF($E170:AD170,"²")+COUNTIF($E170:AD170,"µ")+COUNTIF($E170:AD170,1),ColLivraison)=AE$6,
  VLOOKUP($E170,INDIRECT("tri!"&amp; CHAR(64+ C0Col) &amp;":"&amp; CHAR(65+C0Col)),2,FALSE)&gt;COUNTIF($E170:AD170,"u")+COUNTIF($E170:AD170,"t")+COUNTIF($E170:AD170,"¶")+COUNTIF($E170:AD170,"²")+COUNTIF($E170:AD170,"µ")+COUNTIF($E170:AD170,1)),
HYPERLINK("#Roadmap!C"&amp; MATCH($E170,Roadmap!$D:$D,0)+COUNTIF($E170:AD170,"u")+COUNTIF($E170:AD170,"t"),
     INDEX(Roadmap!$D:$K,MATCH($E170,Roadmap!$D:$D,0)+COUNTIF($E170:AD170,"u")+COUNTIF($E170:AD170,"t")+COUNTIF($E170:AD170,"¶")+COUNTIF($E170:AD170,"²")+COUNTIF($E170:AD170,"µ")+COUNTIF($E170:AD170,1),ColTypeEcheance)),
  IF(LEN(AD170)=1,
  IF(LEN(INDEX(Roadmap!$D:$K,MATCH($E170,Roadmap!$D:$D,0)-1+COUNTIF($E170:AD170,"u")+COUNTIF($E170:AD170,"t")+COUNTIF($E170:AD170,"¶")+COUNTIF($E170:AD170,"²")+COUNTIF($E170:AD170,"µ")+COUNTIF($E170:AD170,1),ColDescriptionCourte))&gt;1,
HYPERLINK("#Roadmap!C"&amp; MATCH($E170,Roadmap!$D:$D,0)+COUNTIF($E170:AD170,"u")+COUNTIF($E170:AD170,"t")+COUNTIF($E170:AD170,"¶")+COUNTIF($E170:AD170,"²")+COUNTIF($E170:AD170,"µ")+COUNTIF($E170:AD170,1)-1,INDEX(Roadmap!$D:$K,MATCH($E170,Roadmap!$D:$D,0)-1+COUNTIF($E170:AD170,"u")+COUNTIF($E170:AD170,"t")+COUNTIF($E170:AD170,"¶")+COUNTIF($E170:AD170,"²")+COUNTIF($E170:AD170,"µ")+COUNTIF($E170:AD170,1),ColDescriptionCourte)),""),
  "")),"")</f>
        <v/>
      </c>
      <c r="AF170" s="40" t="str">
        <f ca="1">IFERROR(IF(AND(
  INDEX(Roadmap!$D:$K,MATCH($E170,Roadmap!$D:$D,0)+COUNTIF($E170:AE170,"u")+COUNTIF($E170:AE170,"t")+COUNTIF($E170:AE170,"¶")+COUNTIF($E170:AE170,"²")+COUNTIF($E170:AE170,"µ")+COUNTIF($E170:AE170,1),ColLivraison)=AF$6,
  VLOOKUP($E170,INDIRECT("tri!"&amp; CHAR(64+ C0Col) &amp;":"&amp; CHAR(65+C0Col)),2,FALSE)&gt;COUNTIF($E170:AE170,"u")+COUNTIF($E170:AE170,"t")+COUNTIF($E170:AE170,"¶")+COUNTIF($E170:AE170,"²")+COUNTIF($E170:AE170,"µ")+COUNTIF($E170:AE170,1)),
HYPERLINK("#Roadmap!C"&amp; MATCH($E170,Roadmap!$D:$D,0)+COUNTIF($E170:AE170,"u")+COUNTIF($E170:AE170,"t"),
     INDEX(Roadmap!$D:$K,MATCH($E170,Roadmap!$D:$D,0)+COUNTIF($E170:AE170,"u")+COUNTIF($E170:AE170,"t")+COUNTIF($E170:AE170,"¶")+COUNTIF($E170:AE170,"²")+COUNTIF($E170:AE170,"µ")+COUNTIF($E170:AE170,1),ColTypeEcheance)),
  IF(LEN(AE170)=1,
  IF(LEN(INDEX(Roadmap!$D:$K,MATCH($E170,Roadmap!$D:$D,0)-1+COUNTIF($E170:AE170,"u")+COUNTIF($E170:AE170,"t")+COUNTIF($E170:AE170,"¶")+COUNTIF($E170:AE170,"²")+COUNTIF($E170:AE170,"µ")+COUNTIF($E170:AE170,1),ColDescriptionCourte))&gt;1,
HYPERLINK("#Roadmap!C"&amp; MATCH($E170,Roadmap!$D:$D,0)+COUNTIF($E170:AE170,"u")+COUNTIF($E170:AE170,"t")+COUNTIF($E170:AE170,"¶")+COUNTIF($E170:AE170,"²")+COUNTIF($E170:AE170,"µ")+COUNTIF($E170:AE170,1)-1,INDEX(Roadmap!$D:$K,MATCH($E170,Roadmap!$D:$D,0)-1+COUNTIF($E170:AE170,"u")+COUNTIF($E170:AE170,"t")+COUNTIF($E170:AE170,"¶")+COUNTIF($E170:AE170,"²")+COUNTIF($E170:AE170,"µ")+COUNTIF($E170:AE170,1),ColDescriptionCourte)),""),
  "")),"")</f>
        <v/>
      </c>
      <c r="AG170" s="40" t="str">
        <f ca="1">IFERROR(IF(AND(
  INDEX(Roadmap!$D:$K,MATCH($E170,Roadmap!$D:$D,0)+COUNTIF($E170:AF170,"u")+COUNTIF($E170:AF170,"t")+COUNTIF($E170:AF170,"¶")+COUNTIF($E170:AF170,"²")+COUNTIF($E170:AF170,"µ")+COUNTIF($E170:AF170,1),ColLivraison)=AG$6,
  VLOOKUP($E170,INDIRECT("tri!"&amp; CHAR(64+ C0Col) &amp;":"&amp; CHAR(65+C0Col)),2,FALSE)&gt;COUNTIF($E170:AF170,"u")+COUNTIF($E170:AF170,"t")+COUNTIF($E170:AF170,"¶")+COUNTIF($E170:AF170,"²")+COUNTIF($E170:AF170,"µ")+COUNTIF($E170:AF170,1)),
HYPERLINK("#Roadmap!C"&amp; MATCH($E170,Roadmap!$D:$D,0)+COUNTIF($E170:AF170,"u")+COUNTIF($E170:AF170,"t"),
     INDEX(Roadmap!$D:$K,MATCH($E170,Roadmap!$D:$D,0)+COUNTIF($E170:AF170,"u")+COUNTIF($E170:AF170,"t")+COUNTIF($E170:AF170,"¶")+COUNTIF($E170:AF170,"²")+COUNTIF($E170:AF170,"µ")+COUNTIF($E170:AF170,1),ColTypeEcheance)),
  IF(LEN(AF170)=1,
  IF(LEN(INDEX(Roadmap!$D:$K,MATCH($E170,Roadmap!$D:$D,0)-1+COUNTIF($E170:AF170,"u")+COUNTIF($E170:AF170,"t")+COUNTIF($E170:AF170,"¶")+COUNTIF($E170:AF170,"²")+COUNTIF($E170:AF170,"µ")+COUNTIF($E170:AF170,1),ColDescriptionCourte))&gt;1,
HYPERLINK("#Roadmap!C"&amp; MATCH($E170,Roadmap!$D:$D,0)+COUNTIF($E170:AF170,"u")+COUNTIF($E170:AF170,"t")+COUNTIF($E170:AF170,"¶")+COUNTIF($E170:AF170,"²")+COUNTIF($E170:AF170,"µ")+COUNTIF($E170:AF170,1)-1,INDEX(Roadmap!$D:$K,MATCH($E170,Roadmap!$D:$D,0)-1+COUNTIF($E170:AF170,"u")+COUNTIF($E170:AF170,"t")+COUNTIF($E170:AF170,"¶")+COUNTIF($E170:AF170,"²")+COUNTIF($E170:AF170,"µ")+COUNTIF($E170:AF170,1),ColDescriptionCourte)),""),
  "")),"")</f>
        <v/>
      </c>
    </row>
    <row r="171" spans="3:33" ht="14.25" customHeight="1">
      <c r="C171" s="1" t="str">
        <f t="shared" ca="1" si="54"/>
        <v/>
      </c>
      <c r="D171" s="1" t="str">
        <f t="shared" ca="1" si="55"/>
        <v/>
      </c>
      <c r="E171" s="35" t="str">
        <f t="shared" ca="1" si="51"/>
        <v/>
      </c>
      <c r="F171" s="39" t="str">
        <f ca="1">IFERROR(IF(AND(
  INDEX(Roadmap!$D:$K,MATCH($E171,Roadmap!$D:$D,0)+COUNTIF($E171:E171,"u")+COUNTIF($E171:E171,"t")+COUNTIF($E171:E171,"¶")+COUNTIF($E171:E171,"²")+COUNTIF($E171:E171,"µ")+COUNTIF($E171:E171,1),ColLivraison)=F$6,
  VLOOKUP($E171,INDIRECT("tri!"&amp; CHAR(64+ C0Col) &amp;":"&amp; CHAR(65+C0Col)),2,FALSE)&gt;COUNTIF($E171:E171,"u")+COUNTIF($E171:E171,"t")+COUNTIF($E171:E171,"¶")+COUNTIF($E171:E171,"²")+COUNTIF($E171:E171,"µ")+COUNTIF($E171:E171,1)),
HYPERLINK("#Roadmap!C"&amp; MATCH($E171,Roadmap!$D:$D,0)+COUNTIF($E171:E171,"u")+COUNTIF($E171:E171,"t"),
     INDEX(Roadmap!$D:$K,MATCH($E171,Roadmap!$D:$D,0)+COUNTIF($E171:E171,"u")+COUNTIF($E171:E171,"t")+COUNTIF($E171:E171,"¶")+COUNTIF($E171:E171,"²")+COUNTIF($E171:E171,"µ")+COUNTIF($E171:E171,1),ColTypeEcheance)),
  IF(LEN(E171)=1,
  IF(LEN(INDEX(Roadmap!$D:$K,MATCH($E171,Roadmap!$D:$D,0)-1+COUNTIF($E171:E171,"u")+COUNTIF($E171:E171,"t")+COUNTIF($E171:E171,"¶")+COUNTIF($E171:E171,"²")+COUNTIF($E171:E171,"µ")+COUNTIF($E171:E171,1),ColDescriptionCourte))&gt;1,
HYPERLINK("#Roadmap!C"&amp; MATCH($E171,Roadmap!$D:$D,0)+COUNTIF($E171:E171,"u")+COUNTIF($E171:E171,"t")+COUNTIF($E171:E171,"¶")+COUNTIF($E171:E171,"²")+COUNTIF($E171:E171,"µ")+COUNTIF($E171:E171,1)-1,INDEX(Roadmap!$D:$K,MATCH($E171,Roadmap!$D:$D,0)-1+COUNTIF($E171:E171,"u")+COUNTIF($E171:E171,"t")+COUNTIF($E171:E171,"¶")+COUNTIF($E171:E171,"²")+COUNTIF($E171:E171,"µ")+COUNTIF($E171:E171,1),ColDescriptionCourte)),""),
  "")),"")</f>
        <v/>
      </c>
      <c r="G171" s="40" t="str">
        <f ca="1">IFERROR(IF(AND(
  INDEX(Roadmap!$D:$K,MATCH($E171,Roadmap!$D:$D,0)+COUNTIF($E171:F171,"u")+COUNTIF($E171:F171,"t")+COUNTIF($E171:F171,"¶")+COUNTIF($E171:F171,"²")+COUNTIF($E171:F171,"µ")+COUNTIF($E171:F171,1),ColLivraison)=G$6,
  VLOOKUP($E171,INDIRECT("tri!"&amp; CHAR(64+ C0Col) &amp;":"&amp; CHAR(65+C0Col)),2,FALSE)&gt;COUNTIF($E171:F171,"u")+COUNTIF($E171:F171,"t")+COUNTIF($E171:F171,"¶")+COUNTIF($E171:F171,"²")+COUNTIF($E171:F171,"µ")+COUNTIF($E171:F171,1)),
HYPERLINK("#Roadmap!C"&amp; MATCH($E171,Roadmap!$D:$D,0)+COUNTIF($E171:F171,"u")+COUNTIF($E171:F171,"t"),
     INDEX(Roadmap!$D:$K,MATCH($E171,Roadmap!$D:$D,0)+COUNTIF($E171:F171,"u")+COUNTIF($E171:F171,"t")+COUNTIF($E171:F171,"¶")+COUNTIF($E171:F171,"²")+COUNTIF($E171:F171,"µ")+COUNTIF($E171:F171,1),ColTypeEcheance)),
  IF(LEN(F171)=1,
  IF(LEN(INDEX(Roadmap!$D:$K,MATCH($E171,Roadmap!$D:$D,0)-1+COUNTIF($E171:F171,"u")+COUNTIF($E171:F171,"t")+COUNTIF($E171:F171,"¶")+COUNTIF($E171:F171,"²")+COUNTIF($E171:F171,"µ")+COUNTIF($E171:F171,1),ColDescriptionCourte))&gt;1,
HYPERLINK("#Roadmap!C"&amp; MATCH($E171,Roadmap!$D:$D,0)+COUNTIF($E171:F171,"u")+COUNTIF($E171:F171,"t")+COUNTIF($E171:F171,"¶")+COUNTIF($E171:F171,"²")+COUNTIF($E171:F171,"µ")+COUNTIF($E171:F171,1)-1,INDEX(Roadmap!$D:$K,MATCH($E171,Roadmap!$D:$D,0)-1+COUNTIF($E171:F171,"u")+COUNTIF($E171:F171,"t")+COUNTIF($E171:F171,"¶")+COUNTIF($E171:F171,"²")+COUNTIF($E171:F171,"µ")+COUNTIF($E171:F171,1),ColDescriptionCourte)),""),
  "")),"")</f>
        <v/>
      </c>
      <c r="H171" s="40" t="str">
        <f ca="1">IFERROR(IF(AND(
  INDEX(Roadmap!$D:$K,MATCH($E171,Roadmap!$D:$D,0)+COUNTIF($E171:G171,"u")+COUNTIF($E171:G171,"t")+COUNTIF($E171:G171,"¶")+COUNTIF($E171:G171,"²")+COUNTIF($E171:G171,"µ")+COUNTIF($E171:G171,1),ColLivraison)=H$6,
  VLOOKUP($E171,INDIRECT("tri!"&amp; CHAR(64+ C0Col) &amp;":"&amp; CHAR(65+C0Col)),2,FALSE)&gt;COUNTIF($E171:G171,"u")+COUNTIF($E171:G171,"t")+COUNTIF($E171:G171,"¶")+COUNTIF($E171:G171,"²")+COUNTIF($E171:G171,"µ")+COUNTIF($E171:G171,1)),
HYPERLINK("#Roadmap!C"&amp; MATCH($E171,Roadmap!$D:$D,0)+COUNTIF($E171:G171,"u")+COUNTIF($E171:G171,"t"),
     INDEX(Roadmap!$D:$K,MATCH($E171,Roadmap!$D:$D,0)+COUNTIF($E171:G171,"u")+COUNTIF($E171:G171,"t")+COUNTIF($E171:G171,"¶")+COUNTIF($E171:G171,"²")+COUNTIF($E171:G171,"µ")+COUNTIF($E171:G171,1),ColTypeEcheance)),
  IF(LEN(G171)=1,
  IF(LEN(INDEX(Roadmap!$D:$K,MATCH($E171,Roadmap!$D:$D,0)-1+COUNTIF($E171:G171,"u")+COUNTIF($E171:G171,"t")+COUNTIF($E171:G171,"¶")+COUNTIF($E171:G171,"²")+COUNTIF($E171:G171,"µ")+COUNTIF($E171:G171,1),ColDescriptionCourte))&gt;1,
HYPERLINK("#Roadmap!C"&amp; MATCH($E171,Roadmap!$D:$D,0)+COUNTIF($E171:G171,"u")+COUNTIF($E171:G171,"t")+COUNTIF($E171:G171,"¶")+COUNTIF($E171:G171,"²")+COUNTIF($E171:G171,"µ")+COUNTIF($E171:G171,1)-1,INDEX(Roadmap!$D:$K,MATCH($E171,Roadmap!$D:$D,0)-1+COUNTIF($E171:G171,"u")+COUNTIF($E171:G171,"t")+COUNTIF($E171:G171,"¶")+COUNTIF($E171:G171,"²")+COUNTIF($E171:G171,"µ")+COUNTIF($E171:G171,1),ColDescriptionCourte)),""),
  "")),"")</f>
        <v/>
      </c>
      <c r="I171" s="40" t="str">
        <f ca="1">IFERROR(IF(AND(
  INDEX(Roadmap!$D:$K,MATCH($E171,Roadmap!$D:$D,0)+COUNTIF($E171:H171,"u")+COUNTIF($E171:H171,"t")+COUNTIF($E171:H171,"¶")+COUNTIF($E171:H171,"²")+COUNTIF($E171:H171,"µ")+COUNTIF($E171:H171,1),ColLivraison)=I$6,
  VLOOKUP($E171,INDIRECT("tri!"&amp; CHAR(64+ C0Col) &amp;":"&amp; CHAR(65+C0Col)),2,FALSE)&gt;COUNTIF($E171:H171,"u")+COUNTIF($E171:H171,"t")+COUNTIF($E171:H171,"¶")+COUNTIF($E171:H171,"²")+COUNTIF($E171:H171,"µ")+COUNTIF($E171:H171,1)),
HYPERLINK("#Roadmap!C"&amp; MATCH($E171,Roadmap!$D:$D,0)+COUNTIF($E171:H171,"u")+COUNTIF($E171:H171,"t"),
     INDEX(Roadmap!$D:$K,MATCH($E171,Roadmap!$D:$D,0)+COUNTIF($E171:H171,"u")+COUNTIF($E171:H171,"t")+COUNTIF($E171:H171,"¶")+COUNTIF($E171:H171,"²")+COUNTIF($E171:H171,"µ")+COUNTIF($E171:H171,1),ColTypeEcheance)),
  IF(LEN(H171)=1,
  IF(LEN(INDEX(Roadmap!$D:$K,MATCH($E171,Roadmap!$D:$D,0)-1+COUNTIF($E171:H171,"u")+COUNTIF($E171:H171,"t")+COUNTIF($E171:H171,"¶")+COUNTIF($E171:H171,"²")+COUNTIF($E171:H171,"µ")+COUNTIF($E171:H171,1),ColDescriptionCourte))&gt;1,
HYPERLINK("#Roadmap!C"&amp; MATCH($E171,Roadmap!$D:$D,0)+COUNTIF($E171:H171,"u")+COUNTIF($E171:H171,"t")+COUNTIF($E171:H171,"¶")+COUNTIF($E171:H171,"²")+COUNTIF($E171:H171,"µ")+COUNTIF($E171:H171,1)-1,INDEX(Roadmap!$D:$K,MATCH($E171,Roadmap!$D:$D,0)-1+COUNTIF($E171:H171,"u")+COUNTIF($E171:H171,"t")+COUNTIF($E171:H171,"¶")+COUNTIF($E171:H171,"²")+COUNTIF($E171:H171,"µ")+COUNTIF($E171:H171,1),ColDescriptionCourte)),""),
  "")),"")</f>
        <v/>
      </c>
      <c r="J171" s="40" t="str">
        <f ca="1">IFERROR(IF(AND(
  INDEX(Roadmap!$D:$K,MATCH($E171,Roadmap!$D:$D,0)+COUNTIF($E171:I171,"u")+COUNTIF($E171:I171,"t")+COUNTIF($E171:I171,"¶")+COUNTIF($E171:I171,"²")+COUNTIF($E171:I171,"µ")+COUNTIF($E171:I171,1),ColLivraison)=J$6,
  VLOOKUP($E171,INDIRECT("tri!"&amp; CHAR(64+ C0Col) &amp;":"&amp; CHAR(65+C0Col)),2,FALSE)&gt;COUNTIF($E171:I171,"u")+COUNTIF($E171:I171,"t")+COUNTIF($E171:I171,"¶")+COUNTIF($E171:I171,"²")+COUNTIF($E171:I171,"µ")+COUNTIF($E171:I171,1)),
HYPERLINK("#Roadmap!C"&amp; MATCH($E171,Roadmap!$D:$D,0)+COUNTIF($E171:I171,"u")+COUNTIF($E171:I171,"t"),
     INDEX(Roadmap!$D:$K,MATCH($E171,Roadmap!$D:$D,0)+COUNTIF($E171:I171,"u")+COUNTIF($E171:I171,"t")+COUNTIF($E171:I171,"¶")+COUNTIF($E171:I171,"²")+COUNTIF($E171:I171,"µ")+COUNTIF($E171:I171,1),ColTypeEcheance)),
  IF(LEN(I171)=1,
  IF(LEN(INDEX(Roadmap!$D:$K,MATCH($E171,Roadmap!$D:$D,0)-1+COUNTIF($E171:I171,"u")+COUNTIF($E171:I171,"t")+COUNTIF($E171:I171,"¶")+COUNTIF($E171:I171,"²")+COUNTIF($E171:I171,"µ")+COUNTIF($E171:I171,1),ColDescriptionCourte))&gt;1,
HYPERLINK("#Roadmap!C"&amp; MATCH($E171,Roadmap!$D:$D,0)+COUNTIF($E171:I171,"u")+COUNTIF($E171:I171,"t")+COUNTIF($E171:I171,"¶")+COUNTIF($E171:I171,"²")+COUNTIF($E171:I171,"µ")+COUNTIF($E171:I171,1)-1,INDEX(Roadmap!$D:$K,MATCH($E171,Roadmap!$D:$D,0)-1+COUNTIF($E171:I171,"u")+COUNTIF($E171:I171,"t")+COUNTIF($E171:I171,"¶")+COUNTIF($E171:I171,"²")+COUNTIF($E171:I171,"µ")+COUNTIF($E171:I171,1),ColDescriptionCourte)),""),
  "")),"")</f>
        <v/>
      </c>
      <c r="K171" s="40" t="str">
        <f ca="1">IFERROR(IF(AND(
  INDEX(Roadmap!$D:$K,MATCH($E171,Roadmap!$D:$D,0)+COUNTIF($E171:J171,"u")+COUNTIF($E171:J171,"t")+COUNTIF($E171:J171,"¶")+COUNTIF($E171:J171,"²")+COUNTIF($E171:J171,"µ")+COUNTIF($E171:J171,1),ColLivraison)=K$6,
  VLOOKUP($E171,INDIRECT("tri!"&amp; CHAR(64+ C0Col) &amp;":"&amp; CHAR(65+C0Col)),2,FALSE)&gt;COUNTIF($E171:J171,"u")+COUNTIF($E171:J171,"t")+COUNTIF($E171:J171,"¶")+COUNTIF($E171:J171,"²")+COUNTIF($E171:J171,"µ")+COUNTIF($E171:J171,1)),
HYPERLINK("#Roadmap!C"&amp; MATCH($E171,Roadmap!$D:$D,0)+COUNTIF($E171:J171,"u")+COUNTIF($E171:J171,"t"),
     INDEX(Roadmap!$D:$K,MATCH($E171,Roadmap!$D:$D,0)+COUNTIF($E171:J171,"u")+COUNTIF($E171:J171,"t")+COUNTIF($E171:J171,"¶")+COUNTIF($E171:J171,"²")+COUNTIF($E171:J171,"µ")+COUNTIF($E171:J171,1),ColTypeEcheance)),
  IF(LEN(J171)=1,
  IF(LEN(INDEX(Roadmap!$D:$K,MATCH($E171,Roadmap!$D:$D,0)-1+COUNTIF($E171:J171,"u")+COUNTIF($E171:J171,"t")+COUNTIF($E171:J171,"¶")+COUNTIF($E171:J171,"²")+COUNTIF($E171:J171,"µ")+COUNTIF($E171:J171,1),ColDescriptionCourte))&gt;1,
HYPERLINK("#Roadmap!C"&amp; MATCH($E171,Roadmap!$D:$D,0)+COUNTIF($E171:J171,"u")+COUNTIF($E171:J171,"t")+COUNTIF($E171:J171,"¶")+COUNTIF($E171:J171,"²")+COUNTIF($E171:J171,"µ")+COUNTIF($E171:J171,1)-1,INDEX(Roadmap!$D:$K,MATCH($E171,Roadmap!$D:$D,0)-1+COUNTIF($E171:J171,"u")+COUNTIF($E171:J171,"t")+COUNTIF($E171:J171,"¶")+COUNTIF($E171:J171,"²")+COUNTIF($E171:J171,"µ")+COUNTIF($E171:J171,1),ColDescriptionCourte)),""),
  "")),"")</f>
        <v/>
      </c>
      <c r="L171" s="39" t="str">
        <f ca="1">IFERROR(IF(AND(
  INDEX(Roadmap!$D:$K,MATCH($E171,Roadmap!$D:$D,0)+COUNTIF($E171:K171,"u")+COUNTIF($E171:K171,"t")+COUNTIF($E171:K171,"¶")+COUNTIF($E171:K171,"²")+COUNTIF($E171:K171,"µ")+COUNTIF($E171:K171,1),ColLivraison)=L$6,
  VLOOKUP($E171,INDIRECT("tri!"&amp; CHAR(64+ C0Col) &amp;":"&amp; CHAR(65+C0Col)),2,FALSE)&gt;COUNTIF($E171:K171,"u")+COUNTIF($E171:K171,"t")+COUNTIF($E171:K171,"¶")+COUNTIF($E171:K171,"²")+COUNTIF($E171:K171,"µ")+COUNTIF($E171:K171,1)),
HYPERLINK("#Roadmap!C"&amp; MATCH($E171,Roadmap!$D:$D,0)+COUNTIF($E171:K171,"u")+COUNTIF($E171:K171,"t"),
     INDEX(Roadmap!$D:$K,MATCH($E171,Roadmap!$D:$D,0)+COUNTIF($E171:K171,"u")+COUNTIF($E171:K171,"t")+COUNTIF($E171:K171,"¶")+COUNTIF($E171:K171,"²")+COUNTIF($E171:K171,"µ")+COUNTIF($E171:K171,1),ColTypeEcheance)),
  IF(LEN(K171)=1,
  IF(LEN(INDEX(Roadmap!$D:$K,MATCH($E171,Roadmap!$D:$D,0)-1+COUNTIF($E171:K171,"u")+COUNTIF($E171:K171,"t")+COUNTIF($E171:K171,"¶")+COUNTIF($E171:K171,"²")+COUNTIF($E171:K171,"µ")+COUNTIF($E171:K171,1),ColDescriptionCourte))&gt;1,
HYPERLINK("#Roadmap!C"&amp; MATCH($E171,Roadmap!$D:$D,0)+COUNTIF($E171:K171,"u")+COUNTIF($E171:K171,"t")+COUNTIF($E171:K171,"¶")+COUNTIF($E171:K171,"²")+COUNTIF($E171:K171,"µ")+COUNTIF($E171:K171,1)-1,INDEX(Roadmap!$D:$K,MATCH($E171,Roadmap!$D:$D,0)-1+COUNTIF($E171:K171,"u")+COUNTIF($E171:K171,"t")+COUNTIF($E171:K171,"¶")+COUNTIF($E171:K171,"²")+COUNTIF($E171:K171,"µ")+COUNTIF($E171:K171,1),ColDescriptionCourte)),""),
  "")),"")</f>
        <v/>
      </c>
      <c r="M171" s="40" t="str">
        <f ca="1">IFERROR(IF(AND(
  INDEX(Roadmap!$D:$K,MATCH($E171,Roadmap!$D:$D,0)+COUNTIF($E171:L171,"u")+COUNTIF($E171:L171,"t")+COUNTIF($E171:L171,"¶")+COUNTIF($E171:L171,"²")+COUNTIF($E171:L171,"µ")+COUNTIF($E171:L171,1),ColLivraison)=M$6,
  VLOOKUP($E171,INDIRECT("tri!"&amp; CHAR(64+ C0Col) &amp;":"&amp; CHAR(65+C0Col)),2,FALSE)&gt;COUNTIF($E171:L171,"u")+COUNTIF($E171:L171,"t")+COUNTIF($E171:L171,"¶")+COUNTIF($E171:L171,"²")+COUNTIF($E171:L171,"µ")+COUNTIF($E171:L171,1)),
HYPERLINK("#Roadmap!C"&amp; MATCH($E171,Roadmap!$D:$D,0)+COUNTIF($E171:L171,"u")+COUNTIF($E171:L171,"t"),
     INDEX(Roadmap!$D:$K,MATCH($E171,Roadmap!$D:$D,0)+COUNTIF($E171:L171,"u")+COUNTIF($E171:L171,"t")+COUNTIF($E171:L171,"¶")+COUNTIF($E171:L171,"²")+COUNTIF($E171:L171,"µ")+COUNTIF($E171:L171,1),ColTypeEcheance)),
  IF(LEN(L171)=1,
  IF(LEN(INDEX(Roadmap!$D:$K,MATCH($E171,Roadmap!$D:$D,0)-1+COUNTIF($E171:L171,"u")+COUNTIF($E171:L171,"t")+COUNTIF($E171:L171,"¶")+COUNTIF($E171:L171,"²")+COUNTIF($E171:L171,"µ")+COUNTIF($E171:L171,1),ColDescriptionCourte))&gt;1,
HYPERLINK("#Roadmap!C"&amp; MATCH($E171,Roadmap!$D:$D,0)+COUNTIF($E171:L171,"u")+COUNTIF($E171:L171,"t")+COUNTIF($E171:L171,"¶")+COUNTIF($E171:L171,"²")+COUNTIF($E171:L171,"µ")+COUNTIF($E171:L171,1)-1,INDEX(Roadmap!$D:$K,MATCH($E171,Roadmap!$D:$D,0)-1+COUNTIF($E171:L171,"u")+COUNTIF($E171:L171,"t")+COUNTIF($E171:L171,"¶")+COUNTIF($E171:L171,"²")+COUNTIF($E171:L171,"µ")+COUNTIF($E171:L171,1),ColDescriptionCourte)),""),
  "")),"")</f>
        <v/>
      </c>
      <c r="N171" s="40" t="str">
        <f ca="1">IFERROR(IF(AND(
  INDEX(Roadmap!$D:$K,MATCH($E171,Roadmap!$D:$D,0)+COUNTIF($E171:M171,"u")+COUNTIF($E171:M171,"t")+COUNTIF($E171:M171,"¶")+COUNTIF($E171:M171,"²")+COUNTIF($E171:M171,"µ")+COUNTIF($E171:M171,1),ColLivraison)=N$6,
  VLOOKUP($E171,INDIRECT("tri!"&amp; CHAR(64+ C0Col) &amp;":"&amp; CHAR(65+C0Col)),2,FALSE)&gt;COUNTIF($E171:M171,"u")+COUNTIF($E171:M171,"t")+COUNTIF($E171:M171,"¶")+COUNTIF($E171:M171,"²")+COUNTIF($E171:M171,"µ")+COUNTIF($E171:M171,1)),
HYPERLINK("#Roadmap!C"&amp; MATCH($E171,Roadmap!$D:$D,0)+COUNTIF($E171:M171,"u")+COUNTIF($E171:M171,"t"),
     INDEX(Roadmap!$D:$K,MATCH($E171,Roadmap!$D:$D,0)+COUNTIF($E171:M171,"u")+COUNTIF($E171:M171,"t")+COUNTIF($E171:M171,"¶")+COUNTIF($E171:M171,"²")+COUNTIF($E171:M171,"µ")+COUNTIF($E171:M171,1),ColTypeEcheance)),
  IF(LEN(M171)=1,
  IF(LEN(INDEX(Roadmap!$D:$K,MATCH($E171,Roadmap!$D:$D,0)-1+COUNTIF($E171:M171,"u")+COUNTIF($E171:M171,"t")+COUNTIF($E171:M171,"¶")+COUNTIF($E171:M171,"²")+COUNTIF($E171:M171,"µ")+COUNTIF($E171:M171,1),ColDescriptionCourte))&gt;1,
HYPERLINK("#Roadmap!C"&amp; MATCH($E171,Roadmap!$D:$D,0)+COUNTIF($E171:M171,"u")+COUNTIF($E171:M171,"t")+COUNTIF($E171:M171,"¶")+COUNTIF($E171:M171,"²")+COUNTIF($E171:M171,"µ")+COUNTIF($E171:M171,1)-1,INDEX(Roadmap!$D:$K,MATCH($E171,Roadmap!$D:$D,0)-1+COUNTIF($E171:M171,"u")+COUNTIF($E171:M171,"t")+COUNTIF($E171:M171,"¶")+COUNTIF($E171:M171,"²")+COUNTIF($E171:M171,"µ")+COUNTIF($E171:M171,1),ColDescriptionCourte)),""),
  "")),"")</f>
        <v/>
      </c>
      <c r="O171" s="40" t="str">
        <f ca="1">IFERROR(IF(AND(
  INDEX(Roadmap!$D:$K,MATCH($E171,Roadmap!$D:$D,0)+COUNTIF($E171:N171,"u")+COUNTIF($E171:N171,"t")+COUNTIF($E171:N171,"¶")+COUNTIF($E171:N171,"²")+COUNTIF($E171:N171,"µ")+COUNTIF($E171:N171,1),ColLivraison)=O$6,
  VLOOKUP($E171,INDIRECT("tri!"&amp; CHAR(64+ C0Col) &amp;":"&amp; CHAR(65+C0Col)),2,FALSE)&gt;COUNTIF($E171:N171,"u")+COUNTIF($E171:N171,"t")+COUNTIF($E171:N171,"¶")+COUNTIF($E171:N171,"²")+COUNTIF($E171:N171,"µ")+COUNTIF($E171:N171,1)),
HYPERLINK("#Roadmap!C"&amp; MATCH($E171,Roadmap!$D:$D,0)+COUNTIF($E171:N171,"u")+COUNTIF($E171:N171,"t"),
     INDEX(Roadmap!$D:$K,MATCH($E171,Roadmap!$D:$D,0)+COUNTIF($E171:N171,"u")+COUNTIF($E171:N171,"t")+COUNTIF($E171:N171,"¶")+COUNTIF($E171:N171,"²")+COUNTIF($E171:N171,"µ")+COUNTIF($E171:N171,1),ColTypeEcheance)),
  IF(LEN(N171)=1,
  IF(LEN(INDEX(Roadmap!$D:$K,MATCH($E171,Roadmap!$D:$D,0)-1+COUNTIF($E171:N171,"u")+COUNTIF($E171:N171,"t")+COUNTIF($E171:N171,"¶")+COUNTIF($E171:N171,"²")+COUNTIF($E171:N171,"µ")+COUNTIF($E171:N171,1),ColDescriptionCourte))&gt;1,
HYPERLINK("#Roadmap!C"&amp; MATCH($E171,Roadmap!$D:$D,0)+COUNTIF($E171:N171,"u")+COUNTIF($E171:N171,"t")+COUNTIF($E171:N171,"¶")+COUNTIF($E171:N171,"²")+COUNTIF($E171:N171,"µ")+COUNTIF($E171:N171,1)-1,INDEX(Roadmap!$D:$K,MATCH($E171,Roadmap!$D:$D,0)-1+COUNTIF($E171:N171,"u")+COUNTIF($E171:N171,"t")+COUNTIF($E171:N171,"¶")+COUNTIF($E171:N171,"²")+COUNTIF($E171:N171,"µ")+COUNTIF($E171:N171,1),ColDescriptionCourte)),""),
  "")),"")</f>
        <v/>
      </c>
      <c r="P171" s="40" t="str">
        <f ca="1">IFERROR(IF(AND(
  INDEX(Roadmap!$D:$K,MATCH($E171,Roadmap!$D:$D,0)+COUNTIF($E171:O171,"u")+COUNTIF($E171:O171,"t")+COUNTIF($E171:O171,"¶")+COUNTIF($E171:O171,"²")+COUNTIF($E171:O171,"µ")+COUNTIF($E171:O171,1),ColLivraison)=P$6,
  VLOOKUP($E171,INDIRECT("tri!"&amp; CHAR(64+ C0Col) &amp;":"&amp; CHAR(65+C0Col)),2,FALSE)&gt;COUNTIF($E171:O171,"u")+COUNTIF($E171:O171,"t")+COUNTIF($E171:O171,"¶")+COUNTIF($E171:O171,"²")+COUNTIF($E171:O171,"µ")+COUNTIF($E171:O171,1)),
HYPERLINK("#Roadmap!C"&amp; MATCH($E171,Roadmap!$D:$D,0)+COUNTIF($E171:O171,"u")+COUNTIF($E171:O171,"t"),
     INDEX(Roadmap!$D:$K,MATCH($E171,Roadmap!$D:$D,0)+COUNTIF($E171:O171,"u")+COUNTIF($E171:O171,"t")+COUNTIF($E171:O171,"¶")+COUNTIF($E171:O171,"²")+COUNTIF($E171:O171,"µ")+COUNTIF($E171:O171,1),ColTypeEcheance)),
  IF(LEN(O171)=1,
  IF(LEN(INDEX(Roadmap!$D:$K,MATCH($E171,Roadmap!$D:$D,0)-1+COUNTIF($E171:O171,"u")+COUNTIF($E171:O171,"t")+COUNTIF($E171:O171,"¶")+COUNTIF($E171:O171,"²")+COUNTIF($E171:O171,"µ")+COUNTIF($E171:O171,1),ColDescriptionCourte))&gt;1,
HYPERLINK("#Roadmap!C"&amp; MATCH($E171,Roadmap!$D:$D,0)+COUNTIF($E171:O171,"u")+COUNTIF($E171:O171,"t")+COUNTIF($E171:O171,"¶")+COUNTIF($E171:O171,"²")+COUNTIF($E171:O171,"µ")+COUNTIF($E171:O171,1)-1,INDEX(Roadmap!$D:$K,MATCH($E171,Roadmap!$D:$D,0)-1+COUNTIF($E171:O171,"u")+COUNTIF($E171:O171,"t")+COUNTIF($E171:O171,"¶")+COUNTIF($E171:O171,"²")+COUNTIF($E171:O171,"µ")+COUNTIF($E171:O171,1),ColDescriptionCourte)),""),
  "")),"")</f>
        <v/>
      </c>
      <c r="Q171" s="40" t="str">
        <f ca="1">IFERROR(IF(AND(
  INDEX(Roadmap!$D:$K,MATCH($E171,Roadmap!$D:$D,0)+COUNTIF($E171:P171,"u")+COUNTIF($E171:P171,"t")+COUNTIF($E171:P171,"¶")+COUNTIF($E171:P171,"²")+COUNTIF($E171:P171,"µ")+COUNTIF($E171:P171,1),ColLivraison)=Q$6,
  VLOOKUP($E171,INDIRECT("tri!"&amp; CHAR(64+ C0Col) &amp;":"&amp; CHAR(65+C0Col)),2,FALSE)&gt;COUNTIF($E171:P171,"u")+COUNTIF($E171:P171,"t")+COUNTIF($E171:P171,"¶")+COUNTIF($E171:P171,"²")+COUNTIF($E171:P171,"µ")+COUNTIF($E171:P171,1)),
HYPERLINK("#Roadmap!C"&amp; MATCH($E171,Roadmap!$D:$D,0)+COUNTIF($E171:P171,"u")+COUNTIF($E171:P171,"t"),
     INDEX(Roadmap!$D:$K,MATCH($E171,Roadmap!$D:$D,0)+COUNTIF($E171:P171,"u")+COUNTIF($E171:P171,"t")+COUNTIF($E171:P171,"¶")+COUNTIF($E171:P171,"²")+COUNTIF($E171:P171,"µ")+COUNTIF($E171:P171,1),ColTypeEcheance)),
  IF(LEN(P171)=1,
  IF(LEN(INDEX(Roadmap!$D:$K,MATCH($E171,Roadmap!$D:$D,0)-1+COUNTIF($E171:P171,"u")+COUNTIF($E171:P171,"t")+COUNTIF($E171:P171,"¶")+COUNTIF($E171:P171,"²")+COUNTIF($E171:P171,"µ")+COUNTIF($E171:P171,1),ColDescriptionCourte))&gt;1,
HYPERLINK("#Roadmap!C"&amp; MATCH($E171,Roadmap!$D:$D,0)+COUNTIF($E171:P171,"u")+COUNTIF($E171:P171,"t")+COUNTIF($E171:P171,"¶")+COUNTIF($E171:P171,"²")+COUNTIF($E171:P171,"µ")+COUNTIF($E171:P171,1)-1,INDEX(Roadmap!$D:$K,MATCH($E171,Roadmap!$D:$D,0)-1+COUNTIF($E171:P171,"u")+COUNTIF($E171:P171,"t")+COUNTIF($E171:P171,"¶")+COUNTIF($E171:P171,"²")+COUNTIF($E171:P171,"µ")+COUNTIF($E171:P171,1),ColDescriptionCourte)),""),
  "")),"")</f>
        <v/>
      </c>
      <c r="R171" s="40" t="str">
        <f ca="1">IFERROR(IF(AND(
  INDEX(Roadmap!$D:$K,MATCH($E171,Roadmap!$D:$D,0)+COUNTIF($E171:Q171,"u")+COUNTIF($E171:Q171,"t")+COUNTIF($E171:Q171,"¶")+COUNTIF($E171:Q171,"²")+COUNTIF($E171:Q171,"µ")+COUNTIF($E171:Q171,1),ColLivraison)=R$6,
  VLOOKUP($E171,INDIRECT("tri!"&amp; CHAR(64+ C0Col) &amp;":"&amp; CHAR(65+C0Col)),2,FALSE)&gt;COUNTIF($E171:Q171,"u")+COUNTIF($E171:Q171,"t")+COUNTIF($E171:Q171,"¶")+COUNTIF($E171:Q171,"²")+COUNTIF($E171:Q171,"µ")+COUNTIF($E171:Q171,1)),
HYPERLINK("#Roadmap!C"&amp; MATCH($E171,Roadmap!$D:$D,0)+COUNTIF($E171:Q171,"u")+COUNTIF($E171:Q171,"t"),
     INDEX(Roadmap!$D:$K,MATCH($E171,Roadmap!$D:$D,0)+COUNTIF($E171:Q171,"u")+COUNTIF($E171:Q171,"t")+COUNTIF($E171:Q171,"¶")+COUNTIF($E171:Q171,"²")+COUNTIF($E171:Q171,"µ")+COUNTIF($E171:Q171,1),ColTypeEcheance)),
  IF(LEN(Q171)=1,
  IF(LEN(INDEX(Roadmap!$D:$K,MATCH($E171,Roadmap!$D:$D,0)-1+COUNTIF($E171:Q171,"u")+COUNTIF($E171:Q171,"t")+COUNTIF($E171:Q171,"¶")+COUNTIF($E171:Q171,"²")+COUNTIF($E171:Q171,"µ")+COUNTIF($E171:Q171,1),ColDescriptionCourte))&gt;1,
HYPERLINK("#Roadmap!C"&amp; MATCH($E171,Roadmap!$D:$D,0)+COUNTIF($E171:Q171,"u")+COUNTIF($E171:Q171,"t")+COUNTIF($E171:Q171,"¶")+COUNTIF($E171:Q171,"²")+COUNTIF($E171:Q171,"µ")+COUNTIF($E171:Q171,1)-1,INDEX(Roadmap!$D:$K,MATCH($E171,Roadmap!$D:$D,0)-1+COUNTIF($E171:Q171,"u")+COUNTIF($E171:Q171,"t")+COUNTIF($E171:Q171,"¶")+COUNTIF($E171:Q171,"²")+COUNTIF($E171:Q171,"µ")+COUNTIF($E171:Q171,1),ColDescriptionCourte)),""),
  "")),"")</f>
        <v/>
      </c>
      <c r="S171" s="40" t="str">
        <f ca="1">IFERROR(IF(AND(
  INDEX(Roadmap!$D:$K,MATCH($E171,Roadmap!$D:$D,0)+COUNTIF($E171:R171,"u")+COUNTIF($E171:R171,"t")+COUNTIF($E171:R171,"¶")+COUNTIF($E171:R171,"²")+COUNTIF($E171:R171,"µ")+COUNTIF($E171:R171,1),ColLivraison)=S$6,
  VLOOKUP($E171,INDIRECT("tri!"&amp; CHAR(64+ C0Col) &amp;":"&amp; CHAR(65+C0Col)),2,FALSE)&gt;COUNTIF($E171:R171,"u")+COUNTIF($E171:R171,"t")+COUNTIF($E171:R171,"¶")+COUNTIF($E171:R171,"²")+COUNTIF($E171:R171,"µ")+COUNTIF($E171:R171,1)),
HYPERLINK("#Roadmap!C"&amp; MATCH($E171,Roadmap!$D:$D,0)+COUNTIF($E171:R171,"u")+COUNTIF($E171:R171,"t"),
     INDEX(Roadmap!$D:$K,MATCH($E171,Roadmap!$D:$D,0)+COUNTIF($E171:R171,"u")+COUNTIF($E171:R171,"t")+COUNTIF($E171:R171,"¶")+COUNTIF($E171:R171,"²")+COUNTIF($E171:R171,"µ")+COUNTIF($E171:R171,1),ColTypeEcheance)),
  IF(LEN(R171)=1,
  IF(LEN(INDEX(Roadmap!$D:$K,MATCH($E171,Roadmap!$D:$D,0)-1+COUNTIF($E171:R171,"u")+COUNTIF($E171:R171,"t")+COUNTIF($E171:R171,"¶")+COUNTIF($E171:R171,"²")+COUNTIF($E171:R171,"µ")+COUNTIF($E171:R171,1),ColDescriptionCourte))&gt;1,
HYPERLINK("#Roadmap!C"&amp; MATCH($E171,Roadmap!$D:$D,0)+COUNTIF($E171:R171,"u")+COUNTIF($E171:R171,"t")+COUNTIF($E171:R171,"¶")+COUNTIF($E171:R171,"²")+COUNTIF($E171:R171,"µ")+COUNTIF($E171:R171,1)-1,INDEX(Roadmap!$D:$K,MATCH($E171,Roadmap!$D:$D,0)-1+COUNTIF($E171:R171,"u")+COUNTIF($E171:R171,"t")+COUNTIF($E171:R171,"¶")+COUNTIF($E171:R171,"²")+COUNTIF($E171:R171,"µ")+COUNTIF($E171:R171,1),ColDescriptionCourte)),""),
  "")),"")</f>
        <v/>
      </c>
      <c r="T171" s="40" t="str">
        <f ca="1">IFERROR(IF(AND(
  INDEX(Roadmap!$D:$K,MATCH($E171,Roadmap!$D:$D,0)+COUNTIF($E171:S171,"u")+COUNTIF($E171:S171,"t")+COUNTIF($E171:S171,"¶")+COUNTIF($E171:S171,"²")+COUNTIF($E171:S171,"µ")+COUNTIF($E171:S171,1),ColLivraison)=T$6,
  VLOOKUP($E171,INDIRECT("tri!"&amp; CHAR(64+ C0Col) &amp;":"&amp; CHAR(65+C0Col)),2,FALSE)&gt;COUNTIF($E171:S171,"u")+COUNTIF($E171:S171,"t")+COUNTIF($E171:S171,"¶")+COUNTIF($E171:S171,"²")+COUNTIF($E171:S171,"µ")+COUNTIF($E171:S171,1)),
HYPERLINK("#Roadmap!C"&amp; MATCH($E171,Roadmap!$D:$D,0)+COUNTIF($E171:S171,"u")+COUNTIF($E171:S171,"t"),
     INDEX(Roadmap!$D:$K,MATCH($E171,Roadmap!$D:$D,0)+COUNTIF($E171:S171,"u")+COUNTIF($E171:S171,"t")+COUNTIF($E171:S171,"¶")+COUNTIF($E171:S171,"²")+COUNTIF($E171:S171,"µ")+COUNTIF($E171:S171,1),ColTypeEcheance)),
  IF(LEN(S171)=1,
  IF(LEN(INDEX(Roadmap!$D:$K,MATCH($E171,Roadmap!$D:$D,0)-1+COUNTIF($E171:S171,"u")+COUNTIF($E171:S171,"t")+COUNTIF($E171:S171,"¶")+COUNTIF($E171:S171,"²")+COUNTIF($E171:S171,"µ")+COUNTIF($E171:S171,1),ColDescriptionCourte))&gt;1,
HYPERLINK("#Roadmap!C"&amp; MATCH($E171,Roadmap!$D:$D,0)+COUNTIF($E171:S171,"u")+COUNTIF($E171:S171,"t")+COUNTIF($E171:S171,"¶")+COUNTIF($E171:S171,"²")+COUNTIF($E171:S171,"µ")+COUNTIF($E171:S171,1)-1,INDEX(Roadmap!$D:$K,MATCH($E171,Roadmap!$D:$D,0)-1+COUNTIF($E171:S171,"u")+COUNTIF($E171:S171,"t")+COUNTIF($E171:S171,"¶")+COUNTIF($E171:S171,"²")+COUNTIF($E171:S171,"µ")+COUNTIF($E171:S171,1),ColDescriptionCourte)),""),
  "")),"")</f>
        <v/>
      </c>
      <c r="U171" s="40" t="str">
        <f ca="1">IFERROR(IF(AND(
  INDEX(Roadmap!$D:$K,MATCH($E171,Roadmap!$D:$D,0)+COUNTIF($E171:T171,"u")+COUNTIF($E171:T171,"t")+COUNTIF($E171:T171,"¶")+COUNTIF($E171:T171,"²")+COUNTIF($E171:T171,"µ")+COUNTIF($E171:T171,1),ColLivraison)=U$6,
  VLOOKUP($E171,INDIRECT("tri!"&amp; CHAR(64+ C0Col) &amp;":"&amp; CHAR(65+C0Col)),2,FALSE)&gt;COUNTIF($E171:T171,"u")+COUNTIF($E171:T171,"t")+COUNTIF($E171:T171,"¶")+COUNTIF($E171:T171,"²")+COUNTIF($E171:T171,"µ")+COUNTIF($E171:T171,1)),
HYPERLINK("#Roadmap!C"&amp; MATCH($E171,Roadmap!$D:$D,0)+COUNTIF($E171:T171,"u")+COUNTIF($E171:T171,"t"),
     INDEX(Roadmap!$D:$K,MATCH($E171,Roadmap!$D:$D,0)+COUNTIF($E171:T171,"u")+COUNTIF($E171:T171,"t")+COUNTIF($E171:T171,"¶")+COUNTIF($E171:T171,"²")+COUNTIF($E171:T171,"µ")+COUNTIF($E171:T171,1),ColTypeEcheance)),
  IF(LEN(T171)=1,
  IF(LEN(INDEX(Roadmap!$D:$K,MATCH($E171,Roadmap!$D:$D,0)-1+COUNTIF($E171:T171,"u")+COUNTIF($E171:T171,"t")+COUNTIF($E171:T171,"¶")+COUNTIF($E171:T171,"²")+COUNTIF($E171:T171,"µ")+COUNTIF($E171:T171,1),ColDescriptionCourte))&gt;1,
HYPERLINK("#Roadmap!C"&amp; MATCH($E171,Roadmap!$D:$D,0)+COUNTIF($E171:T171,"u")+COUNTIF($E171:T171,"t")+COUNTIF($E171:T171,"¶")+COUNTIF($E171:T171,"²")+COUNTIF($E171:T171,"µ")+COUNTIF($E171:T171,1)-1,INDEX(Roadmap!$D:$K,MATCH($E171,Roadmap!$D:$D,0)-1+COUNTIF($E171:T171,"u")+COUNTIF($E171:T171,"t")+COUNTIF($E171:T171,"¶")+COUNTIF($E171:T171,"²")+COUNTIF($E171:T171,"µ")+COUNTIF($E171:T171,1),ColDescriptionCourte)),""),
  "")),"")</f>
        <v/>
      </c>
      <c r="V171" s="40" t="str">
        <f ca="1">IFERROR(IF(AND(
  INDEX(Roadmap!$D:$K,MATCH($E171,Roadmap!$D:$D,0)+COUNTIF($E171:U171,"u")+COUNTIF($E171:U171,"t")+COUNTIF($E171:U171,"¶")+COUNTIF($E171:U171,"²")+COUNTIF($E171:U171,"µ")+COUNTIF($E171:U171,1),ColLivraison)=V$6,
  VLOOKUP($E171,INDIRECT("tri!"&amp; CHAR(64+ C0Col) &amp;":"&amp; CHAR(65+C0Col)),2,FALSE)&gt;COUNTIF($E171:U171,"u")+COUNTIF($E171:U171,"t")+COUNTIF($E171:U171,"¶")+COUNTIF($E171:U171,"²")+COUNTIF($E171:U171,"µ")+COUNTIF($E171:U171,1)),
HYPERLINK("#Roadmap!C"&amp; MATCH($E171,Roadmap!$D:$D,0)+COUNTIF($E171:U171,"u")+COUNTIF($E171:U171,"t"),
     INDEX(Roadmap!$D:$K,MATCH($E171,Roadmap!$D:$D,0)+COUNTIF($E171:U171,"u")+COUNTIF($E171:U171,"t")+COUNTIF($E171:U171,"¶")+COUNTIF($E171:U171,"²")+COUNTIF($E171:U171,"µ")+COUNTIF($E171:U171,1),ColTypeEcheance)),
  IF(LEN(U171)=1,
  IF(LEN(INDEX(Roadmap!$D:$K,MATCH($E171,Roadmap!$D:$D,0)-1+COUNTIF($E171:U171,"u")+COUNTIF($E171:U171,"t")+COUNTIF($E171:U171,"¶")+COUNTIF($E171:U171,"²")+COUNTIF($E171:U171,"µ")+COUNTIF($E171:U171,1),ColDescriptionCourte))&gt;1,
HYPERLINK("#Roadmap!C"&amp; MATCH($E171,Roadmap!$D:$D,0)+COUNTIF($E171:U171,"u")+COUNTIF($E171:U171,"t")+COUNTIF($E171:U171,"¶")+COUNTIF($E171:U171,"²")+COUNTIF($E171:U171,"µ")+COUNTIF($E171:U171,1)-1,INDEX(Roadmap!$D:$K,MATCH($E171,Roadmap!$D:$D,0)-1+COUNTIF($E171:U171,"u")+COUNTIF($E171:U171,"t")+COUNTIF($E171:U171,"¶")+COUNTIF($E171:U171,"²")+COUNTIF($E171:U171,"µ")+COUNTIF($E171:U171,1),ColDescriptionCourte)),""),
  "")),"")</f>
        <v/>
      </c>
      <c r="W171" s="40" t="str">
        <f ca="1">IFERROR(IF(AND(
  INDEX(Roadmap!$D:$K,MATCH($E171,Roadmap!$D:$D,0)+COUNTIF($E171:V171,"u")+COUNTIF($E171:V171,"t")+COUNTIF($E171:V171,"¶")+COUNTIF($E171:V171,"²")+COUNTIF($E171:V171,"µ")+COUNTIF($E171:V171,1),ColLivraison)=W$6,
  VLOOKUP($E171,INDIRECT("tri!"&amp; CHAR(64+ C0Col) &amp;":"&amp; CHAR(65+C0Col)),2,FALSE)&gt;COUNTIF($E171:V171,"u")+COUNTIF($E171:V171,"t")+COUNTIF($E171:V171,"¶")+COUNTIF($E171:V171,"²")+COUNTIF($E171:V171,"µ")+COUNTIF($E171:V171,1)),
HYPERLINK("#Roadmap!C"&amp; MATCH($E171,Roadmap!$D:$D,0)+COUNTIF($E171:V171,"u")+COUNTIF($E171:V171,"t"),
     INDEX(Roadmap!$D:$K,MATCH($E171,Roadmap!$D:$D,0)+COUNTIF($E171:V171,"u")+COUNTIF($E171:V171,"t")+COUNTIF($E171:V171,"¶")+COUNTIF($E171:V171,"²")+COUNTIF($E171:V171,"µ")+COUNTIF($E171:V171,1),ColTypeEcheance)),
  IF(LEN(V171)=1,
  IF(LEN(INDEX(Roadmap!$D:$K,MATCH($E171,Roadmap!$D:$D,0)-1+COUNTIF($E171:V171,"u")+COUNTIF($E171:V171,"t")+COUNTIF($E171:V171,"¶")+COUNTIF($E171:V171,"²")+COUNTIF($E171:V171,"µ")+COUNTIF($E171:V171,1),ColDescriptionCourte))&gt;1,
HYPERLINK("#Roadmap!C"&amp; MATCH($E171,Roadmap!$D:$D,0)+COUNTIF($E171:V171,"u")+COUNTIF($E171:V171,"t")+COUNTIF($E171:V171,"¶")+COUNTIF($E171:V171,"²")+COUNTIF($E171:V171,"µ")+COUNTIF($E171:V171,1)-1,INDEX(Roadmap!$D:$K,MATCH($E171,Roadmap!$D:$D,0)-1+COUNTIF($E171:V171,"u")+COUNTIF($E171:V171,"t")+COUNTIF($E171:V171,"¶")+COUNTIF($E171:V171,"²")+COUNTIF($E171:V171,"µ")+COUNTIF($E171:V171,1),ColDescriptionCourte)),""),
  "")),"")</f>
        <v/>
      </c>
      <c r="X171" s="40" t="str">
        <f ca="1">IFERROR(IF(AND(
  INDEX(Roadmap!$D:$K,MATCH($E171,Roadmap!$D:$D,0)+COUNTIF($E171:W171,"u")+COUNTIF($E171:W171,"t")+COUNTIF($E171:W171,"¶")+COUNTIF($E171:W171,"²")+COUNTIF($E171:W171,"µ")+COUNTIF($E171:W171,1),ColLivraison)=X$6,
  VLOOKUP($E171,INDIRECT("tri!"&amp; CHAR(64+ C0Col) &amp;":"&amp; CHAR(65+C0Col)),2,FALSE)&gt;COUNTIF($E171:W171,"u")+COUNTIF($E171:W171,"t")+COUNTIF($E171:W171,"¶")+COUNTIF($E171:W171,"²")+COUNTIF($E171:W171,"µ")+COUNTIF($E171:W171,1)),
HYPERLINK("#Roadmap!C"&amp; MATCH($E171,Roadmap!$D:$D,0)+COUNTIF($E171:W171,"u")+COUNTIF($E171:W171,"t"),
     INDEX(Roadmap!$D:$K,MATCH($E171,Roadmap!$D:$D,0)+COUNTIF($E171:W171,"u")+COUNTIF($E171:W171,"t")+COUNTIF($E171:W171,"¶")+COUNTIF($E171:W171,"²")+COUNTIF($E171:W171,"µ")+COUNTIF($E171:W171,1),ColTypeEcheance)),
  IF(LEN(W171)=1,
  IF(LEN(INDEX(Roadmap!$D:$K,MATCH($E171,Roadmap!$D:$D,0)-1+COUNTIF($E171:W171,"u")+COUNTIF($E171:W171,"t")+COUNTIF($E171:W171,"¶")+COUNTIF($E171:W171,"²")+COUNTIF($E171:W171,"µ")+COUNTIF($E171:W171,1),ColDescriptionCourte))&gt;1,
HYPERLINK("#Roadmap!C"&amp; MATCH($E171,Roadmap!$D:$D,0)+COUNTIF($E171:W171,"u")+COUNTIF($E171:W171,"t")+COUNTIF($E171:W171,"¶")+COUNTIF($E171:W171,"²")+COUNTIF($E171:W171,"µ")+COUNTIF($E171:W171,1)-1,INDEX(Roadmap!$D:$K,MATCH($E171,Roadmap!$D:$D,0)-1+COUNTIF($E171:W171,"u")+COUNTIF($E171:W171,"t")+COUNTIF($E171:W171,"¶")+COUNTIF($E171:W171,"²")+COUNTIF($E171:W171,"µ")+COUNTIF($E171:W171,1),ColDescriptionCourte)),""),
  "")),"")</f>
        <v/>
      </c>
      <c r="Y171" s="40" t="str">
        <f ca="1">IFERROR(IF(AND(
  INDEX(Roadmap!$D:$K,MATCH($E171,Roadmap!$D:$D,0)+COUNTIF($E171:X171,"u")+COUNTIF($E171:X171,"t")+COUNTIF($E171:X171,"¶")+COUNTIF($E171:X171,"²")+COUNTIF($E171:X171,"µ")+COUNTIF($E171:X171,1),ColLivraison)=Y$6,
  VLOOKUP($E171,INDIRECT("tri!"&amp; CHAR(64+ C0Col) &amp;":"&amp; CHAR(65+C0Col)),2,FALSE)&gt;COUNTIF($E171:X171,"u")+COUNTIF($E171:X171,"t")+COUNTIF($E171:X171,"¶")+COUNTIF($E171:X171,"²")+COUNTIF($E171:X171,"µ")+COUNTIF($E171:X171,1)),
HYPERLINK("#Roadmap!C"&amp; MATCH($E171,Roadmap!$D:$D,0)+COUNTIF($E171:X171,"u")+COUNTIF($E171:X171,"t"),
     INDEX(Roadmap!$D:$K,MATCH($E171,Roadmap!$D:$D,0)+COUNTIF($E171:X171,"u")+COUNTIF($E171:X171,"t")+COUNTIF($E171:X171,"¶")+COUNTIF($E171:X171,"²")+COUNTIF($E171:X171,"µ")+COUNTIF($E171:X171,1),ColTypeEcheance)),
  IF(LEN(X171)=1,
  IF(LEN(INDEX(Roadmap!$D:$K,MATCH($E171,Roadmap!$D:$D,0)-1+COUNTIF($E171:X171,"u")+COUNTIF($E171:X171,"t")+COUNTIF($E171:X171,"¶")+COUNTIF($E171:X171,"²")+COUNTIF($E171:X171,"µ")+COUNTIF($E171:X171,1),ColDescriptionCourte))&gt;1,
HYPERLINK("#Roadmap!C"&amp; MATCH($E171,Roadmap!$D:$D,0)+COUNTIF($E171:X171,"u")+COUNTIF($E171:X171,"t")+COUNTIF($E171:X171,"¶")+COUNTIF($E171:X171,"²")+COUNTIF($E171:X171,"µ")+COUNTIF($E171:X171,1)-1,INDEX(Roadmap!$D:$K,MATCH($E171,Roadmap!$D:$D,0)-1+COUNTIF($E171:X171,"u")+COUNTIF($E171:X171,"t")+COUNTIF($E171:X171,"¶")+COUNTIF($E171:X171,"²")+COUNTIF($E171:X171,"µ")+COUNTIF($E171:X171,1),ColDescriptionCourte)),""),
  "")),"")</f>
        <v/>
      </c>
      <c r="Z171" s="40" t="str">
        <f ca="1">IFERROR(IF(AND(
  INDEX(Roadmap!$D:$K,MATCH($E171,Roadmap!$D:$D,0)+COUNTIF($E171:Y171,"u")+COUNTIF($E171:Y171,"t")+COUNTIF($E171:Y171,"¶")+COUNTIF($E171:Y171,"²")+COUNTIF($E171:Y171,"µ")+COUNTIF($E171:Y171,1),ColLivraison)=Z$6,
  VLOOKUP($E171,INDIRECT("tri!"&amp; CHAR(64+ C0Col) &amp;":"&amp; CHAR(65+C0Col)),2,FALSE)&gt;COUNTIF($E171:Y171,"u")+COUNTIF($E171:Y171,"t")+COUNTIF($E171:Y171,"¶")+COUNTIF($E171:Y171,"²")+COUNTIF($E171:Y171,"µ")+COUNTIF($E171:Y171,1)),
HYPERLINK("#Roadmap!C"&amp; MATCH($E171,Roadmap!$D:$D,0)+COUNTIF($E171:Y171,"u")+COUNTIF($E171:Y171,"t"),
     INDEX(Roadmap!$D:$K,MATCH($E171,Roadmap!$D:$D,0)+COUNTIF($E171:Y171,"u")+COUNTIF($E171:Y171,"t")+COUNTIF($E171:Y171,"¶")+COUNTIF($E171:Y171,"²")+COUNTIF($E171:Y171,"µ")+COUNTIF($E171:Y171,1),ColTypeEcheance)),
  IF(LEN(Y171)=1,
  IF(LEN(INDEX(Roadmap!$D:$K,MATCH($E171,Roadmap!$D:$D,0)-1+COUNTIF($E171:Y171,"u")+COUNTIF($E171:Y171,"t")+COUNTIF($E171:Y171,"¶")+COUNTIF($E171:Y171,"²")+COUNTIF($E171:Y171,"µ")+COUNTIF($E171:Y171,1),ColDescriptionCourte))&gt;1,
HYPERLINK("#Roadmap!C"&amp; MATCH($E171,Roadmap!$D:$D,0)+COUNTIF($E171:Y171,"u")+COUNTIF($E171:Y171,"t")+COUNTIF($E171:Y171,"¶")+COUNTIF($E171:Y171,"²")+COUNTIF($E171:Y171,"µ")+COUNTIF($E171:Y171,1)-1,INDEX(Roadmap!$D:$K,MATCH($E171,Roadmap!$D:$D,0)-1+COUNTIF($E171:Y171,"u")+COUNTIF($E171:Y171,"t")+COUNTIF($E171:Y171,"¶")+COUNTIF($E171:Y171,"²")+COUNTIF($E171:Y171,"µ")+COUNTIF($E171:Y171,1),ColDescriptionCourte)),""),
  "")),"")</f>
        <v/>
      </c>
      <c r="AA171" s="40" t="str">
        <f ca="1">IFERROR(IF(AND(
  INDEX(Roadmap!$D:$K,MATCH($E171,Roadmap!$D:$D,0)+COUNTIF($E171:Z171,"u")+COUNTIF($E171:Z171,"t")+COUNTIF($E171:Z171,"¶")+COUNTIF($E171:Z171,"²")+COUNTIF($E171:Z171,"µ")+COUNTIF($E171:Z171,1),ColLivraison)=AA$6,
  VLOOKUP($E171,INDIRECT("tri!"&amp; CHAR(64+ C0Col) &amp;":"&amp; CHAR(65+C0Col)),2,FALSE)&gt;COUNTIF($E171:Z171,"u")+COUNTIF($E171:Z171,"t")+COUNTIF($E171:Z171,"¶")+COUNTIF($E171:Z171,"²")+COUNTIF($E171:Z171,"µ")+COUNTIF($E171:Z171,1)),
HYPERLINK("#Roadmap!C"&amp; MATCH($E171,Roadmap!$D:$D,0)+COUNTIF($E171:Z171,"u")+COUNTIF($E171:Z171,"t"),
     INDEX(Roadmap!$D:$K,MATCH($E171,Roadmap!$D:$D,0)+COUNTIF($E171:Z171,"u")+COUNTIF($E171:Z171,"t")+COUNTIF($E171:Z171,"¶")+COUNTIF($E171:Z171,"²")+COUNTIF($E171:Z171,"µ")+COUNTIF($E171:Z171,1),ColTypeEcheance)),
  IF(LEN(Z171)=1,
  IF(LEN(INDEX(Roadmap!$D:$K,MATCH($E171,Roadmap!$D:$D,0)-1+COUNTIF($E171:Z171,"u")+COUNTIF($E171:Z171,"t")+COUNTIF($E171:Z171,"¶")+COUNTIF($E171:Z171,"²")+COUNTIF($E171:Z171,"µ")+COUNTIF($E171:Z171,1),ColDescriptionCourte))&gt;1,
HYPERLINK("#Roadmap!C"&amp; MATCH($E171,Roadmap!$D:$D,0)+COUNTIF($E171:Z171,"u")+COUNTIF($E171:Z171,"t")+COUNTIF($E171:Z171,"¶")+COUNTIF($E171:Z171,"²")+COUNTIF($E171:Z171,"µ")+COUNTIF($E171:Z171,1)-1,INDEX(Roadmap!$D:$K,MATCH($E171,Roadmap!$D:$D,0)-1+COUNTIF($E171:Z171,"u")+COUNTIF($E171:Z171,"t")+COUNTIF($E171:Z171,"¶")+COUNTIF($E171:Z171,"²")+COUNTIF($E171:Z171,"µ")+COUNTIF($E171:Z171,1),ColDescriptionCourte)),""),
  "")),"")</f>
        <v/>
      </c>
      <c r="AB171" s="40" t="str">
        <f ca="1">IFERROR(IF(AND(
  INDEX(Roadmap!$D:$K,MATCH($E171,Roadmap!$D:$D,0)+COUNTIF($E171:AA171,"u")+COUNTIF($E171:AA171,"t")+COUNTIF($E171:AA171,"¶")+COUNTIF($E171:AA171,"²")+COUNTIF($E171:AA171,"µ")+COUNTIF($E171:AA171,1),ColLivraison)=AB$6,
  VLOOKUP($E171,INDIRECT("tri!"&amp; CHAR(64+ C0Col) &amp;":"&amp; CHAR(65+C0Col)),2,FALSE)&gt;COUNTIF($E171:AA171,"u")+COUNTIF($E171:AA171,"t")+COUNTIF($E171:AA171,"¶")+COUNTIF($E171:AA171,"²")+COUNTIF($E171:AA171,"µ")+COUNTIF($E171:AA171,1)),
HYPERLINK("#Roadmap!C"&amp; MATCH($E171,Roadmap!$D:$D,0)+COUNTIF($E171:AA171,"u")+COUNTIF($E171:AA171,"t"),
     INDEX(Roadmap!$D:$K,MATCH($E171,Roadmap!$D:$D,0)+COUNTIF($E171:AA171,"u")+COUNTIF($E171:AA171,"t")+COUNTIF($E171:AA171,"¶")+COUNTIF($E171:AA171,"²")+COUNTIF($E171:AA171,"µ")+COUNTIF($E171:AA171,1),ColTypeEcheance)),
  IF(LEN(AA171)=1,
  IF(LEN(INDEX(Roadmap!$D:$K,MATCH($E171,Roadmap!$D:$D,0)-1+COUNTIF($E171:AA171,"u")+COUNTIF($E171:AA171,"t")+COUNTIF($E171:AA171,"¶")+COUNTIF($E171:AA171,"²")+COUNTIF($E171:AA171,"µ")+COUNTIF($E171:AA171,1),ColDescriptionCourte))&gt;1,
HYPERLINK("#Roadmap!C"&amp; MATCH($E171,Roadmap!$D:$D,0)+COUNTIF($E171:AA171,"u")+COUNTIF($E171:AA171,"t")+COUNTIF($E171:AA171,"¶")+COUNTIF($E171:AA171,"²")+COUNTIF($E171:AA171,"µ")+COUNTIF($E171:AA171,1)-1,INDEX(Roadmap!$D:$K,MATCH($E171,Roadmap!$D:$D,0)-1+COUNTIF($E171:AA171,"u")+COUNTIF($E171:AA171,"t")+COUNTIF($E171:AA171,"¶")+COUNTIF($E171:AA171,"²")+COUNTIF($E171:AA171,"µ")+COUNTIF($E171:AA171,1),ColDescriptionCourte)),""),
  "")),"")</f>
        <v/>
      </c>
      <c r="AC171" s="40" t="str">
        <f ca="1">IFERROR(IF(AND(
  INDEX(Roadmap!$D:$K,MATCH($E171,Roadmap!$D:$D,0)+COUNTIF($E171:AB171,"u")+COUNTIF($E171:AB171,"t")+COUNTIF($E171:AB171,"¶")+COUNTIF($E171:AB171,"²")+COUNTIF($E171:AB171,"µ")+COUNTIF($E171:AB171,1),ColLivraison)=AC$6,
  VLOOKUP($E171,INDIRECT("tri!"&amp; CHAR(64+ C0Col) &amp;":"&amp; CHAR(65+C0Col)),2,FALSE)&gt;COUNTIF($E171:AB171,"u")+COUNTIF($E171:AB171,"t")+COUNTIF($E171:AB171,"¶")+COUNTIF($E171:AB171,"²")+COUNTIF($E171:AB171,"µ")+COUNTIF($E171:AB171,1)),
HYPERLINK("#Roadmap!C"&amp; MATCH($E171,Roadmap!$D:$D,0)+COUNTIF($E171:AB171,"u")+COUNTIF($E171:AB171,"t"),
     INDEX(Roadmap!$D:$K,MATCH($E171,Roadmap!$D:$D,0)+COUNTIF($E171:AB171,"u")+COUNTIF($E171:AB171,"t")+COUNTIF($E171:AB171,"¶")+COUNTIF($E171:AB171,"²")+COUNTIF($E171:AB171,"µ")+COUNTIF($E171:AB171,1),ColTypeEcheance)),
  IF(LEN(AB171)=1,
  IF(LEN(INDEX(Roadmap!$D:$K,MATCH($E171,Roadmap!$D:$D,0)-1+COUNTIF($E171:AB171,"u")+COUNTIF($E171:AB171,"t")+COUNTIF($E171:AB171,"¶")+COUNTIF($E171:AB171,"²")+COUNTIF($E171:AB171,"µ")+COUNTIF($E171:AB171,1),ColDescriptionCourte))&gt;1,
HYPERLINK("#Roadmap!C"&amp; MATCH($E171,Roadmap!$D:$D,0)+COUNTIF($E171:AB171,"u")+COUNTIF($E171:AB171,"t")+COUNTIF($E171:AB171,"¶")+COUNTIF($E171:AB171,"²")+COUNTIF($E171:AB171,"µ")+COUNTIF($E171:AB171,1)-1,INDEX(Roadmap!$D:$K,MATCH($E171,Roadmap!$D:$D,0)-1+COUNTIF($E171:AB171,"u")+COUNTIF($E171:AB171,"t")+COUNTIF($E171:AB171,"¶")+COUNTIF($E171:AB171,"²")+COUNTIF($E171:AB171,"µ")+COUNTIF($E171:AB171,1),ColDescriptionCourte)),""),
  "")),"")</f>
        <v/>
      </c>
      <c r="AD171" s="40" t="str">
        <f ca="1">IFERROR(IF(AND(
  INDEX(Roadmap!$D:$K,MATCH($E171,Roadmap!$D:$D,0)+COUNTIF($E171:AC171,"u")+COUNTIF($E171:AC171,"t")+COUNTIF($E171:AC171,"¶")+COUNTIF($E171:AC171,"²")+COUNTIF($E171:AC171,"µ")+COUNTIF($E171:AC171,1),ColLivraison)=AD$6,
  VLOOKUP($E171,INDIRECT("tri!"&amp; CHAR(64+ C0Col) &amp;":"&amp; CHAR(65+C0Col)),2,FALSE)&gt;COUNTIF($E171:AC171,"u")+COUNTIF($E171:AC171,"t")+COUNTIF($E171:AC171,"¶")+COUNTIF($E171:AC171,"²")+COUNTIF($E171:AC171,"µ")+COUNTIF($E171:AC171,1)),
HYPERLINK("#Roadmap!C"&amp; MATCH($E171,Roadmap!$D:$D,0)+COUNTIF($E171:AC171,"u")+COUNTIF($E171:AC171,"t"),
     INDEX(Roadmap!$D:$K,MATCH($E171,Roadmap!$D:$D,0)+COUNTIF($E171:AC171,"u")+COUNTIF($E171:AC171,"t")+COUNTIF($E171:AC171,"¶")+COUNTIF($E171:AC171,"²")+COUNTIF($E171:AC171,"µ")+COUNTIF($E171:AC171,1),ColTypeEcheance)),
  IF(LEN(AC171)=1,
  IF(LEN(INDEX(Roadmap!$D:$K,MATCH($E171,Roadmap!$D:$D,0)-1+COUNTIF($E171:AC171,"u")+COUNTIF($E171:AC171,"t")+COUNTIF($E171:AC171,"¶")+COUNTIF($E171:AC171,"²")+COUNTIF($E171:AC171,"µ")+COUNTIF($E171:AC171,1),ColDescriptionCourte))&gt;1,
HYPERLINK("#Roadmap!C"&amp; MATCH($E171,Roadmap!$D:$D,0)+COUNTIF($E171:AC171,"u")+COUNTIF($E171:AC171,"t")+COUNTIF($E171:AC171,"¶")+COUNTIF($E171:AC171,"²")+COUNTIF($E171:AC171,"µ")+COUNTIF($E171:AC171,1)-1,INDEX(Roadmap!$D:$K,MATCH($E171,Roadmap!$D:$D,0)-1+COUNTIF($E171:AC171,"u")+COUNTIF($E171:AC171,"t")+COUNTIF($E171:AC171,"¶")+COUNTIF($E171:AC171,"²")+COUNTIF($E171:AC171,"µ")+COUNTIF($E171:AC171,1),ColDescriptionCourte)),""),
  "")),"")</f>
        <v/>
      </c>
      <c r="AE171" s="40" t="str">
        <f ca="1">IFERROR(IF(AND(
  INDEX(Roadmap!$D:$K,MATCH($E171,Roadmap!$D:$D,0)+COUNTIF($E171:AD171,"u")+COUNTIF($E171:AD171,"t")+COUNTIF($E171:AD171,"¶")+COUNTIF($E171:AD171,"²")+COUNTIF($E171:AD171,"µ")+COUNTIF($E171:AD171,1),ColLivraison)=AE$6,
  VLOOKUP($E171,INDIRECT("tri!"&amp; CHAR(64+ C0Col) &amp;":"&amp; CHAR(65+C0Col)),2,FALSE)&gt;COUNTIF($E171:AD171,"u")+COUNTIF($E171:AD171,"t")+COUNTIF($E171:AD171,"¶")+COUNTIF($E171:AD171,"²")+COUNTIF($E171:AD171,"µ")+COUNTIF($E171:AD171,1)),
HYPERLINK("#Roadmap!C"&amp; MATCH($E171,Roadmap!$D:$D,0)+COUNTIF($E171:AD171,"u")+COUNTIF($E171:AD171,"t"),
     INDEX(Roadmap!$D:$K,MATCH($E171,Roadmap!$D:$D,0)+COUNTIF($E171:AD171,"u")+COUNTIF($E171:AD171,"t")+COUNTIF($E171:AD171,"¶")+COUNTIF($E171:AD171,"²")+COUNTIF($E171:AD171,"µ")+COUNTIF($E171:AD171,1),ColTypeEcheance)),
  IF(LEN(AD171)=1,
  IF(LEN(INDEX(Roadmap!$D:$K,MATCH($E171,Roadmap!$D:$D,0)-1+COUNTIF($E171:AD171,"u")+COUNTIF($E171:AD171,"t")+COUNTIF($E171:AD171,"¶")+COUNTIF($E171:AD171,"²")+COUNTIF($E171:AD171,"µ")+COUNTIF($E171:AD171,1),ColDescriptionCourte))&gt;1,
HYPERLINK("#Roadmap!C"&amp; MATCH($E171,Roadmap!$D:$D,0)+COUNTIF($E171:AD171,"u")+COUNTIF($E171:AD171,"t")+COUNTIF($E171:AD171,"¶")+COUNTIF($E171:AD171,"²")+COUNTIF($E171:AD171,"µ")+COUNTIF($E171:AD171,1)-1,INDEX(Roadmap!$D:$K,MATCH($E171,Roadmap!$D:$D,0)-1+COUNTIF($E171:AD171,"u")+COUNTIF($E171:AD171,"t")+COUNTIF($E171:AD171,"¶")+COUNTIF($E171:AD171,"²")+COUNTIF($E171:AD171,"µ")+COUNTIF($E171:AD171,1),ColDescriptionCourte)),""),
  "")),"")</f>
        <v/>
      </c>
      <c r="AF171" s="40" t="str">
        <f ca="1">IFERROR(IF(AND(
  INDEX(Roadmap!$D:$K,MATCH($E171,Roadmap!$D:$D,0)+COUNTIF($E171:AE171,"u")+COUNTIF($E171:AE171,"t")+COUNTIF($E171:AE171,"¶")+COUNTIF($E171:AE171,"²")+COUNTIF($E171:AE171,"µ")+COUNTIF($E171:AE171,1),ColLivraison)=AF$6,
  VLOOKUP($E171,INDIRECT("tri!"&amp; CHAR(64+ C0Col) &amp;":"&amp; CHAR(65+C0Col)),2,FALSE)&gt;COUNTIF($E171:AE171,"u")+COUNTIF($E171:AE171,"t")+COUNTIF($E171:AE171,"¶")+COUNTIF($E171:AE171,"²")+COUNTIF($E171:AE171,"µ")+COUNTIF($E171:AE171,1)),
HYPERLINK("#Roadmap!C"&amp; MATCH($E171,Roadmap!$D:$D,0)+COUNTIF($E171:AE171,"u")+COUNTIF($E171:AE171,"t"),
     INDEX(Roadmap!$D:$K,MATCH($E171,Roadmap!$D:$D,0)+COUNTIF($E171:AE171,"u")+COUNTIF($E171:AE171,"t")+COUNTIF($E171:AE171,"¶")+COUNTIF($E171:AE171,"²")+COUNTIF($E171:AE171,"µ")+COUNTIF($E171:AE171,1),ColTypeEcheance)),
  IF(LEN(AE171)=1,
  IF(LEN(INDEX(Roadmap!$D:$K,MATCH($E171,Roadmap!$D:$D,0)-1+COUNTIF($E171:AE171,"u")+COUNTIF($E171:AE171,"t")+COUNTIF($E171:AE171,"¶")+COUNTIF($E171:AE171,"²")+COUNTIF($E171:AE171,"µ")+COUNTIF($E171:AE171,1),ColDescriptionCourte))&gt;1,
HYPERLINK("#Roadmap!C"&amp; MATCH($E171,Roadmap!$D:$D,0)+COUNTIF($E171:AE171,"u")+COUNTIF($E171:AE171,"t")+COUNTIF($E171:AE171,"¶")+COUNTIF($E171:AE171,"²")+COUNTIF($E171:AE171,"µ")+COUNTIF($E171:AE171,1)-1,INDEX(Roadmap!$D:$K,MATCH($E171,Roadmap!$D:$D,0)-1+COUNTIF($E171:AE171,"u")+COUNTIF($E171:AE171,"t")+COUNTIF($E171:AE171,"¶")+COUNTIF($E171:AE171,"²")+COUNTIF($E171:AE171,"µ")+COUNTIF($E171:AE171,1),ColDescriptionCourte)),""),
  "")),"")</f>
        <v/>
      </c>
      <c r="AG171" s="40" t="str">
        <f ca="1">IFERROR(IF(AND(
  INDEX(Roadmap!$D:$K,MATCH($E171,Roadmap!$D:$D,0)+COUNTIF($E171:AF171,"u")+COUNTIF($E171:AF171,"t")+COUNTIF($E171:AF171,"¶")+COUNTIF($E171:AF171,"²")+COUNTIF($E171:AF171,"µ")+COUNTIF($E171:AF171,1),ColLivraison)=AG$6,
  VLOOKUP($E171,INDIRECT("tri!"&amp; CHAR(64+ C0Col) &amp;":"&amp; CHAR(65+C0Col)),2,FALSE)&gt;COUNTIF($E171:AF171,"u")+COUNTIF($E171:AF171,"t")+COUNTIF($E171:AF171,"¶")+COUNTIF($E171:AF171,"²")+COUNTIF($E171:AF171,"µ")+COUNTIF($E171:AF171,1)),
HYPERLINK("#Roadmap!C"&amp; MATCH($E171,Roadmap!$D:$D,0)+COUNTIF($E171:AF171,"u")+COUNTIF($E171:AF171,"t"),
     INDEX(Roadmap!$D:$K,MATCH($E171,Roadmap!$D:$D,0)+COUNTIF($E171:AF171,"u")+COUNTIF($E171:AF171,"t")+COUNTIF($E171:AF171,"¶")+COUNTIF($E171:AF171,"²")+COUNTIF($E171:AF171,"µ")+COUNTIF($E171:AF171,1),ColTypeEcheance)),
  IF(LEN(AF171)=1,
  IF(LEN(INDEX(Roadmap!$D:$K,MATCH($E171,Roadmap!$D:$D,0)-1+COUNTIF($E171:AF171,"u")+COUNTIF($E171:AF171,"t")+COUNTIF($E171:AF171,"¶")+COUNTIF($E171:AF171,"²")+COUNTIF($E171:AF171,"µ")+COUNTIF($E171:AF171,1),ColDescriptionCourte))&gt;1,
HYPERLINK("#Roadmap!C"&amp; MATCH($E171,Roadmap!$D:$D,0)+COUNTIF($E171:AF171,"u")+COUNTIF($E171:AF171,"t")+COUNTIF($E171:AF171,"¶")+COUNTIF($E171:AF171,"²")+COUNTIF($E171:AF171,"µ")+COUNTIF($E171:AF171,1)-1,INDEX(Roadmap!$D:$K,MATCH($E171,Roadmap!$D:$D,0)-1+COUNTIF($E171:AF171,"u")+COUNTIF($E171:AF171,"t")+COUNTIF($E171:AF171,"¶")+COUNTIF($E171:AF171,"²")+COUNTIF($E171:AF171,"µ")+COUNTIF($E171:AF171,1),ColDescriptionCourte)),""),
  "")),"")</f>
        <v/>
      </c>
    </row>
    <row r="172" spans="3:33" ht="14.25" customHeight="1">
      <c r="C172" s="1" t="str">
        <f t="shared" ca="1" si="54"/>
        <v/>
      </c>
      <c r="D172" s="1" t="str">
        <f t="shared" ca="1" si="55"/>
        <v/>
      </c>
      <c r="E172" s="35" t="str">
        <f t="shared" ca="1" si="51"/>
        <v/>
      </c>
      <c r="F172" s="39" t="str">
        <f ca="1">IFERROR(IF(AND(
  INDEX(Roadmap!$D:$K,MATCH($E172,Roadmap!$D:$D,0)+COUNTIF($E172:E172,"u")+COUNTIF($E172:E172,"t")+COUNTIF($E172:E172,"¶")+COUNTIF($E172:E172,"²")+COUNTIF($E172:E172,"µ")+COUNTIF($E172:E172,1),ColLivraison)=F$6,
  VLOOKUP($E172,INDIRECT("tri!"&amp; CHAR(64+ C0Col) &amp;":"&amp; CHAR(65+C0Col)),2,FALSE)&gt;COUNTIF($E172:E172,"u")+COUNTIF($E172:E172,"t")+COUNTIF($E172:E172,"¶")+COUNTIF($E172:E172,"²")+COUNTIF($E172:E172,"µ")+COUNTIF($E172:E172,1)),
HYPERLINK("#Roadmap!C"&amp; MATCH($E172,Roadmap!$D:$D,0)+COUNTIF($E172:E172,"u")+COUNTIF($E172:E172,"t"),
     INDEX(Roadmap!$D:$K,MATCH($E172,Roadmap!$D:$D,0)+COUNTIF($E172:E172,"u")+COUNTIF($E172:E172,"t")+COUNTIF($E172:E172,"¶")+COUNTIF($E172:E172,"²")+COUNTIF($E172:E172,"µ")+COUNTIF($E172:E172,1),ColTypeEcheance)),
  IF(LEN(E172)=1,
  IF(LEN(INDEX(Roadmap!$D:$K,MATCH($E172,Roadmap!$D:$D,0)-1+COUNTIF($E172:E172,"u")+COUNTIF($E172:E172,"t")+COUNTIF($E172:E172,"¶")+COUNTIF($E172:E172,"²")+COUNTIF($E172:E172,"µ")+COUNTIF($E172:E172,1),ColDescriptionCourte))&gt;1,
HYPERLINK("#Roadmap!C"&amp; MATCH($E172,Roadmap!$D:$D,0)+COUNTIF($E172:E172,"u")+COUNTIF($E172:E172,"t")+COUNTIF($E172:E172,"¶")+COUNTIF($E172:E172,"²")+COUNTIF($E172:E172,"µ")+COUNTIF($E172:E172,1)-1,INDEX(Roadmap!$D:$K,MATCH($E172,Roadmap!$D:$D,0)-1+COUNTIF($E172:E172,"u")+COUNTIF($E172:E172,"t")+COUNTIF($E172:E172,"¶")+COUNTIF($E172:E172,"²")+COUNTIF($E172:E172,"µ")+COUNTIF($E172:E172,1),ColDescriptionCourte)),""),
  "")),"")</f>
        <v/>
      </c>
      <c r="G172" s="40" t="str">
        <f ca="1">IFERROR(IF(AND(
  INDEX(Roadmap!$D:$K,MATCH($E172,Roadmap!$D:$D,0)+COUNTIF($E172:F172,"u")+COUNTIF($E172:F172,"t")+COUNTIF($E172:F172,"¶")+COUNTIF($E172:F172,"²")+COUNTIF($E172:F172,"µ")+COUNTIF($E172:F172,1),ColLivraison)=G$6,
  VLOOKUP($E172,INDIRECT("tri!"&amp; CHAR(64+ C0Col) &amp;":"&amp; CHAR(65+C0Col)),2,FALSE)&gt;COUNTIF($E172:F172,"u")+COUNTIF($E172:F172,"t")+COUNTIF($E172:F172,"¶")+COUNTIF($E172:F172,"²")+COUNTIF($E172:F172,"µ")+COUNTIF($E172:F172,1)),
HYPERLINK("#Roadmap!C"&amp; MATCH($E172,Roadmap!$D:$D,0)+COUNTIF($E172:F172,"u")+COUNTIF($E172:F172,"t"),
     INDEX(Roadmap!$D:$K,MATCH($E172,Roadmap!$D:$D,0)+COUNTIF($E172:F172,"u")+COUNTIF($E172:F172,"t")+COUNTIF($E172:F172,"¶")+COUNTIF($E172:F172,"²")+COUNTIF($E172:F172,"µ")+COUNTIF($E172:F172,1),ColTypeEcheance)),
  IF(LEN(F172)=1,
  IF(LEN(INDEX(Roadmap!$D:$K,MATCH($E172,Roadmap!$D:$D,0)-1+COUNTIF($E172:F172,"u")+COUNTIF($E172:F172,"t")+COUNTIF($E172:F172,"¶")+COUNTIF($E172:F172,"²")+COUNTIF($E172:F172,"µ")+COUNTIF($E172:F172,1),ColDescriptionCourte))&gt;1,
HYPERLINK("#Roadmap!C"&amp; MATCH($E172,Roadmap!$D:$D,0)+COUNTIF($E172:F172,"u")+COUNTIF($E172:F172,"t")+COUNTIF($E172:F172,"¶")+COUNTIF($E172:F172,"²")+COUNTIF($E172:F172,"µ")+COUNTIF($E172:F172,1)-1,INDEX(Roadmap!$D:$K,MATCH($E172,Roadmap!$D:$D,0)-1+COUNTIF($E172:F172,"u")+COUNTIF($E172:F172,"t")+COUNTIF($E172:F172,"¶")+COUNTIF($E172:F172,"²")+COUNTIF($E172:F172,"µ")+COUNTIF($E172:F172,1),ColDescriptionCourte)),""),
  "")),"")</f>
        <v/>
      </c>
      <c r="H172" s="40" t="str">
        <f ca="1">IFERROR(IF(AND(
  INDEX(Roadmap!$D:$K,MATCH($E172,Roadmap!$D:$D,0)+COUNTIF($E172:G172,"u")+COUNTIF($E172:G172,"t")+COUNTIF($E172:G172,"¶")+COUNTIF($E172:G172,"²")+COUNTIF($E172:G172,"µ")+COUNTIF($E172:G172,1),ColLivraison)=H$6,
  VLOOKUP($E172,INDIRECT("tri!"&amp; CHAR(64+ C0Col) &amp;":"&amp; CHAR(65+C0Col)),2,FALSE)&gt;COUNTIF($E172:G172,"u")+COUNTIF($E172:G172,"t")+COUNTIF($E172:G172,"¶")+COUNTIF($E172:G172,"²")+COUNTIF($E172:G172,"µ")+COUNTIF($E172:G172,1)),
HYPERLINK("#Roadmap!C"&amp; MATCH($E172,Roadmap!$D:$D,0)+COUNTIF($E172:G172,"u")+COUNTIF($E172:G172,"t"),
     INDEX(Roadmap!$D:$K,MATCH($E172,Roadmap!$D:$D,0)+COUNTIF($E172:G172,"u")+COUNTIF($E172:G172,"t")+COUNTIF($E172:G172,"¶")+COUNTIF($E172:G172,"²")+COUNTIF($E172:G172,"µ")+COUNTIF($E172:G172,1),ColTypeEcheance)),
  IF(LEN(G172)=1,
  IF(LEN(INDEX(Roadmap!$D:$K,MATCH($E172,Roadmap!$D:$D,0)-1+COUNTIF($E172:G172,"u")+COUNTIF($E172:G172,"t")+COUNTIF($E172:G172,"¶")+COUNTIF($E172:G172,"²")+COUNTIF($E172:G172,"µ")+COUNTIF($E172:G172,1),ColDescriptionCourte))&gt;1,
HYPERLINK("#Roadmap!C"&amp; MATCH($E172,Roadmap!$D:$D,0)+COUNTIF($E172:G172,"u")+COUNTIF($E172:G172,"t")+COUNTIF($E172:G172,"¶")+COUNTIF($E172:G172,"²")+COUNTIF($E172:G172,"µ")+COUNTIF($E172:G172,1)-1,INDEX(Roadmap!$D:$K,MATCH($E172,Roadmap!$D:$D,0)-1+COUNTIF($E172:G172,"u")+COUNTIF($E172:G172,"t")+COUNTIF($E172:G172,"¶")+COUNTIF($E172:G172,"²")+COUNTIF($E172:G172,"µ")+COUNTIF($E172:G172,1),ColDescriptionCourte)),""),
  "")),"")</f>
        <v/>
      </c>
      <c r="I172" s="40" t="str">
        <f ca="1">IFERROR(IF(AND(
  INDEX(Roadmap!$D:$K,MATCH($E172,Roadmap!$D:$D,0)+COUNTIF($E172:H172,"u")+COUNTIF($E172:H172,"t")+COUNTIF($E172:H172,"¶")+COUNTIF($E172:H172,"²")+COUNTIF($E172:H172,"µ")+COUNTIF($E172:H172,1),ColLivraison)=I$6,
  VLOOKUP($E172,INDIRECT("tri!"&amp; CHAR(64+ C0Col) &amp;":"&amp; CHAR(65+C0Col)),2,FALSE)&gt;COUNTIF($E172:H172,"u")+COUNTIF($E172:H172,"t")+COUNTIF($E172:H172,"¶")+COUNTIF($E172:H172,"²")+COUNTIF($E172:H172,"µ")+COUNTIF($E172:H172,1)),
HYPERLINK("#Roadmap!C"&amp; MATCH($E172,Roadmap!$D:$D,0)+COUNTIF($E172:H172,"u")+COUNTIF($E172:H172,"t"),
     INDEX(Roadmap!$D:$K,MATCH($E172,Roadmap!$D:$D,0)+COUNTIF($E172:H172,"u")+COUNTIF($E172:H172,"t")+COUNTIF($E172:H172,"¶")+COUNTIF($E172:H172,"²")+COUNTIF($E172:H172,"µ")+COUNTIF($E172:H172,1),ColTypeEcheance)),
  IF(LEN(H172)=1,
  IF(LEN(INDEX(Roadmap!$D:$K,MATCH($E172,Roadmap!$D:$D,0)-1+COUNTIF($E172:H172,"u")+COUNTIF($E172:H172,"t")+COUNTIF($E172:H172,"¶")+COUNTIF($E172:H172,"²")+COUNTIF($E172:H172,"µ")+COUNTIF($E172:H172,1),ColDescriptionCourte))&gt;1,
HYPERLINK("#Roadmap!C"&amp; MATCH($E172,Roadmap!$D:$D,0)+COUNTIF($E172:H172,"u")+COUNTIF($E172:H172,"t")+COUNTIF($E172:H172,"¶")+COUNTIF($E172:H172,"²")+COUNTIF($E172:H172,"µ")+COUNTIF($E172:H172,1)-1,INDEX(Roadmap!$D:$K,MATCH($E172,Roadmap!$D:$D,0)-1+COUNTIF($E172:H172,"u")+COUNTIF($E172:H172,"t")+COUNTIF($E172:H172,"¶")+COUNTIF($E172:H172,"²")+COUNTIF($E172:H172,"µ")+COUNTIF($E172:H172,1),ColDescriptionCourte)),""),
  "")),"")</f>
        <v/>
      </c>
      <c r="J172" s="40" t="str">
        <f ca="1">IFERROR(IF(AND(
  INDEX(Roadmap!$D:$K,MATCH($E172,Roadmap!$D:$D,0)+COUNTIF($E172:I172,"u")+COUNTIF($E172:I172,"t")+COUNTIF($E172:I172,"¶")+COUNTIF($E172:I172,"²")+COUNTIF($E172:I172,"µ")+COUNTIF($E172:I172,1),ColLivraison)=J$6,
  VLOOKUP($E172,INDIRECT("tri!"&amp; CHAR(64+ C0Col) &amp;":"&amp; CHAR(65+C0Col)),2,FALSE)&gt;COUNTIF($E172:I172,"u")+COUNTIF($E172:I172,"t")+COUNTIF($E172:I172,"¶")+COUNTIF($E172:I172,"²")+COUNTIF($E172:I172,"µ")+COUNTIF($E172:I172,1)),
HYPERLINK("#Roadmap!C"&amp; MATCH($E172,Roadmap!$D:$D,0)+COUNTIF($E172:I172,"u")+COUNTIF($E172:I172,"t"),
     INDEX(Roadmap!$D:$K,MATCH($E172,Roadmap!$D:$D,0)+COUNTIF($E172:I172,"u")+COUNTIF($E172:I172,"t")+COUNTIF($E172:I172,"¶")+COUNTIF($E172:I172,"²")+COUNTIF($E172:I172,"µ")+COUNTIF($E172:I172,1),ColTypeEcheance)),
  IF(LEN(I172)=1,
  IF(LEN(INDEX(Roadmap!$D:$K,MATCH($E172,Roadmap!$D:$D,0)-1+COUNTIF($E172:I172,"u")+COUNTIF($E172:I172,"t")+COUNTIF($E172:I172,"¶")+COUNTIF($E172:I172,"²")+COUNTIF($E172:I172,"µ")+COUNTIF($E172:I172,1),ColDescriptionCourte))&gt;1,
HYPERLINK("#Roadmap!C"&amp; MATCH($E172,Roadmap!$D:$D,0)+COUNTIF($E172:I172,"u")+COUNTIF($E172:I172,"t")+COUNTIF($E172:I172,"¶")+COUNTIF($E172:I172,"²")+COUNTIF($E172:I172,"µ")+COUNTIF($E172:I172,1)-1,INDEX(Roadmap!$D:$K,MATCH($E172,Roadmap!$D:$D,0)-1+COUNTIF($E172:I172,"u")+COUNTIF($E172:I172,"t")+COUNTIF($E172:I172,"¶")+COUNTIF($E172:I172,"²")+COUNTIF($E172:I172,"µ")+COUNTIF($E172:I172,1),ColDescriptionCourte)),""),
  "")),"")</f>
        <v/>
      </c>
      <c r="K172" s="40" t="str">
        <f ca="1">IFERROR(IF(AND(
  INDEX(Roadmap!$D:$K,MATCH($E172,Roadmap!$D:$D,0)+COUNTIF($E172:J172,"u")+COUNTIF($E172:J172,"t")+COUNTIF($E172:J172,"¶")+COUNTIF($E172:J172,"²")+COUNTIF($E172:J172,"µ")+COUNTIF($E172:J172,1),ColLivraison)=K$6,
  VLOOKUP($E172,INDIRECT("tri!"&amp; CHAR(64+ C0Col) &amp;":"&amp; CHAR(65+C0Col)),2,FALSE)&gt;COUNTIF($E172:J172,"u")+COUNTIF($E172:J172,"t")+COUNTIF($E172:J172,"¶")+COUNTIF($E172:J172,"²")+COUNTIF($E172:J172,"µ")+COUNTIF($E172:J172,1)),
HYPERLINK("#Roadmap!C"&amp; MATCH($E172,Roadmap!$D:$D,0)+COUNTIF($E172:J172,"u")+COUNTIF($E172:J172,"t"),
     INDEX(Roadmap!$D:$K,MATCH($E172,Roadmap!$D:$D,0)+COUNTIF($E172:J172,"u")+COUNTIF($E172:J172,"t")+COUNTIF($E172:J172,"¶")+COUNTIF($E172:J172,"²")+COUNTIF($E172:J172,"µ")+COUNTIF($E172:J172,1),ColTypeEcheance)),
  IF(LEN(J172)=1,
  IF(LEN(INDEX(Roadmap!$D:$K,MATCH($E172,Roadmap!$D:$D,0)-1+COUNTIF($E172:J172,"u")+COUNTIF($E172:J172,"t")+COUNTIF($E172:J172,"¶")+COUNTIF($E172:J172,"²")+COUNTIF($E172:J172,"µ")+COUNTIF($E172:J172,1),ColDescriptionCourte))&gt;1,
HYPERLINK("#Roadmap!C"&amp; MATCH($E172,Roadmap!$D:$D,0)+COUNTIF($E172:J172,"u")+COUNTIF($E172:J172,"t")+COUNTIF($E172:J172,"¶")+COUNTIF($E172:J172,"²")+COUNTIF($E172:J172,"µ")+COUNTIF($E172:J172,1)-1,INDEX(Roadmap!$D:$K,MATCH($E172,Roadmap!$D:$D,0)-1+COUNTIF($E172:J172,"u")+COUNTIF($E172:J172,"t")+COUNTIF($E172:J172,"¶")+COUNTIF($E172:J172,"²")+COUNTIF($E172:J172,"µ")+COUNTIF($E172:J172,1),ColDescriptionCourte)),""),
  "")),"")</f>
        <v/>
      </c>
      <c r="L172" s="39" t="str">
        <f ca="1">IFERROR(IF(AND(
  INDEX(Roadmap!$D:$K,MATCH($E172,Roadmap!$D:$D,0)+COUNTIF($E172:K172,"u")+COUNTIF($E172:K172,"t")+COUNTIF($E172:K172,"¶")+COUNTIF($E172:K172,"²")+COUNTIF($E172:K172,"µ")+COUNTIF($E172:K172,1),ColLivraison)=L$6,
  VLOOKUP($E172,INDIRECT("tri!"&amp; CHAR(64+ C0Col) &amp;":"&amp; CHAR(65+C0Col)),2,FALSE)&gt;COUNTIF($E172:K172,"u")+COUNTIF($E172:K172,"t")+COUNTIF($E172:K172,"¶")+COUNTIF($E172:K172,"²")+COUNTIF($E172:K172,"µ")+COUNTIF($E172:K172,1)),
HYPERLINK("#Roadmap!C"&amp; MATCH($E172,Roadmap!$D:$D,0)+COUNTIF($E172:K172,"u")+COUNTIF($E172:K172,"t"),
     INDEX(Roadmap!$D:$K,MATCH($E172,Roadmap!$D:$D,0)+COUNTIF($E172:K172,"u")+COUNTIF($E172:K172,"t")+COUNTIF($E172:K172,"¶")+COUNTIF($E172:K172,"²")+COUNTIF($E172:K172,"µ")+COUNTIF($E172:K172,1),ColTypeEcheance)),
  IF(LEN(K172)=1,
  IF(LEN(INDEX(Roadmap!$D:$K,MATCH($E172,Roadmap!$D:$D,0)-1+COUNTIF($E172:K172,"u")+COUNTIF($E172:K172,"t")+COUNTIF($E172:K172,"¶")+COUNTIF($E172:K172,"²")+COUNTIF($E172:K172,"µ")+COUNTIF($E172:K172,1),ColDescriptionCourte))&gt;1,
HYPERLINK("#Roadmap!C"&amp; MATCH($E172,Roadmap!$D:$D,0)+COUNTIF($E172:K172,"u")+COUNTIF($E172:K172,"t")+COUNTIF($E172:K172,"¶")+COUNTIF($E172:K172,"²")+COUNTIF($E172:K172,"µ")+COUNTIF($E172:K172,1)-1,INDEX(Roadmap!$D:$K,MATCH($E172,Roadmap!$D:$D,0)-1+COUNTIF($E172:K172,"u")+COUNTIF($E172:K172,"t")+COUNTIF($E172:K172,"¶")+COUNTIF($E172:K172,"²")+COUNTIF($E172:K172,"µ")+COUNTIF($E172:K172,1),ColDescriptionCourte)),""),
  "")),"")</f>
        <v/>
      </c>
      <c r="M172" s="40" t="str">
        <f ca="1">IFERROR(IF(AND(
  INDEX(Roadmap!$D:$K,MATCH($E172,Roadmap!$D:$D,0)+COUNTIF($E172:L172,"u")+COUNTIF($E172:L172,"t")+COUNTIF($E172:L172,"¶")+COUNTIF($E172:L172,"²")+COUNTIF($E172:L172,"µ")+COUNTIF($E172:L172,1),ColLivraison)=M$6,
  VLOOKUP($E172,INDIRECT("tri!"&amp; CHAR(64+ C0Col) &amp;":"&amp; CHAR(65+C0Col)),2,FALSE)&gt;COUNTIF($E172:L172,"u")+COUNTIF($E172:L172,"t")+COUNTIF($E172:L172,"¶")+COUNTIF($E172:L172,"²")+COUNTIF($E172:L172,"µ")+COUNTIF($E172:L172,1)),
HYPERLINK("#Roadmap!C"&amp; MATCH($E172,Roadmap!$D:$D,0)+COUNTIF($E172:L172,"u")+COUNTIF($E172:L172,"t"),
     INDEX(Roadmap!$D:$K,MATCH($E172,Roadmap!$D:$D,0)+COUNTIF($E172:L172,"u")+COUNTIF($E172:L172,"t")+COUNTIF($E172:L172,"¶")+COUNTIF($E172:L172,"²")+COUNTIF($E172:L172,"µ")+COUNTIF($E172:L172,1),ColTypeEcheance)),
  IF(LEN(L172)=1,
  IF(LEN(INDEX(Roadmap!$D:$K,MATCH($E172,Roadmap!$D:$D,0)-1+COUNTIF($E172:L172,"u")+COUNTIF($E172:L172,"t")+COUNTIF($E172:L172,"¶")+COUNTIF($E172:L172,"²")+COUNTIF($E172:L172,"µ")+COUNTIF($E172:L172,1),ColDescriptionCourte))&gt;1,
HYPERLINK("#Roadmap!C"&amp; MATCH($E172,Roadmap!$D:$D,0)+COUNTIF($E172:L172,"u")+COUNTIF($E172:L172,"t")+COUNTIF($E172:L172,"¶")+COUNTIF($E172:L172,"²")+COUNTIF($E172:L172,"µ")+COUNTIF($E172:L172,1)-1,INDEX(Roadmap!$D:$K,MATCH($E172,Roadmap!$D:$D,0)-1+COUNTIF($E172:L172,"u")+COUNTIF($E172:L172,"t")+COUNTIF($E172:L172,"¶")+COUNTIF($E172:L172,"²")+COUNTIF($E172:L172,"µ")+COUNTIF($E172:L172,1),ColDescriptionCourte)),""),
  "")),"")</f>
        <v/>
      </c>
      <c r="N172" s="40" t="str">
        <f ca="1">IFERROR(IF(AND(
  INDEX(Roadmap!$D:$K,MATCH($E172,Roadmap!$D:$D,0)+COUNTIF($E172:M172,"u")+COUNTIF($E172:M172,"t")+COUNTIF($E172:M172,"¶")+COUNTIF($E172:M172,"²")+COUNTIF($E172:M172,"µ")+COUNTIF($E172:M172,1),ColLivraison)=N$6,
  VLOOKUP($E172,INDIRECT("tri!"&amp; CHAR(64+ C0Col) &amp;":"&amp; CHAR(65+C0Col)),2,FALSE)&gt;COUNTIF($E172:M172,"u")+COUNTIF($E172:M172,"t")+COUNTIF($E172:M172,"¶")+COUNTIF($E172:M172,"²")+COUNTIF($E172:M172,"µ")+COUNTIF($E172:M172,1)),
HYPERLINK("#Roadmap!C"&amp; MATCH($E172,Roadmap!$D:$D,0)+COUNTIF($E172:M172,"u")+COUNTIF($E172:M172,"t"),
     INDEX(Roadmap!$D:$K,MATCH($E172,Roadmap!$D:$D,0)+COUNTIF($E172:M172,"u")+COUNTIF($E172:M172,"t")+COUNTIF($E172:M172,"¶")+COUNTIF($E172:M172,"²")+COUNTIF($E172:M172,"µ")+COUNTIF($E172:M172,1),ColTypeEcheance)),
  IF(LEN(M172)=1,
  IF(LEN(INDEX(Roadmap!$D:$K,MATCH($E172,Roadmap!$D:$D,0)-1+COUNTIF($E172:M172,"u")+COUNTIF($E172:M172,"t")+COUNTIF($E172:M172,"¶")+COUNTIF($E172:M172,"²")+COUNTIF($E172:M172,"µ")+COUNTIF($E172:M172,1),ColDescriptionCourte))&gt;1,
HYPERLINK("#Roadmap!C"&amp; MATCH($E172,Roadmap!$D:$D,0)+COUNTIF($E172:M172,"u")+COUNTIF($E172:M172,"t")+COUNTIF($E172:M172,"¶")+COUNTIF($E172:M172,"²")+COUNTIF($E172:M172,"µ")+COUNTIF($E172:M172,1)-1,INDEX(Roadmap!$D:$K,MATCH($E172,Roadmap!$D:$D,0)-1+COUNTIF($E172:M172,"u")+COUNTIF($E172:M172,"t")+COUNTIF($E172:M172,"¶")+COUNTIF($E172:M172,"²")+COUNTIF($E172:M172,"µ")+COUNTIF($E172:M172,1),ColDescriptionCourte)),""),
  "")),"")</f>
        <v/>
      </c>
      <c r="O172" s="40" t="str">
        <f ca="1">IFERROR(IF(AND(
  INDEX(Roadmap!$D:$K,MATCH($E172,Roadmap!$D:$D,0)+COUNTIF($E172:N172,"u")+COUNTIF($E172:N172,"t")+COUNTIF($E172:N172,"¶")+COUNTIF($E172:N172,"²")+COUNTIF($E172:N172,"µ")+COUNTIF($E172:N172,1),ColLivraison)=O$6,
  VLOOKUP($E172,INDIRECT("tri!"&amp; CHAR(64+ C0Col) &amp;":"&amp; CHAR(65+C0Col)),2,FALSE)&gt;COUNTIF($E172:N172,"u")+COUNTIF($E172:N172,"t")+COUNTIF($E172:N172,"¶")+COUNTIF($E172:N172,"²")+COUNTIF($E172:N172,"µ")+COUNTIF($E172:N172,1)),
HYPERLINK("#Roadmap!C"&amp; MATCH($E172,Roadmap!$D:$D,0)+COUNTIF($E172:N172,"u")+COUNTIF($E172:N172,"t"),
     INDEX(Roadmap!$D:$K,MATCH($E172,Roadmap!$D:$D,0)+COUNTIF($E172:N172,"u")+COUNTIF($E172:N172,"t")+COUNTIF($E172:N172,"¶")+COUNTIF($E172:N172,"²")+COUNTIF($E172:N172,"µ")+COUNTIF($E172:N172,1),ColTypeEcheance)),
  IF(LEN(N172)=1,
  IF(LEN(INDEX(Roadmap!$D:$K,MATCH($E172,Roadmap!$D:$D,0)-1+COUNTIF($E172:N172,"u")+COUNTIF($E172:N172,"t")+COUNTIF($E172:N172,"¶")+COUNTIF($E172:N172,"²")+COUNTIF($E172:N172,"µ")+COUNTIF($E172:N172,1),ColDescriptionCourte))&gt;1,
HYPERLINK("#Roadmap!C"&amp; MATCH($E172,Roadmap!$D:$D,0)+COUNTIF($E172:N172,"u")+COUNTIF($E172:N172,"t")+COUNTIF($E172:N172,"¶")+COUNTIF($E172:N172,"²")+COUNTIF($E172:N172,"µ")+COUNTIF($E172:N172,1)-1,INDEX(Roadmap!$D:$K,MATCH($E172,Roadmap!$D:$D,0)-1+COUNTIF($E172:N172,"u")+COUNTIF($E172:N172,"t")+COUNTIF($E172:N172,"¶")+COUNTIF($E172:N172,"²")+COUNTIF($E172:N172,"µ")+COUNTIF($E172:N172,1),ColDescriptionCourte)),""),
  "")),"")</f>
        <v/>
      </c>
      <c r="P172" s="40" t="str">
        <f ca="1">IFERROR(IF(AND(
  INDEX(Roadmap!$D:$K,MATCH($E172,Roadmap!$D:$D,0)+COUNTIF($E172:O172,"u")+COUNTIF($E172:O172,"t")+COUNTIF($E172:O172,"¶")+COUNTIF($E172:O172,"²")+COUNTIF($E172:O172,"µ")+COUNTIF($E172:O172,1),ColLivraison)=P$6,
  VLOOKUP($E172,INDIRECT("tri!"&amp; CHAR(64+ C0Col) &amp;":"&amp; CHAR(65+C0Col)),2,FALSE)&gt;COUNTIF($E172:O172,"u")+COUNTIF($E172:O172,"t")+COUNTIF($E172:O172,"¶")+COUNTIF($E172:O172,"²")+COUNTIF($E172:O172,"µ")+COUNTIF($E172:O172,1)),
HYPERLINK("#Roadmap!C"&amp; MATCH($E172,Roadmap!$D:$D,0)+COUNTIF($E172:O172,"u")+COUNTIF($E172:O172,"t"),
     INDEX(Roadmap!$D:$K,MATCH($E172,Roadmap!$D:$D,0)+COUNTIF($E172:O172,"u")+COUNTIF($E172:O172,"t")+COUNTIF($E172:O172,"¶")+COUNTIF($E172:O172,"²")+COUNTIF($E172:O172,"µ")+COUNTIF($E172:O172,1),ColTypeEcheance)),
  IF(LEN(O172)=1,
  IF(LEN(INDEX(Roadmap!$D:$K,MATCH($E172,Roadmap!$D:$D,0)-1+COUNTIF($E172:O172,"u")+COUNTIF($E172:O172,"t")+COUNTIF($E172:O172,"¶")+COUNTIF($E172:O172,"²")+COUNTIF($E172:O172,"µ")+COUNTIF($E172:O172,1),ColDescriptionCourte))&gt;1,
HYPERLINK("#Roadmap!C"&amp; MATCH($E172,Roadmap!$D:$D,0)+COUNTIF($E172:O172,"u")+COUNTIF($E172:O172,"t")+COUNTIF($E172:O172,"¶")+COUNTIF($E172:O172,"²")+COUNTIF($E172:O172,"µ")+COUNTIF($E172:O172,1)-1,INDEX(Roadmap!$D:$K,MATCH($E172,Roadmap!$D:$D,0)-1+COUNTIF($E172:O172,"u")+COUNTIF($E172:O172,"t")+COUNTIF($E172:O172,"¶")+COUNTIF($E172:O172,"²")+COUNTIF($E172:O172,"µ")+COUNTIF($E172:O172,1),ColDescriptionCourte)),""),
  "")),"")</f>
        <v/>
      </c>
      <c r="Q172" s="40" t="str">
        <f ca="1">IFERROR(IF(AND(
  INDEX(Roadmap!$D:$K,MATCH($E172,Roadmap!$D:$D,0)+COUNTIF($E172:P172,"u")+COUNTIF($E172:P172,"t")+COUNTIF($E172:P172,"¶")+COUNTIF($E172:P172,"²")+COUNTIF($E172:P172,"µ")+COUNTIF($E172:P172,1),ColLivraison)=Q$6,
  VLOOKUP($E172,INDIRECT("tri!"&amp; CHAR(64+ C0Col) &amp;":"&amp; CHAR(65+C0Col)),2,FALSE)&gt;COUNTIF($E172:P172,"u")+COUNTIF($E172:P172,"t")+COUNTIF($E172:P172,"¶")+COUNTIF($E172:P172,"²")+COUNTIF($E172:P172,"µ")+COUNTIF($E172:P172,1)),
HYPERLINK("#Roadmap!C"&amp; MATCH($E172,Roadmap!$D:$D,0)+COUNTIF($E172:P172,"u")+COUNTIF($E172:P172,"t"),
     INDEX(Roadmap!$D:$K,MATCH($E172,Roadmap!$D:$D,0)+COUNTIF($E172:P172,"u")+COUNTIF($E172:P172,"t")+COUNTIF($E172:P172,"¶")+COUNTIF($E172:P172,"²")+COUNTIF($E172:P172,"µ")+COUNTIF($E172:P172,1),ColTypeEcheance)),
  IF(LEN(P172)=1,
  IF(LEN(INDEX(Roadmap!$D:$K,MATCH($E172,Roadmap!$D:$D,0)-1+COUNTIF($E172:P172,"u")+COUNTIF($E172:P172,"t")+COUNTIF($E172:P172,"¶")+COUNTIF($E172:P172,"²")+COUNTIF($E172:P172,"µ")+COUNTIF($E172:P172,1),ColDescriptionCourte))&gt;1,
HYPERLINK("#Roadmap!C"&amp; MATCH($E172,Roadmap!$D:$D,0)+COUNTIF($E172:P172,"u")+COUNTIF($E172:P172,"t")+COUNTIF($E172:P172,"¶")+COUNTIF($E172:P172,"²")+COUNTIF($E172:P172,"µ")+COUNTIF($E172:P172,1)-1,INDEX(Roadmap!$D:$K,MATCH($E172,Roadmap!$D:$D,0)-1+COUNTIF($E172:P172,"u")+COUNTIF($E172:P172,"t")+COUNTIF($E172:P172,"¶")+COUNTIF($E172:P172,"²")+COUNTIF($E172:P172,"µ")+COUNTIF($E172:P172,1),ColDescriptionCourte)),""),
  "")),"")</f>
        <v/>
      </c>
      <c r="R172" s="40" t="str">
        <f ca="1">IFERROR(IF(AND(
  INDEX(Roadmap!$D:$K,MATCH($E172,Roadmap!$D:$D,0)+COUNTIF($E172:Q172,"u")+COUNTIF($E172:Q172,"t")+COUNTIF($E172:Q172,"¶")+COUNTIF($E172:Q172,"²")+COUNTIF($E172:Q172,"µ")+COUNTIF($E172:Q172,1),ColLivraison)=R$6,
  VLOOKUP($E172,INDIRECT("tri!"&amp; CHAR(64+ C0Col) &amp;":"&amp; CHAR(65+C0Col)),2,FALSE)&gt;COUNTIF($E172:Q172,"u")+COUNTIF($E172:Q172,"t")+COUNTIF($E172:Q172,"¶")+COUNTIF($E172:Q172,"²")+COUNTIF($E172:Q172,"µ")+COUNTIF($E172:Q172,1)),
HYPERLINK("#Roadmap!C"&amp; MATCH($E172,Roadmap!$D:$D,0)+COUNTIF($E172:Q172,"u")+COUNTIF($E172:Q172,"t"),
     INDEX(Roadmap!$D:$K,MATCH($E172,Roadmap!$D:$D,0)+COUNTIF($E172:Q172,"u")+COUNTIF($E172:Q172,"t")+COUNTIF($E172:Q172,"¶")+COUNTIF($E172:Q172,"²")+COUNTIF($E172:Q172,"µ")+COUNTIF($E172:Q172,1),ColTypeEcheance)),
  IF(LEN(Q172)=1,
  IF(LEN(INDEX(Roadmap!$D:$K,MATCH($E172,Roadmap!$D:$D,0)-1+COUNTIF($E172:Q172,"u")+COUNTIF($E172:Q172,"t")+COUNTIF($E172:Q172,"¶")+COUNTIF($E172:Q172,"²")+COUNTIF($E172:Q172,"µ")+COUNTIF($E172:Q172,1),ColDescriptionCourte))&gt;1,
HYPERLINK("#Roadmap!C"&amp; MATCH($E172,Roadmap!$D:$D,0)+COUNTIF($E172:Q172,"u")+COUNTIF($E172:Q172,"t")+COUNTIF($E172:Q172,"¶")+COUNTIF($E172:Q172,"²")+COUNTIF($E172:Q172,"µ")+COUNTIF($E172:Q172,1)-1,INDEX(Roadmap!$D:$K,MATCH($E172,Roadmap!$D:$D,0)-1+COUNTIF($E172:Q172,"u")+COUNTIF($E172:Q172,"t")+COUNTIF($E172:Q172,"¶")+COUNTIF($E172:Q172,"²")+COUNTIF($E172:Q172,"µ")+COUNTIF($E172:Q172,1),ColDescriptionCourte)),""),
  "")),"")</f>
        <v/>
      </c>
      <c r="S172" s="40" t="str">
        <f ca="1">IFERROR(IF(AND(
  INDEX(Roadmap!$D:$K,MATCH($E172,Roadmap!$D:$D,0)+COUNTIF($E172:R172,"u")+COUNTIF($E172:R172,"t")+COUNTIF($E172:R172,"¶")+COUNTIF($E172:R172,"²")+COUNTIF($E172:R172,"µ")+COUNTIF($E172:R172,1),ColLivraison)=S$6,
  VLOOKUP($E172,INDIRECT("tri!"&amp; CHAR(64+ C0Col) &amp;":"&amp; CHAR(65+C0Col)),2,FALSE)&gt;COUNTIF($E172:R172,"u")+COUNTIF($E172:R172,"t")+COUNTIF($E172:R172,"¶")+COUNTIF($E172:R172,"²")+COUNTIF($E172:R172,"µ")+COUNTIF($E172:R172,1)),
HYPERLINK("#Roadmap!C"&amp; MATCH($E172,Roadmap!$D:$D,0)+COUNTIF($E172:R172,"u")+COUNTIF($E172:R172,"t"),
     INDEX(Roadmap!$D:$K,MATCH($E172,Roadmap!$D:$D,0)+COUNTIF($E172:R172,"u")+COUNTIF($E172:R172,"t")+COUNTIF($E172:R172,"¶")+COUNTIF($E172:R172,"²")+COUNTIF($E172:R172,"µ")+COUNTIF($E172:R172,1),ColTypeEcheance)),
  IF(LEN(R172)=1,
  IF(LEN(INDEX(Roadmap!$D:$K,MATCH($E172,Roadmap!$D:$D,0)-1+COUNTIF($E172:R172,"u")+COUNTIF($E172:R172,"t")+COUNTIF($E172:R172,"¶")+COUNTIF($E172:R172,"²")+COUNTIF($E172:R172,"µ")+COUNTIF($E172:R172,1),ColDescriptionCourte))&gt;1,
HYPERLINK("#Roadmap!C"&amp; MATCH($E172,Roadmap!$D:$D,0)+COUNTIF($E172:R172,"u")+COUNTIF($E172:R172,"t")+COUNTIF($E172:R172,"¶")+COUNTIF($E172:R172,"²")+COUNTIF($E172:R172,"µ")+COUNTIF($E172:R172,1)-1,INDEX(Roadmap!$D:$K,MATCH($E172,Roadmap!$D:$D,0)-1+COUNTIF($E172:R172,"u")+COUNTIF($E172:R172,"t")+COUNTIF($E172:R172,"¶")+COUNTIF($E172:R172,"²")+COUNTIF($E172:R172,"µ")+COUNTIF($E172:R172,1),ColDescriptionCourte)),""),
  "")),"")</f>
        <v/>
      </c>
      <c r="T172" s="40" t="str">
        <f ca="1">IFERROR(IF(AND(
  INDEX(Roadmap!$D:$K,MATCH($E172,Roadmap!$D:$D,0)+COUNTIF($E172:S172,"u")+COUNTIF($E172:S172,"t")+COUNTIF($E172:S172,"¶")+COUNTIF($E172:S172,"²")+COUNTIF($E172:S172,"µ")+COUNTIF($E172:S172,1),ColLivraison)=T$6,
  VLOOKUP($E172,INDIRECT("tri!"&amp; CHAR(64+ C0Col) &amp;":"&amp; CHAR(65+C0Col)),2,FALSE)&gt;COUNTIF($E172:S172,"u")+COUNTIF($E172:S172,"t")+COUNTIF($E172:S172,"¶")+COUNTIF($E172:S172,"²")+COUNTIF($E172:S172,"µ")+COUNTIF($E172:S172,1)),
HYPERLINK("#Roadmap!C"&amp; MATCH($E172,Roadmap!$D:$D,0)+COUNTIF($E172:S172,"u")+COUNTIF($E172:S172,"t"),
     INDEX(Roadmap!$D:$K,MATCH($E172,Roadmap!$D:$D,0)+COUNTIF($E172:S172,"u")+COUNTIF($E172:S172,"t")+COUNTIF($E172:S172,"¶")+COUNTIF($E172:S172,"²")+COUNTIF($E172:S172,"µ")+COUNTIF($E172:S172,1),ColTypeEcheance)),
  IF(LEN(S172)=1,
  IF(LEN(INDEX(Roadmap!$D:$K,MATCH($E172,Roadmap!$D:$D,0)-1+COUNTIF($E172:S172,"u")+COUNTIF($E172:S172,"t")+COUNTIF($E172:S172,"¶")+COUNTIF($E172:S172,"²")+COUNTIF($E172:S172,"µ")+COUNTIF($E172:S172,1),ColDescriptionCourte))&gt;1,
HYPERLINK("#Roadmap!C"&amp; MATCH($E172,Roadmap!$D:$D,0)+COUNTIF($E172:S172,"u")+COUNTIF($E172:S172,"t")+COUNTIF($E172:S172,"¶")+COUNTIF($E172:S172,"²")+COUNTIF($E172:S172,"µ")+COUNTIF($E172:S172,1)-1,INDEX(Roadmap!$D:$K,MATCH($E172,Roadmap!$D:$D,0)-1+COUNTIF($E172:S172,"u")+COUNTIF($E172:S172,"t")+COUNTIF($E172:S172,"¶")+COUNTIF($E172:S172,"²")+COUNTIF($E172:S172,"µ")+COUNTIF($E172:S172,1),ColDescriptionCourte)),""),
  "")),"")</f>
        <v/>
      </c>
      <c r="U172" s="40" t="str">
        <f ca="1">IFERROR(IF(AND(
  INDEX(Roadmap!$D:$K,MATCH($E172,Roadmap!$D:$D,0)+COUNTIF($E172:T172,"u")+COUNTIF($E172:T172,"t")+COUNTIF($E172:T172,"¶")+COUNTIF($E172:T172,"²")+COUNTIF($E172:T172,"µ")+COUNTIF($E172:T172,1),ColLivraison)=U$6,
  VLOOKUP($E172,INDIRECT("tri!"&amp; CHAR(64+ C0Col) &amp;":"&amp; CHAR(65+C0Col)),2,FALSE)&gt;COUNTIF($E172:T172,"u")+COUNTIF($E172:T172,"t")+COUNTIF($E172:T172,"¶")+COUNTIF($E172:T172,"²")+COUNTIF($E172:T172,"µ")+COUNTIF($E172:T172,1)),
HYPERLINK("#Roadmap!C"&amp; MATCH($E172,Roadmap!$D:$D,0)+COUNTIF($E172:T172,"u")+COUNTIF($E172:T172,"t"),
     INDEX(Roadmap!$D:$K,MATCH($E172,Roadmap!$D:$D,0)+COUNTIF($E172:T172,"u")+COUNTIF($E172:T172,"t")+COUNTIF($E172:T172,"¶")+COUNTIF($E172:T172,"²")+COUNTIF($E172:T172,"µ")+COUNTIF($E172:T172,1),ColTypeEcheance)),
  IF(LEN(T172)=1,
  IF(LEN(INDEX(Roadmap!$D:$K,MATCH($E172,Roadmap!$D:$D,0)-1+COUNTIF($E172:T172,"u")+COUNTIF($E172:T172,"t")+COUNTIF($E172:T172,"¶")+COUNTIF($E172:T172,"²")+COUNTIF($E172:T172,"µ")+COUNTIF($E172:T172,1),ColDescriptionCourte))&gt;1,
HYPERLINK("#Roadmap!C"&amp; MATCH($E172,Roadmap!$D:$D,0)+COUNTIF($E172:T172,"u")+COUNTIF($E172:T172,"t")+COUNTIF($E172:T172,"¶")+COUNTIF($E172:T172,"²")+COUNTIF($E172:T172,"µ")+COUNTIF($E172:T172,1)-1,INDEX(Roadmap!$D:$K,MATCH($E172,Roadmap!$D:$D,0)-1+COUNTIF($E172:T172,"u")+COUNTIF($E172:T172,"t")+COUNTIF($E172:T172,"¶")+COUNTIF($E172:T172,"²")+COUNTIF($E172:T172,"µ")+COUNTIF($E172:T172,1),ColDescriptionCourte)),""),
  "")),"")</f>
        <v/>
      </c>
      <c r="V172" s="40" t="str">
        <f ca="1">IFERROR(IF(AND(
  INDEX(Roadmap!$D:$K,MATCH($E172,Roadmap!$D:$D,0)+COUNTIF($E172:U172,"u")+COUNTIF($E172:U172,"t")+COUNTIF($E172:U172,"¶")+COUNTIF($E172:U172,"²")+COUNTIF($E172:U172,"µ")+COUNTIF($E172:U172,1),ColLivraison)=V$6,
  VLOOKUP($E172,INDIRECT("tri!"&amp; CHAR(64+ C0Col) &amp;":"&amp; CHAR(65+C0Col)),2,FALSE)&gt;COUNTIF($E172:U172,"u")+COUNTIF($E172:U172,"t")+COUNTIF($E172:U172,"¶")+COUNTIF($E172:U172,"²")+COUNTIF($E172:U172,"µ")+COUNTIF($E172:U172,1)),
HYPERLINK("#Roadmap!C"&amp; MATCH($E172,Roadmap!$D:$D,0)+COUNTIF($E172:U172,"u")+COUNTIF($E172:U172,"t"),
     INDEX(Roadmap!$D:$K,MATCH($E172,Roadmap!$D:$D,0)+COUNTIF($E172:U172,"u")+COUNTIF($E172:U172,"t")+COUNTIF($E172:U172,"¶")+COUNTIF($E172:U172,"²")+COUNTIF($E172:U172,"µ")+COUNTIF($E172:U172,1),ColTypeEcheance)),
  IF(LEN(U172)=1,
  IF(LEN(INDEX(Roadmap!$D:$K,MATCH($E172,Roadmap!$D:$D,0)-1+COUNTIF($E172:U172,"u")+COUNTIF($E172:U172,"t")+COUNTIF($E172:U172,"¶")+COUNTIF($E172:U172,"²")+COUNTIF($E172:U172,"µ")+COUNTIF($E172:U172,1),ColDescriptionCourte))&gt;1,
HYPERLINK("#Roadmap!C"&amp; MATCH($E172,Roadmap!$D:$D,0)+COUNTIF($E172:U172,"u")+COUNTIF($E172:U172,"t")+COUNTIF($E172:U172,"¶")+COUNTIF($E172:U172,"²")+COUNTIF($E172:U172,"µ")+COUNTIF($E172:U172,1)-1,INDEX(Roadmap!$D:$K,MATCH($E172,Roadmap!$D:$D,0)-1+COUNTIF($E172:U172,"u")+COUNTIF($E172:U172,"t")+COUNTIF($E172:U172,"¶")+COUNTIF($E172:U172,"²")+COUNTIF($E172:U172,"µ")+COUNTIF($E172:U172,1),ColDescriptionCourte)),""),
  "")),"")</f>
        <v/>
      </c>
      <c r="W172" s="40" t="str">
        <f ca="1">IFERROR(IF(AND(
  INDEX(Roadmap!$D:$K,MATCH($E172,Roadmap!$D:$D,0)+COUNTIF($E172:V172,"u")+COUNTIF($E172:V172,"t")+COUNTIF($E172:V172,"¶")+COUNTIF($E172:V172,"²")+COUNTIF($E172:V172,"µ")+COUNTIF($E172:V172,1),ColLivraison)=W$6,
  VLOOKUP($E172,INDIRECT("tri!"&amp; CHAR(64+ C0Col) &amp;":"&amp; CHAR(65+C0Col)),2,FALSE)&gt;COUNTIF($E172:V172,"u")+COUNTIF($E172:V172,"t")+COUNTIF($E172:V172,"¶")+COUNTIF($E172:V172,"²")+COUNTIF($E172:V172,"µ")+COUNTIF($E172:V172,1)),
HYPERLINK("#Roadmap!C"&amp; MATCH($E172,Roadmap!$D:$D,0)+COUNTIF($E172:V172,"u")+COUNTIF($E172:V172,"t"),
     INDEX(Roadmap!$D:$K,MATCH($E172,Roadmap!$D:$D,0)+COUNTIF($E172:V172,"u")+COUNTIF($E172:V172,"t")+COUNTIF($E172:V172,"¶")+COUNTIF($E172:V172,"²")+COUNTIF($E172:V172,"µ")+COUNTIF($E172:V172,1),ColTypeEcheance)),
  IF(LEN(V172)=1,
  IF(LEN(INDEX(Roadmap!$D:$K,MATCH($E172,Roadmap!$D:$D,0)-1+COUNTIF($E172:V172,"u")+COUNTIF($E172:V172,"t")+COUNTIF($E172:V172,"¶")+COUNTIF($E172:V172,"²")+COUNTIF($E172:V172,"µ")+COUNTIF($E172:V172,1),ColDescriptionCourte))&gt;1,
HYPERLINK("#Roadmap!C"&amp; MATCH($E172,Roadmap!$D:$D,0)+COUNTIF($E172:V172,"u")+COUNTIF($E172:V172,"t")+COUNTIF($E172:V172,"¶")+COUNTIF($E172:V172,"²")+COUNTIF($E172:V172,"µ")+COUNTIF($E172:V172,1)-1,INDEX(Roadmap!$D:$K,MATCH($E172,Roadmap!$D:$D,0)-1+COUNTIF($E172:V172,"u")+COUNTIF($E172:V172,"t")+COUNTIF($E172:V172,"¶")+COUNTIF($E172:V172,"²")+COUNTIF($E172:V172,"µ")+COUNTIF($E172:V172,1),ColDescriptionCourte)),""),
  "")),"")</f>
        <v/>
      </c>
      <c r="X172" s="40" t="str">
        <f ca="1">IFERROR(IF(AND(
  INDEX(Roadmap!$D:$K,MATCH($E172,Roadmap!$D:$D,0)+COUNTIF($E172:W172,"u")+COUNTIF($E172:W172,"t")+COUNTIF($E172:W172,"¶")+COUNTIF($E172:W172,"²")+COUNTIF($E172:W172,"µ")+COUNTIF($E172:W172,1),ColLivraison)=X$6,
  VLOOKUP($E172,INDIRECT("tri!"&amp; CHAR(64+ C0Col) &amp;":"&amp; CHAR(65+C0Col)),2,FALSE)&gt;COUNTIF($E172:W172,"u")+COUNTIF($E172:W172,"t")+COUNTIF($E172:W172,"¶")+COUNTIF($E172:W172,"²")+COUNTIF($E172:W172,"µ")+COUNTIF($E172:W172,1)),
HYPERLINK("#Roadmap!C"&amp; MATCH($E172,Roadmap!$D:$D,0)+COUNTIF($E172:W172,"u")+COUNTIF($E172:W172,"t"),
     INDEX(Roadmap!$D:$K,MATCH($E172,Roadmap!$D:$D,0)+COUNTIF($E172:W172,"u")+COUNTIF($E172:W172,"t")+COUNTIF($E172:W172,"¶")+COUNTIF($E172:W172,"²")+COUNTIF($E172:W172,"µ")+COUNTIF($E172:W172,1),ColTypeEcheance)),
  IF(LEN(W172)=1,
  IF(LEN(INDEX(Roadmap!$D:$K,MATCH($E172,Roadmap!$D:$D,0)-1+COUNTIF($E172:W172,"u")+COUNTIF($E172:W172,"t")+COUNTIF($E172:W172,"¶")+COUNTIF($E172:W172,"²")+COUNTIF($E172:W172,"µ")+COUNTIF($E172:W172,1),ColDescriptionCourte))&gt;1,
HYPERLINK("#Roadmap!C"&amp; MATCH($E172,Roadmap!$D:$D,0)+COUNTIF($E172:W172,"u")+COUNTIF($E172:W172,"t")+COUNTIF($E172:W172,"¶")+COUNTIF($E172:W172,"²")+COUNTIF($E172:W172,"µ")+COUNTIF($E172:W172,1)-1,INDEX(Roadmap!$D:$K,MATCH($E172,Roadmap!$D:$D,0)-1+COUNTIF($E172:W172,"u")+COUNTIF($E172:W172,"t")+COUNTIF($E172:W172,"¶")+COUNTIF($E172:W172,"²")+COUNTIF($E172:W172,"µ")+COUNTIF($E172:W172,1),ColDescriptionCourte)),""),
  "")),"")</f>
        <v/>
      </c>
      <c r="Y172" s="40" t="str">
        <f ca="1">IFERROR(IF(AND(
  INDEX(Roadmap!$D:$K,MATCH($E172,Roadmap!$D:$D,0)+COUNTIF($E172:X172,"u")+COUNTIF($E172:X172,"t")+COUNTIF($E172:X172,"¶")+COUNTIF($E172:X172,"²")+COUNTIF($E172:X172,"µ")+COUNTIF($E172:X172,1),ColLivraison)=Y$6,
  VLOOKUP($E172,INDIRECT("tri!"&amp; CHAR(64+ C0Col) &amp;":"&amp; CHAR(65+C0Col)),2,FALSE)&gt;COUNTIF($E172:X172,"u")+COUNTIF($E172:X172,"t")+COUNTIF($E172:X172,"¶")+COUNTIF($E172:X172,"²")+COUNTIF($E172:X172,"µ")+COUNTIF($E172:X172,1)),
HYPERLINK("#Roadmap!C"&amp; MATCH($E172,Roadmap!$D:$D,0)+COUNTIF($E172:X172,"u")+COUNTIF($E172:X172,"t"),
     INDEX(Roadmap!$D:$K,MATCH($E172,Roadmap!$D:$D,0)+COUNTIF($E172:X172,"u")+COUNTIF($E172:X172,"t")+COUNTIF($E172:X172,"¶")+COUNTIF($E172:X172,"²")+COUNTIF($E172:X172,"µ")+COUNTIF($E172:X172,1),ColTypeEcheance)),
  IF(LEN(X172)=1,
  IF(LEN(INDEX(Roadmap!$D:$K,MATCH($E172,Roadmap!$D:$D,0)-1+COUNTIF($E172:X172,"u")+COUNTIF($E172:X172,"t")+COUNTIF($E172:X172,"¶")+COUNTIF($E172:X172,"²")+COUNTIF($E172:X172,"µ")+COUNTIF($E172:X172,1),ColDescriptionCourte))&gt;1,
HYPERLINK("#Roadmap!C"&amp; MATCH($E172,Roadmap!$D:$D,0)+COUNTIF($E172:X172,"u")+COUNTIF($E172:X172,"t")+COUNTIF($E172:X172,"¶")+COUNTIF($E172:X172,"²")+COUNTIF($E172:X172,"µ")+COUNTIF($E172:X172,1)-1,INDEX(Roadmap!$D:$K,MATCH($E172,Roadmap!$D:$D,0)-1+COUNTIF($E172:X172,"u")+COUNTIF($E172:X172,"t")+COUNTIF($E172:X172,"¶")+COUNTIF($E172:X172,"²")+COUNTIF($E172:X172,"µ")+COUNTIF($E172:X172,1),ColDescriptionCourte)),""),
  "")),"")</f>
        <v/>
      </c>
      <c r="Z172" s="40" t="str">
        <f ca="1">IFERROR(IF(AND(
  INDEX(Roadmap!$D:$K,MATCH($E172,Roadmap!$D:$D,0)+COUNTIF($E172:Y172,"u")+COUNTIF($E172:Y172,"t")+COUNTIF($E172:Y172,"¶")+COUNTIF($E172:Y172,"²")+COUNTIF($E172:Y172,"µ")+COUNTIF($E172:Y172,1),ColLivraison)=Z$6,
  VLOOKUP($E172,INDIRECT("tri!"&amp; CHAR(64+ C0Col) &amp;":"&amp; CHAR(65+C0Col)),2,FALSE)&gt;COUNTIF($E172:Y172,"u")+COUNTIF($E172:Y172,"t")+COUNTIF($E172:Y172,"¶")+COUNTIF($E172:Y172,"²")+COUNTIF($E172:Y172,"µ")+COUNTIF($E172:Y172,1)),
HYPERLINK("#Roadmap!C"&amp; MATCH($E172,Roadmap!$D:$D,0)+COUNTIF($E172:Y172,"u")+COUNTIF($E172:Y172,"t"),
     INDEX(Roadmap!$D:$K,MATCH($E172,Roadmap!$D:$D,0)+COUNTIF($E172:Y172,"u")+COUNTIF($E172:Y172,"t")+COUNTIF($E172:Y172,"¶")+COUNTIF($E172:Y172,"²")+COUNTIF($E172:Y172,"µ")+COUNTIF($E172:Y172,1),ColTypeEcheance)),
  IF(LEN(Y172)=1,
  IF(LEN(INDEX(Roadmap!$D:$K,MATCH($E172,Roadmap!$D:$D,0)-1+COUNTIF($E172:Y172,"u")+COUNTIF($E172:Y172,"t")+COUNTIF($E172:Y172,"¶")+COUNTIF($E172:Y172,"²")+COUNTIF($E172:Y172,"µ")+COUNTIF($E172:Y172,1),ColDescriptionCourte))&gt;1,
HYPERLINK("#Roadmap!C"&amp; MATCH($E172,Roadmap!$D:$D,0)+COUNTIF($E172:Y172,"u")+COUNTIF($E172:Y172,"t")+COUNTIF($E172:Y172,"¶")+COUNTIF($E172:Y172,"²")+COUNTIF($E172:Y172,"µ")+COUNTIF($E172:Y172,1)-1,INDEX(Roadmap!$D:$K,MATCH($E172,Roadmap!$D:$D,0)-1+COUNTIF($E172:Y172,"u")+COUNTIF($E172:Y172,"t")+COUNTIF($E172:Y172,"¶")+COUNTIF($E172:Y172,"²")+COUNTIF($E172:Y172,"µ")+COUNTIF($E172:Y172,1),ColDescriptionCourte)),""),
  "")),"")</f>
        <v/>
      </c>
      <c r="AA172" s="40" t="str">
        <f ca="1">IFERROR(IF(AND(
  INDEX(Roadmap!$D:$K,MATCH($E172,Roadmap!$D:$D,0)+COUNTIF($E172:Z172,"u")+COUNTIF($E172:Z172,"t")+COUNTIF($E172:Z172,"¶")+COUNTIF($E172:Z172,"²")+COUNTIF($E172:Z172,"µ")+COUNTIF($E172:Z172,1),ColLivraison)=AA$6,
  VLOOKUP($E172,INDIRECT("tri!"&amp; CHAR(64+ C0Col) &amp;":"&amp; CHAR(65+C0Col)),2,FALSE)&gt;COUNTIF($E172:Z172,"u")+COUNTIF($E172:Z172,"t")+COUNTIF($E172:Z172,"¶")+COUNTIF($E172:Z172,"²")+COUNTIF($E172:Z172,"µ")+COUNTIF($E172:Z172,1)),
HYPERLINK("#Roadmap!C"&amp; MATCH($E172,Roadmap!$D:$D,0)+COUNTIF($E172:Z172,"u")+COUNTIF($E172:Z172,"t"),
     INDEX(Roadmap!$D:$K,MATCH($E172,Roadmap!$D:$D,0)+COUNTIF($E172:Z172,"u")+COUNTIF($E172:Z172,"t")+COUNTIF($E172:Z172,"¶")+COUNTIF($E172:Z172,"²")+COUNTIF($E172:Z172,"µ")+COUNTIF($E172:Z172,1),ColTypeEcheance)),
  IF(LEN(Z172)=1,
  IF(LEN(INDEX(Roadmap!$D:$K,MATCH($E172,Roadmap!$D:$D,0)-1+COUNTIF($E172:Z172,"u")+COUNTIF($E172:Z172,"t")+COUNTIF($E172:Z172,"¶")+COUNTIF($E172:Z172,"²")+COUNTIF($E172:Z172,"µ")+COUNTIF($E172:Z172,1),ColDescriptionCourte))&gt;1,
HYPERLINK("#Roadmap!C"&amp; MATCH($E172,Roadmap!$D:$D,0)+COUNTIF($E172:Z172,"u")+COUNTIF($E172:Z172,"t")+COUNTIF($E172:Z172,"¶")+COUNTIF($E172:Z172,"²")+COUNTIF($E172:Z172,"µ")+COUNTIF($E172:Z172,1)-1,INDEX(Roadmap!$D:$K,MATCH($E172,Roadmap!$D:$D,0)-1+COUNTIF($E172:Z172,"u")+COUNTIF($E172:Z172,"t")+COUNTIF($E172:Z172,"¶")+COUNTIF($E172:Z172,"²")+COUNTIF($E172:Z172,"µ")+COUNTIF($E172:Z172,1),ColDescriptionCourte)),""),
  "")),"")</f>
        <v/>
      </c>
      <c r="AB172" s="40" t="str">
        <f ca="1">IFERROR(IF(AND(
  INDEX(Roadmap!$D:$K,MATCH($E172,Roadmap!$D:$D,0)+COUNTIF($E172:AA172,"u")+COUNTIF($E172:AA172,"t")+COUNTIF($E172:AA172,"¶")+COUNTIF($E172:AA172,"²")+COUNTIF($E172:AA172,"µ")+COUNTIF($E172:AA172,1),ColLivraison)=AB$6,
  VLOOKUP($E172,INDIRECT("tri!"&amp; CHAR(64+ C0Col) &amp;":"&amp; CHAR(65+C0Col)),2,FALSE)&gt;COUNTIF($E172:AA172,"u")+COUNTIF($E172:AA172,"t")+COUNTIF($E172:AA172,"¶")+COUNTIF($E172:AA172,"²")+COUNTIF($E172:AA172,"µ")+COUNTIF($E172:AA172,1)),
HYPERLINK("#Roadmap!C"&amp; MATCH($E172,Roadmap!$D:$D,0)+COUNTIF($E172:AA172,"u")+COUNTIF($E172:AA172,"t"),
     INDEX(Roadmap!$D:$K,MATCH($E172,Roadmap!$D:$D,0)+COUNTIF($E172:AA172,"u")+COUNTIF($E172:AA172,"t")+COUNTIF($E172:AA172,"¶")+COUNTIF($E172:AA172,"²")+COUNTIF($E172:AA172,"µ")+COUNTIF($E172:AA172,1),ColTypeEcheance)),
  IF(LEN(AA172)=1,
  IF(LEN(INDEX(Roadmap!$D:$K,MATCH($E172,Roadmap!$D:$D,0)-1+COUNTIF($E172:AA172,"u")+COUNTIF($E172:AA172,"t")+COUNTIF($E172:AA172,"¶")+COUNTIF($E172:AA172,"²")+COUNTIF($E172:AA172,"µ")+COUNTIF($E172:AA172,1),ColDescriptionCourte))&gt;1,
HYPERLINK("#Roadmap!C"&amp; MATCH($E172,Roadmap!$D:$D,0)+COUNTIF($E172:AA172,"u")+COUNTIF($E172:AA172,"t")+COUNTIF($E172:AA172,"¶")+COUNTIF($E172:AA172,"²")+COUNTIF($E172:AA172,"µ")+COUNTIF($E172:AA172,1)-1,INDEX(Roadmap!$D:$K,MATCH($E172,Roadmap!$D:$D,0)-1+COUNTIF($E172:AA172,"u")+COUNTIF($E172:AA172,"t")+COUNTIF($E172:AA172,"¶")+COUNTIF($E172:AA172,"²")+COUNTIF($E172:AA172,"µ")+COUNTIF($E172:AA172,1),ColDescriptionCourte)),""),
  "")),"")</f>
        <v/>
      </c>
      <c r="AC172" s="40" t="str">
        <f ca="1">IFERROR(IF(AND(
  INDEX(Roadmap!$D:$K,MATCH($E172,Roadmap!$D:$D,0)+COUNTIF($E172:AB172,"u")+COUNTIF($E172:AB172,"t")+COUNTIF($E172:AB172,"¶")+COUNTIF($E172:AB172,"²")+COUNTIF($E172:AB172,"µ")+COUNTIF($E172:AB172,1),ColLivraison)=AC$6,
  VLOOKUP($E172,INDIRECT("tri!"&amp; CHAR(64+ C0Col) &amp;":"&amp; CHAR(65+C0Col)),2,FALSE)&gt;COUNTIF($E172:AB172,"u")+COUNTIF($E172:AB172,"t")+COUNTIF($E172:AB172,"¶")+COUNTIF($E172:AB172,"²")+COUNTIF($E172:AB172,"µ")+COUNTIF($E172:AB172,1)),
HYPERLINK("#Roadmap!C"&amp; MATCH($E172,Roadmap!$D:$D,0)+COUNTIF($E172:AB172,"u")+COUNTIF($E172:AB172,"t"),
     INDEX(Roadmap!$D:$K,MATCH($E172,Roadmap!$D:$D,0)+COUNTIF($E172:AB172,"u")+COUNTIF($E172:AB172,"t")+COUNTIF($E172:AB172,"¶")+COUNTIF($E172:AB172,"²")+COUNTIF($E172:AB172,"µ")+COUNTIF($E172:AB172,1),ColTypeEcheance)),
  IF(LEN(AB172)=1,
  IF(LEN(INDEX(Roadmap!$D:$K,MATCH($E172,Roadmap!$D:$D,0)-1+COUNTIF($E172:AB172,"u")+COUNTIF($E172:AB172,"t")+COUNTIF($E172:AB172,"¶")+COUNTIF($E172:AB172,"²")+COUNTIF($E172:AB172,"µ")+COUNTIF($E172:AB172,1),ColDescriptionCourte))&gt;1,
HYPERLINK("#Roadmap!C"&amp; MATCH($E172,Roadmap!$D:$D,0)+COUNTIF($E172:AB172,"u")+COUNTIF($E172:AB172,"t")+COUNTIF($E172:AB172,"¶")+COUNTIF($E172:AB172,"²")+COUNTIF($E172:AB172,"µ")+COUNTIF($E172:AB172,1)-1,INDEX(Roadmap!$D:$K,MATCH($E172,Roadmap!$D:$D,0)-1+COUNTIF($E172:AB172,"u")+COUNTIF($E172:AB172,"t")+COUNTIF($E172:AB172,"¶")+COUNTIF($E172:AB172,"²")+COUNTIF($E172:AB172,"µ")+COUNTIF($E172:AB172,1),ColDescriptionCourte)),""),
  "")),"")</f>
        <v/>
      </c>
      <c r="AD172" s="40" t="str">
        <f ca="1">IFERROR(IF(AND(
  INDEX(Roadmap!$D:$K,MATCH($E172,Roadmap!$D:$D,0)+COUNTIF($E172:AC172,"u")+COUNTIF($E172:AC172,"t")+COUNTIF($E172:AC172,"¶")+COUNTIF($E172:AC172,"²")+COUNTIF($E172:AC172,"µ")+COUNTIF($E172:AC172,1),ColLivraison)=AD$6,
  VLOOKUP($E172,INDIRECT("tri!"&amp; CHAR(64+ C0Col) &amp;":"&amp; CHAR(65+C0Col)),2,FALSE)&gt;COUNTIF($E172:AC172,"u")+COUNTIF($E172:AC172,"t")+COUNTIF($E172:AC172,"¶")+COUNTIF($E172:AC172,"²")+COUNTIF($E172:AC172,"µ")+COUNTIF($E172:AC172,1)),
HYPERLINK("#Roadmap!C"&amp; MATCH($E172,Roadmap!$D:$D,0)+COUNTIF($E172:AC172,"u")+COUNTIF($E172:AC172,"t"),
     INDEX(Roadmap!$D:$K,MATCH($E172,Roadmap!$D:$D,0)+COUNTIF($E172:AC172,"u")+COUNTIF($E172:AC172,"t")+COUNTIF($E172:AC172,"¶")+COUNTIF($E172:AC172,"²")+COUNTIF($E172:AC172,"µ")+COUNTIF($E172:AC172,1),ColTypeEcheance)),
  IF(LEN(AC172)=1,
  IF(LEN(INDEX(Roadmap!$D:$K,MATCH($E172,Roadmap!$D:$D,0)-1+COUNTIF($E172:AC172,"u")+COUNTIF($E172:AC172,"t")+COUNTIF($E172:AC172,"¶")+COUNTIF($E172:AC172,"²")+COUNTIF($E172:AC172,"µ")+COUNTIF($E172:AC172,1),ColDescriptionCourte))&gt;1,
HYPERLINK("#Roadmap!C"&amp; MATCH($E172,Roadmap!$D:$D,0)+COUNTIF($E172:AC172,"u")+COUNTIF($E172:AC172,"t")+COUNTIF($E172:AC172,"¶")+COUNTIF($E172:AC172,"²")+COUNTIF($E172:AC172,"µ")+COUNTIF($E172:AC172,1)-1,INDEX(Roadmap!$D:$K,MATCH($E172,Roadmap!$D:$D,0)-1+COUNTIF($E172:AC172,"u")+COUNTIF($E172:AC172,"t")+COUNTIF($E172:AC172,"¶")+COUNTIF($E172:AC172,"²")+COUNTIF($E172:AC172,"µ")+COUNTIF($E172:AC172,1),ColDescriptionCourte)),""),
  "")),"")</f>
        <v/>
      </c>
      <c r="AE172" s="40" t="str">
        <f ca="1">IFERROR(IF(AND(
  INDEX(Roadmap!$D:$K,MATCH($E172,Roadmap!$D:$D,0)+COUNTIF($E172:AD172,"u")+COUNTIF($E172:AD172,"t")+COUNTIF($E172:AD172,"¶")+COUNTIF($E172:AD172,"²")+COUNTIF($E172:AD172,"µ")+COUNTIF($E172:AD172,1),ColLivraison)=AE$6,
  VLOOKUP($E172,INDIRECT("tri!"&amp; CHAR(64+ C0Col) &amp;":"&amp; CHAR(65+C0Col)),2,FALSE)&gt;COUNTIF($E172:AD172,"u")+COUNTIF($E172:AD172,"t")+COUNTIF($E172:AD172,"¶")+COUNTIF($E172:AD172,"²")+COUNTIF($E172:AD172,"µ")+COUNTIF($E172:AD172,1)),
HYPERLINK("#Roadmap!C"&amp; MATCH($E172,Roadmap!$D:$D,0)+COUNTIF($E172:AD172,"u")+COUNTIF($E172:AD172,"t"),
     INDEX(Roadmap!$D:$K,MATCH($E172,Roadmap!$D:$D,0)+COUNTIF($E172:AD172,"u")+COUNTIF($E172:AD172,"t")+COUNTIF($E172:AD172,"¶")+COUNTIF($E172:AD172,"²")+COUNTIF($E172:AD172,"µ")+COUNTIF($E172:AD172,1),ColTypeEcheance)),
  IF(LEN(AD172)=1,
  IF(LEN(INDEX(Roadmap!$D:$K,MATCH($E172,Roadmap!$D:$D,0)-1+COUNTIF($E172:AD172,"u")+COUNTIF($E172:AD172,"t")+COUNTIF($E172:AD172,"¶")+COUNTIF($E172:AD172,"²")+COUNTIF($E172:AD172,"µ")+COUNTIF($E172:AD172,1),ColDescriptionCourte))&gt;1,
HYPERLINK("#Roadmap!C"&amp; MATCH($E172,Roadmap!$D:$D,0)+COUNTIF($E172:AD172,"u")+COUNTIF($E172:AD172,"t")+COUNTIF($E172:AD172,"¶")+COUNTIF($E172:AD172,"²")+COUNTIF($E172:AD172,"µ")+COUNTIF($E172:AD172,1)-1,INDEX(Roadmap!$D:$K,MATCH($E172,Roadmap!$D:$D,0)-1+COUNTIF($E172:AD172,"u")+COUNTIF($E172:AD172,"t")+COUNTIF($E172:AD172,"¶")+COUNTIF($E172:AD172,"²")+COUNTIF($E172:AD172,"µ")+COUNTIF($E172:AD172,1),ColDescriptionCourte)),""),
  "")),"")</f>
        <v/>
      </c>
      <c r="AF172" s="40" t="str">
        <f ca="1">IFERROR(IF(AND(
  INDEX(Roadmap!$D:$K,MATCH($E172,Roadmap!$D:$D,0)+COUNTIF($E172:AE172,"u")+COUNTIF($E172:AE172,"t")+COUNTIF($E172:AE172,"¶")+COUNTIF($E172:AE172,"²")+COUNTIF($E172:AE172,"µ")+COUNTIF($E172:AE172,1),ColLivraison)=AF$6,
  VLOOKUP($E172,INDIRECT("tri!"&amp; CHAR(64+ C0Col) &amp;":"&amp; CHAR(65+C0Col)),2,FALSE)&gt;COUNTIF($E172:AE172,"u")+COUNTIF($E172:AE172,"t")+COUNTIF($E172:AE172,"¶")+COUNTIF($E172:AE172,"²")+COUNTIF($E172:AE172,"µ")+COUNTIF($E172:AE172,1)),
HYPERLINK("#Roadmap!C"&amp; MATCH($E172,Roadmap!$D:$D,0)+COUNTIF($E172:AE172,"u")+COUNTIF($E172:AE172,"t"),
     INDEX(Roadmap!$D:$K,MATCH($E172,Roadmap!$D:$D,0)+COUNTIF($E172:AE172,"u")+COUNTIF($E172:AE172,"t")+COUNTIF($E172:AE172,"¶")+COUNTIF($E172:AE172,"²")+COUNTIF($E172:AE172,"µ")+COUNTIF($E172:AE172,1),ColTypeEcheance)),
  IF(LEN(AE172)=1,
  IF(LEN(INDEX(Roadmap!$D:$K,MATCH($E172,Roadmap!$D:$D,0)-1+COUNTIF($E172:AE172,"u")+COUNTIF($E172:AE172,"t")+COUNTIF($E172:AE172,"¶")+COUNTIF($E172:AE172,"²")+COUNTIF($E172:AE172,"µ")+COUNTIF($E172:AE172,1),ColDescriptionCourte))&gt;1,
HYPERLINK("#Roadmap!C"&amp; MATCH($E172,Roadmap!$D:$D,0)+COUNTIF($E172:AE172,"u")+COUNTIF($E172:AE172,"t")+COUNTIF($E172:AE172,"¶")+COUNTIF($E172:AE172,"²")+COUNTIF($E172:AE172,"µ")+COUNTIF($E172:AE172,1)-1,INDEX(Roadmap!$D:$K,MATCH($E172,Roadmap!$D:$D,0)-1+COUNTIF($E172:AE172,"u")+COUNTIF($E172:AE172,"t")+COUNTIF($E172:AE172,"¶")+COUNTIF($E172:AE172,"²")+COUNTIF($E172:AE172,"µ")+COUNTIF($E172:AE172,1),ColDescriptionCourte)),""),
  "")),"")</f>
        <v/>
      </c>
      <c r="AG172" s="40" t="str">
        <f ca="1">IFERROR(IF(AND(
  INDEX(Roadmap!$D:$K,MATCH($E172,Roadmap!$D:$D,0)+COUNTIF($E172:AF172,"u")+COUNTIF($E172:AF172,"t")+COUNTIF($E172:AF172,"¶")+COUNTIF($E172:AF172,"²")+COUNTIF($E172:AF172,"µ")+COUNTIF($E172:AF172,1),ColLivraison)=AG$6,
  VLOOKUP($E172,INDIRECT("tri!"&amp; CHAR(64+ C0Col) &amp;":"&amp; CHAR(65+C0Col)),2,FALSE)&gt;COUNTIF($E172:AF172,"u")+COUNTIF($E172:AF172,"t")+COUNTIF($E172:AF172,"¶")+COUNTIF($E172:AF172,"²")+COUNTIF($E172:AF172,"µ")+COUNTIF($E172:AF172,1)),
HYPERLINK("#Roadmap!C"&amp; MATCH($E172,Roadmap!$D:$D,0)+COUNTIF($E172:AF172,"u")+COUNTIF($E172:AF172,"t"),
     INDEX(Roadmap!$D:$K,MATCH($E172,Roadmap!$D:$D,0)+COUNTIF($E172:AF172,"u")+COUNTIF($E172:AF172,"t")+COUNTIF($E172:AF172,"¶")+COUNTIF($E172:AF172,"²")+COUNTIF($E172:AF172,"µ")+COUNTIF($E172:AF172,1),ColTypeEcheance)),
  IF(LEN(AF172)=1,
  IF(LEN(INDEX(Roadmap!$D:$K,MATCH($E172,Roadmap!$D:$D,0)-1+COUNTIF($E172:AF172,"u")+COUNTIF($E172:AF172,"t")+COUNTIF($E172:AF172,"¶")+COUNTIF($E172:AF172,"²")+COUNTIF($E172:AF172,"µ")+COUNTIF($E172:AF172,1),ColDescriptionCourte))&gt;1,
HYPERLINK("#Roadmap!C"&amp; MATCH($E172,Roadmap!$D:$D,0)+COUNTIF($E172:AF172,"u")+COUNTIF($E172:AF172,"t")+COUNTIF($E172:AF172,"¶")+COUNTIF($E172:AF172,"²")+COUNTIF($E172:AF172,"µ")+COUNTIF($E172:AF172,1)-1,INDEX(Roadmap!$D:$K,MATCH($E172,Roadmap!$D:$D,0)-1+COUNTIF($E172:AF172,"u")+COUNTIF($E172:AF172,"t")+COUNTIF($E172:AF172,"¶")+COUNTIF($E172:AF172,"²")+COUNTIF($E172:AF172,"µ")+COUNTIF($E172:AF172,1),ColDescriptionCourte)),""),
  "")),"")</f>
        <v/>
      </c>
    </row>
    <row r="173" spans="3:33" ht="14.25" customHeight="1">
      <c r="C173" s="1" t="str">
        <f t="shared" ca="1" si="54"/>
        <v/>
      </c>
      <c r="D173" s="1" t="str">
        <f t="shared" ca="1" si="55"/>
        <v/>
      </c>
      <c r="E173" s="35" t="str">
        <f t="shared" ca="1" si="51"/>
        <v/>
      </c>
      <c r="F173" s="39" t="str">
        <f ca="1">IFERROR(IF(AND(
  INDEX(Roadmap!$D:$K,MATCH($E173,Roadmap!$D:$D,0)+COUNTIF($E173:E173,"u")+COUNTIF($E173:E173,"t")+COUNTIF($E173:E173,"¶")+COUNTIF($E173:E173,"²")+COUNTIF($E173:E173,"µ")+COUNTIF($E173:E173,1),ColLivraison)=F$6,
  VLOOKUP($E173,INDIRECT("tri!"&amp; CHAR(64+ C0Col) &amp;":"&amp; CHAR(65+C0Col)),2,FALSE)&gt;COUNTIF($E173:E173,"u")+COUNTIF($E173:E173,"t")+COUNTIF($E173:E173,"¶")+COUNTIF($E173:E173,"²")+COUNTIF($E173:E173,"µ")+COUNTIF($E173:E173,1)),
HYPERLINK("#Roadmap!C"&amp; MATCH($E173,Roadmap!$D:$D,0)+COUNTIF($E173:E173,"u")+COUNTIF($E173:E173,"t"),
     INDEX(Roadmap!$D:$K,MATCH($E173,Roadmap!$D:$D,0)+COUNTIF($E173:E173,"u")+COUNTIF($E173:E173,"t")+COUNTIF($E173:E173,"¶")+COUNTIF($E173:E173,"²")+COUNTIF($E173:E173,"µ")+COUNTIF($E173:E173,1),ColTypeEcheance)),
  IF(LEN(E173)=1,
  IF(LEN(INDEX(Roadmap!$D:$K,MATCH($E173,Roadmap!$D:$D,0)-1+COUNTIF($E173:E173,"u")+COUNTIF($E173:E173,"t")+COUNTIF($E173:E173,"¶")+COUNTIF($E173:E173,"²")+COUNTIF($E173:E173,"µ")+COUNTIF($E173:E173,1),ColDescriptionCourte))&gt;1,
HYPERLINK("#Roadmap!C"&amp; MATCH($E173,Roadmap!$D:$D,0)+COUNTIF($E173:E173,"u")+COUNTIF($E173:E173,"t")+COUNTIF($E173:E173,"¶")+COUNTIF($E173:E173,"²")+COUNTIF($E173:E173,"µ")+COUNTIF($E173:E173,1)-1,INDEX(Roadmap!$D:$K,MATCH($E173,Roadmap!$D:$D,0)-1+COUNTIF($E173:E173,"u")+COUNTIF($E173:E173,"t")+COUNTIF($E173:E173,"¶")+COUNTIF($E173:E173,"²")+COUNTIF($E173:E173,"µ")+COUNTIF($E173:E173,1),ColDescriptionCourte)),""),
  "")),"")</f>
        <v/>
      </c>
      <c r="G173" s="40" t="str">
        <f ca="1">IFERROR(IF(AND(
  INDEX(Roadmap!$D:$K,MATCH($E173,Roadmap!$D:$D,0)+COUNTIF($E173:F173,"u")+COUNTIF($E173:F173,"t")+COUNTIF($E173:F173,"¶")+COUNTIF($E173:F173,"²")+COUNTIF($E173:F173,"µ")+COUNTIF($E173:F173,1),ColLivraison)=G$6,
  VLOOKUP($E173,INDIRECT("tri!"&amp; CHAR(64+ C0Col) &amp;":"&amp; CHAR(65+C0Col)),2,FALSE)&gt;COUNTIF($E173:F173,"u")+COUNTIF($E173:F173,"t")+COUNTIF($E173:F173,"¶")+COUNTIF($E173:F173,"²")+COUNTIF($E173:F173,"µ")+COUNTIF($E173:F173,1)),
HYPERLINK("#Roadmap!C"&amp; MATCH($E173,Roadmap!$D:$D,0)+COUNTIF($E173:F173,"u")+COUNTIF($E173:F173,"t"),
     INDEX(Roadmap!$D:$K,MATCH($E173,Roadmap!$D:$D,0)+COUNTIF($E173:F173,"u")+COUNTIF($E173:F173,"t")+COUNTIF($E173:F173,"¶")+COUNTIF($E173:F173,"²")+COUNTIF($E173:F173,"µ")+COUNTIF($E173:F173,1),ColTypeEcheance)),
  IF(LEN(F173)=1,
  IF(LEN(INDEX(Roadmap!$D:$K,MATCH($E173,Roadmap!$D:$D,0)-1+COUNTIF($E173:F173,"u")+COUNTIF($E173:F173,"t")+COUNTIF($E173:F173,"¶")+COUNTIF($E173:F173,"²")+COUNTIF($E173:F173,"µ")+COUNTIF($E173:F173,1),ColDescriptionCourte))&gt;1,
HYPERLINK("#Roadmap!C"&amp; MATCH($E173,Roadmap!$D:$D,0)+COUNTIF($E173:F173,"u")+COUNTIF($E173:F173,"t")+COUNTIF($E173:F173,"¶")+COUNTIF($E173:F173,"²")+COUNTIF($E173:F173,"µ")+COUNTIF($E173:F173,1)-1,INDEX(Roadmap!$D:$K,MATCH($E173,Roadmap!$D:$D,0)-1+COUNTIF($E173:F173,"u")+COUNTIF($E173:F173,"t")+COUNTIF($E173:F173,"¶")+COUNTIF($E173:F173,"²")+COUNTIF($E173:F173,"µ")+COUNTIF($E173:F173,1),ColDescriptionCourte)),""),
  "")),"")</f>
        <v/>
      </c>
      <c r="H173" s="40" t="str">
        <f ca="1">IFERROR(IF(AND(
  INDEX(Roadmap!$D:$K,MATCH($E173,Roadmap!$D:$D,0)+COUNTIF($E173:G173,"u")+COUNTIF($E173:G173,"t")+COUNTIF($E173:G173,"¶")+COUNTIF($E173:G173,"²")+COUNTIF($E173:G173,"µ")+COUNTIF($E173:G173,1),ColLivraison)=H$6,
  VLOOKUP($E173,INDIRECT("tri!"&amp; CHAR(64+ C0Col) &amp;":"&amp; CHAR(65+C0Col)),2,FALSE)&gt;COUNTIF($E173:G173,"u")+COUNTIF($E173:G173,"t")+COUNTIF($E173:G173,"¶")+COUNTIF($E173:G173,"²")+COUNTIF($E173:G173,"µ")+COUNTIF($E173:G173,1)),
HYPERLINK("#Roadmap!C"&amp; MATCH($E173,Roadmap!$D:$D,0)+COUNTIF($E173:G173,"u")+COUNTIF($E173:G173,"t"),
     INDEX(Roadmap!$D:$K,MATCH($E173,Roadmap!$D:$D,0)+COUNTIF($E173:G173,"u")+COUNTIF($E173:G173,"t")+COUNTIF($E173:G173,"¶")+COUNTIF($E173:G173,"²")+COUNTIF($E173:G173,"µ")+COUNTIF($E173:G173,1),ColTypeEcheance)),
  IF(LEN(G173)=1,
  IF(LEN(INDEX(Roadmap!$D:$K,MATCH($E173,Roadmap!$D:$D,0)-1+COUNTIF($E173:G173,"u")+COUNTIF($E173:G173,"t")+COUNTIF($E173:G173,"¶")+COUNTIF($E173:G173,"²")+COUNTIF($E173:G173,"µ")+COUNTIF($E173:G173,1),ColDescriptionCourte))&gt;1,
HYPERLINK("#Roadmap!C"&amp; MATCH($E173,Roadmap!$D:$D,0)+COUNTIF($E173:G173,"u")+COUNTIF($E173:G173,"t")+COUNTIF($E173:G173,"¶")+COUNTIF($E173:G173,"²")+COUNTIF($E173:G173,"µ")+COUNTIF($E173:G173,1)-1,INDEX(Roadmap!$D:$K,MATCH($E173,Roadmap!$D:$D,0)-1+COUNTIF($E173:G173,"u")+COUNTIF($E173:G173,"t")+COUNTIF($E173:G173,"¶")+COUNTIF($E173:G173,"²")+COUNTIF($E173:G173,"µ")+COUNTIF($E173:G173,1),ColDescriptionCourte)),""),
  "")),"")</f>
        <v/>
      </c>
      <c r="I173" s="40" t="str">
        <f ca="1">IFERROR(IF(AND(
  INDEX(Roadmap!$D:$K,MATCH($E173,Roadmap!$D:$D,0)+COUNTIF($E173:H173,"u")+COUNTIF($E173:H173,"t")+COUNTIF($E173:H173,"¶")+COUNTIF($E173:H173,"²")+COUNTIF($E173:H173,"µ")+COUNTIF($E173:H173,1),ColLivraison)=I$6,
  VLOOKUP($E173,INDIRECT("tri!"&amp; CHAR(64+ C0Col) &amp;":"&amp; CHAR(65+C0Col)),2,FALSE)&gt;COUNTIF($E173:H173,"u")+COUNTIF($E173:H173,"t")+COUNTIF($E173:H173,"¶")+COUNTIF($E173:H173,"²")+COUNTIF($E173:H173,"µ")+COUNTIF($E173:H173,1)),
HYPERLINK("#Roadmap!C"&amp; MATCH($E173,Roadmap!$D:$D,0)+COUNTIF($E173:H173,"u")+COUNTIF($E173:H173,"t"),
     INDEX(Roadmap!$D:$K,MATCH($E173,Roadmap!$D:$D,0)+COUNTIF($E173:H173,"u")+COUNTIF($E173:H173,"t")+COUNTIF($E173:H173,"¶")+COUNTIF($E173:H173,"²")+COUNTIF($E173:H173,"µ")+COUNTIF($E173:H173,1),ColTypeEcheance)),
  IF(LEN(H173)=1,
  IF(LEN(INDEX(Roadmap!$D:$K,MATCH($E173,Roadmap!$D:$D,0)-1+COUNTIF($E173:H173,"u")+COUNTIF($E173:H173,"t")+COUNTIF($E173:H173,"¶")+COUNTIF($E173:H173,"²")+COUNTIF($E173:H173,"µ")+COUNTIF($E173:H173,1),ColDescriptionCourte))&gt;1,
HYPERLINK("#Roadmap!C"&amp; MATCH($E173,Roadmap!$D:$D,0)+COUNTIF($E173:H173,"u")+COUNTIF($E173:H173,"t")+COUNTIF($E173:H173,"¶")+COUNTIF($E173:H173,"²")+COUNTIF($E173:H173,"µ")+COUNTIF($E173:H173,1)-1,INDEX(Roadmap!$D:$K,MATCH($E173,Roadmap!$D:$D,0)-1+COUNTIF($E173:H173,"u")+COUNTIF($E173:H173,"t")+COUNTIF($E173:H173,"¶")+COUNTIF($E173:H173,"²")+COUNTIF($E173:H173,"µ")+COUNTIF($E173:H173,1),ColDescriptionCourte)),""),
  "")),"")</f>
        <v/>
      </c>
      <c r="J173" s="40" t="str">
        <f ca="1">IFERROR(IF(AND(
  INDEX(Roadmap!$D:$K,MATCH($E173,Roadmap!$D:$D,0)+COUNTIF($E173:I173,"u")+COUNTIF($E173:I173,"t")+COUNTIF($E173:I173,"¶")+COUNTIF($E173:I173,"²")+COUNTIF($E173:I173,"µ")+COUNTIF($E173:I173,1),ColLivraison)=J$6,
  VLOOKUP($E173,INDIRECT("tri!"&amp; CHAR(64+ C0Col) &amp;":"&amp; CHAR(65+C0Col)),2,FALSE)&gt;COUNTIF($E173:I173,"u")+COUNTIF($E173:I173,"t")+COUNTIF($E173:I173,"¶")+COUNTIF($E173:I173,"²")+COUNTIF($E173:I173,"µ")+COUNTIF($E173:I173,1)),
HYPERLINK("#Roadmap!C"&amp; MATCH($E173,Roadmap!$D:$D,0)+COUNTIF($E173:I173,"u")+COUNTIF($E173:I173,"t"),
     INDEX(Roadmap!$D:$K,MATCH($E173,Roadmap!$D:$D,0)+COUNTIF($E173:I173,"u")+COUNTIF($E173:I173,"t")+COUNTIF($E173:I173,"¶")+COUNTIF($E173:I173,"²")+COUNTIF($E173:I173,"µ")+COUNTIF($E173:I173,1),ColTypeEcheance)),
  IF(LEN(I173)=1,
  IF(LEN(INDEX(Roadmap!$D:$K,MATCH($E173,Roadmap!$D:$D,0)-1+COUNTIF($E173:I173,"u")+COUNTIF($E173:I173,"t")+COUNTIF($E173:I173,"¶")+COUNTIF($E173:I173,"²")+COUNTIF($E173:I173,"µ")+COUNTIF($E173:I173,1),ColDescriptionCourte))&gt;1,
HYPERLINK("#Roadmap!C"&amp; MATCH($E173,Roadmap!$D:$D,0)+COUNTIF($E173:I173,"u")+COUNTIF($E173:I173,"t")+COUNTIF($E173:I173,"¶")+COUNTIF($E173:I173,"²")+COUNTIF($E173:I173,"µ")+COUNTIF($E173:I173,1)-1,INDEX(Roadmap!$D:$K,MATCH($E173,Roadmap!$D:$D,0)-1+COUNTIF($E173:I173,"u")+COUNTIF($E173:I173,"t")+COUNTIF($E173:I173,"¶")+COUNTIF($E173:I173,"²")+COUNTIF($E173:I173,"µ")+COUNTIF($E173:I173,1),ColDescriptionCourte)),""),
  "")),"")</f>
        <v/>
      </c>
      <c r="K173" s="40" t="str">
        <f ca="1">IFERROR(IF(AND(
  INDEX(Roadmap!$D:$K,MATCH($E173,Roadmap!$D:$D,0)+COUNTIF($E173:J173,"u")+COUNTIF($E173:J173,"t")+COUNTIF($E173:J173,"¶")+COUNTIF($E173:J173,"²")+COUNTIF($E173:J173,"µ")+COUNTIF($E173:J173,1),ColLivraison)=K$6,
  VLOOKUP($E173,INDIRECT("tri!"&amp; CHAR(64+ C0Col) &amp;":"&amp; CHAR(65+C0Col)),2,FALSE)&gt;COUNTIF($E173:J173,"u")+COUNTIF($E173:J173,"t")+COUNTIF($E173:J173,"¶")+COUNTIF($E173:J173,"²")+COUNTIF($E173:J173,"µ")+COUNTIF($E173:J173,1)),
HYPERLINK("#Roadmap!C"&amp; MATCH($E173,Roadmap!$D:$D,0)+COUNTIF($E173:J173,"u")+COUNTIF($E173:J173,"t"),
     INDEX(Roadmap!$D:$K,MATCH($E173,Roadmap!$D:$D,0)+COUNTIF($E173:J173,"u")+COUNTIF($E173:J173,"t")+COUNTIF($E173:J173,"¶")+COUNTIF($E173:J173,"²")+COUNTIF($E173:J173,"µ")+COUNTIF($E173:J173,1),ColTypeEcheance)),
  IF(LEN(J173)=1,
  IF(LEN(INDEX(Roadmap!$D:$K,MATCH($E173,Roadmap!$D:$D,0)-1+COUNTIF($E173:J173,"u")+COUNTIF($E173:J173,"t")+COUNTIF($E173:J173,"¶")+COUNTIF($E173:J173,"²")+COUNTIF($E173:J173,"µ")+COUNTIF($E173:J173,1),ColDescriptionCourte))&gt;1,
HYPERLINK("#Roadmap!C"&amp; MATCH($E173,Roadmap!$D:$D,0)+COUNTIF($E173:J173,"u")+COUNTIF($E173:J173,"t")+COUNTIF($E173:J173,"¶")+COUNTIF($E173:J173,"²")+COUNTIF($E173:J173,"µ")+COUNTIF($E173:J173,1)-1,INDEX(Roadmap!$D:$K,MATCH($E173,Roadmap!$D:$D,0)-1+COUNTIF($E173:J173,"u")+COUNTIF($E173:J173,"t")+COUNTIF($E173:J173,"¶")+COUNTIF($E173:J173,"²")+COUNTIF($E173:J173,"µ")+COUNTIF($E173:J173,1),ColDescriptionCourte)),""),
  "")),"")</f>
        <v/>
      </c>
      <c r="L173" s="39" t="str">
        <f ca="1">IFERROR(IF(AND(
  INDEX(Roadmap!$D:$K,MATCH($E173,Roadmap!$D:$D,0)+COUNTIF($E173:K173,"u")+COUNTIF($E173:K173,"t")+COUNTIF($E173:K173,"¶")+COUNTIF($E173:K173,"²")+COUNTIF($E173:K173,"µ")+COUNTIF($E173:K173,1),ColLivraison)=L$6,
  VLOOKUP($E173,INDIRECT("tri!"&amp; CHAR(64+ C0Col) &amp;":"&amp; CHAR(65+C0Col)),2,FALSE)&gt;COUNTIF($E173:K173,"u")+COUNTIF($E173:K173,"t")+COUNTIF($E173:K173,"¶")+COUNTIF($E173:K173,"²")+COUNTIF($E173:K173,"µ")+COUNTIF($E173:K173,1)),
HYPERLINK("#Roadmap!C"&amp; MATCH($E173,Roadmap!$D:$D,0)+COUNTIF($E173:K173,"u")+COUNTIF($E173:K173,"t"),
     INDEX(Roadmap!$D:$K,MATCH($E173,Roadmap!$D:$D,0)+COUNTIF($E173:K173,"u")+COUNTIF($E173:K173,"t")+COUNTIF($E173:K173,"¶")+COUNTIF($E173:K173,"²")+COUNTIF($E173:K173,"µ")+COUNTIF($E173:K173,1),ColTypeEcheance)),
  IF(LEN(K173)=1,
  IF(LEN(INDEX(Roadmap!$D:$K,MATCH($E173,Roadmap!$D:$D,0)-1+COUNTIF($E173:K173,"u")+COUNTIF($E173:K173,"t")+COUNTIF($E173:K173,"¶")+COUNTIF($E173:K173,"²")+COUNTIF($E173:K173,"µ")+COUNTIF($E173:K173,1),ColDescriptionCourte))&gt;1,
HYPERLINK("#Roadmap!C"&amp; MATCH($E173,Roadmap!$D:$D,0)+COUNTIF($E173:K173,"u")+COUNTIF($E173:K173,"t")+COUNTIF($E173:K173,"¶")+COUNTIF($E173:K173,"²")+COUNTIF($E173:K173,"µ")+COUNTIF($E173:K173,1)-1,INDEX(Roadmap!$D:$K,MATCH($E173,Roadmap!$D:$D,0)-1+COUNTIF($E173:K173,"u")+COUNTIF($E173:K173,"t")+COUNTIF($E173:K173,"¶")+COUNTIF($E173:K173,"²")+COUNTIF($E173:K173,"µ")+COUNTIF($E173:K173,1),ColDescriptionCourte)),""),
  "")),"")</f>
        <v/>
      </c>
      <c r="M173" s="40" t="str">
        <f ca="1">IFERROR(IF(AND(
  INDEX(Roadmap!$D:$K,MATCH($E173,Roadmap!$D:$D,0)+COUNTIF($E173:L173,"u")+COUNTIF($E173:L173,"t")+COUNTIF($E173:L173,"¶")+COUNTIF($E173:L173,"²")+COUNTIF($E173:L173,"µ")+COUNTIF($E173:L173,1),ColLivraison)=M$6,
  VLOOKUP($E173,INDIRECT("tri!"&amp; CHAR(64+ C0Col) &amp;":"&amp; CHAR(65+C0Col)),2,FALSE)&gt;COUNTIF($E173:L173,"u")+COUNTIF($E173:L173,"t")+COUNTIF($E173:L173,"¶")+COUNTIF($E173:L173,"²")+COUNTIF($E173:L173,"µ")+COUNTIF($E173:L173,1)),
HYPERLINK("#Roadmap!C"&amp; MATCH($E173,Roadmap!$D:$D,0)+COUNTIF($E173:L173,"u")+COUNTIF($E173:L173,"t"),
     INDEX(Roadmap!$D:$K,MATCH($E173,Roadmap!$D:$D,0)+COUNTIF($E173:L173,"u")+COUNTIF($E173:L173,"t")+COUNTIF($E173:L173,"¶")+COUNTIF($E173:L173,"²")+COUNTIF($E173:L173,"µ")+COUNTIF($E173:L173,1),ColTypeEcheance)),
  IF(LEN(L173)=1,
  IF(LEN(INDEX(Roadmap!$D:$K,MATCH($E173,Roadmap!$D:$D,0)-1+COUNTIF($E173:L173,"u")+COUNTIF($E173:L173,"t")+COUNTIF($E173:L173,"¶")+COUNTIF($E173:L173,"²")+COUNTIF($E173:L173,"µ")+COUNTIF($E173:L173,1),ColDescriptionCourte))&gt;1,
HYPERLINK("#Roadmap!C"&amp; MATCH($E173,Roadmap!$D:$D,0)+COUNTIF($E173:L173,"u")+COUNTIF($E173:L173,"t")+COUNTIF($E173:L173,"¶")+COUNTIF($E173:L173,"²")+COUNTIF($E173:L173,"µ")+COUNTIF($E173:L173,1)-1,INDEX(Roadmap!$D:$K,MATCH($E173,Roadmap!$D:$D,0)-1+COUNTIF($E173:L173,"u")+COUNTIF($E173:L173,"t")+COUNTIF($E173:L173,"¶")+COUNTIF($E173:L173,"²")+COUNTIF($E173:L173,"µ")+COUNTIF($E173:L173,1),ColDescriptionCourte)),""),
  "")),"")</f>
        <v/>
      </c>
      <c r="N173" s="40" t="str">
        <f ca="1">IFERROR(IF(AND(
  INDEX(Roadmap!$D:$K,MATCH($E173,Roadmap!$D:$D,0)+COUNTIF($E173:M173,"u")+COUNTIF($E173:M173,"t")+COUNTIF($E173:M173,"¶")+COUNTIF($E173:M173,"²")+COUNTIF($E173:M173,"µ")+COUNTIF($E173:M173,1),ColLivraison)=N$6,
  VLOOKUP($E173,INDIRECT("tri!"&amp; CHAR(64+ C0Col) &amp;":"&amp; CHAR(65+C0Col)),2,FALSE)&gt;COUNTIF($E173:M173,"u")+COUNTIF($E173:M173,"t")+COUNTIF($E173:M173,"¶")+COUNTIF($E173:M173,"²")+COUNTIF($E173:M173,"µ")+COUNTIF($E173:M173,1)),
HYPERLINK("#Roadmap!C"&amp; MATCH($E173,Roadmap!$D:$D,0)+COUNTIF($E173:M173,"u")+COUNTIF($E173:M173,"t"),
     INDEX(Roadmap!$D:$K,MATCH($E173,Roadmap!$D:$D,0)+COUNTIF($E173:M173,"u")+COUNTIF($E173:M173,"t")+COUNTIF($E173:M173,"¶")+COUNTIF($E173:M173,"²")+COUNTIF($E173:M173,"µ")+COUNTIF($E173:M173,1),ColTypeEcheance)),
  IF(LEN(M173)=1,
  IF(LEN(INDEX(Roadmap!$D:$K,MATCH($E173,Roadmap!$D:$D,0)-1+COUNTIF($E173:M173,"u")+COUNTIF($E173:M173,"t")+COUNTIF($E173:M173,"¶")+COUNTIF($E173:M173,"²")+COUNTIF($E173:M173,"µ")+COUNTIF($E173:M173,1),ColDescriptionCourte))&gt;1,
HYPERLINK("#Roadmap!C"&amp; MATCH($E173,Roadmap!$D:$D,0)+COUNTIF($E173:M173,"u")+COUNTIF($E173:M173,"t")+COUNTIF($E173:M173,"¶")+COUNTIF($E173:M173,"²")+COUNTIF($E173:M173,"µ")+COUNTIF($E173:M173,1)-1,INDEX(Roadmap!$D:$K,MATCH($E173,Roadmap!$D:$D,0)-1+COUNTIF($E173:M173,"u")+COUNTIF($E173:M173,"t")+COUNTIF($E173:M173,"¶")+COUNTIF($E173:M173,"²")+COUNTIF($E173:M173,"µ")+COUNTIF($E173:M173,1),ColDescriptionCourte)),""),
  "")),"")</f>
        <v/>
      </c>
      <c r="O173" s="40" t="str">
        <f ca="1">IFERROR(IF(AND(
  INDEX(Roadmap!$D:$K,MATCH($E173,Roadmap!$D:$D,0)+COUNTIF($E173:N173,"u")+COUNTIF($E173:N173,"t")+COUNTIF($E173:N173,"¶")+COUNTIF($E173:N173,"²")+COUNTIF($E173:N173,"µ")+COUNTIF($E173:N173,1),ColLivraison)=O$6,
  VLOOKUP($E173,INDIRECT("tri!"&amp; CHAR(64+ C0Col) &amp;":"&amp; CHAR(65+C0Col)),2,FALSE)&gt;COUNTIF($E173:N173,"u")+COUNTIF($E173:N173,"t")+COUNTIF($E173:N173,"¶")+COUNTIF($E173:N173,"²")+COUNTIF($E173:N173,"µ")+COUNTIF($E173:N173,1)),
HYPERLINK("#Roadmap!C"&amp; MATCH($E173,Roadmap!$D:$D,0)+COUNTIF($E173:N173,"u")+COUNTIF($E173:N173,"t"),
     INDEX(Roadmap!$D:$K,MATCH($E173,Roadmap!$D:$D,0)+COUNTIF($E173:N173,"u")+COUNTIF($E173:N173,"t")+COUNTIF($E173:N173,"¶")+COUNTIF($E173:N173,"²")+COUNTIF($E173:N173,"µ")+COUNTIF($E173:N173,1),ColTypeEcheance)),
  IF(LEN(N173)=1,
  IF(LEN(INDEX(Roadmap!$D:$K,MATCH($E173,Roadmap!$D:$D,0)-1+COUNTIF($E173:N173,"u")+COUNTIF($E173:N173,"t")+COUNTIF($E173:N173,"¶")+COUNTIF($E173:N173,"²")+COUNTIF($E173:N173,"µ")+COUNTIF($E173:N173,1),ColDescriptionCourte))&gt;1,
HYPERLINK("#Roadmap!C"&amp; MATCH($E173,Roadmap!$D:$D,0)+COUNTIF($E173:N173,"u")+COUNTIF($E173:N173,"t")+COUNTIF($E173:N173,"¶")+COUNTIF($E173:N173,"²")+COUNTIF($E173:N173,"µ")+COUNTIF($E173:N173,1)-1,INDEX(Roadmap!$D:$K,MATCH($E173,Roadmap!$D:$D,0)-1+COUNTIF($E173:N173,"u")+COUNTIF($E173:N173,"t")+COUNTIF($E173:N173,"¶")+COUNTIF($E173:N173,"²")+COUNTIF($E173:N173,"µ")+COUNTIF($E173:N173,1),ColDescriptionCourte)),""),
  "")),"")</f>
        <v/>
      </c>
      <c r="P173" s="40" t="str">
        <f ca="1">IFERROR(IF(AND(
  INDEX(Roadmap!$D:$K,MATCH($E173,Roadmap!$D:$D,0)+COUNTIF($E173:O173,"u")+COUNTIF($E173:O173,"t")+COUNTIF($E173:O173,"¶")+COUNTIF($E173:O173,"²")+COUNTIF($E173:O173,"µ")+COUNTIF($E173:O173,1),ColLivraison)=P$6,
  VLOOKUP($E173,INDIRECT("tri!"&amp; CHAR(64+ C0Col) &amp;":"&amp; CHAR(65+C0Col)),2,FALSE)&gt;COUNTIF($E173:O173,"u")+COUNTIF($E173:O173,"t")+COUNTIF($E173:O173,"¶")+COUNTIF($E173:O173,"²")+COUNTIF($E173:O173,"µ")+COUNTIF($E173:O173,1)),
HYPERLINK("#Roadmap!C"&amp; MATCH($E173,Roadmap!$D:$D,0)+COUNTIF($E173:O173,"u")+COUNTIF($E173:O173,"t"),
     INDEX(Roadmap!$D:$K,MATCH($E173,Roadmap!$D:$D,0)+COUNTIF($E173:O173,"u")+COUNTIF($E173:O173,"t")+COUNTIF($E173:O173,"¶")+COUNTIF($E173:O173,"²")+COUNTIF($E173:O173,"µ")+COUNTIF($E173:O173,1),ColTypeEcheance)),
  IF(LEN(O173)=1,
  IF(LEN(INDEX(Roadmap!$D:$K,MATCH($E173,Roadmap!$D:$D,0)-1+COUNTIF($E173:O173,"u")+COUNTIF($E173:O173,"t")+COUNTIF($E173:O173,"¶")+COUNTIF($E173:O173,"²")+COUNTIF($E173:O173,"µ")+COUNTIF($E173:O173,1),ColDescriptionCourte))&gt;1,
HYPERLINK("#Roadmap!C"&amp; MATCH($E173,Roadmap!$D:$D,0)+COUNTIF($E173:O173,"u")+COUNTIF($E173:O173,"t")+COUNTIF($E173:O173,"¶")+COUNTIF($E173:O173,"²")+COUNTIF($E173:O173,"µ")+COUNTIF($E173:O173,1)-1,INDEX(Roadmap!$D:$K,MATCH($E173,Roadmap!$D:$D,0)-1+COUNTIF($E173:O173,"u")+COUNTIF($E173:O173,"t")+COUNTIF($E173:O173,"¶")+COUNTIF($E173:O173,"²")+COUNTIF($E173:O173,"µ")+COUNTIF($E173:O173,1),ColDescriptionCourte)),""),
  "")),"")</f>
        <v/>
      </c>
      <c r="Q173" s="40" t="str">
        <f ca="1">IFERROR(IF(AND(
  INDEX(Roadmap!$D:$K,MATCH($E173,Roadmap!$D:$D,0)+COUNTIF($E173:P173,"u")+COUNTIF($E173:P173,"t")+COUNTIF($E173:P173,"¶")+COUNTIF($E173:P173,"²")+COUNTIF($E173:P173,"µ")+COUNTIF($E173:P173,1),ColLivraison)=Q$6,
  VLOOKUP($E173,INDIRECT("tri!"&amp; CHAR(64+ C0Col) &amp;":"&amp; CHAR(65+C0Col)),2,FALSE)&gt;COUNTIF($E173:P173,"u")+COUNTIF($E173:P173,"t")+COUNTIF($E173:P173,"¶")+COUNTIF($E173:P173,"²")+COUNTIF($E173:P173,"µ")+COUNTIF($E173:P173,1)),
HYPERLINK("#Roadmap!C"&amp; MATCH($E173,Roadmap!$D:$D,0)+COUNTIF($E173:P173,"u")+COUNTIF($E173:P173,"t"),
     INDEX(Roadmap!$D:$K,MATCH($E173,Roadmap!$D:$D,0)+COUNTIF($E173:P173,"u")+COUNTIF($E173:P173,"t")+COUNTIF($E173:P173,"¶")+COUNTIF($E173:P173,"²")+COUNTIF($E173:P173,"µ")+COUNTIF($E173:P173,1),ColTypeEcheance)),
  IF(LEN(P173)=1,
  IF(LEN(INDEX(Roadmap!$D:$K,MATCH($E173,Roadmap!$D:$D,0)-1+COUNTIF($E173:P173,"u")+COUNTIF($E173:P173,"t")+COUNTIF($E173:P173,"¶")+COUNTIF($E173:P173,"²")+COUNTIF($E173:P173,"µ")+COUNTIF($E173:P173,1),ColDescriptionCourte))&gt;1,
HYPERLINK("#Roadmap!C"&amp; MATCH($E173,Roadmap!$D:$D,0)+COUNTIF($E173:P173,"u")+COUNTIF($E173:P173,"t")+COUNTIF($E173:P173,"¶")+COUNTIF($E173:P173,"²")+COUNTIF($E173:P173,"µ")+COUNTIF($E173:P173,1)-1,INDEX(Roadmap!$D:$K,MATCH($E173,Roadmap!$D:$D,0)-1+COUNTIF($E173:P173,"u")+COUNTIF($E173:P173,"t")+COUNTIF($E173:P173,"¶")+COUNTIF($E173:P173,"²")+COUNTIF($E173:P173,"µ")+COUNTIF($E173:P173,1),ColDescriptionCourte)),""),
  "")),"")</f>
        <v/>
      </c>
      <c r="R173" s="40" t="str">
        <f ca="1">IFERROR(IF(AND(
  INDEX(Roadmap!$D:$K,MATCH($E173,Roadmap!$D:$D,0)+COUNTIF($E173:Q173,"u")+COUNTIF($E173:Q173,"t")+COUNTIF($E173:Q173,"¶")+COUNTIF($E173:Q173,"²")+COUNTIF($E173:Q173,"µ")+COUNTIF($E173:Q173,1),ColLivraison)=R$6,
  VLOOKUP($E173,INDIRECT("tri!"&amp; CHAR(64+ C0Col) &amp;":"&amp; CHAR(65+C0Col)),2,FALSE)&gt;COUNTIF($E173:Q173,"u")+COUNTIF($E173:Q173,"t")+COUNTIF($E173:Q173,"¶")+COUNTIF($E173:Q173,"²")+COUNTIF($E173:Q173,"µ")+COUNTIF($E173:Q173,1)),
HYPERLINK("#Roadmap!C"&amp; MATCH($E173,Roadmap!$D:$D,0)+COUNTIF($E173:Q173,"u")+COUNTIF($E173:Q173,"t"),
     INDEX(Roadmap!$D:$K,MATCH($E173,Roadmap!$D:$D,0)+COUNTIF($E173:Q173,"u")+COUNTIF($E173:Q173,"t")+COUNTIF($E173:Q173,"¶")+COUNTIF($E173:Q173,"²")+COUNTIF($E173:Q173,"µ")+COUNTIF($E173:Q173,1),ColTypeEcheance)),
  IF(LEN(Q173)=1,
  IF(LEN(INDEX(Roadmap!$D:$K,MATCH($E173,Roadmap!$D:$D,0)-1+COUNTIF($E173:Q173,"u")+COUNTIF($E173:Q173,"t")+COUNTIF($E173:Q173,"¶")+COUNTIF($E173:Q173,"²")+COUNTIF($E173:Q173,"µ")+COUNTIF($E173:Q173,1),ColDescriptionCourte))&gt;1,
HYPERLINK("#Roadmap!C"&amp; MATCH($E173,Roadmap!$D:$D,0)+COUNTIF($E173:Q173,"u")+COUNTIF($E173:Q173,"t")+COUNTIF($E173:Q173,"¶")+COUNTIF($E173:Q173,"²")+COUNTIF($E173:Q173,"µ")+COUNTIF($E173:Q173,1)-1,INDEX(Roadmap!$D:$K,MATCH($E173,Roadmap!$D:$D,0)-1+COUNTIF($E173:Q173,"u")+COUNTIF($E173:Q173,"t")+COUNTIF($E173:Q173,"¶")+COUNTIF($E173:Q173,"²")+COUNTIF($E173:Q173,"µ")+COUNTIF($E173:Q173,1),ColDescriptionCourte)),""),
  "")),"")</f>
        <v/>
      </c>
      <c r="S173" s="40" t="str">
        <f ca="1">IFERROR(IF(AND(
  INDEX(Roadmap!$D:$K,MATCH($E173,Roadmap!$D:$D,0)+COUNTIF($E173:R173,"u")+COUNTIF($E173:R173,"t")+COUNTIF($E173:R173,"¶")+COUNTIF($E173:R173,"²")+COUNTIF($E173:R173,"µ")+COUNTIF($E173:R173,1),ColLivraison)=S$6,
  VLOOKUP($E173,INDIRECT("tri!"&amp; CHAR(64+ C0Col) &amp;":"&amp; CHAR(65+C0Col)),2,FALSE)&gt;COUNTIF($E173:R173,"u")+COUNTIF($E173:R173,"t")+COUNTIF($E173:R173,"¶")+COUNTIF($E173:R173,"²")+COUNTIF($E173:R173,"µ")+COUNTIF($E173:R173,1)),
HYPERLINK("#Roadmap!C"&amp; MATCH($E173,Roadmap!$D:$D,0)+COUNTIF($E173:R173,"u")+COUNTIF($E173:R173,"t"),
     INDEX(Roadmap!$D:$K,MATCH($E173,Roadmap!$D:$D,0)+COUNTIF($E173:R173,"u")+COUNTIF($E173:R173,"t")+COUNTIF($E173:R173,"¶")+COUNTIF($E173:R173,"²")+COUNTIF($E173:R173,"µ")+COUNTIF($E173:R173,1),ColTypeEcheance)),
  IF(LEN(R173)=1,
  IF(LEN(INDEX(Roadmap!$D:$K,MATCH($E173,Roadmap!$D:$D,0)-1+COUNTIF($E173:R173,"u")+COUNTIF($E173:R173,"t")+COUNTIF($E173:R173,"¶")+COUNTIF($E173:R173,"²")+COUNTIF($E173:R173,"µ")+COUNTIF($E173:R173,1),ColDescriptionCourte))&gt;1,
HYPERLINK("#Roadmap!C"&amp; MATCH($E173,Roadmap!$D:$D,0)+COUNTIF($E173:R173,"u")+COUNTIF($E173:R173,"t")+COUNTIF($E173:R173,"¶")+COUNTIF($E173:R173,"²")+COUNTIF($E173:R173,"µ")+COUNTIF($E173:R173,1)-1,INDEX(Roadmap!$D:$K,MATCH($E173,Roadmap!$D:$D,0)-1+COUNTIF($E173:R173,"u")+COUNTIF($E173:R173,"t")+COUNTIF($E173:R173,"¶")+COUNTIF($E173:R173,"²")+COUNTIF($E173:R173,"µ")+COUNTIF($E173:R173,1),ColDescriptionCourte)),""),
  "")),"")</f>
        <v/>
      </c>
      <c r="T173" s="40" t="str">
        <f ca="1">IFERROR(IF(AND(
  INDEX(Roadmap!$D:$K,MATCH($E173,Roadmap!$D:$D,0)+COUNTIF($E173:S173,"u")+COUNTIF($E173:S173,"t")+COUNTIF($E173:S173,"¶")+COUNTIF($E173:S173,"²")+COUNTIF($E173:S173,"µ")+COUNTIF($E173:S173,1),ColLivraison)=T$6,
  VLOOKUP($E173,INDIRECT("tri!"&amp; CHAR(64+ C0Col) &amp;":"&amp; CHAR(65+C0Col)),2,FALSE)&gt;COUNTIF($E173:S173,"u")+COUNTIF($E173:S173,"t")+COUNTIF($E173:S173,"¶")+COUNTIF($E173:S173,"²")+COUNTIF($E173:S173,"µ")+COUNTIF($E173:S173,1)),
HYPERLINK("#Roadmap!C"&amp; MATCH($E173,Roadmap!$D:$D,0)+COUNTIF($E173:S173,"u")+COUNTIF($E173:S173,"t"),
     INDEX(Roadmap!$D:$K,MATCH($E173,Roadmap!$D:$D,0)+COUNTIF($E173:S173,"u")+COUNTIF($E173:S173,"t")+COUNTIF($E173:S173,"¶")+COUNTIF($E173:S173,"²")+COUNTIF($E173:S173,"µ")+COUNTIF($E173:S173,1),ColTypeEcheance)),
  IF(LEN(S173)=1,
  IF(LEN(INDEX(Roadmap!$D:$K,MATCH($E173,Roadmap!$D:$D,0)-1+COUNTIF($E173:S173,"u")+COUNTIF($E173:S173,"t")+COUNTIF($E173:S173,"¶")+COUNTIF($E173:S173,"²")+COUNTIF($E173:S173,"µ")+COUNTIF($E173:S173,1),ColDescriptionCourte))&gt;1,
HYPERLINK("#Roadmap!C"&amp; MATCH($E173,Roadmap!$D:$D,0)+COUNTIF($E173:S173,"u")+COUNTIF($E173:S173,"t")+COUNTIF($E173:S173,"¶")+COUNTIF($E173:S173,"²")+COUNTIF($E173:S173,"µ")+COUNTIF($E173:S173,1)-1,INDEX(Roadmap!$D:$K,MATCH($E173,Roadmap!$D:$D,0)-1+COUNTIF($E173:S173,"u")+COUNTIF($E173:S173,"t")+COUNTIF($E173:S173,"¶")+COUNTIF($E173:S173,"²")+COUNTIF($E173:S173,"µ")+COUNTIF($E173:S173,1),ColDescriptionCourte)),""),
  "")),"")</f>
        <v/>
      </c>
      <c r="U173" s="40" t="str">
        <f ca="1">IFERROR(IF(AND(
  INDEX(Roadmap!$D:$K,MATCH($E173,Roadmap!$D:$D,0)+COUNTIF($E173:T173,"u")+COUNTIF($E173:T173,"t")+COUNTIF($E173:T173,"¶")+COUNTIF($E173:T173,"²")+COUNTIF($E173:T173,"µ")+COUNTIF($E173:T173,1),ColLivraison)=U$6,
  VLOOKUP($E173,INDIRECT("tri!"&amp; CHAR(64+ C0Col) &amp;":"&amp; CHAR(65+C0Col)),2,FALSE)&gt;COUNTIF($E173:T173,"u")+COUNTIF($E173:T173,"t")+COUNTIF($E173:T173,"¶")+COUNTIF($E173:T173,"²")+COUNTIF($E173:T173,"µ")+COUNTIF($E173:T173,1)),
HYPERLINK("#Roadmap!C"&amp; MATCH($E173,Roadmap!$D:$D,0)+COUNTIF($E173:T173,"u")+COUNTIF($E173:T173,"t"),
     INDEX(Roadmap!$D:$K,MATCH($E173,Roadmap!$D:$D,0)+COUNTIF($E173:T173,"u")+COUNTIF($E173:T173,"t")+COUNTIF($E173:T173,"¶")+COUNTIF($E173:T173,"²")+COUNTIF($E173:T173,"µ")+COUNTIF($E173:T173,1),ColTypeEcheance)),
  IF(LEN(T173)=1,
  IF(LEN(INDEX(Roadmap!$D:$K,MATCH($E173,Roadmap!$D:$D,0)-1+COUNTIF($E173:T173,"u")+COUNTIF($E173:T173,"t")+COUNTIF($E173:T173,"¶")+COUNTIF($E173:T173,"²")+COUNTIF($E173:T173,"µ")+COUNTIF($E173:T173,1),ColDescriptionCourte))&gt;1,
HYPERLINK("#Roadmap!C"&amp; MATCH($E173,Roadmap!$D:$D,0)+COUNTIF($E173:T173,"u")+COUNTIF($E173:T173,"t")+COUNTIF($E173:T173,"¶")+COUNTIF($E173:T173,"²")+COUNTIF($E173:T173,"µ")+COUNTIF($E173:T173,1)-1,INDEX(Roadmap!$D:$K,MATCH($E173,Roadmap!$D:$D,0)-1+COUNTIF($E173:T173,"u")+COUNTIF($E173:T173,"t")+COUNTIF($E173:T173,"¶")+COUNTIF($E173:T173,"²")+COUNTIF($E173:T173,"µ")+COUNTIF($E173:T173,1),ColDescriptionCourte)),""),
  "")),"")</f>
        <v/>
      </c>
      <c r="V173" s="40" t="str">
        <f ca="1">IFERROR(IF(AND(
  INDEX(Roadmap!$D:$K,MATCH($E173,Roadmap!$D:$D,0)+COUNTIF($E173:U173,"u")+COUNTIF($E173:U173,"t")+COUNTIF($E173:U173,"¶")+COUNTIF($E173:U173,"²")+COUNTIF($E173:U173,"µ")+COUNTIF($E173:U173,1),ColLivraison)=V$6,
  VLOOKUP($E173,INDIRECT("tri!"&amp; CHAR(64+ C0Col) &amp;":"&amp; CHAR(65+C0Col)),2,FALSE)&gt;COUNTIF($E173:U173,"u")+COUNTIF($E173:U173,"t")+COUNTIF($E173:U173,"¶")+COUNTIF($E173:U173,"²")+COUNTIF($E173:U173,"µ")+COUNTIF($E173:U173,1)),
HYPERLINK("#Roadmap!C"&amp; MATCH($E173,Roadmap!$D:$D,0)+COUNTIF($E173:U173,"u")+COUNTIF($E173:U173,"t"),
     INDEX(Roadmap!$D:$K,MATCH($E173,Roadmap!$D:$D,0)+COUNTIF($E173:U173,"u")+COUNTIF($E173:U173,"t")+COUNTIF($E173:U173,"¶")+COUNTIF($E173:U173,"²")+COUNTIF($E173:U173,"µ")+COUNTIF($E173:U173,1),ColTypeEcheance)),
  IF(LEN(U173)=1,
  IF(LEN(INDEX(Roadmap!$D:$K,MATCH($E173,Roadmap!$D:$D,0)-1+COUNTIF($E173:U173,"u")+COUNTIF($E173:U173,"t")+COUNTIF($E173:U173,"¶")+COUNTIF($E173:U173,"²")+COUNTIF($E173:U173,"µ")+COUNTIF($E173:U173,1),ColDescriptionCourte))&gt;1,
HYPERLINK("#Roadmap!C"&amp; MATCH($E173,Roadmap!$D:$D,0)+COUNTIF($E173:U173,"u")+COUNTIF($E173:U173,"t")+COUNTIF($E173:U173,"¶")+COUNTIF($E173:U173,"²")+COUNTIF($E173:U173,"µ")+COUNTIF($E173:U173,1)-1,INDEX(Roadmap!$D:$K,MATCH($E173,Roadmap!$D:$D,0)-1+COUNTIF($E173:U173,"u")+COUNTIF($E173:U173,"t")+COUNTIF($E173:U173,"¶")+COUNTIF($E173:U173,"²")+COUNTIF($E173:U173,"µ")+COUNTIF($E173:U173,1),ColDescriptionCourte)),""),
  "")),"")</f>
        <v/>
      </c>
      <c r="W173" s="40" t="str">
        <f ca="1">IFERROR(IF(AND(
  INDEX(Roadmap!$D:$K,MATCH($E173,Roadmap!$D:$D,0)+COUNTIF($E173:V173,"u")+COUNTIF($E173:V173,"t")+COUNTIF($E173:V173,"¶")+COUNTIF($E173:V173,"²")+COUNTIF($E173:V173,"µ")+COUNTIF($E173:V173,1),ColLivraison)=W$6,
  VLOOKUP($E173,INDIRECT("tri!"&amp; CHAR(64+ C0Col) &amp;":"&amp; CHAR(65+C0Col)),2,FALSE)&gt;COUNTIF($E173:V173,"u")+COUNTIF($E173:V173,"t")+COUNTIF($E173:V173,"¶")+COUNTIF($E173:V173,"²")+COUNTIF($E173:V173,"µ")+COUNTIF($E173:V173,1)),
HYPERLINK("#Roadmap!C"&amp; MATCH($E173,Roadmap!$D:$D,0)+COUNTIF($E173:V173,"u")+COUNTIF($E173:V173,"t"),
     INDEX(Roadmap!$D:$K,MATCH($E173,Roadmap!$D:$D,0)+COUNTIF($E173:V173,"u")+COUNTIF($E173:V173,"t")+COUNTIF($E173:V173,"¶")+COUNTIF($E173:V173,"²")+COUNTIF($E173:V173,"µ")+COUNTIF($E173:V173,1),ColTypeEcheance)),
  IF(LEN(V173)=1,
  IF(LEN(INDEX(Roadmap!$D:$K,MATCH($E173,Roadmap!$D:$D,0)-1+COUNTIF($E173:V173,"u")+COUNTIF($E173:V173,"t")+COUNTIF($E173:V173,"¶")+COUNTIF($E173:V173,"²")+COUNTIF($E173:V173,"µ")+COUNTIF($E173:V173,1),ColDescriptionCourte))&gt;1,
HYPERLINK("#Roadmap!C"&amp; MATCH($E173,Roadmap!$D:$D,0)+COUNTIF($E173:V173,"u")+COUNTIF($E173:V173,"t")+COUNTIF($E173:V173,"¶")+COUNTIF($E173:V173,"²")+COUNTIF($E173:V173,"µ")+COUNTIF($E173:V173,1)-1,INDEX(Roadmap!$D:$K,MATCH($E173,Roadmap!$D:$D,0)-1+COUNTIF($E173:V173,"u")+COUNTIF($E173:V173,"t")+COUNTIF($E173:V173,"¶")+COUNTIF($E173:V173,"²")+COUNTIF($E173:V173,"µ")+COUNTIF($E173:V173,1),ColDescriptionCourte)),""),
  "")),"")</f>
        <v/>
      </c>
      <c r="X173" s="40" t="str">
        <f ca="1">IFERROR(IF(AND(
  INDEX(Roadmap!$D:$K,MATCH($E173,Roadmap!$D:$D,0)+COUNTIF($E173:W173,"u")+COUNTIF($E173:W173,"t")+COUNTIF($E173:W173,"¶")+COUNTIF($E173:W173,"²")+COUNTIF($E173:W173,"µ")+COUNTIF($E173:W173,1),ColLivraison)=X$6,
  VLOOKUP($E173,INDIRECT("tri!"&amp; CHAR(64+ C0Col) &amp;":"&amp; CHAR(65+C0Col)),2,FALSE)&gt;COUNTIF($E173:W173,"u")+COUNTIF($E173:W173,"t")+COUNTIF($E173:W173,"¶")+COUNTIF($E173:W173,"²")+COUNTIF($E173:W173,"µ")+COUNTIF($E173:W173,1)),
HYPERLINK("#Roadmap!C"&amp; MATCH($E173,Roadmap!$D:$D,0)+COUNTIF($E173:W173,"u")+COUNTIF($E173:W173,"t"),
     INDEX(Roadmap!$D:$K,MATCH($E173,Roadmap!$D:$D,0)+COUNTIF($E173:W173,"u")+COUNTIF($E173:W173,"t")+COUNTIF($E173:W173,"¶")+COUNTIF($E173:W173,"²")+COUNTIF($E173:W173,"µ")+COUNTIF($E173:W173,1),ColTypeEcheance)),
  IF(LEN(W173)=1,
  IF(LEN(INDEX(Roadmap!$D:$K,MATCH($E173,Roadmap!$D:$D,0)-1+COUNTIF($E173:W173,"u")+COUNTIF($E173:W173,"t")+COUNTIF($E173:W173,"¶")+COUNTIF($E173:W173,"²")+COUNTIF($E173:W173,"µ")+COUNTIF($E173:W173,1),ColDescriptionCourte))&gt;1,
HYPERLINK("#Roadmap!C"&amp; MATCH($E173,Roadmap!$D:$D,0)+COUNTIF($E173:W173,"u")+COUNTIF($E173:W173,"t")+COUNTIF($E173:W173,"¶")+COUNTIF($E173:W173,"²")+COUNTIF($E173:W173,"µ")+COUNTIF($E173:W173,1)-1,INDEX(Roadmap!$D:$K,MATCH($E173,Roadmap!$D:$D,0)-1+COUNTIF($E173:W173,"u")+COUNTIF($E173:W173,"t")+COUNTIF($E173:W173,"¶")+COUNTIF($E173:W173,"²")+COUNTIF($E173:W173,"µ")+COUNTIF($E173:W173,1),ColDescriptionCourte)),""),
  "")),"")</f>
        <v/>
      </c>
      <c r="Y173" s="40" t="str">
        <f ca="1">IFERROR(IF(AND(
  INDEX(Roadmap!$D:$K,MATCH($E173,Roadmap!$D:$D,0)+COUNTIF($E173:X173,"u")+COUNTIF($E173:X173,"t")+COUNTIF($E173:X173,"¶")+COUNTIF($E173:X173,"²")+COUNTIF($E173:X173,"µ")+COUNTIF($E173:X173,1),ColLivraison)=Y$6,
  VLOOKUP($E173,INDIRECT("tri!"&amp; CHAR(64+ C0Col) &amp;":"&amp; CHAR(65+C0Col)),2,FALSE)&gt;COUNTIF($E173:X173,"u")+COUNTIF($E173:X173,"t")+COUNTIF($E173:X173,"¶")+COUNTIF($E173:X173,"²")+COUNTIF($E173:X173,"µ")+COUNTIF($E173:X173,1)),
HYPERLINK("#Roadmap!C"&amp; MATCH($E173,Roadmap!$D:$D,0)+COUNTIF($E173:X173,"u")+COUNTIF($E173:X173,"t"),
     INDEX(Roadmap!$D:$K,MATCH($E173,Roadmap!$D:$D,0)+COUNTIF($E173:X173,"u")+COUNTIF($E173:X173,"t")+COUNTIF($E173:X173,"¶")+COUNTIF($E173:X173,"²")+COUNTIF($E173:X173,"µ")+COUNTIF($E173:X173,1),ColTypeEcheance)),
  IF(LEN(X173)=1,
  IF(LEN(INDEX(Roadmap!$D:$K,MATCH($E173,Roadmap!$D:$D,0)-1+COUNTIF($E173:X173,"u")+COUNTIF($E173:X173,"t")+COUNTIF($E173:X173,"¶")+COUNTIF($E173:X173,"²")+COUNTIF($E173:X173,"µ")+COUNTIF($E173:X173,1),ColDescriptionCourte))&gt;1,
HYPERLINK("#Roadmap!C"&amp; MATCH($E173,Roadmap!$D:$D,0)+COUNTIF($E173:X173,"u")+COUNTIF($E173:X173,"t")+COUNTIF($E173:X173,"¶")+COUNTIF($E173:X173,"²")+COUNTIF($E173:X173,"µ")+COUNTIF($E173:X173,1)-1,INDEX(Roadmap!$D:$K,MATCH($E173,Roadmap!$D:$D,0)-1+COUNTIF($E173:X173,"u")+COUNTIF($E173:X173,"t")+COUNTIF($E173:X173,"¶")+COUNTIF($E173:X173,"²")+COUNTIF($E173:X173,"µ")+COUNTIF($E173:X173,1),ColDescriptionCourte)),""),
  "")),"")</f>
        <v/>
      </c>
      <c r="Z173" s="40" t="str">
        <f ca="1">IFERROR(IF(AND(
  INDEX(Roadmap!$D:$K,MATCH($E173,Roadmap!$D:$D,0)+COUNTIF($E173:Y173,"u")+COUNTIF($E173:Y173,"t")+COUNTIF($E173:Y173,"¶")+COUNTIF($E173:Y173,"²")+COUNTIF($E173:Y173,"µ")+COUNTIF($E173:Y173,1),ColLivraison)=Z$6,
  VLOOKUP($E173,INDIRECT("tri!"&amp; CHAR(64+ C0Col) &amp;":"&amp; CHAR(65+C0Col)),2,FALSE)&gt;COUNTIF($E173:Y173,"u")+COUNTIF($E173:Y173,"t")+COUNTIF($E173:Y173,"¶")+COUNTIF($E173:Y173,"²")+COUNTIF($E173:Y173,"µ")+COUNTIF($E173:Y173,1)),
HYPERLINK("#Roadmap!C"&amp; MATCH($E173,Roadmap!$D:$D,0)+COUNTIF($E173:Y173,"u")+COUNTIF($E173:Y173,"t"),
     INDEX(Roadmap!$D:$K,MATCH($E173,Roadmap!$D:$D,0)+COUNTIF($E173:Y173,"u")+COUNTIF($E173:Y173,"t")+COUNTIF($E173:Y173,"¶")+COUNTIF($E173:Y173,"²")+COUNTIF($E173:Y173,"µ")+COUNTIF($E173:Y173,1),ColTypeEcheance)),
  IF(LEN(Y173)=1,
  IF(LEN(INDEX(Roadmap!$D:$K,MATCH($E173,Roadmap!$D:$D,0)-1+COUNTIF($E173:Y173,"u")+COUNTIF($E173:Y173,"t")+COUNTIF($E173:Y173,"¶")+COUNTIF($E173:Y173,"²")+COUNTIF($E173:Y173,"µ")+COUNTIF($E173:Y173,1),ColDescriptionCourte))&gt;1,
HYPERLINK("#Roadmap!C"&amp; MATCH($E173,Roadmap!$D:$D,0)+COUNTIF($E173:Y173,"u")+COUNTIF($E173:Y173,"t")+COUNTIF($E173:Y173,"¶")+COUNTIF($E173:Y173,"²")+COUNTIF($E173:Y173,"µ")+COUNTIF($E173:Y173,1)-1,INDEX(Roadmap!$D:$K,MATCH($E173,Roadmap!$D:$D,0)-1+COUNTIF($E173:Y173,"u")+COUNTIF($E173:Y173,"t")+COUNTIF($E173:Y173,"¶")+COUNTIF($E173:Y173,"²")+COUNTIF($E173:Y173,"µ")+COUNTIF($E173:Y173,1),ColDescriptionCourte)),""),
  "")),"")</f>
        <v/>
      </c>
      <c r="AA173" s="40" t="str">
        <f ca="1">IFERROR(IF(AND(
  INDEX(Roadmap!$D:$K,MATCH($E173,Roadmap!$D:$D,0)+COUNTIF($E173:Z173,"u")+COUNTIF($E173:Z173,"t")+COUNTIF($E173:Z173,"¶")+COUNTIF($E173:Z173,"²")+COUNTIF($E173:Z173,"µ")+COUNTIF($E173:Z173,1),ColLivraison)=AA$6,
  VLOOKUP($E173,INDIRECT("tri!"&amp; CHAR(64+ C0Col) &amp;":"&amp; CHAR(65+C0Col)),2,FALSE)&gt;COUNTIF($E173:Z173,"u")+COUNTIF($E173:Z173,"t")+COUNTIF($E173:Z173,"¶")+COUNTIF($E173:Z173,"²")+COUNTIF($E173:Z173,"µ")+COUNTIF($E173:Z173,1)),
HYPERLINK("#Roadmap!C"&amp; MATCH($E173,Roadmap!$D:$D,0)+COUNTIF($E173:Z173,"u")+COUNTIF($E173:Z173,"t"),
     INDEX(Roadmap!$D:$K,MATCH($E173,Roadmap!$D:$D,0)+COUNTIF($E173:Z173,"u")+COUNTIF($E173:Z173,"t")+COUNTIF($E173:Z173,"¶")+COUNTIF($E173:Z173,"²")+COUNTIF($E173:Z173,"µ")+COUNTIF($E173:Z173,1),ColTypeEcheance)),
  IF(LEN(Z173)=1,
  IF(LEN(INDEX(Roadmap!$D:$K,MATCH($E173,Roadmap!$D:$D,0)-1+COUNTIF($E173:Z173,"u")+COUNTIF($E173:Z173,"t")+COUNTIF($E173:Z173,"¶")+COUNTIF($E173:Z173,"²")+COUNTIF($E173:Z173,"µ")+COUNTIF($E173:Z173,1),ColDescriptionCourte))&gt;1,
HYPERLINK("#Roadmap!C"&amp; MATCH($E173,Roadmap!$D:$D,0)+COUNTIF($E173:Z173,"u")+COUNTIF($E173:Z173,"t")+COUNTIF($E173:Z173,"¶")+COUNTIF($E173:Z173,"²")+COUNTIF($E173:Z173,"µ")+COUNTIF($E173:Z173,1)-1,INDEX(Roadmap!$D:$K,MATCH($E173,Roadmap!$D:$D,0)-1+COUNTIF($E173:Z173,"u")+COUNTIF($E173:Z173,"t")+COUNTIF($E173:Z173,"¶")+COUNTIF($E173:Z173,"²")+COUNTIF($E173:Z173,"µ")+COUNTIF($E173:Z173,1),ColDescriptionCourte)),""),
  "")),"")</f>
        <v/>
      </c>
      <c r="AB173" s="40" t="str">
        <f ca="1">IFERROR(IF(AND(
  INDEX(Roadmap!$D:$K,MATCH($E173,Roadmap!$D:$D,0)+COUNTIF($E173:AA173,"u")+COUNTIF($E173:AA173,"t")+COUNTIF($E173:AA173,"¶")+COUNTIF($E173:AA173,"²")+COUNTIF($E173:AA173,"µ")+COUNTIF($E173:AA173,1),ColLivraison)=AB$6,
  VLOOKUP($E173,INDIRECT("tri!"&amp; CHAR(64+ C0Col) &amp;":"&amp; CHAR(65+C0Col)),2,FALSE)&gt;COUNTIF($E173:AA173,"u")+COUNTIF($E173:AA173,"t")+COUNTIF($E173:AA173,"¶")+COUNTIF($E173:AA173,"²")+COUNTIF($E173:AA173,"µ")+COUNTIF($E173:AA173,1)),
HYPERLINK("#Roadmap!C"&amp; MATCH($E173,Roadmap!$D:$D,0)+COUNTIF($E173:AA173,"u")+COUNTIF($E173:AA173,"t"),
     INDEX(Roadmap!$D:$K,MATCH($E173,Roadmap!$D:$D,0)+COUNTIF($E173:AA173,"u")+COUNTIF($E173:AA173,"t")+COUNTIF($E173:AA173,"¶")+COUNTIF($E173:AA173,"²")+COUNTIF($E173:AA173,"µ")+COUNTIF($E173:AA173,1),ColTypeEcheance)),
  IF(LEN(AA173)=1,
  IF(LEN(INDEX(Roadmap!$D:$K,MATCH($E173,Roadmap!$D:$D,0)-1+COUNTIF($E173:AA173,"u")+COUNTIF($E173:AA173,"t")+COUNTIF($E173:AA173,"¶")+COUNTIF($E173:AA173,"²")+COUNTIF($E173:AA173,"µ")+COUNTIF($E173:AA173,1),ColDescriptionCourte))&gt;1,
HYPERLINK("#Roadmap!C"&amp; MATCH($E173,Roadmap!$D:$D,0)+COUNTIF($E173:AA173,"u")+COUNTIF($E173:AA173,"t")+COUNTIF($E173:AA173,"¶")+COUNTIF($E173:AA173,"²")+COUNTIF($E173:AA173,"µ")+COUNTIF($E173:AA173,1)-1,INDEX(Roadmap!$D:$K,MATCH($E173,Roadmap!$D:$D,0)-1+COUNTIF($E173:AA173,"u")+COUNTIF($E173:AA173,"t")+COUNTIF($E173:AA173,"¶")+COUNTIF($E173:AA173,"²")+COUNTIF($E173:AA173,"µ")+COUNTIF($E173:AA173,1),ColDescriptionCourte)),""),
  "")),"")</f>
        <v/>
      </c>
      <c r="AC173" s="40" t="str">
        <f ca="1">IFERROR(IF(AND(
  INDEX(Roadmap!$D:$K,MATCH($E173,Roadmap!$D:$D,0)+COUNTIF($E173:AB173,"u")+COUNTIF($E173:AB173,"t")+COUNTIF($E173:AB173,"¶")+COUNTIF($E173:AB173,"²")+COUNTIF($E173:AB173,"µ")+COUNTIF($E173:AB173,1),ColLivraison)=AC$6,
  VLOOKUP($E173,INDIRECT("tri!"&amp; CHAR(64+ C0Col) &amp;":"&amp; CHAR(65+C0Col)),2,FALSE)&gt;COUNTIF($E173:AB173,"u")+COUNTIF($E173:AB173,"t")+COUNTIF($E173:AB173,"¶")+COUNTIF($E173:AB173,"²")+COUNTIF($E173:AB173,"µ")+COUNTIF($E173:AB173,1)),
HYPERLINK("#Roadmap!C"&amp; MATCH($E173,Roadmap!$D:$D,0)+COUNTIF($E173:AB173,"u")+COUNTIF($E173:AB173,"t"),
     INDEX(Roadmap!$D:$K,MATCH($E173,Roadmap!$D:$D,0)+COUNTIF($E173:AB173,"u")+COUNTIF($E173:AB173,"t")+COUNTIF($E173:AB173,"¶")+COUNTIF($E173:AB173,"²")+COUNTIF($E173:AB173,"µ")+COUNTIF($E173:AB173,1),ColTypeEcheance)),
  IF(LEN(AB173)=1,
  IF(LEN(INDEX(Roadmap!$D:$K,MATCH($E173,Roadmap!$D:$D,0)-1+COUNTIF($E173:AB173,"u")+COUNTIF($E173:AB173,"t")+COUNTIF($E173:AB173,"¶")+COUNTIF($E173:AB173,"²")+COUNTIF($E173:AB173,"µ")+COUNTIF($E173:AB173,1),ColDescriptionCourte))&gt;1,
HYPERLINK("#Roadmap!C"&amp; MATCH($E173,Roadmap!$D:$D,0)+COUNTIF($E173:AB173,"u")+COUNTIF($E173:AB173,"t")+COUNTIF($E173:AB173,"¶")+COUNTIF($E173:AB173,"²")+COUNTIF($E173:AB173,"µ")+COUNTIF($E173:AB173,1)-1,INDEX(Roadmap!$D:$K,MATCH($E173,Roadmap!$D:$D,0)-1+COUNTIF($E173:AB173,"u")+COUNTIF($E173:AB173,"t")+COUNTIF($E173:AB173,"¶")+COUNTIF($E173:AB173,"²")+COUNTIF($E173:AB173,"µ")+COUNTIF($E173:AB173,1),ColDescriptionCourte)),""),
  "")),"")</f>
        <v/>
      </c>
      <c r="AD173" s="40" t="str">
        <f ca="1">IFERROR(IF(AND(
  INDEX(Roadmap!$D:$K,MATCH($E173,Roadmap!$D:$D,0)+COUNTIF($E173:AC173,"u")+COUNTIF($E173:AC173,"t")+COUNTIF($E173:AC173,"¶")+COUNTIF($E173:AC173,"²")+COUNTIF($E173:AC173,"µ")+COUNTIF($E173:AC173,1),ColLivraison)=AD$6,
  VLOOKUP($E173,INDIRECT("tri!"&amp; CHAR(64+ C0Col) &amp;":"&amp; CHAR(65+C0Col)),2,FALSE)&gt;COUNTIF($E173:AC173,"u")+COUNTIF($E173:AC173,"t")+COUNTIF($E173:AC173,"¶")+COUNTIF($E173:AC173,"²")+COUNTIF($E173:AC173,"µ")+COUNTIF($E173:AC173,1)),
HYPERLINK("#Roadmap!C"&amp; MATCH($E173,Roadmap!$D:$D,0)+COUNTIF($E173:AC173,"u")+COUNTIF($E173:AC173,"t"),
     INDEX(Roadmap!$D:$K,MATCH($E173,Roadmap!$D:$D,0)+COUNTIF($E173:AC173,"u")+COUNTIF($E173:AC173,"t")+COUNTIF($E173:AC173,"¶")+COUNTIF($E173:AC173,"²")+COUNTIF($E173:AC173,"µ")+COUNTIF($E173:AC173,1),ColTypeEcheance)),
  IF(LEN(AC173)=1,
  IF(LEN(INDEX(Roadmap!$D:$K,MATCH($E173,Roadmap!$D:$D,0)-1+COUNTIF($E173:AC173,"u")+COUNTIF($E173:AC173,"t")+COUNTIF($E173:AC173,"¶")+COUNTIF($E173:AC173,"²")+COUNTIF($E173:AC173,"µ")+COUNTIF($E173:AC173,1),ColDescriptionCourte))&gt;1,
HYPERLINK("#Roadmap!C"&amp; MATCH($E173,Roadmap!$D:$D,0)+COUNTIF($E173:AC173,"u")+COUNTIF($E173:AC173,"t")+COUNTIF($E173:AC173,"¶")+COUNTIF($E173:AC173,"²")+COUNTIF($E173:AC173,"µ")+COUNTIF($E173:AC173,1)-1,INDEX(Roadmap!$D:$K,MATCH($E173,Roadmap!$D:$D,0)-1+COUNTIF($E173:AC173,"u")+COUNTIF($E173:AC173,"t")+COUNTIF($E173:AC173,"¶")+COUNTIF($E173:AC173,"²")+COUNTIF($E173:AC173,"µ")+COUNTIF($E173:AC173,1),ColDescriptionCourte)),""),
  "")),"")</f>
        <v/>
      </c>
      <c r="AE173" s="40" t="str">
        <f ca="1">IFERROR(IF(AND(
  INDEX(Roadmap!$D:$K,MATCH($E173,Roadmap!$D:$D,0)+COUNTIF($E173:AD173,"u")+COUNTIF($E173:AD173,"t")+COUNTIF($E173:AD173,"¶")+COUNTIF($E173:AD173,"²")+COUNTIF($E173:AD173,"µ")+COUNTIF($E173:AD173,1),ColLivraison)=AE$6,
  VLOOKUP($E173,INDIRECT("tri!"&amp; CHAR(64+ C0Col) &amp;":"&amp; CHAR(65+C0Col)),2,FALSE)&gt;COUNTIF($E173:AD173,"u")+COUNTIF($E173:AD173,"t")+COUNTIF($E173:AD173,"¶")+COUNTIF($E173:AD173,"²")+COUNTIF($E173:AD173,"µ")+COUNTIF($E173:AD173,1)),
HYPERLINK("#Roadmap!C"&amp; MATCH($E173,Roadmap!$D:$D,0)+COUNTIF($E173:AD173,"u")+COUNTIF($E173:AD173,"t"),
     INDEX(Roadmap!$D:$K,MATCH($E173,Roadmap!$D:$D,0)+COUNTIF($E173:AD173,"u")+COUNTIF($E173:AD173,"t")+COUNTIF($E173:AD173,"¶")+COUNTIF($E173:AD173,"²")+COUNTIF($E173:AD173,"µ")+COUNTIF($E173:AD173,1),ColTypeEcheance)),
  IF(LEN(AD173)=1,
  IF(LEN(INDEX(Roadmap!$D:$K,MATCH($E173,Roadmap!$D:$D,0)-1+COUNTIF($E173:AD173,"u")+COUNTIF($E173:AD173,"t")+COUNTIF($E173:AD173,"¶")+COUNTIF($E173:AD173,"²")+COUNTIF($E173:AD173,"µ")+COUNTIF($E173:AD173,1),ColDescriptionCourte))&gt;1,
HYPERLINK("#Roadmap!C"&amp; MATCH($E173,Roadmap!$D:$D,0)+COUNTIF($E173:AD173,"u")+COUNTIF($E173:AD173,"t")+COUNTIF($E173:AD173,"¶")+COUNTIF($E173:AD173,"²")+COUNTIF($E173:AD173,"µ")+COUNTIF($E173:AD173,1)-1,INDEX(Roadmap!$D:$K,MATCH($E173,Roadmap!$D:$D,0)-1+COUNTIF($E173:AD173,"u")+COUNTIF($E173:AD173,"t")+COUNTIF($E173:AD173,"¶")+COUNTIF($E173:AD173,"²")+COUNTIF($E173:AD173,"µ")+COUNTIF($E173:AD173,1),ColDescriptionCourte)),""),
  "")),"")</f>
        <v/>
      </c>
      <c r="AF173" s="40" t="str">
        <f ca="1">IFERROR(IF(AND(
  INDEX(Roadmap!$D:$K,MATCH($E173,Roadmap!$D:$D,0)+COUNTIF($E173:AE173,"u")+COUNTIF($E173:AE173,"t")+COUNTIF($E173:AE173,"¶")+COUNTIF($E173:AE173,"²")+COUNTIF($E173:AE173,"µ")+COUNTIF($E173:AE173,1),ColLivraison)=AF$6,
  VLOOKUP($E173,INDIRECT("tri!"&amp; CHAR(64+ C0Col) &amp;":"&amp; CHAR(65+C0Col)),2,FALSE)&gt;COUNTIF($E173:AE173,"u")+COUNTIF($E173:AE173,"t")+COUNTIF($E173:AE173,"¶")+COUNTIF($E173:AE173,"²")+COUNTIF($E173:AE173,"µ")+COUNTIF($E173:AE173,1)),
HYPERLINK("#Roadmap!C"&amp; MATCH($E173,Roadmap!$D:$D,0)+COUNTIF($E173:AE173,"u")+COUNTIF($E173:AE173,"t"),
     INDEX(Roadmap!$D:$K,MATCH($E173,Roadmap!$D:$D,0)+COUNTIF($E173:AE173,"u")+COUNTIF($E173:AE173,"t")+COUNTIF($E173:AE173,"¶")+COUNTIF($E173:AE173,"²")+COUNTIF($E173:AE173,"µ")+COUNTIF($E173:AE173,1),ColTypeEcheance)),
  IF(LEN(AE173)=1,
  IF(LEN(INDEX(Roadmap!$D:$K,MATCH($E173,Roadmap!$D:$D,0)-1+COUNTIF($E173:AE173,"u")+COUNTIF($E173:AE173,"t")+COUNTIF($E173:AE173,"¶")+COUNTIF($E173:AE173,"²")+COUNTIF($E173:AE173,"µ")+COUNTIF($E173:AE173,1),ColDescriptionCourte))&gt;1,
HYPERLINK("#Roadmap!C"&amp; MATCH($E173,Roadmap!$D:$D,0)+COUNTIF($E173:AE173,"u")+COUNTIF($E173:AE173,"t")+COUNTIF($E173:AE173,"¶")+COUNTIF($E173:AE173,"²")+COUNTIF($E173:AE173,"µ")+COUNTIF($E173:AE173,1)-1,INDEX(Roadmap!$D:$K,MATCH($E173,Roadmap!$D:$D,0)-1+COUNTIF($E173:AE173,"u")+COUNTIF($E173:AE173,"t")+COUNTIF($E173:AE173,"¶")+COUNTIF($E173:AE173,"²")+COUNTIF($E173:AE173,"µ")+COUNTIF($E173:AE173,1),ColDescriptionCourte)),""),
  "")),"")</f>
        <v/>
      </c>
      <c r="AG173" s="40" t="str">
        <f ca="1">IFERROR(IF(AND(
  INDEX(Roadmap!$D:$K,MATCH($E173,Roadmap!$D:$D,0)+COUNTIF($E173:AF173,"u")+COUNTIF($E173:AF173,"t")+COUNTIF($E173:AF173,"¶")+COUNTIF($E173:AF173,"²")+COUNTIF($E173:AF173,"µ")+COUNTIF($E173:AF173,1),ColLivraison)=AG$6,
  VLOOKUP($E173,INDIRECT("tri!"&amp; CHAR(64+ C0Col) &amp;":"&amp; CHAR(65+C0Col)),2,FALSE)&gt;COUNTIF($E173:AF173,"u")+COUNTIF($E173:AF173,"t")+COUNTIF($E173:AF173,"¶")+COUNTIF($E173:AF173,"²")+COUNTIF($E173:AF173,"µ")+COUNTIF($E173:AF173,1)),
HYPERLINK("#Roadmap!C"&amp; MATCH($E173,Roadmap!$D:$D,0)+COUNTIF($E173:AF173,"u")+COUNTIF($E173:AF173,"t"),
     INDEX(Roadmap!$D:$K,MATCH($E173,Roadmap!$D:$D,0)+COUNTIF($E173:AF173,"u")+COUNTIF($E173:AF173,"t")+COUNTIF($E173:AF173,"¶")+COUNTIF($E173:AF173,"²")+COUNTIF($E173:AF173,"µ")+COUNTIF($E173:AF173,1),ColTypeEcheance)),
  IF(LEN(AF173)=1,
  IF(LEN(INDEX(Roadmap!$D:$K,MATCH($E173,Roadmap!$D:$D,0)-1+COUNTIF($E173:AF173,"u")+COUNTIF($E173:AF173,"t")+COUNTIF($E173:AF173,"¶")+COUNTIF($E173:AF173,"²")+COUNTIF($E173:AF173,"µ")+COUNTIF($E173:AF173,1),ColDescriptionCourte))&gt;1,
HYPERLINK("#Roadmap!C"&amp; MATCH($E173,Roadmap!$D:$D,0)+COUNTIF($E173:AF173,"u")+COUNTIF($E173:AF173,"t")+COUNTIF($E173:AF173,"¶")+COUNTIF($E173:AF173,"²")+COUNTIF($E173:AF173,"µ")+COUNTIF($E173:AF173,1)-1,INDEX(Roadmap!$D:$K,MATCH($E173,Roadmap!$D:$D,0)-1+COUNTIF($E173:AF173,"u")+COUNTIF($E173:AF173,"t")+COUNTIF($E173:AF173,"¶")+COUNTIF($E173:AF173,"²")+COUNTIF($E173:AF173,"µ")+COUNTIF($E173:AF173,1),ColDescriptionCourte)),""),
  "")),"")</f>
        <v/>
      </c>
    </row>
    <row r="174" spans="3:33" ht="14.25" customHeight="1">
      <c r="C174" s="1" t="str">
        <f t="shared" ca="1" si="54"/>
        <v/>
      </c>
      <c r="D174" s="1" t="str">
        <f t="shared" ca="1" si="55"/>
        <v/>
      </c>
      <c r="E174" s="35" t="str">
        <f t="shared" ca="1" si="51"/>
        <v/>
      </c>
      <c r="F174" s="39" t="str">
        <f ca="1">IFERROR(IF(AND(
  INDEX(Roadmap!$D:$K,MATCH($E174,Roadmap!$D:$D,0)+COUNTIF($E174:E174,"u")+COUNTIF($E174:E174,"t")+COUNTIF($E174:E174,"¶")+COUNTIF($E174:E174,"²")+COUNTIF($E174:E174,"µ")+COUNTIF($E174:E174,1),ColLivraison)=F$6,
  VLOOKUP($E174,INDIRECT("tri!"&amp; CHAR(64+ C0Col) &amp;":"&amp; CHAR(65+C0Col)),2,FALSE)&gt;COUNTIF($E174:E174,"u")+COUNTIF($E174:E174,"t")+COUNTIF($E174:E174,"¶")+COUNTIF($E174:E174,"²")+COUNTIF($E174:E174,"µ")+COUNTIF($E174:E174,1)),
HYPERLINK("#Roadmap!C"&amp; MATCH($E174,Roadmap!$D:$D,0)+COUNTIF($E174:E174,"u")+COUNTIF($E174:E174,"t"),
     INDEX(Roadmap!$D:$K,MATCH($E174,Roadmap!$D:$D,0)+COUNTIF($E174:E174,"u")+COUNTIF($E174:E174,"t")+COUNTIF($E174:E174,"¶")+COUNTIF($E174:E174,"²")+COUNTIF($E174:E174,"µ")+COUNTIF($E174:E174,1),ColTypeEcheance)),
  IF(LEN(E174)=1,
  IF(LEN(INDEX(Roadmap!$D:$K,MATCH($E174,Roadmap!$D:$D,0)-1+COUNTIF($E174:E174,"u")+COUNTIF($E174:E174,"t")+COUNTIF($E174:E174,"¶")+COUNTIF($E174:E174,"²")+COUNTIF($E174:E174,"µ")+COUNTIF($E174:E174,1),ColDescriptionCourte))&gt;1,
HYPERLINK("#Roadmap!C"&amp; MATCH($E174,Roadmap!$D:$D,0)+COUNTIF($E174:E174,"u")+COUNTIF($E174:E174,"t")+COUNTIF($E174:E174,"¶")+COUNTIF($E174:E174,"²")+COUNTIF($E174:E174,"µ")+COUNTIF($E174:E174,1)-1,INDEX(Roadmap!$D:$K,MATCH($E174,Roadmap!$D:$D,0)-1+COUNTIF($E174:E174,"u")+COUNTIF($E174:E174,"t")+COUNTIF($E174:E174,"¶")+COUNTIF($E174:E174,"²")+COUNTIF($E174:E174,"µ")+COUNTIF($E174:E174,1),ColDescriptionCourte)),""),
  "")),"")</f>
        <v/>
      </c>
      <c r="G174" s="40" t="str">
        <f ca="1">IFERROR(IF(AND(
  INDEX(Roadmap!$D:$K,MATCH($E174,Roadmap!$D:$D,0)+COUNTIF($E174:F174,"u")+COUNTIF($E174:F174,"t")+COUNTIF($E174:F174,"¶")+COUNTIF($E174:F174,"²")+COUNTIF($E174:F174,"µ")+COUNTIF($E174:F174,1),ColLivraison)=G$6,
  VLOOKUP($E174,INDIRECT("tri!"&amp; CHAR(64+ C0Col) &amp;":"&amp; CHAR(65+C0Col)),2,FALSE)&gt;COUNTIF($E174:F174,"u")+COUNTIF($E174:F174,"t")+COUNTIF($E174:F174,"¶")+COUNTIF($E174:F174,"²")+COUNTIF($E174:F174,"µ")+COUNTIF($E174:F174,1)),
HYPERLINK("#Roadmap!C"&amp; MATCH($E174,Roadmap!$D:$D,0)+COUNTIF($E174:F174,"u")+COUNTIF($E174:F174,"t"),
     INDEX(Roadmap!$D:$K,MATCH($E174,Roadmap!$D:$D,0)+COUNTIF($E174:F174,"u")+COUNTIF($E174:F174,"t")+COUNTIF($E174:F174,"¶")+COUNTIF($E174:F174,"²")+COUNTIF($E174:F174,"µ")+COUNTIF($E174:F174,1),ColTypeEcheance)),
  IF(LEN(F174)=1,
  IF(LEN(INDEX(Roadmap!$D:$K,MATCH($E174,Roadmap!$D:$D,0)-1+COUNTIF($E174:F174,"u")+COUNTIF($E174:F174,"t")+COUNTIF($E174:F174,"¶")+COUNTIF($E174:F174,"²")+COUNTIF($E174:F174,"µ")+COUNTIF($E174:F174,1),ColDescriptionCourte))&gt;1,
HYPERLINK("#Roadmap!C"&amp; MATCH($E174,Roadmap!$D:$D,0)+COUNTIF($E174:F174,"u")+COUNTIF($E174:F174,"t")+COUNTIF($E174:F174,"¶")+COUNTIF($E174:F174,"²")+COUNTIF($E174:F174,"µ")+COUNTIF($E174:F174,1)-1,INDEX(Roadmap!$D:$K,MATCH($E174,Roadmap!$D:$D,0)-1+COUNTIF($E174:F174,"u")+COUNTIF($E174:F174,"t")+COUNTIF($E174:F174,"¶")+COUNTIF($E174:F174,"²")+COUNTIF($E174:F174,"µ")+COUNTIF($E174:F174,1),ColDescriptionCourte)),""),
  "")),"")</f>
        <v/>
      </c>
      <c r="H174" s="40" t="str">
        <f ca="1">IFERROR(IF(AND(
  INDEX(Roadmap!$D:$K,MATCH($E174,Roadmap!$D:$D,0)+COUNTIF($E174:G174,"u")+COUNTIF($E174:G174,"t")+COUNTIF($E174:G174,"¶")+COUNTIF($E174:G174,"²")+COUNTIF($E174:G174,"µ")+COUNTIF($E174:G174,1),ColLivraison)=H$6,
  VLOOKUP($E174,INDIRECT("tri!"&amp; CHAR(64+ C0Col) &amp;":"&amp; CHAR(65+C0Col)),2,FALSE)&gt;COUNTIF($E174:G174,"u")+COUNTIF($E174:G174,"t")+COUNTIF($E174:G174,"¶")+COUNTIF($E174:G174,"²")+COUNTIF($E174:G174,"µ")+COUNTIF($E174:G174,1)),
HYPERLINK("#Roadmap!C"&amp; MATCH($E174,Roadmap!$D:$D,0)+COUNTIF($E174:G174,"u")+COUNTIF($E174:G174,"t"),
     INDEX(Roadmap!$D:$K,MATCH($E174,Roadmap!$D:$D,0)+COUNTIF($E174:G174,"u")+COUNTIF($E174:G174,"t")+COUNTIF($E174:G174,"¶")+COUNTIF($E174:G174,"²")+COUNTIF($E174:G174,"µ")+COUNTIF($E174:G174,1),ColTypeEcheance)),
  IF(LEN(G174)=1,
  IF(LEN(INDEX(Roadmap!$D:$K,MATCH($E174,Roadmap!$D:$D,0)-1+COUNTIF($E174:G174,"u")+COUNTIF($E174:G174,"t")+COUNTIF($E174:G174,"¶")+COUNTIF($E174:G174,"²")+COUNTIF($E174:G174,"µ")+COUNTIF($E174:G174,1),ColDescriptionCourte))&gt;1,
HYPERLINK("#Roadmap!C"&amp; MATCH($E174,Roadmap!$D:$D,0)+COUNTIF($E174:G174,"u")+COUNTIF($E174:G174,"t")+COUNTIF($E174:G174,"¶")+COUNTIF($E174:G174,"²")+COUNTIF($E174:G174,"µ")+COUNTIF($E174:G174,1)-1,INDEX(Roadmap!$D:$K,MATCH($E174,Roadmap!$D:$D,0)-1+COUNTIF($E174:G174,"u")+COUNTIF($E174:G174,"t")+COUNTIF($E174:G174,"¶")+COUNTIF($E174:G174,"²")+COUNTIF($E174:G174,"µ")+COUNTIF($E174:G174,1),ColDescriptionCourte)),""),
  "")),"")</f>
        <v/>
      </c>
      <c r="I174" s="40" t="str">
        <f ca="1">IFERROR(IF(AND(
  INDEX(Roadmap!$D:$K,MATCH($E174,Roadmap!$D:$D,0)+COUNTIF($E174:H174,"u")+COUNTIF($E174:H174,"t")+COUNTIF($E174:H174,"¶")+COUNTIF($E174:H174,"²")+COUNTIF($E174:H174,"µ")+COUNTIF($E174:H174,1),ColLivraison)=I$6,
  VLOOKUP($E174,INDIRECT("tri!"&amp; CHAR(64+ C0Col) &amp;":"&amp; CHAR(65+C0Col)),2,FALSE)&gt;COUNTIF($E174:H174,"u")+COUNTIF($E174:H174,"t")+COUNTIF($E174:H174,"¶")+COUNTIF($E174:H174,"²")+COUNTIF($E174:H174,"µ")+COUNTIF($E174:H174,1)),
HYPERLINK("#Roadmap!C"&amp; MATCH($E174,Roadmap!$D:$D,0)+COUNTIF($E174:H174,"u")+COUNTIF($E174:H174,"t"),
     INDEX(Roadmap!$D:$K,MATCH($E174,Roadmap!$D:$D,0)+COUNTIF($E174:H174,"u")+COUNTIF($E174:H174,"t")+COUNTIF($E174:H174,"¶")+COUNTIF($E174:H174,"²")+COUNTIF($E174:H174,"µ")+COUNTIF($E174:H174,1),ColTypeEcheance)),
  IF(LEN(H174)=1,
  IF(LEN(INDEX(Roadmap!$D:$K,MATCH($E174,Roadmap!$D:$D,0)-1+COUNTIF($E174:H174,"u")+COUNTIF($E174:H174,"t")+COUNTIF($E174:H174,"¶")+COUNTIF($E174:H174,"²")+COUNTIF($E174:H174,"µ")+COUNTIF($E174:H174,1),ColDescriptionCourte))&gt;1,
HYPERLINK("#Roadmap!C"&amp; MATCH($E174,Roadmap!$D:$D,0)+COUNTIF($E174:H174,"u")+COUNTIF($E174:H174,"t")+COUNTIF($E174:H174,"¶")+COUNTIF($E174:H174,"²")+COUNTIF($E174:H174,"µ")+COUNTIF($E174:H174,1)-1,INDEX(Roadmap!$D:$K,MATCH($E174,Roadmap!$D:$D,0)-1+COUNTIF($E174:H174,"u")+COUNTIF($E174:H174,"t")+COUNTIF($E174:H174,"¶")+COUNTIF($E174:H174,"²")+COUNTIF($E174:H174,"µ")+COUNTIF($E174:H174,1),ColDescriptionCourte)),""),
  "")),"")</f>
        <v/>
      </c>
      <c r="J174" s="40" t="str">
        <f ca="1">IFERROR(IF(AND(
  INDEX(Roadmap!$D:$K,MATCH($E174,Roadmap!$D:$D,0)+COUNTIF($E174:I174,"u")+COUNTIF($E174:I174,"t")+COUNTIF($E174:I174,"¶")+COUNTIF($E174:I174,"²")+COUNTIF($E174:I174,"µ")+COUNTIF($E174:I174,1),ColLivraison)=J$6,
  VLOOKUP($E174,INDIRECT("tri!"&amp; CHAR(64+ C0Col) &amp;":"&amp; CHAR(65+C0Col)),2,FALSE)&gt;COUNTIF($E174:I174,"u")+COUNTIF($E174:I174,"t")+COUNTIF($E174:I174,"¶")+COUNTIF($E174:I174,"²")+COUNTIF($E174:I174,"µ")+COUNTIF($E174:I174,1)),
HYPERLINK("#Roadmap!C"&amp; MATCH($E174,Roadmap!$D:$D,0)+COUNTIF($E174:I174,"u")+COUNTIF($E174:I174,"t"),
     INDEX(Roadmap!$D:$K,MATCH($E174,Roadmap!$D:$D,0)+COUNTIF($E174:I174,"u")+COUNTIF($E174:I174,"t")+COUNTIF($E174:I174,"¶")+COUNTIF($E174:I174,"²")+COUNTIF($E174:I174,"µ")+COUNTIF($E174:I174,1),ColTypeEcheance)),
  IF(LEN(I174)=1,
  IF(LEN(INDEX(Roadmap!$D:$K,MATCH($E174,Roadmap!$D:$D,0)-1+COUNTIF($E174:I174,"u")+COUNTIF($E174:I174,"t")+COUNTIF($E174:I174,"¶")+COUNTIF($E174:I174,"²")+COUNTIF($E174:I174,"µ")+COUNTIF($E174:I174,1),ColDescriptionCourte))&gt;1,
HYPERLINK("#Roadmap!C"&amp; MATCH($E174,Roadmap!$D:$D,0)+COUNTIF($E174:I174,"u")+COUNTIF($E174:I174,"t")+COUNTIF($E174:I174,"¶")+COUNTIF($E174:I174,"²")+COUNTIF($E174:I174,"µ")+COUNTIF($E174:I174,1)-1,INDEX(Roadmap!$D:$K,MATCH($E174,Roadmap!$D:$D,0)-1+COUNTIF($E174:I174,"u")+COUNTIF($E174:I174,"t")+COUNTIF($E174:I174,"¶")+COUNTIF($E174:I174,"²")+COUNTIF($E174:I174,"µ")+COUNTIF($E174:I174,1),ColDescriptionCourte)),""),
  "")),"")</f>
        <v/>
      </c>
      <c r="K174" s="40" t="str">
        <f ca="1">IFERROR(IF(AND(
  INDEX(Roadmap!$D:$K,MATCH($E174,Roadmap!$D:$D,0)+COUNTIF($E174:J174,"u")+COUNTIF($E174:J174,"t")+COUNTIF($E174:J174,"¶")+COUNTIF($E174:J174,"²")+COUNTIF($E174:J174,"µ")+COUNTIF($E174:J174,1),ColLivraison)=K$6,
  VLOOKUP($E174,INDIRECT("tri!"&amp; CHAR(64+ C0Col) &amp;":"&amp; CHAR(65+C0Col)),2,FALSE)&gt;COUNTIF($E174:J174,"u")+COUNTIF($E174:J174,"t")+COUNTIF($E174:J174,"¶")+COUNTIF($E174:J174,"²")+COUNTIF($E174:J174,"µ")+COUNTIF($E174:J174,1)),
HYPERLINK("#Roadmap!C"&amp; MATCH($E174,Roadmap!$D:$D,0)+COUNTIF($E174:J174,"u")+COUNTIF($E174:J174,"t"),
     INDEX(Roadmap!$D:$K,MATCH($E174,Roadmap!$D:$D,0)+COUNTIF($E174:J174,"u")+COUNTIF($E174:J174,"t")+COUNTIF($E174:J174,"¶")+COUNTIF($E174:J174,"²")+COUNTIF($E174:J174,"µ")+COUNTIF($E174:J174,1),ColTypeEcheance)),
  IF(LEN(J174)=1,
  IF(LEN(INDEX(Roadmap!$D:$K,MATCH($E174,Roadmap!$D:$D,0)-1+COUNTIF($E174:J174,"u")+COUNTIF($E174:J174,"t")+COUNTIF($E174:J174,"¶")+COUNTIF($E174:J174,"²")+COUNTIF($E174:J174,"µ")+COUNTIF($E174:J174,1),ColDescriptionCourte))&gt;1,
HYPERLINK("#Roadmap!C"&amp; MATCH($E174,Roadmap!$D:$D,0)+COUNTIF($E174:J174,"u")+COUNTIF($E174:J174,"t")+COUNTIF($E174:J174,"¶")+COUNTIF($E174:J174,"²")+COUNTIF($E174:J174,"µ")+COUNTIF($E174:J174,1)-1,INDEX(Roadmap!$D:$K,MATCH($E174,Roadmap!$D:$D,0)-1+COUNTIF($E174:J174,"u")+COUNTIF($E174:J174,"t")+COUNTIF($E174:J174,"¶")+COUNTIF($E174:J174,"²")+COUNTIF($E174:J174,"µ")+COUNTIF($E174:J174,1),ColDescriptionCourte)),""),
  "")),"")</f>
        <v/>
      </c>
      <c r="L174" s="39" t="str">
        <f ca="1">IFERROR(IF(AND(
  INDEX(Roadmap!$D:$K,MATCH($E174,Roadmap!$D:$D,0)+COUNTIF($E174:K174,"u")+COUNTIF($E174:K174,"t")+COUNTIF($E174:K174,"¶")+COUNTIF($E174:K174,"²")+COUNTIF($E174:K174,"µ")+COUNTIF($E174:K174,1),ColLivraison)=L$6,
  VLOOKUP($E174,INDIRECT("tri!"&amp; CHAR(64+ C0Col) &amp;":"&amp; CHAR(65+C0Col)),2,FALSE)&gt;COUNTIF($E174:K174,"u")+COUNTIF($E174:K174,"t")+COUNTIF($E174:K174,"¶")+COUNTIF($E174:K174,"²")+COUNTIF($E174:K174,"µ")+COUNTIF($E174:K174,1)),
HYPERLINK("#Roadmap!C"&amp; MATCH($E174,Roadmap!$D:$D,0)+COUNTIF($E174:K174,"u")+COUNTIF($E174:K174,"t"),
     INDEX(Roadmap!$D:$K,MATCH($E174,Roadmap!$D:$D,0)+COUNTIF($E174:K174,"u")+COUNTIF($E174:K174,"t")+COUNTIF($E174:K174,"¶")+COUNTIF($E174:K174,"²")+COUNTIF($E174:K174,"µ")+COUNTIF($E174:K174,1),ColTypeEcheance)),
  IF(LEN(K174)=1,
  IF(LEN(INDEX(Roadmap!$D:$K,MATCH($E174,Roadmap!$D:$D,0)-1+COUNTIF($E174:K174,"u")+COUNTIF($E174:K174,"t")+COUNTIF($E174:K174,"¶")+COUNTIF($E174:K174,"²")+COUNTIF($E174:K174,"µ")+COUNTIF($E174:K174,1),ColDescriptionCourte))&gt;1,
HYPERLINK("#Roadmap!C"&amp; MATCH($E174,Roadmap!$D:$D,0)+COUNTIF($E174:K174,"u")+COUNTIF($E174:K174,"t")+COUNTIF($E174:K174,"¶")+COUNTIF($E174:K174,"²")+COUNTIF($E174:K174,"µ")+COUNTIF($E174:K174,1)-1,INDEX(Roadmap!$D:$K,MATCH($E174,Roadmap!$D:$D,0)-1+COUNTIF($E174:K174,"u")+COUNTIF($E174:K174,"t")+COUNTIF($E174:K174,"¶")+COUNTIF($E174:K174,"²")+COUNTIF($E174:K174,"µ")+COUNTIF($E174:K174,1),ColDescriptionCourte)),""),
  "")),"")</f>
        <v/>
      </c>
      <c r="M174" s="40" t="str">
        <f ca="1">IFERROR(IF(AND(
  INDEX(Roadmap!$D:$K,MATCH($E174,Roadmap!$D:$D,0)+COUNTIF($E174:L174,"u")+COUNTIF($E174:L174,"t")+COUNTIF($E174:L174,"¶")+COUNTIF($E174:L174,"²")+COUNTIF($E174:L174,"µ")+COUNTIF($E174:L174,1),ColLivraison)=M$6,
  VLOOKUP($E174,INDIRECT("tri!"&amp; CHAR(64+ C0Col) &amp;":"&amp; CHAR(65+C0Col)),2,FALSE)&gt;COUNTIF($E174:L174,"u")+COUNTIF($E174:L174,"t")+COUNTIF($E174:L174,"¶")+COUNTIF($E174:L174,"²")+COUNTIF($E174:L174,"µ")+COUNTIF($E174:L174,1)),
HYPERLINK("#Roadmap!C"&amp; MATCH($E174,Roadmap!$D:$D,0)+COUNTIF($E174:L174,"u")+COUNTIF($E174:L174,"t"),
     INDEX(Roadmap!$D:$K,MATCH($E174,Roadmap!$D:$D,0)+COUNTIF($E174:L174,"u")+COUNTIF($E174:L174,"t")+COUNTIF($E174:L174,"¶")+COUNTIF($E174:L174,"²")+COUNTIF($E174:L174,"µ")+COUNTIF($E174:L174,1),ColTypeEcheance)),
  IF(LEN(L174)=1,
  IF(LEN(INDEX(Roadmap!$D:$K,MATCH($E174,Roadmap!$D:$D,0)-1+COUNTIF($E174:L174,"u")+COUNTIF($E174:L174,"t")+COUNTIF($E174:L174,"¶")+COUNTIF($E174:L174,"²")+COUNTIF($E174:L174,"µ")+COUNTIF($E174:L174,1),ColDescriptionCourte))&gt;1,
HYPERLINK("#Roadmap!C"&amp; MATCH($E174,Roadmap!$D:$D,0)+COUNTIF($E174:L174,"u")+COUNTIF($E174:L174,"t")+COUNTIF($E174:L174,"¶")+COUNTIF($E174:L174,"²")+COUNTIF($E174:L174,"µ")+COUNTIF($E174:L174,1)-1,INDEX(Roadmap!$D:$K,MATCH($E174,Roadmap!$D:$D,0)-1+COUNTIF($E174:L174,"u")+COUNTIF($E174:L174,"t")+COUNTIF($E174:L174,"¶")+COUNTIF($E174:L174,"²")+COUNTIF($E174:L174,"µ")+COUNTIF($E174:L174,1),ColDescriptionCourte)),""),
  "")),"")</f>
        <v/>
      </c>
      <c r="N174" s="40" t="str">
        <f ca="1">IFERROR(IF(AND(
  INDEX(Roadmap!$D:$K,MATCH($E174,Roadmap!$D:$D,0)+COUNTIF($E174:M174,"u")+COUNTIF($E174:M174,"t")+COUNTIF($E174:M174,"¶")+COUNTIF($E174:M174,"²")+COUNTIF($E174:M174,"µ")+COUNTIF($E174:M174,1),ColLivraison)=N$6,
  VLOOKUP($E174,INDIRECT("tri!"&amp; CHAR(64+ C0Col) &amp;":"&amp; CHAR(65+C0Col)),2,FALSE)&gt;COUNTIF($E174:M174,"u")+COUNTIF($E174:M174,"t")+COUNTIF($E174:M174,"¶")+COUNTIF($E174:M174,"²")+COUNTIF($E174:M174,"µ")+COUNTIF($E174:M174,1)),
HYPERLINK("#Roadmap!C"&amp; MATCH($E174,Roadmap!$D:$D,0)+COUNTIF($E174:M174,"u")+COUNTIF($E174:M174,"t"),
     INDEX(Roadmap!$D:$K,MATCH($E174,Roadmap!$D:$D,0)+COUNTIF($E174:M174,"u")+COUNTIF($E174:M174,"t")+COUNTIF($E174:M174,"¶")+COUNTIF($E174:M174,"²")+COUNTIF($E174:M174,"µ")+COUNTIF($E174:M174,1),ColTypeEcheance)),
  IF(LEN(M174)=1,
  IF(LEN(INDEX(Roadmap!$D:$K,MATCH($E174,Roadmap!$D:$D,0)-1+COUNTIF($E174:M174,"u")+COUNTIF($E174:M174,"t")+COUNTIF($E174:M174,"¶")+COUNTIF($E174:M174,"²")+COUNTIF($E174:M174,"µ")+COUNTIF($E174:M174,1),ColDescriptionCourte))&gt;1,
HYPERLINK("#Roadmap!C"&amp; MATCH($E174,Roadmap!$D:$D,0)+COUNTIF($E174:M174,"u")+COUNTIF($E174:M174,"t")+COUNTIF($E174:M174,"¶")+COUNTIF($E174:M174,"²")+COUNTIF($E174:M174,"µ")+COUNTIF($E174:M174,1)-1,INDEX(Roadmap!$D:$K,MATCH($E174,Roadmap!$D:$D,0)-1+COUNTIF($E174:M174,"u")+COUNTIF($E174:M174,"t")+COUNTIF($E174:M174,"¶")+COUNTIF($E174:M174,"²")+COUNTIF($E174:M174,"µ")+COUNTIF($E174:M174,1),ColDescriptionCourte)),""),
  "")),"")</f>
        <v/>
      </c>
      <c r="O174" s="40" t="str">
        <f ca="1">IFERROR(IF(AND(
  INDEX(Roadmap!$D:$K,MATCH($E174,Roadmap!$D:$D,0)+COUNTIF($E174:N174,"u")+COUNTIF($E174:N174,"t")+COUNTIF($E174:N174,"¶")+COUNTIF($E174:N174,"²")+COUNTIF($E174:N174,"µ")+COUNTIF($E174:N174,1),ColLivraison)=O$6,
  VLOOKUP($E174,INDIRECT("tri!"&amp; CHAR(64+ C0Col) &amp;":"&amp; CHAR(65+C0Col)),2,FALSE)&gt;COUNTIF($E174:N174,"u")+COUNTIF($E174:N174,"t")+COUNTIF($E174:N174,"¶")+COUNTIF($E174:N174,"²")+COUNTIF($E174:N174,"µ")+COUNTIF($E174:N174,1)),
HYPERLINK("#Roadmap!C"&amp; MATCH($E174,Roadmap!$D:$D,0)+COUNTIF($E174:N174,"u")+COUNTIF($E174:N174,"t"),
     INDEX(Roadmap!$D:$K,MATCH($E174,Roadmap!$D:$D,0)+COUNTIF($E174:N174,"u")+COUNTIF($E174:N174,"t")+COUNTIF($E174:N174,"¶")+COUNTIF($E174:N174,"²")+COUNTIF($E174:N174,"µ")+COUNTIF($E174:N174,1),ColTypeEcheance)),
  IF(LEN(N174)=1,
  IF(LEN(INDEX(Roadmap!$D:$K,MATCH($E174,Roadmap!$D:$D,0)-1+COUNTIF($E174:N174,"u")+COUNTIF($E174:N174,"t")+COUNTIF($E174:N174,"¶")+COUNTIF($E174:N174,"²")+COUNTIF($E174:N174,"µ")+COUNTIF($E174:N174,1),ColDescriptionCourte))&gt;1,
HYPERLINK("#Roadmap!C"&amp; MATCH($E174,Roadmap!$D:$D,0)+COUNTIF($E174:N174,"u")+COUNTIF($E174:N174,"t")+COUNTIF($E174:N174,"¶")+COUNTIF($E174:N174,"²")+COUNTIF($E174:N174,"µ")+COUNTIF($E174:N174,1)-1,INDEX(Roadmap!$D:$K,MATCH($E174,Roadmap!$D:$D,0)-1+COUNTIF($E174:N174,"u")+COUNTIF($E174:N174,"t")+COUNTIF($E174:N174,"¶")+COUNTIF($E174:N174,"²")+COUNTIF($E174:N174,"µ")+COUNTIF($E174:N174,1),ColDescriptionCourte)),""),
  "")),"")</f>
        <v/>
      </c>
      <c r="P174" s="40" t="str">
        <f ca="1">IFERROR(IF(AND(
  INDEX(Roadmap!$D:$K,MATCH($E174,Roadmap!$D:$D,0)+COUNTIF($E174:O174,"u")+COUNTIF($E174:O174,"t")+COUNTIF($E174:O174,"¶")+COUNTIF($E174:O174,"²")+COUNTIF($E174:O174,"µ")+COUNTIF($E174:O174,1),ColLivraison)=P$6,
  VLOOKUP($E174,INDIRECT("tri!"&amp; CHAR(64+ C0Col) &amp;":"&amp; CHAR(65+C0Col)),2,FALSE)&gt;COUNTIF($E174:O174,"u")+COUNTIF($E174:O174,"t")+COUNTIF($E174:O174,"¶")+COUNTIF($E174:O174,"²")+COUNTIF($E174:O174,"µ")+COUNTIF($E174:O174,1)),
HYPERLINK("#Roadmap!C"&amp; MATCH($E174,Roadmap!$D:$D,0)+COUNTIF($E174:O174,"u")+COUNTIF($E174:O174,"t"),
     INDEX(Roadmap!$D:$K,MATCH($E174,Roadmap!$D:$D,0)+COUNTIF($E174:O174,"u")+COUNTIF($E174:O174,"t")+COUNTIF($E174:O174,"¶")+COUNTIF($E174:O174,"²")+COUNTIF($E174:O174,"µ")+COUNTIF($E174:O174,1),ColTypeEcheance)),
  IF(LEN(O174)=1,
  IF(LEN(INDEX(Roadmap!$D:$K,MATCH($E174,Roadmap!$D:$D,0)-1+COUNTIF($E174:O174,"u")+COUNTIF($E174:O174,"t")+COUNTIF($E174:O174,"¶")+COUNTIF($E174:O174,"²")+COUNTIF($E174:O174,"µ")+COUNTIF($E174:O174,1),ColDescriptionCourte))&gt;1,
HYPERLINK("#Roadmap!C"&amp; MATCH($E174,Roadmap!$D:$D,0)+COUNTIF($E174:O174,"u")+COUNTIF($E174:O174,"t")+COUNTIF($E174:O174,"¶")+COUNTIF($E174:O174,"²")+COUNTIF($E174:O174,"µ")+COUNTIF($E174:O174,1)-1,INDEX(Roadmap!$D:$K,MATCH($E174,Roadmap!$D:$D,0)-1+COUNTIF($E174:O174,"u")+COUNTIF($E174:O174,"t")+COUNTIF($E174:O174,"¶")+COUNTIF($E174:O174,"²")+COUNTIF($E174:O174,"µ")+COUNTIF($E174:O174,1),ColDescriptionCourte)),""),
  "")),"")</f>
        <v/>
      </c>
      <c r="Q174" s="40" t="str">
        <f ca="1">IFERROR(IF(AND(
  INDEX(Roadmap!$D:$K,MATCH($E174,Roadmap!$D:$D,0)+COUNTIF($E174:P174,"u")+COUNTIF($E174:P174,"t")+COUNTIF($E174:P174,"¶")+COUNTIF($E174:P174,"²")+COUNTIF($E174:P174,"µ")+COUNTIF($E174:P174,1),ColLivraison)=Q$6,
  VLOOKUP($E174,INDIRECT("tri!"&amp; CHAR(64+ C0Col) &amp;":"&amp; CHAR(65+C0Col)),2,FALSE)&gt;COUNTIF($E174:P174,"u")+COUNTIF($E174:P174,"t")+COUNTIF($E174:P174,"¶")+COUNTIF($E174:P174,"²")+COUNTIF($E174:P174,"µ")+COUNTIF($E174:P174,1)),
HYPERLINK("#Roadmap!C"&amp; MATCH($E174,Roadmap!$D:$D,0)+COUNTIF($E174:P174,"u")+COUNTIF($E174:P174,"t"),
     INDEX(Roadmap!$D:$K,MATCH($E174,Roadmap!$D:$D,0)+COUNTIF($E174:P174,"u")+COUNTIF($E174:P174,"t")+COUNTIF($E174:P174,"¶")+COUNTIF($E174:P174,"²")+COUNTIF($E174:P174,"µ")+COUNTIF($E174:P174,1),ColTypeEcheance)),
  IF(LEN(P174)=1,
  IF(LEN(INDEX(Roadmap!$D:$K,MATCH($E174,Roadmap!$D:$D,0)-1+COUNTIF($E174:P174,"u")+COUNTIF($E174:P174,"t")+COUNTIF($E174:P174,"¶")+COUNTIF($E174:P174,"²")+COUNTIF($E174:P174,"µ")+COUNTIF($E174:P174,1),ColDescriptionCourte))&gt;1,
HYPERLINK("#Roadmap!C"&amp; MATCH($E174,Roadmap!$D:$D,0)+COUNTIF($E174:P174,"u")+COUNTIF($E174:P174,"t")+COUNTIF($E174:P174,"¶")+COUNTIF($E174:P174,"²")+COUNTIF($E174:P174,"µ")+COUNTIF($E174:P174,1)-1,INDEX(Roadmap!$D:$K,MATCH($E174,Roadmap!$D:$D,0)-1+COUNTIF($E174:P174,"u")+COUNTIF($E174:P174,"t")+COUNTIF($E174:P174,"¶")+COUNTIF($E174:P174,"²")+COUNTIF($E174:P174,"µ")+COUNTIF($E174:P174,1),ColDescriptionCourte)),""),
  "")),"")</f>
        <v/>
      </c>
      <c r="R174" s="40" t="str">
        <f ca="1">IFERROR(IF(AND(
  INDEX(Roadmap!$D:$K,MATCH($E174,Roadmap!$D:$D,0)+COUNTIF($E174:Q174,"u")+COUNTIF($E174:Q174,"t")+COUNTIF($E174:Q174,"¶")+COUNTIF($E174:Q174,"²")+COUNTIF($E174:Q174,"µ")+COUNTIF($E174:Q174,1),ColLivraison)=R$6,
  VLOOKUP($E174,INDIRECT("tri!"&amp; CHAR(64+ C0Col) &amp;":"&amp; CHAR(65+C0Col)),2,FALSE)&gt;COUNTIF($E174:Q174,"u")+COUNTIF($E174:Q174,"t")+COUNTIF($E174:Q174,"¶")+COUNTIF($E174:Q174,"²")+COUNTIF($E174:Q174,"µ")+COUNTIF($E174:Q174,1)),
HYPERLINK("#Roadmap!C"&amp; MATCH($E174,Roadmap!$D:$D,0)+COUNTIF($E174:Q174,"u")+COUNTIF($E174:Q174,"t"),
     INDEX(Roadmap!$D:$K,MATCH($E174,Roadmap!$D:$D,0)+COUNTIF($E174:Q174,"u")+COUNTIF($E174:Q174,"t")+COUNTIF($E174:Q174,"¶")+COUNTIF($E174:Q174,"²")+COUNTIF($E174:Q174,"µ")+COUNTIF($E174:Q174,1),ColTypeEcheance)),
  IF(LEN(Q174)=1,
  IF(LEN(INDEX(Roadmap!$D:$K,MATCH($E174,Roadmap!$D:$D,0)-1+COUNTIF($E174:Q174,"u")+COUNTIF($E174:Q174,"t")+COUNTIF($E174:Q174,"¶")+COUNTIF($E174:Q174,"²")+COUNTIF($E174:Q174,"µ")+COUNTIF($E174:Q174,1),ColDescriptionCourte))&gt;1,
HYPERLINK("#Roadmap!C"&amp; MATCH($E174,Roadmap!$D:$D,0)+COUNTIF($E174:Q174,"u")+COUNTIF($E174:Q174,"t")+COUNTIF($E174:Q174,"¶")+COUNTIF($E174:Q174,"²")+COUNTIF($E174:Q174,"µ")+COUNTIF($E174:Q174,1)-1,INDEX(Roadmap!$D:$K,MATCH($E174,Roadmap!$D:$D,0)-1+COUNTIF($E174:Q174,"u")+COUNTIF($E174:Q174,"t")+COUNTIF($E174:Q174,"¶")+COUNTIF($E174:Q174,"²")+COUNTIF($E174:Q174,"µ")+COUNTIF($E174:Q174,1),ColDescriptionCourte)),""),
  "")),"")</f>
        <v/>
      </c>
      <c r="S174" s="40" t="str">
        <f ca="1">IFERROR(IF(AND(
  INDEX(Roadmap!$D:$K,MATCH($E174,Roadmap!$D:$D,0)+COUNTIF($E174:R174,"u")+COUNTIF($E174:R174,"t")+COUNTIF($E174:R174,"¶")+COUNTIF($E174:R174,"²")+COUNTIF($E174:R174,"µ")+COUNTIF($E174:R174,1),ColLivraison)=S$6,
  VLOOKUP($E174,INDIRECT("tri!"&amp; CHAR(64+ C0Col) &amp;":"&amp; CHAR(65+C0Col)),2,FALSE)&gt;COUNTIF($E174:R174,"u")+COUNTIF($E174:R174,"t")+COUNTIF($E174:R174,"¶")+COUNTIF($E174:R174,"²")+COUNTIF($E174:R174,"µ")+COUNTIF($E174:R174,1)),
HYPERLINK("#Roadmap!C"&amp; MATCH($E174,Roadmap!$D:$D,0)+COUNTIF($E174:R174,"u")+COUNTIF($E174:R174,"t"),
     INDEX(Roadmap!$D:$K,MATCH($E174,Roadmap!$D:$D,0)+COUNTIF($E174:R174,"u")+COUNTIF($E174:R174,"t")+COUNTIF($E174:R174,"¶")+COUNTIF($E174:R174,"²")+COUNTIF($E174:R174,"µ")+COUNTIF($E174:R174,1),ColTypeEcheance)),
  IF(LEN(R174)=1,
  IF(LEN(INDEX(Roadmap!$D:$K,MATCH($E174,Roadmap!$D:$D,0)-1+COUNTIF($E174:R174,"u")+COUNTIF($E174:R174,"t")+COUNTIF($E174:R174,"¶")+COUNTIF($E174:R174,"²")+COUNTIF($E174:R174,"µ")+COUNTIF($E174:R174,1),ColDescriptionCourte))&gt;1,
HYPERLINK("#Roadmap!C"&amp; MATCH($E174,Roadmap!$D:$D,0)+COUNTIF($E174:R174,"u")+COUNTIF($E174:R174,"t")+COUNTIF($E174:R174,"¶")+COUNTIF($E174:R174,"²")+COUNTIF($E174:R174,"µ")+COUNTIF($E174:R174,1)-1,INDEX(Roadmap!$D:$K,MATCH($E174,Roadmap!$D:$D,0)-1+COUNTIF($E174:R174,"u")+COUNTIF($E174:R174,"t")+COUNTIF($E174:R174,"¶")+COUNTIF($E174:R174,"²")+COUNTIF($E174:R174,"µ")+COUNTIF($E174:R174,1),ColDescriptionCourte)),""),
  "")),"")</f>
        <v/>
      </c>
      <c r="T174" s="40" t="str">
        <f ca="1">IFERROR(IF(AND(
  INDEX(Roadmap!$D:$K,MATCH($E174,Roadmap!$D:$D,0)+COUNTIF($E174:S174,"u")+COUNTIF($E174:S174,"t")+COUNTIF($E174:S174,"¶")+COUNTIF($E174:S174,"²")+COUNTIF($E174:S174,"µ")+COUNTIF($E174:S174,1),ColLivraison)=T$6,
  VLOOKUP($E174,INDIRECT("tri!"&amp; CHAR(64+ C0Col) &amp;":"&amp; CHAR(65+C0Col)),2,FALSE)&gt;COUNTIF($E174:S174,"u")+COUNTIF($E174:S174,"t")+COUNTIF($E174:S174,"¶")+COUNTIF($E174:S174,"²")+COUNTIF($E174:S174,"µ")+COUNTIF($E174:S174,1)),
HYPERLINK("#Roadmap!C"&amp; MATCH($E174,Roadmap!$D:$D,0)+COUNTIF($E174:S174,"u")+COUNTIF($E174:S174,"t"),
     INDEX(Roadmap!$D:$K,MATCH($E174,Roadmap!$D:$D,0)+COUNTIF($E174:S174,"u")+COUNTIF($E174:S174,"t")+COUNTIF($E174:S174,"¶")+COUNTIF($E174:S174,"²")+COUNTIF($E174:S174,"µ")+COUNTIF($E174:S174,1),ColTypeEcheance)),
  IF(LEN(S174)=1,
  IF(LEN(INDEX(Roadmap!$D:$K,MATCH($E174,Roadmap!$D:$D,0)-1+COUNTIF($E174:S174,"u")+COUNTIF($E174:S174,"t")+COUNTIF($E174:S174,"¶")+COUNTIF($E174:S174,"²")+COUNTIF($E174:S174,"µ")+COUNTIF($E174:S174,1),ColDescriptionCourte))&gt;1,
HYPERLINK("#Roadmap!C"&amp; MATCH($E174,Roadmap!$D:$D,0)+COUNTIF($E174:S174,"u")+COUNTIF($E174:S174,"t")+COUNTIF($E174:S174,"¶")+COUNTIF($E174:S174,"²")+COUNTIF($E174:S174,"µ")+COUNTIF($E174:S174,1)-1,INDEX(Roadmap!$D:$K,MATCH($E174,Roadmap!$D:$D,0)-1+COUNTIF($E174:S174,"u")+COUNTIF($E174:S174,"t")+COUNTIF($E174:S174,"¶")+COUNTIF($E174:S174,"²")+COUNTIF($E174:S174,"µ")+COUNTIF($E174:S174,1),ColDescriptionCourte)),""),
  "")),"")</f>
        <v/>
      </c>
      <c r="U174" s="40" t="str">
        <f ca="1">IFERROR(IF(AND(
  INDEX(Roadmap!$D:$K,MATCH($E174,Roadmap!$D:$D,0)+COUNTIF($E174:T174,"u")+COUNTIF($E174:T174,"t")+COUNTIF($E174:T174,"¶")+COUNTIF($E174:T174,"²")+COUNTIF($E174:T174,"µ")+COUNTIF($E174:T174,1),ColLivraison)=U$6,
  VLOOKUP($E174,INDIRECT("tri!"&amp; CHAR(64+ C0Col) &amp;":"&amp; CHAR(65+C0Col)),2,FALSE)&gt;COUNTIF($E174:T174,"u")+COUNTIF($E174:T174,"t")+COUNTIF($E174:T174,"¶")+COUNTIF($E174:T174,"²")+COUNTIF($E174:T174,"µ")+COUNTIF($E174:T174,1)),
HYPERLINK("#Roadmap!C"&amp; MATCH($E174,Roadmap!$D:$D,0)+COUNTIF($E174:T174,"u")+COUNTIF($E174:T174,"t"),
     INDEX(Roadmap!$D:$K,MATCH($E174,Roadmap!$D:$D,0)+COUNTIF($E174:T174,"u")+COUNTIF($E174:T174,"t")+COUNTIF($E174:T174,"¶")+COUNTIF($E174:T174,"²")+COUNTIF($E174:T174,"µ")+COUNTIF($E174:T174,1),ColTypeEcheance)),
  IF(LEN(T174)=1,
  IF(LEN(INDEX(Roadmap!$D:$K,MATCH($E174,Roadmap!$D:$D,0)-1+COUNTIF($E174:T174,"u")+COUNTIF($E174:T174,"t")+COUNTIF($E174:T174,"¶")+COUNTIF($E174:T174,"²")+COUNTIF($E174:T174,"µ")+COUNTIF($E174:T174,1),ColDescriptionCourte))&gt;1,
HYPERLINK("#Roadmap!C"&amp; MATCH($E174,Roadmap!$D:$D,0)+COUNTIF($E174:T174,"u")+COUNTIF($E174:T174,"t")+COUNTIF($E174:T174,"¶")+COUNTIF($E174:T174,"²")+COUNTIF($E174:T174,"µ")+COUNTIF($E174:T174,1)-1,INDEX(Roadmap!$D:$K,MATCH($E174,Roadmap!$D:$D,0)-1+COUNTIF($E174:T174,"u")+COUNTIF($E174:T174,"t")+COUNTIF($E174:T174,"¶")+COUNTIF($E174:T174,"²")+COUNTIF($E174:T174,"µ")+COUNTIF($E174:T174,1),ColDescriptionCourte)),""),
  "")),"")</f>
        <v/>
      </c>
      <c r="V174" s="40" t="str">
        <f ca="1">IFERROR(IF(AND(
  INDEX(Roadmap!$D:$K,MATCH($E174,Roadmap!$D:$D,0)+COUNTIF($E174:U174,"u")+COUNTIF($E174:U174,"t")+COUNTIF($E174:U174,"¶")+COUNTIF($E174:U174,"²")+COUNTIF($E174:U174,"µ")+COUNTIF($E174:U174,1),ColLivraison)=V$6,
  VLOOKUP($E174,INDIRECT("tri!"&amp; CHAR(64+ C0Col) &amp;":"&amp; CHAR(65+C0Col)),2,FALSE)&gt;COUNTIF($E174:U174,"u")+COUNTIF($E174:U174,"t")+COUNTIF($E174:U174,"¶")+COUNTIF($E174:U174,"²")+COUNTIF($E174:U174,"µ")+COUNTIF($E174:U174,1)),
HYPERLINK("#Roadmap!C"&amp; MATCH($E174,Roadmap!$D:$D,0)+COUNTIF($E174:U174,"u")+COUNTIF($E174:U174,"t"),
     INDEX(Roadmap!$D:$K,MATCH($E174,Roadmap!$D:$D,0)+COUNTIF($E174:U174,"u")+COUNTIF($E174:U174,"t")+COUNTIF($E174:U174,"¶")+COUNTIF($E174:U174,"²")+COUNTIF($E174:U174,"µ")+COUNTIF($E174:U174,1),ColTypeEcheance)),
  IF(LEN(U174)=1,
  IF(LEN(INDEX(Roadmap!$D:$K,MATCH($E174,Roadmap!$D:$D,0)-1+COUNTIF($E174:U174,"u")+COUNTIF($E174:U174,"t")+COUNTIF($E174:U174,"¶")+COUNTIF($E174:U174,"²")+COUNTIF($E174:U174,"µ")+COUNTIF($E174:U174,1),ColDescriptionCourte))&gt;1,
HYPERLINK("#Roadmap!C"&amp; MATCH($E174,Roadmap!$D:$D,0)+COUNTIF($E174:U174,"u")+COUNTIF($E174:U174,"t")+COUNTIF($E174:U174,"¶")+COUNTIF($E174:U174,"²")+COUNTIF($E174:U174,"µ")+COUNTIF($E174:U174,1)-1,INDEX(Roadmap!$D:$K,MATCH($E174,Roadmap!$D:$D,0)-1+COUNTIF($E174:U174,"u")+COUNTIF($E174:U174,"t")+COUNTIF($E174:U174,"¶")+COUNTIF($E174:U174,"²")+COUNTIF($E174:U174,"µ")+COUNTIF($E174:U174,1),ColDescriptionCourte)),""),
  "")),"")</f>
        <v/>
      </c>
      <c r="W174" s="40" t="str">
        <f ca="1">IFERROR(IF(AND(
  INDEX(Roadmap!$D:$K,MATCH($E174,Roadmap!$D:$D,0)+COUNTIF($E174:V174,"u")+COUNTIF($E174:V174,"t")+COUNTIF($E174:V174,"¶")+COUNTIF($E174:V174,"²")+COUNTIF($E174:V174,"µ")+COUNTIF($E174:V174,1),ColLivraison)=W$6,
  VLOOKUP($E174,INDIRECT("tri!"&amp; CHAR(64+ C0Col) &amp;":"&amp; CHAR(65+C0Col)),2,FALSE)&gt;COUNTIF($E174:V174,"u")+COUNTIF($E174:V174,"t")+COUNTIF($E174:V174,"¶")+COUNTIF($E174:V174,"²")+COUNTIF($E174:V174,"µ")+COUNTIF($E174:V174,1)),
HYPERLINK("#Roadmap!C"&amp; MATCH($E174,Roadmap!$D:$D,0)+COUNTIF($E174:V174,"u")+COUNTIF($E174:V174,"t"),
     INDEX(Roadmap!$D:$K,MATCH($E174,Roadmap!$D:$D,0)+COUNTIF($E174:V174,"u")+COUNTIF($E174:V174,"t")+COUNTIF($E174:V174,"¶")+COUNTIF($E174:V174,"²")+COUNTIF($E174:V174,"µ")+COUNTIF($E174:V174,1),ColTypeEcheance)),
  IF(LEN(V174)=1,
  IF(LEN(INDEX(Roadmap!$D:$K,MATCH($E174,Roadmap!$D:$D,0)-1+COUNTIF($E174:V174,"u")+COUNTIF($E174:V174,"t")+COUNTIF($E174:V174,"¶")+COUNTIF($E174:V174,"²")+COUNTIF($E174:V174,"µ")+COUNTIF($E174:V174,1),ColDescriptionCourte))&gt;1,
HYPERLINK("#Roadmap!C"&amp; MATCH($E174,Roadmap!$D:$D,0)+COUNTIF($E174:V174,"u")+COUNTIF($E174:V174,"t")+COUNTIF($E174:V174,"¶")+COUNTIF($E174:V174,"²")+COUNTIF($E174:V174,"µ")+COUNTIF($E174:V174,1)-1,INDEX(Roadmap!$D:$K,MATCH($E174,Roadmap!$D:$D,0)-1+COUNTIF($E174:V174,"u")+COUNTIF($E174:V174,"t")+COUNTIF($E174:V174,"¶")+COUNTIF($E174:V174,"²")+COUNTIF($E174:V174,"µ")+COUNTIF($E174:V174,1),ColDescriptionCourte)),""),
  "")),"")</f>
        <v/>
      </c>
      <c r="X174" s="40" t="str">
        <f ca="1">IFERROR(IF(AND(
  INDEX(Roadmap!$D:$K,MATCH($E174,Roadmap!$D:$D,0)+COUNTIF($E174:W174,"u")+COUNTIF($E174:W174,"t")+COUNTIF($E174:W174,"¶")+COUNTIF($E174:W174,"²")+COUNTIF($E174:W174,"µ")+COUNTIF($E174:W174,1),ColLivraison)=X$6,
  VLOOKUP($E174,INDIRECT("tri!"&amp; CHAR(64+ C0Col) &amp;":"&amp; CHAR(65+C0Col)),2,FALSE)&gt;COUNTIF($E174:W174,"u")+COUNTIF($E174:W174,"t")+COUNTIF($E174:W174,"¶")+COUNTIF($E174:W174,"²")+COUNTIF($E174:W174,"µ")+COUNTIF($E174:W174,1)),
HYPERLINK("#Roadmap!C"&amp; MATCH($E174,Roadmap!$D:$D,0)+COUNTIF($E174:W174,"u")+COUNTIF($E174:W174,"t"),
     INDEX(Roadmap!$D:$K,MATCH($E174,Roadmap!$D:$D,0)+COUNTIF($E174:W174,"u")+COUNTIF($E174:W174,"t")+COUNTIF($E174:W174,"¶")+COUNTIF($E174:W174,"²")+COUNTIF($E174:W174,"µ")+COUNTIF($E174:W174,1),ColTypeEcheance)),
  IF(LEN(W174)=1,
  IF(LEN(INDEX(Roadmap!$D:$K,MATCH($E174,Roadmap!$D:$D,0)-1+COUNTIF($E174:W174,"u")+COUNTIF($E174:W174,"t")+COUNTIF($E174:W174,"¶")+COUNTIF($E174:W174,"²")+COUNTIF($E174:W174,"µ")+COUNTIF($E174:W174,1),ColDescriptionCourte))&gt;1,
HYPERLINK("#Roadmap!C"&amp; MATCH($E174,Roadmap!$D:$D,0)+COUNTIF($E174:W174,"u")+COUNTIF($E174:W174,"t")+COUNTIF($E174:W174,"¶")+COUNTIF($E174:W174,"²")+COUNTIF($E174:W174,"µ")+COUNTIF($E174:W174,1)-1,INDEX(Roadmap!$D:$K,MATCH($E174,Roadmap!$D:$D,0)-1+COUNTIF($E174:W174,"u")+COUNTIF($E174:W174,"t")+COUNTIF($E174:W174,"¶")+COUNTIF($E174:W174,"²")+COUNTIF($E174:W174,"µ")+COUNTIF($E174:W174,1),ColDescriptionCourte)),""),
  "")),"")</f>
        <v/>
      </c>
      <c r="Y174" s="40" t="str">
        <f ca="1">IFERROR(IF(AND(
  INDEX(Roadmap!$D:$K,MATCH($E174,Roadmap!$D:$D,0)+COUNTIF($E174:X174,"u")+COUNTIF($E174:X174,"t")+COUNTIF($E174:X174,"¶")+COUNTIF($E174:X174,"²")+COUNTIF($E174:X174,"µ")+COUNTIF($E174:X174,1),ColLivraison)=Y$6,
  VLOOKUP($E174,INDIRECT("tri!"&amp; CHAR(64+ C0Col) &amp;":"&amp; CHAR(65+C0Col)),2,FALSE)&gt;COUNTIF($E174:X174,"u")+COUNTIF($E174:X174,"t")+COUNTIF($E174:X174,"¶")+COUNTIF($E174:X174,"²")+COUNTIF($E174:X174,"µ")+COUNTIF($E174:X174,1)),
HYPERLINK("#Roadmap!C"&amp; MATCH($E174,Roadmap!$D:$D,0)+COUNTIF($E174:X174,"u")+COUNTIF($E174:X174,"t"),
     INDEX(Roadmap!$D:$K,MATCH($E174,Roadmap!$D:$D,0)+COUNTIF($E174:X174,"u")+COUNTIF($E174:X174,"t")+COUNTIF($E174:X174,"¶")+COUNTIF($E174:X174,"²")+COUNTIF($E174:X174,"µ")+COUNTIF($E174:X174,1),ColTypeEcheance)),
  IF(LEN(X174)=1,
  IF(LEN(INDEX(Roadmap!$D:$K,MATCH($E174,Roadmap!$D:$D,0)-1+COUNTIF($E174:X174,"u")+COUNTIF($E174:X174,"t")+COUNTIF($E174:X174,"¶")+COUNTIF($E174:X174,"²")+COUNTIF($E174:X174,"µ")+COUNTIF($E174:X174,1),ColDescriptionCourte))&gt;1,
HYPERLINK("#Roadmap!C"&amp; MATCH($E174,Roadmap!$D:$D,0)+COUNTIF($E174:X174,"u")+COUNTIF($E174:X174,"t")+COUNTIF($E174:X174,"¶")+COUNTIF($E174:X174,"²")+COUNTIF($E174:X174,"µ")+COUNTIF($E174:X174,1)-1,INDEX(Roadmap!$D:$K,MATCH($E174,Roadmap!$D:$D,0)-1+COUNTIF($E174:X174,"u")+COUNTIF($E174:X174,"t")+COUNTIF($E174:X174,"¶")+COUNTIF($E174:X174,"²")+COUNTIF($E174:X174,"µ")+COUNTIF($E174:X174,1),ColDescriptionCourte)),""),
  "")),"")</f>
        <v/>
      </c>
      <c r="Z174" s="40" t="str">
        <f ca="1">IFERROR(IF(AND(
  INDEX(Roadmap!$D:$K,MATCH($E174,Roadmap!$D:$D,0)+COUNTIF($E174:Y174,"u")+COUNTIF($E174:Y174,"t")+COUNTIF($E174:Y174,"¶")+COUNTIF($E174:Y174,"²")+COUNTIF($E174:Y174,"µ")+COUNTIF($E174:Y174,1),ColLivraison)=Z$6,
  VLOOKUP($E174,INDIRECT("tri!"&amp; CHAR(64+ C0Col) &amp;":"&amp; CHAR(65+C0Col)),2,FALSE)&gt;COUNTIF($E174:Y174,"u")+COUNTIF($E174:Y174,"t")+COUNTIF($E174:Y174,"¶")+COUNTIF($E174:Y174,"²")+COUNTIF($E174:Y174,"µ")+COUNTIF($E174:Y174,1)),
HYPERLINK("#Roadmap!C"&amp; MATCH($E174,Roadmap!$D:$D,0)+COUNTIF($E174:Y174,"u")+COUNTIF($E174:Y174,"t"),
     INDEX(Roadmap!$D:$K,MATCH($E174,Roadmap!$D:$D,0)+COUNTIF($E174:Y174,"u")+COUNTIF($E174:Y174,"t")+COUNTIF($E174:Y174,"¶")+COUNTIF($E174:Y174,"²")+COUNTIF($E174:Y174,"µ")+COUNTIF($E174:Y174,1),ColTypeEcheance)),
  IF(LEN(Y174)=1,
  IF(LEN(INDEX(Roadmap!$D:$K,MATCH($E174,Roadmap!$D:$D,0)-1+COUNTIF($E174:Y174,"u")+COUNTIF($E174:Y174,"t")+COUNTIF($E174:Y174,"¶")+COUNTIF($E174:Y174,"²")+COUNTIF($E174:Y174,"µ")+COUNTIF($E174:Y174,1),ColDescriptionCourte))&gt;1,
HYPERLINK("#Roadmap!C"&amp; MATCH($E174,Roadmap!$D:$D,0)+COUNTIF($E174:Y174,"u")+COUNTIF($E174:Y174,"t")+COUNTIF($E174:Y174,"¶")+COUNTIF($E174:Y174,"²")+COUNTIF($E174:Y174,"µ")+COUNTIF($E174:Y174,1)-1,INDEX(Roadmap!$D:$K,MATCH($E174,Roadmap!$D:$D,0)-1+COUNTIF($E174:Y174,"u")+COUNTIF($E174:Y174,"t")+COUNTIF($E174:Y174,"¶")+COUNTIF($E174:Y174,"²")+COUNTIF($E174:Y174,"µ")+COUNTIF($E174:Y174,1),ColDescriptionCourte)),""),
  "")),"")</f>
        <v/>
      </c>
      <c r="AA174" s="40" t="str">
        <f ca="1">IFERROR(IF(AND(
  INDEX(Roadmap!$D:$K,MATCH($E174,Roadmap!$D:$D,0)+COUNTIF($E174:Z174,"u")+COUNTIF($E174:Z174,"t")+COUNTIF($E174:Z174,"¶")+COUNTIF($E174:Z174,"²")+COUNTIF($E174:Z174,"µ")+COUNTIF($E174:Z174,1),ColLivraison)=AA$6,
  VLOOKUP($E174,INDIRECT("tri!"&amp; CHAR(64+ C0Col) &amp;":"&amp; CHAR(65+C0Col)),2,FALSE)&gt;COUNTIF($E174:Z174,"u")+COUNTIF($E174:Z174,"t")+COUNTIF($E174:Z174,"¶")+COUNTIF($E174:Z174,"²")+COUNTIF($E174:Z174,"µ")+COUNTIF($E174:Z174,1)),
HYPERLINK("#Roadmap!C"&amp; MATCH($E174,Roadmap!$D:$D,0)+COUNTIF($E174:Z174,"u")+COUNTIF($E174:Z174,"t"),
     INDEX(Roadmap!$D:$K,MATCH($E174,Roadmap!$D:$D,0)+COUNTIF($E174:Z174,"u")+COUNTIF($E174:Z174,"t")+COUNTIF($E174:Z174,"¶")+COUNTIF($E174:Z174,"²")+COUNTIF($E174:Z174,"µ")+COUNTIF($E174:Z174,1),ColTypeEcheance)),
  IF(LEN(Z174)=1,
  IF(LEN(INDEX(Roadmap!$D:$K,MATCH($E174,Roadmap!$D:$D,0)-1+COUNTIF($E174:Z174,"u")+COUNTIF($E174:Z174,"t")+COUNTIF($E174:Z174,"¶")+COUNTIF($E174:Z174,"²")+COUNTIF($E174:Z174,"µ")+COUNTIF($E174:Z174,1),ColDescriptionCourte))&gt;1,
HYPERLINK("#Roadmap!C"&amp; MATCH($E174,Roadmap!$D:$D,0)+COUNTIF($E174:Z174,"u")+COUNTIF($E174:Z174,"t")+COUNTIF($E174:Z174,"¶")+COUNTIF($E174:Z174,"²")+COUNTIF($E174:Z174,"µ")+COUNTIF($E174:Z174,1)-1,INDEX(Roadmap!$D:$K,MATCH($E174,Roadmap!$D:$D,0)-1+COUNTIF($E174:Z174,"u")+COUNTIF($E174:Z174,"t")+COUNTIF($E174:Z174,"¶")+COUNTIF($E174:Z174,"²")+COUNTIF($E174:Z174,"µ")+COUNTIF($E174:Z174,1),ColDescriptionCourte)),""),
  "")),"")</f>
        <v/>
      </c>
      <c r="AB174" s="40" t="str">
        <f ca="1">IFERROR(IF(AND(
  INDEX(Roadmap!$D:$K,MATCH($E174,Roadmap!$D:$D,0)+COUNTIF($E174:AA174,"u")+COUNTIF($E174:AA174,"t")+COUNTIF($E174:AA174,"¶")+COUNTIF($E174:AA174,"²")+COUNTIF($E174:AA174,"µ")+COUNTIF($E174:AA174,1),ColLivraison)=AB$6,
  VLOOKUP($E174,INDIRECT("tri!"&amp; CHAR(64+ C0Col) &amp;":"&amp; CHAR(65+C0Col)),2,FALSE)&gt;COUNTIF($E174:AA174,"u")+COUNTIF($E174:AA174,"t")+COUNTIF($E174:AA174,"¶")+COUNTIF($E174:AA174,"²")+COUNTIF($E174:AA174,"µ")+COUNTIF($E174:AA174,1)),
HYPERLINK("#Roadmap!C"&amp; MATCH($E174,Roadmap!$D:$D,0)+COUNTIF($E174:AA174,"u")+COUNTIF($E174:AA174,"t"),
     INDEX(Roadmap!$D:$K,MATCH($E174,Roadmap!$D:$D,0)+COUNTIF($E174:AA174,"u")+COUNTIF($E174:AA174,"t")+COUNTIF($E174:AA174,"¶")+COUNTIF($E174:AA174,"²")+COUNTIF($E174:AA174,"µ")+COUNTIF($E174:AA174,1),ColTypeEcheance)),
  IF(LEN(AA174)=1,
  IF(LEN(INDEX(Roadmap!$D:$K,MATCH($E174,Roadmap!$D:$D,0)-1+COUNTIF($E174:AA174,"u")+COUNTIF($E174:AA174,"t")+COUNTIF($E174:AA174,"¶")+COUNTIF($E174:AA174,"²")+COUNTIF($E174:AA174,"µ")+COUNTIF($E174:AA174,1),ColDescriptionCourte))&gt;1,
HYPERLINK("#Roadmap!C"&amp; MATCH($E174,Roadmap!$D:$D,0)+COUNTIF($E174:AA174,"u")+COUNTIF($E174:AA174,"t")+COUNTIF($E174:AA174,"¶")+COUNTIF($E174:AA174,"²")+COUNTIF($E174:AA174,"µ")+COUNTIF($E174:AA174,1)-1,INDEX(Roadmap!$D:$K,MATCH($E174,Roadmap!$D:$D,0)-1+COUNTIF($E174:AA174,"u")+COUNTIF($E174:AA174,"t")+COUNTIF($E174:AA174,"¶")+COUNTIF($E174:AA174,"²")+COUNTIF($E174:AA174,"µ")+COUNTIF($E174:AA174,1),ColDescriptionCourte)),""),
  "")),"")</f>
        <v/>
      </c>
      <c r="AC174" s="40" t="str">
        <f ca="1">IFERROR(IF(AND(
  INDEX(Roadmap!$D:$K,MATCH($E174,Roadmap!$D:$D,0)+COUNTIF($E174:AB174,"u")+COUNTIF($E174:AB174,"t")+COUNTIF($E174:AB174,"¶")+COUNTIF($E174:AB174,"²")+COUNTIF($E174:AB174,"µ")+COUNTIF($E174:AB174,1),ColLivraison)=AC$6,
  VLOOKUP($E174,INDIRECT("tri!"&amp; CHAR(64+ C0Col) &amp;":"&amp; CHAR(65+C0Col)),2,FALSE)&gt;COUNTIF($E174:AB174,"u")+COUNTIF($E174:AB174,"t")+COUNTIF($E174:AB174,"¶")+COUNTIF($E174:AB174,"²")+COUNTIF($E174:AB174,"µ")+COUNTIF($E174:AB174,1)),
HYPERLINK("#Roadmap!C"&amp; MATCH($E174,Roadmap!$D:$D,0)+COUNTIF($E174:AB174,"u")+COUNTIF($E174:AB174,"t"),
     INDEX(Roadmap!$D:$K,MATCH($E174,Roadmap!$D:$D,0)+COUNTIF($E174:AB174,"u")+COUNTIF($E174:AB174,"t")+COUNTIF($E174:AB174,"¶")+COUNTIF($E174:AB174,"²")+COUNTIF($E174:AB174,"µ")+COUNTIF($E174:AB174,1),ColTypeEcheance)),
  IF(LEN(AB174)=1,
  IF(LEN(INDEX(Roadmap!$D:$K,MATCH($E174,Roadmap!$D:$D,0)-1+COUNTIF($E174:AB174,"u")+COUNTIF($E174:AB174,"t")+COUNTIF($E174:AB174,"¶")+COUNTIF($E174:AB174,"²")+COUNTIF($E174:AB174,"µ")+COUNTIF($E174:AB174,1),ColDescriptionCourte))&gt;1,
HYPERLINK("#Roadmap!C"&amp; MATCH($E174,Roadmap!$D:$D,0)+COUNTIF($E174:AB174,"u")+COUNTIF($E174:AB174,"t")+COUNTIF($E174:AB174,"¶")+COUNTIF($E174:AB174,"²")+COUNTIF($E174:AB174,"µ")+COUNTIF($E174:AB174,1)-1,INDEX(Roadmap!$D:$K,MATCH($E174,Roadmap!$D:$D,0)-1+COUNTIF($E174:AB174,"u")+COUNTIF($E174:AB174,"t")+COUNTIF($E174:AB174,"¶")+COUNTIF($E174:AB174,"²")+COUNTIF($E174:AB174,"µ")+COUNTIF($E174:AB174,1),ColDescriptionCourte)),""),
  "")),"")</f>
        <v/>
      </c>
      <c r="AD174" s="40" t="str">
        <f ca="1">IFERROR(IF(AND(
  INDEX(Roadmap!$D:$K,MATCH($E174,Roadmap!$D:$D,0)+COUNTIF($E174:AC174,"u")+COUNTIF($E174:AC174,"t")+COUNTIF($E174:AC174,"¶")+COUNTIF($E174:AC174,"²")+COUNTIF($E174:AC174,"µ")+COUNTIF($E174:AC174,1),ColLivraison)=AD$6,
  VLOOKUP($E174,INDIRECT("tri!"&amp; CHAR(64+ C0Col) &amp;":"&amp; CHAR(65+C0Col)),2,FALSE)&gt;COUNTIF($E174:AC174,"u")+COUNTIF($E174:AC174,"t")+COUNTIF($E174:AC174,"¶")+COUNTIF($E174:AC174,"²")+COUNTIF($E174:AC174,"µ")+COUNTIF($E174:AC174,1)),
HYPERLINK("#Roadmap!C"&amp; MATCH($E174,Roadmap!$D:$D,0)+COUNTIF($E174:AC174,"u")+COUNTIF($E174:AC174,"t"),
     INDEX(Roadmap!$D:$K,MATCH($E174,Roadmap!$D:$D,0)+COUNTIF($E174:AC174,"u")+COUNTIF($E174:AC174,"t")+COUNTIF($E174:AC174,"¶")+COUNTIF($E174:AC174,"²")+COUNTIF($E174:AC174,"µ")+COUNTIF($E174:AC174,1),ColTypeEcheance)),
  IF(LEN(AC174)=1,
  IF(LEN(INDEX(Roadmap!$D:$K,MATCH($E174,Roadmap!$D:$D,0)-1+COUNTIF($E174:AC174,"u")+COUNTIF($E174:AC174,"t")+COUNTIF($E174:AC174,"¶")+COUNTIF($E174:AC174,"²")+COUNTIF($E174:AC174,"µ")+COUNTIF($E174:AC174,1),ColDescriptionCourte))&gt;1,
HYPERLINK("#Roadmap!C"&amp; MATCH($E174,Roadmap!$D:$D,0)+COUNTIF($E174:AC174,"u")+COUNTIF($E174:AC174,"t")+COUNTIF($E174:AC174,"¶")+COUNTIF($E174:AC174,"²")+COUNTIF($E174:AC174,"µ")+COUNTIF($E174:AC174,1)-1,INDEX(Roadmap!$D:$K,MATCH($E174,Roadmap!$D:$D,0)-1+COUNTIF($E174:AC174,"u")+COUNTIF($E174:AC174,"t")+COUNTIF($E174:AC174,"¶")+COUNTIF($E174:AC174,"²")+COUNTIF($E174:AC174,"µ")+COUNTIF($E174:AC174,1),ColDescriptionCourte)),""),
  "")),"")</f>
        <v/>
      </c>
      <c r="AE174" s="40" t="str">
        <f ca="1">IFERROR(IF(AND(
  INDEX(Roadmap!$D:$K,MATCH($E174,Roadmap!$D:$D,0)+COUNTIF($E174:AD174,"u")+COUNTIF($E174:AD174,"t")+COUNTIF($E174:AD174,"¶")+COUNTIF($E174:AD174,"²")+COUNTIF($E174:AD174,"µ")+COUNTIF($E174:AD174,1),ColLivraison)=AE$6,
  VLOOKUP($E174,INDIRECT("tri!"&amp; CHAR(64+ C0Col) &amp;":"&amp; CHAR(65+C0Col)),2,FALSE)&gt;COUNTIF($E174:AD174,"u")+COUNTIF($E174:AD174,"t")+COUNTIF($E174:AD174,"¶")+COUNTIF($E174:AD174,"²")+COUNTIF($E174:AD174,"µ")+COUNTIF($E174:AD174,1)),
HYPERLINK("#Roadmap!C"&amp; MATCH($E174,Roadmap!$D:$D,0)+COUNTIF($E174:AD174,"u")+COUNTIF($E174:AD174,"t"),
     INDEX(Roadmap!$D:$K,MATCH($E174,Roadmap!$D:$D,0)+COUNTIF($E174:AD174,"u")+COUNTIF($E174:AD174,"t")+COUNTIF($E174:AD174,"¶")+COUNTIF($E174:AD174,"²")+COUNTIF($E174:AD174,"µ")+COUNTIF($E174:AD174,1),ColTypeEcheance)),
  IF(LEN(AD174)=1,
  IF(LEN(INDEX(Roadmap!$D:$K,MATCH($E174,Roadmap!$D:$D,0)-1+COUNTIF($E174:AD174,"u")+COUNTIF($E174:AD174,"t")+COUNTIF($E174:AD174,"¶")+COUNTIF($E174:AD174,"²")+COUNTIF($E174:AD174,"µ")+COUNTIF($E174:AD174,1),ColDescriptionCourte))&gt;1,
HYPERLINK("#Roadmap!C"&amp; MATCH($E174,Roadmap!$D:$D,0)+COUNTIF($E174:AD174,"u")+COUNTIF($E174:AD174,"t")+COUNTIF($E174:AD174,"¶")+COUNTIF($E174:AD174,"²")+COUNTIF($E174:AD174,"µ")+COUNTIF($E174:AD174,1)-1,INDEX(Roadmap!$D:$K,MATCH($E174,Roadmap!$D:$D,0)-1+COUNTIF($E174:AD174,"u")+COUNTIF($E174:AD174,"t")+COUNTIF($E174:AD174,"¶")+COUNTIF($E174:AD174,"²")+COUNTIF($E174:AD174,"µ")+COUNTIF($E174:AD174,1),ColDescriptionCourte)),""),
  "")),"")</f>
        <v/>
      </c>
      <c r="AF174" s="40" t="str">
        <f ca="1">IFERROR(IF(AND(
  INDEX(Roadmap!$D:$K,MATCH($E174,Roadmap!$D:$D,0)+COUNTIF($E174:AE174,"u")+COUNTIF($E174:AE174,"t")+COUNTIF($E174:AE174,"¶")+COUNTIF($E174:AE174,"²")+COUNTIF($E174:AE174,"µ")+COUNTIF($E174:AE174,1),ColLivraison)=AF$6,
  VLOOKUP($E174,INDIRECT("tri!"&amp; CHAR(64+ C0Col) &amp;":"&amp; CHAR(65+C0Col)),2,FALSE)&gt;COUNTIF($E174:AE174,"u")+COUNTIF($E174:AE174,"t")+COUNTIF($E174:AE174,"¶")+COUNTIF($E174:AE174,"²")+COUNTIF($E174:AE174,"µ")+COUNTIF($E174:AE174,1)),
HYPERLINK("#Roadmap!C"&amp; MATCH($E174,Roadmap!$D:$D,0)+COUNTIF($E174:AE174,"u")+COUNTIF($E174:AE174,"t"),
     INDEX(Roadmap!$D:$K,MATCH($E174,Roadmap!$D:$D,0)+COUNTIF($E174:AE174,"u")+COUNTIF($E174:AE174,"t")+COUNTIF($E174:AE174,"¶")+COUNTIF($E174:AE174,"²")+COUNTIF($E174:AE174,"µ")+COUNTIF($E174:AE174,1),ColTypeEcheance)),
  IF(LEN(AE174)=1,
  IF(LEN(INDEX(Roadmap!$D:$K,MATCH($E174,Roadmap!$D:$D,0)-1+COUNTIF($E174:AE174,"u")+COUNTIF($E174:AE174,"t")+COUNTIF($E174:AE174,"¶")+COUNTIF($E174:AE174,"²")+COUNTIF($E174:AE174,"µ")+COUNTIF($E174:AE174,1),ColDescriptionCourte))&gt;1,
HYPERLINK("#Roadmap!C"&amp; MATCH($E174,Roadmap!$D:$D,0)+COUNTIF($E174:AE174,"u")+COUNTIF($E174:AE174,"t")+COUNTIF($E174:AE174,"¶")+COUNTIF($E174:AE174,"²")+COUNTIF($E174:AE174,"µ")+COUNTIF($E174:AE174,1)-1,INDEX(Roadmap!$D:$K,MATCH($E174,Roadmap!$D:$D,0)-1+COUNTIF($E174:AE174,"u")+COUNTIF($E174:AE174,"t")+COUNTIF($E174:AE174,"¶")+COUNTIF($E174:AE174,"²")+COUNTIF($E174:AE174,"µ")+COUNTIF($E174:AE174,1),ColDescriptionCourte)),""),
  "")),"")</f>
        <v/>
      </c>
      <c r="AG174" s="40" t="str">
        <f ca="1">IFERROR(IF(AND(
  INDEX(Roadmap!$D:$K,MATCH($E174,Roadmap!$D:$D,0)+COUNTIF($E174:AF174,"u")+COUNTIF($E174:AF174,"t")+COUNTIF($E174:AF174,"¶")+COUNTIF($E174:AF174,"²")+COUNTIF($E174:AF174,"µ")+COUNTIF($E174:AF174,1),ColLivraison)=AG$6,
  VLOOKUP($E174,INDIRECT("tri!"&amp; CHAR(64+ C0Col) &amp;":"&amp; CHAR(65+C0Col)),2,FALSE)&gt;COUNTIF($E174:AF174,"u")+COUNTIF($E174:AF174,"t")+COUNTIF($E174:AF174,"¶")+COUNTIF($E174:AF174,"²")+COUNTIF($E174:AF174,"µ")+COUNTIF($E174:AF174,1)),
HYPERLINK("#Roadmap!C"&amp; MATCH($E174,Roadmap!$D:$D,0)+COUNTIF($E174:AF174,"u")+COUNTIF($E174:AF174,"t"),
     INDEX(Roadmap!$D:$K,MATCH($E174,Roadmap!$D:$D,0)+COUNTIF($E174:AF174,"u")+COUNTIF($E174:AF174,"t")+COUNTIF($E174:AF174,"¶")+COUNTIF($E174:AF174,"²")+COUNTIF($E174:AF174,"µ")+COUNTIF($E174:AF174,1),ColTypeEcheance)),
  IF(LEN(AF174)=1,
  IF(LEN(INDEX(Roadmap!$D:$K,MATCH($E174,Roadmap!$D:$D,0)-1+COUNTIF($E174:AF174,"u")+COUNTIF($E174:AF174,"t")+COUNTIF($E174:AF174,"¶")+COUNTIF($E174:AF174,"²")+COUNTIF($E174:AF174,"µ")+COUNTIF($E174:AF174,1),ColDescriptionCourte))&gt;1,
HYPERLINK("#Roadmap!C"&amp; MATCH($E174,Roadmap!$D:$D,0)+COUNTIF($E174:AF174,"u")+COUNTIF($E174:AF174,"t")+COUNTIF($E174:AF174,"¶")+COUNTIF($E174:AF174,"²")+COUNTIF($E174:AF174,"µ")+COUNTIF($E174:AF174,1)-1,INDEX(Roadmap!$D:$K,MATCH($E174,Roadmap!$D:$D,0)-1+COUNTIF($E174:AF174,"u")+COUNTIF($E174:AF174,"t")+COUNTIF($E174:AF174,"¶")+COUNTIF($E174:AF174,"²")+COUNTIF($E174:AF174,"µ")+COUNTIF($E174:AF174,1),ColDescriptionCourte)),""),
  "")),"")</f>
        <v/>
      </c>
    </row>
    <row r="175" spans="3:33" ht="14.25" customHeight="1">
      <c r="C175" s="1" t="str">
        <f t="shared" ca="1" si="54"/>
        <v/>
      </c>
      <c r="D175" s="1" t="str">
        <f t="shared" ca="1" si="55"/>
        <v/>
      </c>
      <c r="E175" s="35" t="str">
        <f t="shared" ca="1" si="51"/>
        <v/>
      </c>
      <c r="F175" s="39" t="str">
        <f ca="1">IFERROR(IF(AND(
  INDEX(Roadmap!$D:$K,MATCH($E175,Roadmap!$D:$D,0)+COUNTIF($E175:E175,"u")+COUNTIF($E175:E175,"t")+COUNTIF($E175:E175,"¶")+COUNTIF($E175:E175,"²")+COUNTIF($E175:E175,"µ")+COUNTIF($E175:E175,1),ColLivraison)=F$6,
  VLOOKUP($E175,INDIRECT("tri!"&amp; CHAR(64+ C0Col) &amp;":"&amp; CHAR(65+C0Col)),2,FALSE)&gt;COUNTIF($E175:E175,"u")+COUNTIF($E175:E175,"t")+COUNTIF($E175:E175,"¶")+COUNTIF($E175:E175,"²")+COUNTIF($E175:E175,"µ")+COUNTIF($E175:E175,1)),
HYPERLINK("#Roadmap!C"&amp; MATCH($E175,Roadmap!$D:$D,0)+COUNTIF($E175:E175,"u")+COUNTIF($E175:E175,"t"),
     INDEX(Roadmap!$D:$K,MATCH($E175,Roadmap!$D:$D,0)+COUNTIF($E175:E175,"u")+COUNTIF($E175:E175,"t")+COUNTIF($E175:E175,"¶")+COUNTIF($E175:E175,"²")+COUNTIF($E175:E175,"µ")+COUNTIF($E175:E175,1),ColTypeEcheance)),
  IF(LEN(E175)=1,
  IF(LEN(INDEX(Roadmap!$D:$K,MATCH($E175,Roadmap!$D:$D,0)-1+COUNTIF($E175:E175,"u")+COUNTIF($E175:E175,"t")+COUNTIF($E175:E175,"¶")+COUNTIF($E175:E175,"²")+COUNTIF($E175:E175,"µ")+COUNTIF($E175:E175,1),ColDescriptionCourte))&gt;1,
HYPERLINK("#Roadmap!C"&amp; MATCH($E175,Roadmap!$D:$D,0)+COUNTIF($E175:E175,"u")+COUNTIF($E175:E175,"t")+COUNTIF($E175:E175,"¶")+COUNTIF($E175:E175,"²")+COUNTIF($E175:E175,"µ")+COUNTIF($E175:E175,1)-1,INDEX(Roadmap!$D:$K,MATCH($E175,Roadmap!$D:$D,0)-1+COUNTIF($E175:E175,"u")+COUNTIF($E175:E175,"t")+COUNTIF($E175:E175,"¶")+COUNTIF($E175:E175,"²")+COUNTIF($E175:E175,"µ")+COUNTIF($E175:E175,1),ColDescriptionCourte)),""),
  "")),"")</f>
        <v/>
      </c>
      <c r="G175" s="40" t="str">
        <f ca="1">IFERROR(IF(AND(
  INDEX(Roadmap!$D:$K,MATCH($E175,Roadmap!$D:$D,0)+COUNTIF($E175:F175,"u")+COUNTIF($E175:F175,"t")+COUNTIF($E175:F175,"¶")+COUNTIF($E175:F175,"²")+COUNTIF($E175:F175,"µ")+COUNTIF($E175:F175,1),ColLivraison)=G$6,
  VLOOKUP($E175,INDIRECT("tri!"&amp; CHAR(64+ C0Col) &amp;":"&amp; CHAR(65+C0Col)),2,FALSE)&gt;COUNTIF($E175:F175,"u")+COUNTIF($E175:F175,"t")+COUNTIF($E175:F175,"¶")+COUNTIF($E175:F175,"²")+COUNTIF($E175:F175,"µ")+COUNTIF($E175:F175,1)),
HYPERLINK("#Roadmap!C"&amp; MATCH($E175,Roadmap!$D:$D,0)+COUNTIF($E175:F175,"u")+COUNTIF($E175:F175,"t"),
     INDEX(Roadmap!$D:$K,MATCH($E175,Roadmap!$D:$D,0)+COUNTIF($E175:F175,"u")+COUNTIF($E175:F175,"t")+COUNTIF($E175:F175,"¶")+COUNTIF($E175:F175,"²")+COUNTIF($E175:F175,"µ")+COUNTIF($E175:F175,1),ColTypeEcheance)),
  IF(LEN(F175)=1,
  IF(LEN(INDEX(Roadmap!$D:$K,MATCH($E175,Roadmap!$D:$D,0)-1+COUNTIF($E175:F175,"u")+COUNTIF($E175:F175,"t")+COUNTIF($E175:F175,"¶")+COUNTIF($E175:F175,"²")+COUNTIF($E175:F175,"µ")+COUNTIF($E175:F175,1),ColDescriptionCourte))&gt;1,
HYPERLINK("#Roadmap!C"&amp; MATCH($E175,Roadmap!$D:$D,0)+COUNTIF($E175:F175,"u")+COUNTIF($E175:F175,"t")+COUNTIF($E175:F175,"¶")+COUNTIF($E175:F175,"²")+COUNTIF($E175:F175,"µ")+COUNTIF($E175:F175,1)-1,INDEX(Roadmap!$D:$K,MATCH($E175,Roadmap!$D:$D,0)-1+COUNTIF($E175:F175,"u")+COUNTIF($E175:F175,"t")+COUNTIF($E175:F175,"¶")+COUNTIF($E175:F175,"²")+COUNTIF($E175:F175,"µ")+COUNTIF($E175:F175,1),ColDescriptionCourte)),""),
  "")),"")</f>
        <v/>
      </c>
      <c r="H175" s="40" t="str">
        <f ca="1">IFERROR(IF(AND(
  INDEX(Roadmap!$D:$K,MATCH($E175,Roadmap!$D:$D,0)+COUNTIF($E175:G175,"u")+COUNTIF($E175:G175,"t")+COUNTIF($E175:G175,"¶")+COUNTIF($E175:G175,"²")+COUNTIF($E175:G175,"µ")+COUNTIF($E175:G175,1),ColLivraison)=H$6,
  VLOOKUP($E175,INDIRECT("tri!"&amp; CHAR(64+ C0Col) &amp;":"&amp; CHAR(65+C0Col)),2,FALSE)&gt;COUNTIF($E175:G175,"u")+COUNTIF($E175:G175,"t")+COUNTIF($E175:G175,"¶")+COUNTIF($E175:G175,"²")+COUNTIF($E175:G175,"µ")+COUNTIF($E175:G175,1)),
HYPERLINK("#Roadmap!C"&amp; MATCH($E175,Roadmap!$D:$D,0)+COUNTIF($E175:G175,"u")+COUNTIF($E175:G175,"t"),
     INDEX(Roadmap!$D:$K,MATCH($E175,Roadmap!$D:$D,0)+COUNTIF($E175:G175,"u")+COUNTIF($E175:G175,"t")+COUNTIF($E175:G175,"¶")+COUNTIF($E175:G175,"²")+COUNTIF($E175:G175,"µ")+COUNTIF($E175:G175,1),ColTypeEcheance)),
  IF(LEN(G175)=1,
  IF(LEN(INDEX(Roadmap!$D:$K,MATCH($E175,Roadmap!$D:$D,0)-1+COUNTIF($E175:G175,"u")+COUNTIF($E175:G175,"t")+COUNTIF($E175:G175,"¶")+COUNTIF($E175:G175,"²")+COUNTIF($E175:G175,"µ")+COUNTIF($E175:G175,1),ColDescriptionCourte))&gt;1,
HYPERLINK("#Roadmap!C"&amp; MATCH($E175,Roadmap!$D:$D,0)+COUNTIF($E175:G175,"u")+COUNTIF($E175:G175,"t")+COUNTIF($E175:G175,"¶")+COUNTIF($E175:G175,"²")+COUNTIF($E175:G175,"µ")+COUNTIF($E175:G175,1)-1,INDEX(Roadmap!$D:$K,MATCH($E175,Roadmap!$D:$D,0)-1+COUNTIF($E175:G175,"u")+COUNTIF($E175:G175,"t")+COUNTIF($E175:G175,"¶")+COUNTIF($E175:G175,"²")+COUNTIF($E175:G175,"µ")+COUNTIF($E175:G175,1),ColDescriptionCourte)),""),
  "")),"")</f>
        <v/>
      </c>
      <c r="I175" s="40" t="str">
        <f ca="1">IFERROR(IF(AND(
  INDEX(Roadmap!$D:$K,MATCH($E175,Roadmap!$D:$D,0)+COUNTIF($E175:H175,"u")+COUNTIF($E175:H175,"t")+COUNTIF($E175:H175,"¶")+COUNTIF($E175:H175,"²")+COUNTIF($E175:H175,"µ")+COUNTIF($E175:H175,1),ColLivraison)=I$6,
  VLOOKUP($E175,INDIRECT("tri!"&amp; CHAR(64+ C0Col) &amp;":"&amp; CHAR(65+C0Col)),2,FALSE)&gt;COUNTIF($E175:H175,"u")+COUNTIF($E175:H175,"t")+COUNTIF($E175:H175,"¶")+COUNTIF($E175:H175,"²")+COUNTIF($E175:H175,"µ")+COUNTIF($E175:H175,1)),
HYPERLINK("#Roadmap!C"&amp; MATCH($E175,Roadmap!$D:$D,0)+COUNTIF($E175:H175,"u")+COUNTIF($E175:H175,"t"),
     INDEX(Roadmap!$D:$K,MATCH($E175,Roadmap!$D:$D,0)+COUNTIF($E175:H175,"u")+COUNTIF($E175:H175,"t")+COUNTIF($E175:H175,"¶")+COUNTIF($E175:H175,"²")+COUNTIF($E175:H175,"µ")+COUNTIF($E175:H175,1),ColTypeEcheance)),
  IF(LEN(H175)=1,
  IF(LEN(INDEX(Roadmap!$D:$K,MATCH($E175,Roadmap!$D:$D,0)-1+COUNTIF($E175:H175,"u")+COUNTIF($E175:H175,"t")+COUNTIF($E175:H175,"¶")+COUNTIF($E175:H175,"²")+COUNTIF($E175:H175,"µ")+COUNTIF($E175:H175,1),ColDescriptionCourte))&gt;1,
HYPERLINK("#Roadmap!C"&amp; MATCH($E175,Roadmap!$D:$D,0)+COUNTIF($E175:H175,"u")+COUNTIF($E175:H175,"t")+COUNTIF($E175:H175,"¶")+COUNTIF($E175:H175,"²")+COUNTIF($E175:H175,"µ")+COUNTIF($E175:H175,1)-1,INDEX(Roadmap!$D:$K,MATCH($E175,Roadmap!$D:$D,0)-1+COUNTIF($E175:H175,"u")+COUNTIF($E175:H175,"t")+COUNTIF($E175:H175,"¶")+COUNTIF($E175:H175,"²")+COUNTIF($E175:H175,"µ")+COUNTIF($E175:H175,1),ColDescriptionCourte)),""),
  "")),"")</f>
        <v/>
      </c>
      <c r="J175" s="40" t="str">
        <f ca="1">IFERROR(IF(AND(
  INDEX(Roadmap!$D:$K,MATCH($E175,Roadmap!$D:$D,0)+COUNTIF($E175:I175,"u")+COUNTIF($E175:I175,"t")+COUNTIF($E175:I175,"¶")+COUNTIF($E175:I175,"²")+COUNTIF($E175:I175,"µ")+COUNTIF($E175:I175,1),ColLivraison)=J$6,
  VLOOKUP($E175,INDIRECT("tri!"&amp; CHAR(64+ C0Col) &amp;":"&amp; CHAR(65+C0Col)),2,FALSE)&gt;COUNTIF($E175:I175,"u")+COUNTIF($E175:I175,"t")+COUNTIF($E175:I175,"¶")+COUNTIF($E175:I175,"²")+COUNTIF($E175:I175,"µ")+COUNTIF($E175:I175,1)),
HYPERLINK("#Roadmap!C"&amp; MATCH($E175,Roadmap!$D:$D,0)+COUNTIF($E175:I175,"u")+COUNTIF($E175:I175,"t"),
     INDEX(Roadmap!$D:$K,MATCH($E175,Roadmap!$D:$D,0)+COUNTIF($E175:I175,"u")+COUNTIF($E175:I175,"t")+COUNTIF($E175:I175,"¶")+COUNTIF($E175:I175,"²")+COUNTIF($E175:I175,"µ")+COUNTIF($E175:I175,1),ColTypeEcheance)),
  IF(LEN(I175)=1,
  IF(LEN(INDEX(Roadmap!$D:$K,MATCH($E175,Roadmap!$D:$D,0)-1+COUNTIF($E175:I175,"u")+COUNTIF($E175:I175,"t")+COUNTIF($E175:I175,"¶")+COUNTIF($E175:I175,"²")+COUNTIF($E175:I175,"µ")+COUNTIF($E175:I175,1),ColDescriptionCourte))&gt;1,
HYPERLINK("#Roadmap!C"&amp; MATCH($E175,Roadmap!$D:$D,0)+COUNTIF($E175:I175,"u")+COUNTIF($E175:I175,"t")+COUNTIF($E175:I175,"¶")+COUNTIF($E175:I175,"²")+COUNTIF($E175:I175,"µ")+COUNTIF($E175:I175,1)-1,INDEX(Roadmap!$D:$K,MATCH($E175,Roadmap!$D:$D,0)-1+COUNTIF($E175:I175,"u")+COUNTIF($E175:I175,"t")+COUNTIF($E175:I175,"¶")+COUNTIF($E175:I175,"²")+COUNTIF($E175:I175,"µ")+COUNTIF($E175:I175,1),ColDescriptionCourte)),""),
  "")),"")</f>
        <v/>
      </c>
      <c r="K175" s="40" t="str">
        <f ca="1">IFERROR(IF(AND(
  INDEX(Roadmap!$D:$K,MATCH($E175,Roadmap!$D:$D,0)+COUNTIF($E175:J175,"u")+COUNTIF($E175:J175,"t")+COUNTIF($E175:J175,"¶")+COUNTIF($E175:J175,"²")+COUNTIF($E175:J175,"µ")+COUNTIF($E175:J175,1),ColLivraison)=K$6,
  VLOOKUP($E175,INDIRECT("tri!"&amp; CHAR(64+ C0Col) &amp;":"&amp; CHAR(65+C0Col)),2,FALSE)&gt;COUNTIF($E175:J175,"u")+COUNTIF($E175:J175,"t")+COUNTIF($E175:J175,"¶")+COUNTIF($E175:J175,"²")+COUNTIF($E175:J175,"µ")+COUNTIF($E175:J175,1)),
HYPERLINK("#Roadmap!C"&amp; MATCH($E175,Roadmap!$D:$D,0)+COUNTIF($E175:J175,"u")+COUNTIF($E175:J175,"t"),
     INDEX(Roadmap!$D:$K,MATCH($E175,Roadmap!$D:$D,0)+COUNTIF($E175:J175,"u")+COUNTIF($E175:J175,"t")+COUNTIF($E175:J175,"¶")+COUNTIF($E175:J175,"²")+COUNTIF($E175:J175,"µ")+COUNTIF($E175:J175,1),ColTypeEcheance)),
  IF(LEN(J175)=1,
  IF(LEN(INDEX(Roadmap!$D:$K,MATCH($E175,Roadmap!$D:$D,0)-1+COUNTIF($E175:J175,"u")+COUNTIF($E175:J175,"t")+COUNTIF($E175:J175,"¶")+COUNTIF($E175:J175,"²")+COUNTIF($E175:J175,"µ")+COUNTIF($E175:J175,1),ColDescriptionCourte))&gt;1,
HYPERLINK("#Roadmap!C"&amp; MATCH($E175,Roadmap!$D:$D,0)+COUNTIF($E175:J175,"u")+COUNTIF($E175:J175,"t")+COUNTIF($E175:J175,"¶")+COUNTIF($E175:J175,"²")+COUNTIF($E175:J175,"µ")+COUNTIF($E175:J175,1)-1,INDEX(Roadmap!$D:$K,MATCH($E175,Roadmap!$D:$D,0)-1+COUNTIF($E175:J175,"u")+COUNTIF($E175:J175,"t")+COUNTIF($E175:J175,"¶")+COUNTIF($E175:J175,"²")+COUNTIF($E175:J175,"µ")+COUNTIF($E175:J175,1),ColDescriptionCourte)),""),
  "")),"")</f>
        <v/>
      </c>
      <c r="L175" s="39" t="str">
        <f ca="1">IFERROR(IF(AND(
  INDEX(Roadmap!$D:$K,MATCH($E175,Roadmap!$D:$D,0)+COUNTIF($E175:K175,"u")+COUNTIF($E175:K175,"t")+COUNTIF($E175:K175,"¶")+COUNTIF($E175:K175,"²")+COUNTIF($E175:K175,"µ")+COUNTIF($E175:K175,1),ColLivraison)=L$6,
  VLOOKUP($E175,INDIRECT("tri!"&amp; CHAR(64+ C0Col) &amp;":"&amp; CHAR(65+C0Col)),2,FALSE)&gt;COUNTIF($E175:K175,"u")+COUNTIF($E175:K175,"t")+COUNTIF($E175:K175,"¶")+COUNTIF($E175:K175,"²")+COUNTIF($E175:K175,"µ")+COUNTIF($E175:K175,1)),
HYPERLINK("#Roadmap!C"&amp; MATCH($E175,Roadmap!$D:$D,0)+COUNTIF($E175:K175,"u")+COUNTIF($E175:K175,"t"),
     INDEX(Roadmap!$D:$K,MATCH($E175,Roadmap!$D:$D,0)+COUNTIF($E175:K175,"u")+COUNTIF($E175:K175,"t")+COUNTIF($E175:K175,"¶")+COUNTIF($E175:K175,"²")+COUNTIF($E175:K175,"µ")+COUNTIF($E175:K175,1),ColTypeEcheance)),
  IF(LEN(K175)=1,
  IF(LEN(INDEX(Roadmap!$D:$K,MATCH($E175,Roadmap!$D:$D,0)-1+COUNTIF($E175:K175,"u")+COUNTIF($E175:K175,"t")+COUNTIF($E175:K175,"¶")+COUNTIF($E175:K175,"²")+COUNTIF($E175:K175,"µ")+COUNTIF($E175:K175,1),ColDescriptionCourte))&gt;1,
HYPERLINK("#Roadmap!C"&amp; MATCH($E175,Roadmap!$D:$D,0)+COUNTIF($E175:K175,"u")+COUNTIF($E175:K175,"t")+COUNTIF($E175:K175,"¶")+COUNTIF($E175:K175,"²")+COUNTIF($E175:K175,"µ")+COUNTIF($E175:K175,1)-1,INDEX(Roadmap!$D:$K,MATCH($E175,Roadmap!$D:$D,0)-1+COUNTIF($E175:K175,"u")+COUNTIF($E175:K175,"t")+COUNTIF($E175:K175,"¶")+COUNTIF($E175:K175,"²")+COUNTIF($E175:K175,"µ")+COUNTIF($E175:K175,1),ColDescriptionCourte)),""),
  "")),"")</f>
        <v/>
      </c>
      <c r="M175" s="40" t="str">
        <f ca="1">IFERROR(IF(AND(
  INDEX(Roadmap!$D:$K,MATCH($E175,Roadmap!$D:$D,0)+COUNTIF($E175:L175,"u")+COUNTIF($E175:L175,"t")+COUNTIF($E175:L175,"¶")+COUNTIF($E175:L175,"²")+COUNTIF($E175:L175,"µ")+COUNTIF($E175:L175,1),ColLivraison)=M$6,
  VLOOKUP($E175,INDIRECT("tri!"&amp; CHAR(64+ C0Col) &amp;":"&amp; CHAR(65+C0Col)),2,FALSE)&gt;COUNTIF($E175:L175,"u")+COUNTIF($E175:L175,"t")+COUNTIF($E175:L175,"¶")+COUNTIF($E175:L175,"²")+COUNTIF($E175:L175,"µ")+COUNTIF($E175:L175,1)),
HYPERLINK("#Roadmap!C"&amp; MATCH($E175,Roadmap!$D:$D,0)+COUNTIF($E175:L175,"u")+COUNTIF($E175:L175,"t"),
     INDEX(Roadmap!$D:$K,MATCH($E175,Roadmap!$D:$D,0)+COUNTIF($E175:L175,"u")+COUNTIF($E175:L175,"t")+COUNTIF($E175:L175,"¶")+COUNTIF($E175:L175,"²")+COUNTIF($E175:L175,"µ")+COUNTIF($E175:L175,1),ColTypeEcheance)),
  IF(LEN(L175)=1,
  IF(LEN(INDEX(Roadmap!$D:$K,MATCH($E175,Roadmap!$D:$D,0)-1+COUNTIF($E175:L175,"u")+COUNTIF($E175:L175,"t")+COUNTIF($E175:L175,"¶")+COUNTIF($E175:L175,"²")+COUNTIF($E175:L175,"µ")+COUNTIF($E175:L175,1),ColDescriptionCourte))&gt;1,
HYPERLINK("#Roadmap!C"&amp; MATCH($E175,Roadmap!$D:$D,0)+COUNTIF($E175:L175,"u")+COUNTIF($E175:L175,"t")+COUNTIF($E175:L175,"¶")+COUNTIF($E175:L175,"²")+COUNTIF($E175:L175,"µ")+COUNTIF($E175:L175,1)-1,INDEX(Roadmap!$D:$K,MATCH($E175,Roadmap!$D:$D,0)-1+COUNTIF($E175:L175,"u")+COUNTIF($E175:L175,"t")+COUNTIF($E175:L175,"¶")+COUNTIF($E175:L175,"²")+COUNTIF($E175:L175,"µ")+COUNTIF($E175:L175,1),ColDescriptionCourte)),""),
  "")),"")</f>
        <v/>
      </c>
      <c r="N175" s="40" t="str">
        <f ca="1">IFERROR(IF(AND(
  INDEX(Roadmap!$D:$K,MATCH($E175,Roadmap!$D:$D,0)+COUNTIF($E175:M175,"u")+COUNTIF($E175:M175,"t")+COUNTIF($E175:M175,"¶")+COUNTIF($E175:M175,"²")+COUNTIF($E175:M175,"µ")+COUNTIF($E175:M175,1),ColLivraison)=N$6,
  VLOOKUP($E175,INDIRECT("tri!"&amp; CHAR(64+ C0Col) &amp;":"&amp; CHAR(65+C0Col)),2,FALSE)&gt;COUNTIF($E175:M175,"u")+COUNTIF($E175:M175,"t")+COUNTIF($E175:M175,"¶")+COUNTIF($E175:M175,"²")+COUNTIF($E175:M175,"µ")+COUNTIF($E175:M175,1)),
HYPERLINK("#Roadmap!C"&amp; MATCH($E175,Roadmap!$D:$D,0)+COUNTIF($E175:M175,"u")+COUNTIF($E175:M175,"t"),
     INDEX(Roadmap!$D:$K,MATCH($E175,Roadmap!$D:$D,0)+COUNTIF($E175:M175,"u")+COUNTIF($E175:M175,"t")+COUNTIF($E175:M175,"¶")+COUNTIF($E175:M175,"²")+COUNTIF($E175:M175,"µ")+COUNTIF($E175:M175,1),ColTypeEcheance)),
  IF(LEN(M175)=1,
  IF(LEN(INDEX(Roadmap!$D:$K,MATCH($E175,Roadmap!$D:$D,0)-1+COUNTIF($E175:M175,"u")+COUNTIF($E175:M175,"t")+COUNTIF($E175:M175,"¶")+COUNTIF($E175:M175,"²")+COUNTIF($E175:M175,"µ")+COUNTIF($E175:M175,1),ColDescriptionCourte))&gt;1,
HYPERLINK("#Roadmap!C"&amp; MATCH($E175,Roadmap!$D:$D,0)+COUNTIF($E175:M175,"u")+COUNTIF($E175:M175,"t")+COUNTIF($E175:M175,"¶")+COUNTIF($E175:M175,"²")+COUNTIF($E175:M175,"µ")+COUNTIF($E175:M175,1)-1,INDEX(Roadmap!$D:$K,MATCH($E175,Roadmap!$D:$D,0)-1+COUNTIF($E175:M175,"u")+COUNTIF($E175:M175,"t")+COUNTIF($E175:M175,"¶")+COUNTIF($E175:M175,"²")+COUNTIF($E175:M175,"µ")+COUNTIF($E175:M175,1),ColDescriptionCourte)),""),
  "")),"")</f>
        <v/>
      </c>
      <c r="O175" s="40" t="str">
        <f ca="1">IFERROR(IF(AND(
  INDEX(Roadmap!$D:$K,MATCH($E175,Roadmap!$D:$D,0)+COUNTIF($E175:N175,"u")+COUNTIF($E175:N175,"t")+COUNTIF($E175:N175,"¶")+COUNTIF($E175:N175,"²")+COUNTIF($E175:N175,"µ")+COUNTIF($E175:N175,1),ColLivraison)=O$6,
  VLOOKUP($E175,INDIRECT("tri!"&amp; CHAR(64+ C0Col) &amp;":"&amp; CHAR(65+C0Col)),2,FALSE)&gt;COUNTIF($E175:N175,"u")+COUNTIF($E175:N175,"t")+COUNTIF($E175:N175,"¶")+COUNTIF($E175:N175,"²")+COUNTIF($E175:N175,"µ")+COUNTIF($E175:N175,1)),
HYPERLINK("#Roadmap!C"&amp; MATCH($E175,Roadmap!$D:$D,0)+COUNTIF($E175:N175,"u")+COUNTIF($E175:N175,"t"),
     INDEX(Roadmap!$D:$K,MATCH($E175,Roadmap!$D:$D,0)+COUNTIF($E175:N175,"u")+COUNTIF($E175:N175,"t")+COUNTIF($E175:N175,"¶")+COUNTIF($E175:N175,"²")+COUNTIF($E175:N175,"µ")+COUNTIF($E175:N175,1),ColTypeEcheance)),
  IF(LEN(N175)=1,
  IF(LEN(INDEX(Roadmap!$D:$K,MATCH($E175,Roadmap!$D:$D,0)-1+COUNTIF($E175:N175,"u")+COUNTIF($E175:N175,"t")+COUNTIF($E175:N175,"¶")+COUNTIF($E175:N175,"²")+COUNTIF($E175:N175,"µ")+COUNTIF($E175:N175,1),ColDescriptionCourte))&gt;1,
HYPERLINK("#Roadmap!C"&amp; MATCH($E175,Roadmap!$D:$D,0)+COUNTIF($E175:N175,"u")+COUNTIF($E175:N175,"t")+COUNTIF($E175:N175,"¶")+COUNTIF($E175:N175,"²")+COUNTIF($E175:N175,"µ")+COUNTIF($E175:N175,1)-1,INDEX(Roadmap!$D:$K,MATCH($E175,Roadmap!$D:$D,0)-1+COUNTIF($E175:N175,"u")+COUNTIF($E175:N175,"t")+COUNTIF($E175:N175,"¶")+COUNTIF($E175:N175,"²")+COUNTIF($E175:N175,"µ")+COUNTIF($E175:N175,1),ColDescriptionCourte)),""),
  "")),"")</f>
        <v/>
      </c>
      <c r="P175" s="40" t="str">
        <f ca="1">IFERROR(IF(AND(
  INDEX(Roadmap!$D:$K,MATCH($E175,Roadmap!$D:$D,0)+COUNTIF($E175:O175,"u")+COUNTIF($E175:O175,"t")+COUNTIF($E175:O175,"¶")+COUNTIF($E175:O175,"²")+COUNTIF($E175:O175,"µ")+COUNTIF($E175:O175,1),ColLivraison)=P$6,
  VLOOKUP($E175,INDIRECT("tri!"&amp; CHAR(64+ C0Col) &amp;":"&amp; CHAR(65+C0Col)),2,FALSE)&gt;COUNTIF($E175:O175,"u")+COUNTIF($E175:O175,"t")+COUNTIF($E175:O175,"¶")+COUNTIF($E175:O175,"²")+COUNTIF($E175:O175,"µ")+COUNTIF($E175:O175,1)),
HYPERLINK("#Roadmap!C"&amp; MATCH($E175,Roadmap!$D:$D,0)+COUNTIF($E175:O175,"u")+COUNTIF($E175:O175,"t"),
     INDEX(Roadmap!$D:$K,MATCH($E175,Roadmap!$D:$D,0)+COUNTIF($E175:O175,"u")+COUNTIF($E175:O175,"t")+COUNTIF($E175:O175,"¶")+COUNTIF($E175:O175,"²")+COUNTIF($E175:O175,"µ")+COUNTIF($E175:O175,1),ColTypeEcheance)),
  IF(LEN(O175)=1,
  IF(LEN(INDEX(Roadmap!$D:$K,MATCH($E175,Roadmap!$D:$D,0)-1+COUNTIF($E175:O175,"u")+COUNTIF($E175:O175,"t")+COUNTIF($E175:O175,"¶")+COUNTIF($E175:O175,"²")+COUNTIF($E175:O175,"µ")+COUNTIF($E175:O175,1),ColDescriptionCourte))&gt;1,
HYPERLINK("#Roadmap!C"&amp; MATCH($E175,Roadmap!$D:$D,0)+COUNTIF($E175:O175,"u")+COUNTIF($E175:O175,"t")+COUNTIF($E175:O175,"¶")+COUNTIF($E175:O175,"²")+COUNTIF($E175:O175,"µ")+COUNTIF($E175:O175,1)-1,INDEX(Roadmap!$D:$K,MATCH($E175,Roadmap!$D:$D,0)-1+COUNTIF($E175:O175,"u")+COUNTIF($E175:O175,"t")+COUNTIF($E175:O175,"¶")+COUNTIF($E175:O175,"²")+COUNTIF($E175:O175,"µ")+COUNTIF($E175:O175,1),ColDescriptionCourte)),""),
  "")),"")</f>
        <v/>
      </c>
      <c r="Q175" s="40" t="str">
        <f ca="1">IFERROR(IF(AND(
  INDEX(Roadmap!$D:$K,MATCH($E175,Roadmap!$D:$D,0)+COUNTIF($E175:P175,"u")+COUNTIF($E175:P175,"t")+COUNTIF($E175:P175,"¶")+COUNTIF($E175:P175,"²")+COUNTIF($E175:P175,"µ")+COUNTIF($E175:P175,1),ColLivraison)=Q$6,
  VLOOKUP($E175,INDIRECT("tri!"&amp; CHAR(64+ C0Col) &amp;":"&amp; CHAR(65+C0Col)),2,FALSE)&gt;COUNTIF($E175:P175,"u")+COUNTIF($E175:P175,"t")+COUNTIF($E175:P175,"¶")+COUNTIF($E175:P175,"²")+COUNTIF($E175:P175,"µ")+COUNTIF($E175:P175,1)),
HYPERLINK("#Roadmap!C"&amp; MATCH($E175,Roadmap!$D:$D,0)+COUNTIF($E175:P175,"u")+COUNTIF($E175:P175,"t"),
     INDEX(Roadmap!$D:$K,MATCH($E175,Roadmap!$D:$D,0)+COUNTIF($E175:P175,"u")+COUNTIF($E175:P175,"t")+COUNTIF($E175:P175,"¶")+COUNTIF($E175:P175,"²")+COUNTIF($E175:P175,"µ")+COUNTIF($E175:P175,1),ColTypeEcheance)),
  IF(LEN(P175)=1,
  IF(LEN(INDEX(Roadmap!$D:$K,MATCH($E175,Roadmap!$D:$D,0)-1+COUNTIF($E175:P175,"u")+COUNTIF($E175:P175,"t")+COUNTIF($E175:P175,"¶")+COUNTIF($E175:P175,"²")+COUNTIF($E175:P175,"µ")+COUNTIF($E175:P175,1),ColDescriptionCourte))&gt;1,
HYPERLINK("#Roadmap!C"&amp; MATCH($E175,Roadmap!$D:$D,0)+COUNTIF($E175:P175,"u")+COUNTIF($E175:P175,"t")+COUNTIF($E175:P175,"¶")+COUNTIF($E175:P175,"²")+COUNTIF($E175:P175,"µ")+COUNTIF($E175:P175,1)-1,INDEX(Roadmap!$D:$K,MATCH($E175,Roadmap!$D:$D,0)-1+COUNTIF($E175:P175,"u")+COUNTIF($E175:P175,"t")+COUNTIF($E175:P175,"¶")+COUNTIF($E175:P175,"²")+COUNTIF($E175:P175,"µ")+COUNTIF($E175:P175,1),ColDescriptionCourte)),""),
  "")),"")</f>
        <v/>
      </c>
      <c r="R175" s="40" t="str">
        <f ca="1">IFERROR(IF(AND(
  INDEX(Roadmap!$D:$K,MATCH($E175,Roadmap!$D:$D,0)+COUNTIF($E175:Q175,"u")+COUNTIF($E175:Q175,"t")+COUNTIF($E175:Q175,"¶")+COUNTIF($E175:Q175,"²")+COUNTIF($E175:Q175,"µ")+COUNTIF($E175:Q175,1),ColLivraison)=R$6,
  VLOOKUP($E175,INDIRECT("tri!"&amp; CHAR(64+ C0Col) &amp;":"&amp; CHAR(65+C0Col)),2,FALSE)&gt;COUNTIF($E175:Q175,"u")+COUNTIF($E175:Q175,"t")+COUNTIF($E175:Q175,"¶")+COUNTIF($E175:Q175,"²")+COUNTIF($E175:Q175,"µ")+COUNTIF($E175:Q175,1)),
HYPERLINK("#Roadmap!C"&amp; MATCH($E175,Roadmap!$D:$D,0)+COUNTIF($E175:Q175,"u")+COUNTIF($E175:Q175,"t"),
     INDEX(Roadmap!$D:$K,MATCH($E175,Roadmap!$D:$D,0)+COUNTIF($E175:Q175,"u")+COUNTIF($E175:Q175,"t")+COUNTIF($E175:Q175,"¶")+COUNTIF($E175:Q175,"²")+COUNTIF($E175:Q175,"µ")+COUNTIF($E175:Q175,1),ColTypeEcheance)),
  IF(LEN(Q175)=1,
  IF(LEN(INDEX(Roadmap!$D:$K,MATCH($E175,Roadmap!$D:$D,0)-1+COUNTIF($E175:Q175,"u")+COUNTIF($E175:Q175,"t")+COUNTIF($E175:Q175,"¶")+COUNTIF($E175:Q175,"²")+COUNTIF($E175:Q175,"µ")+COUNTIF($E175:Q175,1),ColDescriptionCourte))&gt;1,
HYPERLINK("#Roadmap!C"&amp; MATCH($E175,Roadmap!$D:$D,0)+COUNTIF($E175:Q175,"u")+COUNTIF($E175:Q175,"t")+COUNTIF($E175:Q175,"¶")+COUNTIF($E175:Q175,"²")+COUNTIF($E175:Q175,"µ")+COUNTIF($E175:Q175,1)-1,INDEX(Roadmap!$D:$K,MATCH($E175,Roadmap!$D:$D,0)-1+COUNTIF($E175:Q175,"u")+COUNTIF($E175:Q175,"t")+COUNTIF($E175:Q175,"¶")+COUNTIF($E175:Q175,"²")+COUNTIF($E175:Q175,"µ")+COUNTIF($E175:Q175,1),ColDescriptionCourte)),""),
  "")),"")</f>
        <v/>
      </c>
      <c r="S175" s="40" t="str">
        <f ca="1">IFERROR(IF(AND(
  INDEX(Roadmap!$D:$K,MATCH($E175,Roadmap!$D:$D,0)+COUNTIF($E175:R175,"u")+COUNTIF($E175:R175,"t")+COUNTIF($E175:R175,"¶")+COUNTIF($E175:R175,"²")+COUNTIF($E175:R175,"µ")+COUNTIF($E175:R175,1),ColLivraison)=S$6,
  VLOOKUP($E175,INDIRECT("tri!"&amp; CHAR(64+ C0Col) &amp;":"&amp; CHAR(65+C0Col)),2,FALSE)&gt;COUNTIF($E175:R175,"u")+COUNTIF($E175:R175,"t")+COUNTIF($E175:R175,"¶")+COUNTIF($E175:R175,"²")+COUNTIF($E175:R175,"µ")+COUNTIF($E175:R175,1)),
HYPERLINK("#Roadmap!C"&amp; MATCH($E175,Roadmap!$D:$D,0)+COUNTIF($E175:R175,"u")+COUNTIF($E175:R175,"t"),
     INDEX(Roadmap!$D:$K,MATCH($E175,Roadmap!$D:$D,0)+COUNTIF($E175:R175,"u")+COUNTIF($E175:R175,"t")+COUNTIF($E175:R175,"¶")+COUNTIF($E175:R175,"²")+COUNTIF($E175:R175,"µ")+COUNTIF($E175:R175,1),ColTypeEcheance)),
  IF(LEN(R175)=1,
  IF(LEN(INDEX(Roadmap!$D:$K,MATCH($E175,Roadmap!$D:$D,0)-1+COUNTIF($E175:R175,"u")+COUNTIF($E175:R175,"t")+COUNTIF($E175:R175,"¶")+COUNTIF($E175:R175,"²")+COUNTIF($E175:R175,"µ")+COUNTIF($E175:R175,1),ColDescriptionCourte))&gt;1,
HYPERLINK("#Roadmap!C"&amp; MATCH($E175,Roadmap!$D:$D,0)+COUNTIF($E175:R175,"u")+COUNTIF($E175:R175,"t")+COUNTIF($E175:R175,"¶")+COUNTIF($E175:R175,"²")+COUNTIF($E175:R175,"µ")+COUNTIF($E175:R175,1)-1,INDEX(Roadmap!$D:$K,MATCH($E175,Roadmap!$D:$D,0)-1+COUNTIF($E175:R175,"u")+COUNTIF($E175:R175,"t")+COUNTIF($E175:R175,"¶")+COUNTIF($E175:R175,"²")+COUNTIF($E175:R175,"µ")+COUNTIF($E175:R175,1),ColDescriptionCourte)),""),
  "")),"")</f>
        <v/>
      </c>
      <c r="T175" s="40" t="str">
        <f ca="1">IFERROR(IF(AND(
  INDEX(Roadmap!$D:$K,MATCH($E175,Roadmap!$D:$D,0)+COUNTIF($E175:S175,"u")+COUNTIF($E175:S175,"t")+COUNTIF($E175:S175,"¶")+COUNTIF($E175:S175,"²")+COUNTIF($E175:S175,"µ")+COUNTIF($E175:S175,1),ColLivraison)=T$6,
  VLOOKUP($E175,INDIRECT("tri!"&amp; CHAR(64+ C0Col) &amp;":"&amp; CHAR(65+C0Col)),2,FALSE)&gt;COUNTIF($E175:S175,"u")+COUNTIF($E175:S175,"t")+COUNTIF($E175:S175,"¶")+COUNTIF($E175:S175,"²")+COUNTIF($E175:S175,"µ")+COUNTIF($E175:S175,1)),
HYPERLINK("#Roadmap!C"&amp; MATCH($E175,Roadmap!$D:$D,0)+COUNTIF($E175:S175,"u")+COUNTIF($E175:S175,"t"),
     INDEX(Roadmap!$D:$K,MATCH($E175,Roadmap!$D:$D,0)+COUNTIF($E175:S175,"u")+COUNTIF($E175:S175,"t")+COUNTIF($E175:S175,"¶")+COUNTIF($E175:S175,"²")+COUNTIF($E175:S175,"µ")+COUNTIF($E175:S175,1),ColTypeEcheance)),
  IF(LEN(S175)=1,
  IF(LEN(INDEX(Roadmap!$D:$K,MATCH($E175,Roadmap!$D:$D,0)-1+COUNTIF($E175:S175,"u")+COUNTIF($E175:S175,"t")+COUNTIF($E175:S175,"¶")+COUNTIF($E175:S175,"²")+COUNTIF($E175:S175,"µ")+COUNTIF($E175:S175,1),ColDescriptionCourte))&gt;1,
HYPERLINK("#Roadmap!C"&amp; MATCH($E175,Roadmap!$D:$D,0)+COUNTIF($E175:S175,"u")+COUNTIF($E175:S175,"t")+COUNTIF($E175:S175,"¶")+COUNTIF($E175:S175,"²")+COUNTIF($E175:S175,"µ")+COUNTIF($E175:S175,1)-1,INDEX(Roadmap!$D:$K,MATCH($E175,Roadmap!$D:$D,0)-1+COUNTIF($E175:S175,"u")+COUNTIF($E175:S175,"t")+COUNTIF($E175:S175,"¶")+COUNTIF($E175:S175,"²")+COUNTIF($E175:S175,"µ")+COUNTIF($E175:S175,1),ColDescriptionCourte)),""),
  "")),"")</f>
        <v/>
      </c>
      <c r="U175" s="40" t="str">
        <f ca="1">IFERROR(IF(AND(
  INDEX(Roadmap!$D:$K,MATCH($E175,Roadmap!$D:$D,0)+COUNTIF($E175:T175,"u")+COUNTIF($E175:T175,"t")+COUNTIF($E175:T175,"¶")+COUNTIF($E175:T175,"²")+COUNTIF($E175:T175,"µ")+COUNTIF($E175:T175,1),ColLivraison)=U$6,
  VLOOKUP($E175,INDIRECT("tri!"&amp; CHAR(64+ C0Col) &amp;":"&amp; CHAR(65+C0Col)),2,FALSE)&gt;COUNTIF($E175:T175,"u")+COUNTIF($E175:T175,"t")+COUNTIF($E175:T175,"¶")+COUNTIF($E175:T175,"²")+COUNTIF($E175:T175,"µ")+COUNTIF($E175:T175,1)),
HYPERLINK("#Roadmap!C"&amp; MATCH($E175,Roadmap!$D:$D,0)+COUNTIF($E175:T175,"u")+COUNTIF($E175:T175,"t"),
     INDEX(Roadmap!$D:$K,MATCH($E175,Roadmap!$D:$D,0)+COUNTIF($E175:T175,"u")+COUNTIF($E175:T175,"t")+COUNTIF($E175:T175,"¶")+COUNTIF($E175:T175,"²")+COUNTIF($E175:T175,"µ")+COUNTIF($E175:T175,1),ColTypeEcheance)),
  IF(LEN(T175)=1,
  IF(LEN(INDEX(Roadmap!$D:$K,MATCH($E175,Roadmap!$D:$D,0)-1+COUNTIF($E175:T175,"u")+COUNTIF($E175:T175,"t")+COUNTIF($E175:T175,"¶")+COUNTIF($E175:T175,"²")+COUNTIF($E175:T175,"µ")+COUNTIF($E175:T175,1),ColDescriptionCourte))&gt;1,
HYPERLINK("#Roadmap!C"&amp; MATCH($E175,Roadmap!$D:$D,0)+COUNTIF($E175:T175,"u")+COUNTIF($E175:T175,"t")+COUNTIF($E175:T175,"¶")+COUNTIF($E175:T175,"²")+COUNTIF($E175:T175,"µ")+COUNTIF($E175:T175,1)-1,INDEX(Roadmap!$D:$K,MATCH($E175,Roadmap!$D:$D,0)-1+COUNTIF($E175:T175,"u")+COUNTIF($E175:T175,"t")+COUNTIF($E175:T175,"¶")+COUNTIF($E175:T175,"²")+COUNTIF($E175:T175,"µ")+COUNTIF($E175:T175,1),ColDescriptionCourte)),""),
  "")),"")</f>
        <v/>
      </c>
      <c r="V175" s="40" t="str">
        <f ca="1">IFERROR(IF(AND(
  INDEX(Roadmap!$D:$K,MATCH($E175,Roadmap!$D:$D,0)+COUNTIF($E175:U175,"u")+COUNTIF($E175:U175,"t")+COUNTIF($E175:U175,"¶")+COUNTIF($E175:U175,"²")+COUNTIF($E175:U175,"µ")+COUNTIF($E175:U175,1),ColLivraison)=V$6,
  VLOOKUP($E175,INDIRECT("tri!"&amp; CHAR(64+ C0Col) &amp;":"&amp; CHAR(65+C0Col)),2,FALSE)&gt;COUNTIF($E175:U175,"u")+COUNTIF($E175:U175,"t")+COUNTIF($E175:U175,"¶")+COUNTIF($E175:U175,"²")+COUNTIF($E175:U175,"µ")+COUNTIF($E175:U175,1)),
HYPERLINK("#Roadmap!C"&amp; MATCH($E175,Roadmap!$D:$D,0)+COUNTIF($E175:U175,"u")+COUNTIF($E175:U175,"t"),
     INDEX(Roadmap!$D:$K,MATCH($E175,Roadmap!$D:$D,0)+COUNTIF($E175:U175,"u")+COUNTIF($E175:U175,"t")+COUNTIF($E175:U175,"¶")+COUNTIF($E175:U175,"²")+COUNTIF($E175:U175,"µ")+COUNTIF($E175:U175,1),ColTypeEcheance)),
  IF(LEN(U175)=1,
  IF(LEN(INDEX(Roadmap!$D:$K,MATCH($E175,Roadmap!$D:$D,0)-1+COUNTIF($E175:U175,"u")+COUNTIF($E175:U175,"t")+COUNTIF($E175:U175,"¶")+COUNTIF($E175:U175,"²")+COUNTIF($E175:U175,"µ")+COUNTIF($E175:U175,1),ColDescriptionCourte))&gt;1,
HYPERLINK("#Roadmap!C"&amp; MATCH($E175,Roadmap!$D:$D,0)+COUNTIF($E175:U175,"u")+COUNTIF($E175:U175,"t")+COUNTIF($E175:U175,"¶")+COUNTIF($E175:U175,"²")+COUNTIF($E175:U175,"µ")+COUNTIF($E175:U175,1)-1,INDEX(Roadmap!$D:$K,MATCH($E175,Roadmap!$D:$D,0)-1+COUNTIF($E175:U175,"u")+COUNTIF($E175:U175,"t")+COUNTIF($E175:U175,"¶")+COUNTIF($E175:U175,"²")+COUNTIF($E175:U175,"µ")+COUNTIF($E175:U175,1),ColDescriptionCourte)),""),
  "")),"")</f>
        <v/>
      </c>
      <c r="W175" s="40" t="str">
        <f ca="1">IFERROR(IF(AND(
  INDEX(Roadmap!$D:$K,MATCH($E175,Roadmap!$D:$D,0)+COUNTIF($E175:V175,"u")+COUNTIF($E175:V175,"t")+COUNTIF($E175:V175,"¶")+COUNTIF($E175:V175,"²")+COUNTIF($E175:V175,"µ")+COUNTIF($E175:V175,1),ColLivraison)=W$6,
  VLOOKUP($E175,INDIRECT("tri!"&amp; CHAR(64+ C0Col) &amp;":"&amp; CHAR(65+C0Col)),2,FALSE)&gt;COUNTIF($E175:V175,"u")+COUNTIF($E175:V175,"t")+COUNTIF($E175:V175,"¶")+COUNTIF($E175:V175,"²")+COUNTIF($E175:V175,"µ")+COUNTIF($E175:V175,1)),
HYPERLINK("#Roadmap!C"&amp; MATCH($E175,Roadmap!$D:$D,0)+COUNTIF($E175:V175,"u")+COUNTIF($E175:V175,"t"),
     INDEX(Roadmap!$D:$K,MATCH($E175,Roadmap!$D:$D,0)+COUNTIF($E175:V175,"u")+COUNTIF($E175:V175,"t")+COUNTIF($E175:V175,"¶")+COUNTIF($E175:V175,"²")+COUNTIF($E175:V175,"µ")+COUNTIF($E175:V175,1),ColTypeEcheance)),
  IF(LEN(V175)=1,
  IF(LEN(INDEX(Roadmap!$D:$K,MATCH($E175,Roadmap!$D:$D,0)-1+COUNTIF($E175:V175,"u")+COUNTIF($E175:V175,"t")+COUNTIF($E175:V175,"¶")+COUNTIF($E175:V175,"²")+COUNTIF($E175:V175,"µ")+COUNTIF($E175:V175,1),ColDescriptionCourte))&gt;1,
HYPERLINK("#Roadmap!C"&amp; MATCH($E175,Roadmap!$D:$D,0)+COUNTIF($E175:V175,"u")+COUNTIF($E175:V175,"t")+COUNTIF($E175:V175,"¶")+COUNTIF($E175:V175,"²")+COUNTIF($E175:V175,"µ")+COUNTIF($E175:V175,1)-1,INDEX(Roadmap!$D:$K,MATCH($E175,Roadmap!$D:$D,0)-1+COUNTIF($E175:V175,"u")+COUNTIF($E175:V175,"t")+COUNTIF($E175:V175,"¶")+COUNTIF($E175:V175,"²")+COUNTIF($E175:V175,"µ")+COUNTIF($E175:V175,1),ColDescriptionCourte)),""),
  "")),"")</f>
        <v/>
      </c>
      <c r="X175" s="40" t="str">
        <f ca="1">IFERROR(IF(AND(
  INDEX(Roadmap!$D:$K,MATCH($E175,Roadmap!$D:$D,0)+COUNTIF($E175:W175,"u")+COUNTIF($E175:W175,"t")+COUNTIF($E175:W175,"¶")+COUNTIF($E175:W175,"²")+COUNTIF($E175:W175,"µ")+COUNTIF($E175:W175,1),ColLivraison)=X$6,
  VLOOKUP($E175,INDIRECT("tri!"&amp; CHAR(64+ C0Col) &amp;":"&amp; CHAR(65+C0Col)),2,FALSE)&gt;COUNTIF($E175:W175,"u")+COUNTIF($E175:W175,"t")+COUNTIF($E175:W175,"¶")+COUNTIF($E175:W175,"²")+COUNTIF($E175:W175,"µ")+COUNTIF($E175:W175,1)),
HYPERLINK("#Roadmap!C"&amp; MATCH($E175,Roadmap!$D:$D,0)+COUNTIF($E175:W175,"u")+COUNTIF($E175:W175,"t"),
     INDEX(Roadmap!$D:$K,MATCH($E175,Roadmap!$D:$D,0)+COUNTIF($E175:W175,"u")+COUNTIF($E175:W175,"t")+COUNTIF($E175:W175,"¶")+COUNTIF($E175:W175,"²")+COUNTIF($E175:W175,"µ")+COUNTIF($E175:W175,1),ColTypeEcheance)),
  IF(LEN(W175)=1,
  IF(LEN(INDEX(Roadmap!$D:$K,MATCH($E175,Roadmap!$D:$D,0)-1+COUNTIF($E175:W175,"u")+COUNTIF($E175:W175,"t")+COUNTIF($E175:W175,"¶")+COUNTIF($E175:W175,"²")+COUNTIF($E175:W175,"µ")+COUNTIF($E175:W175,1),ColDescriptionCourte))&gt;1,
HYPERLINK("#Roadmap!C"&amp; MATCH($E175,Roadmap!$D:$D,0)+COUNTIF($E175:W175,"u")+COUNTIF($E175:W175,"t")+COUNTIF($E175:W175,"¶")+COUNTIF($E175:W175,"²")+COUNTIF($E175:W175,"µ")+COUNTIF($E175:W175,1)-1,INDEX(Roadmap!$D:$K,MATCH($E175,Roadmap!$D:$D,0)-1+COUNTIF($E175:W175,"u")+COUNTIF($E175:W175,"t")+COUNTIF($E175:W175,"¶")+COUNTIF($E175:W175,"²")+COUNTIF($E175:W175,"µ")+COUNTIF($E175:W175,1),ColDescriptionCourte)),""),
  "")),"")</f>
        <v/>
      </c>
      <c r="Y175" s="40" t="str">
        <f ca="1">IFERROR(IF(AND(
  INDEX(Roadmap!$D:$K,MATCH($E175,Roadmap!$D:$D,0)+COUNTIF($E175:X175,"u")+COUNTIF($E175:X175,"t")+COUNTIF($E175:X175,"¶")+COUNTIF($E175:X175,"²")+COUNTIF($E175:X175,"µ")+COUNTIF($E175:X175,1),ColLivraison)=Y$6,
  VLOOKUP($E175,INDIRECT("tri!"&amp; CHAR(64+ C0Col) &amp;":"&amp; CHAR(65+C0Col)),2,FALSE)&gt;COUNTIF($E175:X175,"u")+COUNTIF($E175:X175,"t")+COUNTIF($E175:X175,"¶")+COUNTIF($E175:X175,"²")+COUNTIF($E175:X175,"µ")+COUNTIF($E175:X175,1)),
HYPERLINK("#Roadmap!C"&amp; MATCH($E175,Roadmap!$D:$D,0)+COUNTIF($E175:X175,"u")+COUNTIF($E175:X175,"t"),
     INDEX(Roadmap!$D:$K,MATCH($E175,Roadmap!$D:$D,0)+COUNTIF($E175:X175,"u")+COUNTIF($E175:X175,"t")+COUNTIF($E175:X175,"¶")+COUNTIF($E175:X175,"²")+COUNTIF($E175:X175,"µ")+COUNTIF($E175:X175,1),ColTypeEcheance)),
  IF(LEN(X175)=1,
  IF(LEN(INDEX(Roadmap!$D:$K,MATCH($E175,Roadmap!$D:$D,0)-1+COUNTIF($E175:X175,"u")+COUNTIF($E175:X175,"t")+COUNTIF($E175:X175,"¶")+COUNTIF($E175:X175,"²")+COUNTIF($E175:X175,"µ")+COUNTIF($E175:X175,1),ColDescriptionCourte))&gt;1,
HYPERLINK("#Roadmap!C"&amp; MATCH($E175,Roadmap!$D:$D,0)+COUNTIF($E175:X175,"u")+COUNTIF($E175:X175,"t")+COUNTIF($E175:X175,"¶")+COUNTIF($E175:X175,"²")+COUNTIF($E175:X175,"µ")+COUNTIF($E175:X175,1)-1,INDEX(Roadmap!$D:$K,MATCH($E175,Roadmap!$D:$D,0)-1+COUNTIF($E175:X175,"u")+COUNTIF($E175:X175,"t")+COUNTIF($E175:X175,"¶")+COUNTIF($E175:X175,"²")+COUNTIF($E175:X175,"µ")+COUNTIF($E175:X175,1),ColDescriptionCourte)),""),
  "")),"")</f>
        <v/>
      </c>
      <c r="Z175" s="40" t="str">
        <f ca="1">IFERROR(IF(AND(
  INDEX(Roadmap!$D:$K,MATCH($E175,Roadmap!$D:$D,0)+COUNTIF($E175:Y175,"u")+COUNTIF($E175:Y175,"t")+COUNTIF($E175:Y175,"¶")+COUNTIF($E175:Y175,"²")+COUNTIF($E175:Y175,"µ")+COUNTIF($E175:Y175,1),ColLivraison)=Z$6,
  VLOOKUP($E175,INDIRECT("tri!"&amp; CHAR(64+ C0Col) &amp;":"&amp; CHAR(65+C0Col)),2,FALSE)&gt;COUNTIF($E175:Y175,"u")+COUNTIF($E175:Y175,"t")+COUNTIF($E175:Y175,"¶")+COUNTIF($E175:Y175,"²")+COUNTIF($E175:Y175,"µ")+COUNTIF($E175:Y175,1)),
HYPERLINK("#Roadmap!C"&amp; MATCH($E175,Roadmap!$D:$D,0)+COUNTIF($E175:Y175,"u")+COUNTIF($E175:Y175,"t"),
     INDEX(Roadmap!$D:$K,MATCH($E175,Roadmap!$D:$D,0)+COUNTIF($E175:Y175,"u")+COUNTIF($E175:Y175,"t")+COUNTIF($E175:Y175,"¶")+COUNTIF($E175:Y175,"²")+COUNTIF($E175:Y175,"µ")+COUNTIF($E175:Y175,1),ColTypeEcheance)),
  IF(LEN(Y175)=1,
  IF(LEN(INDEX(Roadmap!$D:$K,MATCH($E175,Roadmap!$D:$D,0)-1+COUNTIF($E175:Y175,"u")+COUNTIF($E175:Y175,"t")+COUNTIF($E175:Y175,"¶")+COUNTIF($E175:Y175,"²")+COUNTIF($E175:Y175,"µ")+COUNTIF($E175:Y175,1),ColDescriptionCourte))&gt;1,
HYPERLINK("#Roadmap!C"&amp; MATCH($E175,Roadmap!$D:$D,0)+COUNTIF($E175:Y175,"u")+COUNTIF($E175:Y175,"t")+COUNTIF($E175:Y175,"¶")+COUNTIF($E175:Y175,"²")+COUNTIF($E175:Y175,"µ")+COUNTIF($E175:Y175,1)-1,INDEX(Roadmap!$D:$K,MATCH($E175,Roadmap!$D:$D,0)-1+COUNTIF($E175:Y175,"u")+COUNTIF($E175:Y175,"t")+COUNTIF($E175:Y175,"¶")+COUNTIF($E175:Y175,"²")+COUNTIF($E175:Y175,"µ")+COUNTIF($E175:Y175,1),ColDescriptionCourte)),""),
  "")),"")</f>
        <v/>
      </c>
      <c r="AA175" s="40" t="str">
        <f ca="1">IFERROR(IF(AND(
  INDEX(Roadmap!$D:$K,MATCH($E175,Roadmap!$D:$D,0)+COUNTIF($E175:Z175,"u")+COUNTIF($E175:Z175,"t")+COUNTIF($E175:Z175,"¶")+COUNTIF($E175:Z175,"²")+COUNTIF($E175:Z175,"µ")+COUNTIF($E175:Z175,1),ColLivraison)=AA$6,
  VLOOKUP($E175,INDIRECT("tri!"&amp; CHAR(64+ C0Col) &amp;":"&amp; CHAR(65+C0Col)),2,FALSE)&gt;COUNTIF($E175:Z175,"u")+COUNTIF($E175:Z175,"t")+COUNTIF($E175:Z175,"¶")+COUNTIF($E175:Z175,"²")+COUNTIF($E175:Z175,"µ")+COUNTIF($E175:Z175,1)),
HYPERLINK("#Roadmap!C"&amp; MATCH($E175,Roadmap!$D:$D,0)+COUNTIF($E175:Z175,"u")+COUNTIF($E175:Z175,"t"),
     INDEX(Roadmap!$D:$K,MATCH($E175,Roadmap!$D:$D,0)+COUNTIF($E175:Z175,"u")+COUNTIF($E175:Z175,"t")+COUNTIF($E175:Z175,"¶")+COUNTIF($E175:Z175,"²")+COUNTIF($E175:Z175,"µ")+COUNTIF($E175:Z175,1),ColTypeEcheance)),
  IF(LEN(Z175)=1,
  IF(LEN(INDEX(Roadmap!$D:$K,MATCH($E175,Roadmap!$D:$D,0)-1+COUNTIF($E175:Z175,"u")+COUNTIF($E175:Z175,"t")+COUNTIF($E175:Z175,"¶")+COUNTIF($E175:Z175,"²")+COUNTIF($E175:Z175,"µ")+COUNTIF($E175:Z175,1),ColDescriptionCourte))&gt;1,
HYPERLINK("#Roadmap!C"&amp; MATCH($E175,Roadmap!$D:$D,0)+COUNTIF($E175:Z175,"u")+COUNTIF($E175:Z175,"t")+COUNTIF($E175:Z175,"¶")+COUNTIF($E175:Z175,"²")+COUNTIF($E175:Z175,"µ")+COUNTIF($E175:Z175,1)-1,INDEX(Roadmap!$D:$K,MATCH($E175,Roadmap!$D:$D,0)-1+COUNTIF($E175:Z175,"u")+COUNTIF($E175:Z175,"t")+COUNTIF($E175:Z175,"¶")+COUNTIF($E175:Z175,"²")+COUNTIF($E175:Z175,"µ")+COUNTIF($E175:Z175,1),ColDescriptionCourte)),""),
  "")),"")</f>
        <v/>
      </c>
      <c r="AB175" s="40" t="str">
        <f ca="1">IFERROR(IF(AND(
  INDEX(Roadmap!$D:$K,MATCH($E175,Roadmap!$D:$D,0)+COUNTIF($E175:AA175,"u")+COUNTIF($E175:AA175,"t")+COUNTIF($E175:AA175,"¶")+COUNTIF($E175:AA175,"²")+COUNTIF($E175:AA175,"µ")+COUNTIF($E175:AA175,1),ColLivraison)=AB$6,
  VLOOKUP($E175,INDIRECT("tri!"&amp; CHAR(64+ C0Col) &amp;":"&amp; CHAR(65+C0Col)),2,FALSE)&gt;COUNTIF($E175:AA175,"u")+COUNTIF($E175:AA175,"t")+COUNTIF($E175:AA175,"¶")+COUNTIF($E175:AA175,"²")+COUNTIF($E175:AA175,"µ")+COUNTIF($E175:AA175,1)),
HYPERLINK("#Roadmap!C"&amp; MATCH($E175,Roadmap!$D:$D,0)+COUNTIF($E175:AA175,"u")+COUNTIF($E175:AA175,"t"),
     INDEX(Roadmap!$D:$K,MATCH($E175,Roadmap!$D:$D,0)+COUNTIF($E175:AA175,"u")+COUNTIF($E175:AA175,"t")+COUNTIF($E175:AA175,"¶")+COUNTIF($E175:AA175,"²")+COUNTIF($E175:AA175,"µ")+COUNTIF($E175:AA175,1),ColTypeEcheance)),
  IF(LEN(AA175)=1,
  IF(LEN(INDEX(Roadmap!$D:$K,MATCH($E175,Roadmap!$D:$D,0)-1+COUNTIF($E175:AA175,"u")+COUNTIF($E175:AA175,"t")+COUNTIF($E175:AA175,"¶")+COUNTIF($E175:AA175,"²")+COUNTIF($E175:AA175,"µ")+COUNTIF($E175:AA175,1),ColDescriptionCourte))&gt;1,
HYPERLINK("#Roadmap!C"&amp; MATCH($E175,Roadmap!$D:$D,0)+COUNTIF($E175:AA175,"u")+COUNTIF($E175:AA175,"t")+COUNTIF($E175:AA175,"¶")+COUNTIF($E175:AA175,"²")+COUNTIF($E175:AA175,"µ")+COUNTIF($E175:AA175,1)-1,INDEX(Roadmap!$D:$K,MATCH($E175,Roadmap!$D:$D,0)-1+COUNTIF($E175:AA175,"u")+COUNTIF($E175:AA175,"t")+COUNTIF($E175:AA175,"¶")+COUNTIF($E175:AA175,"²")+COUNTIF($E175:AA175,"µ")+COUNTIF($E175:AA175,1),ColDescriptionCourte)),""),
  "")),"")</f>
        <v/>
      </c>
      <c r="AC175" s="40" t="str">
        <f ca="1">IFERROR(IF(AND(
  INDEX(Roadmap!$D:$K,MATCH($E175,Roadmap!$D:$D,0)+COUNTIF($E175:AB175,"u")+COUNTIF($E175:AB175,"t")+COUNTIF($E175:AB175,"¶")+COUNTIF($E175:AB175,"²")+COUNTIF($E175:AB175,"µ")+COUNTIF($E175:AB175,1),ColLivraison)=AC$6,
  VLOOKUP($E175,INDIRECT("tri!"&amp; CHAR(64+ C0Col) &amp;":"&amp; CHAR(65+C0Col)),2,FALSE)&gt;COUNTIF($E175:AB175,"u")+COUNTIF($E175:AB175,"t")+COUNTIF($E175:AB175,"¶")+COUNTIF($E175:AB175,"²")+COUNTIF($E175:AB175,"µ")+COUNTIF($E175:AB175,1)),
HYPERLINK("#Roadmap!C"&amp; MATCH($E175,Roadmap!$D:$D,0)+COUNTIF($E175:AB175,"u")+COUNTIF($E175:AB175,"t"),
     INDEX(Roadmap!$D:$K,MATCH($E175,Roadmap!$D:$D,0)+COUNTIF($E175:AB175,"u")+COUNTIF($E175:AB175,"t")+COUNTIF($E175:AB175,"¶")+COUNTIF($E175:AB175,"²")+COUNTIF($E175:AB175,"µ")+COUNTIF($E175:AB175,1),ColTypeEcheance)),
  IF(LEN(AB175)=1,
  IF(LEN(INDEX(Roadmap!$D:$K,MATCH($E175,Roadmap!$D:$D,0)-1+COUNTIF($E175:AB175,"u")+COUNTIF($E175:AB175,"t")+COUNTIF($E175:AB175,"¶")+COUNTIF($E175:AB175,"²")+COUNTIF($E175:AB175,"µ")+COUNTIF($E175:AB175,1),ColDescriptionCourte))&gt;1,
HYPERLINK("#Roadmap!C"&amp; MATCH($E175,Roadmap!$D:$D,0)+COUNTIF($E175:AB175,"u")+COUNTIF($E175:AB175,"t")+COUNTIF($E175:AB175,"¶")+COUNTIF($E175:AB175,"²")+COUNTIF($E175:AB175,"µ")+COUNTIF($E175:AB175,1)-1,INDEX(Roadmap!$D:$K,MATCH($E175,Roadmap!$D:$D,0)-1+COUNTIF($E175:AB175,"u")+COUNTIF($E175:AB175,"t")+COUNTIF($E175:AB175,"¶")+COUNTIF($E175:AB175,"²")+COUNTIF($E175:AB175,"µ")+COUNTIF($E175:AB175,1),ColDescriptionCourte)),""),
  "")),"")</f>
        <v/>
      </c>
      <c r="AD175" s="40" t="str">
        <f ca="1">IFERROR(IF(AND(
  INDEX(Roadmap!$D:$K,MATCH($E175,Roadmap!$D:$D,0)+COUNTIF($E175:AC175,"u")+COUNTIF($E175:AC175,"t")+COUNTIF($E175:AC175,"¶")+COUNTIF($E175:AC175,"²")+COUNTIF($E175:AC175,"µ")+COUNTIF($E175:AC175,1),ColLivraison)=AD$6,
  VLOOKUP($E175,INDIRECT("tri!"&amp; CHAR(64+ C0Col) &amp;":"&amp; CHAR(65+C0Col)),2,FALSE)&gt;COUNTIF($E175:AC175,"u")+COUNTIF($E175:AC175,"t")+COUNTIF($E175:AC175,"¶")+COUNTIF($E175:AC175,"²")+COUNTIF($E175:AC175,"µ")+COUNTIF($E175:AC175,1)),
HYPERLINK("#Roadmap!C"&amp; MATCH($E175,Roadmap!$D:$D,0)+COUNTIF($E175:AC175,"u")+COUNTIF($E175:AC175,"t"),
     INDEX(Roadmap!$D:$K,MATCH($E175,Roadmap!$D:$D,0)+COUNTIF($E175:AC175,"u")+COUNTIF($E175:AC175,"t")+COUNTIF($E175:AC175,"¶")+COUNTIF($E175:AC175,"²")+COUNTIF($E175:AC175,"µ")+COUNTIF($E175:AC175,1),ColTypeEcheance)),
  IF(LEN(AC175)=1,
  IF(LEN(INDEX(Roadmap!$D:$K,MATCH($E175,Roadmap!$D:$D,0)-1+COUNTIF($E175:AC175,"u")+COUNTIF($E175:AC175,"t")+COUNTIF($E175:AC175,"¶")+COUNTIF($E175:AC175,"²")+COUNTIF($E175:AC175,"µ")+COUNTIF($E175:AC175,1),ColDescriptionCourte))&gt;1,
HYPERLINK("#Roadmap!C"&amp; MATCH($E175,Roadmap!$D:$D,0)+COUNTIF($E175:AC175,"u")+COUNTIF($E175:AC175,"t")+COUNTIF($E175:AC175,"¶")+COUNTIF($E175:AC175,"²")+COUNTIF($E175:AC175,"µ")+COUNTIF($E175:AC175,1)-1,INDEX(Roadmap!$D:$K,MATCH($E175,Roadmap!$D:$D,0)-1+COUNTIF($E175:AC175,"u")+COUNTIF($E175:AC175,"t")+COUNTIF($E175:AC175,"¶")+COUNTIF($E175:AC175,"²")+COUNTIF($E175:AC175,"µ")+COUNTIF($E175:AC175,1),ColDescriptionCourte)),""),
  "")),"")</f>
        <v/>
      </c>
      <c r="AE175" s="40" t="str">
        <f ca="1">IFERROR(IF(AND(
  INDEX(Roadmap!$D:$K,MATCH($E175,Roadmap!$D:$D,0)+COUNTIF($E175:AD175,"u")+COUNTIF($E175:AD175,"t")+COUNTIF($E175:AD175,"¶")+COUNTIF($E175:AD175,"²")+COUNTIF($E175:AD175,"µ")+COUNTIF($E175:AD175,1),ColLivraison)=AE$6,
  VLOOKUP($E175,INDIRECT("tri!"&amp; CHAR(64+ C0Col) &amp;":"&amp; CHAR(65+C0Col)),2,FALSE)&gt;COUNTIF($E175:AD175,"u")+COUNTIF($E175:AD175,"t")+COUNTIF($E175:AD175,"¶")+COUNTIF($E175:AD175,"²")+COUNTIF($E175:AD175,"µ")+COUNTIF($E175:AD175,1)),
HYPERLINK("#Roadmap!C"&amp; MATCH($E175,Roadmap!$D:$D,0)+COUNTIF($E175:AD175,"u")+COUNTIF($E175:AD175,"t"),
     INDEX(Roadmap!$D:$K,MATCH($E175,Roadmap!$D:$D,0)+COUNTIF($E175:AD175,"u")+COUNTIF($E175:AD175,"t")+COUNTIF($E175:AD175,"¶")+COUNTIF($E175:AD175,"²")+COUNTIF($E175:AD175,"µ")+COUNTIF($E175:AD175,1),ColTypeEcheance)),
  IF(LEN(AD175)=1,
  IF(LEN(INDEX(Roadmap!$D:$K,MATCH($E175,Roadmap!$D:$D,0)-1+COUNTIF($E175:AD175,"u")+COUNTIF($E175:AD175,"t")+COUNTIF($E175:AD175,"¶")+COUNTIF($E175:AD175,"²")+COUNTIF($E175:AD175,"µ")+COUNTIF($E175:AD175,1),ColDescriptionCourte))&gt;1,
HYPERLINK("#Roadmap!C"&amp; MATCH($E175,Roadmap!$D:$D,0)+COUNTIF($E175:AD175,"u")+COUNTIF($E175:AD175,"t")+COUNTIF($E175:AD175,"¶")+COUNTIF($E175:AD175,"²")+COUNTIF($E175:AD175,"µ")+COUNTIF($E175:AD175,1)-1,INDEX(Roadmap!$D:$K,MATCH($E175,Roadmap!$D:$D,0)-1+COUNTIF($E175:AD175,"u")+COUNTIF($E175:AD175,"t")+COUNTIF($E175:AD175,"¶")+COUNTIF($E175:AD175,"²")+COUNTIF($E175:AD175,"µ")+COUNTIF($E175:AD175,1),ColDescriptionCourte)),""),
  "")),"")</f>
        <v/>
      </c>
      <c r="AF175" s="40" t="str">
        <f ca="1">IFERROR(IF(AND(
  INDEX(Roadmap!$D:$K,MATCH($E175,Roadmap!$D:$D,0)+COUNTIF($E175:AE175,"u")+COUNTIF($E175:AE175,"t")+COUNTIF($E175:AE175,"¶")+COUNTIF($E175:AE175,"²")+COUNTIF($E175:AE175,"µ")+COUNTIF($E175:AE175,1),ColLivraison)=AF$6,
  VLOOKUP($E175,INDIRECT("tri!"&amp; CHAR(64+ C0Col) &amp;":"&amp; CHAR(65+C0Col)),2,FALSE)&gt;COUNTIF($E175:AE175,"u")+COUNTIF($E175:AE175,"t")+COUNTIF($E175:AE175,"¶")+COUNTIF($E175:AE175,"²")+COUNTIF($E175:AE175,"µ")+COUNTIF($E175:AE175,1)),
HYPERLINK("#Roadmap!C"&amp; MATCH($E175,Roadmap!$D:$D,0)+COUNTIF($E175:AE175,"u")+COUNTIF($E175:AE175,"t"),
     INDEX(Roadmap!$D:$K,MATCH($E175,Roadmap!$D:$D,0)+COUNTIF($E175:AE175,"u")+COUNTIF($E175:AE175,"t")+COUNTIF($E175:AE175,"¶")+COUNTIF($E175:AE175,"²")+COUNTIF($E175:AE175,"µ")+COUNTIF($E175:AE175,1),ColTypeEcheance)),
  IF(LEN(AE175)=1,
  IF(LEN(INDEX(Roadmap!$D:$K,MATCH($E175,Roadmap!$D:$D,0)-1+COUNTIF($E175:AE175,"u")+COUNTIF($E175:AE175,"t")+COUNTIF($E175:AE175,"¶")+COUNTIF($E175:AE175,"²")+COUNTIF($E175:AE175,"µ")+COUNTIF($E175:AE175,1),ColDescriptionCourte))&gt;1,
HYPERLINK("#Roadmap!C"&amp; MATCH($E175,Roadmap!$D:$D,0)+COUNTIF($E175:AE175,"u")+COUNTIF($E175:AE175,"t")+COUNTIF($E175:AE175,"¶")+COUNTIF($E175:AE175,"²")+COUNTIF($E175:AE175,"µ")+COUNTIF($E175:AE175,1)-1,INDEX(Roadmap!$D:$K,MATCH($E175,Roadmap!$D:$D,0)-1+COUNTIF($E175:AE175,"u")+COUNTIF($E175:AE175,"t")+COUNTIF($E175:AE175,"¶")+COUNTIF($E175:AE175,"²")+COUNTIF($E175:AE175,"µ")+COUNTIF($E175:AE175,1),ColDescriptionCourte)),""),
  "")),"")</f>
        <v/>
      </c>
      <c r="AG175" s="40" t="str">
        <f ca="1">IFERROR(IF(AND(
  INDEX(Roadmap!$D:$K,MATCH($E175,Roadmap!$D:$D,0)+COUNTIF($E175:AF175,"u")+COUNTIF($E175:AF175,"t")+COUNTIF($E175:AF175,"¶")+COUNTIF($E175:AF175,"²")+COUNTIF($E175:AF175,"µ")+COUNTIF($E175:AF175,1),ColLivraison)=AG$6,
  VLOOKUP($E175,INDIRECT("tri!"&amp; CHAR(64+ C0Col) &amp;":"&amp; CHAR(65+C0Col)),2,FALSE)&gt;COUNTIF($E175:AF175,"u")+COUNTIF($E175:AF175,"t")+COUNTIF($E175:AF175,"¶")+COUNTIF($E175:AF175,"²")+COUNTIF($E175:AF175,"µ")+COUNTIF($E175:AF175,1)),
HYPERLINK("#Roadmap!C"&amp; MATCH($E175,Roadmap!$D:$D,0)+COUNTIF($E175:AF175,"u")+COUNTIF($E175:AF175,"t"),
     INDEX(Roadmap!$D:$K,MATCH($E175,Roadmap!$D:$D,0)+COUNTIF($E175:AF175,"u")+COUNTIF($E175:AF175,"t")+COUNTIF($E175:AF175,"¶")+COUNTIF($E175:AF175,"²")+COUNTIF($E175:AF175,"µ")+COUNTIF($E175:AF175,1),ColTypeEcheance)),
  IF(LEN(AF175)=1,
  IF(LEN(INDEX(Roadmap!$D:$K,MATCH($E175,Roadmap!$D:$D,0)-1+COUNTIF($E175:AF175,"u")+COUNTIF($E175:AF175,"t")+COUNTIF($E175:AF175,"¶")+COUNTIF($E175:AF175,"²")+COUNTIF($E175:AF175,"µ")+COUNTIF($E175:AF175,1),ColDescriptionCourte))&gt;1,
HYPERLINK("#Roadmap!C"&amp; MATCH($E175,Roadmap!$D:$D,0)+COUNTIF($E175:AF175,"u")+COUNTIF($E175:AF175,"t")+COUNTIF($E175:AF175,"¶")+COUNTIF($E175:AF175,"²")+COUNTIF($E175:AF175,"µ")+COUNTIF($E175:AF175,1)-1,INDEX(Roadmap!$D:$K,MATCH($E175,Roadmap!$D:$D,0)-1+COUNTIF($E175:AF175,"u")+COUNTIF($E175:AF175,"t")+COUNTIF($E175:AF175,"¶")+COUNTIF($E175:AF175,"²")+COUNTIF($E175:AF175,"µ")+COUNTIF($E175:AF175,1),ColDescriptionCourte)),""),
  "")),"")</f>
        <v/>
      </c>
    </row>
    <row r="176" spans="3:33" ht="14.25" customHeight="1">
      <c r="C176" s="1" t="str">
        <f t="shared" ca="1" si="54"/>
        <v/>
      </c>
      <c r="D176" s="1" t="str">
        <f t="shared" ca="1" si="55"/>
        <v/>
      </c>
      <c r="E176" s="35" t="str">
        <f t="shared" ca="1" si="51"/>
        <v/>
      </c>
      <c r="F176" s="39" t="str">
        <f ca="1">IFERROR(IF(AND(
  INDEX(Roadmap!$D:$K,MATCH($E176,Roadmap!$D:$D,0)+COUNTIF($E176:E176,"u")+COUNTIF($E176:E176,"t")+COUNTIF($E176:E176,"¶")+COUNTIF($E176:E176,"²")+COUNTIF($E176:E176,"µ")+COUNTIF($E176:E176,1),ColLivraison)=F$6,
  VLOOKUP($E176,INDIRECT("tri!"&amp; CHAR(64+ C0Col) &amp;":"&amp; CHAR(65+C0Col)),2,FALSE)&gt;COUNTIF($E176:E176,"u")+COUNTIF($E176:E176,"t")+COUNTIF($E176:E176,"¶")+COUNTIF($E176:E176,"²")+COUNTIF($E176:E176,"µ")+COUNTIF($E176:E176,1)),
HYPERLINK("#Roadmap!C"&amp; MATCH($E176,Roadmap!$D:$D,0)+COUNTIF($E176:E176,"u")+COUNTIF($E176:E176,"t"),
     INDEX(Roadmap!$D:$K,MATCH($E176,Roadmap!$D:$D,0)+COUNTIF($E176:E176,"u")+COUNTIF($E176:E176,"t")+COUNTIF($E176:E176,"¶")+COUNTIF($E176:E176,"²")+COUNTIF($E176:E176,"µ")+COUNTIF($E176:E176,1),ColTypeEcheance)),
  IF(LEN(E176)=1,
  IF(LEN(INDEX(Roadmap!$D:$K,MATCH($E176,Roadmap!$D:$D,0)-1+COUNTIF($E176:E176,"u")+COUNTIF($E176:E176,"t")+COUNTIF($E176:E176,"¶")+COUNTIF($E176:E176,"²")+COUNTIF($E176:E176,"µ")+COUNTIF($E176:E176,1),ColDescriptionCourte))&gt;1,
HYPERLINK("#Roadmap!C"&amp; MATCH($E176,Roadmap!$D:$D,0)+COUNTIF($E176:E176,"u")+COUNTIF($E176:E176,"t")+COUNTIF($E176:E176,"¶")+COUNTIF($E176:E176,"²")+COUNTIF($E176:E176,"µ")+COUNTIF($E176:E176,1)-1,INDEX(Roadmap!$D:$K,MATCH($E176,Roadmap!$D:$D,0)-1+COUNTIF($E176:E176,"u")+COUNTIF($E176:E176,"t")+COUNTIF($E176:E176,"¶")+COUNTIF($E176:E176,"²")+COUNTIF($E176:E176,"µ")+COUNTIF($E176:E176,1),ColDescriptionCourte)),""),
  "")),"")</f>
        <v/>
      </c>
      <c r="G176" s="40" t="str">
        <f ca="1">IFERROR(IF(AND(
  INDEX(Roadmap!$D:$K,MATCH($E176,Roadmap!$D:$D,0)+COUNTIF($E176:F176,"u")+COUNTIF($E176:F176,"t")+COUNTIF($E176:F176,"¶")+COUNTIF($E176:F176,"²")+COUNTIF($E176:F176,"µ")+COUNTIF($E176:F176,1),ColLivraison)=G$6,
  VLOOKUP($E176,INDIRECT("tri!"&amp; CHAR(64+ C0Col) &amp;":"&amp; CHAR(65+C0Col)),2,FALSE)&gt;COUNTIF($E176:F176,"u")+COUNTIF($E176:F176,"t")+COUNTIF($E176:F176,"¶")+COUNTIF($E176:F176,"²")+COUNTIF($E176:F176,"µ")+COUNTIF($E176:F176,1)),
HYPERLINK("#Roadmap!C"&amp; MATCH($E176,Roadmap!$D:$D,0)+COUNTIF($E176:F176,"u")+COUNTIF($E176:F176,"t"),
     INDEX(Roadmap!$D:$K,MATCH($E176,Roadmap!$D:$D,0)+COUNTIF($E176:F176,"u")+COUNTIF($E176:F176,"t")+COUNTIF($E176:F176,"¶")+COUNTIF($E176:F176,"²")+COUNTIF($E176:F176,"µ")+COUNTIF($E176:F176,1),ColTypeEcheance)),
  IF(LEN(F176)=1,
  IF(LEN(INDEX(Roadmap!$D:$K,MATCH($E176,Roadmap!$D:$D,0)-1+COUNTIF($E176:F176,"u")+COUNTIF($E176:F176,"t")+COUNTIF($E176:F176,"¶")+COUNTIF($E176:F176,"²")+COUNTIF($E176:F176,"µ")+COUNTIF($E176:F176,1),ColDescriptionCourte))&gt;1,
HYPERLINK("#Roadmap!C"&amp; MATCH($E176,Roadmap!$D:$D,0)+COUNTIF($E176:F176,"u")+COUNTIF($E176:F176,"t")+COUNTIF($E176:F176,"¶")+COUNTIF($E176:F176,"²")+COUNTIF($E176:F176,"µ")+COUNTIF($E176:F176,1)-1,INDEX(Roadmap!$D:$K,MATCH($E176,Roadmap!$D:$D,0)-1+COUNTIF($E176:F176,"u")+COUNTIF($E176:F176,"t")+COUNTIF($E176:F176,"¶")+COUNTIF($E176:F176,"²")+COUNTIF($E176:F176,"µ")+COUNTIF($E176:F176,1),ColDescriptionCourte)),""),
  "")),"")</f>
        <v/>
      </c>
      <c r="H176" s="40" t="str">
        <f ca="1">IFERROR(IF(AND(
  INDEX(Roadmap!$D:$K,MATCH($E176,Roadmap!$D:$D,0)+COUNTIF($E176:G176,"u")+COUNTIF($E176:G176,"t")+COUNTIF($E176:G176,"¶")+COUNTIF($E176:G176,"²")+COUNTIF($E176:G176,"µ")+COUNTIF($E176:G176,1),ColLivraison)=H$6,
  VLOOKUP($E176,INDIRECT("tri!"&amp; CHAR(64+ C0Col) &amp;":"&amp; CHAR(65+C0Col)),2,FALSE)&gt;COUNTIF($E176:G176,"u")+COUNTIF($E176:G176,"t")+COUNTIF($E176:G176,"¶")+COUNTIF($E176:G176,"²")+COUNTIF($E176:G176,"µ")+COUNTIF($E176:G176,1)),
HYPERLINK("#Roadmap!C"&amp; MATCH($E176,Roadmap!$D:$D,0)+COUNTIF($E176:G176,"u")+COUNTIF($E176:G176,"t"),
     INDEX(Roadmap!$D:$K,MATCH($E176,Roadmap!$D:$D,0)+COUNTIF($E176:G176,"u")+COUNTIF($E176:G176,"t")+COUNTIF($E176:G176,"¶")+COUNTIF($E176:G176,"²")+COUNTIF($E176:G176,"µ")+COUNTIF($E176:G176,1),ColTypeEcheance)),
  IF(LEN(G176)=1,
  IF(LEN(INDEX(Roadmap!$D:$K,MATCH($E176,Roadmap!$D:$D,0)-1+COUNTIF($E176:G176,"u")+COUNTIF($E176:G176,"t")+COUNTIF($E176:G176,"¶")+COUNTIF($E176:G176,"²")+COUNTIF($E176:G176,"µ")+COUNTIF($E176:G176,1),ColDescriptionCourte))&gt;1,
HYPERLINK("#Roadmap!C"&amp; MATCH($E176,Roadmap!$D:$D,0)+COUNTIF($E176:G176,"u")+COUNTIF($E176:G176,"t")+COUNTIF($E176:G176,"¶")+COUNTIF($E176:G176,"²")+COUNTIF($E176:G176,"µ")+COUNTIF($E176:G176,1)-1,INDEX(Roadmap!$D:$K,MATCH($E176,Roadmap!$D:$D,0)-1+COUNTIF($E176:G176,"u")+COUNTIF($E176:G176,"t")+COUNTIF($E176:G176,"¶")+COUNTIF($E176:G176,"²")+COUNTIF($E176:G176,"µ")+COUNTIF($E176:G176,1),ColDescriptionCourte)),""),
  "")),"")</f>
        <v/>
      </c>
      <c r="I176" s="40" t="str">
        <f ca="1">IFERROR(IF(AND(
  INDEX(Roadmap!$D:$K,MATCH($E176,Roadmap!$D:$D,0)+COUNTIF($E176:H176,"u")+COUNTIF($E176:H176,"t")+COUNTIF($E176:H176,"¶")+COUNTIF($E176:H176,"²")+COUNTIF($E176:H176,"µ")+COUNTIF($E176:H176,1),ColLivraison)=I$6,
  VLOOKUP($E176,INDIRECT("tri!"&amp; CHAR(64+ C0Col) &amp;":"&amp; CHAR(65+C0Col)),2,FALSE)&gt;COUNTIF($E176:H176,"u")+COUNTIF($E176:H176,"t")+COUNTIF($E176:H176,"¶")+COUNTIF($E176:H176,"²")+COUNTIF($E176:H176,"µ")+COUNTIF($E176:H176,1)),
HYPERLINK("#Roadmap!C"&amp; MATCH($E176,Roadmap!$D:$D,0)+COUNTIF($E176:H176,"u")+COUNTIF($E176:H176,"t"),
     INDEX(Roadmap!$D:$K,MATCH($E176,Roadmap!$D:$D,0)+COUNTIF($E176:H176,"u")+COUNTIF($E176:H176,"t")+COUNTIF($E176:H176,"¶")+COUNTIF($E176:H176,"²")+COUNTIF($E176:H176,"µ")+COUNTIF($E176:H176,1),ColTypeEcheance)),
  IF(LEN(H176)=1,
  IF(LEN(INDEX(Roadmap!$D:$K,MATCH($E176,Roadmap!$D:$D,0)-1+COUNTIF($E176:H176,"u")+COUNTIF($E176:H176,"t")+COUNTIF($E176:H176,"¶")+COUNTIF($E176:H176,"²")+COUNTIF($E176:H176,"µ")+COUNTIF($E176:H176,1),ColDescriptionCourte))&gt;1,
HYPERLINK("#Roadmap!C"&amp; MATCH($E176,Roadmap!$D:$D,0)+COUNTIF($E176:H176,"u")+COUNTIF($E176:H176,"t")+COUNTIF($E176:H176,"¶")+COUNTIF($E176:H176,"²")+COUNTIF($E176:H176,"µ")+COUNTIF($E176:H176,1)-1,INDEX(Roadmap!$D:$K,MATCH($E176,Roadmap!$D:$D,0)-1+COUNTIF($E176:H176,"u")+COUNTIF($E176:H176,"t")+COUNTIF($E176:H176,"¶")+COUNTIF($E176:H176,"²")+COUNTIF($E176:H176,"µ")+COUNTIF($E176:H176,1),ColDescriptionCourte)),""),
  "")),"")</f>
        <v/>
      </c>
      <c r="J176" s="40" t="str">
        <f ca="1">IFERROR(IF(AND(
  INDEX(Roadmap!$D:$K,MATCH($E176,Roadmap!$D:$D,0)+COUNTIF($E176:I176,"u")+COUNTIF($E176:I176,"t")+COUNTIF($E176:I176,"¶")+COUNTIF($E176:I176,"²")+COUNTIF($E176:I176,"µ")+COUNTIF($E176:I176,1),ColLivraison)=J$6,
  VLOOKUP($E176,INDIRECT("tri!"&amp; CHAR(64+ C0Col) &amp;":"&amp; CHAR(65+C0Col)),2,FALSE)&gt;COUNTIF($E176:I176,"u")+COUNTIF($E176:I176,"t")+COUNTIF($E176:I176,"¶")+COUNTIF($E176:I176,"²")+COUNTIF($E176:I176,"µ")+COUNTIF($E176:I176,1)),
HYPERLINK("#Roadmap!C"&amp; MATCH($E176,Roadmap!$D:$D,0)+COUNTIF($E176:I176,"u")+COUNTIF($E176:I176,"t"),
     INDEX(Roadmap!$D:$K,MATCH($E176,Roadmap!$D:$D,0)+COUNTIF($E176:I176,"u")+COUNTIF($E176:I176,"t")+COUNTIF($E176:I176,"¶")+COUNTIF($E176:I176,"²")+COUNTIF($E176:I176,"µ")+COUNTIF($E176:I176,1),ColTypeEcheance)),
  IF(LEN(I176)=1,
  IF(LEN(INDEX(Roadmap!$D:$K,MATCH($E176,Roadmap!$D:$D,0)-1+COUNTIF($E176:I176,"u")+COUNTIF($E176:I176,"t")+COUNTIF($E176:I176,"¶")+COUNTIF($E176:I176,"²")+COUNTIF($E176:I176,"µ")+COUNTIF($E176:I176,1),ColDescriptionCourte))&gt;1,
HYPERLINK("#Roadmap!C"&amp; MATCH($E176,Roadmap!$D:$D,0)+COUNTIF($E176:I176,"u")+COUNTIF($E176:I176,"t")+COUNTIF($E176:I176,"¶")+COUNTIF($E176:I176,"²")+COUNTIF($E176:I176,"µ")+COUNTIF($E176:I176,1)-1,INDEX(Roadmap!$D:$K,MATCH($E176,Roadmap!$D:$D,0)-1+COUNTIF($E176:I176,"u")+COUNTIF($E176:I176,"t")+COUNTIF($E176:I176,"¶")+COUNTIF($E176:I176,"²")+COUNTIF($E176:I176,"µ")+COUNTIF($E176:I176,1),ColDescriptionCourte)),""),
  "")),"")</f>
        <v/>
      </c>
      <c r="K176" s="40" t="str">
        <f ca="1">IFERROR(IF(AND(
  INDEX(Roadmap!$D:$K,MATCH($E176,Roadmap!$D:$D,0)+COUNTIF($E176:J176,"u")+COUNTIF($E176:J176,"t")+COUNTIF($E176:J176,"¶")+COUNTIF($E176:J176,"²")+COUNTIF($E176:J176,"µ")+COUNTIF($E176:J176,1),ColLivraison)=K$6,
  VLOOKUP($E176,INDIRECT("tri!"&amp; CHAR(64+ C0Col) &amp;":"&amp; CHAR(65+C0Col)),2,FALSE)&gt;COUNTIF($E176:J176,"u")+COUNTIF($E176:J176,"t")+COUNTIF($E176:J176,"¶")+COUNTIF($E176:J176,"²")+COUNTIF($E176:J176,"µ")+COUNTIF($E176:J176,1)),
HYPERLINK("#Roadmap!C"&amp; MATCH($E176,Roadmap!$D:$D,0)+COUNTIF($E176:J176,"u")+COUNTIF($E176:J176,"t"),
     INDEX(Roadmap!$D:$K,MATCH($E176,Roadmap!$D:$D,0)+COUNTIF($E176:J176,"u")+COUNTIF($E176:J176,"t")+COUNTIF($E176:J176,"¶")+COUNTIF($E176:J176,"²")+COUNTIF($E176:J176,"µ")+COUNTIF($E176:J176,1),ColTypeEcheance)),
  IF(LEN(J176)=1,
  IF(LEN(INDEX(Roadmap!$D:$K,MATCH($E176,Roadmap!$D:$D,0)-1+COUNTIF($E176:J176,"u")+COUNTIF($E176:J176,"t")+COUNTIF($E176:J176,"¶")+COUNTIF($E176:J176,"²")+COUNTIF($E176:J176,"µ")+COUNTIF($E176:J176,1),ColDescriptionCourte))&gt;1,
HYPERLINK("#Roadmap!C"&amp; MATCH($E176,Roadmap!$D:$D,0)+COUNTIF($E176:J176,"u")+COUNTIF($E176:J176,"t")+COUNTIF($E176:J176,"¶")+COUNTIF($E176:J176,"²")+COUNTIF($E176:J176,"µ")+COUNTIF($E176:J176,1)-1,INDEX(Roadmap!$D:$K,MATCH($E176,Roadmap!$D:$D,0)-1+COUNTIF($E176:J176,"u")+COUNTIF($E176:J176,"t")+COUNTIF($E176:J176,"¶")+COUNTIF($E176:J176,"²")+COUNTIF($E176:J176,"µ")+COUNTIF($E176:J176,1),ColDescriptionCourte)),""),
  "")),"")</f>
        <v/>
      </c>
      <c r="L176" s="39" t="str">
        <f ca="1">IFERROR(IF(AND(
  INDEX(Roadmap!$D:$K,MATCH($E176,Roadmap!$D:$D,0)+COUNTIF($E176:K176,"u")+COUNTIF($E176:K176,"t")+COUNTIF($E176:K176,"¶")+COUNTIF($E176:K176,"²")+COUNTIF($E176:K176,"µ")+COUNTIF($E176:K176,1),ColLivraison)=L$6,
  VLOOKUP($E176,INDIRECT("tri!"&amp; CHAR(64+ C0Col) &amp;":"&amp; CHAR(65+C0Col)),2,FALSE)&gt;COUNTIF($E176:K176,"u")+COUNTIF($E176:K176,"t")+COUNTIF($E176:K176,"¶")+COUNTIF($E176:K176,"²")+COUNTIF($E176:K176,"µ")+COUNTIF($E176:K176,1)),
HYPERLINK("#Roadmap!C"&amp; MATCH($E176,Roadmap!$D:$D,0)+COUNTIF($E176:K176,"u")+COUNTIF($E176:K176,"t"),
     INDEX(Roadmap!$D:$K,MATCH($E176,Roadmap!$D:$D,0)+COUNTIF($E176:K176,"u")+COUNTIF($E176:K176,"t")+COUNTIF($E176:K176,"¶")+COUNTIF($E176:K176,"²")+COUNTIF($E176:K176,"µ")+COUNTIF($E176:K176,1),ColTypeEcheance)),
  IF(LEN(K176)=1,
  IF(LEN(INDEX(Roadmap!$D:$K,MATCH($E176,Roadmap!$D:$D,0)-1+COUNTIF($E176:K176,"u")+COUNTIF($E176:K176,"t")+COUNTIF($E176:K176,"¶")+COUNTIF($E176:K176,"²")+COUNTIF($E176:K176,"µ")+COUNTIF($E176:K176,1),ColDescriptionCourte))&gt;1,
HYPERLINK("#Roadmap!C"&amp; MATCH($E176,Roadmap!$D:$D,0)+COUNTIF($E176:K176,"u")+COUNTIF($E176:K176,"t")+COUNTIF($E176:K176,"¶")+COUNTIF($E176:K176,"²")+COUNTIF($E176:K176,"µ")+COUNTIF($E176:K176,1)-1,INDEX(Roadmap!$D:$K,MATCH($E176,Roadmap!$D:$D,0)-1+COUNTIF($E176:K176,"u")+COUNTIF($E176:K176,"t")+COUNTIF($E176:K176,"¶")+COUNTIF($E176:K176,"²")+COUNTIF($E176:K176,"µ")+COUNTIF($E176:K176,1),ColDescriptionCourte)),""),
  "")),"")</f>
        <v/>
      </c>
      <c r="M176" s="40" t="str">
        <f ca="1">IFERROR(IF(AND(
  INDEX(Roadmap!$D:$K,MATCH($E176,Roadmap!$D:$D,0)+COUNTIF($E176:L176,"u")+COUNTIF($E176:L176,"t")+COUNTIF($E176:L176,"¶")+COUNTIF($E176:L176,"²")+COUNTIF($E176:L176,"µ")+COUNTIF($E176:L176,1),ColLivraison)=M$6,
  VLOOKUP($E176,INDIRECT("tri!"&amp; CHAR(64+ C0Col) &amp;":"&amp; CHAR(65+C0Col)),2,FALSE)&gt;COUNTIF($E176:L176,"u")+COUNTIF($E176:L176,"t")+COUNTIF($E176:L176,"¶")+COUNTIF($E176:L176,"²")+COUNTIF($E176:L176,"µ")+COUNTIF($E176:L176,1)),
HYPERLINK("#Roadmap!C"&amp; MATCH($E176,Roadmap!$D:$D,0)+COUNTIF($E176:L176,"u")+COUNTIF($E176:L176,"t"),
     INDEX(Roadmap!$D:$K,MATCH($E176,Roadmap!$D:$D,0)+COUNTIF($E176:L176,"u")+COUNTIF($E176:L176,"t")+COUNTIF($E176:L176,"¶")+COUNTIF($E176:L176,"²")+COUNTIF($E176:L176,"µ")+COUNTIF($E176:L176,1),ColTypeEcheance)),
  IF(LEN(L176)=1,
  IF(LEN(INDEX(Roadmap!$D:$K,MATCH($E176,Roadmap!$D:$D,0)-1+COUNTIF($E176:L176,"u")+COUNTIF($E176:L176,"t")+COUNTIF($E176:L176,"¶")+COUNTIF($E176:L176,"²")+COUNTIF($E176:L176,"µ")+COUNTIF($E176:L176,1),ColDescriptionCourte))&gt;1,
HYPERLINK("#Roadmap!C"&amp; MATCH($E176,Roadmap!$D:$D,0)+COUNTIF($E176:L176,"u")+COUNTIF($E176:L176,"t")+COUNTIF($E176:L176,"¶")+COUNTIF($E176:L176,"²")+COUNTIF($E176:L176,"µ")+COUNTIF($E176:L176,1)-1,INDEX(Roadmap!$D:$K,MATCH($E176,Roadmap!$D:$D,0)-1+COUNTIF($E176:L176,"u")+COUNTIF($E176:L176,"t")+COUNTIF($E176:L176,"¶")+COUNTIF($E176:L176,"²")+COUNTIF($E176:L176,"µ")+COUNTIF($E176:L176,1),ColDescriptionCourte)),""),
  "")),"")</f>
        <v/>
      </c>
      <c r="N176" s="40" t="str">
        <f ca="1">IFERROR(IF(AND(
  INDEX(Roadmap!$D:$K,MATCH($E176,Roadmap!$D:$D,0)+COUNTIF($E176:M176,"u")+COUNTIF($E176:M176,"t")+COUNTIF($E176:M176,"¶")+COUNTIF($E176:M176,"²")+COUNTIF($E176:M176,"µ")+COUNTIF($E176:M176,1),ColLivraison)=N$6,
  VLOOKUP($E176,INDIRECT("tri!"&amp; CHAR(64+ C0Col) &amp;":"&amp; CHAR(65+C0Col)),2,FALSE)&gt;COUNTIF($E176:M176,"u")+COUNTIF($E176:M176,"t")+COUNTIF($E176:M176,"¶")+COUNTIF($E176:M176,"²")+COUNTIF($E176:M176,"µ")+COUNTIF($E176:M176,1)),
HYPERLINK("#Roadmap!C"&amp; MATCH($E176,Roadmap!$D:$D,0)+COUNTIF($E176:M176,"u")+COUNTIF($E176:M176,"t"),
     INDEX(Roadmap!$D:$K,MATCH($E176,Roadmap!$D:$D,0)+COUNTIF($E176:M176,"u")+COUNTIF($E176:M176,"t")+COUNTIF($E176:M176,"¶")+COUNTIF($E176:M176,"²")+COUNTIF($E176:M176,"µ")+COUNTIF($E176:M176,1),ColTypeEcheance)),
  IF(LEN(M176)=1,
  IF(LEN(INDEX(Roadmap!$D:$K,MATCH($E176,Roadmap!$D:$D,0)-1+COUNTIF($E176:M176,"u")+COUNTIF($E176:M176,"t")+COUNTIF($E176:M176,"¶")+COUNTIF($E176:M176,"²")+COUNTIF($E176:M176,"µ")+COUNTIF($E176:M176,1),ColDescriptionCourte))&gt;1,
HYPERLINK("#Roadmap!C"&amp; MATCH($E176,Roadmap!$D:$D,0)+COUNTIF($E176:M176,"u")+COUNTIF($E176:M176,"t")+COUNTIF($E176:M176,"¶")+COUNTIF($E176:M176,"²")+COUNTIF($E176:M176,"µ")+COUNTIF($E176:M176,1)-1,INDEX(Roadmap!$D:$K,MATCH($E176,Roadmap!$D:$D,0)-1+COUNTIF($E176:M176,"u")+COUNTIF($E176:M176,"t")+COUNTIF($E176:M176,"¶")+COUNTIF($E176:M176,"²")+COUNTIF($E176:M176,"µ")+COUNTIF($E176:M176,1),ColDescriptionCourte)),""),
  "")),"")</f>
        <v/>
      </c>
      <c r="O176" s="40" t="str">
        <f ca="1">IFERROR(IF(AND(
  INDEX(Roadmap!$D:$K,MATCH($E176,Roadmap!$D:$D,0)+COUNTIF($E176:N176,"u")+COUNTIF($E176:N176,"t")+COUNTIF($E176:N176,"¶")+COUNTIF($E176:N176,"²")+COUNTIF($E176:N176,"µ")+COUNTIF($E176:N176,1),ColLivraison)=O$6,
  VLOOKUP($E176,INDIRECT("tri!"&amp; CHAR(64+ C0Col) &amp;":"&amp; CHAR(65+C0Col)),2,FALSE)&gt;COUNTIF($E176:N176,"u")+COUNTIF($E176:N176,"t")+COUNTIF($E176:N176,"¶")+COUNTIF($E176:N176,"²")+COUNTIF($E176:N176,"µ")+COUNTIF($E176:N176,1)),
HYPERLINK("#Roadmap!C"&amp; MATCH($E176,Roadmap!$D:$D,0)+COUNTIF($E176:N176,"u")+COUNTIF($E176:N176,"t"),
     INDEX(Roadmap!$D:$K,MATCH($E176,Roadmap!$D:$D,0)+COUNTIF($E176:N176,"u")+COUNTIF($E176:N176,"t")+COUNTIF($E176:N176,"¶")+COUNTIF($E176:N176,"²")+COUNTIF($E176:N176,"µ")+COUNTIF($E176:N176,1),ColTypeEcheance)),
  IF(LEN(N176)=1,
  IF(LEN(INDEX(Roadmap!$D:$K,MATCH($E176,Roadmap!$D:$D,0)-1+COUNTIF($E176:N176,"u")+COUNTIF($E176:N176,"t")+COUNTIF($E176:N176,"¶")+COUNTIF($E176:N176,"²")+COUNTIF($E176:N176,"µ")+COUNTIF($E176:N176,1),ColDescriptionCourte))&gt;1,
HYPERLINK("#Roadmap!C"&amp; MATCH($E176,Roadmap!$D:$D,0)+COUNTIF($E176:N176,"u")+COUNTIF($E176:N176,"t")+COUNTIF($E176:N176,"¶")+COUNTIF($E176:N176,"²")+COUNTIF($E176:N176,"µ")+COUNTIF($E176:N176,1)-1,INDEX(Roadmap!$D:$K,MATCH($E176,Roadmap!$D:$D,0)-1+COUNTIF($E176:N176,"u")+COUNTIF($E176:N176,"t")+COUNTIF($E176:N176,"¶")+COUNTIF($E176:N176,"²")+COUNTIF($E176:N176,"µ")+COUNTIF($E176:N176,1),ColDescriptionCourte)),""),
  "")),"")</f>
        <v/>
      </c>
      <c r="P176" s="40" t="str">
        <f ca="1">IFERROR(IF(AND(
  INDEX(Roadmap!$D:$K,MATCH($E176,Roadmap!$D:$D,0)+COUNTIF($E176:O176,"u")+COUNTIF($E176:O176,"t")+COUNTIF($E176:O176,"¶")+COUNTIF($E176:O176,"²")+COUNTIF($E176:O176,"µ")+COUNTIF($E176:O176,1),ColLivraison)=P$6,
  VLOOKUP($E176,INDIRECT("tri!"&amp; CHAR(64+ C0Col) &amp;":"&amp; CHAR(65+C0Col)),2,FALSE)&gt;COUNTIF($E176:O176,"u")+COUNTIF($E176:O176,"t")+COUNTIF($E176:O176,"¶")+COUNTIF($E176:O176,"²")+COUNTIF($E176:O176,"µ")+COUNTIF($E176:O176,1)),
HYPERLINK("#Roadmap!C"&amp; MATCH($E176,Roadmap!$D:$D,0)+COUNTIF($E176:O176,"u")+COUNTIF($E176:O176,"t"),
     INDEX(Roadmap!$D:$K,MATCH($E176,Roadmap!$D:$D,0)+COUNTIF($E176:O176,"u")+COUNTIF($E176:O176,"t")+COUNTIF($E176:O176,"¶")+COUNTIF($E176:O176,"²")+COUNTIF($E176:O176,"µ")+COUNTIF($E176:O176,1),ColTypeEcheance)),
  IF(LEN(O176)=1,
  IF(LEN(INDEX(Roadmap!$D:$K,MATCH($E176,Roadmap!$D:$D,0)-1+COUNTIF($E176:O176,"u")+COUNTIF($E176:O176,"t")+COUNTIF($E176:O176,"¶")+COUNTIF($E176:O176,"²")+COUNTIF($E176:O176,"µ")+COUNTIF($E176:O176,1),ColDescriptionCourte))&gt;1,
HYPERLINK("#Roadmap!C"&amp; MATCH($E176,Roadmap!$D:$D,0)+COUNTIF($E176:O176,"u")+COUNTIF($E176:O176,"t")+COUNTIF($E176:O176,"¶")+COUNTIF($E176:O176,"²")+COUNTIF($E176:O176,"µ")+COUNTIF($E176:O176,1)-1,INDEX(Roadmap!$D:$K,MATCH($E176,Roadmap!$D:$D,0)-1+COUNTIF($E176:O176,"u")+COUNTIF($E176:O176,"t")+COUNTIF($E176:O176,"¶")+COUNTIF($E176:O176,"²")+COUNTIF($E176:O176,"µ")+COUNTIF($E176:O176,1),ColDescriptionCourte)),""),
  "")),"")</f>
        <v/>
      </c>
      <c r="Q176" s="40" t="str">
        <f ca="1">IFERROR(IF(AND(
  INDEX(Roadmap!$D:$K,MATCH($E176,Roadmap!$D:$D,0)+COUNTIF($E176:P176,"u")+COUNTIF($E176:P176,"t")+COUNTIF($E176:P176,"¶")+COUNTIF($E176:P176,"²")+COUNTIF($E176:P176,"µ")+COUNTIF($E176:P176,1),ColLivraison)=Q$6,
  VLOOKUP($E176,INDIRECT("tri!"&amp; CHAR(64+ C0Col) &amp;":"&amp; CHAR(65+C0Col)),2,FALSE)&gt;COUNTIF($E176:P176,"u")+COUNTIF($E176:P176,"t")+COUNTIF($E176:P176,"¶")+COUNTIF($E176:P176,"²")+COUNTIF($E176:P176,"µ")+COUNTIF($E176:P176,1)),
HYPERLINK("#Roadmap!C"&amp; MATCH($E176,Roadmap!$D:$D,0)+COUNTIF($E176:P176,"u")+COUNTIF($E176:P176,"t"),
     INDEX(Roadmap!$D:$K,MATCH($E176,Roadmap!$D:$D,0)+COUNTIF($E176:P176,"u")+COUNTIF($E176:P176,"t")+COUNTIF($E176:P176,"¶")+COUNTIF($E176:P176,"²")+COUNTIF($E176:P176,"µ")+COUNTIF($E176:P176,1),ColTypeEcheance)),
  IF(LEN(P176)=1,
  IF(LEN(INDEX(Roadmap!$D:$K,MATCH($E176,Roadmap!$D:$D,0)-1+COUNTIF($E176:P176,"u")+COUNTIF($E176:P176,"t")+COUNTIF($E176:P176,"¶")+COUNTIF($E176:P176,"²")+COUNTIF($E176:P176,"µ")+COUNTIF($E176:P176,1),ColDescriptionCourte))&gt;1,
HYPERLINK("#Roadmap!C"&amp; MATCH($E176,Roadmap!$D:$D,0)+COUNTIF($E176:P176,"u")+COUNTIF($E176:P176,"t")+COUNTIF($E176:P176,"¶")+COUNTIF($E176:P176,"²")+COUNTIF($E176:P176,"µ")+COUNTIF($E176:P176,1)-1,INDEX(Roadmap!$D:$K,MATCH($E176,Roadmap!$D:$D,0)-1+COUNTIF($E176:P176,"u")+COUNTIF($E176:P176,"t")+COUNTIF($E176:P176,"¶")+COUNTIF($E176:P176,"²")+COUNTIF($E176:P176,"µ")+COUNTIF($E176:P176,1),ColDescriptionCourte)),""),
  "")),"")</f>
        <v/>
      </c>
      <c r="R176" s="40" t="str">
        <f ca="1">IFERROR(IF(AND(
  INDEX(Roadmap!$D:$K,MATCH($E176,Roadmap!$D:$D,0)+COUNTIF($E176:Q176,"u")+COUNTIF($E176:Q176,"t")+COUNTIF($E176:Q176,"¶")+COUNTIF($E176:Q176,"²")+COUNTIF($E176:Q176,"µ")+COUNTIF($E176:Q176,1),ColLivraison)=R$6,
  VLOOKUP($E176,INDIRECT("tri!"&amp; CHAR(64+ C0Col) &amp;":"&amp; CHAR(65+C0Col)),2,FALSE)&gt;COUNTIF($E176:Q176,"u")+COUNTIF($E176:Q176,"t")+COUNTIF($E176:Q176,"¶")+COUNTIF($E176:Q176,"²")+COUNTIF($E176:Q176,"µ")+COUNTIF($E176:Q176,1)),
HYPERLINK("#Roadmap!C"&amp; MATCH($E176,Roadmap!$D:$D,0)+COUNTIF($E176:Q176,"u")+COUNTIF($E176:Q176,"t"),
     INDEX(Roadmap!$D:$K,MATCH($E176,Roadmap!$D:$D,0)+COUNTIF($E176:Q176,"u")+COUNTIF($E176:Q176,"t")+COUNTIF($E176:Q176,"¶")+COUNTIF($E176:Q176,"²")+COUNTIF($E176:Q176,"µ")+COUNTIF($E176:Q176,1),ColTypeEcheance)),
  IF(LEN(Q176)=1,
  IF(LEN(INDEX(Roadmap!$D:$K,MATCH($E176,Roadmap!$D:$D,0)-1+COUNTIF($E176:Q176,"u")+COUNTIF($E176:Q176,"t")+COUNTIF($E176:Q176,"¶")+COUNTIF($E176:Q176,"²")+COUNTIF($E176:Q176,"µ")+COUNTIF($E176:Q176,1),ColDescriptionCourte))&gt;1,
HYPERLINK("#Roadmap!C"&amp; MATCH($E176,Roadmap!$D:$D,0)+COUNTIF($E176:Q176,"u")+COUNTIF($E176:Q176,"t")+COUNTIF($E176:Q176,"¶")+COUNTIF($E176:Q176,"²")+COUNTIF($E176:Q176,"µ")+COUNTIF($E176:Q176,1)-1,INDEX(Roadmap!$D:$K,MATCH($E176,Roadmap!$D:$D,0)-1+COUNTIF($E176:Q176,"u")+COUNTIF($E176:Q176,"t")+COUNTIF($E176:Q176,"¶")+COUNTIF($E176:Q176,"²")+COUNTIF($E176:Q176,"µ")+COUNTIF($E176:Q176,1),ColDescriptionCourte)),""),
  "")),"")</f>
        <v/>
      </c>
      <c r="S176" s="40" t="str">
        <f ca="1">IFERROR(IF(AND(
  INDEX(Roadmap!$D:$K,MATCH($E176,Roadmap!$D:$D,0)+COUNTIF($E176:R176,"u")+COUNTIF($E176:R176,"t")+COUNTIF($E176:R176,"¶")+COUNTIF($E176:R176,"²")+COUNTIF($E176:R176,"µ")+COUNTIF($E176:R176,1),ColLivraison)=S$6,
  VLOOKUP($E176,INDIRECT("tri!"&amp; CHAR(64+ C0Col) &amp;":"&amp; CHAR(65+C0Col)),2,FALSE)&gt;COUNTIF($E176:R176,"u")+COUNTIF($E176:R176,"t")+COUNTIF($E176:R176,"¶")+COUNTIF($E176:R176,"²")+COUNTIF($E176:R176,"µ")+COUNTIF($E176:R176,1)),
HYPERLINK("#Roadmap!C"&amp; MATCH($E176,Roadmap!$D:$D,0)+COUNTIF($E176:R176,"u")+COUNTIF($E176:R176,"t"),
     INDEX(Roadmap!$D:$K,MATCH($E176,Roadmap!$D:$D,0)+COUNTIF($E176:R176,"u")+COUNTIF($E176:R176,"t")+COUNTIF($E176:R176,"¶")+COUNTIF($E176:R176,"²")+COUNTIF($E176:R176,"µ")+COUNTIF($E176:R176,1),ColTypeEcheance)),
  IF(LEN(R176)=1,
  IF(LEN(INDEX(Roadmap!$D:$K,MATCH($E176,Roadmap!$D:$D,0)-1+COUNTIF($E176:R176,"u")+COUNTIF($E176:R176,"t")+COUNTIF($E176:R176,"¶")+COUNTIF($E176:R176,"²")+COUNTIF($E176:R176,"µ")+COUNTIF($E176:R176,1),ColDescriptionCourte))&gt;1,
HYPERLINK("#Roadmap!C"&amp; MATCH($E176,Roadmap!$D:$D,0)+COUNTIF($E176:R176,"u")+COUNTIF($E176:R176,"t")+COUNTIF($E176:R176,"¶")+COUNTIF($E176:R176,"²")+COUNTIF($E176:R176,"µ")+COUNTIF($E176:R176,1)-1,INDEX(Roadmap!$D:$K,MATCH($E176,Roadmap!$D:$D,0)-1+COUNTIF($E176:R176,"u")+COUNTIF($E176:R176,"t")+COUNTIF($E176:R176,"¶")+COUNTIF($E176:R176,"²")+COUNTIF($E176:R176,"µ")+COUNTIF($E176:R176,1),ColDescriptionCourte)),""),
  "")),"")</f>
        <v/>
      </c>
      <c r="T176" s="40" t="str">
        <f ca="1">IFERROR(IF(AND(
  INDEX(Roadmap!$D:$K,MATCH($E176,Roadmap!$D:$D,0)+COUNTIF($E176:S176,"u")+COUNTIF($E176:S176,"t")+COUNTIF($E176:S176,"¶")+COUNTIF($E176:S176,"²")+COUNTIF($E176:S176,"µ")+COUNTIF($E176:S176,1),ColLivraison)=T$6,
  VLOOKUP($E176,INDIRECT("tri!"&amp; CHAR(64+ C0Col) &amp;":"&amp; CHAR(65+C0Col)),2,FALSE)&gt;COUNTIF($E176:S176,"u")+COUNTIF($E176:S176,"t")+COUNTIF($E176:S176,"¶")+COUNTIF($E176:S176,"²")+COUNTIF($E176:S176,"µ")+COUNTIF($E176:S176,1)),
HYPERLINK("#Roadmap!C"&amp; MATCH($E176,Roadmap!$D:$D,0)+COUNTIF($E176:S176,"u")+COUNTIF($E176:S176,"t"),
     INDEX(Roadmap!$D:$K,MATCH($E176,Roadmap!$D:$D,0)+COUNTIF($E176:S176,"u")+COUNTIF($E176:S176,"t")+COUNTIF($E176:S176,"¶")+COUNTIF($E176:S176,"²")+COUNTIF($E176:S176,"µ")+COUNTIF($E176:S176,1),ColTypeEcheance)),
  IF(LEN(S176)=1,
  IF(LEN(INDEX(Roadmap!$D:$K,MATCH($E176,Roadmap!$D:$D,0)-1+COUNTIF($E176:S176,"u")+COUNTIF($E176:S176,"t")+COUNTIF($E176:S176,"¶")+COUNTIF($E176:S176,"²")+COUNTIF($E176:S176,"µ")+COUNTIF($E176:S176,1),ColDescriptionCourte))&gt;1,
HYPERLINK("#Roadmap!C"&amp; MATCH($E176,Roadmap!$D:$D,0)+COUNTIF($E176:S176,"u")+COUNTIF($E176:S176,"t")+COUNTIF($E176:S176,"¶")+COUNTIF($E176:S176,"²")+COUNTIF($E176:S176,"µ")+COUNTIF($E176:S176,1)-1,INDEX(Roadmap!$D:$K,MATCH($E176,Roadmap!$D:$D,0)-1+COUNTIF($E176:S176,"u")+COUNTIF($E176:S176,"t")+COUNTIF($E176:S176,"¶")+COUNTIF($E176:S176,"²")+COUNTIF($E176:S176,"µ")+COUNTIF($E176:S176,1),ColDescriptionCourte)),""),
  "")),"")</f>
        <v/>
      </c>
      <c r="U176" s="40" t="str">
        <f ca="1">IFERROR(IF(AND(
  INDEX(Roadmap!$D:$K,MATCH($E176,Roadmap!$D:$D,0)+COUNTIF($E176:T176,"u")+COUNTIF($E176:T176,"t")+COUNTIF($E176:T176,"¶")+COUNTIF($E176:T176,"²")+COUNTIF($E176:T176,"µ")+COUNTIF($E176:T176,1),ColLivraison)=U$6,
  VLOOKUP($E176,INDIRECT("tri!"&amp; CHAR(64+ C0Col) &amp;":"&amp; CHAR(65+C0Col)),2,FALSE)&gt;COUNTIF($E176:T176,"u")+COUNTIF($E176:T176,"t")+COUNTIF($E176:T176,"¶")+COUNTIF($E176:T176,"²")+COUNTIF($E176:T176,"µ")+COUNTIF($E176:T176,1)),
HYPERLINK("#Roadmap!C"&amp; MATCH($E176,Roadmap!$D:$D,0)+COUNTIF($E176:T176,"u")+COUNTIF($E176:T176,"t"),
     INDEX(Roadmap!$D:$K,MATCH($E176,Roadmap!$D:$D,0)+COUNTIF($E176:T176,"u")+COUNTIF($E176:T176,"t")+COUNTIF($E176:T176,"¶")+COUNTIF($E176:T176,"²")+COUNTIF($E176:T176,"µ")+COUNTIF($E176:T176,1),ColTypeEcheance)),
  IF(LEN(T176)=1,
  IF(LEN(INDEX(Roadmap!$D:$K,MATCH($E176,Roadmap!$D:$D,0)-1+COUNTIF($E176:T176,"u")+COUNTIF($E176:T176,"t")+COUNTIF($E176:T176,"¶")+COUNTIF($E176:T176,"²")+COUNTIF($E176:T176,"µ")+COUNTIF($E176:T176,1),ColDescriptionCourte))&gt;1,
HYPERLINK("#Roadmap!C"&amp; MATCH($E176,Roadmap!$D:$D,0)+COUNTIF($E176:T176,"u")+COUNTIF($E176:T176,"t")+COUNTIF($E176:T176,"¶")+COUNTIF($E176:T176,"²")+COUNTIF($E176:T176,"µ")+COUNTIF($E176:T176,1)-1,INDEX(Roadmap!$D:$K,MATCH($E176,Roadmap!$D:$D,0)-1+COUNTIF($E176:T176,"u")+COUNTIF($E176:T176,"t")+COUNTIF($E176:T176,"¶")+COUNTIF($E176:T176,"²")+COUNTIF($E176:T176,"µ")+COUNTIF($E176:T176,1),ColDescriptionCourte)),""),
  "")),"")</f>
        <v/>
      </c>
      <c r="V176" s="40" t="str">
        <f ca="1">IFERROR(IF(AND(
  INDEX(Roadmap!$D:$K,MATCH($E176,Roadmap!$D:$D,0)+COUNTIF($E176:U176,"u")+COUNTIF($E176:U176,"t")+COUNTIF($E176:U176,"¶")+COUNTIF($E176:U176,"²")+COUNTIF($E176:U176,"µ")+COUNTIF($E176:U176,1),ColLivraison)=V$6,
  VLOOKUP($E176,INDIRECT("tri!"&amp; CHAR(64+ C0Col) &amp;":"&amp; CHAR(65+C0Col)),2,FALSE)&gt;COUNTIF($E176:U176,"u")+COUNTIF($E176:U176,"t")+COUNTIF($E176:U176,"¶")+COUNTIF($E176:U176,"²")+COUNTIF($E176:U176,"µ")+COUNTIF($E176:U176,1)),
HYPERLINK("#Roadmap!C"&amp; MATCH($E176,Roadmap!$D:$D,0)+COUNTIF($E176:U176,"u")+COUNTIF($E176:U176,"t"),
     INDEX(Roadmap!$D:$K,MATCH($E176,Roadmap!$D:$D,0)+COUNTIF($E176:U176,"u")+COUNTIF($E176:U176,"t")+COUNTIF($E176:U176,"¶")+COUNTIF($E176:U176,"²")+COUNTIF($E176:U176,"µ")+COUNTIF($E176:U176,1),ColTypeEcheance)),
  IF(LEN(U176)=1,
  IF(LEN(INDEX(Roadmap!$D:$K,MATCH($E176,Roadmap!$D:$D,0)-1+COUNTIF($E176:U176,"u")+COUNTIF($E176:U176,"t")+COUNTIF($E176:U176,"¶")+COUNTIF($E176:U176,"²")+COUNTIF($E176:U176,"µ")+COUNTIF($E176:U176,1),ColDescriptionCourte))&gt;1,
HYPERLINK("#Roadmap!C"&amp; MATCH($E176,Roadmap!$D:$D,0)+COUNTIF($E176:U176,"u")+COUNTIF($E176:U176,"t")+COUNTIF($E176:U176,"¶")+COUNTIF($E176:U176,"²")+COUNTIF($E176:U176,"µ")+COUNTIF($E176:U176,1)-1,INDEX(Roadmap!$D:$K,MATCH($E176,Roadmap!$D:$D,0)-1+COUNTIF($E176:U176,"u")+COUNTIF($E176:U176,"t")+COUNTIF($E176:U176,"¶")+COUNTIF($E176:U176,"²")+COUNTIF($E176:U176,"µ")+COUNTIF($E176:U176,1),ColDescriptionCourte)),""),
  "")),"")</f>
        <v/>
      </c>
      <c r="W176" s="40" t="str">
        <f ca="1">IFERROR(IF(AND(
  INDEX(Roadmap!$D:$K,MATCH($E176,Roadmap!$D:$D,0)+COUNTIF($E176:V176,"u")+COUNTIF($E176:V176,"t")+COUNTIF($E176:V176,"¶")+COUNTIF($E176:V176,"²")+COUNTIF($E176:V176,"µ")+COUNTIF($E176:V176,1),ColLivraison)=W$6,
  VLOOKUP($E176,INDIRECT("tri!"&amp; CHAR(64+ C0Col) &amp;":"&amp; CHAR(65+C0Col)),2,FALSE)&gt;COUNTIF($E176:V176,"u")+COUNTIF($E176:V176,"t")+COUNTIF($E176:V176,"¶")+COUNTIF($E176:V176,"²")+COUNTIF($E176:V176,"µ")+COUNTIF($E176:V176,1)),
HYPERLINK("#Roadmap!C"&amp; MATCH($E176,Roadmap!$D:$D,0)+COUNTIF($E176:V176,"u")+COUNTIF($E176:V176,"t"),
     INDEX(Roadmap!$D:$K,MATCH($E176,Roadmap!$D:$D,0)+COUNTIF($E176:V176,"u")+COUNTIF($E176:V176,"t")+COUNTIF($E176:V176,"¶")+COUNTIF($E176:V176,"²")+COUNTIF($E176:V176,"µ")+COUNTIF($E176:V176,1),ColTypeEcheance)),
  IF(LEN(V176)=1,
  IF(LEN(INDEX(Roadmap!$D:$K,MATCH($E176,Roadmap!$D:$D,0)-1+COUNTIF($E176:V176,"u")+COUNTIF($E176:V176,"t")+COUNTIF($E176:V176,"¶")+COUNTIF($E176:V176,"²")+COUNTIF($E176:V176,"µ")+COUNTIF($E176:V176,1),ColDescriptionCourte))&gt;1,
HYPERLINK("#Roadmap!C"&amp; MATCH($E176,Roadmap!$D:$D,0)+COUNTIF($E176:V176,"u")+COUNTIF($E176:V176,"t")+COUNTIF($E176:V176,"¶")+COUNTIF($E176:V176,"²")+COUNTIF($E176:V176,"µ")+COUNTIF($E176:V176,1)-1,INDEX(Roadmap!$D:$K,MATCH($E176,Roadmap!$D:$D,0)-1+COUNTIF($E176:V176,"u")+COUNTIF($E176:V176,"t")+COUNTIF($E176:V176,"¶")+COUNTIF($E176:V176,"²")+COUNTIF($E176:V176,"µ")+COUNTIF($E176:V176,1),ColDescriptionCourte)),""),
  "")),"")</f>
        <v/>
      </c>
      <c r="X176" s="40" t="str">
        <f ca="1">IFERROR(IF(AND(
  INDEX(Roadmap!$D:$K,MATCH($E176,Roadmap!$D:$D,0)+COUNTIF($E176:W176,"u")+COUNTIF($E176:W176,"t")+COUNTIF($E176:W176,"¶")+COUNTIF($E176:W176,"²")+COUNTIF($E176:W176,"µ")+COUNTIF($E176:W176,1),ColLivraison)=X$6,
  VLOOKUP($E176,INDIRECT("tri!"&amp; CHAR(64+ C0Col) &amp;":"&amp; CHAR(65+C0Col)),2,FALSE)&gt;COUNTIF($E176:W176,"u")+COUNTIF($E176:W176,"t")+COUNTIF($E176:W176,"¶")+COUNTIF($E176:W176,"²")+COUNTIF($E176:W176,"µ")+COUNTIF($E176:W176,1)),
HYPERLINK("#Roadmap!C"&amp; MATCH($E176,Roadmap!$D:$D,0)+COUNTIF($E176:W176,"u")+COUNTIF($E176:W176,"t"),
     INDEX(Roadmap!$D:$K,MATCH($E176,Roadmap!$D:$D,0)+COUNTIF($E176:W176,"u")+COUNTIF($E176:W176,"t")+COUNTIF($E176:W176,"¶")+COUNTIF($E176:W176,"²")+COUNTIF($E176:W176,"µ")+COUNTIF($E176:W176,1),ColTypeEcheance)),
  IF(LEN(W176)=1,
  IF(LEN(INDEX(Roadmap!$D:$K,MATCH($E176,Roadmap!$D:$D,0)-1+COUNTIF($E176:W176,"u")+COUNTIF($E176:W176,"t")+COUNTIF($E176:W176,"¶")+COUNTIF($E176:W176,"²")+COUNTIF($E176:W176,"µ")+COUNTIF($E176:W176,1),ColDescriptionCourte))&gt;1,
HYPERLINK("#Roadmap!C"&amp; MATCH($E176,Roadmap!$D:$D,0)+COUNTIF($E176:W176,"u")+COUNTIF($E176:W176,"t")+COUNTIF($E176:W176,"¶")+COUNTIF($E176:W176,"²")+COUNTIF($E176:W176,"µ")+COUNTIF($E176:W176,1)-1,INDEX(Roadmap!$D:$K,MATCH($E176,Roadmap!$D:$D,0)-1+COUNTIF($E176:W176,"u")+COUNTIF($E176:W176,"t")+COUNTIF($E176:W176,"¶")+COUNTIF($E176:W176,"²")+COUNTIF($E176:W176,"µ")+COUNTIF($E176:W176,1),ColDescriptionCourte)),""),
  "")),"")</f>
        <v/>
      </c>
      <c r="Y176" s="40" t="str">
        <f ca="1">IFERROR(IF(AND(
  INDEX(Roadmap!$D:$K,MATCH($E176,Roadmap!$D:$D,0)+COUNTIF($E176:X176,"u")+COUNTIF($E176:X176,"t")+COUNTIF($E176:X176,"¶")+COUNTIF($E176:X176,"²")+COUNTIF($E176:X176,"µ")+COUNTIF($E176:X176,1),ColLivraison)=Y$6,
  VLOOKUP($E176,INDIRECT("tri!"&amp; CHAR(64+ C0Col) &amp;":"&amp; CHAR(65+C0Col)),2,FALSE)&gt;COUNTIF($E176:X176,"u")+COUNTIF($E176:X176,"t")+COUNTIF($E176:X176,"¶")+COUNTIF($E176:X176,"²")+COUNTIF($E176:X176,"µ")+COUNTIF($E176:X176,1)),
HYPERLINK("#Roadmap!C"&amp; MATCH($E176,Roadmap!$D:$D,0)+COUNTIF($E176:X176,"u")+COUNTIF($E176:X176,"t"),
     INDEX(Roadmap!$D:$K,MATCH($E176,Roadmap!$D:$D,0)+COUNTIF($E176:X176,"u")+COUNTIF($E176:X176,"t")+COUNTIF($E176:X176,"¶")+COUNTIF($E176:X176,"²")+COUNTIF($E176:X176,"µ")+COUNTIF($E176:X176,1),ColTypeEcheance)),
  IF(LEN(X176)=1,
  IF(LEN(INDEX(Roadmap!$D:$K,MATCH($E176,Roadmap!$D:$D,0)-1+COUNTIF($E176:X176,"u")+COUNTIF($E176:X176,"t")+COUNTIF($E176:X176,"¶")+COUNTIF($E176:X176,"²")+COUNTIF($E176:X176,"µ")+COUNTIF($E176:X176,1),ColDescriptionCourte))&gt;1,
HYPERLINK("#Roadmap!C"&amp; MATCH($E176,Roadmap!$D:$D,0)+COUNTIF($E176:X176,"u")+COUNTIF($E176:X176,"t")+COUNTIF($E176:X176,"¶")+COUNTIF($E176:X176,"²")+COUNTIF($E176:X176,"µ")+COUNTIF($E176:X176,1)-1,INDEX(Roadmap!$D:$K,MATCH($E176,Roadmap!$D:$D,0)-1+COUNTIF($E176:X176,"u")+COUNTIF($E176:X176,"t")+COUNTIF($E176:X176,"¶")+COUNTIF($E176:X176,"²")+COUNTIF($E176:X176,"µ")+COUNTIF($E176:X176,1),ColDescriptionCourte)),""),
  "")),"")</f>
        <v/>
      </c>
      <c r="Z176" s="40" t="str">
        <f ca="1">IFERROR(IF(AND(
  INDEX(Roadmap!$D:$K,MATCH($E176,Roadmap!$D:$D,0)+COUNTIF($E176:Y176,"u")+COUNTIF($E176:Y176,"t")+COUNTIF($E176:Y176,"¶")+COUNTIF($E176:Y176,"²")+COUNTIF($E176:Y176,"µ")+COUNTIF($E176:Y176,1),ColLivraison)=Z$6,
  VLOOKUP($E176,INDIRECT("tri!"&amp; CHAR(64+ C0Col) &amp;":"&amp; CHAR(65+C0Col)),2,FALSE)&gt;COUNTIF($E176:Y176,"u")+COUNTIF($E176:Y176,"t")+COUNTIF($E176:Y176,"¶")+COUNTIF($E176:Y176,"²")+COUNTIF($E176:Y176,"µ")+COUNTIF($E176:Y176,1)),
HYPERLINK("#Roadmap!C"&amp; MATCH($E176,Roadmap!$D:$D,0)+COUNTIF($E176:Y176,"u")+COUNTIF($E176:Y176,"t"),
     INDEX(Roadmap!$D:$K,MATCH($E176,Roadmap!$D:$D,0)+COUNTIF($E176:Y176,"u")+COUNTIF($E176:Y176,"t")+COUNTIF($E176:Y176,"¶")+COUNTIF($E176:Y176,"²")+COUNTIF($E176:Y176,"µ")+COUNTIF($E176:Y176,1),ColTypeEcheance)),
  IF(LEN(Y176)=1,
  IF(LEN(INDEX(Roadmap!$D:$K,MATCH($E176,Roadmap!$D:$D,0)-1+COUNTIF($E176:Y176,"u")+COUNTIF($E176:Y176,"t")+COUNTIF($E176:Y176,"¶")+COUNTIF($E176:Y176,"²")+COUNTIF($E176:Y176,"µ")+COUNTIF($E176:Y176,1),ColDescriptionCourte))&gt;1,
HYPERLINK("#Roadmap!C"&amp; MATCH($E176,Roadmap!$D:$D,0)+COUNTIF($E176:Y176,"u")+COUNTIF($E176:Y176,"t")+COUNTIF($E176:Y176,"¶")+COUNTIF($E176:Y176,"²")+COUNTIF($E176:Y176,"µ")+COUNTIF($E176:Y176,1)-1,INDEX(Roadmap!$D:$K,MATCH($E176,Roadmap!$D:$D,0)-1+COUNTIF($E176:Y176,"u")+COUNTIF($E176:Y176,"t")+COUNTIF($E176:Y176,"¶")+COUNTIF($E176:Y176,"²")+COUNTIF($E176:Y176,"µ")+COUNTIF($E176:Y176,1),ColDescriptionCourte)),""),
  "")),"")</f>
        <v/>
      </c>
      <c r="AA176" s="40" t="str">
        <f ca="1">IFERROR(IF(AND(
  INDEX(Roadmap!$D:$K,MATCH($E176,Roadmap!$D:$D,0)+COUNTIF($E176:Z176,"u")+COUNTIF($E176:Z176,"t")+COUNTIF($E176:Z176,"¶")+COUNTIF($E176:Z176,"²")+COUNTIF($E176:Z176,"µ")+COUNTIF($E176:Z176,1),ColLivraison)=AA$6,
  VLOOKUP($E176,INDIRECT("tri!"&amp; CHAR(64+ C0Col) &amp;":"&amp; CHAR(65+C0Col)),2,FALSE)&gt;COUNTIF($E176:Z176,"u")+COUNTIF($E176:Z176,"t")+COUNTIF($E176:Z176,"¶")+COUNTIF($E176:Z176,"²")+COUNTIF($E176:Z176,"µ")+COUNTIF($E176:Z176,1)),
HYPERLINK("#Roadmap!C"&amp; MATCH($E176,Roadmap!$D:$D,0)+COUNTIF($E176:Z176,"u")+COUNTIF($E176:Z176,"t"),
     INDEX(Roadmap!$D:$K,MATCH($E176,Roadmap!$D:$D,0)+COUNTIF($E176:Z176,"u")+COUNTIF($E176:Z176,"t")+COUNTIF($E176:Z176,"¶")+COUNTIF($E176:Z176,"²")+COUNTIF($E176:Z176,"µ")+COUNTIF($E176:Z176,1),ColTypeEcheance)),
  IF(LEN(Z176)=1,
  IF(LEN(INDEX(Roadmap!$D:$K,MATCH($E176,Roadmap!$D:$D,0)-1+COUNTIF($E176:Z176,"u")+COUNTIF($E176:Z176,"t")+COUNTIF($E176:Z176,"¶")+COUNTIF($E176:Z176,"²")+COUNTIF($E176:Z176,"µ")+COUNTIF($E176:Z176,1),ColDescriptionCourte))&gt;1,
HYPERLINK("#Roadmap!C"&amp; MATCH($E176,Roadmap!$D:$D,0)+COUNTIF($E176:Z176,"u")+COUNTIF($E176:Z176,"t")+COUNTIF($E176:Z176,"¶")+COUNTIF($E176:Z176,"²")+COUNTIF($E176:Z176,"µ")+COUNTIF($E176:Z176,1)-1,INDEX(Roadmap!$D:$K,MATCH($E176,Roadmap!$D:$D,0)-1+COUNTIF($E176:Z176,"u")+COUNTIF($E176:Z176,"t")+COUNTIF($E176:Z176,"¶")+COUNTIF($E176:Z176,"²")+COUNTIF($E176:Z176,"µ")+COUNTIF($E176:Z176,1),ColDescriptionCourte)),""),
  "")),"")</f>
        <v/>
      </c>
      <c r="AB176" s="40" t="str">
        <f ca="1">IFERROR(IF(AND(
  INDEX(Roadmap!$D:$K,MATCH($E176,Roadmap!$D:$D,0)+COUNTIF($E176:AA176,"u")+COUNTIF($E176:AA176,"t")+COUNTIF($E176:AA176,"¶")+COUNTIF($E176:AA176,"²")+COUNTIF($E176:AA176,"µ")+COUNTIF($E176:AA176,1),ColLivraison)=AB$6,
  VLOOKUP($E176,INDIRECT("tri!"&amp; CHAR(64+ C0Col) &amp;":"&amp; CHAR(65+C0Col)),2,FALSE)&gt;COUNTIF($E176:AA176,"u")+COUNTIF($E176:AA176,"t")+COUNTIF($E176:AA176,"¶")+COUNTIF($E176:AA176,"²")+COUNTIF($E176:AA176,"µ")+COUNTIF($E176:AA176,1)),
HYPERLINK("#Roadmap!C"&amp; MATCH($E176,Roadmap!$D:$D,0)+COUNTIF($E176:AA176,"u")+COUNTIF($E176:AA176,"t"),
     INDEX(Roadmap!$D:$K,MATCH($E176,Roadmap!$D:$D,0)+COUNTIF($E176:AA176,"u")+COUNTIF($E176:AA176,"t")+COUNTIF($E176:AA176,"¶")+COUNTIF($E176:AA176,"²")+COUNTIF($E176:AA176,"µ")+COUNTIF($E176:AA176,1),ColTypeEcheance)),
  IF(LEN(AA176)=1,
  IF(LEN(INDEX(Roadmap!$D:$K,MATCH($E176,Roadmap!$D:$D,0)-1+COUNTIF($E176:AA176,"u")+COUNTIF($E176:AA176,"t")+COUNTIF($E176:AA176,"¶")+COUNTIF($E176:AA176,"²")+COUNTIF($E176:AA176,"µ")+COUNTIF($E176:AA176,1),ColDescriptionCourte))&gt;1,
HYPERLINK("#Roadmap!C"&amp; MATCH($E176,Roadmap!$D:$D,0)+COUNTIF($E176:AA176,"u")+COUNTIF($E176:AA176,"t")+COUNTIF($E176:AA176,"¶")+COUNTIF($E176:AA176,"²")+COUNTIF($E176:AA176,"µ")+COUNTIF($E176:AA176,1)-1,INDEX(Roadmap!$D:$K,MATCH($E176,Roadmap!$D:$D,0)-1+COUNTIF($E176:AA176,"u")+COUNTIF($E176:AA176,"t")+COUNTIF($E176:AA176,"¶")+COUNTIF($E176:AA176,"²")+COUNTIF($E176:AA176,"µ")+COUNTIF($E176:AA176,1),ColDescriptionCourte)),""),
  "")),"")</f>
        <v/>
      </c>
      <c r="AC176" s="40" t="str">
        <f ca="1">IFERROR(IF(AND(
  INDEX(Roadmap!$D:$K,MATCH($E176,Roadmap!$D:$D,0)+COUNTIF($E176:AB176,"u")+COUNTIF($E176:AB176,"t")+COUNTIF($E176:AB176,"¶")+COUNTIF($E176:AB176,"²")+COUNTIF($E176:AB176,"µ")+COUNTIF($E176:AB176,1),ColLivraison)=AC$6,
  VLOOKUP($E176,INDIRECT("tri!"&amp; CHAR(64+ C0Col) &amp;":"&amp; CHAR(65+C0Col)),2,FALSE)&gt;COUNTIF($E176:AB176,"u")+COUNTIF($E176:AB176,"t")+COUNTIF($E176:AB176,"¶")+COUNTIF($E176:AB176,"²")+COUNTIF($E176:AB176,"µ")+COUNTIF($E176:AB176,1)),
HYPERLINK("#Roadmap!C"&amp; MATCH($E176,Roadmap!$D:$D,0)+COUNTIF($E176:AB176,"u")+COUNTIF($E176:AB176,"t"),
     INDEX(Roadmap!$D:$K,MATCH($E176,Roadmap!$D:$D,0)+COUNTIF($E176:AB176,"u")+COUNTIF($E176:AB176,"t")+COUNTIF($E176:AB176,"¶")+COUNTIF($E176:AB176,"²")+COUNTIF($E176:AB176,"µ")+COUNTIF($E176:AB176,1),ColTypeEcheance)),
  IF(LEN(AB176)=1,
  IF(LEN(INDEX(Roadmap!$D:$K,MATCH($E176,Roadmap!$D:$D,0)-1+COUNTIF($E176:AB176,"u")+COUNTIF($E176:AB176,"t")+COUNTIF($E176:AB176,"¶")+COUNTIF($E176:AB176,"²")+COUNTIF($E176:AB176,"µ")+COUNTIF($E176:AB176,1),ColDescriptionCourte))&gt;1,
HYPERLINK("#Roadmap!C"&amp; MATCH($E176,Roadmap!$D:$D,0)+COUNTIF($E176:AB176,"u")+COUNTIF($E176:AB176,"t")+COUNTIF($E176:AB176,"¶")+COUNTIF($E176:AB176,"²")+COUNTIF($E176:AB176,"µ")+COUNTIF($E176:AB176,1)-1,INDEX(Roadmap!$D:$K,MATCH($E176,Roadmap!$D:$D,0)-1+COUNTIF($E176:AB176,"u")+COUNTIF($E176:AB176,"t")+COUNTIF($E176:AB176,"¶")+COUNTIF($E176:AB176,"²")+COUNTIF($E176:AB176,"µ")+COUNTIF($E176:AB176,1),ColDescriptionCourte)),""),
  "")),"")</f>
        <v/>
      </c>
      <c r="AD176" s="40" t="str">
        <f ca="1">IFERROR(IF(AND(
  INDEX(Roadmap!$D:$K,MATCH($E176,Roadmap!$D:$D,0)+COUNTIF($E176:AC176,"u")+COUNTIF($E176:AC176,"t")+COUNTIF($E176:AC176,"¶")+COUNTIF($E176:AC176,"²")+COUNTIF($E176:AC176,"µ")+COUNTIF($E176:AC176,1),ColLivraison)=AD$6,
  VLOOKUP($E176,INDIRECT("tri!"&amp; CHAR(64+ C0Col) &amp;":"&amp; CHAR(65+C0Col)),2,FALSE)&gt;COUNTIF($E176:AC176,"u")+COUNTIF($E176:AC176,"t")+COUNTIF($E176:AC176,"¶")+COUNTIF($E176:AC176,"²")+COUNTIF($E176:AC176,"µ")+COUNTIF($E176:AC176,1)),
HYPERLINK("#Roadmap!C"&amp; MATCH($E176,Roadmap!$D:$D,0)+COUNTIF($E176:AC176,"u")+COUNTIF($E176:AC176,"t"),
     INDEX(Roadmap!$D:$K,MATCH($E176,Roadmap!$D:$D,0)+COUNTIF($E176:AC176,"u")+COUNTIF($E176:AC176,"t")+COUNTIF($E176:AC176,"¶")+COUNTIF($E176:AC176,"²")+COUNTIF($E176:AC176,"µ")+COUNTIF($E176:AC176,1),ColTypeEcheance)),
  IF(LEN(AC176)=1,
  IF(LEN(INDEX(Roadmap!$D:$K,MATCH($E176,Roadmap!$D:$D,0)-1+COUNTIF($E176:AC176,"u")+COUNTIF($E176:AC176,"t")+COUNTIF($E176:AC176,"¶")+COUNTIF($E176:AC176,"²")+COUNTIF($E176:AC176,"µ")+COUNTIF($E176:AC176,1),ColDescriptionCourte))&gt;1,
HYPERLINK("#Roadmap!C"&amp; MATCH($E176,Roadmap!$D:$D,0)+COUNTIF($E176:AC176,"u")+COUNTIF($E176:AC176,"t")+COUNTIF($E176:AC176,"¶")+COUNTIF($E176:AC176,"²")+COUNTIF($E176:AC176,"µ")+COUNTIF($E176:AC176,1)-1,INDEX(Roadmap!$D:$K,MATCH($E176,Roadmap!$D:$D,0)-1+COUNTIF($E176:AC176,"u")+COUNTIF($E176:AC176,"t")+COUNTIF($E176:AC176,"¶")+COUNTIF($E176:AC176,"²")+COUNTIF($E176:AC176,"µ")+COUNTIF($E176:AC176,1),ColDescriptionCourte)),""),
  "")),"")</f>
        <v/>
      </c>
      <c r="AE176" s="40" t="str">
        <f ca="1">IFERROR(IF(AND(
  INDEX(Roadmap!$D:$K,MATCH($E176,Roadmap!$D:$D,0)+COUNTIF($E176:AD176,"u")+COUNTIF($E176:AD176,"t")+COUNTIF($E176:AD176,"¶")+COUNTIF($E176:AD176,"²")+COUNTIF($E176:AD176,"µ")+COUNTIF($E176:AD176,1),ColLivraison)=AE$6,
  VLOOKUP($E176,INDIRECT("tri!"&amp; CHAR(64+ C0Col) &amp;":"&amp; CHAR(65+C0Col)),2,FALSE)&gt;COUNTIF($E176:AD176,"u")+COUNTIF($E176:AD176,"t")+COUNTIF($E176:AD176,"¶")+COUNTIF($E176:AD176,"²")+COUNTIF($E176:AD176,"µ")+COUNTIF($E176:AD176,1)),
HYPERLINK("#Roadmap!C"&amp; MATCH($E176,Roadmap!$D:$D,0)+COUNTIF($E176:AD176,"u")+COUNTIF($E176:AD176,"t"),
     INDEX(Roadmap!$D:$K,MATCH($E176,Roadmap!$D:$D,0)+COUNTIF($E176:AD176,"u")+COUNTIF($E176:AD176,"t")+COUNTIF($E176:AD176,"¶")+COUNTIF($E176:AD176,"²")+COUNTIF($E176:AD176,"µ")+COUNTIF($E176:AD176,1),ColTypeEcheance)),
  IF(LEN(AD176)=1,
  IF(LEN(INDEX(Roadmap!$D:$K,MATCH($E176,Roadmap!$D:$D,0)-1+COUNTIF($E176:AD176,"u")+COUNTIF($E176:AD176,"t")+COUNTIF($E176:AD176,"¶")+COUNTIF($E176:AD176,"²")+COUNTIF($E176:AD176,"µ")+COUNTIF($E176:AD176,1),ColDescriptionCourte))&gt;1,
HYPERLINK("#Roadmap!C"&amp; MATCH($E176,Roadmap!$D:$D,0)+COUNTIF($E176:AD176,"u")+COUNTIF($E176:AD176,"t")+COUNTIF($E176:AD176,"¶")+COUNTIF($E176:AD176,"²")+COUNTIF($E176:AD176,"µ")+COUNTIF($E176:AD176,1)-1,INDEX(Roadmap!$D:$K,MATCH($E176,Roadmap!$D:$D,0)-1+COUNTIF($E176:AD176,"u")+COUNTIF($E176:AD176,"t")+COUNTIF($E176:AD176,"¶")+COUNTIF($E176:AD176,"²")+COUNTIF($E176:AD176,"µ")+COUNTIF($E176:AD176,1),ColDescriptionCourte)),""),
  "")),"")</f>
        <v/>
      </c>
      <c r="AF176" s="40" t="str">
        <f ca="1">IFERROR(IF(AND(
  INDEX(Roadmap!$D:$K,MATCH($E176,Roadmap!$D:$D,0)+COUNTIF($E176:AE176,"u")+COUNTIF($E176:AE176,"t")+COUNTIF($E176:AE176,"¶")+COUNTIF($E176:AE176,"²")+COUNTIF($E176:AE176,"µ")+COUNTIF($E176:AE176,1),ColLivraison)=AF$6,
  VLOOKUP($E176,INDIRECT("tri!"&amp; CHAR(64+ C0Col) &amp;":"&amp; CHAR(65+C0Col)),2,FALSE)&gt;COUNTIF($E176:AE176,"u")+COUNTIF($E176:AE176,"t")+COUNTIF($E176:AE176,"¶")+COUNTIF($E176:AE176,"²")+COUNTIF($E176:AE176,"µ")+COUNTIF($E176:AE176,1)),
HYPERLINK("#Roadmap!C"&amp; MATCH($E176,Roadmap!$D:$D,0)+COUNTIF($E176:AE176,"u")+COUNTIF($E176:AE176,"t"),
     INDEX(Roadmap!$D:$K,MATCH($E176,Roadmap!$D:$D,0)+COUNTIF($E176:AE176,"u")+COUNTIF($E176:AE176,"t")+COUNTIF($E176:AE176,"¶")+COUNTIF($E176:AE176,"²")+COUNTIF($E176:AE176,"µ")+COUNTIF($E176:AE176,1),ColTypeEcheance)),
  IF(LEN(AE176)=1,
  IF(LEN(INDEX(Roadmap!$D:$K,MATCH($E176,Roadmap!$D:$D,0)-1+COUNTIF($E176:AE176,"u")+COUNTIF($E176:AE176,"t")+COUNTIF($E176:AE176,"¶")+COUNTIF($E176:AE176,"²")+COUNTIF($E176:AE176,"µ")+COUNTIF($E176:AE176,1),ColDescriptionCourte))&gt;1,
HYPERLINK("#Roadmap!C"&amp; MATCH($E176,Roadmap!$D:$D,0)+COUNTIF($E176:AE176,"u")+COUNTIF($E176:AE176,"t")+COUNTIF($E176:AE176,"¶")+COUNTIF($E176:AE176,"²")+COUNTIF($E176:AE176,"µ")+COUNTIF($E176:AE176,1)-1,INDEX(Roadmap!$D:$K,MATCH($E176,Roadmap!$D:$D,0)-1+COUNTIF($E176:AE176,"u")+COUNTIF($E176:AE176,"t")+COUNTIF($E176:AE176,"¶")+COUNTIF($E176:AE176,"²")+COUNTIF($E176:AE176,"µ")+COUNTIF($E176:AE176,1),ColDescriptionCourte)),""),
  "")),"")</f>
        <v/>
      </c>
      <c r="AG176" s="40" t="str">
        <f ca="1">IFERROR(IF(AND(
  INDEX(Roadmap!$D:$K,MATCH($E176,Roadmap!$D:$D,0)+COUNTIF($E176:AF176,"u")+COUNTIF($E176:AF176,"t")+COUNTIF($E176:AF176,"¶")+COUNTIF($E176:AF176,"²")+COUNTIF($E176:AF176,"µ")+COUNTIF($E176:AF176,1),ColLivraison)=AG$6,
  VLOOKUP($E176,INDIRECT("tri!"&amp; CHAR(64+ C0Col) &amp;":"&amp; CHAR(65+C0Col)),2,FALSE)&gt;COUNTIF($E176:AF176,"u")+COUNTIF($E176:AF176,"t")+COUNTIF($E176:AF176,"¶")+COUNTIF($E176:AF176,"²")+COUNTIF($E176:AF176,"µ")+COUNTIF($E176:AF176,1)),
HYPERLINK("#Roadmap!C"&amp; MATCH($E176,Roadmap!$D:$D,0)+COUNTIF($E176:AF176,"u")+COUNTIF($E176:AF176,"t"),
     INDEX(Roadmap!$D:$K,MATCH($E176,Roadmap!$D:$D,0)+COUNTIF($E176:AF176,"u")+COUNTIF($E176:AF176,"t")+COUNTIF($E176:AF176,"¶")+COUNTIF($E176:AF176,"²")+COUNTIF($E176:AF176,"µ")+COUNTIF($E176:AF176,1),ColTypeEcheance)),
  IF(LEN(AF176)=1,
  IF(LEN(INDEX(Roadmap!$D:$K,MATCH($E176,Roadmap!$D:$D,0)-1+COUNTIF($E176:AF176,"u")+COUNTIF($E176:AF176,"t")+COUNTIF($E176:AF176,"¶")+COUNTIF($E176:AF176,"²")+COUNTIF($E176:AF176,"µ")+COUNTIF($E176:AF176,1),ColDescriptionCourte))&gt;1,
HYPERLINK("#Roadmap!C"&amp; MATCH($E176,Roadmap!$D:$D,0)+COUNTIF($E176:AF176,"u")+COUNTIF($E176:AF176,"t")+COUNTIF($E176:AF176,"¶")+COUNTIF($E176:AF176,"²")+COUNTIF($E176:AF176,"µ")+COUNTIF($E176:AF176,1)-1,INDEX(Roadmap!$D:$K,MATCH($E176,Roadmap!$D:$D,0)-1+COUNTIF($E176:AF176,"u")+COUNTIF($E176:AF176,"t")+COUNTIF($E176:AF176,"¶")+COUNTIF($E176:AF176,"²")+COUNTIF($E176:AF176,"µ")+COUNTIF($E176:AF176,1),ColDescriptionCourte)),""),
  "")),"")</f>
        <v/>
      </c>
    </row>
    <row r="177" spans="3:33" ht="14.25" customHeight="1">
      <c r="C177" s="1" t="str">
        <f t="shared" ca="1" si="54"/>
        <v/>
      </c>
      <c r="D177" s="1" t="str">
        <f t="shared" ca="1" si="55"/>
        <v/>
      </c>
      <c r="E177" s="35" t="str">
        <f t="shared" ca="1" si="51"/>
        <v/>
      </c>
      <c r="F177" s="39" t="str">
        <f ca="1">IFERROR(IF(AND(
  INDEX(Roadmap!$D:$K,MATCH($E177,Roadmap!$D:$D,0)+COUNTIF($E177:E177,"u")+COUNTIF($E177:E177,"t")+COUNTIF($E177:E177,"¶")+COUNTIF($E177:E177,"²")+COUNTIF($E177:E177,"µ")+COUNTIF($E177:E177,1),ColLivraison)=F$6,
  VLOOKUP($E177,INDIRECT("tri!"&amp; CHAR(64+ C0Col) &amp;":"&amp; CHAR(65+C0Col)),2,FALSE)&gt;COUNTIF($E177:E177,"u")+COUNTIF($E177:E177,"t")+COUNTIF($E177:E177,"¶")+COUNTIF($E177:E177,"²")+COUNTIF($E177:E177,"µ")+COUNTIF($E177:E177,1)),
HYPERLINK("#Roadmap!C"&amp; MATCH($E177,Roadmap!$D:$D,0)+COUNTIF($E177:E177,"u")+COUNTIF($E177:E177,"t"),
     INDEX(Roadmap!$D:$K,MATCH($E177,Roadmap!$D:$D,0)+COUNTIF($E177:E177,"u")+COUNTIF($E177:E177,"t")+COUNTIF($E177:E177,"¶")+COUNTIF($E177:E177,"²")+COUNTIF($E177:E177,"µ")+COUNTIF($E177:E177,1),ColTypeEcheance)),
  IF(LEN(E177)=1,
  IF(LEN(INDEX(Roadmap!$D:$K,MATCH($E177,Roadmap!$D:$D,0)-1+COUNTIF($E177:E177,"u")+COUNTIF($E177:E177,"t")+COUNTIF($E177:E177,"¶")+COUNTIF($E177:E177,"²")+COUNTIF($E177:E177,"µ")+COUNTIF($E177:E177,1),ColDescriptionCourte))&gt;1,
HYPERLINK("#Roadmap!C"&amp; MATCH($E177,Roadmap!$D:$D,0)+COUNTIF($E177:E177,"u")+COUNTIF($E177:E177,"t")+COUNTIF($E177:E177,"¶")+COUNTIF($E177:E177,"²")+COUNTIF($E177:E177,"µ")+COUNTIF($E177:E177,1)-1,INDEX(Roadmap!$D:$K,MATCH($E177,Roadmap!$D:$D,0)-1+COUNTIF($E177:E177,"u")+COUNTIF($E177:E177,"t")+COUNTIF($E177:E177,"¶")+COUNTIF($E177:E177,"²")+COUNTIF($E177:E177,"µ")+COUNTIF($E177:E177,1),ColDescriptionCourte)),""),
  "")),"")</f>
        <v/>
      </c>
      <c r="G177" s="40" t="str">
        <f ca="1">IFERROR(IF(AND(
  INDEX(Roadmap!$D:$K,MATCH($E177,Roadmap!$D:$D,0)+COUNTIF($E177:F177,"u")+COUNTIF($E177:F177,"t")+COUNTIF($E177:F177,"¶")+COUNTIF($E177:F177,"²")+COUNTIF($E177:F177,"µ")+COUNTIF($E177:F177,1),ColLivraison)=G$6,
  VLOOKUP($E177,INDIRECT("tri!"&amp; CHAR(64+ C0Col) &amp;":"&amp; CHAR(65+C0Col)),2,FALSE)&gt;COUNTIF($E177:F177,"u")+COUNTIF($E177:F177,"t")+COUNTIF($E177:F177,"¶")+COUNTIF($E177:F177,"²")+COUNTIF($E177:F177,"µ")+COUNTIF($E177:F177,1)),
HYPERLINK("#Roadmap!C"&amp; MATCH($E177,Roadmap!$D:$D,0)+COUNTIF($E177:F177,"u")+COUNTIF($E177:F177,"t"),
     INDEX(Roadmap!$D:$K,MATCH($E177,Roadmap!$D:$D,0)+COUNTIF($E177:F177,"u")+COUNTIF($E177:F177,"t")+COUNTIF($E177:F177,"¶")+COUNTIF($E177:F177,"²")+COUNTIF($E177:F177,"µ")+COUNTIF($E177:F177,1),ColTypeEcheance)),
  IF(LEN(F177)=1,
  IF(LEN(INDEX(Roadmap!$D:$K,MATCH($E177,Roadmap!$D:$D,0)-1+COUNTIF($E177:F177,"u")+COUNTIF($E177:F177,"t")+COUNTIF($E177:F177,"¶")+COUNTIF($E177:F177,"²")+COUNTIF($E177:F177,"µ")+COUNTIF($E177:F177,1),ColDescriptionCourte))&gt;1,
HYPERLINK("#Roadmap!C"&amp; MATCH($E177,Roadmap!$D:$D,0)+COUNTIF($E177:F177,"u")+COUNTIF($E177:F177,"t")+COUNTIF($E177:F177,"¶")+COUNTIF($E177:F177,"²")+COUNTIF($E177:F177,"µ")+COUNTIF($E177:F177,1)-1,INDEX(Roadmap!$D:$K,MATCH($E177,Roadmap!$D:$D,0)-1+COUNTIF($E177:F177,"u")+COUNTIF($E177:F177,"t")+COUNTIF($E177:F177,"¶")+COUNTIF($E177:F177,"²")+COUNTIF($E177:F177,"µ")+COUNTIF($E177:F177,1),ColDescriptionCourte)),""),
  "")),"")</f>
        <v/>
      </c>
      <c r="H177" s="40" t="str">
        <f ca="1">IFERROR(IF(AND(
  INDEX(Roadmap!$D:$K,MATCH($E177,Roadmap!$D:$D,0)+COUNTIF($E177:G177,"u")+COUNTIF($E177:G177,"t")+COUNTIF($E177:G177,"¶")+COUNTIF($E177:G177,"²")+COUNTIF($E177:G177,"µ")+COUNTIF($E177:G177,1),ColLivraison)=H$6,
  VLOOKUP($E177,INDIRECT("tri!"&amp; CHAR(64+ C0Col) &amp;":"&amp; CHAR(65+C0Col)),2,FALSE)&gt;COUNTIF($E177:G177,"u")+COUNTIF($E177:G177,"t")+COUNTIF($E177:G177,"¶")+COUNTIF($E177:G177,"²")+COUNTIF($E177:G177,"µ")+COUNTIF($E177:G177,1)),
HYPERLINK("#Roadmap!C"&amp; MATCH($E177,Roadmap!$D:$D,0)+COUNTIF($E177:G177,"u")+COUNTIF($E177:G177,"t"),
     INDEX(Roadmap!$D:$K,MATCH($E177,Roadmap!$D:$D,0)+COUNTIF($E177:G177,"u")+COUNTIF($E177:G177,"t")+COUNTIF($E177:G177,"¶")+COUNTIF($E177:G177,"²")+COUNTIF($E177:G177,"µ")+COUNTIF($E177:G177,1),ColTypeEcheance)),
  IF(LEN(G177)=1,
  IF(LEN(INDEX(Roadmap!$D:$K,MATCH($E177,Roadmap!$D:$D,0)-1+COUNTIF($E177:G177,"u")+COUNTIF($E177:G177,"t")+COUNTIF($E177:G177,"¶")+COUNTIF($E177:G177,"²")+COUNTIF($E177:G177,"µ")+COUNTIF($E177:G177,1),ColDescriptionCourte))&gt;1,
HYPERLINK("#Roadmap!C"&amp; MATCH($E177,Roadmap!$D:$D,0)+COUNTIF($E177:G177,"u")+COUNTIF($E177:G177,"t")+COUNTIF($E177:G177,"¶")+COUNTIF($E177:G177,"²")+COUNTIF($E177:G177,"µ")+COUNTIF($E177:G177,1)-1,INDEX(Roadmap!$D:$K,MATCH($E177,Roadmap!$D:$D,0)-1+COUNTIF($E177:G177,"u")+COUNTIF($E177:G177,"t")+COUNTIF($E177:G177,"¶")+COUNTIF($E177:G177,"²")+COUNTIF($E177:G177,"µ")+COUNTIF($E177:G177,1),ColDescriptionCourte)),""),
  "")),"")</f>
        <v/>
      </c>
      <c r="I177" s="40" t="str">
        <f ca="1">IFERROR(IF(AND(
  INDEX(Roadmap!$D:$K,MATCH($E177,Roadmap!$D:$D,0)+COUNTIF($E177:H177,"u")+COUNTIF($E177:H177,"t")+COUNTIF($E177:H177,"¶")+COUNTIF($E177:H177,"²")+COUNTIF($E177:H177,"µ")+COUNTIF($E177:H177,1),ColLivraison)=I$6,
  VLOOKUP($E177,INDIRECT("tri!"&amp; CHAR(64+ C0Col) &amp;":"&amp; CHAR(65+C0Col)),2,FALSE)&gt;COUNTIF($E177:H177,"u")+COUNTIF($E177:H177,"t")+COUNTIF($E177:H177,"¶")+COUNTIF($E177:H177,"²")+COUNTIF($E177:H177,"µ")+COUNTIF($E177:H177,1)),
HYPERLINK("#Roadmap!C"&amp; MATCH($E177,Roadmap!$D:$D,0)+COUNTIF($E177:H177,"u")+COUNTIF($E177:H177,"t"),
     INDEX(Roadmap!$D:$K,MATCH($E177,Roadmap!$D:$D,0)+COUNTIF($E177:H177,"u")+COUNTIF($E177:H177,"t")+COUNTIF($E177:H177,"¶")+COUNTIF($E177:H177,"²")+COUNTIF($E177:H177,"µ")+COUNTIF($E177:H177,1),ColTypeEcheance)),
  IF(LEN(H177)=1,
  IF(LEN(INDEX(Roadmap!$D:$K,MATCH($E177,Roadmap!$D:$D,0)-1+COUNTIF($E177:H177,"u")+COUNTIF($E177:H177,"t")+COUNTIF($E177:H177,"¶")+COUNTIF($E177:H177,"²")+COUNTIF($E177:H177,"µ")+COUNTIF($E177:H177,1),ColDescriptionCourte))&gt;1,
HYPERLINK("#Roadmap!C"&amp; MATCH($E177,Roadmap!$D:$D,0)+COUNTIF($E177:H177,"u")+COUNTIF($E177:H177,"t")+COUNTIF($E177:H177,"¶")+COUNTIF($E177:H177,"²")+COUNTIF($E177:H177,"µ")+COUNTIF($E177:H177,1)-1,INDEX(Roadmap!$D:$K,MATCH($E177,Roadmap!$D:$D,0)-1+COUNTIF($E177:H177,"u")+COUNTIF($E177:H177,"t")+COUNTIF($E177:H177,"¶")+COUNTIF($E177:H177,"²")+COUNTIF($E177:H177,"µ")+COUNTIF($E177:H177,1),ColDescriptionCourte)),""),
  "")),"")</f>
        <v/>
      </c>
      <c r="J177" s="40" t="str">
        <f ca="1">IFERROR(IF(AND(
  INDEX(Roadmap!$D:$K,MATCH($E177,Roadmap!$D:$D,0)+COUNTIF($E177:I177,"u")+COUNTIF($E177:I177,"t")+COUNTIF($E177:I177,"¶")+COUNTIF($E177:I177,"²")+COUNTIF($E177:I177,"µ")+COUNTIF($E177:I177,1),ColLivraison)=J$6,
  VLOOKUP($E177,INDIRECT("tri!"&amp; CHAR(64+ C0Col) &amp;":"&amp; CHAR(65+C0Col)),2,FALSE)&gt;COUNTIF($E177:I177,"u")+COUNTIF($E177:I177,"t")+COUNTIF($E177:I177,"¶")+COUNTIF($E177:I177,"²")+COUNTIF($E177:I177,"µ")+COUNTIF($E177:I177,1)),
HYPERLINK("#Roadmap!C"&amp; MATCH($E177,Roadmap!$D:$D,0)+COUNTIF($E177:I177,"u")+COUNTIF($E177:I177,"t"),
     INDEX(Roadmap!$D:$K,MATCH($E177,Roadmap!$D:$D,0)+COUNTIF($E177:I177,"u")+COUNTIF($E177:I177,"t")+COUNTIF($E177:I177,"¶")+COUNTIF($E177:I177,"²")+COUNTIF($E177:I177,"µ")+COUNTIF($E177:I177,1),ColTypeEcheance)),
  IF(LEN(I177)=1,
  IF(LEN(INDEX(Roadmap!$D:$K,MATCH($E177,Roadmap!$D:$D,0)-1+COUNTIF($E177:I177,"u")+COUNTIF($E177:I177,"t")+COUNTIF($E177:I177,"¶")+COUNTIF($E177:I177,"²")+COUNTIF($E177:I177,"µ")+COUNTIF($E177:I177,1),ColDescriptionCourte))&gt;1,
HYPERLINK("#Roadmap!C"&amp; MATCH($E177,Roadmap!$D:$D,0)+COUNTIF($E177:I177,"u")+COUNTIF($E177:I177,"t")+COUNTIF($E177:I177,"¶")+COUNTIF($E177:I177,"²")+COUNTIF($E177:I177,"µ")+COUNTIF($E177:I177,1)-1,INDEX(Roadmap!$D:$K,MATCH($E177,Roadmap!$D:$D,0)-1+COUNTIF($E177:I177,"u")+COUNTIF($E177:I177,"t")+COUNTIF($E177:I177,"¶")+COUNTIF($E177:I177,"²")+COUNTIF($E177:I177,"µ")+COUNTIF($E177:I177,1),ColDescriptionCourte)),""),
  "")),"")</f>
        <v/>
      </c>
      <c r="K177" s="40" t="str">
        <f ca="1">IFERROR(IF(AND(
  INDEX(Roadmap!$D:$K,MATCH($E177,Roadmap!$D:$D,0)+COUNTIF($E177:J177,"u")+COUNTIF($E177:J177,"t")+COUNTIF($E177:J177,"¶")+COUNTIF($E177:J177,"²")+COUNTIF($E177:J177,"µ")+COUNTIF($E177:J177,1),ColLivraison)=K$6,
  VLOOKUP($E177,INDIRECT("tri!"&amp; CHAR(64+ C0Col) &amp;":"&amp; CHAR(65+C0Col)),2,FALSE)&gt;COUNTIF($E177:J177,"u")+COUNTIF($E177:J177,"t")+COUNTIF($E177:J177,"¶")+COUNTIF($E177:J177,"²")+COUNTIF($E177:J177,"µ")+COUNTIF($E177:J177,1)),
HYPERLINK("#Roadmap!C"&amp; MATCH($E177,Roadmap!$D:$D,0)+COUNTIF($E177:J177,"u")+COUNTIF($E177:J177,"t"),
     INDEX(Roadmap!$D:$K,MATCH($E177,Roadmap!$D:$D,0)+COUNTIF($E177:J177,"u")+COUNTIF($E177:J177,"t")+COUNTIF($E177:J177,"¶")+COUNTIF($E177:J177,"²")+COUNTIF($E177:J177,"µ")+COUNTIF($E177:J177,1),ColTypeEcheance)),
  IF(LEN(J177)=1,
  IF(LEN(INDEX(Roadmap!$D:$K,MATCH($E177,Roadmap!$D:$D,0)-1+COUNTIF($E177:J177,"u")+COUNTIF($E177:J177,"t")+COUNTIF($E177:J177,"¶")+COUNTIF($E177:J177,"²")+COUNTIF($E177:J177,"µ")+COUNTIF($E177:J177,1),ColDescriptionCourte))&gt;1,
HYPERLINK("#Roadmap!C"&amp; MATCH($E177,Roadmap!$D:$D,0)+COUNTIF($E177:J177,"u")+COUNTIF($E177:J177,"t")+COUNTIF($E177:J177,"¶")+COUNTIF($E177:J177,"²")+COUNTIF($E177:J177,"µ")+COUNTIF($E177:J177,1)-1,INDEX(Roadmap!$D:$K,MATCH($E177,Roadmap!$D:$D,0)-1+COUNTIF($E177:J177,"u")+COUNTIF($E177:J177,"t")+COUNTIF($E177:J177,"¶")+COUNTIF($E177:J177,"²")+COUNTIF($E177:J177,"µ")+COUNTIF($E177:J177,1),ColDescriptionCourte)),""),
  "")),"")</f>
        <v/>
      </c>
      <c r="L177" s="39" t="str">
        <f ca="1">IFERROR(IF(AND(
  INDEX(Roadmap!$D:$K,MATCH($E177,Roadmap!$D:$D,0)+COUNTIF($E177:K177,"u")+COUNTIF($E177:K177,"t")+COUNTIF($E177:K177,"¶")+COUNTIF($E177:K177,"²")+COUNTIF($E177:K177,"µ")+COUNTIF($E177:K177,1),ColLivraison)=L$6,
  VLOOKUP($E177,INDIRECT("tri!"&amp; CHAR(64+ C0Col) &amp;":"&amp; CHAR(65+C0Col)),2,FALSE)&gt;COUNTIF($E177:K177,"u")+COUNTIF($E177:K177,"t")+COUNTIF($E177:K177,"¶")+COUNTIF($E177:K177,"²")+COUNTIF($E177:K177,"µ")+COUNTIF($E177:K177,1)),
HYPERLINK("#Roadmap!C"&amp; MATCH($E177,Roadmap!$D:$D,0)+COUNTIF($E177:K177,"u")+COUNTIF($E177:K177,"t"),
     INDEX(Roadmap!$D:$K,MATCH($E177,Roadmap!$D:$D,0)+COUNTIF($E177:K177,"u")+COUNTIF($E177:K177,"t")+COUNTIF($E177:K177,"¶")+COUNTIF($E177:K177,"²")+COUNTIF($E177:K177,"µ")+COUNTIF($E177:K177,1),ColTypeEcheance)),
  IF(LEN(K177)=1,
  IF(LEN(INDEX(Roadmap!$D:$K,MATCH($E177,Roadmap!$D:$D,0)-1+COUNTIF($E177:K177,"u")+COUNTIF($E177:K177,"t")+COUNTIF($E177:K177,"¶")+COUNTIF($E177:K177,"²")+COUNTIF($E177:K177,"µ")+COUNTIF($E177:K177,1),ColDescriptionCourte))&gt;1,
HYPERLINK("#Roadmap!C"&amp; MATCH($E177,Roadmap!$D:$D,0)+COUNTIF($E177:K177,"u")+COUNTIF($E177:K177,"t")+COUNTIF($E177:K177,"¶")+COUNTIF($E177:K177,"²")+COUNTIF($E177:K177,"µ")+COUNTIF($E177:K177,1)-1,INDEX(Roadmap!$D:$K,MATCH($E177,Roadmap!$D:$D,0)-1+COUNTIF($E177:K177,"u")+COUNTIF($E177:K177,"t")+COUNTIF($E177:K177,"¶")+COUNTIF($E177:K177,"²")+COUNTIF($E177:K177,"µ")+COUNTIF($E177:K177,1),ColDescriptionCourte)),""),
  "")),"")</f>
        <v/>
      </c>
      <c r="M177" s="40" t="str">
        <f ca="1">IFERROR(IF(AND(
  INDEX(Roadmap!$D:$K,MATCH($E177,Roadmap!$D:$D,0)+COUNTIF($E177:L177,"u")+COUNTIF($E177:L177,"t")+COUNTIF($E177:L177,"¶")+COUNTIF($E177:L177,"²")+COUNTIF($E177:L177,"µ")+COUNTIF($E177:L177,1),ColLivraison)=M$6,
  VLOOKUP($E177,INDIRECT("tri!"&amp; CHAR(64+ C0Col) &amp;":"&amp; CHAR(65+C0Col)),2,FALSE)&gt;COUNTIF($E177:L177,"u")+COUNTIF($E177:L177,"t")+COUNTIF($E177:L177,"¶")+COUNTIF($E177:L177,"²")+COUNTIF($E177:L177,"µ")+COUNTIF($E177:L177,1)),
HYPERLINK("#Roadmap!C"&amp; MATCH($E177,Roadmap!$D:$D,0)+COUNTIF($E177:L177,"u")+COUNTIF($E177:L177,"t"),
     INDEX(Roadmap!$D:$K,MATCH($E177,Roadmap!$D:$D,0)+COUNTIF($E177:L177,"u")+COUNTIF($E177:L177,"t")+COUNTIF($E177:L177,"¶")+COUNTIF($E177:L177,"²")+COUNTIF($E177:L177,"µ")+COUNTIF($E177:L177,1),ColTypeEcheance)),
  IF(LEN(L177)=1,
  IF(LEN(INDEX(Roadmap!$D:$K,MATCH($E177,Roadmap!$D:$D,0)-1+COUNTIF($E177:L177,"u")+COUNTIF($E177:L177,"t")+COUNTIF($E177:L177,"¶")+COUNTIF($E177:L177,"²")+COUNTIF($E177:L177,"µ")+COUNTIF($E177:L177,1),ColDescriptionCourte))&gt;1,
HYPERLINK("#Roadmap!C"&amp; MATCH($E177,Roadmap!$D:$D,0)+COUNTIF($E177:L177,"u")+COUNTIF($E177:L177,"t")+COUNTIF($E177:L177,"¶")+COUNTIF($E177:L177,"²")+COUNTIF($E177:L177,"µ")+COUNTIF($E177:L177,1)-1,INDEX(Roadmap!$D:$K,MATCH($E177,Roadmap!$D:$D,0)-1+COUNTIF($E177:L177,"u")+COUNTIF($E177:L177,"t")+COUNTIF($E177:L177,"¶")+COUNTIF($E177:L177,"²")+COUNTIF($E177:L177,"µ")+COUNTIF($E177:L177,1),ColDescriptionCourte)),""),
  "")),"")</f>
        <v/>
      </c>
      <c r="N177" s="40" t="str">
        <f ca="1">IFERROR(IF(AND(
  INDEX(Roadmap!$D:$K,MATCH($E177,Roadmap!$D:$D,0)+COUNTIF($E177:M177,"u")+COUNTIF($E177:M177,"t")+COUNTIF($E177:M177,"¶")+COUNTIF($E177:M177,"²")+COUNTIF($E177:M177,"µ")+COUNTIF($E177:M177,1),ColLivraison)=N$6,
  VLOOKUP($E177,INDIRECT("tri!"&amp; CHAR(64+ C0Col) &amp;":"&amp; CHAR(65+C0Col)),2,FALSE)&gt;COUNTIF($E177:M177,"u")+COUNTIF($E177:M177,"t")+COUNTIF($E177:M177,"¶")+COUNTIF($E177:M177,"²")+COUNTIF($E177:M177,"µ")+COUNTIF($E177:M177,1)),
HYPERLINK("#Roadmap!C"&amp; MATCH($E177,Roadmap!$D:$D,0)+COUNTIF($E177:M177,"u")+COUNTIF($E177:M177,"t"),
     INDEX(Roadmap!$D:$K,MATCH($E177,Roadmap!$D:$D,0)+COUNTIF($E177:M177,"u")+COUNTIF($E177:M177,"t")+COUNTIF($E177:M177,"¶")+COUNTIF($E177:M177,"²")+COUNTIF($E177:M177,"µ")+COUNTIF($E177:M177,1),ColTypeEcheance)),
  IF(LEN(M177)=1,
  IF(LEN(INDEX(Roadmap!$D:$K,MATCH($E177,Roadmap!$D:$D,0)-1+COUNTIF($E177:M177,"u")+COUNTIF($E177:M177,"t")+COUNTIF($E177:M177,"¶")+COUNTIF($E177:M177,"²")+COUNTIF($E177:M177,"µ")+COUNTIF($E177:M177,1),ColDescriptionCourte))&gt;1,
HYPERLINK("#Roadmap!C"&amp; MATCH($E177,Roadmap!$D:$D,0)+COUNTIF($E177:M177,"u")+COUNTIF($E177:M177,"t")+COUNTIF($E177:M177,"¶")+COUNTIF($E177:M177,"²")+COUNTIF($E177:M177,"µ")+COUNTIF($E177:M177,1)-1,INDEX(Roadmap!$D:$K,MATCH($E177,Roadmap!$D:$D,0)-1+COUNTIF($E177:M177,"u")+COUNTIF($E177:M177,"t")+COUNTIF($E177:M177,"¶")+COUNTIF($E177:M177,"²")+COUNTIF($E177:M177,"µ")+COUNTIF($E177:M177,1),ColDescriptionCourte)),""),
  "")),"")</f>
        <v/>
      </c>
      <c r="O177" s="40" t="str">
        <f ca="1">IFERROR(IF(AND(
  INDEX(Roadmap!$D:$K,MATCH($E177,Roadmap!$D:$D,0)+COUNTIF($E177:N177,"u")+COUNTIF($E177:N177,"t")+COUNTIF($E177:N177,"¶")+COUNTIF($E177:N177,"²")+COUNTIF($E177:N177,"µ")+COUNTIF($E177:N177,1),ColLivraison)=O$6,
  VLOOKUP($E177,INDIRECT("tri!"&amp; CHAR(64+ C0Col) &amp;":"&amp; CHAR(65+C0Col)),2,FALSE)&gt;COUNTIF($E177:N177,"u")+COUNTIF($E177:N177,"t")+COUNTIF($E177:N177,"¶")+COUNTIF($E177:N177,"²")+COUNTIF($E177:N177,"µ")+COUNTIF($E177:N177,1)),
HYPERLINK("#Roadmap!C"&amp; MATCH($E177,Roadmap!$D:$D,0)+COUNTIF($E177:N177,"u")+COUNTIF($E177:N177,"t"),
     INDEX(Roadmap!$D:$K,MATCH($E177,Roadmap!$D:$D,0)+COUNTIF($E177:N177,"u")+COUNTIF($E177:N177,"t")+COUNTIF($E177:N177,"¶")+COUNTIF($E177:N177,"²")+COUNTIF($E177:N177,"µ")+COUNTIF($E177:N177,1),ColTypeEcheance)),
  IF(LEN(N177)=1,
  IF(LEN(INDEX(Roadmap!$D:$K,MATCH($E177,Roadmap!$D:$D,0)-1+COUNTIF($E177:N177,"u")+COUNTIF($E177:N177,"t")+COUNTIF($E177:N177,"¶")+COUNTIF($E177:N177,"²")+COUNTIF($E177:N177,"µ")+COUNTIF($E177:N177,1),ColDescriptionCourte))&gt;1,
HYPERLINK("#Roadmap!C"&amp; MATCH($E177,Roadmap!$D:$D,0)+COUNTIF($E177:N177,"u")+COUNTIF($E177:N177,"t")+COUNTIF($E177:N177,"¶")+COUNTIF($E177:N177,"²")+COUNTIF($E177:N177,"µ")+COUNTIF($E177:N177,1)-1,INDEX(Roadmap!$D:$K,MATCH($E177,Roadmap!$D:$D,0)-1+COUNTIF($E177:N177,"u")+COUNTIF($E177:N177,"t")+COUNTIF($E177:N177,"¶")+COUNTIF($E177:N177,"²")+COUNTIF($E177:N177,"µ")+COUNTIF($E177:N177,1),ColDescriptionCourte)),""),
  "")),"")</f>
        <v/>
      </c>
      <c r="P177" s="40" t="str">
        <f ca="1">IFERROR(IF(AND(
  INDEX(Roadmap!$D:$K,MATCH($E177,Roadmap!$D:$D,0)+COUNTIF($E177:O177,"u")+COUNTIF($E177:O177,"t")+COUNTIF($E177:O177,"¶")+COUNTIF($E177:O177,"²")+COUNTIF($E177:O177,"µ")+COUNTIF($E177:O177,1),ColLivraison)=P$6,
  VLOOKUP($E177,INDIRECT("tri!"&amp; CHAR(64+ C0Col) &amp;":"&amp; CHAR(65+C0Col)),2,FALSE)&gt;COUNTIF($E177:O177,"u")+COUNTIF($E177:O177,"t")+COUNTIF($E177:O177,"¶")+COUNTIF($E177:O177,"²")+COUNTIF($E177:O177,"µ")+COUNTIF($E177:O177,1)),
HYPERLINK("#Roadmap!C"&amp; MATCH($E177,Roadmap!$D:$D,0)+COUNTIF($E177:O177,"u")+COUNTIF($E177:O177,"t"),
     INDEX(Roadmap!$D:$K,MATCH($E177,Roadmap!$D:$D,0)+COUNTIF($E177:O177,"u")+COUNTIF($E177:O177,"t")+COUNTIF($E177:O177,"¶")+COUNTIF($E177:O177,"²")+COUNTIF($E177:O177,"µ")+COUNTIF($E177:O177,1),ColTypeEcheance)),
  IF(LEN(O177)=1,
  IF(LEN(INDEX(Roadmap!$D:$K,MATCH($E177,Roadmap!$D:$D,0)-1+COUNTIF($E177:O177,"u")+COUNTIF($E177:O177,"t")+COUNTIF($E177:O177,"¶")+COUNTIF($E177:O177,"²")+COUNTIF($E177:O177,"µ")+COUNTIF($E177:O177,1),ColDescriptionCourte))&gt;1,
HYPERLINK("#Roadmap!C"&amp; MATCH($E177,Roadmap!$D:$D,0)+COUNTIF($E177:O177,"u")+COUNTIF($E177:O177,"t")+COUNTIF($E177:O177,"¶")+COUNTIF($E177:O177,"²")+COUNTIF($E177:O177,"µ")+COUNTIF($E177:O177,1)-1,INDEX(Roadmap!$D:$K,MATCH($E177,Roadmap!$D:$D,0)-1+COUNTIF($E177:O177,"u")+COUNTIF($E177:O177,"t")+COUNTIF($E177:O177,"¶")+COUNTIF($E177:O177,"²")+COUNTIF($E177:O177,"µ")+COUNTIF($E177:O177,1),ColDescriptionCourte)),""),
  "")),"")</f>
        <v/>
      </c>
      <c r="Q177" s="40" t="str">
        <f ca="1">IFERROR(IF(AND(
  INDEX(Roadmap!$D:$K,MATCH($E177,Roadmap!$D:$D,0)+COUNTIF($E177:P177,"u")+COUNTIF($E177:P177,"t")+COUNTIF($E177:P177,"¶")+COUNTIF($E177:P177,"²")+COUNTIF($E177:P177,"µ")+COUNTIF($E177:P177,1),ColLivraison)=Q$6,
  VLOOKUP($E177,INDIRECT("tri!"&amp; CHAR(64+ C0Col) &amp;":"&amp; CHAR(65+C0Col)),2,FALSE)&gt;COUNTIF($E177:P177,"u")+COUNTIF($E177:P177,"t")+COUNTIF($E177:P177,"¶")+COUNTIF($E177:P177,"²")+COUNTIF($E177:P177,"µ")+COUNTIF($E177:P177,1)),
HYPERLINK("#Roadmap!C"&amp; MATCH($E177,Roadmap!$D:$D,0)+COUNTIF($E177:P177,"u")+COUNTIF($E177:P177,"t"),
     INDEX(Roadmap!$D:$K,MATCH($E177,Roadmap!$D:$D,0)+COUNTIF($E177:P177,"u")+COUNTIF($E177:P177,"t")+COUNTIF($E177:P177,"¶")+COUNTIF($E177:P177,"²")+COUNTIF($E177:P177,"µ")+COUNTIF($E177:P177,1),ColTypeEcheance)),
  IF(LEN(P177)=1,
  IF(LEN(INDEX(Roadmap!$D:$K,MATCH($E177,Roadmap!$D:$D,0)-1+COUNTIF($E177:P177,"u")+COUNTIF($E177:P177,"t")+COUNTIF($E177:P177,"¶")+COUNTIF($E177:P177,"²")+COUNTIF($E177:P177,"µ")+COUNTIF($E177:P177,1),ColDescriptionCourte))&gt;1,
HYPERLINK("#Roadmap!C"&amp; MATCH($E177,Roadmap!$D:$D,0)+COUNTIF($E177:P177,"u")+COUNTIF($E177:P177,"t")+COUNTIF($E177:P177,"¶")+COUNTIF($E177:P177,"²")+COUNTIF($E177:P177,"µ")+COUNTIF($E177:P177,1)-1,INDEX(Roadmap!$D:$K,MATCH($E177,Roadmap!$D:$D,0)-1+COUNTIF($E177:P177,"u")+COUNTIF($E177:P177,"t")+COUNTIF($E177:P177,"¶")+COUNTIF($E177:P177,"²")+COUNTIF($E177:P177,"µ")+COUNTIF($E177:P177,1),ColDescriptionCourte)),""),
  "")),"")</f>
        <v/>
      </c>
      <c r="R177" s="40" t="str">
        <f ca="1">IFERROR(IF(AND(
  INDEX(Roadmap!$D:$K,MATCH($E177,Roadmap!$D:$D,0)+COUNTIF($E177:Q177,"u")+COUNTIF($E177:Q177,"t")+COUNTIF($E177:Q177,"¶")+COUNTIF($E177:Q177,"²")+COUNTIF($E177:Q177,"µ")+COUNTIF($E177:Q177,1),ColLivraison)=R$6,
  VLOOKUP($E177,INDIRECT("tri!"&amp; CHAR(64+ C0Col) &amp;":"&amp; CHAR(65+C0Col)),2,FALSE)&gt;COUNTIF($E177:Q177,"u")+COUNTIF($E177:Q177,"t")+COUNTIF($E177:Q177,"¶")+COUNTIF($E177:Q177,"²")+COUNTIF($E177:Q177,"µ")+COUNTIF($E177:Q177,1)),
HYPERLINK("#Roadmap!C"&amp; MATCH($E177,Roadmap!$D:$D,0)+COUNTIF($E177:Q177,"u")+COUNTIF($E177:Q177,"t"),
     INDEX(Roadmap!$D:$K,MATCH($E177,Roadmap!$D:$D,0)+COUNTIF($E177:Q177,"u")+COUNTIF($E177:Q177,"t")+COUNTIF($E177:Q177,"¶")+COUNTIF($E177:Q177,"²")+COUNTIF($E177:Q177,"µ")+COUNTIF($E177:Q177,1),ColTypeEcheance)),
  IF(LEN(Q177)=1,
  IF(LEN(INDEX(Roadmap!$D:$K,MATCH($E177,Roadmap!$D:$D,0)-1+COUNTIF($E177:Q177,"u")+COUNTIF($E177:Q177,"t")+COUNTIF($E177:Q177,"¶")+COUNTIF($E177:Q177,"²")+COUNTIF($E177:Q177,"µ")+COUNTIF($E177:Q177,1),ColDescriptionCourte))&gt;1,
HYPERLINK("#Roadmap!C"&amp; MATCH($E177,Roadmap!$D:$D,0)+COUNTIF($E177:Q177,"u")+COUNTIF($E177:Q177,"t")+COUNTIF($E177:Q177,"¶")+COUNTIF($E177:Q177,"²")+COUNTIF($E177:Q177,"µ")+COUNTIF($E177:Q177,1)-1,INDEX(Roadmap!$D:$K,MATCH($E177,Roadmap!$D:$D,0)-1+COUNTIF($E177:Q177,"u")+COUNTIF($E177:Q177,"t")+COUNTIF($E177:Q177,"¶")+COUNTIF($E177:Q177,"²")+COUNTIF($E177:Q177,"µ")+COUNTIF($E177:Q177,1),ColDescriptionCourte)),""),
  "")),"")</f>
        <v/>
      </c>
      <c r="S177" s="40" t="str">
        <f ca="1">IFERROR(IF(AND(
  INDEX(Roadmap!$D:$K,MATCH($E177,Roadmap!$D:$D,0)+COUNTIF($E177:R177,"u")+COUNTIF($E177:R177,"t")+COUNTIF($E177:R177,"¶")+COUNTIF($E177:R177,"²")+COUNTIF($E177:R177,"µ")+COUNTIF($E177:R177,1),ColLivraison)=S$6,
  VLOOKUP($E177,INDIRECT("tri!"&amp; CHAR(64+ C0Col) &amp;":"&amp; CHAR(65+C0Col)),2,FALSE)&gt;COUNTIF($E177:R177,"u")+COUNTIF($E177:R177,"t")+COUNTIF($E177:R177,"¶")+COUNTIF($E177:R177,"²")+COUNTIF($E177:R177,"µ")+COUNTIF($E177:R177,1)),
HYPERLINK("#Roadmap!C"&amp; MATCH($E177,Roadmap!$D:$D,0)+COUNTIF($E177:R177,"u")+COUNTIF($E177:R177,"t"),
     INDEX(Roadmap!$D:$K,MATCH($E177,Roadmap!$D:$D,0)+COUNTIF($E177:R177,"u")+COUNTIF($E177:R177,"t")+COUNTIF($E177:R177,"¶")+COUNTIF($E177:R177,"²")+COUNTIF($E177:R177,"µ")+COUNTIF($E177:R177,1),ColTypeEcheance)),
  IF(LEN(R177)=1,
  IF(LEN(INDEX(Roadmap!$D:$K,MATCH($E177,Roadmap!$D:$D,0)-1+COUNTIF($E177:R177,"u")+COUNTIF($E177:R177,"t")+COUNTIF($E177:R177,"¶")+COUNTIF($E177:R177,"²")+COUNTIF($E177:R177,"µ")+COUNTIF($E177:R177,1),ColDescriptionCourte))&gt;1,
HYPERLINK("#Roadmap!C"&amp; MATCH($E177,Roadmap!$D:$D,0)+COUNTIF($E177:R177,"u")+COUNTIF($E177:R177,"t")+COUNTIF($E177:R177,"¶")+COUNTIF($E177:R177,"²")+COUNTIF($E177:R177,"µ")+COUNTIF($E177:R177,1)-1,INDEX(Roadmap!$D:$K,MATCH($E177,Roadmap!$D:$D,0)-1+COUNTIF($E177:R177,"u")+COUNTIF($E177:R177,"t")+COUNTIF($E177:R177,"¶")+COUNTIF($E177:R177,"²")+COUNTIF($E177:R177,"µ")+COUNTIF($E177:R177,1),ColDescriptionCourte)),""),
  "")),"")</f>
        <v/>
      </c>
      <c r="T177" s="40" t="str">
        <f ca="1">IFERROR(IF(AND(
  INDEX(Roadmap!$D:$K,MATCH($E177,Roadmap!$D:$D,0)+COUNTIF($E177:S177,"u")+COUNTIF($E177:S177,"t")+COUNTIF($E177:S177,"¶")+COUNTIF($E177:S177,"²")+COUNTIF($E177:S177,"µ")+COUNTIF($E177:S177,1),ColLivraison)=T$6,
  VLOOKUP($E177,INDIRECT("tri!"&amp; CHAR(64+ C0Col) &amp;":"&amp; CHAR(65+C0Col)),2,FALSE)&gt;COUNTIF($E177:S177,"u")+COUNTIF($E177:S177,"t")+COUNTIF($E177:S177,"¶")+COUNTIF($E177:S177,"²")+COUNTIF($E177:S177,"µ")+COUNTIF($E177:S177,1)),
HYPERLINK("#Roadmap!C"&amp; MATCH($E177,Roadmap!$D:$D,0)+COUNTIF($E177:S177,"u")+COUNTIF($E177:S177,"t"),
     INDEX(Roadmap!$D:$K,MATCH($E177,Roadmap!$D:$D,0)+COUNTIF($E177:S177,"u")+COUNTIF($E177:S177,"t")+COUNTIF($E177:S177,"¶")+COUNTIF($E177:S177,"²")+COUNTIF($E177:S177,"µ")+COUNTIF($E177:S177,1),ColTypeEcheance)),
  IF(LEN(S177)=1,
  IF(LEN(INDEX(Roadmap!$D:$K,MATCH($E177,Roadmap!$D:$D,0)-1+COUNTIF($E177:S177,"u")+COUNTIF($E177:S177,"t")+COUNTIF($E177:S177,"¶")+COUNTIF($E177:S177,"²")+COUNTIF($E177:S177,"µ")+COUNTIF($E177:S177,1),ColDescriptionCourte))&gt;1,
HYPERLINK("#Roadmap!C"&amp; MATCH($E177,Roadmap!$D:$D,0)+COUNTIF($E177:S177,"u")+COUNTIF($E177:S177,"t")+COUNTIF($E177:S177,"¶")+COUNTIF($E177:S177,"²")+COUNTIF($E177:S177,"µ")+COUNTIF($E177:S177,1)-1,INDEX(Roadmap!$D:$K,MATCH($E177,Roadmap!$D:$D,0)-1+COUNTIF($E177:S177,"u")+COUNTIF($E177:S177,"t")+COUNTIF($E177:S177,"¶")+COUNTIF($E177:S177,"²")+COUNTIF($E177:S177,"µ")+COUNTIF($E177:S177,1),ColDescriptionCourte)),""),
  "")),"")</f>
        <v/>
      </c>
      <c r="U177" s="40" t="str">
        <f ca="1">IFERROR(IF(AND(
  INDEX(Roadmap!$D:$K,MATCH($E177,Roadmap!$D:$D,0)+COUNTIF($E177:T177,"u")+COUNTIF($E177:T177,"t")+COUNTIF($E177:T177,"¶")+COUNTIF($E177:T177,"²")+COUNTIF($E177:T177,"µ")+COUNTIF($E177:T177,1),ColLivraison)=U$6,
  VLOOKUP($E177,INDIRECT("tri!"&amp; CHAR(64+ C0Col) &amp;":"&amp; CHAR(65+C0Col)),2,FALSE)&gt;COUNTIF($E177:T177,"u")+COUNTIF($E177:T177,"t")+COUNTIF($E177:T177,"¶")+COUNTIF($E177:T177,"²")+COUNTIF($E177:T177,"µ")+COUNTIF($E177:T177,1)),
HYPERLINK("#Roadmap!C"&amp; MATCH($E177,Roadmap!$D:$D,0)+COUNTIF($E177:T177,"u")+COUNTIF($E177:T177,"t"),
     INDEX(Roadmap!$D:$K,MATCH($E177,Roadmap!$D:$D,0)+COUNTIF($E177:T177,"u")+COUNTIF($E177:T177,"t")+COUNTIF($E177:T177,"¶")+COUNTIF($E177:T177,"²")+COUNTIF($E177:T177,"µ")+COUNTIF($E177:T177,1),ColTypeEcheance)),
  IF(LEN(T177)=1,
  IF(LEN(INDEX(Roadmap!$D:$K,MATCH($E177,Roadmap!$D:$D,0)-1+COUNTIF($E177:T177,"u")+COUNTIF($E177:T177,"t")+COUNTIF($E177:T177,"¶")+COUNTIF($E177:T177,"²")+COUNTIF($E177:T177,"µ")+COUNTIF($E177:T177,1),ColDescriptionCourte))&gt;1,
HYPERLINK("#Roadmap!C"&amp; MATCH($E177,Roadmap!$D:$D,0)+COUNTIF($E177:T177,"u")+COUNTIF($E177:T177,"t")+COUNTIF($E177:T177,"¶")+COUNTIF($E177:T177,"²")+COUNTIF($E177:T177,"µ")+COUNTIF($E177:T177,1)-1,INDEX(Roadmap!$D:$K,MATCH($E177,Roadmap!$D:$D,0)-1+COUNTIF($E177:T177,"u")+COUNTIF($E177:T177,"t")+COUNTIF($E177:T177,"¶")+COUNTIF($E177:T177,"²")+COUNTIF($E177:T177,"µ")+COUNTIF($E177:T177,1),ColDescriptionCourte)),""),
  "")),"")</f>
        <v/>
      </c>
      <c r="V177" s="40" t="str">
        <f ca="1">IFERROR(IF(AND(
  INDEX(Roadmap!$D:$K,MATCH($E177,Roadmap!$D:$D,0)+COUNTIF($E177:U177,"u")+COUNTIF($E177:U177,"t")+COUNTIF($E177:U177,"¶")+COUNTIF($E177:U177,"²")+COUNTIF($E177:U177,"µ")+COUNTIF($E177:U177,1),ColLivraison)=V$6,
  VLOOKUP($E177,INDIRECT("tri!"&amp; CHAR(64+ C0Col) &amp;":"&amp; CHAR(65+C0Col)),2,FALSE)&gt;COUNTIF($E177:U177,"u")+COUNTIF($E177:U177,"t")+COUNTIF($E177:U177,"¶")+COUNTIF($E177:U177,"²")+COUNTIF($E177:U177,"µ")+COUNTIF($E177:U177,1)),
HYPERLINK("#Roadmap!C"&amp; MATCH($E177,Roadmap!$D:$D,0)+COUNTIF($E177:U177,"u")+COUNTIF($E177:U177,"t"),
     INDEX(Roadmap!$D:$K,MATCH($E177,Roadmap!$D:$D,0)+COUNTIF($E177:U177,"u")+COUNTIF($E177:U177,"t")+COUNTIF($E177:U177,"¶")+COUNTIF($E177:U177,"²")+COUNTIF($E177:U177,"µ")+COUNTIF($E177:U177,1),ColTypeEcheance)),
  IF(LEN(U177)=1,
  IF(LEN(INDEX(Roadmap!$D:$K,MATCH($E177,Roadmap!$D:$D,0)-1+COUNTIF($E177:U177,"u")+COUNTIF($E177:U177,"t")+COUNTIF($E177:U177,"¶")+COUNTIF($E177:U177,"²")+COUNTIF($E177:U177,"µ")+COUNTIF($E177:U177,1),ColDescriptionCourte))&gt;1,
HYPERLINK("#Roadmap!C"&amp; MATCH($E177,Roadmap!$D:$D,0)+COUNTIF($E177:U177,"u")+COUNTIF($E177:U177,"t")+COUNTIF($E177:U177,"¶")+COUNTIF($E177:U177,"²")+COUNTIF($E177:U177,"µ")+COUNTIF($E177:U177,1)-1,INDEX(Roadmap!$D:$K,MATCH($E177,Roadmap!$D:$D,0)-1+COUNTIF($E177:U177,"u")+COUNTIF($E177:U177,"t")+COUNTIF($E177:U177,"¶")+COUNTIF($E177:U177,"²")+COUNTIF($E177:U177,"µ")+COUNTIF($E177:U177,1),ColDescriptionCourte)),""),
  "")),"")</f>
        <v/>
      </c>
      <c r="W177" s="40" t="str">
        <f ca="1">IFERROR(IF(AND(
  INDEX(Roadmap!$D:$K,MATCH($E177,Roadmap!$D:$D,0)+COUNTIF($E177:V177,"u")+COUNTIF($E177:V177,"t")+COUNTIF($E177:V177,"¶")+COUNTIF($E177:V177,"²")+COUNTIF($E177:V177,"µ")+COUNTIF($E177:V177,1),ColLivraison)=W$6,
  VLOOKUP($E177,INDIRECT("tri!"&amp; CHAR(64+ C0Col) &amp;":"&amp; CHAR(65+C0Col)),2,FALSE)&gt;COUNTIF($E177:V177,"u")+COUNTIF($E177:V177,"t")+COUNTIF($E177:V177,"¶")+COUNTIF($E177:V177,"²")+COUNTIF($E177:V177,"µ")+COUNTIF($E177:V177,1)),
HYPERLINK("#Roadmap!C"&amp; MATCH($E177,Roadmap!$D:$D,0)+COUNTIF($E177:V177,"u")+COUNTIF($E177:V177,"t"),
     INDEX(Roadmap!$D:$K,MATCH($E177,Roadmap!$D:$D,0)+COUNTIF($E177:V177,"u")+COUNTIF($E177:V177,"t")+COUNTIF($E177:V177,"¶")+COUNTIF($E177:V177,"²")+COUNTIF($E177:V177,"µ")+COUNTIF($E177:V177,1),ColTypeEcheance)),
  IF(LEN(V177)=1,
  IF(LEN(INDEX(Roadmap!$D:$K,MATCH($E177,Roadmap!$D:$D,0)-1+COUNTIF($E177:V177,"u")+COUNTIF($E177:V177,"t")+COUNTIF($E177:V177,"¶")+COUNTIF($E177:V177,"²")+COUNTIF($E177:V177,"µ")+COUNTIF($E177:V177,1),ColDescriptionCourte))&gt;1,
HYPERLINK("#Roadmap!C"&amp; MATCH($E177,Roadmap!$D:$D,0)+COUNTIF($E177:V177,"u")+COUNTIF($E177:V177,"t")+COUNTIF($E177:V177,"¶")+COUNTIF($E177:V177,"²")+COUNTIF($E177:V177,"µ")+COUNTIF($E177:V177,1)-1,INDEX(Roadmap!$D:$K,MATCH($E177,Roadmap!$D:$D,0)-1+COUNTIF($E177:V177,"u")+COUNTIF($E177:V177,"t")+COUNTIF($E177:V177,"¶")+COUNTIF($E177:V177,"²")+COUNTIF($E177:V177,"µ")+COUNTIF($E177:V177,1),ColDescriptionCourte)),""),
  "")),"")</f>
        <v/>
      </c>
      <c r="X177" s="40" t="str">
        <f ca="1">IFERROR(IF(AND(
  INDEX(Roadmap!$D:$K,MATCH($E177,Roadmap!$D:$D,0)+COUNTIF($E177:W177,"u")+COUNTIF($E177:W177,"t")+COUNTIF($E177:W177,"¶")+COUNTIF($E177:W177,"²")+COUNTIF($E177:W177,"µ")+COUNTIF($E177:W177,1),ColLivraison)=X$6,
  VLOOKUP($E177,INDIRECT("tri!"&amp; CHAR(64+ C0Col) &amp;":"&amp; CHAR(65+C0Col)),2,FALSE)&gt;COUNTIF($E177:W177,"u")+COUNTIF($E177:W177,"t")+COUNTIF($E177:W177,"¶")+COUNTIF($E177:W177,"²")+COUNTIF($E177:W177,"µ")+COUNTIF($E177:W177,1)),
HYPERLINK("#Roadmap!C"&amp; MATCH($E177,Roadmap!$D:$D,0)+COUNTIF($E177:W177,"u")+COUNTIF($E177:W177,"t"),
     INDEX(Roadmap!$D:$K,MATCH($E177,Roadmap!$D:$D,0)+COUNTIF($E177:W177,"u")+COUNTIF($E177:W177,"t")+COUNTIF($E177:W177,"¶")+COUNTIF($E177:W177,"²")+COUNTIF($E177:W177,"µ")+COUNTIF($E177:W177,1),ColTypeEcheance)),
  IF(LEN(W177)=1,
  IF(LEN(INDEX(Roadmap!$D:$K,MATCH($E177,Roadmap!$D:$D,0)-1+COUNTIF($E177:W177,"u")+COUNTIF($E177:W177,"t")+COUNTIF($E177:W177,"¶")+COUNTIF($E177:W177,"²")+COUNTIF($E177:W177,"µ")+COUNTIF($E177:W177,1),ColDescriptionCourte))&gt;1,
HYPERLINK("#Roadmap!C"&amp; MATCH($E177,Roadmap!$D:$D,0)+COUNTIF($E177:W177,"u")+COUNTIF($E177:W177,"t")+COUNTIF($E177:W177,"¶")+COUNTIF($E177:W177,"²")+COUNTIF($E177:W177,"µ")+COUNTIF($E177:W177,1)-1,INDEX(Roadmap!$D:$K,MATCH($E177,Roadmap!$D:$D,0)-1+COUNTIF($E177:W177,"u")+COUNTIF($E177:W177,"t")+COUNTIF($E177:W177,"¶")+COUNTIF($E177:W177,"²")+COUNTIF($E177:W177,"µ")+COUNTIF($E177:W177,1),ColDescriptionCourte)),""),
  "")),"")</f>
        <v/>
      </c>
      <c r="Y177" s="40" t="str">
        <f ca="1">IFERROR(IF(AND(
  INDEX(Roadmap!$D:$K,MATCH($E177,Roadmap!$D:$D,0)+COUNTIF($E177:X177,"u")+COUNTIF($E177:X177,"t")+COUNTIF($E177:X177,"¶")+COUNTIF($E177:X177,"²")+COUNTIF($E177:X177,"µ")+COUNTIF($E177:X177,1),ColLivraison)=Y$6,
  VLOOKUP($E177,INDIRECT("tri!"&amp; CHAR(64+ C0Col) &amp;":"&amp; CHAR(65+C0Col)),2,FALSE)&gt;COUNTIF($E177:X177,"u")+COUNTIF($E177:X177,"t")+COUNTIF($E177:X177,"¶")+COUNTIF($E177:X177,"²")+COUNTIF($E177:X177,"µ")+COUNTIF($E177:X177,1)),
HYPERLINK("#Roadmap!C"&amp; MATCH($E177,Roadmap!$D:$D,0)+COUNTIF($E177:X177,"u")+COUNTIF($E177:X177,"t"),
     INDEX(Roadmap!$D:$K,MATCH($E177,Roadmap!$D:$D,0)+COUNTIF($E177:X177,"u")+COUNTIF($E177:X177,"t")+COUNTIF($E177:X177,"¶")+COUNTIF($E177:X177,"²")+COUNTIF($E177:X177,"µ")+COUNTIF($E177:X177,1),ColTypeEcheance)),
  IF(LEN(X177)=1,
  IF(LEN(INDEX(Roadmap!$D:$K,MATCH($E177,Roadmap!$D:$D,0)-1+COUNTIF($E177:X177,"u")+COUNTIF($E177:X177,"t")+COUNTIF($E177:X177,"¶")+COUNTIF($E177:X177,"²")+COUNTIF($E177:X177,"µ")+COUNTIF($E177:X177,1),ColDescriptionCourte))&gt;1,
HYPERLINK("#Roadmap!C"&amp; MATCH($E177,Roadmap!$D:$D,0)+COUNTIF($E177:X177,"u")+COUNTIF($E177:X177,"t")+COUNTIF($E177:X177,"¶")+COUNTIF($E177:X177,"²")+COUNTIF($E177:X177,"µ")+COUNTIF($E177:X177,1)-1,INDEX(Roadmap!$D:$K,MATCH($E177,Roadmap!$D:$D,0)-1+COUNTIF($E177:X177,"u")+COUNTIF($E177:X177,"t")+COUNTIF($E177:X177,"¶")+COUNTIF($E177:X177,"²")+COUNTIF($E177:X177,"µ")+COUNTIF($E177:X177,1),ColDescriptionCourte)),""),
  "")),"")</f>
        <v/>
      </c>
      <c r="Z177" s="40" t="str">
        <f ca="1">IFERROR(IF(AND(
  INDEX(Roadmap!$D:$K,MATCH($E177,Roadmap!$D:$D,0)+COUNTIF($E177:Y177,"u")+COUNTIF($E177:Y177,"t")+COUNTIF($E177:Y177,"¶")+COUNTIF($E177:Y177,"²")+COUNTIF($E177:Y177,"µ")+COUNTIF($E177:Y177,1),ColLivraison)=Z$6,
  VLOOKUP($E177,INDIRECT("tri!"&amp; CHAR(64+ C0Col) &amp;":"&amp; CHAR(65+C0Col)),2,FALSE)&gt;COUNTIF($E177:Y177,"u")+COUNTIF($E177:Y177,"t")+COUNTIF($E177:Y177,"¶")+COUNTIF($E177:Y177,"²")+COUNTIF($E177:Y177,"µ")+COUNTIF($E177:Y177,1)),
HYPERLINK("#Roadmap!C"&amp; MATCH($E177,Roadmap!$D:$D,0)+COUNTIF($E177:Y177,"u")+COUNTIF($E177:Y177,"t"),
     INDEX(Roadmap!$D:$K,MATCH($E177,Roadmap!$D:$D,0)+COUNTIF($E177:Y177,"u")+COUNTIF($E177:Y177,"t")+COUNTIF($E177:Y177,"¶")+COUNTIF($E177:Y177,"²")+COUNTIF($E177:Y177,"µ")+COUNTIF($E177:Y177,1),ColTypeEcheance)),
  IF(LEN(Y177)=1,
  IF(LEN(INDEX(Roadmap!$D:$K,MATCH($E177,Roadmap!$D:$D,0)-1+COUNTIF($E177:Y177,"u")+COUNTIF($E177:Y177,"t")+COUNTIF($E177:Y177,"¶")+COUNTIF($E177:Y177,"²")+COUNTIF($E177:Y177,"µ")+COUNTIF($E177:Y177,1),ColDescriptionCourte))&gt;1,
HYPERLINK("#Roadmap!C"&amp; MATCH($E177,Roadmap!$D:$D,0)+COUNTIF($E177:Y177,"u")+COUNTIF($E177:Y177,"t")+COUNTIF($E177:Y177,"¶")+COUNTIF($E177:Y177,"²")+COUNTIF($E177:Y177,"µ")+COUNTIF($E177:Y177,1)-1,INDEX(Roadmap!$D:$K,MATCH($E177,Roadmap!$D:$D,0)-1+COUNTIF($E177:Y177,"u")+COUNTIF($E177:Y177,"t")+COUNTIF($E177:Y177,"¶")+COUNTIF($E177:Y177,"²")+COUNTIF($E177:Y177,"µ")+COUNTIF($E177:Y177,1),ColDescriptionCourte)),""),
  "")),"")</f>
        <v/>
      </c>
      <c r="AA177" s="40" t="str">
        <f ca="1">IFERROR(IF(AND(
  INDEX(Roadmap!$D:$K,MATCH($E177,Roadmap!$D:$D,0)+COUNTIF($E177:Z177,"u")+COUNTIF($E177:Z177,"t")+COUNTIF($E177:Z177,"¶")+COUNTIF($E177:Z177,"²")+COUNTIF($E177:Z177,"µ")+COUNTIF($E177:Z177,1),ColLivraison)=AA$6,
  VLOOKUP($E177,INDIRECT("tri!"&amp; CHAR(64+ C0Col) &amp;":"&amp; CHAR(65+C0Col)),2,FALSE)&gt;COUNTIF($E177:Z177,"u")+COUNTIF($E177:Z177,"t")+COUNTIF($E177:Z177,"¶")+COUNTIF($E177:Z177,"²")+COUNTIF($E177:Z177,"µ")+COUNTIF($E177:Z177,1)),
HYPERLINK("#Roadmap!C"&amp; MATCH($E177,Roadmap!$D:$D,0)+COUNTIF($E177:Z177,"u")+COUNTIF($E177:Z177,"t"),
     INDEX(Roadmap!$D:$K,MATCH($E177,Roadmap!$D:$D,0)+COUNTIF($E177:Z177,"u")+COUNTIF($E177:Z177,"t")+COUNTIF($E177:Z177,"¶")+COUNTIF($E177:Z177,"²")+COUNTIF($E177:Z177,"µ")+COUNTIF($E177:Z177,1),ColTypeEcheance)),
  IF(LEN(Z177)=1,
  IF(LEN(INDEX(Roadmap!$D:$K,MATCH($E177,Roadmap!$D:$D,0)-1+COUNTIF($E177:Z177,"u")+COUNTIF($E177:Z177,"t")+COUNTIF($E177:Z177,"¶")+COUNTIF($E177:Z177,"²")+COUNTIF($E177:Z177,"µ")+COUNTIF($E177:Z177,1),ColDescriptionCourte))&gt;1,
HYPERLINK("#Roadmap!C"&amp; MATCH($E177,Roadmap!$D:$D,0)+COUNTIF($E177:Z177,"u")+COUNTIF($E177:Z177,"t")+COUNTIF($E177:Z177,"¶")+COUNTIF($E177:Z177,"²")+COUNTIF($E177:Z177,"µ")+COUNTIF($E177:Z177,1)-1,INDEX(Roadmap!$D:$K,MATCH($E177,Roadmap!$D:$D,0)-1+COUNTIF($E177:Z177,"u")+COUNTIF($E177:Z177,"t")+COUNTIF($E177:Z177,"¶")+COUNTIF($E177:Z177,"²")+COUNTIF($E177:Z177,"µ")+COUNTIF($E177:Z177,1),ColDescriptionCourte)),""),
  "")),"")</f>
        <v/>
      </c>
      <c r="AB177" s="40" t="str">
        <f ca="1">IFERROR(IF(AND(
  INDEX(Roadmap!$D:$K,MATCH($E177,Roadmap!$D:$D,0)+COUNTIF($E177:AA177,"u")+COUNTIF($E177:AA177,"t")+COUNTIF($E177:AA177,"¶")+COUNTIF($E177:AA177,"²")+COUNTIF($E177:AA177,"µ")+COUNTIF($E177:AA177,1),ColLivraison)=AB$6,
  VLOOKUP($E177,INDIRECT("tri!"&amp; CHAR(64+ C0Col) &amp;":"&amp; CHAR(65+C0Col)),2,FALSE)&gt;COUNTIF($E177:AA177,"u")+COUNTIF($E177:AA177,"t")+COUNTIF($E177:AA177,"¶")+COUNTIF($E177:AA177,"²")+COUNTIF($E177:AA177,"µ")+COUNTIF($E177:AA177,1)),
HYPERLINK("#Roadmap!C"&amp; MATCH($E177,Roadmap!$D:$D,0)+COUNTIF($E177:AA177,"u")+COUNTIF($E177:AA177,"t"),
     INDEX(Roadmap!$D:$K,MATCH($E177,Roadmap!$D:$D,0)+COUNTIF($E177:AA177,"u")+COUNTIF($E177:AA177,"t")+COUNTIF($E177:AA177,"¶")+COUNTIF($E177:AA177,"²")+COUNTIF($E177:AA177,"µ")+COUNTIF($E177:AA177,1),ColTypeEcheance)),
  IF(LEN(AA177)=1,
  IF(LEN(INDEX(Roadmap!$D:$K,MATCH($E177,Roadmap!$D:$D,0)-1+COUNTIF($E177:AA177,"u")+COUNTIF($E177:AA177,"t")+COUNTIF($E177:AA177,"¶")+COUNTIF($E177:AA177,"²")+COUNTIF($E177:AA177,"µ")+COUNTIF($E177:AA177,1),ColDescriptionCourte))&gt;1,
HYPERLINK("#Roadmap!C"&amp; MATCH($E177,Roadmap!$D:$D,0)+COUNTIF($E177:AA177,"u")+COUNTIF($E177:AA177,"t")+COUNTIF($E177:AA177,"¶")+COUNTIF($E177:AA177,"²")+COUNTIF($E177:AA177,"µ")+COUNTIF($E177:AA177,1)-1,INDEX(Roadmap!$D:$K,MATCH($E177,Roadmap!$D:$D,0)-1+COUNTIF($E177:AA177,"u")+COUNTIF($E177:AA177,"t")+COUNTIF($E177:AA177,"¶")+COUNTIF($E177:AA177,"²")+COUNTIF($E177:AA177,"µ")+COUNTIF($E177:AA177,1),ColDescriptionCourte)),""),
  "")),"")</f>
        <v/>
      </c>
      <c r="AC177" s="40" t="str">
        <f ca="1">IFERROR(IF(AND(
  INDEX(Roadmap!$D:$K,MATCH($E177,Roadmap!$D:$D,0)+COUNTIF($E177:AB177,"u")+COUNTIF($E177:AB177,"t")+COUNTIF($E177:AB177,"¶")+COUNTIF($E177:AB177,"²")+COUNTIF($E177:AB177,"µ")+COUNTIF($E177:AB177,1),ColLivraison)=AC$6,
  VLOOKUP($E177,INDIRECT("tri!"&amp; CHAR(64+ C0Col) &amp;":"&amp; CHAR(65+C0Col)),2,FALSE)&gt;COUNTIF($E177:AB177,"u")+COUNTIF($E177:AB177,"t")+COUNTIF($E177:AB177,"¶")+COUNTIF($E177:AB177,"²")+COUNTIF($E177:AB177,"µ")+COUNTIF($E177:AB177,1)),
HYPERLINK("#Roadmap!C"&amp; MATCH($E177,Roadmap!$D:$D,0)+COUNTIF($E177:AB177,"u")+COUNTIF($E177:AB177,"t"),
     INDEX(Roadmap!$D:$K,MATCH($E177,Roadmap!$D:$D,0)+COUNTIF($E177:AB177,"u")+COUNTIF($E177:AB177,"t")+COUNTIF($E177:AB177,"¶")+COUNTIF($E177:AB177,"²")+COUNTIF($E177:AB177,"µ")+COUNTIF($E177:AB177,1),ColTypeEcheance)),
  IF(LEN(AB177)=1,
  IF(LEN(INDEX(Roadmap!$D:$K,MATCH($E177,Roadmap!$D:$D,0)-1+COUNTIF($E177:AB177,"u")+COUNTIF($E177:AB177,"t")+COUNTIF($E177:AB177,"¶")+COUNTIF($E177:AB177,"²")+COUNTIF($E177:AB177,"µ")+COUNTIF($E177:AB177,1),ColDescriptionCourte))&gt;1,
HYPERLINK("#Roadmap!C"&amp; MATCH($E177,Roadmap!$D:$D,0)+COUNTIF($E177:AB177,"u")+COUNTIF($E177:AB177,"t")+COUNTIF($E177:AB177,"¶")+COUNTIF($E177:AB177,"²")+COUNTIF($E177:AB177,"µ")+COUNTIF($E177:AB177,1)-1,INDEX(Roadmap!$D:$K,MATCH($E177,Roadmap!$D:$D,0)-1+COUNTIF($E177:AB177,"u")+COUNTIF($E177:AB177,"t")+COUNTIF($E177:AB177,"¶")+COUNTIF($E177:AB177,"²")+COUNTIF($E177:AB177,"µ")+COUNTIF($E177:AB177,1),ColDescriptionCourte)),""),
  "")),"")</f>
        <v/>
      </c>
      <c r="AD177" s="40" t="str">
        <f ca="1">IFERROR(IF(AND(
  INDEX(Roadmap!$D:$K,MATCH($E177,Roadmap!$D:$D,0)+COUNTIF($E177:AC177,"u")+COUNTIF($E177:AC177,"t")+COUNTIF($E177:AC177,"¶")+COUNTIF($E177:AC177,"²")+COUNTIF($E177:AC177,"µ")+COUNTIF($E177:AC177,1),ColLivraison)=AD$6,
  VLOOKUP($E177,INDIRECT("tri!"&amp; CHAR(64+ C0Col) &amp;":"&amp; CHAR(65+C0Col)),2,FALSE)&gt;COUNTIF($E177:AC177,"u")+COUNTIF($E177:AC177,"t")+COUNTIF($E177:AC177,"¶")+COUNTIF($E177:AC177,"²")+COUNTIF($E177:AC177,"µ")+COUNTIF($E177:AC177,1)),
HYPERLINK("#Roadmap!C"&amp; MATCH($E177,Roadmap!$D:$D,0)+COUNTIF($E177:AC177,"u")+COUNTIF($E177:AC177,"t"),
     INDEX(Roadmap!$D:$K,MATCH($E177,Roadmap!$D:$D,0)+COUNTIF($E177:AC177,"u")+COUNTIF($E177:AC177,"t")+COUNTIF($E177:AC177,"¶")+COUNTIF($E177:AC177,"²")+COUNTIF($E177:AC177,"µ")+COUNTIF($E177:AC177,1),ColTypeEcheance)),
  IF(LEN(AC177)=1,
  IF(LEN(INDEX(Roadmap!$D:$K,MATCH($E177,Roadmap!$D:$D,0)-1+COUNTIF($E177:AC177,"u")+COUNTIF($E177:AC177,"t")+COUNTIF($E177:AC177,"¶")+COUNTIF($E177:AC177,"²")+COUNTIF($E177:AC177,"µ")+COUNTIF($E177:AC177,1),ColDescriptionCourte))&gt;1,
HYPERLINK("#Roadmap!C"&amp; MATCH($E177,Roadmap!$D:$D,0)+COUNTIF($E177:AC177,"u")+COUNTIF($E177:AC177,"t")+COUNTIF($E177:AC177,"¶")+COUNTIF($E177:AC177,"²")+COUNTIF($E177:AC177,"µ")+COUNTIF($E177:AC177,1)-1,INDEX(Roadmap!$D:$K,MATCH($E177,Roadmap!$D:$D,0)-1+COUNTIF($E177:AC177,"u")+COUNTIF($E177:AC177,"t")+COUNTIF($E177:AC177,"¶")+COUNTIF($E177:AC177,"²")+COUNTIF($E177:AC177,"µ")+COUNTIF($E177:AC177,1),ColDescriptionCourte)),""),
  "")),"")</f>
        <v/>
      </c>
      <c r="AE177" s="40" t="str">
        <f ca="1">IFERROR(IF(AND(
  INDEX(Roadmap!$D:$K,MATCH($E177,Roadmap!$D:$D,0)+COUNTIF($E177:AD177,"u")+COUNTIF($E177:AD177,"t")+COUNTIF($E177:AD177,"¶")+COUNTIF($E177:AD177,"²")+COUNTIF($E177:AD177,"µ")+COUNTIF($E177:AD177,1),ColLivraison)=AE$6,
  VLOOKUP($E177,INDIRECT("tri!"&amp; CHAR(64+ C0Col) &amp;":"&amp; CHAR(65+C0Col)),2,FALSE)&gt;COUNTIF($E177:AD177,"u")+COUNTIF($E177:AD177,"t")+COUNTIF($E177:AD177,"¶")+COUNTIF($E177:AD177,"²")+COUNTIF($E177:AD177,"µ")+COUNTIF($E177:AD177,1)),
HYPERLINK("#Roadmap!C"&amp; MATCH($E177,Roadmap!$D:$D,0)+COUNTIF($E177:AD177,"u")+COUNTIF($E177:AD177,"t"),
     INDEX(Roadmap!$D:$K,MATCH($E177,Roadmap!$D:$D,0)+COUNTIF($E177:AD177,"u")+COUNTIF($E177:AD177,"t")+COUNTIF($E177:AD177,"¶")+COUNTIF($E177:AD177,"²")+COUNTIF($E177:AD177,"µ")+COUNTIF($E177:AD177,1),ColTypeEcheance)),
  IF(LEN(AD177)=1,
  IF(LEN(INDEX(Roadmap!$D:$K,MATCH($E177,Roadmap!$D:$D,0)-1+COUNTIF($E177:AD177,"u")+COUNTIF($E177:AD177,"t")+COUNTIF($E177:AD177,"¶")+COUNTIF($E177:AD177,"²")+COUNTIF($E177:AD177,"µ")+COUNTIF($E177:AD177,1),ColDescriptionCourte))&gt;1,
HYPERLINK("#Roadmap!C"&amp; MATCH($E177,Roadmap!$D:$D,0)+COUNTIF($E177:AD177,"u")+COUNTIF($E177:AD177,"t")+COUNTIF($E177:AD177,"¶")+COUNTIF($E177:AD177,"²")+COUNTIF($E177:AD177,"µ")+COUNTIF($E177:AD177,1)-1,INDEX(Roadmap!$D:$K,MATCH($E177,Roadmap!$D:$D,0)-1+COUNTIF($E177:AD177,"u")+COUNTIF($E177:AD177,"t")+COUNTIF($E177:AD177,"¶")+COUNTIF($E177:AD177,"²")+COUNTIF($E177:AD177,"µ")+COUNTIF($E177:AD177,1),ColDescriptionCourte)),""),
  "")),"")</f>
        <v/>
      </c>
      <c r="AF177" s="40" t="str">
        <f ca="1">IFERROR(IF(AND(
  INDEX(Roadmap!$D:$K,MATCH($E177,Roadmap!$D:$D,0)+COUNTIF($E177:AE177,"u")+COUNTIF($E177:AE177,"t")+COUNTIF($E177:AE177,"¶")+COUNTIF($E177:AE177,"²")+COUNTIF($E177:AE177,"µ")+COUNTIF($E177:AE177,1),ColLivraison)=AF$6,
  VLOOKUP($E177,INDIRECT("tri!"&amp; CHAR(64+ C0Col) &amp;":"&amp; CHAR(65+C0Col)),2,FALSE)&gt;COUNTIF($E177:AE177,"u")+COUNTIF($E177:AE177,"t")+COUNTIF($E177:AE177,"¶")+COUNTIF($E177:AE177,"²")+COUNTIF($E177:AE177,"µ")+COUNTIF($E177:AE177,1)),
HYPERLINK("#Roadmap!C"&amp; MATCH($E177,Roadmap!$D:$D,0)+COUNTIF($E177:AE177,"u")+COUNTIF($E177:AE177,"t"),
     INDEX(Roadmap!$D:$K,MATCH($E177,Roadmap!$D:$D,0)+COUNTIF($E177:AE177,"u")+COUNTIF($E177:AE177,"t")+COUNTIF($E177:AE177,"¶")+COUNTIF($E177:AE177,"²")+COUNTIF($E177:AE177,"µ")+COUNTIF($E177:AE177,1),ColTypeEcheance)),
  IF(LEN(AE177)=1,
  IF(LEN(INDEX(Roadmap!$D:$K,MATCH($E177,Roadmap!$D:$D,0)-1+COUNTIF($E177:AE177,"u")+COUNTIF($E177:AE177,"t")+COUNTIF($E177:AE177,"¶")+COUNTIF($E177:AE177,"²")+COUNTIF($E177:AE177,"µ")+COUNTIF($E177:AE177,1),ColDescriptionCourte))&gt;1,
HYPERLINK("#Roadmap!C"&amp; MATCH($E177,Roadmap!$D:$D,0)+COUNTIF($E177:AE177,"u")+COUNTIF($E177:AE177,"t")+COUNTIF($E177:AE177,"¶")+COUNTIF($E177:AE177,"²")+COUNTIF($E177:AE177,"µ")+COUNTIF($E177:AE177,1)-1,INDEX(Roadmap!$D:$K,MATCH($E177,Roadmap!$D:$D,0)-1+COUNTIF($E177:AE177,"u")+COUNTIF($E177:AE177,"t")+COUNTIF($E177:AE177,"¶")+COUNTIF($E177:AE177,"²")+COUNTIF($E177:AE177,"µ")+COUNTIF($E177:AE177,1),ColDescriptionCourte)),""),
  "")),"")</f>
        <v/>
      </c>
      <c r="AG177" s="40" t="str">
        <f ca="1">IFERROR(IF(AND(
  INDEX(Roadmap!$D:$K,MATCH($E177,Roadmap!$D:$D,0)+COUNTIF($E177:AF177,"u")+COUNTIF($E177:AF177,"t")+COUNTIF($E177:AF177,"¶")+COUNTIF($E177:AF177,"²")+COUNTIF($E177:AF177,"µ")+COUNTIF($E177:AF177,1),ColLivraison)=AG$6,
  VLOOKUP($E177,INDIRECT("tri!"&amp; CHAR(64+ C0Col) &amp;":"&amp; CHAR(65+C0Col)),2,FALSE)&gt;COUNTIF($E177:AF177,"u")+COUNTIF($E177:AF177,"t")+COUNTIF($E177:AF177,"¶")+COUNTIF($E177:AF177,"²")+COUNTIF($E177:AF177,"µ")+COUNTIF($E177:AF177,1)),
HYPERLINK("#Roadmap!C"&amp; MATCH($E177,Roadmap!$D:$D,0)+COUNTIF($E177:AF177,"u")+COUNTIF($E177:AF177,"t"),
     INDEX(Roadmap!$D:$K,MATCH($E177,Roadmap!$D:$D,0)+COUNTIF($E177:AF177,"u")+COUNTIF($E177:AF177,"t")+COUNTIF($E177:AF177,"¶")+COUNTIF($E177:AF177,"²")+COUNTIF($E177:AF177,"µ")+COUNTIF($E177:AF177,1),ColTypeEcheance)),
  IF(LEN(AF177)=1,
  IF(LEN(INDEX(Roadmap!$D:$K,MATCH($E177,Roadmap!$D:$D,0)-1+COUNTIF($E177:AF177,"u")+COUNTIF($E177:AF177,"t")+COUNTIF($E177:AF177,"¶")+COUNTIF($E177:AF177,"²")+COUNTIF($E177:AF177,"µ")+COUNTIF($E177:AF177,1),ColDescriptionCourte))&gt;1,
HYPERLINK("#Roadmap!C"&amp; MATCH($E177,Roadmap!$D:$D,0)+COUNTIF($E177:AF177,"u")+COUNTIF($E177:AF177,"t")+COUNTIF($E177:AF177,"¶")+COUNTIF($E177:AF177,"²")+COUNTIF($E177:AF177,"µ")+COUNTIF($E177:AF177,1)-1,INDEX(Roadmap!$D:$K,MATCH($E177,Roadmap!$D:$D,0)-1+COUNTIF($E177:AF177,"u")+COUNTIF($E177:AF177,"t")+COUNTIF($E177:AF177,"¶")+COUNTIF($E177:AF177,"²")+COUNTIF($E177:AF177,"µ")+COUNTIF($E177:AF177,1),ColDescriptionCourte)),""),
  "")),"")</f>
        <v/>
      </c>
    </row>
    <row r="178" spans="3:33" ht="14.25" customHeight="1">
      <c r="C178" s="1" t="str">
        <f t="shared" ca="1" si="54"/>
        <v/>
      </c>
      <c r="D178" s="1" t="str">
        <f t="shared" ca="1" si="55"/>
        <v/>
      </c>
      <c r="E178" s="35" t="str">
        <f t="shared" ca="1" si="51"/>
        <v/>
      </c>
      <c r="F178" s="39" t="str">
        <f ca="1">IFERROR(IF(AND(
  INDEX(Roadmap!$D:$K,MATCH($E178,Roadmap!$D:$D,0)+COUNTIF($E178:E178,"u")+COUNTIF($E178:E178,"t")+COUNTIF($E178:E178,"¶")+COUNTIF($E178:E178,"²")+COUNTIF($E178:E178,"µ")+COUNTIF($E178:E178,1),ColLivraison)=F$6,
  VLOOKUP($E178,INDIRECT("tri!"&amp; CHAR(64+ C0Col) &amp;":"&amp; CHAR(65+C0Col)),2,FALSE)&gt;COUNTIF($E178:E178,"u")+COUNTIF($E178:E178,"t")+COUNTIF($E178:E178,"¶")+COUNTIF($E178:E178,"²")+COUNTIF($E178:E178,"µ")+COUNTIF($E178:E178,1)),
HYPERLINK("#Roadmap!C"&amp; MATCH($E178,Roadmap!$D:$D,0)+COUNTIF($E178:E178,"u")+COUNTIF($E178:E178,"t"),
     INDEX(Roadmap!$D:$K,MATCH($E178,Roadmap!$D:$D,0)+COUNTIF($E178:E178,"u")+COUNTIF($E178:E178,"t")+COUNTIF($E178:E178,"¶")+COUNTIF($E178:E178,"²")+COUNTIF($E178:E178,"µ")+COUNTIF($E178:E178,1),ColTypeEcheance)),
  IF(LEN(E178)=1,
  IF(LEN(INDEX(Roadmap!$D:$K,MATCH($E178,Roadmap!$D:$D,0)-1+COUNTIF($E178:E178,"u")+COUNTIF($E178:E178,"t")+COUNTIF($E178:E178,"¶")+COUNTIF($E178:E178,"²")+COUNTIF($E178:E178,"µ")+COUNTIF($E178:E178,1),ColDescriptionCourte))&gt;1,
HYPERLINK("#Roadmap!C"&amp; MATCH($E178,Roadmap!$D:$D,0)+COUNTIF($E178:E178,"u")+COUNTIF($E178:E178,"t")+COUNTIF($E178:E178,"¶")+COUNTIF($E178:E178,"²")+COUNTIF($E178:E178,"µ")+COUNTIF($E178:E178,1)-1,INDEX(Roadmap!$D:$K,MATCH($E178,Roadmap!$D:$D,0)-1+COUNTIF($E178:E178,"u")+COUNTIF($E178:E178,"t")+COUNTIF($E178:E178,"¶")+COUNTIF($E178:E178,"²")+COUNTIF($E178:E178,"µ")+COUNTIF($E178:E178,1),ColDescriptionCourte)),""),
  "")),"")</f>
        <v/>
      </c>
      <c r="G178" s="40" t="str">
        <f ca="1">IFERROR(IF(AND(
  INDEX(Roadmap!$D:$K,MATCH($E178,Roadmap!$D:$D,0)+COUNTIF($E178:F178,"u")+COUNTIF($E178:F178,"t")+COUNTIF($E178:F178,"¶")+COUNTIF($E178:F178,"²")+COUNTIF($E178:F178,"µ")+COUNTIF($E178:F178,1),ColLivraison)=G$6,
  VLOOKUP($E178,INDIRECT("tri!"&amp; CHAR(64+ C0Col) &amp;":"&amp; CHAR(65+C0Col)),2,FALSE)&gt;COUNTIF($E178:F178,"u")+COUNTIF($E178:F178,"t")+COUNTIF($E178:F178,"¶")+COUNTIF($E178:F178,"²")+COUNTIF($E178:F178,"µ")+COUNTIF($E178:F178,1)),
HYPERLINK("#Roadmap!C"&amp; MATCH($E178,Roadmap!$D:$D,0)+COUNTIF($E178:F178,"u")+COUNTIF($E178:F178,"t"),
     INDEX(Roadmap!$D:$K,MATCH($E178,Roadmap!$D:$D,0)+COUNTIF($E178:F178,"u")+COUNTIF($E178:F178,"t")+COUNTIF($E178:F178,"¶")+COUNTIF($E178:F178,"²")+COUNTIF($E178:F178,"µ")+COUNTIF($E178:F178,1),ColTypeEcheance)),
  IF(LEN(F178)=1,
  IF(LEN(INDEX(Roadmap!$D:$K,MATCH($E178,Roadmap!$D:$D,0)-1+COUNTIF($E178:F178,"u")+COUNTIF($E178:F178,"t")+COUNTIF($E178:F178,"¶")+COUNTIF($E178:F178,"²")+COUNTIF($E178:F178,"µ")+COUNTIF($E178:F178,1),ColDescriptionCourte))&gt;1,
HYPERLINK("#Roadmap!C"&amp; MATCH($E178,Roadmap!$D:$D,0)+COUNTIF($E178:F178,"u")+COUNTIF($E178:F178,"t")+COUNTIF($E178:F178,"¶")+COUNTIF($E178:F178,"²")+COUNTIF($E178:F178,"µ")+COUNTIF($E178:F178,1)-1,INDEX(Roadmap!$D:$K,MATCH($E178,Roadmap!$D:$D,0)-1+COUNTIF($E178:F178,"u")+COUNTIF($E178:F178,"t")+COUNTIF($E178:F178,"¶")+COUNTIF($E178:F178,"²")+COUNTIF($E178:F178,"µ")+COUNTIF($E178:F178,1),ColDescriptionCourte)),""),
  "")),"")</f>
        <v/>
      </c>
      <c r="H178" s="40" t="str">
        <f ca="1">IFERROR(IF(AND(
  INDEX(Roadmap!$D:$K,MATCH($E178,Roadmap!$D:$D,0)+COUNTIF($E178:G178,"u")+COUNTIF($E178:G178,"t")+COUNTIF($E178:G178,"¶")+COUNTIF($E178:G178,"²")+COUNTIF($E178:G178,"µ")+COUNTIF($E178:G178,1),ColLivraison)=H$6,
  VLOOKUP($E178,INDIRECT("tri!"&amp; CHAR(64+ C0Col) &amp;":"&amp; CHAR(65+C0Col)),2,FALSE)&gt;COUNTIF($E178:G178,"u")+COUNTIF($E178:G178,"t")+COUNTIF($E178:G178,"¶")+COUNTIF($E178:G178,"²")+COUNTIF($E178:G178,"µ")+COUNTIF($E178:G178,1)),
HYPERLINK("#Roadmap!C"&amp; MATCH($E178,Roadmap!$D:$D,0)+COUNTIF($E178:G178,"u")+COUNTIF($E178:G178,"t"),
     INDEX(Roadmap!$D:$K,MATCH($E178,Roadmap!$D:$D,0)+COUNTIF($E178:G178,"u")+COUNTIF($E178:G178,"t")+COUNTIF($E178:G178,"¶")+COUNTIF($E178:G178,"²")+COUNTIF($E178:G178,"µ")+COUNTIF($E178:G178,1),ColTypeEcheance)),
  IF(LEN(G178)=1,
  IF(LEN(INDEX(Roadmap!$D:$K,MATCH($E178,Roadmap!$D:$D,0)-1+COUNTIF($E178:G178,"u")+COUNTIF($E178:G178,"t")+COUNTIF($E178:G178,"¶")+COUNTIF($E178:G178,"²")+COUNTIF($E178:G178,"µ")+COUNTIF($E178:G178,1),ColDescriptionCourte))&gt;1,
HYPERLINK("#Roadmap!C"&amp; MATCH($E178,Roadmap!$D:$D,0)+COUNTIF($E178:G178,"u")+COUNTIF($E178:G178,"t")+COUNTIF($E178:G178,"¶")+COUNTIF($E178:G178,"²")+COUNTIF($E178:G178,"µ")+COUNTIF($E178:G178,1)-1,INDEX(Roadmap!$D:$K,MATCH($E178,Roadmap!$D:$D,0)-1+COUNTIF($E178:G178,"u")+COUNTIF($E178:G178,"t")+COUNTIF($E178:G178,"¶")+COUNTIF($E178:G178,"²")+COUNTIF($E178:G178,"µ")+COUNTIF($E178:G178,1),ColDescriptionCourte)),""),
  "")),"")</f>
        <v/>
      </c>
      <c r="I178" s="40" t="str">
        <f ca="1">IFERROR(IF(AND(
  INDEX(Roadmap!$D:$K,MATCH($E178,Roadmap!$D:$D,0)+COUNTIF($E178:H178,"u")+COUNTIF($E178:H178,"t")+COUNTIF($E178:H178,"¶")+COUNTIF($E178:H178,"²")+COUNTIF($E178:H178,"µ")+COUNTIF($E178:H178,1),ColLivraison)=I$6,
  VLOOKUP($E178,INDIRECT("tri!"&amp; CHAR(64+ C0Col) &amp;":"&amp; CHAR(65+C0Col)),2,FALSE)&gt;COUNTIF($E178:H178,"u")+COUNTIF($E178:H178,"t")+COUNTIF($E178:H178,"¶")+COUNTIF($E178:H178,"²")+COUNTIF($E178:H178,"µ")+COUNTIF($E178:H178,1)),
HYPERLINK("#Roadmap!C"&amp; MATCH($E178,Roadmap!$D:$D,0)+COUNTIF($E178:H178,"u")+COUNTIF($E178:H178,"t"),
     INDEX(Roadmap!$D:$K,MATCH($E178,Roadmap!$D:$D,0)+COUNTIF($E178:H178,"u")+COUNTIF($E178:H178,"t")+COUNTIF($E178:H178,"¶")+COUNTIF($E178:H178,"²")+COUNTIF($E178:H178,"µ")+COUNTIF($E178:H178,1),ColTypeEcheance)),
  IF(LEN(H178)=1,
  IF(LEN(INDEX(Roadmap!$D:$K,MATCH($E178,Roadmap!$D:$D,0)-1+COUNTIF($E178:H178,"u")+COUNTIF($E178:H178,"t")+COUNTIF($E178:H178,"¶")+COUNTIF($E178:H178,"²")+COUNTIF($E178:H178,"µ")+COUNTIF($E178:H178,1),ColDescriptionCourte))&gt;1,
HYPERLINK("#Roadmap!C"&amp; MATCH($E178,Roadmap!$D:$D,0)+COUNTIF($E178:H178,"u")+COUNTIF($E178:H178,"t")+COUNTIF($E178:H178,"¶")+COUNTIF($E178:H178,"²")+COUNTIF($E178:H178,"µ")+COUNTIF($E178:H178,1)-1,INDEX(Roadmap!$D:$K,MATCH($E178,Roadmap!$D:$D,0)-1+COUNTIF($E178:H178,"u")+COUNTIF($E178:H178,"t")+COUNTIF($E178:H178,"¶")+COUNTIF($E178:H178,"²")+COUNTIF($E178:H178,"µ")+COUNTIF($E178:H178,1),ColDescriptionCourte)),""),
  "")),"")</f>
        <v/>
      </c>
      <c r="J178" s="40" t="str">
        <f ca="1">IFERROR(IF(AND(
  INDEX(Roadmap!$D:$K,MATCH($E178,Roadmap!$D:$D,0)+COUNTIF($E178:I178,"u")+COUNTIF($E178:I178,"t")+COUNTIF($E178:I178,"¶")+COUNTIF($E178:I178,"²")+COUNTIF($E178:I178,"µ")+COUNTIF($E178:I178,1),ColLivraison)=J$6,
  VLOOKUP($E178,INDIRECT("tri!"&amp; CHAR(64+ C0Col) &amp;":"&amp; CHAR(65+C0Col)),2,FALSE)&gt;COUNTIF($E178:I178,"u")+COUNTIF($E178:I178,"t")+COUNTIF($E178:I178,"¶")+COUNTIF($E178:I178,"²")+COUNTIF($E178:I178,"µ")+COUNTIF($E178:I178,1)),
HYPERLINK("#Roadmap!C"&amp; MATCH($E178,Roadmap!$D:$D,0)+COUNTIF($E178:I178,"u")+COUNTIF($E178:I178,"t"),
     INDEX(Roadmap!$D:$K,MATCH($E178,Roadmap!$D:$D,0)+COUNTIF($E178:I178,"u")+COUNTIF($E178:I178,"t")+COUNTIF($E178:I178,"¶")+COUNTIF($E178:I178,"²")+COUNTIF($E178:I178,"µ")+COUNTIF($E178:I178,1),ColTypeEcheance)),
  IF(LEN(I178)=1,
  IF(LEN(INDEX(Roadmap!$D:$K,MATCH($E178,Roadmap!$D:$D,0)-1+COUNTIF($E178:I178,"u")+COUNTIF($E178:I178,"t")+COUNTIF($E178:I178,"¶")+COUNTIF($E178:I178,"²")+COUNTIF($E178:I178,"µ")+COUNTIF($E178:I178,1),ColDescriptionCourte))&gt;1,
HYPERLINK("#Roadmap!C"&amp; MATCH($E178,Roadmap!$D:$D,0)+COUNTIF($E178:I178,"u")+COUNTIF($E178:I178,"t")+COUNTIF($E178:I178,"¶")+COUNTIF($E178:I178,"²")+COUNTIF($E178:I178,"µ")+COUNTIF($E178:I178,1)-1,INDEX(Roadmap!$D:$K,MATCH($E178,Roadmap!$D:$D,0)-1+COUNTIF($E178:I178,"u")+COUNTIF($E178:I178,"t")+COUNTIF($E178:I178,"¶")+COUNTIF($E178:I178,"²")+COUNTIF($E178:I178,"µ")+COUNTIF($E178:I178,1),ColDescriptionCourte)),""),
  "")),"")</f>
        <v/>
      </c>
      <c r="K178" s="40" t="str">
        <f ca="1">IFERROR(IF(AND(
  INDEX(Roadmap!$D:$K,MATCH($E178,Roadmap!$D:$D,0)+COUNTIF($E178:J178,"u")+COUNTIF($E178:J178,"t")+COUNTIF($E178:J178,"¶")+COUNTIF($E178:J178,"²")+COUNTIF($E178:J178,"µ")+COUNTIF($E178:J178,1),ColLivraison)=K$6,
  VLOOKUP($E178,INDIRECT("tri!"&amp; CHAR(64+ C0Col) &amp;":"&amp; CHAR(65+C0Col)),2,FALSE)&gt;COUNTIF($E178:J178,"u")+COUNTIF($E178:J178,"t")+COUNTIF($E178:J178,"¶")+COUNTIF($E178:J178,"²")+COUNTIF($E178:J178,"µ")+COUNTIF($E178:J178,1)),
HYPERLINK("#Roadmap!C"&amp; MATCH($E178,Roadmap!$D:$D,0)+COUNTIF($E178:J178,"u")+COUNTIF($E178:J178,"t"),
     INDEX(Roadmap!$D:$K,MATCH($E178,Roadmap!$D:$D,0)+COUNTIF($E178:J178,"u")+COUNTIF($E178:J178,"t")+COUNTIF($E178:J178,"¶")+COUNTIF($E178:J178,"²")+COUNTIF($E178:J178,"µ")+COUNTIF($E178:J178,1),ColTypeEcheance)),
  IF(LEN(J178)=1,
  IF(LEN(INDEX(Roadmap!$D:$K,MATCH($E178,Roadmap!$D:$D,0)-1+COUNTIF($E178:J178,"u")+COUNTIF($E178:J178,"t")+COUNTIF($E178:J178,"¶")+COUNTIF($E178:J178,"²")+COUNTIF($E178:J178,"µ")+COUNTIF($E178:J178,1),ColDescriptionCourte))&gt;1,
HYPERLINK("#Roadmap!C"&amp; MATCH($E178,Roadmap!$D:$D,0)+COUNTIF($E178:J178,"u")+COUNTIF($E178:J178,"t")+COUNTIF($E178:J178,"¶")+COUNTIF($E178:J178,"²")+COUNTIF($E178:J178,"µ")+COUNTIF($E178:J178,1)-1,INDEX(Roadmap!$D:$K,MATCH($E178,Roadmap!$D:$D,0)-1+COUNTIF($E178:J178,"u")+COUNTIF($E178:J178,"t")+COUNTIF($E178:J178,"¶")+COUNTIF($E178:J178,"²")+COUNTIF($E178:J178,"µ")+COUNTIF($E178:J178,1),ColDescriptionCourte)),""),
  "")),"")</f>
        <v/>
      </c>
      <c r="L178" s="39" t="str">
        <f ca="1">IFERROR(IF(AND(
  INDEX(Roadmap!$D:$K,MATCH($E178,Roadmap!$D:$D,0)+COUNTIF($E178:K178,"u")+COUNTIF($E178:K178,"t")+COUNTIF($E178:K178,"¶")+COUNTIF($E178:K178,"²")+COUNTIF($E178:K178,"µ")+COUNTIF($E178:K178,1),ColLivraison)=L$6,
  VLOOKUP($E178,INDIRECT("tri!"&amp; CHAR(64+ C0Col) &amp;":"&amp; CHAR(65+C0Col)),2,FALSE)&gt;COUNTIF($E178:K178,"u")+COUNTIF($E178:K178,"t")+COUNTIF($E178:K178,"¶")+COUNTIF($E178:K178,"²")+COUNTIF($E178:K178,"µ")+COUNTIF($E178:K178,1)),
HYPERLINK("#Roadmap!C"&amp; MATCH($E178,Roadmap!$D:$D,0)+COUNTIF($E178:K178,"u")+COUNTIF($E178:K178,"t"),
     INDEX(Roadmap!$D:$K,MATCH($E178,Roadmap!$D:$D,0)+COUNTIF($E178:K178,"u")+COUNTIF($E178:K178,"t")+COUNTIF($E178:K178,"¶")+COUNTIF($E178:K178,"²")+COUNTIF($E178:K178,"µ")+COUNTIF($E178:K178,1),ColTypeEcheance)),
  IF(LEN(K178)=1,
  IF(LEN(INDEX(Roadmap!$D:$K,MATCH($E178,Roadmap!$D:$D,0)-1+COUNTIF($E178:K178,"u")+COUNTIF($E178:K178,"t")+COUNTIF($E178:K178,"¶")+COUNTIF($E178:K178,"²")+COUNTIF($E178:K178,"µ")+COUNTIF($E178:K178,1),ColDescriptionCourte))&gt;1,
HYPERLINK("#Roadmap!C"&amp; MATCH($E178,Roadmap!$D:$D,0)+COUNTIF($E178:K178,"u")+COUNTIF($E178:K178,"t")+COUNTIF($E178:K178,"¶")+COUNTIF($E178:K178,"²")+COUNTIF($E178:K178,"µ")+COUNTIF($E178:K178,1)-1,INDEX(Roadmap!$D:$K,MATCH($E178,Roadmap!$D:$D,0)-1+COUNTIF($E178:K178,"u")+COUNTIF($E178:K178,"t")+COUNTIF($E178:K178,"¶")+COUNTIF($E178:K178,"²")+COUNTIF($E178:K178,"µ")+COUNTIF($E178:K178,1),ColDescriptionCourte)),""),
  "")),"")</f>
        <v/>
      </c>
      <c r="M178" s="40" t="str">
        <f ca="1">IFERROR(IF(AND(
  INDEX(Roadmap!$D:$K,MATCH($E178,Roadmap!$D:$D,0)+COUNTIF($E178:L178,"u")+COUNTIF($E178:L178,"t")+COUNTIF($E178:L178,"¶")+COUNTIF($E178:L178,"²")+COUNTIF($E178:L178,"µ")+COUNTIF($E178:L178,1),ColLivraison)=M$6,
  VLOOKUP($E178,INDIRECT("tri!"&amp; CHAR(64+ C0Col) &amp;":"&amp; CHAR(65+C0Col)),2,FALSE)&gt;COUNTIF($E178:L178,"u")+COUNTIF($E178:L178,"t")+COUNTIF($E178:L178,"¶")+COUNTIF($E178:L178,"²")+COUNTIF($E178:L178,"µ")+COUNTIF($E178:L178,1)),
HYPERLINK("#Roadmap!C"&amp; MATCH($E178,Roadmap!$D:$D,0)+COUNTIF($E178:L178,"u")+COUNTIF($E178:L178,"t"),
     INDEX(Roadmap!$D:$K,MATCH($E178,Roadmap!$D:$D,0)+COUNTIF($E178:L178,"u")+COUNTIF($E178:L178,"t")+COUNTIF($E178:L178,"¶")+COUNTIF($E178:L178,"²")+COUNTIF($E178:L178,"µ")+COUNTIF($E178:L178,1),ColTypeEcheance)),
  IF(LEN(L178)=1,
  IF(LEN(INDEX(Roadmap!$D:$K,MATCH($E178,Roadmap!$D:$D,0)-1+COUNTIF($E178:L178,"u")+COUNTIF($E178:L178,"t")+COUNTIF($E178:L178,"¶")+COUNTIF($E178:L178,"²")+COUNTIF($E178:L178,"µ")+COUNTIF($E178:L178,1),ColDescriptionCourte))&gt;1,
HYPERLINK("#Roadmap!C"&amp; MATCH($E178,Roadmap!$D:$D,0)+COUNTIF($E178:L178,"u")+COUNTIF($E178:L178,"t")+COUNTIF($E178:L178,"¶")+COUNTIF($E178:L178,"²")+COUNTIF($E178:L178,"µ")+COUNTIF($E178:L178,1)-1,INDEX(Roadmap!$D:$K,MATCH($E178,Roadmap!$D:$D,0)-1+COUNTIF($E178:L178,"u")+COUNTIF($E178:L178,"t")+COUNTIF($E178:L178,"¶")+COUNTIF($E178:L178,"²")+COUNTIF($E178:L178,"µ")+COUNTIF($E178:L178,1),ColDescriptionCourte)),""),
  "")),"")</f>
        <v/>
      </c>
      <c r="N178" s="40" t="str">
        <f ca="1">IFERROR(IF(AND(
  INDEX(Roadmap!$D:$K,MATCH($E178,Roadmap!$D:$D,0)+COUNTIF($E178:M178,"u")+COUNTIF($E178:M178,"t")+COUNTIF($E178:M178,"¶")+COUNTIF($E178:M178,"²")+COUNTIF($E178:M178,"µ")+COUNTIF($E178:M178,1),ColLivraison)=N$6,
  VLOOKUP($E178,INDIRECT("tri!"&amp; CHAR(64+ C0Col) &amp;":"&amp; CHAR(65+C0Col)),2,FALSE)&gt;COUNTIF($E178:M178,"u")+COUNTIF($E178:M178,"t")+COUNTIF($E178:M178,"¶")+COUNTIF($E178:M178,"²")+COUNTIF($E178:M178,"µ")+COUNTIF($E178:M178,1)),
HYPERLINK("#Roadmap!C"&amp; MATCH($E178,Roadmap!$D:$D,0)+COUNTIF($E178:M178,"u")+COUNTIF($E178:M178,"t"),
     INDEX(Roadmap!$D:$K,MATCH($E178,Roadmap!$D:$D,0)+COUNTIF($E178:M178,"u")+COUNTIF($E178:M178,"t")+COUNTIF($E178:M178,"¶")+COUNTIF($E178:M178,"²")+COUNTIF($E178:M178,"µ")+COUNTIF($E178:M178,1),ColTypeEcheance)),
  IF(LEN(M178)=1,
  IF(LEN(INDEX(Roadmap!$D:$K,MATCH($E178,Roadmap!$D:$D,0)-1+COUNTIF($E178:M178,"u")+COUNTIF($E178:M178,"t")+COUNTIF($E178:M178,"¶")+COUNTIF($E178:M178,"²")+COUNTIF($E178:M178,"µ")+COUNTIF($E178:M178,1),ColDescriptionCourte))&gt;1,
HYPERLINK("#Roadmap!C"&amp; MATCH($E178,Roadmap!$D:$D,0)+COUNTIF($E178:M178,"u")+COUNTIF($E178:M178,"t")+COUNTIF($E178:M178,"¶")+COUNTIF($E178:M178,"²")+COUNTIF($E178:M178,"µ")+COUNTIF($E178:M178,1)-1,INDEX(Roadmap!$D:$K,MATCH($E178,Roadmap!$D:$D,0)-1+COUNTIF($E178:M178,"u")+COUNTIF($E178:M178,"t")+COUNTIF($E178:M178,"¶")+COUNTIF($E178:M178,"²")+COUNTIF($E178:M178,"µ")+COUNTIF($E178:M178,1),ColDescriptionCourte)),""),
  "")),"")</f>
        <v/>
      </c>
      <c r="O178" s="40" t="str">
        <f ca="1">IFERROR(IF(AND(
  INDEX(Roadmap!$D:$K,MATCH($E178,Roadmap!$D:$D,0)+COUNTIF($E178:N178,"u")+COUNTIF($E178:N178,"t")+COUNTIF($E178:N178,"¶")+COUNTIF($E178:N178,"²")+COUNTIF($E178:N178,"µ")+COUNTIF($E178:N178,1),ColLivraison)=O$6,
  VLOOKUP($E178,INDIRECT("tri!"&amp; CHAR(64+ C0Col) &amp;":"&amp; CHAR(65+C0Col)),2,FALSE)&gt;COUNTIF($E178:N178,"u")+COUNTIF($E178:N178,"t")+COUNTIF($E178:N178,"¶")+COUNTIF($E178:N178,"²")+COUNTIF($E178:N178,"µ")+COUNTIF($E178:N178,1)),
HYPERLINK("#Roadmap!C"&amp; MATCH($E178,Roadmap!$D:$D,0)+COUNTIF($E178:N178,"u")+COUNTIF($E178:N178,"t"),
     INDEX(Roadmap!$D:$K,MATCH($E178,Roadmap!$D:$D,0)+COUNTIF($E178:N178,"u")+COUNTIF($E178:N178,"t")+COUNTIF($E178:N178,"¶")+COUNTIF($E178:N178,"²")+COUNTIF($E178:N178,"µ")+COUNTIF($E178:N178,1),ColTypeEcheance)),
  IF(LEN(N178)=1,
  IF(LEN(INDEX(Roadmap!$D:$K,MATCH($E178,Roadmap!$D:$D,0)-1+COUNTIF($E178:N178,"u")+COUNTIF($E178:N178,"t")+COUNTIF($E178:N178,"¶")+COUNTIF($E178:N178,"²")+COUNTIF($E178:N178,"µ")+COUNTIF($E178:N178,1),ColDescriptionCourte))&gt;1,
HYPERLINK("#Roadmap!C"&amp; MATCH($E178,Roadmap!$D:$D,0)+COUNTIF($E178:N178,"u")+COUNTIF($E178:N178,"t")+COUNTIF($E178:N178,"¶")+COUNTIF($E178:N178,"²")+COUNTIF($E178:N178,"µ")+COUNTIF($E178:N178,1)-1,INDEX(Roadmap!$D:$K,MATCH($E178,Roadmap!$D:$D,0)-1+COUNTIF($E178:N178,"u")+COUNTIF($E178:N178,"t")+COUNTIF($E178:N178,"¶")+COUNTIF($E178:N178,"²")+COUNTIF($E178:N178,"µ")+COUNTIF($E178:N178,1),ColDescriptionCourte)),""),
  "")),"")</f>
        <v/>
      </c>
      <c r="P178" s="40" t="str">
        <f ca="1">IFERROR(IF(AND(
  INDEX(Roadmap!$D:$K,MATCH($E178,Roadmap!$D:$D,0)+COUNTIF($E178:O178,"u")+COUNTIF($E178:O178,"t")+COUNTIF($E178:O178,"¶")+COUNTIF($E178:O178,"²")+COUNTIF($E178:O178,"µ")+COUNTIF($E178:O178,1),ColLivraison)=P$6,
  VLOOKUP($E178,INDIRECT("tri!"&amp; CHAR(64+ C0Col) &amp;":"&amp; CHAR(65+C0Col)),2,FALSE)&gt;COUNTIF($E178:O178,"u")+COUNTIF($E178:O178,"t")+COUNTIF($E178:O178,"¶")+COUNTIF($E178:O178,"²")+COUNTIF($E178:O178,"µ")+COUNTIF($E178:O178,1)),
HYPERLINK("#Roadmap!C"&amp; MATCH($E178,Roadmap!$D:$D,0)+COUNTIF($E178:O178,"u")+COUNTIF($E178:O178,"t"),
     INDEX(Roadmap!$D:$K,MATCH($E178,Roadmap!$D:$D,0)+COUNTIF($E178:O178,"u")+COUNTIF($E178:O178,"t")+COUNTIF($E178:O178,"¶")+COUNTIF($E178:O178,"²")+COUNTIF($E178:O178,"µ")+COUNTIF($E178:O178,1),ColTypeEcheance)),
  IF(LEN(O178)=1,
  IF(LEN(INDEX(Roadmap!$D:$K,MATCH($E178,Roadmap!$D:$D,0)-1+COUNTIF($E178:O178,"u")+COUNTIF($E178:O178,"t")+COUNTIF($E178:O178,"¶")+COUNTIF($E178:O178,"²")+COUNTIF($E178:O178,"µ")+COUNTIF($E178:O178,1),ColDescriptionCourte))&gt;1,
HYPERLINK("#Roadmap!C"&amp; MATCH($E178,Roadmap!$D:$D,0)+COUNTIF($E178:O178,"u")+COUNTIF($E178:O178,"t")+COUNTIF($E178:O178,"¶")+COUNTIF($E178:O178,"²")+COUNTIF($E178:O178,"µ")+COUNTIF($E178:O178,1)-1,INDEX(Roadmap!$D:$K,MATCH($E178,Roadmap!$D:$D,0)-1+COUNTIF($E178:O178,"u")+COUNTIF($E178:O178,"t")+COUNTIF($E178:O178,"¶")+COUNTIF($E178:O178,"²")+COUNTIF($E178:O178,"µ")+COUNTIF($E178:O178,1),ColDescriptionCourte)),""),
  "")),"")</f>
        <v/>
      </c>
      <c r="Q178" s="40" t="str">
        <f ca="1">IFERROR(IF(AND(
  INDEX(Roadmap!$D:$K,MATCH($E178,Roadmap!$D:$D,0)+COUNTIF($E178:P178,"u")+COUNTIF($E178:P178,"t")+COUNTIF($E178:P178,"¶")+COUNTIF($E178:P178,"²")+COUNTIF($E178:P178,"µ")+COUNTIF($E178:P178,1),ColLivraison)=Q$6,
  VLOOKUP($E178,INDIRECT("tri!"&amp; CHAR(64+ C0Col) &amp;":"&amp; CHAR(65+C0Col)),2,FALSE)&gt;COUNTIF($E178:P178,"u")+COUNTIF($E178:P178,"t")+COUNTIF($E178:P178,"¶")+COUNTIF($E178:P178,"²")+COUNTIF($E178:P178,"µ")+COUNTIF($E178:P178,1)),
HYPERLINK("#Roadmap!C"&amp; MATCH($E178,Roadmap!$D:$D,0)+COUNTIF($E178:P178,"u")+COUNTIF($E178:P178,"t"),
     INDEX(Roadmap!$D:$K,MATCH($E178,Roadmap!$D:$D,0)+COUNTIF($E178:P178,"u")+COUNTIF($E178:P178,"t")+COUNTIF($E178:P178,"¶")+COUNTIF($E178:P178,"²")+COUNTIF($E178:P178,"µ")+COUNTIF($E178:P178,1),ColTypeEcheance)),
  IF(LEN(P178)=1,
  IF(LEN(INDEX(Roadmap!$D:$K,MATCH($E178,Roadmap!$D:$D,0)-1+COUNTIF($E178:P178,"u")+COUNTIF($E178:P178,"t")+COUNTIF($E178:P178,"¶")+COUNTIF($E178:P178,"²")+COUNTIF($E178:P178,"µ")+COUNTIF($E178:P178,1),ColDescriptionCourte))&gt;1,
HYPERLINK("#Roadmap!C"&amp; MATCH($E178,Roadmap!$D:$D,0)+COUNTIF($E178:P178,"u")+COUNTIF($E178:P178,"t")+COUNTIF($E178:P178,"¶")+COUNTIF($E178:P178,"²")+COUNTIF($E178:P178,"µ")+COUNTIF($E178:P178,1)-1,INDEX(Roadmap!$D:$K,MATCH($E178,Roadmap!$D:$D,0)-1+COUNTIF($E178:P178,"u")+COUNTIF($E178:P178,"t")+COUNTIF($E178:P178,"¶")+COUNTIF($E178:P178,"²")+COUNTIF($E178:P178,"µ")+COUNTIF($E178:P178,1),ColDescriptionCourte)),""),
  "")),"")</f>
        <v/>
      </c>
      <c r="R178" s="40" t="str">
        <f ca="1">IFERROR(IF(AND(
  INDEX(Roadmap!$D:$K,MATCH($E178,Roadmap!$D:$D,0)+COUNTIF($E178:Q178,"u")+COUNTIF($E178:Q178,"t")+COUNTIF($E178:Q178,"¶")+COUNTIF($E178:Q178,"²")+COUNTIF($E178:Q178,"µ")+COUNTIF($E178:Q178,1),ColLivraison)=R$6,
  VLOOKUP($E178,INDIRECT("tri!"&amp; CHAR(64+ C0Col) &amp;":"&amp; CHAR(65+C0Col)),2,FALSE)&gt;COUNTIF($E178:Q178,"u")+COUNTIF($E178:Q178,"t")+COUNTIF($E178:Q178,"¶")+COUNTIF($E178:Q178,"²")+COUNTIF($E178:Q178,"µ")+COUNTIF($E178:Q178,1)),
HYPERLINK("#Roadmap!C"&amp; MATCH($E178,Roadmap!$D:$D,0)+COUNTIF($E178:Q178,"u")+COUNTIF($E178:Q178,"t"),
     INDEX(Roadmap!$D:$K,MATCH($E178,Roadmap!$D:$D,0)+COUNTIF($E178:Q178,"u")+COUNTIF($E178:Q178,"t")+COUNTIF($E178:Q178,"¶")+COUNTIF($E178:Q178,"²")+COUNTIF($E178:Q178,"µ")+COUNTIF($E178:Q178,1),ColTypeEcheance)),
  IF(LEN(Q178)=1,
  IF(LEN(INDEX(Roadmap!$D:$K,MATCH($E178,Roadmap!$D:$D,0)-1+COUNTIF($E178:Q178,"u")+COUNTIF($E178:Q178,"t")+COUNTIF($E178:Q178,"¶")+COUNTIF($E178:Q178,"²")+COUNTIF($E178:Q178,"µ")+COUNTIF($E178:Q178,1),ColDescriptionCourte))&gt;1,
HYPERLINK("#Roadmap!C"&amp; MATCH($E178,Roadmap!$D:$D,0)+COUNTIF($E178:Q178,"u")+COUNTIF($E178:Q178,"t")+COUNTIF($E178:Q178,"¶")+COUNTIF($E178:Q178,"²")+COUNTIF($E178:Q178,"µ")+COUNTIF($E178:Q178,1)-1,INDEX(Roadmap!$D:$K,MATCH($E178,Roadmap!$D:$D,0)-1+COUNTIF($E178:Q178,"u")+COUNTIF($E178:Q178,"t")+COUNTIF($E178:Q178,"¶")+COUNTIF($E178:Q178,"²")+COUNTIF($E178:Q178,"µ")+COUNTIF($E178:Q178,1),ColDescriptionCourte)),""),
  "")),"")</f>
        <v/>
      </c>
      <c r="S178" s="40" t="str">
        <f ca="1">IFERROR(IF(AND(
  INDEX(Roadmap!$D:$K,MATCH($E178,Roadmap!$D:$D,0)+COUNTIF($E178:R178,"u")+COUNTIF($E178:R178,"t")+COUNTIF($E178:R178,"¶")+COUNTIF($E178:R178,"²")+COUNTIF($E178:R178,"µ")+COUNTIF($E178:R178,1),ColLivraison)=S$6,
  VLOOKUP($E178,INDIRECT("tri!"&amp; CHAR(64+ C0Col) &amp;":"&amp; CHAR(65+C0Col)),2,FALSE)&gt;COUNTIF($E178:R178,"u")+COUNTIF($E178:R178,"t")+COUNTIF($E178:R178,"¶")+COUNTIF($E178:R178,"²")+COUNTIF($E178:R178,"µ")+COUNTIF($E178:R178,1)),
HYPERLINK("#Roadmap!C"&amp; MATCH($E178,Roadmap!$D:$D,0)+COUNTIF($E178:R178,"u")+COUNTIF($E178:R178,"t"),
     INDEX(Roadmap!$D:$K,MATCH($E178,Roadmap!$D:$D,0)+COUNTIF($E178:R178,"u")+COUNTIF($E178:R178,"t")+COUNTIF($E178:R178,"¶")+COUNTIF($E178:R178,"²")+COUNTIF($E178:R178,"µ")+COUNTIF($E178:R178,1),ColTypeEcheance)),
  IF(LEN(R178)=1,
  IF(LEN(INDEX(Roadmap!$D:$K,MATCH($E178,Roadmap!$D:$D,0)-1+COUNTIF($E178:R178,"u")+COUNTIF($E178:R178,"t")+COUNTIF($E178:R178,"¶")+COUNTIF($E178:R178,"²")+COUNTIF($E178:R178,"µ")+COUNTIF($E178:R178,1),ColDescriptionCourte))&gt;1,
HYPERLINK("#Roadmap!C"&amp; MATCH($E178,Roadmap!$D:$D,0)+COUNTIF($E178:R178,"u")+COUNTIF($E178:R178,"t")+COUNTIF($E178:R178,"¶")+COUNTIF($E178:R178,"²")+COUNTIF($E178:R178,"µ")+COUNTIF($E178:R178,1)-1,INDEX(Roadmap!$D:$K,MATCH($E178,Roadmap!$D:$D,0)-1+COUNTIF($E178:R178,"u")+COUNTIF($E178:R178,"t")+COUNTIF($E178:R178,"¶")+COUNTIF($E178:R178,"²")+COUNTIF($E178:R178,"µ")+COUNTIF($E178:R178,1),ColDescriptionCourte)),""),
  "")),"")</f>
        <v/>
      </c>
      <c r="T178" s="40" t="str">
        <f ca="1">IFERROR(IF(AND(
  INDEX(Roadmap!$D:$K,MATCH($E178,Roadmap!$D:$D,0)+COUNTIF($E178:S178,"u")+COUNTIF($E178:S178,"t")+COUNTIF($E178:S178,"¶")+COUNTIF($E178:S178,"²")+COUNTIF($E178:S178,"µ")+COUNTIF($E178:S178,1),ColLivraison)=T$6,
  VLOOKUP($E178,INDIRECT("tri!"&amp; CHAR(64+ C0Col) &amp;":"&amp; CHAR(65+C0Col)),2,FALSE)&gt;COUNTIF($E178:S178,"u")+COUNTIF($E178:S178,"t")+COUNTIF($E178:S178,"¶")+COUNTIF($E178:S178,"²")+COUNTIF($E178:S178,"µ")+COUNTIF($E178:S178,1)),
HYPERLINK("#Roadmap!C"&amp; MATCH($E178,Roadmap!$D:$D,0)+COUNTIF($E178:S178,"u")+COUNTIF($E178:S178,"t"),
     INDEX(Roadmap!$D:$K,MATCH($E178,Roadmap!$D:$D,0)+COUNTIF($E178:S178,"u")+COUNTIF($E178:S178,"t")+COUNTIF($E178:S178,"¶")+COUNTIF($E178:S178,"²")+COUNTIF($E178:S178,"µ")+COUNTIF($E178:S178,1),ColTypeEcheance)),
  IF(LEN(S178)=1,
  IF(LEN(INDEX(Roadmap!$D:$K,MATCH($E178,Roadmap!$D:$D,0)-1+COUNTIF($E178:S178,"u")+COUNTIF($E178:S178,"t")+COUNTIF($E178:S178,"¶")+COUNTIF($E178:S178,"²")+COUNTIF($E178:S178,"µ")+COUNTIF($E178:S178,1),ColDescriptionCourte))&gt;1,
HYPERLINK("#Roadmap!C"&amp; MATCH($E178,Roadmap!$D:$D,0)+COUNTIF($E178:S178,"u")+COUNTIF($E178:S178,"t")+COUNTIF($E178:S178,"¶")+COUNTIF($E178:S178,"²")+COUNTIF($E178:S178,"µ")+COUNTIF($E178:S178,1)-1,INDEX(Roadmap!$D:$K,MATCH($E178,Roadmap!$D:$D,0)-1+COUNTIF($E178:S178,"u")+COUNTIF($E178:S178,"t")+COUNTIF($E178:S178,"¶")+COUNTIF($E178:S178,"²")+COUNTIF($E178:S178,"µ")+COUNTIF($E178:S178,1),ColDescriptionCourte)),""),
  "")),"")</f>
        <v/>
      </c>
      <c r="U178" s="40" t="str">
        <f ca="1">IFERROR(IF(AND(
  INDEX(Roadmap!$D:$K,MATCH($E178,Roadmap!$D:$D,0)+COUNTIF($E178:T178,"u")+COUNTIF($E178:T178,"t")+COUNTIF($E178:T178,"¶")+COUNTIF($E178:T178,"²")+COUNTIF($E178:T178,"µ")+COUNTIF($E178:T178,1),ColLivraison)=U$6,
  VLOOKUP($E178,INDIRECT("tri!"&amp; CHAR(64+ C0Col) &amp;":"&amp; CHAR(65+C0Col)),2,FALSE)&gt;COUNTIF($E178:T178,"u")+COUNTIF($E178:T178,"t")+COUNTIF($E178:T178,"¶")+COUNTIF($E178:T178,"²")+COUNTIF($E178:T178,"µ")+COUNTIF($E178:T178,1)),
HYPERLINK("#Roadmap!C"&amp; MATCH($E178,Roadmap!$D:$D,0)+COUNTIF($E178:T178,"u")+COUNTIF($E178:T178,"t"),
     INDEX(Roadmap!$D:$K,MATCH($E178,Roadmap!$D:$D,0)+COUNTIF($E178:T178,"u")+COUNTIF($E178:T178,"t")+COUNTIF($E178:T178,"¶")+COUNTIF($E178:T178,"²")+COUNTIF($E178:T178,"µ")+COUNTIF($E178:T178,1),ColTypeEcheance)),
  IF(LEN(T178)=1,
  IF(LEN(INDEX(Roadmap!$D:$K,MATCH($E178,Roadmap!$D:$D,0)-1+COUNTIF($E178:T178,"u")+COUNTIF($E178:T178,"t")+COUNTIF($E178:T178,"¶")+COUNTIF($E178:T178,"²")+COUNTIF($E178:T178,"µ")+COUNTIF($E178:T178,1),ColDescriptionCourte))&gt;1,
HYPERLINK("#Roadmap!C"&amp; MATCH($E178,Roadmap!$D:$D,0)+COUNTIF($E178:T178,"u")+COUNTIF($E178:T178,"t")+COUNTIF($E178:T178,"¶")+COUNTIF($E178:T178,"²")+COUNTIF($E178:T178,"µ")+COUNTIF($E178:T178,1)-1,INDEX(Roadmap!$D:$K,MATCH($E178,Roadmap!$D:$D,0)-1+COUNTIF($E178:T178,"u")+COUNTIF($E178:T178,"t")+COUNTIF($E178:T178,"¶")+COUNTIF($E178:T178,"²")+COUNTIF($E178:T178,"µ")+COUNTIF($E178:T178,1),ColDescriptionCourte)),""),
  "")),"")</f>
        <v/>
      </c>
      <c r="V178" s="40" t="str">
        <f ca="1">IFERROR(IF(AND(
  INDEX(Roadmap!$D:$K,MATCH($E178,Roadmap!$D:$D,0)+COUNTIF($E178:U178,"u")+COUNTIF($E178:U178,"t")+COUNTIF($E178:U178,"¶")+COUNTIF($E178:U178,"²")+COUNTIF($E178:U178,"µ")+COUNTIF($E178:U178,1),ColLivraison)=V$6,
  VLOOKUP($E178,INDIRECT("tri!"&amp; CHAR(64+ C0Col) &amp;":"&amp; CHAR(65+C0Col)),2,FALSE)&gt;COUNTIF($E178:U178,"u")+COUNTIF($E178:U178,"t")+COUNTIF($E178:U178,"¶")+COUNTIF($E178:U178,"²")+COUNTIF($E178:U178,"µ")+COUNTIF($E178:U178,1)),
HYPERLINK("#Roadmap!C"&amp; MATCH($E178,Roadmap!$D:$D,0)+COUNTIF($E178:U178,"u")+COUNTIF($E178:U178,"t"),
     INDEX(Roadmap!$D:$K,MATCH($E178,Roadmap!$D:$D,0)+COUNTIF($E178:U178,"u")+COUNTIF($E178:U178,"t")+COUNTIF($E178:U178,"¶")+COUNTIF($E178:U178,"²")+COUNTIF($E178:U178,"µ")+COUNTIF($E178:U178,1),ColTypeEcheance)),
  IF(LEN(U178)=1,
  IF(LEN(INDEX(Roadmap!$D:$K,MATCH($E178,Roadmap!$D:$D,0)-1+COUNTIF($E178:U178,"u")+COUNTIF($E178:U178,"t")+COUNTIF($E178:U178,"¶")+COUNTIF($E178:U178,"²")+COUNTIF($E178:U178,"µ")+COUNTIF($E178:U178,1),ColDescriptionCourte))&gt;1,
HYPERLINK("#Roadmap!C"&amp; MATCH($E178,Roadmap!$D:$D,0)+COUNTIF($E178:U178,"u")+COUNTIF($E178:U178,"t")+COUNTIF($E178:U178,"¶")+COUNTIF($E178:U178,"²")+COUNTIF($E178:U178,"µ")+COUNTIF($E178:U178,1)-1,INDEX(Roadmap!$D:$K,MATCH($E178,Roadmap!$D:$D,0)-1+COUNTIF($E178:U178,"u")+COUNTIF($E178:U178,"t")+COUNTIF($E178:U178,"¶")+COUNTIF($E178:U178,"²")+COUNTIF($E178:U178,"µ")+COUNTIF($E178:U178,1),ColDescriptionCourte)),""),
  "")),"")</f>
        <v/>
      </c>
      <c r="W178" s="40" t="str">
        <f ca="1">IFERROR(IF(AND(
  INDEX(Roadmap!$D:$K,MATCH($E178,Roadmap!$D:$D,0)+COUNTIF($E178:V178,"u")+COUNTIF($E178:V178,"t")+COUNTIF($E178:V178,"¶")+COUNTIF($E178:V178,"²")+COUNTIF($E178:V178,"µ")+COUNTIF($E178:V178,1),ColLivraison)=W$6,
  VLOOKUP($E178,INDIRECT("tri!"&amp; CHAR(64+ C0Col) &amp;":"&amp; CHAR(65+C0Col)),2,FALSE)&gt;COUNTIF($E178:V178,"u")+COUNTIF($E178:V178,"t")+COUNTIF($E178:V178,"¶")+COUNTIF($E178:V178,"²")+COUNTIF($E178:V178,"µ")+COUNTIF($E178:V178,1)),
HYPERLINK("#Roadmap!C"&amp; MATCH($E178,Roadmap!$D:$D,0)+COUNTIF($E178:V178,"u")+COUNTIF($E178:V178,"t"),
     INDEX(Roadmap!$D:$K,MATCH($E178,Roadmap!$D:$D,0)+COUNTIF($E178:V178,"u")+COUNTIF($E178:V178,"t")+COUNTIF($E178:V178,"¶")+COUNTIF($E178:V178,"²")+COUNTIF($E178:V178,"µ")+COUNTIF($E178:V178,1),ColTypeEcheance)),
  IF(LEN(V178)=1,
  IF(LEN(INDEX(Roadmap!$D:$K,MATCH($E178,Roadmap!$D:$D,0)-1+COUNTIF($E178:V178,"u")+COUNTIF($E178:V178,"t")+COUNTIF($E178:V178,"¶")+COUNTIF($E178:V178,"²")+COUNTIF($E178:V178,"µ")+COUNTIF($E178:V178,1),ColDescriptionCourte))&gt;1,
HYPERLINK("#Roadmap!C"&amp; MATCH($E178,Roadmap!$D:$D,0)+COUNTIF($E178:V178,"u")+COUNTIF($E178:V178,"t")+COUNTIF($E178:V178,"¶")+COUNTIF($E178:V178,"²")+COUNTIF($E178:V178,"µ")+COUNTIF($E178:V178,1)-1,INDEX(Roadmap!$D:$K,MATCH($E178,Roadmap!$D:$D,0)-1+COUNTIF($E178:V178,"u")+COUNTIF($E178:V178,"t")+COUNTIF($E178:V178,"¶")+COUNTIF($E178:V178,"²")+COUNTIF($E178:V178,"µ")+COUNTIF($E178:V178,1),ColDescriptionCourte)),""),
  "")),"")</f>
        <v/>
      </c>
      <c r="X178" s="40" t="str">
        <f ca="1">IFERROR(IF(AND(
  INDEX(Roadmap!$D:$K,MATCH($E178,Roadmap!$D:$D,0)+COUNTIF($E178:W178,"u")+COUNTIF($E178:W178,"t")+COUNTIF($E178:W178,"¶")+COUNTIF($E178:W178,"²")+COUNTIF($E178:W178,"µ")+COUNTIF($E178:W178,1),ColLivraison)=X$6,
  VLOOKUP($E178,INDIRECT("tri!"&amp; CHAR(64+ C0Col) &amp;":"&amp; CHAR(65+C0Col)),2,FALSE)&gt;COUNTIF($E178:W178,"u")+COUNTIF($E178:W178,"t")+COUNTIF($E178:W178,"¶")+COUNTIF($E178:W178,"²")+COUNTIF($E178:W178,"µ")+COUNTIF($E178:W178,1)),
HYPERLINK("#Roadmap!C"&amp; MATCH($E178,Roadmap!$D:$D,0)+COUNTIF($E178:W178,"u")+COUNTIF($E178:W178,"t"),
     INDEX(Roadmap!$D:$K,MATCH($E178,Roadmap!$D:$D,0)+COUNTIF($E178:W178,"u")+COUNTIF($E178:W178,"t")+COUNTIF($E178:W178,"¶")+COUNTIF($E178:W178,"²")+COUNTIF($E178:W178,"µ")+COUNTIF($E178:W178,1),ColTypeEcheance)),
  IF(LEN(W178)=1,
  IF(LEN(INDEX(Roadmap!$D:$K,MATCH($E178,Roadmap!$D:$D,0)-1+COUNTIF($E178:W178,"u")+COUNTIF($E178:W178,"t")+COUNTIF($E178:W178,"¶")+COUNTIF($E178:W178,"²")+COUNTIF($E178:W178,"µ")+COUNTIF($E178:W178,1),ColDescriptionCourte))&gt;1,
HYPERLINK("#Roadmap!C"&amp; MATCH($E178,Roadmap!$D:$D,0)+COUNTIF($E178:W178,"u")+COUNTIF($E178:W178,"t")+COUNTIF($E178:W178,"¶")+COUNTIF($E178:W178,"²")+COUNTIF($E178:W178,"µ")+COUNTIF($E178:W178,1)-1,INDEX(Roadmap!$D:$K,MATCH($E178,Roadmap!$D:$D,0)-1+COUNTIF($E178:W178,"u")+COUNTIF($E178:W178,"t")+COUNTIF($E178:W178,"¶")+COUNTIF($E178:W178,"²")+COUNTIF($E178:W178,"µ")+COUNTIF($E178:W178,1),ColDescriptionCourte)),""),
  "")),"")</f>
        <v/>
      </c>
      <c r="Y178" s="40" t="str">
        <f ca="1">IFERROR(IF(AND(
  INDEX(Roadmap!$D:$K,MATCH($E178,Roadmap!$D:$D,0)+COUNTIF($E178:X178,"u")+COUNTIF($E178:X178,"t")+COUNTIF($E178:X178,"¶")+COUNTIF($E178:X178,"²")+COUNTIF($E178:X178,"µ")+COUNTIF($E178:X178,1),ColLivraison)=Y$6,
  VLOOKUP($E178,INDIRECT("tri!"&amp; CHAR(64+ C0Col) &amp;":"&amp; CHAR(65+C0Col)),2,FALSE)&gt;COUNTIF($E178:X178,"u")+COUNTIF($E178:X178,"t")+COUNTIF($E178:X178,"¶")+COUNTIF($E178:X178,"²")+COUNTIF($E178:X178,"µ")+COUNTIF($E178:X178,1)),
HYPERLINK("#Roadmap!C"&amp; MATCH($E178,Roadmap!$D:$D,0)+COUNTIF($E178:X178,"u")+COUNTIF($E178:X178,"t"),
     INDEX(Roadmap!$D:$K,MATCH($E178,Roadmap!$D:$D,0)+COUNTIF($E178:X178,"u")+COUNTIF($E178:X178,"t")+COUNTIF($E178:X178,"¶")+COUNTIF($E178:X178,"²")+COUNTIF($E178:X178,"µ")+COUNTIF($E178:X178,1),ColTypeEcheance)),
  IF(LEN(X178)=1,
  IF(LEN(INDEX(Roadmap!$D:$K,MATCH($E178,Roadmap!$D:$D,0)-1+COUNTIF($E178:X178,"u")+COUNTIF($E178:X178,"t")+COUNTIF($E178:X178,"¶")+COUNTIF($E178:X178,"²")+COUNTIF($E178:X178,"µ")+COUNTIF($E178:X178,1),ColDescriptionCourte))&gt;1,
HYPERLINK("#Roadmap!C"&amp; MATCH($E178,Roadmap!$D:$D,0)+COUNTIF($E178:X178,"u")+COUNTIF($E178:X178,"t")+COUNTIF($E178:X178,"¶")+COUNTIF($E178:X178,"²")+COUNTIF($E178:X178,"µ")+COUNTIF($E178:X178,1)-1,INDEX(Roadmap!$D:$K,MATCH($E178,Roadmap!$D:$D,0)-1+COUNTIF($E178:X178,"u")+COUNTIF($E178:X178,"t")+COUNTIF($E178:X178,"¶")+COUNTIF($E178:X178,"²")+COUNTIF($E178:X178,"µ")+COUNTIF($E178:X178,1),ColDescriptionCourte)),""),
  "")),"")</f>
        <v/>
      </c>
      <c r="Z178" s="40" t="str">
        <f ca="1">IFERROR(IF(AND(
  INDEX(Roadmap!$D:$K,MATCH($E178,Roadmap!$D:$D,0)+COUNTIF($E178:Y178,"u")+COUNTIF($E178:Y178,"t")+COUNTIF($E178:Y178,"¶")+COUNTIF($E178:Y178,"²")+COUNTIF($E178:Y178,"µ")+COUNTIF($E178:Y178,1),ColLivraison)=Z$6,
  VLOOKUP($E178,INDIRECT("tri!"&amp; CHAR(64+ C0Col) &amp;":"&amp; CHAR(65+C0Col)),2,FALSE)&gt;COUNTIF($E178:Y178,"u")+COUNTIF($E178:Y178,"t")+COUNTIF($E178:Y178,"¶")+COUNTIF($E178:Y178,"²")+COUNTIF($E178:Y178,"µ")+COUNTIF($E178:Y178,1)),
HYPERLINK("#Roadmap!C"&amp; MATCH($E178,Roadmap!$D:$D,0)+COUNTIF($E178:Y178,"u")+COUNTIF($E178:Y178,"t"),
     INDEX(Roadmap!$D:$K,MATCH($E178,Roadmap!$D:$D,0)+COUNTIF($E178:Y178,"u")+COUNTIF($E178:Y178,"t")+COUNTIF($E178:Y178,"¶")+COUNTIF($E178:Y178,"²")+COUNTIF($E178:Y178,"µ")+COUNTIF($E178:Y178,1),ColTypeEcheance)),
  IF(LEN(Y178)=1,
  IF(LEN(INDEX(Roadmap!$D:$K,MATCH($E178,Roadmap!$D:$D,0)-1+COUNTIF($E178:Y178,"u")+COUNTIF($E178:Y178,"t")+COUNTIF($E178:Y178,"¶")+COUNTIF($E178:Y178,"²")+COUNTIF($E178:Y178,"µ")+COUNTIF($E178:Y178,1),ColDescriptionCourte))&gt;1,
HYPERLINK("#Roadmap!C"&amp; MATCH($E178,Roadmap!$D:$D,0)+COUNTIF($E178:Y178,"u")+COUNTIF($E178:Y178,"t")+COUNTIF($E178:Y178,"¶")+COUNTIF($E178:Y178,"²")+COUNTIF($E178:Y178,"µ")+COUNTIF($E178:Y178,1)-1,INDEX(Roadmap!$D:$K,MATCH($E178,Roadmap!$D:$D,0)-1+COUNTIF($E178:Y178,"u")+COUNTIF($E178:Y178,"t")+COUNTIF($E178:Y178,"¶")+COUNTIF($E178:Y178,"²")+COUNTIF($E178:Y178,"µ")+COUNTIF($E178:Y178,1),ColDescriptionCourte)),""),
  "")),"")</f>
        <v/>
      </c>
      <c r="AA178" s="40" t="str">
        <f ca="1">IFERROR(IF(AND(
  INDEX(Roadmap!$D:$K,MATCH($E178,Roadmap!$D:$D,0)+COUNTIF($E178:Z178,"u")+COUNTIF($E178:Z178,"t")+COUNTIF($E178:Z178,"¶")+COUNTIF($E178:Z178,"²")+COUNTIF($E178:Z178,"µ")+COUNTIF($E178:Z178,1),ColLivraison)=AA$6,
  VLOOKUP($E178,INDIRECT("tri!"&amp; CHAR(64+ C0Col) &amp;":"&amp; CHAR(65+C0Col)),2,FALSE)&gt;COUNTIF($E178:Z178,"u")+COUNTIF($E178:Z178,"t")+COUNTIF($E178:Z178,"¶")+COUNTIF($E178:Z178,"²")+COUNTIF($E178:Z178,"µ")+COUNTIF($E178:Z178,1)),
HYPERLINK("#Roadmap!C"&amp; MATCH($E178,Roadmap!$D:$D,0)+COUNTIF($E178:Z178,"u")+COUNTIF($E178:Z178,"t"),
     INDEX(Roadmap!$D:$K,MATCH($E178,Roadmap!$D:$D,0)+COUNTIF($E178:Z178,"u")+COUNTIF($E178:Z178,"t")+COUNTIF($E178:Z178,"¶")+COUNTIF($E178:Z178,"²")+COUNTIF($E178:Z178,"µ")+COUNTIF($E178:Z178,1),ColTypeEcheance)),
  IF(LEN(Z178)=1,
  IF(LEN(INDEX(Roadmap!$D:$K,MATCH($E178,Roadmap!$D:$D,0)-1+COUNTIF($E178:Z178,"u")+COUNTIF($E178:Z178,"t")+COUNTIF($E178:Z178,"¶")+COUNTIF($E178:Z178,"²")+COUNTIF($E178:Z178,"µ")+COUNTIF($E178:Z178,1),ColDescriptionCourte))&gt;1,
HYPERLINK("#Roadmap!C"&amp; MATCH($E178,Roadmap!$D:$D,0)+COUNTIF($E178:Z178,"u")+COUNTIF($E178:Z178,"t")+COUNTIF($E178:Z178,"¶")+COUNTIF($E178:Z178,"²")+COUNTIF($E178:Z178,"µ")+COUNTIF($E178:Z178,1)-1,INDEX(Roadmap!$D:$K,MATCH($E178,Roadmap!$D:$D,0)-1+COUNTIF($E178:Z178,"u")+COUNTIF($E178:Z178,"t")+COUNTIF($E178:Z178,"¶")+COUNTIF($E178:Z178,"²")+COUNTIF($E178:Z178,"µ")+COUNTIF($E178:Z178,1),ColDescriptionCourte)),""),
  "")),"")</f>
        <v/>
      </c>
      <c r="AB178" s="40" t="str">
        <f ca="1">IFERROR(IF(AND(
  INDEX(Roadmap!$D:$K,MATCH($E178,Roadmap!$D:$D,0)+COUNTIF($E178:AA178,"u")+COUNTIF($E178:AA178,"t")+COUNTIF($E178:AA178,"¶")+COUNTIF($E178:AA178,"²")+COUNTIF($E178:AA178,"µ")+COUNTIF($E178:AA178,1),ColLivraison)=AB$6,
  VLOOKUP($E178,INDIRECT("tri!"&amp; CHAR(64+ C0Col) &amp;":"&amp; CHAR(65+C0Col)),2,FALSE)&gt;COUNTIF($E178:AA178,"u")+COUNTIF($E178:AA178,"t")+COUNTIF($E178:AA178,"¶")+COUNTIF($E178:AA178,"²")+COUNTIF($E178:AA178,"µ")+COUNTIF($E178:AA178,1)),
HYPERLINK("#Roadmap!C"&amp; MATCH($E178,Roadmap!$D:$D,0)+COUNTIF($E178:AA178,"u")+COUNTIF($E178:AA178,"t"),
     INDEX(Roadmap!$D:$K,MATCH($E178,Roadmap!$D:$D,0)+COUNTIF($E178:AA178,"u")+COUNTIF($E178:AA178,"t")+COUNTIF($E178:AA178,"¶")+COUNTIF($E178:AA178,"²")+COUNTIF($E178:AA178,"µ")+COUNTIF($E178:AA178,1),ColTypeEcheance)),
  IF(LEN(AA178)=1,
  IF(LEN(INDEX(Roadmap!$D:$K,MATCH($E178,Roadmap!$D:$D,0)-1+COUNTIF($E178:AA178,"u")+COUNTIF($E178:AA178,"t")+COUNTIF($E178:AA178,"¶")+COUNTIF($E178:AA178,"²")+COUNTIF($E178:AA178,"µ")+COUNTIF($E178:AA178,1),ColDescriptionCourte))&gt;1,
HYPERLINK("#Roadmap!C"&amp; MATCH($E178,Roadmap!$D:$D,0)+COUNTIF($E178:AA178,"u")+COUNTIF($E178:AA178,"t")+COUNTIF($E178:AA178,"¶")+COUNTIF($E178:AA178,"²")+COUNTIF($E178:AA178,"µ")+COUNTIF($E178:AA178,1)-1,INDEX(Roadmap!$D:$K,MATCH($E178,Roadmap!$D:$D,0)-1+COUNTIF($E178:AA178,"u")+COUNTIF($E178:AA178,"t")+COUNTIF($E178:AA178,"¶")+COUNTIF($E178:AA178,"²")+COUNTIF($E178:AA178,"µ")+COUNTIF($E178:AA178,1),ColDescriptionCourte)),""),
  "")),"")</f>
        <v/>
      </c>
      <c r="AC178" s="40" t="str">
        <f ca="1">IFERROR(IF(AND(
  INDEX(Roadmap!$D:$K,MATCH($E178,Roadmap!$D:$D,0)+COUNTIF($E178:AB178,"u")+COUNTIF($E178:AB178,"t")+COUNTIF($E178:AB178,"¶")+COUNTIF($E178:AB178,"²")+COUNTIF($E178:AB178,"µ")+COUNTIF($E178:AB178,1),ColLivraison)=AC$6,
  VLOOKUP($E178,INDIRECT("tri!"&amp; CHAR(64+ C0Col) &amp;":"&amp; CHAR(65+C0Col)),2,FALSE)&gt;COUNTIF($E178:AB178,"u")+COUNTIF($E178:AB178,"t")+COUNTIF($E178:AB178,"¶")+COUNTIF($E178:AB178,"²")+COUNTIF($E178:AB178,"µ")+COUNTIF($E178:AB178,1)),
HYPERLINK("#Roadmap!C"&amp; MATCH($E178,Roadmap!$D:$D,0)+COUNTIF($E178:AB178,"u")+COUNTIF($E178:AB178,"t"),
     INDEX(Roadmap!$D:$K,MATCH($E178,Roadmap!$D:$D,0)+COUNTIF($E178:AB178,"u")+COUNTIF($E178:AB178,"t")+COUNTIF($E178:AB178,"¶")+COUNTIF($E178:AB178,"²")+COUNTIF($E178:AB178,"µ")+COUNTIF($E178:AB178,1),ColTypeEcheance)),
  IF(LEN(AB178)=1,
  IF(LEN(INDEX(Roadmap!$D:$K,MATCH($E178,Roadmap!$D:$D,0)-1+COUNTIF($E178:AB178,"u")+COUNTIF($E178:AB178,"t")+COUNTIF($E178:AB178,"¶")+COUNTIF($E178:AB178,"²")+COUNTIF($E178:AB178,"µ")+COUNTIF($E178:AB178,1),ColDescriptionCourte))&gt;1,
HYPERLINK("#Roadmap!C"&amp; MATCH($E178,Roadmap!$D:$D,0)+COUNTIF($E178:AB178,"u")+COUNTIF($E178:AB178,"t")+COUNTIF($E178:AB178,"¶")+COUNTIF($E178:AB178,"²")+COUNTIF($E178:AB178,"µ")+COUNTIF($E178:AB178,1)-1,INDEX(Roadmap!$D:$K,MATCH($E178,Roadmap!$D:$D,0)-1+COUNTIF($E178:AB178,"u")+COUNTIF($E178:AB178,"t")+COUNTIF($E178:AB178,"¶")+COUNTIF($E178:AB178,"²")+COUNTIF($E178:AB178,"µ")+COUNTIF($E178:AB178,1),ColDescriptionCourte)),""),
  "")),"")</f>
        <v/>
      </c>
      <c r="AD178" s="40" t="str">
        <f ca="1">IFERROR(IF(AND(
  INDEX(Roadmap!$D:$K,MATCH($E178,Roadmap!$D:$D,0)+COUNTIF($E178:AC178,"u")+COUNTIF($E178:AC178,"t")+COUNTIF($E178:AC178,"¶")+COUNTIF($E178:AC178,"²")+COUNTIF($E178:AC178,"µ")+COUNTIF($E178:AC178,1),ColLivraison)=AD$6,
  VLOOKUP($E178,INDIRECT("tri!"&amp; CHAR(64+ C0Col) &amp;":"&amp; CHAR(65+C0Col)),2,FALSE)&gt;COUNTIF($E178:AC178,"u")+COUNTIF($E178:AC178,"t")+COUNTIF($E178:AC178,"¶")+COUNTIF($E178:AC178,"²")+COUNTIF($E178:AC178,"µ")+COUNTIF($E178:AC178,1)),
HYPERLINK("#Roadmap!C"&amp; MATCH($E178,Roadmap!$D:$D,0)+COUNTIF($E178:AC178,"u")+COUNTIF($E178:AC178,"t"),
     INDEX(Roadmap!$D:$K,MATCH($E178,Roadmap!$D:$D,0)+COUNTIF($E178:AC178,"u")+COUNTIF($E178:AC178,"t")+COUNTIF($E178:AC178,"¶")+COUNTIF($E178:AC178,"²")+COUNTIF($E178:AC178,"µ")+COUNTIF($E178:AC178,1),ColTypeEcheance)),
  IF(LEN(AC178)=1,
  IF(LEN(INDEX(Roadmap!$D:$K,MATCH($E178,Roadmap!$D:$D,0)-1+COUNTIF($E178:AC178,"u")+COUNTIF($E178:AC178,"t")+COUNTIF($E178:AC178,"¶")+COUNTIF($E178:AC178,"²")+COUNTIF($E178:AC178,"µ")+COUNTIF($E178:AC178,1),ColDescriptionCourte))&gt;1,
HYPERLINK("#Roadmap!C"&amp; MATCH($E178,Roadmap!$D:$D,0)+COUNTIF($E178:AC178,"u")+COUNTIF($E178:AC178,"t")+COUNTIF($E178:AC178,"¶")+COUNTIF($E178:AC178,"²")+COUNTIF($E178:AC178,"µ")+COUNTIF($E178:AC178,1)-1,INDEX(Roadmap!$D:$K,MATCH($E178,Roadmap!$D:$D,0)-1+COUNTIF($E178:AC178,"u")+COUNTIF($E178:AC178,"t")+COUNTIF($E178:AC178,"¶")+COUNTIF($E178:AC178,"²")+COUNTIF($E178:AC178,"µ")+COUNTIF($E178:AC178,1),ColDescriptionCourte)),""),
  "")),"")</f>
        <v/>
      </c>
      <c r="AE178" s="40" t="str">
        <f ca="1">IFERROR(IF(AND(
  INDEX(Roadmap!$D:$K,MATCH($E178,Roadmap!$D:$D,0)+COUNTIF($E178:AD178,"u")+COUNTIF($E178:AD178,"t")+COUNTIF($E178:AD178,"¶")+COUNTIF($E178:AD178,"²")+COUNTIF($E178:AD178,"µ")+COUNTIF($E178:AD178,1),ColLivraison)=AE$6,
  VLOOKUP($E178,INDIRECT("tri!"&amp; CHAR(64+ C0Col) &amp;":"&amp; CHAR(65+C0Col)),2,FALSE)&gt;COUNTIF($E178:AD178,"u")+COUNTIF($E178:AD178,"t")+COUNTIF($E178:AD178,"¶")+COUNTIF($E178:AD178,"²")+COUNTIF($E178:AD178,"µ")+COUNTIF($E178:AD178,1)),
HYPERLINK("#Roadmap!C"&amp; MATCH($E178,Roadmap!$D:$D,0)+COUNTIF($E178:AD178,"u")+COUNTIF($E178:AD178,"t"),
     INDEX(Roadmap!$D:$K,MATCH($E178,Roadmap!$D:$D,0)+COUNTIF($E178:AD178,"u")+COUNTIF($E178:AD178,"t")+COUNTIF($E178:AD178,"¶")+COUNTIF($E178:AD178,"²")+COUNTIF($E178:AD178,"µ")+COUNTIF($E178:AD178,1),ColTypeEcheance)),
  IF(LEN(AD178)=1,
  IF(LEN(INDEX(Roadmap!$D:$K,MATCH($E178,Roadmap!$D:$D,0)-1+COUNTIF($E178:AD178,"u")+COUNTIF($E178:AD178,"t")+COUNTIF($E178:AD178,"¶")+COUNTIF($E178:AD178,"²")+COUNTIF($E178:AD178,"µ")+COUNTIF($E178:AD178,1),ColDescriptionCourte))&gt;1,
HYPERLINK("#Roadmap!C"&amp; MATCH($E178,Roadmap!$D:$D,0)+COUNTIF($E178:AD178,"u")+COUNTIF($E178:AD178,"t")+COUNTIF($E178:AD178,"¶")+COUNTIF($E178:AD178,"²")+COUNTIF($E178:AD178,"µ")+COUNTIF($E178:AD178,1)-1,INDEX(Roadmap!$D:$K,MATCH($E178,Roadmap!$D:$D,0)-1+COUNTIF($E178:AD178,"u")+COUNTIF($E178:AD178,"t")+COUNTIF($E178:AD178,"¶")+COUNTIF($E178:AD178,"²")+COUNTIF($E178:AD178,"µ")+COUNTIF($E178:AD178,1),ColDescriptionCourte)),""),
  "")),"")</f>
        <v/>
      </c>
      <c r="AF178" s="40" t="str">
        <f ca="1">IFERROR(IF(AND(
  INDEX(Roadmap!$D:$K,MATCH($E178,Roadmap!$D:$D,0)+COUNTIF($E178:AE178,"u")+COUNTIF($E178:AE178,"t")+COUNTIF($E178:AE178,"¶")+COUNTIF($E178:AE178,"²")+COUNTIF($E178:AE178,"µ")+COUNTIF($E178:AE178,1),ColLivraison)=AF$6,
  VLOOKUP($E178,INDIRECT("tri!"&amp; CHAR(64+ C0Col) &amp;":"&amp; CHAR(65+C0Col)),2,FALSE)&gt;COUNTIF($E178:AE178,"u")+COUNTIF($E178:AE178,"t")+COUNTIF($E178:AE178,"¶")+COUNTIF($E178:AE178,"²")+COUNTIF($E178:AE178,"µ")+COUNTIF($E178:AE178,1)),
HYPERLINK("#Roadmap!C"&amp; MATCH($E178,Roadmap!$D:$D,0)+COUNTIF($E178:AE178,"u")+COUNTIF($E178:AE178,"t"),
     INDEX(Roadmap!$D:$K,MATCH($E178,Roadmap!$D:$D,0)+COUNTIF($E178:AE178,"u")+COUNTIF($E178:AE178,"t")+COUNTIF($E178:AE178,"¶")+COUNTIF($E178:AE178,"²")+COUNTIF($E178:AE178,"µ")+COUNTIF($E178:AE178,1),ColTypeEcheance)),
  IF(LEN(AE178)=1,
  IF(LEN(INDEX(Roadmap!$D:$K,MATCH($E178,Roadmap!$D:$D,0)-1+COUNTIF($E178:AE178,"u")+COUNTIF($E178:AE178,"t")+COUNTIF($E178:AE178,"¶")+COUNTIF($E178:AE178,"²")+COUNTIF($E178:AE178,"µ")+COUNTIF($E178:AE178,1),ColDescriptionCourte))&gt;1,
HYPERLINK("#Roadmap!C"&amp; MATCH($E178,Roadmap!$D:$D,0)+COUNTIF($E178:AE178,"u")+COUNTIF($E178:AE178,"t")+COUNTIF($E178:AE178,"¶")+COUNTIF($E178:AE178,"²")+COUNTIF($E178:AE178,"µ")+COUNTIF($E178:AE178,1)-1,INDEX(Roadmap!$D:$K,MATCH($E178,Roadmap!$D:$D,0)-1+COUNTIF($E178:AE178,"u")+COUNTIF($E178:AE178,"t")+COUNTIF($E178:AE178,"¶")+COUNTIF($E178:AE178,"²")+COUNTIF($E178:AE178,"µ")+COUNTIF($E178:AE178,1),ColDescriptionCourte)),""),
  "")),"")</f>
        <v/>
      </c>
      <c r="AG178" s="40" t="str">
        <f ca="1">IFERROR(IF(AND(
  INDEX(Roadmap!$D:$K,MATCH($E178,Roadmap!$D:$D,0)+COUNTIF($E178:AF178,"u")+COUNTIF($E178:AF178,"t")+COUNTIF($E178:AF178,"¶")+COUNTIF($E178:AF178,"²")+COUNTIF($E178:AF178,"µ")+COUNTIF($E178:AF178,1),ColLivraison)=AG$6,
  VLOOKUP($E178,INDIRECT("tri!"&amp; CHAR(64+ C0Col) &amp;":"&amp; CHAR(65+C0Col)),2,FALSE)&gt;COUNTIF($E178:AF178,"u")+COUNTIF($E178:AF178,"t")+COUNTIF($E178:AF178,"¶")+COUNTIF($E178:AF178,"²")+COUNTIF($E178:AF178,"µ")+COUNTIF($E178:AF178,1)),
HYPERLINK("#Roadmap!C"&amp; MATCH($E178,Roadmap!$D:$D,0)+COUNTIF($E178:AF178,"u")+COUNTIF($E178:AF178,"t"),
     INDEX(Roadmap!$D:$K,MATCH($E178,Roadmap!$D:$D,0)+COUNTIF($E178:AF178,"u")+COUNTIF($E178:AF178,"t")+COUNTIF($E178:AF178,"¶")+COUNTIF($E178:AF178,"²")+COUNTIF($E178:AF178,"µ")+COUNTIF($E178:AF178,1),ColTypeEcheance)),
  IF(LEN(AF178)=1,
  IF(LEN(INDEX(Roadmap!$D:$K,MATCH($E178,Roadmap!$D:$D,0)-1+COUNTIF($E178:AF178,"u")+COUNTIF($E178:AF178,"t")+COUNTIF($E178:AF178,"¶")+COUNTIF($E178:AF178,"²")+COUNTIF($E178:AF178,"µ")+COUNTIF($E178:AF178,1),ColDescriptionCourte))&gt;1,
HYPERLINK("#Roadmap!C"&amp; MATCH($E178,Roadmap!$D:$D,0)+COUNTIF($E178:AF178,"u")+COUNTIF($E178:AF178,"t")+COUNTIF($E178:AF178,"¶")+COUNTIF($E178:AF178,"²")+COUNTIF($E178:AF178,"µ")+COUNTIF($E178:AF178,1)-1,INDEX(Roadmap!$D:$K,MATCH($E178,Roadmap!$D:$D,0)-1+COUNTIF($E178:AF178,"u")+COUNTIF($E178:AF178,"t")+COUNTIF($E178:AF178,"¶")+COUNTIF($E178:AF178,"²")+COUNTIF($E178:AF178,"µ")+COUNTIF($E178:AF178,1),ColDescriptionCourte)),""),
  "")),"")</f>
        <v/>
      </c>
    </row>
    <row r="179" spans="3:33" ht="14.25" customHeight="1">
      <c r="C179" s="1" t="str">
        <f t="shared" ca="1" si="54"/>
        <v/>
      </c>
      <c r="D179" s="1" t="str">
        <f t="shared" ca="1" si="55"/>
        <v/>
      </c>
      <c r="E179" s="35" t="str">
        <f t="shared" ca="1" si="51"/>
        <v/>
      </c>
      <c r="F179" s="39" t="str">
        <f ca="1">IFERROR(IF(AND(
  INDEX(Roadmap!$D:$K,MATCH($E179,Roadmap!$D:$D,0)+COUNTIF($E179:E179,"u")+COUNTIF($E179:E179,"t")+COUNTIF($E179:E179,"¶")+COUNTIF($E179:E179,"²")+COUNTIF($E179:E179,"µ")+COUNTIF($E179:E179,1),ColLivraison)=F$6,
  VLOOKUP($E179,INDIRECT("tri!"&amp; CHAR(64+ C0Col) &amp;":"&amp; CHAR(65+C0Col)),2,FALSE)&gt;COUNTIF($E179:E179,"u")+COUNTIF($E179:E179,"t")+COUNTIF($E179:E179,"¶")+COUNTIF($E179:E179,"²")+COUNTIF($E179:E179,"µ")+COUNTIF($E179:E179,1)),
HYPERLINK("#Roadmap!C"&amp; MATCH($E179,Roadmap!$D:$D,0)+COUNTIF($E179:E179,"u")+COUNTIF($E179:E179,"t"),
     INDEX(Roadmap!$D:$K,MATCH($E179,Roadmap!$D:$D,0)+COUNTIF($E179:E179,"u")+COUNTIF($E179:E179,"t")+COUNTIF($E179:E179,"¶")+COUNTIF($E179:E179,"²")+COUNTIF($E179:E179,"µ")+COUNTIF($E179:E179,1),ColTypeEcheance)),
  IF(LEN(E179)=1,
  IF(LEN(INDEX(Roadmap!$D:$K,MATCH($E179,Roadmap!$D:$D,0)-1+COUNTIF($E179:E179,"u")+COUNTIF($E179:E179,"t")+COUNTIF($E179:E179,"¶")+COUNTIF($E179:E179,"²")+COUNTIF($E179:E179,"µ")+COUNTIF($E179:E179,1),ColDescriptionCourte))&gt;1,
HYPERLINK("#Roadmap!C"&amp; MATCH($E179,Roadmap!$D:$D,0)+COUNTIF($E179:E179,"u")+COUNTIF($E179:E179,"t")+COUNTIF($E179:E179,"¶")+COUNTIF($E179:E179,"²")+COUNTIF($E179:E179,"µ")+COUNTIF($E179:E179,1)-1,INDEX(Roadmap!$D:$K,MATCH($E179,Roadmap!$D:$D,0)-1+COUNTIF($E179:E179,"u")+COUNTIF($E179:E179,"t")+COUNTIF($E179:E179,"¶")+COUNTIF($E179:E179,"²")+COUNTIF($E179:E179,"µ")+COUNTIF($E179:E179,1),ColDescriptionCourte)),""),
  "")),"")</f>
        <v/>
      </c>
      <c r="G179" s="40" t="str">
        <f ca="1">IFERROR(IF(AND(
  INDEX(Roadmap!$D:$K,MATCH($E179,Roadmap!$D:$D,0)+COUNTIF($E179:F179,"u")+COUNTIF($E179:F179,"t")+COUNTIF($E179:F179,"¶")+COUNTIF($E179:F179,"²")+COUNTIF($E179:F179,"µ")+COUNTIF($E179:F179,1),ColLivraison)=G$6,
  VLOOKUP($E179,INDIRECT("tri!"&amp; CHAR(64+ C0Col) &amp;":"&amp; CHAR(65+C0Col)),2,FALSE)&gt;COUNTIF($E179:F179,"u")+COUNTIF($E179:F179,"t")+COUNTIF($E179:F179,"¶")+COUNTIF($E179:F179,"²")+COUNTIF($E179:F179,"µ")+COUNTIF($E179:F179,1)),
HYPERLINK("#Roadmap!C"&amp; MATCH($E179,Roadmap!$D:$D,0)+COUNTIF($E179:F179,"u")+COUNTIF($E179:F179,"t"),
     INDEX(Roadmap!$D:$K,MATCH($E179,Roadmap!$D:$D,0)+COUNTIF($E179:F179,"u")+COUNTIF($E179:F179,"t")+COUNTIF($E179:F179,"¶")+COUNTIF($E179:F179,"²")+COUNTIF($E179:F179,"µ")+COUNTIF($E179:F179,1),ColTypeEcheance)),
  IF(LEN(F179)=1,
  IF(LEN(INDEX(Roadmap!$D:$K,MATCH($E179,Roadmap!$D:$D,0)-1+COUNTIF($E179:F179,"u")+COUNTIF($E179:F179,"t")+COUNTIF($E179:F179,"¶")+COUNTIF($E179:F179,"²")+COUNTIF($E179:F179,"µ")+COUNTIF($E179:F179,1),ColDescriptionCourte))&gt;1,
HYPERLINK("#Roadmap!C"&amp; MATCH($E179,Roadmap!$D:$D,0)+COUNTIF($E179:F179,"u")+COUNTIF($E179:F179,"t")+COUNTIF($E179:F179,"¶")+COUNTIF($E179:F179,"²")+COUNTIF($E179:F179,"µ")+COUNTIF($E179:F179,1)-1,INDEX(Roadmap!$D:$K,MATCH($E179,Roadmap!$D:$D,0)-1+COUNTIF($E179:F179,"u")+COUNTIF($E179:F179,"t")+COUNTIF($E179:F179,"¶")+COUNTIF($E179:F179,"²")+COUNTIF($E179:F179,"µ")+COUNTIF($E179:F179,1),ColDescriptionCourte)),""),
  "")),"")</f>
        <v/>
      </c>
      <c r="H179" s="40" t="str">
        <f ca="1">IFERROR(IF(AND(
  INDEX(Roadmap!$D:$K,MATCH($E179,Roadmap!$D:$D,0)+COUNTIF($E179:G179,"u")+COUNTIF($E179:G179,"t")+COUNTIF($E179:G179,"¶")+COUNTIF($E179:G179,"²")+COUNTIF($E179:G179,"µ")+COUNTIF($E179:G179,1),ColLivraison)=H$6,
  VLOOKUP($E179,INDIRECT("tri!"&amp; CHAR(64+ C0Col) &amp;":"&amp; CHAR(65+C0Col)),2,FALSE)&gt;COUNTIF($E179:G179,"u")+COUNTIF($E179:G179,"t")+COUNTIF($E179:G179,"¶")+COUNTIF($E179:G179,"²")+COUNTIF($E179:G179,"µ")+COUNTIF($E179:G179,1)),
HYPERLINK("#Roadmap!C"&amp; MATCH($E179,Roadmap!$D:$D,0)+COUNTIF($E179:G179,"u")+COUNTIF($E179:G179,"t"),
     INDEX(Roadmap!$D:$K,MATCH($E179,Roadmap!$D:$D,0)+COUNTIF($E179:G179,"u")+COUNTIF($E179:G179,"t")+COUNTIF($E179:G179,"¶")+COUNTIF($E179:G179,"²")+COUNTIF($E179:G179,"µ")+COUNTIF($E179:G179,1),ColTypeEcheance)),
  IF(LEN(G179)=1,
  IF(LEN(INDEX(Roadmap!$D:$K,MATCH($E179,Roadmap!$D:$D,0)-1+COUNTIF($E179:G179,"u")+COUNTIF($E179:G179,"t")+COUNTIF($E179:G179,"¶")+COUNTIF($E179:G179,"²")+COUNTIF($E179:G179,"µ")+COUNTIF($E179:G179,1),ColDescriptionCourte))&gt;1,
HYPERLINK("#Roadmap!C"&amp; MATCH($E179,Roadmap!$D:$D,0)+COUNTIF($E179:G179,"u")+COUNTIF($E179:G179,"t")+COUNTIF($E179:G179,"¶")+COUNTIF($E179:G179,"²")+COUNTIF($E179:G179,"µ")+COUNTIF($E179:G179,1)-1,INDEX(Roadmap!$D:$K,MATCH($E179,Roadmap!$D:$D,0)-1+COUNTIF($E179:G179,"u")+COUNTIF($E179:G179,"t")+COUNTIF($E179:G179,"¶")+COUNTIF($E179:G179,"²")+COUNTIF($E179:G179,"µ")+COUNTIF($E179:G179,1),ColDescriptionCourte)),""),
  "")),"")</f>
        <v/>
      </c>
      <c r="I179" s="40" t="str">
        <f ca="1">IFERROR(IF(AND(
  INDEX(Roadmap!$D:$K,MATCH($E179,Roadmap!$D:$D,0)+COUNTIF($E179:H179,"u")+COUNTIF($E179:H179,"t")+COUNTIF($E179:H179,"¶")+COUNTIF($E179:H179,"²")+COUNTIF($E179:H179,"µ")+COUNTIF($E179:H179,1),ColLivraison)=I$6,
  VLOOKUP($E179,INDIRECT("tri!"&amp; CHAR(64+ C0Col) &amp;":"&amp; CHAR(65+C0Col)),2,FALSE)&gt;COUNTIF($E179:H179,"u")+COUNTIF($E179:H179,"t")+COUNTIF($E179:H179,"¶")+COUNTIF($E179:H179,"²")+COUNTIF($E179:H179,"µ")+COUNTIF($E179:H179,1)),
HYPERLINK("#Roadmap!C"&amp; MATCH($E179,Roadmap!$D:$D,0)+COUNTIF($E179:H179,"u")+COUNTIF($E179:H179,"t"),
     INDEX(Roadmap!$D:$K,MATCH($E179,Roadmap!$D:$D,0)+COUNTIF($E179:H179,"u")+COUNTIF($E179:H179,"t")+COUNTIF($E179:H179,"¶")+COUNTIF($E179:H179,"²")+COUNTIF($E179:H179,"µ")+COUNTIF($E179:H179,1),ColTypeEcheance)),
  IF(LEN(H179)=1,
  IF(LEN(INDEX(Roadmap!$D:$K,MATCH($E179,Roadmap!$D:$D,0)-1+COUNTIF($E179:H179,"u")+COUNTIF($E179:H179,"t")+COUNTIF($E179:H179,"¶")+COUNTIF($E179:H179,"²")+COUNTIF($E179:H179,"µ")+COUNTIF($E179:H179,1),ColDescriptionCourte))&gt;1,
HYPERLINK("#Roadmap!C"&amp; MATCH($E179,Roadmap!$D:$D,0)+COUNTIF($E179:H179,"u")+COUNTIF($E179:H179,"t")+COUNTIF($E179:H179,"¶")+COUNTIF($E179:H179,"²")+COUNTIF($E179:H179,"µ")+COUNTIF($E179:H179,1)-1,INDEX(Roadmap!$D:$K,MATCH($E179,Roadmap!$D:$D,0)-1+COUNTIF($E179:H179,"u")+COUNTIF($E179:H179,"t")+COUNTIF($E179:H179,"¶")+COUNTIF($E179:H179,"²")+COUNTIF($E179:H179,"µ")+COUNTIF($E179:H179,1),ColDescriptionCourte)),""),
  "")),"")</f>
        <v/>
      </c>
      <c r="J179" s="40" t="str">
        <f ca="1">IFERROR(IF(AND(
  INDEX(Roadmap!$D:$K,MATCH($E179,Roadmap!$D:$D,0)+COUNTIF($E179:I179,"u")+COUNTIF($E179:I179,"t")+COUNTIF($E179:I179,"¶")+COUNTIF($E179:I179,"²")+COUNTIF($E179:I179,"µ")+COUNTIF($E179:I179,1),ColLivraison)=J$6,
  VLOOKUP($E179,INDIRECT("tri!"&amp; CHAR(64+ C0Col) &amp;":"&amp; CHAR(65+C0Col)),2,FALSE)&gt;COUNTIF($E179:I179,"u")+COUNTIF($E179:I179,"t")+COUNTIF($E179:I179,"¶")+COUNTIF($E179:I179,"²")+COUNTIF($E179:I179,"µ")+COUNTIF($E179:I179,1)),
HYPERLINK("#Roadmap!C"&amp; MATCH($E179,Roadmap!$D:$D,0)+COUNTIF($E179:I179,"u")+COUNTIF($E179:I179,"t"),
     INDEX(Roadmap!$D:$K,MATCH($E179,Roadmap!$D:$D,0)+COUNTIF($E179:I179,"u")+COUNTIF($E179:I179,"t")+COUNTIF($E179:I179,"¶")+COUNTIF($E179:I179,"²")+COUNTIF($E179:I179,"µ")+COUNTIF($E179:I179,1),ColTypeEcheance)),
  IF(LEN(I179)=1,
  IF(LEN(INDEX(Roadmap!$D:$K,MATCH($E179,Roadmap!$D:$D,0)-1+COUNTIF($E179:I179,"u")+COUNTIF($E179:I179,"t")+COUNTIF($E179:I179,"¶")+COUNTIF($E179:I179,"²")+COUNTIF($E179:I179,"µ")+COUNTIF($E179:I179,1),ColDescriptionCourte))&gt;1,
HYPERLINK("#Roadmap!C"&amp; MATCH($E179,Roadmap!$D:$D,0)+COUNTIF($E179:I179,"u")+COUNTIF($E179:I179,"t")+COUNTIF($E179:I179,"¶")+COUNTIF($E179:I179,"²")+COUNTIF($E179:I179,"µ")+COUNTIF($E179:I179,1)-1,INDEX(Roadmap!$D:$K,MATCH($E179,Roadmap!$D:$D,0)-1+COUNTIF($E179:I179,"u")+COUNTIF($E179:I179,"t")+COUNTIF($E179:I179,"¶")+COUNTIF($E179:I179,"²")+COUNTIF($E179:I179,"µ")+COUNTIF($E179:I179,1),ColDescriptionCourte)),""),
  "")),"")</f>
        <v/>
      </c>
      <c r="K179" s="40" t="str">
        <f ca="1">IFERROR(IF(AND(
  INDEX(Roadmap!$D:$K,MATCH($E179,Roadmap!$D:$D,0)+COUNTIF($E179:J179,"u")+COUNTIF($E179:J179,"t")+COUNTIF($E179:J179,"¶")+COUNTIF($E179:J179,"²")+COUNTIF($E179:J179,"µ")+COUNTIF($E179:J179,1),ColLivraison)=K$6,
  VLOOKUP($E179,INDIRECT("tri!"&amp; CHAR(64+ C0Col) &amp;":"&amp; CHAR(65+C0Col)),2,FALSE)&gt;COUNTIF($E179:J179,"u")+COUNTIF($E179:J179,"t")+COUNTIF($E179:J179,"¶")+COUNTIF($E179:J179,"²")+COUNTIF($E179:J179,"µ")+COUNTIF($E179:J179,1)),
HYPERLINK("#Roadmap!C"&amp; MATCH($E179,Roadmap!$D:$D,0)+COUNTIF($E179:J179,"u")+COUNTIF($E179:J179,"t"),
     INDEX(Roadmap!$D:$K,MATCH($E179,Roadmap!$D:$D,0)+COUNTIF($E179:J179,"u")+COUNTIF($E179:J179,"t")+COUNTIF($E179:J179,"¶")+COUNTIF($E179:J179,"²")+COUNTIF($E179:J179,"µ")+COUNTIF($E179:J179,1),ColTypeEcheance)),
  IF(LEN(J179)=1,
  IF(LEN(INDEX(Roadmap!$D:$K,MATCH($E179,Roadmap!$D:$D,0)-1+COUNTIF($E179:J179,"u")+COUNTIF($E179:J179,"t")+COUNTIF($E179:J179,"¶")+COUNTIF($E179:J179,"²")+COUNTIF($E179:J179,"µ")+COUNTIF($E179:J179,1),ColDescriptionCourte))&gt;1,
HYPERLINK("#Roadmap!C"&amp; MATCH($E179,Roadmap!$D:$D,0)+COUNTIF($E179:J179,"u")+COUNTIF($E179:J179,"t")+COUNTIF($E179:J179,"¶")+COUNTIF($E179:J179,"²")+COUNTIF($E179:J179,"µ")+COUNTIF($E179:J179,1)-1,INDEX(Roadmap!$D:$K,MATCH($E179,Roadmap!$D:$D,0)-1+COUNTIF($E179:J179,"u")+COUNTIF($E179:J179,"t")+COUNTIF($E179:J179,"¶")+COUNTIF($E179:J179,"²")+COUNTIF($E179:J179,"µ")+COUNTIF($E179:J179,1),ColDescriptionCourte)),""),
  "")),"")</f>
        <v/>
      </c>
      <c r="L179" s="39" t="str">
        <f ca="1">IFERROR(IF(AND(
  INDEX(Roadmap!$D:$K,MATCH($E179,Roadmap!$D:$D,0)+COUNTIF($E179:K179,"u")+COUNTIF($E179:K179,"t")+COUNTIF($E179:K179,"¶")+COUNTIF($E179:K179,"²")+COUNTIF($E179:K179,"µ")+COUNTIF($E179:K179,1),ColLivraison)=L$6,
  VLOOKUP($E179,INDIRECT("tri!"&amp; CHAR(64+ C0Col) &amp;":"&amp; CHAR(65+C0Col)),2,FALSE)&gt;COUNTIF($E179:K179,"u")+COUNTIF($E179:K179,"t")+COUNTIF($E179:K179,"¶")+COUNTIF($E179:K179,"²")+COUNTIF($E179:K179,"µ")+COUNTIF($E179:K179,1)),
HYPERLINK("#Roadmap!C"&amp; MATCH($E179,Roadmap!$D:$D,0)+COUNTIF($E179:K179,"u")+COUNTIF($E179:K179,"t"),
     INDEX(Roadmap!$D:$K,MATCH($E179,Roadmap!$D:$D,0)+COUNTIF($E179:K179,"u")+COUNTIF($E179:K179,"t")+COUNTIF($E179:K179,"¶")+COUNTIF($E179:K179,"²")+COUNTIF($E179:K179,"µ")+COUNTIF($E179:K179,1),ColTypeEcheance)),
  IF(LEN(K179)=1,
  IF(LEN(INDEX(Roadmap!$D:$K,MATCH($E179,Roadmap!$D:$D,0)-1+COUNTIF($E179:K179,"u")+COUNTIF($E179:K179,"t")+COUNTIF($E179:K179,"¶")+COUNTIF($E179:K179,"²")+COUNTIF($E179:K179,"µ")+COUNTIF($E179:K179,1),ColDescriptionCourte))&gt;1,
HYPERLINK("#Roadmap!C"&amp; MATCH($E179,Roadmap!$D:$D,0)+COUNTIF($E179:K179,"u")+COUNTIF($E179:K179,"t")+COUNTIF($E179:K179,"¶")+COUNTIF($E179:K179,"²")+COUNTIF($E179:K179,"µ")+COUNTIF($E179:K179,1)-1,INDEX(Roadmap!$D:$K,MATCH($E179,Roadmap!$D:$D,0)-1+COUNTIF($E179:K179,"u")+COUNTIF($E179:K179,"t")+COUNTIF($E179:K179,"¶")+COUNTIF($E179:K179,"²")+COUNTIF($E179:K179,"µ")+COUNTIF($E179:K179,1),ColDescriptionCourte)),""),
  "")),"")</f>
        <v/>
      </c>
      <c r="M179" s="40" t="str">
        <f ca="1">IFERROR(IF(AND(
  INDEX(Roadmap!$D:$K,MATCH($E179,Roadmap!$D:$D,0)+COUNTIF($E179:L179,"u")+COUNTIF($E179:L179,"t")+COUNTIF($E179:L179,"¶")+COUNTIF($E179:L179,"²")+COUNTIF($E179:L179,"µ")+COUNTIF($E179:L179,1),ColLivraison)=M$6,
  VLOOKUP($E179,INDIRECT("tri!"&amp; CHAR(64+ C0Col) &amp;":"&amp; CHAR(65+C0Col)),2,FALSE)&gt;COUNTIF($E179:L179,"u")+COUNTIF($E179:L179,"t")+COUNTIF($E179:L179,"¶")+COUNTIF($E179:L179,"²")+COUNTIF($E179:L179,"µ")+COUNTIF($E179:L179,1)),
HYPERLINK("#Roadmap!C"&amp; MATCH($E179,Roadmap!$D:$D,0)+COUNTIF($E179:L179,"u")+COUNTIF($E179:L179,"t"),
     INDEX(Roadmap!$D:$K,MATCH($E179,Roadmap!$D:$D,0)+COUNTIF($E179:L179,"u")+COUNTIF($E179:L179,"t")+COUNTIF($E179:L179,"¶")+COUNTIF($E179:L179,"²")+COUNTIF($E179:L179,"µ")+COUNTIF($E179:L179,1),ColTypeEcheance)),
  IF(LEN(L179)=1,
  IF(LEN(INDEX(Roadmap!$D:$K,MATCH($E179,Roadmap!$D:$D,0)-1+COUNTIF($E179:L179,"u")+COUNTIF($E179:L179,"t")+COUNTIF($E179:L179,"¶")+COUNTIF($E179:L179,"²")+COUNTIF($E179:L179,"µ")+COUNTIF($E179:L179,1),ColDescriptionCourte))&gt;1,
HYPERLINK("#Roadmap!C"&amp; MATCH($E179,Roadmap!$D:$D,0)+COUNTIF($E179:L179,"u")+COUNTIF($E179:L179,"t")+COUNTIF($E179:L179,"¶")+COUNTIF($E179:L179,"²")+COUNTIF($E179:L179,"µ")+COUNTIF($E179:L179,1)-1,INDEX(Roadmap!$D:$K,MATCH($E179,Roadmap!$D:$D,0)-1+COUNTIF($E179:L179,"u")+COUNTIF($E179:L179,"t")+COUNTIF($E179:L179,"¶")+COUNTIF($E179:L179,"²")+COUNTIF($E179:L179,"µ")+COUNTIF($E179:L179,1),ColDescriptionCourte)),""),
  "")),"")</f>
        <v/>
      </c>
      <c r="N179" s="40" t="str">
        <f ca="1">IFERROR(IF(AND(
  INDEX(Roadmap!$D:$K,MATCH($E179,Roadmap!$D:$D,0)+COUNTIF($E179:M179,"u")+COUNTIF($E179:M179,"t")+COUNTIF($E179:M179,"¶")+COUNTIF($E179:M179,"²")+COUNTIF($E179:M179,"µ")+COUNTIF($E179:M179,1),ColLivraison)=N$6,
  VLOOKUP($E179,INDIRECT("tri!"&amp; CHAR(64+ C0Col) &amp;":"&amp; CHAR(65+C0Col)),2,FALSE)&gt;COUNTIF($E179:M179,"u")+COUNTIF($E179:M179,"t")+COUNTIF($E179:M179,"¶")+COUNTIF($E179:M179,"²")+COUNTIF($E179:M179,"µ")+COUNTIF($E179:M179,1)),
HYPERLINK("#Roadmap!C"&amp; MATCH($E179,Roadmap!$D:$D,0)+COUNTIF($E179:M179,"u")+COUNTIF($E179:M179,"t"),
     INDEX(Roadmap!$D:$K,MATCH($E179,Roadmap!$D:$D,0)+COUNTIF($E179:M179,"u")+COUNTIF($E179:M179,"t")+COUNTIF($E179:M179,"¶")+COUNTIF($E179:M179,"²")+COUNTIF($E179:M179,"µ")+COUNTIF($E179:M179,1),ColTypeEcheance)),
  IF(LEN(M179)=1,
  IF(LEN(INDEX(Roadmap!$D:$K,MATCH($E179,Roadmap!$D:$D,0)-1+COUNTIF($E179:M179,"u")+COUNTIF($E179:M179,"t")+COUNTIF($E179:M179,"¶")+COUNTIF($E179:M179,"²")+COUNTIF($E179:M179,"µ")+COUNTIF($E179:M179,1),ColDescriptionCourte))&gt;1,
HYPERLINK("#Roadmap!C"&amp; MATCH($E179,Roadmap!$D:$D,0)+COUNTIF($E179:M179,"u")+COUNTIF($E179:M179,"t")+COUNTIF($E179:M179,"¶")+COUNTIF($E179:M179,"²")+COUNTIF($E179:M179,"µ")+COUNTIF($E179:M179,1)-1,INDEX(Roadmap!$D:$K,MATCH($E179,Roadmap!$D:$D,0)-1+COUNTIF($E179:M179,"u")+COUNTIF($E179:M179,"t")+COUNTIF($E179:M179,"¶")+COUNTIF($E179:M179,"²")+COUNTIF($E179:M179,"µ")+COUNTIF($E179:M179,1),ColDescriptionCourte)),""),
  "")),"")</f>
        <v/>
      </c>
      <c r="O179" s="40" t="str">
        <f ca="1">IFERROR(IF(AND(
  INDEX(Roadmap!$D:$K,MATCH($E179,Roadmap!$D:$D,0)+COUNTIF($E179:N179,"u")+COUNTIF($E179:N179,"t")+COUNTIF($E179:N179,"¶")+COUNTIF($E179:N179,"²")+COUNTIF($E179:N179,"µ")+COUNTIF($E179:N179,1),ColLivraison)=O$6,
  VLOOKUP($E179,INDIRECT("tri!"&amp; CHAR(64+ C0Col) &amp;":"&amp; CHAR(65+C0Col)),2,FALSE)&gt;COUNTIF($E179:N179,"u")+COUNTIF($E179:N179,"t")+COUNTIF($E179:N179,"¶")+COUNTIF($E179:N179,"²")+COUNTIF($E179:N179,"µ")+COUNTIF($E179:N179,1)),
HYPERLINK("#Roadmap!C"&amp; MATCH($E179,Roadmap!$D:$D,0)+COUNTIF($E179:N179,"u")+COUNTIF($E179:N179,"t"),
     INDEX(Roadmap!$D:$K,MATCH($E179,Roadmap!$D:$D,0)+COUNTIF($E179:N179,"u")+COUNTIF($E179:N179,"t")+COUNTIF($E179:N179,"¶")+COUNTIF($E179:N179,"²")+COUNTIF($E179:N179,"µ")+COUNTIF($E179:N179,1),ColTypeEcheance)),
  IF(LEN(N179)=1,
  IF(LEN(INDEX(Roadmap!$D:$K,MATCH($E179,Roadmap!$D:$D,0)-1+COUNTIF($E179:N179,"u")+COUNTIF($E179:N179,"t")+COUNTIF($E179:N179,"¶")+COUNTIF($E179:N179,"²")+COUNTIF($E179:N179,"µ")+COUNTIF($E179:N179,1),ColDescriptionCourte))&gt;1,
HYPERLINK("#Roadmap!C"&amp; MATCH($E179,Roadmap!$D:$D,0)+COUNTIF($E179:N179,"u")+COUNTIF($E179:N179,"t")+COUNTIF($E179:N179,"¶")+COUNTIF($E179:N179,"²")+COUNTIF($E179:N179,"µ")+COUNTIF($E179:N179,1)-1,INDEX(Roadmap!$D:$K,MATCH($E179,Roadmap!$D:$D,0)-1+COUNTIF($E179:N179,"u")+COUNTIF($E179:N179,"t")+COUNTIF($E179:N179,"¶")+COUNTIF($E179:N179,"²")+COUNTIF($E179:N179,"µ")+COUNTIF($E179:N179,1),ColDescriptionCourte)),""),
  "")),"")</f>
        <v/>
      </c>
      <c r="P179" s="40" t="str">
        <f ca="1">IFERROR(IF(AND(
  INDEX(Roadmap!$D:$K,MATCH($E179,Roadmap!$D:$D,0)+COUNTIF($E179:O179,"u")+COUNTIF($E179:O179,"t")+COUNTIF($E179:O179,"¶")+COUNTIF($E179:O179,"²")+COUNTIF($E179:O179,"µ")+COUNTIF($E179:O179,1),ColLivraison)=P$6,
  VLOOKUP($E179,INDIRECT("tri!"&amp; CHAR(64+ C0Col) &amp;":"&amp; CHAR(65+C0Col)),2,FALSE)&gt;COUNTIF($E179:O179,"u")+COUNTIF($E179:O179,"t")+COUNTIF($E179:O179,"¶")+COUNTIF($E179:O179,"²")+COUNTIF($E179:O179,"µ")+COUNTIF($E179:O179,1)),
HYPERLINK("#Roadmap!C"&amp; MATCH($E179,Roadmap!$D:$D,0)+COUNTIF($E179:O179,"u")+COUNTIF($E179:O179,"t"),
     INDEX(Roadmap!$D:$K,MATCH($E179,Roadmap!$D:$D,0)+COUNTIF($E179:O179,"u")+COUNTIF($E179:O179,"t")+COUNTIF($E179:O179,"¶")+COUNTIF($E179:O179,"²")+COUNTIF($E179:O179,"µ")+COUNTIF($E179:O179,1),ColTypeEcheance)),
  IF(LEN(O179)=1,
  IF(LEN(INDEX(Roadmap!$D:$K,MATCH($E179,Roadmap!$D:$D,0)-1+COUNTIF($E179:O179,"u")+COUNTIF($E179:O179,"t")+COUNTIF($E179:O179,"¶")+COUNTIF($E179:O179,"²")+COUNTIF($E179:O179,"µ")+COUNTIF($E179:O179,1),ColDescriptionCourte))&gt;1,
HYPERLINK("#Roadmap!C"&amp; MATCH($E179,Roadmap!$D:$D,0)+COUNTIF($E179:O179,"u")+COUNTIF($E179:O179,"t")+COUNTIF($E179:O179,"¶")+COUNTIF($E179:O179,"²")+COUNTIF($E179:O179,"µ")+COUNTIF($E179:O179,1)-1,INDEX(Roadmap!$D:$K,MATCH($E179,Roadmap!$D:$D,0)-1+COUNTIF($E179:O179,"u")+COUNTIF($E179:O179,"t")+COUNTIF($E179:O179,"¶")+COUNTIF($E179:O179,"²")+COUNTIF($E179:O179,"µ")+COUNTIF($E179:O179,1),ColDescriptionCourte)),""),
  "")),"")</f>
        <v/>
      </c>
      <c r="Q179" s="40" t="str">
        <f ca="1">IFERROR(IF(AND(
  INDEX(Roadmap!$D:$K,MATCH($E179,Roadmap!$D:$D,0)+COUNTIF($E179:P179,"u")+COUNTIF($E179:P179,"t")+COUNTIF($E179:P179,"¶")+COUNTIF($E179:P179,"²")+COUNTIF($E179:P179,"µ")+COUNTIF($E179:P179,1),ColLivraison)=Q$6,
  VLOOKUP($E179,INDIRECT("tri!"&amp; CHAR(64+ C0Col) &amp;":"&amp; CHAR(65+C0Col)),2,FALSE)&gt;COUNTIF($E179:P179,"u")+COUNTIF($E179:P179,"t")+COUNTIF($E179:P179,"¶")+COUNTIF($E179:P179,"²")+COUNTIF($E179:P179,"µ")+COUNTIF($E179:P179,1)),
HYPERLINK("#Roadmap!C"&amp; MATCH($E179,Roadmap!$D:$D,0)+COUNTIF($E179:P179,"u")+COUNTIF($E179:P179,"t"),
     INDEX(Roadmap!$D:$K,MATCH($E179,Roadmap!$D:$D,0)+COUNTIF($E179:P179,"u")+COUNTIF($E179:P179,"t")+COUNTIF($E179:P179,"¶")+COUNTIF($E179:P179,"²")+COUNTIF($E179:P179,"µ")+COUNTIF($E179:P179,1),ColTypeEcheance)),
  IF(LEN(P179)=1,
  IF(LEN(INDEX(Roadmap!$D:$K,MATCH($E179,Roadmap!$D:$D,0)-1+COUNTIF($E179:P179,"u")+COUNTIF($E179:P179,"t")+COUNTIF($E179:P179,"¶")+COUNTIF($E179:P179,"²")+COUNTIF($E179:P179,"µ")+COUNTIF($E179:P179,1),ColDescriptionCourte))&gt;1,
HYPERLINK("#Roadmap!C"&amp; MATCH($E179,Roadmap!$D:$D,0)+COUNTIF($E179:P179,"u")+COUNTIF($E179:P179,"t")+COUNTIF($E179:P179,"¶")+COUNTIF($E179:P179,"²")+COUNTIF($E179:P179,"µ")+COUNTIF($E179:P179,1)-1,INDEX(Roadmap!$D:$K,MATCH($E179,Roadmap!$D:$D,0)-1+COUNTIF($E179:P179,"u")+COUNTIF($E179:P179,"t")+COUNTIF($E179:P179,"¶")+COUNTIF($E179:P179,"²")+COUNTIF($E179:P179,"µ")+COUNTIF($E179:P179,1),ColDescriptionCourte)),""),
  "")),"")</f>
        <v/>
      </c>
      <c r="R179" s="40" t="str">
        <f ca="1">IFERROR(IF(AND(
  INDEX(Roadmap!$D:$K,MATCH($E179,Roadmap!$D:$D,0)+COUNTIF($E179:Q179,"u")+COUNTIF($E179:Q179,"t")+COUNTIF($E179:Q179,"¶")+COUNTIF($E179:Q179,"²")+COUNTIF($E179:Q179,"µ")+COUNTIF($E179:Q179,1),ColLivraison)=R$6,
  VLOOKUP($E179,INDIRECT("tri!"&amp; CHAR(64+ C0Col) &amp;":"&amp; CHAR(65+C0Col)),2,FALSE)&gt;COUNTIF($E179:Q179,"u")+COUNTIF($E179:Q179,"t")+COUNTIF($E179:Q179,"¶")+COUNTIF($E179:Q179,"²")+COUNTIF($E179:Q179,"µ")+COUNTIF($E179:Q179,1)),
HYPERLINK("#Roadmap!C"&amp; MATCH($E179,Roadmap!$D:$D,0)+COUNTIF($E179:Q179,"u")+COUNTIF($E179:Q179,"t"),
     INDEX(Roadmap!$D:$K,MATCH($E179,Roadmap!$D:$D,0)+COUNTIF($E179:Q179,"u")+COUNTIF($E179:Q179,"t")+COUNTIF($E179:Q179,"¶")+COUNTIF($E179:Q179,"²")+COUNTIF($E179:Q179,"µ")+COUNTIF($E179:Q179,1),ColTypeEcheance)),
  IF(LEN(Q179)=1,
  IF(LEN(INDEX(Roadmap!$D:$K,MATCH($E179,Roadmap!$D:$D,0)-1+COUNTIF($E179:Q179,"u")+COUNTIF($E179:Q179,"t")+COUNTIF($E179:Q179,"¶")+COUNTIF($E179:Q179,"²")+COUNTIF($E179:Q179,"µ")+COUNTIF($E179:Q179,1),ColDescriptionCourte))&gt;1,
HYPERLINK("#Roadmap!C"&amp; MATCH($E179,Roadmap!$D:$D,0)+COUNTIF($E179:Q179,"u")+COUNTIF($E179:Q179,"t")+COUNTIF($E179:Q179,"¶")+COUNTIF($E179:Q179,"²")+COUNTIF($E179:Q179,"µ")+COUNTIF($E179:Q179,1)-1,INDEX(Roadmap!$D:$K,MATCH($E179,Roadmap!$D:$D,0)-1+COUNTIF($E179:Q179,"u")+COUNTIF($E179:Q179,"t")+COUNTIF($E179:Q179,"¶")+COUNTIF($E179:Q179,"²")+COUNTIF($E179:Q179,"µ")+COUNTIF($E179:Q179,1),ColDescriptionCourte)),""),
  "")),"")</f>
        <v/>
      </c>
      <c r="S179" s="40" t="str">
        <f ca="1">IFERROR(IF(AND(
  INDEX(Roadmap!$D:$K,MATCH($E179,Roadmap!$D:$D,0)+COUNTIF($E179:R179,"u")+COUNTIF($E179:R179,"t")+COUNTIF($E179:R179,"¶")+COUNTIF($E179:R179,"²")+COUNTIF($E179:R179,"µ")+COUNTIF($E179:R179,1),ColLivraison)=S$6,
  VLOOKUP($E179,INDIRECT("tri!"&amp; CHAR(64+ C0Col) &amp;":"&amp; CHAR(65+C0Col)),2,FALSE)&gt;COUNTIF($E179:R179,"u")+COUNTIF($E179:R179,"t")+COUNTIF($E179:R179,"¶")+COUNTIF($E179:R179,"²")+COUNTIF($E179:R179,"µ")+COUNTIF($E179:R179,1)),
HYPERLINK("#Roadmap!C"&amp; MATCH($E179,Roadmap!$D:$D,0)+COUNTIF($E179:R179,"u")+COUNTIF($E179:R179,"t"),
     INDEX(Roadmap!$D:$K,MATCH($E179,Roadmap!$D:$D,0)+COUNTIF($E179:R179,"u")+COUNTIF($E179:R179,"t")+COUNTIF($E179:R179,"¶")+COUNTIF($E179:R179,"²")+COUNTIF($E179:R179,"µ")+COUNTIF($E179:R179,1),ColTypeEcheance)),
  IF(LEN(R179)=1,
  IF(LEN(INDEX(Roadmap!$D:$K,MATCH($E179,Roadmap!$D:$D,0)-1+COUNTIF($E179:R179,"u")+COUNTIF($E179:R179,"t")+COUNTIF($E179:R179,"¶")+COUNTIF($E179:R179,"²")+COUNTIF($E179:R179,"µ")+COUNTIF($E179:R179,1),ColDescriptionCourte))&gt;1,
HYPERLINK("#Roadmap!C"&amp; MATCH($E179,Roadmap!$D:$D,0)+COUNTIF($E179:R179,"u")+COUNTIF($E179:R179,"t")+COUNTIF($E179:R179,"¶")+COUNTIF($E179:R179,"²")+COUNTIF($E179:R179,"µ")+COUNTIF($E179:R179,1)-1,INDEX(Roadmap!$D:$K,MATCH($E179,Roadmap!$D:$D,0)-1+COUNTIF($E179:R179,"u")+COUNTIF($E179:R179,"t")+COUNTIF($E179:R179,"¶")+COUNTIF($E179:R179,"²")+COUNTIF($E179:R179,"µ")+COUNTIF($E179:R179,1),ColDescriptionCourte)),""),
  "")),"")</f>
        <v/>
      </c>
      <c r="T179" s="40" t="str">
        <f ca="1">IFERROR(IF(AND(
  INDEX(Roadmap!$D:$K,MATCH($E179,Roadmap!$D:$D,0)+COUNTIF($E179:S179,"u")+COUNTIF($E179:S179,"t")+COUNTIF($E179:S179,"¶")+COUNTIF($E179:S179,"²")+COUNTIF($E179:S179,"µ")+COUNTIF($E179:S179,1),ColLivraison)=T$6,
  VLOOKUP($E179,INDIRECT("tri!"&amp; CHAR(64+ C0Col) &amp;":"&amp; CHAR(65+C0Col)),2,FALSE)&gt;COUNTIF($E179:S179,"u")+COUNTIF($E179:S179,"t")+COUNTIF($E179:S179,"¶")+COUNTIF($E179:S179,"²")+COUNTIF($E179:S179,"µ")+COUNTIF($E179:S179,1)),
HYPERLINK("#Roadmap!C"&amp; MATCH($E179,Roadmap!$D:$D,0)+COUNTIF($E179:S179,"u")+COUNTIF($E179:S179,"t"),
     INDEX(Roadmap!$D:$K,MATCH($E179,Roadmap!$D:$D,0)+COUNTIF($E179:S179,"u")+COUNTIF($E179:S179,"t")+COUNTIF($E179:S179,"¶")+COUNTIF($E179:S179,"²")+COUNTIF($E179:S179,"µ")+COUNTIF($E179:S179,1),ColTypeEcheance)),
  IF(LEN(S179)=1,
  IF(LEN(INDEX(Roadmap!$D:$K,MATCH($E179,Roadmap!$D:$D,0)-1+COUNTIF($E179:S179,"u")+COUNTIF($E179:S179,"t")+COUNTIF($E179:S179,"¶")+COUNTIF($E179:S179,"²")+COUNTIF($E179:S179,"µ")+COUNTIF($E179:S179,1),ColDescriptionCourte))&gt;1,
HYPERLINK("#Roadmap!C"&amp; MATCH($E179,Roadmap!$D:$D,0)+COUNTIF($E179:S179,"u")+COUNTIF($E179:S179,"t")+COUNTIF($E179:S179,"¶")+COUNTIF($E179:S179,"²")+COUNTIF($E179:S179,"µ")+COUNTIF($E179:S179,1)-1,INDEX(Roadmap!$D:$K,MATCH($E179,Roadmap!$D:$D,0)-1+COUNTIF($E179:S179,"u")+COUNTIF($E179:S179,"t")+COUNTIF($E179:S179,"¶")+COUNTIF($E179:S179,"²")+COUNTIF($E179:S179,"µ")+COUNTIF($E179:S179,1),ColDescriptionCourte)),""),
  "")),"")</f>
        <v/>
      </c>
      <c r="U179" s="40" t="str">
        <f ca="1">IFERROR(IF(AND(
  INDEX(Roadmap!$D:$K,MATCH($E179,Roadmap!$D:$D,0)+COUNTIF($E179:T179,"u")+COUNTIF($E179:T179,"t")+COUNTIF($E179:T179,"¶")+COUNTIF($E179:T179,"²")+COUNTIF($E179:T179,"µ")+COUNTIF($E179:T179,1),ColLivraison)=U$6,
  VLOOKUP($E179,INDIRECT("tri!"&amp; CHAR(64+ C0Col) &amp;":"&amp; CHAR(65+C0Col)),2,FALSE)&gt;COUNTIF($E179:T179,"u")+COUNTIF($E179:T179,"t")+COUNTIF($E179:T179,"¶")+COUNTIF($E179:T179,"²")+COUNTIF($E179:T179,"µ")+COUNTIF($E179:T179,1)),
HYPERLINK("#Roadmap!C"&amp; MATCH($E179,Roadmap!$D:$D,0)+COUNTIF($E179:T179,"u")+COUNTIF($E179:T179,"t"),
     INDEX(Roadmap!$D:$K,MATCH($E179,Roadmap!$D:$D,0)+COUNTIF($E179:T179,"u")+COUNTIF($E179:T179,"t")+COUNTIF($E179:T179,"¶")+COUNTIF($E179:T179,"²")+COUNTIF($E179:T179,"µ")+COUNTIF($E179:T179,1),ColTypeEcheance)),
  IF(LEN(T179)=1,
  IF(LEN(INDEX(Roadmap!$D:$K,MATCH($E179,Roadmap!$D:$D,0)-1+COUNTIF($E179:T179,"u")+COUNTIF($E179:T179,"t")+COUNTIF($E179:T179,"¶")+COUNTIF($E179:T179,"²")+COUNTIF($E179:T179,"µ")+COUNTIF($E179:T179,1),ColDescriptionCourte))&gt;1,
HYPERLINK("#Roadmap!C"&amp; MATCH($E179,Roadmap!$D:$D,0)+COUNTIF($E179:T179,"u")+COUNTIF($E179:T179,"t")+COUNTIF($E179:T179,"¶")+COUNTIF($E179:T179,"²")+COUNTIF($E179:T179,"µ")+COUNTIF($E179:T179,1)-1,INDEX(Roadmap!$D:$K,MATCH($E179,Roadmap!$D:$D,0)-1+COUNTIF($E179:T179,"u")+COUNTIF($E179:T179,"t")+COUNTIF($E179:T179,"¶")+COUNTIF($E179:T179,"²")+COUNTIF($E179:T179,"µ")+COUNTIF($E179:T179,1),ColDescriptionCourte)),""),
  "")),"")</f>
        <v/>
      </c>
      <c r="V179" s="40" t="str">
        <f ca="1">IFERROR(IF(AND(
  INDEX(Roadmap!$D:$K,MATCH($E179,Roadmap!$D:$D,0)+COUNTIF($E179:U179,"u")+COUNTIF($E179:U179,"t")+COUNTIF($E179:U179,"¶")+COUNTIF($E179:U179,"²")+COUNTIF($E179:U179,"µ")+COUNTIF($E179:U179,1),ColLivraison)=V$6,
  VLOOKUP($E179,INDIRECT("tri!"&amp; CHAR(64+ C0Col) &amp;":"&amp; CHAR(65+C0Col)),2,FALSE)&gt;COUNTIF($E179:U179,"u")+COUNTIF($E179:U179,"t")+COUNTIF($E179:U179,"¶")+COUNTIF($E179:U179,"²")+COUNTIF($E179:U179,"µ")+COUNTIF($E179:U179,1)),
HYPERLINK("#Roadmap!C"&amp; MATCH($E179,Roadmap!$D:$D,0)+COUNTIF($E179:U179,"u")+COUNTIF($E179:U179,"t"),
     INDEX(Roadmap!$D:$K,MATCH($E179,Roadmap!$D:$D,0)+COUNTIF($E179:U179,"u")+COUNTIF($E179:U179,"t")+COUNTIF($E179:U179,"¶")+COUNTIF($E179:U179,"²")+COUNTIF($E179:U179,"µ")+COUNTIF($E179:U179,1),ColTypeEcheance)),
  IF(LEN(U179)=1,
  IF(LEN(INDEX(Roadmap!$D:$K,MATCH($E179,Roadmap!$D:$D,0)-1+COUNTIF($E179:U179,"u")+COUNTIF($E179:U179,"t")+COUNTIF($E179:U179,"¶")+COUNTIF($E179:U179,"²")+COUNTIF($E179:U179,"µ")+COUNTIF($E179:U179,1),ColDescriptionCourte))&gt;1,
HYPERLINK("#Roadmap!C"&amp; MATCH($E179,Roadmap!$D:$D,0)+COUNTIF($E179:U179,"u")+COUNTIF($E179:U179,"t")+COUNTIF($E179:U179,"¶")+COUNTIF($E179:U179,"²")+COUNTIF($E179:U179,"µ")+COUNTIF($E179:U179,1)-1,INDEX(Roadmap!$D:$K,MATCH($E179,Roadmap!$D:$D,0)-1+COUNTIF($E179:U179,"u")+COUNTIF($E179:U179,"t")+COUNTIF($E179:U179,"¶")+COUNTIF($E179:U179,"²")+COUNTIF($E179:U179,"µ")+COUNTIF($E179:U179,1),ColDescriptionCourte)),""),
  "")),"")</f>
        <v/>
      </c>
      <c r="W179" s="40" t="str">
        <f ca="1">IFERROR(IF(AND(
  INDEX(Roadmap!$D:$K,MATCH($E179,Roadmap!$D:$D,0)+COUNTIF($E179:V179,"u")+COUNTIF($E179:V179,"t")+COUNTIF($E179:V179,"¶")+COUNTIF($E179:V179,"²")+COUNTIF($E179:V179,"µ")+COUNTIF($E179:V179,1),ColLivraison)=W$6,
  VLOOKUP($E179,INDIRECT("tri!"&amp; CHAR(64+ C0Col) &amp;":"&amp; CHAR(65+C0Col)),2,FALSE)&gt;COUNTIF($E179:V179,"u")+COUNTIF($E179:V179,"t")+COUNTIF($E179:V179,"¶")+COUNTIF($E179:V179,"²")+COUNTIF($E179:V179,"µ")+COUNTIF($E179:V179,1)),
HYPERLINK("#Roadmap!C"&amp; MATCH($E179,Roadmap!$D:$D,0)+COUNTIF($E179:V179,"u")+COUNTIF($E179:V179,"t"),
     INDEX(Roadmap!$D:$K,MATCH($E179,Roadmap!$D:$D,0)+COUNTIF($E179:V179,"u")+COUNTIF($E179:V179,"t")+COUNTIF($E179:V179,"¶")+COUNTIF($E179:V179,"²")+COUNTIF($E179:V179,"µ")+COUNTIF($E179:V179,1),ColTypeEcheance)),
  IF(LEN(V179)=1,
  IF(LEN(INDEX(Roadmap!$D:$K,MATCH($E179,Roadmap!$D:$D,0)-1+COUNTIF($E179:V179,"u")+COUNTIF($E179:V179,"t")+COUNTIF($E179:V179,"¶")+COUNTIF($E179:V179,"²")+COUNTIF($E179:V179,"µ")+COUNTIF($E179:V179,1),ColDescriptionCourte))&gt;1,
HYPERLINK("#Roadmap!C"&amp; MATCH($E179,Roadmap!$D:$D,0)+COUNTIF($E179:V179,"u")+COUNTIF($E179:V179,"t")+COUNTIF($E179:V179,"¶")+COUNTIF($E179:V179,"²")+COUNTIF($E179:V179,"µ")+COUNTIF($E179:V179,1)-1,INDEX(Roadmap!$D:$K,MATCH($E179,Roadmap!$D:$D,0)-1+COUNTIF($E179:V179,"u")+COUNTIF($E179:V179,"t")+COUNTIF($E179:V179,"¶")+COUNTIF($E179:V179,"²")+COUNTIF($E179:V179,"µ")+COUNTIF($E179:V179,1),ColDescriptionCourte)),""),
  "")),"")</f>
        <v/>
      </c>
      <c r="X179" s="40" t="str">
        <f ca="1">IFERROR(IF(AND(
  INDEX(Roadmap!$D:$K,MATCH($E179,Roadmap!$D:$D,0)+COUNTIF($E179:W179,"u")+COUNTIF($E179:W179,"t")+COUNTIF($E179:W179,"¶")+COUNTIF($E179:W179,"²")+COUNTIF($E179:W179,"µ")+COUNTIF($E179:W179,1),ColLivraison)=X$6,
  VLOOKUP($E179,INDIRECT("tri!"&amp; CHAR(64+ C0Col) &amp;":"&amp; CHAR(65+C0Col)),2,FALSE)&gt;COUNTIF($E179:W179,"u")+COUNTIF($E179:W179,"t")+COUNTIF($E179:W179,"¶")+COUNTIF($E179:W179,"²")+COUNTIF($E179:W179,"µ")+COUNTIF($E179:W179,1)),
HYPERLINK("#Roadmap!C"&amp; MATCH($E179,Roadmap!$D:$D,0)+COUNTIF($E179:W179,"u")+COUNTIF($E179:W179,"t"),
     INDEX(Roadmap!$D:$K,MATCH($E179,Roadmap!$D:$D,0)+COUNTIF($E179:W179,"u")+COUNTIF($E179:W179,"t")+COUNTIF($E179:W179,"¶")+COUNTIF($E179:W179,"²")+COUNTIF($E179:W179,"µ")+COUNTIF($E179:W179,1),ColTypeEcheance)),
  IF(LEN(W179)=1,
  IF(LEN(INDEX(Roadmap!$D:$K,MATCH($E179,Roadmap!$D:$D,0)-1+COUNTIF($E179:W179,"u")+COUNTIF($E179:W179,"t")+COUNTIF($E179:W179,"¶")+COUNTIF($E179:W179,"²")+COUNTIF($E179:W179,"µ")+COUNTIF($E179:W179,1),ColDescriptionCourte))&gt;1,
HYPERLINK("#Roadmap!C"&amp; MATCH($E179,Roadmap!$D:$D,0)+COUNTIF($E179:W179,"u")+COUNTIF($E179:W179,"t")+COUNTIF($E179:W179,"¶")+COUNTIF($E179:W179,"²")+COUNTIF($E179:W179,"µ")+COUNTIF($E179:W179,1)-1,INDEX(Roadmap!$D:$K,MATCH($E179,Roadmap!$D:$D,0)-1+COUNTIF($E179:W179,"u")+COUNTIF($E179:W179,"t")+COUNTIF($E179:W179,"¶")+COUNTIF($E179:W179,"²")+COUNTIF($E179:W179,"µ")+COUNTIF($E179:W179,1),ColDescriptionCourte)),""),
  "")),"")</f>
        <v/>
      </c>
      <c r="Y179" s="40" t="str">
        <f ca="1">IFERROR(IF(AND(
  INDEX(Roadmap!$D:$K,MATCH($E179,Roadmap!$D:$D,0)+COUNTIF($E179:X179,"u")+COUNTIF($E179:X179,"t")+COUNTIF($E179:X179,"¶")+COUNTIF($E179:X179,"²")+COUNTIF($E179:X179,"µ")+COUNTIF($E179:X179,1),ColLivraison)=Y$6,
  VLOOKUP($E179,INDIRECT("tri!"&amp; CHAR(64+ C0Col) &amp;":"&amp; CHAR(65+C0Col)),2,FALSE)&gt;COUNTIF($E179:X179,"u")+COUNTIF($E179:X179,"t")+COUNTIF($E179:X179,"¶")+COUNTIF($E179:X179,"²")+COUNTIF($E179:X179,"µ")+COUNTIF($E179:X179,1)),
HYPERLINK("#Roadmap!C"&amp; MATCH($E179,Roadmap!$D:$D,0)+COUNTIF($E179:X179,"u")+COUNTIF($E179:X179,"t"),
     INDEX(Roadmap!$D:$K,MATCH($E179,Roadmap!$D:$D,0)+COUNTIF($E179:X179,"u")+COUNTIF($E179:X179,"t")+COUNTIF($E179:X179,"¶")+COUNTIF($E179:X179,"²")+COUNTIF($E179:X179,"µ")+COUNTIF($E179:X179,1),ColTypeEcheance)),
  IF(LEN(X179)=1,
  IF(LEN(INDEX(Roadmap!$D:$K,MATCH($E179,Roadmap!$D:$D,0)-1+COUNTIF($E179:X179,"u")+COUNTIF($E179:X179,"t")+COUNTIF($E179:X179,"¶")+COUNTIF($E179:X179,"²")+COUNTIF($E179:X179,"µ")+COUNTIF($E179:X179,1),ColDescriptionCourte))&gt;1,
HYPERLINK("#Roadmap!C"&amp; MATCH($E179,Roadmap!$D:$D,0)+COUNTIF($E179:X179,"u")+COUNTIF($E179:X179,"t")+COUNTIF($E179:X179,"¶")+COUNTIF($E179:X179,"²")+COUNTIF($E179:X179,"µ")+COUNTIF($E179:X179,1)-1,INDEX(Roadmap!$D:$K,MATCH($E179,Roadmap!$D:$D,0)-1+COUNTIF($E179:X179,"u")+COUNTIF($E179:X179,"t")+COUNTIF($E179:X179,"¶")+COUNTIF($E179:X179,"²")+COUNTIF($E179:X179,"µ")+COUNTIF($E179:X179,1),ColDescriptionCourte)),""),
  "")),"")</f>
        <v/>
      </c>
      <c r="Z179" s="40" t="str">
        <f ca="1">IFERROR(IF(AND(
  INDEX(Roadmap!$D:$K,MATCH($E179,Roadmap!$D:$D,0)+COUNTIF($E179:Y179,"u")+COUNTIF($E179:Y179,"t")+COUNTIF($E179:Y179,"¶")+COUNTIF($E179:Y179,"²")+COUNTIF($E179:Y179,"µ")+COUNTIF($E179:Y179,1),ColLivraison)=Z$6,
  VLOOKUP($E179,INDIRECT("tri!"&amp; CHAR(64+ C0Col) &amp;":"&amp; CHAR(65+C0Col)),2,FALSE)&gt;COUNTIF($E179:Y179,"u")+COUNTIF($E179:Y179,"t")+COUNTIF($E179:Y179,"¶")+COUNTIF($E179:Y179,"²")+COUNTIF($E179:Y179,"µ")+COUNTIF($E179:Y179,1)),
HYPERLINK("#Roadmap!C"&amp; MATCH($E179,Roadmap!$D:$D,0)+COUNTIF($E179:Y179,"u")+COUNTIF($E179:Y179,"t"),
     INDEX(Roadmap!$D:$K,MATCH($E179,Roadmap!$D:$D,0)+COUNTIF($E179:Y179,"u")+COUNTIF($E179:Y179,"t")+COUNTIF($E179:Y179,"¶")+COUNTIF($E179:Y179,"²")+COUNTIF($E179:Y179,"µ")+COUNTIF($E179:Y179,1),ColTypeEcheance)),
  IF(LEN(Y179)=1,
  IF(LEN(INDEX(Roadmap!$D:$K,MATCH($E179,Roadmap!$D:$D,0)-1+COUNTIF($E179:Y179,"u")+COUNTIF($E179:Y179,"t")+COUNTIF($E179:Y179,"¶")+COUNTIF($E179:Y179,"²")+COUNTIF($E179:Y179,"µ")+COUNTIF($E179:Y179,1),ColDescriptionCourte))&gt;1,
HYPERLINK("#Roadmap!C"&amp; MATCH($E179,Roadmap!$D:$D,0)+COUNTIF($E179:Y179,"u")+COUNTIF($E179:Y179,"t")+COUNTIF($E179:Y179,"¶")+COUNTIF($E179:Y179,"²")+COUNTIF($E179:Y179,"µ")+COUNTIF($E179:Y179,1)-1,INDEX(Roadmap!$D:$K,MATCH($E179,Roadmap!$D:$D,0)-1+COUNTIF($E179:Y179,"u")+COUNTIF($E179:Y179,"t")+COUNTIF($E179:Y179,"¶")+COUNTIF($E179:Y179,"²")+COUNTIF($E179:Y179,"µ")+COUNTIF($E179:Y179,1),ColDescriptionCourte)),""),
  "")),"")</f>
        <v/>
      </c>
      <c r="AA179" s="40" t="str">
        <f ca="1">IFERROR(IF(AND(
  INDEX(Roadmap!$D:$K,MATCH($E179,Roadmap!$D:$D,0)+COUNTIF($E179:Z179,"u")+COUNTIF($E179:Z179,"t")+COUNTIF($E179:Z179,"¶")+COUNTIF($E179:Z179,"²")+COUNTIF($E179:Z179,"µ")+COUNTIF($E179:Z179,1),ColLivraison)=AA$6,
  VLOOKUP($E179,INDIRECT("tri!"&amp; CHAR(64+ C0Col) &amp;":"&amp; CHAR(65+C0Col)),2,FALSE)&gt;COUNTIF($E179:Z179,"u")+COUNTIF($E179:Z179,"t")+COUNTIF($E179:Z179,"¶")+COUNTIF($E179:Z179,"²")+COUNTIF($E179:Z179,"µ")+COUNTIF($E179:Z179,1)),
HYPERLINK("#Roadmap!C"&amp; MATCH($E179,Roadmap!$D:$D,0)+COUNTIF($E179:Z179,"u")+COUNTIF($E179:Z179,"t"),
     INDEX(Roadmap!$D:$K,MATCH($E179,Roadmap!$D:$D,0)+COUNTIF($E179:Z179,"u")+COUNTIF($E179:Z179,"t")+COUNTIF($E179:Z179,"¶")+COUNTIF($E179:Z179,"²")+COUNTIF($E179:Z179,"µ")+COUNTIF($E179:Z179,1),ColTypeEcheance)),
  IF(LEN(Z179)=1,
  IF(LEN(INDEX(Roadmap!$D:$K,MATCH($E179,Roadmap!$D:$D,0)-1+COUNTIF($E179:Z179,"u")+COUNTIF($E179:Z179,"t")+COUNTIF($E179:Z179,"¶")+COUNTIF($E179:Z179,"²")+COUNTIF($E179:Z179,"µ")+COUNTIF($E179:Z179,1),ColDescriptionCourte))&gt;1,
HYPERLINK("#Roadmap!C"&amp; MATCH($E179,Roadmap!$D:$D,0)+COUNTIF($E179:Z179,"u")+COUNTIF($E179:Z179,"t")+COUNTIF($E179:Z179,"¶")+COUNTIF($E179:Z179,"²")+COUNTIF($E179:Z179,"µ")+COUNTIF($E179:Z179,1)-1,INDEX(Roadmap!$D:$K,MATCH($E179,Roadmap!$D:$D,0)-1+COUNTIF($E179:Z179,"u")+COUNTIF($E179:Z179,"t")+COUNTIF($E179:Z179,"¶")+COUNTIF($E179:Z179,"²")+COUNTIF($E179:Z179,"µ")+COUNTIF($E179:Z179,1),ColDescriptionCourte)),""),
  "")),"")</f>
        <v/>
      </c>
      <c r="AB179" s="40" t="str">
        <f ca="1">IFERROR(IF(AND(
  INDEX(Roadmap!$D:$K,MATCH($E179,Roadmap!$D:$D,0)+COUNTIF($E179:AA179,"u")+COUNTIF($E179:AA179,"t")+COUNTIF($E179:AA179,"¶")+COUNTIF($E179:AA179,"²")+COUNTIF($E179:AA179,"µ")+COUNTIF($E179:AA179,1),ColLivraison)=AB$6,
  VLOOKUP($E179,INDIRECT("tri!"&amp; CHAR(64+ C0Col) &amp;":"&amp; CHAR(65+C0Col)),2,FALSE)&gt;COUNTIF($E179:AA179,"u")+COUNTIF($E179:AA179,"t")+COUNTIF($E179:AA179,"¶")+COUNTIF($E179:AA179,"²")+COUNTIF($E179:AA179,"µ")+COUNTIF($E179:AA179,1)),
HYPERLINK("#Roadmap!C"&amp; MATCH($E179,Roadmap!$D:$D,0)+COUNTIF($E179:AA179,"u")+COUNTIF($E179:AA179,"t"),
     INDEX(Roadmap!$D:$K,MATCH($E179,Roadmap!$D:$D,0)+COUNTIF($E179:AA179,"u")+COUNTIF($E179:AA179,"t")+COUNTIF($E179:AA179,"¶")+COUNTIF($E179:AA179,"²")+COUNTIF($E179:AA179,"µ")+COUNTIF($E179:AA179,1),ColTypeEcheance)),
  IF(LEN(AA179)=1,
  IF(LEN(INDEX(Roadmap!$D:$K,MATCH($E179,Roadmap!$D:$D,0)-1+COUNTIF($E179:AA179,"u")+COUNTIF($E179:AA179,"t")+COUNTIF($E179:AA179,"¶")+COUNTIF($E179:AA179,"²")+COUNTIF($E179:AA179,"µ")+COUNTIF($E179:AA179,1),ColDescriptionCourte))&gt;1,
HYPERLINK("#Roadmap!C"&amp; MATCH($E179,Roadmap!$D:$D,0)+COUNTIF($E179:AA179,"u")+COUNTIF($E179:AA179,"t")+COUNTIF($E179:AA179,"¶")+COUNTIF($E179:AA179,"²")+COUNTIF($E179:AA179,"µ")+COUNTIF($E179:AA179,1)-1,INDEX(Roadmap!$D:$K,MATCH($E179,Roadmap!$D:$D,0)-1+COUNTIF($E179:AA179,"u")+COUNTIF($E179:AA179,"t")+COUNTIF($E179:AA179,"¶")+COUNTIF($E179:AA179,"²")+COUNTIF($E179:AA179,"µ")+COUNTIF($E179:AA179,1),ColDescriptionCourte)),""),
  "")),"")</f>
        <v/>
      </c>
      <c r="AC179" s="40" t="str">
        <f ca="1">IFERROR(IF(AND(
  INDEX(Roadmap!$D:$K,MATCH($E179,Roadmap!$D:$D,0)+COUNTIF($E179:AB179,"u")+COUNTIF($E179:AB179,"t")+COUNTIF($E179:AB179,"¶")+COUNTIF($E179:AB179,"²")+COUNTIF($E179:AB179,"µ")+COUNTIF($E179:AB179,1),ColLivraison)=AC$6,
  VLOOKUP($E179,INDIRECT("tri!"&amp; CHAR(64+ C0Col) &amp;":"&amp; CHAR(65+C0Col)),2,FALSE)&gt;COUNTIF($E179:AB179,"u")+COUNTIF($E179:AB179,"t")+COUNTIF($E179:AB179,"¶")+COUNTIF($E179:AB179,"²")+COUNTIF($E179:AB179,"µ")+COUNTIF($E179:AB179,1)),
HYPERLINK("#Roadmap!C"&amp; MATCH($E179,Roadmap!$D:$D,0)+COUNTIF($E179:AB179,"u")+COUNTIF($E179:AB179,"t"),
     INDEX(Roadmap!$D:$K,MATCH($E179,Roadmap!$D:$D,0)+COUNTIF($E179:AB179,"u")+COUNTIF($E179:AB179,"t")+COUNTIF($E179:AB179,"¶")+COUNTIF($E179:AB179,"²")+COUNTIF($E179:AB179,"µ")+COUNTIF($E179:AB179,1),ColTypeEcheance)),
  IF(LEN(AB179)=1,
  IF(LEN(INDEX(Roadmap!$D:$K,MATCH($E179,Roadmap!$D:$D,0)-1+COUNTIF($E179:AB179,"u")+COUNTIF($E179:AB179,"t")+COUNTIF($E179:AB179,"¶")+COUNTIF($E179:AB179,"²")+COUNTIF($E179:AB179,"µ")+COUNTIF($E179:AB179,1),ColDescriptionCourte))&gt;1,
HYPERLINK("#Roadmap!C"&amp; MATCH($E179,Roadmap!$D:$D,0)+COUNTIF($E179:AB179,"u")+COUNTIF($E179:AB179,"t")+COUNTIF($E179:AB179,"¶")+COUNTIF($E179:AB179,"²")+COUNTIF($E179:AB179,"µ")+COUNTIF($E179:AB179,1)-1,INDEX(Roadmap!$D:$K,MATCH($E179,Roadmap!$D:$D,0)-1+COUNTIF($E179:AB179,"u")+COUNTIF($E179:AB179,"t")+COUNTIF($E179:AB179,"¶")+COUNTIF($E179:AB179,"²")+COUNTIF($E179:AB179,"µ")+COUNTIF($E179:AB179,1),ColDescriptionCourte)),""),
  "")),"")</f>
        <v/>
      </c>
      <c r="AD179" s="40" t="str">
        <f ca="1">IFERROR(IF(AND(
  INDEX(Roadmap!$D:$K,MATCH($E179,Roadmap!$D:$D,0)+COUNTIF($E179:AC179,"u")+COUNTIF($E179:AC179,"t")+COUNTIF($E179:AC179,"¶")+COUNTIF($E179:AC179,"²")+COUNTIF($E179:AC179,"µ")+COUNTIF($E179:AC179,1),ColLivraison)=AD$6,
  VLOOKUP($E179,INDIRECT("tri!"&amp; CHAR(64+ C0Col) &amp;":"&amp; CHAR(65+C0Col)),2,FALSE)&gt;COUNTIF($E179:AC179,"u")+COUNTIF($E179:AC179,"t")+COUNTIF($E179:AC179,"¶")+COUNTIF($E179:AC179,"²")+COUNTIF($E179:AC179,"µ")+COUNTIF($E179:AC179,1)),
HYPERLINK("#Roadmap!C"&amp; MATCH($E179,Roadmap!$D:$D,0)+COUNTIF($E179:AC179,"u")+COUNTIF($E179:AC179,"t"),
     INDEX(Roadmap!$D:$K,MATCH($E179,Roadmap!$D:$D,0)+COUNTIF($E179:AC179,"u")+COUNTIF($E179:AC179,"t")+COUNTIF($E179:AC179,"¶")+COUNTIF($E179:AC179,"²")+COUNTIF($E179:AC179,"µ")+COUNTIF($E179:AC179,1),ColTypeEcheance)),
  IF(LEN(AC179)=1,
  IF(LEN(INDEX(Roadmap!$D:$K,MATCH($E179,Roadmap!$D:$D,0)-1+COUNTIF($E179:AC179,"u")+COUNTIF($E179:AC179,"t")+COUNTIF($E179:AC179,"¶")+COUNTIF($E179:AC179,"²")+COUNTIF($E179:AC179,"µ")+COUNTIF($E179:AC179,1),ColDescriptionCourte))&gt;1,
HYPERLINK("#Roadmap!C"&amp; MATCH($E179,Roadmap!$D:$D,0)+COUNTIF($E179:AC179,"u")+COUNTIF($E179:AC179,"t")+COUNTIF($E179:AC179,"¶")+COUNTIF($E179:AC179,"²")+COUNTIF($E179:AC179,"µ")+COUNTIF($E179:AC179,1)-1,INDEX(Roadmap!$D:$K,MATCH($E179,Roadmap!$D:$D,0)-1+COUNTIF($E179:AC179,"u")+COUNTIF($E179:AC179,"t")+COUNTIF($E179:AC179,"¶")+COUNTIF($E179:AC179,"²")+COUNTIF($E179:AC179,"µ")+COUNTIF($E179:AC179,1),ColDescriptionCourte)),""),
  "")),"")</f>
        <v/>
      </c>
      <c r="AE179" s="40" t="str">
        <f ca="1">IFERROR(IF(AND(
  INDEX(Roadmap!$D:$K,MATCH($E179,Roadmap!$D:$D,0)+COUNTIF($E179:AD179,"u")+COUNTIF($E179:AD179,"t")+COUNTIF($E179:AD179,"¶")+COUNTIF($E179:AD179,"²")+COUNTIF($E179:AD179,"µ")+COUNTIF($E179:AD179,1),ColLivraison)=AE$6,
  VLOOKUP($E179,INDIRECT("tri!"&amp; CHAR(64+ C0Col) &amp;":"&amp; CHAR(65+C0Col)),2,FALSE)&gt;COUNTIF($E179:AD179,"u")+COUNTIF($E179:AD179,"t")+COUNTIF($E179:AD179,"¶")+COUNTIF($E179:AD179,"²")+COUNTIF($E179:AD179,"µ")+COUNTIF($E179:AD179,1)),
HYPERLINK("#Roadmap!C"&amp; MATCH($E179,Roadmap!$D:$D,0)+COUNTIF($E179:AD179,"u")+COUNTIF($E179:AD179,"t"),
     INDEX(Roadmap!$D:$K,MATCH($E179,Roadmap!$D:$D,0)+COUNTIF($E179:AD179,"u")+COUNTIF($E179:AD179,"t")+COUNTIF($E179:AD179,"¶")+COUNTIF($E179:AD179,"²")+COUNTIF($E179:AD179,"µ")+COUNTIF($E179:AD179,1),ColTypeEcheance)),
  IF(LEN(AD179)=1,
  IF(LEN(INDEX(Roadmap!$D:$K,MATCH($E179,Roadmap!$D:$D,0)-1+COUNTIF($E179:AD179,"u")+COUNTIF($E179:AD179,"t")+COUNTIF($E179:AD179,"¶")+COUNTIF($E179:AD179,"²")+COUNTIF($E179:AD179,"µ")+COUNTIF($E179:AD179,1),ColDescriptionCourte))&gt;1,
HYPERLINK("#Roadmap!C"&amp; MATCH($E179,Roadmap!$D:$D,0)+COUNTIF($E179:AD179,"u")+COUNTIF($E179:AD179,"t")+COUNTIF($E179:AD179,"¶")+COUNTIF($E179:AD179,"²")+COUNTIF($E179:AD179,"µ")+COUNTIF($E179:AD179,1)-1,INDEX(Roadmap!$D:$K,MATCH($E179,Roadmap!$D:$D,0)-1+COUNTIF($E179:AD179,"u")+COUNTIF($E179:AD179,"t")+COUNTIF($E179:AD179,"¶")+COUNTIF($E179:AD179,"²")+COUNTIF($E179:AD179,"µ")+COUNTIF($E179:AD179,1),ColDescriptionCourte)),""),
  "")),"")</f>
        <v/>
      </c>
      <c r="AF179" s="40" t="str">
        <f ca="1">IFERROR(IF(AND(
  INDEX(Roadmap!$D:$K,MATCH($E179,Roadmap!$D:$D,0)+COUNTIF($E179:AE179,"u")+COUNTIF($E179:AE179,"t")+COUNTIF($E179:AE179,"¶")+COUNTIF($E179:AE179,"²")+COUNTIF($E179:AE179,"µ")+COUNTIF($E179:AE179,1),ColLivraison)=AF$6,
  VLOOKUP($E179,INDIRECT("tri!"&amp; CHAR(64+ C0Col) &amp;":"&amp; CHAR(65+C0Col)),2,FALSE)&gt;COUNTIF($E179:AE179,"u")+COUNTIF($E179:AE179,"t")+COUNTIF($E179:AE179,"¶")+COUNTIF($E179:AE179,"²")+COUNTIF($E179:AE179,"µ")+COUNTIF($E179:AE179,1)),
HYPERLINK("#Roadmap!C"&amp; MATCH($E179,Roadmap!$D:$D,0)+COUNTIF($E179:AE179,"u")+COUNTIF($E179:AE179,"t"),
     INDEX(Roadmap!$D:$K,MATCH($E179,Roadmap!$D:$D,0)+COUNTIF($E179:AE179,"u")+COUNTIF($E179:AE179,"t")+COUNTIF($E179:AE179,"¶")+COUNTIF($E179:AE179,"²")+COUNTIF($E179:AE179,"µ")+COUNTIF($E179:AE179,1),ColTypeEcheance)),
  IF(LEN(AE179)=1,
  IF(LEN(INDEX(Roadmap!$D:$K,MATCH($E179,Roadmap!$D:$D,0)-1+COUNTIF($E179:AE179,"u")+COUNTIF($E179:AE179,"t")+COUNTIF($E179:AE179,"¶")+COUNTIF($E179:AE179,"²")+COUNTIF($E179:AE179,"µ")+COUNTIF($E179:AE179,1),ColDescriptionCourte))&gt;1,
HYPERLINK("#Roadmap!C"&amp; MATCH($E179,Roadmap!$D:$D,0)+COUNTIF($E179:AE179,"u")+COUNTIF($E179:AE179,"t")+COUNTIF($E179:AE179,"¶")+COUNTIF($E179:AE179,"²")+COUNTIF($E179:AE179,"µ")+COUNTIF($E179:AE179,1)-1,INDEX(Roadmap!$D:$K,MATCH($E179,Roadmap!$D:$D,0)-1+COUNTIF($E179:AE179,"u")+COUNTIF($E179:AE179,"t")+COUNTIF($E179:AE179,"¶")+COUNTIF($E179:AE179,"²")+COUNTIF($E179:AE179,"µ")+COUNTIF($E179:AE179,1),ColDescriptionCourte)),""),
  "")),"")</f>
        <v/>
      </c>
      <c r="AG179" s="40" t="str">
        <f ca="1">IFERROR(IF(AND(
  INDEX(Roadmap!$D:$K,MATCH($E179,Roadmap!$D:$D,0)+COUNTIF($E179:AF179,"u")+COUNTIF($E179:AF179,"t")+COUNTIF($E179:AF179,"¶")+COUNTIF($E179:AF179,"²")+COUNTIF($E179:AF179,"µ")+COUNTIF($E179:AF179,1),ColLivraison)=AG$6,
  VLOOKUP($E179,INDIRECT("tri!"&amp; CHAR(64+ C0Col) &amp;":"&amp; CHAR(65+C0Col)),2,FALSE)&gt;COUNTIF($E179:AF179,"u")+COUNTIF($E179:AF179,"t")+COUNTIF($E179:AF179,"¶")+COUNTIF($E179:AF179,"²")+COUNTIF($E179:AF179,"µ")+COUNTIF($E179:AF179,1)),
HYPERLINK("#Roadmap!C"&amp; MATCH($E179,Roadmap!$D:$D,0)+COUNTIF($E179:AF179,"u")+COUNTIF($E179:AF179,"t"),
     INDEX(Roadmap!$D:$K,MATCH($E179,Roadmap!$D:$D,0)+COUNTIF($E179:AF179,"u")+COUNTIF($E179:AF179,"t")+COUNTIF($E179:AF179,"¶")+COUNTIF($E179:AF179,"²")+COUNTIF($E179:AF179,"µ")+COUNTIF($E179:AF179,1),ColTypeEcheance)),
  IF(LEN(AF179)=1,
  IF(LEN(INDEX(Roadmap!$D:$K,MATCH($E179,Roadmap!$D:$D,0)-1+COUNTIF($E179:AF179,"u")+COUNTIF($E179:AF179,"t")+COUNTIF($E179:AF179,"¶")+COUNTIF($E179:AF179,"²")+COUNTIF($E179:AF179,"µ")+COUNTIF($E179:AF179,1),ColDescriptionCourte))&gt;1,
HYPERLINK("#Roadmap!C"&amp; MATCH($E179,Roadmap!$D:$D,0)+COUNTIF($E179:AF179,"u")+COUNTIF($E179:AF179,"t")+COUNTIF($E179:AF179,"¶")+COUNTIF($E179:AF179,"²")+COUNTIF($E179:AF179,"µ")+COUNTIF($E179:AF179,1)-1,INDEX(Roadmap!$D:$K,MATCH($E179,Roadmap!$D:$D,0)-1+COUNTIF($E179:AF179,"u")+COUNTIF($E179:AF179,"t")+COUNTIF($E179:AF179,"¶")+COUNTIF($E179:AF179,"²")+COUNTIF($E179:AF179,"µ")+COUNTIF($E179:AF179,1),ColDescriptionCourte)),""),
  "")),"")</f>
        <v/>
      </c>
    </row>
    <row r="180" spans="3:33" ht="14.25" customHeight="1">
      <c r="C180" s="1" t="str">
        <f t="shared" ca="1" si="54"/>
        <v/>
      </c>
      <c r="D180" s="1" t="str">
        <f t="shared" ca="1" si="55"/>
        <v/>
      </c>
      <c r="E180" s="35" t="str">
        <f t="shared" ca="1" si="51"/>
        <v/>
      </c>
      <c r="F180" s="39" t="str">
        <f ca="1">IFERROR(IF(AND(
  INDEX(Roadmap!$D:$K,MATCH($E180,Roadmap!$D:$D,0)+COUNTIF($E180:E180,"u")+COUNTIF($E180:E180,"t")+COUNTIF($E180:E180,"¶")+COUNTIF($E180:E180,"²")+COUNTIF($E180:E180,"µ")+COUNTIF($E180:E180,1),ColLivraison)=F$6,
  VLOOKUP($E180,INDIRECT("tri!"&amp; CHAR(64+ C0Col) &amp;":"&amp; CHAR(65+C0Col)),2,FALSE)&gt;COUNTIF($E180:E180,"u")+COUNTIF($E180:E180,"t")+COUNTIF($E180:E180,"¶")+COUNTIF($E180:E180,"²")+COUNTIF($E180:E180,"µ")+COUNTIF($E180:E180,1)),
HYPERLINK("#Roadmap!C"&amp; MATCH($E180,Roadmap!$D:$D,0)+COUNTIF($E180:E180,"u")+COUNTIF($E180:E180,"t"),
     INDEX(Roadmap!$D:$K,MATCH($E180,Roadmap!$D:$D,0)+COUNTIF($E180:E180,"u")+COUNTIF($E180:E180,"t")+COUNTIF($E180:E180,"¶")+COUNTIF($E180:E180,"²")+COUNTIF($E180:E180,"µ")+COUNTIF($E180:E180,1),ColTypeEcheance)),
  IF(LEN(E180)=1,
  IF(LEN(INDEX(Roadmap!$D:$K,MATCH($E180,Roadmap!$D:$D,0)-1+COUNTIF($E180:E180,"u")+COUNTIF($E180:E180,"t")+COUNTIF($E180:E180,"¶")+COUNTIF($E180:E180,"²")+COUNTIF($E180:E180,"µ")+COUNTIF($E180:E180,1),ColDescriptionCourte))&gt;1,
HYPERLINK("#Roadmap!C"&amp; MATCH($E180,Roadmap!$D:$D,0)+COUNTIF($E180:E180,"u")+COUNTIF($E180:E180,"t")+COUNTIF($E180:E180,"¶")+COUNTIF($E180:E180,"²")+COUNTIF($E180:E180,"µ")+COUNTIF($E180:E180,1)-1,INDEX(Roadmap!$D:$K,MATCH($E180,Roadmap!$D:$D,0)-1+COUNTIF($E180:E180,"u")+COUNTIF($E180:E180,"t")+COUNTIF($E180:E180,"¶")+COUNTIF($E180:E180,"²")+COUNTIF($E180:E180,"µ")+COUNTIF($E180:E180,1),ColDescriptionCourte)),""),
  "")),"")</f>
        <v/>
      </c>
      <c r="G180" s="40" t="str">
        <f ca="1">IFERROR(IF(AND(
  INDEX(Roadmap!$D:$K,MATCH($E180,Roadmap!$D:$D,0)+COUNTIF($E180:F180,"u")+COUNTIF($E180:F180,"t")+COUNTIF($E180:F180,"¶")+COUNTIF($E180:F180,"²")+COUNTIF($E180:F180,"µ")+COUNTIF($E180:F180,1),ColLivraison)=G$6,
  VLOOKUP($E180,INDIRECT("tri!"&amp; CHAR(64+ C0Col) &amp;":"&amp; CHAR(65+C0Col)),2,FALSE)&gt;COUNTIF($E180:F180,"u")+COUNTIF($E180:F180,"t")+COUNTIF($E180:F180,"¶")+COUNTIF($E180:F180,"²")+COUNTIF($E180:F180,"µ")+COUNTIF($E180:F180,1)),
HYPERLINK("#Roadmap!C"&amp; MATCH($E180,Roadmap!$D:$D,0)+COUNTIF($E180:F180,"u")+COUNTIF($E180:F180,"t"),
     INDEX(Roadmap!$D:$K,MATCH($E180,Roadmap!$D:$D,0)+COUNTIF($E180:F180,"u")+COUNTIF($E180:F180,"t")+COUNTIF($E180:F180,"¶")+COUNTIF($E180:F180,"²")+COUNTIF($E180:F180,"µ")+COUNTIF($E180:F180,1),ColTypeEcheance)),
  IF(LEN(F180)=1,
  IF(LEN(INDEX(Roadmap!$D:$K,MATCH($E180,Roadmap!$D:$D,0)-1+COUNTIF($E180:F180,"u")+COUNTIF($E180:F180,"t")+COUNTIF($E180:F180,"¶")+COUNTIF($E180:F180,"²")+COUNTIF($E180:F180,"µ")+COUNTIF($E180:F180,1),ColDescriptionCourte))&gt;1,
HYPERLINK("#Roadmap!C"&amp; MATCH($E180,Roadmap!$D:$D,0)+COUNTIF($E180:F180,"u")+COUNTIF($E180:F180,"t")+COUNTIF($E180:F180,"¶")+COUNTIF($E180:F180,"²")+COUNTIF($E180:F180,"µ")+COUNTIF($E180:F180,1)-1,INDEX(Roadmap!$D:$K,MATCH($E180,Roadmap!$D:$D,0)-1+COUNTIF($E180:F180,"u")+COUNTIF($E180:F180,"t")+COUNTIF($E180:F180,"¶")+COUNTIF($E180:F180,"²")+COUNTIF($E180:F180,"µ")+COUNTIF($E180:F180,1),ColDescriptionCourte)),""),
  "")),"")</f>
        <v/>
      </c>
      <c r="H180" s="40" t="str">
        <f ca="1">IFERROR(IF(AND(
  INDEX(Roadmap!$D:$K,MATCH($E180,Roadmap!$D:$D,0)+COUNTIF($E180:G180,"u")+COUNTIF($E180:G180,"t")+COUNTIF($E180:G180,"¶")+COUNTIF($E180:G180,"²")+COUNTIF($E180:G180,"µ")+COUNTIF($E180:G180,1),ColLivraison)=H$6,
  VLOOKUP($E180,INDIRECT("tri!"&amp; CHAR(64+ C0Col) &amp;":"&amp; CHAR(65+C0Col)),2,FALSE)&gt;COUNTIF($E180:G180,"u")+COUNTIF($E180:G180,"t")+COUNTIF($E180:G180,"¶")+COUNTIF($E180:G180,"²")+COUNTIF($E180:G180,"µ")+COUNTIF($E180:G180,1)),
HYPERLINK("#Roadmap!C"&amp; MATCH($E180,Roadmap!$D:$D,0)+COUNTIF($E180:G180,"u")+COUNTIF($E180:G180,"t"),
     INDEX(Roadmap!$D:$K,MATCH($E180,Roadmap!$D:$D,0)+COUNTIF($E180:G180,"u")+COUNTIF($E180:G180,"t")+COUNTIF($E180:G180,"¶")+COUNTIF($E180:G180,"²")+COUNTIF($E180:G180,"µ")+COUNTIF($E180:G180,1),ColTypeEcheance)),
  IF(LEN(G180)=1,
  IF(LEN(INDEX(Roadmap!$D:$K,MATCH($E180,Roadmap!$D:$D,0)-1+COUNTIF($E180:G180,"u")+COUNTIF($E180:G180,"t")+COUNTIF($E180:G180,"¶")+COUNTIF($E180:G180,"²")+COUNTIF($E180:G180,"µ")+COUNTIF($E180:G180,1),ColDescriptionCourte))&gt;1,
HYPERLINK("#Roadmap!C"&amp; MATCH($E180,Roadmap!$D:$D,0)+COUNTIF($E180:G180,"u")+COUNTIF($E180:G180,"t")+COUNTIF($E180:G180,"¶")+COUNTIF($E180:G180,"²")+COUNTIF($E180:G180,"µ")+COUNTIF($E180:G180,1)-1,INDEX(Roadmap!$D:$K,MATCH($E180,Roadmap!$D:$D,0)-1+COUNTIF($E180:G180,"u")+COUNTIF($E180:G180,"t")+COUNTIF($E180:G180,"¶")+COUNTIF($E180:G180,"²")+COUNTIF($E180:G180,"µ")+COUNTIF($E180:G180,1),ColDescriptionCourte)),""),
  "")),"")</f>
        <v/>
      </c>
      <c r="I180" s="40" t="str">
        <f ca="1">IFERROR(IF(AND(
  INDEX(Roadmap!$D:$K,MATCH($E180,Roadmap!$D:$D,0)+COUNTIF($E180:H180,"u")+COUNTIF($E180:H180,"t")+COUNTIF($E180:H180,"¶")+COUNTIF($E180:H180,"²")+COUNTIF($E180:H180,"µ")+COUNTIF($E180:H180,1),ColLivraison)=I$6,
  VLOOKUP($E180,INDIRECT("tri!"&amp; CHAR(64+ C0Col) &amp;":"&amp; CHAR(65+C0Col)),2,FALSE)&gt;COUNTIF($E180:H180,"u")+COUNTIF($E180:H180,"t")+COUNTIF($E180:H180,"¶")+COUNTIF($E180:H180,"²")+COUNTIF($E180:H180,"µ")+COUNTIF($E180:H180,1)),
HYPERLINK("#Roadmap!C"&amp; MATCH($E180,Roadmap!$D:$D,0)+COUNTIF($E180:H180,"u")+COUNTIF($E180:H180,"t"),
     INDEX(Roadmap!$D:$K,MATCH($E180,Roadmap!$D:$D,0)+COUNTIF($E180:H180,"u")+COUNTIF($E180:H180,"t")+COUNTIF($E180:H180,"¶")+COUNTIF($E180:H180,"²")+COUNTIF($E180:H180,"µ")+COUNTIF($E180:H180,1),ColTypeEcheance)),
  IF(LEN(H180)=1,
  IF(LEN(INDEX(Roadmap!$D:$K,MATCH($E180,Roadmap!$D:$D,0)-1+COUNTIF($E180:H180,"u")+COUNTIF($E180:H180,"t")+COUNTIF($E180:H180,"¶")+COUNTIF($E180:H180,"²")+COUNTIF($E180:H180,"µ")+COUNTIF($E180:H180,1),ColDescriptionCourte))&gt;1,
HYPERLINK("#Roadmap!C"&amp; MATCH($E180,Roadmap!$D:$D,0)+COUNTIF($E180:H180,"u")+COUNTIF($E180:H180,"t")+COUNTIF($E180:H180,"¶")+COUNTIF($E180:H180,"²")+COUNTIF($E180:H180,"µ")+COUNTIF($E180:H180,1)-1,INDEX(Roadmap!$D:$K,MATCH($E180,Roadmap!$D:$D,0)-1+COUNTIF($E180:H180,"u")+COUNTIF($E180:H180,"t")+COUNTIF($E180:H180,"¶")+COUNTIF($E180:H180,"²")+COUNTIF($E180:H180,"µ")+COUNTIF($E180:H180,1),ColDescriptionCourte)),""),
  "")),"")</f>
        <v/>
      </c>
      <c r="J180" s="40" t="str">
        <f ca="1">IFERROR(IF(AND(
  INDEX(Roadmap!$D:$K,MATCH($E180,Roadmap!$D:$D,0)+COUNTIF($E180:I180,"u")+COUNTIF($E180:I180,"t")+COUNTIF($E180:I180,"¶")+COUNTIF($E180:I180,"²")+COUNTIF($E180:I180,"µ")+COUNTIF($E180:I180,1),ColLivraison)=J$6,
  VLOOKUP($E180,INDIRECT("tri!"&amp; CHAR(64+ C0Col) &amp;":"&amp; CHAR(65+C0Col)),2,FALSE)&gt;COUNTIF($E180:I180,"u")+COUNTIF($E180:I180,"t")+COUNTIF($E180:I180,"¶")+COUNTIF($E180:I180,"²")+COUNTIF($E180:I180,"µ")+COUNTIF($E180:I180,1)),
HYPERLINK("#Roadmap!C"&amp; MATCH($E180,Roadmap!$D:$D,0)+COUNTIF($E180:I180,"u")+COUNTIF($E180:I180,"t"),
     INDEX(Roadmap!$D:$K,MATCH($E180,Roadmap!$D:$D,0)+COUNTIF($E180:I180,"u")+COUNTIF($E180:I180,"t")+COUNTIF($E180:I180,"¶")+COUNTIF($E180:I180,"²")+COUNTIF($E180:I180,"µ")+COUNTIF($E180:I180,1),ColTypeEcheance)),
  IF(LEN(I180)=1,
  IF(LEN(INDEX(Roadmap!$D:$K,MATCH($E180,Roadmap!$D:$D,0)-1+COUNTIF($E180:I180,"u")+COUNTIF($E180:I180,"t")+COUNTIF($E180:I180,"¶")+COUNTIF($E180:I180,"²")+COUNTIF($E180:I180,"µ")+COUNTIF($E180:I180,1),ColDescriptionCourte))&gt;1,
HYPERLINK("#Roadmap!C"&amp; MATCH($E180,Roadmap!$D:$D,0)+COUNTIF($E180:I180,"u")+COUNTIF($E180:I180,"t")+COUNTIF($E180:I180,"¶")+COUNTIF($E180:I180,"²")+COUNTIF($E180:I180,"µ")+COUNTIF($E180:I180,1)-1,INDEX(Roadmap!$D:$K,MATCH($E180,Roadmap!$D:$D,0)-1+COUNTIF($E180:I180,"u")+COUNTIF($E180:I180,"t")+COUNTIF($E180:I180,"¶")+COUNTIF($E180:I180,"²")+COUNTIF($E180:I180,"µ")+COUNTIF($E180:I180,1),ColDescriptionCourte)),""),
  "")),"")</f>
        <v/>
      </c>
      <c r="K180" s="40" t="str">
        <f ca="1">IFERROR(IF(AND(
  INDEX(Roadmap!$D:$K,MATCH($E180,Roadmap!$D:$D,0)+COUNTIF($E180:J180,"u")+COUNTIF($E180:J180,"t")+COUNTIF($E180:J180,"¶")+COUNTIF($E180:J180,"²")+COUNTIF($E180:J180,"µ")+COUNTIF($E180:J180,1),ColLivraison)=K$6,
  VLOOKUP($E180,INDIRECT("tri!"&amp; CHAR(64+ C0Col) &amp;":"&amp; CHAR(65+C0Col)),2,FALSE)&gt;COUNTIF($E180:J180,"u")+COUNTIF($E180:J180,"t")+COUNTIF($E180:J180,"¶")+COUNTIF($E180:J180,"²")+COUNTIF($E180:J180,"µ")+COUNTIF($E180:J180,1)),
HYPERLINK("#Roadmap!C"&amp; MATCH($E180,Roadmap!$D:$D,0)+COUNTIF($E180:J180,"u")+COUNTIF($E180:J180,"t"),
     INDEX(Roadmap!$D:$K,MATCH($E180,Roadmap!$D:$D,0)+COUNTIF($E180:J180,"u")+COUNTIF($E180:J180,"t")+COUNTIF($E180:J180,"¶")+COUNTIF($E180:J180,"²")+COUNTIF($E180:J180,"µ")+COUNTIF($E180:J180,1),ColTypeEcheance)),
  IF(LEN(J180)=1,
  IF(LEN(INDEX(Roadmap!$D:$K,MATCH($E180,Roadmap!$D:$D,0)-1+COUNTIF($E180:J180,"u")+COUNTIF($E180:J180,"t")+COUNTIF($E180:J180,"¶")+COUNTIF($E180:J180,"²")+COUNTIF($E180:J180,"µ")+COUNTIF($E180:J180,1),ColDescriptionCourte))&gt;1,
HYPERLINK("#Roadmap!C"&amp; MATCH($E180,Roadmap!$D:$D,0)+COUNTIF($E180:J180,"u")+COUNTIF($E180:J180,"t")+COUNTIF($E180:J180,"¶")+COUNTIF($E180:J180,"²")+COUNTIF($E180:J180,"µ")+COUNTIF($E180:J180,1)-1,INDEX(Roadmap!$D:$K,MATCH($E180,Roadmap!$D:$D,0)-1+COUNTIF($E180:J180,"u")+COUNTIF($E180:J180,"t")+COUNTIF($E180:J180,"¶")+COUNTIF($E180:J180,"²")+COUNTIF($E180:J180,"µ")+COUNTIF($E180:J180,1),ColDescriptionCourte)),""),
  "")),"")</f>
        <v/>
      </c>
      <c r="L180" s="39" t="str">
        <f ca="1">IFERROR(IF(AND(
  INDEX(Roadmap!$D:$K,MATCH($E180,Roadmap!$D:$D,0)+COUNTIF($E180:K180,"u")+COUNTIF($E180:K180,"t")+COUNTIF($E180:K180,"¶")+COUNTIF($E180:K180,"²")+COUNTIF($E180:K180,"µ")+COUNTIF($E180:K180,1),ColLivraison)=L$6,
  VLOOKUP($E180,INDIRECT("tri!"&amp; CHAR(64+ C0Col) &amp;":"&amp; CHAR(65+C0Col)),2,FALSE)&gt;COUNTIF($E180:K180,"u")+COUNTIF($E180:K180,"t")+COUNTIF($E180:K180,"¶")+COUNTIF($E180:K180,"²")+COUNTIF($E180:K180,"µ")+COUNTIF($E180:K180,1)),
HYPERLINK("#Roadmap!C"&amp; MATCH($E180,Roadmap!$D:$D,0)+COUNTIF($E180:K180,"u")+COUNTIF($E180:K180,"t"),
     INDEX(Roadmap!$D:$K,MATCH($E180,Roadmap!$D:$D,0)+COUNTIF($E180:K180,"u")+COUNTIF($E180:K180,"t")+COUNTIF($E180:K180,"¶")+COUNTIF($E180:K180,"²")+COUNTIF($E180:K180,"µ")+COUNTIF($E180:K180,1),ColTypeEcheance)),
  IF(LEN(K180)=1,
  IF(LEN(INDEX(Roadmap!$D:$K,MATCH($E180,Roadmap!$D:$D,0)-1+COUNTIF($E180:K180,"u")+COUNTIF($E180:K180,"t")+COUNTIF($E180:K180,"¶")+COUNTIF($E180:K180,"²")+COUNTIF($E180:K180,"µ")+COUNTIF($E180:K180,1),ColDescriptionCourte))&gt;1,
HYPERLINK("#Roadmap!C"&amp; MATCH($E180,Roadmap!$D:$D,0)+COUNTIF($E180:K180,"u")+COUNTIF($E180:K180,"t")+COUNTIF($E180:K180,"¶")+COUNTIF($E180:K180,"²")+COUNTIF($E180:K180,"µ")+COUNTIF($E180:K180,1)-1,INDEX(Roadmap!$D:$K,MATCH($E180,Roadmap!$D:$D,0)-1+COUNTIF($E180:K180,"u")+COUNTIF($E180:K180,"t")+COUNTIF($E180:K180,"¶")+COUNTIF($E180:K180,"²")+COUNTIF($E180:K180,"µ")+COUNTIF($E180:K180,1),ColDescriptionCourte)),""),
  "")),"")</f>
        <v/>
      </c>
      <c r="M180" s="40" t="str">
        <f ca="1">IFERROR(IF(AND(
  INDEX(Roadmap!$D:$K,MATCH($E180,Roadmap!$D:$D,0)+COUNTIF($E180:L180,"u")+COUNTIF($E180:L180,"t")+COUNTIF($E180:L180,"¶")+COUNTIF($E180:L180,"²")+COUNTIF($E180:L180,"µ")+COUNTIF($E180:L180,1),ColLivraison)=M$6,
  VLOOKUP($E180,INDIRECT("tri!"&amp; CHAR(64+ C0Col) &amp;":"&amp; CHAR(65+C0Col)),2,FALSE)&gt;COUNTIF($E180:L180,"u")+COUNTIF($E180:L180,"t")+COUNTIF($E180:L180,"¶")+COUNTIF($E180:L180,"²")+COUNTIF($E180:L180,"µ")+COUNTIF($E180:L180,1)),
HYPERLINK("#Roadmap!C"&amp; MATCH($E180,Roadmap!$D:$D,0)+COUNTIF($E180:L180,"u")+COUNTIF($E180:L180,"t"),
     INDEX(Roadmap!$D:$K,MATCH($E180,Roadmap!$D:$D,0)+COUNTIF($E180:L180,"u")+COUNTIF($E180:L180,"t")+COUNTIF($E180:L180,"¶")+COUNTIF($E180:L180,"²")+COUNTIF($E180:L180,"µ")+COUNTIF($E180:L180,1),ColTypeEcheance)),
  IF(LEN(L180)=1,
  IF(LEN(INDEX(Roadmap!$D:$K,MATCH($E180,Roadmap!$D:$D,0)-1+COUNTIF($E180:L180,"u")+COUNTIF($E180:L180,"t")+COUNTIF($E180:L180,"¶")+COUNTIF($E180:L180,"²")+COUNTIF($E180:L180,"µ")+COUNTIF($E180:L180,1),ColDescriptionCourte))&gt;1,
HYPERLINK("#Roadmap!C"&amp; MATCH($E180,Roadmap!$D:$D,0)+COUNTIF($E180:L180,"u")+COUNTIF($E180:L180,"t")+COUNTIF($E180:L180,"¶")+COUNTIF($E180:L180,"²")+COUNTIF($E180:L180,"µ")+COUNTIF($E180:L180,1)-1,INDEX(Roadmap!$D:$K,MATCH($E180,Roadmap!$D:$D,0)-1+COUNTIF($E180:L180,"u")+COUNTIF($E180:L180,"t")+COUNTIF($E180:L180,"¶")+COUNTIF($E180:L180,"²")+COUNTIF($E180:L180,"µ")+COUNTIF($E180:L180,1),ColDescriptionCourte)),""),
  "")),"")</f>
        <v/>
      </c>
      <c r="N180" s="40" t="str">
        <f ca="1">IFERROR(IF(AND(
  INDEX(Roadmap!$D:$K,MATCH($E180,Roadmap!$D:$D,0)+COUNTIF($E180:M180,"u")+COUNTIF($E180:M180,"t")+COUNTIF($E180:M180,"¶")+COUNTIF($E180:M180,"²")+COUNTIF($E180:M180,"µ")+COUNTIF($E180:M180,1),ColLivraison)=N$6,
  VLOOKUP($E180,INDIRECT("tri!"&amp; CHAR(64+ C0Col) &amp;":"&amp; CHAR(65+C0Col)),2,FALSE)&gt;COUNTIF($E180:M180,"u")+COUNTIF($E180:M180,"t")+COUNTIF($E180:M180,"¶")+COUNTIF($E180:M180,"²")+COUNTIF($E180:M180,"µ")+COUNTIF($E180:M180,1)),
HYPERLINK("#Roadmap!C"&amp; MATCH($E180,Roadmap!$D:$D,0)+COUNTIF($E180:M180,"u")+COUNTIF($E180:M180,"t"),
     INDEX(Roadmap!$D:$K,MATCH($E180,Roadmap!$D:$D,0)+COUNTIF($E180:M180,"u")+COUNTIF($E180:M180,"t")+COUNTIF($E180:M180,"¶")+COUNTIF($E180:M180,"²")+COUNTIF($E180:M180,"µ")+COUNTIF($E180:M180,1),ColTypeEcheance)),
  IF(LEN(M180)=1,
  IF(LEN(INDEX(Roadmap!$D:$K,MATCH($E180,Roadmap!$D:$D,0)-1+COUNTIF($E180:M180,"u")+COUNTIF($E180:M180,"t")+COUNTIF($E180:M180,"¶")+COUNTIF($E180:M180,"²")+COUNTIF($E180:M180,"µ")+COUNTIF($E180:M180,1),ColDescriptionCourte))&gt;1,
HYPERLINK("#Roadmap!C"&amp; MATCH($E180,Roadmap!$D:$D,0)+COUNTIF($E180:M180,"u")+COUNTIF($E180:M180,"t")+COUNTIF($E180:M180,"¶")+COUNTIF($E180:M180,"²")+COUNTIF($E180:M180,"µ")+COUNTIF($E180:M180,1)-1,INDEX(Roadmap!$D:$K,MATCH($E180,Roadmap!$D:$D,0)-1+COUNTIF($E180:M180,"u")+COUNTIF($E180:M180,"t")+COUNTIF($E180:M180,"¶")+COUNTIF($E180:M180,"²")+COUNTIF($E180:M180,"µ")+COUNTIF($E180:M180,1),ColDescriptionCourte)),""),
  "")),"")</f>
        <v/>
      </c>
      <c r="O180" s="40" t="str">
        <f ca="1">IFERROR(IF(AND(
  INDEX(Roadmap!$D:$K,MATCH($E180,Roadmap!$D:$D,0)+COUNTIF($E180:N180,"u")+COUNTIF($E180:N180,"t")+COUNTIF($E180:N180,"¶")+COUNTIF($E180:N180,"²")+COUNTIF($E180:N180,"µ")+COUNTIF($E180:N180,1),ColLivraison)=O$6,
  VLOOKUP($E180,INDIRECT("tri!"&amp; CHAR(64+ C0Col) &amp;":"&amp; CHAR(65+C0Col)),2,FALSE)&gt;COUNTIF($E180:N180,"u")+COUNTIF($E180:N180,"t")+COUNTIF($E180:N180,"¶")+COUNTIF($E180:N180,"²")+COUNTIF($E180:N180,"µ")+COUNTIF($E180:N180,1)),
HYPERLINK("#Roadmap!C"&amp; MATCH($E180,Roadmap!$D:$D,0)+COUNTIF($E180:N180,"u")+COUNTIF($E180:N180,"t"),
     INDEX(Roadmap!$D:$K,MATCH($E180,Roadmap!$D:$D,0)+COUNTIF($E180:N180,"u")+COUNTIF($E180:N180,"t")+COUNTIF($E180:N180,"¶")+COUNTIF($E180:N180,"²")+COUNTIF($E180:N180,"µ")+COUNTIF($E180:N180,1),ColTypeEcheance)),
  IF(LEN(N180)=1,
  IF(LEN(INDEX(Roadmap!$D:$K,MATCH($E180,Roadmap!$D:$D,0)-1+COUNTIF($E180:N180,"u")+COUNTIF($E180:N180,"t")+COUNTIF($E180:N180,"¶")+COUNTIF($E180:N180,"²")+COUNTIF($E180:N180,"µ")+COUNTIF($E180:N180,1),ColDescriptionCourte))&gt;1,
HYPERLINK("#Roadmap!C"&amp; MATCH($E180,Roadmap!$D:$D,0)+COUNTIF($E180:N180,"u")+COUNTIF($E180:N180,"t")+COUNTIF($E180:N180,"¶")+COUNTIF($E180:N180,"²")+COUNTIF($E180:N180,"µ")+COUNTIF($E180:N180,1)-1,INDEX(Roadmap!$D:$K,MATCH($E180,Roadmap!$D:$D,0)-1+COUNTIF($E180:N180,"u")+COUNTIF($E180:N180,"t")+COUNTIF($E180:N180,"¶")+COUNTIF($E180:N180,"²")+COUNTIF($E180:N180,"µ")+COUNTIF($E180:N180,1),ColDescriptionCourte)),""),
  "")),"")</f>
        <v/>
      </c>
      <c r="P180" s="40" t="str">
        <f ca="1">IFERROR(IF(AND(
  INDEX(Roadmap!$D:$K,MATCH($E180,Roadmap!$D:$D,0)+COUNTIF($E180:O180,"u")+COUNTIF($E180:O180,"t")+COUNTIF($E180:O180,"¶")+COUNTIF($E180:O180,"²")+COUNTIF($E180:O180,"µ")+COUNTIF($E180:O180,1),ColLivraison)=P$6,
  VLOOKUP($E180,INDIRECT("tri!"&amp; CHAR(64+ C0Col) &amp;":"&amp; CHAR(65+C0Col)),2,FALSE)&gt;COUNTIF($E180:O180,"u")+COUNTIF($E180:O180,"t")+COUNTIF($E180:O180,"¶")+COUNTIF($E180:O180,"²")+COUNTIF($E180:O180,"µ")+COUNTIF($E180:O180,1)),
HYPERLINK("#Roadmap!C"&amp; MATCH($E180,Roadmap!$D:$D,0)+COUNTIF($E180:O180,"u")+COUNTIF($E180:O180,"t"),
     INDEX(Roadmap!$D:$K,MATCH($E180,Roadmap!$D:$D,0)+COUNTIF($E180:O180,"u")+COUNTIF($E180:O180,"t")+COUNTIF($E180:O180,"¶")+COUNTIF($E180:O180,"²")+COUNTIF($E180:O180,"µ")+COUNTIF($E180:O180,1),ColTypeEcheance)),
  IF(LEN(O180)=1,
  IF(LEN(INDEX(Roadmap!$D:$K,MATCH($E180,Roadmap!$D:$D,0)-1+COUNTIF($E180:O180,"u")+COUNTIF($E180:O180,"t")+COUNTIF($E180:O180,"¶")+COUNTIF($E180:O180,"²")+COUNTIF($E180:O180,"µ")+COUNTIF($E180:O180,1),ColDescriptionCourte))&gt;1,
HYPERLINK("#Roadmap!C"&amp; MATCH($E180,Roadmap!$D:$D,0)+COUNTIF($E180:O180,"u")+COUNTIF($E180:O180,"t")+COUNTIF($E180:O180,"¶")+COUNTIF($E180:O180,"²")+COUNTIF($E180:O180,"µ")+COUNTIF($E180:O180,1)-1,INDEX(Roadmap!$D:$K,MATCH($E180,Roadmap!$D:$D,0)-1+COUNTIF($E180:O180,"u")+COUNTIF($E180:O180,"t")+COUNTIF($E180:O180,"¶")+COUNTIF($E180:O180,"²")+COUNTIF($E180:O180,"µ")+COUNTIF($E180:O180,1),ColDescriptionCourte)),""),
  "")),"")</f>
        <v/>
      </c>
      <c r="Q180" s="40" t="str">
        <f ca="1">IFERROR(IF(AND(
  INDEX(Roadmap!$D:$K,MATCH($E180,Roadmap!$D:$D,0)+COUNTIF($E180:P180,"u")+COUNTIF($E180:P180,"t")+COUNTIF($E180:P180,"¶")+COUNTIF($E180:P180,"²")+COUNTIF($E180:P180,"µ")+COUNTIF($E180:P180,1),ColLivraison)=Q$6,
  VLOOKUP($E180,INDIRECT("tri!"&amp; CHAR(64+ C0Col) &amp;":"&amp; CHAR(65+C0Col)),2,FALSE)&gt;COUNTIF($E180:P180,"u")+COUNTIF($E180:P180,"t")+COUNTIF($E180:P180,"¶")+COUNTIF($E180:P180,"²")+COUNTIF($E180:P180,"µ")+COUNTIF($E180:P180,1)),
HYPERLINK("#Roadmap!C"&amp; MATCH($E180,Roadmap!$D:$D,0)+COUNTIF($E180:P180,"u")+COUNTIF($E180:P180,"t"),
     INDEX(Roadmap!$D:$K,MATCH($E180,Roadmap!$D:$D,0)+COUNTIF($E180:P180,"u")+COUNTIF($E180:P180,"t")+COUNTIF($E180:P180,"¶")+COUNTIF($E180:P180,"²")+COUNTIF($E180:P180,"µ")+COUNTIF($E180:P180,1),ColTypeEcheance)),
  IF(LEN(P180)=1,
  IF(LEN(INDEX(Roadmap!$D:$K,MATCH($E180,Roadmap!$D:$D,0)-1+COUNTIF($E180:P180,"u")+COUNTIF($E180:P180,"t")+COUNTIF($E180:P180,"¶")+COUNTIF($E180:P180,"²")+COUNTIF($E180:P180,"µ")+COUNTIF($E180:P180,1),ColDescriptionCourte))&gt;1,
HYPERLINK("#Roadmap!C"&amp; MATCH($E180,Roadmap!$D:$D,0)+COUNTIF($E180:P180,"u")+COUNTIF($E180:P180,"t")+COUNTIF($E180:P180,"¶")+COUNTIF($E180:P180,"²")+COUNTIF($E180:P180,"µ")+COUNTIF($E180:P180,1)-1,INDEX(Roadmap!$D:$K,MATCH($E180,Roadmap!$D:$D,0)-1+COUNTIF($E180:P180,"u")+COUNTIF($E180:P180,"t")+COUNTIF($E180:P180,"¶")+COUNTIF($E180:P180,"²")+COUNTIF($E180:P180,"µ")+COUNTIF($E180:P180,1),ColDescriptionCourte)),""),
  "")),"")</f>
        <v/>
      </c>
      <c r="R180" s="40" t="str">
        <f ca="1">IFERROR(IF(AND(
  INDEX(Roadmap!$D:$K,MATCH($E180,Roadmap!$D:$D,0)+COUNTIF($E180:Q180,"u")+COUNTIF($E180:Q180,"t")+COUNTIF($E180:Q180,"¶")+COUNTIF($E180:Q180,"²")+COUNTIF($E180:Q180,"µ")+COUNTIF($E180:Q180,1),ColLivraison)=R$6,
  VLOOKUP($E180,INDIRECT("tri!"&amp; CHAR(64+ C0Col) &amp;":"&amp; CHAR(65+C0Col)),2,FALSE)&gt;COUNTIF($E180:Q180,"u")+COUNTIF($E180:Q180,"t")+COUNTIF($E180:Q180,"¶")+COUNTIF($E180:Q180,"²")+COUNTIF($E180:Q180,"µ")+COUNTIF($E180:Q180,1)),
HYPERLINK("#Roadmap!C"&amp; MATCH($E180,Roadmap!$D:$D,0)+COUNTIF($E180:Q180,"u")+COUNTIF($E180:Q180,"t"),
     INDEX(Roadmap!$D:$K,MATCH($E180,Roadmap!$D:$D,0)+COUNTIF($E180:Q180,"u")+COUNTIF($E180:Q180,"t")+COUNTIF($E180:Q180,"¶")+COUNTIF($E180:Q180,"²")+COUNTIF($E180:Q180,"µ")+COUNTIF($E180:Q180,1),ColTypeEcheance)),
  IF(LEN(Q180)=1,
  IF(LEN(INDEX(Roadmap!$D:$K,MATCH($E180,Roadmap!$D:$D,0)-1+COUNTIF($E180:Q180,"u")+COUNTIF($E180:Q180,"t")+COUNTIF($E180:Q180,"¶")+COUNTIF($E180:Q180,"²")+COUNTIF($E180:Q180,"µ")+COUNTIF($E180:Q180,1),ColDescriptionCourte))&gt;1,
HYPERLINK("#Roadmap!C"&amp; MATCH($E180,Roadmap!$D:$D,0)+COUNTIF($E180:Q180,"u")+COUNTIF($E180:Q180,"t")+COUNTIF($E180:Q180,"¶")+COUNTIF($E180:Q180,"²")+COUNTIF($E180:Q180,"µ")+COUNTIF($E180:Q180,1)-1,INDEX(Roadmap!$D:$K,MATCH($E180,Roadmap!$D:$D,0)-1+COUNTIF($E180:Q180,"u")+COUNTIF($E180:Q180,"t")+COUNTIF($E180:Q180,"¶")+COUNTIF($E180:Q180,"²")+COUNTIF($E180:Q180,"µ")+COUNTIF($E180:Q180,1),ColDescriptionCourte)),""),
  "")),"")</f>
        <v/>
      </c>
      <c r="S180" s="40" t="str">
        <f ca="1">IFERROR(IF(AND(
  INDEX(Roadmap!$D:$K,MATCH($E180,Roadmap!$D:$D,0)+COUNTIF($E180:R180,"u")+COUNTIF($E180:R180,"t")+COUNTIF($E180:R180,"¶")+COUNTIF($E180:R180,"²")+COUNTIF($E180:R180,"µ")+COUNTIF($E180:R180,1),ColLivraison)=S$6,
  VLOOKUP($E180,INDIRECT("tri!"&amp; CHAR(64+ C0Col) &amp;":"&amp; CHAR(65+C0Col)),2,FALSE)&gt;COUNTIF($E180:R180,"u")+COUNTIF($E180:R180,"t")+COUNTIF($E180:R180,"¶")+COUNTIF($E180:R180,"²")+COUNTIF($E180:R180,"µ")+COUNTIF($E180:R180,1)),
HYPERLINK("#Roadmap!C"&amp; MATCH($E180,Roadmap!$D:$D,0)+COUNTIF($E180:R180,"u")+COUNTIF($E180:R180,"t"),
     INDEX(Roadmap!$D:$K,MATCH($E180,Roadmap!$D:$D,0)+COUNTIF($E180:R180,"u")+COUNTIF($E180:R180,"t")+COUNTIF($E180:R180,"¶")+COUNTIF($E180:R180,"²")+COUNTIF($E180:R180,"µ")+COUNTIF($E180:R180,1),ColTypeEcheance)),
  IF(LEN(R180)=1,
  IF(LEN(INDEX(Roadmap!$D:$K,MATCH($E180,Roadmap!$D:$D,0)-1+COUNTIF($E180:R180,"u")+COUNTIF($E180:R180,"t")+COUNTIF($E180:R180,"¶")+COUNTIF($E180:R180,"²")+COUNTIF($E180:R180,"µ")+COUNTIF($E180:R180,1),ColDescriptionCourte))&gt;1,
HYPERLINK("#Roadmap!C"&amp; MATCH($E180,Roadmap!$D:$D,0)+COUNTIF($E180:R180,"u")+COUNTIF($E180:R180,"t")+COUNTIF($E180:R180,"¶")+COUNTIF($E180:R180,"²")+COUNTIF($E180:R180,"µ")+COUNTIF($E180:R180,1)-1,INDEX(Roadmap!$D:$K,MATCH($E180,Roadmap!$D:$D,0)-1+COUNTIF($E180:R180,"u")+COUNTIF($E180:R180,"t")+COUNTIF($E180:R180,"¶")+COUNTIF($E180:R180,"²")+COUNTIF($E180:R180,"µ")+COUNTIF($E180:R180,1),ColDescriptionCourte)),""),
  "")),"")</f>
        <v/>
      </c>
      <c r="T180" s="40" t="str">
        <f ca="1">IFERROR(IF(AND(
  INDEX(Roadmap!$D:$K,MATCH($E180,Roadmap!$D:$D,0)+COUNTIF($E180:S180,"u")+COUNTIF($E180:S180,"t")+COUNTIF($E180:S180,"¶")+COUNTIF($E180:S180,"²")+COUNTIF($E180:S180,"µ")+COUNTIF($E180:S180,1),ColLivraison)=T$6,
  VLOOKUP($E180,INDIRECT("tri!"&amp; CHAR(64+ C0Col) &amp;":"&amp; CHAR(65+C0Col)),2,FALSE)&gt;COUNTIF($E180:S180,"u")+COUNTIF($E180:S180,"t")+COUNTIF($E180:S180,"¶")+COUNTIF($E180:S180,"²")+COUNTIF($E180:S180,"µ")+COUNTIF($E180:S180,1)),
HYPERLINK("#Roadmap!C"&amp; MATCH($E180,Roadmap!$D:$D,0)+COUNTIF($E180:S180,"u")+COUNTIF($E180:S180,"t"),
     INDEX(Roadmap!$D:$K,MATCH($E180,Roadmap!$D:$D,0)+COUNTIF($E180:S180,"u")+COUNTIF($E180:S180,"t")+COUNTIF($E180:S180,"¶")+COUNTIF($E180:S180,"²")+COUNTIF($E180:S180,"µ")+COUNTIF($E180:S180,1),ColTypeEcheance)),
  IF(LEN(S180)=1,
  IF(LEN(INDEX(Roadmap!$D:$K,MATCH($E180,Roadmap!$D:$D,0)-1+COUNTIF($E180:S180,"u")+COUNTIF($E180:S180,"t")+COUNTIF($E180:S180,"¶")+COUNTIF($E180:S180,"²")+COUNTIF($E180:S180,"µ")+COUNTIF($E180:S180,1),ColDescriptionCourte))&gt;1,
HYPERLINK("#Roadmap!C"&amp; MATCH($E180,Roadmap!$D:$D,0)+COUNTIF($E180:S180,"u")+COUNTIF($E180:S180,"t")+COUNTIF($E180:S180,"¶")+COUNTIF($E180:S180,"²")+COUNTIF($E180:S180,"µ")+COUNTIF($E180:S180,1)-1,INDEX(Roadmap!$D:$K,MATCH($E180,Roadmap!$D:$D,0)-1+COUNTIF($E180:S180,"u")+COUNTIF($E180:S180,"t")+COUNTIF($E180:S180,"¶")+COUNTIF($E180:S180,"²")+COUNTIF($E180:S180,"µ")+COUNTIF($E180:S180,1),ColDescriptionCourte)),""),
  "")),"")</f>
        <v/>
      </c>
      <c r="U180" s="40" t="str">
        <f ca="1">IFERROR(IF(AND(
  INDEX(Roadmap!$D:$K,MATCH($E180,Roadmap!$D:$D,0)+COUNTIF($E180:T180,"u")+COUNTIF($E180:T180,"t")+COUNTIF($E180:T180,"¶")+COUNTIF($E180:T180,"²")+COUNTIF($E180:T180,"µ")+COUNTIF($E180:T180,1),ColLivraison)=U$6,
  VLOOKUP($E180,INDIRECT("tri!"&amp; CHAR(64+ C0Col) &amp;":"&amp; CHAR(65+C0Col)),2,FALSE)&gt;COUNTIF($E180:T180,"u")+COUNTIF($E180:T180,"t")+COUNTIF($E180:T180,"¶")+COUNTIF($E180:T180,"²")+COUNTIF($E180:T180,"µ")+COUNTIF($E180:T180,1)),
HYPERLINK("#Roadmap!C"&amp; MATCH($E180,Roadmap!$D:$D,0)+COUNTIF($E180:T180,"u")+COUNTIF($E180:T180,"t"),
     INDEX(Roadmap!$D:$K,MATCH($E180,Roadmap!$D:$D,0)+COUNTIF($E180:T180,"u")+COUNTIF($E180:T180,"t")+COUNTIF($E180:T180,"¶")+COUNTIF($E180:T180,"²")+COUNTIF($E180:T180,"µ")+COUNTIF($E180:T180,1),ColTypeEcheance)),
  IF(LEN(T180)=1,
  IF(LEN(INDEX(Roadmap!$D:$K,MATCH($E180,Roadmap!$D:$D,0)-1+COUNTIF($E180:T180,"u")+COUNTIF($E180:T180,"t")+COUNTIF($E180:T180,"¶")+COUNTIF($E180:T180,"²")+COUNTIF($E180:T180,"µ")+COUNTIF($E180:T180,1),ColDescriptionCourte))&gt;1,
HYPERLINK("#Roadmap!C"&amp; MATCH($E180,Roadmap!$D:$D,0)+COUNTIF($E180:T180,"u")+COUNTIF($E180:T180,"t")+COUNTIF($E180:T180,"¶")+COUNTIF($E180:T180,"²")+COUNTIF($E180:T180,"µ")+COUNTIF($E180:T180,1)-1,INDEX(Roadmap!$D:$K,MATCH($E180,Roadmap!$D:$D,0)-1+COUNTIF($E180:T180,"u")+COUNTIF($E180:T180,"t")+COUNTIF($E180:T180,"¶")+COUNTIF($E180:T180,"²")+COUNTIF($E180:T180,"µ")+COUNTIF($E180:T180,1),ColDescriptionCourte)),""),
  "")),"")</f>
        <v/>
      </c>
      <c r="V180" s="40" t="str">
        <f ca="1">IFERROR(IF(AND(
  INDEX(Roadmap!$D:$K,MATCH($E180,Roadmap!$D:$D,0)+COUNTIF($E180:U180,"u")+COUNTIF($E180:U180,"t")+COUNTIF($E180:U180,"¶")+COUNTIF($E180:U180,"²")+COUNTIF($E180:U180,"µ")+COUNTIF($E180:U180,1),ColLivraison)=V$6,
  VLOOKUP($E180,INDIRECT("tri!"&amp; CHAR(64+ C0Col) &amp;":"&amp; CHAR(65+C0Col)),2,FALSE)&gt;COUNTIF($E180:U180,"u")+COUNTIF($E180:U180,"t")+COUNTIF($E180:U180,"¶")+COUNTIF($E180:U180,"²")+COUNTIF($E180:U180,"µ")+COUNTIF($E180:U180,1)),
HYPERLINK("#Roadmap!C"&amp; MATCH($E180,Roadmap!$D:$D,0)+COUNTIF($E180:U180,"u")+COUNTIF($E180:U180,"t"),
     INDEX(Roadmap!$D:$K,MATCH($E180,Roadmap!$D:$D,0)+COUNTIF($E180:U180,"u")+COUNTIF($E180:U180,"t")+COUNTIF($E180:U180,"¶")+COUNTIF($E180:U180,"²")+COUNTIF($E180:U180,"µ")+COUNTIF($E180:U180,1),ColTypeEcheance)),
  IF(LEN(U180)=1,
  IF(LEN(INDEX(Roadmap!$D:$K,MATCH($E180,Roadmap!$D:$D,0)-1+COUNTIF($E180:U180,"u")+COUNTIF($E180:U180,"t")+COUNTIF($E180:U180,"¶")+COUNTIF($E180:U180,"²")+COUNTIF($E180:U180,"µ")+COUNTIF($E180:U180,1),ColDescriptionCourte))&gt;1,
HYPERLINK("#Roadmap!C"&amp; MATCH($E180,Roadmap!$D:$D,0)+COUNTIF($E180:U180,"u")+COUNTIF($E180:U180,"t")+COUNTIF($E180:U180,"¶")+COUNTIF($E180:U180,"²")+COUNTIF($E180:U180,"µ")+COUNTIF($E180:U180,1)-1,INDEX(Roadmap!$D:$K,MATCH($E180,Roadmap!$D:$D,0)-1+COUNTIF($E180:U180,"u")+COUNTIF($E180:U180,"t")+COUNTIF($E180:U180,"¶")+COUNTIF($E180:U180,"²")+COUNTIF($E180:U180,"µ")+COUNTIF($E180:U180,1),ColDescriptionCourte)),""),
  "")),"")</f>
        <v/>
      </c>
      <c r="W180" s="40" t="str">
        <f ca="1">IFERROR(IF(AND(
  INDEX(Roadmap!$D:$K,MATCH($E180,Roadmap!$D:$D,0)+COUNTIF($E180:V180,"u")+COUNTIF($E180:V180,"t")+COUNTIF($E180:V180,"¶")+COUNTIF($E180:V180,"²")+COUNTIF($E180:V180,"µ")+COUNTIF($E180:V180,1),ColLivraison)=W$6,
  VLOOKUP($E180,INDIRECT("tri!"&amp; CHAR(64+ C0Col) &amp;":"&amp; CHAR(65+C0Col)),2,FALSE)&gt;COUNTIF($E180:V180,"u")+COUNTIF($E180:V180,"t")+COUNTIF($E180:V180,"¶")+COUNTIF($E180:V180,"²")+COUNTIF($E180:V180,"µ")+COUNTIF($E180:V180,1)),
HYPERLINK("#Roadmap!C"&amp; MATCH($E180,Roadmap!$D:$D,0)+COUNTIF($E180:V180,"u")+COUNTIF($E180:V180,"t"),
     INDEX(Roadmap!$D:$K,MATCH($E180,Roadmap!$D:$D,0)+COUNTIF($E180:V180,"u")+COUNTIF($E180:V180,"t")+COUNTIF($E180:V180,"¶")+COUNTIF($E180:V180,"²")+COUNTIF($E180:V180,"µ")+COUNTIF($E180:V180,1),ColTypeEcheance)),
  IF(LEN(V180)=1,
  IF(LEN(INDEX(Roadmap!$D:$K,MATCH($E180,Roadmap!$D:$D,0)-1+COUNTIF($E180:V180,"u")+COUNTIF($E180:V180,"t")+COUNTIF($E180:V180,"¶")+COUNTIF($E180:V180,"²")+COUNTIF($E180:V180,"µ")+COUNTIF($E180:V180,1),ColDescriptionCourte))&gt;1,
HYPERLINK("#Roadmap!C"&amp; MATCH($E180,Roadmap!$D:$D,0)+COUNTIF($E180:V180,"u")+COUNTIF($E180:V180,"t")+COUNTIF($E180:V180,"¶")+COUNTIF($E180:V180,"²")+COUNTIF($E180:V180,"µ")+COUNTIF($E180:V180,1)-1,INDEX(Roadmap!$D:$K,MATCH($E180,Roadmap!$D:$D,0)-1+COUNTIF($E180:V180,"u")+COUNTIF($E180:V180,"t")+COUNTIF($E180:V180,"¶")+COUNTIF($E180:V180,"²")+COUNTIF($E180:V180,"µ")+COUNTIF($E180:V180,1),ColDescriptionCourte)),""),
  "")),"")</f>
        <v/>
      </c>
      <c r="X180" s="40" t="str">
        <f ca="1">IFERROR(IF(AND(
  INDEX(Roadmap!$D:$K,MATCH($E180,Roadmap!$D:$D,0)+COUNTIF($E180:W180,"u")+COUNTIF($E180:W180,"t")+COUNTIF($E180:W180,"¶")+COUNTIF($E180:W180,"²")+COUNTIF($E180:W180,"µ")+COUNTIF($E180:W180,1),ColLivraison)=X$6,
  VLOOKUP($E180,INDIRECT("tri!"&amp; CHAR(64+ C0Col) &amp;":"&amp; CHAR(65+C0Col)),2,FALSE)&gt;COUNTIF($E180:W180,"u")+COUNTIF($E180:W180,"t")+COUNTIF($E180:W180,"¶")+COUNTIF($E180:W180,"²")+COUNTIF($E180:W180,"µ")+COUNTIF($E180:W180,1)),
HYPERLINK("#Roadmap!C"&amp; MATCH($E180,Roadmap!$D:$D,0)+COUNTIF($E180:W180,"u")+COUNTIF($E180:W180,"t"),
     INDEX(Roadmap!$D:$K,MATCH($E180,Roadmap!$D:$D,0)+COUNTIF($E180:W180,"u")+COUNTIF($E180:W180,"t")+COUNTIF($E180:W180,"¶")+COUNTIF($E180:W180,"²")+COUNTIF($E180:W180,"µ")+COUNTIF($E180:W180,1),ColTypeEcheance)),
  IF(LEN(W180)=1,
  IF(LEN(INDEX(Roadmap!$D:$K,MATCH($E180,Roadmap!$D:$D,0)-1+COUNTIF($E180:W180,"u")+COUNTIF($E180:W180,"t")+COUNTIF($E180:W180,"¶")+COUNTIF($E180:W180,"²")+COUNTIF($E180:W180,"µ")+COUNTIF($E180:W180,1),ColDescriptionCourte))&gt;1,
HYPERLINK("#Roadmap!C"&amp; MATCH($E180,Roadmap!$D:$D,0)+COUNTIF($E180:W180,"u")+COUNTIF($E180:W180,"t")+COUNTIF($E180:W180,"¶")+COUNTIF($E180:W180,"²")+COUNTIF($E180:W180,"µ")+COUNTIF($E180:W180,1)-1,INDEX(Roadmap!$D:$K,MATCH($E180,Roadmap!$D:$D,0)-1+COUNTIF($E180:W180,"u")+COUNTIF($E180:W180,"t")+COUNTIF($E180:W180,"¶")+COUNTIF($E180:W180,"²")+COUNTIF($E180:W180,"µ")+COUNTIF($E180:W180,1),ColDescriptionCourte)),""),
  "")),"")</f>
        <v/>
      </c>
      <c r="Y180" s="40" t="str">
        <f ca="1">IFERROR(IF(AND(
  INDEX(Roadmap!$D:$K,MATCH($E180,Roadmap!$D:$D,0)+COUNTIF($E180:X180,"u")+COUNTIF($E180:X180,"t")+COUNTIF($E180:X180,"¶")+COUNTIF($E180:X180,"²")+COUNTIF($E180:X180,"µ")+COUNTIF($E180:X180,1),ColLivraison)=Y$6,
  VLOOKUP($E180,INDIRECT("tri!"&amp; CHAR(64+ C0Col) &amp;":"&amp; CHAR(65+C0Col)),2,FALSE)&gt;COUNTIF($E180:X180,"u")+COUNTIF($E180:X180,"t")+COUNTIF($E180:X180,"¶")+COUNTIF($E180:X180,"²")+COUNTIF($E180:X180,"µ")+COUNTIF($E180:X180,1)),
HYPERLINK("#Roadmap!C"&amp; MATCH($E180,Roadmap!$D:$D,0)+COUNTIF($E180:X180,"u")+COUNTIF($E180:X180,"t"),
     INDEX(Roadmap!$D:$K,MATCH($E180,Roadmap!$D:$D,0)+COUNTIF($E180:X180,"u")+COUNTIF($E180:X180,"t")+COUNTIF($E180:X180,"¶")+COUNTIF($E180:X180,"²")+COUNTIF($E180:X180,"µ")+COUNTIF($E180:X180,1),ColTypeEcheance)),
  IF(LEN(X180)=1,
  IF(LEN(INDEX(Roadmap!$D:$K,MATCH($E180,Roadmap!$D:$D,0)-1+COUNTIF($E180:X180,"u")+COUNTIF($E180:X180,"t")+COUNTIF($E180:X180,"¶")+COUNTIF($E180:X180,"²")+COUNTIF($E180:X180,"µ")+COUNTIF($E180:X180,1),ColDescriptionCourte))&gt;1,
HYPERLINK("#Roadmap!C"&amp; MATCH($E180,Roadmap!$D:$D,0)+COUNTIF($E180:X180,"u")+COUNTIF($E180:X180,"t")+COUNTIF($E180:X180,"¶")+COUNTIF($E180:X180,"²")+COUNTIF($E180:X180,"µ")+COUNTIF($E180:X180,1)-1,INDEX(Roadmap!$D:$K,MATCH($E180,Roadmap!$D:$D,0)-1+COUNTIF($E180:X180,"u")+COUNTIF($E180:X180,"t")+COUNTIF($E180:X180,"¶")+COUNTIF($E180:X180,"²")+COUNTIF($E180:X180,"µ")+COUNTIF($E180:X180,1),ColDescriptionCourte)),""),
  "")),"")</f>
        <v/>
      </c>
      <c r="Z180" s="40" t="str">
        <f ca="1">IFERROR(IF(AND(
  INDEX(Roadmap!$D:$K,MATCH($E180,Roadmap!$D:$D,0)+COUNTIF($E180:Y180,"u")+COUNTIF($E180:Y180,"t")+COUNTIF($E180:Y180,"¶")+COUNTIF($E180:Y180,"²")+COUNTIF($E180:Y180,"µ")+COUNTIF($E180:Y180,1),ColLivraison)=Z$6,
  VLOOKUP($E180,INDIRECT("tri!"&amp; CHAR(64+ C0Col) &amp;":"&amp; CHAR(65+C0Col)),2,FALSE)&gt;COUNTIF($E180:Y180,"u")+COUNTIF($E180:Y180,"t")+COUNTIF($E180:Y180,"¶")+COUNTIF($E180:Y180,"²")+COUNTIF($E180:Y180,"µ")+COUNTIF($E180:Y180,1)),
HYPERLINK("#Roadmap!C"&amp; MATCH($E180,Roadmap!$D:$D,0)+COUNTIF($E180:Y180,"u")+COUNTIF($E180:Y180,"t"),
     INDEX(Roadmap!$D:$K,MATCH($E180,Roadmap!$D:$D,0)+COUNTIF($E180:Y180,"u")+COUNTIF($E180:Y180,"t")+COUNTIF($E180:Y180,"¶")+COUNTIF($E180:Y180,"²")+COUNTIF($E180:Y180,"µ")+COUNTIF($E180:Y180,1),ColTypeEcheance)),
  IF(LEN(Y180)=1,
  IF(LEN(INDEX(Roadmap!$D:$K,MATCH($E180,Roadmap!$D:$D,0)-1+COUNTIF($E180:Y180,"u")+COUNTIF($E180:Y180,"t")+COUNTIF($E180:Y180,"¶")+COUNTIF($E180:Y180,"²")+COUNTIF($E180:Y180,"µ")+COUNTIF($E180:Y180,1),ColDescriptionCourte))&gt;1,
HYPERLINK("#Roadmap!C"&amp; MATCH($E180,Roadmap!$D:$D,0)+COUNTIF($E180:Y180,"u")+COUNTIF($E180:Y180,"t")+COUNTIF($E180:Y180,"¶")+COUNTIF($E180:Y180,"²")+COUNTIF($E180:Y180,"µ")+COUNTIF($E180:Y180,1)-1,INDEX(Roadmap!$D:$K,MATCH($E180,Roadmap!$D:$D,0)-1+COUNTIF($E180:Y180,"u")+COUNTIF($E180:Y180,"t")+COUNTIF($E180:Y180,"¶")+COUNTIF($E180:Y180,"²")+COUNTIF($E180:Y180,"µ")+COUNTIF($E180:Y180,1),ColDescriptionCourte)),""),
  "")),"")</f>
        <v/>
      </c>
      <c r="AA180" s="40" t="str">
        <f ca="1">IFERROR(IF(AND(
  INDEX(Roadmap!$D:$K,MATCH($E180,Roadmap!$D:$D,0)+COUNTIF($E180:Z180,"u")+COUNTIF($E180:Z180,"t")+COUNTIF($E180:Z180,"¶")+COUNTIF($E180:Z180,"²")+COUNTIF($E180:Z180,"µ")+COUNTIF($E180:Z180,1),ColLivraison)=AA$6,
  VLOOKUP($E180,INDIRECT("tri!"&amp; CHAR(64+ C0Col) &amp;":"&amp; CHAR(65+C0Col)),2,FALSE)&gt;COUNTIF($E180:Z180,"u")+COUNTIF($E180:Z180,"t")+COUNTIF($E180:Z180,"¶")+COUNTIF($E180:Z180,"²")+COUNTIF($E180:Z180,"µ")+COUNTIF($E180:Z180,1)),
HYPERLINK("#Roadmap!C"&amp; MATCH($E180,Roadmap!$D:$D,0)+COUNTIF($E180:Z180,"u")+COUNTIF($E180:Z180,"t"),
     INDEX(Roadmap!$D:$K,MATCH($E180,Roadmap!$D:$D,0)+COUNTIF($E180:Z180,"u")+COUNTIF($E180:Z180,"t")+COUNTIF($E180:Z180,"¶")+COUNTIF($E180:Z180,"²")+COUNTIF($E180:Z180,"µ")+COUNTIF($E180:Z180,1),ColTypeEcheance)),
  IF(LEN(Z180)=1,
  IF(LEN(INDEX(Roadmap!$D:$K,MATCH($E180,Roadmap!$D:$D,0)-1+COUNTIF($E180:Z180,"u")+COUNTIF($E180:Z180,"t")+COUNTIF($E180:Z180,"¶")+COUNTIF($E180:Z180,"²")+COUNTIF($E180:Z180,"µ")+COUNTIF($E180:Z180,1),ColDescriptionCourte))&gt;1,
HYPERLINK("#Roadmap!C"&amp; MATCH($E180,Roadmap!$D:$D,0)+COUNTIF($E180:Z180,"u")+COUNTIF($E180:Z180,"t")+COUNTIF($E180:Z180,"¶")+COUNTIF($E180:Z180,"²")+COUNTIF($E180:Z180,"µ")+COUNTIF($E180:Z180,1)-1,INDEX(Roadmap!$D:$K,MATCH($E180,Roadmap!$D:$D,0)-1+COUNTIF($E180:Z180,"u")+COUNTIF($E180:Z180,"t")+COUNTIF($E180:Z180,"¶")+COUNTIF($E180:Z180,"²")+COUNTIF($E180:Z180,"µ")+COUNTIF($E180:Z180,1),ColDescriptionCourte)),""),
  "")),"")</f>
        <v/>
      </c>
      <c r="AB180" s="40" t="str">
        <f ca="1">IFERROR(IF(AND(
  INDEX(Roadmap!$D:$K,MATCH($E180,Roadmap!$D:$D,0)+COUNTIF($E180:AA180,"u")+COUNTIF($E180:AA180,"t")+COUNTIF($E180:AA180,"¶")+COUNTIF($E180:AA180,"²")+COUNTIF($E180:AA180,"µ")+COUNTIF($E180:AA180,1),ColLivraison)=AB$6,
  VLOOKUP($E180,INDIRECT("tri!"&amp; CHAR(64+ C0Col) &amp;":"&amp; CHAR(65+C0Col)),2,FALSE)&gt;COUNTIF($E180:AA180,"u")+COUNTIF($E180:AA180,"t")+COUNTIF($E180:AA180,"¶")+COUNTIF($E180:AA180,"²")+COUNTIF($E180:AA180,"µ")+COUNTIF($E180:AA180,1)),
HYPERLINK("#Roadmap!C"&amp; MATCH($E180,Roadmap!$D:$D,0)+COUNTIF($E180:AA180,"u")+COUNTIF($E180:AA180,"t"),
     INDEX(Roadmap!$D:$K,MATCH($E180,Roadmap!$D:$D,0)+COUNTIF($E180:AA180,"u")+COUNTIF($E180:AA180,"t")+COUNTIF($E180:AA180,"¶")+COUNTIF($E180:AA180,"²")+COUNTIF($E180:AA180,"µ")+COUNTIF($E180:AA180,1),ColTypeEcheance)),
  IF(LEN(AA180)=1,
  IF(LEN(INDEX(Roadmap!$D:$K,MATCH($E180,Roadmap!$D:$D,0)-1+COUNTIF($E180:AA180,"u")+COUNTIF($E180:AA180,"t")+COUNTIF($E180:AA180,"¶")+COUNTIF($E180:AA180,"²")+COUNTIF($E180:AA180,"µ")+COUNTIF($E180:AA180,1),ColDescriptionCourte))&gt;1,
HYPERLINK("#Roadmap!C"&amp; MATCH($E180,Roadmap!$D:$D,0)+COUNTIF($E180:AA180,"u")+COUNTIF($E180:AA180,"t")+COUNTIF($E180:AA180,"¶")+COUNTIF($E180:AA180,"²")+COUNTIF($E180:AA180,"µ")+COUNTIF($E180:AA180,1)-1,INDEX(Roadmap!$D:$K,MATCH($E180,Roadmap!$D:$D,0)-1+COUNTIF($E180:AA180,"u")+COUNTIF($E180:AA180,"t")+COUNTIF($E180:AA180,"¶")+COUNTIF($E180:AA180,"²")+COUNTIF($E180:AA180,"µ")+COUNTIF($E180:AA180,1),ColDescriptionCourte)),""),
  "")),"")</f>
        <v/>
      </c>
      <c r="AC180" s="40" t="str">
        <f ca="1">IFERROR(IF(AND(
  INDEX(Roadmap!$D:$K,MATCH($E180,Roadmap!$D:$D,0)+COUNTIF($E180:AB180,"u")+COUNTIF($E180:AB180,"t")+COUNTIF($E180:AB180,"¶")+COUNTIF($E180:AB180,"²")+COUNTIF($E180:AB180,"µ")+COUNTIF($E180:AB180,1),ColLivraison)=AC$6,
  VLOOKUP($E180,INDIRECT("tri!"&amp; CHAR(64+ C0Col) &amp;":"&amp; CHAR(65+C0Col)),2,FALSE)&gt;COUNTIF($E180:AB180,"u")+COUNTIF($E180:AB180,"t")+COUNTIF($E180:AB180,"¶")+COUNTIF($E180:AB180,"²")+COUNTIF($E180:AB180,"µ")+COUNTIF($E180:AB180,1)),
HYPERLINK("#Roadmap!C"&amp; MATCH($E180,Roadmap!$D:$D,0)+COUNTIF($E180:AB180,"u")+COUNTIF($E180:AB180,"t"),
     INDEX(Roadmap!$D:$K,MATCH($E180,Roadmap!$D:$D,0)+COUNTIF($E180:AB180,"u")+COUNTIF($E180:AB180,"t")+COUNTIF($E180:AB180,"¶")+COUNTIF($E180:AB180,"²")+COUNTIF($E180:AB180,"µ")+COUNTIF($E180:AB180,1),ColTypeEcheance)),
  IF(LEN(AB180)=1,
  IF(LEN(INDEX(Roadmap!$D:$K,MATCH($E180,Roadmap!$D:$D,0)-1+COUNTIF($E180:AB180,"u")+COUNTIF($E180:AB180,"t")+COUNTIF($E180:AB180,"¶")+COUNTIF($E180:AB180,"²")+COUNTIF($E180:AB180,"µ")+COUNTIF($E180:AB180,1),ColDescriptionCourte))&gt;1,
HYPERLINK("#Roadmap!C"&amp; MATCH($E180,Roadmap!$D:$D,0)+COUNTIF($E180:AB180,"u")+COUNTIF($E180:AB180,"t")+COUNTIF($E180:AB180,"¶")+COUNTIF($E180:AB180,"²")+COUNTIF($E180:AB180,"µ")+COUNTIF($E180:AB180,1)-1,INDEX(Roadmap!$D:$K,MATCH($E180,Roadmap!$D:$D,0)-1+COUNTIF($E180:AB180,"u")+COUNTIF($E180:AB180,"t")+COUNTIF($E180:AB180,"¶")+COUNTIF($E180:AB180,"²")+COUNTIF($E180:AB180,"µ")+COUNTIF($E180:AB180,1),ColDescriptionCourte)),""),
  "")),"")</f>
        <v/>
      </c>
      <c r="AD180" s="40" t="str">
        <f ca="1">IFERROR(IF(AND(
  INDEX(Roadmap!$D:$K,MATCH($E180,Roadmap!$D:$D,0)+COUNTIF($E180:AC180,"u")+COUNTIF($E180:AC180,"t")+COUNTIF($E180:AC180,"¶")+COUNTIF($E180:AC180,"²")+COUNTIF($E180:AC180,"µ")+COUNTIF($E180:AC180,1),ColLivraison)=AD$6,
  VLOOKUP($E180,INDIRECT("tri!"&amp; CHAR(64+ C0Col) &amp;":"&amp; CHAR(65+C0Col)),2,FALSE)&gt;COUNTIF($E180:AC180,"u")+COUNTIF($E180:AC180,"t")+COUNTIF($E180:AC180,"¶")+COUNTIF($E180:AC180,"²")+COUNTIF($E180:AC180,"µ")+COUNTIF($E180:AC180,1)),
HYPERLINK("#Roadmap!C"&amp; MATCH($E180,Roadmap!$D:$D,0)+COUNTIF($E180:AC180,"u")+COUNTIF($E180:AC180,"t"),
     INDEX(Roadmap!$D:$K,MATCH($E180,Roadmap!$D:$D,0)+COUNTIF($E180:AC180,"u")+COUNTIF($E180:AC180,"t")+COUNTIF($E180:AC180,"¶")+COUNTIF($E180:AC180,"²")+COUNTIF($E180:AC180,"µ")+COUNTIF($E180:AC180,1),ColTypeEcheance)),
  IF(LEN(AC180)=1,
  IF(LEN(INDEX(Roadmap!$D:$K,MATCH($E180,Roadmap!$D:$D,0)-1+COUNTIF($E180:AC180,"u")+COUNTIF($E180:AC180,"t")+COUNTIF($E180:AC180,"¶")+COUNTIF($E180:AC180,"²")+COUNTIF($E180:AC180,"µ")+COUNTIF($E180:AC180,1),ColDescriptionCourte))&gt;1,
HYPERLINK("#Roadmap!C"&amp; MATCH($E180,Roadmap!$D:$D,0)+COUNTIF($E180:AC180,"u")+COUNTIF($E180:AC180,"t")+COUNTIF($E180:AC180,"¶")+COUNTIF($E180:AC180,"²")+COUNTIF($E180:AC180,"µ")+COUNTIF($E180:AC180,1)-1,INDEX(Roadmap!$D:$K,MATCH($E180,Roadmap!$D:$D,0)-1+COUNTIF($E180:AC180,"u")+COUNTIF($E180:AC180,"t")+COUNTIF($E180:AC180,"¶")+COUNTIF($E180:AC180,"²")+COUNTIF($E180:AC180,"µ")+COUNTIF($E180:AC180,1),ColDescriptionCourte)),""),
  "")),"")</f>
        <v/>
      </c>
      <c r="AE180" s="40" t="str">
        <f ca="1">IFERROR(IF(AND(
  INDEX(Roadmap!$D:$K,MATCH($E180,Roadmap!$D:$D,0)+COUNTIF($E180:AD180,"u")+COUNTIF($E180:AD180,"t")+COUNTIF($E180:AD180,"¶")+COUNTIF($E180:AD180,"²")+COUNTIF($E180:AD180,"µ")+COUNTIF($E180:AD180,1),ColLivraison)=AE$6,
  VLOOKUP($E180,INDIRECT("tri!"&amp; CHAR(64+ C0Col) &amp;":"&amp; CHAR(65+C0Col)),2,FALSE)&gt;COUNTIF($E180:AD180,"u")+COUNTIF($E180:AD180,"t")+COUNTIF($E180:AD180,"¶")+COUNTIF($E180:AD180,"²")+COUNTIF($E180:AD180,"µ")+COUNTIF($E180:AD180,1)),
HYPERLINK("#Roadmap!C"&amp; MATCH($E180,Roadmap!$D:$D,0)+COUNTIF($E180:AD180,"u")+COUNTIF($E180:AD180,"t"),
     INDEX(Roadmap!$D:$K,MATCH($E180,Roadmap!$D:$D,0)+COUNTIF($E180:AD180,"u")+COUNTIF($E180:AD180,"t")+COUNTIF($E180:AD180,"¶")+COUNTIF($E180:AD180,"²")+COUNTIF($E180:AD180,"µ")+COUNTIF($E180:AD180,1),ColTypeEcheance)),
  IF(LEN(AD180)=1,
  IF(LEN(INDEX(Roadmap!$D:$K,MATCH($E180,Roadmap!$D:$D,0)-1+COUNTIF($E180:AD180,"u")+COUNTIF($E180:AD180,"t")+COUNTIF($E180:AD180,"¶")+COUNTIF($E180:AD180,"²")+COUNTIF($E180:AD180,"µ")+COUNTIF($E180:AD180,1),ColDescriptionCourte))&gt;1,
HYPERLINK("#Roadmap!C"&amp; MATCH($E180,Roadmap!$D:$D,0)+COUNTIF($E180:AD180,"u")+COUNTIF($E180:AD180,"t")+COUNTIF($E180:AD180,"¶")+COUNTIF($E180:AD180,"²")+COUNTIF($E180:AD180,"µ")+COUNTIF($E180:AD180,1)-1,INDEX(Roadmap!$D:$K,MATCH($E180,Roadmap!$D:$D,0)-1+COUNTIF($E180:AD180,"u")+COUNTIF($E180:AD180,"t")+COUNTIF($E180:AD180,"¶")+COUNTIF($E180:AD180,"²")+COUNTIF($E180:AD180,"µ")+COUNTIF($E180:AD180,1),ColDescriptionCourte)),""),
  "")),"")</f>
        <v/>
      </c>
      <c r="AF180" s="40" t="str">
        <f ca="1">IFERROR(IF(AND(
  INDEX(Roadmap!$D:$K,MATCH($E180,Roadmap!$D:$D,0)+COUNTIF($E180:AE180,"u")+COUNTIF($E180:AE180,"t")+COUNTIF($E180:AE180,"¶")+COUNTIF($E180:AE180,"²")+COUNTIF($E180:AE180,"µ")+COUNTIF($E180:AE180,1),ColLivraison)=AF$6,
  VLOOKUP($E180,INDIRECT("tri!"&amp; CHAR(64+ C0Col) &amp;":"&amp; CHAR(65+C0Col)),2,FALSE)&gt;COUNTIF($E180:AE180,"u")+COUNTIF($E180:AE180,"t")+COUNTIF($E180:AE180,"¶")+COUNTIF($E180:AE180,"²")+COUNTIF($E180:AE180,"µ")+COUNTIF($E180:AE180,1)),
HYPERLINK("#Roadmap!C"&amp; MATCH($E180,Roadmap!$D:$D,0)+COUNTIF($E180:AE180,"u")+COUNTIF($E180:AE180,"t"),
     INDEX(Roadmap!$D:$K,MATCH($E180,Roadmap!$D:$D,0)+COUNTIF($E180:AE180,"u")+COUNTIF($E180:AE180,"t")+COUNTIF($E180:AE180,"¶")+COUNTIF($E180:AE180,"²")+COUNTIF($E180:AE180,"µ")+COUNTIF($E180:AE180,1),ColTypeEcheance)),
  IF(LEN(AE180)=1,
  IF(LEN(INDEX(Roadmap!$D:$K,MATCH($E180,Roadmap!$D:$D,0)-1+COUNTIF($E180:AE180,"u")+COUNTIF($E180:AE180,"t")+COUNTIF($E180:AE180,"¶")+COUNTIF($E180:AE180,"²")+COUNTIF($E180:AE180,"µ")+COUNTIF($E180:AE180,1),ColDescriptionCourte))&gt;1,
HYPERLINK("#Roadmap!C"&amp; MATCH($E180,Roadmap!$D:$D,0)+COUNTIF($E180:AE180,"u")+COUNTIF($E180:AE180,"t")+COUNTIF($E180:AE180,"¶")+COUNTIF($E180:AE180,"²")+COUNTIF($E180:AE180,"µ")+COUNTIF($E180:AE180,1)-1,INDEX(Roadmap!$D:$K,MATCH($E180,Roadmap!$D:$D,0)-1+COUNTIF($E180:AE180,"u")+COUNTIF($E180:AE180,"t")+COUNTIF($E180:AE180,"¶")+COUNTIF($E180:AE180,"²")+COUNTIF($E180:AE180,"µ")+COUNTIF($E180:AE180,1),ColDescriptionCourte)),""),
  "")),"")</f>
        <v/>
      </c>
      <c r="AG180" s="40" t="str">
        <f ca="1">IFERROR(IF(AND(
  INDEX(Roadmap!$D:$K,MATCH($E180,Roadmap!$D:$D,0)+COUNTIF($E180:AF180,"u")+COUNTIF($E180:AF180,"t")+COUNTIF($E180:AF180,"¶")+COUNTIF($E180:AF180,"²")+COUNTIF($E180:AF180,"µ")+COUNTIF($E180:AF180,1),ColLivraison)=AG$6,
  VLOOKUP($E180,INDIRECT("tri!"&amp; CHAR(64+ C0Col) &amp;":"&amp; CHAR(65+C0Col)),2,FALSE)&gt;COUNTIF($E180:AF180,"u")+COUNTIF($E180:AF180,"t")+COUNTIF($E180:AF180,"¶")+COUNTIF($E180:AF180,"²")+COUNTIF($E180:AF180,"µ")+COUNTIF($E180:AF180,1)),
HYPERLINK("#Roadmap!C"&amp; MATCH($E180,Roadmap!$D:$D,0)+COUNTIF($E180:AF180,"u")+COUNTIF($E180:AF180,"t"),
     INDEX(Roadmap!$D:$K,MATCH($E180,Roadmap!$D:$D,0)+COUNTIF($E180:AF180,"u")+COUNTIF($E180:AF180,"t")+COUNTIF($E180:AF180,"¶")+COUNTIF($E180:AF180,"²")+COUNTIF($E180:AF180,"µ")+COUNTIF($E180:AF180,1),ColTypeEcheance)),
  IF(LEN(AF180)=1,
  IF(LEN(INDEX(Roadmap!$D:$K,MATCH($E180,Roadmap!$D:$D,0)-1+COUNTIF($E180:AF180,"u")+COUNTIF($E180:AF180,"t")+COUNTIF($E180:AF180,"¶")+COUNTIF($E180:AF180,"²")+COUNTIF($E180:AF180,"µ")+COUNTIF($E180:AF180,1),ColDescriptionCourte))&gt;1,
HYPERLINK("#Roadmap!C"&amp; MATCH($E180,Roadmap!$D:$D,0)+COUNTIF($E180:AF180,"u")+COUNTIF($E180:AF180,"t")+COUNTIF($E180:AF180,"¶")+COUNTIF($E180:AF180,"²")+COUNTIF($E180:AF180,"µ")+COUNTIF($E180:AF180,1)-1,INDEX(Roadmap!$D:$K,MATCH($E180,Roadmap!$D:$D,0)-1+COUNTIF($E180:AF180,"u")+COUNTIF($E180:AF180,"t")+COUNTIF($E180:AF180,"¶")+COUNTIF($E180:AF180,"²")+COUNTIF($E180:AF180,"µ")+COUNTIF($E180:AF180,1),ColDescriptionCourte)),""),
  "")),"")</f>
        <v/>
      </c>
    </row>
    <row r="181" spans="3:33" ht="14.25" customHeight="1">
      <c r="C181" s="1" t="str">
        <f t="shared" ca="1" si="54"/>
        <v/>
      </c>
      <c r="D181" s="1" t="str">
        <f t="shared" ca="1" si="55"/>
        <v/>
      </c>
      <c r="E181" s="35" t="str">
        <f t="shared" ca="1" si="51"/>
        <v/>
      </c>
      <c r="F181" s="39" t="str">
        <f ca="1">IFERROR(IF(AND(
  INDEX(Roadmap!$D:$K,MATCH($E181,Roadmap!$D:$D,0)+COUNTIF($E181:E181,"u")+COUNTIF($E181:E181,"t")+COUNTIF($E181:E181,"¶")+COUNTIF($E181:E181,"²")+COUNTIF($E181:E181,"µ")+COUNTIF($E181:E181,1),ColLivraison)=F$6,
  VLOOKUP($E181,INDIRECT("tri!"&amp; CHAR(64+ C0Col) &amp;":"&amp; CHAR(65+C0Col)),2,FALSE)&gt;COUNTIF($E181:E181,"u")+COUNTIF($E181:E181,"t")+COUNTIF($E181:E181,"¶")+COUNTIF($E181:E181,"²")+COUNTIF($E181:E181,"µ")+COUNTIF($E181:E181,1)),
HYPERLINK("#Roadmap!C"&amp; MATCH($E181,Roadmap!$D:$D,0)+COUNTIF($E181:E181,"u")+COUNTIF($E181:E181,"t"),
     INDEX(Roadmap!$D:$K,MATCH($E181,Roadmap!$D:$D,0)+COUNTIF($E181:E181,"u")+COUNTIF($E181:E181,"t")+COUNTIF($E181:E181,"¶")+COUNTIF($E181:E181,"²")+COUNTIF($E181:E181,"µ")+COUNTIF($E181:E181,1),ColTypeEcheance)),
  IF(LEN(E181)=1,
  IF(LEN(INDEX(Roadmap!$D:$K,MATCH($E181,Roadmap!$D:$D,0)-1+COUNTIF($E181:E181,"u")+COUNTIF($E181:E181,"t")+COUNTIF($E181:E181,"¶")+COUNTIF($E181:E181,"²")+COUNTIF($E181:E181,"µ")+COUNTIF($E181:E181,1),ColDescriptionCourte))&gt;1,
HYPERLINK("#Roadmap!C"&amp; MATCH($E181,Roadmap!$D:$D,0)+COUNTIF($E181:E181,"u")+COUNTIF($E181:E181,"t")+COUNTIF($E181:E181,"¶")+COUNTIF($E181:E181,"²")+COUNTIF($E181:E181,"µ")+COUNTIF($E181:E181,1)-1,INDEX(Roadmap!$D:$K,MATCH($E181,Roadmap!$D:$D,0)-1+COUNTIF($E181:E181,"u")+COUNTIF($E181:E181,"t")+COUNTIF($E181:E181,"¶")+COUNTIF($E181:E181,"²")+COUNTIF($E181:E181,"µ")+COUNTIF($E181:E181,1),ColDescriptionCourte)),""),
  "")),"")</f>
        <v/>
      </c>
      <c r="G181" s="40" t="str">
        <f ca="1">IFERROR(IF(AND(
  INDEX(Roadmap!$D:$K,MATCH($E181,Roadmap!$D:$D,0)+COUNTIF($E181:F181,"u")+COUNTIF($E181:F181,"t")+COUNTIF($E181:F181,"¶")+COUNTIF($E181:F181,"²")+COUNTIF($E181:F181,"µ")+COUNTIF($E181:F181,1),ColLivraison)=G$6,
  VLOOKUP($E181,INDIRECT("tri!"&amp; CHAR(64+ C0Col) &amp;":"&amp; CHAR(65+C0Col)),2,FALSE)&gt;COUNTIF($E181:F181,"u")+COUNTIF($E181:F181,"t")+COUNTIF($E181:F181,"¶")+COUNTIF($E181:F181,"²")+COUNTIF($E181:F181,"µ")+COUNTIF($E181:F181,1)),
HYPERLINK("#Roadmap!C"&amp; MATCH($E181,Roadmap!$D:$D,0)+COUNTIF($E181:F181,"u")+COUNTIF($E181:F181,"t"),
     INDEX(Roadmap!$D:$K,MATCH($E181,Roadmap!$D:$D,0)+COUNTIF($E181:F181,"u")+COUNTIF($E181:F181,"t")+COUNTIF($E181:F181,"¶")+COUNTIF($E181:F181,"²")+COUNTIF($E181:F181,"µ")+COUNTIF($E181:F181,1),ColTypeEcheance)),
  IF(LEN(F181)=1,
  IF(LEN(INDEX(Roadmap!$D:$K,MATCH($E181,Roadmap!$D:$D,0)-1+COUNTIF($E181:F181,"u")+COUNTIF($E181:F181,"t")+COUNTIF($E181:F181,"¶")+COUNTIF($E181:F181,"²")+COUNTIF($E181:F181,"µ")+COUNTIF($E181:F181,1),ColDescriptionCourte))&gt;1,
HYPERLINK("#Roadmap!C"&amp; MATCH($E181,Roadmap!$D:$D,0)+COUNTIF($E181:F181,"u")+COUNTIF($E181:F181,"t")+COUNTIF($E181:F181,"¶")+COUNTIF($E181:F181,"²")+COUNTIF($E181:F181,"µ")+COUNTIF($E181:F181,1)-1,INDEX(Roadmap!$D:$K,MATCH($E181,Roadmap!$D:$D,0)-1+COUNTIF($E181:F181,"u")+COUNTIF($E181:F181,"t")+COUNTIF($E181:F181,"¶")+COUNTIF($E181:F181,"²")+COUNTIF($E181:F181,"µ")+COUNTIF($E181:F181,1),ColDescriptionCourte)),""),
  "")),"")</f>
        <v/>
      </c>
      <c r="H181" s="40" t="str">
        <f ca="1">IFERROR(IF(AND(
  INDEX(Roadmap!$D:$K,MATCH($E181,Roadmap!$D:$D,0)+COUNTIF($E181:G181,"u")+COUNTIF($E181:G181,"t")+COUNTIF($E181:G181,"¶")+COUNTIF($E181:G181,"²")+COUNTIF($E181:G181,"µ")+COUNTIF($E181:G181,1),ColLivraison)=H$6,
  VLOOKUP($E181,INDIRECT("tri!"&amp; CHAR(64+ C0Col) &amp;":"&amp; CHAR(65+C0Col)),2,FALSE)&gt;COUNTIF($E181:G181,"u")+COUNTIF($E181:G181,"t")+COUNTIF($E181:G181,"¶")+COUNTIF($E181:G181,"²")+COUNTIF($E181:G181,"µ")+COUNTIF($E181:G181,1)),
HYPERLINK("#Roadmap!C"&amp; MATCH($E181,Roadmap!$D:$D,0)+COUNTIF($E181:G181,"u")+COUNTIF($E181:G181,"t"),
     INDEX(Roadmap!$D:$K,MATCH($E181,Roadmap!$D:$D,0)+COUNTIF($E181:G181,"u")+COUNTIF($E181:G181,"t")+COUNTIF($E181:G181,"¶")+COUNTIF($E181:G181,"²")+COUNTIF($E181:G181,"µ")+COUNTIF($E181:G181,1),ColTypeEcheance)),
  IF(LEN(G181)=1,
  IF(LEN(INDEX(Roadmap!$D:$K,MATCH($E181,Roadmap!$D:$D,0)-1+COUNTIF($E181:G181,"u")+COUNTIF($E181:G181,"t")+COUNTIF($E181:G181,"¶")+COUNTIF($E181:G181,"²")+COUNTIF($E181:G181,"µ")+COUNTIF($E181:G181,1),ColDescriptionCourte))&gt;1,
HYPERLINK("#Roadmap!C"&amp; MATCH($E181,Roadmap!$D:$D,0)+COUNTIF($E181:G181,"u")+COUNTIF($E181:G181,"t")+COUNTIF($E181:G181,"¶")+COUNTIF($E181:G181,"²")+COUNTIF($E181:G181,"µ")+COUNTIF($E181:G181,1)-1,INDEX(Roadmap!$D:$K,MATCH($E181,Roadmap!$D:$D,0)-1+COUNTIF($E181:G181,"u")+COUNTIF($E181:G181,"t")+COUNTIF($E181:G181,"¶")+COUNTIF($E181:G181,"²")+COUNTIF($E181:G181,"µ")+COUNTIF($E181:G181,1),ColDescriptionCourte)),""),
  "")),"")</f>
        <v/>
      </c>
      <c r="I181" s="40" t="str">
        <f ca="1">IFERROR(IF(AND(
  INDEX(Roadmap!$D:$K,MATCH($E181,Roadmap!$D:$D,0)+COUNTIF($E181:H181,"u")+COUNTIF($E181:H181,"t")+COUNTIF($E181:H181,"¶")+COUNTIF($E181:H181,"²")+COUNTIF($E181:H181,"µ")+COUNTIF($E181:H181,1),ColLivraison)=I$6,
  VLOOKUP($E181,INDIRECT("tri!"&amp; CHAR(64+ C0Col) &amp;":"&amp; CHAR(65+C0Col)),2,FALSE)&gt;COUNTIF($E181:H181,"u")+COUNTIF($E181:H181,"t")+COUNTIF($E181:H181,"¶")+COUNTIF($E181:H181,"²")+COUNTIF($E181:H181,"µ")+COUNTIF($E181:H181,1)),
HYPERLINK("#Roadmap!C"&amp; MATCH($E181,Roadmap!$D:$D,0)+COUNTIF($E181:H181,"u")+COUNTIF($E181:H181,"t"),
     INDEX(Roadmap!$D:$K,MATCH($E181,Roadmap!$D:$D,0)+COUNTIF($E181:H181,"u")+COUNTIF($E181:H181,"t")+COUNTIF($E181:H181,"¶")+COUNTIF($E181:H181,"²")+COUNTIF($E181:H181,"µ")+COUNTIF($E181:H181,1),ColTypeEcheance)),
  IF(LEN(H181)=1,
  IF(LEN(INDEX(Roadmap!$D:$K,MATCH($E181,Roadmap!$D:$D,0)-1+COUNTIF($E181:H181,"u")+COUNTIF($E181:H181,"t")+COUNTIF($E181:H181,"¶")+COUNTIF($E181:H181,"²")+COUNTIF($E181:H181,"µ")+COUNTIF($E181:H181,1),ColDescriptionCourte))&gt;1,
HYPERLINK("#Roadmap!C"&amp; MATCH($E181,Roadmap!$D:$D,0)+COUNTIF($E181:H181,"u")+COUNTIF($E181:H181,"t")+COUNTIF($E181:H181,"¶")+COUNTIF($E181:H181,"²")+COUNTIF($E181:H181,"µ")+COUNTIF($E181:H181,1)-1,INDEX(Roadmap!$D:$K,MATCH($E181,Roadmap!$D:$D,0)-1+COUNTIF($E181:H181,"u")+COUNTIF($E181:H181,"t")+COUNTIF($E181:H181,"¶")+COUNTIF($E181:H181,"²")+COUNTIF($E181:H181,"µ")+COUNTIF($E181:H181,1),ColDescriptionCourte)),""),
  "")),"")</f>
        <v/>
      </c>
      <c r="J181" s="40" t="str">
        <f ca="1">IFERROR(IF(AND(
  INDEX(Roadmap!$D:$K,MATCH($E181,Roadmap!$D:$D,0)+COUNTIF($E181:I181,"u")+COUNTIF($E181:I181,"t")+COUNTIF($E181:I181,"¶")+COUNTIF($E181:I181,"²")+COUNTIF($E181:I181,"µ")+COUNTIF($E181:I181,1),ColLivraison)=J$6,
  VLOOKUP($E181,INDIRECT("tri!"&amp; CHAR(64+ C0Col) &amp;":"&amp; CHAR(65+C0Col)),2,FALSE)&gt;COUNTIF($E181:I181,"u")+COUNTIF($E181:I181,"t")+COUNTIF($E181:I181,"¶")+COUNTIF($E181:I181,"²")+COUNTIF($E181:I181,"µ")+COUNTIF($E181:I181,1)),
HYPERLINK("#Roadmap!C"&amp; MATCH($E181,Roadmap!$D:$D,0)+COUNTIF($E181:I181,"u")+COUNTIF($E181:I181,"t"),
     INDEX(Roadmap!$D:$K,MATCH($E181,Roadmap!$D:$D,0)+COUNTIF($E181:I181,"u")+COUNTIF($E181:I181,"t")+COUNTIF($E181:I181,"¶")+COUNTIF($E181:I181,"²")+COUNTIF($E181:I181,"µ")+COUNTIF($E181:I181,1),ColTypeEcheance)),
  IF(LEN(I181)=1,
  IF(LEN(INDEX(Roadmap!$D:$K,MATCH($E181,Roadmap!$D:$D,0)-1+COUNTIF($E181:I181,"u")+COUNTIF($E181:I181,"t")+COUNTIF($E181:I181,"¶")+COUNTIF($E181:I181,"²")+COUNTIF($E181:I181,"µ")+COUNTIF($E181:I181,1),ColDescriptionCourte))&gt;1,
HYPERLINK("#Roadmap!C"&amp; MATCH($E181,Roadmap!$D:$D,0)+COUNTIF($E181:I181,"u")+COUNTIF($E181:I181,"t")+COUNTIF($E181:I181,"¶")+COUNTIF($E181:I181,"²")+COUNTIF($E181:I181,"µ")+COUNTIF($E181:I181,1)-1,INDEX(Roadmap!$D:$K,MATCH($E181,Roadmap!$D:$D,0)-1+COUNTIF($E181:I181,"u")+COUNTIF($E181:I181,"t")+COUNTIF($E181:I181,"¶")+COUNTIF($E181:I181,"²")+COUNTIF($E181:I181,"µ")+COUNTIF($E181:I181,1),ColDescriptionCourte)),""),
  "")),"")</f>
        <v/>
      </c>
      <c r="K181" s="40" t="str">
        <f ca="1">IFERROR(IF(AND(
  INDEX(Roadmap!$D:$K,MATCH($E181,Roadmap!$D:$D,0)+COUNTIF($E181:J181,"u")+COUNTIF($E181:J181,"t")+COUNTIF($E181:J181,"¶")+COUNTIF($E181:J181,"²")+COUNTIF($E181:J181,"µ")+COUNTIF($E181:J181,1),ColLivraison)=K$6,
  VLOOKUP($E181,INDIRECT("tri!"&amp; CHAR(64+ C0Col) &amp;":"&amp; CHAR(65+C0Col)),2,FALSE)&gt;COUNTIF($E181:J181,"u")+COUNTIF($E181:J181,"t")+COUNTIF($E181:J181,"¶")+COUNTIF($E181:J181,"²")+COUNTIF($E181:J181,"µ")+COUNTIF($E181:J181,1)),
HYPERLINK("#Roadmap!C"&amp; MATCH($E181,Roadmap!$D:$D,0)+COUNTIF($E181:J181,"u")+COUNTIF($E181:J181,"t"),
     INDEX(Roadmap!$D:$K,MATCH($E181,Roadmap!$D:$D,0)+COUNTIF($E181:J181,"u")+COUNTIF($E181:J181,"t")+COUNTIF($E181:J181,"¶")+COUNTIF($E181:J181,"²")+COUNTIF($E181:J181,"µ")+COUNTIF($E181:J181,1),ColTypeEcheance)),
  IF(LEN(J181)=1,
  IF(LEN(INDEX(Roadmap!$D:$K,MATCH($E181,Roadmap!$D:$D,0)-1+COUNTIF($E181:J181,"u")+COUNTIF($E181:J181,"t")+COUNTIF($E181:J181,"¶")+COUNTIF($E181:J181,"²")+COUNTIF($E181:J181,"µ")+COUNTIF($E181:J181,1),ColDescriptionCourte))&gt;1,
HYPERLINK("#Roadmap!C"&amp; MATCH($E181,Roadmap!$D:$D,0)+COUNTIF($E181:J181,"u")+COUNTIF($E181:J181,"t")+COUNTIF($E181:J181,"¶")+COUNTIF($E181:J181,"²")+COUNTIF($E181:J181,"µ")+COUNTIF($E181:J181,1)-1,INDEX(Roadmap!$D:$K,MATCH($E181,Roadmap!$D:$D,0)-1+COUNTIF($E181:J181,"u")+COUNTIF($E181:J181,"t")+COUNTIF($E181:J181,"¶")+COUNTIF($E181:J181,"²")+COUNTIF($E181:J181,"µ")+COUNTIF($E181:J181,1),ColDescriptionCourte)),""),
  "")),"")</f>
        <v/>
      </c>
      <c r="L181" s="39" t="str">
        <f ca="1">IFERROR(IF(AND(
  INDEX(Roadmap!$D:$K,MATCH($E181,Roadmap!$D:$D,0)+COUNTIF($E181:K181,"u")+COUNTIF($E181:K181,"t")+COUNTIF($E181:K181,"¶")+COUNTIF($E181:K181,"²")+COUNTIF($E181:K181,"µ")+COUNTIF($E181:K181,1),ColLivraison)=L$6,
  VLOOKUP($E181,INDIRECT("tri!"&amp; CHAR(64+ C0Col) &amp;":"&amp; CHAR(65+C0Col)),2,FALSE)&gt;COUNTIF($E181:K181,"u")+COUNTIF($E181:K181,"t")+COUNTIF($E181:K181,"¶")+COUNTIF($E181:K181,"²")+COUNTIF($E181:K181,"µ")+COUNTIF($E181:K181,1)),
HYPERLINK("#Roadmap!C"&amp; MATCH($E181,Roadmap!$D:$D,0)+COUNTIF($E181:K181,"u")+COUNTIF($E181:K181,"t"),
     INDEX(Roadmap!$D:$K,MATCH($E181,Roadmap!$D:$D,0)+COUNTIF($E181:K181,"u")+COUNTIF($E181:K181,"t")+COUNTIF($E181:K181,"¶")+COUNTIF($E181:K181,"²")+COUNTIF($E181:K181,"µ")+COUNTIF($E181:K181,1),ColTypeEcheance)),
  IF(LEN(K181)=1,
  IF(LEN(INDEX(Roadmap!$D:$K,MATCH($E181,Roadmap!$D:$D,0)-1+COUNTIF($E181:K181,"u")+COUNTIF($E181:K181,"t")+COUNTIF($E181:K181,"¶")+COUNTIF($E181:K181,"²")+COUNTIF($E181:K181,"µ")+COUNTIF($E181:K181,1),ColDescriptionCourte))&gt;1,
HYPERLINK("#Roadmap!C"&amp; MATCH($E181,Roadmap!$D:$D,0)+COUNTIF($E181:K181,"u")+COUNTIF($E181:K181,"t")+COUNTIF($E181:K181,"¶")+COUNTIF($E181:K181,"²")+COUNTIF($E181:K181,"µ")+COUNTIF($E181:K181,1)-1,INDEX(Roadmap!$D:$K,MATCH($E181,Roadmap!$D:$D,0)-1+COUNTIF($E181:K181,"u")+COUNTIF($E181:K181,"t")+COUNTIF($E181:K181,"¶")+COUNTIF($E181:K181,"²")+COUNTIF($E181:K181,"µ")+COUNTIF($E181:K181,1),ColDescriptionCourte)),""),
  "")),"")</f>
        <v/>
      </c>
      <c r="M181" s="40" t="str">
        <f ca="1">IFERROR(IF(AND(
  INDEX(Roadmap!$D:$K,MATCH($E181,Roadmap!$D:$D,0)+COUNTIF($E181:L181,"u")+COUNTIF($E181:L181,"t")+COUNTIF($E181:L181,"¶")+COUNTIF($E181:L181,"²")+COUNTIF($E181:L181,"µ")+COUNTIF($E181:L181,1),ColLivraison)=M$6,
  VLOOKUP($E181,INDIRECT("tri!"&amp; CHAR(64+ C0Col) &amp;":"&amp; CHAR(65+C0Col)),2,FALSE)&gt;COUNTIF($E181:L181,"u")+COUNTIF($E181:L181,"t")+COUNTIF($E181:L181,"¶")+COUNTIF($E181:L181,"²")+COUNTIF($E181:L181,"µ")+COUNTIF($E181:L181,1)),
HYPERLINK("#Roadmap!C"&amp; MATCH($E181,Roadmap!$D:$D,0)+COUNTIF($E181:L181,"u")+COUNTIF($E181:L181,"t"),
     INDEX(Roadmap!$D:$K,MATCH($E181,Roadmap!$D:$D,0)+COUNTIF($E181:L181,"u")+COUNTIF($E181:L181,"t")+COUNTIF($E181:L181,"¶")+COUNTIF($E181:L181,"²")+COUNTIF($E181:L181,"µ")+COUNTIF($E181:L181,1),ColTypeEcheance)),
  IF(LEN(L181)=1,
  IF(LEN(INDEX(Roadmap!$D:$K,MATCH($E181,Roadmap!$D:$D,0)-1+COUNTIF($E181:L181,"u")+COUNTIF($E181:L181,"t")+COUNTIF($E181:L181,"¶")+COUNTIF($E181:L181,"²")+COUNTIF($E181:L181,"µ")+COUNTIF($E181:L181,1),ColDescriptionCourte))&gt;1,
HYPERLINK("#Roadmap!C"&amp; MATCH($E181,Roadmap!$D:$D,0)+COUNTIF($E181:L181,"u")+COUNTIF($E181:L181,"t")+COUNTIF($E181:L181,"¶")+COUNTIF($E181:L181,"²")+COUNTIF($E181:L181,"µ")+COUNTIF($E181:L181,1)-1,INDEX(Roadmap!$D:$K,MATCH($E181,Roadmap!$D:$D,0)-1+COUNTIF($E181:L181,"u")+COUNTIF($E181:L181,"t")+COUNTIF($E181:L181,"¶")+COUNTIF($E181:L181,"²")+COUNTIF($E181:L181,"µ")+COUNTIF($E181:L181,1),ColDescriptionCourte)),""),
  "")),"")</f>
        <v/>
      </c>
      <c r="N181" s="40" t="str">
        <f ca="1">IFERROR(IF(AND(
  INDEX(Roadmap!$D:$K,MATCH($E181,Roadmap!$D:$D,0)+COUNTIF($E181:M181,"u")+COUNTIF($E181:M181,"t")+COUNTIF($E181:M181,"¶")+COUNTIF($E181:M181,"²")+COUNTIF($E181:M181,"µ")+COUNTIF($E181:M181,1),ColLivraison)=N$6,
  VLOOKUP($E181,INDIRECT("tri!"&amp; CHAR(64+ C0Col) &amp;":"&amp; CHAR(65+C0Col)),2,FALSE)&gt;COUNTIF($E181:M181,"u")+COUNTIF($E181:M181,"t")+COUNTIF($E181:M181,"¶")+COUNTIF($E181:M181,"²")+COUNTIF($E181:M181,"µ")+COUNTIF($E181:M181,1)),
HYPERLINK("#Roadmap!C"&amp; MATCH($E181,Roadmap!$D:$D,0)+COUNTIF($E181:M181,"u")+COUNTIF($E181:M181,"t"),
     INDEX(Roadmap!$D:$K,MATCH($E181,Roadmap!$D:$D,0)+COUNTIF($E181:M181,"u")+COUNTIF($E181:M181,"t")+COUNTIF($E181:M181,"¶")+COUNTIF($E181:M181,"²")+COUNTIF($E181:M181,"µ")+COUNTIF($E181:M181,1),ColTypeEcheance)),
  IF(LEN(M181)=1,
  IF(LEN(INDEX(Roadmap!$D:$K,MATCH($E181,Roadmap!$D:$D,0)-1+COUNTIF($E181:M181,"u")+COUNTIF($E181:M181,"t")+COUNTIF($E181:M181,"¶")+COUNTIF($E181:M181,"²")+COUNTIF($E181:M181,"µ")+COUNTIF($E181:M181,1),ColDescriptionCourte))&gt;1,
HYPERLINK("#Roadmap!C"&amp; MATCH($E181,Roadmap!$D:$D,0)+COUNTIF($E181:M181,"u")+COUNTIF($E181:M181,"t")+COUNTIF($E181:M181,"¶")+COUNTIF($E181:M181,"²")+COUNTIF($E181:M181,"µ")+COUNTIF($E181:M181,1)-1,INDEX(Roadmap!$D:$K,MATCH($E181,Roadmap!$D:$D,0)-1+COUNTIF($E181:M181,"u")+COUNTIF($E181:M181,"t")+COUNTIF($E181:M181,"¶")+COUNTIF($E181:M181,"²")+COUNTIF($E181:M181,"µ")+COUNTIF($E181:M181,1),ColDescriptionCourte)),""),
  "")),"")</f>
        <v/>
      </c>
      <c r="O181" s="40" t="str">
        <f ca="1">IFERROR(IF(AND(
  INDEX(Roadmap!$D:$K,MATCH($E181,Roadmap!$D:$D,0)+COUNTIF($E181:N181,"u")+COUNTIF($E181:N181,"t")+COUNTIF($E181:N181,"¶")+COUNTIF($E181:N181,"²")+COUNTIF($E181:N181,"µ")+COUNTIF($E181:N181,1),ColLivraison)=O$6,
  VLOOKUP($E181,INDIRECT("tri!"&amp; CHAR(64+ C0Col) &amp;":"&amp; CHAR(65+C0Col)),2,FALSE)&gt;COUNTIF($E181:N181,"u")+COUNTIF($E181:N181,"t")+COUNTIF($E181:N181,"¶")+COUNTIF($E181:N181,"²")+COUNTIF($E181:N181,"µ")+COUNTIF($E181:N181,1)),
HYPERLINK("#Roadmap!C"&amp; MATCH($E181,Roadmap!$D:$D,0)+COUNTIF($E181:N181,"u")+COUNTIF($E181:N181,"t"),
     INDEX(Roadmap!$D:$K,MATCH($E181,Roadmap!$D:$D,0)+COUNTIF($E181:N181,"u")+COUNTIF($E181:N181,"t")+COUNTIF($E181:N181,"¶")+COUNTIF($E181:N181,"²")+COUNTIF($E181:N181,"µ")+COUNTIF($E181:N181,1),ColTypeEcheance)),
  IF(LEN(N181)=1,
  IF(LEN(INDEX(Roadmap!$D:$K,MATCH($E181,Roadmap!$D:$D,0)-1+COUNTIF($E181:N181,"u")+COUNTIF($E181:N181,"t")+COUNTIF($E181:N181,"¶")+COUNTIF($E181:N181,"²")+COUNTIF($E181:N181,"µ")+COUNTIF($E181:N181,1),ColDescriptionCourte))&gt;1,
HYPERLINK("#Roadmap!C"&amp; MATCH($E181,Roadmap!$D:$D,0)+COUNTIF($E181:N181,"u")+COUNTIF($E181:N181,"t")+COUNTIF($E181:N181,"¶")+COUNTIF($E181:N181,"²")+COUNTIF($E181:N181,"µ")+COUNTIF($E181:N181,1)-1,INDEX(Roadmap!$D:$K,MATCH($E181,Roadmap!$D:$D,0)-1+COUNTIF($E181:N181,"u")+COUNTIF($E181:N181,"t")+COUNTIF($E181:N181,"¶")+COUNTIF($E181:N181,"²")+COUNTIF($E181:N181,"µ")+COUNTIF($E181:N181,1),ColDescriptionCourte)),""),
  "")),"")</f>
        <v/>
      </c>
      <c r="P181" s="40" t="str">
        <f ca="1">IFERROR(IF(AND(
  INDEX(Roadmap!$D:$K,MATCH($E181,Roadmap!$D:$D,0)+COUNTIF($E181:O181,"u")+COUNTIF($E181:O181,"t")+COUNTIF($E181:O181,"¶")+COUNTIF($E181:O181,"²")+COUNTIF($E181:O181,"µ")+COUNTIF($E181:O181,1),ColLivraison)=P$6,
  VLOOKUP($E181,INDIRECT("tri!"&amp; CHAR(64+ C0Col) &amp;":"&amp; CHAR(65+C0Col)),2,FALSE)&gt;COUNTIF($E181:O181,"u")+COUNTIF($E181:O181,"t")+COUNTIF($E181:O181,"¶")+COUNTIF($E181:O181,"²")+COUNTIF($E181:O181,"µ")+COUNTIF($E181:O181,1)),
HYPERLINK("#Roadmap!C"&amp; MATCH($E181,Roadmap!$D:$D,0)+COUNTIF($E181:O181,"u")+COUNTIF($E181:O181,"t"),
     INDEX(Roadmap!$D:$K,MATCH($E181,Roadmap!$D:$D,0)+COUNTIF($E181:O181,"u")+COUNTIF($E181:O181,"t")+COUNTIF($E181:O181,"¶")+COUNTIF($E181:O181,"²")+COUNTIF($E181:O181,"µ")+COUNTIF($E181:O181,1),ColTypeEcheance)),
  IF(LEN(O181)=1,
  IF(LEN(INDEX(Roadmap!$D:$K,MATCH($E181,Roadmap!$D:$D,0)-1+COUNTIF($E181:O181,"u")+COUNTIF($E181:O181,"t")+COUNTIF($E181:O181,"¶")+COUNTIF($E181:O181,"²")+COUNTIF($E181:O181,"µ")+COUNTIF($E181:O181,1),ColDescriptionCourte))&gt;1,
HYPERLINK("#Roadmap!C"&amp; MATCH($E181,Roadmap!$D:$D,0)+COUNTIF($E181:O181,"u")+COUNTIF($E181:O181,"t")+COUNTIF($E181:O181,"¶")+COUNTIF($E181:O181,"²")+COUNTIF($E181:O181,"µ")+COUNTIF($E181:O181,1)-1,INDEX(Roadmap!$D:$K,MATCH($E181,Roadmap!$D:$D,0)-1+COUNTIF($E181:O181,"u")+COUNTIF($E181:O181,"t")+COUNTIF($E181:O181,"¶")+COUNTIF($E181:O181,"²")+COUNTIF($E181:O181,"µ")+COUNTIF($E181:O181,1),ColDescriptionCourte)),""),
  "")),"")</f>
        <v/>
      </c>
      <c r="Q181" s="40" t="str">
        <f ca="1">IFERROR(IF(AND(
  INDEX(Roadmap!$D:$K,MATCH($E181,Roadmap!$D:$D,0)+COUNTIF($E181:P181,"u")+COUNTIF($E181:P181,"t")+COUNTIF($E181:P181,"¶")+COUNTIF($E181:P181,"²")+COUNTIF($E181:P181,"µ")+COUNTIF($E181:P181,1),ColLivraison)=Q$6,
  VLOOKUP($E181,INDIRECT("tri!"&amp; CHAR(64+ C0Col) &amp;":"&amp; CHAR(65+C0Col)),2,FALSE)&gt;COUNTIF($E181:P181,"u")+COUNTIF($E181:P181,"t")+COUNTIF($E181:P181,"¶")+COUNTIF($E181:P181,"²")+COUNTIF($E181:P181,"µ")+COUNTIF($E181:P181,1)),
HYPERLINK("#Roadmap!C"&amp; MATCH($E181,Roadmap!$D:$D,0)+COUNTIF($E181:P181,"u")+COUNTIF($E181:P181,"t"),
     INDEX(Roadmap!$D:$K,MATCH($E181,Roadmap!$D:$D,0)+COUNTIF($E181:P181,"u")+COUNTIF($E181:P181,"t")+COUNTIF($E181:P181,"¶")+COUNTIF($E181:P181,"²")+COUNTIF($E181:P181,"µ")+COUNTIF($E181:P181,1),ColTypeEcheance)),
  IF(LEN(P181)=1,
  IF(LEN(INDEX(Roadmap!$D:$K,MATCH($E181,Roadmap!$D:$D,0)-1+COUNTIF($E181:P181,"u")+COUNTIF($E181:P181,"t")+COUNTIF($E181:P181,"¶")+COUNTIF($E181:P181,"²")+COUNTIF($E181:P181,"µ")+COUNTIF($E181:P181,1),ColDescriptionCourte))&gt;1,
HYPERLINK("#Roadmap!C"&amp; MATCH($E181,Roadmap!$D:$D,0)+COUNTIF($E181:P181,"u")+COUNTIF($E181:P181,"t")+COUNTIF($E181:P181,"¶")+COUNTIF($E181:P181,"²")+COUNTIF($E181:P181,"µ")+COUNTIF($E181:P181,1)-1,INDEX(Roadmap!$D:$K,MATCH($E181,Roadmap!$D:$D,0)-1+COUNTIF($E181:P181,"u")+COUNTIF($E181:P181,"t")+COUNTIF($E181:P181,"¶")+COUNTIF($E181:P181,"²")+COUNTIF($E181:P181,"µ")+COUNTIF($E181:P181,1),ColDescriptionCourte)),""),
  "")),"")</f>
        <v/>
      </c>
      <c r="R181" s="40" t="str">
        <f ca="1">IFERROR(IF(AND(
  INDEX(Roadmap!$D:$K,MATCH($E181,Roadmap!$D:$D,0)+COUNTIF($E181:Q181,"u")+COUNTIF($E181:Q181,"t")+COUNTIF($E181:Q181,"¶")+COUNTIF($E181:Q181,"²")+COUNTIF($E181:Q181,"µ")+COUNTIF($E181:Q181,1),ColLivraison)=R$6,
  VLOOKUP($E181,INDIRECT("tri!"&amp; CHAR(64+ C0Col) &amp;":"&amp; CHAR(65+C0Col)),2,FALSE)&gt;COUNTIF($E181:Q181,"u")+COUNTIF($E181:Q181,"t")+COUNTIF($E181:Q181,"¶")+COUNTIF($E181:Q181,"²")+COUNTIF($E181:Q181,"µ")+COUNTIF($E181:Q181,1)),
HYPERLINK("#Roadmap!C"&amp; MATCH($E181,Roadmap!$D:$D,0)+COUNTIF($E181:Q181,"u")+COUNTIF($E181:Q181,"t"),
     INDEX(Roadmap!$D:$K,MATCH($E181,Roadmap!$D:$D,0)+COUNTIF($E181:Q181,"u")+COUNTIF($E181:Q181,"t")+COUNTIF($E181:Q181,"¶")+COUNTIF($E181:Q181,"²")+COUNTIF($E181:Q181,"µ")+COUNTIF($E181:Q181,1),ColTypeEcheance)),
  IF(LEN(Q181)=1,
  IF(LEN(INDEX(Roadmap!$D:$K,MATCH($E181,Roadmap!$D:$D,0)-1+COUNTIF($E181:Q181,"u")+COUNTIF($E181:Q181,"t")+COUNTIF($E181:Q181,"¶")+COUNTIF($E181:Q181,"²")+COUNTIF($E181:Q181,"µ")+COUNTIF($E181:Q181,1),ColDescriptionCourte))&gt;1,
HYPERLINK("#Roadmap!C"&amp; MATCH($E181,Roadmap!$D:$D,0)+COUNTIF($E181:Q181,"u")+COUNTIF($E181:Q181,"t")+COUNTIF($E181:Q181,"¶")+COUNTIF($E181:Q181,"²")+COUNTIF($E181:Q181,"µ")+COUNTIF($E181:Q181,1)-1,INDEX(Roadmap!$D:$K,MATCH($E181,Roadmap!$D:$D,0)-1+COUNTIF($E181:Q181,"u")+COUNTIF($E181:Q181,"t")+COUNTIF($E181:Q181,"¶")+COUNTIF($E181:Q181,"²")+COUNTIF($E181:Q181,"µ")+COUNTIF($E181:Q181,1),ColDescriptionCourte)),""),
  "")),"")</f>
        <v/>
      </c>
      <c r="S181" s="40" t="str">
        <f ca="1">IFERROR(IF(AND(
  INDEX(Roadmap!$D:$K,MATCH($E181,Roadmap!$D:$D,0)+COUNTIF($E181:R181,"u")+COUNTIF($E181:R181,"t")+COUNTIF($E181:R181,"¶")+COUNTIF($E181:R181,"²")+COUNTIF($E181:R181,"µ")+COUNTIF($E181:R181,1),ColLivraison)=S$6,
  VLOOKUP($E181,INDIRECT("tri!"&amp; CHAR(64+ C0Col) &amp;":"&amp; CHAR(65+C0Col)),2,FALSE)&gt;COUNTIF($E181:R181,"u")+COUNTIF($E181:R181,"t")+COUNTIF($E181:R181,"¶")+COUNTIF($E181:R181,"²")+COUNTIF($E181:R181,"µ")+COUNTIF($E181:R181,1)),
HYPERLINK("#Roadmap!C"&amp; MATCH($E181,Roadmap!$D:$D,0)+COUNTIF($E181:R181,"u")+COUNTIF($E181:R181,"t"),
     INDEX(Roadmap!$D:$K,MATCH($E181,Roadmap!$D:$D,0)+COUNTIF($E181:R181,"u")+COUNTIF($E181:R181,"t")+COUNTIF($E181:R181,"¶")+COUNTIF($E181:R181,"²")+COUNTIF($E181:R181,"µ")+COUNTIF($E181:R181,1),ColTypeEcheance)),
  IF(LEN(R181)=1,
  IF(LEN(INDEX(Roadmap!$D:$K,MATCH($E181,Roadmap!$D:$D,0)-1+COUNTIF($E181:R181,"u")+COUNTIF($E181:R181,"t")+COUNTIF($E181:R181,"¶")+COUNTIF($E181:R181,"²")+COUNTIF($E181:R181,"µ")+COUNTIF($E181:R181,1),ColDescriptionCourte))&gt;1,
HYPERLINK("#Roadmap!C"&amp; MATCH($E181,Roadmap!$D:$D,0)+COUNTIF($E181:R181,"u")+COUNTIF($E181:R181,"t")+COUNTIF($E181:R181,"¶")+COUNTIF($E181:R181,"²")+COUNTIF($E181:R181,"µ")+COUNTIF($E181:R181,1)-1,INDEX(Roadmap!$D:$K,MATCH($E181,Roadmap!$D:$D,0)-1+COUNTIF($E181:R181,"u")+COUNTIF($E181:R181,"t")+COUNTIF($E181:R181,"¶")+COUNTIF($E181:R181,"²")+COUNTIF($E181:R181,"µ")+COUNTIF($E181:R181,1),ColDescriptionCourte)),""),
  "")),"")</f>
        <v/>
      </c>
      <c r="T181" s="40" t="str">
        <f ca="1">IFERROR(IF(AND(
  INDEX(Roadmap!$D:$K,MATCH($E181,Roadmap!$D:$D,0)+COUNTIF($E181:S181,"u")+COUNTIF($E181:S181,"t")+COUNTIF($E181:S181,"¶")+COUNTIF($E181:S181,"²")+COUNTIF($E181:S181,"µ")+COUNTIF($E181:S181,1),ColLivraison)=T$6,
  VLOOKUP($E181,INDIRECT("tri!"&amp; CHAR(64+ C0Col) &amp;":"&amp; CHAR(65+C0Col)),2,FALSE)&gt;COUNTIF($E181:S181,"u")+COUNTIF($E181:S181,"t")+COUNTIF($E181:S181,"¶")+COUNTIF($E181:S181,"²")+COUNTIF($E181:S181,"µ")+COUNTIF($E181:S181,1)),
HYPERLINK("#Roadmap!C"&amp; MATCH($E181,Roadmap!$D:$D,0)+COUNTIF($E181:S181,"u")+COUNTIF($E181:S181,"t"),
     INDEX(Roadmap!$D:$K,MATCH($E181,Roadmap!$D:$D,0)+COUNTIF($E181:S181,"u")+COUNTIF($E181:S181,"t")+COUNTIF($E181:S181,"¶")+COUNTIF($E181:S181,"²")+COUNTIF($E181:S181,"µ")+COUNTIF($E181:S181,1),ColTypeEcheance)),
  IF(LEN(S181)=1,
  IF(LEN(INDEX(Roadmap!$D:$K,MATCH($E181,Roadmap!$D:$D,0)-1+COUNTIF($E181:S181,"u")+COUNTIF($E181:S181,"t")+COUNTIF($E181:S181,"¶")+COUNTIF($E181:S181,"²")+COUNTIF($E181:S181,"µ")+COUNTIF($E181:S181,1),ColDescriptionCourte))&gt;1,
HYPERLINK("#Roadmap!C"&amp; MATCH($E181,Roadmap!$D:$D,0)+COUNTIF($E181:S181,"u")+COUNTIF($E181:S181,"t")+COUNTIF($E181:S181,"¶")+COUNTIF($E181:S181,"²")+COUNTIF($E181:S181,"µ")+COUNTIF($E181:S181,1)-1,INDEX(Roadmap!$D:$K,MATCH($E181,Roadmap!$D:$D,0)-1+COUNTIF($E181:S181,"u")+COUNTIF($E181:S181,"t")+COUNTIF($E181:S181,"¶")+COUNTIF($E181:S181,"²")+COUNTIF($E181:S181,"µ")+COUNTIF($E181:S181,1),ColDescriptionCourte)),""),
  "")),"")</f>
        <v/>
      </c>
      <c r="U181" s="40" t="str">
        <f ca="1">IFERROR(IF(AND(
  INDEX(Roadmap!$D:$K,MATCH($E181,Roadmap!$D:$D,0)+COUNTIF($E181:T181,"u")+COUNTIF($E181:T181,"t")+COUNTIF($E181:T181,"¶")+COUNTIF($E181:T181,"²")+COUNTIF($E181:T181,"µ")+COUNTIF($E181:T181,1),ColLivraison)=U$6,
  VLOOKUP($E181,INDIRECT("tri!"&amp; CHAR(64+ C0Col) &amp;":"&amp; CHAR(65+C0Col)),2,FALSE)&gt;COUNTIF($E181:T181,"u")+COUNTIF($E181:T181,"t")+COUNTIF($E181:T181,"¶")+COUNTIF($E181:T181,"²")+COUNTIF($E181:T181,"µ")+COUNTIF($E181:T181,1)),
HYPERLINK("#Roadmap!C"&amp; MATCH($E181,Roadmap!$D:$D,0)+COUNTIF($E181:T181,"u")+COUNTIF($E181:T181,"t"),
     INDEX(Roadmap!$D:$K,MATCH($E181,Roadmap!$D:$D,0)+COUNTIF($E181:T181,"u")+COUNTIF($E181:T181,"t")+COUNTIF($E181:T181,"¶")+COUNTIF($E181:T181,"²")+COUNTIF($E181:T181,"µ")+COUNTIF($E181:T181,1),ColTypeEcheance)),
  IF(LEN(T181)=1,
  IF(LEN(INDEX(Roadmap!$D:$K,MATCH($E181,Roadmap!$D:$D,0)-1+COUNTIF($E181:T181,"u")+COUNTIF($E181:T181,"t")+COUNTIF($E181:T181,"¶")+COUNTIF($E181:T181,"²")+COUNTIF($E181:T181,"µ")+COUNTIF($E181:T181,1),ColDescriptionCourte))&gt;1,
HYPERLINK("#Roadmap!C"&amp; MATCH($E181,Roadmap!$D:$D,0)+COUNTIF($E181:T181,"u")+COUNTIF($E181:T181,"t")+COUNTIF($E181:T181,"¶")+COUNTIF($E181:T181,"²")+COUNTIF($E181:T181,"µ")+COUNTIF($E181:T181,1)-1,INDEX(Roadmap!$D:$K,MATCH($E181,Roadmap!$D:$D,0)-1+COUNTIF($E181:T181,"u")+COUNTIF($E181:T181,"t")+COUNTIF($E181:T181,"¶")+COUNTIF($E181:T181,"²")+COUNTIF($E181:T181,"µ")+COUNTIF($E181:T181,1),ColDescriptionCourte)),""),
  "")),"")</f>
        <v/>
      </c>
      <c r="V181" s="40" t="str">
        <f ca="1">IFERROR(IF(AND(
  INDEX(Roadmap!$D:$K,MATCH($E181,Roadmap!$D:$D,0)+COUNTIF($E181:U181,"u")+COUNTIF($E181:U181,"t")+COUNTIF($E181:U181,"¶")+COUNTIF($E181:U181,"²")+COUNTIF($E181:U181,"µ")+COUNTIF($E181:U181,1),ColLivraison)=V$6,
  VLOOKUP($E181,INDIRECT("tri!"&amp; CHAR(64+ C0Col) &amp;":"&amp; CHAR(65+C0Col)),2,FALSE)&gt;COUNTIF($E181:U181,"u")+COUNTIF($E181:U181,"t")+COUNTIF($E181:U181,"¶")+COUNTIF($E181:U181,"²")+COUNTIF($E181:U181,"µ")+COUNTIF($E181:U181,1)),
HYPERLINK("#Roadmap!C"&amp; MATCH($E181,Roadmap!$D:$D,0)+COUNTIF($E181:U181,"u")+COUNTIF($E181:U181,"t"),
     INDEX(Roadmap!$D:$K,MATCH($E181,Roadmap!$D:$D,0)+COUNTIF($E181:U181,"u")+COUNTIF($E181:U181,"t")+COUNTIF($E181:U181,"¶")+COUNTIF($E181:U181,"²")+COUNTIF($E181:U181,"µ")+COUNTIF($E181:U181,1),ColTypeEcheance)),
  IF(LEN(U181)=1,
  IF(LEN(INDEX(Roadmap!$D:$K,MATCH($E181,Roadmap!$D:$D,0)-1+COUNTIF($E181:U181,"u")+COUNTIF($E181:U181,"t")+COUNTIF($E181:U181,"¶")+COUNTIF($E181:U181,"²")+COUNTIF($E181:U181,"µ")+COUNTIF($E181:U181,1),ColDescriptionCourte))&gt;1,
HYPERLINK("#Roadmap!C"&amp; MATCH($E181,Roadmap!$D:$D,0)+COUNTIF($E181:U181,"u")+COUNTIF($E181:U181,"t")+COUNTIF($E181:U181,"¶")+COUNTIF($E181:U181,"²")+COUNTIF($E181:U181,"µ")+COUNTIF($E181:U181,1)-1,INDEX(Roadmap!$D:$K,MATCH($E181,Roadmap!$D:$D,0)-1+COUNTIF($E181:U181,"u")+COUNTIF($E181:U181,"t")+COUNTIF($E181:U181,"¶")+COUNTIF($E181:U181,"²")+COUNTIF($E181:U181,"µ")+COUNTIF($E181:U181,1),ColDescriptionCourte)),""),
  "")),"")</f>
        <v/>
      </c>
      <c r="W181" s="40" t="str">
        <f ca="1">IFERROR(IF(AND(
  INDEX(Roadmap!$D:$K,MATCH($E181,Roadmap!$D:$D,0)+COUNTIF($E181:V181,"u")+COUNTIF($E181:V181,"t")+COUNTIF($E181:V181,"¶")+COUNTIF($E181:V181,"²")+COUNTIF($E181:V181,"µ")+COUNTIF($E181:V181,1),ColLivraison)=W$6,
  VLOOKUP($E181,INDIRECT("tri!"&amp; CHAR(64+ C0Col) &amp;":"&amp; CHAR(65+C0Col)),2,FALSE)&gt;COUNTIF($E181:V181,"u")+COUNTIF($E181:V181,"t")+COUNTIF($E181:V181,"¶")+COUNTIF($E181:V181,"²")+COUNTIF($E181:V181,"µ")+COUNTIF($E181:V181,1)),
HYPERLINK("#Roadmap!C"&amp; MATCH($E181,Roadmap!$D:$D,0)+COUNTIF($E181:V181,"u")+COUNTIF($E181:V181,"t"),
     INDEX(Roadmap!$D:$K,MATCH($E181,Roadmap!$D:$D,0)+COUNTIF($E181:V181,"u")+COUNTIF($E181:V181,"t")+COUNTIF($E181:V181,"¶")+COUNTIF($E181:V181,"²")+COUNTIF($E181:V181,"µ")+COUNTIF($E181:V181,1),ColTypeEcheance)),
  IF(LEN(V181)=1,
  IF(LEN(INDEX(Roadmap!$D:$K,MATCH($E181,Roadmap!$D:$D,0)-1+COUNTIF($E181:V181,"u")+COUNTIF($E181:V181,"t")+COUNTIF($E181:V181,"¶")+COUNTIF($E181:V181,"²")+COUNTIF($E181:V181,"µ")+COUNTIF($E181:V181,1),ColDescriptionCourte))&gt;1,
HYPERLINK("#Roadmap!C"&amp; MATCH($E181,Roadmap!$D:$D,0)+COUNTIF($E181:V181,"u")+COUNTIF($E181:V181,"t")+COUNTIF($E181:V181,"¶")+COUNTIF($E181:V181,"²")+COUNTIF($E181:V181,"µ")+COUNTIF($E181:V181,1)-1,INDEX(Roadmap!$D:$K,MATCH($E181,Roadmap!$D:$D,0)-1+COUNTIF($E181:V181,"u")+COUNTIF($E181:V181,"t")+COUNTIF($E181:V181,"¶")+COUNTIF($E181:V181,"²")+COUNTIF($E181:V181,"µ")+COUNTIF($E181:V181,1),ColDescriptionCourte)),""),
  "")),"")</f>
        <v/>
      </c>
      <c r="X181" s="40" t="str">
        <f ca="1">IFERROR(IF(AND(
  INDEX(Roadmap!$D:$K,MATCH($E181,Roadmap!$D:$D,0)+COUNTIF($E181:W181,"u")+COUNTIF($E181:W181,"t")+COUNTIF($E181:W181,"¶")+COUNTIF($E181:W181,"²")+COUNTIF($E181:W181,"µ")+COUNTIF($E181:W181,1),ColLivraison)=X$6,
  VLOOKUP($E181,INDIRECT("tri!"&amp; CHAR(64+ C0Col) &amp;":"&amp; CHAR(65+C0Col)),2,FALSE)&gt;COUNTIF($E181:W181,"u")+COUNTIF($E181:W181,"t")+COUNTIF($E181:W181,"¶")+COUNTIF($E181:W181,"²")+COUNTIF($E181:W181,"µ")+COUNTIF($E181:W181,1)),
HYPERLINK("#Roadmap!C"&amp; MATCH($E181,Roadmap!$D:$D,0)+COUNTIF($E181:W181,"u")+COUNTIF($E181:W181,"t"),
     INDEX(Roadmap!$D:$K,MATCH($E181,Roadmap!$D:$D,0)+COUNTIF($E181:W181,"u")+COUNTIF($E181:W181,"t")+COUNTIF($E181:W181,"¶")+COUNTIF($E181:W181,"²")+COUNTIF($E181:W181,"µ")+COUNTIF($E181:W181,1),ColTypeEcheance)),
  IF(LEN(W181)=1,
  IF(LEN(INDEX(Roadmap!$D:$K,MATCH($E181,Roadmap!$D:$D,0)-1+COUNTIF($E181:W181,"u")+COUNTIF($E181:W181,"t")+COUNTIF($E181:W181,"¶")+COUNTIF($E181:W181,"²")+COUNTIF($E181:W181,"µ")+COUNTIF($E181:W181,1),ColDescriptionCourte))&gt;1,
HYPERLINK("#Roadmap!C"&amp; MATCH($E181,Roadmap!$D:$D,0)+COUNTIF($E181:W181,"u")+COUNTIF($E181:W181,"t")+COUNTIF($E181:W181,"¶")+COUNTIF($E181:W181,"²")+COUNTIF($E181:W181,"µ")+COUNTIF($E181:W181,1)-1,INDEX(Roadmap!$D:$K,MATCH($E181,Roadmap!$D:$D,0)-1+COUNTIF($E181:W181,"u")+COUNTIF($E181:W181,"t")+COUNTIF($E181:W181,"¶")+COUNTIF($E181:W181,"²")+COUNTIF($E181:W181,"µ")+COUNTIF($E181:W181,1),ColDescriptionCourte)),""),
  "")),"")</f>
        <v/>
      </c>
      <c r="Y181" s="40" t="str">
        <f ca="1">IFERROR(IF(AND(
  INDEX(Roadmap!$D:$K,MATCH($E181,Roadmap!$D:$D,0)+COUNTIF($E181:X181,"u")+COUNTIF($E181:X181,"t")+COUNTIF($E181:X181,"¶")+COUNTIF($E181:X181,"²")+COUNTIF($E181:X181,"µ")+COUNTIF($E181:X181,1),ColLivraison)=Y$6,
  VLOOKUP($E181,INDIRECT("tri!"&amp; CHAR(64+ C0Col) &amp;":"&amp; CHAR(65+C0Col)),2,FALSE)&gt;COUNTIF($E181:X181,"u")+COUNTIF($E181:X181,"t")+COUNTIF($E181:X181,"¶")+COUNTIF($E181:X181,"²")+COUNTIF($E181:X181,"µ")+COUNTIF($E181:X181,1)),
HYPERLINK("#Roadmap!C"&amp; MATCH($E181,Roadmap!$D:$D,0)+COUNTIF($E181:X181,"u")+COUNTIF($E181:X181,"t"),
     INDEX(Roadmap!$D:$K,MATCH($E181,Roadmap!$D:$D,0)+COUNTIF($E181:X181,"u")+COUNTIF($E181:X181,"t")+COUNTIF($E181:X181,"¶")+COUNTIF($E181:X181,"²")+COUNTIF($E181:X181,"µ")+COUNTIF($E181:X181,1),ColTypeEcheance)),
  IF(LEN(X181)=1,
  IF(LEN(INDEX(Roadmap!$D:$K,MATCH($E181,Roadmap!$D:$D,0)-1+COUNTIF($E181:X181,"u")+COUNTIF($E181:X181,"t")+COUNTIF($E181:X181,"¶")+COUNTIF($E181:X181,"²")+COUNTIF($E181:X181,"µ")+COUNTIF($E181:X181,1),ColDescriptionCourte))&gt;1,
HYPERLINK("#Roadmap!C"&amp; MATCH($E181,Roadmap!$D:$D,0)+COUNTIF($E181:X181,"u")+COUNTIF($E181:X181,"t")+COUNTIF($E181:X181,"¶")+COUNTIF($E181:X181,"²")+COUNTIF($E181:X181,"µ")+COUNTIF($E181:X181,1)-1,INDEX(Roadmap!$D:$K,MATCH($E181,Roadmap!$D:$D,0)-1+COUNTIF($E181:X181,"u")+COUNTIF($E181:X181,"t")+COUNTIF($E181:X181,"¶")+COUNTIF($E181:X181,"²")+COUNTIF($E181:X181,"µ")+COUNTIF($E181:X181,1),ColDescriptionCourte)),""),
  "")),"")</f>
        <v/>
      </c>
      <c r="Z181" s="40" t="str">
        <f ca="1">IFERROR(IF(AND(
  INDEX(Roadmap!$D:$K,MATCH($E181,Roadmap!$D:$D,0)+COUNTIF($E181:Y181,"u")+COUNTIF($E181:Y181,"t")+COUNTIF($E181:Y181,"¶")+COUNTIF($E181:Y181,"²")+COUNTIF($E181:Y181,"µ")+COUNTIF($E181:Y181,1),ColLivraison)=Z$6,
  VLOOKUP($E181,INDIRECT("tri!"&amp; CHAR(64+ C0Col) &amp;":"&amp; CHAR(65+C0Col)),2,FALSE)&gt;COUNTIF($E181:Y181,"u")+COUNTIF($E181:Y181,"t")+COUNTIF($E181:Y181,"¶")+COUNTIF($E181:Y181,"²")+COUNTIF($E181:Y181,"µ")+COUNTIF($E181:Y181,1)),
HYPERLINK("#Roadmap!C"&amp; MATCH($E181,Roadmap!$D:$D,0)+COUNTIF($E181:Y181,"u")+COUNTIF($E181:Y181,"t"),
     INDEX(Roadmap!$D:$K,MATCH($E181,Roadmap!$D:$D,0)+COUNTIF($E181:Y181,"u")+COUNTIF($E181:Y181,"t")+COUNTIF($E181:Y181,"¶")+COUNTIF($E181:Y181,"²")+COUNTIF($E181:Y181,"µ")+COUNTIF($E181:Y181,1),ColTypeEcheance)),
  IF(LEN(Y181)=1,
  IF(LEN(INDEX(Roadmap!$D:$K,MATCH($E181,Roadmap!$D:$D,0)-1+COUNTIF($E181:Y181,"u")+COUNTIF($E181:Y181,"t")+COUNTIF($E181:Y181,"¶")+COUNTIF($E181:Y181,"²")+COUNTIF($E181:Y181,"µ")+COUNTIF($E181:Y181,1),ColDescriptionCourte))&gt;1,
HYPERLINK("#Roadmap!C"&amp; MATCH($E181,Roadmap!$D:$D,0)+COUNTIF($E181:Y181,"u")+COUNTIF($E181:Y181,"t")+COUNTIF($E181:Y181,"¶")+COUNTIF($E181:Y181,"²")+COUNTIF($E181:Y181,"µ")+COUNTIF($E181:Y181,1)-1,INDEX(Roadmap!$D:$K,MATCH($E181,Roadmap!$D:$D,0)-1+COUNTIF($E181:Y181,"u")+COUNTIF($E181:Y181,"t")+COUNTIF($E181:Y181,"¶")+COUNTIF($E181:Y181,"²")+COUNTIF($E181:Y181,"µ")+COUNTIF($E181:Y181,1),ColDescriptionCourte)),""),
  "")),"")</f>
        <v/>
      </c>
      <c r="AA181" s="40" t="str">
        <f ca="1">IFERROR(IF(AND(
  INDEX(Roadmap!$D:$K,MATCH($E181,Roadmap!$D:$D,0)+COUNTIF($E181:Z181,"u")+COUNTIF($E181:Z181,"t")+COUNTIF($E181:Z181,"¶")+COUNTIF($E181:Z181,"²")+COUNTIF($E181:Z181,"µ")+COUNTIF($E181:Z181,1),ColLivraison)=AA$6,
  VLOOKUP($E181,INDIRECT("tri!"&amp; CHAR(64+ C0Col) &amp;":"&amp; CHAR(65+C0Col)),2,FALSE)&gt;COUNTIF($E181:Z181,"u")+COUNTIF($E181:Z181,"t")+COUNTIF($E181:Z181,"¶")+COUNTIF($E181:Z181,"²")+COUNTIF($E181:Z181,"µ")+COUNTIF($E181:Z181,1)),
HYPERLINK("#Roadmap!C"&amp; MATCH($E181,Roadmap!$D:$D,0)+COUNTIF($E181:Z181,"u")+COUNTIF($E181:Z181,"t"),
     INDEX(Roadmap!$D:$K,MATCH($E181,Roadmap!$D:$D,0)+COUNTIF($E181:Z181,"u")+COUNTIF($E181:Z181,"t")+COUNTIF($E181:Z181,"¶")+COUNTIF($E181:Z181,"²")+COUNTIF($E181:Z181,"µ")+COUNTIF($E181:Z181,1),ColTypeEcheance)),
  IF(LEN(Z181)=1,
  IF(LEN(INDEX(Roadmap!$D:$K,MATCH($E181,Roadmap!$D:$D,0)-1+COUNTIF($E181:Z181,"u")+COUNTIF($E181:Z181,"t")+COUNTIF($E181:Z181,"¶")+COUNTIF($E181:Z181,"²")+COUNTIF($E181:Z181,"µ")+COUNTIF($E181:Z181,1),ColDescriptionCourte))&gt;1,
HYPERLINK("#Roadmap!C"&amp; MATCH($E181,Roadmap!$D:$D,0)+COUNTIF($E181:Z181,"u")+COUNTIF($E181:Z181,"t")+COUNTIF($E181:Z181,"¶")+COUNTIF($E181:Z181,"²")+COUNTIF($E181:Z181,"µ")+COUNTIF($E181:Z181,1)-1,INDEX(Roadmap!$D:$K,MATCH($E181,Roadmap!$D:$D,0)-1+COUNTIF($E181:Z181,"u")+COUNTIF($E181:Z181,"t")+COUNTIF($E181:Z181,"¶")+COUNTIF($E181:Z181,"²")+COUNTIF($E181:Z181,"µ")+COUNTIF($E181:Z181,1),ColDescriptionCourte)),""),
  "")),"")</f>
        <v/>
      </c>
      <c r="AB181" s="40" t="str">
        <f ca="1">IFERROR(IF(AND(
  INDEX(Roadmap!$D:$K,MATCH($E181,Roadmap!$D:$D,0)+COUNTIF($E181:AA181,"u")+COUNTIF($E181:AA181,"t")+COUNTIF($E181:AA181,"¶")+COUNTIF($E181:AA181,"²")+COUNTIF($E181:AA181,"µ")+COUNTIF($E181:AA181,1),ColLivraison)=AB$6,
  VLOOKUP($E181,INDIRECT("tri!"&amp; CHAR(64+ C0Col) &amp;":"&amp; CHAR(65+C0Col)),2,FALSE)&gt;COUNTIF($E181:AA181,"u")+COUNTIF($E181:AA181,"t")+COUNTIF($E181:AA181,"¶")+COUNTIF($E181:AA181,"²")+COUNTIF($E181:AA181,"µ")+COUNTIF($E181:AA181,1)),
HYPERLINK("#Roadmap!C"&amp; MATCH($E181,Roadmap!$D:$D,0)+COUNTIF($E181:AA181,"u")+COUNTIF($E181:AA181,"t"),
     INDEX(Roadmap!$D:$K,MATCH($E181,Roadmap!$D:$D,0)+COUNTIF($E181:AA181,"u")+COUNTIF($E181:AA181,"t")+COUNTIF($E181:AA181,"¶")+COUNTIF($E181:AA181,"²")+COUNTIF($E181:AA181,"µ")+COUNTIF($E181:AA181,1),ColTypeEcheance)),
  IF(LEN(AA181)=1,
  IF(LEN(INDEX(Roadmap!$D:$K,MATCH($E181,Roadmap!$D:$D,0)-1+COUNTIF($E181:AA181,"u")+COUNTIF($E181:AA181,"t")+COUNTIF($E181:AA181,"¶")+COUNTIF($E181:AA181,"²")+COUNTIF($E181:AA181,"µ")+COUNTIF($E181:AA181,1),ColDescriptionCourte))&gt;1,
HYPERLINK("#Roadmap!C"&amp; MATCH($E181,Roadmap!$D:$D,0)+COUNTIF($E181:AA181,"u")+COUNTIF($E181:AA181,"t")+COUNTIF($E181:AA181,"¶")+COUNTIF($E181:AA181,"²")+COUNTIF($E181:AA181,"µ")+COUNTIF($E181:AA181,1)-1,INDEX(Roadmap!$D:$K,MATCH($E181,Roadmap!$D:$D,0)-1+COUNTIF($E181:AA181,"u")+COUNTIF($E181:AA181,"t")+COUNTIF($E181:AA181,"¶")+COUNTIF($E181:AA181,"²")+COUNTIF($E181:AA181,"µ")+COUNTIF($E181:AA181,1),ColDescriptionCourte)),""),
  "")),"")</f>
        <v/>
      </c>
      <c r="AC181" s="40" t="str">
        <f ca="1">IFERROR(IF(AND(
  INDEX(Roadmap!$D:$K,MATCH($E181,Roadmap!$D:$D,0)+COUNTIF($E181:AB181,"u")+COUNTIF($E181:AB181,"t")+COUNTIF($E181:AB181,"¶")+COUNTIF($E181:AB181,"²")+COUNTIF($E181:AB181,"µ")+COUNTIF($E181:AB181,1),ColLivraison)=AC$6,
  VLOOKUP($E181,INDIRECT("tri!"&amp; CHAR(64+ C0Col) &amp;":"&amp; CHAR(65+C0Col)),2,FALSE)&gt;COUNTIF($E181:AB181,"u")+COUNTIF($E181:AB181,"t")+COUNTIF($E181:AB181,"¶")+COUNTIF($E181:AB181,"²")+COUNTIF($E181:AB181,"µ")+COUNTIF($E181:AB181,1)),
HYPERLINK("#Roadmap!C"&amp; MATCH($E181,Roadmap!$D:$D,0)+COUNTIF($E181:AB181,"u")+COUNTIF($E181:AB181,"t"),
     INDEX(Roadmap!$D:$K,MATCH($E181,Roadmap!$D:$D,0)+COUNTIF($E181:AB181,"u")+COUNTIF($E181:AB181,"t")+COUNTIF($E181:AB181,"¶")+COUNTIF($E181:AB181,"²")+COUNTIF($E181:AB181,"µ")+COUNTIF($E181:AB181,1),ColTypeEcheance)),
  IF(LEN(AB181)=1,
  IF(LEN(INDEX(Roadmap!$D:$K,MATCH($E181,Roadmap!$D:$D,0)-1+COUNTIF($E181:AB181,"u")+COUNTIF($E181:AB181,"t")+COUNTIF($E181:AB181,"¶")+COUNTIF($E181:AB181,"²")+COUNTIF($E181:AB181,"µ")+COUNTIF($E181:AB181,1),ColDescriptionCourte))&gt;1,
HYPERLINK("#Roadmap!C"&amp; MATCH($E181,Roadmap!$D:$D,0)+COUNTIF($E181:AB181,"u")+COUNTIF($E181:AB181,"t")+COUNTIF($E181:AB181,"¶")+COUNTIF($E181:AB181,"²")+COUNTIF($E181:AB181,"µ")+COUNTIF($E181:AB181,1)-1,INDEX(Roadmap!$D:$K,MATCH($E181,Roadmap!$D:$D,0)-1+COUNTIF($E181:AB181,"u")+COUNTIF($E181:AB181,"t")+COUNTIF($E181:AB181,"¶")+COUNTIF($E181:AB181,"²")+COUNTIF($E181:AB181,"µ")+COUNTIF($E181:AB181,1),ColDescriptionCourte)),""),
  "")),"")</f>
        <v/>
      </c>
      <c r="AD181" s="40" t="str">
        <f ca="1">IFERROR(IF(AND(
  INDEX(Roadmap!$D:$K,MATCH($E181,Roadmap!$D:$D,0)+COUNTIF($E181:AC181,"u")+COUNTIF($E181:AC181,"t")+COUNTIF($E181:AC181,"¶")+COUNTIF($E181:AC181,"²")+COUNTIF($E181:AC181,"µ")+COUNTIF($E181:AC181,1),ColLivraison)=AD$6,
  VLOOKUP($E181,INDIRECT("tri!"&amp; CHAR(64+ C0Col) &amp;":"&amp; CHAR(65+C0Col)),2,FALSE)&gt;COUNTIF($E181:AC181,"u")+COUNTIF($E181:AC181,"t")+COUNTIF($E181:AC181,"¶")+COUNTIF($E181:AC181,"²")+COUNTIF($E181:AC181,"µ")+COUNTIF($E181:AC181,1)),
HYPERLINK("#Roadmap!C"&amp; MATCH($E181,Roadmap!$D:$D,0)+COUNTIF($E181:AC181,"u")+COUNTIF($E181:AC181,"t"),
     INDEX(Roadmap!$D:$K,MATCH($E181,Roadmap!$D:$D,0)+COUNTIF($E181:AC181,"u")+COUNTIF($E181:AC181,"t")+COUNTIF($E181:AC181,"¶")+COUNTIF($E181:AC181,"²")+COUNTIF($E181:AC181,"µ")+COUNTIF($E181:AC181,1),ColTypeEcheance)),
  IF(LEN(AC181)=1,
  IF(LEN(INDEX(Roadmap!$D:$K,MATCH($E181,Roadmap!$D:$D,0)-1+COUNTIF($E181:AC181,"u")+COUNTIF($E181:AC181,"t")+COUNTIF($E181:AC181,"¶")+COUNTIF($E181:AC181,"²")+COUNTIF($E181:AC181,"µ")+COUNTIF($E181:AC181,1),ColDescriptionCourte))&gt;1,
HYPERLINK("#Roadmap!C"&amp; MATCH($E181,Roadmap!$D:$D,0)+COUNTIF($E181:AC181,"u")+COUNTIF($E181:AC181,"t")+COUNTIF($E181:AC181,"¶")+COUNTIF($E181:AC181,"²")+COUNTIF($E181:AC181,"µ")+COUNTIF($E181:AC181,1)-1,INDEX(Roadmap!$D:$K,MATCH($E181,Roadmap!$D:$D,0)-1+COUNTIF($E181:AC181,"u")+COUNTIF($E181:AC181,"t")+COUNTIF($E181:AC181,"¶")+COUNTIF($E181:AC181,"²")+COUNTIF($E181:AC181,"µ")+COUNTIF($E181:AC181,1),ColDescriptionCourte)),""),
  "")),"")</f>
        <v/>
      </c>
      <c r="AE181" s="40" t="str">
        <f ca="1">IFERROR(IF(AND(
  INDEX(Roadmap!$D:$K,MATCH($E181,Roadmap!$D:$D,0)+COUNTIF($E181:AD181,"u")+COUNTIF($E181:AD181,"t")+COUNTIF($E181:AD181,"¶")+COUNTIF($E181:AD181,"²")+COUNTIF($E181:AD181,"µ")+COUNTIF($E181:AD181,1),ColLivraison)=AE$6,
  VLOOKUP($E181,INDIRECT("tri!"&amp; CHAR(64+ C0Col) &amp;":"&amp; CHAR(65+C0Col)),2,FALSE)&gt;COUNTIF($E181:AD181,"u")+COUNTIF($E181:AD181,"t")+COUNTIF($E181:AD181,"¶")+COUNTIF($E181:AD181,"²")+COUNTIF($E181:AD181,"µ")+COUNTIF($E181:AD181,1)),
HYPERLINK("#Roadmap!C"&amp; MATCH($E181,Roadmap!$D:$D,0)+COUNTIF($E181:AD181,"u")+COUNTIF($E181:AD181,"t"),
     INDEX(Roadmap!$D:$K,MATCH($E181,Roadmap!$D:$D,0)+COUNTIF($E181:AD181,"u")+COUNTIF($E181:AD181,"t")+COUNTIF($E181:AD181,"¶")+COUNTIF($E181:AD181,"²")+COUNTIF($E181:AD181,"µ")+COUNTIF($E181:AD181,1),ColTypeEcheance)),
  IF(LEN(AD181)=1,
  IF(LEN(INDEX(Roadmap!$D:$K,MATCH($E181,Roadmap!$D:$D,0)-1+COUNTIF($E181:AD181,"u")+COUNTIF($E181:AD181,"t")+COUNTIF($E181:AD181,"¶")+COUNTIF($E181:AD181,"²")+COUNTIF($E181:AD181,"µ")+COUNTIF($E181:AD181,1),ColDescriptionCourte))&gt;1,
HYPERLINK("#Roadmap!C"&amp; MATCH($E181,Roadmap!$D:$D,0)+COUNTIF($E181:AD181,"u")+COUNTIF($E181:AD181,"t")+COUNTIF($E181:AD181,"¶")+COUNTIF($E181:AD181,"²")+COUNTIF($E181:AD181,"µ")+COUNTIF($E181:AD181,1)-1,INDEX(Roadmap!$D:$K,MATCH($E181,Roadmap!$D:$D,0)-1+COUNTIF($E181:AD181,"u")+COUNTIF($E181:AD181,"t")+COUNTIF($E181:AD181,"¶")+COUNTIF($E181:AD181,"²")+COUNTIF($E181:AD181,"µ")+COUNTIF($E181:AD181,1),ColDescriptionCourte)),""),
  "")),"")</f>
        <v/>
      </c>
      <c r="AF181" s="40" t="str">
        <f ca="1">IFERROR(IF(AND(
  INDEX(Roadmap!$D:$K,MATCH($E181,Roadmap!$D:$D,0)+COUNTIF($E181:AE181,"u")+COUNTIF($E181:AE181,"t")+COUNTIF($E181:AE181,"¶")+COUNTIF($E181:AE181,"²")+COUNTIF($E181:AE181,"µ")+COUNTIF($E181:AE181,1),ColLivraison)=AF$6,
  VLOOKUP($E181,INDIRECT("tri!"&amp; CHAR(64+ C0Col) &amp;":"&amp; CHAR(65+C0Col)),2,FALSE)&gt;COUNTIF($E181:AE181,"u")+COUNTIF($E181:AE181,"t")+COUNTIF($E181:AE181,"¶")+COUNTIF($E181:AE181,"²")+COUNTIF($E181:AE181,"µ")+COUNTIF($E181:AE181,1)),
HYPERLINK("#Roadmap!C"&amp; MATCH($E181,Roadmap!$D:$D,0)+COUNTIF($E181:AE181,"u")+COUNTIF($E181:AE181,"t"),
     INDEX(Roadmap!$D:$K,MATCH($E181,Roadmap!$D:$D,0)+COUNTIF($E181:AE181,"u")+COUNTIF($E181:AE181,"t")+COUNTIF($E181:AE181,"¶")+COUNTIF($E181:AE181,"²")+COUNTIF($E181:AE181,"µ")+COUNTIF($E181:AE181,1),ColTypeEcheance)),
  IF(LEN(AE181)=1,
  IF(LEN(INDEX(Roadmap!$D:$K,MATCH($E181,Roadmap!$D:$D,0)-1+COUNTIF($E181:AE181,"u")+COUNTIF($E181:AE181,"t")+COUNTIF($E181:AE181,"¶")+COUNTIF($E181:AE181,"²")+COUNTIF($E181:AE181,"µ")+COUNTIF($E181:AE181,1),ColDescriptionCourte))&gt;1,
HYPERLINK("#Roadmap!C"&amp; MATCH($E181,Roadmap!$D:$D,0)+COUNTIF($E181:AE181,"u")+COUNTIF($E181:AE181,"t")+COUNTIF($E181:AE181,"¶")+COUNTIF($E181:AE181,"²")+COUNTIF($E181:AE181,"µ")+COUNTIF($E181:AE181,1)-1,INDEX(Roadmap!$D:$K,MATCH($E181,Roadmap!$D:$D,0)-1+COUNTIF($E181:AE181,"u")+COUNTIF($E181:AE181,"t")+COUNTIF($E181:AE181,"¶")+COUNTIF($E181:AE181,"²")+COUNTIF($E181:AE181,"µ")+COUNTIF($E181:AE181,1),ColDescriptionCourte)),""),
  "")),"")</f>
        <v/>
      </c>
      <c r="AG181" s="40" t="str">
        <f ca="1">IFERROR(IF(AND(
  INDEX(Roadmap!$D:$K,MATCH($E181,Roadmap!$D:$D,0)+COUNTIF($E181:AF181,"u")+COUNTIF($E181:AF181,"t")+COUNTIF($E181:AF181,"¶")+COUNTIF($E181:AF181,"²")+COUNTIF($E181:AF181,"µ")+COUNTIF($E181:AF181,1),ColLivraison)=AG$6,
  VLOOKUP($E181,INDIRECT("tri!"&amp; CHAR(64+ C0Col) &amp;":"&amp; CHAR(65+C0Col)),2,FALSE)&gt;COUNTIF($E181:AF181,"u")+COUNTIF($E181:AF181,"t")+COUNTIF($E181:AF181,"¶")+COUNTIF($E181:AF181,"²")+COUNTIF($E181:AF181,"µ")+COUNTIF($E181:AF181,1)),
HYPERLINK("#Roadmap!C"&amp; MATCH($E181,Roadmap!$D:$D,0)+COUNTIF($E181:AF181,"u")+COUNTIF($E181:AF181,"t"),
     INDEX(Roadmap!$D:$K,MATCH($E181,Roadmap!$D:$D,0)+COUNTIF($E181:AF181,"u")+COUNTIF($E181:AF181,"t")+COUNTIF($E181:AF181,"¶")+COUNTIF($E181:AF181,"²")+COUNTIF($E181:AF181,"µ")+COUNTIF($E181:AF181,1),ColTypeEcheance)),
  IF(LEN(AF181)=1,
  IF(LEN(INDEX(Roadmap!$D:$K,MATCH($E181,Roadmap!$D:$D,0)-1+COUNTIF($E181:AF181,"u")+COUNTIF($E181:AF181,"t")+COUNTIF($E181:AF181,"¶")+COUNTIF($E181:AF181,"²")+COUNTIF($E181:AF181,"µ")+COUNTIF($E181:AF181,1),ColDescriptionCourte))&gt;1,
HYPERLINK("#Roadmap!C"&amp; MATCH($E181,Roadmap!$D:$D,0)+COUNTIF($E181:AF181,"u")+COUNTIF($E181:AF181,"t")+COUNTIF($E181:AF181,"¶")+COUNTIF($E181:AF181,"²")+COUNTIF($E181:AF181,"µ")+COUNTIF($E181:AF181,1)-1,INDEX(Roadmap!$D:$K,MATCH($E181,Roadmap!$D:$D,0)-1+COUNTIF($E181:AF181,"u")+COUNTIF($E181:AF181,"t")+COUNTIF($E181:AF181,"¶")+COUNTIF($E181:AF181,"²")+COUNTIF($E181:AF181,"µ")+COUNTIF($E181:AF181,1),ColDescriptionCourte)),""),
  "")),"")</f>
        <v/>
      </c>
    </row>
    <row r="182" spans="3:33" ht="14.25" customHeight="1">
      <c r="C182" s="1" t="str">
        <f t="shared" ca="1" si="54"/>
        <v/>
      </c>
      <c r="D182" s="1" t="str">
        <f t="shared" ca="1" si="55"/>
        <v/>
      </c>
      <c r="E182" s="35" t="str">
        <f t="shared" ca="1" si="51"/>
        <v/>
      </c>
      <c r="F182" s="39" t="str">
        <f ca="1">IFERROR(IF(AND(
  INDEX(Roadmap!$D:$K,MATCH($E182,Roadmap!$D:$D,0)+COUNTIF($E182:E182,"u")+COUNTIF($E182:E182,"t")+COUNTIF($E182:E182,"¶")+COUNTIF($E182:E182,"²")+COUNTIF($E182:E182,"µ")+COUNTIF($E182:E182,1),ColLivraison)=F$6,
  VLOOKUP($E182,INDIRECT("tri!"&amp; CHAR(64+ C0Col) &amp;":"&amp; CHAR(65+C0Col)),2,FALSE)&gt;COUNTIF($E182:E182,"u")+COUNTIF($E182:E182,"t")+COUNTIF($E182:E182,"¶")+COUNTIF($E182:E182,"²")+COUNTIF($E182:E182,"µ")+COUNTIF($E182:E182,1)),
HYPERLINK("#Roadmap!C"&amp; MATCH($E182,Roadmap!$D:$D,0)+COUNTIF($E182:E182,"u")+COUNTIF($E182:E182,"t"),
     INDEX(Roadmap!$D:$K,MATCH($E182,Roadmap!$D:$D,0)+COUNTIF($E182:E182,"u")+COUNTIF($E182:E182,"t")+COUNTIF($E182:E182,"¶")+COUNTIF($E182:E182,"²")+COUNTIF($E182:E182,"µ")+COUNTIF($E182:E182,1),ColTypeEcheance)),
  IF(LEN(E182)=1,
  IF(LEN(INDEX(Roadmap!$D:$K,MATCH($E182,Roadmap!$D:$D,0)-1+COUNTIF($E182:E182,"u")+COUNTIF($E182:E182,"t")+COUNTIF($E182:E182,"¶")+COUNTIF($E182:E182,"²")+COUNTIF($E182:E182,"µ")+COUNTIF($E182:E182,1),ColDescriptionCourte))&gt;1,
HYPERLINK("#Roadmap!C"&amp; MATCH($E182,Roadmap!$D:$D,0)+COUNTIF($E182:E182,"u")+COUNTIF($E182:E182,"t")+COUNTIF($E182:E182,"¶")+COUNTIF($E182:E182,"²")+COUNTIF($E182:E182,"µ")+COUNTIF($E182:E182,1)-1,INDEX(Roadmap!$D:$K,MATCH($E182,Roadmap!$D:$D,0)-1+COUNTIF($E182:E182,"u")+COUNTIF($E182:E182,"t")+COUNTIF($E182:E182,"¶")+COUNTIF($E182:E182,"²")+COUNTIF($E182:E182,"µ")+COUNTIF($E182:E182,1),ColDescriptionCourte)),""),
  "")),"")</f>
        <v/>
      </c>
      <c r="G182" s="40" t="str">
        <f ca="1">IFERROR(IF(AND(
  INDEX(Roadmap!$D:$K,MATCH($E182,Roadmap!$D:$D,0)+COUNTIF($E182:F182,"u")+COUNTIF($E182:F182,"t")+COUNTIF($E182:F182,"¶")+COUNTIF($E182:F182,"²")+COUNTIF($E182:F182,"µ")+COUNTIF($E182:F182,1),ColLivraison)=G$6,
  VLOOKUP($E182,INDIRECT("tri!"&amp; CHAR(64+ C0Col) &amp;":"&amp; CHAR(65+C0Col)),2,FALSE)&gt;COUNTIF($E182:F182,"u")+COUNTIF($E182:F182,"t")+COUNTIF($E182:F182,"¶")+COUNTIF($E182:F182,"²")+COUNTIF($E182:F182,"µ")+COUNTIF($E182:F182,1)),
HYPERLINK("#Roadmap!C"&amp; MATCH($E182,Roadmap!$D:$D,0)+COUNTIF($E182:F182,"u")+COUNTIF($E182:F182,"t"),
     INDEX(Roadmap!$D:$K,MATCH($E182,Roadmap!$D:$D,0)+COUNTIF($E182:F182,"u")+COUNTIF($E182:F182,"t")+COUNTIF($E182:F182,"¶")+COUNTIF($E182:F182,"²")+COUNTIF($E182:F182,"µ")+COUNTIF($E182:F182,1),ColTypeEcheance)),
  IF(LEN(F182)=1,
  IF(LEN(INDEX(Roadmap!$D:$K,MATCH($E182,Roadmap!$D:$D,0)-1+COUNTIF($E182:F182,"u")+COUNTIF($E182:F182,"t")+COUNTIF($E182:F182,"¶")+COUNTIF($E182:F182,"²")+COUNTIF($E182:F182,"µ")+COUNTIF($E182:F182,1),ColDescriptionCourte))&gt;1,
HYPERLINK("#Roadmap!C"&amp; MATCH($E182,Roadmap!$D:$D,0)+COUNTIF($E182:F182,"u")+COUNTIF($E182:F182,"t")+COUNTIF($E182:F182,"¶")+COUNTIF($E182:F182,"²")+COUNTIF($E182:F182,"µ")+COUNTIF($E182:F182,1)-1,INDEX(Roadmap!$D:$K,MATCH($E182,Roadmap!$D:$D,0)-1+COUNTIF($E182:F182,"u")+COUNTIF($E182:F182,"t")+COUNTIF($E182:F182,"¶")+COUNTIF($E182:F182,"²")+COUNTIF($E182:F182,"µ")+COUNTIF($E182:F182,1),ColDescriptionCourte)),""),
  "")),"")</f>
        <v/>
      </c>
      <c r="H182" s="40" t="str">
        <f ca="1">IFERROR(IF(AND(
  INDEX(Roadmap!$D:$K,MATCH($E182,Roadmap!$D:$D,0)+COUNTIF($E182:G182,"u")+COUNTIF($E182:G182,"t")+COUNTIF($E182:G182,"¶")+COUNTIF($E182:G182,"²")+COUNTIF($E182:G182,"µ")+COUNTIF($E182:G182,1),ColLivraison)=H$6,
  VLOOKUP($E182,INDIRECT("tri!"&amp; CHAR(64+ C0Col) &amp;":"&amp; CHAR(65+C0Col)),2,FALSE)&gt;COUNTIF($E182:G182,"u")+COUNTIF($E182:G182,"t")+COUNTIF($E182:G182,"¶")+COUNTIF($E182:G182,"²")+COUNTIF($E182:G182,"µ")+COUNTIF($E182:G182,1)),
HYPERLINK("#Roadmap!C"&amp; MATCH($E182,Roadmap!$D:$D,0)+COUNTIF($E182:G182,"u")+COUNTIF($E182:G182,"t"),
     INDEX(Roadmap!$D:$K,MATCH($E182,Roadmap!$D:$D,0)+COUNTIF($E182:G182,"u")+COUNTIF($E182:G182,"t")+COUNTIF($E182:G182,"¶")+COUNTIF($E182:G182,"²")+COUNTIF($E182:G182,"µ")+COUNTIF($E182:G182,1),ColTypeEcheance)),
  IF(LEN(G182)=1,
  IF(LEN(INDEX(Roadmap!$D:$K,MATCH($E182,Roadmap!$D:$D,0)-1+COUNTIF($E182:G182,"u")+COUNTIF($E182:G182,"t")+COUNTIF($E182:G182,"¶")+COUNTIF($E182:G182,"²")+COUNTIF($E182:G182,"µ")+COUNTIF($E182:G182,1),ColDescriptionCourte))&gt;1,
HYPERLINK("#Roadmap!C"&amp; MATCH($E182,Roadmap!$D:$D,0)+COUNTIF($E182:G182,"u")+COUNTIF($E182:G182,"t")+COUNTIF($E182:G182,"¶")+COUNTIF($E182:G182,"²")+COUNTIF($E182:G182,"µ")+COUNTIF($E182:G182,1)-1,INDEX(Roadmap!$D:$K,MATCH($E182,Roadmap!$D:$D,0)-1+COUNTIF($E182:G182,"u")+COUNTIF($E182:G182,"t")+COUNTIF($E182:G182,"¶")+COUNTIF($E182:G182,"²")+COUNTIF($E182:G182,"µ")+COUNTIF($E182:G182,1),ColDescriptionCourte)),""),
  "")),"")</f>
        <v/>
      </c>
      <c r="I182" s="40" t="str">
        <f ca="1">IFERROR(IF(AND(
  INDEX(Roadmap!$D:$K,MATCH($E182,Roadmap!$D:$D,0)+COUNTIF($E182:H182,"u")+COUNTIF($E182:H182,"t")+COUNTIF($E182:H182,"¶")+COUNTIF($E182:H182,"²")+COUNTIF($E182:H182,"µ")+COUNTIF($E182:H182,1),ColLivraison)=I$6,
  VLOOKUP($E182,INDIRECT("tri!"&amp; CHAR(64+ C0Col) &amp;":"&amp; CHAR(65+C0Col)),2,FALSE)&gt;COUNTIF($E182:H182,"u")+COUNTIF($E182:H182,"t")+COUNTIF($E182:H182,"¶")+COUNTIF($E182:H182,"²")+COUNTIF($E182:H182,"µ")+COUNTIF($E182:H182,1)),
HYPERLINK("#Roadmap!C"&amp; MATCH($E182,Roadmap!$D:$D,0)+COUNTIF($E182:H182,"u")+COUNTIF($E182:H182,"t"),
     INDEX(Roadmap!$D:$K,MATCH($E182,Roadmap!$D:$D,0)+COUNTIF($E182:H182,"u")+COUNTIF($E182:H182,"t")+COUNTIF($E182:H182,"¶")+COUNTIF($E182:H182,"²")+COUNTIF($E182:H182,"µ")+COUNTIF($E182:H182,1),ColTypeEcheance)),
  IF(LEN(H182)=1,
  IF(LEN(INDEX(Roadmap!$D:$K,MATCH($E182,Roadmap!$D:$D,0)-1+COUNTIF($E182:H182,"u")+COUNTIF($E182:H182,"t")+COUNTIF($E182:H182,"¶")+COUNTIF($E182:H182,"²")+COUNTIF($E182:H182,"µ")+COUNTIF($E182:H182,1),ColDescriptionCourte))&gt;1,
HYPERLINK("#Roadmap!C"&amp; MATCH($E182,Roadmap!$D:$D,0)+COUNTIF($E182:H182,"u")+COUNTIF($E182:H182,"t")+COUNTIF($E182:H182,"¶")+COUNTIF($E182:H182,"²")+COUNTIF($E182:H182,"µ")+COUNTIF($E182:H182,1)-1,INDEX(Roadmap!$D:$K,MATCH($E182,Roadmap!$D:$D,0)-1+COUNTIF($E182:H182,"u")+COUNTIF($E182:H182,"t")+COUNTIF($E182:H182,"¶")+COUNTIF($E182:H182,"²")+COUNTIF($E182:H182,"µ")+COUNTIF($E182:H182,1),ColDescriptionCourte)),""),
  "")),"")</f>
        <v/>
      </c>
      <c r="J182" s="40" t="str">
        <f ca="1">IFERROR(IF(AND(
  INDEX(Roadmap!$D:$K,MATCH($E182,Roadmap!$D:$D,0)+COUNTIF($E182:I182,"u")+COUNTIF($E182:I182,"t")+COUNTIF($E182:I182,"¶")+COUNTIF($E182:I182,"²")+COUNTIF($E182:I182,"µ")+COUNTIF($E182:I182,1),ColLivraison)=J$6,
  VLOOKUP($E182,INDIRECT("tri!"&amp; CHAR(64+ C0Col) &amp;":"&amp; CHAR(65+C0Col)),2,FALSE)&gt;COUNTIF($E182:I182,"u")+COUNTIF($E182:I182,"t")+COUNTIF($E182:I182,"¶")+COUNTIF($E182:I182,"²")+COUNTIF($E182:I182,"µ")+COUNTIF($E182:I182,1)),
HYPERLINK("#Roadmap!C"&amp; MATCH($E182,Roadmap!$D:$D,0)+COUNTIF($E182:I182,"u")+COUNTIF($E182:I182,"t"),
     INDEX(Roadmap!$D:$K,MATCH($E182,Roadmap!$D:$D,0)+COUNTIF($E182:I182,"u")+COUNTIF($E182:I182,"t")+COUNTIF($E182:I182,"¶")+COUNTIF($E182:I182,"²")+COUNTIF($E182:I182,"µ")+COUNTIF($E182:I182,1),ColTypeEcheance)),
  IF(LEN(I182)=1,
  IF(LEN(INDEX(Roadmap!$D:$K,MATCH($E182,Roadmap!$D:$D,0)-1+COUNTIF($E182:I182,"u")+COUNTIF($E182:I182,"t")+COUNTIF($E182:I182,"¶")+COUNTIF($E182:I182,"²")+COUNTIF($E182:I182,"µ")+COUNTIF($E182:I182,1),ColDescriptionCourte))&gt;1,
HYPERLINK("#Roadmap!C"&amp; MATCH($E182,Roadmap!$D:$D,0)+COUNTIF($E182:I182,"u")+COUNTIF($E182:I182,"t")+COUNTIF($E182:I182,"¶")+COUNTIF($E182:I182,"²")+COUNTIF($E182:I182,"µ")+COUNTIF($E182:I182,1)-1,INDEX(Roadmap!$D:$K,MATCH($E182,Roadmap!$D:$D,0)-1+COUNTIF($E182:I182,"u")+COUNTIF($E182:I182,"t")+COUNTIF($E182:I182,"¶")+COUNTIF($E182:I182,"²")+COUNTIF($E182:I182,"µ")+COUNTIF($E182:I182,1),ColDescriptionCourte)),""),
  "")),"")</f>
        <v/>
      </c>
      <c r="K182" s="40" t="str">
        <f ca="1">IFERROR(IF(AND(
  INDEX(Roadmap!$D:$K,MATCH($E182,Roadmap!$D:$D,0)+COUNTIF($E182:J182,"u")+COUNTIF($E182:J182,"t")+COUNTIF($E182:J182,"¶")+COUNTIF($E182:J182,"²")+COUNTIF($E182:J182,"µ")+COUNTIF($E182:J182,1),ColLivraison)=K$6,
  VLOOKUP($E182,INDIRECT("tri!"&amp; CHAR(64+ C0Col) &amp;":"&amp; CHAR(65+C0Col)),2,FALSE)&gt;COUNTIF($E182:J182,"u")+COUNTIF($E182:J182,"t")+COUNTIF($E182:J182,"¶")+COUNTIF($E182:J182,"²")+COUNTIF($E182:J182,"µ")+COUNTIF($E182:J182,1)),
HYPERLINK("#Roadmap!C"&amp; MATCH($E182,Roadmap!$D:$D,0)+COUNTIF($E182:J182,"u")+COUNTIF($E182:J182,"t"),
     INDEX(Roadmap!$D:$K,MATCH($E182,Roadmap!$D:$D,0)+COUNTIF($E182:J182,"u")+COUNTIF($E182:J182,"t")+COUNTIF($E182:J182,"¶")+COUNTIF($E182:J182,"²")+COUNTIF($E182:J182,"µ")+COUNTIF($E182:J182,1),ColTypeEcheance)),
  IF(LEN(J182)=1,
  IF(LEN(INDEX(Roadmap!$D:$K,MATCH($E182,Roadmap!$D:$D,0)-1+COUNTIF($E182:J182,"u")+COUNTIF($E182:J182,"t")+COUNTIF($E182:J182,"¶")+COUNTIF($E182:J182,"²")+COUNTIF($E182:J182,"µ")+COUNTIF($E182:J182,1),ColDescriptionCourte))&gt;1,
HYPERLINK("#Roadmap!C"&amp; MATCH($E182,Roadmap!$D:$D,0)+COUNTIF($E182:J182,"u")+COUNTIF($E182:J182,"t")+COUNTIF($E182:J182,"¶")+COUNTIF($E182:J182,"²")+COUNTIF($E182:J182,"µ")+COUNTIF($E182:J182,1)-1,INDEX(Roadmap!$D:$K,MATCH($E182,Roadmap!$D:$D,0)-1+COUNTIF($E182:J182,"u")+COUNTIF($E182:J182,"t")+COUNTIF($E182:J182,"¶")+COUNTIF($E182:J182,"²")+COUNTIF($E182:J182,"µ")+COUNTIF($E182:J182,1),ColDescriptionCourte)),""),
  "")),"")</f>
        <v/>
      </c>
      <c r="L182" s="39" t="str">
        <f ca="1">IFERROR(IF(AND(
  INDEX(Roadmap!$D:$K,MATCH($E182,Roadmap!$D:$D,0)+COUNTIF($E182:K182,"u")+COUNTIF($E182:K182,"t")+COUNTIF($E182:K182,"¶")+COUNTIF($E182:K182,"²")+COUNTIF($E182:K182,"µ")+COUNTIF($E182:K182,1),ColLivraison)=L$6,
  VLOOKUP($E182,INDIRECT("tri!"&amp; CHAR(64+ C0Col) &amp;":"&amp; CHAR(65+C0Col)),2,FALSE)&gt;COUNTIF($E182:K182,"u")+COUNTIF($E182:K182,"t")+COUNTIF($E182:K182,"¶")+COUNTIF($E182:K182,"²")+COUNTIF($E182:K182,"µ")+COUNTIF($E182:K182,1)),
HYPERLINK("#Roadmap!C"&amp; MATCH($E182,Roadmap!$D:$D,0)+COUNTIF($E182:K182,"u")+COUNTIF($E182:K182,"t"),
     INDEX(Roadmap!$D:$K,MATCH($E182,Roadmap!$D:$D,0)+COUNTIF($E182:K182,"u")+COUNTIF($E182:K182,"t")+COUNTIF($E182:K182,"¶")+COUNTIF($E182:K182,"²")+COUNTIF($E182:K182,"µ")+COUNTIF($E182:K182,1),ColTypeEcheance)),
  IF(LEN(K182)=1,
  IF(LEN(INDEX(Roadmap!$D:$K,MATCH($E182,Roadmap!$D:$D,0)-1+COUNTIF($E182:K182,"u")+COUNTIF($E182:K182,"t")+COUNTIF($E182:K182,"¶")+COUNTIF($E182:K182,"²")+COUNTIF($E182:K182,"µ")+COUNTIF($E182:K182,1),ColDescriptionCourte))&gt;1,
HYPERLINK("#Roadmap!C"&amp; MATCH($E182,Roadmap!$D:$D,0)+COUNTIF($E182:K182,"u")+COUNTIF($E182:K182,"t")+COUNTIF($E182:K182,"¶")+COUNTIF($E182:K182,"²")+COUNTIF($E182:K182,"µ")+COUNTIF($E182:K182,1)-1,INDEX(Roadmap!$D:$K,MATCH($E182,Roadmap!$D:$D,0)-1+COUNTIF($E182:K182,"u")+COUNTIF($E182:K182,"t")+COUNTIF($E182:K182,"¶")+COUNTIF($E182:K182,"²")+COUNTIF($E182:K182,"µ")+COUNTIF($E182:K182,1),ColDescriptionCourte)),""),
  "")),"")</f>
        <v/>
      </c>
      <c r="M182" s="40" t="str">
        <f ca="1">IFERROR(IF(AND(
  INDEX(Roadmap!$D:$K,MATCH($E182,Roadmap!$D:$D,0)+COUNTIF($E182:L182,"u")+COUNTIF($E182:L182,"t")+COUNTIF($E182:L182,"¶")+COUNTIF($E182:L182,"²")+COUNTIF($E182:L182,"µ")+COUNTIF($E182:L182,1),ColLivraison)=M$6,
  VLOOKUP($E182,INDIRECT("tri!"&amp; CHAR(64+ C0Col) &amp;":"&amp; CHAR(65+C0Col)),2,FALSE)&gt;COUNTIF($E182:L182,"u")+COUNTIF($E182:L182,"t")+COUNTIF($E182:L182,"¶")+COUNTIF($E182:L182,"²")+COUNTIF($E182:L182,"µ")+COUNTIF($E182:L182,1)),
HYPERLINK("#Roadmap!C"&amp; MATCH($E182,Roadmap!$D:$D,0)+COUNTIF($E182:L182,"u")+COUNTIF($E182:L182,"t"),
     INDEX(Roadmap!$D:$K,MATCH($E182,Roadmap!$D:$D,0)+COUNTIF($E182:L182,"u")+COUNTIF($E182:L182,"t")+COUNTIF($E182:L182,"¶")+COUNTIF($E182:L182,"²")+COUNTIF($E182:L182,"µ")+COUNTIF($E182:L182,1),ColTypeEcheance)),
  IF(LEN(L182)=1,
  IF(LEN(INDEX(Roadmap!$D:$K,MATCH($E182,Roadmap!$D:$D,0)-1+COUNTIF($E182:L182,"u")+COUNTIF($E182:L182,"t")+COUNTIF($E182:L182,"¶")+COUNTIF($E182:L182,"²")+COUNTIF($E182:L182,"µ")+COUNTIF($E182:L182,1),ColDescriptionCourte))&gt;1,
HYPERLINK("#Roadmap!C"&amp; MATCH($E182,Roadmap!$D:$D,0)+COUNTIF($E182:L182,"u")+COUNTIF($E182:L182,"t")+COUNTIF($E182:L182,"¶")+COUNTIF($E182:L182,"²")+COUNTIF($E182:L182,"µ")+COUNTIF($E182:L182,1)-1,INDEX(Roadmap!$D:$K,MATCH($E182,Roadmap!$D:$D,0)-1+COUNTIF($E182:L182,"u")+COUNTIF($E182:L182,"t")+COUNTIF($E182:L182,"¶")+COUNTIF($E182:L182,"²")+COUNTIF($E182:L182,"µ")+COUNTIF($E182:L182,1),ColDescriptionCourte)),""),
  "")),"")</f>
        <v/>
      </c>
      <c r="N182" s="40" t="str">
        <f ca="1">IFERROR(IF(AND(
  INDEX(Roadmap!$D:$K,MATCH($E182,Roadmap!$D:$D,0)+COUNTIF($E182:M182,"u")+COUNTIF($E182:M182,"t")+COUNTIF($E182:M182,"¶")+COUNTIF($E182:M182,"²")+COUNTIF($E182:M182,"µ")+COUNTIF($E182:M182,1),ColLivraison)=N$6,
  VLOOKUP($E182,INDIRECT("tri!"&amp; CHAR(64+ C0Col) &amp;":"&amp; CHAR(65+C0Col)),2,FALSE)&gt;COUNTIF($E182:M182,"u")+COUNTIF($E182:M182,"t")+COUNTIF($E182:M182,"¶")+COUNTIF($E182:M182,"²")+COUNTIF($E182:M182,"µ")+COUNTIF($E182:M182,1)),
HYPERLINK("#Roadmap!C"&amp; MATCH($E182,Roadmap!$D:$D,0)+COUNTIF($E182:M182,"u")+COUNTIF($E182:M182,"t"),
     INDEX(Roadmap!$D:$K,MATCH($E182,Roadmap!$D:$D,0)+COUNTIF($E182:M182,"u")+COUNTIF($E182:M182,"t")+COUNTIF($E182:M182,"¶")+COUNTIF($E182:M182,"²")+COUNTIF($E182:M182,"µ")+COUNTIF($E182:M182,1),ColTypeEcheance)),
  IF(LEN(M182)=1,
  IF(LEN(INDEX(Roadmap!$D:$K,MATCH($E182,Roadmap!$D:$D,0)-1+COUNTIF($E182:M182,"u")+COUNTIF($E182:M182,"t")+COUNTIF($E182:M182,"¶")+COUNTIF($E182:M182,"²")+COUNTIF($E182:M182,"µ")+COUNTIF($E182:M182,1),ColDescriptionCourte))&gt;1,
HYPERLINK("#Roadmap!C"&amp; MATCH($E182,Roadmap!$D:$D,0)+COUNTIF($E182:M182,"u")+COUNTIF($E182:M182,"t")+COUNTIF($E182:M182,"¶")+COUNTIF($E182:M182,"²")+COUNTIF($E182:M182,"µ")+COUNTIF($E182:M182,1)-1,INDEX(Roadmap!$D:$K,MATCH($E182,Roadmap!$D:$D,0)-1+COUNTIF($E182:M182,"u")+COUNTIF($E182:M182,"t")+COUNTIF($E182:M182,"¶")+COUNTIF($E182:M182,"²")+COUNTIF($E182:M182,"µ")+COUNTIF($E182:M182,1),ColDescriptionCourte)),""),
  "")),"")</f>
        <v/>
      </c>
      <c r="O182" s="40" t="str">
        <f ca="1">IFERROR(IF(AND(
  INDEX(Roadmap!$D:$K,MATCH($E182,Roadmap!$D:$D,0)+COUNTIF($E182:N182,"u")+COUNTIF($E182:N182,"t")+COUNTIF($E182:N182,"¶")+COUNTIF($E182:N182,"²")+COUNTIF($E182:N182,"µ")+COUNTIF($E182:N182,1),ColLivraison)=O$6,
  VLOOKUP($E182,INDIRECT("tri!"&amp; CHAR(64+ C0Col) &amp;":"&amp; CHAR(65+C0Col)),2,FALSE)&gt;COUNTIF($E182:N182,"u")+COUNTIF($E182:N182,"t")+COUNTIF($E182:N182,"¶")+COUNTIF($E182:N182,"²")+COUNTIF($E182:N182,"µ")+COUNTIF($E182:N182,1)),
HYPERLINK("#Roadmap!C"&amp; MATCH($E182,Roadmap!$D:$D,0)+COUNTIF($E182:N182,"u")+COUNTIF($E182:N182,"t"),
     INDEX(Roadmap!$D:$K,MATCH($E182,Roadmap!$D:$D,0)+COUNTIF($E182:N182,"u")+COUNTIF($E182:N182,"t")+COUNTIF($E182:N182,"¶")+COUNTIF($E182:N182,"²")+COUNTIF($E182:N182,"µ")+COUNTIF($E182:N182,1),ColTypeEcheance)),
  IF(LEN(N182)=1,
  IF(LEN(INDEX(Roadmap!$D:$K,MATCH($E182,Roadmap!$D:$D,0)-1+COUNTIF($E182:N182,"u")+COUNTIF($E182:N182,"t")+COUNTIF($E182:N182,"¶")+COUNTIF($E182:N182,"²")+COUNTIF($E182:N182,"µ")+COUNTIF($E182:N182,1),ColDescriptionCourte))&gt;1,
HYPERLINK("#Roadmap!C"&amp; MATCH($E182,Roadmap!$D:$D,0)+COUNTIF($E182:N182,"u")+COUNTIF($E182:N182,"t")+COUNTIF($E182:N182,"¶")+COUNTIF($E182:N182,"²")+COUNTIF($E182:N182,"µ")+COUNTIF($E182:N182,1)-1,INDEX(Roadmap!$D:$K,MATCH($E182,Roadmap!$D:$D,0)-1+COUNTIF($E182:N182,"u")+COUNTIF($E182:N182,"t")+COUNTIF($E182:N182,"¶")+COUNTIF($E182:N182,"²")+COUNTIF($E182:N182,"µ")+COUNTIF($E182:N182,1),ColDescriptionCourte)),""),
  "")),"")</f>
        <v/>
      </c>
      <c r="P182" s="40" t="str">
        <f ca="1">IFERROR(IF(AND(
  INDEX(Roadmap!$D:$K,MATCH($E182,Roadmap!$D:$D,0)+COUNTIF($E182:O182,"u")+COUNTIF($E182:O182,"t")+COUNTIF($E182:O182,"¶")+COUNTIF($E182:O182,"²")+COUNTIF($E182:O182,"µ")+COUNTIF($E182:O182,1),ColLivraison)=P$6,
  VLOOKUP($E182,INDIRECT("tri!"&amp; CHAR(64+ C0Col) &amp;":"&amp; CHAR(65+C0Col)),2,FALSE)&gt;COUNTIF($E182:O182,"u")+COUNTIF($E182:O182,"t")+COUNTIF($E182:O182,"¶")+COUNTIF($E182:O182,"²")+COUNTIF($E182:O182,"µ")+COUNTIF($E182:O182,1)),
HYPERLINK("#Roadmap!C"&amp; MATCH($E182,Roadmap!$D:$D,0)+COUNTIF($E182:O182,"u")+COUNTIF($E182:O182,"t"),
     INDEX(Roadmap!$D:$K,MATCH($E182,Roadmap!$D:$D,0)+COUNTIF($E182:O182,"u")+COUNTIF($E182:O182,"t")+COUNTIF($E182:O182,"¶")+COUNTIF($E182:O182,"²")+COUNTIF($E182:O182,"µ")+COUNTIF($E182:O182,1),ColTypeEcheance)),
  IF(LEN(O182)=1,
  IF(LEN(INDEX(Roadmap!$D:$K,MATCH($E182,Roadmap!$D:$D,0)-1+COUNTIF($E182:O182,"u")+COUNTIF($E182:O182,"t")+COUNTIF($E182:O182,"¶")+COUNTIF($E182:O182,"²")+COUNTIF($E182:O182,"µ")+COUNTIF($E182:O182,1),ColDescriptionCourte))&gt;1,
HYPERLINK("#Roadmap!C"&amp; MATCH($E182,Roadmap!$D:$D,0)+COUNTIF($E182:O182,"u")+COUNTIF($E182:O182,"t")+COUNTIF($E182:O182,"¶")+COUNTIF($E182:O182,"²")+COUNTIF($E182:O182,"µ")+COUNTIF($E182:O182,1)-1,INDEX(Roadmap!$D:$K,MATCH($E182,Roadmap!$D:$D,0)-1+COUNTIF($E182:O182,"u")+COUNTIF($E182:O182,"t")+COUNTIF($E182:O182,"¶")+COUNTIF($E182:O182,"²")+COUNTIF($E182:O182,"µ")+COUNTIF($E182:O182,1),ColDescriptionCourte)),""),
  "")),"")</f>
        <v/>
      </c>
      <c r="Q182" s="40" t="str">
        <f ca="1">IFERROR(IF(AND(
  INDEX(Roadmap!$D:$K,MATCH($E182,Roadmap!$D:$D,0)+COUNTIF($E182:P182,"u")+COUNTIF($E182:P182,"t")+COUNTIF($E182:P182,"¶")+COUNTIF($E182:P182,"²")+COUNTIF($E182:P182,"µ")+COUNTIF($E182:P182,1),ColLivraison)=Q$6,
  VLOOKUP($E182,INDIRECT("tri!"&amp; CHAR(64+ C0Col) &amp;":"&amp; CHAR(65+C0Col)),2,FALSE)&gt;COUNTIF($E182:P182,"u")+COUNTIF($E182:P182,"t")+COUNTIF($E182:P182,"¶")+COUNTIF($E182:P182,"²")+COUNTIF($E182:P182,"µ")+COUNTIF($E182:P182,1)),
HYPERLINK("#Roadmap!C"&amp; MATCH($E182,Roadmap!$D:$D,0)+COUNTIF($E182:P182,"u")+COUNTIF($E182:P182,"t"),
     INDEX(Roadmap!$D:$K,MATCH($E182,Roadmap!$D:$D,0)+COUNTIF($E182:P182,"u")+COUNTIF($E182:P182,"t")+COUNTIF($E182:P182,"¶")+COUNTIF($E182:P182,"²")+COUNTIF($E182:P182,"µ")+COUNTIF($E182:P182,1),ColTypeEcheance)),
  IF(LEN(P182)=1,
  IF(LEN(INDEX(Roadmap!$D:$K,MATCH($E182,Roadmap!$D:$D,0)-1+COUNTIF($E182:P182,"u")+COUNTIF($E182:P182,"t")+COUNTIF($E182:P182,"¶")+COUNTIF($E182:P182,"²")+COUNTIF($E182:P182,"µ")+COUNTIF($E182:P182,1),ColDescriptionCourte))&gt;1,
HYPERLINK("#Roadmap!C"&amp; MATCH($E182,Roadmap!$D:$D,0)+COUNTIF($E182:P182,"u")+COUNTIF($E182:P182,"t")+COUNTIF($E182:P182,"¶")+COUNTIF($E182:P182,"²")+COUNTIF($E182:P182,"µ")+COUNTIF($E182:P182,1)-1,INDEX(Roadmap!$D:$K,MATCH($E182,Roadmap!$D:$D,0)-1+COUNTIF($E182:P182,"u")+COUNTIF($E182:P182,"t")+COUNTIF($E182:P182,"¶")+COUNTIF($E182:P182,"²")+COUNTIF($E182:P182,"µ")+COUNTIF($E182:P182,1),ColDescriptionCourte)),""),
  "")),"")</f>
        <v/>
      </c>
      <c r="R182" s="40" t="str">
        <f ca="1">IFERROR(IF(AND(
  INDEX(Roadmap!$D:$K,MATCH($E182,Roadmap!$D:$D,0)+COUNTIF($E182:Q182,"u")+COUNTIF($E182:Q182,"t")+COUNTIF($E182:Q182,"¶")+COUNTIF($E182:Q182,"²")+COUNTIF($E182:Q182,"µ")+COUNTIF($E182:Q182,1),ColLivraison)=R$6,
  VLOOKUP($E182,INDIRECT("tri!"&amp; CHAR(64+ C0Col) &amp;":"&amp; CHAR(65+C0Col)),2,FALSE)&gt;COUNTIF($E182:Q182,"u")+COUNTIF($E182:Q182,"t")+COUNTIF($E182:Q182,"¶")+COUNTIF($E182:Q182,"²")+COUNTIF($E182:Q182,"µ")+COUNTIF($E182:Q182,1)),
HYPERLINK("#Roadmap!C"&amp; MATCH($E182,Roadmap!$D:$D,0)+COUNTIF($E182:Q182,"u")+COUNTIF($E182:Q182,"t"),
     INDEX(Roadmap!$D:$K,MATCH($E182,Roadmap!$D:$D,0)+COUNTIF($E182:Q182,"u")+COUNTIF($E182:Q182,"t")+COUNTIF($E182:Q182,"¶")+COUNTIF($E182:Q182,"²")+COUNTIF($E182:Q182,"µ")+COUNTIF($E182:Q182,1),ColTypeEcheance)),
  IF(LEN(Q182)=1,
  IF(LEN(INDEX(Roadmap!$D:$K,MATCH($E182,Roadmap!$D:$D,0)-1+COUNTIF($E182:Q182,"u")+COUNTIF($E182:Q182,"t")+COUNTIF($E182:Q182,"¶")+COUNTIF($E182:Q182,"²")+COUNTIF($E182:Q182,"µ")+COUNTIF($E182:Q182,1),ColDescriptionCourte))&gt;1,
HYPERLINK("#Roadmap!C"&amp; MATCH($E182,Roadmap!$D:$D,0)+COUNTIF($E182:Q182,"u")+COUNTIF($E182:Q182,"t")+COUNTIF($E182:Q182,"¶")+COUNTIF($E182:Q182,"²")+COUNTIF($E182:Q182,"µ")+COUNTIF($E182:Q182,1)-1,INDEX(Roadmap!$D:$K,MATCH($E182,Roadmap!$D:$D,0)-1+COUNTIF($E182:Q182,"u")+COUNTIF($E182:Q182,"t")+COUNTIF($E182:Q182,"¶")+COUNTIF($E182:Q182,"²")+COUNTIF($E182:Q182,"µ")+COUNTIF($E182:Q182,1),ColDescriptionCourte)),""),
  "")),"")</f>
        <v/>
      </c>
      <c r="S182" s="40" t="str">
        <f ca="1">IFERROR(IF(AND(
  INDEX(Roadmap!$D:$K,MATCH($E182,Roadmap!$D:$D,0)+COUNTIF($E182:R182,"u")+COUNTIF($E182:R182,"t")+COUNTIF($E182:R182,"¶")+COUNTIF($E182:R182,"²")+COUNTIF($E182:R182,"µ")+COUNTIF($E182:R182,1),ColLivraison)=S$6,
  VLOOKUP($E182,INDIRECT("tri!"&amp; CHAR(64+ C0Col) &amp;":"&amp; CHAR(65+C0Col)),2,FALSE)&gt;COUNTIF($E182:R182,"u")+COUNTIF($E182:R182,"t")+COUNTIF($E182:R182,"¶")+COUNTIF($E182:R182,"²")+COUNTIF($E182:R182,"µ")+COUNTIF($E182:R182,1)),
HYPERLINK("#Roadmap!C"&amp; MATCH($E182,Roadmap!$D:$D,0)+COUNTIF($E182:R182,"u")+COUNTIF($E182:R182,"t"),
     INDEX(Roadmap!$D:$K,MATCH($E182,Roadmap!$D:$D,0)+COUNTIF($E182:R182,"u")+COUNTIF($E182:R182,"t")+COUNTIF($E182:R182,"¶")+COUNTIF($E182:R182,"²")+COUNTIF($E182:R182,"µ")+COUNTIF($E182:R182,1),ColTypeEcheance)),
  IF(LEN(R182)=1,
  IF(LEN(INDEX(Roadmap!$D:$K,MATCH($E182,Roadmap!$D:$D,0)-1+COUNTIF($E182:R182,"u")+COUNTIF($E182:R182,"t")+COUNTIF($E182:R182,"¶")+COUNTIF($E182:R182,"²")+COUNTIF($E182:R182,"µ")+COUNTIF($E182:R182,1),ColDescriptionCourte))&gt;1,
HYPERLINK("#Roadmap!C"&amp; MATCH($E182,Roadmap!$D:$D,0)+COUNTIF($E182:R182,"u")+COUNTIF($E182:R182,"t")+COUNTIF($E182:R182,"¶")+COUNTIF($E182:R182,"²")+COUNTIF($E182:R182,"µ")+COUNTIF($E182:R182,1)-1,INDEX(Roadmap!$D:$K,MATCH($E182,Roadmap!$D:$D,0)-1+COUNTIF($E182:R182,"u")+COUNTIF($E182:R182,"t")+COUNTIF($E182:R182,"¶")+COUNTIF($E182:R182,"²")+COUNTIF($E182:R182,"µ")+COUNTIF($E182:R182,1),ColDescriptionCourte)),""),
  "")),"")</f>
        <v/>
      </c>
      <c r="T182" s="40" t="str">
        <f ca="1">IFERROR(IF(AND(
  INDEX(Roadmap!$D:$K,MATCH($E182,Roadmap!$D:$D,0)+COUNTIF($E182:S182,"u")+COUNTIF($E182:S182,"t")+COUNTIF($E182:S182,"¶")+COUNTIF($E182:S182,"²")+COUNTIF($E182:S182,"µ")+COUNTIF($E182:S182,1),ColLivraison)=T$6,
  VLOOKUP($E182,INDIRECT("tri!"&amp; CHAR(64+ C0Col) &amp;":"&amp; CHAR(65+C0Col)),2,FALSE)&gt;COUNTIF($E182:S182,"u")+COUNTIF($E182:S182,"t")+COUNTIF($E182:S182,"¶")+COUNTIF($E182:S182,"²")+COUNTIF($E182:S182,"µ")+COUNTIF($E182:S182,1)),
HYPERLINK("#Roadmap!C"&amp; MATCH($E182,Roadmap!$D:$D,0)+COUNTIF($E182:S182,"u")+COUNTIF($E182:S182,"t"),
     INDEX(Roadmap!$D:$K,MATCH($E182,Roadmap!$D:$D,0)+COUNTIF($E182:S182,"u")+COUNTIF($E182:S182,"t")+COUNTIF($E182:S182,"¶")+COUNTIF($E182:S182,"²")+COUNTIF($E182:S182,"µ")+COUNTIF($E182:S182,1),ColTypeEcheance)),
  IF(LEN(S182)=1,
  IF(LEN(INDEX(Roadmap!$D:$K,MATCH($E182,Roadmap!$D:$D,0)-1+COUNTIF($E182:S182,"u")+COUNTIF($E182:S182,"t")+COUNTIF($E182:S182,"¶")+COUNTIF($E182:S182,"²")+COUNTIF($E182:S182,"µ")+COUNTIF($E182:S182,1),ColDescriptionCourte))&gt;1,
HYPERLINK("#Roadmap!C"&amp; MATCH($E182,Roadmap!$D:$D,0)+COUNTIF($E182:S182,"u")+COUNTIF($E182:S182,"t")+COUNTIF($E182:S182,"¶")+COUNTIF($E182:S182,"²")+COUNTIF($E182:S182,"µ")+COUNTIF($E182:S182,1)-1,INDEX(Roadmap!$D:$K,MATCH($E182,Roadmap!$D:$D,0)-1+COUNTIF($E182:S182,"u")+COUNTIF($E182:S182,"t")+COUNTIF($E182:S182,"¶")+COUNTIF($E182:S182,"²")+COUNTIF($E182:S182,"µ")+COUNTIF($E182:S182,1),ColDescriptionCourte)),""),
  "")),"")</f>
        <v/>
      </c>
      <c r="U182" s="40" t="str">
        <f ca="1">IFERROR(IF(AND(
  INDEX(Roadmap!$D:$K,MATCH($E182,Roadmap!$D:$D,0)+COUNTIF($E182:T182,"u")+COUNTIF($E182:T182,"t")+COUNTIF($E182:T182,"¶")+COUNTIF($E182:T182,"²")+COUNTIF($E182:T182,"µ")+COUNTIF($E182:T182,1),ColLivraison)=U$6,
  VLOOKUP($E182,INDIRECT("tri!"&amp; CHAR(64+ C0Col) &amp;":"&amp; CHAR(65+C0Col)),2,FALSE)&gt;COUNTIF($E182:T182,"u")+COUNTIF($E182:T182,"t")+COUNTIF($E182:T182,"¶")+COUNTIF($E182:T182,"²")+COUNTIF($E182:T182,"µ")+COUNTIF($E182:T182,1)),
HYPERLINK("#Roadmap!C"&amp; MATCH($E182,Roadmap!$D:$D,0)+COUNTIF($E182:T182,"u")+COUNTIF($E182:T182,"t"),
     INDEX(Roadmap!$D:$K,MATCH($E182,Roadmap!$D:$D,0)+COUNTIF($E182:T182,"u")+COUNTIF($E182:T182,"t")+COUNTIF($E182:T182,"¶")+COUNTIF($E182:T182,"²")+COUNTIF($E182:T182,"µ")+COUNTIF($E182:T182,1),ColTypeEcheance)),
  IF(LEN(T182)=1,
  IF(LEN(INDEX(Roadmap!$D:$K,MATCH($E182,Roadmap!$D:$D,0)-1+COUNTIF($E182:T182,"u")+COUNTIF($E182:T182,"t")+COUNTIF($E182:T182,"¶")+COUNTIF($E182:T182,"²")+COUNTIF($E182:T182,"µ")+COUNTIF($E182:T182,1),ColDescriptionCourte))&gt;1,
HYPERLINK("#Roadmap!C"&amp; MATCH($E182,Roadmap!$D:$D,0)+COUNTIF($E182:T182,"u")+COUNTIF($E182:T182,"t")+COUNTIF($E182:T182,"¶")+COUNTIF($E182:T182,"²")+COUNTIF($E182:T182,"µ")+COUNTIF($E182:T182,1)-1,INDEX(Roadmap!$D:$K,MATCH($E182,Roadmap!$D:$D,0)-1+COUNTIF($E182:T182,"u")+COUNTIF($E182:T182,"t")+COUNTIF($E182:T182,"¶")+COUNTIF($E182:T182,"²")+COUNTIF($E182:T182,"µ")+COUNTIF($E182:T182,1),ColDescriptionCourte)),""),
  "")),"")</f>
        <v/>
      </c>
      <c r="V182" s="40" t="str">
        <f ca="1">IFERROR(IF(AND(
  INDEX(Roadmap!$D:$K,MATCH($E182,Roadmap!$D:$D,0)+COUNTIF($E182:U182,"u")+COUNTIF($E182:U182,"t")+COUNTIF($E182:U182,"¶")+COUNTIF($E182:U182,"²")+COUNTIF($E182:U182,"µ")+COUNTIF($E182:U182,1),ColLivraison)=V$6,
  VLOOKUP($E182,INDIRECT("tri!"&amp; CHAR(64+ C0Col) &amp;":"&amp; CHAR(65+C0Col)),2,FALSE)&gt;COUNTIF($E182:U182,"u")+COUNTIF($E182:U182,"t")+COUNTIF($E182:U182,"¶")+COUNTIF($E182:U182,"²")+COUNTIF($E182:U182,"µ")+COUNTIF($E182:U182,1)),
HYPERLINK("#Roadmap!C"&amp; MATCH($E182,Roadmap!$D:$D,0)+COUNTIF($E182:U182,"u")+COUNTIF($E182:U182,"t"),
     INDEX(Roadmap!$D:$K,MATCH($E182,Roadmap!$D:$D,0)+COUNTIF($E182:U182,"u")+COUNTIF($E182:U182,"t")+COUNTIF($E182:U182,"¶")+COUNTIF($E182:U182,"²")+COUNTIF($E182:U182,"µ")+COUNTIF($E182:U182,1),ColTypeEcheance)),
  IF(LEN(U182)=1,
  IF(LEN(INDEX(Roadmap!$D:$K,MATCH($E182,Roadmap!$D:$D,0)-1+COUNTIF($E182:U182,"u")+COUNTIF($E182:U182,"t")+COUNTIF($E182:U182,"¶")+COUNTIF($E182:U182,"²")+COUNTIF($E182:U182,"µ")+COUNTIF($E182:U182,1),ColDescriptionCourte))&gt;1,
HYPERLINK("#Roadmap!C"&amp; MATCH($E182,Roadmap!$D:$D,0)+COUNTIF($E182:U182,"u")+COUNTIF($E182:U182,"t")+COUNTIF($E182:U182,"¶")+COUNTIF($E182:U182,"²")+COUNTIF($E182:U182,"µ")+COUNTIF($E182:U182,1)-1,INDEX(Roadmap!$D:$K,MATCH($E182,Roadmap!$D:$D,0)-1+COUNTIF($E182:U182,"u")+COUNTIF($E182:U182,"t")+COUNTIF($E182:U182,"¶")+COUNTIF($E182:U182,"²")+COUNTIF($E182:U182,"µ")+COUNTIF($E182:U182,1),ColDescriptionCourte)),""),
  "")),"")</f>
        <v/>
      </c>
      <c r="W182" s="40" t="str">
        <f ca="1">IFERROR(IF(AND(
  INDEX(Roadmap!$D:$K,MATCH($E182,Roadmap!$D:$D,0)+COUNTIF($E182:V182,"u")+COUNTIF($E182:V182,"t")+COUNTIF($E182:V182,"¶")+COUNTIF($E182:V182,"²")+COUNTIF($E182:V182,"µ")+COUNTIF($E182:V182,1),ColLivraison)=W$6,
  VLOOKUP($E182,INDIRECT("tri!"&amp; CHAR(64+ C0Col) &amp;":"&amp; CHAR(65+C0Col)),2,FALSE)&gt;COUNTIF($E182:V182,"u")+COUNTIF($E182:V182,"t")+COUNTIF($E182:V182,"¶")+COUNTIF($E182:V182,"²")+COUNTIF($E182:V182,"µ")+COUNTIF($E182:V182,1)),
HYPERLINK("#Roadmap!C"&amp; MATCH($E182,Roadmap!$D:$D,0)+COUNTIF($E182:V182,"u")+COUNTIF($E182:V182,"t"),
     INDEX(Roadmap!$D:$K,MATCH($E182,Roadmap!$D:$D,0)+COUNTIF($E182:V182,"u")+COUNTIF($E182:V182,"t")+COUNTIF($E182:V182,"¶")+COUNTIF($E182:V182,"²")+COUNTIF($E182:V182,"µ")+COUNTIF($E182:V182,1),ColTypeEcheance)),
  IF(LEN(V182)=1,
  IF(LEN(INDEX(Roadmap!$D:$K,MATCH($E182,Roadmap!$D:$D,0)-1+COUNTIF($E182:V182,"u")+COUNTIF($E182:V182,"t")+COUNTIF($E182:V182,"¶")+COUNTIF($E182:V182,"²")+COUNTIF($E182:V182,"µ")+COUNTIF($E182:V182,1),ColDescriptionCourte))&gt;1,
HYPERLINK("#Roadmap!C"&amp; MATCH($E182,Roadmap!$D:$D,0)+COUNTIF($E182:V182,"u")+COUNTIF($E182:V182,"t")+COUNTIF($E182:V182,"¶")+COUNTIF($E182:V182,"²")+COUNTIF($E182:V182,"µ")+COUNTIF($E182:V182,1)-1,INDEX(Roadmap!$D:$K,MATCH($E182,Roadmap!$D:$D,0)-1+COUNTIF($E182:V182,"u")+COUNTIF($E182:V182,"t")+COUNTIF($E182:V182,"¶")+COUNTIF($E182:V182,"²")+COUNTIF($E182:V182,"µ")+COUNTIF($E182:V182,1),ColDescriptionCourte)),""),
  "")),"")</f>
        <v/>
      </c>
      <c r="X182" s="40" t="str">
        <f ca="1">IFERROR(IF(AND(
  INDEX(Roadmap!$D:$K,MATCH($E182,Roadmap!$D:$D,0)+COUNTIF($E182:W182,"u")+COUNTIF($E182:W182,"t")+COUNTIF($E182:W182,"¶")+COUNTIF($E182:W182,"²")+COUNTIF($E182:W182,"µ")+COUNTIF($E182:W182,1),ColLivraison)=X$6,
  VLOOKUP($E182,INDIRECT("tri!"&amp; CHAR(64+ C0Col) &amp;":"&amp; CHAR(65+C0Col)),2,FALSE)&gt;COUNTIF($E182:W182,"u")+COUNTIF($E182:W182,"t")+COUNTIF($E182:W182,"¶")+COUNTIF($E182:W182,"²")+COUNTIF($E182:W182,"µ")+COUNTIF($E182:W182,1)),
HYPERLINK("#Roadmap!C"&amp; MATCH($E182,Roadmap!$D:$D,0)+COUNTIF($E182:W182,"u")+COUNTIF($E182:W182,"t"),
     INDEX(Roadmap!$D:$K,MATCH($E182,Roadmap!$D:$D,0)+COUNTIF($E182:W182,"u")+COUNTIF($E182:W182,"t")+COUNTIF($E182:W182,"¶")+COUNTIF($E182:W182,"²")+COUNTIF($E182:W182,"µ")+COUNTIF($E182:W182,1),ColTypeEcheance)),
  IF(LEN(W182)=1,
  IF(LEN(INDEX(Roadmap!$D:$K,MATCH($E182,Roadmap!$D:$D,0)-1+COUNTIF($E182:W182,"u")+COUNTIF($E182:W182,"t")+COUNTIF($E182:W182,"¶")+COUNTIF($E182:W182,"²")+COUNTIF($E182:W182,"µ")+COUNTIF($E182:W182,1),ColDescriptionCourte))&gt;1,
HYPERLINK("#Roadmap!C"&amp; MATCH($E182,Roadmap!$D:$D,0)+COUNTIF($E182:W182,"u")+COUNTIF($E182:W182,"t")+COUNTIF($E182:W182,"¶")+COUNTIF($E182:W182,"²")+COUNTIF($E182:W182,"µ")+COUNTIF($E182:W182,1)-1,INDEX(Roadmap!$D:$K,MATCH($E182,Roadmap!$D:$D,0)-1+COUNTIF($E182:W182,"u")+COUNTIF($E182:W182,"t")+COUNTIF($E182:W182,"¶")+COUNTIF($E182:W182,"²")+COUNTIF($E182:W182,"µ")+COUNTIF($E182:W182,1),ColDescriptionCourte)),""),
  "")),"")</f>
        <v/>
      </c>
      <c r="Y182" s="40" t="str">
        <f ca="1">IFERROR(IF(AND(
  INDEX(Roadmap!$D:$K,MATCH($E182,Roadmap!$D:$D,0)+COUNTIF($E182:X182,"u")+COUNTIF($E182:X182,"t")+COUNTIF($E182:X182,"¶")+COUNTIF($E182:X182,"²")+COUNTIF($E182:X182,"µ")+COUNTIF($E182:X182,1),ColLivraison)=Y$6,
  VLOOKUP($E182,INDIRECT("tri!"&amp; CHAR(64+ C0Col) &amp;":"&amp; CHAR(65+C0Col)),2,FALSE)&gt;COUNTIF($E182:X182,"u")+COUNTIF($E182:X182,"t")+COUNTIF($E182:X182,"¶")+COUNTIF($E182:X182,"²")+COUNTIF($E182:X182,"µ")+COUNTIF($E182:X182,1)),
HYPERLINK("#Roadmap!C"&amp; MATCH($E182,Roadmap!$D:$D,0)+COUNTIF($E182:X182,"u")+COUNTIF($E182:X182,"t"),
     INDEX(Roadmap!$D:$K,MATCH($E182,Roadmap!$D:$D,0)+COUNTIF($E182:X182,"u")+COUNTIF($E182:X182,"t")+COUNTIF($E182:X182,"¶")+COUNTIF($E182:X182,"²")+COUNTIF($E182:X182,"µ")+COUNTIF($E182:X182,1),ColTypeEcheance)),
  IF(LEN(X182)=1,
  IF(LEN(INDEX(Roadmap!$D:$K,MATCH($E182,Roadmap!$D:$D,0)-1+COUNTIF($E182:X182,"u")+COUNTIF($E182:X182,"t")+COUNTIF($E182:X182,"¶")+COUNTIF($E182:X182,"²")+COUNTIF($E182:X182,"µ")+COUNTIF($E182:X182,1),ColDescriptionCourte))&gt;1,
HYPERLINK("#Roadmap!C"&amp; MATCH($E182,Roadmap!$D:$D,0)+COUNTIF($E182:X182,"u")+COUNTIF($E182:X182,"t")+COUNTIF($E182:X182,"¶")+COUNTIF($E182:X182,"²")+COUNTIF($E182:X182,"µ")+COUNTIF($E182:X182,1)-1,INDEX(Roadmap!$D:$K,MATCH($E182,Roadmap!$D:$D,0)-1+COUNTIF($E182:X182,"u")+COUNTIF($E182:X182,"t")+COUNTIF($E182:X182,"¶")+COUNTIF($E182:X182,"²")+COUNTIF($E182:X182,"µ")+COUNTIF($E182:X182,1),ColDescriptionCourte)),""),
  "")),"")</f>
        <v/>
      </c>
      <c r="Z182" s="40" t="str">
        <f ca="1">IFERROR(IF(AND(
  INDEX(Roadmap!$D:$K,MATCH($E182,Roadmap!$D:$D,0)+COUNTIF($E182:Y182,"u")+COUNTIF($E182:Y182,"t")+COUNTIF($E182:Y182,"¶")+COUNTIF($E182:Y182,"²")+COUNTIF($E182:Y182,"µ")+COUNTIF($E182:Y182,1),ColLivraison)=Z$6,
  VLOOKUP($E182,INDIRECT("tri!"&amp; CHAR(64+ C0Col) &amp;":"&amp; CHAR(65+C0Col)),2,FALSE)&gt;COUNTIF($E182:Y182,"u")+COUNTIF($E182:Y182,"t")+COUNTIF($E182:Y182,"¶")+COUNTIF($E182:Y182,"²")+COUNTIF($E182:Y182,"µ")+COUNTIF($E182:Y182,1)),
HYPERLINK("#Roadmap!C"&amp; MATCH($E182,Roadmap!$D:$D,0)+COUNTIF($E182:Y182,"u")+COUNTIF($E182:Y182,"t"),
     INDEX(Roadmap!$D:$K,MATCH($E182,Roadmap!$D:$D,0)+COUNTIF($E182:Y182,"u")+COUNTIF($E182:Y182,"t")+COUNTIF($E182:Y182,"¶")+COUNTIF($E182:Y182,"²")+COUNTIF($E182:Y182,"µ")+COUNTIF($E182:Y182,1),ColTypeEcheance)),
  IF(LEN(Y182)=1,
  IF(LEN(INDEX(Roadmap!$D:$K,MATCH($E182,Roadmap!$D:$D,0)-1+COUNTIF($E182:Y182,"u")+COUNTIF($E182:Y182,"t")+COUNTIF($E182:Y182,"¶")+COUNTIF($E182:Y182,"²")+COUNTIF($E182:Y182,"µ")+COUNTIF($E182:Y182,1),ColDescriptionCourte))&gt;1,
HYPERLINK("#Roadmap!C"&amp; MATCH($E182,Roadmap!$D:$D,0)+COUNTIF($E182:Y182,"u")+COUNTIF($E182:Y182,"t")+COUNTIF($E182:Y182,"¶")+COUNTIF($E182:Y182,"²")+COUNTIF($E182:Y182,"µ")+COUNTIF($E182:Y182,1)-1,INDEX(Roadmap!$D:$K,MATCH($E182,Roadmap!$D:$D,0)-1+COUNTIF($E182:Y182,"u")+COUNTIF($E182:Y182,"t")+COUNTIF($E182:Y182,"¶")+COUNTIF($E182:Y182,"²")+COUNTIF($E182:Y182,"µ")+COUNTIF($E182:Y182,1),ColDescriptionCourte)),""),
  "")),"")</f>
        <v/>
      </c>
      <c r="AA182" s="40" t="str">
        <f ca="1">IFERROR(IF(AND(
  INDEX(Roadmap!$D:$K,MATCH($E182,Roadmap!$D:$D,0)+COUNTIF($E182:Z182,"u")+COUNTIF($E182:Z182,"t")+COUNTIF($E182:Z182,"¶")+COUNTIF($E182:Z182,"²")+COUNTIF($E182:Z182,"µ")+COUNTIF($E182:Z182,1),ColLivraison)=AA$6,
  VLOOKUP($E182,INDIRECT("tri!"&amp; CHAR(64+ C0Col) &amp;":"&amp; CHAR(65+C0Col)),2,FALSE)&gt;COUNTIF($E182:Z182,"u")+COUNTIF($E182:Z182,"t")+COUNTIF($E182:Z182,"¶")+COUNTIF($E182:Z182,"²")+COUNTIF($E182:Z182,"µ")+COUNTIF($E182:Z182,1)),
HYPERLINK("#Roadmap!C"&amp; MATCH($E182,Roadmap!$D:$D,0)+COUNTIF($E182:Z182,"u")+COUNTIF($E182:Z182,"t"),
     INDEX(Roadmap!$D:$K,MATCH($E182,Roadmap!$D:$D,0)+COUNTIF($E182:Z182,"u")+COUNTIF($E182:Z182,"t")+COUNTIF($E182:Z182,"¶")+COUNTIF($E182:Z182,"²")+COUNTIF($E182:Z182,"µ")+COUNTIF($E182:Z182,1),ColTypeEcheance)),
  IF(LEN(Z182)=1,
  IF(LEN(INDEX(Roadmap!$D:$K,MATCH($E182,Roadmap!$D:$D,0)-1+COUNTIF($E182:Z182,"u")+COUNTIF($E182:Z182,"t")+COUNTIF($E182:Z182,"¶")+COUNTIF($E182:Z182,"²")+COUNTIF($E182:Z182,"µ")+COUNTIF($E182:Z182,1),ColDescriptionCourte))&gt;1,
HYPERLINK("#Roadmap!C"&amp; MATCH($E182,Roadmap!$D:$D,0)+COUNTIF($E182:Z182,"u")+COUNTIF($E182:Z182,"t")+COUNTIF($E182:Z182,"¶")+COUNTIF($E182:Z182,"²")+COUNTIF($E182:Z182,"µ")+COUNTIF($E182:Z182,1)-1,INDEX(Roadmap!$D:$K,MATCH($E182,Roadmap!$D:$D,0)-1+COUNTIF($E182:Z182,"u")+COUNTIF($E182:Z182,"t")+COUNTIF($E182:Z182,"¶")+COUNTIF($E182:Z182,"²")+COUNTIF($E182:Z182,"µ")+COUNTIF($E182:Z182,1),ColDescriptionCourte)),""),
  "")),"")</f>
        <v/>
      </c>
      <c r="AB182" s="40" t="str">
        <f ca="1">IFERROR(IF(AND(
  INDEX(Roadmap!$D:$K,MATCH($E182,Roadmap!$D:$D,0)+COUNTIF($E182:AA182,"u")+COUNTIF($E182:AA182,"t")+COUNTIF($E182:AA182,"¶")+COUNTIF($E182:AA182,"²")+COUNTIF($E182:AA182,"µ")+COUNTIF($E182:AA182,1),ColLivraison)=AB$6,
  VLOOKUP($E182,INDIRECT("tri!"&amp; CHAR(64+ C0Col) &amp;":"&amp; CHAR(65+C0Col)),2,FALSE)&gt;COUNTIF($E182:AA182,"u")+COUNTIF($E182:AA182,"t")+COUNTIF($E182:AA182,"¶")+COUNTIF($E182:AA182,"²")+COUNTIF($E182:AA182,"µ")+COUNTIF($E182:AA182,1)),
HYPERLINK("#Roadmap!C"&amp; MATCH($E182,Roadmap!$D:$D,0)+COUNTIF($E182:AA182,"u")+COUNTIF($E182:AA182,"t"),
     INDEX(Roadmap!$D:$K,MATCH($E182,Roadmap!$D:$D,0)+COUNTIF($E182:AA182,"u")+COUNTIF($E182:AA182,"t")+COUNTIF($E182:AA182,"¶")+COUNTIF($E182:AA182,"²")+COUNTIF($E182:AA182,"µ")+COUNTIF($E182:AA182,1),ColTypeEcheance)),
  IF(LEN(AA182)=1,
  IF(LEN(INDEX(Roadmap!$D:$K,MATCH($E182,Roadmap!$D:$D,0)-1+COUNTIF($E182:AA182,"u")+COUNTIF($E182:AA182,"t")+COUNTIF($E182:AA182,"¶")+COUNTIF($E182:AA182,"²")+COUNTIF($E182:AA182,"µ")+COUNTIF($E182:AA182,1),ColDescriptionCourte))&gt;1,
HYPERLINK("#Roadmap!C"&amp; MATCH($E182,Roadmap!$D:$D,0)+COUNTIF($E182:AA182,"u")+COUNTIF($E182:AA182,"t")+COUNTIF($E182:AA182,"¶")+COUNTIF($E182:AA182,"²")+COUNTIF($E182:AA182,"µ")+COUNTIF($E182:AA182,1)-1,INDEX(Roadmap!$D:$K,MATCH($E182,Roadmap!$D:$D,0)-1+COUNTIF($E182:AA182,"u")+COUNTIF($E182:AA182,"t")+COUNTIF($E182:AA182,"¶")+COUNTIF($E182:AA182,"²")+COUNTIF($E182:AA182,"µ")+COUNTIF($E182:AA182,1),ColDescriptionCourte)),""),
  "")),"")</f>
        <v/>
      </c>
      <c r="AC182" s="40" t="str">
        <f ca="1">IFERROR(IF(AND(
  INDEX(Roadmap!$D:$K,MATCH($E182,Roadmap!$D:$D,0)+COUNTIF($E182:AB182,"u")+COUNTIF($E182:AB182,"t")+COUNTIF($E182:AB182,"¶")+COUNTIF($E182:AB182,"²")+COUNTIF($E182:AB182,"µ")+COUNTIF($E182:AB182,1),ColLivraison)=AC$6,
  VLOOKUP($E182,INDIRECT("tri!"&amp; CHAR(64+ C0Col) &amp;":"&amp; CHAR(65+C0Col)),2,FALSE)&gt;COUNTIF($E182:AB182,"u")+COUNTIF($E182:AB182,"t")+COUNTIF($E182:AB182,"¶")+COUNTIF($E182:AB182,"²")+COUNTIF($E182:AB182,"µ")+COUNTIF($E182:AB182,1)),
HYPERLINK("#Roadmap!C"&amp; MATCH($E182,Roadmap!$D:$D,0)+COUNTIF($E182:AB182,"u")+COUNTIF($E182:AB182,"t"),
     INDEX(Roadmap!$D:$K,MATCH($E182,Roadmap!$D:$D,0)+COUNTIF($E182:AB182,"u")+COUNTIF($E182:AB182,"t")+COUNTIF($E182:AB182,"¶")+COUNTIF($E182:AB182,"²")+COUNTIF($E182:AB182,"µ")+COUNTIF($E182:AB182,1),ColTypeEcheance)),
  IF(LEN(AB182)=1,
  IF(LEN(INDEX(Roadmap!$D:$K,MATCH($E182,Roadmap!$D:$D,0)-1+COUNTIF($E182:AB182,"u")+COUNTIF($E182:AB182,"t")+COUNTIF($E182:AB182,"¶")+COUNTIF($E182:AB182,"²")+COUNTIF($E182:AB182,"µ")+COUNTIF($E182:AB182,1),ColDescriptionCourte))&gt;1,
HYPERLINK("#Roadmap!C"&amp; MATCH($E182,Roadmap!$D:$D,0)+COUNTIF($E182:AB182,"u")+COUNTIF($E182:AB182,"t")+COUNTIF($E182:AB182,"¶")+COUNTIF($E182:AB182,"²")+COUNTIF($E182:AB182,"µ")+COUNTIF($E182:AB182,1)-1,INDEX(Roadmap!$D:$K,MATCH($E182,Roadmap!$D:$D,0)-1+COUNTIF($E182:AB182,"u")+COUNTIF($E182:AB182,"t")+COUNTIF($E182:AB182,"¶")+COUNTIF($E182:AB182,"²")+COUNTIF($E182:AB182,"µ")+COUNTIF($E182:AB182,1),ColDescriptionCourte)),""),
  "")),"")</f>
        <v/>
      </c>
      <c r="AD182" s="40" t="str">
        <f ca="1">IFERROR(IF(AND(
  INDEX(Roadmap!$D:$K,MATCH($E182,Roadmap!$D:$D,0)+COUNTIF($E182:AC182,"u")+COUNTIF($E182:AC182,"t")+COUNTIF($E182:AC182,"¶")+COUNTIF($E182:AC182,"²")+COUNTIF($E182:AC182,"µ")+COUNTIF($E182:AC182,1),ColLivraison)=AD$6,
  VLOOKUP($E182,INDIRECT("tri!"&amp; CHAR(64+ C0Col) &amp;":"&amp; CHAR(65+C0Col)),2,FALSE)&gt;COUNTIF($E182:AC182,"u")+COUNTIF($E182:AC182,"t")+COUNTIF($E182:AC182,"¶")+COUNTIF($E182:AC182,"²")+COUNTIF($E182:AC182,"µ")+COUNTIF($E182:AC182,1)),
HYPERLINK("#Roadmap!C"&amp; MATCH($E182,Roadmap!$D:$D,0)+COUNTIF($E182:AC182,"u")+COUNTIF($E182:AC182,"t"),
     INDEX(Roadmap!$D:$K,MATCH($E182,Roadmap!$D:$D,0)+COUNTIF($E182:AC182,"u")+COUNTIF($E182:AC182,"t")+COUNTIF($E182:AC182,"¶")+COUNTIF($E182:AC182,"²")+COUNTIF($E182:AC182,"µ")+COUNTIF($E182:AC182,1),ColTypeEcheance)),
  IF(LEN(AC182)=1,
  IF(LEN(INDEX(Roadmap!$D:$K,MATCH($E182,Roadmap!$D:$D,0)-1+COUNTIF($E182:AC182,"u")+COUNTIF($E182:AC182,"t")+COUNTIF($E182:AC182,"¶")+COUNTIF($E182:AC182,"²")+COUNTIF($E182:AC182,"µ")+COUNTIF($E182:AC182,1),ColDescriptionCourte))&gt;1,
HYPERLINK("#Roadmap!C"&amp; MATCH($E182,Roadmap!$D:$D,0)+COUNTIF($E182:AC182,"u")+COUNTIF($E182:AC182,"t")+COUNTIF($E182:AC182,"¶")+COUNTIF($E182:AC182,"²")+COUNTIF($E182:AC182,"µ")+COUNTIF($E182:AC182,1)-1,INDEX(Roadmap!$D:$K,MATCH($E182,Roadmap!$D:$D,0)-1+COUNTIF($E182:AC182,"u")+COUNTIF($E182:AC182,"t")+COUNTIF($E182:AC182,"¶")+COUNTIF($E182:AC182,"²")+COUNTIF($E182:AC182,"µ")+COUNTIF($E182:AC182,1),ColDescriptionCourte)),""),
  "")),"")</f>
        <v/>
      </c>
      <c r="AE182" s="40" t="str">
        <f ca="1">IFERROR(IF(AND(
  INDEX(Roadmap!$D:$K,MATCH($E182,Roadmap!$D:$D,0)+COUNTIF($E182:AD182,"u")+COUNTIF($E182:AD182,"t")+COUNTIF($E182:AD182,"¶")+COUNTIF($E182:AD182,"²")+COUNTIF($E182:AD182,"µ")+COUNTIF($E182:AD182,1),ColLivraison)=AE$6,
  VLOOKUP($E182,INDIRECT("tri!"&amp; CHAR(64+ C0Col) &amp;":"&amp; CHAR(65+C0Col)),2,FALSE)&gt;COUNTIF($E182:AD182,"u")+COUNTIF($E182:AD182,"t")+COUNTIF($E182:AD182,"¶")+COUNTIF($E182:AD182,"²")+COUNTIF($E182:AD182,"µ")+COUNTIF($E182:AD182,1)),
HYPERLINK("#Roadmap!C"&amp; MATCH($E182,Roadmap!$D:$D,0)+COUNTIF($E182:AD182,"u")+COUNTIF($E182:AD182,"t"),
     INDEX(Roadmap!$D:$K,MATCH($E182,Roadmap!$D:$D,0)+COUNTIF($E182:AD182,"u")+COUNTIF($E182:AD182,"t")+COUNTIF($E182:AD182,"¶")+COUNTIF($E182:AD182,"²")+COUNTIF($E182:AD182,"µ")+COUNTIF($E182:AD182,1),ColTypeEcheance)),
  IF(LEN(AD182)=1,
  IF(LEN(INDEX(Roadmap!$D:$K,MATCH($E182,Roadmap!$D:$D,0)-1+COUNTIF($E182:AD182,"u")+COUNTIF($E182:AD182,"t")+COUNTIF($E182:AD182,"¶")+COUNTIF($E182:AD182,"²")+COUNTIF($E182:AD182,"µ")+COUNTIF($E182:AD182,1),ColDescriptionCourte))&gt;1,
HYPERLINK("#Roadmap!C"&amp; MATCH($E182,Roadmap!$D:$D,0)+COUNTIF($E182:AD182,"u")+COUNTIF($E182:AD182,"t")+COUNTIF($E182:AD182,"¶")+COUNTIF($E182:AD182,"²")+COUNTIF($E182:AD182,"µ")+COUNTIF($E182:AD182,1)-1,INDEX(Roadmap!$D:$K,MATCH($E182,Roadmap!$D:$D,0)-1+COUNTIF($E182:AD182,"u")+COUNTIF($E182:AD182,"t")+COUNTIF($E182:AD182,"¶")+COUNTIF($E182:AD182,"²")+COUNTIF($E182:AD182,"µ")+COUNTIF($E182:AD182,1),ColDescriptionCourte)),""),
  "")),"")</f>
        <v/>
      </c>
      <c r="AF182" s="40" t="str">
        <f ca="1">IFERROR(IF(AND(
  INDEX(Roadmap!$D:$K,MATCH($E182,Roadmap!$D:$D,0)+COUNTIF($E182:AE182,"u")+COUNTIF($E182:AE182,"t")+COUNTIF($E182:AE182,"¶")+COUNTIF($E182:AE182,"²")+COUNTIF($E182:AE182,"µ")+COUNTIF($E182:AE182,1),ColLivraison)=AF$6,
  VLOOKUP($E182,INDIRECT("tri!"&amp; CHAR(64+ C0Col) &amp;":"&amp; CHAR(65+C0Col)),2,FALSE)&gt;COUNTIF($E182:AE182,"u")+COUNTIF($E182:AE182,"t")+COUNTIF($E182:AE182,"¶")+COUNTIF($E182:AE182,"²")+COUNTIF($E182:AE182,"µ")+COUNTIF($E182:AE182,1)),
HYPERLINK("#Roadmap!C"&amp; MATCH($E182,Roadmap!$D:$D,0)+COUNTIF($E182:AE182,"u")+COUNTIF($E182:AE182,"t"),
     INDEX(Roadmap!$D:$K,MATCH($E182,Roadmap!$D:$D,0)+COUNTIF($E182:AE182,"u")+COUNTIF($E182:AE182,"t")+COUNTIF($E182:AE182,"¶")+COUNTIF($E182:AE182,"²")+COUNTIF($E182:AE182,"µ")+COUNTIF($E182:AE182,1),ColTypeEcheance)),
  IF(LEN(AE182)=1,
  IF(LEN(INDEX(Roadmap!$D:$K,MATCH($E182,Roadmap!$D:$D,0)-1+COUNTIF($E182:AE182,"u")+COUNTIF($E182:AE182,"t")+COUNTIF($E182:AE182,"¶")+COUNTIF($E182:AE182,"²")+COUNTIF($E182:AE182,"µ")+COUNTIF($E182:AE182,1),ColDescriptionCourte))&gt;1,
HYPERLINK("#Roadmap!C"&amp; MATCH($E182,Roadmap!$D:$D,0)+COUNTIF($E182:AE182,"u")+COUNTIF($E182:AE182,"t")+COUNTIF($E182:AE182,"¶")+COUNTIF($E182:AE182,"²")+COUNTIF($E182:AE182,"µ")+COUNTIF($E182:AE182,1)-1,INDEX(Roadmap!$D:$K,MATCH($E182,Roadmap!$D:$D,0)-1+COUNTIF($E182:AE182,"u")+COUNTIF($E182:AE182,"t")+COUNTIF($E182:AE182,"¶")+COUNTIF($E182:AE182,"²")+COUNTIF($E182:AE182,"µ")+COUNTIF($E182:AE182,1),ColDescriptionCourte)),""),
  "")),"")</f>
        <v/>
      </c>
      <c r="AG182" s="40" t="str">
        <f ca="1">IFERROR(IF(AND(
  INDEX(Roadmap!$D:$K,MATCH($E182,Roadmap!$D:$D,0)+COUNTIF($E182:AF182,"u")+COUNTIF($E182:AF182,"t")+COUNTIF($E182:AF182,"¶")+COUNTIF($E182:AF182,"²")+COUNTIF($E182:AF182,"µ")+COUNTIF($E182:AF182,1),ColLivraison)=AG$6,
  VLOOKUP($E182,INDIRECT("tri!"&amp; CHAR(64+ C0Col) &amp;":"&amp; CHAR(65+C0Col)),2,FALSE)&gt;COUNTIF($E182:AF182,"u")+COUNTIF($E182:AF182,"t")+COUNTIF($E182:AF182,"¶")+COUNTIF($E182:AF182,"²")+COUNTIF($E182:AF182,"µ")+COUNTIF($E182:AF182,1)),
HYPERLINK("#Roadmap!C"&amp; MATCH($E182,Roadmap!$D:$D,0)+COUNTIF($E182:AF182,"u")+COUNTIF($E182:AF182,"t"),
     INDEX(Roadmap!$D:$K,MATCH($E182,Roadmap!$D:$D,0)+COUNTIF($E182:AF182,"u")+COUNTIF($E182:AF182,"t")+COUNTIF($E182:AF182,"¶")+COUNTIF($E182:AF182,"²")+COUNTIF($E182:AF182,"µ")+COUNTIF($E182:AF182,1),ColTypeEcheance)),
  IF(LEN(AF182)=1,
  IF(LEN(INDEX(Roadmap!$D:$K,MATCH($E182,Roadmap!$D:$D,0)-1+COUNTIF($E182:AF182,"u")+COUNTIF($E182:AF182,"t")+COUNTIF($E182:AF182,"¶")+COUNTIF($E182:AF182,"²")+COUNTIF($E182:AF182,"µ")+COUNTIF($E182:AF182,1),ColDescriptionCourte))&gt;1,
HYPERLINK("#Roadmap!C"&amp; MATCH($E182,Roadmap!$D:$D,0)+COUNTIF($E182:AF182,"u")+COUNTIF($E182:AF182,"t")+COUNTIF($E182:AF182,"¶")+COUNTIF($E182:AF182,"²")+COUNTIF($E182:AF182,"µ")+COUNTIF($E182:AF182,1)-1,INDEX(Roadmap!$D:$K,MATCH($E182,Roadmap!$D:$D,0)-1+COUNTIF($E182:AF182,"u")+COUNTIF($E182:AF182,"t")+COUNTIF($E182:AF182,"¶")+COUNTIF($E182:AF182,"²")+COUNTIF($E182:AF182,"µ")+COUNTIF($E182:AF182,1),ColDescriptionCourte)),""),
  "")),"")</f>
        <v/>
      </c>
    </row>
    <row r="183" spans="3:33" ht="14.25" customHeight="1">
      <c r="C183" s="1" t="str">
        <f t="shared" ca="1" si="54"/>
        <v/>
      </c>
      <c r="D183" s="1" t="str">
        <f t="shared" ca="1" si="55"/>
        <v/>
      </c>
      <c r="E183" s="35" t="str">
        <f t="shared" ca="1" si="51"/>
        <v/>
      </c>
      <c r="F183" s="39" t="str">
        <f ca="1">IFERROR(IF(AND(
  INDEX(Roadmap!$D:$K,MATCH($E183,Roadmap!$D:$D,0)+COUNTIF($E183:E183,"u")+COUNTIF($E183:E183,"t")+COUNTIF($E183:E183,"¶")+COUNTIF($E183:E183,"²")+COUNTIF($E183:E183,"µ")+COUNTIF($E183:E183,1),ColLivraison)=F$6,
  VLOOKUP($E183,INDIRECT("tri!"&amp; CHAR(64+ C0Col) &amp;":"&amp; CHAR(65+C0Col)),2,FALSE)&gt;COUNTIF($E183:E183,"u")+COUNTIF($E183:E183,"t")+COUNTIF($E183:E183,"¶")+COUNTIF($E183:E183,"²")+COUNTIF($E183:E183,"µ")+COUNTIF($E183:E183,1)),
HYPERLINK("#Roadmap!C"&amp; MATCH($E183,Roadmap!$D:$D,0)+COUNTIF($E183:E183,"u")+COUNTIF($E183:E183,"t"),
     INDEX(Roadmap!$D:$K,MATCH($E183,Roadmap!$D:$D,0)+COUNTIF($E183:E183,"u")+COUNTIF($E183:E183,"t")+COUNTIF($E183:E183,"¶")+COUNTIF($E183:E183,"²")+COUNTIF($E183:E183,"µ")+COUNTIF($E183:E183,1),ColTypeEcheance)),
  IF(LEN(E183)=1,
  IF(LEN(INDEX(Roadmap!$D:$K,MATCH($E183,Roadmap!$D:$D,0)-1+COUNTIF($E183:E183,"u")+COUNTIF($E183:E183,"t")+COUNTIF($E183:E183,"¶")+COUNTIF($E183:E183,"²")+COUNTIF($E183:E183,"µ")+COUNTIF($E183:E183,1),ColDescriptionCourte))&gt;1,
HYPERLINK("#Roadmap!C"&amp; MATCH($E183,Roadmap!$D:$D,0)+COUNTIF($E183:E183,"u")+COUNTIF($E183:E183,"t")+COUNTIF($E183:E183,"¶")+COUNTIF($E183:E183,"²")+COUNTIF($E183:E183,"µ")+COUNTIF($E183:E183,1)-1,INDEX(Roadmap!$D:$K,MATCH($E183,Roadmap!$D:$D,0)-1+COUNTIF($E183:E183,"u")+COUNTIF($E183:E183,"t")+COUNTIF($E183:E183,"¶")+COUNTIF($E183:E183,"²")+COUNTIF($E183:E183,"µ")+COUNTIF($E183:E183,1),ColDescriptionCourte)),""),
  "")),"")</f>
        <v/>
      </c>
      <c r="G183" s="40" t="str">
        <f ca="1">IFERROR(IF(AND(
  INDEX(Roadmap!$D:$K,MATCH($E183,Roadmap!$D:$D,0)+COUNTIF($E183:F183,"u")+COUNTIF($E183:F183,"t")+COUNTIF($E183:F183,"¶")+COUNTIF($E183:F183,"²")+COUNTIF($E183:F183,"µ")+COUNTIF($E183:F183,1),ColLivraison)=G$6,
  VLOOKUP($E183,INDIRECT("tri!"&amp; CHAR(64+ C0Col) &amp;":"&amp; CHAR(65+C0Col)),2,FALSE)&gt;COUNTIF($E183:F183,"u")+COUNTIF($E183:F183,"t")+COUNTIF($E183:F183,"¶")+COUNTIF($E183:F183,"²")+COUNTIF($E183:F183,"µ")+COUNTIF($E183:F183,1)),
HYPERLINK("#Roadmap!C"&amp; MATCH($E183,Roadmap!$D:$D,0)+COUNTIF($E183:F183,"u")+COUNTIF($E183:F183,"t"),
     INDEX(Roadmap!$D:$K,MATCH($E183,Roadmap!$D:$D,0)+COUNTIF($E183:F183,"u")+COUNTIF($E183:F183,"t")+COUNTIF($E183:F183,"¶")+COUNTIF($E183:F183,"²")+COUNTIF($E183:F183,"µ")+COUNTIF($E183:F183,1),ColTypeEcheance)),
  IF(LEN(F183)=1,
  IF(LEN(INDEX(Roadmap!$D:$K,MATCH($E183,Roadmap!$D:$D,0)-1+COUNTIF($E183:F183,"u")+COUNTIF($E183:F183,"t")+COUNTIF($E183:F183,"¶")+COUNTIF($E183:F183,"²")+COUNTIF($E183:F183,"µ")+COUNTIF($E183:F183,1),ColDescriptionCourte))&gt;1,
HYPERLINK("#Roadmap!C"&amp; MATCH($E183,Roadmap!$D:$D,0)+COUNTIF($E183:F183,"u")+COUNTIF($E183:F183,"t")+COUNTIF($E183:F183,"¶")+COUNTIF($E183:F183,"²")+COUNTIF($E183:F183,"µ")+COUNTIF($E183:F183,1)-1,INDEX(Roadmap!$D:$K,MATCH($E183,Roadmap!$D:$D,0)-1+COUNTIF($E183:F183,"u")+COUNTIF($E183:F183,"t")+COUNTIF($E183:F183,"¶")+COUNTIF($E183:F183,"²")+COUNTIF($E183:F183,"µ")+COUNTIF($E183:F183,1),ColDescriptionCourte)),""),
  "")),"")</f>
        <v/>
      </c>
      <c r="H183" s="40" t="str">
        <f ca="1">IFERROR(IF(AND(
  INDEX(Roadmap!$D:$K,MATCH($E183,Roadmap!$D:$D,0)+COUNTIF($E183:G183,"u")+COUNTIF($E183:G183,"t")+COUNTIF($E183:G183,"¶")+COUNTIF($E183:G183,"²")+COUNTIF($E183:G183,"µ")+COUNTIF($E183:G183,1),ColLivraison)=H$6,
  VLOOKUP($E183,INDIRECT("tri!"&amp; CHAR(64+ C0Col) &amp;":"&amp; CHAR(65+C0Col)),2,FALSE)&gt;COUNTIF($E183:G183,"u")+COUNTIF($E183:G183,"t")+COUNTIF($E183:G183,"¶")+COUNTIF($E183:G183,"²")+COUNTIF($E183:G183,"µ")+COUNTIF($E183:G183,1)),
HYPERLINK("#Roadmap!C"&amp; MATCH($E183,Roadmap!$D:$D,0)+COUNTIF($E183:G183,"u")+COUNTIF($E183:G183,"t"),
     INDEX(Roadmap!$D:$K,MATCH($E183,Roadmap!$D:$D,0)+COUNTIF($E183:G183,"u")+COUNTIF($E183:G183,"t")+COUNTIF($E183:G183,"¶")+COUNTIF($E183:G183,"²")+COUNTIF($E183:G183,"µ")+COUNTIF($E183:G183,1),ColTypeEcheance)),
  IF(LEN(G183)=1,
  IF(LEN(INDEX(Roadmap!$D:$K,MATCH($E183,Roadmap!$D:$D,0)-1+COUNTIF($E183:G183,"u")+COUNTIF($E183:G183,"t")+COUNTIF($E183:G183,"¶")+COUNTIF($E183:G183,"²")+COUNTIF($E183:G183,"µ")+COUNTIF($E183:G183,1),ColDescriptionCourte))&gt;1,
HYPERLINK("#Roadmap!C"&amp; MATCH($E183,Roadmap!$D:$D,0)+COUNTIF($E183:G183,"u")+COUNTIF($E183:G183,"t")+COUNTIF($E183:G183,"¶")+COUNTIF($E183:G183,"²")+COUNTIF($E183:G183,"µ")+COUNTIF($E183:G183,1)-1,INDEX(Roadmap!$D:$K,MATCH($E183,Roadmap!$D:$D,0)-1+COUNTIF($E183:G183,"u")+COUNTIF($E183:G183,"t")+COUNTIF($E183:G183,"¶")+COUNTIF($E183:G183,"²")+COUNTIF($E183:G183,"µ")+COUNTIF($E183:G183,1),ColDescriptionCourte)),""),
  "")),"")</f>
        <v/>
      </c>
      <c r="I183" s="40" t="str">
        <f ca="1">IFERROR(IF(AND(
  INDEX(Roadmap!$D:$K,MATCH($E183,Roadmap!$D:$D,0)+COUNTIF($E183:H183,"u")+COUNTIF($E183:H183,"t")+COUNTIF($E183:H183,"¶")+COUNTIF($E183:H183,"²")+COUNTIF($E183:H183,"µ")+COUNTIF($E183:H183,1),ColLivraison)=I$6,
  VLOOKUP($E183,INDIRECT("tri!"&amp; CHAR(64+ C0Col) &amp;":"&amp; CHAR(65+C0Col)),2,FALSE)&gt;COUNTIF($E183:H183,"u")+COUNTIF($E183:H183,"t")+COUNTIF($E183:H183,"¶")+COUNTIF($E183:H183,"²")+COUNTIF($E183:H183,"µ")+COUNTIF($E183:H183,1)),
HYPERLINK("#Roadmap!C"&amp; MATCH($E183,Roadmap!$D:$D,0)+COUNTIF($E183:H183,"u")+COUNTIF($E183:H183,"t"),
     INDEX(Roadmap!$D:$K,MATCH($E183,Roadmap!$D:$D,0)+COUNTIF($E183:H183,"u")+COUNTIF($E183:H183,"t")+COUNTIF($E183:H183,"¶")+COUNTIF($E183:H183,"²")+COUNTIF($E183:H183,"µ")+COUNTIF($E183:H183,1),ColTypeEcheance)),
  IF(LEN(H183)=1,
  IF(LEN(INDEX(Roadmap!$D:$K,MATCH($E183,Roadmap!$D:$D,0)-1+COUNTIF($E183:H183,"u")+COUNTIF($E183:H183,"t")+COUNTIF($E183:H183,"¶")+COUNTIF($E183:H183,"²")+COUNTIF($E183:H183,"µ")+COUNTIF($E183:H183,1),ColDescriptionCourte))&gt;1,
HYPERLINK("#Roadmap!C"&amp; MATCH($E183,Roadmap!$D:$D,0)+COUNTIF($E183:H183,"u")+COUNTIF($E183:H183,"t")+COUNTIF($E183:H183,"¶")+COUNTIF($E183:H183,"²")+COUNTIF($E183:H183,"µ")+COUNTIF($E183:H183,1)-1,INDEX(Roadmap!$D:$K,MATCH($E183,Roadmap!$D:$D,0)-1+COUNTIF($E183:H183,"u")+COUNTIF($E183:H183,"t")+COUNTIF($E183:H183,"¶")+COUNTIF($E183:H183,"²")+COUNTIF($E183:H183,"µ")+COUNTIF($E183:H183,1),ColDescriptionCourte)),""),
  "")),"")</f>
        <v/>
      </c>
      <c r="J183" s="40" t="str">
        <f ca="1">IFERROR(IF(AND(
  INDEX(Roadmap!$D:$K,MATCH($E183,Roadmap!$D:$D,0)+COUNTIF($E183:I183,"u")+COUNTIF($E183:I183,"t")+COUNTIF($E183:I183,"¶")+COUNTIF($E183:I183,"²")+COUNTIF($E183:I183,"µ")+COUNTIF($E183:I183,1),ColLivraison)=J$6,
  VLOOKUP($E183,INDIRECT("tri!"&amp; CHAR(64+ C0Col) &amp;":"&amp; CHAR(65+C0Col)),2,FALSE)&gt;COUNTIF($E183:I183,"u")+COUNTIF($E183:I183,"t")+COUNTIF($E183:I183,"¶")+COUNTIF($E183:I183,"²")+COUNTIF($E183:I183,"µ")+COUNTIF($E183:I183,1)),
HYPERLINK("#Roadmap!C"&amp; MATCH($E183,Roadmap!$D:$D,0)+COUNTIF($E183:I183,"u")+COUNTIF($E183:I183,"t"),
     INDEX(Roadmap!$D:$K,MATCH($E183,Roadmap!$D:$D,0)+COUNTIF($E183:I183,"u")+COUNTIF($E183:I183,"t")+COUNTIF($E183:I183,"¶")+COUNTIF($E183:I183,"²")+COUNTIF($E183:I183,"µ")+COUNTIF($E183:I183,1),ColTypeEcheance)),
  IF(LEN(I183)=1,
  IF(LEN(INDEX(Roadmap!$D:$K,MATCH($E183,Roadmap!$D:$D,0)-1+COUNTIF($E183:I183,"u")+COUNTIF($E183:I183,"t")+COUNTIF($E183:I183,"¶")+COUNTIF($E183:I183,"²")+COUNTIF($E183:I183,"µ")+COUNTIF($E183:I183,1),ColDescriptionCourte))&gt;1,
HYPERLINK("#Roadmap!C"&amp; MATCH($E183,Roadmap!$D:$D,0)+COUNTIF($E183:I183,"u")+COUNTIF($E183:I183,"t")+COUNTIF($E183:I183,"¶")+COUNTIF($E183:I183,"²")+COUNTIF($E183:I183,"µ")+COUNTIF($E183:I183,1)-1,INDEX(Roadmap!$D:$K,MATCH($E183,Roadmap!$D:$D,0)-1+COUNTIF($E183:I183,"u")+COUNTIF($E183:I183,"t")+COUNTIF($E183:I183,"¶")+COUNTIF($E183:I183,"²")+COUNTIF($E183:I183,"µ")+COUNTIF($E183:I183,1),ColDescriptionCourte)),""),
  "")),"")</f>
        <v/>
      </c>
      <c r="K183" s="40" t="str">
        <f ca="1">IFERROR(IF(AND(
  INDEX(Roadmap!$D:$K,MATCH($E183,Roadmap!$D:$D,0)+COUNTIF($E183:J183,"u")+COUNTIF($E183:J183,"t")+COUNTIF($E183:J183,"¶")+COUNTIF($E183:J183,"²")+COUNTIF($E183:J183,"µ")+COUNTIF($E183:J183,1),ColLivraison)=K$6,
  VLOOKUP($E183,INDIRECT("tri!"&amp; CHAR(64+ C0Col) &amp;":"&amp; CHAR(65+C0Col)),2,FALSE)&gt;COUNTIF($E183:J183,"u")+COUNTIF($E183:J183,"t")+COUNTIF($E183:J183,"¶")+COUNTIF($E183:J183,"²")+COUNTIF($E183:J183,"µ")+COUNTIF($E183:J183,1)),
HYPERLINK("#Roadmap!C"&amp; MATCH($E183,Roadmap!$D:$D,0)+COUNTIF($E183:J183,"u")+COUNTIF($E183:J183,"t"),
     INDEX(Roadmap!$D:$K,MATCH($E183,Roadmap!$D:$D,0)+COUNTIF($E183:J183,"u")+COUNTIF($E183:J183,"t")+COUNTIF($E183:J183,"¶")+COUNTIF($E183:J183,"²")+COUNTIF($E183:J183,"µ")+COUNTIF($E183:J183,1),ColTypeEcheance)),
  IF(LEN(J183)=1,
  IF(LEN(INDEX(Roadmap!$D:$K,MATCH($E183,Roadmap!$D:$D,0)-1+COUNTIF($E183:J183,"u")+COUNTIF($E183:J183,"t")+COUNTIF($E183:J183,"¶")+COUNTIF($E183:J183,"²")+COUNTIF($E183:J183,"µ")+COUNTIF($E183:J183,1),ColDescriptionCourte))&gt;1,
HYPERLINK("#Roadmap!C"&amp; MATCH($E183,Roadmap!$D:$D,0)+COUNTIF($E183:J183,"u")+COUNTIF($E183:J183,"t")+COUNTIF($E183:J183,"¶")+COUNTIF($E183:J183,"²")+COUNTIF($E183:J183,"µ")+COUNTIF($E183:J183,1)-1,INDEX(Roadmap!$D:$K,MATCH($E183,Roadmap!$D:$D,0)-1+COUNTIF($E183:J183,"u")+COUNTIF($E183:J183,"t")+COUNTIF($E183:J183,"¶")+COUNTIF($E183:J183,"²")+COUNTIF($E183:J183,"µ")+COUNTIF($E183:J183,1),ColDescriptionCourte)),""),
  "")),"")</f>
        <v/>
      </c>
      <c r="L183" s="39" t="str">
        <f ca="1">IFERROR(IF(AND(
  INDEX(Roadmap!$D:$K,MATCH($E183,Roadmap!$D:$D,0)+COUNTIF($E183:K183,"u")+COUNTIF($E183:K183,"t")+COUNTIF($E183:K183,"¶")+COUNTIF($E183:K183,"²")+COUNTIF($E183:K183,"µ")+COUNTIF($E183:K183,1),ColLivraison)=L$6,
  VLOOKUP($E183,INDIRECT("tri!"&amp; CHAR(64+ C0Col) &amp;":"&amp; CHAR(65+C0Col)),2,FALSE)&gt;COUNTIF($E183:K183,"u")+COUNTIF($E183:K183,"t")+COUNTIF($E183:K183,"¶")+COUNTIF($E183:K183,"²")+COUNTIF($E183:K183,"µ")+COUNTIF($E183:K183,1)),
HYPERLINK("#Roadmap!C"&amp; MATCH($E183,Roadmap!$D:$D,0)+COUNTIF($E183:K183,"u")+COUNTIF($E183:K183,"t"),
     INDEX(Roadmap!$D:$K,MATCH($E183,Roadmap!$D:$D,0)+COUNTIF($E183:K183,"u")+COUNTIF($E183:K183,"t")+COUNTIF($E183:K183,"¶")+COUNTIF($E183:K183,"²")+COUNTIF($E183:K183,"µ")+COUNTIF($E183:K183,1),ColTypeEcheance)),
  IF(LEN(K183)=1,
  IF(LEN(INDEX(Roadmap!$D:$K,MATCH($E183,Roadmap!$D:$D,0)-1+COUNTIF($E183:K183,"u")+COUNTIF($E183:K183,"t")+COUNTIF($E183:K183,"¶")+COUNTIF($E183:K183,"²")+COUNTIF($E183:K183,"µ")+COUNTIF($E183:K183,1),ColDescriptionCourte))&gt;1,
HYPERLINK("#Roadmap!C"&amp; MATCH($E183,Roadmap!$D:$D,0)+COUNTIF($E183:K183,"u")+COUNTIF($E183:K183,"t")+COUNTIF($E183:K183,"¶")+COUNTIF($E183:K183,"²")+COUNTIF($E183:K183,"µ")+COUNTIF($E183:K183,1)-1,INDEX(Roadmap!$D:$K,MATCH($E183,Roadmap!$D:$D,0)-1+COUNTIF($E183:K183,"u")+COUNTIF($E183:K183,"t")+COUNTIF($E183:K183,"¶")+COUNTIF($E183:K183,"²")+COUNTIF($E183:K183,"µ")+COUNTIF($E183:K183,1),ColDescriptionCourte)),""),
  "")),"")</f>
        <v/>
      </c>
      <c r="M183" s="40" t="str">
        <f ca="1">IFERROR(IF(AND(
  INDEX(Roadmap!$D:$K,MATCH($E183,Roadmap!$D:$D,0)+COUNTIF($E183:L183,"u")+COUNTIF($E183:L183,"t")+COUNTIF($E183:L183,"¶")+COUNTIF($E183:L183,"²")+COUNTIF($E183:L183,"µ")+COUNTIF($E183:L183,1),ColLivraison)=M$6,
  VLOOKUP($E183,INDIRECT("tri!"&amp; CHAR(64+ C0Col) &amp;":"&amp; CHAR(65+C0Col)),2,FALSE)&gt;COUNTIF($E183:L183,"u")+COUNTIF($E183:L183,"t")+COUNTIF($E183:L183,"¶")+COUNTIF($E183:L183,"²")+COUNTIF($E183:L183,"µ")+COUNTIF($E183:L183,1)),
HYPERLINK("#Roadmap!C"&amp; MATCH($E183,Roadmap!$D:$D,0)+COUNTIF($E183:L183,"u")+COUNTIF($E183:L183,"t"),
     INDEX(Roadmap!$D:$K,MATCH($E183,Roadmap!$D:$D,0)+COUNTIF($E183:L183,"u")+COUNTIF($E183:L183,"t")+COUNTIF($E183:L183,"¶")+COUNTIF($E183:L183,"²")+COUNTIF($E183:L183,"µ")+COUNTIF($E183:L183,1),ColTypeEcheance)),
  IF(LEN(L183)=1,
  IF(LEN(INDEX(Roadmap!$D:$K,MATCH($E183,Roadmap!$D:$D,0)-1+COUNTIF($E183:L183,"u")+COUNTIF($E183:L183,"t")+COUNTIF($E183:L183,"¶")+COUNTIF($E183:L183,"²")+COUNTIF($E183:L183,"µ")+COUNTIF($E183:L183,1),ColDescriptionCourte))&gt;1,
HYPERLINK("#Roadmap!C"&amp; MATCH($E183,Roadmap!$D:$D,0)+COUNTIF($E183:L183,"u")+COUNTIF($E183:L183,"t")+COUNTIF($E183:L183,"¶")+COUNTIF($E183:L183,"²")+COUNTIF($E183:L183,"µ")+COUNTIF($E183:L183,1)-1,INDEX(Roadmap!$D:$K,MATCH($E183,Roadmap!$D:$D,0)-1+COUNTIF($E183:L183,"u")+COUNTIF($E183:L183,"t")+COUNTIF($E183:L183,"¶")+COUNTIF($E183:L183,"²")+COUNTIF($E183:L183,"µ")+COUNTIF($E183:L183,1),ColDescriptionCourte)),""),
  "")),"")</f>
        <v/>
      </c>
      <c r="N183" s="40" t="str">
        <f ca="1">IFERROR(IF(AND(
  INDEX(Roadmap!$D:$K,MATCH($E183,Roadmap!$D:$D,0)+COUNTIF($E183:M183,"u")+COUNTIF($E183:M183,"t")+COUNTIF($E183:M183,"¶")+COUNTIF($E183:M183,"²")+COUNTIF($E183:M183,"µ")+COUNTIF($E183:M183,1),ColLivraison)=N$6,
  VLOOKUP($E183,INDIRECT("tri!"&amp; CHAR(64+ C0Col) &amp;":"&amp; CHAR(65+C0Col)),2,FALSE)&gt;COUNTIF($E183:M183,"u")+COUNTIF($E183:M183,"t")+COUNTIF($E183:M183,"¶")+COUNTIF($E183:M183,"²")+COUNTIF($E183:M183,"µ")+COUNTIF($E183:M183,1)),
HYPERLINK("#Roadmap!C"&amp; MATCH($E183,Roadmap!$D:$D,0)+COUNTIF($E183:M183,"u")+COUNTIF($E183:M183,"t"),
     INDEX(Roadmap!$D:$K,MATCH($E183,Roadmap!$D:$D,0)+COUNTIF($E183:M183,"u")+COUNTIF($E183:M183,"t")+COUNTIF($E183:M183,"¶")+COUNTIF($E183:M183,"²")+COUNTIF($E183:M183,"µ")+COUNTIF($E183:M183,1),ColTypeEcheance)),
  IF(LEN(M183)=1,
  IF(LEN(INDEX(Roadmap!$D:$K,MATCH($E183,Roadmap!$D:$D,0)-1+COUNTIF($E183:M183,"u")+COUNTIF($E183:M183,"t")+COUNTIF($E183:M183,"¶")+COUNTIF($E183:M183,"²")+COUNTIF($E183:M183,"µ")+COUNTIF($E183:M183,1),ColDescriptionCourte))&gt;1,
HYPERLINK("#Roadmap!C"&amp; MATCH($E183,Roadmap!$D:$D,0)+COUNTIF($E183:M183,"u")+COUNTIF($E183:M183,"t")+COUNTIF($E183:M183,"¶")+COUNTIF($E183:M183,"²")+COUNTIF($E183:M183,"µ")+COUNTIF($E183:M183,1)-1,INDEX(Roadmap!$D:$K,MATCH($E183,Roadmap!$D:$D,0)-1+COUNTIF($E183:M183,"u")+COUNTIF($E183:M183,"t")+COUNTIF($E183:M183,"¶")+COUNTIF($E183:M183,"²")+COUNTIF($E183:M183,"µ")+COUNTIF($E183:M183,1),ColDescriptionCourte)),""),
  "")),"")</f>
        <v/>
      </c>
      <c r="O183" s="40" t="str">
        <f ca="1">IFERROR(IF(AND(
  INDEX(Roadmap!$D:$K,MATCH($E183,Roadmap!$D:$D,0)+COUNTIF($E183:N183,"u")+COUNTIF($E183:N183,"t")+COUNTIF($E183:N183,"¶")+COUNTIF($E183:N183,"²")+COUNTIF($E183:N183,"µ")+COUNTIF($E183:N183,1),ColLivraison)=O$6,
  VLOOKUP($E183,INDIRECT("tri!"&amp; CHAR(64+ C0Col) &amp;":"&amp; CHAR(65+C0Col)),2,FALSE)&gt;COUNTIF($E183:N183,"u")+COUNTIF($E183:N183,"t")+COUNTIF($E183:N183,"¶")+COUNTIF($E183:N183,"²")+COUNTIF($E183:N183,"µ")+COUNTIF($E183:N183,1)),
HYPERLINK("#Roadmap!C"&amp; MATCH($E183,Roadmap!$D:$D,0)+COUNTIF($E183:N183,"u")+COUNTIF($E183:N183,"t"),
     INDEX(Roadmap!$D:$K,MATCH($E183,Roadmap!$D:$D,0)+COUNTIF($E183:N183,"u")+COUNTIF($E183:N183,"t")+COUNTIF($E183:N183,"¶")+COUNTIF($E183:N183,"²")+COUNTIF($E183:N183,"µ")+COUNTIF($E183:N183,1),ColTypeEcheance)),
  IF(LEN(N183)=1,
  IF(LEN(INDEX(Roadmap!$D:$K,MATCH($E183,Roadmap!$D:$D,0)-1+COUNTIF($E183:N183,"u")+COUNTIF($E183:N183,"t")+COUNTIF($E183:N183,"¶")+COUNTIF($E183:N183,"²")+COUNTIF($E183:N183,"µ")+COUNTIF($E183:N183,1),ColDescriptionCourte))&gt;1,
HYPERLINK("#Roadmap!C"&amp; MATCH($E183,Roadmap!$D:$D,0)+COUNTIF($E183:N183,"u")+COUNTIF($E183:N183,"t")+COUNTIF($E183:N183,"¶")+COUNTIF($E183:N183,"²")+COUNTIF($E183:N183,"µ")+COUNTIF($E183:N183,1)-1,INDEX(Roadmap!$D:$K,MATCH($E183,Roadmap!$D:$D,0)-1+COUNTIF($E183:N183,"u")+COUNTIF($E183:N183,"t")+COUNTIF($E183:N183,"¶")+COUNTIF($E183:N183,"²")+COUNTIF($E183:N183,"µ")+COUNTIF($E183:N183,1),ColDescriptionCourte)),""),
  "")),"")</f>
        <v/>
      </c>
      <c r="P183" s="40" t="str">
        <f ca="1">IFERROR(IF(AND(
  INDEX(Roadmap!$D:$K,MATCH($E183,Roadmap!$D:$D,0)+COUNTIF($E183:O183,"u")+COUNTIF($E183:O183,"t")+COUNTIF($E183:O183,"¶")+COUNTIF($E183:O183,"²")+COUNTIF($E183:O183,"µ")+COUNTIF($E183:O183,1),ColLivraison)=P$6,
  VLOOKUP($E183,INDIRECT("tri!"&amp; CHAR(64+ C0Col) &amp;":"&amp; CHAR(65+C0Col)),2,FALSE)&gt;COUNTIF($E183:O183,"u")+COUNTIF($E183:O183,"t")+COUNTIF($E183:O183,"¶")+COUNTIF($E183:O183,"²")+COUNTIF($E183:O183,"µ")+COUNTIF($E183:O183,1)),
HYPERLINK("#Roadmap!C"&amp; MATCH($E183,Roadmap!$D:$D,0)+COUNTIF($E183:O183,"u")+COUNTIF($E183:O183,"t"),
     INDEX(Roadmap!$D:$K,MATCH($E183,Roadmap!$D:$D,0)+COUNTIF($E183:O183,"u")+COUNTIF($E183:O183,"t")+COUNTIF($E183:O183,"¶")+COUNTIF($E183:O183,"²")+COUNTIF($E183:O183,"µ")+COUNTIF($E183:O183,1),ColTypeEcheance)),
  IF(LEN(O183)=1,
  IF(LEN(INDEX(Roadmap!$D:$K,MATCH($E183,Roadmap!$D:$D,0)-1+COUNTIF($E183:O183,"u")+COUNTIF($E183:O183,"t")+COUNTIF($E183:O183,"¶")+COUNTIF($E183:O183,"²")+COUNTIF($E183:O183,"µ")+COUNTIF($E183:O183,1),ColDescriptionCourte))&gt;1,
HYPERLINK("#Roadmap!C"&amp; MATCH($E183,Roadmap!$D:$D,0)+COUNTIF($E183:O183,"u")+COUNTIF($E183:O183,"t")+COUNTIF($E183:O183,"¶")+COUNTIF($E183:O183,"²")+COUNTIF($E183:O183,"µ")+COUNTIF($E183:O183,1)-1,INDEX(Roadmap!$D:$K,MATCH($E183,Roadmap!$D:$D,0)-1+COUNTIF($E183:O183,"u")+COUNTIF($E183:O183,"t")+COUNTIF($E183:O183,"¶")+COUNTIF($E183:O183,"²")+COUNTIF($E183:O183,"µ")+COUNTIF($E183:O183,1),ColDescriptionCourte)),""),
  "")),"")</f>
        <v/>
      </c>
      <c r="Q183" s="40" t="str">
        <f ca="1">IFERROR(IF(AND(
  INDEX(Roadmap!$D:$K,MATCH($E183,Roadmap!$D:$D,0)+COUNTIF($E183:P183,"u")+COUNTIF($E183:P183,"t")+COUNTIF($E183:P183,"¶")+COUNTIF($E183:P183,"²")+COUNTIF($E183:P183,"µ")+COUNTIF($E183:P183,1),ColLivraison)=Q$6,
  VLOOKUP($E183,INDIRECT("tri!"&amp; CHAR(64+ C0Col) &amp;":"&amp; CHAR(65+C0Col)),2,FALSE)&gt;COUNTIF($E183:P183,"u")+COUNTIF($E183:P183,"t")+COUNTIF($E183:P183,"¶")+COUNTIF($E183:P183,"²")+COUNTIF($E183:P183,"µ")+COUNTIF($E183:P183,1)),
HYPERLINK("#Roadmap!C"&amp; MATCH($E183,Roadmap!$D:$D,0)+COUNTIF($E183:P183,"u")+COUNTIF($E183:P183,"t"),
     INDEX(Roadmap!$D:$K,MATCH($E183,Roadmap!$D:$D,0)+COUNTIF($E183:P183,"u")+COUNTIF($E183:P183,"t")+COUNTIF($E183:P183,"¶")+COUNTIF($E183:P183,"²")+COUNTIF($E183:P183,"µ")+COUNTIF($E183:P183,1),ColTypeEcheance)),
  IF(LEN(P183)=1,
  IF(LEN(INDEX(Roadmap!$D:$K,MATCH($E183,Roadmap!$D:$D,0)-1+COUNTIF($E183:P183,"u")+COUNTIF($E183:P183,"t")+COUNTIF($E183:P183,"¶")+COUNTIF($E183:P183,"²")+COUNTIF($E183:P183,"µ")+COUNTIF($E183:P183,1),ColDescriptionCourte))&gt;1,
HYPERLINK("#Roadmap!C"&amp; MATCH($E183,Roadmap!$D:$D,0)+COUNTIF($E183:P183,"u")+COUNTIF($E183:P183,"t")+COUNTIF($E183:P183,"¶")+COUNTIF($E183:P183,"²")+COUNTIF($E183:P183,"µ")+COUNTIF($E183:P183,1)-1,INDEX(Roadmap!$D:$K,MATCH($E183,Roadmap!$D:$D,0)-1+COUNTIF($E183:P183,"u")+COUNTIF($E183:P183,"t")+COUNTIF($E183:P183,"¶")+COUNTIF($E183:P183,"²")+COUNTIF($E183:P183,"µ")+COUNTIF($E183:P183,1),ColDescriptionCourte)),""),
  "")),"")</f>
        <v/>
      </c>
      <c r="R183" s="40" t="str">
        <f ca="1">IFERROR(IF(AND(
  INDEX(Roadmap!$D:$K,MATCH($E183,Roadmap!$D:$D,0)+COUNTIF($E183:Q183,"u")+COUNTIF($E183:Q183,"t")+COUNTIF($E183:Q183,"¶")+COUNTIF($E183:Q183,"²")+COUNTIF($E183:Q183,"µ")+COUNTIF($E183:Q183,1),ColLivraison)=R$6,
  VLOOKUP($E183,INDIRECT("tri!"&amp; CHAR(64+ C0Col) &amp;":"&amp; CHAR(65+C0Col)),2,FALSE)&gt;COUNTIF($E183:Q183,"u")+COUNTIF($E183:Q183,"t")+COUNTIF($E183:Q183,"¶")+COUNTIF($E183:Q183,"²")+COUNTIF($E183:Q183,"µ")+COUNTIF($E183:Q183,1)),
HYPERLINK("#Roadmap!C"&amp; MATCH($E183,Roadmap!$D:$D,0)+COUNTIF($E183:Q183,"u")+COUNTIF($E183:Q183,"t"),
     INDEX(Roadmap!$D:$K,MATCH($E183,Roadmap!$D:$D,0)+COUNTIF($E183:Q183,"u")+COUNTIF($E183:Q183,"t")+COUNTIF($E183:Q183,"¶")+COUNTIF($E183:Q183,"²")+COUNTIF($E183:Q183,"µ")+COUNTIF($E183:Q183,1),ColTypeEcheance)),
  IF(LEN(Q183)=1,
  IF(LEN(INDEX(Roadmap!$D:$K,MATCH($E183,Roadmap!$D:$D,0)-1+COUNTIF($E183:Q183,"u")+COUNTIF($E183:Q183,"t")+COUNTIF($E183:Q183,"¶")+COUNTIF($E183:Q183,"²")+COUNTIF($E183:Q183,"µ")+COUNTIF($E183:Q183,1),ColDescriptionCourte))&gt;1,
HYPERLINK("#Roadmap!C"&amp; MATCH($E183,Roadmap!$D:$D,0)+COUNTIF($E183:Q183,"u")+COUNTIF($E183:Q183,"t")+COUNTIF($E183:Q183,"¶")+COUNTIF($E183:Q183,"²")+COUNTIF($E183:Q183,"µ")+COUNTIF($E183:Q183,1)-1,INDEX(Roadmap!$D:$K,MATCH($E183,Roadmap!$D:$D,0)-1+COUNTIF($E183:Q183,"u")+COUNTIF($E183:Q183,"t")+COUNTIF($E183:Q183,"¶")+COUNTIF($E183:Q183,"²")+COUNTIF($E183:Q183,"µ")+COUNTIF($E183:Q183,1),ColDescriptionCourte)),""),
  "")),"")</f>
        <v/>
      </c>
      <c r="S183" s="40" t="str">
        <f ca="1">IFERROR(IF(AND(
  INDEX(Roadmap!$D:$K,MATCH($E183,Roadmap!$D:$D,0)+COUNTIF($E183:R183,"u")+COUNTIF($E183:R183,"t")+COUNTIF($E183:R183,"¶")+COUNTIF($E183:R183,"²")+COUNTIF($E183:R183,"µ")+COUNTIF($E183:R183,1),ColLivraison)=S$6,
  VLOOKUP($E183,INDIRECT("tri!"&amp; CHAR(64+ C0Col) &amp;":"&amp; CHAR(65+C0Col)),2,FALSE)&gt;COUNTIF($E183:R183,"u")+COUNTIF($E183:R183,"t")+COUNTIF($E183:R183,"¶")+COUNTIF($E183:R183,"²")+COUNTIF($E183:R183,"µ")+COUNTIF($E183:R183,1)),
HYPERLINK("#Roadmap!C"&amp; MATCH($E183,Roadmap!$D:$D,0)+COUNTIF($E183:R183,"u")+COUNTIF($E183:R183,"t"),
     INDEX(Roadmap!$D:$K,MATCH($E183,Roadmap!$D:$D,0)+COUNTIF($E183:R183,"u")+COUNTIF($E183:R183,"t")+COUNTIF($E183:R183,"¶")+COUNTIF($E183:R183,"²")+COUNTIF($E183:R183,"µ")+COUNTIF($E183:R183,1),ColTypeEcheance)),
  IF(LEN(R183)=1,
  IF(LEN(INDEX(Roadmap!$D:$K,MATCH($E183,Roadmap!$D:$D,0)-1+COUNTIF($E183:R183,"u")+COUNTIF($E183:R183,"t")+COUNTIF($E183:R183,"¶")+COUNTIF($E183:R183,"²")+COUNTIF($E183:R183,"µ")+COUNTIF($E183:R183,1),ColDescriptionCourte))&gt;1,
HYPERLINK("#Roadmap!C"&amp; MATCH($E183,Roadmap!$D:$D,0)+COUNTIF($E183:R183,"u")+COUNTIF($E183:R183,"t")+COUNTIF($E183:R183,"¶")+COUNTIF($E183:R183,"²")+COUNTIF($E183:R183,"µ")+COUNTIF($E183:R183,1)-1,INDEX(Roadmap!$D:$K,MATCH($E183,Roadmap!$D:$D,0)-1+COUNTIF($E183:R183,"u")+COUNTIF($E183:R183,"t")+COUNTIF($E183:R183,"¶")+COUNTIF($E183:R183,"²")+COUNTIF($E183:R183,"µ")+COUNTIF($E183:R183,1),ColDescriptionCourte)),""),
  "")),"")</f>
        <v/>
      </c>
      <c r="T183" s="40" t="str">
        <f ca="1">IFERROR(IF(AND(
  INDEX(Roadmap!$D:$K,MATCH($E183,Roadmap!$D:$D,0)+COUNTIF($E183:S183,"u")+COUNTIF($E183:S183,"t")+COUNTIF($E183:S183,"¶")+COUNTIF($E183:S183,"²")+COUNTIF($E183:S183,"µ")+COUNTIF($E183:S183,1),ColLivraison)=T$6,
  VLOOKUP($E183,INDIRECT("tri!"&amp; CHAR(64+ C0Col) &amp;":"&amp; CHAR(65+C0Col)),2,FALSE)&gt;COUNTIF($E183:S183,"u")+COUNTIF($E183:S183,"t")+COUNTIF($E183:S183,"¶")+COUNTIF($E183:S183,"²")+COUNTIF($E183:S183,"µ")+COUNTIF($E183:S183,1)),
HYPERLINK("#Roadmap!C"&amp; MATCH($E183,Roadmap!$D:$D,0)+COUNTIF($E183:S183,"u")+COUNTIF($E183:S183,"t"),
     INDEX(Roadmap!$D:$K,MATCH($E183,Roadmap!$D:$D,0)+COUNTIF($E183:S183,"u")+COUNTIF($E183:S183,"t")+COUNTIF($E183:S183,"¶")+COUNTIF($E183:S183,"²")+COUNTIF($E183:S183,"µ")+COUNTIF($E183:S183,1),ColTypeEcheance)),
  IF(LEN(S183)=1,
  IF(LEN(INDEX(Roadmap!$D:$K,MATCH($E183,Roadmap!$D:$D,0)-1+COUNTIF($E183:S183,"u")+COUNTIF($E183:S183,"t")+COUNTIF($E183:S183,"¶")+COUNTIF($E183:S183,"²")+COUNTIF($E183:S183,"µ")+COUNTIF($E183:S183,1),ColDescriptionCourte))&gt;1,
HYPERLINK("#Roadmap!C"&amp; MATCH($E183,Roadmap!$D:$D,0)+COUNTIF($E183:S183,"u")+COUNTIF($E183:S183,"t")+COUNTIF($E183:S183,"¶")+COUNTIF($E183:S183,"²")+COUNTIF($E183:S183,"µ")+COUNTIF($E183:S183,1)-1,INDEX(Roadmap!$D:$K,MATCH($E183,Roadmap!$D:$D,0)-1+COUNTIF($E183:S183,"u")+COUNTIF($E183:S183,"t")+COUNTIF($E183:S183,"¶")+COUNTIF($E183:S183,"²")+COUNTIF($E183:S183,"µ")+COUNTIF($E183:S183,1),ColDescriptionCourte)),""),
  "")),"")</f>
        <v/>
      </c>
      <c r="U183" s="40" t="str">
        <f ca="1">IFERROR(IF(AND(
  INDEX(Roadmap!$D:$K,MATCH($E183,Roadmap!$D:$D,0)+COUNTIF($E183:T183,"u")+COUNTIF($E183:T183,"t")+COUNTIF($E183:T183,"¶")+COUNTIF($E183:T183,"²")+COUNTIF($E183:T183,"µ")+COUNTIF($E183:T183,1),ColLivraison)=U$6,
  VLOOKUP($E183,INDIRECT("tri!"&amp; CHAR(64+ C0Col) &amp;":"&amp; CHAR(65+C0Col)),2,FALSE)&gt;COUNTIF($E183:T183,"u")+COUNTIF($E183:T183,"t")+COUNTIF($E183:T183,"¶")+COUNTIF($E183:T183,"²")+COUNTIF($E183:T183,"µ")+COUNTIF($E183:T183,1)),
HYPERLINK("#Roadmap!C"&amp; MATCH($E183,Roadmap!$D:$D,0)+COUNTIF($E183:T183,"u")+COUNTIF($E183:T183,"t"),
     INDEX(Roadmap!$D:$K,MATCH($E183,Roadmap!$D:$D,0)+COUNTIF($E183:T183,"u")+COUNTIF($E183:T183,"t")+COUNTIF($E183:T183,"¶")+COUNTIF($E183:T183,"²")+COUNTIF($E183:T183,"µ")+COUNTIF($E183:T183,1),ColTypeEcheance)),
  IF(LEN(T183)=1,
  IF(LEN(INDEX(Roadmap!$D:$K,MATCH($E183,Roadmap!$D:$D,0)-1+COUNTIF($E183:T183,"u")+COUNTIF($E183:T183,"t")+COUNTIF($E183:T183,"¶")+COUNTIF($E183:T183,"²")+COUNTIF($E183:T183,"µ")+COUNTIF($E183:T183,1),ColDescriptionCourte))&gt;1,
HYPERLINK("#Roadmap!C"&amp; MATCH($E183,Roadmap!$D:$D,0)+COUNTIF($E183:T183,"u")+COUNTIF($E183:T183,"t")+COUNTIF($E183:T183,"¶")+COUNTIF($E183:T183,"²")+COUNTIF($E183:T183,"µ")+COUNTIF($E183:T183,1)-1,INDEX(Roadmap!$D:$K,MATCH($E183,Roadmap!$D:$D,0)-1+COUNTIF($E183:T183,"u")+COUNTIF($E183:T183,"t")+COUNTIF($E183:T183,"¶")+COUNTIF($E183:T183,"²")+COUNTIF($E183:T183,"µ")+COUNTIF($E183:T183,1),ColDescriptionCourte)),""),
  "")),"")</f>
        <v/>
      </c>
      <c r="V183" s="40" t="str">
        <f ca="1">IFERROR(IF(AND(
  INDEX(Roadmap!$D:$K,MATCH($E183,Roadmap!$D:$D,0)+COUNTIF($E183:U183,"u")+COUNTIF($E183:U183,"t")+COUNTIF($E183:U183,"¶")+COUNTIF($E183:U183,"²")+COUNTIF($E183:U183,"µ")+COUNTIF($E183:U183,1),ColLivraison)=V$6,
  VLOOKUP($E183,INDIRECT("tri!"&amp; CHAR(64+ C0Col) &amp;":"&amp; CHAR(65+C0Col)),2,FALSE)&gt;COUNTIF($E183:U183,"u")+COUNTIF($E183:U183,"t")+COUNTIF($E183:U183,"¶")+COUNTIF($E183:U183,"²")+COUNTIF($E183:U183,"µ")+COUNTIF($E183:U183,1)),
HYPERLINK("#Roadmap!C"&amp; MATCH($E183,Roadmap!$D:$D,0)+COUNTIF($E183:U183,"u")+COUNTIF($E183:U183,"t"),
     INDEX(Roadmap!$D:$K,MATCH($E183,Roadmap!$D:$D,0)+COUNTIF($E183:U183,"u")+COUNTIF($E183:U183,"t")+COUNTIF($E183:U183,"¶")+COUNTIF($E183:U183,"²")+COUNTIF($E183:U183,"µ")+COUNTIF($E183:U183,1),ColTypeEcheance)),
  IF(LEN(U183)=1,
  IF(LEN(INDEX(Roadmap!$D:$K,MATCH($E183,Roadmap!$D:$D,0)-1+COUNTIF($E183:U183,"u")+COUNTIF($E183:U183,"t")+COUNTIF($E183:U183,"¶")+COUNTIF($E183:U183,"²")+COUNTIF($E183:U183,"µ")+COUNTIF($E183:U183,1),ColDescriptionCourte))&gt;1,
HYPERLINK("#Roadmap!C"&amp; MATCH($E183,Roadmap!$D:$D,0)+COUNTIF($E183:U183,"u")+COUNTIF($E183:U183,"t")+COUNTIF($E183:U183,"¶")+COUNTIF($E183:U183,"²")+COUNTIF($E183:U183,"µ")+COUNTIF($E183:U183,1)-1,INDEX(Roadmap!$D:$K,MATCH($E183,Roadmap!$D:$D,0)-1+COUNTIF($E183:U183,"u")+COUNTIF($E183:U183,"t")+COUNTIF($E183:U183,"¶")+COUNTIF($E183:U183,"²")+COUNTIF($E183:U183,"µ")+COUNTIF($E183:U183,1),ColDescriptionCourte)),""),
  "")),"")</f>
        <v/>
      </c>
      <c r="W183" s="40" t="str">
        <f ca="1">IFERROR(IF(AND(
  INDEX(Roadmap!$D:$K,MATCH($E183,Roadmap!$D:$D,0)+COUNTIF($E183:V183,"u")+COUNTIF($E183:V183,"t")+COUNTIF($E183:V183,"¶")+COUNTIF($E183:V183,"²")+COUNTIF($E183:V183,"µ")+COUNTIF($E183:V183,1),ColLivraison)=W$6,
  VLOOKUP($E183,INDIRECT("tri!"&amp; CHAR(64+ C0Col) &amp;":"&amp; CHAR(65+C0Col)),2,FALSE)&gt;COUNTIF($E183:V183,"u")+COUNTIF($E183:V183,"t")+COUNTIF($E183:V183,"¶")+COUNTIF($E183:V183,"²")+COUNTIF($E183:V183,"µ")+COUNTIF($E183:V183,1)),
HYPERLINK("#Roadmap!C"&amp; MATCH($E183,Roadmap!$D:$D,0)+COUNTIF($E183:V183,"u")+COUNTIF($E183:V183,"t"),
     INDEX(Roadmap!$D:$K,MATCH($E183,Roadmap!$D:$D,0)+COUNTIF($E183:V183,"u")+COUNTIF($E183:V183,"t")+COUNTIF($E183:V183,"¶")+COUNTIF($E183:V183,"²")+COUNTIF($E183:V183,"µ")+COUNTIF($E183:V183,1),ColTypeEcheance)),
  IF(LEN(V183)=1,
  IF(LEN(INDEX(Roadmap!$D:$K,MATCH($E183,Roadmap!$D:$D,0)-1+COUNTIF($E183:V183,"u")+COUNTIF($E183:V183,"t")+COUNTIF($E183:V183,"¶")+COUNTIF($E183:V183,"²")+COUNTIF($E183:V183,"µ")+COUNTIF($E183:V183,1),ColDescriptionCourte))&gt;1,
HYPERLINK("#Roadmap!C"&amp; MATCH($E183,Roadmap!$D:$D,0)+COUNTIF($E183:V183,"u")+COUNTIF($E183:V183,"t")+COUNTIF($E183:V183,"¶")+COUNTIF($E183:V183,"²")+COUNTIF($E183:V183,"µ")+COUNTIF($E183:V183,1)-1,INDEX(Roadmap!$D:$K,MATCH($E183,Roadmap!$D:$D,0)-1+COUNTIF($E183:V183,"u")+COUNTIF($E183:V183,"t")+COUNTIF($E183:V183,"¶")+COUNTIF($E183:V183,"²")+COUNTIF($E183:V183,"µ")+COUNTIF($E183:V183,1),ColDescriptionCourte)),""),
  "")),"")</f>
        <v/>
      </c>
      <c r="X183" s="40" t="str">
        <f ca="1">IFERROR(IF(AND(
  INDEX(Roadmap!$D:$K,MATCH($E183,Roadmap!$D:$D,0)+COUNTIF($E183:W183,"u")+COUNTIF($E183:W183,"t")+COUNTIF($E183:W183,"¶")+COUNTIF($E183:W183,"²")+COUNTIF($E183:W183,"µ")+COUNTIF($E183:W183,1),ColLivraison)=X$6,
  VLOOKUP($E183,INDIRECT("tri!"&amp; CHAR(64+ C0Col) &amp;":"&amp; CHAR(65+C0Col)),2,FALSE)&gt;COUNTIF($E183:W183,"u")+COUNTIF($E183:W183,"t")+COUNTIF($E183:W183,"¶")+COUNTIF($E183:W183,"²")+COUNTIF($E183:W183,"µ")+COUNTIF($E183:W183,1)),
HYPERLINK("#Roadmap!C"&amp; MATCH($E183,Roadmap!$D:$D,0)+COUNTIF($E183:W183,"u")+COUNTIF($E183:W183,"t"),
     INDEX(Roadmap!$D:$K,MATCH($E183,Roadmap!$D:$D,0)+COUNTIF($E183:W183,"u")+COUNTIF($E183:W183,"t")+COUNTIF($E183:W183,"¶")+COUNTIF($E183:W183,"²")+COUNTIF($E183:W183,"µ")+COUNTIF($E183:W183,1),ColTypeEcheance)),
  IF(LEN(W183)=1,
  IF(LEN(INDEX(Roadmap!$D:$K,MATCH($E183,Roadmap!$D:$D,0)-1+COUNTIF($E183:W183,"u")+COUNTIF($E183:W183,"t")+COUNTIF($E183:W183,"¶")+COUNTIF($E183:W183,"²")+COUNTIF($E183:W183,"µ")+COUNTIF($E183:W183,1),ColDescriptionCourte))&gt;1,
HYPERLINK("#Roadmap!C"&amp; MATCH($E183,Roadmap!$D:$D,0)+COUNTIF($E183:W183,"u")+COUNTIF($E183:W183,"t")+COUNTIF($E183:W183,"¶")+COUNTIF($E183:W183,"²")+COUNTIF($E183:W183,"µ")+COUNTIF($E183:W183,1)-1,INDEX(Roadmap!$D:$K,MATCH($E183,Roadmap!$D:$D,0)-1+COUNTIF($E183:W183,"u")+COUNTIF($E183:W183,"t")+COUNTIF($E183:W183,"¶")+COUNTIF($E183:W183,"²")+COUNTIF($E183:W183,"µ")+COUNTIF($E183:W183,1),ColDescriptionCourte)),""),
  "")),"")</f>
        <v/>
      </c>
      <c r="Y183" s="40" t="str">
        <f ca="1">IFERROR(IF(AND(
  INDEX(Roadmap!$D:$K,MATCH($E183,Roadmap!$D:$D,0)+COUNTIF($E183:X183,"u")+COUNTIF($E183:X183,"t")+COUNTIF($E183:X183,"¶")+COUNTIF($E183:X183,"²")+COUNTIF($E183:X183,"µ")+COUNTIF($E183:X183,1),ColLivraison)=Y$6,
  VLOOKUP($E183,INDIRECT("tri!"&amp; CHAR(64+ C0Col) &amp;":"&amp; CHAR(65+C0Col)),2,FALSE)&gt;COUNTIF($E183:X183,"u")+COUNTIF($E183:X183,"t")+COUNTIF($E183:X183,"¶")+COUNTIF($E183:X183,"²")+COUNTIF($E183:X183,"µ")+COUNTIF($E183:X183,1)),
HYPERLINK("#Roadmap!C"&amp; MATCH($E183,Roadmap!$D:$D,0)+COUNTIF($E183:X183,"u")+COUNTIF($E183:X183,"t"),
     INDEX(Roadmap!$D:$K,MATCH($E183,Roadmap!$D:$D,0)+COUNTIF($E183:X183,"u")+COUNTIF($E183:X183,"t")+COUNTIF($E183:X183,"¶")+COUNTIF($E183:X183,"²")+COUNTIF($E183:X183,"µ")+COUNTIF($E183:X183,1),ColTypeEcheance)),
  IF(LEN(X183)=1,
  IF(LEN(INDEX(Roadmap!$D:$K,MATCH($E183,Roadmap!$D:$D,0)-1+COUNTIF($E183:X183,"u")+COUNTIF($E183:X183,"t")+COUNTIF($E183:X183,"¶")+COUNTIF($E183:X183,"²")+COUNTIF($E183:X183,"µ")+COUNTIF($E183:X183,1),ColDescriptionCourte))&gt;1,
HYPERLINK("#Roadmap!C"&amp; MATCH($E183,Roadmap!$D:$D,0)+COUNTIF($E183:X183,"u")+COUNTIF($E183:X183,"t")+COUNTIF($E183:X183,"¶")+COUNTIF($E183:X183,"²")+COUNTIF($E183:X183,"µ")+COUNTIF($E183:X183,1)-1,INDEX(Roadmap!$D:$K,MATCH($E183,Roadmap!$D:$D,0)-1+COUNTIF($E183:X183,"u")+COUNTIF($E183:X183,"t")+COUNTIF($E183:X183,"¶")+COUNTIF($E183:X183,"²")+COUNTIF($E183:X183,"µ")+COUNTIF($E183:X183,1),ColDescriptionCourte)),""),
  "")),"")</f>
        <v/>
      </c>
      <c r="Z183" s="40" t="str">
        <f ca="1">IFERROR(IF(AND(
  INDEX(Roadmap!$D:$K,MATCH($E183,Roadmap!$D:$D,0)+COUNTIF($E183:Y183,"u")+COUNTIF($E183:Y183,"t")+COUNTIF($E183:Y183,"¶")+COUNTIF($E183:Y183,"²")+COUNTIF($E183:Y183,"µ")+COUNTIF($E183:Y183,1),ColLivraison)=Z$6,
  VLOOKUP($E183,INDIRECT("tri!"&amp; CHAR(64+ C0Col) &amp;":"&amp; CHAR(65+C0Col)),2,FALSE)&gt;COUNTIF($E183:Y183,"u")+COUNTIF($E183:Y183,"t")+COUNTIF($E183:Y183,"¶")+COUNTIF($E183:Y183,"²")+COUNTIF($E183:Y183,"µ")+COUNTIF($E183:Y183,1)),
HYPERLINK("#Roadmap!C"&amp; MATCH($E183,Roadmap!$D:$D,0)+COUNTIF($E183:Y183,"u")+COUNTIF($E183:Y183,"t"),
     INDEX(Roadmap!$D:$K,MATCH($E183,Roadmap!$D:$D,0)+COUNTIF($E183:Y183,"u")+COUNTIF($E183:Y183,"t")+COUNTIF($E183:Y183,"¶")+COUNTIF($E183:Y183,"²")+COUNTIF($E183:Y183,"µ")+COUNTIF($E183:Y183,1),ColTypeEcheance)),
  IF(LEN(Y183)=1,
  IF(LEN(INDEX(Roadmap!$D:$K,MATCH($E183,Roadmap!$D:$D,0)-1+COUNTIF($E183:Y183,"u")+COUNTIF($E183:Y183,"t")+COUNTIF($E183:Y183,"¶")+COUNTIF($E183:Y183,"²")+COUNTIF($E183:Y183,"µ")+COUNTIF($E183:Y183,1),ColDescriptionCourte))&gt;1,
HYPERLINK("#Roadmap!C"&amp; MATCH($E183,Roadmap!$D:$D,0)+COUNTIF($E183:Y183,"u")+COUNTIF($E183:Y183,"t")+COUNTIF($E183:Y183,"¶")+COUNTIF($E183:Y183,"²")+COUNTIF($E183:Y183,"µ")+COUNTIF($E183:Y183,1)-1,INDEX(Roadmap!$D:$K,MATCH($E183,Roadmap!$D:$D,0)-1+COUNTIF($E183:Y183,"u")+COUNTIF($E183:Y183,"t")+COUNTIF($E183:Y183,"¶")+COUNTIF($E183:Y183,"²")+COUNTIF($E183:Y183,"µ")+COUNTIF($E183:Y183,1),ColDescriptionCourte)),""),
  "")),"")</f>
        <v/>
      </c>
      <c r="AA183" s="40" t="str">
        <f ca="1">IFERROR(IF(AND(
  INDEX(Roadmap!$D:$K,MATCH($E183,Roadmap!$D:$D,0)+COUNTIF($E183:Z183,"u")+COUNTIF($E183:Z183,"t")+COUNTIF($E183:Z183,"¶")+COUNTIF($E183:Z183,"²")+COUNTIF($E183:Z183,"µ")+COUNTIF($E183:Z183,1),ColLivraison)=AA$6,
  VLOOKUP($E183,INDIRECT("tri!"&amp; CHAR(64+ C0Col) &amp;":"&amp; CHAR(65+C0Col)),2,FALSE)&gt;COUNTIF($E183:Z183,"u")+COUNTIF($E183:Z183,"t")+COUNTIF($E183:Z183,"¶")+COUNTIF($E183:Z183,"²")+COUNTIF($E183:Z183,"µ")+COUNTIF($E183:Z183,1)),
HYPERLINK("#Roadmap!C"&amp; MATCH($E183,Roadmap!$D:$D,0)+COUNTIF($E183:Z183,"u")+COUNTIF($E183:Z183,"t"),
     INDEX(Roadmap!$D:$K,MATCH($E183,Roadmap!$D:$D,0)+COUNTIF($E183:Z183,"u")+COUNTIF($E183:Z183,"t")+COUNTIF($E183:Z183,"¶")+COUNTIF($E183:Z183,"²")+COUNTIF($E183:Z183,"µ")+COUNTIF($E183:Z183,1),ColTypeEcheance)),
  IF(LEN(Z183)=1,
  IF(LEN(INDEX(Roadmap!$D:$K,MATCH($E183,Roadmap!$D:$D,0)-1+COUNTIF($E183:Z183,"u")+COUNTIF($E183:Z183,"t")+COUNTIF($E183:Z183,"¶")+COUNTIF($E183:Z183,"²")+COUNTIF($E183:Z183,"µ")+COUNTIF($E183:Z183,1),ColDescriptionCourte))&gt;1,
HYPERLINK("#Roadmap!C"&amp; MATCH($E183,Roadmap!$D:$D,0)+COUNTIF($E183:Z183,"u")+COUNTIF($E183:Z183,"t")+COUNTIF($E183:Z183,"¶")+COUNTIF($E183:Z183,"²")+COUNTIF($E183:Z183,"µ")+COUNTIF($E183:Z183,1)-1,INDEX(Roadmap!$D:$K,MATCH($E183,Roadmap!$D:$D,0)-1+COUNTIF($E183:Z183,"u")+COUNTIF($E183:Z183,"t")+COUNTIF($E183:Z183,"¶")+COUNTIF($E183:Z183,"²")+COUNTIF($E183:Z183,"µ")+COUNTIF($E183:Z183,1),ColDescriptionCourte)),""),
  "")),"")</f>
        <v/>
      </c>
      <c r="AB183" s="40" t="str">
        <f ca="1">IFERROR(IF(AND(
  INDEX(Roadmap!$D:$K,MATCH($E183,Roadmap!$D:$D,0)+COUNTIF($E183:AA183,"u")+COUNTIF($E183:AA183,"t")+COUNTIF($E183:AA183,"¶")+COUNTIF($E183:AA183,"²")+COUNTIF($E183:AA183,"µ")+COUNTIF($E183:AA183,1),ColLivraison)=AB$6,
  VLOOKUP($E183,INDIRECT("tri!"&amp; CHAR(64+ C0Col) &amp;":"&amp; CHAR(65+C0Col)),2,FALSE)&gt;COUNTIF($E183:AA183,"u")+COUNTIF($E183:AA183,"t")+COUNTIF($E183:AA183,"¶")+COUNTIF($E183:AA183,"²")+COUNTIF($E183:AA183,"µ")+COUNTIF($E183:AA183,1)),
HYPERLINK("#Roadmap!C"&amp; MATCH($E183,Roadmap!$D:$D,0)+COUNTIF($E183:AA183,"u")+COUNTIF($E183:AA183,"t"),
     INDEX(Roadmap!$D:$K,MATCH($E183,Roadmap!$D:$D,0)+COUNTIF($E183:AA183,"u")+COUNTIF($E183:AA183,"t")+COUNTIF($E183:AA183,"¶")+COUNTIF($E183:AA183,"²")+COUNTIF($E183:AA183,"µ")+COUNTIF($E183:AA183,1),ColTypeEcheance)),
  IF(LEN(AA183)=1,
  IF(LEN(INDEX(Roadmap!$D:$K,MATCH($E183,Roadmap!$D:$D,0)-1+COUNTIF($E183:AA183,"u")+COUNTIF($E183:AA183,"t")+COUNTIF($E183:AA183,"¶")+COUNTIF($E183:AA183,"²")+COUNTIF($E183:AA183,"µ")+COUNTIF($E183:AA183,1),ColDescriptionCourte))&gt;1,
HYPERLINK("#Roadmap!C"&amp; MATCH($E183,Roadmap!$D:$D,0)+COUNTIF($E183:AA183,"u")+COUNTIF($E183:AA183,"t")+COUNTIF($E183:AA183,"¶")+COUNTIF($E183:AA183,"²")+COUNTIF($E183:AA183,"µ")+COUNTIF($E183:AA183,1)-1,INDEX(Roadmap!$D:$K,MATCH($E183,Roadmap!$D:$D,0)-1+COUNTIF($E183:AA183,"u")+COUNTIF($E183:AA183,"t")+COUNTIF($E183:AA183,"¶")+COUNTIF($E183:AA183,"²")+COUNTIF($E183:AA183,"µ")+COUNTIF($E183:AA183,1),ColDescriptionCourte)),""),
  "")),"")</f>
        <v/>
      </c>
      <c r="AC183" s="40" t="str">
        <f ca="1">IFERROR(IF(AND(
  INDEX(Roadmap!$D:$K,MATCH($E183,Roadmap!$D:$D,0)+COUNTIF($E183:AB183,"u")+COUNTIF($E183:AB183,"t")+COUNTIF($E183:AB183,"¶")+COUNTIF($E183:AB183,"²")+COUNTIF($E183:AB183,"µ")+COUNTIF($E183:AB183,1),ColLivraison)=AC$6,
  VLOOKUP($E183,INDIRECT("tri!"&amp; CHAR(64+ C0Col) &amp;":"&amp; CHAR(65+C0Col)),2,FALSE)&gt;COUNTIF($E183:AB183,"u")+COUNTIF($E183:AB183,"t")+COUNTIF($E183:AB183,"¶")+COUNTIF($E183:AB183,"²")+COUNTIF($E183:AB183,"µ")+COUNTIF($E183:AB183,1)),
HYPERLINK("#Roadmap!C"&amp; MATCH($E183,Roadmap!$D:$D,0)+COUNTIF($E183:AB183,"u")+COUNTIF($E183:AB183,"t"),
     INDEX(Roadmap!$D:$K,MATCH($E183,Roadmap!$D:$D,0)+COUNTIF($E183:AB183,"u")+COUNTIF($E183:AB183,"t")+COUNTIF($E183:AB183,"¶")+COUNTIF($E183:AB183,"²")+COUNTIF($E183:AB183,"µ")+COUNTIF($E183:AB183,1),ColTypeEcheance)),
  IF(LEN(AB183)=1,
  IF(LEN(INDEX(Roadmap!$D:$K,MATCH($E183,Roadmap!$D:$D,0)-1+COUNTIF($E183:AB183,"u")+COUNTIF($E183:AB183,"t")+COUNTIF($E183:AB183,"¶")+COUNTIF($E183:AB183,"²")+COUNTIF($E183:AB183,"µ")+COUNTIF($E183:AB183,1),ColDescriptionCourte))&gt;1,
HYPERLINK("#Roadmap!C"&amp; MATCH($E183,Roadmap!$D:$D,0)+COUNTIF($E183:AB183,"u")+COUNTIF($E183:AB183,"t")+COUNTIF($E183:AB183,"¶")+COUNTIF($E183:AB183,"²")+COUNTIF($E183:AB183,"µ")+COUNTIF($E183:AB183,1)-1,INDEX(Roadmap!$D:$K,MATCH($E183,Roadmap!$D:$D,0)-1+COUNTIF($E183:AB183,"u")+COUNTIF($E183:AB183,"t")+COUNTIF($E183:AB183,"¶")+COUNTIF($E183:AB183,"²")+COUNTIF($E183:AB183,"µ")+COUNTIF($E183:AB183,1),ColDescriptionCourte)),""),
  "")),"")</f>
        <v/>
      </c>
      <c r="AD183" s="40" t="str">
        <f ca="1">IFERROR(IF(AND(
  INDEX(Roadmap!$D:$K,MATCH($E183,Roadmap!$D:$D,0)+COUNTIF($E183:AC183,"u")+COUNTIF($E183:AC183,"t")+COUNTIF($E183:AC183,"¶")+COUNTIF($E183:AC183,"²")+COUNTIF($E183:AC183,"µ")+COUNTIF($E183:AC183,1),ColLivraison)=AD$6,
  VLOOKUP($E183,INDIRECT("tri!"&amp; CHAR(64+ C0Col) &amp;":"&amp; CHAR(65+C0Col)),2,FALSE)&gt;COUNTIF($E183:AC183,"u")+COUNTIF($E183:AC183,"t")+COUNTIF($E183:AC183,"¶")+COUNTIF($E183:AC183,"²")+COUNTIF($E183:AC183,"µ")+COUNTIF($E183:AC183,1)),
HYPERLINK("#Roadmap!C"&amp; MATCH($E183,Roadmap!$D:$D,0)+COUNTIF($E183:AC183,"u")+COUNTIF($E183:AC183,"t"),
     INDEX(Roadmap!$D:$K,MATCH($E183,Roadmap!$D:$D,0)+COUNTIF($E183:AC183,"u")+COUNTIF($E183:AC183,"t")+COUNTIF($E183:AC183,"¶")+COUNTIF($E183:AC183,"²")+COUNTIF($E183:AC183,"µ")+COUNTIF($E183:AC183,1),ColTypeEcheance)),
  IF(LEN(AC183)=1,
  IF(LEN(INDEX(Roadmap!$D:$K,MATCH($E183,Roadmap!$D:$D,0)-1+COUNTIF($E183:AC183,"u")+COUNTIF($E183:AC183,"t")+COUNTIF($E183:AC183,"¶")+COUNTIF($E183:AC183,"²")+COUNTIF($E183:AC183,"µ")+COUNTIF($E183:AC183,1),ColDescriptionCourte))&gt;1,
HYPERLINK("#Roadmap!C"&amp; MATCH($E183,Roadmap!$D:$D,0)+COUNTIF($E183:AC183,"u")+COUNTIF($E183:AC183,"t")+COUNTIF($E183:AC183,"¶")+COUNTIF($E183:AC183,"²")+COUNTIF($E183:AC183,"µ")+COUNTIF($E183:AC183,1)-1,INDEX(Roadmap!$D:$K,MATCH($E183,Roadmap!$D:$D,0)-1+COUNTIF($E183:AC183,"u")+COUNTIF($E183:AC183,"t")+COUNTIF($E183:AC183,"¶")+COUNTIF($E183:AC183,"²")+COUNTIF($E183:AC183,"µ")+COUNTIF($E183:AC183,1),ColDescriptionCourte)),""),
  "")),"")</f>
        <v/>
      </c>
      <c r="AE183" s="40" t="str">
        <f ca="1">IFERROR(IF(AND(
  INDEX(Roadmap!$D:$K,MATCH($E183,Roadmap!$D:$D,0)+COUNTIF($E183:AD183,"u")+COUNTIF($E183:AD183,"t")+COUNTIF($E183:AD183,"¶")+COUNTIF($E183:AD183,"²")+COUNTIF($E183:AD183,"µ")+COUNTIF($E183:AD183,1),ColLivraison)=AE$6,
  VLOOKUP($E183,INDIRECT("tri!"&amp; CHAR(64+ C0Col) &amp;":"&amp; CHAR(65+C0Col)),2,FALSE)&gt;COUNTIF($E183:AD183,"u")+COUNTIF($E183:AD183,"t")+COUNTIF($E183:AD183,"¶")+COUNTIF($E183:AD183,"²")+COUNTIF($E183:AD183,"µ")+COUNTIF($E183:AD183,1)),
HYPERLINK("#Roadmap!C"&amp; MATCH($E183,Roadmap!$D:$D,0)+COUNTIF($E183:AD183,"u")+COUNTIF($E183:AD183,"t"),
     INDEX(Roadmap!$D:$K,MATCH($E183,Roadmap!$D:$D,0)+COUNTIF($E183:AD183,"u")+COUNTIF($E183:AD183,"t")+COUNTIF($E183:AD183,"¶")+COUNTIF($E183:AD183,"²")+COUNTIF($E183:AD183,"µ")+COUNTIF($E183:AD183,1),ColTypeEcheance)),
  IF(LEN(AD183)=1,
  IF(LEN(INDEX(Roadmap!$D:$K,MATCH($E183,Roadmap!$D:$D,0)-1+COUNTIF($E183:AD183,"u")+COUNTIF($E183:AD183,"t")+COUNTIF($E183:AD183,"¶")+COUNTIF($E183:AD183,"²")+COUNTIF($E183:AD183,"µ")+COUNTIF($E183:AD183,1),ColDescriptionCourte))&gt;1,
HYPERLINK("#Roadmap!C"&amp; MATCH($E183,Roadmap!$D:$D,0)+COUNTIF($E183:AD183,"u")+COUNTIF($E183:AD183,"t")+COUNTIF($E183:AD183,"¶")+COUNTIF($E183:AD183,"²")+COUNTIF($E183:AD183,"µ")+COUNTIF($E183:AD183,1)-1,INDEX(Roadmap!$D:$K,MATCH($E183,Roadmap!$D:$D,0)-1+COUNTIF($E183:AD183,"u")+COUNTIF($E183:AD183,"t")+COUNTIF($E183:AD183,"¶")+COUNTIF($E183:AD183,"²")+COUNTIF($E183:AD183,"µ")+COUNTIF($E183:AD183,1),ColDescriptionCourte)),""),
  "")),"")</f>
        <v/>
      </c>
      <c r="AF183" s="40" t="str">
        <f ca="1">IFERROR(IF(AND(
  INDEX(Roadmap!$D:$K,MATCH($E183,Roadmap!$D:$D,0)+COUNTIF($E183:AE183,"u")+COUNTIF($E183:AE183,"t")+COUNTIF($E183:AE183,"¶")+COUNTIF($E183:AE183,"²")+COUNTIF($E183:AE183,"µ")+COUNTIF($E183:AE183,1),ColLivraison)=AF$6,
  VLOOKUP($E183,INDIRECT("tri!"&amp; CHAR(64+ C0Col) &amp;":"&amp; CHAR(65+C0Col)),2,FALSE)&gt;COUNTIF($E183:AE183,"u")+COUNTIF($E183:AE183,"t")+COUNTIF($E183:AE183,"¶")+COUNTIF($E183:AE183,"²")+COUNTIF($E183:AE183,"µ")+COUNTIF($E183:AE183,1)),
HYPERLINK("#Roadmap!C"&amp; MATCH($E183,Roadmap!$D:$D,0)+COUNTIF($E183:AE183,"u")+COUNTIF($E183:AE183,"t"),
     INDEX(Roadmap!$D:$K,MATCH($E183,Roadmap!$D:$D,0)+COUNTIF($E183:AE183,"u")+COUNTIF($E183:AE183,"t")+COUNTIF($E183:AE183,"¶")+COUNTIF($E183:AE183,"²")+COUNTIF($E183:AE183,"µ")+COUNTIF($E183:AE183,1),ColTypeEcheance)),
  IF(LEN(AE183)=1,
  IF(LEN(INDEX(Roadmap!$D:$K,MATCH($E183,Roadmap!$D:$D,0)-1+COUNTIF($E183:AE183,"u")+COUNTIF($E183:AE183,"t")+COUNTIF($E183:AE183,"¶")+COUNTIF($E183:AE183,"²")+COUNTIF($E183:AE183,"µ")+COUNTIF($E183:AE183,1),ColDescriptionCourte))&gt;1,
HYPERLINK("#Roadmap!C"&amp; MATCH($E183,Roadmap!$D:$D,0)+COUNTIF($E183:AE183,"u")+COUNTIF($E183:AE183,"t")+COUNTIF($E183:AE183,"¶")+COUNTIF($E183:AE183,"²")+COUNTIF($E183:AE183,"µ")+COUNTIF($E183:AE183,1)-1,INDEX(Roadmap!$D:$K,MATCH($E183,Roadmap!$D:$D,0)-1+COUNTIF($E183:AE183,"u")+COUNTIF($E183:AE183,"t")+COUNTIF($E183:AE183,"¶")+COUNTIF($E183:AE183,"²")+COUNTIF($E183:AE183,"µ")+COUNTIF($E183:AE183,1),ColDescriptionCourte)),""),
  "")),"")</f>
        <v/>
      </c>
      <c r="AG183" s="40" t="str">
        <f ca="1">IFERROR(IF(AND(
  INDEX(Roadmap!$D:$K,MATCH($E183,Roadmap!$D:$D,0)+COUNTIF($E183:AF183,"u")+COUNTIF($E183:AF183,"t")+COUNTIF($E183:AF183,"¶")+COUNTIF($E183:AF183,"²")+COUNTIF($E183:AF183,"µ")+COUNTIF($E183:AF183,1),ColLivraison)=AG$6,
  VLOOKUP($E183,INDIRECT("tri!"&amp; CHAR(64+ C0Col) &amp;":"&amp; CHAR(65+C0Col)),2,FALSE)&gt;COUNTIF($E183:AF183,"u")+COUNTIF($E183:AF183,"t")+COUNTIF($E183:AF183,"¶")+COUNTIF($E183:AF183,"²")+COUNTIF($E183:AF183,"µ")+COUNTIF($E183:AF183,1)),
HYPERLINK("#Roadmap!C"&amp; MATCH($E183,Roadmap!$D:$D,0)+COUNTIF($E183:AF183,"u")+COUNTIF($E183:AF183,"t"),
     INDEX(Roadmap!$D:$K,MATCH($E183,Roadmap!$D:$D,0)+COUNTIF($E183:AF183,"u")+COUNTIF($E183:AF183,"t")+COUNTIF($E183:AF183,"¶")+COUNTIF($E183:AF183,"²")+COUNTIF($E183:AF183,"µ")+COUNTIF($E183:AF183,1),ColTypeEcheance)),
  IF(LEN(AF183)=1,
  IF(LEN(INDEX(Roadmap!$D:$K,MATCH($E183,Roadmap!$D:$D,0)-1+COUNTIF($E183:AF183,"u")+COUNTIF($E183:AF183,"t")+COUNTIF($E183:AF183,"¶")+COUNTIF($E183:AF183,"²")+COUNTIF($E183:AF183,"µ")+COUNTIF($E183:AF183,1),ColDescriptionCourte))&gt;1,
HYPERLINK("#Roadmap!C"&amp; MATCH($E183,Roadmap!$D:$D,0)+COUNTIF($E183:AF183,"u")+COUNTIF($E183:AF183,"t")+COUNTIF($E183:AF183,"¶")+COUNTIF($E183:AF183,"²")+COUNTIF($E183:AF183,"µ")+COUNTIF($E183:AF183,1)-1,INDEX(Roadmap!$D:$K,MATCH($E183,Roadmap!$D:$D,0)-1+COUNTIF($E183:AF183,"u")+COUNTIF($E183:AF183,"t")+COUNTIF($E183:AF183,"¶")+COUNTIF($E183:AF183,"²")+COUNTIF($E183:AF183,"µ")+COUNTIF($E183:AF183,1),ColDescriptionCourte)),""),
  "")),"")</f>
        <v/>
      </c>
    </row>
    <row r="184" spans="3:33" ht="14.25" customHeight="1">
      <c r="C184" s="1" t="str">
        <f t="shared" ca="1" si="54"/>
        <v/>
      </c>
      <c r="D184" s="1" t="str">
        <f t="shared" ca="1" si="55"/>
        <v/>
      </c>
      <c r="E184" s="35" t="str">
        <f t="shared" ca="1" si="51"/>
        <v/>
      </c>
      <c r="F184" s="39" t="str">
        <f ca="1">IFERROR(IF(AND(
  INDEX(Roadmap!$D:$K,MATCH($E184,Roadmap!$D:$D,0)+COUNTIF($E184:E184,"u")+COUNTIF($E184:E184,"t")+COUNTIF($E184:E184,"¶")+COUNTIF($E184:E184,"²")+COUNTIF($E184:E184,"µ")+COUNTIF($E184:E184,1),ColLivraison)=F$6,
  VLOOKUP($E184,INDIRECT("tri!"&amp; CHAR(64+ C0Col) &amp;":"&amp; CHAR(65+C0Col)),2,FALSE)&gt;COUNTIF($E184:E184,"u")+COUNTIF($E184:E184,"t")+COUNTIF($E184:E184,"¶")+COUNTIF($E184:E184,"²")+COUNTIF($E184:E184,"µ")+COUNTIF($E184:E184,1)),
HYPERLINK("#Roadmap!C"&amp; MATCH($E184,Roadmap!$D:$D,0)+COUNTIF($E184:E184,"u")+COUNTIF($E184:E184,"t"),
     INDEX(Roadmap!$D:$K,MATCH($E184,Roadmap!$D:$D,0)+COUNTIF($E184:E184,"u")+COUNTIF($E184:E184,"t")+COUNTIF($E184:E184,"¶")+COUNTIF($E184:E184,"²")+COUNTIF($E184:E184,"µ")+COUNTIF($E184:E184,1),ColTypeEcheance)),
  IF(LEN(E184)=1,
  IF(LEN(INDEX(Roadmap!$D:$K,MATCH($E184,Roadmap!$D:$D,0)-1+COUNTIF($E184:E184,"u")+COUNTIF($E184:E184,"t")+COUNTIF($E184:E184,"¶")+COUNTIF($E184:E184,"²")+COUNTIF($E184:E184,"µ")+COUNTIF($E184:E184,1),ColDescriptionCourte))&gt;1,
HYPERLINK("#Roadmap!C"&amp; MATCH($E184,Roadmap!$D:$D,0)+COUNTIF($E184:E184,"u")+COUNTIF($E184:E184,"t")+COUNTIF($E184:E184,"¶")+COUNTIF($E184:E184,"²")+COUNTIF($E184:E184,"µ")+COUNTIF($E184:E184,1)-1,INDEX(Roadmap!$D:$K,MATCH($E184,Roadmap!$D:$D,0)-1+COUNTIF($E184:E184,"u")+COUNTIF($E184:E184,"t")+COUNTIF($E184:E184,"¶")+COUNTIF($E184:E184,"²")+COUNTIF($E184:E184,"µ")+COUNTIF($E184:E184,1),ColDescriptionCourte)),""),
  "")),"")</f>
        <v/>
      </c>
      <c r="G184" s="40" t="str">
        <f ca="1">IFERROR(IF(AND(
  INDEX(Roadmap!$D:$K,MATCH($E184,Roadmap!$D:$D,0)+COUNTIF($E184:F184,"u")+COUNTIF($E184:F184,"t")+COUNTIF($E184:F184,"¶")+COUNTIF($E184:F184,"²")+COUNTIF($E184:F184,"µ")+COUNTIF($E184:F184,1),ColLivraison)=G$6,
  VLOOKUP($E184,INDIRECT("tri!"&amp; CHAR(64+ C0Col) &amp;":"&amp; CHAR(65+C0Col)),2,FALSE)&gt;COUNTIF($E184:F184,"u")+COUNTIF($E184:F184,"t")+COUNTIF($E184:F184,"¶")+COUNTIF($E184:F184,"²")+COUNTIF($E184:F184,"µ")+COUNTIF($E184:F184,1)),
HYPERLINK("#Roadmap!C"&amp; MATCH($E184,Roadmap!$D:$D,0)+COUNTIF($E184:F184,"u")+COUNTIF($E184:F184,"t"),
     INDEX(Roadmap!$D:$K,MATCH($E184,Roadmap!$D:$D,0)+COUNTIF($E184:F184,"u")+COUNTIF($E184:F184,"t")+COUNTIF($E184:F184,"¶")+COUNTIF($E184:F184,"²")+COUNTIF($E184:F184,"µ")+COUNTIF($E184:F184,1),ColTypeEcheance)),
  IF(LEN(F184)=1,
  IF(LEN(INDEX(Roadmap!$D:$K,MATCH($E184,Roadmap!$D:$D,0)-1+COUNTIF($E184:F184,"u")+COUNTIF($E184:F184,"t")+COUNTIF($E184:F184,"¶")+COUNTIF($E184:F184,"²")+COUNTIF($E184:F184,"µ")+COUNTIF($E184:F184,1),ColDescriptionCourte))&gt;1,
HYPERLINK("#Roadmap!C"&amp; MATCH($E184,Roadmap!$D:$D,0)+COUNTIF($E184:F184,"u")+COUNTIF($E184:F184,"t")+COUNTIF($E184:F184,"¶")+COUNTIF($E184:F184,"²")+COUNTIF($E184:F184,"µ")+COUNTIF($E184:F184,1)-1,INDEX(Roadmap!$D:$K,MATCH($E184,Roadmap!$D:$D,0)-1+COUNTIF($E184:F184,"u")+COUNTIF($E184:F184,"t")+COUNTIF($E184:F184,"¶")+COUNTIF($E184:F184,"²")+COUNTIF($E184:F184,"µ")+COUNTIF($E184:F184,1),ColDescriptionCourte)),""),
  "")),"")</f>
        <v/>
      </c>
      <c r="H184" s="40" t="str">
        <f ca="1">IFERROR(IF(AND(
  INDEX(Roadmap!$D:$K,MATCH($E184,Roadmap!$D:$D,0)+COUNTIF($E184:G184,"u")+COUNTIF($E184:G184,"t")+COUNTIF($E184:G184,"¶")+COUNTIF($E184:G184,"²")+COUNTIF($E184:G184,"µ")+COUNTIF($E184:G184,1),ColLivraison)=H$6,
  VLOOKUP($E184,INDIRECT("tri!"&amp; CHAR(64+ C0Col) &amp;":"&amp; CHAR(65+C0Col)),2,FALSE)&gt;COUNTIF($E184:G184,"u")+COUNTIF($E184:G184,"t")+COUNTIF($E184:G184,"¶")+COUNTIF($E184:G184,"²")+COUNTIF($E184:G184,"µ")+COUNTIF($E184:G184,1)),
HYPERLINK("#Roadmap!C"&amp; MATCH($E184,Roadmap!$D:$D,0)+COUNTIF($E184:G184,"u")+COUNTIF($E184:G184,"t"),
     INDEX(Roadmap!$D:$K,MATCH($E184,Roadmap!$D:$D,0)+COUNTIF($E184:G184,"u")+COUNTIF($E184:G184,"t")+COUNTIF($E184:G184,"¶")+COUNTIF($E184:G184,"²")+COUNTIF($E184:G184,"µ")+COUNTIF($E184:G184,1),ColTypeEcheance)),
  IF(LEN(G184)=1,
  IF(LEN(INDEX(Roadmap!$D:$K,MATCH($E184,Roadmap!$D:$D,0)-1+COUNTIF($E184:G184,"u")+COUNTIF($E184:G184,"t")+COUNTIF($E184:G184,"¶")+COUNTIF($E184:G184,"²")+COUNTIF($E184:G184,"µ")+COUNTIF($E184:G184,1),ColDescriptionCourte))&gt;1,
HYPERLINK("#Roadmap!C"&amp; MATCH($E184,Roadmap!$D:$D,0)+COUNTIF($E184:G184,"u")+COUNTIF($E184:G184,"t")+COUNTIF($E184:G184,"¶")+COUNTIF($E184:G184,"²")+COUNTIF($E184:G184,"µ")+COUNTIF($E184:G184,1)-1,INDEX(Roadmap!$D:$K,MATCH($E184,Roadmap!$D:$D,0)-1+COUNTIF($E184:G184,"u")+COUNTIF($E184:G184,"t")+COUNTIF($E184:G184,"¶")+COUNTIF($E184:G184,"²")+COUNTIF($E184:G184,"µ")+COUNTIF($E184:G184,1),ColDescriptionCourte)),""),
  "")),"")</f>
        <v/>
      </c>
      <c r="I184" s="40" t="str">
        <f ca="1">IFERROR(IF(AND(
  INDEX(Roadmap!$D:$K,MATCH($E184,Roadmap!$D:$D,0)+COUNTIF($E184:H184,"u")+COUNTIF($E184:H184,"t")+COUNTIF($E184:H184,"¶")+COUNTIF($E184:H184,"²")+COUNTIF($E184:H184,"µ")+COUNTIF($E184:H184,1),ColLivraison)=I$6,
  VLOOKUP($E184,INDIRECT("tri!"&amp; CHAR(64+ C0Col) &amp;":"&amp; CHAR(65+C0Col)),2,FALSE)&gt;COUNTIF($E184:H184,"u")+COUNTIF($E184:H184,"t")+COUNTIF($E184:H184,"¶")+COUNTIF($E184:H184,"²")+COUNTIF($E184:H184,"µ")+COUNTIF($E184:H184,1)),
HYPERLINK("#Roadmap!C"&amp; MATCH($E184,Roadmap!$D:$D,0)+COUNTIF($E184:H184,"u")+COUNTIF($E184:H184,"t"),
     INDEX(Roadmap!$D:$K,MATCH($E184,Roadmap!$D:$D,0)+COUNTIF($E184:H184,"u")+COUNTIF($E184:H184,"t")+COUNTIF($E184:H184,"¶")+COUNTIF($E184:H184,"²")+COUNTIF($E184:H184,"µ")+COUNTIF($E184:H184,1),ColTypeEcheance)),
  IF(LEN(H184)=1,
  IF(LEN(INDEX(Roadmap!$D:$K,MATCH($E184,Roadmap!$D:$D,0)-1+COUNTIF($E184:H184,"u")+COUNTIF($E184:H184,"t")+COUNTIF($E184:H184,"¶")+COUNTIF($E184:H184,"²")+COUNTIF($E184:H184,"µ")+COUNTIF($E184:H184,1),ColDescriptionCourte))&gt;1,
HYPERLINK("#Roadmap!C"&amp; MATCH($E184,Roadmap!$D:$D,0)+COUNTIF($E184:H184,"u")+COUNTIF($E184:H184,"t")+COUNTIF($E184:H184,"¶")+COUNTIF($E184:H184,"²")+COUNTIF($E184:H184,"µ")+COUNTIF($E184:H184,1)-1,INDEX(Roadmap!$D:$K,MATCH($E184,Roadmap!$D:$D,0)-1+COUNTIF($E184:H184,"u")+COUNTIF($E184:H184,"t")+COUNTIF($E184:H184,"¶")+COUNTIF($E184:H184,"²")+COUNTIF($E184:H184,"µ")+COUNTIF($E184:H184,1),ColDescriptionCourte)),""),
  "")),"")</f>
        <v/>
      </c>
      <c r="J184" s="40" t="str">
        <f ca="1">IFERROR(IF(AND(
  INDEX(Roadmap!$D:$K,MATCH($E184,Roadmap!$D:$D,0)+COUNTIF($E184:I184,"u")+COUNTIF($E184:I184,"t")+COUNTIF($E184:I184,"¶")+COUNTIF($E184:I184,"²")+COUNTIF($E184:I184,"µ")+COUNTIF($E184:I184,1),ColLivraison)=J$6,
  VLOOKUP($E184,INDIRECT("tri!"&amp; CHAR(64+ C0Col) &amp;":"&amp; CHAR(65+C0Col)),2,FALSE)&gt;COUNTIF($E184:I184,"u")+COUNTIF($E184:I184,"t")+COUNTIF($E184:I184,"¶")+COUNTIF($E184:I184,"²")+COUNTIF($E184:I184,"µ")+COUNTIF($E184:I184,1)),
HYPERLINK("#Roadmap!C"&amp; MATCH($E184,Roadmap!$D:$D,0)+COUNTIF($E184:I184,"u")+COUNTIF($E184:I184,"t"),
     INDEX(Roadmap!$D:$K,MATCH($E184,Roadmap!$D:$D,0)+COUNTIF($E184:I184,"u")+COUNTIF($E184:I184,"t")+COUNTIF($E184:I184,"¶")+COUNTIF($E184:I184,"²")+COUNTIF($E184:I184,"µ")+COUNTIF($E184:I184,1),ColTypeEcheance)),
  IF(LEN(I184)=1,
  IF(LEN(INDEX(Roadmap!$D:$K,MATCH($E184,Roadmap!$D:$D,0)-1+COUNTIF($E184:I184,"u")+COUNTIF($E184:I184,"t")+COUNTIF($E184:I184,"¶")+COUNTIF($E184:I184,"²")+COUNTIF($E184:I184,"µ")+COUNTIF($E184:I184,1),ColDescriptionCourte))&gt;1,
HYPERLINK("#Roadmap!C"&amp; MATCH($E184,Roadmap!$D:$D,0)+COUNTIF($E184:I184,"u")+COUNTIF($E184:I184,"t")+COUNTIF($E184:I184,"¶")+COUNTIF($E184:I184,"²")+COUNTIF($E184:I184,"µ")+COUNTIF($E184:I184,1)-1,INDEX(Roadmap!$D:$K,MATCH($E184,Roadmap!$D:$D,0)-1+COUNTIF($E184:I184,"u")+COUNTIF($E184:I184,"t")+COUNTIF($E184:I184,"¶")+COUNTIF($E184:I184,"²")+COUNTIF($E184:I184,"µ")+COUNTIF($E184:I184,1),ColDescriptionCourte)),""),
  "")),"")</f>
        <v/>
      </c>
      <c r="K184" s="40" t="str">
        <f ca="1">IFERROR(IF(AND(
  INDEX(Roadmap!$D:$K,MATCH($E184,Roadmap!$D:$D,0)+COUNTIF($E184:J184,"u")+COUNTIF($E184:J184,"t")+COUNTIF($E184:J184,"¶")+COUNTIF($E184:J184,"²")+COUNTIF($E184:J184,"µ")+COUNTIF($E184:J184,1),ColLivraison)=K$6,
  VLOOKUP($E184,INDIRECT("tri!"&amp; CHAR(64+ C0Col) &amp;":"&amp; CHAR(65+C0Col)),2,FALSE)&gt;COUNTIF($E184:J184,"u")+COUNTIF($E184:J184,"t")+COUNTIF($E184:J184,"¶")+COUNTIF($E184:J184,"²")+COUNTIF($E184:J184,"µ")+COUNTIF($E184:J184,1)),
HYPERLINK("#Roadmap!C"&amp; MATCH($E184,Roadmap!$D:$D,0)+COUNTIF($E184:J184,"u")+COUNTIF($E184:J184,"t"),
     INDEX(Roadmap!$D:$K,MATCH($E184,Roadmap!$D:$D,0)+COUNTIF($E184:J184,"u")+COUNTIF($E184:J184,"t")+COUNTIF($E184:J184,"¶")+COUNTIF($E184:J184,"²")+COUNTIF($E184:J184,"µ")+COUNTIF($E184:J184,1),ColTypeEcheance)),
  IF(LEN(J184)=1,
  IF(LEN(INDEX(Roadmap!$D:$K,MATCH($E184,Roadmap!$D:$D,0)-1+COUNTIF($E184:J184,"u")+COUNTIF($E184:J184,"t")+COUNTIF($E184:J184,"¶")+COUNTIF($E184:J184,"²")+COUNTIF($E184:J184,"µ")+COUNTIF($E184:J184,1),ColDescriptionCourte))&gt;1,
HYPERLINK("#Roadmap!C"&amp; MATCH($E184,Roadmap!$D:$D,0)+COUNTIF($E184:J184,"u")+COUNTIF($E184:J184,"t")+COUNTIF($E184:J184,"¶")+COUNTIF($E184:J184,"²")+COUNTIF($E184:J184,"µ")+COUNTIF($E184:J184,1)-1,INDEX(Roadmap!$D:$K,MATCH($E184,Roadmap!$D:$D,0)-1+COUNTIF($E184:J184,"u")+COUNTIF($E184:J184,"t")+COUNTIF($E184:J184,"¶")+COUNTIF($E184:J184,"²")+COUNTIF($E184:J184,"µ")+COUNTIF($E184:J184,1),ColDescriptionCourte)),""),
  "")),"")</f>
        <v/>
      </c>
      <c r="L184" s="39" t="str">
        <f ca="1">IFERROR(IF(AND(
  INDEX(Roadmap!$D:$K,MATCH($E184,Roadmap!$D:$D,0)+COUNTIF($E184:K184,"u")+COUNTIF($E184:K184,"t")+COUNTIF($E184:K184,"¶")+COUNTIF($E184:K184,"²")+COUNTIF($E184:K184,"µ")+COUNTIF($E184:K184,1),ColLivraison)=L$6,
  VLOOKUP($E184,INDIRECT("tri!"&amp; CHAR(64+ C0Col) &amp;":"&amp; CHAR(65+C0Col)),2,FALSE)&gt;COUNTIF($E184:K184,"u")+COUNTIF($E184:K184,"t")+COUNTIF($E184:K184,"¶")+COUNTIF($E184:K184,"²")+COUNTIF($E184:K184,"µ")+COUNTIF($E184:K184,1)),
HYPERLINK("#Roadmap!C"&amp; MATCH($E184,Roadmap!$D:$D,0)+COUNTIF($E184:K184,"u")+COUNTIF($E184:K184,"t"),
     INDEX(Roadmap!$D:$K,MATCH($E184,Roadmap!$D:$D,0)+COUNTIF($E184:K184,"u")+COUNTIF($E184:K184,"t")+COUNTIF($E184:K184,"¶")+COUNTIF($E184:K184,"²")+COUNTIF($E184:K184,"µ")+COUNTIF($E184:K184,1),ColTypeEcheance)),
  IF(LEN(K184)=1,
  IF(LEN(INDEX(Roadmap!$D:$K,MATCH($E184,Roadmap!$D:$D,0)-1+COUNTIF($E184:K184,"u")+COUNTIF($E184:K184,"t")+COUNTIF($E184:K184,"¶")+COUNTIF($E184:K184,"²")+COUNTIF($E184:K184,"µ")+COUNTIF($E184:K184,1),ColDescriptionCourte))&gt;1,
HYPERLINK("#Roadmap!C"&amp; MATCH($E184,Roadmap!$D:$D,0)+COUNTIF($E184:K184,"u")+COUNTIF($E184:K184,"t")+COUNTIF($E184:K184,"¶")+COUNTIF($E184:K184,"²")+COUNTIF($E184:K184,"µ")+COUNTIF($E184:K184,1)-1,INDEX(Roadmap!$D:$K,MATCH($E184,Roadmap!$D:$D,0)-1+COUNTIF($E184:K184,"u")+COUNTIF($E184:K184,"t")+COUNTIF($E184:K184,"¶")+COUNTIF($E184:K184,"²")+COUNTIF($E184:K184,"µ")+COUNTIF($E184:K184,1),ColDescriptionCourte)),""),
  "")),"")</f>
        <v/>
      </c>
      <c r="M184" s="40" t="str">
        <f ca="1">IFERROR(IF(AND(
  INDEX(Roadmap!$D:$K,MATCH($E184,Roadmap!$D:$D,0)+COUNTIF($E184:L184,"u")+COUNTIF($E184:L184,"t")+COUNTIF($E184:L184,"¶")+COUNTIF($E184:L184,"²")+COUNTIF($E184:L184,"µ")+COUNTIF($E184:L184,1),ColLivraison)=M$6,
  VLOOKUP($E184,INDIRECT("tri!"&amp; CHAR(64+ C0Col) &amp;":"&amp; CHAR(65+C0Col)),2,FALSE)&gt;COUNTIF($E184:L184,"u")+COUNTIF($E184:L184,"t")+COUNTIF($E184:L184,"¶")+COUNTIF($E184:L184,"²")+COUNTIF($E184:L184,"µ")+COUNTIF($E184:L184,1)),
HYPERLINK("#Roadmap!C"&amp; MATCH($E184,Roadmap!$D:$D,0)+COUNTIF($E184:L184,"u")+COUNTIF($E184:L184,"t"),
     INDEX(Roadmap!$D:$K,MATCH($E184,Roadmap!$D:$D,0)+COUNTIF($E184:L184,"u")+COUNTIF($E184:L184,"t")+COUNTIF($E184:L184,"¶")+COUNTIF($E184:L184,"²")+COUNTIF($E184:L184,"µ")+COUNTIF($E184:L184,1),ColTypeEcheance)),
  IF(LEN(L184)=1,
  IF(LEN(INDEX(Roadmap!$D:$K,MATCH($E184,Roadmap!$D:$D,0)-1+COUNTIF($E184:L184,"u")+COUNTIF($E184:L184,"t")+COUNTIF($E184:L184,"¶")+COUNTIF($E184:L184,"²")+COUNTIF($E184:L184,"µ")+COUNTIF($E184:L184,1),ColDescriptionCourte))&gt;1,
HYPERLINK("#Roadmap!C"&amp; MATCH($E184,Roadmap!$D:$D,0)+COUNTIF($E184:L184,"u")+COUNTIF($E184:L184,"t")+COUNTIF($E184:L184,"¶")+COUNTIF($E184:L184,"²")+COUNTIF($E184:L184,"µ")+COUNTIF($E184:L184,1)-1,INDEX(Roadmap!$D:$K,MATCH($E184,Roadmap!$D:$D,0)-1+COUNTIF($E184:L184,"u")+COUNTIF($E184:L184,"t")+COUNTIF($E184:L184,"¶")+COUNTIF($E184:L184,"²")+COUNTIF($E184:L184,"µ")+COUNTIF($E184:L184,1),ColDescriptionCourte)),""),
  "")),"")</f>
        <v/>
      </c>
      <c r="N184" s="40" t="str">
        <f ca="1">IFERROR(IF(AND(
  INDEX(Roadmap!$D:$K,MATCH($E184,Roadmap!$D:$D,0)+COUNTIF($E184:M184,"u")+COUNTIF($E184:M184,"t")+COUNTIF($E184:M184,"¶")+COUNTIF($E184:M184,"²")+COUNTIF($E184:M184,"µ")+COUNTIF($E184:M184,1),ColLivraison)=N$6,
  VLOOKUP($E184,INDIRECT("tri!"&amp; CHAR(64+ C0Col) &amp;":"&amp; CHAR(65+C0Col)),2,FALSE)&gt;COUNTIF($E184:M184,"u")+COUNTIF($E184:M184,"t")+COUNTIF($E184:M184,"¶")+COUNTIF($E184:M184,"²")+COUNTIF($E184:M184,"µ")+COUNTIF($E184:M184,1)),
HYPERLINK("#Roadmap!C"&amp; MATCH($E184,Roadmap!$D:$D,0)+COUNTIF($E184:M184,"u")+COUNTIF($E184:M184,"t"),
     INDEX(Roadmap!$D:$K,MATCH($E184,Roadmap!$D:$D,0)+COUNTIF($E184:M184,"u")+COUNTIF($E184:M184,"t")+COUNTIF($E184:M184,"¶")+COUNTIF($E184:M184,"²")+COUNTIF($E184:M184,"µ")+COUNTIF($E184:M184,1),ColTypeEcheance)),
  IF(LEN(M184)=1,
  IF(LEN(INDEX(Roadmap!$D:$K,MATCH($E184,Roadmap!$D:$D,0)-1+COUNTIF($E184:M184,"u")+COUNTIF($E184:M184,"t")+COUNTIF($E184:M184,"¶")+COUNTIF($E184:M184,"²")+COUNTIF($E184:M184,"µ")+COUNTIF($E184:M184,1),ColDescriptionCourte))&gt;1,
HYPERLINK("#Roadmap!C"&amp; MATCH($E184,Roadmap!$D:$D,0)+COUNTIF($E184:M184,"u")+COUNTIF($E184:M184,"t")+COUNTIF($E184:M184,"¶")+COUNTIF($E184:M184,"²")+COUNTIF($E184:M184,"µ")+COUNTIF($E184:M184,1)-1,INDEX(Roadmap!$D:$K,MATCH($E184,Roadmap!$D:$D,0)-1+COUNTIF($E184:M184,"u")+COUNTIF($E184:M184,"t")+COUNTIF($E184:M184,"¶")+COUNTIF($E184:M184,"²")+COUNTIF($E184:M184,"µ")+COUNTIF($E184:M184,1),ColDescriptionCourte)),""),
  "")),"")</f>
        <v/>
      </c>
      <c r="O184" s="40" t="str">
        <f ca="1">IFERROR(IF(AND(
  INDEX(Roadmap!$D:$K,MATCH($E184,Roadmap!$D:$D,0)+COUNTIF($E184:N184,"u")+COUNTIF($E184:N184,"t")+COUNTIF($E184:N184,"¶")+COUNTIF($E184:N184,"²")+COUNTIF($E184:N184,"µ")+COUNTIF($E184:N184,1),ColLivraison)=O$6,
  VLOOKUP($E184,INDIRECT("tri!"&amp; CHAR(64+ C0Col) &amp;":"&amp; CHAR(65+C0Col)),2,FALSE)&gt;COUNTIF($E184:N184,"u")+COUNTIF($E184:N184,"t")+COUNTIF($E184:N184,"¶")+COUNTIF($E184:N184,"²")+COUNTIF($E184:N184,"µ")+COUNTIF($E184:N184,1)),
HYPERLINK("#Roadmap!C"&amp; MATCH($E184,Roadmap!$D:$D,0)+COUNTIF($E184:N184,"u")+COUNTIF($E184:N184,"t"),
     INDEX(Roadmap!$D:$K,MATCH($E184,Roadmap!$D:$D,0)+COUNTIF($E184:N184,"u")+COUNTIF($E184:N184,"t")+COUNTIF($E184:N184,"¶")+COUNTIF($E184:N184,"²")+COUNTIF($E184:N184,"µ")+COUNTIF($E184:N184,1),ColTypeEcheance)),
  IF(LEN(N184)=1,
  IF(LEN(INDEX(Roadmap!$D:$K,MATCH($E184,Roadmap!$D:$D,0)-1+COUNTIF($E184:N184,"u")+COUNTIF($E184:N184,"t")+COUNTIF($E184:N184,"¶")+COUNTIF($E184:N184,"²")+COUNTIF($E184:N184,"µ")+COUNTIF($E184:N184,1),ColDescriptionCourte))&gt;1,
HYPERLINK("#Roadmap!C"&amp; MATCH($E184,Roadmap!$D:$D,0)+COUNTIF($E184:N184,"u")+COUNTIF($E184:N184,"t")+COUNTIF($E184:N184,"¶")+COUNTIF($E184:N184,"²")+COUNTIF($E184:N184,"µ")+COUNTIF($E184:N184,1)-1,INDEX(Roadmap!$D:$K,MATCH($E184,Roadmap!$D:$D,0)-1+COUNTIF($E184:N184,"u")+COUNTIF($E184:N184,"t")+COUNTIF($E184:N184,"¶")+COUNTIF($E184:N184,"²")+COUNTIF($E184:N184,"µ")+COUNTIF($E184:N184,1),ColDescriptionCourte)),""),
  "")),"")</f>
        <v/>
      </c>
      <c r="P184" s="40" t="str">
        <f ca="1">IFERROR(IF(AND(
  INDEX(Roadmap!$D:$K,MATCH($E184,Roadmap!$D:$D,0)+COUNTIF($E184:O184,"u")+COUNTIF($E184:O184,"t")+COUNTIF($E184:O184,"¶")+COUNTIF($E184:O184,"²")+COUNTIF($E184:O184,"µ")+COUNTIF($E184:O184,1),ColLivraison)=P$6,
  VLOOKUP($E184,INDIRECT("tri!"&amp; CHAR(64+ C0Col) &amp;":"&amp; CHAR(65+C0Col)),2,FALSE)&gt;COUNTIF($E184:O184,"u")+COUNTIF($E184:O184,"t")+COUNTIF($E184:O184,"¶")+COUNTIF($E184:O184,"²")+COUNTIF($E184:O184,"µ")+COUNTIF($E184:O184,1)),
HYPERLINK("#Roadmap!C"&amp; MATCH($E184,Roadmap!$D:$D,0)+COUNTIF($E184:O184,"u")+COUNTIF($E184:O184,"t"),
     INDEX(Roadmap!$D:$K,MATCH($E184,Roadmap!$D:$D,0)+COUNTIF($E184:O184,"u")+COUNTIF($E184:O184,"t")+COUNTIF($E184:O184,"¶")+COUNTIF($E184:O184,"²")+COUNTIF($E184:O184,"µ")+COUNTIF($E184:O184,1),ColTypeEcheance)),
  IF(LEN(O184)=1,
  IF(LEN(INDEX(Roadmap!$D:$K,MATCH($E184,Roadmap!$D:$D,0)-1+COUNTIF($E184:O184,"u")+COUNTIF($E184:O184,"t")+COUNTIF($E184:O184,"¶")+COUNTIF($E184:O184,"²")+COUNTIF($E184:O184,"µ")+COUNTIF($E184:O184,1),ColDescriptionCourte))&gt;1,
HYPERLINK("#Roadmap!C"&amp; MATCH($E184,Roadmap!$D:$D,0)+COUNTIF($E184:O184,"u")+COUNTIF($E184:O184,"t")+COUNTIF($E184:O184,"¶")+COUNTIF($E184:O184,"²")+COUNTIF($E184:O184,"µ")+COUNTIF($E184:O184,1)-1,INDEX(Roadmap!$D:$K,MATCH($E184,Roadmap!$D:$D,0)-1+COUNTIF($E184:O184,"u")+COUNTIF($E184:O184,"t")+COUNTIF($E184:O184,"¶")+COUNTIF($E184:O184,"²")+COUNTIF($E184:O184,"µ")+COUNTIF($E184:O184,1),ColDescriptionCourte)),""),
  "")),"")</f>
        <v/>
      </c>
      <c r="Q184" s="40" t="str">
        <f ca="1">IFERROR(IF(AND(
  INDEX(Roadmap!$D:$K,MATCH($E184,Roadmap!$D:$D,0)+COUNTIF($E184:P184,"u")+COUNTIF($E184:P184,"t")+COUNTIF($E184:P184,"¶")+COUNTIF($E184:P184,"²")+COUNTIF($E184:P184,"µ")+COUNTIF($E184:P184,1),ColLivraison)=Q$6,
  VLOOKUP($E184,INDIRECT("tri!"&amp; CHAR(64+ C0Col) &amp;":"&amp; CHAR(65+C0Col)),2,FALSE)&gt;COUNTIF($E184:P184,"u")+COUNTIF($E184:P184,"t")+COUNTIF($E184:P184,"¶")+COUNTIF($E184:P184,"²")+COUNTIF($E184:P184,"µ")+COUNTIF($E184:P184,1)),
HYPERLINK("#Roadmap!C"&amp; MATCH($E184,Roadmap!$D:$D,0)+COUNTIF($E184:P184,"u")+COUNTIF($E184:P184,"t"),
     INDEX(Roadmap!$D:$K,MATCH($E184,Roadmap!$D:$D,0)+COUNTIF($E184:P184,"u")+COUNTIF($E184:P184,"t")+COUNTIF($E184:P184,"¶")+COUNTIF($E184:P184,"²")+COUNTIF($E184:P184,"µ")+COUNTIF($E184:P184,1),ColTypeEcheance)),
  IF(LEN(P184)=1,
  IF(LEN(INDEX(Roadmap!$D:$K,MATCH($E184,Roadmap!$D:$D,0)-1+COUNTIF($E184:P184,"u")+COUNTIF($E184:P184,"t")+COUNTIF($E184:P184,"¶")+COUNTIF($E184:P184,"²")+COUNTIF($E184:P184,"µ")+COUNTIF($E184:P184,1),ColDescriptionCourte))&gt;1,
HYPERLINK("#Roadmap!C"&amp; MATCH($E184,Roadmap!$D:$D,0)+COUNTIF($E184:P184,"u")+COUNTIF($E184:P184,"t")+COUNTIF($E184:P184,"¶")+COUNTIF($E184:P184,"²")+COUNTIF($E184:P184,"µ")+COUNTIF($E184:P184,1)-1,INDEX(Roadmap!$D:$K,MATCH($E184,Roadmap!$D:$D,0)-1+COUNTIF($E184:P184,"u")+COUNTIF($E184:P184,"t")+COUNTIF($E184:P184,"¶")+COUNTIF($E184:P184,"²")+COUNTIF($E184:P184,"µ")+COUNTIF($E184:P184,1),ColDescriptionCourte)),""),
  "")),"")</f>
        <v/>
      </c>
      <c r="R184" s="40" t="str">
        <f ca="1">IFERROR(IF(AND(
  INDEX(Roadmap!$D:$K,MATCH($E184,Roadmap!$D:$D,0)+COUNTIF($E184:Q184,"u")+COUNTIF($E184:Q184,"t")+COUNTIF($E184:Q184,"¶")+COUNTIF($E184:Q184,"²")+COUNTIF($E184:Q184,"µ")+COUNTIF($E184:Q184,1),ColLivraison)=R$6,
  VLOOKUP($E184,INDIRECT("tri!"&amp; CHAR(64+ C0Col) &amp;":"&amp; CHAR(65+C0Col)),2,FALSE)&gt;COUNTIF($E184:Q184,"u")+COUNTIF($E184:Q184,"t")+COUNTIF($E184:Q184,"¶")+COUNTIF($E184:Q184,"²")+COUNTIF($E184:Q184,"µ")+COUNTIF($E184:Q184,1)),
HYPERLINK("#Roadmap!C"&amp; MATCH($E184,Roadmap!$D:$D,0)+COUNTIF($E184:Q184,"u")+COUNTIF($E184:Q184,"t"),
     INDEX(Roadmap!$D:$K,MATCH($E184,Roadmap!$D:$D,0)+COUNTIF($E184:Q184,"u")+COUNTIF($E184:Q184,"t")+COUNTIF($E184:Q184,"¶")+COUNTIF($E184:Q184,"²")+COUNTIF($E184:Q184,"µ")+COUNTIF($E184:Q184,1),ColTypeEcheance)),
  IF(LEN(Q184)=1,
  IF(LEN(INDEX(Roadmap!$D:$K,MATCH($E184,Roadmap!$D:$D,0)-1+COUNTIF($E184:Q184,"u")+COUNTIF($E184:Q184,"t")+COUNTIF($E184:Q184,"¶")+COUNTIF($E184:Q184,"²")+COUNTIF($E184:Q184,"µ")+COUNTIF($E184:Q184,1),ColDescriptionCourte))&gt;1,
HYPERLINK("#Roadmap!C"&amp; MATCH($E184,Roadmap!$D:$D,0)+COUNTIF($E184:Q184,"u")+COUNTIF($E184:Q184,"t")+COUNTIF($E184:Q184,"¶")+COUNTIF($E184:Q184,"²")+COUNTIF($E184:Q184,"µ")+COUNTIF($E184:Q184,1)-1,INDEX(Roadmap!$D:$K,MATCH($E184,Roadmap!$D:$D,0)-1+COUNTIF($E184:Q184,"u")+COUNTIF($E184:Q184,"t")+COUNTIF($E184:Q184,"¶")+COUNTIF($E184:Q184,"²")+COUNTIF($E184:Q184,"µ")+COUNTIF($E184:Q184,1),ColDescriptionCourte)),""),
  "")),"")</f>
        <v/>
      </c>
      <c r="S184" s="40" t="str">
        <f ca="1">IFERROR(IF(AND(
  INDEX(Roadmap!$D:$K,MATCH($E184,Roadmap!$D:$D,0)+COUNTIF($E184:R184,"u")+COUNTIF($E184:R184,"t")+COUNTIF($E184:R184,"¶")+COUNTIF($E184:R184,"²")+COUNTIF($E184:R184,"µ")+COUNTIF($E184:R184,1),ColLivraison)=S$6,
  VLOOKUP($E184,INDIRECT("tri!"&amp; CHAR(64+ C0Col) &amp;":"&amp; CHAR(65+C0Col)),2,FALSE)&gt;COUNTIF($E184:R184,"u")+COUNTIF($E184:R184,"t")+COUNTIF($E184:R184,"¶")+COUNTIF($E184:R184,"²")+COUNTIF($E184:R184,"µ")+COUNTIF($E184:R184,1)),
HYPERLINK("#Roadmap!C"&amp; MATCH($E184,Roadmap!$D:$D,0)+COUNTIF($E184:R184,"u")+COUNTIF($E184:R184,"t"),
     INDEX(Roadmap!$D:$K,MATCH($E184,Roadmap!$D:$D,0)+COUNTIF($E184:R184,"u")+COUNTIF($E184:R184,"t")+COUNTIF($E184:R184,"¶")+COUNTIF($E184:R184,"²")+COUNTIF($E184:R184,"µ")+COUNTIF($E184:R184,1),ColTypeEcheance)),
  IF(LEN(R184)=1,
  IF(LEN(INDEX(Roadmap!$D:$K,MATCH($E184,Roadmap!$D:$D,0)-1+COUNTIF($E184:R184,"u")+COUNTIF($E184:R184,"t")+COUNTIF($E184:R184,"¶")+COUNTIF($E184:R184,"²")+COUNTIF($E184:R184,"µ")+COUNTIF($E184:R184,1),ColDescriptionCourte))&gt;1,
HYPERLINK("#Roadmap!C"&amp; MATCH($E184,Roadmap!$D:$D,0)+COUNTIF($E184:R184,"u")+COUNTIF($E184:R184,"t")+COUNTIF($E184:R184,"¶")+COUNTIF($E184:R184,"²")+COUNTIF($E184:R184,"µ")+COUNTIF($E184:R184,1)-1,INDEX(Roadmap!$D:$K,MATCH($E184,Roadmap!$D:$D,0)-1+COUNTIF($E184:R184,"u")+COUNTIF($E184:R184,"t")+COUNTIF($E184:R184,"¶")+COUNTIF($E184:R184,"²")+COUNTIF($E184:R184,"µ")+COUNTIF($E184:R184,1),ColDescriptionCourte)),""),
  "")),"")</f>
        <v/>
      </c>
      <c r="T184" s="40" t="str">
        <f ca="1">IFERROR(IF(AND(
  INDEX(Roadmap!$D:$K,MATCH($E184,Roadmap!$D:$D,0)+COUNTIF($E184:S184,"u")+COUNTIF($E184:S184,"t")+COUNTIF($E184:S184,"¶")+COUNTIF($E184:S184,"²")+COUNTIF($E184:S184,"µ")+COUNTIF($E184:S184,1),ColLivraison)=T$6,
  VLOOKUP($E184,INDIRECT("tri!"&amp; CHAR(64+ C0Col) &amp;":"&amp; CHAR(65+C0Col)),2,FALSE)&gt;COUNTIF($E184:S184,"u")+COUNTIF($E184:S184,"t")+COUNTIF($E184:S184,"¶")+COUNTIF($E184:S184,"²")+COUNTIF($E184:S184,"µ")+COUNTIF($E184:S184,1)),
HYPERLINK("#Roadmap!C"&amp; MATCH($E184,Roadmap!$D:$D,0)+COUNTIF($E184:S184,"u")+COUNTIF($E184:S184,"t"),
     INDEX(Roadmap!$D:$K,MATCH($E184,Roadmap!$D:$D,0)+COUNTIF($E184:S184,"u")+COUNTIF($E184:S184,"t")+COUNTIF($E184:S184,"¶")+COUNTIF($E184:S184,"²")+COUNTIF($E184:S184,"µ")+COUNTIF($E184:S184,1),ColTypeEcheance)),
  IF(LEN(S184)=1,
  IF(LEN(INDEX(Roadmap!$D:$K,MATCH($E184,Roadmap!$D:$D,0)-1+COUNTIF($E184:S184,"u")+COUNTIF($E184:S184,"t")+COUNTIF($E184:S184,"¶")+COUNTIF($E184:S184,"²")+COUNTIF($E184:S184,"µ")+COUNTIF($E184:S184,1),ColDescriptionCourte))&gt;1,
HYPERLINK("#Roadmap!C"&amp; MATCH($E184,Roadmap!$D:$D,0)+COUNTIF($E184:S184,"u")+COUNTIF($E184:S184,"t")+COUNTIF($E184:S184,"¶")+COUNTIF($E184:S184,"²")+COUNTIF($E184:S184,"µ")+COUNTIF($E184:S184,1)-1,INDEX(Roadmap!$D:$K,MATCH($E184,Roadmap!$D:$D,0)-1+COUNTIF($E184:S184,"u")+COUNTIF($E184:S184,"t")+COUNTIF($E184:S184,"¶")+COUNTIF($E184:S184,"²")+COUNTIF($E184:S184,"µ")+COUNTIF($E184:S184,1),ColDescriptionCourte)),""),
  "")),"")</f>
        <v/>
      </c>
      <c r="U184" s="40" t="str">
        <f ca="1">IFERROR(IF(AND(
  INDEX(Roadmap!$D:$K,MATCH($E184,Roadmap!$D:$D,0)+COUNTIF($E184:T184,"u")+COUNTIF($E184:T184,"t")+COUNTIF($E184:T184,"¶")+COUNTIF($E184:T184,"²")+COUNTIF($E184:T184,"µ")+COUNTIF($E184:T184,1),ColLivraison)=U$6,
  VLOOKUP($E184,INDIRECT("tri!"&amp; CHAR(64+ C0Col) &amp;":"&amp; CHAR(65+C0Col)),2,FALSE)&gt;COUNTIF($E184:T184,"u")+COUNTIF($E184:T184,"t")+COUNTIF($E184:T184,"¶")+COUNTIF($E184:T184,"²")+COUNTIF($E184:T184,"µ")+COUNTIF($E184:T184,1)),
HYPERLINK("#Roadmap!C"&amp; MATCH($E184,Roadmap!$D:$D,0)+COUNTIF($E184:T184,"u")+COUNTIF($E184:T184,"t"),
     INDEX(Roadmap!$D:$K,MATCH($E184,Roadmap!$D:$D,0)+COUNTIF($E184:T184,"u")+COUNTIF($E184:T184,"t")+COUNTIF($E184:T184,"¶")+COUNTIF($E184:T184,"²")+COUNTIF($E184:T184,"µ")+COUNTIF($E184:T184,1),ColTypeEcheance)),
  IF(LEN(T184)=1,
  IF(LEN(INDEX(Roadmap!$D:$K,MATCH($E184,Roadmap!$D:$D,0)-1+COUNTIF($E184:T184,"u")+COUNTIF($E184:T184,"t")+COUNTIF($E184:T184,"¶")+COUNTIF($E184:T184,"²")+COUNTIF($E184:T184,"µ")+COUNTIF($E184:T184,1),ColDescriptionCourte))&gt;1,
HYPERLINK("#Roadmap!C"&amp; MATCH($E184,Roadmap!$D:$D,0)+COUNTIF($E184:T184,"u")+COUNTIF($E184:T184,"t")+COUNTIF($E184:T184,"¶")+COUNTIF($E184:T184,"²")+COUNTIF($E184:T184,"µ")+COUNTIF($E184:T184,1)-1,INDEX(Roadmap!$D:$K,MATCH($E184,Roadmap!$D:$D,0)-1+COUNTIF($E184:T184,"u")+COUNTIF($E184:T184,"t")+COUNTIF($E184:T184,"¶")+COUNTIF($E184:T184,"²")+COUNTIF($E184:T184,"µ")+COUNTIF($E184:T184,1),ColDescriptionCourte)),""),
  "")),"")</f>
        <v/>
      </c>
      <c r="V184" s="40" t="str">
        <f ca="1">IFERROR(IF(AND(
  INDEX(Roadmap!$D:$K,MATCH($E184,Roadmap!$D:$D,0)+COUNTIF($E184:U184,"u")+COUNTIF($E184:U184,"t")+COUNTIF($E184:U184,"¶")+COUNTIF($E184:U184,"²")+COUNTIF($E184:U184,"µ")+COUNTIF($E184:U184,1),ColLivraison)=V$6,
  VLOOKUP($E184,INDIRECT("tri!"&amp; CHAR(64+ C0Col) &amp;":"&amp; CHAR(65+C0Col)),2,FALSE)&gt;COUNTIF($E184:U184,"u")+COUNTIF($E184:U184,"t")+COUNTIF($E184:U184,"¶")+COUNTIF($E184:U184,"²")+COUNTIF($E184:U184,"µ")+COUNTIF($E184:U184,1)),
HYPERLINK("#Roadmap!C"&amp; MATCH($E184,Roadmap!$D:$D,0)+COUNTIF($E184:U184,"u")+COUNTIF($E184:U184,"t"),
     INDEX(Roadmap!$D:$K,MATCH($E184,Roadmap!$D:$D,0)+COUNTIF($E184:U184,"u")+COUNTIF($E184:U184,"t")+COUNTIF($E184:U184,"¶")+COUNTIF($E184:U184,"²")+COUNTIF($E184:U184,"µ")+COUNTIF($E184:U184,1),ColTypeEcheance)),
  IF(LEN(U184)=1,
  IF(LEN(INDEX(Roadmap!$D:$K,MATCH($E184,Roadmap!$D:$D,0)-1+COUNTIF($E184:U184,"u")+COUNTIF($E184:U184,"t")+COUNTIF($E184:U184,"¶")+COUNTIF($E184:U184,"²")+COUNTIF($E184:U184,"µ")+COUNTIF($E184:U184,1),ColDescriptionCourte))&gt;1,
HYPERLINK("#Roadmap!C"&amp; MATCH($E184,Roadmap!$D:$D,0)+COUNTIF($E184:U184,"u")+COUNTIF($E184:U184,"t")+COUNTIF($E184:U184,"¶")+COUNTIF($E184:U184,"²")+COUNTIF($E184:U184,"µ")+COUNTIF($E184:U184,1)-1,INDEX(Roadmap!$D:$K,MATCH($E184,Roadmap!$D:$D,0)-1+COUNTIF($E184:U184,"u")+COUNTIF($E184:U184,"t")+COUNTIF($E184:U184,"¶")+COUNTIF($E184:U184,"²")+COUNTIF($E184:U184,"µ")+COUNTIF($E184:U184,1),ColDescriptionCourte)),""),
  "")),"")</f>
        <v/>
      </c>
      <c r="W184" s="40" t="str">
        <f ca="1">IFERROR(IF(AND(
  INDEX(Roadmap!$D:$K,MATCH($E184,Roadmap!$D:$D,0)+COUNTIF($E184:V184,"u")+COUNTIF($E184:V184,"t")+COUNTIF($E184:V184,"¶")+COUNTIF($E184:V184,"²")+COUNTIF($E184:V184,"µ")+COUNTIF($E184:V184,1),ColLivraison)=W$6,
  VLOOKUP($E184,INDIRECT("tri!"&amp; CHAR(64+ C0Col) &amp;":"&amp; CHAR(65+C0Col)),2,FALSE)&gt;COUNTIF($E184:V184,"u")+COUNTIF($E184:V184,"t")+COUNTIF($E184:V184,"¶")+COUNTIF($E184:V184,"²")+COUNTIF($E184:V184,"µ")+COUNTIF($E184:V184,1)),
HYPERLINK("#Roadmap!C"&amp; MATCH($E184,Roadmap!$D:$D,0)+COUNTIF($E184:V184,"u")+COUNTIF($E184:V184,"t"),
     INDEX(Roadmap!$D:$K,MATCH($E184,Roadmap!$D:$D,0)+COUNTIF($E184:V184,"u")+COUNTIF($E184:V184,"t")+COUNTIF($E184:V184,"¶")+COUNTIF($E184:V184,"²")+COUNTIF($E184:V184,"µ")+COUNTIF($E184:V184,1),ColTypeEcheance)),
  IF(LEN(V184)=1,
  IF(LEN(INDEX(Roadmap!$D:$K,MATCH($E184,Roadmap!$D:$D,0)-1+COUNTIF($E184:V184,"u")+COUNTIF($E184:V184,"t")+COUNTIF($E184:V184,"¶")+COUNTIF($E184:V184,"²")+COUNTIF($E184:V184,"µ")+COUNTIF($E184:V184,1),ColDescriptionCourte))&gt;1,
HYPERLINK("#Roadmap!C"&amp; MATCH($E184,Roadmap!$D:$D,0)+COUNTIF($E184:V184,"u")+COUNTIF($E184:V184,"t")+COUNTIF($E184:V184,"¶")+COUNTIF($E184:V184,"²")+COUNTIF($E184:V184,"µ")+COUNTIF($E184:V184,1)-1,INDEX(Roadmap!$D:$K,MATCH($E184,Roadmap!$D:$D,0)-1+COUNTIF($E184:V184,"u")+COUNTIF($E184:V184,"t")+COUNTIF($E184:V184,"¶")+COUNTIF($E184:V184,"²")+COUNTIF($E184:V184,"µ")+COUNTIF($E184:V184,1),ColDescriptionCourte)),""),
  "")),"")</f>
        <v/>
      </c>
      <c r="X184" s="40" t="str">
        <f ca="1">IFERROR(IF(AND(
  INDEX(Roadmap!$D:$K,MATCH($E184,Roadmap!$D:$D,0)+COUNTIF($E184:W184,"u")+COUNTIF($E184:W184,"t")+COUNTIF($E184:W184,"¶")+COUNTIF($E184:W184,"²")+COUNTIF($E184:W184,"µ")+COUNTIF($E184:W184,1),ColLivraison)=X$6,
  VLOOKUP($E184,INDIRECT("tri!"&amp; CHAR(64+ C0Col) &amp;":"&amp; CHAR(65+C0Col)),2,FALSE)&gt;COUNTIF($E184:W184,"u")+COUNTIF($E184:W184,"t")+COUNTIF($E184:W184,"¶")+COUNTIF($E184:W184,"²")+COUNTIF($E184:W184,"µ")+COUNTIF($E184:W184,1)),
HYPERLINK("#Roadmap!C"&amp; MATCH($E184,Roadmap!$D:$D,0)+COUNTIF($E184:W184,"u")+COUNTIF($E184:W184,"t"),
     INDEX(Roadmap!$D:$K,MATCH($E184,Roadmap!$D:$D,0)+COUNTIF($E184:W184,"u")+COUNTIF($E184:W184,"t")+COUNTIF($E184:W184,"¶")+COUNTIF($E184:W184,"²")+COUNTIF($E184:W184,"µ")+COUNTIF($E184:W184,1),ColTypeEcheance)),
  IF(LEN(W184)=1,
  IF(LEN(INDEX(Roadmap!$D:$K,MATCH($E184,Roadmap!$D:$D,0)-1+COUNTIF($E184:W184,"u")+COUNTIF($E184:W184,"t")+COUNTIF($E184:W184,"¶")+COUNTIF($E184:W184,"²")+COUNTIF($E184:W184,"µ")+COUNTIF($E184:W184,1),ColDescriptionCourte))&gt;1,
HYPERLINK("#Roadmap!C"&amp; MATCH($E184,Roadmap!$D:$D,0)+COUNTIF($E184:W184,"u")+COUNTIF($E184:W184,"t")+COUNTIF($E184:W184,"¶")+COUNTIF($E184:W184,"²")+COUNTIF($E184:W184,"µ")+COUNTIF($E184:W184,1)-1,INDEX(Roadmap!$D:$K,MATCH($E184,Roadmap!$D:$D,0)-1+COUNTIF($E184:W184,"u")+COUNTIF($E184:W184,"t")+COUNTIF($E184:W184,"¶")+COUNTIF($E184:W184,"²")+COUNTIF($E184:W184,"µ")+COUNTIF($E184:W184,1),ColDescriptionCourte)),""),
  "")),"")</f>
        <v/>
      </c>
      <c r="Y184" s="40" t="str">
        <f ca="1">IFERROR(IF(AND(
  INDEX(Roadmap!$D:$K,MATCH($E184,Roadmap!$D:$D,0)+COUNTIF($E184:X184,"u")+COUNTIF($E184:X184,"t")+COUNTIF($E184:X184,"¶")+COUNTIF($E184:X184,"²")+COUNTIF($E184:X184,"µ")+COUNTIF($E184:X184,1),ColLivraison)=Y$6,
  VLOOKUP($E184,INDIRECT("tri!"&amp; CHAR(64+ C0Col) &amp;":"&amp; CHAR(65+C0Col)),2,FALSE)&gt;COUNTIF($E184:X184,"u")+COUNTIF($E184:X184,"t")+COUNTIF($E184:X184,"¶")+COUNTIF($E184:X184,"²")+COUNTIF($E184:X184,"µ")+COUNTIF($E184:X184,1)),
HYPERLINK("#Roadmap!C"&amp; MATCH($E184,Roadmap!$D:$D,0)+COUNTIF($E184:X184,"u")+COUNTIF($E184:X184,"t"),
     INDEX(Roadmap!$D:$K,MATCH($E184,Roadmap!$D:$D,0)+COUNTIF($E184:X184,"u")+COUNTIF($E184:X184,"t")+COUNTIF($E184:X184,"¶")+COUNTIF($E184:X184,"²")+COUNTIF($E184:X184,"µ")+COUNTIF($E184:X184,1),ColTypeEcheance)),
  IF(LEN(X184)=1,
  IF(LEN(INDEX(Roadmap!$D:$K,MATCH($E184,Roadmap!$D:$D,0)-1+COUNTIF($E184:X184,"u")+COUNTIF($E184:X184,"t")+COUNTIF($E184:X184,"¶")+COUNTIF($E184:X184,"²")+COUNTIF($E184:X184,"µ")+COUNTIF($E184:X184,1),ColDescriptionCourte))&gt;1,
HYPERLINK("#Roadmap!C"&amp; MATCH($E184,Roadmap!$D:$D,0)+COUNTIF($E184:X184,"u")+COUNTIF($E184:X184,"t")+COUNTIF($E184:X184,"¶")+COUNTIF($E184:X184,"²")+COUNTIF($E184:X184,"µ")+COUNTIF($E184:X184,1)-1,INDEX(Roadmap!$D:$K,MATCH($E184,Roadmap!$D:$D,0)-1+COUNTIF($E184:X184,"u")+COUNTIF($E184:X184,"t")+COUNTIF($E184:X184,"¶")+COUNTIF($E184:X184,"²")+COUNTIF($E184:X184,"µ")+COUNTIF($E184:X184,1),ColDescriptionCourte)),""),
  "")),"")</f>
        <v/>
      </c>
      <c r="Z184" s="40" t="str">
        <f ca="1">IFERROR(IF(AND(
  INDEX(Roadmap!$D:$K,MATCH($E184,Roadmap!$D:$D,0)+COUNTIF($E184:Y184,"u")+COUNTIF($E184:Y184,"t")+COUNTIF($E184:Y184,"¶")+COUNTIF($E184:Y184,"²")+COUNTIF($E184:Y184,"µ")+COUNTIF($E184:Y184,1),ColLivraison)=Z$6,
  VLOOKUP($E184,INDIRECT("tri!"&amp; CHAR(64+ C0Col) &amp;":"&amp; CHAR(65+C0Col)),2,FALSE)&gt;COUNTIF($E184:Y184,"u")+COUNTIF($E184:Y184,"t")+COUNTIF($E184:Y184,"¶")+COUNTIF($E184:Y184,"²")+COUNTIF($E184:Y184,"µ")+COUNTIF($E184:Y184,1)),
HYPERLINK("#Roadmap!C"&amp; MATCH($E184,Roadmap!$D:$D,0)+COUNTIF($E184:Y184,"u")+COUNTIF($E184:Y184,"t"),
     INDEX(Roadmap!$D:$K,MATCH($E184,Roadmap!$D:$D,0)+COUNTIF($E184:Y184,"u")+COUNTIF($E184:Y184,"t")+COUNTIF($E184:Y184,"¶")+COUNTIF($E184:Y184,"²")+COUNTIF($E184:Y184,"µ")+COUNTIF($E184:Y184,1),ColTypeEcheance)),
  IF(LEN(Y184)=1,
  IF(LEN(INDEX(Roadmap!$D:$K,MATCH($E184,Roadmap!$D:$D,0)-1+COUNTIF($E184:Y184,"u")+COUNTIF($E184:Y184,"t")+COUNTIF($E184:Y184,"¶")+COUNTIF($E184:Y184,"²")+COUNTIF($E184:Y184,"µ")+COUNTIF($E184:Y184,1),ColDescriptionCourte))&gt;1,
HYPERLINK("#Roadmap!C"&amp; MATCH($E184,Roadmap!$D:$D,0)+COUNTIF($E184:Y184,"u")+COUNTIF($E184:Y184,"t")+COUNTIF($E184:Y184,"¶")+COUNTIF($E184:Y184,"²")+COUNTIF($E184:Y184,"µ")+COUNTIF($E184:Y184,1)-1,INDEX(Roadmap!$D:$K,MATCH($E184,Roadmap!$D:$D,0)-1+COUNTIF($E184:Y184,"u")+COUNTIF($E184:Y184,"t")+COUNTIF($E184:Y184,"¶")+COUNTIF($E184:Y184,"²")+COUNTIF($E184:Y184,"µ")+COUNTIF($E184:Y184,1),ColDescriptionCourte)),""),
  "")),"")</f>
        <v/>
      </c>
      <c r="AA184" s="40" t="str">
        <f ca="1">IFERROR(IF(AND(
  INDEX(Roadmap!$D:$K,MATCH($E184,Roadmap!$D:$D,0)+COUNTIF($E184:Z184,"u")+COUNTIF($E184:Z184,"t")+COUNTIF($E184:Z184,"¶")+COUNTIF($E184:Z184,"²")+COUNTIF($E184:Z184,"µ")+COUNTIF($E184:Z184,1),ColLivraison)=AA$6,
  VLOOKUP($E184,INDIRECT("tri!"&amp; CHAR(64+ C0Col) &amp;":"&amp; CHAR(65+C0Col)),2,FALSE)&gt;COUNTIF($E184:Z184,"u")+COUNTIF($E184:Z184,"t")+COUNTIF($E184:Z184,"¶")+COUNTIF($E184:Z184,"²")+COUNTIF($E184:Z184,"µ")+COUNTIF($E184:Z184,1)),
HYPERLINK("#Roadmap!C"&amp; MATCH($E184,Roadmap!$D:$D,0)+COUNTIF($E184:Z184,"u")+COUNTIF($E184:Z184,"t"),
     INDEX(Roadmap!$D:$K,MATCH($E184,Roadmap!$D:$D,0)+COUNTIF($E184:Z184,"u")+COUNTIF($E184:Z184,"t")+COUNTIF($E184:Z184,"¶")+COUNTIF($E184:Z184,"²")+COUNTIF($E184:Z184,"µ")+COUNTIF($E184:Z184,1),ColTypeEcheance)),
  IF(LEN(Z184)=1,
  IF(LEN(INDEX(Roadmap!$D:$K,MATCH($E184,Roadmap!$D:$D,0)-1+COUNTIF($E184:Z184,"u")+COUNTIF($E184:Z184,"t")+COUNTIF($E184:Z184,"¶")+COUNTIF($E184:Z184,"²")+COUNTIF($E184:Z184,"µ")+COUNTIF($E184:Z184,1),ColDescriptionCourte))&gt;1,
HYPERLINK("#Roadmap!C"&amp; MATCH($E184,Roadmap!$D:$D,0)+COUNTIF($E184:Z184,"u")+COUNTIF($E184:Z184,"t")+COUNTIF($E184:Z184,"¶")+COUNTIF($E184:Z184,"²")+COUNTIF($E184:Z184,"µ")+COUNTIF($E184:Z184,1)-1,INDEX(Roadmap!$D:$K,MATCH($E184,Roadmap!$D:$D,0)-1+COUNTIF($E184:Z184,"u")+COUNTIF($E184:Z184,"t")+COUNTIF($E184:Z184,"¶")+COUNTIF($E184:Z184,"²")+COUNTIF($E184:Z184,"µ")+COUNTIF($E184:Z184,1),ColDescriptionCourte)),""),
  "")),"")</f>
        <v/>
      </c>
      <c r="AB184" s="40" t="str">
        <f ca="1">IFERROR(IF(AND(
  INDEX(Roadmap!$D:$K,MATCH($E184,Roadmap!$D:$D,0)+COUNTIF($E184:AA184,"u")+COUNTIF($E184:AA184,"t")+COUNTIF($E184:AA184,"¶")+COUNTIF($E184:AA184,"²")+COUNTIF($E184:AA184,"µ")+COUNTIF($E184:AA184,1),ColLivraison)=AB$6,
  VLOOKUP($E184,INDIRECT("tri!"&amp; CHAR(64+ C0Col) &amp;":"&amp; CHAR(65+C0Col)),2,FALSE)&gt;COUNTIF($E184:AA184,"u")+COUNTIF($E184:AA184,"t")+COUNTIF($E184:AA184,"¶")+COUNTIF($E184:AA184,"²")+COUNTIF($E184:AA184,"µ")+COUNTIF($E184:AA184,1)),
HYPERLINK("#Roadmap!C"&amp; MATCH($E184,Roadmap!$D:$D,0)+COUNTIF($E184:AA184,"u")+COUNTIF($E184:AA184,"t"),
     INDEX(Roadmap!$D:$K,MATCH($E184,Roadmap!$D:$D,0)+COUNTIF($E184:AA184,"u")+COUNTIF($E184:AA184,"t")+COUNTIF($E184:AA184,"¶")+COUNTIF($E184:AA184,"²")+COUNTIF($E184:AA184,"µ")+COUNTIF($E184:AA184,1),ColTypeEcheance)),
  IF(LEN(AA184)=1,
  IF(LEN(INDEX(Roadmap!$D:$K,MATCH($E184,Roadmap!$D:$D,0)-1+COUNTIF($E184:AA184,"u")+COUNTIF($E184:AA184,"t")+COUNTIF($E184:AA184,"¶")+COUNTIF($E184:AA184,"²")+COUNTIF($E184:AA184,"µ")+COUNTIF($E184:AA184,1),ColDescriptionCourte))&gt;1,
HYPERLINK("#Roadmap!C"&amp; MATCH($E184,Roadmap!$D:$D,0)+COUNTIF($E184:AA184,"u")+COUNTIF($E184:AA184,"t")+COUNTIF($E184:AA184,"¶")+COUNTIF($E184:AA184,"²")+COUNTIF($E184:AA184,"µ")+COUNTIF($E184:AA184,1)-1,INDEX(Roadmap!$D:$K,MATCH($E184,Roadmap!$D:$D,0)-1+COUNTIF($E184:AA184,"u")+COUNTIF($E184:AA184,"t")+COUNTIF($E184:AA184,"¶")+COUNTIF($E184:AA184,"²")+COUNTIF($E184:AA184,"µ")+COUNTIF($E184:AA184,1),ColDescriptionCourte)),""),
  "")),"")</f>
        <v/>
      </c>
      <c r="AC184" s="40" t="str">
        <f ca="1">IFERROR(IF(AND(
  INDEX(Roadmap!$D:$K,MATCH($E184,Roadmap!$D:$D,0)+COUNTIF($E184:AB184,"u")+COUNTIF($E184:AB184,"t")+COUNTIF($E184:AB184,"¶")+COUNTIF($E184:AB184,"²")+COUNTIF($E184:AB184,"µ")+COUNTIF($E184:AB184,1),ColLivraison)=AC$6,
  VLOOKUP($E184,INDIRECT("tri!"&amp; CHAR(64+ C0Col) &amp;":"&amp; CHAR(65+C0Col)),2,FALSE)&gt;COUNTIF($E184:AB184,"u")+COUNTIF($E184:AB184,"t")+COUNTIF($E184:AB184,"¶")+COUNTIF($E184:AB184,"²")+COUNTIF($E184:AB184,"µ")+COUNTIF($E184:AB184,1)),
HYPERLINK("#Roadmap!C"&amp; MATCH($E184,Roadmap!$D:$D,0)+COUNTIF($E184:AB184,"u")+COUNTIF($E184:AB184,"t"),
     INDEX(Roadmap!$D:$K,MATCH($E184,Roadmap!$D:$D,0)+COUNTIF($E184:AB184,"u")+COUNTIF($E184:AB184,"t")+COUNTIF($E184:AB184,"¶")+COUNTIF($E184:AB184,"²")+COUNTIF($E184:AB184,"µ")+COUNTIF($E184:AB184,1),ColTypeEcheance)),
  IF(LEN(AB184)=1,
  IF(LEN(INDEX(Roadmap!$D:$K,MATCH($E184,Roadmap!$D:$D,0)-1+COUNTIF($E184:AB184,"u")+COUNTIF($E184:AB184,"t")+COUNTIF($E184:AB184,"¶")+COUNTIF($E184:AB184,"²")+COUNTIF($E184:AB184,"µ")+COUNTIF($E184:AB184,1),ColDescriptionCourte))&gt;1,
HYPERLINK("#Roadmap!C"&amp; MATCH($E184,Roadmap!$D:$D,0)+COUNTIF($E184:AB184,"u")+COUNTIF($E184:AB184,"t")+COUNTIF($E184:AB184,"¶")+COUNTIF($E184:AB184,"²")+COUNTIF($E184:AB184,"µ")+COUNTIF($E184:AB184,1)-1,INDEX(Roadmap!$D:$K,MATCH($E184,Roadmap!$D:$D,0)-1+COUNTIF($E184:AB184,"u")+COUNTIF($E184:AB184,"t")+COUNTIF($E184:AB184,"¶")+COUNTIF($E184:AB184,"²")+COUNTIF($E184:AB184,"µ")+COUNTIF($E184:AB184,1),ColDescriptionCourte)),""),
  "")),"")</f>
        <v/>
      </c>
      <c r="AD184" s="40" t="str">
        <f ca="1">IFERROR(IF(AND(
  INDEX(Roadmap!$D:$K,MATCH($E184,Roadmap!$D:$D,0)+COUNTIF($E184:AC184,"u")+COUNTIF($E184:AC184,"t")+COUNTIF($E184:AC184,"¶")+COUNTIF($E184:AC184,"²")+COUNTIF($E184:AC184,"µ")+COUNTIF($E184:AC184,1),ColLivraison)=AD$6,
  VLOOKUP($E184,INDIRECT("tri!"&amp; CHAR(64+ C0Col) &amp;":"&amp; CHAR(65+C0Col)),2,FALSE)&gt;COUNTIF($E184:AC184,"u")+COUNTIF($E184:AC184,"t")+COUNTIF($E184:AC184,"¶")+COUNTIF($E184:AC184,"²")+COUNTIF($E184:AC184,"µ")+COUNTIF($E184:AC184,1)),
HYPERLINK("#Roadmap!C"&amp; MATCH($E184,Roadmap!$D:$D,0)+COUNTIF($E184:AC184,"u")+COUNTIF($E184:AC184,"t"),
     INDEX(Roadmap!$D:$K,MATCH($E184,Roadmap!$D:$D,0)+COUNTIF($E184:AC184,"u")+COUNTIF($E184:AC184,"t")+COUNTIF($E184:AC184,"¶")+COUNTIF($E184:AC184,"²")+COUNTIF($E184:AC184,"µ")+COUNTIF($E184:AC184,1),ColTypeEcheance)),
  IF(LEN(AC184)=1,
  IF(LEN(INDEX(Roadmap!$D:$K,MATCH($E184,Roadmap!$D:$D,0)-1+COUNTIF($E184:AC184,"u")+COUNTIF($E184:AC184,"t")+COUNTIF($E184:AC184,"¶")+COUNTIF($E184:AC184,"²")+COUNTIF($E184:AC184,"µ")+COUNTIF($E184:AC184,1),ColDescriptionCourte))&gt;1,
HYPERLINK("#Roadmap!C"&amp; MATCH($E184,Roadmap!$D:$D,0)+COUNTIF($E184:AC184,"u")+COUNTIF($E184:AC184,"t")+COUNTIF($E184:AC184,"¶")+COUNTIF($E184:AC184,"²")+COUNTIF($E184:AC184,"µ")+COUNTIF($E184:AC184,1)-1,INDEX(Roadmap!$D:$K,MATCH($E184,Roadmap!$D:$D,0)-1+COUNTIF($E184:AC184,"u")+COUNTIF($E184:AC184,"t")+COUNTIF($E184:AC184,"¶")+COUNTIF($E184:AC184,"²")+COUNTIF($E184:AC184,"µ")+COUNTIF($E184:AC184,1),ColDescriptionCourte)),""),
  "")),"")</f>
        <v/>
      </c>
      <c r="AE184" s="40" t="str">
        <f ca="1">IFERROR(IF(AND(
  INDEX(Roadmap!$D:$K,MATCH($E184,Roadmap!$D:$D,0)+COUNTIF($E184:AD184,"u")+COUNTIF($E184:AD184,"t")+COUNTIF($E184:AD184,"¶")+COUNTIF($E184:AD184,"²")+COUNTIF($E184:AD184,"µ")+COUNTIF($E184:AD184,1),ColLivraison)=AE$6,
  VLOOKUP($E184,INDIRECT("tri!"&amp; CHAR(64+ C0Col) &amp;":"&amp; CHAR(65+C0Col)),2,FALSE)&gt;COUNTIF($E184:AD184,"u")+COUNTIF($E184:AD184,"t")+COUNTIF($E184:AD184,"¶")+COUNTIF($E184:AD184,"²")+COUNTIF($E184:AD184,"µ")+COUNTIF($E184:AD184,1)),
HYPERLINK("#Roadmap!C"&amp; MATCH($E184,Roadmap!$D:$D,0)+COUNTIF($E184:AD184,"u")+COUNTIF($E184:AD184,"t"),
     INDEX(Roadmap!$D:$K,MATCH($E184,Roadmap!$D:$D,0)+COUNTIF($E184:AD184,"u")+COUNTIF($E184:AD184,"t")+COUNTIF($E184:AD184,"¶")+COUNTIF($E184:AD184,"²")+COUNTIF($E184:AD184,"µ")+COUNTIF($E184:AD184,1),ColTypeEcheance)),
  IF(LEN(AD184)=1,
  IF(LEN(INDEX(Roadmap!$D:$K,MATCH($E184,Roadmap!$D:$D,0)-1+COUNTIF($E184:AD184,"u")+COUNTIF($E184:AD184,"t")+COUNTIF($E184:AD184,"¶")+COUNTIF($E184:AD184,"²")+COUNTIF($E184:AD184,"µ")+COUNTIF($E184:AD184,1),ColDescriptionCourte))&gt;1,
HYPERLINK("#Roadmap!C"&amp; MATCH($E184,Roadmap!$D:$D,0)+COUNTIF($E184:AD184,"u")+COUNTIF($E184:AD184,"t")+COUNTIF($E184:AD184,"¶")+COUNTIF($E184:AD184,"²")+COUNTIF($E184:AD184,"µ")+COUNTIF($E184:AD184,1)-1,INDEX(Roadmap!$D:$K,MATCH($E184,Roadmap!$D:$D,0)-1+COUNTIF($E184:AD184,"u")+COUNTIF($E184:AD184,"t")+COUNTIF($E184:AD184,"¶")+COUNTIF($E184:AD184,"²")+COUNTIF($E184:AD184,"µ")+COUNTIF($E184:AD184,1),ColDescriptionCourte)),""),
  "")),"")</f>
        <v/>
      </c>
      <c r="AF184" s="40" t="str">
        <f ca="1">IFERROR(IF(AND(
  INDEX(Roadmap!$D:$K,MATCH($E184,Roadmap!$D:$D,0)+COUNTIF($E184:AE184,"u")+COUNTIF($E184:AE184,"t")+COUNTIF($E184:AE184,"¶")+COUNTIF($E184:AE184,"²")+COUNTIF($E184:AE184,"µ")+COUNTIF($E184:AE184,1),ColLivraison)=AF$6,
  VLOOKUP($E184,INDIRECT("tri!"&amp; CHAR(64+ C0Col) &amp;":"&amp; CHAR(65+C0Col)),2,FALSE)&gt;COUNTIF($E184:AE184,"u")+COUNTIF($E184:AE184,"t")+COUNTIF($E184:AE184,"¶")+COUNTIF($E184:AE184,"²")+COUNTIF($E184:AE184,"µ")+COUNTIF($E184:AE184,1)),
HYPERLINK("#Roadmap!C"&amp; MATCH($E184,Roadmap!$D:$D,0)+COUNTIF($E184:AE184,"u")+COUNTIF($E184:AE184,"t"),
     INDEX(Roadmap!$D:$K,MATCH($E184,Roadmap!$D:$D,0)+COUNTIF($E184:AE184,"u")+COUNTIF($E184:AE184,"t")+COUNTIF($E184:AE184,"¶")+COUNTIF($E184:AE184,"²")+COUNTIF($E184:AE184,"µ")+COUNTIF($E184:AE184,1),ColTypeEcheance)),
  IF(LEN(AE184)=1,
  IF(LEN(INDEX(Roadmap!$D:$K,MATCH($E184,Roadmap!$D:$D,0)-1+COUNTIF($E184:AE184,"u")+COUNTIF($E184:AE184,"t")+COUNTIF($E184:AE184,"¶")+COUNTIF($E184:AE184,"²")+COUNTIF($E184:AE184,"µ")+COUNTIF($E184:AE184,1),ColDescriptionCourte))&gt;1,
HYPERLINK("#Roadmap!C"&amp; MATCH($E184,Roadmap!$D:$D,0)+COUNTIF($E184:AE184,"u")+COUNTIF($E184:AE184,"t")+COUNTIF($E184:AE184,"¶")+COUNTIF($E184:AE184,"²")+COUNTIF($E184:AE184,"µ")+COUNTIF($E184:AE184,1)-1,INDEX(Roadmap!$D:$K,MATCH($E184,Roadmap!$D:$D,0)-1+COUNTIF($E184:AE184,"u")+COUNTIF($E184:AE184,"t")+COUNTIF($E184:AE184,"¶")+COUNTIF($E184:AE184,"²")+COUNTIF($E184:AE184,"µ")+COUNTIF($E184:AE184,1),ColDescriptionCourte)),""),
  "")),"")</f>
        <v/>
      </c>
      <c r="AG184" s="40" t="str">
        <f ca="1">IFERROR(IF(AND(
  INDEX(Roadmap!$D:$K,MATCH($E184,Roadmap!$D:$D,0)+COUNTIF($E184:AF184,"u")+COUNTIF($E184:AF184,"t")+COUNTIF($E184:AF184,"¶")+COUNTIF($E184:AF184,"²")+COUNTIF($E184:AF184,"µ")+COUNTIF($E184:AF184,1),ColLivraison)=AG$6,
  VLOOKUP($E184,INDIRECT("tri!"&amp; CHAR(64+ C0Col) &amp;":"&amp; CHAR(65+C0Col)),2,FALSE)&gt;COUNTIF($E184:AF184,"u")+COUNTIF($E184:AF184,"t")+COUNTIF($E184:AF184,"¶")+COUNTIF($E184:AF184,"²")+COUNTIF($E184:AF184,"µ")+COUNTIF($E184:AF184,1)),
HYPERLINK("#Roadmap!C"&amp; MATCH($E184,Roadmap!$D:$D,0)+COUNTIF($E184:AF184,"u")+COUNTIF($E184:AF184,"t"),
     INDEX(Roadmap!$D:$K,MATCH($E184,Roadmap!$D:$D,0)+COUNTIF($E184:AF184,"u")+COUNTIF($E184:AF184,"t")+COUNTIF($E184:AF184,"¶")+COUNTIF($E184:AF184,"²")+COUNTIF($E184:AF184,"µ")+COUNTIF($E184:AF184,1),ColTypeEcheance)),
  IF(LEN(AF184)=1,
  IF(LEN(INDEX(Roadmap!$D:$K,MATCH($E184,Roadmap!$D:$D,0)-1+COUNTIF($E184:AF184,"u")+COUNTIF($E184:AF184,"t")+COUNTIF($E184:AF184,"¶")+COUNTIF($E184:AF184,"²")+COUNTIF($E184:AF184,"µ")+COUNTIF($E184:AF184,1),ColDescriptionCourte))&gt;1,
HYPERLINK("#Roadmap!C"&amp; MATCH($E184,Roadmap!$D:$D,0)+COUNTIF($E184:AF184,"u")+COUNTIF($E184:AF184,"t")+COUNTIF($E184:AF184,"¶")+COUNTIF($E184:AF184,"²")+COUNTIF($E184:AF184,"µ")+COUNTIF($E184:AF184,1)-1,INDEX(Roadmap!$D:$K,MATCH($E184,Roadmap!$D:$D,0)-1+COUNTIF($E184:AF184,"u")+COUNTIF($E184:AF184,"t")+COUNTIF($E184:AF184,"¶")+COUNTIF($E184:AF184,"²")+COUNTIF($E184:AF184,"µ")+COUNTIF($E184:AF184,1),ColDescriptionCourte)),""),
  "")),"")</f>
        <v/>
      </c>
    </row>
    <row r="185" spans="3:33" ht="14.25" customHeight="1">
      <c r="C185" s="1" t="str">
        <f t="shared" ca="1" si="54"/>
        <v/>
      </c>
      <c r="D185" s="1" t="str">
        <f t="shared" ca="1" si="55"/>
        <v/>
      </c>
      <c r="E185" s="35" t="str">
        <f t="shared" ca="1" si="51"/>
        <v/>
      </c>
      <c r="F185" s="39" t="str">
        <f ca="1">IFERROR(IF(AND(
  INDEX(Roadmap!$D:$K,MATCH($E185,Roadmap!$D:$D,0)+COUNTIF($E185:E185,"u")+COUNTIF($E185:E185,"t")+COUNTIF($E185:E185,"¶")+COUNTIF($E185:E185,"²")+COUNTIF($E185:E185,"µ")+COUNTIF($E185:E185,1),ColLivraison)=F$6,
  VLOOKUP($E185,INDIRECT("tri!"&amp; CHAR(64+ C0Col) &amp;":"&amp; CHAR(65+C0Col)),2,FALSE)&gt;COUNTIF($E185:E185,"u")+COUNTIF($E185:E185,"t")+COUNTIF($E185:E185,"¶")+COUNTIF($E185:E185,"²")+COUNTIF($E185:E185,"µ")+COUNTIF($E185:E185,1)),
HYPERLINK("#Roadmap!C"&amp; MATCH($E185,Roadmap!$D:$D,0)+COUNTIF($E185:E185,"u")+COUNTIF($E185:E185,"t"),
     INDEX(Roadmap!$D:$K,MATCH($E185,Roadmap!$D:$D,0)+COUNTIF($E185:E185,"u")+COUNTIF($E185:E185,"t")+COUNTIF($E185:E185,"¶")+COUNTIF($E185:E185,"²")+COUNTIF($E185:E185,"µ")+COUNTIF($E185:E185,1),ColTypeEcheance)),
  IF(LEN(E185)=1,
  IF(LEN(INDEX(Roadmap!$D:$K,MATCH($E185,Roadmap!$D:$D,0)-1+COUNTIF($E185:E185,"u")+COUNTIF($E185:E185,"t")+COUNTIF($E185:E185,"¶")+COUNTIF($E185:E185,"²")+COUNTIF($E185:E185,"µ")+COUNTIF($E185:E185,1),ColDescriptionCourte))&gt;1,
HYPERLINK("#Roadmap!C"&amp; MATCH($E185,Roadmap!$D:$D,0)+COUNTIF($E185:E185,"u")+COUNTIF($E185:E185,"t")+COUNTIF($E185:E185,"¶")+COUNTIF($E185:E185,"²")+COUNTIF($E185:E185,"µ")+COUNTIF($E185:E185,1)-1,INDEX(Roadmap!$D:$K,MATCH($E185,Roadmap!$D:$D,0)-1+COUNTIF($E185:E185,"u")+COUNTIF($E185:E185,"t")+COUNTIF($E185:E185,"¶")+COUNTIF($E185:E185,"²")+COUNTIF($E185:E185,"µ")+COUNTIF($E185:E185,1),ColDescriptionCourte)),""),
  "")),"")</f>
        <v/>
      </c>
      <c r="G185" s="40" t="str">
        <f ca="1">IFERROR(IF(AND(
  INDEX(Roadmap!$D:$K,MATCH($E185,Roadmap!$D:$D,0)+COUNTIF($E185:F185,"u")+COUNTIF($E185:F185,"t")+COUNTIF($E185:F185,"¶")+COUNTIF($E185:F185,"²")+COUNTIF($E185:F185,"µ")+COUNTIF($E185:F185,1),ColLivraison)=G$6,
  VLOOKUP($E185,INDIRECT("tri!"&amp; CHAR(64+ C0Col) &amp;":"&amp; CHAR(65+C0Col)),2,FALSE)&gt;COUNTIF($E185:F185,"u")+COUNTIF($E185:F185,"t")+COUNTIF($E185:F185,"¶")+COUNTIF($E185:F185,"²")+COUNTIF($E185:F185,"µ")+COUNTIF($E185:F185,1)),
HYPERLINK("#Roadmap!C"&amp; MATCH($E185,Roadmap!$D:$D,0)+COUNTIF($E185:F185,"u")+COUNTIF($E185:F185,"t"),
     INDEX(Roadmap!$D:$K,MATCH($E185,Roadmap!$D:$D,0)+COUNTIF($E185:F185,"u")+COUNTIF($E185:F185,"t")+COUNTIF($E185:F185,"¶")+COUNTIF($E185:F185,"²")+COUNTIF($E185:F185,"µ")+COUNTIF($E185:F185,1),ColTypeEcheance)),
  IF(LEN(F185)=1,
  IF(LEN(INDEX(Roadmap!$D:$K,MATCH($E185,Roadmap!$D:$D,0)-1+COUNTIF($E185:F185,"u")+COUNTIF($E185:F185,"t")+COUNTIF($E185:F185,"¶")+COUNTIF($E185:F185,"²")+COUNTIF($E185:F185,"µ")+COUNTIF($E185:F185,1),ColDescriptionCourte))&gt;1,
HYPERLINK("#Roadmap!C"&amp; MATCH($E185,Roadmap!$D:$D,0)+COUNTIF($E185:F185,"u")+COUNTIF($E185:F185,"t")+COUNTIF($E185:F185,"¶")+COUNTIF($E185:F185,"²")+COUNTIF($E185:F185,"µ")+COUNTIF($E185:F185,1)-1,INDEX(Roadmap!$D:$K,MATCH($E185,Roadmap!$D:$D,0)-1+COUNTIF($E185:F185,"u")+COUNTIF($E185:F185,"t")+COUNTIF($E185:F185,"¶")+COUNTIF($E185:F185,"²")+COUNTIF($E185:F185,"µ")+COUNTIF($E185:F185,1),ColDescriptionCourte)),""),
  "")),"")</f>
        <v/>
      </c>
      <c r="H185" s="40" t="str">
        <f ca="1">IFERROR(IF(AND(
  INDEX(Roadmap!$D:$K,MATCH($E185,Roadmap!$D:$D,0)+COUNTIF($E185:G185,"u")+COUNTIF($E185:G185,"t")+COUNTIF($E185:G185,"¶")+COUNTIF($E185:G185,"²")+COUNTIF($E185:G185,"µ")+COUNTIF($E185:G185,1),ColLivraison)=H$6,
  VLOOKUP($E185,INDIRECT("tri!"&amp; CHAR(64+ C0Col) &amp;":"&amp; CHAR(65+C0Col)),2,FALSE)&gt;COUNTIF($E185:G185,"u")+COUNTIF($E185:G185,"t")+COUNTIF($E185:G185,"¶")+COUNTIF($E185:G185,"²")+COUNTIF($E185:G185,"µ")+COUNTIF($E185:G185,1)),
HYPERLINK("#Roadmap!C"&amp; MATCH($E185,Roadmap!$D:$D,0)+COUNTIF($E185:G185,"u")+COUNTIF($E185:G185,"t"),
     INDEX(Roadmap!$D:$K,MATCH($E185,Roadmap!$D:$D,0)+COUNTIF($E185:G185,"u")+COUNTIF($E185:G185,"t")+COUNTIF($E185:G185,"¶")+COUNTIF($E185:G185,"²")+COUNTIF($E185:G185,"µ")+COUNTIF($E185:G185,1),ColTypeEcheance)),
  IF(LEN(G185)=1,
  IF(LEN(INDEX(Roadmap!$D:$K,MATCH($E185,Roadmap!$D:$D,0)-1+COUNTIF($E185:G185,"u")+COUNTIF($E185:G185,"t")+COUNTIF($E185:G185,"¶")+COUNTIF($E185:G185,"²")+COUNTIF($E185:G185,"µ")+COUNTIF($E185:G185,1),ColDescriptionCourte))&gt;1,
HYPERLINK("#Roadmap!C"&amp; MATCH($E185,Roadmap!$D:$D,0)+COUNTIF($E185:G185,"u")+COUNTIF($E185:G185,"t")+COUNTIF($E185:G185,"¶")+COUNTIF($E185:G185,"²")+COUNTIF($E185:G185,"µ")+COUNTIF($E185:G185,1)-1,INDEX(Roadmap!$D:$K,MATCH($E185,Roadmap!$D:$D,0)-1+COUNTIF($E185:G185,"u")+COUNTIF($E185:G185,"t")+COUNTIF($E185:G185,"¶")+COUNTIF($E185:G185,"²")+COUNTIF($E185:G185,"µ")+COUNTIF($E185:G185,1),ColDescriptionCourte)),""),
  "")),"")</f>
        <v/>
      </c>
      <c r="I185" s="40" t="str">
        <f ca="1">IFERROR(IF(AND(
  INDEX(Roadmap!$D:$K,MATCH($E185,Roadmap!$D:$D,0)+COUNTIF($E185:H185,"u")+COUNTIF($E185:H185,"t")+COUNTIF($E185:H185,"¶")+COUNTIF($E185:H185,"²")+COUNTIF($E185:H185,"µ")+COUNTIF($E185:H185,1),ColLivraison)=I$6,
  VLOOKUP($E185,INDIRECT("tri!"&amp; CHAR(64+ C0Col) &amp;":"&amp; CHAR(65+C0Col)),2,FALSE)&gt;COUNTIF($E185:H185,"u")+COUNTIF($E185:H185,"t")+COUNTIF($E185:H185,"¶")+COUNTIF($E185:H185,"²")+COUNTIF($E185:H185,"µ")+COUNTIF($E185:H185,1)),
HYPERLINK("#Roadmap!C"&amp; MATCH($E185,Roadmap!$D:$D,0)+COUNTIF($E185:H185,"u")+COUNTIF($E185:H185,"t"),
     INDEX(Roadmap!$D:$K,MATCH($E185,Roadmap!$D:$D,0)+COUNTIF($E185:H185,"u")+COUNTIF($E185:H185,"t")+COUNTIF($E185:H185,"¶")+COUNTIF($E185:H185,"²")+COUNTIF($E185:H185,"µ")+COUNTIF($E185:H185,1),ColTypeEcheance)),
  IF(LEN(H185)=1,
  IF(LEN(INDEX(Roadmap!$D:$K,MATCH($E185,Roadmap!$D:$D,0)-1+COUNTIF($E185:H185,"u")+COUNTIF($E185:H185,"t")+COUNTIF($E185:H185,"¶")+COUNTIF($E185:H185,"²")+COUNTIF($E185:H185,"µ")+COUNTIF($E185:H185,1),ColDescriptionCourte))&gt;1,
HYPERLINK("#Roadmap!C"&amp; MATCH($E185,Roadmap!$D:$D,0)+COUNTIF($E185:H185,"u")+COUNTIF($E185:H185,"t")+COUNTIF($E185:H185,"¶")+COUNTIF($E185:H185,"²")+COUNTIF($E185:H185,"µ")+COUNTIF($E185:H185,1)-1,INDEX(Roadmap!$D:$K,MATCH($E185,Roadmap!$D:$D,0)-1+COUNTIF($E185:H185,"u")+COUNTIF($E185:H185,"t")+COUNTIF($E185:H185,"¶")+COUNTIF($E185:H185,"²")+COUNTIF($E185:H185,"µ")+COUNTIF($E185:H185,1),ColDescriptionCourte)),""),
  "")),"")</f>
        <v/>
      </c>
      <c r="J185" s="40" t="str">
        <f ca="1">IFERROR(IF(AND(
  INDEX(Roadmap!$D:$K,MATCH($E185,Roadmap!$D:$D,0)+COUNTIF($E185:I185,"u")+COUNTIF($E185:I185,"t")+COUNTIF($E185:I185,"¶")+COUNTIF($E185:I185,"²")+COUNTIF($E185:I185,"µ")+COUNTIF($E185:I185,1),ColLivraison)=J$6,
  VLOOKUP($E185,INDIRECT("tri!"&amp; CHAR(64+ C0Col) &amp;":"&amp; CHAR(65+C0Col)),2,FALSE)&gt;COUNTIF($E185:I185,"u")+COUNTIF($E185:I185,"t")+COUNTIF($E185:I185,"¶")+COUNTIF($E185:I185,"²")+COUNTIF($E185:I185,"µ")+COUNTIF($E185:I185,1)),
HYPERLINK("#Roadmap!C"&amp; MATCH($E185,Roadmap!$D:$D,0)+COUNTIF($E185:I185,"u")+COUNTIF($E185:I185,"t"),
     INDEX(Roadmap!$D:$K,MATCH($E185,Roadmap!$D:$D,0)+COUNTIF($E185:I185,"u")+COUNTIF($E185:I185,"t")+COUNTIF($E185:I185,"¶")+COUNTIF($E185:I185,"²")+COUNTIF($E185:I185,"µ")+COUNTIF($E185:I185,1),ColTypeEcheance)),
  IF(LEN(I185)=1,
  IF(LEN(INDEX(Roadmap!$D:$K,MATCH($E185,Roadmap!$D:$D,0)-1+COUNTIF($E185:I185,"u")+COUNTIF($E185:I185,"t")+COUNTIF($E185:I185,"¶")+COUNTIF($E185:I185,"²")+COUNTIF($E185:I185,"µ")+COUNTIF($E185:I185,1),ColDescriptionCourte))&gt;1,
HYPERLINK("#Roadmap!C"&amp; MATCH($E185,Roadmap!$D:$D,0)+COUNTIF($E185:I185,"u")+COUNTIF($E185:I185,"t")+COUNTIF($E185:I185,"¶")+COUNTIF($E185:I185,"²")+COUNTIF($E185:I185,"µ")+COUNTIF($E185:I185,1)-1,INDEX(Roadmap!$D:$K,MATCH($E185,Roadmap!$D:$D,0)-1+COUNTIF($E185:I185,"u")+COUNTIF($E185:I185,"t")+COUNTIF($E185:I185,"¶")+COUNTIF($E185:I185,"²")+COUNTIF($E185:I185,"µ")+COUNTIF($E185:I185,1),ColDescriptionCourte)),""),
  "")),"")</f>
        <v/>
      </c>
      <c r="K185" s="40" t="str">
        <f ca="1">IFERROR(IF(AND(
  INDEX(Roadmap!$D:$K,MATCH($E185,Roadmap!$D:$D,0)+COUNTIF($E185:J185,"u")+COUNTIF($E185:J185,"t")+COUNTIF($E185:J185,"¶")+COUNTIF($E185:J185,"²")+COUNTIF($E185:J185,"µ")+COUNTIF($E185:J185,1),ColLivraison)=K$6,
  VLOOKUP($E185,INDIRECT("tri!"&amp; CHAR(64+ C0Col) &amp;":"&amp; CHAR(65+C0Col)),2,FALSE)&gt;COUNTIF($E185:J185,"u")+COUNTIF($E185:J185,"t")+COUNTIF($E185:J185,"¶")+COUNTIF($E185:J185,"²")+COUNTIF($E185:J185,"µ")+COUNTIF($E185:J185,1)),
HYPERLINK("#Roadmap!C"&amp; MATCH($E185,Roadmap!$D:$D,0)+COUNTIF($E185:J185,"u")+COUNTIF($E185:J185,"t"),
     INDEX(Roadmap!$D:$K,MATCH($E185,Roadmap!$D:$D,0)+COUNTIF($E185:J185,"u")+COUNTIF($E185:J185,"t")+COUNTIF($E185:J185,"¶")+COUNTIF($E185:J185,"²")+COUNTIF($E185:J185,"µ")+COUNTIF($E185:J185,1),ColTypeEcheance)),
  IF(LEN(J185)=1,
  IF(LEN(INDEX(Roadmap!$D:$K,MATCH($E185,Roadmap!$D:$D,0)-1+COUNTIF($E185:J185,"u")+COUNTIF($E185:J185,"t")+COUNTIF($E185:J185,"¶")+COUNTIF($E185:J185,"²")+COUNTIF($E185:J185,"µ")+COUNTIF($E185:J185,1),ColDescriptionCourte))&gt;1,
HYPERLINK("#Roadmap!C"&amp; MATCH($E185,Roadmap!$D:$D,0)+COUNTIF($E185:J185,"u")+COUNTIF($E185:J185,"t")+COUNTIF($E185:J185,"¶")+COUNTIF($E185:J185,"²")+COUNTIF($E185:J185,"µ")+COUNTIF($E185:J185,1)-1,INDEX(Roadmap!$D:$K,MATCH($E185,Roadmap!$D:$D,0)-1+COUNTIF($E185:J185,"u")+COUNTIF($E185:J185,"t")+COUNTIF($E185:J185,"¶")+COUNTIF($E185:J185,"²")+COUNTIF($E185:J185,"µ")+COUNTIF($E185:J185,1),ColDescriptionCourte)),""),
  "")),"")</f>
        <v/>
      </c>
      <c r="L185" s="39" t="str">
        <f ca="1">IFERROR(IF(AND(
  INDEX(Roadmap!$D:$K,MATCH($E185,Roadmap!$D:$D,0)+COUNTIF($E185:K185,"u")+COUNTIF($E185:K185,"t")+COUNTIF($E185:K185,"¶")+COUNTIF($E185:K185,"²")+COUNTIF($E185:K185,"µ")+COUNTIF($E185:K185,1),ColLivraison)=L$6,
  VLOOKUP($E185,INDIRECT("tri!"&amp; CHAR(64+ C0Col) &amp;":"&amp; CHAR(65+C0Col)),2,FALSE)&gt;COUNTIF($E185:K185,"u")+COUNTIF($E185:K185,"t")+COUNTIF($E185:K185,"¶")+COUNTIF($E185:K185,"²")+COUNTIF($E185:K185,"µ")+COUNTIF($E185:K185,1)),
HYPERLINK("#Roadmap!C"&amp; MATCH($E185,Roadmap!$D:$D,0)+COUNTIF($E185:K185,"u")+COUNTIF($E185:K185,"t"),
     INDEX(Roadmap!$D:$K,MATCH($E185,Roadmap!$D:$D,0)+COUNTIF($E185:K185,"u")+COUNTIF($E185:K185,"t")+COUNTIF($E185:K185,"¶")+COUNTIF($E185:K185,"²")+COUNTIF($E185:K185,"µ")+COUNTIF($E185:K185,1),ColTypeEcheance)),
  IF(LEN(K185)=1,
  IF(LEN(INDEX(Roadmap!$D:$K,MATCH($E185,Roadmap!$D:$D,0)-1+COUNTIF($E185:K185,"u")+COUNTIF($E185:K185,"t")+COUNTIF($E185:K185,"¶")+COUNTIF($E185:K185,"²")+COUNTIF($E185:K185,"µ")+COUNTIF($E185:K185,1),ColDescriptionCourte))&gt;1,
HYPERLINK("#Roadmap!C"&amp; MATCH($E185,Roadmap!$D:$D,0)+COUNTIF($E185:K185,"u")+COUNTIF($E185:K185,"t")+COUNTIF($E185:K185,"¶")+COUNTIF($E185:K185,"²")+COUNTIF($E185:K185,"µ")+COUNTIF($E185:K185,1)-1,INDEX(Roadmap!$D:$K,MATCH($E185,Roadmap!$D:$D,0)-1+COUNTIF($E185:K185,"u")+COUNTIF($E185:K185,"t")+COUNTIF($E185:K185,"¶")+COUNTIF($E185:K185,"²")+COUNTIF($E185:K185,"µ")+COUNTIF($E185:K185,1),ColDescriptionCourte)),""),
  "")),"")</f>
        <v/>
      </c>
      <c r="M185" s="40" t="str">
        <f ca="1">IFERROR(IF(AND(
  INDEX(Roadmap!$D:$K,MATCH($E185,Roadmap!$D:$D,0)+COUNTIF($E185:L185,"u")+COUNTIF($E185:L185,"t")+COUNTIF($E185:L185,"¶")+COUNTIF($E185:L185,"²")+COUNTIF($E185:L185,"µ")+COUNTIF($E185:L185,1),ColLivraison)=M$6,
  VLOOKUP($E185,INDIRECT("tri!"&amp; CHAR(64+ C0Col) &amp;":"&amp; CHAR(65+C0Col)),2,FALSE)&gt;COUNTIF($E185:L185,"u")+COUNTIF($E185:L185,"t")+COUNTIF($E185:L185,"¶")+COUNTIF($E185:L185,"²")+COUNTIF($E185:L185,"µ")+COUNTIF($E185:L185,1)),
HYPERLINK("#Roadmap!C"&amp; MATCH($E185,Roadmap!$D:$D,0)+COUNTIF($E185:L185,"u")+COUNTIF($E185:L185,"t"),
     INDEX(Roadmap!$D:$K,MATCH($E185,Roadmap!$D:$D,0)+COUNTIF($E185:L185,"u")+COUNTIF($E185:L185,"t")+COUNTIF($E185:L185,"¶")+COUNTIF($E185:L185,"²")+COUNTIF($E185:L185,"µ")+COUNTIF($E185:L185,1),ColTypeEcheance)),
  IF(LEN(L185)=1,
  IF(LEN(INDEX(Roadmap!$D:$K,MATCH($E185,Roadmap!$D:$D,0)-1+COUNTIF($E185:L185,"u")+COUNTIF($E185:L185,"t")+COUNTIF($E185:L185,"¶")+COUNTIF($E185:L185,"²")+COUNTIF($E185:L185,"µ")+COUNTIF($E185:L185,1),ColDescriptionCourte))&gt;1,
HYPERLINK("#Roadmap!C"&amp; MATCH($E185,Roadmap!$D:$D,0)+COUNTIF($E185:L185,"u")+COUNTIF($E185:L185,"t")+COUNTIF($E185:L185,"¶")+COUNTIF($E185:L185,"²")+COUNTIF($E185:L185,"µ")+COUNTIF($E185:L185,1)-1,INDEX(Roadmap!$D:$K,MATCH($E185,Roadmap!$D:$D,0)-1+COUNTIF($E185:L185,"u")+COUNTIF($E185:L185,"t")+COUNTIF($E185:L185,"¶")+COUNTIF($E185:L185,"²")+COUNTIF($E185:L185,"µ")+COUNTIF($E185:L185,1),ColDescriptionCourte)),""),
  "")),"")</f>
        <v/>
      </c>
      <c r="N185" s="40" t="str">
        <f ca="1">IFERROR(IF(AND(
  INDEX(Roadmap!$D:$K,MATCH($E185,Roadmap!$D:$D,0)+COUNTIF($E185:M185,"u")+COUNTIF($E185:M185,"t")+COUNTIF($E185:M185,"¶")+COUNTIF($E185:M185,"²")+COUNTIF($E185:M185,"µ")+COUNTIF($E185:M185,1),ColLivraison)=N$6,
  VLOOKUP($E185,INDIRECT("tri!"&amp; CHAR(64+ C0Col) &amp;":"&amp; CHAR(65+C0Col)),2,FALSE)&gt;COUNTIF($E185:M185,"u")+COUNTIF($E185:M185,"t")+COUNTIF($E185:M185,"¶")+COUNTIF($E185:M185,"²")+COUNTIF($E185:M185,"µ")+COUNTIF($E185:M185,1)),
HYPERLINK("#Roadmap!C"&amp; MATCH($E185,Roadmap!$D:$D,0)+COUNTIF($E185:M185,"u")+COUNTIF($E185:M185,"t"),
     INDEX(Roadmap!$D:$K,MATCH($E185,Roadmap!$D:$D,0)+COUNTIF($E185:M185,"u")+COUNTIF($E185:M185,"t")+COUNTIF($E185:M185,"¶")+COUNTIF($E185:M185,"²")+COUNTIF($E185:M185,"µ")+COUNTIF($E185:M185,1),ColTypeEcheance)),
  IF(LEN(M185)=1,
  IF(LEN(INDEX(Roadmap!$D:$K,MATCH($E185,Roadmap!$D:$D,0)-1+COUNTIF($E185:M185,"u")+COUNTIF($E185:M185,"t")+COUNTIF($E185:M185,"¶")+COUNTIF($E185:M185,"²")+COUNTIF($E185:M185,"µ")+COUNTIF($E185:M185,1),ColDescriptionCourte))&gt;1,
HYPERLINK("#Roadmap!C"&amp; MATCH($E185,Roadmap!$D:$D,0)+COUNTIF($E185:M185,"u")+COUNTIF($E185:M185,"t")+COUNTIF($E185:M185,"¶")+COUNTIF($E185:M185,"²")+COUNTIF($E185:M185,"µ")+COUNTIF($E185:M185,1)-1,INDEX(Roadmap!$D:$K,MATCH($E185,Roadmap!$D:$D,0)-1+COUNTIF($E185:M185,"u")+COUNTIF($E185:M185,"t")+COUNTIF($E185:M185,"¶")+COUNTIF($E185:M185,"²")+COUNTIF($E185:M185,"µ")+COUNTIF($E185:M185,1),ColDescriptionCourte)),""),
  "")),"")</f>
        <v/>
      </c>
      <c r="O185" s="40" t="str">
        <f ca="1">IFERROR(IF(AND(
  INDEX(Roadmap!$D:$K,MATCH($E185,Roadmap!$D:$D,0)+COUNTIF($E185:N185,"u")+COUNTIF($E185:N185,"t")+COUNTIF($E185:N185,"¶")+COUNTIF($E185:N185,"²")+COUNTIF($E185:N185,"µ")+COUNTIF($E185:N185,1),ColLivraison)=O$6,
  VLOOKUP($E185,INDIRECT("tri!"&amp; CHAR(64+ C0Col) &amp;":"&amp; CHAR(65+C0Col)),2,FALSE)&gt;COUNTIF($E185:N185,"u")+COUNTIF($E185:N185,"t")+COUNTIF($E185:N185,"¶")+COUNTIF($E185:N185,"²")+COUNTIF($E185:N185,"µ")+COUNTIF($E185:N185,1)),
HYPERLINK("#Roadmap!C"&amp; MATCH($E185,Roadmap!$D:$D,0)+COUNTIF($E185:N185,"u")+COUNTIF($E185:N185,"t"),
     INDEX(Roadmap!$D:$K,MATCH($E185,Roadmap!$D:$D,0)+COUNTIF($E185:N185,"u")+COUNTIF($E185:N185,"t")+COUNTIF($E185:N185,"¶")+COUNTIF($E185:N185,"²")+COUNTIF($E185:N185,"µ")+COUNTIF($E185:N185,1),ColTypeEcheance)),
  IF(LEN(N185)=1,
  IF(LEN(INDEX(Roadmap!$D:$K,MATCH($E185,Roadmap!$D:$D,0)-1+COUNTIF($E185:N185,"u")+COUNTIF($E185:N185,"t")+COUNTIF($E185:N185,"¶")+COUNTIF($E185:N185,"²")+COUNTIF($E185:N185,"µ")+COUNTIF($E185:N185,1),ColDescriptionCourte))&gt;1,
HYPERLINK("#Roadmap!C"&amp; MATCH($E185,Roadmap!$D:$D,0)+COUNTIF($E185:N185,"u")+COUNTIF($E185:N185,"t")+COUNTIF($E185:N185,"¶")+COUNTIF($E185:N185,"²")+COUNTIF($E185:N185,"µ")+COUNTIF($E185:N185,1)-1,INDEX(Roadmap!$D:$K,MATCH($E185,Roadmap!$D:$D,0)-1+COUNTIF($E185:N185,"u")+COUNTIF($E185:N185,"t")+COUNTIF($E185:N185,"¶")+COUNTIF($E185:N185,"²")+COUNTIF($E185:N185,"µ")+COUNTIF($E185:N185,1),ColDescriptionCourte)),""),
  "")),"")</f>
        <v/>
      </c>
      <c r="P185" s="40" t="str">
        <f ca="1">IFERROR(IF(AND(
  INDEX(Roadmap!$D:$K,MATCH($E185,Roadmap!$D:$D,0)+COUNTIF($E185:O185,"u")+COUNTIF($E185:O185,"t")+COUNTIF($E185:O185,"¶")+COUNTIF($E185:O185,"²")+COUNTIF($E185:O185,"µ")+COUNTIF($E185:O185,1),ColLivraison)=P$6,
  VLOOKUP($E185,INDIRECT("tri!"&amp; CHAR(64+ C0Col) &amp;":"&amp; CHAR(65+C0Col)),2,FALSE)&gt;COUNTIF($E185:O185,"u")+COUNTIF($E185:O185,"t")+COUNTIF($E185:O185,"¶")+COUNTIF($E185:O185,"²")+COUNTIF($E185:O185,"µ")+COUNTIF($E185:O185,1)),
HYPERLINK("#Roadmap!C"&amp; MATCH($E185,Roadmap!$D:$D,0)+COUNTIF($E185:O185,"u")+COUNTIF($E185:O185,"t"),
     INDEX(Roadmap!$D:$K,MATCH($E185,Roadmap!$D:$D,0)+COUNTIF($E185:O185,"u")+COUNTIF($E185:O185,"t")+COUNTIF($E185:O185,"¶")+COUNTIF($E185:O185,"²")+COUNTIF($E185:O185,"µ")+COUNTIF($E185:O185,1),ColTypeEcheance)),
  IF(LEN(O185)=1,
  IF(LEN(INDEX(Roadmap!$D:$K,MATCH($E185,Roadmap!$D:$D,0)-1+COUNTIF($E185:O185,"u")+COUNTIF($E185:O185,"t")+COUNTIF($E185:O185,"¶")+COUNTIF($E185:O185,"²")+COUNTIF($E185:O185,"µ")+COUNTIF($E185:O185,1),ColDescriptionCourte))&gt;1,
HYPERLINK("#Roadmap!C"&amp; MATCH($E185,Roadmap!$D:$D,0)+COUNTIF($E185:O185,"u")+COUNTIF($E185:O185,"t")+COUNTIF($E185:O185,"¶")+COUNTIF($E185:O185,"²")+COUNTIF($E185:O185,"µ")+COUNTIF($E185:O185,1)-1,INDEX(Roadmap!$D:$K,MATCH($E185,Roadmap!$D:$D,0)-1+COUNTIF($E185:O185,"u")+COUNTIF($E185:O185,"t")+COUNTIF($E185:O185,"¶")+COUNTIF($E185:O185,"²")+COUNTIF($E185:O185,"µ")+COUNTIF($E185:O185,1),ColDescriptionCourte)),""),
  "")),"")</f>
        <v/>
      </c>
      <c r="Q185" s="40" t="str">
        <f ca="1">IFERROR(IF(AND(
  INDEX(Roadmap!$D:$K,MATCH($E185,Roadmap!$D:$D,0)+COUNTIF($E185:P185,"u")+COUNTIF($E185:P185,"t")+COUNTIF($E185:P185,"¶")+COUNTIF($E185:P185,"²")+COUNTIF($E185:P185,"µ")+COUNTIF($E185:P185,1),ColLivraison)=Q$6,
  VLOOKUP($E185,INDIRECT("tri!"&amp; CHAR(64+ C0Col) &amp;":"&amp; CHAR(65+C0Col)),2,FALSE)&gt;COUNTIF($E185:P185,"u")+COUNTIF($E185:P185,"t")+COUNTIF($E185:P185,"¶")+COUNTIF($E185:P185,"²")+COUNTIF($E185:P185,"µ")+COUNTIF($E185:P185,1)),
HYPERLINK("#Roadmap!C"&amp; MATCH($E185,Roadmap!$D:$D,0)+COUNTIF($E185:P185,"u")+COUNTIF($E185:P185,"t"),
     INDEX(Roadmap!$D:$K,MATCH($E185,Roadmap!$D:$D,0)+COUNTIF($E185:P185,"u")+COUNTIF($E185:P185,"t")+COUNTIF($E185:P185,"¶")+COUNTIF($E185:P185,"²")+COUNTIF($E185:P185,"µ")+COUNTIF($E185:P185,1),ColTypeEcheance)),
  IF(LEN(P185)=1,
  IF(LEN(INDEX(Roadmap!$D:$K,MATCH($E185,Roadmap!$D:$D,0)-1+COUNTIF($E185:P185,"u")+COUNTIF($E185:P185,"t")+COUNTIF($E185:P185,"¶")+COUNTIF($E185:P185,"²")+COUNTIF($E185:P185,"µ")+COUNTIF($E185:P185,1),ColDescriptionCourte))&gt;1,
HYPERLINK("#Roadmap!C"&amp; MATCH($E185,Roadmap!$D:$D,0)+COUNTIF($E185:P185,"u")+COUNTIF($E185:P185,"t")+COUNTIF($E185:P185,"¶")+COUNTIF($E185:P185,"²")+COUNTIF($E185:P185,"µ")+COUNTIF($E185:P185,1)-1,INDEX(Roadmap!$D:$K,MATCH($E185,Roadmap!$D:$D,0)-1+COUNTIF($E185:P185,"u")+COUNTIF($E185:P185,"t")+COUNTIF($E185:P185,"¶")+COUNTIF($E185:P185,"²")+COUNTIF($E185:P185,"µ")+COUNTIF($E185:P185,1),ColDescriptionCourte)),""),
  "")),"")</f>
        <v/>
      </c>
      <c r="R185" s="40" t="str">
        <f ca="1">IFERROR(IF(AND(
  INDEX(Roadmap!$D:$K,MATCH($E185,Roadmap!$D:$D,0)+COUNTIF($E185:Q185,"u")+COUNTIF($E185:Q185,"t")+COUNTIF($E185:Q185,"¶")+COUNTIF($E185:Q185,"²")+COUNTIF($E185:Q185,"µ")+COUNTIF($E185:Q185,1),ColLivraison)=R$6,
  VLOOKUP($E185,INDIRECT("tri!"&amp; CHAR(64+ C0Col) &amp;":"&amp; CHAR(65+C0Col)),2,FALSE)&gt;COUNTIF($E185:Q185,"u")+COUNTIF($E185:Q185,"t")+COUNTIF($E185:Q185,"¶")+COUNTIF($E185:Q185,"²")+COUNTIF($E185:Q185,"µ")+COUNTIF($E185:Q185,1)),
HYPERLINK("#Roadmap!C"&amp; MATCH($E185,Roadmap!$D:$D,0)+COUNTIF($E185:Q185,"u")+COUNTIF($E185:Q185,"t"),
     INDEX(Roadmap!$D:$K,MATCH($E185,Roadmap!$D:$D,0)+COUNTIF($E185:Q185,"u")+COUNTIF($E185:Q185,"t")+COUNTIF($E185:Q185,"¶")+COUNTIF($E185:Q185,"²")+COUNTIF($E185:Q185,"µ")+COUNTIF($E185:Q185,1),ColTypeEcheance)),
  IF(LEN(Q185)=1,
  IF(LEN(INDEX(Roadmap!$D:$K,MATCH($E185,Roadmap!$D:$D,0)-1+COUNTIF($E185:Q185,"u")+COUNTIF($E185:Q185,"t")+COUNTIF($E185:Q185,"¶")+COUNTIF($E185:Q185,"²")+COUNTIF($E185:Q185,"µ")+COUNTIF($E185:Q185,1),ColDescriptionCourte))&gt;1,
HYPERLINK("#Roadmap!C"&amp; MATCH($E185,Roadmap!$D:$D,0)+COUNTIF($E185:Q185,"u")+COUNTIF($E185:Q185,"t")+COUNTIF($E185:Q185,"¶")+COUNTIF($E185:Q185,"²")+COUNTIF($E185:Q185,"µ")+COUNTIF($E185:Q185,1)-1,INDEX(Roadmap!$D:$K,MATCH($E185,Roadmap!$D:$D,0)-1+COUNTIF($E185:Q185,"u")+COUNTIF($E185:Q185,"t")+COUNTIF($E185:Q185,"¶")+COUNTIF($E185:Q185,"²")+COUNTIF($E185:Q185,"µ")+COUNTIF($E185:Q185,1),ColDescriptionCourte)),""),
  "")),"")</f>
        <v/>
      </c>
      <c r="S185" s="40" t="str">
        <f ca="1">IFERROR(IF(AND(
  INDEX(Roadmap!$D:$K,MATCH($E185,Roadmap!$D:$D,0)+COUNTIF($E185:R185,"u")+COUNTIF($E185:R185,"t")+COUNTIF($E185:R185,"¶")+COUNTIF($E185:R185,"²")+COUNTIF($E185:R185,"µ")+COUNTIF($E185:R185,1),ColLivraison)=S$6,
  VLOOKUP($E185,INDIRECT("tri!"&amp; CHAR(64+ C0Col) &amp;":"&amp; CHAR(65+C0Col)),2,FALSE)&gt;COUNTIF($E185:R185,"u")+COUNTIF($E185:R185,"t")+COUNTIF($E185:R185,"¶")+COUNTIF($E185:R185,"²")+COUNTIF($E185:R185,"µ")+COUNTIF($E185:R185,1)),
HYPERLINK("#Roadmap!C"&amp; MATCH($E185,Roadmap!$D:$D,0)+COUNTIF($E185:R185,"u")+COUNTIF($E185:R185,"t"),
     INDEX(Roadmap!$D:$K,MATCH($E185,Roadmap!$D:$D,0)+COUNTIF($E185:R185,"u")+COUNTIF($E185:R185,"t")+COUNTIF($E185:R185,"¶")+COUNTIF($E185:R185,"²")+COUNTIF($E185:R185,"µ")+COUNTIF($E185:R185,1),ColTypeEcheance)),
  IF(LEN(R185)=1,
  IF(LEN(INDEX(Roadmap!$D:$K,MATCH($E185,Roadmap!$D:$D,0)-1+COUNTIF($E185:R185,"u")+COUNTIF($E185:R185,"t")+COUNTIF($E185:R185,"¶")+COUNTIF($E185:R185,"²")+COUNTIF($E185:R185,"µ")+COUNTIF($E185:R185,1),ColDescriptionCourte))&gt;1,
HYPERLINK("#Roadmap!C"&amp; MATCH($E185,Roadmap!$D:$D,0)+COUNTIF($E185:R185,"u")+COUNTIF($E185:R185,"t")+COUNTIF($E185:R185,"¶")+COUNTIF($E185:R185,"²")+COUNTIF($E185:R185,"µ")+COUNTIF($E185:R185,1)-1,INDEX(Roadmap!$D:$K,MATCH($E185,Roadmap!$D:$D,0)-1+COUNTIF($E185:R185,"u")+COUNTIF($E185:R185,"t")+COUNTIF($E185:R185,"¶")+COUNTIF($E185:R185,"²")+COUNTIF($E185:R185,"µ")+COUNTIF($E185:R185,1),ColDescriptionCourte)),""),
  "")),"")</f>
        <v/>
      </c>
      <c r="T185" s="40" t="str">
        <f ca="1">IFERROR(IF(AND(
  INDEX(Roadmap!$D:$K,MATCH($E185,Roadmap!$D:$D,0)+COUNTIF($E185:S185,"u")+COUNTIF($E185:S185,"t")+COUNTIF($E185:S185,"¶")+COUNTIF($E185:S185,"²")+COUNTIF($E185:S185,"µ")+COUNTIF($E185:S185,1),ColLivraison)=T$6,
  VLOOKUP($E185,INDIRECT("tri!"&amp; CHAR(64+ C0Col) &amp;":"&amp; CHAR(65+C0Col)),2,FALSE)&gt;COUNTIF($E185:S185,"u")+COUNTIF($E185:S185,"t")+COUNTIF($E185:S185,"¶")+COUNTIF($E185:S185,"²")+COUNTIF($E185:S185,"µ")+COUNTIF($E185:S185,1)),
HYPERLINK("#Roadmap!C"&amp; MATCH($E185,Roadmap!$D:$D,0)+COUNTIF($E185:S185,"u")+COUNTIF($E185:S185,"t"),
     INDEX(Roadmap!$D:$K,MATCH($E185,Roadmap!$D:$D,0)+COUNTIF($E185:S185,"u")+COUNTIF($E185:S185,"t")+COUNTIF($E185:S185,"¶")+COUNTIF($E185:S185,"²")+COUNTIF($E185:S185,"µ")+COUNTIF($E185:S185,1),ColTypeEcheance)),
  IF(LEN(S185)=1,
  IF(LEN(INDEX(Roadmap!$D:$K,MATCH($E185,Roadmap!$D:$D,0)-1+COUNTIF($E185:S185,"u")+COUNTIF($E185:S185,"t")+COUNTIF($E185:S185,"¶")+COUNTIF($E185:S185,"²")+COUNTIF($E185:S185,"µ")+COUNTIF($E185:S185,1),ColDescriptionCourte))&gt;1,
HYPERLINK("#Roadmap!C"&amp; MATCH($E185,Roadmap!$D:$D,0)+COUNTIF($E185:S185,"u")+COUNTIF($E185:S185,"t")+COUNTIF($E185:S185,"¶")+COUNTIF($E185:S185,"²")+COUNTIF($E185:S185,"µ")+COUNTIF($E185:S185,1)-1,INDEX(Roadmap!$D:$K,MATCH($E185,Roadmap!$D:$D,0)-1+COUNTIF($E185:S185,"u")+COUNTIF($E185:S185,"t")+COUNTIF($E185:S185,"¶")+COUNTIF($E185:S185,"²")+COUNTIF($E185:S185,"µ")+COUNTIF($E185:S185,1),ColDescriptionCourte)),""),
  "")),"")</f>
        <v/>
      </c>
      <c r="U185" s="40" t="str">
        <f ca="1">IFERROR(IF(AND(
  INDEX(Roadmap!$D:$K,MATCH($E185,Roadmap!$D:$D,0)+COUNTIF($E185:T185,"u")+COUNTIF($E185:T185,"t")+COUNTIF($E185:T185,"¶")+COUNTIF($E185:T185,"²")+COUNTIF($E185:T185,"µ")+COUNTIF($E185:T185,1),ColLivraison)=U$6,
  VLOOKUP($E185,INDIRECT("tri!"&amp; CHAR(64+ C0Col) &amp;":"&amp; CHAR(65+C0Col)),2,FALSE)&gt;COUNTIF($E185:T185,"u")+COUNTIF($E185:T185,"t")+COUNTIF($E185:T185,"¶")+COUNTIF($E185:T185,"²")+COUNTIF($E185:T185,"µ")+COUNTIF($E185:T185,1)),
HYPERLINK("#Roadmap!C"&amp; MATCH($E185,Roadmap!$D:$D,0)+COUNTIF($E185:T185,"u")+COUNTIF($E185:T185,"t"),
     INDEX(Roadmap!$D:$K,MATCH($E185,Roadmap!$D:$D,0)+COUNTIF($E185:T185,"u")+COUNTIF($E185:T185,"t")+COUNTIF($E185:T185,"¶")+COUNTIF($E185:T185,"²")+COUNTIF($E185:T185,"µ")+COUNTIF($E185:T185,1),ColTypeEcheance)),
  IF(LEN(T185)=1,
  IF(LEN(INDEX(Roadmap!$D:$K,MATCH($E185,Roadmap!$D:$D,0)-1+COUNTIF($E185:T185,"u")+COUNTIF($E185:T185,"t")+COUNTIF($E185:T185,"¶")+COUNTIF($E185:T185,"²")+COUNTIF($E185:T185,"µ")+COUNTIF($E185:T185,1),ColDescriptionCourte))&gt;1,
HYPERLINK("#Roadmap!C"&amp; MATCH($E185,Roadmap!$D:$D,0)+COUNTIF($E185:T185,"u")+COUNTIF($E185:T185,"t")+COUNTIF($E185:T185,"¶")+COUNTIF($E185:T185,"²")+COUNTIF($E185:T185,"µ")+COUNTIF($E185:T185,1)-1,INDEX(Roadmap!$D:$K,MATCH($E185,Roadmap!$D:$D,0)-1+COUNTIF($E185:T185,"u")+COUNTIF($E185:T185,"t")+COUNTIF($E185:T185,"¶")+COUNTIF($E185:T185,"²")+COUNTIF($E185:T185,"µ")+COUNTIF($E185:T185,1),ColDescriptionCourte)),""),
  "")),"")</f>
        <v/>
      </c>
      <c r="V185" s="40" t="str">
        <f ca="1">IFERROR(IF(AND(
  INDEX(Roadmap!$D:$K,MATCH($E185,Roadmap!$D:$D,0)+COUNTIF($E185:U185,"u")+COUNTIF($E185:U185,"t")+COUNTIF($E185:U185,"¶")+COUNTIF($E185:U185,"²")+COUNTIF($E185:U185,"µ")+COUNTIF($E185:U185,1),ColLivraison)=V$6,
  VLOOKUP($E185,INDIRECT("tri!"&amp; CHAR(64+ C0Col) &amp;":"&amp; CHAR(65+C0Col)),2,FALSE)&gt;COUNTIF($E185:U185,"u")+COUNTIF($E185:U185,"t")+COUNTIF($E185:U185,"¶")+COUNTIF($E185:U185,"²")+COUNTIF($E185:U185,"µ")+COUNTIF($E185:U185,1)),
HYPERLINK("#Roadmap!C"&amp; MATCH($E185,Roadmap!$D:$D,0)+COUNTIF($E185:U185,"u")+COUNTIF($E185:U185,"t"),
     INDEX(Roadmap!$D:$K,MATCH($E185,Roadmap!$D:$D,0)+COUNTIF($E185:U185,"u")+COUNTIF($E185:U185,"t")+COUNTIF($E185:U185,"¶")+COUNTIF($E185:U185,"²")+COUNTIF($E185:U185,"µ")+COUNTIF($E185:U185,1),ColTypeEcheance)),
  IF(LEN(U185)=1,
  IF(LEN(INDEX(Roadmap!$D:$K,MATCH($E185,Roadmap!$D:$D,0)-1+COUNTIF($E185:U185,"u")+COUNTIF($E185:U185,"t")+COUNTIF($E185:U185,"¶")+COUNTIF($E185:U185,"²")+COUNTIF($E185:U185,"µ")+COUNTIF($E185:U185,1),ColDescriptionCourte))&gt;1,
HYPERLINK("#Roadmap!C"&amp; MATCH($E185,Roadmap!$D:$D,0)+COUNTIF($E185:U185,"u")+COUNTIF($E185:U185,"t")+COUNTIF($E185:U185,"¶")+COUNTIF($E185:U185,"²")+COUNTIF($E185:U185,"µ")+COUNTIF($E185:U185,1)-1,INDEX(Roadmap!$D:$K,MATCH($E185,Roadmap!$D:$D,0)-1+COUNTIF($E185:U185,"u")+COUNTIF($E185:U185,"t")+COUNTIF($E185:U185,"¶")+COUNTIF($E185:U185,"²")+COUNTIF($E185:U185,"µ")+COUNTIF($E185:U185,1),ColDescriptionCourte)),""),
  "")),"")</f>
        <v/>
      </c>
      <c r="W185" s="40" t="str">
        <f ca="1">IFERROR(IF(AND(
  INDEX(Roadmap!$D:$K,MATCH($E185,Roadmap!$D:$D,0)+COUNTIF($E185:V185,"u")+COUNTIF($E185:V185,"t")+COUNTIF($E185:V185,"¶")+COUNTIF($E185:V185,"²")+COUNTIF($E185:V185,"µ")+COUNTIF($E185:V185,1),ColLivraison)=W$6,
  VLOOKUP($E185,INDIRECT("tri!"&amp; CHAR(64+ C0Col) &amp;":"&amp; CHAR(65+C0Col)),2,FALSE)&gt;COUNTIF($E185:V185,"u")+COUNTIF($E185:V185,"t")+COUNTIF($E185:V185,"¶")+COUNTIF($E185:V185,"²")+COUNTIF($E185:V185,"µ")+COUNTIF($E185:V185,1)),
HYPERLINK("#Roadmap!C"&amp; MATCH($E185,Roadmap!$D:$D,0)+COUNTIF($E185:V185,"u")+COUNTIF($E185:V185,"t"),
     INDEX(Roadmap!$D:$K,MATCH($E185,Roadmap!$D:$D,0)+COUNTIF($E185:V185,"u")+COUNTIF($E185:V185,"t")+COUNTIF($E185:V185,"¶")+COUNTIF($E185:V185,"²")+COUNTIF($E185:V185,"µ")+COUNTIF($E185:V185,1),ColTypeEcheance)),
  IF(LEN(V185)=1,
  IF(LEN(INDEX(Roadmap!$D:$K,MATCH($E185,Roadmap!$D:$D,0)-1+COUNTIF($E185:V185,"u")+COUNTIF($E185:V185,"t")+COUNTIF($E185:V185,"¶")+COUNTIF($E185:V185,"²")+COUNTIF($E185:V185,"µ")+COUNTIF($E185:V185,1),ColDescriptionCourte))&gt;1,
HYPERLINK("#Roadmap!C"&amp; MATCH($E185,Roadmap!$D:$D,0)+COUNTIF($E185:V185,"u")+COUNTIF($E185:V185,"t")+COUNTIF($E185:V185,"¶")+COUNTIF($E185:V185,"²")+COUNTIF($E185:V185,"µ")+COUNTIF($E185:V185,1)-1,INDEX(Roadmap!$D:$K,MATCH($E185,Roadmap!$D:$D,0)-1+COUNTIF($E185:V185,"u")+COUNTIF($E185:V185,"t")+COUNTIF($E185:V185,"¶")+COUNTIF($E185:V185,"²")+COUNTIF($E185:V185,"µ")+COUNTIF($E185:V185,1),ColDescriptionCourte)),""),
  "")),"")</f>
        <v/>
      </c>
      <c r="X185" s="40" t="str">
        <f ca="1">IFERROR(IF(AND(
  INDEX(Roadmap!$D:$K,MATCH($E185,Roadmap!$D:$D,0)+COUNTIF($E185:W185,"u")+COUNTIF($E185:W185,"t")+COUNTIF($E185:W185,"¶")+COUNTIF($E185:W185,"²")+COUNTIF($E185:W185,"µ")+COUNTIF($E185:W185,1),ColLivraison)=X$6,
  VLOOKUP($E185,INDIRECT("tri!"&amp; CHAR(64+ C0Col) &amp;":"&amp; CHAR(65+C0Col)),2,FALSE)&gt;COUNTIF($E185:W185,"u")+COUNTIF($E185:W185,"t")+COUNTIF($E185:W185,"¶")+COUNTIF($E185:W185,"²")+COUNTIF($E185:W185,"µ")+COUNTIF($E185:W185,1)),
HYPERLINK("#Roadmap!C"&amp; MATCH($E185,Roadmap!$D:$D,0)+COUNTIF($E185:W185,"u")+COUNTIF($E185:W185,"t"),
     INDEX(Roadmap!$D:$K,MATCH($E185,Roadmap!$D:$D,0)+COUNTIF($E185:W185,"u")+COUNTIF($E185:W185,"t")+COUNTIF($E185:W185,"¶")+COUNTIF($E185:W185,"²")+COUNTIF($E185:W185,"µ")+COUNTIF($E185:W185,1),ColTypeEcheance)),
  IF(LEN(W185)=1,
  IF(LEN(INDEX(Roadmap!$D:$K,MATCH($E185,Roadmap!$D:$D,0)-1+COUNTIF($E185:W185,"u")+COUNTIF($E185:W185,"t")+COUNTIF($E185:W185,"¶")+COUNTIF($E185:W185,"²")+COUNTIF($E185:W185,"µ")+COUNTIF($E185:W185,1),ColDescriptionCourte))&gt;1,
HYPERLINK("#Roadmap!C"&amp; MATCH($E185,Roadmap!$D:$D,0)+COUNTIF($E185:W185,"u")+COUNTIF($E185:W185,"t")+COUNTIF($E185:W185,"¶")+COUNTIF($E185:W185,"²")+COUNTIF($E185:W185,"µ")+COUNTIF($E185:W185,1)-1,INDEX(Roadmap!$D:$K,MATCH($E185,Roadmap!$D:$D,0)-1+COUNTIF($E185:W185,"u")+COUNTIF($E185:W185,"t")+COUNTIF($E185:W185,"¶")+COUNTIF($E185:W185,"²")+COUNTIF($E185:W185,"µ")+COUNTIF($E185:W185,1),ColDescriptionCourte)),""),
  "")),"")</f>
        <v/>
      </c>
      <c r="Y185" s="40" t="str">
        <f ca="1">IFERROR(IF(AND(
  INDEX(Roadmap!$D:$K,MATCH($E185,Roadmap!$D:$D,0)+COUNTIF($E185:X185,"u")+COUNTIF($E185:X185,"t")+COUNTIF($E185:X185,"¶")+COUNTIF($E185:X185,"²")+COUNTIF($E185:X185,"µ")+COUNTIF($E185:X185,1),ColLivraison)=Y$6,
  VLOOKUP($E185,INDIRECT("tri!"&amp; CHAR(64+ C0Col) &amp;":"&amp; CHAR(65+C0Col)),2,FALSE)&gt;COUNTIF($E185:X185,"u")+COUNTIF($E185:X185,"t")+COUNTIF($E185:X185,"¶")+COUNTIF($E185:X185,"²")+COUNTIF($E185:X185,"µ")+COUNTIF($E185:X185,1)),
HYPERLINK("#Roadmap!C"&amp; MATCH($E185,Roadmap!$D:$D,0)+COUNTIF($E185:X185,"u")+COUNTIF($E185:X185,"t"),
     INDEX(Roadmap!$D:$K,MATCH($E185,Roadmap!$D:$D,0)+COUNTIF($E185:X185,"u")+COUNTIF($E185:X185,"t")+COUNTIF($E185:X185,"¶")+COUNTIF($E185:X185,"²")+COUNTIF($E185:X185,"µ")+COUNTIF($E185:X185,1),ColTypeEcheance)),
  IF(LEN(X185)=1,
  IF(LEN(INDEX(Roadmap!$D:$K,MATCH($E185,Roadmap!$D:$D,0)-1+COUNTIF($E185:X185,"u")+COUNTIF($E185:X185,"t")+COUNTIF($E185:X185,"¶")+COUNTIF($E185:X185,"²")+COUNTIF($E185:X185,"µ")+COUNTIF($E185:X185,1),ColDescriptionCourte))&gt;1,
HYPERLINK("#Roadmap!C"&amp; MATCH($E185,Roadmap!$D:$D,0)+COUNTIF($E185:X185,"u")+COUNTIF($E185:X185,"t")+COUNTIF($E185:X185,"¶")+COUNTIF($E185:X185,"²")+COUNTIF($E185:X185,"µ")+COUNTIF($E185:X185,1)-1,INDEX(Roadmap!$D:$K,MATCH($E185,Roadmap!$D:$D,0)-1+COUNTIF($E185:X185,"u")+COUNTIF($E185:X185,"t")+COUNTIF($E185:X185,"¶")+COUNTIF($E185:X185,"²")+COUNTIF($E185:X185,"µ")+COUNTIF($E185:X185,1),ColDescriptionCourte)),""),
  "")),"")</f>
        <v/>
      </c>
      <c r="Z185" s="40" t="str">
        <f ca="1">IFERROR(IF(AND(
  INDEX(Roadmap!$D:$K,MATCH($E185,Roadmap!$D:$D,0)+COUNTIF($E185:Y185,"u")+COUNTIF($E185:Y185,"t")+COUNTIF($E185:Y185,"¶")+COUNTIF($E185:Y185,"²")+COUNTIF($E185:Y185,"µ")+COUNTIF($E185:Y185,1),ColLivraison)=Z$6,
  VLOOKUP($E185,INDIRECT("tri!"&amp; CHAR(64+ C0Col) &amp;":"&amp; CHAR(65+C0Col)),2,FALSE)&gt;COUNTIF($E185:Y185,"u")+COUNTIF($E185:Y185,"t")+COUNTIF($E185:Y185,"¶")+COUNTIF($E185:Y185,"²")+COUNTIF($E185:Y185,"µ")+COUNTIF($E185:Y185,1)),
HYPERLINK("#Roadmap!C"&amp; MATCH($E185,Roadmap!$D:$D,0)+COUNTIF($E185:Y185,"u")+COUNTIF($E185:Y185,"t"),
     INDEX(Roadmap!$D:$K,MATCH($E185,Roadmap!$D:$D,0)+COUNTIF($E185:Y185,"u")+COUNTIF($E185:Y185,"t")+COUNTIF($E185:Y185,"¶")+COUNTIF($E185:Y185,"²")+COUNTIF($E185:Y185,"µ")+COUNTIF($E185:Y185,1),ColTypeEcheance)),
  IF(LEN(Y185)=1,
  IF(LEN(INDEX(Roadmap!$D:$K,MATCH($E185,Roadmap!$D:$D,0)-1+COUNTIF($E185:Y185,"u")+COUNTIF($E185:Y185,"t")+COUNTIF($E185:Y185,"¶")+COUNTIF($E185:Y185,"²")+COUNTIF($E185:Y185,"µ")+COUNTIF($E185:Y185,1),ColDescriptionCourte))&gt;1,
HYPERLINK("#Roadmap!C"&amp; MATCH($E185,Roadmap!$D:$D,0)+COUNTIF($E185:Y185,"u")+COUNTIF($E185:Y185,"t")+COUNTIF($E185:Y185,"¶")+COUNTIF($E185:Y185,"²")+COUNTIF($E185:Y185,"µ")+COUNTIF($E185:Y185,1)-1,INDEX(Roadmap!$D:$K,MATCH($E185,Roadmap!$D:$D,0)-1+COUNTIF($E185:Y185,"u")+COUNTIF($E185:Y185,"t")+COUNTIF($E185:Y185,"¶")+COUNTIF($E185:Y185,"²")+COUNTIF($E185:Y185,"µ")+COUNTIF($E185:Y185,1),ColDescriptionCourte)),""),
  "")),"")</f>
        <v/>
      </c>
      <c r="AA185" s="40" t="str">
        <f ca="1">IFERROR(IF(AND(
  INDEX(Roadmap!$D:$K,MATCH($E185,Roadmap!$D:$D,0)+COUNTIF($E185:Z185,"u")+COUNTIF($E185:Z185,"t")+COUNTIF($E185:Z185,"¶")+COUNTIF($E185:Z185,"²")+COUNTIF($E185:Z185,"µ")+COUNTIF($E185:Z185,1),ColLivraison)=AA$6,
  VLOOKUP($E185,INDIRECT("tri!"&amp; CHAR(64+ C0Col) &amp;":"&amp; CHAR(65+C0Col)),2,FALSE)&gt;COUNTIF($E185:Z185,"u")+COUNTIF($E185:Z185,"t")+COUNTIF($E185:Z185,"¶")+COUNTIF($E185:Z185,"²")+COUNTIF($E185:Z185,"µ")+COUNTIF($E185:Z185,1)),
HYPERLINK("#Roadmap!C"&amp; MATCH($E185,Roadmap!$D:$D,0)+COUNTIF($E185:Z185,"u")+COUNTIF($E185:Z185,"t"),
     INDEX(Roadmap!$D:$K,MATCH($E185,Roadmap!$D:$D,0)+COUNTIF($E185:Z185,"u")+COUNTIF($E185:Z185,"t")+COUNTIF($E185:Z185,"¶")+COUNTIF($E185:Z185,"²")+COUNTIF($E185:Z185,"µ")+COUNTIF($E185:Z185,1),ColTypeEcheance)),
  IF(LEN(Z185)=1,
  IF(LEN(INDEX(Roadmap!$D:$K,MATCH($E185,Roadmap!$D:$D,0)-1+COUNTIF($E185:Z185,"u")+COUNTIF($E185:Z185,"t")+COUNTIF($E185:Z185,"¶")+COUNTIF($E185:Z185,"²")+COUNTIF($E185:Z185,"µ")+COUNTIF($E185:Z185,1),ColDescriptionCourte))&gt;1,
HYPERLINK("#Roadmap!C"&amp; MATCH($E185,Roadmap!$D:$D,0)+COUNTIF($E185:Z185,"u")+COUNTIF($E185:Z185,"t")+COUNTIF($E185:Z185,"¶")+COUNTIF($E185:Z185,"²")+COUNTIF($E185:Z185,"µ")+COUNTIF($E185:Z185,1)-1,INDEX(Roadmap!$D:$K,MATCH($E185,Roadmap!$D:$D,0)-1+COUNTIF($E185:Z185,"u")+COUNTIF($E185:Z185,"t")+COUNTIF($E185:Z185,"¶")+COUNTIF($E185:Z185,"²")+COUNTIF($E185:Z185,"µ")+COUNTIF($E185:Z185,1),ColDescriptionCourte)),""),
  "")),"")</f>
        <v/>
      </c>
      <c r="AB185" s="40" t="str">
        <f ca="1">IFERROR(IF(AND(
  INDEX(Roadmap!$D:$K,MATCH($E185,Roadmap!$D:$D,0)+COUNTIF($E185:AA185,"u")+COUNTIF($E185:AA185,"t")+COUNTIF($E185:AA185,"¶")+COUNTIF($E185:AA185,"²")+COUNTIF($E185:AA185,"µ")+COUNTIF($E185:AA185,1),ColLivraison)=AB$6,
  VLOOKUP($E185,INDIRECT("tri!"&amp; CHAR(64+ C0Col) &amp;":"&amp; CHAR(65+C0Col)),2,FALSE)&gt;COUNTIF($E185:AA185,"u")+COUNTIF($E185:AA185,"t")+COUNTIF($E185:AA185,"¶")+COUNTIF($E185:AA185,"²")+COUNTIF($E185:AA185,"µ")+COUNTIF($E185:AA185,1)),
HYPERLINK("#Roadmap!C"&amp; MATCH($E185,Roadmap!$D:$D,0)+COUNTIF($E185:AA185,"u")+COUNTIF($E185:AA185,"t"),
     INDEX(Roadmap!$D:$K,MATCH($E185,Roadmap!$D:$D,0)+COUNTIF($E185:AA185,"u")+COUNTIF($E185:AA185,"t")+COUNTIF($E185:AA185,"¶")+COUNTIF($E185:AA185,"²")+COUNTIF($E185:AA185,"µ")+COUNTIF($E185:AA185,1),ColTypeEcheance)),
  IF(LEN(AA185)=1,
  IF(LEN(INDEX(Roadmap!$D:$K,MATCH($E185,Roadmap!$D:$D,0)-1+COUNTIF($E185:AA185,"u")+COUNTIF($E185:AA185,"t")+COUNTIF($E185:AA185,"¶")+COUNTIF($E185:AA185,"²")+COUNTIF($E185:AA185,"µ")+COUNTIF($E185:AA185,1),ColDescriptionCourte))&gt;1,
HYPERLINK("#Roadmap!C"&amp; MATCH($E185,Roadmap!$D:$D,0)+COUNTIF($E185:AA185,"u")+COUNTIF($E185:AA185,"t")+COUNTIF($E185:AA185,"¶")+COUNTIF($E185:AA185,"²")+COUNTIF($E185:AA185,"µ")+COUNTIF($E185:AA185,1)-1,INDEX(Roadmap!$D:$K,MATCH($E185,Roadmap!$D:$D,0)-1+COUNTIF($E185:AA185,"u")+COUNTIF($E185:AA185,"t")+COUNTIF($E185:AA185,"¶")+COUNTIF($E185:AA185,"²")+COUNTIF($E185:AA185,"µ")+COUNTIF($E185:AA185,1),ColDescriptionCourte)),""),
  "")),"")</f>
        <v/>
      </c>
      <c r="AC185" s="40" t="str">
        <f ca="1">IFERROR(IF(AND(
  INDEX(Roadmap!$D:$K,MATCH($E185,Roadmap!$D:$D,0)+COUNTIF($E185:AB185,"u")+COUNTIF($E185:AB185,"t")+COUNTIF($E185:AB185,"¶")+COUNTIF($E185:AB185,"²")+COUNTIF($E185:AB185,"µ")+COUNTIF($E185:AB185,1),ColLivraison)=AC$6,
  VLOOKUP($E185,INDIRECT("tri!"&amp; CHAR(64+ C0Col) &amp;":"&amp; CHAR(65+C0Col)),2,FALSE)&gt;COUNTIF($E185:AB185,"u")+COUNTIF($E185:AB185,"t")+COUNTIF($E185:AB185,"¶")+COUNTIF($E185:AB185,"²")+COUNTIF($E185:AB185,"µ")+COUNTIF($E185:AB185,1)),
HYPERLINK("#Roadmap!C"&amp; MATCH($E185,Roadmap!$D:$D,0)+COUNTIF($E185:AB185,"u")+COUNTIF($E185:AB185,"t"),
     INDEX(Roadmap!$D:$K,MATCH($E185,Roadmap!$D:$D,0)+COUNTIF($E185:AB185,"u")+COUNTIF($E185:AB185,"t")+COUNTIF($E185:AB185,"¶")+COUNTIF($E185:AB185,"²")+COUNTIF($E185:AB185,"µ")+COUNTIF($E185:AB185,1),ColTypeEcheance)),
  IF(LEN(AB185)=1,
  IF(LEN(INDEX(Roadmap!$D:$K,MATCH($E185,Roadmap!$D:$D,0)-1+COUNTIF($E185:AB185,"u")+COUNTIF($E185:AB185,"t")+COUNTIF($E185:AB185,"¶")+COUNTIF($E185:AB185,"²")+COUNTIF($E185:AB185,"µ")+COUNTIF($E185:AB185,1),ColDescriptionCourte))&gt;1,
HYPERLINK("#Roadmap!C"&amp; MATCH($E185,Roadmap!$D:$D,0)+COUNTIF($E185:AB185,"u")+COUNTIF($E185:AB185,"t")+COUNTIF($E185:AB185,"¶")+COUNTIF($E185:AB185,"²")+COUNTIF($E185:AB185,"µ")+COUNTIF($E185:AB185,1)-1,INDEX(Roadmap!$D:$K,MATCH($E185,Roadmap!$D:$D,0)-1+COUNTIF($E185:AB185,"u")+COUNTIF($E185:AB185,"t")+COUNTIF($E185:AB185,"¶")+COUNTIF($E185:AB185,"²")+COUNTIF($E185:AB185,"µ")+COUNTIF($E185:AB185,1),ColDescriptionCourte)),""),
  "")),"")</f>
        <v/>
      </c>
      <c r="AD185" s="40" t="str">
        <f ca="1">IFERROR(IF(AND(
  INDEX(Roadmap!$D:$K,MATCH($E185,Roadmap!$D:$D,0)+COUNTIF($E185:AC185,"u")+COUNTIF($E185:AC185,"t")+COUNTIF($E185:AC185,"¶")+COUNTIF($E185:AC185,"²")+COUNTIF($E185:AC185,"µ")+COUNTIF($E185:AC185,1),ColLivraison)=AD$6,
  VLOOKUP($E185,INDIRECT("tri!"&amp; CHAR(64+ C0Col) &amp;":"&amp; CHAR(65+C0Col)),2,FALSE)&gt;COUNTIF($E185:AC185,"u")+COUNTIF($E185:AC185,"t")+COUNTIF($E185:AC185,"¶")+COUNTIF($E185:AC185,"²")+COUNTIF($E185:AC185,"µ")+COUNTIF($E185:AC185,1)),
HYPERLINK("#Roadmap!C"&amp; MATCH($E185,Roadmap!$D:$D,0)+COUNTIF($E185:AC185,"u")+COUNTIF($E185:AC185,"t"),
     INDEX(Roadmap!$D:$K,MATCH($E185,Roadmap!$D:$D,0)+COUNTIF($E185:AC185,"u")+COUNTIF($E185:AC185,"t")+COUNTIF($E185:AC185,"¶")+COUNTIF($E185:AC185,"²")+COUNTIF($E185:AC185,"µ")+COUNTIF($E185:AC185,1),ColTypeEcheance)),
  IF(LEN(AC185)=1,
  IF(LEN(INDEX(Roadmap!$D:$K,MATCH($E185,Roadmap!$D:$D,0)-1+COUNTIF($E185:AC185,"u")+COUNTIF($E185:AC185,"t")+COUNTIF($E185:AC185,"¶")+COUNTIF($E185:AC185,"²")+COUNTIF($E185:AC185,"µ")+COUNTIF($E185:AC185,1),ColDescriptionCourte))&gt;1,
HYPERLINK("#Roadmap!C"&amp; MATCH($E185,Roadmap!$D:$D,0)+COUNTIF($E185:AC185,"u")+COUNTIF($E185:AC185,"t")+COUNTIF($E185:AC185,"¶")+COUNTIF($E185:AC185,"²")+COUNTIF($E185:AC185,"µ")+COUNTIF($E185:AC185,1)-1,INDEX(Roadmap!$D:$K,MATCH($E185,Roadmap!$D:$D,0)-1+COUNTIF($E185:AC185,"u")+COUNTIF($E185:AC185,"t")+COUNTIF($E185:AC185,"¶")+COUNTIF($E185:AC185,"²")+COUNTIF($E185:AC185,"µ")+COUNTIF($E185:AC185,1),ColDescriptionCourte)),""),
  "")),"")</f>
        <v/>
      </c>
      <c r="AE185" s="40" t="str">
        <f ca="1">IFERROR(IF(AND(
  INDEX(Roadmap!$D:$K,MATCH($E185,Roadmap!$D:$D,0)+COUNTIF($E185:AD185,"u")+COUNTIF($E185:AD185,"t")+COUNTIF($E185:AD185,"¶")+COUNTIF($E185:AD185,"²")+COUNTIF($E185:AD185,"µ")+COUNTIF($E185:AD185,1),ColLivraison)=AE$6,
  VLOOKUP($E185,INDIRECT("tri!"&amp; CHAR(64+ C0Col) &amp;":"&amp; CHAR(65+C0Col)),2,FALSE)&gt;COUNTIF($E185:AD185,"u")+COUNTIF($E185:AD185,"t")+COUNTIF($E185:AD185,"¶")+COUNTIF($E185:AD185,"²")+COUNTIF($E185:AD185,"µ")+COUNTIF($E185:AD185,1)),
HYPERLINK("#Roadmap!C"&amp; MATCH($E185,Roadmap!$D:$D,0)+COUNTIF($E185:AD185,"u")+COUNTIF($E185:AD185,"t"),
     INDEX(Roadmap!$D:$K,MATCH($E185,Roadmap!$D:$D,0)+COUNTIF($E185:AD185,"u")+COUNTIF($E185:AD185,"t")+COUNTIF($E185:AD185,"¶")+COUNTIF($E185:AD185,"²")+COUNTIF($E185:AD185,"µ")+COUNTIF($E185:AD185,1),ColTypeEcheance)),
  IF(LEN(AD185)=1,
  IF(LEN(INDEX(Roadmap!$D:$K,MATCH($E185,Roadmap!$D:$D,0)-1+COUNTIF($E185:AD185,"u")+COUNTIF($E185:AD185,"t")+COUNTIF($E185:AD185,"¶")+COUNTIF($E185:AD185,"²")+COUNTIF($E185:AD185,"µ")+COUNTIF($E185:AD185,1),ColDescriptionCourte))&gt;1,
HYPERLINK("#Roadmap!C"&amp; MATCH($E185,Roadmap!$D:$D,0)+COUNTIF($E185:AD185,"u")+COUNTIF($E185:AD185,"t")+COUNTIF($E185:AD185,"¶")+COUNTIF($E185:AD185,"²")+COUNTIF($E185:AD185,"µ")+COUNTIF($E185:AD185,1)-1,INDEX(Roadmap!$D:$K,MATCH($E185,Roadmap!$D:$D,0)-1+COUNTIF($E185:AD185,"u")+COUNTIF($E185:AD185,"t")+COUNTIF($E185:AD185,"¶")+COUNTIF($E185:AD185,"²")+COUNTIF($E185:AD185,"µ")+COUNTIF($E185:AD185,1),ColDescriptionCourte)),""),
  "")),"")</f>
        <v/>
      </c>
      <c r="AF185" s="40" t="str">
        <f ca="1">IFERROR(IF(AND(
  INDEX(Roadmap!$D:$K,MATCH($E185,Roadmap!$D:$D,0)+COUNTIF($E185:AE185,"u")+COUNTIF($E185:AE185,"t")+COUNTIF($E185:AE185,"¶")+COUNTIF($E185:AE185,"²")+COUNTIF($E185:AE185,"µ")+COUNTIF($E185:AE185,1),ColLivraison)=AF$6,
  VLOOKUP($E185,INDIRECT("tri!"&amp; CHAR(64+ C0Col) &amp;":"&amp; CHAR(65+C0Col)),2,FALSE)&gt;COUNTIF($E185:AE185,"u")+COUNTIF($E185:AE185,"t")+COUNTIF($E185:AE185,"¶")+COUNTIF($E185:AE185,"²")+COUNTIF($E185:AE185,"µ")+COUNTIF($E185:AE185,1)),
HYPERLINK("#Roadmap!C"&amp; MATCH($E185,Roadmap!$D:$D,0)+COUNTIF($E185:AE185,"u")+COUNTIF($E185:AE185,"t"),
     INDEX(Roadmap!$D:$K,MATCH($E185,Roadmap!$D:$D,0)+COUNTIF($E185:AE185,"u")+COUNTIF($E185:AE185,"t")+COUNTIF($E185:AE185,"¶")+COUNTIF($E185:AE185,"²")+COUNTIF($E185:AE185,"µ")+COUNTIF($E185:AE185,1),ColTypeEcheance)),
  IF(LEN(AE185)=1,
  IF(LEN(INDEX(Roadmap!$D:$K,MATCH($E185,Roadmap!$D:$D,0)-1+COUNTIF($E185:AE185,"u")+COUNTIF($E185:AE185,"t")+COUNTIF($E185:AE185,"¶")+COUNTIF($E185:AE185,"²")+COUNTIF($E185:AE185,"µ")+COUNTIF($E185:AE185,1),ColDescriptionCourte))&gt;1,
HYPERLINK("#Roadmap!C"&amp; MATCH($E185,Roadmap!$D:$D,0)+COUNTIF($E185:AE185,"u")+COUNTIF($E185:AE185,"t")+COUNTIF($E185:AE185,"¶")+COUNTIF($E185:AE185,"²")+COUNTIF($E185:AE185,"µ")+COUNTIF($E185:AE185,1)-1,INDEX(Roadmap!$D:$K,MATCH($E185,Roadmap!$D:$D,0)-1+COUNTIF($E185:AE185,"u")+COUNTIF($E185:AE185,"t")+COUNTIF($E185:AE185,"¶")+COUNTIF($E185:AE185,"²")+COUNTIF($E185:AE185,"µ")+COUNTIF($E185:AE185,1),ColDescriptionCourte)),""),
  "")),"")</f>
        <v/>
      </c>
      <c r="AG185" s="40" t="str">
        <f ca="1">IFERROR(IF(AND(
  INDEX(Roadmap!$D:$K,MATCH($E185,Roadmap!$D:$D,0)+COUNTIF($E185:AF185,"u")+COUNTIF($E185:AF185,"t")+COUNTIF($E185:AF185,"¶")+COUNTIF($E185:AF185,"²")+COUNTIF($E185:AF185,"µ")+COUNTIF($E185:AF185,1),ColLivraison)=AG$6,
  VLOOKUP($E185,INDIRECT("tri!"&amp; CHAR(64+ C0Col) &amp;":"&amp; CHAR(65+C0Col)),2,FALSE)&gt;COUNTIF($E185:AF185,"u")+COUNTIF($E185:AF185,"t")+COUNTIF($E185:AF185,"¶")+COUNTIF($E185:AF185,"²")+COUNTIF($E185:AF185,"µ")+COUNTIF($E185:AF185,1)),
HYPERLINK("#Roadmap!C"&amp; MATCH($E185,Roadmap!$D:$D,0)+COUNTIF($E185:AF185,"u")+COUNTIF($E185:AF185,"t"),
     INDEX(Roadmap!$D:$K,MATCH($E185,Roadmap!$D:$D,0)+COUNTIF($E185:AF185,"u")+COUNTIF($E185:AF185,"t")+COUNTIF($E185:AF185,"¶")+COUNTIF($E185:AF185,"²")+COUNTIF($E185:AF185,"µ")+COUNTIF($E185:AF185,1),ColTypeEcheance)),
  IF(LEN(AF185)=1,
  IF(LEN(INDEX(Roadmap!$D:$K,MATCH($E185,Roadmap!$D:$D,0)-1+COUNTIF($E185:AF185,"u")+COUNTIF($E185:AF185,"t")+COUNTIF($E185:AF185,"¶")+COUNTIF($E185:AF185,"²")+COUNTIF($E185:AF185,"µ")+COUNTIF($E185:AF185,1),ColDescriptionCourte))&gt;1,
HYPERLINK("#Roadmap!C"&amp; MATCH($E185,Roadmap!$D:$D,0)+COUNTIF($E185:AF185,"u")+COUNTIF($E185:AF185,"t")+COUNTIF($E185:AF185,"¶")+COUNTIF($E185:AF185,"²")+COUNTIF($E185:AF185,"µ")+COUNTIF($E185:AF185,1)-1,INDEX(Roadmap!$D:$K,MATCH($E185,Roadmap!$D:$D,0)-1+COUNTIF($E185:AF185,"u")+COUNTIF($E185:AF185,"t")+COUNTIF($E185:AF185,"¶")+COUNTIF($E185:AF185,"²")+COUNTIF($E185:AF185,"µ")+COUNTIF($E185:AF185,1),ColDescriptionCourte)),""),
  "")),"")</f>
        <v/>
      </c>
    </row>
    <row r="186" spans="3:33" ht="14.25" customHeight="1">
      <c r="C186" s="1" t="str">
        <f t="shared" ca="1" si="54"/>
        <v/>
      </c>
      <c r="D186" s="1" t="str">
        <f t="shared" ca="1" si="55"/>
        <v/>
      </c>
      <c r="E186" s="35" t="str">
        <f t="shared" ca="1" si="51"/>
        <v/>
      </c>
      <c r="F186" s="39" t="str">
        <f ca="1">IFERROR(IF(AND(
  INDEX(Roadmap!$D:$K,MATCH($E186,Roadmap!$D:$D,0)+COUNTIF($E186:E186,"u")+COUNTIF($E186:E186,"t")+COUNTIF($E186:E186,"¶")+COUNTIF($E186:E186,"²")+COUNTIF($E186:E186,"µ")+COUNTIF($E186:E186,1),ColLivraison)=F$6,
  VLOOKUP($E186,INDIRECT("tri!"&amp; CHAR(64+ C0Col) &amp;":"&amp; CHAR(65+C0Col)),2,FALSE)&gt;COUNTIF($E186:E186,"u")+COUNTIF($E186:E186,"t")+COUNTIF($E186:E186,"¶")+COUNTIF($E186:E186,"²")+COUNTIF($E186:E186,"µ")+COUNTIF($E186:E186,1)),
HYPERLINK("#Roadmap!C"&amp; MATCH($E186,Roadmap!$D:$D,0)+COUNTIF($E186:E186,"u")+COUNTIF($E186:E186,"t"),
     INDEX(Roadmap!$D:$K,MATCH($E186,Roadmap!$D:$D,0)+COUNTIF($E186:E186,"u")+COUNTIF($E186:E186,"t")+COUNTIF($E186:E186,"¶")+COUNTIF($E186:E186,"²")+COUNTIF($E186:E186,"µ")+COUNTIF($E186:E186,1),ColTypeEcheance)),
  IF(LEN(E186)=1,
  IF(LEN(INDEX(Roadmap!$D:$K,MATCH($E186,Roadmap!$D:$D,0)-1+COUNTIF($E186:E186,"u")+COUNTIF($E186:E186,"t")+COUNTIF($E186:E186,"¶")+COUNTIF($E186:E186,"²")+COUNTIF($E186:E186,"µ")+COUNTIF($E186:E186,1),ColDescriptionCourte))&gt;1,
HYPERLINK("#Roadmap!C"&amp; MATCH($E186,Roadmap!$D:$D,0)+COUNTIF($E186:E186,"u")+COUNTIF($E186:E186,"t")+COUNTIF($E186:E186,"¶")+COUNTIF($E186:E186,"²")+COUNTIF($E186:E186,"µ")+COUNTIF($E186:E186,1)-1,INDEX(Roadmap!$D:$K,MATCH($E186,Roadmap!$D:$D,0)-1+COUNTIF($E186:E186,"u")+COUNTIF($E186:E186,"t")+COUNTIF($E186:E186,"¶")+COUNTIF($E186:E186,"²")+COUNTIF($E186:E186,"µ")+COUNTIF($E186:E186,1),ColDescriptionCourte)),""),
  "")),"")</f>
        <v/>
      </c>
      <c r="G186" s="40" t="str">
        <f ca="1">IFERROR(IF(AND(
  INDEX(Roadmap!$D:$K,MATCH($E186,Roadmap!$D:$D,0)+COUNTIF($E186:F186,"u")+COUNTIF($E186:F186,"t")+COUNTIF($E186:F186,"¶")+COUNTIF($E186:F186,"²")+COUNTIF($E186:F186,"µ")+COUNTIF($E186:F186,1),ColLivraison)=G$6,
  VLOOKUP($E186,INDIRECT("tri!"&amp; CHAR(64+ C0Col) &amp;":"&amp; CHAR(65+C0Col)),2,FALSE)&gt;COUNTIF($E186:F186,"u")+COUNTIF($E186:F186,"t")+COUNTIF($E186:F186,"¶")+COUNTIF($E186:F186,"²")+COUNTIF($E186:F186,"µ")+COUNTIF($E186:F186,1)),
HYPERLINK("#Roadmap!C"&amp; MATCH($E186,Roadmap!$D:$D,0)+COUNTIF($E186:F186,"u")+COUNTIF($E186:F186,"t"),
     INDEX(Roadmap!$D:$K,MATCH($E186,Roadmap!$D:$D,0)+COUNTIF($E186:F186,"u")+COUNTIF($E186:F186,"t")+COUNTIF($E186:F186,"¶")+COUNTIF($E186:F186,"²")+COUNTIF($E186:F186,"µ")+COUNTIF($E186:F186,1),ColTypeEcheance)),
  IF(LEN(F186)=1,
  IF(LEN(INDEX(Roadmap!$D:$K,MATCH($E186,Roadmap!$D:$D,0)-1+COUNTIF($E186:F186,"u")+COUNTIF($E186:F186,"t")+COUNTIF($E186:F186,"¶")+COUNTIF($E186:F186,"²")+COUNTIF($E186:F186,"µ")+COUNTIF($E186:F186,1),ColDescriptionCourte))&gt;1,
HYPERLINK("#Roadmap!C"&amp; MATCH($E186,Roadmap!$D:$D,0)+COUNTIF($E186:F186,"u")+COUNTIF($E186:F186,"t")+COUNTIF($E186:F186,"¶")+COUNTIF($E186:F186,"²")+COUNTIF($E186:F186,"µ")+COUNTIF($E186:F186,1)-1,INDEX(Roadmap!$D:$K,MATCH($E186,Roadmap!$D:$D,0)-1+COUNTIF($E186:F186,"u")+COUNTIF($E186:F186,"t")+COUNTIF($E186:F186,"¶")+COUNTIF($E186:F186,"²")+COUNTIF($E186:F186,"µ")+COUNTIF($E186:F186,1),ColDescriptionCourte)),""),
  "")),"")</f>
        <v/>
      </c>
      <c r="H186" s="40" t="str">
        <f ca="1">IFERROR(IF(AND(
  INDEX(Roadmap!$D:$K,MATCH($E186,Roadmap!$D:$D,0)+COUNTIF($E186:G186,"u")+COUNTIF($E186:G186,"t")+COUNTIF($E186:G186,"¶")+COUNTIF($E186:G186,"²")+COUNTIF($E186:G186,"µ")+COUNTIF($E186:G186,1),ColLivraison)=H$6,
  VLOOKUP($E186,INDIRECT("tri!"&amp; CHAR(64+ C0Col) &amp;":"&amp; CHAR(65+C0Col)),2,FALSE)&gt;COUNTIF($E186:G186,"u")+COUNTIF($E186:G186,"t")+COUNTIF($E186:G186,"¶")+COUNTIF($E186:G186,"²")+COUNTIF($E186:G186,"µ")+COUNTIF($E186:G186,1)),
HYPERLINK("#Roadmap!C"&amp; MATCH($E186,Roadmap!$D:$D,0)+COUNTIF($E186:G186,"u")+COUNTIF($E186:G186,"t"),
     INDEX(Roadmap!$D:$K,MATCH($E186,Roadmap!$D:$D,0)+COUNTIF($E186:G186,"u")+COUNTIF($E186:G186,"t")+COUNTIF($E186:G186,"¶")+COUNTIF($E186:G186,"²")+COUNTIF($E186:G186,"µ")+COUNTIF($E186:G186,1),ColTypeEcheance)),
  IF(LEN(G186)=1,
  IF(LEN(INDEX(Roadmap!$D:$K,MATCH($E186,Roadmap!$D:$D,0)-1+COUNTIF($E186:G186,"u")+COUNTIF($E186:G186,"t")+COUNTIF($E186:G186,"¶")+COUNTIF($E186:G186,"²")+COUNTIF($E186:G186,"µ")+COUNTIF($E186:G186,1),ColDescriptionCourte))&gt;1,
HYPERLINK("#Roadmap!C"&amp; MATCH($E186,Roadmap!$D:$D,0)+COUNTIF($E186:G186,"u")+COUNTIF($E186:G186,"t")+COUNTIF($E186:G186,"¶")+COUNTIF($E186:G186,"²")+COUNTIF($E186:G186,"µ")+COUNTIF($E186:G186,1)-1,INDEX(Roadmap!$D:$K,MATCH($E186,Roadmap!$D:$D,0)-1+COUNTIF($E186:G186,"u")+COUNTIF($E186:G186,"t")+COUNTIF($E186:G186,"¶")+COUNTIF($E186:G186,"²")+COUNTIF($E186:G186,"µ")+COUNTIF($E186:G186,1),ColDescriptionCourte)),""),
  "")),"")</f>
        <v/>
      </c>
      <c r="I186" s="40" t="str">
        <f ca="1">IFERROR(IF(AND(
  INDEX(Roadmap!$D:$K,MATCH($E186,Roadmap!$D:$D,0)+COUNTIF($E186:H186,"u")+COUNTIF($E186:H186,"t")+COUNTIF($E186:H186,"¶")+COUNTIF($E186:H186,"²")+COUNTIF($E186:H186,"µ")+COUNTIF($E186:H186,1),ColLivraison)=I$6,
  VLOOKUP($E186,INDIRECT("tri!"&amp; CHAR(64+ C0Col) &amp;":"&amp; CHAR(65+C0Col)),2,FALSE)&gt;COUNTIF($E186:H186,"u")+COUNTIF($E186:H186,"t")+COUNTIF($E186:H186,"¶")+COUNTIF($E186:H186,"²")+COUNTIF($E186:H186,"µ")+COUNTIF($E186:H186,1)),
HYPERLINK("#Roadmap!C"&amp; MATCH($E186,Roadmap!$D:$D,0)+COUNTIF($E186:H186,"u")+COUNTIF($E186:H186,"t"),
     INDEX(Roadmap!$D:$K,MATCH($E186,Roadmap!$D:$D,0)+COUNTIF($E186:H186,"u")+COUNTIF($E186:H186,"t")+COUNTIF($E186:H186,"¶")+COUNTIF($E186:H186,"²")+COUNTIF($E186:H186,"µ")+COUNTIF($E186:H186,1),ColTypeEcheance)),
  IF(LEN(H186)=1,
  IF(LEN(INDEX(Roadmap!$D:$K,MATCH($E186,Roadmap!$D:$D,0)-1+COUNTIF($E186:H186,"u")+COUNTIF($E186:H186,"t")+COUNTIF($E186:H186,"¶")+COUNTIF($E186:H186,"²")+COUNTIF($E186:H186,"µ")+COUNTIF($E186:H186,1),ColDescriptionCourte))&gt;1,
HYPERLINK("#Roadmap!C"&amp; MATCH($E186,Roadmap!$D:$D,0)+COUNTIF($E186:H186,"u")+COUNTIF($E186:H186,"t")+COUNTIF($E186:H186,"¶")+COUNTIF($E186:H186,"²")+COUNTIF($E186:H186,"µ")+COUNTIF($E186:H186,1)-1,INDEX(Roadmap!$D:$K,MATCH($E186,Roadmap!$D:$D,0)-1+COUNTIF($E186:H186,"u")+COUNTIF($E186:H186,"t")+COUNTIF($E186:H186,"¶")+COUNTIF($E186:H186,"²")+COUNTIF($E186:H186,"µ")+COUNTIF($E186:H186,1),ColDescriptionCourte)),""),
  "")),"")</f>
        <v/>
      </c>
      <c r="J186" s="40" t="str">
        <f ca="1">IFERROR(IF(AND(
  INDEX(Roadmap!$D:$K,MATCH($E186,Roadmap!$D:$D,0)+COUNTIF($E186:I186,"u")+COUNTIF($E186:I186,"t")+COUNTIF($E186:I186,"¶")+COUNTIF($E186:I186,"²")+COUNTIF($E186:I186,"µ")+COUNTIF($E186:I186,1),ColLivraison)=J$6,
  VLOOKUP($E186,INDIRECT("tri!"&amp; CHAR(64+ C0Col) &amp;":"&amp; CHAR(65+C0Col)),2,FALSE)&gt;COUNTIF($E186:I186,"u")+COUNTIF($E186:I186,"t")+COUNTIF($E186:I186,"¶")+COUNTIF($E186:I186,"²")+COUNTIF($E186:I186,"µ")+COUNTIF($E186:I186,1)),
HYPERLINK("#Roadmap!C"&amp; MATCH($E186,Roadmap!$D:$D,0)+COUNTIF($E186:I186,"u")+COUNTIF($E186:I186,"t"),
     INDEX(Roadmap!$D:$K,MATCH($E186,Roadmap!$D:$D,0)+COUNTIF($E186:I186,"u")+COUNTIF($E186:I186,"t")+COUNTIF($E186:I186,"¶")+COUNTIF($E186:I186,"²")+COUNTIF($E186:I186,"µ")+COUNTIF($E186:I186,1),ColTypeEcheance)),
  IF(LEN(I186)=1,
  IF(LEN(INDEX(Roadmap!$D:$K,MATCH($E186,Roadmap!$D:$D,0)-1+COUNTIF($E186:I186,"u")+COUNTIF($E186:I186,"t")+COUNTIF($E186:I186,"¶")+COUNTIF($E186:I186,"²")+COUNTIF($E186:I186,"µ")+COUNTIF($E186:I186,1),ColDescriptionCourte))&gt;1,
HYPERLINK("#Roadmap!C"&amp; MATCH($E186,Roadmap!$D:$D,0)+COUNTIF($E186:I186,"u")+COUNTIF($E186:I186,"t")+COUNTIF($E186:I186,"¶")+COUNTIF($E186:I186,"²")+COUNTIF($E186:I186,"µ")+COUNTIF($E186:I186,1)-1,INDEX(Roadmap!$D:$K,MATCH($E186,Roadmap!$D:$D,0)-1+COUNTIF($E186:I186,"u")+COUNTIF($E186:I186,"t")+COUNTIF($E186:I186,"¶")+COUNTIF($E186:I186,"²")+COUNTIF($E186:I186,"µ")+COUNTIF($E186:I186,1),ColDescriptionCourte)),""),
  "")),"")</f>
        <v/>
      </c>
      <c r="K186" s="40" t="str">
        <f ca="1">IFERROR(IF(AND(
  INDEX(Roadmap!$D:$K,MATCH($E186,Roadmap!$D:$D,0)+COUNTIF($E186:J186,"u")+COUNTIF($E186:J186,"t")+COUNTIF($E186:J186,"¶")+COUNTIF($E186:J186,"²")+COUNTIF($E186:J186,"µ")+COUNTIF($E186:J186,1),ColLivraison)=K$6,
  VLOOKUP($E186,INDIRECT("tri!"&amp; CHAR(64+ C0Col) &amp;":"&amp; CHAR(65+C0Col)),2,FALSE)&gt;COUNTIF($E186:J186,"u")+COUNTIF($E186:J186,"t")+COUNTIF($E186:J186,"¶")+COUNTIF($E186:J186,"²")+COUNTIF($E186:J186,"µ")+COUNTIF($E186:J186,1)),
HYPERLINK("#Roadmap!C"&amp; MATCH($E186,Roadmap!$D:$D,0)+COUNTIF($E186:J186,"u")+COUNTIF($E186:J186,"t"),
     INDEX(Roadmap!$D:$K,MATCH($E186,Roadmap!$D:$D,0)+COUNTIF($E186:J186,"u")+COUNTIF($E186:J186,"t")+COUNTIF($E186:J186,"¶")+COUNTIF($E186:J186,"²")+COUNTIF($E186:J186,"µ")+COUNTIF($E186:J186,1),ColTypeEcheance)),
  IF(LEN(J186)=1,
  IF(LEN(INDEX(Roadmap!$D:$K,MATCH($E186,Roadmap!$D:$D,0)-1+COUNTIF($E186:J186,"u")+COUNTIF($E186:J186,"t")+COUNTIF($E186:J186,"¶")+COUNTIF($E186:J186,"²")+COUNTIF($E186:J186,"µ")+COUNTIF($E186:J186,1),ColDescriptionCourte))&gt;1,
HYPERLINK("#Roadmap!C"&amp; MATCH($E186,Roadmap!$D:$D,0)+COUNTIF($E186:J186,"u")+COUNTIF($E186:J186,"t")+COUNTIF($E186:J186,"¶")+COUNTIF($E186:J186,"²")+COUNTIF($E186:J186,"µ")+COUNTIF($E186:J186,1)-1,INDEX(Roadmap!$D:$K,MATCH($E186,Roadmap!$D:$D,0)-1+COUNTIF($E186:J186,"u")+COUNTIF($E186:J186,"t")+COUNTIF($E186:J186,"¶")+COUNTIF($E186:J186,"²")+COUNTIF($E186:J186,"µ")+COUNTIF($E186:J186,1),ColDescriptionCourte)),""),
  "")),"")</f>
        <v/>
      </c>
      <c r="L186" s="39" t="str">
        <f ca="1">IFERROR(IF(AND(
  INDEX(Roadmap!$D:$K,MATCH($E186,Roadmap!$D:$D,0)+COUNTIF($E186:K186,"u")+COUNTIF($E186:K186,"t")+COUNTIF($E186:K186,"¶")+COUNTIF($E186:K186,"²")+COUNTIF($E186:K186,"µ")+COUNTIF($E186:K186,1),ColLivraison)=L$6,
  VLOOKUP($E186,INDIRECT("tri!"&amp; CHAR(64+ C0Col) &amp;":"&amp; CHAR(65+C0Col)),2,FALSE)&gt;COUNTIF($E186:K186,"u")+COUNTIF($E186:K186,"t")+COUNTIF($E186:K186,"¶")+COUNTIF($E186:K186,"²")+COUNTIF($E186:K186,"µ")+COUNTIF($E186:K186,1)),
HYPERLINK("#Roadmap!C"&amp; MATCH($E186,Roadmap!$D:$D,0)+COUNTIF($E186:K186,"u")+COUNTIF($E186:K186,"t"),
     INDEX(Roadmap!$D:$K,MATCH($E186,Roadmap!$D:$D,0)+COUNTIF($E186:K186,"u")+COUNTIF($E186:K186,"t")+COUNTIF($E186:K186,"¶")+COUNTIF($E186:K186,"²")+COUNTIF($E186:K186,"µ")+COUNTIF($E186:K186,1),ColTypeEcheance)),
  IF(LEN(K186)=1,
  IF(LEN(INDEX(Roadmap!$D:$K,MATCH($E186,Roadmap!$D:$D,0)-1+COUNTIF($E186:K186,"u")+COUNTIF($E186:K186,"t")+COUNTIF($E186:K186,"¶")+COUNTIF($E186:K186,"²")+COUNTIF($E186:K186,"µ")+COUNTIF($E186:K186,1),ColDescriptionCourte))&gt;1,
HYPERLINK("#Roadmap!C"&amp; MATCH($E186,Roadmap!$D:$D,0)+COUNTIF($E186:K186,"u")+COUNTIF($E186:K186,"t")+COUNTIF($E186:K186,"¶")+COUNTIF($E186:K186,"²")+COUNTIF($E186:K186,"µ")+COUNTIF($E186:K186,1)-1,INDEX(Roadmap!$D:$K,MATCH($E186,Roadmap!$D:$D,0)-1+COUNTIF($E186:K186,"u")+COUNTIF($E186:K186,"t")+COUNTIF($E186:K186,"¶")+COUNTIF($E186:K186,"²")+COUNTIF($E186:K186,"µ")+COUNTIF($E186:K186,1),ColDescriptionCourte)),""),
  "")),"")</f>
        <v/>
      </c>
      <c r="M186" s="40" t="str">
        <f ca="1">IFERROR(IF(AND(
  INDEX(Roadmap!$D:$K,MATCH($E186,Roadmap!$D:$D,0)+COUNTIF($E186:L186,"u")+COUNTIF($E186:L186,"t")+COUNTIF($E186:L186,"¶")+COUNTIF($E186:L186,"²")+COUNTIF($E186:L186,"µ")+COUNTIF($E186:L186,1),ColLivraison)=M$6,
  VLOOKUP($E186,INDIRECT("tri!"&amp; CHAR(64+ C0Col) &amp;":"&amp; CHAR(65+C0Col)),2,FALSE)&gt;COUNTIF($E186:L186,"u")+COUNTIF($E186:L186,"t")+COUNTIF($E186:L186,"¶")+COUNTIF($E186:L186,"²")+COUNTIF($E186:L186,"µ")+COUNTIF($E186:L186,1)),
HYPERLINK("#Roadmap!C"&amp; MATCH($E186,Roadmap!$D:$D,0)+COUNTIF($E186:L186,"u")+COUNTIF($E186:L186,"t"),
     INDEX(Roadmap!$D:$K,MATCH($E186,Roadmap!$D:$D,0)+COUNTIF($E186:L186,"u")+COUNTIF($E186:L186,"t")+COUNTIF($E186:L186,"¶")+COUNTIF($E186:L186,"²")+COUNTIF($E186:L186,"µ")+COUNTIF($E186:L186,1),ColTypeEcheance)),
  IF(LEN(L186)=1,
  IF(LEN(INDEX(Roadmap!$D:$K,MATCH($E186,Roadmap!$D:$D,0)-1+COUNTIF($E186:L186,"u")+COUNTIF($E186:L186,"t")+COUNTIF($E186:L186,"¶")+COUNTIF($E186:L186,"²")+COUNTIF($E186:L186,"µ")+COUNTIF($E186:L186,1),ColDescriptionCourte))&gt;1,
HYPERLINK("#Roadmap!C"&amp; MATCH($E186,Roadmap!$D:$D,0)+COUNTIF($E186:L186,"u")+COUNTIF($E186:L186,"t")+COUNTIF($E186:L186,"¶")+COUNTIF($E186:L186,"²")+COUNTIF($E186:L186,"µ")+COUNTIF($E186:L186,1)-1,INDEX(Roadmap!$D:$K,MATCH($E186,Roadmap!$D:$D,0)-1+COUNTIF($E186:L186,"u")+COUNTIF($E186:L186,"t")+COUNTIF($E186:L186,"¶")+COUNTIF($E186:L186,"²")+COUNTIF($E186:L186,"µ")+COUNTIF($E186:L186,1),ColDescriptionCourte)),""),
  "")),"")</f>
        <v/>
      </c>
      <c r="N186" s="40" t="str">
        <f ca="1">IFERROR(IF(AND(
  INDEX(Roadmap!$D:$K,MATCH($E186,Roadmap!$D:$D,0)+COUNTIF($E186:M186,"u")+COUNTIF($E186:M186,"t")+COUNTIF($E186:M186,"¶")+COUNTIF($E186:M186,"²")+COUNTIF($E186:M186,"µ")+COUNTIF($E186:M186,1),ColLivraison)=N$6,
  VLOOKUP($E186,INDIRECT("tri!"&amp; CHAR(64+ C0Col) &amp;":"&amp; CHAR(65+C0Col)),2,FALSE)&gt;COUNTIF($E186:M186,"u")+COUNTIF($E186:M186,"t")+COUNTIF($E186:M186,"¶")+COUNTIF($E186:M186,"²")+COUNTIF($E186:M186,"µ")+COUNTIF($E186:M186,1)),
HYPERLINK("#Roadmap!C"&amp; MATCH($E186,Roadmap!$D:$D,0)+COUNTIF($E186:M186,"u")+COUNTIF($E186:M186,"t"),
     INDEX(Roadmap!$D:$K,MATCH($E186,Roadmap!$D:$D,0)+COUNTIF($E186:M186,"u")+COUNTIF($E186:M186,"t")+COUNTIF($E186:M186,"¶")+COUNTIF($E186:M186,"²")+COUNTIF($E186:M186,"µ")+COUNTIF($E186:M186,1),ColTypeEcheance)),
  IF(LEN(M186)=1,
  IF(LEN(INDEX(Roadmap!$D:$K,MATCH($E186,Roadmap!$D:$D,0)-1+COUNTIF($E186:M186,"u")+COUNTIF($E186:M186,"t")+COUNTIF($E186:M186,"¶")+COUNTIF($E186:M186,"²")+COUNTIF($E186:M186,"µ")+COUNTIF($E186:M186,1),ColDescriptionCourte))&gt;1,
HYPERLINK("#Roadmap!C"&amp; MATCH($E186,Roadmap!$D:$D,0)+COUNTIF($E186:M186,"u")+COUNTIF($E186:M186,"t")+COUNTIF($E186:M186,"¶")+COUNTIF($E186:M186,"²")+COUNTIF($E186:M186,"µ")+COUNTIF($E186:M186,1)-1,INDEX(Roadmap!$D:$K,MATCH($E186,Roadmap!$D:$D,0)-1+COUNTIF($E186:M186,"u")+COUNTIF($E186:M186,"t")+COUNTIF($E186:M186,"¶")+COUNTIF($E186:M186,"²")+COUNTIF($E186:M186,"µ")+COUNTIF($E186:M186,1),ColDescriptionCourte)),""),
  "")),"")</f>
        <v/>
      </c>
      <c r="O186" s="40" t="str">
        <f ca="1">IFERROR(IF(AND(
  INDEX(Roadmap!$D:$K,MATCH($E186,Roadmap!$D:$D,0)+COUNTIF($E186:N186,"u")+COUNTIF($E186:N186,"t")+COUNTIF($E186:N186,"¶")+COUNTIF($E186:N186,"²")+COUNTIF($E186:N186,"µ")+COUNTIF($E186:N186,1),ColLivraison)=O$6,
  VLOOKUP($E186,INDIRECT("tri!"&amp; CHAR(64+ C0Col) &amp;":"&amp; CHAR(65+C0Col)),2,FALSE)&gt;COUNTIF($E186:N186,"u")+COUNTIF($E186:N186,"t")+COUNTIF($E186:N186,"¶")+COUNTIF($E186:N186,"²")+COUNTIF($E186:N186,"µ")+COUNTIF($E186:N186,1)),
HYPERLINK("#Roadmap!C"&amp; MATCH($E186,Roadmap!$D:$D,0)+COUNTIF($E186:N186,"u")+COUNTIF($E186:N186,"t"),
     INDEX(Roadmap!$D:$K,MATCH($E186,Roadmap!$D:$D,0)+COUNTIF($E186:N186,"u")+COUNTIF($E186:N186,"t")+COUNTIF($E186:N186,"¶")+COUNTIF($E186:N186,"²")+COUNTIF($E186:N186,"µ")+COUNTIF($E186:N186,1),ColTypeEcheance)),
  IF(LEN(N186)=1,
  IF(LEN(INDEX(Roadmap!$D:$K,MATCH($E186,Roadmap!$D:$D,0)-1+COUNTIF($E186:N186,"u")+COUNTIF($E186:N186,"t")+COUNTIF($E186:N186,"¶")+COUNTIF($E186:N186,"²")+COUNTIF($E186:N186,"µ")+COUNTIF($E186:N186,1),ColDescriptionCourte))&gt;1,
HYPERLINK("#Roadmap!C"&amp; MATCH($E186,Roadmap!$D:$D,0)+COUNTIF($E186:N186,"u")+COUNTIF($E186:N186,"t")+COUNTIF($E186:N186,"¶")+COUNTIF($E186:N186,"²")+COUNTIF($E186:N186,"µ")+COUNTIF($E186:N186,1)-1,INDEX(Roadmap!$D:$K,MATCH($E186,Roadmap!$D:$D,0)-1+COUNTIF($E186:N186,"u")+COUNTIF($E186:N186,"t")+COUNTIF($E186:N186,"¶")+COUNTIF($E186:N186,"²")+COUNTIF($E186:N186,"µ")+COUNTIF($E186:N186,1),ColDescriptionCourte)),""),
  "")),"")</f>
        <v/>
      </c>
      <c r="P186" s="40" t="str">
        <f ca="1">IFERROR(IF(AND(
  INDEX(Roadmap!$D:$K,MATCH($E186,Roadmap!$D:$D,0)+COUNTIF($E186:O186,"u")+COUNTIF($E186:O186,"t")+COUNTIF($E186:O186,"¶")+COUNTIF($E186:O186,"²")+COUNTIF($E186:O186,"µ")+COUNTIF($E186:O186,1),ColLivraison)=P$6,
  VLOOKUP($E186,INDIRECT("tri!"&amp; CHAR(64+ C0Col) &amp;":"&amp; CHAR(65+C0Col)),2,FALSE)&gt;COUNTIF($E186:O186,"u")+COUNTIF($E186:O186,"t")+COUNTIF($E186:O186,"¶")+COUNTIF($E186:O186,"²")+COUNTIF($E186:O186,"µ")+COUNTIF($E186:O186,1)),
HYPERLINK("#Roadmap!C"&amp; MATCH($E186,Roadmap!$D:$D,0)+COUNTIF($E186:O186,"u")+COUNTIF($E186:O186,"t"),
     INDEX(Roadmap!$D:$K,MATCH($E186,Roadmap!$D:$D,0)+COUNTIF($E186:O186,"u")+COUNTIF($E186:O186,"t")+COUNTIF($E186:O186,"¶")+COUNTIF($E186:O186,"²")+COUNTIF($E186:O186,"µ")+COUNTIF($E186:O186,1),ColTypeEcheance)),
  IF(LEN(O186)=1,
  IF(LEN(INDEX(Roadmap!$D:$K,MATCH($E186,Roadmap!$D:$D,0)-1+COUNTIF($E186:O186,"u")+COUNTIF($E186:O186,"t")+COUNTIF($E186:O186,"¶")+COUNTIF($E186:O186,"²")+COUNTIF($E186:O186,"µ")+COUNTIF($E186:O186,1),ColDescriptionCourte))&gt;1,
HYPERLINK("#Roadmap!C"&amp; MATCH($E186,Roadmap!$D:$D,0)+COUNTIF($E186:O186,"u")+COUNTIF($E186:O186,"t")+COUNTIF($E186:O186,"¶")+COUNTIF($E186:O186,"²")+COUNTIF($E186:O186,"µ")+COUNTIF($E186:O186,1)-1,INDEX(Roadmap!$D:$K,MATCH($E186,Roadmap!$D:$D,0)-1+COUNTIF($E186:O186,"u")+COUNTIF($E186:O186,"t")+COUNTIF($E186:O186,"¶")+COUNTIF($E186:O186,"²")+COUNTIF($E186:O186,"µ")+COUNTIF($E186:O186,1),ColDescriptionCourte)),""),
  "")),"")</f>
        <v/>
      </c>
      <c r="Q186" s="40" t="str">
        <f ca="1">IFERROR(IF(AND(
  INDEX(Roadmap!$D:$K,MATCH($E186,Roadmap!$D:$D,0)+COUNTIF($E186:P186,"u")+COUNTIF($E186:P186,"t")+COUNTIF($E186:P186,"¶")+COUNTIF($E186:P186,"²")+COUNTIF($E186:P186,"µ")+COUNTIF($E186:P186,1),ColLivraison)=Q$6,
  VLOOKUP($E186,INDIRECT("tri!"&amp; CHAR(64+ C0Col) &amp;":"&amp; CHAR(65+C0Col)),2,FALSE)&gt;COUNTIF($E186:P186,"u")+COUNTIF($E186:P186,"t")+COUNTIF($E186:P186,"¶")+COUNTIF($E186:P186,"²")+COUNTIF($E186:P186,"µ")+COUNTIF($E186:P186,1)),
HYPERLINK("#Roadmap!C"&amp; MATCH($E186,Roadmap!$D:$D,0)+COUNTIF($E186:P186,"u")+COUNTIF($E186:P186,"t"),
     INDEX(Roadmap!$D:$K,MATCH($E186,Roadmap!$D:$D,0)+COUNTIF($E186:P186,"u")+COUNTIF($E186:P186,"t")+COUNTIF($E186:P186,"¶")+COUNTIF($E186:P186,"²")+COUNTIF($E186:P186,"µ")+COUNTIF($E186:P186,1),ColTypeEcheance)),
  IF(LEN(P186)=1,
  IF(LEN(INDEX(Roadmap!$D:$K,MATCH($E186,Roadmap!$D:$D,0)-1+COUNTIF($E186:P186,"u")+COUNTIF($E186:P186,"t")+COUNTIF($E186:P186,"¶")+COUNTIF($E186:P186,"²")+COUNTIF($E186:P186,"µ")+COUNTIF($E186:P186,1),ColDescriptionCourte))&gt;1,
HYPERLINK("#Roadmap!C"&amp; MATCH($E186,Roadmap!$D:$D,0)+COUNTIF($E186:P186,"u")+COUNTIF($E186:P186,"t")+COUNTIF($E186:P186,"¶")+COUNTIF($E186:P186,"²")+COUNTIF($E186:P186,"µ")+COUNTIF($E186:P186,1)-1,INDEX(Roadmap!$D:$K,MATCH($E186,Roadmap!$D:$D,0)-1+COUNTIF($E186:P186,"u")+COUNTIF($E186:P186,"t")+COUNTIF($E186:P186,"¶")+COUNTIF($E186:P186,"²")+COUNTIF($E186:P186,"µ")+COUNTIF($E186:P186,1),ColDescriptionCourte)),""),
  "")),"")</f>
        <v/>
      </c>
      <c r="R186" s="40" t="str">
        <f ca="1">IFERROR(IF(AND(
  INDEX(Roadmap!$D:$K,MATCH($E186,Roadmap!$D:$D,0)+COUNTIF($E186:Q186,"u")+COUNTIF($E186:Q186,"t")+COUNTIF($E186:Q186,"¶")+COUNTIF($E186:Q186,"²")+COUNTIF($E186:Q186,"µ")+COUNTIF($E186:Q186,1),ColLivraison)=R$6,
  VLOOKUP($E186,INDIRECT("tri!"&amp; CHAR(64+ C0Col) &amp;":"&amp; CHAR(65+C0Col)),2,FALSE)&gt;COUNTIF($E186:Q186,"u")+COUNTIF($E186:Q186,"t")+COUNTIF($E186:Q186,"¶")+COUNTIF($E186:Q186,"²")+COUNTIF($E186:Q186,"µ")+COUNTIF($E186:Q186,1)),
HYPERLINK("#Roadmap!C"&amp; MATCH($E186,Roadmap!$D:$D,0)+COUNTIF($E186:Q186,"u")+COUNTIF($E186:Q186,"t"),
     INDEX(Roadmap!$D:$K,MATCH($E186,Roadmap!$D:$D,0)+COUNTIF($E186:Q186,"u")+COUNTIF($E186:Q186,"t")+COUNTIF($E186:Q186,"¶")+COUNTIF($E186:Q186,"²")+COUNTIF($E186:Q186,"µ")+COUNTIF($E186:Q186,1),ColTypeEcheance)),
  IF(LEN(Q186)=1,
  IF(LEN(INDEX(Roadmap!$D:$K,MATCH($E186,Roadmap!$D:$D,0)-1+COUNTIF($E186:Q186,"u")+COUNTIF($E186:Q186,"t")+COUNTIF($E186:Q186,"¶")+COUNTIF($E186:Q186,"²")+COUNTIF($E186:Q186,"µ")+COUNTIF($E186:Q186,1),ColDescriptionCourte))&gt;1,
HYPERLINK("#Roadmap!C"&amp; MATCH($E186,Roadmap!$D:$D,0)+COUNTIF($E186:Q186,"u")+COUNTIF($E186:Q186,"t")+COUNTIF($E186:Q186,"¶")+COUNTIF($E186:Q186,"²")+COUNTIF($E186:Q186,"µ")+COUNTIF($E186:Q186,1)-1,INDEX(Roadmap!$D:$K,MATCH($E186,Roadmap!$D:$D,0)-1+COUNTIF($E186:Q186,"u")+COUNTIF($E186:Q186,"t")+COUNTIF($E186:Q186,"¶")+COUNTIF($E186:Q186,"²")+COUNTIF($E186:Q186,"µ")+COUNTIF($E186:Q186,1),ColDescriptionCourte)),""),
  "")),"")</f>
        <v/>
      </c>
      <c r="S186" s="40" t="str">
        <f ca="1">IFERROR(IF(AND(
  INDEX(Roadmap!$D:$K,MATCH($E186,Roadmap!$D:$D,0)+COUNTIF($E186:R186,"u")+COUNTIF($E186:R186,"t")+COUNTIF($E186:R186,"¶")+COUNTIF($E186:R186,"²")+COUNTIF($E186:R186,"µ")+COUNTIF($E186:R186,1),ColLivraison)=S$6,
  VLOOKUP($E186,INDIRECT("tri!"&amp; CHAR(64+ C0Col) &amp;":"&amp; CHAR(65+C0Col)),2,FALSE)&gt;COUNTIF($E186:R186,"u")+COUNTIF($E186:R186,"t")+COUNTIF($E186:R186,"¶")+COUNTIF($E186:R186,"²")+COUNTIF($E186:R186,"µ")+COUNTIF($E186:R186,1)),
HYPERLINK("#Roadmap!C"&amp; MATCH($E186,Roadmap!$D:$D,0)+COUNTIF($E186:R186,"u")+COUNTIF($E186:R186,"t"),
     INDEX(Roadmap!$D:$K,MATCH($E186,Roadmap!$D:$D,0)+COUNTIF($E186:R186,"u")+COUNTIF($E186:R186,"t")+COUNTIF($E186:R186,"¶")+COUNTIF($E186:R186,"²")+COUNTIF($E186:R186,"µ")+COUNTIF($E186:R186,1),ColTypeEcheance)),
  IF(LEN(R186)=1,
  IF(LEN(INDEX(Roadmap!$D:$K,MATCH($E186,Roadmap!$D:$D,0)-1+COUNTIF($E186:R186,"u")+COUNTIF($E186:R186,"t")+COUNTIF($E186:R186,"¶")+COUNTIF($E186:R186,"²")+COUNTIF($E186:R186,"µ")+COUNTIF($E186:R186,1),ColDescriptionCourte))&gt;1,
HYPERLINK("#Roadmap!C"&amp; MATCH($E186,Roadmap!$D:$D,0)+COUNTIF($E186:R186,"u")+COUNTIF($E186:R186,"t")+COUNTIF($E186:R186,"¶")+COUNTIF($E186:R186,"²")+COUNTIF($E186:R186,"µ")+COUNTIF($E186:R186,1)-1,INDEX(Roadmap!$D:$K,MATCH($E186,Roadmap!$D:$D,0)-1+COUNTIF($E186:R186,"u")+COUNTIF($E186:R186,"t")+COUNTIF($E186:R186,"¶")+COUNTIF($E186:R186,"²")+COUNTIF($E186:R186,"µ")+COUNTIF($E186:R186,1),ColDescriptionCourte)),""),
  "")),"")</f>
        <v/>
      </c>
      <c r="T186" s="40" t="str">
        <f ca="1">IFERROR(IF(AND(
  INDEX(Roadmap!$D:$K,MATCH($E186,Roadmap!$D:$D,0)+COUNTIF($E186:S186,"u")+COUNTIF($E186:S186,"t")+COUNTIF($E186:S186,"¶")+COUNTIF($E186:S186,"²")+COUNTIF($E186:S186,"µ")+COUNTIF($E186:S186,1),ColLivraison)=T$6,
  VLOOKUP($E186,INDIRECT("tri!"&amp; CHAR(64+ C0Col) &amp;":"&amp; CHAR(65+C0Col)),2,FALSE)&gt;COUNTIF($E186:S186,"u")+COUNTIF($E186:S186,"t")+COUNTIF($E186:S186,"¶")+COUNTIF($E186:S186,"²")+COUNTIF($E186:S186,"µ")+COUNTIF($E186:S186,1)),
HYPERLINK("#Roadmap!C"&amp; MATCH($E186,Roadmap!$D:$D,0)+COUNTIF($E186:S186,"u")+COUNTIF($E186:S186,"t"),
     INDEX(Roadmap!$D:$K,MATCH($E186,Roadmap!$D:$D,0)+COUNTIF($E186:S186,"u")+COUNTIF($E186:S186,"t")+COUNTIF($E186:S186,"¶")+COUNTIF($E186:S186,"²")+COUNTIF($E186:S186,"µ")+COUNTIF($E186:S186,1),ColTypeEcheance)),
  IF(LEN(S186)=1,
  IF(LEN(INDEX(Roadmap!$D:$K,MATCH($E186,Roadmap!$D:$D,0)-1+COUNTIF($E186:S186,"u")+COUNTIF($E186:S186,"t")+COUNTIF($E186:S186,"¶")+COUNTIF($E186:S186,"²")+COUNTIF($E186:S186,"µ")+COUNTIF($E186:S186,1),ColDescriptionCourte))&gt;1,
HYPERLINK("#Roadmap!C"&amp; MATCH($E186,Roadmap!$D:$D,0)+COUNTIF($E186:S186,"u")+COUNTIF($E186:S186,"t")+COUNTIF($E186:S186,"¶")+COUNTIF($E186:S186,"²")+COUNTIF($E186:S186,"µ")+COUNTIF($E186:S186,1)-1,INDEX(Roadmap!$D:$K,MATCH($E186,Roadmap!$D:$D,0)-1+COUNTIF($E186:S186,"u")+COUNTIF($E186:S186,"t")+COUNTIF($E186:S186,"¶")+COUNTIF($E186:S186,"²")+COUNTIF($E186:S186,"µ")+COUNTIF($E186:S186,1),ColDescriptionCourte)),""),
  "")),"")</f>
        <v/>
      </c>
      <c r="U186" s="40" t="str">
        <f ca="1">IFERROR(IF(AND(
  INDEX(Roadmap!$D:$K,MATCH($E186,Roadmap!$D:$D,0)+COUNTIF($E186:T186,"u")+COUNTIF($E186:T186,"t")+COUNTIF($E186:T186,"¶")+COUNTIF($E186:T186,"²")+COUNTIF($E186:T186,"µ")+COUNTIF($E186:T186,1),ColLivraison)=U$6,
  VLOOKUP($E186,INDIRECT("tri!"&amp; CHAR(64+ C0Col) &amp;":"&amp; CHAR(65+C0Col)),2,FALSE)&gt;COUNTIF($E186:T186,"u")+COUNTIF($E186:T186,"t")+COUNTIF($E186:T186,"¶")+COUNTIF($E186:T186,"²")+COUNTIF($E186:T186,"µ")+COUNTIF($E186:T186,1)),
HYPERLINK("#Roadmap!C"&amp; MATCH($E186,Roadmap!$D:$D,0)+COUNTIF($E186:T186,"u")+COUNTIF($E186:T186,"t"),
     INDEX(Roadmap!$D:$K,MATCH($E186,Roadmap!$D:$D,0)+COUNTIF($E186:T186,"u")+COUNTIF($E186:T186,"t")+COUNTIF($E186:T186,"¶")+COUNTIF($E186:T186,"²")+COUNTIF($E186:T186,"µ")+COUNTIF($E186:T186,1),ColTypeEcheance)),
  IF(LEN(T186)=1,
  IF(LEN(INDEX(Roadmap!$D:$K,MATCH($E186,Roadmap!$D:$D,0)-1+COUNTIF($E186:T186,"u")+COUNTIF($E186:T186,"t")+COUNTIF($E186:T186,"¶")+COUNTIF($E186:T186,"²")+COUNTIF($E186:T186,"µ")+COUNTIF($E186:T186,1),ColDescriptionCourte))&gt;1,
HYPERLINK("#Roadmap!C"&amp; MATCH($E186,Roadmap!$D:$D,0)+COUNTIF($E186:T186,"u")+COUNTIF($E186:T186,"t")+COUNTIF($E186:T186,"¶")+COUNTIF($E186:T186,"²")+COUNTIF($E186:T186,"µ")+COUNTIF($E186:T186,1)-1,INDEX(Roadmap!$D:$K,MATCH($E186,Roadmap!$D:$D,0)-1+COUNTIF($E186:T186,"u")+COUNTIF($E186:T186,"t")+COUNTIF($E186:T186,"¶")+COUNTIF($E186:T186,"²")+COUNTIF($E186:T186,"µ")+COUNTIF($E186:T186,1),ColDescriptionCourte)),""),
  "")),"")</f>
        <v/>
      </c>
      <c r="V186" s="40" t="str">
        <f ca="1">IFERROR(IF(AND(
  INDEX(Roadmap!$D:$K,MATCH($E186,Roadmap!$D:$D,0)+COUNTIF($E186:U186,"u")+COUNTIF($E186:U186,"t")+COUNTIF($E186:U186,"¶")+COUNTIF($E186:U186,"²")+COUNTIF($E186:U186,"µ")+COUNTIF($E186:U186,1),ColLivraison)=V$6,
  VLOOKUP($E186,INDIRECT("tri!"&amp; CHAR(64+ C0Col) &amp;":"&amp; CHAR(65+C0Col)),2,FALSE)&gt;COUNTIF($E186:U186,"u")+COUNTIF($E186:U186,"t")+COUNTIF($E186:U186,"¶")+COUNTIF($E186:U186,"²")+COUNTIF($E186:U186,"µ")+COUNTIF($E186:U186,1)),
HYPERLINK("#Roadmap!C"&amp; MATCH($E186,Roadmap!$D:$D,0)+COUNTIF($E186:U186,"u")+COUNTIF($E186:U186,"t"),
     INDEX(Roadmap!$D:$K,MATCH($E186,Roadmap!$D:$D,0)+COUNTIF($E186:U186,"u")+COUNTIF($E186:U186,"t")+COUNTIF($E186:U186,"¶")+COUNTIF($E186:U186,"²")+COUNTIF($E186:U186,"µ")+COUNTIF($E186:U186,1),ColTypeEcheance)),
  IF(LEN(U186)=1,
  IF(LEN(INDEX(Roadmap!$D:$K,MATCH($E186,Roadmap!$D:$D,0)-1+COUNTIF($E186:U186,"u")+COUNTIF($E186:U186,"t")+COUNTIF($E186:U186,"¶")+COUNTIF($E186:U186,"²")+COUNTIF($E186:U186,"µ")+COUNTIF($E186:U186,1),ColDescriptionCourte))&gt;1,
HYPERLINK("#Roadmap!C"&amp; MATCH($E186,Roadmap!$D:$D,0)+COUNTIF($E186:U186,"u")+COUNTIF($E186:U186,"t")+COUNTIF($E186:U186,"¶")+COUNTIF($E186:U186,"²")+COUNTIF($E186:U186,"µ")+COUNTIF($E186:U186,1)-1,INDEX(Roadmap!$D:$K,MATCH($E186,Roadmap!$D:$D,0)-1+COUNTIF($E186:U186,"u")+COUNTIF($E186:U186,"t")+COUNTIF($E186:U186,"¶")+COUNTIF($E186:U186,"²")+COUNTIF($E186:U186,"µ")+COUNTIF($E186:U186,1),ColDescriptionCourte)),""),
  "")),"")</f>
        <v/>
      </c>
      <c r="W186" s="40" t="str">
        <f ca="1">IFERROR(IF(AND(
  INDEX(Roadmap!$D:$K,MATCH($E186,Roadmap!$D:$D,0)+COUNTIF($E186:V186,"u")+COUNTIF($E186:V186,"t")+COUNTIF($E186:V186,"¶")+COUNTIF($E186:V186,"²")+COUNTIF($E186:V186,"µ")+COUNTIF($E186:V186,1),ColLivraison)=W$6,
  VLOOKUP($E186,INDIRECT("tri!"&amp; CHAR(64+ C0Col) &amp;":"&amp; CHAR(65+C0Col)),2,FALSE)&gt;COUNTIF($E186:V186,"u")+COUNTIF($E186:V186,"t")+COUNTIF($E186:V186,"¶")+COUNTIF($E186:V186,"²")+COUNTIF($E186:V186,"µ")+COUNTIF($E186:V186,1)),
HYPERLINK("#Roadmap!C"&amp; MATCH($E186,Roadmap!$D:$D,0)+COUNTIF($E186:V186,"u")+COUNTIF($E186:V186,"t"),
     INDEX(Roadmap!$D:$K,MATCH($E186,Roadmap!$D:$D,0)+COUNTIF($E186:V186,"u")+COUNTIF($E186:V186,"t")+COUNTIF($E186:V186,"¶")+COUNTIF($E186:V186,"²")+COUNTIF($E186:V186,"µ")+COUNTIF($E186:V186,1),ColTypeEcheance)),
  IF(LEN(V186)=1,
  IF(LEN(INDEX(Roadmap!$D:$K,MATCH($E186,Roadmap!$D:$D,0)-1+COUNTIF($E186:V186,"u")+COUNTIF($E186:V186,"t")+COUNTIF($E186:V186,"¶")+COUNTIF($E186:V186,"²")+COUNTIF($E186:V186,"µ")+COUNTIF($E186:V186,1),ColDescriptionCourte))&gt;1,
HYPERLINK("#Roadmap!C"&amp; MATCH($E186,Roadmap!$D:$D,0)+COUNTIF($E186:V186,"u")+COUNTIF($E186:V186,"t")+COUNTIF($E186:V186,"¶")+COUNTIF($E186:V186,"²")+COUNTIF($E186:V186,"µ")+COUNTIF($E186:V186,1)-1,INDEX(Roadmap!$D:$K,MATCH($E186,Roadmap!$D:$D,0)-1+COUNTIF($E186:V186,"u")+COUNTIF($E186:V186,"t")+COUNTIF($E186:V186,"¶")+COUNTIF($E186:V186,"²")+COUNTIF($E186:V186,"µ")+COUNTIF($E186:V186,1),ColDescriptionCourte)),""),
  "")),"")</f>
        <v/>
      </c>
      <c r="X186" s="40" t="str">
        <f ca="1">IFERROR(IF(AND(
  INDEX(Roadmap!$D:$K,MATCH($E186,Roadmap!$D:$D,0)+COUNTIF($E186:W186,"u")+COUNTIF($E186:W186,"t")+COUNTIF($E186:W186,"¶")+COUNTIF($E186:W186,"²")+COUNTIF($E186:W186,"µ")+COUNTIF($E186:W186,1),ColLivraison)=X$6,
  VLOOKUP($E186,INDIRECT("tri!"&amp; CHAR(64+ C0Col) &amp;":"&amp; CHAR(65+C0Col)),2,FALSE)&gt;COUNTIF($E186:W186,"u")+COUNTIF($E186:W186,"t")+COUNTIF($E186:W186,"¶")+COUNTIF($E186:W186,"²")+COUNTIF($E186:W186,"µ")+COUNTIF($E186:W186,1)),
HYPERLINK("#Roadmap!C"&amp; MATCH($E186,Roadmap!$D:$D,0)+COUNTIF($E186:W186,"u")+COUNTIF($E186:W186,"t"),
     INDEX(Roadmap!$D:$K,MATCH($E186,Roadmap!$D:$D,0)+COUNTIF($E186:W186,"u")+COUNTIF($E186:W186,"t")+COUNTIF($E186:W186,"¶")+COUNTIF($E186:W186,"²")+COUNTIF($E186:W186,"µ")+COUNTIF($E186:W186,1),ColTypeEcheance)),
  IF(LEN(W186)=1,
  IF(LEN(INDEX(Roadmap!$D:$K,MATCH($E186,Roadmap!$D:$D,0)-1+COUNTIF($E186:W186,"u")+COUNTIF($E186:W186,"t")+COUNTIF($E186:W186,"¶")+COUNTIF($E186:W186,"²")+COUNTIF($E186:W186,"µ")+COUNTIF($E186:W186,1),ColDescriptionCourte))&gt;1,
HYPERLINK("#Roadmap!C"&amp; MATCH($E186,Roadmap!$D:$D,0)+COUNTIF($E186:W186,"u")+COUNTIF($E186:W186,"t")+COUNTIF($E186:W186,"¶")+COUNTIF($E186:W186,"²")+COUNTIF($E186:W186,"µ")+COUNTIF($E186:W186,1)-1,INDEX(Roadmap!$D:$K,MATCH($E186,Roadmap!$D:$D,0)-1+COUNTIF($E186:W186,"u")+COUNTIF($E186:W186,"t")+COUNTIF($E186:W186,"¶")+COUNTIF($E186:W186,"²")+COUNTIF($E186:W186,"µ")+COUNTIF($E186:W186,1),ColDescriptionCourte)),""),
  "")),"")</f>
        <v/>
      </c>
      <c r="Y186" s="40" t="str">
        <f ca="1">IFERROR(IF(AND(
  INDEX(Roadmap!$D:$K,MATCH($E186,Roadmap!$D:$D,0)+COUNTIF($E186:X186,"u")+COUNTIF($E186:X186,"t")+COUNTIF($E186:X186,"¶")+COUNTIF($E186:X186,"²")+COUNTIF($E186:X186,"µ")+COUNTIF($E186:X186,1),ColLivraison)=Y$6,
  VLOOKUP($E186,INDIRECT("tri!"&amp; CHAR(64+ C0Col) &amp;":"&amp; CHAR(65+C0Col)),2,FALSE)&gt;COUNTIF($E186:X186,"u")+COUNTIF($E186:X186,"t")+COUNTIF($E186:X186,"¶")+COUNTIF($E186:X186,"²")+COUNTIF($E186:X186,"µ")+COUNTIF($E186:X186,1)),
HYPERLINK("#Roadmap!C"&amp; MATCH($E186,Roadmap!$D:$D,0)+COUNTIF($E186:X186,"u")+COUNTIF($E186:X186,"t"),
     INDEX(Roadmap!$D:$K,MATCH($E186,Roadmap!$D:$D,0)+COUNTIF($E186:X186,"u")+COUNTIF($E186:X186,"t")+COUNTIF($E186:X186,"¶")+COUNTIF($E186:X186,"²")+COUNTIF($E186:X186,"µ")+COUNTIF($E186:X186,1),ColTypeEcheance)),
  IF(LEN(X186)=1,
  IF(LEN(INDEX(Roadmap!$D:$K,MATCH($E186,Roadmap!$D:$D,0)-1+COUNTIF($E186:X186,"u")+COUNTIF($E186:X186,"t")+COUNTIF($E186:X186,"¶")+COUNTIF($E186:X186,"²")+COUNTIF($E186:X186,"µ")+COUNTIF($E186:X186,1),ColDescriptionCourte))&gt;1,
HYPERLINK("#Roadmap!C"&amp; MATCH($E186,Roadmap!$D:$D,0)+COUNTIF($E186:X186,"u")+COUNTIF($E186:X186,"t")+COUNTIF($E186:X186,"¶")+COUNTIF($E186:X186,"²")+COUNTIF($E186:X186,"µ")+COUNTIF($E186:X186,1)-1,INDEX(Roadmap!$D:$K,MATCH($E186,Roadmap!$D:$D,0)-1+COUNTIF($E186:X186,"u")+COUNTIF($E186:X186,"t")+COUNTIF($E186:X186,"¶")+COUNTIF($E186:X186,"²")+COUNTIF($E186:X186,"µ")+COUNTIF($E186:X186,1),ColDescriptionCourte)),""),
  "")),"")</f>
        <v/>
      </c>
      <c r="Z186" s="40" t="str">
        <f ca="1">IFERROR(IF(AND(
  INDEX(Roadmap!$D:$K,MATCH($E186,Roadmap!$D:$D,0)+COUNTIF($E186:Y186,"u")+COUNTIF($E186:Y186,"t")+COUNTIF($E186:Y186,"¶")+COUNTIF($E186:Y186,"²")+COUNTIF($E186:Y186,"µ")+COUNTIF($E186:Y186,1),ColLivraison)=Z$6,
  VLOOKUP($E186,INDIRECT("tri!"&amp; CHAR(64+ C0Col) &amp;":"&amp; CHAR(65+C0Col)),2,FALSE)&gt;COUNTIF($E186:Y186,"u")+COUNTIF($E186:Y186,"t")+COUNTIF($E186:Y186,"¶")+COUNTIF($E186:Y186,"²")+COUNTIF($E186:Y186,"µ")+COUNTIF($E186:Y186,1)),
HYPERLINK("#Roadmap!C"&amp; MATCH($E186,Roadmap!$D:$D,0)+COUNTIF($E186:Y186,"u")+COUNTIF($E186:Y186,"t"),
     INDEX(Roadmap!$D:$K,MATCH($E186,Roadmap!$D:$D,0)+COUNTIF($E186:Y186,"u")+COUNTIF($E186:Y186,"t")+COUNTIF($E186:Y186,"¶")+COUNTIF($E186:Y186,"²")+COUNTIF($E186:Y186,"µ")+COUNTIF($E186:Y186,1),ColTypeEcheance)),
  IF(LEN(Y186)=1,
  IF(LEN(INDEX(Roadmap!$D:$K,MATCH($E186,Roadmap!$D:$D,0)-1+COUNTIF($E186:Y186,"u")+COUNTIF($E186:Y186,"t")+COUNTIF($E186:Y186,"¶")+COUNTIF($E186:Y186,"²")+COUNTIF($E186:Y186,"µ")+COUNTIF($E186:Y186,1),ColDescriptionCourte))&gt;1,
HYPERLINK("#Roadmap!C"&amp; MATCH($E186,Roadmap!$D:$D,0)+COUNTIF($E186:Y186,"u")+COUNTIF($E186:Y186,"t")+COUNTIF($E186:Y186,"¶")+COUNTIF($E186:Y186,"²")+COUNTIF($E186:Y186,"µ")+COUNTIF($E186:Y186,1)-1,INDEX(Roadmap!$D:$K,MATCH($E186,Roadmap!$D:$D,0)-1+COUNTIF($E186:Y186,"u")+COUNTIF($E186:Y186,"t")+COUNTIF($E186:Y186,"¶")+COUNTIF($E186:Y186,"²")+COUNTIF($E186:Y186,"µ")+COUNTIF($E186:Y186,1),ColDescriptionCourte)),""),
  "")),"")</f>
        <v/>
      </c>
      <c r="AA186" s="40" t="str">
        <f ca="1">IFERROR(IF(AND(
  INDEX(Roadmap!$D:$K,MATCH($E186,Roadmap!$D:$D,0)+COUNTIF($E186:Z186,"u")+COUNTIF($E186:Z186,"t")+COUNTIF($E186:Z186,"¶")+COUNTIF($E186:Z186,"²")+COUNTIF($E186:Z186,"µ")+COUNTIF($E186:Z186,1),ColLivraison)=AA$6,
  VLOOKUP($E186,INDIRECT("tri!"&amp; CHAR(64+ C0Col) &amp;":"&amp; CHAR(65+C0Col)),2,FALSE)&gt;COUNTIF($E186:Z186,"u")+COUNTIF($E186:Z186,"t")+COUNTIF($E186:Z186,"¶")+COUNTIF($E186:Z186,"²")+COUNTIF($E186:Z186,"µ")+COUNTIF($E186:Z186,1)),
HYPERLINK("#Roadmap!C"&amp; MATCH($E186,Roadmap!$D:$D,0)+COUNTIF($E186:Z186,"u")+COUNTIF($E186:Z186,"t"),
     INDEX(Roadmap!$D:$K,MATCH($E186,Roadmap!$D:$D,0)+COUNTIF($E186:Z186,"u")+COUNTIF($E186:Z186,"t")+COUNTIF($E186:Z186,"¶")+COUNTIF($E186:Z186,"²")+COUNTIF($E186:Z186,"µ")+COUNTIF($E186:Z186,1),ColTypeEcheance)),
  IF(LEN(Z186)=1,
  IF(LEN(INDEX(Roadmap!$D:$K,MATCH($E186,Roadmap!$D:$D,0)-1+COUNTIF($E186:Z186,"u")+COUNTIF($E186:Z186,"t")+COUNTIF($E186:Z186,"¶")+COUNTIF($E186:Z186,"²")+COUNTIF($E186:Z186,"µ")+COUNTIF($E186:Z186,1),ColDescriptionCourte))&gt;1,
HYPERLINK("#Roadmap!C"&amp; MATCH($E186,Roadmap!$D:$D,0)+COUNTIF($E186:Z186,"u")+COUNTIF($E186:Z186,"t")+COUNTIF($E186:Z186,"¶")+COUNTIF($E186:Z186,"²")+COUNTIF($E186:Z186,"µ")+COUNTIF($E186:Z186,1)-1,INDEX(Roadmap!$D:$K,MATCH($E186,Roadmap!$D:$D,0)-1+COUNTIF($E186:Z186,"u")+COUNTIF($E186:Z186,"t")+COUNTIF($E186:Z186,"¶")+COUNTIF($E186:Z186,"²")+COUNTIF($E186:Z186,"µ")+COUNTIF($E186:Z186,1),ColDescriptionCourte)),""),
  "")),"")</f>
        <v/>
      </c>
      <c r="AB186" s="40" t="str">
        <f ca="1">IFERROR(IF(AND(
  INDEX(Roadmap!$D:$K,MATCH($E186,Roadmap!$D:$D,0)+COUNTIF($E186:AA186,"u")+COUNTIF($E186:AA186,"t")+COUNTIF($E186:AA186,"¶")+COUNTIF($E186:AA186,"²")+COUNTIF($E186:AA186,"µ")+COUNTIF($E186:AA186,1),ColLivraison)=AB$6,
  VLOOKUP($E186,INDIRECT("tri!"&amp; CHAR(64+ C0Col) &amp;":"&amp; CHAR(65+C0Col)),2,FALSE)&gt;COUNTIF($E186:AA186,"u")+COUNTIF($E186:AA186,"t")+COUNTIF($E186:AA186,"¶")+COUNTIF($E186:AA186,"²")+COUNTIF($E186:AA186,"µ")+COUNTIF($E186:AA186,1)),
HYPERLINK("#Roadmap!C"&amp; MATCH($E186,Roadmap!$D:$D,0)+COUNTIF($E186:AA186,"u")+COUNTIF($E186:AA186,"t"),
     INDEX(Roadmap!$D:$K,MATCH($E186,Roadmap!$D:$D,0)+COUNTIF($E186:AA186,"u")+COUNTIF($E186:AA186,"t")+COUNTIF($E186:AA186,"¶")+COUNTIF($E186:AA186,"²")+COUNTIF($E186:AA186,"µ")+COUNTIF($E186:AA186,1),ColTypeEcheance)),
  IF(LEN(AA186)=1,
  IF(LEN(INDEX(Roadmap!$D:$K,MATCH($E186,Roadmap!$D:$D,0)-1+COUNTIF($E186:AA186,"u")+COUNTIF($E186:AA186,"t")+COUNTIF($E186:AA186,"¶")+COUNTIF($E186:AA186,"²")+COUNTIF($E186:AA186,"µ")+COUNTIF($E186:AA186,1),ColDescriptionCourte))&gt;1,
HYPERLINK("#Roadmap!C"&amp; MATCH($E186,Roadmap!$D:$D,0)+COUNTIF($E186:AA186,"u")+COUNTIF($E186:AA186,"t")+COUNTIF($E186:AA186,"¶")+COUNTIF($E186:AA186,"²")+COUNTIF($E186:AA186,"µ")+COUNTIF($E186:AA186,1)-1,INDEX(Roadmap!$D:$K,MATCH($E186,Roadmap!$D:$D,0)-1+COUNTIF($E186:AA186,"u")+COUNTIF($E186:AA186,"t")+COUNTIF($E186:AA186,"¶")+COUNTIF($E186:AA186,"²")+COUNTIF($E186:AA186,"µ")+COUNTIF($E186:AA186,1),ColDescriptionCourte)),""),
  "")),"")</f>
        <v/>
      </c>
      <c r="AC186" s="40" t="str">
        <f ca="1">IFERROR(IF(AND(
  INDEX(Roadmap!$D:$K,MATCH($E186,Roadmap!$D:$D,0)+COUNTIF($E186:AB186,"u")+COUNTIF($E186:AB186,"t")+COUNTIF($E186:AB186,"¶")+COUNTIF($E186:AB186,"²")+COUNTIF($E186:AB186,"µ")+COUNTIF($E186:AB186,1),ColLivraison)=AC$6,
  VLOOKUP($E186,INDIRECT("tri!"&amp; CHAR(64+ C0Col) &amp;":"&amp; CHAR(65+C0Col)),2,FALSE)&gt;COUNTIF($E186:AB186,"u")+COUNTIF($E186:AB186,"t")+COUNTIF($E186:AB186,"¶")+COUNTIF($E186:AB186,"²")+COUNTIF($E186:AB186,"µ")+COUNTIF($E186:AB186,1)),
HYPERLINK("#Roadmap!C"&amp; MATCH($E186,Roadmap!$D:$D,0)+COUNTIF($E186:AB186,"u")+COUNTIF($E186:AB186,"t"),
     INDEX(Roadmap!$D:$K,MATCH($E186,Roadmap!$D:$D,0)+COUNTIF($E186:AB186,"u")+COUNTIF($E186:AB186,"t")+COUNTIF($E186:AB186,"¶")+COUNTIF($E186:AB186,"²")+COUNTIF($E186:AB186,"µ")+COUNTIF($E186:AB186,1),ColTypeEcheance)),
  IF(LEN(AB186)=1,
  IF(LEN(INDEX(Roadmap!$D:$K,MATCH($E186,Roadmap!$D:$D,0)-1+COUNTIF($E186:AB186,"u")+COUNTIF($E186:AB186,"t")+COUNTIF($E186:AB186,"¶")+COUNTIF($E186:AB186,"²")+COUNTIF($E186:AB186,"µ")+COUNTIF($E186:AB186,1),ColDescriptionCourte))&gt;1,
HYPERLINK("#Roadmap!C"&amp; MATCH($E186,Roadmap!$D:$D,0)+COUNTIF($E186:AB186,"u")+COUNTIF($E186:AB186,"t")+COUNTIF($E186:AB186,"¶")+COUNTIF($E186:AB186,"²")+COUNTIF($E186:AB186,"µ")+COUNTIF($E186:AB186,1)-1,INDEX(Roadmap!$D:$K,MATCH($E186,Roadmap!$D:$D,0)-1+COUNTIF($E186:AB186,"u")+COUNTIF($E186:AB186,"t")+COUNTIF($E186:AB186,"¶")+COUNTIF($E186:AB186,"²")+COUNTIF($E186:AB186,"µ")+COUNTIF($E186:AB186,1),ColDescriptionCourte)),""),
  "")),"")</f>
        <v/>
      </c>
      <c r="AD186" s="40" t="str">
        <f ca="1">IFERROR(IF(AND(
  INDEX(Roadmap!$D:$K,MATCH($E186,Roadmap!$D:$D,0)+COUNTIF($E186:AC186,"u")+COUNTIF($E186:AC186,"t")+COUNTIF($E186:AC186,"¶")+COUNTIF($E186:AC186,"²")+COUNTIF($E186:AC186,"µ")+COUNTIF($E186:AC186,1),ColLivraison)=AD$6,
  VLOOKUP($E186,INDIRECT("tri!"&amp; CHAR(64+ C0Col) &amp;":"&amp; CHAR(65+C0Col)),2,FALSE)&gt;COUNTIF($E186:AC186,"u")+COUNTIF($E186:AC186,"t")+COUNTIF($E186:AC186,"¶")+COUNTIF($E186:AC186,"²")+COUNTIF($E186:AC186,"µ")+COUNTIF($E186:AC186,1)),
HYPERLINK("#Roadmap!C"&amp; MATCH($E186,Roadmap!$D:$D,0)+COUNTIF($E186:AC186,"u")+COUNTIF($E186:AC186,"t"),
     INDEX(Roadmap!$D:$K,MATCH($E186,Roadmap!$D:$D,0)+COUNTIF($E186:AC186,"u")+COUNTIF($E186:AC186,"t")+COUNTIF($E186:AC186,"¶")+COUNTIF($E186:AC186,"²")+COUNTIF($E186:AC186,"µ")+COUNTIF($E186:AC186,1),ColTypeEcheance)),
  IF(LEN(AC186)=1,
  IF(LEN(INDEX(Roadmap!$D:$K,MATCH($E186,Roadmap!$D:$D,0)-1+COUNTIF($E186:AC186,"u")+COUNTIF($E186:AC186,"t")+COUNTIF($E186:AC186,"¶")+COUNTIF($E186:AC186,"²")+COUNTIF($E186:AC186,"µ")+COUNTIF($E186:AC186,1),ColDescriptionCourte))&gt;1,
HYPERLINK("#Roadmap!C"&amp; MATCH($E186,Roadmap!$D:$D,0)+COUNTIF($E186:AC186,"u")+COUNTIF($E186:AC186,"t")+COUNTIF($E186:AC186,"¶")+COUNTIF($E186:AC186,"²")+COUNTIF($E186:AC186,"µ")+COUNTIF($E186:AC186,1)-1,INDEX(Roadmap!$D:$K,MATCH($E186,Roadmap!$D:$D,0)-1+COUNTIF($E186:AC186,"u")+COUNTIF($E186:AC186,"t")+COUNTIF($E186:AC186,"¶")+COUNTIF($E186:AC186,"²")+COUNTIF($E186:AC186,"µ")+COUNTIF($E186:AC186,1),ColDescriptionCourte)),""),
  "")),"")</f>
        <v/>
      </c>
      <c r="AE186" s="40" t="str">
        <f ca="1">IFERROR(IF(AND(
  INDEX(Roadmap!$D:$K,MATCH($E186,Roadmap!$D:$D,0)+COUNTIF($E186:AD186,"u")+COUNTIF($E186:AD186,"t")+COUNTIF($E186:AD186,"¶")+COUNTIF($E186:AD186,"²")+COUNTIF($E186:AD186,"µ")+COUNTIF($E186:AD186,1),ColLivraison)=AE$6,
  VLOOKUP($E186,INDIRECT("tri!"&amp; CHAR(64+ C0Col) &amp;":"&amp; CHAR(65+C0Col)),2,FALSE)&gt;COUNTIF($E186:AD186,"u")+COUNTIF($E186:AD186,"t")+COUNTIF($E186:AD186,"¶")+COUNTIF($E186:AD186,"²")+COUNTIF($E186:AD186,"µ")+COUNTIF($E186:AD186,1)),
HYPERLINK("#Roadmap!C"&amp; MATCH($E186,Roadmap!$D:$D,0)+COUNTIF($E186:AD186,"u")+COUNTIF($E186:AD186,"t"),
     INDEX(Roadmap!$D:$K,MATCH($E186,Roadmap!$D:$D,0)+COUNTIF($E186:AD186,"u")+COUNTIF($E186:AD186,"t")+COUNTIF($E186:AD186,"¶")+COUNTIF($E186:AD186,"²")+COUNTIF($E186:AD186,"µ")+COUNTIF($E186:AD186,1),ColTypeEcheance)),
  IF(LEN(AD186)=1,
  IF(LEN(INDEX(Roadmap!$D:$K,MATCH($E186,Roadmap!$D:$D,0)-1+COUNTIF($E186:AD186,"u")+COUNTIF($E186:AD186,"t")+COUNTIF($E186:AD186,"¶")+COUNTIF($E186:AD186,"²")+COUNTIF($E186:AD186,"µ")+COUNTIF($E186:AD186,1),ColDescriptionCourte))&gt;1,
HYPERLINK("#Roadmap!C"&amp; MATCH($E186,Roadmap!$D:$D,0)+COUNTIF($E186:AD186,"u")+COUNTIF($E186:AD186,"t")+COUNTIF($E186:AD186,"¶")+COUNTIF($E186:AD186,"²")+COUNTIF($E186:AD186,"µ")+COUNTIF($E186:AD186,1)-1,INDEX(Roadmap!$D:$K,MATCH($E186,Roadmap!$D:$D,0)-1+COUNTIF($E186:AD186,"u")+COUNTIF($E186:AD186,"t")+COUNTIF($E186:AD186,"¶")+COUNTIF($E186:AD186,"²")+COUNTIF($E186:AD186,"µ")+COUNTIF($E186:AD186,1),ColDescriptionCourte)),""),
  "")),"")</f>
        <v/>
      </c>
      <c r="AF186" s="40" t="str">
        <f ca="1">IFERROR(IF(AND(
  INDEX(Roadmap!$D:$K,MATCH($E186,Roadmap!$D:$D,0)+COUNTIF($E186:AE186,"u")+COUNTIF($E186:AE186,"t")+COUNTIF($E186:AE186,"¶")+COUNTIF($E186:AE186,"²")+COUNTIF($E186:AE186,"µ")+COUNTIF($E186:AE186,1),ColLivraison)=AF$6,
  VLOOKUP($E186,INDIRECT("tri!"&amp; CHAR(64+ C0Col) &amp;":"&amp; CHAR(65+C0Col)),2,FALSE)&gt;COUNTIF($E186:AE186,"u")+COUNTIF($E186:AE186,"t")+COUNTIF($E186:AE186,"¶")+COUNTIF($E186:AE186,"²")+COUNTIF($E186:AE186,"µ")+COUNTIF($E186:AE186,1)),
HYPERLINK("#Roadmap!C"&amp; MATCH($E186,Roadmap!$D:$D,0)+COUNTIF($E186:AE186,"u")+COUNTIF($E186:AE186,"t"),
     INDEX(Roadmap!$D:$K,MATCH($E186,Roadmap!$D:$D,0)+COUNTIF($E186:AE186,"u")+COUNTIF($E186:AE186,"t")+COUNTIF($E186:AE186,"¶")+COUNTIF($E186:AE186,"²")+COUNTIF($E186:AE186,"µ")+COUNTIF($E186:AE186,1),ColTypeEcheance)),
  IF(LEN(AE186)=1,
  IF(LEN(INDEX(Roadmap!$D:$K,MATCH($E186,Roadmap!$D:$D,0)-1+COUNTIF($E186:AE186,"u")+COUNTIF($E186:AE186,"t")+COUNTIF($E186:AE186,"¶")+COUNTIF($E186:AE186,"²")+COUNTIF($E186:AE186,"µ")+COUNTIF($E186:AE186,1),ColDescriptionCourte))&gt;1,
HYPERLINK("#Roadmap!C"&amp; MATCH($E186,Roadmap!$D:$D,0)+COUNTIF($E186:AE186,"u")+COUNTIF($E186:AE186,"t")+COUNTIF($E186:AE186,"¶")+COUNTIF($E186:AE186,"²")+COUNTIF($E186:AE186,"µ")+COUNTIF($E186:AE186,1)-1,INDEX(Roadmap!$D:$K,MATCH($E186,Roadmap!$D:$D,0)-1+COUNTIF($E186:AE186,"u")+COUNTIF($E186:AE186,"t")+COUNTIF($E186:AE186,"¶")+COUNTIF($E186:AE186,"²")+COUNTIF($E186:AE186,"µ")+COUNTIF($E186:AE186,1),ColDescriptionCourte)),""),
  "")),"")</f>
        <v/>
      </c>
      <c r="AG186" s="40" t="str">
        <f ca="1">IFERROR(IF(AND(
  INDEX(Roadmap!$D:$K,MATCH($E186,Roadmap!$D:$D,0)+COUNTIF($E186:AF186,"u")+COUNTIF($E186:AF186,"t")+COUNTIF($E186:AF186,"¶")+COUNTIF($E186:AF186,"²")+COUNTIF($E186:AF186,"µ")+COUNTIF($E186:AF186,1),ColLivraison)=AG$6,
  VLOOKUP($E186,INDIRECT("tri!"&amp; CHAR(64+ C0Col) &amp;":"&amp; CHAR(65+C0Col)),2,FALSE)&gt;COUNTIF($E186:AF186,"u")+COUNTIF($E186:AF186,"t")+COUNTIF($E186:AF186,"¶")+COUNTIF($E186:AF186,"²")+COUNTIF($E186:AF186,"µ")+COUNTIF($E186:AF186,1)),
HYPERLINK("#Roadmap!C"&amp; MATCH($E186,Roadmap!$D:$D,0)+COUNTIF($E186:AF186,"u")+COUNTIF($E186:AF186,"t"),
     INDEX(Roadmap!$D:$K,MATCH($E186,Roadmap!$D:$D,0)+COUNTIF($E186:AF186,"u")+COUNTIF($E186:AF186,"t")+COUNTIF($E186:AF186,"¶")+COUNTIF($E186:AF186,"²")+COUNTIF($E186:AF186,"µ")+COUNTIF($E186:AF186,1),ColTypeEcheance)),
  IF(LEN(AF186)=1,
  IF(LEN(INDEX(Roadmap!$D:$K,MATCH($E186,Roadmap!$D:$D,0)-1+COUNTIF($E186:AF186,"u")+COUNTIF($E186:AF186,"t")+COUNTIF($E186:AF186,"¶")+COUNTIF($E186:AF186,"²")+COUNTIF($E186:AF186,"µ")+COUNTIF($E186:AF186,1),ColDescriptionCourte))&gt;1,
HYPERLINK("#Roadmap!C"&amp; MATCH($E186,Roadmap!$D:$D,0)+COUNTIF($E186:AF186,"u")+COUNTIF($E186:AF186,"t")+COUNTIF($E186:AF186,"¶")+COUNTIF($E186:AF186,"²")+COUNTIF($E186:AF186,"µ")+COUNTIF($E186:AF186,1)-1,INDEX(Roadmap!$D:$K,MATCH($E186,Roadmap!$D:$D,0)-1+COUNTIF($E186:AF186,"u")+COUNTIF($E186:AF186,"t")+COUNTIF($E186:AF186,"¶")+COUNTIF($E186:AF186,"²")+COUNTIF($E186:AF186,"µ")+COUNTIF($E186:AF186,1),ColDescriptionCourte)),""),
  "")),"")</f>
        <v/>
      </c>
    </row>
    <row r="187" spans="3:33" ht="14.25" customHeight="1">
      <c r="C187" s="1" t="str">
        <f t="shared" ca="1" si="54"/>
        <v/>
      </c>
      <c r="D187" s="1" t="str">
        <f t="shared" ca="1" si="55"/>
        <v/>
      </c>
      <c r="E187" s="35" t="str">
        <f t="shared" ca="1" si="51"/>
        <v/>
      </c>
      <c r="F187" s="39" t="str">
        <f ca="1">IFERROR(IF(AND(
  INDEX(Roadmap!$D:$K,MATCH($E187,Roadmap!$D:$D,0)+COUNTIF($E187:E187,"u")+COUNTIF($E187:E187,"t")+COUNTIF($E187:E187,"¶")+COUNTIF($E187:E187,"²")+COUNTIF($E187:E187,"µ")+COUNTIF($E187:E187,1),ColLivraison)=F$6,
  VLOOKUP($E187,INDIRECT("tri!"&amp; CHAR(64+ C0Col) &amp;":"&amp; CHAR(65+C0Col)),2,FALSE)&gt;COUNTIF($E187:E187,"u")+COUNTIF($E187:E187,"t")+COUNTIF($E187:E187,"¶")+COUNTIF($E187:E187,"²")+COUNTIF($E187:E187,"µ")+COUNTIF($E187:E187,1)),
HYPERLINK("#Roadmap!C"&amp; MATCH($E187,Roadmap!$D:$D,0)+COUNTIF($E187:E187,"u")+COUNTIF($E187:E187,"t"),
     INDEX(Roadmap!$D:$K,MATCH($E187,Roadmap!$D:$D,0)+COUNTIF($E187:E187,"u")+COUNTIF($E187:E187,"t")+COUNTIF($E187:E187,"¶")+COUNTIF($E187:E187,"²")+COUNTIF($E187:E187,"µ")+COUNTIF($E187:E187,1),ColTypeEcheance)),
  IF(LEN(E187)=1,
  IF(LEN(INDEX(Roadmap!$D:$K,MATCH($E187,Roadmap!$D:$D,0)-1+COUNTIF($E187:E187,"u")+COUNTIF($E187:E187,"t")+COUNTIF($E187:E187,"¶")+COUNTIF($E187:E187,"²")+COUNTIF($E187:E187,"µ")+COUNTIF($E187:E187,1),ColDescriptionCourte))&gt;1,
HYPERLINK("#Roadmap!C"&amp; MATCH($E187,Roadmap!$D:$D,0)+COUNTIF($E187:E187,"u")+COUNTIF($E187:E187,"t")+COUNTIF($E187:E187,"¶")+COUNTIF($E187:E187,"²")+COUNTIF($E187:E187,"µ")+COUNTIF($E187:E187,1)-1,INDEX(Roadmap!$D:$K,MATCH($E187,Roadmap!$D:$D,0)-1+COUNTIF($E187:E187,"u")+COUNTIF($E187:E187,"t")+COUNTIF($E187:E187,"¶")+COUNTIF($E187:E187,"²")+COUNTIF($E187:E187,"µ")+COUNTIF($E187:E187,1),ColDescriptionCourte)),""),
  "")),"")</f>
        <v/>
      </c>
      <c r="G187" s="40" t="str">
        <f ca="1">IFERROR(IF(AND(
  INDEX(Roadmap!$D:$K,MATCH($E187,Roadmap!$D:$D,0)+COUNTIF($E187:F187,"u")+COUNTIF($E187:F187,"t")+COUNTIF($E187:F187,"¶")+COUNTIF($E187:F187,"²")+COUNTIF($E187:F187,"µ")+COUNTIF($E187:F187,1),ColLivraison)=G$6,
  VLOOKUP($E187,INDIRECT("tri!"&amp; CHAR(64+ C0Col) &amp;":"&amp; CHAR(65+C0Col)),2,FALSE)&gt;COUNTIF($E187:F187,"u")+COUNTIF($E187:F187,"t")+COUNTIF($E187:F187,"¶")+COUNTIF($E187:F187,"²")+COUNTIF($E187:F187,"µ")+COUNTIF($E187:F187,1)),
HYPERLINK("#Roadmap!C"&amp; MATCH($E187,Roadmap!$D:$D,0)+COUNTIF($E187:F187,"u")+COUNTIF($E187:F187,"t"),
     INDEX(Roadmap!$D:$K,MATCH($E187,Roadmap!$D:$D,0)+COUNTIF($E187:F187,"u")+COUNTIF($E187:F187,"t")+COUNTIF($E187:F187,"¶")+COUNTIF($E187:F187,"²")+COUNTIF($E187:F187,"µ")+COUNTIF($E187:F187,1),ColTypeEcheance)),
  IF(LEN(F187)=1,
  IF(LEN(INDEX(Roadmap!$D:$K,MATCH($E187,Roadmap!$D:$D,0)-1+COUNTIF($E187:F187,"u")+COUNTIF($E187:F187,"t")+COUNTIF($E187:F187,"¶")+COUNTIF($E187:F187,"²")+COUNTIF($E187:F187,"µ")+COUNTIF($E187:F187,1),ColDescriptionCourte))&gt;1,
HYPERLINK("#Roadmap!C"&amp; MATCH($E187,Roadmap!$D:$D,0)+COUNTIF($E187:F187,"u")+COUNTIF($E187:F187,"t")+COUNTIF($E187:F187,"¶")+COUNTIF($E187:F187,"²")+COUNTIF($E187:F187,"µ")+COUNTIF($E187:F187,1)-1,INDEX(Roadmap!$D:$K,MATCH($E187,Roadmap!$D:$D,0)-1+COUNTIF($E187:F187,"u")+COUNTIF($E187:F187,"t")+COUNTIF($E187:F187,"¶")+COUNTIF($E187:F187,"²")+COUNTIF($E187:F187,"µ")+COUNTIF($E187:F187,1),ColDescriptionCourte)),""),
  "")),"")</f>
        <v/>
      </c>
      <c r="H187" s="40" t="str">
        <f ca="1">IFERROR(IF(AND(
  INDEX(Roadmap!$D:$K,MATCH($E187,Roadmap!$D:$D,0)+COUNTIF($E187:G187,"u")+COUNTIF($E187:G187,"t")+COUNTIF($E187:G187,"¶")+COUNTIF($E187:G187,"²")+COUNTIF($E187:G187,"µ")+COUNTIF($E187:G187,1),ColLivraison)=H$6,
  VLOOKUP($E187,INDIRECT("tri!"&amp; CHAR(64+ C0Col) &amp;":"&amp; CHAR(65+C0Col)),2,FALSE)&gt;COUNTIF($E187:G187,"u")+COUNTIF($E187:G187,"t")+COUNTIF($E187:G187,"¶")+COUNTIF($E187:G187,"²")+COUNTIF($E187:G187,"µ")+COUNTIF($E187:G187,1)),
HYPERLINK("#Roadmap!C"&amp; MATCH($E187,Roadmap!$D:$D,0)+COUNTIF($E187:G187,"u")+COUNTIF($E187:G187,"t"),
     INDEX(Roadmap!$D:$K,MATCH($E187,Roadmap!$D:$D,0)+COUNTIF($E187:G187,"u")+COUNTIF($E187:G187,"t")+COUNTIF($E187:G187,"¶")+COUNTIF($E187:G187,"²")+COUNTIF($E187:G187,"µ")+COUNTIF($E187:G187,1),ColTypeEcheance)),
  IF(LEN(G187)=1,
  IF(LEN(INDEX(Roadmap!$D:$K,MATCH($E187,Roadmap!$D:$D,0)-1+COUNTIF($E187:G187,"u")+COUNTIF($E187:G187,"t")+COUNTIF($E187:G187,"¶")+COUNTIF($E187:G187,"²")+COUNTIF($E187:G187,"µ")+COUNTIF($E187:G187,1),ColDescriptionCourte))&gt;1,
HYPERLINK("#Roadmap!C"&amp; MATCH($E187,Roadmap!$D:$D,0)+COUNTIF($E187:G187,"u")+COUNTIF($E187:G187,"t")+COUNTIF($E187:G187,"¶")+COUNTIF($E187:G187,"²")+COUNTIF($E187:G187,"µ")+COUNTIF($E187:G187,1)-1,INDEX(Roadmap!$D:$K,MATCH($E187,Roadmap!$D:$D,0)-1+COUNTIF($E187:G187,"u")+COUNTIF($E187:G187,"t")+COUNTIF($E187:G187,"¶")+COUNTIF($E187:G187,"²")+COUNTIF($E187:G187,"µ")+COUNTIF($E187:G187,1),ColDescriptionCourte)),""),
  "")),"")</f>
        <v/>
      </c>
      <c r="I187" s="40" t="str">
        <f ca="1">IFERROR(IF(AND(
  INDEX(Roadmap!$D:$K,MATCH($E187,Roadmap!$D:$D,0)+COUNTIF($E187:H187,"u")+COUNTIF($E187:H187,"t")+COUNTIF($E187:H187,"¶")+COUNTIF($E187:H187,"²")+COUNTIF($E187:H187,"µ")+COUNTIF($E187:H187,1),ColLivraison)=I$6,
  VLOOKUP($E187,INDIRECT("tri!"&amp; CHAR(64+ C0Col) &amp;":"&amp; CHAR(65+C0Col)),2,FALSE)&gt;COUNTIF($E187:H187,"u")+COUNTIF($E187:H187,"t")+COUNTIF($E187:H187,"¶")+COUNTIF($E187:H187,"²")+COUNTIF($E187:H187,"µ")+COUNTIF($E187:H187,1)),
HYPERLINK("#Roadmap!C"&amp; MATCH($E187,Roadmap!$D:$D,0)+COUNTIF($E187:H187,"u")+COUNTIF($E187:H187,"t"),
     INDEX(Roadmap!$D:$K,MATCH($E187,Roadmap!$D:$D,0)+COUNTIF($E187:H187,"u")+COUNTIF($E187:H187,"t")+COUNTIF($E187:H187,"¶")+COUNTIF($E187:H187,"²")+COUNTIF($E187:H187,"µ")+COUNTIF($E187:H187,1),ColTypeEcheance)),
  IF(LEN(H187)=1,
  IF(LEN(INDEX(Roadmap!$D:$K,MATCH($E187,Roadmap!$D:$D,0)-1+COUNTIF($E187:H187,"u")+COUNTIF($E187:H187,"t")+COUNTIF($E187:H187,"¶")+COUNTIF($E187:H187,"²")+COUNTIF($E187:H187,"µ")+COUNTIF($E187:H187,1),ColDescriptionCourte))&gt;1,
HYPERLINK("#Roadmap!C"&amp; MATCH($E187,Roadmap!$D:$D,0)+COUNTIF($E187:H187,"u")+COUNTIF($E187:H187,"t")+COUNTIF($E187:H187,"¶")+COUNTIF($E187:H187,"²")+COUNTIF($E187:H187,"µ")+COUNTIF($E187:H187,1)-1,INDEX(Roadmap!$D:$K,MATCH($E187,Roadmap!$D:$D,0)-1+COUNTIF($E187:H187,"u")+COUNTIF($E187:H187,"t")+COUNTIF($E187:H187,"¶")+COUNTIF($E187:H187,"²")+COUNTIF($E187:H187,"µ")+COUNTIF($E187:H187,1),ColDescriptionCourte)),""),
  "")),"")</f>
        <v/>
      </c>
      <c r="J187" s="40" t="str">
        <f ca="1">IFERROR(IF(AND(
  INDEX(Roadmap!$D:$K,MATCH($E187,Roadmap!$D:$D,0)+COUNTIF($E187:I187,"u")+COUNTIF($E187:I187,"t")+COUNTIF($E187:I187,"¶")+COUNTIF($E187:I187,"²")+COUNTIF($E187:I187,"µ")+COUNTIF($E187:I187,1),ColLivraison)=J$6,
  VLOOKUP($E187,INDIRECT("tri!"&amp; CHAR(64+ C0Col) &amp;":"&amp; CHAR(65+C0Col)),2,FALSE)&gt;COUNTIF($E187:I187,"u")+COUNTIF($E187:I187,"t")+COUNTIF($E187:I187,"¶")+COUNTIF($E187:I187,"²")+COUNTIF($E187:I187,"µ")+COUNTIF($E187:I187,1)),
HYPERLINK("#Roadmap!C"&amp; MATCH($E187,Roadmap!$D:$D,0)+COUNTIF($E187:I187,"u")+COUNTIF($E187:I187,"t"),
     INDEX(Roadmap!$D:$K,MATCH($E187,Roadmap!$D:$D,0)+COUNTIF($E187:I187,"u")+COUNTIF($E187:I187,"t")+COUNTIF($E187:I187,"¶")+COUNTIF($E187:I187,"²")+COUNTIF($E187:I187,"µ")+COUNTIF($E187:I187,1),ColTypeEcheance)),
  IF(LEN(I187)=1,
  IF(LEN(INDEX(Roadmap!$D:$K,MATCH($E187,Roadmap!$D:$D,0)-1+COUNTIF($E187:I187,"u")+COUNTIF($E187:I187,"t")+COUNTIF($E187:I187,"¶")+COUNTIF($E187:I187,"²")+COUNTIF($E187:I187,"µ")+COUNTIF($E187:I187,1),ColDescriptionCourte))&gt;1,
HYPERLINK("#Roadmap!C"&amp; MATCH($E187,Roadmap!$D:$D,0)+COUNTIF($E187:I187,"u")+COUNTIF($E187:I187,"t")+COUNTIF($E187:I187,"¶")+COUNTIF($E187:I187,"²")+COUNTIF($E187:I187,"µ")+COUNTIF($E187:I187,1)-1,INDEX(Roadmap!$D:$K,MATCH($E187,Roadmap!$D:$D,0)-1+COUNTIF($E187:I187,"u")+COUNTIF($E187:I187,"t")+COUNTIF($E187:I187,"¶")+COUNTIF($E187:I187,"²")+COUNTIF($E187:I187,"µ")+COUNTIF($E187:I187,1),ColDescriptionCourte)),""),
  "")),"")</f>
        <v/>
      </c>
      <c r="K187" s="40" t="str">
        <f ca="1">IFERROR(IF(AND(
  INDEX(Roadmap!$D:$K,MATCH($E187,Roadmap!$D:$D,0)+COUNTIF($E187:J187,"u")+COUNTIF($E187:J187,"t")+COUNTIF($E187:J187,"¶")+COUNTIF($E187:J187,"²")+COUNTIF($E187:J187,"µ")+COUNTIF($E187:J187,1),ColLivraison)=K$6,
  VLOOKUP($E187,INDIRECT("tri!"&amp; CHAR(64+ C0Col) &amp;":"&amp; CHAR(65+C0Col)),2,FALSE)&gt;COUNTIF($E187:J187,"u")+COUNTIF($E187:J187,"t")+COUNTIF($E187:J187,"¶")+COUNTIF($E187:J187,"²")+COUNTIF($E187:J187,"µ")+COUNTIF($E187:J187,1)),
HYPERLINK("#Roadmap!C"&amp; MATCH($E187,Roadmap!$D:$D,0)+COUNTIF($E187:J187,"u")+COUNTIF($E187:J187,"t"),
     INDEX(Roadmap!$D:$K,MATCH($E187,Roadmap!$D:$D,0)+COUNTIF($E187:J187,"u")+COUNTIF($E187:J187,"t")+COUNTIF($E187:J187,"¶")+COUNTIF($E187:J187,"²")+COUNTIF($E187:J187,"µ")+COUNTIF($E187:J187,1),ColTypeEcheance)),
  IF(LEN(J187)=1,
  IF(LEN(INDEX(Roadmap!$D:$K,MATCH($E187,Roadmap!$D:$D,0)-1+COUNTIF($E187:J187,"u")+COUNTIF($E187:J187,"t")+COUNTIF($E187:J187,"¶")+COUNTIF($E187:J187,"²")+COUNTIF($E187:J187,"µ")+COUNTIF($E187:J187,1),ColDescriptionCourte))&gt;1,
HYPERLINK("#Roadmap!C"&amp; MATCH($E187,Roadmap!$D:$D,0)+COUNTIF($E187:J187,"u")+COUNTIF($E187:J187,"t")+COUNTIF($E187:J187,"¶")+COUNTIF($E187:J187,"²")+COUNTIF($E187:J187,"µ")+COUNTIF($E187:J187,1)-1,INDEX(Roadmap!$D:$K,MATCH($E187,Roadmap!$D:$D,0)-1+COUNTIF($E187:J187,"u")+COUNTIF($E187:J187,"t")+COUNTIF($E187:J187,"¶")+COUNTIF($E187:J187,"²")+COUNTIF($E187:J187,"µ")+COUNTIF($E187:J187,1),ColDescriptionCourte)),""),
  "")),"")</f>
        <v/>
      </c>
      <c r="L187" s="39" t="str">
        <f ca="1">IFERROR(IF(AND(
  INDEX(Roadmap!$D:$K,MATCH($E187,Roadmap!$D:$D,0)+COUNTIF($E187:K187,"u")+COUNTIF($E187:K187,"t")+COUNTIF($E187:K187,"¶")+COUNTIF($E187:K187,"²")+COUNTIF($E187:K187,"µ")+COUNTIF($E187:K187,1),ColLivraison)=L$6,
  VLOOKUP($E187,INDIRECT("tri!"&amp; CHAR(64+ C0Col) &amp;":"&amp; CHAR(65+C0Col)),2,FALSE)&gt;COUNTIF($E187:K187,"u")+COUNTIF($E187:K187,"t")+COUNTIF($E187:K187,"¶")+COUNTIF($E187:K187,"²")+COUNTIF($E187:K187,"µ")+COUNTIF($E187:K187,1)),
HYPERLINK("#Roadmap!C"&amp; MATCH($E187,Roadmap!$D:$D,0)+COUNTIF($E187:K187,"u")+COUNTIF($E187:K187,"t"),
     INDEX(Roadmap!$D:$K,MATCH($E187,Roadmap!$D:$D,0)+COUNTIF($E187:K187,"u")+COUNTIF($E187:K187,"t")+COUNTIF($E187:K187,"¶")+COUNTIF($E187:K187,"²")+COUNTIF($E187:K187,"µ")+COUNTIF($E187:K187,1),ColTypeEcheance)),
  IF(LEN(K187)=1,
  IF(LEN(INDEX(Roadmap!$D:$K,MATCH($E187,Roadmap!$D:$D,0)-1+COUNTIF($E187:K187,"u")+COUNTIF($E187:K187,"t")+COUNTIF($E187:K187,"¶")+COUNTIF($E187:K187,"²")+COUNTIF($E187:K187,"µ")+COUNTIF($E187:K187,1),ColDescriptionCourte))&gt;1,
HYPERLINK("#Roadmap!C"&amp; MATCH($E187,Roadmap!$D:$D,0)+COUNTIF($E187:K187,"u")+COUNTIF($E187:K187,"t")+COUNTIF($E187:K187,"¶")+COUNTIF($E187:K187,"²")+COUNTIF($E187:K187,"µ")+COUNTIF($E187:K187,1)-1,INDEX(Roadmap!$D:$K,MATCH($E187,Roadmap!$D:$D,0)-1+COUNTIF($E187:K187,"u")+COUNTIF($E187:K187,"t")+COUNTIF($E187:K187,"¶")+COUNTIF($E187:K187,"²")+COUNTIF($E187:K187,"µ")+COUNTIF($E187:K187,1),ColDescriptionCourte)),""),
  "")),"")</f>
        <v/>
      </c>
      <c r="M187" s="40" t="str">
        <f ca="1">IFERROR(IF(AND(
  INDEX(Roadmap!$D:$K,MATCH($E187,Roadmap!$D:$D,0)+COUNTIF($E187:L187,"u")+COUNTIF($E187:L187,"t")+COUNTIF($E187:L187,"¶")+COUNTIF($E187:L187,"²")+COUNTIF($E187:L187,"µ")+COUNTIF($E187:L187,1),ColLivraison)=M$6,
  VLOOKUP($E187,INDIRECT("tri!"&amp; CHAR(64+ C0Col) &amp;":"&amp; CHAR(65+C0Col)),2,FALSE)&gt;COUNTIF($E187:L187,"u")+COUNTIF($E187:L187,"t")+COUNTIF($E187:L187,"¶")+COUNTIF($E187:L187,"²")+COUNTIF($E187:L187,"µ")+COUNTIF($E187:L187,1)),
HYPERLINK("#Roadmap!C"&amp; MATCH($E187,Roadmap!$D:$D,0)+COUNTIF($E187:L187,"u")+COUNTIF($E187:L187,"t"),
     INDEX(Roadmap!$D:$K,MATCH($E187,Roadmap!$D:$D,0)+COUNTIF($E187:L187,"u")+COUNTIF($E187:L187,"t")+COUNTIF($E187:L187,"¶")+COUNTIF($E187:L187,"²")+COUNTIF($E187:L187,"µ")+COUNTIF($E187:L187,1),ColTypeEcheance)),
  IF(LEN(L187)=1,
  IF(LEN(INDEX(Roadmap!$D:$K,MATCH($E187,Roadmap!$D:$D,0)-1+COUNTIF($E187:L187,"u")+COUNTIF($E187:L187,"t")+COUNTIF($E187:L187,"¶")+COUNTIF($E187:L187,"²")+COUNTIF($E187:L187,"µ")+COUNTIF($E187:L187,1),ColDescriptionCourte))&gt;1,
HYPERLINK("#Roadmap!C"&amp; MATCH($E187,Roadmap!$D:$D,0)+COUNTIF($E187:L187,"u")+COUNTIF($E187:L187,"t")+COUNTIF($E187:L187,"¶")+COUNTIF($E187:L187,"²")+COUNTIF($E187:L187,"µ")+COUNTIF($E187:L187,1)-1,INDEX(Roadmap!$D:$K,MATCH($E187,Roadmap!$D:$D,0)-1+COUNTIF($E187:L187,"u")+COUNTIF($E187:L187,"t")+COUNTIF($E187:L187,"¶")+COUNTIF($E187:L187,"²")+COUNTIF($E187:L187,"µ")+COUNTIF($E187:L187,1),ColDescriptionCourte)),""),
  "")),"")</f>
        <v/>
      </c>
      <c r="N187" s="40" t="str">
        <f ca="1">IFERROR(IF(AND(
  INDEX(Roadmap!$D:$K,MATCH($E187,Roadmap!$D:$D,0)+COUNTIF($E187:M187,"u")+COUNTIF($E187:M187,"t")+COUNTIF($E187:M187,"¶")+COUNTIF($E187:M187,"²")+COUNTIF($E187:M187,"µ")+COUNTIF($E187:M187,1),ColLivraison)=N$6,
  VLOOKUP($E187,INDIRECT("tri!"&amp; CHAR(64+ C0Col) &amp;":"&amp; CHAR(65+C0Col)),2,FALSE)&gt;COUNTIF($E187:M187,"u")+COUNTIF($E187:M187,"t")+COUNTIF($E187:M187,"¶")+COUNTIF($E187:M187,"²")+COUNTIF($E187:M187,"µ")+COUNTIF($E187:M187,1)),
HYPERLINK("#Roadmap!C"&amp; MATCH($E187,Roadmap!$D:$D,0)+COUNTIF($E187:M187,"u")+COUNTIF($E187:M187,"t"),
     INDEX(Roadmap!$D:$K,MATCH($E187,Roadmap!$D:$D,0)+COUNTIF($E187:M187,"u")+COUNTIF($E187:M187,"t")+COUNTIF($E187:M187,"¶")+COUNTIF($E187:M187,"²")+COUNTIF($E187:M187,"µ")+COUNTIF($E187:M187,1),ColTypeEcheance)),
  IF(LEN(M187)=1,
  IF(LEN(INDEX(Roadmap!$D:$K,MATCH($E187,Roadmap!$D:$D,0)-1+COUNTIF($E187:M187,"u")+COUNTIF($E187:M187,"t")+COUNTIF($E187:M187,"¶")+COUNTIF($E187:M187,"²")+COUNTIF($E187:M187,"µ")+COUNTIF($E187:M187,1),ColDescriptionCourte))&gt;1,
HYPERLINK("#Roadmap!C"&amp; MATCH($E187,Roadmap!$D:$D,0)+COUNTIF($E187:M187,"u")+COUNTIF($E187:M187,"t")+COUNTIF($E187:M187,"¶")+COUNTIF($E187:M187,"²")+COUNTIF($E187:M187,"µ")+COUNTIF($E187:M187,1)-1,INDEX(Roadmap!$D:$K,MATCH($E187,Roadmap!$D:$D,0)-1+COUNTIF($E187:M187,"u")+COUNTIF($E187:M187,"t")+COUNTIF($E187:M187,"¶")+COUNTIF($E187:M187,"²")+COUNTIF($E187:M187,"µ")+COUNTIF($E187:M187,1),ColDescriptionCourte)),""),
  "")),"")</f>
        <v/>
      </c>
      <c r="O187" s="40" t="str">
        <f ca="1">IFERROR(IF(AND(
  INDEX(Roadmap!$D:$K,MATCH($E187,Roadmap!$D:$D,0)+COUNTIF($E187:N187,"u")+COUNTIF($E187:N187,"t")+COUNTIF($E187:N187,"¶")+COUNTIF($E187:N187,"²")+COUNTIF($E187:N187,"µ")+COUNTIF($E187:N187,1),ColLivraison)=O$6,
  VLOOKUP($E187,INDIRECT("tri!"&amp; CHAR(64+ C0Col) &amp;":"&amp; CHAR(65+C0Col)),2,FALSE)&gt;COUNTIF($E187:N187,"u")+COUNTIF($E187:N187,"t")+COUNTIF($E187:N187,"¶")+COUNTIF($E187:N187,"²")+COUNTIF($E187:N187,"µ")+COUNTIF($E187:N187,1)),
HYPERLINK("#Roadmap!C"&amp; MATCH($E187,Roadmap!$D:$D,0)+COUNTIF($E187:N187,"u")+COUNTIF($E187:N187,"t"),
     INDEX(Roadmap!$D:$K,MATCH($E187,Roadmap!$D:$D,0)+COUNTIF($E187:N187,"u")+COUNTIF($E187:N187,"t")+COUNTIF($E187:N187,"¶")+COUNTIF($E187:N187,"²")+COUNTIF($E187:N187,"µ")+COUNTIF($E187:N187,1),ColTypeEcheance)),
  IF(LEN(N187)=1,
  IF(LEN(INDEX(Roadmap!$D:$K,MATCH($E187,Roadmap!$D:$D,0)-1+COUNTIF($E187:N187,"u")+COUNTIF($E187:N187,"t")+COUNTIF($E187:N187,"¶")+COUNTIF($E187:N187,"²")+COUNTIF($E187:N187,"µ")+COUNTIF($E187:N187,1),ColDescriptionCourte))&gt;1,
HYPERLINK("#Roadmap!C"&amp; MATCH($E187,Roadmap!$D:$D,0)+COUNTIF($E187:N187,"u")+COUNTIF($E187:N187,"t")+COUNTIF($E187:N187,"¶")+COUNTIF($E187:N187,"²")+COUNTIF($E187:N187,"µ")+COUNTIF($E187:N187,1)-1,INDEX(Roadmap!$D:$K,MATCH($E187,Roadmap!$D:$D,0)-1+COUNTIF($E187:N187,"u")+COUNTIF($E187:N187,"t")+COUNTIF($E187:N187,"¶")+COUNTIF($E187:N187,"²")+COUNTIF($E187:N187,"µ")+COUNTIF($E187:N187,1),ColDescriptionCourte)),""),
  "")),"")</f>
        <v/>
      </c>
      <c r="P187" s="40" t="str">
        <f ca="1">IFERROR(IF(AND(
  INDEX(Roadmap!$D:$K,MATCH($E187,Roadmap!$D:$D,0)+COUNTIF($E187:O187,"u")+COUNTIF($E187:O187,"t")+COUNTIF($E187:O187,"¶")+COUNTIF($E187:O187,"²")+COUNTIF($E187:O187,"µ")+COUNTIF($E187:O187,1),ColLivraison)=P$6,
  VLOOKUP($E187,INDIRECT("tri!"&amp; CHAR(64+ C0Col) &amp;":"&amp; CHAR(65+C0Col)),2,FALSE)&gt;COUNTIF($E187:O187,"u")+COUNTIF($E187:O187,"t")+COUNTIF($E187:O187,"¶")+COUNTIF($E187:O187,"²")+COUNTIF($E187:O187,"µ")+COUNTIF($E187:O187,1)),
HYPERLINK("#Roadmap!C"&amp; MATCH($E187,Roadmap!$D:$D,0)+COUNTIF($E187:O187,"u")+COUNTIF($E187:O187,"t"),
     INDEX(Roadmap!$D:$K,MATCH($E187,Roadmap!$D:$D,0)+COUNTIF($E187:O187,"u")+COUNTIF($E187:O187,"t")+COUNTIF($E187:O187,"¶")+COUNTIF($E187:O187,"²")+COUNTIF($E187:O187,"µ")+COUNTIF($E187:O187,1),ColTypeEcheance)),
  IF(LEN(O187)=1,
  IF(LEN(INDEX(Roadmap!$D:$K,MATCH($E187,Roadmap!$D:$D,0)-1+COUNTIF($E187:O187,"u")+COUNTIF($E187:O187,"t")+COUNTIF($E187:O187,"¶")+COUNTIF($E187:O187,"²")+COUNTIF($E187:O187,"µ")+COUNTIF($E187:O187,1),ColDescriptionCourte))&gt;1,
HYPERLINK("#Roadmap!C"&amp; MATCH($E187,Roadmap!$D:$D,0)+COUNTIF($E187:O187,"u")+COUNTIF($E187:O187,"t")+COUNTIF($E187:O187,"¶")+COUNTIF($E187:O187,"²")+COUNTIF($E187:O187,"µ")+COUNTIF($E187:O187,1)-1,INDEX(Roadmap!$D:$K,MATCH($E187,Roadmap!$D:$D,0)-1+COUNTIF($E187:O187,"u")+COUNTIF($E187:O187,"t")+COUNTIF($E187:O187,"¶")+COUNTIF($E187:O187,"²")+COUNTIF($E187:O187,"µ")+COUNTIF($E187:O187,1),ColDescriptionCourte)),""),
  "")),"")</f>
        <v/>
      </c>
      <c r="Q187" s="40" t="str">
        <f ca="1">IFERROR(IF(AND(
  INDEX(Roadmap!$D:$K,MATCH($E187,Roadmap!$D:$D,0)+COUNTIF($E187:P187,"u")+COUNTIF($E187:P187,"t")+COUNTIF($E187:P187,"¶")+COUNTIF($E187:P187,"²")+COUNTIF($E187:P187,"µ")+COUNTIF($E187:P187,1),ColLivraison)=Q$6,
  VLOOKUP($E187,INDIRECT("tri!"&amp; CHAR(64+ C0Col) &amp;":"&amp; CHAR(65+C0Col)),2,FALSE)&gt;COUNTIF($E187:P187,"u")+COUNTIF($E187:P187,"t")+COUNTIF($E187:P187,"¶")+COUNTIF($E187:P187,"²")+COUNTIF($E187:P187,"µ")+COUNTIF($E187:P187,1)),
HYPERLINK("#Roadmap!C"&amp; MATCH($E187,Roadmap!$D:$D,0)+COUNTIF($E187:P187,"u")+COUNTIF($E187:P187,"t"),
     INDEX(Roadmap!$D:$K,MATCH($E187,Roadmap!$D:$D,0)+COUNTIF($E187:P187,"u")+COUNTIF($E187:P187,"t")+COUNTIF($E187:P187,"¶")+COUNTIF($E187:P187,"²")+COUNTIF($E187:P187,"µ")+COUNTIF($E187:P187,1),ColTypeEcheance)),
  IF(LEN(P187)=1,
  IF(LEN(INDEX(Roadmap!$D:$K,MATCH($E187,Roadmap!$D:$D,0)-1+COUNTIF($E187:P187,"u")+COUNTIF($E187:P187,"t")+COUNTIF($E187:P187,"¶")+COUNTIF($E187:P187,"²")+COUNTIF($E187:P187,"µ")+COUNTIF($E187:P187,1),ColDescriptionCourte))&gt;1,
HYPERLINK("#Roadmap!C"&amp; MATCH($E187,Roadmap!$D:$D,0)+COUNTIF($E187:P187,"u")+COUNTIF($E187:P187,"t")+COUNTIF($E187:P187,"¶")+COUNTIF($E187:P187,"²")+COUNTIF($E187:P187,"µ")+COUNTIF($E187:P187,1)-1,INDEX(Roadmap!$D:$K,MATCH($E187,Roadmap!$D:$D,0)-1+COUNTIF($E187:P187,"u")+COUNTIF($E187:P187,"t")+COUNTIF($E187:P187,"¶")+COUNTIF($E187:P187,"²")+COUNTIF($E187:P187,"µ")+COUNTIF($E187:P187,1),ColDescriptionCourte)),""),
  "")),"")</f>
        <v/>
      </c>
      <c r="R187" s="40" t="str">
        <f ca="1">IFERROR(IF(AND(
  INDEX(Roadmap!$D:$K,MATCH($E187,Roadmap!$D:$D,0)+COUNTIF($E187:Q187,"u")+COUNTIF($E187:Q187,"t")+COUNTIF($E187:Q187,"¶")+COUNTIF($E187:Q187,"²")+COUNTIF($E187:Q187,"µ")+COUNTIF($E187:Q187,1),ColLivraison)=R$6,
  VLOOKUP($E187,INDIRECT("tri!"&amp; CHAR(64+ C0Col) &amp;":"&amp; CHAR(65+C0Col)),2,FALSE)&gt;COUNTIF($E187:Q187,"u")+COUNTIF($E187:Q187,"t")+COUNTIF($E187:Q187,"¶")+COUNTIF($E187:Q187,"²")+COUNTIF($E187:Q187,"µ")+COUNTIF($E187:Q187,1)),
HYPERLINK("#Roadmap!C"&amp; MATCH($E187,Roadmap!$D:$D,0)+COUNTIF($E187:Q187,"u")+COUNTIF($E187:Q187,"t"),
     INDEX(Roadmap!$D:$K,MATCH($E187,Roadmap!$D:$D,0)+COUNTIF($E187:Q187,"u")+COUNTIF($E187:Q187,"t")+COUNTIF($E187:Q187,"¶")+COUNTIF($E187:Q187,"²")+COUNTIF($E187:Q187,"µ")+COUNTIF($E187:Q187,1),ColTypeEcheance)),
  IF(LEN(Q187)=1,
  IF(LEN(INDEX(Roadmap!$D:$K,MATCH($E187,Roadmap!$D:$D,0)-1+COUNTIF($E187:Q187,"u")+COUNTIF($E187:Q187,"t")+COUNTIF($E187:Q187,"¶")+COUNTIF($E187:Q187,"²")+COUNTIF($E187:Q187,"µ")+COUNTIF($E187:Q187,1),ColDescriptionCourte))&gt;1,
HYPERLINK("#Roadmap!C"&amp; MATCH($E187,Roadmap!$D:$D,0)+COUNTIF($E187:Q187,"u")+COUNTIF($E187:Q187,"t")+COUNTIF($E187:Q187,"¶")+COUNTIF($E187:Q187,"²")+COUNTIF($E187:Q187,"µ")+COUNTIF($E187:Q187,1)-1,INDEX(Roadmap!$D:$K,MATCH($E187,Roadmap!$D:$D,0)-1+COUNTIF($E187:Q187,"u")+COUNTIF($E187:Q187,"t")+COUNTIF($E187:Q187,"¶")+COUNTIF($E187:Q187,"²")+COUNTIF($E187:Q187,"µ")+COUNTIF($E187:Q187,1),ColDescriptionCourte)),""),
  "")),"")</f>
        <v/>
      </c>
      <c r="S187" s="40" t="str">
        <f ca="1">IFERROR(IF(AND(
  INDEX(Roadmap!$D:$K,MATCH($E187,Roadmap!$D:$D,0)+COUNTIF($E187:R187,"u")+COUNTIF($E187:R187,"t")+COUNTIF($E187:R187,"¶")+COUNTIF($E187:R187,"²")+COUNTIF($E187:R187,"µ")+COUNTIF($E187:R187,1),ColLivraison)=S$6,
  VLOOKUP($E187,INDIRECT("tri!"&amp; CHAR(64+ C0Col) &amp;":"&amp; CHAR(65+C0Col)),2,FALSE)&gt;COUNTIF($E187:R187,"u")+COUNTIF($E187:R187,"t")+COUNTIF($E187:R187,"¶")+COUNTIF($E187:R187,"²")+COUNTIF($E187:R187,"µ")+COUNTIF($E187:R187,1)),
HYPERLINK("#Roadmap!C"&amp; MATCH($E187,Roadmap!$D:$D,0)+COUNTIF($E187:R187,"u")+COUNTIF($E187:R187,"t"),
     INDEX(Roadmap!$D:$K,MATCH($E187,Roadmap!$D:$D,0)+COUNTIF($E187:R187,"u")+COUNTIF($E187:R187,"t")+COUNTIF($E187:R187,"¶")+COUNTIF($E187:R187,"²")+COUNTIF($E187:R187,"µ")+COUNTIF($E187:R187,1),ColTypeEcheance)),
  IF(LEN(R187)=1,
  IF(LEN(INDEX(Roadmap!$D:$K,MATCH($E187,Roadmap!$D:$D,0)-1+COUNTIF($E187:R187,"u")+COUNTIF($E187:R187,"t")+COUNTIF($E187:R187,"¶")+COUNTIF($E187:R187,"²")+COUNTIF($E187:R187,"µ")+COUNTIF($E187:R187,1),ColDescriptionCourte))&gt;1,
HYPERLINK("#Roadmap!C"&amp; MATCH($E187,Roadmap!$D:$D,0)+COUNTIF($E187:R187,"u")+COUNTIF($E187:R187,"t")+COUNTIF($E187:R187,"¶")+COUNTIF($E187:R187,"²")+COUNTIF($E187:R187,"µ")+COUNTIF($E187:R187,1)-1,INDEX(Roadmap!$D:$K,MATCH($E187,Roadmap!$D:$D,0)-1+COUNTIF($E187:R187,"u")+COUNTIF($E187:R187,"t")+COUNTIF($E187:R187,"¶")+COUNTIF($E187:R187,"²")+COUNTIF($E187:R187,"µ")+COUNTIF($E187:R187,1),ColDescriptionCourte)),""),
  "")),"")</f>
        <v/>
      </c>
      <c r="T187" s="40" t="str">
        <f ca="1">IFERROR(IF(AND(
  INDEX(Roadmap!$D:$K,MATCH($E187,Roadmap!$D:$D,0)+COUNTIF($E187:S187,"u")+COUNTIF($E187:S187,"t")+COUNTIF($E187:S187,"¶")+COUNTIF($E187:S187,"²")+COUNTIF($E187:S187,"µ")+COUNTIF($E187:S187,1),ColLivraison)=T$6,
  VLOOKUP($E187,INDIRECT("tri!"&amp; CHAR(64+ C0Col) &amp;":"&amp; CHAR(65+C0Col)),2,FALSE)&gt;COUNTIF($E187:S187,"u")+COUNTIF($E187:S187,"t")+COUNTIF($E187:S187,"¶")+COUNTIF($E187:S187,"²")+COUNTIF($E187:S187,"µ")+COUNTIF($E187:S187,1)),
HYPERLINK("#Roadmap!C"&amp; MATCH($E187,Roadmap!$D:$D,0)+COUNTIF($E187:S187,"u")+COUNTIF($E187:S187,"t"),
     INDEX(Roadmap!$D:$K,MATCH($E187,Roadmap!$D:$D,0)+COUNTIF($E187:S187,"u")+COUNTIF($E187:S187,"t")+COUNTIF($E187:S187,"¶")+COUNTIF($E187:S187,"²")+COUNTIF($E187:S187,"µ")+COUNTIF($E187:S187,1),ColTypeEcheance)),
  IF(LEN(S187)=1,
  IF(LEN(INDEX(Roadmap!$D:$K,MATCH($E187,Roadmap!$D:$D,0)-1+COUNTIF($E187:S187,"u")+COUNTIF($E187:S187,"t")+COUNTIF($E187:S187,"¶")+COUNTIF($E187:S187,"²")+COUNTIF($E187:S187,"µ")+COUNTIF($E187:S187,1),ColDescriptionCourte))&gt;1,
HYPERLINK("#Roadmap!C"&amp; MATCH($E187,Roadmap!$D:$D,0)+COUNTIF($E187:S187,"u")+COUNTIF($E187:S187,"t")+COUNTIF($E187:S187,"¶")+COUNTIF($E187:S187,"²")+COUNTIF($E187:S187,"µ")+COUNTIF($E187:S187,1)-1,INDEX(Roadmap!$D:$K,MATCH($E187,Roadmap!$D:$D,0)-1+COUNTIF($E187:S187,"u")+COUNTIF($E187:S187,"t")+COUNTIF($E187:S187,"¶")+COUNTIF($E187:S187,"²")+COUNTIF($E187:S187,"µ")+COUNTIF($E187:S187,1),ColDescriptionCourte)),""),
  "")),"")</f>
        <v/>
      </c>
      <c r="U187" s="40" t="str">
        <f ca="1">IFERROR(IF(AND(
  INDEX(Roadmap!$D:$K,MATCH($E187,Roadmap!$D:$D,0)+COUNTIF($E187:T187,"u")+COUNTIF($E187:T187,"t")+COUNTIF($E187:T187,"¶")+COUNTIF($E187:T187,"²")+COUNTIF($E187:T187,"µ")+COUNTIF($E187:T187,1),ColLivraison)=U$6,
  VLOOKUP($E187,INDIRECT("tri!"&amp; CHAR(64+ C0Col) &amp;":"&amp; CHAR(65+C0Col)),2,FALSE)&gt;COUNTIF($E187:T187,"u")+COUNTIF($E187:T187,"t")+COUNTIF($E187:T187,"¶")+COUNTIF($E187:T187,"²")+COUNTIF($E187:T187,"µ")+COUNTIF($E187:T187,1)),
HYPERLINK("#Roadmap!C"&amp; MATCH($E187,Roadmap!$D:$D,0)+COUNTIF($E187:T187,"u")+COUNTIF($E187:T187,"t"),
     INDEX(Roadmap!$D:$K,MATCH($E187,Roadmap!$D:$D,0)+COUNTIF($E187:T187,"u")+COUNTIF($E187:T187,"t")+COUNTIF($E187:T187,"¶")+COUNTIF($E187:T187,"²")+COUNTIF($E187:T187,"µ")+COUNTIF($E187:T187,1),ColTypeEcheance)),
  IF(LEN(T187)=1,
  IF(LEN(INDEX(Roadmap!$D:$K,MATCH($E187,Roadmap!$D:$D,0)-1+COUNTIF($E187:T187,"u")+COUNTIF($E187:T187,"t")+COUNTIF($E187:T187,"¶")+COUNTIF($E187:T187,"²")+COUNTIF($E187:T187,"µ")+COUNTIF($E187:T187,1),ColDescriptionCourte))&gt;1,
HYPERLINK("#Roadmap!C"&amp; MATCH($E187,Roadmap!$D:$D,0)+COUNTIF($E187:T187,"u")+COUNTIF($E187:T187,"t")+COUNTIF($E187:T187,"¶")+COUNTIF($E187:T187,"²")+COUNTIF($E187:T187,"µ")+COUNTIF($E187:T187,1)-1,INDEX(Roadmap!$D:$K,MATCH($E187,Roadmap!$D:$D,0)-1+COUNTIF($E187:T187,"u")+COUNTIF($E187:T187,"t")+COUNTIF($E187:T187,"¶")+COUNTIF($E187:T187,"²")+COUNTIF($E187:T187,"µ")+COUNTIF($E187:T187,1),ColDescriptionCourte)),""),
  "")),"")</f>
        <v/>
      </c>
      <c r="V187" s="40" t="str">
        <f ca="1">IFERROR(IF(AND(
  INDEX(Roadmap!$D:$K,MATCH($E187,Roadmap!$D:$D,0)+COUNTIF($E187:U187,"u")+COUNTIF($E187:U187,"t")+COUNTIF($E187:U187,"¶")+COUNTIF($E187:U187,"²")+COUNTIF($E187:U187,"µ")+COUNTIF($E187:U187,1),ColLivraison)=V$6,
  VLOOKUP($E187,INDIRECT("tri!"&amp; CHAR(64+ C0Col) &amp;":"&amp; CHAR(65+C0Col)),2,FALSE)&gt;COUNTIF($E187:U187,"u")+COUNTIF($E187:U187,"t")+COUNTIF($E187:U187,"¶")+COUNTIF($E187:U187,"²")+COUNTIF($E187:U187,"µ")+COUNTIF($E187:U187,1)),
HYPERLINK("#Roadmap!C"&amp; MATCH($E187,Roadmap!$D:$D,0)+COUNTIF($E187:U187,"u")+COUNTIF($E187:U187,"t"),
     INDEX(Roadmap!$D:$K,MATCH($E187,Roadmap!$D:$D,0)+COUNTIF($E187:U187,"u")+COUNTIF($E187:U187,"t")+COUNTIF($E187:U187,"¶")+COUNTIF($E187:U187,"²")+COUNTIF($E187:U187,"µ")+COUNTIF($E187:U187,1),ColTypeEcheance)),
  IF(LEN(U187)=1,
  IF(LEN(INDEX(Roadmap!$D:$K,MATCH($E187,Roadmap!$D:$D,0)-1+COUNTIF($E187:U187,"u")+COUNTIF($E187:U187,"t")+COUNTIF($E187:U187,"¶")+COUNTIF($E187:U187,"²")+COUNTIF($E187:U187,"µ")+COUNTIF($E187:U187,1),ColDescriptionCourte))&gt;1,
HYPERLINK("#Roadmap!C"&amp; MATCH($E187,Roadmap!$D:$D,0)+COUNTIF($E187:U187,"u")+COUNTIF($E187:U187,"t")+COUNTIF($E187:U187,"¶")+COUNTIF($E187:U187,"²")+COUNTIF($E187:U187,"µ")+COUNTIF($E187:U187,1)-1,INDEX(Roadmap!$D:$K,MATCH($E187,Roadmap!$D:$D,0)-1+COUNTIF($E187:U187,"u")+COUNTIF($E187:U187,"t")+COUNTIF($E187:U187,"¶")+COUNTIF($E187:U187,"²")+COUNTIF($E187:U187,"µ")+COUNTIF($E187:U187,1),ColDescriptionCourte)),""),
  "")),"")</f>
        <v/>
      </c>
      <c r="W187" s="40" t="str">
        <f ca="1">IFERROR(IF(AND(
  INDEX(Roadmap!$D:$K,MATCH($E187,Roadmap!$D:$D,0)+COUNTIF($E187:V187,"u")+COUNTIF($E187:V187,"t")+COUNTIF($E187:V187,"¶")+COUNTIF($E187:V187,"²")+COUNTIF($E187:V187,"µ")+COUNTIF($E187:V187,1),ColLivraison)=W$6,
  VLOOKUP($E187,INDIRECT("tri!"&amp; CHAR(64+ C0Col) &amp;":"&amp; CHAR(65+C0Col)),2,FALSE)&gt;COUNTIF($E187:V187,"u")+COUNTIF($E187:V187,"t")+COUNTIF($E187:V187,"¶")+COUNTIF($E187:V187,"²")+COUNTIF($E187:V187,"µ")+COUNTIF($E187:V187,1)),
HYPERLINK("#Roadmap!C"&amp; MATCH($E187,Roadmap!$D:$D,0)+COUNTIF($E187:V187,"u")+COUNTIF($E187:V187,"t"),
     INDEX(Roadmap!$D:$K,MATCH($E187,Roadmap!$D:$D,0)+COUNTIF($E187:V187,"u")+COUNTIF($E187:V187,"t")+COUNTIF($E187:V187,"¶")+COUNTIF($E187:V187,"²")+COUNTIF($E187:V187,"µ")+COUNTIF($E187:V187,1),ColTypeEcheance)),
  IF(LEN(V187)=1,
  IF(LEN(INDEX(Roadmap!$D:$K,MATCH($E187,Roadmap!$D:$D,0)-1+COUNTIF($E187:V187,"u")+COUNTIF($E187:V187,"t")+COUNTIF($E187:V187,"¶")+COUNTIF($E187:V187,"²")+COUNTIF($E187:V187,"µ")+COUNTIF($E187:V187,1),ColDescriptionCourte))&gt;1,
HYPERLINK("#Roadmap!C"&amp; MATCH($E187,Roadmap!$D:$D,0)+COUNTIF($E187:V187,"u")+COUNTIF($E187:V187,"t")+COUNTIF($E187:V187,"¶")+COUNTIF($E187:V187,"²")+COUNTIF($E187:V187,"µ")+COUNTIF($E187:V187,1)-1,INDEX(Roadmap!$D:$K,MATCH($E187,Roadmap!$D:$D,0)-1+COUNTIF($E187:V187,"u")+COUNTIF($E187:V187,"t")+COUNTIF($E187:V187,"¶")+COUNTIF($E187:V187,"²")+COUNTIF($E187:V187,"µ")+COUNTIF($E187:V187,1),ColDescriptionCourte)),""),
  "")),"")</f>
        <v/>
      </c>
      <c r="X187" s="40" t="str">
        <f ca="1">IFERROR(IF(AND(
  INDEX(Roadmap!$D:$K,MATCH($E187,Roadmap!$D:$D,0)+COUNTIF($E187:W187,"u")+COUNTIF($E187:W187,"t")+COUNTIF($E187:W187,"¶")+COUNTIF($E187:W187,"²")+COUNTIF($E187:W187,"µ")+COUNTIF($E187:W187,1),ColLivraison)=X$6,
  VLOOKUP($E187,INDIRECT("tri!"&amp; CHAR(64+ C0Col) &amp;":"&amp; CHAR(65+C0Col)),2,FALSE)&gt;COUNTIF($E187:W187,"u")+COUNTIF($E187:W187,"t")+COUNTIF($E187:W187,"¶")+COUNTIF($E187:W187,"²")+COUNTIF($E187:W187,"µ")+COUNTIF($E187:W187,1)),
HYPERLINK("#Roadmap!C"&amp; MATCH($E187,Roadmap!$D:$D,0)+COUNTIF($E187:W187,"u")+COUNTIF($E187:W187,"t"),
     INDEX(Roadmap!$D:$K,MATCH($E187,Roadmap!$D:$D,0)+COUNTIF($E187:W187,"u")+COUNTIF($E187:W187,"t")+COUNTIF($E187:W187,"¶")+COUNTIF($E187:W187,"²")+COUNTIF($E187:W187,"µ")+COUNTIF($E187:W187,1),ColTypeEcheance)),
  IF(LEN(W187)=1,
  IF(LEN(INDEX(Roadmap!$D:$K,MATCH($E187,Roadmap!$D:$D,0)-1+COUNTIF($E187:W187,"u")+COUNTIF($E187:W187,"t")+COUNTIF($E187:W187,"¶")+COUNTIF($E187:W187,"²")+COUNTIF($E187:W187,"µ")+COUNTIF($E187:W187,1),ColDescriptionCourte))&gt;1,
HYPERLINK("#Roadmap!C"&amp; MATCH($E187,Roadmap!$D:$D,0)+COUNTIF($E187:W187,"u")+COUNTIF($E187:W187,"t")+COUNTIF($E187:W187,"¶")+COUNTIF($E187:W187,"²")+COUNTIF($E187:W187,"µ")+COUNTIF($E187:W187,1)-1,INDEX(Roadmap!$D:$K,MATCH($E187,Roadmap!$D:$D,0)-1+COUNTIF($E187:W187,"u")+COUNTIF($E187:W187,"t")+COUNTIF($E187:W187,"¶")+COUNTIF($E187:W187,"²")+COUNTIF($E187:W187,"µ")+COUNTIF($E187:W187,1),ColDescriptionCourte)),""),
  "")),"")</f>
        <v/>
      </c>
      <c r="Y187" s="40" t="str">
        <f ca="1">IFERROR(IF(AND(
  INDEX(Roadmap!$D:$K,MATCH($E187,Roadmap!$D:$D,0)+COUNTIF($E187:X187,"u")+COUNTIF($E187:X187,"t")+COUNTIF($E187:X187,"¶")+COUNTIF($E187:X187,"²")+COUNTIF($E187:X187,"µ")+COUNTIF($E187:X187,1),ColLivraison)=Y$6,
  VLOOKUP($E187,INDIRECT("tri!"&amp; CHAR(64+ C0Col) &amp;":"&amp; CHAR(65+C0Col)),2,FALSE)&gt;COUNTIF($E187:X187,"u")+COUNTIF($E187:X187,"t")+COUNTIF($E187:X187,"¶")+COUNTIF($E187:X187,"²")+COUNTIF($E187:X187,"µ")+COUNTIF($E187:X187,1)),
HYPERLINK("#Roadmap!C"&amp; MATCH($E187,Roadmap!$D:$D,0)+COUNTIF($E187:X187,"u")+COUNTIF($E187:X187,"t"),
     INDEX(Roadmap!$D:$K,MATCH($E187,Roadmap!$D:$D,0)+COUNTIF($E187:X187,"u")+COUNTIF($E187:X187,"t")+COUNTIF($E187:X187,"¶")+COUNTIF($E187:X187,"²")+COUNTIF($E187:X187,"µ")+COUNTIF($E187:X187,1),ColTypeEcheance)),
  IF(LEN(X187)=1,
  IF(LEN(INDEX(Roadmap!$D:$K,MATCH($E187,Roadmap!$D:$D,0)-1+COUNTIF($E187:X187,"u")+COUNTIF($E187:X187,"t")+COUNTIF($E187:X187,"¶")+COUNTIF($E187:X187,"²")+COUNTIF($E187:X187,"µ")+COUNTIF($E187:X187,1),ColDescriptionCourte))&gt;1,
HYPERLINK("#Roadmap!C"&amp; MATCH($E187,Roadmap!$D:$D,0)+COUNTIF($E187:X187,"u")+COUNTIF($E187:X187,"t")+COUNTIF($E187:X187,"¶")+COUNTIF($E187:X187,"²")+COUNTIF($E187:X187,"µ")+COUNTIF($E187:X187,1)-1,INDEX(Roadmap!$D:$K,MATCH($E187,Roadmap!$D:$D,0)-1+COUNTIF($E187:X187,"u")+COUNTIF($E187:X187,"t")+COUNTIF($E187:X187,"¶")+COUNTIF($E187:X187,"²")+COUNTIF($E187:X187,"µ")+COUNTIF($E187:X187,1),ColDescriptionCourte)),""),
  "")),"")</f>
        <v/>
      </c>
      <c r="Z187" s="40" t="str">
        <f ca="1">IFERROR(IF(AND(
  INDEX(Roadmap!$D:$K,MATCH($E187,Roadmap!$D:$D,0)+COUNTIF($E187:Y187,"u")+COUNTIF($E187:Y187,"t")+COUNTIF($E187:Y187,"¶")+COUNTIF($E187:Y187,"²")+COUNTIF($E187:Y187,"µ")+COUNTIF($E187:Y187,1),ColLivraison)=Z$6,
  VLOOKUP($E187,INDIRECT("tri!"&amp; CHAR(64+ C0Col) &amp;":"&amp; CHAR(65+C0Col)),2,FALSE)&gt;COUNTIF($E187:Y187,"u")+COUNTIF($E187:Y187,"t")+COUNTIF($E187:Y187,"¶")+COUNTIF($E187:Y187,"²")+COUNTIF($E187:Y187,"µ")+COUNTIF($E187:Y187,1)),
HYPERLINK("#Roadmap!C"&amp; MATCH($E187,Roadmap!$D:$D,0)+COUNTIF($E187:Y187,"u")+COUNTIF($E187:Y187,"t"),
     INDEX(Roadmap!$D:$K,MATCH($E187,Roadmap!$D:$D,0)+COUNTIF($E187:Y187,"u")+COUNTIF($E187:Y187,"t")+COUNTIF($E187:Y187,"¶")+COUNTIF($E187:Y187,"²")+COUNTIF($E187:Y187,"µ")+COUNTIF($E187:Y187,1),ColTypeEcheance)),
  IF(LEN(Y187)=1,
  IF(LEN(INDEX(Roadmap!$D:$K,MATCH($E187,Roadmap!$D:$D,0)-1+COUNTIF($E187:Y187,"u")+COUNTIF($E187:Y187,"t")+COUNTIF($E187:Y187,"¶")+COUNTIF($E187:Y187,"²")+COUNTIF($E187:Y187,"µ")+COUNTIF($E187:Y187,1),ColDescriptionCourte))&gt;1,
HYPERLINK("#Roadmap!C"&amp; MATCH($E187,Roadmap!$D:$D,0)+COUNTIF($E187:Y187,"u")+COUNTIF($E187:Y187,"t")+COUNTIF($E187:Y187,"¶")+COUNTIF($E187:Y187,"²")+COUNTIF($E187:Y187,"µ")+COUNTIF($E187:Y187,1)-1,INDEX(Roadmap!$D:$K,MATCH($E187,Roadmap!$D:$D,0)-1+COUNTIF($E187:Y187,"u")+COUNTIF($E187:Y187,"t")+COUNTIF($E187:Y187,"¶")+COUNTIF($E187:Y187,"²")+COUNTIF($E187:Y187,"µ")+COUNTIF($E187:Y187,1),ColDescriptionCourte)),""),
  "")),"")</f>
        <v/>
      </c>
      <c r="AA187" s="40" t="str">
        <f ca="1">IFERROR(IF(AND(
  INDEX(Roadmap!$D:$K,MATCH($E187,Roadmap!$D:$D,0)+COUNTIF($E187:Z187,"u")+COUNTIF($E187:Z187,"t")+COUNTIF($E187:Z187,"¶")+COUNTIF($E187:Z187,"²")+COUNTIF($E187:Z187,"µ")+COUNTIF($E187:Z187,1),ColLivraison)=AA$6,
  VLOOKUP($E187,INDIRECT("tri!"&amp; CHAR(64+ C0Col) &amp;":"&amp; CHAR(65+C0Col)),2,FALSE)&gt;COUNTIF($E187:Z187,"u")+COUNTIF($E187:Z187,"t")+COUNTIF($E187:Z187,"¶")+COUNTIF($E187:Z187,"²")+COUNTIF($E187:Z187,"µ")+COUNTIF($E187:Z187,1)),
HYPERLINK("#Roadmap!C"&amp; MATCH($E187,Roadmap!$D:$D,0)+COUNTIF($E187:Z187,"u")+COUNTIF($E187:Z187,"t"),
     INDEX(Roadmap!$D:$K,MATCH($E187,Roadmap!$D:$D,0)+COUNTIF($E187:Z187,"u")+COUNTIF($E187:Z187,"t")+COUNTIF($E187:Z187,"¶")+COUNTIF($E187:Z187,"²")+COUNTIF($E187:Z187,"µ")+COUNTIF($E187:Z187,1),ColTypeEcheance)),
  IF(LEN(Z187)=1,
  IF(LEN(INDEX(Roadmap!$D:$K,MATCH($E187,Roadmap!$D:$D,0)-1+COUNTIF($E187:Z187,"u")+COUNTIF($E187:Z187,"t")+COUNTIF($E187:Z187,"¶")+COUNTIF($E187:Z187,"²")+COUNTIF($E187:Z187,"µ")+COUNTIF($E187:Z187,1),ColDescriptionCourte))&gt;1,
HYPERLINK("#Roadmap!C"&amp; MATCH($E187,Roadmap!$D:$D,0)+COUNTIF($E187:Z187,"u")+COUNTIF($E187:Z187,"t")+COUNTIF($E187:Z187,"¶")+COUNTIF($E187:Z187,"²")+COUNTIF($E187:Z187,"µ")+COUNTIF($E187:Z187,1)-1,INDEX(Roadmap!$D:$K,MATCH($E187,Roadmap!$D:$D,0)-1+COUNTIF($E187:Z187,"u")+COUNTIF($E187:Z187,"t")+COUNTIF($E187:Z187,"¶")+COUNTIF($E187:Z187,"²")+COUNTIF($E187:Z187,"µ")+COUNTIF($E187:Z187,1),ColDescriptionCourte)),""),
  "")),"")</f>
        <v/>
      </c>
      <c r="AB187" s="40" t="str">
        <f ca="1">IFERROR(IF(AND(
  INDEX(Roadmap!$D:$K,MATCH($E187,Roadmap!$D:$D,0)+COUNTIF($E187:AA187,"u")+COUNTIF($E187:AA187,"t")+COUNTIF($E187:AA187,"¶")+COUNTIF($E187:AA187,"²")+COUNTIF($E187:AA187,"µ")+COUNTIF($E187:AA187,1),ColLivraison)=AB$6,
  VLOOKUP($E187,INDIRECT("tri!"&amp; CHAR(64+ C0Col) &amp;":"&amp; CHAR(65+C0Col)),2,FALSE)&gt;COUNTIF($E187:AA187,"u")+COUNTIF($E187:AA187,"t")+COUNTIF($E187:AA187,"¶")+COUNTIF($E187:AA187,"²")+COUNTIF($E187:AA187,"µ")+COUNTIF($E187:AA187,1)),
HYPERLINK("#Roadmap!C"&amp; MATCH($E187,Roadmap!$D:$D,0)+COUNTIF($E187:AA187,"u")+COUNTIF($E187:AA187,"t"),
     INDEX(Roadmap!$D:$K,MATCH($E187,Roadmap!$D:$D,0)+COUNTIF($E187:AA187,"u")+COUNTIF($E187:AA187,"t")+COUNTIF($E187:AA187,"¶")+COUNTIF($E187:AA187,"²")+COUNTIF($E187:AA187,"µ")+COUNTIF($E187:AA187,1),ColTypeEcheance)),
  IF(LEN(AA187)=1,
  IF(LEN(INDEX(Roadmap!$D:$K,MATCH($E187,Roadmap!$D:$D,0)-1+COUNTIF($E187:AA187,"u")+COUNTIF($E187:AA187,"t")+COUNTIF($E187:AA187,"¶")+COUNTIF($E187:AA187,"²")+COUNTIF($E187:AA187,"µ")+COUNTIF($E187:AA187,1),ColDescriptionCourte))&gt;1,
HYPERLINK("#Roadmap!C"&amp; MATCH($E187,Roadmap!$D:$D,0)+COUNTIF($E187:AA187,"u")+COUNTIF($E187:AA187,"t")+COUNTIF($E187:AA187,"¶")+COUNTIF($E187:AA187,"²")+COUNTIF($E187:AA187,"µ")+COUNTIF($E187:AA187,1)-1,INDEX(Roadmap!$D:$K,MATCH($E187,Roadmap!$D:$D,0)-1+COUNTIF($E187:AA187,"u")+COUNTIF($E187:AA187,"t")+COUNTIF($E187:AA187,"¶")+COUNTIF($E187:AA187,"²")+COUNTIF($E187:AA187,"µ")+COUNTIF($E187:AA187,1),ColDescriptionCourte)),""),
  "")),"")</f>
        <v/>
      </c>
      <c r="AC187" s="40" t="str">
        <f ca="1">IFERROR(IF(AND(
  INDEX(Roadmap!$D:$K,MATCH($E187,Roadmap!$D:$D,0)+COUNTIF($E187:AB187,"u")+COUNTIF($E187:AB187,"t")+COUNTIF($E187:AB187,"¶")+COUNTIF($E187:AB187,"²")+COUNTIF($E187:AB187,"µ")+COUNTIF($E187:AB187,1),ColLivraison)=AC$6,
  VLOOKUP($E187,INDIRECT("tri!"&amp; CHAR(64+ C0Col) &amp;":"&amp; CHAR(65+C0Col)),2,FALSE)&gt;COUNTIF($E187:AB187,"u")+COUNTIF($E187:AB187,"t")+COUNTIF($E187:AB187,"¶")+COUNTIF($E187:AB187,"²")+COUNTIF($E187:AB187,"µ")+COUNTIF($E187:AB187,1)),
HYPERLINK("#Roadmap!C"&amp; MATCH($E187,Roadmap!$D:$D,0)+COUNTIF($E187:AB187,"u")+COUNTIF($E187:AB187,"t"),
     INDEX(Roadmap!$D:$K,MATCH($E187,Roadmap!$D:$D,0)+COUNTIF($E187:AB187,"u")+COUNTIF($E187:AB187,"t")+COUNTIF($E187:AB187,"¶")+COUNTIF($E187:AB187,"²")+COUNTIF($E187:AB187,"µ")+COUNTIF($E187:AB187,1),ColTypeEcheance)),
  IF(LEN(AB187)=1,
  IF(LEN(INDEX(Roadmap!$D:$K,MATCH($E187,Roadmap!$D:$D,0)-1+COUNTIF($E187:AB187,"u")+COUNTIF($E187:AB187,"t")+COUNTIF($E187:AB187,"¶")+COUNTIF($E187:AB187,"²")+COUNTIF($E187:AB187,"µ")+COUNTIF($E187:AB187,1),ColDescriptionCourte))&gt;1,
HYPERLINK("#Roadmap!C"&amp; MATCH($E187,Roadmap!$D:$D,0)+COUNTIF($E187:AB187,"u")+COUNTIF($E187:AB187,"t")+COUNTIF($E187:AB187,"¶")+COUNTIF($E187:AB187,"²")+COUNTIF($E187:AB187,"µ")+COUNTIF($E187:AB187,1)-1,INDEX(Roadmap!$D:$K,MATCH($E187,Roadmap!$D:$D,0)-1+COUNTIF($E187:AB187,"u")+COUNTIF($E187:AB187,"t")+COUNTIF($E187:AB187,"¶")+COUNTIF($E187:AB187,"²")+COUNTIF($E187:AB187,"µ")+COUNTIF($E187:AB187,1),ColDescriptionCourte)),""),
  "")),"")</f>
        <v/>
      </c>
      <c r="AD187" s="40" t="str">
        <f ca="1">IFERROR(IF(AND(
  INDEX(Roadmap!$D:$K,MATCH($E187,Roadmap!$D:$D,0)+COUNTIF($E187:AC187,"u")+COUNTIF($E187:AC187,"t")+COUNTIF($E187:AC187,"¶")+COUNTIF($E187:AC187,"²")+COUNTIF($E187:AC187,"µ")+COUNTIF($E187:AC187,1),ColLivraison)=AD$6,
  VLOOKUP($E187,INDIRECT("tri!"&amp; CHAR(64+ C0Col) &amp;":"&amp; CHAR(65+C0Col)),2,FALSE)&gt;COUNTIF($E187:AC187,"u")+COUNTIF($E187:AC187,"t")+COUNTIF($E187:AC187,"¶")+COUNTIF($E187:AC187,"²")+COUNTIF($E187:AC187,"µ")+COUNTIF($E187:AC187,1)),
HYPERLINK("#Roadmap!C"&amp; MATCH($E187,Roadmap!$D:$D,0)+COUNTIF($E187:AC187,"u")+COUNTIF($E187:AC187,"t"),
     INDEX(Roadmap!$D:$K,MATCH($E187,Roadmap!$D:$D,0)+COUNTIF($E187:AC187,"u")+COUNTIF($E187:AC187,"t")+COUNTIF($E187:AC187,"¶")+COUNTIF($E187:AC187,"²")+COUNTIF($E187:AC187,"µ")+COUNTIF($E187:AC187,1),ColTypeEcheance)),
  IF(LEN(AC187)=1,
  IF(LEN(INDEX(Roadmap!$D:$K,MATCH($E187,Roadmap!$D:$D,0)-1+COUNTIF($E187:AC187,"u")+COUNTIF($E187:AC187,"t")+COUNTIF($E187:AC187,"¶")+COUNTIF($E187:AC187,"²")+COUNTIF($E187:AC187,"µ")+COUNTIF($E187:AC187,1),ColDescriptionCourte))&gt;1,
HYPERLINK("#Roadmap!C"&amp; MATCH($E187,Roadmap!$D:$D,0)+COUNTIF($E187:AC187,"u")+COUNTIF($E187:AC187,"t")+COUNTIF($E187:AC187,"¶")+COUNTIF($E187:AC187,"²")+COUNTIF($E187:AC187,"µ")+COUNTIF($E187:AC187,1)-1,INDEX(Roadmap!$D:$K,MATCH($E187,Roadmap!$D:$D,0)-1+COUNTIF($E187:AC187,"u")+COUNTIF($E187:AC187,"t")+COUNTIF($E187:AC187,"¶")+COUNTIF($E187:AC187,"²")+COUNTIF($E187:AC187,"µ")+COUNTIF($E187:AC187,1),ColDescriptionCourte)),""),
  "")),"")</f>
        <v/>
      </c>
      <c r="AE187" s="40" t="str">
        <f ca="1">IFERROR(IF(AND(
  INDEX(Roadmap!$D:$K,MATCH($E187,Roadmap!$D:$D,0)+COUNTIF($E187:AD187,"u")+COUNTIF($E187:AD187,"t")+COUNTIF($E187:AD187,"¶")+COUNTIF($E187:AD187,"²")+COUNTIF($E187:AD187,"µ")+COUNTIF($E187:AD187,1),ColLivraison)=AE$6,
  VLOOKUP($E187,INDIRECT("tri!"&amp; CHAR(64+ C0Col) &amp;":"&amp; CHAR(65+C0Col)),2,FALSE)&gt;COUNTIF($E187:AD187,"u")+COUNTIF($E187:AD187,"t")+COUNTIF($E187:AD187,"¶")+COUNTIF($E187:AD187,"²")+COUNTIF($E187:AD187,"µ")+COUNTIF($E187:AD187,1)),
HYPERLINK("#Roadmap!C"&amp; MATCH($E187,Roadmap!$D:$D,0)+COUNTIF($E187:AD187,"u")+COUNTIF($E187:AD187,"t"),
     INDEX(Roadmap!$D:$K,MATCH($E187,Roadmap!$D:$D,0)+COUNTIF($E187:AD187,"u")+COUNTIF($E187:AD187,"t")+COUNTIF($E187:AD187,"¶")+COUNTIF($E187:AD187,"²")+COUNTIF($E187:AD187,"µ")+COUNTIF($E187:AD187,1),ColTypeEcheance)),
  IF(LEN(AD187)=1,
  IF(LEN(INDEX(Roadmap!$D:$K,MATCH($E187,Roadmap!$D:$D,0)-1+COUNTIF($E187:AD187,"u")+COUNTIF($E187:AD187,"t")+COUNTIF($E187:AD187,"¶")+COUNTIF($E187:AD187,"²")+COUNTIF($E187:AD187,"µ")+COUNTIF($E187:AD187,1),ColDescriptionCourte))&gt;1,
HYPERLINK("#Roadmap!C"&amp; MATCH($E187,Roadmap!$D:$D,0)+COUNTIF($E187:AD187,"u")+COUNTIF($E187:AD187,"t")+COUNTIF($E187:AD187,"¶")+COUNTIF($E187:AD187,"²")+COUNTIF($E187:AD187,"µ")+COUNTIF($E187:AD187,1)-1,INDEX(Roadmap!$D:$K,MATCH($E187,Roadmap!$D:$D,0)-1+COUNTIF($E187:AD187,"u")+COUNTIF($E187:AD187,"t")+COUNTIF($E187:AD187,"¶")+COUNTIF($E187:AD187,"²")+COUNTIF($E187:AD187,"µ")+COUNTIF($E187:AD187,1),ColDescriptionCourte)),""),
  "")),"")</f>
        <v/>
      </c>
      <c r="AF187" s="40" t="str">
        <f ca="1">IFERROR(IF(AND(
  INDEX(Roadmap!$D:$K,MATCH($E187,Roadmap!$D:$D,0)+COUNTIF($E187:AE187,"u")+COUNTIF($E187:AE187,"t")+COUNTIF($E187:AE187,"¶")+COUNTIF($E187:AE187,"²")+COUNTIF($E187:AE187,"µ")+COUNTIF($E187:AE187,1),ColLivraison)=AF$6,
  VLOOKUP($E187,INDIRECT("tri!"&amp; CHAR(64+ C0Col) &amp;":"&amp; CHAR(65+C0Col)),2,FALSE)&gt;COUNTIF($E187:AE187,"u")+COUNTIF($E187:AE187,"t")+COUNTIF($E187:AE187,"¶")+COUNTIF($E187:AE187,"²")+COUNTIF($E187:AE187,"µ")+COUNTIF($E187:AE187,1)),
HYPERLINK("#Roadmap!C"&amp; MATCH($E187,Roadmap!$D:$D,0)+COUNTIF($E187:AE187,"u")+COUNTIF($E187:AE187,"t"),
     INDEX(Roadmap!$D:$K,MATCH($E187,Roadmap!$D:$D,0)+COUNTIF($E187:AE187,"u")+COUNTIF($E187:AE187,"t")+COUNTIF($E187:AE187,"¶")+COUNTIF($E187:AE187,"²")+COUNTIF($E187:AE187,"µ")+COUNTIF($E187:AE187,1),ColTypeEcheance)),
  IF(LEN(AE187)=1,
  IF(LEN(INDEX(Roadmap!$D:$K,MATCH($E187,Roadmap!$D:$D,0)-1+COUNTIF($E187:AE187,"u")+COUNTIF($E187:AE187,"t")+COUNTIF($E187:AE187,"¶")+COUNTIF($E187:AE187,"²")+COUNTIF($E187:AE187,"µ")+COUNTIF($E187:AE187,1),ColDescriptionCourte))&gt;1,
HYPERLINK("#Roadmap!C"&amp; MATCH($E187,Roadmap!$D:$D,0)+COUNTIF($E187:AE187,"u")+COUNTIF($E187:AE187,"t")+COUNTIF($E187:AE187,"¶")+COUNTIF($E187:AE187,"²")+COUNTIF($E187:AE187,"µ")+COUNTIF($E187:AE187,1)-1,INDEX(Roadmap!$D:$K,MATCH($E187,Roadmap!$D:$D,0)-1+COUNTIF($E187:AE187,"u")+COUNTIF($E187:AE187,"t")+COUNTIF($E187:AE187,"¶")+COUNTIF($E187:AE187,"²")+COUNTIF($E187:AE187,"µ")+COUNTIF($E187:AE187,1),ColDescriptionCourte)),""),
  "")),"")</f>
        <v/>
      </c>
      <c r="AG187" s="40" t="str">
        <f ca="1">IFERROR(IF(AND(
  INDEX(Roadmap!$D:$K,MATCH($E187,Roadmap!$D:$D,0)+COUNTIF($E187:AF187,"u")+COUNTIF($E187:AF187,"t")+COUNTIF($E187:AF187,"¶")+COUNTIF($E187:AF187,"²")+COUNTIF($E187:AF187,"µ")+COUNTIF($E187:AF187,1),ColLivraison)=AG$6,
  VLOOKUP($E187,INDIRECT("tri!"&amp; CHAR(64+ C0Col) &amp;":"&amp; CHAR(65+C0Col)),2,FALSE)&gt;COUNTIF($E187:AF187,"u")+COUNTIF($E187:AF187,"t")+COUNTIF($E187:AF187,"¶")+COUNTIF($E187:AF187,"²")+COUNTIF($E187:AF187,"µ")+COUNTIF($E187:AF187,1)),
HYPERLINK("#Roadmap!C"&amp; MATCH($E187,Roadmap!$D:$D,0)+COUNTIF($E187:AF187,"u")+COUNTIF($E187:AF187,"t"),
     INDEX(Roadmap!$D:$K,MATCH($E187,Roadmap!$D:$D,0)+COUNTIF($E187:AF187,"u")+COUNTIF($E187:AF187,"t")+COUNTIF($E187:AF187,"¶")+COUNTIF($E187:AF187,"²")+COUNTIF($E187:AF187,"µ")+COUNTIF($E187:AF187,1),ColTypeEcheance)),
  IF(LEN(AF187)=1,
  IF(LEN(INDEX(Roadmap!$D:$K,MATCH($E187,Roadmap!$D:$D,0)-1+COUNTIF($E187:AF187,"u")+COUNTIF($E187:AF187,"t")+COUNTIF($E187:AF187,"¶")+COUNTIF($E187:AF187,"²")+COUNTIF($E187:AF187,"µ")+COUNTIF($E187:AF187,1),ColDescriptionCourte))&gt;1,
HYPERLINK("#Roadmap!C"&amp; MATCH($E187,Roadmap!$D:$D,0)+COUNTIF($E187:AF187,"u")+COUNTIF($E187:AF187,"t")+COUNTIF($E187:AF187,"¶")+COUNTIF($E187:AF187,"²")+COUNTIF($E187:AF187,"µ")+COUNTIF($E187:AF187,1)-1,INDEX(Roadmap!$D:$K,MATCH($E187,Roadmap!$D:$D,0)-1+COUNTIF($E187:AF187,"u")+COUNTIF($E187:AF187,"t")+COUNTIF($E187:AF187,"¶")+COUNTIF($E187:AF187,"²")+COUNTIF($E187:AF187,"µ")+COUNTIF($E187:AF187,1),ColDescriptionCourte)),""),
  "")),"")</f>
        <v/>
      </c>
    </row>
    <row r="188" spans="3:33" ht="14.25" customHeight="1">
      <c r="C188" s="1" t="str">
        <f t="shared" ca="1" si="54"/>
        <v/>
      </c>
      <c r="D188" s="1" t="str">
        <f t="shared" ca="1" si="55"/>
        <v/>
      </c>
      <c r="E188" s="35" t="str">
        <f t="shared" ca="1" si="51"/>
        <v/>
      </c>
      <c r="F188" s="39" t="str">
        <f ca="1">IFERROR(IF(AND(
  INDEX(Roadmap!$D:$K,MATCH($E188,Roadmap!$D:$D,0)+COUNTIF($E188:E188,"u")+COUNTIF($E188:E188,"t")+COUNTIF($E188:E188,"¶")+COUNTIF($E188:E188,"²")+COUNTIF($E188:E188,"µ")+COUNTIF($E188:E188,1),ColLivraison)=F$6,
  VLOOKUP($E188,INDIRECT("tri!"&amp; CHAR(64+ C0Col) &amp;":"&amp; CHAR(65+C0Col)),2,FALSE)&gt;COUNTIF($E188:E188,"u")+COUNTIF($E188:E188,"t")+COUNTIF($E188:E188,"¶")+COUNTIF($E188:E188,"²")+COUNTIF($E188:E188,"µ")+COUNTIF($E188:E188,1)),
HYPERLINK("#Roadmap!C"&amp; MATCH($E188,Roadmap!$D:$D,0)+COUNTIF($E188:E188,"u")+COUNTIF($E188:E188,"t"),
     INDEX(Roadmap!$D:$K,MATCH($E188,Roadmap!$D:$D,0)+COUNTIF($E188:E188,"u")+COUNTIF($E188:E188,"t")+COUNTIF($E188:E188,"¶")+COUNTIF($E188:E188,"²")+COUNTIF($E188:E188,"µ")+COUNTIF($E188:E188,1),ColTypeEcheance)),
  IF(LEN(E188)=1,
  IF(LEN(INDEX(Roadmap!$D:$K,MATCH($E188,Roadmap!$D:$D,0)-1+COUNTIF($E188:E188,"u")+COUNTIF($E188:E188,"t")+COUNTIF($E188:E188,"¶")+COUNTIF($E188:E188,"²")+COUNTIF($E188:E188,"µ")+COUNTIF($E188:E188,1),ColDescriptionCourte))&gt;1,
HYPERLINK("#Roadmap!C"&amp; MATCH($E188,Roadmap!$D:$D,0)+COUNTIF($E188:E188,"u")+COUNTIF($E188:E188,"t")+COUNTIF($E188:E188,"¶")+COUNTIF($E188:E188,"²")+COUNTIF($E188:E188,"µ")+COUNTIF($E188:E188,1)-1,INDEX(Roadmap!$D:$K,MATCH($E188,Roadmap!$D:$D,0)-1+COUNTIF($E188:E188,"u")+COUNTIF($E188:E188,"t")+COUNTIF($E188:E188,"¶")+COUNTIF($E188:E188,"²")+COUNTIF($E188:E188,"µ")+COUNTIF($E188:E188,1),ColDescriptionCourte)),""),
  "")),"")</f>
        <v/>
      </c>
      <c r="G188" s="40" t="str">
        <f ca="1">IFERROR(IF(AND(
  INDEX(Roadmap!$D:$K,MATCH($E188,Roadmap!$D:$D,0)+COUNTIF($E188:F188,"u")+COUNTIF($E188:F188,"t")+COUNTIF($E188:F188,"¶")+COUNTIF($E188:F188,"²")+COUNTIF($E188:F188,"µ")+COUNTIF($E188:F188,1),ColLivraison)=G$6,
  VLOOKUP($E188,INDIRECT("tri!"&amp; CHAR(64+ C0Col) &amp;":"&amp; CHAR(65+C0Col)),2,FALSE)&gt;COUNTIF($E188:F188,"u")+COUNTIF($E188:F188,"t")+COUNTIF($E188:F188,"¶")+COUNTIF($E188:F188,"²")+COUNTIF($E188:F188,"µ")+COUNTIF($E188:F188,1)),
HYPERLINK("#Roadmap!C"&amp; MATCH($E188,Roadmap!$D:$D,0)+COUNTIF($E188:F188,"u")+COUNTIF($E188:F188,"t"),
     INDEX(Roadmap!$D:$K,MATCH($E188,Roadmap!$D:$D,0)+COUNTIF($E188:F188,"u")+COUNTIF($E188:F188,"t")+COUNTIF($E188:F188,"¶")+COUNTIF($E188:F188,"²")+COUNTIF($E188:F188,"µ")+COUNTIF($E188:F188,1),ColTypeEcheance)),
  IF(LEN(F188)=1,
  IF(LEN(INDEX(Roadmap!$D:$K,MATCH($E188,Roadmap!$D:$D,0)-1+COUNTIF($E188:F188,"u")+COUNTIF($E188:F188,"t")+COUNTIF($E188:F188,"¶")+COUNTIF($E188:F188,"²")+COUNTIF($E188:F188,"µ")+COUNTIF($E188:F188,1),ColDescriptionCourte))&gt;1,
HYPERLINK("#Roadmap!C"&amp; MATCH($E188,Roadmap!$D:$D,0)+COUNTIF($E188:F188,"u")+COUNTIF($E188:F188,"t")+COUNTIF($E188:F188,"¶")+COUNTIF($E188:F188,"²")+COUNTIF($E188:F188,"µ")+COUNTIF($E188:F188,1)-1,INDEX(Roadmap!$D:$K,MATCH($E188,Roadmap!$D:$D,0)-1+COUNTIF($E188:F188,"u")+COUNTIF($E188:F188,"t")+COUNTIF($E188:F188,"¶")+COUNTIF($E188:F188,"²")+COUNTIF($E188:F188,"µ")+COUNTIF($E188:F188,1),ColDescriptionCourte)),""),
  "")),"")</f>
        <v/>
      </c>
      <c r="H188" s="40" t="str">
        <f ca="1">IFERROR(IF(AND(
  INDEX(Roadmap!$D:$K,MATCH($E188,Roadmap!$D:$D,0)+COUNTIF($E188:G188,"u")+COUNTIF($E188:G188,"t")+COUNTIF($E188:G188,"¶")+COUNTIF($E188:G188,"²")+COUNTIF($E188:G188,"µ")+COUNTIF($E188:G188,1),ColLivraison)=H$6,
  VLOOKUP($E188,INDIRECT("tri!"&amp; CHAR(64+ C0Col) &amp;":"&amp; CHAR(65+C0Col)),2,FALSE)&gt;COUNTIF($E188:G188,"u")+COUNTIF($E188:G188,"t")+COUNTIF($E188:G188,"¶")+COUNTIF($E188:G188,"²")+COUNTIF($E188:G188,"µ")+COUNTIF($E188:G188,1)),
HYPERLINK("#Roadmap!C"&amp; MATCH($E188,Roadmap!$D:$D,0)+COUNTIF($E188:G188,"u")+COUNTIF($E188:G188,"t"),
     INDEX(Roadmap!$D:$K,MATCH($E188,Roadmap!$D:$D,0)+COUNTIF($E188:G188,"u")+COUNTIF($E188:G188,"t")+COUNTIF($E188:G188,"¶")+COUNTIF($E188:G188,"²")+COUNTIF($E188:G188,"µ")+COUNTIF($E188:G188,1),ColTypeEcheance)),
  IF(LEN(G188)=1,
  IF(LEN(INDEX(Roadmap!$D:$K,MATCH($E188,Roadmap!$D:$D,0)-1+COUNTIF($E188:G188,"u")+COUNTIF($E188:G188,"t")+COUNTIF($E188:G188,"¶")+COUNTIF($E188:G188,"²")+COUNTIF($E188:G188,"µ")+COUNTIF($E188:G188,1),ColDescriptionCourte))&gt;1,
HYPERLINK("#Roadmap!C"&amp; MATCH($E188,Roadmap!$D:$D,0)+COUNTIF($E188:G188,"u")+COUNTIF($E188:G188,"t")+COUNTIF($E188:G188,"¶")+COUNTIF($E188:G188,"²")+COUNTIF($E188:G188,"µ")+COUNTIF($E188:G188,1)-1,INDEX(Roadmap!$D:$K,MATCH($E188,Roadmap!$D:$D,0)-1+COUNTIF($E188:G188,"u")+COUNTIF($E188:G188,"t")+COUNTIF($E188:G188,"¶")+COUNTIF($E188:G188,"²")+COUNTIF($E188:G188,"µ")+COUNTIF($E188:G188,1),ColDescriptionCourte)),""),
  "")),"")</f>
        <v/>
      </c>
      <c r="I188" s="40" t="str">
        <f ca="1">IFERROR(IF(AND(
  INDEX(Roadmap!$D:$K,MATCH($E188,Roadmap!$D:$D,0)+COUNTIF($E188:H188,"u")+COUNTIF($E188:H188,"t")+COUNTIF($E188:H188,"¶")+COUNTIF($E188:H188,"²")+COUNTIF($E188:H188,"µ")+COUNTIF($E188:H188,1),ColLivraison)=I$6,
  VLOOKUP($E188,INDIRECT("tri!"&amp; CHAR(64+ C0Col) &amp;":"&amp; CHAR(65+C0Col)),2,FALSE)&gt;COUNTIF($E188:H188,"u")+COUNTIF($E188:H188,"t")+COUNTIF($E188:H188,"¶")+COUNTIF($E188:H188,"²")+COUNTIF($E188:H188,"µ")+COUNTIF($E188:H188,1)),
HYPERLINK("#Roadmap!C"&amp; MATCH($E188,Roadmap!$D:$D,0)+COUNTIF($E188:H188,"u")+COUNTIF($E188:H188,"t"),
     INDEX(Roadmap!$D:$K,MATCH($E188,Roadmap!$D:$D,0)+COUNTIF($E188:H188,"u")+COUNTIF($E188:H188,"t")+COUNTIF($E188:H188,"¶")+COUNTIF($E188:H188,"²")+COUNTIF($E188:H188,"µ")+COUNTIF($E188:H188,1),ColTypeEcheance)),
  IF(LEN(H188)=1,
  IF(LEN(INDEX(Roadmap!$D:$K,MATCH($E188,Roadmap!$D:$D,0)-1+COUNTIF($E188:H188,"u")+COUNTIF($E188:H188,"t")+COUNTIF($E188:H188,"¶")+COUNTIF($E188:H188,"²")+COUNTIF($E188:H188,"µ")+COUNTIF($E188:H188,1),ColDescriptionCourte))&gt;1,
HYPERLINK("#Roadmap!C"&amp; MATCH($E188,Roadmap!$D:$D,0)+COUNTIF($E188:H188,"u")+COUNTIF($E188:H188,"t")+COUNTIF($E188:H188,"¶")+COUNTIF($E188:H188,"²")+COUNTIF($E188:H188,"µ")+COUNTIF($E188:H188,1)-1,INDEX(Roadmap!$D:$K,MATCH($E188,Roadmap!$D:$D,0)-1+COUNTIF($E188:H188,"u")+COUNTIF($E188:H188,"t")+COUNTIF($E188:H188,"¶")+COUNTIF($E188:H188,"²")+COUNTIF($E188:H188,"µ")+COUNTIF($E188:H188,1),ColDescriptionCourte)),""),
  "")),"")</f>
        <v/>
      </c>
      <c r="J188" s="40" t="str">
        <f ca="1">IFERROR(IF(AND(
  INDEX(Roadmap!$D:$K,MATCH($E188,Roadmap!$D:$D,0)+COUNTIF($E188:I188,"u")+COUNTIF($E188:I188,"t")+COUNTIF($E188:I188,"¶")+COUNTIF($E188:I188,"²")+COUNTIF($E188:I188,"µ")+COUNTIF($E188:I188,1),ColLivraison)=J$6,
  VLOOKUP($E188,INDIRECT("tri!"&amp; CHAR(64+ C0Col) &amp;":"&amp; CHAR(65+C0Col)),2,FALSE)&gt;COUNTIF($E188:I188,"u")+COUNTIF($E188:I188,"t")+COUNTIF($E188:I188,"¶")+COUNTIF($E188:I188,"²")+COUNTIF($E188:I188,"µ")+COUNTIF($E188:I188,1)),
HYPERLINK("#Roadmap!C"&amp; MATCH($E188,Roadmap!$D:$D,0)+COUNTIF($E188:I188,"u")+COUNTIF($E188:I188,"t"),
     INDEX(Roadmap!$D:$K,MATCH($E188,Roadmap!$D:$D,0)+COUNTIF($E188:I188,"u")+COUNTIF($E188:I188,"t")+COUNTIF($E188:I188,"¶")+COUNTIF($E188:I188,"²")+COUNTIF($E188:I188,"µ")+COUNTIF($E188:I188,1),ColTypeEcheance)),
  IF(LEN(I188)=1,
  IF(LEN(INDEX(Roadmap!$D:$K,MATCH($E188,Roadmap!$D:$D,0)-1+COUNTIF($E188:I188,"u")+COUNTIF($E188:I188,"t")+COUNTIF($E188:I188,"¶")+COUNTIF($E188:I188,"²")+COUNTIF($E188:I188,"µ")+COUNTIF($E188:I188,1),ColDescriptionCourte))&gt;1,
HYPERLINK("#Roadmap!C"&amp; MATCH($E188,Roadmap!$D:$D,0)+COUNTIF($E188:I188,"u")+COUNTIF($E188:I188,"t")+COUNTIF($E188:I188,"¶")+COUNTIF($E188:I188,"²")+COUNTIF($E188:I188,"µ")+COUNTIF($E188:I188,1)-1,INDEX(Roadmap!$D:$K,MATCH($E188,Roadmap!$D:$D,0)-1+COUNTIF($E188:I188,"u")+COUNTIF($E188:I188,"t")+COUNTIF($E188:I188,"¶")+COUNTIF($E188:I188,"²")+COUNTIF($E188:I188,"µ")+COUNTIF($E188:I188,1),ColDescriptionCourte)),""),
  "")),"")</f>
        <v/>
      </c>
      <c r="K188" s="40" t="str">
        <f ca="1">IFERROR(IF(AND(
  INDEX(Roadmap!$D:$K,MATCH($E188,Roadmap!$D:$D,0)+COUNTIF($E188:J188,"u")+COUNTIF($E188:J188,"t")+COUNTIF($E188:J188,"¶")+COUNTIF($E188:J188,"²")+COUNTIF($E188:J188,"µ")+COUNTIF($E188:J188,1),ColLivraison)=K$6,
  VLOOKUP($E188,INDIRECT("tri!"&amp; CHAR(64+ C0Col) &amp;":"&amp; CHAR(65+C0Col)),2,FALSE)&gt;COUNTIF($E188:J188,"u")+COUNTIF($E188:J188,"t")+COUNTIF($E188:J188,"¶")+COUNTIF($E188:J188,"²")+COUNTIF($E188:J188,"µ")+COUNTIF($E188:J188,1)),
HYPERLINK("#Roadmap!C"&amp; MATCH($E188,Roadmap!$D:$D,0)+COUNTIF($E188:J188,"u")+COUNTIF($E188:J188,"t"),
     INDEX(Roadmap!$D:$K,MATCH($E188,Roadmap!$D:$D,0)+COUNTIF($E188:J188,"u")+COUNTIF($E188:J188,"t")+COUNTIF($E188:J188,"¶")+COUNTIF($E188:J188,"²")+COUNTIF($E188:J188,"µ")+COUNTIF($E188:J188,1),ColTypeEcheance)),
  IF(LEN(J188)=1,
  IF(LEN(INDEX(Roadmap!$D:$K,MATCH($E188,Roadmap!$D:$D,0)-1+COUNTIF($E188:J188,"u")+COUNTIF($E188:J188,"t")+COUNTIF($E188:J188,"¶")+COUNTIF($E188:J188,"²")+COUNTIF($E188:J188,"µ")+COUNTIF($E188:J188,1),ColDescriptionCourte))&gt;1,
HYPERLINK("#Roadmap!C"&amp; MATCH($E188,Roadmap!$D:$D,0)+COUNTIF($E188:J188,"u")+COUNTIF($E188:J188,"t")+COUNTIF($E188:J188,"¶")+COUNTIF($E188:J188,"²")+COUNTIF($E188:J188,"µ")+COUNTIF($E188:J188,1)-1,INDEX(Roadmap!$D:$K,MATCH($E188,Roadmap!$D:$D,0)-1+COUNTIF($E188:J188,"u")+COUNTIF($E188:J188,"t")+COUNTIF($E188:J188,"¶")+COUNTIF($E188:J188,"²")+COUNTIF($E188:J188,"µ")+COUNTIF($E188:J188,1),ColDescriptionCourte)),""),
  "")),"")</f>
        <v/>
      </c>
      <c r="L188" s="39" t="str">
        <f ca="1">IFERROR(IF(AND(
  INDEX(Roadmap!$D:$K,MATCH($E188,Roadmap!$D:$D,0)+COUNTIF($E188:K188,"u")+COUNTIF($E188:K188,"t")+COUNTIF($E188:K188,"¶")+COUNTIF($E188:K188,"²")+COUNTIF($E188:K188,"µ")+COUNTIF($E188:K188,1),ColLivraison)=L$6,
  VLOOKUP($E188,INDIRECT("tri!"&amp; CHAR(64+ C0Col) &amp;":"&amp; CHAR(65+C0Col)),2,FALSE)&gt;COUNTIF($E188:K188,"u")+COUNTIF($E188:K188,"t")+COUNTIF($E188:K188,"¶")+COUNTIF($E188:K188,"²")+COUNTIF($E188:K188,"µ")+COUNTIF($E188:K188,1)),
HYPERLINK("#Roadmap!C"&amp; MATCH($E188,Roadmap!$D:$D,0)+COUNTIF($E188:K188,"u")+COUNTIF($E188:K188,"t"),
     INDEX(Roadmap!$D:$K,MATCH($E188,Roadmap!$D:$D,0)+COUNTIF($E188:K188,"u")+COUNTIF($E188:K188,"t")+COUNTIF($E188:K188,"¶")+COUNTIF($E188:K188,"²")+COUNTIF($E188:K188,"µ")+COUNTIF($E188:K188,1),ColTypeEcheance)),
  IF(LEN(K188)=1,
  IF(LEN(INDEX(Roadmap!$D:$K,MATCH($E188,Roadmap!$D:$D,0)-1+COUNTIF($E188:K188,"u")+COUNTIF($E188:K188,"t")+COUNTIF($E188:K188,"¶")+COUNTIF($E188:K188,"²")+COUNTIF($E188:K188,"µ")+COUNTIF($E188:K188,1),ColDescriptionCourte))&gt;1,
HYPERLINK("#Roadmap!C"&amp; MATCH($E188,Roadmap!$D:$D,0)+COUNTIF($E188:K188,"u")+COUNTIF($E188:K188,"t")+COUNTIF($E188:K188,"¶")+COUNTIF($E188:K188,"²")+COUNTIF($E188:K188,"µ")+COUNTIF($E188:K188,1)-1,INDEX(Roadmap!$D:$K,MATCH($E188,Roadmap!$D:$D,0)-1+COUNTIF($E188:K188,"u")+COUNTIF($E188:K188,"t")+COUNTIF($E188:K188,"¶")+COUNTIF($E188:K188,"²")+COUNTIF($E188:K188,"µ")+COUNTIF($E188:K188,1),ColDescriptionCourte)),""),
  "")),"")</f>
        <v/>
      </c>
      <c r="M188" s="40" t="str">
        <f ca="1">IFERROR(IF(AND(
  INDEX(Roadmap!$D:$K,MATCH($E188,Roadmap!$D:$D,0)+COUNTIF($E188:L188,"u")+COUNTIF($E188:L188,"t")+COUNTIF($E188:L188,"¶")+COUNTIF($E188:L188,"²")+COUNTIF($E188:L188,"µ")+COUNTIF($E188:L188,1),ColLivraison)=M$6,
  VLOOKUP($E188,INDIRECT("tri!"&amp; CHAR(64+ C0Col) &amp;":"&amp; CHAR(65+C0Col)),2,FALSE)&gt;COUNTIF($E188:L188,"u")+COUNTIF($E188:L188,"t")+COUNTIF($E188:L188,"¶")+COUNTIF($E188:L188,"²")+COUNTIF($E188:L188,"µ")+COUNTIF($E188:L188,1)),
HYPERLINK("#Roadmap!C"&amp; MATCH($E188,Roadmap!$D:$D,0)+COUNTIF($E188:L188,"u")+COUNTIF($E188:L188,"t"),
     INDEX(Roadmap!$D:$K,MATCH($E188,Roadmap!$D:$D,0)+COUNTIF($E188:L188,"u")+COUNTIF($E188:L188,"t")+COUNTIF($E188:L188,"¶")+COUNTIF($E188:L188,"²")+COUNTIF($E188:L188,"µ")+COUNTIF($E188:L188,1),ColTypeEcheance)),
  IF(LEN(L188)=1,
  IF(LEN(INDEX(Roadmap!$D:$K,MATCH($E188,Roadmap!$D:$D,0)-1+COUNTIF($E188:L188,"u")+COUNTIF($E188:L188,"t")+COUNTIF($E188:L188,"¶")+COUNTIF($E188:L188,"²")+COUNTIF($E188:L188,"µ")+COUNTIF($E188:L188,1),ColDescriptionCourte))&gt;1,
HYPERLINK("#Roadmap!C"&amp; MATCH($E188,Roadmap!$D:$D,0)+COUNTIF($E188:L188,"u")+COUNTIF($E188:L188,"t")+COUNTIF($E188:L188,"¶")+COUNTIF($E188:L188,"²")+COUNTIF($E188:L188,"µ")+COUNTIF($E188:L188,1)-1,INDEX(Roadmap!$D:$K,MATCH($E188,Roadmap!$D:$D,0)-1+COUNTIF($E188:L188,"u")+COUNTIF($E188:L188,"t")+COUNTIF($E188:L188,"¶")+COUNTIF($E188:L188,"²")+COUNTIF($E188:L188,"µ")+COUNTIF($E188:L188,1),ColDescriptionCourte)),""),
  "")),"")</f>
        <v/>
      </c>
      <c r="N188" s="40" t="str">
        <f ca="1">IFERROR(IF(AND(
  INDEX(Roadmap!$D:$K,MATCH($E188,Roadmap!$D:$D,0)+COUNTIF($E188:M188,"u")+COUNTIF($E188:M188,"t")+COUNTIF($E188:M188,"¶")+COUNTIF($E188:M188,"²")+COUNTIF($E188:M188,"µ")+COUNTIF($E188:M188,1),ColLivraison)=N$6,
  VLOOKUP($E188,INDIRECT("tri!"&amp; CHAR(64+ C0Col) &amp;":"&amp; CHAR(65+C0Col)),2,FALSE)&gt;COUNTIF($E188:M188,"u")+COUNTIF($E188:M188,"t")+COUNTIF($E188:M188,"¶")+COUNTIF($E188:M188,"²")+COUNTIF($E188:M188,"µ")+COUNTIF($E188:M188,1)),
HYPERLINK("#Roadmap!C"&amp; MATCH($E188,Roadmap!$D:$D,0)+COUNTIF($E188:M188,"u")+COUNTIF($E188:M188,"t"),
     INDEX(Roadmap!$D:$K,MATCH($E188,Roadmap!$D:$D,0)+COUNTIF($E188:M188,"u")+COUNTIF($E188:M188,"t")+COUNTIF($E188:M188,"¶")+COUNTIF($E188:M188,"²")+COUNTIF($E188:M188,"µ")+COUNTIF($E188:M188,1),ColTypeEcheance)),
  IF(LEN(M188)=1,
  IF(LEN(INDEX(Roadmap!$D:$K,MATCH($E188,Roadmap!$D:$D,0)-1+COUNTIF($E188:M188,"u")+COUNTIF($E188:M188,"t")+COUNTIF($E188:M188,"¶")+COUNTIF($E188:M188,"²")+COUNTIF($E188:M188,"µ")+COUNTIF($E188:M188,1),ColDescriptionCourte))&gt;1,
HYPERLINK("#Roadmap!C"&amp; MATCH($E188,Roadmap!$D:$D,0)+COUNTIF($E188:M188,"u")+COUNTIF($E188:M188,"t")+COUNTIF($E188:M188,"¶")+COUNTIF($E188:M188,"²")+COUNTIF($E188:M188,"µ")+COUNTIF($E188:M188,1)-1,INDEX(Roadmap!$D:$K,MATCH($E188,Roadmap!$D:$D,0)-1+COUNTIF($E188:M188,"u")+COUNTIF($E188:M188,"t")+COUNTIF($E188:M188,"¶")+COUNTIF($E188:M188,"²")+COUNTIF($E188:M188,"µ")+COUNTIF($E188:M188,1),ColDescriptionCourte)),""),
  "")),"")</f>
        <v/>
      </c>
      <c r="O188" s="40" t="str">
        <f ca="1">IFERROR(IF(AND(
  INDEX(Roadmap!$D:$K,MATCH($E188,Roadmap!$D:$D,0)+COUNTIF($E188:N188,"u")+COUNTIF($E188:N188,"t")+COUNTIF($E188:N188,"¶")+COUNTIF($E188:N188,"²")+COUNTIF($E188:N188,"µ")+COUNTIF($E188:N188,1),ColLivraison)=O$6,
  VLOOKUP($E188,INDIRECT("tri!"&amp; CHAR(64+ C0Col) &amp;":"&amp; CHAR(65+C0Col)),2,FALSE)&gt;COUNTIF($E188:N188,"u")+COUNTIF($E188:N188,"t")+COUNTIF($E188:N188,"¶")+COUNTIF($E188:N188,"²")+COUNTIF($E188:N188,"µ")+COUNTIF($E188:N188,1)),
HYPERLINK("#Roadmap!C"&amp; MATCH($E188,Roadmap!$D:$D,0)+COUNTIF($E188:N188,"u")+COUNTIF($E188:N188,"t"),
     INDEX(Roadmap!$D:$K,MATCH($E188,Roadmap!$D:$D,0)+COUNTIF($E188:N188,"u")+COUNTIF($E188:N188,"t")+COUNTIF($E188:N188,"¶")+COUNTIF($E188:N188,"²")+COUNTIF($E188:N188,"µ")+COUNTIF($E188:N188,1),ColTypeEcheance)),
  IF(LEN(N188)=1,
  IF(LEN(INDEX(Roadmap!$D:$K,MATCH($E188,Roadmap!$D:$D,0)-1+COUNTIF($E188:N188,"u")+COUNTIF($E188:N188,"t")+COUNTIF($E188:N188,"¶")+COUNTIF($E188:N188,"²")+COUNTIF($E188:N188,"µ")+COUNTIF($E188:N188,1),ColDescriptionCourte))&gt;1,
HYPERLINK("#Roadmap!C"&amp; MATCH($E188,Roadmap!$D:$D,0)+COUNTIF($E188:N188,"u")+COUNTIF($E188:N188,"t")+COUNTIF($E188:N188,"¶")+COUNTIF($E188:N188,"²")+COUNTIF($E188:N188,"µ")+COUNTIF($E188:N188,1)-1,INDEX(Roadmap!$D:$K,MATCH($E188,Roadmap!$D:$D,0)-1+COUNTIF($E188:N188,"u")+COUNTIF($E188:N188,"t")+COUNTIF($E188:N188,"¶")+COUNTIF($E188:N188,"²")+COUNTIF($E188:N188,"µ")+COUNTIF($E188:N188,1),ColDescriptionCourte)),""),
  "")),"")</f>
        <v/>
      </c>
      <c r="P188" s="40" t="str">
        <f ca="1">IFERROR(IF(AND(
  INDEX(Roadmap!$D:$K,MATCH($E188,Roadmap!$D:$D,0)+COUNTIF($E188:O188,"u")+COUNTIF($E188:O188,"t")+COUNTIF($E188:O188,"¶")+COUNTIF($E188:O188,"²")+COUNTIF($E188:O188,"µ")+COUNTIF($E188:O188,1),ColLivraison)=P$6,
  VLOOKUP($E188,INDIRECT("tri!"&amp; CHAR(64+ C0Col) &amp;":"&amp; CHAR(65+C0Col)),2,FALSE)&gt;COUNTIF($E188:O188,"u")+COUNTIF($E188:O188,"t")+COUNTIF($E188:O188,"¶")+COUNTIF($E188:O188,"²")+COUNTIF($E188:O188,"µ")+COUNTIF($E188:O188,1)),
HYPERLINK("#Roadmap!C"&amp; MATCH($E188,Roadmap!$D:$D,0)+COUNTIF($E188:O188,"u")+COUNTIF($E188:O188,"t"),
     INDEX(Roadmap!$D:$K,MATCH($E188,Roadmap!$D:$D,0)+COUNTIF($E188:O188,"u")+COUNTIF($E188:O188,"t")+COUNTIF($E188:O188,"¶")+COUNTIF($E188:O188,"²")+COUNTIF($E188:O188,"µ")+COUNTIF($E188:O188,1),ColTypeEcheance)),
  IF(LEN(O188)=1,
  IF(LEN(INDEX(Roadmap!$D:$K,MATCH($E188,Roadmap!$D:$D,0)-1+COUNTIF($E188:O188,"u")+COUNTIF($E188:O188,"t")+COUNTIF($E188:O188,"¶")+COUNTIF($E188:O188,"²")+COUNTIF($E188:O188,"µ")+COUNTIF($E188:O188,1),ColDescriptionCourte))&gt;1,
HYPERLINK("#Roadmap!C"&amp; MATCH($E188,Roadmap!$D:$D,0)+COUNTIF($E188:O188,"u")+COUNTIF($E188:O188,"t")+COUNTIF($E188:O188,"¶")+COUNTIF($E188:O188,"²")+COUNTIF($E188:O188,"µ")+COUNTIF($E188:O188,1)-1,INDEX(Roadmap!$D:$K,MATCH($E188,Roadmap!$D:$D,0)-1+COUNTIF($E188:O188,"u")+COUNTIF($E188:O188,"t")+COUNTIF($E188:O188,"¶")+COUNTIF($E188:O188,"²")+COUNTIF($E188:O188,"µ")+COUNTIF($E188:O188,1),ColDescriptionCourte)),""),
  "")),"")</f>
        <v/>
      </c>
      <c r="Q188" s="40" t="str">
        <f ca="1">IFERROR(IF(AND(
  INDEX(Roadmap!$D:$K,MATCH($E188,Roadmap!$D:$D,0)+COUNTIF($E188:P188,"u")+COUNTIF($E188:P188,"t")+COUNTIF($E188:P188,"¶")+COUNTIF($E188:P188,"²")+COUNTIF($E188:P188,"µ")+COUNTIF($E188:P188,1),ColLivraison)=Q$6,
  VLOOKUP($E188,INDIRECT("tri!"&amp; CHAR(64+ C0Col) &amp;":"&amp; CHAR(65+C0Col)),2,FALSE)&gt;COUNTIF($E188:P188,"u")+COUNTIF($E188:P188,"t")+COUNTIF($E188:P188,"¶")+COUNTIF($E188:P188,"²")+COUNTIF($E188:P188,"µ")+COUNTIF($E188:P188,1)),
HYPERLINK("#Roadmap!C"&amp; MATCH($E188,Roadmap!$D:$D,0)+COUNTIF($E188:P188,"u")+COUNTIF($E188:P188,"t"),
     INDEX(Roadmap!$D:$K,MATCH($E188,Roadmap!$D:$D,0)+COUNTIF($E188:P188,"u")+COUNTIF($E188:P188,"t")+COUNTIF($E188:P188,"¶")+COUNTIF($E188:P188,"²")+COUNTIF($E188:P188,"µ")+COUNTIF($E188:P188,1),ColTypeEcheance)),
  IF(LEN(P188)=1,
  IF(LEN(INDEX(Roadmap!$D:$K,MATCH($E188,Roadmap!$D:$D,0)-1+COUNTIF($E188:P188,"u")+COUNTIF($E188:P188,"t")+COUNTIF($E188:P188,"¶")+COUNTIF($E188:P188,"²")+COUNTIF($E188:P188,"µ")+COUNTIF($E188:P188,1),ColDescriptionCourte))&gt;1,
HYPERLINK("#Roadmap!C"&amp; MATCH($E188,Roadmap!$D:$D,0)+COUNTIF($E188:P188,"u")+COUNTIF($E188:P188,"t")+COUNTIF($E188:P188,"¶")+COUNTIF($E188:P188,"²")+COUNTIF($E188:P188,"µ")+COUNTIF($E188:P188,1)-1,INDEX(Roadmap!$D:$K,MATCH($E188,Roadmap!$D:$D,0)-1+COUNTIF($E188:P188,"u")+COUNTIF($E188:P188,"t")+COUNTIF($E188:P188,"¶")+COUNTIF($E188:P188,"²")+COUNTIF($E188:P188,"µ")+COUNTIF($E188:P188,1),ColDescriptionCourte)),""),
  "")),"")</f>
        <v/>
      </c>
      <c r="R188" s="40" t="str">
        <f ca="1">IFERROR(IF(AND(
  INDEX(Roadmap!$D:$K,MATCH($E188,Roadmap!$D:$D,0)+COUNTIF($E188:Q188,"u")+COUNTIF($E188:Q188,"t")+COUNTIF($E188:Q188,"¶")+COUNTIF($E188:Q188,"²")+COUNTIF($E188:Q188,"µ")+COUNTIF($E188:Q188,1),ColLivraison)=R$6,
  VLOOKUP($E188,INDIRECT("tri!"&amp; CHAR(64+ C0Col) &amp;":"&amp; CHAR(65+C0Col)),2,FALSE)&gt;COUNTIF($E188:Q188,"u")+COUNTIF($E188:Q188,"t")+COUNTIF($E188:Q188,"¶")+COUNTIF($E188:Q188,"²")+COUNTIF($E188:Q188,"µ")+COUNTIF($E188:Q188,1)),
HYPERLINK("#Roadmap!C"&amp; MATCH($E188,Roadmap!$D:$D,0)+COUNTIF($E188:Q188,"u")+COUNTIF($E188:Q188,"t"),
     INDEX(Roadmap!$D:$K,MATCH($E188,Roadmap!$D:$D,0)+COUNTIF($E188:Q188,"u")+COUNTIF($E188:Q188,"t")+COUNTIF($E188:Q188,"¶")+COUNTIF($E188:Q188,"²")+COUNTIF($E188:Q188,"µ")+COUNTIF($E188:Q188,1),ColTypeEcheance)),
  IF(LEN(Q188)=1,
  IF(LEN(INDEX(Roadmap!$D:$K,MATCH($E188,Roadmap!$D:$D,0)-1+COUNTIF($E188:Q188,"u")+COUNTIF($E188:Q188,"t")+COUNTIF($E188:Q188,"¶")+COUNTIF($E188:Q188,"²")+COUNTIF($E188:Q188,"µ")+COUNTIF($E188:Q188,1),ColDescriptionCourte))&gt;1,
HYPERLINK("#Roadmap!C"&amp; MATCH($E188,Roadmap!$D:$D,0)+COUNTIF($E188:Q188,"u")+COUNTIF($E188:Q188,"t")+COUNTIF($E188:Q188,"¶")+COUNTIF($E188:Q188,"²")+COUNTIF($E188:Q188,"µ")+COUNTIF($E188:Q188,1)-1,INDEX(Roadmap!$D:$K,MATCH($E188,Roadmap!$D:$D,0)-1+COUNTIF($E188:Q188,"u")+COUNTIF($E188:Q188,"t")+COUNTIF($E188:Q188,"¶")+COUNTIF($E188:Q188,"²")+COUNTIF($E188:Q188,"µ")+COUNTIF($E188:Q188,1),ColDescriptionCourte)),""),
  "")),"")</f>
        <v/>
      </c>
      <c r="S188" s="40" t="str">
        <f ca="1">IFERROR(IF(AND(
  INDEX(Roadmap!$D:$K,MATCH($E188,Roadmap!$D:$D,0)+COUNTIF($E188:R188,"u")+COUNTIF($E188:R188,"t")+COUNTIF($E188:R188,"¶")+COUNTIF($E188:R188,"²")+COUNTIF($E188:R188,"µ")+COUNTIF($E188:R188,1),ColLivraison)=S$6,
  VLOOKUP($E188,INDIRECT("tri!"&amp; CHAR(64+ C0Col) &amp;":"&amp; CHAR(65+C0Col)),2,FALSE)&gt;COUNTIF($E188:R188,"u")+COUNTIF($E188:R188,"t")+COUNTIF($E188:R188,"¶")+COUNTIF($E188:R188,"²")+COUNTIF($E188:R188,"µ")+COUNTIF($E188:R188,1)),
HYPERLINK("#Roadmap!C"&amp; MATCH($E188,Roadmap!$D:$D,0)+COUNTIF($E188:R188,"u")+COUNTIF($E188:R188,"t"),
     INDEX(Roadmap!$D:$K,MATCH($E188,Roadmap!$D:$D,0)+COUNTIF($E188:R188,"u")+COUNTIF($E188:R188,"t")+COUNTIF($E188:R188,"¶")+COUNTIF($E188:R188,"²")+COUNTIF($E188:R188,"µ")+COUNTIF($E188:R188,1),ColTypeEcheance)),
  IF(LEN(R188)=1,
  IF(LEN(INDEX(Roadmap!$D:$K,MATCH($E188,Roadmap!$D:$D,0)-1+COUNTIF($E188:R188,"u")+COUNTIF($E188:R188,"t")+COUNTIF($E188:R188,"¶")+COUNTIF($E188:R188,"²")+COUNTIF($E188:R188,"µ")+COUNTIF($E188:R188,1),ColDescriptionCourte))&gt;1,
HYPERLINK("#Roadmap!C"&amp; MATCH($E188,Roadmap!$D:$D,0)+COUNTIF($E188:R188,"u")+COUNTIF($E188:R188,"t")+COUNTIF($E188:R188,"¶")+COUNTIF($E188:R188,"²")+COUNTIF($E188:R188,"µ")+COUNTIF($E188:R188,1)-1,INDEX(Roadmap!$D:$K,MATCH($E188,Roadmap!$D:$D,0)-1+COUNTIF($E188:R188,"u")+COUNTIF($E188:R188,"t")+COUNTIF($E188:R188,"¶")+COUNTIF($E188:R188,"²")+COUNTIF($E188:R188,"µ")+COUNTIF($E188:R188,1),ColDescriptionCourte)),""),
  "")),"")</f>
        <v/>
      </c>
      <c r="T188" s="40" t="str">
        <f ca="1">IFERROR(IF(AND(
  INDEX(Roadmap!$D:$K,MATCH($E188,Roadmap!$D:$D,0)+COUNTIF($E188:S188,"u")+COUNTIF($E188:S188,"t")+COUNTIF($E188:S188,"¶")+COUNTIF($E188:S188,"²")+COUNTIF($E188:S188,"µ")+COUNTIF($E188:S188,1),ColLivraison)=T$6,
  VLOOKUP($E188,INDIRECT("tri!"&amp; CHAR(64+ C0Col) &amp;":"&amp; CHAR(65+C0Col)),2,FALSE)&gt;COUNTIF($E188:S188,"u")+COUNTIF($E188:S188,"t")+COUNTIF($E188:S188,"¶")+COUNTIF($E188:S188,"²")+COUNTIF($E188:S188,"µ")+COUNTIF($E188:S188,1)),
HYPERLINK("#Roadmap!C"&amp; MATCH($E188,Roadmap!$D:$D,0)+COUNTIF($E188:S188,"u")+COUNTIF($E188:S188,"t"),
     INDEX(Roadmap!$D:$K,MATCH($E188,Roadmap!$D:$D,0)+COUNTIF($E188:S188,"u")+COUNTIF($E188:S188,"t")+COUNTIF($E188:S188,"¶")+COUNTIF($E188:S188,"²")+COUNTIF($E188:S188,"µ")+COUNTIF($E188:S188,1),ColTypeEcheance)),
  IF(LEN(S188)=1,
  IF(LEN(INDEX(Roadmap!$D:$K,MATCH($E188,Roadmap!$D:$D,0)-1+COUNTIF($E188:S188,"u")+COUNTIF($E188:S188,"t")+COUNTIF($E188:S188,"¶")+COUNTIF($E188:S188,"²")+COUNTIF($E188:S188,"µ")+COUNTIF($E188:S188,1),ColDescriptionCourte))&gt;1,
HYPERLINK("#Roadmap!C"&amp; MATCH($E188,Roadmap!$D:$D,0)+COUNTIF($E188:S188,"u")+COUNTIF($E188:S188,"t")+COUNTIF($E188:S188,"¶")+COUNTIF($E188:S188,"²")+COUNTIF($E188:S188,"µ")+COUNTIF($E188:S188,1)-1,INDEX(Roadmap!$D:$K,MATCH($E188,Roadmap!$D:$D,0)-1+COUNTIF($E188:S188,"u")+COUNTIF($E188:S188,"t")+COUNTIF($E188:S188,"¶")+COUNTIF($E188:S188,"²")+COUNTIF($E188:S188,"µ")+COUNTIF($E188:S188,1),ColDescriptionCourte)),""),
  "")),"")</f>
        <v/>
      </c>
      <c r="U188" s="40" t="str">
        <f ca="1">IFERROR(IF(AND(
  INDEX(Roadmap!$D:$K,MATCH($E188,Roadmap!$D:$D,0)+COUNTIF($E188:T188,"u")+COUNTIF($E188:T188,"t")+COUNTIF($E188:T188,"¶")+COUNTIF($E188:T188,"²")+COUNTIF($E188:T188,"µ")+COUNTIF($E188:T188,1),ColLivraison)=U$6,
  VLOOKUP($E188,INDIRECT("tri!"&amp; CHAR(64+ C0Col) &amp;":"&amp; CHAR(65+C0Col)),2,FALSE)&gt;COUNTIF($E188:T188,"u")+COUNTIF($E188:T188,"t")+COUNTIF($E188:T188,"¶")+COUNTIF($E188:T188,"²")+COUNTIF($E188:T188,"µ")+COUNTIF($E188:T188,1)),
HYPERLINK("#Roadmap!C"&amp; MATCH($E188,Roadmap!$D:$D,0)+COUNTIF($E188:T188,"u")+COUNTIF($E188:T188,"t"),
     INDEX(Roadmap!$D:$K,MATCH($E188,Roadmap!$D:$D,0)+COUNTIF($E188:T188,"u")+COUNTIF($E188:T188,"t")+COUNTIF($E188:T188,"¶")+COUNTIF($E188:T188,"²")+COUNTIF($E188:T188,"µ")+COUNTIF($E188:T188,1),ColTypeEcheance)),
  IF(LEN(T188)=1,
  IF(LEN(INDEX(Roadmap!$D:$K,MATCH($E188,Roadmap!$D:$D,0)-1+COUNTIF($E188:T188,"u")+COUNTIF($E188:T188,"t")+COUNTIF($E188:T188,"¶")+COUNTIF($E188:T188,"²")+COUNTIF($E188:T188,"µ")+COUNTIF($E188:T188,1),ColDescriptionCourte))&gt;1,
HYPERLINK("#Roadmap!C"&amp; MATCH($E188,Roadmap!$D:$D,0)+COUNTIF($E188:T188,"u")+COUNTIF($E188:T188,"t")+COUNTIF($E188:T188,"¶")+COUNTIF($E188:T188,"²")+COUNTIF($E188:T188,"µ")+COUNTIF($E188:T188,1)-1,INDEX(Roadmap!$D:$K,MATCH($E188,Roadmap!$D:$D,0)-1+COUNTIF($E188:T188,"u")+COUNTIF($E188:T188,"t")+COUNTIF($E188:T188,"¶")+COUNTIF($E188:T188,"²")+COUNTIF($E188:T188,"µ")+COUNTIF($E188:T188,1),ColDescriptionCourte)),""),
  "")),"")</f>
        <v/>
      </c>
      <c r="V188" s="40" t="str">
        <f ca="1">IFERROR(IF(AND(
  INDEX(Roadmap!$D:$K,MATCH($E188,Roadmap!$D:$D,0)+COUNTIF($E188:U188,"u")+COUNTIF($E188:U188,"t")+COUNTIF($E188:U188,"¶")+COUNTIF($E188:U188,"²")+COUNTIF($E188:U188,"µ")+COUNTIF($E188:U188,1),ColLivraison)=V$6,
  VLOOKUP($E188,INDIRECT("tri!"&amp; CHAR(64+ C0Col) &amp;":"&amp; CHAR(65+C0Col)),2,FALSE)&gt;COUNTIF($E188:U188,"u")+COUNTIF($E188:U188,"t")+COUNTIF($E188:U188,"¶")+COUNTIF($E188:U188,"²")+COUNTIF($E188:U188,"µ")+COUNTIF($E188:U188,1)),
HYPERLINK("#Roadmap!C"&amp; MATCH($E188,Roadmap!$D:$D,0)+COUNTIF($E188:U188,"u")+COUNTIF($E188:U188,"t"),
     INDEX(Roadmap!$D:$K,MATCH($E188,Roadmap!$D:$D,0)+COUNTIF($E188:U188,"u")+COUNTIF($E188:U188,"t")+COUNTIF($E188:U188,"¶")+COUNTIF($E188:U188,"²")+COUNTIF($E188:U188,"µ")+COUNTIF($E188:U188,1),ColTypeEcheance)),
  IF(LEN(U188)=1,
  IF(LEN(INDEX(Roadmap!$D:$K,MATCH($E188,Roadmap!$D:$D,0)-1+COUNTIF($E188:U188,"u")+COUNTIF($E188:U188,"t")+COUNTIF($E188:U188,"¶")+COUNTIF($E188:U188,"²")+COUNTIF($E188:U188,"µ")+COUNTIF($E188:U188,1),ColDescriptionCourte))&gt;1,
HYPERLINK("#Roadmap!C"&amp; MATCH($E188,Roadmap!$D:$D,0)+COUNTIF($E188:U188,"u")+COUNTIF($E188:U188,"t")+COUNTIF($E188:U188,"¶")+COUNTIF($E188:U188,"²")+COUNTIF($E188:U188,"µ")+COUNTIF($E188:U188,1)-1,INDEX(Roadmap!$D:$K,MATCH($E188,Roadmap!$D:$D,0)-1+COUNTIF($E188:U188,"u")+COUNTIF($E188:U188,"t")+COUNTIF($E188:U188,"¶")+COUNTIF($E188:U188,"²")+COUNTIF($E188:U188,"µ")+COUNTIF($E188:U188,1),ColDescriptionCourte)),""),
  "")),"")</f>
        <v/>
      </c>
      <c r="W188" s="40" t="str">
        <f ca="1">IFERROR(IF(AND(
  INDEX(Roadmap!$D:$K,MATCH($E188,Roadmap!$D:$D,0)+COUNTIF($E188:V188,"u")+COUNTIF($E188:V188,"t")+COUNTIF($E188:V188,"¶")+COUNTIF($E188:V188,"²")+COUNTIF($E188:V188,"µ")+COUNTIF($E188:V188,1),ColLivraison)=W$6,
  VLOOKUP($E188,INDIRECT("tri!"&amp; CHAR(64+ C0Col) &amp;":"&amp; CHAR(65+C0Col)),2,FALSE)&gt;COUNTIF($E188:V188,"u")+COUNTIF($E188:V188,"t")+COUNTIF($E188:V188,"¶")+COUNTIF($E188:V188,"²")+COUNTIF($E188:V188,"µ")+COUNTIF($E188:V188,1)),
HYPERLINK("#Roadmap!C"&amp; MATCH($E188,Roadmap!$D:$D,0)+COUNTIF($E188:V188,"u")+COUNTIF($E188:V188,"t"),
     INDEX(Roadmap!$D:$K,MATCH($E188,Roadmap!$D:$D,0)+COUNTIF($E188:V188,"u")+COUNTIF($E188:V188,"t")+COUNTIF($E188:V188,"¶")+COUNTIF($E188:V188,"²")+COUNTIF($E188:V188,"µ")+COUNTIF($E188:V188,1),ColTypeEcheance)),
  IF(LEN(V188)=1,
  IF(LEN(INDEX(Roadmap!$D:$K,MATCH($E188,Roadmap!$D:$D,0)-1+COUNTIF($E188:V188,"u")+COUNTIF($E188:V188,"t")+COUNTIF($E188:V188,"¶")+COUNTIF($E188:V188,"²")+COUNTIF($E188:V188,"µ")+COUNTIF($E188:V188,1),ColDescriptionCourte))&gt;1,
HYPERLINK("#Roadmap!C"&amp; MATCH($E188,Roadmap!$D:$D,0)+COUNTIF($E188:V188,"u")+COUNTIF($E188:V188,"t")+COUNTIF($E188:V188,"¶")+COUNTIF($E188:V188,"²")+COUNTIF($E188:V188,"µ")+COUNTIF($E188:V188,1)-1,INDEX(Roadmap!$D:$K,MATCH($E188,Roadmap!$D:$D,0)-1+COUNTIF($E188:V188,"u")+COUNTIF($E188:V188,"t")+COUNTIF($E188:V188,"¶")+COUNTIF($E188:V188,"²")+COUNTIF($E188:V188,"µ")+COUNTIF($E188:V188,1),ColDescriptionCourte)),""),
  "")),"")</f>
        <v/>
      </c>
      <c r="X188" s="40" t="str">
        <f ca="1">IFERROR(IF(AND(
  INDEX(Roadmap!$D:$K,MATCH($E188,Roadmap!$D:$D,0)+COUNTIF($E188:W188,"u")+COUNTIF($E188:W188,"t")+COUNTIF($E188:W188,"¶")+COUNTIF($E188:W188,"²")+COUNTIF($E188:W188,"µ")+COUNTIF($E188:W188,1),ColLivraison)=X$6,
  VLOOKUP($E188,INDIRECT("tri!"&amp; CHAR(64+ C0Col) &amp;":"&amp; CHAR(65+C0Col)),2,FALSE)&gt;COUNTIF($E188:W188,"u")+COUNTIF($E188:W188,"t")+COUNTIF($E188:W188,"¶")+COUNTIF($E188:W188,"²")+COUNTIF($E188:W188,"µ")+COUNTIF($E188:W188,1)),
HYPERLINK("#Roadmap!C"&amp; MATCH($E188,Roadmap!$D:$D,0)+COUNTIF($E188:W188,"u")+COUNTIF($E188:W188,"t"),
     INDEX(Roadmap!$D:$K,MATCH($E188,Roadmap!$D:$D,0)+COUNTIF($E188:W188,"u")+COUNTIF($E188:W188,"t")+COUNTIF($E188:W188,"¶")+COUNTIF($E188:W188,"²")+COUNTIF($E188:W188,"µ")+COUNTIF($E188:W188,1),ColTypeEcheance)),
  IF(LEN(W188)=1,
  IF(LEN(INDEX(Roadmap!$D:$K,MATCH($E188,Roadmap!$D:$D,0)-1+COUNTIF($E188:W188,"u")+COUNTIF($E188:W188,"t")+COUNTIF($E188:W188,"¶")+COUNTIF($E188:W188,"²")+COUNTIF($E188:W188,"µ")+COUNTIF($E188:W188,1),ColDescriptionCourte))&gt;1,
HYPERLINK("#Roadmap!C"&amp; MATCH($E188,Roadmap!$D:$D,0)+COUNTIF($E188:W188,"u")+COUNTIF($E188:W188,"t")+COUNTIF($E188:W188,"¶")+COUNTIF($E188:W188,"²")+COUNTIF($E188:W188,"µ")+COUNTIF($E188:W188,1)-1,INDEX(Roadmap!$D:$K,MATCH($E188,Roadmap!$D:$D,0)-1+COUNTIF($E188:W188,"u")+COUNTIF($E188:W188,"t")+COUNTIF($E188:W188,"¶")+COUNTIF($E188:W188,"²")+COUNTIF($E188:W188,"µ")+COUNTIF($E188:W188,1),ColDescriptionCourte)),""),
  "")),"")</f>
        <v/>
      </c>
      <c r="Y188" s="40" t="str">
        <f ca="1">IFERROR(IF(AND(
  INDEX(Roadmap!$D:$K,MATCH($E188,Roadmap!$D:$D,0)+COUNTIF($E188:X188,"u")+COUNTIF($E188:X188,"t")+COUNTIF($E188:X188,"¶")+COUNTIF($E188:X188,"²")+COUNTIF($E188:X188,"µ")+COUNTIF($E188:X188,1),ColLivraison)=Y$6,
  VLOOKUP($E188,INDIRECT("tri!"&amp; CHAR(64+ C0Col) &amp;":"&amp; CHAR(65+C0Col)),2,FALSE)&gt;COUNTIF($E188:X188,"u")+COUNTIF($E188:X188,"t")+COUNTIF($E188:X188,"¶")+COUNTIF($E188:X188,"²")+COUNTIF($E188:X188,"µ")+COUNTIF($E188:X188,1)),
HYPERLINK("#Roadmap!C"&amp; MATCH($E188,Roadmap!$D:$D,0)+COUNTIF($E188:X188,"u")+COUNTIF($E188:X188,"t"),
     INDEX(Roadmap!$D:$K,MATCH($E188,Roadmap!$D:$D,0)+COUNTIF($E188:X188,"u")+COUNTIF($E188:X188,"t")+COUNTIF($E188:X188,"¶")+COUNTIF($E188:X188,"²")+COUNTIF($E188:X188,"µ")+COUNTIF($E188:X188,1),ColTypeEcheance)),
  IF(LEN(X188)=1,
  IF(LEN(INDEX(Roadmap!$D:$K,MATCH($E188,Roadmap!$D:$D,0)-1+COUNTIF($E188:X188,"u")+COUNTIF($E188:X188,"t")+COUNTIF($E188:X188,"¶")+COUNTIF($E188:X188,"²")+COUNTIF($E188:X188,"µ")+COUNTIF($E188:X188,1),ColDescriptionCourte))&gt;1,
HYPERLINK("#Roadmap!C"&amp; MATCH($E188,Roadmap!$D:$D,0)+COUNTIF($E188:X188,"u")+COUNTIF($E188:X188,"t")+COUNTIF($E188:X188,"¶")+COUNTIF($E188:X188,"²")+COUNTIF($E188:X188,"µ")+COUNTIF($E188:X188,1)-1,INDEX(Roadmap!$D:$K,MATCH($E188,Roadmap!$D:$D,0)-1+COUNTIF($E188:X188,"u")+COUNTIF($E188:X188,"t")+COUNTIF($E188:X188,"¶")+COUNTIF($E188:X188,"²")+COUNTIF($E188:X188,"µ")+COUNTIF($E188:X188,1),ColDescriptionCourte)),""),
  "")),"")</f>
        <v/>
      </c>
      <c r="Z188" s="40" t="str">
        <f ca="1">IFERROR(IF(AND(
  INDEX(Roadmap!$D:$K,MATCH($E188,Roadmap!$D:$D,0)+COUNTIF($E188:Y188,"u")+COUNTIF($E188:Y188,"t")+COUNTIF($E188:Y188,"¶")+COUNTIF($E188:Y188,"²")+COUNTIF($E188:Y188,"µ")+COUNTIF($E188:Y188,1),ColLivraison)=Z$6,
  VLOOKUP($E188,INDIRECT("tri!"&amp; CHAR(64+ C0Col) &amp;":"&amp; CHAR(65+C0Col)),2,FALSE)&gt;COUNTIF($E188:Y188,"u")+COUNTIF($E188:Y188,"t")+COUNTIF($E188:Y188,"¶")+COUNTIF($E188:Y188,"²")+COUNTIF($E188:Y188,"µ")+COUNTIF($E188:Y188,1)),
HYPERLINK("#Roadmap!C"&amp; MATCH($E188,Roadmap!$D:$D,0)+COUNTIF($E188:Y188,"u")+COUNTIF($E188:Y188,"t"),
     INDEX(Roadmap!$D:$K,MATCH($E188,Roadmap!$D:$D,0)+COUNTIF($E188:Y188,"u")+COUNTIF($E188:Y188,"t")+COUNTIF($E188:Y188,"¶")+COUNTIF($E188:Y188,"²")+COUNTIF($E188:Y188,"µ")+COUNTIF($E188:Y188,1),ColTypeEcheance)),
  IF(LEN(Y188)=1,
  IF(LEN(INDEX(Roadmap!$D:$K,MATCH($E188,Roadmap!$D:$D,0)-1+COUNTIF($E188:Y188,"u")+COUNTIF($E188:Y188,"t")+COUNTIF($E188:Y188,"¶")+COUNTIF($E188:Y188,"²")+COUNTIF($E188:Y188,"µ")+COUNTIF($E188:Y188,1),ColDescriptionCourte))&gt;1,
HYPERLINK("#Roadmap!C"&amp; MATCH($E188,Roadmap!$D:$D,0)+COUNTIF($E188:Y188,"u")+COUNTIF($E188:Y188,"t")+COUNTIF($E188:Y188,"¶")+COUNTIF($E188:Y188,"²")+COUNTIF($E188:Y188,"µ")+COUNTIF($E188:Y188,1)-1,INDEX(Roadmap!$D:$K,MATCH($E188,Roadmap!$D:$D,0)-1+COUNTIF($E188:Y188,"u")+COUNTIF($E188:Y188,"t")+COUNTIF($E188:Y188,"¶")+COUNTIF($E188:Y188,"²")+COUNTIF($E188:Y188,"µ")+COUNTIF($E188:Y188,1),ColDescriptionCourte)),""),
  "")),"")</f>
        <v/>
      </c>
      <c r="AA188" s="40" t="str">
        <f ca="1">IFERROR(IF(AND(
  INDEX(Roadmap!$D:$K,MATCH($E188,Roadmap!$D:$D,0)+COUNTIF($E188:Z188,"u")+COUNTIF($E188:Z188,"t")+COUNTIF($E188:Z188,"¶")+COUNTIF($E188:Z188,"²")+COUNTIF($E188:Z188,"µ")+COUNTIF($E188:Z188,1),ColLivraison)=AA$6,
  VLOOKUP($E188,INDIRECT("tri!"&amp; CHAR(64+ C0Col) &amp;":"&amp; CHAR(65+C0Col)),2,FALSE)&gt;COUNTIF($E188:Z188,"u")+COUNTIF($E188:Z188,"t")+COUNTIF($E188:Z188,"¶")+COUNTIF($E188:Z188,"²")+COUNTIF($E188:Z188,"µ")+COUNTIF($E188:Z188,1)),
HYPERLINK("#Roadmap!C"&amp; MATCH($E188,Roadmap!$D:$D,0)+COUNTIF($E188:Z188,"u")+COUNTIF($E188:Z188,"t"),
     INDEX(Roadmap!$D:$K,MATCH($E188,Roadmap!$D:$D,0)+COUNTIF($E188:Z188,"u")+COUNTIF($E188:Z188,"t")+COUNTIF($E188:Z188,"¶")+COUNTIF($E188:Z188,"²")+COUNTIF($E188:Z188,"µ")+COUNTIF($E188:Z188,1),ColTypeEcheance)),
  IF(LEN(Z188)=1,
  IF(LEN(INDEX(Roadmap!$D:$K,MATCH($E188,Roadmap!$D:$D,0)-1+COUNTIF($E188:Z188,"u")+COUNTIF($E188:Z188,"t")+COUNTIF($E188:Z188,"¶")+COUNTIF($E188:Z188,"²")+COUNTIF($E188:Z188,"µ")+COUNTIF($E188:Z188,1),ColDescriptionCourte))&gt;1,
HYPERLINK("#Roadmap!C"&amp; MATCH($E188,Roadmap!$D:$D,0)+COUNTIF($E188:Z188,"u")+COUNTIF($E188:Z188,"t")+COUNTIF($E188:Z188,"¶")+COUNTIF($E188:Z188,"²")+COUNTIF($E188:Z188,"µ")+COUNTIF($E188:Z188,1)-1,INDEX(Roadmap!$D:$K,MATCH($E188,Roadmap!$D:$D,0)-1+COUNTIF($E188:Z188,"u")+COUNTIF($E188:Z188,"t")+COUNTIF($E188:Z188,"¶")+COUNTIF($E188:Z188,"²")+COUNTIF($E188:Z188,"µ")+COUNTIF($E188:Z188,1),ColDescriptionCourte)),""),
  "")),"")</f>
        <v/>
      </c>
      <c r="AB188" s="40" t="str">
        <f ca="1">IFERROR(IF(AND(
  INDEX(Roadmap!$D:$K,MATCH($E188,Roadmap!$D:$D,0)+COUNTIF($E188:AA188,"u")+COUNTIF($E188:AA188,"t")+COUNTIF($E188:AA188,"¶")+COUNTIF($E188:AA188,"²")+COUNTIF($E188:AA188,"µ")+COUNTIF($E188:AA188,1),ColLivraison)=AB$6,
  VLOOKUP($E188,INDIRECT("tri!"&amp; CHAR(64+ C0Col) &amp;":"&amp; CHAR(65+C0Col)),2,FALSE)&gt;COUNTIF($E188:AA188,"u")+COUNTIF($E188:AA188,"t")+COUNTIF($E188:AA188,"¶")+COUNTIF($E188:AA188,"²")+COUNTIF($E188:AA188,"µ")+COUNTIF($E188:AA188,1)),
HYPERLINK("#Roadmap!C"&amp; MATCH($E188,Roadmap!$D:$D,0)+COUNTIF($E188:AA188,"u")+COUNTIF($E188:AA188,"t"),
     INDEX(Roadmap!$D:$K,MATCH($E188,Roadmap!$D:$D,0)+COUNTIF($E188:AA188,"u")+COUNTIF($E188:AA188,"t")+COUNTIF($E188:AA188,"¶")+COUNTIF($E188:AA188,"²")+COUNTIF($E188:AA188,"µ")+COUNTIF($E188:AA188,1),ColTypeEcheance)),
  IF(LEN(AA188)=1,
  IF(LEN(INDEX(Roadmap!$D:$K,MATCH($E188,Roadmap!$D:$D,0)-1+COUNTIF($E188:AA188,"u")+COUNTIF($E188:AA188,"t")+COUNTIF($E188:AA188,"¶")+COUNTIF($E188:AA188,"²")+COUNTIF($E188:AA188,"µ")+COUNTIF($E188:AA188,1),ColDescriptionCourte))&gt;1,
HYPERLINK("#Roadmap!C"&amp; MATCH($E188,Roadmap!$D:$D,0)+COUNTIF($E188:AA188,"u")+COUNTIF($E188:AA188,"t")+COUNTIF($E188:AA188,"¶")+COUNTIF($E188:AA188,"²")+COUNTIF($E188:AA188,"µ")+COUNTIF($E188:AA188,1)-1,INDEX(Roadmap!$D:$K,MATCH($E188,Roadmap!$D:$D,0)-1+COUNTIF($E188:AA188,"u")+COUNTIF($E188:AA188,"t")+COUNTIF($E188:AA188,"¶")+COUNTIF($E188:AA188,"²")+COUNTIF($E188:AA188,"µ")+COUNTIF($E188:AA188,1),ColDescriptionCourte)),""),
  "")),"")</f>
        <v/>
      </c>
      <c r="AC188" s="40" t="str">
        <f ca="1">IFERROR(IF(AND(
  INDEX(Roadmap!$D:$K,MATCH($E188,Roadmap!$D:$D,0)+COUNTIF($E188:AB188,"u")+COUNTIF($E188:AB188,"t")+COUNTIF($E188:AB188,"¶")+COUNTIF($E188:AB188,"²")+COUNTIF($E188:AB188,"µ")+COUNTIF($E188:AB188,1),ColLivraison)=AC$6,
  VLOOKUP($E188,INDIRECT("tri!"&amp; CHAR(64+ C0Col) &amp;":"&amp; CHAR(65+C0Col)),2,FALSE)&gt;COUNTIF($E188:AB188,"u")+COUNTIF($E188:AB188,"t")+COUNTIF($E188:AB188,"¶")+COUNTIF($E188:AB188,"²")+COUNTIF($E188:AB188,"µ")+COUNTIF($E188:AB188,1)),
HYPERLINK("#Roadmap!C"&amp; MATCH($E188,Roadmap!$D:$D,0)+COUNTIF($E188:AB188,"u")+COUNTIF($E188:AB188,"t"),
     INDEX(Roadmap!$D:$K,MATCH($E188,Roadmap!$D:$D,0)+COUNTIF($E188:AB188,"u")+COUNTIF($E188:AB188,"t")+COUNTIF($E188:AB188,"¶")+COUNTIF($E188:AB188,"²")+COUNTIF($E188:AB188,"µ")+COUNTIF($E188:AB188,1),ColTypeEcheance)),
  IF(LEN(AB188)=1,
  IF(LEN(INDEX(Roadmap!$D:$K,MATCH($E188,Roadmap!$D:$D,0)-1+COUNTIF($E188:AB188,"u")+COUNTIF($E188:AB188,"t")+COUNTIF($E188:AB188,"¶")+COUNTIF($E188:AB188,"²")+COUNTIF($E188:AB188,"µ")+COUNTIF($E188:AB188,1),ColDescriptionCourte))&gt;1,
HYPERLINK("#Roadmap!C"&amp; MATCH($E188,Roadmap!$D:$D,0)+COUNTIF($E188:AB188,"u")+COUNTIF($E188:AB188,"t")+COUNTIF($E188:AB188,"¶")+COUNTIF($E188:AB188,"²")+COUNTIF($E188:AB188,"µ")+COUNTIF($E188:AB188,1)-1,INDEX(Roadmap!$D:$K,MATCH($E188,Roadmap!$D:$D,0)-1+COUNTIF($E188:AB188,"u")+COUNTIF($E188:AB188,"t")+COUNTIF($E188:AB188,"¶")+COUNTIF($E188:AB188,"²")+COUNTIF($E188:AB188,"µ")+COUNTIF($E188:AB188,1),ColDescriptionCourte)),""),
  "")),"")</f>
        <v/>
      </c>
      <c r="AD188" s="40" t="str">
        <f ca="1">IFERROR(IF(AND(
  INDEX(Roadmap!$D:$K,MATCH($E188,Roadmap!$D:$D,0)+COUNTIF($E188:AC188,"u")+COUNTIF($E188:AC188,"t")+COUNTIF($E188:AC188,"¶")+COUNTIF($E188:AC188,"²")+COUNTIF($E188:AC188,"µ")+COUNTIF($E188:AC188,1),ColLivraison)=AD$6,
  VLOOKUP($E188,INDIRECT("tri!"&amp; CHAR(64+ C0Col) &amp;":"&amp; CHAR(65+C0Col)),2,FALSE)&gt;COUNTIF($E188:AC188,"u")+COUNTIF($E188:AC188,"t")+COUNTIF($E188:AC188,"¶")+COUNTIF($E188:AC188,"²")+COUNTIF($E188:AC188,"µ")+COUNTIF($E188:AC188,1)),
HYPERLINK("#Roadmap!C"&amp; MATCH($E188,Roadmap!$D:$D,0)+COUNTIF($E188:AC188,"u")+COUNTIF($E188:AC188,"t"),
     INDEX(Roadmap!$D:$K,MATCH($E188,Roadmap!$D:$D,0)+COUNTIF($E188:AC188,"u")+COUNTIF($E188:AC188,"t")+COUNTIF($E188:AC188,"¶")+COUNTIF($E188:AC188,"²")+COUNTIF($E188:AC188,"µ")+COUNTIF($E188:AC188,1),ColTypeEcheance)),
  IF(LEN(AC188)=1,
  IF(LEN(INDEX(Roadmap!$D:$K,MATCH($E188,Roadmap!$D:$D,0)-1+COUNTIF($E188:AC188,"u")+COUNTIF($E188:AC188,"t")+COUNTIF($E188:AC188,"¶")+COUNTIF($E188:AC188,"²")+COUNTIF($E188:AC188,"µ")+COUNTIF($E188:AC188,1),ColDescriptionCourte))&gt;1,
HYPERLINK("#Roadmap!C"&amp; MATCH($E188,Roadmap!$D:$D,0)+COUNTIF($E188:AC188,"u")+COUNTIF($E188:AC188,"t")+COUNTIF($E188:AC188,"¶")+COUNTIF($E188:AC188,"²")+COUNTIF($E188:AC188,"µ")+COUNTIF($E188:AC188,1)-1,INDEX(Roadmap!$D:$K,MATCH($E188,Roadmap!$D:$D,0)-1+COUNTIF($E188:AC188,"u")+COUNTIF($E188:AC188,"t")+COUNTIF($E188:AC188,"¶")+COUNTIF($E188:AC188,"²")+COUNTIF($E188:AC188,"µ")+COUNTIF($E188:AC188,1),ColDescriptionCourte)),""),
  "")),"")</f>
        <v/>
      </c>
      <c r="AE188" s="40" t="str">
        <f ca="1">IFERROR(IF(AND(
  INDEX(Roadmap!$D:$K,MATCH($E188,Roadmap!$D:$D,0)+COUNTIF($E188:AD188,"u")+COUNTIF($E188:AD188,"t")+COUNTIF($E188:AD188,"¶")+COUNTIF($E188:AD188,"²")+COUNTIF($E188:AD188,"µ")+COUNTIF($E188:AD188,1),ColLivraison)=AE$6,
  VLOOKUP($E188,INDIRECT("tri!"&amp; CHAR(64+ C0Col) &amp;":"&amp; CHAR(65+C0Col)),2,FALSE)&gt;COUNTIF($E188:AD188,"u")+COUNTIF($E188:AD188,"t")+COUNTIF($E188:AD188,"¶")+COUNTIF($E188:AD188,"²")+COUNTIF($E188:AD188,"µ")+COUNTIF($E188:AD188,1)),
HYPERLINK("#Roadmap!C"&amp; MATCH($E188,Roadmap!$D:$D,0)+COUNTIF($E188:AD188,"u")+COUNTIF($E188:AD188,"t"),
     INDEX(Roadmap!$D:$K,MATCH($E188,Roadmap!$D:$D,0)+COUNTIF($E188:AD188,"u")+COUNTIF($E188:AD188,"t")+COUNTIF($E188:AD188,"¶")+COUNTIF($E188:AD188,"²")+COUNTIF($E188:AD188,"µ")+COUNTIF($E188:AD188,1),ColTypeEcheance)),
  IF(LEN(AD188)=1,
  IF(LEN(INDEX(Roadmap!$D:$K,MATCH($E188,Roadmap!$D:$D,0)-1+COUNTIF($E188:AD188,"u")+COUNTIF($E188:AD188,"t")+COUNTIF($E188:AD188,"¶")+COUNTIF($E188:AD188,"²")+COUNTIF($E188:AD188,"µ")+COUNTIF($E188:AD188,1),ColDescriptionCourte))&gt;1,
HYPERLINK("#Roadmap!C"&amp; MATCH($E188,Roadmap!$D:$D,0)+COUNTIF($E188:AD188,"u")+COUNTIF($E188:AD188,"t")+COUNTIF($E188:AD188,"¶")+COUNTIF($E188:AD188,"²")+COUNTIF($E188:AD188,"µ")+COUNTIF($E188:AD188,1)-1,INDEX(Roadmap!$D:$K,MATCH($E188,Roadmap!$D:$D,0)-1+COUNTIF($E188:AD188,"u")+COUNTIF($E188:AD188,"t")+COUNTIF($E188:AD188,"¶")+COUNTIF($E188:AD188,"²")+COUNTIF($E188:AD188,"µ")+COUNTIF($E188:AD188,1),ColDescriptionCourte)),""),
  "")),"")</f>
        <v/>
      </c>
      <c r="AF188" s="40" t="str">
        <f ca="1">IFERROR(IF(AND(
  INDEX(Roadmap!$D:$K,MATCH($E188,Roadmap!$D:$D,0)+COUNTIF($E188:AE188,"u")+COUNTIF($E188:AE188,"t")+COUNTIF($E188:AE188,"¶")+COUNTIF($E188:AE188,"²")+COUNTIF($E188:AE188,"µ")+COUNTIF($E188:AE188,1),ColLivraison)=AF$6,
  VLOOKUP($E188,INDIRECT("tri!"&amp; CHAR(64+ C0Col) &amp;":"&amp; CHAR(65+C0Col)),2,FALSE)&gt;COUNTIF($E188:AE188,"u")+COUNTIF($E188:AE188,"t")+COUNTIF($E188:AE188,"¶")+COUNTIF($E188:AE188,"²")+COUNTIF($E188:AE188,"µ")+COUNTIF($E188:AE188,1)),
HYPERLINK("#Roadmap!C"&amp; MATCH($E188,Roadmap!$D:$D,0)+COUNTIF($E188:AE188,"u")+COUNTIF($E188:AE188,"t"),
     INDEX(Roadmap!$D:$K,MATCH($E188,Roadmap!$D:$D,0)+COUNTIF($E188:AE188,"u")+COUNTIF($E188:AE188,"t")+COUNTIF($E188:AE188,"¶")+COUNTIF($E188:AE188,"²")+COUNTIF($E188:AE188,"µ")+COUNTIF($E188:AE188,1),ColTypeEcheance)),
  IF(LEN(AE188)=1,
  IF(LEN(INDEX(Roadmap!$D:$K,MATCH($E188,Roadmap!$D:$D,0)-1+COUNTIF($E188:AE188,"u")+COUNTIF($E188:AE188,"t")+COUNTIF($E188:AE188,"¶")+COUNTIF($E188:AE188,"²")+COUNTIF($E188:AE188,"µ")+COUNTIF($E188:AE188,1),ColDescriptionCourte))&gt;1,
HYPERLINK("#Roadmap!C"&amp; MATCH($E188,Roadmap!$D:$D,0)+COUNTIF($E188:AE188,"u")+COUNTIF($E188:AE188,"t")+COUNTIF($E188:AE188,"¶")+COUNTIF($E188:AE188,"²")+COUNTIF($E188:AE188,"µ")+COUNTIF($E188:AE188,1)-1,INDEX(Roadmap!$D:$K,MATCH($E188,Roadmap!$D:$D,0)-1+COUNTIF($E188:AE188,"u")+COUNTIF($E188:AE188,"t")+COUNTIF($E188:AE188,"¶")+COUNTIF($E188:AE188,"²")+COUNTIF($E188:AE188,"µ")+COUNTIF($E188:AE188,1),ColDescriptionCourte)),""),
  "")),"")</f>
        <v/>
      </c>
      <c r="AG188" s="40" t="str">
        <f ca="1">IFERROR(IF(AND(
  INDEX(Roadmap!$D:$K,MATCH($E188,Roadmap!$D:$D,0)+COUNTIF($E188:AF188,"u")+COUNTIF($E188:AF188,"t")+COUNTIF($E188:AF188,"¶")+COUNTIF($E188:AF188,"²")+COUNTIF($E188:AF188,"µ")+COUNTIF($E188:AF188,1),ColLivraison)=AG$6,
  VLOOKUP($E188,INDIRECT("tri!"&amp; CHAR(64+ C0Col) &amp;":"&amp; CHAR(65+C0Col)),2,FALSE)&gt;COUNTIF($E188:AF188,"u")+COUNTIF($E188:AF188,"t")+COUNTIF($E188:AF188,"¶")+COUNTIF($E188:AF188,"²")+COUNTIF($E188:AF188,"µ")+COUNTIF($E188:AF188,1)),
HYPERLINK("#Roadmap!C"&amp; MATCH($E188,Roadmap!$D:$D,0)+COUNTIF($E188:AF188,"u")+COUNTIF($E188:AF188,"t"),
     INDEX(Roadmap!$D:$K,MATCH($E188,Roadmap!$D:$D,0)+COUNTIF($E188:AF188,"u")+COUNTIF($E188:AF188,"t")+COUNTIF($E188:AF188,"¶")+COUNTIF($E188:AF188,"²")+COUNTIF($E188:AF188,"µ")+COUNTIF($E188:AF188,1),ColTypeEcheance)),
  IF(LEN(AF188)=1,
  IF(LEN(INDEX(Roadmap!$D:$K,MATCH($E188,Roadmap!$D:$D,0)-1+COUNTIF($E188:AF188,"u")+COUNTIF($E188:AF188,"t")+COUNTIF($E188:AF188,"¶")+COUNTIF($E188:AF188,"²")+COUNTIF($E188:AF188,"µ")+COUNTIF($E188:AF188,1),ColDescriptionCourte))&gt;1,
HYPERLINK("#Roadmap!C"&amp; MATCH($E188,Roadmap!$D:$D,0)+COUNTIF($E188:AF188,"u")+COUNTIF($E188:AF188,"t")+COUNTIF($E188:AF188,"¶")+COUNTIF($E188:AF188,"²")+COUNTIF($E188:AF188,"µ")+COUNTIF($E188:AF188,1)-1,INDEX(Roadmap!$D:$K,MATCH($E188,Roadmap!$D:$D,0)-1+COUNTIF($E188:AF188,"u")+COUNTIF($E188:AF188,"t")+COUNTIF($E188:AF188,"¶")+COUNTIF($E188:AF188,"²")+COUNTIF($E188:AF188,"µ")+COUNTIF($E188:AF188,1),ColDescriptionCourte)),""),
  "")),"")</f>
        <v/>
      </c>
    </row>
    <row r="189" spans="3:33" ht="14.25" customHeight="1">
      <c r="C189" s="1" t="str">
        <f t="shared" ca="1" si="54"/>
        <v/>
      </c>
      <c r="D189" s="1" t="str">
        <f t="shared" ca="1" si="55"/>
        <v/>
      </c>
      <c r="E189" s="35" t="str">
        <f t="shared" ca="1" si="51"/>
        <v/>
      </c>
      <c r="F189" s="39" t="str">
        <f ca="1">IFERROR(IF(AND(
  INDEX(Roadmap!$D:$K,MATCH($E189,Roadmap!$D:$D,0)+COUNTIF($E189:E189,"u")+COUNTIF($E189:E189,"t")+COUNTIF($E189:E189,"¶")+COUNTIF($E189:E189,"²")+COUNTIF($E189:E189,"µ")+COUNTIF($E189:E189,1),ColLivraison)=F$6,
  VLOOKUP($E189,INDIRECT("tri!"&amp; CHAR(64+ C0Col) &amp;":"&amp; CHAR(65+C0Col)),2,FALSE)&gt;COUNTIF($E189:E189,"u")+COUNTIF($E189:E189,"t")+COUNTIF($E189:E189,"¶")+COUNTIF($E189:E189,"²")+COUNTIF($E189:E189,"µ")+COUNTIF($E189:E189,1)),
HYPERLINK("#Roadmap!C"&amp; MATCH($E189,Roadmap!$D:$D,0)+COUNTIF($E189:E189,"u")+COUNTIF($E189:E189,"t"),
     INDEX(Roadmap!$D:$K,MATCH($E189,Roadmap!$D:$D,0)+COUNTIF($E189:E189,"u")+COUNTIF($E189:E189,"t")+COUNTIF($E189:E189,"¶")+COUNTIF($E189:E189,"²")+COUNTIF($E189:E189,"µ")+COUNTIF($E189:E189,1),ColTypeEcheance)),
  IF(LEN(E189)=1,
  IF(LEN(INDEX(Roadmap!$D:$K,MATCH($E189,Roadmap!$D:$D,0)-1+COUNTIF($E189:E189,"u")+COUNTIF($E189:E189,"t")+COUNTIF($E189:E189,"¶")+COUNTIF($E189:E189,"²")+COUNTIF($E189:E189,"µ")+COUNTIF($E189:E189,1),ColDescriptionCourte))&gt;1,
HYPERLINK("#Roadmap!C"&amp; MATCH($E189,Roadmap!$D:$D,0)+COUNTIF($E189:E189,"u")+COUNTIF($E189:E189,"t")+COUNTIF($E189:E189,"¶")+COUNTIF($E189:E189,"²")+COUNTIF($E189:E189,"µ")+COUNTIF($E189:E189,1)-1,INDEX(Roadmap!$D:$K,MATCH($E189,Roadmap!$D:$D,0)-1+COUNTIF($E189:E189,"u")+COUNTIF($E189:E189,"t")+COUNTIF($E189:E189,"¶")+COUNTIF($E189:E189,"²")+COUNTIF($E189:E189,"µ")+COUNTIF($E189:E189,1),ColDescriptionCourte)),""),
  "")),"")</f>
        <v/>
      </c>
      <c r="G189" s="40" t="str">
        <f ca="1">IFERROR(IF(AND(
  INDEX(Roadmap!$D:$K,MATCH($E189,Roadmap!$D:$D,0)+COUNTIF($E189:F189,"u")+COUNTIF($E189:F189,"t")+COUNTIF($E189:F189,"¶")+COUNTIF($E189:F189,"²")+COUNTIF($E189:F189,"µ")+COUNTIF($E189:F189,1),ColLivraison)=G$6,
  VLOOKUP($E189,INDIRECT("tri!"&amp; CHAR(64+ C0Col) &amp;":"&amp; CHAR(65+C0Col)),2,FALSE)&gt;COUNTIF($E189:F189,"u")+COUNTIF($E189:F189,"t")+COUNTIF($E189:F189,"¶")+COUNTIF($E189:F189,"²")+COUNTIF($E189:F189,"µ")+COUNTIF($E189:F189,1)),
HYPERLINK("#Roadmap!C"&amp; MATCH($E189,Roadmap!$D:$D,0)+COUNTIF($E189:F189,"u")+COUNTIF($E189:F189,"t"),
     INDEX(Roadmap!$D:$K,MATCH($E189,Roadmap!$D:$D,0)+COUNTIF($E189:F189,"u")+COUNTIF($E189:F189,"t")+COUNTIF($E189:F189,"¶")+COUNTIF($E189:F189,"²")+COUNTIF($E189:F189,"µ")+COUNTIF($E189:F189,1),ColTypeEcheance)),
  IF(LEN(F189)=1,
  IF(LEN(INDEX(Roadmap!$D:$K,MATCH($E189,Roadmap!$D:$D,0)-1+COUNTIF($E189:F189,"u")+COUNTIF($E189:F189,"t")+COUNTIF($E189:F189,"¶")+COUNTIF($E189:F189,"²")+COUNTIF($E189:F189,"µ")+COUNTIF($E189:F189,1),ColDescriptionCourte))&gt;1,
HYPERLINK("#Roadmap!C"&amp; MATCH($E189,Roadmap!$D:$D,0)+COUNTIF($E189:F189,"u")+COUNTIF($E189:F189,"t")+COUNTIF($E189:F189,"¶")+COUNTIF($E189:F189,"²")+COUNTIF($E189:F189,"µ")+COUNTIF($E189:F189,1)-1,INDEX(Roadmap!$D:$K,MATCH($E189,Roadmap!$D:$D,0)-1+COUNTIF($E189:F189,"u")+COUNTIF($E189:F189,"t")+COUNTIF($E189:F189,"¶")+COUNTIF($E189:F189,"²")+COUNTIF($E189:F189,"µ")+COUNTIF($E189:F189,1),ColDescriptionCourte)),""),
  "")),"")</f>
        <v/>
      </c>
      <c r="H189" s="40" t="str">
        <f ca="1">IFERROR(IF(AND(
  INDEX(Roadmap!$D:$K,MATCH($E189,Roadmap!$D:$D,0)+COUNTIF($E189:G189,"u")+COUNTIF($E189:G189,"t")+COUNTIF($E189:G189,"¶")+COUNTIF($E189:G189,"²")+COUNTIF($E189:G189,"µ")+COUNTIF($E189:G189,1),ColLivraison)=H$6,
  VLOOKUP($E189,INDIRECT("tri!"&amp; CHAR(64+ C0Col) &amp;":"&amp; CHAR(65+C0Col)),2,FALSE)&gt;COUNTIF($E189:G189,"u")+COUNTIF($E189:G189,"t")+COUNTIF($E189:G189,"¶")+COUNTIF($E189:G189,"²")+COUNTIF($E189:G189,"µ")+COUNTIF($E189:G189,1)),
HYPERLINK("#Roadmap!C"&amp; MATCH($E189,Roadmap!$D:$D,0)+COUNTIF($E189:G189,"u")+COUNTIF($E189:G189,"t"),
     INDEX(Roadmap!$D:$K,MATCH($E189,Roadmap!$D:$D,0)+COUNTIF($E189:G189,"u")+COUNTIF($E189:G189,"t")+COUNTIF($E189:G189,"¶")+COUNTIF($E189:G189,"²")+COUNTIF($E189:G189,"µ")+COUNTIF($E189:G189,1),ColTypeEcheance)),
  IF(LEN(G189)=1,
  IF(LEN(INDEX(Roadmap!$D:$K,MATCH($E189,Roadmap!$D:$D,0)-1+COUNTIF($E189:G189,"u")+COUNTIF($E189:G189,"t")+COUNTIF($E189:G189,"¶")+COUNTIF($E189:G189,"²")+COUNTIF($E189:G189,"µ")+COUNTIF($E189:G189,1),ColDescriptionCourte))&gt;1,
HYPERLINK("#Roadmap!C"&amp; MATCH($E189,Roadmap!$D:$D,0)+COUNTIF($E189:G189,"u")+COUNTIF($E189:G189,"t")+COUNTIF($E189:G189,"¶")+COUNTIF($E189:G189,"²")+COUNTIF($E189:G189,"µ")+COUNTIF($E189:G189,1)-1,INDEX(Roadmap!$D:$K,MATCH($E189,Roadmap!$D:$D,0)-1+COUNTIF($E189:G189,"u")+COUNTIF($E189:G189,"t")+COUNTIF($E189:G189,"¶")+COUNTIF($E189:G189,"²")+COUNTIF($E189:G189,"µ")+COUNTIF($E189:G189,1),ColDescriptionCourte)),""),
  "")),"")</f>
        <v/>
      </c>
      <c r="I189" s="40" t="str">
        <f ca="1">IFERROR(IF(AND(
  INDEX(Roadmap!$D:$K,MATCH($E189,Roadmap!$D:$D,0)+COUNTIF($E189:H189,"u")+COUNTIF($E189:H189,"t")+COUNTIF($E189:H189,"¶")+COUNTIF($E189:H189,"²")+COUNTIF($E189:H189,"µ")+COUNTIF($E189:H189,1),ColLivraison)=I$6,
  VLOOKUP($E189,INDIRECT("tri!"&amp; CHAR(64+ C0Col) &amp;":"&amp; CHAR(65+C0Col)),2,FALSE)&gt;COUNTIF($E189:H189,"u")+COUNTIF($E189:H189,"t")+COUNTIF($E189:H189,"¶")+COUNTIF($E189:H189,"²")+COUNTIF($E189:H189,"µ")+COUNTIF($E189:H189,1)),
HYPERLINK("#Roadmap!C"&amp; MATCH($E189,Roadmap!$D:$D,0)+COUNTIF($E189:H189,"u")+COUNTIF($E189:H189,"t"),
     INDEX(Roadmap!$D:$K,MATCH($E189,Roadmap!$D:$D,0)+COUNTIF($E189:H189,"u")+COUNTIF($E189:H189,"t")+COUNTIF($E189:H189,"¶")+COUNTIF($E189:H189,"²")+COUNTIF($E189:H189,"µ")+COUNTIF($E189:H189,1),ColTypeEcheance)),
  IF(LEN(H189)=1,
  IF(LEN(INDEX(Roadmap!$D:$K,MATCH($E189,Roadmap!$D:$D,0)-1+COUNTIF($E189:H189,"u")+COUNTIF($E189:H189,"t")+COUNTIF($E189:H189,"¶")+COUNTIF($E189:H189,"²")+COUNTIF($E189:H189,"µ")+COUNTIF($E189:H189,1),ColDescriptionCourte))&gt;1,
HYPERLINK("#Roadmap!C"&amp; MATCH($E189,Roadmap!$D:$D,0)+COUNTIF($E189:H189,"u")+COUNTIF($E189:H189,"t")+COUNTIF($E189:H189,"¶")+COUNTIF($E189:H189,"²")+COUNTIF($E189:H189,"µ")+COUNTIF($E189:H189,1)-1,INDEX(Roadmap!$D:$K,MATCH($E189,Roadmap!$D:$D,0)-1+COUNTIF($E189:H189,"u")+COUNTIF($E189:H189,"t")+COUNTIF($E189:H189,"¶")+COUNTIF($E189:H189,"²")+COUNTIF($E189:H189,"µ")+COUNTIF($E189:H189,1),ColDescriptionCourte)),""),
  "")),"")</f>
        <v/>
      </c>
      <c r="J189" s="40" t="str">
        <f ca="1">IFERROR(IF(AND(
  INDEX(Roadmap!$D:$K,MATCH($E189,Roadmap!$D:$D,0)+COUNTIF($E189:I189,"u")+COUNTIF($E189:I189,"t")+COUNTIF($E189:I189,"¶")+COUNTIF($E189:I189,"²")+COUNTIF($E189:I189,"µ")+COUNTIF($E189:I189,1),ColLivraison)=J$6,
  VLOOKUP($E189,INDIRECT("tri!"&amp; CHAR(64+ C0Col) &amp;":"&amp; CHAR(65+C0Col)),2,FALSE)&gt;COUNTIF($E189:I189,"u")+COUNTIF($E189:I189,"t")+COUNTIF($E189:I189,"¶")+COUNTIF($E189:I189,"²")+COUNTIF($E189:I189,"µ")+COUNTIF($E189:I189,1)),
HYPERLINK("#Roadmap!C"&amp; MATCH($E189,Roadmap!$D:$D,0)+COUNTIF($E189:I189,"u")+COUNTIF($E189:I189,"t"),
     INDEX(Roadmap!$D:$K,MATCH($E189,Roadmap!$D:$D,0)+COUNTIF($E189:I189,"u")+COUNTIF($E189:I189,"t")+COUNTIF($E189:I189,"¶")+COUNTIF($E189:I189,"²")+COUNTIF($E189:I189,"µ")+COUNTIF($E189:I189,1),ColTypeEcheance)),
  IF(LEN(I189)=1,
  IF(LEN(INDEX(Roadmap!$D:$K,MATCH($E189,Roadmap!$D:$D,0)-1+COUNTIF($E189:I189,"u")+COUNTIF($E189:I189,"t")+COUNTIF($E189:I189,"¶")+COUNTIF($E189:I189,"²")+COUNTIF($E189:I189,"µ")+COUNTIF($E189:I189,1),ColDescriptionCourte))&gt;1,
HYPERLINK("#Roadmap!C"&amp; MATCH($E189,Roadmap!$D:$D,0)+COUNTIF($E189:I189,"u")+COUNTIF($E189:I189,"t")+COUNTIF($E189:I189,"¶")+COUNTIF($E189:I189,"²")+COUNTIF($E189:I189,"µ")+COUNTIF($E189:I189,1)-1,INDEX(Roadmap!$D:$K,MATCH($E189,Roadmap!$D:$D,0)-1+COUNTIF($E189:I189,"u")+COUNTIF($E189:I189,"t")+COUNTIF($E189:I189,"¶")+COUNTIF($E189:I189,"²")+COUNTIF($E189:I189,"µ")+COUNTIF($E189:I189,1),ColDescriptionCourte)),""),
  "")),"")</f>
        <v/>
      </c>
      <c r="K189" s="40" t="str">
        <f ca="1">IFERROR(IF(AND(
  INDEX(Roadmap!$D:$K,MATCH($E189,Roadmap!$D:$D,0)+COUNTIF($E189:J189,"u")+COUNTIF($E189:J189,"t")+COUNTIF($E189:J189,"¶")+COUNTIF($E189:J189,"²")+COUNTIF($E189:J189,"µ")+COUNTIF($E189:J189,1),ColLivraison)=K$6,
  VLOOKUP($E189,INDIRECT("tri!"&amp; CHAR(64+ C0Col) &amp;":"&amp; CHAR(65+C0Col)),2,FALSE)&gt;COUNTIF($E189:J189,"u")+COUNTIF($E189:J189,"t")+COUNTIF($E189:J189,"¶")+COUNTIF($E189:J189,"²")+COUNTIF($E189:J189,"µ")+COUNTIF($E189:J189,1)),
HYPERLINK("#Roadmap!C"&amp; MATCH($E189,Roadmap!$D:$D,0)+COUNTIF($E189:J189,"u")+COUNTIF($E189:J189,"t"),
     INDEX(Roadmap!$D:$K,MATCH($E189,Roadmap!$D:$D,0)+COUNTIF($E189:J189,"u")+COUNTIF($E189:J189,"t")+COUNTIF($E189:J189,"¶")+COUNTIF($E189:J189,"²")+COUNTIF($E189:J189,"µ")+COUNTIF($E189:J189,1),ColTypeEcheance)),
  IF(LEN(J189)=1,
  IF(LEN(INDEX(Roadmap!$D:$K,MATCH($E189,Roadmap!$D:$D,0)-1+COUNTIF($E189:J189,"u")+COUNTIF($E189:J189,"t")+COUNTIF($E189:J189,"¶")+COUNTIF($E189:J189,"²")+COUNTIF($E189:J189,"µ")+COUNTIF($E189:J189,1),ColDescriptionCourte))&gt;1,
HYPERLINK("#Roadmap!C"&amp; MATCH($E189,Roadmap!$D:$D,0)+COUNTIF($E189:J189,"u")+COUNTIF($E189:J189,"t")+COUNTIF($E189:J189,"¶")+COUNTIF($E189:J189,"²")+COUNTIF($E189:J189,"µ")+COUNTIF($E189:J189,1)-1,INDEX(Roadmap!$D:$K,MATCH($E189,Roadmap!$D:$D,0)-1+COUNTIF($E189:J189,"u")+COUNTIF($E189:J189,"t")+COUNTIF($E189:J189,"¶")+COUNTIF($E189:J189,"²")+COUNTIF($E189:J189,"µ")+COUNTIF($E189:J189,1),ColDescriptionCourte)),""),
  "")),"")</f>
        <v/>
      </c>
      <c r="L189" s="39" t="str">
        <f ca="1">IFERROR(IF(AND(
  INDEX(Roadmap!$D:$K,MATCH($E189,Roadmap!$D:$D,0)+COUNTIF($E189:K189,"u")+COUNTIF($E189:K189,"t")+COUNTIF($E189:K189,"¶")+COUNTIF($E189:K189,"²")+COUNTIF($E189:K189,"µ")+COUNTIF($E189:K189,1),ColLivraison)=L$6,
  VLOOKUP($E189,INDIRECT("tri!"&amp; CHAR(64+ C0Col) &amp;":"&amp; CHAR(65+C0Col)),2,FALSE)&gt;COUNTIF($E189:K189,"u")+COUNTIF($E189:K189,"t")+COUNTIF($E189:K189,"¶")+COUNTIF($E189:K189,"²")+COUNTIF($E189:K189,"µ")+COUNTIF($E189:K189,1)),
HYPERLINK("#Roadmap!C"&amp; MATCH($E189,Roadmap!$D:$D,0)+COUNTIF($E189:K189,"u")+COUNTIF($E189:K189,"t"),
     INDEX(Roadmap!$D:$K,MATCH($E189,Roadmap!$D:$D,0)+COUNTIF($E189:K189,"u")+COUNTIF($E189:K189,"t")+COUNTIF($E189:K189,"¶")+COUNTIF($E189:K189,"²")+COUNTIF($E189:K189,"µ")+COUNTIF($E189:K189,1),ColTypeEcheance)),
  IF(LEN(K189)=1,
  IF(LEN(INDEX(Roadmap!$D:$K,MATCH($E189,Roadmap!$D:$D,0)-1+COUNTIF($E189:K189,"u")+COUNTIF($E189:K189,"t")+COUNTIF($E189:K189,"¶")+COUNTIF($E189:K189,"²")+COUNTIF($E189:K189,"µ")+COUNTIF($E189:K189,1),ColDescriptionCourte))&gt;1,
HYPERLINK("#Roadmap!C"&amp; MATCH($E189,Roadmap!$D:$D,0)+COUNTIF($E189:K189,"u")+COUNTIF($E189:K189,"t")+COUNTIF($E189:K189,"¶")+COUNTIF($E189:K189,"²")+COUNTIF($E189:K189,"µ")+COUNTIF($E189:K189,1)-1,INDEX(Roadmap!$D:$K,MATCH($E189,Roadmap!$D:$D,0)-1+COUNTIF($E189:K189,"u")+COUNTIF($E189:K189,"t")+COUNTIF($E189:K189,"¶")+COUNTIF($E189:K189,"²")+COUNTIF($E189:K189,"µ")+COUNTIF($E189:K189,1),ColDescriptionCourte)),""),
  "")),"")</f>
        <v/>
      </c>
      <c r="M189" s="40" t="str">
        <f ca="1">IFERROR(IF(AND(
  INDEX(Roadmap!$D:$K,MATCH($E189,Roadmap!$D:$D,0)+COUNTIF($E189:L189,"u")+COUNTIF($E189:L189,"t")+COUNTIF($E189:L189,"¶")+COUNTIF($E189:L189,"²")+COUNTIF($E189:L189,"µ")+COUNTIF($E189:L189,1),ColLivraison)=M$6,
  VLOOKUP($E189,INDIRECT("tri!"&amp; CHAR(64+ C0Col) &amp;":"&amp; CHAR(65+C0Col)),2,FALSE)&gt;COUNTIF($E189:L189,"u")+COUNTIF($E189:L189,"t")+COUNTIF($E189:L189,"¶")+COUNTIF($E189:L189,"²")+COUNTIF($E189:L189,"µ")+COUNTIF($E189:L189,1)),
HYPERLINK("#Roadmap!C"&amp; MATCH($E189,Roadmap!$D:$D,0)+COUNTIF($E189:L189,"u")+COUNTIF($E189:L189,"t"),
     INDEX(Roadmap!$D:$K,MATCH($E189,Roadmap!$D:$D,0)+COUNTIF($E189:L189,"u")+COUNTIF($E189:L189,"t")+COUNTIF($E189:L189,"¶")+COUNTIF($E189:L189,"²")+COUNTIF($E189:L189,"µ")+COUNTIF($E189:L189,1),ColTypeEcheance)),
  IF(LEN(L189)=1,
  IF(LEN(INDEX(Roadmap!$D:$K,MATCH($E189,Roadmap!$D:$D,0)-1+COUNTIF($E189:L189,"u")+COUNTIF($E189:L189,"t")+COUNTIF($E189:L189,"¶")+COUNTIF($E189:L189,"²")+COUNTIF($E189:L189,"µ")+COUNTIF($E189:L189,1),ColDescriptionCourte))&gt;1,
HYPERLINK("#Roadmap!C"&amp; MATCH($E189,Roadmap!$D:$D,0)+COUNTIF($E189:L189,"u")+COUNTIF($E189:L189,"t")+COUNTIF($E189:L189,"¶")+COUNTIF($E189:L189,"²")+COUNTIF($E189:L189,"µ")+COUNTIF($E189:L189,1)-1,INDEX(Roadmap!$D:$K,MATCH($E189,Roadmap!$D:$D,0)-1+COUNTIF($E189:L189,"u")+COUNTIF($E189:L189,"t")+COUNTIF($E189:L189,"¶")+COUNTIF($E189:L189,"²")+COUNTIF($E189:L189,"µ")+COUNTIF($E189:L189,1),ColDescriptionCourte)),""),
  "")),"")</f>
        <v/>
      </c>
      <c r="N189" s="40" t="str">
        <f ca="1">IFERROR(IF(AND(
  INDEX(Roadmap!$D:$K,MATCH($E189,Roadmap!$D:$D,0)+COUNTIF($E189:M189,"u")+COUNTIF($E189:M189,"t")+COUNTIF($E189:M189,"¶")+COUNTIF($E189:M189,"²")+COUNTIF($E189:M189,"µ")+COUNTIF($E189:M189,1),ColLivraison)=N$6,
  VLOOKUP($E189,INDIRECT("tri!"&amp; CHAR(64+ C0Col) &amp;":"&amp; CHAR(65+C0Col)),2,FALSE)&gt;COUNTIF($E189:M189,"u")+COUNTIF($E189:M189,"t")+COUNTIF($E189:M189,"¶")+COUNTIF($E189:M189,"²")+COUNTIF($E189:M189,"µ")+COUNTIF($E189:M189,1)),
HYPERLINK("#Roadmap!C"&amp; MATCH($E189,Roadmap!$D:$D,0)+COUNTIF($E189:M189,"u")+COUNTIF($E189:M189,"t"),
     INDEX(Roadmap!$D:$K,MATCH($E189,Roadmap!$D:$D,0)+COUNTIF($E189:M189,"u")+COUNTIF($E189:M189,"t")+COUNTIF($E189:M189,"¶")+COUNTIF($E189:M189,"²")+COUNTIF($E189:M189,"µ")+COUNTIF($E189:M189,1),ColTypeEcheance)),
  IF(LEN(M189)=1,
  IF(LEN(INDEX(Roadmap!$D:$K,MATCH($E189,Roadmap!$D:$D,0)-1+COUNTIF($E189:M189,"u")+COUNTIF($E189:M189,"t")+COUNTIF($E189:M189,"¶")+COUNTIF($E189:M189,"²")+COUNTIF($E189:M189,"µ")+COUNTIF($E189:M189,1),ColDescriptionCourte))&gt;1,
HYPERLINK("#Roadmap!C"&amp; MATCH($E189,Roadmap!$D:$D,0)+COUNTIF($E189:M189,"u")+COUNTIF($E189:M189,"t")+COUNTIF($E189:M189,"¶")+COUNTIF($E189:M189,"²")+COUNTIF($E189:M189,"µ")+COUNTIF($E189:M189,1)-1,INDEX(Roadmap!$D:$K,MATCH($E189,Roadmap!$D:$D,0)-1+COUNTIF($E189:M189,"u")+COUNTIF($E189:M189,"t")+COUNTIF($E189:M189,"¶")+COUNTIF($E189:M189,"²")+COUNTIF($E189:M189,"µ")+COUNTIF($E189:M189,1),ColDescriptionCourte)),""),
  "")),"")</f>
        <v/>
      </c>
      <c r="O189" s="40" t="str">
        <f ca="1">IFERROR(IF(AND(
  INDEX(Roadmap!$D:$K,MATCH($E189,Roadmap!$D:$D,0)+COUNTIF($E189:N189,"u")+COUNTIF($E189:N189,"t")+COUNTIF($E189:N189,"¶")+COUNTIF($E189:N189,"²")+COUNTIF($E189:N189,"µ")+COUNTIF($E189:N189,1),ColLivraison)=O$6,
  VLOOKUP($E189,INDIRECT("tri!"&amp; CHAR(64+ C0Col) &amp;":"&amp; CHAR(65+C0Col)),2,FALSE)&gt;COUNTIF($E189:N189,"u")+COUNTIF($E189:N189,"t")+COUNTIF($E189:N189,"¶")+COUNTIF($E189:N189,"²")+COUNTIF($E189:N189,"µ")+COUNTIF($E189:N189,1)),
HYPERLINK("#Roadmap!C"&amp; MATCH($E189,Roadmap!$D:$D,0)+COUNTIF($E189:N189,"u")+COUNTIF($E189:N189,"t"),
     INDEX(Roadmap!$D:$K,MATCH($E189,Roadmap!$D:$D,0)+COUNTIF($E189:N189,"u")+COUNTIF($E189:N189,"t")+COUNTIF($E189:N189,"¶")+COUNTIF($E189:N189,"²")+COUNTIF($E189:N189,"µ")+COUNTIF($E189:N189,1),ColTypeEcheance)),
  IF(LEN(N189)=1,
  IF(LEN(INDEX(Roadmap!$D:$K,MATCH($E189,Roadmap!$D:$D,0)-1+COUNTIF($E189:N189,"u")+COUNTIF($E189:N189,"t")+COUNTIF($E189:N189,"¶")+COUNTIF($E189:N189,"²")+COUNTIF($E189:N189,"µ")+COUNTIF($E189:N189,1),ColDescriptionCourte))&gt;1,
HYPERLINK("#Roadmap!C"&amp; MATCH($E189,Roadmap!$D:$D,0)+COUNTIF($E189:N189,"u")+COUNTIF($E189:N189,"t")+COUNTIF($E189:N189,"¶")+COUNTIF($E189:N189,"²")+COUNTIF($E189:N189,"µ")+COUNTIF($E189:N189,1)-1,INDEX(Roadmap!$D:$K,MATCH($E189,Roadmap!$D:$D,0)-1+COUNTIF($E189:N189,"u")+COUNTIF($E189:N189,"t")+COUNTIF($E189:N189,"¶")+COUNTIF($E189:N189,"²")+COUNTIF($E189:N189,"µ")+COUNTIF($E189:N189,1),ColDescriptionCourte)),""),
  "")),"")</f>
        <v/>
      </c>
      <c r="P189" s="40" t="str">
        <f ca="1">IFERROR(IF(AND(
  INDEX(Roadmap!$D:$K,MATCH($E189,Roadmap!$D:$D,0)+COUNTIF($E189:O189,"u")+COUNTIF($E189:O189,"t")+COUNTIF($E189:O189,"¶")+COUNTIF($E189:O189,"²")+COUNTIF($E189:O189,"µ")+COUNTIF($E189:O189,1),ColLivraison)=P$6,
  VLOOKUP($E189,INDIRECT("tri!"&amp; CHAR(64+ C0Col) &amp;":"&amp; CHAR(65+C0Col)),2,FALSE)&gt;COUNTIF($E189:O189,"u")+COUNTIF($E189:O189,"t")+COUNTIF($E189:O189,"¶")+COUNTIF($E189:O189,"²")+COUNTIF($E189:O189,"µ")+COUNTIF($E189:O189,1)),
HYPERLINK("#Roadmap!C"&amp; MATCH($E189,Roadmap!$D:$D,0)+COUNTIF($E189:O189,"u")+COUNTIF($E189:O189,"t"),
     INDEX(Roadmap!$D:$K,MATCH($E189,Roadmap!$D:$D,0)+COUNTIF($E189:O189,"u")+COUNTIF($E189:O189,"t")+COUNTIF($E189:O189,"¶")+COUNTIF($E189:O189,"²")+COUNTIF($E189:O189,"µ")+COUNTIF($E189:O189,1),ColTypeEcheance)),
  IF(LEN(O189)=1,
  IF(LEN(INDEX(Roadmap!$D:$K,MATCH($E189,Roadmap!$D:$D,0)-1+COUNTIF($E189:O189,"u")+COUNTIF($E189:O189,"t")+COUNTIF($E189:O189,"¶")+COUNTIF($E189:O189,"²")+COUNTIF($E189:O189,"µ")+COUNTIF($E189:O189,1),ColDescriptionCourte))&gt;1,
HYPERLINK("#Roadmap!C"&amp; MATCH($E189,Roadmap!$D:$D,0)+COUNTIF($E189:O189,"u")+COUNTIF($E189:O189,"t")+COUNTIF($E189:O189,"¶")+COUNTIF($E189:O189,"²")+COUNTIF($E189:O189,"µ")+COUNTIF($E189:O189,1)-1,INDEX(Roadmap!$D:$K,MATCH($E189,Roadmap!$D:$D,0)-1+COUNTIF($E189:O189,"u")+COUNTIF($E189:O189,"t")+COUNTIF($E189:O189,"¶")+COUNTIF($E189:O189,"²")+COUNTIF($E189:O189,"µ")+COUNTIF($E189:O189,1),ColDescriptionCourte)),""),
  "")),"")</f>
        <v/>
      </c>
      <c r="Q189" s="40" t="str">
        <f ca="1">IFERROR(IF(AND(
  INDEX(Roadmap!$D:$K,MATCH($E189,Roadmap!$D:$D,0)+COUNTIF($E189:P189,"u")+COUNTIF($E189:P189,"t")+COUNTIF($E189:P189,"¶")+COUNTIF($E189:P189,"²")+COUNTIF($E189:P189,"µ")+COUNTIF($E189:P189,1),ColLivraison)=Q$6,
  VLOOKUP($E189,INDIRECT("tri!"&amp; CHAR(64+ C0Col) &amp;":"&amp; CHAR(65+C0Col)),2,FALSE)&gt;COUNTIF($E189:P189,"u")+COUNTIF($E189:P189,"t")+COUNTIF($E189:P189,"¶")+COUNTIF($E189:P189,"²")+COUNTIF($E189:P189,"µ")+COUNTIF($E189:P189,1)),
HYPERLINK("#Roadmap!C"&amp; MATCH($E189,Roadmap!$D:$D,0)+COUNTIF($E189:P189,"u")+COUNTIF($E189:P189,"t"),
     INDEX(Roadmap!$D:$K,MATCH($E189,Roadmap!$D:$D,0)+COUNTIF($E189:P189,"u")+COUNTIF($E189:P189,"t")+COUNTIF($E189:P189,"¶")+COUNTIF($E189:P189,"²")+COUNTIF($E189:P189,"µ")+COUNTIF($E189:P189,1),ColTypeEcheance)),
  IF(LEN(P189)=1,
  IF(LEN(INDEX(Roadmap!$D:$K,MATCH($E189,Roadmap!$D:$D,0)-1+COUNTIF($E189:P189,"u")+COUNTIF($E189:P189,"t")+COUNTIF($E189:P189,"¶")+COUNTIF($E189:P189,"²")+COUNTIF($E189:P189,"µ")+COUNTIF($E189:P189,1),ColDescriptionCourte))&gt;1,
HYPERLINK("#Roadmap!C"&amp; MATCH($E189,Roadmap!$D:$D,0)+COUNTIF($E189:P189,"u")+COUNTIF($E189:P189,"t")+COUNTIF($E189:P189,"¶")+COUNTIF($E189:P189,"²")+COUNTIF($E189:P189,"µ")+COUNTIF($E189:P189,1)-1,INDEX(Roadmap!$D:$K,MATCH($E189,Roadmap!$D:$D,0)-1+COUNTIF($E189:P189,"u")+COUNTIF($E189:P189,"t")+COUNTIF($E189:P189,"¶")+COUNTIF($E189:P189,"²")+COUNTIF($E189:P189,"µ")+COUNTIF($E189:P189,1),ColDescriptionCourte)),""),
  "")),"")</f>
        <v/>
      </c>
      <c r="R189" s="40" t="str">
        <f ca="1">IFERROR(IF(AND(
  INDEX(Roadmap!$D:$K,MATCH($E189,Roadmap!$D:$D,0)+COUNTIF($E189:Q189,"u")+COUNTIF($E189:Q189,"t")+COUNTIF($E189:Q189,"¶")+COUNTIF($E189:Q189,"²")+COUNTIF($E189:Q189,"µ")+COUNTIF($E189:Q189,1),ColLivraison)=R$6,
  VLOOKUP($E189,INDIRECT("tri!"&amp; CHAR(64+ C0Col) &amp;":"&amp; CHAR(65+C0Col)),2,FALSE)&gt;COUNTIF($E189:Q189,"u")+COUNTIF($E189:Q189,"t")+COUNTIF($E189:Q189,"¶")+COUNTIF($E189:Q189,"²")+COUNTIF($E189:Q189,"µ")+COUNTIF($E189:Q189,1)),
HYPERLINK("#Roadmap!C"&amp; MATCH($E189,Roadmap!$D:$D,0)+COUNTIF($E189:Q189,"u")+COUNTIF($E189:Q189,"t"),
     INDEX(Roadmap!$D:$K,MATCH($E189,Roadmap!$D:$D,0)+COUNTIF($E189:Q189,"u")+COUNTIF($E189:Q189,"t")+COUNTIF($E189:Q189,"¶")+COUNTIF($E189:Q189,"²")+COUNTIF($E189:Q189,"µ")+COUNTIF($E189:Q189,1),ColTypeEcheance)),
  IF(LEN(Q189)=1,
  IF(LEN(INDEX(Roadmap!$D:$K,MATCH($E189,Roadmap!$D:$D,0)-1+COUNTIF($E189:Q189,"u")+COUNTIF($E189:Q189,"t")+COUNTIF($E189:Q189,"¶")+COUNTIF($E189:Q189,"²")+COUNTIF($E189:Q189,"µ")+COUNTIF($E189:Q189,1),ColDescriptionCourte))&gt;1,
HYPERLINK("#Roadmap!C"&amp; MATCH($E189,Roadmap!$D:$D,0)+COUNTIF($E189:Q189,"u")+COUNTIF($E189:Q189,"t")+COUNTIF($E189:Q189,"¶")+COUNTIF($E189:Q189,"²")+COUNTIF($E189:Q189,"µ")+COUNTIF($E189:Q189,1)-1,INDEX(Roadmap!$D:$K,MATCH($E189,Roadmap!$D:$D,0)-1+COUNTIF($E189:Q189,"u")+COUNTIF($E189:Q189,"t")+COUNTIF($E189:Q189,"¶")+COUNTIF($E189:Q189,"²")+COUNTIF($E189:Q189,"µ")+COUNTIF($E189:Q189,1),ColDescriptionCourte)),""),
  "")),"")</f>
        <v/>
      </c>
      <c r="S189" s="40" t="str">
        <f ca="1">IFERROR(IF(AND(
  INDEX(Roadmap!$D:$K,MATCH($E189,Roadmap!$D:$D,0)+COUNTIF($E189:R189,"u")+COUNTIF($E189:R189,"t")+COUNTIF($E189:R189,"¶")+COUNTIF($E189:R189,"²")+COUNTIF($E189:R189,"µ")+COUNTIF($E189:R189,1),ColLivraison)=S$6,
  VLOOKUP($E189,INDIRECT("tri!"&amp; CHAR(64+ C0Col) &amp;":"&amp; CHAR(65+C0Col)),2,FALSE)&gt;COUNTIF($E189:R189,"u")+COUNTIF($E189:R189,"t")+COUNTIF($E189:R189,"¶")+COUNTIF($E189:R189,"²")+COUNTIF($E189:R189,"µ")+COUNTIF($E189:R189,1)),
HYPERLINK("#Roadmap!C"&amp; MATCH($E189,Roadmap!$D:$D,0)+COUNTIF($E189:R189,"u")+COUNTIF($E189:R189,"t"),
     INDEX(Roadmap!$D:$K,MATCH($E189,Roadmap!$D:$D,0)+COUNTIF($E189:R189,"u")+COUNTIF($E189:R189,"t")+COUNTIF($E189:R189,"¶")+COUNTIF($E189:R189,"²")+COUNTIF($E189:R189,"µ")+COUNTIF($E189:R189,1),ColTypeEcheance)),
  IF(LEN(R189)=1,
  IF(LEN(INDEX(Roadmap!$D:$K,MATCH($E189,Roadmap!$D:$D,0)-1+COUNTIF($E189:R189,"u")+COUNTIF($E189:R189,"t")+COUNTIF($E189:R189,"¶")+COUNTIF($E189:R189,"²")+COUNTIF($E189:R189,"µ")+COUNTIF($E189:R189,1),ColDescriptionCourte))&gt;1,
HYPERLINK("#Roadmap!C"&amp; MATCH($E189,Roadmap!$D:$D,0)+COUNTIF($E189:R189,"u")+COUNTIF($E189:R189,"t")+COUNTIF($E189:R189,"¶")+COUNTIF($E189:R189,"²")+COUNTIF($E189:R189,"µ")+COUNTIF($E189:R189,1)-1,INDEX(Roadmap!$D:$K,MATCH($E189,Roadmap!$D:$D,0)-1+COUNTIF($E189:R189,"u")+COUNTIF($E189:R189,"t")+COUNTIF($E189:R189,"¶")+COUNTIF($E189:R189,"²")+COUNTIF($E189:R189,"µ")+COUNTIF($E189:R189,1),ColDescriptionCourte)),""),
  "")),"")</f>
        <v/>
      </c>
      <c r="T189" s="40" t="str">
        <f ca="1">IFERROR(IF(AND(
  INDEX(Roadmap!$D:$K,MATCH($E189,Roadmap!$D:$D,0)+COUNTIF($E189:S189,"u")+COUNTIF($E189:S189,"t")+COUNTIF($E189:S189,"¶")+COUNTIF($E189:S189,"²")+COUNTIF($E189:S189,"µ")+COUNTIF($E189:S189,1),ColLivraison)=T$6,
  VLOOKUP($E189,INDIRECT("tri!"&amp; CHAR(64+ C0Col) &amp;":"&amp; CHAR(65+C0Col)),2,FALSE)&gt;COUNTIF($E189:S189,"u")+COUNTIF($E189:S189,"t")+COUNTIF($E189:S189,"¶")+COUNTIF($E189:S189,"²")+COUNTIF($E189:S189,"µ")+COUNTIF($E189:S189,1)),
HYPERLINK("#Roadmap!C"&amp; MATCH($E189,Roadmap!$D:$D,0)+COUNTIF($E189:S189,"u")+COUNTIF($E189:S189,"t"),
     INDEX(Roadmap!$D:$K,MATCH($E189,Roadmap!$D:$D,0)+COUNTIF($E189:S189,"u")+COUNTIF($E189:S189,"t")+COUNTIF($E189:S189,"¶")+COUNTIF($E189:S189,"²")+COUNTIF($E189:S189,"µ")+COUNTIF($E189:S189,1),ColTypeEcheance)),
  IF(LEN(S189)=1,
  IF(LEN(INDEX(Roadmap!$D:$K,MATCH($E189,Roadmap!$D:$D,0)-1+COUNTIF($E189:S189,"u")+COUNTIF($E189:S189,"t")+COUNTIF($E189:S189,"¶")+COUNTIF($E189:S189,"²")+COUNTIF($E189:S189,"µ")+COUNTIF($E189:S189,1),ColDescriptionCourte))&gt;1,
HYPERLINK("#Roadmap!C"&amp; MATCH($E189,Roadmap!$D:$D,0)+COUNTIF($E189:S189,"u")+COUNTIF($E189:S189,"t")+COUNTIF($E189:S189,"¶")+COUNTIF($E189:S189,"²")+COUNTIF($E189:S189,"µ")+COUNTIF($E189:S189,1)-1,INDEX(Roadmap!$D:$K,MATCH($E189,Roadmap!$D:$D,0)-1+COUNTIF($E189:S189,"u")+COUNTIF($E189:S189,"t")+COUNTIF($E189:S189,"¶")+COUNTIF($E189:S189,"²")+COUNTIF($E189:S189,"µ")+COUNTIF($E189:S189,1),ColDescriptionCourte)),""),
  "")),"")</f>
        <v/>
      </c>
      <c r="U189" s="40" t="str">
        <f ca="1">IFERROR(IF(AND(
  INDEX(Roadmap!$D:$K,MATCH($E189,Roadmap!$D:$D,0)+COUNTIF($E189:T189,"u")+COUNTIF($E189:T189,"t")+COUNTIF($E189:T189,"¶")+COUNTIF($E189:T189,"²")+COUNTIF($E189:T189,"µ")+COUNTIF($E189:T189,1),ColLivraison)=U$6,
  VLOOKUP($E189,INDIRECT("tri!"&amp; CHAR(64+ C0Col) &amp;":"&amp; CHAR(65+C0Col)),2,FALSE)&gt;COUNTIF($E189:T189,"u")+COUNTIF($E189:T189,"t")+COUNTIF($E189:T189,"¶")+COUNTIF($E189:T189,"²")+COUNTIF($E189:T189,"µ")+COUNTIF($E189:T189,1)),
HYPERLINK("#Roadmap!C"&amp; MATCH($E189,Roadmap!$D:$D,0)+COUNTIF($E189:T189,"u")+COUNTIF($E189:T189,"t"),
     INDEX(Roadmap!$D:$K,MATCH($E189,Roadmap!$D:$D,0)+COUNTIF($E189:T189,"u")+COUNTIF($E189:T189,"t")+COUNTIF($E189:T189,"¶")+COUNTIF($E189:T189,"²")+COUNTIF($E189:T189,"µ")+COUNTIF($E189:T189,1),ColTypeEcheance)),
  IF(LEN(T189)=1,
  IF(LEN(INDEX(Roadmap!$D:$K,MATCH($E189,Roadmap!$D:$D,0)-1+COUNTIF($E189:T189,"u")+COUNTIF($E189:T189,"t")+COUNTIF($E189:T189,"¶")+COUNTIF($E189:T189,"²")+COUNTIF($E189:T189,"µ")+COUNTIF($E189:T189,1),ColDescriptionCourte))&gt;1,
HYPERLINK("#Roadmap!C"&amp; MATCH($E189,Roadmap!$D:$D,0)+COUNTIF($E189:T189,"u")+COUNTIF($E189:T189,"t")+COUNTIF($E189:T189,"¶")+COUNTIF($E189:T189,"²")+COUNTIF($E189:T189,"µ")+COUNTIF($E189:T189,1)-1,INDEX(Roadmap!$D:$K,MATCH($E189,Roadmap!$D:$D,0)-1+COUNTIF($E189:T189,"u")+COUNTIF($E189:T189,"t")+COUNTIF($E189:T189,"¶")+COUNTIF($E189:T189,"²")+COUNTIF($E189:T189,"µ")+COUNTIF($E189:T189,1),ColDescriptionCourte)),""),
  "")),"")</f>
        <v/>
      </c>
      <c r="V189" s="40" t="str">
        <f ca="1">IFERROR(IF(AND(
  INDEX(Roadmap!$D:$K,MATCH($E189,Roadmap!$D:$D,0)+COUNTIF($E189:U189,"u")+COUNTIF($E189:U189,"t")+COUNTIF($E189:U189,"¶")+COUNTIF($E189:U189,"²")+COUNTIF($E189:U189,"µ")+COUNTIF($E189:U189,1),ColLivraison)=V$6,
  VLOOKUP($E189,INDIRECT("tri!"&amp; CHAR(64+ C0Col) &amp;":"&amp; CHAR(65+C0Col)),2,FALSE)&gt;COUNTIF($E189:U189,"u")+COUNTIF($E189:U189,"t")+COUNTIF($E189:U189,"¶")+COUNTIF($E189:U189,"²")+COUNTIF($E189:U189,"µ")+COUNTIF($E189:U189,1)),
HYPERLINK("#Roadmap!C"&amp; MATCH($E189,Roadmap!$D:$D,0)+COUNTIF($E189:U189,"u")+COUNTIF($E189:U189,"t"),
     INDEX(Roadmap!$D:$K,MATCH($E189,Roadmap!$D:$D,0)+COUNTIF($E189:U189,"u")+COUNTIF($E189:U189,"t")+COUNTIF($E189:U189,"¶")+COUNTIF($E189:U189,"²")+COUNTIF($E189:U189,"µ")+COUNTIF($E189:U189,1),ColTypeEcheance)),
  IF(LEN(U189)=1,
  IF(LEN(INDEX(Roadmap!$D:$K,MATCH($E189,Roadmap!$D:$D,0)-1+COUNTIF($E189:U189,"u")+COUNTIF($E189:U189,"t")+COUNTIF($E189:U189,"¶")+COUNTIF($E189:U189,"²")+COUNTIF($E189:U189,"µ")+COUNTIF($E189:U189,1),ColDescriptionCourte))&gt;1,
HYPERLINK("#Roadmap!C"&amp; MATCH($E189,Roadmap!$D:$D,0)+COUNTIF($E189:U189,"u")+COUNTIF($E189:U189,"t")+COUNTIF($E189:U189,"¶")+COUNTIF($E189:U189,"²")+COUNTIF($E189:U189,"µ")+COUNTIF($E189:U189,1)-1,INDEX(Roadmap!$D:$K,MATCH($E189,Roadmap!$D:$D,0)-1+COUNTIF($E189:U189,"u")+COUNTIF($E189:U189,"t")+COUNTIF($E189:U189,"¶")+COUNTIF($E189:U189,"²")+COUNTIF($E189:U189,"µ")+COUNTIF($E189:U189,1),ColDescriptionCourte)),""),
  "")),"")</f>
        <v/>
      </c>
      <c r="W189" s="40" t="str">
        <f ca="1">IFERROR(IF(AND(
  INDEX(Roadmap!$D:$K,MATCH($E189,Roadmap!$D:$D,0)+COUNTIF($E189:V189,"u")+COUNTIF($E189:V189,"t")+COUNTIF($E189:V189,"¶")+COUNTIF($E189:V189,"²")+COUNTIF($E189:V189,"µ")+COUNTIF($E189:V189,1),ColLivraison)=W$6,
  VLOOKUP($E189,INDIRECT("tri!"&amp; CHAR(64+ C0Col) &amp;":"&amp; CHAR(65+C0Col)),2,FALSE)&gt;COUNTIF($E189:V189,"u")+COUNTIF($E189:V189,"t")+COUNTIF($E189:V189,"¶")+COUNTIF($E189:V189,"²")+COUNTIF($E189:V189,"µ")+COUNTIF($E189:V189,1)),
HYPERLINK("#Roadmap!C"&amp; MATCH($E189,Roadmap!$D:$D,0)+COUNTIF($E189:V189,"u")+COUNTIF($E189:V189,"t"),
     INDEX(Roadmap!$D:$K,MATCH($E189,Roadmap!$D:$D,0)+COUNTIF($E189:V189,"u")+COUNTIF($E189:V189,"t")+COUNTIF($E189:V189,"¶")+COUNTIF($E189:V189,"²")+COUNTIF($E189:V189,"µ")+COUNTIF($E189:V189,1),ColTypeEcheance)),
  IF(LEN(V189)=1,
  IF(LEN(INDEX(Roadmap!$D:$K,MATCH($E189,Roadmap!$D:$D,0)-1+COUNTIF($E189:V189,"u")+COUNTIF($E189:V189,"t")+COUNTIF($E189:V189,"¶")+COUNTIF($E189:V189,"²")+COUNTIF($E189:V189,"µ")+COUNTIF($E189:V189,1),ColDescriptionCourte))&gt;1,
HYPERLINK("#Roadmap!C"&amp; MATCH($E189,Roadmap!$D:$D,0)+COUNTIF($E189:V189,"u")+COUNTIF($E189:V189,"t")+COUNTIF($E189:V189,"¶")+COUNTIF($E189:V189,"²")+COUNTIF($E189:V189,"µ")+COUNTIF($E189:V189,1)-1,INDEX(Roadmap!$D:$K,MATCH($E189,Roadmap!$D:$D,0)-1+COUNTIF($E189:V189,"u")+COUNTIF($E189:V189,"t")+COUNTIF($E189:V189,"¶")+COUNTIF($E189:V189,"²")+COUNTIF($E189:V189,"µ")+COUNTIF($E189:V189,1),ColDescriptionCourte)),""),
  "")),"")</f>
        <v/>
      </c>
      <c r="X189" s="40" t="str">
        <f ca="1">IFERROR(IF(AND(
  INDEX(Roadmap!$D:$K,MATCH($E189,Roadmap!$D:$D,0)+COUNTIF($E189:W189,"u")+COUNTIF($E189:W189,"t")+COUNTIF($E189:W189,"¶")+COUNTIF($E189:W189,"²")+COUNTIF($E189:W189,"µ")+COUNTIF($E189:W189,1),ColLivraison)=X$6,
  VLOOKUP($E189,INDIRECT("tri!"&amp; CHAR(64+ C0Col) &amp;":"&amp; CHAR(65+C0Col)),2,FALSE)&gt;COUNTIF($E189:W189,"u")+COUNTIF($E189:W189,"t")+COUNTIF($E189:W189,"¶")+COUNTIF($E189:W189,"²")+COUNTIF($E189:W189,"µ")+COUNTIF($E189:W189,1)),
HYPERLINK("#Roadmap!C"&amp; MATCH($E189,Roadmap!$D:$D,0)+COUNTIF($E189:W189,"u")+COUNTIF($E189:W189,"t"),
     INDEX(Roadmap!$D:$K,MATCH($E189,Roadmap!$D:$D,0)+COUNTIF($E189:W189,"u")+COUNTIF($E189:W189,"t")+COUNTIF($E189:W189,"¶")+COUNTIF($E189:W189,"²")+COUNTIF($E189:W189,"µ")+COUNTIF($E189:W189,1),ColTypeEcheance)),
  IF(LEN(W189)=1,
  IF(LEN(INDEX(Roadmap!$D:$K,MATCH($E189,Roadmap!$D:$D,0)-1+COUNTIF($E189:W189,"u")+COUNTIF($E189:W189,"t")+COUNTIF($E189:W189,"¶")+COUNTIF($E189:W189,"²")+COUNTIF($E189:W189,"µ")+COUNTIF($E189:W189,1),ColDescriptionCourte))&gt;1,
HYPERLINK("#Roadmap!C"&amp; MATCH($E189,Roadmap!$D:$D,0)+COUNTIF($E189:W189,"u")+COUNTIF($E189:W189,"t")+COUNTIF($E189:W189,"¶")+COUNTIF($E189:W189,"²")+COUNTIF($E189:W189,"µ")+COUNTIF($E189:W189,1)-1,INDEX(Roadmap!$D:$K,MATCH($E189,Roadmap!$D:$D,0)-1+COUNTIF($E189:W189,"u")+COUNTIF($E189:W189,"t")+COUNTIF($E189:W189,"¶")+COUNTIF($E189:W189,"²")+COUNTIF($E189:W189,"µ")+COUNTIF($E189:W189,1),ColDescriptionCourte)),""),
  "")),"")</f>
        <v/>
      </c>
      <c r="Y189" s="40" t="str">
        <f ca="1">IFERROR(IF(AND(
  INDEX(Roadmap!$D:$K,MATCH($E189,Roadmap!$D:$D,0)+COUNTIF($E189:X189,"u")+COUNTIF($E189:X189,"t")+COUNTIF($E189:X189,"¶")+COUNTIF($E189:X189,"²")+COUNTIF($E189:X189,"µ")+COUNTIF($E189:X189,1),ColLivraison)=Y$6,
  VLOOKUP($E189,INDIRECT("tri!"&amp; CHAR(64+ C0Col) &amp;":"&amp; CHAR(65+C0Col)),2,FALSE)&gt;COUNTIF($E189:X189,"u")+COUNTIF($E189:X189,"t")+COUNTIF($E189:X189,"¶")+COUNTIF($E189:X189,"²")+COUNTIF($E189:X189,"µ")+COUNTIF($E189:X189,1)),
HYPERLINK("#Roadmap!C"&amp; MATCH($E189,Roadmap!$D:$D,0)+COUNTIF($E189:X189,"u")+COUNTIF($E189:X189,"t"),
     INDEX(Roadmap!$D:$K,MATCH($E189,Roadmap!$D:$D,0)+COUNTIF($E189:X189,"u")+COUNTIF($E189:X189,"t")+COUNTIF($E189:X189,"¶")+COUNTIF($E189:X189,"²")+COUNTIF($E189:X189,"µ")+COUNTIF($E189:X189,1),ColTypeEcheance)),
  IF(LEN(X189)=1,
  IF(LEN(INDEX(Roadmap!$D:$K,MATCH($E189,Roadmap!$D:$D,0)-1+COUNTIF($E189:X189,"u")+COUNTIF($E189:X189,"t")+COUNTIF($E189:X189,"¶")+COUNTIF($E189:X189,"²")+COUNTIF($E189:X189,"µ")+COUNTIF($E189:X189,1),ColDescriptionCourte))&gt;1,
HYPERLINK("#Roadmap!C"&amp; MATCH($E189,Roadmap!$D:$D,0)+COUNTIF($E189:X189,"u")+COUNTIF($E189:X189,"t")+COUNTIF($E189:X189,"¶")+COUNTIF($E189:X189,"²")+COUNTIF($E189:X189,"µ")+COUNTIF($E189:X189,1)-1,INDEX(Roadmap!$D:$K,MATCH($E189,Roadmap!$D:$D,0)-1+COUNTIF($E189:X189,"u")+COUNTIF($E189:X189,"t")+COUNTIF($E189:X189,"¶")+COUNTIF($E189:X189,"²")+COUNTIF($E189:X189,"µ")+COUNTIF($E189:X189,1),ColDescriptionCourte)),""),
  "")),"")</f>
        <v/>
      </c>
      <c r="Z189" s="40" t="str">
        <f ca="1">IFERROR(IF(AND(
  INDEX(Roadmap!$D:$K,MATCH($E189,Roadmap!$D:$D,0)+COUNTIF($E189:Y189,"u")+COUNTIF($E189:Y189,"t")+COUNTIF($E189:Y189,"¶")+COUNTIF($E189:Y189,"²")+COUNTIF($E189:Y189,"µ")+COUNTIF($E189:Y189,1),ColLivraison)=Z$6,
  VLOOKUP($E189,INDIRECT("tri!"&amp; CHAR(64+ C0Col) &amp;":"&amp; CHAR(65+C0Col)),2,FALSE)&gt;COUNTIF($E189:Y189,"u")+COUNTIF($E189:Y189,"t")+COUNTIF($E189:Y189,"¶")+COUNTIF($E189:Y189,"²")+COUNTIF($E189:Y189,"µ")+COUNTIF($E189:Y189,1)),
HYPERLINK("#Roadmap!C"&amp; MATCH($E189,Roadmap!$D:$D,0)+COUNTIF($E189:Y189,"u")+COUNTIF($E189:Y189,"t"),
     INDEX(Roadmap!$D:$K,MATCH($E189,Roadmap!$D:$D,0)+COUNTIF($E189:Y189,"u")+COUNTIF($E189:Y189,"t")+COUNTIF($E189:Y189,"¶")+COUNTIF($E189:Y189,"²")+COUNTIF($E189:Y189,"µ")+COUNTIF($E189:Y189,1),ColTypeEcheance)),
  IF(LEN(Y189)=1,
  IF(LEN(INDEX(Roadmap!$D:$K,MATCH($E189,Roadmap!$D:$D,0)-1+COUNTIF($E189:Y189,"u")+COUNTIF($E189:Y189,"t")+COUNTIF($E189:Y189,"¶")+COUNTIF($E189:Y189,"²")+COUNTIF($E189:Y189,"µ")+COUNTIF($E189:Y189,1),ColDescriptionCourte))&gt;1,
HYPERLINK("#Roadmap!C"&amp; MATCH($E189,Roadmap!$D:$D,0)+COUNTIF($E189:Y189,"u")+COUNTIF($E189:Y189,"t")+COUNTIF($E189:Y189,"¶")+COUNTIF($E189:Y189,"²")+COUNTIF($E189:Y189,"µ")+COUNTIF($E189:Y189,1)-1,INDEX(Roadmap!$D:$K,MATCH($E189,Roadmap!$D:$D,0)-1+COUNTIF($E189:Y189,"u")+COUNTIF($E189:Y189,"t")+COUNTIF($E189:Y189,"¶")+COUNTIF($E189:Y189,"²")+COUNTIF($E189:Y189,"µ")+COUNTIF($E189:Y189,1),ColDescriptionCourte)),""),
  "")),"")</f>
        <v/>
      </c>
      <c r="AA189" s="40" t="str">
        <f ca="1">IFERROR(IF(AND(
  INDEX(Roadmap!$D:$K,MATCH($E189,Roadmap!$D:$D,0)+COUNTIF($E189:Z189,"u")+COUNTIF($E189:Z189,"t")+COUNTIF($E189:Z189,"¶")+COUNTIF($E189:Z189,"²")+COUNTIF($E189:Z189,"µ")+COUNTIF($E189:Z189,1),ColLivraison)=AA$6,
  VLOOKUP($E189,INDIRECT("tri!"&amp; CHAR(64+ C0Col) &amp;":"&amp; CHAR(65+C0Col)),2,FALSE)&gt;COUNTIF($E189:Z189,"u")+COUNTIF($E189:Z189,"t")+COUNTIF($E189:Z189,"¶")+COUNTIF($E189:Z189,"²")+COUNTIF($E189:Z189,"µ")+COUNTIF($E189:Z189,1)),
HYPERLINK("#Roadmap!C"&amp; MATCH($E189,Roadmap!$D:$D,0)+COUNTIF($E189:Z189,"u")+COUNTIF($E189:Z189,"t"),
     INDEX(Roadmap!$D:$K,MATCH($E189,Roadmap!$D:$D,0)+COUNTIF($E189:Z189,"u")+COUNTIF($E189:Z189,"t")+COUNTIF($E189:Z189,"¶")+COUNTIF($E189:Z189,"²")+COUNTIF($E189:Z189,"µ")+COUNTIF($E189:Z189,1),ColTypeEcheance)),
  IF(LEN(Z189)=1,
  IF(LEN(INDEX(Roadmap!$D:$K,MATCH($E189,Roadmap!$D:$D,0)-1+COUNTIF($E189:Z189,"u")+COUNTIF($E189:Z189,"t")+COUNTIF($E189:Z189,"¶")+COUNTIF($E189:Z189,"²")+COUNTIF($E189:Z189,"µ")+COUNTIF($E189:Z189,1),ColDescriptionCourte))&gt;1,
HYPERLINK("#Roadmap!C"&amp; MATCH($E189,Roadmap!$D:$D,0)+COUNTIF($E189:Z189,"u")+COUNTIF($E189:Z189,"t")+COUNTIF($E189:Z189,"¶")+COUNTIF($E189:Z189,"²")+COUNTIF($E189:Z189,"µ")+COUNTIF($E189:Z189,1)-1,INDEX(Roadmap!$D:$K,MATCH($E189,Roadmap!$D:$D,0)-1+COUNTIF($E189:Z189,"u")+COUNTIF($E189:Z189,"t")+COUNTIF($E189:Z189,"¶")+COUNTIF($E189:Z189,"²")+COUNTIF($E189:Z189,"µ")+COUNTIF($E189:Z189,1),ColDescriptionCourte)),""),
  "")),"")</f>
        <v/>
      </c>
      <c r="AB189" s="40" t="str">
        <f ca="1">IFERROR(IF(AND(
  INDEX(Roadmap!$D:$K,MATCH($E189,Roadmap!$D:$D,0)+COUNTIF($E189:AA189,"u")+COUNTIF($E189:AA189,"t")+COUNTIF($E189:AA189,"¶")+COUNTIF($E189:AA189,"²")+COUNTIF($E189:AA189,"µ")+COUNTIF($E189:AA189,1),ColLivraison)=AB$6,
  VLOOKUP($E189,INDIRECT("tri!"&amp; CHAR(64+ C0Col) &amp;":"&amp; CHAR(65+C0Col)),2,FALSE)&gt;COUNTIF($E189:AA189,"u")+COUNTIF($E189:AA189,"t")+COUNTIF($E189:AA189,"¶")+COUNTIF($E189:AA189,"²")+COUNTIF($E189:AA189,"µ")+COUNTIF($E189:AA189,1)),
HYPERLINK("#Roadmap!C"&amp; MATCH($E189,Roadmap!$D:$D,0)+COUNTIF($E189:AA189,"u")+COUNTIF($E189:AA189,"t"),
     INDEX(Roadmap!$D:$K,MATCH($E189,Roadmap!$D:$D,0)+COUNTIF($E189:AA189,"u")+COUNTIF($E189:AA189,"t")+COUNTIF($E189:AA189,"¶")+COUNTIF($E189:AA189,"²")+COUNTIF($E189:AA189,"µ")+COUNTIF($E189:AA189,1),ColTypeEcheance)),
  IF(LEN(AA189)=1,
  IF(LEN(INDEX(Roadmap!$D:$K,MATCH($E189,Roadmap!$D:$D,0)-1+COUNTIF($E189:AA189,"u")+COUNTIF($E189:AA189,"t")+COUNTIF($E189:AA189,"¶")+COUNTIF($E189:AA189,"²")+COUNTIF($E189:AA189,"µ")+COUNTIF($E189:AA189,1),ColDescriptionCourte))&gt;1,
HYPERLINK("#Roadmap!C"&amp; MATCH($E189,Roadmap!$D:$D,0)+COUNTIF($E189:AA189,"u")+COUNTIF($E189:AA189,"t")+COUNTIF($E189:AA189,"¶")+COUNTIF($E189:AA189,"²")+COUNTIF($E189:AA189,"µ")+COUNTIF($E189:AA189,1)-1,INDEX(Roadmap!$D:$K,MATCH($E189,Roadmap!$D:$D,0)-1+COUNTIF($E189:AA189,"u")+COUNTIF($E189:AA189,"t")+COUNTIF($E189:AA189,"¶")+COUNTIF($E189:AA189,"²")+COUNTIF($E189:AA189,"µ")+COUNTIF($E189:AA189,1),ColDescriptionCourte)),""),
  "")),"")</f>
        <v/>
      </c>
      <c r="AC189" s="40" t="str">
        <f ca="1">IFERROR(IF(AND(
  INDEX(Roadmap!$D:$K,MATCH($E189,Roadmap!$D:$D,0)+COUNTIF($E189:AB189,"u")+COUNTIF($E189:AB189,"t")+COUNTIF($E189:AB189,"¶")+COUNTIF($E189:AB189,"²")+COUNTIF($E189:AB189,"µ")+COUNTIF($E189:AB189,1),ColLivraison)=AC$6,
  VLOOKUP($E189,INDIRECT("tri!"&amp; CHAR(64+ C0Col) &amp;":"&amp; CHAR(65+C0Col)),2,FALSE)&gt;COUNTIF($E189:AB189,"u")+COUNTIF($E189:AB189,"t")+COUNTIF($E189:AB189,"¶")+COUNTIF($E189:AB189,"²")+COUNTIF($E189:AB189,"µ")+COUNTIF($E189:AB189,1)),
HYPERLINK("#Roadmap!C"&amp; MATCH($E189,Roadmap!$D:$D,0)+COUNTIF($E189:AB189,"u")+COUNTIF($E189:AB189,"t"),
     INDEX(Roadmap!$D:$K,MATCH($E189,Roadmap!$D:$D,0)+COUNTIF($E189:AB189,"u")+COUNTIF($E189:AB189,"t")+COUNTIF($E189:AB189,"¶")+COUNTIF($E189:AB189,"²")+COUNTIF($E189:AB189,"µ")+COUNTIF($E189:AB189,1),ColTypeEcheance)),
  IF(LEN(AB189)=1,
  IF(LEN(INDEX(Roadmap!$D:$K,MATCH($E189,Roadmap!$D:$D,0)-1+COUNTIF($E189:AB189,"u")+COUNTIF($E189:AB189,"t")+COUNTIF($E189:AB189,"¶")+COUNTIF($E189:AB189,"²")+COUNTIF($E189:AB189,"µ")+COUNTIF($E189:AB189,1),ColDescriptionCourte))&gt;1,
HYPERLINK("#Roadmap!C"&amp; MATCH($E189,Roadmap!$D:$D,0)+COUNTIF($E189:AB189,"u")+COUNTIF($E189:AB189,"t")+COUNTIF($E189:AB189,"¶")+COUNTIF($E189:AB189,"²")+COUNTIF($E189:AB189,"µ")+COUNTIF($E189:AB189,1)-1,INDEX(Roadmap!$D:$K,MATCH($E189,Roadmap!$D:$D,0)-1+COUNTIF($E189:AB189,"u")+COUNTIF($E189:AB189,"t")+COUNTIF($E189:AB189,"¶")+COUNTIF($E189:AB189,"²")+COUNTIF($E189:AB189,"µ")+COUNTIF($E189:AB189,1),ColDescriptionCourte)),""),
  "")),"")</f>
        <v/>
      </c>
      <c r="AD189" s="40" t="str">
        <f ca="1">IFERROR(IF(AND(
  INDEX(Roadmap!$D:$K,MATCH($E189,Roadmap!$D:$D,0)+COUNTIF($E189:AC189,"u")+COUNTIF($E189:AC189,"t")+COUNTIF($E189:AC189,"¶")+COUNTIF($E189:AC189,"²")+COUNTIF($E189:AC189,"µ")+COUNTIF($E189:AC189,1),ColLivraison)=AD$6,
  VLOOKUP($E189,INDIRECT("tri!"&amp; CHAR(64+ C0Col) &amp;":"&amp; CHAR(65+C0Col)),2,FALSE)&gt;COUNTIF($E189:AC189,"u")+COUNTIF($E189:AC189,"t")+COUNTIF($E189:AC189,"¶")+COUNTIF($E189:AC189,"²")+COUNTIF($E189:AC189,"µ")+COUNTIF($E189:AC189,1)),
HYPERLINK("#Roadmap!C"&amp; MATCH($E189,Roadmap!$D:$D,0)+COUNTIF($E189:AC189,"u")+COUNTIF($E189:AC189,"t"),
     INDEX(Roadmap!$D:$K,MATCH($E189,Roadmap!$D:$D,0)+COUNTIF($E189:AC189,"u")+COUNTIF($E189:AC189,"t")+COUNTIF($E189:AC189,"¶")+COUNTIF($E189:AC189,"²")+COUNTIF($E189:AC189,"µ")+COUNTIF($E189:AC189,1),ColTypeEcheance)),
  IF(LEN(AC189)=1,
  IF(LEN(INDEX(Roadmap!$D:$K,MATCH($E189,Roadmap!$D:$D,0)-1+COUNTIF($E189:AC189,"u")+COUNTIF($E189:AC189,"t")+COUNTIF($E189:AC189,"¶")+COUNTIF($E189:AC189,"²")+COUNTIF($E189:AC189,"µ")+COUNTIF($E189:AC189,1),ColDescriptionCourte))&gt;1,
HYPERLINK("#Roadmap!C"&amp; MATCH($E189,Roadmap!$D:$D,0)+COUNTIF($E189:AC189,"u")+COUNTIF($E189:AC189,"t")+COUNTIF($E189:AC189,"¶")+COUNTIF($E189:AC189,"²")+COUNTIF($E189:AC189,"µ")+COUNTIF($E189:AC189,1)-1,INDEX(Roadmap!$D:$K,MATCH($E189,Roadmap!$D:$D,0)-1+COUNTIF($E189:AC189,"u")+COUNTIF($E189:AC189,"t")+COUNTIF($E189:AC189,"¶")+COUNTIF($E189:AC189,"²")+COUNTIF($E189:AC189,"µ")+COUNTIF($E189:AC189,1),ColDescriptionCourte)),""),
  "")),"")</f>
        <v/>
      </c>
      <c r="AE189" s="40" t="str">
        <f ca="1">IFERROR(IF(AND(
  INDEX(Roadmap!$D:$K,MATCH($E189,Roadmap!$D:$D,0)+COUNTIF($E189:AD189,"u")+COUNTIF($E189:AD189,"t")+COUNTIF($E189:AD189,"¶")+COUNTIF($E189:AD189,"²")+COUNTIF($E189:AD189,"µ")+COUNTIF($E189:AD189,1),ColLivraison)=AE$6,
  VLOOKUP($E189,INDIRECT("tri!"&amp; CHAR(64+ C0Col) &amp;":"&amp; CHAR(65+C0Col)),2,FALSE)&gt;COUNTIF($E189:AD189,"u")+COUNTIF($E189:AD189,"t")+COUNTIF($E189:AD189,"¶")+COUNTIF($E189:AD189,"²")+COUNTIF($E189:AD189,"µ")+COUNTIF($E189:AD189,1)),
HYPERLINK("#Roadmap!C"&amp; MATCH($E189,Roadmap!$D:$D,0)+COUNTIF($E189:AD189,"u")+COUNTIF($E189:AD189,"t"),
     INDEX(Roadmap!$D:$K,MATCH($E189,Roadmap!$D:$D,0)+COUNTIF($E189:AD189,"u")+COUNTIF($E189:AD189,"t")+COUNTIF($E189:AD189,"¶")+COUNTIF($E189:AD189,"²")+COUNTIF($E189:AD189,"µ")+COUNTIF($E189:AD189,1),ColTypeEcheance)),
  IF(LEN(AD189)=1,
  IF(LEN(INDEX(Roadmap!$D:$K,MATCH($E189,Roadmap!$D:$D,0)-1+COUNTIF($E189:AD189,"u")+COUNTIF($E189:AD189,"t")+COUNTIF($E189:AD189,"¶")+COUNTIF($E189:AD189,"²")+COUNTIF($E189:AD189,"µ")+COUNTIF($E189:AD189,1),ColDescriptionCourte))&gt;1,
HYPERLINK("#Roadmap!C"&amp; MATCH($E189,Roadmap!$D:$D,0)+COUNTIF($E189:AD189,"u")+COUNTIF($E189:AD189,"t")+COUNTIF($E189:AD189,"¶")+COUNTIF($E189:AD189,"²")+COUNTIF($E189:AD189,"µ")+COUNTIF($E189:AD189,1)-1,INDEX(Roadmap!$D:$K,MATCH($E189,Roadmap!$D:$D,0)-1+COUNTIF($E189:AD189,"u")+COUNTIF($E189:AD189,"t")+COUNTIF($E189:AD189,"¶")+COUNTIF($E189:AD189,"²")+COUNTIF($E189:AD189,"µ")+COUNTIF($E189:AD189,1),ColDescriptionCourte)),""),
  "")),"")</f>
        <v/>
      </c>
      <c r="AF189" s="40" t="str">
        <f ca="1">IFERROR(IF(AND(
  INDEX(Roadmap!$D:$K,MATCH($E189,Roadmap!$D:$D,0)+COUNTIF($E189:AE189,"u")+COUNTIF($E189:AE189,"t")+COUNTIF($E189:AE189,"¶")+COUNTIF($E189:AE189,"²")+COUNTIF($E189:AE189,"µ")+COUNTIF($E189:AE189,1),ColLivraison)=AF$6,
  VLOOKUP($E189,INDIRECT("tri!"&amp; CHAR(64+ C0Col) &amp;":"&amp; CHAR(65+C0Col)),2,FALSE)&gt;COUNTIF($E189:AE189,"u")+COUNTIF($E189:AE189,"t")+COUNTIF($E189:AE189,"¶")+COUNTIF($E189:AE189,"²")+COUNTIF($E189:AE189,"µ")+COUNTIF($E189:AE189,1)),
HYPERLINK("#Roadmap!C"&amp; MATCH($E189,Roadmap!$D:$D,0)+COUNTIF($E189:AE189,"u")+COUNTIF($E189:AE189,"t"),
     INDEX(Roadmap!$D:$K,MATCH($E189,Roadmap!$D:$D,0)+COUNTIF($E189:AE189,"u")+COUNTIF($E189:AE189,"t")+COUNTIF($E189:AE189,"¶")+COUNTIF($E189:AE189,"²")+COUNTIF($E189:AE189,"µ")+COUNTIF($E189:AE189,1),ColTypeEcheance)),
  IF(LEN(AE189)=1,
  IF(LEN(INDEX(Roadmap!$D:$K,MATCH($E189,Roadmap!$D:$D,0)-1+COUNTIF($E189:AE189,"u")+COUNTIF($E189:AE189,"t")+COUNTIF($E189:AE189,"¶")+COUNTIF($E189:AE189,"²")+COUNTIF($E189:AE189,"µ")+COUNTIF($E189:AE189,1),ColDescriptionCourte))&gt;1,
HYPERLINK("#Roadmap!C"&amp; MATCH($E189,Roadmap!$D:$D,0)+COUNTIF($E189:AE189,"u")+COUNTIF($E189:AE189,"t")+COUNTIF($E189:AE189,"¶")+COUNTIF($E189:AE189,"²")+COUNTIF($E189:AE189,"µ")+COUNTIF($E189:AE189,1)-1,INDEX(Roadmap!$D:$K,MATCH($E189,Roadmap!$D:$D,0)-1+COUNTIF($E189:AE189,"u")+COUNTIF($E189:AE189,"t")+COUNTIF($E189:AE189,"¶")+COUNTIF($E189:AE189,"²")+COUNTIF($E189:AE189,"µ")+COUNTIF($E189:AE189,1),ColDescriptionCourte)),""),
  "")),"")</f>
        <v/>
      </c>
      <c r="AG189" s="40" t="str">
        <f ca="1">IFERROR(IF(AND(
  INDEX(Roadmap!$D:$K,MATCH($E189,Roadmap!$D:$D,0)+COUNTIF($E189:AF189,"u")+COUNTIF($E189:AF189,"t")+COUNTIF($E189:AF189,"¶")+COUNTIF($E189:AF189,"²")+COUNTIF($E189:AF189,"µ")+COUNTIF($E189:AF189,1),ColLivraison)=AG$6,
  VLOOKUP($E189,INDIRECT("tri!"&amp; CHAR(64+ C0Col) &amp;":"&amp; CHAR(65+C0Col)),2,FALSE)&gt;COUNTIF($E189:AF189,"u")+COUNTIF($E189:AF189,"t")+COUNTIF($E189:AF189,"¶")+COUNTIF($E189:AF189,"²")+COUNTIF($E189:AF189,"µ")+COUNTIF($E189:AF189,1)),
HYPERLINK("#Roadmap!C"&amp; MATCH($E189,Roadmap!$D:$D,0)+COUNTIF($E189:AF189,"u")+COUNTIF($E189:AF189,"t"),
     INDEX(Roadmap!$D:$K,MATCH($E189,Roadmap!$D:$D,0)+COUNTIF($E189:AF189,"u")+COUNTIF($E189:AF189,"t")+COUNTIF($E189:AF189,"¶")+COUNTIF($E189:AF189,"²")+COUNTIF($E189:AF189,"µ")+COUNTIF($E189:AF189,1),ColTypeEcheance)),
  IF(LEN(AF189)=1,
  IF(LEN(INDEX(Roadmap!$D:$K,MATCH($E189,Roadmap!$D:$D,0)-1+COUNTIF($E189:AF189,"u")+COUNTIF($E189:AF189,"t")+COUNTIF($E189:AF189,"¶")+COUNTIF($E189:AF189,"²")+COUNTIF($E189:AF189,"µ")+COUNTIF($E189:AF189,1),ColDescriptionCourte))&gt;1,
HYPERLINK("#Roadmap!C"&amp; MATCH($E189,Roadmap!$D:$D,0)+COUNTIF($E189:AF189,"u")+COUNTIF($E189:AF189,"t")+COUNTIF($E189:AF189,"¶")+COUNTIF($E189:AF189,"²")+COUNTIF($E189:AF189,"µ")+COUNTIF($E189:AF189,1)-1,INDEX(Roadmap!$D:$K,MATCH($E189,Roadmap!$D:$D,0)-1+COUNTIF($E189:AF189,"u")+COUNTIF($E189:AF189,"t")+COUNTIF($E189:AF189,"¶")+COUNTIF($E189:AF189,"²")+COUNTIF($E189:AF189,"µ")+COUNTIF($E189:AF189,1),ColDescriptionCourte)),""),
  "")),"")</f>
        <v/>
      </c>
    </row>
    <row r="190" spans="3:33" ht="14.25" customHeight="1">
      <c r="C190" s="1" t="str">
        <f t="shared" ca="1" si="54"/>
        <v/>
      </c>
      <c r="D190" s="1" t="str">
        <f t="shared" ca="1" si="55"/>
        <v/>
      </c>
      <c r="E190" s="35" t="str">
        <f t="shared" ca="1" si="51"/>
        <v/>
      </c>
      <c r="F190" s="39" t="str">
        <f ca="1">IFERROR(IF(AND(
  INDEX(Roadmap!$D:$K,MATCH($E190,Roadmap!$D:$D,0)+COUNTIF($E190:E190,"u")+COUNTIF($E190:E190,"t")+COUNTIF($E190:E190,"¶")+COUNTIF($E190:E190,"²")+COUNTIF($E190:E190,"µ")+COUNTIF($E190:E190,1),ColLivraison)=F$6,
  VLOOKUP($E190,INDIRECT("tri!"&amp; CHAR(64+ C0Col) &amp;":"&amp; CHAR(65+C0Col)),2,FALSE)&gt;COUNTIF($E190:E190,"u")+COUNTIF($E190:E190,"t")+COUNTIF($E190:E190,"¶")+COUNTIF($E190:E190,"²")+COUNTIF($E190:E190,"µ")+COUNTIF($E190:E190,1)),
HYPERLINK("#Roadmap!C"&amp; MATCH($E190,Roadmap!$D:$D,0)+COUNTIF($E190:E190,"u")+COUNTIF($E190:E190,"t"),
     INDEX(Roadmap!$D:$K,MATCH($E190,Roadmap!$D:$D,0)+COUNTIF($E190:E190,"u")+COUNTIF($E190:E190,"t")+COUNTIF($E190:E190,"¶")+COUNTIF($E190:E190,"²")+COUNTIF($E190:E190,"µ")+COUNTIF($E190:E190,1),ColTypeEcheance)),
  IF(LEN(E190)=1,
  IF(LEN(INDEX(Roadmap!$D:$K,MATCH($E190,Roadmap!$D:$D,0)-1+COUNTIF($E190:E190,"u")+COUNTIF($E190:E190,"t")+COUNTIF($E190:E190,"¶")+COUNTIF($E190:E190,"²")+COUNTIF($E190:E190,"µ")+COUNTIF($E190:E190,1),ColDescriptionCourte))&gt;1,
HYPERLINK("#Roadmap!C"&amp; MATCH($E190,Roadmap!$D:$D,0)+COUNTIF($E190:E190,"u")+COUNTIF($E190:E190,"t")+COUNTIF($E190:E190,"¶")+COUNTIF($E190:E190,"²")+COUNTIF($E190:E190,"µ")+COUNTIF($E190:E190,1)-1,INDEX(Roadmap!$D:$K,MATCH($E190,Roadmap!$D:$D,0)-1+COUNTIF($E190:E190,"u")+COUNTIF($E190:E190,"t")+COUNTIF($E190:E190,"¶")+COUNTIF($E190:E190,"²")+COUNTIF($E190:E190,"µ")+COUNTIF($E190:E190,1),ColDescriptionCourte)),""),
  "")),"")</f>
        <v/>
      </c>
      <c r="G190" s="40" t="str">
        <f ca="1">IFERROR(IF(AND(
  INDEX(Roadmap!$D:$K,MATCH($E190,Roadmap!$D:$D,0)+COUNTIF($E190:F190,"u")+COUNTIF($E190:F190,"t")+COUNTIF($E190:F190,"¶")+COUNTIF($E190:F190,"²")+COUNTIF($E190:F190,"µ")+COUNTIF($E190:F190,1),ColLivraison)=G$6,
  VLOOKUP($E190,INDIRECT("tri!"&amp; CHAR(64+ C0Col) &amp;":"&amp; CHAR(65+C0Col)),2,FALSE)&gt;COUNTIF($E190:F190,"u")+COUNTIF($E190:F190,"t")+COUNTIF($E190:F190,"¶")+COUNTIF($E190:F190,"²")+COUNTIF($E190:F190,"µ")+COUNTIF($E190:F190,1)),
HYPERLINK("#Roadmap!C"&amp; MATCH($E190,Roadmap!$D:$D,0)+COUNTIF($E190:F190,"u")+COUNTIF($E190:F190,"t"),
     INDEX(Roadmap!$D:$K,MATCH($E190,Roadmap!$D:$D,0)+COUNTIF($E190:F190,"u")+COUNTIF($E190:F190,"t")+COUNTIF($E190:F190,"¶")+COUNTIF($E190:F190,"²")+COUNTIF($E190:F190,"µ")+COUNTIF($E190:F190,1),ColTypeEcheance)),
  IF(LEN(F190)=1,
  IF(LEN(INDEX(Roadmap!$D:$K,MATCH($E190,Roadmap!$D:$D,0)-1+COUNTIF($E190:F190,"u")+COUNTIF($E190:F190,"t")+COUNTIF($E190:F190,"¶")+COUNTIF($E190:F190,"²")+COUNTIF($E190:F190,"µ")+COUNTIF($E190:F190,1),ColDescriptionCourte))&gt;1,
HYPERLINK("#Roadmap!C"&amp; MATCH($E190,Roadmap!$D:$D,0)+COUNTIF($E190:F190,"u")+COUNTIF($E190:F190,"t")+COUNTIF($E190:F190,"¶")+COUNTIF($E190:F190,"²")+COUNTIF($E190:F190,"µ")+COUNTIF($E190:F190,1)-1,INDEX(Roadmap!$D:$K,MATCH($E190,Roadmap!$D:$D,0)-1+COUNTIF($E190:F190,"u")+COUNTIF($E190:F190,"t")+COUNTIF($E190:F190,"¶")+COUNTIF($E190:F190,"²")+COUNTIF($E190:F190,"µ")+COUNTIF($E190:F190,1),ColDescriptionCourte)),""),
  "")),"")</f>
        <v/>
      </c>
      <c r="H190" s="40" t="str">
        <f ca="1">IFERROR(IF(AND(
  INDEX(Roadmap!$D:$K,MATCH($E190,Roadmap!$D:$D,0)+COUNTIF($E190:G190,"u")+COUNTIF($E190:G190,"t")+COUNTIF($E190:G190,"¶")+COUNTIF($E190:G190,"²")+COUNTIF($E190:G190,"µ")+COUNTIF($E190:G190,1),ColLivraison)=H$6,
  VLOOKUP($E190,INDIRECT("tri!"&amp; CHAR(64+ C0Col) &amp;":"&amp; CHAR(65+C0Col)),2,FALSE)&gt;COUNTIF($E190:G190,"u")+COUNTIF($E190:G190,"t")+COUNTIF($E190:G190,"¶")+COUNTIF($E190:G190,"²")+COUNTIF($E190:G190,"µ")+COUNTIF($E190:G190,1)),
HYPERLINK("#Roadmap!C"&amp; MATCH($E190,Roadmap!$D:$D,0)+COUNTIF($E190:G190,"u")+COUNTIF($E190:G190,"t"),
     INDEX(Roadmap!$D:$K,MATCH($E190,Roadmap!$D:$D,0)+COUNTIF($E190:G190,"u")+COUNTIF($E190:G190,"t")+COUNTIF($E190:G190,"¶")+COUNTIF($E190:G190,"²")+COUNTIF($E190:G190,"µ")+COUNTIF($E190:G190,1),ColTypeEcheance)),
  IF(LEN(G190)=1,
  IF(LEN(INDEX(Roadmap!$D:$K,MATCH($E190,Roadmap!$D:$D,0)-1+COUNTIF($E190:G190,"u")+COUNTIF($E190:G190,"t")+COUNTIF($E190:G190,"¶")+COUNTIF($E190:G190,"²")+COUNTIF($E190:G190,"µ")+COUNTIF($E190:G190,1),ColDescriptionCourte))&gt;1,
HYPERLINK("#Roadmap!C"&amp; MATCH($E190,Roadmap!$D:$D,0)+COUNTIF($E190:G190,"u")+COUNTIF($E190:G190,"t")+COUNTIF($E190:G190,"¶")+COUNTIF($E190:G190,"²")+COUNTIF($E190:G190,"µ")+COUNTIF($E190:G190,1)-1,INDEX(Roadmap!$D:$K,MATCH($E190,Roadmap!$D:$D,0)-1+COUNTIF($E190:G190,"u")+COUNTIF($E190:G190,"t")+COUNTIF($E190:G190,"¶")+COUNTIF($E190:G190,"²")+COUNTIF($E190:G190,"µ")+COUNTIF($E190:G190,1),ColDescriptionCourte)),""),
  "")),"")</f>
        <v/>
      </c>
      <c r="I190" s="40" t="str">
        <f ca="1">IFERROR(IF(AND(
  INDEX(Roadmap!$D:$K,MATCH($E190,Roadmap!$D:$D,0)+COUNTIF($E190:H190,"u")+COUNTIF($E190:H190,"t")+COUNTIF($E190:H190,"¶")+COUNTIF($E190:H190,"²")+COUNTIF($E190:H190,"µ")+COUNTIF($E190:H190,1),ColLivraison)=I$6,
  VLOOKUP($E190,INDIRECT("tri!"&amp; CHAR(64+ C0Col) &amp;":"&amp; CHAR(65+C0Col)),2,FALSE)&gt;COUNTIF($E190:H190,"u")+COUNTIF($E190:H190,"t")+COUNTIF($E190:H190,"¶")+COUNTIF($E190:H190,"²")+COUNTIF($E190:H190,"µ")+COUNTIF($E190:H190,1)),
HYPERLINK("#Roadmap!C"&amp; MATCH($E190,Roadmap!$D:$D,0)+COUNTIF($E190:H190,"u")+COUNTIF($E190:H190,"t"),
     INDEX(Roadmap!$D:$K,MATCH($E190,Roadmap!$D:$D,0)+COUNTIF($E190:H190,"u")+COUNTIF($E190:H190,"t")+COUNTIF($E190:H190,"¶")+COUNTIF($E190:H190,"²")+COUNTIF($E190:H190,"µ")+COUNTIF($E190:H190,1),ColTypeEcheance)),
  IF(LEN(H190)=1,
  IF(LEN(INDEX(Roadmap!$D:$K,MATCH($E190,Roadmap!$D:$D,0)-1+COUNTIF($E190:H190,"u")+COUNTIF($E190:H190,"t")+COUNTIF($E190:H190,"¶")+COUNTIF($E190:H190,"²")+COUNTIF($E190:H190,"µ")+COUNTIF($E190:H190,1),ColDescriptionCourte))&gt;1,
HYPERLINK("#Roadmap!C"&amp; MATCH($E190,Roadmap!$D:$D,0)+COUNTIF($E190:H190,"u")+COUNTIF($E190:H190,"t")+COUNTIF($E190:H190,"¶")+COUNTIF($E190:H190,"²")+COUNTIF($E190:H190,"µ")+COUNTIF($E190:H190,1)-1,INDEX(Roadmap!$D:$K,MATCH($E190,Roadmap!$D:$D,0)-1+COUNTIF($E190:H190,"u")+COUNTIF($E190:H190,"t")+COUNTIF($E190:H190,"¶")+COUNTIF($E190:H190,"²")+COUNTIF($E190:H190,"µ")+COUNTIF($E190:H190,1),ColDescriptionCourte)),""),
  "")),"")</f>
        <v/>
      </c>
      <c r="J190" s="40" t="str">
        <f ca="1">IFERROR(IF(AND(
  INDEX(Roadmap!$D:$K,MATCH($E190,Roadmap!$D:$D,0)+COUNTIF($E190:I190,"u")+COUNTIF($E190:I190,"t")+COUNTIF($E190:I190,"¶")+COUNTIF($E190:I190,"²")+COUNTIF($E190:I190,"µ")+COUNTIF($E190:I190,1),ColLivraison)=J$6,
  VLOOKUP($E190,INDIRECT("tri!"&amp; CHAR(64+ C0Col) &amp;":"&amp; CHAR(65+C0Col)),2,FALSE)&gt;COUNTIF($E190:I190,"u")+COUNTIF($E190:I190,"t")+COUNTIF($E190:I190,"¶")+COUNTIF($E190:I190,"²")+COUNTIF($E190:I190,"µ")+COUNTIF($E190:I190,1)),
HYPERLINK("#Roadmap!C"&amp; MATCH($E190,Roadmap!$D:$D,0)+COUNTIF($E190:I190,"u")+COUNTIF($E190:I190,"t"),
     INDEX(Roadmap!$D:$K,MATCH($E190,Roadmap!$D:$D,0)+COUNTIF($E190:I190,"u")+COUNTIF($E190:I190,"t")+COUNTIF($E190:I190,"¶")+COUNTIF($E190:I190,"²")+COUNTIF($E190:I190,"µ")+COUNTIF($E190:I190,1),ColTypeEcheance)),
  IF(LEN(I190)=1,
  IF(LEN(INDEX(Roadmap!$D:$K,MATCH($E190,Roadmap!$D:$D,0)-1+COUNTIF($E190:I190,"u")+COUNTIF($E190:I190,"t")+COUNTIF($E190:I190,"¶")+COUNTIF($E190:I190,"²")+COUNTIF($E190:I190,"µ")+COUNTIF($E190:I190,1),ColDescriptionCourte))&gt;1,
HYPERLINK("#Roadmap!C"&amp; MATCH($E190,Roadmap!$D:$D,0)+COUNTIF($E190:I190,"u")+COUNTIF($E190:I190,"t")+COUNTIF($E190:I190,"¶")+COUNTIF($E190:I190,"²")+COUNTIF($E190:I190,"µ")+COUNTIF($E190:I190,1)-1,INDEX(Roadmap!$D:$K,MATCH($E190,Roadmap!$D:$D,0)-1+COUNTIF($E190:I190,"u")+COUNTIF($E190:I190,"t")+COUNTIF($E190:I190,"¶")+COUNTIF($E190:I190,"²")+COUNTIF($E190:I190,"µ")+COUNTIF($E190:I190,1),ColDescriptionCourte)),""),
  "")),"")</f>
        <v/>
      </c>
      <c r="K190" s="40" t="str">
        <f ca="1">IFERROR(IF(AND(
  INDEX(Roadmap!$D:$K,MATCH($E190,Roadmap!$D:$D,0)+COUNTIF($E190:J190,"u")+COUNTIF($E190:J190,"t")+COUNTIF($E190:J190,"¶")+COUNTIF($E190:J190,"²")+COUNTIF($E190:J190,"µ")+COUNTIF($E190:J190,1),ColLivraison)=K$6,
  VLOOKUP($E190,INDIRECT("tri!"&amp; CHAR(64+ C0Col) &amp;":"&amp; CHAR(65+C0Col)),2,FALSE)&gt;COUNTIF($E190:J190,"u")+COUNTIF($E190:J190,"t")+COUNTIF($E190:J190,"¶")+COUNTIF($E190:J190,"²")+COUNTIF($E190:J190,"µ")+COUNTIF($E190:J190,1)),
HYPERLINK("#Roadmap!C"&amp; MATCH($E190,Roadmap!$D:$D,0)+COUNTIF($E190:J190,"u")+COUNTIF($E190:J190,"t"),
     INDEX(Roadmap!$D:$K,MATCH($E190,Roadmap!$D:$D,0)+COUNTIF($E190:J190,"u")+COUNTIF($E190:J190,"t")+COUNTIF($E190:J190,"¶")+COUNTIF($E190:J190,"²")+COUNTIF($E190:J190,"µ")+COUNTIF($E190:J190,1),ColTypeEcheance)),
  IF(LEN(J190)=1,
  IF(LEN(INDEX(Roadmap!$D:$K,MATCH($E190,Roadmap!$D:$D,0)-1+COUNTIF($E190:J190,"u")+COUNTIF($E190:J190,"t")+COUNTIF($E190:J190,"¶")+COUNTIF($E190:J190,"²")+COUNTIF($E190:J190,"µ")+COUNTIF($E190:J190,1),ColDescriptionCourte))&gt;1,
HYPERLINK("#Roadmap!C"&amp; MATCH($E190,Roadmap!$D:$D,0)+COUNTIF($E190:J190,"u")+COUNTIF($E190:J190,"t")+COUNTIF($E190:J190,"¶")+COUNTIF($E190:J190,"²")+COUNTIF($E190:J190,"µ")+COUNTIF($E190:J190,1)-1,INDEX(Roadmap!$D:$K,MATCH($E190,Roadmap!$D:$D,0)-1+COUNTIF($E190:J190,"u")+COUNTIF($E190:J190,"t")+COUNTIF($E190:J190,"¶")+COUNTIF($E190:J190,"²")+COUNTIF($E190:J190,"µ")+COUNTIF($E190:J190,1),ColDescriptionCourte)),""),
  "")),"")</f>
        <v/>
      </c>
      <c r="L190" s="39" t="str">
        <f ca="1">IFERROR(IF(AND(
  INDEX(Roadmap!$D:$K,MATCH($E190,Roadmap!$D:$D,0)+COUNTIF($E190:K190,"u")+COUNTIF($E190:K190,"t")+COUNTIF($E190:K190,"¶")+COUNTIF($E190:K190,"²")+COUNTIF($E190:K190,"µ")+COUNTIF($E190:K190,1),ColLivraison)=L$6,
  VLOOKUP($E190,INDIRECT("tri!"&amp; CHAR(64+ C0Col) &amp;":"&amp; CHAR(65+C0Col)),2,FALSE)&gt;COUNTIF($E190:K190,"u")+COUNTIF($E190:K190,"t")+COUNTIF($E190:K190,"¶")+COUNTIF($E190:K190,"²")+COUNTIF($E190:K190,"µ")+COUNTIF($E190:K190,1)),
HYPERLINK("#Roadmap!C"&amp; MATCH($E190,Roadmap!$D:$D,0)+COUNTIF($E190:K190,"u")+COUNTIF($E190:K190,"t"),
     INDEX(Roadmap!$D:$K,MATCH($E190,Roadmap!$D:$D,0)+COUNTIF($E190:K190,"u")+COUNTIF($E190:K190,"t")+COUNTIF($E190:K190,"¶")+COUNTIF($E190:K190,"²")+COUNTIF($E190:K190,"µ")+COUNTIF($E190:K190,1),ColTypeEcheance)),
  IF(LEN(K190)=1,
  IF(LEN(INDEX(Roadmap!$D:$K,MATCH($E190,Roadmap!$D:$D,0)-1+COUNTIF($E190:K190,"u")+COUNTIF($E190:K190,"t")+COUNTIF($E190:K190,"¶")+COUNTIF($E190:K190,"²")+COUNTIF($E190:K190,"µ")+COUNTIF($E190:K190,1),ColDescriptionCourte))&gt;1,
HYPERLINK("#Roadmap!C"&amp; MATCH($E190,Roadmap!$D:$D,0)+COUNTIF($E190:K190,"u")+COUNTIF($E190:K190,"t")+COUNTIF($E190:K190,"¶")+COUNTIF($E190:K190,"²")+COUNTIF($E190:K190,"µ")+COUNTIF($E190:K190,1)-1,INDEX(Roadmap!$D:$K,MATCH($E190,Roadmap!$D:$D,0)-1+COUNTIF($E190:K190,"u")+COUNTIF($E190:K190,"t")+COUNTIF($E190:K190,"¶")+COUNTIF($E190:K190,"²")+COUNTIF($E190:K190,"µ")+COUNTIF($E190:K190,1),ColDescriptionCourte)),""),
  "")),"")</f>
        <v/>
      </c>
      <c r="M190" s="40" t="str">
        <f ca="1">IFERROR(IF(AND(
  INDEX(Roadmap!$D:$K,MATCH($E190,Roadmap!$D:$D,0)+COUNTIF($E190:L190,"u")+COUNTIF($E190:L190,"t")+COUNTIF($E190:L190,"¶")+COUNTIF($E190:L190,"²")+COUNTIF($E190:L190,"µ")+COUNTIF($E190:L190,1),ColLivraison)=M$6,
  VLOOKUP($E190,INDIRECT("tri!"&amp; CHAR(64+ C0Col) &amp;":"&amp; CHAR(65+C0Col)),2,FALSE)&gt;COUNTIF($E190:L190,"u")+COUNTIF($E190:L190,"t")+COUNTIF($E190:L190,"¶")+COUNTIF($E190:L190,"²")+COUNTIF($E190:L190,"µ")+COUNTIF($E190:L190,1)),
HYPERLINK("#Roadmap!C"&amp; MATCH($E190,Roadmap!$D:$D,0)+COUNTIF($E190:L190,"u")+COUNTIF($E190:L190,"t"),
     INDEX(Roadmap!$D:$K,MATCH($E190,Roadmap!$D:$D,0)+COUNTIF($E190:L190,"u")+COUNTIF($E190:L190,"t")+COUNTIF($E190:L190,"¶")+COUNTIF($E190:L190,"²")+COUNTIF($E190:L190,"µ")+COUNTIF($E190:L190,1),ColTypeEcheance)),
  IF(LEN(L190)=1,
  IF(LEN(INDEX(Roadmap!$D:$K,MATCH($E190,Roadmap!$D:$D,0)-1+COUNTIF($E190:L190,"u")+COUNTIF($E190:L190,"t")+COUNTIF($E190:L190,"¶")+COUNTIF($E190:L190,"²")+COUNTIF($E190:L190,"µ")+COUNTIF($E190:L190,1),ColDescriptionCourte))&gt;1,
HYPERLINK("#Roadmap!C"&amp; MATCH($E190,Roadmap!$D:$D,0)+COUNTIF($E190:L190,"u")+COUNTIF($E190:L190,"t")+COUNTIF($E190:L190,"¶")+COUNTIF($E190:L190,"²")+COUNTIF($E190:L190,"µ")+COUNTIF($E190:L190,1)-1,INDEX(Roadmap!$D:$K,MATCH($E190,Roadmap!$D:$D,0)-1+COUNTIF($E190:L190,"u")+COUNTIF($E190:L190,"t")+COUNTIF($E190:L190,"¶")+COUNTIF($E190:L190,"²")+COUNTIF($E190:L190,"µ")+COUNTIF($E190:L190,1),ColDescriptionCourte)),""),
  "")),"")</f>
        <v/>
      </c>
      <c r="N190" s="40" t="str">
        <f ca="1">IFERROR(IF(AND(
  INDEX(Roadmap!$D:$K,MATCH($E190,Roadmap!$D:$D,0)+COUNTIF($E190:M190,"u")+COUNTIF($E190:M190,"t")+COUNTIF($E190:M190,"¶")+COUNTIF($E190:M190,"²")+COUNTIF($E190:M190,"µ")+COUNTIF($E190:M190,1),ColLivraison)=N$6,
  VLOOKUP($E190,INDIRECT("tri!"&amp; CHAR(64+ C0Col) &amp;":"&amp; CHAR(65+C0Col)),2,FALSE)&gt;COUNTIF($E190:M190,"u")+COUNTIF($E190:M190,"t")+COUNTIF($E190:M190,"¶")+COUNTIF($E190:M190,"²")+COUNTIF($E190:M190,"µ")+COUNTIF($E190:M190,1)),
HYPERLINK("#Roadmap!C"&amp; MATCH($E190,Roadmap!$D:$D,0)+COUNTIF($E190:M190,"u")+COUNTIF($E190:M190,"t"),
     INDEX(Roadmap!$D:$K,MATCH($E190,Roadmap!$D:$D,0)+COUNTIF($E190:M190,"u")+COUNTIF($E190:M190,"t")+COUNTIF($E190:M190,"¶")+COUNTIF($E190:M190,"²")+COUNTIF($E190:M190,"µ")+COUNTIF($E190:M190,1),ColTypeEcheance)),
  IF(LEN(M190)=1,
  IF(LEN(INDEX(Roadmap!$D:$K,MATCH($E190,Roadmap!$D:$D,0)-1+COUNTIF($E190:M190,"u")+COUNTIF($E190:M190,"t")+COUNTIF($E190:M190,"¶")+COUNTIF($E190:M190,"²")+COUNTIF($E190:M190,"µ")+COUNTIF($E190:M190,1),ColDescriptionCourte))&gt;1,
HYPERLINK("#Roadmap!C"&amp; MATCH($E190,Roadmap!$D:$D,0)+COUNTIF($E190:M190,"u")+COUNTIF($E190:M190,"t")+COUNTIF($E190:M190,"¶")+COUNTIF($E190:M190,"²")+COUNTIF($E190:M190,"µ")+COUNTIF($E190:M190,1)-1,INDEX(Roadmap!$D:$K,MATCH($E190,Roadmap!$D:$D,0)-1+COUNTIF($E190:M190,"u")+COUNTIF($E190:M190,"t")+COUNTIF($E190:M190,"¶")+COUNTIF($E190:M190,"²")+COUNTIF($E190:M190,"µ")+COUNTIF($E190:M190,1),ColDescriptionCourte)),""),
  "")),"")</f>
        <v/>
      </c>
      <c r="O190" s="40" t="str">
        <f ca="1">IFERROR(IF(AND(
  INDEX(Roadmap!$D:$K,MATCH($E190,Roadmap!$D:$D,0)+COUNTIF($E190:N190,"u")+COUNTIF($E190:N190,"t")+COUNTIF($E190:N190,"¶")+COUNTIF($E190:N190,"²")+COUNTIF($E190:N190,"µ")+COUNTIF($E190:N190,1),ColLivraison)=O$6,
  VLOOKUP($E190,INDIRECT("tri!"&amp; CHAR(64+ C0Col) &amp;":"&amp; CHAR(65+C0Col)),2,FALSE)&gt;COUNTIF($E190:N190,"u")+COUNTIF($E190:N190,"t")+COUNTIF($E190:N190,"¶")+COUNTIF($E190:N190,"²")+COUNTIF($E190:N190,"µ")+COUNTIF($E190:N190,1)),
HYPERLINK("#Roadmap!C"&amp; MATCH($E190,Roadmap!$D:$D,0)+COUNTIF($E190:N190,"u")+COUNTIF($E190:N190,"t"),
     INDEX(Roadmap!$D:$K,MATCH($E190,Roadmap!$D:$D,0)+COUNTIF($E190:N190,"u")+COUNTIF($E190:N190,"t")+COUNTIF($E190:N190,"¶")+COUNTIF($E190:N190,"²")+COUNTIF($E190:N190,"µ")+COUNTIF($E190:N190,1),ColTypeEcheance)),
  IF(LEN(N190)=1,
  IF(LEN(INDEX(Roadmap!$D:$K,MATCH($E190,Roadmap!$D:$D,0)-1+COUNTIF($E190:N190,"u")+COUNTIF($E190:N190,"t")+COUNTIF($E190:N190,"¶")+COUNTIF($E190:N190,"²")+COUNTIF($E190:N190,"µ")+COUNTIF($E190:N190,1),ColDescriptionCourte))&gt;1,
HYPERLINK("#Roadmap!C"&amp; MATCH($E190,Roadmap!$D:$D,0)+COUNTIF($E190:N190,"u")+COUNTIF($E190:N190,"t")+COUNTIF($E190:N190,"¶")+COUNTIF($E190:N190,"²")+COUNTIF($E190:N190,"µ")+COUNTIF($E190:N190,1)-1,INDEX(Roadmap!$D:$K,MATCH($E190,Roadmap!$D:$D,0)-1+COUNTIF($E190:N190,"u")+COUNTIF($E190:N190,"t")+COUNTIF($E190:N190,"¶")+COUNTIF($E190:N190,"²")+COUNTIF($E190:N190,"µ")+COUNTIF($E190:N190,1),ColDescriptionCourte)),""),
  "")),"")</f>
        <v/>
      </c>
      <c r="P190" s="40" t="str">
        <f ca="1">IFERROR(IF(AND(
  INDEX(Roadmap!$D:$K,MATCH($E190,Roadmap!$D:$D,0)+COUNTIF($E190:O190,"u")+COUNTIF($E190:O190,"t")+COUNTIF($E190:O190,"¶")+COUNTIF($E190:O190,"²")+COUNTIF($E190:O190,"µ")+COUNTIF($E190:O190,1),ColLivraison)=P$6,
  VLOOKUP($E190,INDIRECT("tri!"&amp; CHAR(64+ C0Col) &amp;":"&amp; CHAR(65+C0Col)),2,FALSE)&gt;COUNTIF($E190:O190,"u")+COUNTIF($E190:O190,"t")+COUNTIF($E190:O190,"¶")+COUNTIF($E190:O190,"²")+COUNTIF($E190:O190,"µ")+COUNTIF($E190:O190,1)),
HYPERLINK("#Roadmap!C"&amp; MATCH($E190,Roadmap!$D:$D,0)+COUNTIF($E190:O190,"u")+COUNTIF($E190:O190,"t"),
     INDEX(Roadmap!$D:$K,MATCH($E190,Roadmap!$D:$D,0)+COUNTIF($E190:O190,"u")+COUNTIF($E190:O190,"t")+COUNTIF($E190:O190,"¶")+COUNTIF($E190:O190,"²")+COUNTIF($E190:O190,"µ")+COUNTIF($E190:O190,1),ColTypeEcheance)),
  IF(LEN(O190)=1,
  IF(LEN(INDEX(Roadmap!$D:$K,MATCH($E190,Roadmap!$D:$D,0)-1+COUNTIF($E190:O190,"u")+COUNTIF($E190:O190,"t")+COUNTIF($E190:O190,"¶")+COUNTIF($E190:O190,"²")+COUNTIF($E190:O190,"µ")+COUNTIF($E190:O190,1),ColDescriptionCourte))&gt;1,
HYPERLINK("#Roadmap!C"&amp; MATCH($E190,Roadmap!$D:$D,0)+COUNTIF($E190:O190,"u")+COUNTIF($E190:O190,"t")+COUNTIF($E190:O190,"¶")+COUNTIF($E190:O190,"²")+COUNTIF($E190:O190,"µ")+COUNTIF($E190:O190,1)-1,INDEX(Roadmap!$D:$K,MATCH($E190,Roadmap!$D:$D,0)-1+COUNTIF($E190:O190,"u")+COUNTIF($E190:O190,"t")+COUNTIF($E190:O190,"¶")+COUNTIF($E190:O190,"²")+COUNTIF($E190:O190,"µ")+COUNTIF($E190:O190,1),ColDescriptionCourte)),""),
  "")),"")</f>
        <v/>
      </c>
      <c r="Q190" s="40" t="str">
        <f ca="1">IFERROR(IF(AND(
  INDEX(Roadmap!$D:$K,MATCH($E190,Roadmap!$D:$D,0)+COUNTIF($E190:P190,"u")+COUNTIF($E190:P190,"t")+COUNTIF($E190:P190,"¶")+COUNTIF($E190:P190,"²")+COUNTIF($E190:P190,"µ")+COUNTIF($E190:P190,1),ColLivraison)=Q$6,
  VLOOKUP($E190,INDIRECT("tri!"&amp; CHAR(64+ C0Col) &amp;":"&amp; CHAR(65+C0Col)),2,FALSE)&gt;COUNTIF($E190:P190,"u")+COUNTIF($E190:P190,"t")+COUNTIF($E190:P190,"¶")+COUNTIF($E190:P190,"²")+COUNTIF($E190:P190,"µ")+COUNTIF($E190:P190,1)),
HYPERLINK("#Roadmap!C"&amp; MATCH($E190,Roadmap!$D:$D,0)+COUNTIF($E190:P190,"u")+COUNTIF($E190:P190,"t"),
     INDEX(Roadmap!$D:$K,MATCH($E190,Roadmap!$D:$D,0)+COUNTIF($E190:P190,"u")+COUNTIF($E190:P190,"t")+COUNTIF($E190:P190,"¶")+COUNTIF($E190:P190,"²")+COUNTIF($E190:P190,"µ")+COUNTIF($E190:P190,1),ColTypeEcheance)),
  IF(LEN(P190)=1,
  IF(LEN(INDEX(Roadmap!$D:$K,MATCH($E190,Roadmap!$D:$D,0)-1+COUNTIF($E190:P190,"u")+COUNTIF($E190:P190,"t")+COUNTIF($E190:P190,"¶")+COUNTIF($E190:P190,"²")+COUNTIF($E190:P190,"µ")+COUNTIF($E190:P190,1),ColDescriptionCourte))&gt;1,
HYPERLINK("#Roadmap!C"&amp; MATCH($E190,Roadmap!$D:$D,0)+COUNTIF($E190:P190,"u")+COUNTIF($E190:P190,"t")+COUNTIF($E190:P190,"¶")+COUNTIF($E190:P190,"²")+COUNTIF($E190:P190,"µ")+COUNTIF($E190:P190,1)-1,INDEX(Roadmap!$D:$K,MATCH($E190,Roadmap!$D:$D,0)-1+COUNTIF($E190:P190,"u")+COUNTIF($E190:P190,"t")+COUNTIF($E190:P190,"¶")+COUNTIF($E190:P190,"²")+COUNTIF($E190:P190,"µ")+COUNTIF($E190:P190,1),ColDescriptionCourte)),""),
  "")),"")</f>
        <v/>
      </c>
      <c r="R190" s="40" t="str">
        <f ca="1">IFERROR(IF(AND(
  INDEX(Roadmap!$D:$K,MATCH($E190,Roadmap!$D:$D,0)+COUNTIF($E190:Q190,"u")+COUNTIF($E190:Q190,"t")+COUNTIF($E190:Q190,"¶")+COUNTIF($E190:Q190,"²")+COUNTIF($E190:Q190,"µ")+COUNTIF($E190:Q190,1),ColLivraison)=R$6,
  VLOOKUP($E190,INDIRECT("tri!"&amp; CHAR(64+ C0Col) &amp;":"&amp; CHAR(65+C0Col)),2,FALSE)&gt;COUNTIF($E190:Q190,"u")+COUNTIF($E190:Q190,"t")+COUNTIF($E190:Q190,"¶")+COUNTIF($E190:Q190,"²")+COUNTIF($E190:Q190,"µ")+COUNTIF($E190:Q190,1)),
HYPERLINK("#Roadmap!C"&amp; MATCH($E190,Roadmap!$D:$D,0)+COUNTIF($E190:Q190,"u")+COUNTIF($E190:Q190,"t"),
     INDEX(Roadmap!$D:$K,MATCH($E190,Roadmap!$D:$D,0)+COUNTIF($E190:Q190,"u")+COUNTIF($E190:Q190,"t")+COUNTIF($E190:Q190,"¶")+COUNTIF($E190:Q190,"²")+COUNTIF($E190:Q190,"µ")+COUNTIF($E190:Q190,1),ColTypeEcheance)),
  IF(LEN(Q190)=1,
  IF(LEN(INDEX(Roadmap!$D:$K,MATCH($E190,Roadmap!$D:$D,0)-1+COUNTIF($E190:Q190,"u")+COUNTIF($E190:Q190,"t")+COUNTIF($E190:Q190,"¶")+COUNTIF($E190:Q190,"²")+COUNTIF($E190:Q190,"µ")+COUNTIF($E190:Q190,1),ColDescriptionCourte))&gt;1,
HYPERLINK("#Roadmap!C"&amp; MATCH($E190,Roadmap!$D:$D,0)+COUNTIF($E190:Q190,"u")+COUNTIF($E190:Q190,"t")+COUNTIF($E190:Q190,"¶")+COUNTIF($E190:Q190,"²")+COUNTIF($E190:Q190,"µ")+COUNTIF($E190:Q190,1)-1,INDEX(Roadmap!$D:$K,MATCH($E190,Roadmap!$D:$D,0)-1+COUNTIF($E190:Q190,"u")+COUNTIF($E190:Q190,"t")+COUNTIF($E190:Q190,"¶")+COUNTIF($E190:Q190,"²")+COUNTIF($E190:Q190,"µ")+COUNTIF($E190:Q190,1),ColDescriptionCourte)),""),
  "")),"")</f>
        <v/>
      </c>
      <c r="S190" s="40" t="str">
        <f ca="1">IFERROR(IF(AND(
  INDEX(Roadmap!$D:$K,MATCH($E190,Roadmap!$D:$D,0)+COUNTIF($E190:R190,"u")+COUNTIF($E190:R190,"t")+COUNTIF($E190:R190,"¶")+COUNTIF($E190:R190,"²")+COUNTIF($E190:R190,"µ")+COUNTIF($E190:R190,1),ColLivraison)=S$6,
  VLOOKUP($E190,INDIRECT("tri!"&amp; CHAR(64+ C0Col) &amp;":"&amp; CHAR(65+C0Col)),2,FALSE)&gt;COUNTIF($E190:R190,"u")+COUNTIF($E190:R190,"t")+COUNTIF($E190:R190,"¶")+COUNTIF($E190:R190,"²")+COUNTIF($E190:R190,"µ")+COUNTIF($E190:R190,1)),
HYPERLINK("#Roadmap!C"&amp; MATCH($E190,Roadmap!$D:$D,0)+COUNTIF($E190:R190,"u")+COUNTIF($E190:R190,"t"),
     INDEX(Roadmap!$D:$K,MATCH($E190,Roadmap!$D:$D,0)+COUNTIF($E190:R190,"u")+COUNTIF($E190:R190,"t")+COUNTIF($E190:R190,"¶")+COUNTIF($E190:R190,"²")+COUNTIF($E190:R190,"µ")+COUNTIF($E190:R190,1),ColTypeEcheance)),
  IF(LEN(R190)=1,
  IF(LEN(INDEX(Roadmap!$D:$K,MATCH($E190,Roadmap!$D:$D,0)-1+COUNTIF($E190:R190,"u")+COUNTIF($E190:R190,"t")+COUNTIF($E190:R190,"¶")+COUNTIF($E190:R190,"²")+COUNTIF($E190:R190,"µ")+COUNTIF($E190:R190,1),ColDescriptionCourte))&gt;1,
HYPERLINK("#Roadmap!C"&amp; MATCH($E190,Roadmap!$D:$D,0)+COUNTIF($E190:R190,"u")+COUNTIF($E190:R190,"t")+COUNTIF($E190:R190,"¶")+COUNTIF($E190:R190,"²")+COUNTIF($E190:R190,"µ")+COUNTIF($E190:R190,1)-1,INDEX(Roadmap!$D:$K,MATCH($E190,Roadmap!$D:$D,0)-1+COUNTIF($E190:R190,"u")+COUNTIF($E190:R190,"t")+COUNTIF($E190:R190,"¶")+COUNTIF($E190:R190,"²")+COUNTIF($E190:R190,"µ")+COUNTIF($E190:R190,1),ColDescriptionCourte)),""),
  "")),"")</f>
        <v/>
      </c>
      <c r="T190" s="40" t="str">
        <f ca="1">IFERROR(IF(AND(
  INDEX(Roadmap!$D:$K,MATCH($E190,Roadmap!$D:$D,0)+COUNTIF($E190:S190,"u")+COUNTIF($E190:S190,"t")+COUNTIF($E190:S190,"¶")+COUNTIF($E190:S190,"²")+COUNTIF($E190:S190,"µ")+COUNTIF($E190:S190,1),ColLivraison)=T$6,
  VLOOKUP($E190,INDIRECT("tri!"&amp; CHAR(64+ C0Col) &amp;":"&amp; CHAR(65+C0Col)),2,FALSE)&gt;COUNTIF($E190:S190,"u")+COUNTIF($E190:S190,"t")+COUNTIF($E190:S190,"¶")+COUNTIF($E190:S190,"²")+COUNTIF($E190:S190,"µ")+COUNTIF($E190:S190,1)),
HYPERLINK("#Roadmap!C"&amp; MATCH($E190,Roadmap!$D:$D,0)+COUNTIF($E190:S190,"u")+COUNTIF($E190:S190,"t"),
     INDEX(Roadmap!$D:$K,MATCH($E190,Roadmap!$D:$D,0)+COUNTIF($E190:S190,"u")+COUNTIF($E190:S190,"t")+COUNTIF($E190:S190,"¶")+COUNTIF($E190:S190,"²")+COUNTIF($E190:S190,"µ")+COUNTIF($E190:S190,1),ColTypeEcheance)),
  IF(LEN(S190)=1,
  IF(LEN(INDEX(Roadmap!$D:$K,MATCH($E190,Roadmap!$D:$D,0)-1+COUNTIF($E190:S190,"u")+COUNTIF($E190:S190,"t")+COUNTIF($E190:S190,"¶")+COUNTIF($E190:S190,"²")+COUNTIF($E190:S190,"µ")+COUNTIF($E190:S190,1),ColDescriptionCourte))&gt;1,
HYPERLINK("#Roadmap!C"&amp; MATCH($E190,Roadmap!$D:$D,0)+COUNTIF($E190:S190,"u")+COUNTIF($E190:S190,"t")+COUNTIF($E190:S190,"¶")+COUNTIF($E190:S190,"²")+COUNTIF($E190:S190,"µ")+COUNTIF($E190:S190,1)-1,INDEX(Roadmap!$D:$K,MATCH($E190,Roadmap!$D:$D,0)-1+COUNTIF($E190:S190,"u")+COUNTIF($E190:S190,"t")+COUNTIF($E190:S190,"¶")+COUNTIF($E190:S190,"²")+COUNTIF($E190:S190,"µ")+COUNTIF($E190:S190,1),ColDescriptionCourte)),""),
  "")),"")</f>
        <v/>
      </c>
      <c r="U190" s="40" t="str">
        <f ca="1">IFERROR(IF(AND(
  INDEX(Roadmap!$D:$K,MATCH($E190,Roadmap!$D:$D,0)+COUNTIF($E190:T190,"u")+COUNTIF($E190:T190,"t")+COUNTIF($E190:T190,"¶")+COUNTIF($E190:T190,"²")+COUNTIF($E190:T190,"µ")+COUNTIF($E190:T190,1),ColLivraison)=U$6,
  VLOOKUP($E190,INDIRECT("tri!"&amp; CHAR(64+ C0Col) &amp;":"&amp; CHAR(65+C0Col)),2,FALSE)&gt;COUNTIF($E190:T190,"u")+COUNTIF($E190:T190,"t")+COUNTIF($E190:T190,"¶")+COUNTIF($E190:T190,"²")+COUNTIF($E190:T190,"µ")+COUNTIF($E190:T190,1)),
HYPERLINK("#Roadmap!C"&amp; MATCH($E190,Roadmap!$D:$D,0)+COUNTIF($E190:T190,"u")+COUNTIF($E190:T190,"t"),
     INDEX(Roadmap!$D:$K,MATCH($E190,Roadmap!$D:$D,0)+COUNTIF($E190:T190,"u")+COUNTIF($E190:T190,"t")+COUNTIF($E190:T190,"¶")+COUNTIF($E190:T190,"²")+COUNTIF($E190:T190,"µ")+COUNTIF($E190:T190,1),ColTypeEcheance)),
  IF(LEN(T190)=1,
  IF(LEN(INDEX(Roadmap!$D:$K,MATCH($E190,Roadmap!$D:$D,0)-1+COUNTIF($E190:T190,"u")+COUNTIF($E190:T190,"t")+COUNTIF($E190:T190,"¶")+COUNTIF($E190:T190,"²")+COUNTIF($E190:T190,"µ")+COUNTIF($E190:T190,1),ColDescriptionCourte))&gt;1,
HYPERLINK("#Roadmap!C"&amp; MATCH($E190,Roadmap!$D:$D,0)+COUNTIF($E190:T190,"u")+COUNTIF($E190:T190,"t")+COUNTIF($E190:T190,"¶")+COUNTIF($E190:T190,"²")+COUNTIF($E190:T190,"µ")+COUNTIF($E190:T190,1)-1,INDEX(Roadmap!$D:$K,MATCH($E190,Roadmap!$D:$D,0)-1+COUNTIF($E190:T190,"u")+COUNTIF($E190:T190,"t")+COUNTIF($E190:T190,"¶")+COUNTIF($E190:T190,"²")+COUNTIF($E190:T190,"µ")+COUNTIF($E190:T190,1),ColDescriptionCourte)),""),
  "")),"")</f>
        <v/>
      </c>
      <c r="V190" s="40" t="str">
        <f ca="1">IFERROR(IF(AND(
  INDEX(Roadmap!$D:$K,MATCH($E190,Roadmap!$D:$D,0)+COUNTIF($E190:U190,"u")+COUNTIF($E190:U190,"t")+COUNTIF($E190:U190,"¶")+COUNTIF($E190:U190,"²")+COUNTIF($E190:U190,"µ")+COUNTIF($E190:U190,1),ColLivraison)=V$6,
  VLOOKUP($E190,INDIRECT("tri!"&amp; CHAR(64+ C0Col) &amp;":"&amp; CHAR(65+C0Col)),2,FALSE)&gt;COUNTIF($E190:U190,"u")+COUNTIF($E190:U190,"t")+COUNTIF($E190:U190,"¶")+COUNTIF($E190:U190,"²")+COUNTIF($E190:U190,"µ")+COUNTIF($E190:U190,1)),
HYPERLINK("#Roadmap!C"&amp; MATCH($E190,Roadmap!$D:$D,0)+COUNTIF($E190:U190,"u")+COUNTIF($E190:U190,"t"),
     INDEX(Roadmap!$D:$K,MATCH($E190,Roadmap!$D:$D,0)+COUNTIF($E190:U190,"u")+COUNTIF($E190:U190,"t")+COUNTIF($E190:U190,"¶")+COUNTIF($E190:U190,"²")+COUNTIF($E190:U190,"µ")+COUNTIF($E190:U190,1),ColTypeEcheance)),
  IF(LEN(U190)=1,
  IF(LEN(INDEX(Roadmap!$D:$K,MATCH($E190,Roadmap!$D:$D,0)-1+COUNTIF($E190:U190,"u")+COUNTIF($E190:U190,"t")+COUNTIF($E190:U190,"¶")+COUNTIF($E190:U190,"²")+COUNTIF($E190:U190,"µ")+COUNTIF($E190:U190,1),ColDescriptionCourte))&gt;1,
HYPERLINK("#Roadmap!C"&amp; MATCH($E190,Roadmap!$D:$D,0)+COUNTIF($E190:U190,"u")+COUNTIF($E190:U190,"t")+COUNTIF($E190:U190,"¶")+COUNTIF($E190:U190,"²")+COUNTIF($E190:U190,"µ")+COUNTIF($E190:U190,1)-1,INDEX(Roadmap!$D:$K,MATCH($E190,Roadmap!$D:$D,0)-1+COUNTIF($E190:U190,"u")+COUNTIF($E190:U190,"t")+COUNTIF($E190:U190,"¶")+COUNTIF($E190:U190,"²")+COUNTIF($E190:U190,"µ")+COUNTIF($E190:U190,1),ColDescriptionCourte)),""),
  "")),"")</f>
        <v/>
      </c>
      <c r="W190" s="40" t="str">
        <f ca="1">IFERROR(IF(AND(
  INDEX(Roadmap!$D:$K,MATCH($E190,Roadmap!$D:$D,0)+COUNTIF($E190:V190,"u")+COUNTIF($E190:V190,"t")+COUNTIF($E190:V190,"¶")+COUNTIF($E190:V190,"²")+COUNTIF($E190:V190,"µ")+COUNTIF($E190:V190,1),ColLivraison)=W$6,
  VLOOKUP($E190,INDIRECT("tri!"&amp; CHAR(64+ C0Col) &amp;":"&amp; CHAR(65+C0Col)),2,FALSE)&gt;COUNTIF($E190:V190,"u")+COUNTIF($E190:V190,"t")+COUNTIF($E190:V190,"¶")+COUNTIF($E190:V190,"²")+COUNTIF($E190:V190,"µ")+COUNTIF($E190:V190,1)),
HYPERLINK("#Roadmap!C"&amp; MATCH($E190,Roadmap!$D:$D,0)+COUNTIF($E190:V190,"u")+COUNTIF($E190:V190,"t"),
     INDEX(Roadmap!$D:$K,MATCH($E190,Roadmap!$D:$D,0)+COUNTIF($E190:V190,"u")+COUNTIF($E190:V190,"t")+COUNTIF($E190:V190,"¶")+COUNTIF($E190:V190,"²")+COUNTIF($E190:V190,"µ")+COUNTIF($E190:V190,1),ColTypeEcheance)),
  IF(LEN(V190)=1,
  IF(LEN(INDEX(Roadmap!$D:$K,MATCH($E190,Roadmap!$D:$D,0)-1+COUNTIF($E190:V190,"u")+COUNTIF($E190:V190,"t")+COUNTIF($E190:V190,"¶")+COUNTIF($E190:V190,"²")+COUNTIF($E190:V190,"µ")+COUNTIF($E190:V190,1),ColDescriptionCourte))&gt;1,
HYPERLINK("#Roadmap!C"&amp; MATCH($E190,Roadmap!$D:$D,0)+COUNTIF($E190:V190,"u")+COUNTIF($E190:V190,"t")+COUNTIF($E190:V190,"¶")+COUNTIF($E190:V190,"²")+COUNTIF($E190:V190,"µ")+COUNTIF($E190:V190,1)-1,INDEX(Roadmap!$D:$K,MATCH($E190,Roadmap!$D:$D,0)-1+COUNTIF($E190:V190,"u")+COUNTIF($E190:V190,"t")+COUNTIF($E190:V190,"¶")+COUNTIF($E190:V190,"²")+COUNTIF($E190:V190,"µ")+COUNTIF($E190:V190,1),ColDescriptionCourte)),""),
  "")),"")</f>
        <v/>
      </c>
      <c r="X190" s="40" t="str">
        <f ca="1">IFERROR(IF(AND(
  INDEX(Roadmap!$D:$K,MATCH($E190,Roadmap!$D:$D,0)+COUNTIF($E190:W190,"u")+COUNTIF($E190:W190,"t")+COUNTIF($E190:W190,"¶")+COUNTIF($E190:W190,"²")+COUNTIF($E190:W190,"µ")+COUNTIF($E190:W190,1),ColLivraison)=X$6,
  VLOOKUP($E190,INDIRECT("tri!"&amp; CHAR(64+ C0Col) &amp;":"&amp; CHAR(65+C0Col)),2,FALSE)&gt;COUNTIF($E190:W190,"u")+COUNTIF($E190:W190,"t")+COUNTIF($E190:W190,"¶")+COUNTIF($E190:W190,"²")+COUNTIF($E190:W190,"µ")+COUNTIF($E190:W190,1)),
HYPERLINK("#Roadmap!C"&amp; MATCH($E190,Roadmap!$D:$D,0)+COUNTIF($E190:W190,"u")+COUNTIF($E190:W190,"t"),
     INDEX(Roadmap!$D:$K,MATCH($E190,Roadmap!$D:$D,0)+COUNTIF($E190:W190,"u")+COUNTIF($E190:W190,"t")+COUNTIF($E190:W190,"¶")+COUNTIF($E190:W190,"²")+COUNTIF($E190:W190,"µ")+COUNTIF($E190:W190,1),ColTypeEcheance)),
  IF(LEN(W190)=1,
  IF(LEN(INDEX(Roadmap!$D:$K,MATCH($E190,Roadmap!$D:$D,0)-1+COUNTIF($E190:W190,"u")+COUNTIF($E190:W190,"t")+COUNTIF($E190:W190,"¶")+COUNTIF($E190:W190,"²")+COUNTIF($E190:W190,"µ")+COUNTIF($E190:W190,1),ColDescriptionCourte))&gt;1,
HYPERLINK("#Roadmap!C"&amp; MATCH($E190,Roadmap!$D:$D,0)+COUNTIF($E190:W190,"u")+COUNTIF($E190:W190,"t")+COUNTIF($E190:W190,"¶")+COUNTIF($E190:W190,"²")+COUNTIF($E190:W190,"µ")+COUNTIF($E190:W190,1)-1,INDEX(Roadmap!$D:$K,MATCH($E190,Roadmap!$D:$D,0)-1+COUNTIF($E190:W190,"u")+COUNTIF($E190:W190,"t")+COUNTIF($E190:W190,"¶")+COUNTIF($E190:W190,"²")+COUNTIF($E190:W190,"µ")+COUNTIF($E190:W190,1),ColDescriptionCourte)),""),
  "")),"")</f>
        <v/>
      </c>
      <c r="Y190" s="40" t="str">
        <f ca="1">IFERROR(IF(AND(
  INDEX(Roadmap!$D:$K,MATCH($E190,Roadmap!$D:$D,0)+COUNTIF($E190:X190,"u")+COUNTIF($E190:X190,"t")+COUNTIF($E190:X190,"¶")+COUNTIF($E190:X190,"²")+COUNTIF($E190:X190,"µ")+COUNTIF($E190:X190,1),ColLivraison)=Y$6,
  VLOOKUP($E190,INDIRECT("tri!"&amp; CHAR(64+ C0Col) &amp;":"&amp; CHAR(65+C0Col)),2,FALSE)&gt;COUNTIF($E190:X190,"u")+COUNTIF($E190:X190,"t")+COUNTIF($E190:X190,"¶")+COUNTIF($E190:X190,"²")+COUNTIF($E190:X190,"µ")+COUNTIF($E190:X190,1)),
HYPERLINK("#Roadmap!C"&amp; MATCH($E190,Roadmap!$D:$D,0)+COUNTIF($E190:X190,"u")+COUNTIF($E190:X190,"t"),
     INDEX(Roadmap!$D:$K,MATCH($E190,Roadmap!$D:$D,0)+COUNTIF($E190:X190,"u")+COUNTIF($E190:X190,"t")+COUNTIF($E190:X190,"¶")+COUNTIF($E190:X190,"²")+COUNTIF($E190:X190,"µ")+COUNTIF($E190:X190,1),ColTypeEcheance)),
  IF(LEN(X190)=1,
  IF(LEN(INDEX(Roadmap!$D:$K,MATCH($E190,Roadmap!$D:$D,0)-1+COUNTIF($E190:X190,"u")+COUNTIF($E190:X190,"t")+COUNTIF($E190:X190,"¶")+COUNTIF($E190:X190,"²")+COUNTIF($E190:X190,"µ")+COUNTIF($E190:X190,1),ColDescriptionCourte))&gt;1,
HYPERLINK("#Roadmap!C"&amp; MATCH($E190,Roadmap!$D:$D,0)+COUNTIF($E190:X190,"u")+COUNTIF($E190:X190,"t")+COUNTIF($E190:X190,"¶")+COUNTIF($E190:X190,"²")+COUNTIF($E190:X190,"µ")+COUNTIF($E190:X190,1)-1,INDEX(Roadmap!$D:$K,MATCH($E190,Roadmap!$D:$D,0)-1+COUNTIF($E190:X190,"u")+COUNTIF($E190:X190,"t")+COUNTIF($E190:X190,"¶")+COUNTIF($E190:X190,"²")+COUNTIF($E190:X190,"µ")+COUNTIF($E190:X190,1),ColDescriptionCourte)),""),
  "")),"")</f>
        <v/>
      </c>
      <c r="Z190" s="40" t="str">
        <f ca="1">IFERROR(IF(AND(
  INDEX(Roadmap!$D:$K,MATCH($E190,Roadmap!$D:$D,0)+COUNTIF($E190:Y190,"u")+COUNTIF($E190:Y190,"t")+COUNTIF($E190:Y190,"¶")+COUNTIF($E190:Y190,"²")+COUNTIF($E190:Y190,"µ")+COUNTIF($E190:Y190,1),ColLivraison)=Z$6,
  VLOOKUP($E190,INDIRECT("tri!"&amp; CHAR(64+ C0Col) &amp;":"&amp; CHAR(65+C0Col)),2,FALSE)&gt;COUNTIF($E190:Y190,"u")+COUNTIF($E190:Y190,"t")+COUNTIF($E190:Y190,"¶")+COUNTIF($E190:Y190,"²")+COUNTIF($E190:Y190,"µ")+COUNTIF($E190:Y190,1)),
HYPERLINK("#Roadmap!C"&amp; MATCH($E190,Roadmap!$D:$D,0)+COUNTIF($E190:Y190,"u")+COUNTIF($E190:Y190,"t"),
     INDEX(Roadmap!$D:$K,MATCH($E190,Roadmap!$D:$D,0)+COUNTIF($E190:Y190,"u")+COUNTIF($E190:Y190,"t")+COUNTIF($E190:Y190,"¶")+COUNTIF($E190:Y190,"²")+COUNTIF($E190:Y190,"µ")+COUNTIF($E190:Y190,1),ColTypeEcheance)),
  IF(LEN(Y190)=1,
  IF(LEN(INDEX(Roadmap!$D:$K,MATCH($E190,Roadmap!$D:$D,0)-1+COUNTIF($E190:Y190,"u")+COUNTIF($E190:Y190,"t")+COUNTIF($E190:Y190,"¶")+COUNTIF($E190:Y190,"²")+COUNTIF($E190:Y190,"µ")+COUNTIF($E190:Y190,1),ColDescriptionCourte))&gt;1,
HYPERLINK("#Roadmap!C"&amp; MATCH($E190,Roadmap!$D:$D,0)+COUNTIF($E190:Y190,"u")+COUNTIF($E190:Y190,"t")+COUNTIF($E190:Y190,"¶")+COUNTIF($E190:Y190,"²")+COUNTIF($E190:Y190,"µ")+COUNTIF($E190:Y190,1)-1,INDEX(Roadmap!$D:$K,MATCH($E190,Roadmap!$D:$D,0)-1+COUNTIF($E190:Y190,"u")+COUNTIF($E190:Y190,"t")+COUNTIF($E190:Y190,"¶")+COUNTIF($E190:Y190,"²")+COUNTIF($E190:Y190,"µ")+COUNTIF($E190:Y190,1),ColDescriptionCourte)),""),
  "")),"")</f>
        <v/>
      </c>
      <c r="AA190" s="40" t="str">
        <f ca="1">IFERROR(IF(AND(
  INDEX(Roadmap!$D:$K,MATCH($E190,Roadmap!$D:$D,0)+COUNTIF($E190:Z190,"u")+COUNTIF($E190:Z190,"t")+COUNTIF($E190:Z190,"¶")+COUNTIF($E190:Z190,"²")+COUNTIF($E190:Z190,"µ")+COUNTIF($E190:Z190,1),ColLivraison)=AA$6,
  VLOOKUP($E190,INDIRECT("tri!"&amp; CHAR(64+ C0Col) &amp;":"&amp; CHAR(65+C0Col)),2,FALSE)&gt;COUNTIF($E190:Z190,"u")+COUNTIF($E190:Z190,"t")+COUNTIF($E190:Z190,"¶")+COUNTIF($E190:Z190,"²")+COUNTIF($E190:Z190,"µ")+COUNTIF($E190:Z190,1)),
HYPERLINK("#Roadmap!C"&amp; MATCH($E190,Roadmap!$D:$D,0)+COUNTIF($E190:Z190,"u")+COUNTIF($E190:Z190,"t"),
     INDEX(Roadmap!$D:$K,MATCH($E190,Roadmap!$D:$D,0)+COUNTIF($E190:Z190,"u")+COUNTIF($E190:Z190,"t")+COUNTIF($E190:Z190,"¶")+COUNTIF($E190:Z190,"²")+COUNTIF($E190:Z190,"µ")+COUNTIF($E190:Z190,1),ColTypeEcheance)),
  IF(LEN(Z190)=1,
  IF(LEN(INDEX(Roadmap!$D:$K,MATCH($E190,Roadmap!$D:$D,0)-1+COUNTIF($E190:Z190,"u")+COUNTIF($E190:Z190,"t")+COUNTIF($E190:Z190,"¶")+COUNTIF($E190:Z190,"²")+COUNTIF($E190:Z190,"µ")+COUNTIF($E190:Z190,1),ColDescriptionCourte))&gt;1,
HYPERLINK("#Roadmap!C"&amp; MATCH($E190,Roadmap!$D:$D,0)+COUNTIF($E190:Z190,"u")+COUNTIF($E190:Z190,"t")+COUNTIF($E190:Z190,"¶")+COUNTIF($E190:Z190,"²")+COUNTIF($E190:Z190,"µ")+COUNTIF($E190:Z190,1)-1,INDEX(Roadmap!$D:$K,MATCH($E190,Roadmap!$D:$D,0)-1+COUNTIF($E190:Z190,"u")+COUNTIF($E190:Z190,"t")+COUNTIF($E190:Z190,"¶")+COUNTIF($E190:Z190,"²")+COUNTIF($E190:Z190,"µ")+COUNTIF($E190:Z190,1),ColDescriptionCourte)),""),
  "")),"")</f>
        <v/>
      </c>
      <c r="AB190" s="40" t="str">
        <f ca="1">IFERROR(IF(AND(
  INDEX(Roadmap!$D:$K,MATCH($E190,Roadmap!$D:$D,0)+COUNTIF($E190:AA190,"u")+COUNTIF($E190:AA190,"t")+COUNTIF($E190:AA190,"¶")+COUNTIF($E190:AA190,"²")+COUNTIF($E190:AA190,"µ")+COUNTIF($E190:AA190,1),ColLivraison)=AB$6,
  VLOOKUP($E190,INDIRECT("tri!"&amp; CHAR(64+ C0Col) &amp;":"&amp; CHAR(65+C0Col)),2,FALSE)&gt;COUNTIF($E190:AA190,"u")+COUNTIF($E190:AA190,"t")+COUNTIF($E190:AA190,"¶")+COUNTIF($E190:AA190,"²")+COUNTIF($E190:AA190,"µ")+COUNTIF($E190:AA190,1)),
HYPERLINK("#Roadmap!C"&amp; MATCH($E190,Roadmap!$D:$D,0)+COUNTIF($E190:AA190,"u")+COUNTIF($E190:AA190,"t"),
     INDEX(Roadmap!$D:$K,MATCH($E190,Roadmap!$D:$D,0)+COUNTIF($E190:AA190,"u")+COUNTIF($E190:AA190,"t")+COUNTIF($E190:AA190,"¶")+COUNTIF($E190:AA190,"²")+COUNTIF($E190:AA190,"µ")+COUNTIF($E190:AA190,1),ColTypeEcheance)),
  IF(LEN(AA190)=1,
  IF(LEN(INDEX(Roadmap!$D:$K,MATCH($E190,Roadmap!$D:$D,0)-1+COUNTIF($E190:AA190,"u")+COUNTIF($E190:AA190,"t")+COUNTIF($E190:AA190,"¶")+COUNTIF($E190:AA190,"²")+COUNTIF($E190:AA190,"µ")+COUNTIF($E190:AA190,1),ColDescriptionCourte))&gt;1,
HYPERLINK("#Roadmap!C"&amp; MATCH($E190,Roadmap!$D:$D,0)+COUNTIF($E190:AA190,"u")+COUNTIF($E190:AA190,"t")+COUNTIF($E190:AA190,"¶")+COUNTIF($E190:AA190,"²")+COUNTIF($E190:AA190,"µ")+COUNTIF($E190:AA190,1)-1,INDEX(Roadmap!$D:$K,MATCH($E190,Roadmap!$D:$D,0)-1+COUNTIF($E190:AA190,"u")+COUNTIF($E190:AA190,"t")+COUNTIF($E190:AA190,"¶")+COUNTIF($E190:AA190,"²")+COUNTIF($E190:AA190,"µ")+COUNTIF($E190:AA190,1),ColDescriptionCourte)),""),
  "")),"")</f>
        <v/>
      </c>
      <c r="AC190" s="40" t="str">
        <f ca="1">IFERROR(IF(AND(
  INDEX(Roadmap!$D:$K,MATCH($E190,Roadmap!$D:$D,0)+COUNTIF($E190:AB190,"u")+COUNTIF($E190:AB190,"t")+COUNTIF($E190:AB190,"¶")+COUNTIF($E190:AB190,"²")+COUNTIF($E190:AB190,"µ")+COUNTIF($E190:AB190,1),ColLivraison)=AC$6,
  VLOOKUP($E190,INDIRECT("tri!"&amp; CHAR(64+ C0Col) &amp;":"&amp; CHAR(65+C0Col)),2,FALSE)&gt;COUNTIF($E190:AB190,"u")+COUNTIF($E190:AB190,"t")+COUNTIF($E190:AB190,"¶")+COUNTIF($E190:AB190,"²")+COUNTIF($E190:AB190,"µ")+COUNTIF($E190:AB190,1)),
HYPERLINK("#Roadmap!C"&amp; MATCH($E190,Roadmap!$D:$D,0)+COUNTIF($E190:AB190,"u")+COUNTIF($E190:AB190,"t"),
     INDEX(Roadmap!$D:$K,MATCH($E190,Roadmap!$D:$D,0)+COUNTIF($E190:AB190,"u")+COUNTIF($E190:AB190,"t")+COUNTIF($E190:AB190,"¶")+COUNTIF($E190:AB190,"²")+COUNTIF($E190:AB190,"µ")+COUNTIF($E190:AB190,1),ColTypeEcheance)),
  IF(LEN(AB190)=1,
  IF(LEN(INDEX(Roadmap!$D:$K,MATCH($E190,Roadmap!$D:$D,0)-1+COUNTIF($E190:AB190,"u")+COUNTIF($E190:AB190,"t")+COUNTIF($E190:AB190,"¶")+COUNTIF($E190:AB190,"²")+COUNTIF($E190:AB190,"µ")+COUNTIF($E190:AB190,1),ColDescriptionCourte))&gt;1,
HYPERLINK("#Roadmap!C"&amp; MATCH($E190,Roadmap!$D:$D,0)+COUNTIF($E190:AB190,"u")+COUNTIF($E190:AB190,"t")+COUNTIF($E190:AB190,"¶")+COUNTIF($E190:AB190,"²")+COUNTIF($E190:AB190,"µ")+COUNTIF($E190:AB190,1)-1,INDEX(Roadmap!$D:$K,MATCH($E190,Roadmap!$D:$D,0)-1+COUNTIF($E190:AB190,"u")+COUNTIF($E190:AB190,"t")+COUNTIF($E190:AB190,"¶")+COUNTIF($E190:AB190,"²")+COUNTIF($E190:AB190,"µ")+COUNTIF($E190:AB190,1),ColDescriptionCourte)),""),
  "")),"")</f>
        <v/>
      </c>
      <c r="AD190" s="40" t="str">
        <f ca="1">IFERROR(IF(AND(
  INDEX(Roadmap!$D:$K,MATCH($E190,Roadmap!$D:$D,0)+COUNTIF($E190:AC190,"u")+COUNTIF($E190:AC190,"t")+COUNTIF($E190:AC190,"¶")+COUNTIF($E190:AC190,"²")+COUNTIF($E190:AC190,"µ")+COUNTIF($E190:AC190,1),ColLivraison)=AD$6,
  VLOOKUP($E190,INDIRECT("tri!"&amp; CHAR(64+ C0Col) &amp;":"&amp; CHAR(65+C0Col)),2,FALSE)&gt;COUNTIF($E190:AC190,"u")+COUNTIF($E190:AC190,"t")+COUNTIF($E190:AC190,"¶")+COUNTIF($E190:AC190,"²")+COUNTIF($E190:AC190,"µ")+COUNTIF($E190:AC190,1)),
HYPERLINK("#Roadmap!C"&amp; MATCH($E190,Roadmap!$D:$D,0)+COUNTIF($E190:AC190,"u")+COUNTIF($E190:AC190,"t"),
     INDEX(Roadmap!$D:$K,MATCH($E190,Roadmap!$D:$D,0)+COUNTIF($E190:AC190,"u")+COUNTIF($E190:AC190,"t")+COUNTIF($E190:AC190,"¶")+COUNTIF($E190:AC190,"²")+COUNTIF($E190:AC190,"µ")+COUNTIF($E190:AC190,1),ColTypeEcheance)),
  IF(LEN(AC190)=1,
  IF(LEN(INDEX(Roadmap!$D:$K,MATCH($E190,Roadmap!$D:$D,0)-1+COUNTIF($E190:AC190,"u")+COUNTIF($E190:AC190,"t")+COUNTIF($E190:AC190,"¶")+COUNTIF($E190:AC190,"²")+COUNTIF($E190:AC190,"µ")+COUNTIF($E190:AC190,1),ColDescriptionCourte))&gt;1,
HYPERLINK("#Roadmap!C"&amp; MATCH($E190,Roadmap!$D:$D,0)+COUNTIF($E190:AC190,"u")+COUNTIF($E190:AC190,"t")+COUNTIF($E190:AC190,"¶")+COUNTIF($E190:AC190,"²")+COUNTIF($E190:AC190,"µ")+COUNTIF($E190:AC190,1)-1,INDEX(Roadmap!$D:$K,MATCH($E190,Roadmap!$D:$D,0)-1+COUNTIF($E190:AC190,"u")+COUNTIF($E190:AC190,"t")+COUNTIF($E190:AC190,"¶")+COUNTIF($E190:AC190,"²")+COUNTIF($E190:AC190,"µ")+COUNTIF($E190:AC190,1),ColDescriptionCourte)),""),
  "")),"")</f>
        <v/>
      </c>
      <c r="AE190" s="40" t="str">
        <f ca="1">IFERROR(IF(AND(
  INDEX(Roadmap!$D:$K,MATCH($E190,Roadmap!$D:$D,0)+COUNTIF($E190:AD190,"u")+COUNTIF($E190:AD190,"t")+COUNTIF($E190:AD190,"¶")+COUNTIF($E190:AD190,"²")+COUNTIF($E190:AD190,"µ")+COUNTIF($E190:AD190,1),ColLivraison)=AE$6,
  VLOOKUP($E190,INDIRECT("tri!"&amp; CHAR(64+ C0Col) &amp;":"&amp; CHAR(65+C0Col)),2,FALSE)&gt;COUNTIF($E190:AD190,"u")+COUNTIF($E190:AD190,"t")+COUNTIF($E190:AD190,"¶")+COUNTIF($E190:AD190,"²")+COUNTIF($E190:AD190,"µ")+COUNTIF($E190:AD190,1)),
HYPERLINK("#Roadmap!C"&amp; MATCH($E190,Roadmap!$D:$D,0)+COUNTIF($E190:AD190,"u")+COUNTIF($E190:AD190,"t"),
     INDEX(Roadmap!$D:$K,MATCH($E190,Roadmap!$D:$D,0)+COUNTIF($E190:AD190,"u")+COUNTIF($E190:AD190,"t")+COUNTIF($E190:AD190,"¶")+COUNTIF($E190:AD190,"²")+COUNTIF($E190:AD190,"µ")+COUNTIF($E190:AD190,1),ColTypeEcheance)),
  IF(LEN(AD190)=1,
  IF(LEN(INDEX(Roadmap!$D:$K,MATCH($E190,Roadmap!$D:$D,0)-1+COUNTIF($E190:AD190,"u")+COUNTIF($E190:AD190,"t")+COUNTIF($E190:AD190,"¶")+COUNTIF($E190:AD190,"²")+COUNTIF($E190:AD190,"µ")+COUNTIF($E190:AD190,1),ColDescriptionCourte))&gt;1,
HYPERLINK("#Roadmap!C"&amp; MATCH($E190,Roadmap!$D:$D,0)+COUNTIF($E190:AD190,"u")+COUNTIF($E190:AD190,"t")+COUNTIF($E190:AD190,"¶")+COUNTIF($E190:AD190,"²")+COUNTIF($E190:AD190,"µ")+COUNTIF($E190:AD190,1)-1,INDEX(Roadmap!$D:$K,MATCH($E190,Roadmap!$D:$D,0)-1+COUNTIF($E190:AD190,"u")+COUNTIF($E190:AD190,"t")+COUNTIF($E190:AD190,"¶")+COUNTIF($E190:AD190,"²")+COUNTIF($E190:AD190,"µ")+COUNTIF($E190:AD190,1),ColDescriptionCourte)),""),
  "")),"")</f>
        <v/>
      </c>
      <c r="AF190" s="40" t="str">
        <f ca="1">IFERROR(IF(AND(
  INDEX(Roadmap!$D:$K,MATCH($E190,Roadmap!$D:$D,0)+COUNTIF($E190:AE190,"u")+COUNTIF($E190:AE190,"t")+COUNTIF($E190:AE190,"¶")+COUNTIF($E190:AE190,"²")+COUNTIF($E190:AE190,"µ")+COUNTIF($E190:AE190,1),ColLivraison)=AF$6,
  VLOOKUP($E190,INDIRECT("tri!"&amp; CHAR(64+ C0Col) &amp;":"&amp; CHAR(65+C0Col)),2,FALSE)&gt;COUNTIF($E190:AE190,"u")+COUNTIF($E190:AE190,"t")+COUNTIF($E190:AE190,"¶")+COUNTIF($E190:AE190,"²")+COUNTIF($E190:AE190,"µ")+COUNTIF($E190:AE190,1)),
HYPERLINK("#Roadmap!C"&amp; MATCH($E190,Roadmap!$D:$D,0)+COUNTIF($E190:AE190,"u")+COUNTIF($E190:AE190,"t"),
     INDEX(Roadmap!$D:$K,MATCH($E190,Roadmap!$D:$D,0)+COUNTIF($E190:AE190,"u")+COUNTIF($E190:AE190,"t")+COUNTIF($E190:AE190,"¶")+COUNTIF($E190:AE190,"²")+COUNTIF($E190:AE190,"µ")+COUNTIF($E190:AE190,1),ColTypeEcheance)),
  IF(LEN(AE190)=1,
  IF(LEN(INDEX(Roadmap!$D:$K,MATCH($E190,Roadmap!$D:$D,0)-1+COUNTIF($E190:AE190,"u")+COUNTIF($E190:AE190,"t")+COUNTIF($E190:AE190,"¶")+COUNTIF($E190:AE190,"²")+COUNTIF($E190:AE190,"µ")+COUNTIF($E190:AE190,1),ColDescriptionCourte))&gt;1,
HYPERLINK("#Roadmap!C"&amp; MATCH($E190,Roadmap!$D:$D,0)+COUNTIF($E190:AE190,"u")+COUNTIF($E190:AE190,"t")+COUNTIF($E190:AE190,"¶")+COUNTIF($E190:AE190,"²")+COUNTIF($E190:AE190,"µ")+COUNTIF($E190:AE190,1)-1,INDEX(Roadmap!$D:$K,MATCH($E190,Roadmap!$D:$D,0)-1+COUNTIF($E190:AE190,"u")+COUNTIF($E190:AE190,"t")+COUNTIF($E190:AE190,"¶")+COUNTIF($E190:AE190,"²")+COUNTIF($E190:AE190,"µ")+COUNTIF($E190:AE190,1),ColDescriptionCourte)),""),
  "")),"")</f>
        <v/>
      </c>
      <c r="AG190" s="40" t="str">
        <f ca="1">IFERROR(IF(AND(
  INDEX(Roadmap!$D:$K,MATCH($E190,Roadmap!$D:$D,0)+COUNTIF($E190:AF190,"u")+COUNTIF($E190:AF190,"t")+COUNTIF($E190:AF190,"¶")+COUNTIF($E190:AF190,"²")+COUNTIF($E190:AF190,"µ")+COUNTIF($E190:AF190,1),ColLivraison)=AG$6,
  VLOOKUP($E190,INDIRECT("tri!"&amp; CHAR(64+ C0Col) &amp;":"&amp; CHAR(65+C0Col)),2,FALSE)&gt;COUNTIF($E190:AF190,"u")+COUNTIF($E190:AF190,"t")+COUNTIF($E190:AF190,"¶")+COUNTIF($E190:AF190,"²")+COUNTIF($E190:AF190,"µ")+COUNTIF($E190:AF190,1)),
HYPERLINK("#Roadmap!C"&amp; MATCH($E190,Roadmap!$D:$D,0)+COUNTIF($E190:AF190,"u")+COUNTIF($E190:AF190,"t"),
     INDEX(Roadmap!$D:$K,MATCH($E190,Roadmap!$D:$D,0)+COUNTIF($E190:AF190,"u")+COUNTIF($E190:AF190,"t")+COUNTIF($E190:AF190,"¶")+COUNTIF($E190:AF190,"²")+COUNTIF($E190:AF190,"µ")+COUNTIF($E190:AF190,1),ColTypeEcheance)),
  IF(LEN(AF190)=1,
  IF(LEN(INDEX(Roadmap!$D:$K,MATCH($E190,Roadmap!$D:$D,0)-1+COUNTIF($E190:AF190,"u")+COUNTIF($E190:AF190,"t")+COUNTIF($E190:AF190,"¶")+COUNTIF($E190:AF190,"²")+COUNTIF($E190:AF190,"µ")+COUNTIF($E190:AF190,1),ColDescriptionCourte))&gt;1,
HYPERLINK("#Roadmap!C"&amp; MATCH($E190,Roadmap!$D:$D,0)+COUNTIF($E190:AF190,"u")+COUNTIF($E190:AF190,"t")+COUNTIF($E190:AF190,"¶")+COUNTIF($E190:AF190,"²")+COUNTIF($E190:AF190,"µ")+COUNTIF($E190:AF190,1)-1,INDEX(Roadmap!$D:$K,MATCH($E190,Roadmap!$D:$D,0)-1+COUNTIF($E190:AF190,"u")+COUNTIF($E190:AF190,"t")+COUNTIF($E190:AF190,"¶")+COUNTIF($E190:AF190,"²")+COUNTIF($E190:AF190,"µ")+COUNTIF($E190:AF190,1),ColDescriptionCourte)),""),
  "")),"")</f>
        <v/>
      </c>
    </row>
    <row r="191" spans="3:33" ht="14.25" customHeight="1">
      <c r="C191" s="1" t="str">
        <f t="shared" ca="1" si="54"/>
        <v/>
      </c>
      <c r="D191" s="1" t="str">
        <f t="shared" ca="1" si="55"/>
        <v/>
      </c>
      <c r="E191" s="35" t="str">
        <f t="shared" ca="1" si="51"/>
        <v/>
      </c>
      <c r="F191" s="39" t="str">
        <f ca="1">IFERROR(IF(AND(
  INDEX(Roadmap!$D:$K,MATCH($E191,Roadmap!$D:$D,0)+COUNTIF($E191:E191,"u")+COUNTIF($E191:E191,"t")+COUNTIF($E191:E191,"¶")+COUNTIF($E191:E191,"²")+COUNTIF($E191:E191,"µ")+COUNTIF($E191:E191,1),ColLivraison)=F$6,
  VLOOKUP($E191,INDIRECT("tri!"&amp; CHAR(64+ C0Col) &amp;":"&amp; CHAR(65+C0Col)),2,FALSE)&gt;COUNTIF($E191:E191,"u")+COUNTIF($E191:E191,"t")+COUNTIF($E191:E191,"¶")+COUNTIF($E191:E191,"²")+COUNTIF($E191:E191,"µ")+COUNTIF($E191:E191,1)),
HYPERLINK("#Roadmap!C"&amp; MATCH($E191,Roadmap!$D:$D,0)+COUNTIF($E191:E191,"u")+COUNTIF($E191:E191,"t"),
     INDEX(Roadmap!$D:$K,MATCH($E191,Roadmap!$D:$D,0)+COUNTIF($E191:E191,"u")+COUNTIF($E191:E191,"t")+COUNTIF($E191:E191,"¶")+COUNTIF($E191:E191,"²")+COUNTIF($E191:E191,"µ")+COUNTIF($E191:E191,1),ColTypeEcheance)),
  IF(LEN(E191)=1,
  IF(LEN(INDEX(Roadmap!$D:$K,MATCH($E191,Roadmap!$D:$D,0)-1+COUNTIF($E191:E191,"u")+COUNTIF($E191:E191,"t")+COUNTIF($E191:E191,"¶")+COUNTIF($E191:E191,"²")+COUNTIF($E191:E191,"µ")+COUNTIF($E191:E191,1),ColDescriptionCourte))&gt;1,
HYPERLINK("#Roadmap!C"&amp; MATCH($E191,Roadmap!$D:$D,0)+COUNTIF($E191:E191,"u")+COUNTIF($E191:E191,"t")+COUNTIF($E191:E191,"¶")+COUNTIF($E191:E191,"²")+COUNTIF($E191:E191,"µ")+COUNTIF($E191:E191,1)-1,INDEX(Roadmap!$D:$K,MATCH($E191,Roadmap!$D:$D,0)-1+COUNTIF($E191:E191,"u")+COUNTIF($E191:E191,"t")+COUNTIF($E191:E191,"¶")+COUNTIF($E191:E191,"²")+COUNTIF($E191:E191,"µ")+COUNTIF($E191:E191,1),ColDescriptionCourte)),""),
  "")),"")</f>
        <v/>
      </c>
      <c r="G191" s="40" t="str">
        <f ca="1">IFERROR(IF(AND(
  INDEX(Roadmap!$D:$K,MATCH($E191,Roadmap!$D:$D,0)+COUNTIF($E191:F191,"u")+COUNTIF($E191:F191,"t")+COUNTIF($E191:F191,"¶")+COUNTIF($E191:F191,"²")+COUNTIF($E191:F191,"µ")+COUNTIF($E191:F191,1),ColLivraison)=G$6,
  VLOOKUP($E191,INDIRECT("tri!"&amp; CHAR(64+ C0Col) &amp;":"&amp; CHAR(65+C0Col)),2,FALSE)&gt;COUNTIF($E191:F191,"u")+COUNTIF($E191:F191,"t")+COUNTIF($E191:F191,"¶")+COUNTIF($E191:F191,"²")+COUNTIF($E191:F191,"µ")+COUNTIF($E191:F191,1)),
HYPERLINK("#Roadmap!C"&amp; MATCH($E191,Roadmap!$D:$D,0)+COUNTIF($E191:F191,"u")+COUNTIF($E191:F191,"t"),
     INDEX(Roadmap!$D:$K,MATCH($E191,Roadmap!$D:$D,0)+COUNTIF($E191:F191,"u")+COUNTIF($E191:F191,"t")+COUNTIF($E191:F191,"¶")+COUNTIF($E191:F191,"²")+COUNTIF($E191:F191,"µ")+COUNTIF($E191:F191,1),ColTypeEcheance)),
  IF(LEN(F191)=1,
  IF(LEN(INDEX(Roadmap!$D:$K,MATCH($E191,Roadmap!$D:$D,0)-1+COUNTIF($E191:F191,"u")+COUNTIF($E191:F191,"t")+COUNTIF($E191:F191,"¶")+COUNTIF($E191:F191,"²")+COUNTIF($E191:F191,"µ")+COUNTIF($E191:F191,1),ColDescriptionCourte))&gt;1,
HYPERLINK("#Roadmap!C"&amp; MATCH($E191,Roadmap!$D:$D,0)+COUNTIF($E191:F191,"u")+COUNTIF($E191:F191,"t")+COUNTIF($E191:F191,"¶")+COUNTIF($E191:F191,"²")+COUNTIF($E191:F191,"µ")+COUNTIF($E191:F191,1)-1,INDEX(Roadmap!$D:$K,MATCH($E191,Roadmap!$D:$D,0)-1+COUNTIF($E191:F191,"u")+COUNTIF($E191:F191,"t")+COUNTIF($E191:F191,"¶")+COUNTIF($E191:F191,"²")+COUNTIF($E191:F191,"µ")+COUNTIF($E191:F191,1),ColDescriptionCourte)),""),
  "")),"")</f>
        <v/>
      </c>
      <c r="H191" s="40" t="str">
        <f ca="1">IFERROR(IF(AND(
  INDEX(Roadmap!$D:$K,MATCH($E191,Roadmap!$D:$D,0)+COUNTIF($E191:G191,"u")+COUNTIF($E191:G191,"t")+COUNTIF($E191:G191,"¶")+COUNTIF($E191:G191,"²")+COUNTIF($E191:G191,"µ")+COUNTIF($E191:G191,1),ColLivraison)=H$6,
  VLOOKUP($E191,INDIRECT("tri!"&amp; CHAR(64+ C0Col) &amp;":"&amp; CHAR(65+C0Col)),2,FALSE)&gt;COUNTIF($E191:G191,"u")+COUNTIF($E191:G191,"t")+COUNTIF($E191:G191,"¶")+COUNTIF($E191:G191,"²")+COUNTIF($E191:G191,"µ")+COUNTIF($E191:G191,1)),
HYPERLINK("#Roadmap!C"&amp; MATCH($E191,Roadmap!$D:$D,0)+COUNTIF($E191:G191,"u")+COUNTIF($E191:G191,"t"),
     INDEX(Roadmap!$D:$K,MATCH($E191,Roadmap!$D:$D,0)+COUNTIF($E191:G191,"u")+COUNTIF($E191:G191,"t")+COUNTIF($E191:G191,"¶")+COUNTIF($E191:G191,"²")+COUNTIF($E191:G191,"µ")+COUNTIF($E191:G191,1),ColTypeEcheance)),
  IF(LEN(G191)=1,
  IF(LEN(INDEX(Roadmap!$D:$K,MATCH($E191,Roadmap!$D:$D,0)-1+COUNTIF($E191:G191,"u")+COUNTIF($E191:G191,"t")+COUNTIF($E191:G191,"¶")+COUNTIF($E191:G191,"²")+COUNTIF($E191:G191,"µ")+COUNTIF($E191:G191,1),ColDescriptionCourte))&gt;1,
HYPERLINK("#Roadmap!C"&amp; MATCH($E191,Roadmap!$D:$D,0)+COUNTIF($E191:G191,"u")+COUNTIF($E191:G191,"t")+COUNTIF($E191:G191,"¶")+COUNTIF($E191:G191,"²")+COUNTIF($E191:G191,"µ")+COUNTIF($E191:G191,1)-1,INDEX(Roadmap!$D:$K,MATCH($E191,Roadmap!$D:$D,0)-1+COUNTIF($E191:G191,"u")+COUNTIF($E191:G191,"t")+COUNTIF($E191:G191,"¶")+COUNTIF($E191:G191,"²")+COUNTIF($E191:G191,"µ")+COUNTIF($E191:G191,1),ColDescriptionCourte)),""),
  "")),"")</f>
        <v/>
      </c>
      <c r="I191" s="40" t="str">
        <f ca="1">IFERROR(IF(AND(
  INDEX(Roadmap!$D:$K,MATCH($E191,Roadmap!$D:$D,0)+COUNTIF($E191:H191,"u")+COUNTIF($E191:H191,"t")+COUNTIF($E191:H191,"¶")+COUNTIF($E191:H191,"²")+COUNTIF($E191:H191,"µ")+COUNTIF($E191:H191,1),ColLivraison)=I$6,
  VLOOKUP($E191,INDIRECT("tri!"&amp; CHAR(64+ C0Col) &amp;":"&amp; CHAR(65+C0Col)),2,FALSE)&gt;COUNTIF($E191:H191,"u")+COUNTIF($E191:H191,"t")+COUNTIF($E191:H191,"¶")+COUNTIF($E191:H191,"²")+COUNTIF($E191:H191,"µ")+COUNTIF($E191:H191,1)),
HYPERLINK("#Roadmap!C"&amp; MATCH($E191,Roadmap!$D:$D,0)+COUNTIF($E191:H191,"u")+COUNTIF($E191:H191,"t"),
     INDEX(Roadmap!$D:$K,MATCH($E191,Roadmap!$D:$D,0)+COUNTIF($E191:H191,"u")+COUNTIF($E191:H191,"t")+COUNTIF($E191:H191,"¶")+COUNTIF($E191:H191,"²")+COUNTIF($E191:H191,"µ")+COUNTIF($E191:H191,1),ColTypeEcheance)),
  IF(LEN(H191)=1,
  IF(LEN(INDEX(Roadmap!$D:$K,MATCH($E191,Roadmap!$D:$D,0)-1+COUNTIF($E191:H191,"u")+COUNTIF($E191:H191,"t")+COUNTIF($E191:H191,"¶")+COUNTIF($E191:H191,"²")+COUNTIF($E191:H191,"µ")+COUNTIF($E191:H191,1),ColDescriptionCourte))&gt;1,
HYPERLINK("#Roadmap!C"&amp; MATCH($E191,Roadmap!$D:$D,0)+COUNTIF($E191:H191,"u")+COUNTIF($E191:H191,"t")+COUNTIF($E191:H191,"¶")+COUNTIF($E191:H191,"²")+COUNTIF($E191:H191,"µ")+COUNTIF($E191:H191,1)-1,INDEX(Roadmap!$D:$K,MATCH($E191,Roadmap!$D:$D,0)-1+COUNTIF($E191:H191,"u")+COUNTIF($E191:H191,"t")+COUNTIF($E191:H191,"¶")+COUNTIF($E191:H191,"²")+COUNTIF($E191:H191,"µ")+COUNTIF($E191:H191,1),ColDescriptionCourte)),""),
  "")),"")</f>
        <v/>
      </c>
      <c r="J191" s="40" t="str">
        <f ca="1">IFERROR(IF(AND(
  INDEX(Roadmap!$D:$K,MATCH($E191,Roadmap!$D:$D,0)+COUNTIF($E191:I191,"u")+COUNTIF($E191:I191,"t")+COUNTIF($E191:I191,"¶")+COUNTIF($E191:I191,"²")+COUNTIF($E191:I191,"µ")+COUNTIF($E191:I191,1),ColLivraison)=J$6,
  VLOOKUP($E191,INDIRECT("tri!"&amp; CHAR(64+ C0Col) &amp;":"&amp; CHAR(65+C0Col)),2,FALSE)&gt;COUNTIF($E191:I191,"u")+COUNTIF($E191:I191,"t")+COUNTIF($E191:I191,"¶")+COUNTIF($E191:I191,"²")+COUNTIF($E191:I191,"µ")+COUNTIF($E191:I191,1)),
HYPERLINK("#Roadmap!C"&amp; MATCH($E191,Roadmap!$D:$D,0)+COUNTIF($E191:I191,"u")+COUNTIF($E191:I191,"t"),
     INDEX(Roadmap!$D:$K,MATCH($E191,Roadmap!$D:$D,0)+COUNTIF($E191:I191,"u")+COUNTIF($E191:I191,"t")+COUNTIF($E191:I191,"¶")+COUNTIF($E191:I191,"²")+COUNTIF($E191:I191,"µ")+COUNTIF($E191:I191,1),ColTypeEcheance)),
  IF(LEN(I191)=1,
  IF(LEN(INDEX(Roadmap!$D:$K,MATCH($E191,Roadmap!$D:$D,0)-1+COUNTIF($E191:I191,"u")+COUNTIF($E191:I191,"t")+COUNTIF($E191:I191,"¶")+COUNTIF($E191:I191,"²")+COUNTIF($E191:I191,"µ")+COUNTIF($E191:I191,1),ColDescriptionCourte))&gt;1,
HYPERLINK("#Roadmap!C"&amp; MATCH($E191,Roadmap!$D:$D,0)+COUNTIF($E191:I191,"u")+COUNTIF($E191:I191,"t")+COUNTIF($E191:I191,"¶")+COUNTIF($E191:I191,"²")+COUNTIF($E191:I191,"µ")+COUNTIF($E191:I191,1)-1,INDEX(Roadmap!$D:$K,MATCH($E191,Roadmap!$D:$D,0)-1+COUNTIF($E191:I191,"u")+COUNTIF($E191:I191,"t")+COUNTIF($E191:I191,"¶")+COUNTIF($E191:I191,"²")+COUNTIF($E191:I191,"µ")+COUNTIF($E191:I191,1),ColDescriptionCourte)),""),
  "")),"")</f>
        <v/>
      </c>
      <c r="K191" s="40" t="str">
        <f ca="1">IFERROR(IF(AND(
  INDEX(Roadmap!$D:$K,MATCH($E191,Roadmap!$D:$D,0)+COUNTIF($E191:J191,"u")+COUNTIF($E191:J191,"t")+COUNTIF($E191:J191,"¶")+COUNTIF($E191:J191,"²")+COUNTIF($E191:J191,"µ")+COUNTIF($E191:J191,1),ColLivraison)=K$6,
  VLOOKUP($E191,INDIRECT("tri!"&amp; CHAR(64+ C0Col) &amp;":"&amp; CHAR(65+C0Col)),2,FALSE)&gt;COUNTIF($E191:J191,"u")+COUNTIF($E191:J191,"t")+COUNTIF($E191:J191,"¶")+COUNTIF($E191:J191,"²")+COUNTIF($E191:J191,"µ")+COUNTIF($E191:J191,1)),
HYPERLINK("#Roadmap!C"&amp; MATCH($E191,Roadmap!$D:$D,0)+COUNTIF($E191:J191,"u")+COUNTIF($E191:J191,"t"),
     INDEX(Roadmap!$D:$K,MATCH($E191,Roadmap!$D:$D,0)+COUNTIF($E191:J191,"u")+COUNTIF($E191:J191,"t")+COUNTIF($E191:J191,"¶")+COUNTIF($E191:J191,"²")+COUNTIF($E191:J191,"µ")+COUNTIF($E191:J191,1),ColTypeEcheance)),
  IF(LEN(J191)=1,
  IF(LEN(INDEX(Roadmap!$D:$K,MATCH($E191,Roadmap!$D:$D,0)-1+COUNTIF($E191:J191,"u")+COUNTIF($E191:J191,"t")+COUNTIF($E191:J191,"¶")+COUNTIF($E191:J191,"²")+COUNTIF($E191:J191,"µ")+COUNTIF($E191:J191,1),ColDescriptionCourte))&gt;1,
HYPERLINK("#Roadmap!C"&amp; MATCH($E191,Roadmap!$D:$D,0)+COUNTIF($E191:J191,"u")+COUNTIF($E191:J191,"t")+COUNTIF($E191:J191,"¶")+COUNTIF($E191:J191,"²")+COUNTIF($E191:J191,"µ")+COUNTIF($E191:J191,1)-1,INDEX(Roadmap!$D:$K,MATCH($E191,Roadmap!$D:$D,0)-1+COUNTIF($E191:J191,"u")+COUNTIF($E191:J191,"t")+COUNTIF($E191:J191,"¶")+COUNTIF($E191:J191,"²")+COUNTIF($E191:J191,"µ")+COUNTIF($E191:J191,1),ColDescriptionCourte)),""),
  "")),"")</f>
        <v/>
      </c>
      <c r="L191" s="39" t="str">
        <f ca="1">IFERROR(IF(AND(
  INDEX(Roadmap!$D:$K,MATCH($E191,Roadmap!$D:$D,0)+COUNTIF($E191:K191,"u")+COUNTIF($E191:K191,"t")+COUNTIF($E191:K191,"¶")+COUNTIF($E191:K191,"²")+COUNTIF($E191:K191,"µ")+COUNTIF($E191:K191,1),ColLivraison)=L$6,
  VLOOKUP($E191,INDIRECT("tri!"&amp; CHAR(64+ C0Col) &amp;":"&amp; CHAR(65+C0Col)),2,FALSE)&gt;COUNTIF($E191:K191,"u")+COUNTIF($E191:K191,"t")+COUNTIF($E191:K191,"¶")+COUNTIF($E191:K191,"²")+COUNTIF($E191:K191,"µ")+COUNTIF($E191:K191,1)),
HYPERLINK("#Roadmap!C"&amp; MATCH($E191,Roadmap!$D:$D,0)+COUNTIF($E191:K191,"u")+COUNTIF($E191:K191,"t"),
     INDEX(Roadmap!$D:$K,MATCH($E191,Roadmap!$D:$D,0)+COUNTIF($E191:K191,"u")+COUNTIF($E191:K191,"t")+COUNTIF($E191:K191,"¶")+COUNTIF($E191:K191,"²")+COUNTIF($E191:K191,"µ")+COUNTIF($E191:K191,1),ColTypeEcheance)),
  IF(LEN(K191)=1,
  IF(LEN(INDEX(Roadmap!$D:$K,MATCH($E191,Roadmap!$D:$D,0)-1+COUNTIF($E191:K191,"u")+COUNTIF($E191:K191,"t")+COUNTIF($E191:K191,"¶")+COUNTIF($E191:K191,"²")+COUNTIF($E191:K191,"µ")+COUNTIF($E191:K191,1),ColDescriptionCourte))&gt;1,
HYPERLINK("#Roadmap!C"&amp; MATCH($E191,Roadmap!$D:$D,0)+COUNTIF($E191:K191,"u")+COUNTIF($E191:K191,"t")+COUNTIF($E191:K191,"¶")+COUNTIF($E191:K191,"²")+COUNTIF($E191:K191,"µ")+COUNTIF($E191:K191,1)-1,INDEX(Roadmap!$D:$K,MATCH($E191,Roadmap!$D:$D,0)-1+COUNTIF($E191:K191,"u")+COUNTIF($E191:K191,"t")+COUNTIF($E191:K191,"¶")+COUNTIF($E191:K191,"²")+COUNTIF($E191:K191,"µ")+COUNTIF($E191:K191,1),ColDescriptionCourte)),""),
  "")),"")</f>
        <v/>
      </c>
      <c r="M191" s="40" t="str">
        <f ca="1">IFERROR(IF(AND(
  INDEX(Roadmap!$D:$K,MATCH($E191,Roadmap!$D:$D,0)+COUNTIF($E191:L191,"u")+COUNTIF($E191:L191,"t")+COUNTIF($E191:L191,"¶")+COUNTIF($E191:L191,"²")+COUNTIF($E191:L191,"µ")+COUNTIF($E191:L191,1),ColLivraison)=M$6,
  VLOOKUP($E191,INDIRECT("tri!"&amp; CHAR(64+ C0Col) &amp;":"&amp; CHAR(65+C0Col)),2,FALSE)&gt;COUNTIF($E191:L191,"u")+COUNTIF($E191:L191,"t")+COUNTIF($E191:L191,"¶")+COUNTIF($E191:L191,"²")+COUNTIF($E191:L191,"µ")+COUNTIF($E191:L191,1)),
HYPERLINK("#Roadmap!C"&amp; MATCH($E191,Roadmap!$D:$D,0)+COUNTIF($E191:L191,"u")+COUNTIF($E191:L191,"t"),
     INDEX(Roadmap!$D:$K,MATCH($E191,Roadmap!$D:$D,0)+COUNTIF($E191:L191,"u")+COUNTIF($E191:L191,"t")+COUNTIF($E191:L191,"¶")+COUNTIF($E191:L191,"²")+COUNTIF($E191:L191,"µ")+COUNTIF($E191:L191,1),ColTypeEcheance)),
  IF(LEN(L191)=1,
  IF(LEN(INDEX(Roadmap!$D:$K,MATCH($E191,Roadmap!$D:$D,0)-1+COUNTIF($E191:L191,"u")+COUNTIF($E191:L191,"t")+COUNTIF($E191:L191,"¶")+COUNTIF($E191:L191,"²")+COUNTIF($E191:L191,"µ")+COUNTIF($E191:L191,1),ColDescriptionCourte))&gt;1,
HYPERLINK("#Roadmap!C"&amp; MATCH($E191,Roadmap!$D:$D,0)+COUNTIF($E191:L191,"u")+COUNTIF($E191:L191,"t")+COUNTIF($E191:L191,"¶")+COUNTIF($E191:L191,"²")+COUNTIF($E191:L191,"µ")+COUNTIF($E191:L191,1)-1,INDEX(Roadmap!$D:$K,MATCH($E191,Roadmap!$D:$D,0)-1+COUNTIF($E191:L191,"u")+COUNTIF($E191:L191,"t")+COUNTIF($E191:L191,"¶")+COUNTIF($E191:L191,"²")+COUNTIF($E191:L191,"µ")+COUNTIF($E191:L191,1),ColDescriptionCourte)),""),
  "")),"")</f>
        <v/>
      </c>
      <c r="N191" s="40" t="str">
        <f ca="1">IFERROR(IF(AND(
  INDEX(Roadmap!$D:$K,MATCH($E191,Roadmap!$D:$D,0)+COUNTIF($E191:M191,"u")+COUNTIF($E191:M191,"t")+COUNTIF($E191:M191,"¶")+COUNTIF($E191:M191,"²")+COUNTIF($E191:M191,"µ")+COUNTIF($E191:M191,1),ColLivraison)=N$6,
  VLOOKUP($E191,INDIRECT("tri!"&amp; CHAR(64+ C0Col) &amp;":"&amp; CHAR(65+C0Col)),2,FALSE)&gt;COUNTIF($E191:M191,"u")+COUNTIF($E191:M191,"t")+COUNTIF($E191:M191,"¶")+COUNTIF($E191:M191,"²")+COUNTIF($E191:M191,"µ")+COUNTIF($E191:M191,1)),
HYPERLINK("#Roadmap!C"&amp; MATCH($E191,Roadmap!$D:$D,0)+COUNTIF($E191:M191,"u")+COUNTIF($E191:M191,"t"),
     INDEX(Roadmap!$D:$K,MATCH($E191,Roadmap!$D:$D,0)+COUNTIF($E191:M191,"u")+COUNTIF($E191:M191,"t")+COUNTIF($E191:M191,"¶")+COUNTIF($E191:M191,"²")+COUNTIF($E191:M191,"µ")+COUNTIF($E191:M191,1),ColTypeEcheance)),
  IF(LEN(M191)=1,
  IF(LEN(INDEX(Roadmap!$D:$K,MATCH($E191,Roadmap!$D:$D,0)-1+COUNTIF($E191:M191,"u")+COUNTIF($E191:M191,"t")+COUNTIF($E191:M191,"¶")+COUNTIF($E191:M191,"²")+COUNTIF($E191:M191,"µ")+COUNTIF($E191:M191,1),ColDescriptionCourte))&gt;1,
HYPERLINK("#Roadmap!C"&amp; MATCH($E191,Roadmap!$D:$D,0)+COUNTIF($E191:M191,"u")+COUNTIF($E191:M191,"t")+COUNTIF($E191:M191,"¶")+COUNTIF($E191:M191,"²")+COUNTIF($E191:M191,"µ")+COUNTIF($E191:M191,1)-1,INDEX(Roadmap!$D:$K,MATCH($E191,Roadmap!$D:$D,0)-1+COUNTIF($E191:M191,"u")+COUNTIF($E191:M191,"t")+COUNTIF($E191:M191,"¶")+COUNTIF($E191:M191,"²")+COUNTIF($E191:M191,"µ")+COUNTIF($E191:M191,1),ColDescriptionCourte)),""),
  "")),"")</f>
        <v/>
      </c>
      <c r="O191" s="40" t="str">
        <f ca="1">IFERROR(IF(AND(
  INDEX(Roadmap!$D:$K,MATCH($E191,Roadmap!$D:$D,0)+COUNTIF($E191:N191,"u")+COUNTIF($E191:N191,"t")+COUNTIF($E191:N191,"¶")+COUNTIF($E191:N191,"²")+COUNTIF($E191:N191,"µ")+COUNTIF($E191:N191,1),ColLivraison)=O$6,
  VLOOKUP($E191,INDIRECT("tri!"&amp; CHAR(64+ C0Col) &amp;":"&amp; CHAR(65+C0Col)),2,FALSE)&gt;COUNTIF($E191:N191,"u")+COUNTIF($E191:N191,"t")+COUNTIF($E191:N191,"¶")+COUNTIF($E191:N191,"²")+COUNTIF($E191:N191,"µ")+COUNTIF($E191:N191,1)),
HYPERLINK("#Roadmap!C"&amp; MATCH($E191,Roadmap!$D:$D,0)+COUNTIF($E191:N191,"u")+COUNTIF($E191:N191,"t"),
     INDEX(Roadmap!$D:$K,MATCH($E191,Roadmap!$D:$D,0)+COUNTIF($E191:N191,"u")+COUNTIF($E191:N191,"t")+COUNTIF($E191:N191,"¶")+COUNTIF($E191:N191,"²")+COUNTIF($E191:N191,"µ")+COUNTIF($E191:N191,1),ColTypeEcheance)),
  IF(LEN(N191)=1,
  IF(LEN(INDEX(Roadmap!$D:$K,MATCH($E191,Roadmap!$D:$D,0)-1+COUNTIF($E191:N191,"u")+COUNTIF($E191:N191,"t")+COUNTIF($E191:N191,"¶")+COUNTIF($E191:N191,"²")+COUNTIF($E191:N191,"µ")+COUNTIF($E191:N191,1),ColDescriptionCourte))&gt;1,
HYPERLINK("#Roadmap!C"&amp; MATCH($E191,Roadmap!$D:$D,0)+COUNTIF($E191:N191,"u")+COUNTIF($E191:N191,"t")+COUNTIF($E191:N191,"¶")+COUNTIF($E191:N191,"²")+COUNTIF($E191:N191,"µ")+COUNTIF($E191:N191,1)-1,INDEX(Roadmap!$D:$K,MATCH($E191,Roadmap!$D:$D,0)-1+COUNTIF($E191:N191,"u")+COUNTIF($E191:N191,"t")+COUNTIF($E191:N191,"¶")+COUNTIF($E191:N191,"²")+COUNTIF($E191:N191,"µ")+COUNTIF($E191:N191,1),ColDescriptionCourte)),""),
  "")),"")</f>
        <v/>
      </c>
      <c r="P191" s="40" t="str">
        <f ca="1">IFERROR(IF(AND(
  INDEX(Roadmap!$D:$K,MATCH($E191,Roadmap!$D:$D,0)+COUNTIF($E191:O191,"u")+COUNTIF($E191:O191,"t")+COUNTIF($E191:O191,"¶")+COUNTIF($E191:O191,"²")+COUNTIF($E191:O191,"µ")+COUNTIF($E191:O191,1),ColLivraison)=P$6,
  VLOOKUP($E191,INDIRECT("tri!"&amp; CHAR(64+ C0Col) &amp;":"&amp; CHAR(65+C0Col)),2,FALSE)&gt;COUNTIF($E191:O191,"u")+COUNTIF($E191:O191,"t")+COUNTIF($E191:O191,"¶")+COUNTIF($E191:O191,"²")+COUNTIF($E191:O191,"µ")+COUNTIF($E191:O191,1)),
HYPERLINK("#Roadmap!C"&amp; MATCH($E191,Roadmap!$D:$D,0)+COUNTIF($E191:O191,"u")+COUNTIF($E191:O191,"t"),
     INDEX(Roadmap!$D:$K,MATCH($E191,Roadmap!$D:$D,0)+COUNTIF($E191:O191,"u")+COUNTIF($E191:O191,"t")+COUNTIF($E191:O191,"¶")+COUNTIF($E191:O191,"²")+COUNTIF($E191:O191,"µ")+COUNTIF($E191:O191,1),ColTypeEcheance)),
  IF(LEN(O191)=1,
  IF(LEN(INDEX(Roadmap!$D:$K,MATCH($E191,Roadmap!$D:$D,0)-1+COUNTIF($E191:O191,"u")+COUNTIF($E191:O191,"t")+COUNTIF($E191:O191,"¶")+COUNTIF($E191:O191,"²")+COUNTIF($E191:O191,"µ")+COUNTIF($E191:O191,1),ColDescriptionCourte))&gt;1,
HYPERLINK("#Roadmap!C"&amp; MATCH($E191,Roadmap!$D:$D,0)+COUNTIF($E191:O191,"u")+COUNTIF($E191:O191,"t")+COUNTIF($E191:O191,"¶")+COUNTIF($E191:O191,"²")+COUNTIF($E191:O191,"µ")+COUNTIF($E191:O191,1)-1,INDEX(Roadmap!$D:$K,MATCH($E191,Roadmap!$D:$D,0)-1+COUNTIF($E191:O191,"u")+COUNTIF($E191:O191,"t")+COUNTIF($E191:O191,"¶")+COUNTIF($E191:O191,"²")+COUNTIF($E191:O191,"µ")+COUNTIF($E191:O191,1),ColDescriptionCourte)),""),
  "")),"")</f>
        <v/>
      </c>
      <c r="Q191" s="40" t="str">
        <f ca="1">IFERROR(IF(AND(
  INDEX(Roadmap!$D:$K,MATCH($E191,Roadmap!$D:$D,0)+COUNTIF($E191:P191,"u")+COUNTIF($E191:P191,"t")+COUNTIF($E191:P191,"¶")+COUNTIF($E191:P191,"²")+COUNTIF($E191:P191,"µ")+COUNTIF($E191:P191,1),ColLivraison)=Q$6,
  VLOOKUP($E191,INDIRECT("tri!"&amp; CHAR(64+ C0Col) &amp;":"&amp; CHAR(65+C0Col)),2,FALSE)&gt;COUNTIF($E191:P191,"u")+COUNTIF($E191:P191,"t")+COUNTIF($E191:P191,"¶")+COUNTIF($E191:P191,"²")+COUNTIF($E191:P191,"µ")+COUNTIF($E191:P191,1)),
HYPERLINK("#Roadmap!C"&amp; MATCH($E191,Roadmap!$D:$D,0)+COUNTIF($E191:P191,"u")+COUNTIF($E191:P191,"t"),
     INDEX(Roadmap!$D:$K,MATCH($E191,Roadmap!$D:$D,0)+COUNTIF($E191:P191,"u")+COUNTIF($E191:P191,"t")+COUNTIF($E191:P191,"¶")+COUNTIF($E191:P191,"²")+COUNTIF($E191:P191,"µ")+COUNTIF($E191:P191,1),ColTypeEcheance)),
  IF(LEN(P191)=1,
  IF(LEN(INDEX(Roadmap!$D:$K,MATCH($E191,Roadmap!$D:$D,0)-1+COUNTIF($E191:P191,"u")+COUNTIF($E191:P191,"t")+COUNTIF($E191:P191,"¶")+COUNTIF($E191:P191,"²")+COUNTIF($E191:P191,"µ")+COUNTIF($E191:P191,1),ColDescriptionCourte))&gt;1,
HYPERLINK("#Roadmap!C"&amp; MATCH($E191,Roadmap!$D:$D,0)+COUNTIF($E191:P191,"u")+COUNTIF($E191:P191,"t")+COUNTIF($E191:P191,"¶")+COUNTIF($E191:P191,"²")+COUNTIF($E191:P191,"µ")+COUNTIF($E191:P191,1)-1,INDEX(Roadmap!$D:$K,MATCH($E191,Roadmap!$D:$D,0)-1+COUNTIF($E191:P191,"u")+COUNTIF($E191:P191,"t")+COUNTIF($E191:P191,"¶")+COUNTIF($E191:P191,"²")+COUNTIF($E191:P191,"µ")+COUNTIF($E191:P191,1),ColDescriptionCourte)),""),
  "")),"")</f>
        <v/>
      </c>
      <c r="R191" s="40" t="str">
        <f ca="1">IFERROR(IF(AND(
  INDEX(Roadmap!$D:$K,MATCH($E191,Roadmap!$D:$D,0)+COUNTIF($E191:Q191,"u")+COUNTIF($E191:Q191,"t")+COUNTIF($E191:Q191,"¶")+COUNTIF($E191:Q191,"²")+COUNTIF($E191:Q191,"µ")+COUNTIF($E191:Q191,1),ColLivraison)=R$6,
  VLOOKUP($E191,INDIRECT("tri!"&amp; CHAR(64+ C0Col) &amp;":"&amp; CHAR(65+C0Col)),2,FALSE)&gt;COUNTIF($E191:Q191,"u")+COUNTIF($E191:Q191,"t")+COUNTIF($E191:Q191,"¶")+COUNTIF($E191:Q191,"²")+COUNTIF($E191:Q191,"µ")+COUNTIF($E191:Q191,1)),
HYPERLINK("#Roadmap!C"&amp; MATCH($E191,Roadmap!$D:$D,0)+COUNTIF($E191:Q191,"u")+COUNTIF($E191:Q191,"t"),
     INDEX(Roadmap!$D:$K,MATCH($E191,Roadmap!$D:$D,0)+COUNTIF($E191:Q191,"u")+COUNTIF($E191:Q191,"t")+COUNTIF($E191:Q191,"¶")+COUNTIF($E191:Q191,"²")+COUNTIF($E191:Q191,"µ")+COUNTIF($E191:Q191,1),ColTypeEcheance)),
  IF(LEN(Q191)=1,
  IF(LEN(INDEX(Roadmap!$D:$K,MATCH($E191,Roadmap!$D:$D,0)-1+COUNTIF($E191:Q191,"u")+COUNTIF($E191:Q191,"t")+COUNTIF($E191:Q191,"¶")+COUNTIF($E191:Q191,"²")+COUNTIF($E191:Q191,"µ")+COUNTIF($E191:Q191,1),ColDescriptionCourte))&gt;1,
HYPERLINK("#Roadmap!C"&amp; MATCH($E191,Roadmap!$D:$D,0)+COUNTIF($E191:Q191,"u")+COUNTIF($E191:Q191,"t")+COUNTIF($E191:Q191,"¶")+COUNTIF($E191:Q191,"²")+COUNTIF($E191:Q191,"µ")+COUNTIF($E191:Q191,1)-1,INDEX(Roadmap!$D:$K,MATCH($E191,Roadmap!$D:$D,0)-1+COUNTIF($E191:Q191,"u")+COUNTIF($E191:Q191,"t")+COUNTIF($E191:Q191,"¶")+COUNTIF($E191:Q191,"²")+COUNTIF($E191:Q191,"µ")+COUNTIF($E191:Q191,1),ColDescriptionCourte)),""),
  "")),"")</f>
        <v/>
      </c>
      <c r="S191" s="40" t="str">
        <f ca="1">IFERROR(IF(AND(
  INDEX(Roadmap!$D:$K,MATCH($E191,Roadmap!$D:$D,0)+COUNTIF($E191:R191,"u")+COUNTIF($E191:R191,"t")+COUNTIF($E191:R191,"¶")+COUNTIF($E191:R191,"²")+COUNTIF($E191:R191,"µ")+COUNTIF($E191:R191,1),ColLivraison)=S$6,
  VLOOKUP($E191,INDIRECT("tri!"&amp; CHAR(64+ C0Col) &amp;":"&amp; CHAR(65+C0Col)),2,FALSE)&gt;COUNTIF($E191:R191,"u")+COUNTIF($E191:R191,"t")+COUNTIF($E191:R191,"¶")+COUNTIF($E191:R191,"²")+COUNTIF($E191:R191,"µ")+COUNTIF($E191:R191,1)),
HYPERLINK("#Roadmap!C"&amp; MATCH($E191,Roadmap!$D:$D,0)+COUNTIF($E191:R191,"u")+COUNTIF($E191:R191,"t"),
     INDEX(Roadmap!$D:$K,MATCH($E191,Roadmap!$D:$D,0)+COUNTIF($E191:R191,"u")+COUNTIF($E191:R191,"t")+COUNTIF($E191:R191,"¶")+COUNTIF($E191:R191,"²")+COUNTIF($E191:R191,"µ")+COUNTIF($E191:R191,1),ColTypeEcheance)),
  IF(LEN(R191)=1,
  IF(LEN(INDEX(Roadmap!$D:$K,MATCH($E191,Roadmap!$D:$D,0)-1+COUNTIF($E191:R191,"u")+COUNTIF($E191:R191,"t")+COUNTIF($E191:R191,"¶")+COUNTIF($E191:R191,"²")+COUNTIF($E191:R191,"µ")+COUNTIF($E191:R191,1),ColDescriptionCourte))&gt;1,
HYPERLINK("#Roadmap!C"&amp; MATCH($E191,Roadmap!$D:$D,0)+COUNTIF($E191:R191,"u")+COUNTIF($E191:R191,"t")+COUNTIF($E191:R191,"¶")+COUNTIF($E191:R191,"²")+COUNTIF($E191:R191,"µ")+COUNTIF($E191:R191,1)-1,INDEX(Roadmap!$D:$K,MATCH($E191,Roadmap!$D:$D,0)-1+COUNTIF($E191:R191,"u")+COUNTIF($E191:R191,"t")+COUNTIF($E191:R191,"¶")+COUNTIF($E191:R191,"²")+COUNTIF($E191:R191,"µ")+COUNTIF($E191:R191,1),ColDescriptionCourte)),""),
  "")),"")</f>
        <v/>
      </c>
      <c r="T191" s="40" t="str">
        <f ca="1">IFERROR(IF(AND(
  INDEX(Roadmap!$D:$K,MATCH($E191,Roadmap!$D:$D,0)+COUNTIF($E191:S191,"u")+COUNTIF($E191:S191,"t")+COUNTIF($E191:S191,"¶")+COUNTIF($E191:S191,"²")+COUNTIF($E191:S191,"µ")+COUNTIF($E191:S191,1),ColLivraison)=T$6,
  VLOOKUP($E191,INDIRECT("tri!"&amp; CHAR(64+ C0Col) &amp;":"&amp; CHAR(65+C0Col)),2,FALSE)&gt;COUNTIF($E191:S191,"u")+COUNTIF($E191:S191,"t")+COUNTIF($E191:S191,"¶")+COUNTIF($E191:S191,"²")+COUNTIF($E191:S191,"µ")+COUNTIF($E191:S191,1)),
HYPERLINK("#Roadmap!C"&amp; MATCH($E191,Roadmap!$D:$D,0)+COUNTIF($E191:S191,"u")+COUNTIF($E191:S191,"t"),
     INDEX(Roadmap!$D:$K,MATCH($E191,Roadmap!$D:$D,0)+COUNTIF($E191:S191,"u")+COUNTIF($E191:S191,"t")+COUNTIF($E191:S191,"¶")+COUNTIF($E191:S191,"²")+COUNTIF($E191:S191,"µ")+COUNTIF($E191:S191,1),ColTypeEcheance)),
  IF(LEN(S191)=1,
  IF(LEN(INDEX(Roadmap!$D:$K,MATCH($E191,Roadmap!$D:$D,0)-1+COUNTIF($E191:S191,"u")+COUNTIF($E191:S191,"t")+COUNTIF($E191:S191,"¶")+COUNTIF($E191:S191,"²")+COUNTIF($E191:S191,"µ")+COUNTIF($E191:S191,1),ColDescriptionCourte))&gt;1,
HYPERLINK("#Roadmap!C"&amp; MATCH($E191,Roadmap!$D:$D,0)+COUNTIF($E191:S191,"u")+COUNTIF($E191:S191,"t")+COUNTIF($E191:S191,"¶")+COUNTIF($E191:S191,"²")+COUNTIF($E191:S191,"µ")+COUNTIF($E191:S191,1)-1,INDEX(Roadmap!$D:$K,MATCH($E191,Roadmap!$D:$D,0)-1+COUNTIF($E191:S191,"u")+COUNTIF($E191:S191,"t")+COUNTIF($E191:S191,"¶")+COUNTIF($E191:S191,"²")+COUNTIF($E191:S191,"µ")+COUNTIF($E191:S191,1),ColDescriptionCourte)),""),
  "")),"")</f>
        <v/>
      </c>
      <c r="U191" s="40" t="str">
        <f ca="1">IFERROR(IF(AND(
  INDEX(Roadmap!$D:$K,MATCH($E191,Roadmap!$D:$D,0)+COUNTIF($E191:T191,"u")+COUNTIF($E191:T191,"t")+COUNTIF($E191:T191,"¶")+COUNTIF($E191:T191,"²")+COUNTIF($E191:T191,"µ")+COUNTIF($E191:T191,1),ColLivraison)=U$6,
  VLOOKUP($E191,INDIRECT("tri!"&amp; CHAR(64+ C0Col) &amp;":"&amp; CHAR(65+C0Col)),2,FALSE)&gt;COUNTIF($E191:T191,"u")+COUNTIF($E191:T191,"t")+COUNTIF($E191:T191,"¶")+COUNTIF($E191:T191,"²")+COUNTIF($E191:T191,"µ")+COUNTIF($E191:T191,1)),
HYPERLINK("#Roadmap!C"&amp; MATCH($E191,Roadmap!$D:$D,0)+COUNTIF($E191:T191,"u")+COUNTIF($E191:T191,"t"),
     INDEX(Roadmap!$D:$K,MATCH($E191,Roadmap!$D:$D,0)+COUNTIF($E191:T191,"u")+COUNTIF($E191:T191,"t")+COUNTIF($E191:T191,"¶")+COUNTIF($E191:T191,"²")+COUNTIF($E191:T191,"µ")+COUNTIF($E191:T191,1),ColTypeEcheance)),
  IF(LEN(T191)=1,
  IF(LEN(INDEX(Roadmap!$D:$K,MATCH($E191,Roadmap!$D:$D,0)-1+COUNTIF($E191:T191,"u")+COUNTIF($E191:T191,"t")+COUNTIF($E191:T191,"¶")+COUNTIF($E191:T191,"²")+COUNTIF($E191:T191,"µ")+COUNTIF($E191:T191,1),ColDescriptionCourte))&gt;1,
HYPERLINK("#Roadmap!C"&amp; MATCH($E191,Roadmap!$D:$D,0)+COUNTIF($E191:T191,"u")+COUNTIF($E191:T191,"t")+COUNTIF($E191:T191,"¶")+COUNTIF($E191:T191,"²")+COUNTIF($E191:T191,"µ")+COUNTIF($E191:T191,1)-1,INDEX(Roadmap!$D:$K,MATCH($E191,Roadmap!$D:$D,0)-1+COUNTIF($E191:T191,"u")+COUNTIF($E191:T191,"t")+COUNTIF($E191:T191,"¶")+COUNTIF($E191:T191,"²")+COUNTIF($E191:T191,"µ")+COUNTIF($E191:T191,1),ColDescriptionCourte)),""),
  "")),"")</f>
        <v/>
      </c>
      <c r="V191" s="40" t="str">
        <f ca="1">IFERROR(IF(AND(
  INDEX(Roadmap!$D:$K,MATCH($E191,Roadmap!$D:$D,0)+COUNTIF($E191:U191,"u")+COUNTIF($E191:U191,"t")+COUNTIF($E191:U191,"¶")+COUNTIF($E191:U191,"²")+COUNTIF($E191:U191,"µ")+COUNTIF($E191:U191,1),ColLivraison)=V$6,
  VLOOKUP($E191,INDIRECT("tri!"&amp; CHAR(64+ C0Col) &amp;":"&amp; CHAR(65+C0Col)),2,FALSE)&gt;COUNTIF($E191:U191,"u")+COUNTIF($E191:U191,"t")+COUNTIF($E191:U191,"¶")+COUNTIF($E191:U191,"²")+COUNTIF($E191:U191,"µ")+COUNTIF($E191:U191,1)),
HYPERLINK("#Roadmap!C"&amp; MATCH($E191,Roadmap!$D:$D,0)+COUNTIF($E191:U191,"u")+COUNTIF($E191:U191,"t"),
     INDEX(Roadmap!$D:$K,MATCH($E191,Roadmap!$D:$D,0)+COUNTIF($E191:U191,"u")+COUNTIF($E191:U191,"t")+COUNTIF($E191:U191,"¶")+COUNTIF($E191:U191,"²")+COUNTIF($E191:U191,"µ")+COUNTIF($E191:U191,1),ColTypeEcheance)),
  IF(LEN(U191)=1,
  IF(LEN(INDEX(Roadmap!$D:$K,MATCH($E191,Roadmap!$D:$D,0)-1+COUNTIF($E191:U191,"u")+COUNTIF($E191:U191,"t")+COUNTIF($E191:U191,"¶")+COUNTIF($E191:U191,"²")+COUNTIF($E191:U191,"µ")+COUNTIF($E191:U191,1),ColDescriptionCourte))&gt;1,
HYPERLINK("#Roadmap!C"&amp; MATCH($E191,Roadmap!$D:$D,0)+COUNTIF($E191:U191,"u")+COUNTIF($E191:U191,"t")+COUNTIF($E191:U191,"¶")+COUNTIF($E191:U191,"²")+COUNTIF($E191:U191,"µ")+COUNTIF($E191:U191,1)-1,INDEX(Roadmap!$D:$K,MATCH($E191,Roadmap!$D:$D,0)-1+COUNTIF($E191:U191,"u")+COUNTIF($E191:U191,"t")+COUNTIF($E191:U191,"¶")+COUNTIF($E191:U191,"²")+COUNTIF($E191:U191,"µ")+COUNTIF($E191:U191,1),ColDescriptionCourte)),""),
  "")),"")</f>
        <v/>
      </c>
      <c r="W191" s="40" t="str">
        <f ca="1">IFERROR(IF(AND(
  INDEX(Roadmap!$D:$K,MATCH($E191,Roadmap!$D:$D,0)+COUNTIF($E191:V191,"u")+COUNTIF($E191:V191,"t")+COUNTIF($E191:V191,"¶")+COUNTIF($E191:V191,"²")+COUNTIF($E191:V191,"µ")+COUNTIF($E191:V191,1),ColLivraison)=W$6,
  VLOOKUP($E191,INDIRECT("tri!"&amp; CHAR(64+ C0Col) &amp;":"&amp; CHAR(65+C0Col)),2,FALSE)&gt;COUNTIF($E191:V191,"u")+COUNTIF($E191:V191,"t")+COUNTIF($E191:V191,"¶")+COUNTIF($E191:V191,"²")+COUNTIF($E191:V191,"µ")+COUNTIF($E191:V191,1)),
HYPERLINK("#Roadmap!C"&amp; MATCH($E191,Roadmap!$D:$D,0)+COUNTIF($E191:V191,"u")+COUNTIF($E191:V191,"t"),
     INDEX(Roadmap!$D:$K,MATCH($E191,Roadmap!$D:$D,0)+COUNTIF($E191:V191,"u")+COUNTIF($E191:V191,"t")+COUNTIF($E191:V191,"¶")+COUNTIF($E191:V191,"²")+COUNTIF($E191:V191,"µ")+COUNTIF($E191:V191,1),ColTypeEcheance)),
  IF(LEN(V191)=1,
  IF(LEN(INDEX(Roadmap!$D:$K,MATCH($E191,Roadmap!$D:$D,0)-1+COUNTIF($E191:V191,"u")+COUNTIF($E191:V191,"t")+COUNTIF($E191:V191,"¶")+COUNTIF($E191:V191,"²")+COUNTIF($E191:V191,"µ")+COUNTIF($E191:V191,1),ColDescriptionCourte))&gt;1,
HYPERLINK("#Roadmap!C"&amp; MATCH($E191,Roadmap!$D:$D,0)+COUNTIF($E191:V191,"u")+COUNTIF($E191:V191,"t")+COUNTIF($E191:V191,"¶")+COUNTIF($E191:V191,"²")+COUNTIF($E191:V191,"µ")+COUNTIF($E191:V191,1)-1,INDEX(Roadmap!$D:$K,MATCH($E191,Roadmap!$D:$D,0)-1+COUNTIF($E191:V191,"u")+COUNTIF($E191:V191,"t")+COUNTIF($E191:V191,"¶")+COUNTIF($E191:V191,"²")+COUNTIF($E191:V191,"µ")+COUNTIF($E191:V191,1),ColDescriptionCourte)),""),
  "")),"")</f>
        <v/>
      </c>
      <c r="X191" s="40" t="str">
        <f ca="1">IFERROR(IF(AND(
  INDEX(Roadmap!$D:$K,MATCH($E191,Roadmap!$D:$D,0)+COUNTIF($E191:W191,"u")+COUNTIF($E191:W191,"t")+COUNTIF($E191:W191,"¶")+COUNTIF($E191:W191,"²")+COUNTIF($E191:W191,"µ")+COUNTIF($E191:W191,1),ColLivraison)=X$6,
  VLOOKUP($E191,INDIRECT("tri!"&amp; CHAR(64+ C0Col) &amp;":"&amp; CHAR(65+C0Col)),2,FALSE)&gt;COUNTIF($E191:W191,"u")+COUNTIF($E191:W191,"t")+COUNTIF($E191:W191,"¶")+COUNTIF($E191:W191,"²")+COUNTIF($E191:W191,"µ")+COUNTIF($E191:W191,1)),
HYPERLINK("#Roadmap!C"&amp; MATCH($E191,Roadmap!$D:$D,0)+COUNTIF($E191:W191,"u")+COUNTIF($E191:W191,"t"),
     INDEX(Roadmap!$D:$K,MATCH($E191,Roadmap!$D:$D,0)+COUNTIF($E191:W191,"u")+COUNTIF($E191:W191,"t")+COUNTIF($E191:W191,"¶")+COUNTIF($E191:W191,"²")+COUNTIF($E191:W191,"µ")+COUNTIF($E191:W191,1),ColTypeEcheance)),
  IF(LEN(W191)=1,
  IF(LEN(INDEX(Roadmap!$D:$K,MATCH($E191,Roadmap!$D:$D,0)-1+COUNTIF($E191:W191,"u")+COUNTIF($E191:W191,"t")+COUNTIF($E191:W191,"¶")+COUNTIF($E191:W191,"²")+COUNTIF($E191:W191,"µ")+COUNTIF($E191:W191,1),ColDescriptionCourte))&gt;1,
HYPERLINK("#Roadmap!C"&amp; MATCH($E191,Roadmap!$D:$D,0)+COUNTIF($E191:W191,"u")+COUNTIF($E191:W191,"t")+COUNTIF($E191:W191,"¶")+COUNTIF($E191:W191,"²")+COUNTIF($E191:W191,"µ")+COUNTIF($E191:W191,1)-1,INDEX(Roadmap!$D:$K,MATCH($E191,Roadmap!$D:$D,0)-1+COUNTIF($E191:W191,"u")+COUNTIF($E191:W191,"t")+COUNTIF($E191:W191,"¶")+COUNTIF($E191:W191,"²")+COUNTIF($E191:W191,"µ")+COUNTIF($E191:W191,1),ColDescriptionCourte)),""),
  "")),"")</f>
        <v/>
      </c>
      <c r="Y191" s="40" t="str">
        <f ca="1">IFERROR(IF(AND(
  INDEX(Roadmap!$D:$K,MATCH($E191,Roadmap!$D:$D,0)+COUNTIF($E191:X191,"u")+COUNTIF($E191:X191,"t")+COUNTIF($E191:X191,"¶")+COUNTIF($E191:X191,"²")+COUNTIF($E191:X191,"µ")+COUNTIF($E191:X191,1),ColLivraison)=Y$6,
  VLOOKUP($E191,INDIRECT("tri!"&amp; CHAR(64+ C0Col) &amp;":"&amp; CHAR(65+C0Col)),2,FALSE)&gt;COUNTIF($E191:X191,"u")+COUNTIF($E191:X191,"t")+COUNTIF($E191:X191,"¶")+COUNTIF($E191:X191,"²")+COUNTIF($E191:X191,"µ")+COUNTIF($E191:X191,1)),
HYPERLINK("#Roadmap!C"&amp; MATCH($E191,Roadmap!$D:$D,0)+COUNTIF($E191:X191,"u")+COUNTIF($E191:X191,"t"),
     INDEX(Roadmap!$D:$K,MATCH($E191,Roadmap!$D:$D,0)+COUNTIF($E191:X191,"u")+COUNTIF($E191:X191,"t")+COUNTIF($E191:X191,"¶")+COUNTIF($E191:X191,"²")+COUNTIF($E191:X191,"µ")+COUNTIF($E191:X191,1),ColTypeEcheance)),
  IF(LEN(X191)=1,
  IF(LEN(INDEX(Roadmap!$D:$K,MATCH($E191,Roadmap!$D:$D,0)-1+COUNTIF($E191:X191,"u")+COUNTIF($E191:X191,"t")+COUNTIF($E191:X191,"¶")+COUNTIF($E191:X191,"²")+COUNTIF($E191:X191,"µ")+COUNTIF($E191:X191,1),ColDescriptionCourte))&gt;1,
HYPERLINK("#Roadmap!C"&amp; MATCH($E191,Roadmap!$D:$D,0)+COUNTIF($E191:X191,"u")+COUNTIF($E191:X191,"t")+COUNTIF($E191:X191,"¶")+COUNTIF($E191:X191,"²")+COUNTIF($E191:X191,"µ")+COUNTIF($E191:X191,1)-1,INDEX(Roadmap!$D:$K,MATCH($E191,Roadmap!$D:$D,0)-1+COUNTIF($E191:X191,"u")+COUNTIF($E191:X191,"t")+COUNTIF($E191:X191,"¶")+COUNTIF($E191:X191,"²")+COUNTIF($E191:X191,"µ")+COUNTIF($E191:X191,1),ColDescriptionCourte)),""),
  "")),"")</f>
        <v/>
      </c>
      <c r="Z191" s="40" t="str">
        <f ca="1">IFERROR(IF(AND(
  INDEX(Roadmap!$D:$K,MATCH($E191,Roadmap!$D:$D,0)+COUNTIF($E191:Y191,"u")+COUNTIF($E191:Y191,"t")+COUNTIF($E191:Y191,"¶")+COUNTIF($E191:Y191,"²")+COUNTIF($E191:Y191,"µ")+COUNTIF($E191:Y191,1),ColLivraison)=Z$6,
  VLOOKUP($E191,INDIRECT("tri!"&amp; CHAR(64+ C0Col) &amp;":"&amp; CHAR(65+C0Col)),2,FALSE)&gt;COUNTIF($E191:Y191,"u")+COUNTIF($E191:Y191,"t")+COUNTIF($E191:Y191,"¶")+COUNTIF($E191:Y191,"²")+COUNTIF($E191:Y191,"µ")+COUNTIF($E191:Y191,1)),
HYPERLINK("#Roadmap!C"&amp; MATCH($E191,Roadmap!$D:$D,0)+COUNTIF($E191:Y191,"u")+COUNTIF($E191:Y191,"t"),
     INDEX(Roadmap!$D:$K,MATCH($E191,Roadmap!$D:$D,0)+COUNTIF($E191:Y191,"u")+COUNTIF($E191:Y191,"t")+COUNTIF($E191:Y191,"¶")+COUNTIF($E191:Y191,"²")+COUNTIF($E191:Y191,"µ")+COUNTIF($E191:Y191,1),ColTypeEcheance)),
  IF(LEN(Y191)=1,
  IF(LEN(INDEX(Roadmap!$D:$K,MATCH($E191,Roadmap!$D:$D,0)-1+COUNTIF($E191:Y191,"u")+COUNTIF($E191:Y191,"t")+COUNTIF($E191:Y191,"¶")+COUNTIF($E191:Y191,"²")+COUNTIF($E191:Y191,"µ")+COUNTIF($E191:Y191,1),ColDescriptionCourte))&gt;1,
HYPERLINK("#Roadmap!C"&amp; MATCH($E191,Roadmap!$D:$D,0)+COUNTIF($E191:Y191,"u")+COUNTIF($E191:Y191,"t")+COUNTIF($E191:Y191,"¶")+COUNTIF($E191:Y191,"²")+COUNTIF($E191:Y191,"µ")+COUNTIF($E191:Y191,1)-1,INDEX(Roadmap!$D:$K,MATCH($E191,Roadmap!$D:$D,0)-1+COUNTIF($E191:Y191,"u")+COUNTIF($E191:Y191,"t")+COUNTIF($E191:Y191,"¶")+COUNTIF($E191:Y191,"²")+COUNTIF($E191:Y191,"µ")+COUNTIF($E191:Y191,1),ColDescriptionCourte)),""),
  "")),"")</f>
        <v/>
      </c>
      <c r="AA191" s="40" t="str">
        <f ca="1">IFERROR(IF(AND(
  INDEX(Roadmap!$D:$K,MATCH($E191,Roadmap!$D:$D,0)+COUNTIF($E191:Z191,"u")+COUNTIF($E191:Z191,"t")+COUNTIF($E191:Z191,"¶")+COUNTIF($E191:Z191,"²")+COUNTIF($E191:Z191,"µ")+COUNTIF($E191:Z191,1),ColLivraison)=AA$6,
  VLOOKUP($E191,INDIRECT("tri!"&amp; CHAR(64+ C0Col) &amp;":"&amp; CHAR(65+C0Col)),2,FALSE)&gt;COUNTIF($E191:Z191,"u")+COUNTIF($E191:Z191,"t")+COUNTIF($E191:Z191,"¶")+COUNTIF($E191:Z191,"²")+COUNTIF($E191:Z191,"µ")+COUNTIF($E191:Z191,1)),
HYPERLINK("#Roadmap!C"&amp; MATCH($E191,Roadmap!$D:$D,0)+COUNTIF($E191:Z191,"u")+COUNTIF($E191:Z191,"t"),
     INDEX(Roadmap!$D:$K,MATCH($E191,Roadmap!$D:$D,0)+COUNTIF($E191:Z191,"u")+COUNTIF($E191:Z191,"t")+COUNTIF($E191:Z191,"¶")+COUNTIF($E191:Z191,"²")+COUNTIF($E191:Z191,"µ")+COUNTIF($E191:Z191,1),ColTypeEcheance)),
  IF(LEN(Z191)=1,
  IF(LEN(INDEX(Roadmap!$D:$K,MATCH($E191,Roadmap!$D:$D,0)-1+COUNTIF($E191:Z191,"u")+COUNTIF($E191:Z191,"t")+COUNTIF($E191:Z191,"¶")+COUNTIF($E191:Z191,"²")+COUNTIF($E191:Z191,"µ")+COUNTIF($E191:Z191,1),ColDescriptionCourte))&gt;1,
HYPERLINK("#Roadmap!C"&amp; MATCH($E191,Roadmap!$D:$D,0)+COUNTIF($E191:Z191,"u")+COUNTIF($E191:Z191,"t")+COUNTIF($E191:Z191,"¶")+COUNTIF($E191:Z191,"²")+COUNTIF($E191:Z191,"µ")+COUNTIF($E191:Z191,1)-1,INDEX(Roadmap!$D:$K,MATCH($E191,Roadmap!$D:$D,0)-1+COUNTIF($E191:Z191,"u")+COUNTIF($E191:Z191,"t")+COUNTIF($E191:Z191,"¶")+COUNTIF($E191:Z191,"²")+COUNTIF($E191:Z191,"µ")+COUNTIF($E191:Z191,1),ColDescriptionCourte)),""),
  "")),"")</f>
        <v/>
      </c>
      <c r="AB191" s="40" t="str">
        <f ca="1">IFERROR(IF(AND(
  INDEX(Roadmap!$D:$K,MATCH($E191,Roadmap!$D:$D,0)+COUNTIF($E191:AA191,"u")+COUNTIF($E191:AA191,"t")+COUNTIF($E191:AA191,"¶")+COUNTIF($E191:AA191,"²")+COUNTIF($E191:AA191,"µ")+COUNTIF($E191:AA191,1),ColLivraison)=AB$6,
  VLOOKUP($E191,INDIRECT("tri!"&amp; CHAR(64+ C0Col) &amp;":"&amp; CHAR(65+C0Col)),2,FALSE)&gt;COUNTIF($E191:AA191,"u")+COUNTIF($E191:AA191,"t")+COUNTIF($E191:AA191,"¶")+COUNTIF($E191:AA191,"²")+COUNTIF($E191:AA191,"µ")+COUNTIF($E191:AA191,1)),
HYPERLINK("#Roadmap!C"&amp; MATCH($E191,Roadmap!$D:$D,0)+COUNTIF($E191:AA191,"u")+COUNTIF($E191:AA191,"t"),
     INDEX(Roadmap!$D:$K,MATCH($E191,Roadmap!$D:$D,0)+COUNTIF($E191:AA191,"u")+COUNTIF($E191:AA191,"t")+COUNTIF($E191:AA191,"¶")+COUNTIF($E191:AA191,"²")+COUNTIF($E191:AA191,"µ")+COUNTIF($E191:AA191,1),ColTypeEcheance)),
  IF(LEN(AA191)=1,
  IF(LEN(INDEX(Roadmap!$D:$K,MATCH($E191,Roadmap!$D:$D,0)-1+COUNTIF($E191:AA191,"u")+COUNTIF($E191:AA191,"t")+COUNTIF($E191:AA191,"¶")+COUNTIF($E191:AA191,"²")+COUNTIF($E191:AA191,"µ")+COUNTIF($E191:AA191,1),ColDescriptionCourte))&gt;1,
HYPERLINK("#Roadmap!C"&amp; MATCH($E191,Roadmap!$D:$D,0)+COUNTIF($E191:AA191,"u")+COUNTIF($E191:AA191,"t")+COUNTIF($E191:AA191,"¶")+COUNTIF($E191:AA191,"²")+COUNTIF($E191:AA191,"µ")+COUNTIF($E191:AA191,1)-1,INDEX(Roadmap!$D:$K,MATCH($E191,Roadmap!$D:$D,0)-1+COUNTIF($E191:AA191,"u")+COUNTIF($E191:AA191,"t")+COUNTIF($E191:AA191,"¶")+COUNTIF($E191:AA191,"²")+COUNTIF($E191:AA191,"µ")+COUNTIF($E191:AA191,1),ColDescriptionCourte)),""),
  "")),"")</f>
        <v/>
      </c>
      <c r="AC191" s="40" t="str">
        <f ca="1">IFERROR(IF(AND(
  INDEX(Roadmap!$D:$K,MATCH($E191,Roadmap!$D:$D,0)+COUNTIF($E191:AB191,"u")+COUNTIF($E191:AB191,"t")+COUNTIF($E191:AB191,"¶")+COUNTIF($E191:AB191,"²")+COUNTIF($E191:AB191,"µ")+COUNTIF($E191:AB191,1),ColLivraison)=AC$6,
  VLOOKUP($E191,INDIRECT("tri!"&amp; CHAR(64+ C0Col) &amp;":"&amp; CHAR(65+C0Col)),2,FALSE)&gt;COUNTIF($E191:AB191,"u")+COUNTIF($E191:AB191,"t")+COUNTIF($E191:AB191,"¶")+COUNTIF($E191:AB191,"²")+COUNTIF($E191:AB191,"µ")+COUNTIF($E191:AB191,1)),
HYPERLINK("#Roadmap!C"&amp; MATCH($E191,Roadmap!$D:$D,0)+COUNTIF($E191:AB191,"u")+COUNTIF($E191:AB191,"t"),
     INDEX(Roadmap!$D:$K,MATCH($E191,Roadmap!$D:$D,0)+COUNTIF($E191:AB191,"u")+COUNTIF($E191:AB191,"t")+COUNTIF($E191:AB191,"¶")+COUNTIF($E191:AB191,"²")+COUNTIF($E191:AB191,"µ")+COUNTIF($E191:AB191,1),ColTypeEcheance)),
  IF(LEN(AB191)=1,
  IF(LEN(INDEX(Roadmap!$D:$K,MATCH($E191,Roadmap!$D:$D,0)-1+COUNTIF($E191:AB191,"u")+COUNTIF($E191:AB191,"t")+COUNTIF($E191:AB191,"¶")+COUNTIF($E191:AB191,"²")+COUNTIF($E191:AB191,"µ")+COUNTIF($E191:AB191,1),ColDescriptionCourte))&gt;1,
HYPERLINK("#Roadmap!C"&amp; MATCH($E191,Roadmap!$D:$D,0)+COUNTIF($E191:AB191,"u")+COUNTIF($E191:AB191,"t")+COUNTIF($E191:AB191,"¶")+COUNTIF($E191:AB191,"²")+COUNTIF($E191:AB191,"µ")+COUNTIF($E191:AB191,1)-1,INDEX(Roadmap!$D:$K,MATCH($E191,Roadmap!$D:$D,0)-1+COUNTIF($E191:AB191,"u")+COUNTIF($E191:AB191,"t")+COUNTIF($E191:AB191,"¶")+COUNTIF($E191:AB191,"²")+COUNTIF($E191:AB191,"µ")+COUNTIF($E191:AB191,1),ColDescriptionCourte)),""),
  "")),"")</f>
        <v/>
      </c>
      <c r="AD191" s="40" t="str">
        <f ca="1">IFERROR(IF(AND(
  INDEX(Roadmap!$D:$K,MATCH($E191,Roadmap!$D:$D,0)+COUNTIF($E191:AC191,"u")+COUNTIF($E191:AC191,"t")+COUNTIF($E191:AC191,"¶")+COUNTIF($E191:AC191,"²")+COUNTIF($E191:AC191,"µ")+COUNTIF($E191:AC191,1),ColLivraison)=AD$6,
  VLOOKUP($E191,INDIRECT("tri!"&amp; CHAR(64+ C0Col) &amp;":"&amp; CHAR(65+C0Col)),2,FALSE)&gt;COUNTIF($E191:AC191,"u")+COUNTIF($E191:AC191,"t")+COUNTIF($E191:AC191,"¶")+COUNTIF($E191:AC191,"²")+COUNTIF($E191:AC191,"µ")+COUNTIF($E191:AC191,1)),
HYPERLINK("#Roadmap!C"&amp; MATCH($E191,Roadmap!$D:$D,0)+COUNTIF($E191:AC191,"u")+COUNTIF($E191:AC191,"t"),
     INDEX(Roadmap!$D:$K,MATCH($E191,Roadmap!$D:$D,0)+COUNTIF($E191:AC191,"u")+COUNTIF($E191:AC191,"t")+COUNTIF($E191:AC191,"¶")+COUNTIF($E191:AC191,"²")+COUNTIF($E191:AC191,"µ")+COUNTIF($E191:AC191,1),ColTypeEcheance)),
  IF(LEN(AC191)=1,
  IF(LEN(INDEX(Roadmap!$D:$K,MATCH($E191,Roadmap!$D:$D,0)-1+COUNTIF($E191:AC191,"u")+COUNTIF($E191:AC191,"t")+COUNTIF($E191:AC191,"¶")+COUNTIF($E191:AC191,"²")+COUNTIF($E191:AC191,"µ")+COUNTIF($E191:AC191,1),ColDescriptionCourte))&gt;1,
HYPERLINK("#Roadmap!C"&amp; MATCH($E191,Roadmap!$D:$D,0)+COUNTIF($E191:AC191,"u")+COUNTIF($E191:AC191,"t")+COUNTIF($E191:AC191,"¶")+COUNTIF($E191:AC191,"²")+COUNTIF($E191:AC191,"µ")+COUNTIF($E191:AC191,1)-1,INDEX(Roadmap!$D:$K,MATCH($E191,Roadmap!$D:$D,0)-1+COUNTIF($E191:AC191,"u")+COUNTIF($E191:AC191,"t")+COUNTIF($E191:AC191,"¶")+COUNTIF($E191:AC191,"²")+COUNTIF($E191:AC191,"µ")+COUNTIF($E191:AC191,1),ColDescriptionCourte)),""),
  "")),"")</f>
        <v/>
      </c>
      <c r="AE191" s="40" t="str">
        <f ca="1">IFERROR(IF(AND(
  INDEX(Roadmap!$D:$K,MATCH($E191,Roadmap!$D:$D,0)+COUNTIF($E191:AD191,"u")+COUNTIF($E191:AD191,"t")+COUNTIF($E191:AD191,"¶")+COUNTIF($E191:AD191,"²")+COUNTIF($E191:AD191,"µ")+COUNTIF($E191:AD191,1),ColLivraison)=AE$6,
  VLOOKUP($E191,INDIRECT("tri!"&amp; CHAR(64+ C0Col) &amp;":"&amp; CHAR(65+C0Col)),2,FALSE)&gt;COUNTIF($E191:AD191,"u")+COUNTIF($E191:AD191,"t")+COUNTIF($E191:AD191,"¶")+COUNTIF($E191:AD191,"²")+COUNTIF($E191:AD191,"µ")+COUNTIF($E191:AD191,1)),
HYPERLINK("#Roadmap!C"&amp; MATCH($E191,Roadmap!$D:$D,0)+COUNTIF($E191:AD191,"u")+COUNTIF($E191:AD191,"t"),
     INDEX(Roadmap!$D:$K,MATCH($E191,Roadmap!$D:$D,0)+COUNTIF($E191:AD191,"u")+COUNTIF($E191:AD191,"t")+COUNTIF($E191:AD191,"¶")+COUNTIF($E191:AD191,"²")+COUNTIF($E191:AD191,"µ")+COUNTIF($E191:AD191,1),ColTypeEcheance)),
  IF(LEN(AD191)=1,
  IF(LEN(INDEX(Roadmap!$D:$K,MATCH($E191,Roadmap!$D:$D,0)-1+COUNTIF($E191:AD191,"u")+COUNTIF($E191:AD191,"t")+COUNTIF($E191:AD191,"¶")+COUNTIF($E191:AD191,"²")+COUNTIF($E191:AD191,"µ")+COUNTIF($E191:AD191,1),ColDescriptionCourte))&gt;1,
HYPERLINK("#Roadmap!C"&amp; MATCH($E191,Roadmap!$D:$D,0)+COUNTIF($E191:AD191,"u")+COUNTIF($E191:AD191,"t")+COUNTIF($E191:AD191,"¶")+COUNTIF($E191:AD191,"²")+COUNTIF($E191:AD191,"µ")+COUNTIF($E191:AD191,1)-1,INDEX(Roadmap!$D:$K,MATCH($E191,Roadmap!$D:$D,0)-1+COUNTIF($E191:AD191,"u")+COUNTIF($E191:AD191,"t")+COUNTIF($E191:AD191,"¶")+COUNTIF($E191:AD191,"²")+COUNTIF($E191:AD191,"µ")+COUNTIF($E191:AD191,1),ColDescriptionCourte)),""),
  "")),"")</f>
        <v/>
      </c>
      <c r="AF191" s="40" t="str">
        <f ca="1">IFERROR(IF(AND(
  INDEX(Roadmap!$D:$K,MATCH($E191,Roadmap!$D:$D,0)+COUNTIF($E191:AE191,"u")+COUNTIF($E191:AE191,"t")+COUNTIF($E191:AE191,"¶")+COUNTIF($E191:AE191,"²")+COUNTIF($E191:AE191,"µ")+COUNTIF($E191:AE191,1),ColLivraison)=AF$6,
  VLOOKUP($E191,INDIRECT("tri!"&amp; CHAR(64+ C0Col) &amp;":"&amp; CHAR(65+C0Col)),2,FALSE)&gt;COUNTIF($E191:AE191,"u")+COUNTIF($E191:AE191,"t")+COUNTIF($E191:AE191,"¶")+COUNTIF($E191:AE191,"²")+COUNTIF($E191:AE191,"µ")+COUNTIF($E191:AE191,1)),
HYPERLINK("#Roadmap!C"&amp; MATCH($E191,Roadmap!$D:$D,0)+COUNTIF($E191:AE191,"u")+COUNTIF($E191:AE191,"t"),
     INDEX(Roadmap!$D:$K,MATCH($E191,Roadmap!$D:$D,0)+COUNTIF($E191:AE191,"u")+COUNTIF($E191:AE191,"t")+COUNTIF($E191:AE191,"¶")+COUNTIF($E191:AE191,"²")+COUNTIF($E191:AE191,"µ")+COUNTIF($E191:AE191,1),ColTypeEcheance)),
  IF(LEN(AE191)=1,
  IF(LEN(INDEX(Roadmap!$D:$K,MATCH($E191,Roadmap!$D:$D,0)-1+COUNTIF($E191:AE191,"u")+COUNTIF($E191:AE191,"t")+COUNTIF($E191:AE191,"¶")+COUNTIF($E191:AE191,"²")+COUNTIF($E191:AE191,"µ")+COUNTIF($E191:AE191,1),ColDescriptionCourte))&gt;1,
HYPERLINK("#Roadmap!C"&amp; MATCH($E191,Roadmap!$D:$D,0)+COUNTIF($E191:AE191,"u")+COUNTIF($E191:AE191,"t")+COUNTIF($E191:AE191,"¶")+COUNTIF($E191:AE191,"²")+COUNTIF($E191:AE191,"µ")+COUNTIF($E191:AE191,1)-1,INDEX(Roadmap!$D:$K,MATCH($E191,Roadmap!$D:$D,0)-1+COUNTIF($E191:AE191,"u")+COUNTIF($E191:AE191,"t")+COUNTIF($E191:AE191,"¶")+COUNTIF($E191:AE191,"²")+COUNTIF($E191:AE191,"µ")+COUNTIF($E191:AE191,1),ColDescriptionCourte)),""),
  "")),"")</f>
        <v/>
      </c>
      <c r="AG191" s="40" t="str">
        <f ca="1">IFERROR(IF(AND(
  INDEX(Roadmap!$D:$K,MATCH($E191,Roadmap!$D:$D,0)+COUNTIF($E191:AF191,"u")+COUNTIF($E191:AF191,"t")+COUNTIF($E191:AF191,"¶")+COUNTIF($E191:AF191,"²")+COUNTIF($E191:AF191,"µ")+COUNTIF($E191:AF191,1),ColLivraison)=AG$6,
  VLOOKUP($E191,INDIRECT("tri!"&amp; CHAR(64+ C0Col) &amp;":"&amp; CHAR(65+C0Col)),2,FALSE)&gt;COUNTIF($E191:AF191,"u")+COUNTIF($E191:AF191,"t")+COUNTIF($E191:AF191,"¶")+COUNTIF($E191:AF191,"²")+COUNTIF($E191:AF191,"µ")+COUNTIF($E191:AF191,1)),
HYPERLINK("#Roadmap!C"&amp; MATCH($E191,Roadmap!$D:$D,0)+COUNTIF($E191:AF191,"u")+COUNTIF($E191:AF191,"t"),
     INDEX(Roadmap!$D:$K,MATCH($E191,Roadmap!$D:$D,0)+COUNTIF($E191:AF191,"u")+COUNTIF($E191:AF191,"t")+COUNTIF($E191:AF191,"¶")+COUNTIF($E191:AF191,"²")+COUNTIF($E191:AF191,"µ")+COUNTIF($E191:AF191,1),ColTypeEcheance)),
  IF(LEN(AF191)=1,
  IF(LEN(INDEX(Roadmap!$D:$K,MATCH($E191,Roadmap!$D:$D,0)-1+COUNTIF($E191:AF191,"u")+COUNTIF($E191:AF191,"t")+COUNTIF($E191:AF191,"¶")+COUNTIF($E191:AF191,"²")+COUNTIF($E191:AF191,"µ")+COUNTIF($E191:AF191,1),ColDescriptionCourte))&gt;1,
HYPERLINK("#Roadmap!C"&amp; MATCH($E191,Roadmap!$D:$D,0)+COUNTIF($E191:AF191,"u")+COUNTIF($E191:AF191,"t")+COUNTIF($E191:AF191,"¶")+COUNTIF($E191:AF191,"²")+COUNTIF($E191:AF191,"µ")+COUNTIF($E191:AF191,1)-1,INDEX(Roadmap!$D:$K,MATCH($E191,Roadmap!$D:$D,0)-1+COUNTIF($E191:AF191,"u")+COUNTIF($E191:AF191,"t")+COUNTIF($E191:AF191,"¶")+COUNTIF($E191:AF191,"²")+COUNTIF($E191:AF191,"µ")+COUNTIF($E191:AF191,1),ColDescriptionCourte)),""),
  "")),"")</f>
        <v/>
      </c>
    </row>
    <row r="192" spans="3:33" ht="14.25" customHeight="1">
      <c r="C192" s="1" t="str">
        <f t="shared" ca="1" si="54"/>
        <v/>
      </c>
      <c r="D192" s="1" t="str">
        <f t="shared" ca="1" si="55"/>
        <v/>
      </c>
      <c r="E192" s="35" t="str">
        <f t="shared" ca="1" si="51"/>
        <v/>
      </c>
      <c r="F192" s="39" t="str">
        <f ca="1">IFERROR(IF(AND(
  INDEX(Roadmap!$D:$K,MATCH($E192,Roadmap!$D:$D,0)+COUNTIF($E192:E192,"u")+COUNTIF($E192:E192,"t")+COUNTIF($E192:E192,"¶")+COUNTIF($E192:E192,"²")+COUNTIF($E192:E192,"µ")+COUNTIF($E192:E192,1),ColLivraison)=F$6,
  VLOOKUP($E192,INDIRECT("tri!"&amp; CHAR(64+ C0Col) &amp;":"&amp; CHAR(65+C0Col)),2,FALSE)&gt;COUNTIF($E192:E192,"u")+COUNTIF($E192:E192,"t")+COUNTIF($E192:E192,"¶")+COUNTIF($E192:E192,"²")+COUNTIF($E192:E192,"µ")+COUNTIF($E192:E192,1)),
HYPERLINK("#Roadmap!C"&amp; MATCH($E192,Roadmap!$D:$D,0)+COUNTIF($E192:E192,"u")+COUNTIF($E192:E192,"t"),
     INDEX(Roadmap!$D:$K,MATCH($E192,Roadmap!$D:$D,0)+COUNTIF($E192:E192,"u")+COUNTIF($E192:E192,"t")+COUNTIF($E192:E192,"¶")+COUNTIF($E192:E192,"²")+COUNTIF($E192:E192,"µ")+COUNTIF($E192:E192,1),ColTypeEcheance)),
  IF(LEN(E192)=1,
  IF(LEN(INDEX(Roadmap!$D:$K,MATCH($E192,Roadmap!$D:$D,0)-1+COUNTIF($E192:E192,"u")+COUNTIF($E192:E192,"t")+COUNTIF($E192:E192,"¶")+COUNTIF($E192:E192,"²")+COUNTIF($E192:E192,"µ")+COUNTIF($E192:E192,1),ColDescriptionCourte))&gt;1,
HYPERLINK("#Roadmap!C"&amp; MATCH($E192,Roadmap!$D:$D,0)+COUNTIF($E192:E192,"u")+COUNTIF($E192:E192,"t")+COUNTIF($E192:E192,"¶")+COUNTIF($E192:E192,"²")+COUNTIF($E192:E192,"µ")+COUNTIF($E192:E192,1)-1,INDEX(Roadmap!$D:$K,MATCH($E192,Roadmap!$D:$D,0)-1+COUNTIF($E192:E192,"u")+COUNTIF($E192:E192,"t")+COUNTIF($E192:E192,"¶")+COUNTIF($E192:E192,"²")+COUNTIF($E192:E192,"µ")+COUNTIF($E192:E192,1),ColDescriptionCourte)),""),
  "")),"")</f>
        <v/>
      </c>
      <c r="G192" s="40" t="str">
        <f ca="1">IFERROR(IF(AND(
  INDEX(Roadmap!$D:$K,MATCH($E192,Roadmap!$D:$D,0)+COUNTIF($E192:F192,"u")+COUNTIF($E192:F192,"t")+COUNTIF($E192:F192,"¶")+COUNTIF($E192:F192,"²")+COUNTIF($E192:F192,"µ")+COUNTIF($E192:F192,1),ColLivraison)=G$6,
  VLOOKUP($E192,INDIRECT("tri!"&amp; CHAR(64+ C0Col) &amp;":"&amp; CHAR(65+C0Col)),2,FALSE)&gt;COUNTIF($E192:F192,"u")+COUNTIF($E192:F192,"t")+COUNTIF($E192:F192,"¶")+COUNTIF($E192:F192,"²")+COUNTIF($E192:F192,"µ")+COUNTIF($E192:F192,1)),
HYPERLINK("#Roadmap!C"&amp; MATCH($E192,Roadmap!$D:$D,0)+COUNTIF($E192:F192,"u")+COUNTIF($E192:F192,"t"),
     INDEX(Roadmap!$D:$K,MATCH($E192,Roadmap!$D:$D,0)+COUNTIF($E192:F192,"u")+COUNTIF($E192:F192,"t")+COUNTIF($E192:F192,"¶")+COUNTIF($E192:F192,"²")+COUNTIF($E192:F192,"µ")+COUNTIF($E192:F192,1),ColTypeEcheance)),
  IF(LEN(F192)=1,
  IF(LEN(INDEX(Roadmap!$D:$K,MATCH($E192,Roadmap!$D:$D,0)-1+COUNTIF($E192:F192,"u")+COUNTIF($E192:F192,"t")+COUNTIF($E192:F192,"¶")+COUNTIF($E192:F192,"²")+COUNTIF($E192:F192,"µ")+COUNTIF($E192:F192,1),ColDescriptionCourte))&gt;1,
HYPERLINK("#Roadmap!C"&amp; MATCH($E192,Roadmap!$D:$D,0)+COUNTIF($E192:F192,"u")+COUNTIF($E192:F192,"t")+COUNTIF($E192:F192,"¶")+COUNTIF($E192:F192,"²")+COUNTIF($E192:F192,"µ")+COUNTIF($E192:F192,1)-1,INDEX(Roadmap!$D:$K,MATCH($E192,Roadmap!$D:$D,0)-1+COUNTIF($E192:F192,"u")+COUNTIF($E192:F192,"t")+COUNTIF($E192:F192,"¶")+COUNTIF($E192:F192,"²")+COUNTIF($E192:F192,"µ")+COUNTIF($E192:F192,1),ColDescriptionCourte)),""),
  "")),"")</f>
        <v/>
      </c>
      <c r="H192" s="40" t="str">
        <f ca="1">IFERROR(IF(AND(
  INDEX(Roadmap!$D:$K,MATCH($E192,Roadmap!$D:$D,0)+COUNTIF($E192:G192,"u")+COUNTIF($E192:G192,"t")+COUNTIF($E192:G192,"¶")+COUNTIF($E192:G192,"²")+COUNTIF($E192:G192,"µ")+COUNTIF($E192:G192,1),ColLivraison)=H$6,
  VLOOKUP($E192,INDIRECT("tri!"&amp; CHAR(64+ C0Col) &amp;":"&amp; CHAR(65+C0Col)),2,FALSE)&gt;COUNTIF($E192:G192,"u")+COUNTIF($E192:G192,"t")+COUNTIF($E192:G192,"¶")+COUNTIF($E192:G192,"²")+COUNTIF($E192:G192,"µ")+COUNTIF($E192:G192,1)),
HYPERLINK("#Roadmap!C"&amp; MATCH($E192,Roadmap!$D:$D,0)+COUNTIF($E192:G192,"u")+COUNTIF($E192:G192,"t"),
     INDEX(Roadmap!$D:$K,MATCH($E192,Roadmap!$D:$D,0)+COUNTIF($E192:G192,"u")+COUNTIF($E192:G192,"t")+COUNTIF($E192:G192,"¶")+COUNTIF($E192:G192,"²")+COUNTIF($E192:G192,"µ")+COUNTIF($E192:G192,1),ColTypeEcheance)),
  IF(LEN(G192)=1,
  IF(LEN(INDEX(Roadmap!$D:$K,MATCH($E192,Roadmap!$D:$D,0)-1+COUNTIF($E192:G192,"u")+COUNTIF($E192:G192,"t")+COUNTIF($E192:G192,"¶")+COUNTIF($E192:G192,"²")+COUNTIF($E192:G192,"µ")+COUNTIF($E192:G192,1),ColDescriptionCourte))&gt;1,
HYPERLINK("#Roadmap!C"&amp; MATCH($E192,Roadmap!$D:$D,0)+COUNTIF($E192:G192,"u")+COUNTIF($E192:G192,"t")+COUNTIF($E192:G192,"¶")+COUNTIF($E192:G192,"²")+COUNTIF($E192:G192,"µ")+COUNTIF($E192:G192,1)-1,INDEX(Roadmap!$D:$K,MATCH($E192,Roadmap!$D:$D,0)-1+COUNTIF($E192:G192,"u")+COUNTIF($E192:G192,"t")+COUNTIF($E192:G192,"¶")+COUNTIF($E192:G192,"²")+COUNTIF($E192:G192,"µ")+COUNTIF($E192:G192,1),ColDescriptionCourte)),""),
  "")),"")</f>
        <v/>
      </c>
      <c r="I192" s="40" t="str">
        <f ca="1">IFERROR(IF(AND(
  INDEX(Roadmap!$D:$K,MATCH($E192,Roadmap!$D:$D,0)+COUNTIF($E192:H192,"u")+COUNTIF($E192:H192,"t")+COUNTIF($E192:H192,"¶")+COUNTIF($E192:H192,"²")+COUNTIF($E192:H192,"µ")+COUNTIF($E192:H192,1),ColLivraison)=I$6,
  VLOOKUP($E192,INDIRECT("tri!"&amp; CHAR(64+ C0Col) &amp;":"&amp; CHAR(65+C0Col)),2,FALSE)&gt;COUNTIF($E192:H192,"u")+COUNTIF($E192:H192,"t")+COUNTIF($E192:H192,"¶")+COUNTIF($E192:H192,"²")+COUNTIF($E192:H192,"µ")+COUNTIF($E192:H192,1)),
HYPERLINK("#Roadmap!C"&amp; MATCH($E192,Roadmap!$D:$D,0)+COUNTIF($E192:H192,"u")+COUNTIF($E192:H192,"t"),
     INDEX(Roadmap!$D:$K,MATCH($E192,Roadmap!$D:$D,0)+COUNTIF($E192:H192,"u")+COUNTIF($E192:H192,"t")+COUNTIF($E192:H192,"¶")+COUNTIF($E192:H192,"²")+COUNTIF($E192:H192,"µ")+COUNTIF($E192:H192,1),ColTypeEcheance)),
  IF(LEN(H192)=1,
  IF(LEN(INDEX(Roadmap!$D:$K,MATCH($E192,Roadmap!$D:$D,0)-1+COUNTIF($E192:H192,"u")+COUNTIF($E192:H192,"t")+COUNTIF($E192:H192,"¶")+COUNTIF($E192:H192,"²")+COUNTIF($E192:H192,"µ")+COUNTIF($E192:H192,1),ColDescriptionCourte))&gt;1,
HYPERLINK("#Roadmap!C"&amp; MATCH($E192,Roadmap!$D:$D,0)+COUNTIF($E192:H192,"u")+COUNTIF($E192:H192,"t")+COUNTIF($E192:H192,"¶")+COUNTIF($E192:H192,"²")+COUNTIF($E192:H192,"µ")+COUNTIF($E192:H192,1)-1,INDEX(Roadmap!$D:$K,MATCH($E192,Roadmap!$D:$D,0)-1+COUNTIF($E192:H192,"u")+COUNTIF($E192:H192,"t")+COUNTIF($E192:H192,"¶")+COUNTIF($E192:H192,"²")+COUNTIF($E192:H192,"µ")+COUNTIF($E192:H192,1),ColDescriptionCourte)),""),
  "")),"")</f>
        <v/>
      </c>
      <c r="J192" s="40" t="str">
        <f ca="1">IFERROR(IF(AND(
  INDEX(Roadmap!$D:$K,MATCH($E192,Roadmap!$D:$D,0)+COUNTIF($E192:I192,"u")+COUNTIF($E192:I192,"t")+COUNTIF($E192:I192,"¶")+COUNTIF($E192:I192,"²")+COUNTIF($E192:I192,"µ")+COUNTIF($E192:I192,1),ColLivraison)=J$6,
  VLOOKUP($E192,INDIRECT("tri!"&amp; CHAR(64+ C0Col) &amp;":"&amp; CHAR(65+C0Col)),2,FALSE)&gt;COUNTIF($E192:I192,"u")+COUNTIF($E192:I192,"t")+COUNTIF($E192:I192,"¶")+COUNTIF($E192:I192,"²")+COUNTIF($E192:I192,"µ")+COUNTIF($E192:I192,1)),
HYPERLINK("#Roadmap!C"&amp; MATCH($E192,Roadmap!$D:$D,0)+COUNTIF($E192:I192,"u")+COUNTIF($E192:I192,"t"),
     INDEX(Roadmap!$D:$K,MATCH($E192,Roadmap!$D:$D,0)+COUNTIF($E192:I192,"u")+COUNTIF($E192:I192,"t")+COUNTIF($E192:I192,"¶")+COUNTIF($E192:I192,"²")+COUNTIF($E192:I192,"µ")+COUNTIF($E192:I192,1),ColTypeEcheance)),
  IF(LEN(I192)=1,
  IF(LEN(INDEX(Roadmap!$D:$K,MATCH($E192,Roadmap!$D:$D,0)-1+COUNTIF($E192:I192,"u")+COUNTIF($E192:I192,"t")+COUNTIF($E192:I192,"¶")+COUNTIF($E192:I192,"²")+COUNTIF($E192:I192,"µ")+COUNTIF($E192:I192,1),ColDescriptionCourte))&gt;1,
HYPERLINK("#Roadmap!C"&amp; MATCH($E192,Roadmap!$D:$D,0)+COUNTIF($E192:I192,"u")+COUNTIF($E192:I192,"t")+COUNTIF($E192:I192,"¶")+COUNTIF($E192:I192,"²")+COUNTIF($E192:I192,"µ")+COUNTIF($E192:I192,1)-1,INDEX(Roadmap!$D:$K,MATCH($E192,Roadmap!$D:$D,0)-1+COUNTIF($E192:I192,"u")+COUNTIF($E192:I192,"t")+COUNTIF($E192:I192,"¶")+COUNTIF($E192:I192,"²")+COUNTIF($E192:I192,"µ")+COUNTIF($E192:I192,1),ColDescriptionCourte)),""),
  "")),"")</f>
        <v/>
      </c>
      <c r="K192" s="40" t="str">
        <f ca="1">IFERROR(IF(AND(
  INDEX(Roadmap!$D:$K,MATCH($E192,Roadmap!$D:$D,0)+COUNTIF($E192:J192,"u")+COUNTIF($E192:J192,"t")+COUNTIF($E192:J192,"¶")+COUNTIF($E192:J192,"²")+COUNTIF($E192:J192,"µ")+COUNTIF($E192:J192,1),ColLivraison)=K$6,
  VLOOKUP($E192,INDIRECT("tri!"&amp; CHAR(64+ C0Col) &amp;":"&amp; CHAR(65+C0Col)),2,FALSE)&gt;COUNTIF($E192:J192,"u")+COUNTIF($E192:J192,"t")+COUNTIF($E192:J192,"¶")+COUNTIF($E192:J192,"²")+COUNTIF($E192:J192,"µ")+COUNTIF($E192:J192,1)),
HYPERLINK("#Roadmap!C"&amp; MATCH($E192,Roadmap!$D:$D,0)+COUNTIF($E192:J192,"u")+COUNTIF($E192:J192,"t"),
     INDEX(Roadmap!$D:$K,MATCH($E192,Roadmap!$D:$D,0)+COUNTIF($E192:J192,"u")+COUNTIF($E192:J192,"t")+COUNTIF($E192:J192,"¶")+COUNTIF($E192:J192,"²")+COUNTIF($E192:J192,"µ")+COUNTIF($E192:J192,1),ColTypeEcheance)),
  IF(LEN(J192)=1,
  IF(LEN(INDEX(Roadmap!$D:$K,MATCH($E192,Roadmap!$D:$D,0)-1+COUNTIF($E192:J192,"u")+COUNTIF($E192:J192,"t")+COUNTIF($E192:J192,"¶")+COUNTIF($E192:J192,"²")+COUNTIF($E192:J192,"µ")+COUNTIF($E192:J192,1),ColDescriptionCourte))&gt;1,
HYPERLINK("#Roadmap!C"&amp; MATCH($E192,Roadmap!$D:$D,0)+COUNTIF($E192:J192,"u")+COUNTIF($E192:J192,"t")+COUNTIF($E192:J192,"¶")+COUNTIF($E192:J192,"²")+COUNTIF($E192:J192,"µ")+COUNTIF($E192:J192,1)-1,INDEX(Roadmap!$D:$K,MATCH($E192,Roadmap!$D:$D,0)-1+COUNTIF($E192:J192,"u")+COUNTIF($E192:J192,"t")+COUNTIF($E192:J192,"¶")+COUNTIF($E192:J192,"²")+COUNTIF($E192:J192,"µ")+COUNTIF($E192:J192,1),ColDescriptionCourte)),""),
  "")),"")</f>
        <v/>
      </c>
      <c r="L192" s="39" t="str">
        <f ca="1">IFERROR(IF(AND(
  INDEX(Roadmap!$D:$K,MATCH($E192,Roadmap!$D:$D,0)+COUNTIF($E192:K192,"u")+COUNTIF($E192:K192,"t")+COUNTIF($E192:K192,"¶")+COUNTIF($E192:K192,"²")+COUNTIF($E192:K192,"µ")+COUNTIF($E192:K192,1),ColLivraison)=L$6,
  VLOOKUP($E192,INDIRECT("tri!"&amp; CHAR(64+ C0Col) &amp;":"&amp; CHAR(65+C0Col)),2,FALSE)&gt;COUNTIF($E192:K192,"u")+COUNTIF($E192:K192,"t")+COUNTIF($E192:K192,"¶")+COUNTIF($E192:K192,"²")+COUNTIF($E192:K192,"µ")+COUNTIF($E192:K192,1)),
HYPERLINK("#Roadmap!C"&amp; MATCH($E192,Roadmap!$D:$D,0)+COUNTIF($E192:K192,"u")+COUNTIF($E192:K192,"t"),
     INDEX(Roadmap!$D:$K,MATCH($E192,Roadmap!$D:$D,0)+COUNTIF($E192:K192,"u")+COUNTIF($E192:K192,"t")+COUNTIF($E192:K192,"¶")+COUNTIF($E192:K192,"²")+COUNTIF($E192:K192,"µ")+COUNTIF($E192:K192,1),ColTypeEcheance)),
  IF(LEN(K192)=1,
  IF(LEN(INDEX(Roadmap!$D:$K,MATCH($E192,Roadmap!$D:$D,0)-1+COUNTIF($E192:K192,"u")+COUNTIF($E192:K192,"t")+COUNTIF($E192:K192,"¶")+COUNTIF($E192:K192,"²")+COUNTIF($E192:K192,"µ")+COUNTIF($E192:K192,1),ColDescriptionCourte))&gt;1,
HYPERLINK("#Roadmap!C"&amp; MATCH($E192,Roadmap!$D:$D,0)+COUNTIF($E192:K192,"u")+COUNTIF($E192:K192,"t")+COUNTIF($E192:K192,"¶")+COUNTIF($E192:K192,"²")+COUNTIF($E192:K192,"µ")+COUNTIF($E192:K192,1)-1,INDEX(Roadmap!$D:$K,MATCH($E192,Roadmap!$D:$D,0)-1+COUNTIF($E192:K192,"u")+COUNTIF($E192:K192,"t")+COUNTIF($E192:K192,"¶")+COUNTIF($E192:K192,"²")+COUNTIF($E192:K192,"µ")+COUNTIF($E192:K192,1),ColDescriptionCourte)),""),
  "")),"")</f>
        <v/>
      </c>
      <c r="M192" s="40" t="str">
        <f ca="1">IFERROR(IF(AND(
  INDEX(Roadmap!$D:$K,MATCH($E192,Roadmap!$D:$D,0)+COUNTIF($E192:L192,"u")+COUNTIF($E192:L192,"t")+COUNTIF($E192:L192,"¶")+COUNTIF($E192:L192,"²")+COUNTIF($E192:L192,"µ")+COUNTIF($E192:L192,1),ColLivraison)=M$6,
  VLOOKUP($E192,INDIRECT("tri!"&amp; CHAR(64+ C0Col) &amp;":"&amp; CHAR(65+C0Col)),2,FALSE)&gt;COUNTIF($E192:L192,"u")+COUNTIF($E192:L192,"t")+COUNTIF($E192:L192,"¶")+COUNTIF($E192:L192,"²")+COUNTIF($E192:L192,"µ")+COUNTIF($E192:L192,1)),
HYPERLINK("#Roadmap!C"&amp; MATCH($E192,Roadmap!$D:$D,0)+COUNTIF($E192:L192,"u")+COUNTIF($E192:L192,"t"),
     INDEX(Roadmap!$D:$K,MATCH($E192,Roadmap!$D:$D,0)+COUNTIF($E192:L192,"u")+COUNTIF($E192:L192,"t")+COUNTIF($E192:L192,"¶")+COUNTIF($E192:L192,"²")+COUNTIF($E192:L192,"µ")+COUNTIF($E192:L192,1),ColTypeEcheance)),
  IF(LEN(L192)=1,
  IF(LEN(INDEX(Roadmap!$D:$K,MATCH($E192,Roadmap!$D:$D,0)-1+COUNTIF($E192:L192,"u")+COUNTIF($E192:L192,"t")+COUNTIF($E192:L192,"¶")+COUNTIF($E192:L192,"²")+COUNTIF($E192:L192,"µ")+COUNTIF($E192:L192,1),ColDescriptionCourte))&gt;1,
HYPERLINK("#Roadmap!C"&amp; MATCH($E192,Roadmap!$D:$D,0)+COUNTIF($E192:L192,"u")+COUNTIF($E192:L192,"t")+COUNTIF($E192:L192,"¶")+COUNTIF($E192:L192,"²")+COUNTIF($E192:L192,"µ")+COUNTIF($E192:L192,1)-1,INDEX(Roadmap!$D:$K,MATCH($E192,Roadmap!$D:$D,0)-1+COUNTIF($E192:L192,"u")+COUNTIF($E192:L192,"t")+COUNTIF($E192:L192,"¶")+COUNTIF($E192:L192,"²")+COUNTIF($E192:L192,"µ")+COUNTIF($E192:L192,1),ColDescriptionCourte)),""),
  "")),"")</f>
        <v/>
      </c>
      <c r="N192" s="40" t="str">
        <f ca="1">IFERROR(IF(AND(
  INDEX(Roadmap!$D:$K,MATCH($E192,Roadmap!$D:$D,0)+COUNTIF($E192:M192,"u")+COUNTIF($E192:M192,"t")+COUNTIF($E192:M192,"¶")+COUNTIF($E192:M192,"²")+COUNTIF($E192:M192,"µ")+COUNTIF($E192:M192,1),ColLivraison)=N$6,
  VLOOKUP($E192,INDIRECT("tri!"&amp; CHAR(64+ C0Col) &amp;":"&amp; CHAR(65+C0Col)),2,FALSE)&gt;COUNTIF($E192:M192,"u")+COUNTIF($E192:M192,"t")+COUNTIF($E192:M192,"¶")+COUNTIF($E192:M192,"²")+COUNTIF($E192:M192,"µ")+COUNTIF($E192:M192,1)),
HYPERLINK("#Roadmap!C"&amp; MATCH($E192,Roadmap!$D:$D,0)+COUNTIF($E192:M192,"u")+COUNTIF($E192:M192,"t"),
     INDEX(Roadmap!$D:$K,MATCH($E192,Roadmap!$D:$D,0)+COUNTIF($E192:M192,"u")+COUNTIF($E192:M192,"t")+COUNTIF($E192:M192,"¶")+COUNTIF($E192:M192,"²")+COUNTIF($E192:M192,"µ")+COUNTIF($E192:M192,1),ColTypeEcheance)),
  IF(LEN(M192)=1,
  IF(LEN(INDEX(Roadmap!$D:$K,MATCH($E192,Roadmap!$D:$D,0)-1+COUNTIF($E192:M192,"u")+COUNTIF($E192:M192,"t")+COUNTIF($E192:M192,"¶")+COUNTIF($E192:M192,"²")+COUNTIF($E192:M192,"µ")+COUNTIF($E192:M192,1),ColDescriptionCourte))&gt;1,
HYPERLINK("#Roadmap!C"&amp; MATCH($E192,Roadmap!$D:$D,0)+COUNTIF($E192:M192,"u")+COUNTIF($E192:M192,"t")+COUNTIF($E192:M192,"¶")+COUNTIF($E192:M192,"²")+COUNTIF($E192:M192,"µ")+COUNTIF($E192:M192,1)-1,INDEX(Roadmap!$D:$K,MATCH($E192,Roadmap!$D:$D,0)-1+COUNTIF($E192:M192,"u")+COUNTIF($E192:M192,"t")+COUNTIF($E192:M192,"¶")+COUNTIF($E192:M192,"²")+COUNTIF($E192:M192,"µ")+COUNTIF($E192:M192,1),ColDescriptionCourte)),""),
  "")),"")</f>
        <v/>
      </c>
      <c r="O192" s="40" t="str">
        <f ca="1">IFERROR(IF(AND(
  INDEX(Roadmap!$D:$K,MATCH($E192,Roadmap!$D:$D,0)+COUNTIF($E192:N192,"u")+COUNTIF($E192:N192,"t")+COUNTIF($E192:N192,"¶")+COUNTIF($E192:N192,"²")+COUNTIF($E192:N192,"µ")+COUNTIF($E192:N192,1),ColLivraison)=O$6,
  VLOOKUP($E192,INDIRECT("tri!"&amp; CHAR(64+ C0Col) &amp;":"&amp; CHAR(65+C0Col)),2,FALSE)&gt;COUNTIF($E192:N192,"u")+COUNTIF($E192:N192,"t")+COUNTIF($E192:N192,"¶")+COUNTIF($E192:N192,"²")+COUNTIF($E192:N192,"µ")+COUNTIF($E192:N192,1)),
HYPERLINK("#Roadmap!C"&amp; MATCH($E192,Roadmap!$D:$D,0)+COUNTIF($E192:N192,"u")+COUNTIF($E192:N192,"t"),
     INDEX(Roadmap!$D:$K,MATCH($E192,Roadmap!$D:$D,0)+COUNTIF($E192:N192,"u")+COUNTIF($E192:N192,"t")+COUNTIF($E192:N192,"¶")+COUNTIF($E192:N192,"²")+COUNTIF($E192:N192,"µ")+COUNTIF($E192:N192,1),ColTypeEcheance)),
  IF(LEN(N192)=1,
  IF(LEN(INDEX(Roadmap!$D:$K,MATCH($E192,Roadmap!$D:$D,0)-1+COUNTIF($E192:N192,"u")+COUNTIF($E192:N192,"t")+COUNTIF($E192:N192,"¶")+COUNTIF($E192:N192,"²")+COUNTIF($E192:N192,"µ")+COUNTIF($E192:N192,1),ColDescriptionCourte))&gt;1,
HYPERLINK("#Roadmap!C"&amp; MATCH($E192,Roadmap!$D:$D,0)+COUNTIF($E192:N192,"u")+COUNTIF($E192:N192,"t")+COUNTIF($E192:N192,"¶")+COUNTIF($E192:N192,"²")+COUNTIF($E192:N192,"µ")+COUNTIF($E192:N192,1)-1,INDEX(Roadmap!$D:$K,MATCH($E192,Roadmap!$D:$D,0)-1+COUNTIF($E192:N192,"u")+COUNTIF($E192:N192,"t")+COUNTIF($E192:N192,"¶")+COUNTIF($E192:N192,"²")+COUNTIF($E192:N192,"µ")+COUNTIF($E192:N192,1),ColDescriptionCourte)),""),
  "")),"")</f>
        <v/>
      </c>
      <c r="P192" s="40" t="str">
        <f ca="1">IFERROR(IF(AND(
  INDEX(Roadmap!$D:$K,MATCH($E192,Roadmap!$D:$D,0)+COUNTIF($E192:O192,"u")+COUNTIF($E192:O192,"t")+COUNTIF($E192:O192,"¶")+COUNTIF($E192:O192,"²")+COUNTIF($E192:O192,"µ")+COUNTIF($E192:O192,1),ColLivraison)=P$6,
  VLOOKUP($E192,INDIRECT("tri!"&amp; CHAR(64+ C0Col) &amp;":"&amp; CHAR(65+C0Col)),2,FALSE)&gt;COUNTIF($E192:O192,"u")+COUNTIF($E192:O192,"t")+COUNTIF($E192:O192,"¶")+COUNTIF($E192:O192,"²")+COUNTIF($E192:O192,"µ")+COUNTIF($E192:O192,1)),
HYPERLINK("#Roadmap!C"&amp; MATCH($E192,Roadmap!$D:$D,0)+COUNTIF($E192:O192,"u")+COUNTIF($E192:O192,"t"),
     INDEX(Roadmap!$D:$K,MATCH($E192,Roadmap!$D:$D,0)+COUNTIF($E192:O192,"u")+COUNTIF($E192:O192,"t")+COUNTIF($E192:O192,"¶")+COUNTIF($E192:O192,"²")+COUNTIF($E192:O192,"µ")+COUNTIF($E192:O192,1),ColTypeEcheance)),
  IF(LEN(O192)=1,
  IF(LEN(INDEX(Roadmap!$D:$K,MATCH($E192,Roadmap!$D:$D,0)-1+COUNTIF($E192:O192,"u")+COUNTIF($E192:O192,"t")+COUNTIF($E192:O192,"¶")+COUNTIF($E192:O192,"²")+COUNTIF($E192:O192,"µ")+COUNTIF($E192:O192,1),ColDescriptionCourte))&gt;1,
HYPERLINK("#Roadmap!C"&amp; MATCH($E192,Roadmap!$D:$D,0)+COUNTIF($E192:O192,"u")+COUNTIF($E192:O192,"t")+COUNTIF($E192:O192,"¶")+COUNTIF($E192:O192,"²")+COUNTIF($E192:O192,"µ")+COUNTIF($E192:O192,1)-1,INDEX(Roadmap!$D:$K,MATCH($E192,Roadmap!$D:$D,0)-1+COUNTIF($E192:O192,"u")+COUNTIF($E192:O192,"t")+COUNTIF($E192:O192,"¶")+COUNTIF($E192:O192,"²")+COUNTIF($E192:O192,"µ")+COUNTIF($E192:O192,1),ColDescriptionCourte)),""),
  "")),"")</f>
        <v/>
      </c>
      <c r="Q192" s="40" t="str">
        <f ca="1">IFERROR(IF(AND(
  INDEX(Roadmap!$D:$K,MATCH($E192,Roadmap!$D:$D,0)+COUNTIF($E192:P192,"u")+COUNTIF($E192:P192,"t")+COUNTIF($E192:P192,"¶")+COUNTIF($E192:P192,"²")+COUNTIF($E192:P192,"µ")+COUNTIF($E192:P192,1),ColLivraison)=Q$6,
  VLOOKUP($E192,INDIRECT("tri!"&amp; CHAR(64+ C0Col) &amp;":"&amp; CHAR(65+C0Col)),2,FALSE)&gt;COUNTIF($E192:P192,"u")+COUNTIF($E192:P192,"t")+COUNTIF($E192:P192,"¶")+COUNTIF($E192:P192,"²")+COUNTIF($E192:P192,"µ")+COUNTIF($E192:P192,1)),
HYPERLINK("#Roadmap!C"&amp; MATCH($E192,Roadmap!$D:$D,0)+COUNTIF($E192:P192,"u")+COUNTIF($E192:P192,"t"),
     INDEX(Roadmap!$D:$K,MATCH($E192,Roadmap!$D:$D,0)+COUNTIF($E192:P192,"u")+COUNTIF($E192:P192,"t")+COUNTIF($E192:P192,"¶")+COUNTIF($E192:P192,"²")+COUNTIF($E192:P192,"µ")+COUNTIF($E192:P192,1),ColTypeEcheance)),
  IF(LEN(P192)=1,
  IF(LEN(INDEX(Roadmap!$D:$K,MATCH($E192,Roadmap!$D:$D,0)-1+COUNTIF($E192:P192,"u")+COUNTIF($E192:P192,"t")+COUNTIF($E192:P192,"¶")+COUNTIF($E192:P192,"²")+COUNTIF($E192:P192,"µ")+COUNTIF($E192:P192,1),ColDescriptionCourte))&gt;1,
HYPERLINK("#Roadmap!C"&amp; MATCH($E192,Roadmap!$D:$D,0)+COUNTIF($E192:P192,"u")+COUNTIF($E192:P192,"t")+COUNTIF($E192:P192,"¶")+COUNTIF($E192:P192,"²")+COUNTIF($E192:P192,"µ")+COUNTIF($E192:P192,1)-1,INDEX(Roadmap!$D:$K,MATCH($E192,Roadmap!$D:$D,0)-1+COUNTIF($E192:P192,"u")+COUNTIF($E192:P192,"t")+COUNTIF($E192:P192,"¶")+COUNTIF($E192:P192,"²")+COUNTIF($E192:P192,"µ")+COUNTIF($E192:P192,1),ColDescriptionCourte)),""),
  "")),"")</f>
        <v/>
      </c>
      <c r="R192" s="40" t="str">
        <f ca="1">IFERROR(IF(AND(
  INDEX(Roadmap!$D:$K,MATCH($E192,Roadmap!$D:$D,0)+COUNTIF($E192:Q192,"u")+COUNTIF($E192:Q192,"t")+COUNTIF($E192:Q192,"¶")+COUNTIF($E192:Q192,"²")+COUNTIF($E192:Q192,"µ")+COUNTIF($E192:Q192,1),ColLivraison)=R$6,
  VLOOKUP($E192,INDIRECT("tri!"&amp; CHAR(64+ C0Col) &amp;":"&amp; CHAR(65+C0Col)),2,FALSE)&gt;COUNTIF($E192:Q192,"u")+COUNTIF($E192:Q192,"t")+COUNTIF($E192:Q192,"¶")+COUNTIF($E192:Q192,"²")+COUNTIF($E192:Q192,"µ")+COUNTIF($E192:Q192,1)),
HYPERLINK("#Roadmap!C"&amp; MATCH($E192,Roadmap!$D:$D,0)+COUNTIF($E192:Q192,"u")+COUNTIF($E192:Q192,"t"),
     INDEX(Roadmap!$D:$K,MATCH($E192,Roadmap!$D:$D,0)+COUNTIF($E192:Q192,"u")+COUNTIF($E192:Q192,"t")+COUNTIF($E192:Q192,"¶")+COUNTIF($E192:Q192,"²")+COUNTIF($E192:Q192,"µ")+COUNTIF($E192:Q192,1),ColTypeEcheance)),
  IF(LEN(Q192)=1,
  IF(LEN(INDEX(Roadmap!$D:$K,MATCH($E192,Roadmap!$D:$D,0)-1+COUNTIF($E192:Q192,"u")+COUNTIF($E192:Q192,"t")+COUNTIF($E192:Q192,"¶")+COUNTIF($E192:Q192,"²")+COUNTIF($E192:Q192,"µ")+COUNTIF($E192:Q192,1),ColDescriptionCourte))&gt;1,
HYPERLINK("#Roadmap!C"&amp; MATCH($E192,Roadmap!$D:$D,0)+COUNTIF($E192:Q192,"u")+COUNTIF($E192:Q192,"t")+COUNTIF($E192:Q192,"¶")+COUNTIF($E192:Q192,"²")+COUNTIF($E192:Q192,"µ")+COUNTIF($E192:Q192,1)-1,INDEX(Roadmap!$D:$K,MATCH($E192,Roadmap!$D:$D,0)-1+COUNTIF($E192:Q192,"u")+COUNTIF($E192:Q192,"t")+COUNTIF($E192:Q192,"¶")+COUNTIF($E192:Q192,"²")+COUNTIF($E192:Q192,"µ")+COUNTIF($E192:Q192,1),ColDescriptionCourte)),""),
  "")),"")</f>
        <v/>
      </c>
      <c r="S192" s="40" t="str">
        <f ca="1">IFERROR(IF(AND(
  INDEX(Roadmap!$D:$K,MATCH($E192,Roadmap!$D:$D,0)+COUNTIF($E192:R192,"u")+COUNTIF($E192:R192,"t")+COUNTIF($E192:R192,"¶")+COUNTIF($E192:R192,"²")+COUNTIF($E192:R192,"µ")+COUNTIF($E192:R192,1),ColLivraison)=S$6,
  VLOOKUP($E192,INDIRECT("tri!"&amp; CHAR(64+ C0Col) &amp;":"&amp; CHAR(65+C0Col)),2,FALSE)&gt;COUNTIF($E192:R192,"u")+COUNTIF($E192:R192,"t")+COUNTIF($E192:R192,"¶")+COUNTIF($E192:R192,"²")+COUNTIF($E192:R192,"µ")+COUNTIF($E192:R192,1)),
HYPERLINK("#Roadmap!C"&amp; MATCH($E192,Roadmap!$D:$D,0)+COUNTIF($E192:R192,"u")+COUNTIF($E192:R192,"t"),
     INDEX(Roadmap!$D:$K,MATCH($E192,Roadmap!$D:$D,0)+COUNTIF($E192:R192,"u")+COUNTIF($E192:R192,"t")+COUNTIF($E192:R192,"¶")+COUNTIF($E192:R192,"²")+COUNTIF($E192:R192,"µ")+COUNTIF($E192:R192,1),ColTypeEcheance)),
  IF(LEN(R192)=1,
  IF(LEN(INDEX(Roadmap!$D:$K,MATCH($E192,Roadmap!$D:$D,0)-1+COUNTIF($E192:R192,"u")+COUNTIF($E192:R192,"t")+COUNTIF($E192:R192,"¶")+COUNTIF($E192:R192,"²")+COUNTIF($E192:R192,"µ")+COUNTIF($E192:R192,1),ColDescriptionCourte))&gt;1,
HYPERLINK("#Roadmap!C"&amp; MATCH($E192,Roadmap!$D:$D,0)+COUNTIF($E192:R192,"u")+COUNTIF($E192:R192,"t")+COUNTIF($E192:R192,"¶")+COUNTIF($E192:R192,"²")+COUNTIF($E192:R192,"µ")+COUNTIF($E192:R192,1)-1,INDEX(Roadmap!$D:$K,MATCH($E192,Roadmap!$D:$D,0)-1+COUNTIF($E192:R192,"u")+COUNTIF($E192:R192,"t")+COUNTIF($E192:R192,"¶")+COUNTIF($E192:R192,"²")+COUNTIF($E192:R192,"µ")+COUNTIF($E192:R192,1),ColDescriptionCourte)),""),
  "")),"")</f>
        <v/>
      </c>
      <c r="T192" s="40" t="str">
        <f ca="1">IFERROR(IF(AND(
  INDEX(Roadmap!$D:$K,MATCH($E192,Roadmap!$D:$D,0)+COUNTIF($E192:S192,"u")+COUNTIF($E192:S192,"t")+COUNTIF($E192:S192,"¶")+COUNTIF($E192:S192,"²")+COUNTIF($E192:S192,"µ")+COUNTIF($E192:S192,1),ColLivraison)=T$6,
  VLOOKUP($E192,INDIRECT("tri!"&amp; CHAR(64+ C0Col) &amp;":"&amp; CHAR(65+C0Col)),2,FALSE)&gt;COUNTIF($E192:S192,"u")+COUNTIF($E192:S192,"t")+COUNTIF($E192:S192,"¶")+COUNTIF($E192:S192,"²")+COUNTIF($E192:S192,"µ")+COUNTIF($E192:S192,1)),
HYPERLINK("#Roadmap!C"&amp; MATCH($E192,Roadmap!$D:$D,0)+COUNTIF($E192:S192,"u")+COUNTIF($E192:S192,"t"),
     INDEX(Roadmap!$D:$K,MATCH($E192,Roadmap!$D:$D,0)+COUNTIF($E192:S192,"u")+COUNTIF($E192:S192,"t")+COUNTIF($E192:S192,"¶")+COUNTIF($E192:S192,"²")+COUNTIF($E192:S192,"µ")+COUNTIF($E192:S192,1),ColTypeEcheance)),
  IF(LEN(S192)=1,
  IF(LEN(INDEX(Roadmap!$D:$K,MATCH($E192,Roadmap!$D:$D,0)-1+COUNTIF($E192:S192,"u")+COUNTIF($E192:S192,"t")+COUNTIF($E192:S192,"¶")+COUNTIF($E192:S192,"²")+COUNTIF($E192:S192,"µ")+COUNTIF($E192:S192,1),ColDescriptionCourte))&gt;1,
HYPERLINK("#Roadmap!C"&amp; MATCH($E192,Roadmap!$D:$D,0)+COUNTIF($E192:S192,"u")+COUNTIF($E192:S192,"t")+COUNTIF($E192:S192,"¶")+COUNTIF($E192:S192,"²")+COUNTIF($E192:S192,"µ")+COUNTIF($E192:S192,1)-1,INDEX(Roadmap!$D:$K,MATCH($E192,Roadmap!$D:$D,0)-1+COUNTIF($E192:S192,"u")+COUNTIF($E192:S192,"t")+COUNTIF($E192:S192,"¶")+COUNTIF($E192:S192,"²")+COUNTIF($E192:S192,"µ")+COUNTIF($E192:S192,1),ColDescriptionCourte)),""),
  "")),"")</f>
        <v/>
      </c>
      <c r="U192" s="40" t="str">
        <f ca="1">IFERROR(IF(AND(
  INDEX(Roadmap!$D:$K,MATCH($E192,Roadmap!$D:$D,0)+COUNTIF($E192:T192,"u")+COUNTIF($E192:T192,"t")+COUNTIF($E192:T192,"¶")+COUNTIF($E192:T192,"²")+COUNTIF($E192:T192,"µ")+COUNTIF($E192:T192,1),ColLivraison)=U$6,
  VLOOKUP($E192,INDIRECT("tri!"&amp; CHAR(64+ C0Col) &amp;":"&amp; CHAR(65+C0Col)),2,FALSE)&gt;COUNTIF($E192:T192,"u")+COUNTIF($E192:T192,"t")+COUNTIF($E192:T192,"¶")+COUNTIF($E192:T192,"²")+COUNTIF($E192:T192,"µ")+COUNTIF($E192:T192,1)),
HYPERLINK("#Roadmap!C"&amp; MATCH($E192,Roadmap!$D:$D,0)+COUNTIF($E192:T192,"u")+COUNTIF($E192:T192,"t"),
     INDEX(Roadmap!$D:$K,MATCH($E192,Roadmap!$D:$D,0)+COUNTIF($E192:T192,"u")+COUNTIF($E192:T192,"t")+COUNTIF($E192:T192,"¶")+COUNTIF($E192:T192,"²")+COUNTIF($E192:T192,"µ")+COUNTIF($E192:T192,1),ColTypeEcheance)),
  IF(LEN(T192)=1,
  IF(LEN(INDEX(Roadmap!$D:$K,MATCH($E192,Roadmap!$D:$D,0)-1+COUNTIF($E192:T192,"u")+COUNTIF($E192:T192,"t")+COUNTIF($E192:T192,"¶")+COUNTIF($E192:T192,"²")+COUNTIF($E192:T192,"µ")+COUNTIF($E192:T192,1),ColDescriptionCourte))&gt;1,
HYPERLINK("#Roadmap!C"&amp; MATCH($E192,Roadmap!$D:$D,0)+COUNTIF($E192:T192,"u")+COUNTIF($E192:T192,"t")+COUNTIF($E192:T192,"¶")+COUNTIF($E192:T192,"²")+COUNTIF($E192:T192,"µ")+COUNTIF($E192:T192,1)-1,INDEX(Roadmap!$D:$K,MATCH($E192,Roadmap!$D:$D,0)-1+COUNTIF($E192:T192,"u")+COUNTIF($E192:T192,"t")+COUNTIF($E192:T192,"¶")+COUNTIF($E192:T192,"²")+COUNTIF($E192:T192,"µ")+COUNTIF($E192:T192,1),ColDescriptionCourte)),""),
  "")),"")</f>
        <v/>
      </c>
      <c r="V192" s="40" t="str">
        <f ca="1">IFERROR(IF(AND(
  INDEX(Roadmap!$D:$K,MATCH($E192,Roadmap!$D:$D,0)+COUNTIF($E192:U192,"u")+COUNTIF($E192:U192,"t")+COUNTIF($E192:U192,"¶")+COUNTIF($E192:U192,"²")+COUNTIF($E192:U192,"µ")+COUNTIF($E192:U192,1),ColLivraison)=V$6,
  VLOOKUP($E192,INDIRECT("tri!"&amp; CHAR(64+ C0Col) &amp;":"&amp; CHAR(65+C0Col)),2,FALSE)&gt;COUNTIF($E192:U192,"u")+COUNTIF($E192:U192,"t")+COUNTIF($E192:U192,"¶")+COUNTIF($E192:U192,"²")+COUNTIF($E192:U192,"µ")+COUNTIF($E192:U192,1)),
HYPERLINK("#Roadmap!C"&amp; MATCH($E192,Roadmap!$D:$D,0)+COUNTIF($E192:U192,"u")+COUNTIF($E192:U192,"t"),
     INDEX(Roadmap!$D:$K,MATCH($E192,Roadmap!$D:$D,0)+COUNTIF($E192:U192,"u")+COUNTIF($E192:U192,"t")+COUNTIF($E192:U192,"¶")+COUNTIF($E192:U192,"²")+COUNTIF($E192:U192,"µ")+COUNTIF($E192:U192,1),ColTypeEcheance)),
  IF(LEN(U192)=1,
  IF(LEN(INDEX(Roadmap!$D:$K,MATCH($E192,Roadmap!$D:$D,0)-1+COUNTIF($E192:U192,"u")+COUNTIF($E192:U192,"t")+COUNTIF($E192:U192,"¶")+COUNTIF($E192:U192,"²")+COUNTIF($E192:U192,"µ")+COUNTIF($E192:U192,1),ColDescriptionCourte))&gt;1,
HYPERLINK("#Roadmap!C"&amp; MATCH($E192,Roadmap!$D:$D,0)+COUNTIF($E192:U192,"u")+COUNTIF($E192:U192,"t")+COUNTIF($E192:U192,"¶")+COUNTIF($E192:U192,"²")+COUNTIF($E192:U192,"µ")+COUNTIF($E192:U192,1)-1,INDEX(Roadmap!$D:$K,MATCH($E192,Roadmap!$D:$D,0)-1+COUNTIF($E192:U192,"u")+COUNTIF($E192:U192,"t")+COUNTIF($E192:U192,"¶")+COUNTIF($E192:U192,"²")+COUNTIF($E192:U192,"µ")+COUNTIF($E192:U192,1),ColDescriptionCourte)),""),
  "")),"")</f>
        <v/>
      </c>
      <c r="W192" s="40" t="str">
        <f ca="1">IFERROR(IF(AND(
  INDEX(Roadmap!$D:$K,MATCH($E192,Roadmap!$D:$D,0)+COUNTIF($E192:V192,"u")+COUNTIF($E192:V192,"t")+COUNTIF($E192:V192,"¶")+COUNTIF($E192:V192,"²")+COUNTIF($E192:V192,"µ")+COUNTIF($E192:V192,1),ColLivraison)=W$6,
  VLOOKUP($E192,INDIRECT("tri!"&amp; CHAR(64+ C0Col) &amp;":"&amp; CHAR(65+C0Col)),2,FALSE)&gt;COUNTIF($E192:V192,"u")+COUNTIF($E192:V192,"t")+COUNTIF($E192:V192,"¶")+COUNTIF($E192:V192,"²")+COUNTIF($E192:V192,"µ")+COUNTIF($E192:V192,1)),
HYPERLINK("#Roadmap!C"&amp; MATCH($E192,Roadmap!$D:$D,0)+COUNTIF($E192:V192,"u")+COUNTIF($E192:V192,"t"),
     INDEX(Roadmap!$D:$K,MATCH($E192,Roadmap!$D:$D,0)+COUNTIF($E192:V192,"u")+COUNTIF($E192:V192,"t")+COUNTIF($E192:V192,"¶")+COUNTIF($E192:V192,"²")+COUNTIF($E192:V192,"µ")+COUNTIF($E192:V192,1),ColTypeEcheance)),
  IF(LEN(V192)=1,
  IF(LEN(INDEX(Roadmap!$D:$K,MATCH($E192,Roadmap!$D:$D,0)-1+COUNTIF($E192:V192,"u")+COUNTIF($E192:V192,"t")+COUNTIF($E192:V192,"¶")+COUNTIF($E192:V192,"²")+COUNTIF($E192:V192,"µ")+COUNTIF($E192:V192,1),ColDescriptionCourte))&gt;1,
HYPERLINK("#Roadmap!C"&amp; MATCH($E192,Roadmap!$D:$D,0)+COUNTIF($E192:V192,"u")+COUNTIF($E192:V192,"t")+COUNTIF($E192:V192,"¶")+COUNTIF($E192:V192,"²")+COUNTIF($E192:V192,"µ")+COUNTIF($E192:V192,1)-1,INDEX(Roadmap!$D:$K,MATCH($E192,Roadmap!$D:$D,0)-1+COUNTIF($E192:V192,"u")+COUNTIF($E192:V192,"t")+COUNTIF($E192:V192,"¶")+COUNTIF($E192:V192,"²")+COUNTIF($E192:V192,"µ")+COUNTIF($E192:V192,1),ColDescriptionCourte)),""),
  "")),"")</f>
        <v/>
      </c>
      <c r="X192" s="40" t="str">
        <f ca="1">IFERROR(IF(AND(
  INDEX(Roadmap!$D:$K,MATCH($E192,Roadmap!$D:$D,0)+COUNTIF($E192:W192,"u")+COUNTIF($E192:W192,"t")+COUNTIF($E192:W192,"¶")+COUNTIF($E192:W192,"²")+COUNTIF($E192:W192,"µ")+COUNTIF($E192:W192,1),ColLivraison)=X$6,
  VLOOKUP($E192,INDIRECT("tri!"&amp; CHAR(64+ C0Col) &amp;":"&amp; CHAR(65+C0Col)),2,FALSE)&gt;COUNTIF($E192:W192,"u")+COUNTIF($E192:W192,"t")+COUNTIF($E192:W192,"¶")+COUNTIF($E192:W192,"²")+COUNTIF($E192:W192,"µ")+COUNTIF($E192:W192,1)),
HYPERLINK("#Roadmap!C"&amp; MATCH($E192,Roadmap!$D:$D,0)+COUNTIF($E192:W192,"u")+COUNTIF($E192:W192,"t"),
     INDEX(Roadmap!$D:$K,MATCH($E192,Roadmap!$D:$D,0)+COUNTIF($E192:W192,"u")+COUNTIF($E192:W192,"t")+COUNTIF($E192:W192,"¶")+COUNTIF($E192:W192,"²")+COUNTIF($E192:W192,"µ")+COUNTIF($E192:W192,1),ColTypeEcheance)),
  IF(LEN(W192)=1,
  IF(LEN(INDEX(Roadmap!$D:$K,MATCH($E192,Roadmap!$D:$D,0)-1+COUNTIF($E192:W192,"u")+COUNTIF($E192:W192,"t")+COUNTIF($E192:W192,"¶")+COUNTIF($E192:W192,"²")+COUNTIF($E192:W192,"µ")+COUNTIF($E192:W192,1),ColDescriptionCourte))&gt;1,
HYPERLINK("#Roadmap!C"&amp; MATCH($E192,Roadmap!$D:$D,0)+COUNTIF($E192:W192,"u")+COUNTIF($E192:W192,"t")+COUNTIF($E192:W192,"¶")+COUNTIF($E192:W192,"²")+COUNTIF($E192:W192,"µ")+COUNTIF($E192:W192,1)-1,INDEX(Roadmap!$D:$K,MATCH($E192,Roadmap!$D:$D,0)-1+COUNTIF($E192:W192,"u")+COUNTIF($E192:W192,"t")+COUNTIF($E192:W192,"¶")+COUNTIF($E192:W192,"²")+COUNTIF($E192:W192,"µ")+COUNTIF($E192:W192,1),ColDescriptionCourte)),""),
  "")),"")</f>
        <v/>
      </c>
      <c r="Y192" s="40" t="str">
        <f ca="1">IFERROR(IF(AND(
  INDEX(Roadmap!$D:$K,MATCH($E192,Roadmap!$D:$D,0)+COUNTIF($E192:X192,"u")+COUNTIF($E192:X192,"t")+COUNTIF($E192:X192,"¶")+COUNTIF($E192:X192,"²")+COUNTIF($E192:X192,"µ")+COUNTIF($E192:X192,1),ColLivraison)=Y$6,
  VLOOKUP($E192,INDIRECT("tri!"&amp; CHAR(64+ C0Col) &amp;":"&amp; CHAR(65+C0Col)),2,FALSE)&gt;COUNTIF($E192:X192,"u")+COUNTIF($E192:X192,"t")+COUNTIF($E192:X192,"¶")+COUNTIF($E192:X192,"²")+COUNTIF($E192:X192,"µ")+COUNTIF($E192:X192,1)),
HYPERLINK("#Roadmap!C"&amp; MATCH($E192,Roadmap!$D:$D,0)+COUNTIF($E192:X192,"u")+COUNTIF($E192:X192,"t"),
     INDEX(Roadmap!$D:$K,MATCH($E192,Roadmap!$D:$D,0)+COUNTIF($E192:X192,"u")+COUNTIF($E192:X192,"t")+COUNTIF($E192:X192,"¶")+COUNTIF($E192:X192,"²")+COUNTIF($E192:X192,"µ")+COUNTIF($E192:X192,1),ColTypeEcheance)),
  IF(LEN(X192)=1,
  IF(LEN(INDEX(Roadmap!$D:$K,MATCH($E192,Roadmap!$D:$D,0)-1+COUNTIF($E192:X192,"u")+COUNTIF($E192:X192,"t")+COUNTIF($E192:X192,"¶")+COUNTIF($E192:X192,"²")+COUNTIF($E192:X192,"µ")+COUNTIF($E192:X192,1),ColDescriptionCourte))&gt;1,
HYPERLINK("#Roadmap!C"&amp; MATCH($E192,Roadmap!$D:$D,0)+COUNTIF($E192:X192,"u")+COUNTIF($E192:X192,"t")+COUNTIF($E192:X192,"¶")+COUNTIF($E192:X192,"²")+COUNTIF($E192:X192,"µ")+COUNTIF($E192:X192,1)-1,INDEX(Roadmap!$D:$K,MATCH($E192,Roadmap!$D:$D,0)-1+COUNTIF($E192:X192,"u")+COUNTIF($E192:X192,"t")+COUNTIF($E192:X192,"¶")+COUNTIF($E192:X192,"²")+COUNTIF($E192:X192,"µ")+COUNTIF($E192:X192,1),ColDescriptionCourte)),""),
  "")),"")</f>
        <v/>
      </c>
      <c r="Z192" s="40" t="str">
        <f ca="1">IFERROR(IF(AND(
  INDEX(Roadmap!$D:$K,MATCH($E192,Roadmap!$D:$D,0)+COUNTIF($E192:Y192,"u")+COUNTIF($E192:Y192,"t")+COUNTIF($E192:Y192,"¶")+COUNTIF($E192:Y192,"²")+COUNTIF($E192:Y192,"µ")+COUNTIF($E192:Y192,1),ColLivraison)=Z$6,
  VLOOKUP($E192,INDIRECT("tri!"&amp; CHAR(64+ C0Col) &amp;":"&amp; CHAR(65+C0Col)),2,FALSE)&gt;COUNTIF($E192:Y192,"u")+COUNTIF($E192:Y192,"t")+COUNTIF($E192:Y192,"¶")+COUNTIF($E192:Y192,"²")+COUNTIF($E192:Y192,"µ")+COUNTIF($E192:Y192,1)),
HYPERLINK("#Roadmap!C"&amp; MATCH($E192,Roadmap!$D:$D,0)+COUNTIF($E192:Y192,"u")+COUNTIF($E192:Y192,"t"),
     INDEX(Roadmap!$D:$K,MATCH($E192,Roadmap!$D:$D,0)+COUNTIF($E192:Y192,"u")+COUNTIF($E192:Y192,"t")+COUNTIF($E192:Y192,"¶")+COUNTIF($E192:Y192,"²")+COUNTIF($E192:Y192,"µ")+COUNTIF($E192:Y192,1),ColTypeEcheance)),
  IF(LEN(Y192)=1,
  IF(LEN(INDEX(Roadmap!$D:$K,MATCH($E192,Roadmap!$D:$D,0)-1+COUNTIF($E192:Y192,"u")+COUNTIF($E192:Y192,"t")+COUNTIF($E192:Y192,"¶")+COUNTIF($E192:Y192,"²")+COUNTIF($E192:Y192,"µ")+COUNTIF($E192:Y192,1),ColDescriptionCourte))&gt;1,
HYPERLINK("#Roadmap!C"&amp; MATCH($E192,Roadmap!$D:$D,0)+COUNTIF($E192:Y192,"u")+COUNTIF($E192:Y192,"t")+COUNTIF($E192:Y192,"¶")+COUNTIF($E192:Y192,"²")+COUNTIF($E192:Y192,"µ")+COUNTIF($E192:Y192,1)-1,INDEX(Roadmap!$D:$K,MATCH($E192,Roadmap!$D:$D,0)-1+COUNTIF($E192:Y192,"u")+COUNTIF($E192:Y192,"t")+COUNTIF($E192:Y192,"¶")+COUNTIF($E192:Y192,"²")+COUNTIF($E192:Y192,"µ")+COUNTIF($E192:Y192,1),ColDescriptionCourte)),""),
  "")),"")</f>
        <v/>
      </c>
      <c r="AA192" s="40" t="str">
        <f ca="1">IFERROR(IF(AND(
  INDEX(Roadmap!$D:$K,MATCH($E192,Roadmap!$D:$D,0)+COUNTIF($E192:Z192,"u")+COUNTIF($E192:Z192,"t")+COUNTIF($E192:Z192,"¶")+COUNTIF($E192:Z192,"²")+COUNTIF($E192:Z192,"µ")+COUNTIF($E192:Z192,1),ColLivraison)=AA$6,
  VLOOKUP($E192,INDIRECT("tri!"&amp; CHAR(64+ C0Col) &amp;":"&amp; CHAR(65+C0Col)),2,FALSE)&gt;COUNTIF($E192:Z192,"u")+COUNTIF($E192:Z192,"t")+COUNTIF($E192:Z192,"¶")+COUNTIF($E192:Z192,"²")+COUNTIF($E192:Z192,"µ")+COUNTIF($E192:Z192,1)),
HYPERLINK("#Roadmap!C"&amp; MATCH($E192,Roadmap!$D:$D,0)+COUNTIF($E192:Z192,"u")+COUNTIF($E192:Z192,"t"),
     INDEX(Roadmap!$D:$K,MATCH($E192,Roadmap!$D:$D,0)+COUNTIF($E192:Z192,"u")+COUNTIF($E192:Z192,"t")+COUNTIF($E192:Z192,"¶")+COUNTIF($E192:Z192,"²")+COUNTIF($E192:Z192,"µ")+COUNTIF($E192:Z192,1),ColTypeEcheance)),
  IF(LEN(Z192)=1,
  IF(LEN(INDEX(Roadmap!$D:$K,MATCH($E192,Roadmap!$D:$D,0)-1+COUNTIF($E192:Z192,"u")+COUNTIF($E192:Z192,"t")+COUNTIF($E192:Z192,"¶")+COUNTIF($E192:Z192,"²")+COUNTIF($E192:Z192,"µ")+COUNTIF($E192:Z192,1),ColDescriptionCourte))&gt;1,
HYPERLINK("#Roadmap!C"&amp; MATCH($E192,Roadmap!$D:$D,0)+COUNTIF($E192:Z192,"u")+COUNTIF($E192:Z192,"t")+COUNTIF($E192:Z192,"¶")+COUNTIF($E192:Z192,"²")+COUNTIF($E192:Z192,"µ")+COUNTIF($E192:Z192,1)-1,INDEX(Roadmap!$D:$K,MATCH($E192,Roadmap!$D:$D,0)-1+COUNTIF($E192:Z192,"u")+COUNTIF($E192:Z192,"t")+COUNTIF($E192:Z192,"¶")+COUNTIF($E192:Z192,"²")+COUNTIF($E192:Z192,"µ")+COUNTIF($E192:Z192,1),ColDescriptionCourte)),""),
  "")),"")</f>
        <v/>
      </c>
      <c r="AB192" s="40" t="str">
        <f ca="1">IFERROR(IF(AND(
  INDEX(Roadmap!$D:$K,MATCH($E192,Roadmap!$D:$D,0)+COUNTIF($E192:AA192,"u")+COUNTIF($E192:AA192,"t")+COUNTIF($E192:AA192,"¶")+COUNTIF($E192:AA192,"²")+COUNTIF($E192:AA192,"µ")+COUNTIF($E192:AA192,1),ColLivraison)=AB$6,
  VLOOKUP($E192,INDIRECT("tri!"&amp; CHAR(64+ C0Col) &amp;":"&amp; CHAR(65+C0Col)),2,FALSE)&gt;COUNTIF($E192:AA192,"u")+COUNTIF($E192:AA192,"t")+COUNTIF($E192:AA192,"¶")+COUNTIF($E192:AA192,"²")+COUNTIF($E192:AA192,"µ")+COUNTIF($E192:AA192,1)),
HYPERLINK("#Roadmap!C"&amp; MATCH($E192,Roadmap!$D:$D,0)+COUNTIF($E192:AA192,"u")+COUNTIF($E192:AA192,"t"),
     INDEX(Roadmap!$D:$K,MATCH($E192,Roadmap!$D:$D,0)+COUNTIF($E192:AA192,"u")+COUNTIF($E192:AA192,"t")+COUNTIF($E192:AA192,"¶")+COUNTIF($E192:AA192,"²")+COUNTIF($E192:AA192,"µ")+COUNTIF($E192:AA192,1),ColTypeEcheance)),
  IF(LEN(AA192)=1,
  IF(LEN(INDEX(Roadmap!$D:$K,MATCH($E192,Roadmap!$D:$D,0)-1+COUNTIF($E192:AA192,"u")+COUNTIF($E192:AA192,"t")+COUNTIF($E192:AA192,"¶")+COUNTIF($E192:AA192,"²")+COUNTIF($E192:AA192,"µ")+COUNTIF($E192:AA192,1),ColDescriptionCourte))&gt;1,
HYPERLINK("#Roadmap!C"&amp; MATCH($E192,Roadmap!$D:$D,0)+COUNTIF($E192:AA192,"u")+COUNTIF($E192:AA192,"t")+COUNTIF($E192:AA192,"¶")+COUNTIF($E192:AA192,"²")+COUNTIF($E192:AA192,"µ")+COUNTIF($E192:AA192,1)-1,INDEX(Roadmap!$D:$K,MATCH($E192,Roadmap!$D:$D,0)-1+COUNTIF($E192:AA192,"u")+COUNTIF($E192:AA192,"t")+COUNTIF($E192:AA192,"¶")+COUNTIF($E192:AA192,"²")+COUNTIF($E192:AA192,"µ")+COUNTIF($E192:AA192,1),ColDescriptionCourte)),""),
  "")),"")</f>
        <v/>
      </c>
      <c r="AC192" s="40" t="str">
        <f ca="1">IFERROR(IF(AND(
  INDEX(Roadmap!$D:$K,MATCH($E192,Roadmap!$D:$D,0)+COUNTIF($E192:AB192,"u")+COUNTIF($E192:AB192,"t")+COUNTIF($E192:AB192,"¶")+COUNTIF($E192:AB192,"²")+COUNTIF($E192:AB192,"µ")+COUNTIF($E192:AB192,1),ColLivraison)=AC$6,
  VLOOKUP($E192,INDIRECT("tri!"&amp; CHAR(64+ C0Col) &amp;":"&amp; CHAR(65+C0Col)),2,FALSE)&gt;COUNTIF($E192:AB192,"u")+COUNTIF($E192:AB192,"t")+COUNTIF($E192:AB192,"¶")+COUNTIF($E192:AB192,"²")+COUNTIF($E192:AB192,"µ")+COUNTIF($E192:AB192,1)),
HYPERLINK("#Roadmap!C"&amp; MATCH($E192,Roadmap!$D:$D,0)+COUNTIF($E192:AB192,"u")+COUNTIF($E192:AB192,"t"),
     INDEX(Roadmap!$D:$K,MATCH($E192,Roadmap!$D:$D,0)+COUNTIF($E192:AB192,"u")+COUNTIF($E192:AB192,"t")+COUNTIF($E192:AB192,"¶")+COUNTIF($E192:AB192,"²")+COUNTIF($E192:AB192,"µ")+COUNTIF($E192:AB192,1),ColTypeEcheance)),
  IF(LEN(AB192)=1,
  IF(LEN(INDEX(Roadmap!$D:$K,MATCH($E192,Roadmap!$D:$D,0)-1+COUNTIF($E192:AB192,"u")+COUNTIF($E192:AB192,"t")+COUNTIF($E192:AB192,"¶")+COUNTIF($E192:AB192,"²")+COUNTIF($E192:AB192,"µ")+COUNTIF($E192:AB192,1),ColDescriptionCourte))&gt;1,
HYPERLINK("#Roadmap!C"&amp; MATCH($E192,Roadmap!$D:$D,0)+COUNTIF($E192:AB192,"u")+COUNTIF($E192:AB192,"t")+COUNTIF($E192:AB192,"¶")+COUNTIF($E192:AB192,"²")+COUNTIF($E192:AB192,"µ")+COUNTIF($E192:AB192,1)-1,INDEX(Roadmap!$D:$K,MATCH($E192,Roadmap!$D:$D,0)-1+COUNTIF($E192:AB192,"u")+COUNTIF($E192:AB192,"t")+COUNTIF($E192:AB192,"¶")+COUNTIF($E192:AB192,"²")+COUNTIF($E192:AB192,"µ")+COUNTIF($E192:AB192,1),ColDescriptionCourte)),""),
  "")),"")</f>
        <v/>
      </c>
      <c r="AD192" s="40" t="str">
        <f ca="1">IFERROR(IF(AND(
  INDEX(Roadmap!$D:$K,MATCH($E192,Roadmap!$D:$D,0)+COUNTIF($E192:AC192,"u")+COUNTIF($E192:AC192,"t")+COUNTIF($E192:AC192,"¶")+COUNTIF($E192:AC192,"²")+COUNTIF($E192:AC192,"µ")+COUNTIF($E192:AC192,1),ColLivraison)=AD$6,
  VLOOKUP($E192,INDIRECT("tri!"&amp; CHAR(64+ C0Col) &amp;":"&amp; CHAR(65+C0Col)),2,FALSE)&gt;COUNTIF($E192:AC192,"u")+COUNTIF($E192:AC192,"t")+COUNTIF($E192:AC192,"¶")+COUNTIF($E192:AC192,"²")+COUNTIF($E192:AC192,"µ")+COUNTIF($E192:AC192,1)),
HYPERLINK("#Roadmap!C"&amp; MATCH($E192,Roadmap!$D:$D,0)+COUNTIF($E192:AC192,"u")+COUNTIF($E192:AC192,"t"),
     INDEX(Roadmap!$D:$K,MATCH($E192,Roadmap!$D:$D,0)+COUNTIF($E192:AC192,"u")+COUNTIF($E192:AC192,"t")+COUNTIF($E192:AC192,"¶")+COUNTIF($E192:AC192,"²")+COUNTIF($E192:AC192,"µ")+COUNTIF($E192:AC192,1),ColTypeEcheance)),
  IF(LEN(AC192)=1,
  IF(LEN(INDEX(Roadmap!$D:$K,MATCH($E192,Roadmap!$D:$D,0)-1+COUNTIF($E192:AC192,"u")+COUNTIF($E192:AC192,"t")+COUNTIF($E192:AC192,"¶")+COUNTIF($E192:AC192,"²")+COUNTIF($E192:AC192,"µ")+COUNTIF($E192:AC192,1),ColDescriptionCourte))&gt;1,
HYPERLINK("#Roadmap!C"&amp; MATCH($E192,Roadmap!$D:$D,0)+COUNTIF($E192:AC192,"u")+COUNTIF($E192:AC192,"t")+COUNTIF($E192:AC192,"¶")+COUNTIF($E192:AC192,"²")+COUNTIF($E192:AC192,"µ")+COUNTIF($E192:AC192,1)-1,INDEX(Roadmap!$D:$K,MATCH($E192,Roadmap!$D:$D,0)-1+COUNTIF($E192:AC192,"u")+COUNTIF($E192:AC192,"t")+COUNTIF($E192:AC192,"¶")+COUNTIF($E192:AC192,"²")+COUNTIF($E192:AC192,"µ")+COUNTIF($E192:AC192,1),ColDescriptionCourte)),""),
  "")),"")</f>
        <v/>
      </c>
      <c r="AE192" s="40" t="str">
        <f ca="1">IFERROR(IF(AND(
  INDEX(Roadmap!$D:$K,MATCH($E192,Roadmap!$D:$D,0)+COUNTIF($E192:AD192,"u")+COUNTIF($E192:AD192,"t")+COUNTIF($E192:AD192,"¶")+COUNTIF($E192:AD192,"²")+COUNTIF($E192:AD192,"µ")+COUNTIF($E192:AD192,1),ColLivraison)=AE$6,
  VLOOKUP($E192,INDIRECT("tri!"&amp; CHAR(64+ C0Col) &amp;":"&amp; CHAR(65+C0Col)),2,FALSE)&gt;COUNTIF($E192:AD192,"u")+COUNTIF($E192:AD192,"t")+COUNTIF($E192:AD192,"¶")+COUNTIF($E192:AD192,"²")+COUNTIF($E192:AD192,"µ")+COUNTIF($E192:AD192,1)),
HYPERLINK("#Roadmap!C"&amp; MATCH($E192,Roadmap!$D:$D,0)+COUNTIF($E192:AD192,"u")+COUNTIF($E192:AD192,"t"),
     INDEX(Roadmap!$D:$K,MATCH($E192,Roadmap!$D:$D,0)+COUNTIF($E192:AD192,"u")+COUNTIF($E192:AD192,"t")+COUNTIF($E192:AD192,"¶")+COUNTIF($E192:AD192,"²")+COUNTIF($E192:AD192,"µ")+COUNTIF($E192:AD192,1),ColTypeEcheance)),
  IF(LEN(AD192)=1,
  IF(LEN(INDEX(Roadmap!$D:$K,MATCH($E192,Roadmap!$D:$D,0)-1+COUNTIF($E192:AD192,"u")+COUNTIF($E192:AD192,"t")+COUNTIF($E192:AD192,"¶")+COUNTIF($E192:AD192,"²")+COUNTIF($E192:AD192,"µ")+COUNTIF($E192:AD192,1),ColDescriptionCourte))&gt;1,
HYPERLINK("#Roadmap!C"&amp; MATCH($E192,Roadmap!$D:$D,0)+COUNTIF($E192:AD192,"u")+COUNTIF($E192:AD192,"t")+COUNTIF($E192:AD192,"¶")+COUNTIF($E192:AD192,"²")+COUNTIF($E192:AD192,"µ")+COUNTIF($E192:AD192,1)-1,INDEX(Roadmap!$D:$K,MATCH($E192,Roadmap!$D:$D,0)-1+COUNTIF($E192:AD192,"u")+COUNTIF($E192:AD192,"t")+COUNTIF($E192:AD192,"¶")+COUNTIF($E192:AD192,"²")+COUNTIF($E192:AD192,"µ")+COUNTIF($E192:AD192,1),ColDescriptionCourte)),""),
  "")),"")</f>
        <v/>
      </c>
      <c r="AF192" s="40" t="str">
        <f ca="1">IFERROR(IF(AND(
  INDEX(Roadmap!$D:$K,MATCH($E192,Roadmap!$D:$D,0)+COUNTIF($E192:AE192,"u")+COUNTIF($E192:AE192,"t")+COUNTIF($E192:AE192,"¶")+COUNTIF($E192:AE192,"²")+COUNTIF($E192:AE192,"µ")+COUNTIF($E192:AE192,1),ColLivraison)=AF$6,
  VLOOKUP($E192,INDIRECT("tri!"&amp; CHAR(64+ C0Col) &amp;":"&amp; CHAR(65+C0Col)),2,FALSE)&gt;COUNTIF($E192:AE192,"u")+COUNTIF($E192:AE192,"t")+COUNTIF($E192:AE192,"¶")+COUNTIF($E192:AE192,"²")+COUNTIF($E192:AE192,"µ")+COUNTIF($E192:AE192,1)),
HYPERLINK("#Roadmap!C"&amp; MATCH($E192,Roadmap!$D:$D,0)+COUNTIF($E192:AE192,"u")+COUNTIF($E192:AE192,"t"),
     INDEX(Roadmap!$D:$K,MATCH($E192,Roadmap!$D:$D,0)+COUNTIF($E192:AE192,"u")+COUNTIF($E192:AE192,"t")+COUNTIF($E192:AE192,"¶")+COUNTIF($E192:AE192,"²")+COUNTIF($E192:AE192,"µ")+COUNTIF($E192:AE192,1),ColTypeEcheance)),
  IF(LEN(AE192)=1,
  IF(LEN(INDEX(Roadmap!$D:$K,MATCH($E192,Roadmap!$D:$D,0)-1+COUNTIF($E192:AE192,"u")+COUNTIF($E192:AE192,"t")+COUNTIF($E192:AE192,"¶")+COUNTIF($E192:AE192,"²")+COUNTIF($E192:AE192,"µ")+COUNTIF($E192:AE192,1),ColDescriptionCourte))&gt;1,
HYPERLINK("#Roadmap!C"&amp; MATCH($E192,Roadmap!$D:$D,0)+COUNTIF($E192:AE192,"u")+COUNTIF($E192:AE192,"t")+COUNTIF($E192:AE192,"¶")+COUNTIF($E192:AE192,"²")+COUNTIF($E192:AE192,"µ")+COUNTIF($E192:AE192,1)-1,INDEX(Roadmap!$D:$K,MATCH($E192,Roadmap!$D:$D,0)-1+COUNTIF($E192:AE192,"u")+COUNTIF($E192:AE192,"t")+COUNTIF($E192:AE192,"¶")+COUNTIF($E192:AE192,"²")+COUNTIF($E192:AE192,"µ")+COUNTIF($E192:AE192,1),ColDescriptionCourte)),""),
  "")),"")</f>
        <v/>
      </c>
      <c r="AG192" s="40" t="str">
        <f ca="1">IFERROR(IF(AND(
  INDEX(Roadmap!$D:$K,MATCH($E192,Roadmap!$D:$D,0)+COUNTIF($E192:AF192,"u")+COUNTIF($E192:AF192,"t")+COUNTIF($E192:AF192,"¶")+COUNTIF($E192:AF192,"²")+COUNTIF($E192:AF192,"µ")+COUNTIF($E192:AF192,1),ColLivraison)=AG$6,
  VLOOKUP($E192,INDIRECT("tri!"&amp; CHAR(64+ C0Col) &amp;":"&amp; CHAR(65+C0Col)),2,FALSE)&gt;COUNTIF($E192:AF192,"u")+COUNTIF($E192:AF192,"t")+COUNTIF($E192:AF192,"¶")+COUNTIF($E192:AF192,"²")+COUNTIF($E192:AF192,"µ")+COUNTIF($E192:AF192,1)),
HYPERLINK("#Roadmap!C"&amp; MATCH($E192,Roadmap!$D:$D,0)+COUNTIF($E192:AF192,"u")+COUNTIF($E192:AF192,"t"),
     INDEX(Roadmap!$D:$K,MATCH($E192,Roadmap!$D:$D,0)+COUNTIF($E192:AF192,"u")+COUNTIF($E192:AF192,"t")+COUNTIF($E192:AF192,"¶")+COUNTIF($E192:AF192,"²")+COUNTIF($E192:AF192,"µ")+COUNTIF($E192:AF192,1),ColTypeEcheance)),
  IF(LEN(AF192)=1,
  IF(LEN(INDEX(Roadmap!$D:$K,MATCH($E192,Roadmap!$D:$D,0)-1+COUNTIF($E192:AF192,"u")+COUNTIF($E192:AF192,"t")+COUNTIF($E192:AF192,"¶")+COUNTIF($E192:AF192,"²")+COUNTIF($E192:AF192,"µ")+COUNTIF($E192:AF192,1),ColDescriptionCourte))&gt;1,
HYPERLINK("#Roadmap!C"&amp; MATCH($E192,Roadmap!$D:$D,0)+COUNTIF($E192:AF192,"u")+COUNTIF($E192:AF192,"t")+COUNTIF($E192:AF192,"¶")+COUNTIF($E192:AF192,"²")+COUNTIF($E192:AF192,"µ")+COUNTIF($E192:AF192,1)-1,INDEX(Roadmap!$D:$K,MATCH($E192,Roadmap!$D:$D,0)-1+COUNTIF($E192:AF192,"u")+COUNTIF($E192:AF192,"t")+COUNTIF($E192:AF192,"¶")+COUNTIF($E192:AF192,"²")+COUNTIF($E192:AF192,"µ")+COUNTIF($E192:AF192,1),ColDescriptionCourte)),""),
  "")),"")</f>
        <v/>
      </c>
    </row>
    <row r="193" spans="3:33" ht="14.25" customHeight="1">
      <c r="C193" s="1" t="str">
        <f t="shared" ca="1" si="54"/>
        <v/>
      </c>
      <c r="D193" s="1" t="str">
        <f t="shared" ca="1" si="55"/>
        <v/>
      </c>
      <c r="E193" s="35" t="str">
        <f t="shared" ca="1" si="51"/>
        <v/>
      </c>
      <c r="F193" s="39" t="str">
        <f ca="1">IFERROR(IF(AND(
  INDEX(Roadmap!$D:$K,MATCH($E193,Roadmap!$D:$D,0)+COUNTIF($E193:E193,"u")+COUNTIF($E193:E193,"t")+COUNTIF($E193:E193,"¶")+COUNTIF($E193:E193,"²")+COUNTIF($E193:E193,"µ")+COUNTIF($E193:E193,1),ColLivraison)=F$6,
  VLOOKUP($E193,INDIRECT("tri!"&amp; CHAR(64+ C0Col) &amp;":"&amp; CHAR(65+C0Col)),2,FALSE)&gt;COUNTIF($E193:E193,"u")+COUNTIF($E193:E193,"t")+COUNTIF($E193:E193,"¶")+COUNTIF($E193:E193,"²")+COUNTIF($E193:E193,"µ")+COUNTIF($E193:E193,1)),
HYPERLINK("#Roadmap!C"&amp; MATCH($E193,Roadmap!$D:$D,0)+COUNTIF($E193:E193,"u")+COUNTIF($E193:E193,"t"),
     INDEX(Roadmap!$D:$K,MATCH($E193,Roadmap!$D:$D,0)+COUNTIF($E193:E193,"u")+COUNTIF($E193:E193,"t")+COUNTIF($E193:E193,"¶")+COUNTIF($E193:E193,"²")+COUNTIF($E193:E193,"µ")+COUNTIF($E193:E193,1),ColTypeEcheance)),
  IF(LEN(E193)=1,
  IF(LEN(INDEX(Roadmap!$D:$K,MATCH($E193,Roadmap!$D:$D,0)-1+COUNTIF($E193:E193,"u")+COUNTIF($E193:E193,"t")+COUNTIF($E193:E193,"¶")+COUNTIF($E193:E193,"²")+COUNTIF($E193:E193,"µ")+COUNTIF($E193:E193,1),ColDescriptionCourte))&gt;1,
HYPERLINK("#Roadmap!C"&amp; MATCH($E193,Roadmap!$D:$D,0)+COUNTIF($E193:E193,"u")+COUNTIF($E193:E193,"t")+COUNTIF($E193:E193,"¶")+COUNTIF($E193:E193,"²")+COUNTIF($E193:E193,"µ")+COUNTIF($E193:E193,1)-1,INDEX(Roadmap!$D:$K,MATCH($E193,Roadmap!$D:$D,0)-1+COUNTIF($E193:E193,"u")+COUNTIF($E193:E193,"t")+COUNTIF($E193:E193,"¶")+COUNTIF($E193:E193,"²")+COUNTIF($E193:E193,"µ")+COUNTIF($E193:E193,1),ColDescriptionCourte)),""),
  "")),"")</f>
        <v/>
      </c>
      <c r="G193" s="40" t="str">
        <f ca="1">IFERROR(IF(AND(
  INDEX(Roadmap!$D:$K,MATCH($E193,Roadmap!$D:$D,0)+COUNTIF($E193:F193,"u")+COUNTIF($E193:F193,"t")+COUNTIF($E193:F193,"¶")+COUNTIF($E193:F193,"²")+COUNTIF($E193:F193,"µ")+COUNTIF($E193:F193,1),ColLivraison)=G$6,
  VLOOKUP($E193,INDIRECT("tri!"&amp; CHAR(64+ C0Col) &amp;":"&amp; CHAR(65+C0Col)),2,FALSE)&gt;COUNTIF($E193:F193,"u")+COUNTIF($E193:F193,"t")+COUNTIF($E193:F193,"¶")+COUNTIF($E193:F193,"²")+COUNTIF($E193:F193,"µ")+COUNTIF($E193:F193,1)),
HYPERLINK("#Roadmap!C"&amp; MATCH($E193,Roadmap!$D:$D,0)+COUNTIF($E193:F193,"u")+COUNTIF($E193:F193,"t"),
     INDEX(Roadmap!$D:$K,MATCH($E193,Roadmap!$D:$D,0)+COUNTIF($E193:F193,"u")+COUNTIF($E193:F193,"t")+COUNTIF($E193:F193,"¶")+COUNTIF($E193:F193,"²")+COUNTIF($E193:F193,"µ")+COUNTIF($E193:F193,1),ColTypeEcheance)),
  IF(LEN(F193)=1,
  IF(LEN(INDEX(Roadmap!$D:$K,MATCH($E193,Roadmap!$D:$D,0)-1+COUNTIF($E193:F193,"u")+COUNTIF($E193:F193,"t")+COUNTIF($E193:F193,"¶")+COUNTIF($E193:F193,"²")+COUNTIF($E193:F193,"µ")+COUNTIF($E193:F193,1),ColDescriptionCourte))&gt;1,
HYPERLINK("#Roadmap!C"&amp; MATCH($E193,Roadmap!$D:$D,0)+COUNTIF($E193:F193,"u")+COUNTIF($E193:F193,"t")+COUNTIF($E193:F193,"¶")+COUNTIF($E193:F193,"²")+COUNTIF($E193:F193,"µ")+COUNTIF($E193:F193,1)-1,INDEX(Roadmap!$D:$K,MATCH($E193,Roadmap!$D:$D,0)-1+COUNTIF($E193:F193,"u")+COUNTIF($E193:F193,"t")+COUNTIF($E193:F193,"¶")+COUNTIF($E193:F193,"²")+COUNTIF($E193:F193,"µ")+COUNTIF($E193:F193,1),ColDescriptionCourte)),""),
  "")),"")</f>
        <v/>
      </c>
      <c r="H193" s="40" t="str">
        <f ca="1">IFERROR(IF(AND(
  INDEX(Roadmap!$D:$K,MATCH($E193,Roadmap!$D:$D,0)+COUNTIF($E193:G193,"u")+COUNTIF($E193:G193,"t")+COUNTIF($E193:G193,"¶")+COUNTIF($E193:G193,"²")+COUNTIF($E193:G193,"µ")+COUNTIF($E193:G193,1),ColLivraison)=H$6,
  VLOOKUP($E193,INDIRECT("tri!"&amp; CHAR(64+ C0Col) &amp;":"&amp; CHAR(65+C0Col)),2,FALSE)&gt;COUNTIF($E193:G193,"u")+COUNTIF($E193:G193,"t")+COUNTIF($E193:G193,"¶")+COUNTIF($E193:G193,"²")+COUNTIF($E193:G193,"µ")+COUNTIF($E193:G193,1)),
HYPERLINK("#Roadmap!C"&amp; MATCH($E193,Roadmap!$D:$D,0)+COUNTIF($E193:G193,"u")+COUNTIF($E193:G193,"t"),
     INDEX(Roadmap!$D:$K,MATCH($E193,Roadmap!$D:$D,0)+COUNTIF($E193:G193,"u")+COUNTIF($E193:G193,"t")+COUNTIF($E193:G193,"¶")+COUNTIF($E193:G193,"²")+COUNTIF($E193:G193,"µ")+COUNTIF($E193:G193,1),ColTypeEcheance)),
  IF(LEN(G193)=1,
  IF(LEN(INDEX(Roadmap!$D:$K,MATCH($E193,Roadmap!$D:$D,0)-1+COUNTIF($E193:G193,"u")+COUNTIF($E193:G193,"t")+COUNTIF($E193:G193,"¶")+COUNTIF($E193:G193,"²")+COUNTIF($E193:G193,"µ")+COUNTIF($E193:G193,1),ColDescriptionCourte))&gt;1,
HYPERLINK("#Roadmap!C"&amp; MATCH($E193,Roadmap!$D:$D,0)+COUNTIF($E193:G193,"u")+COUNTIF($E193:G193,"t")+COUNTIF($E193:G193,"¶")+COUNTIF($E193:G193,"²")+COUNTIF($E193:G193,"µ")+COUNTIF($E193:G193,1)-1,INDEX(Roadmap!$D:$K,MATCH($E193,Roadmap!$D:$D,0)-1+COUNTIF($E193:G193,"u")+COUNTIF($E193:G193,"t")+COUNTIF($E193:G193,"¶")+COUNTIF($E193:G193,"²")+COUNTIF($E193:G193,"µ")+COUNTIF($E193:G193,1),ColDescriptionCourte)),""),
  "")),"")</f>
        <v/>
      </c>
      <c r="I193" s="40" t="str">
        <f ca="1">IFERROR(IF(AND(
  INDEX(Roadmap!$D:$K,MATCH($E193,Roadmap!$D:$D,0)+COUNTIF($E193:H193,"u")+COUNTIF($E193:H193,"t")+COUNTIF($E193:H193,"¶")+COUNTIF($E193:H193,"²")+COUNTIF($E193:H193,"µ")+COUNTIF($E193:H193,1),ColLivraison)=I$6,
  VLOOKUP($E193,INDIRECT("tri!"&amp; CHAR(64+ C0Col) &amp;":"&amp; CHAR(65+C0Col)),2,FALSE)&gt;COUNTIF($E193:H193,"u")+COUNTIF($E193:H193,"t")+COUNTIF($E193:H193,"¶")+COUNTIF($E193:H193,"²")+COUNTIF($E193:H193,"µ")+COUNTIF($E193:H193,1)),
HYPERLINK("#Roadmap!C"&amp; MATCH($E193,Roadmap!$D:$D,0)+COUNTIF($E193:H193,"u")+COUNTIF($E193:H193,"t"),
     INDEX(Roadmap!$D:$K,MATCH($E193,Roadmap!$D:$D,0)+COUNTIF($E193:H193,"u")+COUNTIF($E193:H193,"t")+COUNTIF($E193:H193,"¶")+COUNTIF($E193:H193,"²")+COUNTIF($E193:H193,"µ")+COUNTIF($E193:H193,1),ColTypeEcheance)),
  IF(LEN(H193)=1,
  IF(LEN(INDEX(Roadmap!$D:$K,MATCH($E193,Roadmap!$D:$D,0)-1+COUNTIF($E193:H193,"u")+COUNTIF($E193:H193,"t")+COUNTIF($E193:H193,"¶")+COUNTIF($E193:H193,"²")+COUNTIF($E193:H193,"µ")+COUNTIF($E193:H193,1),ColDescriptionCourte))&gt;1,
HYPERLINK("#Roadmap!C"&amp; MATCH($E193,Roadmap!$D:$D,0)+COUNTIF($E193:H193,"u")+COUNTIF($E193:H193,"t")+COUNTIF($E193:H193,"¶")+COUNTIF($E193:H193,"²")+COUNTIF($E193:H193,"µ")+COUNTIF($E193:H193,1)-1,INDEX(Roadmap!$D:$K,MATCH($E193,Roadmap!$D:$D,0)-1+COUNTIF($E193:H193,"u")+COUNTIF($E193:H193,"t")+COUNTIF($E193:H193,"¶")+COUNTIF($E193:H193,"²")+COUNTIF($E193:H193,"µ")+COUNTIF($E193:H193,1),ColDescriptionCourte)),""),
  "")),"")</f>
        <v/>
      </c>
      <c r="J193" s="40" t="str">
        <f ca="1">IFERROR(IF(AND(
  INDEX(Roadmap!$D:$K,MATCH($E193,Roadmap!$D:$D,0)+COUNTIF($E193:I193,"u")+COUNTIF($E193:I193,"t")+COUNTIF($E193:I193,"¶")+COUNTIF($E193:I193,"²")+COUNTIF($E193:I193,"µ")+COUNTIF($E193:I193,1),ColLivraison)=J$6,
  VLOOKUP($E193,INDIRECT("tri!"&amp; CHAR(64+ C0Col) &amp;":"&amp; CHAR(65+C0Col)),2,FALSE)&gt;COUNTIF($E193:I193,"u")+COUNTIF($E193:I193,"t")+COUNTIF($E193:I193,"¶")+COUNTIF($E193:I193,"²")+COUNTIF($E193:I193,"µ")+COUNTIF($E193:I193,1)),
HYPERLINK("#Roadmap!C"&amp; MATCH($E193,Roadmap!$D:$D,0)+COUNTIF($E193:I193,"u")+COUNTIF($E193:I193,"t"),
     INDEX(Roadmap!$D:$K,MATCH($E193,Roadmap!$D:$D,0)+COUNTIF($E193:I193,"u")+COUNTIF($E193:I193,"t")+COUNTIF($E193:I193,"¶")+COUNTIF($E193:I193,"²")+COUNTIF($E193:I193,"µ")+COUNTIF($E193:I193,1),ColTypeEcheance)),
  IF(LEN(I193)=1,
  IF(LEN(INDEX(Roadmap!$D:$K,MATCH($E193,Roadmap!$D:$D,0)-1+COUNTIF($E193:I193,"u")+COUNTIF($E193:I193,"t")+COUNTIF($E193:I193,"¶")+COUNTIF($E193:I193,"²")+COUNTIF($E193:I193,"µ")+COUNTIF($E193:I193,1),ColDescriptionCourte))&gt;1,
HYPERLINK("#Roadmap!C"&amp; MATCH($E193,Roadmap!$D:$D,0)+COUNTIF($E193:I193,"u")+COUNTIF($E193:I193,"t")+COUNTIF($E193:I193,"¶")+COUNTIF($E193:I193,"²")+COUNTIF($E193:I193,"µ")+COUNTIF($E193:I193,1)-1,INDEX(Roadmap!$D:$K,MATCH($E193,Roadmap!$D:$D,0)-1+COUNTIF($E193:I193,"u")+COUNTIF($E193:I193,"t")+COUNTIF($E193:I193,"¶")+COUNTIF($E193:I193,"²")+COUNTIF($E193:I193,"µ")+COUNTIF($E193:I193,1),ColDescriptionCourte)),""),
  "")),"")</f>
        <v/>
      </c>
      <c r="K193" s="40" t="str">
        <f ca="1">IFERROR(IF(AND(
  INDEX(Roadmap!$D:$K,MATCH($E193,Roadmap!$D:$D,0)+COUNTIF($E193:J193,"u")+COUNTIF($E193:J193,"t")+COUNTIF($E193:J193,"¶")+COUNTIF($E193:J193,"²")+COUNTIF($E193:J193,"µ")+COUNTIF($E193:J193,1),ColLivraison)=K$6,
  VLOOKUP($E193,INDIRECT("tri!"&amp; CHAR(64+ C0Col) &amp;":"&amp; CHAR(65+C0Col)),2,FALSE)&gt;COUNTIF($E193:J193,"u")+COUNTIF($E193:J193,"t")+COUNTIF($E193:J193,"¶")+COUNTIF($E193:J193,"²")+COUNTIF($E193:J193,"µ")+COUNTIF($E193:J193,1)),
HYPERLINK("#Roadmap!C"&amp; MATCH($E193,Roadmap!$D:$D,0)+COUNTIF($E193:J193,"u")+COUNTIF($E193:J193,"t"),
     INDEX(Roadmap!$D:$K,MATCH($E193,Roadmap!$D:$D,0)+COUNTIF($E193:J193,"u")+COUNTIF($E193:J193,"t")+COUNTIF($E193:J193,"¶")+COUNTIF($E193:J193,"²")+COUNTIF($E193:J193,"µ")+COUNTIF($E193:J193,1),ColTypeEcheance)),
  IF(LEN(J193)=1,
  IF(LEN(INDEX(Roadmap!$D:$K,MATCH($E193,Roadmap!$D:$D,0)-1+COUNTIF($E193:J193,"u")+COUNTIF($E193:J193,"t")+COUNTIF($E193:J193,"¶")+COUNTIF($E193:J193,"²")+COUNTIF($E193:J193,"µ")+COUNTIF($E193:J193,1),ColDescriptionCourte))&gt;1,
HYPERLINK("#Roadmap!C"&amp; MATCH($E193,Roadmap!$D:$D,0)+COUNTIF($E193:J193,"u")+COUNTIF($E193:J193,"t")+COUNTIF($E193:J193,"¶")+COUNTIF($E193:J193,"²")+COUNTIF($E193:J193,"µ")+COUNTIF($E193:J193,1)-1,INDEX(Roadmap!$D:$K,MATCH($E193,Roadmap!$D:$D,0)-1+COUNTIF($E193:J193,"u")+COUNTIF($E193:J193,"t")+COUNTIF($E193:J193,"¶")+COUNTIF($E193:J193,"²")+COUNTIF($E193:J193,"µ")+COUNTIF($E193:J193,1),ColDescriptionCourte)),""),
  "")),"")</f>
        <v/>
      </c>
      <c r="L193" s="39" t="str">
        <f ca="1">IFERROR(IF(AND(
  INDEX(Roadmap!$D:$K,MATCH($E193,Roadmap!$D:$D,0)+COUNTIF($E193:K193,"u")+COUNTIF($E193:K193,"t")+COUNTIF($E193:K193,"¶")+COUNTIF($E193:K193,"²")+COUNTIF($E193:K193,"µ")+COUNTIF($E193:K193,1),ColLivraison)=L$6,
  VLOOKUP($E193,INDIRECT("tri!"&amp; CHAR(64+ C0Col) &amp;":"&amp; CHAR(65+C0Col)),2,FALSE)&gt;COUNTIF($E193:K193,"u")+COUNTIF($E193:K193,"t")+COUNTIF($E193:K193,"¶")+COUNTIF($E193:K193,"²")+COUNTIF($E193:K193,"µ")+COUNTIF($E193:K193,1)),
HYPERLINK("#Roadmap!C"&amp; MATCH($E193,Roadmap!$D:$D,0)+COUNTIF($E193:K193,"u")+COUNTIF($E193:K193,"t"),
     INDEX(Roadmap!$D:$K,MATCH($E193,Roadmap!$D:$D,0)+COUNTIF($E193:K193,"u")+COUNTIF($E193:K193,"t")+COUNTIF($E193:K193,"¶")+COUNTIF($E193:K193,"²")+COUNTIF($E193:K193,"µ")+COUNTIF($E193:K193,1),ColTypeEcheance)),
  IF(LEN(K193)=1,
  IF(LEN(INDEX(Roadmap!$D:$K,MATCH($E193,Roadmap!$D:$D,0)-1+COUNTIF($E193:K193,"u")+COUNTIF($E193:K193,"t")+COUNTIF($E193:K193,"¶")+COUNTIF($E193:K193,"²")+COUNTIF($E193:K193,"µ")+COUNTIF($E193:K193,1),ColDescriptionCourte))&gt;1,
HYPERLINK("#Roadmap!C"&amp; MATCH($E193,Roadmap!$D:$D,0)+COUNTIF($E193:K193,"u")+COUNTIF($E193:K193,"t")+COUNTIF($E193:K193,"¶")+COUNTIF($E193:K193,"²")+COUNTIF($E193:K193,"µ")+COUNTIF($E193:K193,1)-1,INDEX(Roadmap!$D:$K,MATCH($E193,Roadmap!$D:$D,0)-1+COUNTIF($E193:K193,"u")+COUNTIF($E193:K193,"t")+COUNTIF($E193:K193,"¶")+COUNTIF($E193:K193,"²")+COUNTIF($E193:K193,"µ")+COUNTIF($E193:K193,1),ColDescriptionCourte)),""),
  "")),"")</f>
        <v/>
      </c>
      <c r="M193" s="40" t="str">
        <f ca="1">IFERROR(IF(AND(
  INDEX(Roadmap!$D:$K,MATCH($E193,Roadmap!$D:$D,0)+COUNTIF($E193:L193,"u")+COUNTIF($E193:L193,"t")+COUNTIF($E193:L193,"¶")+COUNTIF($E193:L193,"²")+COUNTIF($E193:L193,"µ")+COUNTIF($E193:L193,1),ColLivraison)=M$6,
  VLOOKUP($E193,INDIRECT("tri!"&amp; CHAR(64+ C0Col) &amp;":"&amp; CHAR(65+C0Col)),2,FALSE)&gt;COUNTIF($E193:L193,"u")+COUNTIF($E193:L193,"t")+COUNTIF($E193:L193,"¶")+COUNTIF($E193:L193,"²")+COUNTIF($E193:L193,"µ")+COUNTIF($E193:L193,1)),
HYPERLINK("#Roadmap!C"&amp; MATCH($E193,Roadmap!$D:$D,0)+COUNTIF($E193:L193,"u")+COUNTIF($E193:L193,"t"),
     INDEX(Roadmap!$D:$K,MATCH($E193,Roadmap!$D:$D,0)+COUNTIF($E193:L193,"u")+COUNTIF($E193:L193,"t")+COUNTIF($E193:L193,"¶")+COUNTIF($E193:L193,"²")+COUNTIF($E193:L193,"µ")+COUNTIF($E193:L193,1),ColTypeEcheance)),
  IF(LEN(L193)=1,
  IF(LEN(INDEX(Roadmap!$D:$K,MATCH($E193,Roadmap!$D:$D,0)-1+COUNTIF($E193:L193,"u")+COUNTIF($E193:L193,"t")+COUNTIF($E193:L193,"¶")+COUNTIF($E193:L193,"²")+COUNTIF($E193:L193,"µ")+COUNTIF($E193:L193,1),ColDescriptionCourte))&gt;1,
HYPERLINK("#Roadmap!C"&amp; MATCH($E193,Roadmap!$D:$D,0)+COUNTIF($E193:L193,"u")+COUNTIF($E193:L193,"t")+COUNTIF($E193:L193,"¶")+COUNTIF($E193:L193,"²")+COUNTIF($E193:L193,"µ")+COUNTIF($E193:L193,1)-1,INDEX(Roadmap!$D:$K,MATCH($E193,Roadmap!$D:$D,0)-1+COUNTIF($E193:L193,"u")+COUNTIF($E193:L193,"t")+COUNTIF($E193:L193,"¶")+COUNTIF($E193:L193,"²")+COUNTIF($E193:L193,"µ")+COUNTIF($E193:L193,1),ColDescriptionCourte)),""),
  "")),"")</f>
        <v/>
      </c>
      <c r="N193" s="40" t="str">
        <f ca="1">IFERROR(IF(AND(
  INDEX(Roadmap!$D:$K,MATCH($E193,Roadmap!$D:$D,0)+COUNTIF($E193:M193,"u")+COUNTIF($E193:M193,"t")+COUNTIF($E193:M193,"¶")+COUNTIF($E193:M193,"²")+COUNTIF($E193:M193,"µ")+COUNTIF($E193:M193,1),ColLivraison)=N$6,
  VLOOKUP($E193,INDIRECT("tri!"&amp; CHAR(64+ C0Col) &amp;":"&amp; CHAR(65+C0Col)),2,FALSE)&gt;COUNTIF($E193:M193,"u")+COUNTIF($E193:M193,"t")+COUNTIF($E193:M193,"¶")+COUNTIF($E193:M193,"²")+COUNTIF($E193:M193,"µ")+COUNTIF($E193:M193,1)),
HYPERLINK("#Roadmap!C"&amp; MATCH($E193,Roadmap!$D:$D,0)+COUNTIF($E193:M193,"u")+COUNTIF($E193:M193,"t"),
     INDEX(Roadmap!$D:$K,MATCH($E193,Roadmap!$D:$D,0)+COUNTIF($E193:M193,"u")+COUNTIF($E193:M193,"t")+COUNTIF($E193:M193,"¶")+COUNTIF($E193:M193,"²")+COUNTIF($E193:M193,"µ")+COUNTIF($E193:M193,1),ColTypeEcheance)),
  IF(LEN(M193)=1,
  IF(LEN(INDEX(Roadmap!$D:$K,MATCH($E193,Roadmap!$D:$D,0)-1+COUNTIF($E193:M193,"u")+COUNTIF($E193:M193,"t")+COUNTIF($E193:M193,"¶")+COUNTIF($E193:M193,"²")+COUNTIF($E193:M193,"µ")+COUNTIF($E193:M193,1),ColDescriptionCourte))&gt;1,
HYPERLINK("#Roadmap!C"&amp; MATCH($E193,Roadmap!$D:$D,0)+COUNTIF($E193:M193,"u")+COUNTIF($E193:M193,"t")+COUNTIF($E193:M193,"¶")+COUNTIF($E193:M193,"²")+COUNTIF($E193:M193,"µ")+COUNTIF($E193:M193,1)-1,INDEX(Roadmap!$D:$K,MATCH($E193,Roadmap!$D:$D,0)-1+COUNTIF($E193:M193,"u")+COUNTIF($E193:M193,"t")+COUNTIF($E193:M193,"¶")+COUNTIF($E193:M193,"²")+COUNTIF($E193:M193,"µ")+COUNTIF($E193:M193,1),ColDescriptionCourte)),""),
  "")),"")</f>
        <v/>
      </c>
      <c r="O193" s="40" t="str">
        <f ca="1">IFERROR(IF(AND(
  INDEX(Roadmap!$D:$K,MATCH($E193,Roadmap!$D:$D,0)+COUNTIF($E193:N193,"u")+COUNTIF($E193:N193,"t")+COUNTIF($E193:N193,"¶")+COUNTIF($E193:N193,"²")+COUNTIF($E193:N193,"µ")+COUNTIF($E193:N193,1),ColLivraison)=O$6,
  VLOOKUP($E193,INDIRECT("tri!"&amp; CHAR(64+ C0Col) &amp;":"&amp; CHAR(65+C0Col)),2,FALSE)&gt;COUNTIF($E193:N193,"u")+COUNTIF($E193:N193,"t")+COUNTIF($E193:N193,"¶")+COUNTIF($E193:N193,"²")+COUNTIF($E193:N193,"µ")+COUNTIF($E193:N193,1)),
HYPERLINK("#Roadmap!C"&amp; MATCH($E193,Roadmap!$D:$D,0)+COUNTIF($E193:N193,"u")+COUNTIF($E193:N193,"t"),
     INDEX(Roadmap!$D:$K,MATCH($E193,Roadmap!$D:$D,0)+COUNTIF($E193:N193,"u")+COUNTIF($E193:N193,"t")+COUNTIF($E193:N193,"¶")+COUNTIF($E193:N193,"²")+COUNTIF($E193:N193,"µ")+COUNTIF($E193:N193,1),ColTypeEcheance)),
  IF(LEN(N193)=1,
  IF(LEN(INDEX(Roadmap!$D:$K,MATCH($E193,Roadmap!$D:$D,0)-1+COUNTIF($E193:N193,"u")+COUNTIF($E193:N193,"t")+COUNTIF($E193:N193,"¶")+COUNTIF($E193:N193,"²")+COUNTIF($E193:N193,"µ")+COUNTIF($E193:N193,1),ColDescriptionCourte))&gt;1,
HYPERLINK("#Roadmap!C"&amp; MATCH($E193,Roadmap!$D:$D,0)+COUNTIF($E193:N193,"u")+COUNTIF($E193:N193,"t")+COUNTIF($E193:N193,"¶")+COUNTIF($E193:N193,"²")+COUNTIF($E193:N193,"µ")+COUNTIF($E193:N193,1)-1,INDEX(Roadmap!$D:$K,MATCH($E193,Roadmap!$D:$D,0)-1+COUNTIF($E193:N193,"u")+COUNTIF($E193:N193,"t")+COUNTIF($E193:N193,"¶")+COUNTIF($E193:N193,"²")+COUNTIF($E193:N193,"µ")+COUNTIF($E193:N193,1),ColDescriptionCourte)),""),
  "")),"")</f>
        <v/>
      </c>
      <c r="P193" s="40" t="str">
        <f ca="1">IFERROR(IF(AND(
  INDEX(Roadmap!$D:$K,MATCH($E193,Roadmap!$D:$D,0)+COUNTIF($E193:O193,"u")+COUNTIF($E193:O193,"t")+COUNTIF($E193:O193,"¶")+COUNTIF($E193:O193,"²")+COUNTIF($E193:O193,"µ")+COUNTIF($E193:O193,1),ColLivraison)=P$6,
  VLOOKUP($E193,INDIRECT("tri!"&amp; CHAR(64+ C0Col) &amp;":"&amp; CHAR(65+C0Col)),2,FALSE)&gt;COUNTIF($E193:O193,"u")+COUNTIF($E193:O193,"t")+COUNTIF($E193:O193,"¶")+COUNTIF($E193:O193,"²")+COUNTIF($E193:O193,"µ")+COUNTIF($E193:O193,1)),
HYPERLINK("#Roadmap!C"&amp; MATCH($E193,Roadmap!$D:$D,0)+COUNTIF($E193:O193,"u")+COUNTIF($E193:O193,"t"),
     INDEX(Roadmap!$D:$K,MATCH($E193,Roadmap!$D:$D,0)+COUNTIF($E193:O193,"u")+COUNTIF($E193:O193,"t")+COUNTIF($E193:O193,"¶")+COUNTIF($E193:O193,"²")+COUNTIF($E193:O193,"µ")+COUNTIF($E193:O193,1),ColTypeEcheance)),
  IF(LEN(O193)=1,
  IF(LEN(INDEX(Roadmap!$D:$K,MATCH($E193,Roadmap!$D:$D,0)-1+COUNTIF($E193:O193,"u")+COUNTIF($E193:O193,"t")+COUNTIF($E193:O193,"¶")+COUNTIF($E193:O193,"²")+COUNTIF($E193:O193,"µ")+COUNTIF($E193:O193,1),ColDescriptionCourte))&gt;1,
HYPERLINK("#Roadmap!C"&amp; MATCH($E193,Roadmap!$D:$D,0)+COUNTIF($E193:O193,"u")+COUNTIF($E193:O193,"t")+COUNTIF($E193:O193,"¶")+COUNTIF($E193:O193,"²")+COUNTIF($E193:O193,"µ")+COUNTIF($E193:O193,1)-1,INDEX(Roadmap!$D:$K,MATCH($E193,Roadmap!$D:$D,0)-1+COUNTIF($E193:O193,"u")+COUNTIF($E193:O193,"t")+COUNTIF($E193:O193,"¶")+COUNTIF($E193:O193,"²")+COUNTIF($E193:O193,"µ")+COUNTIF($E193:O193,1),ColDescriptionCourte)),""),
  "")),"")</f>
        <v/>
      </c>
      <c r="Q193" s="40" t="str">
        <f ca="1">IFERROR(IF(AND(
  INDEX(Roadmap!$D:$K,MATCH($E193,Roadmap!$D:$D,0)+COUNTIF($E193:P193,"u")+COUNTIF($E193:P193,"t")+COUNTIF($E193:P193,"¶")+COUNTIF($E193:P193,"²")+COUNTIF($E193:P193,"µ")+COUNTIF($E193:P193,1),ColLivraison)=Q$6,
  VLOOKUP($E193,INDIRECT("tri!"&amp; CHAR(64+ C0Col) &amp;":"&amp; CHAR(65+C0Col)),2,FALSE)&gt;COUNTIF($E193:P193,"u")+COUNTIF($E193:P193,"t")+COUNTIF($E193:P193,"¶")+COUNTIF($E193:P193,"²")+COUNTIF($E193:P193,"µ")+COUNTIF($E193:P193,1)),
HYPERLINK("#Roadmap!C"&amp; MATCH($E193,Roadmap!$D:$D,0)+COUNTIF($E193:P193,"u")+COUNTIF($E193:P193,"t"),
     INDEX(Roadmap!$D:$K,MATCH($E193,Roadmap!$D:$D,0)+COUNTIF($E193:P193,"u")+COUNTIF($E193:P193,"t")+COUNTIF($E193:P193,"¶")+COUNTIF($E193:P193,"²")+COUNTIF($E193:P193,"µ")+COUNTIF($E193:P193,1),ColTypeEcheance)),
  IF(LEN(P193)=1,
  IF(LEN(INDEX(Roadmap!$D:$K,MATCH($E193,Roadmap!$D:$D,0)-1+COUNTIF($E193:P193,"u")+COUNTIF($E193:P193,"t")+COUNTIF($E193:P193,"¶")+COUNTIF($E193:P193,"²")+COUNTIF($E193:P193,"µ")+COUNTIF($E193:P193,1),ColDescriptionCourte))&gt;1,
HYPERLINK("#Roadmap!C"&amp; MATCH($E193,Roadmap!$D:$D,0)+COUNTIF($E193:P193,"u")+COUNTIF($E193:P193,"t")+COUNTIF($E193:P193,"¶")+COUNTIF($E193:P193,"²")+COUNTIF($E193:P193,"µ")+COUNTIF($E193:P193,1)-1,INDEX(Roadmap!$D:$K,MATCH($E193,Roadmap!$D:$D,0)-1+COUNTIF($E193:P193,"u")+COUNTIF($E193:P193,"t")+COUNTIF($E193:P193,"¶")+COUNTIF($E193:P193,"²")+COUNTIF($E193:P193,"µ")+COUNTIF($E193:P193,1),ColDescriptionCourte)),""),
  "")),"")</f>
        <v/>
      </c>
      <c r="R193" s="40" t="str">
        <f ca="1">IFERROR(IF(AND(
  INDEX(Roadmap!$D:$K,MATCH($E193,Roadmap!$D:$D,0)+COUNTIF($E193:Q193,"u")+COUNTIF($E193:Q193,"t")+COUNTIF($E193:Q193,"¶")+COUNTIF($E193:Q193,"²")+COUNTIF($E193:Q193,"µ")+COUNTIF($E193:Q193,1),ColLivraison)=R$6,
  VLOOKUP($E193,INDIRECT("tri!"&amp; CHAR(64+ C0Col) &amp;":"&amp; CHAR(65+C0Col)),2,FALSE)&gt;COUNTIF($E193:Q193,"u")+COUNTIF($E193:Q193,"t")+COUNTIF($E193:Q193,"¶")+COUNTIF($E193:Q193,"²")+COUNTIF($E193:Q193,"µ")+COUNTIF($E193:Q193,1)),
HYPERLINK("#Roadmap!C"&amp; MATCH($E193,Roadmap!$D:$D,0)+COUNTIF($E193:Q193,"u")+COUNTIF($E193:Q193,"t"),
     INDEX(Roadmap!$D:$K,MATCH($E193,Roadmap!$D:$D,0)+COUNTIF($E193:Q193,"u")+COUNTIF($E193:Q193,"t")+COUNTIF($E193:Q193,"¶")+COUNTIF($E193:Q193,"²")+COUNTIF($E193:Q193,"µ")+COUNTIF($E193:Q193,1),ColTypeEcheance)),
  IF(LEN(Q193)=1,
  IF(LEN(INDEX(Roadmap!$D:$K,MATCH($E193,Roadmap!$D:$D,0)-1+COUNTIF($E193:Q193,"u")+COUNTIF($E193:Q193,"t")+COUNTIF($E193:Q193,"¶")+COUNTIF($E193:Q193,"²")+COUNTIF($E193:Q193,"µ")+COUNTIF($E193:Q193,1),ColDescriptionCourte))&gt;1,
HYPERLINK("#Roadmap!C"&amp; MATCH($E193,Roadmap!$D:$D,0)+COUNTIF($E193:Q193,"u")+COUNTIF($E193:Q193,"t")+COUNTIF($E193:Q193,"¶")+COUNTIF($E193:Q193,"²")+COUNTIF($E193:Q193,"µ")+COUNTIF($E193:Q193,1)-1,INDEX(Roadmap!$D:$K,MATCH($E193,Roadmap!$D:$D,0)-1+COUNTIF($E193:Q193,"u")+COUNTIF($E193:Q193,"t")+COUNTIF($E193:Q193,"¶")+COUNTIF($E193:Q193,"²")+COUNTIF($E193:Q193,"µ")+COUNTIF($E193:Q193,1),ColDescriptionCourte)),""),
  "")),"")</f>
        <v/>
      </c>
      <c r="S193" s="40" t="str">
        <f ca="1">IFERROR(IF(AND(
  INDEX(Roadmap!$D:$K,MATCH($E193,Roadmap!$D:$D,0)+COUNTIF($E193:R193,"u")+COUNTIF($E193:R193,"t")+COUNTIF($E193:R193,"¶")+COUNTIF($E193:R193,"²")+COUNTIF($E193:R193,"µ")+COUNTIF($E193:R193,1),ColLivraison)=S$6,
  VLOOKUP($E193,INDIRECT("tri!"&amp; CHAR(64+ C0Col) &amp;":"&amp; CHAR(65+C0Col)),2,FALSE)&gt;COUNTIF($E193:R193,"u")+COUNTIF($E193:R193,"t")+COUNTIF($E193:R193,"¶")+COUNTIF($E193:R193,"²")+COUNTIF($E193:R193,"µ")+COUNTIF($E193:R193,1)),
HYPERLINK("#Roadmap!C"&amp; MATCH($E193,Roadmap!$D:$D,0)+COUNTIF($E193:R193,"u")+COUNTIF($E193:R193,"t"),
     INDEX(Roadmap!$D:$K,MATCH($E193,Roadmap!$D:$D,0)+COUNTIF($E193:R193,"u")+COUNTIF($E193:R193,"t")+COUNTIF($E193:R193,"¶")+COUNTIF($E193:R193,"²")+COUNTIF($E193:R193,"µ")+COUNTIF($E193:R193,1),ColTypeEcheance)),
  IF(LEN(R193)=1,
  IF(LEN(INDEX(Roadmap!$D:$K,MATCH($E193,Roadmap!$D:$D,0)-1+COUNTIF($E193:R193,"u")+COUNTIF($E193:R193,"t")+COUNTIF($E193:R193,"¶")+COUNTIF($E193:R193,"²")+COUNTIF($E193:R193,"µ")+COUNTIF($E193:R193,1),ColDescriptionCourte))&gt;1,
HYPERLINK("#Roadmap!C"&amp; MATCH($E193,Roadmap!$D:$D,0)+COUNTIF($E193:R193,"u")+COUNTIF($E193:R193,"t")+COUNTIF($E193:R193,"¶")+COUNTIF($E193:R193,"²")+COUNTIF($E193:R193,"µ")+COUNTIF($E193:R193,1)-1,INDEX(Roadmap!$D:$K,MATCH($E193,Roadmap!$D:$D,0)-1+COUNTIF($E193:R193,"u")+COUNTIF($E193:R193,"t")+COUNTIF($E193:R193,"¶")+COUNTIF($E193:R193,"²")+COUNTIF($E193:R193,"µ")+COUNTIF($E193:R193,1),ColDescriptionCourte)),""),
  "")),"")</f>
        <v/>
      </c>
      <c r="T193" s="40" t="str">
        <f ca="1">IFERROR(IF(AND(
  INDEX(Roadmap!$D:$K,MATCH($E193,Roadmap!$D:$D,0)+COUNTIF($E193:S193,"u")+COUNTIF($E193:S193,"t")+COUNTIF($E193:S193,"¶")+COUNTIF($E193:S193,"²")+COUNTIF($E193:S193,"µ")+COUNTIF($E193:S193,1),ColLivraison)=T$6,
  VLOOKUP($E193,INDIRECT("tri!"&amp; CHAR(64+ C0Col) &amp;":"&amp; CHAR(65+C0Col)),2,FALSE)&gt;COUNTIF($E193:S193,"u")+COUNTIF($E193:S193,"t")+COUNTIF($E193:S193,"¶")+COUNTIF($E193:S193,"²")+COUNTIF($E193:S193,"µ")+COUNTIF($E193:S193,1)),
HYPERLINK("#Roadmap!C"&amp; MATCH($E193,Roadmap!$D:$D,0)+COUNTIF($E193:S193,"u")+COUNTIF($E193:S193,"t"),
     INDEX(Roadmap!$D:$K,MATCH($E193,Roadmap!$D:$D,0)+COUNTIF($E193:S193,"u")+COUNTIF($E193:S193,"t")+COUNTIF($E193:S193,"¶")+COUNTIF($E193:S193,"²")+COUNTIF($E193:S193,"µ")+COUNTIF($E193:S193,1),ColTypeEcheance)),
  IF(LEN(S193)=1,
  IF(LEN(INDEX(Roadmap!$D:$K,MATCH($E193,Roadmap!$D:$D,0)-1+COUNTIF($E193:S193,"u")+COUNTIF($E193:S193,"t")+COUNTIF($E193:S193,"¶")+COUNTIF($E193:S193,"²")+COUNTIF($E193:S193,"µ")+COUNTIF($E193:S193,1),ColDescriptionCourte))&gt;1,
HYPERLINK("#Roadmap!C"&amp; MATCH($E193,Roadmap!$D:$D,0)+COUNTIF($E193:S193,"u")+COUNTIF($E193:S193,"t")+COUNTIF($E193:S193,"¶")+COUNTIF($E193:S193,"²")+COUNTIF($E193:S193,"µ")+COUNTIF($E193:S193,1)-1,INDEX(Roadmap!$D:$K,MATCH($E193,Roadmap!$D:$D,0)-1+COUNTIF($E193:S193,"u")+COUNTIF($E193:S193,"t")+COUNTIF($E193:S193,"¶")+COUNTIF($E193:S193,"²")+COUNTIF($E193:S193,"µ")+COUNTIF($E193:S193,1),ColDescriptionCourte)),""),
  "")),"")</f>
        <v/>
      </c>
      <c r="U193" s="40" t="str">
        <f ca="1">IFERROR(IF(AND(
  INDEX(Roadmap!$D:$K,MATCH($E193,Roadmap!$D:$D,0)+COUNTIF($E193:T193,"u")+COUNTIF($E193:T193,"t")+COUNTIF($E193:T193,"¶")+COUNTIF($E193:T193,"²")+COUNTIF($E193:T193,"µ")+COUNTIF($E193:T193,1),ColLivraison)=U$6,
  VLOOKUP($E193,INDIRECT("tri!"&amp; CHAR(64+ C0Col) &amp;":"&amp; CHAR(65+C0Col)),2,FALSE)&gt;COUNTIF($E193:T193,"u")+COUNTIF($E193:T193,"t")+COUNTIF($E193:T193,"¶")+COUNTIF($E193:T193,"²")+COUNTIF($E193:T193,"µ")+COUNTIF($E193:T193,1)),
HYPERLINK("#Roadmap!C"&amp; MATCH($E193,Roadmap!$D:$D,0)+COUNTIF($E193:T193,"u")+COUNTIF($E193:T193,"t"),
     INDEX(Roadmap!$D:$K,MATCH($E193,Roadmap!$D:$D,0)+COUNTIF($E193:T193,"u")+COUNTIF($E193:T193,"t")+COUNTIF($E193:T193,"¶")+COUNTIF($E193:T193,"²")+COUNTIF($E193:T193,"µ")+COUNTIF($E193:T193,1),ColTypeEcheance)),
  IF(LEN(T193)=1,
  IF(LEN(INDEX(Roadmap!$D:$K,MATCH($E193,Roadmap!$D:$D,0)-1+COUNTIF($E193:T193,"u")+COUNTIF($E193:T193,"t")+COUNTIF($E193:T193,"¶")+COUNTIF($E193:T193,"²")+COUNTIF($E193:T193,"µ")+COUNTIF($E193:T193,1),ColDescriptionCourte))&gt;1,
HYPERLINK("#Roadmap!C"&amp; MATCH($E193,Roadmap!$D:$D,0)+COUNTIF($E193:T193,"u")+COUNTIF($E193:T193,"t")+COUNTIF($E193:T193,"¶")+COUNTIF($E193:T193,"²")+COUNTIF($E193:T193,"µ")+COUNTIF($E193:T193,1)-1,INDEX(Roadmap!$D:$K,MATCH($E193,Roadmap!$D:$D,0)-1+COUNTIF($E193:T193,"u")+COUNTIF($E193:T193,"t")+COUNTIF($E193:T193,"¶")+COUNTIF($E193:T193,"²")+COUNTIF($E193:T193,"µ")+COUNTIF($E193:T193,1),ColDescriptionCourte)),""),
  "")),"")</f>
        <v/>
      </c>
      <c r="V193" s="40" t="str">
        <f ca="1">IFERROR(IF(AND(
  INDEX(Roadmap!$D:$K,MATCH($E193,Roadmap!$D:$D,0)+COUNTIF($E193:U193,"u")+COUNTIF($E193:U193,"t")+COUNTIF($E193:U193,"¶")+COUNTIF($E193:U193,"²")+COUNTIF($E193:U193,"µ")+COUNTIF($E193:U193,1),ColLivraison)=V$6,
  VLOOKUP($E193,INDIRECT("tri!"&amp; CHAR(64+ C0Col) &amp;":"&amp; CHAR(65+C0Col)),2,FALSE)&gt;COUNTIF($E193:U193,"u")+COUNTIF($E193:U193,"t")+COUNTIF($E193:U193,"¶")+COUNTIF($E193:U193,"²")+COUNTIF($E193:U193,"µ")+COUNTIF($E193:U193,1)),
HYPERLINK("#Roadmap!C"&amp; MATCH($E193,Roadmap!$D:$D,0)+COUNTIF($E193:U193,"u")+COUNTIF($E193:U193,"t"),
     INDEX(Roadmap!$D:$K,MATCH($E193,Roadmap!$D:$D,0)+COUNTIF($E193:U193,"u")+COUNTIF($E193:U193,"t")+COUNTIF($E193:U193,"¶")+COUNTIF($E193:U193,"²")+COUNTIF($E193:U193,"µ")+COUNTIF($E193:U193,1),ColTypeEcheance)),
  IF(LEN(U193)=1,
  IF(LEN(INDEX(Roadmap!$D:$K,MATCH($E193,Roadmap!$D:$D,0)-1+COUNTIF($E193:U193,"u")+COUNTIF($E193:U193,"t")+COUNTIF($E193:U193,"¶")+COUNTIF($E193:U193,"²")+COUNTIF($E193:U193,"µ")+COUNTIF($E193:U193,1),ColDescriptionCourte))&gt;1,
HYPERLINK("#Roadmap!C"&amp; MATCH($E193,Roadmap!$D:$D,0)+COUNTIF($E193:U193,"u")+COUNTIF($E193:U193,"t")+COUNTIF($E193:U193,"¶")+COUNTIF($E193:U193,"²")+COUNTIF($E193:U193,"µ")+COUNTIF($E193:U193,1)-1,INDEX(Roadmap!$D:$K,MATCH($E193,Roadmap!$D:$D,0)-1+COUNTIF($E193:U193,"u")+COUNTIF($E193:U193,"t")+COUNTIF($E193:U193,"¶")+COUNTIF($E193:U193,"²")+COUNTIF($E193:U193,"µ")+COUNTIF($E193:U193,1),ColDescriptionCourte)),""),
  "")),"")</f>
        <v/>
      </c>
      <c r="W193" s="40" t="str">
        <f ca="1">IFERROR(IF(AND(
  INDEX(Roadmap!$D:$K,MATCH($E193,Roadmap!$D:$D,0)+COUNTIF($E193:V193,"u")+COUNTIF($E193:V193,"t")+COUNTIF($E193:V193,"¶")+COUNTIF($E193:V193,"²")+COUNTIF($E193:V193,"µ")+COUNTIF($E193:V193,1),ColLivraison)=W$6,
  VLOOKUP($E193,INDIRECT("tri!"&amp; CHAR(64+ C0Col) &amp;":"&amp; CHAR(65+C0Col)),2,FALSE)&gt;COUNTIF($E193:V193,"u")+COUNTIF($E193:V193,"t")+COUNTIF($E193:V193,"¶")+COUNTIF($E193:V193,"²")+COUNTIF($E193:V193,"µ")+COUNTIF($E193:V193,1)),
HYPERLINK("#Roadmap!C"&amp; MATCH($E193,Roadmap!$D:$D,0)+COUNTIF($E193:V193,"u")+COUNTIF($E193:V193,"t"),
     INDEX(Roadmap!$D:$K,MATCH($E193,Roadmap!$D:$D,0)+COUNTIF($E193:V193,"u")+COUNTIF($E193:V193,"t")+COUNTIF($E193:V193,"¶")+COUNTIF($E193:V193,"²")+COUNTIF($E193:V193,"µ")+COUNTIF($E193:V193,1),ColTypeEcheance)),
  IF(LEN(V193)=1,
  IF(LEN(INDEX(Roadmap!$D:$K,MATCH($E193,Roadmap!$D:$D,0)-1+COUNTIF($E193:V193,"u")+COUNTIF($E193:V193,"t")+COUNTIF($E193:V193,"¶")+COUNTIF($E193:V193,"²")+COUNTIF($E193:V193,"µ")+COUNTIF($E193:V193,1),ColDescriptionCourte))&gt;1,
HYPERLINK("#Roadmap!C"&amp; MATCH($E193,Roadmap!$D:$D,0)+COUNTIF($E193:V193,"u")+COUNTIF($E193:V193,"t")+COUNTIF($E193:V193,"¶")+COUNTIF($E193:V193,"²")+COUNTIF($E193:V193,"µ")+COUNTIF($E193:V193,1)-1,INDEX(Roadmap!$D:$K,MATCH($E193,Roadmap!$D:$D,0)-1+COUNTIF($E193:V193,"u")+COUNTIF($E193:V193,"t")+COUNTIF($E193:V193,"¶")+COUNTIF($E193:V193,"²")+COUNTIF($E193:V193,"µ")+COUNTIF($E193:V193,1),ColDescriptionCourte)),""),
  "")),"")</f>
        <v/>
      </c>
      <c r="X193" s="40" t="str">
        <f ca="1">IFERROR(IF(AND(
  INDEX(Roadmap!$D:$K,MATCH($E193,Roadmap!$D:$D,0)+COUNTIF($E193:W193,"u")+COUNTIF($E193:W193,"t")+COUNTIF($E193:W193,"¶")+COUNTIF($E193:W193,"²")+COUNTIF($E193:W193,"µ")+COUNTIF($E193:W193,1),ColLivraison)=X$6,
  VLOOKUP($E193,INDIRECT("tri!"&amp; CHAR(64+ C0Col) &amp;":"&amp; CHAR(65+C0Col)),2,FALSE)&gt;COUNTIF($E193:W193,"u")+COUNTIF($E193:W193,"t")+COUNTIF($E193:W193,"¶")+COUNTIF($E193:W193,"²")+COUNTIF($E193:W193,"µ")+COUNTIF($E193:W193,1)),
HYPERLINK("#Roadmap!C"&amp; MATCH($E193,Roadmap!$D:$D,0)+COUNTIF($E193:W193,"u")+COUNTIF($E193:W193,"t"),
     INDEX(Roadmap!$D:$K,MATCH($E193,Roadmap!$D:$D,0)+COUNTIF($E193:W193,"u")+COUNTIF($E193:W193,"t")+COUNTIF($E193:W193,"¶")+COUNTIF($E193:W193,"²")+COUNTIF($E193:W193,"µ")+COUNTIF($E193:W193,1),ColTypeEcheance)),
  IF(LEN(W193)=1,
  IF(LEN(INDEX(Roadmap!$D:$K,MATCH($E193,Roadmap!$D:$D,0)-1+COUNTIF($E193:W193,"u")+COUNTIF($E193:W193,"t")+COUNTIF($E193:W193,"¶")+COUNTIF($E193:W193,"²")+COUNTIF($E193:W193,"µ")+COUNTIF($E193:W193,1),ColDescriptionCourte))&gt;1,
HYPERLINK("#Roadmap!C"&amp; MATCH($E193,Roadmap!$D:$D,0)+COUNTIF($E193:W193,"u")+COUNTIF($E193:W193,"t")+COUNTIF($E193:W193,"¶")+COUNTIF($E193:W193,"²")+COUNTIF($E193:W193,"µ")+COUNTIF($E193:W193,1)-1,INDEX(Roadmap!$D:$K,MATCH($E193,Roadmap!$D:$D,0)-1+COUNTIF($E193:W193,"u")+COUNTIF($E193:W193,"t")+COUNTIF($E193:W193,"¶")+COUNTIF($E193:W193,"²")+COUNTIF($E193:W193,"µ")+COUNTIF($E193:W193,1),ColDescriptionCourte)),""),
  "")),"")</f>
        <v/>
      </c>
      <c r="Y193" s="40" t="str">
        <f ca="1">IFERROR(IF(AND(
  INDEX(Roadmap!$D:$K,MATCH($E193,Roadmap!$D:$D,0)+COUNTIF($E193:X193,"u")+COUNTIF($E193:X193,"t")+COUNTIF($E193:X193,"¶")+COUNTIF($E193:X193,"²")+COUNTIF($E193:X193,"µ")+COUNTIF($E193:X193,1),ColLivraison)=Y$6,
  VLOOKUP($E193,INDIRECT("tri!"&amp; CHAR(64+ C0Col) &amp;":"&amp; CHAR(65+C0Col)),2,FALSE)&gt;COUNTIF($E193:X193,"u")+COUNTIF($E193:X193,"t")+COUNTIF($E193:X193,"¶")+COUNTIF($E193:X193,"²")+COUNTIF($E193:X193,"µ")+COUNTIF($E193:X193,1)),
HYPERLINK("#Roadmap!C"&amp; MATCH($E193,Roadmap!$D:$D,0)+COUNTIF($E193:X193,"u")+COUNTIF($E193:X193,"t"),
     INDEX(Roadmap!$D:$K,MATCH($E193,Roadmap!$D:$D,0)+COUNTIF($E193:X193,"u")+COUNTIF($E193:X193,"t")+COUNTIF($E193:X193,"¶")+COUNTIF($E193:X193,"²")+COUNTIF($E193:X193,"µ")+COUNTIF($E193:X193,1),ColTypeEcheance)),
  IF(LEN(X193)=1,
  IF(LEN(INDEX(Roadmap!$D:$K,MATCH($E193,Roadmap!$D:$D,0)-1+COUNTIF($E193:X193,"u")+COUNTIF($E193:X193,"t")+COUNTIF($E193:X193,"¶")+COUNTIF($E193:X193,"²")+COUNTIF($E193:X193,"µ")+COUNTIF($E193:X193,1),ColDescriptionCourte))&gt;1,
HYPERLINK("#Roadmap!C"&amp; MATCH($E193,Roadmap!$D:$D,0)+COUNTIF($E193:X193,"u")+COUNTIF($E193:X193,"t")+COUNTIF($E193:X193,"¶")+COUNTIF($E193:X193,"²")+COUNTIF($E193:X193,"µ")+COUNTIF($E193:X193,1)-1,INDEX(Roadmap!$D:$K,MATCH($E193,Roadmap!$D:$D,0)-1+COUNTIF($E193:X193,"u")+COUNTIF($E193:X193,"t")+COUNTIF($E193:X193,"¶")+COUNTIF($E193:X193,"²")+COUNTIF($E193:X193,"µ")+COUNTIF($E193:X193,1),ColDescriptionCourte)),""),
  "")),"")</f>
        <v/>
      </c>
      <c r="Z193" s="40" t="str">
        <f ca="1">IFERROR(IF(AND(
  INDEX(Roadmap!$D:$K,MATCH($E193,Roadmap!$D:$D,0)+COUNTIF($E193:Y193,"u")+COUNTIF($E193:Y193,"t")+COUNTIF($E193:Y193,"¶")+COUNTIF($E193:Y193,"²")+COUNTIF($E193:Y193,"µ")+COUNTIF($E193:Y193,1),ColLivraison)=Z$6,
  VLOOKUP($E193,INDIRECT("tri!"&amp; CHAR(64+ C0Col) &amp;":"&amp; CHAR(65+C0Col)),2,FALSE)&gt;COUNTIF($E193:Y193,"u")+COUNTIF($E193:Y193,"t")+COUNTIF($E193:Y193,"¶")+COUNTIF($E193:Y193,"²")+COUNTIF($E193:Y193,"µ")+COUNTIF($E193:Y193,1)),
HYPERLINK("#Roadmap!C"&amp; MATCH($E193,Roadmap!$D:$D,0)+COUNTIF($E193:Y193,"u")+COUNTIF($E193:Y193,"t"),
     INDEX(Roadmap!$D:$K,MATCH($E193,Roadmap!$D:$D,0)+COUNTIF($E193:Y193,"u")+COUNTIF($E193:Y193,"t")+COUNTIF($E193:Y193,"¶")+COUNTIF($E193:Y193,"²")+COUNTIF($E193:Y193,"µ")+COUNTIF($E193:Y193,1),ColTypeEcheance)),
  IF(LEN(Y193)=1,
  IF(LEN(INDEX(Roadmap!$D:$K,MATCH($E193,Roadmap!$D:$D,0)-1+COUNTIF($E193:Y193,"u")+COUNTIF($E193:Y193,"t")+COUNTIF($E193:Y193,"¶")+COUNTIF($E193:Y193,"²")+COUNTIF($E193:Y193,"µ")+COUNTIF($E193:Y193,1),ColDescriptionCourte))&gt;1,
HYPERLINK("#Roadmap!C"&amp; MATCH($E193,Roadmap!$D:$D,0)+COUNTIF($E193:Y193,"u")+COUNTIF($E193:Y193,"t")+COUNTIF($E193:Y193,"¶")+COUNTIF($E193:Y193,"²")+COUNTIF($E193:Y193,"µ")+COUNTIF($E193:Y193,1)-1,INDEX(Roadmap!$D:$K,MATCH($E193,Roadmap!$D:$D,0)-1+COUNTIF($E193:Y193,"u")+COUNTIF($E193:Y193,"t")+COUNTIF($E193:Y193,"¶")+COUNTIF($E193:Y193,"²")+COUNTIF($E193:Y193,"µ")+COUNTIF($E193:Y193,1),ColDescriptionCourte)),""),
  "")),"")</f>
        <v/>
      </c>
      <c r="AA193" s="40" t="str">
        <f ca="1">IFERROR(IF(AND(
  INDEX(Roadmap!$D:$K,MATCH($E193,Roadmap!$D:$D,0)+COUNTIF($E193:Z193,"u")+COUNTIF($E193:Z193,"t")+COUNTIF($E193:Z193,"¶")+COUNTIF($E193:Z193,"²")+COUNTIF($E193:Z193,"µ")+COUNTIF($E193:Z193,1),ColLivraison)=AA$6,
  VLOOKUP($E193,INDIRECT("tri!"&amp; CHAR(64+ C0Col) &amp;":"&amp; CHAR(65+C0Col)),2,FALSE)&gt;COUNTIF($E193:Z193,"u")+COUNTIF($E193:Z193,"t")+COUNTIF($E193:Z193,"¶")+COUNTIF($E193:Z193,"²")+COUNTIF($E193:Z193,"µ")+COUNTIF($E193:Z193,1)),
HYPERLINK("#Roadmap!C"&amp; MATCH($E193,Roadmap!$D:$D,0)+COUNTIF($E193:Z193,"u")+COUNTIF($E193:Z193,"t"),
     INDEX(Roadmap!$D:$K,MATCH($E193,Roadmap!$D:$D,0)+COUNTIF($E193:Z193,"u")+COUNTIF($E193:Z193,"t")+COUNTIF($E193:Z193,"¶")+COUNTIF($E193:Z193,"²")+COUNTIF($E193:Z193,"µ")+COUNTIF($E193:Z193,1),ColTypeEcheance)),
  IF(LEN(Z193)=1,
  IF(LEN(INDEX(Roadmap!$D:$K,MATCH($E193,Roadmap!$D:$D,0)-1+COUNTIF($E193:Z193,"u")+COUNTIF($E193:Z193,"t")+COUNTIF($E193:Z193,"¶")+COUNTIF($E193:Z193,"²")+COUNTIF($E193:Z193,"µ")+COUNTIF($E193:Z193,1),ColDescriptionCourte))&gt;1,
HYPERLINK("#Roadmap!C"&amp; MATCH($E193,Roadmap!$D:$D,0)+COUNTIF($E193:Z193,"u")+COUNTIF($E193:Z193,"t")+COUNTIF($E193:Z193,"¶")+COUNTIF($E193:Z193,"²")+COUNTIF($E193:Z193,"µ")+COUNTIF($E193:Z193,1)-1,INDEX(Roadmap!$D:$K,MATCH($E193,Roadmap!$D:$D,0)-1+COUNTIF($E193:Z193,"u")+COUNTIF($E193:Z193,"t")+COUNTIF($E193:Z193,"¶")+COUNTIF($E193:Z193,"²")+COUNTIF($E193:Z193,"µ")+COUNTIF($E193:Z193,1),ColDescriptionCourte)),""),
  "")),"")</f>
        <v/>
      </c>
      <c r="AB193" s="40" t="str">
        <f ca="1">IFERROR(IF(AND(
  INDEX(Roadmap!$D:$K,MATCH($E193,Roadmap!$D:$D,0)+COUNTIF($E193:AA193,"u")+COUNTIF($E193:AA193,"t")+COUNTIF($E193:AA193,"¶")+COUNTIF($E193:AA193,"²")+COUNTIF($E193:AA193,"µ")+COUNTIF($E193:AA193,1),ColLivraison)=AB$6,
  VLOOKUP($E193,INDIRECT("tri!"&amp; CHAR(64+ C0Col) &amp;":"&amp; CHAR(65+C0Col)),2,FALSE)&gt;COUNTIF($E193:AA193,"u")+COUNTIF($E193:AA193,"t")+COUNTIF($E193:AA193,"¶")+COUNTIF($E193:AA193,"²")+COUNTIF($E193:AA193,"µ")+COUNTIF($E193:AA193,1)),
HYPERLINK("#Roadmap!C"&amp; MATCH($E193,Roadmap!$D:$D,0)+COUNTIF($E193:AA193,"u")+COUNTIF($E193:AA193,"t"),
     INDEX(Roadmap!$D:$K,MATCH($E193,Roadmap!$D:$D,0)+COUNTIF($E193:AA193,"u")+COUNTIF($E193:AA193,"t")+COUNTIF($E193:AA193,"¶")+COUNTIF($E193:AA193,"²")+COUNTIF($E193:AA193,"µ")+COUNTIF($E193:AA193,1),ColTypeEcheance)),
  IF(LEN(AA193)=1,
  IF(LEN(INDEX(Roadmap!$D:$K,MATCH($E193,Roadmap!$D:$D,0)-1+COUNTIF($E193:AA193,"u")+COUNTIF($E193:AA193,"t")+COUNTIF($E193:AA193,"¶")+COUNTIF($E193:AA193,"²")+COUNTIF($E193:AA193,"µ")+COUNTIF($E193:AA193,1),ColDescriptionCourte))&gt;1,
HYPERLINK("#Roadmap!C"&amp; MATCH($E193,Roadmap!$D:$D,0)+COUNTIF($E193:AA193,"u")+COUNTIF($E193:AA193,"t")+COUNTIF($E193:AA193,"¶")+COUNTIF($E193:AA193,"²")+COUNTIF($E193:AA193,"µ")+COUNTIF($E193:AA193,1)-1,INDEX(Roadmap!$D:$K,MATCH($E193,Roadmap!$D:$D,0)-1+COUNTIF($E193:AA193,"u")+COUNTIF($E193:AA193,"t")+COUNTIF($E193:AA193,"¶")+COUNTIF($E193:AA193,"²")+COUNTIF($E193:AA193,"µ")+COUNTIF($E193:AA193,1),ColDescriptionCourte)),""),
  "")),"")</f>
        <v/>
      </c>
      <c r="AC193" s="40" t="str">
        <f ca="1">IFERROR(IF(AND(
  INDEX(Roadmap!$D:$K,MATCH($E193,Roadmap!$D:$D,0)+COUNTIF($E193:AB193,"u")+COUNTIF($E193:AB193,"t")+COUNTIF($E193:AB193,"¶")+COUNTIF($E193:AB193,"²")+COUNTIF($E193:AB193,"µ")+COUNTIF($E193:AB193,1),ColLivraison)=AC$6,
  VLOOKUP($E193,INDIRECT("tri!"&amp; CHAR(64+ C0Col) &amp;":"&amp; CHAR(65+C0Col)),2,FALSE)&gt;COUNTIF($E193:AB193,"u")+COUNTIF($E193:AB193,"t")+COUNTIF($E193:AB193,"¶")+COUNTIF($E193:AB193,"²")+COUNTIF($E193:AB193,"µ")+COUNTIF($E193:AB193,1)),
HYPERLINK("#Roadmap!C"&amp; MATCH($E193,Roadmap!$D:$D,0)+COUNTIF($E193:AB193,"u")+COUNTIF($E193:AB193,"t"),
     INDEX(Roadmap!$D:$K,MATCH($E193,Roadmap!$D:$D,0)+COUNTIF($E193:AB193,"u")+COUNTIF($E193:AB193,"t")+COUNTIF($E193:AB193,"¶")+COUNTIF($E193:AB193,"²")+COUNTIF($E193:AB193,"µ")+COUNTIF($E193:AB193,1),ColTypeEcheance)),
  IF(LEN(AB193)=1,
  IF(LEN(INDEX(Roadmap!$D:$K,MATCH($E193,Roadmap!$D:$D,0)-1+COUNTIF($E193:AB193,"u")+COUNTIF($E193:AB193,"t")+COUNTIF($E193:AB193,"¶")+COUNTIF($E193:AB193,"²")+COUNTIF($E193:AB193,"µ")+COUNTIF($E193:AB193,1),ColDescriptionCourte))&gt;1,
HYPERLINK("#Roadmap!C"&amp; MATCH($E193,Roadmap!$D:$D,0)+COUNTIF($E193:AB193,"u")+COUNTIF($E193:AB193,"t")+COUNTIF($E193:AB193,"¶")+COUNTIF($E193:AB193,"²")+COUNTIF($E193:AB193,"µ")+COUNTIF($E193:AB193,1)-1,INDEX(Roadmap!$D:$K,MATCH($E193,Roadmap!$D:$D,0)-1+COUNTIF($E193:AB193,"u")+COUNTIF($E193:AB193,"t")+COUNTIF($E193:AB193,"¶")+COUNTIF($E193:AB193,"²")+COUNTIF($E193:AB193,"µ")+COUNTIF($E193:AB193,1),ColDescriptionCourte)),""),
  "")),"")</f>
        <v/>
      </c>
      <c r="AD193" s="40" t="str">
        <f ca="1">IFERROR(IF(AND(
  INDEX(Roadmap!$D:$K,MATCH($E193,Roadmap!$D:$D,0)+COUNTIF($E193:AC193,"u")+COUNTIF($E193:AC193,"t")+COUNTIF($E193:AC193,"¶")+COUNTIF($E193:AC193,"²")+COUNTIF($E193:AC193,"µ")+COUNTIF($E193:AC193,1),ColLivraison)=AD$6,
  VLOOKUP($E193,INDIRECT("tri!"&amp; CHAR(64+ C0Col) &amp;":"&amp; CHAR(65+C0Col)),2,FALSE)&gt;COUNTIF($E193:AC193,"u")+COUNTIF($E193:AC193,"t")+COUNTIF($E193:AC193,"¶")+COUNTIF($E193:AC193,"²")+COUNTIF($E193:AC193,"µ")+COUNTIF($E193:AC193,1)),
HYPERLINK("#Roadmap!C"&amp; MATCH($E193,Roadmap!$D:$D,0)+COUNTIF($E193:AC193,"u")+COUNTIF($E193:AC193,"t"),
     INDEX(Roadmap!$D:$K,MATCH($E193,Roadmap!$D:$D,0)+COUNTIF($E193:AC193,"u")+COUNTIF($E193:AC193,"t")+COUNTIF($E193:AC193,"¶")+COUNTIF($E193:AC193,"²")+COUNTIF($E193:AC193,"µ")+COUNTIF($E193:AC193,1),ColTypeEcheance)),
  IF(LEN(AC193)=1,
  IF(LEN(INDEX(Roadmap!$D:$K,MATCH($E193,Roadmap!$D:$D,0)-1+COUNTIF($E193:AC193,"u")+COUNTIF($E193:AC193,"t")+COUNTIF($E193:AC193,"¶")+COUNTIF($E193:AC193,"²")+COUNTIF($E193:AC193,"µ")+COUNTIF($E193:AC193,1),ColDescriptionCourte))&gt;1,
HYPERLINK("#Roadmap!C"&amp; MATCH($E193,Roadmap!$D:$D,0)+COUNTIF($E193:AC193,"u")+COUNTIF($E193:AC193,"t")+COUNTIF($E193:AC193,"¶")+COUNTIF($E193:AC193,"²")+COUNTIF($E193:AC193,"µ")+COUNTIF($E193:AC193,1)-1,INDEX(Roadmap!$D:$K,MATCH($E193,Roadmap!$D:$D,0)-1+COUNTIF($E193:AC193,"u")+COUNTIF($E193:AC193,"t")+COUNTIF($E193:AC193,"¶")+COUNTIF($E193:AC193,"²")+COUNTIF($E193:AC193,"µ")+COUNTIF($E193:AC193,1),ColDescriptionCourte)),""),
  "")),"")</f>
        <v/>
      </c>
      <c r="AE193" s="40" t="str">
        <f ca="1">IFERROR(IF(AND(
  INDEX(Roadmap!$D:$K,MATCH($E193,Roadmap!$D:$D,0)+COUNTIF($E193:AD193,"u")+COUNTIF($E193:AD193,"t")+COUNTIF($E193:AD193,"¶")+COUNTIF($E193:AD193,"²")+COUNTIF($E193:AD193,"µ")+COUNTIF($E193:AD193,1),ColLivraison)=AE$6,
  VLOOKUP($E193,INDIRECT("tri!"&amp; CHAR(64+ C0Col) &amp;":"&amp; CHAR(65+C0Col)),2,FALSE)&gt;COUNTIF($E193:AD193,"u")+COUNTIF($E193:AD193,"t")+COUNTIF($E193:AD193,"¶")+COUNTIF($E193:AD193,"²")+COUNTIF($E193:AD193,"µ")+COUNTIF($E193:AD193,1)),
HYPERLINK("#Roadmap!C"&amp; MATCH($E193,Roadmap!$D:$D,0)+COUNTIF($E193:AD193,"u")+COUNTIF($E193:AD193,"t"),
     INDEX(Roadmap!$D:$K,MATCH($E193,Roadmap!$D:$D,0)+COUNTIF($E193:AD193,"u")+COUNTIF($E193:AD193,"t")+COUNTIF($E193:AD193,"¶")+COUNTIF($E193:AD193,"²")+COUNTIF($E193:AD193,"µ")+COUNTIF($E193:AD193,1),ColTypeEcheance)),
  IF(LEN(AD193)=1,
  IF(LEN(INDEX(Roadmap!$D:$K,MATCH($E193,Roadmap!$D:$D,0)-1+COUNTIF($E193:AD193,"u")+COUNTIF($E193:AD193,"t")+COUNTIF($E193:AD193,"¶")+COUNTIF($E193:AD193,"²")+COUNTIF($E193:AD193,"µ")+COUNTIF($E193:AD193,1),ColDescriptionCourte))&gt;1,
HYPERLINK("#Roadmap!C"&amp; MATCH($E193,Roadmap!$D:$D,0)+COUNTIF($E193:AD193,"u")+COUNTIF($E193:AD193,"t")+COUNTIF($E193:AD193,"¶")+COUNTIF($E193:AD193,"²")+COUNTIF($E193:AD193,"µ")+COUNTIF($E193:AD193,1)-1,INDEX(Roadmap!$D:$K,MATCH($E193,Roadmap!$D:$D,0)-1+COUNTIF($E193:AD193,"u")+COUNTIF($E193:AD193,"t")+COUNTIF($E193:AD193,"¶")+COUNTIF($E193:AD193,"²")+COUNTIF($E193:AD193,"µ")+COUNTIF($E193:AD193,1),ColDescriptionCourte)),""),
  "")),"")</f>
        <v/>
      </c>
      <c r="AF193" s="40" t="str">
        <f ca="1">IFERROR(IF(AND(
  INDEX(Roadmap!$D:$K,MATCH($E193,Roadmap!$D:$D,0)+COUNTIF($E193:AE193,"u")+COUNTIF($E193:AE193,"t")+COUNTIF($E193:AE193,"¶")+COUNTIF($E193:AE193,"²")+COUNTIF($E193:AE193,"µ")+COUNTIF($E193:AE193,1),ColLivraison)=AF$6,
  VLOOKUP($E193,INDIRECT("tri!"&amp; CHAR(64+ C0Col) &amp;":"&amp; CHAR(65+C0Col)),2,FALSE)&gt;COUNTIF($E193:AE193,"u")+COUNTIF($E193:AE193,"t")+COUNTIF($E193:AE193,"¶")+COUNTIF($E193:AE193,"²")+COUNTIF($E193:AE193,"µ")+COUNTIF($E193:AE193,1)),
HYPERLINK("#Roadmap!C"&amp; MATCH($E193,Roadmap!$D:$D,0)+COUNTIF($E193:AE193,"u")+COUNTIF($E193:AE193,"t"),
     INDEX(Roadmap!$D:$K,MATCH($E193,Roadmap!$D:$D,0)+COUNTIF($E193:AE193,"u")+COUNTIF($E193:AE193,"t")+COUNTIF($E193:AE193,"¶")+COUNTIF($E193:AE193,"²")+COUNTIF($E193:AE193,"µ")+COUNTIF($E193:AE193,1),ColTypeEcheance)),
  IF(LEN(AE193)=1,
  IF(LEN(INDEX(Roadmap!$D:$K,MATCH($E193,Roadmap!$D:$D,0)-1+COUNTIF($E193:AE193,"u")+COUNTIF($E193:AE193,"t")+COUNTIF($E193:AE193,"¶")+COUNTIF($E193:AE193,"²")+COUNTIF($E193:AE193,"µ")+COUNTIF($E193:AE193,1),ColDescriptionCourte))&gt;1,
HYPERLINK("#Roadmap!C"&amp; MATCH($E193,Roadmap!$D:$D,0)+COUNTIF($E193:AE193,"u")+COUNTIF($E193:AE193,"t")+COUNTIF($E193:AE193,"¶")+COUNTIF($E193:AE193,"²")+COUNTIF($E193:AE193,"µ")+COUNTIF($E193:AE193,1)-1,INDEX(Roadmap!$D:$K,MATCH($E193,Roadmap!$D:$D,0)-1+COUNTIF($E193:AE193,"u")+COUNTIF($E193:AE193,"t")+COUNTIF($E193:AE193,"¶")+COUNTIF($E193:AE193,"²")+COUNTIF($E193:AE193,"µ")+COUNTIF($E193:AE193,1),ColDescriptionCourte)),""),
  "")),"")</f>
        <v/>
      </c>
      <c r="AG193" s="40" t="str">
        <f ca="1">IFERROR(IF(AND(
  INDEX(Roadmap!$D:$K,MATCH($E193,Roadmap!$D:$D,0)+COUNTIF($E193:AF193,"u")+COUNTIF($E193:AF193,"t")+COUNTIF($E193:AF193,"¶")+COUNTIF($E193:AF193,"²")+COUNTIF($E193:AF193,"µ")+COUNTIF($E193:AF193,1),ColLivraison)=AG$6,
  VLOOKUP($E193,INDIRECT("tri!"&amp; CHAR(64+ C0Col) &amp;":"&amp; CHAR(65+C0Col)),2,FALSE)&gt;COUNTIF($E193:AF193,"u")+COUNTIF($E193:AF193,"t")+COUNTIF($E193:AF193,"¶")+COUNTIF($E193:AF193,"²")+COUNTIF($E193:AF193,"µ")+COUNTIF($E193:AF193,1)),
HYPERLINK("#Roadmap!C"&amp; MATCH($E193,Roadmap!$D:$D,0)+COUNTIF($E193:AF193,"u")+COUNTIF($E193:AF193,"t"),
     INDEX(Roadmap!$D:$K,MATCH($E193,Roadmap!$D:$D,0)+COUNTIF($E193:AF193,"u")+COUNTIF($E193:AF193,"t")+COUNTIF($E193:AF193,"¶")+COUNTIF($E193:AF193,"²")+COUNTIF($E193:AF193,"µ")+COUNTIF($E193:AF193,1),ColTypeEcheance)),
  IF(LEN(AF193)=1,
  IF(LEN(INDEX(Roadmap!$D:$K,MATCH($E193,Roadmap!$D:$D,0)-1+COUNTIF($E193:AF193,"u")+COUNTIF($E193:AF193,"t")+COUNTIF($E193:AF193,"¶")+COUNTIF($E193:AF193,"²")+COUNTIF($E193:AF193,"µ")+COUNTIF($E193:AF193,1),ColDescriptionCourte))&gt;1,
HYPERLINK("#Roadmap!C"&amp; MATCH($E193,Roadmap!$D:$D,0)+COUNTIF($E193:AF193,"u")+COUNTIF($E193:AF193,"t")+COUNTIF($E193:AF193,"¶")+COUNTIF($E193:AF193,"²")+COUNTIF($E193:AF193,"µ")+COUNTIF($E193:AF193,1)-1,INDEX(Roadmap!$D:$K,MATCH($E193,Roadmap!$D:$D,0)-1+COUNTIF($E193:AF193,"u")+COUNTIF($E193:AF193,"t")+COUNTIF($E193:AF193,"¶")+COUNTIF($E193:AF193,"²")+COUNTIF($E193:AF193,"µ")+COUNTIF($E193:AF193,1),ColDescriptionCourte)),""),
  "")),"")</f>
        <v/>
      </c>
    </row>
    <row r="194" spans="3:33" ht="14.25" customHeight="1">
      <c r="C194" s="1" t="str">
        <f t="shared" ca="1" si="54"/>
        <v/>
      </c>
      <c r="D194" s="1" t="str">
        <f t="shared" ca="1" si="55"/>
        <v/>
      </c>
      <c r="E194" s="35" t="str">
        <f t="shared" ca="1" si="51"/>
        <v/>
      </c>
      <c r="F194" s="39" t="str">
        <f ca="1">IFERROR(IF(AND(
  INDEX(Roadmap!$D:$K,MATCH($E194,Roadmap!$D:$D,0)+COUNTIF($E194:E194,"u")+COUNTIF($E194:E194,"t")+COUNTIF($E194:E194,"¶")+COUNTIF($E194:E194,"²")+COUNTIF($E194:E194,"µ")+COUNTIF($E194:E194,1),ColLivraison)=F$6,
  VLOOKUP($E194,INDIRECT("tri!"&amp; CHAR(64+ C0Col) &amp;":"&amp; CHAR(65+C0Col)),2,FALSE)&gt;COUNTIF($E194:E194,"u")+COUNTIF($E194:E194,"t")+COUNTIF($E194:E194,"¶")+COUNTIF($E194:E194,"²")+COUNTIF($E194:E194,"µ")+COUNTIF($E194:E194,1)),
HYPERLINK("#Roadmap!C"&amp; MATCH($E194,Roadmap!$D:$D,0)+COUNTIF($E194:E194,"u")+COUNTIF($E194:E194,"t"),
     INDEX(Roadmap!$D:$K,MATCH($E194,Roadmap!$D:$D,0)+COUNTIF($E194:E194,"u")+COUNTIF($E194:E194,"t")+COUNTIF($E194:E194,"¶")+COUNTIF($E194:E194,"²")+COUNTIF($E194:E194,"µ")+COUNTIF($E194:E194,1),ColTypeEcheance)),
  IF(LEN(E194)=1,
  IF(LEN(INDEX(Roadmap!$D:$K,MATCH($E194,Roadmap!$D:$D,0)-1+COUNTIF($E194:E194,"u")+COUNTIF($E194:E194,"t")+COUNTIF($E194:E194,"¶")+COUNTIF($E194:E194,"²")+COUNTIF($E194:E194,"µ")+COUNTIF($E194:E194,1),ColDescriptionCourte))&gt;1,
HYPERLINK("#Roadmap!C"&amp; MATCH($E194,Roadmap!$D:$D,0)+COUNTIF($E194:E194,"u")+COUNTIF($E194:E194,"t")+COUNTIF($E194:E194,"¶")+COUNTIF($E194:E194,"²")+COUNTIF($E194:E194,"µ")+COUNTIF($E194:E194,1)-1,INDEX(Roadmap!$D:$K,MATCH($E194,Roadmap!$D:$D,0)-1+COUNTIF($E194:E194,"u")+COUNTIF($E194:E194,"t")+COUNTIF($E194:E194,"¶")+COUNTIF($E194:E194,"²")+COUNTIF($E194:E194,"µ")+COUNTIF($E194:E194,1),ColDescriptionCourte)),""),
  "")),"")</f>
        <v/>
      </c>
      <c r="G194" s="40" t="str">
        <f ca="1">IFERROR(IF(AND(
  INDEX(Roadmap!$D:$K,MATCH($E194,Roadmap!$D:$D,0)+COUNTIF($E194:F194,"u")+COUNTIF($E194:F194,"t")+COUNTIF($E194:F194,"¶")+COUNTIF($E194:F194,"²")+COUNTIF($E194:F194,"µ")+COUNTIF($E194:F194,1),ColLivraison)=G$6,
  VLOOKUP($E194,INDIRECT("tri!"&amp; CHAR(64+ C0Col) &amp;":"&amp; CHAR(65+C0Col)),2,FALSE)&gt;COUNTIF($E194:F194,"u")+COUNTIF($E194:F194,"t")+COUNTIF($E194:F194,"¶")+COUNTIF($E194:F194,"²")+COUNTIF($E194:F194,"µ")+COUNTIF($E194:F194,1)),
HYPERLINK("#Roadmap!C"&amp; MATCH($E194,Roadmap!$D:$D,0)+COUNTIF($E194:F194,"u")+COUNTIF($E194:F194,"t"),
     INDEX(Roadmap!$D:$K,MATCH($E194,Roadmap!$D:$D,0)+COUNTIF($E194:F194,"u")+COUNTIF($E194:F194,"t")+COUNTIF($E194:F194,"¶")+COUNTIF($E194:F194,"²")+COUNTIF($E194:F194,"µ")+COUNTIF($E194:F194,1),ColTypeEcheance)),
  IF(LEN(F194)=1,
  IF(LEN(INDEX(Roadmap!$D:$K,MATCH($E194,Roadmap!$D:$D,0)-1+COUNTIF($E194:F194,"u")+COUNTIF($E194:F194,"t")+COUNTIF($E194:F194,"¶")+COUNTIF($E194:F194,"²")+COUNTIF($E194:F194,"µ")+COUNTIF($E194:F194,1),ColDescriptionCourte))&gt;1,
HYPERLINK("#Roadmap!C"&amp; MATCH($E194,Roadmap!$D:$D,0)+COUNTIF($E194:F194,"u")+COUNTIF($E194:F194,"t")+COUNTIF($E194:F194,"¶")+COUNTIF($E194:F194,"²")+COUNTIF($E194:F194,"µ")+COUNTIF($E194:F194,1)-1,INDEX(Roadmap!$D:$K,MATCH($E194,Roadmap!$D:$D,0)-1+COUNTIF($E194:F194,"u")+COUNTIF($E194:F194,"t")+COUNTIF($E194:F194,"¶")+COUNTIF($E194:F194,"²")+COUNTIF($E194:F194,"µ")+COUNTIF($E194:F194,1),ColDescriptionCourte)),""),
  "")),"")</f>
        <v/>
      </c>
      <c r="H194" s="40" t="str">
        <f ca="1">IFERROR(IF(AND(
  INDEX(Roadmap!$D:$K,MATCH($E194,Roadmap!$D:$D,0)+COUNTIF($E194:G194,"u")+COUNTIF($E194:G194,"t")+COUNTIF($E194:G194,"¶")+COUNTIF($E194:G194,"²")+COUNTIF($E194:G194,"µ")+COUNTIF($E194:G194,1),ColLivraison)=H$6,
  VLOOKUP($E194,INDIRECT("tri!"&amp; CHAR(64+ C0Col) &amp;":"&amp; CHAR(65+C0Col)),2,FALSE)&gt;COUNTIF($E194:G194,"u")+COUNTIF($E194:G194,"t")+COUNTIF($E194:G194,"¶")+COUNTIF($E194:G194,"²")+COUNTIF($E194:G194,"µ")+COUNTIF($E194:G194,1)),
HYPERLINK("#Roadmap!C"&amp; MATCH($E194,Roadmap!$D:$D,0)+COUNTIF($E194:G194,"u")+COUNTIF($E194:G194,"t"),
     INDEX(Roadmap!$D:$K,MATCH($E194,Roadmap!$D:$D,0)+COUNTIF($E194:G194,"u")+COUNTIF($E194:G194,"t")+COUNTIF($E194:G194,"¶")+COUNTIF($E194:G194,"²")+COUNTIF($E194:G194,"µ")+COUNTIF($E194:G194,1),ColTypeEcheance)),
  IF(LEN(G194)=1,
  IF(LEN(INDEX(Roadmap!$D:$K,MATCH($E194,Roadmap!$D:$D,0)-1+COUNTIF($E194:G194,"u")+COUNTIF($E194:G194,"t")+COUNTIF($E194:G194,"¶")+COUNTIF($E194:G194,"²")+COUNTIF($E194:G194,"µ")+COUNTIF($E194:G194,1),ColDescriptionCourte))&gt;1,
HYPERLINK("#Roadmap!C"&amp; MATCH($E194,Roadmap!$D:$D,0)+COUNTIF($E194:G194,"u")+COUNTIF($E194:G194,"t")+COUNTIF($E194:G194,"¶")+COUNTIF($E194:G194,"²")+COUNTIF($E194:G194,"µ")+COUNTIF($E194:G194,1)-1,INDEX(Roadmap!$D:$K,MATCH($E194,Roadmap!$D:$D,0)-1+COUNTIF($E194:G194,"u")+COUNTIF($E194:G194,"t")+COUNTIF($E194:G194,"¶")+COUNTIF($E194:G194,"²")+COUNTIF($E194:G194,"µ")+COUNTIF($E194:G194,1),ColDescriptionCourte)),""),
  "")),"")</f>
        <v/>
      </c>
      <c r="I194" s="40" t="str">
        <f ca="1">IFERROR(IF(AND(
  INDEX(Roadmap!$D:$K,MATCH($E194,Roadmap!$D:$D,0)+COUNTIF($E194:H194,"u")+COUNTIF($E194:H194,"t")+COUNTIF($E194:H194,"¶")+COUNTIF($E194:H194,"²")+COUNTIF($E194:H194,"µ")+COUNTIF($E194:H194,1),ColLivraison)=I$6,
  VLOOKUP($E194,INDIRECT("tri!"&amp; CHAR(64+ C0Col) &amp;":"&amp; CHAR(65+C0Col)),2,FALSE)&gt;COUNTIF($E194:H194,"u")+COUNTIF($E194:H194,"t")+COUNTIF($E194:H194,"¶")+COUNTIF($E194:H194,"²")+COUNTIF($E194:H194,"µ")+COUNTIF($E194:H194,1)),
HYPERLINK("#Roadmap!C"&amp; MATCH($E194,Roadmap!$D:$D,0)+COUNTIF($E194:H194,"u")+COUNTIF($E194:H194,"t"),
     INDEX(Roadmap!$D:$K,MATCH($E194,Roadmap!$D:$D,0)+COUNTIF($E194:H194,"u")+COUNTIF($E194:H194,"t")+COUNTIF($E194:H194,"¶")+COUNTIF($E194:H194,"²")+COUNTIF($E194:H194,"µ")+COUNTIF($E194:H194,1),ColTypeEcheance)),
  IF(LEN(H194)=1,
  IF(LEN(INDEX(Roadmap!$D:$K,MATCH($E194,Roadmap!$D:$D,0)-1+COUNTIF($E194:H194,"u")+COUNTIF($E194:H194,"t")+COUNTIF($E194:H194,"¶")+COUNTIF($E194:H194,"²")+COUNTIF($E194:H194,"µ")+COUNTIF($E194:H194,1),ColDescriptionCourte))&gt;1,
HYPERLINK("#Roadmap!C"&amp; MATCH($E194,Roadmap!$D:$D,0)+COUNTIF($E194:H194,"u")+COUNTIF($E194:H194,"t")+COUNTIF($E194:H194,"¶")+COUNTIF($E194:H194,"²")+COUNTIF($E194:H194,"µ")+COUNTIF($E194:H194,1)-1,INDEX(Roadmap!$D:$K,MATCH($E194,Roadmap!$D:$D,0)-1+COUNTIF($E194:H194,"u")+COUNTIF($E194:H194,"t")+COUNTIF($E194:H194,"¶")+COUNTIF($E194:H194,"²")+COUNTIF($E194:H194,"µ")+COUNTIF($E194:H194,1),ColDescriptionCourte)),""),
  "")),"")</f>
        <v/>
      </c>
      <c r="J194" s="40" t="str">
        <f ca="1">IFERROR(IF(AND(
  INDEX(Roadmap!$D:$K,MATCH($E194,Roadmap!$D:$D,0)+COUNTIF($E194:I194,"u")+COUNTIF($E194:I194,"t")+COUNTIF($E194:I194,"¶")+COUNTIF($E194:I194,"²")+COUNTIF($E194:I194,"µ")+COUNTIF($E194:I194,1),ColLivraison)=J$6,
  VLOOKUP($E194,INDIRECT("tri!"&amp; CHAR(64+ C0Col) &amp;":"&amp; CHAR(65+C0Col)),2,FALSE)&gt;COUNTIF($E194:I194,"u")+COUNTIF($E194:I194,"t")+COUNTIF($E194:I194,"¶")+COUNTIF($E194:I194,"²")+COUNTIF($E194:I194,"µ")+COUNTIF($E194:I194,1)),
HYPERLINK("#Roadmap!C"&amp; MATCH($E194,Roadmap!$D:$D,0)+COUNTIF($E194:I194,"u")+COUNTIF($E194:I194,"t"),
     INDEX(Roadmap!$D:$K,MATCH($E194,Roadmap!$D:$D,0)+COUNTIF($E194:I194,"u")+COUNTIF($E194:I194,"t")+COUNTIF($E194:I194,"¶")+COUNTIF($E194:I194,"²")+COUNTIF($E194:I194,"µ")+COUNTIF($E194:I194,1),ColTypeEcheance)),
  IF(LEN(I194)=1,
  IF(LEN(INDEX(Roadmap!$D:$K,MATCH($E194,Roadmap!$D:$D,0)-1+COUNTIF($E194:I194,"u")+COUNTIF($E194:I194,"t")+COUNTIF($E194:I194,"¶")+COUNTIF($E194:I194,"²")+COUNTIF($E194:I194,"µ")+COUNTIF($E194:I194,1),ColDescriptionCourte))&gt;1,
HYPERLINK("#Roadmap!C"&amp; MATCH($E194,Roadmap!$D:$D,0)+COUNTIF($E194:I194,"u")+COUNTIF($E194:I194,"t")+COUNTIF($E194:I194,"¶")+COUNTIF($E194:I194,"²")+COUNTIF($E194:I194,"µ")+COUNTIF($E194:I194,1)-1,INDEX(Roadmap!$D:$K,MATCH($E194,Roadmap!$D:$D,0)-1+COUNTIF($E194:I194,"u")+COUNTIF($E194:I194,"t")+COUNTIF($E194:I194,"¶")+COUNTIF($E194:I194,"²")+COUNTIF($E194:I194,"µ")+COUNTIF($E194:I194,1),ColDescriptionCourte)),""),
  "")),"")</f>
        <v/>
      </c>
      <c r="K194" s="40" t="str">
        <f ca="1">IFERROR(IF(AND(
  INDEX(Roadmap!$D:$K,MATCH($E194,Roadmap!$D:$D,0)+COUNTIF($E194:J194,"u")+COUNTIF($E194:J194,"t")+COUNTIF($E194:J194,"¶")+COUNTIF($E194:J194,"²")+COUNTIF($E194:J194,"µ")+COUNTIF($E194:J194,1),ColLivraison)=K$6,
  VLOOKUP($E194,INDIRECT("tri!"&amp; CHAR(64+ C0Col) &amp;":"&amp; CHAR(65+C0Col)),2,FALSE)&gt;COUNTIF($E194:J194,"u")+COUNTIF($E194:J194,"t")+COUNTIF($E194:J194,"¶")+COUNTIF($E194:J194,"²")+COUNTIF($E194:J194,"µ")+COUNTIF($E194:J194,1)),
HYPERLINK("#Roadmap!C"&amp; MATCH($E194,Roadmap!$D:$D,0)+COUNTIF($E194:J194,"u")+COUNTIF($E194:J194,"t"),
     INDEX(Roadmap!$D:$K,MATCH($E194,Roadmap!$D:$D,0)+COUNTIF($E194:J194,"u")+COUNTIF($E194:J194,"t")+COUNTIF($E194:J194,"¶")+COUNTIF($E194:J194,"²")+COUNTIF($E194:J194,"µ")+COUNTIF($E194:J194,1),ColTypeEcheance)),
  IF(LEN(J194)=1,
  IF(LEN(INDEX(Roadmap!$D:$K,MATCH($E194,Roadmap!$D:$D,0)-1+COUNTIF($E194:J194,"u")+COUNTIF($E194:J194,"t")+COUNTIF($E194:J194,"¶")+COUNTIF($E194:J194,"²")+COUNTIF($E194:J194,"µ")+COUNTIF($E194:J194,1),ColDescriptionCourte))&gt;1,
HYPERLINK("#Roadmap!C"&amp; MATCH($E194,Roadmap!$D:$D,0)+COUNTIF($E194:J194,"u")+COUNTIF($E194:J194,"t")+COUNTIF($E194:J194,"¶")+COUNTIF($E194:J194,"²")+COUNTIF($E194:J194,"µ")+COUNTIF($E194:J194,1)-1,INDEX(Roadmap!$D:$K,MATCH($E194,Roadmap!$D:$D,0)-1+COUNTIF($E194:J194,"u")+COUNTIF($E194:J194,"t")+COUNTIF($E194:J194,"¶")+COUNTIF($E194:J194,"²")+COUNTIF($E194:J194,"µ")+COUNTIF($E194:J194,1),ColDescriptionCourte)),""),
  "")),"")</f>
        <v/>
      </c>
      <c r="L194" s="39" t="str">
        <f ca="1">IFERROR(IF(AND(
  INDEX(Roadmap!$D:$K,MATCH($E194,Roadmap!$D:$D,0)+COUNTIF($E194:K194,"u")+COUNTIF($E194:K194,"t")+COUNTIF($E194:K194,"¶")+COUNTIF($E194:K194,"²")+COUNTIF($E194:K194,"µ")+COUNTIF($E194:K194,1),ColLivraison)=L$6,
  VLOOKUP($E194,INDIRECT("tri!"&amp; CHAR(64+ C0Col) &amp;":"&amp; CHAR(65+C0Col)),2,FALSE)&gt;COUNTIF($E194:K194,"u")+COUNTIF($E194:K194,"t")+COUNTIF($E194:K194,"¶")+COUNTIF($E194:K194,"²")+COUNTIF($E194:K194,"µ")+COUNTIF($E194:K194,1)),
HYPERLINK("#Roadmap!C"&amp; MATCH($E194,Roadmap!$D:$D,0)+COUNTIF($E194:K194,"u")+COUNTIF($E194:K194,"t"),
     INDEX(Roadmap!$D:$K,MATCH($E194,Roadmap!$D:$D,0)+COUNTIF($E194:K194,"u")+COUNTIF($E194:K194,"t")+COUNTIF($E194:K194,"¶")+COUNTIF($E194:K194,"²")+COUNTIF($E194:K194,"µ")+COUNTIF($E194:K194,1),ColTypeEcheance)),
  IF(LEN(K194)=1,
  IF(LEN(INDEX(Roadmap!$D:$K,MATCH($E194,Roadmap!$D:$D,0)-1+COUNTIF($E194:K194,"u")+COUNTIF($E194:K194,"t")+COUNTIF($E194:K194,"¶")+COUNTIF($E194:K194,"²")+COUNTIF($E194:K194,"µ")+COUNTIF($E194:K194,1),ColDescriptionCourte))&gt;1,
HYPERLINK("#Roadmap!C"&amp; MATCH($E194,Roadmap!$D:$D,0)+COUNTIF($E194:K194,"u")+COUNTIF($E194:K194,"t")+COUNTIF($E194:K194,"¶")+COUNTIF($E194:K194,"²")+COUNTIF($E194:K194,"µ")+COUNTIF($E194:K194,1)-1,INDEX(Roadmap!$D:$K,MATCH($E194,Roadmap!$D:$D,0)-1+COUNTIF($E194:K194,"u")+COUNTIF($E194:K194,"t")+COUNTIF($E194:K194,"¶")+COUNTIF($E194:K194,"²")+COUNTIF($E194:K194,"µ")+COUNTIF($E194:K194,1),ColDescriptionCourte)),""),
  "")),"")</f>
        <v/>
      </c>
      <c r="M194" s="40" t="str">
        <f ca="1">IFERROR(IF(AND(
  INDEX(Roadmap!$D:$K,MATCH($E194,Roadmap!$D:$D,0)+COUNTIF($E194:L194,"u")+COUNTIF($E194:L194,"t")+COUNTIF($E194:L194,"¶")+COUNTIF($E194:L194,"²")+COUNTIF($E194:L194,"µ")+COUNTIF($E194:L194,1),ColLivraison)=M$6,
  VLOOKUP($E194,INDIRECT("tri!"&amp; CHAR(64+ C0Col) &amp;":"&amp; CHAR(65+C0Col)),2,FALSE)&gt;COUNTIF($E194:L194,"u")+COUNTIF($E194:L194,"t")+COUNTIF($E194:L194,"¶")+COUNTIF($E194:L194,"²")+COUNTIF($E194:L194,"µ")+COUNTIF($E194:L194,1)),
HYPERLINK("#Roadmap!C"&amp; MATCH($E194,Roadmap!$D:$D,0)+COUNTIF($E194:L194,"u")+COUNTIF($E194:L194,"t"),
     INDEX(Roadmap!$D:$K,MATCH($E194,Roadmap!$D:$D,0)+COUNTIF($E194:L194,"u")+COUNTIF($E194:L194,"t")+COUNTIF($E194:L194,"¶")+COUNTIF($E194:L194,"²")+COUNTIF($E194:L194,"µ")+COUNTIF($E194:L194,1),ColTypeEcheance)),
  IF(LEN(L194)=1,
  IF(LEN(INDEX(Roadmap!$D:$K,MATCH($E194,Roadmap!$D:$D,0)-1+COUNTIF($E194:L194,"u")+COUNTIF($E194:L194,"t")+COUNTIF($E194:L194,"¶")+COUNTIF($E194:L194,"²")+COUNTIF($E194:L194,"µ")+COUNTIF($E194:L194,1),ColDescriptionCourte))&gt;1,
HYPERLINK("#Roadmap!C"&amp; MATCH($E194,Roadmap!$D:$D,0)+COUNTIF($E194:L194,"u")+COUNTIF($E194:L194,"t")+COUNTIF($E194:L194,"¶")+COUNTIF($E194:L194,"²")+COUNTIF($E194:L194,"µ")+COUNTIF($E194:L194,1)-1,INDEX(Roadmap!$D:$K,MATCH($E194,Roadmap!$D:$D,0)-1+COUNTIF($E194:L194,"u")+COUNTIF($E194:L194,"t")+COUNTIF($E194:L194,"¶")+COUNTIF($E194:L194,"²")+COUNTIF($E194:L194,"µ")+COUNTIF($E194:L194,1),ColDescriptionCourte)),""),
  "")),"")</f>
        <v/>
      </c>
      <c r="N194" s="40" t="str">
        <f ca="1">IFERROR(IF(AND(
  INDEX(Roadmap!$D:$K,MATCH($E194,Roadmap!$D:$D,0)+COUNTIF($E194:M194,"u")+COUNTIF($E194:M194,"t")+COUNTIF($E194:M194,"¶")+COUNTIF($E194:M194,"²")+COUNTIF($E194:M194,"µ")+COUNTIF($E194:M194,1),ColLivraison)=N$6,
  VLOOKUP($E194,INDIRECT("tri!"&amp; CHAR(64+ C0Col) &amp;":"&amp; CHAR(65+C0Col)),2,FALSE)&gt;COUNTIF($E194:M194,"u")+COUNTIF($E194:M194,"t")+COUNTIF($E194:M194,"¶")+COUNTIF($E194:M194,"²")+COUNTIF($E194:M194,"µ")+COUNTIF($E194:M194,1)),
HYPERLINK("#Roadmap!C"&amp; MATCH($E194,Roadmap!$D:$D,0)+COUNTIF($E194:M194,"u")+COUNTIF($E194:M194,"t"),
     INDEX(Roadmap!$D:$K,MATCH($E194,Roadmap!$D:$D,0)+COUNTIF($E194:M194,"u")+COUNTIF($E194:M194,"t")+COUNTIF($E194:M194,"¶")+COUNTIF($E194:M194,"²")+COUNTIF($E194:M194,"µ")+COUNTIF($E194:M194,1),ColTypeEcheance)),
  IF(LEN(M194)=1,
  IF(LEN(INDEX(Roadmap!$D:$K,MATCH($E194,Roadmap!$D:$D,0)-1+COUNTIF($E194:M194,"u")+COUNTIF($E194:M194,"t")+COUNTIF($E194:M194,"¶")+COUNTIF($E194:M194,"²")+COUNTIF($E194:M194,"µ")+COUNTIF($E194:M194,1),ColDescriptionCourte))&gt;1,
HYPERLINK("#Roadmap!C"&amp; MATCH($E194,Roadmap!$D:$D,0)+COUNTIF($E194:M194,"u")+COUNTIF($E194:M194,"t")+COUNTIF($E194:M194,"¶")+COUNTIF($E194:M194,"²")+COUNTIF($E194:M194,"µ")+COUNTIF($E194:M194,1)-1,INDEX(Roadmap!$D:$K,MATCH($E194,Roadmap!$D:$D,0)-1+COUNTIF($E194:M194,"u")+COUNTIF($E194:M194,"t")+COUNTIF($E194:M194,"¶")+COUNTIF($E194:M194,"²")+COUNTIF($E194:M194,"µ")+COUNTIF($E194:M194,1),ColDescriptionCourte)),""),
  "")),"")</f>
        <v/>
      </c>
      <c r="O194" s="40" t="str">
        <f ca="1">IFERROR(IF(AND(
  INDEX(Roadmap!$D:$K,MATCH($E194,Roadmap!$D:$D,0)+COUNTIF($E194:N194,"u")+COUNTIF($E194:N194,"t")+COUNTIF($E194:N194,"¶")+COUNTIF($E194:N194,"²")+COUNTIF($E194:N194,"µ")+COUNTIF($E194:N194,1),ColLivraison)=O$6,
  VLOOKUP($E194,INDIRECT("tri!"&amp; CHAR(64+ C0Col) &amp;":"&amp; CHAR(65+C0Col)),2,FALSE)&gt;COUNTIF($E194:N194,"u")+COUNTIF($E194:N194,"t")+COUNTIF($E194:N194,"¶")+COUNTIF($E194:N194,"²")+COUNTIF($E194:N194,"µ")+COUNTIF($E194:N194,1)),
HYPERLINK("#Roadmap!C"&amp; MATCH($E194,Roadmap!$D:$D,0)+COUNTIF($E194:N194,"u")+COUNTIF($E194:N194,"t"),
     INDEX(Roadmap!$D:$K,MATCH($E194,Roadmap!$D:$D,0)+COUNTIF($E194:N194,"u")+COUNTIF($E194:N194,"t")+COUNTIF($E194:N194,"¶")+COUNTIF($E194:N194,"²")+COUNTIF($E194:N194,"µ")+COUNTIF($E194:N194,1),ColTypeEcheance)),
  IF(LEN(N194)=1,
  IF(LEN(INDEX(Roadmap!$D:$K,MATCH($E194,Roadmap!$D:$D,0)-1+COUNTIF($E194:N194,"u")+COUNTIF($E194:N194,"t")+COUNTIF($E194:N194,"¶")+COUNTIF($E194:N194,"²")+COUNTIF($E194:N194,"µ")+COUNTIF($E194:N194,1),ColDescriptionCourte))&gt;1,
HYPERLINK("#Roadmap!C"&amp; MATCH($E194,Roadmap!$D:$D,0)+COUNTIF($E194:N194,"u")+COUNTIF($E194:N194,"t")+COUNTIF($E194:N194,"¶")+COUNTIF($E194:N194,"²")+COUNTIF($E194:N194,"µ")+COUNTIF($E194:N194,1)-1,INDEX(Roadmap!$D:$K,MATCH($E194,Roadmap!$D:$D,0)-1+COUNTIF($E194:N194,"u")+COUNTIF($E194:N194,"t")+COUNTIF($E194:N194,"¶")+COUNTIF($E194:N194,"²")+COUNTIF($E194:N194,"µ")+COUNTIF($E194:N194,1),ColDescriptionCourte)),""),
  "")),"")</f>
        <v/>
      </c>
      <c r="P194" s="40" t="str">
        <f ca="1">IFERROR(IF(AND(
  INDEX(Roadmap!$D:$K,MATCH($E194,Roadmap!$D:$D,0)+COUNTIF($E194:O194,"u")+COUNTIF($E194:O194,"t")+COUNTIF($E194:O194,"¶")+COUNTIF($E194:O194,"²")+COUNTIF($E194:O194,"µ")+COUNTIF($E194:O194,1),ColLivraison)=P$6,
  VLOOKUP($E194,INDIRECT("tri!"&amp; CHAR(64+ C0Col) &amp;":"&amp; CHAR(65+C0Col)),2,FALSE)&gt;COUNTIF($E194:O194,"u")+COUNTIF($E194:O194,"t")+COUNTIF($E194:O194,"¶")+COUNTIF($E194:O194,"²")+COUNTIF($E194:O194,"µ")+COUNTIF($E194:O194,1)),
HYPERLINK("#Roadmap!C"&amp; MATCH($E194,Roadmap!$D:$D,0)+COUNTIF($E194:O194,"u")+COUNTIF($E194:O194,"t"),
     INDEX(Roadmap!$D:$K,MATCH($E194,Roadmap!$D:$D,0)+COUNTIF($E194:O194,"u")+COUNTIF($E194:O194,"t")+COUNTIF($E194:O194,"¶")+COUNTIF($E194:O194,"²")+COUNTIF($E194:O194,"µ")+COUNTIF($E194:O194,1),ColTypeEcheance)),
  IF(LEN(O194)=1,
  IF(LEN(INDEX(Roadmap!$D:$K,MATCH($E194,Roadmap!$D:$D,0)-1+COUNTIF($E194:O194,"u")+COUNTIF($E194:O194,"t")+COUNTIF($E194:O194,"¶")+COUNTIF($E194:O194,"²")+COUNTIF($E194:O194,"µ")+COUNTIF($E194:O194,1),ColDescriptionCourte))&gt;1,
HYPERLINK("#Roadmap!C"&amp; MATCH($E194,Roadmap!$D:$D,0)+COUNTIF($E194:O194,"u")+COUNTIF($E194:O194,"t")+COUNTIF($E194:O194,"¶")+COUNTIF($E194:O194,"²")+COUNTIF($E194:O194,"µ")+COUNTIF($E194:O194,1)-1,INDEX(Roadmap!$D:$K,MATCH($E194,Roadmap!$D:$D,0)-1+COUNTIF($E194:O194,"u")+COUNTIF($E194:O194,"t")+COUNTIF($E194:O194,"¶")+COUNTIF($E194:O194,"²")+COUNTIF($E194:O194,"µ")+COUNTIF($E194:O194,1),ColDescriptionCourte)),""),
  "")),"")</f>
        <v/>
      </c>
      <c r="Q194" s="40" t="str">
        <f ca="1">IFERROR(IF(AND(
  INDEX(Roadmap!$D:$K,MATCH($E194,Roadmap!$D:$D,0)+COUNTIF($E194:P194,"u")+COUNTIF($E194:P194,"t")+COUNTIF($E194:P194,"¶")+COUNTIF($E194:P194,"²")+COUNTIF($E194:P194,"µ")+COUNTIF($E194:P194,1),ColLivraison)=Q$6,
  VLOOKUP($E194,INDIRECT("tri!"&amp; CHAR(64+ C0Col) &amp;":"&amp; CHAR(65+C0Col)),2,FALSE)&gt;COUNTIF($E194:P194,"u")+COUNTIF($E194:P194,"t")+COUNTIF($E194:P194,"¶")+COUNTIF($E194:P194,"²")+COUNTIF($E194:P194,"µ")+COUNTIF($E194:P194,1)),
HYPERLINK("#Roadmap!C"&amp; MATCH($E194,Roadmap!$D:$D,0)+COUNTIF($E194:P194,"u")+COUNTIF($E194:P194,"t"),
     INDEX(Roadmap!$D:$K,MATCH($E194,Roadmap!$D:$D,0)+COUNTIF($E194:P194,"u")+COUNTIF($E194:P194,"t")+COUNTIF($E194:P194,"¶")+COUNTIF($E194:P194,"²")+COUNTIF($E194:P194,"µ")+COUNTIF($E194:P194,1),ColTypeEcheance)),
  IF(LEN(P194)=1,
  IF(LEN(INDEX(Roadmap!$D:$K,MATCH($E194,Roadmap!$D:$D,0)-1+COUNTIF($E194:P194,"u")+COUNTIF($E194:P194,"t")+COUNTIF($E194:P194,"¶")+COUNTIF($E194:P194,"²")+COUNTIF($E194:P194,"µ")+COUNTIF($E194:P194,1),ColDescriptionCourte))&gt;1,
HYPERLINK("#Roadmap!C"&amp; MATCH($E194,Roadmap!$D:$D,0)+COUNTIF($E194:P194,"u")+COUNTIF($E194:P194,"t")+COUNTIF($E194:P194,"¶")+COUNTIF($E194:P194,"²")+COUNTIF($E194:P194,"µ")+COUNTIF($E194:P194,1)-1,INDEX(Roadmap!$D:$K,MATCH($E194,Roadmap!$D:$D,0)-1+COUNTIF($E194:P194,"u")+COUNTIF($E194:P194,"t")+COUNTIF($E194:P194,"¶")+COUNTIF($E194:P194,"²")+COUNTIF($E194:P194,"µ")+COUNTIF($E194:P194,1),ColDescriptionCourte)),""),
  "")),"")</f>
        <v/>
      </c>
      <c r="R194" s="40" t="str">
        <f ca="1">IFERROR(IF(AND(
  INDEX(Roadmap!$D:$K,MATCH($E194,Roadmap!$D:$D,0)+COUNTIF($E194:Q194,"u")+COUNTIF($E194:Q194,"t")+COUNTIF($E194:Q194,"¶")+COUNTIF($E194:Q194,"²")+COUNTIF($E194:Q194,"µ")+COUNTIF($E194:Q194,1),ColLivraison)=R$6,
  VLOOKUP($E194,INDIRECT("tri!"&amp; CHAR(64+ C0Col) &amp;":"&amp; CHAR(65+C0Col)),2,FALSE)&gt;COUNTIF($E194:Q194,"u")+COUNTIF($E194:Q194,"t")+COUNTIF($E194:Q194,"¶")+COUNTIF($E194:Q194,"²")+COUNTIF($E194:Q194,"µ")+COUNTIF($E194:Q194,1)),
HYPERLINK("#Roadmap!C"&amp; MATCH($E194,Roadmap!$D:$D,0)+COUNTIF($E194:Q194,"u")+COUNTIF($E194:Q194,"t"),
     INDEX(Roadmap!$D:$K,MATCH($E194,Roadmap!$D:$D,0)+COUNTIF($E194:Q194,"u")+COUNTIF($E194:Q194,"t")+COUNTIF($E194:Q194,"¶")+COUNTIF($E194:Q194,"²")+COUNTIF($E194:Q194,"µ")+COUNTIF($E194:Q194,1),ColTypeEcheance)),
  IF(LEN(Q194)=1,
  IF(LEN(INDEX(Roadmap!$D:$K,MATCH($E194,Roadmap!$D:$D,0)-1+COUNTIF($E194:Q194,"u")+COUNTIF($E194:Q194,"t")+COUNTIF($E194:Q194,"¶")+COUNTIF($E194:Q194,"²")+COUNTIF($E194:Q194,"µ")+COUNTIF($E194:Q194,1),ColDescriptionCourte))&gt;1,
HYPERLINK("#Roadmap!C"&amp; MATCH($E194,Roadmap!$D:$D,0)+COUNTIF($E194:Q194,"u")+COUNTIF($E194:Q194,"t")+COUNTIF($E194:Q194,"¶")+COUNTIF($E194:Q194,"²")+COUNTIF($E194:Q194,"µ")+COUNTIF($E194:Q194,1)-1,INDEX(Roadmap!$D:$K,MATCH($E194,Roadmap!$D:$D,0)-1+COUNTIF($E194:Q194,"u")+COUNTIF($E194:Q194,"t")+COUNTIF($E194:Q194,"¶")+COUNTIF($E194:Q194,"²")+COUNTIF($E194:Q194,"µ")+COUNTIF($E194:Q194,1),ColDescriptionCourte)),""),
  "")),"")</f>
        <v/>
      </c>
      <c r="S194" s="40" t="str">
        <f ca="1">IFERROR(IF(AND(
  INDEX(Roadmap!$D:$K,MATCH($E194,Roadmap!$D:$D,0)+COUNTIF($E194:R194,"u")+COUNTIF($E194:R194,"t")+COUNTIF($E194:R194,"¶")+COUNTIF($E194:R194,"²")+COUNTIF($E194:R194,"µ")+COUNTIF($E194:R194,1),ColLivraison)=S$6,
  VLOOKUP($E194,INDIRECT("tri!"&amp; CHAR(64+ C0Col) &amp;":"&amp; CHAR(65+C0Col)),2,FALSE)&gt;COUNTIF($E194:R194,"u")+COUNTIF($E194:R194,"t")+COUNTIF($E194:R194,"¶")+COUNTIF($E194:R194,"²")+COUNTIF($E194:R194,"µ")+COUNTIF($E194:R194,1)),
HYPERLINK("#Roadmap!C"&amp; MATCH($E194,Roadmap!$D:$D,0)+COUNTIF($E194:R194,"u")+COUNTIF($E194:R194,"t"),
     INDEX(Roadmap!$D:$K,MATCH($E194,Roadmap!$D:$D,0)+COUNTIF($E194:R194,"u")+COUNTIF($E194:R194,"t")+COUNTIF($E194:R194,"¶")+COUNTIF($E194:R194,"²")+COUNTIF($E194:R194,"µ")+COUNTIF($E194:R194,1),ColTypeEcheance)),
  IF(LEN(R194)=1,
  IF(LEN(INDEX(Roadmap!$D:$K,MATCH($E194,Roadmap!$D:$D,0)-1+COUNTIF($E194:R194,"u")+COUNTIF($E194:R194,"t")+COUNTIF($E194:R194,"¶")+COUNTIF($E194:R194,"²")+COUNTIF($E194:R194,"µ")+COUNTIF($E194:R194,1),ColDescriptionCourte))&gt;1,
HYPERLINK("#Roadmap!C"&amp; MATCH($E194,Roadmap!$D:$D,0)+COUNTIF($E194:R194,"u")+COUNTIF($E194:R194,"t")+COUNTIF($E194:R194,"¶")+COUNTIF($E194:R194,"²")+COUNTIF($E194:R194,"µ")+COUNTIF($E194:R194,1)-1,INDEX(Roadmap!$D:$K,MATCH($E194,Roadmap!$D:$D,0)-1+COUNTIF($E194:R194,"u")+COUNTIF($E194:R194,"t")+COUNTIF($E194:R194,"¶")+COUNTIF($E194:R194,"²")+COUNTIF($E194:R194,"µ")+COUNTIF($E194:R194,1),ColDescriptionCourte)),""),
  "")),"")</f>
        <v/>
      </c>
      <c r="T194" s="40" t="str">
        <f ca="1">IFERROR(IF(AND(
  INDEX(Roadmap!$D:$K,MATCH($E194,Roadmap!$D:$D,0)+COUNTIF($E194:S194,"u")+COUNTIF($E194:S194,"t")+COUNTIF($E194:S194,"¶")+COUNTIF($E194:S194,"²")+COUNTIF($E194:S194,"µ")+COUNTIF($E194:S194,1),ColLivraison)=T$6,
  VLOOKUP($E194,INDIRECT("tri!"&amp; CHAR(64+ C0Col) &amp;":"&amp; CHAR(65+C0Col)),2,FALSE)&gt;COUNTIF($E194:S194,"u")+COUNTIF($E194:S194,"t")+COUNTIF($E194:S194,"¶")+COUNTIF($E194:S194,"²")+COUNTIF($E194:S194,"µ")+COUNTIF($E194:S194,1)),
HYPERLINK("#Roadmap!C"&amp; MATCH($E194,Roadmap!$D:$D,0)+COUNTIF($E194:S194,"u")+COUNTIF($E194:S194,"t"),
     INDEX(Roadmap!$D:$K,MATCH($E194,Roadmap!$D:$D,0)+COUNTIF($E194:S194,"u")+COUNTIF($E194:S194,"t")+COUNTIF($E194:S194,"¶")+COUNTIF($E194:S194,"²")+COUNTIF($E194:S194,"µ")+COUNTIF($E194:S194,1),ColTypeEcheance)),
  IF(LEN(S194)=1,
  IF(LEN(INDEX(Roadmap!$D:$K,MATCH($E194,Roadmap!$D:$D,0)-1+COUNTIF($E194:S194,"u")+COUNTIF($E194:S194,"t")+COUNTIF($E194:S194,"¶")+COUNTIF($E194:S194,"²")+COUNTIF($E194:S194,"µ")+COUNTIF($E194:S194,1),ColDescriptionCourte))&gt;1,
HYPERLINK("#Roadmap!C"&amp; MATCH($E194,Roadmap!$D:$D,0)+COUNTIF($E194:S194,"u")+COUNTIF($E194:S194,"t")+COUNTIF($E194:S194,"¶")+COUNTIF($E194:S194,"²")+COUNTIF($E194:S194,"µ")+COUNTIF($E194:S194,1)-1,INDEX(Roadmap!$D:$K,MATCH($E194,Roadmap!$D:$D,0)-1+COUNTIF($E194:S194,"u")+COUNTIF($E194:S194,"t")+COUNTIF($E194:S194,"¶")+COUNTIF($E194:S194,"²")+COUNTIF($E194:S194,"µ")+COUNTIF($E194:S194,1),ColDescriptionCourte)),""),
  "")),"")</f>
        <v/>
      </c>
      <c r="U194" s="40" t="str">
        <f ca="1">IFERROR(IF(AND(
  INDEX(Roadmap!$D:$K,MATCH($E194,Roadmap!$D:$D,0)+COUNTIF($E194:T194,"u")+COUNTIF($E194:T194,"t")+COUNTIF($E194:T194,"¶")+COUNTIF($E194:T194,"²")+COUNTIF($E194:T194,"µ")+COUNTIF($E194:T194,1),ColLivraison)=U$6,
  VLOOKUP($E194,INDIRECT("tri!"&amp; CHAR(64+ C0Col) &amp;":"&amp; CHAR(65+C0Col)),2,FALSE)&gt;COUNTIF($E194:T194,"u")+COUNTIF($E194:T194,"t")+COUNTIF($E194:T194,"¶")+COUNTIF($E194:T194,"²")+COUNTIF($E194:T194,"µ")+COUNTIF($E194:T194,1)),
HYPERLINK("#Roadmap!C"&amp; MATCH($E194,Roadmap!$D:$D,0)+COUNTIF($E194:T194,"u")+COUNTIF($E194:T194,"t"),
     INDEX(Roadmap!$D:$K,MATCH($E194,Roadmap!$D:$D,0)+COUNTIF($E194:T194,"u")+COUNTIF($E194:T194,"t")+COUNTIF($E194:T194,"¶")+COUNTIF($E194:T194,"²")+COUNTIF($E194:T194,"µ")+COUNTIF($E194:T194,1),ColTypeEcheance)),
  IF(LEN(T194)=1,
  IF(LEN(INDEX(Roadmap!$D:$K,MATCH($E194,Roadmap!$D:$D,0)-1+COUNTIF($E194:T194,"u")+COUNTIF($E194:T194,"t")+COUNTIF($E194:T194,"¶")+COUNTIF($E194:T194,"²")+COUNTIF($E194:T194,"µ")+COUNTIF($E194:T194,1),ColDescriptionCourte))&gt;1,
HYPERLINK("#Roadmap!C"&amp; MATCH($E194,Roadmap!$D:$D,0)+COUNTIF($E194:T194,"u")+COUNTIF($E194:T194,"t")+COUNTIF($E194:T194,"¶")+COUNTIF($E194:T194,"²")+COUNTIF($E194:T194,"µ")+COUNTIF($E194:T194,1)-1,INDEX(Roadmap!$D:$K,MATCH($E194,Roadmap!$D:$D,0)-1+COUNTIF($E194:T194,"u")+COUNTIF($E194:T194,"t")+COUNTIF($E194:T194,"¶")+COUNTIF($E194:T194,"²")+COUNTIF($E194:T194,"µ")+COUNTIF($E194:T194,1),ColDescriptionCourte)),""),
  "")),"")</f>
        <v/>
      </c>
      <c r="V194" s="40" t="str">
        <f ca="1">IFERROR(IF(AND(
  INDEX(Roadmap!$D:$K,MATCH($E194,Roadmap!$D:$D,0)+COUNTIF($E194:U194,"u")+COUNTIF($E194:U194,"t")+COUNTIF($E194:U194,"¶")+COUNTIF($E194:U194,"²")+COUNTIF($E194:U194,"µ")+COUNTIF($E194:U194,1),ColLivraison)=V$6,
  VLOOKUP($E194,INDIRECT("tri!"&amp; CHAR(64+ C0Col) &amp;":"&amp; CHAR(65+C0Col)),2,FALSE)&gt;COUNTIF($E194:U194,"u")+COUNTIF($E194:U194,"t")+COUNTIF($E194:U194,"¶")+COUNTIF($E194:U194,"²")+COUNTIF($E194:U194,"µ")+COUNTIF($E194:U194,1)),
HYPERLINK("#Roadmap!C"&amp; MATCH($E194,Roadmap!$D:$D,0)+COUNTIF($E194:U194,"u")+COUNTIF($E194:U194,"t"),
     INDEX(Roadmap!$D:$K,MATCH($E194,Roadmap!$D:$D,0)+COUNTIF($E194:U194,"u")+COUNTIF($E194:U194,"t")+COUNTIF($E194:U194,"¶")+COUNTIF($E194:U194,"²")+COUNTIF($E194:U194,"µ")+COUNTIF($E194:U194,1),ColTypeEcheance)),
  IF(LEN(U194)=1,
  IF(LEN(INDEX(Roadmap!$D:$K,MATCH($E194,Roadmap!$D:$D,0)-1+COUNTIF($E194:U194,"u")+COUNTIF($E194:U194,"t")+COUNTIF($E194:U194,"¶")+COUNTIF($E194:U194,"²")+COUNTIF($E194:U194,"µ")+COUNTIF($E194:U194,1),ColDescriptionCourte))&gt;1,
HYPERLINK("#Roadmap!C"&amp; MATCH($E194,Roadmap!$D:$D,0)+COUNTIF($E194:U194,"u")+COUNTIF($E194:U194,"t")+COUNTIF($E194:U194,"¶")+COUNTIF($E194:U194,"²")+COUNTIF($E194:U194,"µ")+COUNTIF($E194:U194,1)-1,INDEX(Roadmap!$D:$K,MATCH($E194,Roadmap!$D:$D,0)-1+COUNTIF($E194:U194,"u")+COUNTIF($E194:U194,"t")+COUNTIF($E194:U194,"¶")+COUNTIF($E194:U194,"²")+COUNTIF($E194:U194,"µ")+COUNTIF($E194:U194,1),ColDescriptionCourte)),""),
  "")),"")</f>
        <v/>
      </c>
      <c r="W194" s="40" t="str">
        <f ca="1">IFERROR(IF(AND(
  INDEX(Roadmap!$D:$K,MATCH($E194,Roadmap!$D:$D,0)+COUNTIF($E194:V194,"u")+COUNTIF($E194:V194,"t")+COUNTIF($E194:V194,"¶")+COUNTIF($E194:V194,"²")+COUNTIF($E194:V194,"µ")+COUNTIF($E194:V194,1),ColLivraison)=W$6,
  VLOOKUP($E194,INDIRECT("tri!"&amp; CHAR(64+ C0Col) &amp;":"&amp; CHAR(65+C0Col)),2,FALSE)&gt;COUNTIF($E194:V194,"u")+COUNTIF($E194:V194,"t")+COUNTIF($E194:V194,"¶")+COUNTIF($E194:V194,"²")+COUNTIF($E194:V194,"µ")+COUNTIF($E194:V194,1)),
HYPERLINK("#Roadmap!C"&amp; MATCH($E194,Roadmap!$D:$D,0)+COUNTIF($E194:V194,"u")+COUNTIF($E194:V194,"t"),
     INDEX(Roadmap!$D:$K,MATCH($E194,Roadmap!$D:$D,0)+COUNTIF($E194:V194,"u")+COUNTIF($E194:V194,"t")+COUNTIF($E194:V194,"¶")+COUNTIF($E194:V194,"²")+COUNTIF($E194:V194,"µ")+COUNTIF($E194:V194,1),ColTypeEcheance)),
  IF(LEN(V194)=1,
  IF(LEN(INDEX(Roadmap!$D:$K,MATCH($E194,Roadmap!$D:$D,0)-1+COUNTIF($E194:V194,"u")+COUNTIF($E194:V194,"t")+COUNTIF($E194:V194,"¶")+COUNTIF($E194:V194,"²")+COUNTIF($E194:V194,"µ")+COUNTIF($E194:V194,1),ColDescriptionCourte))&gt;1,
HYPERLINK("#Roadmap!C"&amp; MATCH($E194,Roadmap!$D:$D,0)+COUNTIF($E194:V194,"u")+COUNTIF($E194:V194,"t")+COUNTIF($E194:V194,"¶")+COUNTIF($E194:V194,"²")+COUNTIF($E194:V194,"µ")+COUNTIF($E194:V194,1)-1,INDEX(Roadmap!$D:$K,MATCH($E194,Roadmap!$D:$D,0)-1+COUNTIF($E194:V194,"u")+COUNTIF($E194:V194,"t")+COUNTIF($E194:V194,"¶")+COUNTIF($E194:V194,"²")+COUNTIF($E194:V194,"µ")+COUNTIF($E194:V194,1),ColDescriptionCourte)),""),
  "")),"")</f>
        <v/>
      </c>
      <c r="X194" s="40" t="str">
        <f ca="1">IFERROR(IF(AND(
  INDEX(Roadmap!$D:$K,MATCH($E194,Roadmap!$D:$D,0)+COUNTIF($E194:W194,"u")+COUNTIF($E194:W194,"t")+COUNTIF($E194:W194,"¶")+COUNTIF($E194:W194,"²")+COUNTIF($E194:W194,"µ")+COUNTIF($E194:W194,1),ColLivraison)=X$6,
  VLOOKUP($E194,INDIRECT("tri!"&amp; CHAR(64+ C0Col) &amp;":"&amp; CHAR(65+C0Col)),2,FALSE)&gt;COUNTIF($E194:W194,"u")+COUNTIF($E194:W194,"t")+COUNTIF($E194:W194,"¶")+COUNTIF($E194:W194,"²")+COUNTIF($E194:W194,"µ")+COUNTIF($E194:W194,1)),
HYPERLINK("#Roadmap!C"&amp; MATCH($E194,Roadmap!$D:$D,0)+COUNTIF($E194:W194,"u")+COUNTIF($E194:W194,"t"),
     INDEX(Roadmap!$D:$K,MATCH($E194,Roadmap!$D:$D,0)+COUNTIF($E194:W194,"u")+COUNTIF($E194:W194,"t")+COUNTIF($E194:W194,"¶")+COUNTIF($E194:W194,"²")+COUNTIF($E194:W194,"µ")+COUNTIF($E194:W194,1),ColTypeEcheance)),
  IF(LEN(W194)=1,
  IF(LEN(INDEX(Roadmap!$D:$K,MATCH($E194,Roadmap!$D:$D,0)-1+COUNTIF($E194:W194,"u")+COUNTIF($E194:W194,"t")+COUNTIF($E194:W194,"¶")+COUNTIF($E194:W194,"²")+COUNTIF($E194:W194,"µ")+COUNTIF($E194:W194,1),ColDescriptionCourte))&gt;1,
HYPERLINK("#Roadmap!C"&amp; MATCH($E194,Roadmap!$D:$D,0)+COUNTIF($E194:W194,"u")+COUNTIF($E194:W194,"t")+COUNTIF($E194:W194,"¶")+COUNTIF($E194:W194,"²")+COUNTIF($E194:W194,"µ")+COUNTIF($E194:W194,1)-1,INDEX(Roadmap!$D:$K,MATCH($E194,Roadmap!$D:$D,0)-1+COUNTIF($E194:W194,"u")+COUNTIF($E194:W194,"t")+COUNTIF($E194:W194,"¶")+COUNTIF($E194:W194,"²")+COUNTIF($E194:W194,"µ")+COUNTIF($E194:W194,1),ColDescriptionCourte)),""),
  "")),"")</f>
        <v/>
      </c>
      <c r="Y194" s="40" t="str">
        <f ca="1">IFERROR(IF(AND(
  INDEX(Roadmap!$D:$K,MATCH($E194,Roadmap!$D:$D,0)+COUNTIF($E194:X194,"u")+COUNTIF($E194:X194,"t")+COUNTIF($E194:X194,"¶")+COUNTIF($E194:X194,"²")+COUNTIF($E194:X194,"µ")+COUNTIF($E194:X194,1),ColLivraison)=Y$6,
  VLOOKUP($E194,INDIRECT("tri!"&amp; CHAR(64+ C0Col) &amp;":"&amp; CHAR(65+C0Col)),2,FALSE)&gt;COUNTIF($E194:X194,"u")+COUNTIF($E194:X194,"t")+COUNTIF($E194:X194,"¶")+COUNTIF($E194:X194,"²")+COUNTIF($E194:X194,"µ")+COUNTIF($E194:X194,1)),
HYPERLINK("#Roadmap!C"&amp; MATCH($E194,Roadmap!$D:$D,0)+COUNTIF($E194:X194,"u")+COUNTIF($E194:X194,"t"),
     INDEX(Roadmap!$D:$K,MATCH($E194,Roadmap!$D:$D,0)+COUNTIF($E194:X194,"u")+COUNTIF($E194:X194,"t")+COUNTIF($E194:X194,"¶")+COUNTIF($E194:X194,"²")+COUNTIF($E194:X194,"µ")+COUNTIF($E194:X194,1),ColTypeEcheance)),
  IF(LEN(X194)=1,
  IF(LEN(INDEX(Roadmap!$D:$K,MATCH($E194,Roadmap!$D:$D,0)-1+COUNTIF($E194:X194,"u")+COUNTIF($E194:X194,"t")+COUNTIF($E194:X194,"¶")+COUNTIF($E194:X194,"²")+COUNTIF($E194:X194,"µ")+COUNTIF($E194:X194,1),ColDescriptionCourte))&gt;1,
HYPERLINK("#Roadmap!C"&amp; MATCH($E194,Roadmap!$D:$D,0)+COUNTIF($E194:X194,"u")+COUNTIF($E194:X194,"t")+COUNTIF($E194:X194,"¶")+COUNTIF($E194:X194,"²")+COUNTIF($E194:X194,"µ")+COUNTIF($E194:X194,1)-1,INDEX(Roadmap!$D:$K,MATCH($E194,Roadmap!$D:$D,0)-1+COUNTIF($E194:X194,"u")+COUNTIF($E194:X194,"t")+COUNTIF($E194:X194,"¶")+COUNTIF($E194:X194,"²")+COUNTIF($E194:X194,"µ")+COUNTIF($E194:X194,1),ColDescriptionCourte)),""),
  "")),"")</f>
        <v/>
      </c>
      <c r="Z194" s="40" t="str">
        <f ca="1">IFERROR(IF(AND(
  INDEX(Roadmap!$D:$K,MATCH($E194,Roadmap!$D:$D,0)+COUNTIF($E194:Y194,"u")+COUNTIF($E194:Y194,"t")+COUNTIF($E194:Y194,"¶")+COUNTIF($E194:Y194,"²")+COUNTIF($E194:Y194,"µ")+COUNTIF($E194:Y194,1),ColLivraison)=Z$6,
  VLOOKUP($E194,INDIRECT("tri!"&amp; CHAR(64+ C0Col) &amp;":"&amp; CHAR(65+C0Col)),2,FALSE)&gt;COUNTIF($E194:Y194,"u")+COUNTIF($E194:Y194,"t")+COUNTIF($E194:Y194,"¶")+COUNTIF($E194:Y194,"²")+COUNTIF($E194:Y194,"µ")+COUNTIF($E194:Y194,1)),
HYPERLINK("#Roadmap!C"&amp; MATCH($E194,Roadmap!$D:$D,0)+COUNTIF($E194:Y194,"u")+COUNTIF($E194:Y194,"t"),
     INDEX(Roadmap!$D:$K,MATCH($E194,Roadmap!$D:$D,0)+COUNTIF($E194:Y194,"u")+COUNTIF($E194:Y194,"t")+COUNTIF($E194:Y194,"¶")+COUNTIF($E194:Y194,"²")+COUNTIF($E194:Y194,"µ")+COUNTIF($E194:Y194,1),ColTypeEcheance)),
  IF(LEN(Y194)=1,
  IF(LEN(INDEX(Roadmap!$D:$K,MATCH($E194,Roadmap!$D:$D,0)-1+COUNTIF($E194:Y194,"u")+COUNTIF($E194:Y194,"t")+COUNTIF($E194:Y194,"¶")+COUNTIF($E194:Y194,"²")+COUNTIF($E194:Y194,"µ")+COUNTIF($E194:Y194,1),ColDescriptionCourte))&gt;1,
HYPERLINK("#Roadmap!C"&amp; MATCH($E194,Roadmap!$D:$D,0)+COUNTIF($E194:Y194,"u")+COUNTIF($E194:Y194,"t")+COUNTIF($E194:Y194,"¶")+COUNTIF($E194:Y194,"²")+COUNTIF($E194:Y194,"µ")+COUNTIF($E194:Y194,1)-1,INDEX(Roadmap!$D:$K,MATCH($E194,Roadmap!$D:$D,0)-1+COUNTIF($E194:Y194,"u")+COUNTIF($E194:Y194,"t")+COUNTIF($E194:Y194,"¶")+COUNTIF($E194:Y194,"²")+COUNTIF($E194:Y194,"µ")+COUNTIF($E194:Y194,1),ColDescriptionCourte)),""),
  "")),"")</f>
        <v/>
      </c>
      <c r="AA194" s="40" t="str">
        <f ca="1">IFERROR(IF(AND(
  INDEX(Roadmap!$D:$K,MATCH($E194,Roadmap!$D:$D,0)+COUNTIF($E194:Z194,"u")+COUNTIF($E194:Z194,"t")+COUNTIF($E194:Z194,"¶")+COUNTIF($E194:Z194,"²")+COUNTIF($E194:Z194,"µ")+COUNTIF($E194:Z194,1),ColLivraison)=AA$6,
  VLOOKUP($E194,INDIRECT("tri!"&amp; CHAR(64+ C0Col) &amp;":"&amp; CHAR(65+C0Col)),2,FALSE)&gt;COUNTIF($E194:Z194,"u")+COUNTIF($E194:Z194,"t")+COUNTIF($E194:Z194,"¶")+COUNTIF($E194:Z194,"²")+COUNTIF($E194:Z194,"µ")+COUNTIF($E194:Z194,1)),
HYPERLINK("#Roadmap!C"&amp; MATCH($E194,Roadmap!$D:$D,0)+COUNTIF($E194:Z194,"u")+COUNTIF($E194:Z194,"t"),
     INDEX(Roadmap!$D:$K,MATCH($E194,Roadmap!$D:$D,0)+COUNTIF($E194:Z194,"u")+COUNTIF($E194:Z194,"t")+COUNTIF($E194:Z194,"¶")+COUNTIF($E194:Z194,"²")+COUNTIF($E194:Z194,"µ")+COUNTIF($E194:Z194,1),ColTypeEcheance)),
  IF(LEN(Z194)=1,
  IF(LEN(INDEX(Roadmap!$D:$K,MATCH($E194,Roadmap!$D:$D,0)-1+COUNTIF($E194:Z194,"u")+COUNTIF($E194:Z194,"t")+COUNTIF($E194:Z194,"¶")+COUNTIF($E194:Z194,"²")+COUNTIF($E194:Z194,"µ")+COUNTIF($E194:Z194,1),ColDescriptionCourte))&gt;1,
HYPERLINK("#Roadmap!C"&amp; MATCH($E194,Roadmap!$D:$D,0)+COUNTIF($E194:Z194,"u")+COUNTIF($E194:Z194,"t")+COUNTIF($E194:Z194,"¶")+COUNTIF($E194:Z194,"²")+COUNTIF($E194:Z194,"µ")+COUNTIF($E194:Z194,1)-1,INDEX(Roadmap!$D:$K,MATCH($E194,Roadmap!$D:$D,0)-1+COUNTIF($E194:Z194,"u")+COUNTIF($E194:Z194,"t")+COUNTIF($E194:Z194,"¶")+COUNTIF($E194:Z194,"²")+COUNTIF($E194:Z194,"µ")+COUNTIF($E194:Z194,1),ColDescriptionCourte)),""),
  "")),"")</f>
        <v/>
      </c>
      <c r="AB194" s="40" t="str">
        <f ca="1">IFERROR(IF(AND(
  INDEX(Roadmap!$D:$K,MATCH($E194,Roadmap!$D:$D,0)+COUNTIF($E194:AA194,"u")+COUNTIF($E194:AA194,"t")+COUNTIF($E194:AA194,"¶")+COUNTIF($E194:AA194,"²")+COUNTIF($E194:AA194,"µ")+COUNTIF($E194:AA194,1),ColLivraison)=AB$6,
  VLOOKUP($E194,INDIRECT("tri!"&amp; CHAR(64+ C0Col) &amp;":"&amp; CHAR(65+C0Col)),2,FALSE)&gt;COUNTIF($E194:AA194,"u")+COUNTIF($E194:AA194,"t")+COUNTIF($E194:AA194,"¶")+COUNTIF($E194:AA194,"²")+COUNTIF($E194:AA194,"µ")+COUNTIF($E194:AA194,1)),
HYPERLINK("#Roadmap!C"&amp; MATCH($E194,Roadmap!$D:$D,0)+COUNTIF($E194:AA194,"u")+COUNTIF($E194:AA194,"t"),
     INDEX(Roadmap!$D:$K,MATCH($E194,Roadmap!$D:$D,0)+COUNTIF($E194:AA194,"u")+COUNTIF($E194:AA194,"t")+COUNTIF($E194:AA194,"¶")+COUNTIF($E194:AA194,"²")+COUNTIF($E194:AA194,"µ")+COUNTIF($E194:AA194,1),ColTypeEcheance)),
  IF(LEN(AA194)=1,
  IF(LEN(INDEX(Roadmap!$D:$K,MATCH($E194,Roadmap!$D:$D,0)-1+COUNTIF($E194:AA194,"u")+COUNTIF($E194:AA194,"t")+COUNTIF($E194:AA194,"¶")+COUNTIF($E194:AA194,"²")+COUNTIF($E194:AA194,"µ")+COUNTIF($E194:AA194,1),ColDescriptionCourte))&gt;1,
HYPERLINK("#Roadmap!C"&amp; MATCH($E194,Roadmap!$D:$D,0)+COUNTIF($E194:AA194,"u")+COUNTIF($E194:AA194,"t")+COUNTIF($E194:AA194,"¶")+COUNTIF($E194:AA194,"²")+COUNTIF($E194:AA194,"µ")+COUNTIF($E194:AA194,1)-1,INDEX(Roadmap!$D:$K,MATCH($E194,Roadmap!$D:$D,0)-1+COUNTIF($E194:AA194,"u")+COUNTIF($E194:AA194,"t")+COUNTIF($E194:AA194,"¶")+COUNTIF($E194:AA194,"²")+COUNTIF($E194:AA194,"µ")+COUNTIF($E194:AA194,1),ColDescriptionCourte)),""),
  "")),"")</f>
        <v/>
      </c>
      <c r="AC194" s="40" t="str">
        <f ca="1">IFERROR(IF(AND(
  INDEX(Roadmap!$D:$K,MATCH($E194,Roadmap!$D:$D,0)+COUNTIF($E194:AB194,"u")+COUNTIF($E194:AB194,"t")+COUNTIF($E194:AB194,"¶")+COUNTIF($E194:AB194,"²")+COUNTIF($E194:AB194,"µ")+COUNTIF($E194:AB194,1),ColLivraison)=AC$6,
  VLOOKUP($E194,INDIRECT("tri!"&amp; CHAR(64+ C0Col) &amp;":"&amp; CHAR(65+C0Col)),2,FALSE)&gt;COUNTIF($E194:AB194,"u")+COUNTIF($E194:AB194,"t")+COUNTIF($E194:AB194,"¶")+COUNTIF($E194:AB194,"²")+COUNTIF($E194:AB194,"µ")+COUNTIF($E194:AB194,1)),
HYPERLINK("#Roadmap!C"&amp; MATCH($E194,Roadmap!$D:$D,0)+COUNTIF($E194:AB194,"u")+COUNTIF($E194:AB194,"t"),
     INDEX(Roadmap!$D:$K,MATCH($E194,Roadmap!$D:$D,0)+COUNTIF($E194:AB194,"u")+COUNTIF($E194:AB194,"t")+COUNTIF($E194:AB194,"¶")+COUNTIF($E194:AB194,"²")+COUNTIF($E194:AB194,"µ")+COUNTIF($E194:AB194,1),ColTypeEcheance)),
  IF(LEN(AB194)=1,
  IF(LEN(INDEX(Roadmap!$D:$K,MATCH($E194,Roadmap!$D:$D,0)-1+COUNTIF($E194:AB194,"u")+COUNTIF($E194:AB194,"t")+COUNTIF($E194:AB194,"¶")+COUNTIF($E194:AB194,"²")+COUNTIF($E194:AB194,"µ")+COUNTIF($E194:AB194,1),ColDescriptionCourte))&gt;1,
HYPERLINK("#Roadmap!C"&amp; MATCH($E194,Roadmap!$D:$D,0)+COUNTIF($E194:AB194,"u")+COUNTIF($E194:AB194,"t")+COUNTIF($E194:AB194,"¶")+COUNTIF($E194:AB194,"²")+COUNTIF($E194:AB194,"µ")+COUNTIF($E194:AB194,1)-1,INDEX(Roadmap!$D:$K,MATCH($E194,Roadmap!$D:$D,0)-1+COUNTIF($E194:AB194,"u")+COUNTIF($E194:AB194,"t")+COUNTIF($E194:AB194,"¶")+COUNTIF($E194:AB194,"²")+COUNTIF($E194:AB194,"µ")+COUNTIF($E194:AB194,1),ColDescriptionCourte)),""),
  "")),"")</f>
        <v/>
      </c>
      <c r="AD194" s="40" t="str">
        <f ca="1">IFERROR(IF(AND(
  INDEX(Roadmap!$D:$K,MATCH($E194,Roadmap!$D:$D,0)+COUNTIF($E194:AC194,"u")+COUNTIF($E194:AC194,"t")+COUNTIF($E194:AC194,"¶")+COUNTIF($E194:AC194,"²")+COUNTIF($E194:AC194,"µ")+COUNTIF($E194:AC194,1),ColLivraison)=AD$6,
  VLOOKUP($E194,INDIRECT("tri!"&amp; CHAR(64+ C0Col) &amp;":"&amp; CHAR(65+C0Col)),2,FALSE)&gt;COUNTIF($E194:AC194,"u")+COUNTIF($E194:AC194,"t")+COUNTIF($E194:AC194,"¶")+COUNTIF($E194:AC194,"²")+COUNTIF($E194:AC194,"µ")+COUNTIF($E194:AC194,1)),
HYPERLINK("#Roadmap!C"&amp; MATCH($E194,Roadmap!$D:$D,0)+COUNTIF($E194:AC194,"u")+COUNTIF($E194:AC194,"t"),
     INDEX(Roadmap!$D:$K,MATCH($E194,Roadmap!$D:$D,0)+COUNTIF($E194:AC194,"u")+COUNTIF($E194:AC194,"t")+COUNTIF($E194:AC194,"¶")+COUNTIF($E194:AC194,"²")+COUNTIF($E194:AC194,"µ")+COUNTIF($E194:AC194,1),ColTypeEcheance)),
  IF(LEN(AC194)=1,
  IF(LEN(INDEX(Roadmap!$D:$K,MATCH($E194,Roadmap!$D:$D,0)-1+COUNTIF($E194:AC194,"u")+COUNTIF($E194:AC194,"t")+COUNTIF($E194:AC194,"¶")+COUNTIF($E194:AC194,"²")+COUNTIF($E194:AC194,"µ")+COUNTIF($E194:AC194,1),ColDescriptionCourte))&gt;1,
HYPERLINK("#Roadmap!C"&amp; MATCH($E194,Roadmap!$D:$D,0)+COUNTIF($E194:AC194,"u")+COUNTIF($E194:AC194,"t")+COUNTIF($E194:AC194,"¶")+COUNTIF($E194:AC194,"²")+COUNTIF($E194:AC194,"µ")+COUNTIF($E194:AC194,1)-1,INDEX(Roadmap!$D:$K,MATCH($E194,Roadmap!$D:$D,0)-1+COUNTIF($E194:AC194,"u")+COUNTIF($E194:AC194,"t")+COUNTIF($E194:AC194,"¶")+COUNTIF($E194:AC194,"²")+COUNTIF($E194:AC194,"µ")+COUNTIF($E194:AC194,1),ColDescriptionCourte)),""),
  "")),"")</f>
        <v/>
      </c>
      <c r="AE194" s="40" t="str">
        <f ca="1">IFERROR(IF(AND(
  INDEX(Roadmap!$D:$K,MATCH($E194,Roadmap!$D:$D,0)+COUNTIF($E194:AD194,"u")+COUNTIF($E194:AD194,"t")+COUNTIF($E194:AD194,"¶")+COUNTIF($E194:AD194,"²")+COUNTIF($E194:AD194,"µ")+COUNTIF($E194:AD194,1),ColLivraison)=AE$6,
  VLOOKUP($E194,INDIRECT("tri!"&amp; CHAR(64+ C0Col) &amp;":"&amp; CHAR(65+C0Col)),2,FALSE)&gt;COUNTIF($E194:AD194,"u")+COUNTIF($E194:AD194,"t")+COUNTIF($E194:AD194,"¶")+COUNTIF($E194:AD194,"²")+COUNTIF($E194:AD194,"µ")+COUNTIF($E194:AD194,1)),
HYPERLINK("#Roadmap!C"&amp; MATCH($E194,Roadmap!$D:$D,0)+COUNTIF($E194:AD194,"u")+COUNTIF($E194:AD194,"t"),
     INDEX(Roadmap!$D:$K,MATCH($E194,Roadmap!$D:$D,0)+COUNTIF($E194:AD194,"u")+COUNTIF($E194:AD194,"t")+COUNTIF($E194:AD194,"¶")+COUNTIF($E194:AD194,"²")+COUNTIF($E194:AD194,"µ")+COUNTIF($E194:AD194,1),ColTypeEcheance)),
  IF(LEN(AD194)=1,
  IF(LEN(INDEX(Roadmap!$D:$K,MATCH($E194,Roadmap!$D:$D,0)-1+COUNTIF($E194:AD194,"u")+COUNTIF($E194:AD194,"t")+COUNTIF($E194:AD194,"¶")+COUNTIF($E194:AD194,"²")+COUNTIF($E194:AD194,"µ")+COUNTIF($E194:AD194,1),ColDescriptionCourte))&gt;1,
HYPERLINK("#Roadmap!C"&amp; MATCH($E194,Roadmap!$D:$D,0)+COUNTIF($E194:AD194,"u")+COUNTIF($E194:AD194,"t")+COUNTIF($E194:AD194,"¶")+COUNTIF($E194:AD194,"²")+COUNTIF($E194:AD194,"µ")+COUNTIF($E194:AD194,1)-1,INDEX(Roadmap!$D:$K,MATCH($E194,Roadmap!$D:$D,0)-1+COUNTIF($E194:AD194,"u")+COUNTIF($E194:AD194,"t")+COUNTIF($E194:AD194,"¶")+COUNTIF($E194:AD194,"²")+COUNTIF($E194:AD194,"µ")+COUNTIF($E194:AD194,1),ColDescriptionCourte)),""),
  "")),"")</f>
        <v/>
      </c>
      <c r="AF194" s="40" t="str">
        <f ca="1">IFERROR(IF(AND(
  INDEX(Roadmap!$D:$K,MATCH($E194,Roadmap!$D:$D,0)+COUNTIF($E194:AE194,"u")+COUNTIF($E194:AE194,"t")+COUNTIF($E194:AE194,"¶")+COUNTIF($E194:AE194,"²")+COUNTIF($E194:AE194,"µ")+COUNTIF($E194:AE194,1),ColLivraison)=AF$6,
  VLOOKUP($E194,INDIRECT("tri!"&amp; CHAR(64+ C0Col) &amp;":"&amp; CHAR(65+C0Col)),2,FALSE)&gt;COUNTIF($E194:AE194,"u")+COUNTIF($E194:AE194,"t")+COUNTIF($E194:AE194,"¶")+COUNTIF($E194:AE194,"²")+COUNTIF($E194:AE194,"µ")+COUNTIF($E194:AE194,1)),
HYPERLINK("#Roadmap!C"&amp; MATCH($E194,Roadmap!$D:$D,0)+COUNTIF($E194:AE194,"u")+COUNTIF($E194:AE194,"t"),
     INDEX(Roadmap!$D:$K,MATCH($E194,Roadmap!$D:$D,0)+COUNTIF($E194:AE194,"u")+COUNTIF($E194:AE194,"t")+COUNTIF($E194:AE194,"¶")+COUNTIF($E194:AE194,"²")+COUNTIF($E194:AE194,"µ")+COUNTIF($E194:AE194,1),ColTypeEcheance)),
  IF(LEN(AE194)=1,
  IF(LEN(INDEX(Roadmap!$D:$K,MATCH($E194,Roadmap!$D:$D,0)-1+COUNTIF($E194:AE194,"u")+COUNTIF($E194:AE194,"t")+COUNTIF($E194:AE194,"¶")+COUNTIF($E194:AE194,"²")+COUNTIF($E194:AE194,"µ")+COUNTIF($E194:AE194,1),ColDescriptionCourte))&gt;1,
HYPERLINK("#Roadmap!C"&amp; MATCH($E194,Roadmap!$D:$D,0)+COUNTIF($E194:AE194,"u")+COUNTIF($E194:AE194,"t")+COUNTIF($E194:AE194,"¶")+COUNTIF($E194:AE194,"²")+COUNTIF($E194:AE194,"µ")+COUNTIF($E194:AE194,1)-1,INDEX(Roadmap!$D:$K,MATCH($E194,Roadmap!$D:$D,0)-1+COUNTIF($E194:AE194,"u")+COUNTIF($E194:AE194,"t")+COUNTIF($E194:AE194,"¶")+COUNTIF($E194:AE194,"²")+COUNTIF($E194:AE194,"µ")+COUNTIF($E194:AE194,1),ColDescriptionCourte)),""),
  "")),"")</f>
        <v/>
      </c>
      <c r="AG194" s="40" t="str">
        <f ca="1">IFERROR(IF(AND(
  INDEX(Roadmap!$D:$K,MATCH($E194,Roadmap!$D:$D,0)+COUNTIF($E194:AF194,"u")+COUNTIF($E194:AF194,"t")+COUNTIF($E194:AF194,"¶")+COUNTIF($E194:AF194,"²")+COUNTIF($E194:AF194,"µ")+COUNTIF($E194:AF194,1),ColLivraison)=AG$6,
  VLOOKUP($E194,INDIRECT("tri!"&amp; CHAR(64+ C0Col) &amp;":"&amp; CHAR(65+C0Col)),2,FALSE)&gt;COUNTIF($E194:AF194,"u")+COUNTIF($E194:AF194,"t")+COUNTIF($E194:AF194,"¶")+COUNTIF($E194:AF194,"²")+COUNTIF($E194:AF194,"µ")+COUNTIF($E194:AF194,1)),
HYPERLINK("#Roadmap!C"&amp; MATCH($E194,Roadmap!$D:$D,0)+COUNTIF($E194:AF194,"u")+COUNTIF($E194:AF194,"t"),
     INDEX(Roadmap!$D:$K,MATCH($E194,Roadmap!$D:$D,0)+COUNTIF($E194:AF194,"u")+COUNTIF($E194:AF194,"t")+COUNTIF($E194:AF194,"¶")+COUNTIF($E194:AF194,"²")+COUNTIF($E194:AF194,"µ")+COUNTIF($E194:AF194,1),ColTypeEcheance)),
  IF(LEN(AF194)=1,
  IF(LEN(INDEX(Roadmap!$D:$K,MATCH($E194,Roadmap!$D:$D,0)-1+COUNTIF($E194:AF194,"u")+COUNTIF($E194:AF194,"t")+COUNTIF($E194:AF194,"¶")+COUNTIF($E194:AF194,"²")+COUNTIF($E194:AF194,"µ")+COUNTIF($E194:AF194,1),ColDescriptionCourte))&gt;1,
HYPERLINK("#Roadmap!C"&amp; MATCH($E194,Roadmap!$D:$D,0)+COUNTIF($E194:AF194,"u")+COUNTIF($E194:AF194,"t")+COUNTIF($E194:AF194,"¶")+COUNTIF($E194:AF194,"²")+COUNTIF($E194:AF194,"µ")+COUNTIF($E194:AF194,1)-1,INDEX(Roadmap!$D:$K,MATCH($E194,Roadmap!$D:$D,0)-1+COUNTIF($E194:AF194,"u")+COUNTIF($E194:AF194,"t")+COUNTIF($E194:AF194,"¶")+COUNTIF($E194:AF194,"²")+COUNTIF($E194:AF194,"µ")+COUNTIF($E194:AF194,1),ColDescriptionCourte)),""),
  "")),"")</f>
        <v/>
      </c>
    </row>
    <row r="195" spans="3:33" ht="14.25" customHeight="1">
      <c r="C195" s="1" t="str">
        <f t="shared" ca="1" si="54"/>
        <v/>
      </c>
      <c r="D195" s="1" t="str">
        <f t="shared" ca="1" si="55"/>
        <v/>
      </c>
      <c r="E195" s="35" t="str">
        <f t="shared" ca="1" si="51"/>
        <v/>
      </c>
      <c r="F195" s="39" t="str">
        <f ca="1">IFERROR(IF(AND(
  INDEX(Roadmap!$D:$K,MATCH($E195,Roadmap!$D:$D,0)+COUNTIF($E195:E195,"u")+COUNTIF($E195:E195,"t")+COUNTIF($E195:E195,"¶")+COUNTIF($E195:E195,"²")+COUNTIF($E195:E195,"µ")+COUNTIF($E195:E195,1),ColLivraison)=F$6,
  VLOOKUP($E195,INDIRECT("tri!"&amp; CHAR(64+ C0Col) &amp;":"&amp; CHAR(65+C0Col)),2,FALSE)&gt;COUNTIF($E195:E195,"u")+COUNTIF($E195:E195,"t")+COUNTIF($E195:E195,"¶")+COUNTIF($E195:E195,"²")+COUNTIF($E195:E195,"µ")+COUNTIF($E195:E195,1)),
HYPERLINK("#Roadmap!C"&amp; MATCH($E195,Roadmap!$D:$D,0)+COUNTIF($E195:E195,"u")+COUNTIF($E195:E195,"t"),
     INDEX(Roadmap!$D:$K,MATCH($E195,Roadmap!$D:$D,0)+COUNTIF($E195:E195,"u")+COUNTIF($E195:E195,"t")+COUNTIF($E195:E195,"¶")+COUNTIF($E195:E195,"²")+COUNTIF($E195:E195,"µ")+COUNTIF($E195:E195,1),ColTypeEcheance)),
  IF(LEN(E195)=1,
  IF(LEN(INDEX(Roadmap!$D:$K,MATCH($E195,Roadmap!$D:$D,0)-1+COUNTIF($E195:E195,"u")+COUNTIF($E195:E195,"t")+COUNTIF($E195:E195,"¶")+COUNTIF($E195:E195,"²")+COUNTIF($E195:E195,"µ")+COUNTIF($E195:E195,1),ColDescriptionCourte))&gt;1,
HYPERLINK("#Roadmap!C"&amp; MATCH($E195,Roadmap!$D:$D,0)+COUNTIF($E195:E195,"u")+COUNTIF($E195:E195,"t")+COUNTIF($E195:E195,"¶")+COUNTIF($E195:E195,"²")+COUNTIF($E195:E195,"µ")+COUNTIF($E195:E195,1)-1,INDEX(Roadmap!$D:$K,MATCH($E195,Roadmap!$D:$D,0)-1+COUNTIF($E195:E195,"u")+COUNTIF($E195:E195,"t")+COUNTIF($E195:E195,"¶")+COUNTIF($E195:E195,"²")+COUNTIF($E195:E195,"µ")+COUNTIF($E195:E195,1),ColDescriptionCourte)),""),
  "")),"")</f>
        <v/>
      </c>
      <c r="G195" s="40" t="str">
        <f ca="1">IFERROR(IF(AND(
  INDEX(Roadmap!$D:$K,MATCH($E195,Roadmap!$D:$D,0)+COUNTIF($E195:F195,"u")+COUNTIF($E195:F195,"t")+COUNTIF($E195:F195,"¶")+COUNTIF($E195:F195,"²")+COUNTIF($E195:F195,"µ")+COUNTIF($E195:F195,1),ColLivraison)=G$6,
  VLOOKUP($E195,INDIRECT("tri!"&amp; CHAR(64+ C0Col) &amp;":"&amp; CHAR(65+C0Col)),2,FALSE)&gt;COUNTIF($E195:F195,"u")+COUNTIF($E195:F195,"t")+COUNTIF($E195:F195,"¶")+COUNTIF($E195:F195,"²")+COUNTIF($E195:F195,"µ")+COUNTIF($E195:F195,1)),
HYPERLINK("#Roadmap!C"&amp; MATCH($E195,Roadmap!$D:$D,0)+COUNTIF($E195:F195,"u")+COUNTIF($E195:F195,"t"),
     INDEX(Roadmap!$D:$K,MATCH($E195,Roadmap!$D:$D,0)+COUNTIF($E195:F195,"u")+COUNTIF($E195:F195,"t")+COUNTIF($E195:F195,"¶")+COUNTIF($E195:F195,"²")+COUNTIF($E195:F195,"µ")+COUNTIF($E195:F195,1),ColTypeEcheance)),
  IF(LEN(F195)=1,
  IF(LEN(INDEX(Roadmap!$D:$K,MATCH($E195,Roadmap!$D:$D,0)-1+COUNTIF($E195:F195,"u")+COUNTIF($E195:F195,"t")+COUNTIF($E195:F195,"¶")+COUNTIF($E195:F195,"²")+COUNTIF($E195:F195,"µ")+COUNTIF($E195:F195,1),ColDescriptionCourte))&gt;1,
HYPERLINK("#Roadmap!C"&amp; MATCH($E195,Roadmap!$D:$D,0)+COUNTIF($E195:F195,"u")+COUNTIF($E195:F195,"t")+COUNTIF($E195:F195,"¶")+COUNTIF($E195:F195,"²")+COUNTIF($E195:F195,"µ")+COUNTIF($E195:F195,1)-1,INDEX(Roadmap!$D:$K,MATCH($E195,Roadmap!$D:$D,0)-1+COUNTIF($E195:F195,"u")+COUNTIF($E195:F195,"t")+COUNTIF($E195:F195,"¶")+COUNTIF($E195:F195,"²")+COUNTIF($E195:F195,"µ")+COUNTIF($E195:F195,1),ColDescriptionCourte)),""),
  "")),"")</f>
        <v/>
      </c>
      <c r="H195" s="40" t="str">
        <f ca="1">IFERROR(IF(AND(
  INDEX(Roadmap!$D:$K,MATCH($E195,Roadmap!$D:$D,0)+COUNTIF($E195:G195,"u")+COUNTIF($E195:G195,"t")+COUNTIF($E195:G195,"¶")+COUNTIF($E195:G195,"²")+COUNTIF($E195:G195,"µ")+COUNTIF($E195:G195,1),ColLivraison)=H$6,
  VLOOKUP($E195,INDIRECT("tri!"&amp; CHAR(64+ C0Col) &amp;":"&amp; CHAR(65+C0Col)),2,FALSE)&gt;COUNTIF($E195:G195,"u")+COUNTIF($E195:G195,"t")+COUNTIF($E195:G195,"¶")+COUNTIF($E195:G195,"²")+COUNTIF($E195:G195,"µ")+COUNTIF($E195:G195,1)),
HYPERLINK("#Roadmap!C"&amp; MATCH($E195,Roadmap!$D:$D,0)+COUNTIF($E195:G195,"u")+COUNTIF($E195:G195,"t"),
     INDEX(Roadmap!$D:$K,MATCH($E195,Roadmap!$D:$D,0)+COUNTIF($E195:G195,"u")+COUNTIF($E195:G195,"t")+COUNTIF($E195:G195,"¶")+COUNTIF($E195:G195,"²")+COUNTIF($E195:G195,"µ")+COUNTIF($E195:G195,1),ColTypeEcheance)),
  IF(LEN(G195)=1,
  IF(LEN(INDEX(Roadmap!$D:$K,MATCH($E195,Roadmap!$D:$D,0)-1+COUNTIF($E195:G195,"u")+COUNTIF($E195:G195,"t")+COUNTIF($E195:G195,"¶")+COUNTIF($E195:G195,"²")+COUNTIF($E195:G195,"µ")+COUNTIF($E195:G195,1),ColDescriptionCourte))&gt;1,
HYPERLINK("#Roadmap!C"&amp; MATCH($E195,Roadmap!$D:$D,0)+COUNTIF($E195:G195,"u")+COUNTIF($E195:G195,"t")+COUNTIF($E195:G195,"¶")+COUNTIF($E195:G195,"²")+COUNTIF($E195:G195,"µ")+COUNTIF($E195:G195,1)-1,INDEX(Roadmap!$D:$K,MATCH($E195,Roadmap!$D:$D,0)-1+COUNTIF($E195:G195,"u")+COUNTIF($E195:G195,"t")+COUNTIF($E195:G195,"¶")+COUNTIF($E195:G195,"²")+COUNTIF($E195:G195,"µ")+COUNTIF($E195:G195,1),ColDescriptionCourte)),""),
  "")),"")</f>
        <v/>
      </c>
      <c r="I195" s="40" t="str">
        <f ca="1">IFERROR(IF(AND(
  INDEX(Roadmap!$D:$K,MATCH($E195,Roadmap!$D:$D,0)+COUNTIF($E195:H195,"u")+COUNTIF($E195:H195,"t")+COUNTIF($E195:H195,"¶")+COUNTIF($E195:H195,"²")+COUNTIF($E195:H195,"µ")+COUNTIF($E195:H195,1),ColLivraison)=I$6,
  VLOOKUP($E195,INDIRECT("tri!"&amp; CHAR(64+ C0Col) &amp;":"&amp; CHAR(65+C0Col)),2,FALSE)&gt;COUNTIF($E195:H195,"u")+COUNTIF($E195:H195,"t")+COUNTIF($E195:H195,"¶")+COUNTIF($E195:H195,"²")+COUNTIF($E195:H195,"µ")+COUNTIF($E195:H195,1)),
HYPERLINK("#Roadmap!C"&amp; MATCH($E195,Roadmap!$D:$D,0)+COUNTIF($E195:H195,"u")+COUNTIF($E195:H195,"t"),
     INDEX(Roadmap!$D:$K,MATCH($E195,Roadmap!$D:$D,0)+COUNTIF($E195:H195,"u")+COUNTIF($E195:H195,"t")+COUNTIF($E195:H195,"¶")+COUNTIF($E195:H195,"²")+COUNTIF($E195:H195,"µ")+COUNTIF($E195:H195,1),ColTypeEcheance)),
  IF(LEN(H195)=1,
  IF(LEN(INDEX(Roadmap!$D:$K,MATCH($E195,Roadmap!$D:$D,0)-1+COUNTIF($E195:H195,"u")+COUNTIF($E195:H195,"t")+COUNTIF($E195:H195,"¶")+COUNTIF($E195:H195,"²")+COUNTIF($E195:H195,"µ")+COUNTIF($E195:H195,1),ColDescriptionCourte))&gt;1,
HYPERLINK("#Roadmap!C"&amp; MATCH($E195,Roadmap!$D:$D,0)+COUNTIF($E195:H195,"u")+COUNTIF($E195:H195,"t")+COUNTIF($E195:H195,"¶")+COUNTIF($E195:H195,"²")+COUNTIF($E195:H195,"µ")+COUNTIF($E195:H195,1)-1,INDEX(Roadmap!$D:$K,MATCH($E195,Roadmap!$D:$D,0)-1+COUNTIF($E195:H195,"u")+COUNTIF($E195:H195,"t")+COUNTIF($E195:H195,"¶")+COUNTIF($E195:H195,"²")+COUNTIF($E195:H195,"µ")+COUNTIF($E195:H195,1),ColDescriptionCourte)),""),
  "")),"")</f>
        <v/>
      </c>
      <c r="J195" s="40" t="str">
        <f ca="1">IFERROR(IF(AND(
  INDEX(Roadmap!$D:$K,MATCH($E195,Roadmap!$D:$D,0)+COUNTIF($E195:I195,"u")+COUNTIF($E195:I195,"t")+COUNTIF($E195:I195,"¶")+COUNTIF($E195:I195,"²")+COUNTIF($E195:I195,"µ")+COUNTIF($E195:I195,1),ColLivraison)=J$6,
  VLOOKUP($E195,INDIRECT("tri!"&amp; CHAR(64+ C0Col) &amp;":"&amp; CHAR(65+C0Col)),2,FALSE)&gt;COUNTIF($E195:I195,"u")+COUNTIF($E195:I195,"t")+COUNTIF($E195:I195,"¶")+COUNTIF($E195:I195,"²")+COUNTIF($E195:I195,"µ")+COUNTIF($E195:I195,1)),
HYPERLINK("#Roadmap!C"&amp; MATCH($E195,Roadmap!$D:$D,0)+COUNTIF($E195:I195,"u")+COUNTIF($E195:I195,"t"),
     INDEX(Roadmap!$D:$K,MATCH($E195,Roadmap!$D:$D,0)+COUNTIF($E195:I195,"u")+COUNTIF($E195:I195,"t")+COUNTIF($E195:I195,"¶")+COUNTIF($E195:I195,"²")+COUNTIF($E195:I195,"µ")+COUNTIF($E195:I195,1),ColTypeEcheance)),
  IF(LEN(I195)=1,
  IF(LEN(INDEX(Roadmap!$D:$K,MATCH($E195,Roadmap!$D:$D,0)-1+COUNTIF($E195:I195,"u")+COUNTIF($E195:I195,"t")+COUNTIF($E195:I195,"¶")+COUNTIF($E195:I195,"²")+COUNTIF($E195:I195,"µ")+COUNTIF($E195:I195,1),ColDescriptionCourte))&gt;1,
HYPERLINK("#Roadmap!C"&amp; MATCH($E195,Roadmap!$D:$D,0)+COUNTIF($E195:I195,"u")+COUNTIF($E195:I195,"t")+COUNTIF($E195:I195,"¶")+COUNTIF($E195:I195,"²")+COUNTIF($E195:I195,"µ")+COUNTIF($E195:I195,1)-1,INDEX(Roadmap!$D:$K,MATCH($E195,Roadmap!$D:$D,0)-1+COUNTIF($E195:I195,"u")+COUNTIF($E195:I195,"t")+COUNTIF($E195:I195,"¶")+COUNTIF($E195:I195,"²")+COUNTIF($E195:I195,"µ")+COUNTIF($E195:I195,1),ColDescriptionCourte)),""),
  "")),"")</f>
        <v/>
      </c>
      <c r="K195" s="40" t="str">
        <f ca="1">IFERROR(IF(AND(
  INDEX(Roadmap!$D:$K,MATCH($E195,Roadmap!$D:$D,0)+COUNTIF($E195:J195,"u")+COUNTIF($E195:J195,"t")+COUNTIF($E195:J195,"¶")+COUNTIF($E195:J195,"²")+COUNTIF($E195:J195,"µ")+COUNTIF($E195:J195,1),ColLivraison)=K$6,
  VLOOKUP($E195,INDIRECT("tri!"&amp; CHAR(64+ C0Col) &amp;":"&amp; CHAR(65+C0Col)),2,FALSE)&gt;COUNTIF($E195:J195,"u")+COUNTIF($E195:J195,"t")+COUNTIF($E195:J195,"¶")+COUNTIF($E195:J195,"²")+COUNTIF($E195:J195,"µ")+COUNTIF($E195:J195,1)),
HYPERLINK("#Roadmap!C"&amp; MATCH($E195,Roadmap!$D:$D,0)+COUNTIF($E195:J195,"u")+COUNTIF($E195:J195,"t"),
     INDEX(Roadmap!$D:$K,MATCH($E195,Roadmap!$D:$D,0)+COUNTIF($E195:J195,"u")+COUNTIF($E195:J195,"t")+COUNTIF($E195:J195,"¶")+COUNTIF($E195:J195,"²")+COUNTIF($E195:J195,"µ")+COUNTIF($E195:J195,1),ColTypeEcheance)),
  IF(LEN(J195)=1,
  IF(LEN(INDEX(Roadmap!$D:$K,MATCH($E195,Roadmap!$D:$D,0)-1+COUNTIF($E195:J195,"u")+COUNTIF($E195:J195,"t")+COUNTIF($E195:J195,"¶")+COUNTIF($E195:J195,"²")+COUNTIF($E195:J195,"µ")+COUNTIF($E195:J195,1),ColDescriptionCourte))&gt;1,
HYPERLINK("#Roadmap!C"&amp; MATCH($E195,Roadmap!$D:$D,0)+COUNTIF($E195:J195,"u")+COUNTIF($E195:J195,"t")+COUNTIF($E195:J195,"¶")+COUNTIF($E195:J195,"²")+COUNTIF($E195:J195,"µ")+COUNTIF($E195:J195,1)-1,INDEX(Roadmap!$D:$K,MATCH($E195,Roadmap!$D:$D,0)-1+COUNTIF($E195:J195,"u")+COUNTIF($E195:J195,"t")+COUNTIF($E195:J195,"¶")+COUNTIF($E195:J195,"²")+COUNTIF($E195:J195,"µ")+COUNTIF($E195:J195,1),ColDescriptionCourte)),""),
  "")),"")</f>
        <v/>
      </c>
      <c r="L195" s="39" t="str">
        <f ca="1">IFERROR(IF(AND(
  INDEX(Roadmap!$D:$K,MATCH($E195,Roadmap!$D:$D,0)+COUNTIF($E195:K195,"u")+COUNTIF($E195:K195,"t")+COUNTIF($E195:K195,"¶")+COUNTIF($E195:K195,"²")+COUNTIF($E195:K195,"µ")+COUNTIF($E195:K195,1),ColLivraison)=L$6,
  VLOOKUP($E195,INDIRECT("tri!"&amp; CHAR(64+ C0Col) &amp;":"&amp; CHAR(65+C0Col)),2,FALSE)&gt;COUNTIF($E195:K195,"u")+COUNTIF($E195:K195,"t")+COUNTIF($E195:K195,"¶")+COUNTIF($E195:K195,"²")+COUNTIF($E195:K195,"µ")+COUNTIF($E195:K195,1)),
HYPERLINK("#Roadmap!C"&amp; MATCH($E195,Roadmap!$D:$D,0)+COUNTIF($E195:K195,"u")+COUNTIF($E195:K195,"t"),
     INDEX(Roadmap!$D:$K,MATCH($E195,Roadmap!$D:$D,0)+COUNTIF($E195:K195,"u")+COUNTIF($E195:K195,"t")+COUNTIF($E195:K195,"¶")+COUNTIF($E195:K195,"²")+COUNTIF($E195:K195,"µ")+COUNTIF($E195:K195,1),ColTypeEcheance)),
  IF(LEN(K195)=1,
  IF(LEN(INDEX(Roadmap!$D:$K,MATCH($E195,Roadmap!$D:$D,0)-1+COUNTIF($E195:K195,"u")+COUNTIF($E195:K195,"t")+COUNTIF($E195:K195,"¶")+COUNTIF($E195:K195,"²")+COUNTIF($E195:K195,"µ")+COUNTIF($E195:K195,1),ColDescriptionCourte))&gt;1,
HYPERLINK("#Roadmap!C"&amp; MATCH($E195,Roadmap!$D:$D,0)+COUNTIF($E195:K195,"u")+COUNTIF($E195:K195,"t")+COUNTIF($E195:K195,"¶")+COUNTIF($E195:K195,"²")+COUNTIF($E195:K195,"µ")+COUNTIF($E195:K195,1)-1,INDEX(Roadmap!$D:$K,MATCH($E195,Roadmap!$D:$D,0)-1+COUNTIF($E195:K195,"u")+COUNTIF($E195:K195,"t")+COUNTIF($E195:K195,"¶")+COUNTIF($E195:K195,"²")+COUNTIF($E195:K195,"µ")+COUNTIF($E195:K195,1),ColDescriptionCourte)),""),
  "")),"")</f>
        <v/>
      </c>
      <c r="M195" s="40" t="str">
        <f ca="1">IFERROR(IF(AND(
  INDEX(Roadmap!$D:$K,MATCH($E195,Roadmap!$D:$D,0)+COUNTIF($E195:L195,"u")+COUNTIF($E195:L195,"t")+COUNTIF($E195:L195,"¶")+COUNTIF($E195:L195,"²")+COUNTIF($E195:L195,"µ")+COUNTIF($E195:L195,1),ColLivraison)=M$6,
  VLOOKUP($E195,INDIRECT("tri!"&amp; CHAR(64+ C0Col) &amp;":"&amp; CHAR(65+C0Col)),2,FALSE)&gt;COUNTIF($E195:L195,"u")+COUNTIF($E195:L195,"t")+COUNTIF($E195:L195,"¶")+COUNTIF($E195:L195,"²")+COUNTIF($E195:L195,"µ")+COUNTIF($E195:L195,1)),
HYPERLINK("#Roadmap!C"&amp; MATCH($E195,Roadmap!$D:$D,0)+COUNTIF($E195:L195,"u")+COUNTIF($E195:L195,"t"),
     INDEX(Roadmap!$D:$K,MATCH($E195,Roadmap!$D:$D,0)+COUNTIF($E195:L195,"u")+COUNTIF($E195:L195,"t")+COUNTIF($E195:L195,"¶")+COUNTIF($E195:L195,"²")+COUNTIF($E195:L195,"µ")+COUNTIF($E195:L195,1),ColTypeEcheance)),
  IF(LEN(L195)=1,
  IF(LEN(INDEX(Roadmap!$D:$K,MATCH($E195,Roadmap!$D:$D,0)-1+COUNTIF($E195:L195,"u")+COUNTIF($E195:L195,"t")+COUNTIF($E195:L195,"¶")+COUNTIF($E195:L195,"²")+COUNTIF($E195:L195,"µ")+COUNTIF($E195:L195,1),ColDescriptionCourte))&gt;1,
HYPERLINK("#Roadmap!C"&amp; MATCH($E195,Roadmap!$D:$D,0)+COUNTIF($E195:L195,"u")+COUNTIF($E195:L195,"t")+COUNTIF($E195:L195,"¶")+COUNTIF($E195:L195,"²")+COUNTIF($E195:L195,"µ")+COUNTIF($E195:L195,1)-1,INDEX(Roadmap!$D:$K,MATCH($E195,Roadmap!$D:$D,0)-1+COUNTIF($E195:L195,"u")+COUNTIF($E195:L195,"t")+COUNTIF($E195:L195,"¶")+COUNTIF($E195:L195,"²")+COUNTIF($E195:L195,"µ")+COUNTIF($E195:L195,1),ColDescriptionCourte)),""),
  "")),"")</f>
        <v/>
      </c>
      <c r="N195" s="40" t="str">
        <f ca="1">IFERROR(IF(AND(
  INDEX(Roadmap!$D:$K,MATCH($E195,Roadmap!$D:$D,0)+COUNTIF($E195:M195,"u")+COUNTIF($E195:M195,"t")+COUNTIF($E195:M195,"¶")+COUNTIF($E195:M195,"²")+COUNTIF($E195:M195,"µ")+COUNTIF($E195:M195,1),ColLivraison)=N$6,
  VLOOKUP($E195,INDIRECT("tri!"&amp; CHAR(64+ C0Col) &amp;":"&amp; CHAR(65+C0Col)),2,FALSE)&gt;COUNTIF($E195:M195,"u")+COUNTIF($E195:M195,"t")+COUNTIF($E195:M195,"¶")+COUNTIF($E195:M195,"²")+COUNTIF($E195:M195,"µ")+COUNTIF($E195:M195,1)),
HYPERLINK("#Roadmap!C"&amp; MATCH($E195,Roadmap!$D:$D,0)+COUNTIF($E195:M195,"u")+COUNTIF($E195:M195,"t"),
     INDEX(Roadmap!$D:$K,MATCH($E195,Roadmap!$D:$D,0)+COUNTIF($E195:M195,"u")+COUNTIF($E195:M195,"t")+COUNTIF($E195:M195,"¶")+COUNTIF($E195:M195,"²")+COUNTIF($E195:M195,"µ")+COUNTIF($E195:M195,1),ColTypeEcheance)),
  IF(LEN(M195)=1,
  IF(LEN(INDEX(Roadmap!$D:$K,MATCH($E195,Roadmap!$D:$D,0)-1+COUNTIF($E195:M195,"u")+COUNTIF($E195:M195,"t")+COUNTIF($E195:M195,"¶")+COUNTIF($E195:M195,"²")+COUNTIF($E195:M195,"µ")+COUNTIF($E195:M195,1),ColDescriptionCourte))&gt;1,
HYPERLINK("#Roadmap!C"&amp; MATCH($E195,Roadmap!$D:$D,0)+COUNTIF($E195:M195,"u")+COUNTIF($E195:M195,"t")+COUNTIF($E195:M195,"¶")+COUNTIF($E195:M195,"²")+COUNTIF($E195:M195,"µ")+COUNTIF($E195:M195,1)-1,INDEX(Roadmap!$D:$K,MATCH($E195,Roadmap!$D:$D,0)-1+COUNTIF($E195:M195,"u")+COUNTIF($E195:M195,"t")+COUNTIF($E195:M195,"¶")+COUNTIF($E195:M195,"²")+COUNTIF($E195:M195,"µ")+COUNTIF($E195:M195,1),ColDescriptionCourte)),""),
  "")),"")</f>
        <v/>
      </c>
      <c r="O195" s="40" t="str">
        <f ca="1">IFERROR(IF(AND(
  INDEX(Roadmap!$D:$K,MATCH($E195,Roadmap!$D:$D,0)+COUNTIF($E195:N195,"u")+COUNTIF($E195:N195,"t")+COUNTIF($E195:N195,"¶")+COUNTIF($E195:N195,"²")+COUNTIF($E195:N195,"µ")+COUNTIF($E195:N195,1),ColLivraison)=O$6,
  VLOOKUP($E195,INDIRECT("tri!"&amp; CHAR(64+ C0Col) &amp;":"&amp; CHAR(65+C0Col)),2,FALSE)&gt;COUNTIF($E195:N195,"u")+COUNTIF($E195:N195,"t")+COUNTIF($E195:N195,"¶")+COUNTIF($E195:N195,"²")+COUNTIF($E195:N195,"µ")+COUNTIF($E195:N195,1)),
HYPERLINK("#Roadmap!C"&amp; MATCH($E195,Roadmap!$D:$D,0)+COUNTIF($E195:N195,"u")+COUNTIF($E195:N195,"t"),
     INDEX(Roadmap!$D:$K,MATCH($E195,Roadmap!$D:$D,0)+COUNTIF($E195:N195,"u")+COUNTIF($E195:N195,"t")+COUNTIF($E195:N195,"¶")+COUNTIF($E195:N195,"²")+COUNTIF($E195:N195,"µ")+COUNTIF($E195:N195,1),ColTypeEcheance)),
  IF(LEN(N195)=1,
  IF(LEN(INDEX(Roadmap!$D:$K,MATCH($E195,Roadmap!$D:$D,0)-1+COUNTIF($E195:N195,"u")+COUNTIF($E195:N195,"t")+COUNTIF($E195:N195,"¶")+COUNTIF($E195:N195,"²")+COUNTIF($E195:N195,"µ")+COUNTIF($E195:N195,1),ColDescriptionCourte))&gt;1,
HYPERLINK("#Roadmap!C"&amp; MATCH($E195,Roadmap!$D:$D,0)+COUNTIF($E195:N195,"u")+COUNTIF($E195:N195,"t")+COUNTIF($E195:N195,"¶")+COUNTIF($E195:N195,"²")+COUNTIF($E195:N195,"µ")+COUNTIF($E195:N195,1)-1,INDEX(Roadmap!$D:$K,MATCH($E195,Roadmap!$D:$D,0)-1+COUNTIF($E195:N195,"u")+COUNTIF($E195:N195,"t")+COUNTIF($E195:N195,"¶")+COUNTIF($E195:N195,"²")+COUNTIF($E195:N195,"µ")+COUNTIF($E195:N195,1),ColDescriptionCourte)),""),
  "")),"")</f>
        <v/>
      </c>
      <c r="P195" s="40" t="str">
        <f ca="1">IFERROR(IF(AND(
  INDEX(Roadmap!$D:$K,MATCH($E195,Roadmap!$D:$D,0)+COUNTIF($E195:O195,"u")+COUNTIF($E195:O195,"t")+COUNTIF($E195:O195,"¶")+COUNTIF($E195:O195,"²")+COUNTIF($E195:O195,"µ")+COUNTIF($E195:O195,1),ColLivraison)=P$6,
  VLOOKUP($E195,INDIRECT("tri!"&amp; CHAR(64+ C0Col) &amp;":"&amp; CHAR(65+C0Col)),2,FALSE)&gt;COUNTIF($E195:O195,"u")+COUNTIF($E195:O195,"t")+COUNTIF($E195:O195,"¶")+COUNTIF($E195:O195,"²")+COUNTIF($E195:O195,"µ")+COUNTIF($E195:O195,1)),
HYPERLINK("#Roadmap!C"&amp; MATCH($E195,Roadmap!$D:$D,0)+COUNTIF($E195:O195,"u")+COUNTIF($E195:O195,"t"),
     INDEX(Roadmap!$D:$K,MATCH($E195,Roadmap!$D:$D,0)+COUNTIF($E195:O195,"u")+COUNTIF($E195:O195,"t")+COUNTIF($E195:O195,"¶")+COUNTIF($E195:O195,"²")+COUNTIF($E195:O195,"µ")+COUNTIF($E195:O195,1),ColTypeEcheance)),
  IF(LEN(O195)=1,
  IF(LEN(INDEX(Roadmap!$D:$K,MATCH($E195,Roadmap!$D:$D,0)-1+COUNTIF($E195:O195,"u")+COUNTIF($E195:O195,"t")+COUNTIF($E195:O195,"¶")+COUNTIF($E195:O195,"²")+COUNTIF($E195:O195,"µ")+COUNTIF($E195:O195,1),ColDescriptionCourte))&gt;1,
HYPERLINK("#Roadmap!C"&amp; MATCH($E195,Roadmap!$D:$D,0)+COUNTIF($E195:O195,"u")+COUNTIF($E195:O195,"t")+COUNTIF($E195:O195,"¶")+COUNTIF($E195:O195,"²")+COUNTIF($E195:O195,"µ")+COUNTIF($E195:O195,1)-1,INDEX(Roadmap!$D:$K,MATCH($E195,Roadmap!$D:$D,0)-1+COUNTIF($E195:O195,"u")+COUNTIF($E195:O195,"t")+COUNTIF($E195:O195,"¶")+COUNTIF($E195:O195,"²")+COUNTIF($E195:O195,"µ")+COUNTIF($E195:O195,1),ColDescriptionCourte)),""),
  "")),"")</f>
        <v/>
      </c>
      <c r="Q195" s="40" t="str">
        <f ca="1">IFERROR(IF(AND(
  INDEX(Roadmap!$D:$K,MATCH($E195,Roadmap!$D:$D,0)+COUNTIF($E195:P195,"u")+COUNTIF($E195:P195,"t")+COUNTIF($E195:P195,"¶")+COUNTIF($E195:P195,"²")+COUNTIF($E195:P195,"µ")+COUNTIF($E195:P195,1),ColLivraison)=Q$6,
  VLOOKUP($E195,INDIRECT("tri!"&amp; CHAR(64+ C0Col) &amp;":"&amp; CHAR(65+C0Col)),2,FALSE)&gt;COUNTIF($E195:P195,"u")+COUNTIF($E195:P195,"t")+COUNTIF($E195:P195,"¶")+COUNTIF($E195:P195,"²")+COUNTIF($E195:P195,"µ")+COUNTIF($E195:P195,1)),
HYPERLINK("#Roadmap!C"&amp; MATCH($E195,Roadmap!$D:$D,0)+COUNTIF($E195:P195,"u")+COUNTIF($E195:P195,"t"),
     INDEX(Roadmap!$D:$K,MATCH($E195,Roadmap!$D:$D,0)+COUNTIF($E195:P195,"u")+COUNTIF($E195:P195,"t")+COUNTIF($E195:P195,"¶")+COUNTIF($E195:P195,"²")+COUNTIF($E195:P195,"µ")+COUNTIF($E195:P195,1),ColTypeEcheance)),
  IF(LEN(P195)=1,
  IF(LEN(INDEX(Roadmap!$D:$K,MATCH($E195,Roadmap!$D:$D,0)-1+COUNTIF($E195:P195,"u")+COUNTIF($E195:P195,"t")+COUNTIF($E195:P195,"¶")+COUNTIF($E195:P195,"²")+COUNTIF($E195:P195,"µ")+COUNTIF($E195:P195,1),ColDescriptionCourte))&gt;1,
HYPERLINK("#Roadmap!C"&amp; MATCH($E195,Roadmap!$D:$D,0)+COUNTIF($E195:P195,"u")+COUNTIF($E195:P195,"t")+COUNTIF($E195:P195,"¶")+COUNTIF($E195:P195,"²")+COUNTIF($E195:P195,"µ")+COUNTIF($E195:P195,1)-1,INDEX(Roadmap!$D:$K,MATCH($E195,Roadmap!$D:$D,0)-1+COUNTIF($E195:P195,"u")+COUNTIF($E195:P195,"t")+COUNTIF($E195:P195,"¶")+COUNTIF($E195:P195,"²")+COUNTIF($E195:P195,"µ")+COUNTIF($E195:P195,1),ColDescriptionCourte)),""),
  "")),"")</f>
        <v/>
      </c>
      <c r="R195" s="40" t="str">
        <f ca="1">IFERROR(IF(AND(
  INDEX(Roadmap!$D:$K,MATCH($E195,Roadmap!$D:$D,0)+COUNTIF($E195:Q195,"u")+COUNTIF($E195:Q195,"t")+COUNTIF($E195:Q195,"¶")+COUNTIF($E195:Q195,"²")+COUNTIF($E195:Q195,"µ")+COUNTIF($E195:Q195,1),ColLivraison)=R$6,
  VLOOKUP($E195,INDIRECT("tri!"&amp; CHAR(64+ C0Col) &amp;":"&amp; CHAR(65+C0Col)),2,FALSE)&gt;COUNTIF($E195:Q195,"u")+COUNTIF($E195:Q195,"t")+COUNTIF($E195:Q195,"¶")+COUNTIF($E195:Q195,"²")+COUNTIF($E195:Q195,"µ")+COUNTIF($E195:Q195,1)),
HYPERLINK("#Roadmap!C"&amp; MATCH($E195,Roadmap!$D:$D,0)+COUNTIF($E195:Q195,"u")+COUNTIF($E195:Q195,"t"),
     INDEX(Roadmap!$D:$K,MATCH($E195,Roadmap!$D:$D,0)+COUNTIF($E195:Q195,"u")+COUNTIF($E195:Q195,"t")+COUNTIF($E195:Q195,"¶")+COUNTIF($E195:Q195,"²")+COUNTIF($E195:Q195,"µ")+COUNTIF($E195:Q195,1),ColTypeEcheance)),
  IF(LEN(Q195)=1,
  IF(LEN(INDEX(Roadmap!$D:$K,MATCH($E195,Roadmap!$D:$D,0)-1+COUNTIF($E195:Q195,"u")+COUNTIF($E195:Q195,"t")+COUNTIF($E195:Q195,"¶")+COUNTIF($E195:Q195,"²")+COUNTIF($E195:Q195,"µ")+COUNTIF($E195:Q195,1),ColDescriptionCourte))&gt;1,
HYPERLINK("#Roadmap!C"&amp; MATCH($E195,Roadmap!$D:$D,0)+COUNTIF($E195:Q195,"u")+COUNTIF($E195:Q195,"t")+COUNTIF($E195:Q195,"¶")+COUNTIF($E195:Q195,"²")+COUNTIF($E195:Q195,"µ")+COUNTIF($E195:Q195,1)-1,INDEX(Roadmap!$D:$K,MATCH($E195,Roadmap!$D:$D,0)-1+COUNTIF($E195:Q195,"u")+COUNTIF($E195:Q195,"t")+COUNTIF($E195:Q195,"¶")+COUNTIF($E195:Q195,"²")+COUNTIF($E195:Q195,"µ")+COUNTIF($E195:Q195,1),ColDescriptionCourte)),""),
  "")),"")</f>
        <v/>
      </c>
      <c r="S195" s="40" t="str">
        <f ca="1">IFERROR(IF(AND(
  INDEX(Roadmap!$D:$K,MATCH($E195,Roadmap!$D:$D,0)+COUNTIF($E195:R195,"u")+COUNTIF($E195:R195,"t")+COUNTIF($E195:R195,"¶")+COUNTIF($E195:R195,"²")+COUNTIF($E195:R195,"µ")+COUNTIF($E195:R195,1),ColLivraison)=S$6,
  VLOOKUP($E195,INDIRECT("tri!"&amp; CHAR(64+ C0Col) &amp;":"&amp; CHAR(65+C0Col)),2,FALSE)&gt;COUNTIF($E195:R195,"u")+COUNTIF($E195:R195,"t")+COUNTIF($E195:R195,"¶")+COUNTIF($E195:R195,"²")+COUNTIF($E195:R195,"µ")+COUNTIF($E195:R195,1)),
HYPERLINK("#Roadmap!C"&amp; MATCH($E195,Roadmap!$D:$D,0)+COUNTIF($E195:R195,"u")+COUNTIF($E195:R195,"t"),
     INDEX(Roadmap!$D:$K,MATCH($E195,Roadmap!$D:$D,0)+COUNTIF($E195:R195,"u")+COUNTIF($E195:R195,"t")+COUNTIF($E195:R195,"¶")+COUNTIF($E195:R195,"²")+COUNTIF($E195:R195,"µ")+COUNTIF($E195:R195,1),ColTypeEcheance)),
  IF(LEN(R195)=1,
  IF(LEN(INDEX(Roadmap!$D:$K,MATCH($E195,Roadmap!$D:$D,0)-1+COUNTIF($E195:R195,"u")+COUNTIF($E195:R195,"t")+COUNTIF($E195:R195,"¶")+COUNTIF($E195:R195,"²")+COUNTIF($E195:R195,"µ")+COUNTIF($E195:R195,1),ColDescriptionCourte))&gt;1,
HYPERLINK("#Roadmap!C"&amp; MATCH($E195,Roadmap!$D:$D,0)+COUNTIF($E195:R195,"u")+COUNTIF($E195:R195,"t")+COUNTIF($E195:R195,"¶")+COUNTIF($E195:R195,"²")+COUNTIF($E195:R195,"µ")+COUNTIF($E195:R195,1)-1,INDEX(Roadmap!$D:$K,MATCH($E195,Roadmap!$D:$D,0)-1+COUNTIF($E195:R195,"u")+COUNTIF($E195:R195,"t")+COUNTIF($E195:R195,"¶")+COUNTIF($E195:R195,"²")+COUNTIF($E195:R195,"µ")+COUNTIF($E195:R195,1),ColDescriptionCourte)),""),
  "")),"")</f>
        <v/>
      </c>
      <c r="T195" s="40" t="str">
        <f ca="1">IFERROR(IF(AND(
  INDEX(Roadmap!$D:$K,MATCH($E195,Roadmap!$D:$D,0)+COUNTIF($E195:S195,"u")+COUNTIF($E195:S195,"t")+COUNTIF($E195:S195,"¶")+COUNTIF($E195:S195,"²")+COUNTIF($E195:S195,"µ")+COUNTIF($E195:S195,1),ColLivraison)=T$6,
  VLOOKUP($E195,INDIRECT("tri!"&amp; CHAR(64+ C0Col) &amp;":"&amp; CHAR(65+C0Col)),2,FALSE)&gt;COUNTIF($E195:S195,"u")+COUNTIF($E195:S195,"t")+COUNTIF($E195:S195,"¶")+COUNTIF($E195:S195,"²")+COUNTIF($E195:S195,"µ")+COUNTIF($E195:S195,1)),
HYPERLINK("#Roadmap!C"&amp; MATCH($E195,Roadmap!$D:$D,0)+COUNTIF($E195:S195,"u")+COUNTIF($E195:S195,"t"),
     INDEX(Roadmap!$D:$K,MATCH($E195,Roadmap!$D:$D,0)+COUNTIF($E195:S195,"u")+COUNTIF($E195:S195,"t")+COUNTIF($E195:S195,"¶")+COUNTIF($E195:S195,"²")+COUNTIF($E195:S195,"µ")+COUNTIF($E195:S195,1),ColTypeEcheance)),
  IF(LEN(S195)=1,
  IF(LEN(INDEX(Roadmap!$D:$K,MATCH($E195,Roadmap!$D:$D,0)-1+COUNTIF($E195:S195,"u")+COUNTIF($E195:S195,"t")+COUNTIF($E195:S195,"¶")+COUNTIF($E195:S195,"²")+COUNTIF($E195:S195,"µ")+COUNTIF($E195:S195,1),ColDescriptionCourte))&gt;1,
HYPERLINK("#Roadmap!C"&amp; MATCH($E195,Roadmap!$D:$D,0)+COUNTIF($E195:S195,"u")+COUNTIF($E195:S195,"t")+COUNTIF($E195:S195,"¶")+COUNTIF($E195:S195,"²")+COUNTIF($E195:S195,"µ")+COUNTIF($E195:S195,1)-1,INDEX(Roadmap!$D:$K,MATCH($E195,Roadmap!$D:$D,0)-1+COUNTIF($E195:S195,"u")+COUNTIF($E195:S195,"t")+COUNTIF($E195:S195,"¶")+COUNTIF($E195:S195,"²")+COUNTIF($E195:S195,"µ")+COUNTIF($E195:S195,1),ColDescriptionCourte)),""),
  "")),"")</f>
        <v/>
      </c>
      <c r="U195" s="40" t="str">
        <f ca="1">IFERROR(IF(AND(
  INDEX(Roadmap!$D:$K,MATCH($E195,Roadmap!$D:$D,0)+COUNTIF($E195:T195,"u")+COUNTIF($E195:T195,"t")+COUNTIF($E195:T195,"¶")+COUNTIF($E195:T195,"²")+COUNTIF($E195:T195,"µ")+COUNTIF($E195:T195,1),ColLivraison)=U$6,
  VLOOKUP($E195,INDIRECT("tri!"&amp; CHAR(64+ C0Col) &amp;":"&amp; CHAR(65+C0Col)),2,FALSE)&gt;COUNTIF($E195:T195,"u")+COUNTIF($E195:T195,"t")+COUNTIF($E195:T195,"¶")+COUNTIF($E195:T195,"²")+COUNTIF($E195:T195,"µ")+COUNTIF($E195:T195,1)),
HYPERLINK("#Roadmap!C"&amp; MATCH($E195,Roadmap!$D:$D,0)+COUNTIF($E195:T195,"u")+COUNTIF($E195:T195,"t"),
     INDEX(Roadmap!$D:$K,MATCH($E195,Roadmap!$D:$D,0)+COUNTIF($E195:T195,"u")+COUNTIF($E195:T195,"t")+COUNTIF($E195:T195,"¶")+COUNTIF($E195:T195,"²")+COUNTIF($E195:T195,"µ")+COUNTIF($E195:T195,1),ColTypeEcheance)),
  IF(LEN(T195)=1,
  IF(LEN(INDEX(Roadmap!$D:$K,MATCH($E195,Roadmap!$D:$D,0)-1+COUNTIF($E195:T195,"u")+COUNTIF($E195:T195,"t")+COUNTIF($E195:T195,"¶")+COUNTIF($E195:T195,"²")+COUNTIF($E195:T195,"µ")+COUNTIF($E195:T195,1),ColDescriptionCourte))&gt;1,
HYPERLINK("#Roadmap!C"&amp; MATCH($E195,Roadmap!$D:$D,0)+COUNTIF($E195:T195,"u")+COUNTIF($E195:T195,"t")+COUNTIF($E195:T195,"¶")+COUNTIF($E195:T195,"²")+COUNTIF($E195:T195,"µ")+COUNTIF($E195:T195,1)-1,INDEX(Roadmap!$D:$K,MATCH($E195,Roadmap!$D:$D,0)-1+COUNTIF($E195:T195,"u")+COUNTIF($E195:T195,"t")+COUNTIF($E195:T195,"¶")+COUNTIF($E195:T195,"²")+COUNTIF($E195:T195,"µ")+COUNTIF($E195:T195,1),ColDescriptionCourte)),""),
  "")),"")</f>
        <v/>
      </c>
      <c r="V195" s="40" t="str">
        <f ca="1">IFERROR(IF(AND(
  INDEX(Roadmap!$D:$K,MATCH($E195,Roadmap!$D:$D,0)+COUNTIF($E195:U195,"u")+COUNTIF($E195:U195,"t")+COUNTIF($E195:U195,"¶")+COUNTIF($E195:U195,"²")+COUNTIF($E195:U195,"µ")+COUNTIF($E195:U195,1),ColLivraison)=V$6,
  VLOOKUP($E195,INDIRECT("tri!"&amp; CHAR(64+ C0Col) &amp;":"&amp; CHAR(65+C0Col)),2,FALSE)&gt;COUNTIF($E195:U195,"u")+COUNTIF($E195:U195,"t")+COUNTIF($E195:U195,"¶")+COUNTIF($E195:U195,"²")+COUNTIF($E195:U195,"µ")+COUNTIF($E195:U195,1)),
HYPERLINK("#Roadmap!C"&amp; MATCH($E195,Roadmap!$D:$D,0)+COUNTIF($E195:U195,"u")+COUNTIF($E195:U195,"t"),
     INDEX(Roadmap!$D:$K,MATCH($E195,Roadmap!$D:$D,0)+COUNTIF($E195:U195,"u")+COUNTIF($E195:U195,"t")+COUNTIF($E195:U195,"¶")+COUNTIF($E195:U195,"²")+COUNTIF($E195:U195,"µ")+COUNTIF($E195:U195,1),ColTypeEcheance)),
  IF(LEN(U195)=1,
  IF(LEN(INDEX(Roadmap!$D:$K,MATCH($E195,Roadmap!$D:$D,0)-1+COUNTIF($E195:U195,"u")+COUNTIF($E195:U195,"t")+COUNTIF($E195:U195,"¶")+COUNTIF($E195:U195,"²")+COUNTIF($E195:U195,"µ")+COUNTIF($E195:U195,1),ColDescriptionCourte))&gt;1,
HYPERLINK("#Roadmap!C"&amp; MATCH($E195,Roadmap!$D:$D,0)+COUNTIF($E195:U195,"u")+COUNTIF($E195:U195,"t")+COUNTIF($E195:U195,"¶")+COUNTIF($E195:U195,"²")+COUNTIF($E195:U195,"µ")+COUNTIF($E195:U195,1)-1,INDEX(Roadmap!$D:$K,MATCH($E195,Roadmap!$D:$D,0)-1+COUNTIF($E195:U195,"u")+COUNTIF($E195:U195,"t")+COUNTIF($E195:U195,"¶")+COUNTIF($E195:U195,"²")+COUNTIF($E195:U195,"µ")+COUNTIF($E195:U195,1),ColDescriptionCourte)),""),
  "")),"")</f>
        <v/>
      </c>
      <c r="W195" s="40" t="str">
        <f ca="1">IFERROR(IF(AND(
  INDEX(Roadmap!$D:$K,MATCH($E195,Roadmap!$D:$D,0)+COUNTIF($E195:V195,"u")+COUNTIF($E195:V195,"t")+COUNTIF($E195:V195,"¶")+COUNTIF($E195:V195,"²")+COUNTIF($E195:V195,"µ")+COUNTIF($E195:V195,1),ColLivraison)=W$6,
  VLOOKUP($E195,INDIRECT("tri!"&amp; CHAR(64+ C0Col) &amp;":"&amp; CHAR(65+C0Col)),2,FALSE)&gt;COUNTIF($E195:V195,"u")+COUNTIF($E195:V195,"t")+COUNTIF($E195:V195,"¶")+COUNTIF($E195:V195,"²")+COUNTIF($E195:V195,"µ")+COUNTIF($E195:V195,1)),
HYPERLINK("#Roadmap!C"&amp; MATCH($E195,Roadmap!$D:$D,0)+COUNTIF($E195:V195,"u")+COUNTIF($E195:V195,"t"),
     INDEX(Roadmap!$D:$K,MATCH($E195,Roadmap!$D:$D,0)+COUNTIF($E195:V195,"u")+COUNTIF($E195:V195,"t")+COUNTIF($E195:V195,"¶")+COUNTIF($E195:V195,"²")+COUNTIF($E195:V195,"µ")+COUNTIF($E195:V195,1),ColTypeEcheance)),
  IF(LEN(V195)=1,
  IF(LEN(INDEX(Roadmap!$D:$K,MATCH($E195,Roadmap!$D:$D,0)-1+COUNTIF($E195:V195,"u")+COUNTIF($E195:V195,"t")+COUNTIF($E195:V195,"¶")+COUNTIF($E195:V195,"²")+COUNTIF($E195:V195,"µ")+COUNTIF($E195:V195,1),ColDescriptionCourte))&gt;1,
HYPERLINK("#Roadmap!C"&amp; MATCH($E195,Roadmap!$D:$D,0)+COUNTIF($E195:V195,"u")+COUNTIF($E195:V195,"t")+COUNTIF($E195:V195,"¶")+COUNTIF($E195:V195,"²")+COUNTIF($E195:V195,"µ")+COUNTIF($E195:V195,1)-1,INDEX(Roadmap!$D:$K,MATCH($E195,Roadmap!$D:$D,0)-1+COUNTIF($E195:V195,"u")+COUNTIF($E195:V195,"t")+COUNTIF($E195:V195,"¶")+COUNTIF($E195:V195,"²")+COUNTIF($E195:V195,"µ")+COUNTIF($E195:V195,1),ColDescriptionCourte)),""),
  "")),"")</f>
        <v/>
      </c>
      <c r="X195" s="40" t="str">
        <f ca="1">IFERROR(IF(AND(
  INDEX(Roadmap!$D:$K,MATCH($E195,Roadmap!$D:$D,0)+COUNTIF($E195:W195,"u")+COUNTIF($E195:W195,"t")+COUNTIF($E195:W195,"¶")+COUNTIF($E195:W195,"²")+COUNTIF($E195:W195,"µ")+COUNTIF($E195:W195,1),ColLivraison)=X$6,
  VLOOKUP($E195,INDIRECT("tri!"&amp; CHAR(64+ C0Col) &amp;":"&amp; CHAR(65+C0Col)),2,FALSE)&gt;COUNTIF($E195:W195,"u")+COUNTIF($E195:W195,"t")+COUNTIF($E195:W195,"¶")+COUNTIF($E195:W195,"²")+COUNTIF($E195:W195,"µ")+COUNTIF($E195:W195,1)),
HYPERLINK("#Roadmap!C"&amp; MATCH($E195,Roadmap!$D:$D,0)+COUNTIF($E195:W195,"u")+COUNTIF($E195:W195,"t"),
     INDEX(Roadmap!$D:$K,MATCH($E195,Roadmap!$D:$D,0)+COUNTIF($E195:W195,"u")+COUNTIF($E195:W195,"t")+COUNTIF($E195:W195,"¶")+COUNTIF($E195:W195,"²")+COUNTIF($E195:W195,"µ")+COUNTIF($E195:W195,1),ColTypeEcheance)),
  IF(LEN(W195)=1,
  IF(LEN(INDEX(Roadmap!$D:$K,MATCH($E195,Roadmap!$D:$D,0)-1+COUNTIF($E195:W195,"u")+COUNTIF($E195:W195,"t")+COUNTIF($E195:W195,"¶")+COUNTIF($E195:W195,"²")+COUNTIF($E195:W195,"µ")+COUNTIF($E195:W195,1),ColDescriptionCourte))&gt;1,
HYPERLINK("#Roadmap!C"&amp; MATCH($E195,Roadmap!$D:$D,0)+COUNTIF($E195:W195,"u")+COUNTIF($E195:W195,"t")+COUNTIF($E195:W195,"¶")+COUNTIF($E195:W195,"²")+COUNTIF($E195:W195,"µ")+COUNTIF($E195:W195,1)-1,INDEX(Roadmap!$D:$K,MATCH($E195,Roadmap!$D:$D,0)-1+COUNTIF($E195:W195,"u")+COUNTIF($E195:W195,"t")+COUNTIF($E195:W195,"¶")+COUNTIF($E195:W195,"²")+COUNTIF($E195:W195,"µ")+COUNTIF($E195:W195,1),ColDescriptionCourte)),""),
  "")),"")</f>
        <v/>
      </c>
      <c r="Y195" s="40" t="str">
        <f ca="1">IFERROR(IF(AND(
  INDEX(Roadmap!$D:$K,MATCH($E195,Roadmap!$D:$D,0)+COUNTIF($E195:X195,"u")+COUNTIF($E195:X195,"t")+COUNTIF($E195:X195,"¶")+COUNTIF($E195:X195,"²")+COUNTIF($E195:X195,"µ")+COUNTIF($E195:X195,1),ColLivraison)=Y$6,
  VLOOKUP($E195,INDIRECT("tri!"&amp; CHAR(64+ C0Col) &amp;":"&amp; CHAR(65+C0Col)),2,FALSE)&gt;COUNTIF($E195:X195,"u")+COUNTIF($E195:X195,"t")+COUNTIF($E195:X195,"¶")+COUNTIF($E195:X195,"²")+COUNTIF($E195:X195,"µ")+COUNTIF($E195:X195,1)),
HYPERLINK("#Roadmap!C"&amp; MATCH($E195,Roadmap!$D:$D,0)+COUNTIF($E195:X195,"u")+COUNTIF($E195:X195,"t"),
     INDEX(Roadmap!$D:$K,MATCH($E195,Roadmap!$D:$D,0)+COUNTIF($E195:X195,"u")+COUNTIF($E195:X195,"t")+COUNTIF($E195:X195,"¶")+COUNTIF($E195:X195,"²")+COUNTIF($E195:X195,"µ")+COUNTIF($E195:X195,1),ColTypeEcheance)),
  IF(LEN(X195)=1,
  IF(LEN(INDEX(Roadmap!$D:$K,MATCH($E195,Roadmap!$D:$D,0)-1+COUNTIF($E195:X195,"u")+COUNTIF($E195:X195,"t")+COUNTIF($E195:X195,"¶")+COUNTIF($E195:X195,"²")+COUNTIF($E195:X195,"µ")+COUNTIF($E195:X195,1),ColDescriptionCourte))&gt;1,
HYPERLINK("#Roadmap!C"&amp; MATCH($E195,Roadmap!$D:$D,0)+COUNTIF($E195:X195,"u")+COUNTIF($E195:X195,"t")+COUNTIF($E195:X195,"¶")+COUNTIF($E195:X195,"²")+COUNTIF($E195:X195,"µ")+COUNTIF($E195:X195,1)-1,INDEX(Roadmap!$D:$K,MATCH($E195,Roadmap!$D:$D,0)-1+COUNTIF($E195:X195,"u")+COUNTIF($E195:X195,"t")+COUNTIF($E195:X195,"¶")+COUNTIF($E195:X195,"²")+COUNTIF($E195:X195,"µ")+COUNTIF($E195:X195,1),ColDescriptionCourte)),""),
  "")),"")</f>
        <v/>
      </c>
      <c r="Z195" s="40" t="str">
        <f ca="1">IFERROR(IF(AND(
  INDEX(Roadmap!$D:$K,MATCH($E195,Roadmap!$D:$D,0)+COUNTIF($E195:Y195,"u")+COUNTIF($E195:Y195,"t")+COUNTIF($E195:Y195,"¶")+COUNTIF($E195:Y195,"²")+COUNTIF($E195:Y195,"µ")+COUNTIF($E195:Y195,1),ColLivraison)=Z$6,
  VLOOKUP($E195,INDIRECT("tri!"&amp; CHAR(64+ C0Col) &amp;":"&amp; CHAR(65+C0Col)),2,FALSE)&gt;COUNTIF($E195:Y195,"u")+COUNTIF($E195:Y195,"t")+COUNTIF($E195:Y195,"¶")+COUNTIF($E195:Y195,"²")+COUNTIF($E195:Y195,"µ")+COUNTIF($E195:Y195,1)),
HYPERLINK("#Roadmap!C"&amp; MATCH($E195,Roadmap!$D:$D,0)+COUNTIF($E195:Y195,"u")+COUNTIF($E195:Y195,"t"),
     INDEX(Roadmap!$D:$K,MATCH($E195,Roadmap!$D:$D,0)+COUNTIF($E195:Y195,"u")+COUNTIF($E195:Y195,"t")+COUNTIF($E195:Y195,"¶")+COUNTIF($E195:Y195,"²")+COUNTIF($E195:Y195,"µ")+COUNTIF($E195:Y195,1),ColTypeEcheance)),
  IF(LEN(Y195)=1,
  IF(LEN(INDEX(Roadmap!$D:$K,MATCH($E195,Roadmap!$D:$D,0)-1+COUNTIF($E195:Y195,"u")+COUNTIF($E195:Y195,"t")+COUNTIF($E195:Y195,"¶")+COUNTIF($E195:Y195,"²")+COUNTIF($E195:Y195,"µ")+COUNTIF($E195:Y195,1),ColDescriptionCourte))&gt;1,
HYPERLINK("#Roadmap!C"&amp; MATCH($E195,Roadmap!$D:$D,0)+COUNTIF($E195:Y195,"u")+COUNTIF($E195:Y195,"t")+COUNTIF($E195:Y195,"¶")+COUNTIF($E195:Y195,"²")+COUNTIF($E195:Y195,"µ")+COUNTIF($E195:Y195,1)-1,INDEX(Roadmap!$D:$K,MATCH($E195,Roadmap!$D:$D,0)-1+COUNTIF($E195:Y195,"u")+COUNTIF($E195:Y195,"t")+COUNTIF($E195:Y195,"¶")+COUNTIF($E195:Y195,"²")+COUNTIF($E195:Y195,"µ")+COUNTIF($E195:Y195,1),ColDescriptionCourte)),""),
  "")),"")</f>
        <v/>
      </c>
      <c r="AA195" s="40" t="str">
        <f ca="1">IFERROR(IF(AND(
  INDEX(Roadmap!$D:$K,MATCH($E195,Roadmap!$D:$D,0)+COUNTIF($E195:Z195,"u")+COUNTIF($E195:Z195,"t")+COUNTIF($E195:Z195,"¶")+COUNTIF($E195:Z195,"²")+COUNTIF($E195:Z195,"µ")+COUNTIF($E195:Z195,1),ColLivraison)=AA$6,
  VLOOKUP($E195,INDIRECT("tri!"&amp; CHAR(64+ C0Col) &amp;":"&amp; CHAR(65+C0Col)),2,FALSE)&gt;COUNTIF($E195:Z195,"u")+COUNTIF($E195:Z195,"t")+COUNTIF($E195:Z195,"¶")+COUNTIF($E195:Z195,"²")+COUNTIF($E195:Z195,"µ")+COUNTIF($E195:Z195,1)),
HYPERLINK("#Roadmap!C"&amp; MATCH($E195,Roadmap!$D:$D,0)+COUNTIF($E195:Z195,"u")+COUNTIF($E195:Z195,"t"),
     INDEX(Roadmap!$D:$K,MATCH($E195,Roadmap!$D:$D,0)+COUNTIF($E195:Z195,"u")+COUNTIF($E195:Z195,"t")+COUNTIF($E195:Z195,"¶")+COUNTIF($E195:Z195,"²")+COUNTIF($E195:Z195,"µ")+COUNTIF($E195:Z195,1),ColTypeEcheance)),
  IF(LEN(Z195)=1,
  IF(LEN(INDEX(Roadmap!$D:$K,MATCH($E195,Roadmap!$D:$D,0)-1+COUNTIF($E195:Z195,"u")+COUNTIF($E195:Z195,"t")+COUNTIF($E195:Z195,"¶")+COUNTIF($E195:Z195,"²")+COUNTIF($E195:Z195,"µ")+COUNTIF($E195:Z195,1),ColDescriptionCourte))&gt;1,
HYPERLINK("#Roadmap!C"&amp; MATCH($E195,Roadmap!$D:$D,0)+COUNTIF($E195:Z195,"u")+COUNTIF($E195:Z195,"t")+COUNTIF($E195:Z195,"¶")+COUNTIF($E195:Z195,"²")+COUNTIF($E195:Z195,"µ")+COUNTIF($E195:Z195,1)-1,INDEX(Roadmap!$D:$K,MATCH($E195,Roadmap!$D:$D,0)-1+COUNTIF($E195:Z195,"u")+COUNTIF($E195:Z195,"t")+COUNTIF($E195:Z195,"¶")+COUNTIF($E195:Z195,"²")+COUNTIF($E195:Z195,"µ")+COUNTIF($E195:Z195,1),ColDescriptionCourte)),""),
  "")),"")</f>
        <v/>
      </c>
      <c r="AB195" s="40" t="str">
        <f ca="1">IFERROR(IF(AND(
  INDEX(Roadmap!$D:$K,MATCH($E195,Roadmap!$D:$D,0)+COUNTIF($E195:AA195,"u")+COUNTIF($E195:AA195,"t")+COUNTIF($E195:AA195,"¶")+COUNTIF($E195:AA195,"²")+COUNTIF($E195:AA195,"µ")+COUNTIF($E195:AA195,1),ColLivraison)=AB$6,
  VLOOKUP($E195,INDIRECT("tri!"&amp; CHAR(64+ C0Col) &amp;":"&amp; CHAR(65+C0Col)),2,FALSE)&gt;COUNTIF($E195:AA195,"u")+COUNTIF($E195:AA195,"t")+COUNTIF($E195:AA195,"¶")+COUNTIF($E195:AA195,"²")+COUNTIF($E195:AA195,"µ")+COUNTIF($E195:AA195,1)),
HYPERLINK("#Roadmap!C"&amp; MATCH($E195,Roadmap!$D:$D,0)+COUNTIF($E195:AA195,"u")+COUNTIF($E195:AA195,"t"),
     INDEX(Roadmap!$D:$K,MATCH($E195,Roadmap!$D:$D,0)+COUNTIF($E195:AA195,"u")+COUNTIF($E195:AA195,"t")+COUNTIF($E195:AA195,"¶")+COUNTIF($E195:AA195,"²")+COUNTIF($E195:AA195,"µ")+COUNTIF($E195:AA195,1),ColTypeEcheance)),
  IF(LEN(AA195)=1,
  IF(LEN(INDEX(Roadmap!$D:$K,MATCH($E195,Roadmap!$D:$D,0)-1+COUNTIF($E195:AA195,"u")+COUNTIF($E195:AA195,"t")+COUNTIF($E195:AA195,"¶")+COUNTIF($E195:AA195,"²")+COUNTIF($E195:AA195,"µ")+COUNTIF($E195:AA195,1),ColDescriptionCourte))&gt;1,
HYPERLINK("#Roadmap!C"&amp; MATCH($E195,Roadmap!$D:$D,0)+COUNTIF($E195:AA195,"u")+COUNTIF($E195:AA195,"t")+COUNTIF($E195:AA195,"¶")+COUNTIF($E195:AA195,"²")+COUNTIF($E195:AA195,"µ")+COUNTIF($E195:AA195,1)-1,INDEX(Roadmap!$D:$K,MATCH($E195,Roadmap!$D:$D,0)-1+COUNTIF($E195:AA195,"u")+COUNTIF($E195:AA195,"t")+COUNTIF($E195:AA195,"¶")+COUNTIF($E195:AA195,"²")+COUNTIF($E195:AA195,"µ")+COUNTIF($E195:AA195,1),ColDescriptionCourte)),""),
  "")),"")</f>
        <v/>
      </c>
      <c r="AC195" s="40" t="str">
        <f ca="1">IFERROR(IF(AND(
  INDEX(Roadmap!$D:$K,MATCH($E195,Roadmap!$D:$D,0)+COUNTIF($E195:AB195,"u")+COUNTIF($E195:AB195,"t")+COUNTIF($E195:AB195,"¶")+COUNTIF($E195:AB195,"²")+COUNTIF($E195:AB195,"µ")+COUNTIF($E195:AB195,1),ColLivraison)=AC$6,
  VLOOKUP($E195,INDIRECT("tri!"&amp; CHAR(64+ C0Col) &amp;":"&amp; CHAR(65+C0Col)),2,FALSE)&gt;COUNTIF($E195:AB195,"u")+COUNTIF($E195:AB195,"t")+COUNTIF($E195:AB195,"¶")+COUNTIF($E195:AB195,"²")+COUNTIF($E195:AB195,"µ")+COUNTIF($E195:AB195,1)),
HYPERLINK("#Roadmap!C"&amp; MATCH($E195,Roadmap!$D:$D,0)+COUNTIF($E195:AB195,"u")+COUNTIF($E195:AB195,"t"),
     INDEX(Roadmap!$D:$K,MATCH($E195,Roadmap!$D:$D,0)+COUNTIF($E195:AB195,"u")+COUNTIF($E195:AB195,"t")+COUNTIF($E195:AB195,"¶")+COUNTIF($E195:AB195,"²")+COUNTIF($E195:AB195,"µ")+COUNTIF($E195:AB195,1),ColTypeEcheance)),
  IF(LEN(AB195)=1,
  IF(LEN(INDEX(Roadmap!$D:$K,MATCH($E195,Roadmap!$D:$D,0)-1+COUNTIF($E195:AB195,"u")+COUNTIF($E195:AB195,"t")+COUNTIF($E195:AB195,"¶")+COUNTIF($E195:AB195,"²")+COUNTIF($E195:AB195,"µ")+COUNTIF($E195:AB195,1),ColDescriptionCourte))&gt;1,
HYPERLINK("#Roadmap!C"&amp; MATCH($E195,Roadmap!$D:$D,0)+COUNTIF($E195:AB195,"u")+COUNTIF($E195:AB195,"t")+COUNTIF($E195:AB195,"¶")+COUNTIF($E195:AB195,"²")+COUNTIF($E195:AB195,"µ")+COUNTIF($E195:AB195,1)-1,INDEX(Roadmap!$D:$K,MATCH($E195,Roadmap!$D:$D,0)-1+COUNTIF($E195:AB195,"u")+COUNTIF($E195:AB195,"t")+COUNTIF($E195:AB195,"¶")+COUNTIF($E195:AB195,"²")+COUNTIF($E195:AB195,"µ")+COUNTIF($E195:AB195,1),ColDescriptionCourte)),""),
  "")),"")</f>
        <v/>
      </c>
      <c r="AD195" s="40" t="str">
        <f ca="1">IFERROR(IF(AND(
  INDEX(Roadmap!$D:$K,MATCH($E195,Roadmap!$D:$D,0)+COUNTIF($E195:AC195,"u")+COUNTIF($E195:AC195,"t")+COUNTIF($E195:AC195,"¶")+COUNTIF($E195:AC195,"²")+COUNTIF($E195:AC195,"µ")+COUNTIF($E195:AC195,1),ColLivraison)=AD$6,
  VLOOKUP($E195,INDIRECT("tri!"&amp; CHAR(64+ C0Col) &amp;":"&amp; CHAR(65+C0Col)),2,FALSE)&gt;COUNTIF($E195:AC195,"u")+COUNTIF($E195:AC195,"t")+COUNTIF($E195:AC195,"¶")+COUNTIF($E195:AC195,"²")+COUNTIF($E195:AC195,"µ")+COUNTIF($E195:AC195,1)),
HYPERLINK("#Roadmap!C"&amp; MATCH($E195,Roadmap!$D:$D,0)+COUNTIF($E195:AC195,"u")+COUNTIF($E195:AC195,"t"),
     INDEX(Roadmap!$D:$K,MATCH($E195,Roadmap!$D:$D,0)+COUNTIF($E195:AC195,"u")+COUNTIF($E195:AC195,"t")+COUNTIF($E195:AC195,"¶")+COUNTIF($E195:AC195,"²")+COUNTIF($E195:AC195,"µ")+COUNTIF($E195:AC195,1),ColTypeEcheance)),
  IF(LEN(AC195)=1,
  IF(LEN(INDEX(Roadmap!$D:$K,MATCH($E195,Roadmap!$D:$D,0)-1+COUNTIF($E195:AC195,"u")+COUNTIF($E195:AC195,"t")+COUNTIF($E195:AC195,"¶")+COUNTIF($E195:AC195,"²")+COUNTIF($E195:AC195,"µ")+COUNTIF($E195:AC195,1),ColDescriptionCourte))&gt;1,
HYPERLINK("#Roadmap!C"&amp; MATCH($E195,Roadmap!$D:$D,0)+COUNTIF($E195:AC195,"u")+COUNTIF($E195:AC195,"t")+COUNTIF($E195:AC195,"¶")+COUNTIF($E195:AC195,"²")+COUNTIF($E195:AC195,"µ")+COUNTIF($E195:AC195,1)-1,INDEX(Roadmap!$D:$K,MATCH($E195,Roadmap!$D:$D,0)-1+COUNTIF($E195:AC195,"u")+COUNTIF($E195:AC195,"t")+COUNTIF($E195:AC195,"¶")+COUNTIF($E195:AC195,"²")+COUNTIF($E195:AC195,"µ")+COUNTIF($E195:AC195,1),ColDescriptionCourte)),""),
  "")),"")</f>
        <v/>
      </c>
      <c r="AE195" s="40" t="str">
        <f ca="1">IFERROR(IF(AND(
  INDEX(Roadmap!$D:$K,MATCH($E195,Roadmap!$D:$D,0)+COUNTIF($E195:AD195,"u")+COUNTIF($E195:AD195,"t")+COUNTIF($E195:AD195,"¶")+COUNTIF($E195:AD195,"²")+COUNTIF($E195:AD195,"µ")+COUNTIF($E195:AD195,1),ColLivraison)=AE$6,
  VLOOKUP($E195,INDIRECT("tri!"&amp; CHAR(64+ C0Col) &amp;":"&amp; CHAR(65+C0Col)),2,FALSE)&gt;COUNTIF($E195:AD195,"u")+COUNTIF($E195:AD195,"t")+COUNTIF($E195:AD195,"¶")+COUNTIF($E195:AD195,"²")+COUNTIF($E195:AD195,"µ")+COUNTIF($E195:AD195,1)),
HYPERLINK("#Roadmap!C"&amp; MATCH($E195,Roadmap!$D:$D,0)+COUNTIF($E195:AD195,"u")+COUNTIF($E195:AD195,"t"),
     INDEX(Roadmap!$D:$K,MATCH($E195,Roadmap!$D:$D,0)+COUNTIF($E195:AD195,"u")+COUNTIF($E195:AD195,"t")+COUNTIF($E195:AD195,"¶")+COUNTIF($E195:AD195,"²")+COUNTIF($E195:AD195,"µ")+COUNTIF($E195:AD195,1),ColTypeEcheance)),
  IF(LEN(AD195)=1,
  IF(LEN(INDEX(Roadmap!$D:$K,MATCH($E195,Roadmap!$D:$D,0)-1+COUNTIF($E195:AD195,"u")+COUNTIF($E195:AD195,"t")+COUNTIF($E195:AD195,"¶")+COUNTIF($E195:AD195,"²")+COUNTIF($E195:AD195,"µ")+COUNTIF($E195:AD195,1),ColDescriptionCourte))&gt;1,
HYPERLINK("#Roadmap!C"&amp; MATCH($E195,Roadmap!$D:$D,0)+COUNTIF($E195:AD195,"u")+COUNTIF($E195:AD195,"t")+COUNTIF($E195:AD195,"¶")+COUNTIF($E195:AD195,"²")+COUNTIF($E195:AD195,"µ")+COUNTIF($E195:AD195,1)-1,INDEX(Roadmap!$D:$K,MATCH($E195,Roadmap!$D:$D,0)-1+COUNTIF($E195:AD195,"u")+COUNTIF($E195:AD195,"t")+COUNTIF($E195:AD195,"¶")+COUNTIF($E195:AD195,"²")+COUNTIF($E195:AD195,"µ")+COUNTIF($E195:AD195,1),ColDescriptionCourte)),""),
  "")),"")</f>
        <v/>
      </c>
      <c r="AF195" s="40" t="str">
        <f ca="1">IFERROR(IF(AND(
  INDEX(Roadmap!$D:$K,MATCH($E195,Roadmap!$D:$D,0)+COUNTIF($E195:AE195,"u")+COUNTIF($E195:AE195,"t")+COUNTIF($E195:AE195,"¶")+COUNTIF($E195:AE195,"²")+COUNTIF($E195:AE195,"µ")+COUNTIF($E195:AE195,1),ColLivraison)=AF$6,
  VLOOKUP($E195,INDIRECT("tri!"&amp; CHAR(64+ C0Col) &amp;":"&amp; CHAR(65+C0Col)),2,FALSE)&gt;COUNTIF($E195:AE195,"u")+COUNTIF($E195:AE195,"t")+COUNTIF($E195:AE195,"¶")+COUNTIF($E195:AE195,"²")+COUNTIF($E195:AE195,"µ")+COUNTIF($E195:AE195,1)),
HYPERLINK("#Roadmap!C"&amp; MATCH($E195,Roadmap!$D:$D,0)+COUNTIF($E195:AE195,"u")+COUNTIF($E195:AE195,"t"),
     INDEX(Roadmap!$D:$K,MATCH($E195,Roadmap!$D:$D,0)+COUNTIF($E195:AE195,"u")+COUNTIF($E195:AE195,"t")+COUNTIF($E195:AE195,"¶")+COUNTIF($E195:AE195,"²")+COUNTIF($E195:AE195,"µ")+COUNTIF($E195:AE195,1),ColTypeEcheance)),
  IF(LEN(AE195)=1,
  IF(LEN(INDEX(Roadmap!$D:$K,MATCH($E195,Roadmap!$D:$D,0)-1+COUNTIF($E195:AE195,"u")+COUNTIF($E195:AE195,"t")+COUNTIF($E195:AE195,"¶")+COUNTIF($E195:AE195,"²")+COUNTIF($E195:AE195,"µ")+COUNTIF($E195:AE195,1),ColDescriptionCourte))&gt;1,
HYPERLINK("#Roadmap!C"&amp; MATCH($E195,Roadmap!$D:$D,0)+COUNTIF($E195:AE195,"u")+COUNTIF($E195:AE195,"t")+COUNTIF($E195:AE195,"¶")+COUNTIF($E195:AE195,"²")+COUNTIF($E195:AE195,"µ")+COUNTIF($E195:AE195,1)-1,INDEX(Roadmap!$D:$K,MATCH($E195,Roadmap!$D:$D,0)-1+COUNTIF($E195:AE195,"u")+COUNTIF($E195:AE195,"t")+COUNTIF($E195:AE195,"¶")+COUNTIF($E195:AE195,"²")+COUNTIF($E195:AE195,"µ")+COUNTIF($E195:AE195,1),ColDescriptionCourte)),""),
  "")),"")</f>
        <v/>
      </c>
      <c r="AG195" s="40" t="str">
        <f ca="1">IFERROR(IF(AND(
  INDEX(Roadmap!$D:$K,MATCH($E195,Roadmap!$D:$D,0)+COUNTIF($E195:AF195,"u")+COUNTIF($E195:AF195,"t")+COUNTIF($E195:AF195,"¶")+COUNTIF($E195:AF195,"²")+COUNTIF($E195:AF195,"µ")+COUNTIF($E195:AF195,1),ColLivraison)=AG$6,
  VLOOKUP($E195,INDIRECT("tri!"&amp; CHAR(64+ C0Col) &amp;":"&amp; CHAR(65+C0Col)),2,FALSE)&gt;COUNTIF($E195:AF195,"u")+COUNTIF($E195:AF195,"t")+COUNTIF($E195:AF195,"¶")+COUNTIF($E195:AF195,"²")+COUNTIF($E195:AF195,"µ")+COUNTIF($E195:AF195,1)),
HYPERLINK("#Roadmap!C"&amp; MATCH($E195,Roadmap!$D:$D,0)+COUNTIF($E195:AF195,"u")+COUNTIF($E195:AF195,"t"),
     INDEX(Roadmap!$D:$K,MATCH($E195,Roadmap!$D:$D,0)+COUNTIF($E195:AF195,"u")+COUNTIF($E195:AF195,"t")+COUNTIF($E195:AF195,"¶")+COUNTIF($E195:AF195,"²")+COUNTIF($E195:AF195,"µ")+COUNTIF($E195:AF195,1),ColTypeEcheance)),
  IF(LEN(AF195)=1,
  IF(LEN(INDEX(Roadmap!$D:$K,MATCH($E195,Roadmap!$D:$D,0)-1+COUNTIF($E195:AF195,"u")+COUNTIF($E195:AF195,"t")+COUNTIF($E195:AF195,"¶")+COUNTIF($E195:AF195,"²")+COUNTIF($E195:AF195,"µ")+COUNTIF($E195:AF195,1),ColDescriptionCourte))&gt;1,
HYPERLINK("#Roadmap!C"&amp; MATCH($E195,Roadmap!$D:$D,0)+COUNTIF($E195:AF195,"u")+COUNTIF($E195:AF195,"t")+COUNTIF($E195:AF195,"¶")+COUNTIF($E195:AF195,"²")+COUNTIF($E195:AF195,"µ")+COUNTIF($E195:AF195,1)-1,INDEX(Roadmap!$D:$K,MATCH($E195,Roadmap!$D:$D,0)-1+COUNTIF($E195:AF195,"u")+COUNTIF($E195:AF195,"t")+COUNTIF($E195:AF195,"¶")+COUNTIF($E195:AF195,"²")+COUNTIF($E195:AF195,"µ")+COUNTIF($E195:AF195,1),ColDescriptionCourte)),""),
  "")),"")</f>
        <v/>
      </c>
    </row>
    <row r="196" spans="3:33" ht="14.25" customHeight="1">
      <c r="C196" s="1" t="str">
        <f t="shared" ca="1" si="54"/>
        <v/>
      </c>
      <c r="D196" s="1" t="str">
        <f t="shared" ca="1" si="55"/>
        <v/>
      </c>
      <c r="E196" s="35" t="str">
        <f t="shared" ca="1" si="51"/>
        <v/>
      </c>
      <c r="F196" s="39" t="str">
        <f ca="1">IFERROR(IF(AND(
  INDEX(Roadmap!$D:$K,MATCH($E196,Roadmap!$D:$D,0)+COUNTIF($E196:E196,"u")+COUNTIF($E196:E196,"t")+COUNTIF($E196:E196,"¶")+COUNTIF($E196:E196,"²")+COUNTIF($E196:E196,"µ")+COUNTIF($E196:E196,1),ColLivraison)=F$6,
  VLOOKUP($E196,INDIRECT("tri!"&amp; CHAR(64+ C0Col) &amp;":"&amp; CHAR(65+C0Col)),2,FALSE)&gt;COUNTIF($E196:E196,"u")+COUNTIF($E196:E196,"t")+COUNTIF($E196:E196,"¶")+COUNTIF($E196:E196,"²")+COUNTIF($E196:E196,"µ")+COUNTIF($E196:E196,1)),
HYPERLINK("#Roadmap!C"&amp; MATCH($E196,Roadmap!$D:$D,0)+COUNTIF($E196:E196,"u")+COUNTIF($E196:E196,"t"),
     INDEX(Roadmap!$D:$K,MATCH($E196,Roadmap!$D:$D,0)+COUNTIF($E196:E196,"u")+COUNTIF($E196:E196,"t")+COUNTIF($E196:E196,"¶")+COUNTIF($E196:E196,"²")+COUNTIF($E196:E196,"µ")+COUNTIF($E196:E196,1),ColTypeEcheance)),
  IF(LEN(E196)=1,
  IF(LEN(INDEX(Roadmap!$D:$K,MATCH($E196,Roadmap!$D:$D,0)-1+COUNTIF($E196:E196,"u")+COUNTIF($E196:E196,"t")+COUNTIF($E196:E196,"¶")+COUNTIF($E196:E196,"²")+COUNTIF($E196:E196,"µ")+COUNTIF($E196:E196,1),ColDescriptionCourte))&gt;1,
HYPERLINK("#Roadmap!C"&amp; MATCH($E196,Roadmap!$D:$D,0)+COUNTIF($E196:E196,"u")+COUNTIF($E196:E196,"t")+COUNTIF($E196:E196,"¶")+COUNTIF($E196:E196,"²")+COUNTIF($E196:E196,"µ")+COUNTIF($E196:E196,1)-1,INDEX(Roadmap!$D:$K,MATCH($E196,Roadmap!$D:$D,0)-1+COUNTIF($E196:E196,"u")+COUNTIF($E196:E196,"t")+COUNTIF($E196:E196,"¶")+COUNTIF($E196:E196,"²")+COUNTIF($E196:E196,"µ")+COUNTIF($E196:E196,1),ColDescriptionCourte)),""),
  "")),"")</f>
        <v/>
      </c>
      <c r="G196" s="40" t="str">
        <f ca="1">IFERROR(IF(AND(
  INDEX(Roadmap!$D:$K,MATCH($E196,Roadmap!$D:$D,0)+COUNTIF($E196:F196,"u")+COUNTIF($E196:F196,"t")+COUNTIF($E196:F196,"¶")+COUNTIF($E196:F196,"²")+COUNTIF($E196:F196,"µ")+COUNTIF($E196:F196,1),ColLivraison)=G$6,
  VLOOKUP($E196,INDIRECT("tri!"&amp; CHAR(64+ C0Col) &amp;":"&amp; CHAR(65+C0Col)),2,FALSE)&gt;COUNTIF($E196:F196,"u")+COUNTIF($E196:F196,"t")+COUNTIF($E196:F196,"¶")+COUNTIF($E196:F196,"²")+COUNTIF($E196:F196,"µ")+COUNTIF($E196:F196,1)),
HYPERLINK("#Roadmap!C"&amp; MATCH($E196,Roadmap!$D:$D,0)+COUNTIF($E196:F196,"u")+COUNTIF($E196:F196,"t"),
     INDEX(Roadmap!$D:$K,MATCH($E196,Roadmap!$D:$D,0)+COUNTIF($E196:F196,"u")+COUNTIF($E196:F196,"t")+COUNTIF($E196:F196,"¶")+COUNTIF($E196:F196,"²")+COUNTIF($E196:F196,"µ")+COUNTIF($E196:F196,1),ColTypeEcheance)),
  IF(LEN(F196)=1,
  IF(LEN(INDEX(Roadmap!$D:$K,MATCH($E196,Roadmap!$D:$D,0)-1+COUNTIF($E196:F196,"u")+COUNTIF($E196:F196,"t")+COUNTIF($E196:F196,"¶")+COUNTIF($E196:F196,"²")+COUNTIF($E196:F196,"µ")+COUNTIF($E196:F196,1),ColDescriptionCourte))&gt;1,
HYPERLINK("#Roadmap!C"&amp; MATCH($E196,Roadmap!$D:$D,0)+COUNTIF($E196:F196,"u")+COUNTIF($E196:F196,"t")+COUNTIF($E196:F196,"¶")+COUNTIF($E196:F196,"²")+COUNTIF($E196:F196,"µ")+COUNTIF($E196:F196,1)-1,INDEX(Roadmap!$D:$K,MATCH($E196,Roadmap!$D:$D,0)-1+COUNTIF($E196:F196,"u")+COUNTIF($E196:F196,"t")+COUNTIF($E196:F196,"¶")+COUNTIF($E196:F196,"²")+COUNTIF($E196:F196,"µ")+COUNTIF($E196:F196,1),ColDescriptionCourte)),""),
  "")),"")</f>
        <v/>
      </c>
      <c r="H196" s="40" t="str">
        <f ca="1">IFERROR(IF(AND(
  INDEX(Roadmap!$D:$K,MATCH($E196,Roadmap!$D:$D,0)+COUNTIF($E196:G196,"u")+COUNTIF($E196:G196,"t")+COUNTIF($E196:G196,"¶")+COUNTIF($E196:G196,"²")+COUNTIF($E196:G196,"µ")+COUNTIF($E196:G196,1),ColLivraison)=H$6,
  VLOOKUP($E196,INDIRECT("tri!"&amp; CHAR(64+ C0Col) &amp;":"&amp; CHAR(65+C0Col)),2,FALSE)&gt;COUNTIF($E196:G196,"u")+COUNTIF($E196:G196,"t")+COUNTIF($E196:G196,"¶")+COUNTIF($E196:G196,"²")+COUNTIF($E196:G196,"µ")+COUNTIF($E196:G196,1)),
HYPERLINK("#Roadmap!C"&amp; MATCH($E196,Roadmap!$D:$D,0)+COUNTIF($E196:G196,"u")+COUNTIF($E196:G196,"t"),
     INDEX(Roadmap!$D:$K,MATCH($E196,Roadmap!$D:$D,0)+COUNTIF($E196:G196,"u")+COUNTIF($E196:G196,"t")+COUNTIF($E196:G196,"¶")+COUNTIF($E196:G196,"²")+COUNTIF($E196:G196,"µ")+COUNTIF($E196:G196,1),ColTypeEcheance)),
  IF(LEN(G196)=1,
  IF(LEN(INDEX(Roadmap!$D:$K,MATCH($E196,Roadmap!$D:$D,0)-1+COUNTIF($E196:G196,"u")+COUNTIF($E196:G196,"t")+COUNTIF($E196:G196,"¶")+COUNTIF($E196:G196,"²")+COUNTIF($E196:G196,"µ")+COUNTIF($E196:G196,1),ColDescriptionCourte))&gt;1,
HYPERLINK("#Roadmap!C"&amp; MATCH($E196,Roadmap!$D:$D,0)+COUNTIF($E196:G196,"u")+COUNTIF($E196:G196,"t")+COUNTIF($E196:G196,"¶")+COUNTIF($E196:G196,"²")+COUNTIF($E196:G196,"µ")+COUNTIF($E196:G196,1)-1,INDEX(Roadmap!$D:$K,MATCH($E196,Roadmap!$D:$D,0)-1+COUNTIF($E196:G196,"u")+COUNTIF($E196:G196,"t")+COUNTIF($E196:G196,"¶")+COUNTIF($E196:G196,"²")+COUNTIF($E196:G196,"µ")+COUNTIF($E196:G196,1),ColDescriptionCourte)),""),
  "")),"")</f>
        <v/>
      </c>
      <c r="I196" s="40" t="str">
        <f ca="1">IFERROR(IF(AND(
  INDEX(Roadmap!$D:$K,MATCH($E196,Roadmap!$D:$D,0)+COUNTIF($E196:H196,"u")+COUNTIF($E196:H196,"t")+COUNTIF($E196:H196,"¶")+COUNTIF($E196:H196,"²")+COUNTIF($E196:H196,"µ")+COUNTIF($E196:H196,1),ColLivraison)=I$6,
  VLOOKUP($E196,INDIRECT("tri!"&amp; CHAR(64+ C0Col) &amp;":"&amp; CHAR(65+C0Col)),2,FALSE)&gt;COUNTIF($E196:H196,"u")+COUNTIF($E196:H196,"t")+COUNTIF($E196:H196,"¶")+COUNTIF($E196:H196,"²")+COUNTIF($E196:H196,"µ")+COUNTIF($E196:H196,1)),
HYPERLINK("#Roadmap!C"&amp; MATCH($E196,Roadmap!$D:$D,0)+COUNTIF($E196:H196,"u")+COUNTIF($E196:H196,"t"),
     INDEX(Roadmap!$D:$K,MATCH($E196,Roadmap!$D:$D,0)+COUNTIF($E196:H196,"u")+COUNTIF($E196:H196,"t")+COUNTIF($E196:H196,"¶")+COUNTIF($E196:H196,"²")+COUNTIF($E196:H196,"µ")+COUNTIF($E196:H196,1),ColTypeEcheance)),
  IF(LEN(H196)=1,
  IF(LEN(INDEX(Roadmap!$D:$K,MATCH($E196,Roadmap!$D:$D,0)-1+COUNTIF($E196:H196,"u")+COUNTIF($E196:H196,"t")+COUNTIF($E196:H196,"¶")+COUNTIF($E196:H196,"²")+COUNTIF($E196:H196,"µ")+COUNTIF($E196:H196,1),ColDescriptionCourte))&gt;1,
HYPERLINK("#Roadmap!C"&amp; MATCH($E196,Roadmap!$D:$D,0)+COUNTIF($E196:H196,"u")+COUNTIF($E196:H196,"t")+COUNTIF($E196:H196,"¶")+COUNTIF($E196:H196,"²")+COUNTIF($E196:H196,"µ")+COUNTIF($E196:H196,1)-1,INDEX(Roadmap!$D:$K,MATCH($E196,Roadmap!$D:$D,0)-1+COUNTIF($E196:H196,"u")+COUNTIF($E196:H196,"t")+COUNTIF($E196:H196,"¶")+COUNTIF($E196:H196,"²")+COUNTIF($E196:H196,"µ")+COUNTIF($E196:H196,1),ColDescriptionCourte)),""),
  "")),"")</f>
        <v/>
      </c>
      <c r="J196" s="40" t="str">
        <f ca="1">IFERROR(IF(AND(
  INDEX(Roadmap!$D:$K,MATCH($E196,Roadmap!$D:$D,0)+COUNTIF($E196:I196,"u")+COUNTIF($E196:I196,"t")+COUNTIF($E196:I196,"¶")+COUNTIF($E196:I196,"²")+COUNTIF($E196:I196,"µ")+COUNTIF($E196:I196,1),ColLivraison)=J$6,
  VLOOKUP($E196,INDIRECT("tri!"&amp; CHAR(64+ C0Col) &amp;":"&amp; CHAR(65+C0Col)),2,FALSE)&gt;COUNTIF($E196:I196,"u")+COUNTIF($E196:I196,"t")+COUNTIF($E196:I196,"¶")+COUNTIF($E196:I196,"²")+COUNTIF($E196:I196,"µ")+COUNTIF($E196:I196,1)),
HYPERLINK("#Roadmap!C"&amp; MATCH($E196,Roadmap!$D:$D,0)+COUNTIF($E196:I196,"u")+COUNTIF($E196:I196,"t"),
     INDEX(Roadmap!$D:$K,MATCH($E196,Roadmap!$D:$D,0)+COUNTIF($E196:I196,"u")+COUNTIF($E196:I196,"t")+COUNTIF($E196:I196,"¶")+COUNTIF($E196:I196,"²")+COUNTIF($E196:I196,"µ")+COUNTIF($E196:I196,1),ColTypeEcheance)),
  IF(LEN(I196)=1,
  IF(LEN(INDEX(Roadmap!$D:$K,MATCH($E196,Roadmap!$D:$D,0)-1+COUNTIF($E196:I196,"u")+COUNTIF($E196:I196,"t")+COUNTIF($E196:I196,"¶")+COUNTIF($E196:I196,"²")+COUNTIF($E196:I196,"µ")+COUNTIF($E196:I196,1),ColDescriptionCourte))&gt;1,
HYPERLINK("#Roadmap!C"&amp; MATCH($E196,Roadmap!$D:$D,0)+COUNTIF($E196:I196,"u")+COUNTIF($E196:I196,"t")+COUNTIF($E196:I196,"¶")+COUNTIF($E196:I196,"²")+COUNTIF($E196:I196,"µ")+COUNTIF($E196:I196,1)-1,INDEX(Roadmap!$D:$K,MATCH($E196,Roadmap!$D:$D,0)-1+COUNTIF($E196:I196,"u")+COUNTIF($E196:I196,"t")+COUNTIF($E196:I196,"¶")+COUNTIF($E196:I196,"²")+COUNTIF($E196:I196,"µ")+COUNTIF($E196:I196,1),ColDescriptionCourte)),""),
  "")),"")</f>
        <v/>
      </c>
      <c r="K196" s="40" t="str">
        <f ca="1">IFERROR(IF(AND(
  INDEX(Roadmap!$D:$K,MATCH($E196,Roadmap!$D:$D,0)+COUNTIF($E196:J196,"u")+COUNTIF($E196:J196,"t")+COUNTIF($E196:J196,"¶")+COUNTIF($E196:J196,"²")+COUNTIF($E196:J196,"µ")+COUNTIF($E196:J196,1),ColLivraison)=K$6,
  VLOOKUP($E196,INDIRECT("tri!"&amp; CHAR(64+ C0Col) &amp;":"&amp; CHAR(65+C0Col)),2,FALSE)&gt;COUNTIF($E196:J196,"u")+COUNTIF($E196:J196,"t")+COUNTIF($E196:J196,"¶")+COUNTIF($E196:J196,"²")+COUNTIF($E196:J196,"µ")+COUNTIF($E196:J196,1)),
HYPERLINK("#Roadmap!C"&amp; MATCH($E196,Roadmap!$D:$D,0)+COUNTIF($E196:J196,"u")+COUNTIF($E196:J196,"t"),
     INDEX(Roadmap!$D:$K,MATCH($E196,Roadmap!$D:$D,0)+COUNTIF($E196:J196,"u")+COUNTIF($E196:J196,"t")+COUNTIF($E196:J196,"¶")+COUNTIF($E196:J196,"²")+COUNTIF($E196:J196,"µ")+COUNTIF($E196:J196,1),ColTypeEcheance)),
  IF(LEN(J196)=1,
  IF(LEN(INDEX(Roadmap!$D:$K,MATCH($E196,Roadmap!$D:$D,0)-1+COUNTIF($E196:J196,"u")+COUNTIF($E196:J196,"t")+COUNTIF($E196:J196,"¶")+COUNTIF($E196:J196,"²")+COUNTIF($E196:J196,"µ")+COUNTIF($E196:J196,1),ColDescriptionCourte))&gt;1,
HYPERLINK("#Roadmap!C"&amp; MATCH($E196,Roadmap!$D:$D,0)+COUNTIF($E196:J196,"u")+COUNTIF($E196:J196,"t")+COUNTIF($E196:J196,"¶")+COUNTIF($E196:J196,"²")+COUNTIF($E196:J196,"µ")+COUNTIF($E196:J196,1)-1,INDEX(Roadmap!$D:$K,MATCH($E196,Roadmap!$D:$D,0)-1+COUNTIF($E196:J196,"u")+COUNTIF($E196:J196,"t")+COUNTIF($E196:J196,"¶")+COUNTIF($E196:J196,"²")+COUNTIF($E196:J196,"µ")+COUNTIF($E196:J196,1),ColDescriptionCourte)),""),
  "")),"")</f>
        <v/>
      </c>
      <c r="L196" s="39" t="str">
        <f ca="1">IFERROR(IF(AND(
  INDEX(Roadmap!$D:$K,MATCH($E196,Roadmap!$D:$D,0)+COUNTIF($E196:K196,"u")+COUNTIF($E196:K196,"t")+COUNTIF($E196:K196,"¶")+COUNTIF($E196:K196,"²")+COUNTIF($E196:K196,"µ")+COUNTIF($E196:K196,1),ColLivraison)=L$6,
  VLOOKUP($E196,INDIRECT("tri!"&amp; CHAR(64+ C0Col) &amp;":"&amp; CHAR(65+C0Col)),2,FALSE)&gt;COUNTIF($E196:K196,"u")+COUNTIF($E196:K196,"t")+COUNTIF($E196:K196,"¶")+COUNTIF($E196:K196,"²")+COUNTIF($E196:K196,"µ")+COUNTIF($E196:K196,1)),
HYPERLINK("#Roadmap!C"&amp; MATCH($E196,Roadmap!$D:$D,0)+COUNTIF($E196:K196,"u")+COUNTIF($E196:K196,"t"),
     INDEX(Roadmap!$D:$K,MATCH($E196,Roadmap!$D:$D,0)+COUNTIF($E196:K196,"u")+COUNTIF($E196:K196,"t")+COUNTIF($E196:K196,"¶")+COUNTIF($E196:K196,"²")+COUNTIF($E196:K196,"µ")+COUNTIF($E196:K196,1),ColTypeEcheance)),
  IF(LEN(K196)=1,
  IF(LEN(INDEX(Roadmap!$D:$K,MATCH($E196,Roadmap!$D:$D,0)-1+COUNTIF($E196:K196,"u")+COUNTIF($E196:K196,"t")+COUNTIF($E196:K196,"¶")+COUNTIF($E196:K196,"²")+COUNTIF($E196:K196,"µ")+COUNTIF($E196:K196,1),ColDescriptionCourte))&gt;1,
HYPERLINK("#Roadmap!C"&amp; MATCH($E196,Roadmap!$D:$D,0)+COUNTIF($E196:K196,"u")+COUNTIF($E196:K196,"t")+COUNTIF($E196:K196,"¶")+COUNTIF($E196:K196,"²")+COUNTIF($E196:K196,"µ")+COUNTIF($E196:K196,1)-1,INDEX(Roadmap!$D:$K,MATCH($E196,Roadmap!$D:$D,0)-1+COUNTIF($E196:K196,"u")+COUNTIF($E196:K196,"t")+COUNTIF($E196:K196,"¶")+COUNTIF($E196:K196,"²")+COUNTIF($E196:K196,"µ")+COUNTIF($E196:K196,1),ColDescriptionCourte)),""),
  "")),"")</f>
        <v/>
      </c>
      <c r="M196" s="40" t="str">
        <f ca="1">IFERROR(IF(AND(
  INDEX(Roadmap!$D:$K,MATCH($E196,Roadmap!$D:$D,0)+COUNTIF($E196:L196,"u")+COUNTIF($E196:L196,"t")+COUNTIF($E196:L196,"¶")+COUNTIF($E196:L196,"²")+COUNTIF($E196:L196,"µ")+COUNTIF($E196:L196,1),ColLivraison)=M$6,
  VLOOKUP($E196,INDIRECT("tri!"&amp; CHAR(64+ C0Col) &amp;":"&amp; CHAR(65+C0Col)),2,FALSE)&gt;COUNTIF($E196:L196,"u")+COUNTIF($E196:L196,"t")+COUNTIF($E196:L196,"¶")+COUNTIF($E196:L196,"²")+COUNTIF($E196:L196,"µ")+COUNTIF($E196:L196,1)),
HYPERLINK("#Roadmap!C"&amp; MATCH($E196,Roadmap!$D:$D,0)+COUNTIF($E196:L196,"u")+COUNTIF($E196:L196,"t"),
     INDEX(Roadmap!$D:$K,MATCH($E196,Roadmap!$D:$D,0)+COUNTIF($E196:L196,"u")+COUNTIF($E196:L196,"t")+COUNTIF($E196:L196,"¶")+COUNTIF($E196:L196,"²")+COUNTIF($E196:L196,"µ")+COUNTIF($E196:L196,1),ColTypeEcheance)),
  IF(LEN(L196)=1,
  IF(LEN(INDEX(Roadmap!$D:$K,MATCH($E196,Roadmap!$D:$D,0)-1+COUNTIF($E196:L196,"u")+COUNTIF($E196:L196,"t")+COUNTIF($E196:L196,"¶")+COUNTIF($E196:L196,"²")+COUNTIF($E196:L196,"µ")+COUNTIF($E196:L196,1),ColDescriptionCourte))&gt;1,
HYPERLINK("#Roadmap!C"&amp; MATCH($E196,Roadmap!$D:$D,0)+COUNTIF($E196:L196,"u")+COUNTIF($E196:L196,"t")+COUNTIF($E196:L196,"¶")+COUNTIF($E196:L196,"²")+COUNTIF($E196:L196,"µ")+COUNTIF($E196:L196,1)-1,INDEX(Roadmap!$D:$K,MATCH($E196,Roadmap!$D:$D,0)-1+COUNTIF($E196:L196,"u")+COUNTIF($E196:L196,"t")+COUNTIF($E196:L196,"¶")+COUNTIF($E196:L196,"²")+COUNTIF($E196:L196,"µ")+COUNTIF($E196:L196,1),ColDescriptionCourte)),""),
  "")),"")</f>
        <v/>
      </c>
      <c r="N196" s="40" t="str">
        <f ca="1">IFERROR(IF(AND(
  INDEX(Roadmap!$D:$K,MATCH($E196,Roadmap!$D:$D,0)+COUNTIF($E196:M196,"u")+COUNTIF($E196:M196,"t")+COUNTIF($E196:M196,"¶")+COUNTIF($E196:M196,"²")+COUNTIF($E196:M196,"µ")+COUNTIF($E196:M196,1),ColLivraison)=N$6,
  VLOOKUP($E196,INDIRECT("tri!"&amp; CHAR(64+ C0Col) &amp;":"&amp; CHAR(65+C0Col)),2,FALSE)&gt;COUNTIF($E196:M196,"u")+COUNTIF($E196:M196,"t")+COUNTIF($E196:M196,"¶")+COUNTIF($E196:M196,"²")+COUNTIF($E196:M196,"µ")+COUNTIF($E196:M196,1)),
HYPERLINK("#Roadmap!C"&amp; MATCH($E196,Roadmap!$D:$D,0)+COUNTIF($E196:M196,"u")+COUNTIF($E196:M196,"t"),
     INDEX(Roadmap!$D:$K,MATCH($E196,Roadmap!$D:$D,0)+COUNTIF($E196:M196,"u")+COUNTIF($E196:M196,"t")+COUNTIF($E196:M196,"¶")+COUNTIF($E196:M196,"²")+COUNTIF($E196:M196,"µ")+COUNTIF($E196:M196,1),ColTypeEcheance)),
  IF(LEN(M196)=1,
  IF(LEN(INDEX(Roadmap!$D:$K,MATCH($E196,Roadmap!$D:$D,0)-1+COUNTIF($E196:M196,"u")+COUNTIF($E196:M196,"t")+COUNTIF($E196:M196,"¶")+COUNTIF($E196:M196,"²")+COUNTIF($E196:M196,"µ")+COUNTIF($E196:M196,1),ColDescriptionCourte))&gt;1,
HYPERLINK("#Roadmap!C"&amp; MATCH($E196,Roadmap!$D:$D,0)+COUNTIF($E196:M196,"u")+COUNTIF($E196:M196,"t")+COUNTIF($E196:M196,"¶")+COUNTIF($E196:M196,"²")+COUNTIF($E196:M196,"µ")+COUNTIF($E196:M196,1)-1,INDEX(Roadmap!$D:$K,MATCH($E196,Roadmap!$D:$D,0)-1+COUNTIF($E196:M196,"u")+COUNTIF($E196:M196,"t")+COUNTIF($E196:M196,"¶")+COUNTIF($E196:M196,"²")+COUNTIF($E196:M196,"µ")+COUNTIF($E196:M196,1),ColDescriptionCourte)),""),
  "")),"")</f>
        <v/>
      </c>
      <c r="O196" s="40" t="str">
        <f ca="1">IFERROR(IF(AND(
  INDEX(Roadmap!$D:$K,MATCH($E196,Roadmap!$D:$D,0)+COUNTIF($E196:N196,"u")+COUNTIF($E196:N196,"t")+COUNTIF($E196:N196,"¶")+COUNTIF($E196:N196,"²")+COUNTIF($E196:N196,"µ")+COUNTIF($E196:N196,1),ColLivraison)=O$6,
  VLOOKUP($E196,INDIRECT("tri!"&amp; CHAR(64+ C0Col) &amp;":"&amp; CHAR(65+C0Col)),2,FALSE)&gt;COUNTIF($E196:N196,"u")+COUNTIF($E196:N196,"t")+COUNTIF($E196:N196,"¶")+COUNTIF($E196:N196,"²")+COUNTIF($E196:N196,"µ")+COUNTIF($E196:N196,1)),
HYPERLINK("#Roadmap!C"&amp; MATCH($E196,Roadmap!$D:$D,0)+COUNTIF($E196:N196,"u")+COUNTIF($E196:N196,"t"),
     INDEX(Roadmap!$D:$K,MATCH($E196,Roadmap!$D:$D,0)+COUNTIF($E196:N196,"u")+COUNTIF($E196:N196,"t")+COUNTIF($E196:N196,"¶")+COUNTIF($E196:N196,"²")+COUNTIF($E196:N196,"µ")+COUNTIF($E196:N196,1),ColTypeEcheance)),
  IF(LEN(N196)=1,
  IF(LEN(INDEX(Roadmap!$D:$K,MATCH($E196,Roadmap!$D:$D,0)-1+COUNTIF($E196:N196,"u")+COUNTIF($E196:N196,"t")+COUNTIF($E196:N196,"¶")+COUNTIF($E196:N196,"²")+COUNTIF($E196:N196,"µ")+COUNTIF($E196:N196,1),ColDescriptionCourte))&gt;1,
HYPERLINK("#Roadmap!C"&amp; MATCH($E196,Roadmap!$D:$D,0)+COUNTIF($E196:N196,"u")+COUNTIF($E196:N196,"t")+COUNTIF($E196:N196,"¶")+COUNTIF($E196:N196,"²")+COUNTIF($E196:N196,"µ")+COUNTIF($E196:N196,1)-1,INDEX(Roadmap!$D:$K,MATCH($E196,Roadmap!$D:$D,0)-1+COUNTIF($E196:N196,"u")+COUNTIF($E196:N196,"t")+COUNTIF($E196:N196,"¶")+COUNTIF($E196:N196,"²")+COUNTIF($E196:N196,"µ")+COUNTIF($E196:N196,1),ColDescriptionCourte)),""),
  "")),"")</f>
        <v/>
      </c>
      <c r="P196" s="40" t="str">
        <f ca="1">IFERROR(IF(AND(
  INDEX(Roadmap!$D:$K,MATCH($E196,Roadmap!$D:$D,0)+COUNTIF($E196:O196,"u")+COUNTIF($E196:O196,"t")+COUNTIF($E196:O196,"¶")+COUNTIF($E196:O196,"²")+COUNTIF($E196:O196,"µ")+COUNTIF($E196:O196,1),ColLivraison)=P$6,
  VLOOKUP($E196,INDIRECT("tri!"&amp; CHAR(64+ C0Col) &amp;":"&amp; CHAR(65+C0Col)),2,FALSE)&gt;COUNTIF($E196:O196,"u")+COUNTIF($E196:O196,"t")+COUNTIF($E196:O196,"¶")+COUNTIF($E196:O196,"²")+COUNTIF($E196:O196,"µ")+COUNTIF($E196:O196,1)),
HYPERLINK("#Roadmap!C"&amp; MATCH($E196,Roadmap!$D:$D,0)+COUNTIF($E196:O196,"u")+COUNTIF($E196:O196,"t"),
     INDEX(Roadmap!$D:$K,MATCH($E196,Roadmap!$D:$D,0)+COUNTIF($E196:O196,"u")+COUNTIF($E196:O196,"t")+COUNTIF($E196:O196,"¶")+COUNTIF($E196:O196,"²")+COUNTIF($E196:O196,"µ")+COUNTIF($E196:O196,1),ColTypeEcheance)),
  IF(LEN(O196)=1,
  IF(LEN(INDEX(Roadmap!$D:$K,MATCH($E196,Roadmap!$D:$D,0)-1+COUNTIF($E196:O196,"u")+COUNTIF($E196:O196,"t")+COUNTIF($E196:O196,"¶")+COUNTIF($E196:O196,"²")+COUNTIF($E196:O196,"µ")+COUNTIF($E196:O196,1),ColDescriptionCourte))&gt;1,
HYPERLINK("#Roadmap!C"&amp; MATCH($E196,Roadmap!$D:$D,0)+COUNTIF($E196:O196,"u")+COUNTIF($E196:O196,"t")+COUNTIF($E196:O196,"¶")+COUNTIF($E196:O196,"²")+COUNTIF($E196:O196,"µ")+COUNTIF($E196:O196,1)-1,INDEX(Roadmap!$D:$K,MATCH($E196,Roadmap!$D:$D,0)-1+COUNTIF($E196:O196,"u")+COUNTIF($E196:O196,"t")+COUNTIF($E196:O196,"¶")+COUNTIF($E196:O196,"²")+COUNTIF($E196:O196,"µ")+COUNTIF($E196:O196,1),ColDescriptionCourte)),""),
  "")),"")</f>
        <v/>
      </c>
      <c r="Q196" s="40" t="str">
        <f ca="1">IFERROR(IF(AND(
  INDEX(Roadmap!$D:$K,MATCH($E196,Roadmap!$D:$D,0)+COUNTIF($E196:P196,"u")+COUNTIF($E196:P196,"t")+COUNTIF($E196:P196,"¶")+COUNTIF($E196:P196,"²")+COUNTIF($E196:P196,"µ")+COUNTIF($E196:P196,1),ColLivraison)=Q$6,
  VLOOKUP($E196,INDIRECT("tri!"&amp; CHAR(64+ C0Col) &amp;":"&amp; CHAR(65+C0Col)),2,FALSE)&gt;COUNTIF($E196:P196,"u")+COUNTIF($E196:P196,"t")+COUNTIF($E196:P196,"¶")+COUNTIF($E196:P196,"²")+COUNTIF($E196:P196,"µ")+COUNTIF($E196:P196,1)),
HYPERLINK("#Roadmap!C"&amp; MATCH($E196,Roadmap!$D:$D,0)+COUNTIF($E196:P196,"u")+COUNTIF($E196:P196,"t"),
     INDEX(Roadmap!$D:$K,MATCH($E196,Roadmap!$D:$D,0)+COUNTIF($E196:P196,"u")+COUNTIF($E196:P196,"t")+COUNTIF($E196:P196,"¶")+COUNTIF($E196:P196,"²")+COUNTIF($E196:P196,"µ")+COUNTIF($E196:P196,1),ColTypeEcheance)),
  IF(LEN(P196)=1,
  IF(LEN(INDEX(Roadmap!$D:$K,MATCH($E196,Roadmap!$D:$D,0)-1+COUNTIF($E196:P196,"u")+COUNTIF($E196:P196,"t")+COUNTIF($E196:P196,"¶")+COUNTIF($E196:P196,"²")+COUNTIF($E196:P196,"µ")+COUNTIF($E196:P196,1),ColDescriptionCourte))&gt;1,
HYPERLINK("#Roadmap!C"&amp; MATCH($E196,Roadmap!$D:$D,0)+COUNTIF($E196:P196,"u")+COUNTIF($E196:P196,"t")+COUNTIF($E196:P196,"¶")+COUNTIF($E196:P196,"²")+COUNTIF($E196:P196,"µ")+COUNTIF($E196:P196,1)-1,INDEX(Roadmap!$D:$K,MATCH($E196,Roadmap!$D:$D,0)-1+COUNTIF($E196:P196,"u")+COUNTIF($E196:P196,"t")+COUNTIF($E196:P196,"¶")+COUNTIF($E196:P196,"²")+COUNTIF($E196:P196,"µ")+COUNTIF($E196:P196,1),ColDescriptionCourte)),""),
  "")),"")</f>
        <v/>
      </c>
      <c r="R196" s="40" t="str">
        <f ca="1">IFERROR(IF(AND(
  INDEX(Roadmap!$D:$K,MATCH($E196,Roadmap!$D:$D,0)+COUNTIF($E196:Q196,"u")+COUNTIF($E196:Q196,"t")+COUNTIF($E196:Q196,"¶")+COUNTIF($E196:Q196,"²")+COUNTIF($E196:Q196,"µ")+COUNTIF($E196:Q196,1),ColLivraison)=R$6,
  VLOOKUP($E196,INDIRECT("tri!"&amp; CHAR(64+ C0Col) &amp;":"&amp; CHAR(65+C0Col)),2,FALSE)&gt;COUNTIF($E196:Q196,"u")+COUNTIF($E196:Q196,"t")+COUNTIF($E196:Q196,"¶")+COUNTIF($E196:Q196,"²")+COUNTIF($E196:Q196,"µ")+COUNTIF($E196:Q196,1)),
HYPERLINK("#Roadmap!C"&amp; MATCH($E196,Roadmap!$D:$D,0)+COUNTIF($E196:Q196,"u")+COUNTIF($E196:Q196,"t"),
     INDEX(Roadmap!$D:$K,MATCH($E196,Roadmap!$D:$D,0)+COUNTIF($E196:Q196,"u")+COUNTIF($E196:Q196,"t")+COUNTIF($E196:Q196,"¶")+COUNTIF($E196:Q196,"²")+COUNTIF($E196:Q196,"µ")+COUNTIF($E196:Q196,1),ColTypeEcheance)),
  IF(LEN(Q196)=1,
  IF(LEN(INDEX(Roadmap!$D:$K,MATCH($E196,Roadmap!$D:$D,0)-1+COUNTIF($E196:Q196,"u")+COUNTIF($E196:Q196,"t")+COUNTIF($E196:Q196,"¶")+COUNTIF($E196:Q196,"²")+COUNTIF($E196:Q196,"µ")+COUNTIF($E196:Q196,1),ColDescriptionCourte))&gt;1,
HYPERLINK("#Roadmap!C"&amp; MATCH($E196,Roadmap!$D:$D,0)+COUNTIF($E196:Q196,"u")+COUNTIF($E196:Q196,"t")+COUNTIF($E196:Q196,"¶")+COUNTIF($E196:Q196,"²")+COUNTIF($E196:Q196,"µ")+COUNTIF($E196:Q196,1)-1,INDEX(Roadmap!$D:$K,MATCH($E196,Roadmap!$D:$D,0)-1+COUNTIF($E196:Q196,"u")+COUNTIF($E196:Q196,"t")+COUNTIF($E196:Q196,"¶")+COUNTIF($E196:Q196,"²")+COUNTIF($E196:Q196,"µ")+COUNTIF($E196:Q196,1),ColDescriptionCourte)),""),
  "")),"")</f>
        <v/>
      </c>
      <c r="S196" s="40" t="str">
        <f ca="1">IFERROR(IF(AND(
  INDEX(Roadmap!$D:$K,MATCH($E196,Roadmap!$D:$D,0)+COUNTIF($E196:R196,"u")+COUNTIF($E196:R196,"t")+COUNTIF($E196:R196,"¶")+COUNTIF($E196:R196,"²")+COUNTIF($E196:R196,"µ")+COUNTIF($E196:R196,1),ColLivraison)=S$6,
  VLOOKUP($E196,INDIRECT("tri!"&amp; CHAR(64+ C0Col) &amp;":"&amp; CHAR(65+C0Col)),2,FALSE)&gt;COUNTIF($E196:R196,"u")+COUNTIF($E196:R196,"t")+COUNTIF($E196:R196,"¶")+COUNTIF($E196:R196,"²")+COUNTIF($E196:R196,"µ")+COUNTIF($E196:R196,1)),
HYPERLINK("#Roadmap!C"&amp; MATCH($E196,Roadmap!$D:$D,0)+COUNTIF($E196:R196,"u")+COUNTIF($E196:R196,"t"),
     INDEX(Roadmap!$D:$K,MATCH($E196,Roadmap!$D:$D,0)+COUNTIF($E196:R196,"u")+COUNTIF($E196:R196,"t")+COUNTIF($E196:R196,"¶")+COUNTIF($E196:R196,"²")+COUNTIF($E196:R196,"µ")+COUNTIF($E196:R196,1),ColTypeEcheance)),
  IF(LEN(R196)=1,
  IF(LEN(INDEX(Roadmap!$D:$K,MATCH($E196,Roadmap!$D:$D,0)-1+COUNTIF($E196:R196,"u")+COUNTIF($E196:R196,"t")+COUNTIF($E196:R196,"¶")+COUNTIF($E196:R196,"²")+COUNTIF($E196:R196,"µ")+COUNTIF($E196:R196,1),ColDescriptionCourte))&gt;1,
HYPERLINK("#Roadmap!C"&amp; MATCH($E196,Roadmap!$D:$D,0)+COUNTIF($E196:R196,"u")+COUNTIF($E196:R196,"t")+COUNTIF($E196:R196,"¶")+COUNTIF($E196:R196,"²")+COUNTIF($E196:R196,"µ")+COUNTIF($E196:R196,1)-1,INDEX(Roadmap!$D:$K,MATCH($E196,Roadmap!$D:$D,0)-1+COUNTIF($E196:R196,"u")+COUNTIF($E196:R196,"t")+COUNTIF($E196:R196,"¶")+COUNTIF($E196:R196,"²")+COUNTIF($E196:R196,"µ")+COUNTIF($E196:R196,1),ColDescriptionCourte)),""),
  "")),"")</f>
        <v/>
      </c>
      <c r="T196" s="40" t="str">
        <f ca="1">IFERROR(IF(AND(
  INDEX(Roadmap!$D:$K,MATCH($E196,Roadmap!$D:$D,0)+COUNTIF($E196:S196,"u")+COUNTIF($E196:S196,"t")+COUNTIF($E196:S196,"¶")+COUNTIF($E196:S196,"²")+COUNTIF($E196:S196,"µ")+COUNTIF($E196:S196,1),ColLivraison)=T$6,
  VLOOKUP($E196,INDIRECT("tri!"&amp; CHAR(64+ C0Col) &amp;":"&amp; CHAR(65+C0Col)),2,FALSE)&gt;COUNTIF($E196:S196,"u")+COUNTIF($E196:S196,"t")+COUNTIF($E196:S196,"¶")+COUNTIF($E196:S196,"²")+COUNTIF($E196:S196,"µ")+COUNTIF($E196:S196,1)),
HYPERLINK("#Roadmap!C"&amp; MATCH($E196,Roadmap!$D:$D,0)+COUNTIF($E196:S196,"u")+COUNTIF($E196:S196,"t"),
     INDEX(Roadmap!$D:$K,MATCH($E196,Roadmap!$D:$D,0)+COUNTIF($E196:S196,"u")+COUNTIF($E196:S196,"t")+COUNTIF($E196:S196,"¶")+COUNTIF($E196:S196,"²")+COUNTIF($E196:S196,"µ")+COUNTIF($E196:S196,1),ColTypeEcheance)),
  IF(LEN(S196)=1,
  IF(LEN(INDEX(Roadmap!$D:$K,MATCH($E196,Roadmap!$D:$D,0)-1+COUNTIF($E196:S196,"u")+COUNTIF($E196:S196,"t")+COUNTIF($E196:S196,"¶")+COUNTIF($E196:S196,"²")+COUNTIF($E196:S196,"µ")+COUNTIF($E196:S196,1),ColDescriptionCourte))&gt;1,
HYPERLINK("#Roadmap!C"&amp; MATCH($E196,Roadmap!$D:$D,0)+COUNTIF($E196:S196,"u")+COUNTIF($E196:S196,"t")+COUNTIF($E196:S196,"¶")+COUNTIF($E196:S196,"²")+COUNTIF($E196:S196,"µ")+COUNTIF($E196:S196,1)-1,INDEX(Roadmap!$D:$K,MATCH($E196,Roadmap!$D:$D,0)-1+COUNTIF($E196:S196,"u")+COUNTIF($E196:S196,"t")+COUNTIF($E196:S196,"¶")+COUNTIF($E196:S196,"²")+COUNTIF($E196:S196,"µ")+COUNTIF($E196:S196,1),ColDescriptionCourte)),""),
  "")),"")</f>
        <v/>
      </c>
      <c r="U196" s="40" t="str">
        <f ca="1">IFERROR(IF(AND(
  INDEX(Roadmap!$D:$K,MATCH($E196,Roadmap!$D:$D,0)+COUNTIF($E196:T196,"u")+COUNTIF($E196:T196,"t")+COUNTIF($E196:T196,"¶")+COUNTIF($E196:T196,"²")+COUNTIF($E196:T196,"µ")+COUNTIF($E196:T196,1),ColLivraison)=U$6,
  VLOOKUP($E196,INDIRECT("tri!"&amp; CHAR(64+ C0Col) &amp;":"&amp; CHAR(65+C0Col)),2,FALSE)&gt;COUNTIF($E196:T196,"u")+COUNTIF($E196:T196,"t")+COUNTIF($E196:T196,"¶")+COUNTIF($E196:T196,"²")+COUNTIF($E196:T196,"µ")+COUNTIF($E196:T196,1)),
HYPERLINK("#Roadmap!C"&amp; MATCH($E196,Roadmap!$D:$D,0)+COUNTIF($E196:T196,"u")+COUNTIF($E196:T196,"t"),
     INDEX(Roadmap!$D:$K,MATCH($E196,Roadmap!$D:$D,0)+COUNTIF($E196:T196,"u")+COUNTIF($E196:T196,"t")+COUNTIF($E196:T196,"¶")+COUNTIF($E196:T196,"²")+COUNTIF($E196:T196,"µ")+COUNTIF($E196:T196,1),ColTypeEcheance)),
  IF(LEN(T196)=1,
  IF(LEN(INDEX(Roadmap!$D:$K,MATCH($E196,Roadmap!$D:$D,0)-1+COUNTIF($E196:T196,"u")+COUNTIF($E196:T196,"t")+COUNTIF($E196:T196,"¶")+COUNTIF($E196:T196,"²")+COUNTIF($E196:T196,"µ")+COUNTIF($E196:T196,1),ColDescriptionCourte))&gt;1,
HYPERLINK("#Roadmap!C"&amp; MATCH($E196,Roadmap!$D:$D,0)+COUNTIF($E196:T196,"u")+COUNTIF($E196:T196,"t")+COUNTIF($E196:T196,"¶")+COUNTIF($E196:T196,"²")+COUNTIF($E196:T196,"µ")+COUNTIF($E196:T196,1)-1,INDEX(Roadmap!$D:$K,MATCH($E196,Roadmap!$D:$D,0)-1+COUNTIF($E196:T196,"u")+COUNTIF($E196:T196,"t")+COUNTIF($E196:T196,"¶")+COUNTIF($E196:T196,"²")+COUNTIF($E196:T196,"µ")+COUNTIF($E196:T196,1),ColDescriptionCourte)),""),
  "")),"")</f>
        <v/>
      </c>
      <c r="V196" s="40" t="str">
        <f ca="1">IFERROR(IF(AND(
  INDEX(Roadmap!$D:$K,MATCH($E196,Roadmap!$D:$D,0)+COUNTIF($E196:U196,"u")+COUNTIF($E196:U196,"t")+COUNTIF($E196:U196,"¶")+COUNTIF($E196:U196,"²")+COUNTIF($E196:U196,"µ")+COUNTIF($E196:U196,1),ColLivraison)=V$6,
  VLOOKUP($E196,INDIRECT("tri!"&amp; CHAR(64+ C0Col) &amp;":"&amp; CHAR(65+C0Col)),2,FALSE)&gt;COUNTIF($E196:U196,"u")+COUNTIF($E196:U196,"t")+COUNTIF($E196:U196,"¶")+COUNTIF($E196:U196,"²")+COUNTIF($E196:U196,"µ")+COUNTIF($E196:U196,1)),
HYPERLINK("#Roadmap!C"&amp; MATCH($E196,Roadmap!$D:$D,0)+COUNTIF($E196:U196,"u")+COUNTIF($E196:U196,"t"),
     INDEX(Roadmap!$D:$K,MATCH($E196,Roadmap!$D:$D,0)+COUNTIF($E196:U196,"u")+COUNTIF($E196:U196,"t")+COUNTIF($E196:U196,"¶")+COUNTIF($E196:U196,"²")+COUNTIF($E196:U196,"µ")+COUNTIF($E196:U196,1),ColTypeEcheance)),
  IF(LEN(U196)=1,
  IF(LEN(INDEX(Roadmap!$D:$K,MATCH($E196,Roadmap!$D:$D,0)-1+COUNTIF($E196:U196,"u")+COUNTIF($E196:U196,"t")+COUNTIF($E196:U196,"¶")+COUNTIF($E196:U196,"²")+COUNTIF($E196:U196,"µ")+COUNTIF($E196:U196,1),ColDescriptionCourte))&gt;1,
HYPERLINK("#Roadmap!C"&amp; MATCH($E196,Roadmap!$D:$D,0)+COUNTIF($E196:U196,"u")+COUNTIF($E196:U196,"t")+COUNTIF($E196:U196,"¶")+COUNTIF($E196:U196,"²")+COUNTIF($E196:U196,"µ")+COUNTIF($E196:U196,1)-1,INDEX(Roadmap!$D:$K,MATCH($E196,Roadmap!$D:$D,0)-1+COUNTIF($E196:U196,"u")+COUNTIF($E196:U196,"t")+COUNTIF($E196:U196,"¶")+COUNTIF($E196:U196,"²")+COUNTIF($E196:U196,"µ")+COUNTIF($E196:U196,1),ColDescriptionCourte)),""),
  "")),"")</f>
        <v/>
      </c>
      <c r="W196" s="40" t="str">
        <f ca="1">IFERROR(IF(AND(
  INDEX(Roadmap!$D:$K,MATCH($E196,Roadmap!$D:$D,0)+COUNTIF($E196:V196,"u")+COUNTIF($E196:V196,"t")+COUNTIF($E196:V196,"¶")+COUNTIF($E196:V196,"²")+COUNTIF($E196:V196,"µ")+COUNTIF($E196:V196,1),ColLivraison)=W$6,
  VLOOKUP($E196,INDIRECT("tri!"&amp; CHAR(64+ C0Col) &amp;":"&amp; CHAR(65+C0Col)),2,FALSE)&gt;COUNTIF($E196:V196,"u")+COUNTIF($E196:V196,"t")+COUNTIF($E196:V196,"¶")+COUNTIF($E196:V196,"²")+COUNTIF($E196:V196,"µ")+COUNTIF($E196:V196,1)),
HYPERLINK("#Roadmap!C"&amp; MATCH($E196,Roadmap!$D:$D,0)+COUNTIF($E196:V196,"u")+COUNTIF($E196:V196,"t"),
     INDEX(Roadmap!$D:$K,MATCH($E196,Roadmap!$D:$D,0)+COUNTIF($E196:V196,"u")+COUNTIF($E196:V196,"t")+COUNTIF($E196:V196,"¶")+COUNTIF($E196:V196,"²")+COUNTIF($E196:V196,"µ")+COUNTIF($E196:V196,1),ColTypeEcheance)),
  IF(LEN(V196)=1,
  IF(LEN(INDEX(Roadmap!$D:$K,MATCH($E196,Roadmap!$D:$D,0)-1+COUNTIF($E196:V196,"u")+COUNTIF($E196:V196,"t")+COUNTIF($E196:V196,"¶")+COUNTIF($E196:V196,"²")+COUNTIF($E196:V196,"µ")+COUNTIF($E196:V196,1),ColDescriptionCourte))&gt;1,
HYPERLINK("#Roadmap!C"&amp; MATCH($E196,Roadmap!$D:$D,0)+COUNTIF($E196:V196,"u")+COUNTIF($E196:V196,"t")+COUNTIF($E196:V196,"¶")+COUNTIF($E196:V196,"²")+COUNTIF($E196:V196,"µ")+COUNTIF($E196:V196,1)-1,INDEX(Roadmap!$D:$K,MATCH($E196,Roadmap!$D:$D,0)-1+COUNTIF($E196:V196,"u")+COUNTIF($E196:V196,"t")+COUNTIF($E196:V196,"¶")+COUNTIF($E196:V196,"²")+COUNTIF($E196:V196,"µ")+COUNTIF($E196:V196,1),ColDescriptionCourte)),""),
  "")),"")</f>
        <v/>
      </c>
      <c r="X196" s="40" t="str">
        <f ca="1">IFERROR(IF(AND(
  INDEX(Roadmap!$D:$K,MATCH($E196,Roadmap!$D:$D,0)+COUNTIF($E196:W196,"u")+COUNTIF($E196:W196,"t")+COUNTIF($E196:W196,"¶")+COUNTIF($E196:W196,"²")+COUNTIF($E196:W196,"µ")+COUNTIF($E196:W196,1),ColLivraison)=X$6,
  VLOOKUP($E196,INDIRECT("tri!"&amp; CHAR(64+ C0Col) &amp;":"&amp; CHAR(65+C0Col)),2,FALSE)&gt;COUNTIF($E196:W196,"u")+COUNTIF($E196:W196,"t")+COUNTIF($E196:W196,"¶")+COUNTIF($E196:W196,"²")+COUNTIF($E196:W196,"µ")+COUNTIF($E196:W196,1)),
HYPERLINK("#Roadmap!C"&amp; MATCH($E196,Roadmap!$D:$D,0)+COUNTIF($E196:W196,"u")+COUNTIF($E196:W196,"t"),
     INDEX(Roadmap!$D:$K,MATCH($E196,Roadmap!$D:$D,0)+COUNTIF($E196:W196,"u")+COUNTIF($E196:W196,"t")+COUNTIF($E196:W196,"¶")+COUNTIF($E196:W196,"²")+COUNTIF($E196:W196,"µ")+COUNTIF($E196:W196,1),ColTypeEcheance)),
  IF(LEN(W196)=1,
  IF(LEN(INDEX(Roadmap!$D:$K,MATCH($E196,Roadmap!$D:$D,0)-1+COUNTIF($E196:W196,"u")+COUNTIF($E196:W196,"t")+COUNTIF($E196:W196,"¶")+COUNTIF($E196:W196,"²")+COUNTIF($E196:W196,"µ")+COUNTIF($E196:W196,1),ColDescriptionCourte))&gt;1,
HYPERLINK("#Roadmap!C"&amp; MATCH($E196,Roadmap!$D:$D,0)+COUNTIF($E196:W196,"u")+COUNTIF($E196:W196,"t")+COUNTIF($E196:W196,"¶")+COUNTIF($E196:W196,"²")+COUNTIF($E196:W196,"µ")+COUNTIF($E196:W196,1)-1,INDEX(Roadmap!$D:$K,MATCH($E196,Roadmap!$D:$D,0)-1+COUNTIF($E196:W196,"u")+COUNTIF($E196:W196,"t")+COUNTIF($E196:W196,"¶")+COUNTIF($E196:W196,"²")+COUNTIF($E196:W196,"µ")+COUNTIF($E196:W196,1),ColDescriptionCourte)),""),
  "")),"")</f>
        <v/>
      </c>
      <c r="Y196" s="40" t="str">
        <f ca="1">IFERROR(IF(AND(
  INDEX(Roadmap!$D:$K,MATCH($E196,Roadmap!$D:$D,0)+COUNTIF($E196:X196,"u")+COUNTIF($E196:X196,"t")+COUNTIF($E196:X196,"¶")+COUNTIF($E196:X196,"²")+COUNTIF($E196:X196,"µ")+COUNTIF($E196:X196,1),ColLivraison)=Y$6,
  VLOOKUP($E196,INDIRECT("tri!"&amp; CHAR(64+ C0Col) &amp;":"&amp; CHAR(65+C0Col)),2,FALSE)&gt;COUNTIF($E196:X196,"u")+COUNTIF($E196:X196,"t")+COUNTIF($E196:X196,"¶")+COUNTIF($E196:X196,"²")+COUNTIF($E196:X196,"µ")+COUNTIF($E196:X196,1)),
HYPERLINK("#Roadmap!C"&amp; MATCH($E196,Roadmap!$D:$D,0)+COUNTIF($E196:X196,"u")+COUNTIF($E196:X196,"t"),
     INDEX(Roadmap!$D:$K,MATCH($E196,Roadmap!$D:$D,0)+COUNTIF($E196:X196,"u")+COUNTIF($E196:X196,"t")+COUNTIF($E196:X196,"¶")+COUNTIF($E196:X196,"²")+COUNTIF($E196:X196,"µ")+COUNTIF($E196:X196,1),ColTypeEcheance)),
  IF(LEN(X196)=1,
  IF(LEN(INDEX(Roadmap!$D:$K,MATCH($E196,Roadmap!$D:$D,0)-1+COUNTIF($E196:X196,"u")+COUNTIF($E196:X196,"t")+COUNTIF($E196:X196,"¶")+COUNTIF($E196:X196,"²")+COUNTIF($E196:X196,"µ")+COUNTIF($E196:X196,1),ColDescriptionCourte))&gt;1,
HYPERLINK("#Roadmap!C"&amp; MATCH($E196,Roadmap!$D:$D,0)+COUNTIF($E196:X196,"u")+COUNTIF($E196:X196,"t")+COUNTIF($E196:X196,"¶")+COUNTIF($E196:X196,"²")+COUNTIF($E196:X196,"µ")+COUNTIF($E196:X196,1)-1,INDEX(Roadmap!$D:$K,MATCH($E196,Roadmap!$D:$D,0)-1+COUNTIF($E196:X196,"u")+COUNTIF($E196:X196,"t")+COUNTIF($E196:X196,"¶")+COUNTIF($E196:X196,"²")+COUNTIF($E196:X196,"µ")+COUNTIF($E196:X196,1),ColDescriptionCourte)),""),
  "")),"")</f>
        <v/>
      </c>
      <c r="Z196" s="40" t="str">
        <f ca="1">IFERROR(IF(AND(
  INDEX(Roadmap!$D:$K,MATCH($E196,Roadmap!$D:$D,0)+COUNTIF($E196:Y196,"u")+COUNTIF($E196:Y196,"t")+COUNTIF($E196:Y196,"¶")+COUNTIF($E196:Y196,"²")+COUNTIF($E196:Y196,"µ")+COUNTIF($E196:Y196,1),ColLivraison)=Z$6,
  VLOOKUP($E196,INDIRECT("tri!"&amp; CHAR(64+ C0Col) &amp;":"&amp; CHAR(65+C0Col)),2,FALSE)&gt;COUNTIF($E196:Y196,"u")+COUNTIF($E196:Y196,"t")+COUNTIF($E196:Y196,"¶")+COUNTIF($E196:Y196,"²")+COUNTIF($E196:Y196,"µ")+COUNTIF($E196:Y196,1)),
HYPERLINK("#Roadmap!C"&amp; MATCH($E196,Roadmap!$D:$D,0)+COUNTIF($E196:Y196,"u")+COUNTIF($E196:Y196,"t"),
     INDEX(Roadmap!$D:$K,MATCH($E196,Roadmap!$D:$D,0)+COUNTIF($E196:Y196,"u")+COUNTIF($E196:Y196,"t")+COUNTIF($E196:Y196,"¶")+COUNTIF($E196:Y196,"²")+COUNTIF($E196:Y196,"µ")+COUNTIF($E196:Y196,1),ColTypeEcheance)),
  IF(LEN(Y196)=1,
  IF(LEN(INDEX(Roadmap!$D:$K,MATCH($E196,Roadmap!$D:$D,0)-1+COUNTIF($E196:Y196,"u")+COUNTIF($E196:Y196,"t")+COUNTIF($E196:Y196,"¶")+COUNTIF($E196:Y196,"²")+COUNTIF($E196:Y196,"µ")+COUNTIF($E196:Y196,1),ColDescriptionCourte))&gt;1,
HYPERLINK("#Roadmap!C"&amp; MATCH($E196,Roadmap!$D:$D,0)+COUNTIF($E196:Y196,"u")+COUNTIF($E196:Y196,"t")+COUNTIF($E196:Y196,"¶")+COUNTIF($E196:Y196,"²")+COUNTIF($E196:Y196,"µ")+COUNTIF($E196:Y196,1)-1,INDEX(Roadmap!$D:$K,MATCH($E196,Roadmap!$D:$D,0)-1+COUNTIF($E196:Y196,"u")+COUNTIF($E196:Y196,"t")+COUNTIF($E196:Y196,"¶")+COUNTIF($E196:Y196,"²")+COUNTIF($E196:Y196,"µ")+COUNTIF($E196:Y196,1),ColDescriptionCourte)),""),
  "")),"")</f>
        <v/>
      </c>
      <c r="AA196" s="40" t="str">
        <f ca="1">IFERROR(IF(AND(
  INDEX(Roadmap!$D:$K,MATCH($E196,Roadmap!$D:$D,0)+COUNTIF($E196:Z196,"u")+COUNTIF($E196:Z196,"t")+COUNTIF($E196:Z196,"¶")+COUNTIF($E196:Z196,"²")+COUNTIF($E196:Z196,"µ")+COUNTIF($E196:Z196,1),ColLivraison)=AA$6,
  VLOOKUP($E196,INDIRECT("tri!"&amp; CHAR(64+ C0Col) &amp;":"&amp; CHAR(65+C0Col)),2,FALSE)&gt;COUNTIF($E196:Z196,"u")+COUNTIF($E196:Z196,"t")+COUNTIF($E196:Z196,"¶")+COUNTIF($E196:Z196,"²")+COUNTIF($E196:Z196,"µ")+COUNTIF($E196:Z196,1)),
HYPERLINK("#Roadmap!C"&amp; MATCH($E196,Roadmap!$D:$D,0)+COUNTIF($E196:Z196,"u")+COUNTIF($E196:Z196,"t"),
     INDEX(Roadmap!$D:$K,MATCH($E196,Roadmap!$D:$D,0)+COUNTIF($E196:Z196,"u")+COUNTIF($E196:Z196,"t")+COUNTIF($E196:Z196,"¶")+COUNTIF($E196:Z196,"²")+COUNTIF($E196:Z196,"µ")+COUNTIF($E196:Z196,1),ColTypeEcheance)),
  IF(LEN(Z196)=1,
  IF(LEN(INDEX(Roadmap!$D:$K,MATCH($E196,Roadmap!$D:$D,0)-1+COUNTIF($E196:Z196,"u")+COUNTIF($E196:Z196,"t")+COUNTIF($E196:Z196,"¶")+COUNTIF($E196:Z196,"²")+COUNTIF($E196:Z196,"µ")+COUNTIF($E196:Z196,1),ColDescriptionCourte))&gt;1,
HYPERLINK("#Roadmap!C"&amp; MATCH($E196,Roadmap!$D:$D,0)+COUNTIF($E196:Z196,"u")+COUNTIF($E196:Z196,"t")+COUNTIF($E196:Z196,"¶")+COUNTIF($E196:Z196,"²")+COUNTIF($E196:Z196,"µ")+COUNTIF($E196:Z196,1)-1,INDEX(Roadmap!$D:$K,MATCH($E196,Roadmap!$D:$D,0)-1+COUNTIF($E196:Z196,"u")+COUNTIF($E196:Z196,"t")+COUNTIF($E196:Z196,"¶")+COUNTIF($E196:Z196,"²")+COUNTIF($E196:Z196,"µ")+COUNTIF($E196:Z196,1),ColDescriptionCourte)),""),
  "")),"")</f>
        <v/>
      </c>
      <c r="AB196" s="40" t="str">
        <f ca="1">IFERROR(IF(AND(
  INDEX(Roadmap!$D:$K,MATCH($E196,Roadmap!$D:$D,0)+COUNTIF($E196:AA196,"u")+COUNTIF($E196:AA196,"t")+COUNTIF($E196:AA196,"¶")+COUNTIF($E196:AA196,"²")+COUNTIF($E196:AA196,"µ")+COUNTIF($E196:AA196,1),ColLivraison)=AB$6,
  VLOOKUP($E196,INDIRECT("tri!"&amp; CHAR(64+ C0Col) &amp;":"&amp; CHAR(65+C0Col)),2,FALSE)&gt;COUNTIF($E196:AA196,"u")+COUNTIF($E196:AA196,"t")+COUNTIF($E196:AA196,"¶")+COUNTIF($E196:AA196,"²")+COUNTIF($E196:AA196,"µ")+COUNTIF($E196:AA196,1)),
HYPERLINK("#Roadmap!C"&amp; MATCH($E196,Roadmap!$D:$D,0)+COUNTIF($E196:AA196,"u")+COUNTIF($E196:AA196,"t"),
     INDEX(Roadmap!$D:$K,MATCH($E196,Roadmap!$D:$D,0)+COUNTIF($E196:AA196,"u")+COUNTIF($E196:AA196,"t")+COUNTIF($E196:AA196,"¶")+COUNTIF($E196:AA196,"²")+COUNTIF($E196:AA196,"µ")+COUNTIF($E196:AA196,1),ColTypeEcheance)),
  IF(LEN(AA196)=1,
  IF(LEN(INDEX(Roadmap!$D:$K,MATCH($E196,Roadmap!$D:$D,0)-1+COUNTIF($E196:AA196,"u")+COUNTIF($E196:AA196,"t")+COUNTIF($E196:AA196,"¶")+COUNTIF($E196:AA196,"²")+COUNTIF($E196:AA196,"µ")+COUNTIF($E196:AA196,1),ColDescriptionCourte))&gt;1,
HYPERLINK("#Roadmap!C"&amp; MATCH($E196,Roadmap!$D:$D,0)+COUNTIF($E196:AA196,"u")+COUNTIF($E196:AA196,"t")+COUNTIF($E196:AA196,"¶")+COUNTIF($E196:AA196,"²")+COUNTIF($E196:AA196,"µ")+COUNTIF($E196:AA196,1)-1,INDEX(Roadmap!$D:$K,MATCH($E196,Roadmap!$D:$D,0)-1+COUNTIF($E196:AA196,"u")+COUNTIF($E196:AA196,"t")+COUNTIF($E196:AA196,"¶")+COUNTIF($E196:AA196,"²")+COUNTIF($E196:AA196,"µ")+COUNTIF($E196:AA196,1),ColDescriptionCourte)),""),
  "")),"")</f>
        <v/>
      </c>
      <c r="AC196" s="40" t="str">
        <f ca="1">IFERROR(IF(AND(
  INDEX(Roadmap!$D:$K,MATCH($E196,Roadmap!$D:$D,0)+COUNTIF($E196:AB196,"u")+COUNTIF($E196:AB196,"t")+COUNTIF($E196:AB196,"¶")+COUNTIF($E196:AB196,"²")+COUNTIF($E196:AB196,"µ")+COUNTIF($E196:AB196,1),ColLivraison)=AC$6,
  VLOOKUP($E196,INDIRECT("tri!"&amp; CHAR(64+ C0Col) &amp;":"&amp; CHAR(65+C0Col)),2,FALSE)&gt;COUNTIF($E196:AB196,"u")+COUNTIF($E196:AB196,"t")+COUNTIF($E196:AB196,"¶")+COUNTIF($E196:AB196,"²")+COUNTIF($E196:AB196,"µ")+COUNTIF($E196:AB196,1)),
HYPERLINK("#Roadmap!C"&amp; MATCH($E196,Roadmap!$D:$D,0)+COUNTIF($E196:AB196,"u")+COUNTIF($E196:AB196,"t"),
     INDEX(Roadmap!$D:$K,MATCH($E196,Roadmap!$D:$D,0)+COUNTIF($E196:AB196,"u")+COUNTIF($E196:AB196,"t")+COUNTIF($E196:AB196,"¶")+COUNTIF($E196:AB196,"²")+COUNTIF($E196:AB196,"µ")+COUNTIF($E196:AB196,1),ColTypeEcheance)),
  IF(LEN(AB196)=1,
  IF(LEN(INDEX(Roadmap!$D:$K,MATCH($E196,Roadmap!$D:$D,0)-1+COUNTIF($E196:AB196,"u")+COUNTIF($E196:AB196,"t")+COUNTIF($E196:AB196,"¶")+COUNTIF($E196:AB196,"²")+COUNTIF($E196:AB196,"µ")+COUNTIF($E196:AB196,1),ColDescriptionCourte))&gt;1,
HYPERLINK("#Roadmap!C"&amp; MATCH($E196,Roadmap!$D:$D,0)+COUNTIF($E196:AB196,"u")+COUNTIF($E196:AB196,"t")+COUNTIF($E196:AB196,"¶")+COUNTIF($E196:AB196,"²")+COUNTIF($E196:AB196,"µ")+COUNTIF($E196:AB196,1)-1,INDEX(Roadmap!$D:$K,MATCH($E196,Roadmap!$D:$D,0)-1+COUNTIF($E196:AB196,"u")+COUNTIF($E196:AB196,"t")+COUNTIF($E196:AB196,"¶")+COUNTIF($E196:AB196,"²")+COUNTIF($E196:AB196,"µ")+COUNTIF($E196:AB196,1),ColDescriptionCourte)),""),
  "")),"")</f>
        <v/>
      </c>
      <c r="AD196" s="40" t="str">
        <f ca="1">IFERROR(IF(AND(
  INDEX(Roadmap!$D:$K,MATCH($E196,Roadmap!$D:$D,0)+COUNTIF($E196:AC196,"u")+COUNTIF($E196:AC196,"t")+COUNTIF($E196:AC196,"¶")+COUNTIF($E196:AC196,"²")+COUNTIF($E196:AC196,"µ")+COUNTIF($E196:AC196,1),ColLivraison)=AD$6,
  VLOOKUP($E196,INDIRECT("tri!"&amp; CHAR(64+ C0Col) &amp;":"&amp; CHAR(65+C0Col)),2,FALSE)&gt;COUNTIF($E196:AC196,"u")+COUNTIF($E196:AC196,"t")+COUNTIF($E196:AC196,"¶")+COUNTIF($E196:AC196,"²")+COUNTIF($E196:AC196,"µ")+COUNTIF($E196:AC196,1)),
HYPERLINK("#Roadmap!C"&amp; MATCH($E196,Roadmap!$D:$D,0)+COUNTIF($E196:AC196,"u")+COUNTIF($E196:AC196,"t"),
     INDEX(Roadmap!$D:$K,MATCH($E196,Roadmap!$D:$D,0)+COUNTIF($E196:AC196,"u")+COUNTIF($E196:AC196,"t")+COUNTIF($E196:AC196,"¶")+COUNTIF($E196:AC196,"²")+COUNTIF($E196:AC196,"µ")+COUNTIF($E196:AC196,1),ColTypeEcheance)),
  IF(LEN(AC196)=1,
  IF(LEN(INDEX(Roadmap!$D:$K,MATCH($E196,Roadmap!$D:$D,0)-1+COUNTIF($E196:AC196,"u")+COUNTIF($E196:AC196,"t")+COUNTIF($E196:AC196,"¶")+COUNTIF($E196:AC196,"²")+COUNTIF($E196:AC196,"µ")+COUNTIF($E196:AC196,1),ColDescriptionCourte))&gt;1,
HYPERLINK("#Roadmap!C"&amp; MATCH($E196,Roadmap!$D:$D,0)+COUNTIF($E196:AC196,"u")+COUNTIF($E196:AC196,"t")+COUNTIF($E196:AC196,"¶")+COUNTIF($E196:AC196,"²")+COUNTIF($E196:AC196,"µ")+COUNTIF($E196:AC196,1)-1,INDEX(Roadmap!$D:$K,MATCH($E196,Roadmap!$D:$D,0)-1+COUNTIF($E196:AC196,"u")+COUNTIF($E196:AC196,"t")+COUNTIF($E196:AC196,"¶")+COUNTIF($E196:AC196,"²")+COUNTIF($E196:AC196,"µ")+COUNTIF($E196:AC196,1),ColDescriptionCourte)),""),
  "")),"")</f>
        <v/>
      </c>
      <c r="AE196" s="40" t="str">
        <f ca="1">IFERROR(IF(AND(
  INDEX(Roadmap!$D:$K,MATCH($E196,Roadmap!$D:$D,0)+COUNTIF($E196:AD196,"u")+COUNTIF($E196:AD196,"t")+COUNTIF($E196:AD196,"¶")+COUNTIF($E196:AD196,"²")+COUNTIF($E196:AD196,"µ")+COUNTIF($E196:AD196,1),ColLivraison)=AE$6,
  VLOOKUP($E196,INDIRECT("tri!"&amp; CHAR(64+ C0Col) &amp;":"&amp; CHAR(65+C0Col)),2,FALSE)&gt;COUNTIF($E196:AD196,"u")+COUNTIF($E196:AD196,"t")+COUNTIF($E196:AD196,"¶")+COUNTIF($E196:AD196,"²")+COUNTIF($E196:AD196,"µ")+COUNTIF($E196:AD196,1)),
HYPERLINK("#Roadmap!C"&amp; MATCH($E196,Roadmap!$D:$D,0)+COUNTIF($E196:AD196,"u")+COUNTIF($E196:AD196,"t"),
     INDEX(Roadmap!$D:$K,MATCH($E196,Roadmap!$D:$D,0)+COUNTIF($E196:AD196,"u")+COUNTIF($E196:AD196,"t")+COUNTIF($E196:AD196,"¶")+COUNTIF($E196:AD196,"²")+COUNTIF($E196:AD196,"µ")+COUNTIF($E196:AD196,1),ColTypeEcheance)),
  IF(LEN(AD196)=1,
  IF(LEN(INDEX(Roadmap!$D:$K,MATCH($E196,Roadmap!$D:$D,0)-1+COUNTIF($E196:AD196,"u")+COUNTIF($E196:AD196,"t")+COUNTIF($E196:AD196,"¶")+COUNTIF($E196:AD196,"²")+COUNTIF($E196:AD196,"µ")+COUNTIF($E196:AD196,1),ColDescriptionCourte))&gt;1,
HYPERLINK("#Roadmap!C"&amp; MATCH($E196,Roadmap!$D:$D,0)+COUNTIF($E196:AD196,"u")+COUNTIF($E196:AD196,"t")+COUNTIF($E196:AD196,"¶")+COUNTIF($E196:AD196,"²")+COUNTIF($E196:AD196,"µ")+COUNTIF($E196:AD196,1)-1,INDEX(Roadmap!$D:$K,MATCH($E196,Roadmap!$D:$D,0)-1+COUNTIF($E196:AD196,"u")+COUNTIF($E196:AD196,"t")+COUNTIF($E196:AD196,"¶")+COUNTIF($E196:AD196,"²")+COUNTIF($E196:AD196,"µ")+COUNTIF($E196:AD196,1),ColDescriptionCourte)),""),
  "")),"")</f>
        <v/>
      </c>
      <c r="AF196" s="40" t="str">
        <f ca="1">IFERROR(IF(AND(
  INDEX(Roadmap!$D:$K,MATCH($E196,Roadmap!$D:$D,0)+COUNTIF($E196:AE196,"u")+COUNTIF($E196:AE196,"t")+COUNTIF($E196:AE196,"¶")+COUNTIF($E196:AE196,"²")+COUNTIF($E196:AE196,"µ")+COUNTIF($E196:AE196,1),ColLivraison)=AF$6,
  VLOOKUP($E196,INDIRECT("tri!"&amp; CHAR(64+ C0Col) &amp;":"&amp; CHAR(65+C0Col)),2,FALSE)&gt;COUNTIF($E196:AE196,"u")+COUNTIF($E196:AE196,"t")+COUNTIF($E196:AE196,"¶")+COUNTIF($E196:AE196,"²")+COUNTIF($E196:AE196,"µ")+COUNTIF($E196:AE196,1)),
HYPERLINK("#Roadmap!C"&amp; MATCH($E196,Roadmap!$D:$D,0)+COUNTIF($E196:AE196,"u")+COUNTIF($E196:AE196,"t"),
     INDEX(Roadmap!$D:$K,MATCH($E196,Roadmap!$D:$D,0)+COUNTIF($E196:AE196,"u")+COUNTIF($E196:AE196,"t")+COUNTIF($E196:AE196,"¶")+COUNTIF($E196:AE196,"²")+COUNTIF($E196:AE196,"µ")+COUNTIF($E196:AE196,1),ColTypeEcheance)),
  IF(LEN(AE196)=1,
  IF(LEN(INDEX(Roadmap!$D:$K,MATCH($E196,Roadmap!$D:$D,0)-1+COUNTIF($E196:AE196,"u")+COUNTIF($E196:AE196,"t")+COUNTIF($E196:AE196,"¶")+COUNTIF($E196:AE196,"²")+COUNTIF($E196:AE196,"µ")+COUNTIF($E196:AE196,1),ColDescriptionCourte))&gt;1,
HYPERLINK("#Roadmap!C"&amp; MATCH($E196,Roadmap!$D:$D,0)+COUNTIF($E196:AE196,"u")+COUNTIF($E196:AE196,"t")+COUNTIF($E196:AE196,"¶")+COUNTIF($E196:AE196,"²")+COUNTIF($E196:AE196,"µ")+COUNTIF($E196:AE196,1)-1,INDEX(Roadmap!$D:$K,MATCH($E196,Roadmap!$D:$D,0)-1+COUNTIF($E196:AE196,"u")+COUNTIF($E196:AE196,"t")+COUNTIF($E196:AE196,"¶")+COUNTIF($E196:AE196,"²")+COUNTIF($E196:AE196,"µ")+COUNTIF($E196:AE196,1),ColDescriptionCourte)),""),
  "")),"")</f>
        <v/>
      </c>
      <c r="AG196" s="40" t="str">
        <f ca="1">IFERROR(IF(AND(
  INDEX(Roadmap!$D:$K,MATCH($E196,Roadmap!$D:$D,0)+COUNTIF($E196:AF196,"u")+COUNTIF($E196:AF196,"t")+COUNTIF($E196:AF196,"¶")+COUNTIF($E196:AF196,"²")+COUNTIF($E196:AF196,"µ")+COUNTIF($E196:AF196,1),ColLivraison)=AG$6,
  VLOOKUP($E196,INDIRECT("tri!"&amp; CHAR(64+ C0Col) &amp;":"&amp; CHAR(65+C0Col)),2,FALSE)&gt;COUNTIF($E196:AF196,"u")+COUNTIF($E196:AF196,"t")+COUNTIF($E196:AF196,"¶")+COUNTIF($E196:AF196,"²")+COUNTIF($E196:AF196,"µ")+COUNTIF($E196:AF196,1)),
HYPERLINK("#Roadmap!C"&amp; MATCH($E196,Roadmap!$D:$D,0)+COUNTIF($E196:AF196,"u")+COUNTIF($E196:AF196,"t"),
     INDEX(Roadmap!$D:$K,MATCH($E196,Roadmap!$D:$D,0)+COUNTIF($E196:AF196,"u")+COUNTIF($E196:AF196,"t")+COUNTIF($E196:AF196,"¶")+COUNTIF($E196:AF196,"²")+COUNTIF($E196:AF196,"µ")+COUNTIF($E196:AF196,1),ColTypeEcheance)),
  IF(LEN(AF196)=1,
  IF(LEN(INDEX(Roadmap!$D:$K,MATCH($E196,Roadmap!$D:$D,0)-1+COUNTIF($E196:AF196,"u")+COUNTIF($E196:AF196,"t")+COUNTIF($E196:AF196,"¶")+COUNTIF($E196:AF196,"²")+COUNTIF($E196:AF196,"µ")+COUNTIF($E196:AF196,1),ColDescriptionCourte))&gt;1,
HYPERLINK("#Roadmap!C"&amp; MATCH($E196,Roadmap!$D:$D,0)+COUNTIF($E196:AF196,"u")+COUNTIF($E196:AF196,"t")+COUNTIF($E196:AF196,"¶")+COUNTIF($E196:AF196,"²")+COUNTIF($E196:AF196,"µ")+COUNTIF($E196:AF196,1)-1,INDEX(Roadmap!$D:$K,MATCH($E196,Roadmap!$D:$D,0)-1+COUNTIF($E196:AF196,"u")+COUNTIF($E196:AF196,"t")+COUNTIF($E196:AF196,"¶")+COUNTIF($E196:AF196,"²")+COUNTIF($E196:AF196,"µ")+COUNTIF($E196:AF196,1),ColDescriptionCourte)),""),
  "")),"")</f>
        <v/>
      </c>
    </row>
    <row r="197" spans="3:33" ht="14.25" customHeight="1">
      <c r="C197" s="1" t="str">
        <f t="shared" ca="1" si="54"/>
        <v/>
      </c>
      <c r="D197" s="1" t="str">
        <f t="shared" ca="1" si="55"/>
        <v/>
      </c>
      <c r="E197" s="35" t="str">
        <f t="shared" ca="1" si="51"/>
        <v/>
      </c>
      <c r="F197" s="39" t="str">
        <f ca="1">IFERROR(IF(AND(
  INDEX(Roadmap!$D:$K,MATCH($E197,Roadmap!$D:$D,0)+COUNTIF($E197:E197,"u")+COUNTIF($E197:E197,"t")+COUNTIF($E197:E197,"¶")+COUNTIF($E197:E197,"²")+COUNTIF($E197:E197,"µ")+COUNTIF($E197:E197,1),ColLivraison)=F$6,
  VLOOKUP($E197,INDIRECT("tri!"&amp; CHAR(64+ C0Col) &amp;":"&amp; CHAR(65+C0Col)),2,FALSE)&gt;COUNTIF($E197:E197,"u")+COUNTIF($E197:E197,"t")+COUNTIF($E197:E197,"¶")+COUNTIF($E197:E197,"²")+COUNTIF($E197:E197,"µ")+COUNTIF($E197:E197,1)),
HYPERLINK("#Roadmap!C"&amp; MATCH($E197,Roadmap!$D:$D,0)+COUNTIF($E197:E197,"u")+COUNTIF($E197:E197,"t"),
     INDEX(Roadmap!$D:$K,MATCH($E197,Roadmap!$D:$D,0)+COUNTIF($E197:E197,"u")+COUNTIF($E197:E197,"t")+COUNTIF($E197:E197,"¶")+COUNTIF($E197:E197,"²")+COUNTIF($E197:E197,"µ")+COUNTIF($E197:E197,1),ColTypeEcheance)),
  IF(LEN(E197)=1,
  IF(LEN(INDEX(Roadmap!$D:$K,MATCH($E197,Roadmap!$D:$D,0)-1+COUNTIF($E197:E197,"u")+COUNTIF($E197:E197,"t")+COUNTIF($E197:E197,"¶")+COUNTIF($E197:E197,"²")+COUNTIF($E197:E197,"µ")+COUNTIF($E197:E197,1),ColDescriptionCourte))&gt;1,
HYPERLINK("#Roadmap!C"&amp; MATCH($E197,Roadmap!$D:$D,0)+COUNTIF($E197:E197,"u")+COUNTIF($E197:E197,"t")+COUNTIF($E197:E197,"¶")+COUNTIF($E197:E197,"²")+COUNTIF($E197:E197,"µ")+COUNTIF($E197:E197,1)-1,INDEX(Roadmap!$D:$K,MATCH($E197,Roadmap!$D:$D,0)-1+COUNTIF($E197:E197,"u")+COUNTIF($E197:E197,"t")+COUNTIF($E197:E197,"¶")+COUNTIF($E197:E197,"²")+COUNTIF($E197:E197,"µ")+COUNTIF($E197:E197,1),ColDescriptionCourte)),""),
  "")),"")</f>
        <v/>
      </c>
      <c r="G197" s="40" t="str">
        <f ca="1">IFERROR(IF(AND(
  INDEX(Roadmap!$D:$K,MATCH($E197,Roadmap!$D:$D,0)+COUNTIF($E197:F197,"u")+COUNTIF($E197:F197,"t")+COUNTIF($E197:F197,"¶")+COUNTIF($E197:F197,"²")+COUNTIF($E197:F197,"µ")+COUNTIF($E197:F197,1),ColLivraison)=G$6,
  VLOOKUP($E197,INDIRECT("tri!"&amp; CHAR(64+ C0Col) &amp;":"&amp; CHAR(65+C0Col)),2,FALSE)&gt;COUNTIF($E197:F197,"u")+COUNTIF($E197:F197,"t")+COUNTIF($E197:F197,"¶")+COUNTIF($E197:F197,"²")+COUNTIF($E197:F197,"µ")+COUNTIF($E197:F197,1)),
HYPERLINK("#Roadmap!C"&amp; MATCH($E197,Roadmap!$D:$D,0)+COUNTIF($E197:F197,"u")+COUNTIF($E197:F197,"t"),
     INDEX(Roadmap!$D:$K,MATCH($E197,Roadmap!$D:$D,0)+COUNTIF($E197:F197,"u")+COUNTIF($E197:F197,"t")+COUNTIF($E197:F197,"¶")+COUNTIF($E197:F197,"²")+COUNTIF($E197:F197,"µ")+COUNTIF($E197:F197,1),ColTypeEcheance)),
  IF(LEN(F197)=1,
  IF(LEN(INDEX(Roadmap!$D:$K,MATCH($E197,Roadmap!$D:$D,0)-1+COUNTIF($E197:F197,"u")+COUNTIF($E197:F197,"t")+COUNTIF($E197:F197,"¶")+COUNTIF($E197:F197,"²")+COUNTIF($E197:F197,"µ")+COUNTIF($E197:F197,1),ColDescriptionCourte))&gt;1,
HYPERLINK("#Roadmap!C"&amp; MATCH($E197,Roadmap!$D:$D,0)+COUNTIF($E197:F197,"u")+COUNTIF($E197:F197,"t")+COUNTIF($E197:F197,"¶")+COUNTIF($E197:F197,"²")+COUNTIF($E197:F197,"µ")+COUNTIF($E197:F197,1)-1,INDEX(Roadmap!$D:$K,MATCH($E197,Roadmap!$D:$D,0)-1+COUNTIF($E197:F197,"u")+COUNTIF($E197:F197,"t")+COUNTIF($E197:F197,"¶")+COUNTIF($E197:F197,"²")+COUNTIF($E197:F197,"µ")+COUNTIF($E197:F197,1),ColDescriptionCourte)),""),
  "")),"")</f>
        <v/>
      </c>
      <c r="H197" s="40" t="str">
        <f ca="1">IFERROR(IF(AND(
  INDEX(Roadmap!$D:$K,MATCH($E197,Roadmap!$D:$D,0)+COUNTIF($E197:G197,"u")+COUNTIF($E197:G197,"t")+COUNTIF($E197:G197,"¶")+COUNTIF($E197:G197,"²")+COUNTIF($E197:G197,"µ")+COUNTIF($E197:G197,1),ColLivraison)=H$6,
  VLOOKUP($E197,INDIRECT("tri!"&amp; CHAR(64+ C0Col) &amp;":"&amp; CHAR(65+C0Col)),2,FALSE)&gt;COUNTIF($E197:G197,"u")+COUNTIF($E197:G197,"t")+COUNTIF($E197:G197,"¶")+COUNTIF($E197:G197,"²")+COUNTIF($E197:G197,"µ")+COUNTIF($E197:G197,1)),
HYPERLINK("#Roadmap!C"&amp; MATCH($E197,Roadmap!$D:$D,0)+COUNTIF($E197:G197,"u")+COUNTIF($E197:G197,"t"),
     INDEX(Roadmap!$D:$K,MATCH($E197,Roadmap!$D:$D,0)+COUNTIF($E197:G197,"u")+COUNTIF($E197:G197,"t")+COUNTIF($E197:G197,"¶")+COUNTIF($E197:G197,"²")+COUNTIF($E197:G197,"µ")+COUNTIF($E197:G197,1),ColTypeEcheance)),
  IF(LEN(G197)=1,
  IF(LEN(INDEX(Roadmap!$D:$K,MATCH($E197,Roadmap!$D:$D,0)-1+COUNTIF($E197:G197,"u")+COUNTIF($E197:G197,"t")+COUNTIF($E197:G197,"¶")+COUNTIF($E197:G197,"²")+COUNTIF($E197:G197,"µ")+COUNTIF($E197:G197,1),ColDescriptionCourte))&gt;1,
HYPERLINK("#Roadmap!C"&amp; MATCH($E197,Roadmap!$D:$D,0)+COUNTIF($E197:G197,"u")+COUNTIF($E197:G197,"t")+COUNTIF($E197:G197,"¶")+COUNTIF($E197:G197,"²")+COUNTIF($E197:G197,"µ")+COUNTIF($E197:G197,1)-1,INDEX(Roadmap!$D:$K,MATCH($E197,Roadmap!$D:$D,0)-1+COUNTIF($E197:G197,"u")+COUNTIF($E197:G197,"t")+COUNTIF($E197:G197,"¶")+COUNTIF($E197:G197,"²")+COUNTIF($E197:G197,"µ")+COUNTIF($E197:G197,1),ColDescriptionCourte)),""),
  "")),"")</f>
        <v/>
      </c>
      <c r="I197" s="40" t="str">
        <f ca="1">IFERROR(IF(AND(
  INDEX(Roadmap!$D:$K,MATCH($E197,Roadmap!$D:$D,0)+COUNTIF($E197:H197,"u")+COUNTIF($E197:H197,"t")+COUNTIF($E197:H197,"¶")+COUNTIF($E197:H197,"²")+COUNTIF($E197:H197,"µ")+COUNTIF($E197:H197,1),ColLivraison)=I$6,
  VLOOKUP($E197,INDIRECT("tri!"&amp; CHAR(64+ C0Col) &amp;":"&amp; CHAR(65+C0Col)),2,FALSE)&gt;COUNTIF($E197:H197,"u")+COUNTIF($E197:H197,"t")+COUNTIF($E197:H197,"¶")+COUNTIF($E197:H197,"²")+COUNTIF($E197:H197,"µ")+COUNTIF($E197:H197,1)),
HYPERLINK("#Roadmap!C"&amp; MATCH($E197,Roadmap!$D:$D,0)+COUNTIF($E197:H197,"u")+COUNTIF($E197:H197,"t"),
     INDEX(Roadmap!$D:$K,MATCH($E197,Roadmap!$D:$D,0)+COUNTIF($E197:H197,"u")+COUNTIF($E197:H197,"t")+COUNTIF($E197:H197,"¶")+COUNTIF($E197:H197,"²")+COUNTIF($E197:H197,"µ")+COUNTIF($E197:H197,1),ColTypeEcheance)),
  IF(LEN(H197)=1,
  IF(LEN(INDEX(Roadmap!$D:$K,MATCH($E197,Roadmap!$D:$D,0)-1+COUNTIF($E197:H197,"u")+COUNTIF($E197:H197,"t")+COUNTIF($E197:H197,"¶")+COUNTIF($E197:H197,"²")+COUNTIF($E197:H197,"µ")+COUNTIF($E197:H197,1),ColDescriptionCourte))&gt;1,
HYPERLINK("#Roadmap!C"&amp; MATCH($E197,Roadmap!$D:$D,0)+COUNTIF($E197:H197,"u")+COUNTIF($E197:H197,"t")+COUNTIF($E197:H197,"¶")+COUNTIF($E197:H197,"²")+COUNTIF($E197:H197,"µ")+COUNTIF($E197:H197,1)-1,INDEX(Roadmap!$D:$K,MATCH($E197,Roadmap!$D:$D,0)-1+COUNTIF($E197:H197,"u")+COUNTIF($E197:H197,"t")+COUNTIF($E197:H197,"¶")+COUNTIF($E197:H197,"²")+COUNTIF($E197:H197,"µ")+COUNTIF($E197:H197,1),ColDescriptionCourte)),""),
  "")),"")</f>
        <v/>
      </c>
      <c r="J197" s="40" t="str">
        <f ca="1">IFERROR(IF(AND(
  INDEX(Roadmap!$D:$K,MATCH($E197,Roadmap!$D:$D,0)+COUNTIF($E197:I197,"u")+COUNTIF($E197:I197,"t")+COUNTIF($E197:I197,"¶")+COUNTIF($E197:I197,"²")+COUNTIF($E197:I197,"µ")+COUNTIF($E197:I197,1),ColLivraison)=J$6,
  VLOOKUP($E197,INDIRECT("tri!"&amp; CHAR(64+ C0Col) &amp;":"&amp; CHAR(65+C0Col)),2,FALSE)&gt;COUNTIF($E197:I197,"u")+COUNTIF($E197:I197,"t")+COUNTIF($E197:I197,"¶")+COUNTIF($E197:I197,"²")+COUNTIF($E197:I197,"µ")+COUNTIF($E197:I197,1)),
HYPERLINK("#Roadmap!C"&amp; MATCH($E197,Roadmap!$D:$D,0)+COUNTIF($E197:I197,"u")+COUNTIF($E197:I197,"t"),
     INDEX(Roadmap!$D:$K,MATCH($E197,Roadmap!$D:$D,0)+COUNTIF($E197:I197,"u")+COUNTIF($E197:I197,"t")+COUNTIF($E197:I197,"¶")+COUNTIF($E197:I197,"²")+COUNTIF($E197:I197,"µ")+COUNTIF($E197:I197,1),ColTypeEcheance)),
  IF(LEN(I197)=1,
  IF(LEN(INDEX(Roadmap!$D:$K,MATCH($E197,Roadmap!$D:$D,0)-1+COUNTIF($E197:I197,"u")+COUNTIF($E197:I197,"t")+COUNTIF($E197:I197,"¶")+COUNTIF($E197:I197,"²")+COUNTIF($E197:I197,"µ")+COUNTIF($E197:I197,1),ColDescriptionCourte))&gt;1,
HYPERLINK("#Roadmap!C"&amp; MATCH($E197,Roadmap!$D:$D,0)+COUNTIF($E197:I197,"u")+COUNTIF($E197:I197,"t")+COUNTIF($E197:I197,"¶")+COUNTIF($E197:I197,"²")+COUNTIF($E197:I197,"µ")+COUNTIF($E197:I197,1)-1,INDEX(Roadmap!$D:$K,MATCH($E197,Roadmap!$D:$D,0)-1+COUNTIF($E197:I197,"u")+COUNTIF($E197:I197,"t")+COUNTIF($E197:I197,"¶")+COUNTIF($E197:I197,"²")+COUNTIF($E197:I197,"µ")+COUNTIF($E197:I197,1),ColDescriptionCourte)),""),
  "")),"")</f>
        <v/>
      </c>
      <c r="K197" s="40" t="str">
        <f ca="1">IFERROR(IF(AND(
  INDEX(Roadmap!$D:$K,MATCH($E197,Roadmap!$D:$D,0)+COUNTIF($E197:J197,"u")+COUNTIF($E197:J197,"t")+COUNTIF($E197:J197,"¶")+COUNTIF($E197:J197,"²")+COUNTIF($E197:J197,"µ")+COUNTIF($E197:J197,1),ColLivraison)=K$6,
  VLOOKUP($E197,INDIRECT("tri!"&amp; CHAR(64+ C0Col) &amp;":"&amp; CHAR(65+C0Col)),2,FALSE)&gt;COUNTIF($E197:J197,"u")+COUNTIF($E197:J197,"t")+COUNTIF($E197:J197,"¶")+COUNTIF($E197:J197,"²")+COUNTIF($E197:J197,"µ")+COUNTIF($E197:J197,1)),
HYPERLINK("#Roadmap!C"&amp; MATCH($E197,Roadmap!$D:$D,0)+COUNTIF($E197:J197,"u")+COUNTIF($E197:J197,"t"),
     INDEX(Roadmap!$D:$K,MATCH($E197,Roadmap!$D:$D,0)+COUNTIF($E197:J197,"u")+COUNTIF($E197:J197,"t")+COUNTIF($E197:J197,"¶")+COUNTIF($E197:J197,"²")+COUNTIF($E197:J197,"µ")+COUNTIF($E197:J197,1),ColTypeEcheance)),
  IF(LEN(J197)=1,
  IF(LEN(INDEX(Roadmap!$D:$K,MATCH($E197,Roadmap!$D:$D,0)-1+COUNTIF($E197:J197,"u")+COUNTIF($E197:J197,"t")+COUNTIF($E197:J197,"¶")+COUNTIF($E197:J197,"²")+COUNTIF($E197:J197,"µ")+COUNTIF($E197:J197,1),ColDescriptionCourte))&gt;1,
HYPERLINK("#Roadmap!C"&amp; MATCH($E197,Roadmap!$D:$D,0)+COUNTIF($E197:J197,"u")+COUNTIF($E197:J197,"t")+COUNTIF($E197:J197,"¶")+COUNTIF($E197:J197,"²")+COUNTIF($E197:J197,"µ")+COUNTIF($E197:J197,1)-1,INDEX(Roadmap!$D:$K,MATCH($E197,Roadmap!$D:$D,0)-1+COUNTIF($E197:J197,"u")+COUNTIF($E197:J197,"t")+COUNTIF($E197:J197,"¶")+COUNTIF($E197:J197,"²")+COUNTIF($E197:J197,"µ")+COUNTIF($E197:J197,1),ColDescriptionCourte)),""),
  "")),"")</f>
        <v/>
      </c>
      <c r="L197" s="39" t="str">
        <f ca="1">IFERROR(IF(AND(
  INDEX(Roadmap!$D:$K,MATCH($E197,Roadmap!$D:$D,0)+COUNTIF($E197:K197,"u")+COUNTIF($E197:K197,"t")+COUNTIF($E197:K197,"¶")+COUNTIF($E197:K197,"²")+COUNTIF($E197:K197,"µ")+COUNTIF($E197:K197,1),ColLivraison)=L$6,
  VLOOKUP($E197,INDIRECT("tri!"&amp; CHAR(64+ C0Col) &amp;":"&amp; CHAR(65+C0Col)),2,FALSE)&gt;COUNTIF($E197:K197,"u")+COUNTIF($E197:K197,"t")+COUNTIF($E197:K197,"¶")+COUNTIF($E197:K197,"²")+COUNTIF($E197:K197,"µ")+COUNTIF($E197:K197,1)),
HYPERLINK("#Roadmap!C"&amp; MATCH($E197,Roadmap!$D:$D,0)+COUNTIF($E197:K197,"u")+COUNTIF($E197:K197,"t"),
     INDEX(Roadmap!$D:$K,MATCH($E197,Roadmap!$D:$D,0)+COUNTIF($E197:K197,"u")+COUNTIF($E197:K197,"t")+COUNTIF($E197:K197,"¶")+COUNTIF($E197:K197,"²")+COUNTIF($E197:K197,"µ")+COUNTIF($E197:K197,1),ColTypeEcheance)),
  IF(LEN(K197)=1,
  IF(LEN(INDEX(Roadmap!$D:$K,MATCH($E197,Roadmap!$D:$D,0)-1+COUNTIF($E197:K197,"u")+COUNTIF($E197:K197,"t")+COUNTIF($E197:K197,"¶")+COUNTIF($E197:K197,"²")+COUNTIF($E197:K197,"µ")+COUNTIF($E197:K197,1),ColDescriptionCourte))&gt;1,
HYPERLINK("#Roadmap!C"&amp; MATCH($E197,Roadmap!$D:$D,0)+COUNTIF($E197:K197,"u")+COUNTIF($E197:K197,"t")+COUNTIF($E197:K197,"¶")+COUNTIF($E197:K197,"²")+COUNTIF($E197:K197,"µ")+COUNTIF($E197:K197,1)-1,INDEX(Roadmap!$D:$K,MATCH($E197,Roadmap!$D:$D,0)-1+COUNTIF($E197:K197,"u")+COUNTIF($E197:K197,"t")+COUNTIF($E197:K197,"¶")+COUNTIF($E197:K197,"²")+COUNTIF($E197:K197,"µ")+COUNTIF($E197:K197,1),ColDescriptionCourte)),""),
  "")),"")</f>
        <v/>
      </c>
      <c r="M197" s="40" t="str">
        <f ca="1">IFERROR(IF(AND(
  INDEX(Roadmap!$D:$K,MATCH($E197,Roadmap!$D:$D,0)+COUNTIF($E197:L197,"u")+COUNTIF($E197:L197,"t")+COUNTIF($E197:L197,"¶")+COUNTIF($E197:L197,"²")+COUNTIF($E197:L197,"µ")+COUNTIF($E197:L197,1),ColLivraison)=M$6,
  VLOOKUP($E197,INDIRECT("tri!"&amp; CHAR(64+ C0Col) &amp;":"&amp; CHAR(65+C0Col)),2,FALSE)&gt;COUNTIF($E197:L197,"u")+COUNTIF($E197:L197,"t")+COUNTIF($E197:L197,"¶")+COUNTIF($E197:L197,"²")+COUNTIF($E197:L197,"µ")+COUNTIF($E197:L197,1)),
HYPERLINK("#Roadmap!C"&amp; MATCH($E197,Roadmap!$D:$D,0)+COUNTIF($E197:L197,"u")+COUNTIF($E197:L197,"t"),
     INDEX(Roadmap!$D:$K,MATCH($E197,Roadmap!$D:$D,0)+COUNTIF($E197:L197,"u")+COUNTIF($E197:L197,"t")+COUNTIF($E197:L197,"¶")+COUNTIF($E197:L197,"²")+COUNTIF($E197:L197,"µ")+COUNTIF($E197:L197,1),ColTypeEcheance)),
  IF(LEN(L197)=1,
  IF(LEN(INDEX(Roadmap!$D:$K,MATCH($E197,Roadmap!$D:$D,0)-1+COUNTIF($E197:L197,"u")+COUNTIF($E197:L197,"t")+COUNTIF($E197:L197,"¶")+COUNTIF($E197:L197,"²")+COUNTIF($E197:L197,"µ")+COUNTIF($E197:L197,1),ColDescriptionCourte))&gt;1,
HYPERLINK("#Roadmap!C"&amp; MATCH($E197,Roadmap!$D:$D,0)+COUNTIF($E197:L197,"u")+COUNTIF($E197:L197,"t")+COUNTIF($E197:L197,"¶")+COUNTIF($E197:L197,"²")+COUNTIF($E197:L197,"µ")+COUNTIF($E197:L197,1)-1,INDEX(Roadmap!$D:$K,MATCH($E197,Roadmap!$D:$D,0)-1+COUNTIF($E197:L197,"u")+COUNTIF($E197:L197,"t")+COUNTIF($E197:L197,"¶")+COUNTIF($E197:L197,"²")+COUNTIF($E197:L197,"µ")+COUNTIF($E197:L197,1),ColDescriptionCourte)),""),
  "")),"")</f>
        <v/>
      </c>
      <c r="N197" s="40" t="str">
        <f ca="1">IFERROR(IF(AND(
  INDEX(Roadmap!$D:$K,MATCH($E197,Roadmap!$D:$D,0)+COUNTIF($E197:M197,"u")+COUNTIF($E197:M197,"t")+COUNTIF($E197:M197,"¶")+COUNTIF($E197:M197,"²")+COUNTIF($E197:M197,"µ")+COUNTIF($E197:M197,1),ColLivraison)=N$6,
  VLOOKUP($E197,INDIRECT("tri!"&amp; CHAR(64+ C0Col) &amp;":"&amp; CHAR(65+C0Col)),2,FALSE)&gt;COUNTIF($E197:M197,"u")+COUNTIF($E197:M197,"t")+COUNTIF($E197:M197,"¶")+COUNTIF($E197:M197,"²")+COUNTIF($E197:M197,"µ")+COUNTIF($E197:M197,1)),
HYPERLINK("#Roadmap!C"&amp; MATCH($E197,Roadmap!$D:$D,0)+COUNTIF($E197:M197,"u")+COUNTIF($E197:M197,"t"),
     INDEX(Roadmap!$D:$K,MATCH($E197,Roadmap!$D:$D,0)+COUNTIF($E197:M197,"u")+COUNTIF($E197:M197,"t")+COUNTIF($E197:M197,"¶")+COUNTIF($E197:M197,"²")+COUNTIF($E197:M197,"µ")+COUNTIF($E197:M197,1),ColTypeEcheance)),
  IF(LEN(M197)=1,
  IF(LEN(INDEX(Roadmap!$D:$K,MATCH($E197,Roadmap!$D:$D,0)-1+COUNTIF($E197:M197,"u")+COUNTIF($E197:M197,"t")+COUNTIF($E197:M197,"¶")+COUNTIF($E197:M197,"²")+COUNTIF($E197:M197,"µ")+COUNTIF($E197:M197,1),ColDescriptionCourte))&gt;1,
HYPERLINK("#Roadmap!C"&amp; MATCH($E197,Roadmap!$D:$D,0)+COUNTIF($E197:M197,"u")+COUNTIF($E197:M197,"t")+COUNTIF($E197:M197,"¶")+COUNTIF($E197:M197,"²")+COUNTIF($E197:M197,"µ")+COUNTIF($E197:M197,1)-1,INDEX(Roadmap!$D:$K,MATCH($E197,Roadmap!$D:$D,0)-1+COUNTIF($E197:M197,"u")+COUNTIF($E197:M197,"t")+COUNTIF($E197:M197,"¶")+COUNTIF($E197:M197,"²")+COUNTIF($E197:M197,"µ")+COUNTIF($E197:M197,1),ColDescriptionCourte)),""),
  "")),"")</f>
        <v/>
      </c>
      <c r="O197" s="40" t="str">
        <f ca="1">IFERROR(IF(AND(
  INDEX(Roadmap!$D:$K,MATCH($E197,Roadmap!$D:$D,0)+COUNTIF($E197:N197,"u")+COUNTIF($E197:N197,"t")+COUNTIF($E197:N197,"¶")+COUNTIF($E197:N197,"²")+COUNTIF($E197:N197,"µ")+COUNTIF($E197:N197,1),ColLivraison)=O$6,
  VLOOKUP($E197,INDIRECT("tri!"&amp; CHAR(64+ C0Col) &amp;":"&amp; CHAR(65+C0Col)),2,FALSE)&gt;COUNTIF($E197:N197,"u")+COUNTIF($E197:N197,"t")+COUNTIF($E197:N197,"¶")+COUNTIF($E197:N197,"²")+COUNTIF($E197:N197,"µ")+COUNTIF($E197:N197,1)),
HYPERLINK("#Roadmap!C"&amp; MATCH($E197,Roadmap!$D:$D,0)+COUNTIF($E197:N197,"u")+COUNTIF($E197:N197,"t"),
     INDEX(Roadmap!$D:$K,MATCH($E197,Roadmap!$D:$D,0)+COUNTIF($E197:N197,"u")+COUNTIF($E197:N197,"t")+COUNTIF($E197:N197,"¶")+COUNTIF($E197:N197,"²")+COUNTIF($E197:N197,"µ")+COUNTIF($E197:N197,1),ColTypeEcheance)),
  IF(LEN(N197)=1,
  IF(LEN(INDEX(Roadmap!$D:$K,MATCH($E197,Roadmap!$D:$D,0)-1+COUNTIF($E197:N197,"u")+COUNTIF($E197:N197,"t")+COUNTIF($E197:N197,"¶")+COUNTIF($E197:N197,"²")+COUNTIF($E197:N197,"µ")+COUNTIF($E197:N197,1),ColDescriptionCourte))&gt;1,
HYPERLINK("#Roadmap!C"&amp; MATCH($E197,Roadmap!$D:$D,0)+COUNTIF($E197:N197,"u")+COUNTIF($E197:N197,"t")+COUNTIF($E197:N197,"¶")+COUNTIF($E197:N197,"²")+COUNTIF($E197:N197,"µ")+COUNTIF($E197:N197,1)-1,INDEX(Roadmap!$D:$K,MATCH($E197,Roadmap!$D:$D,0)-1+COUNTIF($E197:N197,"u")+COUNTIF($E197:N197,"t")+COUNTIF($E197:N197,"¶")+COUNTIF($E197:N197,"²")+COUNTIF($E197:N197,"µ")+COUNTIF($E197:N197,1),ColDescriptionCourte)),""),
  "")),"")</f>
        <v/>
      </c>
      <c r="P197" s="40" t="str">
        <f ca="1">IFERROR(IF(AND(
  INDEX(Roadmap!$D:$K,MATCH($E197,Roadmap!$D:$D,0)+COUNTIF($E197:O197,"u")+COUNTIF($E197:O197,"t")+COUNTIF($E197:O197,"¶")+COUNTIF($E197:O197,"²")+COUNTIF($E197:O197,"µ")+COUNTIF($E197:O197,1),ColLivraison)=P$6,
  VLOOKUP($E197,INDIRECT("tri!"&amp; CHAR(64+ C0Col) &amp;":"&amp; CHAR(65+C0Col)),2,FALSE)&gt;COUNTIF($E197:O197,"u")+COUNTIF($E197:O197,"t")+COUNTIF($E197:O197,"¶")+COUNTIF($E197:O197,"²")+COUNTIF($E197:O197,"µ")+COUNTIF($E197:O197,1)),
HYPERLINK("#Roadmap!C"&amp; MATCH($E197,Roadmap!$D:$D,0)+COUNTIF($E197:O197,"u")+COUNTIF($E197:O197,"t"),
     INDEX(Roadmap!$D:$K,MATCH($E197,Roadmap!$D:$D,0)+COUNTIF($E197:O197,"u")+COUNTIF($E197:O197,"t")+COUNTIF($E197:O197,"¶")+COUNTIF($E197:O197,"²")+COUNTIF($E197:O197,"µ")+COUNTIF($E197:O197,1),ColTypeEcheance)),
  IF(LEN(O197)=1,
  IF(LEN(INDEX(Roadmap!$D:$K,MATCH($E197,Roadmap!$D:$D,0)-1+COUNTIF($E197:O197,"u")+COUNTIF($E197:O197,"t")+COUNTIF($E197:O197,"¶")+COUNTIF($E197:O197,"²")+COUNTIF($E197:O197,"µ")+COUNTIF($E197:O197,1),ColDescriptionCourte))&gt;1,
HYPERLINK("#Roadmap!C"&amp; MATCH($E197,Roadmap!$D:$D,0)+COUNTIF($E197:O197,"u")+COUNTIF($E197:O197,"t")+COUNTIF($E197:O197,"¶")+COUNTIF($E197:O197,"²")+COUNTIF($E197:O197,"µ")+COUNTIF($E197:O197,1)-1,INDEX(Roadmap!$D:$K,MATCH($E197,Roadmap!$D:$D,0)-1+COUNTIF($E197:O197,"u")+COUNTIF($E197:O197,"t")+COUNTIF($E197:O197,"¶")+COUNTIF($E197:O197,"²")+COUNTIF($E197:O197,"µ")+COUNTIF($E197:O197,1),ColDescriptionCourte)),""),
  "")),"")</f>
        <v/>
      </c>
      <c r="Q197" s="40" t="str">
        <f ca="1">IFERROR(IF(AND(
  INDEX(Roadmap!$D:$K,MATCH($E197,Roadmap!$D:$D,0)+COUNTIF($E197:P197,"u")+COUNTIF($E197:P197,"t")+COUNTIF($E197:P197,"¶")+COUNTIF($E197:P197,"²")+COUNTIF($E197:P197,"µ")+COUNTIF($E197:P197,1),ColLivraison)=Q$6,
  VLOOKUP($E197,INDIRECT("tri!"&amp; CHAR(64+ C0Col) &amp;":"&amp; CHAR(65+C0Col)),2,FALSE)&gt;COUNTIF($E197:P197,"u")+COUNTIF($E197:P197,"t")+COUNTIF($E197:P197,"¶")+COUNTIF($E197:P197,"²")+COUNTIF($E197:P197,"µ")+COUNTIF($E197:P197,1)),
HYPERLINK("#Roadmap!C"&amp; MATCH($E197,Roadmap!$D:$D,0)+COUNTIF($E197:P197,"u")+COUNTIF($E197:P197,"t"),
     INDEX(Roadmap!$D:$K,MATCH($E197,Roadmap!$D:$D,0)+COUNTIF($E197:P197,"u")+COUNTIF($E197:P197,"t")+COUNTIF($E197:P197,"¶")+COUNTIF($E197:P197,"²")+COUNTIF($E197:P197,"µ")+COUNTIF($E197:P197,1),ColTypeEcheance)),
  IF(LEN(P197)=1,
  IF(LEN(INDEX(Roadmap!$D:$K,MATCH($E197,Roadmap!$D:$D,0)-1+COUNTIF($E197:P197,"u")+COUNTIF($E197:P197,"t")+COUNTIF($E197:P197,"¶")+COUNTIF($E197:P197,"²")+COUNTIF($E197:P197,"µ")+COUNTIF($E197:P197,1),ColDescriptionCourte))&gt;1,
HYPERLINK("#Roadmap!C"&amp; MATCH($E197,Roadmap!$D:$D,0)+COUNTIF($E197:P197,"u")+COUNTIF($E197:P197,"t")+COUNTIF($E197:P197,"¶")+COUNTIF($E197:P197,"²")+COUNTIF($E197:P197,"µ")+COUNTIF($E197:P197,1)-1,INDEX(Roadmap!$D:$K,MATCH($E197,Roadmap!$D:$D,0)-1+COUNTIF($E197:P197,"u")+COUNTIF($E197:P197,"t")+COUNTIF($E197:P197,"¶")+COUNTIF($E197:P197,"²")+COUNTIF($E197:P197,"µ")+COUNTIF($E197:P197,1),ColDescriptionCourte)),""),
  "")),"")</f>
        <v/>
      </c>
      <c r="R197" s="40" t="str">
        <f ca="1">IFERROR(IF(AND(
  INDEX(Roadmap!$D:$K,MATCH($E197,Roadmap!$D:$D,0)+COUNTIF($E197:Q197,"u")+COUNTIF($E197:Q197,"t")+COUNTIF($E197:Q197,"¶")+COUNTIF($E197:Q197,"²")+COUNTIF($E197:Q197,"µ")+COUNTIF($E197:Q197,1),ColLivraison)=R$6,
  VLOOKUP($E197,INDIRECT("tri!"&amp; CHAR(64+ C0Col) &amp;":"&amp; CHAR(65+C0Col)),2,FALSE)&gt;COUNTIF($E197:Q197,"u")+COUNTIF($E197:Q197,"t")+COUNTIF($E197:Q197,"¶")+COUNTIF($E197:Q197,"²")+COUNTIF($E197:Q197,"µ")+COUNTIF($E197:Q197,1)),
HYPERLINK("#Roadmap!C"&amp; MATCH($E197,Roadmap!$D:$D,0)+COUNTIF($E197:Q197,"u")+COUNTIF($E197:Q197,"t"),
     INDEX(Roadmap!$D:$K,MATCH($E197,Roadmap!$D:$D,0)+COUNTIF($E197:Q197,"u")+COUNTIF($E197:Q197,"t")+COUNTIF($E197:Q197,"¶")+COUNTIF($E197:Q197,"²")+COUNTIF($E197:Q197,"µ")+COUNTIF($E197:Q197,1),ColTypeEcheance)),
  IF(LEN(Q197)=1,
  IF(LEN(INDEX(Roadmap!$D:$K,MATCH($E197,Roadmap!$D:$D,0)-1+COUNTIF($E197:Q197,"u")+COUNTIF($E197:Q197,"t")+COUNTIF($E197:Q197,"¶")+COUNTIF($E197:Q197,"²")+COUNTIF($E197:Q197,"µ")+COUNTIF($E197:Q197,1),ColDescriptionCourte))&gt;1,
HYPERLINK("#Roadmap!C"&amp; MATCH($E197,Roadmap!$D:$D,0)+COUNTIF($E197:Q197,"u")+COUNTIF($E197:Q197,"t")+COUNTIF($E197:Q197,"¶")+COUNTIF($E197:Q197,"²")+COUNTIF($E197:Q197,"µ")+COUNTIF($E197:Q197,1)-1,INDEX(Roadmap!$D:$K,MATCH($E197,Roadmap!$D:$D,0)-1+COUNTIF($E197:Q197,"u")+COUNTIF($E197:Q197,"t")+COUNTIF($E197:Q197,"¶")+COUNTIF($E197:Q197,"²")+COUNTIF($E197:Q197,"µ")+COUNTIF($E197:Q197,1),ColDescriptionCourte)),""),
  "")),"")</f>
        <v/>
      </c>
      <c r="S197" s="40" t="str">
        <f ca="1">IFERROR(IF(AND(
  INDEX(Roadmap!$D:$K,MATCH($E197,Roadmap!$D:$D,0)+COUNTIF($E197:R197,"u")+COUNTIF($E197:R197,"t")+COUNTIF($E197:R197,"¶")+COUNTIF($E197:R197,"²")+COUNTIF($E197:R197,"µ")+COUNTIF($E197:R197,1),ColLivraison)=S$6,
  VLOOKUP($E197,INDIRECT("tri!"&amp; CHAR(64+ C0Col) &amp;":"&amp; CHAR(65+C0Col)),2,FALSE)&gt;COUNTIF($E197:R197,"u")+COUNTIF($E197:R197,"t")+COUNTIF($E197:R197,"¶")+COUNTIF($E197:R197,"²")+COUNTIF($E197:R197,"µ")+COUNTIF($E197:R197,1)),
HYPERLINK("#Roadmap!C"&amp; MATCH($E197,Roadmap!$D:$D,0)+COUNTIF($E197:R197,"u")+COUNTIF($E197:R197,"t"),
     INDEX(Roadmap!$D:$K,MATCH($E197,Roadmap!$D:$D,0)+COUNTIF($E197:R197,"u")+COUNTIF($E197:R197,"t")+COUNTIF($E197:R197,"¶")+COUNTIF($E197:R197,"²")+COUNTIF($E197:R197,"µ")+COUNTIF($E197:R197,1),ColTypeEcheance)),
  IF(LEN(R197)=1,
  IF(LEN(INDEX(Roadmap!$D:$K,MATCH($E197,Roadmap!$D:$D,0)-1+COUNTIF($E197:R197,"u")+COUNTIF($E197:R197,"t")+COUNTIF($E197:R197,"¶")+COUNTIF($E197:R197,"²")+COUNTIF($E197:R197,"µ")+COUNTIF($E197:R197,1),ColDescriptionCourte))&gt;1,
HYPERLINK("#Roadmap!C"&amp; MATCH($E197,Roadmap!$D:$D,0)+COUNTIF($E197:R197,"u")+COUNTIF($E197:R197,"t")+COUNTIF($E197:R197,"¶")+COUNTIF($E197:R197,"²")+COUNTIF($E197:R197,"µ")+COUNTIF($E197:R197,1)-1,INDEX(Roadmap!$D:$K,MATCH($E197,Roadmap!$D:$D,0)-1+COUNTIF($E197:R197,"u")+COUNTIF($E197:R197,"t")+COUNTIF($E197:R197,"¶")+COUNTIF($E197:R197,"²")+COUNTIF($E197:R197,"µ")+COUNTIF($E197:R197,1),ColDescriptionCourte)),""),
  "")),"")</f>
        <v/>
      </c>
      <c r="T197" s="40" t="str">
        <f ca="1">IFERROR(IF(AND(
  INDEX(Roadmap!$D:$K,MATCH($E197,Roadmap!$D:$D,0)+COUNTIF($E197:S197,"u")+COUNTIF($E197:S197,"t")+COUNTIF($E197:S197,"¶")+COUNTIF($E197:S197,"²")+COUNTIF($E197:S197,"µ")+COUNTIF($E197:S197,1),ColLivraison)=T$6,
  VLOOKUP($E197,INDIRECT("tri!"&amp; CHAR(64+ C0Col) &amp;":"&amp; CHAR(65+C0Col)),2,FALSE)&gt;COUNTIF($E197:S197,"u")+COUNTIF($E197:S197,"t")+COUNTIF($E197:S197,"¶")+COUNTIF($E197:S197,"²")+COUNTIF($E197:S197,"µ")+COUNTIF($E197:S197,1)),
HYPERLINK("#Roadmap!C"&amp; MATCH($E197,Roadmap!$D:$D,0)+COUNTIF($E197:S197,"u")+COUNTIF($E197:S197,"t"),
     INDEX(Roadmap!$D:$K,MATCH($E197,Roadmap!$D:$D,0)+COUNTIF($E197:S197,"u")+COUNTIF($E197:S197,"t")+COUNTIF($E197:S197,"¶")+COUNTIF($E197:S197,"²")+COUNTIF($E197:S197,"µ")+COUNTIF($E197:S197,1),ColTypeEcheance)),
  IF(LEN(S197)=1,
  IF(LEN(INDEX(Roadmap!$D:$K,MATCH($E197,Roadmap!$D:$D,0)-1+COUNTIF($E197:S197,"u")+COUNTIF($E197:S197,"t")+COUNTIF($E197:S197,"¶")+COUNTIF($E197:S197,"²")+COUNTIF($E197:S197,"µ")+COUNTIF($E197:S197,1),ColDescriptionCourte))&gt;1,
HYPERLINK("#Roadmap!C"&amp; MATCH($E197,Roadmap!$D:$D,0)+COUNTIF($E197:S197,"u")+COUNTIF($E197:S197,"t")+COUNTIF($E197:S197,"¶")+COUNTIF($E197:S197,"²")+COUNTIF($E197:S197,"µ")+COUNTIF($E197:S197,1)-1,INDEX(Roadmap!$D:$K,MATCH($E197,Roadmap!$D:$D,0)-1+COUNTIF($E197:S197,"u")+COUNTIF($E197:S197,"t")+COUNTIF($E197:S197,"¶")+COUNTIF($E197:S197,"²")+COUNTIF($E197:S197,"µ")+COUNTIF($E197:S197,1),ColDescriptionCourte)),""),
  "")),"")</f>
        <v/>
      </c>
      <c r="U197" s="40" t="str">
        <f ca="1">IFERROR(IF(AND(
  INDEX(Roadmap!$D:$K,MATCH($E197,Roadmap!$D:$D,0)+COUNTIF($E197:T197,"u")+COUNTIF($E197:T197,"t")+COUNTIF($E197:T197,"¶")+COUNTIF($E197:T197,"²")+COUNTIF($E197:T197,"µ")+COUNTIF($E197:T197,1),ColLivraison)=U$6,
  VLOOKUP($E197,INDIRECT("tri!"&amp; CHAR(64+ C0Col) &amp;":"&amp; CHAR(65+C0Col)),2,FALSE)&gt;COUNTIF($E197:T197,"u")+COUNTIF($E197:T197,"t")+COUNTIF($E197:T197,"¶")+COUNTIF($E197:T197,"²")+COUNTIF($E197:T197,"µ")+COUNTIF($E197:T197,1)),
HYPERLINK("#Roadmap!C"&amp; MATCH($E197,Roadmap!$D:$D,0)+COUNTIF($E197:T197,"u")+COUNTIF($E197:T197,"t"),
     INDEX(Roadmap!$D:$K,MATCH($E197,Roadmap!$D:$D,0)+COUNTIF($E197:T197,"u")+COUNTIF($E197:T197,"t")+COUNTIF($E197:T197,"¶")+COUNTIF($E197:T197,"²")+COUNTIF($E197:T197,"µ")+COUNTIF($E197:T197,1),ColTypeEcheance)),
  IF(LEN(T197)=1,
  IF(LEN(INDEX(Roadmap!$D:$K,MATCH($E197,Roadmap!$D:$D,0)-1+COUNTIF($E197:T197,"u")+COUNTIF($E197:T197,"t")+COUNTIF($E197:T197,"¶")+COUNTIF($E197:T197,"²")+COUNTIF($E197:T197,"µ")+COUNTIF($E197:T197,1),ColDescriptionCourte))&gt;1,
HYPERLINK("#Roadmap!C"&amp; MATCH($E197,Roadmap!$D:$D,0)+COUNTIF($E197:T197,"u")+COUNTIF($E197:T197,"t")+COUNTIF($E197:T197,"¶")+COUNTIF($E197:T197,"²")+COUNTIF($E197:T197,"µ")+COUNTIF($E197:T197,1)-1,INDEX(Roadmap!$D:$K,MATCH($E197,Roadmap!$D:$D,0)-1+COUNTIF($E197:T197,"u")+COUNTIF($E197:T197,"t")+COUNTIF($E197:T197,"¶")+COUNTIF($E197:T197,"²")+COUNTIF($E197:T197,"µ")+COUNTIF($E197:T197,1),ColDescriptionCourte)),""),
  "")),"")</f>
        <v/>
      </c>
      <c r="V197" s="40" t="str">
        <f ca="1">IFERROR(IF(AND(
  INDEX(Roadmap!$D:$K,MATCH($E197,Roadmap!$D:$D,0)+COUNTIF($E197:U197,"u")+COUNTIF($E197:U197,"t")+COUNTIF($E197:U197,"¶")+COUNTIF($E197:U197,"²")+COUNTIF($E197:U197,"µ")+COUNTIF($E197:U197,1),ColLivraison)=V$6,
  VLOOKUP($E197,INDIRECT("tri!"&amp; CHAR(64+ C0Col) &amp;":"&amp; CHAR(65+C0Col)),2,FALSE)&gt;COUNTIF($E197:U197,"u")+COUNTIF($E197:U197,"t")+COUNTIF($E197:U197,"¶")+COUNTIF($E197:U197,"²")+COUNTIF($E197:U197,"µ")+COUNTIF($E197:U197,1)),
HYPERLINK("#Roadmap!C"&amp; MATCH($E197,Roadmap!$D:$D,0)+COUNTIF($E197:U197,"u")+COUNTIF($E197:U197,"t"),
     INDEX(Roadmap!$D:$K,MATCH($E197,Roadmap!$D:$D,0)+COUNTIF($E197:U197,"u")+COUNTIF($E197:U197,"t")+COUNTIF($E197:U197,"¶")+COUNTIF($E197:U197,"²")+COUNTIF($E197:U197,"µ")+COUNTIF($E197:U197,1),ColTypeEcheance)),
  IF(LEN(U197)=1,
  IF(LEN(INDEX(Roadmap!$D:$K,MATCH($E197,Roadmap!$D:$D,0)-1+COUNTIF($E197:U197,"u")+COUNTIF($E197:U197,"t")+COUNTIF($E197:U197,"¶")+COUNTIF($E197:U197,"²")+COUNTIF($E197:U197,"µ")+COUNTIF($E197:U197,1),ColDescriptionCourte))&gt;1,
HYPERLINK("#Roadmap!C"&amp; MATCH($E197,Roadmap!$D:$D,0)+COUNTIF($E197:U197,"u")+COUNTIF($E197:U197,"t")+COUNTIF($E197:U197,"¶")+COUNTIF($E197:U197,"²")+COUNTIF($E197:U197,"µ")+COUNTIF($E197:U197,1)-1,INDEX(Roadmap!$D:$K,MATCH($E197,Roadmap!$D:$D,0)-1+COUNTIF($E197:U197,"u")+COUNTIF($E197:U197,"t")+COUNTIF($E197:U197,"¶")+COUNTIF($E197:U197,"²")+COUNTIF($E197:U197,"µ")+COUNTIF($E197:U197,1),ColDescriptionCourte)),""),
  "")),"")</f>
        <v/>
      </c>
      <c r="W197" s="40" t="str">
        <f ca="1">IFERROR(IF(AND(
  INDEX(Roadmap!$D:$K,MATCH($E197,Roadmap!$D:$D,0)+COUNTIF($E197:V197,"u")+COUNTIF($E197:V197,"t")+COUNTIF($E197:V197,"¶")+COUNTIF($E197:V197,"²")+COUNTIF($E197:V197,"µ")+COUNTIF($E197:V197,1),ColLivraison)=W$6,
  VLOOKUP($E197,INDIRECT("tri!"&amp; CHAR(64+ C0Col) &amp;":"&amp; CHAR(65+C0Col)),2,FALSE)&gt;COUNTIF($E197:V197,"u")+COUNTIF($E197:V197,"t")+COUNTIF($E197:V197,"¶")+COUNTIF($E197:V197,"²")+COUNTIF($E197:V197,"µ")+COUNTIF($E197:V197,1)),
HYPERLINK("#Roadmap!C"&amp; MATCH($E197,Roadmap!$D:$D,0)+COUNTIF($E197:V197,"u")+COUNTIF($E197:V197,"t"),
     INDEX(Roadmap!$D:$K,MATCH($E197,Roadmap!$D:$D,0)+COUNTIF($E197:V197,"u")+COUNTIF($E197:V197,"t")+COUNTIF($E197:V197,"¶")+COUNTIF($E197:V197,"²")+COUNTIF($E197:V197,"µ")+COUNTIF($E197:V197,1),ColTypeEcheance)),
  IF(LEN(V197)=1,
  IF(LEN(INDEX(Roadmap!$D:$K,MATCH($E197,Roadmap!$D:$D,0)-1+COUNTIF($E197:V197,"u")+COUNTIF($E197:V197,"t")+COUNTIF($E197:V197,"¶")+COUNTIF($E197:V197,"²")+COUNTIF($E197:V197,"µ")+COUNTIF($E197:V197,1),ColDescriptionCourte))&gt;1,
HYPERLINK("#Roadmap!C"&amp; MATCH($E197,Roadmap!$D:$D,0)+COUNTIF($E197:V197,"u")+COUNTIF($E197:V197,"t")+COUNTIF($E197:V197,"¶")+COUNTIF($E197:V197,"²")+COUNTIF($E197:V197,"µ")+COUNTIF($E197:V197,1)-1,INDEX(Roadmap!$D:$K,MATCH($E197,Roadmap!$D:$D,0)-1+COUNTIF($E197:V197,"u")+COUNTIF($E197:V197,"t")+COUNTIF($E197:V197,"¶")+COUNTIF($E197:V197,"²")+COUNTIF($E197:V197,"µ")+COUNTIF($E197:V197,1),ColDescriptionCourte)),""),
  "")),"")</f>
        <v/>
      </c>
      <c r="X197" s="40" t="str">
        <f ca="1">IFERROR(IF(AND(
  INDEX(Roadmap!$D:$K,MATCH($E197,Roadmap!$D:$D,0)+COUNTIF($E197:W197,"u")+COUNTIF($E197:W197,"t")+COUNTIF($E197:W197,"¶")+COUNTIF($E197:W197,"²")+COUNTIF($E197:W197,"µ")+COUNTIF($E197:W197,1),ColLivraison)=X$6,
  VLOOKUP($E197,INDIRECT("tri!"&amp; CHAR(64+ C0Col) &amp;":"&amp; CHAR(65+C0Col)),2,FALSE)&gt;COUNTIF($E197:W197,"u")+COUNTIF($E197:W197,"t")+COUNTIF($E197:W197,"¶")+COUNTIF($E197:W197,"²")+COUNTIF($E197:W197,"µ")+COUNTIF($E197:W197,1)),
HYPERLINK("#Roadmap!C"&amp; MATCH($E197,Roadmap!$D:$D,0)+COUNTIF($E197:W197,"u")+COUNTIF($E197:W197,"t"),
     INDEX(Roadmap!$D:$K,MATCH($E197,Roadmap!$D:$D,0)+COUNTIF($E197:W197,"u")+COUNTIF($E197:W197,"t")+COUNTIF($E197:W197,"¶")+COUNTIF($E197:W197,"²")+COUNTIF($E197:W197,"µ")+COUNTIF($E197:W197,1),ColTypeEcheance)),
  IF(LEN(W197)=1,
  IF(LEN(INDEX(Roadmap!$D:$K,MATCH($E197,Roadmap!$D:$D,0)-1+COUNTIF($E197:W197,"u")+COUNTIF($E197:W197,"t")+COUNTIF($E197:W197,"¶")+COUNTIF($E197:W197,"²")+COUNTIF($E197:W197,"µ")+COUNTIF($E197:W197,1),ColDescriptionCourte))&gt;1,
HYPERLINK("#Roadmap!C"&amp; MATCH($E197,Roadmap!$D:$D,0)+COUNTIF($E197:W197,"u")+COUNTIF($E197:W197,"t")+COUNTIF($E197:W197,"¶")+COUNTIF($E197:W197,"²")+COUNTIF($E197:W197,"µ")+COUNTIF($E197:W197,1)-1,INDEX(Roadmap!$D:$K,MATCH($E197,Roadmap!$D:$D,0)-1+COUNTIF($E197:W197,"u")+COUNTIF($E197:W197,"t")+COUNTIF($E197:W197,"¶")+COUNTIF($E197:W197,"²")+COUNTIF($E197:W197,"µ")+COUNTIF($E197:W197,1),ColDescriptionCourte)),""),
  "")),"")</f>
        <v/>
      </c>
      <c r="Y197" s="40" t="str">
        <f ca="1">IFERROR(IF(AND(
  INDEX(Roadmap!$D:$K,MATCH($E197,Roadmap!$D:$D,0)+COUNTIF($E197:X197,"u")+COUNTIF($E197:X197,"t")+COUNTIF($E197:X197,"¶")+COUNTIF($E197:X197,"²")+COUNTIF($E197:X197,"µ")+COUNTIF($E197:X197,1),ColLivraison)=Y$6,
  VLOOKUP($E197,INDIRECT("tri!"&amp; CHAR(64+ C0Col) &amp;":"&amp; CHAR(65+C0Col)),2,FALSE)&gt;COUNTIF($E197:X197,"u")+COUNTIF($E197:X197,"t")+COUNTIF($E197:X197,"¶")+COUNTIF($E197:X197,"²")+COUNTIF($E197:X197,"µ")+COUNTIF($E197:X197,1)),
HYPERLINK("#Roadmap!C"&amp; MATCH($E197,Roadmap!$D:$D,0)+COUNTIF($E197:X197,"u")+COUNTIF($E197:X197,"t"),
     INDEX(Roadmap!$D:$K,MATCH($E197,Roadmap!$D:$D,0)+COUNTIF($E197:X197,"u")+COUNTIF($E197:X197,"t")+COUNTIF($E197:X197,"¶")+COUNTIF($E197:X197,"²")+COUNTIF($E197:X197,"µ")+COUNTIF($E197:X197,1),ColTypeEcheance)),
  IF(LEN(X197)=1,
  IF(LEN(INDEX(Roadmap!$D:$K,MATCH($E197,Roadmap!$D:$D,0)-1+COUNTIF($E197:X197,"u")+COUNTIF($E197:X197,"t")+COUNTIF($E197:X197,"¶")+COUNTIF($E197:X197,"²")+COUNTIF($E197:X197,"µ")+COUNTIF($E197:X197,1),ColDescriptionCourte))&gt;1,
HYPERLINK("#Roadmap!C"&amp; MATCH($E197,Roadmap!$D:$D,0)+COUNTIF($E197:X197,"u")+COUNTIF($E197:X197,"t")+COUNTIF($E197:X197,"¶")+COUNTIF($E197:X197,"²")+COUNTIF($E197:X197,"µ")+COUNTIF($E197:X197,1)-1,INDEX(Roadmap!$D:$K,MATCH($E197,Roadmap!$D:$D,0)-1+COUNTIF($E197:X197,"u")+COUNTIF($E197:X197,"t")+COUNTIF($E197:X197,"¶")+COUNTIF($E197:X197,"²")+COUNTIF($E197:X197,"µ")+COUNTIF($E197:X197,1),ColDescriptionCourte)),""),
  "")),"")</f>
        <v/>
      </c>
      <c r="Z197" s="40" t="str">
        <f ca="1">IFERROR(IF(AND(
  INDEX(Roadmap!$D:$K,MATCH($E197,Roadmap!$D:$D,0)+COUNTIF($E197:Y197,"u")+COUNTIF($E197:Y197,"t")+COUNTIF($E197:Y197,"¶")+COUNTIF($E197:Y197,"²")+COUNTIF($E197:Y197,"µ")+COUNTIF($E197:Y197,1),ColLivraison)=Z$6,
  VLOOKUP($E197,INDIRECT("tri!"&amp; CHAR(64+ C0Col) &amp;":"&amp; CHAR(65+C0Col)),2,FALSE)&gt;COUNTIF($E197:Y197,"u")+COUNTIF($E197:Y197,"t")+COUNTIF($E197:Y197,"¶")+COUNTIF($E197:Y197,"²")+COUNTIF($E197:Y197,"µ")+COUNTIF($E197:Y197,1)),
HYPERLINK("#Roadmap!C"&amp; MATCH($E197,Roadmap!$D:$D,0)+COUNTIF($E197:Y197,"u")+COUNTIF($E197:Y197,"t"),
     INDEX(Roadmap!$D:$K,MATCH($E197,Roadmap!$D:$D,0)+COUNTIF($E197:Y197,"u")+COUNTIF($E197:Y197,"t")+COUNTIF($E197:Y197,"¶")+COUNTIF($E197:Y197,"²")+COUNTIF($E197:Y197,"µ")+COUNTIF($E197:Y197,1),ColTypeEcheance)),
  IF(LEN(Y197)=1,
  IF(LEN(INDEX(Roadmap!$D:$K,MATCH($E197,Roadmap!$D:$D,0)-1+COUNTIF($E197:Y197,"u")+COUNTIF($E197:Y197,"t")+COUNTIF($E197:Y197,"¶")+COUNTIF($E197:Y197,"²")+COUNTIF($E197:Y197,"µ")+COUNTIF($E197:Y197,1),ColDescriptionCourte))&gt;1,
HYPERLINK("#Roadmap!C"&amp; MATCH($E197,Roadmap!$D:$D,0)+COUNTIF($E197:Y197,"u")+COUNTIF($E197:Y197,"t")+COUNTIF($E197:Y197,"¶")+COUNTIF($E197:Y197,"²")+COUNTIF($E197:Y197,"µ")+COUNTIF($E197:Y197,1)-1,INDEX(Roadmap!$D:$K,MATCH($E197,Roadmap!$D:$D,0)-1+COUNTIF($E197:Y197,"u")+COUNTIF($E197:Y197,"t")+COUNTIF($E197:Y197,"¶")+COUNTIF($E197:Y197,"²")+COUNTIF($E197:Y197,"µ")+COUNTIF($E197:Y197,1),ColDescriptionCourte)),""),
  "")),"")</f>
        <v/>
      </c>
      <c r="AA197" s="40" t="str">
        <f ca="1">IFERROR(IF(AND(
  INDEX(Roadmap!$D:$K,MATCH($E197,Roadmap!$D:$D,0)+COUNTIF($E197:Z197,"u")+COUNTIF($E197:Z197,"t")+COUNTIF($E197:Z197,"¶")+COUNTIF($E197:Z197,"²")+COUNTIF($E197:Z197,"µ")+COUNTIF($E197:Z197,1),ColLivraison)=AA$6,
  VLOOKUP($E197,INDIRECT("tri!"&amp; CHAR(64+ C0Col) &amp;":"&amp; CHAR(65+C0Col)),2,FALSE)&gt;COUNTIF($E197:Z197,"u")+COUNTIF($E197:Z197,"t")+COUNTIF($E197:Z197,"¶")+COUNTIF($E197:Z197,"²")+COUNTIF($E197:Z197,"µ")+COUNTIF($E197:Z197,1)),
HYPERLINK("#Roadmap!C"&amp; MATCH($E197,Roadmap!$D:$D,0)+COUNTIF($E197:Z197,"u")+COUNTIF($E197:Z197,"t"),
     INDEX(Roadmap!$D:$K,MATCH($E197,Roadmap!$D:$D,0)+COUNTIF($E197:Z197,"u")+COUNTIF($E197:Z197,"t")+COUNTIF($E197:Z197,"¶")+COUNTIF($E197:Z197,"²")+COUNTIF($E197:Z197,"µ")+COUNTIF($E197:Z197,1),ColTypeEcheance)),
  IF(LEN(Z197)=1,
  IF(LEN(INDEX(Roadmap!$D:$K,MATCH($E197,Roadmap!$D:$D,0)-1+COUNTIF($E197:Z197,"u")+COUNTIF($E197:Z197,"t")+COUNTIF($E197:Z197,"¶")+COUNTIF($E197:Z197,"²")+COUNTIF($E197:Z197,"µ")+COUNTIF($E197:Z197,1),ColDescriptionCourte))&gt;1,
HYPERLINK("#Roadmap!C"&amp; MATCH($E197,Roadmap!$D:$D,0)+COUNTIF($E197:Z197,"u")+COUNTIF($E197:Z197,"t")+COUNTIF($E197:Z197,"¶")+COUNTIF($E197:Z197,"²")+COUNTIF($E197:Z197,"µ")+COUNTIF($E197:Z197,1)-1,INDEX(Roadmap!$D:$K,MATCH($E197,Roadmap!$D:$D,0)-1+COUNTIF($E197:Z197,"u")+COUNTIF($E197:Z197,"t")+COUNTIF($E197:Z197,"¶")+COUNTIF($E197:Z197,"²")+COUNTIF($E197:Z197,"µ")+COUNTIF($E197:Z197,1),ColDescriptionCourte)),""),
  "")),"")</f>
        <v/>
      </c>
      <c r="AB197" s="40" t="str">
        <f ca="1">IFERROR(IF(AND(
  INDEX(Roadmap!$D:$K,MATCH($E197,Roadmap!$D:$D,0)+COUNTIF($E197:AA197,"u")+COUNTIF($E197:AA197,"t")+COUNTIF($E197:AA197,"¶")+COUNTIF($E197:AA197,"²")+COUNTIF($E197:AA197,"µ")+COUNTIF($E197:AA197,1),ColLivraison)=AB$6,
  VLOOKUP($E197,INDIRECT("tri!"&amp; CHAR(64+ C0Col) &amp;":"&amp; CHAR(65+C0Col)),2,FALSE)&gt;COUNTIF($E197:AA197,"u")+COUNTIF($E197:AA197,"t")+COUNTIF($E197:AA197,"¶")+COUNTIF($E197:AA197,"²")+COUNTIF($E197:AA197,"µ")+COUNTIF($E197:AA197,1)),
HYPERLINK("#Roadmap!C"&amp; MATCH($E197,Roadmap!$D:$D,0)+COUNTIF($E197:AA197,"u")+COUNTIF($E197:AA197,"t"),
     INDEX(Roadmap!$D:$K,MATCH($E197,Roadmap!$D:$D,0)+COUNTIF($E197:AA197,"u")+COUNTIF($E197:AA197,"t")+COUNTIF($E197:AA197,"¶")+COUNTIF($E197:AA197,"²")+COUNTIF($E197:AA197,"µ")+COUNTIF($E197:AA197,1),ColTypeEcheance)),
  IF(LEN(AA197)=1,
  IF(LEN(INDEX(Roadmap!$D:$K,MATCH($E197,Roadmap!$D:$D,0)-1+COUNTIF($E197:AA197,"u")+COUNTIF($E197:AA197,"t")+COUNTIF($E197:AA197,"¶")+COUNTIF($E197:AA197,"²")+COUNTIF($E197:AA197,"µ")+COUNTIF($E197:AA197,1),ColDescriptionCourte))&gt;1,
HYPERLINK("#Roadmap!C"&amp; MATCH($E197,Roadmap!$D:$D,0)+COUNTIF($E197:AA197,"u")+COUNTIF($E197:AA197,"t")+COUNTIF($E197:AA197,"¶")+COUNTIF($E197:AA197,"²")+COUNTIF($E197:AA197,"µ")+COUNTIF($E197:AA197,1)-1,INDEX(Roadmap!$D:$K,MATCH($E197,Roadmap!$D:$D,0)-1+COUNTIF($E197:AA197,"u")+COUNTIF($E197:AA197,"t")+COUNTIF($E197:AA197,"¶")+COUNTIF($E197:AA197,"²")+COUNTIF($E197:AA197,"µ")+COUNTIF($E197:AA197,1),ColDescriptionCourte)),""),
  "")),"")</f>
        <v/>
      </c>
      <c r="AC197" s="40" t="str">
        <f ca="1">IFERROR(IF(AND(
  INDEX(Roadmap!$D:$K,MATCH($E197,Roadmap!$D:$D,0)+COUNTIF($E197:AB197,"u")+COUNTIF($E197:AB197,"t")+COUNTIF($E197:AB197,"¶")+COUNTIF($E197:AB197,"²")+COUNTIF($E197:AB197,"µ")+COUNTIF($E197:AB197,1),ColLivraison)=AC$6,
  VLOOKUP($E197,INDIRECT("tri!"&amp; CHAR(64+ C0Col) &amp;":"&amp; CHAR(65+C0Col)),2,FALSE)&gt;COUNTIF($E197:AB197,"u")+COUNTIF($E197:AB197,"t")+COUNTIF($E197:AB197,"¶")+COUNTIF($E197:AB197,"²")+COUNTIF($E197:AB197,"µ")+COUNTIF($E197:AB197,1)),
HYPERLINK("#Roadmap!C"&amp; MATCH($E197,Roadmap!$D:$D,0)+COUNTIF($E197:AB197,"u")+COUNTIF($E197:AB197,"t"),
     INDEX(Roadmap!$D:$K,MATCH($E197,Roadmap!$D:$D,0)+COUNTIF($E197:AB197,"u")+COUNTIF($E197:AB197,"t")+COUNTIF($E197:AB197,"¶")+COUNTIF($E197:AB197,"²")+COUNTIF($E197:AB197,"µ")+COUNTIF($E197:AB197,1),ColTypeEcheance)),
  IF(LEN(AB197)=1,
  IF(LEN(INDEX(Roadmap!$D:$K,MATCH($E197,Roadmap!$D:$D,0)-1+COUNTIF($E197:AB197,"u")+COUNTIF($E197:AB197,"t")+COUNTIF($E197:AB197,"¶")+COUNTIF($E197:AB197,"²")+COUNTIF($E197:AB197,"µ")+COUNTIF($E197:AB197,1),ColDescriptionCourte))&gt;1,
HYPERLINK("#Roadmap!C"&amp; MATCH($E197,Roadmap!$D:$D,0)+COUNTIF($E197:AB197,"u")+COUNTIF($E197:AB197,"t")+COUNTIF($E197:AB197,"¶")+COUNTIF($E197:AB197,"²")+COUNTIF($E197:AB197,"µ")+COUNTIF($E197:AB197,1)-1,INDEX(Roadmap!$D:$K,MATCH($E197,Roadmap!$D:$D,0)-1+COUNTIF($E197:AB197,"u")+COUNTIF($E197:AB197,"t")+COUNTIF($E197:AB197,"¶")+COUNTIF($E197:AB197,"²")+COUNTIF($E197:AB197,"µ")+COUNTIF($E197:AB197,1),ColDescriptionCourte)),""),
  "")),"")</f>
        <v/>
      </c>
      <c r="AD197" s="40" t="str">
        <f ca="1">IFERROR(IF(AND(
  INDEX(Roadmap!$D:$K,MATCH($E197,Roadmap!$D:$D,0)+COUNTIF($E197:AC197,"u")+COUNTIF($E197:AC197,"t")+COUNTIF($E197:AC197,"¶")+COUNTIF($E197:AC197,"²")+COUNTIF($E197:AC197,"µ")+COUNTIF($E197:AC197,1),ColLivraison)=AD$6,
  VLOOKUP($E197,INDIRECT("tri!"&amp; CHAR(64+ C0Col) &amp;":"&amp; CHAR(65+C0Col)),2,FALSE)&gt;COUNTIF($E197:AC197,"u")+COUNTIF($E197:AC197,"t")+COUNTIF($E197:AC197,"¶")+COUNTIF($E197:AC197,"²")+COUNTIF($E197:AC197,"µ")+COUNTIF($E197:AC197,1)),
HYPERLINK("#Roadmap!C"&amp; MATCH($E197,Roadmap!$D:$D,0)+COUNTIF($E197:AC197,"u")+COUNTIF($E197:AC197,"t"),
     INDEX(Roadmap!$D:$K,MATCH($E197,Roadmap!$D:$D,0)+COUNTIF($E197:AC197,"u")+COUNTIF($E197:AC197,"t")+COUNTIF($E197:AC197,"¶")+COUNTIF($E197:AC197,"²")+COUNTIF($E197:AC197,"µ")+COUNTIF($E197:AC197,1),ColTypeEcheance)),
  IF(LEN(AC197)=1,
  IF(LEN(INDEX(Roadmap!$D:$K,MATCH($E197,Roadmap!$D:$D,0)-1+COUNTIF($E197:AC197,"u")+COUNTIF($E197:AC197,"t")+COUNTIF($E197:AC197,"¶")+COUNTIF($E197:AC197,"²")+COUNTIF($E197:AC197,"µ")+COUNTIF($E197:AC197,1),ColDescriptionCourte))&gt;1,
HYPERLINK("#Roadmap!C"&amp; MATCH($E197,Roadmap!$D:$D,0)+COUNTIF($E197:AC197,"u")+COUNTIF($E197:AC197,"t")+COUNTIF($E197:AC197,"¶")+COUNTIF($E197:AC197,"²")+COUNTIF($E197:AC197,"µ")+COUNTIF($E197:AC197,1)-1,INDEX(Roadmap!$D:$K,MATCH($E197,Roadmap!$D:$D,0)-1+COUNTIF($E197:AC197,"u")+COUNTIF($E197:AC197,"t")+COUNTIF($E197:AC197,"¶")+COUNTIF($E197:AC197,"²")+COUNTIF($E197:AC197,"µ")+COUNTIF($E197:AC197,1),ColDescriptionCourte)),""),
  "")),"")</f>
        <v/>
      </c>
      <c r="AE197" s="40" t="str">
        <f ca="1">IFERROR(IF(AND(
  INDEX(Roadmap!$D:$K,MATCH($E197,Roadmap!$D:$D,0)+COUNTIF($E197:AD197,"u")+COUNTIF($E197:AD197,"t")+COUNTIF($E197:AD197,"¶")+COUNTIF($E197:AD197,"²")+COUNTIF($E197:AD197,"µ")+COUNTIF($E197:AD197,1),ColLivraison)=AE$6,
  VLOOKUP($E197,INDIRECT("tri!"&amp; CHAR(64+ C0Col) &amp;":"&amp; CHAR(65+C0Col)),2,FALSE)&gt;COUNTIF($E197:AD197,"u")+COUNTIF($E197:AD197,"t")+COUNTIF($E197:AD197,"¶")+COUNTIF($E197:AD197,"²")+COUNTIF($E197:AD197,"µ")+COUNTIF($E197:AD197,1)),
HYPERLINK("#Roadmap!C"&amp; MATCH($E197,Roadmap!$D:$D,0)+COUNTIF($E197:AD197,"u")+COUNTIF($E197:AD197,"t"),
     INDEX(Roadmap!$D:$K,MATCH($E197,Roadmap!$D:$D,0)+COUNTIF($E197:AD197,"u")+COUNTIF($E197:AD197,"t")+COUNTIF($E197:AD197,"¶")+COUNTIF($E197:AD197,"²")+COUNTIF($E197:AD197,"µ")+COUNTIF($E197:AD197,1),ColTypeEcheance)),
  IF(LEN(AD197)=1,
  IF(LEN(INDEX(Roadmap!$D:$K,MATCH($E197,Roadmap!$D:$D,0)-1+COUNTIF($E197:AD197,"u")+COUNTIF($E197:AD197,"t")+COUNTIF($E197:AD197,"¶")+COUNTIF($E197:AD197,"²")+COUNTIF($E197:AD197,"µ")+COUNTIF($E197:AD197,1),ColDescriptionCourte))&gt;1,
HYPERLINK("#Roadmap!C"&amp; MATCH($E197,Roadmap!$D:$D,0)+COUNTIF($E197:AD197,"u")+COUNTIF($E197:AD197,"t")+COUNTIF($E197:AD197,"¶")+COUNTIF($E197:AD197,"²")+COUNTIF($E197:AD197,"µ")+COUNTIF($E197:AD197,1)-1,INDEX(Roadmap!$D:$K,MATCH($E197,Roadmap!$D:$D,0)-1+COUNTIF($E197:AD197,"u")+COUNTIF($E197:AD197,"t")+COUNTIF($E197:AD197,"¶")+COUNTIF($E197:AD197,"²")+COUNTIF($E197:AD197,"µ")+COUNTIF($E197:AD197,1),ColDescriptionCourte)),""),
  "")),"")</f>
        <v/>
      </c>
      <c r="AF197" s="40" t="str">
        <f ca="1">IFERROR(IF(AND(
  INDEX(Roadmap!$D:$K,MATCH($E197,Roadmap!$D:$D,0)+COUNTIF($E197:AE197,"u")+COUNTIF($E197:AE197,"t")+COUNTIF($E197:AE197,"¶")+COUNTIF($E197:AE197,"²")+COUNTIF($E197:AE197,"µ")+COUNTIF($E197:AE197,1),ColLivraison)=AF$6,
  VLOOKUP($E197,INDIRECT("tri!"&amp; CHAR(64+ C0Col) &amp;":"&amp; CHAR(65+C0Col)),2,FALSE)&gt;COUNTIF($E197:AE197,"u")+COUNTIF($E197:AE197,"t")+COUNTIF($E197:AE197,"¶")+COUNTIF($E197:AE197,"²")+COUNTIF($E197:AE197,"µ")+COUNTIF($E197:AE197,1)),
HYPERLINK("#Roadmap!C"&amp; MATCH($E197,Roadmap!$D:$D,0)+COUNTIF($E197:AE197,"u")+COUNTIF($E197:AE197,"t"),
     INDEX(Roadmap!$D:$K,MATCH($E197,Roadmap!$D:$D,0)+COUNTIF($E197:AE197,"u")+COUNTIF($E197:AE197,"t")+COUNTIF($E197:AE197,"¶")+COUNTIF($E197:AE197,"²")+COUNTIF($E197:AE197,"µ")+COUNTIF($E197:AE197,1),ColTypeEcheance)),
  IF(LEN(AE197)=1,
  IF(LEN(INDEX(Roadmap!$D:$K,MATCH($E197,Roadmap!$D:$D,0)-1+COUNTIF($E197:AE197,"u")+COUNTIF($E197:AE197,"t")+COUNTIF($E197:AE197,"¶")+COUNTIF($E197:AE197,"²")+COUNTIF($E197:AE197,"µ")+COUNTIF($E197:AE197,1),ColDescriptionCourte))&gt;1,
HYPERLINK("#Roadmap!C"&amp; MATCH($E197,Roadmap!$D:$D,0)+COUNTIF($E197:AE197,"u")+COUNTIF($E197:AE197,"t")+COUNTIF($E197:AE197,"¶")+COUNTIF($E197:AE197,"²")+COUNTIF($E197:AE197,"µ")+COUNTIF($E197:AE197,1)-1,INDEX(Roadmap!$D:$K,MATCH($E197,Roadmap!$D:$D,0)-1+COUNTIF($E197:AE197,"u")+COUNTIF($E197:AE197,"t")+COUNTIF($E197:AE197,"¶")+COUNTIF($E197:AE197,"²")+COUNTIF($E197:AE197,"µ")+COUNTIF($E197:AE197,1),ColDescriptionCourte)),""),
  "")),"")</f>
        <v/>
      </c>
      <c r="AG197" s="40" t="str">
        <f ca="1">IFERROR(IF(AND(
  INDEX(Roadmap!$D:$K,MATCH($E197,Roadmap!$D:$D,0)+COUNTIF($E197:AF197,"u")+COUNTIF($E197:AF197,"t")+COUNTIF($E197:AF197,"¶")+COUNTIF($E197:AF197,"²")+COUNTIF($E197:AF197,"µ")+COUNTIF($E197:AF197,1),ColLivraison)=AG$6,
  VLOOKUP($E197,INDIRECT("tri!"&amp; CHAR(64+ C0Col) &amp;":"&amp; CHAR(65+C0Col)),2,FALSE)&gt;COUNTIF($E197:AF197,"u")+COUNTIF($E197:AF197,"t")+COUNTIF($E197:AF197,"¶")+COUNTIF($E197:AF197,"²")+COUNTIF($E197:AF197,"µ")+COUNTIF($E197:AF197,1)),
HYPERLINK("#Roadmap!C"&amp; MATCH($E197,Roadmap!$D:$D,0)+COUNTIF($E197:AF197,"u")+COUNTIF($E197:AF197,"t"),
     INDEX(Roadmap!$D:$K,MATCH($E197,Roadmap!$D:$D,0)+COUNTIF($E197:AF197,"u")+COUNTIF($E197:AF197,"t")+COUNTIF($E197:AF197,"¶")+COUNTIF($E197:AF197,"²")+COUNTIF($E197:AF197,"µ")+COUNTIF($E197:AF197,1),ColTypeEcheance)),
  IF(LEN(AF197)=1,
  IF(LEN(INDEX(Roadmap!$D:$K,MATCH($E197,Roadmap!$D:$D,0)-1+COUNTIF($E197:AF197,"u")+COUNTIF($E197:AF197,"t")+COUNTIF($E197:AF197,"¶")+COUNTIF($E197:AF197,"²")+COUNTIF($E197:AF197,"µ")+COUNTIF($E197:AF197,1),ColDescriptionCourte))&gt;1,
HYPERLINK("#Roadmap!C"&amp; MATCH($E197,Roadmap!$D:$D,0)+COUNTIF($E197:AF197,"u")+COUNTIF($E197:AF197,"t")+COUNTIF($E197:AF197,"¶")+COUNTIF($E197:AF197,"²")+COUNTIF($E197:AF197,"µ")+COUNTIF($E197:AF197,1)-1,INDEX(Roadmap!$D:$K,MATCH($E197,Roadmap!$D:$D,0)-1+COUNTIF($E197:AF197,"u")+COUNTIF($E197:AF197,"t")+COUNTIF($E197:AF197,"¶")+COUNTIF($E197:AF197,"²")+COUNTIF($E197:AF197,"µ")+COUNTIF($E197:AF197,1),ColDescriptionCourte)),""),
  "")),"")</f>
        <v/>
      </c>
    </row>
    <row r="198" spans="3:33" ht="14.25" customHeight="1">
      <c r="C198" s="1" t="str">
        <f t="shared" ca="1" si="54"/>
        <v/>
      </c>
      <c r="D198" s="1" t="str">
        <f t="shared" ca="1" si="55"/>
        <v/>
      </c>
      <c r="E198" s="35" t="str">
        <f t="shared" ref="E198:E200" ca="1" si="56">IF(LEN(INDIRECT(ADDRESS(C0Ligne+ROW()-MaquetteLigne0,C0Col,1,1,"Tri")))&lt;2,"",INDIRECT(ADDRESS(C0Ligne+ROW()-MaquetteLigne0,C0Col,1,1,"Tri")))</f>
        <v/>
      </c>
      <c r="F198" s="39" t="str">
        <f ca="1">IFERROR(IF(AND(
  INDEX(Roadmap!$D:$K,MATCH($E198,Roadmap!$D:$D,0)+COUNTIF($E198:E198,"u")+COUNTIF($E198:E198,"t")+COUNTIF($E198:E198,"¶")+COUNTIF($E198:E198,"²")+COUNTIF($E198:E198,"µ")+COUNTIF($E198:E198,1),ColLivraison)=F$6,
  VLOOKUP($E198,INDIRECT("tri!"&amp; CHAR(64+ C0Col) &amp;":"&amp; CHAR(65+C0Col)),2,FALSE)&gt;COUNTIF($E198:E198,"u")+COUNTIF($E198:E198,"t")+COUNTIF($E198:E198,"¶")+COUNTIF($E198:E198,"²")+COUNTIF($E198:E198,"µ")+COUNTIF($E198:E198,1)),
HYPERLINK("#Roadmap!C"&amp; MATCH($E198,Roadmap!$D:$D,0)+COUNTIF($E198:E198,"u")+COUNTIF($E198:E198,"t"),
     INDEX(Roadmap!$D:$K,MATCH($E198,Roadmap!$D:$D,0)+COUNTIF($E198:E198,"u")+COUNTIF($E198:E198,"t")+COUNTIF($E198:E198,"¶")+COUNTIF($E198:E198,"²")+COUNTIF($E198:E198,"µ")+COUNTIF($E198:E198,1),ColTypeEcheance)),
  IF(LEN(E198)=1,
  IF(LEN(INDEX(Roadmap!$D:$K,MATCH($E198,Roadmap!$D:$D,0)-1+COUNTIF($E198:E198,"u")+COUNTIF($E198:E198,"t")+COUNTIF($E198:E198,"¶")+COUNTIF($E198:E198,"²")+COUNTIF($E198:E198,"µ")+COUNTIF($E198:E198,1),ColDescriptionCourte))&gt;1,
HYPERLINK("#Roadmap!C"&amp; MATCH($E198,Roadmap!$D:$D,0)+COUNTIF($E198:E198,"u")+COUNTIF($E198:E198,"t")+COUNTIF($E198:E198,"¶")+COUNTIF($E198:E198,"²")+COUNTIF($E198:E198,"µ")+COUNTIF($E198:E198,1)-1,INDEX(Roadmap!$D:$K,MATCH($E198,Roadmap!$D:$D,0)-1+COUNTIF($E198:E198,"u")+COUNTIF($E198:E198,"t")+COUNTIF($E198:E198,"¶")+COUNTIF($E198:E198,"²")+COUNTIF($E198:E198,"µ")+COUNTIF($E198:E198,1),ColDescriptionCourte)),""),
  "")),"")</f>
        <v/>
      </c>
      <c r="G198" s="40" t="str">
        <f ca="1">IFERROR(IF(AND(
  INDEX(Roadmap!$D:$K,MATCH($E198,Roadmap!$D:$D,0)+COUNTIF($E198:F198,"u")+COUNTIF($E198:F198,"t")+COUNTIF($E198:F198,"¶")+COUNTIF($E198:F198,"²")+COUNTIF($E198:F198,"µ")+COUNTIF($E198:F198,1),ColLivraison)=G$6,
  VLOOKUP($E198,INDIRECT("tri!"&amp; CHAR(64+ C0Col) &amp;":"&amp; CHAR(65+C0Col)),2,FALSE)&gt;COUNTIF($E198:F198,"u")+COUNTIF($E198:F198,"t")+COUNTIF($E198:F198,"¶")+COUNTIF($E198:F198,"²")+COUNTIF($E198:F198,"µ")+COUNTIF($E198:F198,1)),
HYPERLINK("#Roadmap!C"&amp; MATCH($E198,Roadmap!$D:$D,0)+COUNTIF($E198:F198,"u")+COUNTIF($E198:F198,"t"),
     INDEX(Roadmap!$D:$K,MATCH($E198,Roadmap!$D:$D,0)+COUNTIF($E198:F198,"u")+COUNTIF($E198:F198,"t")+COUNTIF($E198:F198,"¶")+COUNTIF($E198:F198,"²")+COUNTIF($E198:F198,"µ")+COUNTIF($E198:F198,1),ColTypeEcheance)),
  IF(LEN(F198)=1,
  IF(LEN(INDEX(Roadmap!$D:$K,MATCH($E198,Roadmap!$D:$D,0)-1+COUNTIF($E198:F198,"u")+COUNTIF($E198:F198,"t")+COUNTIF($E198:F198,"¶")+COUNTIF($E198:F198,"²")+COUNTIF($E198:F198,"µ")+COUNTIF($E198:F198,1),ColDescriptionCourte))&gt;1,
HYPERLINK("#Roadmap!C"&amp; MATCH($E198,Roadmap!$D:$D,0)+COUNTIF($E198:F198,"u")+COUNTIF($E198:F198,"t")+COUNTIF($E198:F198,"¶")+COUNTIF($E198:F198,"²")+COUNTIF($E198:F198,"µ")+COUNTIF($E198:F198,1)-1,INDEX(Roadmap!$D:$K,MATCH($E198,Roadmap!$D:$D,0)-1+COUNTIF($E198:F198,"u")+COUNTIF($E198:F198,"t")+COUNTIF($E198:F198,"¶")+COUNTIF($E198:F198,"²")+COUNTIF($E198:F198,"µ")+COUNTIF($E198:F198,1),ColDescriptionCourte)),""),
  "")),"")</f>
        <v/>
      </c>
      <c r="H198" s="40" t="str">
        <f ca="1">IFERROR(IF(AND(
  INDEX(Roadmap!$D:$K,MATCH($E198,Roadmap!$D:$D,0)+COUNTIF($E198:G198,"u")+COUNTIF($E198:G198,"t")+COUNTIF($E198:G198,"¶")+COUNTIF($E198:G198,"²")+COUNTIF($E198:G198,"µ")+COUNTIF($E198:G198,1),ColLivraison)=H$6,
  VLOOKUP($E198,INDIRECT("tri!"&amp; CHAR(64+ C0Col) &amp;":"&amp; CHAR(65+C0Col)),2,FALSE)&gt;COUNTIF($E198:G198,"u")+COUNTIF($E198:G198,"t")+COUNTIF($E198:G198,"¶")+COUNTIF($E198:G198,"²")+COUNTIF($E198:G198,"µ")+COUNTIF($E198:G198,1)),
HYPERLINK("#Roadmap!C"&amp; MATCH($E198,Roadmap!$D:$D,0)+COUNTIF($E198:G198,"u")+COUNTIF($E198:G198,"t"),
     INDEX(Roadmap!$D:$K,MATCH($E198,Roadmap!$D:$D,0)+COUNTIF($E198:G198,"u")+COUNTIF($E198:G198,"t")+COUNTIF($E198:G198,"¶")+COUNTIF($E198:G198,"²")+COUNTIF($E198:G198,"µ")+COUNTIF($E198:G198,1),ColTypeEcheance)),
  IF(LEN(G198)=1,
  IF(LEN(INDEX(Roadmap!$D:$K,MATCH($E198,Roadmap!$D:$D,0)-1+COUNTIF($E198:G198,"u")+COUNTIF($E198:G198,"t")+COUNTIF($E198:G198,"¶")+COUNTIF($E198:G198,"²")+COUNTIF($E198:G198,"µ")+COUNTIF($E198:G198,1),ColDescriptionCourte))&gt;1,
HYPERLINK("#Roadmap!C"&amp; MATCH($E198,Roadmap!$D:$D,0)+COUNTIF($E198:G198,"u")+COUNTIF($E198:G198,"t")+COUNTIF($E198:G198,"¶")+COUNTIF($E198:G198,"²")+COUNTIF($E198:G198,"µ")+COUNTIF($E198:G198,1)-1,INDEX(Roadmap!$D:$K,MATCH($E198,Roadmap!$D:$D,0)-1+COUNTIF($E198:G198,"u")+COUNTIF($E198:G198,"t")+COUNTIF($E198:G198,"¶")+COUNTIF($E198:G198,"²")+COUNTIF($E198:G198,"µ")+COUNTIF($E198:G198,1),ColDescriptionCourte)),""),
  "")),"")</f>
        <v/>
      </c>
      <c r="I198" s="40" t="str">
        <f ca="1">IFERROR(IF(AND(
  INDEX(Roadmap!$D:$K,MATCH($E198,Roadmap!$D:$D,0)+COUNTIF($E198:H198,"u")+COUNTIF($E198:H198,"t")+COUNTIF($E198:H198,"¶")+COUNTIF($E198:H198,"²")+COUNTIF($E198:H198,"µ")+COUNTIF($E198:H198,1),ColLivraison)=I$6,
  VLOOKUP($E198,INDIRECT("tri!"&amp; CHAR(64+ C0Col) &amp;":"&amp; CHAR(65+C0Col)),2,FALSE)&gt;COUNTIF($E198:H198,"u")+COUNTIF($E198:H198,"t")+COUNTIF($E198:H198,"¶")+COUNTIF($E198:H198,"²")+COUNTIF($E198:H198,"µ")+COUNTIF($E198:H198,1)),
HYPERLINK("#Roadmap!C"&amp; MATCH($E198,Roadmap!$D:$D,0)+COUNTIF($E198:H198,"u")+COUNTIF($E198:H198,"t"),
     INDEX(Roadmap!$D:$K,MATCH($E198,Roadmap!$D:$D,0)+COUNTIF($E198:H198,"u")+COUNTIF($E198:H198,"t")+COUNTIF($E198:H198,"¶")+COUNTIF($E198:H198,"²")+COUNTIF($E198:H198,"µ")+COUNTIF($E198:H198,1),ColTypeEcheance)),
  IF(LEN(H198)=1,
  IF(LEN(INDEX(Roadmap!$D:$K,MATCH($E198,Roadmap!$D:$D,0)-1+COUNTIF($E198:H198,"u")+COUNTIF($E198:H198,"t")+COUNTIF($E198:H198,"¶")+COUNTIF($E198:H198,"²")+COUNTIF($E198:H198,"µ")+COUNTIF($E198:H198,1),ColDescriptionCourte))&gt;1,
HYPERLINK("#Roadmap!C"&amp; MATCH($E198,Roadmap!$D:$D,0)+COUNTIF($E198:H198,"u")+COUNTIF($E198:H198,"t")+COUNTIF($E198:H198,"¶")+COUNTIF($E198:H198,"²")+COUNTIF($E198:H198,"µ")+COUNTIF($E198:H198,1)-1,INDEX(Roadmap!$D:$K,MATCH($E198,Roadmap!$D:$D,0)-1+COUNTIF($E198:H198,"u")+COUNTIF($E198:H198,"t")+COUNTIF($E198:H198,"¶")+COUNTIF($E198:H198,"²")+COUNTIF($E198:H198,"µ")+COUNTIF($E198:H198,1),ColDescriptionCourte)),""),
  "")),"")</f>
        <v/>
      </c>
      <c r="J198" s="40" t="str">
        <f ca="1">IFERROR(IF(AND(
  INDEX(Roadmap!$D:$K,MATCH($E198,Roadmap!$D:$D,0)+COUNTIF($E198:I198,"u")+COUNTIF($E198:I198,"t")+COUNTIF($E198:I198,"¶")+COUNTIF($E198:I198,"²")+COUNTIF($E198:I198,"µ")+COUNTIF($E198:I198,1),ColLivraison)=J$6,
  VLOOKUP($E198,INDIRECT("tri!"&amp; CHAR(64+ C0Col) &amp;":"&amp; CHAR(65+C0Col)),2,FALSE)&gt;COUNTIF($E198:I198,"u")+COUNTIF($E198:I198,"t")+COUNTIF($E198:I198,"¶")+COUNTIF($E198:I198,"²")+COUNTIF($E198:I198,"µ")+COUNTIF($E198:I198,1)),
HYPERLINK("#Roadmap!C"&amp; MATCH($E198,Roadmap!$D:$D,0)+COUNTIF($E198:I198,"u")+COUNTIF($E198:I198,"t"),
     INDEX(Roadmap!$D:$K,MATCH($E198,Roadmap!$D:$D,0)+COUNTIF($E198:I198,"u")+COUNTIF($E198:I198,"t")+COUNTIF($E198:I198,"¶")+COUNTIF($E198:I198,"²")+COUNTIF($E198:I198,"µ")+COUNTIF($E198:I198,1),ColTypeEcheance)),
  IF(LEN(I198)=1,
  IF(LEN(INDEX(Roadmap!$D:$K,MATCH($E198,Roadmap!$D:$D,0)-1+COUNTIF($E198:I198,"u")+COUNTIF($E198:I198,"t")+COUNTIF($E198:I198,"¶")+COUNTIF($E198:I198,"²")+COUNTIF($E198:I198,"µ")+COUNTIF($E198:I198,1),ColDescriptionCourte))&gt;1,
HYPERLINK("#Roadmap!C"&amp; MATCH($E198,Roadmap!$D:$D,0)+COUNTIF($E198:I198,"u")+COUNTIF($E198:I198,"t")+COUNTIF($E198:I198,"¶")+COUNTIF($E198:I198,"²")+COUNTIF($E198:I198,"µ")+COUNTIF($E198:I198,1)-1,INDEX(Roadmap!$D:$K,MATCH($E198,Roadmap!$D:$D,0)-1+COUNTIF($E198:I198,"u")+COUNTIF($E198:I198,"t")+COUNTIF($E198:I198,"¶")+COUNTIF($E198:I198,"²")+COUNTIF($E198:I198,"µ")+COUNTIF($E198:I198,1),ColDescriptionCourte)),""),
  "")),"")</f>
        <v/>
      </c>
      <c r="K198" s="40" t="str">
        <f ca="1">IFERROR(IF(AND(
  INDEX(Roadmap!$D:$K,MATCH($E198,Roadmap!$D:$D,0)+COUNTIF($E198:J198,"u")+COUNTIF($E198:J198,"t")+COUNTIF($E198:J198,"¶")+COUNTIF($E198:J198,"²")+COUNTIF($E198:J198,"µ")+COUNTIF($E198:J198,1),ColLivraison)=K$6,
  VLOOKUP($E198,INDIRECT("tri!"&amp; CHAR(64+ C0Col) &amp;":"&amp; CHAR(65+C0Col)),2,FALSE)&gt;COUNTIF($E198:J198,"u")+COUNTIF($E198:J198,"t")+COUNTIF($E198:J198,"¶")+COUNTIF($E198:J198,"²")+COUNTIF($E198:J198,"µ")+COUNTIF($E198:J198,1)),
HYPERLINK("#Roadmap!C"&amp; MATCH($E198,Roadmap!$D:$D,0)+COUNTIF($E198:J198,"u")+COUNTIF($E198:J198,"t"),
     INDEX(Roadmap!$D:$K,MATCH($E198,Roadmap!$D:$D,0)+COUNTIF($E198:J198,"u")+COUNTIF($E198:J198,"t")+COUNTIF($E198:J198,"¶")+COUNTIF($E198:J198,"²")+COUNTIF($E198:J198,"µ")+COUNTIF($E198:J198,1),ColTypeEcheance)),
  IF(LEN(J198)=1,
  IF(LEN(INDEX(Roadmap!$D:$K,MATCH($E198,Roadmap!$D:$D,0)-1+COUNTIF($E198:J198,"u")+COUNTIF($E198:J198,"t")+COUNTIF($E198:J198,"¶")+COUNTIF($E198:J198,"²")+COUNTIF($E198:J198,"µ")+COUNTIF($E198:J198,1),ColDescriptionCourte))&gt;1,
HYPERLINK("#Roadmap!C"&amp; MATCH($E198,Roadmap!$D:$D,0)+COUNTIF($E198:J198,"u")+COUNTIF($E198:J198,"t")+COUNTIF($E198:J198,"¶")+COUNTIF($E198:J198,"²")+COUNTIF($E198:J198,"µ")+COUNTIF($E198:J198,1)-1,INDEX(Roadmap!$D:$K,MATCH($E198,Roadmap!$D:$D,0)-1+COUNTIF($E198:J198,"u")+COUNTIF($E198:J198,"t")+COUNTIF($E198:J198,"¶")+COUNTIF($E198:J198,"²")+COUNTIF($E198:J198,"µ")+COUNTIF($E198:J198,1),ColDescriptionCourte)),""),
  "")),"")</f>
        <v/>
      </c>
      <c r="L198" s="39" t="str">
        <f ca="1">IFERROR(IF(AND(
  INDEX(Roadmap!$D:$K,MATCH($E198,Roadmap!$D:$D,0)+COUNTIF($E198:K198,"u")+COUNTIF($E198:K198,"t")+COUNTIF($E198:K198,"¶")+COUNTIF($E198:K198,"²")+COUNTIF($E198:K198,"µ")+COUNTIF($E198:K198,1),ColLivraison)=L$6,
  VLOOKUP($E198,INDIRECT("tri!"&amp; CHAR(64+ C0Col) &amp;":"&amp; CHAR(65+C0Col)),2,FALSE)&gt;COUNTIF($E198:K198,"u")+COUNTIF($E198:K198,"t")+COUNTIF($E198:K198,"¶")+COUNTIF($E198:K198,"²")+COUNTIF($E198:K198,"µ")+COUNTIF($E198:K198,1)),
HYPERLINK("#Roadmap!C"&amp; MATCH($E198,Roadmap!$D:$D,0)+COUNTIF($E198:K198,"u")+COUNTIF($E198:K198,"t"),
     INDEX(Roadmap!$D:$K,MATCH($E198,Roadmap!$D:$D,0)+COUNTIF($E198:K198,"u")+COUNTIF($E198:K198,"t")+COUNTIF($E198:K198,"¶")+COUNTIF($E198:K198,"²")+COUNTIF($E198:K198,"µ")+COUNTIF($E198:K198,1),ColTypeEcheance)),
  IF(LEN(K198)=1,
  IF(LEN(INDEX(Roadmap!$D:$K,MATCH($E198,Roadmap!$D:$D,0)-1+COUNTIF($E198:K198,"u")+COUNTIF($E198:K198,"t")+COUNTIF($E198:K198,"¶")+COUNTIF($E198:K198,"²")+COUNTIF($E198:K198,"µ")+COUNTIF($E198:K198,1),ColDescriptionCourte))&gt;1,
HYPERLINK("#Roadmap!C"&amp; MATCH($E198,Roadmap!$D:$D,0)+COUNTIF($E198:K198,"u")+COUNTIF($E198:K198,"t")+COUNTIF($E198:K198,"¶")+COUNTIF($E198:K198,"²")+COUNTIF($E198:K198,"µ")+COUNTIF($E198:K198,1)-1,INDEX(Roadmap!$D:$K,MATCH($E198,Roadmap!$D:$D,0)-1+COUNTIF($E198:K198,"u")+COUNTIF($E198:K198,"t")+COUNTIF($E198:K198,"¶")+COUNTIF($E198:K198,"²")+COUNTIF($E198:K198,"µ")+COUNTIF($E198:K198,1),ColDescriptionCourte)),""),
  "")),"")</f>
        <v/>
      </c>
      <c r="M198" s="40" t="str">
        <f ca="1">IFERROR(IF(AND(
  INDEX(Roadmap!$D:$K,MATCH($E198,Roadmap!$D:$D,0)+COUNTIF($E198:L198,"u")+COUNTIF($E198:L198,"t")+COUNTIF($E198:L198,"¶")+COUNTIF($E198:L198,"²")+COUNTIF($E198:L198,"µ")+COUNTIF($E198:L198,1),ColLivraison)=M$6,
  VLOOKUP($E198,INDIRECT("tri!"&amp; CHAR(64+ C0Col) &amp;":"&amp; CHAR(65+C0Col)),2,FALSE)&gt;COUNTIF($E198:L198,"u")+COUNTIF($E198:L198,"t")+COUNTIF($E198:L198,"¶")+COUNTIF($E198:L198,"²")+COUNTIF($E198:L198,"µ")+COUNTIF($E198:L198,1)),
HYPERLINK("#Roadmap!C"&amp; MATCH($E198,Roadmap!$D:$D,0)+COUNTIF($E198:L198,"u")+COUNTIF($E198:L198,"t"),
     INDEX(Roadmap!$D:$K,MATCH($E198,Roadmap!$D:$D,0)+COUNTIF($E198:L198,"u")+COUNTIF($E198:L198,"t")+COUNTIF($E198:L198,"¶")+COUNTIF($E198:L198,"²")+COUNTIF($E198:L198,"µ")+COUNTIF($E198:L198,1),ColTypeEcheance)),
  IF(LEN(L198)=1,
  IF(LEN(INDEX(Roadmap!$D:$K,MATCH($E198,Roadmap!$D:$D,0)-1+COUNTIF($E198:L198,"u")+COUNTIF($E198:L198,"t")+COUNTIF($E198:L198,"¶")+COUNTIF($E198:L198,"²")+COUNTIF($E198:L198,"µ")+COUNTIF($E198:L198,1),ColDescriptionCourte))&gt;1,
HYPERLINK("#Roadmap!C"&amp; MATCH($E198,Roadmap!$D:$D,0)+COUNTIF($E198:L198,"u")+COUNTIF($E198:L198,"t")+COUNTIF($E198:L198,"¶")+COUNTIF($E198:L198,"²")+COUNTIF($E198:L198,"µ")+COUNTIF($E198:L198,1)-1,INDEX(Roadmap!$D:$K,MATCH($E198,Roadmap!$D:$D,0)-1+COUNTIF($E198:L198,"u")+COUNTIF($E198:L198,"t")+COUNTIF($E198:L198,"¶")+COUNTIF($E198:L198,"²")+COUNTIF($E198:L198,"µ")+COUNTIF($E198:L198,1),ColDescriptionCourte)),""),
  "")),"")</f>
        <v/>
      </c>
      <c r="N198" s="40" t="str">
        <f ca="1">IFERROR(IF(AND(
  INDEX(Roadmap!$D:$K,MATCH($E198,Roadmap!$D:$D,0)+COUNTIF($E198:M198,"u")+COUNTIF($E198:M198,"t")+COUNTIF($E198:M198,"¶")+COUNTIF($E198:M198,"²")+COUNTIF($E198:M198,"µ")+COUNTIF($E198:M198,1),ColLivraison)=N$6,
  VLOOKUP($E198,INDIRECT("tri!"&amp; CHAR(64+ C0Col) &amp;":"&amp; CHAR(65+C0Col)),2,FALSE)&gt;COUNTIF($E198:M198,"u")+COUNTIF($E198:M198,"t")+COUNTIF($E198:M198,"¶")+COUNTIF($E198:M198,"²")+COUNTIF($E198:M198,"µ")+COUNTIF($E198:M198,1)),
HYPERLINK("#Roadmap!C"&amp; MATCH($E198,Roadmap!$D:$D,0)+COUNTIF($E198:M198,"u")+COUNTIF($E198:M198,"t"),
     INDEX(Roadmap!$D:$K,MATCH($E198,Roadmap!$D:$D,0)+COUNTIF($E198:M198,"u")+COUNTIF($E198:M198,"t")+COUNTIF($E198:M198,"¶")+COUNTIF($E198:M198,"²")+COUNTIF($E198:M198,"µ")+COUNTIF($E198:M198,1),ColTypeEcheance)),
  IF(LEN(M198)=1,
  IF(LEN(INDEX(Roadmap!$D:$K,MATCH($E198,Roadmap!$D:$D,0)-1+COUNTIF($E198:M198,"u")+COUNTIF($E198:M198,"t")+COUNTIF($E198:M198,"¶")+COUNTIF($E198:M198,"²")+COUNTIF($E198:M198,"µ")+COUNTIF($E198:M198,1),ColDescriptionCourte))&gt;1,
HYPERLINK("#Roadmap!C"&amp; MATCH($E198,Roadmap!$D:$D,0)+COUNTIF($E198:M198,"u")+COUNTIF($E198:M198,"t")+COUNTIF($E198:M198,"¶")+COUNTIF($E198:M198,"²")+COUNTIF($E198:M198,"µ")+COUNTIF($E198:M198,1)-1,INDEX(Roadmap!$D:$K,MATCH($E198,Roadmap!$D:$D,0)-1+COUNTIF($E198:M198,"u")+COUNTIF($E198:M198,"t")+COUNTIF($E198:M198,"¶")+COUNTIF($E198:M198,"²")+COUNTIF($E198:M198,"µ")+COUNTIF($E198:M198,1),ColDescriptionCourte)),""),
  "")),"")</f>
        <v/>
      </c>
      <c r="O198" s="40" t="str">
        <f ca="1">IFERROR(IF(AND(
  INDEX(Roadmap!$D:$K,MATCH($E198,Roadmap!$D:$D,0)+COUNTIF($E198:N198,"u")+COUNTIF($E198:N198,"t")+COUNTIF($E198:N198,"¶")+COUNTIF($E198:N198,"²")+COUNTIF($E198:N198,"µ")+COUNTIF($E198:N198,1),ColLivraison)=O$6,
  VLOOKUP($E198,INDIRECT("tri!"&amp; CHAR(64+ C0Col) &amp;":"&amp; CHAR(65+C0Col)),2,FALSE)&gt;COUNTIF($E198:N198,"u")+COUNTIF($E198:N198,"t")+COUNTIF($E198:N198,"¶")+COUNTIF($E198:N198,"²")+COUNTIF($E198:N198,"µ")+COUNTIF($E198:N198,1)),
HYPERLINK("#Roadmap!C"&amp; MATCH($E198,Roadmap!$D:$D,0)+COUNTIF($E198:N198,"u")+COUNTIF($E198:N198,"t"),
     INDEX(Roadmap!$D:$K,MATCH($E198,Roadmap!$D:$D,0)+COUNTIF($E198:N198,"u")+COUNTIF($E198:N198,"t")+COUNTIF($E198:N198,"¶")+COUNTIF($E198:N198,"²")+COUNTIF($E198:N198,"µ")+COUNTIF($E198:N198,1),ColTypeEcheance)),
  IF(LEN(N198)=1,
  IF(LEN(INDEX(Roadmap!$D:$K,MATCH($E198,Roadmap!$D:$D,0)-1+COUNTIF($E198:N198,"u")+COUNTIF($E198:N198,"t")+COUNTIF($E198:N198,"¶")+COUNTIF($E198:N198,"²")+COUNTIF($E198:N198,"µ")+COUNTIF($E198:N198,1),ColDescriptionCourte))&gt;1,
HYPERLINK("#Roadmap!C"&amp; MATCH($E198,Roadmap!$D:$D,0)+COUNTIF($E198:N198,"u")+COUNTIF($E198:N198,"t")+COUNTIF($E198:N198,"¶")+COUNTIF($E198:N198,"²")+COUNTIF($E198:N198,"µ")+COUNTIF($E198:N198,1)-1,INDEX(Roadmap!$D:$K,MATCH($E198,Roadmap!$D:$D,0)-1+COUNTIF($E198:N198,"u")+COUNTIF($E198:N198,"t")+COUNTIF($E198:N198,"¶")+COUNTIF($E198:N198,"²")+COUNTIF($E198:N198,"µ")+COUNTIF($E198:N198,1),ColDescriptionCourte)),""),
  "")),"")</f>
        <v/>
      </c>
      <c r="P198" s="40" t="str">
        <f ca="1">IFERROR(IF(AND(
  INDEX(Roadmap!$D:$K,MATCH($E198,Roadmap!$D:$D,0)+COUNTIF($E198:O198,"u")+COUNTIF($E198:O198,"t")+COUNTIF($E198:O198,"¶")+COUNTIF($E198:O198,"²")+COUNTIF($E198:O198,"µ")+COUNTIF($E198:O198,1),ColLivraison)=P$6,
  VLOOKUP($E198,INDIRECT("tri!"&amp; CHAR(64+ C0Col) &amp;":"&amp; CHAR(65+C0Col)),2,FALSE)&gt;COUNTIF($E198:O198,"u")+COUNTIF($E198:O198,"t")+COUNTIF($E198:O198,"¶")+COUNTIF($E198:O198,"²")+COUNTIF($E198:O198,"µ")+COUNTIF($E198:O198,1)),
HYPERLINK("#Roadmap!C"&amp; MATCH($E198,Roadmap!$D:$D,0)+COUNTIF($E198:O198,"u")+COUNTIF($E198:O198,"t"),
     INDEX(Roadmap!$D:$K,MATCH($E198,Roadmap!$D:$D,0)+COUNTIF($E198:O198,"u")+COUNTIF($E198:O198,"t")+COUNTIF($E198:O198,"¶")+COUNTIF($E198:O198,"²")+COUNTIF($E198:O198,"µ")+COUNTIF($E198:O198,1),ColTypeEcheance)),
  IF(LEN(O198)=1,
  IF(LEN(INDEX(Roadmap!$D:$K,MATCH($E198,Roadmap!$D:$D,0)-1+COUNTIF($E198:O198,"u")+COUNTIF($E198:O198,"t")+COUNTIF($E198:O198,"¶")+COUNTIF($E198:O198,"²")+COUNTIF($E198:O198,"µ")+COUNTIF($E198:O198,1),ColDescriptionCourte))&gt;1,
HYPERLINK("#Roadmap!C"&amp; MATCH($E198,Roadmap!$D:$D,0)+COUNTIF($E198:O198,"u")+COUNTIF($E198:O198,"t")+COUNTIF($E198:O198,"¶")+COUNTIF($E198:O198,"²")+COUNTIF($E198:O198,"µ")+COUNTIF($E198:O198,1)-1,INDEX(Roadmap!$D:$K,MATCH($E198,Roadmap!$D:$D,0)-1+COUNTIF($E198:O198,"u")+COUNTIF($E198:O198,"t")+COUNTIF($E198:O198,"¶")+COUNTIF($E198:O198,"²")+COUNTIF($E198:O198,"µ")+COUNTIF($E198:O198,1),ColDescriptionCourte)),""),
  "")),"")</f>
        <v/>
      </c>
      <c r="Q198" s="40" t="str">
        <f ca="1">IFERROR(IF(AND(
  INDEX(Roadmap!$D:$K,MATCH($E198,Roadmap!$D:$D,0)+COUNTIF($E198:P198,"u")+COUNTIF($E198:P198,"t")+COUNTIF($E198:P198,"¶")+COUNTIF($E198:P198,"²")+COUNTIF($E198:P198,"µ")+COUNTIF($E198:P198,1),ColLivraison)=Q$6,
  VLOOKUP($E198,INDIRECT("tri!"&amp; CHAR(64+ C0Col) &amp;":"&amp; CHAR(65+C0Col)),2,FALSE)&gt;COUNTIF($E198:P198,"u")+COUNTIF($E198:P198,"t")+COUNTIF($E198:P198,"¶")+COUNTIF($E198:P198,"²")+COUNTIF($E198:P198,"µ")+COUNTIF($E198:P198,1)),
HYPERLINK("#Roadmap!C"&amp; MATCH($E198,Roadmap!$D:$D,0)+COUNTIF($E198:P198,"u")+COUNTIF($E198:P198,"t"),
     INDEX(Roadmap!$D:$K,MATCH($E198,Roadmap!$D:$D,0)+COUNTIF($E198:P198,"u")+COUNTIF($E198:P198,"t")+COUNTIF($E198:P198,"¶")+COUNTIF($E198:P198,"²")+COUNTIF($E198:P198,"µ")+COUNTIF($E198:P198,1),ColTypeEcheance)),
  IF(LEN(P198)=1,
  IF(LEN(INDEX(Roadmap!$D:$K,MATCH($E198,Roadmap!$D:$D,0)-1+COUNTIF($E198:P198,"u")+COUNTIF($E198:P198,"t")+COUNTIF($E198:P198,"¶")+COUNTIF($E198:P198,"²")+COUNTIF($E198:P198,"µ")+COUNTIF($E198:P198,1),ColDescriptionCourte))&gt;1,
HYPERLINK("#Roadmap!C"&amp; MATCH($E198,Roadmap!$D:$D,0)+COUNTIF($E198:P198,"u")+COUNTIF($E198:P198,"t")+COUNTIF($E198:P198,"¶")+COUNTIF($E198:P198,"²")+COUNTIF($E198:P198,"µ")+COUNTIF($E198:P198,1)-1,INDEX(Roadmap!$D:$K,MATCH($E198,Roadmap!$D:$D,0)-1+COUNTIF($E198:P198,"u")+COUNTIF($E198:P198,"t")+COUNTIF($E198:P198,"¶")+COUNTIF($E198:P198,"²")+COUNTIF($E198:P198,"µ")+COUNTIF($E198:P198,1),ColDescriptionCourte)),""),
  "")),"")</f>
        <v/>
      </c>
      <c r="R198" s="40" t="str">
        <f ca="1">IFERROR(IF(AND(
  INDEX(Roadmap!$D:$K,MATCH($E198,Roadmap!$D:$D,0)+COUNTIF($E198:Q198,"u")+COUNTIF($E198:Q198,"t")+COUNTIF($E198:Q198,"¶")+COUNTIF($E198:Q198,"²")+COUNTIF($E198:Q198,"µ")+COUNTIF($E198:Q198,1),ColLivraison)=R$6,
  VLOOKUP($E198,INDIRECT("tri!"&amp; CHAR(64+ C0Col) &amp;":"&amp; CHAR(65+C0Col)),2,FALSE)&gt;COUNTIF($E198:Q198,"u")+COUNTIF($E198:Q198,"t")+COUNTIF($E198:Q198,"¶")+COUNTIF($E198:Q198,"²")+COUNTIF($E198:Q198,"µ")+COUNTIF($E198:Q198,1)),
HYPERLINK("#Roadmap!C"&amp; MATCH($E198,Roadmap!$D:$D,0)+COUNTIF($E198:Q198,"u")+COUNTIF($E198:Q198,"t"),
     INDEX(Roadmap!$D:$K,MATCH($E198,Roadmap!$D:$D,0)+COUNTIF($E198:Q198,"u")+COUNTIF($E198:Q198,"t")+COUNTIF($E198:Q198,"¶")+COUNTIF($E198:Q198,"²")+COUNTIF($E198:Q198,"µ")+COUNTIF($E198:Q198,1),ColTypeEcheance)),
  IF(LEN(Q198)=1,
  IF(LEN(INDEX(Roadmap!$D:$K,MATCH($E198,Roadmap!$D:$D,0)-1+COUNTIF($E198:Q198,"u")+COUNTIF($E198:Q198,"t")+COUNTIF($E198:Q198,"¶")+COUNTIF($E198:Q198,"²")+COUNTIF($E198:Q198,"µ")+COUNTIF($E198:Q198,1),ColDescriptionCourte))&gt;1,
HYPERLINK("#Roadmap!C"&amp; MATCH($E198,Roadmap!$D:$D,0)+COUNTIF($E198:Q198,"u")+COUNTIF($E198:Q198,"t")+COUNTIF($E198:Q198,"¶")+COUNTIF($E198:Q198,"²")+COUNTIF($E198:Q198,"µ")+COUNTIF($E198:Q198,1)-1,INDEX(Roadmap!$D:$K,MATCH($E198,Roadmap!$D:$D,0)-1+COUNTIF($E198:Q198,"u")+COUNTIF($E198:Q198,"t")+COUNTIF($E198:Q198,"¶")+COUNTIF($E198:Q198,"²")+COUNTIF($E198:Q198,"µ")+COUNTIF($E198:Q198,1),ColDescriptionCourte)),""),
  "")),"")</f>
        <v/>
      </c>
      <c r="S198" s="40" t="str">
        <f ca="1">IFERROR(IF(AND(
  INDEX(Roadmap!$D:$K,MATCH($E198,Roadmap!$D:$D,0)+COUNTIF($E198:R198,"u")+COUNTIF($E198:R198,"t")+COUNTIF($E198:R198,"¶")+COUNTIF($E198:R198,"²")+COUNTIF($E198:R198,"µ")+COUNTIF($E198:R198,1),ColLivraison)=S$6,
  VLOOKUP($E198,INDIRECT("tri!"&amp; CHAR(64+ C0Col) &amp;":"&amp; CHAR(65+C0Col)),2,FALSE)&gt;COUNTIF($E198:R198,"u")+COUNTIF($E198:R198,"t")+COUNTIF($E198:R198,"¶")+COUNTIF($E198:R198,"²")+COUNTIF($E198:R198,"µ")+COUNTIF($E198:R198,1)),
HYPERLINK("#Roadmap!C"&amp; MATCH($E198,Roadmap!$D:$D,0)+COUNTIF($E198:R198,"u")+COUNTIF($E198:R198,"t"),
     INDEX(Roadmap!$D:$K,MATCH($E198,Roadmap!$D:$D,0)+COUNTIF($E198:R198,"u")+COUNTIF($E198:R198,"t")+COUNTIF($E198:R198,"¶")+COUNTIF($E198:R198,"²")+COUNTIF($E198:R198,"µ")+COUNTIF($E198:R198,1),ColTypeEcheance)),
  IF(LEN(R198)=1,
  IF(LEN(INDEX(Roadmap!$D:$K,MATCH($E198,Roadmap!$D:$D,0)-1+COUNTIF($E198:R198,"u")+COUNTIF($E198:R198,"t")+COUNTIF($E198:R198,"¶")+COUNTIF($E198:R198,"²")+COUNTIF($E198:R198,"µ")+COUNTIF($E198:R198,1),ColDescriptionCourte))&gt;1,
HYPERLINK("#Roadmap!C"&amp; MATCH($E198,Roadmap!$D:$D,0)+COUNTIF($E198:R198,"u")+COUNTIF($E198:R198,"t")+COUNTIF($E198:R198,"¶")+COUNTIF($E198:R198,"²")+COUNTIF($E198:R198,"µ")+COUNTIF($E198:R198,1)-1,INDEX(Roadmap!$D:$K,MATCH($E198,Roadmap!$D:$D,0)-1+COUNTIF($E198:R198,"u")+COUNTIF($E198:R198,"t")+COUNTIF($E198:R198,"¶")+COUNTIF($E198:R198,"²")+COUNTIF($E198:R198,"µ")+COUNTIF($E198:R198,1),ColDescriptionCourte)),""),
  "")),"")</f>
        <v/>
      </c>
      <c r="T198" s="40" t="str">
        <f ca="1">IFERROR(IF(AND(
  INDEX(Roadmap!$D:$K,MATCH($E198,Roadmap!$D:$D,0)+COUNTIF($E198:S198,"u")+COUNTIF($E198:S198,"t")+COUNTIF($E198:S198,"¶")+COUNTIF($E198:S198,"²")+COUNTIF($E198:S198,"µ")+COUNTIF($E198:S198,1),ColLivraison)=T$6,
  VLOOKUP($E198,INDIRECT("tri!"&amp; CHAR(64+ C0Col) &amp;":"&amp; CHAR(65+C0Col)),2,FALSE)&gt;COUNTIF($E198:S198,"u")+COUNTIF($E198:S198,"t")+COUNTIF($E198:S198,"¶")+COUNTIF($E198:S198,"²")+COUNTIF($E198:S198,"µ")+COUNTIF($E198:S198,1)),
HYPERLINK("#Roadmap!C"&amp; MATCH($E198,Roadmap!$D:$D,0)+COUNTIF($E198:S198,"u")+COUNTIF($E198:S198,"t"),
     INDEX(Roadmap!$D:$K,MATCH($E198,Roadmap!$D:$D,0)+COUNTIF($E198:S198,"u")+COUNTIF($E198:S198,"t")+COUNTIF($E198:S198,"¶")+COUNTIF($E198:S198,"²")+COUNTIF($E198:S198,"µ")+COUNTIF($E198:S198,1),ColTypeEcheance)),
  IF(LEN(S198)=1,
  IF(LEN(INDEX(Roadmap!$D:$K,MATCH($E198,Roadmap!$D:$D,0)-1+COUNTIF($E198:S198,"u")+COUNTIF($E198:S198,"t")+COUNTIF($E198:S198,"¶")+COUNTIF($E198:S198,"²")+COUNTIF($E198:S198,"µ")+COUNTIF($E198:S198,1),ColDescriptionCourte))&gt;1,
HYPERLINK("#Roadmap!C"&amp; MATCH($E198,Roadmap!$D:$D,0)+COUNTIF($E198:S198,"u")+COUNTIF($E198:S198,"t")+COUNTIF($E198:S198,"¶")+COUNTIF($E198:S198,"²")+COUNTIF($E198:S198,"µ")+COUNTIF($E198:S198,1)-1,INDEX(Roadmap!$D:$K,MATCH($E198,Roadmap!$D:$D,0)-1+COUNTIF($E198:S198,"u")+COUNTIF($E198:S198,"t")+COUNTIF($E198:S198,"¶")+COUNTIF($E198:S198,"²")+COUNTIF($E198:S198,"µ")+COUNTIF($E198:S198,1),ColDescriptionCourte)),""),
  "")),"")</f>
        <v/>
      </c>
      <c r="U198" s="40" t="str">
        <f ca="1">IFERROR(IF(AND(
  INDEX(Roadmap!$D:$K,MATCH($E198,Roadmap!$D:$D,0)+COUNTIF($E198:T198,"u")+COUNTIF($E198:T198,"t")+COUNTIF($E198:T198,"¶")+COUNTIF($E198:T198,"²")+COUNTIF($E198:T198,"µ")+COUNTIF($E198:T198,1),ColLivraison)=U$6,
  VLOOKUP($E198,INDIRECT("tri!"&amp; CHAR(64+ C0Col) &amp;":"&amp; CHAR(65+C0Col)),2,FALSE)&gt;COUNTIF($E198:T198,"u")+COUNTIF($E198:T198,"t")+COUNTIF($E198:T198,"¶")+COUNTIF($E198:T198,"²")+COUNTIF($E198:T198,"µ")+COUNTIF($E198:T198,1)),
HYPERLINK("#Roadmap!C"&amp; MATCH($E198,Roadmap!$D:$D,0)+COUNTIF($E198:T198,"u")+COUNTIF($E198:T198,"t"),
     INDEX(Roadmap!$D:$K,MATCH($E198,Roadmap!$D:$D,0)+COUNTIF($E198:T198,"u")+COUNTIF($E198:T198,"t")+COUNTIF($E198:T198,"¶")+COUNTIF($E198:T198,"²")+COUNTIF($E198:T198,"µ")+COUNTIF($E198:T198,1),ColTypeEcheance)),
  IF(LEN(T198)=1,
  IF(LEN(INDEX(Roadmap!$D:$K,MATCH($E198,Roadmap!$D:$D,0)-1+COUNTIF($E198:T198,"u")+COUNTIF($E198:T198,"t")+COUNTIF($E198:T198,"¶")+COUNTIF($E198:T198,"²")+COUNTIF($E198:T198,"µ")+COUNTIF($E198:T198,1),ColDescriptionCourte))&gt;1,
HYPERLINK("#Roadmap!C"&amp; MATCH($E198,Roadmap!$D:$D,0)+COUNTIF($E198:T198,"u")+COUNTIF($E198:T198,"t")+COUNTIF($E198:T198,"¶")+COUNTIF($E198:T198,"²")+COUNTIF($E198:T198,"µ")+COUNTIF($E198:T198,1)-1,INDEX(Roadmap!$D:$K,MATCH($E198,Roadmap!$D:$D,0)-1+COUNTIF($E198:T198,"u")+COUNTIF($E198:T198,"t")+COUNTIF($E198:T198,"¶")+COUNTIF($E198:T198,"²")+COUNTIF($E198:T198,"µ")+COUNTIF($E198:T198,1),ColDescriptionCourte)),""),
  "")),"")</f>
        <v/>
      </c>
      <c r="V198" s="40" t="str">
        <f ca="1">IFERROR(IF(AND(
  INDEX(Roadmap!$D:$K,MATCH($E198,Roadmap!$D:$D,0)+COUNTIF($E198:U198,"u")+COUNTIF($E198:U198,"t")+COUNTIF($E198:U198,"¶")+COUNTIF($E198:U198,"²")+COUNTIF($E198:U198,"µ")+COUNTIF($E198:U198,1),ColLivraison)=V$6,
  VLOOKUP($E198,INDIRECT("tri!"&amp; CHAR(64+ C0Col) &amp;":"&amp; CHAR(65+C0Col)),2,FALSE)&gt;COUNTIF($E198:U198,"u")+COUNTIF($E198:U198,"t")+COUNTIF($E198:U198,"¶")+COUNTIF($E198:U198,"²")+COUNTIF($E198:U198,"µ")+COUNTIF($E198:U198,1)),
HYPERLINK("#Roadmap!C"&amp; MATCH($E198,Roadmap!$D:$D,0)+COUNTIF($E198:U198,"u")+COUNTIF($E198:U198,"t"),
     INDEX(Roadmap!$D:$K,MATCH($E198,Roadmap!$D:$D,0)+COUNTIF($E198:U198,"u")+COUNTIF($E198:U198,"t")+COUNTIF($E198:U198,"¶")+COUNTIF($E198:U198,"²")+COUNTIF($E198:U198,"µ")+COUNTIF($E198:U198,1),ColTypeEcheance)),
  IF(LEN(U198)=1,
  IF(LEN(INDEX(Roadmap!$D:$K,MATCH($E198,Roadmap!$D:$D,0)-1+COUNTIF($E198:U198,"u")+COUNTIF($E198:U198,"t")+COUNTIF($E198:U198,"¶")+COUNTIF($E198:U198,"²")+COUNTIF($E198:U198,"µ")+COUNTIF($E198:U198,1),ColDescriptionCourte))&gt;1,
HYPERLINK("#Roadmap!C"&amp; MATCH($E198,Roadmap!$D:$D,0)+COUNTIF($E198:U198,"u")+COUNTIF($E198:U198,"t")+COUNTIF($E198:U198,"¶")+COUNTIF($E198:U198,"²")+COUNTIF($E198:U198,"µ")+COUNTIF($E198:U198,1)-1,INDEX(Roadmap!$D:$K,MATCH($E198,Roadmap!$D:$D,0)-1+COUNTIF($E198:U198,"u")+COUNTIF($E198:U198,"t")+COUNTIF($E198:U198,"¶")+COUNTIF($E198:U198,"²")+COUNTIF($E198:U198,"µ")+COUNTIF($E198:U198,1),ColDescriptionCourte)),""),
  "")),"")</f>
        <v/>
      </c>
      <c r="W198" s="40" t="str">
        <f ca="1">IFERROR(IF(AND(
  INDEX(Roadmap!$D:$K,MATCH($E198,Roadmap!$D:$D,0)+COUNTIF($E198:V198,"u")+COUNTIF($E198:V198,"t")+COUNTIF($E198:V198,"¶")+COUNTIF($E198:V198,"²")+COUNTIF($E198:V198,"µ")+COUNTIF($E198:V198,1),ColLivraison)=W$6,
  VLOOKUP($E198,INDIRECT("tri!"&amp; CHAR(64+ C0Col) &amp;":"&amp; CHAR(65+C0Col)),2,FALSE)&gt;COUNTIF($E198:V198,"u")+COUNTIF($E198:V198,"t")+COUNTIF($E198:V198,"¶")+COUNTIF($E198:V198,"²")+COUNTIF($E198:V198,"µ")+COUNTIF($E198:V198,1)),
HYPERLINK("#Roadmap!C"&amp; MATCH($E198,Roadmap!$D:$D,0)+COUNTIF($E198:V198,"u")+COUNTIF($E198:V198,"t"),
     INDEX(Roadmap!$D:$K,MATCH($E198,Roadmap!$D:$D,0)+COUNTIF($E198:V198,"u")+COUNTIF($E198:V198,"t")+COUNTIF($E198:V198,"¶")+COUNTIF($E198:V198,"²")+COUNTIF($E198:V198,"µ")+COUNTIF($E198:V198,1),ColTypeEcheance)),
  IF(LEN(V198)=1,
  IF(LEN(INDEX(Roadmap!$D:$K,MATCH($E198,Roadmap!$D:$D,0)-1+COUNTIF($E198:V198,"u")+COUNTIF($E198:V198,"t")+COUNTIF($E198:V198,"¶")+COUNTIF($E198:V198,"²")+COUNTIF($E198:V198,"µ")+COUNTIF($E198:V198,1),ColDescriptionCourte))&gt;1,
HYPERLINK("#Roadmap!C"&amp; MATCH($E198,Roadmap!$D:$D,0)+COUNTIF($E198:V198,"u")+COUNTIF($E198:V198,"t")+COUNTIF($E198:V198,"¶")+COUNTIF($E198:V198,"²")+COUNTIF($E198:V198,"µ")+COUNTIF($E198:V198,1)-1,INDEX(Roadmap!$D:$K,MATCH($E198,Roadmap!$D:$D,0)-1+COUNTIF($E198:V198,"u")+COUNTIF($E198:V198,"t")+COUNTIF($E198:V198,"¶")+COUNTIF($E198:V198,"²")+COUNTIF($E198:V198,"µ")+COUNTIF($E198:V198,1),ColDescriptionCourte)),""),
  "")),"")</f>
        <v/>
      </c>
      <c r="X198" s="40" t="str">
        <f ca="1">IFERROR(IF(AND(
  INDEX(Roadmap!$D:$K,MATCH($E198,Roadmap!$D:$D,0)+COUNTIF($E198:W198,"u")+COUNTIF($E198:W198,"t")+COUNTIF($E198:W198,"¶")+COUNTIF($E198:W198,"²")+COUNTIF($E198:W198,"µ")+COUNTIF($E198:W198,1),ColLivraison)=X$6,
  VLOOKUP($E198,INDIRECT("tri!"&amp; CHAR(64+ C0Col) &amp;":"&amp; CHAR(65+C0Col)),2,FALSE)&gt;COUNTIF($E198:W198,"u")+COUNTIF($E198:W198,"t")+COUNTIF($E198:W198,"¶")+COUNTIF($E198:W198,"²")+COUNTIF($E198:W198,"µ")+COUNTIF($E198:W198,1)),
HYPERLINK("#Roadmap!C"&amp; MATCH($E198,Roadmap!$D:$D,0)+COUNTIF($E198:W198,"u")+COUNTIF($E198:W198,"t"),
     INDEX(Roadmap!$D:$K,MATCH($E198,Roadmap!$D:$D,0)+COUNTIF($E198:W198,"u")+COUNTIF($E198:W198,"t")+COUNTIF($E198:W198,"¶")+COUNTIF($E198:W198,"²")+COUNTIF($E198:W198,"µ")+COUNTIF($E198:W198,1),ColTypeEcheance)),
  IF(LEN(W198)=1,
  IF(LEN(INDEX(Roadmap!$D:$K,MATCH($E198,Roadmap!$D:$D,0)-1+COUNTIF($E198:W198,"u")+COUNTIF($E198:W198,"t")+COUNTIF($E198:W198,"¶")+COUNTIF($E198:W198,"²")+COUNTIF($E198:W198,"µ")+COUNTIF($E198:W198,1),ColDescriptionCourte))&gt;1,
HYPERLINK("#Roadmap!C"&amp; MATCH($E198,Roadmap!$D:$D,0)+COUNTIF($E198:W198,"u")+COUNTIF($E198:W198,"t")+COUNTIF($E198:W198,"¶")+COUNTIF($E198:W198,"²")+COUNTIF($E198:W198,"µ")+COUNTIF($E198:W198,1)-1,INDEX(Roadmap!$D:$K,MATCH($E198,Roadmap!$D:$D,0)-1+COUNTIF($E198:W198,"u")+COUNTIF($E198:W198,"t")+COUNTIF($E198:W198,"¶")+COUNTIF($E198:W198,"²")+COUNTIF($E198:W198,"µ")+COUNTIF($E198:W198,1),ColDescriptionCourte)),""),
  "")),"")</f>
        <v/>
      </c>
      <c r="Y198" s="40" t="str">
        <f ca="1">IFERROR(IF(AND(
  INDEX(Roadmap!$D:$K,MATCH($E198,Roadmap!$D:$D,0)+COUNTIF($E198:X198,"u")+COUNTIF($E198:X198,"t")+COUNTIF($E198:X198,"¶")+COUNTIF($E198:X198,"²")+COUNTIF($E198:X198,"µ")+COUNTIF($E198:X198,1),ColLivraison)=Y$6,
  VLOOKUP($E198,INDIRECT("tri!"&amp; CHAR(64+ C0Col) &amp;":"&amp; CHAR(65+C0Col)),2,FALSE)&gt;COUNTIF($E198:X198,"u")+COUNTIF($E198:X198,"t")+COUNTIF($E198:X198,"¶")+COUNTIF($E198:X198,"²")+COUNTIF($E198:X198,"µ")+COUNTIF($E198:X198,1)),
HYPERLINK("#Roadmap!C"&amp; MATCH($E198,Roadmap!$D:$D,0)+COUNTIF($E198:X198,"u")+COUNTIF($E198:X198,"t"),
     INDEX(Roadmap!$D:$K,MATCH($E198,Roadmap!$D:$D,0)+COUNTIF($E198:X198,"u")+COUNTIF($E198:X198,"t")+COUNTIF($E198:X198,"¶")+COUNTIF($E198:X198,"²")+COUNTIF($E198:X198,"µ")+COUNTIF($E198:X198,1),ColTypeEcheance)),
  IF(LEN(X198)=1,
  IF(LEN(INDEX(Roadmap!$D:$K,MATCH($E198,Roadmap!$D:$D,0)-1+COUNTIF($E198:X198,"u")+COUNTIF($E198:X198,"t")+COUNTIF($E198:X198,"¶")+COUNTIF($E198:X198,"²")+COUNTIF($E198:X198,"µ")+COUNTIF($E198:X198,1),ColDescriptionCourte))&gt;1,
HYPERLINK("#Roadmap!C"&amp; MATCH($E198,Roadmap!$D:$D,0)+COUNTIF($E198:X198,"u")+COUNTIF($E198:X198,"t")+COUNTIF($E198:X198,"¶")+COUNTIF($E198:X198,"²")+COUNTIF($E198:X198,"µ")+COUNTIF($E198:X198,1)-1,INDEX(Roadmap!$D:$K,MATCH($E198,Roadmap!$D:$D,0)-1+COUNTIF($E198:X198,"u")+COUNTIF($E198:X198,"t")+COUNTIF($E198:X198,"¶")+COUNTIF($E198:X198,"²")+COUNTIF($E198:X198,"µ")+COUNTIF($E198:X198,1),ColDescriptionCourte)),""),
  "")),"")</f>
        <v/>
      </c>
      <c r="Z198" s="40" t="str">
        <f ca="1">IFERROR(IF(AND(
  INDEX(Roadmap!$D:$K,MATCH($E198,Roadmap!$D:$D,0)+COUNTIF($E198:Y198,"u")+COUNTIF($E198:Y198,"t")+COUNTIF($E198:Y198,"¶")+COUNTIF($E198:Y198,"²")+COUNTIF($E198:Y198,"µ")+COUNTIF($E198:Y198,1),ColLivraison)=Z$6,
  VLOOKUP($E198,INDIRECT("tri!"&amp; CHAR(64+ C0Col) &amp;":"&amp; CHAR(65+C0Col)),2,FALSE)&gt;COUNTIF($E198:Y198,"u")+COUNTIF($E198:Y198,"t")+COUNTIF($E198:Y198,"¶")+COUNTIF($E198:Y198,"²")+COUNTIF($E198:Y198,"µ")+COUNTIF($E198:Y198,1)),
HYPERLINK("#Roadmap!C"&amp; MATCH($E198,Roadmap!$D:$D,0)+COUNTIF($E198:Y198,"u")+COUNTIF($E198:Y198,"t"),
     INDEX(Roadmap!$D:$K,MATCH($E198,Roadmap!$D:$D,0)+COUNTIF($E198:Y198,"u")+COUNTIF($E198:Y198,"t")+COUNTIF($E198:Y198,"¶")+COUNTIF($E198:Y198,"²")+COUNTIF($E198:Y198,"µ")+COUNTIF($E198:Y198,1),ColTypeEcheance)),
  IF(LEN(Y198)=1,
  IF(LEN(INDEX(Roadmap!$D:$K,MATCH($E198,Roadmap!$D:$D,0)-1+COUNTIF($E198:Y198,"u")+COUNTIF($E198:Y198,"t")+COUNTIF($E198:Y198,"¶")+COUNTIF($E198:Y198,"²")+COUNTIF($E198:Y198,"µ")+COUNTIF($E198:Y198,1),ColDescriptionCourte))&gt;1,
HYPERLINK("#Roadmap!C"&amp; MATCH($E198,Roadmap!$D:$D,0)+COUNTIF($E198:Y198,"u")+COUNTIF($E198:Y198,"t")+COUNTIF($E198:Y198,"¶")+COUNTIF($E198:Y198,"²")+COUNTIF($E198:Y198,"µ")+COUNTIF($E198:Y198,1)-1,INDEX(Roadmap!$D:$K,MATCH($E198,Roadmap!$D:$D,0)-1+COUNTIF($E198:Y198,"u")+COUNTIF($E198:Y198,"t")+COUNTIF($E198:Y198,"¶")+COUNTIF($E198:Y198,"²")+COUNTIF($E198:Y198,"µ")+COUNTIF($E198:Y198,1),ColDescriptionCourte)),""),
  "")),"")</f>
        <v/>
      </c>
      <c r="AA198" s="40" t="str">
        <f ca="1">IFERROR(IF(AND(
  INDEX(Roadmap!$D:$K,MATCH($E198,Roadmap!$D:$D,0)+COUNTIF($E198:Z198,"u")+COUNTIF($E198:Z198,"t")+COUNTIF($E198:Z198,"¶")+COUNTIF($E198:Z198,"²")+COUNTIF($E198:Z198,"µ")+COUNTIF($E198:Z198,1),ColLivraison)=AA$6,
  VLOOKUP($E198,INDIRECT("tri!"&amp; CHAR(64+ C0Col) &amp;":"&amp; CHAR(65+C0Col)),2,FALSE)&gt;COUNTIF($E198:Z198,"u")+COUNTIF($E198:Z198,"t")+COUNTIF($E198:Z198,"¶")+COUNTIF($E198:Z198,"²")+COUNTIF($E198:Z198,"µ")+COUNTIF($E198:Z198,1)),
HYPERLINK("#Roadmap!C"&amp; MATCH($E198,Roadmap!$D:$D,0)+COUNTIF($E198:Z198,"u")+COUNTIF($E198:Z198,"t"),
     INDEX(Roadmap!$D:$K,MATCH($E198,Roadmap!$D:$D,0)+COUNTIF($E198:Z198,"u")+COUNTIF($E198:Z198,"t")+COUNTIF($E198:Z198,"¶")+COUNTIF($E198:Z198,"²")+COUNTIF($E198:Z198,"µ")+COUNTIF($E198:Z198,1),ColTypeEcheance)),
  IF(LEN(Z198)=1,
  IF(LEN(INDEX(Roadmap!$D:$K,MATCH($E198,Roadmap!$D:$D,0)-1+COUNTIF($E198:Z198,"u")+COUNTIF($E198:Z198,"t")+COUNTIF($E198:Z198,"¶")+COUNTIF($E198:Z198,"²")+COUNTIF($E198:Z198,"µ")+COUNTIF($E198:Z198,1),ColDescriptionCourte))&gt;1,
HYPERLINK("#Roadmap!C"&amp; MATCH($E198,Roadmap!$D:$D,0)+COUNTIF($E198:Z198,"u")+COUNTIF($E198:Z198,"t")+COUNTIF($E198:Z198,"¶")+COUNTIF($E198:Z198,"²")+COUNTIF($E198:Z198,"µ")+COUNTIF($E198:Z198,1)-1,INDEX(Roadmap!$D:$K,MATCH($E198,Roadmap!$D:$D,0)-1+COUNTIF($E198:Z198,"u")+COUNTIF($E198:Z198,"t")+COUNTIF($E198:Z198,"¶")+COUNTIF($E198:Z198,"²")+COUNTIF($E198:Z198,"µ")+COUNTIF($E198:Z198,1),ColDescriptionCourte)),""),
  "")),"")</f>
        <v/>
      </c>
      <c r="AB198" s="40" t="str">
        <f ca="1">IFERROR(IF(AND(
  INDEX(Roadmap!$D:$K,MATCH($E198,Roadmap!$D:$D,0)+COUNTIF($E198:AA198,"u")+COUNTIF($E198:AA198,"t")+COUNTIF($E198:AA198,"¶")+COUNTIF($E198:AA198,"²")+COUNTIF($E198:AA198,"µ")+COUNTIF($E198:AA198,1),ColLivraison)=AB$6,
  VLOOKUP($E198,INDIRECT("tri!"&amp; CHAR(64+ C0Col) &amp;":"&amp; CHAR(65+C0Col)),2,FALSE)&gt;COUNTIF($E198:AA198,"u")+COUNTIF($E198:AA198,"t")+COUNTIF($E198:AA198,"¶")+COUNTIF($E198:AA198,"²")+COUNTIF($E198:AA198,"µ")+COUNTIF($E198:AA198,1)),
HYPERLINK("#Roadmap!C"&amp; MATCH($E198,Roadmap!$D:$D,0)+COUNTIF($E198:AA198,"u")+COUNTIF($E198:AA198,"t"),
     INDEX(Roadmap!$D:$K,MATCH($E198,Roadmap!$D:$D,0)+COUNTIF($E198:AA198,"u")+COUNTIF($E198:AA198,"t")+COUNTIF($E198:AA198,"¶")+COUNTIF($E198:AA198,"²")+COUNTIF($E198:AA198,"µ")+COUNTIF($E198:AA198,1),ColTypeEcheance)),
  IF(LEN(AA198)=1,
  IF(LEN(INDEX(Roadmap!$D:$K,MATCH($E198,Roadmap!$D:$D,0)-1+COUNTIF($E198:AA198,"u")+COUNTIF($E198:AA198,"t")+COUNTIF($E198:AA198,"¶")+COUNTIF($E198:AA198,"²")+COUNTIF($E198:AA198,"µ")+COUNTIF($E198:AA198,1),ColDescriptionCourte))&gt;1,
HYPERLINK("#Roadmap!C"&amp; MATCH($E198,Roadmap!$D:$D,0)+COUNTIF($E198:AA198,"u")+COUNTIF($E198:AA198,"t")+COUNTIF($E198:AA198,"¶")+COUNTIF($E198:AA198,"²")+COUNTIF($E198:AA198,"µ")+COUNTIF($E198:AA198,1)-1,INDEX(Roadmap!$D:$K,MATCH($E198,Roadmap!$D:$D,0)-1+COUNTIF($E198:AA198,"u")+COUNTIF($E198:AA198,"t")+COUNTIF($E198:AA198,"¶")+COUNTIF($E198:AA198,"²")+COUNTIF($E198:AA198,"µ")+COUNTIF($E198:AA198,1),ColDescriptionCourte)),""),
  "")),"")</f>
        <v/>
      </c>
      <c r="AC198" s="40" t="str">
        <f ca="1">IFERROR(IF(AND(
  INDEX(Roadmap!$D:$K,MATCH($E198,Roadmap!$D:$D,0)+COUNTIF($E198:AB198,"u")+COUNTIF($E198:AB198,"t")+COUNTIF($E198:AB198,"¶")+COUNTIF($E198:AB198,"²")+COUNTIF($E198:AB198,"µ")+COUNTIF($E198:AB198,1),ColLivraison)=AC$6,
  VLOOKUP($E198,INDIRECT("tri!"&amp; CHAR(64+ C0Col) &amp;":"&amp; CHAR(65+C0Col)),2,FALSE)&gt;COUNTIF($E198:AB198,"u")+COUNTIF($E198:AB198,"t")+COUNTIF($E198:AB198,"¶")+COUNTIF($E198:AB198,"²")+COUNTIF($E198:AB198,"µ")+COUNTIF($E198:AB198,1)),
HYPERLINK("#Roadmap!C"&amp; MATCH($E198,Roadmap!$D:$D,0)+COUNTIF($E198:AB198,"u")+COUNTIF($E198:AB198,"t"),
     INDEX(Roadmap!$D:$K,MATCH($E198,Roadmap!$D:$D,0)+COUNTIF($E198:AB198,"u")+COUNTIF($E198:AB198,"t")+COUNTIF($E198:AB198,"¶")+COUNTIF($E198:AB198,"²")+COUNTIF($E198:AB198,"µ")+COUNTIF($E198:AB198,1),ColTypeEcheance)),
  IF(LEN(AB198)=1,
  IF(LEN(INDEX(Roadmap!$D:$K,MATCH($E198,Roadmap!$D:$D,0)-1+COUNTIF($E198:AB198,"u")+COUNTIF($E198:AB198,"t")+COUNTIF($E198:AB198,"¶")+COUNTIF($E198:AB198,"²")+COUNTIF($E198:AB198,"µ")+COUNTIF($E198:AB198,1),ColDescriptionCourte))&gt;1,
HYPERLINK("#Roadmap!C"&amp; MATCH($E198,Roadmap!$D:$D,0)+COUNTIF($E198:AB198,"u")+COUNTIF($E198:AB198,"t")+COUNTIF($E198:AB198,"¶")+COUNTIF($E198:AB198,"²")+COUNTIF($E198:AB198,"µ")+COUNTIF($E198:AB198,1)-1,INDEX(Roadmap!$D:$K,MATCH($E198,Roadmap!$D:$D,0)-1+COUNTIF($E198:AB198,"u")+COUNTIF($E198:AB198,"t")+COUNTIF($E198:AB198,"¶")+COUNTIF($E198:AB198,"²")+COUNTIF($E198:AB198,"µ")+COUNTIF($E198:AB198,1),ColDescriptionCourte)),""),
  "")),"")</f>
        <v/>
      </c>
      <c r="AD198" s="40" t="str">
        <f ca="1">IFERROR(IF(AND(
  INDEX(Roadmap!$D:$K,MATCH($E198,Roadmap!$D:$D,0)+COUNTIF($E198:AC198,"u")+COUNTIF($E198:AC198,"t")+COUNTIF($E198:AC198,"¶")+COUNTIF($E198:AC198,"²")+COUNTIF($E198:AC198,"µ")+COUNTIF($E198:AC198,1),ColLivraison)=AD$6,
  VLOOKUP($E198,INDIRECT("tri!"&amp; CHAR(64+ C0Col) &amp;":"&amp; CHAR(65+C0Col)),2,FALSE)&gt;COUNTIF($E198:AC198,"u")+COUNTIF($E198:AC198,"t")+COUNTIF($E198:AC198,"¶")+COUNTIF($E198:AC198,"²")+COUNTIF($E198:AC198,"µ")+COUNTIF($E198:AC198,1)),
HYPERLINK("#Roadmap!C"&amp; MATCH($E198,Roadmap!$D:$D,0)+COUNTIF($E198:AC198,"u")+COUNTIF($E198:AC198,"t"),
     INDEX(Roadmap!$D:$K,MATCH($E198,Roadmap!$D:$D,0)+COUNTIF($E198:AC198,"u")+COUNTIF($E198:AC198,"t")+COUNTIF($E198:AC198,"¶")+COUNTIF($E198:AC198,"²")+COUNTIF($E198:AC198,"µ")+COUNTIF($E198:AC198,1),ColTypeEcheance)),
  IF(LEN(AC198)=1,
  IF(LEN(INDEX(Roadmap!$D:$K,MATCH($E198,Roadmap!$D:$D,0)-1+COUNTIF($E198:AC198,"u")+COUNTIF($E198:AC198,"t")+COUNTIF($E198:AC198,"¶")+COUNTIF($E198:AC198,"²")+COUNTIF($E198:AC198,"µ")+COUNTIF($E198:AC198,1),ColDescriptionCourte))&gt;1,
HYPERLINK("#Roadmap!C"&amp; MATCH($E198,Roadmap!$D:$D,0)+COUNTIF($E198:AC198,"u")+COUNTIF($E198:AC198,"t")+COUNTIF($E198:AC198,"¶")+COUNTIF($E198:AC198,"²")+COUNTIF($E198:AC198,"µ")+COUNTIF($E198:AC198,1)-1,INDEX(Roadmap!$D:$K,MATCH($E198,Roadmap!$D:$D,0)-1+COUNTIF($E198:AC198,"u")+COUNTIF($E198:AC198,"t")+COUNTIF($E198:AC198,"¶")+COUNTIF($E198:AC198,"²")+COUNTIF($E198:AC198,"µ")+COUNTIF($E198:AC198,1),ColDescriptionCourte)),""),
  "")),"")</f>
        <v/>
      </c>
      <c r="AE198" s="40" t="str">
        <f ca="1">IFERROR(IF(AND(
  INDEX(Roadmap!$D:$K,MATCH($E198,Roadmap!$D:$D,0)+COUNTIF($E198:AD198,"u")+COUNTIF($E198:AD198,"t")+COUNTIF($E198:AD198,"¶")+COUNTIF($E198:AD198,"²")+COUNTIF($E198:AD198,"µ")+COUNTIF($E198:AD198,1),ColLivraison)=AE$6,
  VLOOKUP($E198,INDIRECT("tri!"&amp; CHAR(64+ C0Col) &amp;":"&amp; CHAR(65+C0Col)),2,FALSE)&gt;COUNTIF($E198:AD198,"u")+COUNTIF($E198:AD198,"t")+COUNTIF($E198:AD198,"¶")+COUNTIF($E198:AD198,"²")+COUNTIF($E198:AD198,"µ")+COUNTIF($E198:AD198,1)),
HYPERLINK("#Roadmap!C"&amp; MATCH($E198,Roadmap!$D:$D,0)+COUNTIF($E198:AD198,"u")+COUNTIF($E198:AD198,"t"),
     INDEX(Roadmap!$D:$K,MATCH($E198,Roadmap!$D:$D,0)+COUNTIF($E198:AD198,"u")+COUNTIF($E198:AD198,"t")+COUNTIF($E198:AD198,"¶")+COUNTIF($E198:AD198,"²")+COUNTIF($E198:AD198,"µ")+COUNTIF($E198:AD198,1),ColTypeEcheance)),
  IF(LEN(AD198)=1,
  IF(LEN(INDEX(Roadmap!$D:$K,MATCH($E198,Roadmap!$D:$D,0)-1+COUNTIF($E198:AD198,"u")+COUNTIF($E198:AD198,"t")+COUNTIF($E198:AD198,"¶")+COUNTIF($E198:AD198,"²")+COUNTIF($E198:AD198,"µ")+COUNTIF($E198:AD198,1),ColDescriptionCourte))&gt;1,
HYPERLINK("#Roadmap!C"&amp; MATCH($E198,Roadmap!$D:$D,0)+COUNTIF($E198:AD198,"u")+COUNTIF($E198:AD198,"t")+COUNTIF($E198:AD198,"¶")+COUNTIF($E198:AD198,"²")+COUNTIF($E198:AD198,"µ")+COUNTIF($E198:AD198,1)-1,INDEX(Roadmap!$D:$K,MATCH($E198,Roadmap!$D:$D,0)-1+COUNTIF($E198:AD198,"u")+COUNTIF($E198:AD198,"t")+COUNTIF($E198:AD198,"¶")+COUNTIF($E198:AD198,"²")+COUNTIF($E198:AD198,"µ")+COUNTIF($E198:AD198,1),ColDescriptionCourte)),""),
  "")),"")</f>
        <v/>
      </c>
      <c r="AF198" s="40" t="str">
        <f ca="1">IFERROR(IF(AND(
  INDEX(Roadmap!$D:$K,MATCH($E198,Roadmap!$D:$D,0)+COUNTIF($E198:AE198,"u")+COUNTIF($E198:AE198,"t")+COUNTIF($E198:AE198,"¶")+COUNTIF($E198:AE198,"²")+COUNTIF($E198:AE198,"µ")+COUNTIF($E198:AE198,1),ColLivraison)=AF$6,
  VLOOKUP($E198,INDIRECT("tri!"&amp; CHAR(64+ C0Col) &amp;":"&amp; CHAR(65+C0Col)),2,FALSE)&gt;COUNTIF($E198:AE198,"u")+COUNTIF($E198:AE198,"t")+COUNTIF($E198:AE198,"¶")+COUNTIF($E198:AE198,"²")+COUNTIF($E198:AE198,"µ")+COUNTIF($E198:AE198,1)),
HYPERLINK("#Roadmap!C"&amp; MATCH($E198,Roadmap!$D:$D,0)+COUNTIF($E198:AE198,"u")+COUNTIF($E198:AE198,"t"),
     INDEX(Roadmap!$D:$K,MATCH($E198,Roadmap!$D:$D,0)+COUNTIF($E198:AE198,"u")+COUNTIF($E198:AE198,"t")+COUNTIF($E198:AE198,"¶")+COUNTIF($E198:AE198,"²")+COUNTIF($E198:AE198,"µ")+COUNTIF($E198:AE198,1),ColTypeEcheance)),
  IF(LEN(AE198)=1,
  IF(LEN(INDEX(Roadmap!$D:$K,MATCH($E198,Roadmap!$D:$D,0)-1+COUNTIF($E198:AE198,"u")+COUNTIF($E198:AE198,"t")+COUNTIF($E198:AE198,"¶")+COUNTIF($E198:AE198,"²")+COUNTIF($E198:AE198,"µ")+COUNTIF($E198:AE198,1),ColDescriptionCourte))&gt;1,
HYPERLINK("#Roadmap!C"&amp; MATCH($E198,Roadmap!$D:$D,0)+COUNTIF($E198:AE198,"u")+COUNTIF($E198:AE198,"t")+COUNTIF($E198:AE198,"¶")+COUNTIF($E198:AE198,"²")+COUNTIF($E198:AE198,"µ")+COUNTIF($E198:AE198,1)-1,INDEX(Roadmap!$D:$K,MATCH($E198,Roadmap!$D:$D,0)-1+COUNTIF($E198:AE198,"u")+COUNTIF($E198:AE198,"t")+COUNTIF($E198:AE198,"¶")+COUNTIF($E198:AE198,"²")+COUNTIF($E198:AE198,"µ")+COUNTIF($E198:AE198,1),ColDescriptionCourte)),""),
  "")),"")</f>
        <v/>
      </c>
      <c r="AG198" s="40" t="str">
        <f ca="1">IFERROR(IF(AND(
  INDEX(Roadmap!$D:$K,MATCH($E198,Roadmap!$D:$D,0)+COUNTIF($E198:AF198,"u")+COUNTIF($E198:AF198,"t")+COUNTIF($E198:AF198,"¶")+COUNTIF($E198:AF198,"²")+COUNTIF($E198:AF198,"µ")+COUNTIF($E198:AF198,1),ColLivraison)=AG$6,
  VLOOKUP($E198,INDIRECT("tri!"&amp; CHAR(64+ C0Col) &amp;":"&amp; CHAR(65+C0Col)),2,FALSE)&gt;COUNTIF($E198:AF198,"u")+COUNTIF($E198:AF198,"t")+COUNTIF($E198:AF198,"¶")+COUNTIF($E198:AF198,"²")+COUNTIF($E198:AF198,"µ")+COUNTIF($E198:AF198,1)),
HYPERLINK("#Roadmap!C"&amp; MATCH($E198,Roadmap!$D:$D,0)+COUNTIF($E198:AF198,"u")+COUNTIF($E198:AF198,"t"),
     INDEX(Roadmap!$D:$K,MATCH($E198,Roadmap!$D:$D,0)+COUNTIF($E198:AF198,"u")+COUNTIF($E198:AF198,"t")+COUNTIF($E198:AF198,"¶")+COUNTIF($E198:AF198,"²")+COUNTIF($E198:AF198,"µ")+COUNTIF($E198:AF198,1),ColTypeEcheance)),
  IF(LEN(AF198)=1,
  IF(LEN(INDEX(Roadmap!$D:$K,MATCH($E198,Roadmap!$D:$D,0)-1+COUNTIF($E198:AF198,"u")+COUNTIF($E198:AF198,"t")+COUNTIF($E198:AF198,"¶")+COUNTIF($E198:AF198,"²")+COUNTIF($E198:AF198,"µ")+COUNTIF($E198:AF198,1),ColDescriptionCourte))&gt;1,
HYPERLINK("#Roadmap!C"&amp; MATCH($E198,Roadmap!$D:$D,0)+COUNTIF($E198:AF198,"u")+COUNTIF($E198:AF198,"t")+COUNTIF($E198:AF198,"¶")+COUNTIF($E198:AF198,"²")+COUNTIF($E198:AF198,"µ")+COUNTIF($E198:AF198,1)-1,INDEX(Roadmap!$D:$K,MATCH($E198,Roadmap!$D:$D,0)-1+COUNTIF($E198:AF198,"u")+COUNTIF($E198:AF198,"t")+COUNTIF($E198:AF198,"¶")+COUNTIF($E198:AF198,"²")+COUNTIF($E198:AF198,"µ")+COUNTIF($E198:AF198,1),ColDescriptionCourte)),""),
  "")),"")</f>
        <v/>
      </c>
    </row>
    <row r="199" spans="3:33" ht="14.25" customHeight="1">
      <c r="C199" s="1" t="str">
        <f t="shared" ca="1" si="54"/>
        <v/>
      </c>
      <c r="D199" s="1" t="str">
        <f t="shared" ca="1" si="55"/>
        <v/>
      </c>
      <c r="E199" s="35" t="str">
        <f t="shared" ca="1" si="56"/>
        <v/>
      </c>
      <c r="F199" s="39" t="str">
        <f ca="1">IFERROR(IF(AND(
  INDEX(Roadmap!$D:$K,MATCH($E199,Roadmap!$D:$D,0)+COUNTIF($E199:E199,"u")+COUNTIF($E199:E199,"t")+COUNTIF($E199:E199,"¶")+COUNTIF($E199:E199,"²")+COUNTIF($E199:E199,"µ")+COUNTIF($E199:E199,1),ColLivraison)=F$6,
  VLOOKUP($E199,INDIRECT("tri!"&amp; CHAR(64+ C0Col) &amp;":"&amp; CHAR(65+C0Col)),2,FALSE)&gt;COUNTIF($E199:E199,"u")+COUNTIF($E199:E199,"t")+COUNTIF($E199:E199,"¶")+COUNTIF($E199:E199,"²")+COUNTIF($E199:E199,"µ")+COUNTIF($E199:E199,1)),
HYPERLINK("#Roadmap!C"&amp; MATCH($E199,Roadmap!$D:$D,0)+COUNTIF($E199:E199,"u")+COUNTIF($E199:E199,"t"),
     INDEX(Roadmap!$D:$K,MATCH($E199,Roadmap!$D:$D,0)+COUNTIF($E199:E199,"u")+COUNTIF($E199:E199,"t")+COUNTIF($E199:E199,"¶")+COUNTIF($E199:E199,"²")+COUNTIF($E199:E199,"µ")+COUNTIF($E199:E199,1),ColTypeEcheance)),
  IF(LEN(E199)=1,
  IF(LEN(INDEX(Roadmap!$D:$K,MATCH($E199,Roadmap!$D:$D,0)-1+COUNTIF($E199:E199,"u")+COUNTIF($E199:E199,"t")+COUNTIF($E199:E199,"¶")+COUNTIF($E199:E199,"²")+COUNTIF($E199:E199,"µ")+COUNTIF($E199:E199,1),ColDescriptionCourte))&gt;1,
HYPERLINK("#Roadmap!C"&amp; MATCH($E199,Roadmap!$D:$D,0)+COUNTIF($E199:E199,"u")+COUNTIF($E199:E199,"t")+COUNTIF($E199:E199,"¶")+COUNTIF($E199:E199,"²")+COUNTIF($E199:E199,"µ")+COUNTIF($E199:E199,1)-1,INDEX(Roadmap!$D:$K,MATCH($E199,Roadmap!$D:$D,0)-1+COUNTIF($E199:E199,"u")+COUNTIF($E199:E199,"t")+COUNTIF($E199:E199,"¶")+COUNTIF($E199:E199,"²")+COUNTIF($E199:E199,"µ")+COUNTIF($E199:E199,1),ColDescriptionCourte)),""),
  "")),"")</f>
        <v/>
      </c>
      <c r="G199" s="40" t="str">
        <f ca="1">IFERROR(IF(AND(
  INDEX(Roadmap!$D:$K,MATCH($E199,Roadmap!$D:$D,0)+COUNTIF($E199:F199,"u")+COUNTIF($E199:F199,"t")+COUNTIF($E199:F199,"¶")+COUNTIF($E199:F199,"²")+COUNTIF($E199:F199,"µ")+COUNTIF($E199:F199,1),ColLivraison)=G$6,
  VLOOKUP($E199,INDIRECT("tri!"&amp; CHAR(64+ C0Col) &amp;":"&amp; CHAR(65+C0Col)),2,FALSE)&gt;COUNTIF($E199:F199,"u")+COUNTIF($E199:F199,"t")+COUNTIF($E199:F199,"¶")+COUNTIF($E199:F199,"²")+COUNTIF($E199:F199,"µ")+COUNTIF($E199:F199,1)),
HYPERLINK("#Roadmap!C"&amp; MATCH($E199,Roadmap!$D:$D,0)+COUNTIF($E199:F199,"u")+COUNTIF($E199:F199,"t"),
     INDEX(Roadmap!$D:$K,MATCH($E199,Roadmap!$D:$D,0)+COUNTIF($E199:F199,"u")+COUNTIF($E199:F199,"t")+COUNTIF($E199:F199,"¶")+COUNTIF($E199:F199,"²")+COUNTIF($E199:F199,"µ")+COUNTIF($E199:F199,1),ColTypeEcheance)),
  IF(LEN(F199)=1,
  IF(LEN(INDEX(Roadmap!$D:$K,MATCH($E199,Roadmap!$D:$D,0)-1+COUNTIF($E199:F199,"u")+COUNTIF($E199:F199,"t")+COUNTIF($E199:F199,"¶")+COUNTIF($E199:F199,"²")+COUNTIF($E199:F199,"µ")+COUNTIF($E199:F199,1),ColDescriptionCourte))&gt;1,
HYPERLINK("#Roadmap!C"&amp; MATCH($E199,Roadmap!$D:$D,0)+COUNTIF($E199:F199,"u")+COUNTIF($E199:F199,"t")+COUNTIF($E199:F199,"¶")+COUNTIF($E199:F199,"²")+COUNTIF($E199:F199,"µ")+COUNTIF($E199:F199,1)-1,INDEX(Roadmap!$D:$K,MATCH($E199,Roadmap!$D:$D,0)-1+COUNTIF($E199:F199,"u")+COUNTIF($E199:F199,"t")+COUNTIF($E199:F199,"¶")+COUNTIF($E199:F199,"²")+COUNTIF($E199:F199,"µ")+COUNTIF($E199:F199,1),ColDescriptionCourte)),""),
  "")),"")</f>
        <v/>
      </c>
      <c r="H199" s="40" t="str">
        <f ca="1">IFERROR(IF(AND(
  INDEX(Roadmap!$D:$K,MATCH($E199,Roadmap!$D:$D,0)+COUNTIF($E199:G199,"u")+COUNTIF($E199:G199,"t")+COUNTIF($E199:G199,"¶")+COUNTIF($E199:G199,"²")+COUNTIF($E199:G199,"µ")+COUNTIF($E199:G199,1),ColLivraison)=H$6,
  VLOOKUP($E199,INDIRECT("tri!"&amp; CHAR(64+ C0Col) &amp;":"&amp; CHAR(65+C0Col)),2,FALSE)&gt;COUNTIF($E199:G199,"u")+COUNTIF($E199:G199,"t")+COUNTIF($E199:G199,"¶")+COUNTIF($E199:G199,"²")+COUNTIF($E199:G199,"µ")+COUNTIF($E199:G199,1)),
HYPERLINK("#Roadmap!C"&amp; MATCH($E199,Roadmap!$D:$D,0)+COUNTIF($E199:G199,"u")+COUNTIF($E199:G199,"t"),
     INDEX(Roadmap!$D:$K,MATCH($E199,Roadmap!$D:$D,0)+COUNTIF($E199:G199,"u")+COUNTIF($E199:G199,"t")+COUNTIF($E199:G199,"¶")+COUNTIF($E199:G199,"²")+COUNTIF($E199:G199,"µ")+COUNTIF($E199:G199,1),ColTypeEcheance)),
  IF(LEN(G199)=1,
  IF(LEN(INDEX(Roadmap!$D:$K,MATCH($E199,Roadmap!$D:$D,0)-1+COUNTIF($E199:G199,"u")+COUNTIF($E199:G199,"t")+COUNTIF($E199:G199,"¶")+COUNTIF($E199:G199,"²")+COUNTIF($E199:G199,"µ")+COUNTIF($E199:G199,1),ColDescriptionCourte))&gt;1,
HYPERLINK("#Roadmap!C"&amp; MATCH($E199,Roadmap!$D:$D,0)+COUNTIF($E199:G199,"u")+COUNTIF($E199:G199,"t")+COUNTIF($E199:G199,"¶")+COUNTIF($E199:G199,"²")+COUNTIF($E199:G199,"µ")+COUNTIF($E199:G199,1)-1,INDEX(Roadmap!$D:$K,MATCH($E199,Roadmap!$D:$D,0)-1+COUNTIF($E199:G199,"u")+COUNTIF($E199:G199,"t")+COUNTIF($E199:G199,"¶")+COUNTIF($E199:G199,"²")+COUNTIF($E199:G199,"µ")+COUNTIF($E199:G199,1),ColDescriptionCourte)),""),
  "")),"")</f>
        <v/>
      </c>
      <c r="I199" s="40" t="str">
        <f ca="1">IFERROR(IF(AND(
  INDEX(Roadmap!$D:$K,MATCH($E199,Roadmap!$D:$D,0)+COUNTIF($E199:H199,"u")+COUNTIF($E199:H199,"t")+COUNTIF($E199:H199,"¶")+COUNTIF($E199:H199,"²")+COUNTIF($E199:H199,"µ")+COUNTIF($E199:H199,1),ColLivraison)=I$6,
  VLOOKUP($E199,INDIRECT("tri!"&amp; CHAR(64+ C0Col) &amp;":"&amp; CHAR(65+C0Col)),2,FALSE)&gt;COUNTIF($E199:H199,"u")+COUNTIF($E199:H199,"t")+COUNTIF($E199:H199,"¶")+COUNTIF($E199:H199,"²")+COUNTIF($E199:H199,"µ")+COUNTIF($E199:H199,1)),
HYPERLINK("#Roadmap!C"&amp; MATCH($E199,Roadmap!$D:$D,0)+COUNTIF($E199:H199,"u")+COUNTIF($E199:H199,"t"),
     INDEX(Roadmap!$D:$K,MATCH($E199,Roadmap!$D:$D,0)+COUNTIF($E199:H199,"u")+COUNTIF($E199:H199,"t")+COUNTIF($E199:H199,"¶")+COUNTIF($E199:H199,"²")+COUNTIF($E199:H199,"µ")+COUNTIF($E199:H199,1),ColTypeEcheance)),
  IF(LEN(H199)=1,
  IF(LEN(INDEX(Roadmap!$D:$K,MATCH($E199,Roadmap!$D:$D,0)-1+COUNTIF($E199:H199,"u")+COUNTIF($E199:H199,"t")+COUNTIF($E199:H199,"¶")+COUNTIF($E199:H199,"²")+COUNTIF($E199:H199,"µ")+COUNTIF($E199:H199,1),ColDescriptionCourte))&gt;1,
HYPERLINK("#Roadmap!C"&amp; MATCH($E199,Roadmap!$D:$D,0)+COUNTIF($E199:H199,"u")+COUNTIF($E199:H199,"t")+COUNTIF($E199:H199,"¶")+COUNTIF($E199:H199,"²")+COUNTIF($E199:H199,"µ")+COUNTIF($E199:H199,1)-1,INDEX(Roadmap!$D:$K,MATCH($E199,Roadmap!$D:$D,0)-1+COUNTIF($E199:H199,"u")+COUNTIF($E199:H199,"t")+COUNTIF($E199:H199,"¶")+COUNTIF($E199:H199,"²")+COUNTIF($E199:H199,"µ")+COUNTIF($E199:H199,1),ColDescriptionCourte)),""),
  "")),"")</f>
        <v/>
      </c>
      <c r="J199" s="40" t="str">
        <f ca="1">IFERROR(IF(AND(
  INDEX(Roadmap!$D:$K,MATCH($E199,Roadmap!$D:$D,0)+COUNTIF($E199:I199,"u")+COUNTIF($E199:I199,"t")+COUNTIF($E199:I199,"¶")+COUNTIF($E199:I199,"²")+COUNTIF($E199:I199,"µ")+COUNTIF($E199:I199,1),ColLivraison)=J$6,
  VLOOKUP($E199,INDIRECT("tri!"&amp; CHAR(64+ C0Col) &amp;":"&amp; CHAR(65+C0Col)),2,FALSE)&gt;COUNTIF($E199:I199,"u")+COUNTIF($E199:I199,"t")+COUNTIF($E199:I199,"¶")+COUNTIF($E199:I199,"²")+COUNTIF($E199:I199,"µ")+COUNTIF($E199:I199,1)),
HYPERLINK("#Roadmap!C"&amp; MATCH($E199,Roadmap!$D:$D,0)+COUNTIF($E199:I199,"u")+COUNTIF($E199:I199,"t"),
     INDEX(Roadmap!$D:$K,MATCH($E199,Roadmap!$D:$D,0)+COUNTIF($E199:I199,"u")+COUNTIF($E199:I199,"t")+COUNTIF($E199:I199,"¶")+COUNTIF($E199:I199,"²")+COUNTIF($E199:I199,"µ")+COUNTIF($E199:I199,1),ColTypeEcheance)),
  IF(LEN(I199)=1,
  IF(LEN(INDEX(Roadmap!$D:$K,MATCH($E199,Roadmap!$D:$D,0)-1+COUNTIF($E199:I199,"u")+COUNTIF($E199:I199,"t")+COUNTIF($E199:I199,"¶")+COUNTIF($E199:I199,"²")+COUNTIF($E199:I199,"µ")+COUNTIF($E199:I199,1),ColDescriptionCourte))&gt;1,
HYPERLINK("#Roadmap!C"&amp; MATCH($E199,Roadmap!$D:$D,0)+COUNTIF($E199:I199,"u")+COUNTIF($E199:I199,"t")+COUNTIF($E199:I199,"¶")+COUNTIF($E199:I199,"²")+COUNTIF($E199:I199,"µ")+COUNTIF($E199:I199,1)-1,INDEX(Roadmap!$D:$K,MATCH($E199,Roadmap!$D:$D,0)-1+COUNTIF($E199:I199,"u")+COUNTIF($E199:I199,"t")+COUNTIF($E199:I199,"¶")+COUNTIF($E199:I199,"²")+COUNTIF($E199:I199,"µ")+COUNTIF($E199:I199,1),ColDescriptionCourte)),""),
  "")),"")</f>
        <v/>
      </c>
      <c r="K199" s="40" t="str">
        <f ca="1">IFERROR(IF(AND(
  INDEX(Roadmap!$D:$K,MATCH($E199,Roadmap!$D:$D,0)+COUNTIF($E199:J199,"u")+COUNTIF($E199:J199,"t")+COUNTIF($E199:J199,"¶")+COUNTIF($E199:J199,"²")+COUNTIF($E199:J199,"µ")+COUNTIF($E199:J199,1),ColLivraison)=K$6,
  VLOOKUP($E199,INDIRECT("tri!"&amp; CHAR(64+ C0Col) &amp;":"&amp; CHAR(65+C0Col)),2,FALSE)&gt;COUNTIF($E199:J199,"u")+COUNTIF($E199:J199,"t")+COUNTIF($E199:J199,"¶")+COUNTIF($E199:J199,"²")+COUNTIF($E199:J199,"µ")+COUNTIF($E199:J199,1)),
HYPERLINK("#Roadmap!C"&amp; MATCH($E199,Roadmap!$D:$D,0)+COUNTIF($E199:J199,"u")+COUNTIF($E199:J199,"t"),
     INDEX(Roadmap!$D:$K,MATCH($E199,Roadmap!$D:$D,0)+COUNTIF($E199:J199,"u")+COUNTIF($E199:J199,"t")+COUNTIF($E199:J199,"¶")+COUNTIF($E199:J199,"²")+COUNTIF($E199:J199,"µ")+COUNTIF($E199:J199,1),ColTypeEcheance)),
  IF(LEN(J199)=1,
  IF(LEN(INDEX(Roadmap!$D:$K,MATCH($E199,Roadmap!$D:$D,0)-1+COUNTIF($E199:J199,"u")+COUNTIF($E199:J199,"t")+COUNTIF($E199:J199,"¶")+COUNTIF($E199:J199,"²")+COUNTIF($E199:J199,"µ")+COUNTIF($E199:J199,1),ColDescriptionCourte))&gt;1,
HYPERLINK("#Roadmap!C"&amp; MATCH($E199,Roadmap!$D:$D,0)+COUNTIF($E199:J199,"u")+COUNTIF($E199:J199,"t")+COUNTIF($E199:J199,"¶")+COUNTIF($E199:J199,"²")+COUNTIF($E199:J199,"µ")+COUNTIF($E199:J199,1)-1,INDEX(Roadmap!$D:$K,MATCH($E199,Roadmap!$D:$D,0)-1+COUNTIF($E199:J199,"u")+COUNTIF($E199:J199,"t")+COUNTIF($E199:J199,"¶")+COUNTIF($E199:J199,"²")+COUNTIF($E199:J199,"µ")+COUNTIF($E199:J199,1),ColDescriptionCourte)),""),
  "")),"")</f>
        <v/>
      </c>
      <c r="L199" s="39" t="str">
        <f ca="1">IFERROR(IF(AND(
  INDEX(Roadmap!$D:$K,MATCH($E199,Roadmap!$D:$D,0)+COUNTIF($E199:K199,"u")+COUNTIF($E199:K199,"t")+COUNTIF($E199:K199,"¶")+COUNTIF($E199:K199,"²")+COUNTIF($E199:K199,"µ")+COUNTIF($E199:K199,1),ColLivraison)=L$6,
  VLOOKUP($E199,INDIRECT("tri!"&amp; CHAR(64+ C0Col) &amp;":"&amp; CHAR(65+C0Col)),2,FALSE)&gt;COUNTIF($E199:K199,"u")+COUNTIF($E199:K199,"t")+COUNTIF($E199:K199,"¶")+COUNTIF($E199:K199,"²")+COUNTIF($E199:K199,"µ")+COUNTIF($E199:K199,1)),
HYPERLINK("#Roadmap!C"&amp; MATCH($E199,Roadmap!$D:$D,0)+COUNTIF($E199:K199,"u")+COUNTIF($E199:K199,"t"),
     INDEX(Roadmap!$D:$K,MATCH($E199,Roadmap!$D:$D,0)+COUNTIF($E199:K199,"u")+COUNTIF($E199:K199,"t")+COUNTIF($E199:K199,"¶")+COUNTIF($E199:K199,"²")+COUNTIF($E199:K199,"µ")+COUNTIF($E199:K199,1),ColTypeEcheance)),
  IF(LEN(K199)=1,
  IF(LEN(INDEX(Roadmap!$D:$K,MATCH($E199,Roadmap!$D:$D,0)-1+COUNTIF($E199:K199,"u")+COUNTIF($E199:K199,"t")+COUNTIF($E199:K199,"¶")+COUNTIF($E199:K199,"²")+COUNTIF($E199:K199,"µ")+COUNTIF($E199:K199,1),ColDescriptionCourte))&gt;1,
HYPERLINK("#Roadmap!C"&amp; MATCH($E199,Roadmap!$D:$D,0)+COUNTIF($E199:K199,"u")+COUNTIF($E199:K199,"t")+COUNTIF($E199:K199,"¶")+COUNTIF($E199:K199,"²")+COUNTIF($E199:K199,"µ")+COUNTIF($E199:K199,1)-1,INDEX(Roadmap!$D:$K,MATCH($E199,Roadmap!$D:$D,0)-1+COUNTIF($E199:K199,"u")+COUNTIF($E199:K199,"t")+COUNTIF($E199:K199,"¶")+COUNTIF($E199:K199,"²")+COUNTIF($E199:K199,"µ")+COUNTIF($E199:K199,1),ColDescriptionCourte)),""),
  "")),"")</f>
        <v/>
      </c>
      <c r="M199" s="40" t="str">
        <f ca="1">IFERROR(IF(AND(
  INDEX(Roadmap!$D:$K,MATCH($E199,Roadmap!$D:$D,0)+COUNTIF($E199:L199,"u")+COUNTIF($E199:L199,"t")+COUNTIF($E199:L199,"¶")+COUNTIF($E199:L199,"²")+COUNTIF($E199:L199,"µ")+COUNTIF($E199:L199,1),ColLivraison)=M$6,
  VLOOKUP($E199,INDIRECT("tri!"&amp; CHAR(64+ C0Col) &amp;":"&amp; CHAR(65+C0Col)),2,FALSE)&gt;COUNTIF($E199:L199,"u")+COUNTIF($E199:L199,"t")+COUNTIF($E199:L199,"¶")+COUNTIF($E199:L199,"²")+COUNTIF($E199:L199,"µ")+COUNTIF($E199:L199,1)),
HYPERLINK("#Roadmap!C"&amp; MATCH($E199,Roadmap!$D:$D,0)+COUNTIF($E199:L199,"u")+COUNTIF($E199:L199,"t"),
     INDEX(Roadmap!$D:$K,MATCH($E199,Roadmap!$D:$D,0)+COUNTIF($E199:L199,"u")+COUNTIF($E199:L199,"t")+COUNTIF($E199:L199,"¶")+COUNTIF($E199:L199,"²")+COUNTIF($E199:L199,"µ")+COUNTIF($E199:L199,1),ColTypeEcheance)),
  IF(LEN(L199)=1,
  IF(LEN(INDEX(Roadmap!$D:$K,MATCH($E199,Roadmap!$D:$D,0)-1+COUNTIF($E199:L199,"u")+COUNTIF($E199:L199,"t")+COUNTIF($E199:L199,"¶")+COUNTIF($E199:L199,"²")+COUNTIF($E199:L199,"µ")+COUNTIF($E199:L199,1),ColDescriptionCourte))&gt;1,
HYPERLINK("#Roadmap!C"&amp; MATCH($E199,Roadmap!$D:$D,0)+COUNTIF($E199:L199,"u")+COUNTIF($E199:L199,"t")+COUNTIF($E199:L199,"¶")+COUNTIF($E199:L199,"²")+COUNTIF($E199:L199,"µ")+COUNTIF($E199:L199,1)-1,INDEX(Roadmap!$D:$K,MATCH($E199,Roadmap!$D:$D,0)-1+COUNTIF($E199:L199,"u")+COUNTIF($E199:L199,"t")+COUNTIF($E199:L199,"¶")+COUNTIF($E199:L199,"²")+COUNTIF($E199:L199,"µ")+COUNTIF($E199:L199,1),ColDescriptionCourte)),""),
  "")),"")</f>
        <v/>
      </c>
      <c r="N199" s="40" t="str">
        <f ca="1">IFERROR(IF(AND(
  INDEX(Roadmap!$D:$K,MATCH($E199,Roadmap!$D:$D,0)+COUNTIF($E199:M199,"u")+COUNTIF($E199:M199,"t")+COUNTIF($E199:M199,"¶")+COUNTIF($E199:M199,"²")+COUNTIF($E199:M199,"µ")+COUNTIF($E199:M199,1),ColLivraison)=N$6,
  VLOOKUP($E199,INDIRECT("tri!"&amp; CHAR(64+ C0Col) &amp;":"&amp; CHAR(65+C0Col)),2,FALSE)&gt;COUNTIF($E199:M199,"u")+COUNTIF($E199:M199,"t")+COUNTIF($E199:M199,"¶")+COUNTIF($E199:M199,"²")+COUNTIF($E199:M199,"µ")+COUNTIF($E199:M199,1)),
HYPERLINK("#Roadmap!C"&amp; MATCH($E199,Roadmap!$D:$D,0)+COUNTIF($E199:M199,"u")+COUNTIF($E199:M199,"t"),
     INDEX(Roadmap!$D:$K,MATCH($E199,Roadmap!$D:$D,0)+COUNTIF($E199:M199,"u")+COUNTIF($E199:M199,"t")+COUNTIF($E199:M199,"¶")+COUNTIF($E199:M199,"²")+COUNTIF($E199:M199,"µ")+COUNTIF($E199:M199,1),ColTypeEcheance)),
  IF(LEN(M199)=1,
  IF(LEN(INDEX(Roadmap!$D:$K,MATCH($E199,Roadmap!$D:$D,0)-1+COUNTIF($E199:M199,"u")+COUNTIF($E199:M199,"t")+COUNTIF($E199:M199,"¶")+COUNTIF($E199:M199,"²")+COUNTIF($E199:M199,"µ")+COUNTIF($E199:M199,1),ColDescriptionCourte))&gt;1,
HYPERLINK("#Roadmap!C"&amp; MATCH($E199,Roadmap!$D:$D,0)+COUNTIF($E199:M199,"u")+COUNTIF($E199:M199,"t")+COUNTIF($E199:M199,"¶")+COUNTIF($E199:M199,"²")+COUNTIF($E199:M199,"µ")+COUNTIF($E199:M199,1)-1,INDEX(Roadmap!$D:$K,MATCH($E199,Roadmap!$D:$D,0)-1+COUNTIF($E199:M199,"u")+COUNTIF($E199:M199,"t")+COUNTIF($E199:M199,"¶")+COUNTIF($E199:M199,"²")+COUNTIF($E199:M199,"µ")+COUNTIF($E199:M199,1),ColDescriptionCourte)),""),
  "")),"")</f>
        <v/>
      </c>
      <c r="O199" s="40" t="str">
        <f ca="1">IFERROR(IF(AND(
  INDEX(Roadmap!$D:$K,MATCH($E199,Roadmap!$D:$D,0)+COUNTIF($E199:N199,"u")+COUNTIF($E199:N199,"t")+COUNTIF($E199:N199,"¶")+COUNTIF($E199:N199,"²")+COUNTIF($E199:N199,"µ")+COUNTIF($E199:N199,1),ColLivraison)=O$6,
  VLOOKUP($E199,INDIRECT("tri!"&amp; CHAR(64+ C0Col) &amp;":"&amp; CHAR(65+C0Col)),2,FALSE)&gt;COUNTIF($E199:N199,"u")+COUNTIF($E199:N199,"t")+COUNTIF($E199:N199,"¶")+COUNTIF($E199:N199,"²")+COUNTIF($E199:N199,"µ")+COUNTIF($E199:N199,1)),
HYPERLINK("#Roadmap!C"&amp; MATCH($E199,Roadmap!$D:$D,0)+COUNTIF($E199:N199,"u")+COUNTIF($E199:N199,"t"),
     INDEX(Roadmap!$D:$K,MATCH($E199,Roadmap!$D:$D,0)+COUNTIF($E199:N199,"u")+COUNTIF($E199:N199,"t")+COUNTIF($E199:N199,"¶")+COUNTIF($E199:N199,"²")+COUNTIF($E199:N199,"µ")+COUNTIF($E199:N199,1),ColTypeEcheance)),
  IF(LEN(N199)=1,
  IF(LEN(INDEX(Roadmap!$D:$K,MATCH($E199,Roadmap!$D:$D,0)-1+COUNTIF($E199:N199,"u")+COUNTIF($E199:N199,"t")+COUNTIF($E199:N199,"¶")+COUNTIF($E199:N199,"²")+COUNTIF($E199:N199,"µ")+COUNTIF($E199:N199,1),ColDescriptionCourte))&gt;1,
HYPERLINK("#Roadmap!C"&amp; MATCH($E199,Roadmap!$D:$D,0)+COUNTIF($E199:N199,"u")+COUNTIF($E199:N199,"t")+COUNTIF($E199:N199,"¶")+COUNTIF($E199:N199,"²")+COUNTIF($E199:N199,"µ")+COUNTIF($E199:N199,1)-1,INDEX(Roadmap!$D:$K,MATCH($E199,Roadmap!$D:$D,0)-1+COUNTIF($E199:N199,"u")+COUNTIF($E199:N199,"t")+COUNTIF($E199:N199,"¶")+COUNTIF($E199:N199,"²")+COUNTIF($E199:N199,"µ")+COUNTIF($E199:N199,1),ColDescriptionCourte)),""),
  "")),"")</f>
        <v/>
      </c>
      <c r="P199" s="40" t="str">
        <f ca="1">IFERROR(IF(AND(
  INDEX(Roadmap!$D:$K,MATCH($E199,Roadmap!$D:$D,0)+COUNTIF($E199:O199,"u")+COUNTIF($E199:O199,"t")+COUNTIF($E199:O199,"¶")+COUNTIF($E199:O199,"²")+COUNTIF($E199:O199,"µ")+COUNTIF($E199:O199,1),ColLivraison)=P$6,
  VLOOKUP($E199,INDIRECT("tri!"&amp; CHAR(64+ C0Col) &amp;":"&amp; CHAR(65+C0Col)),2,FALSE)&gt;COUNTIF($E199:O199,"u")+COUNTIF($E199:O199,"t")+COUNTIF($E199:O199,"¶")+COUNTIF($E199:O199,"²")+COUNTIF($E199:O199,"µ")+COUNTIF($E199:O199,1)),
HYPERLINK("#Roadmap!C"&amp; MATCH($E199,Roadmap!$D:$D,0)+COUNTIF($E199:O199,"u")+COUNTIF($E199:O199,"t"),
     INDEX(Roadmap!$D:$K,MATCH($E199,Roadmap!$D:$D,0)+COUNTIF($E199:O199,"u")+COUNTIF($E199:O199,"t")+COUNTIF($E199:O199,"¶")+COUNTIF($E199:O199,"²")+COUNTIF($E199:O199,"µ")+COUNTIF($E199:O199,1),ColTypeEcheance)),
  IF(LEN(O199)=1,
  IF(LEN(INDEX(Roadmap!$D:$K,MATCH($E199,Roadmap!$D:$D,0)-1+COUNTIF($E199:O199,"u")+COUNTIF($E199:O199,"t")+COUNTIF($E199:O199,"¶")+COUNTIF($E199:O199,"²")+COUNTIF($E199:O199,"µ")+COUNTIF($E199:O199,1),ColDescriptionCourte))&gt;1,
HYPERLINK("#Roadmap!C"&amp; MATCH($E199,Roadmap!$D:$D,0)+COUNTIF($E199:O199,"u")+COUNTIF($E199:O199,"t")+COUNTIF($E199:O199,"¶")+COUNTIF($E199:O199,"²")+COUNTIF($E199:O199,"µ")+COUNTIF($E199:O199,1)-1,INDEX(Roadmap!$D:$K,MATCH($E199,Roadmap!$D:$D,0)-1+COUNTIF($E199:O199,"u")+COUNTIF($E199:O199,"t")+COUNTIF($E199:O199,"¶")+COUNTIF($E199:O199,"²")+COUNTIF($E199:O199,"µ")+COUNTIF($E199:O199,1),ColDescriptionCourte)),""),
  "")),"")</f>
        <v/>
      </c>
      <c r="Q199" s="40" t="str">
        <f ca="1">IFERROR(IF(AND(
  INDEX(Roadmap!$D:$K,MATCH($E199,Roadmap!$D:$D,0)+COUNTIF($E199:P199,"u")+COUNTIF($E199:P199,"t")+COUNTIF($E199:P199,"¶")+COUNTIF($E199:P199,"²")+COUNTIF($E199:P199,"µ")+COUNTIF($E199:P199,1),ColLivraison)=Q$6,
  VLOOKUP($E199,INDIRECT("tri!"&amp; CHAR(64+ C0Col) &amp;":"&amp; CHAR(65+C0Col)),2,FALSE)&gt;COUNTIF($E199:P199,"u")+COUNTIF($E199:P199,"t")+COUNTIF($E199:P199,"¶")+COUNTIF($E199:P199,"²")+COUNTIF($E199:P199,"µ")+COUNTIF($E199:P199,1)),
HYPERLINK("#Roadmap!C"&amp; MATCH($E199,Roadmap!$D:$D,0)+COUNTIF($E199:P199,"u")+COUNTIF($E199:P199,"t"),
     INDEX(Roadmap!$D:$K,MATCH($E199,Roadmap!$D:$D,0)+COUNTIF($E199:P199,"u")+COUNTIF($E199:P199,"t")+COUNTIF($E199:P199,"¶")+COUNTIF($E199:P199,"²")+COUNTIF($E199:P199,"µ")+COUNTIF($E199:P199,1),ColTypeEcheance)),
  IF(LEN(P199)=1,
  IF(LEN(INDEX(Roadmap!$D:$K,MATCH($E199,Roadmap!$D:$D,0)-1+COUNTIF($E199:P199,"u")+COUNTIF($E199:P199,"t")+COUNTIF($E199:P199,"¶")+COUNTIF($E199:P199,"²")+COUNTIF($E199:P199,"µ")+COUNTIF($E199:P199,1),ColDescriptionCourte))&gt;1,
HYPERLINK("#Roadmap!C"&amp; MATCH($E199,Roadmap!$D:$D,0)+COUNTIF($E199:P199,"u")+COUNTIF($E199:P199,"t")+COUNTIF($E199:P199,"¶")+COUNTIF($E199:P199,"²")+COUNTIF($E199:P199,"µ")+COUNTIF($E199:P199,1)-1,INDEX(Roadmap!$D:$K,MATCH($E199,Roadmap!$D:$D,0)-1+COUNTIF($E199:P199,"u")+COUNTIF($E199:P199,"t")+COUNTIF($E199:P199,"¶")+COUNTIF($E199:P199,"²")+COUNTIF($E199:P199,"µ")+COUNTIF($E199:P199,1),ColDescriptionCourte)),""),
  "")),"")</f>
        <v/>
      </c>
      <c r="R199" s="40" t="str">
        <f ca="1">IFERROR(IF(AND(
  INDEX(Roadmap!$D:$K,MATCH($E199,Roadmap!$D:$D,0)+COUNTIF($E199:Q199,"u")+COUNTIF($E199:Q199,"t")+COUNTIF($E199:Q199,"¶")+COUNTIF($E199:Q199,"²")+COUNTIF($E199:Q199,"µ")+COUNTIF($E199:Q199,1),ColLivraison)=R$6,
  VLOOKUP($E199,INDIRECT("tri!"&amp; CHAR(64+ C0Col) &amp;":"&amp; CHAR(65+C0Col)),2,FALSE)&gt;COUNTIF($E199:Q199,"u")+COUNTIF($E199:Q199,"t")+COUNTIF($E199:Q199,"¶")+COUNTIF($E199:Q199,"²")+COUNTIF($E199:Q199,"µ")+COUNTIF($E199:Q199,1)),
HYPERLINK("#Roadmap!C"&amp; MATCH($E199,Roadmap!$D:$D,0)+COUNTIF($E199:Q199,"u")+COUNTIF($E199:Q199,"t"),
     INDEX(Roadmap!$D:$K,MATCH($E199,Roadmap!$D:$D,0)+COUNTIF($E199:Q199,"u")+COUNTIF($E199:Q199,"t")+COUNTIF($E199:Q199,"¶")+COUNTIF($E199:Q199,"²")+COUNTIF($E199:Q199,"µ")+COUNTIF($E199:Q199,1),ColTypeEcheance)),
  IF(LEN(Q199)=1,
  IF(LEN(INDEX(Roadmap!$D:$K,MATCH($E199,Roadmap!$D:$D,0)-1+COUNTIF($E199:Q199,"u")+COUNTIF($E199:Q199,"t")+COUNTIF($E199:Q199,"¶")+COUNTIF($E199:Q199,"²")+COUNTIF($E199:Q199,"µ")+COUNTIF($E199:Q199,1),ColDescriptionCourte))&gt;1,
HYPERLINK("#Roadmap!C"&amp; MATCH($E199,Roadmap!$D:$D,0)+COUNTIF($E199:Q199,"u")+COUNTIF($E199:Q199,"t")+COUNTIF($E199:Q199,"¶")+COUNTIF($E199:Q199,"²")+COUNTIF($E199:Q199,"µ")+COUNTIF($E199:Q199,1)-1,INDEX(Roadmap!$D:$K,MATCH($E199,Roadmap!$D:$D,0)-1+COUNTIF($E199:Q199,"u")+COUNTIF($E199:Q199,"t")+COUNTIF($E199:Q199,"¶")+COUNTIF($E199:Q199,"²")+COUNTIF($E199:Q199,"µ")+COUNTIF($E199:Q199,1),ColDescriptionCourte)),""),
  "")),"")</f>
        <v/>
      </c>
      <c r="S199" s="40" t="str">
        <f ca="1">IFERROR(IF(AND(
  INDEX(Roadmap!$D:$K,MATCH($E199,Roadmap!$D:$D,0)+COUNTIF($E199:R199,"u")+COUNTIF($E199:R199,"t")+COUNTIF($E199:R199,"¶")+COUNTIF($E199:R199,"²")+COUNTIF($E199:R199,"µ")+COUNTIF($E199:R199,1),ColLivraison)=S$6,
  VLOOKUP($E199,INDIRECT("tri!"&amp; CHAR(64+ C0Col) &amp;":"&amp; CHAR(65+C0Col)),2,FALSE)&gt;COUNTIF($E199:R199,"u")+COUNTIF($E199:R199,"t")+COUNTIF($E199:R199,"¶")+COUNTIF($E199:R199,"²")+COUNTIF($E199:R199,"µ")+COUNTIF($E199:R199,1)),
HYPERLINK("#Roadmap!C"&amp; MATCH($E199,Roadmap!$D:$D,0)+COUNTIF($E199:R199,"u")+COUNTIF($E199:R199,"t"),
     INDEX(Roadmap!$D:$K,MATCH($E199,Roadmap!$D:$D,0)+COUNTIF($E199:R199,"u")+COUNTIF($E199:R199,"t")+COUNTIF($E199:R199,"¶")+COUNTIF($E199:R199,"²")+COUNTIF($E199:R199,"µ")+COUNTIF($E199:R199,1),ColTypeEcheance)),
  IF(LEN(R199)=1,
  IF(LEN(INDEX(Roadmap!$D:$K,MATCH($E199,Roadmap!$D:$D,0)-1+COUNTIF($E199:R199,"u")+COUNTIF($E199:R199,"t")+COUNTIF($E199:R199,"¶")+COUNTIF($E199:R199,"²")+COUNTIF($E199:R199,"µ")+COUNTIF($E199:R199,1),ColDescriptionCourte))&gt;1,
HYPERLINK("#Roadmap!C"&amp; MATCH($E199,Roadmap!$D:$D,0)+COUNTIF($E199:R199,"u")+COUNTIF($E199:R199,"t")+COUNTIF($E199:R199,"¶")+COUNTIF($E199:R199,"²")+COUNTIF($E199:R199,"µ")+COUNTIF($E199:R199,1)-1,INDEX(Roadmap!$D:$K,MATCH($E199,Roadmap!$D:$D,0)-1+COUNTIF($E199:R199,"u")+COUNTIF($E199:R199,"t")+COUNTIF($E199:R199,"¶")+COUNTIF($E199:R199,"²")+COUNTIF($E199:R199,"µ")+COUNTIF($E199:R199,1),ColDescriptionCourte)),""),
  "")),"")</f>
        <v/>
      </c>
      <c r="T199" s="40" t="str">
        <f ca="1">IFERROR(IF(AND(
  INDEX(Roadmap!$D:$K,MATCH($E199,Roadmap!$D:$D,0)+COUNTIF($E199:S199,"u")+COUNTIF($E199:S199,"t")+COUNTIF($E199:S199,"¶")+COUNTIF($E199:S199,"²")+COUNTIF($E199:S199,"µ")+COUNTIF($E199:S199,1),ColLivraison)=T$6,
  VLOOKUP($E199,INDIRECT("tri!"&amp; CHAR(64+ C0Col) &amp;":"&amp; CHAR(65+C0Col)),2,FALSE)&gt;COUNTIF($E199:S199,"u")+COUNTIF($E199:S199,"t")+COUNTIF($E199:S199,"¶")+COUNTIF($E199:S199,"²")+COUNTIF($E199:S199,"µ")+COUNTIF($E199:S199,1)),
HYPERLINK("#Roadmap!C"&amp; MATCH($E199,Roadmap!$D:$D,0)+COUNTIF($E199:S199,"u")+COUNTIF($E199:S199,"t"),
     INDEX(Roadmap!$D:$K,MATCH($E199,Roadmap!$D:$D,0)+COUNTIF($E199:S199,"u")+COUNTIF($E199:S199,"t")+COUNTIF($E199:S199,"¶")+COUNTIF($E199:S199,"²")+COUNTIF($E199:S199,"µ")+COUNTIF($E199:S199,1),ColTypeEcheance)),
  IF(LEN(S199)=1,
  IF(LEN(INDEX(Roadmap!$D:$K,MATCH($E199,Roadmap!$D:$D,0)-1+COUNTIF($E199:S199,"u")+COUNTIF($E199:S199,"t")+COUNTIF($E199:S199,"¶")+COUNTIF($E199:S199,"²")+COUNTIF($E199:S199,"µ")+COUNTIF($E199:S199,1),ColDescriptionCourte))&gt;1,
HYPERLINK("#Roadmap!C"&amp; MATCH($E199,Roadmap!$D:$D,0)+COUNTIF($E199:S199,"u")+COUNTIF($E199:S199,"t")+COUNTIF($E199:S199,"¶")+COUNTIF($E199:S199,"²")+COUNTIF($E199:S199,"µ")+COUNTIF($E199:S199,1)-1,INDEX(Roadmap!$D:$K,MATCH($E199,Roadmap!$D:$D,0)-1+COUNTIF($E199:S199,"u")+COUNTIF($E199:S199,"t")+COUNTIF($E199:S199,"¶")+COUNTIF($E199:S199,"²")+COUNTIF($E199:S199,"µ")+COUNTIF($E199:S199,1),ColDescriptionCourte)),""),
  "")),"")</f>
        <v/>
      </c>
      <c r="U199" s="40" t="str">
        <f ca="1">IFERROR(IF(AND(
  INDEX(Roadmap!$D:$K,MATCH($E199,Roadmap!$D:$D,0)+COUNTIF($E199:T199,"u")+COUNTIF($E199:T199,"t")+COUNTIF($E199:T199,"¶")+COUNTIF($E199:T199,"²")+COUNTIF($E199:T199,"µ")+COUNTIF($E199:T199,1),ColLivraison)=U$6,
  VLOOKUP($E199,INDIRECT("tri!"&amp; CHAR(64+ C0Col) &amp;":"&amp; CHAR(65+C0Col)),2,FALSE)&gt;COUNTIF($E199:T199,"u")+COUNTIF($E199:T199,"t")+COUNTIF($E199:T199,"¶")+COUNTIF($E199:T199,"²")+COUNTIF($E199:T199,"µ")+COUNTIF($E199:T199,1)),
HYPERLINK("#Roadmap!C"&amp; MATCH($E199,Roadmap!$D:$D,0)+COUNTIF($E199:T199,"u")+COUNTIF($E199:T199,"t"),
     INDEX(Roadmap!$D:$K,MATCH($E199,Roadmap!$D:$D,0)+COUNTIF($E199:T199,"u")+COUNTIF($E199:T199,"t")+COUNTIF($E199:T199,"¶")+COUNTIF($E199:T199,"²")+COUNTIF($E199:T199,"µ")+COUNTIF($E199:T199,1),ColTypeEcheance)),
  IF(LEN(T199)=1,
  IF(LEN(INDEX(Roadmap!$D:$K,MATCH($E199,Roadmap!$D:$D,0)-1+COUNTIF($E199:T199,"u")+COUNTIF($E199:T199,"t")+COUNTIF($E199:T199,"¶")+COUNTIF($E199:T199,"²")+COUNTIF($E199:T199,"µ")+COUNTIF($E199:T199,1),ColDescriptionCourte))&gt;1,
HYPERLINK("#Roadmap!C"&amp; MATCH($E199,Roadmap!$D:$D,0)+COUNTIF($E199:T199,"u")+COUNTIF($E199:T199,"t")+COUNTIF($E199:T199,"¶")+COUNTIF($E199:T199,"²")+COUNTIF($E199:T199,"µ")+COUNTIF($E199:T199,1)-1,INDEX(Roadmap!$D:$K,MATCH($E199,Roadmap!$D:$D,0)-1+COUNTIF($E199:T199,"u")+COUNTIF($E199:T199,"t")+COUNTIF($E199:T199,"¶")+COUNTIF($E199:T199,"²")+COUNTIF($E199:T199,"µ")+COUNTIF($E199:T199,1),ColDescriptionCourte)),""),
  "")),"")</f>
        <v/>
      </c>
      <c r="V199" s="40" t="str">
        <f ca="1">IFERROR(IF(AND(
  INDEX(Roadmap!$D:$K,MATCH($E199,Roadmap!$D:$D,0)+COUNTIF($E199:U199,"u")+COUNTIF($E199:U199,"t")+COUNTIF($E199:U199,"¶")+COUNTIF($E199:U199,"²")+COUNTIF($E199:U199,"µ")+COUNTIF($E199:U199,1),ColLivraison)=V$6,
  VLOOKUP($E199,INDIRECT("tri!"&amp; CHAR(64+ C0Col) &amp;":"&amp; CHAR(65+C0Col)),2,FALSE)&gt;COUNTIF($E199:U199,"u")+COUNTIF($E199:U199,"t")+COUNTIF($E199:U199,"¶")+COUNTIF($E199:U199,"²")+COUNTIF($E199:U199,"µ")+COUNTIF($E199:U199,1)),
HYPERLINK("#Roadmap!C"&amp; MATCH($E199,Roadmap!$D:$D,0)+COUNTIF($E199:U199,"u")+COUNTIF($E199:U199,"t"),
     INDEX(Roadmap!$D:$K,MATCH($E199,Roadmap!$D:$D,0)+COUNTIF($E199:U199,"u")+COUNTIF($E199:U199,"t")+COUNTIF($E199:U199,"¶")+COUNTIF($E199:U199,"²")+COUNTIF($E199:U199,"µ")+COUNTIF($E199:U199,1),ColTypeEcheance)),
  IF(LEN(U199)=1,
  IF(LEN(INDEX(Roadmap!$D:$K,MATCH($E199,Roadmap!$D:$D,0)-1+COUNTIF($E199:U199,"u")+COUNTIF($E199:U199,"t")+COUNTIF($E199:U199,"¶")+COUNTIF($E199:U199,"²")+COUNTIF($E199:U199,"µ")+COUNTIF($E199:U199,1),ColDescriptionCourte))&gt;1,
HYPERLINK("#Roadmap!C"&amp; MATCH($E199,Roadmap!$D:$D,0)+COUNTIF($E199:U199,"u")+COUNTIF($E199:U199,"t")+COUNTIF($E199:U199,"¶")+COUNTIF($E199:U199,"²")+COUNTIF($E199:U199,"µ")+COUNTIF($E199:U199,1)-1,INDEX(Roadmap!$D:$K,MATCH($E199,Roadmap!$D:$D,0)-1+COUNTIF($E199:U199,"u")+COUNTIF($E199:U199,"t")+COUNTIF($E199:U199,"¶")+COUNTIF($E199:U199,"²")+COUNTIF($E199:U199,"µ")+COUNTIF($E199:U199,1),ColDescriptionCourte)),""),
  "")),"")</f>
        <v/>
      </c>
      <c r="W199" s="40" t="str">
        <f ca="1">IFERROR(IF(AND(
  INDEX(Roadmap!$D:$K,MATCH($E199,Roadmap!$D:$D,0)+COUNTIF($E199:V199,"u")+COUNTIF($E199:V199,"t")+COUNTIF($E199:V199,"¶")+COUNTIF($E199:V199,"²")+COUNTIF($E199:V199,"µ")+COUNTIF($E199:V199,1),ColLivraison)=W$6,
  VLOOKUP($E199,INDIRECT("tri!"&amp; CHAR(64+ C0Col) &amp;":"&amp; CHAR(65+C0Col)),2,FALSE)&gt;COUNTIF($E199:V199,"u")+COUNTIF($E199:V199,"t")+COUNTIF($E199:V199,"¶")+COUNTIF($E199:V199,"²")+COUNTIF($E199:V199,"µ")+COUNTIF($E199:V199,1)),
HYPERLINK("#Roadmap!C"&amp; MATCH($E199,Roadmap!$D:$D,0)+COUNTIF($E199:V199,"u")+COUNTIF($E199:V199,"t"),
     INDEX(Roadmap!$D:$K,MATCH($E199,Roadmap!$D:$D,0)+COUNTIF($E199:V199,"u")+COUNTIF($E199:V199,"t")+COUNTIF($E199:V199,"¶")+COUNTIF($E199:V199,"²")+COUNTIF($E199:V199,"µ")+COUNTIF($E199:V199,1),ColTypeEcheance)),
  IF(LEN(V199)=1,
  IF(LEN(INDEX(Roadmap!$D:$K,MATCH($E199,Roadmap!$D:$D,0)-1+COUNTIF($E199:V199,"u")+COUNTIF($E199:V199,"t")+COUNTIF($E199:V199,"¶")+COUNTIF($E199:V199,"²")+COUNTIF($E199:V199,"µ")+COUNTIF($E199:V199,1),ColDescriptionCourte))&gt;1,
HYPERLINK("#Roadmap!C"&amp; MATCH($E199,Roadmap!$D:$D,0)+COUNTIF($E199:V199,"u")+COUNTIF($E199:V199,"t")+COUNTIF($E199:V199,"¶")+COUNTIF($E199:V199,"²")+COUNTIF($E199:V199,"µ")+COUNTIF($E199:V199,1)-1,INDEX(Roadmap!$D:$K,MATCH($E199,Roadmap!$D:$D,0)-1+COUNTIF($E199:V199,"u")+COUNTIF($E199:V199,"t")+COUNTIF($E199:V199,"¶")+COUNTIF($E199:V199,"²")+COUNTIF($E199:V199,"µ")+COUNTIF($E199:V199,1),ColDescriptionCourte)),""),
  "")),"")</f>
        <v/>
      </c>
      <c r="X199" s="40" t="str">
        <f ca="1">IFERROR(IF(AND(
  INDEX(Roadmap!$D:$K,MATCH($E199,Roadmap!$D:$D,0)+COUNTIF($E199:W199,"u")+COUNTIF($E199:W199,"t")+COUNTIF($E199:W199,"¶")+COUNTIF($E199:W199,"²")+COUNTIF($E199:W199,"µ")+COUNTIF($E199:W199,1),ColLivraison)=X$6,
  VLOOKUP($E199,INDIRECT("tri!"&amp; CHAR(64+ C0Col) &amp;":"&amp; CHAR(65+C0Col)),2,FALSE)&gt;COUNTIF($E199:W199,"u")+COUNTIF($E199:W199,"t")+COUNTIF($E199:W199,"¶")+COUNTIF($E199:W199,"²")+COUNTIF($E199:W199,"µ")+COUNTIF($E199:W199,1)),
HYPERLINK("#Roadmap!C"&amp; MATCH($E199,Roadmap!$D:$D,0)+COUNTIF($E199:W199,"u")+COUNTIF($E199:W199,"t"),
     INDEX(Roadmap!$D:$K,MATCH($E199,Roadmap!$D:$D,0)+COUNTIF($E199:W199,"u")+COUNTIF($E199:W199,"t")+COUNTIF($E199:W199,"¶")+COUNTIF($E199:W199,"²")+COUNTIF($E199:W199,"µ")+COUNTIF($E199:W199,1),ColTypeEcheance)),
  IF(LEN(W199)=1,
  IF(LEN(INDEX(Roadmap!$D:$K,MATCH($E199,Roadmap!$D:$D,0)-1+COUNTIF($E199:W199,"u")+COUNTIF($E199:W199,"t")+COUNTIF($E199:W199,"¶")+COUNTIF($E199:W199,"²")+COUNTIF($E199:W199,"µ")+COUNTIF($E199:W199,1),ColDescriptionCourte))&gt;1,
HYPERLINK("#Roadmap!C"&amp; MATCH($E199,Roadmap!$D:$D,0)+COUNTIF($E199:W199,"u")+COUNTIF($E199:W199,"t")+COUNTIF($E199:W199,"¶")+COUNTIF($E199:W199,"²")+COUNTIF($E199:W199,"µ")+COUNTIF($E199:W199,1)-1,INDEX(Roadmap!$D:$K,MATCH($E199,Roadmap!$D:$D,0)-1+COUNTIF($E199:W199,"u")+COUNTIF($E199:W199,"t")+COUNTIF($E199:W199,"¶")+COUNTIF($E199:W199,"²")+COUNTIF($E199:W199,"µ")+COUNTIF($E199:W199,1),ColDescriptionCourte)),""),
  "")),"")</f>
        <v/>
      </c>
      <c r="Y199" s="40" t="str">
        <f ca="1">IFERROR(IF(AND(
  INDEX(Roadmap!$D:$K,MATCH($E199,Roadmap!$D:$D,0)+COUNTIF($E199:X199,"u")+COUNTIF($E199:X199,"t")+COUNTIF($E199:X199,"¶")+COUNTIF($E199:X199,"²")+COUNTIF($E199:X199,"µ")+COUNTIF($E199:X199,1),ColLivraison)=Y$6,
  VLOOKUP($E199,INDIRECT("tri!"&amp; CHAR(64+ C0Col) &amp;":"&amp; CHAR(65+C0Col)),2,FALSE)&gt;COUNTIF($E199:X199,"u")+COUNTIF($E199:X199,"t")+COUNTIF($E199:X199,"¶")+COUNTIF($E199:X199,"²")+COUNTIF($E199:X199,"µ")+COUNTIF($E199:X199,1)),
HYPERLINK("#Roadmap!C"&amp; MATCH($E199,Roadmap!$D:$D,0)+COUNTIF($E199:X199,"u")+COUNTIF($E199:X199,"t"),
     INDEX(Roadmap!$D:$K,MATCH($E199,Roadmap!$D:$D,0)+COUNTIF($E199:X199,"u")+COUNTIF($E199:X199,"t")+COUNTIF($E199:X199,"¶")+COUNTIF($E199:X199,"²")+COUNTIF($E199:X199,"µ")+COUNTIF($E199:X199,1),ColTypeEcheance)),
  IF(LEN(X199)=1,
  IF(LEN(INDEX(Roadmap!$D:$K,MATCH($E199,Roadmap!$D:$D,0)-1+COUNTIF($E199:X199,"u")+COUNTIF($E199:X199,"t")+COUNTIF($E199:X199,"¶")+COUNTIF($E199:X199,"²")+COUNTIF($E199:X199,"µ")+COUNTIF($E199:X199,1),ColDescriptionCourte))&gt;1,
HYPERLINK("#Roadmap!C"&amp; MATCH($E199,Roadmap!$D:$D,0)+COUNTIF($E199:X199,"u")+COUNTIF($E199:X199,"t")+COUNTIF($E199:X199,"¶")+COUNTIF($E199:X199,"²")+COUNTIF($E199:X199,"µ")+COUNTIF($E199:X199,1)-1,INDEX(Roadmap!$D:$K,MATCH($E199,Roadmap!$D:$D,0)-1+COUNTIF($E199:X199,"u")+COUNTIF($E199:X199,"t")+COUNTIF($E199:X199,"¶")+COUNTIF($E199:X199,"²")+COUNTIF($E199:X199,"µ")+COUNTIF($E199:X199,1),ColDescriptionCourte)),""),
  "")),"")</f>
        <v/>
      </c>
      <c r="Z199" s="40" t="str">
        <f ca="1">IFERROR(IF(AND(
  INDEX(Roadmap!$D:$K,MATCH($E199,Roadmap!$D:$D,0)+COUNTIF($E199:Y199,"u")+COUNTIF($E199:Y199,"t")+COUNTIF($E199:Y199,"¶")+COUNTIF($E199:Y199,"²")+COUNTIF($E199:Y199,"µ")+COUNTIF($E199:Y199,1),ColLivraison)=Z$6,
  VLOOKUP($E199,INDIRECT("tri!"&amp; CHAR(64+ C0Col) &amp;":"&amp; CHAR(65+C0Col)),2,FALSE)&gt;COUNTIF($E199:Y199,"u")+COUNTIF($E199:Y199,"t")+COUNTIF($E199:Y199,"¶")+COUNTIF($E199:Y199,"²")+COUNTIF($E199:Y199,"µ")+COUNTIF($E199:Y199,1)),
HYPERLINK("#Roadmap!C"&amp; MATCH($E199,Roadmap!$D:$D,0)+COUNTIF($E199:Y199,"u")+COUNTIF($E199:Y199,"t"),
     INDEX(Roadmap!$D:$K,MATCH($E199,Roadmap!$D:$D,0)+COUNTIF($E199:Y199,"u")+COUNTIF($E199:Y199,"t")+COUNTIF($E199:Y199,"¶")+COUNTIF($E199:Y199,"²")+COUNTIF($E199:Y199,"µ")+COUNTIF($E199:Y199,1),ColTypeEcheance)),
  IF(LEN(Y199)=1,
  IF(LEN(INDEX(Roadmap!$D:$K,MATCH($E199,Roadmap!$D:$D,0)-1+COUNTIF($E199:Y199,"u")+COUNTIF($E199:Y199,"t")+COUNTIF($E199:Y199,"¶")+COUNTIF($E199:Y199,"²")+COUNTIF($E199:Y199,"µ")+COUNTIF($E199:Y199,1),ColDescriptionCourte))&gt;1,
HYPERLINK("#Roadmap!C"&amp; MATCH($E199,Roadmap!$D:$D,0)+COUNTIF($E199:Y199,"u")+COUNTIF($E199:Y199,"t")+COUNTIF($E199:Y199,"¶")+COUNTIF($E199:Y199,"²")+COUNTIF($E199:Y199,"µ")+COUNTIF($E199:Y199,1)-1,INDEX(Roadmap!$D:$K,MATCH($E199,Roadmap!$D:$D,0)-1+COUNTIF($E199:Y199,"u")+COUNTIF($E199:Y199,"t")+COUNTIF($E199:Y199,"¶")+COUNTIF($E199:Y199,"²")+COUNTIF($E199:Y199,"µ")+COUNTIF($E199:Y199,1),ColDescriptionCourte)),""),
  "")),"")</f>
        <v/>
      </c>
      <c r="AA199" s="40" t="str">
        <f ca="1">IFERROR(IF(AND(
  INDEX(Roadmap!$D:$K,MATCH($E199,Roadmap!$D:$D,0)+COUNTIF($E199:Z199,"u")+COUNTIF($E199:Z199,"t")+COUNTIF($E199:Z199,"¶")+COUNTIF($E199:Z199,"²")+COUNTIF($E199:Z199,"µ")+COUNTIF($E199:Z199,1),ColLivraison)=AA$6,
  VLOOKUP($E199,INDIRECT("tri!"&amp; CHAR(64+ C0Col) &amp;":"&amp; CHAR(65+C0Col)),2,FALSE)&gt;COUNTIF($E199:Z199,"u")+COUNTIF($E199:Z199,"t")+COUNTIF($E199:Z199,"¶")+COUNTIF($E199:Z199,"²")+COUNTIF($E199:Z199,"µ")+COUNTIF($E199:Z199,1)),
HYPERLINK("#Roadmap!C"&amp; MATCH($E199,Roadmap!$D:$D,0)+COUNTIF($E199:Z199,"u")+COUNTIF($E199:Z199,"t"),
     INDEX(Roadmap!$D:$K,MATCH($E199,Roadmap!$D:$D,0)+COUNTIF($E199:Z199,"u")+COUNTIF($E199:Z199,"t")+COUNTIF($E199:Z199,"¶")+COUNTIF($E199:Z199,"²")+COUNTIF($E199:Z199,"µ")+COUNTIF($E199:Z199,1),ColTypeEcheance)),
  IF(LEN(Z199)=1,
  IF(LEN(INDEX(Roadmap!$D:$K,MATCH($E199,Roadmap!$D:$D,0)-1+COUNTIF($E199:Z199,"u")+COUNTIF($E199:Z199,"t")+COUNTIF($E199:Z199,"¶")+COUNTIF($E199:Z199,"²")+COUNTIF($E199:Z199,"µ")+COUNTIF($E199:Z199,1),ColDescriptionCourte))&gt;1,
HYPERLINK("#Roadmap!C"&amp; MATCH($E199,Roadmap!$D:$D,0)+COUNTIF($E199:Z199,"u")+COUNTIF($E199:Z199,"t")+COUNTIF($E199:Z199,"¶")+COUNTIF($E199:Z199,"²")+COUNTIF($E199:Z199,"µ")+COUNTIF($E199:Z199,1)-1,INDEX(Roadmap!$D:$K,MATCH($E199,Roadmap!$D:$D,0)-1+COUNTIF($E199:Z199,"u")+COUNTIF($E199:Z199,"t")+COUNTIF($E199:Z199,"¶")+COUNTIF($E199:Z199,"²")+COUNTIF($E199:Z199,"µ")+COUNTIF($E199:Z199,1),ColDescriptionCourte)),""),
  "")),"")</f>
        <v/>
      </c>
      <c r="AB199" s="40" t="str">
        <f ca="1">IFERROR(IF(AND(
  INDEX(Roadmap!$D:$K,MATCH($E199,Roadmap!$D:$D,0)+COUNTIF($E199:AA199,"u")+COUNTIF($E199:AA199,"t")+COUNTIF($E199:AA199,"¶")+COUNTIF($E199:AA199,"²")+COUNTIF($E199:AA199,"µ")+COUNTIF($E199:AA199,1),ColLivraison)=AB$6,
  VLOOKUP($E199,INDIRECT("tri!"&amp; CHAR(64+ C0Col) &amp;":"&amp; CHAR(65+C0Col)),2,FALSE)&gt;COUNTIF($E199:AA199,"u")+COUNTIF($E199:AA199,"t")+COUNTIF($E199:AA199,"¶")+COUNTIF($E199:AA199,"²")+COUNTIF($E199:AA199,"µ")+COUNTIF($E199:AA199,1)),
HYPERLINK("#Roadmap!C"&amp; MATCH($E199,Roadmap!$D:$D,0)+COUNTIF($E199:AA199,"u")+COUNTIF($E199:AA199,"t"),
     INDEX(Roadmap!$D:$K,MATCH($E199,Roadmap!$D:$D,0)+COUNTIF($E199:AA199,"u")+COUNTIF($E199:AA199,"t")+COUNTIF($E199:AA199,"¶")+COUNTIF($E199:AA199,"²")+COUNTIF($E199:AA199,"µ")+COUNTIF($E199:AA199,1),ColTypeEcheance)),
  IF(LEN(AA199)=1,
  IF(LEN(INDEX(Roadmap!$D:$K,MATCH($E199,Roadmap!$D:$D,0)-1+COUNTIF($E199:AA199,"u")+COUNTIF($E199:AA199,"t")+COUNTIF($E199:AA199,"¶")+COUNTIF($E199:AA199,"²")+COUNTIF($E199:AA199,"µ")+COUNTIF($E199:AA199,1),ColDescriptionCourte))&gt;1,
HYPERLINK("#Roadmap!C"&amp; MATCH($E199,Roadmap!$D:$D,0)+COUNTIF($E199:AA199,"u")+COUNTIF($E199:AA199,"t")+COUNTIF($E199:AA199,"¶")+COUNTIF($E199:AA199,"²")+COUNTIF($E199:AA199,"µ")+COUNTIF($E199:AA199,1)-1,INDEX(Roadmap!$D:$K,MATCH($E199,Roadmap!$D:$D,0)-1+COUNTIF($E199:AA199,"u")+COUNTIF($E199:AA199,"t")+COUNTIF($E199:AA199,"¶")+COUNTIF($E199:AA199,"²")+COUNTIF($E199:AA199,"µ")+COUNTIF($E199:AA199,1),ColDescriptionCourte)),""),
  "")),"")</f>
        <v/>
      </c>
      <c r="AC199" s="40" t="str">
        <f ca="1">IFERROR(IF(AND(
  INDEX(Roadmap!$D:$K,MATCH($E199,Roadmap!$D:$D,0)+COUNTIF($E199:AB199,"u")+COUNTIF($E199:AB199,"t")+COUNTIF($E199:AB199,"¶")+COUNTIF($E199:AB199,"²")+COUNTIF($E199:AB199,"µ")+COUNTIF($E199:AB199,1),ColLivraison)=AC$6,
  VLOOKUP($E199,INDIRECT("tri!"&amp; CHAR(64+ C0Col) &amp;":"&amp; CHAR(65+C0Col)),2,FALSE)&gt;COUNTIF($E199:AB199,"u")+COUNTIF($E199:AB199,"t")+COUNTIF($E199:AB199,"¶")+COUNTIF($E199:AB199,"²")+COUNTIF($E199:AB199,"µ")+COUNTIF($E199:AB199,1)),
HYPERLINK("#Roadmap!C"&amp; MATCH($E199,Roadmap!$D:$D,0)+COUNTIF($E199:AB199,"u")+COUNTIF($E199:AB199,"t"),
     INDEX(Roadmap!$D:$K,MATCH($E199,Roadmap!$D:$D,0)+COUNTIF($E199:AB199,"u")+COUNTIF($E199:AB199,"t")+COUNTIF($E199:AB199,"¶")+COUNTIF($E199:AB199,"²")+COUNTIF($E199:AB199,"µ")+COUNTIF($E199:AB199,1),ColTypeEcheance)),
  IF(LEN(AB199)=1,
  IF(LEN(INDEX(Roadmap!$D:$K,MATCH($E199,Roadmap!$D:$D,0)-1+COUNTIF($E199:AB199,"u")+COUNTIF($E199:AB199,"t")+COUNTIF($E199:AB199,"¶")+COUNTIF($E199:AB199,"²")+COUNTIF($E199:AB199,"µ")+COUNTIF($E199:AB199,1),ColDescriptionCourte))&gt;1,
HYPERLINK("#Roadmap!C"&amp; MATCH($E199,Roadmap!$D:$D,0)+COUNTIF($E199:AB199,"u")+COUNTIF($E199:AB199,"t")+COUNTIF($E199:AB199,"¶")+COUNTIF($E199:AB199,"²")+COUNTIF($E199:AB199,"µ")+COUNTIF($E199:AB199,1)-1,INDEX(Roadmap!$D:$K,MATCH($E199,Roadmap!$D:$D,0)-1+COUNTIF($E199:AB199,"u")+COUNTIF($E199:AB199,"t")+COUNTIF($E199:AB199,"¶")+COUNTIF($E199:AB199,"²")+COUNTIF($E199:AB199,"µ")+COUNTIF($E199:AB199,1),ColDescriptionCourte)),""),
  "")),"")</f>
        <v/>
      </c>
      <c r="AD199" s="40" t="str">
        <f ca="1">IFERROR(IF(AND(
  INDEX(Roadmap!$D:$K,MATCH($E199,Roadmap!$D:$D,0)+COUNTIF($E199:AC199,"u")+COUNTIF($E199:AC199,"t")+COUNTIF($E199:AC199,"¶")+COUNTIF($E199:AC199,"²")+COUNTIF($E199:AC199,"µ")+COUNTIF($E199:AC199,1),ColLivraison)=AD$6,
  VLOOKUP($E199,INDIRECT("tri!"&amp; CHAR(64+ C0Col) &amp;":"&amp; CHAR(65+C0Col)),2,FALSE)&gt;COUNTIF($E199:AC199,"u")+COUNTIF($E199:AC199,"t")+COUNTIF($E199:AC199,"¶")+COUNTIF($E199:AC199,"²")+COUNTIF($E199:AC199,"µ")+COUNTIF($E199:AC199,1)),
HYPERLINK("#Roadmap!C"&amp; MATCH($E199,Roadmap!$D:$D,0)+COUNTIF($E199:AC199,"u")+COUNTIF($E199:AC199,"t"),
     INDEX(Roadmap!$D:$K,MATCH($E199,Roadmap!$D:$D,0)+COUNTIF($E199:AC199,"u")+COUNTIF($E199:AC199,"t")+COUNTIF($E199:AC199,"¶")+COUNTIF($E199:AC199,"²")+COUNTIF($E199:AC199,"µ")+COUNTIF($E199:AC199,1),ColTypeEcheance)),
  IF(LEN(AC199)=1,
  IF(LEN(INDEX(Roadmap!$D:$K,MATCH($E199,Roadmap!$D:$D,0)-1+COUNTIF($E199:AC199,"u")+COUNTIF($E199:AC199,"t")+COUNTIF($E199:AC199,"¶")+COUNTIF($E199:AC199,"²")+COUNTIF($E199:AC199,"µ")+COUNTIF($E199:AC199,1),ColDescriptionCourte))&gt;1,
HYPERLINK("#Roadmap!C"&amp; MATCH($E199,Roadmap!$D:$D,0)+COUNTIF($E199:AC199,"u")+COUNTIF($E199:AC199,"t")+COUNTIF($E199:AC199,"¶")+COUNTIF($E199:AC199,"²")+COUNTIF($E199:AC199,"µ")+COUNTIF($E199:AC199,1)-1,INDEX(Roadmap!$D:$K,MATCH($E199,Roadmap!$D:$D,0)-1+COUNTIF($E199:AC199,"u")+COUNTIF($E199:AC199,"t")+COUNTIF($E199:AC199,"¶")+COUNTIF($E199:AC199,"²")+COUNTIF($E199:AC199,"µ")+COUNTIF($E199:AC199,1),ColDescriptionCourte)),""),
  "")),"")</f>
        <v/>
      </c>
      <c r="AE199" s="40" t="str">
        <f ca="1">IFERROR(IF(AND(
  INDEX(Roadmap!$D:$K,MATCH($E199,Roadmap!$D:$D,0)+COUNTIF($E199:AD199,"u")+COUNTIF($E199:AD199,"t")+COUNTIF($E199:AD199,"¶")+COUNTIF($E199:AD199,"²")+COUNTIF($E199:AD199,"µ")+COUNTIF($E199:AD199,1),ColLivraison)=AE$6,
  VLOOKUP($E199,INDIRECT("tri!"&amp; CHAR(64+ C0Col) &amp;":"&amp; CHAR(65+C0Col)),2,FALSE)&gt;COUNTIF($E199:AD199,"u")+COUNTIF($E199:AD199,"t")+COUNTIF($E199:AD199,"¶")+COUNTIF($E199:AD199,"²")+COUNTIF($E199:AD199,"µ")+COUNTIF($E199:AD199,1)),
HYPERLINK("#Roadmap!C"&amp; MATCH($E199,Roadmap!$D:$D,0)+COUNTIF($E199:AD199,"u")+COUNTIF($E199:AD199,"t"),
     INDEX(Roadmap!$D:$K,MATCH($E199,Roadmap!$D:$D,0)+COUNTIF($E199:AD199,"u")+COUNTIF($E199:AD199,"t")+COUNTIF($E199:AD199,"¶")+COUNTIF($E199:AD199,"²")+COUNTIF($E199:AD199,"µ")+COUNTIF($E199:AD199,1),ColTypeEcheance)),
  IF(LEN(AD199)=1,
  IF(LEN(INDEX(Roadmap!$D:$K,MATCH($E199,Roadmap!$D:$D,0)-1+COUNTIF($E199:AD199,"u")+COUNTIF($E199:AD199,"t")+COUNTIF($E199:AD199,"¶")+COUNTIF($E199:AD199,"²")+COUNTIF($E199:AD199,"µ")+COUNTIF($E199:AD199,1),ColDescriptionCourte))&gt;1,
HYPERLINK("#Roadmap!C"&amp; MATCH($E199,Roadmap!$D:$D,0)+COUNTIF($E199:AD199,"u")+COUNTIF($E199:AD199,"t")+COUNTIF($E199:AD199,"¶")+COUNTIF($E199:AD199,"²")+COUNTIF($E199:AD199,"µ")+COUNTIF($E199:AD199,1)-1,INDEX(Roadmap!$D:$K,MATCH($E199,Roadmap!$D:$D,0)-1+COUNTIF($E199:AD199,"u")+COUNTIF($E199:AD199,"t")+COUNTIF($E199:AD199,"¶")+COUNTIF($E199:AD199,"²")+COUNTIF($E199:AD199,"µ")+COUNTIF($E199:AD199,1),ColDescriptionCourte)),""),
  "")),"")</f>
        <v/>
      </c>
      <c r="AF199" s="40" t="str">
        <f ca="1">IFERROR(IF(AND(
  INDEX(Roadmap!$D:$K,MATCH($E199,Roadmap!$D:$D,0)+COUNTIF($E199:AE199,"u")+COUNTIF($E199:AE199,"t")+COUNTIF($E199:AE199,"¶")+COUNTIF($E199:AE199,"²")+COUNTIF($E199:AE199,"µ")+COUNTIF($E199:AE199,1),ColLivraison)=AF$6,
  VLOOKUP($E199,INDIRECT("tri!"&amp; CHAR(64+ C0Col) &amp;":"&amp; CHAR(65+C0Col)),2,FALSE)&gt;COUNTIF($E199:AE199,"u")+COUNTIF($E199:AE199,"t")+COUNTIF($E199:AE199,"¶")+COUNTIF($E199:AE199,"²")+COUNTIF($E199:AE199,"µ")+COUNTIF($E199:AE199,1)),
HYPERLINK("#Roadmap!C"&amp; MATCH($E199,Roadmap!$D:$D,0)+COUNTIF($E199:AE199,"u")+COUNTIF($E199:AE199,"t"),
     INDEX(Roadmap!$D:$K,MATCH($E199,Roadmap!$D:$D,0)+COUNTIF($E199:AE199,"u")+COUNTIF($E199:AE199,"t")+COUNTIF($E199:AE199,"¶")+COUNTIF($E199:AE199,"²")+COUNTIF($E199:AE199,"µ")+COUNTIF($E199:AE199,1),ColTypeEcheance)),
  IF(LEN(AE199)=1,
  IF(LEN(INDEX(Roadmap!$D:$K,MATCH($E199,Roadmap!$D:$D,0)-1+COUNTIF($E199:AE199,"u")+COUNTIF($E199:AE199,"t")+COUNTIF($E199:AE199,"¶")+COUNTIF($E199:AE199,"²")+COUNTIF($E199:AE199,"µ")+COUNTIF($E199:AE199,1),ColDescriptionCourte))&gt;1,
HYPERLINK("#Roadmap!C"&amp; MATCH($E199,Roadmap!$D:$D,0)+COUNTIF($E199:AE199,"u")+COUNTIF($E199:AE199,"t")+COUNTIF($E199:AE199,"¶")+COUNTIF($E199:AE199,"²")+COUNTIF($E199:AE199,"µ")+COUNTIF($E199:AE199,1)-1,INDEX(Roadmap!$D:$K,MATCH($E199,Roadmap!$D:$D,0)-1+COUNTIF($E199:AE199,"u")+COUNTIF($E199:AE199,"t")+COUNTIF($E199:AE199,"¶")+COUNTIF($E199:AE199,"²")+COUNTIF($E199:AE199,"µ")+COUNTIF($E199:AE199,1),ColDescriptionCourte)),""),
  "")),"")</f>
        <v/>
      </c>
      <c r="AG199" s="40" t="str">
        <f ca="1">IFERROR(IF(AND(
  INDEX(Roadmap!$D:$K,MATCH($E199,Roadmap!$D:$D,0)+COUNTIF($E199:AF199,"u")+COUNTIF($E199:AF199,"t")+COUNTIF($E199:AF199,"¶")+COUNTIF($E199:AF199,"²")+COUNTIF($E199:AF199,"µ")+COUNTIF($E199:AF199,1),ColLivraison)=AG$6,
  VLOOKUP($E199,INDIRECT("tri!"&amp; CHAR(64+ C0Col) &amp;":"&amp; CHAR(65+C0Col)),2,FALSE)&gt;COUNTIF($E199:AF199,"u")+COUNTIF($E199:AF199,"t")+COUNTIF($E199:AF199,"¶")+COUNTIF($E199:AF199,"²")+COUNTIF($E199:AF199,"µ")+COUNTIF($E199:AF199,1)),
HYPERLINK("#Roadmap!C"&amp; MATCH($E199,Roadmap!$D:$D,0)+COUNTIF($E199:AF199,"u")+COUNTIF($E199:AF199,"t"),
     INDEX(Roadmap!$D:$K,MATCH($E199,Roadmap!$D:$D,0)+COUNTIF($E199:AF199,"u")+COUNTIF($E199:AF199,"t")+COUNTIF($E199:AF199,"¶")+COUNTIF($E199:AF199,"²")+COUNTIF($E199:AF199,"µ")+COUNTIF($E199:AF199,1),ColTypeEcheance)),
  IF(LEN(AF199)=1,
  IF(LEN(INDEX(Roadmap!$D:$K,MATCH($E199,Roadmap!$D:$D,0)-1+COUNTIF($E199:AF199,"u")+COUNTIF($E199:AF199,"t")+COUNTIF($E199:AF199,"¶")+COUNTIF($E199:AF199,"²")+COUNTIF($E199:AF199,"µ")+COUNTIF($E199:AF199,1),ColDescriptionCourte))&gt;1,
HYPERLINK("#Roadmap!C"&amp; MATCH($E199,Roadmap!$D:$D,0)+COUNTIF($E199:AF199,"u")+COUNTIF($E199:AF199,"t")+COUNTIF($E199:AF199,"¶")+COUNTIF($E199:AF199,"²")+COUNTIF($E199:AF199,"µ")+COUNTIF($E199:AF199,1)-1,INDEX(Roadmap!$D:$K,MATCH($E199,Roadmap!$D:$D,0)-1+COUNTIF($E199:AF199,"u")+COUNTIF($E199:AF199,"t")+COUNTIF($E199:AF199,"¶")+COUNTIF($E199:AF199,"²")+COUNTIF($E199:AF199,"µ")+COUNTIF($E199:AF199,1),ColDescriptionCourte)),""),
  "")),"")</f>
        <v/>
      </c>
    </row>
    <row r="200" spans="3:33" ht="14.25" customHeight="1">
      <c r="C200" s="1" t="str">
        <f t="shared" ca="1" si="54"/>
        <v/>
      </c>
      <c r="D200" s="1" t="str">
        <f t="shared" ca="1" si="55"/>
        <v/>
      </c>
      <c r="E200" s="35" t="str">
        <f t="shared" ca="1" si="56"/>
        <v/>
      </c>
      <c r="F200" s="39" t="str">
        <f ca="1">IFERROR(IF(AND(
  INDEX(Roadmap!$D:$K,MATCH($E200,Roadmap!$D:$D,0)+COUNTIF($E200:E200,"u")+COUNTIF($E200:E200,"t")+COUNTIF($E200:E200,"¶")+COUNTIF($E200:E200,"²")+COUNTIF($E200:E200,"µ")+COUNTIF($E200:E200,1),ColLivraison)=F$6,
  VLOOKUP($E200,INDIRECT("tri!"&amp; CHAR(64+ C0Col) &amp;":"&amp; CHAR(65+C0Col)),2,FALSE)&gt;COUNTIF($E200:E200,"u")+COUNTIF($E200:E200,"t")+COUNTIF($E200:E200,"¶")+COUNTIF($E200:E200,"²")+COUNTIF($E200:E200,"µ")+COUNTIF($E200:E200,1)),
HYPERLINK("#Roadmap!C"&amp; MATCH($E200,Roadmap!$D:$D,0)+COUNTIF($E200:E200,"u")+COUNTIF($E200:E200,"t"),
     INDEX(Roadmap!$D:$K,MATCH($E200,Roadmap!$D:$D,0)+COUNTIF($E200:E200,"u")+COUNTIF($E200:E200,"t")+COUNTIF($E200:E200,"¶")+COUNTIF($E200:E200,"²")+COUNTIF($E200:E200,"µ")+COUNTIF($E200:E200,1),ColTypeEcheance)),
  IF(LEN(E200)=1,
  IF(LEN(INDEX(Roadmap!$D:$K,MATCH($E200,Roadmap!$D:$D,0)-1+COUNTIF($E200:E200,"u")+COUNTIF($E200:E200,"t")+COUNTIF($E200:E200,"¶")+COUNTIF($E200:E200,"²")+COUNTIF($E200:E200,"µ")+COUNTIF($E200:E200,1),ColDescriptionCourte))&gt;1,
HYPERLINK("#Roadmap!C"&amp; MATCH($E200,Roadmap!$D:$D,0)+COUNTIF($E200:E200,"u")+COUNTIF($E200:E200,"t")+COUNTIF($E200:E200,"¶")+COUNTIF($E200:E200,"²")+COUNTIF($E200:E200,"µ")+COUNTIF($E200:E200,1)-1,INDEX(Roadmap!$D:$K,MATCH($E200,Roadmap!$D:$D,0)-1+COUNTIF($E200:E200,"u")+COUNTIF($E200:E200,"t")+COUNTIF($E200:E200,"¶")+COUNTIF($E200:E200,"²")+COUNTIF($E200:E200,"µ")+COUNTIF($E200:E200,1),ColDescriptionCourte)),""),
  "")),"")</f>
        <v/>
      </c>
      <c r="G200" s="40" t="str">
        <f ca="1">IFERROR(IF(AND(
  INDEX(Roadmap!$D:$K,MATCH($E200,Roadmap!$D:$D,0)+COUNTIF($E200:F200,"u")+COUNTIF($E200:F200,"t")+COUNTIF($E200:F200,"¶")+COUNTIF($E200:F200,"²")+COUNTIF($E200:F200,"µ")+COUNTIF($E200:F200,1),ColLivraison)=G$6,
  VLOOKUP($E200,INDIRECT("tri!"&amp; CHAR(64+ C0Col) &amp;":"&amp; CHAR(65+C0Col)),2,FALSE)&gt;COUNTIF($E200:F200,"u")+COUNTIF($E200:F200,"t")+COUNTIF($E200:F200,"¶")+COUNTIF($E200:F200,"²")+COUNTIF($E200:F200,"µ")+COUNTIF($E200:F200,1)),
HYPERLINK("#Roadmap!C"&amp; MATCH($E200,Roadmap!$D:$D,0)+COUNTIF($E200:F200,"u")+COUNTIF($E200:F200,"t"),
     INDEX(Roadmap!$D:$K,MATCH($E200,Roadmap!$D:$D,0)+COUNTIF($E200:F200,"u")+COUNTIF($E200:F200,"t")+COUNTIF($E200:F200,"¶")+COUNTIF($E200:F200,"²")+COUNTIF($E200:F200,"µ")+COUNTIF($E200:F200,1),ColTypeEcheance)),
  IF(LEN(F200)=1,
  IF(LEN(INDEX(Roadmap!$D:$K,MATCH($E200,Roadmap!$D:$D,0)-1+COUNTIF($E200:F200,"u")+COUNTIF($E200:F200,"t")+COUNTIF($E200:F200,"¶")+COUNTIF($E200:F200,"²")+COUNTIF($E200:F200,"µ")+COUNTIF($E200:F200,1),ColDescriptionCourte))&gt;1,
HYPERLINK("#Roadmap!C"&amp; MATCH($E200,Roadmap!$D:$D,0)+COUNTIF($E200:F200,"u")+COUNTIF($E200:F200,"t")+COUNTIF($E200:F200,"¶")+COUNTIF($E200:F200,"²")+COUNTIF($E200:F200,"µ")+COUNTIF($E200:F200,1)-1,INDEX(Roadmap!$D:$K,MATCH($E200,Roadmap!$D:$D,0)-1+COUNTIF($E200:F200,"u")+COUNTIF($E200:F200,"t")+COUNTIF($E200:F200,"¶")+COUNTIF($E200:F200,"²")+COUNTIF($E200:F200,"µ")+COUNTIF($E200:F200,1),ColDescriptionCourte)),""),
  "")),"")</f>
        <v/>
      </c>
      <c r="H200" s="40" t="str">
        <f ca="1">IFERROR(IF(AND(
  INDEX(Roadmap!$D:$K,MATCH($E200,Roadmap!$D:$D,0)+COUNTIF($E200:G200,"u")+COUNTIF($E200:G200,"t")+COUNTIF($E200:G200,"¶")+COUNTIF($E200:G200,"²")+COUNTIF($E200:G200,"µ")+COUNTIF($E200:G200,1),ColLivraison)=H$6,
  VLOOKUP($E200,INDIRECT("tri!"&amp; CHAR(64+ C0Col) &amp;":"&amp; CHAR(65+C0Col)),2,FALSE)&gt;COUNTIF($E200:G200,"u")+COUNTIF($E200:G200,"t")+COUNTIF($E200:G200,"¶")+COUNTIF($E200:G200,"²")+COUNTIF($E200:G200,"µ")+COUNTIF($E200:G200,1)),
HYPERLINK("#Roadmap!C"&amp; MATCH($E200,Roadmap!$D:$D,0)+COUNTIF($E200:G200,"u")+COUNTIF($E200:G200,"t"),
     INDEX(Roadmap!$D:$K,MATCH($E200,Roadmap!$D:$D,0)+COUNTIF($E200:G200,"u")+COUNTIF($E200:G200,"t")+COUNTIF($E200:G200,"¶")+COUNTIF($E200:G200,"²")+COUNTIF($E200:G200,"µ")+COUNTIF($E200:G200,1),ColTypeEcheance)),
  IF(LEN(G200)=1,
  IF(LEN(INDEX(Roadmap!$D:$K,MATCH($E200,Roadmap!$D:$D,0)-1+COUNTIF($E200:G200,"u")+COUNTIF($E200:G200,"t")+COUNTIF($E200:G200,"¶")+COUNTIF($E200:G200,"²")+COUNTIF($E200:G200,"µ")+COUNTIF($E200:G200,1),ColDescriptionCourte))&gt;1,
HYPERLINK("#Roadmap!C"&amp; MATCH($E200,Roadmap!$D:$D,0)+COUNTIF($E200:G200,"u")+COUNTIF($E200:G200,"t")+COUNTIF($E200:G200,"¶")+COUNTIF($E200:G200,"²")+COUNTIF($E200:G200,"µ")+COUNTIF($E200:G200,1)-1,INDEX(Roadmap!$D:$K,MATCH($E200,Roadmap!$D:$D,0)-1+COUNTIF($E200:G200,"u")+COUNTIF($E200:G200,"t")+COUNTIF($E200:G200,"¶")+COUNTIF($E200:G200,"²")+COUNTIF($E200:G200,"µ")+COUNTIF($E200:G200,1),ColDescriptionCourte)),""),
  "")),"")</f>
        <v/>
      </c>
      <c r="I200" s="40" t="str">
        <f ca="1">IFERROR(IF(AND(
  INDEX(Roadmap!$D:$K,MATCH($E200,Roadmap!$D:$D,0)+COUNTIF($E200:H200,"u")+COUNTIF($E200:H200,"t")+COUNTIF($E200:H200,"¶")+COUNTIF($E200:H200,"²")+COUNTIF($E200:H200,"µ")+COUNTIF($E200:H200,1),ColLivraison)=I$6,
  VLOOKUP($E200,INDIRECT("tri!"&amp; CHAR(64+ C0Col) &amp;":"&amp; CHAR(65+C0Col)),2,FALSE)&gt;COUNTIF($E200:H200,"u")+COUNTIF($E200:H200,"t")+COUNTIF($E200:H200,"¶")+COUNTIF($E200:H200,"²")+COUNTIF($E200:H200,"µ")+COUNTIF($E200:H200,1)),
HYPERLINK("#Roadmap!C"&amp; MATCH($E200,Roadmap!$D:$D,0)+COUNTIF($E200:H200,"u")+COUNTIF($E200:H200,"t"),
     INDEX(Roadmap!$D:$K,MATCH($E200,Roadmap!$D:$D,0)+COUNTIF($E200:H200,"u")+COUNTIF($E200:H200,"t")+COUNTIF($E200:H200,"¶")+COUNTIF($E200:H200,"²")+COUNTIF($E200:H200,"µ")+COUNTIF($E200:H200,1),ColTypeEcheance)),
  IF(LEN(H200)=1,
  IF(LEN(INDEX(Roadmap!$D:$K,MATCH($E200,Roadmap!$D:$D,0)-1+COUNTIF($E200:H200,"u")+COUNTIF($E200:H200,"t")+COUNTIF($E200:H200,"¶")+COUNTIF($E200:H200,"²")+COUNTIF($E200:H200,"µ")+COUNTIF($E200:H200,1),ColDescriptionCourte))&gt;1,
HYPERLINK("#Roadmap!C"&amp; MATCH($E200,Roadmap!$D:$D,0)+COUNTIF($E200:H200,"u")+COUNTIF($E200:H200,"t")+COUNTIF($E200:H200,"¶")+COUNTIF($E200:H200,"²")+COUNTIF($E200:H200,"µ")+COUNTIF($E200:H200,1)-1,INDEX(Roadmap!$D:$K,MATCH($E200,Roadmap!$D:$D,0)-1+COUNTIF($E200:H200,"u")+COUNTIF($E200:H200,"t")+COUNTIF($E200:H200,"¶")+COUNTIF($E200:H200,"²")+COUNTIF($E200:H200,"µ")+COUNTIF($E200:H200,1),ColDescriptionCourte)),""),
  "")),"")</f>
        <v/>
      </c>
      <c r="J200" s="40" t="str">
        <f ca="1">IFERROR(IF(AND(
  INDEX(Roadmap!$D:$K,MATCH($E200,Roadmap!$D:$D,0)+COUNTIF($E200:I200,"u")+COUNTIF($E200:I200,"t")+COUNTIF($E200:I200,"¶")+COUNTIF($E200:I200,"²")+COUNTIF($E200:I200,"µ")+COUNTIF($E200:I200,1),ColLivraison)=J$6,
  VLOOKUP($E200,INDIRECT("tri!"&amp; CHAR(64+ C0Col) &amp;":"&amp; CHAR(65+C0Col)),2,FALSE)&gt;COUNTIF($E200:I200,"u")+COUNTIF($E200:I200,"t")+COUNTIF($E200:I200,"¶")+COUNTIF($E200:I200,"²")+COUNTIF($E200:I200,"µ")+COUNTIF($E200:I200,1)),
HYPERLINK("#Roadmap!C"&amp; MATCH($E200,Roadmap!$D:$D,0)+COUNTIF($E200:I200,"u")+COUNTIF($E200:I200,"t"),
     INDEX(Roadmap!$D:$K,MATCH($E200,Roadmap!$D:$D,0)+COUNTIF($E200:I200,"u")+COUNTIF($E200:I200,"t")+COUNTIF($E200:I200,"¶")+COUNTIF($E200:I200,"²")+COUNTIF($E200:I200,"µ")+COUNTIF($E200:I200,1),ColTypeEcheance)),
  IF(LEN(I200)=1,
  IF(LEN(INDEX(Roadmap!$D:$K,MATCH($E200,Roadmap!$D:$D,0)-1+COUNTIF($E200:I200,"u")+COUNTIF($E200:I200,"t")+COUNTIF($E200:I200,"¶")+COUNTIF($E200:I200,"²")+COUNTIF($E200:I200,"µ")+COUNTIF($E200:I200,1),ColDescriptionCourte))&gt;1,
HYPERLINK("#Roadmap!C"&amp; MATCH($E200,Roadmap!$D:$D,0)+COUNTIF($E200:I200,"u")+COUNTIF($E200:I200,"t")+COUNTIF($E200:I200,"¶")+COUNTIF($E200:I200,"²")+COUNTIF($E200:I200,"µ")+COUNTIF($E200:I200,1)-1,INDEX(Roadmap!$D:$K,MATCH($E200,Roadmap!$D:$D,0)-1+COUNTIF($E200:I200,"u")+COUNTIF($E200:I200,"t")+COUNTIF($E200:I200,"¶")+COUNTIF($E200:I200,"²")+COUNTIF($E200:I200,"µ")+COUNTIF($E200:I200,1),ColDescriptionCourte)),""),
  "")),"")</f>
        <v/>
      </c>
      <c r="K200" s="40" t="str">
        <f ca="1">IFERROR(IF(AND(
  INDEX(Roadmap!$D:$K,MATCH($E200,Roadmap!$D:$D,0)+COUNTIF($E200:J200,"u")+COUNTIF($E200:J200,"t")+COUNTIF($E200:J200,"¶")+COUNTIF($E200:J200,"²")+COUNTIF($E200:J200,"µ")+COUNTIF($E200:J200,1),ColLivraison)=K$6,
  VLOOKUP($E200,INDIRECT("tri!"&amp; CHAR(64+ C0Col) &amp;":"&amp; CHAR(65+C0Col)),2,FALSE)&gt;COUNTIF($E200:J200,"u")+COUNTIF($E200:J200,"t")+COUNTIF($E200:J200,"¶")+COUNTIF($E200:J200,"²")+COUNTIF($E200:J200,"µ")+COUNTIF($E200:J200,1)),
HYPERLINK("#Roadmap!C"&amp; MATCH($E200,Roadmap!$D:$D,0)+COUNTIF($E200:J200,"u")+COUNTIF($E200:J200,"t"),
     INDEX(Roadmap!$D:$K,MATCH($E200,Roadmap!$D:$D,0)+COUNTIF($E200:J200,"u")+COUNTIF($E200:J200,"t")+COUNTIF($E200:J200,"¶")+COUNTIF($E200:J200,"²")+COUNTIF($E200:J200,"µ")+COUNTIF($E200:J200,1),ColTypeEcheance)),
  IF(LEN(J200)=1,
  IF(LEN(INDEX(Roadmap!$D:$K,MATCH($E200,Roadmap!$D:$D,0)-1+COUNTIF($E200:J200,"u")+COUNTIF($E200:J200,"t")+COUNTIF($E200:J200,"¶")+COUNTIF($E200:J200,"²")+COUNTIF($E200:J200,"µ")+COUNTIF($E200:J200,1),ColDescriptionCourte))&gt;1,
HYPERLINK("#Roadmap!C"&amp; MATCH($E200,Roadmap!$D:$D,0)+COUNTIF($E200:J200,"u")+COUNTIF($E200:J200,"t")+COUNTIF($E200:J200,"¶")+COUNTIF($E200:J200,"²")+COUNTIF($E200:J200,"µ")+COUNTIF($E200:J200,1)-1,INDEX(Roadmap!$D:$K,MATCH($E200,Roadmap!$D:$D,0)-1+COUNTIF($E200:J200,"u")+COUNTIF($E200:J200,"t")+COUNTIF($E200:J200,"¶")+COUNTIF($E200:J200,"²")+COUNTIF($E200:J200,"µ")+COUNTIF($E200:J200,1),ColDescriptionCourte)),""),
  "")),"")</f>
        <v/>
      </c>
      <c r="L200" s="39" t="str">
        <f ca="1">IFERROR(IF(AND(
  INDEX(Roadmap!$D:$K,MATCH($E200,Roadmap!$D:$D,0)+COUNTIF($E200:K200,"u")+COUNTIF($E200:K200,"t")+COUNTIF($E200:K200,"¶")+COUNTIF($E200:K200,"²")+COUNTIF($E200:K200,"µ")+COUNTIF($E200:K200,1),ColLivraison)=L$6,
  VLOOKUP($E200,INDIRECT("tri!"&amp; CHAR(64+ C0Col) &amp;":"&amp; CHAR(65+C0Col)),2,FALSE)&gt;COUNTIF($E200:K200,"u")+COUNTIF($E200:K200,"t")+COUNTIF($E200:K200,"¶")+COUNTIF($E200:K200,"²")+COUNTIF($E200:K200,"µ")+COUNTIF($E200:K200,1)),
HYPERLINK("#Roadmap!C"&amp; MATCH($E200,Roadmap!$D:$D,0)+COUNTIF($E200:K200,"u")+COUNTIF($E200:K200,"t"),
     INDEX(Roadmap!$D:$K,MATCH($E200,Roadmap!$D:$D,0)+COUNTIF($E200:K200,"u")+COUNTIF($E200:K200,"t")+COUNTIF($E200:K200,"¶")+COUNTIF($E200:K200,"²")+COUNTIF($E200:K200,"µ")+COUNTIF($E200:K200,1),ColTypeEcheance)),
  IF(LEN(K200)=1,
  IF(LEN(INDEX(Roadmap!$D:$K,MATCH($E200,Roadmap!$D:$D,0)-1+COUNTIF($E200:K200,"u")+COUNTIF($E200:K200,"t")+COUNTIF($E200:K200,"¶")+COUNTIF($E200:K200,"²")+COUNTIF($E200:K200,"µ")+COUNTIF($E200:K200,1),ColDescriptionCourte))&gt;1,
HYPERLINK("#Roadmap!C"&amp; MATCH($E200,Roadmap!$D:$D,0)+COUNTIF($E200:K200,"u")+COUNTIF($E200:K200,"t")+COUNTIF($E200:K200,"¶")+COUNTIF($E200:K200,"²")+COUNTIF($E200:K200,"µ")+COUNTIF($E200:K200,1)-1,INDEX(Roadmap!$D:$K,MATCH($E200,Roadmap!$D:$D,0)-1+COUNTIF($E200:K200,"u")+COUNTIF($E200:K200,"t")+COUNTIF($E200:K200,"¶")+COUNTIF($E200:K200,"²")+COUNTIF($E200:K200,"µ")+COUNTIF($E200:K200,1),ColDescriptionCourte)),""),
  "")),"")</f>
        <v/>
      </c>
      <c r="M200" s="40" t="str">
        <f ca="1">IFERROR(IF(AND(
  INDEX(Roadmap!$D:$K,MATCH($E200,Roadmap!$D:$D,0)+COUNTIF($E200:L200,"u")+COUNTIF($E200:L200,"t")+COUNTIF($E200:L200,"¶")+COUNTIF($E200:L200,"²")+COUNTIF($E200:L200,"µ")+COUNTIF($E200:L200,1),ColLivraison)=M$6,
  VLOOKUP($E200,INDIRECT("tri!"&amp; CHAR(64+ C0Col) &amp;":"&amp; CHAR(65+C0Col)),2,FALSE)&gt;COUNTIF($E200:L200,"u")+COUNTIF($E200:L200,"t")+COUNTIF($E200:L200,"¶")+COUNTIF($E200:L200,"²")+COUNTIF($E200:L200,"µ")+COUNTIF($E200:L200,1)),
HYPERLINK("#Roadmap!C"&amp; MATCH($E200,Roadmap!$D:$D,0)+COUNTIF($E200:L200,"u")+COUNTIF($E200:L200,"t"),
     INDEX(Roadmap!$D:$K,MATCH($E200,Roadmap!$D:$D,0)+COUNTIF($E200:L200,"u")+COUNTIF($E200:L200,"t")+COUNTIF($E200:L200,"¶")+COUNTIF($E200:L200,"²")+COUNTIF($E200:L200,"µ")+COUNTIF($E200:L200,1),ColTypeEcheance)),
  IF(LEN(L200)=1,
  IF(LEN(INDEX(Roadmap!$D:$K,MATCH($E200,Roadmap!$D:$D,0)-1+COUNTIF($E200:L200,"u")+COUNTIF($E200:L200,"t")+COUNTIF($E200:L200,"¶")+COUNTIF($E200:L200,"²")+COUNTIF($E200:L200,"µ")+COUNTIF($E200:L200,1),ColDescriptionCourte))&gt;1,
HYPERLINK("#Roadmap!C"&amp; MATCH($E200,Roadmap!$D:$D,0)+COUNTIF($E200:L200,"u")+COUNTIF($E200:L200,"t")+COUNTIF($E200:L200,"¶")+COUNTIF($E200:L200,"²")+COUNTIF($E200:L200,"µ")+COUNTIF($E200:L200,1)-1,INDEX(Roadmap!$D:$K,MATCH($E200,Roadmap!$D:$D,0)-1+COUNTIF($E200:L200,"u")+COUNTIF($E200:L200,"t")+COUNTIF($E200:L200,"¶")+COUNTIF($E200:L200,"²")+COUNTIF($E200:L200,"µ")+COUNTIF($E200:L200,1),ColDescriptionCourte)),""),
  "")),"")</f>
        <v/>
      </c>
      <c r="N200" s="40" t="str">
        <f ca="1">IFERROR(IF(AND(
  INDEX(Roadmap!$D:$K,MATCH($E200,Roadmap!$D:$D,0)+COUNTIF($E200:M200,"u")+COUNTIF($E200:M200,"t")+COUNTIF($E200:M200,"¶")+COUNTIF($E200:M200,"²")+COUNTIF($E200:M200,"µ")+COUNTIF($E200:M200,1),ColLivraison)=N$6,
  VLOOKUP($E200,INDIRECT("tri!"&amp; CHAR(64+ C0Col) &amp;":"&amp; CHAR(65+C0Col)),2,FALSE)&gt;COUNTIF($E200:M200,"u")+COUNTIF($E200:M200,"t")+COUNTIF($E200:M200,"¶")+COUNTIF($E200:M200,"²")+COUNTIF($E200:M200,"µ")+COUNTIF($E200:M200,1)),
HYPERLINK("#Roadmap!C"&amp; MATCH($E200,Roadmap!$D:$D,0)+COUNTIF($E200:M200,"u")+COUNTIF($E200:M200,"t"),
     INDEX(Roadmap!$D:$K,MATCH($E200,Roadmap!$D:$D,0)+COUNTIF($E200:M200,"u")+COUNTIF($E200:M200,"t")+COUNTIF($E200:M200,"¶")+COUNTIF($E200:M200,"²")+COUNTIF($E200:M200,"µ")+COUNTIF($E200:M200,1),ColTypeEcheance)),
  IF(LEN(M200)=1,
  IF(LEN(INDEX(Roadmap!$D:$K,MATCH($E200,Roadmap!$D:$D,0)-1+COUNTIF($E200:M200,"u")+COUNTIF($E200:M200,"t")+COUNTIF($E200:M200,"¶")+COUNTIF($E200:M200,"²")+COUNTIF($E200:M200,"µ")+COUNTIF($E200:M200,1),ColDescriptionCourte))&gt;1,
HYPERLINK("#Roadmap!C"&amp; MATCH($E200,Roadmap!$D:$D,0)+COUNTIF($E200:M200,"u")+COUNTIF($E200:M200,"t")+COUNTIF($E200:M200,"¶")+COUNTIF($E200:M200,"²")+COUNTIF($E200:M200,"µ")+COUNTIF($E200:M200,1)-1,INDEX(Roadmap!$D:$K,MATCH($E200,Roadmap!$D:$D,0)-1+COUNTIF($E200:M200,"u")+COUNTIF($E200:M200,"t")+COUNTIF($E200:M200,"¶")+COUNTIF($E200:M200,"²")+COUNTIF($E200:M200,"µ")+COUNTIF($E200:M200,1),ColDescriptionCourte)),""),
  "")),"")</f>
        <v/>
      </c>
      <c r="O200" s="40" t="str">
        <f ca="1">IFERROR(IF(AND(
  INDEX(Roadmap!$D:$K,MATCH($E200,Roadmap!$D:$D,0)+COUNTIF($E200:N200,"u")+COUNTIF($E200:N200,"t")+COUNTIF($E200:N200,"¶")+COUNTIF($E200:N200,"²")+COUNTIF($E200:N200,"µ")+COUNTIF($E200:N200,1),ColLivraison)=O$6,
  VLOOKUP($E200,INDIRECT("tri!"&amp; CHAR(64+ C0Col) &amp;":"&amp; CHAR(65+C0Col)),2,FALSE)&gt;COUNTIF($E200:N200,"u")+COUNTIF($E200:N200,"t")+COUNTIF($E200:N200,"¶")+COUNTIF($E200:N200,"²")+COUNTIF($E200:N200,"µ")+COUNTIF($E200:N200,1)),
HYPERLINK("#Roadmap!C"&amp; MATCH($E200,Roadmap!$D:$D,0)+COUNTIF($E200:N200,"u")+COUNTIF($E200:N200,"t"),
     INDEX(Roadmap!$D:$K,MATCH($E200,Roadmap!$D:$D,0)+COUNTIF($E200:N200,"u")+COUNTIF($E200:N200,"t")+COUNTIF($E200:N200,"¶")+COUNTIF($E200:N200,"²")+COUNTIF($E200:N200,"µ")+COUNTIF($E200:N200,1),ColTypeEcheance)),
  IF(LEN(N200)=1,
  IF(LEN(INDEX(Roadmap!$D:$K,MATCH($E200,Roadmap!$D:$D,0)-1+COUNTIF($E200:N200,"u")+COUNTIF($E200:N200,"t")+COUNTIF($E200:N200,"¶")+COUNTIF($E200:N200,"²")+COUNTIF($E200:N200,"µ")+COUNTIF($E200:N200,1),ColDescriptionCourte))&gt;1,
HYPERLINK("#Roadmap!C"&amp; MATCH($E200,Roadmap!$D:$D,0)+COUNTIF($E200:N200,"u")+COUNTIF($E200:N200,"t")+COUNTIF($E200:N200,"¶")+COUNTIF($E200:N200,"²")+COUNTIF($E200:N200,"µ")+COUNTIF($E200:N200,1)-1,INDEX(Roadmap!$D:$K,MATCH($E200,Roadmap!$D:$D,0)-1+COUNTIF($E200:N200,"u")+COUNTIF($E200:N200,"t")+COUNTIF($E200:N200,"¶")+COUNTIF($E200:N200,"²")+COUNTIF($E200:N200,"µ")+COUNTIF($E200:N200,1),ColDescriptionCourte)),""),
  "")),"")</f>
        <v/>
      </c>
      <c r="P200" s="40" t="str">
        <f ca="1">IFERROR(IF(AND(
  INDEX(Roadmap!$D:$K,MATCH($E200,Roadmap!$D:$D,0)+COUNTIF($E200:O200,"u")+COUNTIF($E200:O200,"t")+COUNTIF($E200:O200,"¶")+COUNTIF($E200:O200,"²")+COUNTIF($E200:O200,"µ")+COUNTIF($E200:O200,1),ColLivraison)=P$6,
  VLOOKUP($E200,INDIRECT("tri!"&amp; CHAR(64+ C0Col) &amp;":"&amp; CHAR(65+C0Col)),2,FALSE)&gt;COUNTIF($E200:O200,"u")+COUNTIF($E200:O200,"t")+COUNTIF($E200:O200,"¶")+COUNTIF($E200:O200,"²")+COUNTIF($E200:O200,"µ")+COUNTIF($E200:O200,1)),
HYPERLINK("#Roadmap!C"&amp; MATCH($E200,Roadmap!$D:$D,0)+COUNTIF($E200:O200,"u")+COUNTIF($E200:O200,"t"),
     INDEX(Roadmap!$D:$K,MATCH($E200,Roadmap!$D:$D,0)+COUNTIF($E200:O200,"u")+COUNTIF($E200:O200,"t")+COUNTIF($E200:O200,"¶")+COUNTIF($E200:O200,"²")+COUNTIF($E200:O200,"µ")+COUNTIF($E200:O200,1),ColTypeEcheance)),
  IF(LEN(O200)=1,
  IF(LEN(INDEX(Roadmap!$D:$K,MATCH($E200,Roadmap!$D:$D,0)-1+COUNTIF($E200:O200,"u")+COUNTIF($E200:O200,"t")+COUNTIF($E200:O200,"¶")+COUNTIF($E200:O200,"²")+COUNTIF($E200:O200,"µ")+COUNTIF($E200:O200,1),ColDescriptionCourte))&gt;1,
HYPERLINK("#Roadmap!C"&amp; MATCH($E200,Roadmap!$D:$D,0)+COUNTIF($E200:O200,"u")+COUNTIF($E200:O200,"t")+COUNTIF($E200:O200,"¶")+COUNTIF($E200:O200,"²")+COUNTIF($E200:O200,"µ")+COUNTIF($E200:O200,1)-1,INDEX(Roadmap!$D:$K,MATCH($E200,Roadmap!$D:$D,0)-1+COUNTIF($E200:O200,"u")+COUNTIF($E200:O200,"t")+COUNTIF($E200:O200,"¶")+COUNTIF($E200:O200,"²")+COUNTIF($E200:O200,"µ")+COUNTIF($E200:O200,1),ColDescriptionCourte)),""),
  "")),"")</f>
        <v/>
      </c>
      <c r="Q200" s="40" t="str">
        <f ca="1">IFERROR(IF(AND(
  INDEX(Roadmap!$D:$K,MATCH($E200,Roadmap!$D:$D,0)+COUNTIF($E200:P200,"u")+COUNTIF($E200:P200,"t")+COUNTIF($E200:P200,"¶")+COUNTIF($E200:P200,"²")+COUNTIF($E200:P200,"µ")+COUNTIF($E200:P200,1),ColLivraison)=Q$6,
  VLOOKUP($E200,INDIRECT("tri!"&amp; CHAR(64+ C0Col) &amp;":"&amp; CHAR(65+C0Col)),2,FALSE)&gt;COUNTIF($E200:P200,"u")+COUNTIF($E200:P200,"t")+COUNTIF($E200:P200,"¶")+COUNTIF($E200:P200,"²")+COUNTIF($E200:P200,"µ")+COUNTIF($E200:P200,1)),
HYPERLINK("#Roadmap!C"&amp; MATCH($E200,Roadmap!$D:$D,0)+COUNTIF($E200:P200,"u")+COUNTIF($E200:P200,"t"),
     INDEX(Roadmap!$D:$K,MATCH($E200,Roadmap!$D:$D,0)+COUNTIF($E200:P200,"u")+COUNTIF($E200:P200,"t")+COUNTIF($E200:P200,"¶")+COUNTIF($E200:P200,"²")+COUNTIF($E200:P200,"µ")+COUNTIF($E200:P200,1),ColTypeEcheance)),
  IF(LEN(P200)=1,
  IF(LEN(INDEX(Roadmap!$D:$K,MATCH($E200,Roadmap!$D:$D,0)-1+COUNTIF($E200:P200,"u")+COUNTIF($E200:P200,"t")+COUNTIF($E200:P200,"¶")+COUNTIF($E200:P200,"²")+COUNTIF($E200:P200,"µ")+COUNTIF($E200:P200,1),ColDescriptionCourte))&gt;1,
HYPERLINK("#Roadmap!C"&amp; MATCH($E200,Roadmap!$D:$D,0)+COUNTIF($E200:P200,"u")+COUNTIF($E200:P200,"t")+COUNTIF($E200:P200,"¶")+COUNTIF($E200:P200,"²")+COUNTIF($E200:P200,"µ")+COUNTIF($E200:P200,1)-1,INDEX(Roadmap!$D:$K,MATCH($E200,Roadmap!$D:$D,0)-1+COUNTIF($E200:P200,"u")+COUNTIF($E200:P200,"t")+COUNTIF($E200:P200,"¶")+COUNTIF($E200:P200,"²")+COUNTIF($E200:P200,"µ")+COUNTIF($E200:P200,1),ColDescriptionCourte)),""),
  "")),"")</f>
        <v/>
      </c>
      <c r="R200" s="40" t="str">
        <f ca="1">IFERROR(IF(AND(
  INDEX(Roadmap!$D:$K,MATCH($E200,Roadmap!$D:$D,0)+COUNTIF($E200:Q200,"u")+COUNTIF($E200:Q200,"t")+COUNTIF($E200:Q200,"¶")+COUNTIF($E200:Q200,"²")+COUNTIF($E200:Q200,"µ")+COUNTIF($E200:Q200,1),ColLivraison)=R$6,
  VLOOKUP($E200,INDIRECT("tri!"&amp; CHAR(64+ C0Col) &amp;":"&amp; CHAR(65+C0Col)),2,FALSE)&gt;COUNTIF($E200:Q200,"u")+COUNTIF($E200:Q200,"t")+COUNTIF($E200:Q200,"¶")+COUNTIF($E200:Q200,"²")+COUNTIF($E200:Q200,"µ")+COUNTIF($E200:Q200,1)),
HYPERLINK("#Roadmap!C"&amp; MATCH($E200,Roadmap!$D:$D,0)+COUNTIF($E200:Q200,"u")+COUNTIF($E200:Q200,"t"),
     INDEX(Roadmap!$D:$K,MATCH($E200,Roadmap!$D:$D,0)+COUNTIF($E200:Q200,"u")+COUNTIF($E200:Q200,"t")+COUNTIF($E200:Q200,"¶")+COUNTIF($E200:Q200,"²")+COUNTIF($E200:Q200,"µ")+COUNTIF($E200:Q200,1),ColTypeEcheance)),
  IF(LEN(Q200)=1,
  IF(LEN(INDEX(Roadmap!$D:$K,MATCH($E200,Roadmap!$D:$D,0)-1+COUNTIF($E200:Q200,"u")+COUNTIF($E200:Q200,"t")+COUNTIF($E200:Q200,"¶")+COUNTIF($E200:Q200,"²")+COUNTIF($E200:Q200,"µ")+COUNTIF($E200:Q200,1),ColDescriptionCourte))&gt;1,
HYPERLINK("#Roadmap!C"&amp; MATCH($E200,Roadmap!$D:$D,0)+COUNTIF($E200:Q200,"u")+COUNTIF($E200:Q200,"t")+COUNTIF($E200:Q200,"¶")+COUNTIF($E200:Q200,"²")+COUNTIF($E200:Q200,"µ")+COUNTIF($E200:Q200,1)-1,INDEX(Roadmap!$D:$K,MATCH($E200,Roadmap!$D:$D,0)-1+COUNTIF($E200:Q200,"u")+COUNTIF($E200:Q200,"t")+COUNTIF($E200:Q200,"¶")+COUNTIF($E200:Q200,"²")+COUNTIF($E200:Q200,"µ")+COUNTIF($E200:Q200,1),ColDescriptionCourte)),""),
  "")),"")</f>
        <v/>
      </c>
      <c r="S200" s="40" t="str">
        <f ca="1">IFERROR(IF(AND(
  INDEX(Roadmap!$D:$K,MATCH($E200,Roadmap!$D:$D,0)+COUNTIF($E200:R200,"u")+COUNTIF($E200:R200,"t")+COUNTIF($E200:R200,"¶")+COUNTIF($E200:R200,"²")+COUNTIF($E200:R200,"µ")+COUNTIF($E200:R200,1),ColLivraison)=S$6,
  VLOOKUP($E200,INDIRECT("tri!"&amp; CHAR(64+ C0Col) &amp;":"&amp; CHAR(65+C0Col)),2,FALSE)&gt;COUNTIF($E200:R200,"u")+COUNTIF($E200:R200,"t")+COUNTIF($E200:R200,"¶")+COUNTIF($E200:R200,"²")+COUNTIF($E200:R200,"µ")+COUNTIF($E200:R200,1)),
HYPERLINK("#Roadmap!C"&amp; MATCH($E200,Roadmap!$D:$D,0)+COUNTIF($E200:R200,"u")+COUNTIF($E200:R200,"t"),
     INDEX(Roadmap!$D:$K,MATCH($E200,Roadmap!$D:$D,0)+COUNTIF($E200:R200,"u")+COUNTIF($E200:R200,"t")+COUNTIF($E200:R200,"¶")+COUNTIF($E200:R200,"²")+COUNTIF($E200:R200,"µ")+COUNTIF($E200:R200,1),ColTypeEcheance)),
  IF(LEN(R200)=1,
  IF(LEN(INDEX(Roadmap!$D:$K,MATCH($E200,Roadmap!$D:$D,0)-1+COUNTIF($E200:R200,"u")+COUNTIF($E200:R200,"t")+COUNTIF($E200:R200,"¶")+COUNTIF($E200:R200,"²")+COUNTIF($E200:R200,"µ")+COUNTIF($E200:R200,1),ColDescriptionCourte))&gt;1,
HYPERLINK("#Roadmap!C"&amp; MATCH($E200,Roadmap!$D:$D,0)+COUNTIF($E200:R200,"u")+COUNTIF($E200:R200,"t")+COUNTIF($E200:R200,"¶")+COUNTIF($E200:R200,"²")+COUNTIF($E200:R200,"µ")+COUNTIF($E200:R200,1)-1,INDEX(Roadmap!$D:$K,MATCH($E200,Roadmap!$D:$D,0)-1+COUNTIF($E200:R200,"u")+COUNTIF($E200:R200,"t")+COUNTIF($E200:R200,"¶")+COUNTIF($E200:R200,"²")+COUNTIF($E200:R200,"µ")+COUNTIF($E200:R200,1),ColDescriptionCourte)),""),
  "")),"")</f>
        <v/>
      </c>
      <c r="T200" s="40" t="str">
        <f ca="1">IFERROR(IF(AND(
  INDEX(Roadmap!$D:$K,MATCH($E200,Roadmap!$D:$D,0)+COUNTIF($E200:S200,"u")+COUNTIF($E200:S200,"t")+COUNTIF($E200:S200,"¶")+COUNTIF($E200:S200,"²")+COUNTIF($E200:S200,"µ")+COUNTIF($E200:S200,1),ColLivraison)=T$6,
  VLOOKUP($E200,INDIRECT("tri!"&amp; CHAR(64+ C0Col) &amp;":"&amp; CHAR(65+C0Col)),2,FALSE)&gt;COUNTIF($E200:S200,"u")+COUNTIF($E200:S200,"t")+COUNTIF($E200:S200,"¶")+COUNTIF($E200:S200,"²")+COUNTIF($E200:S200,"µ")+COUNTIF($E200:S200,1)),
HYPERLINK("#Roadmap!C"&amp; MATCH($E200,Roadmap!$D:$D,0)+COUNTIF($E200:S200,"u")+COUNTIF($E200:S200,"t"),
     INDEX(Roadmap!$D:$K,MATCH($E200,Roadmap!$D:$D,0)+COUNTIF($E200:S200,"u")+COUNTIF($E200:S200,"t")+COUNTIF($E200:S200,"¶")+COUNTIF($E200:S200,"²")+COUNTIF($E200:S200,"µ")+COUNTIF($E200:S200,1),ColTypeEcheance)),
  IF(LEN(S200)=1,
  IF(LEN(INDEX(Roadmap!$D:$K,MATCH($E200,Roadmap!$D:$D,0)-1+COUNTIF($E200:S200,"u")+COUNTIF($E200:S200,"t")+COUNTIF($E200:S200,"¶")+COUNTIF($E200:S200,"²")+COUNTIF($E200:S200,"µ")+COUNTIF($E200:S200,1),ColDescriptionCourte))&gt;1,
HYPERLINK("#Roadmap!C"&amp; MATCH($E200,Roadmap!$D:$D,0)+COUNTIF($E200:S200,"u")+COUNTIF($E200:S200,"t")+COUNTIF($E200:S200,"¶")+COUNTIF($E200:S200,"²")+COUNTIF($E200:S200,"µ")+COUNTIF($E200:S200,1)-1,INDEX(Roadmap!$D:$K,MATCH($E200,Roadmap!$D:$D,0)-1+COUNTIF($E200:S200,"u")+COUNTIF($E200:S200,"t")+COUNTIF($E200:S200,"¶")+COUNTIF($E200:S200,"²")+COUNTIF($E200:S200,"µ")+COUNTIF($E200:S200,1),ColDescriptionCourte)),""),
  "")),"")</f>
        <v/>
      </c>
      <c r="U200" s="40" t="str">
        <f ca="1">IFERROR(IF(AND(
  INDEX(Roadmap!$D:$K,MATCH($E200,Roadmap!$D:$D,0)+COUNTIF($E200:T200,"u")+COUNTIF($E200:T200,"t")+COUNTIF($E200:T200,"¶")+COUNTIF($E200:T200,"²")+COUNTIF($E200:T200,"µ")+COUNTIF($E200:T200,1),ColLivraison)=U$6,
  VLOOKUP($E200,INDIRECT("tri!"&amp; CHAR(64+ C0Col) &amp;":"&amp; CHAR(65+C0Col)),2,FALSE)&gt;COUNTIF($E200:T200,"u")+COUNTIF($E200:T200,"t")+COUNTIF($E200:T200,"¶")+COUNTIF($E200:T200,"²")+COUNTIF($E200:T200,"µ")+COUNTIF($E200:T200,1)),
HYPERLINK("#Roadmap!C"&amp; MATCH($E200,Roadmap!$D:$D,0)+COUNTIF($E200:T200,"u")+COUNTIF($E200:T200,"t"),
     INDEX(Roadmap!$D:$K,MATCH($E200,Roadmap!$D:$D,0)+COUNTIF($E200:T200,"u")+COUNTIF($E200:T200,"t")+COUNTIF($E200:T200,"¶")+COUNTIF($E200:T200,"²")+COUNTIF($E200:T200,"µ")+COUNTIF($E200:T200,1),ColTypeEcheance)),
  IF(LEN(T200)=1,
  IF(LEN(INDEX(Roadmap!$D:$K,MATCH($E200,Roadmap!$D:$D,0)-1+COUNTIF($E200:T200,"u")+COUNTIF($E200:T200,"t")+COUNTIF($E200:T200,"¶")+COUNTIF($E200:T200,"²")+COUNTIF($E200:T200,"µ")+COUNTIF($E200:T200,1),ColDescriptionCourte))&gt;1,
HYPERLINK("#Roadmap!C"&amp; MATCH($E200,Roadmap!$D:$D,0)+COUNTIF($E200:T200,"u")+COUNTIF($E200:T200,"t")+COUNTIF($E200:T200,"¶")+COUNTIF($E200:T200,"²")+COUNTIF($E200:T200,"µ")+COUNTIF($E200:T200,1)-1,INDEX(Roadmap!$D:$K,MATCH($E200,Roadmap!$D:$D,0)-1+COUNTIF($E200:T200,"u")+COUNTIF($E200:T200,"t")+COUNTIF($E200:T200,"¶")+COUNTIF($E200:T200,"²")+COUNTIF($E200:T200,"µ")+COUNTIF($E200:T200,1),ColDescriptionCourte)),""),
  "")),"")</f>
        <v/>
      </c>
      <c r="V200" s="40" t="str">
        <f ca="1">IFERROR(IF(AND(
  INDEX(Roadmap!$D:$K,MATCH($E200,Roadmap!$D:$D,0)+COUNTIF($E200:U200,"u")+COUNTIF($E200:U200,"t")+COUNTIF($E200:U200,"¶")+COUNTIF($E200:U200,"²")+COUNTIF($E200:U200,"µ")+COUNTIF($E200:U200,1),ColLivraison)=V$6,
  VLOOKUP($E200,INDIRECT("tri!"&amp; CHAR(64+ C0Col) &amp;":"&amp; CHAR(65+C0Col)),2,FALSE)&gt;COUNTIF($E200:U200,"u")+COUNTIF($E200:U200,"t")+COUNTIF($E200:U200,"¶")+COUNTIF($E200:U200,"²")+COUNTIF($E200:U200,"µ")+COUNTIF($E200:U200,1)),
HYPERLINK("#Roadmap!C"&amp; MATCH($E200,Roadmap!$D:$D,0)+COUNTIF($E200:U200,"u")+COUNTIF($E200:U200,"t"),
     INDEX(Roadmap!$D:$K,MATCH($E200,Roadmap!$D:$D,0)+COUNTIF($E200:U200,"u")+COUNTIF($E200:U200,"t")+COUNTIF($E200:U200,"¶")+COUNTIF($E200:U200,"²")+COUNTIF($E200:U200,"µ")+COUNTIF($E200:U200,1),ColTypeEcheance)),
  IF(LEN(U200)=1,
  IF(LEN(INDEX(Roadmap!$D:$K,MATCH($E200,Roadmap!$D:$D,0)-1+COUNTIF($E200:U200,"u")+COUNTIF($E200:U200,"t")+COUNTIF($E200:U200,"¶")+COUNTIF($E200:U200,"²")+COUNTIF($E200:U200,"µ")+COUNTIF($E200:U200,1),ColDescriptionCourte))&gt;1,
HYPERLINK("#Roadmap!C"&amp; MATCH($E200,Roadmap!$D:$D,0)+COUNTIF($E200:U200,"u")+COUNTIF($E200:U200,"t")+COUNTIF($E200:U200,"¶")+COUNTIF($E200:U200,"²")+COUNTIF($E200:U200,"µ")+COUNTIF($E200:U200,1)-1,INDEX(Roadmap!$D:$K,MATCH($E200,Roadmap!$D:$D,0)-1+COUNTIF($E200:U200,"u")+COUNTIF($E200:U200,"t")+COUNTIF($E200:U200,"¶")+COUNTIF($E200:U200,"²")+COUNTIF($E200:U200,"µ")+COUNTIF($E200:U200,1),ColDescriptionCourte)),""),
  "")),"")</f>
        <v/>
      </c>
      <c r="W200" s="40" t="str">
        <f ca="1">IFERROR(IF(AND(
  INDEX(Roadmap!$D:$K,MATCH($E200,Roadmap!$D:$D,0)+COUNTIF($E200:V200,"u")+COUNTIF($E200:V200,"t")+COUNTIF($E200:V200,"¶")+COUNTIF($E200:V200,"²")+COUNTIF($E200:V200,"µ")+COUNTIF($E200:V200,1),ColLivraison)=W$6,
  VLOOKUP($E200,INDIRECT("tri!"&amp; CHAR(64+ C0Col) &amp;":"&amp; CHAR(65+C0Col)),2,FALSE)&gt;COUNTIF($E200:V200,"u")+COUNTIF($E200:V200,"t")+COUNTIF($E200:V200,"¶")+COUNTIF($E200:V200,"²")+COUNTIF($E200:V200,"µ")+COUNTIF($E200:V200,1)),
HYPERLINK("#Roadmap!C"&amp; MATCH($E200,Roadmap!$D:$D,0)+COUNTIF($E200:V200,"u")+COUNTIF($E200:V200,"t"),
     INDEX(Roadmap!$D:$K,MATCH($E200,Roadmap!$D:$D,0)+COUNTIF($E200:V200,"u")+COUNTIF($E200:V200,"t")+COUNTIF($E200:V200,"¶")+COUNTIF($E200:V200,"²")+COUNTIF($E200:V200,"µ")+COUNTIF($E200:V200,1),ColTypeEcheance)),
  IF(LEN(V200)=1,
  IF(LEN(INDEX(Roadmap!$D:$K,MATCH($E200,Roadmap!$D:$D,0)-1+COUNTIF($E200:V200,"u")+COUNTIF($E200:V200,"t")+COUNTIF($E200:V200,"¶")+COUNTIF($E200:V200,"²")+COUNTIF($E200:V200,"µ")+COUNTIF($E200:V200,1),ColDescriptionCourte))&gt;1,
HYPERLINK("#Roadmap!C"&amp; MATCH($E200,Roadmap!$D:$D,0)+COUNTIF($E200:V200,"u")+COUNTIF($E200:V200,"t")+COUNTIF($E200:V200,"¶")+COUNTIF($E200:V200,"²")+COUNTIF($E200:V200,"µ")+COUNTIF($E200:V200,1)-1,INDEX(Roadmap!$D:$K,MATCH($E200,Roadmap!$D:$D,0)-1+COUNTIF($E200:V200,"u")+COUNTIF($E200:V200,"t")+COUNTIF($E200:V200,"¶")+COUNTIF($E200:V200,"²")+COUNTIF($E200:V200,"µ")+COUNTIF($E200:V200,1),ColDescriptionCourte)),""),
  "")),"")</f>
        <v/>
      </c>
      <c r="X200" s="40" t="str">
        <f ca="1">IFERROR(IF(AND(
  INDEX(Roadmap!$D:$K,MATCH($E200,Roadmap!$D:$D,0)+COUNTIF($E200:W200,"u")+COUNTIF($E200:W200,"t")+COUNTIF($E200:W200,"¶")+COUNTIF($E200:W200,"²")+COUNTIF($E200:W200,"µ")+COUNTIF($E200:W200,1),ColLivraison)=X$6,
  VLOOKUP($E200,INDIRECT("tri!"&amp; CHAR(64+ C0Col) &amp;":"&amp; CHAR(65+C0Col)),2,FALSE)&gt;COUNTIF($E200:W200,"u")+COUNTIF($E200:W200,"t")+COUNTIF($E200:W200,"¶")+COUNTIF($E200:W200,"²")+COUNTIF($E200:W200,"µ")+COUNTIF($E200:W200,1)),
HYPERLINK("#Roadmap!C"&amp; MATCH($E200,Roadmap!$D:$D,0)+COUNTIF($E200:W200,"u")+COUNTIF($E200:W200,"t"),
     INDEX(Roadmap!$D:$K,MATCH($E200,Roadmap!$D:$D,0)+COUNTIF($E200:W200,"u")+COUNTIF($E200:W200,"t")+COUNTIF($E200:W200,"¶")+COUNTIF($E200:W200,"²")+COUNTIF($E200:W200,"µ")+COUNTIF($E200:W200,1),ColTypeEcheance)),
  IF(LEN(W200)=1,
  IF(LEN(INDEX(Roadmap!$D:$K,MATCH($E200,Roadmap!$D:$D,0)-1+COUNTIF($E200:W200,"u")+COUNTIF($E200:W200,"t")+COUNTIF($E200:W200,"¶")+COUNTIF($E200:W200,"²")+COUNTIF($E200:W200,"µ")+COUNTIF($E200:W200,1),ColDescriptionCourte))&gt;1,
HYPERLINK("#Roadmap!C"&amp; MATCH($E200,Roadmap!$D:$D,0)+COUNTIF($E200:W200,"u")+COUNTIF($E200:W200,"t")+COUNTIF($E200:W200,"¶")+COUNTIF($E200:W200,"²")+COUNTIF($E200:W200,"µ")+COUNTIF($E200:W200,1)-1,INDEX(Roadmap!$D:$K,MATCH($E200,Roadmap!$D:$D,0)-1+COUNTIF($E200:W200,"u")+COUNTIF($E200:W200,"t")+COUNTIF($E200:W200,"¶")+COUNTIF($E200:W200,"²")+COUNTIF($E200:W200,"µ")+COUNTIF($E200:W200,1),ColDescriptionCourte)),""),
  "")),"")</f>
        <v/>
      </c>
      <c r="Y200" s="40" t="str">
        <f ca="1">IFERROR(IF(AND(
  INDEX(Roadmap!$D:$K,MATCH($E200,Roadmap!$D:$D,0)+COUNTIF($E200:X200,"u")+COUNTIF($E200:X200,"t")+COUNTIF($E200:X200,"¶")+COUNTIF($E200:X200,"²")+COUNTIF($E200:X200,"µ")+COUNTIF($E200:X200,1),ColLivraison)=Y$6,
  VLOOKUP($E200,INDIRECT("tri!"&amp; CHAR(64+ C0Col) &amp;":"&amp; CHAR(65+C0Col)),2,FALSE)&gt;COUNTIF($E200:X200,"u")+COUNTIF($E200:X200,"t")+COUNTIF($E200:X200,"¶")+COUNTIF($E200:X200,"²")+COUNTIF($E200:X200,"µ")+COUNTIF($E200:X200,1)),
HYPERLINK("#Roadmap!C"&amp; MATCH($E200,Roadmap!$D:$D,0)+COUNTIF($E200:X200,"u")+COUNTIF($E200:X200,"t"),
     INDEX(Roadmap!$D:$K,MATCH($E200,Roadmap!$D:$D,0)+COUNTIF($E200:X200,"u")+COUNTIF($E200:X200,"t")+COUNTIF($E200:X200,"¶")+COUNTIF($E200:X200,"²")+COUNTIF($E200:X200,"µ")+COUNTIF($E200:X200,1),ColTypeEcheance)),
  IF(LEN(X200)=1,
  IF(LEN(INDEX(Roadmap!$D:$K,MATCH($E200,Roadmap!$D:$D,0)-1+COUNTIF($E200:X200,"u")+COUNTIF($E200:X200,"t")+COUNTIF($E200:X200,"¶")+COUNTIF($E200:X200,"²")+COUNTIF($E200:X200,"µ")+COUNTIF($E200:X200,1),ColDescriptionCourte))&gt;1,
HYPERLINK("#Roadmap!C"&amp; MATCH($E200,Roadmap!$D:$D,0)+COUNTIF($E200:X200,"u")+COUNTIF($E200:X200,"t")+COUNTIF($E200:X200,"¶")+COUNTIF($E200:X200,"²")+COUNTIF($E200:X200,"µ")+COUNTIF($E200:X200,1)-1,INDEX(Roadmap!$D:$K,MATCH($E200,Roadmap!$D:$D,0)-1+COUNTIF($E200:X200,"u")+COUNTIF($E200:X200,"t")+COUNTIF($E200:X200,"¶")+COUNTIF($E200:X200,"²")+COUNTIF($E200:X200,"µ")+COUNTIF($E200:X200,1),ColDescriptionCourte)),""),
  "")),"")</f>
        <v/>
      </c>
      <c r="Z200" s="40" t="str">
        <f ca="1">IFERROR(IF(AND(
  INDEX(Roadmap!$D:$K,MATCH($E200,Roadmap!$D:$D,0)+COUNTIF($E200:Y200,"u")+COUNTIF($E200:Y200,"t")+COUNTIF($E200:Y200,"¶")+COUNTIF($E200:Y200,"²")+COUNTIF($E200:Y200,"µ")+COUNTIF($E200:Y200,1),ColLivraison)=Z$6,
  VLOOKUP($E200,INDIRECT("tri!"&amp; CHAR(64+ C0Col) &amp;":"&amp; CHAR(65+C0Col)),2,FALSE)&gt;COUNTIF($E200:Y200,"u")+COUNTIF($E200:Y200,"t")+COUNTIF($E200:Y200,"¶")+COUNTIF($E200:Y200,"²")+COUNTIF($E200:Y200,"µ")+COUNTIF($E200:Y200,1)),
HYPERLINK("#Roadmap!C"&amp; MATCH($E200,Roadmap!$D:$D,0)+COUNTIF($E200:Y200,"u")+COUNTIF($E200:Y200,"t"),
     INDEX(Roadmap!$D:$K,MATCH($E200,Roadmap!$D:$D,0)+COUNTIF($E200:Y200,"u")+COUNTIF($E200:Y200,"t")+COUNTIF($E200:Y200,"¶")+COUNTIF($E200:Y200,"²")+COUNTIF($E200:Y200,"µ")+COUNTIF($E200:Y200,1),ColTypeEcheance)),
  IF(LEN(Y200)=1,
  IF(LEN(INDEX(Roadmap!$D:$K,MATCH($E200,Roadmap!$D:$D,0)-1+COUNTIF($E200:Y200,"u")+COUNTIF($E200:Y200,"t")+COUNTIF($E200:Y200,"¶")+COUNTIF($E200:Y200,"²")+COUNTIF($E200:Y200,"µ")+COUNTIF($E200:Y200,1),ColDescriptionCourte))&gt;1,
HYPERLINK("#Roadmap!C"&amp; MATCH($E200,Roadmap!$D:$D,0)+COUNTIF($E200:Y200,"u")+COUNTIF($E200:Y200,"t")+COUNTIF($E200:Y200,"¶")+COUNTIF($E200:Y200,"²")+COUNTIF($E200:Y200,"µ")+COUNTIF($E200:Y200,1)-1,INDEX(Roadmap!$D:$K,MATCH($E200,Roadmap!$D:$D,0)-1+COUNTIF($E200:Y200,"u")+COUNTIF($E200:Y200,"t")+COUNTIF($E200:Y200,"¶")+COUNTIF($E200:Y200,"²")+COUNTIF($E200:Y200,"µ")+COUNTIF($E200:Y200,1),ColDescriptionCourte)),""),
  "")),"")</f>
        <v/>
      </c>
      <c r="AA200" s="40" t="str">
        <f ca="1">IFERROR(IF(AND(
  INDEX(Roadmap!$D:$K,MATCH($E200,Roadmap!$D:$D,0)+COUNTIF($E200:Z200,"u")+COUNTIF($E200:Z200,"t")+COUNTIF($E200:Z200,"¶")+COUNTIF($E200:Z200,"²")+COUNTIF($E200:Z200,"µ")+COUNTIF($E200:Z200,1),ColLivraison)=AA$6,
  VLOOKUP($E200,INDIRECT("tri!"&amp; CHAR(64+ C0Col) &amp;":"&amp; CHAR(65+C0Col)),2,FALSE)&gt;COUNTIF($E200:Z200,"u")+COUNTIF($E200:Z200,"t")+COUNTIF($E200:Z200,"¶")+COUNTIF($E200:Z200,"²")+COUNTIF($E200:Z200,"µ")+COUNTIF($E200:Z200,1)),
HYPERLINK("#Roadmap!C"&amp; MATCH($E200,Roadmap!$D:$D,0)+COUNTIF($E200:Z200,"u")+COUNTIF($E200:Z200,"t"),
     INDEX(Roadmap!$D:$K,MATCH($E200,Roadmap!$D:$D,0)+COUNTIF($E200:Z200,"u")+COUNTIF($E200:Z200,"t")+COUNTIF($E200:Z200,"¶")+COUNTIF($E200:Z200,"²")+COUNTIF($E200:Z200,"µ")+COUNTIF($E200:Z200,1),ColTypeEcheance)),
  IF(LEN(Z200)=1,
  IF(LEN(INDEX(Roadmap!$D:$K,MATCH($E200,Roadmap!$D:$D,0)-1+COUNTIF($E200:Z200,"u")+COUNTIF($E200:Z200,"t")+COUNTIF($E200:Z200,"¶")+COUNTIF($E200:Z200,"²")+COUNTIF($E200:Z200,"µ")+COUNTIF($E200:Z200,1),ColDescriptionCourte))&gt;1,
HYPERLINK("#Roadmap!C"&amp; MATCH($E200,Roadmap!$D:$D,0)+COUNTIF($E200:Z200,"u")+COUNTIF($E200:Z200,"t")+COUNTIF($E200:Z200,"¶")+COUNTIF($E200:Z200,"²")+COUNTIF($E200:Z200,"µ")+COUNTIF($E200:Z200,1)-1,INDEX(Roadmap!$D:$K,MATCH($E200,Roadmap!$D:$D,0)-1+COUNTIF($E200:Z200,"u")+COUNTIF($E200:Z200,"t")+COUNTIF($E200:Z200,"¶")+COUNTIF($E200:Z200,"²")+COUNTIF($E200:Z200,"µ")+COUNTIF($E200:Z200,1),ColDescriptionCourte)),""),
  "")),"")</f>
        <v/>
      </c>
      <c r="AB200" s="40" t="str">
        <f ca="1">IFERROR(IF(AND(
  INDEX(Roadmap!$D:$K,MATCH($E200,Roadmap!$D:$D,0)+COUNTIF($E200:AA200,"u")+COUNTIF($E200:AA200,"t")+COUNTIF($E200:AA200,"¶")+COUNTIF($E200:AA200,"²")+COUNTIF($E200:AA200,"µ")+COUNTIF($E200:AA200,1),ColLivraison)=AB$6,
  VLOOKUP($E200,INDIRECT("tri!"&amp; CHAR(64+ C0Col) &amp;":"&amp; CHAR(65+C0Col)),2,FALSE)&gt;COUNTIF($E200:AA200,"u")+COUNTIF($E200:AA200,"t")+COUNTIF($E200:AA200,"¶")+COUNTIF($E200:AA200,"²")+COUNTIF($E200:AA200,"µ")+COUNTIF($E200:AA200,1)),
HYPERLINK("#Roadmap!C"&amp; MATCH($E200,Roadmap!$D:$D,0)+COUNTIF($E200:AA200,"u")+COUNTIF($E200:AA200,"t"),
     INDEX(Roadmap!$D:$K,MATCH($E200,Roadmap!$D:$D,0)+COUNTIF($E200:AA200,"u")+COUNTIF($E200:AA200,"t")+COUNTIF($E200:AA200,"¶")+COUNTIF($E200:AA200,"²")+COUNTIF($E200:AA200,"µ")+COUNTIF($E200:AA200,1),ColTypeEcheance)),
  IF(LEN(AA200)=1,
  IF(LEN(INDEX(Roadmap!$D:$K,MATCH($E200,Roadmap!$D:$D,0)-1+COUNTIF($E200:AA200,"u")+COUNTIF($E200:AA200,"t")+COUNTIF($E200:AA200,"¶")+COUNTIF($E200:AA200,"²")+COUNTIF($E200:AA200,"µ")+COUNTIF($E200:AA200,1),ColDescriptionCourte))&gt;1,
HYPERLINK("#Roadmap!C"&amp; MATCH($E200,Roadmap!$D:$D,0)+COUNTIF($E200:AA200,"u")+COUNTIF($E200:AA200,"t")+COUNTIF($E200:AA200,"¶")+COUNTIF($E200:AA200,"²")+COUNTIF($E200:AA200,"µ")+COUNTIF($E200:AA200,1)-1,INDEX(Roadmap!$D:$K,MATCH($E200,Roadmap!$D:$D,0)-1+COUNTIF($E200:AA200,"u")+COUNTIF($E200:AA200,"t")+COUNTIF($E200:AA200,"¶")+COUNTIF($E200:AA200,"²")+COUNTIF($E200:AA200,"µ")+COUNTIF($E200:AA200,1),ColDescriptionCourte)),""),
  "")),"")</f>
        <v/>
      </c>
      <c r="AC200" s="40" t="str">
        <f ca="1">IFERROR(IF(AND(
  INDEX(Roadmap!$D:$K,MATCH($E200,Roadmap!$D:$D,0)+COUNTIF($E200:AB200,"u")+COUNTIF($E200:AB200,"t")+COUNTIF($E200:AB200,"¶")+COUNTIF($E200:AB200,"²")+COUNTIF($E200:AB200,"µ")+COUNTIF($E200:AB200,1),ColLivraison)=AC$6,
  VLOOKUP($E200,INDIRECT("tri!"&amp; CHAR(64+ C0Col) &amp;":"&amp; CHAR(65+C0Col)),2,FALSE)&gt;COUNTIF($E200:AB200,"u")+COUNTIF($E200:AB200,"t")+COUNTIF($E200:AB200,"¶")+COUNTIF($E200:AB200,"²")+COUNTIF($E200:AB200,"µ")+COUNTIF($E200:AB200,1)),
HYPERLINK("#Roadmap!C"&amp; MATCH($E200,Roadmap!$D:$D,0)+COUNTIF($E200:AB200,"u")+COUNTIF($E200:AB200,"t"),
     INDEX(Roadmap!$D:$K,MATCH($E200,Roadmap!$D:$D,0)+COUNTIF($E200:AB200,"u")+COUNTIF($E200:AB200,"t")+COUNTIF($E200:AB200,"¶")+COUNTIF($E200:AB200,"²")+COUNTIF($E200:AB200,"µ")+COUNTIF($E200:AB200,1),ColTypeEcheance)),
  IF(LEN(AB200)=1,
  IF(LEN(INDEX(Roadmap!$D:$K,MATCH($E200,Roadmap!$D:$D,0)-1+COUNTIF($E200:AB200,"u")+COUNTIF($E200:AB200,"t")+COUNTIF($E200:AB200,"¶")+COUNTIF($E200:AB200,"²")+COUNTIF($E200:AB200,"µ")+COUNTIF($E200:AB200,1),ColDescriptionCourte))&gt;1,
HYPERLINK("#Roadmap!C"&amp; MATCH($E200,Roadmap!$D:$D,0)+COUNTIF($E200:AB200,"u")+COUNTIF($E200:AB200,"t")+COUNTIF($E200:AB200,"¶")+COUNTIF($E200:AB200,"²")+COUNTIF($E200:AB200,"µ")+COUNTIF($E200:AB200,1)-1,INDEX(Roadmap!$D:$K,MATCH($E200,Roadmap!$D:$D,0)-1+COUNTIF($E200:AB200,"u")+COUNTIF($E200:AB200,"t")+COUNTIF($E200:AB200,"¶")+COUNTIF($E200:AB200,"²")+COUNTIF($E200:AB200,"µ")+COUNTIF($E200:AB200,1),ColDescriptionCourte)),""),
  "")),"")</f>
        <v/>
      </c>
      <c r="AD200" s="40" t="str">
        <f ca="1">IFERROR(IF(AND(
  INDEX(Roadmap!$D:$K,MATCH($E200,Roadmap!$D:$D,0)+COUNTIF($E200:AC200,"u")+COUNTIF($E200:AC200,"t")+COUNTIF($E200:AC200,"¶")+COUNTIF($E200:AC200,"²")+COUNTIF($E200:AC200,"µ")+COUNTIF($E200:AC200,1),ColLivraison)=AD$6,
  VLOOKUP($E200,INDIRECT("tri!"&amp; CHAR(64+ C0Col) &amp;":"&amp; CHAR(65+C0Col)),2,FALSE)&gt;COUNTIF($E200:AC200,"u")+COUNTIF($E200:AC200,"t")+COUNTIF($E200:AC200,"¶")+COUNTIF($E200:AC200,"²")+COUNTIF($E200:AC200,"µ")+COUNTIF($E200:AC200,1)),
HYPERLINK("#Roadmap!C"&amp; MATCH($E200,Roadmap!$D:$D,0)+COUNTIF($E200:AC200,"u")+COUNTIF($E200:AC200,"t"),
     INDEX(Roadmap!$D:$K,MATCH($E200,Roadmap!$D:$D,0)+COUNTIF($E200:AC200,"u")+COUNTIF($E200:AC200,"t")+COUNTIF($E200:AC200,"¶")+COUNTIF($E200:AC200,"²")+COUNTIF($E200:AC200,"µ")+COUNTIF($E200:AC200,1),ColTypeEcheance)),
  IF(LEN(AC200)=1,
  IF(LEN(INDEX(Roadmap!$D:$K,MATCH($E200,Roadmap!$D:$D,0)-1+COUNTIF($E200:AC200,"u")+COUNTIF($E200:AC200,"t")+COUNTIF($E200:AC200,"¶")+COUNTIF($E200:AC200,"²")+COUNTIF($E200:AC200,"µ")+COUNTIF($E200:AC200,1),ColDescriptionCourte))&gt;1,
HYPERLINK("#Roadmap!C"&amp; MATCH($E200,Roadmap!$D:$D,0)+COUNTIF($E200:AC200,"u")+COUNTIF($E200:AC200,"t")+COUNTIF($E200:AC200,"¶")+COUNTIF($E200:AC200,"²")+COUNTIF($E200:AC200,"µ")+COUNTIF($E200:AC200,1)-1,INDEX(Roadmap!$D:$K,MATCH($E200,Roadmap!$D:$D,0)-1+COUNTIF($E200:AC200,"u")+COUNTIF($E200:AC200,"t")+COUNTIF($E200:AC200,"¶")+COUNTIF($E200:AC200,"²")+COUNTIF($E200:AC200,"µ")+COUNTIF($E200:AC200,1),ColDescriptionCourte)),""),
  "")),"")</f>
        <v/>
      </c>
      <c r="AE200" s="40" t="str">
        <f ca="1">IFERROR(IF(AND(
  INDEX(Roadmap!$D:$K,MATCH($E200,Roadmap!$D:$D,0)+COUNTIF($E200:AD200,"u")+COUNTIF($E200:AD200,"t")+COUNTIF($E200:AD200,"¶")+COUNTIF($E200:AD200,"²")+COUNTIF($E200:AD200,"µ")+COUNTIF($E200:AD200,1),ColLivraison)=AE$6,
  VLOOKUP($E200,INDIRECT("tri!"&amp; CHAR(64+ C0Col) &amp;":"&amp; CHAR(65+C0Col)),2,FALSE)&gt;COUNTIF($E200:AD200,"u")+COUNTIF($E200:AD200,"t")+COUNTIF($E200:AD200,"¶")+COUNTIF($E200:AD200,"²")+COUNTIF($E200:AD200,"µ")+COUNTIF($E200:AD200,1)),
HYPERLINK("#Roadmap!C"&amp; MATCH($E200,Roadmap!$D:$D,0)+COUNTIF($E200:AD200,"u")+COUNTIF($E200:AD200,"t"),
     INDEX(Roadmap!$D:$K,MATCH($E200,Roadmap!$D:$D,0)+COUNTIF($E200:AD200,"u")+COUNTIF($E200:AD200,"t")+COUNTIF($E200:AD200,"¶")+COUNTIF($E200:AD200,"²")+COUNTIF($E200:AD200,"µ")+COUNTIF($E200:AD200,1),ColTypeEcheance)),
  IF(LEN(AD200)=1,
  IF(LEN(INDEX(Roadmap!$D:$K,MATCH($E200,Roadmap!$D:$D,0)-1+COUNTIF($E200:AD200,"u")+COUNTIF($E200:AD200,"t")+COUNTIF($E200:AD200,"¶")+COUNTIF($E200:AD200,"²")+COUNTIF($E200:AD200,"µ")+COUNTIF($E200:AD200,1),ColDescriptionCourte))&gt;1,
HYPERLINK("#Roadmap!C"&amp; MATCH($E200,Roadmap!$D:$D,0)+COUNTIF($E200:AD200,"u")+COUNTIF($E200:AD200,"t")+COUNTIF($E200:AD200,"¶")+COUNTIF($E200:AD200,"²")+COUNTIF($E200:AD200,"µ")+COUNTIF($E200:AD200,1)-1,INDEX(Roadmap!$D:$K,MATCH($E200,Roadmap!$D:$D,0)-1+COUNTIF($E200:AD200,"u")+COUNTIF($E200:AD200,"t")+COUNTIF($E200:AD200,"¶")+COUNTIF($E200:AD200,"²")+COUNTIF($E200:AD200,"µ")+COUNTIF($E200:AD200,1),ColDescriptionCourte)),""),
  "")),"")</f>
        <v/>
      </c>
      <c r="AF200" s="40" t="str">
        <f ca="1">IFERROR(IF(AND(
  INDEX(Roadmap!$D:$K,MATCH($E200,Roadmap!$D:$D,0)+COUNTIF($E200:AE200,"u")+COUNTIF($E200:AE200,"t")+COUNTIF($E200:AE200,"¶")+COUNTIF($E200:AE200,"²")+COUNTIF($E200:AE200,"µ")+COUNTIF($E200:AE200,1),ColLivraison)=AF$6,
  VLOOKUP($E200,INDIRECT("tri!"&amp; CHAR(64+ C0Col) &amp;":"&amp; CHAR(65+C0Col)),2,FALSE)&gt;COUNTIF($E200:AE200,"u")+COUNTIF($E200:AE200,"t")+COUNTIF($E200:AE200,"¶")+COUNTIF($E200:AE200,"²")+COUNTIF($E200:AE200,"µ")+COUNTIF($E200:AE200,1)),
HYPERLINK("#Roadmap!C"&amp; MATCH($E200,Roadmap!$D:$D,0)+COUNTIF($E200:AE200,"u")+COUNTIF($E200:AE200,"t"),
     INDEX(Roadmap!$D:$K,MATCH($E200,Roadmap!$D:$D,0)+COUNTIF($E200:AE200,"u")+COUNTIF($E200:AE200,"t")+COUNTIF($E200:AE200,"¶")+COUNTIF($E200:AE200,"²")+COUNTIF($E200:AE200,"µ")+COUNTIF($E200:AE200,1),ColTypeEcheance)),
  IF(LEN(AE200)=1,
  IF(LEN(INDEX(Roadmap!$D:$K,MATCH($E200,Roadmap!$D:$D,0)-1+COUNTIF($E200:AE200,"u")+COUNTIF($E200:AE200,"t")+COUNTIF($E200:AE200,"¶")+COUNTIF($E200:AE200,"²")+COUNTIF($E200:AE200,"µ")+COUNTIF($E200:AE200,1),ColDescriptionCourte))&gt;1,
HYPERLINK("#Roadmap!C"&amp; MATCH($E200,Roadmap!$D:$D,0)+COUNTIF($E200:AE200,"u")+COUNTIF($E200:AE200,"t")+COUNTIF($E200:AE200,"¶")+COUNTIF($E200:AE200,"²")+COUNTIF($E200:AE200,"µ")+COUNTIF($E200:AE200,1)-1,INDEX(Roadmap!$D:$K,MATCH($E200,Roadmap!$D:$D,0)-1+COUNTIF($E200:AE200,"u")+COUNTIF($E200:AE200,"t")+COUNTIF($E200:AE200,"¶")+COUNTIF($E200:AE200,"²")+COUNTIF($E200:AE200,"µ")+COUNTIF($E200:AE200,1),ColDescriptionCourte)),""),
  "")),"")</f>
        <v/>
      </c>
      <c r="AG200" s="40" t="str">
        <f ca="1">IFERROR(IF(AND(
  INDEX(Roadmap!$D:$K,MATCH($E200,Roadmap!$D:$D,0)+COUNTIF($E200:AF200,"u")+COUNTIF($E200:AF200,"t")+COUNTIF($E200:AF200,"¶")+COUNTIF($E200:AF200,"²")+COUNTIF($E200:AF200,"µ")+COUNTIF($E200:AF200,1),ColLivraison)=AG$6,
  VLOOKUP($E200,INDIRECT("tri!"&amp; CHAR(64+ C0Col) &amp;":"&amp; CHAR(65+C0Col)),2,FALSE)&gt;COUNTIF($E200:AF200,"u")+COUNTIF($E200:AF200,"t")+COUNTIF($E200:AF200,"¶")+COUNTIF($E200:AF200,"²")+COUNTIF($E200:AF200,"µ")+COUNTIF($E200:AF200,1)),
HYPERLINK("#Roadmap!C"&amp; MATCH($E200,Roadmap!$D:$D,0)+COUNTIF($E200:AF200,"u")+COUNTIF($E200:AF200,"t"),
     INDEX(Roadmap!$D:$K,MATCH($E200,Roadmap!$D:$D,0)+COUNTIF($E200:AF200,"u")+COUNTIF($E200:AF200,"t")+COUNTIF($E200:AF200,"¶")+COUNTIF($E200:AF200,"²")+COUNTIF($E200:AF200,"µ")+COUNTIF($E200:AF200,1),ColTypeEcheance)),
  IF(LEN(AF200)=1,
  IF(LEN(INDEX(Roadmap!$D:$K,MATCH($E200,Roadmap!$D:$D,0)-1+COUNTIF($E200:AF200,"u")+COUNTIF($E200:AF200,"t")+COUNTIF($E200:AF200,"¶")+COUNTIF($E200:AF200,"²")+COUNTIF($E200:AF200,"µ")+COUNTIF($E200:AF200,1),ColDescriptionCourte))&gt;1,
HYPERLINK("#Roadmap!C"&amp; MATCH($E200,Roadmap!$D:$D,0)+COUNTIF($E200:AF200,"u")+COUNTIF($E200:AF200,"t")+COUNTIF($E200:AF200,"¶")+COUNTIF($E200:AF200,"²")+COUNTIF($E200:AF200,"µ")+COUNTIF($E200:AF200,1)-1,INDEX(Roadmap!$D:$K,MATCH($E200,Roadmap!$D:$D,0)-1+COUNTIF($E200:AF200,"u")+COUNTIF($E200:AF200,"t")+COUNTIF($E200:AF200,"¶")+COUNTIF($E200:AF200,"²")+COUNTIF($E200:AF200,"µ")+COUNTIF($E200:AF200,1),ColDescriptionCourte)),""),
  "")),"")</f>
        <v/>
      </c>
    </row>
  </sheetData>
  <mergeCells count="10">
    <mergeCell ref="F5:G5"/>
    <mergeCell ref="H5:I5"/>
    <mergeCell ref="J5:K5"/>
    <mergeCell ref="AH5:AI5"/>
    <mergeCell ref="L5:M5"/>
    <mergeCell ref="N5:O5"/>
    <mergeCell ref="P5:Q5"/>
    <mergeCell ref="R5:S5"/>
    <mergeCell ref="T5:U5"/>
    <mergeCell ref="V5:W5"/>
  </mergeCells>
  <conditionalFormatting sqref="F7:AG200">
    <cfRule type="cellIs" dxfId="6" priority="8" operator="equal">
      <formula>1</formula>
    </cfRule>
    <cfRule type="cellIs" dxfId="5" priority="11" operator="equal">
      <formula>"t"</formula>
    </cfRule>
    <cfRule type="cellIs" dxfId="4" priority="12" operator="equal">
      <formula>"u"</formula>
    </cfRule>
    <cfRule type="cellIs" dxfId="3" priority="4" operator="equal">
      <formula>"µ"</formula>
    </cfRule>
  </conditionalFormatting>
  <conditionalFormatting sqref="F6:AG200">
    <cfRule type="expression" dxfId="2" priority="10">
      <formula>YEAR(F$6)&lt;&gt;YEAR(G$6)</formula>
    </cfRule>
  </conditionalFormatting>
  <conditionalFormatting sqref="F7:AG200">
    <cfRule type="expression" dxfId="1" priority="9">
      <formula>OR(AND(DAY(F$6)=1,MONTH(F$6)=8,MONTH(G$6)=9),AND(DAY(F$6)=15,MONTH(F$6)=7,MONTH(G$6)=8),AND(DAY(F$6)=1,MONTH(F$6)=8,MONTH(G$6)=8))</formula>
    </cfRule>
  </conditionalFormatting>
  <conditionalFormatting sqref="F2:AG2">
    <cfRule type="colorScale" priority="40">
      <colorScale>
        <cfvo type="min" val="0"/>
        <cfvo type="percentile" val="50"/>
        <cfvo type="max" val="0"/>
        <color rgb="FF00B050"/>
        <color rgb="FFFFEB84"/>
        <color rgb="FFFF0000"/>
      </colorScale>
    </cfRule>
  </conditionalFormatting>
  <conditionalFormatting sqref="D7:AG200">
    <cfRule type="expression" dxfId="0" priority="1">
      <formula>LEN($D7)&gt;0</formula>
    </cfRule>
  </conditionalFormatting>
  <printOptions horizontalCentered="1" verticalCentered="1"/>
  <pageMargins left="0.23622047244094491" right="0.23622047244094491" top="0.74803149606299213" bottom="0.74803149606299213" header="0.31496062992125984" footer="0.31496062992125984"/>
  <pageSetup paperSize="8" orientation="landscape" r:id="rId1"/>
  <drawing r:id="rId2"/>
</worksheet>
</file>

<file path=xl/worksheets/sheet4.xml><?xml version="1.0" encoding="utf-8"?>
<worksheet xmlns="http://schemas.openxmlformats.org/spreadsheetml/2006/main" xmlns:r="http://schemas.openxmlformats.org/officeDocument/2006/relationships">
  <sheetPr codeName="Feuil4"/>
  <dimension ref="B1:M299"/>
  <sheetViews>
    <sheetView topLeftCell="B273" workbookViewId="0">
      <selection activeCell="J299" sqref="J299"/>
    </sheetView>
  </sheetViews>
  <sheetFormatPr baseColWidth="10" defaultRowHeight="15"/>
  <cols>
    <col min="1" max="1" width="2.5703125" customWidth="1"/>
    <col min="3" max="3" width="6.5703125" customWidth="1"/>
    <col min="4" max="4" width="25" customWidth="1"/>
    <col min="7" max="7" width="21.42578125" bestFit="1" customWidth="1"/>
    <col min="8" max="8" width="11.42578125" style="4"/>
    <col min="10" max="10" width="9.42578125" bestFit="1" customWidth="1"/>
    <col min="11" max="11" width="34.140625" customWidth="1"/>
  </cols>
  <sheetData>
    <row r="1" spans="2:13">
      <c r="B1" t="s">
        <v>41</v>
      </c>
      <c r="C1" t="s">
        <v>179</v>
      </c>
      <c r="D1" t="s">
        <v>21</v>
      </c>
      <c r="E1" t="s">
        <v>140</v>
      </c>
      <c r="F1" t="s">
        <v>141</v>
      </c>
      <c r="G1" t="s">
        <v>17</v>
      </c>
      <c r="H1" s="4" t="s">
        <v>9</v>
      </c>
      <c r="I1" t="s">
        <v>10</v>
      </c>
      <c r="J1" t="s">
        <v>40</v>
      </c>
      <c r="K1" t="s">
        <v>11</v>
      </c>
      <c r="L1" t="s">
        <v>124</v>
      </c>
      <c r="M1" t="s">
        <v>125</v>
      </c>
    </row>
    <row r="2" spans="2:13">
      <c r="B2" s="28" t="s">
        <v>174</v>
      </c>
      <c r="C2" s="3" t="s">
        <v>180</v>
      </c>
      <c r="D2" s="3" t="s">
        <v>189</v>
      </c>
      <c r="E2" s="3" t="s">
        <v>330</v>
      </c>
      <c r="F2" s="3">
        <v>1</v>
      </c>
      <c r="G2" s="3" t="s">
        <v>339</v>
      </c>
      <c r="H2" s="4">
        <v>42384</v>
      </c>
      <c r="I2" t="s">
        <v>2</v>
      </c>
      <c r="J2" t="s">
        <v>168</v>
      </c>
    </row>
    <row r="3" spans="2:13">
      <c r="B3" s="28" t="s">
        <v>176</v>
      </c>
      <c r="C3" s="3" t="s">
        <v>180</v>
      </c>
      <c r="D3" s="3" t="s">
        <v>190</v>
      </c>
      <c r="E3" s="3"/>
      <c r="F3" s="3">
        <v>1</v>
      </c>
      <c r="G3" s="3" t="s">
        <v>38</v>
      </c>
      <c r="H3" s="4">
        <v>42415</v>
      </c>
      <c r="I3" t="s">
        <v>160</v>
      </c>
      <c r="J3" t="s">
        <v>149</v>
      </c>
    </row>
    <row r="4" spans="2:13">
      <c r="B4" s="28" t="s">
        <v>176</v>
      </c>
      <c r="C4" s="3" t="s">
        <v>180</v>
      </c>
      <c r="D4" s="3" t="s">
        <v>191</v>
      </c>
      <c r="E4" s="3" t="s">
        <v>336</v>
      </c>
      <c r="F4" s="3">
        <v>1</v>
      </c>
      <c r="G4" s="3" t="s">
        <v>346</v>
      </c>
      <c r="H4" s="4">
        <v>42292</v>
      </c>
      <c r="I4" t="s">
        <v>2</v>
      </c>
      <c r="J4" t="s">
        <v>362</v>
      </c>
    </row>
    <row r="5" spans="2:13">
      <c r="B5" s="28" t="s">
        <v>176</v>
      </c>
      <c r="C5" s="3" t="s">
        <v>180</v>
      </c>
      <c r="D5" s="3" t="s">
        <v>191</v>
      </c>
      <c r="E5" s="3" t="s">
        <v>336</v>
      </c>
      <c r="F5" s="3"/>
      <c r="G5" s="3" t="s">
        <v>348</v>
      </c>
      <c r="H5" s="4">
        <v>42323</v>
      </c>
      <c r="I5" t="s">
        <v>42</v>
      </c>
      <c r="J5" t="s">
        <v>91</v>
      </c>
    </row>
    <row r="6" spans="2:13">
      <c r="B6" s="28" t="s">
        <v>176</v>
      </c>
      <c r="C6" s="3" t="s">
        <v>180</v>
      </c>
      <c r="D6" s="3" t="s">
        <v>191</v>
      </c>
      <c r="E6" t="s">
        <v>336</v>
      </c>
      <c r="G6" t="s">
        <v>348</v>
      </c>
      <c r="H6" s="4">
        <v>42444</v>
      </c>
      <c r="I6" t="s">
        <v>42</v>
      </c>
      <c r="J6" t="s">
        <v>92</v>
      </c>
    </row>
    <row r="7" spans="2:13">
      <c r="B7" s="28" t="s">
        <v>176</v>
      </c>
      <c r="C7" s="3" t="s">
        <v>180</v>
      </c>
      <c r="D7" s="3" t="s">
        <v>191</v>
      </c>
      <c r="E7" s="3" t="s">
        <v>336</v>
      </c>
      <c r="F7" s="3"/>
      <c r="G7" s="3" t="s">
        <v>348</v>
      </c>
      <c r="H7" s="4">
        <v>42552</v>
      </c>
      <c r="I7" t="s">
        <v>42</v>
      </c>
      <c r="J7" t="s">
        <v>93</v>
      </c>
    </row>
    <row r="8" spans="2:13">
      <c r="B8" s="28" t="s">
        <v>176</v>
      </c>
      <c r="C8" s="3" t="s">
        <v>180</v>
      </c>
      <c r="D8" s="30" t="s">
        <v>191</v>
      </c>
      <c r="E8" s="30" t="s">
        <v>336</v>
      </c>
      <c r="F8" s="30">
        <v>1</v>
      </c>
      <c r="G8" s="30" t="s">
        <v>348</v>
      </c>
      <c r="H8" s="4">
        <v>42614</v>
      </c>
      <c r="I8" t="s">
        <v>42</v>
      </c>
      <c r="J8" t="s">
        <v>114</v>
      </c>
    </row>
    <row r="9" spans="2:13">
      <c r="B9" t="s">
        <v>176</v>
      </c>
      <c r="C9" t="s">
        <v>180</v>
      </c>
      <c r="D9" t="s">
        <v>191</v>
      </c>
      <c r="E9" t="s">
        <v>336</v>
      </c>
      <c r="G9" t="s">
        <v>348</v>
      </c>
      <c r="H9" s="4" t="s">
        <v>48</v>
      </c>
      <c r="I9" t="s">
        <v>42</v>
      </c>
      <c r="J9" t="s">
        <v>114</v>
      </c>
    </row>
    <row r="10" spans="2:13">
      <c r="B10" t="s">
        <v>176</v>
      </c>
      <c r="C10" t="s">
        <v>180</v>
      </c>
      <c r="D10" t="s">
        <v>192</v>
      </c>
      <c r="E10" t="s">
        <v>336</v>
      </c>
      <c r="G10" t="s">
        <v>348</v>
      </c>
      <c r="H10" s="4" t="s">
        <v>48</v>
      </c>
      <c r="I10" t="s">
        <v>42</v>
      </c>
      <c r="J10" t="s">
        <v>94</v>
      </c>
    </row>
    <row r="11" spans="2:13">
      <c r="B11" t="s">
        <v>177</v>
      </c>
      <c r="C11" t="s">
        <v>180</v>
      </c>
      <c r="D11" t="s">
        <v>193</v>
      </c>
      <c r="G11" t="s">
        <v>340</v>
      </c>
      <c r="H11" s="4">
        <v>42278</v>
      </c>
      <c r="I11" t="s">
        <v>160</v>
      </c>
      <c r="J11" t="s">
        <v>363</v>
      </c>
    </row>
    <row r="12" spans="2:13">
      <c r="B12" t="s">
        <v>177</v>
      </c>
      <c r="C12" t="s">
        <v>180</v>
      </c>
      <c r="D12" t="s">
        <v>194</v>
      </c>
      <c r="E12" t="s">
        <v>333</v>
      </c>
      <c r="G12" t="s">
        <v>357</v>
      </c>
      <c r="H12" s="4">
        <v>42353</v>
      </c>
      <c r="I12" t="s">
        <v>42</v>
      </c>
    </row>
    <row r="13" spans="2:13">
      <c r="B13" t="s">
        <v>177</v>
      </c>
      <c r="C13" t="s">
        <v>180</v>
      </c>
      <c r="D13" t="s">
        <v>194</v>
      </c>
      <c r="E13" t="s">
        <v>333</v>
      </c>
      <c r="G13" t="s">
        <v>357</v>
      </c>
      <c r="H13" s="4">
        <v>42430</v>
      </c>
      <c r="I13" t="s">
        <v>42</v>
      </c>
    </row>
    <row r="14" spans="2:13">
      <c r="B14" t="s">
        <v>177</v>
      </c>
      <c r="C14" t="s">
        <v>180</v>
      </c>
      <c r="D14" t="s">
        <v>194</v>
      </c>
      <c r="E14" t="s">
        <v>333</v>
      </c>
      <c r="G14" t="s">
        <v>357</v>
      </c>
      <c r="H14" s="4">
        <v>42522</v>
      </c>
      <c r="I14" t="s">
        <v>42</v>
      </c>
    </row>
    <row r="15" spans="2:13">
      <c r="B15" t="s">
        <v>177</v>
      </c>
      <c r="C15" t="s">
        <v>180</v>
      </c>
      <c r="D15" t="s">
        <v>194</v>
      </c>
      <c r="E15" t="s">
        <v>333</v>
      </c>
      <c r="G15" t="s">
        <v>357</v>
      </c>
      <c r="H15" s="4">
        <v>42614</v>
      </c>
      <c r="I15" t="s">
        <v>42</v>
      </c>
    </row>
    <row r="16" spans="2:13">
      <c r="B16" t="s">
        <v>177</v>
      </c>
      <c r="C16" t="s">
        <v>180</v>
      </c>
      <c r="D16" t="s">
        <v>194</v>
      </c>
      <c r="E16" t="s">
        <v>333</v>
      </c>
      <c r="G16" t="s">
        <v>357</v>
      </c>
      <c r="H16" s="4" t="s">
        <v>48</v>
      </c>
      <c r="I16" t="s">
        <v>42</v>
      </c>
    </row>
    <row r="17" spans="2:10">
      <c r="B17" t="s">
        <v>177</v>
      </c>
      <c r="C17" t="s">
        <v>180</v>
      </c>
      <c r="D17" t="s">
        <v>195</v>
      </c>
      <c r="E17" t="s">
        <v>333</v>
      </c>
      <c r="G17" t="s">
        <v>361</v>
      </c>
      <c r="H17" s="4">
        <v>42353</v>
      </c>
      <c r="I17" t="s">
        <v>42</v>
      </c>
      <c r="J17" t="s">
        <v>95</v>
      </c>
    </row>
    <row r="18" spans="2:10">
      <c r="B18" t="s">
        <v>177</v>
      </c>
      <c r="C18" t="s">
        <v>180</v>
      </c>
      <c r="D18" t="s">
        <v>196</v>
      </c>
      <c r="E18" t="s">
        <v>337</v>
      </c>
      <c r="G18" t="s">
        <v>339</v>
      </c>
      <c r="H18" s="4">
        <v>42278</v>
      </c>
      <c r="I18" t="s">
        <v>42</v>
      </c>
    </row>
    <row r="19" spans="2:10">
      <c r="B19" t="s">
        <v>177</v>
      </c>
      <c r="C19" t="s">
        <v>180</v>
      </c>
      <c r="D19" t="s">
        <v>196</v>
      </c>
      <c r="E19" t="s">
        <v>337</v>
      </c>
      <c r="G19" t="s">
        <v>339</v>
      </c>
      <c r="H19" s="4">
        <v>42353</v>
      </c>
      <c r="I19" t="s">
        <v>42</v>
      </c>
      <c r="J19" t="s">
        <v>113</v>
      </c>
    </row>
    <row r="20" spans="2:10">
      <c r="B20" t="s">
        <v>177</v>
      </c>
      <c r="C20" t="s">
        <v>180</v>
      </c>
      <c r="D20" t="s">
        <v>196</v>
      </c>
      <c r="E20" t="s">
        <v>337</v>
      </c>
      <c r="G20" t="s">
        <v>339</v>
      </c>
      <c r="H20" s="4">
        <v>42444</v>
      </c>
      <c r="I20" t="s">
        <v>42</v>
      </c>
      <c r="J20" t="s">
        <v>96</v>
      </c>
    </row>
    <row r="21" spans="2:10">
      <c r="B21" t="s">
        <v>177</v>
      </c>
      <c r="C21" t="s">
        <v>180</v>
      </c>
      <c r="D21" t="s">
        <v>196</v>
      </c>
      <c r="E21" t="s">
        <v>337</v>
      </c>
      <c r="F21">
        <v>1</v>
      </c>
      <c r="G21" t="s">
        <v>339</v>
      </c>
      <c r="H21" s="4">
        <v>42491</v>
      </c>
      <c r="I21" t="s">
        <v>42</v>
      </c>
      <c r="J21" t="s">
        <v>129</v>
      </c>
    </row>
    <row r="22" spans="2:10">
      <c r="B22" t="s">
        <v>177</v>
      </c>
      <c r="C22" t="s">
        <v>180</v>
      </c>
      <c r="D22" t="s">
        <v>197</v>
      </c>
      <c r="E22" t="s">
        <v>334</v>
      </c>
      <c r="G22" t="s">
        <v>340</v>
      </c>
      <c r="H22" s="4">
        <v>42278</v>
      </c>
      <c r="I22" t="s">
        <v>42</v>
      </c>
      <c r="J22" t="s">
        <v>138</v>
      </c>
    </row>
    <row r="23" spans="2:10">
      <c r="B23" t="s">
        <v>177</v>
      </c>
      <c r="C23" t="s">
        <v>180</v>
      </c>
      <c r="D23" t="s">
        <v>197</v>
      </c>
      <c r="E23" t="s">
        <v>334</v>
      </c>
      <c r="F23">
        <v>1</v>
      </c>
      <c r="G23" t="s">
        <v>339</v>
      </c>
      <c r="H23" s="4">
        <v>42401</v>
      </c>
      <c r="I23" t="s">
        <v>42</v>
      </c>
      <c r="J23" t="s">
        <v>364</v>
      </c>
    </row>
    <row r="24" spans="2:10">
      <c r="B24" t="s">
        <v>177</v>
      </c>
      <c r="C24" t="s">
        <v>180</v>
      </c>
      <c r="D24" t="s">
        <v>197</v>
      </c>
      <c r="E24" t="s">
        <v>334</v>
      </c>
      <c r="F24">
        <v>1</v>
      </c>
      <c r="G24" t="s">
        <v>339</v>
      </c>
      <c r="H24" s="4">
        <v>42461</v>
      </c>
      <c r="I24" t="s">
        <v>42</v>
      </c>
      <c r="J24" t="s">
        <v>113</v>
      </c>
    </row>
    <row r="25" spans="2:10">
      <c r="B25" t="s">
        <v>177</v>
      </c>
      <c r="C25" t="s">
        <v>180</v>
      </c>
      <c r="D25" t="s">
        <v>198</v>
      </c>
      <c r="E25" t="s">
        <v>333</v>
      </c>
      <c r="G25" t="s">
        <v>342</v>
      </c>
      <c r="H25" s="4">
        <v>42370</v>
      </c>
      <c r="I25" t="s">
        <v>2</v>
      </c>
      <c r="J25" t="s">
        <v>111</v>
      </c>
    </row>
    <row r="26" spans="2:10">
      <c r="B26" t="s">
        <v>177</v>
      </c>
      <c r="C26" t="s">
        <v>180</v>
      </c>
      <c r="D26" t="s">
        <v>199</v>
      </c>
      <c r="G26" t="s">
        <v>359</v>
      </c>
      <c r="H26" s="4">
        <v>42522</v>
      </c>
      <c r="I26" t="s">
        <v>2</v>
      </c>
      <c r="J26" t="s">
        <v>114</v>
      </c>
    </row>
    <row r="27" spans="2:10">
      <c r="B27" t="s">
        <v>177</v>
      </c>
      <c r="C27" t="s">
        <v>180</v>
      </c>
      <c r="D27" t="s">
        <v>200</v>
      </c>
      <c r="E27" t="s">
        <v>333</v>
      </c>
      <c r="G27" t="s">
        <v>347</v>
      </c>
      <c r="H27" s="4">
        <v>42278</v>
      </c>
      <c r="I27" t="s">
        <v>42</v>
      </c>
      <c r="J27" t="s">
        <v>111</v>
      </c>
    </row>
    <row r="28" spans="2:10">
      <c r="B28" t="s">
        <v>177</v>
      </c>
      <c r="C28" t="s">
        <v>180</v>
      </c>
      <c r="D28" t="s">
        <v>201</v>
      </c>
      <c r="E28" t="s">
        <v>333</v>
      </c>
      <c r="G28" t="s">
        <v>357</v>
      </c>
      <c r="H28" s="4">
        <v>42292</v>
      </c>
      <c r="I28" t="s">
        <v>42</v>
      </c>
      <c r="J28" t="s">
        <v>111</v>
      </c>
    </row>
    <row r="29" spans="2:10">
      <c r="B29" t="s">
        <v>177</v>
      </c>
      <c r="C29" t="s">
        <v>180</v>
      </c>
      <c r="D29" t="s">
        <v>201</v>
      </c>
      <c r="E29" t="s">
        <v>333</v>
      </c>
      <c r="G29" t="s">
        <v>357</v>
      </c>
      <c r="H29" s="4">
        <v>42323</v>
      </c>
      <c r="I29" t="s">
        <v>42</v>
      </c>
      <c r="J29" t="s">
        <v>112</v>
      </c>
    </row>
    <row r="30" spans="2:10">
      <c r="B30" t="s">
        <v>177</v>
      </c>
      <c r="C30" t="s">
        <v>180</v>
      </c>
      <c r="D30" t="s">
        <v>202</v>
      </c>
      <c r="E30" t="s">
        <v>333</v>
      </c>
      <c r="G30" t="s">
        <v>342</v>
      </c>
      <c r="H30" s="4">
        <v>42292</v>
      </c>
      <c r="I30" t="s">
        <v>42</v>
      </c>
      <c r="J30" t="s">
        <v>111</v>
      </c>
    </row>
    <row r="31" spans="2:10">
      <c r="B31" t="s">
        <v>177</v>
      </c>
      <c r="C31" t="s">
        <v>180</v>
      </c>
      <c r="D31" t="s">
        <v>203</v>
      </c>
      <c r="E31" t="s">
        <v>333</v>
      </c>
      <c r="G31" t="s">
        <v>347</v>
      </c>
      <c r="H31" s="4">
        <v>42370</v>
      </c>
      <c r="I31" t="s">
        <v>42</v>
      </c>
      <c r="J31" t="s">
        <v>111</v>
      </c>
    </row>
    <row r="32" spans="2:10">
      <c r="B32" t="s">
        <v>177</v>
      </c>
      <c r="C32" t="s">
        <v>180</v>
      </c>
      <c r="D32" t="s">
        <v>204</v>
      </c>
      <c r="E32" t="s">
        <v>333</v>
      </c>
      <c r="G32" t="s">
        <v>342</v>
      </c>
      <c r="H32" s="4">
        <v>42309</v>
      </c>
      <c r="I32" t="s">
        <v>42</v>
      </c>
      <c r="J32" t="s">
        <v>111</v>
      </c>
    </row>
    <row r="33" spans="2:10">
      <c r="B33" t="s">
        <v>177</v>
      </c>
      <c r="C33" t="s">
        <v>180</v>
      </c>
      <c r="D33" t="s">
        <v>205</v>
      </c>
      <c r="E33" t="s">
        <v>333</v>
      </c>
      <c r="G33" t="s">
        <v>342</v>
      </c>
      <c r="H33" s="4">
        <v>42278</v>
      </c>
      <c r="I33" t="s">
        <v>42</v>
      </c>
      <c r="J33" t="s">
        <v>111</v>
      </c>
    </row>
    <row r="34" spans="2:10">
      <c r="B34" t="s">
        <v>177</v>
      </c>
      <c r="C34" t="s">
        <v>180</v>
      </c>
      <c r="D34" t="s">
        <v>206</v>
      </c>
      <c r="E34" t="s">
        <v>333</v>
      </c>
      <c r="G34" t="s">
        <v>357</v>
      </c>
      <c r="H34" s="4">
        <v>42370</v>
      </c>
      <c r="I34" t="s">
        <v>42</v>
      </c>
      <c r="J34" t="s">
        <v>110</v>
      </c>
    </row>
    <row r="35" spans="2:10">
      <c r="B35" t="s">
        <v>177</v>
      </c>
      <c r="C35" t="s">
        <v>180</v>
      </c>
      <c r="D35" t="s">
        <v>207</v>
      </c>
      <c r="G35" t="s">
        <v>339</v>
      </c>
      <c r="H35" s="4">
        <v>42278</v>
      </c>
      <c r="I35" t="s">
        <v>42</v>
      </c>
      <c r="J35" t="s">
        <v>121</v>
      </c>
    </row>
    <row r="36" spans="2:10">
      <c r="B36" t="s">
        <v>177</v>
      </c>
      <c r="C36" t="s">
        <v>180</v>
      </c>
      <c r="D36" t="s">
        <v>207</v>
      </c>
      <c r="G36" t="s">
        <v>339</v>
      </c>
      <c r="H36" s="4">
        <v>42339</v>
      </c>
      <c r="I36" t="s">
        <v>160</v>
      </c>
      <c r="J36" t="s">
        <v>113</v>
      </c>
    </row>
    <row r="37" spans="2:10">
      <c r="B37" t="s">
        <v>177</v>
      </c>
      <c r="C37" t="s">
        <v>180</v>
      </c>
      <c r="D37" t="s">
        <v>208</v>
      </c>
      <c r="E37" t="s">
        <v>333</v>
      </c>
      <c r="G37" t="s">
        <v>347</v>
      </c>
      <c r="H37" s="4">
        <v>42370</v>
      </c>
      <c r="I37" t="s">
        <v>42</v>
      </c>
      <c r="J37" t="s">
        <v>111</v>
      </c>
    </row>
    <row r="38" spans="2:10">
      <c r="B38" t="s">
        <v>177</v>
      </c>
      <c r="C38" t="s">
        <v>180</v>
      </c>
      <c r="D38" t="s">
        <v>209</v>
      </c>
      <c r="E38" t="s">
        <v>333</v>
      </c>
      <c r="G38" t="s">
        <v>357</v>
      </c>
      <c r="H38" s="4">
        <v>42323</v>
      </c>
      <c r="I38" t="s">
        <v>42</v>
      </c>
      <c r="J38" t="s">
        <v>113</v>
      </c>
    </row>
    <row r="39" spans="2:10">
      <c r="B39" t="s">
        <v>177</v>
      </c>
      <c r="C39" t="s">
        <v>180</v>
      </c>
      <c r="D39" t="s">
        <v>209</v>
      </c>
      <c r="E39" t="s">
        <v>333</v>
      </c>
      <c r="G39" t="s">
        <v>357</v>
      </c>
      <c r="H39" s="4">
        <v>42491</v>
      </c>
      <c r="I39" t="s">
        <v>42</v>
      </c>
      <c r="J39" t="s">
        <v>114</v>
      </c>
    </row>
    <row r="40" spans="2:10">
      <c r="B40" t="s">
        <v>177</v>
      </c>
      <c r="C40" t="s">
        <v>180</v>
      </c>
      <c r="D40" t="s">
        <v>209</v>
      </c>
      <c r="E40" t="s">
        <v>333</v>
      </c>
      <c r="G40" t="s">
        <v>357</v>
      </c>
      <c r="H40" s="4">
        <v>42522</v>
      </c>
      <c r="I40" t="s">
        <v>42</v>
      </c>
      <c r="J40" t="s">
        <v>365</v>
      </c>
    </row>
    <row r="41" spans="2:10">
      <c r="B41" t="s">
        <v>177</v>
      </c>
      <c r="C41" t="s">
        <v>180</v>
      </c>
      <c r="D41" t="s">
        <v>210</v>
      </c>
      <c r="E41" t="s">
        <v>334</v>
      </c>
      <c r="G41" t="s">
        <v>340</v>
      </c>
      <c r="H41" s="4">
        <v>42384</v>
      </c>
      <c r="I41" t="s">
        <v>42</v>
      </c>
      <c r="J41" t="s">
        <v>137</v>
      </c>
    </row>
    <row r="42" spans="2:10">
      <c r="B42" t="s">
        <v>177</v>
      </c>
      <c r="C42" t="s">
        <v>180</v>
      </c>
      <c r="D42" t="s">
        <v>210</v>
      </c>
      <c r="E42" t="s">
        <v>334</v>
      </c>
      <c r="F42">
        <v>1</v>
      </c>
      <c r="G42" t="s">
        <v>340</v>
      </c>
      <c r="H42" s="4">
        <v>42522</v>
      </c>
      <c r="I42" t="s">
        <v>42</v>
      </c>
      <c r="J42" t="s">
        <v>97</v>
      </c>
    </row>
    <row r="43" spans="2:10">
      <c r="B43" t="s">
        <v>177</v>
      </c>
      <c r="C43" t="s">
        <v>180</v>
      </c>
      <c r="D43" t="s">
        <v>211</v>
      </c>
      <c r="E43" t="s">
        <v>333</v>
      </c>
      <c r="G43" t="s">
        <v>347</v>
      </c>
      <c r="H43" s="4">
        <v>42309</v>
      </c>
      <c r="I43" t="s">
        <v>42</v>
      </c>
      <c r="J43" t="s">
        <v>111</v>
      </c>
    </row>
    <row r="44" spans="2:10">
      <c r="B44" t="s">
        <v>177</v>
      </c>
      <c r="C44" t="s">
        <v>180</v>
      </c>
      <c r="D44" t="s">
        <v>212</v>
      </c>
      <c r="E44" t="s">
        <v>333</v>
      </c>
      <c r="G44" t="s">
        <v>357</v>
      </c>
      <c r="H44" s="4">
        <v>42278</v>
      </c>
      <c r="I44" t="s">
        <v>42</v>
      </c>
      <c r="J44" t="s">
        <v>366</v>
      </c>
    </row>
    <row r="45" spans="2:10">
      <c r="B45" t="s">
        <v>177</v>
      </c>
      <c r="C45" t="s">
        <v>180</v>
      </c>
      <c r="D45" t="s">
        <v>212</v>
      </c>
      <c r="E45" t="s">
        <v>333</v>
      </c>
      <c r="G45" t="s">
        <v>357</v>
      </c>
      <c r="H45" s="4">
        <v>42461</v>
      </c>
      <c r="I45" t="s">
        <v>42</v>
      </c>
      <c r="J45" t="s">
        <v>367</v>
      </c>
    </row>
    <row r="46" spans="2:10">
      <c r="B46" t="s">
        <v>177</v>
      </c>
      <c r="C46" t="s">
        <v>180</v>
      </c>
      <c r="D46" t="s">
        <v>213</v>
      </c>
      <c r="E46" t="s">
        <v>337</v>
      </c>
      <c r="G46" t="s">
        <v>339</v>
      </c>
      <c r="H46" s="4">
        <v>42384</v>
      </c>
      <c r="I46" t="s">
        <v>42</v>
      </c>
      <c r="J46" t="s">
        <v>121</v>
      </c>
    </row>
    <row r="47" spans="2:10">
      <c r="B47" t="s">
        <v>177</v>
      </c>
      <c r="C47" t="s">
        <v>180</v>
      </c>
      <c r="D47" t="s">
        <v>213</v>
      </c>
      <c r="E47" t="s">
        <v>337</v>
      </c>
      <c r="G47" t="s">
        <v>339</v>
      </c>
      <c r="H47" s="4" t="s">
        <v>65</v>
      </c>
      <c r="I47" t="s">
        <v>42</v>
      </c>
      <c r="J47" t="s">
        <v>96</v>
      </c>
    </row>
    <row r="48" spans="2:10">
      <c r="B48" t="s">
        <v>177</v>
      </c>
      <c r="C48" t="s">
        <v>180</v>
      </c>
      <c r="D48" t="s">
        <v>213</v>
      </c>
      <c r="E48" t="s">
        <v>337</v>
      </c>
      <c r="G48" t="s">
        <v>339</v>
      </c>
      <c r="H48" s="4" t="s">
        <v>48</v>
      </c>
      <c r="I48" t="s">
        <v>42</v>
      </c>
      <c r="J48" t="s">
        <v>117</v>
      </c>
    </row>
    <row r="49" spans="2:11">
      <c r="B49" t="s">
        <v>170</v>
      </c>
      <c r="C49" t="s">
        <v>181</v>
      </c>
      <c r="D49" t="s">
        <v>214</v>
      </c>
      <c r="E49" t="s">
        <v>330</v>
      </c>
      <c r="F49">
        <v>1</v>
      </c>
      <c r="G49" t="s">
        <v>341</v>
      </c>
      <c r="H49" s="4">
        <v>42444</v>
      </c>
      <c r="I49" t="s">
        <v>2</v>
      </c>
      <c r="J49" t="s">
        <v>43</v>
      </c>
    </row>
    <row r="50" spans="2:11">
      <c r="B50" t="s">
        <v>170</v>
      </c>
      <c r="C50" t="s">
        <v>181</v>
      </c>
      <c r="D50" t="s">
        <v>214</v>
      </c>
      <c r="E50" t="s">
        <v>330</v>
      </c>
      <c r="F50">
        <v>1</v>
      </c>
      <c r="G50" t="s">
        <v>341</v>
      </c>
      <c r="H50" s="4" t="s">
        <v>48</v>
      </c>
      <c r="I50" t="s">
        <v>2</v>
      </c>
      <c r="J50" t="s">
        <v>49</v>
      </c>
    </row>
    <row r="51" spans="2:11">
      <c r="B51" t="s">
        <v>173</v>
      </c>
      <c r="C51" t="s">
        <v>181</v>
      </c>
      <c r="D51" t="s">
        <v>215</v>
      </c>
      <c r="E51" t="s">
        <v>330</v>
      </c>
      <c r="G51" t="s">
        <v>351</v>
      </c>
      <c r="H51" s="4">
        <v>42278</v>
      </c>
      <c r="I51" t="s">
        <v>42</v>
      </c>
      <c r="J51" t="s">
        <v>78</v>
      </c>
    </row>
    <row r="52" spans="2:11">
      <c r="B52" t="s">
        <v>173</v>
      </c>
      <c r="C52" t="s">
        <v>181</v>
      </c>
      <c r="D52" t="s">
        <v>215</v>
      </c>
      <c r="E52" t="s">
        <v>330</v>
      </c>
      <c r="F52">
        <v>1</v>
      </c>
      <c r="G52" t="s">
        <v>351</v>
      </c>
      <c r="H52" s="4">
        <v>42384</v>
      </c>
      <c r="I52" t="s">
        <v>42</v>
      </c>
      <c r="J52" t="s">
        <v>114</v>
      </c>
    </row>
    <row r="53" spans="2:11">
      <c r="B53" t="s">
        <v>173</v>
      </c>
      <c r="C53" t="s">
        <v>181</v>
      </c>
      <c r="D53" t="s">
        <v>216</v>
      </c>
      <c r="E53" t="s">
        <v>330</v>
      </c>
      <c r="G53" t="s">
        <v>352</v>
      </c>
      <c r="H53" s="4">
        <v>42339</v>
      </c>
      <c r="I53" t="s">
        <v>160</v>
      </c>
      <c r="J53" t="s">
        <v>7</v>
      </c>
      <c r="K53" s="41"/>
    </row>
    <row r="54" spans="2:11">
      <c r="B54" t="s">
        <v>173</v>
      </c>
      <c r="C54" t="s">
        <v>181</v>
      </c>
      <c r="D54" t="s">
        <v>216</v>
      </c>
      <c r="E54" t="s">
        <v>330</v>
      </c>
      <c r="G54" t="s">
        <v>341</v>
      </c>
      <c r="H54" s="4">
        <v>42370</v>
      </c>
      <c r="I54" t="s">
        <v>42</v>
      </c>
      <c r="J54" t="s">
        <v>368</v>
      </c>
    </row>
    <row r="55" spans="2:11">
      <c r="B55" t="s">
        <v>173</v>
      </c>
      <c r="C55" t="s">
        <v>181</v>
      </c>
      <c r="D55" t="s">
        <v>216</v>
      </c>
      <c r="E55" t="s">
        <v>330</v>
      </c>
      <c r="F55">
        <v>1</v>
      </c>
      <c r="G55" t="s">
        <v>352</v>
      </c>
      <c r="H55" s="4">
        <v>42461</v>
      </c>
      <c r="I55" t="s">
        <v>2</v>
      </c>
      <c r="J55" t="s">
        <v>144</v>
      </c>
    </row>
    <row r="56" spans="2:11">
      <c r="B56" t="s">
        <v>173</v>
      </c>
      <c r="C56" t="s">
        <v>181</v>
      </c>
      <c r="D56" t="s">
        <v>216</v>
      </c>
      <c r="E56" s="2" t="s">
        <v>330</v>
      </c>
      <c r="F56" s="2"/>
      <c r="G56" s="2" t="s">
        <v>341</v>
      </c>
      <c r="H56" s="4">
        <v>42522</v>
      </c>
      <c r="I56" t="s">
        <v>160</v>
      </c>
      <c r="J56" t="s">
        <v>98</v>
      </c>
    </row>
    <row r="57" spans="2:11">
      <c r="B57" t="s">
        <v>173</v>
      </c>
      <c r="C57" t="s">
        <v>181</v>
      </c>
      <c r="D57" t="s">
        <v>216</v>
      </c>
      <c r="E57" t="s">
        <v>330</v>
      </c>
      <c r="F57">
        <v>1</v>
      </c>
      <c r="G57" t="s">
        <v>352</v>
      </c>
      <c r="H57" s="4" t="s">
        <v>48</v>
      </c>
      <c r="I57" t="s">
        <v>2</v>
      </c>
      <c r="J57" t="s">
        <v>145</v>
      </c>
    </row>
    <row r="58" spans="2:11">
      <c r="B58" t="s">
        <v>173</v>
      </c>
      <c r="C58" t="s">
        <v>181</v>
      </c>
      <c r="D58" t="s">
        <v>217</v>
      </c>
      <c r="E58" t="s">
        <v>330</v>
      </c>
      <c r="G58" t="s">
        <v>339</v>
      </c>
    </row>
    <row r="59" spans="2:11">
      <c r="B59" t="s">
        <v>173</v>
      </c>
      <c r="C59" t="s">
        <v>181</v>
      </c>
      <c r="D59" t="s">
        <v>218</v>
      </c>
      <c r="E59" t="s">
        <v>337</v>
      </c>
      <c r="F59">
        <v>1</v>
      </c>
      <c r="G59" t="s">
        <v>339</v>
      </c>
      <c r="H59" s="4">
        <v>42384</v>
      </c>
      <c r="I59" t="s">
        <v>160</v>
      </c>
      <c r="J59" t="s">
        <v>47</v>
      </c>
    </row>
    <row r="60" spans="2:11">
      <c r="B60" t="s">
        <v>173</v>
      </c>
      <c r="C60" t="s">
        <v>181</v>
      </c>
      <c r="D60" t="s">
        <v>218</v>
      </c>
      <c r="E60" t="s">
        <v>337</v>
      </c>
      <c r="F60">
        <v>1</v>
      </c>
      <c r="G60" t="s">
        <v>339</v>
      </c>
      <c r="H60" s="4">
        <v>42522</v>
      </c>
      <c r="I60" t="s">
        <v>160</v>
      </c>
      <c r="J60" t="s">
        <v>88</v>
      </c>
    </row>
    <row r="61" spans="2:11">
      <c r="B61" t="s">
        <v>173</v>
      </c>
      <c r="C61" t="s">
        <v>181</v>
      </c>
      <c r="D61" t="s">
        <v>218</v>
      </c>
      <c r="E61" t="s">
        <v>337</v>
      </c>
      <c r="F61">
        <v>1</v>
      </c>
      <c r="G61" t="s">
        <v>339</v>
      </c>
      <c r="H61" s="4" t="s">
        <v>48</v>
      </c>
      <c r="I61" t="s">
        <v>2</v>
      </c>
      <c r="J61" t="s">
        <v>89</v>
      </c>
    </row>
    <row r="62" spans="2:11">
      <c r="B62" t="s">
        <v>173</v>
      </c>
      <c r="C62" t="s">
        <v>181</v>
      </c>
      <c r="D62" t="s">
        <v>219</v>
      </c>
      <c r="E62" t="s">
        <v>330</v>
      </c>
      <c r="G62" t="s">
        <v>341</v>
      </c>
    </row>
    <row r="63" spans="2:11">
      <c r="B63" t="s">
        <v>174</v>
      </c>
      <c r="C63" t="s">
        <v>181</v>
      </c>
      <c r="D63" t="s">
        <v>220</v>
      </c>
      <c r="E63" t="s">
        <v>331</v>
      </c>
      <c r="F63">
        <v>1</v>
      </c>
      <c r="G63" t="s">
        <v>339</v>
      </c>
      <c r="H63" s="4">
        <v>42323</v>
      </c>
      <c r="I63" t="s">
        <v>160</v>
      </c>
      <c r="J63" t="s">
        <v>143</v>
      </c>
    </row>
    <row r="64" spans="2:11">
      <c r="B64" t="s">
        <v>174</v>
      </c>
      <c r="C64" t="s">
        <v>181</v>
      </c>
      <c r="D64" t="s">
        <v>220</v>
      </c>
      <c r="E64" t="s">
        <v>331</v>
      </c>
      <c r="F64">
        <v>1</v>
      </c>
      <c r="G64" t="s">
        <v>339</v>
      </c>
      <c r="H64" s="4">
        <v>42430</v>
      </c>
      <c r="I64" t="s">
        <v>2</v>
      </c>
      <c r="J64" t="s">
        <v>152</v>
      </c>
    </row>
    <row r="65" spans="2:10">
      <c r="B65" t="s">
        <v>174</v>
      </c>
      <c r="C65" t="s">
        <v>181</v>
      </c>
      <c r="D65" t="s">
        <v>221</v>
      </c>
      <c r="E65" t="s">
        <v>331</v>
      </c>
      <c r="F65">
        <v>1</v>
      </c>
      <c r="G65" t="s">
        <v>339</v>
      </c>
      <c r="H65" s="4">
        <v>42430</v>
      </c>
      <c r="I65" t="s">
        <v>160</v>
      </c>
      <c r="J65" s="36" t="s">
        <v>143</v>
      </c>
    </row>
    <row r="66" spans="2:10">
      <c r="B66" t="s">
        <v>174</v>
      </c>
      <c r="C66" t="s">
        <v>181</v>
      </c>
      <c r="D66" t="s">
        <v>221</v>
      </c>
      <c r="E66" t="s">
        <v>331</v>
      </c>
      <c r="F66">
        <v>1</v>
      </c>
      <c r="G66" t="s">
        <v>339</v>
      </c>
      <c r="H66" s="4">
        <v>42614</v>
      </c>
      <c r="I66" t="s">
        <v>2</v>
      </c>
      <c r="J66" s="36" t="s">
        <v>6</v>
      </c>
    </row>
    <row r="67" spans="2:10">
      <c r="B67" t="s">
        <v>174</v>
      </c>
      <c r="C67" t="s">
        <v>181</v>
      </c>
      <c r="D67" t="s">
        <v>222</v>
      </c>
      <c r="E67" t="s">
        <v>331</v>
      </c>
      <c r="F67">
        <v>1</v>
      </c>
      <c r="G67" t="s">
        <v>339</v>
      </c>
      <c r="H67" s="4" t="s">
        <v>48</v>
      </c>
      <c r="I67" t="s">
        <v>2</v>
      </c>
      <c r="J67" t="s">
        <v>134</v>
      </c>
    </row>
    <row r="68" spans="2:10">
      <c r="B68" t="s">
        <v>174</v>
      </c>
      <c r="C68" t="s">
        <v>181</v>
      </c>
      <c r="D68" t="s">
        <v>223</v>
      </c>
      <c r="E68" t="s">
        <v>331</v>
      </c>
      <c r="F68">
        <v>1</v>
      </c>
      <c r="G68" t="s">
        <v>339</v>
      </c>
      <c r="H68" s="4" t="s">
        <v>51</v>
      </c>
      <c r="I68" t="s">
        <v>2</v>
      </c>
      <c r="J68" t="s">
        <v>369</v>
      </c>
    </row>
    <row r="69" spans="2:10">
      <c r="B69" t="s">
        <v>174</v>
      </c>
      <c r="C69" t="s">
        <v>181</v>
      </c>
      <c r="D69" t="s">
        <v>223</v>
      </c>
      <c r="E69" t="s">
        <v>331</v>
      </c>
      <c r="G69" t="s">
        <v>339</v>
      </c>
      <c r="H69" s="4" t="s">
        <v>51</v>
      </c>
      <c r="I69" t="s">
        <v>2</v>
      </c>
      <c r="J69" t="s">
        <v>370</v>
      </c>
    </row>
    <row r="70" spans="2:10">
      <c r="B70" t="s">
        <v>174</v>
      </c>
      <c r="C70" t="s">
        <v>181</v>
      </c>
      <c r="D70" t="s">
        <v>223</v>
      </c>
      <c r="E70" t="s">
        <v>331</v>
      </c>
      <c r="G70" t="s">
        <v>339</v>
      </c>
      <c r="H70" s="4" t="s">
        <v>51</v>
      </c>
      <c r="I70" t="s">
        <v>2</v>
      </c>
      <c r="J70" t="s">
        <v>371</v>
      </c>
    </row>
    <row r="71" spans="2:10">
      <c r="B71" t="s">
        <v>174</v>
      </c>
      <c r="C71" t="s">
        <v>181</v>
      </c>
      <c r="D71" t="s">
        <v>223</v>
      </c>
      <c r="E71" t="s">
        <v>331</v>
      </c>
      <c r="G71" t="s">
        <v>339</v>
      </c>
      <c r="H71" s="4" t="s">
        <v>51</v>
      </c>
      <c r="I71" t="s">
        <v>2</v>
      </c>
      <c r="J71" t="s">
        <v>372</v>
      </c>
    </row>
    <row r="72" spans="2:10">
      <c r="B72" t="s">
        <v>174</v>
      </c>
      <c r="C72" t="s">
        <v>181</v>
      </c>
      <c r="D72" t="s">
        <v>223</v>
      </c>
      <c r="E72" t="s">
        <v>331</v>
      </c>
      <c r="F72">
        <v>1</v>
      </c>
      <c r="G72" t="s">
        <v>339</v>
      </c>
      <c r="H72" s="4" t="s">
        <v>48</v>
      </c>
      <c r="I72" t="s">
        <v>2</v>
      </c>
      <c r="J72" t="s">
        <v>373</v>
      </c>
    </row>
    <row r="73" spans="2:10">
      <c r="B73" t="s">
        <v>175</v>
      </c>
      <c r="C73" t="s">
        <v>181</v>
      </c>
      <c r="D73" t="s">
        <v>224</v>
      </c>
      <c r="E73" t="s">
        <v>330</v>
      </c>
      <c r="G73" t="s">
        <v>339</v>
      </c>
      <c r="H73" s="4">
        <v>42614</v>
      </c>
      <c r="I73" t="s">
        <v>42</v>
      </c>
      <c r="J73" t="s">
        <v>374</v>
      </c>
    </row>
    <row r="74" spans="2:10">
      <c r="B74" t="s">
        <v>176</v>
      </c>
      <c r="C74" t="s">
        <v>181</v>
      </c>
      <c r="D74" t="s">
        <v>225</v>
      </c>
      <c r="E74" t="s">
        <v>330</v>
      </c>
      <c r="F74">
        <v>1</v>
      </c>
      <c r="G74" t="s">
        <v>339</v>
      </c>
      <c r="H74" s="4">
        <v>42339</v>
      </c>
      <c r="I74" t="s">
        <v>160</v>
      </c>
      <c r="J74" t="s">
        <v>46</v>
      </c>
    </row>
    <row r="75" spans="2:10">
      <c r="B75" t="s">
        <v>176</v>
      </c>
      <c r="C75" t="s">
        <v>181</v>
      </c>
      <c r="D75" t="s">
        <v>226</v>
      </c>
      <c r="E75" t="s">
        <v>330</v>
      </c>
      <c r="F75">
        <v>1</v>
      </c>
      <c r="G75" t="s">
        <v>339</v>
      </c>
      <c r="H75" s="4">
        <v>42444</v>
      </c>
      <c r="I75" t="s">
        <v>160</v>
      </c>
      <c r="J75" t="s">
        <v>165</v>
      </c>
    </row>
    <row r="76" spans="2:10">
      <c r="B76" t="s">
        <v>176</v>
      </c>
      <c r="C76" t="s">
        <v>181</v>
      </c>
      <c r="D76" t="s">
        <v>227</v>
      </c>
      <c r="E76" t="s">
        <v>330</v>
      </c>
      <c r="G76" t="s">
        <v>349</v>
      </c>
    </row>
    <row r="77" spans="2:10">
      <c r="B77" t="s">
        <v>176</v>
      </c>
      <c r="C77" t="s">
        <v>181</v>
      </c>
      <c r="D77" t="s">
        <v>228</v>
      </c>
      <c r="E77" t="s">
        <v>330</v>
      </c>
      <c r="G77" t="s">
        <v>339</v>
      </c>
      <c r="H77" s="4">
        <v>42292</v>
      </c>
      <c r="I77" t="s">
        <v>42</v>
      </c>
      <c r="J77" t="s">
        <v>143</v>
      </c>
    </row>
    <row r="78" spans="2:10">
      <c r="B78" t="s">
        <v>176</v>
      </c>
      <c r="C78" t="s">
        <v>181</v>
      </c>
      <c r="D78" t="s">
        <v>228</v>
      </c>
      <c r="E78" t="s">
        <v>330</v>
      </c>
      <c r="F78">
        <v>1</v>
      </c>
      <c r="G78" t="s">
        <v>341</v>
      </c>
      <c r="H78" s="4">
        <v>42339</v>
      </c>
      <c r="I78" t="s">
        <v>160</v>
      </c>
      <c r="J78" t="s">
        <v>375</v>
      </c>
    </row>
    <row r="79" spans="2:10">
      <c r="B79" t="s">
        <v>176</v>
      </c>
      <c r="C79" t="s">
        <v>181</v>
      </c>
      <c r="D79" t="s">
        <v>228</v>
      </c>
      <c r="E79" t="s">
        <v>330</v>
      </c>
      <c r="F79">
        <v>1</v>
      </c>
      <c r="G79" t="s">
        <v>341</v>
      </c>
      <c r="H79" s="4">
        <v>42430</v>
      </c>
      <c r="I79" t="s">
        <v>160</v>
      </c>
      <c r="J79" t="s">
        <v>76</v>
      </c>
    </row>
    <row r="80" spans="2:10">
      <c r="B80" t="s">
        <v>176</v>
      </c>
      <c r="C80" t="s">
        <v>181</v>
      </c>
      <c r="D80" t="s">
        <v>228</v>
      </c>
      <c r="E80" t="s">
        <v>330</v>
      </c>
      <c r="G80" t="s">
        <v>341</v>
      </c>
      <c r="H80" s="4">
        <v>42614</v>
      </c>
      <c r="I80" t="s">
        <v>160</v>
      </c>
    </row>
    <row r="81" spans="2:10">
      <c r="B81" t="s">
        <v>176</v>
      </c>
      <c r="C81" t="s">
        <v>181</v>
      </c>
      <c r="D81" t="s">
        <v>228</v>
      </c>
      <c r="E81" t="s">
        <v>330</v>
      </c>
      <c r="G81" t="s">
        <v>352</v>
      </c>
      <c r="H81" s="4" t="s">
        <v>51</v>
      </c>
      <c r="I81" t="s">
        <v>42</v>
      </c>
      <c r="J81" t="s">
        <v>376</v>
      </c>
    </row>
    <row r="82" spans="2:10">
      <c r="B82" t="s">
        <v>176</v>
      </c>
      <c r="C82" t="s">
        <v>181</v>
      </c>
      <c r="D82" t="s">
        <v>229</v>
      </c>
      <c r="E82" t="s">
        <v>330</v>
      </c>
      <c r="G82" t="s">
        <v>38</v>
      </c>
      <c r="H82" s="4">
        <v>42323</v>
      </c>
      <c r="I82" t="s">
        <v>42</v>
      </c>
      <c r="J82" t="s">
        <v>90</v>
      </c>
    </row>
    <row r="83" spans="2:10">
      <c r="B83" t="s">
        <v>177</v>
      </c>
      <c r="C83" t="s">
        <v>181</v>
      </c>
      <c r="D83" t="s">
        <v>230</v>
      </c>
      <c r="E83" t="s">
        <v>334</v>
      </c>
      <c r="F83">
        <v>1</v>
      </c>
      <c r="G83" t="s">
        <v>358</v>
      </c>
      <c r="H83" s="4">
        <v>42415</v>
      </c>
      <c r="I83" t="s">
        <v>2</v>
      </c>
      <c r="J83" t="s">
        <v>79</v>
      </c>
    </row>
    <row r="84" spans="2:10">
      <c r="B84" t="s">
        <v>177</v>
      </c>
      <c r="C84" t="s">
        <v>181</v>
      </c>
      <c r="D84" t="s">
        <v>230</v>
      </c>
      <c r="E84" t="s">
        <v>334</v>
      </c>
      <c r="F84">
        <v>1</v>
      </c>
      <c r="G84" t="s">
        <v>358</v>
      </c>
      <c r="H84" s="4">
        <v>42522</v>
      </c>
      <c r="I84" t="s">
        <v>2</v>
      </c>
      <c r="J84" t="s">
        <v>6</v>
      </c>
    </row>
    <row r="85" spans="2:10">
      <c r="B85" t="s">
        <v>178</v>
      </c>
      <c r="C85" t="s">
        <v>181</v>
      </c>
      <c r="D85" t="s">
        <v>231</v>
      </c>
      <c r="E85" t="s">
        <v>330</v>
      </c>
      <c r="F85">
        <v>1</v>
      </c>
      <c r="G85" t="s">
        <v>339</v>
      </c>
      <c r="H85" s="4">
        <v>42444</v>
      </c>
      <c r="I85" t="s">
        <v>160</v>
      </c>
      <c r="J85" t="s">
        <v>164</v>
      </c>
    </row>
    <row r="86" spans="2:10">
      <c r="B86" t="s">
        <v>178</v>
      </c>
      <c r="C86" t="s">
        <v>181</v>
      </c>
      <c r="D86" t="s">
        <v>232</v>
      </c>
      <c r="E86" t="s">
        <v>334</v>
      </c>
      <c r="F86">
        <v>1</v>
      </c>
      <c r="G86" t="s">
        <v>339</v>
      </c>
      <c r="H86" s="4">
        <v>42292</v>
      </c>
      <c r="I86" t="s">
        <v>2</v>
      </c>
      <c r="J86" t="s">
        <v>80</v>
      </c>
    </row>
    <row r="87" spans="2:10">
      <c r="B87" t="s">
        <v>178</v>
      </c>
      <c r="C87" t="s">
        <v>181</v>
      </c>
      <c r="D87" t="s">
        <v>232</v>
      </c>
      <c r="E87" t="s">
        <v>334</v>
      </c>
      <c r="F87">
        <v>1</v>
      </c>
      <c r="G87" t="s">
        <v>339</v>
      </c>
      <c r="H87" s="4">
        <v>42309</v>
      </c>
      <c r="I87" t="s">
        <v>2</v>
      </c>
      <c r="J87" t="s">
        <v>81</v>
      </c>
    </row>
    <row r="88" spans="2:10">
      <c r="B88" t="s">
        <v>178</v>
      </c>
      <c r="C88" t="s">
        <v>181</v>
      </c>
      <c r="D88" t="s">
        <v>232</v>
      </c>
      <c r="E88" t="s">
        <v>334</v>
      </c>
      <c r="F88">
        <v>1</v>
      </c>
      <c r="G88" t="s">
        <v>339</v>
      </c>
      <c r="H88" s="4">
        <v>42444</v>
      </c>
      <c r="I88" t="s">
        <v>160</v>
      </c>
      <c r="J88" t="s">
        <v>44</v>
      </c>
    </row>
    <row r="89" spans="2:10">
      <c r="B89" t="s">
        <v>178</v>
      </c>
      <c r="C89" t="s">
        <v>181</v>
      </c>
      <c r="D89" t="s">
        <v>232</v>
      </c>
      <c r="E89" t="s">
        <v>334</v>
      </c>
      <c r="F89">
        <v>1</v>
      </c>
      <c r="G89" t="s">
        <v>339</v>
      </c>
      <c r="H89" s="4">
        <v>42522</v>
      </c>
      <c r="I89" t="s">
        <v>2</v>
      </c>
      <c r="J89" t="s">
        <v>82</v>
      </c>
    </row>
    <row r="90" spans="2:10">
      <c r="B90" t="s">
        <v>178</v>
      </c>
      <c r="C90" t="s">
        <v>181</v>
      </c>
      <c r="D90" t="s">
        <v>232</v>
      </c>
      <c r="E90" t="s">
        <v>334</v>
      </c>
      <c r="F90">
        <v>1</v>
      </c>
      <c r="G90" t="s">
        <v>339</v>
      </c>
      <c r="H90" s="4">
        <v>42644</v>
      </c>
      <c r="I90" t="s">
        <v>160</v>
      </c>
      <c r="J90" t="s">
        <v>83</v>
      </c>
    </row>
    <row r="91" spans="2:10">
      <c r="B91" t="s">
        <v>178</v>
      </c>
      <c r="C91" t="s">
        <v>181</v>
      </c>
      <c r="D91" t="s">
        <v>232</v>
      </c>
      <c r="E91" t="s">
        <v>334</v>
      </c>
      <c r="F91">
        <v>1</v>
      </c>
      <c r="G91" t="s">
        <v>339</v>
      </c>
      <c r="H91" s="4" t="s">
        <v>51</v>
      </c>
      <c r="I91" t="s">
        <v>2</v>
      </c>
      <c r="J91" t="s">
        <v>84</v>
      </c>
    </row>
    <row r="92" spans="2:10">
      <c r="B92" t="s">
        <v>178</v>
      </c>
      <c r="C92" t="s">
        <v>181</v>
      </c>
      <c r="D92" t="s">
        <v>232</v>
      </c>
      <c r="E92" t="s">
        <v>334</v>
      </c>
      <c r="F92">
        <v>1</v>
      </c>
      <c r="G92" t="s">
        <v>339</v>
      </c>
      <c r="H92" s="4" t="s">
        <v>65</v>
      </c>
      <c r="I92" t="s">
        <v>160</v>
      </c>
      <c r="J92" t="s">
        <v>85</v>
      </c>
    </row>
    <row r="93" spans="2:10">
      <c r="B93" t="s">
        <v>178</v>
      </c>
      <c r="C93" t="s">
        <v>181</v>
      </c>
      <c r="D93" t="s">
        <v>232</v>
      </c>
      <c r="E93" t="s">
        <v>334</v>
      </c>
      <c r="F93">
        <v>1</v>
      </c>
      <c r="G93" t="s">
        <v>339</v>
      </c>
      <c r="H93" s="4" t="s">
        <v>52</v>
      </c>
      <c r="I93" t="s">
        <v>2</v>
      </c>
      <c r="J93" t="s">
        <v>86</v>
      </c>
    </row>
    <row r="94" spans="2:10">
      <c r="B94" t="s">
        <v>178</v>
      </c>
      <c r="C94" t="s">
        <v>181</v>
      </c>
      <c r="D94" t="s">
        <v>232</v>
      </c>
      <c r="E94" t="s">
        <v>334</v>
      </c>
      <c r="F94">
        <v>1</v>
      </c>
      <c r="G94" t="s">
        <v>339</v>
      </c>
      <c r="H94" s="4" t="s">
        <v>48</v>
      </c>
      <c r="I94" t="s">
        <v>160</v>
      </c>
      <c r="J94" t="s">
        <v>87</v>
      </c>
    </row>
    <row r="95" spans="2:10">
      <c r="B95" t="s">
        <v>178</v>
      </c>
      <c r="C95" t="s">
        <v>181</v>
      </c>
      <c r="D95" t="s">
        <v>233</v>
      </c>
      <c r="E95" t="s">
        <v>334</v>
      </c>
      <c r="F95">
        <v>1</v>
      </c>
      <c r="G95" t="s">
        <v>341</v>
      </c>
      <c r="H95" s="4">
        <v>42384</v>
      </c>
      <c r="I95" t="s">
        <v>160</v>
      </c>
      <c r="J95" t="s">
        <v>5</v>
      </c>
    </row>
    <row r="96" spans="2:10">
      <c r="B96" t="s">
        <v>178</v>
      </c>
      <c r="C96" t="s">
        <v>181</v>
      </c>
      <c r="D96" t="s">
        <v>233</v>
      </c>
      <c r="E96" t="s">
        <v>334</v>
      </c>
      <c r="F96">
        <v>1</v>
      </c>
      <c r="G96" t="s">
        <v>341</v>
      </c>
      <c r="H96" s="4">
        <v>42522</v>
      </c>
      <c r="I96" t="s">
        <v>2</v>
      </c>
      <c r="J96" t="s">
        <v>377</v>
      </c>
    </row>
    <row r="97" spans="2:11">
      <c r="B97" t="s">
        <v>178</v>
      </c>
      <c r="C97" t="s">
        <v>181</v>
      </c>
      <c r="D97" t="s">
        <v>234</v>
      </c>
      <c r="E97" t="s">
        <v>330</v>
      </c>
      <c r="G97" t="s">
        <v>339</v>
      </c>
    </row>
    <row r="98" spans="2:11">
      <c r="B98" t="s">
        <v>170</v>
      </c>
      <c r="C98" t="s">
        <v>182</v>
      </c>
      <c r="D98" t="s">
        <v>235</v>
      </c>
      <c r="E98" t="s">
        <v>330</v>
      </c>
      <c r="G98" t="s">
        <v>339</v>
      </c>
      <c r="H98" s="4">
        <v>42278</v>
      </c>
      <c r="I98" t="s">
        <v>2</v>
      </c>
    </row>
    <row r="99" spans="2:11">
      <c r="B99" t="s">
        <v>170</v>
      </c>
      <c r="C99" t="s">
        <v>182</v>
      </c>
      <c r="D99" t="s">
        <v>236</v>
      </c>
      <c r="E99" t="s">
        <v>330</v>
      </c>
      <c r="G99" t="s">
        <v>341</v>
      </c>
      <c r="H99" s="4">
        <v>42370</v>
      </c>
      <c r="I99" t="s">
        <v>42</v>
      </c>
      <c r="J99" t="s">
        <v>150</v>
      </c>
      <c r="K99" s="41"/>
    </row>
    <row r="100" spans="2:11">
      <c r="B100" t="s">
        <v>173</v>
      </c>
      <c r="C100" t="s">
        <v>182</v>
      </c>
      <c r="D100" t="s">
        <v>237</v>
      </c>
      <c r="E100" t="s">
        <v>330</v>
      </c>
      <c r="F100">
        <v>1</v>
      </c>
      <c r="G100" t="s">
        <v>339</v>
      </c>
      <c r="H100" s="4">
        <v>42353</v>
      </c>
      <c r="I100" t="s">
        <v>160</v>
      </c>
      <c r="J100" t="s">
        <v>378</v>
      </c>
    </row>
    <row r="101" spans="2:11">
      <c r="B101" t="s">
        <v>173</v>
      </c>
      <c r="C101" t="s">
        <v>182</v>
      </c>
      <c r="D101" t="s">
        <v>237</v>
      </c>
      <c r="E101" t="s">
        <v>330</v>
      </c>
      <c r="F101">
        <v>1</v>
      </c>
      <c r="G101" t="s">
        <v>340</v>
      </c>
      <c r="H101" s="4">
        <v>42353</v>
      </c>
      <c r="I101" t="s">
        <v>160</v>
      </c>
      <c r="J101" t="s">
        <v>379</v>
      </c>
    </row>
    <row r="102" spans="2:11">
      <c r="B102" t="s">
        <v>173</v>
      </c>
      <c r="C102" t="s">
        <v>182</v>
      </c>
      <c r="D102" t="s">
        <v>237</v>
      </c>
      <c r="E102" t="s">
        <v>330</v>
      </c>
      <c r="F102">
        <v>1</v>
      </c>
      <c r="G102" t="s">
        <v>38</v>
      </c>
      <c r="H102" s="4">
        <v>42522</v>
      </c>
      <c r="I102" t="s">
        <v>2</v>
      </c>
      <c r="J102" t="s">
        <v>98</v>
      </c>
    </row>
    <row r="103" spans="2:11">
      <c r="B103" t="s">
        <v>173</v>
      </c>
      <c r="C103" t="s">
        <v>182</v>
      </c>
      <c r="D103" t="s">
        <v>238</v>
      </c>
      <c r="E103" t="s">
        <v>330</v>
      </c>
      <c r="F103">
        <v>1</v>
      </c>
      <c r="G103" t="s">
        <v>339</v>
      </c>
      <c r="H103" s="4">
        <v>42353</v>
      </c>
      <c r="I103" t="s">
        <v>2</v>
      </c>
      <c r="J103" t="s">
        <v>100</v>
      </c>
    </row>
    <row r="104" spans="2:11">
      <c r="B104" t="s">
        <v>173</v>
      </c>
      <c r="C104" t="s">
        <v>182</v>
      </c>
      <c r="D104" t="s">
        <v>238</v>
      </c>
      <c r="E104" t="s">
        <v>330</v>
      </c>
      <c r="F104">
        <v>1</v>
      </c>
      <c r="G104" t="s">
        <v>339</v>
      </c>
      <c r="H104" s="4">
        <v>42415</v>
      </c>
      <c r="I104" t="s">
        <v>2</v>
      </c>
      <c r="J104" t="s">
        <v>50</v>
      </c>
    </row>
    <row r="105" spans="2:11">
      <c r="B105" t="s">
        <v>173</v>
      </c>
      <c r="C105" t="s">
        <v>182</v>
      </c>
      <c r="D105" t="s">
        <v>238</v>
      </c>
      <c r="E105" t="s">
        <v>330</v>
      </c>
      <c r="F105">
        <v>1</v>
      </c>
      <c r="G105" t="s">
        <v>339</v>
      </c>
      <c r="H105" s="4">
        <v>42444</v>
      </c>
      <c r="I105" t="s">
        <v>2</v>
      </c>
      <c r="J105" t="s">
        <v>99</v>
      </c>
    </row>
    <row r="106" spans="2:11">
      <c r="B106" t="s">
        <v>173</v>
      </c>
      <c r="C106" t="s">
        <v>182</v>
      </c>
      <c r="D106" t="s">
        <v>239</v>
      </c>
      <c r="E106" t="s">
        <v>330</v>
      </c>
      <c r="G106" t="s">
        <v>339</v>
      </c>
      <c r="H106" s="4">
        <v>42384</v>
      </c>
      <c r="I106" t="s">
        <v>42</v>
      </c>
      <c r="J106" t="s">
        <v>150</v>
      </c>
    </row>
    <row r="107" spans="2:11">
      <c r="B107" t="s">
        <v>173</v>
      </c>
      <c r="C107" t="s">
        <v>182</v>
      </c>
      <c r="D107" t="s">
        <v>240</v>
      </c>
      <c r="G107" t="s">
        <v>343</v>
      </c>
      <c r="H107" s="4">
        <v>42339</v>
      </c>
      <c r="I107" t="s">
        <v>42</v>
      </c>
      <c r="J107" t="s">
        <v>380</v>
      </c>
    </row>
    <row r="108" spans="2:11">
      <c r="B108" t="s">
        <v>173</v>
      </c>
      <c r="C108" t="s">
        <v>182</v>
      </c>
      <c r="D108" t="s">
        <v>240</v>
      </c>
      <c r="G108" t="s">
        <v>344</v>
      </c>
      <c r="H108" s="4">
        <v>42444</v>
      </c>
      <c r="I108" t="s">
        <v>42</v>
      </c>
      <c r="J108" t="s">
        <v>381</v>
      </c>
    </row>
    <row r="109" spans="2:11">
      <c r="B109" t="s">
        <v>173</v>
      </c>
      <c r="C109" t="s">
        <v>182</v>
      </c>
      <c r="D109" t="s">
        <v>241</v>
      </c>
      <c r="E109" t="s">
        <v>330</v>
      </c>
      <c r="G109" t="s">
        <v>339</v>
      </c>
      <c r="H109" s="4">
        <v>42278</v>
      </c>
      <c r="I109" t="s">
        <v>2</v>
      </c>
    </row>
    <row r="110" spans="2:11">
      <c r="B110" t="s">
        <v>174</v>
      </c>
      <c r="C110" t="s">
        <v>182</v>
      </c>
      <c r="D110" t="s">
        <v>242</v>
      </c>
      <c r="E110" t="s">
        <v>331</v>
      </c>
      <c r="G110" t="s">
        <v>339</v>
      </c>
      <c r="H110" s="4">
        <v>42339</v>
      </c>
      <c r="I110" t="s">
        <v>42</v>
      </c>
      <c r="J110" s="36" t="s">
        <v>148</v>
      </c>
    </row>
    <row r="111" spans="2:11">
      <c r="B111" t="s">
        <v>175</v>
      </c>
      <c r="C111" t="s">
        <v>182</v>
      </c>
      <c r="D111" t="s">
        <v>243</v>
      </c>
      <c r="E111" t="s">
        <v>330</v>
      </c>
      <c r="G111" t="s">
        <v>339</v>
      </c>
    </row>
    <row r="112" spans="2:11">
      <c r="B112" t="s">
        <v>175</v>
      </c>
      <c r="C112" t="s">
        <v>182</v>
      </c>
      <c r="D112" t="s">
        <v>244</v>
      </c>
      <c r="E112" t="s">
        <v>330</v>
      </c>
      <c r="G112" t="s">
        <v>339</v>
      </c>
      <c r="H112" s="4">
        <v>42323</v>
      </c>
      <c r="I112" t="s">
        <v>42</v>
      </c>
      <c r="J112" t="s">
        <v>147</v>
      </c>
    </row>
    <row r="113" spans="2:10">
      <c r="B113" t="s">
        <v>175</v>
      </c>
      <c r="C113" t="s">
        <v>182</v>
      </c>
      <c r="D113" t="s">
        <v>245</v>
      </c>
      <c r="E113" t="s">
        <v>330</v>
      </c>
      <c r="G113" t="s">
        <v>339</v>
      </c>
      <c r="H113" s="4">
        <v>42370</v>
      </c>
      <c r="I113" t="s">
        <v>42</v>
      </c>
      <c r="J113" t="s">
        <v>17</v>
      </c>
    </row>
    <row r="114" spans="2:10">
      <c r="B114" t="s">
        <v>177</v>
      </c>
      <c r="C114" t="s">
        <v>182</v>
      </c>
      <c r="D114" t="s">
        <v>246</v>
      </c>
      <c r="E114" t="s">
        <v>330</v>
      </c>
      <c r="F114">
        <v>1</v>
      </c>
      <c r="G114" t="s">
        <v>360</v>
      </c>
      <c r="H114" s="4">
        <v>42309</v>
      </c>
      <c r="I114" t="s">
        <v>2</v>
      </c>
      <c r="J114" t="s">
        <v>71</v>
      </c>
    </row>
    <row r="115" spans="2:10">
      <c r="B115" t="s">
        <v>177</v>
      </c>
      <c r="C115" t="s">
        <v>182</v>
      </c>
      <c r="D115" t="s">
        <v>246</v>
      </c>
      <c r="E115" t="s">
        <v>330</v>
      </c>
      <c r="F115">
        <v>1</v>
      </c>
      <c r="G115" t="s">
        <v>360</v>
      </c>
      <c r="H115" s="4">
        <v>42430</v>
      </c>
      <c r="I115" t="s">
        <v>2</v>
      </c>
      <c r="J115" t="s">
        <v>7</v>
      </c>
    </row>
    <row r="116" spans="2:10">
      <c r="B116" t="s">
        <v>177</v>
      </c>
      <c r="C116" t="s">
        <v>182</v>
      </c>
      <c r="D116" t="s">
        <v>247</v>
      </c>
      <c r="E116" t="s">
        <v>330</v>
      </c>
      <c r="G116" t="s">
        <v>350</v>
      </c>
      <c r="H116" s="4">
        <v>42353</v>
      </c>
      <c r="I116" t="s">
        <v>42</v>
      </c>
      <c r="J116" t="s">
        <v>101</v>
      </c>
    </row>
    <row r="117" spans="2:10">
      <c r="B117" t="s">
        <v>177</v>
      </c>
      <c r="C117" t="s">
        <v>182</v>
      </c>
      <c r="D117" t="s">
        <v>248</v>
      </c>
      <c r="G117" t="s">
        <v>357</v>
      </c>
      <c r="H117" s="4">
        <v>42614</v>
      </c>
      <c r="I117" t="s">
        <v>42</v>
      </c>
    </row>
    <row r="118" spans="2:10">
      <c r="B118" t="s">
        <v>177</v>
      </c>
      <c r="C118" t="s">
        <v>182</v>
      </c>
      <c r="D118" t="s">
        <v>249</v>
      </c>
      <c r="G118" t="s">
        <v>357</v>
      </c>
      <c r="H118" s="4" t="s">
        <v>48</v>
      </c>
      <c r="I118" t="s">
        <v>42</v>
      </c>
      <c r="J118" t="s">
        <v>54</v>
      </c>
    </row>
    <row r="119" spans="2:10">
      <c r="B119" t="s">
        <v>177</v>
      </c>
      <c r="C119" t="s">
        <v>182</v>
      </c>
      <c r="D119" t="s">
        <v>250</v>
      </c>
      <c r="E119" t="s">
        <v>333</v>
      </c>
      <c r="G119" t="s">
        <v>357</v>
      </c>
      <c r="H119" s="4">
        <v>42353</v>
      </c>
      <c r="I119" t="s">
        <v>42</v>
      </c>
      <c r="J119" t="s">
        <v>382</v>
      </c>
    </row>
    <row r="120" spans="2:10">
      <c r="B120" t="s">
        <v>177</v>
      </c>
      <c r="C120" t="s">
        <v>182</v>
      </c>
      <c r="D120" t="s">
        <v>250</v>
      </c>
      <c r="E120" t="s">
        <v>333</v>
      </c>
      <c r="G120" t="s">
        <v>357</v>
      </c>
      <c r="H120" s="4">
        <v>42401</v>
      </c>
      <c r="I120" t="s">
        <v>42</v>
      </c>
      <c r="J120" t="s">
        <v>1</v>
      </c>
    </row>
    <row r="121" spans="2:10">
      <c r="B121" t="s">
        <v>177</v>
      </c>
      <c r="C121" t="s">
        <v>182</v>
      </c>
      <c r="D121" t="s">
        <v>250</v>
      </c>
      <c r="E121" t="s">
        <v>333</v>
      </c>
      <c r="G121" t="s">
        <v>357</v>
      </c>
      <c r="H121" s="4">
        <v>42415</v>
      </c>
      <c r="I121" t="s">
        <v>42</v>
      </c>
      <c r="J121" t="s">
        <v>54</v>
      </c>
    </row>
    <row r="122" spans="2:10">
      <c r="B122" t="s">
        <v>177</v>
      </c>
      <c r="C122" t="s">
        <v>182</v>
      </c>
      <c r="D122" t="s">
        <v>250</v>
      </c>
      <c r="E122" t="s">
        <v>333</v>
      </c>
      <c r="G122" t="s">
        <v>357</v>
      </c>
      <c r="H122" s="4">
        <v>42444</v>
      </c>
      <c r="I122" t="s">
        <v>42</v>
      </c>
      <c r="J122" t="s">
        <v>383</v>
      </c>
    </row>
    <row r="123" spans="2:10">
      <c r="B123" t="s">
        <v>177</v>
      </c>
      <c r="C123" t="s">
        <v>182</v>
      </c>
      <c r="D123" t="s">
        <v>250</v>
      </c>
      <c r="E123" t="s">
        <v>333</v>
      </c>
      <c r="G123" t="s">
        <v>357</v>
      </c>
      <c r="H123" s="4" t="s">
        <v>48</v>
      </c>
      <c r="I123" t="s">
        <v>42</v>
      </c>
      <c r="J123" t="s">
        <v>384</v>
      </c>
    </row>
    <row r="124" spans="2:10">
      <c r="B124" t="s">
        <v>177</v>
      </c>
      <c r="C124" t="s">
        <v>182</v>
      </c>
      <c r="D124" t="s">
        <v>251</v>
      </c>
      <c r="E124" t="s">
        <v>330</v>
      </c>
      <c r="G124" t="s">
        <v>345</v>
      </c>
      <c r="H124" s="4">
        <v>42475</v>
      </c>
      <c r="I124" t="s">
        <v>2</v>
      </c>
      <c r="J124" t="s">
        <v>385</v>
      </c>
    </row>
    <row r="125" spans="2:10">
      <c r="B125" t="s">
        <v>177</v>
      </c>
      <c r="C125" t="s">
        <v>182</v>
      </c>
      <c r="D125" t="s">
        <v>252</v>
      </c>
      <c r="E125" t="s">
        <v>330</v>
      </c>
      <c r="G125" t="s">
        <v>38</v>
      </c>
      <c r="H125" s="4">
        <v>42353</v>
      </c>
      <c r="I125" t="s">
        <v>42</v>
      </c>
      <c r="J125" t="s">
        <v>150</v>
      </c>
    </row>
    <row r="126" spans="2:10">
      <c r="B126" t="s">
        <v>178</v>
      </c>
      <c r="C126" t="s">
        <v>182</v>
      </c>
      <c r="D126" t="s">
        <v>253</v>
      </c>
      <c r="F126">
        <v>1</v>
      </c>
      <c r="G126" t="s">
        <v>341</v>
      </c>
      <c r="H126" s="4">
        <v>42522</v>
      </c>
      <c r="I126" t="s">
        <v>2</v>
      </c>
      <c r="J126" t="s">
        <v>386</v>
      </c>
    </row>
    <row r="127" spans="2:10">
      <c r="B127" t="s">
        <v>178</v>
      </c>
      <c r="C127" t="s">
        <v>182</v>
      </c>
      <c r="D127" t="s">
        <v>254</v>
      </c>
      <c r="E127" t="s">
        <v>330</v>
      </c>
      <c r="F127">
        <v>1</v>
      </c>
      <c r="G127" t="s">
        <v>38</v>
      </c>
      <c r="H127" s="4" t="s">
        <v>48</v>
      </c>
      <c r="I127" t="s">
        <v>42</v>
      </c>
    </row>
    <row r="128" spans="2:10">
      <c r="B128" t="s">
        <v>174</v>
      </c>
      <c r="C128" t="s">
        <v>183</v>
      </c>
      <c r="D128" t="s">
        <v>255</v>
      </c>
      <c r="E128" t="s">
        <v>337</v>
      </c>
      <c r="G128" t="s">
        <v>339</v>
      </c>
      <c r="H128" s="4">
        <v>42292</v>
      </c>
      <c r="I128" t="s">
        <v>160</v>
      </c>
      <c r="J128" t="s">
        <v>116</v>
      </c>
    </row>
    <row r="129" spans="2:10">
      <c r="B129" t="s">
        <v>174</v>
      </c>
      <c r="C129" t="s">
        <v>183</v>
      </c>
      <c r="D129" t="s">
        <v>255</v>
      </c>
      <c r="E129" t="s">
        <v>337</v>
      </c>
      <c r="G129" t="s">
        <v>339</v>
      </c>
      <c r="H129" s="4">
        <v>42309</v>
      </c>
      <c r="I129" t="s">
        <v>2</v>
      </c>
      <c r="J129" t="s">
        <v>387</v>
      </c>
    </row>
    <row r="130" spans="2:10">
      <c r="B130" t="s">
        <v>174</v>
      </c>
      <c r="C130" t="s">
        <v>183</v>
      </c>
      <c r="D130" t="s">
        <v>255</v>
      </c>
      <c r="E130" t="s">
        <v>337</v>
      </c>
      <c r="G130" t="s">
        <v>354</v>
      </c>
      <c r="H130" s="4">
        <v>42323</v>
      </c>
      <c r="I130" t="s">
        <v>160</v>
      </c>
      <c r="J130" t="s">
        <v>388</v>
      </c>
    </row>
    <row r="131" spans="2:10">
      <c r="B131" t="s">
        <v>174</v>
      </c>
      <c r="C131" t="s">
        <v>183</v>
      </c>
      <c r="D131" t="s">
        <v>255</v>
      </c>
      <c r="E131" t="s">
        <v>337</v>
      </c>
      <c r="F131">
        <v>1</v>
      </c>
      <c r="G131" t="s">
        <v>341</v>
      </c>
      <c r="H131" s="4">
        <v>42370</v>
      </c>
      <c r="I131" t="s">
        <v>2</v>
      </c>
      <c r="J131" t="s">
        <v>129</v>
      </c>
    </row>
    <row r="132" spans="2:10">
      <c r="B132" t="s">
        <v>174</v>
      </c>
      <c r="C132" t="s">
        <v>183</v>
      </c>
      <c r="D132" t="s">
        <v>255</v>
      </c>
      <c r="E132" t="s">
        <v>337</v>
      </c>
      <c r="G132" t="s">
        <v>341</v>
      </c>
      <c r="H132" s="4">
        <v>42370</v>
      </c>
      <c r="I132" t="s">
        <v>2</v>
      </c>
      <c r="J132" t="s">
        <v>115</v>
      </c>
    </row>
    <row r="133" spans="2:10">
      <c r="B133" t="s">
        <v>174</v>
      </c>
      <c r="C133" t="s">
        <v>183</v>
      </c>
      <c r="D133" t="s">
        <v>255</v>
      </c>
      <c r="E133" t="s">
        <v>337</v>
      </c>
      <c r="F133">
        <v>1</v>
      </c>
      <c r="G133" t="s">
        <v>339</v>
      </c>
      <c r="H133" s="4">
        <v>42430</v>
      </c>
      <c r="I133" t="s">
        <v>2</v>
      </c>
      <c r="J133" t="s">
        <v>151</v>
      </c>
    </row>
    <row r="134" spans="2:10">
      <c r="B134" t="s">
        <v>174</v>
      </c>
      <c r="C134" t="s">
        <v>183</v>
      </c>
      <c r="D134" t="s">
        <v>255</v>
      </c>
      <c r="E134" t="s">
        <v>337</v>
      </c>
      <c r="G134" t="s">
        <v>339</v>
      </c>
      <c r="H134" s="4">
        <v>42444</v>
      </c>
      <c r="I134" t="s">
        <v>160</v>
      </c>
      <c r="J134" t="s">
        <v>389</v>
      </c>
    </row>
    <row r="135" spans="2:10">
      <c r="B135" t="s">
        <v>174</v>
      </c>
      <c r="C135" t="s">
        <v>183</v>
      </c>
      <c r="D135" t="s">
        <v>255</v>
      </c>
      <c r="E135" t="s">
        <v>337</v>
      </c>
      <c r="F135">
        <v>1</v>
      </c>
      <c r="G135" t="s">
        <v>352</v>
      </c>
      <c r="H135" s="4">
        <v>42491</v>
      </c>
      <c r="I135" t="s">
        <v>160</v>
      </c>
      <c r="J135" t="s">
        <v>167</v>
      </c>
    </row>
    <row r="136" spans="2:10">
      <c r="B136" t="s">
        <v>174</v>
      </c>
      <c r="C136" t="s">
        <v>183</v>
      </c>
      <c r="D136" t="s">
        <v>255</v>
      </c>
      <c r="E136" t="s">
        <v>337</v>
      </c>
      <c r="F136">
        <v>1</v>
      </c>
      <c r="G136" t="s">
        <v>352</v>
      </c>
      <c r="H136" s="4">
        <v>42522</v>
      </c>
      <c r="I136" t="s">
        <v>2</v>
      </c>
      <c r="J136" t="s">
        <v>169</v>
      </c>
    </row>
    <row r="137" spans="2:10">
      <c r="B137" t="s">
        <v>174</v>
      </c>
      <c r="C137" t="s">
        <v>183</v>
      </c>
      <c r="D137" t="s">
        <v>255</v>
      </c>
      <c r="E137" t="s">
        <v>338</v>
      </c>
      <c r="G137" t="s">
        <v>340</v>
      </c>
      <c r="H137" s="4">
        <v>42522</v>
      </c>
      <c r="I137" t="s">
        <v>42</v>
      </c>
      <c r="J137" t="s">
        <v>101</v>
      </c>
    </row>
    <row r="138" spans="2:10">
      <c r="B138" t="s">
        <v>174</v>
      </c>
      <c r="C138" t="s">
        <v>183</v>
      </c>
      <c r="D138" t="s">
        <v>255</v>
      </c>
      <c r="E138" t="s">
        <v>337</v>
      </c>
      <c r="F138">
        <v>1</v>
      </c>
      <c r="G138" t="s">
        <v>339</v>
      </c>
      <c r="H138" s="4" t="s">
        <v>51</v>
      </c>
      <c r="I138" t="s">
        <v>2</v>
      </c>
      <c r="J138" t="s">
        <v>390</v>
      </c>
    </row>
    <row r="139" spans="2:10">
      <c r="B139" t="s">
        <v>174</v>
      </c>
      <c r="C139" t="s">
        <v>183</v>
      </c>
      <c r="D139" t="s">
        <v>255</v>
      </c>
      <c r="E139" t="s">
        <v>337</v>
      </c>
      <c r="G139" t="s">
        <v>340</v>
      </c>
      <c r="H139" s="4" t="s">
        <v>51</v>
      </c>
      <c r="I139" t="s">
        <v>160</v>
      </c>
      <c r="J139" t="s">
        <v>138</v>
      </c>
    </row>
    <row r="140" spans="2:10">
      <c r="B140" t="s">
        <v>174</v>
      </c>
      <c r="C140" t="s">
        <v>183</v>
      </c>
      <c r="D140" t="s">
        <v>255</v>
      </c>
      <c r="E140" t="s">
        <v>337</v>
      </c>
      <c r="F140">
        <v>1</v>
      </c>
      <c r="G140" t="s">
        <v>354</v>
      </c>
      <c r="H140" s="4" t="s">
        <v>52</v>
      </c>
      <c r="I140" t="s">
        <v>160</v>
      </c>
      <c r="J140" t="s">
        <v>391</v>
      </c>
    </row>
    <row r="141" spans="2:10">
      <c r="B141" t="s">
        <v>174</v>
      </c>
      <c r="C141" t="s">
        <v>183</v>
      </c>
      <c r="D141" t="s">
        <v>255</v>
      </c>
      <c r="E141" t="s">
        <v>337</v>
      </c>
      <c r="G141" t="s">
        <v>339</v>
      </c>
      <c r="H141" s="4" t="s">
        <v>52</v>
      </c>
      <c r="I141" t="s">
        <v>160</v>
      </c>
      <c r="J141" t="s">
        <v>142</v>
      </c>
    </row>
    <row r="142" spans="2:10">
      <c r="B142" t="s">
        <v>174</v>
      </c>
      <c r="C142" t="s">
        <v>183</v>
      </c>
      <c r="D142" t="s">
        <v>255</v>
      </c>
      <c r="E142" t="s">
        <v>337</v>
      </c>
      <c r="F142">
        <v>1</v>
      </c>
      <c r="G142" t="s">
        <v>352</v>
      </c>
      <c r="H142" s="4" t="s">
        <v>48</v>
      </c>
      <c r="I142" t="s">
        <v>2</v>
      </c>
      <c r="J142" t="s">
        <v>114</v>
      </c>
    </row>
    <row r="143" spans="2:10">
      <c r="B143" t="s">
        <v>174</v>
      </c>
      <c r="C143" t="s">
        <v>183</v>
      </c>
      <c r="D143" t="s">
        <v>255</v>
      </c>
      <c r="E143" t="s">
        <v>337</v>
      </c>
      <c r="F143">
        <v>1</v>
      </c>
      <c r="G143" t="s">
        <v>351</v>
      </c>
      <c r="H143" s="4" t="s">
        <v>48</v>
      </c>
      <c r="I143" t="s">
        <v>160</v>
      </c>
      <c r="J143" t="s">
        <v>114</v>
      </c>
    </row>
    <row r="144" spans="2:10">
      <c r="B144" t="s">
        <v>174</v>
      </c>
      <c r="C144" t="s">
        <v>183</v>
      </c>
      <c r="D144" t="s">
        <v>255</v>
      </c>
      <c r="E144" t="s">
        <v>337</v>
      </c>
      <c r="G144" t="s">
        <v>340</v>
      </c>
      <c r="H144" s="4" t="s">
        <v>48</v>
      </c>
      <c r="I144" t="s">
        <v>160</v>
      </c>
      <c r="J144" t="s">
        <v>392</v>
      </c>
    </row>
    <row r="145" spans="2:10">
      <c r="B145" t="s">
        <v>174</v>
      </c>
      <c r="C145" t="s">
        <v>183</v>
      </c>
      <c r="D145" t="s">
        <v>256</v>
      </c>
      <c r="E145" t="s">
        <v>330</v>
      </c>
      <c r="G145" t="s">
        <v>339</v>
      </c>
      <c r="H145" s="4">
        <v>42370</v>
      </c>
      <c r="I145" t="s">
        <v>42</v>
      </c>
      <c r="J145" t="s">
        <v>374</v>
      </c>
    </row>
    <row r="146" spans="2:10">
      <c r="B146" t="s">
        <v>174</v>
      </c>
      <c r="C146" t="s">
        <v>183</v>
      </c>
      <c r="D146" t="s">
        <v>256</v>
      </c>
      <c r="E146" t="s">
        <v>337</v>
      </c>
      <c r="G146" t="s">
        <v>354</v>
      </c>
      <c r="H146" s="4">
        <v>42401</v>
      </c>
      <c r="I146" t="s">
        <v>42</v>
      </c>
      <c r="J146" t="s">
        <v>1</v>
      </c>
    </row>
    <row r="147" spans="2:10">
      <c r="B147" t="s">
        <v>174</v>
      </c>
      <c r="C147" t="s">
        <v>183</v>
      </c>
      <c r="D147" t="s">
        <v>256</v>
      </c>
      <c r="E147" t="s">
        <v>330</v>
      </c>
      <c r="G147" t="s">
        <v>339</v>
      </c>
      <c r="H147" s="4" t="s">
        <v>48</v>
      </c>
      <c r="I147" t="s">
        <v>42</v>
      </c>
      <c r="J147" t="s">
        <v>393</v>
      </c>
    </row>
    <row r="148" spans="2:10">
      <c r="B148" t="s">
        <v>177</v>
      </c>
      <c r="C148" t="s">
        <v>183</v>
      </c>
      <c r="D148" t="s">
        <v>257</v>
      </c>
      <c r="E148" t="s">
        <v>333</v>
      </c>
      <c r="G148" t="s">
        <v>357</v>
      </c>
      <c r="H148" s="4">
        <v>42309</v>
      </c>
      <c r="I148" t="s">
        <v>42</v>
      </c>
      <c r="J148" t="s">
        <v>394</v>
      </c>
    </row>
    <row r="149" spans="2:10">
      <c r="B149" t="s">
        <v>177</v>
      </c>
      <c r="C149" t="s">
        <v>183</v>
      </c>
      <c r="D149" t="s">
        <v>257</v>
      </c>
      <c r="E149" t="s">
        <v>333</v>
      </c>
      <c r="G149" t="s">
        <v>357</v>
      </c>
      <c r="H149" s="4">
        <v>42384</v>
      </c>
      <c r="I149" t="s">
        <v>42</v>
      </c>
      <c r="J149" t="s">
        <v>395</v>
      </c>
    </row>
    <row r="150" spans="2:10">
      <c r="B150" t="s">
        <v>177</v>
      </c>
      <c r="C150" t="s">
        <v>183</v>
      </c>
      <c r="D150" t="s">
        <v>257</v>
      </c>
      <c r="E150" t="s">
        <v>333</v>
      </c>
      <c r="G150" t="s">
        <v>357</v>
      </c>
      <c r="H150" s="4">
        <v>42614</v>
      </c>
      <c r="I150" t="s">
        <v>2</v>
      </c>
      <c r="J150" t="s">
        <v>151</v>
      </c>
    </row>
    <row r="151" spans="2:10">
      <c r="B151" t="s">
        <v>177</v>
      </c>
      <c r="C151" t="s">
        <v>183</v>
      </c>
      <c r="D151" t="s">
        <v>258</v>
      </c>
      <c r="E151" t="s">
        <v>333</v>
      </c>
      <c r="G151" t="s">
        <v>340</v>
      </c>
      <c r="H151" s="4">
        <v>42522</v>
      </c>
      <c r="I151" t="s">
        <v>42</v>
      </c>
      <c r="J151" t="s">
        <v>396</v>
      </c>
    </row>
    <row r="152" spans="2:10">
      <c r="B152" t="s">
        <v>177</v>
      </c>
      <c r="C152" t="s">
        <v>183</v>
      </c>
      <c r="D152" t="s">
        <v>258</v>
      </c>
      <c r="E152" t="s">
        <v>333</v>
      </c>
      <c r="G152" t="s">
        <v>340</v>
      </c>
      <c r="H152" s="4" t="s">
        <v>48</v>
      </c>
      <c r="I152" t="s">
        <v>160</v>
      </c>
      <c r="J152" t="s">
        <v>397</v>
      </c>
    </row>
    <row r="153" spans="2:10">
      <c r="B153" t="s">
        <v>177</v>
      </c>
      <c r="C153" t="s">
        <v>183</v>
      </c>
      <c r="D153" t="s">
        <v>259</v>
      </c>
      <c r="E153" t="s">
        <v>337</v>
      </c>
      <c r="G153" t="s">
        <v>340</v>
      </c>
      <c r="H153" s="4">
        <v>42522</v>
      </c>
      <c r="I153" t="s">
        <v>42</v>
      </c>
      <c r="J153" t="s">
        <v>1</v>
      </c>
    </row>
    <row r="154" spans="2:10">
      <c r="B154" t="s">
        <v>177</v>
      </c>
      <c r="C154" t="s">
        <v>183</v>
      </c>
      <c r="D154" t="s">
        <v>259</v>
      </c>
      <c r="E154" t="s">
        <v>337</v>
      </c>
      <c r="G154" t="s">
        <v>340</v>
      </c>
      <c r="H154" s="4" t="s">
        <v>48</v>
      </c>
      <c r="I154" t="s">
        <v>42</v>
      </c>
      <c r="J154" t="s">
        <v>398</v>
      </c>
    </row>
    <row r="155" spans="2:10">
      <c r="B155" t="s">
        <v>177</v>
      </c>
      <c r="C155" t="s">
        <v>183</v>
      </c>
      <c r="D155" t="s">
        <v>260</v>
      </c>
      <c r="E155" t="s">
        <v>333</v>
      </c>
      <c r="G155" t="s">
        <v>357</v>
      </c>
      <c r="H155" s="4">
        <v>42370</v>
      </c>
      <c r="I155" t="s">
        <v>42</v>
      </c>
      <c r="J155" t="s">
        <v>100</v>
      </c>
    </row>
    <row r="156" spans="2:10">
      <c r="B156" t="s">
        <v>177</v>
      </c>
      <c r="C156" t="s">
        <v>183</v>
      </c>
      <c r="D156" t="s">
        <v>260</v>
      </c>
      <c r="E156" t="s">
        <v>337</v>
      </c>
      <c r="G156" t="s">
        <v>339</v>
      </c>
      <c r="H156" s="4">
        <v>42444</v>
      </c>
      <c r="I156" t="s">
        <v>42</v>
      </c>
      <c r="J156" t="s">
        <v>399</v>
      </c>
    </row>
    <row r="157" spans="2:10">
      <c r="B157" t="s">
        <v>177</v>
      </c>
      <c r="C157" t="s">
        <v>183</v>
      </c>
      <c r="D157" t="s">
        <v>260</v>
      </c>
      <c r="E157" t="s">
        <v>333</v>
      </c>
      <c r="G157" t="s">
        <v>357</v>
      </c>
      <c r="H157" s="4">
        <v>42522</v>
      </c>
      <c r="I157" t="s">
        <v>42</v>
      </c>
      <c r="J157" t="s">
        <v>394</v>
      </c>
    </row>
    <row r="158" spans="2:10">
      <c r="B158" t="s">
        <v>177</v>
      </c>
      <c r="C158" t="s">
        <v>183</v>
      </c>
      <c r="D158" t="s">
        <v>260</v>
      </c>
      <c r="E158" t="s">
        <v>337</v>
      </c>
      <c r="G158" t="s">
        <v>339</v>
      </c>
      <c r="H158" s="4" t="s">
        <v>48</v>
      </c>
      <c r="I158" t="s">
        <v>42</v>
      </c>
      <c r="J158" t="s">
        <v>400</v>
      </c>
    </row>
    <row r="159" spans="2:10">
      <c r="B159" t="s">
        <v>177</v>
      </c>
      <c r="C159" t="s">
        <v>183</v>
      </c>
      <c r="D159" t="s">
        <v>261</v>
      </c>
      <c r="E159" t="s">
        <v>337</v>
      </c>
      <c r="G159" t="s">
        <v>339</v>
      </c>
      <c r="H159" s="4">
        <v>42278</v>
      </c>
      <c r="I159" t="s">
        <v>42</v>
      </c>
      <c r="J159" t="s">
        <v>401</v>
      </c>
    </row>
    <row r="160" spans="2:10">
      <c r="B160" t="s">
        <v>177</v>
      </c>
      <c r="C160" t="s">
        <v>183</v>
      </c>
      <c r="D160" t="s">
        <v>261</v>
      </c>
      <c r="E160" t="s">
        <v>337</v>
      </c>
      <c r="G160" t="s">
        <v>339</v>
      </c>
      <c r="H160" s="4">
        <v>42522</v>
      </c>
      <c r="I160" t="s">
        <v>42</v>
      </c>
      <c r="J160" t="s">
        <v>402</v>
      </c>
    </row>
    <row r="161" spans="2:11">
      <c r="B161" t="s">
        <v>177</v>
      </c>
      <c r="C161" t="s">
        <v>183</v>
      </c>
      <c r="D161" t="s">
        <v>261</v>
      </c>
      <c r="E161" t="s">
        <v>333</v>
      </c>
      <c r="G161" t="s">
        <v>340</v>
      </c>
      <c r="H161" s="4">
        <v>42614</v>
      </c>
      <c r="I161" t="s">
        <v>42</v>
      </c>
      <c r="J161" t="s">
        <v>403</v>
      </c>
    </row>
    <row r="162" spans="2:11">
      <c r="B162" s="27" t="s">
        <v>178</v>
      </c>
      <c r="C162" s="27" t="s">
        <v>183</v>
      </c>
      <c r="D162" s="27" t="s">
        <v>262</v>
      </c>
      <c r="E162" s="27" t="s">
        <v>333</v>
      </c>
      <c r="F162" s="27"/>
      <c r="G162" s="27" t="s">
        <v>340</v>
      </c>
      <c r="H162" s="4">
        <v>42415</v>
      </c>
      <c r="I162" t="s">
        <v>42</v>
      </c>
      <c r="J162" t="s">
        <v>404</v>
      </c>
      <c r="K162" s="41"/>
    </row>
    <row r="163" spans="2:11">
      <c r="B163" s="27" t="s">
        <v>178</v>
      </c>
      <c r="C163" s="27" t="s">
        <v>183</v>
      </c>
      <c r="D163" s="29" t="s">
        <v>262</v>
      </c>
      <c r="E163" s="31" t="s">
        <v>337</v>
      </c>
      <c r="F163" s="31">
        <v>1</v>
      </c>
      <c r="G163" s="27" t="s">
        <v>340</v>
      </c>
      <c r="H163" s="4">
        <v>42444</v>
      </c>
      <c r="I163" t="s">
        <v>160</v>
      </c>
      <c r="J163" t="s">
        <v>100</v>
      </c>
    </row>
    <row r="164" spans="2:11">
      <c r="B164" s="27" t="s">
        <v>178</v>
      </c>
      <c r="C164" s="27" t="s">
        <v>183</v>
      </c>
      <c r="D164" s="29" t="s">
        <v>262</v>
      </c>
      <c r="E164" s="31" t="s">
        <v>337</v>
      </c>
      <c r="F164" s="31"/>
      <c r="G164" s="27" t="s">
        <v>339</v>
      </c>
      <c r="H164" s="4">
        <v>42461</v>
      </c>
      <c r="I164" t="s">
        <v>42</v>
      </c>
      <c r="J164" t="s">
        <v>405</v>
      </c>
    </row>
    <row r="165" spans="2:11">
      <c r="B165" s="27" t="s">
        <v>178</v>
      </c>
      <c r="C165" s="27" t="s">
        <v>183</v>
      </c>
      <c r="D165" s="27" t="s">
        <v>262</v>
      </c>
      <c r="E165" s="27" t="s">
        <v>338</v>
      </c>
      <c r="F165" s="27"/>
      <c r="G165" s="27" t="s">
        <v>339</v>
      </c>
      <c r="H165" s="4" t="s">
        <v>51</v>
      </c>
      <c r="I165" t="s">
        <v>42</v>
      </c>
      <c r="J165" s="5" t="s">
        <v>101</v>
      </c>
    </row>
    <row r="166" spans="2:11">
      <c r="B166" s="27" t="s">
        <v>178</v>
      </c>
      <c r="C166" s="27" t="s">
        <v>183</v>
      </c>
      <c r="D166" s="27" t="s">
        <v>263</v>
      </c>
      <c r="E166" s="27" t="s">
        <v>338</v>
      </c>
      <c r="F166" s="27"/>
      <c r="G166" s="27" t="s">
        <v>339</v>
      </c>
      <c r="H166" s="4">
        <v>42292</v>
      </c>
      <c r="I166" t="s">
        <v>42</v>
      </c>
      <c r="J166" t="s">
        <v>404</v>
      </c>
    </row>
    <row r="167" spans="2:11">
      <c r="B167" s="27" t="s">
        <v>178</v>
      </c>
      <c r="C167" s="27" t="s">
        <v>183</v>
      </c>
      <c r="D167" s="27" t="s">
        <v>263</v>
      </c>
      <c r="E167" s="27" t="s">
        <v>337</v>
      </c>
      <c r="F167" s="27"/>
      <c r="G167" s="27" t="s">
        <v>339</v>
      </c>
      <c r="H167" s="4">
        <v>42353</v>
      </c>
      <c r="I167" t="s">
        <v>160</v>
      </c>
      <c r="J167" t="s">
        <v>143</v>
      </c>
    </row>
    <row r="168" spans="2:11">
      <c r="B168" s="27" t="s">
        <v>178</v>
      </c>
      <c r="C168" s="27" t="s">
        <v>183</v>
      </c>
      <c r="D168" s="27" t="s">
        <v>263</v>
      </c>
      <c r="E168" s="27" t="s">
        <v>338</v>
      </c>
      <c r="F168" s="27"/>
      <c r="G168" s="27" t="s">
        <v>339</v>
      </c>
      <c r="H168" s="4">
        <v>42370</v>
      </c>
      <c r="I168" t="s">
        <v>42</v>
      </c>
      <c r="J168" t="s">
        <v>101</v>
      </c>
    </row>
    <row r="169" spans="2:11">
      <c r="B169" t="s">
        <v>178</v>
      </c>
      <c r="C169" t="s">
        <v>183</v>
      </c>
      <c r="D169" t="s">
        <v>263</v>
      </c>
      <c r="E169" t="s">
        <v>333</v>
      </c>
      <c r="G169" t="s">
        <v>339</v>
      </c>
      <c r="H169" s="4">
        <v>42384</v>
      </c>
      <c r="I169" t="s">
        <v>160</v>
      </c>
      <c r="J169" t="s">
        <v>405</v>
      </c>
    </row>
    <row r="170" spans="2:11">
      <c r="B170" t="s">
        <v>178</v>
      </c>
      <c r="C170" t="s">
        <v>183</v>
      </c>
      <c r="D170" t="s">
        <v>263</v>
      </c>
      <c r="E170" t="s">
        <v>333</v>
      </c>
      <c r="G170" t="s">
        <v>339</v>
      </c>
      <c r="H170" s="4">
        <v>42430</v>
      </c>
      <c r="I170" t="s">
        <v>42</v>
      </c>
      <c r="J170" t="s">
        <v>406</v>
      </c>
    </row>
    <row r="171" spans="2:11">
      <c r="B171" t="s">
        <v>178</v>
      </c>
      <c r="C171" t="s">
        <v>183</v>
      </c>
      <c r="D171" t="s">
        <v>263</v>
      </c>
      <c r="E171" t="s">
        <v>337</v>
      </c>
      <c r="F171">
        <v>1</v>
      </c>
      <c r="G171" t="s">
        <v>339</v>
      </c>
      <c r="H171" s="4">
        <v>42461</v>
      </c>
      <c r="I171" t="s">
        <v>160</v>
      </c>
      <c r="J171" t="s">
        <v>1</v>
      </c>
    </row>
    <row r="172" spans="2:11">
      <c r="B172" t="s">
        <v>178</v>
      </c>
      <c r="C172" t="s">
        <v>183</v>
      </c>
      <c r="D172" t="s">
        <v>263</v>
      </c>
      <c r="E172" t="s">
        <v>333</v>
      </c>
      <c r="G172" t="s">
        <v>339</v>
      </c>
      <c r="H172" s="4">
        <v>42522</v>
      </c>
      <c r="I172" t="s">
        <v>42</v>
      </c>
      <c r="J172" t="s">
        <v>405</v>
      </c>
    </row>
    <row r="173" spans="2:11">
      <c r="B173" t="s">
        <v>178</v>
      </c>
      <c r="C173" t="s">
        <v>183</v>
      </c>
      <c r="D173" t="s">
        <v>263</v>
      </c>
      <c r="E173" t="s">
        <v>333</v>
      </c>
      <c r="G173" t="s">
        <v>339</v>
      </c>
      <c r="H173" s="4" t="s">
        <v>48</v>
      </c>
      <c r="I173" t="s">
        <v>160</v>
      </c>
      <c r="J173" t="s">
        <v>403</v>
      </c>
    </row>
    <row r="174" spans="2:11">
      <c r="B174" t="s">
        <v>178</v>
      </c>
      <c r="C174" t="s">
        <v>183</v>
      </c>
      <c r="D174" t="s">
        <v>264</v>
      </c>
      <c r="E174" t="s">
        <v>337</v>
      </c>
      <c r="G174" t="s">
        <v>359</v>
      </c>
      <c r="H174" s="4">
        <v>42292</v>
      </c>
      <c r="I174" t="s">
        <v>2</v>
      </c>
      <c r="J174" t="s">
        <v>71</v>
      </c>
    </row>
    <row r="175" spans="2:11">
      <c r="B175" t="s">
        <v>178</v>
      </c>
      <c r="C175" t="s">
        <v>183</v>
      </c>
      <c r="D175" t="s">
        <v>264</v>
      </c>
      <c r="E175" t="s">
        <v>338</v>
      </c>
      <c r="G175" t="s">
        <v>340</v>
      </c>
      <c r="H175" s="4">
        <v>42461</v>
      </c>
      <c r="I175" t="s">
        <v>42</v>
      </c>
      <c r="J175" t="s">
        <v>101</v>
      </c>
    </row>
    <row r="176" spans="2:11">
      <c r="B176" t="s">
        <v>178</v>
      </c>
      <c r="C176" t="s">
        <v>183</v>
      </c>
      <c r="D176" t="s">
        <v>265</v>
      </c>
      <c r="E176" t="s">
        <v>333</v>
      </c>
      <c r="G176" t="s">
        <v>38</v>
      </c>
      <c r="H176" s="4">
        <v>42278</v>
      </c>
      <c r="I176" t="s">
        <v>42</v>
      </c>
      <c r="J176" t="s">
        <v>407</v>
      </c>
    </row>
    <row r="177" spans="2:10">
      <c r="B177" t="s">
        <v>178</v>
      </c>
      <c r="C177" t="s">
        <v>183</v>
      </c>
      <c r="D177" t="s">
        <v>265</v>
      </c>
      <c r="E177" t="s">
        <v>337</v>
      </c>
      <c r="G177" t="s">
        <v>341</v>
      </c>
      <c r="H177" s="4">
        <v>42292</v>
      </c>
      <c r="I177" t="s">
        <v>42</v>
      </c>
      <c r="J177" t="s">
        <v>408</v>
      </c>
    </row>
    <row r="178" spans="2:10">
      <c r="B178" t="s">
        <v>178</v>
      </c>
      <c r="C178" t="s">
        <v>183</v>
      </c>
      <c r="D178" t="s">
        <v>265</v>
      </c>
      <c r="E178" t="s">
        <v>337</v>
      </c>
      <c r="F178">
        <v>1</v>
      </c>
      <c r="G178" t="s">
        <v>38</v>
      </c>
      <c r="H178" s="4">
        <v>42309</v>
      </c>
      <c r="I178" t="s">
        <v>2</v>
      </c>
      <c r="J178" t="s">
        <v>409</v>
      </c>
    </row>
    <row r="179" spans="2:10">
      <c r="B179" t="s">
        <v>178</v>
      </c>
      <c r="C179" t="s">
        <v>183</v>
      </c>
      <c r="D179" t="s">
        <v>265</v>
      </c>
      <c r="E179" t="s">
        <v>333</v>
      </c>
      <c r="G179" t="s">
        <v>38</v>
      </c>
      <c r="H179" s="4">
        <v>42353</v>
      </c>
      <c r="I179" t="s">
        <v>42</v>
      </c>
      <c r="J179" t="s">
        <v>407</v>
      </c>
    </row>
    <row r="180" spans="2:10">
      <c r="B180" t="s">
        <v>178</v>
      </c>
      <c r="C180" t="s">
        <v>183</v>
      </c>
      <c r="D180" t="s">
        <v>265</v>
      </c>
      <c r="E180" t="s">
        <v>333</v>
      </c>
      <c r="G180" t="s">
        <v>357</v>
      </c>
      <c r="H180" s="4">
        <v>42370</v>
      </c>
      <c r="I180" t="s">
        <v>42</v>
      </c>
      <c r="J180" t="s">
        <v>407</v>
      </c>
    </row>
    <row r="181" spans="2:10">
      <c r="B181" t="s">
        <v>178</v>
      </c>
      <c r="C181" t="s">
        <v>183</v>
      </c>
      <c r="D181" t="s">
        <v>265</v>
      </c>
      <c r="E181" t="s">
        <v>338</v>
      </c>
      <c r="G181" t="s">
        <v>339</v>
      </c>
      <c r="H181" s="4">
        <v>42430</v>
      </c>
      <c r="I181" t="s">
        <v>42</v>
      </c>
      <c r="J181" t="s">
        <v>396</v>
      </c>
    </row>
    <row r="182" spans="2:10">
      <c r="B182" t="s">
        <v>178</v>
      </c>
      <c r="C182" t="s">
        <v>183</v>
      </c>
      <c r="D182" t="s">
        <v>265</v>
      </c>
      <c r="E182" t="s">
        <v>337</v>
      </c>
      <c r="F182">
        <v>1</v>
      </c>
      <c r="G182" t="s">
        <v>38</v>
      </c>
      <c r="H182" s="4">
        <v>42522</v>
      </c>
      <c r="I182" t="s">
        <v>2</v>
      </c>
      <c r="J182" t="s">
        <v>410</v>
      </c>
    </row>
    <row r="183" spans="2:10">
      <c r="B183" t="s">
        <v>178</v>
      </c>
      <c r="C183" t="s">
        <v>183</v>
      </c>
      <c r="D183" t="s">
        <v>265</v>
      </c>
      <c r="E183" t="s">
        <v>333</v>
      </c>
      <c r="G183" t="s">
        <v>38</v>
      </c>
      <c r="H183" s="4">
        <v>42552</v>
      </c>
      <c r="I183" t="s">
        <v>42</v>
      </c>
      <c r="J183" t="s">
        <v>411</v>
      </c>
    </row>
    <row r="184" spans="2:10">
      <c r="B184" t="s">
        <v>178</v>
      </c>
      <c r="C184" t="s">
        <v>183</v>
      </c>
      <c r="D184" t="s">
        <v>265</v>
      </c>
      <c r="E184" t="s">
        <v>337</v>
      </c>
      <c r="F184">
        <v>1</v>
      </c>
      <c r="G184" t="s">
        <v>38</v>
      </c>
      <c r="H184" s="4">
        <v>42614</v>
      </c>
      <c r="I184" t="s">
        <v>2</v>
      </c>
      <c r="J184" t="s">
        <v>412</v>
      </c>
    </row>
    <row r="185" spans="2:10">
      <c r="B185" t="s">
        <v>178</v>
      </c>
      <c r="C185" t="s">
        <v>183</v>
      </c>
      <c r="D185" t="s">
        <v>265</v>
      </c>
      <c r="E185" t="s">
        <v>337</v>
      </c>
      <c r="G185" t="s">
        <v>352</v>
      </c>
      <c r="H185" s="4" t="s">
        <v>48</v>
      </c>
      <c r="I185" t="s">
        <v>42</v>
      </c>
      <c r="J185" t="s">
        <v>413</v>
      </c>
    </row>
    <row r="186" spans="2:10">
      <c r="B186" t="s">
        <v>178</v>
      </c>
      <c r="C186" t="s">
        <v>183</v>
      </c>
      <c r="D186" t="s">
        <v>266</v>
      </c>
      <c r="E186" t="s">
        <v>333</v>
      </c>
      <c r="G186" t="s">
        <v>357</v>
      </c>
      <c r="H186" s="4">
        <v>42430</v>
      </c>
      <c r="I186" t="s">
        <v>42</v>
      </c>
      <c r="J186" t="s">
        <v>407</v>
      </c>
    </row>
    <row r="187" spans="2:10">
      <c r="B187" t="s">
        <v>178</v>
      </c>
      <c r="C187" t="s">
        <v>183</v>
      </c>
      <c r="D187" t="s">
        <v>267</v>
      </c>
      <c r="E187" t="s">
        <v>333</v>
      </c>
      <c r="F187">
        <v>1</v>
      </c>
      <c r="G187" t="s">
        <v>340</v>
      </c>
      <c r="H187" s="4">
        <v>42444</v>
      </c>
      <c r="I187" t="s">
        <v>2</v>
      </c>
      <c r="J187" t="s">
        <v>414</v>
      </c>
    </row>
    <row r="188" spans="2:10">
      <c r="B188" t="s">
        <v>170</v>
      </c>
      <c r="C188" t="s">
        <v>184</v>
      </c>
      <c r="D188" t="s">
        <v>268</v>
      </c>
      <c r="E188" t="s">
        <v>330</v>
      </c>
      <c r="F188">
        <v>1</v>
      </c>
      <c r="G188" t="s">
        <v>339</v>
      </c>
      <c r="H188" s="4">
        <v>42370</v>
      </c>
      <c r="I188" t="s">
        <v>2</v>
      </c>
      <c r="J188" t="s">
        <v>1</v>
      </c>
    </row>
    <row r="189" spans="2:10">
      <c r="B189" t="s">
        <v>170</v>
      </c>
      <c r="C189" t="s">
        <v>184</v>
      </c>
      <c r="D189" t="s">
        <v>268</v>
      </c>
      <c r="E189" t="s">
        <v>330</v>
      </c>
      <c r="F189">
        <v>1</v>
      </c>
      <c r="G189" t="s">
        <v>339</v>
      </c>
      <c r="H189" s="4">
        <v>42430</v>
      </c>
      <c r="I189" t="s">
        <v>2</v>
      </c>
      <c r="J189" t="s">
        <v>6</v>
      </c>
    </row>
    <row r="190" spans="2:10">
      <c r="B190" t="s">
        <v>170</v>
      </c>
      <c r="C190" t="s">
        <v>184</v>
      </c>
      <c r="D190" t="s">
        <v>269</v>
      </c>
      <c r="E190" t="s">
        <v>330</v>
      </c>
      <c r="F190">
        <v>1</v>
      </c>
      <c r="G190" t="s">
        <v>339</v>
      </c>
      <c r="H190" s="4">
        <v>42323</v>
      </c>
      <c r="I190" t="s">
        <v>2</v>
      </c>
      <c r="J190" t="s">
        <v>129</v>
      </c>
    </row>
    <row r="191" spans="2:10">
      <c r="B191" t="s">
        <v>171</v>
      </c>
      <c r="C191" t="s">
        <v>184</v>
      </c>
      <c r="D191" t="s">
        <v>270</v>
      </c>
      <c r="E191" t="s">
        <v>335</v>
      </c>
      <c r="F191">
        <v>1</v>
      </c>
      <c r="G191" t="s">
        <v>360</v>
      </c>
      <c r="H191" s="4">
        <v>42323</v>
      </c>
      <c r="I191" t="s">
        <v>2</v>
      </c>
      <c r="J191" t="s">
        <v>6</v>
      </c>
    </row>
    <row r="192" spans="2:10">
      <c r="B192" t="s">
        <v>172</v>
      </c>
      <c r="C192" t="s">
        <v>184</v>
      </c>
      <c r="D192" t="s">
        <v>271</v>
      </c>
      <c r="E192" t="s">
        <v>330</v>
      </c>
      <c r="F192">
        <v>1</v>
      </c>
      <c r="G192" t="s">
        <v>344</v>
      </c>
      <c r="H192" s="4">
        <v>42430</v>
      </c>
      <c r="I192" t="s">
        <v>2</v>
      </c>
      <c r="J192" t="s">
        <v>6</v>
      </c>
    </row>
    <row r="193" spans="2:10">
      <c r="B193" t="s">
        <v>173</v>
      </c>
      <c r="C193" t="s">
        <v>184</v>
      </c>
      <c r="D193" t="s">
        <v>272</v>
      </c>
      <c r="E193" t="s">
        <v>330</v>
      </c>
      <c r="G193" t="s">
        <v>339</v>
      </c>
      <c r="H193" s="4">
        <v>42292</v>
      </c>
      <c r="I193" t="s">
        <v>42</v>
      </c>
      <c r="J193" t="s">
        <v>415</v>
      </c>
    </row>
    <row r="194" spans="2:10">
      <c r="B194" t="s">
        <v>173</v>
      </c>
      <c r="C194" t="s">
        <v>184</v>
      </c>
      <c r="D194" t="s">
        <v>272</v>
      </c>
      <c r="E194" t="s">
        <v>330</v>
      </c>
      <c r="F194">
        <v>1</v>
      </c>
      <c r="G194" t="s">
        <v>339</v>
      </c>
      <c r="H194" s="4">
        <v>42384</v>
      </c>
      <c r="I194" t="s">
        <v>2</v>
      </c>
      <c r="J194" t="s">
        <v>416</v>
      </c>
    </row>
    <row r="195" spans="2:10">
      <c r="B195" t="s">
        <v>173</v>
      </c>
      <c r="C195" t="s">
        <v>184</v>
      </c>
      <c r="D195" t="s">
        <v>272</v>
      </c>
      <c r="E195" t="s">
        <v>330</v>
      </c>
      <c r="F195">
        <v>1</v>
      </c>
      <c r="G195" t="s">
        <v>339</v>
      </c>
      <c r="H195" s="4">
        <v>42415</v>
      </c>
      <c r="I195" t="s">
        <v>2</v>
      </c>
      <c r="J195" t="s">
        <v>417</v>
      </c>
    </row>
    <row r="196" spans="2:10">
      <c r="B196" t="s">
        <v>175</v>
      </c>
      <c r="C196" t="s">
        <v>184</v>
      </c>
      <c r="D196" t="s">
        <v>273</v>
      </c>
      <c r="E196" t="s">
        <v>335</v>
      </c>
      <c r="F196">
        <v>1</v>
      </c>
      <c r="G196" t="s">
        <v>360</v>
      </c>
      <c r="H196" s="4">
        <v>42309</v>
      </c>
      <c r="I196" t="s">
        <v>2</v>
      </c>
      <c r="J196" s="36" t="s">
        <v>168</v>
      </c>
    </row>
    <row r="197" spans="2:10">
      <c r="B197" t="s">
        <v>175</v>
      </c>
      <c r="C197" t="s">
        <v>184</v>
      </c>
      <c r="D197" t="s">
        <v>274</v>
      </c>
      <c r="E197" t="s">
        <v>330</v>
      </c>
      <c r="G197" t="s">
        <v>340</v>
      </c>
      <c r="H197" s="4">
        <v>42353</v>
      </c>
      <c r="I197" t="s">
        <v>42</v>
      </c>
      <c r="J197" t="s">
        <v>150</v>
      </c>
    </row>
    <row r="198" spans="2:10">
      <c r="B198" t="s">
        <v>176</v>
      </c>
      <c r="C198" t="s">
        <v>184</v>
      </c>
      <c r="D198" t="s">
        <v>275</v>
      </c>
      <c r="E198" t="s">
        <v>330</v>
      </c>
      <c r="G198" t="s">
        <v>339</v>
      </c>
      <c r="H198" s="4">
        <v>42309</v>
      </c>
      <c r="I198" t="s">
        <v>2</v>
      </c>
      <c r="J198" t="s">
        <v>114</v>
      </c>
    </row>
    <row r="199" spans="2:10">
      <c r="B199" t="s">
        <v>177</v>
      </c>
      <c r="C199" t="s">
        <v>184</v>
      </c>
      <c r="D199" t="s">
        <v>276</v>
      </c>
      <c r="E199" t="s">
        <v>337</v>
      </c>
      <c r="F199">
        <v>1</v>
      </c>
      <c r="G199" t="s">
        <v>339</v>
      </c>
      <c r="H199" s="4">
        <v>42384</v>
      </c>
      <c r="I199" t="s">
        <v>42</v>
      </c>
      <c r="J199" t="s">
        <v>139</v>
      </c>
    </row>
    <row r="200" spans="2:10">
      <c r="B200" t="s">
        <v>177</v>
      </c>
      <c r="C200" t="s">
        <v>184</v>
      </c>
      <c r="D200" t="s">
        <v>276</v>
      </c>
      <c r="E200" t="s">
        <v>337</v>
      </c>
      <c r="F200">
        <v>1</v>
      </c>
      <c r="G200" t="s">
        <v>339</v>
      </c>
      <c r="H200" s="4">
        <v>42415</v>
      </c>
      <c r="I200" t="s">
        <v>2</v>
      </c>
      <c r="J200" t="s">
        <v>55</v>
      </c>
    </row>
    <row r="201" spans="2:10">
      <c r="B201" t="s">
        <v>177</v>
      </c>
      <c r="C201" t="s">
        <v>184</v>
      </c>
      <c r="D201" t="s">
        <v>277</v>
      </c>
      <c r="E201" t="s">
        <v>330</v>
      </c>
      <c r="F201">
        <v>1</v>
      </c>
      <c r="G201" t="s">
        <v>344</v>
      </c>
      <c r="H201" s="4">
        <v>42461</v>
      </c>
      <c r="I201" t="s">
        <v>2</v>
      </c>
      <c r="J201" t="s">
        <v>6</v>
      </c>
    </row>
    <row r="202" spans="2:10">
      <c r="B202" t="s">
        <v>177</v>
      </c>
      <c r="C202" t="s">
        <v>184</v>
      </c>
      <c r="D202" t="s">
        <v>277</v>
      </c>
      <c r="E202" t="s">
        <v>330</v>
      </c>
      <c r="F202">
        <v>1</v>
      </c>
      <c r="G202" t="s">
        <v>344</v>
      </c>
      <c r="H202" s="4" t="s">
        <v>48</v>
      </c>
      <c r="I202" t="s">
        <v>2</v>
      </c>
      <c r="J202" t="s">
        <v>54</v>
      </c>
    </row>
    <row r="203" spans="2:10">
      <c r="B203" t="s">
        <v>177</v>
      </c>
      <c r="C203" t="s">
        <v>184</v>
      </c>
      <c r="D203" t="s">
        <v>278</v>
      </c>
      <c r="E203" t="s">
        <v>333</v>
      </c>
      <c r="F203">
        <v>1</v>
      </c>
      <c r="G203" t="s">
        <v>357</v>
      </c>
      <c r="H203" s="4">
        <v>42461</v>
      </c>
      <c r="I203" t="s">
        <v>2</v>
      </c>
      <c r="J203" t="s">
        <v>357</v>
      </c>
    </row>
    <row r="204" spans="2:10">
      <c r="B204" t="s">
        <v>177</v>
      </c>
      <c r="C204" t="s">
        <v>184</v>
      </c>
      <c r="D204" t="s">
        <v>279</v>
      </c>
      <c r="F204">
        <v>1</v>
      </c>
      <c r="H204" s="4">
        <v>42522</v>
      </c>
      <c r="I204" t="s">
        <v>42</v>
      </c>
      <c r="J204" t="s">
        <v>53</v>
      </c>
    </row>
    <row r="205" spans="2:10">
      <c r="B205" t="s">
        <v>177</v>
      </c>
      <c r="C205" t="s">
        <v>184</v>
      </c>
      <c r="D205" t="s">
        <v>280</v>
      </c>
      <c r="E205" t="s">
        <v>337</v>
      </c>
      <c r="F205">
        <v>1</v>
      </c>
      <c r="G205" t="s">
        <v>361</v>
      </c>
      <c r="H205" s="4">
        <v>42323</v>
      </c>
      <c r="I205" t="s">
        <v>160</v>
      </c>
      <c r="J205" t="s">
        <v>119</v>
      </c>
    </row>
    <row r="206" spans="2:10">
      <c r="B206" t="s">
        <v>177</v>
      </c>
      <c r="C206" t="s">
        <v>184</v>
      </c>
      <c r="D206" t="s">
        <v>280</v>
      </c>
      <c r="E206" t="s">
        <v>337</v>
      </c>
      <c r="F206">
        <v>1</v>
      </c>
      <c r="G206" t="s">
        <v>361</v>
      </c>
      <c r="H206" s="4">
        <v>42491</v>
      </c>
      <c r="I206" t="s">
        <v>160</v>
      </c>
      <c r="J206" t="s">
        <v>118</v>
      </c>
    </row>
    <row r="207" spans="2:10">
      <c r="B207" t="s">
        <v>177</v>
      </c>
      <c r="C207" t="s">
        <v>184</v>
      </c>
      <c r="D207" t="s">
        <v>280</v>
      </c>
      <c r="E207" t="s">
        <v>337</v>
      </c>
      <c r="F207">
        <v>1</v>
      </c>
      <c r="G207" t="s">
        <v>361</v>
      </c>
      <c r="H207" s="4" t="s">
        <v>48</v>
      </c>
      <c r="I207" t="s">
        <v>160</v>
      </c>
      <c r="J207" t="s">
        <v>120</v>
      </c>
    </row>
    <row r="208" spans="2:10">
      <c r="B208" t="s">
        <v>177</v>
      </c>
      <c r="C208" t="s">
        <v>184</v>
      </c>
      <c r="D208" t="s">
        <v>281</v>
      </c>
      <c r="E208" t="s">
        <v>330</v>
      </c>
      <c r="F208">
        <v>1</v>
      </c>
      <c r="G208" t="s">
        <v>344</v>
      </c>
      <c r="H208" s="4">
        <v>42522</v>
      </c>
      <c r="I208" t="s">
        <v>2</v>
      </c>
      <c r="J208" t="s">
        <v>54</v>
      </c>
    </row>
    <row r="209" spans="2:10">
      <c r="B209" t="s">
        <v>177</v>
      </c>
      <c r="C209" t="s">
        <v>184</v>
      </c>
      <c r="D209" t="s">
        <v>282</v>
      </c>
      <c r="E209" t="s">
        <v>330</v>
      </c>
      <c r="F209">
        <v>1</v>
      </c>
      <c r="G209" t="s">
        <v>344</v>
      </c>
      <c r="H209" s="4">
        <v>42522</v>
      </c>
      <c r="I209" t="s">
        <v>2</v>
      </c>
      <c r="J209" t="s">
        <v>54</v>
      </c>
    </row>
    <row r="210" spans="2:10">
      <c r="B210" t="s">
        <v>177</v>
      </c>
      <c r="C210" t="s">
        <v>184</v>
      </c>
      <c r="D210" t="s">
        <v>283</v>
      </c>
      <c r="E210" t="s">
        <v>330</v>
      </c>
      <c r="F210">
        <v>1</v>
      </c>
      <c r="G210" t="s">
        <v>344</v>
      </c>
      <c r="H210" s="4" t="s">
        <v>48</v>
      </c>
      <c r="I210" t="s">
        <v>2</v>
      </c>
      <c r="J210" t="s">
        <v>122</v>
      </c>
    </row>
    <row r="211" spans="2:10">
      <c r="B211" t="s">
        <v>177</v>
      </c>
      <c r="C211" t="s">
        <v>184</v>
      </c>
      <c r="D211" t="s">
        <v>283</v>
      </c>
      <c r="E211" t="s">
        <v>330</v>
      </c>
      <c r="F211">
        <v>1</v>
      </c>
      <c r="G211" t="s">
        <v>344</v>
      </c>
      <c r="H211" s="4" t="s">
        <v>48</v>
      </c>
      <c r="I211" t="s">
        <v>2</v>
      </c>
      <c r="J211" t="s">
        <v>418</v>
      </c>
    </row>
    <row r="212" spans="2:10">
      <c r="B212" t="s">
        <v>177</v>
      </c>
      <c r="C212" t="s">
        <v>184</v>
      </c>
      <c r="D212" t="s">
        <v>284</v>
      </c>
      <c r="E212" t="s">
        <v>330</v>
      </c>
      <c r="F212">
        <v>1</v>
      </c>
      <c r="G212" t="s">
        <v>344</v>
      </c>
      <c r="H212" s="4" t="s">
        <v>48</v>
      </c>
      <c r="I212" t="s">
        <v>2</v>
      </c>
      <c r="J212" t="s">
        <v>419</v>
      </c>
    </row>
    <row r="213" spans="2:10">
      <c r="B213" t="s">
        <v>177</v>
      </c>
      <c r="C213" t="s">
        <v>184</v>
      </c>
      <c r="D213" t="s">
        <v>285</v>
      </c>
      <c r="E213" t="s">
        <v>330</v>
      </c>
      <c r="F213">
        <v>1</v>
      </c>
      <c r="G213" t="s">
        <v>344</v>
      </c>
      <c r="H213" s="4">
        <v>42415</v>
      </c>
      <c r="I213" t="s">
        <v>2</v>
      </c>
      <c r="J213" t="s">
        <v>71</v>
      </c>
    </row>
    <row r="214" spans="2:10">
      <c r="B214" t="s">
        <v>177</v>
      </c>
      <c r="C214" t="s">
        <v>184</v>
      </c>
      <c r="D214" t="s">
        <v>286</v>
      </c>
      <c r="E214" t="s">
        <v>337</v>
      </c>
      <c r="F214">
        <v>1</v>
      </c>
      <c r="G214" t="s">
        <v>361</v>
      </c>
      <c r="H214" s="4">
        <v>42401</v>
      </c>
      <c r="I214" t="s">
        <v>2</v>
      </c>
      <c r="J214" t="s">
        <v>56</v>
      </c>
    </row>
    <row r="215" spans="2:10">
      <c r="B215" t="s">
        <v>177</v>
      </c>
      <c r="C215" t="s">
        <v>184</v>
      </c>
      <c r="D215" t="s">
        <v>286</v>
      </c>
      <c r="E215" t="s">
        <v>337</v>
      </c>
      <c r="F215">
        <v>1</v>
      </c>
      <c r="G215" t="s">
        <v>361</v>
      </c>
      <c r="H215" s="4">
        <v>42430</v>
      </c>
      <c r="I215" t="s">
        <v>160</v>
      </c>
      <c r="J215" t="s">
        <v>163</v>
      </c>
    </row>
    <row r="216" spans="2:10">
      <c r="B216" t="s">
        <v>177</v>
      </c>
      <c r="C216" t="s">
        <v>184</v>
      </c>
      <c r="D216" t="s">
        <v>286</v>
      </c>
      <c r="E216" t="s">
        <v>337</v>
      </c>
      <c r="F216">
        <v>1</v>
      </c>
      <c r="G216" t="s">
        <v>361</v>
      </c>
      <c r="H216" s="4">
        <v>42522</v>
      </c>
      <c r="I216" t="s">
        <v>2</v>
      </c>
      <c r="J216" t="s">
        <v>62</v>
      </c>
    </row>
    <row r="217" spans="2:10">
      <c r="B217" t="s">
        <v>177</v>
      </c>
      <c r="C217" t="s">
        <v>184</v>
      </c>
      <c r="D217" t="s">
        <v>287</v>
      </c>
      <c r="F217">
        <v>1</v>
      </c>
      <c r="G217" t="s">
        <v>344</v>
      </c>
      <c r="H217" s="4">
        <v>42323</v>
      </c>
      <c r="I217" t="s">
        <v>2</v>
      </c>
      <c r="J217" t="s">
        <v>71</v>
      </c>
    </row>
    <row r="218" spans="2:10">
      <c r="B218" t="s">
        <v>177</v>
      </c>
      <c r="C218" t="s">
        <v>184</v>
      </c>
      <c r="D218" t="s">
        <v>288</v>
      </c>
      <c r="F218">
        <v>1</v>
      </c>
      <c r="G218" t="s">
        <v>344</v>
      </c>
      <c r="H218" s="4">
        <v>42522</v>
      </c>
      <c r="I218" t="s">
        <v>2</v>
      </c>
    </row>
    <row r="219" spans="2:10">
      <c r="B219" t="s">
        <v>176</v>
      </c>
      <c r="C219" t="s">
        <v>185</v>
      </c>
      <c r="D219" t="s">
        <v>289</v>
      </c>
      <c r="E219" t="s">
        <v>330</v>
      </c>
      <c r="G219" t="s">
        <v>346</v>
      </c>
      <c r="H219" s="4">
        <v>42353</v>
      </c>
      <c r="I219" t="s">
        <v>42</v>
      </c>
      <c r="J219" t="s">
        <v>71</v>
      </c>
    </row>
    <row r="220" spans="2:10">
      <c r="B220" t="s">
        <v>176</v>
      </c>
      <c r="C220" t="s">
        <v>185</v>
      </c>
      <c r="D220" t="s">
        <v>289</v>
      </c>
      <c r="E220" t="s">
        <v>330</v>
      </c>
      <c r="G220" t="s">
        <v>346</v>
      </c>
      <c r="H220" s="4">
        <v>42370</v>
      </c>
      <c r="I220" t="s">
        <v>42</v>
      </c>
      <c r="J220" t="s">
        <v>0</v>
      </c>
    </row>
    <row r="221" spans="2:10">
      <c r="B221" t="s">
        <v>176</v>
      </c>
      <c r="C221" t="s">
        <v>185</v>
      </c>
      <c r="D221" t="s">
        <v>289</v>
      </c>
      <c r="E221" t="s">
        <v>330</v>
      </c>
      <c r="G221" t="s">
        <v>346</v>
      </c>
      <c r="H221" s="4" t="s">
        <v>65</v>
      </c>
      <c r="I221" t="s">
        <v>42</v>
      </c>
      <c r="J221" t="s">
        <v>420</v>
      </c>
    </row>
    <row r="222" spans="2:10">
      <c r="B222" t="s">
        <v>176</v>
      </c>
      <c r="C222" t="s">
        <v>185</v>
      </c>
      <c r="D222" t="s">
        <v>290</v>
      </c>
      <c r="E222" t="s">
        <v>330</v>
      </c>
      <c r="F222">
        <v>1</v>
      </c>
      <c r="G222" t="s">
        <v>349</v>
      </c>
      <c r="H222" s="4">
        <v>42292</v>
      </c>
      <c r="I222" t="s">
        <v>2</v>
      </c>
      <c r="J222" t="s">
        <v>76</v>
      </c>
    </row>
    <row r="223" spans="2:10">
      <c r="B223" t="s">
        <v>176</v>
      </c>
      <c r="C223" t="s">
        <v>185</v>
      </c>
      <c r="D223" t="s">
        <v>290</v>
      </c>
      <c r="E223" t="s">
        <v>330</v>
      </c>
      <c r="F223">
        <v>1</v>
      </c>
      <c r="G223" t="s">
        <v>349</v>
      </c>
      <c r="H223" s="4">
        <v>42614</v>
      </c>
      <c r="I223" t="s">
        <v>2</v>
      </c>
      <c r="J223" t="s">
        <v>6</v>
      </c>
    </row>
    <row r="224" spans="2:10">
      <c r="B224" t="s">
        <v>176</v>
      </c>
      <c r="C224" t="s">
        <v>185</v>
      </c>
      <c r="D224" t="s">
        <v>291</v>
      </c>
      <c r="E224" t="s">
        <v>330</v>
      </c>
      <c r="F224">
        <v>1</v>
      </c>
      <c r="G224" t="s">
        <v>347</v>
      </c>
      <c r="H224" s="4">
        <v>42444</v>
      </c>
      <c r="I224" t="s">
        <v>2</v>
      </c>
      <c r="J224" t="s">
        <v>72</v>
      </c>
    </row>
    <row r="225" spans="2:10">
      <c r="B225" t="s">
        <v>176</v>
      </c>
      <c r="C225" t="s">
        <v>185</v>
      </c>
      <c r="D225" t="s">
        <v>292</v>
      </c>
      <c r="E225" t="s">
        <v>330</v>
      </c>
      <c r="F225">
        <v>1</v>
      </c>
      <c r="G225" t="s">
        <v>351</v>
      </c>
      <c r="H225" s="4">
        <v>42353</v>
      </c>
      <c r="I225" t="s">
        <v>2</v>
      </c>
      <c r="J225" t="s">
        <v>1</v>
      </c>
    </row>
    <row r="226" spans="2:10">
      <c r="B226" t="s">
        <v>176</v>
      </c>
      <c r="C226" t="s">
        <v>185</v>
      </c>
      <c r="D226" t="s">
        <v>293</v>
      </c>
      <c r="E226" t="s">
        <v>330</v>
      </c>
      <c r="F226">
        <v>1</v>
      </c>
      <c r="G226" t="s">
        <v>349</v>
      </c>
      <c r="H226" s="4">
        <v>42370</v>
      </c>
      <c r="I226" t="s">
        <v>2</v>
      </c>
      <c r="J226" t="s">
        <v>1</v>
      </c>
    </row>
    <row r="227" spans="2:10">
      <c r="B227" t="s">
        <v>176</v>
      </c>
      <c r="C227" t="s">
        <v>185</v>
      </c>
      <c r="D227" t="s">
        <v>293</v>
      </c>
      <c r="E227" t="s">
        <v>330</v>
      </c>
      <c r="F227">
        <v>1</v>
      </c>
      <c r="G227" t="s">
        <v>349</v>
      </c>
      <c r="H227" s="4" t="s">
        <v>48</v>
      </c>
      <c r="I227" t="s">
        <v>2</v>
      </c>
      <c r="J227" t="s">
        <v>6</v>
      </c>
    </row>
    <row r="228" spans="2:10">
      <c r="B228" t="s">
        <v>176</v>
      </c>
      <c r="C228" t="s">
        <v>185</v>
      </c>
      <c r="D228" t="s">
        <v>294</v>
      </c>
      <c r="E228" t="s">
        <v>330</v>
      </c>
      <c r="F228">
        <v>1</v>
      </c>
      <c r="G228" t="s">
        <v>350</v>
      </c>
      <c r="H228" s="4">
        <v>42522</v>
      </c>
      <c r="I228" t="s">
        <v>42</v>
      </c>
      <c r="J228" t="s">
        <v>421</v>
      </c>
    </row>
    <row r="229" spans="2:10">
      <c r="B229" t="s">
        <v>176</v>
      </c>
      <c r="C229" t="s">
        <v>185</v>
      </c>
      <c r="D229" t="s">
        <v>295</v>
      </c>
      <c r="E229" t="s">
        <v>330</v>
      </c>
      <c r="F229">
        <v>1</v>
      </c>
      <c r="G229" t="s">
        <v>347</v>
      </c>
      <c r="H229" s="4">
        <v>42430</v>
      </c>
      <c r="I229" t="s">
        <v>160</v>
      </c>
      <c r="J229" t="s">
        <v>422</v>
      </c>
    </row>
    <row r="230" spans="2:10">
      <c r="B230" t="s">
        <v>176</v>
      </c>
      <c r="C230" t="s">
        <v>185</v>
      </c>
      <c r="D230" t="s">
        <v>296</v>
      </c>
      <c r="E230" t="s">
        <v>330</v>
      </c>
      <c r="G230" t="s">
        <v>341</v>
      </c>
      <c r="H230" s="4">
        <v>42339</v>
      </c>
      <c r="I230" t="s">
        <v>42</v>
      </c>
      <c r="J230" t="s">
        <v>45</v>
      </c>
    </row>
    <row r="231" spans="2:10">
      <c r="B231" t="s">
        <v>176</v>
      </c>
      <c r="C231" t="s">
        <v>185</v>
      </c>
      <c r="D231" t="s">
        <v>296</v>
      </c>
      <c r="E231" t="s">
        <v>330</v>
      </c>
      <c r="F231">
        <v>1</v>
      </c>
      <c r="G231" t="s">
        <v>350</v>
      </c>
      <c r="H231" s="4" t="s">
        <v>48</v>
      </c>
      <c r="I231" t="s">
        <v>2</v>
      </c>
      <c r="J231" t="s">
        <v>423</v>
      </c>
    </row>
    <row r="232" spans="2:10">
      <c r="B232" t="s">
        <v>176</v>
      </c>
      <c r="C232" t="s">
        <v>185</v>
      </c>
      <c r="D232" t="s">
        <v>297</v>
      </c>
      <c r="E232" t="s">
        <v>330</v>
      </c>
      <c r="F232">
        <v>1</v>
      </c>
      <c r="G232" t="s">
        <v>351</v>
      </c>
      <c r="H232" s="4">
        <v>42353</v>
      </c>
      <c r="I232" t="s">
        <v>2</v>
      </c>
      <c r="J232" t="s">
        <v>136</v>
      </c>
    </row>
    <row r="233" spans="2:10">
      <c r="B233" t="s">
        <v>176</v>
      </c>
      <c r="C233" t="s">
        <v>185</v>
      </c>
      <c r="D233" t="s">
        <v>297</v>
      </c>
      <c r="E233" t="s">
        <v>330</v>
      </c>
      <c r="F233">
        <v>1</v>
      </c>
      <c r="G233" t="s">
        <v>351</v>
      </c>
      <c r="H233" s="4">
        <v>42384</v>
      </c>
      <c r="I233" t="s">
        <v>2</v>
      </c>
      <c r="J233" t="s">
        <v>7</v>
      </c>
    </row>
    <row r="234" spans="2:10">
      <c r="B234" t="s">
        <v>176</v>
      </c>
      <c r="C234" t="s">
        <v>185</v>
      </c>
      <c r="D234" t="s">
        <v>298</v>
      </c>
      <c r="E234" t="s">
        <v>330</v>
      </c>
      <c r="G234" t="s">
        <v>346</v>
      </c>
      <c r="H234" s="4">
        <v>42491</v>
      </c>
      <c r="I234" t="s">
        <v>42</v>
      </c>
      <c r="J234" t="s">
        <v>50</v>
      </c>
    </row>
    <row r="235" spans="2:10">
      <c r="B235" t="s">
        <v>176</v>
      </c>
      <c r="C235" t="s">
        <v>185</v>
      </c>
      <c r="D235" t="s">
        <v>299</v>
      </c>
      <c r="E235" t="s">
        <v>330</v>
      </c>
      <c r="F235">
        <v>1</v>
      </c>
      <c r="G235" t="s">
        <v>349</v>
      </c>
      <c r="H235" s="4">
        <v>42339</v>
      </c>
      <c r="I235" t="s">
        <v>160</v>
      </c>
      <c r="J235" t="s">
        <v>143</v>
      </c>
    </row>
    <row r="236" spans="2:10">
      <c r="B236" t="s">
        <v>176</v>
      </c>
      <c r="C236" t="s">
        <v>185</v>
      </c>
      <c r="D236" t="s">
        <v>300</v>
      </c>
      <c r="E236" t="s">
        <v>330</v>
      </c>
      <c r="F236">
        <v>1</v>
      </c>
      <c r="G236" t="s">
        <v>347</v>
      </c>
      <c r="H236" s="4">
        <v>42339</v>
      </c>
      <c r="I236" t="s">
        <v>2</v>
      </c>
      <c r="J236" t="s">
        <v>135</v>
      </c>
    </row>
    <row r="237" spans="2:10">
      <c r="B237" t="s">
        <v>176</v>
      </c>
      <c r="C237" t="s">
        <v>185</v>
      </c>
      <c r="D237" t="s">
        <v>300</v>
      </c>
      <c r="E237" t="s">
        <v>330</v>
      </c>
      <c r="F237">
        <v>1</v>
      </c>
      <c r="G237" t="s">
        <v>347</v>
      </c>
      <c r="H237" s="4">
        <v>42430</v>
      </c>
      <c r="I237" t="s">
        <v>160</v>
      </c>
      <c r="J237" t="s">
        <v>107</v>
      </c>
    </row>
    <row r="238" spans="2:10">
      <c r="B238" t="s">
        <v>176</v>
      </c>
      <c r="C238" t="s">
        <v>185</v>
      </c>
      <c r="D238" t="s">
        <v>300</v>
      </c>
      <c r="E238" t="s">
        <v>330</v>
      </c>
      <c r="F238">
        <v>1</v>
      </c>
      <c r="G238" t="s">
        <v>347</v>
      </c>
      <c r="H238" s="4" t="s">
        <v>48</v>
      </c>
      <c r="I238" t="s">
        <v>160</v>
      </c>
      <c r="J238" t="s">
        <v>109</v>
      </c>
    </row>
    <row r="239" spans="2:10">
      <c r="B239" t="s">
        <v>176</v>
      </c>
      <c r="C239" t="s">
        <v>185</v>
      </c>
      <c r="D239" t="s">
        <v>300</v>
      </c>
      <c r="E239" t="s">
        <v>330</v>
      </c>
      <c r="F239">
        <v>1</v>
      </c>
      <c r="G239" t="s">
        <v>347</v>
      </c>
      <c r="H239" s="4" t="s">
        <v>77</v>
      </c>
      <c r="I239" t="s">
        <v>2</v>
      </c>
      <c r="J239" t="s">
        <v>108</v>
      </c>
    </row>
    <row r="240" spans="2:10">
      <c r="B240" t="s">
        <v>173</v>
      </c>
      <c r="C240" t="s">
        <v>186</v>
      </c>
      <c r="D240" t="s">
        <v>301</v>
      </c>
      <c r="E240" t="s">
        <v>337</v>
      </c>
      <c r="F240">
        <v>1</v>
      </c>
      <c r="G240" t="s">
        <v>340</v>
      </c>
      <c r="H240" s="4">
        <v>42292</v>
      </c>
      <c r="I240" t="s">
        <v>160</v>
      </c>
      <c r="J240" t="s">
        <v>4</v>
      </c>
    </row>
    <row r="241" spans="2:11">
      <c r="B241" t="s">
        <v>173</v>
      </c>
      <c r="C241" t="s">
        <v>186</v>
      </c>
      <c r="D241" t="s">
        <v>301</v>
      </c>
      <c r="E241" t="s">
        <v>337</v>
      </c>
      <c r="F241">
        <v>1</v>
      </c>
      <c r="G241" t="s">
        <v>340</v>
      </c>
      <c r="H241" s="4">
        <v>42552</v>
      </c>
      <c r="I241" t="s">
        <v>2</v>
      </c>
      <c r="J241" t="s">
        <v>57</v>
      </c>
      <c r="K241" s="41"/>
    </row>
    <row r="242" spans="2:11">
      <c r="B242" t="s">
        <v>173</v>
      </c>
      <c r="C242" t="s">
        <v>186</v>
      </c>
      <c r="D242" t="s">
        <v>301</v>
      </c>
      <c r="E242" t="s">
        <v>337</v>
      </c>
      <c r="F242">
        <v>1</v>
      </c>
      <c r="G242" t="s">
        <v>340</v>
      </c>
      <c r="H242" s="4" t="s">
        <v>65</v>
      </c>
      <c r="I242" t="s">
        <v>2</v>
      </c>
      <c r="J242" t="s">
        <v>59</v>
      </c>
    </row>
    <row r="243" spans="2:11">
      <c r="B243" t="s">
        <v>173</v>
      </c>
      <c r="C243" t="s">
        <v>186</v>
      </c>
      <c r="D243" t="s">
        <v>301</v>
      </c>
      <c r="E243" t="s">
        <v>337</v>
      </c>
      <c r="F243">
        <v>1</v>
      </c>
      <c r="G243" t="s">
        <v>340</v>
      </c>
      <c r="H243" s="4" t="s">
        <v>48</v>
      </c>
      <c r="I243" t="s">
        <v>160</v>
      </c>
      <c r="J243" t="s">
        <v>58</v>
      </c>
    </row>
    <row r="244" spans="2:11">
      <c r="B244" t="s">
        <v>173</v>
      </c>
      <c r="C244" t="s">
        <v>186</v>
      </c>
      <c r="D244" t="s">
        <v>302</v>
      </c>
      <c r="E244" t="s">
        <v>337</v>
      </c>
      <c r="F244">
        <v>1</v>
      </c>
      <c r="G244" t="s">
        <v>341</v>
      </c>
      <c r="H244" s="4">
        <v>42384</v>
      </c>
      <c r="I244" t="s">
        <v>2</v>
      </c>
      <c r="J244" t="s">
        <v>63</v>
      </c>
    </row>
    <row r="245" spans="2:11">
      <c r="B245" t="s">
        <v>173</v>
      </c>
      <c r="C245" t="s">
        <v>186</v>
      </c>
      <c r="D245" t="s">
        <v>302</v>
      </c>
      <c r="E245" t="s">
        <v>337</v>
      </c>
      <c r="F245">
        <v>1</v>
      </c>
      <c r="G245" t="s">
        <v>341</v>
      </c>
      <c r="H245" s="4">
        <v>42614</v>
      </c>
      <c r="I245" t="s">
        <v>160</v>
      </c>
      <c r="J245" t="s">
        <v>64</v>
      </c>
    </row>
    <row r="246" spans="2:11">
      <c r="B246" t="s">
        <v>173</v>
      </c>
      <c r="C246" t="s">
        <v>186</v>
      </c>
      <c r="D246" t="s">
        <v>302</v>
      </c>
      <c r="E246" t="s">
        <v>337</v>
      </c>
      <c r="F246">
        <v>1</v>
      </c>
      <c r="G246" t="s">
        <v>341</v>
      </c>
      <c r="H246" s="4" t="s">
        <v>65</v>
      </c>
      <c r="I246" t="s">
        <v>2</v>
      </c>
      <c r="J246" t="s">
        <v>59</v>
      </c>
    </row>
    <row r="247" spans="2:11">
      <c r="B247" t="s">
        <v>173</v>
      </c>
      <c r="C247" t="s">
        <v>186</v>
      </c>
      <c r="D247" t="s">
        <v>303</v>
      </c>
      <c r="E247" t="s">
        <v>337</v>
      </c>
      <c r="F247">
        <v>1</v>
      </c>
      <c r="G247" t="s">
        <v>339</v>
      </c>
      <c r="H247" s="4">
        <v>42444</v>
      </c>
      <c r="I247" t="s">
        <v>160</v>
      </c>
      <c r="J247" t="s">
        <v>60</v>
      </c>
    </row>
    <row r="248" spans="2:11">
      <c r="B248" t="s">
        <v>173</v>
      </c>
      <c r="C248" t="s">
        <v>186</v>
      </c>
      <c r="D248" t="s">
        <v>303</v>
      </c>
      <c r="E248" t="s">
        <v>337</v>
      </c>
      <c r="F248">
        <v>1</v>
      </c>
      <c r="G248" t="s">
        <v>339</v>
      </c>
      <c r="H248" s="4" t="s">
        <v>51</v>
      </c>
      <c r="I248" t="s">
        <v>160</v>
      </c>
      <c r="J248" t="s">
        <v>61</v>
      </c>
    </row>
    <row r="249" spans="2:11">
      <c r="B249" t="s">
        <v>178</v>
      </c>
      <c r="C249" t="s">
        <v>186</v>
      </c>
      <c r="D249" t="s">
        <v>304</v>
      </c>
      <c r="E249" t="s">
        <v>334</v>
      </c>
      <c r="F249">
        <v>1</v>
      </c>
      <c r="G249" t="s">
        <v>341</v>
      </c>
      <c r="H249" s="4">
        <v>42430</v>
      </c>
      <c r="I249" t="s">
        <v>2</v>
      </c>
      <c r="J249" t="s">
        <v>55</v>
      </c>
    </row>
    <row r="250" spans="2:11">
      <c r="B250" t="s">
        <v>178</v>
      </c>
      <c r="C250" t="s">
        <v>186</v>
      </c>
      <c r="D250" t="s">
        <v>304</v>
      </c>
      <c r="E250" t="s">
        <v>334</v>
      </c>
      <c r="F250">
        <v>1</v>
      </c>
      <c r="G250" t="s">
        <v>341</v>
      </c>
      <c r="H250" s="4" t="s">
        <v>51</v>
      </c>
      <c r="I250" t="s">
        <v>2</v>
      </c>
      <c r="J250" t="s">
        <v>56</v>
      </c>
    </row>
    <row r="251" spans="2:11">
      <c r="B251" t="s">
        <v>178</v>
      </c>
      <c r="C251" t="s">
        <v>186</v>
      </c>
      <c r="D251" t="s">
        <v>305</v>
      </c>
      <c r="E251" t="s">
        <v>334</v>
      </c>
      <c r="F251">
        <v>1</v>
      </c>
      <c r="G251" t="s">
        <v>339</v>
      </c>
      <c r="H251" s="4">
        <v>42444</v>
      </c>
      <c r="I251" t="s">
        <v>2</v>
      </c>
      <c r="J251" t="s">
        <v>56</v>
      </c>
    </row>
    <row r="252" spans="2:11">
      <c r="B252" t="s">
        <v>178</v>
      </c>
      <c r="C252" t="s">
        <v>186</v>
      </c>
      <c r="D252" t="s">
        <v>305</v>
      </c>
      <c r="E252" t="s">
        <v>334</v>
      </c>
      <c r="F252">
        <v>1</v>
      </c>
      <c r="G252" t="s">
        <v>339</v>
      </c>
      <c r="H252" s="4" t="s">
        <v>51</v>
      </c>
      <c r="I252" t="s">
        <v>2</v>
      </c>
      <c r="J252" t="s">
        <v>62</v>
      </c>
    </row>
    <row r="253" spans="2:11">
      <c r="B253" t="s">
        <v>178</v>
      </c>
      <c r="C253" t="s">
        <v>186</v>
      </c>
      <c r="D253" t="s">
        <v>306</v>
      </c>
      <c r="E253" t="s">
        <v>334</v>
      </c>
      <c r="F253">
        <v>1</v>
      </c>
      <c r="G253" t="s">
        <v>340</v>
      </c>
      <c r="H253" s="4">
        <v>42384</v>
      </c>
      <c r="I253" t="s">
        <v>2</v>
      </c>
      <c r="J253" t="s">
        <v>100</v>
      </c>
    </row>
    <row r="254" spans="2:11">
      <c r="B254" t="s">
        <v>174</v>
      </c>
      <c r="C254" t="s">
        <v>187</v>
      </c>
      <c r="D254" t="s">
        <v>307</v>
      </c>
      <c r="E254" t="s">
        <v>334</v>
      </c>
      <c r="G254" t="s">
        <v>341</v>
      </c>
      <c r="H254" s="4">
        <v>42522</v>
      </c>
      <c r="I254" t="s">
        <v>160</v>
      </c>
      <c r="J254" t="s">
        <v>72</v>
      </c>
      <c r="K254" s="41"/>
    </row>
    <row r="255" spans="2:11">
      <c r="B255" t="s">
        <v>174</v>
      </c>
      <c r="C255" t="s">
        <v>187</v>
      </c>
      <c r="D255" t="s">
        <v>308</v>
      </c>
      <c r="E255" t="s">
        <v>334</v>
      </c>
      <c r="F255">
        <v>1</v>
      </c>
      <c r="G255" t="s">
        <v>339</v>
      </c>
      <c r="H255" s="4">
        <v>42614</v>
      </c>
      <c r="I255" t="s">
        <v>160</v>
      </c>
      <c r="J255" t="s">
        <v>166</v>
      </c>
    </row>
    <row r="256" spans="2:11">
      <c r="B256" t="s">
        <v>174</v>
      </c>
      <c r="C256" t="s">
        <v>187</v>
      </c>
      <c r="D256" t="s">
        <v>309</v>
      </c>
      <c r="E256" t="s">
        <v>332</v>
      </c>
      <c r="G256" t="s">
        <v>355</v>
      </c>
      <c r="H256" s="4">
        <v>42353</v>
      </c>
      <c r="I256" t="s">
        <v>42</v>
      </c>
      <c r="J256" t="s">
        <v>424</v>
      </c>
    </row>
    <row r="257" spans="2:11">
      <c r="B257" t="s">
        <v>174</v>
      </c>
      <c r="C257" t="s">
        <v>187</v>
      </c>
      <c r="D257" t="s">
        <v>309</v>
      </c>
      <c r="E257" t="s">
        <v>332</v>
      </c>
      <c r="F257">
        <v>1</v>
      </c>
      <c r="G257" t="s">
        <v>355</v>
      </c>
      <c r="H257" s="4">
        <v>42444</v>
      </c>
      <c r="I257" t="s">
        <v>2</v>
      </c>
      <c r="J257" t="s">
        <v>75</v>
      </c>
    </row>
    <row r="258" spans="2:11">
      <c r="B258" t="s">
        <v>174</v>
      </c>
      <c r="C258" t="s">
        <v>187</v>
      </c>
      <c r="D258" t="s">
        <v>310</v>
      </c>
      <c r="E258" t="s">
        <v>334</v>
      </c>
      <c r="G258" t="s">
        <v>341</v>
      </c>
      <c r="H258" s="4">
        <v>42278</v>
      </c>
      <c r="I258" t="s">
        <v>42</v>
      </c>
      <c r="J258" t="s">
        <v>128</v>
      </c>
    </row>
    <row r="259" spans="2:11">
      <c r="B259" t="s">
        <v>174</v>
      </c>
      <c r="C259" t="s">
        <v>187</v>
      </c>
      <c r="D259" t="s">
        <v>310</v>
      </c>
      <c r="E259" t="s">
        <v>334</v>
      </c>
      <c r="F259">
        <v>1</v>
      </c>
      <c r="G259" t="s">
        <v>341</v>
      </c>
      <c r="H259" s="4">
        <v>42339</v>
      </c>
      <c r="I259" t="s">
        <v>2</v>
      </c>
      <c r="J259" t="s">
        <v>425</v>
      </c>
    </row>
    <row r="260" spans="2:11">
      <c r="B260" t="s">
        <v>174</v>
      </c>
      <c r="C260" t="s">
        <v>187</v>
      </c>
      <c r="D260" t="s">
        <v>310</v>
      </c>
      <c r="E260" t="s">
        <v>334</v>
      </c>
      <c r="F260">
        <v>1</v>
      </c>
      <c r="G260" t="s">
        <v>341</v>
      </c>
      <c r="H260" s="4">
        <v>42461</v>
      </c>
      <c r="I260" t="s">
        <v>2</v>
      </c>
      <c r="J260" t="s">
        <v>71</v>
      </c>
      <c r="K260" s="41"/>
    </row>
    <row r="261" spans="2:11">
      <c r="B261" t="s">
        <v>174</v>
      </c>
      <c r="C261" t="s">
        <v>187</v>
      </c>
      <c r="D261" t="s">
        <v>311</v>
      </c>
      <c r="E261" t="s">
        <v>334</v>
      </c>
      <c r="F261">
        <v>1</v>
      </c>
      <c r="G261" t="s">
        <v>339</v>
      </c>
      <c r="H261" s="4">
        <v>42278</v>
      </c>
      <c r="I261" t="s">
        <v>160</v>
      </c>
      <c r="J261" t="s">
        <v>126</v>
      </c>
    </row>
    <row r="262" spans="2:11">
      <c r="B262" t="s">
        <v>174</v>
      </c>
      <c r="C262" t="s">
        <v>187</v>
      </c>
      <c r="D262" t="s">
        <v>311</v>
      </c>
      <c r="E262" t="s">
        <v>331</v>
      </c>
      <c r="F262">
        <v>1</v>
      </c>
      <c r="G262" t="s">
        <v>339</v>
      </c>
      <c r="H262" s="4">
        <v>42444</v>
      </c>
      <c r="I262" t="s">
        <v>2</v>
      </c>
      <c r="J262" t="s">
        <v>127</v>
      </c>
    </row>
    <row r="263" spans="2:11">
      <c r="B263" t="s">
        <v>174</v>
      </c>
      <c r="C263" t="s">
        <v>187</v>
      </c>
      <c r="D263" t="s">
        <v>311</v>
      </c>
      <c r="E263" t="s">
        <v>331</v>
      </c>
      <c r="F263">
        <v>1</v>
      </c>
      <c r="G263" t="s">
        <v>339</v>
      </c>
      <c r="H263" s="4" t="s">
        <v>48</v>
      </c>
      <c r="I263" t="s">
        <v>2</v>
      </c>
      <c r="J263" s="36" t="s">
        <v>426</v>
      </c>
    </row>
    <row r="264" spans="2:11">
      <c r="B264" t="s">
        <v>174</v>
      </c>
      <c r="C264" t="s">
        <v>187</v>
      </c>
      <c r="D264" t="s">
        <v>312</v>
      </c>
      <c r="E264" t="s">
        <v>334</v>
      </c>
      <c r="F264">
        <v>1</v>
      </c>
      <c r="G264" t="s">
        <v>339</v>
      </c>
      <c r="H264" s="4">
        <v>42278</v>
      </c>
      <c r="I264" t="s">
        <v>2</v>
      </c>
      <c r="J264" t="s">
        <v>73</v>
      </c>
    </row>
    <row r="265" spans="2:11">
      <c r="B265" t="s">
        <v>174</v>
      </c>
      <c r="C265" t="s">
        <v>187</v>
      </c>
      <c r="D265" t="s">
        <v>312</v>
      </c>
      <c r="E265" t="s">
        <v>334</v>
      </c>
      <c r="F265">
        <v>1</v>
      </c>
      <c r="G265" t="s">
        <v>339</v>
      </c>
      <c r="H265" s="4">
        <v>42444</v>
      </c>
      <c r="I265" t="s">
        <v>2</v>
      </c>
      <c r="J265" t="s">
        <v>74</v>
      </c>
    </row>
    <row r="266" spans="2:11">
      <c r="B266" t="s">
        <v>174</v>
      </c>
      <c r="C266" t="s">
        <v>187</v>
      </c>
      <c r="D266" t="s">
        <v>313</v>
      </c>
      <c r="E266" t="s">
        <v>331</v>
      </c>
      <c r="F266">
        <v>1</v>
      </c>
      <c r="G266" t="s">
        <v>339</v>
      </c>
      <c r="H266" s="4">
        <v>42278</v>
      </c>
      <c r="I266" t="s">
        <v>2</v>
      </c>
      <c r="J266" t="s">
        <v>123</v>
      </c>
    </row>
    <row r="267" spans="2:11">
      <c r="B267" t="s">
        <v>174</v>
      </c>
      <c r="C267" t="s">
        <v>187</v>
      </c>
      <c r="D267" t="s">
        <v>314</v>
      </c>
      <c r="E267" t="s">
        <v>331</v>
      </c>
      <c r="F267">
        <v>1</v>
      </c>
      <c r="G267" t="s">
        <v>339</v>
      </c>
      <c r="H267" s="4">
        <v>42353</v>
      </c>
      <c r="I267" t="s">
        <v>160</v>
      </c>
      <c r="J267" s="36" t="s">
        <v>427</v>
      </c>
    </row>
    <row r="268" spans="2:11">
      <c r="B268" t="s">
        <v>174</v>
      </c>
      <c r="C268" t="s">
        <v>187</v>
      </c>
      <c r="D268" t="s">
        <v>314</v>
      </c>
      <c r="E268" t="s">
        <v>331</v>
      </c>
      <c r="F268">
        <v>1</v>
      </c>
      <c r="G268" t="s">
        <v>339</v>
      </c>
      <c r="H268" s="4">
        <v>42444</v>
      </c>
      <c r="I268" t="s">
        <v>2</v>
      </c>
      <c r="J268" t="s">
        <v>428</v>
      </c>
    </row>
    <row r="269" spans="2:11">
      <c r="B269" t="s">
        <v>174</v>
      </c>
      <c r="C269" t="s">
        <v>187</v>
      </c>
      <c r="D269" t="s">
        <v>314</v>
      </c>
      <c r="E269" t="s">
        <v>331</v>
      </c>
      <c r="F269">
        <v>1</v>
      </c>
      <c r="G269" t="s">
        <v>339</v>
      </c>
      <c r="H269" s="4">
        <v>42522</v>
      </c>
      <c r="I269" t="s">
        <v>2</v>
      </c>
      <c r="J269" s="36" t="s">
        <v>100</v>
      </c>
    </row>
    <row r="270" spans="2:11">
      <c r="B270" t="s">
        <v>174</v>
      </c>
      <c r="C270" t="s">
        <v>187</v>
      </c>
      <c r="D270" t="s">
        <v>315</v>
      </c>
      <c r="E270" t="s">
        <v>332</v>
      </c>
      <c r="G270" t="s">
        <v>355</v>
      </c>
      <c r="H270" s="4">
        <v>42292</v>
      </c>
      <c r="I270" t="s">
        <v>42</v>
      </c>
      <c r="J270" t="s">
        <v>429</v>
      </c>
    </row>
    <row r="271" spans="2:11">
      <c r="B271" t="s">
        <v>174</v>
      </c>
      <c r="C271" t="s">
        <v>187</v>
      </c>
      <c r="D271" t="s">
        <v>315</v>
      </c>
      <c r="E271" t="s">
        <v>332</v>
      </c>
      <c r="F271">
        <v>1</v>
      </c>
      <c r="G271" t="s">
        <v>355</v>
      </c>
      <c r="H271" s="4">
        <v>42353</v>
      </c>
      <c r="I271" t="s">
        <v>2</v>
      </c>
      <c r="J271" t="s">
        <v>112</v>
      </c>
    </row>
    <row r="272" spans="2:11">
      <c r="B272" t="s">
        <v>177</v>
      </c>
      <c r="C272" t="s">
        <v>187</v>
      </c>
      <c r="D272" t="s">
        <v>316</v>
      </c>
      <c r="E272" t="s">
        <v>334</v>
      </c>
      <c r="F272">
        <v>1</v>
      </c>
      <c r="G272" t="s">
        <v>360</v>
      </c>
      <c r="H272" s="4">
        <v>42278</v>
      </c>
      <c r="I272" t="s">
        <v>2</v>
      </c>
      <c r="J272" t="s">
        <v>3</v>
      </c>
    </row>
    <row r="273" spans="2:11">
      <c r="B273" t="s">
        <v>177</v>
      </c>
      <c r="C273" t="s">
        <v>187</v>
      </c>
      <c r="D273" t="s">
        <v>316</v>
      </c>
      <c r="E273" t="s">
        <v>334</v>
      </c>
      <c r="F273">
        <v>1</v>
      </c>
      <c r="G273" t="s">
        <v>360</v>
      </c>
      <c r="H273" s="4">
        <v>42430</v>
      </c>
      <c r="I273" t="s">
        <v>2</v>
      </c>
      <c r="J273" t="s">
        <v>50</v>
      </c>
    </row>
    <row r="274" spans="2:11">
      <c r="B274" t="s">
        <v>177</v>
      </c>
      <c r="C274" t="s">
        <v>187</v>
      </c>
      <c r="D274" t="s">
        <v>317</v>
      </c>
      <c r="E274" t="s">
        <v>334</v>
      </c>
      <c r="G274" t="s">
        <v>358</v>
      </c>
      <c r="H274" s="4">
        <v>42323</v>
      </c>
      <c r="I274" t="s">
        <v>42</v>
      </c>
      <c r="J274" t="s">
        <v>70</v>
      </c>
    </row>
    <row r="275" spans="2:11">
      <c r="B275" t="s">
        <v>178</v>
      </c>
      <c r="C275" t="s">
        <v>187</v>
      </c>
      <c r="D275" t="s">
        <v>318</v>
      </c>
      <c r="E275" t="s">
        <v>334</v>
      </c>
      <c r="F275">
        <v>1</v>
      </c>
      <c r="G275" t="s">
        <v>341</v>
      </c>
      <c r="H275" s="4">
        <v>42415</v>
      </c>
      <c r="I275" t="s">
        <v>2</v>
      </c>
      <c r="J275" t="s">
        <v>100</v>
      </c>
    </row>
    <row r="276" spans="2:11">
      <c r="B276" t="s">
        <v>178</v>
      </c>
      <c r="C276" t="s">
        <v>187</v>
      </c>
      <c r="D276" t="s">
        <v>318</v>
      </c>
      <c r="E276" t="s">
        <v>334</v>
      </c>
      <c r="F276">
        <v>1</v>
      </c>
      <c r="G276" t="s">
        <v>341</v>
      </c>
      <c r="H276" s="4">
        <v>42614</v>
      </c>
      <c r="I276" t="s">
        <v>2</v>
      </c>
      <c r="J276" t="s">
        <v>50</v>
      </c>
    </row>
    <row r="277" spans="2:11">
      <c r="B277" t="s">
        <v>178</v>
      </c>
      <c r="C277" t="s">
        <v>187</v>
      </c>
      <c r="D277" t="s">
        <v>319</v>
      </c>
      <c r="E277" t="s">
        <v>334</v>
      </c>
      <c r="F277">
        <v>1</v>
      </c>
      <c r="H277" s="4">
        <v>42353</v>
      </c>
      <c r="I277" t="s">
        <v>2</v>
      </c>
      <c r="J277" t="s">
        <v>3</v>
      </c>
    </row>
    <row r="278" spans="2:11">
      <c r="B278" t="s">
        <v>178</v>
      </c>
      <c r="C278" t="s">
        <v>187</v>
      </c>
      <c r="D278" t="s">
        <v>320</v>
      </c>
      <c r="E278" t="s">
        <v>334</v>
      </c>
      <c r="F278">
        <v>1</v>
      </c>
      <c r="G278" t="s">
        <v>339</v>
      </c>
      <c r="H278" s="4">
        <v>42278</v>
      </c>
      <c r="I278" t="s">
        <v>2</v>
      </c>
      <c r="J278" t="s">
        <v>67</v>
      </c>
    </row>
    <row r="279" spans="2:11">
      <c r="B279" t="s">
        <v>178</v>
      </c>
      <c r="C279" t="s">
        <v>187</v>
      </c>
      <c r="D279" t="s">
        <v>320</v>
      </c>
      <c r="E279" t="s">
        <v>331</v>
      </c>
      <c r="F279">
        <v>1</v>
      </c>
      <c r="G279" t="s">
        <v>339</v>
      </c>
      <c r="H279" s="4">
        <v>42323</v>
      </c>
      <c r="I279" t="s">
        <v>160</v>
      </c>
      <c r="J279" t="s">
        <v>68</v>
      </c>
    </row>
    <row r="280" spans="2:11">
      <c r="B280" t="s">
        <v>178</v>
      </c>
      <c r="C280" t="s">
        <v>187</v>
      </c>
      <c r="D280" t="s">
        <v>320</v>
      </c>
      <c r="E280" t="s">
        <v>334</v>
      </c>
      <c r="F280">
        <v>1</v>
      </c>
      <c r="G280" t="s">
        <v>339</v>
      </c>
      <c r="H280" s="4">
        <v>42444</v>
      </c>
      <c r="I280" t="s">
        <v>2</v>
      </c>
      <c r="J280" t="s">
        <v>69</v>
      </c>
    </row>
    <row r="281" spans="2:11">
      <c r="B281" t="s">
        <v>178</v>
      </c>
      <c r="C281" t="s">
        <v>187</v>
      </c>
      <c r="D281" t="s">
        <v>321</v>
      </c>
      <c r="E281" t="s">
        <v>332</v>
      </c>
      <c r="F281">
        <v>1</v>
      </c>
      <c r="G281" t="s">
        <v>355</v>
      </c>
      <c r="H281" s="4">
        <v>42522</v>
      </c>
      <c r="I281" t="s">
        <v>2</v>
      </c>
      <c r="J281" t="s">
        <v>3</v>
      </c>
    </row>
    <row r="282" spans="2:11">
      <c r="B282" t="s">
        <v>178</v>
      </c>
      <c r="C282" t="s">
        <v>187</v>
      </c>
      <c r="D282" t="s">
        <v>322</v>
      </c>
      <c r="E282" t="s">
        <v>334</v>
      </c>
      <c r="F282">
        <v>1</v>
      </c>
      <c r="G282" t="s">
        <v>339</v>
      </c>
      <c r="H282" s="4">
        <v>42370</v>
      </c>
      <c r="I282" t="s">
        <v>2</v>
      </c>
      <c r="J282" t="s">
        <v>430</v>
      </c>
    </row>
    <row r="283" spans="2:11">
      <c r="B283" t="s">
        <v>178</v>
      </c>
      <c r="C283" t="s">
        <v>187</v>
      </c>
      <c r="D283" t="s">
        <v>322</v>
      </c>
      <c r="E283" t="s">
        <v>334</v>
      </c>
      <c r="F283">
        <v>1</v>
      </c>
      <c r="G283" t="s">
        <v>339</v>
      </c>
      <c r="H283" s="4">
        <v>42415</v>
      </c>
      <c r="I283" t="s">
        <v>2</v>
      </c>
      <c r="J283" t="s">
        <v>66</v>
      </c>
    </row>
    <row r="284" spans="2:11">
      <c r="B284" t="s">
        <v>174</v>
      </c>
      <c r="C284" t="s">
        <v>188</v>
      </c>
      <c r="D284" t="s">
        <v>323</v>
      </c>
      <c r="E284" t="s">
        <v>332</v>
      </c>
      <c r="F284">
        <v>1</v>
      </c>
      <c r="G284" t="s">
        <v>355</v>
      </c>
      <c r="H284" s="4">
        <v>42401</v>
      </c>
      <c r="I284" t="s">
        <v>2</v>
      </c>
      <c r="J284" t="s">
        <v>102</v>
      </c>
    </row>
    <row r="285" spans="2:11">
      <c r="B285" t="s">
        <v>174</v>
      </c>
      <c r="C285" t="s">
        <v>188</v>
      </c>
      <c r="D285" t="s">
        <v>323</v>
      </c>
      <c r="E285" t="s">
        <v>332</v>
      </c>
      <c r="F285">
        <v>1</v>
      </c>
      <c r="G285" t="s">
        <v>355</v>
      </c>
      <c r="H285" s="4">
        <v>42461</v>
      </c>
      <c r="I285" t="s">
        <v>2</v>
      </c>
      <c r="J285" t="s">
        <v>103</v>
      </c>
      <c r="K285" s="41"/>
    </row>
    <row r="286" spans="2:11">
      <c r="B286" t="s">
        <v>174</v>
      </c>
      <c r="C286" t="s">
        <v>188</v>
      </c>
      <c r="D286" t="s">
        <v>323</v>
      </c>
      <c r="E286" t="s">
        <v>332</v>
      </c>
      <c r="F286">
        <v>1</v>
      </c>
      <c r="G286" t="s">
        <v>355</v>
      </c>
      <c r="H286" s="4">
        <v>42522</v>
      </c>
      <c r="I286" t="s">
        <v>2</v>
      </c>
      <c r="J286" t="s">
        <v>104</v>
      </c>
      <c r="K286" s="41"/>
    </row>
    <row r="287" spans="2:11">
      <c r="B287" t="s">
        <v>174</v>
      </c>
      <c r="C287" t="s">
        <v>188</v>
      </c>
      <c r="D287" t="s">
        <v>323</v>
      </c>
      <c r="E287" t="s">
        <v>332</v>
      </c>
      <c r="F287">
        <v>1</v>
      </c>
      <c r="G287" t="s">
        <v>355</v>
      </c>
      <c r="H287" s="4">
        <v>42522</v>
      </c>
      <c r="I287" t="s">
        <v>2</v>
      </c>
      <c r="J287" t="s">
        <v>105</v>
      </c>
    </row>
    <row r="288" spans="2:11">
      <c r="B288" t="s">
        <v>177</v>
      </c>
      <c r="C288" t="s">
        <v>188</v>
      </c>
      <c r="D288" t="s">
        <v>324</v>
      </c>
      <c r="G288" t="s">
        <v>355</v>
      </c>
      <c r="H288" s="4">
        <v>42401</v>
      </c>
      <c r="I288" t="s">
        <v>42</v>
      </c>
      <c r="J288" t="s">
        <v>431</v>
      </c>
    </row>
    <row r="289" spans="2:10">
      <c r="B289" t="s">
        <v>177</v>
      </c>
      <c r="C289" t="s">
        <v>188</v>
      </c>
      <c r="D289" t="s">
        <v>324</v>
      </c>
      <c r="G289" t="s">
        <v>353</v>
      </c>
      <c r="H289" s="4">
        <v>42430</v>
      </c>
      <c r="I289" t="s">
        <v>42</v>
      </c>
      <c r="J289" t="s">
        <v>396</v>
      </c>
    </row>
    <row r="290" spans="2:10">
      <c r="B290" t="s">
        <v>177</v>
      </c>
      <c r="C290" t="s">
        <v>188</v>
      </c>
      <c r="D290" t="s">
        <v>324</v>
      </c>
      <c r="F290">
        <v>1</v>
      </c>
      <c r="G290" t="s">
        <v>355</v>
      </c>
      <c r="H290" s="4">
        <v>42522</v>
      </c>
      <c r="I290" t="s">
        <v>42</v>
      </c>
      <c r="J290" t="s">
        <v>114</v>
      </c>
    </row>
    <row r="291" spans="2:10">
      <c r="B291" t="s">
        <v>177</v>
      </c>
      <c r="C291" t="s">
        <v>188</v>
      </c>
      <c r="D291" t="s">
        <v>324</v>
      </c>
      <c r="F291">
        <v>1</v>
      </c>
      <c r="G291" t="s">
        <v>353</v>
      </c>
      <c r="H291" s="4">
        <v>42614</v>
      </c>
      <c r="I291" t="s">
        <v>42</v>
      </c>
      <c r="J291" t="s">
        <v>114</v>
      </c>
    </row>
    <row r="292" spans="2:10">
      <c r="B292" t="s">
        <v>177</v>
      </c>
      <c r="C292" t="s">
        <v>188</v>
      </c>
      <c r="D292" t="s">
        <v>325</v>
      </c>
      <c r="F292">
        <v>1</v>
      </c>
      <c r="G292" t="s">
        <v>356</v>
      </c>
      <c r="H292" s="4">
        <v>42339</v>
      </c>
      <c r="I292" t="s">
        <v>2</v>
      </c>
      <c r="J292" t="s">
        <v>432</v>
      </c>
    </row>
    <row r="293" spans="2:10">
      <c r="B293" t="s">
        <v>177</v>
      </c>
      <c r="C293" t="s">
        <v>188</v>
      </c>
      <c r="D293" t="s">
        <v>325</v>
      </c>
      <c r="F293">
        <v>1</v>
      </c>
      <c r="G293" t="s">
        <v>356</v>
      </c>
      <c r="H293" s="4">
        <v>42444</v>
      </c>
      <c r="I293" t="s">
        <v>2</v>
      </c>
      <c r="J293" t="s">
        <v>130</v>
      </c>
    </row>
    <row r="294" spans="2:10">
      <c r="B294" t="s">
        <v>177</v>
      </c>
      <c r="C294" t="s">
        <v>188</v>
      </c>
      <c r="D294" t="s">
        <v>326</v>
      </c>
      <c r="G294" t="s">
        <v>356</v>
      </c>
      <c r="H294" s="4">
        <v>42430</v>
      </c>
      <c r="I294" t="s">
        <v>42</v>
      </c>
      <c r="J294" t="s">
        <v>131</v>
      </c>
    </row>
    <row r="295" spans="2:10">
      <c r="B295" t="s">
        <v>177</v>
      </c>
      <c r="C295" t="s">
        <v>188</v>
      </c>
      <c r="D295" t="s">
        <v>327</v>
      </c>
      <c r="G295" t="s">
        <v>353</v>
      </c>
      <c r="H295" s="4">
        <v>42339</v>
      </c>
      <c r="I295" t="s">
        <v>42</v>
      </c>
    </row>
    <row r="296" spans="2:10">
      <c r="B296" t="s">
        <v>177</v>
      </c>
      <c r="C296" t="s">
        <v>188</v>
      </c>
      <c r="D296" t="s">
        <v>328</v>
      </c>
      <c r="E296" t="s">
        <v>333</v>
      </c>
      <c r="G296" t="s">
        <v>356</v>
      </c>
      <c r="H296" s="4">
        <v>42430</v>
      </c>
      <c r="I296" t="s">
        <v>42</v>
      </c>
      <c r="J296" t="s">
        <v>132</v>
      </c>
    </row>
    <row r="297" spans="2:10">
      <c r="B297" t="s">
        <v>178</v>
      </c>
      <c r="C297" t="s">
        <v>188</v>
      </c>
      <c r="D297" t="s">
        <v>329</v>
      </c>
      <c r="E297" t="s">
        <v>334</v>
      </c>
      <c r="G297" t="s">
        <v>356</v>
      </c>
      <c r="H297" s="4">
        <v>42353</v>
      </c>
      <c r="I297" t="s">
        <v>2</v>
      </c>
      <c r="J297" t="s">
        <v>81</v>
      </c>
    </row>
    <row r="298" spans="2:10">
      <c r="B298" t="s">
        <v>178</v>
      </c>
      <c r="C298" t="s">
        <v>188</v>
      </c>
      <c r="D298" t="s">
        <v>329</v>
      </c>
      <c r="E298" t="s">
        <v>334</v>
      </c>
      <c r="F298">
        <v>1</v>
      </c>
      <c r="G298" t="s">
        <v>356</v>
      </c>
      <c r="H298" s="4">
        <v>42384</v>
      </c>
      <c r="I298" t="s">
        <v>2</v>
      </c>
      <c r="J298" t="s">
        <v>106</v>
      </c>
    </row>
    <row r="299" spans="2:10">
      <c r="B299" t="s">
        <v>178</v>
      </c>
      <c r="C299" t="s">
        <v>188</v>
      </c>
      <c r="D299" t="s">
        <v>329</v>
      </c>
      <c r="E299" t="s">
        <v>334</v>
      </c>
      <c r="G299" t="s">
        <v>356</v>
      </c>
      <c r="H299" s="4">
        <v>42522</v>
      </c>
      <c r="I299" t="s">
        <v>42</v>
      </c>
      <c r="J299" t="s">
        <v>133</v>
      </c>
    </row>
  </sheetData>
  <autoFilter ref="B1:M299">
    <filterColumn colId="2"/>
    <sortState ref="B2:M299">
      <sortCondition ref="C1:C299"/>
    </sortState>
  </autoFilter>
  <sortState ref="B2:M297">
    <sortCondition ref="C2:C297"/>
    <sortCondition ref="D2:D297"/>
    <sortCondition ref="H2:H297"/>
    <sortCondition ref="F2:F297"/>
  </sortState>
  <dataValidations count="2">
    <dataValidation type="list" allowBlank="1" showInputMessage="1" showErrorMessage="1" sqref="H1:H1048576">
      <formula1>DateAutorisee</formula1>
    </dataValidation>
    <dataValidation type="list" allowBlank="1" showInputMessage="1" showErrorMessage="1" sqref="I1:I1048576">
      <formula1>TypeEcheance</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sheetPr codeName="Feuil5"/>
  <dimension ref="A1:F9"/>
  <sheetViews>
    <sheetView workbookViewId="0">
      <selection activeCell="B3" sqref="B3"/>
    </sheetView>
  </sheetViews>
  <sheetFormatPr baseColWidth="10" defaultRowHeight="15"/>
  <cols>
    <col min="1" max="1" width="20.7109375" bestFit="1" customWidth="1"/>
  </cols>
  <sheetData>
    <row r="1" spans="1:6">
      <c r="E1" t="s">
        <v>14</v>
      </c>
    </row>
    <row r="2" spans="1:6">
      <c r="A2" t="s">
        <v>8</v>
      </c>
      <c r="B2" s="4">
        <v>42339</v>
      </c>
    </row>
    <row r="3" spans="1:6">
      <c r="E3" t="s">
        <v>15</v>
      </c>
    </row>
    <row r="4" spans="1:6">
      <c r="A4" t="s">
        <v>24</v>
      </c>
      <c r="B4">
        <v>2</v>
      </c>
      <c r="E4" t="s">
        <v>16</v>
      </c>
    </row>
    <row r="5" spans="1:6">
      <c r="E5" t="s">
        <v>17</v>
      </c>
    </row>
    <row r="6" spans="1:6">
      <c r="A6" t="s">
        <v>25</v>
      </c>
      <c r="B6">
        <v>5</v>
      </c>
      <c r="E6" t="s">
        <v>18</v>
      </c>
      <c r="F6">
        <v>5</v>
      </c>
    </row>
    <row r="7" spans="1:6">
      <c r="E7" t="s">
        <v>19</v>
      </c>
      <c r="F7">
        <v>6</v>
      </c>
    </row>
    <row r="8" spans="1:6">
      <c r="A8" t="s">
        <v>26</v>
      </c>
      <c r="B8">
        <v>5</v>
      </c>
      <c r="E8" t="s">
        <v>20</v>
      </c>
      <c r="F8">
        <v>7</v>
      </c>
    </row>
    <row r="9" spans="1:6">
      <c r="E9" t="s">
        <v>13</v>
      </c>
      <c r="F9">
        <v>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euil7"/>
  <dimension ref="A1:H35"/>
  <sheetViews>
    <sheetView workbookViewId="0">
      <selection activeCell="A5" sqref="A5"/>
    </sheetView>
  </sheetViews>
  <sheetFormatPr baseColWidth="10" defaultRowHeight="15"/>
  <cols>
    <col min="1" max="1" width="26.7109375" bestFit="1" customWidth="1"/>
    <col min="3" max="3" width="26.28515625" customWidth="1"/>
    <col min="4" max="4" width="17.7109375" customWidth="1"/>
    <col min="5" max="5" width="30.5703125" bestFit="1" customWidth="1"/>
    <col min="6" max="6" width="14.5703125" customWidth="1"/>
    <col min="7" max="7" width="32.85546875" customWidth="1"/>
  </cols>
  <sheetData>
    <row r="1" spans="1:8">
      <c r="A1" t="s">
        <v>21</v>
      </c>
      <c r="B1" t="s">
        <v>22</v>
      </c>
      <c r="C1" t="s">
        <v>17</v>
      </c>
      <c r="D1" s="4" t="s">
        <v>9</v>
      </c>
      <c r="E1" t="s">
        <v>31</v>
      </c>
      <c r="F1" t="s">
        <v>12</v>
      </c>
      <c r="G1" t="s">
        <v>11</v>
      </c>
    </row>
    <row r="2" spans="1:8">
      <c r="A2" t="s">
        <v>28</v>
      </c>
      <c r="B2" t="s">
        <v>27</v>
      </c>
      <c r="C2" t="s">
        <v>29</v>
      </c>
      <c r="D2" t="s">
        <v>30</v>
      </c>
      <c r="E2" t="s">
        <v>32</v>
      </c>
      <c r="F2" t="s">
        <v>33</v>
      </c>
      <c r="G2" t="s">
        <v>34</v>
      </c>
    </row>
    <row r="5" spans="1:8">
      <c r="A5" t="s">
        <v>35</v>
      </c>
      <c r="B5" t="s">
        <v>37</v>
      </c>
      <c r="C5" s="7"/>
      <c r="H5" t="s">
        <v>2</v>
      </c>
    </row>
    <row r="6" spans="1:8">
      <c r="A6" t="s">
        <v>36</v>
      </c>
      <c r="C6" s="7"/>
      <c r="H6" t="s">
        <v>162</v>
      </c>
    </row>
    <row r="7" spans="1:8">
      <c r="C7" s="7"/>
      <c r="H7" t="s">
        <v>161</v>
      </c>
    </row>
    <row r="8" spans="1:8">
      <c r="C8" s="7"/>
      <c r="H8" t="s">
        <v>160</v>
      </c>
    </row>
    <row r="9" spans="1:8">
      <c r="C9" s="7"/>
      <c r="H9" t="s">
        <v>42</v>
      </c>
    </row>
    <row r="10" spans="1:8">
      <c r="C10" s="7"/>
      <c r="H10">
        <v>1</v>
      </c>
    </row>
    <row r="11" spans="1:8">
      <c r="C11" s="7"/>
      <c r="H11">
        <v>2</v>
      </c>
    </row>
    <row r="12" spans="1:8">
      <c r="C12" s="7"/>
      <c r="H12">
        <v>3</v>
      </c>
    </row>
    <row r="13" spans="1:8">
      <c r="C13" s="7"/>
      <c r="H13">
        <v>4</v>
      </c>
    </row>
    <row r="14" spans="1:8">
      <c r="C14" s="7"/>
    </row>
    <row r="15" spans="1:8">
      <c r="C15" s="7"/>
    </row>
    <row r="16" spans="1:8">
      <c r="C16" s="7"/>
    </row>
    <row r="17" spans="3:3">
      <c r="C17" s="7"/>
    </row>
    <row r="18" spans="3:3">
      <c r="C18" s="7"/>
    </row>
    <row r="19" spans="3:3">
      <c r="C19" s="7"/>
    </row>
    <row r="20" spans="3:3">
      <c r="C20" s="7"/>
    </row>
    <row r="21" spans="3:3">
      <c r="C21" s="7"/>
    </row>
    <row r="22" spans="3:3">
      <c r="C22" s="7"/>
    </row>
    <row r="23" spans="3:3">
      <c r="C23" s="7"/>
    </row>
    <row r="24" spans="3:3">
      <c r="C24" s="7"/>
    </row>
    <row r="25" spans="3:3">
      <c r="C25" s="7"/>
    </row>
    <row r="26" spans="3:3">
      <c r="C26" s="7"/>
    </row>
    <row r="27" spans="3:3">
      <c r="C27" s="7"/>
    </row>
    <row r="28" spans="3:3">
      <c r="C28" s="7"/>
    </row>
    <row r="29" spans="3:3">
      <c r="C29" s="7"/>
    </row>
    <row r="30" spans="3:3">
      <c r="C30" s="7"/>
    </row>
    <row r="31" spans="3:3">
      <c r="C31" s="7"/>
    </row>
    <row r="32" spans="3:3">
      <c r="C32" s="7"/>
    </row>
    <row r="33" spans="3:3">
      <c r="C33" s="7"/>
    </row>
    <row r="34" spans="3:3">
      <c r="C34" s="7"/>
    </row>
    <row r="35" spans="3:3">
      <c r="C35" s="7"/>
    </row>
  </sheetData>
  <dataValidations disablePrompts="1" count="1">
    <dataValidation type="list" allowBlank="1" showInputMessage="1" showErrorMessage="1" sqref="D1">
      <formula1>DateAutorisee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Feuil6"/>
  <dimension ref="B2:B13"/>
  <sheetViews>
    <sheetView topLeftCell="A7" workbookViewId="0">
      <selection activeCell="B11" sqref="B11"/>
    </sheetView>
  </sheetViews>
  <sheetFormatPr baseColWidth="10" defaultRowHeight="15"/>
  <cols>
    <col min="2" max="2" width="129" customWidth="1"/>
  </cols>
  <sheetData>
    <row r="2" spans="2:2">
      <c r="B2" t="s">
        <v>153</v>
      </c>
    </row>
    <row r="4" spans="2:2" ht="45">
      <c r="B4" s="41" t="s">
        <v>154</v>
      </c>
    </row>
    <row r="6" spans="2:2" ht="240">
      <c r="B6" s="41" t="s">
        <v>155</v>
      </c>
    </row>
    <row r="8" spans="2:2">
      <c r="B8" t="s">
        <v>156</v>
      </c>
    </row>
    <row r="9" spans="2:2" ht="195">
      <c r="B9" s="41" t="s">
        <v>157</v>
      </c>
    </row>
    <row r="10" spans="2:2">
      <c r="B10" s="41"/>
    </row>
    <row r="11" spans="2:2">
      <c r="B11" s="41" t="s">
        <v>159</v>
      </c>
    </row>
    <row r="13" spans="2:2">
      <c r="B13" t="s">
        <v>158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16</vt:i4>
      </vt:variant>
    </vt:vector>
  </HeadingPairs>
  <TitlesOfParts>
    <vt:vector size="23" baseType="lpstr">
      <vt:lpstr>Feuil1</vt:lpstr>
      <vt:lpstr>Tri</vt:lpstr>
      <vt:lpstr>Maquette</vt:lpstr>
      <vt:lpstr>Roadmap</vt:lpstr>
      <vt:lpstr>Parametres</vt:lpstr>
      <vt:lpstr>Parametrage_liste</vt:lpstr>
      <vt:lpstr>ReadME</vt:lpstr>
      <vt:lpstr>C0Col</vt:lpstr>
      <vt:lpstr>C0Ligne</vt:lpstr>
      <vt:lpstr>clients</vt:lpstr>
      <vt:lpstr>ColCompteur</vt:lpstr>
      <vt:lpstr>ColDescriptionCourte</vt:lpstr>
      <vt:lpstr>ColLivraison</vt:lpstr>
      <vt:lpstr>ColProduit</vt:lpstr>
      <vt:lpstr>ColTypeEcheance</vt:lpstr>
      <vt:lpstr>DateAutorisee</vt:lpstr>
      <vt:lpstr>DateDebut</vt:lpstr>
      <vt:lpstr>DescriptionCourte</vt:lpstr>
      <vt:lpstr>Livraison</vt:lpstr>
      <vt:lpstr>MaquetteLigne0</vt:lpstr>
      <vt:lpstr>TypeEcheance</vt:lpstr>
      <vt:lpstr>Feuil1!Zone_d_impression</vt:lpstr>
      <vt:lpstr>Maquette!Zone_d_impression</vt:lpstr>
    </vt:vector>
  </TitlesOfParts>
  <Company>MajOffice.msp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swojewoda</dc:creator>
  <cp:lastModifiedBy>swojewoda</cp:lastModifiedBy>
  <cp:lastPrinted>2015-11-26T07:56:57Z</cp:lastPrinted>
  <dcterms:created xsi:type="dcterms:W3CDTF">2015-01-27T09:54:05Z</dcterms:created>
  <dcterms:modified xsi:type="dcterms:W3CDTF">2015-12-03T10:25:49Z</dcterms:modified>
</cp:coreProperties>
</file>